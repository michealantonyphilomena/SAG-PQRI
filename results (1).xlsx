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ponses" sheetId="1" state="visible" r:id="rId3"/>
    <sheet name="Summary" sheetId="2" state="visible" r:id="rId4"/>
    <sheet name="Groups" sheetId="3" state="visible" r:id="rId5"/>
    <sheet name="Reward Model" sheetId="4" state="visible" r:id="rId6"/>
  </sheets>
  <definedNames>
    <definedName function="false" hidden="true" localSheetId="0" name="_xlnm._FilterDatabase" vbProcedure="false">Responses!$A$1:$AB$4001</definedName>
    <definedName function="false" hidden="true" localSheetId="1" name="_xlnm._FilterDatabase" vbProcedure="false">Summary!$A$1:$T$201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<sst xmlns="http://schemas.openxmlformats.org/spreadsheetml/2006/main" count="36724" uniqueCount="557">
  <si>
    <t xml:space="preserve">Submitted At</t>
  </si>
  <si>
    <t xml:space="preserve">Student Name</t>
  </si>
  <si>
    <t xml:space="preserve">Class</t>
  </si>
  <si>
    <t xml:space="preserve">Group</t>
  </si>
  <si>
    <t xml:space="preserve">Question No</t>
  </si>
  <si>
    <t xml:space="preserve">Question</t>
  </si>
  <si>
    <t xml:space="preserve">Selected Answer</t>
  </si>
  <si>
    <t xml:space="preserve">Correct Answer</t>
  </si>
  <si>
    <t xml:space="preserve">Result</t>
  </si>
  <si>
    <t xml:space="preserve">Time Taken (sec)</t>
  </si>
  <si>
    <t xml:space="preserve">Difficulty</t>
  </si>
  <si>
    <t xml:space="preserve">Questions Attempted</t>
  </si>
  <si>
    <t xml:space="preserve">High Difficulty - Correct</t>
  </si>
  <si>
    <t xml:space="preserve">High Difficulty - Wrong</t>
  </si>
  <si>
    <t xml:space="preserve">High Difficulty - Time (s)</t>
  </si>
  <si>
    <t xml:space="preserve">Medium Difficulty - Correct</t>
  </si>
  <si>
    <t xml:space="preserve">Medium Difficulty - Wrong</t>
  </si>
  <si>
    <t xml:space="preserve">Medium Difficulty - Time (s)</t>
  </si>
  <si>
    <t xml:space="preserve">Low Difficulty - Correct</t>
  </si>
  <si>
    <t xml:space="preserve">Low Difficulty - Wrong</t>
  </si>
  <si>
    <t xml:space="preserve">Low Difficulty - Time (s)</t>
  </si>
  <si>
    <t xml:space="preserve">Total Reward</t>
  </si>
  <si>
    <t xml:space="preserve">Medal</t>
  </si>
  <si>
    <t xml:space="preserve">Mark out of 100</t>
  </si>
  <si>
    <t xml:space="preserve">Revised Difficulty</t>
  </si>
  <si>
    <t xml:space="preserve">Time Factor</t>
  </si>
  <si>
    <t xml:space="preserve">Initial Reward</t>
  </si>
  <si>
    <t xml:space="preserve">Recalibrated Reward</t>
  </si>
  <si>
    <t xml:space="preserve">2026-10-12 12:01:15</t>
  </si>
  <si>
    <t xml:space="preserve">Aarav Sharma</t>
  </si>
  <si>
    <t xml:space="preserve">11</t>
  </si>
  <si>
    <t xml:space="preserve">Mathematics-Biology</t>
  </si>
  <si>
    <t xml:space="preserve">What is 25% of 240?</t>
  </si>
  <si>
    <t xml:space="preserve">C. 60</t>
  </si>
  <si>
    <t xml:space="preserve">Correct</t>
  </si>
  <si>
    <t xml:space="preserve">Low</t>
  </si>
  <si>
    <t xml:space="preserve">If x + 7 = 19, what is the value of x?</t>
  </si>
  <si>
    <t xml:space="preserve">C. 14</t>
  </si>
  <si>
    <t xml:space="preserve">B. 12</t>
  </si>
  <si>
    <t xml:space="preserve">Wrong</t>
  </si>
  <si>
    <t xml:space="preserve">Find the average of 12, 18, 20, and 30.</t>
  </si>
  <si>
    <t xml:space="preserve">B. 19</t>
  </si>
  <si>
    <t xml:space="preserve">C. 20</t>
  </si>
  <si>
    <t xml:space="preserve">A book costs ₹400. If its price increases by 10%, what is the new price?</t>
  </si>
  <si>
    <t xml:space="preserve">D. ₹450</t>
  </si>
  <si>
    <t xml:space="preserve">C. ₹440</t>
  </si>
  <si>
    <t xml:space="preserve">What is the value of 3³ + 2²?</t>
  </si>
  <si>
    <t xml:space="preserve">C. 31</t>
  </si>
  <si>
    <t xml:space="preserve">A car travels 120 km in 3 hours. What is its average speed?</t>
  </si>
  <si>
    <t xml:space="preserve">C. 40 km/h</t>
  </si>
  <si>
    <t xml:space="preserve">What is the probability of getting an even number when rolling a fair six-sided die?</t>
  </si>
  <si>
    <t xml:space="preserve">C. 1/2</t>
  </si>
  <si>
    <t xml:space="preserve">Find the next number in the sequence: 5, 10, 15, 20, ___.</t>
  </si>
  <si>
    <t xml:space="preserve">B. 24</t>
  </si>
  <si>
    <t xml:space="preserve">C. 25</t>
  </si>
  <si>
    <t xml:space="preserve">What is the value of sin 30° + cos 60°?</t>
  </si>
  <si>
    <t xml:space="preserve">A. 0</t>
  </si>
  <si>
    <t xml:space="preserve">C. 1</t>
  </si>
  <si>
    <t xml:space="preserve">If x² − 7x + 12 = 0, what are the roots?</t>
  </si>
  <si>
    <t xml:space="preserve">B. 3 and 4</t>
  </si>
  <si>
    <t xml:space="preserve">Medium</t>
  </si>
  <si>
    <t xml:space="preserve">A sum of ₹5,000 earns simple interest at 8% per annum for 3 years. Find the interest.</t>
  </si>
  <si>
    <t xml:space="preserve">D. ₹1,600</t>
  </si>
  <si>
    <t xml:space="preserve">C. ₹1,200</t>
  </si>
  <si>
    <t xml:space="preserve">The first term of an arithmetic progression is 4 and the common difference is 3. Find its 12th term.</t>
  </si>
  <si>
    <t xml:space="preserve">C. 37</t>
  </si>
  <si>
    <t xml:space="preserve">If f(x) = 2x² − 3x + 1, find f(3).</t>
  </si>
  <si>
    <t xml:space="preserve">B. 10</t>
  </si>
  <si>
    <t xml:space="preserve">Two fair coins are tossed simultaneously. What is the probability of getting exactly one head?</t>
  </si>
  <si>
    <t xml:space="preserve">If log₁₀ x = 2, find x.</t>
  </si>
  <si>
    <t xml:space="preserve">C. 100</t>
  </si>
  <si>
    <t xml:space="preserve">If x + 1/x = 3, find x² + 1/x².</t>
  </si>
  <si>
    <t xml:space="preserve">B. 7</t>
  </si>
  <si>
    <t xml:space="preserve">High</t>
  </si>
  <si>
    <t xml:space="preserve">Find the coefficient of x³ in the expansion of (1 + 2x)⁵.</t>
  </si>
  <si>
    <t xml:space="preserve">C. 80</t>
  </si>
  <si>
    <t xml:space="preserve">If y = x³ − 3x² + 2x, find dy/dx at x = 2.</t>
  </si>
  <si>
    <t xml:space="preserve">B. 2</t>
  </si>
  <si>
    <t xml:space="preserve">Two numbers are selected from the integers 1 to 10 without replacement. What is the probability that their sum is even?</t>
  </si>
  <si>
    <t xml:space="preserve">D. 5/9</t>
  </si>
  <si>
    <t xml:space="preserve">B. 4/9</t>
  </si>
  <si>
    <t xml:space="preserve">A rectangle has a perimeter of 40 cm. What is its maximum possible area?</t>
  </si>
  <si>
    <t xml:space="preserve">B. 90 cm²</t>
  </si>
  <si>
    <t xml:space="preserve">C. 100 cm²</t>
  </si>
  <si>
    <t xml:space="preserve">2026-10-12 12:02:48</t>
  </si>
  <si>
    <t xml:space="preserve">Ananya Patel</t>
  </si>
  <si>
    <t xml:space="preserve">D. 3/4</t>
  </si>
  <si>
    <t xml:space="preserve">A. 5</t>
  </si>
  <si>
    <t xml:space="preserve">D. 6</t>
  </si>
  <si>
    <t xml:space="preserve">2026-10-12 12:03:52</t>
  </si>
  <si>
    <t xml:space="preserve">Arjun Kumar</t>
  </si>
  <si>
    <t xml:space="preserve">A. 40</t>
  </si>
  <si>
    <t xml:space="preserve">D. 2/3</t>
  </si>
  <si>
    <t xml:space="preserve">A. 22</t>
  </si>
  <si>
    <t xml:space="preserve">A. 10</t>
  </si>
  <si>
    <t xml:space="preserve">2026-10-12 12:05:09</t>
  </si>
  <si>
    <t xml:space="preserve">Diya Singh</t>
  </si>
  <si>
    <t xml:space="preserve">B. 50</t>
  </si>
  <si>
    <t xml:space="preserve">B. 29</t>
  </si>
  <si>
    <t xml:space="preserve">D. 2 and 5</t>
  </si>
  <si>
    <t xml:space="preserve">B. 1/3</t>
  </si>
  <si>
    <t xml:space="preserve">C. 9</t>
  </si>
  <si>
    <t xml:space="preserve">2026-10-12 12:07:15</t>
  </si>
  <si>
    <t xml:space="preserve">Aditya Verma</t>
  </si>
  <si>
    <t xml:space="preserve">D. 11</t>
  </si>
  <si>
    <t xml:space="preserve">B. 60</t>
  </si>
  <si>
    <t xml:space="preserve">2026-10-12 12:09:10</t>
  </si>
  <si>
    <t xml:space="preserve">Priya Nair</t>
  </si>
  <si>
    <t xml:space="preserve">D. 3/2</t>
  </si>
  <si>
    <t xml:space="preserve">2026-10-12 12:11:05</t>
  </si>
  <si>
    <t xml:space="preserve">Rahul Das</t>
  </si>
  <si>
    <t xml:space="preserve">B. ₹430</t>
  </si>
  <si>
    <t xml:space="preserve">A. 32</t>
  </si>
  <si>
    <t xml:space="preserve">D. 100</t>
  </si>
  <si>
    <t xml:space="preserve">2026-10-12 12:13:10</t>
  </si>
  <si>
    <t xml:space="preserve">Sneha Reddy</t>
  </si>
  <si>
    <t xml:space="preserve">D. 45 km/h</t>
  </si>
  <si>
    <t xml:space="preserve">D. 14</t>
  </si>
  <si>
    <t xml:space="preserve">A. 1/4</t>
  </si>
  <si>
    <t xml:space="preserve">A. 80 cm²</t>
  </si>
  <si>
    <t xml:space="preserve">2026-10-12 12:15:39</t>
  </si>
  <si>
    <t xml:space="preserve">Vikram Menon</t>
  </si>
  <si>
    <t xml:space="preserve">D. 75</t>
  </si>
  <si>
    <t xml:space="preserve">D. 22</t>
  </si>
  <si>
    <t xml:space="preserve">A. 8</t>
  </si>
  <si>
    <t xml:space="preserve">2026-10-12 12:17:20</t>
  </si>
  <si>
    <t xml:space="preserve">Kavya Iyer</t>
  </si>
  <si>
    <t xml:space="preserve">B. 35</t>
  </si>
  <si>
    <t xml:space="preserve">C. 4</t>
  </si>
  <si>
    <t xml:space="preserve">2026-10-12 12:19:16</t>
  </si>
  <si>
    <t xml:space="preserve">Rohan Gupta</t>
  </si>
  <si>
    <t xml:space="preserve">B. 20</t>
  </si>
  <si>
    <t xml:space="preserve">A. 2/9</t>
  </si>
  <si>
    <t xml:space="preserve">2026-10-12 12:20:17</t>
  </si>
  <si>
    <t xml:space="preserve">Meera Krishnan</t>
  </si>
  <si>
    <t xml:space="preserve">2026-10-12 12:22:22</t>
  </si>
  <si>
    <t xml:space="preserve">Karthik Raj</t>
  </si>
  <si>
    <t xml:space="preserve">D. 30</t>
  </si>
  <si>
    <t xml:space="preserve">C. 1 and 12</t>
  </si>
  <si>
    <t xml:space="preserve">D. 1000</t>
  </si>
  <si>
    <t xml:space="preserve">2026-10-12 12:23:44</t>
  </si>
  <si>
    <t xml:space="preserve">Pooja Mishra</t>
  </si>
  <si>
    <t xml:space="preserve">A. 18</t>
  </si>
  <si>
    <t xml:space="preserve">B. 35 km/h</t>
  </si>
  <si>
    <t xml:space="preserve">A. 1/6</t>
  </si>
  <si>
    <t xml:space="preserve">A. ₹800</t>
  </si>
  <si>
    <t xml:space="preserve">D. 40</t>
  </si>
  <si>
    <t xml:space="preserve">2026-10-12 12:25:45</t>
  </si>
  <si>
    <t xml:space="preserve">Sanjay Pillai</t>
  </si>
  <si>
    <t xml:space="preserve">D. 35</t>
  </si>
  <si>
    <t xml:space="preserve">B. ₹1,000</t>
  </si>
  <si>
    <t xml:space="preserve">2026-10-12 12:27:42</t>
  </si>
  <si>
    <t xml:space="preserve">Divya Rao</t>
  </si>
  <si>
    <t xml:space="preserve">2026-10-12 12:29:48</t>
  </si>
  <si>
    <t xml:space="preserve">Akash Yadav</t>
  </si>
  <si>
    <t xml:space="preserve">A. ₹420</t>
  </si>
  <si>
    <t xml:space="preserve">2026-10-12 12:31:14</t>
  </si>
  <si>
    <t xml:space="preserve">Nithya Suresh</t>
  </si>
  <si>
    <t xml:space="preserve">2026-10-12 12:32:25</t>
  </si>
  <si>
    <t xml:space="preserve">Harish Babu</t>
  </si>
  <si>
    <t xml:space="preserve">2026-10-12 12:34:21</t>
  </si>
  <si>
    <t xml:space="preserve">Lakshmi Devi</t>
  </si>
  <si>
    <t xml:space="preserve">2026-10-12 12:36:37</t>
  </si>
  <si>
    <t xml:space="preserve">Varun Shah</t>
  </si>
  <si>
    <t xml:space="preserve">A. 25</t>
  </si>
  <si>
    <t xml:space="preserve">C. 12</t>
  </si>
  <si>
    <t xml:space="preserve">D. 120 cm²</t>
  </si>
  <si>
    <t xml:space="preserve">2026-10-12 12:38:57</t>
  </si>
  <si>
    <t xml:space="preserve">Aishwarya Bose</t>
  </si>
  <si>
    <t xml:space="preserve">A. 30 km/h</t>
  </si>
  <si>
    <t xml:space="preserve">2026-10-12 12:41:16</t>
  </si>
  <si>
    <t xml:space="preserve">Pranav Joshi</t>
  </si>
  <si>
    <t xml:space="preserve">2026-10-12 12:42:48</t>
  </si>
  <si>
    <t xml:space="preserve">Keerthana Mohan</t>
  </si>
  <si>
    <t xml:space="preserve">A. 2 and 6</t>
  </si>
  <si>
    <t xml:space="preserve">2026-10-12 12:44:44</t>
  </si>
  <si>
    <t xml:space="preserve">Manoj Kumar</t>
  </si>
  <si>
    <t xml:space="preserve">2026-10-12 12:46:08</t>
  </si>
  <si>
    <t xml:space="preserve">Shreya Kapoor</t>
  </si>
  <si>
    <t xml:space="preserve">2026-10-12 12:48:28</t>
  </si>
  <si>
    <t xml:space="preserve">Surya Prakash</t>
  </si>
  <si>
    <t xml:space="preserve">2026-10-12 12:49:50</t>
  </si>
  <si>
    <t xml:space="preserve">Abinaya Selvam</t>
  </si>
  <si>
    <t xml:space="preserve">2026-10-12 12:51:39</t>
  </si>
  <si>
    <t xml:space="preserve">Dinesh Kumar</t>
  </si>
  <si>
    <t xml:space="preserve">2026-10-12 12:52:45</t>
  </si>
  <si>
    <t xml:space="preserve">Janani Murugan</t>
  </si>
  <si>
    <t xml:space="preserve">2026-10-12 12:53:56</t>
  </si>
  <si>
    <t xml:space="preserve">Adarsh Nair</t>
  </si>
  <si>
    <t xml:space="preserve">Computer Science</t>
  </si>
  <si>
    <t xml:space="preserve">D. 26</t>
  </si>
  <si>
    <t xml:space="preserve">2026-10-12 12:55:28</t>
  </si>
  <si>
    <t xml:space="preserve">Bhavana Ramesh</t>
  </si>
  <si>
    <t xml:space="preserve">2026-10-12 12:57:36</t>
  </si>
  <si>
    <t xml:space="preserve">Charan Teja</t>
  </si>
  <si>
    <t xml:space="preserve">2026-10-12 12:58:42</t>
  </si>
  <si>
    <t xml:space="preserve">Deepika S</t>
  </si>
  <si>
    <t xml:space="preserve">2026-10-12 12:59:59</t>
  </si>
  <si>
    <t xml:space="preserve">Eshan Gupta</t>
  </si>
  <si>
    <t xml:space="preserve">2026-10-12 13:01:27</t>
  </si>
  <si>
    <t xml:space="preserve">Farhan Ahmed</t>
  </si>
  <si>
    <t xml:space="preserve">2026-10-12 13:02:32</t>
  </si>
  <si>
    <t xml:space="preserve">Gayathri Raj</t>
  </si>
  <si>
    <t xml:space="preserve">2026-10-12 13:03:46</t>
  </si>
  <si>
    <t xml:space="preserve">Hemanth Kumar</t>
  </si>
  <si>
    <t xml:space="preserve">2026-10-12 13:05:48</t>
  </si>
  <si>
    <t xml:space="preserve">Ishita Roy</t>
  </si>
  <si>
    <t xml:space="preserve">2026-10-12 13:06:57</t>
  </si>
  <si>
    <t xml:space="preserve">Jeevan Thomas</t>
  </si>
  <si>
    <t xml:space="preserve">2026-10-12 13:09:19</t>
  </si>
  <si>
    <t xml:space="preserve">Kiran Kumar</t>
  </si>
  <si>
    <t xml:space="preserve">2026-10-12 13:10:29</t>
  </si>
  <si>
    <t xml:space="preserve">Lavanya Devi</t>
  </si>
  <si>
    <t xml:space="preserve">2026-10-12 13:12:18</t>
  </si>
  <si>
    <t xml:space="preserve">Madhan Raj</t>
  </si>
  <si>
    <t xml:space="preserve">2026-10-12 13:14:22</t>
  </si>
  <si>
    <t xml:space="preserve">Nandhini K</t>
  </si>
  <si>
    <t xml:space="preserve">2026-10-12 13:15:57</t>
  </si>
  <si>
    <t xml:space="preserve">Om Prakash</t>
  </si>
  <si>
    <t xml:space="preserve">2026-10-12 13:18:02</t>
  </si>
  <si>
    <t xml:space="preserve">Pavithra S</t>
  </si>
  <si>
    <t xml:space="preserve">2026-10-12 13:20:16</t>
  </si>
  <si>
    <t xml:space="preserve">Qadir Ali</t>
  </si>
  <si>
    <t xml:space="preserve">2026-10-12 13:21:50</t>
  </si>
  <si>
    <t xml:space="preserve">Rakshan M</t>
  </si>
  <si>
    <t xml:space="preserve">2026-10-12 13:24:18</t>
  </si>
  <si>
    <t xml:space="preserve">Sanjana Rao</t>
  </si>
  <si>
    <t xml:space="preserve">2026-10-12 13:26:27</t>
  </si>
  <si>
    <t xml:space="preserve">Tharun Kumar</t>
  </si>
  <si>
    <t xml:space="preserve">2026-10-12 13:28:23</t>
  </si>
  <si>
    <t xml:space="preserve">Uday Shankar</t>
  </si>
  <si>
    <t xml:space="preserve">2026-10-12 13:29:46</t>
  </si>
  <si>
    <t xml:space="preserve">Vaishnavi R</t>
  </si>
  <si>
    <t xml:space="preserve">2026-10-12 13:31:34</t>
  </si>
  <si>
    <t xml:space="preserve">Wasim Khan</t>
  </si>
  <si>
    <t xml:space="preserve">2026-10-12 13:33:49</t>
  </si>
  <si>
    <t xml:space="preserve">Yamini Devi</t>
  </si>
  <si>
    <t xml:space="preserve">2026-10-12 13:35:01</t>
  </si>
  <si>
    <t xml:space="preserve">Zoya Fatima</t>
  </si>
  <si>
    <t xml:space="preserve">2026-10-12 13:37:29</t>
  </si>
  <si>
    <t xml:space="preserve">Anand Krish</t>
  </si>
  <si>
    <t xml:space="preserve">2026-10-12 13:39:59</t>
  </si>
  <si>
    <t xml:space="preserve">Bharath Kumar</t>
  </si>
  <si>
    <t xml:space="preserve">2026-10-12 13:41:14</t>
  </si>
  <si>
    <t xml:space="preserve">Chandana S</t>
  </si>
  <si>
    <t xml:space="preserve">2026-10-12 13:43:16</t>
  </si>
  <si>
    <t xml:space="preserve">Dharun Raj</t>
  </si>
  <si>
    <t xml:space="preserve">2026-10-12 13:44:18</t>
  </si>
  <si>
    <t xml:space="preserve">Elakkiya M</t>
  </si>
  <si>
    <t xml:space="preserve">2026-10-12 13:45:22</t>
  </si>
  <si>
    <t xml:space="preserve">Gokul Krishna</t>
  </si>
  <si>
    <t xml:space="preserve">2026-10-12 13:46:24</t>
  </si>
  <si>
    <t xml:space="preserve">Harisankar P</t>
  </si>
  <si>
    <t xml:space="preserve">2026-10-12 13:47:30</t>
  </si>
  <si>
    <t xml:space="preserve">Indhu Priya</t>
  </si>
  <si>
    <t xml:space="preserve">2026-10-12 13:48:51</t>
  </si>
  <si>
    <t xml:space="preserve">Jothi Lakshmi</t>
  </si>
  <si>
    <t xml:space="preserve">2026-10-12 13:51:04</t>
  </si>
  <si>
    <t xml:space="preserve">Kavin Raj</t>
  </si>
  <si>
    <t xml:space="preserve">2026-10-12 13:53:34</t>
  </si>
  <si>
    <t xml:space="preserve">Logeshwaran S</t>
  </si>
  <si>
    <t xml:space="preserve">2026-10-12 13:55:20</t>
  </si>
  <si>
    <t xml:space="preserve">Mithun Kumar</t>
  </si>
  <si>
    <t xml:space="preserve">2026-10-12 13:57:26</t>
  </si>
  <si>
    <t xml:space="preserve">Naveen Raj</t>
  </si>
  <si>
    <t xml:space="preserve">2026-10-12 13:59:18</t>
  </si>
  <si>
    <t xml:space="preserve">Praveen Kumar</t>
  </si>
  <si>
    <t xml:space="preserve">2026-10-12 14:01:26</t>
  </si>
  <si>
    <t xml:space="preserve">Rithika S</t>
  </si>
  <si>
    <t xml:space="preserve">2026-10-12 14:03:27</t>
  </si>
  <si>
    <t xml:space="preserve">Sathish Kumar</t>
  </si>
  <si>
    <t xml:space="preserve">2026-10-12 14:05:00</t>
  </si>
  <si>
    <t xml:space="preserve">Tamilselvan R</t>
  </si>
  <si>
    <t xml:space="preserve">2026-10-12 14:06:43</t>
  </si>
  <si>
    <t xml:space="preserve">Abdul Rahman</t>
  </si>
  <si>
    <t xml:space="preserve">Commerce</t>
  </si>
  <si>
    <t xml:space="preserve">2026-10-12 14:08:56</t>
  </si>
  <si>
    <t xml:space="preserve">Bala Murugan</t>
  </si>
  <si>
    <t xml:space="preserve">2026-10-12 14:10:03</t>
  </si>
  <si>
    <t xml:space="preserve">Chitra Devi</t>
  </si>
  <si>
    <t xml:space="preserve">2026-10-12 14:11:29</t>
  </si>
  <si>
    <t xml:space="preserve">Dhanush Kumar</t>
  </si>
  <si>
    <t xml:space="preserve">2026-10-12 14:13:22</t>
  </si>
  <si>
    <t xml:space="preserve">Esther Mary</t>
  </si>
  <si>
    <t xml:space="preserve">2026-10-12 14:14:54</t>
  </si>
  <si>
    <t xml:space="preserve">Fathima Banu</t>
  </si>
  <si>
    <t xml:space="preserve">2026-10-12 14:16:22</t>
  </si>
  <si>
    <t xml:space="preserve">Ganesh Babu</t>
  </si>
  <si>
    <t xml:space="preserve">2026-10-12 14:17:43</t>
  </si>
  <si>
    <t xml:space="preserve">Hemalatha S</t>
  </si>
  <si>
    <t xml:space="preserve">2026-10-12 14:19:36</t>
  </si>
  <si>
    <t xml:space="preserve">Imran Ahmed</t>
  </si>
  <si>
    <t xml:space="preserve">2026-10-12 14:21:14</t>
  </si>
  <si>
    <t xml:space="preserve">Jayasree K</t>
  </si>
  <si>
    <t xml:space="preserve">2026-10-12 14:22:18</t>
  </si>
  <si>
    <t xml:space="preserve">Kowsalya M</t>
  </si>
  <si>
    <t xml:space="preserve">2026-10-12 14:23:50</t>
  </si>
  <si>
    <t xml:space="preserve">Mohan Raj</t>
  </si>
  <si>
    <t xml:space="preserve">2026-10-12 14:25:06</t>
  </si>
  <si>
    <t xml:space="preserve">Nirmala Devi</t>
  </si>
  <si>
    <t xml:space="preserve">2026-10-12 14:26:14</t>
  </si>
  <si>
    <t xml:space="preserve">Pradeep Kumar</t>
  </si>
  <si>
    <t xml:space="preserve">2026-10-12 14:28:16</t>
  </si>
  <si>
    <t xml:space="preserve">Ragul S</t>
  </si>
  <si>
    <t xml:space="preserve">2026-10-12 14:29:58</t>
  </si>
  <si>
    <t xml:space="preserve">Saranya R</t>
  </si>
  <si>
    <t xml:space="preserve">2026-10-12 14:31:14</t>
  </si>
  <si>
    <t xml:space="preserve">Thilaga Devi</t>
  </si>
  <si>
    <t xml:space="preserve">2026-10-12 14:32:23</t>
  </si>
  <si>
    <t xml:space="preserve">Uma Maheshwari</t>
  </si>
  <si>
    <t xml:space="preserve">2026-10-12 14:33:48</t>
  </si>
  <si>
    <t xml:space="preserve">Vasanth Kumar</t>
  </si>
  <si>
    <t xml:space="preserve">2026-10-12 14:35:47</t>
  </si>
  <si>
    <t xml:space="preserve">Yogesh Raj</t>
  </si>
  <si>
    <t xml:space="preserve">2026-10-12 14:38:07</t>
  </si>
  <si>
    <t xml:space="preserve">Aarthi S</t>
  </si>
  <si>
    <t xml:space="preserve">2026-10-12 14:39:11</t>
  </si>
  <si>
    <t xml:space="preserve">Bhuvaneshwari M</t>
  </si>
  <si>
    <t xml:space="preserve">2026-10-12 14:40:43</t>
  </si>
  <si>
    <t xml:space="preserve">Christopher J</t>
  </si>
  <si>
    <t xml:space="preserve">2026-10-12 14:42:03</t>
  </si>
  <si>
    <t xml:space="preserve">Ajay Kumar</t>
  </si>
  <si>
    <t xml:space="preserve">12</t>
  </si>
  <si>
    <t xml:space="preserve">2026-10-12 14:44:33</t>
  </si>
  <si>
    <t xml:space="preserve">Bhargavi R</t>
  </si>
  <si>
    <t xml:space="preserve">2026-10-12 14:45:47</t>
  </si>
  <si>
    <t xml:space="preserve">Chandru M</t>
  </si>
  <si>
    <t xml:space="preserve">2026-10-12 14:47:57</t>
  </si>
  <si>
    <t xml:space="preserve">Dharshini S</t>
  </si>
  <si>
    <t xml:space="preserve">2026-10-12 14:50:23</t>
  </si>
  <si>
    <t xml:space="preserve">Eswaran K</t>
  </si>
  <si>
    <t xml:space="preserve">2026-10-12 14:51:39</t>
  </si>
  <si>
    <t xml:space="preserve">Gowtham Raj</t>
  </si>
  <si>
    <t xml:space="preserve">2026-10-12 14:53:24</t>
  </si>
  <si>
    <t xml:space="preserve">Hema Malini</t>
  </si>
  <si>
    <t xml:space="preserve">2026-10-12 14:55:03</t>
  </si>
  <si>
    <t xml:space="preserve">Iniya Priya</t>
  </si>
  <si>
    <t xml:space="preserve">2026-10-12 14:56:03</t>
  </si>
  <si>
    <t xml:space="preserve">Jeevitha R</t>
  </si>
  <si>
    <t xml:space="preserve">2026-10-12 14:57:39</t>
  </si>
  <si>
    <t xml:space="preserve">Kabilan S</t>
  </si>
  <si>
    <t xml:space="preserve">B. 1/2</t>
  </si>
  <si>
    <t xml:space="preserve">2026-10-12 14:59:38</t>
  </si>
  <si>
    <t xml:space="preserve">Mahalakshmi P</t>
  </si>
  <si>
    <t xml:space="preserve">2026-10-12 15:01:57</t>
  </si>
  <si>
    <t xml:space="preserve">Naveena K</t>
  </si>
  <si>
    <t xml:space="preserve">2026-10-12 15:03:40</t>
  </si>
  <si>
    <t xml:space="preserve">Pranesh Kumar</t>
  </si>
  <si>
    <t xml:space="preserve">2026-10-12 15:05:14</t>
  </si>
  <si>
    <t xml:space="preserve">Roshini Devi</t>
  </si>
  <si>
    <t xml:space="preserve">2026-10-12 15:07:18</t>
  </si>
  <si>
    <t xml:space="preserve">Sivakumar M</t>
  </si>
  <si>
    <t xml:space="preserve">2026-10-12 15:08:26</t>
  </si>
  <si>
    <t xml:space="preserve">Thenmozhi R</t>
  </si>
  <si>
    <t xml:space="preserve">2026-10-12 15:10:47</t>
  </si>
  <si>
    <t xml:space="preserve">Vigneshwaran S</t>
  </si>
  <si>
    <t xml:space="preserve">2026-10-12 15:12:32</t>
  </si>
  <si>
    <t xml:space="preserve">Yamuna Devi</t>
  </si>
  <si>
    <t xml:space="preserve">2026-10-12 15:14:16</t>
  </si>
  <si>
    <t xml:space="preserve">Aravind Raj</t>
  </si>
  <si>
    <t xml:space="preserve">2026-10-12 15:15:25</t>
  </si>
  <si>
    <t xml:space="preserve">Bhuvan K</t>
  </si>
  <si>
    <t xml:space="preserve">2026-10-12 15:16:59</t>
  </si>
  <si>
    <t xml:space="preserve">Deepan Kumar</t>
  </si>
  <si>
    <t xml:space="preserve">2026-10-12 15:18:17</t>
  </si>
  <si>
    <t xml:space="preserve">Gokila M</t>
  </si>
  <si>
    <t xml:space="preserve">2026-10-12 15:20:29</t>
  </si>
  <si>
    <t xml:space="preserve">Hari Prasad</t>
  </si>
  <si>
    <t xml:space="preserve">2026-10-12 15:22:42</t>
  </si>
  <si>
    <t xml:space="preserve">Ilakkiya S</t>
  </si>
  <si>
    <t xml:space="preserve">2026-10-12 15:25:01</t>
  </si>
  <si>
    <t xml:space="preserve">Karthikeyan R</t>
  </si>
  <si>
    <t xml:space="preserve">2026-10-12 15:26:03</t>
  </si>
  <si>
    <t xml:space="preserve">Mugilan S</t>
  </si>
  <si>
    <t xml:space="preserve">2026-10-12 15:28:15</t>
  </si>
  <si>
    <t xml:space="preserve">Nivetha K</t>
  </si>
  <si>
    <t xml:space="preserve">2026-10-12 15:29:49</t>
  </si>
  <si>
    <t xml:space="preserve">Pavithran M</t>
  </si>
  <si>
    <t xml:space="preserve">2026-10-12 15:31:22</t>
  </si>
  <si>
    <t xml:space="preserve">Ranjith Kumar</t>
  </si>
  <si>
    <t xml:space="preserve">2026-10-12 15:32:30</t>
  </si>
  <si>
    <t xml:space="preserve">Sowmiya R</t>
  </si>
  <si>
    <t xml:space="preserve">2026-10-12 15:33:32</t>
  </si>
  <si>
    <t xml:space="preserve">Tharshini M</t>
  </si>
  <si>
    <t xml:space="preserve">2026-10-12 15:35:10</t>
  </si>
  <si>
    <t xml:space="preserve">Vijayalakshmi S</t>
  </si>
  <si>
    <t xml:space="preserve">2026-10-12 15:37:39</t>
  </si>
  <si>
    <t xml:space="preserve">Yuvan Raj</t>
  </si>
  <si>
    <t xml:space="preserve">2026-10-12 15:38:55</t>
  </si>
  <si>
    <t xml:space="preserve">Abirami K</t>
  </si>
  <si>
    <t xml:space="preserve">2026-10-12 15:40:06</t>
  </si>
  <si>
    <t xml:space="preserve">Akilan M</t>
  </si>
  <si>
    <t xml:space="preserve">2026-10-12 15:41:19</t>
  </si>
  <si>
    <t xml:space="preserve">Bharath Raj</t>
  </si>
  <si>
    <t xml:space="preserve">2026-10-12 15:43:43</t>
  </si>
  <si>
    <t xml:space="preserve">Chandrika S</t>
  </si>
  <si>
    <t xml:space="preserve">2026-10-12 15:45:13</t>
  </si>
  <si>
    <t xml:space="preserve">Darshan Kumar</t>
  </si>
  <si>
    <t xml:space="preserve">2026-10-12 15:47:07</t>
  </si>
  <si>
    <t xml:space="preserve">Elango R</t>
  </si>
  <si>
    <t xml:space="preserve">2026-10-12 15:48:59</t>
  </si>
  <si>
    <t xml:space="preserve">Feroz Ahmed</t>
  </si>
  <si>
    <t xml:space="preserve">2026-10-12 15:51:28</t>
  </si>
  <si>
    <t xml:space="preserve">Gireesh K</t>
  </si>
  <si>
    <t xml:space="preserve">2026-10-12 15:52:53</t>
  </si>
  <si>
    <t xml:space="preserve">Harini S</t>
  </si>
  <si>
    <t xml:space="preserve">2026-10-12 15:54:01</t>
  </si>
  <si>
    <t xml:space="preserve">Inbaraj M</t>
  </si>
  <si>
    <t xml:space="preserve">2026-10-12 15:55:54</t>
  </si>
  <si>
    <t xml:space="preserve">Jeeva Kumar</t>
  </si>
  <si>
    <t xml:space="preserve">2026-10-12 15:57:26</t>
  </si>
  <si>
    <t xml:space="preserve">Kishore Raj</t>
  </si>
  <si>
    <t xml:space="preserve">2026-10-12 15:59:29</t>
  </si>
  <si>
    <t xml:space="preserve">Lalitha Devi</t>
  </si>
  <si>
    <t xml:space="preserve">2026-10-12 16:01:22</t>
  </si>
  <si>
    <t xml:space="preserve">Magesh Kumar</t>
  </si>
  <si>
    <t xml:space="preserve">2026-10-12 16:03:42</t>
  </si>
  <si>
    <t xml:space="preserve">Nithish R</t>
  </si>
  <si>
    <t xml:space="preserve">2026-10-12 16:05:19</t>
  </si>
  <si>
    <t xml:space="preserve">Prakash M</t>
  </si>
  <si>
    <t xml:space="preserve">2026-10-12 16:06:57</t>
  </si>
  <si>
    <t xml:space="preserve">Ragul Raj</t>
  </si>
  <si>
    <t xml:space="preserve">2026-10-12 16:08:14</t>
  </si>
  <si>
    <t xml:space="preserve">Sanjay R</t>
  </si>
  <si>
    <t xml:space="preserve">2026-10-12 16:09:41</t>
  </si>
  <si>
    <t xml:space="preserve">Thivya S</t>
  </si>
  <si>
    <t xml:space="preserve">2026-10-12 16:11:39</t>
  </si>
  <si>
    <t xml:space="preserve">Vimal Kumar</t>
  </si>
  <si>
    <t xml:space="preserve">2026-10-12 16:14:09</t>
  </si>
  <si>
    <t xml:space="preserve">Yogalakshmi M</t>
  </si>
  <si>
    <t xml:space="preserve">2026-10-12 16:15:45</t>
  </si>
  <si>
    <t xml:space="preserve">Ahamed Sheriff</t>
  </si>
  <si>
    <t xml:space="preserve">2026-10-12 16:18:14</t>
  </si>
  <si>
    <t xml:space="preserve">Brindha R</t>
  </si>
  <si>
    <t xml:space="preserve">2026-10-12 16:20:35</t>
  </si>
  <si>
    <t xml:space="preserve">Chellapandian M</t>
  </si>
  <si>
    <t xml:space="preserve">2026-10-12 16:21:54</t>
  </si>
  <si>
    <t xml:space="preserve">Dinesh Raj</t>
  </si>
  <si>
    <t xml:space="preserve">2026-10-12 16:24:21</t>
  </si>
  <si>
    <t xml:space="preserve">Ezhil Arasan</t>
  </si>
  <si>
    <t xml:space="preserve">2026-10-12 16:26:36</t>
  </si>
  <si>
    <t xml:space="preserve">Gnanavel S</t>
  </si>
  <si>
    <t xml:space="preserve">2026-10-12 16:27:37</t>
  </si>
  <si>
    <t xml:space="preserve">Haris Kumar</t>
  </si>
  <si>
    <t xml:space="preserve">2026-10-12 16:29:27</t>
  </si>
  <si>
    <t xml:space="preserve">Jeevanandham R</t>
  </si>
  <si>
    <t xml:space="preserve">2026-10-12 16:31:25</t>
  </si>
  <si>
    <t xml:space="preserve">Karthika M</t>
  </si>
  <si>
    <t xml:space="preserve">2026-10-12 16:33:50</t>
  </si>
  <si>
    <t xml:space="preserve">Lokesh Kumar</t>
  </si>
  <si>
    <t xml:space="preserve">2026-10-12 16:35:26</t>
  </si>
  <si>
    <t xml:space="preserve">Muralidharan S</t>
  </si>
  <si>
    <t xml:space="preserve">2026-10-12 16:37:56</t>
  </si>
  <si>
    <t xml:space="preserve">Nandha Kumar</t>
  </si>
  <si>
    <t xml:space="preserve">2026-10-12 16:39:20</t>
  </si>
  <si>
    <t xml:space="preserve">Parthiban R</t>
  </si>
  <si>
    <t xml:space="preserve">2026-10-12 16:41:27</t>
  </si>
  <si>
    <t xml:space="preserve">Ramesh Babu</t>
  </si>
  <si>
    <t xml:space="preserve">2026-10-12 16:43:57</t>
  </si>
  <si>
    <t xml:space="preserve">Srinath M</t>
  </si>
  <si>
    <t xml:space="preserve">2026-10-12 16:45:46</t>
  </si>
  <si>
    <t xml:space="preserve">Thirumalai K</t>
  </si>
  <si>
    <t xml:space="preserve">2026-10-12 16:48:12</t>
  </si>
  <si>
    <t xml:space="preserve">Vetrivel S</t>
  </si>
  <si>
    <t xml:space="preserve">2026-10-12 16:50:38</t>
  </si>
  <si>
    <t xml:space="preserve">Yaswanth Raj</t>
  </si>
  <si>
    <t xml:space="preserve">2026-10-12 16:51:48</t>
  </si>
  <si>
    <t xml:space="preserve">Anbarasan M</t>
  </si>
  <si>
    <t xml:space="preserve">2026-10-12 16:53:16</t>
  </si>
  <si>
    <t xml:space="preserve">Balamurali K</t>
  </si>
  <si>
    <t xml:space="preserve">2026-10-12 16:54:41</t>
  </si>
  <si>
    <t xml:space="preserve">Dilip Kumar</t>
  </si>
  <si>
    <t xml:space="preserve">2026-10-12 16:55:55</t>
  </si>
  <si>
    <t xml:space="preserve">Gowri Shankar</t>
  </si>
  <si>
    <t xml:space="preserve">2026-10-12 16:57:26</t>
  </si>
  <si>
    <t xml:space="preserve">Kumaran S</t>
  </si>
  <si>
    <t xml:space="preserve">2026-10-12 16:58:54</t>
  </si>
  <si>
    <t xml:space="preserve">Mohanapriya R</t>
  </si>
  <si>
    <t xml:space="preserve">2026-10-12 16:59:57</t>
  </si>
  <si>
    <t xml:space="preserve">Naren Kumar</t>
  </si>
  <si>
    <t xml:space="preserve">2026-10-12 17:01:10</t>
  </si>
  <si>
    <t xml:space="preserve">Suresh Babu</t>
  </si>
  <si>
    <t xml:space="preserve">2026-10-12 17:02:37</t>
  </si>
  <si>
    <t xml:space="preserve">Vishnu Priya</t>
  </si>
  <si>
    <t xml:space="preserve">2026-10-12 17:03:40</t>
  </si>
  <si>
    <t xml:space="preserve">Anitha R</t>
  </si>
  <si>
    <t xml:space="preserve">2026-10-12 17:05:39</t>
  </si>
  <si>
    <t xml:space="preserve">Balaji Kumar</t>
  </si>
  <si>
    <t xml:space="preserve">2026-10-12 17:07:39</t>
  </si>
  <si>
    <t xml:space="preserve">Chandran S</t>
  </si>
  <si>
    <t xml:space="preserve">2026-10-12 17:09:26</t>
  </si>
  <si>
    <t xml:space="preserve">Devi Priya</t>
  </si>
  <si>
    <t xml:space="preserve">2026-10-12 17:11:39</t>
  </si>
  <si>
    <t xml:space="preserve">Elavarasan M</t>
  </si>
  <si>
    <t xml:space="preserve">2026-10-12 17:13:54</t>
  </si>
  <si>
    <t xml:space="preserve">Fathima R</t>
  </si>
  <si>
    <t xml:space="preserve">2026-10-12 17:16:06</t>
  </si>
  <si>
    <t xml:space="preserve">Gokul Raj</t>
  </si>
  <si>
    <t xml:space="preserve">2026-10-12 17:17:37</t>
  </si>
  <si>
    <t xml:space="preserve">Indirani S</t>
  </si>
  <si>
    <t xml:space="preserve">2026-10-12 17:18:50</t>
  </si>
  <si>
    <t xml:space="preserve">Jeevitha M</t>
  </si>
  <si>
    <t xml:space="preserve">2026-10-12 17:20:07</t>
  </si>
  <si>
    <t xml:space="preserve">Kamal Hassan</t>
  </si>
  <si>
    <t xml:space="preserve">2026-10-12 17:21:24</t>
  </si>
  <si>
    <t xml:space="preserve">Malathi Devi</t>
  </si>
  <si>
    <t xml:space="preserve">2026-10-12 17:22:28</t>
  </si>
  <si>
    <t xml:space="preserve">Naveen Kumar</t>
  </si>
  <si>
    <t xml:space="preserve">2026-10-12 17:23:55</t>
  </si>
  <si>
    <t xml:space="preserve">Parameswari R</t>
  </si>
  <si>
    <t xml:space="preserve">2026-10-12 17:25:24</t>
  </si>
  <si>
    <t xml:space="preserve">Rajesh Kumar</t>
  </si>
  <si>
    <t xml:space="preserve">2026-10-12 17:26:45</t>
  </si>
  <si>
    <t xml:space="preserve">Shalini S</t>
  </si>
  <si>
    <t xml:space="preserve">2026-10-12 17:28:00</t>
  </si>
  <si>
    <t xml:space="preserve">Thangavel M</t>
  </si>
  <si>
    <t xml:space="preserve">2026-10-12 17:30:23</t>
  </si>
  <si>
    <t xml:space="preserve">Udhaya Kumar</t>
  </si>
  <si>
    <t xml:space="preserve">2026-10-12 17:31:40</t>
  </si>
  <si>
    <t xml:space="preserve">Vidhya Lakshmi</t>
  </si>
  <si>
    <t xml:space="preserve">2026-10-12 17:33:11</t>
  </si>
  <si>
    <t xml:space="preserve">Arun Prasad</t>
  </si>
  <si>
    <t xml:space="preserve">2026-10-12 17:34:50</t>
  </si>
  <si>
    <t xml:space="preserve">Banu Priya</t>
  </si>
  <si>
    <t xml:space="preserve">2026-10-12 17:37:09</t>
  </si>
  <si>
    <t xml:space="preserve">Dhanalakshmi S</t>
  </si>
  <si>
    <t xml:space="preserve">2026-10-12 17:39:32</t>
  </si>
  <si>
    <t xml:space="preserve">Kavinraj M</t>
  </si>
  <si>
    <t xml:space="preserve">2026-10-12 17:41:19</t>
  </si>
  <si>
    <t xml:space="preserve">Muthu Kumar</t>
  </si>
  <si>
    <t xml:space="preserve">2026-10-12 17:43:38</t>
  </si>
  <si>
    <t xml:space="preserve">Revathi R</t>
  </si>
  <si>
    <t xml:space="preserve">Total Questions</t>
  </si>
  <si>
    <t xml:space="preserve">Total Time (sec)</t>
  </si>
  <si>
    <t xml:space="preserve">Total Correct</t>
  </si>
  <si>
    <t xml:space="preserve">Total Wrong</t>
  </si>
  <si>
    <t xml:space="preserve">Number of Students</t>
  </si>
  <si>
    <t xml:space="preserve">Class XI</t>
  </si>
  <si>
    <t xml:space="preserve">Class XII</t>
  </si>
  <si>
    <t xml:space="preserve">Total Students</t>
  </si>
  <si>
    <t xml:space="preserve">Setting</t>
  </si>
  <si>
    <t xml:space="preserve">Value</t>
  </si>
  <si>
    <t xml:space="preserve">Minimum Time Factor (time-decay floor)</t>
  </si>
  <si>
    <t xml:space="preserve">Revise to Low if question success rate &gt;=</t>
  </si>
  <si>
    <t xml:space="preserve">Revise to Medium if question success rate &gt;=</t>
  </si>
  <si>
    <t xml:space="preserve">Gold if Total Reward &gt;= (fraction of max reward)</t>
  </si>
  <si>
    <t xml:space="preserve">Silver if Total Reward &gt;= (fraction of max reward)</t>
  </si>
  <si>
    <t xml:space="preserve">Maximum Possible Reward (sum of revised weights)</t>
  </si>
  <si>
    <t xml:space="preserve">Gold Reward Threshold</t>
  </si>
  <si>
    <t xml:space="preserve">Silver Reward Threshold</t>
  </si>
  <si>
    <t xml:space="preserve">Reward Weight</t>
  </si>
  <si>
    <t xml:space="preserve">Reference Time (s)</t>
  </si>
  <si>
    <t xml:space="preserve">Original Difficulty</t>
  </si>
  <si>
    <t xml:space="preserve">Success Rate</t>
  </si>
  <si>
    <t xml:space="preserve">Original Weight</t>
  </si>
  <si>
    <t xml:space="preserve">Revised Weight</t>
  </si>
  <si>
    <t xml:space="preserve">Assumptions: blue cells are inputs. Reward per correct answer = difficulty weight x time factor; wrong answers earn 0. Initial reward uses the original difficulty; recalibrated reward uses the revised difficulty (from the question success rate across all students). Medal depends only on Total Reward.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</si>
</sst>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General"/>
    <numFmt numFmtId="167" formatCode="0.00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4" activeCellId="0" sqref="B104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5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21" min="12" style="0" width="24"/>
    <col collapsed="false" customWidth="true" hidden="false" outlineLevel="0" max="28" min="2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n">
        <v>1</v>
      </c>
      <c r="F2" s="0" t="s">
        <v>32</v>
      </c>
      <c r="G2" s="0" t="s">
        <v>33</v>
      </c>
      <c r="H2" s="0" t="s">
        <v>33</v>
      </c>
      <c r="I2" s="0" t="s">
        <v>34</v>
      </c>
      <c r="J2" s="0" t="n">
        <v>1.34</v>
      </c>
      <c r="K2" s="0" t="s">
        <v>35</v>
      </c>
      <c r="L2" s="0" t="n">
        <f aca="false">INDEX(Summary!$F$2:$F$201,MATCH($B2,Summary!$A$2:$A$201,0))</f>
        <v>20</v>
      </c>
      <c r="M2" s="0" t="n">
        <f aca="false">INDEX(Summary!$I$2:$I$201,MATCH($B2,Summary!$A$2:$A$201,0))</f>
        <v>2</v>
      </c>
      <c r="N2" s="0" t="n">
        <f aca="false">INDEX(Summary!$J$2:$J$201,MATCH($B2,Summary!$A$2:$A$201,0))</f>
        <v>3</v>
      </c>
      <c r="O2" s="2" t="n">
        <f aca="false">INDEX(Summary!$K$2:$K$201,MATCH($B2,Summary!$A$2:$A$201,0))</f>
        <v>11.14</v>
      </c>
      <c r="P2" s="3" t="n">
        <f aca="false">INDEX(Summary!$L$2:$L$201,MATCH($B2,Summary!$A$2:$A$201,0))</f>
        <v>5</v>
      </c>
      <c r="Q2" s="3" t="n">
        <f aca="false">INDEX(Summary!$M$2:$M$201,MATCH($B2,Summary!$A$2:$A$201,0))</f>
        <v>1</v>
      </c>
      <c r="R2" s="2" t="n">
        <f aca="false">INDEX(Summary!$N$2:$N$201,MATCH($B2,Summary!$A$2:$A$201,0))</f>
        <v>9.93</v>
      </c>
      <c r="S2" s="3" t="n">
        <f aca="false">INDEX(Summary!$O$2:$O$201,MATCH($B2,Summary!$A$2:$A$201,0))</f>
        <v>4</v>
      </c>
      <c r="T2" s="3" t="n">
        <f aca="false">INDEX(Summary!$P$2:$P$201,MATCH($B2,Summary!$A$2:$A$201,0))</f>
        <v>5</v>
      </c>
      <c r="U2" s="2" t="n">
        <f aca="false">INDEX(Summary!$Q$2:$Q$201,MATCH($B2,Summary!$A$2:$A$201,0))</f>
        <v>13.41</v>
      </c>
      <c r="V2" s="2" t="n">
        <f aca="false">INDEX(Summary!$R$2:$R$201,MATCH($B2,Summary!$A$2:$A$201,0))</f>
        <v>21</v>
      </c>
      <c r="W2" s="0" t="str">
        <f aca="false">INDEX(Summary!$S$2:$S$201,MATCH($B2,Summary!$A$2:$A$201,0))</f>
        <v>Silver</v>
      </c>
      <c r="X2" s="2" t="n">
        <f aca="false">INDEX(Summary!$T$2:$T$201,MATCH($B2,Summary!$A$2:$A$201,0))</f>
        <v>51.22</v>
      </c>
      <c r="Y2" s="0" t="str">
        <f aca="false">INDEX('Reward Model'!$E$18:$E$37,MATCH($E2,'Reward Model'!$A$18:$A$37,0))</f>
        <v>Medium</v>
      </c>
      <c r="Z2" s="4" t="n">
        <f aca="false">ROUND(MIN(1,MAX('Reward Model'!$B$2,INDEX('Reward Model'!$C$12:$C$14,MATCH($K2,'Reward Model'!$A$12:$A$14,0))/$J2)),3)</f>
        <v>1</v>
      </c>
      <c r="AA2" s="2" t="n">
        <f aca="false">IF($I2="Correct",ROUND(INDEX('Reward Model'!$B$12:$B$14,MATCH($K2,'Reward Model'!$A$12:$A$14,0))*Z2,2),0)</f>
        <v>1</v>
      </c>
      <c r="AB2" s="2" t="n">
        <f aca="false">IF($I2="Correct",ROUND(INDEX('Reward Model'!$B$12:$B$14,MATCH($Y2,'Reward Model'!$A$12:$A$14,0))*Z2,2),0)</f>
        <v>2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n">
        <v>2</v>
      </c>
      <c r="F3" s="0" t="s">
        <v>36</v>
      </c>
      <c r="G3" s="0" t="s">
        <v>37</v>
      </c>
      <c r="H3" s="0" t="s">
        <v>38</v>
      </c>
      <c r="I3" s="0" t="s">
        <v>39</v>
      </c>
      <c r="J3" s="0" t="n">
        <v>1.98</v>
      </c>
      <c r="K3" s="0" t="s">
        <v>35</v>
      </c>
      <c r="L3" s="0" t="n">
        <f aca="false">INDEX(Summary!$F$2:$F$201,MATCH($B3,Summary!$A$2:$A$201,0))</f>
        <v>20</v>
      </c>
      <c r="M3" s="0" t="n">
        <f aca="false">INDEX(Summary!$I$2:$I$201,MATCH($B3,Summary!$A$2:$A$201,0))</f>
        <v>2</v>
      </c>
      <c r="N3" s="0" t="n">
        <f aca="false">INDEX(Summary!$J$2:$J$201,MATCH($B3,Summary!$A$2:$A$201,0))</f>
        <v>3</v>
      </c>
      <c r="O3" s="2" t="n">
        <f aca="false">INDEX(Summary!$K$2:$K$201,MATCH($B3,Summary!$A$2:$A$201,0))</f>
        <v>11.14</v>
      </c>
      <c r="P3" s="3" t="n">
        <f aca="false">INDEX(Summary!$L$2:$L$201,MATCH($B3,Summary!$A$2:$A$201,0))</f>
        <v>5</v>
      </c>
      <c r="Q3" s="3" t="n">
        <f aca="false">INDEX(Summary!$M$2:$M$201,MATCH($B3,Summary!$A$2:$A$201,0))</f>
        <v>1</v>
      </c>
      <c r="R3" s="2" t="n">
        <f aca="false">INDEX(Summary!$N$2:$N$201,MATCH($B3,Summary!$A$2:$A$201,0))</f>
        <v>9.93</v>
      </c>
      <c r="S3" s="3" t="n">
        <f aca="false">INDEX(Summary!$O$2:$O$201,MATCH($B3,Summary!$A$2:$A$201,0))</f>
        <v>4</v>
      </c>
      <c r="T3" s="3" t="n">
        <f aca="false">INDEX(Summary!$P$2:$P$201,MATCH($B3,Summary!$A$2:$A$201,0))</f>
        <v>5</v>
      </c>
      <c r="U3" s="2" t="n">
        <f aca="false">INDEX(Summary!$Q$2:$Q$201,MATCH($B3,Summary!$A$2:$A$201,0))</f>
        <v>13.41</v>
      </c>
      <c r="V3" s="2" t="n">
        <f aca="false">INDEX(Summary!$R$2:$R$201,MATCH($B3,Summary!$A$2:$A$201,0))</f>
        <v>21</v>
      </c>
      <c r="W3" s="0" t="str">
        <f aca="false">INDEX(Summary!$S$2:$S$201,MATCH($B3,Summary!$A$2:$A$201,0))</f>
        <v>Silver</v>
      </c>
      <c r="X3" s="2" t="n">
        <f aca="false">INDEX(Summary!$T$2:$T$201,MATCH($B3,Summary!$A$2:$A$201,0))</f>
        <v>51.22</v>
      </c>
      <c r="Y3" s="0" t="str">
        <f aca="false">INDEX('Reward Model'!$E$18:$E$37,MATCH($E3,'Reward Model'!$A$18:$A$37,0))</f>
        <v>Low</v>
      </c>
      <c r="Z3" s="4" t="n">
        <f aca="false">ROUND(MIN(1,MAX('Reward Model'!$B$2,INDEX('Reward Model'!$C$12:$C$14,MATCH($K3,'Reward Model'!$A$12:$A$14,0))/$J3)),3)</f>
        <v>0.758</v>
      </c>
      <c r="AA3" s="2" t="n">
        <f aca="false">IF($I3="Correct",ROUND(INDEX('Reward Model'!$B$12:$B$14,MATCH($K3,'Reward Model'!$A$12:$A$14,0))*Z3,2),0)</f>
        <v>0</v>
      </c>
      <c r="AB3" s="2" t="n">
        <f aca="false">IF($I3="Correct",ROUND(INDEX('Reward Model'!$B$12:$B$14,MATCH($Y3,'Reward Model'!$A$12:$A$14,0))*Z3,2),0)</f>
        <v>0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n">
        <v>3</v>
      </c>
      <c r="F4" s="0" t="s">
        <v>40</v>
      </c>
      <c r="G4" s="0" t="s">
        <v>41</v>
      </c>
      <c r="H4" s="0" t="s">
        <v>42</v>
      </c>
      <c r="I4" s="0" t="s">
        <v>39</v>
      </c>
      <c r="J4" s="0" t="n">
        <v>1.79</v>
      </c>
      <c r="K4" s="0" t="s">
        <v>35</v>
      </c>
      <c r="L4" s="0" t="n">
        <f aca="false">INDEX(Summary!$F$2:$F$201,MATCH($B4,Summary!$A$2:$A$201,0))</f>
        <v>20</v>
      </c>
      <c r="M4" s="0" t="n">
        <f aca="false">INDEX(Summary!$I$2:$I$201,MATCH($B4,Summary!$A$2:$A$201,0))</f>
        <v>2</v>
      </c>
      <c r="N4" s="0" t="n">
        <f aca="false">INDEX(Summary!$J$2:$J$201,MATCH($B4,Summary!$A$2:$A$201,0))</f>
        <v>3</v>
      </c>
      <c r="O4" s="2" t="n">
        <f aca="false">INDEX(Summary!$K$2:$K$201,MATCH($B4,Summary!$A$2:$A$201,0))</f>
        <v>11.14</v>
      </c>
      <c r="P4" s="3" t="n">
        <f aca="false">INDEX(Summary!$L$2:$L$201,MATCH($B4,Summary!$A$2:$A$201,0))</f>
        <v>5</v>
      </c>
      <c r="Q4" s="3" t="n">
        <f aca="false">INDEX(Summary!$M$2:$M$201,MATCH($B4,Summary!$A$2:$A$201,0))</f>
        <v>1</v>
      </c>
      <c r="R4" s="2" t="n">
        <f aca="false">INDEX(Summary!$N$2:$N$201,MATCH($B4,Summary!$A$2:$A$201,0))</f>
        <v>9.93</v>
      </c>
      <c r="S4" s="3" t="n">
        <f aca="false">INDEX(Summary!$O$2:$O$201,MATCH($B4,Summary!$A$2:$A$201,0))</f>
        <v>4</v>
      </c>
      <c r="T4" s="3" t="n">
        <f aca="false">INDEX(Summary!$P$2:$P$201,MATCH($B4,Summary!$A$2:$A$201,0))</f>
        <v>5</v>
      </c>
      <c r="U4" s="2" t="n">
        <f aca="false">INDEX(Summary!$Q$2:$Q$201,MATCH($B4,Summary!$A$2:$A$201,0))</f>
        <v>13.41</v>
      </c>
      <c r="V4" s="2" t="n">
        <f aca="false">INDEX(Summary!$R$2:$R$201,MATCH($B4,Summary!$A$2:$A$201,0))</f>
        <v>21</v>
      </c>
      <c r="W4" s="0" t="str">
        <f aca="false">INDEX(Summary!$S$2:$S$201,MATCH($B4,Summary!$A$2:$A$201,0))</f>
        <v>Silver</v>
      </c>
      <c r="X4" s="2" t="n">
        <f aca="false">INDEX(Summary!$T$2:$T$201,MATCH($B4,Summary!$A$2:$A$201,0))</f>
        <v>51.22</v>
      </c>
      <c r="Y4" s="0" t="str">
        <f aca="false">INDEX('Reward Model'!$E$18:$E$37,MATCH($E4,'Reward Model'!$A$18:$A$37,0))</f>
        <v>Medium</v>
      </c>
      <c r="Z4" s="4" t="n">
        <f aca="false">ROUND(MIN(1,MAX('Reward Model'!$B$2,INDEX('Reward Model'!$C$12:$C$14,MATCH($K4,'Reward Model'!$A$12:$A$14,0))/$J4)),3)</f>
        <v>0.838</v>
      </c>
      <c r="AA4" s="2" t="n">
        <f aca="false">IF($I4="Correct",ROUND(INDEX('Reward Model'!$B$12:$B$14,MATCH($K4,'Reward Model'!$A$12:$A$14,0))*Z4,2),0)</f>
        <v>0</v>
      </c>
      <c r="AB4" s="2" t="n">
        <f aca="false">IF($I4="Correct",ROUND(INDEX('Reward Model'!$B$12:$B$14,MATCH($Y4,'Reward Model'!$A$12:$A$14,0))*Z4,2),0)</f>
        <v>0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n">
        <v>4</v>
      </c>
      <c r="F5" s="0" t="s">
        <v>43</v>
      </c>
      <c r="G5" s="0" t="s">
        <v>44</v>
      </c>
      <c r="H5" s="0" t="s">
        <v>45</v>
      </c>
      <c r="I5" s="0" t="s">
        <v>39</v>
      </c>
      <c r="J5" s="0" t="n">
        <v>1.46</v>
      </c>
      <c r="K5" s="0" t="s">
        <v>35</v>
      </c>
      <c r="L5" s="0" t="n">
        <f aca="false">INDEX(Summary!$F$2:$F$201,MATCH($B5,Summary!$A$2:$A$201,0))</f>
        <v>20</v>
      </c>
      <c r="M5" s="0" t="n">
        <f aca="false">INDEX(Summary!$I$2:$I$201,MATCH($B5,Summary!$A$2:$A$201,0))</f>
        <v>2</v>
      </c>
      <c r="N5" s="0" t="n">
        <f aca="false">INDEX(Summary!$J$2:$J$201,MATCH($B5,Summary!$A$2:$A$201,0))</f>
        <v>3</v>
      </c>
      <c r="O5" s="2" t="n">
        <f aca="false">INDEX(Summary!$K$2:$K$201,MATCH($B5,Summary!$A$2:$A$201,0))</f>
        <v>11.14</v>
      </c>
      <c r="P5" s="3" t="n">
        <f aca="false">INDEX(Summary!$L$2:$L$201,MATCH($B5,Summary!$A$2:$A$201,0))</f>
        <v>5</v>
      </c>
      <c r="Q5" s="3" t="n">
        <f aca="false">INDEX(Summary!$M$2:$M$201,MATCH($B5,Summary!$A$2:$A$201,0))</f>
        <v>1</v>
      </c>
      <c r="R5" s="2" t="n">
        <f aca="false">INDEX(Summary!$N$2:$N$201,MATCH($B5,Summary!$A$2:$A$201,0))</f>
        <v>9.93</v>
      </c>
      <c r="S5" s="3" t="n">
        <f aca="false">INDEX(Summary!$O$2:$O$201,MATCH($B5,Summary!$A$2:$A$201,0))</f>
        <v>4</v>
      </c>
      <c r="T5" s="3" t="n">
        <f aca="false">INDEX(Summary!$P$2:$P$201,MATCH($B5,Summary!$A$2:$A$201,0))</f>
        <v>5</v>
      </c>
      <c r="U5" s="2" t="n">
        <f aca="false">INDEX(Summary!$Q$2:$Q$201,MATCH($B5,Summary!$A$2:$A$201,0))</f>
        <v>13.41</v>
      </c>
      <c r="V5" s="2" t="n">
        <f aca="false">INDEX(Summary!$R$2:$R$201,MATCH($B5,Summary!$A$2:$A$201,0))</f>
        <v>21</v>
      </c>
      <c r="W5" s="0" t="str">
        <f aca="false">INDEX(Summary!$S$2:$S$201,MATCH($B5,Summary!$A$2:$A$201,0))</f>
        <v>Silver</v>
      </c>
      <c r="X5" s="2" t="n">
        <f aca="false">INDEX(Summary!$T$2:$T$201,MATCH($B5,Summary!$A$2:$A$201,0))</f>
        <v>51.22</v>
      </c>
      <c r="Y5" s="0" t="str">
        <f aca="false">INDEX('Reward Model'!$E$18:$E$37,MATCH($E5,'Reward Model'!$A$18:$A$37,0))</f>
        <v>Low</v>
      </c>
      <c r="Z5" s="4" t="n">
        <f aca="false">ROUND(MIN(1,MAX('Reward Model'!$B$2,INDEX('Reward Model'!$C$12:$C$14,MATCH($K5,'Reward Model'!$A$12:$A$14,0))/$J5)),3)</f>
        <v>1</v>
      </c>
      <c r="AA5" s="2" t="n">
        <f aca="false">IF($I5="Correct",ROUND(INDEX('Reward Model'!$B$12:$B$14,MATCH($K5,'Reward Model'!$A$12:$A$14,0))*Z5,2),0)</f>
        <v>0</v>
      </c>
      <c r="AB5" s="2" t="n">
        <f aca="false">IF($I5="Correct",ROUND(INDEX('Reward Model'!$B$12:$B$14,MATCH($Y5,'Reward Model'!$A$12:$A$14,0))*Z5,2),0)</f>
        <v>0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30</v>
      </c>
      <c r="D6" s="0" t="s">
        <v>31</v>
      </c>
      <c r="E6" s="0" t="n">
        <v>5</v>
      </c>
      <c r="F6" s="0" t="s">
        <v>46</v>
      </c>
      <c r="G6" s="0" t="s">
        <v>47</v>
      </c>
      <c r="H6" s="0" t="s">
        <v>47</v>
      </c>
      <c r="I6" s="0" t="s">
        <v>34</v>
      </c>
      <c r="J6" s="0" t="n">
        <v>0.98</v>
      </c>
      <c r="K6" s="0" t="s">
        <v>35</v>
      </c>
      <c r="L6" s="0" t="n">
        <f aca="false">INDEX(Summary!$F$2:$F$201,MATCH($B6,Summary!$A$2:$A$201,0))</f>
        <v>20</v>
      </c>
      <c r="M6" s="0" t="n">
        <f aca="false">INDEX(Summary!$I$2:$I$201,MATCH($B6,Summary!$A$2:$A$201,0))</f>
        <v>2</v>
      </c>
      <c r="N6" s="0" t="n">
        <f aca="false">INDEX(Summary!$J$2:$J$201,MATCH($B6,Summary!$A$2:$A$201,0))</f>
        <v>3</v>
      </c>
      <c r="O6" s="2" t="n">
        <f aca="false">INDEX(Summary!$K$2:$K$201,MATCH($B6,Summary!$A$2:$A$201,0))</f>
        <v>11.14</v>
      </c>
      <c r="P6" s="3" t="n">
        <f aca="false">INDEX(Summary!$L$2:$L$201,MATCH($B6,Summary!$A$2:$A$201,0))</f>
        <v>5</v>
      </c>
      <c r="Q6" s="3" t="n">
        <f aca="false">INDEX(Summary!$M$2:$M$201,MATCH($B6,Summary!$A$2:$A$201,0))</f>
        <v>1</v>
      </c>
      <c r="R6" s="2" t="n">
        <f aca="false">INDEX(Summary!$N$2:$N$201,MATCH($B6,Summary!$A$2:$A$201,0))</f>
        <v>9.93</v>
      </c>
      <c r="S6" s="3" t="n">
        <f aca="false">INDEX(Summary!$O$2:$O$201,MATCH($B6,Summary!$A$2:$A$201,0))</f>
        <v>4</v>
      </c>
      <c r="T6" s="3" t="n">
        <f aca="false">INDEX(Summary!$P$2:$P$201,MATCH($B6,Summary!$A$2:$A$201,0))</f>
        <v>5</v>
      </c>
      <c r="U6" s="2" t="n">
        <f aca="false">INDEX(Summary!$Q$2:$Q$201,MATCH($B6,Summary!$A$2:$A$201,0))</f>
        <v>13.41</v>
      </c>
      <c r="V6" s="2" t="n">
        <f aca="false">INDEX(Summary!$R$2:$R$201,MATCH($B6,Summary!$A$2:$A$201,0))</f>
        <v>21</v>
      </c>
      <c r="W6" s="0" t="str">
        <f aca="false">INDEX(Summary!$S$2:$S$201,MATCH($B6,Summary!$A$2:$A$201,0))</f>
        <v>Silver</v>
      </c>
      <c r="X6" s="2" t="n">
        <f aca="false">INDEX(Summary!$T$2:$T$201,MATCH($B6,Summary!$A$2:$A$201,0))</f>
        <v>51.22</v>
      </c>
      <c r="Y6" s="0" t="str">
        <f aca="false">INDEX('Reward Model'!$E$18:$E$37,MATCH($E6,'Reward Model'!$A$18:$A$37,0))</f>
        <v>Low</v>
      </c>
      <c r="Z6" s="4" t="n">
        <f aca="false">ROUND(MIN(1,MAX('Reward Model'!$B$2,INDEX('Reward Model'!$C$12:$C$14,MATCH($K6,'Reward Model'!$A$12:$A$14,0))/$J6)),3)</f>
        <v>1</v>
      </c>
      <c r="AA6" s="2" t="n">
        <f aca="false">IF($I6="Correct",ROUND(INDEX('Reward Model'!$B$12:$B$14,MATCH($K6,'Reward Model'!$A$12:$A$14,0))*Z6,2),0)</f>
        <v>1</v>
      </c>
      <c r="AB6" s="2" t="n">
        <f aca="false">IF($I6="Correct",ROUND(INDEX('Reward Model'!$B$12:$B$14,MATCH($Y6,'Reward Model'!$A$12:$A$14,0))*Z6,2),0)</f>
        <v>1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30</v>
      </c>
      <c r="D7" s="0" t="s">
        <v>31</v>
      </c>
      <c r="E7" s="0" t="n">
        <v>6</v>
      </c>
      <c r="F7" s="0" t="s">
        <v>48</v>
      </c>
      <c r="G7" s="0" t="s">
        <v>49</v>
      </c>
      <c r="H7" s="0" t="s">
        <v>49</v>
      </c>
      <c r="I7" s="0" t="s">
        <v>34</v>
      </c>
      <c r="J7" s="0" t="n">
        <v>1.27</v>
      </c>
      <c r="K7" s="0" t="s">
        <v>35</v>
      </c>
      <c r="L7" s="0" t="n">
        <f aca="false">INDEX(Summary!$F$2:$F$201,MATCH($B7,Summary!$A$2:$A$201,0))</f>
        <v>20</v>
      </c>
      <c r="M7" s="0" t="n">
        <f aca="false">INDEX(Summary!$I$2:$I$201,MATCH($B7,Summary!$A$2:$A$201,0))</f>
        <v>2</v>
      </c>
      <c r="N7" s="0" t="n">
        <f aca="false">INDEX(Summary!$J$2:$J$201,MATCH($B7,Summary!$A$2:$A$201,0))</f>
        <v>3</v>
      </c>
      <c r="O7" s="2" t="n">
        <f aca="false">INDEX(Summary!$K$2:$K$201,MATCH($B7,Summary!$A$2:$A$201,0))</f>
        <v>11.14</v>
      </c>
      <c r="P7" s="3" t="n">
        <f aca="false">INDEX(Summary!$L$2:$L$201,MATCH($B7,Summary!$A$2:$A$201,0))</f>
        <v>5</v>
      </c>
      <c r="Q7" s="3" t="n">
        <f aca="false">INDEX(Summary!$M$2:$M$201,MATCH($B7,Summary!$A$2:$A$201,0))</f>
        <v>1</v>
      </c>
      <c r="R7" s="2" t="n">
        <f aca="false">INDEX(Summary!$N$2:$N$201,MATCH($B7,Summary!$A$2:$A$201,0))</f>
        <v>9.93</v>
      </c>
      <c r="S7" s="3" t="n">
        <f aca="false">INDEX(Summary!$O$2:$O$201,MATCH($B7,Summary!$A$2:$A$201,0))</f>
        <v>4</v>
      </c>
      <c r="T7" s="3" t="n">
        <f aca="false">INDEX(Summary!$P$2:$P$201,MATCH($B7,Summary!$A$2:$A$201,0))</f>
        <v>5</v>
      </c>
      <c r="U7" s="2" t="n">
        <f aca="false">INDEX(Summary!$Q$2:$Q$201,MATCH($B7,Summary!$A$2:$A$201,0))</f>
        <v>13.41</v>
      </c>
      <c r="V7" s="2" t="n">
        <f aca="false">INDEX(Summary!$R$2:$R$201,MATCH($B7,Summary!$A$2:$A$201,0))</f>
        <v>21</v>
      </c>
      <c r="W7" s="0" t="str">
        <f aca="false">INDEX(Summary!$S$2:$S$201,MATCH($B7,Summary!$A$2:$A$201,0))</f>
        <v>Silver</v>
      </c>
      <c r="X7" s="2" t="n">
        <f aca="false">INDEX(Summary!$T$2:$T$201,MATCH($B7,Summary!$A$2:$A$201,0))</f>
        <v>51.22</v>
      </c>
      <c r="Y7" s="0" t="str">
        <f aca="false">INDEX('Reward Model'!$E$18:$E$37,MATCH($E7,'Reward Model'!$A$18:$A$37,0))</f>
        <v>Medium</v>
      </c>
      <c r="Z7" s="4" t="n">
        <f aca="false">ROUND(MIN(1,MAX('Reward Model'!$B$2,INDEX('Reward Model'!$C$12:$C$14,MATCH($K7,'Reward Model'!$A$12:$A$14,0))/$J7)),3)</f>
        <v>1</v>
      </c>
      <c r="AA7" s="2" t="n">
        <f aca="false">IF($I7="Correct",ROUND(INDEX('Reward Model'!$B$12:$B$14,MATCH($K7,'Reward Model'!$A$12:$A$14,0))*Z7,2),0)</f>
        <v>1</v>
      </c>
      <c r="AB7" s="2" t="n">
        <f aca="false">IF($I7="Correct",ROUND(INDEX('Reward Model'!$B$12:$B$14,MATCH($Y7,'Reward Model'!$A$12:$A$14,0))*Z7,2),0)</f>
        <v>2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n">
        <v>7</v>
      </c>
      <c r="F8" s="0" t="s">
        <v>50</v>
      </c>
      <c r="G8" s="0" t="s">
        <v>51</v>
      </c>
      <c r="H8" s="0" t="s">
        <v>51</v>
      </c>
      <c r="I8" s="0" t="s">
        <v>34</v>
      </c>
      <c r="J8" s="0" t="n">
        <v>1.51</v>
      </c>
      <c r="K8" s="0" t="s">
        <v>35</v>
      </c>
      <c r="L8" s="0" t="n">
        <f aca="false">INDEX(Summary!$F$2:$F$201,MATCH($B8,Summary!$A$2:$A$201,0))</f>
        <v>20</v>
      </c>
      <c r="M8" s="0" t="n">
        <f aca="false">INDEX(Summary!$I$2:$I$201,MATCH($B8,Summary!$A$2:$A$201,0))</f>
        <v>2</v>
      </c>
      <c r="N8" s="0" t="n">
        <f aca="false">INDEX(Summary!$J$2:$J$201,MATCH($B8,Summary!$A$2:$A$201,0))</f>
        <v>3</v>
      </c>
      <c r="O8" s="2" t="n">
        <f aca="false">INDEX(Summary!$K$2:$K$201,MATCH($B8,Summary!$A$2:$A$201,0))</f>
        <v>11.14</v>
      </c>
      <c r="P8" s="3" t="n">
        <f aca="false">INDEX(Summary!$L$2:$L$201,MATCH($B8,Summary!$A$2:$A$201,0))</f>
        <v>5</v>
      </c>
      <c r="Q8" s="3" t="n">
        <f aca="false">INDEX(Summary!$M$2:$M$201,MATCH($B8,Summary!$A$2:$A$201,0))</f>
        <v>1</v>
      </c>
      <c r="R8" s="2" t="n">
        <f aca="false">INDEX(Summary!$N$2:$N$201,MATCH($B8,Summary!$A$2:$A$201,0))</f>
        <v>9.93</v>
      </c>
      <c r="S8" s="3" t="n">
        <f aca="false">INDEX(Summary!$O$2:$O$201,MATCH($B8,Summary!$A$2:$A$201,0))</f>
        <v>4</v>
      </c>
      <c r="T8" s="3" t="n">
        <f aca="false">INDEX(Summary!$P$2:$P$201,MATCH($B8,Summary!$A$2:$A$201,0))</f>
        <v>5</v>
      </c>
      <c r="U8" s="2" t="n">
        <f aca="false">INDEX(Summary!$Q$2:$Q$201,MATCH($B8,Summary!$A$2:$A$201,0))</f>
        <v>13.41</v>
      </c>
      <c r="V8" s="2" t="n">
        <f aca="false">INDEX(Summary!$R$2:$R$201,MATCH($B8,Summary!$A$2:$A$201,0))</f>
        <v>21</v>
      </c>
      <c r="W8" s="0" t="str">
        <f aca="false">INDEX(Summary!$S$2:$S$201,MATCH($B8,Summary!$A$2:$A$201,0))</f>
        <v>Silver</v>
      </c>
      <c r="X8" s="2" t="n">
        <f aca="false">INDEX(Summary!$T$2:$T$201,MATCH($B8,Summary!$A$2:$A$201,0))</f>
        <v>51.22</v>
      </c>
      <c r="Y8" s="0" t="str">
        <f aca="false">INDEX('Reward Model'!$E$18:$E$37,MATCH($E8,'Reward Model'!$A$18:$A$37,0))</f>
        <v>Low</v>
      </c>
      <c r="Z8" s="4" t="n">
        <f aca="false">ROUND(MIN(1,MAX('Reward Model'!$B$2,INDEX('Reward Model'!$C$12:$C$14,MATCH($K8,'Reward Model'!$A$12:$A$14,0))/$J8)),3)</f>
        <v>0.993</v>
      </c>
      <c r="AA8" s="2" t="n">
        <f aca="false">IF($I8="Correct",ROUND(INDEX('Reward Model'!$B$12:$B$14,MATCH($K8,'Reward Model'!$A$12:$A$14,0))*Z8,2),0)</f>
        <v>0.99</v>
      </c>
      <c r="AB8" s="2" t="n">
        <f aca="false">IF($I8="Correct",ROUND(INDEX('Reward Model'!$B$12:$B$14,MATCH($Y8,'Reward Model'!$A$12:$A$14,0))*Z8,2),0)</f>
        <v>0.99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30</v>
      </c>
      <c r="D9" s="0" t="s">
        <v>31</v>
      </c>
      <c r="E9" s="0" t="n">
        <v>8</v>
      </c>
      <c r="F9" s="0" t="s">
        <v>52</v>
      </c>
      <c r="G9" s="0" t="s">
        <v>53</v>
      </c>
      <c r="H9" s="0" t="s">
        <v>54</v>
      </c>
      <c r="I9" s="0" t="s">
        <v>39</v>
      </c>
      <c r="J9" s="0" t="n">
        <v>1.22</v>
      </c>
      <c r="K9" s="0" t="s">
        <v>35</v>
      </c>
      <c r="L9" s="0" t="n">
        <f aca="false">INDEX(Summary!$F$2:$F$201,MATCH($B9,Summary!$A$2:$A$201,0))</f>
        <v>20</v>
      </c>
      <c r="M9" s="0" t="n">
        <f aca="false">INDEX(Summary!$I$2:$I$201,MATCH($B9,Summary!$A$2:$A$201,0))</f>
        <v>2</v>
      </c>
      <c r="N9" s="0" t="n">
        <f aca="false">INDEX(Summary!$J$2:$J$201,MATCH($B9,Summary!$A$2:$A$201,0))</f>
        <v>3</v>
      </c>
      <c r="O9" s="2" t="n">
        <f aca="false">INDEX(Summary!$K$2:$K$201,MATCH($B9,Summary!$A$2:$A$201,0))</f>
        <v>11.14</v>
      </c>
      <c r="P9" s="3" t="n">
        <f aca="false">INDEX(Summary!$L$2:$L$201,MATCH($B9,Summary!$A$2:$A$201,0))</f>
        <v>5</v>
      </c>
      <c r="Q9" s="3" t="n">
        <f aca="false">INDEX(Summary!$M$2:$M$201,MATCH($B9,Summary!$A$2:$A$201,0))</f>
        <v>1</v>
      </c>
      <c r="R9" s="2" t="n">
        <f aca="false">INDEX(Summary!$N$2:$N$201,MATCH($B9,Summary!$A$2:$A$201,0))</f>
        <v>9.93</v>
      </c>
      <c r="S9" s="3" t="n">
        <f aca="false">INDEX(Summary!$O$2:$O$201,MATCH($B9,Summary!$A$2:$A$201,0))</f>
        <v>4</v>
      </c>
      <c r="T9" s="3" t="n">
        <f aca="false">INDEX(Summary!$P$2:$P$201,MATCH($B9,Summary!$A$2:$A$201,0))</f>
        <v>5</v>
      </c>
      <c r="U9" s="2" t="n">
        <f aca="false">INDEX(Summary!$Q$2:$Q$201,MATCH($B9,Summary!$A$2:$A$201,0))</f>
        <v>13.41</v>
      </c>
      <c r="V9" s="2" t="n">
        <f aca="false">INDEX(Summary!$R$2:$R$201,MATCH($B9,Summary!$A$2:$A$201,0))</f>
        <v>21</v>
      </c>
      <c r="W9" s="0" t="str">
        <f aca="false">INDEX(Summary!$S$2:$S$201,MATCH($B9,Summary!$A$2:$A$201,0))</f>
        <v>Silver</v>
      </c>
      <c r="X9" s="2" t="n">
        <f aca="false">INDEX(Summary!$T$2:$T$201,MATCH($B9,Summary!$A$2:$A$201,0))</f>
        <v>51.22</v>
      </c>
      <c r="Y9" s="0" t="str">
        <f aca="false">INDEX('Reward Model'!$E$18:$E$37,MATCH($E9,'Reward Model'!$A$18:$A$37,0))</f>
        <v>Medium</v>
      </c>
      <c r="Z9" s="4" t="n">
        <f aca="false">ROUND(MIN(1,MAX('Reward Model'!$B$2,INDEX('Reward Model'!$C$12:$C$14,MATCH($K9,'Reward Model'!$A$12:$A$14,0))/$J9)),3)</f>
        <v>1</v>
      </c>
      <c r="AA9" s="2" t="n">
        <f aca="false">IF($I9="Correct",ROUND(INDEX('Reward Model'!$B$12:$B$14,MATCH($K9,'Reward Model'!$A$12:$A$14,0))*Z9,2),0)</f>
        <v>0</v>
      </c>
      <c r="AB9" s="2" t="n">
        <f aca="false">IF($I9="Correct",ROUND(INDEX('Reward Model'!$B$12:$B$14,MATCH($Y9,'Reward Model'!$A$12:$A$14,0))*Z9,2),0)</f>
        <v>0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s">
        <v>30</v>
      </c>
      <c r="D10" s="0" t="s">
        <v>31</v>
      </c>
      <c r="E10" s="0" t="n">
        <v>9</v>
      </c>
      <c r="F10" s="0" t="s">
        <v>55</v>
      </c>
      <c r="G10" s="0" t="s">
        <v>56</v>
      </c>
      <c r="H10" s="0" t="s">
        <v>57</v>
      </c>
      <c r="I10" s="0" t="s">
        <v>39</v>
      </c>
      <c r="J10" s="0" t="n">
        <v>1.86</v>
      </c>
      <c r="K10" s="0" t="s">
        <v>35</v>
      </c>
      <c r="L10" s="0" t="n">
        <f aca="false">INDEX(Summary!$F$2:$F$201,MATCH($B10,Summary!$A$2:$A$201,0))</f>
        <v>20</v>
      </c>
      <c r="M10" s="0" t="n">
        <f aca="false">INDEX(Summary!$I$2:$I$201,MATCH($B10,Summary!$A$2:$A$201,0))</f>
        <v>2</v>
      </c>
      <c r="N10" s="0" t="n">
        <f aca="false">INDEX(Summary!$J$2:$J$201,MATCH($B10,Summary!$A$2:$A$201,0))</f>
        <v>3</v>
      </c>
      <c r="O10" s="2" t="n">
        <f aca="false">INDEX(Summary!$K$2:$K$201,MATCH($B10,Summary!$A$2:$A$201,0))</f>
        <v>11.14</v>
      </c>
      <c r="P10" s="3" t="n">
        <f aca="false">INDEX(Summary!$L$2:$L$201,MATCH($B10,Summary!$A$2:$A$201,0))</f>
        <v>5</v>
      </c>
      <c r="Q10" s="3" t="n">
        <f aca="false">INDEX(Summary!$M$2:$M$201,MATCH($B10,Summary!$A$2:$A$201,0))</f>
        <v>1</v>
      </c>
      <c r="R10" s="2" t="n">
        <f aca="false">INDEX(Summary!$N$2:$N$201,MATCH($B10,Summary!$A$2:$A$201,0))</f>
        <v>9.93</v>
      </c>
      <c r="S10" s="3" t="n">
        <f aca="false">INDEX(Summary!$O$2:$O$201,MATCH($B10,Summary!$A$2:$A$201,0))</f>
        <v>4</v>
      </c>
      <c r="T10" s="3" t="n">
        <f aca="false">INDEX(Summary!$P$2:$P$201,MATCH($B10,Summary!$A$2:$A$201,0))</f>
        <v>5</v>
      </c>
      <c r="U10" s="2" t="n">
        <f aca="false">INDEX(Summary!$Q$2:$Q$201,MATCH($B10,Summary!$A$2:$A$201,0))</f>
        <v>13.41</v>
      </c>
      <c r="V10" s="2" t="n">
        <f aca="false">INDEX(Summary!$R$2:$R$201,MATCH($B10,Summary!$A$2:$A$201,0))</f>
        <v>21</v>
      </c>
      <c r="W10" s="0" t="str">
        <f aca="false">INDEX(Summary!$S$2:$S$201,MATCH($B10,Summary!$A$2:$A$201,0))</f>
        <v>Silver</v>
      </c>
      <c r="X10" s="2" t="n">
        <f aca="false">INDEX(Summary!$T$2:$T$201,MATCH($B10,Summary!$A$2:$A$201,0))</f>
        <v>51.22</v>
      </c>
      <c r="Y10" s="0" t="str">
        <f aca="false">INDEX('Reward Model'!$E$18:$E$37,MATCH($E10,'Reward Model'!$A$18:$A$37,0))</f>
        <v>Medium</v>
      </c>
      <c r="Z10" s="4" t="n">
        <f aca="false">ROUND(MIN(1,MAX('Reward Model'!$B$2,INDEX('Reward Model'!$C$12:$C$14,MATCH($K10,'Reward Model'!$A$12:$A$14,0))/$J10)),3)</f>
        <v>0.806</v>
      </c>
      <c r="AA10" s="2" t="n">
        <f aca="false">IF($I10="Correct",ROUND(INDEX('Reward Model'!$B$12:$B$14,MATCH($K10,'Reward Model'!$A$12:$A$14,0))*Z10,2),0)</f>
        <v>0</v>
      </c>
      <c r="AB10" s="2" t="n">
        <f aca="false">IF($I10="Correct",ROUND(INDEX('Reward Model'!$B$12:$B$14,MATCH($Y10,'Reward Model'!$A$12:$A$14,0))*Z10,2),0)</f>
        <v>0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30</v>
      </c>
      <c r="D11" s="0" t="s">
        <v>31</v>
      </c>
      <c r="E11" s="0" t="n">
        <v>10</v>
      </c>
      <c r="F11" s="0" t="s">
        <v>58</v>
      </c>
      <c r="G11" s="0" t="s">
        <v>59</v>
      </c>
      <c r="H11" s="0" t="s">
        <v>59</v>
      </c>
      <c r="I11" s="0" t="s">
        <v>34</v>
      </c>
      <c r="J11" s="0" t="n">
        <v>1.94</v>
      </c>
      <c r="K11" s="0" t="s">
        <v>60</v>
      </c>
      <c r="L11" s="0" t="n">
        <f aca="false">INDEX(Summary!$F$2:$F$201,MATCH($B11,Summary!$A$2:$A$201,0))</f>
        <v>20</v>
      </c>
      <c r="M11" s="0" t="n">
        <f aca="false">INDEX(Summary!$I$2:$I$201,MATCH($B11,Summary!$A$2:$A$201,0))</f>
        <v>2</v>
      </c>
      <c r="N11" s="0" t="n">
        <f aca="false">INDEX(Summary!$J$2:$J$201,MATCH($B11,Summary!$A$2:$A$201,0))</f>
        <v>3</v>
      </c>
      <c r="O11" s="2" t="n">
        <f aca="false">INDEX(Summary!$K$2:$K$201,MATCH($B11,Summary!$A$2:$A$201,0))</f>
        <v>11.14</v>
      </c>
      <c r="P11" s="3" t="n">
        <f aca="false">INDEX(Summary!$L$2:$L$201,MATCH($B11,Summary!$A$2:$A$201,0))</f>
        <v>5</v>
      </c>
      <c r="Q11" s="3" t="n">
        <f aca="false">INDEX(Summary!$M$2:$M$201,MATCH($B11,Summary!$A$2:$A$201,0))</f>
        <v>1</v>
      </c>
      <c r="R11" s="2" t="n">
        <f aca="false">INDEX(Summary!$N$2:$N$201,MATCH($B11,Summary!$A$2:$A$201,0))</f>
        <v>9.93</v>
      </c>
      <c r="S11" s="3" t="n">
        <f aca="false">INDEX(Summary!$O$2:$O$201,MATCH($B11,Summary!$A$2:$A$201,0))</f>
        <v>4</v>
      </c>
      <c r="T11" s="3" t="n">
        <f aca="false">INDEX(Summary!$P$2:$P$201,MATCH($B11,Summary!$A$2:$A$201,0))</f>
        <v>5</v>
      </c>
      <c r="U11" s="2" t="n">
        <f aca="false">INDEX(Summary!$Q$2:$Q$201,MATCH($B11,Summary!$A$2:$A$201,0))</f>
        <v>13.41</v>
      </c>
      <c r="V11" s="2" t="n">
        <f aca="false">INDEX(Summary!$R$2:$R$201,MATCH($B11,Summary!$A$2:$A$201,0))</f>
        <v>21</v>
      </c>
      <c r="W11" s="0" t="str">
        <f aca="false">INDEX(Summary!$S$2:$S$201,MATCH($B11,Summary!$A$2:$A$201,0))</f>
        <v>Silver</v>
      </c>
      <c r="X11" s="2" t="n">
        <f aca="false">INDEX(Summary!$T$2:$T$201,MATCH($B11,Summary!$A$2:$A$201,0))</f>
        <v>51.22</v>
      </c>
      <c r="Y11" s="0" t="str">
        <f aca="false">INDEX('Reward Model'!$E$18:$E$37,MATCH($E11,'Reward Model'!$A$18:$A$37,0))</f>
        <v>Medium</v>
      </c>
      <c r="Z11" s="4" t="n">
        <f aca="false">ROUND(MIN(1,MAX('Reward Model'!$B$2,INDEX('Reward Model'!$C$12:$C$14,MATCH($K11,'Reward Model'!$A$12:$A$14,0))/$J11)),3)</f>
        <v>0.928</v>
      </c>
      <c r="AA11" s="2" t="n">
        <f aca="false">IF($I11="Correct",ROUND(INDEX('Reward Model'!$B$12:$B$14,MATCH($K11,'Reward Model'!$A$12:$A$14,0))*Z11,2),0)</f>
        <v>1.86</v>
      </c>
      <c r="AB11" s="2" t="n">
        <f aca="false">IF($I11="Correct",ROUND(INDEX('Reward Model'!$B$12:$B$14,MATCH($Y11,'Reward Model'!$A$12:$A$14,0))*Z11,2),0)</f>
        <v>1.86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s">
        <v>30</v>
      </c>
      <c r="D12" s="0" t="s">
        <v>31</v>
      </c>
      <c r="E12" s="0" t="n">
        <v>11</v>
      </c>
      <c r="F12" s="0" t="s">
        <v>61</v>
      </c>
      <c r="G12" s="0" t="s">
        <v>62</v>
      </c>
      <c r="H12" s="0" t="s">
        <v>63</v>
      </c>
      <c r="I12" s="0" t="s">
        <v>39</v>
      </c>
      <c r="J12" s="0" t="n">
        <v>1.47</v>
      </c>
      <c r="K12" s="0" t="s">
        <v>60</v>
      </c>
      <c r="L12" s="0" t="n">
        <f aca="false">INDEX(Summary!$F$2:$F$201,MATCH($B12,Summary!$A$2:$A$201,0))</f>
        <v>20</v>
      </c>
      <c r="M12" s="0" t="n">
        <f aca="false">INDEX(Summary!$I$2:$I$201,MATCH($B12,Summary!$A$2:$A$201,0))</f>
        <v>2</v>
      </c>
      <c r="N12" s="0" t="n">
        <f aca="false">INDEX(Summary!$J$2:$J$201,MATCH($B12,Summary!$A$2:$A$201,0))</f>
        <v>3</v>
      </c>
      <c r="O12" s="2" t="n">
        <f aca="false">INDEX(Summary!$K$2:$K$201,MATCH($B12,Summary!$A$2:$A$201,0))</f>
        <v>11.14</v>
      </c>
      <c r="P12" s="3" t="n">
        <f aca="false">INDEX(Summary!$L$2:$L$201,MATCH($B12,Summary!$A$2:$A$201,0))</f>
        <v>5</v>
      </c>
      <c r="Q12" s="3" t="n">
        <f aca="false">INDEX(Summary!$M$2:$M$201,MATCH($B12,Summary!$A$2:$A$201,0))</f>
        <v>1</v>
      </c>
      <c r="R12" s="2" t="n">
        <f aca="false">INDEX(Summary!$N$2:$N$201,MATCH($B12,Summary!$A$2:$A$201,0))</f>
        <v>9.93</v>
      </c>
      <c r="S12" s="3" t="n">
        <f aca="false">INDEX(Summary!$O$2:$O$201,MATCH($B12,Summary!$A$2:$A$201,0))</f>
        <v>4</v>
      </c>
      <c r="T12" s="3" t="n">
        <f aca="false">INDEX(Summary!$P$2:$P$201,MATCH($B12,Summary!$A$2:$A$201,0))</f>
        <v>5</v>
      </c>
      <c r="U12" s="2" t="n">
        <f aca="false">INDEX(Summary!$Q$2:$Q$201,MATCH($B12,Summary!$A$2:$A$201,0))</f>
        <v>13.41</v>
      </c>
      <c r="V12" s="2" t="n">
        <f aca="false">INDEX(Summary!$R$2:$R$201,MATCH($B12,Summary!$A$2:$A$201,0))</f>
        <v>21</v>
      </c>
      <c r="W12" s="0" t="str">
        <f aca="false">INDEX(Summary!$S$2:$S$201,MATCH($B12,Summary!$A$2:$A$201,0))</f>
        <v>Silver</v>
      </c>
      <c r="X12" s="2" t="n">
        <f aca="false">INDEX(Summary!$T$2:$T$201,MATCH($B12,Summary!$A$2:$A$201,0))</f>
        <v>51.22</v>
      </c>
      <c r="Y12" s="0" t="str">
        <f aca="false">INDEX('Reward Model'!$E$18:$E$37,MATCH($E12,'Reward Model'!$A$18:$A$37,0))</f>
        <v>Medium</v>
      </c>
      <c r="Z12" s="4" t="n">
        <f aca="false">ROUND(MIN(1,MAX('Reward Model'!$B$2,INDEX('Reward Model'!$C$12:$C$14,MATCH($K12,'Reward Model'!$A$12:$A$14,0))/$J12)),3)</f>
        <v>1</v>
      </c>
      <c r="AA12" s="2" t="n">
        <f aca="false">IF($I12="Correct",ROUND(INDEX('Reward Model'!$B$12:$B$14,MATCH($K12,'Reward Model'!$A$12:$A$14,0))*Z12,2),0)</f>
        <v>0</v>
      </c>
      <c r="AB12" s="2" t="n">
        <f aca="false">IF($I12="Correct",ROUND(INDEX('Reward Model'!$B$12:$B$14,MATCH($Y12,'Reward Model'!$A$12:$A$14,0))*Z12,2),0)</f>
        <v>0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30</v>
      </c>
      <c r="D13" s="0" t="s">
        <v>31</v>
      </c>
      <c r="E13" s="0" t="n">
        <v>12</v>
      </c>
      <c r="F13" s="0" t="s">
        <v>64</v>
      </c>
      <c r="G13" s="0" t="s">
        <v>65</v>
      </c>
      <c r="H13" s="0" t="s">
        <v>65</v>
      </c>
      <c r="I13" s="0" t="s">
        <v>34</v>
      </c>
      <c r="J13" s="0" t="n">
        <v>2.12</v>
      </c>
      <c r="K13" s="0" t="s">
        <v>60</v>
      </c>
      <c r="L13" s="0" t="n">
        <f aca="false">INDEX(Summary!$F$2:$F$201,MATCH($B13,Summary!$A$2:$A$201,0))</f>
        <v>20</v>
      </c>
      <c r="M13" s="0" t="n">
        <f aca="false">INDEX(Summary!$I$2:$I$201,MATCH($B13,Summary!$A$2:$A$201,0))</f>
        <v>2</v>
      </c>
      <c r="N13" s="0" t="n">
        <f aca="false">INDEX(Summary!$J$2:$J$201,MATCH($B13,Summary!$A$2:$A$201,0))</f>
        <v>3</v>
      </c>
      <c r="O13" s="2" t="n">
        <f aca="false">INDEX(Summary!$K$2:$K$201,MATCH($B13,Summary!$A$2:$A$201,0))</f>
        <v>11.14</v>
      </c>
      <c r="P13" s="3" t="n">
        <f aca="false">INDEX(Summary!$L$2:$L$201,MATCH($B13,Summary!$A$2:$A$201,0))</f>
        <v>5</v>
      </c>
      <c r="Q13" s="3" t="n">
        <f aca="false">INDEX(Summary!$M$2:$M$201,MATCH($B13,Summary!$A$2:$A$201,0))</f>
        <v>1</v>
      </c>
      <c r="R13" s="2" t="n">
        <f aca="false">INDEX(Summary!$N$2:$N$201,MATCH($B13,Summary!$A$2:$A$201,0))</f>
        <v>9.93</v>
      </c>
      <c r="S13" s="3" t="n">
        <f aca="false">INDEX(Summary!$O$2:$O$201,MATCH($B13,Summary!$A$2:$A$201,0))</f>
        <v>4</v>
      </c>
      <c r="T13" s="3" t="n">
        <f aca="false">INDEX(Summary!$P$2:$P$201,MATCH($B13,Summary!$A$2:$A$201,0))</f>
        <v>5</v>
      </c>
      <c r="U13" s="2" t="n">
        <f aca="false">INDEX(Summary!$Q$2:$Q$201,MATCH($B13,Summary!$A$2:$A$201,0))</f>
        <v>13.41</v>
      </c>
      <c r="V13" s="2" t="n">
        <f aca="false">INDEX(Summary!$R$2:$R$201,MATCH($B13,Summary!$A$2:$A$201,0))</f>
        <v>21</v>
      </c>
      <c r="W13" s="0" t="str">
        <f aca="false">INDEX(Summary!$S$2:$S$201,MATCH($B13,Summary!$A$2:$A$201,0))</f>
        <v>Silver</v>
      </c>
      <c r="X13" s="2" t="n">
        <f aca="false">INDEX(Summary!$T$2:$T$201,MATCH($B13,Summary!$A$2:$A$201,0))</f>
        <v>51.22</v>
      </c>
      <c r="Y13" s="0" t="str">
        <f aca="false">INDEX('Reward Model'!$E$18:$E$37,MATCH($E13,'Reward Model'!$A$18:$A$37,0))</f>
        <v>Medium</v>
      </c>
      <c r="Z13" s="4" t="n">
        <f aca="false">ROUND(MIN(1,MAX('Reward Model'!$B$2,INDEX('Reward Model'!$C$12:$C$14,MATCH($K13,'Reward Model'!$A$12:$A$14,0))/$J13)),3)</f>
        <v>0.849</v>
      </c>
      <c r="AA13" s="2" t="n">
        <f aca="false">IF($I13="Correct",ROUND(INDEX('Reward Model'!$B$12:$B$14,MATCH($K13,'Reward Model'!$A$12:$A$14,0))*Z13,2),0)</f>
        <v>1.7</v>
      </c>
      <c r="AB13" s="2" t="n">
        <f aca="false">IF($I13="Correct",ROUND(INDEX('Reward Model'!$B$12:$B$14,MATCH($Y13,'Reward Model'!$A$12:$A$14,0))*Z13,2),0)</f>
        <v>1.7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s">
        <v>30</v>
      </c>
      <c r="D14" s="0" t="s">
        <v>31</v>
      </c>
      <c r="E14" s="0" t="n">
        <v>13</v>
      </c>
      <c r="F14" s="0" t="s">
        <v>66</v>
      </c>
      <c r="G14" s="0" t="s">
        <v>67</v>
      </c>
      <c r="H14" s="0" t="s">
        <v>67</v>
      </c>
      <c r="I14" s="0" t="s">
        <v>34</v>
      </c>
      <c r="J14" s="0" t="n">
        <v>1.54</v>
      </c>
      <c r="K14" s="0" t="s">
        <v>60</v>
      </c>
      <c r="L14" s="0" t="n">
        <f aca="false">INDEX(Summary!$F$2:$F$201,MATCH($B14,Summary!$A$2:$A$201,0))</f>
        <v>20</v>
      </c>
      <c r="M14" s="0" t="n">
        <f aca="false">INDEX(Summary!$I$2:$I$201,MATCH($B14,Summary!$A$2:$A$201,0))</f>
        <v>2</v>
      </c>
      <c r="N14" s="0" t="n">
        <f aca="false">INDEX(Summary!$J$2:$J$201,MATCH($B14,Summary!$A$2:$A$201,0))</f>
        <v>3</v>
      </c>
      <c r="O14" s="2" t="n">
        <f aca="false">INDEX(Summary!$K$2:$K$201,MATCH($B14,Summary!$A$2:$A$201,0))</f>
        <v>11.14</v>
      </c>
      <c r="P14" s="3" t="n">
        <f aca="false">INDEX(Summary!$L$2:$L$201,MATCH($B14,Summary!$A$2:$A$201,0))</f>
        <v>5</v>
      </c>
      <c r="Q14" s="3" t="n">
        <f aca="false">INDEX(Summary!$M$2:$M$201,MATCH($B14,Summary!$A$2:$A$201,0))</f>
        <v>1</v>
      </c>
      <c r="R14" s="2" t="n">
        <f aca="false">INDEX(Summary!$N$2:$N$201,MATCH($B14,Summary!$A$2:$A$201,0))</f>
        <v>9.93</v>
      </c>
      <c r="S14" s="3" t="n">
        <f aca="false">INDEX(Summary!$O$2:$O$201,MATCH($B14,Summary!$A$2:$A$201,0))</f>
        <v>4</v>
      </c>
      <c r="T14" s="3" t="n">
        <f aca="false">INDEX(Summary!$P$2:$P$201,MATCH($B14,Summary!$A$2:$A$201,0))</f>
        <v>5</v>
      </c>
      <c r="U14" s="2" t="n">
        <f aca="false">INDEX(Summary!$Q$2:$Q$201,MATCH($B14,Summary!$A$2:$A$201,0))</f>
        <v>13.41</v>
      </c>
      <c r="V14" s="2" t="n">
        <f aca="false">INDEX(Summary!$R$2:$R$201,MATCH($B14,Summary!$A$2:$A$201,0))</f>
        <v>21</v>
      </c>
      <c r="W14" s="0" t="str">
        <f aca="false">INDEX(Summary!$S$2:$S$201,MATCH($B14,Summary!$A$2:$A$201,0))</f>
        <v>Silver</v>
      </c>
      <c r="X14" s="2" t="n">
        <f aca="false">INDEX(Summary!$T$2:$T$201,MATCH($B14,Summary!$A$2:$A$201,0))</f>
        <v>51.22</v>
      </c>
      <c r="Y14" s="0" t="str">
        <f aca="false">INDEX('Reward Model'!$E$18:$E$37,MATCH($E14,'Reward Model'!$A$18:$A$37,0))</f>
        <v>Medium</v>
      </c>
      <c r="Z14" s="4" t="n">
        <f aca="false">ROUND(MIN(1,MAX('Reward Model'!$B$2,INDEX('Reward Model'!$C$12:$C$14,MATCH($K14,'Reward Model'!$A$12:$A$14,0))/$J14)),3)</f>
        <v>1</v>
      </c>
      <c r="AA14" s="2" t="n">
        <f aca="false">IF($I14="Correct",ROUND(INDEX('Reward Model'!$B$12:$B$14,MATCH($K14,'Reward Model'!$A$12:$A$14,0))*Z14,2),0)</f>
        <v>2</v>
      </c>
      <c r="AB14" s="2" t="n">
        <f aca="false">IF($I14="Correct",ROUND(INDEX('Reward Model'!$B$12:$B$14,MATCH($Y14,'Reward Model'!$A$12:$A$14,0))*Z14,2),0)</f>
        <v>2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s">
        <v>30</v>
      </c>
      <c r="D15" s="0" t="s">
        <v>31</v>
      </c>
      <c r="E15" s="0" t="n">
        <v>14</v>
      </c>
      <c r="F15" s="0" t="s">
        <v>68</v>
      </c>
      <c r="G15" s="0" t="s">
        <v>51</v>
      </c>
      <c r="H15" s="0" t="s">
        <v>51</v>
      </c>
      <c r="I15" s="0" t="s">
        <v>34</v>
      </c>
      <c r="J15" s="0" t="n">
        <v>1.65</v>
      </c>
      <c r="K15" s="0" t="s">
        <v>60</v>
      </c>
      <c r="L15" s="0" t="n">
        <f aca="false">INDEX(Summary!$F$2:$F$201,MATCH($B15,Summary!$A$2:$A$201,0))</f>
        <v>20</v>
      </c>
      <c r="M15" s="0" t="n">
        <f aca="false">INDEX(Summary!$I$2:$I$201,MATCH($B15,Summary!$A$2:$A$201,0))</f>
        <v>2</v>
      </c>
      <c r="N15" s="0" t="n">
        <f aca="false">INDEX(Summary!$J$2:$J$201,MATCH($B15,Summary!$A$2:$A$201,0))</f>
        <v>3</v>
      </c>
      <c r="O15" s="2" t="n">
        <f aca="false">INDEX(Summary!$K$2:$K$201,MATCH($B15,Summary!$A$2:$A$201,0))</f>
        <v>11.14</v>
      </c>
      <c r="P15" s="3" t="n">
        <f aca="false">INDEX(Summary!$L$2:$L$201,MATCH($B15,Summary!$A$2:$A$201,0))</f>
        <v>5</v>
      </c>
      <c r="Q15" s="3" t="n">
        <f aca="false">INDEX(Summary!$M$2:$M$201,MATCH($B15,Summary!$A$2:$A$201,0))</f>
        <v>1</v>
      </c>
      <c r="R15" s="2" t="n">
        <f aca="false">INDEX(Summary!$N$2:$N$201,MATCH($B15,Summary!$A$2:$A$201,0))</f>
        <v>9.93</v>
      </c>
      <c r="S15" s="3" t="n">
        <f aca="false">INDEX(Summary!$O$2:$O$201,MATCH($B15,Summary!$A$2:$A$201,0))</f>
        <v>4</v>
      </c>
      <c r="T15" s="3" t="n">
        <f aca="false">INDEX(Summary!$P$2:$P$201,MATCH($B15,Summary!$A$2:$A$201,0))</f>
        <v>5</v>
      </c>
      <c r="U15" s="2" t="n">
        <f aca="false">INDEX(Summary!$Q$2:$Q$201,MATCH($B15,Summary!$A$2:$A$201,0))</f>
        <v>13.41</v>
      </c>
      <c r="V15" s="2" t="n">
        <f aca="false">INDEX(Summary!$R$2:$R$201,MATCH($B15,Summary!$A$2:$A$201,0))</f>
        <v>21</v>
      </c>
      <c r="W15" s="0" t="str">
        <f aca="false">INDEX(Summary!$S$2:$S$201,MATCH($B15,Summary!$A$2:$A$201,0))</f>
        <v>Silver</v>
      </c>
      <c r="X15" s="2" t="n">
        <f aca="false">INDEX(Summary!$T$2:$T$201,MATCH($B15,Summary!$A$2:$A$201,0))</f>
        <v>51.22</v>
      </c>
      <c r="Y15" s="0" t="str">
        <f aca="false">INDEX('Reward Model'!$E$18:$E$37,MATCH($E15,'Reward Model'!$A$18:$A$37,0))</f>
        <v>Medium</v>
      </c>
      <c r="Z15" s="4" t="n">
        <f aca="false">ROUND(MIN(1,MAX('Reward Model'!$B$2,INDEX('Reward Model'!$C$12:$C$14,MATCH($K15,'Reward Model'!$A$12:$A$14,0))/$J15)),3)</f>
        <v>1</v>
      </c>
      <c r="AA15" s="2" t="n">
        <f aca="false">IF($I15="Correct",ROUND(INDEX('Reward Model'!$B$12:$B$14,MATCH($K15,'Reward Model'!$A$12:$A$14,0))*Z15,2),0)</f>
        <v>2</v>
      </c>
      <c r="AB15" s="2" t="n">
        <f aca="false">IF($I15="Correct",ROUND(INDEX('Reward Model'!$B$12:$B$14,MATCH($Y15,'Reward Model'!$A$12:$A$14,0))*Z15,2),0)</f>
        <v>2</v>
      </c>
    </row>
    <row r="16" customFormat="false" ht="15" hidden="false" customHeight="false" outlineLevel="0" collapsed="false">
      <c r="A16" s="0" t="s">
        <v>28</v>
      </c>
      <c r="B16" s="0" t="s">
        <v>29</v>
      </c>
      <c r="C16" s="0" t="s">
        <v>30</v>
      </c>
      <c r="D16" s="0" t="s">
        <v>31</v>
      </c>
      <c r="E16" s="0" t="n">
        <v>15</v>
      </c>
      <c r="F16" s="0" t="s">
        <v>69</v>
      </c>
      <c r="G16" s="0" t="s">
        <v>70</v>
      </c>
      <c r="H16" s="0" t="s">
        <v>70</v>
      </c>
      <c r="I16" s="0" t="s">
        <v>34</v>
      </c>
      <c r="J16" s="0" t="n">
        <v>1.21</v>
      </c>
      <c r="K16" s="0" t="s">
        <v>60</v>
      </c>
      <c r="L16" s="0" t="n">
        <f aca="false">INDEX(Summary!$F$2:$F$201,MATCH($B16,Summary!$A$2:$A$201,0))</f>
        <v>20</v>
      </c>
      <c r="M16" s="0" t="n">
        <f aca="false">INDEX(Summary!$I$2:$I$201,MATCH($B16,Summary!$A$2:$A$201,0))</f>
        <v>2</v>
      </c>
      <c r="N16" s="0" t="n">
        <f aca="false">INDEX(Summary!$J$2:$J$201,MATCH($B16,Summary!$A$2:$A$201,0))</f>
        <v>3</v>
      </c>
      <c r="O16" s="2" t="n">
        <f aca="false">INDEX(Summary!$K$2:$K$201,MATCH($B16,Summary!$A$2:$A$201,0))</f>
        <v>11.14</v>
      </c>
      <c r="P16" s="3" t="n">
        <f aca="false">INDEX(Summary!$L$2:$L$201,MATCH($B16,Summary!$A$2:$A$201,0))</f>
        <v>5</v>
      </c>
      <c r="Q16" s="3" t="n">
        <f aca="false">INDEX(Summary!$M$2:$M$201,MATCH($B16,Summary!$A$2:$A$201,0))</f>
        <v>1</v>
      </c>
      <c r="R16" s="2" t="n">
        <f aca="false">INDEX(Summary!$N$2:$N$201,MATCH($B16,Summary!$A$2:$A$201,0))</f>
        <v>9.93</v>
      </c>
      <c r="S16" s="3" t="n">
        <f aca="false">INDEX(Summary!$O$2:$O$201,MATCH($B16,Summary!$A$2:$A$201,0))</f>
        <v>4</v>
      </c>
      <c r="T16" s="3" t="n">
        <f aca="false">INDEX(Summary!$P$2:$P$201,MATCH($B16,Summary!$A$2:$A$201,0))</f>
        <v>5</v>
      </c>
      <c r="U16" s="2" t="n">
        <f aca="false">INDEX(Summary!$Q$2:$Q$201,MATCH($B16,Summary!$A$2:$A$201,0))</f>
        <v>13.41</v>
      </c>
      <c r="V16" s="2" t="n">
        <f aca="false">INDEX(Summary!$R$2:$R$201,MATCH($B16,Summary!$A$2:$A$201,0))</f>
        <v>21</v>
      </c>
      <c r="W16" s="0" t="str">
        <f aca="false">INDEX(Summary!$S$2:$S$201,MATCH($B16,Summary!$A$2:$A$201,0))</f>
        <v>Silver</v>
      </c>
      <c r="X16" s="2" t="n">
        <f aca="false">INDEX(Summary!$T$2:$T$201,MATCH($B16,Summary!$A$2:$A$201,0))</f>
        <v>51.22</v>
      </c>
      <c r="Y16" s="0" t="str">
        <f aca="false">INDEX('Reward Model'!$E$18:$E$37,MATCH($E16,'Reward Model'!$A$18:$A$37,0))</f>
        <v>Medium</v>
      </c>
      <c r="Z16" s="4" t="n">
        <f aca="false">ROUND(MIN(1,MAX('Reward Model'!$B$2,INDEX('Reward Model'!$C$12:$C$14,MATCH($K16,'Reward Model'!$A$12:$A$14,0))/$J16)),3)</f>
        <v>1</v>
      </c>
      <c r="AA16" s="2" t="n">
        <f aca="false">IF($I16="Correct",ROUND(INDEX('Reward Model'!$B$12:$B$14,MATCH($K16,'Reward Model'!$A$12:$A$14,0))*Z16,2),0)</f>
        <v>2</v>
      </c>
      <c r="AB16" s="2" t="n">
        <f aca="false">IF($I16="Correct",ROUND(INDEX('Reward Model'!$B$12:$B$14,MATCH($Y16,'Reward Model'!$A$12:$A$14,0))*Z16,2),0)</f>
        <v>2</v>
      </c>
    </row>
    <row r="17" customFormat="false" ht="15" hidden="false" customHeight="false" outlineLevel="0" collapsed="false">
      <c r="A17" s="0" t="s">
        <v>28</v>
      </c>
      <c r="B17" s="0" t="s">
        <v>29</v>
      </c>
      <c r="C17" s="0" t="s">
        <v>30</v>
      </c>
      <c r="D17" s="0" t="s">
        <v>31</v>
      </c>
      <c r="E17" s="0" t="n">
        <v>16</v>
      </c>
      <c r="F17" s="0" t="s">
        <v>71</v>
      </c>
      <c r="G17" s="0" t="s">
        <v>72</v>
      </c>
      <c r="H17" s="0" t="s">
        <v>72</v>
      </c>
      <c r="I17" s="0" t="s">
        <v>34</v>
      </c>
      <c r="J17" s="0" t="n">
        <v>2.45</v>
      </c>
      <c r="K17" s="0" t="s">
        <v>73</v>
      </c>
      <c r="L17" s="0" t="n">
        <f aca="false">INDEX(Summary!$F$2:$F$201,MATCH($B17,Summary!$A$2:$A$201,0))</f>
        <v>20</v>
      </c>
      <c r="M17" s="0" t="n">
        <f aca="false">INDEX(Summary!$I$2:$I$201,MATCH($B17,Summary!$A$2:$A$201,0))</f>
        <v>2</v>
      </c>
      <c r="N17" s="0" t="n">
        <f aca="false">INDEX(Summary!$J$2:$J$201,MATCH($B17,Summary!$A$2:$A$201,0))</f>
        <v>3</v>
      </c>
      <c r="O17" s="2" t="n">
        <f aca="false">INDEX(Summary!$K$2:$K$201,MATCH($B17,Summary!$A$2:$A$201,0))</f>
        <v>11.14</v>
      </c>
      <c r="P17" s="3" t="n">
        <f aca="false">INDEX(Summary!$L$2:$L$201,MATCH($B17,Summary!$A$2:$A$201,0))</f>
        <v>5</v>
      </c>
      <c r="Q17" s="3" t="n">
        <f aca="false">INDEX(Summary!$M$2:$M$201,MATCH($B17,Summary!$A$2:$A$201,0))</f>
        <v>1</v>
      </c>
      <c r="R17" s="2" t="n">
        <f aca="false">INDEX(Summary!$N$2:$N$201,MATCH($B17,Summary!$A$2:$A$201,0))</f>
        <v>9.93</v>
      </c>
      <c r="S17" s="3" t="n">
        <f aca="false">INDEX(Summary!$O$2:$O$201,MATCH($B17,Summary!$A$2:$A$201,0))</f>
        <v>4</v>
      </c>
      <c r="T17" s="3" t="n">
        <f aca="false">INDEX(Summary!$P$2:$P$201,MATCH($B17,Summary!$A$2:$A$201,0))</f>
        <v>5</v>
      </c>
      <c r="U17" s="2" t="n">
        <f aca="false">INDEX(Summary!$Q$2:$Q$201,MATCH($B17,Summary!$A$2:$A$201,0))</f>
        <v>13.41</v>
      </c>
      <c r="V17" s="2" t="n">
        <f aca="false">INDEX(Summary!$R$2:$R$201,MATCH($B17,Summary!$A$2:$A$201,0))</f>
        <v>21</v>
      </c>
      <c r="W17" s="0" t="str">
        <f aca="false">INDEX(Summary!$S$2:$S$201,MATCH($B17,Summary!$A$2:$A$201,0))</f>
        <v>Silver</v>
      </c>
      <c r="X17" s="2" t="n">
        <f aca="false">INDEX(Summary!$T$2:$T$201,MATCH($B17,Summary!$A$2:$A$201,0))</f>
        <v>51.22</v>
      </c>
      <c r="Y17" s="0" t="str">
        <f aca="false">INDEX('Reward Model'!$E$18:$E$37,MATCH($E17,'Reward Model'!$A$18:$A$37,0))</f>
        <v>High</v>
      </c>
      <c r="Z17" s="4" t="n">
        <f aca="false">ROUND(MIN(1,MAX('Reward Model'!$B$2,INDEX('Reward Model'!$C$12:$C$14,MATCH($K17,'Reward Model'!$A$12:$A$14,0))/$J17)),3)</f>
        <v>0.816</v>
      </c>
      <c r="AA17" s="2" t="n">
        <f aca="false">IF($I17="Correct",ROUND(INDEX('Reward Model'!$B$12:$B$14,MATCH($K17,'Reward Model'!$A$12:$A$14,0))*Z17,2),0)</f>
        <v>2.45</v>
      </c>
      <c r="AB17" s="2" t="n">
        <f aca="false">IF($I17="Correct",ROUND(INDEX('Reward Model'!$B$12:$B$14,MATCH($Y17,'Reward Model'!$A$12:$A$14,0))*Z17,2),0)</f>
        <v>2.45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s">
        <v>30</v>
      </c>
      <c r="D18" s="0" t="s">
        <v>31</v>
      </c>
      <c r="E18" s="0" t="n">
        <v>17</v>
      </c>
      <c r="F18" s="0" t="s">
        <v>74</v>
      </c>
      <c r="G18" s="0" t="s">
        <v>75</v>
      </c>
      <c r="H18" s="0" t="s">
        <v>75</v>
      </c>
      <c r="I18" s="0" t="s">
        <v>34</v>
      </c>
      <c r="J18" s="0" t="n">
        <v>1.98</v>
      </c>
      <c r="K18" s="0" t="s">
        <v>73</v>
      </c>
      <c r="L18" s="0" t="n">
        <f aca="false">INDEX(Summary!$F$2:$F$201,MATCH($B18,Summary!$A$2:$A$201,0))</f>
        <v>20</v>
      </c>
      <c r="M18" s="0" t="n">
        <f aca="false">INDEX(Summary!$I$2:$I$201,MATCH($B18,Summary!$A$2:$A$201,0))</f>
        <v>2</v>
      </c>
      <c r="N18" s="0" t="n">
        <f aca="false">INDEX(Summary!$J$2:$J$201,MATCH($B18,Summary!$A$2:$A$201,0))</f>
        <v>3</v>
      </c>
      <c r="O18" s="2" t="n">
        <f aca="false">INDEX(Summary!$K$2:$K$201,MATCH($B18,Summary!$A$2:$A$201,0))</f>
        <v>11.14</v>
      </c>
      <c r="P18" s="3" t="n">
        <f aca="false">INDEX(Summary!$L$2:$L$201,MATCH($B18,Summary!$A$2:$A$201,0))</f>
        <v>5</v>
      </c>
      <c r="Q18" s="3" t="n">
        <f aca="false">INDEX(Summary!$M$2:$M$201,MATCH($B18,Summary!$A$2:$A$201,0))</f>
        <v>1</v>
      </c>
      <c r="R18" s="2" t="n">
        <f aca="false">INDEX(Summary!$N$2:$N$201,MATCH($B18,Summary!$A$2:$A$201,0))</f>
        <v>9.93</v>
      </c>
      <c r="S18" s="3" t="n">
        <f aca="false">INDEX(Summary!$O$2:$O$201,MATCH($B18,Summary!$A$2:$A$201,0))</f>
        <v>4</v>
      </c>
      <c r="T18" s="3" t="n">
        <f aca="false">INDEX(Summary!$P$2:$P$201,MATCH($B18,Summary!$A$2:$A$201,0))</f>
        <v>5</v>
      </c>
      <c r="U18" s="2" t="n">
        <f aca="false">INDEX(Summary!$Q$2:$Q$201,MATCH($B18,Summary!$A$2:$A$201,0))</f>
        <v>13.41</v>
      </c>
      <c r="V18" s="2" t="n">
        <f aca="false">INDEX(Summary!$R$2:$R$201,MATCH($B18,Summary!$A$2:$A$201,0))</f>
        <v>21</v>
      </c>
      <c r="W18" s="0" t="str">
        <f aca="false">INDEX(Summary!$S$2:$S$201,MATCH($B18,Summary!$A$2:$A$201,0))</f>
        <v>Silver</v>
      </c>
      <c r="X18" s="2" t="n">
        <f aca="false">INDEX(Summary!$T$2:$T$201,MATCH($B18,Summary!$A$2:$A$201,0))</f>
        <v>51.22</v>
      </c>
      <c r="Y18" s="0" t="str">
        <f aca="false">INDEX('Reward Model'!$E$18:$E$37,MATCH($E18,'Reward Model'!$A$18:$A$37,0))</f>
        <v>High</v>
      </c>
      <c r="Z18" s="4" t="n">
        <f aca="false">ROUND(MIN(1,MAX('Reward Model'!$B$2,INDEX('Reward Model'!$C$12:$C$14,MATCH($K18,'Reward Model'!$A$12:$A$14,0))/$J18)),3)</f>
        <v>1</v>
      </c>
      <c r="AA18" s="2" t="n">
        <f aca="false">IF($I18="Correct",ROUND(INDEX('Reward Model'!$B$12:$B$14,MATCH($K18,'Reward Model'!$A$12:$A$14,0))*Z18,2),0)</f>
        <v>3</v>
      </c>
      <c r="AB18" s="2" t="n">
        <f aca="false">IF($I18="Correct",ROUND(INDEX('Reward Model'!$B$12:$B$14,MATCH($Y18,'Reward Model'!$A$12:$A$14,0))*Z18,2),0)</f>
        <v>3</v>
      </c>
    </row>
    <row r="19" customFormat="false" ht="15" hidden="false" customHeight="false" outlineLevel="0" collapsed="false">
      <c r="A19" s="0" t="s">
        <v>28</v>
      </c>
      <c r="B19" s="0" t="s">
        <v>29</v>
      </c>
      <c r="C19" s="0" t="s">
        <v>30</v>
      </c>
      <c r="D19" s="0" t="s">
        <v>31</v>
      </c>
      <c r="E19" s="0" t="n">
        <v>18</v>
      </c>
      <c r="F19" s="0" t="s">
        <v>76</v>
      </c>
      <c r="G19" s="0" t="s">
        <v>56</v>
      </c>
      <c r="H19" s="0" t="s">
        <v>77</v>
      </c>
      <c r="I19" s="0" t="s">
        <v>39</v>
      </c>
      <c r="J19" s="0" t="n">
        <v>1.8</v>
      </c>
      <c r="K19" s="0" t="s">
        <v>73</v>
      </c>
      <c r="L19" s="0" t="n">
        <f aca="false">INDEX(Summary!$F$2:$F$201,MATCH($B19,Summary!$A$2:$A$201,0))</f>
        <v>20</v>
      </c>
      <c r="M19" s="0" t="n">
        <f aca="false">INDEX(Summary!$I$2:$I$201,MATCH($B19,Summary!$A$2:$A$201,0))</f>
        <v>2</v>
      </c>
      <c r="N19" s="0" t="n">
        <f aca="false">INDEX(Summary!$J$2:$J$201,MATCH($B19,Summary!$A$2:$A$201,0))</f>
        <v>3</v>
      </c>
      <c r="O19" s="2" t="n">
        <f aca="false">INDEX(Summary!$K$2:$K$201,MATCH($B19,Summary!$A$2:$A$201,0))</f>
        <v>11.14</v>
      </c>
      <c r="P19" s="3" t="n">
        <f aca="false">INDEX(Summary!$L$2:$L$201,MATCH($B19,Summary!$A$2:$A$201,0))</f>
        <v>5</v>
      </c>
      <c r="Q19" s="3" t="n">
        <f aca="false">INDEX(Summary!$M$2:$M$201,MATCH($B19,Summary!$A$2:$A$201,0))</f>
        <v>1</v>
      </c>
      <c r="R19" s="2" t="n">
        <f aca="false">INDEX(Summary!$N$2:$N$201,MATCH($B19,Summary!$A$2:$A$201,0))</f>
        <v>9.93</v>
      </c>
      <c r="S19" s="3" t="n">
        <f aca="false">INDEX(Summary!$O$2:$O$201,MATCH($B19,Summary!$A$2:$A$201,0))</f>
        <v>4</v>
      </c>
      <c r="T19" s="3" t="n">
        <f aca="false">INDEX(Summary!$P$2:$P$201,MATCH($B19,Summary!$A$2:$A$201,0))</f>
        <v>5</v>
      </c>
      <c r="U19" s="2" t="n">
        <f aca="false">INDEX(Summary!$Q$2:$Q$201,MATCH($B19,Summary!$A$2:$A$201,0))</f>
        <v>13.41</v>
      </c>
      <c r="V19" s="2" t="n">
        <f aca="false">INDEX(Summary!$R$2:$R$201,MATCH($B19,Summary!$A$2:$A$201,0))</f>
        <v>21</v>
      </c>
      <c r="W19" s="0" t="str">
        <f aca="false">INDEX(Summary!$S$2:$S$201,MATCH($B19,Summary!$A$2:$A$201,0))</f>
        <v>Silver</v>
      </c>
      <c r="X19" s="2" t="n">
        <f aca="false">INDEX(Summary!$T$2:$T$201,MATCH($B19,Summary!$A$2:$A$201,0))</f>
        <v>51.22</v>
      </c>
      <c r="Y19" s="0" t="str">
        <f aca="false">INDEX('Reward Model'!$E$18:$E$37,MATCH($E19,'Reward Model'!$A$18:$A$37,0))</f>
        <v>High</v>
      </c>
      <c r="Z19" s="4" t="n">
        <f aca="false">ROUND(MIN(1,MAX('Reward Model'!$B$2,INDEX('Reward Model'!$C$12:$C$14,MATCH($K19,'Reward Model'!$A$12:$A$14,0))/$J19)),3)</f>
        <v>1</v>
      </c>
      <c r="AA19" s="2" t="n">
        <f aca="false">IF($I19="Correct",ROUND(INDEX('Reward Model'!$B$12:$B$14,MATCH($K19,'Reward Model'!$A$12:$A$14,0))*Z19,2),0)</f>
        <v>0</v>
      </c>
      <c r="AB19" s="2" t="n">
        <f aca="false">IF($I19="Correct",ROUND(INDEX('Reward Model'!$B$12:$B$14,MATCH($Y19,'Reward Model'!$A$12:$A$14,0))*Z19,2),0)</f>
        <v>0</v>
      </c>
    </row>
    <row r="20" customFormat="false" ht="15" hidden="false" customHeight="false" outlineLevel="0" collapsed="false">
      <c r="A20" s="0" t="s">
        <v>28</v>
      </c>
      <c r="B20" s="0" t="s">
        <v>29</v>
      </c>
      <c r="C20" s="0" t="s">
        <v>30</v>
      </c>
      <c r="D20" s="0" t="s">
        <v>31</v>
      </c>
      <c r="E20" s="0" t="n">
        <v>19</v>
      </c>
      <c r="F20" s="0" t="s">
        <v>78</v>
      </c>
      <c r="G20" s="0" t="s">
        <v>79</v>
      </c>
      <c r="H20" s="0" t="s">
        <v>80</v>
      </c>
      <c r="I20" s="0" t="s">
        <v>39</v>
      </c>
      <c r="J20" s="0" t="n">
        <v>2.43</v>
      </c>
      <c r="K20" s="0" t="s">
        <v>73</v>
      </c>
      <c r="L20" s="0" t="n">
        <f aca="false">INDEX(Summary!$F$2:$F$201,MATCH($B20,Summary!$A$2:$A$201,0))</f>
        <v>20</v>
      </c>
      <c r="M20" s="0" t="n">
        <f aca="false">INDEX(Summary!$I$2:$I$201,MATCH($B20,Summary!$A$2:$A$201,0))</f>
        <v>2</v>
      </c>
      <c r="N20" s="0" t="n">
        <f aca="false">INDEX(Summary!$J$2:$J$201,MATCH($B20,Summary!$A$2:$A$201,0))</f>
        <v>3</v>
      </c>
      <c r="O20" s="2" t="n">
        <f aca="false">INDEX(Summary!$K$2:$K$201,MATCH($B20,Summary!$A$2:$A$201,0))</f>
        <v>11.14</v>
      </c>
      <c r="P20" s="3" t="n">
        <f aca="false">INDEX(Summary!$L$2:$L$201,MATCH($B20,Summary!$A$2:$A$201,0))</f>
        <v>5</v>
      </c>
      <c r="Q20" s="3" t="n">
        <f aca="false">INDEX(Summary!$M$2:$M$201,MATCH($B20,Summary!$A$2:$A$201,0))</f>
        <v>1</v>
      </c>
      <c r="R20" s="2" t="n">
        <f aca="false">INDEX(Summary!$N$2:$N$201,MATCH($B20,Summary!$A$2:$A$201,0))</f>
        <v>9.93</v>
      </c>
      <c r="S20" s="3" t="n">
        <f aca="false">INDEX(Summary!$O$2:$O$201,MATCH($B20,Summary!$A$2:$A$201,0))</f>
        <v>4</v>
      </c>
      <c r="T20" s="3" t="n">
        <f aca="false">INDEX(Summary!$P$2:$P$201,MATCH($B20,Summary!$A$2:$A$201,0))</f>
        <v>5</v>
      </c>
      <c r="U20" s="2" t="n">
        <f aca="false">INDEX(Summary!$Q$2:$Q$201,MATCH($B20,Summary!$A$2:$A$201,0))</f>
        <v>13.41</v>
      </c>
      <c r="V20" s="2" t="n">
        <f aca="false">INDEX(Summary!$R$2:$R$201,MATCH($B20,Summary!$A$2:$A$201,0))</f>
        <v>21</v>
      </c>
      <c r="W20" s="0" t="str">
        <f aca="false">INDEX(Summary!$S$2:$S$201,MATCH($B20,Summary!$A$2:$A$201,0))</f>
        <v>Silver</v>
      </c>
      <c r="X20" s="2" t="n">
        <f aca="false">INDEX(Summary!$T$2:$T$201,MATCH($B20,Summary!$A$2:$A$201,0))</f>
        <v>51.22</v>
      </c>
      <c r="Y20" s="0" t="str">
        <f aca="false">INDEX('Reward Model'!$E$18:$E$37,MATCH($E20,'Reward Model'!$A$18:$A$37,0))</f>
        <v>High</v>
      </c>
      <c r="Z20" s="4" t="n">
        <f aca="false">ROUND(MIN(1,MAX('Reward Model'!$B$2,INDEX('Reward Model'!$C$12:$C$14,MATCH($K20,'Reward Model'!$A$12:$A$14,0))/$J20)),3)</f>
        <v>0.823</v>
      </c>
      <c r="AA20" s="2" t="n">
        <f aca="false">IF($I20="Correct",ROUND(INDEX('Reward Model'!$B$12:$B$14,MATCH($K20,'Reward Model'!$A$12:$A$14,0))*Z20,2),0)</f>
        <v>0</v>
      </c>
      <c r="AB20" s="2" t="n">
        <f aca="false">IF($I20="Correct",ROUND(INDEX('Reward Model'!$B$12:$B$14,MATCH($Y20,'Reward Model'!$A$12:$A$14,0))*Z20,2),0)</f>
        <v>0</v>
      </c>
    </row>
    <row r="21" customFormat="false" ht="15" hidden="false" customHeight="false" outlineLevel="0" collapsed="false">
      <c r="A21" s="0" t="s">
        <v>28</v>
      </c>
      <c r="B21" s="0" t="s">
        <v>29</v>
      </c>
      <c r="C21" s="0" t="s">
        <v>30</v>
      </c>
      <c r="D21" s="0" t="s">
        <v>31</v>
      </c>
      <c r="E21" s="0" t="n">
        <v>20</v>
      </c>
      <c r="F21" s="0" t="s">
        <v>81</v>
      </c>
      <c r="G21" s="0" t="s">
        <v>82</v>
      </c>
      <c r="H21" s="0" t="s">
        <v>83</v>
      </c>
      <c r="I21" s="0" t="s">
        <v>39</v>
      </c>
      <c r="J21" s="0" t="n">
        <v>2.48</v>
      </c>
      <c r="K21" s="0" t="s">
        <v>73</v>
      </c>
      <c r="L21" s="0" t="n">
        <f aca="false">INDEX(Summary!$F$2:$F$201,MATCH($B21,Summary!$A$2:$A$201,0))</f>
        <v>20</v>
      </c>
      <c r="M21" s="0" t="n">
        <f aca="false">INDEX(Summary!$I$2:$I$201,MATCH($B21,Summary!$A$2:$A$201,0))</f>
        <v>2</v>
      </c>
      <c r="N21" s="0" t="n">
        <f aca="false">INDEX(Summary!$J$2:$J$201,MATCH($B21,Summary!$A$2:$A$201,0))</f>
        <v>3</v>
      </c>
      <c r="O21" s="2" t="n">
        <f aca="false">INDEX(Summary!$K$2:$K$201,MATCH($B21,Summary!$A$2:$A$201,0))</f>
        <v>11.14</v>
      </c>
      <c r="P21" s="3" t="n">
        <f aca="false">INDEX(Summary!$L$2:$L$201,MATCH($B21,Summary!$A$2:$A$201,0))</f>
        <v>5</v>
      </c>
      <c r="Q21" s="3" t="n">
        <f aca="false">INDEX(Summary!$M$2:$M$201,MATCH($B21,Summary!$A$2:$A$201,0))</f>
        <v>1</v>
      </c>
      <c r="R21" s="2" t="n">
        <f aca="false">INDEX(Summary!$N$2:$N$201,MATCH($B21,Summary!$A$2:$A$201,0))</f>
        <v>9.93</v>
      </c>
      <c r="S21" s="3" t="n">
        <f aca="false">INDEX(Summary!$O$2:$O$201,MATCH($B21,Summary!$A$2:$A$201,0))</f>
        <v>4</v>
      </c>
      <c r="T21" s="3" t="n">
        <f aca="false">INDEX(Summary!$P$2:$P$201,MATCH($B21,Summary!$A$2:$A$201,0))</f>
        <v>5</v>
      </c>
      <c r="U21" s="2" t="n">
        <f aca="false">INDEX(Summary!$Q$2:$Q$201,MATCH($B21,Summary!$A$2:$A$201,0))</f>
        <v>13.41</v>
      </c>
      <c r="V21" s="2" t="n">
        <f aca="false">INDEX(Summary!$R$2:$R$201,MATCH($B21,Summary!$A$2:$A$201,0))</f>
        <v>21</v>
      </c>
      <c r="W21" s="0" t="str">
        <f aca="false">INDEX(Summary!$S$2:$S$201,MATCH($B21,Summary!$A$2:$A$201,0))</f>
        <v>Silver</v>
      </c>
      <c r="X21" s="2" t="n">
        <f aca="false">INDEX(Summary!$T$2:$T$201,MATCH($B21,Summary!$A$2:$A$201,0))</f>
        <v>51.22</v>
      </c>
      <c r="Y21" s="0" t="str">
        <f aca="false">INDEX('Reward Model'!$E$18:$E$37,MATCH($E21,'Reward Model'!$A$18:$A$37,0))</f>
        <v>High</v>
      </c>
      <c r="Z21" s="4" t="n">
        <f aca="false">ROUND(MIN(1,MAX('Reward Model'!$B$2,INDEX('Reward Model'!$C$12:$C$14,MATCH($K21,'Reward Model'!$A$12:$A$14,0))/$J21)),3)</f>
        <v>0.806</v>
      </c>
      <c r="AA21" s="2" t="n">
        <f aca="false">IF($I21="Correct",ROUND(INDEX('Reward Model'!$B$12:$B$14,MATCH($K21,'Reward Model'!$A$12:$A$14,0))*Z21,2),0)</f>
        <v>0</v>
      </c>
      <c r="AB21" s="2" t="n">
        <f aca="false">IF($I21="Correct",ROUND(INDEX('Reward Model'!$B$12:$B$14,MATCH($Y21,'Reward Model'!$A$12:$A$14,0))*Z21,2),0)</f>
        <v>0</v>
      </c>
    </row>
    <row r="22" customFormat="false" ht="15" hidden="false" customHeight="false" outlineLevel="0" collapsed="false">
      <c r="A22" s="0" t="s">
        <v>84</v>
      </c>
      <c r="B22" s="0" t="s">
        <v>85</v>
      </c>
      <c r="C22" s="0" t="s">
        <v>30</v>
      </c>
      <c r="D22" s="0" t="s">
        <v>31</v>
      </c>
      <c r="E22" s="0" t="n">
        <v>1</v>
      </c>
      <c r="F22" s="0" t="s">
        <v>32</v>
      </c>
      <c r="G22" s="0" t="s">
        <v>33</v>
      </c>
      <c r="H22" s="0" t="s">
        <v>33</v>
      </c>
      <c r="I22" s="0" t="s">
        <v>34</v>
      </c>
      <c r="J22" s="0" t="n">
        <v>1.18</v>
      </c>
      <c r="K22" s="0" t="s">
        <v>35</v>
      </c>
      <c r="L22" s="0" t="n">
        <f aca="false">INDEX(Summary!$F$2:$F$201,MATCH($B22,Summary!$A$2:$A$201,0))</f>
        <v>20</v>
      </c>
      <c r="M22" s="0" t="n">
        <f aca="false">INDEX(Summary!$I$2:$I$201,MATCH($B22,Summary!$A$2:$A$201,0))</f>
        <v>2</v>
      </c>
      <c r="N22" s="0" t="n">
        <f aca="false">INDEX(Summary!$J$2:$J$201,MATCH($B22,Summary!$A$2:$A$201,0))</f>
        <v>3</v>
      </c>
      <c r="O22" s="2" t="n">
        <f aca="false">INDEX(Summary!$K$2:$K$201,MATCH($B22,Summary!$A$2:$A$201,0))</f>
        <v>9.59</v>
      </c>
      <c r="P22" s="3" t="n">
        <f aca="false">INDEX(Summary!$L$2:$L$201,MATCH($B22,Summary!$A$2:$A$201,0))</f>
        <v>5</v>
      </c>
      <c r="Q22" s="3" t="n">
        <f aca="false">INDEX(Summary!$M$2:$M$201,MATCH($B22,Summary!$A$2:$A$201,0))</f>
        <v>1</v>
      </c>
      <c r="R22" s="2" t="n">
        <f aca="false">INDEX(Summary!$N$2:$N$201,MATCH($B22,Summary!$A$2:$A$201,0))</f>
        <v>10.54</v>
      </c>
      <c r="S22" s="3" t="n">
        <f aca="false">INDEX(Summary!$O$2:$O$201,MATCH($B22,Summary!$A$2:$A$201,0))</f>
        <v>8</v>
      </c>
      <c r="T22" s="3" t="n">
        <f aca="false">INDEX(Summary!$P$2:$P$201,MATCH($B22,Summary!$A$2:$A$201,0))</f>
        <v>1</v>
      </c>
      <c r="U22" s="2" t="n">
        <f aca="false">INDEX(Summary!$Q$2:$Q$201,MATCH($B22,Summary!$A$2:$A$201,0))</f>
        <v>13.37</v>
      </c>
      <c r="V22" s="2" t="n">
        <f aca="false">INDEX(Summary!$R$2:$R$201,MATCH($B22,Summary!$A$2:$A$201,0))</f>
        <v>26.43</v>
      </c>
      <c r="W22" s="0" t="str">
        <f aca="false">INDEX(Summary!$S$2:$S$201,MATCH($B22,Summary!$A$2:$A$201,0))</f>
        <v>Silver</v>
      </c>
      <c r="X22" s="2" t="n">
        <f aca="false">INDEX(Summary!$T$2:$T$201,MATCH($B22,Summary!$A$2:$A$201,0))</f>
        <v>64.46</v>
      </c>
      <c r="Y22" s="0" t="str">
        <f aca="false">INDEX('Reward Model'!$E$18:$E$37,MATCH($E22,'Reward Model'!$A$18:$A$37,0))</f>
        <v>Medium</v>
      </c>
      <c r="Z22" s="4" t="n">
        <f aca="false">ROUND(MIN(1,MAX('Reward Model'!$B$2,INDEX('Reward Model'!$C$12:$C$14,MATCH($K22,'Reward Model'!$A$12:$A$14,0))/$J22)),3)</f>
        <v>1</v>
      </c>
      <c r="AA22" s="2" t="n">
        <f aca="false">IF($I22="Correct",ROUND(INDEX('Reward Model'!$B$12:$B$14,MATCH($K22,'Reward Model'!$A$12:$A$14,0))*Z22,2),0)</f>
        <v>1</v>
      </c>
      <c r="AB22" s="2" t="n">
        <f aca="false">IF($I22="Correct",ROUND(INDEX('Reward Model'!$B$12:$B$14,MATCH($Y22,'Reward Model'!$A$12:$A$14,0))*Z22,2),0)</f>
        <v>2</v>
      </c>
    </row>
    <row r="23" customFormat="false" ht="15" hidden="false" customHeight="false" outlineLevel="0" collapsed="false">
      <c r="A23" s="0" t="s">
        <v>84</v>
      </c>
      <c r="B23" s="0" t="s">
        <v>85</v>
      </c>
      <c r="C23" s="0" t="s">
        <v>30</v>
      </c>
      <c r="D23" s="0" t="s">
        <v>31</v>
      </c>
      <c r="E23" s="0" t="n">
        <v>2</v>
      </c>
      <c r="F23" s="0" t="s">
        <v>36</v>
      </c>
      <c r="G23" s="0" t="s">
        <v>38</v>
      </c>
      <c r="H23" s="0" t="s">
        <v>38</v>
      </c>
      <c r="I23" s="0" t="s">
        <v>34</v>
      </c>
      <c r="J23" s="0" t="n">
        <v>1.34</v>
      </c>
      <c r="K23" s="0" t="s">
        <v>35</v>
      </c>
      <c r="L23" s="0" t="n">
        <f aca="false">INDEX(Summary!$F$2:$F$201,MATCH($B23,Summary!$A$2:$A$201,0))</f>
        <v>20</v>
      </c>
      <c r="M23" s="0" t="n">
        <f aca="false">INDEX(Summary!$I$2:$I$201,MATCH($B23,Summary!$A$2:$A$201,0))</f>
        <v>2</v>
      </c>
      <c r="N23" s="0" t="n">
        <f aca="false">INDEX(Summary!$J$2:$J$201,MATCH($B23,Summary!$A$2:$A$201,0))</f>
        <v>3</v>
      </c>
      <c r="O23" s="2" t="n">
        <f aca="false">INDEX(Summary!$K$2:$K$201,MATCH($B23,Summary!$A$2:$A$201,0))</f>
        <v>9.59</v>
      </c>
      <c r="P23" s="3" t="n">
        <f aca="false">INDEX(Summary!$L$2:$L$201,MATCH($B23,Summary!$A$2:$A$201,0))</f>
        <v>5</v>
      </c>
      <c r="Q23" s="3" t="n">
        <f aca="false">INDEX(Summary!$M$2:$M$201,MATCH($B23,Summary!$A$2:$A$201,0))</f>
        <v>1</v>
      </c>
      <c r="R23" s="2" t="n">
        <f aca="false">INDEX(Summary!$N$2:$N$201,MATCH($B23,Summary!$A$2:$A$201,0))</f>
        <v>10.54</v>
      </c>
      <c r="S23" s="3" t="n">
        <f aca="false">INDEX(Summary!$O$2:$O$201,MATCH($B23,Summary!$A$2:$A$201,0))</f>
        <v>8</v>
      </c>
      <c r="T23" s="3" t="n">
        <f aca="false">INDEX(Summary!$P$2:$P$201,MATCH($B23,Summary!$A$2:$A$201,0))</f>
        <v>1</v>
      </c>
      <c r="U23" s="2" t="n">
        <f aca="false">INDEX(Summary!$Q$2:$Q$201,MATCH($B23,Summary!$A$2:$A$201,0))</f>
        <v>13.37</v>
      </c>
      <c r="V23" s="2" t="n">
        <f aca="false">INDEX(Summary!$R$2:$R$201,MATCH($B23,Summary!$A$2:$A$201,0))</f>
        <v>26.43</v>
      </c>
      <c r="W23" s="0" t="str">
        <f aca="false">INDEX(Summary!$S$2:$S$201,MATCH($B23,Summary!$A$2:$A$201,0))</f>
        <v>Silver</v>
      </c>
      <c r="X23" s="2" t="n">
        <f aca="false">INDEX(Summary!$T$2:$T$201,MATCH($B23,Summary!$A$2:$A$201,0))</f>
        <v>64.46</v>
      </c>
      <c r="Y23" s="0" t="str">
        <f aca="false">INDEX('Reward Model'!$E$18:$E$37,MATCH($E23,'Reward Model'!$A$18:$A$37,0))</f>
        <v>Low</v>
      </c>
      <c r="Z23" s="4" t="n">
        <f aca="false">ROUND(MIN(1,MAX('Reward Model'!$B$2,INDEX('Reward Model'!$C$12:$C$14,MATCH($K23,'Reward Model'!$A$12:$A$14,0))/$J23)),3)</f>
        <v>1</v>
      </c>
      <c r="AA23" s="2" t="n">
        <f aca="false">IF($I23="Correct",ROUND(INDEX('Reward Model'!$B$12:$B$14,MATCH($K23,'Reward Model'!$A$12:$A$14,0))*Z23,2),0)</f>
        <v>1</v>
      </c>
      <c r="AB23" s="2" t="n">
        <f aca="false">IF($I23="Correct",ROUND(INDEX('Reward Model'!$B$12:$B$14,MATCH($Y23,'Reward Model'!$A$12:$A$14,0))*Z23,2),0)</f>
        <v>1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s">
        <v>30</v>
      </c>
      <c r="D24" s="0" t="s">
        <v>31</v>
      </c>
      <c r="E24" s="0" t="n">
        <v>3</v>
      </c>
      <c r="F24" s="0" t="s">
        <v>40</v>
      </c>
      <c r="G24" s="0" t="s">
        <v>41</v>
      </c>
      <c r="H24" s="0" t="s">
        <v>42</v>
      </c>
      <c r="I24" s="0" t="s">
        <v>39</v>
      </c>
      <c r="J24" s="0" t="n">
        <v>1.5</v>
      </c>
      <c r="K24" s="0" t="s">
        <v>35</v>
      </c>
      <c r="L24" s="0" t="n">
        <f aca="false">INDEX(Summary!$F$2:$F$201,MATCH($B24,Summary!$A$2:$A$201,0))</f>
        <v>20</v>
      </c>
      <c r="M24" s="0" t="n">
        <f aca="false">INDEX(Summary!$I$2:$I$201,MATCH($B24,Summary!$A$2:$A$201,0))</f>
        <v>2</v>
      </c>
      <c r="N24" s="0" t="n">
        <f aca="false">INDEX(Summary!$J$2:$J$201,MATCH($B24,Summary!$A$2:$A$201,0))</f>
        <v>3</v>
      </c>
      <c r="O24" s="2" t="n">
        <f aca="false">INDEX(Summary!$K$2:$K$201,MATCH($B24,Summary!$A$2:$A$201,0))</f>
        <v>9.59</v>
      </c>
      <c r="P24" s="3" t="n">
        <f aca="false">INDEX(Summary!$L$2:$L$201,MATCH($B24,Summary!$A$2:$A$201,0))</f>
        <v>5</v>
      </c>
      <c r="Q24" s="3" t="n">
        <f aca="false">INDEX(Summary!$M$2:$M$201,MATCH($B24,Summary!$A$2:$A$201,0))</f>
        <v>1</v>
      </c>
      <c r="R24" s="2" t="n">
        <f aca="false">INDEX(Summary!$N$2:$N$201,MATCH($B24,Summary!$A$2:$A$201,0))</f>
        <v>10.54</v>
      </c>
      <c r="S24" s="3" t="n">
        <f aca="false">INDEX(Summary!$O$2:$O$201,MATCH($B24,Summary!$A$2:$A$201,0))</f>
        <v>8</v>
      </c>
      <c r="T24" s="3" t="n">
        <f aca="false">INDEX(Summary!$P$2:$P$201,MATCH($B24,Summary!$A$2:$A$201,0))</f>
        <v>1</v>
      </c>
      <c r="U24" s="2" t="n">
        <f aca="false">INDEX(Summary!$Q$2:$Q$201,MATCH($B24,Summary!$A$2:$A$201,0))</f>
        <v>13.37</v>
      </c>
      <c r="V24" s="2" t="n">
        <f aca="false">INDEX(Summary!$R$2:$R$201,MATCH($B24,Summary!$A$2:$A$201,0))</f>
        <v>26.43</v>
      </c>
      <c r="W24" s="0" t="str">
        <f aca="false">INDEX(Summary!$S$2:$S$201,MATCH($B24,Summary!$A$2:$A$201,0))</f>
        <v>Silver</v>
      </c>
      <c r="X24" s="2" t="n">
        <f aca="false">INDEX(Summary!$T$2:$T$201,MATCH($B24,Summary!$A$2:$A$201,0))</f>
        <v>64.46</v>
      </c>
      <c r="Y24" s="0" t="str">
        <f aca="false">INDEX('Reward Model'!$E$18:$E$37,MATCH($E24,'Reward Model'!$A$18:$A$37,0))</f>
        <v>Medium</v>
      </c>
      <c r="Z24" s="4" t="n">
        <f aca="false">ROUND(MIN(1,MAX('Reward Model'!$B$2,INDEX('Reward Model'!$C$12:$C$14,MATCH($K24,'Reward Model'!$A$12:$A$14,0))/$J24)),3)</f>
        <v>1</v>
      </c>
      <c r="AA24" s="2" t="n">
        <f aca="false">IF($I24="Correct",ROUND(INDEX('Reward Model'!$B$12:$B$14,MATCH($K24,'Reward Model'!$A$12:$A$14,0))*Z24,2),0)</f>
        <v>0</v>
      </c>
      <c r="AB24" s="2" t="n">
        <f aca="false">IF($I24="Correct",ROUND(INDEX('Reward Model'!$B$12:$B$14,MATCH($Y24,'Reward Model'!$A$12:$A$14,0))*Z24,2),0)</f>
        <v>0</v>
      </c>
    </row>
    <row r="25" customFormat="false" ht="15" hidden="false" customHeight="false" outlineLevel="0" collapsed="false">
      <c r="A25" s="0" t="s">
        <v>84</v>
      </c>
      <c r="B25" s="0" t="s">
        <v>85</v>
      </c>
      <c r="C25" s="0" t="s">
        <v>30</v>
      </c>
      <c r="D25" s="0" t="s">
        <v>31</v>
      </c>
      <c r="E25" s="0" t="n">
        <v>4</v>
      </c>
      <c r="F25" s="0" t="s">
        <v>43</v>
      </c>
      <c r="G25" s="0" t="s">
        <v>45</v>
      </c>
      <c r="H25" s="0" t="s">
        <v>45</v>
      </c>
      <c r="I25" s="0" t="s">
        <v>34</v>
      </c>
      <c r="J25" s="0" t="n">
        <v>1.61</v>
      </c>
      <c r="K25" s="0" t="s">
        <v>35</v>
      </c>
      <c r="L25" s="0" t="n">
        <f aca="false">INDEX(Summary!$F$2:$F$201,MATCH($B25,Summary!$A$2:$A$201,0))</f>
        <v>20</v>
      </c>
      <c r="M25" s="0" t="n">
        <f aca="false">INDEX(Summary!$I$2:$I$201,MATCH($B25,Summary!$A$2:$A$201,0))</f>
        <v>2</v>
      </c>
      <c r="N25" s="0" t="n">
        <f aca="false">INDEX(Summary!$J$2:$J$201,MATCH($B25,Summary!$A$2:$A$201,0))</f>
        <v>3</v>
      </c>
      <c r="O25" s="2" t="n">
        <f aca="false">INDEX(Summary!$K$2:$K$201,MATCH($B25,Summary!$A$2:$A$201,0))</f>
        <v>9.59</v>
      </c>
      <c r="P25" s="3" t="n">
        <f aca="false">INDEX(Summary!$L$2:$L$201,MATCH($B25,Summary!$A$2:$A$201,0))</f>
        <v>5</v>
      </c>
      <c r="Q25" s="3" t="n">
        <f aca="false">INDEX(Summary!$M$2:$M$201,MATCH($B25,Summary!$A$2:$A$201,0))</f>
        <v>1</v>
      </c>
      <c r="R25" s="2" t="n">
        <f aca="false">INDEX(Summary!$N$2:$N$201,MATCH($B25,Summary!$A$2:$A$201,0))</f>
        <v>10.54</v>
      </c>
      <c r="S25" s="3" t="n">
        <f aca="false">INDEX(Summary!$O$2:$O$201,MATCH($B25,Summary!$A$2:$A$201,0))</f>
        <v>8</v>
      </c>
      <c r="T25" s="3" t="n">
        <f aca="false">INDEX(Summary!$P$2:$P$201,MATCH($B25,Summary!$A$2:$A$201,0))</f>
        <v>1</v>
      </c>
      <c r="U25" s="2" t="n">
        <f aca="false">INDEX(Summary!$Q$2:$Q$201,MATCH($B25,Summary!$A$2:$A$201,0))</f>
        <v>13.37</v>
      </c>
      <c r="V25" s="2" t="n">
        <f aca="false">INDEX(Summary!$R$2:$R$201,MATCH($B25,Summary!$A$2:$A$201,0))</f>
        <v>26.43</v>
      </c>
      <c r="W25" s="0" t="str">
        <f aca="false">INDEX(Summary!$S$2:$S$201,MATCH($B25,Summary!$A$2:$A$201,0))</f>
        <v>Silver</v>
      </c>
      <c r="X25" s="2" t="n">
        <f aca="false">INDEX(Summary!$T$2:$T$201,MATCH($B25,Summary!$A$2:$A$201,0))</f>
        <v>64.46</v>
      </c>
      <c r="Y25" s="0" t="str">
        <f aca="false">INDEX('Reward Model'!$E$18:$E$37,MATCH($E25,'Reward Model'!$A$18:$A$37,0))</f>
        <v>Low</v>
      </c>
      <c r="Z25" s="4" t="n">
        <f aca="false">ROUND(MIN(1,MAX('Reward Model'!$B$2,INDEX('Reward Model'!$C$12:$C$14,MATCH($K25,'Reward Model'!$A$12:$A$14,0))/$J25)),3)</f>
        <v>0.932</v>
      </c>
      <c r="AA25" s="2" t="n">
        <f aca="false">IF($I25="Correct",ROUND(INDEX('Reward Model'!$B$12:$B$14,MATCH($K25,'Reward Model'!$A$12:$A$14,0))*Z25,2),0)</f>
        <v>0.93</v>
      </c>
      <c r="AB25" s="2" t="n">
        <f aca="false">IF($I25="Correct",ROUND(INDEX('Reward Model'!$B$12:$B$14,MATCH($Y25,'Reward Model'!$A$12:$A$14,0))*Z25,2),0)</f>
        <v>0.93</v>
      </c>
    </row>
    <row r="26" customFormat="false" ht="15" hidden="false" customHeight="false" outlineLevel="0" collapsed="false">
      <c r="A26" s="0" t="s">
        <v>84</v>
      </c>
      <c r="B26" s="0" t="s">
        <v>85</v>
      </c>
      <c r="C26" s="0" t="s">
        <v>30</v>
      </c>
      <c r="D26" s="0" t="s">
        <v>31</v>
      </c>
      <c r="E26" s="0" t="n">
        <v>5</v>
      </c>
      <c r="F26" s="0" t="s">
        <v>46</v>
      </c>
      <c r="G26" s="0" t="s">
        <v>47</v>
      </c>
      <c r="H26" s="0" t="s">
        <v>47</v>
      </c>
      <c r="I26" s="0" t="s">
        <v>34</v>
      </c>
      <c r="J26" s="0" t="n">
        <v>1.67</v>
      </c>
      <c r="K26" s="0" t="s">
        <v>35</v>
      </c>
      <c r="L26" s="0" t="n">
        <f aca="false">INDEX(Summary!$F$2:$F$201,MATCH($B26,Summary!$A$2:$A$201,0))</f>
        <v>20</v>
      </c>
      <c r="M26" s="0" t="n">
        <f aca="false">INDEX(Summary!$I$2:$I$201,MATCH($B26,Summary!$A$2:$A$201,0))</f>
        <v>2</v>
      </c>
      <c r="N26" s="0" t="n">
        <f aca="false">INDEX(Summary!$J$2:$J$201,MATCH($B26,Summary!$A$2:$A$201,0))</f>
        <v>3</v>
      </c>
      <c r="O26" s="2" t="n">
        <f aca="false">INDEX(Summary!$K$2:$K$201,MATCH($B26,Summary!$A$2:$A$201,0))</f>
        <v>9.59</v>
      </c>
      <c r="P26" s="3" t="n">
        <f aca="false">INDEX(Summary!$L$2:$L$201,MATCH($B26,Summary!$A$2:$A$201,0))</f>
        <v>5</v>
      </c>
      <c r="Q26" s="3" t="n">
        <f aca="false">INDEX(Summary!$M$2:$M$201,MATCH($B26,Summary!$A$2:$A$201,0))</f>
        <v>1</v>
      </c>
      <c r="R26" s="2" t="n">
        <f aca="false">INDEX(Summary!$N$2:$N$201,MATCH($B26,Summary!$A$2:$A$201,0))</f>
        <v>10.54</v>
      </c>
      <c r="S26" s="3" t="n">
        <f aca="false">INDEX(Summary!$O$2:$O$201,MATCH($B26,Summary!$A$2:$A$201,0))</f>
        <v>8</v>
      </c>
      <c r="T26" s="3" t="n">
        <f aca="false">INDEX(Summary!$P$2:$P$201,MATCH($B26,Summary!$A$2:$A$201,0))</f>
        <v>1</v>
      </c>
      <c r="U26" s="2" t="n">
        <f aca="false">INDEX(Summary!$Q$2:$Q$201,MATCH($B26,Summary!$A$2:$A$201,0))</f>
        <v>13.37</v>
      </c>
      <c r="V26" s="2" t="n">
        <f aca="false">INDEX(Summary!$R$2:$R$201,MATCH($B26,Summary!$A$2:$A$201,0))</f>
        <v>26.43</v>
      </c>
      <c r="W26" s="0" t="str">
        <f aca="false">INDEX(Summary!$S$2:$S$201,MATCH($B26,Summary!$A$2:$A$201,0))</f>
        <v>Silver</v>
      </c>
      <c r="X26" s="2" t="n">
        <f aca="false">INDEX(Summary!$T$2:$T$201,MATCH($B26,Summary!$A$2:$A$201,0))</f>
        <v>64.46</v>
      </c>
      <c r="Y26" s="0" t="str">
        <f aca="false">INDEX('Reward Model'!$E$18:$E$37,MATCH($E26,'Reward Model'!$A$18:$A$37,0))</f>
        <v>Low</v>
      </c>
      <c r="Z26" s="4" t="n">
        <f aca="false">ROUND(MIN(1,MAX('Reward Model'!$B$2,INDEX('Reward Model'!$C$12:$C$14,MATCH($K26,'Reward Model'!$A$12:$A$14,0))/$J26)),3)</f>
        <v>0.898</v>
      </c>
      <c r="AA26" s="2" t="n">
        <f aca="false">IF($I26="Correct",ROUND(INDEX('Reward Model'!$B$12:$B$14,MATCH($K26,'Reward Model'!$A$12:$A$14,0))*Z26,2),0)</f>
        <v>0.9</v>
      </c>
      <c r="AB26" s="2" t="n">
        <f aca="false">IF($I26="Correct",ROUND(INDEX('Reward Model'!$B$12:$B$14,MATCH($Y26,'Reward Model'!$A$12:$A$14,0))*Z26,2),0)</f>
        <v>0.9</v>
      </c>
    </row>
    <row r="27" customFormat="false" ht="15" hidden="false" customHeight="false" outlineLevel="0" collapsed="false">
      <c r="A27" s="0" t="s">
        <v>84</v>
      </c>
      <c r="B27" s="0" t="s">
        <v>85</v>
      </c>
      <c r="C27" s="0" t="s">
        <v>30</v>
      </c>
      <c r="D27" s="0" t="s">
        <v>31</v>
      </c>
      <c r="E27" s="0" t="n">
        <v>6</v>
      </c>
      <c r="F27" s="0" t="s">
        <v>48</v>
      </c>
      <c r="G27" s="0" t="s">
        <v>49</v>
      </c>
      <c r="H27" s="0" t="s">
        <v>49</v>
      </c>
      <c r="I27" s="0" t="s">
        <v>34</v>
      </c>
      <c r="J27" s="0" t="n">
        <v>1.79</v>
      </c>
      <c r="K27" s="0" t="s">
        <v>35</v>
      </c>
      <c r="L27" s="0" t="n">
        <f aca="false">INDEX(Summary!$F$2:$F$201,MATCH($B27,Summary!$A$2:$A$201,0))</f>
        <v>20</v>
      </c>
      <c r="M27" s="0" t="n">
        <f aca="false">INDEX(Summary!$I$2:$I$201,MATCH($B27,Summary!$A$2:$A$201,0))</f>
        <v>2</v>
      </c>
      <c r="N27" s="0" t="n">
        <f aca="false">INDEX(Summary!$J$2:$J$201,MATCH($B27,Summary!$A$2:$A$201,0))</f>
        <v>3</v>
      </c>
      <c r="O27" s="2" t="n">
        <f aca="false">INDEX(Summary!$K$2:$K$201,MATCH($B27,Summary!$A$2:$A$201,0))</f>
        <v>9.59</v>
      </c>
      <c r="P27" s="3" t="n">
        <f aca="false">INDEX(Summary!$L$2:$L$201,MATCH($B27,Summary!$A$2:$A$201,0))</f>
        <v>5</v>
      </c>
      <c r="Q27" s="3" t="n">
        <f aca="false">INDEX(Summary!$M$2:$M$201,MATCH($B27,Summary!$A$2:$A$201,0))</f>
        <v>1</v>
      </c>
      <c r="R27" s="2" t="n">
        <f aca="false">INDEX(Summary!$N$2:$N$201,MATCH($B27,Summary!$A$2:$A$201,0))</f>
        <v>10.54</v>
      </c>
      <c r="S27" s="3" t="n">
        <f aca="false">INDEX(Summary!$O$2:$O$201,MATCH($B27,Summary!$A$2:$A$201,0))</f>
        <v>8</v>
      </c>
      <c r="T27" s="3" t="n">
        <f aca="false">INDEX(Summary!$P$2:$P$201,MATCH($B27,Summary!$A$2:$A$201,0))</f>
        <v>1</v>
      </c>
      <c r="U27" s="2" t="n">
        <f aca="false">INDEX(Summary!$Q$2:$Q$201,MATCH($B27,Summary!$A$2:$A$201,0))</f>
        <v>13.37</v>
      </c>
      <c r="V27" s="2" t="n">
        <f aca="false">INDEX(Summary!$R$2:$R$201,MATCH($B27,Summary!$A$2:$A$201,0))</f>
        <v>26.43</v>
      </c>
      <c r="W27" s="0" t="str">
        <f aca="false">INDEX(Summary!$S$2:$S$201,MATCH($B27,Summary!$A$2:$A$201,0))</f>
        <v>Silver</v>
      </c>
      <c r="X27" s="2" t="n">
        <f aca="false">INDEX(Summary!$T$2:$T$201,MATCH($B27,Summary!$A$2:$A$201,0))</f>
        <v>64.46</v>
      </c>
      <c r="Y27" s="0" t="str">
        <f aca="false">INDEX('Reward Model'!$E$18:$E$37,MATCH($E27,'Reward Model'!$A$18:$A$37,0))</f>
        <v>Medium</v>
      </c>
      <c r="Z27" s="4" t="n">
        <f aca="false">ROUND(MIN(1,MAX('Reward Model'!$B$2,INDEX('Reward Model'!$C$12:$C$14,MATCH($K27,'Reward Model'!$A$12:$A$14,0))/$J27)),3)</f>
        <v>0.838</v>
      </c>
      <c r="AA27" s="2" t="n">
        <f aca="false">IF($I27="Correct",ROUND(INDEX('Reward Model'!$B$12:$B$14,MATCH($K27,'Reward Model'!$A$12:$A$14,0))*Z27,2),0)</f>
        <v>0.84</v>
      </c>
      <c r="AB27" s="2" t="n">
        <f aca="false">IF($I27="Correct",ROUND(INDEX('Reward Model'!$B$12:$B$14,MATCH($Y27,'Reward Model'!$A$12:$A$14,0))*Z27,2),0)</f>
        <v>1.68</v>
      </c>
    </row>
    <row r="28" customFormat="false" ht="15" hidden="false" customHeight="false" outlineLevel="0" collapsed="false">
      <c r="A28" s="0" t="s">
        <v>84</v>
      </c>
      <c r="B28" s="0" t="s">
        <v>85</v>
      </c>
      <c r="C28" s="0" t="s">
        <v>30</v>
      </c>
      <c r="D28" s="0" t="s">
        <v>31</v>
      </c>
      <c r="E28" s="0" t="n">
        <v>7</v>
      </c>
      <c r="F28" s="0" t="s">
        <v>50</v>
      </c>
      <c r="G28" s="0" t="s">
        <v>51</v>
      </c>
      <c r="H28" s="0" t="s">
        <v>51</v>
      </c>
      <c r="I28" s="0" t="s">
        <v>34</v>
      </c>
      <c r="J28" s="0" t="n">
        <v>1.34</v>
      </c>
      <c r="K28" s="0" t="s">
        <v>35</v>
      </c>
      <c r="L28" s="0" t="n">
        <f aca="false">INDEX(Summary!$F$2:$F$201,MATCH($B28,Summary!$A$2:$A$201,0))</f>
        <v>20</v>
      </c>
      <c r="M28" s="0" t="n">
        <f aca="false">INDEX(Summary!$I$2:$I$201,MATCH($B28,Summary!$A$2:$A$201,0))</f>
        <v>2</v>
      </c>
      <c r="N28" s="0" t="n">
        <f aca="false">INDEX(Summary!$J$2:$J$201,MATCH($B28,Summary!$A$2:$A$201,0))</f>
        <v>3</v>
      </c>
      <c r="O28" s="2" t="n">
        <f aca="false">INDEX(Summary!$K$2:$K$201,MATCH($B28,Summary!$A$2:$A$201,0))</f>
        <v>9.59</v>
      </c>
      <c r="P28" s="3" t="n">
        <f aca="false">INDEX(Summary!$L$2:$L$201,MATCH($B28,Summary!$A$2:$A$201,0))</f>
        <v>5</v>
      </c>
      <c r="Q28" s="3" t="n">
        <f aca="false">INDEX(Summary!$M$2:$M$201,MATCH($B28,Summary!$A$2:$A$201,0))</f>
        <v>1</v>
      </c>
      <c r="R28" s="2" t="n">
        <f aca="false">INDEX(Summary!$N$2:$N$201,MATCH($B28,Summary!$A$2:$A$201,0))</f>
        <v>10.54</v>
      </c>
      <c r="S28" s="3" t="n">
        <f aca="false">INDEX(Summary!$O$2:$O$201,MATCH($B28,Summary!$A$2:$A$201,0))</f>
        <v>8</v>
      </c>
      <c r="T28" s="3" t="n">
        <f aca="false">INDEX(Summary!$P$2:$P$201,MATCH($B28,Summary!$A$2:$A$201,0))</f>
        <v>1</v>
      </c>
      <c r="U28" s="2" t="n">
        <f aca="false">INDEX(Summary!$Q$2:$Q$201,MATCH($B28,Summary!$A$2:$A$201,0))</f>
        <v>13.37</v>
      </c>
      <c r="V28" s="2" t="n">
        <f aca="false">INDEX(Summary!$R$2:$R$201,MATCH($B28,Summary!$A$2:$A$201,0))</f>
        <v>26.43</v>
      </c>
      <c r="W28" s="0" t="str">
        <f aca="false">INDEX(Summary!$S$2:$S$201,MATCH($B28,Summary!$A$2:$A$201,0))</f>
        <v>Silver</v>
      </c>
      <c r="X28" s="2" t="n">
        <f aca="false">INDEX(Summary!$T$2:$T$201,MATCH($B28,Summary!$A$2:$A$201,0))</f>
        <v>64.46</v>
      </c>
      <c r="Y28" s="0" t="str">
        <f aca="false">INDEX('Reward Model'!$E$18:$E$37,MATCH($E28,'Reward Model'!$A$18:$A$37,0))</f>
        <v>Low</v>
      </c>
      <c r="Z28" s="4" t="n">
        <f aca="false">ROUND(MIN(1,MAX('Reward Model'!$B$2,INDEX('Reward Model'!$C$12:$C$14,MATCH($K28,'Reward Model'!$A$12:$A$14,0))/$J28)),3)</f>
        <v>1</v>
      </c>
      <c r="AA28" s="2" t="n">
        <f aca="false">IF($I28="Correct",ROUND(INDEX('Reward Model'!$B$12:$B$14,MATCH($K28,'Reward Model'!$A$12:$A$14,0))*Z28,2),0)</f>
        <v>1</v>
      </c>
      <c r="AB28" s="2" t="n">
        <f aca="false">IF($I28="Correct",ROUND(INDEX('Reward Model'!$B$12:$B$14,MATCH($Y28,'Reward Model'!$A$12:$A$14,0))*Z28,2),0)</f>
        <v>1</v>
      </c>
    </row>
    <row r="29" customFormat="false" ht="15" hidden="false" customHeight="false" outlineLevel="0" collapsed="false">
      <c r="A29" s="0" t="s">
        <v>84</v>
      </c>
      <c r="B29" s="0" t="s">
        <v>85</v>
      </c>
      <c r="C29" s="0" t="s">
        <v>30</v>
      </c>
      <c r="D29" s="0" t="s">
        <v>31</v>
      </c>
      <c r="E29" s="0" t="n">
        <v>8</v>
      </c>
      <c r="F29" s="0" t="s">
        <v>52</v>
      </c>
      <c r="G29" s="0" t="s">
        <v>54</v>
      </c>
      <c r="H29" s="0" t="s">
        <v>54</v>
      </c>
      <c r="I29" s="0" t="s">
        <v>34</v>
      </c>
      <c r="J29" s="0" t="n">
        <v>1.12</v>
      </c>
      <c r="K29" s="0" t="s">
        <v>35</v>
      </c>
      <c r="L29" s="0" t="n">
        <f aca="false">INDEX(Summary!$F$2:$F$201,MATCH($B29,Summary!$A$2:$A$201,0))</f>
        <v>20</v>
      </c>
      <c r="M29" s="0" t="n">
        <f aca="false">INDEX(Summary!$I$2:$I$201,MATCH($B29,Summary!$A$2:$A$201,0))</f>
        <v>2</v>
      </c>
      <c r="N29" s="0" t="n">
        <f aca="false">INDEX(Summary!$J$2:$J$201,MATCH($B29,Summary!$A$2:$A$201,0))</f>
        <v>3</v>
      </c>
      <c r="O29" s="2" t="n">
        <f aca="false">INDEX(Summary!$K$2:$K$201,MATCH($B29,Summary!$A$2:$A$201,0))</f>
        <v>9.59</v>
      </c>
      <c r="P29" s="3" t="n">
        <f aca="false">INDEX(Summary!$L$2:$L$201,MATCH($B29,Summary!$A$2:$A$201,0))</f>
        <v>5</v>
      </c>
      <c r="Q29" s="3" t="n">
        <f aca="false">INDEX(Summary!$M$2:$M$201,MATCH($B29,Summary!$A$2:$A$201,0))</f>
        <v>1</v>
      </c>
      <c r="R29" s="2" t="n">
        <f aca="false">INDEX(Summary!$N$2:$N$201,MATCH($B29,Summary!$A$2:$A$201,0))</f>
        <v>10.54</v>
      </c>
      <c r="S29" s="3" t="n">
        <f aca="false">INDEX(Summary!$O$2:$O$201,MATCH($B29,Summary!$A$2:$A$201,0))</f>
        <v>8</v>
      </c>
      <c r="T29" s="3" t="n">
        <f aca="false">INDEX(Summary!$P$2:$P$201,MATCH($B29,Summary!$A$2:$A$201,0))</f>
        <v>1</v>
      </c>
      <c r="U29" s="2" t="n">
        <f aca="false">INDEX(Summary!$Q$2:$Q$201,MATCH($B29,Summary!$A$2:$A$201,0))</f>
        <v>13.37</v>
      </c>
      <c r="V29" s="2" t="n">
        <f aca="false">INDEX(Summary!$R$2:$R$201,MATCH($B29,Summary!$A$2:$A$201,0))</f>
        <v>26.43</v>
      </c>
      <c r="W29" s="0" t="str">
        <f aca="false">INDEX(Summary!$S$2:$S$201,MATCH($B29,Summary!$A$2:$A$201,0))</f>
        <v>Silver</v>
      </c>
      <c r="X29" s="2" t="n">
        <f aca="false">INDEX(Summary!$T$2:$T$201,MATCH($B29,Summary!$A$2:$A$201,0))</f>
        <v>64.46</v>
      </c>
      <c r="Y29" s="0" t="str">
        <f aca="false">INDEX('Reward Model'!$E$18:$E$37,MATCH($E29,'Reward Model'!$A$18:$A$37,0))</f>
        <v>Medium</v>
      </c>
      <c r="Z29" s="4" t="n">
        <f aca="false">ROUND(MIN(1,MAX('Reward Model'!$B$2,INDEX('Reward Model'!$C$12:$C$14,MATCH($K29,'Reward Model'!$A$12:$A$14,0))/$J29)),3)</f>
        <v>1</v>
      </c>
      <c r="AA29" s="2" t="n">
        <f aca="false">IF($I29="Correct",ROUND(INDEX('Reward Model'!$B$12:$B$14,MATCH($K29,'Reward Model'!$A$12:$A$14,0))*Z29,2),0)</f>
        <v>1</v>
      </c>
      <c r="AB29" s="2" t="n">
        <f aca="false">IF($I29="Correct",ROUND(INDEX('Reward Model'!$B$12:$B$14,MATCH($Y29,'Reward Model'!$A$12:$A$14,0))*Z29,2),0)</f>
        <v>2</v>
      </c>
    </row>
    <row r="30" customFormat="false" ht="15" hidden="false" customHeight="false" outlineLevel="0" collapsed="false">
      <c r="A30" s="0" t="s">
        <v>84</v>
      </c>
      <c r="B30" s="0" t="s">
        <v>85</v>
      </c>
      <c r="C30" s="0" t="s">
        <v>30</v>
      </c>
      <c r="D30" s="0" t="s">
        <v>31</v>
      </c>
      <c r="E30" s="0" t="n">
        <v>9</v>
      </c>
      <c r="F30" s="0" t="s">
        <v>55</v>
      </c>
      <c r="G30" s="0" t="s">
        <v>57</v>
      </c>
      <c r="H30" s="0" t="s">
        <v>57</v>
      </c>
      <c r="I30" s="0" t="s">
        <v>34</v>
      </c>
      <c r="J30" s="0" t="n">
        <v>1.82</v>
      </c>
      <c r="K30" s="0" t="s">
        <v>35</v>
      </c>
      <c r="L30" s="0" t="n">
        <f aca="false">INDEX(Summary!$F$2:$F$201,MATCH($B30,Summary!$A$2:$A$201,0))</f>
        <v>20</v>
      </c>
      <c r="M30" s="0" t="n">
        <f aca="false">INDEX(Summary!$I$2:$I$201,MATCH($B30,Summary!$A$2:$A$201,0))</f>
        <v>2</v>
      </c>
      <c r="N30" s="0" t="n">
        <f aca="false">INDEX(Summary!$J$2:$J$201,MATCH($B30,Summary!$A$2:$A$201,0))</f>
        <v>3</v>
      </c>
      <c r="O30" s="2" t="n">
        <f aca="false">INDEX(Summary!$K$2:$K$201,MATCH($B30,Summary!$A$2:$A$201,0))</f>
        <v>9.59</v>
      </c>
      <c r="P30" s="3" t="n">
        <f aca="false">INDEX(Summary!$L$2:$L$201,MATCH($B30,Summary!$A$2:$A$201,0))</f>
        <v>5</v>
      </c>
      <c r="Q30" s="3" t="n">
        <f aca="false">INDEX(Summary!$M$2:$M$201,MATCH($B30,Summary!$A$2:$A$201,0))</f>
        <v>1</v>
      </c>
      <c r="R30" s="2" t="n">
        <f aca="false">INDEX(Summary!$N$2:$N$201,MATCH($B30,Summary!$A$2:$A$201,0))</f>
        <v>10.54</v>
      </c>
      <c r="S30" s="3" t="n">
        <f aca="false">INDEX(Summary!$O$2:$O$201,MATCH($B30,Summary!$A$2:$A$201,0))</f>
        <v>8</v>
      </c>
      <c r="T30" s="3" t="n">
        <f aca="false">INDEX(Summary!$P$2:$P$201,MATCH($B30,Summary!$A$2:$A$201,0))</f>
        <v>1</v>
      </c>
      <c r="U30" s="2" t="n">
        <f aca="false">INDEX(Summary!$Q$2:$Q$201,MATCH($B30,Summary!$A$2:$A$201,0))</f>
        <v>13.37</v>
      </c>
      <c r="V30" s="2" t="n">
        <f aca="false">INDEX(Summary!$R$2:$R$201,MATCH($B30,Summary!$A$2:$A$201,0))</f>
        <v>26.43</v>
      </c>
      <c r="W30" s="0" t="str">
        <f aca="false">INDEX(Summary!$S$2:$S$201,MATCH($B30,Summary!$A$2:$A$201,0))</f>
        <v>Silver</v>
      </c>
      <c r="X30" s="2" t="n">
        <f aca="false">INDEX(Summary!$T$2:$T$201,MATCH($B30,Summary!$A$2:$A$201,0))</f>
        <v>64.46</v>
      </c>
      <c r="Y30" s="0" t="str">
        <f aca="false">INDEX('Reward Model'!$E$18:$E$37,MATCH($E30,'Reward Model'!$A$18:$A$37,0))</f>
        <v>Medium</v>
      </c>
      <c r="Z30" s="4" t="n">
        <f aca="false">ROUND(MIN(1,MAX('Reward Model'!$B$2,INDEX('Reward Model'!$C$12:$C$14,MATCH($K30,'Reward Model'!$A$12:$A$14,0))/$J30)),3)</f>
        <v>0.824</v>
      </c>
      <c r="AA30" s="2" t="n">
        <f aca="false">IF($I30="Correct",ROUND(INDEX('Reward Model'!$B$12:$B$14,MATCH($K30,'Reward Model'!$A$12:$A$14,0))*Z30,2),0)</f>
        <v>0.82</v>
      </c>
      <c r="AB30" s="2" t="n">
        <f aca="false">IF($I30="Correct",ROUND(INDEX('Reward Model'!$B$12:$B$14,MATCH($Y30,'Reward Model'!$A$12:$A$14,0))*Z30,2),0)</f>
        <v>1.65</v>
      </c>
    </row>
    <row r="31" customFormat="false" ht="15" hidden="false" customHeight="false" outlineLevel="0" collapsed="false">
      <c r="A31" s="0" t="s">
        <v>84</v>
      </c>
      <c r="B31" s="0" t="s">
        <v>85</v>
      </c>
      <c r="C31" s="0" t="s">
        <v>30</v>
      </c>
      <c r="D31" s="0" t="s">
        <v>31</v>
      </c>
      <c r="E31" s="0" t="n">
        <v>10</v>
      </c>
      <c r="F31" s="0" t="s">
        <v>58</v>
      </c>
      <c r="G31" s="0" t="s">
        <v>59</v>
      </c>
      <c r="H31" s="0" t="s">
        <v>59</v>
      </c>
      <c r="I31" s="0" t="s">
        <v>34</v>
      </c>
      <c r="J31" s="0" t="n">
        <v>1.11</v>
      </c>
      <c r="K31" s="0" t="s">
        <v>60</v>
      </c>
      <c r="L31" s="0" t="n">
        <f aca="false">INDEX(Summary!$F$2:$F$201,MATCH($B31,Summary!$A$2:$A$201,0))</f>
        <v>20</v>
      </c>
      <c r="M31" s="0" t="n">
        <f aca="false">INDEX(Summary!$I$2:$I$201,MATCH($B31,Summary!$A$2:$A$201,0))</f>
        <v>2</v>
      </c>
      <c r="N31" s="0" t="n">
        <f aca="false">INDEX(Summary!$J$2:$J$201,MATCH($B31,Summary!$A$2:$A$201,0))</f>
        <v>3</v>
      </c>
      <c r="O31" s="2" t="n">
        <f aca="false">INDEX(Summary!$K$2:$K$201,MATCH($B31,Summary!$A$2:$A$201,0))</f>
        <v>9.59</v>
      </c>
      <c r="P31" s="3" t="n">
        <f aca="false">INDEX(Summary!$L$2:$L$201,MATCH($B31,Summary!$A$2:$A$201,0))</f>
        <v>5</v>
      </c>
      <c r="Q31" s="3" t="n">
        <f aca="false">INDEX(Summary!$M$2:$M$201,MATCH($B31,Summary!$A$2:$A$201,0))</f>
        <v>1</v>
      </c>
      <c r="R31" s="2" t="n">
        <f aca="false">INDEX(Summary!$N$2:$N$201,MATCH($B31,Summary!$A$2:$A$201,0))</f>
        <v>10.54</v>
      </c>
      <c r="S31" s="3" t="n">
        <f aca="false">INDEX(Summary!$O$2:$O$201,MATCH($B31,Summary!$A$2:$A$201,0))</f>
        <v>8</v>
      </c>
      <c r="T31" s="3" t="n">
        <f aca="false">INDEX(Summary!$P$2:$P$201,MATCH($B31,Summary!$A$2:$A$201,0))</f>
        <v>1</v>
      </c>
      <c r="U31" s="2" t="n">
        <f aca="false">INDEX(Summary!$Q$2:$Q$201,MATCH($B31,Summary!$A$2:$A$201,0))</f>
        <v>13.37</v>
      </c>
      <c r="V31" s="2" t="n">
        <f aca="false">INDEX(Summary!$R$2:$R$201,MATCH($B31,Summary!$A$2:$A$201,0))</f>
        <v>26.43</v>
      </c>
      <c r="W31" s="0" t="str">
        <f aca="false">INDEX(Summary!$S$2:$S$201,MATCH($B31,Summary!$A$2:$A$201,0))</f>
        <v>Silver</v>
      </c>
      <c r="X31" s="2" t="n">
        <f aca="false">INDEX(Summary!$T$2:$T$201,MATCH($B31,Summary!$A$2:$A$201,0))</f>
        <v>64.46</v>
      </c>
      <c r="Y31" s="0" t="str">
        <f aca="false">INDEX('Reward Model'!$E$18:$E$37,MATCH($E31,'Reward Model'!$A$18:$A$37,0))</f>
        <v>Medium</v>
      </c>
      <c r="Z31" s="4" t="n">
        <f aca="false">ROUND(MIN(1,MAX('Reward Model'!$B$2,INDEX('Reward Model'!$C$12:$C$14,MATCH($K31,'Reward Model'!$A$12:$A$14,0))/$J31)),3)</f>
        <v>1</v>
      </c>
      <c r="AA31" s="2" t="n">
        <f aca="false">IF($I31="Correct",ROUND(INDEX('Reward Model'!$B$12:$B$14,MATCH($K31,'Reward Model'!$A$12:$A$14,0))*Z31,2),0)</f>
        <v>2</v>
      </c>
      <c r="AB31" s="2" t="n">
        <f aca="false">IF($I31="Correct",ROUND(INDEX('Reward Model'!$B$12:$B$14,MATCH($Y31,'Reward Model'!$A$12:$A$14,0))*Z31,2),0)</f>
        <v>2</v>
      </c>
    </row>
    <row r="32" customFormat="false" ht="15" hidden="false" customHeight="false" outlineLevel="0" collapsed="false">
      <c r="A32" s="0" t="s">
        <v>84</v>
      </c>
      <c r="B32" s="0" t="s">
        <v>85</v>
      </c>
      <c r="C32" s="0" t="s">
        <v>30</v>
      </c>
      <c r="D32" s="0" t="s">
        <v>31</v>
      </c>
      <c r="E32" s="0" t="n">
        <v>11</v>
      </c>
      <c r="F32" s="0" t="s">
        <v>61</v>
      </c>
      <c r="G32" s="0" t="s">
        <v>63</v>
      </c>
      <c r="H32" s="0" t="s">
        <v>63</v>
      </c>
      <c r="I32" s="0" t="s">
        <v>34</v>
      </c>
      <c r="J32" s="0" t="n">
        <v>1.28</v>
      </c>
      <c r="K32" s="0" t="s">
        <v>60</v>
      </c>
      <c r="L32" s="0" t="n">
        <f aca="false">INDEX(Summary!$F$2:$F$201,MATCH($B32,Summary!$A$2:$A$201,0))</f>
        <v>20</v>
      </c>
      <c r="M32" s="0" t="n">
        <f aca="false">INDEX(Summary!$I$2:$I$201,MATCH($B32,Summary!$A$2:$A$201,0))</f>
        <v>2</v>
      </c>
      <c r="N32" s="0" t="n">
        <f aca="false">INDEX(Summary!$J$2:$J$201,MATCH($B32,Summary!$A$2:$A$201,0))</f>
        <v>3</v>
      </c>
      <c r="O32" s="2" t="n">
        <f aca="false">INDEX(Summary!$K$2:$K$201,MATCH($B32,Summary!$A$2:$A$201,0))</f>
        <v>9.59</v>
      </c>
      <c r="P32" s="3" t="n">
        <f aca="false">INDEX(Summary!$L$2:$L$201,MATCH($B32,Summary!$A$2:$A$201,0))</f>
        <v>5</v>
      </c>
      <c r="Q32" s="3" t="n">
        <f aca="false">INDEX(Summary!$M$2:$M$201,MATCH($B32,Summary!$A$2:$A$201,0))</f>
        <v>1</v>
      </c>
      <c r="R32" s="2" t="n">
        <f aca="false">INDEX(Summary!$N$2:$N$201,MATCH($B32,Summary!$A$2:$A$201,0))</f>
        <v>10.54</v>
      </c>
      <c r="S32" s="3" t="n">
        <f aca="false">INDEX(Summary!$O$2:$O$201,MATCH($B32,Summary!$A$2:$A$201,0))</f>
        <v>8</v>
      </c>
      <c r="T32" s="3" t="n">
        <f aca="false">INDEX(Summary!$P$2:$P$201,MATCH($B32,Summary!$A$2:$A$201,0))</f>
        <v>1</v>
      </c>
      <c r="U32" s="2" t="n">
        <f aca="false">INDEX(Summary!$Q$2:$Q$201,MATCH($B32,Summary!$A$2:$A$201,0))</f>
        <v>13.37</v>
      </c>
      <c r="V32" s="2" t="n">
        <f aca="false">INDEX(Summary!$R$2:$R$201,MATCH($B32,Summary!$A$2:$A$201,0))</f>
        <v>26.43</v>
      </c>
      <c r="W32" s="0" t="str">
        <f aca="false">INDEX(Summary!$S$2:$S$201,MATCH($B32,Summary!$A$2:$A$201,0))</f>
        <v>Silver</v>
      </c>
      <c r="X32" s="2" t="n">
        <f aca="false">INDEX(Summary!$T$2:$T$201,MATCH($B32,Summary!$A$2:$A$201,0))</f>
        <v>64.46</v>
      </c>
      <c r="Y32" s="0" t="str">
        <f aca="false">INDEX('Reward Model'!$E$18:$E$37,MATCH($E32,'Reward Model'!$A$18:$A$37,0))</f>
        <v>Medium</v>
      </c>
      <c r="Z32" s="4" t="n">
        <f aca="false">ROUND(MIN(1,MAX('Reward Model'!$B$2,INDEX('Reward Model'!$C$12:$C$14,MATCH($K32,'Reward Model'!$A$12:$A$14,0))/$J32)),3)</f>
        <v>1</v>
      </c>
      <c r="AA32" s="2" t="n">
        <f aca="false">IF($I32="Correct",ROUND(INDEX('Reward Model'!$B$12:$B$14,MATCH($K32,'Reward Model'!$A$12:$A$14,0))*Z32,2),0)</f>
        <v>2</v>
      </c>
      <c r="AB32" s="2" t="n">
        <f aca="false">IF($I32="Correct",ROUND(INDEX('Reward Model'!$B$12:$B$14,MATCH($Y32,'Reward Model'!$A$12:$A$14,0))*Z32,2),0)</f>
        <v>2</v>
      </c>
    </row>
    <row r="33" customFormat="false" ht="15" hidden="false" customHeight="false" outlineLevel="0" collapsed="false">
      <c r="A33" s="0" t="s">
        <v>84</v>
      </c>
      <c r="B33" s="0" t="s">
        <v>85</v>
      </c>
      <c r="C33" s="0" t="s">
        <v>30</v>
      </c>
      <c r="D33" s="0" t="s">
        <v>31</v>
      </c>
      <c r="E33" s="0" t="n">
        <v>12</v>
      </c>
      <c r="F33" s="0" t="s">
        <v>64</v>
      </c>
      <c r="G33" s="0" t="s">
        <v>65</v>
      </c>
      <c r="H33" s="0" t="s">
        <v>65</v>
      </c>
      <c r="I33" s="0" t="s">
        <v>34</v>
      </c>
      <c r="J33" s="0" t="n">
        <v>2.16</v>
      </c>
      <c r="K33" s="0" t="s">
        <v>60</v>
      </c>
      <c r="L33" s="0" t="n">
        <f aca="false">INDEX(Summary!$F$2:$F$201,MATCH($B33,Summary!$A$2:$A$201,0))</f>
        <v>20</v>
      </c>
      <c r="M33" s="0" t="n">
        <f aca="false">INDEX(Summary!$I$2:$I$201,MATCH($B33,Summary!$A$2:$A$201,0))</f>
        <v>2</v>
      </c>
      <c r="N33" s="0" t="n">
        <f aca="false">INDEX(Summary!$J$2:$J$201,MATCH($B33,Summary!$A$2:$A$201,0))</f>
        <v>3</v>
      </c>
      <c r="O33" s="2" t="n">
        <f aca="false">INDEX(Summary!$K$2:$K$201,MATCH($B33,Summary!$A$2:$A$201,0))</f>
        <v>9.59</v>
      </c>
      <c r="P33" s="3" t="n">
        <f aca="false">INDEX(Summary!$L$2:$L$201,MATCH($B33,Summary!$A$2:$A$201,0))</f>
        <v>5</v>
      </c>
      <c r="Q33" s="3" t="n">
        <f aca="false">INDEX(Summary!$M$2:$M$201,MATCH($B33,Summary!$A$2:$A$201,0))</f>
        <v>1</v>
      </c>
      <c r="R33" s="2" t="n">
        <f aca="false">INDEX(Summary!$N$2:$N$201,MATCH($B33,Summary!$A$2:$A$201,0))</f>
        <v>10.54</v>
      </c>
      <c r="S33" s="3" t="n">
        <f aca="false">INDEX(Summary!$O$2:$O$201,MATCH($B33,Summary!$A$2:$A$201,0))</f>
        <v>8</v>
      </c>
      <c r="T33" s="3" t="n">
        <f aca="false">INDEX(Summary!$P$2:$P$201,MATCH($B33,Summary!$A$2:$A$201,0))</f>
        <v>1</v>
      </c>
      <c r="U33" s="2" t="n">
        <f aca="false">INDEX(Summary!$Q$2:$Q$201,MATCH($B33,Summary!$A$2:$A$201,0))</f>
        <v>13.37</v>
      </c>
      <c r="V33" s="2" t="n">
        <f aca="false">INDEX(Summary!$R$2:$R$201,MATCH($B33,Summary!$A$2:$A$201,0))</f>
        <v>26.43</v>
      </c>
      <c r="W33" s="0" t="str">
        <f aca="false">INDEX(Summary!$S$2:$S$201,MATCH($B33,Summary!$A$2:$A$201,0))</f>
        <v>Silver</v>
      </c>
      <c r="X33" s="2" t="n">
        <f aca="false">INDEX(Summary!$T$2:$T$201,MATCH($B33,Summary!$A$2:$A$201,0))</f>
        <v>64.46</v>
      </c>
      <c r="Y33" s="0" t="str">
        <f aca="false">INDEX('Reward Model'!$E$18:$E$37,MATCH($E33,'Reward Model'!$A$18:$A$37,0))</f>
        <v>Medium</v>
      </c>
      <c r="Z33" s="4" t="n">
        <f aca="false">ROUND(MIN(1,MAX('Reward Model'!$B$2,INDEX('Reward Model'!$C$12:$C$14,MATCH($K33,'Reward Model'!$A$12:$A$14,0))/$J33)),3)</f>
        <v>0.833</v>
      </c>
      <c r="AA33" s="2" t="n">
        <f aca="false">IF($I33="Correct",ROUND(INDEX('Reward Model'!$B$12:$B$14,MATCH($K33,'Reward Model'!$A$12:$A$14,0))*Z33,2),0)</f>
        <v>1.67</v>
      </c>
      <c r="AB33" s="2" t="n">
        <f aca="false">IF($I33="Correct",ROUND(INDEX('Reward Model'!$B$12:$B$14,MATCH($Y33,'Reward Model'!$A$12:$A$14,0))*Z33,2),0)</f>
        <v>1.67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30</v>
      </c>
      <c r="D34" s="0" t="s">
        <v>31</v>
      </c>
      <c r="E34" s="0" t="n">
        <v>13</v>
      </c>
      <c r="F34" s="0" t="s">
        <v>66</v>
      </c>
      <c r="G34" s="0" t="s">
        <v>67</v>
      </c>
      <c r="H34" s="0" t="s">
        <v>67</v>
      </c>
      <c r="I34" s="0" t="s">
        <v>34</v>
      </c>
      <c r="J34" s="0" t="n">
        <v>2.25</v>
      </c>
      <c r="K34" s="0" t="s">
        <v>60</v>
      </c>
      <c r="L34" s="0" t="n">
        <f aca="false">INDEX(Summary!$F$2:$F$201,MATCH($B34,Summary!$A$2:$A$201,0))</f>
        <v>20</v>
      </c>
      <c r="M34" s="0" t="n">
        <f aca="false">INDEX(Summary!$I$2:$I$201,MATCH($B34,Summary!$A$2:$A$201,0))</f>
        <v>2</v>
      </c>
      <c r="N34" s="0" t="n">
        <f aca="false">INDEX(Summary!$J$2:$J$201,MATCH($B34,Summary!$A$2:$A$201,0))</f>
        <v>3</v>
      </c>
      <c r="O34" s="2" t="n">
        <f aca="false">INDEX(Summary!$K$2:$K$201,MATCH($B34,Summary!$A$2:$A$201,0))</f>
        <v>9.59</v>
      </c>
      <c r="P34" s="3" t="n">
        <f aca="false">INDEX(Summary!$L$2:$L$201,MATCH($B34,Summary!$A$2:$A$201,0))</f>
        <v>5</v>
      </c>
      <c r="Q34" s="3" t="n">
        <f aca="false">INDEX(Summary!$M$2:$M$201,MATCH($B34,Summary!$A$2:$A$201,0))</f>
        <v>1</v>
      </c>
      <c r="R34" s="2" t="n">
        <f aca="false">INDEX(Summary!$N$2:$N$201,MATCH($B34,Summary!$A$2:$A$201,0))</f>
        <v>10.54</v>
      </c>
      <c r="S34" s="3" t="n">
        <f aca="false">INDEX(Summary!$O$2:$O$201,MATCH($B34,Summary!$A$2:$A$201,0))</f>
        <v>8</v>
      </c>
      <c r="T34" s="3" t="n">
        <f aca="false">INDEX(Summary!$P$2:$P$201,MATCH($B34,Summary!$A$2:$A$201,0))</f>
        <v>1</v>
      </c>
      <c r="U34" s="2" t="n">
        <f aca="false">INDEX(Summary!$Q$2:$Q$201,MATCH($B34,Summary!$A$2:$A$201,0))</f>
        <v>13.37</v>
      </c>
      <c r="V34" s="2" t="n">
        <f aca="false">INDEX(Summary!$R$2:$R$201,MATCH($B34,Summary!$A$2:$A$201,0))</f>
        <v>26.43</v>
      </c>
      <c r="W34" s="0" t="str">
        <f aca="false">INDEX(Summary!$S$2:$S$201,MATCH($B34,Summary!$A$2:$A$201,0))</f>
        <v>Silver</v>
      </c>
      <c r="X34" s="2" t="n">
        <f aca="false">INDEX(Summary!$T$2:$T$201,MATCH($B34,Summary!$A$2:$A$201,0))</f>
        <v>64.46</v>
      </c>
      <c r="Y34" s="0" t="str">
        <f aca="false">INDEX('Reward Model'!$E$18:$E$37,MATCH($E34,'Reward Model'!$A$18:$A$37,0))</f>
        <v>Medium</v>
      </c>
      <c r="Z34" s="4" t="n">
        <f aca="false">ROUND(MIN(1,MAX('Reward Model'!$B$2,INDEX('Reward Model'!$C$12:$C$14,MATCH($K34,'Reward Model'!$A$12:$A$14,0))/$J34)),3)</f>
        <v>0.8</v>
      </c>
      <c r="AA34" s="2" t="n">
        <f aca="false">IF($I34="Correct",ROUND(INDEX('Reward Model'!$B$12:$B$14,MATCH($K34,'Reward Model'!$A$12:$A$14,0))*Z34,2),0)</f>
        <v>1.6</v>
      </c>
      <c r="AB34" s="2" t="n">
        <f aca="false">IF($I34="Correct",ROUND(INDEX('Reward Model'!$B$12:$B$14,MATCH($Y34,'Reward Model'!$A$12:$A$14,0))*Z34,2),0)</f>
        <v>1.6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s">
        <v>30</v>
      </c>
      <c r="D35" s="0" t="s">
        <v>31</v>
      </c>
      <c r="E35" s="0" t="n">
        <v>14</v>
      </c>
      <c r="F35" s="0" t="s">
        <v>68</v>
      </c>
      <c r="G35" s="0" t="s">
        <v>86</v>
      </c>
      <c r="H35" s="0" t="s">
        <v>51</v>
      </c>
      <c r="I35" s="0" t="s">
        <v>39</v>
      </c>
      <c r="J35" s="0" t="n">
        <v>2.21</v>
      </c>
      <c r="K35" s="0" t="s">
        <v>60</v>
      </c>
      <c r="L35" s="0" t="n">
        <f aca="false">INDEX(Summary!$F$2:$F$201,MATCH($B35,Summary!$A$2:$A$201,0))</f>
        <v>20</v>
      </c>
      <c r="M35" s="0" t="n">
        <f aca="false">INDEX(Summary!$I$2:$I$201,MATCH($B35,Summary!$A$2:$A$201,0))</f>
        <v>2</v>
      </c>
      <c r="N35" s="0" t="n">
        <f aca="false">INDEX(Summary!$J$2:$J$201,MATCH($B35,Summary!$A$2:$A$201,0))</f>
        <v>3</v>
      </c>
      <c r="O35" s="2" t="n">
        <f aca="false">INDEX(Summary!$K$2:$K$201,MATCH($B35,Summary!$A$2:$A$201,0))</f>
        <v>9.59</v>
      </c>
      <c r="P35" s="3" t="n">
        <f aca="false">INDEX(Summary!$L$2:$L$201,MATCH($B35,Summary!$A$2:$A$201,0))</f>
        <v>5</v>
      </c>
      <c r="Q35" s="3" t="n">
        <f aca="false">INDEX(Summary!$M$2:$M$201,MATCH($B35,Summary!$A$2:$A$201,0))</f>
        <v>1</v>
      </c>
      <c r="R35" s="2" t="n">
        <f aca="false">INDEX(Summary!$N$2:$N$201,MATCH($B35,Summary!$A$2:$A$201,0))</f>
        <v>10.54</v>
      </c>
      <c r="S35" s="3" t="n">
        <f aca="false">INDEX(Summary!$O$2:$O$201,MATCH($B35,Summary!$A$2:$A$201,0))</f>
        <v>8</v>
      </c>
      <c r="T35" s="3" t="n">
        <f aca="false">INDEX(Summary!$P$2:$P$201,MATCH($B35,Summary!$A$2:$A$201,0))</f>
        <v>1</v>
      </c>
      <c r="U35" s="2" t="n">
        <f aca="false">INDEX(Summary!$Q$2:$Q$201,MATCH($B35,Summary!$A$2:$A$201,0))</f>
        <v>13.37</v>
      </c>
      <c r="V35" s="2" t="n">
        <f aca="false">INDEX(Summary!$R$2:$R$201,MATCH($B35,Summary!$A$2:$A$201,0))</f>
        <v>26.43</v>
      </c>
      <c r="W35" s="0" t="str">
        <f aca="false">INDEX(Summary!$S$2:$S$201,MATCH($B35,Summary!$A$2:$A$201,0))</f>
        <v>Silver</v>
      </c>
      <c r="X35" s="2" t="n">
        <f aca="false">INDEX(Summary!$T$2:$T$201,MATCH($B35,Summary!$A$2:$A$201,0))</f>
        <v>64.46</v>
      </c>
      <c r="Y35" s="0" t="str">
        <f aca="false">INDEX('Reward Model'!$E$18:$E$37,MATCH($E35,'Reward Model'!$A$18:$A$37,0))</f>
        <v>Medium</v>
      </c>
      <c r="Z35" s="4" t="n">
        <f aca="false">ROUND(MIN(1,MAX('Reward Model'!$B$2,INDEX('Reward Model'!$C$12:$C$14,MATCH($K35,'Reward Model'!$A$12:$A$14,0))/$J35)),3)</f>
        <v>0.814</v>
      </c>
      <c r="AA35" s="2" t="n">
        <f aca="false">IF($I35="Correct",ROUND(INDEX('Reward Model'!$B$12:$B$14,MATCH($K35,'Reward Model'!$A$12:$A$14,0))*Z35,2),0)</f>
        <v>0</v>
      </c>
      <c r="AB35" s="2" t="n">
        <f aca="false">IF($I35="Correct",ROUND(INDEX('Reward Model'!$B$12:$B$14,MATCH($Y35,'Reward Model'!$A$12:$A$14,0))*Z35,2),0)</f>
        <v>0</v>
      </c>
    </row>
    <row r="36" customFormat="false" ht="15" hidden="false" customHeight="false" outlineLevel="0" collapsed="false">
      <c r="A36" s="0" t="s">
        <v>84</v>
      </c>
      <c r="B36" s="0" t="s">
        <v>85</v>
      </c>
      <c r="C36" s="0" t="s">
        <v>30</v>
      </c>
      <c r="D36" s="0" t="s">
        <v>31</v>
      </c>
      <c r="E36" s="0" t="n">
        <v>15</v>
      </c>
      <c r="F36" s="0" t="s">
        <v>69</v>
      </c>
      <c r="G36" s="0" t="s">
        <v>70</v>
      </c>
      <c r="H36" s="0" t="s">
        <v>70</v>
      </c>
      <c r="I36" s="0" t="s">
        <v>34</v>
      </c>
      <c r="J36" s="0" t="n">
        <v>1.53</v>
      </c>
      <c r="K36" s="0" t="s">
        <v>60</v>
      </c>
      <c r="L36" s="0" t="n">
        <f aca="false">INDEX(Summary!$F$2:$F$201,MATCH($B36,Summary!$A$2:$A$201,0))</f>
        <v>20</v>
      </c>
      <c r="M36" s="0" t="n">
        <f aca="false">INDEX(Summary!$I$2:$I$201,MATCH($B36,Summary!$A$2:$A$201,0))</f>
        <v>2</v>
      </c>
      <c r="N36" s="0" t="n">
        <f aca="false">INDEX(Summary!$J$2:$J$201,MATCH($B36,Summary!$A$2:$A$201,0))</f>
        <v>3</v>
      </c>
      <c r="O36" s="2" t="n">
        <f aca="false">INDEX(Summary!$K$2:$K$201,MATCH($B36,Summary!$A$2:$A$201,0))</f>
        <v>9.59</v>
      </c>
      <c r="P36" s="3" t="n">
        <f aca="false">INDEX(Summary!$L$2:$L$201,MATCH($B36,Summary!$A$2:$A$201,0))</f>
        <v>5</v>
      </c>
      <c r="Q36" s="3" t="n">
        <f aca="false">INDEX(Summary!$M$2:$M$201,MATCH($B36,Summary!$A$2:$A$201,0))</f>
        <v>1</v>
      </c>
      <c r="R36" s="2" t="n">
        <f aca="false">INDEX(Summary!$N$2:$N$201,MATCH($B36,Summary!$A$2:$A$201,0))</f>
        <v>10.54</v>
      </c>
      <c r="S36" s="3" t="n">
        <f aca="false">INDEX(Summary!$O$2:$O$201,MATCH($B36,Summary!$A$2:$A$201,0))</f>
        <v>8</v>
      </c>
      <c r="T36" s="3" t="n">
        <f aca="false">INDEX(Summary!$P$2:$P$201,MATCH($B36,Summary!$A$2:$A$201,0))</f>
        <v>1</v>
      </c>
      <c r="U36" s="2" t="n">
        <f aca="false">INDEX(Summary!$Q$2:$Q$201,MATCH($B36,Summary!$A$2:$A$201,0))</f>
        <v>13.37</v>
      </c>
      <c r="V36" s="2" t="n">
        <f aca="false">INDEX(Summary!$R$2:$R$201,MATCH($B36,Summary!$A$2:$A$201,0))</f>
        <v>26.43</v>
      </c>
      <c r="W36" s="0" t="str">
        <f aca="false">INDEX(Summary!$S$2:$S$201,MATCH($B36,Summary!$A$2:$A$201,0))</f>
        <v>Silver</v>
      </c>
      <c r="X36" s="2" t="n">
        <f aca="false">INDEX(Summary!$T$2:$T$201,MATCH($B36,Summary!$A$2:$A$201,0))</f>
        <v>64.46</v>
      </c>
      <c r="Y36" s="0" t="str">
        <f aca="false">INDEX('Reward Model'!$E$18:$E$37,MATCH($E36,'Reward Model'!$A$18:$A$37,0))</f>
        <v>Medium</v>
      </c>
      <c r="Z36" s="4" t="n">
        <f aca="false">ROUND(MIN(1,MAX('Reward Model'!$B$2,INDEX('Reward Model'!$C$12:$C$14,MATCH($K36,'Reward Model'!$A$12:$A$14,0))/$J36)),3)</f>
        <v>1</v>
      </c>
      <c r="AA36" s="2" t="n">
        <f aca="false">IF($I36="Correct",ROUND(INDEX('Reward Model'!$B$12:$B$14,MATCH($K36,'Reward Model'!$A$12:$A$14,0))*Z36,2),0)</f>
        <v>2</v>
      </c>
      <c r="AB36" s="2" t="n">
        <f aca="false">IF($I36="Correct",ROUND(INDEX('Reward Model'!$B$12:$B$14,MATCH($Y36,'Reward Model'!$A$12:$A$14,0))*Z36,2),0)</f>
        <v>2</v>
      </c>
    </row>
    <row r="37" customFormat="false" ht="15" hidden="false" customHeight="false" outlineLevel="0" collapsed="false">
      <c r="A37" s="0" t="s">
        <v>84</v>
      </c>
      <c r="B37" s="0" t="s">
        <v>85</v>
      </c>
      <c r="C37" s="0" t="s">
        <v>30</v>
      </c>
      <c r="D37" s="0" t="s">
        <v>31</v>
      </c>
      <c r="E37" s="0" t="n">
        <v>16</v>
      </c>
      <c r="F37" s="0" t="s">
        <v>71</v>
      </c>
      <c r="G37" s="0" t="s">
        <v>87</v>
      </c>
      <c r="H37" s="0" t="s">
        <v>72</v>
      </c>
      <c r="I37" s="0" t="s">
        <v>39</v>
      </c>
      <c r="J37" s="0" t="n">
        <v>1.56</v>
      </c>
      <c r="K37" s="0" t="s">
        <v>73</v>
      </c>
      <c r="L37" s="0" t="n">
        <f aca="false">INDEX(Summary!$F$2:$F$201,MATCH($B37,Summary!$A$2:$A$201,0))</f>
        <v>20</v>
      </c>
      <c r="M37" s="0" t="n">
        <f aca="false">INDEX(Summary!$I$2:$I$201,MATCH($B37,Summary!$A$2:$A$201,0))</f>
        <v>2</v>
      </c>
      <c r="N37" s="0" t="n">
        <f aca="false">INDEX(Summary!$J$2:$J$201,MATCH($B37,Summary!$A$2:$A$201,0))</f>
        <v>3</v>
      </c>
      <c r="O37" s="2" t="n">
        <f aca="false">INDEX(Summary!$K$2:$K$201,MATCH($B37,Summary!$A$2:$A$201,0))</f>
        <v>9.59</v>
      </c>
      <c r="P37" s="3" t="n">
        <f aca="false">INDEX(Summary!$L$2:$L$201,MATCH($B37,Summary!$A$2:$A$201,0))</f>
        <v>5</v>
      </c>
      <c r="Q37" s="3" t="n">
        <f aca="false">INDEX(Summary!$M$2:$M$201,MATCH($B37,Summary!$A$2:$A$201,0))</f>
        <v>1</v>
      </c>
      <c r="R37" s="2" t="n">
        <f aca="false">INDEX(Summary!$N$2:$N$201,MATCH($B37,Summary!$A$2:$A$201,0))</f>
        <v>10.54</v>
      </c>
      <c r="S37" s="3" t="n">
        <f aca="false">INDEX(Summary!$O$2:$O$201,MATCH($B37,Summary!$A$2:$A$201,0))</f>
        <v>8</v>
      </c>
      <c r="T37" s="3" t="n">
        <f aca="false">INDEX(Summary!$P$2:$P$201,MATCH($B37,Summary!$A$2:$A$201,0))</f>
        <v>1</v>
      </c>
      <c r="U37" s="2" t="n">
        <f aca="false">INDEX(Summary!$Q$2:$Q$201,MATCH($B37,Summary!$A$2:$A$201,0))</f>
        <v>13.37</v>
      </c>
      <c r="V37" s="2" t="n">
        <f aca="false">INDEX(Summary!$R$2:$R$201,MATCH($B37,Summary!$A$2:$A$201,0))</f>
        <v>26.43</v>
      </c>
      <c r="W37" s="0" t="str">
        <f aca="false">INDEX(Summary!$S$2:$S$201,MATCH($B37,Summary!$A$2:$A$201,0))</f>
        <v>Silver</v>
      </c>
      <c r="X37" s="2" t="n">
        <f aca="false">INDEX(Summary!$T$2:$T$201,MATCH($B37,Summary!$A$2:$A$201,0))</f>
        <v>64.46</v>
      </c>
      <c r="Y37" s="0" t="str">
        <f aca="false">INDEX('Reward Model'!$E$18:$E$37,MATCH($E37,'Reward Model'!$A$18:$A$37,0))</f>
        <v>High</v>
      </c>
      <c r="Z37" s="4" t="n">
        <f aca="false">ROUND(MIN(1,MAX('Reward Model'!$B$2,INDEX('Reward Model'!$C$12:$C$14,MATCH($K37,'Reward Model'!$A$12:$A$14,0))/$J37)),3)</f>
        <v>1</v>
      </c>
      <c r="AA37" s="2" t="n">
        <f aca="false">IF($I37="Correct",ROUND(INDEX('Reward Model'!$B$12:$B$14,MATCH($K37,'Reward Model'!$A$12:$A$14,0))*Z37,2),0)</f>
        <v>0</v>
      </c>
      <c r="AB37" s="2" t="n">
        <f aca="false">IF($I37="Correct",ROUND(INDEX('Reward Model'!$B$12:$B$14,MATCH($Y37,'Reward Model'!$A$12:$A$14,0))*Z37,2),0)</f>
        <v>0</v>
      </c>
    </row>
    <row r="38" customFormat="false" ht="15" hidden="false" customHeight="false" outlineLevel="0" collapsed="false">
      <c r="A38" s="0" t="s">
        <v>84</v>
      </c>
      <c r="B38" s="0" t="s">
        <v>85</v>
      </c>
      <c r="C38" s="0" t="s">
        <v>30</v>
      </c>
      <c r="D38" s="0" t="s">
        <v>31</v>
      </c>
      <c r="E38" s="0" t="n">
        <v>17</v>
      </c>
      <c r="F38" s="0" t="s">
        <v>74</v>
      </c>
      <c r="G38" s="0" t="s">
        <v>75</v>
      </c>
      <c r="H38" s="0" t="s">
        <v>75</v>
      </c>
      <c r="I38" s="0" t="s">
        <v>34</v>
      </c>
      <c r="J38" s="0" t="n">
        <v>1.88</v>
      </c>
      <c r="K38" s="0" t="s">
        <v>73</v>
      </c>
      <c r="L38" s="0" t="n">
        <f aca="false">INDEX(Summary!$F$2:$F$201,MATCH($B38,Summary!$A$2:$A$201,0))</f>
        <v>20</v>
      </c>
      <c r="M38" s="0" t="n">
        <f aca="false">INDEX(Summary!$I$2:$I$201,MATCH($B38,Summary!$A$2:$A$201,0))</f>
        <v>2</v>
      </c>
      <c r="N38" s="0" t="n">
        <f aca="false">INDEX(Summary!$J$2:$J$201,MATCH($B38,Summary!$A$2:$A$201,0))</f>
        <v>3</v>
      </c>
      <c r="O38" s="2" t="n">
        <f aca="false">INDEX(Summary!$K$2:$K$201,MATCH($B38,Summary!$A$2:$A$201,0))</f>
        <v>9.59</v>
      </c>
      <c r="P38" s="3" t="n">
        <f aca="false">INDEX(Summary!$L$2:$L$201,MATCH($B38,Summary!$A$2:$A$201,0))</f>
        <v>5</v>
      </c>
      <c r="Q38" s="3" t="n">
        <f aca="false">INDEX(Summary!$M$2:$M$201,MATCH($B38,Summary!$A$2:$A$201,0))</f>
        <v>1</v>
      </c>
      <c r="R38" s="2" t="n">
        <f aca="false">INDEX(Summary!$N$2:$N$201,MATCH($B38,Summary!$A$2:$A$201,0))</f>
        <v>10.54</v>
      </c>
      <c r="S38" s="3" t="n">
        <f aca="false">INDEX(Summary!$O$2:$O$201,MATCH($B38,Summary!$A$2:$A$201,0))</f>
        <v>8</v>
      </c>
      <c r="T38" s="3" t="n">
        <f aca="false">INDEX(Summary!$P$2:$P$201,MATCH($B38,Summary!$A$2:$A$201,0))</f>
        <v>1</v>
      </c>
      <c r="U38" s="2" t="n">
        <f aca="false">INDEX(Summary!$Q$2:$Q$201,MATCH($B38,Summary!$A$2:$A$201,0))</f>
        <v>13.37</v>
      </c>
      <c r="V38" s="2" t="n">
        <f aca="false">INDEX(Summary!$R$2:$R$201,MATCH($B38,Summary!$A$2:$A$201,0))</f>
        <v>26.43</v>
      </c>
      <c r="W38" s="0" t="str">
        <f aca="false">INDEX(Summary!$S$2:$S$201,MATCH($B38,Summary!$A$2:$A$201,0))</f>
        <v>Silver</v>
      </c>
      <c r="X38" s="2" t="n">
        <f aca="false">INDEX(Summary!$T$2:$T$201,MATCH($B38,Summary!$A$2:$A$201,0))</f>
        <v>64.46</v>
      </c>
      <c r="Y38" s="0" t="str">
        <f aca="false">INDEX('Reward Model'!$E$18:$E$37,MATCH($E38,'Reward Model'!$A$18:$A$37,0))</f>
        <v>High</v>
      </c>
      <c r="Z38" s="4" t="n">
        <f aca="false">ROUND(MIN(1,MAX('Reward Model'!$B$2,INDEX('Reward Model'!$C$12:$C$14,MATCH($K38,'Reward Model'!$A$12:$A$14,0))/$J38)),3)</f>
        <v>1</v>
      </c>
      <c r="AA38" s="2" t="n">
        <f aca="false">IF($I38="Correct",ROUND(INDEX('Reward Model'!$B$12:$B$14,MATCH($K38,'Reward Model'!$A$12:$A$14,0))*Z38,2),0)</f>
        <v>3</v>
      </c>
      <c r="AB38" s="2" t="n">
        <f aca="false">IF($I38="Correct",ROUND(INDEX('Reward Model'!$B$12:$B$14,MATCH($Y38,'Reward Model'!$A$12:$A$14,0))*Z38,2),0)</f>
        <v>3</v>
      </c>
    </row>
    <row r="39" customFormat="false" ht="15" hidden="false" customHeight="false" outlineLevel="0" collapsed="false">
      <c r="A39" s="0" t="s">
        <v>84</v>
      </c>
      <c r="B39" s="0" t="s">
        <v>85</v>
      </c>
      <c r="C39" s="0" t="s">
        <v>30</v>
      </c>
      <c r="D39" s="0" t="s">
        <v>31</v>
      </c>
      <c r="E39" s="0" t="n">
        <v>18</v>
      </c>
      <c r="F39" s="0" t="s">
        <v>76</v>
      </c>
      <c r="G39" s="0" t="s">
        <v>88</v>
      </c>
      <c r="H39" s="0" t="s">
        <v>77</v>
      </c>
      <c r="I39" s="0" t="s">
        <v>39</v>
      </c>
      <c r="J39" s="0" t="n">
        <v>2.27</v>
      </c>
      <c r="K39" s="0" t="s">
        <v>73</v>
      </c>
      <c r="L39" s="0" t="n">
        <f aca="false">INDEX(Summary!$F$2:$F$201,MATCH($B39,Summary!$A$2:$A$201,0))</f>
        <v>20</v>
      </c>
      <c r="M39" s="0" t="n">
        <f aca="false">INDEX(Summary!$I$2:$I$201,MATCH($B39,Summary!$A$2:$A$201,0))</f>
        <v>2</v>
      </c>
      <c r="N39" s="0" t="n">
        <f aca="false">INDEX(Summary!$J$2:$J$201,MATCH($B39,Summary!$A$2:$A$201,0))</f>
        <v>3</v>
      </c>
      <c r="O39" s="2" t="n">
        <f aca="false">INDEX(Summary!$K$2:$K$201,MATCH($B39,Summary!$A$2:$A$201,0))</f>
        <v>9.59</v>
      </c>
      <c r="P39" s="3" t="n">
        <f aca="false">INDEX(Summary!$L$2:$L$201,MATCH($B39,Summary!$A$2:$A$201,0))</f>
        <v>5</v>
      </c>
      <c r="Q39" s="3" t="n">
        <f aca="false">INDEX(Summary!$M$2:$M$201,MATCH($B39,Summary!$A$2:$A$201,0))</f>
        <v>1</v>
      </c>
      <c r="R39" s="2" t="n">
        <f aca="false">INDEX(Summary!$N$2:$N$201,MATCH($B39,Summary!$A$2:$A$201,0))</f>
        <v>10.54</v>
      </c>
      <c r="S39" s="3" t="n">
        <f aca="false">INDEX(Summary!$O$2:$O$201,MATCH($B39,Summary!$A$2:$A$201,0))</f>
        <v>8</v>
      </c>
      <c r="T39" s="3" t="n">
        <f aca="false">INDEX(Summary!$P$2:$P$201,MATCH($B39,Summary!$A$2:$A$201,0))</f>
        <v>1</v>
      </c>
      <c r="U39" s="2" t="n">
        <f aca="false">INDEX(Summary!$Q$2:$Q$201,MATCH($B39,Summary!$A$2:$A$201,0))</f>
        <v>13.37</v>
      </c>
      <c r="V39" s="2" t="n">
        <f aca="false">INDEX(Summary!$R$2:$R$201,MATCH($B39,Summary!$A$2:$A$201,0))</f>
        <v>26.43</v>
      </c>
      <c r="W39" s="0" t="str">
        <f aca="false">INDEX(Summary!$S$2:$S$201,MATCH($B39,Summary!$A$2:$A$201,0))</f>
        <v>Silver</v>
      </c>
      <c r="X39" s="2" t="n">
        <f aca="false">INDEX(Summary!$T$2:$T$201,MATCH($B39,Summary!$A$2:$A$201,0))</f>
        <v>64.46</v>
      </c>
      <c r="Y39" s="0" t="str">
        <f aca="false">INDEX('Reward Model'!$E$18:$E$37,MATCH($E39,'Reward Model'!$A$18:$A$37,0))</f>
        <v>High</v>
      </c>
      <c r="Z39" s="4" t="n">
        <f aca="false">ROUND(MIN(1,MAX('Reward Model'!$B$2,INDEX('Reward Model'!$C$12:$C$14,MATCH($K39,'Reward Model'!$A$12:$A$14,0))/$J39)),3)</f>
        <v>0.881</v>
      </c>
      <c r="AA39" s="2" t="n">
        <f aca="false">IF($I39="Correct",ROUND(INDEX('Reward Model'!$B$12:$B$14,MATCH($K39,'Reward Model'!$A$12:$A$14,0))*Z39,2),0)</f>
        <v>0</v>
      </c>
      <c r="AB39" s="2" t="n">
        <f aca="false">IF($I39="Correct",ROUND(INDEX('Reward Model'!$B$12:$B$14,MATCH($Y39,'Reward Model'!$A$12:$A$14,0))*Z39,2),0)</f>
        <v>0</v>
      </c>
    </row>
    <row r="40" customFormat="false" ht="15" hidden="false" customHeight="false" outlineLevel="0" collapsed="false">
      <c r="A40" s="0" t="s">
        <v>84</v>
      </c>
      <c r="B40" s="0" t="s">
        <v>85</v>
      </c>
      <c r="C40" s="0" t="s">
        <v>30</v>
      </c>
      <c r="D40" s="0" t="s">
        <v>31</v>
      </c>
      <c r="E40" s="0" t="n">
        <v>19</v>
      </c>
      <c r="F40" s="0" t="s">
        <v>78</v>
      </c>
      <c r="G40" s="0" t="s">
        <v>80</v>
      </c>
      <c r="H40" s="0" t="s">
        <v>80</v>
      </c>
      <c r="I40" s="0" t="s">
        <v>34</v>
      </c>
      <c r="J40" s="0" t="n">
        <v>1.9</v>
      </c>
      <c r="K40" s="0" t="s">
        <v>73</v>
      </c>
      <c r="L40" s="0" t="n">
        <f aca="false">INDEX(Summary!$F$2:$F$201,MATCH($B40,Summary!$A$2:$A$201,0))</f>
        <v>20</v>
      </c>
      <c r="M40" s="0" t="n">
        <f aca="false">INDEX(Summary!$I$2:$I$201,MATCH($B40,Summary!$A$2:$A$201,0))</f>
        <v>2</v>
      </c>
      <c r="N40" s="0" t="n">
        <f aca="false">INDEX(Summary!$J$2:$J$201,MATCH($B40,Summary!$A$2:$A$201,0))</f>
        <v>3</v>
      </c>
      <c r="O40" s="2" t="n">
        <f aca="false">INDEX(Summary!$K$2:$K$201,MATCH($B40,Summary!$A$2:$A$201,0))</f>
        <v>9.59</v>
      </c>
      <c r="P40" s="3" t="n">
        <f aca="false">INDEX(Summary!$L$2:$L$201,MATCH($B40,Summary!$A$2:$A$201,0))</f>
        <v>5</v>
      </c>
      <c r="Q40" s="3" t="n">
        <f aca="false">INDEX(Summary!$M$2:$M$201,MATCH($B40,Summary!$A$2:$A$201,0))</f>
        <v>1</v>
      </c>
      <c r="R40" s="2" t="n">
        <f aca="false">INDEX(Summary!$N$2:$N$201,MATCH($B40,Summary!$A$2:$A$201,0))</f>
        <v>10.54</v>
      </c>
      <c r="S40" s="3" t="n">
        <f aca="false">INDEX(Summary!$O$2:$O$201,MATCH($B40,Summary!$A$2:$A$201,0))</f>
        <v>8</v>
      </c>
      <c r="T40" s="3" t="n">
        <f aca="false">INDEX(Summary!$P$2:$P$201,MATCH($B40,Summary!$A$2:$A$201,0))</f>
        <v>1</v>
      </c>
      <c r="U40" s="2" t="n">
        <f aca="false">INDEX(Summary!$Q$2:$Q$201,MATCH($B40,Summary!$A$2:$A$201,0))</f>
        <v>13.37</v>
      </c>
      <c r="V40" s="2" t="n">
        <f aca="false">INDEX(Summary!$R$2:$R$201,MATCH($B40,Summary!$A$2:$A$201,0))</f>
        <v>26.43</v>
      </c>
      <c r="W40" s="0" t="str">
        <f aca="false">INDEX(Summary!$S$2:$S$201,MATCH($B40,Summary!$A$2:$A$201,0))</f>
        <v>Silver</v>
      </c>
      <c r="X40" s="2" t="n">
        <f aca="false">INDEX(Summary!$T$2:$T$201,MATCH($B40,Summary!$A$2:$A$201,0))</f>
        <v>64.46</v>
      </c>
      <c r="Y40" s="0" t="str">
        <f aca="false">INDEX('Reward Model'!$E$18:$E$37,MATCH($E40,'Reward Model'!$A$18:$A$37,0))</f>
        <v>High</v>
      </c>
      <c r="Z40" s="4" t="n">
        <f aca="false">ROUND(MIN(1,MAX('Reward Model'!$B$2,INDEX('Reward Model'!$C$12:$C$14,MATCH($K40,'Reward Model'!$A$12:$A$14,0))/$J40)),3)</f>
        <v>1</v>
      </c>
      <c r="AA40" s="2" t="n">
        <f aca="false">IF($I40="Correct",ROUND(INDEX('Reward Model'!$B$12:$B$14,MATCH($K40,'Reward Model'!$A$12:$A$14,0))*Z40,2),0)</f>
        <v>3</v>
      </c>
      <c r="AB40" s="2" t="n">
        <f aca="false">IF($I40="Correct",ROUND(INDEX('Reward Model'!$B$12:$B$14,MATCH($Y40,'Reward Model'!$A$12:$A$14,0))*Z40,2),0)</f>
        <v>3</v>
      </c>
    </row>
    <row r="41" customFormat="false" ht="15" hidden="false" customHeight="false" outlineLevel="0" collapsed="false">
      <c r="A41" s="0" t="s">
        <v>84</v>
      </c>
      <c r="B41" s="0" t="s">
        <v>85</v>
      </c>
      <c r="C41" s="0" t="s">
        <v>30</v>
      </c>
      <c r="D41" s="0" t="s">
        <v>31</v>
      </c>
      <c r="E41" s="0" t="n">
        <v>20</v>
      </c>
      <c r="F41" s="0" t="s">
        <v>81</v>
      </c>
      <c r="G41" s="0" t="s">
        <v>82</v>
      </c>
      <c r="H41" s="0" t="s">
        <v>83</v>
      </c>
      <c r="I41" s="0" t="s">
        <v>39</v>
      </c>
      <c r="J41" s="0" t="n">
        <v>1.98</v>
      </c>
      <c r="K41" s="0" t="s">
        <v>73</v>
      </c>
      <c r="L41" s="0" t="n">
        <f aca="false">INDEX(Summary!$F$2:$F$201,MATCH($B41,Summary!$A$2:$A$201,0))</f>
        <v>20</v>
      </c>
      <c r="M41" s="0" t="n">
        <f aca="false">INDEX(Summary!$I$2:$I$201,MATCH($B41,Summary!$A$2:$A$201,0))</f>
        <v>2</v>
      </c>
      <c r="N41" s="0" t="n">
        <f aca="false">INDEX(Summary!$J$2:$J$201,MATCH($B41,Summary!$A$2:$A$201,0))</f>
        <v>3</v>
      </c>
      <c r="O41" s="2" t="n">
        <f aca="false">INDEX(Summary!$K$2:$K$201,MATCH($B41,Summary!$A$2:$A$201,0))</f>
        <v>9.59</v>
      </c>
      <c r="P41" s="3" t="n">
        <f aca="false">INDEX(Summary!$L$2:$L$201,MATCH($B41,Summary!$A$2:$A$201,0))</f>
        <v>5</v>
      </c>
      <c r="Q41" s="3" t="n">
        <f aca="false">INDEX(Summary!$M$2:$M$201,MATCH($B41,Summary!$A$2:$A$201,0))</f>
        <v>1</v>
      </c>
      <c r="R41" s="2" t="n">
        <f aca="false">INDEX(Summary!$N$2:$N$201,MATCH($B41,Summary!$A$2:$A$201,0))</f>
        <v>10.54</v>
      </c>
      <c r="S41" s="3" t="n">
        <f aca="false">INDEX(Summary!$O$2:$O$201,MATCH($B41,Summary!$A$2:$A$201,0))</f>
        <v>8</v>
      </c>
      <c r="T41" s="3" t="n">
        <f aca="false">INDEX(Summary!$P$2:$P$201,MATCH($B41,Summary!$A$2:$A$201,0))</f>
        <v>1</v>
      </c>
      <c r="U41" s="2" t="n">
        <f aca="false">INDEX(Summary!$Q$2:$Q$201,MATCH($B41,Summary!$A$2:$A$201,0))</f>
        <v>13.37</v>
      </c>
      <c r="V41" s="2" t="n">
        <f aca="false">INDEX(Summary!$R$2:$R$201,MATCH($B41,Summary!$A$2:$A$201,0))</f>
        <v>26.43</v>
      </c>
      <c r="W41" s="0" t="str">
        <f aca="false">INDEX(Summary!$S$2:$S$201,MATCH($B41,Summary!$A$2:$A$201,0))</f>
        <v>Silver</v>
      </c>
      <c r="X41" s="2" t="n">
        <f aca="false">INDEX(Summary!$T$2:$T$201,MATCH($B41,Summary!$A$2:$A$201,0))</f>
        <v>64.46</v>
      </c>
      <c r="Y41" s="0" t="str">
        <f aca="false">INDEX('Reward Model'!$E$18:$E$37,MATCH($E41,'Reward Model'!$A$18:$A$37,0))</f>
        <v>High</v>
      </c>
      <c r="Z41" s="4" t="n">
        <f aca="false">ROUND(MIN(1,MAX('Reward Model'!$B$2,INDEX('Reward Model'!$C$12:$C$14,MATCH($K41,'Reward Model'!$A$12:$A$14,0))/$J41)),3)</f>
        <v>1</v>
      </c>
      <c r="AA41" s="2" t="n">
        <f aca="false">IF($I41="Correct",ROUND(INDEX('Reward Model'!$B$12:$B$14,MATCH($K41,'Reward Model'!$A$12:$A$14,0))*Z41,2),0)</f>
        <v>0</v>
      </c>
      <c r="AB41" s="2" t="n">
        <f aca="false">IF($I41="Correct",ROUND(INDEX('Reward Model'!$B$12:$B$14,MATCH($Y41,'Reward Model'!$A$12:$A$14,0))*Z41,2),0)</f>
        <v>0</v>
      </c>
    </row>
    <row r="42" customFormat="false" ht="15" hidden="false" customHeight="false" outlineLevel="0" collapsed="false">
      <c r="A42" s="0" t="s">
        <v>89</v>
      </c>
      <c r="B42" s="0" t="s">
        <v>90</v>
      </c>
      <c r="C42" s="0" t="s">
        <v>30</v>
      </c>
      <c r="D42" s="0" t="s">
        <v>31</v>
      </c>
      <c r="E42" s="0" t="n">
        <v>1</v>
      </c>
      <c r="F42" s="0" t="s">
        <v>32</v>
      </c>
      <c r="G42" s="0" t="s">
        <v>91</v>
      </c>
      <c r="H42" s="0" t="s">
        <v>33</v>
      </c>
      <c r="I42" s="0" t="s">
        <v>39</v>
      </c>
      <c r="J42" s="0" t="n">
        <v>1.57</v>
      </c>
      <c r="K42" s="0" t="s">
        <v>35</v>
      </c>
      <c r="L42" s="0" t="n">
        <f aca="false">INDEX(Summary!$F$2:$F$201,MATCH($B42,Summary!$A$2:$A$201,0))</f>
        <v>20</v>
      </c>
      <c r="M42" s="0" t="n">
        <f aca="false">INDEX(Summary!$I$2:$I$201,MATCH($B42,Summary!$A$2:$A$201,0))</f>
        <v>4</v>
      </c>
      <c r="N42" s="0" t="n">
        <f aca="false">INDEX(Summary!$J$2:$J$201,MATCH($B42,Summary!$A$2:$A$201,0))</f>
        <v>1</v>
      </c>
      <c r="O42" s="2" t="n">
        <f aca="false">INDEX(Summary!$K$2:$K$201,MATCH($B42,Summary!$A$2:$A$201,0))</f>
        <v>9.34</v>
      </c>
      <c r="P42" s="3" t="n">
        <f aca="false">INDEX(Summary!$L$2:$L$201,MATCH($B42,Summary!$A$2:$A$201,0))</f>
        <v>5</v>
      </c>
      <c r="Q42" s="3" t="n">
        <f aca="false">INDEX(Summary!$M$2:$M$201,MATCH($B42,Summary!$A$2:$A$201,0))</f>
        <v>1</v>
      </c>
      <c r="R42" s="2" t="n">
        <f aca="false">INDEX(Summary!$N$2:$N$201,MATCH($B42,Summary!$A$2:$A$201,0))</f>
        <v>10.84</v>
      </c>
      <c r="S42" s="3" t="n">
        <f aca="false">INDEX(Summary!$O$2:$O$201,MATCH($B42,Summary!$A$2:$A$201,0))</f>
        <v>6</v>
      </c>
      <c r="T42" s="3" t="n">
        <f aca="false">INDEX(Summary!$P$2:$P$201,MATCH($B42,Summary!$A$2:$A$201,0))</f>
        <v>3</v>
      </c>
      <c r="U42" s="2" t="n">
        <f aca="false">INDEX(Summary!$Q$2:$Q$201,MATCH($B42,Summary!$A$2:$A$201,0))</f>
        <v>11.44</v>
      </c>
      <c r="V42" s="2" t="n">
        <f aca="false">INDEX(Summary!$R$2:$R$201,MATCH($B42,Summary!$A$2:$A$201,0))</f>
        <v>29.89</v>
      </c>
      <c r="W42" s="0" t="str">
        <f aca="false">INDEX(Summary!$S$2:$S$201,MATCH($B42,Summary!$A$2:$A$201,0))</f>
        <v>Gold</v>
      </c>
      <c r="X42" s="2" t="n">
        <f aca="false">INDEX(Summary!$T$2:$T$201,MATCH($B42,Summary!$A$2:$A$201,0))</f>
        <v>72.9</v>
      </c>
      <c r="Y42" s="0" t="str">
        <f aca="false">INDEX('Reward Model'!$E$18:$E$37,MATCH($E42,'Reward Model'!$A$18:$A$37,0))</f>
        <v>Medium</v>
      </c>
      <c r="Z42" s="4" t="n">
        <f aca="false">ROUND(MIN(1,MAX('Reward Model'!$B$2,INDEX('Reward Model'!$C$12:$C$14,MATCH($K42,'Reward Model'!$A$12:$A$14,0))/$J42)),3)</f>
        <v>0.955</v>
      </c>
      <c r="AA42" s="2" t="n">
        <f aca="false">IF($I42="Correct",ROUND(INDEX('Reward Model'!$B$12:$B$14,MATCH($K42,'Reward Model'!$A$12:$A$14,0))*Z42,2),0)</f>
        <v>0</v>
      </c>
      <c r="AB42" s="2" t="n">
        <f aca="false">IF($I42="Correct",ROUND(INDEX('Reward Model'!$B$12:$B$14,MATCH($Y42,'Reward Model'!$A$12:$A$14,0))*Z42,2),0)</f>
        <v>0</v>
      </c>
    </row>
    <row r="43" customFormat="false" ht="15" hidden="false" customHeight="false" outlineLevel="0" collapsed="false">
      <c r="A43" s="0" t="s">
        <v>89</v>
      </c>
      <c r="B43" s="0" t="s">
        <v>90</v>
      </c>
      <c r="C43" s="0" t="s">
        <v>30</v>
      </c>
      <c r="D43" s="0" t="s">
        <v>31</v>
      </c>
      <c r="E43" s="0" t="n">
        <v>2</v>
      </c>
      <c r="F43" s="0" t="s">
        <v>36</v>
      </c>
      <c r="G43" s="0" t="s">
        <v>38</v>
      </c>
      <c r="H43" s="0" t="s">
        <v>38</v>
      </c>
      <c r="I43" s="0" t="s">
        <v>34</v>
      </c>
      <c r="J43" s="0" t="n">
        <v>1.12</v>
      </c>
      <c r="K43" s="0" t="s">
        <v>35</v>
      </c>
      <c r="L43" s="0" t="n">
        <f aca="false">INDEX(Summary!$F$2:$F$201,MATCH($B43,Summary!$A$2:$A$201,0))</f>
        <v>20</v>
      </c>
      <c r="M43" s="0" t="n">
        <f aca="false">INDEX(Summary!$I$2:$I$201,MATCH($B43,Summary!$A$2:$A$201,0))</f>
        <v>4</v>
      </c>
      <c r="N43" s="0" t="n">
        <f aca="false">INDEX(Summary!$J$2:$J$201,MATCH($B43,Summary!$A$2:$A$201,0))</f>
        <v>1</v>
      </c>
      <c r="O43" s="2" t="n">
        <f aca="false">INDEX(Summary!$K$2:$K$201,MATCH($B43,Summary!$A$2:$A$201,0))</f>
        <v>9.34</v>
      </c>
      <c r="P43" s="3" t="n">
        <f aca="false">INDEX(Summary!$L$2:$L$201,MATCH($B43,Summary!$A$2:$A$201,0))</f>
        <v>5</v>
      </c>
      <c r="Q43" s="3" t="n">
        <f aca="false">INDEX(Summary!$M$2:$M$201,MATCH($B43,Summary!$A$2:$A$201,0))</f>
        <v>1</v>
      </c>
      <c r="R43" s="2" t="n">
        <f aca="false">INDEX(Summary!$N$2:$N$201,MATCH($B43,Summary!$A$2:$A$201,0))</f>
        <v>10.84</v>
      </c>
      <c r="S43" s="3" t="n">
        <f aca="false">INDEX(Summary!$O$2:$O$201,MATCH($B43,Summary!$A$2:$A$201,0))</f>
        <v>6</v>
      </c>
      <c r="T43" s="3" t="n">
        <f aca="false">INDEX(Summary!$P$2:$P$201,MATCH($B43,Summary!$A$2:$A$201,0))</f>
        <v>3</v>
      </c>
      <c r="U43" s="2" t="n">
        <f aca="false">INDEX(Summary!$Q$2:$Q$201,MATCH($B43,Summary!$A$2:$A$201,0))</f>
        <v>11.44</v>
      </c>
      <c r="V43" s="2" t="n">
        <f aca="false">INDEX(Summary!$R$2:$R$201,MATCH($B43,Summary!$A$2:$A$201,0))</f>
        <v>29.89</v>
      </c>
      <c r="W43" s="0" t="str">
        <f aca="false">INDEX(Summary!$S$2:$S$201,MATCH($B43,Summary!$A$2:$A$201,0))</f>
        <v>Gold</v>
      </c>
      <c r="X43" s="2" t="n">
        <f aca="false">INDEX(Summary!$T$2:$T$201,MATCH($B43,Summary!$A$2:$A$201,0))</f>
        <v>72.9</v>
      </c>
      <c r="Y43" s="0" t="str">
        <f aca="false">INDEX('Reward Model'!$E$18:$E$37,MATCH($E43,'Reward Model'!$A$18:$A$37,0))</f>
        <v>Low</v>
      </c>
      <c r="Z43" s="4" t="n">
        <f aca="false">ROUND(MIN(1,MAX('Reward Model'!$B$2,INDEX('Reward Model'!$C$12:$C$14,MATCH($K43,'Reward Model'!$A$12:$A$14,0))/$J43)),3)</f>
        <v>1</v>
      </c>
      <c r="AA43" s="2" t="n">
        <f aca="false">IF($I43="Correct",ROUND(INDEX('Reward Model'!$B$12:$B$14,MATCH($K43,'Reward Model'!$A$12:$A$14,0))*Z43,2),0)</f>
        <v>1</v>
      </c>
      <c r="AB43" s="2" t="n">
        <f aca="false">IF($I43="Correct",ROUND(INDEX('Reward Model'!$B$12:$B$14,MATCH($Y43,'Reward Model'!$A$12:$A$14,0))*Z43,2),0)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s">
        <v>30</v>
      </c>
      <c r="D44" s="0" t="s">
        <v>31</v>
      </c>
      <c r="E44" s="0" t="n">
        <v>3</v>
      </c>
      <c r="F44" s="0" t="s">
        <v>40</v>
      </c>
      <c r="G44" s="0" t="s">
        <v>42</v>
      </c>
      <c r="H44" s="0" t="s">
        <v>42</v>
      </c>
      <c r="I44" s="0" t="s">
        <v>34</v>
      </c>
      <c r="J44" s="0" t="n">
        <v>1.03</v>
      </c>
      <c r="K44" s="0" t="s">
        <v>35</v>
      </c>
      <c r="L44" s="0" t="n">
        <f aca="false">INDEX(Summary!$F$2:$F$201,MATCH($B44,Summary!$A$2:$A$201,0))</f>
        <v>20</v>
      </c>
      <c r="M44" s="0" t="n">
        <f aca="false">INDEX(Summary!$I$2:$I$201,MATCH($B44,Summary!$A$2:$A$201,0))</f>
        <v>4</v>
      </c>
      <c r="N44" s="0" t="n">
        <f aca="false">INDEX(Summary!$J$2:$J$201,MATCH($B44,Summary!$A$2:$A$201,0))</f>
        <v>1</v>
      </c>
      <c r="O44" s="2" t="n">
        <f aca="false">INDEX(Summary!$K$2:$K$201,MATCH($B44,Summary!$A$2:$A$201,0))</f>
        <v>9.34</v>
      </c>
      <c r="P44" s="3" t="n">
        <f aca="false">INDEX(Summary!$L$2:$L$201,MATCH($B44,Summary!$A$2:$A$201,0))</f>
        <v>5</v>
      </c>
      <c r="Q44" s="3" t="n">
        <f aca="false">INDEX(Summary!$M$2:$M$201,MATCH($B44,Summary!$A$2:$A$201,0))</f>
        <v>1</v>
      </c>
      <c r="R44" s="2" t="n">
        <f aca="false">INDEX(Summary!$N$2:$N$201,MATCH($B44,Summary!$A$2:$A$201,0))</f>
        <v>10.84</v>
      </c>
      <c r="S44" s="3" t="n">
        <f aca="false">INDEX(Summary!$O$2:$O$201,MATCH($B44,Summary!$A$2:$A$201,0))</f>
        <v>6</v>
      </c>
      <c r="T44" s="3" t="n">
        <f aca="false">INDEX(Summary!$P$2:$P$201,MATCH($B44,Summary!$A$2:$A$201,0))</f>
        <v>3</v>
      </c>
      <c r="U44" s="2" t="n">
        <f aca="false">INDEX(Summary!$Q$2:$Q$201,MATCH($B44,Summary!$A$2:$A$201,0))</f>
        <v>11.44</v>
      </c>
      <c r="V44" s="2" t="n">
        <f aca="false">INDEX(Summary!$R$2:$R$201,MATCH($B44,Summary!$A$2:$A$201,0))</f>
        <v>29.89</v>
      </c>
      <c r="W44" s="0" t="str">
        <f aca="false">INDEX(Summary!$S$2:$S$201,MATCH($B44,Summary!$A$2:$A$201,0))</f>
        <v>Gold</v>
      </c>
      <c r="X44" s="2" t="n">
        <f aca="false">INDEX(Summary!$T$2:$T$201,MATCH($B44,Summary!$A$2:$A$201,0))</f>
        <v>72.9</v>
      </c>
      <c r="Y44" s="0" t="str">
        <f aca="false">INDEX('Reward Model'!$E$18:$E$37,MATCH($E44,'Reward Model'!$A$18:$A$37,0))</f>
        <v>Medium</v>
      </c>
      <c r="Z44" s="4" t="n">
        <f aca="false">ROUND(MIN(1,MAX('Reward Model'!$B$2,INDEX('Reward Model'!$C$12:$C$14,MATCH($K44,'Reward Model'!$A$12:$A$14,0))/$J44)),3)</f>
        <v>1</v>
      </c>
      <c r="AA44" s="2" t="n">
        <f aca="false">IF($I44="Correct",ROUND(INDEX('Reward Model'!$B$12:$B$14,MATCH($K44,'Reward Model'!$A$12:$A$14,0))*Z44,2),0)</f>
        <v>1</v>
      </c>
      <c r="AB44" s="2" t="n">
        <f aca="false">IF($I44="Correct",ROUND(INDEX('Reward Model'!$B$12:$B$14,MATCH($Y44,'Reward Model'!$A$12:$A$14,0))*Z44,2),0)</f>
        <v>2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0" t="s">
        <v>30</v>
      </c>
      <c r="D45" s="0" t="s">
        <v>31</v>
      </c>
      <c r="E45" s="0" t="n">
        <v>4</v>
      </c>
      <c r="F45" s="0" t="s">
        <v>43</v>
      </c>
      <c r="G45" s="0" t="s">
        <v>45</v>
      </c>
      <c r="H45" s="0" t="s">
        <v>45</v>
      </c>
      <c r="I45" s="0" t="s">
        <v>34</v>
      </c>
      <c r="J45" s="0" t="n">
        <v>0.95</v>
      </c>
      <c r="K45" s="0" t="s">
        <v>35</v>
      </c>
      <c r="L45" s="0" t="n">
        <f aca="false">INDEX(Summary!$F$2:$F$201,MATCH($B45,Summary!$A$2:$A$201,0))</f>
        <v>20</v>
      </c>
      <c r="M45" s="0" t="n">
        <f aca="false">INDEX(Summary!$I$2:$I$201,MATCH($B45,Summary!$A$2:$A$201,0))</f>
        <v>4</v>
      </c>
      <c r="N45" s="0" t="n">
        <f aca="false">INDEX(Summary!$J$2:$J$201,MATCH($B45,Summary!$A$2:$A$201,0))</f>
        <v>1</v>
      </c>
      <c r="O45" s="2" t="n">
        <f aca="false">INDEX(Summary!$K$2:$K$201,MATCH($B45,Summary!$A$2:$A$201,0))</f>
        <v>9.34</v>
      </c>
      <c r="P45" s="3" t="n">
        <f aca="false">INDEX(Summary!$L$2:$L$201,MATCH($B45,Summary!$A$2:$A$201,0))</f>
        <v>5</v>
      </c>
      <c r="Q45" s="3" t="n">
        <f aca="false">INDEX(Summary!$M$2:$M$201,MATCH($B45,Summary!$A$2:$A$201,0))</f>
        <v>1</v>
      </c>
      <c r="R45" s="2" t="n">
        <f aca="false">INDEX(Summary!$N$2:$N$201,MATCH($B45,Summary!$A$2:$A$201,0))</f>
        <v>10.84</v>
      </c>
      <c r="S45" s="3" t="n">
        <f aca="false">INDEX(Summary!$O$2:$O$201,MATCH($B45,Summary!$A$2:$A$201,0))</f>
        <v>6</v>
      </c>
      <c r="T45" s="3" t="n">
        <f aca="false">INDEX(Summary!$P$2:$P$201,MATCH($B45,Summary!$A$2:$A$201,0))</f>
        <v>3</v>
      </c>
      <c r="U45" s="2" t="n">
        <f aca="false">INDEX(Summary!$Q$2:$Q$201,MATCH($B45,Summary!$A$2:$A$201,0))</f>
        <v>11.44</v>
      </c>
      <c r="V45" s="2" t="n">
        <f aca="false">INDEX(Summary!$R$2:$R$201,MATCH($B45,Summary!$A$2:$A$201,0))</f>
        <v>29.89</v>
      </c>
      <c r="W45" s="0" t="str">
        <f aca="false">INDEX(Summary!$S$2:$S$201,MATCH($B45,Summary!$A$2:$A$201,0))</f>
        <v>Gold</v>
      </c>
      <c r="X45" s="2" t="n">
        <f aca="false">INDEX(Summary!$T$2:$T$201,MATCH($B45,Summary!$A$2:$A$201,0))</f>
        <v>72.9</v>
      </c>
      <c r="Y45" s="0" t="str">
        <f aca="false">INDEX('Reward Model'!$E$18:$E$37,MATCH($E45,'Reward Model'!$A$18:$A$37,0))</f>
        <v>Low</v>
      </c>
      <c r="Z45" s="4" t="n">
        <f aca="false">ROUND(MIN(1,MAX('Reward Model'!$B$2,INDEX('Reward Model'!$C$12:$C$14,MATCH($K45,'Reward Model'!$A$12:$A$14,0))/$J45)),3)</f>
        <v>1</v>
      </c>
      <c r="AA45" s="2" t="n">
        <f aca="false">IF($I45="Correct",ROUND(INDEX('Reward Model'!$B$12:$B$14,MATCH($K45,'Reward Model'!$A$12:$A$14,0))*Z45,2),0)</f>
        <v>1</v>
      </c>
      <c r="AB45" s="2" t="n">
        <f aca="false">IF($I45="Correct",ROUND(INDEX('Reward Model'!$B$12:$B$14,MATCH($Y45,'Reward Model'!$A$12:$A$14,0))*Z45,2),0)</f>
        <v>1</v>
      </c>
    </row>
    <row r="46" customFormat="false" ht="15" hidden="false" customHeight="false" outlineLevel="0" collapsed="false">
      <c r="A46" s="0" t="s">
        <v>89</v>
      </c>
      <c r="B46" s="0" t="s">
        <v>90</v>
      </c>
      <c r="C46" s="0" t="s">
        <v>30</v>
      </c>
      <c r="D46" s="0" t="s">
        <v>31</v>
      </c>
      <c r="E46" s="0" t="n">
        <v>5</v>
      </c>
      <c r="F46" s="0" t="s">
        <v>46</v>
      </c>
      <c r="G46" s="0" t="s">
        <v>47</v>
      </c>
      <c r="H46" s="0" t="s">
        <v>47</v>
      </c>
      <c r="I46" s="0" t="s">
        <v>34</v>
      </c>
      <c r="J46" s="0" t="n">
        <v>1.5</v>
      </c>
      <c r="K46" s="0" t="s">
        <v>35</v>
      </c>
      <c r="L46" s="0" t="n">
        <f aca="false">INDEX(Summary!$F$2:$F$201,MATCH($B46,Summary!$A$2:$A$201,0))</f>
        <v>20</v>
      </c>
      <c r="M46" s="0" t="n">
        <f aca="false">INDEX(Summary!$I$2:$I$201,MATCH($B46,Summary!$A$2:$A$201,0))</f>
        <v>4</v>
      </c>
      <c r="N46" s="0" t="n">
        <f aca="false">INDEX(Summary!$J$2:$J$201,MATCH($B46,Summary!$A$2:$A$201,0))</f>
        <v>1</v>
      </c>
      <c r="O46" s="2" t="n">
        <f aca="false">INDEX(Summary!$K$2:$K$201,MATCH($B46,Summary!$A$2:$A$201,0))</f>
        <v>9.34</v>
      </c>
      <c r="P46" s="3" t="n">
        <f aca="false">INDEX(Summary!$L$2:$L$201,MATCH($B46,Summary!$A$2:$A$201,0))</f>
        <v>5</v>
      </c>
      <c r="Q46" s="3" t="n">
        <f aca="false">INDEX(Summary!$M$2:$M$201,MATCH($B46,Summary!$A$2:$A$201,0))</f>
        <v>1</v>
      </c>
      <c r="R46" s="2" t="n">
        <f aca="false">INDEX(Summary!$N$2:$N$201,MATCH($B46,Summary!$A$2:$A$201,0))</f>
        <v>10.84</v>
      </c>
      <c r="S46" s="3" t="n">
        <f aca="false">INDEX(Summary!$O$2:$O$201,MATCH($B46,Summary!$A$2:$A$201,0))</f>
        <v>6</v>
      </c>
      <c r="T46" s="3" t="n">
        <f aca="false">INDEX(Summary!$P$2:$P$201,MATCH($B46,Summary!$A$2:$A$201,0))</f>
        <v>3</v>
      </c>
      <c r="U46" s="2" t="n">
        <f aca="false">INDEX(Summary!$Q$2:$Q$201,MATCH($B46,Summary!$A$2:$A$201,0))</f>
        <v>11.44</v>
      </c>
      <c r="V46" s="2" t="n">
        <f aca="false">INDEX(Summary!$R$2:$R$201,MATCH($B46,Summary!$A$2:$A$201,0))</f>
        <v>29.89</v>
      </c>
      <c r="W46" s="0" t="str">
        <f aca="false">INDEX(Summary!$S$2:$S$201,MATCH($B46,Summary!$A$2:$A$201,0))</f>
        <v>Gold</v>
      </c>
      <c r="X46" s="2" t="n">
        <f aca="false">INDEX(Summary!$T$2:$T$201,MATCH($B46,Summary!$A$2:$A$201,0))</f>
        <v>72.9</v>
      </c>
      <c r="Y46" s="0" t="str">
        <f aca="false">INDEX('Reward Model'!$E$18:$E$37,MATCH($E46,'Reward Model'!$A$18:$A$37,0))</f>
        <v>Low</v>
      </c>
      <c r="Z46" s="4" t="n">
        <f aca="false">ROUND(MIN(1,MAX('Reward Model'!$B$2,INDEX('Reward Model'!$C$12:$C$14,MATCH($K46,'Reward Model'!$A$12:$A$14,0))/$J46)),3)</f>
        <v>1</v>
      </c>
      <c r="AA46" s="2" t="n">
        <f aca="false">IF($I46="Correct",ROUND(INDEX('Reward Model'!$B$12:$B$14,MATCH($K46,'Reward Model'!$A$12:$A$14,0))*Z46,2),0)</f>
        <v>1</v>
      </c>
      <c r="AB46" s="2" t="n">
        <f aca="false">IF($I46="Correct",ROUND(INDEX('Reward Model'!$B$12:$B$14,MATCH($Y46,'Reward Model'!$A$12:$A$14,0))*Z46,2),0)</f>
        <v>1</v>
      </c>
    </row>
    <row r="47" customFormat="false" ht="15" hidden="false" customHeight="false" outlineLevel="0" collapsed="false">
      <c r="A47" s="0" t="s">
        <v>89</v>
      </c>
      <c r="B47" s="0" t="s">
        <v>90</v>
      </c>
      <c r="C47" s="0" t="s">
        <v>30</v>
      </c>
      <c r="D47" s="0" t="s">
        <v>31</v>
      </c>
      <c r="E47" s="0" t="n">
        <v>6</v>
      </c>
      <c r="F47" s="0" t="s">
        <v>48</v>
      </c>
      <c r="G47" s="0" t="s">
        <v>49</v>
      </c>
      <c r="H47" s="0" t="s">
        <v>49</v>
      </c>
      <c r="I47" s="0" t="s">
        <v>34</v>
      </c>
      <c r="J47" s="0" t="n">
        <v>1.2</v>
      </c>
      <c r="K47" s="0" t="s">
        <v>35</v>
      </c>
      <c r="L47" s="0" t="n">
        <f aca="false">INDEX(Summary!$F$2:$F$201,MATCH($B47,Summary!$A$2:$A$201,0))</f>
        <v>20</v>
      </c>
      <c r="M47" s="0" t="n">
        <f aca="false">INDEX(Summary!$I$2:$I$201,MATCH($B47,Summary!$A$2:$A$201,0))</f>
        <v>4</v>
      </c>
      <c r="N47" s="0" t="n">
        <f aca="false">INDEX(Summary!$J$2:$J$201,MATCH($B47,Summary!$A$2:$A$201,0))</f>
        <v>1</v>
      </c>
      <c r="O47" s="2" t="n">
        <f aca="false">INDEX(Summary!$K$2:$K$201,MATCH($B47,Summary!$A$2:$A$201,0))</f>
        <v>9.34</v>
      </c>
      <c r="P47" s="3" t="n">
        <f aca="false">INDEX(Summary!$L$2:$L$201,MATCH($B47,Summary!$A$2:$A$201,0))</f>
        <v>5</v>
      </c>
      <c r="Q47" s="3" t="n">
        <f aca="false">INDEX(Summary!$M$2:$M$201,MATCH($B47,Summary!$A$2:$A$201,0))</f>
        <v>1</v>
      </c>
      <c r="R47" s="2" t="n">
        <f aca="false">INDEX(Summary!$N$2:$N$201,MATCH($B47,Summary!$A$2:$A$201,0))</f>
        <v>10.84</v>
      </c>
      <c r="S47" s="3" t="n">
        <f aca="false">INDEX(Summary!$O$2:$O$201,MATCH($B47,Summary!$A$2:$A$201,0))</f>
        <v>6</v>
      </c>
      <c r="T47" s="3" t="n">
        <f aca="false">INDEX(Summary!$P$2:$P$201,MATCH($B47,Summary!$A$2:$A$201,0))</f>
        <v>3</v>
      </c>
      <c r="U47" s="2" t="n">
        <f aca="false">INDEX(Summary!$Q$2:$Q$201,MATCH($B47,Summary!$A$2:$A$201,0))</f>
        <v>11.44</v>
      </c>
      <c r="V47" s="2" t="n">
        <f aca="false">INDEX(Summary!$R$2:$R$201,MATCH($B47,Summary!$A$2:$A$201,0))</f>
        <v>29.89</v>
      </c>
      <c r="W47" s="0" t="str">
        <f aca="false">INDEX(Summary!$S$2:$S$201,MATCH($B47,Summary!$A$2:$A$201,0))</f>
        <v>Gold</v>
      </c>
      <c r="X47" s="2" t="n">
        <f aca="false">INDEX(Summary!$T$2:$T$201,MATCH($B47,Summary!$A$2:$A$201,0))</f>
        <v>72.9</v>
      </c>
      <c r="Y47" s="0" t="str">
        <f aca="false">INDEX('Reward Model'!$E$18:$E$37,MATCH($E47,'Reward Model'!$A$18:$A$37,0))</f>
        <v>Medium</v>
      </c>
      <c r="Z47" s="4" t="n">
        <f aca="false">ROUND(MIN(1,MAX('Reward Model'!$B$2,INDEX('Reward Model'!$C$12:$C$14,MATCH($K47,'Reward Model'!$A$12:$A$14,0))/$J47)),3)</f>
        <v>1</v>
      </c>
      <c r="AA47" s="2" t="n">
        <f aca="false">IF($I47="Correct",ROUND(INDEX('Reward Model'!$B$12:$B$14,MATCH($K47,'Reward Model'!$A$12:$A$14,0))*Z47,2),0)</f>
        <v>1</v>
      </c>
      <c r="AB47" s="2" t="n">
        <f aca="false">IF($I47="Correct",ROUND(INDEX('Reward Model'!$B$12:$B$14,MATCH($Y47,'Reward Model'!$A$12:$A$14,0))*Z47,2),0)</f>
        <v>2</v>
      </c>
    </row>
    <row r="48" customFormat="false" ht="15" hidden="false" customHeight="false" outlineLevel="0" collapsed="false">
      <c r="A48" s="0" t="s">
        <v>89</v>
      </c>
      <c r="B48" s="0" t="s">
        <v>90</v>
      </c>
      <c r="C48" s="0" t="s">
        <v>30</v>
      </c>
      <c r="D48" s="0" t="s">
        <v>31</v>
      </c>
      <c r="E48" s="0" t="n">
        <v>7</v>
      </c>
      <c r="F48" s="0" t="s">
        <v>50</v>
      </c>
      <c r="G48" s="0" t="s">
        <v>92</v>
      </c>
      <c r="H48" s="0" t="s">
        <v>51</v>
      </c>
      <c r="I48" s="0" t="s">
        <v>39</v>
      </c>
      <c r="J48" s="0" t="n">
        <v>1.29</v>
      </c>
      <c r="K48" s="0" t="s">
        <v>35</v>
      </c>
      <c r="L48" s="0" t="n">
        <f aca="false">INDEX(Summary!$F$2:$F$201,MATCH($B48,Summary!$A$2:$A$201,0))</f>
        <v>20</v>
      </c>
      <c r="M48" s="0" t="n">
        <f aca="false">INDEX(Summary!$I$2:$I$201,MATCH($B48,Summary!$A$2:$A$201,0))</f>
        <v>4</v>
      </c>
      <c r="N48" s="0" t="n">
        <f aca="false">INDEX(Summary!$J$2:$J$201,MATCH($B48,Summary!$A$2:$A$201,0))</f>
        <v>1</v>
      </c>
      <c r="O48" s="2" t="n">
        <f aca="false">INDEX(Summary!$K$2:$K$201,MATCH($B48,Summary!$A$2:$A$201,0))</f>
        <v>9.34</v>
      </c>
      <c r="P48" s="3" t="n">
        <f aca="false">INDEX(Summary!$L$2:$L$201,MATCH($B48,Summary!$A$2:$A$201,0))</f>
        <v>5</v>
      </c>
      <c r="Q48" s="3" t="n">
        <f aca="false">INDEX(Summary!$M$2:$M$201,MATCH($B48,Summary!$A$2:$A$201,0))</f>
        <v>1</v>
      </c>
      <c r="R48" s="2" t="n">
        <f aca="false">INDEX(Summary!$N$2:$N$201,MATCH($B48,Summary!$A$2:$A$201,0))</f>
        <v>10.84</v>
      </c>
      <c r="S48" s="3" t="n">
        <f aca="false">INDEX(Summary!$O$2:$O$201,MATCH($B48,Summary!$A$2:$A$201,0))</f>
        <v>6</v>
      </c>
      <c r="T48" s="3" t="n">
        <f aca="false">INDEX(Summary!$P$2:$P$201,MATCH($B48,Summary!$A$2:$A$201,0))</f>
        <v>3</v>
      </c>
      <c r="U48" s="2" t="n">
        <f aca="false">INDEX(Summary!$Q$2:$Q$201,MATCH($B48,Summary!$A$2:$A$201,0))</f>
        <v>11.44</v>
      </c>
      <c r="V48" s="2" t="n">
        <f aca="false">INDEX(Summary!$R$2:$R$201,MATCH($B48,Summary!$A$2:$A$201,0))</f>
        <v>29.89</v>
      </c>
      <c r="W48" s="0" t="str">
        <f aca="false">INDEX(Summary!$S$2:$S$201,MATCH($B48,Summary!$A$2:$A$201,0))</f>
        <v>Gold</v>
      </c>
      <c r="X48" s="2" t="n">
        <f aca="false">INDEX(Summary!$T$2:$T$201,MATCH($B48,Summary!$A$2:$A$201,0))</f>
        <v>72.9</v>
      </c>
      <c r="Y48" s="0" t="str">
        <f aca="false">INDEX('Reward Model'!$E$18:$E$37,MATCH($E48,'Reward Model'!$A$18:$A$37,0))</f>
        <v>Low</v>
      </c>
      <c r="Z48" s="4" t="n">
        <f aca="false">ROUND(MIN(1,MAX('Reward Model'!$B$2,INDEX('Reward Model'!$C$12:$C$14,MATCH($K48,'Reward Model'!$A$12:$A$14,0))/$J48)),3)</f>
        <v>1</v>
      </c>
      <c r="AA48" s="2" t="n">
        <f aca="false">IF($I48="Correct",ROUND(INDEX('Reward Model'!$B$12:$B$14,MATCH($K48,'Reward Model'!$A$12:$A$14,0))*Z48,2),0)</f>
        <v>0</v>
      </c>
      <c r="AB48" s="2" t="n">
        <f aca="false">IF($I48="Correct",ROUND(INDEX('Reward Model'!$B$12:$B$14,MATCH($Y48,'Reward Model'!$A$12:$A$14,0))*Z48,2),0)</f>
        <v>0</v>
      </c>
    </row>
    <row r="49" customFormat="false" ht="15" hidden="false" customHeight="false" outlineLevel="0" collapsed="false">
      <c r="A49" s="0" t="s">
        <v>89</v>
      </c>
      <c r="B49" s="0" t="s">
        <v>90</v>
      </c>
      <c r="C49" s="0" t="s">
        <v>30</v>
      </c>
      <c r="D49" s="0" t="s">
        <v>31</v>
      </c>
      <c r="E49" s="0" t="n">
        <v>8</v>
      </c>
      <c r="F49" s="0" t="s">
        <v>52</v>
      </c>
      <c r="G49" s="0" t="s">
        <v>93</v>
      </c>
      <c r="H49" s="0" t="s">
        <v>54</v>
      </c>
      <c r="I49" s="0" t="s">
        <v>39</v>
      </c>
      <c r="J49" s="0" t="n">
        <v>1.24</v>
      </c>
      <c r="K49" s="0" t="s">
        <v>35</v>
      </c>
      <c r="L49" s="0" t="n">
        <f aca="false">INDEX(Summary!$F$2:$F$201,MATCH($B49,Summary!$A$2:$A$201,0))</f>
        <v>20</v>
      </c>
      <c r="M49" s="0" t="n">
        <f aca="false">INDEX(Summary!$I$2:$I$201,MATCH($B49,Summary!$A$2:$A$201,0))</f>
        <v>4</v>
      </c>
      <c r="N49" s="0" t="n">
        <f aca="false">INDEX(Summary!$J$2:$J$201,MATCH($B49,Summary!$A$2:$A$201,0))</f>
        <v>1</v>
      </c>
      <c r="O49" s="2" t="n">
        <f aca="false">INDEX(Summary!$K$2:$K$201,MATCH($B49,Summary!$A$2:$A$201,0))</f>
        <v>9.34</v>
      </c>
      <c r="P49" s="3" t="n">
        <f aca="false">INDEX(Summary!$L$2:$L$201,MATCH($B49,Summary!$A$2:$A$201,0))</f>
        <v>5</v>
      </c>
      <c r="Q49" s="3" t="n">
        <f aca="false">INDEX(Summary!$M$2:$M$201,MATCH($B49,Summary!$A$2:$A$201,0))</f>
        <v>1</v>
      </c>
      <c r="R49" s="2" t="n">
        <f aca="false">INDEX(Summary!$N$2:$N$201,MATCH($B49,Summary!$A$2:$A$201,0))</f>
        <v>10.84</v>
      </c>
      <c r="S49" s="3" t="n">
        <f aca="false">INDEX(Summary!$O$2:$O$201,MATCH($B49,Summary!$A$2:$A$201,0))</f>
        <v>6</v>
      </c>
      <c r="T49" s="3" t="n">
        <f aca="false">INDEX(Summary!$P$2:$P$201,MATCH($B49,Summary!$A$2:$A$201,0))</f>
        <v>3</v>
      </c>
      <c r="U49" s="2" t="n">
        <f aca="false">INDEX(Summary!$Q$2:$Q$201,MATCH($B49,Summary!$A$2:$A$201,0))</f>
        <v>11.44</v>
      </c>
      <c r="V49" s="2" t="n">
        <f aca="false">INDEX(Summary!$R$2:$R$201,MATCH($B49,Summary!$A$2:$A$201,0))</f>
        <v>29.89</v>
      </c>
      <c r="W49" s="0" t="str">
        <f aca="false">INDEX(Summary!$S$2:$S$201,MATCH($B49,Summary!$A$2:$A$201,0))</f>
        <v>Gold</v>
      </c>
      <c r="X49" s="2" t="n">
        <f aca="false">INDEX(Summary!$T$2:$T$201,MATCH($B49,Summary!$A$2:$A$201,0))</f>
        <v>72.9</v>
      </c>
      <c r="Y49" s="0" t="str">
        <f aca="false">INDEX('Reward Model'!$E$18:$E$37,MATCH($E49,'Reward Model'!$A$18:$A$37,0))</f>
        <v>Medium</v>
      </c>
      <c r="Z49" s="4" t="n">
        <f aca="false">ROUND(MIN(1,MAX('Reward Model'!$B$2,INDEX('Reward Model'!$C$12:$C$14,MATCH($K49,'Reward Model'!$A$12:$A$14,0))/$J49)),3)</f>
        <v>1</v>
      </c>
      <c r="AA49" s="2" t="n">
        <f aca="false">IF($I49="Correct",ROUND(INDEX('Reward Model'!$B$12:$B$14,MATCH($K49,'Reward Model'!$A$12:$A$14,0))*Z49,2),0)</f>
        <v>0</v>
      </c>
      <c r="AB49" s="2" t="n">
        <f aca="false">IF($I49="Correct",ROUND(INDEX('Reward Model'!$B$12:$B$14,MATCH($Y49,'Reward Model'!$A$12:$A$14,0))*Z49,2),0)</f>
        <v>0</v>
      </c>
    </row>
    <row r="50" customFormat="false" ht="15" hidden="false" customHeight="false" outlineLevel="0" collapsed="false">
      <c r="A50" s="0" t="s">
        <v>89</v>
      </c>
      <c r="B50" s="0" t="s">
        <v>90</v>
      </c>
      <c r="C50" s="0" t="s">
        <v>30</v>
      </c>
      <c r="D50" s="0" t="s">
        <v>31</v>
      </c>
      <c r="E50" s="0" t="n">
        <v>9</v>
      </c>
      <c r="F50" s="0" t="s">
        <v>55</v>
      </c>
      <c r="G50" s="0" t="s">
        <v>57</v>
      </c>
      <c r="H50" s="0" t="s">
        <v>57</v>
      </c>
      <c r="I50" s="0" t="s">
        <v>34</v>
      </c>
      <c r="J50" s="0" t="n">
        <v>1.54</v>
      </c>
      <c r="K50" s="0" t="s">
        <v>35</v>
      </c>
      <c r="L50" s="0" t="n">
        <f aca="false">INDEX(Summary!$F$2:$F$201,MATCH($B50,Summary!$A$2:$A$201,0))</f>
        <v>20</v>
      </c>
      <c r="M50" s="0" t="n">
        <f aca="false">INDEX(Summary!$I$2:$I$201,MATCH($B50,Summary!$A$2:$A$201,0))</f>
        <v>4</v>
      </c>
      <c r="N50" s="0" t="n">
        <f aca="false">INDEX(Summary!$J$2:$J$201,MATCH($B50,Summary!$A$2:$A$201,0))</f>
        <v>1</v>
      </c>
      <c r="O50" s="2" t="n">
        <f aca="false">INDEX(Summary!$K$2:$K$201,MATCH($B50,Summary!$A$2:$A$201,0))</f>
        <v>9.34</v>
      </c>
      <c r="P50" s="3" t="n">
        <f aca="false">INDEX(Summary!$L$2:$L$201,MATCH($B50,Summary!$A$2:$A$201,0))</f>
        <v>5</v>
      </c>
      <c r="Q50" s="3" t="n">
        <f aca="false">INDEX(Summary!$M$2:$M$201,MATCH($B50,Summary!$A$2:$A$201,0))</f>
        <v>1</v>
      </c>
      <c r="R50" s="2" t="n">
        <f aca="false">INDEX(Summary!$N$2:$N$201,MATCH($B50,Summary!$A$2:$A$201,0))</f>
        <v>10.84</v>
      </c>
      <c r="S50" s="3" t="n">
        <f aca="false">INDEX(Summary!$O$2:$O$201,MATCH($B50,Summary!$A$2:$A$201,0))</f>
        <v>6</v>
      </c>
      <c r="T50" s="3" t="n">
        <f aca="false">INDEX(Summary!$P$2:$P$201,MATCH($B50,Summary!$A$2:$A$201,0))</f>
        <v>3</v>
      </c>
      <c r="U50" s="2" t="n">
        <f aca="false">INDEX(Summary!$Q$2:$Q$201,MATCH($B50,Summary!$A$2:$A$201,0))</f>
        <v>11.44</v>
      </c>
      <c r="V50" s="2" t="n">
        <f aca="false">INDEX(Summary!$R$2:$R$201,MATCH($B50,Summary!$A$2:$A$201,0))</f>
        <v>29.89</v>
      </c>
      <c r="W50" s="0" t="str">
        <f aca="false">INDEX(Summary!$S$2:$S$201,MATCH($B50,Summary!$A$2:$A$201,0))</f>
        <v>Gold</v>
      </c>
      <c r="X50" s="2" t="n">
        <f aca="false">INDEX(Summary!$T$2:$T$201,MATCH($B50,Summary!$A$2:$A$201,0))</f>
        <v>72.9</v>
      </c>
      <c r="Y50" s="0" t="str">
        <f aca="false">INDEX('Reward Model'!$E$18:$E$37,MATCH($E50,'Reward Model'!$A$18:$A$37,0))</f>
        <v>Medium</v>
      </c>
      <c r="Z50" s="4" t="n">
        <f aca="false">ROUND(MIN(1,MAX('Reward Model'!$B$2,INDEX('Reward Model'!$C$12:$C$14,MATCH($K50,'Reward Model'!$A$12:$A$14,0))/$J50)),3)</f>
        <v>0.974</v>
      </c>
      <c r="AA50" s="2" t="n">
        <f aca="false">IF($I50="Correct",ROUND(INDEX('Reward Model'!$B$12:$B$14,MATCH($K50,'Reward Model'!$A$12:$A$14,0))*Z50,2),0)</f>
        <v>0.97</v>
      </c>
      <c r="AB50" s="2" t="n">
        <f aca="false">IF($I50="Correct",ROUND(INDEX('Reward Model'!$B$12:$B$14,MATCH($Y50,'Reward Model'!$A$12:$A$14,0))*Z50,2),0)</f>
        <v>1.95</v>
      </c>
    </row>
    <row r="51" customFormat="false" ht="15" hidden="false" customHeight="false" outlineLevel="0" collapsed="false">
      <c r="A51" s="0" t="s">
        <v>89</v>
      </c>
      <c r="B51" s="0" t="s">
        <v>90</v>
      </c>
      <c r="C51" s="0" t="s">
        <v>30</v>
      </c>
      <c r="D51" s="0" t="s">
        <v>31</v>
      </c>
      <c r="E51" s="0" t="n">
        <v>10</v>
      </c>
      <c r="F51" s="0" t="s">
        <v>58</v>
      </c>
      <c r="G51" s="0" t="s">
        <v>59</v>
      </c>
      <c r="H51" s="0" t="s">
        <v>59</v>
      </c>
      <c r="I51" s="0" t="s">
        <v>34</v>
      </c>
      <c r="J51" s="0" t="n">
        <v>2.02</v>
      </c>
      <c r="K51" s="0" t="s">
        <v>60</v>
      </c>
      <c r="L51" s="0" t="n">
        <f aca="false">INDEX(Summary!$F$2:$F$201,MATCH($B51,Summary!$A$2:$A$201,0))</f>
        <v>20</v>
      </c>
      <c r="M51" s="0" t="n">
        <f aca="false">INDEX(Summary!$I$2:$I$201,MATCH($B51,Summary!$A$2:$A$201,0))</f>
        <v>4</v>
      </c>
      <c r="N51" s="0" t="n">
        <f aca="false">INDEX(Summary!$J$2:$J$201,MATCH($B51,Summary!$A$2:$A$201,0))</f>
        <v>1</v>
      </c>
      <c r="O51" s="2" t="n">
        <f aca="false">INDEX(Summary!$K$2:$K$201,MATCH($B51,Summary!$A$2:$A$201,0))</f>
        <v>9.34</v>
      </c>
      <c r="P51" s="3" t="n">
        <f aca="false">INDEX(Summary!$L$2:$L$201,MATCH($B51,Summary!$A$2:$A$201,0))</f>
        <v>5</v>
      </c>
      <c r="Q51" s="3" t="n">
        <f aca="false">INDEX(Summary!$M$2:$M$201,MATCH($B51,Summary!$A$2:$A$201,0))</f>
        <v>1</v>
      </c>
      <c r="R51" s="2" t="n">
        <f aca="false">INDEX(Summary!$N$2:$N$201,MATCH($B51,Summary!$A$2:$A$201,0))</f>
        <v>10.84</v>
      </c>
      <c r="S51" s="3" t="n">
        <f aca="false">INDEX(Summary!$O$2:$O$201,MATCH($B51,Summary!$A$2:$A$201,0))</f>
        <v>6</v>
      </c>
      <c r="T51" s="3" t="n">
        <f aca="false">INDEX(Summary!$P$2:$P$201,MATCH($B51,Summary!$A$2:$A$201,0))</f>
        <v>3</v>
      </c>
      <c r="U51" s="2" t="n">
        <f aca="false">INDEX(Summary!$Q$2:$Q$201,MATCH($B51,Summary!$A$2:$A$201,0))</f>
        <v>11.44</v>
      </c>
      <c r="V51" s="2" t="n">
        <f aca="false">INDEX(Summary!$R$2:$R$201,MATCH($B51,Summary!$A$2:$A$201,0))</f>
        <v>29.89</v>
      </c>
      <c r="W51" s="0" t="str">
        <f aca="false">INDEX(Summary!$S$2:$S$201,MATCH($B51,Summary!$A$2:$A$201,0))</f>
        <v>Gold</v>
      </c>
      <c r="X51" s="2" t="n">
        <f aca="false">INDEX(Summary!$T$2:$T$201,MATCH($B51,Summary!$A$2:$A$201,0))</f>
        <v>72.9</v>
      </c>
      <c r="Y51" s="0" t="str">
        <f aca="false">INDEX('Reward Model'!$E$18:$E$37,MATCH($E51,'Reward Model'!$A$18:$A$37,0))</f>
        <v>Medium</v>
      </c>
      <c r="Z51" s="4" t="n">
        <f aca="false">ROUND(MIN(1,MAX('Reward Model'!$B$2,INDEX('Reward Model'!$C$12:$C$14,MATCH($K51,'Reward Model'!$A$12:$A$14,0))/$J51)),3)</f>
        <v>0.891</v>
      </c>
      <c r="AA51" s="2" t="n">
        <f aca="false">IF($I51="Correct",ROUND(INDEX('Reward Model'!$B$12:$B$14,MATCH($K51,'Reward Model'!$A$12:$A$14,0))*Z51,2),0)</f>
        <v>1.78</v>
      </c>
      <c r="AB51" s="2" t="n">
        <f aca="false">IF($I51="Correct",ROUND(INDEX('Reward Model'!$B$12:$B$14,MATCH($Y51,'Reward Model'!$A$12:$A$14,0))*Z51,2),0)</f>
        <v>1.78</v>
      </c>
    </row>
    <row r="52" customFormat="false" ht="15" hidden="false" customHeight="false" outlineLevel="0" collapsed="false">
      <c r="A52" s="0" t="s">
        <v>89</v>
      </c>
      <c r="B52" s="0" t="s">
        <v>90</v>
      </c>
      <c r="C52" s="0" t="s">
        <v>30</v>
      </c>
      <c r="D52" s="0" t="s">
        <v>31</v>
      </c>
      <c r="E52" s="0" t="n">
        <v>11</v>
      </c>
      <c r="F52" s="0" t="s">
        <v>61</v>
      </c>
      <c r="G52" s="0" t="s">
        <v>63</v>
      </c>
      <c r="H52" s="0" t="s">
        <v>63</v>
      </c>
      <c r="I52" s="0" t="s">
        <v>34</v>
      </c>
      <c r="J52" s="0" t="n">
        <v>2.24</v>
      </c>
      <c r="K52" s="0" t="s">
        <v>60</v>
      </c>
      <c r="L52" s="0" t="n">
        <f aca="false">INDEX(Summary!$F$2:$F$201,MATCH($B52,Summary!$A$2:$A$201,0))</f>
        <v>20</v>
      </c>
      <c r="M52" s="0" t="n">
        <f aca="false">INDEX(Summary!$I$2:$I$201,MATCH($B52,Summary!$A$2:$A$201,0))</f>
        <v>4</v>
      </c>
      <c r="N52" s="0" t="n">
        <f aca="false">INDEX(Summary!$J$2:$J$201,MATCH($B52,Summary!$A$2:$A$201,0))</f>
        <v>1</v>
      </c>
      <c r="O52" s="2" t="n">
        <f aca="false">INDEX(Summary!$K$2:$K$201,MATCH($B52,Summary!$A$2:$A$201,0))</f>
        <v>9.34</v>
      </c>
      <c r="P52" s="3" t="n">
        <f aca="false">INDEX(Summary!$L$2:$L$201,MATCH($B52,Summary!$A$2:$A$201,0))</f>
        <v>5</v>
      </c>
      <c r="Q52" s="3" t="n">
        <f aca="false">INDEX(Summary!$M$2:$M$201,MATCH($B52,Summary!$A$2:$A$201,0))</f>
        <v>1</v>
      </c>
      <c r="R52" s="2" t="n">
        <f aca="false">INDEX(Summary!$N$2:$N$201,MATCH($B52,Summary!$A$2:$A$201,0))</f>
        <v>10.84</v>
      </c>
      <c r="S52" s="3" t="n">
        <f aca="false">INDEX(Summary!$O$2:$O$201,MATCH($B52,Summary!$A$2:$A$201,0))</f>
        <v>6</v>
      </c>
      <c r="T52" s="3" t="n">
        <f aca="false">INDEX(Summary!$P$2:$P$201,MATCH($B52,Summary!$A$2:$A$201,0))</f>
        <v>3</v>
      </c>
      <c r="U52" s="2" t="n">
        <f aca="false">INDEX(Summary!$Q$2:$Q$201,MATCH($B52,Summary!$A$2:$A$201,0))</f>
        <v>11.44</v>
      </c>
      <c r="V52" s="2" t="n">
        <f aca="false">INDEX(Summary!$R$2:$R$201,MATCH($B52,Summary!$A$2:$A$201,0))</f>
        <v>29.89</v>
      </c>
      <c r="W52" s="0" t="str">
        <f aca="false">INDEX(Summary!$S$2:$S$201,MATCH($B52,Summary!$A$2:$A$201,0))</f>
        <v>Gold</v>
      </c>
      <c r="X52" s="2" t="n">
        <f aca="false">INDEX(Summary!$T$2:$T$201,MATCH($B52,Summary!$A$2:$A$201,0))</f>
        <v>72.9</v>
      </c>
      <c r="Y52" s="0" t="str">
        <f aca="false">INDEX('Reward Model'!$E$18:$E$37,MATCH($E52,'Reward Model'!$A$18:$A$37,0))</f>
        <v>Medium</v>
      </c>
      <c r="Z52" s="4" t="n">
        <f aca="false">ROUND(MIN(1,MAX('Reward Model'!$B$2,INDEX('Reward Model'!$C$12:$C$14,MATCH($K52,'Reward Model'!$A$12:$A$14,0))/$J52)),3)</f>
        <v>0.804</v>
      </c>
      <c r="AA52" s="2" t="n">
        <f aca="false">IF($I52="Correct",ROUND(INDEX('Reward Model'!$B$12:$B$14,MATCH($K52,'Reward Model'!$A$12:$A$14,0))*Z52,2),0)</f>
        <v>1.61</v>
      </c>
      <c r="AB52" s="2" t="n">
        <f aca="false">IF($I52="Correct",ROUND(INDEX('Reward Model'!$B$12:$B$14,MATCH($Y52,'Reward Model'!$A$12:$A$14,0))*Z52,2),0)</f>
        <v>1.61</v>
      </c>
    </row>
    <row r="53" customFormat="false" ht="15" hidden="false" customHeight="false" outlineLevel="0" collapsed="false">
      <c r="A53" s="0" t="s">
        <v>89</v>
      </c>
      <c r="B53" s="0" t="s">
        <v>90</v>
      </c>
      <c r="C53" s="0" t="s">
        <v>30</v>
      </c>
      <c r="D53" s="0" t="s">
        <v>31</v>
      </c>
      <c r="E53" s="0" t="n">
        <v>12</v>
      </c>
      <c r="F53" s="0" t="s">
        <v>64</v>
      </c>
      <c r="G53" s="0" t="s">
        <v>65</v>
      </c>
      <c r="H53" s="0" t="s">
        <v>65</v>
      </c>
      <c r="I53" s="0" t="s">
        <v>34</v>
      </c>
      <c r="J53" s="0" t="n">
        <v>1.69</v>
      </c>
      <c r="K53" s="0" t="s">
        <v>60</v>
      </c>
      <c r="L53" s="0" t="n">
        <f aca="false">INDEX(Summary!$F$2:$F$201,MATCH($B53,Summary!$A$2:$A$201,0))</f>
        <v>20</v>
      </c>
      <c r="M53" s="0" t="n">
        <f aca="false">INDEX(Summary!$I$2:$I$201,MATCH($B53,Summary!$A$2:$A$201,0))</f>
        <v>4</v>
      </c>
      <c r="N53" s="0" t="n">
        <f aca="false">INDEX(Summary!$J$2:$J$201,MATCH($B53,Summary!$A$2:$A$201,0))</f>
        <v>1</v>
      </c>
      <c r="O53" s="2" t="n">
        <f aca="false">INDEX(Summary!$K$2:$K$201,MATCH($B53,Summary!$A$2:$A$201,0))</f>
        <v>9.34</v>
      </c>
      <c r="P53" s="3" t="n">
        <f aca="false">INDEX(Summary!$L$2:$L$201,MATCH($B53,Summary!$A$2:$A$201,0))</f>
        <v>5</v>
      </c>
      <c r="Q53" s="3" t="n">
        <f aca="false">INDEX(Summary!$M$2:$M$201,MATCH($B53,Summary!$A$2:$A$201,0))</f>
        <v>1</v>
      </c>
      <c r="R53" s="2" t="n">
        <f aca="false">INDEX(Summary!$N$2:$N$201,MATCH($B53,Summary!$A$2:$A$201,0))</f>
        <v>10.84</v>
      </c>
      <c r="S53" s="3" t="n">
        <f aca="false">INDEX(Summary!$O$2:$O$201,MATCH($B53,Summary!$A$2:$A$201,0))</f>
        <v>6</v>
      </c>
      <c r="T53" s="3" t="n">
        <f aca="false">INDEX(Summary!$P$2:$P$201,MATCH($B53,Summary!$A$2:$A$201,0))</f>
        <v>3</v>
      </c>
      <c r="U53" s="2" t="n">
        <f aca="false">INDEX(Summary!$Q$2:$Q$201,MATCH($B53,Summary!$A$2:$A$201,0))</f>
        <v>11.44</v>
      </c>
      <c r="V53" s="2" t="n">
        <f aca="false">INDEX(Summary!$R$2:$R$201,MATCH($B53,Summary!$A$2:$A$201,0))</f>
        <v>29.89</v>
      </c>
      <c r="W53" s="0" t="str">
        <f aca="false">INDEX(Summary!$S$2:$S$201,MATCH($B53,Summary!$A$2:$A$201,0))</f>
        <v>Gold</v>
      </c>
      <c r="X53" s="2" t="n">
        <f aca="false">INDEX(Summary!$T$2:$T$201,MATCH($B53,Summary!$A$2:$A$201,0))</f>
        <v>72.9</v>
      </c>
      <c r="Y53" s="0" t="str">
        <f aca="false">INDEX('Reward Model'!$E$18:$E$37,MATCH($E53,'Reward Model'!$A$18:$A$37,0))</f>
        <v>Medium</v>
      </c>
      <c r="Z53" s="4" t="n">
        <f aca="false">ROUND(MIN(1,MAX('Reward Model'!$B$2,INDEX('Reward Model'!$C$12:$C$14,MATCH($K53,'Reward Model'!$A$12:$A$14,0))/$J53)),3)</f>
        <v>1</v>
      </c>
      <c r="AA53" s="2" t="n">
        <f aca="false">IF($I53="Correct",ROUND(INDEX('Reward Model'!$B$12:$B$14,MATCH($K53,'Reward Model'!$A$12:$A$14,0))*Z53,2),0)</f>
        <v>2</v>
      </c>
      <c r="AB53" s="2" t="n">
        <f aca="false">IF($I53="Correct",ROUND(INDEX('Reward Model'!$B$12:$B$14,MATCH($Y53,'Reward Model'!$A$12:$A$14,0))*Z53,2),0)</f>
        <v>2</v>
      </c>
    </row>
    <row r="54" customFormat="false" ht="15" hidden="false" customHeight="false" outlineLevel="0" collapsed="false">
      <c r="A54" s="0" t="s">
        <v>89</v>
      </c>
      <c r="B54" s="0" t="s">
        <v>90</v>
      </c>
      <c r="C54" s="0" t="s">
        <v>30</v>
      </c>
      <c r="D54" s="0" t="s">
        <v>31</v>
      </c>
      <c r="E54" s="0" t="n">
        <v>13</v>
      </c>
      <c r="F54" s="0" t="s">
        <v>66</v>
      </c>
      <c r="G54" s="0" t="s">
        <v>67</v>
      </c>
      <c r="H54" s="0" t="s">
        <v>67</v>
      </c>
      <c r="I54" s="0" t="s">
        <v>34</v>
      </c>
      <c r="J54" s="0" t="n">
        <v>1.96</v>
      </c>
      <c r="K54" s="0" t="s">
        <v>60</v>
      </c>
      <c r="L54" s="0" t="n">
        <f aca="false">INDEX(Summary!$F$2:$F$201,MATCH($B54,Summary!$A$2:$A$201,0))</f>
        <v>20</v>
      </c>
      <c r="M54" s="0" t="n">
        <f aca="false">INDEX(Summary!$I$2:$I$201,MATCH($B54,Summary!$A$2:$A$201,0))</f>
        <v>4</v>
      </c>
      <c r="N54" s="0" t="n">
        <f aca="false">INDEX(Summary!$J$2:$J$201,MATCH($B54,Summary!$A$2:$A$201,0))</f>
        <v>1</v>
      </c>
      <c r="O54" s="2" t="n">
        <f aca="false">INDEX(Summary!$K$2:$K$201,MATCH($B54,Summary!$A$2:$A$201,0))</f>
        <v>9.34</v>
      </c>
      <c r="P54" s="3" t="n">
        <f aca="false">INDEX(Summary!$L$2:$L$201,MATCH($B54,Summary!$A$2:$A$201,0))</f>
        <v>5</v>
      </c>
      <c r="Q54" s="3" t="n">
        <f aca="false">INDEX(Summary!$M$2:$M$201,MATCH($B54,Summary!$A$2:$A$201,0))</f>
        <v>1</v>
      </c>
      <c r="R54" s="2" t="n">
        <f aca="false">INDEX(Summary!$N$2:$N$201,MATCH($B54,Summary!$A$2:$A$201,0))</f>
        <v>10.84</v>
      </c>
      <c r="S54" s="3" t="n">
        <f aca="false">INDEX(Summary!$O$2:$O$201,MATCH($B54,Summary!$A$2:$A$201,0))</f>
        <v>6</v>
      </c>
      <c r="T54" s="3" t="n">
        <f aca="false">INDEX(Summary!$P$2:$P$201,MATCH($B54,Summary!$A$2:$A$201,0))</f>
        <v>3</v>
      </c>
      <c r="U54" s="2" t="n">
        <f aca="false">INDEX(Summary!$Q$2:$Q$201,MATCH($B54,Summary!$A$2:$A$201,0))</f>
        <v>11.44</v>
      </c>
      <c r="V54" s="2" t="n">
        <f aca="false">INDEX(Summary!$R$2:$R$201,MATCH($B54,Summary!$A$2:$A$201,0))</f>
        <v>29.89</v>
      </c>
      <c r="W54" s="0" t="str">
        <f aca="false">INDEX(Summary!$S$2:$S$201,MATCH($B54,Summary!$A$2:$A$201,0))</f>
        <v>Gold</v>
      </c>
      <c r="X54" s="2" t="n">
        <f aca="false">INDEX(Summary!$T$2:$T$201,MATCH($B54,Summary!$A$2:$A$201,0))</f>
        <v>72.9</v>
      </c>
      <c r="Y54" s="0" t="str">
        <f aca="false">INDEX('Reward Model'!$E$18:$E$37,MATCH($E54,'Reward Model'!$A$18:$A$37,0))</f>
        <v>Medium</v>
      </c>
      <c r="Z54" s="4" t="n">
        <f aca="false">ROUND(MIN(1,MAX('Reward Model'!$B$2,INDEX('Reward Model'!$C$12:$C$14,MATCH($K54,'Reward Model'!$A$12:$A$14,0))/$J54)),3)</f>
        <v>0.918</v>
      </c>
      <c r="AA54" s="2" t="n">
        <f aca="false">IF($I54="Correct",ROUND(INDEX('Reward Model'!$B$12:$B$14,MATCH($K54,'Reward Model'!$A$12:$A$14,0))*Z54,2),0)</f>
        <v>1.84</v>
      </c>
      <c r="AB54" s="2" t="n">
        <f aca="false">IF($I54="Correct",ROUND(INDEX('Reward Model'!$B$12:$B$14,MATCH($Y54,'Reward Model'!$A$12:$A$14,0))*Z54,2),0)</f>
        <v>1.84</v>
      </c>
    </row>
    <row r="55" customFormat="false" ht="15" hidden="false" customHeight="false" outlineLevel="0" collapsed="false">
      <c r="A55" s="0" t="s">
        <v>89</v>
      </c>
      <c r="B55" s="0" t="s">
        <v>90</v>
      </c>
      <c r="C55" s="0" t="s">
        <v>30</v>
      </c>
      <c r="D55" s="0" t="s">
        <v>31</v>
      </c>
      <c r="E55" s="0" t="n">
        <v>14</v>
      </c>
      <c r="F55" s="0" t="s">
        <v>68</v>
      </c>
      <c r="G55" s="0" t="s">
        <v>51</v>
      </c>
      <c r="H55" s="0" t="s">
        <v>51</v>
      </c>
      <c r="I55" s="0" t="s">
        <v>34</v>
      </c>
      <c r="J55" s="0" t="n">
        <v>1.26</v>
      </c>
      <c r="K55" s="0" t="s">
        <v>60</v>
      </c>
      <c r="L55" s="0" t="n">
        <f aca="false">INDEX(Summary!$F$2:$F$201,MATCH($B55,Summary!$A$2:$A$201,0))</f>
        <v>20</v>
      </c>
      <c r="M55" s="0" t="n">
        <f aca="false">INDEX(Summary!$I$2:$I$201,MATCH($B55,Summary!$A$2:$A$201,0))</f>
        <v>4</v>
      </c>
      <c r="N55" s="0" t="n">
        <f aca="false">INDEX(Summary!$J$2:$J$201,MATCH($B55,Summary!$A$2:$A$201,0))</f>
        <v>1</v>
      </c>
      <c r="O55" s="2" t="n">
        <f aca="false">INDEX(Summary!$K$2:$K$201,MATCH($B55,Summary!$A$2:$A$201,0))</f>
        <v>9.34</v>
      </c>
      <c r="P55" s="3" t="n">
        <f aca="false">INDEX(Summary!$L$2:$L$201,MATCH($B55,Summary!$A$2:$A$201,0))</f>
        <v>5</v>
      </c>
      <c r="Q55" s="3" t="n">
        <f aca="false">INDEX(Summary!$M$2:$M$201,MATCH($B55,Summary!$A$2:$A$201,0))</f>
        <v>1</v>
      </c>
      <c r="R55" s="2" t="n">
        <f aca="false">INDEX(Summary!$N$2:$N$201,MATCH($B55,Summary!$A$2:$A$201,0))</f>
        <v>10.84</v>
      </c>
      <c r="S55" s="3" t="n">
        <f aca="false">INDEX(Summary!$O$2:$O$201,MATCH($B55,Summary!$A$2:$A$201,0))</f>
        <v>6</v>
      </c>
      <c r="T55" s="3" t="n">
        <f aca="false">INDEX(Summary!$P$2:$P$201,MATCH($B55,Summary!$A$2:$A$201,0))</f>
        <v>3</v>
      </c>
      <c r="U55" s="2" t="n">
        <f aca="false">INDEX(Summary!$Q$2:$Q$201,MATCH($B55,Summary!$A$2:$A$201,0))</f>
        <v>11.44</v>
      </c>
      <c r="V55" s="2" t="n">
        <f aca="false">INDEX(Summary!$R$2:$R$201,MATCH($B55,Summary!$A$2:$A$201,0))</f>
        <v>29.89</v>
      </c>
      <c r="W55" s="0" t="str">
        <f aca="false">INDEX(Summary!$S$2:$S$201,MATCH($B55,Summary!$A$2:$A$201,0))</f>
        <v>Gold</v>
      </c>
      <c r="X55" s="2" t="n">
        <f aca="false">INDEX(Summary!$T$2:$T$201,MATCH($B55,Summary!$A$2:$A$201,0))</f>
        <v>72.9</v>
      </c>
      <c r="Y55" s="0" t="str">
        <f aca="false">INDEX('Reward Model'!$E$18:$E$37,MATCH($E55,'Reward Model'!$A$18:$A$37,0))</f>
        <v>Medium</v>
      </c>
      <c r="Z55" s="4" t="n">
        <f aca="false">ROUND(MIN(1,MAX('Reward Model'!$B$2,INDEX('Reward Model'!$C$12:$C$14,MATCH($K55,'Reward Model'!$A$12:$A$14,0))/$J55)),3)</f>
        <v>1</v>
      </c>
      <c r="AA55" s="2" t="n">
        <f aca="false">IF($I55="Correct",ROUND(INDEX('Reward Model'!$B$12:$B$14,MATCH($K55,'Reward Model'!$A$12:$A$14,0))*Z55,2),0)</f>
        <v>2</v>
      </c>
      <c r="AB55" s="2" t="n">
        <f aca="false">IF($I55="Correct",ROUND(INDEX('Reward Model'!$B$12:$B$14,MATCH($Y55,'Reward Model'!$A$12:$A$14,0))*Z55,2),0)</f>
        <v>2</v>
      </c>
    </row>
    <row r="56" customFormat="false" ht="15" hidden="false" customHeight="false" outlineLevel="0" collapsed="false">
      <c r="A56" s="0" t="s">
        <v>89</v>
      </c>
      <c r="B56" s="0" t="s">
        <v>90</v>
      </c>
      <c r="C56" s="0" t="s">
        <v>30</v>
      </c>
      <c r="D56" s="0" t="s">
        <v>31</v>
      </c>
      <c r="E56" s="0" t="n">
        <v>15</v>
      </c>
      <c r="F56" s="0" t="s">
        <v>69</v>
      </c>
      <c r="G56" s="0" t="s">
        <v>94</v>
      </c>
      <c r="H56" s="0" t="s">
        <v>70</v>
      </c>
      <c r="I56" s="0" t="s">
        <v>39</v>
      </c>
      <c r="J56" s="0" t="n">
        <v>1.67</v>
      </c>
      <c r="K56" s="0" t="s">
        <v>60</v>
      </c>
      <c r="L56" s="0" t="n">
        <f aca="false">INDEX(Summary!$F$2:$F$201,MATCH($B56,Summary!$A$2:$A$201,0))</f>
        <v>20</v>
      </c>
      <c r="M56" s="0" t="n">
        <f aca="false">INDEX(Summary!$I$2:$I$201,MATCH($B56,Summary!$A$2:$A$201,0))</f>
        <v>4</v>
      </c>
      <c r="N56" s="0" t="n">
        <f aca="false">INDEX(Summary!$J$2:$J$201,MATCH($B56,Summary!$A$2:$A$201,0))</f>
        <v>1</v>
      </c>
      <c r="O56" s="2" t="n">
        <f aca="false">INDEX(Summary!$K$2:$K$201,MATCH($B56,Summary!$A$2:$A$201,0))</f>
        <v>9.34</v>
      </c>
      <c r="P56" s="3" t="n">
        <f aca="false">INDEX(Summary!$L$2:$L$201,MATCH($B56,Summary!$A$2:$A$201,0))</f>
        <v>5</v>
      </c>
      <c r="Q56" s="3" t="n">
        <f aca="false">INDEX(Summary!$M$2:$M$201,MATCH($B56,Summary!$A$2:$A$201,0))</f>
        <v>1</v>
      </c>
      <c r="R56" s="2" t="n">
        <f aca="false">INDEX(Summary!$N$2:$N$201,MATCH($B56,Summary!$A$2:$A$201,0))</f>
        <v>10.84</v>
      </c>
      <c r="S56" s="3" t="n">
        <f aca="false">INDEX(Summary!$O$2:$O$201,MATCH($B56,Summary!$A$2:$A$201,0))</f>
        <v>6</v>
      </c>
      <c r="T56" s="3" t="n">
        <f aca="false">INDEX(Summary!$P$2:$P$201,MATCH($B56,Summary!$A$2:$A$201,0))</f>
        <v>3</v>
      </c>
      <c r="U56" s="2" t="n">
        <f aca="false">INDEX(Summary!$Q$2:$Q$201,MATCH($B56,Summary!$A$2:$A$201,0))</f>
        <v>11.44</v>
      </c>
      <c r="V56" s="2" t="n">
        <f aca="false">INDEX(Summary!$R$2:$R$201,MATCH($B56,Summary!$A$2:$A$201,0))</f>
        <v>29.89</v>
      </c>
      <c r="W56" s="0" t="str">
        <f aca="false">INDEX(Summary!$S$2:$S$201,MATCH($B56,Summary!$A$2:$A$201,0))</f>
        <v>Gold</v>
      </c>
      <c r="X56" s="2" t="n">
        <f aca="false">INDEX(Summary!$T$2:$T$201,MATCH($B56,Summary!$A$2:$A$201,0))</f>
        <v>72.9</v>
      </c>
      <c r="Y56" s="0" t="str">
        <f aca="false">INDEX('Reward Model'!$E$18:$E$37,MATCH($E56,'Reward Model'!$A$18:$A$37,0))</f>
        <v>Medium</v>
      </c>
      <c r="Z56" s="4" t="n">
        <f aca="false">ROUND(MIN(1,MAX('Reward Model'!$B$2,INDEX('Reward Model'!$C$12:$C$14,MATCH($K56,'Reward Model'!$A$12:$A$14,0))/$J56)),3)</f>
        <v>1</v>
      </c>
      <c r="AA56" s="2" t="n">
        <f aca="false">IF($I56="Correct",ROUND(INDEX('Reward Model'!$B$12:$B$14,MATCH($K56,'Reward Model'!$A$12:$A$14,0))*Z56,2),0)</f>
        <v>0</v>
      </c>
      <c r="AB56" s="2" t="n">
        <f aca="false">IF($I56="Correct",ROUND(INDEX('Reward Model'!$B$12:$B$14,MATCH($Y56,'Reward Model'!$A$12:$A$14,0))*Z56,2),0)</f>
        <v>0</v>
      </c>
    </row>
    <row r="57" customFormat="false" ht="15" hidden="false" customHeight="false" outlineLevel="0" collapsed="false">
      <c r="A57" s="0" t="s">
        <v>89</v>
      </c>
      <c r="B57" s="0" t="s">
        <v>90</v>
      </c>
      <c r="C57" s="0" t="s">
        <v>30</v>
      </c>
      <c r="D57" s="0" t="s">
        <v>31</v>
      </c>
      <c r="E57" s="0" t="n">
        <v>16</v>
      </c>
      <c r="F57" s="0" t="s">
        <v>71</v>
      </c>
      <c r="G57" s="0" t="s">
        <v>72</v>
      </c>
      <c r="H57" s="0" t="s">
        <v>72</v>
      </c>
      <c r="I57" s="0" t="s">
        <v>34</v>
      </c>
      <c r="J57" s="0" t="n">
        <v>1.38</v>
      </c>
      <c r="K57" s="0" t="s">
        <v>73</v>
      </c>
      <c r="L57" s="0" t="n">
        <f aca="false">INDEX(Summary!$F$2:$F$201,MATCH($B57,Summary!$A$2:$A$201,0))</f>
        <v>20</v>
      </c>
      <c r="M57" s="0" t="n">
        <f aca="false">INDEX(Summary!$I$2:$I$201,MATCH($B57,Summary!$A$2:$A$201,0))</f>
        <v>4</v>
      </c>
      <c r="N57" s="0" t="n">
        <f aca="false">INDEX(Summary!$J$2:$J$201,MATCH($B57,Summary!$A$2:$A$201,0))</f>
        <v>1</v>
      </c>
      <c r="O57" s="2" t="n">
        <f aca="false">INDEX(Summary!$K$2:$K$201,MATCH($B57,Summary!$A$2:$A$201,0))</f>
        <v>9.34</v>
      </c>
      <c r="P57" s="3" t="n">
        <f aca="false">INDEX(Summary!$L$2:$L$201,MATCH($B57,Summary!$A$2:$A$201,0))</f>
        <v>5</v>
      </c>
      <c r="Q57" s="3" t="n">
        <f aca="false">INDEX(Summary!$M$2:$M$201,MATCH($B57,Summary!$A$2:$A$201,0))</f>
        <v>1</v>
      </c>
      <c r="R57" s="2" t="n">
        <f aca="false">INDEX(Summary!$N$2:$N$201,MATCH($B57,Summary!$A$2:$A$201,0))</f>
        <v>10.84</v>
      </c>
      <c r="S57" s="3" t="n">
        <f aca="false">INDEX(Summary!$O$2:$O$201,MATCH($B57,Summary!$A$2:$A$201,0))</f>
        <v>6</v>
      </c>
      <c r="T57" s="3" t="n">
        <f aca="false">INDEX(Summary!$P$2:$P$201,MATCH($B57,Summary!$A$2:$A$201,0))</f>
        <v>3</v>
      </c>
      <c r="U57" s="2" t="n">
        <f aca="false">INDEX(Summary!$Q$2:$Q$201,MATCH($B57,Summary!$A$2:$A$201,0))</f>
        <v>11.44</v>
      </c>
      <c r="V57" s="2" t="n">
        <f aca="false">INDEX(Summary!$R$2:$R$201,MATCH($B57,Summary!$A$2:$A$201,0))</f>
        <v>29.89</v>
      </c>
      <c r="W57" s="0" t="str">
        <f aca="false">INDEX(Summary!$S$2:$S$201,MATCH($B57,Summary!$A$2:$A$201,0))</f>
        <v>Gold</v>
      </c>
      <c r="X57" s="2" t="n">
        <f aca="false">INDEX(Summary!$T$2:$T$201,MATCH($B57,Summary!$A$2:$A$201,0))</f>
        <v>72.9</v>
      </c>
      <c r="Y57" s="0" t="str">
        <f aca="false">INDEX('Reward Model'!$E$18:$E$37,MATCH($E57,'Reward Model'!$A$18:$A$37,0))</f>
        <v>High</v>
      </c>
      <c r="Z57" s="4" t="n">
        <f aca="false">ROUND(MIN(1,MAX('Reward Model'!$B$2,INDEX('Reward Model'!$C$12:$C$14,MATCH($K57,'Reward Model'!$A$12:$A$14,0))/$J57)),3)</f>
        <v>1</v>
      </c>
      <c r="AA57" s="2" t="n">
        <f aca="false">IF($I57="Correct",ROUND(INDEX('Reward Model'!$B$12:$B$14,MATCH($K57,'Reward Model'!$A$12:$A$14,0))*Z57,2),0)</f>
        <v>3</v>
      </c>
      <c r="AB57" s="2" t="n">
        <f aca="false">IF($I57="Correct",ROUND(INDEX('Reward Model'!$B$12:$B$14,MATCH($Y57,'Reward Model'!$A$12:$A$14,0))*Z57,2),0)</f>
        <v>3</v>
      </c>
    </row>
    <row r="58" customFormat="false" ht="15" hidden="false" customHeight="false" outlineLevel="0" collapsed="false">
      <c r="A58" s="0" t="s">
        <v>89</v>
      </c>
      <c r="B58" s="0" t="s">
        <v>90</v>
      </c>
      <c r="C58" s="0" t="s">
        <v>30</v>
      </c>
      <c r="D58" s="0" t="s">
        <v>31</v>
      </c>
      <c r="E58" s="0" t="n">
        <v>17</v>
      </c>
      <c r="F58" s="0" t="s">
        <v>74</v>
      </c>
      <c r="G58" s="0" t="s">
        <v>75</v>
      </c>
      <c r="H58" s="0" t="s">
        <v>75</v>
      </c>
      <c r="I58" s="0" t="s">
        <v>34</v>
      </c>
      <c r="J58" s="0" t="n">
        <v>2.04</v>
      </c>
      <c r="K58" s="0" t="s">
        <v>73</v>
      </c>
      <c r="L58" s="0" t="n">
        <f aca="false">INDEX(Summary!$F$2:$F$201,MATCH($B58,Summary!$A$2:$A$201,0))</f>
        <v>20</v>
      </c>
      <c r="M58" s="0" t="n">
        <f aca="false">INDEX(Summary!$I$2:$I$201,MATCH($B58,Summary!$A$2:$A$201,0))</f>
        <v>4</v>
      </c>
      <c r="N58" s="0" t="n">
        <f aca="false">INDEX(Summary!$J$2:$J$201,MATCH($B58,Summary!$A$2:$A$201,0))</f>
        <v>1</v>
      </c>
      <c r="O58" s="2" t="n">
        <f aca="false">INDEX(Summary!$K$2:$K$201,MATCH($B58,Summary!$A$2:$A$201,0))</f>
        <v>9.34</v>
      </c>
      <c r="P58" s="3" t="n">
        <f aca="false">INDEX(Summary!$L$2:$L$201,MATCH($B58,Summary!$A$2:$A$201,0))</f>
        <v>5</v>
      </c>
      <c r="Q58" s="3" t="n">
        <f aca="false">INDEX(Summary!$M$2:$M$201,MATCH($B58,Summary!$A$2:$A$201,0))</f>
        <v>1</v>
      </c>
      <c r="R58" s="2" t="n">
        <f aca="false">INDEX(Summary!$N$2:$N$201,MATCH($B58,Summary!$A$2:$A$201,0))</f>
        <v>10.84</v>
      </c>
      <c r="S58" s="3" t="n">
        <f aca="false">INDEX(Summary!$O$2:$O$201,MATCH($B58,Summary!$A$2:$A$201,0))</f>
        <v>6</v>
      </c>
      <c r="T58" s="3" t="n">
        <f aca="false">INDEX(Summary!$P$2:$P$201,MATCH($B58,Summary!$A$2:$A$201,0))</f>
        <v>3</v>
      </c>
      <c r="U58" s="2" t="n">
        <f aca="false">INDEX(Summary!$Q$2:$Q$201,MATCH($B58,Summary!$A$2:$A$201,0))</f>
        <v>11.44</v>
      </c>
      <c r="V58" s="2" t="n">
        <f aca="false">INDEX(Summary!$R$2:$R$201,MATCH($B58,Summary!$A$2:$A$201,0))</f>
        <v>29.89</v>
      </c>
      <c r="W58" s="0" t="str">
        <f aca="false">INDEX(Summary!$S$2:$S$201,MATCH($B58,Summary!$A$2:$A$201,0))</f>
        <v>Gold</v>
      </c>
      <c r="X58" s="2" t="n">
        <f aca="false">INDEX(Summary!$T$2:$T$201,MATCH($B58,Summary!$A$2:$A$201,0))</f>
        <v>72.9</v>
      </c>
      <c r="Y58" s="0" t="str">
        <f aca="false">INDEX('Reward Model'!$E$18:$E$37,MATCH($E58,'Reward Model'!$A$18:$A$37,0))</f>
        <v>High</v>
      </c>
      <c r="Z58" s="4" t="n">
        <f aca="false">ROUND(MIN(1,MAX('Reward Model'!$B$2,INDEX('Reward Model'!$C$12:$C$14,MATCH($K58,'Reward Model'!$A$12:$A$14,0))/$J58)),3)</f>
        <v>0.98</v>
      </c>
      <c r="AA58" s="2" t="n">
        <f aca="false">IF($I58="Correct",ROUND(INDEX('Reward Model'!$B$12:$B$14,MATCH($K58,'Reward Model'!$A$12:$A$14,0))*Z58,2),0)</f>
        <v>2.94</v>
      </c>
      <c r="AB58" s="2" t="n">
        <f aca="false">IF($I58="Correct",ROUND(INDEX('Reward Model'!$B$12:$B$14,MATCH($Y58,'Reward Model'!$A$12:$A$14,0))*Z58,2),0)</f>
        <v>2.94</v>
      </c>
    </row>
    <row r="59" customFormat="false" ht="15" hidden="false" customHeight="false" outlineLevel="0" collapsed="false">
      <c r="A59" s="0" t="s">
        <v>89</v>
      </c>
      <c r="B59" s="0" t="s">
        <v>90</v>
      </c>
      <c r="C59" s="0" t="s">
        <v>30</v>
      </c>
      <c r="D59" s="0" t="s">
        <v>31</v>
      </c>
      <c r="E59" s="0" t="n">
        <v>18</v>
      </c>
      <c r="F59" s="0" t="s">
        <v>76</v>
      </c>
      <c r="G59" s="0" t="s">
        <v>77</v>
      </c>
      <c r="H59" s="0" t="s">
        <v>77</v>
      </c>
      <c r="I59" s="0" t="s">
        <v>34</v>
      </c>
      <c r="J59" s="0" t="n">
        <v>2.17</v>
      </c>
      <c r="K59" s="0" t="s">
        <v>73</v>
      </c>
      <c r="L59" s="0" t="n">
        <f aca="false">INDEX(Summary!$F$2:$F$201,MATCH($B59,Summary!$A$2:$A$201,0))</f>
        <v>20</v>
      </c>
      <c r="M59" s="0" t="n">
        <f aca="false">INDEX(Summary!$I$2:$I$201,MATCH($B59,Summary!$A$2:$A$201,0))</f>
        <v>4</v>
      </c>
      <c r="N59" s="0" t="n">
        <f aca="false">INDEX(Summary!$J$2:$J$201,MATCH($B59,Summary!$A$2:$A$201,0))</f>
        <v>1</v>
      </c>
      <c r="O59" s="2" t="n">
        <f aca="false">INDEX(Summary!$K$2:$K$201,MATCH($B59,Summary!$A$2:$A$201,0))</f>
        <v>9.34</v>
      </c>
      <c r="P59" s="3" t="n">
        <f aca="false">INDEX(Summary!$L$2:$L$201,MATCH($B59,Summary!$A$2:$A$201,0))</f>
        <v>5</v>
      </c>
      <c r="Q59" s="3" t="n">
        <f aca="false">INDEX(Summary!$M$2:$M$201,MATCH($B59,Summary!$A$2:$A$201,0))</f>
        <v>1</v>
      </c>
      <c r="R59" s="2" t="n">
        <f aca="false">INDEX(Summary!$N$2:$N$201,MATCH($B59,Summary!$A$2:$A$201,0))</f>
        <v>10.84</v>
      </c>
      <c r="S59" s="3" t="n">
        <f aca="false">INDEX(Summary!$O$2:$O$201,MATCH($B59,Summary!$A$2:$A$201,0))</f>
        <v>6</v>
      </c>
      <c r="T59" s="3" t="n">
        <f aca="false">INDEX(Summary!$P$2:$P$201,MATCH($B59,Summary!$A$2:$A$201,0))</f>
        <v>3</v>
      </c>
      <c r="U59" s="2" t="n">
        <f aca="false">INDEX(Summary!$Q$2:$Q$201,MATCH($B59,Summary!$A$2:$A$201,0))</f>
        <v>11.44</v>
      </c>
      <c r="V59" s="2" t="n">
        <f aca="false">INDEX(Summary!$R$2:$R$201,MATCH($B59,Summary!$A$2:$A$201,0))</f>
        <v>29.89</v>
      </c>
      <c r="W59" s="0" t="str">
        <f aca="false">INDEX(Summary!$S$2:$S$201,MATCH($B59,Summary!$A$2:$A$201,0))</f>
        <v>Gold</v>
      </c>
      <c r="X59" s="2" t="n">
        <f aca="false">INDEX(Summary!$T$2:$T$201,MATCH($B59,Summary!$A$2:$A$201,0))</f>
        <v>72.9</v>
      </c>
      <c r="Y59" s="0" t="str">
        <f aca="false">INDEX('Reward Model'!$E$18:$E$37,MATCH($E59,'Reward Model'!$A$18:$A$37,0))</f>
        <v>High</v>
      </c>
      <c r="Z59" s="4" t="n">
        <f aca="false">ROUND(MIN(1,MAX('Reward Model'!$B$2,INDEX('Reward Model'!$C$12:$C$14,MATCH($K59,'Reward Model'!$A$12:$A$14,0))/$J59)),3)</f>
        <v>0.922</v>
      </c>
      <c r="AA59" s="2" t="n">
        <f aca="false">IF($I59="Correct",ROUND(INDEX('Reward Model'!$B$12:$B$14,MATCH($K59,'Reward Model'!$A$12:$A$14,0))*Z59,2),0)</f>
        <v>2.77</v>
      </c>
      <c r="AB59" s="2" t="n">
        <f aca="false">IF($I59="Correct",ROUND(INDEX('Reward Model'!$B$12:$B$14,MATCH($Y59,'Reward Model'!$A$12:$A$14,0))*Z59,2),0)</f>
        <v>2.77</v>
      </c>
    </row>
    <row r="60" customFormat="false" ht="15" hidden="false" customHeight="false" outlineLevel="0" collapsed="false">
      <c r="A60" s="0" t="s">
        <v>89</v>
      </c>
      <c r="B60" s="0" t="s">
        <v>90</v>
      </c>
      <c r="C60" s="0" t="s">
        <v>30</v>
      </c>
      <c r="D60" s="0" t="s">
        <v>31</v>
      </c>
      <c r="E60" s="0" t="n">
        <v>19</v>
      </c>
      <c r="F60" s="0" t="s">
        <v>78</v>
      </c>
      <c r="G60" s="0" t="s">
        <v>80</v>
      </c>
      <c r="H60" s="0" t="s">
        <v>80</v>
      </c>
      <c r="I60" s="0" t="s">
        <v>34</v>
      </c>
      <c r="J60" s="0" t="n">
        <v>1.61</v>
      </c>
      <c r="K60" s="0" t="s">
        <v>73</v>
      </c>
      <c r="L60" s="0" t="n">
        <f aca="false">INDEX(Summary!$F$2:$F$201,MATCH($B60,Summary!$A$2:$A$201,0))</f>
        <v>20</v>
      </c>
      <c r="M60" s="0" t="n">
        <f aca="false">INDEX(Summary!$I$2:$I$201,MATCH($B60,Summary!$A$2:$A$201,0))</f>
        <v>4</v>
      </c>
      <c r="N60" s="0" t="n">
        <f aca="false">INDEX(Summary!$J$2:$J$201,MATCH($B60,Summary!$A$2:$A$201,0))</f>
        <v>1</v>
      </c>
      <c r="O60" s="2" t="n">
        <f aca="false">INDEX(Summary!$K$2:$K$201,MATCH($B60,Summary!$A$2:$A$201,0))</f>
        <v>9.34</v>
      </c>
      <c r="P60" s="3" t="n">
        <f aca="false">INDEX(Summary!$L$2:$L$201,MATCH($B60,Summary!$A$2:$A$201,0))</f>
        <v>5</v>
      </c>
      <c r="Q60" s="3" t="n">
        <f aca="false">INDEX(Summary!$M$2:$M$201,MATCH($B60,Summary!$A$2:$A$201,0))</f>
        <v>1</v>
      </c>
      <c r="R60" s="2" t="n">
        <f aca="false">INDEX(Summary!$N$2:$N$201,MATCH($B60,Summary!$A$2:$A$201,0))</f>
        <v>10.84</v>
      </c>
      <c r="S60" s="3" t="n">
        <f aca="false">INDEX(Summary!$O$2:$O$201,MATCH($B60,Summary!$A$2:$A$201,0))</f>
        <v>6</v>
      </c>
      <c r="T60" s="3" t="n">
        <f aca="false">INDEX(Summary!$P$2:$P$201,MATCH($B60,Summary!$A$2:$A$201,0))</f>
        <v>3</v>
      </c>
      <c r="U60" s="2" t="n">
        <f aca="false">INDEX(Summary!$Q$2:$Q$201,MATCH($B60,Summary!$A$2:$A$201,0))</f>
        <v>11.44</v>
      </c>
      <c r="V60" s="2" t="n">
        <f aca="false">INDEX(Summary!$R$2:$R$201,MATCH($B60,Summary!$A$2:$A$201,0))</f>
        <v>29.89</v>
      </c>
      <c r="W60" s="0" t="str">
        <f aca="false">INDEX(Summary!$S$2:$S$201,MATCH($B60,Summary!$A$2:$A$201,0))</f>
        <v>Gold</v>
      </c>
      <c r="X60" s="2" t="n">
        <f aca="false">INDEX(Summary!$T$2:$T$201,MATCH($B60,Summary!$A$2:$A$201,0))</f>
        <v>72.9</v>
      </c>
      <c r="Y60" s="0" t="str">
        <f aca="false">INDEX('Reward Model'!$E$18:$E$37,MATCH($E60,'Reward Model'!$A$18:$A$37,0))</f>
        <v>High</v>
      </c>
      <c r="Z60" s="4" t="n">
        <f aca="false">ROUND(MIN(1,MAX('Reward Model'!$B$2,INDEX('Reward Model'!$C$12:$C$14,MATCH($K60,'Reward Model'!$A$12:$A$14,0))/$J60)),3)</f>
        <v>1</v>
      </c>
      <c r="AA60" s="2" t="n">
        <f aca="false">IF($I60="Correct",ROUND(INDEX('Reward Model'!$B$12:$B$14,MATCH($K60,'Reward Model'!$A$12:$A$14,0))*Z60,2),0)</f>
        <v>3</v>
      </c>
      <c r="AB60" s="2" t="n">
        <f aca="false">IF($I60="Correct",ROUND(INDEX('Reward Model'!$B$12:$B$14,MATCH($Y60,'Reward Model'!$A$12:$A$14,0))*Z60,2),0)</f>
        <v>3</v>
      </c>
    </row>
    <row r="61" customFormat="false" ht="15" hidden="false" customHeight="false" outlineLevel="0" collapsed="false">
      <c r="A61" s="0" t="s">
        <v>89</v>
      </c>
      <c r="B61" s="0" t="s">
        <v>90</v>
      </c>
      <c r="C61" s="0" t="s">
        <v>30</v>
      </c>
      <c r="D61" s="0" t="s">
        <v>31</v>
      </c>
      <c r="E61" s="0" t="n">
        <v>20</v>
      </c>
      <c r="F61" s="0" t="s">
        <v>81</v>
      </c>
      <c r="G61" s="0" t="s">
        <v>82</v>
      </c>
      <c r="H61" s="0" t="s">
        <v>83</v>
      </c>
      <c r="I61" s="0" t="s">
        <v>39</v>
      </c>
      <c r="J61" s="0" t="n">
        <v>2.14</v>
      </c>
      <c r="K61" s="0" t="s">
        <v>73</v>
      </c>
      <c r="L61" s="0" t="n">
        <f aca="false">INDEX(Summary!$F$2:$F$201,MATCH($B61,Summary!$A$2:$A$201,0))</f>
        <v>20</v>
      </c>
      <c r="M61" s="0" t="n">
        <f aca="false">INDEX(Summary!$I$2:$I$201,MATCH($B61,Summary!$A$2:$A$201,0))</f>
        <v>4</v>
      </c>
      <c r="N61" s="0" t="n">
        <f aca="false">INDEX(Summary!$J$2:$J$201,MATCH($B61,Summary!$A$2:$A$201,0))</f>
        <v>1</v>
      </c>
      <c r="O61" s="2" t="n">
        <f aca="false">INDEX(Summary!$K$2:$K$201,MATCH($B61,Summary!$A$2:$A$201,0))</f>
        <v>9.34</v>
      </c>
      <c r="P61" s="3" t="n">
        <f aca="false">INDEX(Summary!$L$2:$L$201,MATCH($B61,Summary!$A$2:$A$201,0))</f>
        <v>5</v>
      </c>
      <c r="Q61" s="3" t="n">
        <f aca="false">INDEX(Summary!$M$2:$M$201,MATCH($B61,Summary!$A$2:$A$201,0))</f>
        <v>1</v>
      </c>
      <c r="R61" s="2" t="n">
        <f aca="false">INDEX(Summary!$N$2:$N$201,MATCH($B61,Summary!$A$2:$A$201,0))</f>
        <v>10.84</v>
      </c>
      <c r="S61" s="3" t="n">
        <f aca="false">INDEX(Summary!$O$2:$O$201,MATCH($B61,Summary!$A$2:$A$201,0))</f>
        <v>6</v>
      </c>
      <c r="T61" s="3" t="n">
        <f aca="false">INDEX(Summary!$P$2:$P$201,MATCH($B61,Summary!$A$2:$A$201,0))</f>
        <v>3</v>
      </c>
      <c r="U61" s="2" t="n">
        <f aca="false">INDEX(Summary!$Q$2:$Q$201,MATCH($B61,Summary!$A$2:$A$201,0))</f>
        <v>11.44</v>
      </c>
      <c r="V61" s="2" t="n">
        <f aca="false">INDEX(Summary!$R$2:$R$201,MATCH($B61,Summary!$A$2:$A$201,0))</f>
        <v>29.89</v>
      </c>
      <c r="W61" s="0" t="str">
        <f aca="false">INDEX(Summary!$S$2:$S$201,MATCH($B61,Summary!$A$2:$A$201,0))</f>
        <v>Gold</v>
      </c>
      <c r="X61" s="2" t="n">
        <f aca="false">INDEX(Summary!$T$2:$T$201,MATCH($B61,Summary!$A$2:$A$201,0))</f>
        <v>72.9</v>
      </c>
      <c r="Y61" s="0" t="str">
        <f aca="false">INDEX('Reward Model'!$E$18:$E$37,MATCH($E61,'Reward Model'!$A$18:$A$37,0))</f>
        <v>High</v>
      </c>
      <c r="Z61" s="4" t="n">
        <f aca="false">ROUND(MIN(1,MAX('Reward Model'!$B$2,INDEX('Reward Model'!$C$12:$C$14,MATCH($K61,'Reward Model'!$A$12:$A$14,0))/$J61)),3)</f>
        <v>0.935</v>
      </c>
      <c r="AA61" s="2" t="n">
        <f aca="false">IF($I61="Correct",ROUND(INDEX('Reward Model'!$B$12:$B$14,MATCH($K61,'Reward Model'!$A$12:$A$14,0))*Z61,2),0)</f>
        <v>0</v>
      </c>
      <c r="AB61" s="2" t="n">
        <f aca="false">IF($I61="Correct",ROUND(INDEX('Reward Model'!$B$12:$B$14,MATCH($Y61,'Reward Model'!$A$12:$A$14,0))*Z61,2),0)</f>
        <v>0</v>
      </c>
    </row>
    <row r="62" customFormat="false" ht="15" hidden="false" customHeight="false" outlineLevel="0" collapsed="false">
      <c r="A62" s="0" t="s">
        <v>95</v>
      </c>
      <c r="B62" s="0" t="s">
        <v>96</v>
      </c>
      <c r="C62" s="0" t="s">
        <v>30</v>
      </c>
      <c r="D62" s="0" t="s">
        <v>31</v>
      </c>
      <c r="E62" s="0" t="n">
        <v>1</v>
      </c>
      <c r="F62" s="0" t="s">
        <v>32</v>
      </c>
      <c r="G62" s="0" t="s">
        <v>97</v>
      </c>
      <c r="H62" s="0" t="s">
        <v>33</v>
      </c>
      <c r="I62" s="0" t="s">
        <v>39</v>
      </c>
      <c r="J62" s="0" t="n">
        <v>1.53</v>
      </c>
      <c r="K62" s="0" t="s">
        <v>35</v>
      </c>
      <c r="L62" s="0" t="n">
        <f aca="false">INDEX(Summary!$F$2:$F$201,MATCH($B62,Summary!$A$2:$A$201,0))</f>
        <v>20</v>
      </c>
      <c r="M62" s="0" t="n">
        <f aca="false">INDEX(Summary!$I$2:$I$201,MATCH($B62,Summary!$A$2:$A$201,0))</f>
        <v>4</v>
      </c>
      <c r="N62" s="0" t="n">
        <f aca="false">INDEX(Summary!$J$2:$J$201,MATCH($B62,Summary!$A$2:$A$201,0))</f>
        <v>1</v>
      </c>
      <c r="O62" s="2" t="n">
        <f aca="false">INDEX(Summary!$K$2:$K$201,MATCH($B62,Summary!$A$2:$A$201,0))</f>
        <v>10.25</v>
      </c>
      <c r="P62" s="3" t="n">
        <f aca="false">INDEX(Summary!$L$2:$L$201,MATCH($B62,Summary!$A$2:$A$201,0))</f>
        <v>4</v>
      </c>
      <c r="Q62" s="3" t="n">
        <f aca="false">INDEX(Summary!$M$2:$M$201,MATCH($B62,Summary!$A$2:$A$201,0))</f>
        <v>2</v>
      </c>
      <c r="R62" s="2" t="n">
        <f aca="false">INDEX(Summary!$N$2:$N$201,MATCH($B62,Summary!$A$2:$A$201,0))</f>
        <v>11.23</v>
      </c>
      <c r="S62" s="3" t="n">
        <f aca="false">INDEX(Summary!$O$2:$O$201,MATCH($B62,Summary!$A$2:$A$201,0))</f>
        <v>6</v>
      </c>
      <c r="T62" s="3" t="n">
        <f aca="false">INDEX(Summary!$P$2:$P$201,MATCH($B62,Summary!$A$2:$A$201,0))</f>
        <v>3</v>
      </c>
      <c r="U62" s="2" t="n">
        <f aca="false">INDEX(Summary!$Q$2:$Q$201,MATCH($B62,Summary!$A$2:$A$201,0))</f>
        <v>12.13</v>
      </c>
      <c r="V62" s="2" t="n">
        <f aca="false">INDEX(Summary!$R$2:$R$201,MATCH($B62,Summary!$A$2:$A$201,0))</f>
        <v>28.61</v>
      </c>
      <c r="W62" s="0" t="str">
        <f aca="false">INDEX(Summary!$S$2:$S$201,MATCH($B62,Summary!$A$2:$A$201,0))</f>
        <v>Silver</v>
      </c>
      <c r="X62" s="2" t="n">
        <f aca="false">INDEX(Summary!$T$2:$T$201,MATCH($B62,Summary!$A$2:$A$201,0))</f>
        <v>69.78</v>
      </c>
      <c r="Y62" s="0" t="str">
        <f aca="false">INDEX('Reward Model'!$E$18:$E$37,MATCH($E62,'Reward Model'!$A$18:$A$37,0))</f>
        <v>Medium</v>
      </c>
      <c r="Z62" s="4" t="n">
        <f aca="false">ROUND(MIN(1,MAX('Reward Model'!$B$2,INDEX('Reward Model'!$C$12:$C$14,MATCH($K62,'Reward Model'!$A$12:$A$14,0))/$J62)),3)</f>
        <v>0.98</v>
      </c>
      <c r="AA62" s="2" t="n">
        <f aca="false">IF($I62="Correct",ROUND(INDEX('Reward Model'!$B$12:$B$14,MATCH($K62,'Reward Model'!$A$12:$A$14,0))*Z62,2),0)</f>
        <v>0</v>
      </c>
      <c r="AB62" s="2" t="n">
        <f aca="false">IF($I62="Correct",ROUND(INDEX('Reward Model'!$B$12:$B$14,MATCH($Y62,'Reward Model'!$A$12:$A$14,0))*Z62,2),0)</f>
        <v>0</v>
      </c>
    </row>
    <row r="63" customFormat="false" ht="15" hidden="false" customHeight="false" outlineLevel="0" collapsed="false">
      <c r="A63" s="0" t="s">
        <v>95</v>
      </c>
      <c r="B63" s="0" t="s">
        <v>96</v>
      </c>
      <c r="C63" s="0" t="s">
        <v>30</v>
      </c>
      <c r="D63" s="0" t="s">
        <v>31</v>
      </c>
      <c r="E63" s="0" t="n">
        <v>2</v>
      </c>
      <c r="F63" s="0" t="s">
        <v>36</v>
      </c>
      <c r="G63" s="0" t="s">
        <v>94</v>
      </c>
      <c r="H63" s="0" t="s">
        <v>38</v>
      </c>
      <c r="I63" s="0" t="s">
        <v>39</v>
      </c>
      <c r="J63" s="0" t="n">
        <v>1.07</v>
      </c>
      <c r="K63" s="0" t="s">
        <v>35</v>
      </c>
      <c r="L63" s="0" t="n">
        <f aca="false">INDEX(Summary!$F$2:$F$201,MATCH($B63,Summary!$A$2:$A$201,0))</f>
        <v>20</v>
      </c>
      <c r="M63" s="0" t="n">
        <f aca="false">INDEX(Summary!$I$2:$I$201,MATCH($B63,Summary!$A$2:$A$201,0))</f>
        <v>4</v>
      </c>
      <c r="N63" s="0" t="n">
        <f aca="false">INDEX(Summary!$J$2:$J$201,MATCH($B63,Summary!$A$2:$A$201,0))</f>
        <v>1</v>
      </c>
      <c r="O63" s="2" t="n">
        <f aca="false">INDEX(Summary!$K$2:$K$201,MATCH($B63,Summary!$A$2:$A$201,0))</f>
        <v>10.25</v>
      </c>
      <c r="P63" s="3" t="n">
        <f aca="false">INDEX(Summary!$L$2:$L$201,MATCH($B63,Summary!$A$2:$A$201,0))</f>
        <v>4</v>
      </c>
      <c r="Q63" s="3" t="n">
        <f aca="false">INDEX(Summary!$M$2:$M$201,MATCH($B63,Summary!$A$2:$A$201,0))</f>
        <v>2</v>
      </c>
      <c r="R63" s="2" t="n">
        <f aca="false">INDEX(Summary!$N$2:$N$201,MATCH($B63,Summary!$A$2:$A$201,0))</f>
        <v>11.23</v>
      </c>
      <c r="S63" s="3" t="n">
        <f aca="false">INDEX(Summary!$O$2:$O$201,MATCH($B63,Summary!$A$2:$A$201,0))</f>
        <v>6</v>
      </c>
      <c r="T63" s="3" t="n">
        <f aca="false">INDEX(Summary!$P$2:$P$201,MATCH($B63,Summary!$A$2:$A$201,0))</f>
        <v>3</v>
      </c>
      <c r="U63" s="2" t="n">
        <f aca="false">INDEX(Summary!$Q$2:$Q$201,MATCH($B63,Summary!$A$2:$A$201,0))</f>
        <v>12.13</v>
      </c>
      <c r="V63" s="2" t="n">
        <f aca="false">INDEX(Summary!$R$2:$R$201,MATCH($B63,Summary!$A$2:$A$201,0))</f>
        <v>28.61</v>
      </c>
      <c r="W63" s="0" t="str">
        <f aca="false">INDEX(Summary!$S$2:$S$201,MATCH($B63,Summary!$A$2:$A$201,0))</f>
        <v>Silver</v>
      </c>
      <c r="X63" s="2" t="n">
        <f aca="false">INDEX(Summary!$T$2:$T$201,MATCH($B63,Summary!$A$2:$A$201,0))</f>
        <v>69.78</v>
      </c>
      <c r="Y63" s="0" t="str">
        <f aca="false">INDEX('Reward Model'!$E$18:$E$37,MATCH($E63,'Reward Model'!$A$18:$A$37,0))</f>
        <v>Low</v>
      </c>
      <c r="Z63" s="4" t="n">
        <f aca="false">ROUND(MIN(1,MAX('Reward Model'!$B$2,INDEX('Reward Model'!$C$12:$C$14,MATCH($K63,'Reward Model'!$A$12:$A$14,0))/$J63)),3)</f>
        <v>1</v>
      </c>
      <c r="AA63" s="2" t="n">
        <f aca="false">IF($I63="Correct",ROUND(INDEX('Reward Model'!$B$12:$B$14,MATCH($K63,'Reward Model'!$A$12:$A$14,0))*Z63,2),0)</f>
        <v>0</v>
      </c>
      <c r="AB63" s="2" t="n">
        <f aca="false">IF($I63="Correct",ROUND(INDEX('Reward Model'!$B$12:$B$14,MATCH($Y63,'Reward Model'!$A$12:$A$14,0))*Z63,2),0)</f>
        <v>0</v>
      </c>
    </row>
    <row r="64" customFormat="false" ht="15" hidden="false" customHeight="false" outlineLevel="0" collapsed="false">
      <c r="A64" s="0" t="s">
        <v>95</v>
      </c>
      <c r="B64" s="0" t="s">
        <v>96</v>
      </c>
      <c r="C64" s="0" t="s">
        <v>30</v>
      </c>
      <c r="D64" s="0" t="s">
        <v>31</v>
      </c>
      <c r="E64" s="0" t="n">
        <v>3</v>
      </c>
      <c r="F64" s="0" t="s">
        <v>40</v>
      </c>
      <c r="G64" s="0" t="s">
        <v>42</v>
      </c>
      <c r="H64" s="0" t="s">
        <v>42</v>
      </c>
      <c r="I64" s="0" t="s">
        <v>34</v>
      </c>
      <c r="J64" s="0" t="n">
        <v>1.47</v>
      </c>
      <c r="K64" s="0" t="s">
        <v>35</v>
      </c>
      <c r="L64" s="0" t="n">
        <f aca="false">INDEX(Summary!$F$2:$F$201,MATCH($B64,Summary!$A$2:$A$201,0))</f>
        <v>20</v>
      </c>
      <c r="M64" s="0" t="n">
        <f aca="false">INDEX(Summary!$I$2:$I$201,MATCH($B64,Summary!$A$2:$A$201,0))</f>
        <v>4</v>
      </c>
      <c r="N64" s="0" t="n">
        <f aca="false">INDEX(Summary!$J$2:$J$201,MATCH($B64,Summary!$A$2:$A$201,0))</f>
        <v>1</v>
      </c>
      <c r="O64" s="2" t="n">
        <f aca="false">INDEX(Summary!$K$2:$K$201,MATCH($B64,Summary!$A$2:$A$201,0))</f>
        <v>10.25</v>
      </c>
      <c r="P64" s="3" t="n">
        <f aca="false">INDEX(Summary!$L$2:$L$201,MATCH($B64,Summary!$A$2:$A$201,0))</f>
        <v>4</v>
      </c>
      <c r="Q64" s="3" t="n">
        <f aca="false">INDEX(Summary!$M$2:$M$201,MATCH($B64,Summary!$A$2:$A$201,0))</f>
        <v>2</v>
      </c>
      <c r="R64" s="2" t="n">
        <f aca="false">INDEX(Summary!$N$2:$N$201,MATCH($B64,Summary!$A$2:$A$201,0))</f>
        <v>11.23</v>
      </c>
      <c r="S64" s="3" t="n">
        <f aca="false">INDEX(Summary!$O$2:$O$201,MATCH($B64,Summary!$A$2:$A$201,0))</f>
        <v>6</v>
      </c>
      <c r="T64" s="3" t="n">
        <f aca="false">INDEX(Summary!$P$2:$P$201,MATCH($B64,Summary!$A$2:$A$201,0))</f>
        <v>3</v>
      </c>
      <c r="U64" s="2" t="n">
        <f aca="false">INDEX(Summary!$Q$2:$Q$201,MATCH($B64,Summary!$A$2:$A$201,0))</f>
        <v>12.13</v>
      </c>
      <c r="V64" s="2" t="n">
        <f aca="false">INDEX(Summary!$R$2:$R$201,MATCH($B64,Summary!$A$2:$A$201,0))</f>
        <v>28.61</v>
      </c>
      <c r="W64" s="0" t="str">
        <f aca="false">INDEX(Summary!$S$2:$S$201,MATCH($B64,Summary!$A$2:$A$201,0))</f>
        <v>Silver</v>
      </c>
      <c r="X64" s="2" t="n">
        <f aca="false">INDEX(Summary!$T$2:$T$201,MATCH($B64,Summary!$A$2:$A$201,0))</f>
        <v>69.78</v>
      </c>
      <c r="Y64" s="0" t="str">
        <f aca="false">INDEX('Reward Model'!$E$18:$E$37,MATCH($E64,'Reward Model'!$A$18:$A$37,0))</f>
        <v>Medium</v>
      </c>
      <c r="Z64" s="4" t="n">
        <f aca="false">ROUND(MIN(1,MAX('Reward Model'!$B$2,INDEX('Reward Model'!$C$12:$C$14,MATCH($K64,'Reward Model'!$A$12:$A$14,0))/$J64)),3)</f>
        <v>1</v>
      </c>
      <c r="AA64" s="2" t="n">
        <f aca="false">IF($I64="Correct",ROUND(INDEX('Reward Model'!$B$12:$B$14,MATCH($K64,'Reward Model'!$A$12:$A$14,0))*Z64,2),0)</f>
        <v>1</v>
      </c>
      <c r="AB64" s="2" t="n">
        <f aca="false">IF($I64="Correct",ROUND(INDEX('Reward Model'!$B$12:$B$14,MATCH($Y64,'Reward Model'!$A$12:$A$14,0))*Z64,2),0)</f>
        <v>2</v>
      </c>
    </row>
    <row r="65" customFormat="false" ht="15" hidden="false" customHeight="false" outlineLevel="0" collapsed="false">
      <c r="A65" s="0" t="s">
        <v>95</v>
      </c>
      <c r="B65" s="0" t="s">
        <v>96</v>
      </c>
      <c r="C65" s="0" t="s">
        <v>30</v>
      </c>
      <c r="D65" s="0" t="s">
        <v>31</v>
      </c>
      <c r="E65" s="0" t="n">
        <v>4</v>
      </c>
      <c r="F65" s="0" t="s">
        <v>43</v>
      </c>
      <c r="G65" s="0" t="s">
        <v>45</v>
      </c>
      <c r="H65" s="0" t="s">
        <v>45</v>
      </c>
      <c r="I65" s="0" t="s">
        <v>34</v>
      </c>
      <c r="J65" s="0" t="n">
        <v>1.38</v>
      </c>
      <c r="K65" s="0" t="s">
        <v>35</v>
      </c>
      <c r="L65" s="0" t="n">
        <f aca="false">INDEX(Summary!$F$2:$F$201,MATCH($B65,Summary!$A$2:$A$201,0))</f>
        <v>20</v>
      </c>
      <c r="M65" s="0" t="n">
        <f aca="false">INDEX(Summary!$I$2:$I$201,MATCH($B65,Summary!$A$2:$A$201,0))</f>
        <v>4</v>
      </c>
      <c r="N65" s="0" t="n">
        <f aca="false">INDEX(Summary!$J$2:$J$201,MATCH($B65,Summary!$A$2:$A$201,0))</f>
        <v>1</v>
      </c>
      <c r="O65" s="2" t="n">
        <f aca="false">INDEX(Summary!$K$2:$K$201,MATCH($B65,Summary!$A$2:$A$201,0))</f>
        <v>10.25</v>
      </c>
      <c r="P65" s="3" t="n">
        <f aca="false">INDEX(Summary!$L$2:$L$201,MATCH($B65,Summary!$A$2:$A$201,0))</f>
        <v>4</v>
      </c>
      <c r="Q65" s="3" t="n">
        <f aca="false">INDEX(Summary!$M$2:$M$201,MATCH($B65,Summary!$A$2:$A$201,0))</f>
        <v>2</v>
      </c>
      <c r="R65" s="2" t="n">
        <f aca="false">INDEX(Summary!$N$2:$N$201,MATCH($B65,Summary!$A$2:$A$201,0))</f>
        <v>11.23</v>
      </c>
      <c r="S65" s="3" t="n">
        <f aca="false">INDEX(Summary!$O$2:$O$201,MATCH($B65,Summary!$A$2:$A$201,0))</f>
        <v>6</v>
      </c>
      <c r="T65" s="3" t="n">
        <f aca="false">INDEX(Summary!$P$2:$P$201,MATCH($B65,Summary!$A$2:$A$201,0))</f>
        <v>3</v>
      </c>
      <c r="U65" s="2" t="n">
        <f aca="false">INDEX(Summary!$Q$2:$Q$201,MATCH($B65,Summary!$A$2:$A$201,0))</f>
        <v>12.13</v>
      </c>
      <c r="V65" s="2" t="n">
        <f aca="false">INDEX(Summary!$R$2:$R$201,MATCH($B65,Summary!$A$2:$A$201,0))</f>
        <v>28.61</v>
      </c>
      <c r="W65" s="0" t="str">
        <f aca="false">INDEX(Summary!$S$2:$S$201,MATCH($B65,Summary!$A$2:$A$201,0))</f>
        <v>Silver</v>
      </c>
      <c r="X65" s="2" t="n">
        <f aca="false">INDEX(Summary!$T$2:$T$201,MATCH($B65,Summary!$A$2:$A$201,0))</f>
        <v>69.78</v>
      </c>
      <c r="Y65" s="0" t="str">
        <f aca="false">INDEX('Reward Model'!$E$18:$E$37,MATCH($E65,'Reward Model'!$A$18:$A$37,0))</f>
        <v>Low</v>
      </c>
      <c r="Z65" s="4" t="n">
        <f aca="false">ROUND(MIN(1,MAX('Reward Model'!$B$2,INDEX('Reward Model'!$C$12:$C$14,MATCH($K65,'Reward Model'!$A$12:$A$14,0))/$J65)),3)</f>
        <v>1</v>
      </c>
      <c r="AA65" s="2" t="n">
        <f aca="false">IF($I65="Correct",ROUND(INDEX('Reward Model'!$B$12:$B$14,MATCH($K65,'Reward Model'!$A$12:$A$14,0))*Z65,2),0)</f>
        <v>1</v>
      </c>
      <c r="AB65" s="2" t="n">
        <f aca="false">IF($I65="Correct",ROUND(INDEX('Reward Model'!$B$12:$B$14,MATCH($Y65,'Reward Model'!$A$12:$A$14,0))*Z65,2),0)</f>
        <v>1</v>
      </c>
    </row>
    <row r="66" customFormat="false" ht="15" hidden="false" customHeight="false" outlineLevel="0" collapsed="false">
      <c r="A66" s="0" t="s">
        <v>95</v>
      </c>
      <c r="B66" s="0" t="s">
        <v>96</v>
      </c>
      <c r="C66" s="0" t="s">
        <v>30</v>
      </c>
      <c r="D66" s="0" t="s">
        <v>31</v>
      </c>
      <c r="E66" s="0" t="n">
        <v>5</v>
      </c>
      <c r="F66" s="0" t="s">
        <v>46</v>
      </c>
      <c r="G66" s="0" t="s">
        <v>98</v>
      </c>
      <c r="H66" s="0" t="s">
        <v>47</v>
      </c>
      <c r="I66" s="0" t="s">
        <v>39</v>
      </c>
      <c r="J66" s="0" t="n">
        <v>1.4</v>
      </c>
      <c r="K66" s="0" t="s">
        <v>35</v>
      </c>
      <c r="L66" s="0" t="n">
        <f aca="false">INDEX(Summary!$F$2:$F$201,MATCH($B66,Summary!$A$2:$A$201,0))</f>
        <v>20</v>
      </c>
      <c r="M66" s="0" t="n">
        <f aca="false">INDEX(Summary!$I$2:$I$201,MATCH($B66,Summary!$A$2:$A$201,0))</f>
        <v>4</v>
      </c>
      <c r="N66" s="0" t="n">
        <f aca="false">INDEX(Summary!$J$2:$J$201,MATCH($B66,Summary!$A$2:$A$201,0))</f>
        <v>1</v>
      </c>
      <c r="O66" s="2" t="n">
        <f aca="false">INDEX(Summary!$K$2:$K$201,MATCH($B66,Summary!$A$2:$A$201,0))</f>
        <v>10.25</v>
      </c>
      <c r="P66" s="3" t="n">
        <f aca="false">INDEX(Summary!$L$2:$L$201,MATCH($B66,Summary!$A$2:$A$201,0))</f>
        <v>4</v>
      </c>
      <c r="Q66" s="3" t="n">
        <f aca="false">INDEX(Summary!$M$2:$M$201,MATCH($B66,Summary!$A$2:$A$201,0))</f>
        <v>2</v>
      </c>
      <c r="R66" s="2" t="n">
        <f aca="false">INDEX(Summary!$N$2:$N$201,MATCH($B66,Summary!$A$2:$A$201,0))</f>
        <v>11.23</v>
      </c>
      <c r="S66" s="3" t="n">
        <f aca="false">INDEX(Summary!$O$2:$O$201,MATCH($B66,Summary!$A$2:$A$201,0))</f>
        <v>6</v>
      </c>
      <c r="T66" s="3" t="n">
        <f aca="false">INDEX(Summary!$P$2:$P$201,MATCH($B66,Summary!$A$2:$A$201,0))</f>
        <v>3</v>
      </c>
      <c r="U66" s="2" t="n">
        <f aca="false">INDEX(Summary!$Q$2:$Q$201,MATCH($B66,Summary!$A$2:$A$201,0))</f>
        <v>12.13</v>
      </c>
      <c r="V66" s="2" t="n">
        <f aca="false">INDEX(Summary!$R$2:$R$201,MATCH($B66,Summary!$A$2:$A$201,0))</f>
        <v>28.61</v>
      </c>
      <c r="W66" s="0" t="str">
        <f aca="false">INDEX(Summary!$S$2:$S$201,MATCH($B66,Summary!$A$2:$A$201,0))</f>
        <v>Silver</v>
      </c>
      <c r="X66" s="2" t="n">
        <f aca="false">INDEX(Summary!$T$2:$T$201,MATCH($B66,Summary!$A$2:$A$201,0))</f>
        <v>69.78</v>
      </c>
      <c r="Y66" s="0" t="str">
        <f aca="false">INDEX('Reward Model'!$E$18:$E$37,MATCH($E66,'Reward Model'!$A$18:$A$37,0))</f>
        <v>Low</v>
      </c>
      <c r="Z66" s="4" t="n">
        <f aca="false">ROUND(MIN(1,MAX('Reward Model'!$B$2,INDEX('Reward Model'!$C$12:$C$14,MATCH($K66,'Reward Model'!$A$12:$A$14,0))/$J66)),3)</f>
        <v>1</v>
      </c>
      <c r="AA66" s="2" t="n">
        <f aca="false">IF($I66="Correct",ROUND(INDEX('Reward Model'!$B$12:$B$14,MATCH($K66,'Reward Model'!$A$12:$A$14,0))*Z66,2),0)</f>
        <v>0</v>
      </c>
      <c r="AB66" s="2" t="n">
        <f aca="false">IF($I66="Correct",ROUND(INDEX('Reward Model'!$B$12:$B$14,MATCH($Y66,'Reward Model'!$A$12:$A$14,0))*Z66,2),0)</f>
        <v>0</v>
      </c>
    </row>
    <row r="67" customFormat="false" ht="15" hidden="false" customHeight="false" outlineLevel="0" collapsed="false">
      <c r="A67" s="0" t="s">
        <v>95</v>
      </c>
      <c r="B67" s="0" t="s">
        <v>96</v>
      </c>
      <c r="C67" s="0" t="s">
        <v>30</v>
      </c>
      <c r="D67" s="0" t="s">
        <v>31</v>
      </c>
      <c r="E67" s="0" t="n">
        <v>6</v>
      </c>
      <c r="F67" s="0" t="s">
        <v>48</v>
      </c>
      <c r="G67" s="0" t="s">
        <v>49</v>
      </c>
      <c r="H67" s="0" t="s">
        <v>49</v>
      </c>
      <c r="I67" s="0" t="s">
        <v>34</v>
      </c>
      <c r="J67" s="0" t="n">
        <v>1.16</v>
      </c>
      <c r="K67" s="0" t="s">
        <v>35</v>
      </c>
      <c r="L67" s="0" t="n">
        <f aca="false">INDEX(Summary!$F$2:$F$201,MATCH($B67,Summary!$A$2:$A$201,0))</f>
        <v>20</v>
      </c>
      <c r="M67" s="0" t="n">
        <f aca="false">INDEX(Summary!$I$2:$I$201,MATCH($B67,Summary!$A$2:$A$201,0))</f>
        <v>4</v>
      </c>
      <c r="N67" s="0" t="n">
        <f aca="false">INDEX(Summary!$J$2:$J$201,MATCH($B67,Summary!$A$2:$A$201,0))</f>
        <v>1</v>
      </c>
      <c r="O67" s="2" t="n">
        <f aca="false">INDEX(Summary!$K$2:$K$201,MATCH($B67,Summary!$A$2:$A$201,0))</f>
        <v>10.25</v>
      </c>
      <c r="P67" s="3" t="n">
        <f aca="false">INDEX(Summary!$L$2:$L$201,MATCH($B67,Summary!$A$2:$A$201,0))</f>
        <v>4</v>
      </c>
      <c r="Q67" s="3" t="n">
        <f aca="false">INDEX(Summary!$M$2:$M$201,MATCH($B67,Summary!$A$2:$A$201,0))</f>
        <v>2</v>
      </c>
      <c r="R67" s="2" t="n">
        <f aca="false">INDEX(Summary!$N$2:$N$201,MATCH($B67,Summary!$A$2:$A$201,0))</f>
        <v>11.23</v>
      </c>
      <c r="S67" s="3" t="n">
        <f aca="false">INDEX(Summary!$O$2:$O$201,MATCH($B67,Summary!$A$2:$A$201,0))</f>
        <v>6</v>
      </c>
      <c r="T67" s="3" t="n">
        <f aca="false">INDEX(Summary!$P$2:$P$201,MATCH($B67,Summary!$A$2:$A$201,0))</f>
        <v>3</v>
      </c>
      <c r="U67" s="2" t="n">
        <f aca="false">INDEX(Summary!$Q$2:$Q$201,MATCH($B67,Summary!$A$2:$A$201,0))</f>
        <v>12.13</v>
      </c>
      <c r="V67" s="2" t="n">
        <f aca="false">INDEX(Summary!$R$2:$R$201,MATCH($B67,Summary!$A$2:$A$201,0))</f>
        <v>28.61</v>
      </c>
      <c r="W67" s="0" t="str">
        <f aca="false">INDEX(Summary!$S$2:$S$201,MATCH($B67,Summary!$A$2:$A$201,0))</f>
        <v>Silver</v>
      </c>
      <c r="X67" s="2" t="n">
        <f aca="false">INDEX(Summary!$T$2:$T$201,MATCH($B67,Summary!$A$2:$A$201,0))</f>
        <v>69.78</v>
      </c>
      <c r="Y67" s="0" t="str">
        <f aca="false">INDEX('Reward Model'!$E$18:$E$37,MATCH($E67,'Reward Model'!$A$18:$A$37,0))</f>
        <v>Medium</v>
      </c>
      <c r="Z67" s="4" t="n">
        <f aca="false">ROUND(MIN(1,MAX('Reward Model'!$B$2,INDEX('Reward Model'!$C$12:$C$14,MATCH($K67,'Reward Model'!$A$12:$A$14,0))/$J67)),3)</f>
        <v>1</v>
      </c>
      <c r="AA67" s="2" t="n">
        <f aca="false">IF($I67="Correct",ROUND(INDEX('Reward Model'!$B$12:$B$14,MATCH($K67,'Reward Model'!$A$12:$A$14,0))*Z67,2),0)</f>
        <v>1</v>
      </c>
      <c r="AB67" s="2" t="n">
        <f aca="false">IF($I67="Correct",ROUND(INDEX('Reward Model'!$B$12:$B$14,MATCH($Y67,'Reward Model'!$A$12:$A$14,0))*Z67,2),0)</f>
        <v>2</v>
      </c>
    </row>
    <row r="68" customFormat="false" ht="15" hidden="false" customHeight="false" outlineLevel="0" collapsed="false">
      <c r="A68" s="0" t="s">
        <v>95</v>
      </c>
      <c r="B68" s="0" t="s">
        <v>96</v>
      </c>
      <c r="C68" s="0" t="s">
        <v>30</v>
      </c>
      <c r="D68" s="0" t="s">
        <v>31</v>
      </c>
      <c r="E68" s="0" t="n">
        <v>7</v>
      </c>
      <c r="F68" s="0" t="s">
        <v>50</v>
      </c>
      <c r="G68" s="0" t="s">
        <v>51</v>
      </c>
      <c r="H68" s="0" t="s">
        <v>51</v>
      </c>
      <c r="I68" s="0" t="s">
        <v>34</v>
      </c>
      <c r="J68" s="0" t="n">
        <v>1.68</v>
      </c>
      <c r="K68" s="0" t="s">
        <v>35</v>
      </c>
      <c r="L68" s="0" t="n">
        <f aca="false">INDEX(Summary!$F$2:$F$201,MATCH($B68,Summary!$A$2:$A$201,0))</f>
        <v>20</v>
      </c>
      <c r="M68" s="0" t="n">
        <f aca="false">INDEX(Summary!$I$2:$I$201,MATCH($B68,Summary!$A$2:$A$201,0))</f>
        <v>4</v>
      </c>
      <c r="N68" s="0" t="n">
        <f aca="false">INDEX(Summary!$J$2:$J$201,MATCH($B68,Summary!$A$2:$A$201,0))</f>
        <v>1</v>
      </c>
      <c r="O68" s="2" t="n">
        <f aca="false">INDEX(Summary!$K$2:$K$201,MATCH($B68,Summary!$A$2:$A$201,0))</f>
        <v>10.25</v>
      </c>
      <c r="P68" s="3" t="n">
        <f aca="false">INDEX(Summary!$L$2:$L$201,MATCH($B68,Summary!$A$2:$A$201,0))</f>
        <v>4</v>
      </c>
      <c r="Q68" s="3" t="n">
        <f aca="false">INDEX(Summary!$M$2:$M$201,MATCH($B68,Summary!$A$2:$A$201,0))</f>
        <v>2</v>
      </c>
      <c r="R68" s="2" t="n">
        <f aca="false">INDEX(Summary!$N$2:$N$201,MATCH($B68,Summary!$A$2:$A$201,0))</f>
        <v>11.23</v>
      </c>
      <c r="S68" s="3" t="n">
        <f aca="false">INDEX(Summary!$O$2:$O$201,MATCH($B68,Summary!$A$2:$A$201,0))</f>
        <v>6</v>
      </c>
      <c r="T68" s="3" t="n">
        <f aca="false">INDEX(Summary!$P$2:$P$201,MATCH($B68,Summary!$A$2:$A$201,0))</f>
        <v>3</v>
      </c>
      <c r="U68" s="2" t="n">
        <f aca="false">INDEX(Summary!$Q$2:$Q$201,MATCH($B68,Summary!$A$2:$A$201,0))</f>
        <v>12.13</v>
      </c>
      <c r="V68" s="2" t="n">
        <f aca="false">INDEX(Summary!$R$2:$R$201,MATCH($B68,Summary!$A$2:$A$201,0))</f>
        <v>28.61</v>
      </c>
      <c r="W68" s="0" t="str">
        <f aca="false">INDEX(Summary!$S$2:$S$201,MATCH($B68,Summary!$A$2:$A$201,0))</f>
        <v>Silver</v>
      </c>
      <c r="X68" s="2" t="n">
        <f aca="false">INDEX(Summary!$T$2:$T$201,MATCH($B68,Summary!$A$2:$A$201,0))</f>
        <v>69.78</v>
      </c>
      <c r="Y68" s="0" t="str">
        <f aca="false">INDEX('Reward Model'!$E$18:$E$37,MATCH($E68,'Reward Model'!$A$18:$A$37,0))</f>
        <v>Low</v>
      </c>
      <c r="Z68" s="4" t="n">
        <f aca="false">ROUND(MIN(1,MAX('Reward Model'!$B$2,INDEX('Reward Model'!$C$12:$C$14,MATCH($K68,'Reward Model'!$A$12:$A$14,0))/$J68)),3)</f>
        <v>0.893</v>
      </c>
      <c r="AA68" s="2" t="n">
        <f aca="false">IF($I68="Correct",ROUND(INDEX('Reward Model'!$B$12:$B$14,MATCH($K68,'Reward Model'!$A$12:$A$14,0))*Z68,2),0)</f>
        <v>0.89</v>
      </c>
      <c r="AB68" s="2" t="n">
        <f aca="false">IF($I68="Correct",ROUND(INDEX('Reward Model'!$B$12:$B$14,MATCH($Y68,'Reward Model'!$A$12:$A$14,0))*Z68,2),0)</f>
        <v>0.89</v>
      </c>
    </row>
    <row r="69" customFormat="false" ht="15" hidden="false" customHeight="false" outlineLevel="0" collapsed="false">
      <c r="A69" s="0" t="s">
        <v>95</v>
      </c>
      <c r="B69" s="0" t="s">
        <v>96</v>
      </c>
      <c r="C69" s="0" t="s">
        <v>30</v>
      </c>
      <c r="D69" s="0" t="s">
        <v>31</v>
      </c>
      <c r="E69" s="0" t="n">
        <v>8</v>
      </c>
      <c r="F69" s="0" t="s">
        <v>52</v>
      </c>
      <c r="G69" s="0" t="s">
        <v>54</v>
      </c>
      <c r="H69" s="0" t="s">
        <v>54</v>
      </c>
      <c r="I69" s="0" t="s">
        <v>34</v>
      </c>
      <c r="J69" s="0" t="n">
        <v>1.5</v>
      </c>
      <c r="K69" s="0" t="s">
        <v>35</v>
      </c>
      <c r="L69" s="0" t="n">
        <f aca="false">INDEX(Summary!$F$2:$F$201,MATCH($B69,Summary!$A$2:$A$201,0))</f>
        <v>20</v>
      </c>
      <c r="M69" s="0" t="n">
        <f aca="false">INDEX(Summary!$I$2:$I$201,MATCH($B69,Summary!$A$2:$A$201,0))</f>
        <v>4</v>
      </c>
      <c r="N69" s="0" t="n">
        <f aca="false">INDEX(Summary!$J$2:$J$201,MATCH($B69,Summary!$A$2:$A$201,0))</f>
        <v>1</v>
      </c>
      <c r="O69" s="2" t="n">
        <f aca="false">INDEX(Summary!$K$2:$K$201,MATCH($B69,Summary!$A$2:$A$201,0))</f>
        <v>10.25</v>
      </c>
      <c r="P69" s="3" t="n">
        <f aca="false">INDEX(Summary!$L$2:$L$201,MATCH($B69,Summary!$A$2:$A$201,0))</f>
        <v>4</v>
      </c>
      <c r="Q69" s="3" t="n">
        <f aca="false">INDEX(Summary!$M$2:$M$201,MATCH($B69,Summary!$A$2:$A$201,0))</f>
        <v>2</v>
      </c>
      <c r="R69" s="2" t="n">
        <f aca="false">INDEX(Summary!$N$2:$N$201,MATCH($B69,Summary!$A$2:$A$201,0))</f>
        <v>11.23</v>
      </c>
      <c r="S69" s="3" t="n">
        <f aca="false">INDEX(Summary!$O$2:$O$201,MATCH($B69,Summary!$A$2:$A$201,0))</f>
        <v>6</v>
      </c>
      <c r="T69" s="3" t="n">
        <f aca="false">INDEX(Summary!$P$2:$P$201,MATCH($B69,Summary!$A$2:$A$201,0))</f>
        <v>3</v>
      </c>
      <c r="U69" s="2" t="n">
        <f aca="false">INDEX(Summary!$Q$2:$Q$201,MATCH($B69,Summary!$A$2:$A$201,0))</f>
        <v>12.13</v>
      </c>
      <c r="V69" s="2" t="n">
        <f aca="false">INDEX(Summary!$R$2:$R$201,MATCH($B69,Summary!$A$2:$A$201,0))</f>
        <v>28.61</v>
      </c>
      <c r="W69" s="0" t="str">
        <f aca="false">INDEX(Summary!$S$2:$S$201,MATCH($B69,Summary!$A$2:$A$201,0))</f>
        <v>Silver</v>
      </c>
      <c r="X69" s="2" t="n">
        <f aca="false">INDEX(Summary!$T$2:$T$201,MATCH($B69,Summary!$A$2:$A$201,0))</f>
        <v>69.78</v>
      </c>
      <c r="Y69" s="0" t="str">
        <f aca="false">INDEX('Reward Model'!$E$18:$E$37,MATCH($E69,'Reward Model'!$A$18:$A$37,0))</f>
        <v>Medium</v>
      </c>
      <c r="Z69" s="4" t="n">
        <f aca="false">ROUND(MIN(1,MAX('Reward Model'!$B$2,INDEX('Reward Model'!$C$12:$C$14,MATCH($K69,'Reward Model'!$A$12:$A$14,0))/$J69)),3)</f>
        <v>1</v>
      </c>
      <c r="AA69" s="2" t="n">
        <f aca="false">IF($I69="Correct",ROUND(INDEX('Reward Model'!$B$12:$B$14,MATCH($K69,'Reward Model'!$A$12:$A$14,0))*Z69,2),0)</f>
        <v>1</v>
      </c>
      <c r="AB69" s="2" t="n">
        <f aca="false">IF($I69="Correct",ROUND(INDEX('Reward Model'!$B$12:$B$14,MATCH($Y69,'Reward Model'!$A$12:$A$14,0))*Z69,2),0)</f>
        <v>2</v>
      </c>
    </row>
    <row r="70" customFormat="false" ht="15" hidden="false" customHeight="false" outlineLevel="0" collapsed="false">
      <c r="A70" s="0" t="s">
        <v>95</v>
      </c>
      <c r="B70" s="0" t="s">
        <v>96</v>
      </c>
      <c r="C70" s="0" t="s">
        <v>30</v>
      </c>
      <c r="D70" s="0" t="s">
        <v>31</v>
      </c>
      <c r="E70" s="0" t="n">
        <v>9</v>
      </c>
      <c r="F70" s="0" t="s">
        <v>55</v>
      </c>
      <c r="G70" s="0" t="s">
        <v>57</v>
      </c>
      <c r="H70" s="0" t="s">
        <v>57</v>
      </c>
      <c r="I70" s="0" t="s">
        <v>34</v>
      </c>
      <c r="J70" s="0" t="n">
        <v>0.94</v>
      </c>
      <c r="K70" s="0" t="s">
        <v>35</v>
      </c>
      <c r="L70" s="0" t="n">
        <f aca="false">INDEX(Summary!$F$2:$F$201,MATCH($B70,Summary!$A$2:$A$201,0))</f>
        <v>20</v>
      </c>
      <c r="M70" s="0" t="n">
        <f aca="false">INDEX(Summary!$I$2:$I$201,MATCH($B70,Summary!$A$2:$A$201,0))</f>
        <v>4</v>
      </c>
      <c r="N70" s="0" t="n">
        <f aca="false">INDEX(Summary!$J$2:$J$201,MATCH($B70,Summary!$A$2:$A$201,0))</f>
        <v>1</v>
      </c>
      <c r="O70" s="2" t="n">
        <f aca="false">INDEX(Summary!$K$2:$K$201,MATCH($B70,Summary!$A$2:$A$201,0))</f>
        <v>10.25</v>
      </c>
      <c r="P70" s="3" t="n">
        <f aca="false">INDEX(Summary!$L$2:$L$201,MATCH($B70,Summary!$A$2:$A$201,0))</f>
        <v>4</v>
      </c>
      <c r="Q70" s="3" t="n">
        <f aca="false">INDEX(Summary!$M$2:$M$201,MATCH($B70,Summary!$A$2:$A$201,0))</f>
        <v>2</v>
      </c>
      <c r="R70" s="2" t="n">
        <f aca="false">INDEX(Summary!$N$2:$N$201,MATCH($B70,Summary!$A$2:$A$201,0))</f>
        <v>11.23</v>
      </c>
      <c r="S70" s="3" t="n">
        <f aca="false">INDEX(Summary!$O$2:$O$201,MATCH($B70,Summary!$A$2:$A$201,0))</f>
        <v>6</v>
      </c>
      <c r="T70" s="3" t="n">
        <f aca="false">INDEX(Summary!$P$2:$P$201,MATCH($B70,Summary!$A$2:$A$201,0))</f>
        <v>3</v>
      </c>
      <c r="U70" s="2" t="n">
        <f aca="false">INDEX(Summary!$Q$2:$Q$201,MATCH($B70,Summary!$A$2:$A$201,0))</f>
        <v>12.13</v>
      </c>
      <c r="V70" s="2" t="n">
        <f aca="false">INDEX(Summary!$R$2:$R$201,MATCH($B70,Summary!$A$2:$A$201,0))</f>
        <v>28.61</v>
      </c>
      <c r="W70" s="0" t="str">
        <f aca="false">INDEX(Summary!$S$2:$S$201,MATCH($B70,Summary!$A$2:$A$201,0))</f>
        <v>Silver</v>
      </c>
      <c r="X70" s="2" t="n">
        <f aca="false">INDEX(Summary!$T$2:$T$201,MATCH($B70,Summary!$A$2:$A$201,0))</f>
        <v>69.78</v>
      </c>
      <c r="Y70" s="0" t="str">
        <f aca="false">INDEX('Reward Model'!$E$18:$E$37,MATCH($E70,'Reward Model'!$A$18:$A$37,0))</f>
        <v>Medium</v>
      </c>
      <c r="Z70" s="4" t="n">
        <f aca="false">ROUND(MIN(1,MAX('Reward Model'!$B$2,INDEX('Reward Model'!$C$12:$C$14,MATCH($K70,'Reward Model'!$A$12:$A$14,0))/$J70)),3)</f>
        <v>1</v>
      </c>
      <c r="AA70" s="2" t="n">
        <f aca="false">IF($I70="Correct",ROUND(INDEX('Reward Model'!$B$12:$B$14,MATCH($K70,'Reward Model'!$A$12:$A$14,0))*Z70,2),0)</f>
        <v>1</v>
      </c>
      <c r="AB70" s="2" t="n">
        <f aca="false">IF($I70="Correct",ROUND(INDEX('Reward Model'!$B$12:$B$14,MATCH($Y70,'Reward Model'!$A$12:$A$14,0))*Z70,2),0)</f>
        <v>2</v>
      </c>
    </row>
    <row r="71" customFormat="false" ht="15" hidden="false" customHeight="false" outlineLevel="0" collapsed="false">
      <c r="A71" s="0" t="s">
        <v>95</v>
      </c>
      <c r="B71" s="0" t="s">
        <v>96</v>
      </c>
      <c r="C71" s="0" t="s">
        <v>30</v>
      </c>
      <c r="D71" s="0" t="s">
        <v>31</v>
      </c>
      <c r="E71" s="0" t="n">
        <v>10</v>
      </c>
      <c r="F71" s="0" t="s">
        <v>58</v>
      </c>
      <c r="G71" s="0" t="s">
        <v>99</v>
      </c>
      <c r="H71" s="0" t="s">
        <v>59</v>
      </c>
      <c r="I71" s="0" t="s">
        <v>39</v>
      </c>
      <c r="J71" s="0" t="n">
        <v>2.21</v>
      </c>
      <c r="K71" s="0" t="s">
        <v>60</v>
      </c>
      <c r="L71" s="0" t="n">
        <f aca="false">INDEX(Summary!$F$2:$F$201,MATCH($B71,Summary!$A$2:$A$201,0))</f>
        <v>20</v>
      </c>
      <c r="M71" s="0" t="n">
        <f aca="false">INDEX(Summary!$I$2:$I$201,MATCH($B71,Summary!$A$2:$A$201,0))</f>
        <v>4</v>
      </c>
      <c r="N71" s="0" t="n">
        <f aca="false">INDEX(Summary!$J$2:$J$201,MATCH($B71,Summary!$A$2:$A$201,0))</f>
        <v>1</v>
      </c>
      <c r="O71" s="2" t="n">
        <f aca="false">INDEX(Summary!$K$2:$K$201,MATCH($B71,Summary!$A$2:$A$201,0))</f>
        <v>10.25</v>
      </c>
      <c r="P71" s="3" t="n">
        <f aca="false">INDEX(Summary!$L$2:$L$201,MATCH($B71,Summary!$A$2:$A$201,0))</f>
        <v>4</v>
      </c>
      <c r="Q71" s="3" t="n">
        <f aca="false">INDEX(Summary!$M$2:$M$201,MATCH($B71,Summary!$A$2:$A$201,0))</f>
        <v>2</v>
      </c>
      <c r="R71" s="2" t="n">
        <f aca="false">INDEX(Summary!$N$2:$N$201,MATCH($B71,Summary!$A$2:$A$201,0))</f>
        <v>11.23</v>
      </c>
      <c r="S71" s="3" t="n">
        <f aca="false">INDEX(Summary!$O$2:$O$201,MATCH($B71,Summary!$A$2:$A$201,0))</f>
        <v>6</v>
      </c>
      <c r="T71" s="3" t="n">
        <f aca="false">INDEX(Summary!$P$2:$P$201,MATCH($B71,Summary!$A$2:$A$201,0))</f>
        <v>3</v>
      </c>
      <c r="U71" s="2" t="n">
        <f aca="false">INDEX(Summary!$Q$2:$Q$201,MATCH($B71,Summary!$A$2:$A$201,0))</f>
        <v>12.13</v>
      </c>
      <c r="V71" s="2" t="n">
        <f aca="false">INDEX(Summary!$R$2:$R$201,MATCH($B71,Summary!$A$2:$A$201,0))</f>
        <v>28.61</v>
      </c>
      <c r="W71" s="0" t="str">
        <f aca="false">INDEX(Summary!$S$2:$S$201,MATCH($B71,Summary!$A$2:$A$201,0))</f>
        <v>Silver</v>
      </c>
      <c r="X71" s="2" t="n">
        <f aca="false">INDEX(Summary!$T$2:$T$201,MATCH($B71,Summary!$A$2:$A$201,0))</f>
        <v>69.78</v>
      </c>
      <c r="Y71" s="0" t="str">
        <f aca="false">INDEX('Reward Model'!$E$18:$E$37,MATCH($E71,'Reward Model'!$A$18:$A$37,0))</f>
        <v>Medium</v>
      </c>
      <c r="Z71" s="4" t="n">
        <f aca="false">ROUND(MIN(1,MAX('Reward Model'!$B$2,INDEX('Reward Model'!$C$12:$C$14,MATCH($K71,'Reward Model'!$A$12:$A$14,0))/$J71)),3)</f>
        <v>0.814</v>
      </c>
      <c r="AA71" s="2" t="n">
        <f aca="false">IF($I71="Correct",ROUND(INDEX('Reward Model'!$B$12:$B$14,MATCH($K71,'Reward Model'!$A$12:$A$14,0))*Z71,2),0)</f>
        <v>0</v>
      </c>
      <c r="AB71" s="2" t="n">
        <f aca="false">IF($I71="Correct",ROUND(INDEX('Reward Model'!$B$12:$B$14,MATCH($Y71,'Reward Model'!$A$12:$A$14,0))*Z71,2),0)</f>
        <v>0</v>
      </c>
    </row>
    <row r="72" customFormat="false" ht="15" hidden="false" customHeight="false" outlineLevel="0" collapsed="false">
      <c r="A72" s="0" t="s">
        <v>95</v>
      </c>
      <c r="B72" s="0" t="s">
        <v>96</v>
      </c>
      <c r="C72" s="0" t="s">
        <v>30</v>
      </c>
      <c r="D72" s="0" t="s">
        <v>31</v>
      </c>
      <c r="E72" s="0" t="n">
        <v>11</v>
      </c>
      <c r="F72" s="0" t="s">
        <v>61</v>
      </c>
      <c r="G72" s="0" t="s">
        <v>63</v>
      </c>
      <c r="H72" s="0" t="s">
        <v>63</v>
      </c>
      <c r="I72" s="0" t="s">
        <v>34</v>
      </c>
      <c r="J72" s="0" t="n">
        <v>1.15</v>
      </c>
      <c r="K72" s="0" t="s">
        <v>60</v>
      </c>
      <c r="L72" s="0" t="n">
        <f aca="false">INDEX(Summary!$F$2:$F$201,MATCH($B72,Summary!$A$2:$A$201,0))</f>
        <v>20</v>
      </c>
      <c r="M72" s="0" t="n">
        <f aca="false">INDEX(Summary!$I$2:$I$201,MATCH($B72,Summary!$A$2:$A$201,0))</f>
        <v>4</v>
      </c>
      <c r="N72" s="0" t="n">
        <f aca="false">INDEX(Summary!$J$2:$J$201,MATCH($B72,Summary!$A$2:$A$201,0))</f>
        <v>1</v>
      </c>
      <c r="O72" s="2" t="n">
        <f aca="false">INDEX(Summary!$K$2:$K$201,MATCH($B72,Summary!$A$2:$A$201,0))</f>
        <v>10.25</v>
      </c>
      <c r="P72" s="3" t="n">
        <f aca="false">INDEX(Summary!$L$2:$L$201,MATCH($B72,Summary!$A$2:$A$201,0))</f>
        <v>4</v>
      </c>
      <c r="Q72" s="3" t="n">
        <f aca="false">INDEX(Summary!$M$2:$M$201,MATCH($B72,Summary!$A$2:$A$201,0))</f>
        <v>2</v>
      </c>
      <c r="R72" s="2" t="n">
        <f aca="false">INDEX(Summary!$N$2:$N$201,MATCH($B72,Summary!$A$2:$A$201,0))</f>
        <v>11.23</v>
      </c>
      <c r="S72" s="3" t="n">
        <f aca="false">INDEX(Summary!$O$2:$O$201,MATCH($B72,Summary!$A$2:$A$201,0))</f>
        <v>6</v>
      </c>
      <c r="T72" s="3" t="n">
        <f aca="false">INDEX(Summary!$P$2:$P$201,MATCH($B72,Summary!$A$2:$A$201,0))</f>
        <v>3</v>
      </c>
      <c r="U72" s="2" t="n">
        <f aca="false">INDEX(Summary!$Q$2:$Q$201,MATCH($B72,Summary!$A$2:$A$201,0))</f>
        <v>12.13</v>
      </c>
      <c r="V72" s="2" t="n">
        <f aca="false">INDEX(Summary!$R$2:$R$201,MATCH($B72,Summary!$A$2:$A$201,0))</f>
        <v>28.61</v>
      </c>
      <c r="W72" s="0" t="str">
        <f aca="false">INDEX(Summary!$S$2:$S$201,MATCH($B72,Summary!$A$2:$A$201,0))</f>
        <v>Silver</v>
      </c>
      <c r="X72" s="2" t="n">
        <f aca="false">INDEX(Summary!$T$2:$T$201,MATCH($B72,Summary!$A$2:$A$201,0))</f>
        <v>69.78</v>
      </c>
      <c r="Y72" s="0" t="str">
        <f aca="false">INDEX('Reward Model'!$E$18:$E$37,MATCH($E72,'Reward Model'!$A$18:$A$37,0))</f>
        <v>Medium</v>
      </c>
      <c r="Z72" s="4" t="n">
        <f aca="false">ROUND(MIN(1,MAX('Reward Model'!$B$2,INDEX('Reward Model'!$C$12:$C$14,MATCH($K72,'Reward Model'!$A$12:$A$14,0))/$J72)),3)</f>
        <v>1</v>
      </c>
      <c r="AA72" s="2" t="n">
        <f aca="false">IF($I72="Correct",ROUND(INDEX('Reward Model'!$B$12:$B$14,MATCH($K72,'Reward Model'!$A$12:$A$14,0))*Z72,2),0)</f>
        <v>2</v>
      </c>
      <c r="AB72" s="2" t="n">
        <f aca="false">IF($I72="Correct",ROUND(INDEX('Reward Model'!$B$12:$B$14,MATCH($Y72,'Reward Model'!$A$12:$A$14,0))*Z72,2),0)</f>
        <v>2</v>
      </c>
    </row>
    <row r="73" customFormat="false" ht="15" hidden="false" customHeight="false" outlineLevel="0" collapsed="false">
      <c r="A73" s="0" t="s">
        <v>95</v>
      </c>
      <c r="B73" s="0" t="s">
        <v>96</v>
      </c>
      <c r="C73" s="0" t="s">
        <v>30</v>
      </c>
      <c r="D73" s="0" t="s">
        <v>31</v>
      </c>
      <c r="E73" s="0" t="n">
        <v>12</v>
      </c>
      <c r="F73" s="0" t="s">
        <v>64</v>
      </c>
      <c r="G73" s="0" t="s">
        <v>65</v>
      </c>
      <c r="H73" s="0" t="s">
        <v>65</v>
      </c>
      <c r="I73" s="0" t="s">
        <v>34</v>
      </c>
      <c r="J73" s="0" t="n">
        <v>1.75</v>
      </c>
      <c r="K73" s="0" t="s">
        <v>60</v>
      </c>
      <c r="L73" s="0" t="n">
        <f aca="false">INDEX(Summary!$F$2:$F$201,MATCH($B73,Summary!$A$2:$A$201,0))</f>
        <v>20</v>
      </c>
      <c r="M73" s="0" t="n">
        <f aca="false">INDEX(Summary!$I$2:$I$201,MATCH($B73,Summary!$A$2:$A$201,0))</f>
        <v>4</v>
      </c>
      <c r="N73" s="0" t="n">
        <f aca="false">INDEX(Summary!$J$2:$J$201,MATCH($B73,Summary!$A$2:$A$201,0))</f>
        <v>1</v>
      </c>
      <c r="O73" s="2" t="n">
        <f aca="false">INDEX(Summary!$K$2:$K$201,MATCH($B73,Summary!$A$2:$A$201,0))</f>
        <v>10.25</v>
      </c>
      <c r="P73" s="3" t="n">
        <f aca="false">INDEX(Summary!$L$2:$L$201,MATCH($B73,Summary!$A$2:$A$201,0))</f>
        <v>4</v>
      </c>
      <c r="Q73" s="3" t="n">
        <f aca="false">INDEX(Summary!$M$2:$M$201,MATCH($B73,Summary!$A$2:$A$201,0))</f>
        <v>2</v>
      </c>
      <c r="R73" s="2" t="n">
        <f aca="false">INDEX(Summary!$N$2:$N$201,MATCH($B73,Summary!$A$2:$A$201,0))</f>
        <v>11.23</v>
      </c>
      <c r="S73" s="3" t="n">
        <f aca="false">INDEX(Summary!$O$2:$O$201,MATCH($B73,Summary!$A$2:$A$201,0))</f>
        <v>6</v>
      </c>
      <c r="T73" s="3" t="n">
        <f aca="false">INDEX(Summary!$P$2:$P$201,MATCH($B73,Summary!$A$2:$A$201,0))</f>
        <v>3</v>
      </c>
      <c r="U73" s="2" t="n">
        <f aca="false">INDEX(Summary!$Q$2:$Q$201,MATCH($B73,Summary!$A$2:$A$201,0))</f>
        <v>12.13</v>
      </c>
      <c r="V73" s="2" t="n">
        <f aca="false">INDEX(Summary!$R$2:$R$201,MATCH($B73,Summary!$A$2:$A$201,0))</f>
        <v>28.61</v>
      </c>
      <c r="W73" s="0" t="str">
        <f aca="false">INDEX(Summary!$S$2:$S$201,MATCH($B73,Summary!$A$2:$A$201,0))</f>
        <v>Silver</v>
      </c>
      <c r="X73" s="2" t="n">
        <f aca="false">INDEX(Summary!$T$2:$T$201,MATCH($B73,Summary!$A$2:$A$201,0))</f>
        <v>69.78</v>
      </c>
      <c r="Y73" s="0" t="str">
        <f aca="false">INDEX('Reward Model'!$E$18:$E$37,MATCH($E73,'Reward Model'!$A$18:$A$37,0))</f>
        <v>Medium</v>
      </c>
      <c r="Z73" s="4" t="n">
        <f aca="false">ROUND(MIN(1,MAX('Reward Model'!$B$2,INDEX('Reward Model'!$C$12:$C$14,MATCH($K73,'Reward Model'!$A$12:$A$14,0))/$J73)),3)</f>
        <v>1</v>
      </c>
      <c r="AA73" s="2" t="n">
        <f aca="false">IF($I73="Correct",ROUND(INDEX('Reward Model'!$B$12:$B$14,MATCH($K73,'Reward Model'!$A$12:$A$14,0))*Z73,2),0)</f>
        <v>2</v>
      </c>
      <c r="AB73" s="2" t="n">
        <f aca="false">IF($I73="Correct",ROUND(INDEX('Reward Model'!$B$12:$B$14,MATCH($Y73,'Reward Model'!$A$12:$A$14,0))*Z73,2),0)</f>
        <v>2</v>
      </c>
    </row>
    <row r="74" customFormat="false" ht="15" hidden="false" customHeight="false" outlineLevel="0" collapsed="false">
      <c r="A74" s="0" t="s">
        <v>95</v>
      </c>
      <c r="B74" s="0" t="s">
        <v>96</v>
      </c>
      <c r="C74" s="0" t="s">
        <v>30</v>
      </c>
      <c r="D74" s="0" t="s">
        <v>31</v>
      </c>
      <c r="E74" s="0" t="n">
        <v>13</v>
      </c>
      <c r="F74" s="0" t="s">
        <v>66</v>
      </c>
      <c r="G74" s="0" t="s">
        <v>67</v>
      </c>
      <c r="H74" s="0" t="s">
        <v>67</v>
      </c>
      <c r="I74" s="0" t="s">
        <v>34</v>
      </c>
      <c r="J74" s="0" t="n">
        <v>2.11</v>
      </c>
      <c r="K74" s="0" t="s">
        <v>60</v>
      </c>
      <c r="L74" s="0" t="n">
        <f aca="false">INDEX(Summary!$F$2:$F$201,MATCH($B74,Summary!$A$2:$A$201,0))</f>
        <v>20</v>
      </c>
      <c r="M74" s="0" t="n">
        <f aca="false">INDEX(Summary!$I$2:$I$201,MATCH($B74,Summary!$A$2:$A$201,0))</f>
        <v>4</v>
      </c>
      <c r="N74" s="0" t="n">
        <f aca="false">INDEX(Summary!$J$2:$J$201,MATCH($B74,Summary!$A$2:$A$201,0))</f>
        <v>1</v>
      </c>
      <c r="O74" s="2" t="n">
        <f aca="false">INDEX(Summary!$K$2:$K$201,MATCH($B74,Summary!$A$2:$A$201,0))</f>
        <v>10.25</v>
      </c>
      <c r="P74" s="3" t="n">
        <f aca="false">INDEX(Summary!$L$2:$L$201,MATCH($B74,Summary!$A$2:$A$201,0))</f>
        <v>4</v>
      </c>
      <c r="Q74" s="3" t="n">
        <f aca="false">INDEX(Summary!$M$2:$M$201,MATCH($B74,Summary!$A$2:$A$201,0))</f>
        <v>2</v>
      </c>
      <c r="R74" s="2" t="n">
        <f aca="false">INDEX(Summary!$N$2:$N$201,MATCH($B74,Summary!$A$2:$A$201,0))</f>
        <v>11.23</v>
      </c>
      <c r="S74" s="3" t="n">
        <f aca="false">INDEX(Summary!$O$2:$O$201,MATCH($B74,Summary!$A$2:$A$201,0))</f>
        <v>6</v>
      </c>
      <c r="T74" s="3" t="n">
        <f aca="false">INDEX(Summary!$P$2:$P$201,MATCH($B74,Summary!$A$2:$A$201,0))</f>
        <v>3</v>
      </c>
      <c r="U74" s="2" t="n">
        <f aca="false">INDEX(Summary!$Q$2:$Q$201,MATCH($B74,Summary!$A$2:$A$201,0))</f>
        <v>12.13</v>
      </c>
      <c r="V74" s="2" t="n">
        <f aca="false">INDEX(Summary!$R$2:$R$201,MATCH($B74,Summary!$A$2:$A$201,0))</f>
        <v>28.61</v>
      </c>
      <c r="W74" s="0" t="str">
        <f aca="false">INDEX(Summary!$S$2:$S$201,MATCH($B74,Summary!$A$2:$A$201,0))</f>
        <v>Silver</v>
      </c>
      <c r="X74" s="2" t="n">
        <f aca="false">INDEX(Summary!$T$2:$T$201,MATCH($B74,Summary!$A$2:$A$201,0))</f>
        <v>69.78</v>
      </c>
      <c r="Y74" s="0" t="str">
        <f aca="false">INDEX('Reward Model'!$E$18:$E$37,MATCH($E74,'Reward Model'!$A$18:$A$37,0))</f>
        <v>Medium</v>
      </c>
      <c r="Z74" s="4" t="n">
        <f aca="false">ROUND(MIN(1,MAX('Reward Model'!$B$2,INDEX('Reward Model'!$C$12:$C$14,MATCH($K74,'Reward Model'!$A$12:$A$14,0))/$J74)),3)</f>
        <v>0.853</v>
      </c>
      <c r="AA74" s="2" t="n">
        <f aca="false">IF($I74="Correct",ROUND(INDEX('Reward Model'!$B$12:$B$14,MATCH($K74,'Reward Model'!$A$12:$A$14,0))*Z74,2),0)</f>
        <v>1.71</v>
      </c>
      <c r="AB74" s="2" t="n">
        <f aca="false">IF($I74="Correct",ROUND(INDEX('Reward Model'!$B$12:$B$14,MATCH($Y74,'Reward Model'!$A$12:$A$14,0))*Z74,2),0)</f>
        <v>1.71</v>
      </c>
    </row>
    <row r="75" customFormat="false" ht="15" hidden="false" customHeight="false" outlineLevel="0" collapsed="false">
      <c r="A75" s="0" t="s">
        <v>95</v>
      </c>
      <c r="B75" s="0" t="s">
        <v>96</v>
      </c>
      <c r="C75" s="0" t="s">
        <v>30</v>
      </c>
      <c r="D75" s="0" t="s">
        <v>31</v>
      </c>
      <c r="E75" s="0" t="n">
        <v>14</v>
      </c>
      <c r="F75" s="0" t="s">
        <v>68</v>
      </c>
      <c r="G75" s="0" t="s">
        <v>100</v>
      </c>
      <c r="H75" s="0" t="s">
        <v>51</v>
      </c>
      <c r="I75" s="0" t="s">
        <v>39</v>
      </c>
      <c r="J75" s="0" t="n">
        <v>2.14</v>
      </c>
      <c r="K75" s="0" t="s">
        <v>60</v>
      </c>
      <c r="L75" s="0" t="n">
        <f aca="false">INDEX(Summary!$F$2:$F$201,MATCH($B75,Summary!$A$2:$A$201,0))</f>
        <v>20</v>
      </c>
      <c r="M75" s="0" t="n">
        <f aca="false">INDEX(Summary!$I$2:$I$201,MATCH($B75,Summary!$A$2:$A$201,0))</f>
        <v>4</v>
      </c>
      <c r="N75" s="0" t="n">
        <f aca="false">INDEX(Summary!$J$2:$J$201,MATCH($B75,Summary!$A$2:$A$201,0))</f>
        <v>1</v>
      </c>
      <c r="O75" s="2" t="n">
        <f aca="false">INDEX(Summary!$K$2:$K$201,MATCH($B75,Summary!$A$2:$A$201,0))</f>
        <v>10.25</v>
      </c>
      <c r="P75" s="3" t="n">
        <f aca="false">INDEX(Summary!$L$2:$L$201,MATCH($B75,Summary!$A$2:$A$201,0))</f>
        <v>4</v>
      </c>
      <c r="Q75" s="3" t="n">
        <f aca="false">INDEX(Summary!$M$2:$M$201,MATCH($B75,Summary!$A$2:$A$201,0))</f>
        <v>2</v>
      </c>
      <c r="R75" s="2" t="n">
        <f aca="false">INDEX(Summary!$N$2:$N$201,MATCH($B75,Summary!$A$2:$A$201,0))</f>
        <v>11.23</v>
      </c>
      <c r="S75" s="3" t="n">
        <f aca="false">INDEX(Summary!$O$2:$O$201,MATCH($B75,Summary!$A$2:$A$201,0))</f>
        <v>6</v>
      </c>
      <c r="T75" s="3" t="n">
        <f aca="false">INDEX(Summary!$P$2:$P$201,MATCH($B75,Summary!$A$2:$A$201,0))</f>
        <v>3</v>
      </c>
      <c r="U75" s="2" t="n">
        <f aca="false">INDEX(Summary!$Q$2:$Q$201,MATCH($B75,Summary!$A$2:$A$201,0))</f>
        <v>12.13</v>
      </c>
      <c r="V75" s="2" t="n">
        <f aca="false">INDEX(Summary!$R$2:$R$201,MATCH($B75,Summary!$A$2:$A$201,0))</f>
        <v>28.61</v>
      </c>
      <c r="W75" s="0" t="str">
        <f aca="false">INDEX(Summary!$S$2:$S$201,MATCH($B75,Summary!$A$2:$A$201,0))</f>
        <v>Silver</v>
      </c>
      <c r="X75" s="2" t="n">
        <f aca="false">INDEX(Summary!$T$2:$T$201,MATCH($B75,Summary!$A$2:$A$201,0))</f>
        <v>69.78</v>
      </c>
      <c r="Y75" s="0" t="str">
        <f aca="false">INDEX('Reward Model'!$E$18:$E$37,MATCH($E75,'Reward Model'!$A$18:$A$37,0))</f>
        <v>Medium</v>
      </c>
      <c r="Z75" s="4" t="n">
        <f aca="false">ROUND(MIN(1,MAX('Reward Model'!$B$2,INDEX('Reward Model'!$C$12:$C$14,MATCH($K75,'Reward Model'!$A$12:$A$14,0))/$J75)),3)</f>
        <v>0.841</v>
      </c>
      <c r="AA75" s="2" t="n">
        <f aca="false">IF($I75="Correct",ROUND(INDEX('Reward Model'!$B$12:$B$14,MATCH($K75,'Reward Model'!$A$12:$A$14,0))*Z75,2),0)</f>
        <v>0</v>
      </c>
      <c r="AB75" s="2" t="n">
        <f aca="false">IF($I75="Correct",ROUND(INDEX('Reward Model'!$B$12:$B$14,MATCH($Y75,'Reward Model'!$A$12:$A$14,0))*Z75,2),0)</f>
        <v>0</v>
      </c>
    </row>
    <row r="76" customFormat="false" ht="15" hidden="false" customHeight="false" outlineLevel="0" collapsed="false">
      <c r="A76" s="0" t="s">
        <v>95</v>
      </c>
      <c r="B76" s="0" t="s">
        <v>96</v>
      </c>
      <c r="C76" s="0" t="s">
        <v>30</v>
      </c>
      <c r="D76" s="0" t="s">
        <v>31</v>
      </c>
      <c r="E76" s="0" t="n">
        <v>15</v>
      </c>
      <c r="F76" s="0" t="s">
        <v>69</v>
      </c>
      <c r="G76" s="0" t="s">
        <v>70</v>
      </c>
      <c r="H76" s="0" t="s">
        <v>70</v>
      </c>
      <c r="I76" s="0" t="s">
        <v>34</v>
      </c>
      <c r="J76" s="0" t="n">
        <v>1.87</v>
      </c>
      <c r="K76" s="0" t="s">
        <v>60</v>
      </c>
      <c r="L76" s="0" t="n">
        <f aca="false">INDEX(Summary!$F$2:$F$201,MATCH($B76,Summary!$A$2:$A$201,0))</f>
        <v>20</v>
      </c>
      <c r="M76" s="0" t="n">
        <f aca="false">INDEX(Summary!$I$2:$I$201,MATCH($B76,Summary!$A$2:$A$201,0))</f>
        <v>4</v>
      </c>
      <c r="N76" s="0" t="n">
        <f aca="false">INDEX(Summary!$J$2:$J$201,MATCH($B76,Summary!$A$2:$A$201,0))</f>
        <v>1</v>
      </c>
      <c r="O76" s="2" t="n">
        <f aca="false">INDEX(Summary!$K$2:$K$201,MATCH($B76,Summary!$A$2:$A$201,0))</f>
        <v>10.25</v>
      </c>
      <c r="P76" s="3" t="n">
        <f aca="false">INDEX(Summary!$L$2:$L$201,MATCH($B76,Summary!$A$2:$A$201,0))</f>
        <v>4</v>
      </c>
      <c r="Q76" s="3" t="n">
        <f aca="false">INDEX(Summary!$M$2:$M$201,MATCH($B76,Summary!$A$2:$A$201,0))</f>
        <v>2</v>
      </c>
      <c r="R76" s="2" t="n">
        <f aca="false">INDEX(Summary!$N$2:$N$201,MATCH($B76,Summary!$A$2:$A$201,0))</f>
        <v>11.23</v>
      </c>
      <c r="S76" s="3" t="n">
        <f aca="false">INDEX(Summary!$O$2:$O$201,MATCH($B76,Summary!$A$2:$A$201,0))</f>
        <v>6</v>
      </c>
      <c r="T76" s="3" t="n">
        <f aca="false">INDEX(Summary!$P$2:$P$201,MATCH($B76,Summary!$A$2:$A$201,0))</f>
        <v>3</v>
      </c>
      <c r="U76" s="2" t="n">
        <f aca="false">INDEX(Summary!$Q$2:$Q$201,MATCH($B76,Summary!$A$2:$A$201,0))</f>
        <v>12.13</v>
      </c>
      <c r="V76" s="2" t="n">
        <f aca="false">INDEX(Summary!$R$2:$R$201,MATCH($B76,Summary!$A$2:$A$201,0))</f>
        <v>28.61</v>
      </c>
      <c r="W76" s="0" t="str">
        <f aca="false">INDEX(Summary!$S$2:$S$201,MATCH($B76,Summary!$A$2:$A$201,0))</f>
        <v>Silver</v>
      </c>
      <c r="X76" s="2" t="n">
        <f aca="false">INDEX(Summary!$T$2:$T$201,MATCH($B76,Summary!$A$2:$A$201,0))</f>
        <v>69.78</v>
      </c>
      <c r="Y76" s="0" t="str">
        <f aca="false">INDEX('Reward Model'!$E$18:$E$37,MATCH($E76,'Reward Model'!$A$18:$A$37,0))</f>
        <v>Medium</v>
      </c>
      <c r="Z76" s="4" t="n">
        <f aca="false">ROUND(MIN(1,MAX('Reward Model'!$B$2,INDEX('Reward Model'!$C$12:$C$14,MATCH($K76,'Reward Model'!$A$12:$A$14,0))/$J76)),3)</f>
        <v>0.963</v>
      </c>
      <c r="AA76" s="2" t="n">
        <f aca="false">IF($I76="Correct",ROUND(INDEX('Reward Model'!$B$12:$B$14,MATCH($K76,'Reward Model'!$A$12:$A$14,0))*Z76,2),0)</f>
        <v>1.93</v>
      </c>
      <c r="AB76" s="2" t="n">
        <f aca="false">IF($I76="Correct",ROUND(INDEX('Reward Model'!$B$12:$B$14,MATCH($Y76,'Reward Model'!$A$12:$A$14,0))*Z76,2),0)</f>
        <v>1.93</v>
      </c>
    </row>
    <row r="77" customFormat="false" ht="15" hidden="false" customHeight="false" outlineLevel="0" collapsed="false">
      <c r="A77" s="0" t="s">
        <v>95</v>
      </c>
      <c r="B77" s="0" t="s">
        <v>96</v>
      </c>
      <c r="C77" s="0" t="s">
        <v>30</v>
      </c>
      <c r="D77" s="0" t="s">
        <v>31</v>
      </c>
      <c r="E77" s="0" t="n">
        <v>16</v>
      </c>
      <c r="F77" s="0" t="s">
        <v>71</v>
      </c>
      <c r="G77" s="0" t="s">
        <v>101</v>
      </c>
      <c r="H77" s="0" t="s">
        <v>72</v>
      </c>
      <c r="I77" s="0" t="s">
        <v>39</v>
      </c>
      <c r="J77" s="0" t="n">
        <v>2.2</v>
      </c>
      <c r="K77" s="0" t="s">
        <v>73</v>
      </c>
      <c r="L77" s="0" t="n">
        <f aca="false">INDEX(Summary!$F$2:$F$201,MATCH($B77,Summary!$A$2:$A$201,0))</f>
        <v>20</v>
      </c>
      <c r="M77" s="0" t="n">
        <f aca="false">INDEX(Summary!$I$2:$I$201,MATCH($B77,Summary!$A$2:$A$201,0))</f>
        <v>4</v>
      </c>
      <c r="N77" s="0" t="n">
        <f aca="false">INDEX(Summary!$J$2:$J$201,MATCH($B77,Summary!$A$2:$A$201,0))</f>
        <v>1</v>
      </c>
      <c r="O77" s="2" t="n">
        <f aca="false">INDEX(Summary!$K$2:$K$201,MATCH($B77,Summary!$A$2:$A$201,0))</f>
        <v>10.25</v>
      </c>
      <c r="P77" s="3" t="n">
        <f aca="false">INDEX(Summary!$L$2:$L$201,MATCH($B77,Summary!$A$2:$A$201,0))</f>
        <v>4</v>
      </c>
      <c r="Q77" s="3" t="n">
        <f aca="false">INDEX(Summary!$M$2:$M$201,MATCH($B77,Summary!$A$2:$A$201,0))</f>
        <v>2</v>
      </c>
      <c r="R77" s="2" t="n">
        <f aca="false">INDEX(Summary!$N$2:$N$201,MATCH($B77,Summary!$A$2:$A$201,0))</f>
        <v>11.23</v>
      </c>
      <c r="S77" s="3" t="n">
        <f aca="false">INDEX(Summary!$O$2:$O$201,MATCH($B77,Summary!$A$2:$A$201,0))</f>
        <v>6</v>
      </c>
      <c r="T77" s="3" t="n">
        <f aca="false">INDEX(Summary!$P$2:$P$201,MATCH($B77,Summary!$A$2:$A$201,0))</f>
        <v>3</v>
      </c>
      <c r="U77" s="2" t="n">
        <f aca="false">INDEX(Summary!$Q$2:$Q$201,MATCH($B77,Summary!$A$2:$A$201,0))</f>
        <v>12.13</v>
      </c>
      <c r="V77" s="2" t="n">
        <f aca="false">INDEX(Summary!$R$2:$R$201,MATCH($B77,Summary!$A$2:$A$201,0))</f>
        <v>28.61</v>
      </c>
      <c r="W77" s="0" t="str">
        <f aca="false">INDEX(Summary!$S$2:$S$201,MATCH($B77,Summary!$A$2:$A$201,0))</f>
        <v>Silver</v>
      </c>
      <c r="X77" s="2" t="n">
        <f aca="false">INDEX(Summary!$T$2:$T$201,MATCH($B77,Summary!$A$2:$A$201,0))</f>
        <v>69.78</v>
      </c>
      <c r="Y77" s="0" t="str">
        <f aca="false">INDEX('Reward Model'!$E$18:$E$37,MATCH($E77,'Reward Model'!$A$18:$A$37,0))</f>
        <v>High</v>
      </c>
      <c r="Z77" s="4" t="n">
        <f aca="false">ROUND(MIN(1,MAX('Reward Model'!$B$2,INDEX('Reward Model'!$C$12:$C$14,MATCH($K77,'Reward Model'!$A$12:$A$14,0))/$J77)),3)</f>
        <v>0.909</v>
      </c>
      <c r="AA77" s="2" t="n">
        <f aca="false">IF($I77="Correct",ROUND(INDEX('Reward Model'!$B$12:$B$14,MATCH($K77,'Reward Model'!$A$12:$A$14,0))*Z77,2),0)</f>
        <v>0</v>
      </c>
      <c r="AB77" s="2" t="n">
        <f aca="false">IF($I77="Correct",ROUND(INDEX('Reward Model'!$B$12:$B$14,MATCH($Y77,'Reward Model'!$A$12:$A$14,0))*Z77,2),0)</f>
        <v>0</v>
      </c>
    </row>
    <row r="78" customFormat="false" ht="15" hidden="false" customHeight="false" outlineLevel="0" collapsed="false">
      <c r="A78" s="0" t="s">
        <v>95</v>
      </c>
      <c r="B78" s="0" t="s">
        <v>96</v>
      </c>
      <c r="C78" s="0" t="s">
        <v>30</v>
      </c>
      <c r="D78" s="0" t="s">
        <v>31</v>
      </c>
      <c r="E78" s="0" t="n">
        <v>17</v>
      </c>
      <c r="F78" s="0" t="s">
        <v>74</v>
      </c>
      <c r="G78" s="0" t="s">
        <v>75</v>
      </c>
      <c r="H78" s="0" t="s">
        <v>75</v>
      </c>
      <c r="I78" s="0" t="s">
        <v>34</v>
      </c>
      <c r="J78" s="0" t="n">
        <v>2.43</v>
      </c>
      <c r="K78" s="0" t="s">
        <v>73</v>
      </c>
      <c r="L78" s="0" t="n">
        <f aca="false">INDEX(Summary!$F$2:$F$201,MATCH($B78,Summary!$A$2:$A$201,0))</f>
        <v>20</v>
      </c>
      <c r="M78" s="0" t="n">
        <f aca="false">INDEX(Summary!$I$2:$I$201,MATCH($B78,Summary!$A$2:$A$201,0))</f>
        <v>4</v>
      </c>
      <c r="N78" s="0" t="n">
        <f aca="false">INDEX(Summary!$J$2:$J$201,MATCH($B78,Summary!$A$2:$A$201,0))</f>
        <v>1</v>
      </c>
      <c r="O78" s="2" t="n">
        <f aca="false">INDEX(Summary!$K$2:$K$201,MATCH($B78,Summary!$A$2:$A$201,0))</f>
        <v>10.25</v>
      </c>
      <c r="P78" s="3" t="n">
        <f aca="false">INDEX(Summary!$L$2:$L$201,MATCH($B78,Summary!$A$2:$A$201,0))</f>
        <v>4</v>
      </c>
      <c r="Q78" s="3" t="n">
        <f aca="false">INDEX(Summary!$M$2:$M$201,MATCH($B78,Summary!$A$2:$A$201,0))</f>
        <v>2</v>
      </c>
      <c r="R78" s="2" t="n">
        <f aca="false">INDEX(Summary!$N$2:$N$201,MATCH($B78,Summary!$A$2:$A$201,0))</f>
        <v>11.23</v>
      </c>
      <c r="S78" s="3" t="n">
        <f aca="false">INDEX(Summary!$O$2:$O$201,MATCH($B78,Summary!$A$2:$A$201,0))</f>
        <v>6</v>
      </c>
      <c r="T78" s="3" t="n">
        <f aca="false">INDEX(Summary!$P$2:$P$201,MATCH($B78,Summary!$A$2:$A$201,0))</f>
        <v>3</v>
      </c>
      <c r="U78" s="2" t="n">
        <f aca="false">INDEX(Summary!$Q$2:$Q$201,MATCH($B78,Summary!$A$2:$A$201,0))</f>
        <v>12.13</v>
      </c>
      <c r="V78" s="2" t="n">
        <f aca="false">INDEX(Summary!$R$2:$R$201,MATCH($B78,Summary!$A$2:$A$201,0))</f>
        <v>28.61</v>
      </c>
      <c r="W78" s="0" t="str">
        <f aca="false">INDEX(Summary!$S$2:$S$201,MATCH($B78,Summary!$A$2:$A$201,0))</f>
        <v>Silver</v>
      </c>
      <c r="X78" s="2" t="n">
        <f aca="false">INDEX(Summary!$T$2:$T$201,MATCH($B78,Summary!$A$2:$A$201,0))</f>
        <v>69.78</v>
      </c>
      <c r="Y78" s="0" t="str">
        <f aca="false">INDEX('Reward Model'!$E$18:$E$37,MATCH($E78,'Reward Model'!$A$18:$A$37,0))</f>
        <v>High</v>
      </c>
      <c r="Z78" s="4" t="n">
        <f aca="false">ROUND(MIN(1,MAX('Reward Model'!$B$2,INDEX('Reward Model'!$C$12:$C$14,MATCH($K78,'Reward Model'!$A$12:$A$14,0))/$J78)),3)</f>
        <v>0.823</v>
      </c>
      <c r="AA78" s="2" t="n">
        <f aca="false">IF($I78="Correct",ROUND(INDEX('Reward Model'!$B$12:$B$14,MATCH($K78,'Reward Model'!$A$12:$A$14,0))*Z78,2),0)</f>
        <v>2.47</v>
      </c>
      <c r="AB78" s="2" t="n">
        <f aca="false">IF($I78="Correct",ROUND(INDEX('Reward Model'!$B$12:$B$14,MATCH($Y78,'Reward Model'!$A$12:$A$14,0))*Z78,2),0)</f>
        <v>2.47</v>
      </c>
    </row>
    <row r="79" customFormat="false" ht="15" hidden="false" customHeight="false" outlineLevel="0" collapsed="false">
      <c r="A79" s="0" t="s">
        <v>95</v>
      </c>
      <c r="B79" s="0" t="s">
        <v>96</v>
      </c>
      <c r="C79" s="0" t="s">
        <v>30</v>
      </c>
      <c r="D79" s="0" t="s">
        <v>31</v>
      </c>
      <c r="E79" s="0" t="n">
        <v>18</v>
      </c>
      <c r="F79" s="0" t="s">
        <v>76</v>
      </c>
      <c r="G79" s="0" t="s">
        <v>77</v>
      </c>
      <c r="H79" s="0" t="s">
        <v>77</v>
      </c>
      <c r="I79" s="0" t="s">
        <v>34</v>
      </c>
      <c r="J79" s="0" t="n">
        <v>1.38</v>
      </c>
      <c r="K79" s="0" t="s">
        <v>73</v>
      </c>
      <c r="L79" s="0" t="n">
        <f aca="false">INDEX(Summary!$F$2:$F$201,MATCH($B79,Summary!$A$2:$A$201,0))</f>
        <v>20</v>
      </c>
      <c r="M79" s="0" t="n">
        <f aca="false">INDEX(Summary!$I$2:$I$201,MATCH($B79,Summary!$A$2:$A$201,0))</f>
        <v>4</v>
      </c>
      <c r="N79" s="0" t="n">
        <f aca="false">INDEX(Summary!$J$2:$J$201,MATCH($B79,Summary!$A$2:$A$201,0))</f>
        <v>1</v>
      </c>
      <c r="O79" s="2" t="n">
        <f aca="false">INDEX(Summary!$K$2:$K$201,MATCH($B79,Summary!$A$2:$A$201,0))</f>
        <v>10.25</v>
      </c>
      <c r="P79" s="3" t="n">
        <f aca="false">INDEX(Summary!$L$2:$L$201,MATCH($B79,Summary!$A$2:$A$201,0))</f>
        <v>4</v>
      </c>
      <c r="Q79" s="3" t="n">
        <f aca="false">INDEX(Summary!$M$2:$M$201,MATCH($B79,Summary!$A$2:$A$201,0))</f>
        <v>2</v>
      </c>
      <c r="R79" s="2" t="n">
        <f aca="false">INDEX(Summary!$N$2:$N$201,MATCH($B79,Summary!$A$2:$A$201,0))</f>
        <v>11.23</v>
      </c>
      <c r="S79" s="3" t="n">
        <f aca="false">INDEX(Summary!$O$2:$O$201,MATCH($B79,Summary!$A$2:$A$201,0))</f>
        <v>6</v>
      </c>
      <c r="T79" s="3" t="n">
        <f aca="false">INDEX(Summary!$P$2:$P$201,MATCH($B79,Summary!$A$2:$A$201,0))</f>
        <v>3</v>
      </c>
      <c r="U79" s="2" t="n">
        <f aca="false">INDEX(Summary!$Q$2:$Q$201,MATCH($B79,Summary!$A$2:$A$201,0))</f>
        <v>12.13</v>
      </c>
      <c r="V79" s="2" t="n">
        <f aca="false">INDEX(Summary!$R$2:$R$201,MATCH($B79,Summary!$A$2:$A$201,0))</f>
        <v>28.61</v>
      </c>
      <c r="W79" s="0" t="str">
        <f aca="false">INDEX(Summary!$S$2:$S$201,MATCH($B79,Summary!$A$2:$A$201,0))</f>
        <v>Silver</v>
      </c>
      <c r="X79" s="2" t="n">
        <f aca="false">INDEX(Summary!$T$2:$T$201,MATCH($B79,Summary!$A$2:$A$201,0))</f>
        <v>69.78</v>
      </c>
      <c r="Y79" s="0" t="str">
        <f aca="false">INDEX('Reward Model'!$E$18:$E$37,MATCH($E79,'Reward Model'!$A$18:$A$37,0))</f>
        <v>High</v>
      </c>
      <c r="Z79" s="4" t="n">
        <f aca="false">ROUND(MIN(1,MAX('Reward Model'!$B$2,INDEX('Reward Model'!$C$12:$C$14,MATCH($K79,'Reward Model'!$A$12:$A$14,0))/$J79)),3)</f>
        <v>1</v>
      </c>
      <c r="AA79" s="2" t="n">
        <f aca="false">IF($I79="Correct",ROUND(INDEX('Reward Model'!$B$12:$B$14,MATCH($K79,'Reward Model'!$A$12:$A$14,0))*Z79,2),0)</f>
        <v>3</v>
      </c>
      <c r="AB79" s="2" t="n">
        <f aca="false">IF($I79="Correct",ROUND(INDEX('Reward Model'!$B$12:$B$14,MATCH($Y79,'Reward Model'!$A$12:$A$14,0))*Z79,2),0)</f>
        <v>3</v>
      </c>
    </row>
    <row r="80" customFormat="false" ht="15" hidden="false" customHeight="false" outlineLevel="0" collapsed="false">
      <c r="A80" s="0" t="s">
        <v>95</v>
      </c>
      <c r="B80" s="0" t="s">
        <v>96</v>
      </c>
      <c r="C80" s="0" t="s">
        <v>30</v>
      </c>
      <c r="D80" s="0" t="s">
        <v>31</v>
      </c>
      <c r="E80" s="0" t="n">
        <v>19</v>
      </c>
      <c r="F80" s="0" t="s">
        <v>78</v>
      </c>
      <c r="G80" s="0" t="s">
        <v>80</v>
      </c>
      <c r="H80" s="0" t="s">
        <v>80</v>
      </c>
      <c r="I80" s="0" t="s">
        <v>34</v>
      </c>
      <c r="J80" s="0" t="n">
        <v>1.94</v>
      </c>
      <c r="K80" s="0" t="s">
        <v>73</v>
      </c>
      <c r="L80" s="0" t="n">
        <f aca="false">INDEX(Summary!$F$2:$F$201,MATCH($B80,Summary!$A$2:$A$201,0))</f>
        <v>20</v>
      </c>
      <c r="M80" s="0" t="n">
        <f aca="false">INDEX(Summary!$I$2:$I$201,MATCH($B80,Summary!$A$2:$A$201,0))</f>
        <v>4</v>
      </c>
      <c r="N80" s="0" t="n">
        <f aca="false">INDEX(Summary!$J$2:$J$201,MATCH($B80,Summary!$A$2:$A$201,0))</f>
        <v>1</v>
      </c>
      <c r="O80" s="2" t="n">
        <f aca="false">INDEX(Summary!$K$2:$K$201,MATCH($B80,Summary!$A$2:$A$201,0))</f>
        <v>10.25</v>
      </c>
      <c r="P80" s="3" t="n">
        <f aca="false">INDEX(Summary!$L$2:$L$201,MATCH($B80,Summary!$A$2:$A$201,0))</f>
        <v>4</v>
      </c>
      <c r="Q80" s="3" t="n">
        <f aca="false">INDEX(Summary!$M$2:$M$201,MATCH($B80,Summary!$A$2:$A$201,0))</f>
        <v>2</v>
      </c>
      <c r="R80" s="2" t="n">
        <f aca="false">INDEX(Summary!$N$2:$N$201,MATCH($B80,Summary!$A$2:$A$201,0))</f>
        <v>11.23</v>
      </c>
      <c r="S80" s="3" t="n">
        <f aca="false">INDEX(Summary!$O$2:$O$201,MATCH($B80,Summary!$A$2:$A$201,0))</f>
        <v>6</v>
      </c>
      <c r="T80" s="3" t="n">
        <f aca="false">INDEX(Summary!$P$2:$P$201,MATCH($B80,Summary!$A$2:$A$201,0))</f>
        <v>3</v>
      </c>
      <c r="U80" s="2" t="n">
        <f aca="false">INDEX(Summary!$Q$2:$Q$201,MATCH($B80,Summary!$A$2:$A$201,0))</f>
        <v>12.13</v>
      </c>
      <c r="V80" s="2" t="n">
        <f aca="false">INDEX(Summary!$R$2:$R$201,MATCH($B80,Summary!$A$2:$A$201,0))</f>
        <v>28.61</v>
      </c>
      <c r="W80" s="0" t="str">
        <f aca="false">INDEX(Summary!$S$2:$S$201,MATCH($B80,Summary!$A$2:$A$201,0))</f>
        <v>Silver</v>
      </c>
      <c r="X80" s="2" t="n">
        <f aca="false">INDEX(Summary!$T$2:$T$201,MATCH($B80,Summary!$A$2:$A$201,0))</f>
        <v>69.78</v>
      </c>
      <c r="Y80" s="0" t="str">
        <f aca="false">INDEX('Reward Model'!$E$18:$E$37,MATCH($E80,'Reward Model'!$A$18:$A$37,0))</f>
        <v>High</v>
      </c>
      <c r="Z80" s="4" t="n">
        <f aca="false">ROUND(MIN(1,MAX('Reward Model'!$B$2,INDEX('Reward Model'!$C$12:$C$14,MATCH($K80,'Reward Model'!$A$12:$A$14,0))/$J80)),3)</f>
        <v>1</v>
      </c>
      <c r="AA80" s="2" t="n">
        <f aca="false">IF($I80="Correct",ROUND(INDEX('Reward Model'!$B$12:$B$14,MATCH($K80,'Reward Model'!$A$12:$A$14,0))*Z80,2),0)</f>
        <v>3</v>
      </c>
      <c r="AB80" s="2" t="n">
        <f aca="false">IF($I80="Correct",ROUND(INDEX('Reward Model'!$B$12:$B$14,MATCH($Y80,'Reward Model'!$A$12:$A$14,0))*Z80,2),0)</f>
        <v>3</v>
      </c>
    </row>
    <row r="81" customFormat="false" ht="15" hidden="false" customHeight="false" outlineLevel="0" collapsed="false">
      <c r="A81" s="0" t="s">
        <v>95</v>
      </c>
      <c r="B81" s="0" t="s">
        <v>96</v>
      </c>
      <c r="C81" s="0" t="s">
        <v>30</v>
      </c>
      <c r="D81" s="0" t="s">
        <v>31</v>
      </c>
      <c r="E81" s="0" t="n">
        <v>20</v>
      </c>
      <c r="F81" s="0" t="s">
        <v>81</v>
      </c>
      <c r="G81" s="0" t="s">
        <v>83</v>
      </c>
      <c r="H81" s="0" t="s">
        <v>83</v>
      </c>
      <c r="I81" s="0" t="s">
        <v>34</v>
      </c>
      <c r="J81" s="0" t="n">
        <v>2.3</v>
      </c>
      <c r="K81" s="0" t="s">
        <v>73</v>
      </c>
      <c r="L81" s="0" t="n">
        <f aca="false">INDEX(Summary!$F$2:$F$201,MATCH($B81,Summary!$A$2:$A$201,0))</f>
        <v>20</v>
      </c>
      <c r="M81" s="0" t="n">
        <f aca="false">INDEX(Summary!$I$2:$I$201,MATCH($B81,Summary!$A$2:$A$201,0))</f>
        <v>4</v>
      </c>
      <c r="N81" s="0" t="n">
        <f aca="false">INDEX(Summary!$J$2:$J$201,MATCH($B81,Summary!$A$2:$A$201,0))</f>
        <v>1</v>
      </c>
      <c r="O81" s="2" t="n">
        <f aca="false">INDEX(Summary!$K$2:$K$201,MATCH($B81,Summary!$A$2:$A$201,0))</f>
        <v>10.25</v>
      </c>
      <c r="P81" s="3" t="n">
        <f aca="false">INDEX(Summary!$L$2:$L$201,MATCH($B81,Summary!$A$2:$A$201,0))</f>
        <v>4</v>
      </c>
      <c r="Q81" s="3" t="n">
        <f aca="false">INDEX(Summary!$M$2:$M$201,MATCH($B81,Summary!$A$2:$A$201,0))</f>
        <v>2</v>
      </c>
      <c r="R81" s="2" t="n">
        <f aca="false">INDEX(Summary!$N$2:$N$201,MATCH($B81,Summary!$A$2:$A$201,0))</f>
        <v>11.23</v>
      </c>
      <c r="S81" s="3" t="n">
        <f aca="false">INDEX(Summary!$O$2:$O$201,MATCH($B81,Summary!$A$2:$A$201,0))</f>
        <v>6</v>
      </c>
      <c r="T81" s="3" t="n">
        <f aca="false">INDEX(Summary!$P$2:$P$201,MATCH($B81,Summary!$A$2:$A$201,0))</f>
        <v>3</v>
      </c>
      <c r="U81" s="2" t="n">
        <f aca="false">INDEX(Summary!$Q$2:$Q$201,MATCH($B81,Summary!$A$2:$A$201,0))</f>
        <v>12.13</v>
      </c>
      <c r="V81" s="2" t="n">
        <f aca="false">INDEX(Summary!$R$2:$R$201,MATCH($B81,Summary!$A$2:$A$201,0))</f>
        <v>28.61</v>
      </c>
      <c r="W81" s="0" t="str">
        <f aca="false">INDEX(Summary!$S$2:$S$201,MATCH($B81,Summary!$A$2:$A$201,0))</f>
        <v>Silver</v>
      </c>
      <c r="X81" s="2" t="n">
        <f aca="false">INDEX(Summary!$T$2:$T$201,MATCH($B81,Summary!$A$2:$A$201,0))</f>
        <v>69.78</v>
      </c>
      <c r="Y81" s="0" t="str">
        <f aca="false">INDEX('Reward Model'!$E$18:$E$37,MATCH($E81,'Reward Model'!$A$18:$A$37,0))</f>
        <v>High</v>
      </c>
      <c r="Z81" s="4" t="n">
        <f aca="false">ROUND(MIN(1,MAX('Reward Model'!$B$2,INDEX('Reward Model'!$C$12:$C$14,MATCH($K81,'Reward Model'!$A$12:$A$14,0))/$J81)),3)</f>
        <v>0.87</v>
      </c>
      <c r="AA81" s="2" t="n">
        <f aca="false">IF($I81="Correct",ROUND(INDEX('Reward Model'!$B$12:$B$14,MATCH($K81,'Reward Model'!$A$12:$A$14,0))*Z81,2),0)</f>
        <v>2.61</v>
      </c>
      <c r="AB81" s="2" t="n">
        <f aca="false">IF($I81="Correct",ROUND(INDEX('Reward Model'!$B$12:$B$14,MATCH($Y81,'Reward Model'!$A$12:$A$14,0))*Z81,2),0)</f>
        <v>2.61</v>
      </c>
    </row>
    <row r="82" customFormat="false" ht="15" hidden="false" customHeight="false" outlineLevel="0" collapsed="false">
      <c r="A82" s="0" t="s">
        <v>102</v>
      </c>
      <c r="B82" s="0" t="s">
        <v>103</v>
      </c>
      <c r="C82" s="0" t="s">
        <v>30</v>
      </c>
      <c r="D82" s="0" t="s">
        <v>31</v>
      </c>
      <c r="E82" s="0" t="n">
        <v>1</v>
      </c>
      <c r="F82" s="0" t="s">
        <v>32</v>
      </c>
      <c r="G82" s="0" t="s">
        <v>91</v>
      </c>
      <c r="H82" s="0" t="s">
        <v>33</v>
      </c>
      <c r="I82" s="0" t="s">
        <v>39</v>
      </c>
      <c r="J82" s="0" t="n">
        <v>1.87</v>
      </c>
      <c r="K82" s="0" t="s">
        <v>35</v>
      </c>
      <c r="L82" s="0" t="n">
        <f aca="false">INDEX(Summary!$F$2:$F$201,MATCH($B82,Summary!$A$2:$A$201,0))</f>
        <v>20</v>
      </c>
      <c r="M82" s="0" t="n">
        <f aca="false">INDEX(Summary!$I$2:$I$201,MATCH($B82,Summary!$A$2:$A$201,0))</f>
        <v>3</v>
      </c>
      <c r="N82" s="0" t="n">
        <f aca="false">INDEX(Summary!$J$2:$J$201,MATCH($B82,Summary!$A$2:$A$201,0))</f>
        <v>2</v>
      </c>
      <c r="O82" s="2" t="n">
        <f aca="false">INDEX(Summary!$K$2:$K$201,MATCH($B82,Summary!$A$2:$A$201,0))</f>
        <v>8.77</v>
      </c>
      <c r="P82" s="3" t="n">
        <f aca="false">INDEX(Summary!$L$2:$L$201,MATCH($B82,Summary!$A$2:$A$201,0))</f>
        <v>4</v>
      </c>
      <c r="Q82" s="3" t="n">
        <f aca="false">INDEX(Summary!$M$2:$M$201,MATCH($B82,Summary!$A$2:$A$201,0))</f>
        <v>2</v>
      </c>
      <c r="R82" s="2" t="n">
        <f aca="false">INDEX(Summary!$N$2:$N$201,MATCH($B82,Summary!$A$2:$A$201,0))</f>
        <v>10.54</v>
      </c>
      <c r="S82" s="3" t="n">
        <f aca="false">INDEX(Summary!$O$2:$O$201,MATCH($B82,Summary!$A$2:$A$201,0))</f>
        <v>8</v>
      </c>
      <c r="T82" s="3" t="n">
        <f aca="false">INDEX(Summary!$P$2:$P$201,MATCH($B82,Summary!$A$2:$A$201,0))</f>
        <v>1</v>
      </c>
      <c r="U82" s="2" t="n">
        <f aca="false">INDEX(Summary!$Q$2:$Q$201,MATCH($B82,Summary!$A$2:$A$201,0))</f>
        <v>14.38</v>
      </c>
      <c r="V82" s="2" t="n">
        <f aca="false">INDEX(Summary!$R$2:$R$201,MATCH($B82,Summary!$A$2:$A$201,0))</f>
        <v>27.4</v>
      </c>
      <c r="W82" s="0" t="str">
        <f aca="false">INDEX(Summary!$S$2:$S$201,MATCH($B82,Summary!$A$2:$A$201,0))</f>
        <v>Silver</v>
      </c>
      <c r="X82" s="2" t="n">
        <f aca="false">INDEX(Summary!$T$2:$T$201,MATCH($B82,Summary!$A$2:$A$201,0))</f>
        <v>66.83</v>
      </c>
      <c r="Y82" s="0" t="str">
        <f aca="false">INDEX('Reward Model'!$E$18:$E$37,MATCH($E82,'Reward Model'!$A$18:$A$37,0))</f>
        <v>Medium</v>
      </c>
      <c r="Z82" s="4" t="n">
        <f aca="false">ROUND(MIN(1,MAX('Reward Model'!$B$2,INDEX('Reward Model'!$C$12:$C$14,MATCH($K82,'Reward Model'!$A$12:$A$14,0))/$J82)),3)</f>
        <v>0.802</v>
      </c>
      <c r="AA82" s="2" t="n">
        <f aca="false">IF($I82="Correct",ROUND(INDEX('Reward Model'!$B$12:$B$14,MATCH($K82,'Reward Model'!$A$12:$A$14,0))*Z82,2),0)</f>
        <v>0</v>
      </c>
      <c r="AB82" s="2" t="n">
        <f aca="false">IF($I82="Correct",ROUND(INDEX('Reward Model'!$B$12:$B$14,MATCH($Y82,'Reward Model'!$A$12:$A$14,0))*Z82,2),0)</f>
        <v>0</v>
      </c>
    </row>
    <row r="83" customFormat="false" ht="15" hidden="false" customHeight="false" outlineLevel="0" collapsed="false">
      <c r="A83" s="0" t="s">
        <v>102</v>
      </c>
      <c r="B83" s="0" t="s">
        <v>103</v>
      </c>
      <c r="C83" s="0" t="s">
        <v>30</v>
      </c>
      <c r="D83" s="0" t="s">
        <v>31</v>
      </c>
      <c r="E83" s="0" t="n">
        <v>2</v>
      </c>
      <c r="F83" s="0" t="s">
        <v>36</v>
      </c>
      <c r="G83" s="0" t="s">
        <v>38</v>
      </c>
      <c r="H83" s="0" t="s">
        <v>38</v>
      </c>
      <c r="I83" s="0" t="s">
        <v>34</v>
      </c>
      <c r="J83" s="0" t="n">
        <v>1.61</v>
      </c>
      <c r="K83" s="0" t="s">
        <v>35</v>
      </c>
      <c r="L83" s="0" t="n">
        <f aca="false">INDEX(Summary!$F$2:$F$201,MATCH($B83,Summary!$A$2:$A$201,0))</f>
        <v>20</v>
      </c>
      <c r="M83" s="0" t="n">
        <f aca="false">INDEX(Summary!$I$2:$I$201,MATCH($B83,Summary!$A$2:$A$201,0))</f>
        <v>3</v>
      </c>
      <c r="N83" s="0" t="n">
        <f aca="false">INDEX(Summary!$J$2:$J$201,MATCH($B83,Summary!$A$2:$A$201,0))</f>
        <v>2</v>
      </c>
      <c r="O83" s="2" t="n">
        <f aca="false">INDEX(Summary!$K$2:$K$201,MATCH($B83,Summary!$A$2:$A$201,0))</f>
        <v>8.77</v>
      </c>
      <c r="P83" s="3" t="n">
        <f aca="false">INDEX(Summary!$L$2:$L$201,MATCH($B83,Summary!$A$2:$A$201,0))</f>
        <v>4</v>
      </c>
      <c r="Q83" s="3" t="n">
        <f aca="false">INDEX(Summary!$M$2:$M$201,MATCH($B83,Summary!$A$2:$A$201,0))</f>
        <v>2</v>
      </c>
      <c r="R83" s="2" t="n">
        <f aca="false">INDEX(Summary!$N$2:$N$201,MATCH($B83,Summary!$A$2:$A$201,0))</f>
        <v>10.54</v>
      </c>
      <c r="S83" s="3" t="n">
        <f aca="false">INDEX(Summary!$O$2:$O$201,MATCH($B83,Summary!$A$2:$A$201,0))</f>
        <v>8</v>
      </c>
      <c r="T83" s="3" t="n">
        <f aca="false">INDEX(Summary!$P$2:$P$201,MATCH($B83,Summary!$A$2:$A$201,0))</f>
        <v>1</v>
      </c>
      <c r="U83" s="2" t="n">
        <f aca="false">INDEX(Summary!$Q$2:$Q$201,MATCH($B83,Summary!$A$2:$A$201,0))</f>
        <v>14.38</v>
      </c>
      <c r="V83" s="2" t="n">
        <f aca="false">INDEX(Summary!$R$2:$R$201,MATCH($B83,Summary!$A$2:$A$201,0))</f>
        <v>27.4</v>
      </c>
      <c r="W83" s="0" t="str">
        <f aca="false">INDEX(Summary!$S$2:$S$201,MATCH($B83,Summary!$A$2:$A$201,0))</f>
        <v>Silver</v>
      </c>
      <c r="X83" s="2" t="n">
        <f aca="false">INDEX(Summary!$T$2:$T$201,MATCH($B83,Summary!$A$2:$A$201,0))</f>
        <v>66.83</v>
      </c>
      <c r="Y83" s="0" t="str">
        <f aca="false">INDEX('Reward Model'!$E$18:$E$37,MATCH($E83,'Reward Model'!$A$18:$A$37,0))</f>
        <v>Low</v>
      </c>
      <c r="Z83" s="4" t="n">
        <f aca="false">ROUND(MIN(1,MAX('Reward Model'!$B$2,INDEX('Reward Model'!$C$12:$C$14,MATCH($K83,'Reward Model'!$A$12:$A$14,0))/$J83)),3)</f>
        <v>0.932</v>
      </c>
      <c r="AA83" s="2" t="n">
        <f aca="false">IF($I83="Correct",ROUND(INDEX('Reward Model'!$B$12:$B$14,MATCH($K83,'Reward Model'!$A$12:$A$14,0))*Z83,2),0)</f>
        <v>0.93</v>
      </c>
      <c r="AB83" s="2" t="n">
        <f aca="false">IF($I83="Correct",ROUND(INDEX('Reward Model'!$B$12:$B$14,MATCH($Y83,'Reward Model'!$A$12:$A$14,0))*Z83,2),0)</f>
        <v>0.93</v>
      </c>
    </row>
    <row r="84" customFormat="false" ht="15" hidden="false" customHeight="false" outlineLevel="0" collapsed="false">
      <c r="A84" s="0" t="s">
        <v>102</v>
      </c>
      <c r="B84" s="0" t="s">
        <v>103</v>
      </c>
      <c r="C84" s="0" t="s">
        <v>30</v>
      </c>
      <c r="D84" s="0" t="s">
        <v>31</v>
      </c>
      <c r="E84" s="0" t="n">
        <v>3</v>
      </c>
      <c r="F84" s="0" t="s">
        <v>40</v>
      </c>
      <c r="G84" s="0" t="s">
        <v>42</v>
      </c>
      <c r="H84" s="0" t="s">
        <v>42</v>
      </c>
      <c r="I84" s="0" t="s">
        <v>34</v>
      </c>
      <c r="J84" s="0" t="n">
        <v>1.35</v>
      </c>
      <c r="K84" s="0" t="s">
        <v>35</v>
      </c>
      <c r="L84" s="0" t="n">
        <f aca="false">INDEX(Summary!$F$2:$F$201,MATCH($B84,Summary!$A$2:$A$201,0))</f>
        <v>20</v>
      </c>
      <c r="M84" s="0" t="n">
        <f aca="false">INDEX(Summary!$I$2:$I$201,MATCH($B84,Summary!$A$2:$A$201,0))</f>
        <v>3</v>
      </c>
      <c r="N84" s="0" t="n">
        <f aca="false">INDEX(Summary!$J$2:$J$201,MATCH($B84,Summary!$A$2:$A$201,0))</f>
        <v>2</v>
      </c>
      <c r="O84" s="2" t="n">
        <f aca="false">INDEX(Summary!$K$2:$K$201,MATCH($B84,Summary!$A$2:$A$201,0))</f>
        <v>8.77</v>
      </c>
      <c r="P84" s="3" t="n">
        <f aca="false">INDEX(Summary!$L$2:$L$201,MATCH($B84,Summary!$A$2:$A$201,0))</f>
        <v>4</v>
      </c>
      <c r="Q84" s="3" t="n">
        <f aca="false">INDEX(Summary!$M$2:$M$201,MATCH($B84,Summary!$A$2:$A$201,0))</f>
        <v>2</v>
      </c>
      <c r="R84" s="2" t="n">
        <f aca="false">INDEX(Summary!$N$2:$N$201,MATCH($B84,Summary!$A$2:$A$201,0))</f>
        <v>10.54</v>
      </c>
      <c r="S84" s="3" t="n">
        <f aca="false">INDEX(Summary!$O$2:$O$201,MATCH($B84,Summary!$A$2:$A$201,0))</f>
        <v>8</v>
      </c>
      <c r="T84" s="3" t="n">
        <f aca="false">INDEX(Summary!$P$2:$P$201,MATCH($B84,Summary!$A$2:$A$201,0))</f>
        <v>1</v>
      </c>
      <c r="U84" s="2" t="n">
        <f aca="false">INDEX(Summary!$Q$2:$Q$201,MATCH($B84,Summary!$A$2:$A$201,0))</f>
        <v>14.38</v>
      </c>
      <c r="V84" s="2" t="n">
        <f aca="false">INDEX(Summary!$R$2:$R$201,MATCH($B84,Summary!$A$2:$A$201,0))</f>
        <v>27.4</v>
      </c>
      <c r="W84" s="0" t="str">
        <f aca="false">INDEX(Summary!$S$2:$S$201,MATCH($B84,Summary!$A$2:$A$201,0))</f>
        <v>Silver</v>
      </c>
      <c r="X84" s="2" t="n">
        <f aca="false">INDEX(Summary!$T$2:$T$201,MATCH($B84,Summary!$A$2:$A$201,0))</f>
        <v>66.83</v>
      </c>
      <c r="Y84" s="0" t="str">
        <f aca="false">INDEX('Reward Model'!$E$18:$E$37,MATCH($E84,'Reward Model'!$A$18:$A$37,0))</f>
        <v>Medium</v>
      </c>
      <c r="Z84" s="4" t="n">
        <f aca="false">ROUND(MIN(1,MAX('Reward Model'!$B$2,INDEX('Reward Model'!$C$12:$C$14,MATCH($K84,'Reward Model'!$A$12:$A$14,0))/$J84)),3)</f>
        <v>1</v>
      </c>
      <c r="AA84" s="2" t="n">
        <f aca="false">IF($I84="Correct",ROUND(INDEX('Reward Model'!$B$12:$B$14,MATCH($K84,'Reward Model'!$A$12:$A$14,0))*Z84,2),0)</f>
        <v>1</v>
      </c>
      <c r="AB84" s="2" t="n">
        <f aca="false">IF($I84="Correct",ROUND(INDEX('Reward Model'!$B$12:$B$14,MATCH($Y84,'Reward Model'!$A$12:$A$14,0))*Z84,2),0)</f>
        <v>2</v>
      </c>
    </row>
    <row r="85" customFormat="false" ht="15" hidden="false" customHeight="false" outlineLevel="0" collapsed="false">
      <c r="A85" s="0" t="s">
        <v>102</v>
      </c>
      <c r="B85" s="0" t="s">
        <v>103</v>
      </c>
      <c r="C85" s="0" t="s">
        <v>30</v>
      </c>
      <c r="D85" s="0" t="s">
        <v>31</v>
      </c>
      <c r="E85" s="0" t="n">
        <v>4</v>
      </c>
      <c r="F85" s="0" t="s">
        <v>43</v>
      </c>
      <c r="G85" s="0" t="s">
        <v>45</v>
      </c>
      <c r="H85" s="0" t="s">
        <v>45</v>
      </c>
      <c r="I85" s="0" t="s">
        <v>34</v>
      </c>
      <c r="J85" s="0" t="n">
        <v>1.76</v>
      </c>
      <c r="K85" s="0" t="s">
        <v>35</v>
      </c>
      <c r="L85" s="0" t="n">
        <f aca="false">INDEX(Summary!$F$2:$F$201,MATCH($B85,Summary!$A$2:$A$201,0))</f>
        <v>20</v>
      </c>
      <c r="M85" s="0" t="n">
        <f aca="false">INDEX(Summary!$I$2:$I$201,MATCH($B85,Summary!$A$2:$A$201,0))</f>
        <v>3</v>
      </c>
      <c r="N85" s="0" t="n">
        <f aca="false">INDEX(Summary!$J$2:$J$201,MATCH($B85,Summary!$A$2:$A$201,0))</f>
        <v>2</v>
      </c>
      <c r="O85" s="2" t="n">
        <f aca="false">INDEX(Summary!$K$2:$K$201,MATCH($B85,Summary!$A$2:$A$201,0))</f>
        <v>8.77</v>
      </c>
      <c r="P85" s="3" t="n">
        <f aca="false">INDEX(Summary!$L$2:$L$201,MATCH($B85,Summary!$A$2:$A$201,0))</f>
        <v>4</v>
      </c>
      <c r="Q85" s="3" t="n">
        <f aca="false">INDEX(Summary!$M$2:$M$201,MATCH($B85,Summary!$A$2:$A$201,0))</f>
        <v>2</v>
      </c>
      <c r="R85" s="2" t="n">
        <f aca="false">INDEX(Summary!$N$2:$N$201,MATCH($B85,Summary!$A$2:$A$201,0))</f>
        <v>10.54</v>
      </c>
      <c r="S85" s="3" t="n">
        <f aca="false">INDEX(Summary!$O$2:$O$201,MATCH($B85,Summary!$A$2:$A$201,0))</f>
        <v>8</v>
      </c>
      <c r="T85" s="3" t="n">
        <f aca="false">INDEX(Summary!$P$2:$P$201,MATCH($B85,Summary!$A$2:$A$201,0))</f>
        <v>1</v>
      </c>
      <c r="U85" s="2" t="n">
        <f aca="false">INDEX(Summary!$Q$2:$Q$201,MATCH($B85,Summary!$A$2:$A$201,0))</f>
        <v>14.38</v>
      </c>
      <c r="V85" s="2" t="n">
        <f aca="false">INDEX(Summary!$R$2:$R$201,MATCH($B85,Summary!$A$2:$A$201,0))</f>
        <v>27.4</v>
      </c>
      <c r="W85" s="0" t="str">
        <f aca="false">INDEX(Summary!$S$2:$S$201,MATCH($B85,Summary!$A$2:$A$201,0))</f>
        <v>Silver</v>
      </c>
      <c r="X85" s="2" t="n">
        <f aca="false">INDEX(Summary!$T$2:$T$201,MATCH($B85,Summary!$A$2:$A$201,0))</f>
        <v>66.83</v>
      </c>
      <c r="Y85" s="0" t="str">
        <f aca="false">INDEX('Reward Model'!$E$18:$E$37,MATCH($E85,'Reward Model'!$A$18:$A$37,0))</f>
        <v>Low</v>
      </c>
      <c r="Z85" s="4" t="n">
        <f aca="false">ROUND(MIN(1,MAX('Reward Model'!$B$2,INDEX('Reward Model'!$C$12:$C$14,MATCH($K85,'Reward Model'!$A$12:$A$14,0))/$J85)),3)</f>
        <v>0.852</v>
      </c>
      <c r="AA85" s="2" t="n">
        <f aca="false">IF($I85="Correct",ROUND(INDEX('Reward Model'!$B$12:$B$14,MATCH($K85,'Reward Model'!$A$12:$A$14,0))*Z85,2),0)</f>
        <v>0.85</v>
      </c>
      <c r="AB85" s="2" t="n">
        <f aca="false">IF($I85="Correct",ROUND(INDEX('Reward Model'!$B$12:$B$14,MATCH($Y85,'Reward Model'!$A$12:$A$14,0))*Z85,2),0)</f>
        <v>0.85</v>
      </c>
    </row>
    <row r="86" customFormat="false" ht="15" hidden="false" customHeight="false" outlineLevel="0" collapsed="false">
      <c r="A86" s="0" t="s">
        <v>102</v>
      </c>
      <c r="B86" s="0" t="s">
        <v>103</v>
      </c>
      <c r="C86" s="0" t="s">
        <v>30</v>
      </c>
      <c r="D86" s="0" t="s">
        <v>31</v>
      </c>
      <c r="E86" s="0" t="n">
        <v>5</v>
      </c>
      <c r="F86" s="0" t="s">
        <v>46</v>
      </c>
      <c r="G86" s="0" t="s">
        <v>47</v>
      </c>
      <c r="H86" s="0" t="s">
        <v>47</v>
      </c>
      <c r="I86" s="0" t="s">
        <v>34</v>
      </c>
      <c r="J86" s="0" t="n">
        <v>1.83</v>
      </c>
      <c r="K86" s="0" t="s">
        <v>35</v>
      </c>
      <c r="L86" s="0" t="n">
        <f aca="false">INDEX(Summary!$F$2:$F$201,MATCH($B86,Summary!$A$2:$A$201,0))</f>
        <v>20</v>
      </c>
      <c r="M86" s="0" t="n">
        <f aca="false">INDEX(Summary!$I$2:$I$201,MATCH($B86,Summary!$A$2:$A$201,0))</f>
        <v>3</v>
      </c>
      <c r="N86" s="0" t="n">
        <f aca="false">INDEX(Summary!$J$2:$J$201,MATCH($B86,Summary!$A$2:$A$201,0))</f>
        <v>2</v>
      </c>
      <c r="O86" s="2" t="n">
        <f aca="false">INDEX(Summary!$K$2:$K$201,MATCH($B86,Summary!$A$2:$A$201,0))</f>
        <v>8.77</v>
      </c>
      <c r="P86" s="3" t="n">
        <f aca="false">INDEX(Summary!$L$2:$L$201,MATCH($B86,Summary!$A$2:$A$201,0))</f>
        <v>4</v>
      </c>
      <c r="Q86" s="3" t="n">
        <f aca="false">INDEX(Summary!$M$2:$M$201,MATCH($B86,Summary!$A$2:$A$201,0))</f>
        <v>2</v>
      </c>
      <c r="R86" s="2" t="n">
        <f aca="false">INDEX(Summary!$N$2:$N$201,MATCH($B86,Summary!$A$2:$A$201,0))</f>
        <v>10.54</v>
      </c>
      <c r="S86" s="3" t="n">
        <f aca="false">INDEX(Summary!$O$2:$O$201,MATCH($B86,Summary!$A$2:$A$201,0))</f>
        <v>8</v>
      </c>
      <c r="T86" s="3" t="n">
        <f aca="false">INDEX(Summary!$P$2:$P$201,MATCH($B86,Summary!$A$2:$A$201,0))</f>
        <v>1</v>
      </c>
      <c r="U86" s="2" t="n">
        <f aca="false">INDEX(Summary!$Q$2:$Q$201,MATCH($B86,Summary!$A$2:$A$201,0))</f>
        <v>14.38</v>
      </c>
      <c r="V86" s="2" t="n">
        <f aca="false">INDEX(Summary!$R$2:$R$201,MATCH($B86,Summary!$A$2:$A$201,0))</f>
        <v>27.4</v>
      </c>
      <c r="W86" s="0" t="str">
        <f aca="false">INDEX(Summary!$S$2:$S$201,MATCH($B86,Summary!$A$2:$A$201,0))</f>
        <v>Silver</v>
      </c>
      <c r="X86" s="2" t="n">
        <f aca="false">INDEX(Summary!$T$2:$T$201,MATCH($B86,Summary!$A$2:$A$201,0))</f>
        <v>66.83</v>
      </c>
      <c r="Y86" s="0" t="str">
        <f aca="false">INDEX('Reward Model'!$E$18:$E$37,MATCH($E86,'Reward Model'!$A$18:$A$37,0))</f>
        <v>Low</v>
      </c>
      <c r="Z86" s="4" t="n">
        <f aca="false">ROUND(MIN(1,MAX('Reward Model'!$B$2,INDEX('Reward Model'!$C$12:$C$14,MATCH($K86,'Reward Model'!$A$12:$A$14,0))/$J86)),3)</f>
        <v>0.82</v>
      </c>
      <c r="AA86" s="2" t="n">
        <f aca="false">IF($I86="Correct",ROUND(INDEX('Reward Model'!$B$12:$B$14,MATCH($K86,'Reward Model'!$A$12:$A$14,0))*Z86,2),0)</f>
        <v>0.82</v>
      </c>
      <c r="AB86" s="2" t="n">
        <f aca="false">IF($I86="Correct",ROUND(INDEX('Reward Model'!$B$12:$B$14,MATCH($Y86,'Reward Model'!$A$12:$A$14,0))*Z86,2),0)</f>
        <v>0.82</v>
      </c>
    </row>
    <row r="87" customFormat="false" ht="15" hidden="false" customHeight="false" outlineLevel="0" collapsed="false">
      <c r="A87" s="0" t="s">
        <v>102</v>
      </c>
      <c r="B87" s="0" t="s">
        <v>103</v>
      </c>
      <c r="C87" s="0" t="s">
        <v>30</v>
      </c>
      <c r="D87" s="0" t="s">
        <v>31</v>
      </c>
      <c r="E87" s="0" t="n">
        <v>6</v>
      </c>
      <c r="F87" s="0" t="s">
        <v>48</v>
      </c>
      <c r="G87" s="0" t="s">
        <v>49</v>
      </c>
      <c r="H87" s="0" t="s">
        <v>49</v>
      </c>
      <c r="I87" s="0" t="s">
        <v>34</v>
      </c>
      <c r="J87" s="0" t="n">
        <v>1.64</v>
      </c>
      <c r="K87" s="0" t="s">
        <v>35</v>
      </c>
      <c r="L87" s="0" t="n">
        <f aca="false">INDEX(Summary!$F$2:$F$201,MATCH($B87,Summary!$A$2:$A$201,0))</f>
        <v>20</v>
      </c>
      <c r="M87" s="0" t="n">
        <f aca="false">INDEX(Summary!$I$2:$I$201,MATCH($B87,Summary!$A$2:$A$201,0))</f>
        <v>3</v>
      </c>
      <c r="N87" s="0" t="n">
        <f aca="false">INDEX(Summary!$J$2:$J$201,MATCH($B87,Summary!$A$2:$A$201,0))</f>
        <v>2</v>
      </c>
      <c r="O87" s="2" t="n">
        <f aca="false">INDEX(Summary!$K$2:$K$201,MATCH($B87,Summary!$A$2:$A$201,0))</f>
        <v>8.77</v>
      </c>
      <c r="P87" s="3" t="n">
        <f aca="false">INDEX(Summary!$L$2:$L$201,MATCH($B87,Summary!$A$2:$A$201,0))</f>
        <v>4</v>
      </c>
      <c r="Q87" s="3" t="n">
        <f aca="false">INDEX(Summary!$M$2:$M$201,MATCH($B87,Summary!$A$2:$A$201,0))</f>
        <v>2</v>
      </c>
      <c r="R87" s="2" t="n">
        <f aca="false">INDEX(Summary!$N$2:$N$201,MATCH($B87,Summary!$A$2:$A$201,0))</f>
        <v>10.54</v>
      </c>
      <c r="S87" s="3" t="n">
        <f aca="false">INDEX(Summary!$O$2:$O$201,MATCH($B87,Summary!$A$2:$A$201,0))</f>
        <v>8</v>
      </c>
      <c r="T87" s="3" t="n">
        <f aca="false">INDEX(Summary!$P$2:$P$201,MATCH($B87,Summary!$A$2:$A$201,0))</f>
        <v>1</v>
      </c>
      <c r="U87" s="2" t="n">
        <f aca="false">INDEX(Summary!$Q$2:$Q$201,MATCH($B87,Summary!$A$2:$A$201,0))</f>
        <v>14.38</v>
      </c>
      <c r="V87" s="2" t="n">
        <f aca="false">INDEX(Summary!$R$2:$R$201,MATCH($B87,Summary!$A$2:$A$201,0))</f>
        <v>27.4</v>
      </c>
      <c r="W87" s="0" t="str">
        <f aca="false">INDEX(Summary!$S$2:$S$201,MATCH($B87,Summary!$A$2:$A$201,0))</f>
        <v>Silver</v>
      </c>
      <c r="X87" s="2" t="n">
        <f aca="false">INDEX(Summary!$T$2:$T$201,MATCH($B87,Summary!$A$2:$A$201,0))</f>
        <v>66.83</v>
      </c>
      <c r="Y87" s="0" t="str">
        <f aca="false">INDEX('Reward Model'!$E$18:$E$37,MATCH($E87,'Reward Model'!$A$18:$A$37,0))</f>
        <v>Medium</v>
      </c>
      <c r="Z87" s="4" t="n">
        <f aca="false">ROUND(MIN(1,MAX('Reward Model'!$B$2,INDEX('Reward Model'!$C$12:$C$14,MATCH($K87,'Reward Model'!$A$12:$A$14,0))/$J87)),3)</f>
        <v>0.915</v>
      </c>
      <c r="AA87" s="2" t="n">
        <f aca="false">IF($I87="Correct",ROUND(INDEX('Reward Model'!$B$12:$B$14,MATCH($K87,'Reward Model'!$A$12:$A$14,0))*Z87,2),0)</f>
        <v>0.92</v>
      </c>
      <c r="AB87" s="2" t="n">
        <f aca="false">IF($I87="Correct",ROUND(INDEX('Reward Model'!$B$12:$B$14,MATCH($Y87,'Reward Model'!$A$12:$A$14,0))*Z87,2),0)</f>
        <v>1.83</v>
      </c>
    </row>
    <row r="88" customFormat="false" ht="15" hidden="false" customHeight="false" outlineLevel="0" collapsed="false">
      <c r="A88" s="0" t="s">
        <v>102</v>
      </c>
      <c r="B88" s="0" t="s">
        <v>103</v>
      </c>
      <c r="C88" s="0" t="s">
        <v>30</v>
      </c>
      <c r="D88" s="0" t="s">
        <v>31</v>
      </c>
      <c r="E88" s="0" t="n">
        <v>7</v>
      </c>
      <c r="F88" s="0" t="s">
        <v>50</v>
      </c>
      <c r="G88" s="0" t="s">
        <v>51</v>
      </c>
      <c r="H88" s="0" t="s">
        <v>51</v>
      </c>
      <c r="I88" s="0" t="s">
        <v>34</v>
      </c>
      <c r="J88" s="0" t="n">
        <v>1.96</v>
      </c>
      <c r="K88" s="0" t="s">
        <v>35</v>
      </c>
      <c r="L88" s="0" t="n">
        <f aca="false">INDEX(Summary!$F$2:$F$201,MATCH($B88,Summary!$A$2:$A$201,0))</f>
        <v>20</v>
      </c>
      <c r="M88" s="0" t="n">
        <f aca="false">INDEX(Summary!$I$2:$I$201,MATCH($B88,Summary!$A$2:$A$201,0))</f>
        <v>3</v>
      </c>
      <c r="N88" s="0" t="n">
        <f aca="false">INDEX(Summary!$J$2:$J$201,MATCH($B88,Summary!$A$2:$A$201,0))</f>
        <v>2</v>
      </c>
      <c r="O88" s="2" t="n">
        <f aca="false">INDEX(Summary!$K$2:$K$201,MATCH($B88,Summary!$A$2:$A$201,0))</f>
        <v>8.77</v>
      </c>
      <c r="P88" s="3" t="n">
        <f aca="false">INDEX(Summary!$L$2:$L$201,MATCH($B88,Summary!$A$2:$A$201,0))</f>
        <v>4</v>
      </c>
      <c r="Q88" s="3" t="n">
        <f aca="false">INDEX(Summary!$M$2:$M$201,MATCH($B88,Summary!$A$2:$A$201,0))</f>
        <v>2</v>
      </c>
      <c r="R88" s="2" t="n">
        <f aca="false">INDEX(Summary!$N$2:$N$201,MATCH($B88,Summary!$A$2:$A$201,0))</f>
        <v>10.54</v>
      </c>
      <c r="S88" s="3" t="n">
        <f aca="false">INDEX(Summary!$O$2:$O$201,MATCH($B88,Summary!$A$2:$A$201,0))</f>
        <v>8</v>
      </c>
      <c r="T88" s="3" t="n">
        <f aca="false">INDEX(Summary!$P$2:$P$201,MATCH($B88,Summary!$A$2:$A$201,0))</f>
        <v>1</v>
      </c>
      <c r="U88" s="2" t="n">
        <f aca="false">INDEX(Summary!$Q$2:$Q$201,MATCH($B88,Summary!$A$2:$A$201,0))</f>
        <v>14.38</v>
      </c>
      <c r="V88" s="2" t="n">
        <f aca="false">INDEX(Summary!$R$2:$R$201,MATCH($B88,Summary!$A$2:$A$201,0))</f>
        <v>27.4</v>
      </c>
      <c r="W88" s="0" t="str">
        <f aca="false">INDEX(Summary!$S$2:$S$201,MATCH($B88,Summary!$A$2:$A$201,0))</f>
        <v>Silver</v>
      </c>
      <c r="X88" s="2" t="n">
        <f aca="false">INDEX(Summary!$T$2:$T$201,MATCH($B88,Summary!$A$2:$A$201,0))</f>
        <v>66.83</v>
      </c>
      <c r="Y88" s="0" t="str">
        <f aca="false">INDEX('Reward Model'!$E$18:$E$37,MATCH($E88,'Reward Model'!$A$18:$A$37,0))</f>
        <v>Low</v>
      </c>
      <c r="Z88" s="4" t="n">
        <f aca="false">ROUND(MIN(1,MAX('Reward Model'!$B$2,INDEX('Reward Model'!$C$12:$C$14,MATCH($K88,'Reward Model'!$A$12:$A$14,0))/$J88)),3)</f>
        <v>0.765</v>
      </c>
      <c r="AA88" s="2" t="n">
        <f aca="false">IF($I88="Correct",ROUND(INDEX('Reward Model'!$B$12:$B$14,MATCH($K88,'Reward Model'!$A$12:$A$14,0))*Z88,2),0)</f>
        <v>0.77</v>
      </c>
      <c r="AB88" s="2" t="n">
        <f aca="false">IF($I88="Correct",ROUND(INDEX('Reward Model'!$B$12:$B$14,MATCH($Y88,'Reward Model'!$A$12:$A$14,0))*Z88,2),0)</f>
        <v>0.77</v>
      </c>
    </row>
    <row r="89" customFormat="false" ht="15" hidden="false" customHeight="false" outlineLevel="0" collapsed="false">
      <c r="A89" s="0" t="s">
        <v>102</v>
      </c>
      <c r="B89" s="0" t="s">
        <v>103</v>
      </c>
      <c r="C89" s="0" t="s">
        <v>30</v>
      </c>
      <c r="D89" s="0" t="s">
        <v>31</v>
      </c>
      <c r="E89" s="0" t="n">
        <v>8</v>
      </c>
      <c r="F89" s="0" t="s">
        <v>52</v>
      </c>
      <c r="G89" s="0" t="s">
        <v>54</v>
      </c>
      <c r="H89" s="0" t="s">
        <v>54</v>
      </c>
      <c r="I89" s="0" t="s">
        <v>34</v>
      </c>
      <c r="J89" s="0" t="n">
        <v>1.29</v>
      </c>
      <c r="K89" s="0" t="s">
        <v>35</v>
      </c>
      <c r="L89" s="0" t="n">
        <f aca="false">INDEX(Summary!$F$2:$F$201,MATCH($B89,Summary!$A$2:$A$201,0))</f>
        <v>20</v>
      </c>
      <c r="M89" s="0" t="n">
        <f aca="false">INDEX(Summary!$I$2:$I$201,MATCH($B89,Summary!$A$2:$A$201,0))</f>
        <v>3</v>
      </c>
      <c r="N89" s="0" t="n">
        <f aca="false">INDEX(Summary!$J$2:$J$201,MATCH($B89,Summary!$A$2:$A$201,0))</f>
        <v>2</v>
      </c>
      <c r="O89" s="2" t="n">
        <f aca="false">INDEX(Summary!$K$2:$K$201,MATCH($B89,Summary!$A$2:$A$201,0))</f>
        <v>8.77</v>
      </c>
      <c r="P89" s="3" t="n">
        <f aca="false">INDEX(Summary!$L$2:$L$201,MATCH($B89,Summary!$A$2:$A$201,0))</f>
        <v>4</v>
      </c>
      <c r="Q89" s="3" t="n">
        <f aca="false">INDEX(Summary!$M$2:$M$201,MATCH($B89,Summary!$A$2:$A$201,0))</f>
        <v>2</v>
      </c>
      <c r="R89" s="2" t="n">
        <f aca="false">INDEX(Summary!$N$2:$N$201,MATCH($B89,Summary!$A$2:$A$201,0))</f>
        <v>10.54</v>
      </c>
      <c r="S89" s="3" t="n">
        <f aca="false">INDEX(Summary!$O$2:$O$201,MATCH($B89,Summary!$A$2:$A$201,0))</f>
        <v>8</v>
      </c>
      <c r="T89" s="3" t="n">
        <f aca="false">INDEX(Summary!$P$2:$P$201,MATCH($B89,Summary!$A$2:$A$201,0))</f>
        <v>1</v>
      </c>
      <c r="U89" s="2" t="n">
        <f aca="false">INDEX(Summary!$Q$2:$Q$201,MATCH($B89,Summary!$A$2:$A$201,0))</f>
        <v>14.38</v>
      </c>
      <c r="V89" s="2" t="n">
        <f aca="false">INDEX(Summary!$R$2:$R$201,MATCH($B89,Summary!$A$2:$A$201,0))</f>
        <v>27.4</v>
      </c>
      <c r="W89" s="0" t="str">
        <f aca="false">INDEX(Summary!$S$2:$S$201,MATCH($B89,Summary!$A$2:$A$201,0))</f>
        <v>Silver</v>
      </c>
      <c r="X89" s="2" t="n">
        <f aca="false">INDEX(Summary!$T$2:$T$201,MATCH($B89,Summary!$A$2:$A$201,0))</f>
        <v>66.83</v>
      </c>
      <c r="Y89" s="0" t="str">
        <f aca="false">INDEX('Reward Model'!$E$18:$E$37,MATCH($E89,'Reward Model'!$A$18:$A$37,0))</f>
        <v>Medium</v>
      </c>
      <c r="Z89" s="4" t="n">
        <f aca="false">ROUND(MIN(1,MAX('Reward Model'!$B$2,INDEX('Reward Model'!$C$12:$C$14,MATCH($K89,'Reward Model'!$A$12:$A$14,0))/$J89)),3)</f>
        <v>1</v>
      </c>
      <c r="AA89" s="2" t="n">
        <f aca="false">IF($I89="Correct",ROUND(INDEX('Reward Model'!$B$12:$B$14,MATCH($K89,'Reward Model'!$A$12:$A$14,0))*Z89,2),0)</f>
        <v>1</v>
      </c>
      <c r="AB89" s="2" t="n">
        <f aca="false">IF($I89="Correct",ROUND(INDEX('Reward Model'!$B$12:$B$14,MATCH($Y89,'Reward Model'!$A$12:$A$14,0))*Z89,2),0)</f>
        <v>2</v>
      </c>
    </row>
    <row r="90" customFormat="false" ht="15" hidden="false" customHeight="false" outlineLevel="0" collapsed="false">
      <c r="A90" s="0" t="s">
        <v>102</v>
      </c>
      <c r="B90" s="0" t="s">
        <v>103</v>
      </c>
      <c r="C90" s="0" t="s">
        <v>30</v>
      </c>
      <c r="D90" s="0" t="s">
        <v>31</v>
      </c>
      <c r="E90" s="0" t="n">
        <v>9</v>
      </c>
      <c r="F90" s="0" t="s">
        <v>55</v>
      </c>
      <c r="G90" s="0" t="s">
        <v>57</v>
      </c>
      <c r="H90" s="0" t="s">
        <v>57</v>
      </c>
      <c r="I90" s="0" t="s">
        <v>34</v>
      </c>
      <c r="J90" s="0" t="n">
        <v>1.07</v>
      </c>
      <c r="K90" s="0" t="s">
        <v>35</v>
      </c>
      <c r="L90" s="0" t="n">
        <f aca="false">INDEX(Summary!$F$2:$F$201,MATCH($B90,Summary!$A$2:$A$201,0))</f>
        <v>20</v>
      </c>
      <c r="M90" s="0" t="n">
        <f aca="false">INDEX(Summary!$I$2:$I$201,MATCH($B90,Summary!$A$2:$A$201,0))</f>
        <v>3</v>
      </c>
      <c r="N90" s="0" t="n">
        <f aca="false">INDEX(Summary!$J$2:$J$201,MATCH($B90,Summary!$A$2:$A$201,0))</f>
        <v>2</v>
      </c>
      <c r="O90" s="2" t="n">
        <f aca="false">INDEX(Summary!$K$2:$K$201,MATCH($B90,Summary!$A$2:$A$201,0))</f>
        <v>8.77</v>
      </c>
      <c r="P90" s="3" t="n">
        <f aca="false">INDEX(Summary!$L$2:$L$201,MATCH($B90,Summary!$A$2:$A$201,0))</f>
        <v>4</v>
      </c>
      <c r="Q90" s="3" t="n">
        <f aca="false">INDEX(Summary!$M$2:$M$201,MATCH($B90,Summary!$A$2:$A$201,0))</f>
        <v>2</v>
      </c>
      <c r="R90" s="2" t="n">
        <f aca="false">INDEX(Summary!$N$2:$N$201,MATCH($B90,Summary!$A$2:$A$201,0))</f>
        <v>10.54</v>
      </c>
      <c r="S90" s="3" t="n">
        <f aca="false">INDEX(Summary!$O$2:$O$201,MATCH($B90,Summary!$A$2:$A$201,0))</f>
        <v>8</v>
      </c>
      <c r="T90" s="3" t="n">
        <f aca="false">INDEX(Summary!$P$2:$P$201,MATCH($B90,Summary!$A$2:$A$201,0))</f>
        <v>1</v>
      </c>
      <c r="U90" s="2" t="n">
        <f aca="false">INDEX(Summary!$Q$2:$Q$201,MATCH($B90,Summary!$A$2:$A$201,0))</f>
        <v>14.38</v>
      </c>
      <c r="V90" s="2" t="n">
        <f aca="false">INDEX(Summary!$R$2:$R$201,MATCH($B90,Summary!$A$2:$A$201,0))</f>
        <v>27.4</v>
      </c>
      <c r="W90" s="0" t="str">
        <f aca="false">INDEX(Summary!$S$2:$S$201,MATCH($B90,Summary!$A$2:$A$201,0))</f>
        <v>Silver</v>
      </c>
      <c r="X90" s="2" t="n">
        <f aca="false">INDEX(Summary!$T$2:$T$201,MATCH($B90,Summary!$A$2:$A$201,0))</f>
        <v>66.83</v>
      </c>
      <c r="Y90" s="0" t="str">
        <f aca="false">INDEX('Reward Model'!$E$18:$E$37,MATCH($E90,'Reward Model'!$A$18:$A$37,0))</f>
        <v>Medium</v>
      </c>
      <c r="Z90" s="4" t="n">
        <f aca="false">ROUND(MIN(1,MAX('Reward Model'!$B$2,INDEX('Reward Model'!$C$12:$C$14,MATCH($K90,'Reward Model'!$A$12:$A$14,0))/$J90)),3)</f>
        <v>1</v>
      </c>
      <c r="AA90" s="2" t="n">
        <f aca="false">IF($I90="Correct",ROUND(INDEX('Reward Model'!$B$12:$B$14,MATCH($K90,'Reward Model'!$A$12:$A$14,0))*Z90,2),0)</f>
        <v>1</v>
      </c>
      <c r="AB90" s="2" t="n">
        <f aca="false">IF($I90="Correct",ROUND(INDEX('Reward Model'!$B$12:$B$14,MATCH($Y90,'Reward Model'!$A$12:$A$14,0))*Z90,2),0)</f>
        <v>2</v>
      </c>
    </row>
    <row r="91" customFormat="false" ht="15" hidden="false" customHeight="false" outlineLevel="0" collapsed="false">
      <c r="A91" s="0" t="s">
        <v>102</v>
      </c>
      <c r="B91" s="0" t="s">
        <v>103</v>
      </c>
      <c r="C91" s="0" t="s">
        <v>30</v>
      </c>
      <c r="D91" s="0" t="s">
        <v>31</v>
      </c>
      <c r="E91" s="0" t="n">
        <v>10</v>
      </c>
      <c r="F91" s="0" t="s">
        <v>58</v>
      </c>
      <c r="G91" s="0" t="s">
        <v>99</v>
      </c>
      <c r="H91" s="0" t="s">
        <v>59</v>
      </c>
      <c r="I91" s="0" t="s">
        <v>39</v>
      </c>
      <c r="J91" s="0" t="n">
        <v>1.92</v>
      </c>
      <c r="K91" s="0" t="s">
        <v>60</v>
      </c>
      <c r="L91" s="0" t="n">
        <f aca="false">INDEX(Summary!$F$2:$F$201,MATCH($B91,Summary!$A$2:$A$201,0))</f>
        <v>20</v>
      </c>
      <c r="M91" s="0" t="n">
        <f aca="false">INDEX(Summary!$I$2:$I$201,MATCH($B91,Summary!$A$2:$A$201,0))</f>
        <v>3</v>
      </c>
      <c r="N91" s="0" t="n">
        <f aca="false">INDEX(Summary!$J$2:$J$201,MATCH($B91,Summary!$A$2:$A$201,0))</f>
        <v>2</v>
      </c>
      <c r="O91" s="2" t="n">
        <f aca="false">INDEX(Summary!$K$2:$K$201,MATCH($B91,Summary!$A$2:$A$201,0))</f>
        <v>8.77</v>
      </c>
      <c r="P91" s="3" t="n">
        <f aca="false">INDEX(Summary!$L$2:$L$201,MATCH($B91,Summary!$A$2:$A$201,0))</f>
        <v>4</v>
      </c>
      <c r="Q91" s="3" t="n">
        <f aca="false">INDEX(Summary!$M$2:$M$201,MATCH($B91,Summary!$A$2:$A$201,0))</f>
        <v>2</v>
      </c>
      <c r="R91" s="2" t="n">
        <f aca="false">INDEX(Summary!$N$2:$N$201,MATCH($B91,Summary!$A$2:$A$201,0))</f>
        <v>10.54</v>
      </c>
      <c r="S91" s="3" t="n">
        <f aca="false">INDEX(Summary!$O$2:$O$201,MATCH($B91,Summary!$A$2:$A$201,0))</f>
        <v>8</v>
      </c>
      <c r="T91" s="3" t="n">
        <f aca="false">INDEX(Summary!$P$2:$P$201,MATCH($B91,Summary!$A$2:$A$201,0))</f>
        <v>1</v>
      </c>
      <c r="U91" s="2" t="n">
        <f aca="false">INDEX(Summary!$Q$2:$Q$201,MATCH($B91,Summary!$A$2:$A$201,0))</f>
        <v>14.38</v>
      </c>
      <c r="V91" s="2" t="n">
        <f aca="false">INDEX(Summary!$R$2:$R$201,MATCH($B91,Summary!$A$2:$A$201,0))</f>
        <v>27.4</v>
      </c>
      <c r="W91" s="0" t="str">
        <f aca="false">INDEX(Summary!$S$2:$S$201,MATCH($B91,Summary!$A$2:$A$201,0))</f>
        <v>Silver</v>
      </c>
      <c r="X91" s="2" t="n">
        <f aca="false">INDEX(Summary!$T$2:$T$201,MATCH($B91,Summary!$A$2:$A$201,0))</f>
        <v>66.83</v>
      </c>
      <c r="Y91" s="0" t="str">
        <f aca="false">INDEX('Reward Model'!$E$18:$E$37,MATCH($E91,'Reward Model'!$A$18:$A$37,0))</f>
        <v>Medium</v>
      </c>
      <c r="Z91" s="4" t="n">
        <f aca="false">ROUND(MIN(1,MAX('Reward Model'!$B$2,INDEX('Reward Model'!$C$12:$C$14,MATCH($K91,'Reward Model'!$A$12:$A$14,0))/$J91)),3)</f>
        <v>0.938</v>
      </c>
      <c r="AA91" s="2" t="n">
        <f aca="false">IF($I91="Correct",ROUND(INDEX('Reward Model'!$B$12:$B$14,MATCH($K91,'Reward Model'!$A$12:$A$14,0))*Z91,2),0)</f>
        <v>0</v>
      </c>
      <c r="AB91" s="2" t="n">
        <f aca="false">IF($I91="Correct",ROUND(INDEX('Reward Model'!$B$12:$B$14,MATCH($Y91,'Reward Model'!$A$12:$A$14,0))*Z91,2),0)</f>
        <v>0</v>
      </c>
    </row>
    <row r="92" customFormat="false" ht="15" hidden="false" customHeight="false" outlineLevel="0" collapsed="false">
      <c r="A92" s="0" t="s">
        <v>102</v>
      </c>
      <c r="B92" s="0" t="s">
        <v>103</v>
      </c>
      <c r="C92" s="0" t="s">
        <v>30</v>
      </c>
      <c r="D92" s="0" t="s">
        <v>31</v>
      </c>
      <c r="E92" s="0" t="n">
        <v>11</v>
      </c>
      <c r="F92" s="0" t="s">
        <v>61</v>
      </c>
      <c r="G92" s="0" t="s">
        <v>62</v>
      </c>
      <c r="H92" s="0" t="s">
        <v>63</v>
      </c>
      <c r="I92" s="0" t="s">
        <v>39</v>
      </c>
      <c r="J92" s="0" t="n">
        <v>1.36</v>
      </c>
      <c r="K92" s="0" t="s">
        <v>60</v>
      </c>
      <c r="L92" s="0" t="n">
        <f aca="false">INDEX(Summary!$F$2:$F$201,MATCH($B92,Summary!$A$2:$A$201,0))</f>
        <v>20</v>
      </c>
      <c r="M92" s="0" t="n">
        <f aca="false">INDEX(Summary!$I$2:$I$201,MATCH($B92,Summary!$A$2:$A$201,0))</f>
        <v>3</v>
      </c>
      <c r="N92" s="0" t="n">
        <f aca="false">INDEX(Summary!$J$2:$J$201,MATCH($B92,Summary!$A$2:$A$201,0))</f>
        <v>2</v>
      </c>
      <c r="O92" s="2" t="n">
        <f aca="false">INDEX(Summary!$K$2:$K$201,MATCH($B92,Summary!$A$2:$A$201,0))</f>
        <v>8.77</v>
      </c>
      <c r="P92" s="3" t="n">
        <f aca="false">INDEX(Summary!$L$2:$L$201,MATCH($B92,Summary!$A$2:$A$201,0))</f>
        <v>4</v>
      </c>
      <c r="Q92" s="3" t="n">
        <f aca="false">INDEX(Summary!$M$2:$M$201,MATCH($B92,Summary!$A$2:$A$201,0))</f>
        <v>2</v>
      </c>
      <c r="R92" s="2" t="n">
        <f aca="false">INDEX(Summary!$N$2:$N$201,MATCH($B92,Summary!$A$2:$A$201,0))</f>
        <v>10.54</v>
      </c>
      <c r="S92" s="3" t="n">
        <f aca="false">INDEX(Summary!$O$2:$O$201,MATCH($B92,Summary!$A$2:$A$201,0))</f>
        <v>8</v>
      </c>
      <c r="T92" s="3" t="n">
        <f aca="false">INDEX(Summary!$P$2:$P$201,MATCH($B92,Summary!$A$2:$A$201,0))</f>
        <v>1</v>
      </c>
      <c r="U92" s="2" t="n">
        <f aca="false">INDEX(Summary!$Q$2:$Q$201,MATCH($B92,Summary!$A$2:$A$201,0))</f>
        <v>14.38</v>
      </c>
      <c r="V92" s="2" t="n">
        <f aca="false">INDEX(Summary!$R$2:$R$201,MATCH($B92,Summary!$A$2:$A$201,0))</f>
        <v>27.4</v>
      </c>
      <c r="W92" s="0" t="str">
        <f aca="false">INDEX(Summary!$S$2:$S$201,MATCH($B92,Summary!$A$2:$A$201,0))</f>
        <v>Silver</v>
      </c>
      <c r="X92" s="2" t="n">
        <f aca="false">INDEX(Summary!$T$2:$T$201,MATCH($B92,Summary!$A$2:$A$201,0))</f>
        <v>66.83</v>
      </c>
      <c r="Y92" s="0" t="str">
        <f aca="false">INDEX('Reward Model'!$E$18:$E$37,MATCH($E92,'Reward Model'!$A$18:$A$37,0))</f>
        <v>Medium</v>
      </c>
      <c r="Z92" s="4" t="n">
        <f aca="false">ROUND(MIN(1,MAX('Reward Model'!$B$2,INDEX('Reward Model'!$C$12:$C$14,MATCH($K92,'Reward Model'!$A$12:$A$14,0))/$J92)),3)</f>
        <v>1</v>
      </c>
      <c r="AA92" s="2" t="n">
        <f aca="false">IF($I92="Correct",ROUND(INDEX('Reward Model'!$B$12:$B$14,MATCH($K92,'Reward Model'!$A$12:$A$14,0))*Z92,2),0)</f>
        <v>0</v>
      </c>
      <c r="AB92" s="2" t="n">
        <f aca="false">IF($I92="Correct",ROUND(INDEX('Reward Model'!$B$12:$B$14,MATCH($Y92,'Reward Model'!$A$12:$A$14,0))*Z92,2),0)</f>
        <v>0</v>
      </c>
    </row>
    <row r="93" customFormat="false" ht="15" hidden="false" customHeight="false" outlineLevel="0" collapsed="false">
      <c r="A93" s="0" t="s">
        <v>102</v>
      </c>
      <c r="B93" s="0" t="s">
        <v>103</v>
      </c>
      <c r="C93" s="0" t="s">
        <v>30</v>
      </c>
      <c r="D93" s="0" t="s">
        <v>31</v>
      </c>
      <c r="E93" s="0" t="n">
        <v>12</v>
      </c>
      <c r="F93" s="0" t="s">
        <v>64</v>
      </c>
      <c r="G93" s="0" t="s">
        <v>65</v>
      </c>
      <c r="H93" s="0" t="s">
        <v>65</v>
      </c>
      <c r="I93" s="0" t="s">
        <v>34</v>
      </c>
      <c r="J93" s="0" t="n">
        <v>1.84</v>
      </c>
      <c r="K93" s="0" t="s">
        <v>60</v>
      </c>
      <c r="L93" s="0" t="n">
        <f aca="false">INDEX(Summary!$F$2:$F$201,MATCH($B93,Summary!$A$2:$A$201,0))</f>
        <v>20</v>
      </c>
      <c r="M93" s="0" t="n">
        <f aca="false">INDEX(Summary!$I$2:$I$201,MATCH($B93,Summary!$A$2:$A$201,0))</f>
        <v>3</v>
      </c>
      <c r="N93" s="0" t="n">
        <f aca="false">INDEX(Summary!$J$2:$J$201,MATCH($B93,Summary!$A$2:$A$201,0))</f>
        <v>2</v>
      </c>
      <c r="O93" s="2" t="n">
        <f aca="false">INDEX(Summary!$K$2:$K$201,MATCH($B93,Summary!$A$2:$A$201,0))</f>
        <v>8.77</v>
      </c>
      <c r="P93" s="3" t="n">
        <f aca="false">INDEX(Summary!$L$2:$L$201,MATCH($B93,Summary!$A$2:$A$201,0))</f>
        <v>4</v>
      </c>
      <c r="Q93" s="3" t="n">
        <f aca="false">INDEX(Summary!$M$2:$M$201,MATCH($B93,Summary!$A$2:$A$201,0))</f>
        <v>2</v>
      </c>
      <c r="R93" s="2" t="n">
        <f aca="false">INDEX(Summary!$N$2:$N$201,MATCH($B93,Summary!$A$2:$A$201,0))</f>
        <v>10.54</v>
      </c>
      <c r="S93" s="3" t="n">
        <f aca="false">INDEX(Summary!$O$2:$O$201,MATCH($B93,Summary!$A$2:$A$201,0))</f>
        <v>8</v>
      </c>
      <c r="T93" s="3" t="n">
        <f aca="false">INDEX(Summary!$P$2:$P$201,MATCH($B93,Summary!$A$2:$A$201,0))</f>
        <v>1</v>
      </c>
      <c r="U93" s="2" t="n">
        <f aca="false">INDEX(Summary!$Q$2:$Q$201,MATCH($B93,Summary!$A$2:$A$201,0))</f>
        <v>14.38</v>
      </c>
      <c r="V93" s="2" t="n">
        <f aca="false">INDEX(Summary!$R$2:$R$201,MATCH($B93,Summary!$A$2:$A$201,0))</f>
        <v>27.4</v>
      </c>
      <c r="W93" s="0" t="str">
        <f aca="false">INDEX(Summary!$S$2:$S$201,MATCH($B93,Summary!$A$2:$A$201,0))</f>
        <v>Silver</v>
      </c>
      <c r="X93" s="2" t="n">
        <f aca="false">INDEX(Summary!$T$2:$T$201,MATCH($B93,Summary!$A$2:$A$201,0))</f>
        <v>66.83</v>
      </c>
      <c r="Y93" s="0" t="str">
        <f aca="false">INDEX('Reward Model'!$E$18:$E$37,MATCH($E93,'Reward Model'!$A$18:$A$37,0))</f>
        <v>Medium</v>
      </c>
      <c r="Z93" s="4" t="n">
        <f aca="false">ROUND(MIN(1,MAX('Reward Model'!$B$2,INDEX('Reward Model'!$C$12:$C$14,MATCH($K93,'Reward Model'!$A$12:$A$14,0))/$J93)),3)</f>
        <v>0.978</v>
      </c>
      <c r="AA93" s="2" t="n">
        <f aca="false">IF($I93="Correct",ROUND(INDEX('Reward Model'!$B$12:$B$14,MATCH($K93,'Reward Model'!$A$12:$A$14,0))*Z93,2),0)</f>
        <v>1.96</v>
      </c>
      <c r="AB93" s="2" t="n">
        <f aca="false">IF($I93="Correct",ROUND(INDEX('Reward Model'!$B$12:$B$14,MATCH($Y93,'Reward Model'!$A$12:$A$14,0))*Z93,2),0)</f>
        <v>1.96</v>
      </c>
    </row>
    <row r="94" customFormat="false" ht="15" hidden="false" customHeight="false" outlineLevel="0" collapsed="false">
      <c r="A94" s="0" t="s">
        <v>102</v>
      </c>
      <c r="B94" s="0" t="s">
        <v>103</v>
      </c>
      <c r="C94" s="0" t="s">
        <v>30</v>
      </c>
      <c r="D94" s="0" t="s">
        <v>31</v>
      </c>
      <c r="E94" s="0" t="n">
        <v>13</v>
      </c>
      <c r="F94" s="0" t="s">
        <v>66</v>
      </c>
      <c r="G94" s="0" t="s">
        <v>67</v>
      </c>
      <c r="H94" s="0" t="s">
        <v>67</v>
      </c>
      <c r="I94" s="0" t="s">
        <v>34</v>
      </c>
      <c r="J94" s="0" t="n">
        <v>1.44</v>
      </c>
      <c r="K94" s="0" t="s">
        <v>60</v>
      </c>
      <c r="L94" s="0" t="n">
        <f aca="false">INDEX(Summary!$F$2:$F$201,MATCH($B94,Summary!$A$2:$A$201,0))</f>
        <v>20</v>
      </c>
      <c r="M94" s="0" t="n">
        <f aca="false">INDEX(Summary!$I$2:$I$201,MATCH($B94,Summary!$A$2:$A$201,0))</f>
        <v>3</v>
      </c>
      <c r="N94" s="0" t="n">
        <f aca="false">INDEX(Summary!$J$2:$J$201,MATCH($B94,Summary!$A$2:$A$201,0))</f>
        <v>2</v>
      </c>
      <c r="O94" s="2" t="n">
        <f aca="false">INDEX(Summary!$K$2:$K$201,MATCH($B94,Summary!$A$2:$A$201,0))</f>
        <v>8.77</v>
      </c>
      <c r="P94" s="3" t="n">
        <f aca="false">INDEX(Summary!$L$2:$L$201,MATCH($B94,Summary!$A$2:$A$201,0))</f>
        <v>4</v>
      </c>
      <c r="Q94" s="3" t="n">
        <f aca="false">INDEX(Summary!$M$2:$M$201,MATCH($B94,Summary!$A$2:$A$201,0))</f>
        <v>2</v>
      </c>
      <c r="R94" s="2" t="n">
        <f aca="false">INDEX(Summary!$N$2:$N$201,MATCH($B94,Summary!$A$2:$A$201,0))</f>
        <v>10.54</v>
      </c>
      <c r="S94" s="3" t="n">
        <f aca="false">INDEX(Summary!$O$2:$O$201,MATCH($B94,Summary!$A$2:$A$201,0))</f>
        <v>8</v>
      </c>
      <c r="T94" s="3" t="n">
        <f aca="false">INDEX(Summary!$P$2:$P$201,MATCH($B94,Summary!$A$2:$A$201,0))</f>
        <v>1</v>
      </c>
      <c r="U94" s="2" t="n">
        <f aca="false">INDEX(Summary!$Q$2:$Q$201,MATCH($B94,Summary!$A$2:$A$201,0))</f>
        <v>14.38</v>
      </c>
      <c r="V94" s="2" t="n">
        <f aca="false">INDEX(Summary!$R$2:$R$201,MATCH($B94,Summary!$A$2:$A$201,0))</f>
        <v>27.4</v>
      </c>
      <c r="W94" s="0" t="str">
        <f aca="false">INDEX(Summary!$S$2:$S$201,MATCH($B94,Summary!$A$2:$A$201,0))</f>
        <v>Silver</v>
      </c>
      <c r="X94" s="2" t="n">
        <f aca="false">INDEX(Summary!$T$2:$T$201,MATCH($B94,Summary!$A$2:$A$201,0))</f>
        <v>66.83</v>
      </c>
      <c r="Y94" s="0" t="str">
        <f aca="false">INDEX('Reward Model'!$E$18:$E$37,MATCH($E94,'Reward Model'!$A$18:$A$37,0))</f>
        <v>Medium</v>
      </c>
      <c r="Z94" s="4" t="n">
        <f aca="false">ROUND(MIN(1,MAX('Reward Model'!$B$2,INDEX('Reward Model'!$C$12:$C$14,MATCH($K94,'Reward Model'!$A$12:$A$14,0))/$J94)),3)</f>
        <v>1</v>
      </c>
      <c r="AA94" s="2" t="n">
        <f aca="false">IF($I94="Correct",ROUND(INDEX('Reward Model'!$B$12:$B$14,MATCH($K94,'Reward Model'!$A$12:$A$14,0))*Z94,2),0)</f>
        <v>2</v>
      </c>
      <c r="AB94" s="2" t="n">
        <f aca="false">IF($I94="Correct",ROUND(INDEX('Reward Model'!$B$12:$B$14,MATCH($Y94,'Reward Model'!$A$12:$A$14,0))*Z94,2),0)</f>
        <v>2</v>
      </c>
    </row>
    <row r="95" customFormat="false" ht="15" hidden="false" customHeight="false" outlineLevel="0" collapsed="false">
      <c r="A95" s="0" t="s">
        <v>102</v>
      </c>
      <c r="B95" s="0" t="s">
        <v>103</v>
      </c>
      <c r="C95" s="0" t="s">
        <v>30</v>
      </c>
      <c r="D95" s="0" t="s">
        <v>31</v>
      </c>
      <c r="E95" s="0" t="n">
        <v>14</v>
      </c>
      <c r="F95" s="0" t="s">
        <v>68</v>
      </c>
      <c r="G95" s="0" t="s">
        <v>51</v>
      </c>
      <c r="H95" s="0" t="s">
        <v>51</v>
      </c>
      <c r="I95" s="0" t="s">
        <v>34</v>
      </c>
      <c r="J95" s="0" t="n">
        <v>2</v>
      </c>
      <c r="K95" s="0" t="s">
        <v>60</v>
      </c>
      <c r="L95" s="0" t="n">
        <f aca="false">INDEX(Summary!$F$2:$F$201,MATCH($B95,Summary!$A$2:$A$201,0))</f>
        <v>20</v>
      </c>
      <c r="M95" s="0" t="n">
        <f aca="false">INDEX(Summary!$I$2:$I$201,MATCH($B95,Summary!$A$2:$A$201,0))</f>
        <v>3</v>
      </c>
      <c r="N95" s="0" t="n">
        <f aca="false">INDEX(Summary!$J$2:$J$201,MATCH($B95,Summary!$A$2:$A$201,0))</f>
        <v>2</v>
      </c>
      <c r="O95" s="2" t="n">
        <f aca="false">INDEX(Summary!$K$2:$K$201,MATCH($B95,Summary!$A$2:$A$201,0))</f>
        <v>8.77</v>
      </c>
      <c r="P95" s="3" t="n">
        <f aca="false">INDEX(Summary!$L$2:$L$201,MATCH($B95,Summary!$A$2:$A$201,0))</f>
        <v>4</v>
      </c>
      <c r="Q95" s="3" t="n">
        <f aca="false">INDEX(Summary!$M$2:$M$201,MATCH($B95,Summary!$A$2:$A$201,0))</f>
        <v>2</v>
      </c>
      <c r="R95" s="2" t="n">
        <f aca="false">INDEX(Summary!$N$2:$N$201,MATCH($B95,Summary!$A$2:$A$201,0))</f>
        <v>10.54</v>
      </c>
      <c r="S95" s="3" t="n">
        <f aca="false">INDEX(Summary!$O$2:$O$201,MATCH($B95,Summary!$A$2:$A$201,0))</f>
        <v>8</v>
      </c>
      <c r="T95" s="3" t="n">
        <f aca="false">INDEX(Summary!$P$2:$P$201,MATCH($B95,Summary!$A$2:$A$201,0))</f>
        <v>1</v>
      </c>
      <c r="U95" s="2" t="n">
        <f aca="false">INDEX(Summary!$Q$2:$Q$201,MATCH($B95,Summary!$A$2:$A$201,0))</f>
        <v>14.38</v>
      </c>
      <c r="V95" s="2" t="n">
        <f aca="false">INDEX(Summary!$R$2:$R$201,MATCH($B95,Summary!$A$2:$A$201,0))</f>
        <v>27.4</v>
      </c>
      <c r="W95" s="0" t="str">
        <f aca="false">INDEX(Summary!$S$2:$S$201,MATCH($B95,Summary!$A$2:$A$201,0))</f>
        <v>Silver</v>
      </c>
      <c r="X95" s="2" t="n">
        <f aca="false">INDEX(Summary!$T$2:$T$201,MATCH($B95,Summary!$A$2:$A$201,0))</f>
        <v>66.83</v>
      </c>
      <c r="Y95" s="0" t="str">
        <f aca="false">INDEX('Reward Model'!$E$18:$E$37,MATCH($E95,'Reward Model'!$A$18:$A$37,0))</f>
        <v>Medium</v>
      </c>
      <c r="Z95" s="4" t="n">
        <f aca="false">ROUND(MIN(1,MAX('Reward Model'!$B$2,INDEX('Reward Model'!$C$12:$C$14,MATCH($K95,'Reward Model'!$A$12:$A$14,0))/$J95)),3)</f>
        <v>0.9</v>
      </c>
      <c r="AA95" s="2" t="n">
        <f aca="false">IF($I95="Correct",ROUND(INDEX('Reward Model'!$B$12:$B$14,MATCH($K95,'Reward Model'!$A$12:$A$14,0))*Z95,2),0)</f>
        <v>1.8</v>
      </c>
      <c r="AB95" s="2" t="n">
        <f aca="false">IF($I95="Correct",ROUND(INDEX('Reward Model'!$B$12:$B$14,MATCH($Y95,'Reward Model'!$A$12:$A$14,0))*Z95,2),0)</f>
        <v>1.8</v>
      </c>
    </row>
    <row r="96" customFormat="false" ht="15" hidden="false" customHeight="false" outlineLevel="0" collapsed="false">
      <c r="A96" s="0" t="s">
        <v>102</v>
      </c>
      <c r="B96" s="0" t="s">
        <v>103</v>
      </c>
      <c r="C96" s="0" t="s">
        <v>30</v>
      </c>
      <c r="D96" s="0" t="s">
        <v>31</v>
      </c>
      <c r="E96" s="0" t="n">
        <v>15</v>
      </c>
      <c r="F96" s="0" t="s">
        <v>69</v>
      </c>
      <c r="G96" s="0" t="s">
        <v>70</v>
      </c>
      <c r="H96" s="0" t="s">
        <v>70</v>
      </c>
      <c r="I96" s="0" t="s">
        <v>34</v>
      </c>
      <c r="J96" s="0" t="n">
        <v>1.98</v>
      </c>
      <c r="K96" s="0" t="s">
        <v>60</v>
      </c>
      <c r="L96" s="0" t="n">
        <f aca="false">INDEX(Summary!$F$2:$F$201,MATCH($B96,Summary!$A$2:$A$201,0))</f>
        <v>20</v>
      </c>
      <c r="M96" s="0" t="n">
        <f aca="false">INDEX(Summary!$I$2:$I$201,MATCH($B96,Summary!$A$2:$A$201,0))</f>
        <v>3</v>
      </c>
      <c r="N96" s="0" t="n">
        <f aca="false">INDEX(Summary!$J$2:$J$201,MATCH($B96,Summary!$A$2:$A$201,0))</f>
        <v>2</v>
      </c>
      <c r="O96" s="2" t="n">
        <f aca="false">INDEX(Summary!$K$2:$K$201,MATCH($B96,Summary!$A$2:$A$201,0))</f>
        <v>8.77</v>
      </c>
      <c r="P96" s="3" t="n">
        <f aca="false">INDEX(Summary!$L$2:$L$201,MATCH($B96,Summary!$A$2:$A$201,0))</f>
        <v>4</v>
      </c>
      <c r="Q96" s="3" t="n">
        <f aca="false">INDEX(Summary!$M$2:$M$201,MATCH($B96,Summary!$A$2:$A$201,0))</f>
        <v>2</v>
      </c>
      <c r="R96" s="2" t="n">
        <f aca="false">INDEX(Summary!$N$2:$N$201,MATCH($B96,Summary!$A$2:$A$201,0))</f>
        <v>10.54</v>
      </c>
      <c r="S96" s="3" t="n">
        <f aca="false">INDEX(Summary!$O$2:$O$201,MATCH($B96,Summary!$A$2:$A$201,0))</f>
        <v>8</v>
      </c>
      <c r="T96" s="3" t="n">
        <f aca="false">INDEX(Summary!$P$2:$P$201,MATCH($B96,Summary!$A$2:$A$201,0))</f>
        <v>1</v>
      </c>
      <c r="U96" s="2" t="n">
        <f aca="false">INDEX(Summary!$Q$2:$Q$201,MATCH($B96,Summary!$A$2:$A$201,0))</f>
        <v>14.38</v>
      </c>
      <c r="V96" s="2" t="n">
        <f aca="false">INDEX(Summary!$R$2:$R$201,MATCH($B96,Summary!$A$2:$A$201,0))</f>
        <v>27.4</v>
      </c>
      <c r="W96" s="0" t="str">
        <f aca="false">INDEX(Summary!$S$2:$S$201,MATCH($B96,Summary!$A$2:$A$201,0))</f>
        <v>Silver</v>
      </c>
      <c r="X96" s="2" t="n">
        <f aca="false">INDEX(Summary!$T$2:$T$201,MATCH($B96,Summary!$A$2:$A$201,0))</f>
        <v>66.83</v>
      </c>
      <c r="Y96" s="0" t="str">
        <f aca="false">INDEX('Reward Model'!$E$18:$E$37,MATCH($E96,'Reward Model'!$A$18:$A$37,0))</f>
        <v>Medium</v>
      </c>
      <c r="Z96" s="4" t="n">
        <f aca="false">ROUND(MIN(1,MAX('Reward Model'!$B$2,INDEX('Reward Model'!$C$12:$C$14,MATCH($K96,'Reward Model'!$A$12:$A$14,0))/$J96)),3)</f>
        <v>0.909</v>
      </c>
      <c r="AA96" s="2" t="n">
        <f aca="false">IF($I96="Correct",ROUND(INDEX('Reward Model'!$B$12:$B$14,MATCH($K96,'Reward Model'!$A$12:$A$14,0))*Z96,2),0)</f>
        <v>1.82</v>
      </c>
      <c r="AB96" s="2" t="n">
        <f aca="false">IF($I96="Correct",ROUND(INDEX('Reward Model'!$B$12:$B$14,MATCH($Y96,'Reward Model'!$A$12:$A$14,0))*Z96,2),0)</f>
        <v>1.82</v>
      </c>
    </row>
    <row r="97" customFormat="false" ht="15" hidden="false" customHeight="false" outlineLevel="0" collapsed="false">
      <c r="A97" s="0" t="s">
        <v>102</v>
      </c>
      <c r="B97" s="0" t="s">
        <v>103</v>
      </c>
      <c r="C97" s="0" t="s">
        <v>30</v>
      </c>
      <c r="D97" s="0" t="s">
        <v>31</v>
      </c>
      <c r="E97" s="0" t="n">
        <v>16</v>
      </c>
      <c r="F97" s="0" t="s">
        <v>71</v>
      </c>
      <c r="G97" s="0" t="s">
        <v>104</v>
      </c>
      <c r="H97" s="0" t="s">
        <v>72</v>
      </c>
      <c r="I97" s="0" t="s">
        <v>39</v>
      </c>
      <c r="J97" s="0" t="n">
        <v>1.61</v>
      </c>
      <c r="K97" s="0" t="s">
        <v>73</v>
      </c>
      <c r="L97" s="0" t="n">
        <f aca="false">INDEX(Summary!$F$2:$F$201,MATCH($B97,Summary!$A$2:$A$201,0))</f>
        <v>20</v>
      </c>
      <c r="M97" s="0" t="n">
        <f aca="false">INDEX(Summary!$I$2:$I$201,MATCH($B97,Summary!$A$2:$A$201,0))</f>
        <v>3</v>
      </c>
      <c r="N97" s="0" t="n">
        <f aca="false">INDEX(Summary!$J$2:$J$201,MATCH($B97,Summary!$A$2:$A$201,0))</f>
        <v>2</v>
      </c>
      <c r="O97" s="2" t="n">
        <f aca="false">INDEX(Summary!$K$2:$K$201,MATCH($B97,Summary!$A$2:$A$201,0))</f>
        <v>8.77</v>
      </c>
      <c r="P97" s="3" t="n">
        <f aca="false">INDEX(Summary!$L$2:$L$201,MATCH($B97,Summary!$A$2:$A$201,0))</f>
        <v>4</v>
      </c>
      <c r="Q97" s="3" t="n">
        <f aca="false">INDEX(Summary!$M$2:$M$201,MATCH($B97,Summary!$A$2:$A$201,0))</f>
        <v>2</v>
      </c>
      <c r="R97" s="2" t="n">
        <f aca="false">INDEX(Summary!$N$2:$N$201,MATCH($B97,Summary!$A$2:$A$201,0))</f>
        <v>10.54</v>
      </c>
      <c r="S97" s="3" t="n">
        <f aca="false">INDEX(Summary!$O$2:$O$201,MATCH($B97,Summary!$A$2:$A$201,0))</f>
        <v>8</v>
      </c>
      <c r="T97" s="3" t="n">
        <f aca="false">INDEX(Summary!$P$2:$P$201,MATCH($B97,Summary!$A$2:$A$201,0))</f>
        <v>1</v>
      </c>
      <c r="U97" s="2" t="n">
        <f aca="false">INDEX(Summary!$Q$2:$Q$201,MATCH($B97,Summary!$A$2:$A$201,0))</f>
        <v>14.38</v>
      </c>
      <c r="V97" s="2" t="n">
        <f aca="false">INDEX(Summary!$R$2:$R$201,MATCH($B97,Summary!$A$2:$A$201,0))</f>
        <v>27.4</v>
      </c>
      <c r="W97" s="0" t="str">
        <f aca="false">INDEX(Summary!$S$2:$S$201,MATCH($B97,Summary!$A$2:$A$201,0))</f>
        <v>Silver</v>
      </c>
      <c r="X97" s="2" t="n">
        <f aca="false">INDEX(Summary!$T$2:$T$201,MATCH($B97,Summary!$A$2:$A$201,0))</f>
        <v>66.83</v>
      </c>
      <c r="Y97" s="0" t="str">
        <f aca="false">INDEX('Reward Model'!$E$18:$E$37,MATCH($E97,'Reward Model'!$A$18:$A$37,0))</f>
        <v>High</v>
      </c>
      <c r="Z97" s="4" t="n">
        <f aca="false">ROUND(MIN(1,MAX('Reward Model'!$B$2,INDEX('Reward Model'!$C$12:$C$14,MATCH($K97,'Reward Model'!$A$12:$A$14,0))/$J97)),3)</f>
        <v>1</v>
      </c>
      <c r="AA97" s="2" t="n">
        <f aca="false">IF($I97="Correct",ROUND(INDEX('Reward Model'!$B$12:$B$14,MATCH($K97,'Reward Model'!$A$12:$A$14,0))*Z97,2),0)</f>
        <v>0</v>
      </c>
      <c r="AB97" s="2" t="n">
        <f aca="false">IF($I97="Correct",ROUND(INDEX('Reward Model'!$B$12:$B$14,MATCH($Y97,'Reward Model'!$A$12:$A$14,0))*Z97,2),0)</f>
        <v>0</v>
      </c>
    </row>
    <row r="98" customFormat="false" ht="15" hidden="false" customHeight="false" outlineLevel="0" collapsed="false">
      <c r="A98" s="0" t="s">
        <v>102</v>
      </c>
      <c r="B98" s="0" t="s">
        <v>103</v>
      </c>
      <c r="C98" s="0" t="s">
        <v>30</v>
      </c>
      <c r="D98" s="0" t="s">
        <v>31</v>
      </c>
      <c r="E98" s="0" t="n">
        <v>17</v>
      </c>
      <c r="F98" s="0" t="s">
        <v>74</v>
      </c>
      <c r="G98" s="0" t="s">
        <v>105</v>
      </c>
      <c r="H98" s="0" t="s">
        <v>75</v>
      </c>
      <c r="I98" s="0" t="s">
        <v>39</v>
      </c>
      <c r="J98" s="0" t="n">
        <v>2.14</v>
      </c>
      <c r="K98" s="0" t="s">
        <v>73</v>
      </c>
      <c r="L98" s="0" t="n">
        <f aca="false">INDEX(Summary!$F$2:$F$201,MATCH($B98,Summary!$A$2:$A$201,0))</f>
        <v>20</v>
      </c>
      <c r="M98" s="0" t="n">
        <f aca="false">INDEX(Summary!$I$2:$I$201,MATCH($B98,Summary!$A$2:$A$201,0))</f>
        <v>3</v>
      </c>
      <c r="N98" s="0" t="n">
        <f aca="false">INDEX(Summary!$J$2:$J$201,MATCH($B98,Summary!$A$2:$A$201,0))</f>
        <v>2</v>
      </c>
      <c r="O98" s="2" t="n">
        <f aca="false">INDEX(Summary!$K$2:$K$201,MATCH($B98,Summary!$A$2:$A$201,0))</f>
        <v>8.77</v>
      </c>
      <c r="P98" s="3" t="n">
        <f aca="false">INDEX(Summary!$L$2:$L$201,MATCH($B98,Summary!$A$2:$A$201,0))</f>
        <v>4</v>
      </c>
      <c r="Q98" s="3" t="n">
        <f aca="false">INDEX(Summary!$M$2:$M$201,MATCH($B98,Summary!$A$2:$A$201,0))</f>
        <v>2</v>
      </c>
      <c r="R98" s="2" t="n">
        <f aca="false">INDEX(Summary!$N$2:$N$201,MATCH($B98,Summary!$A$2:$A$201,0))</f>
        <v>10.54</v>
      </c>
      <c r="S98" s="3" t="n">
        <f aca="false">INDEX(Summary!$O$2:$O$201,MATCH($B98,Summary!$A$2:$A$201,0))</f>
        <v>8</v>
      </c>
      <c r="T98" s="3" t="n">
        <f aca="false">INDEX(Summary!$P$2:$P$201,MATCH($B98,Summary!$A$2:$A$201,0))</f>
        <v>1</v>
      </c>
      <c r="U98" s="2" t="n">
        <f aca="false">INDEX(Summary!$Q$2:$Q$201,MATCH($B98,Summary!$A$2:$A$201,0))</f>
        <v>14.38</v>
      </c>
      <c r="V98" s="2" t="n">
        <f aca="false">INDEX(Summary!$R$2:$R$201,MATCH($B98,Summary!$A$2:$A$201,0))</f>
        <v>27.4</v>
      </c>
      <c r="W98" s="0" t="str">
        <f aca="false">INDEX(Summary!$S$2:$S$201,MATCH($B98,Summary!$A$2:$A$201,0))</f>
        <v>Silver</v>
      </c>
      <c r="X98" s="2" t="n">
        <f aca="false">INDEX(Summary!$T$2:$T$201,MATCH($B98,Summary!$A$2:$A$201,0))</f>
        <v>66.83</v>
      </c>
      <c r="Y98" s="0" t="str">
        <f aca="false">INDEX('Reward Model'!$E$18:$E$37,MATCH($E98,'Reward Model'!$A$18:$A$37,0))</f>
        <v>High</v>
      </c>
      <c r="Z98" s="4" t="n">
        <f aca="false">ROUND(MIN(1,MAX('Reward Model'!$B$2,INDEX('Reward Model'!$C$12:$C$14,MATCH($K98,'Reward Model'!$A$12:$A$14,0))/$J98)),3)</f>
        <v>0.935</v>
      </c>
      <c r="AA98" s="2" t="n">
        <f aca="false">IF($I98="Correct",ROUND(INDEX('Reward Model'!$B$12:$B$14,MATCH($K98,'Reward Model'!$A$12:$A$14,0))*Z98,2),0)</f>
        <v>0</v>
      </c>
      <c r="AB98" s="2" t="n">
        <f aca="false">IF($I98="Correct",ROUND(INDEX('Reward Model'!$B$12:$B$14,MATCH($Y98,'Reward Model'!$A$12:$A$14,0))*Z98,2),0)</f>
        <v>0</v>
      </c>
    </row>
    <row r="99" customFormat="false" ht="15" hidden="false" customHeight="false" outlineLevel="0" collapsed="false">
      <c r="A99" s="0" t="s">
        <v>102</v>
      </c>
      <c r="B99" s="0" t="s">
        <v>103</v>
      </c>
      <c r="C99" s="0" t="s">
        <v>30</v>
      </c>
      <c r="D99" s="0" t="s">
        <v>31</v>
      </c>
      <c r="E99" s="0" t="n">
        <v>18</v>
      </c>
      <c r="F99" s="0" t="s">
        <v>76</v>
      </c>
      <c r="G99" s="0" t="s">
        <v>77</v>
      </c>
      <c r="H99" s="0" t="s">
        <v>77</v>
      </c>
      <c r="I99" s="0" t="s">
        <v>34</v>
      </c>
      <c r="J99" s="0" t="n">
        <v>1.39</v>
      </c>
      <c r="K99" s="0" t="s">
        <v>73</v>
      </c>
      <c r="L99" s="0" t="n">
        <f aca="false">INDEX(Summary!$F$2:$F$201,MATCH($B99,Summary!$A$2:$A$201,0))</f>
        <v>20</v>
      </c>
      <c r="M99" s="0" t="n">
        <f aca="false">INDEX(Summary!$I$2:$I$201,MATCH($B99,Summary!$A$2:$A$201,0))</f>
        <v>3</v>
      </c>
      <c r="N99" s="0" t="n">
        <f aca="false">INDEX(Summary!$J$2:$J$201,MATCH($B99,Summary!$A$2:$A$201,0))</f>
        <v>2</v>
      </c>
      <c r="O99" s="2" t="n">
        <f aca="false">INDEX(Summary!$K$2:$K$201,MATCH($B99,Summary!$A$2:$A$201,0))</f>
        <v>8.77</v>
      </c>
      <c r="P99" s="3" t="n">
        <f aca="false">INDEX(Summary!$L$2:$L$201,MATCH($B99,Summary!$A$2:$A$201,0))</f>
        <v>4</v>
      </c>
      <c r="Q99" s="3" t="n">
        <f aca="false">INDEX(Summary!$M$2:$M$201,MATCH($B99,Summary!$A$2:$A$201,0))</f>
        <v>2</v>
      </c>
      <c r="R99" s="2" t="n">
        <f aca="false">INDEX(Summary!$N$2:$N$201,MATCH($B99,Summary!$A$2:$A$201,0))</f>
        <v>10.54</v>
      </c>
      <c r="S99" s="3" t="n">
        <f aca="false">INDEX(Summary!$O$2:$O$201,MATCH($B99,Summary!$A$2:$A$201,0))</f>
        <v>8</v>
      </c>
      <c r="T99" s="3" t="n">
        <f aca="false">INDEX(Summary!$P$2:$P$201,MATCH($B99,Summary!$A$2:$A$201,0))</f>
        <v>1</v>
      </c>
      <c r="U99" s="2" t="n">
        <f aca="false">INDEX(Summary!$Q$2:$Q$201,MATCH($B99,Summary!$A$2:$A$201,0))</f>
        <v>14.38</v>
      </c>
      <c r="V99" s="2" t="n">
        <f aca="false">INDEX(Summary!$R$2:$R$201,MATCH($B99,Summary!$A$2:$A$201,0))</f>
        <v>27.4</v>
      </c>
      <c r="W99" s="0" t="str">
        <f aca="false">INDEX(Summary!$S$2:$S$201,MATCH($B99,Summary!$A$2:$A$201,0))</f>
        <v>Silver</v>
      </c>
      <c r="X99" s="2" t="n">
        <f aca="false">INDEX(Summary!$T$2:$T$201,MATCH($B99,Summary!$A$2:$A$201,0))</f>
        <v>66.83</v>
      </c>
      <c r="Y99" s="0" t="str">
        <f aca="false">INDEX('Reward Model'!$E$18:$E$37,MATCH($E99,'Reward Model'!$A$18:$A$37,0))</f>
        <v>High</v>
      </c>
      <c r="Z99" s="4" t="n">
        <f aca="false">ROUND(MIN(1,MAX('Reward Model'!$B$2,INDEX('Reward Model'!$C$12:$C$14,MATCH($K99,'Reward Model'!$A$12:$A$14,0))/$J99)),3)</f>
        <v>1</v>
      </c>
      <c r="AA99" s="2" t="n">
        <f aca="false">IF($I99="Correct",ROUND(INDEX('Reward Model'!$B$12:$B$14,MATCH($K99,'Reward Model'!$A$12:$A$14,0))*Z99,2),0)</f>
        <v>3</v>
      </c>
      <c r="AB99" s="2" t="n">
        <f aca="false">IF($I99="Correct",ROUND(INDEX('Reward Model'!$B$12:$B$14,MATCH($Y99,'Reward Model'!$A$12:$A$14,0))*Z99,2),0)</f>
        <v>3</v>
      </c>
    </row>
    <row r="100" customFormat="false" ht="15" hidden="false" customHeight="false" outlineLevel="0" collapsed="false">
      <c r="A100" s="0" t="s">
        <v>102</v>
      </c>
      <c r="B100" s="0" t="s">
        <v>103</v>
      </c>
      <c r="C100" s="0" t="s">
        <v>30</v>
      </c>
      <c r="D100" s="0" t="s">
        <v>31</v>
      </c>
      <c r="E100" s="0" t="n">
        <v>19</v>
      </c>
      <c r="F100" s="0" t="s">
        <v>78</v>
      </c>
      <c r="G100" s="0" t="s">
        <v>80</v>
      </c>
      <c r="H100" s="0" t="s">
        <v>80</v>
      </c>
      <c r="I100" s="0" t="s">
        <v>34</v>
      </c>
      <c r="J100" s="0" t="n">
        <v>2.29</v>
      </c>
      <c r="K100" s="0" t="s">
        <v>73</v>
      </c>
      <c r="L100" s="0" t="n">
        <f aca="false">INDEX(Summary!$F$2:$F$201,MATCH($B100,Summary!$A$2:$A$201,0))</f>
        <v>20</v>
      </c>
      <c r="M100" s="0" t="n">
        <f aca="false">INDEX(Summary!$I$2:$I$201,MATCH($B100,Summary!$A$2:$A$201,0))</f>
        <v>3</v>
      </c>
      <c r="N100" s="0" t="n">
        <f aca="false">INDEX(Summary!$J$2:$J$201,MATCH($B100,Summary!$A$2:$A$201,0))</f>
        <v>2</v>
      </c>
      <c r="O100" s="2" t="n">
        <f aca="false">INDEX(Summary!$K$2:$K$201,MATCH($B100,Summary!$A$2:$A$201,0))</f>
        <v>8.77</v>
      </c>
      <c r="P100" s="3" t="n">
        <f aca="false">INDEX(Summary!$L$2:$L$201,MATCH($B100,Summary!$A$2:$A$201,0))</f>
        <v>4</v>
      </c>
      <c r="Q100" s="3" t="n">
        <f aca="false">INDEX(Summary!$M$2:$M$201,MATCH($B100,Summary!$A$2:$A$201,0))</f>
        <v>2</v>
      </c>
      <c r="R100" s="2" t="n">
        <f aca="false">INDEX(Summary!$N$2:$N$201,MATCH($B100,Summary!$A$2:$A$201,0))</f>
        <v>10.54</v>
      </c>
      <c r="S100" s="3" t="n">
        <f aca="false">INDEX(Summary!$O$2:$O$201,MATCH($B100,Summary!$A$2:$A$201,0))</f>
        <v>8</v>
      </c>
      <c r="T100" s="3" t="n">
        <f aca="false">INDEX(Summary!$P$2:$P$201,MATCH($B100,Summary!$A$2:$A$201,0))</f>
        <v>1</v>
      </c>
      <c r="U100" s="2" t="n">
        <f aca="false">INDEX(Summary!$Q$2:$Q$201,MATCH($B100,Summary!$A$2:$A$201,0))</f>
        <v>14.38</v>
      </c>
      <c r="V100" s="2" t="n">
        <f aca="false">INDEX(Summary!$R$2:$R$201,MATCH($B100,Summary!$A$2:$A$201,0))</f>
        <v>27.4</v>
      </c>
      <c r="W100" s="0" t="str">
        <f aca="false">INDEX(Summary!$S$2:$S$201,MATCH($B100,Summary!$A$2:$A$201,0))</f>
        <v>Silver</v>
      </c>
      <c r="X100" s="2" t="n">
        <f aca="false">INDEX(Summary!$T$2:$T$201,MATCH($B100,Summary!$A$2:$A$201,0))</f>
        <v>66.83</v>
      </c>
      <c r="Y100" s="0" t="str">
        <f aca="false">INDEX('Reward Model'!$E$18:$E$37,MATCH($E100,'Reward Model'!$A$18:$A$37,0))</f>
        <v>High</v>
      </c>
      <c r="Z100" s="4" t="n">
        <f aca="false">ROUND(MIN(1,MAX('Reward Model'!$B$2,INDEX('Reward Model'!$C$12:$C$14,MATCH($K100,'Reward Model'!$A$12:$A$14,0))/$J100)),3)</f>
        <v>0.873</v>
      </c>
      <c r="AA100" s="2" t="n">
        <f aca="false">IF($I100="Correct",ROUND(INDEX('Reward Model'!$B$12:$B$14,MATCH($K100,'Reward Model'!$A$12:$A$14,0))*Z100,2),0)</f>
        <v>2.62</v>
      </c>
      <c r="AB100" s="2" t="n">
        <f aca="false">IF($I100="Correct",ROUND(INDEX('Reward Model'!$B$12:$B$14,MATCH($Y100,'Reward Model'!$A$12:$A$14,0))*Z100,2),0)</f>
        <v>2.62</v>
      </c>
    </row>
    <row r="101" customFormat="false" ht="15" hidden="false" customHeight="false" outlineLevel="0" collapsed="false">
      <c r="A101" s="0" t="s">
        <v>102</v>
      </c>
      <c r="B101" s="0" t="s">
        <v>103</v>
      </c>
      <c r="C101" s="0" t="s">
        <v>30</v>
      </c>
      <c r="D101" s="0" t="s">
        <v>31</v>
      </c>
      <c r="E101" s="0" t="n">
        <v>20</v>
      </c>
      <c r="F101" s="0" t="s">
        <v>81</v>
      </c>
      <c r="G101" s="0" t="s">
        <v>83</v>
      </c>
      <c r="H101" s="0" t="s">
        <v>83</v>
      </c>
      <c r="I101" s="0" t="s">
        <v>34</v>
      </c>
      <c r="J101" s="0" t="n">
        <v>1.34</v>
      </c>
      <c r="K101" s="0" t="s">
        <v>73</v>
      </c>
      <c r="L101" s="0" t="n">
        <f aca="false">INDEX(Summary!$F$2:$F$201,MATCH($B101,Summary!$A$2:$A$201,0))</f>
        <v>20</v>
      </c>
      <c r="M101" s="0" t="n">
        <f aca="false">INDEX(Summary!$I$2:$I$201,MATCH($B101,Summary!$A$2:$A$201,0))</f>
        <v>3</v>
      </c>
      <c r="N101" s="0" t="n">
        <f aca="false">INDEX(Summary!$J$2:$J$201,MATCH($B101,Summary!$A$2:$A$201,0))</f>
        <v>2</v>
      </c>
      <c r="O101" s="2" t="n">
        <f aca="false">INDEX(Summary!$K$2:$K$201,MATCH($B101,Summary!$A$2:$A$201,0))</f>
        <v>8.77</v>
      </c>
      <c r="P101" s="3" t="n">
        <f aca="false">INDEX(Summary!$L$2:$L$201,MATCH($B101,Summary!$A$2:$A$201,0))</f>
        <v>4</v>
      </c>
      <c r="Q101" s="3" t="n">
        <f aca="false">INDEX(Summary!$M$2:$M$201,MATCH($B101,Summary!$A$2:$A$201,0))</f>
        <v>2</v>
      </c>
      <c r="R101" s="2" t="n">
        <f aca="false">INDEX(Summary!$N$2:$N$201,MATCH($B101,Summary!$A$2:$A$201,0))</f>
        <v>10.54</v>
      </c>
      <c r="S101" s="3" t="n">
        <f aca="false">INDEX(Summary!$O$2:$O$201,MATCH($B101,Summary!$A$2:$A$201,0))</f>
        <v>8</v>
      </c>
      <c r="T101" s="3" t="n">
        <f aca="false">INDEX(Summary!$P$2:$P$201,MATCH($B101,Summary!$A$2:$A$201,0))</f>
        <v>1</v>
      </c>
      <c r="U101" s="2" t="n">
        <f aca="false">INDEX(Summary!$Q$2:$Q$201,MATCH($B101,Summary!$A$2:$A$201,0))</f>
        <v>14.38</v>
      </c>
      <c r="V101" s="2" t="n">
        <f aca="false">INDEX(Summary!$R$2:$R$201,MATCH($B101,Summary!$A$2:$A$201,0))</f>
        <v>27.4</v>
      </c>
      <c r="W101" s="0" t="str">
        <f aca="false">INDEX(Summary!$S$2:$S$201,MATCH($B101,Summary!$A$2:$A$201,0))</f>
        <v>Silver</v>
      </c>
      <c r="X101" s="2" t="n">
        <f aca="false">INDEX(Summary!$T$2:$T$201,MATCH($B101,Summary!$A$2:$A$201,0))</f>
        <v>66.83</v>
      </c>
      <c r="Y101" s="0" t="str">
        <f aca="false">INDEX('Reward Model'!$E$18:$E$37,MATCH($E101,'Reward Model'!$A$18:$A$37,0))</f>
        <v>High</v>
      </c>
      <c r="Z101" s="4" t="n">
        <f aca="false">ROUND(MIN(1,MAX('Reward Model'!$B$2,INDEX('Reward Model'!$C$12:$C$14,MATCH($K101,'Reward Model'!$A$12:$A$14,0))/$J101)),3)</f>
        <v>1</v>
      </c>
      <c r="AA101" s="2" t="n">
        <f aca="false">IF($I101="Correct",ROUND(INDEX('Reward Model'!$B$12:$B$14,MATCH($K101,'Reward Model'!$A$12:$A$14,0))*Z101,2),0)</f>
        <v>3</v>
      </c>
      <c r="AB101" s="2" t="n">
        <f aca="false">IF($I101="Correct",ROUND(INDEX('Reward Model'!$B$12:$B$14,MATCH($Y101,'Reward Model'!$A$12:$A$14,0))*Z101,2),0)</f>
        <v>3</v>
      </c>
    </row>
    <row r="102" customFormat="false" ht="15" hidden="false" customHeight="false" outlineLevel="0" collapsed="false">
      <c r="A102" s="0" t="s">
        <v>106</v>
      </c>
      <c r="B102" s="0" t="s">
        <v>107</v>
      </c>
      <c r="C102" s="0" t="s">
        <v>30</v>
      </c>
      <c r="D102" s="0" t="s">
        <v>31</v>
      </c>
      <c r="E102" s="0" t="n">
        <v>1</v>
      </c>
      <c r="F102" s="0" t="s">
        <v>32</v>
      </c>
      <c r="G102" s="0" t="s">
        <v>33</v>
      </c>
      <c r="H102" s="0" t="s">
        <v>33</v>
      </c>
      <c r="I102" s="0" t="s">
        <v>34</v>
      </c>
      <c r="J102" s="0" t="n">
        <v>1.04</v>
      </c>
      <c r="K102" s="0" t="s">
        <v>35</v>
      </c>
      <c r="L102" s="0" t="n">
        <f aca="false">INDEX(Summary!$F$2:$F$201,MATCH($B102,Summary!$A$2:$A$201,0))</f>
        <v>20</v>
      </c>
      <c r="M102" s="0" t="n">
        <f aca="false">INDEX(Summary!$I$2:$I$201,MATCH($B102,Summary!$A$2:$A$201,0))</f>
        <v>3</v>
      </c>
      <c r="N102" s="0" t="n">
        <f aca="false">INDEX(Summary!$J$2:$J$201,MATCH($B102,Summary!$A$2:$A$201,0))</f>
        <v>2</v>
      </c>
      <c r="O102" s="2" t="n">
        <f aca="false">INDEX(Summary!$K$2:$K$201,MATCH($B102,Summary!$A$2:$A$201,0))</f>
        <v>10.35</v>
      </c>
      <c r="P102" s="3" t="n">
        <f aca="false">INDEX(Summary!$L$2:$L$201,MATCH($B102,Summary!$A$2:$A$201,0))</f>
        <v>5</v>
      </c>
      <c r="Q102" s="3" t="n">
        <f aca="false">INDEX(Summary!$M$2:$M$201,MATCH($B102,Summary!$A$2:$A$201,0))</f>
        <v>1</v>
      </c>
      <c r="R102" s="2" t="n">
        <f aca="false">INDEX(Summary!$N$2:$N$201,MATCH($B102,Summary!$A$2:$A$201,0))</f>
        <v>10.67</v>
      </c>
      <c r="S102" s="3" t="n">
        <f aca="false">INDEX(Summary!$O$2:$O$201,MATCH($B102,Summary!$A$2:$A$201,0))</f>
        <v>8</v>
      </c>
      <c r="T102" s="3" t="n">
        <f aca="false">INDEX(Summary!$P$2:$P$201,MATCH($B102,Summary!$A$2:$A$201,0))</f>
        <v>1</v>
      </c>
      <c r="U102" s="2" t="n">
        <f aca="false">INDEX(Summary!$Q$2:$Q$201,MATCH($B102,Summary!$A$2:$A$201,0))</f>
        <v>13.33</v>
      </c>
      <c r="V102" s="2" t="n">
        <f aca="false">INDEX(Summary!$R$2:$R$201,MATCH($B102,Summary!$A$2:$A$201,0))</f>
        <v>29.06</v>
      </c>
      <c r="W102" s="0" t="str">
        <f aca="false">INDEX(Summary!$S$2:$S$201,MATCH($B102,Summary!$A$2:$A$201,0))</f>
        <v>Gold</v>
      </c>
      <c r="X102" s="2" t="n">
        <f aca="false">INDEX(Summary!$T$2:$T$201,MATCH($B102,Summary!$A$2:$A$201,0))</f>
        <v>70.88</v>
      </c>
      <c r="Y102" s="0" t="str">
        <f aca="false">INDEX('Reward Model'!$E$18:$E$37,MATCH($E102,'Reward Model'!$A$18:$A$37,0))</f>
        <v>Medium</v>
      </c>
      <c r="Z102" s="4" t="n">
        <f aca="false">ROUND(MIN(1,MAX('Reward Model'!$B$2,INDEX('Reward Model'!$C$12:$C$14,MATCH($K102,'Reward Model'!$A$12:$A$14,0))/$J102)),3)</f>
        <v>1</v>
      </c>
      <c r="AA102" s="2" t="n">
        <f aca="false">IF($I102="Correct",ROUND(INDEX('Reward Model'!$B$12:$B$14,MATCH($K102,'Reward Model'!$A$12:$A$14,0))*Z102,2),0)</f>
        <v>1</v>
      </c>
      <c r="AB102" s="2" t="n">
        <f aca="false">IF($I102="Correct",ROUND(INDEX('Reward Model'!$B$12:$B$14,MATCH($Y102,'Reward Model'!$A$12:$A$14,0))*Z102,2),0)</f>
        <v>2</v>
      </c>
    </row>
    <row r="103" customFormat="false" ht="15" hidden="false" customHeight="false" outlineLevel="0" collapsed="false">
      <c r="A103" s="0" t="s">
        <v>106</v>
      </c>
      <c r="B103" s="0" t="s">
        <v>107</v>
      </c>
      <c r="C103" s="0" t="s">
        <v>30</v>
      </c>
      <c r="D103" s="0" t="s">
        <v>31</v>
      </c>
      <c r="E103" s="0" t="n">
        <v>2</v>
      </c>
      <c r="F103" s="0" t="s">
        <v>36</v>
      </c>
      <c r="G103" s="0" t="s">
        <v>38</v>
      </c>
      <c r="H103" s="0" t="s">
        <v>38</v>
      </c>
      <c r="I103" s="0" t="s">
        <v>34</v>
      </c>
      <c r="J103" s="0" t="n">
        <v>1.65</v>
      </c>
      <c r="K103" s="0" t="s">
        <v>35</v>
      </c>
      <c r="L103" s="0" t="n">
        <f aca="false">INDEX(Summary!$F$2:$F$201,MATCH($B103,Summary!$A$2:$A$201,0))</f>
        <v>20</v>
      </c>
      <c r="M103" s="0" t="n">
        <f aca="false">INDEX(Summary!$I$2:$I$201,MATCH($B103,Summary!$A$2:$A$201,0))</f>
        <v>3</v>
      </c>
      <c r="N103" s="0" t="n">
        <f aca="false">INDEX(Summary!$J$2:$J$201,MATCH($B103,Summary!$A$2:$A$201,0))</f>
        <v>2</v>
      </c>
      <c r="O103" s="2" t="n">
        <f aca="false">INDEX(Summary!$K$2:$K$201,MATCH($B103,Summary!$A$2:$A$201,0))</f>
        <v>10.35</v>
      </c>
      <c r="P103" s="3" t="n">
        <f aca="false">INDEX(Summary!$L$2:$L$201,MATCH($B103,Summary!$A$2:$A$201,0))</f>
        <v>5</v>
      </c>
      <c r="Q103" s="3" t="n">
        <f aca="false">INDEX(Summary!$M$2:$M$201,MATCH($B103,Summary!$A$2:$A$201,0))</f>
        <v>1</v>
      </c>
      <c r="R103" s="2" t="n">
        <f aca="false">INDEX(Summary!$N$2:$N$201,MATCH($B103,Summary!$A$2:$A$201,0))</f>
        <v>10.67</v>
      </c>
      <c r="S103" s="3" t="n">
        <f aca="false">INDEX(Summary!$O$2:$O$201,MATCH($B103,Summary!$A$2:$A$201,0))</f>
        <v>8</v>
      </c>
      <c r="T103" s="3" t="n">
        <f aca="false">INDEX(Summary!$P$2:$P$201,MATCH($B103,Summary!$A$2:$A$201,0))</f>
        <v>1</v>
      </c>
      <c r="U103" s="2" t="n">
        <f aca="false">INDEX(Summary!$Q$2:$Q$201,MATCH($B103,Summary!$A$2:$A$201,0))</f>
        <v>13.33</v>
      </c>
      <c r="V103" s="2" t="n">
        <f aca="false">INDEX(Summary!$R$2:$R$201,MATCH($B103,Summary!$A$2:$A$201,0))</f>
        <v>29.06</v>
      </c>
      <c r="W103" s="0" t="str">
        <f aca="false">INDEX(Summary!$S$2:$S$201,MATCH($B103,Summary!$A$2:$A$201,0))</f>
        <v>Gold</v>
      </c>
      <c r="X103" s="2" t="n">
        <f aca="false">INDEX(Summary!$T$2:$T$201,MATCH($B103,Summary!$A$2:$A$201,0))</f>
        <v>70.88</v>
      </c>
      <c r="Y103" s="0" t="str">
        <f aca="false">INDEX('Reward Model'!$E$18:$E$37,MATCH($E103,'Reward Model'!$A$18:$A$37,0))</f>
        <v>Low</v>
      </c>
      <c r="Z103" s="4" t="n">
        <f aca="false">ROUND(MIN(1,MAX('Reward Model'!$B$2,INDEX('Reward Model'!$C$12:$C$14,MATCH($K103,'Reward Model'!$A$12:$A$14,0))/$J103)),3)</f>
        <v>0.909</v>
      </c>
      <c r="AA103" s="2" t="n">
        <f aca="false">IF($I103="Correct",ROUND(INDEX('Reward Model'!$B$12:$B$14,MATCH($K103,'Reward Model'!$A$12:$A$14,0))*Z103,2),0)</f>
        <v>0.91</v>
      </c>
      <c r="AB103" s="2" t="n">
        <f aca="false">IF($I103="Correct",ROUND(INDEX('Reward Model'!$B$12:$B$14,MATCH($Y103,'Reward Model'!$A$12:$A$14,0))*Z103,2),0)</f>
        <v>0.91</v>
      </c>
    </row>
    <row r="104" customFormat="false" ht="15" hidden="false" customHeight="false" outlineLevel="0" collapsed="false">
      <c r="A104" s="0" t="s">
        <v>106</v>
      </c>
      <c r="B104" s="0" t="s">
        <v>107</v>
      </c>
      <c r="C104" s="0" t="s">
        <v>30</v>
      </c>
      <c r="D104" s="0" t="s">
        <v>31</v>
      </c>
      <c r="E104" s="0" t="n">
        <v>3</v>
      </c>
      <c r="F104" s="0" t="s">
        <v>40</v>
      </c>
      <c r="G104" s="0" t="s">
        <v>42</v>
      </c>
      <c r="H104" s="0" t="s">
        <v>42</v>
      </c>
      <c r="I104" s="0" t="s">
        <v>34</v>
      </c>
      <c r="J104" s="0" t="n">
        <v>1.53</v>
      </c>
      <c r="K104" s="0" t="s">
        <v>35</v>
      </c>
      <c r="L104" s="0" t="n">
        <f aca="false">INDEX(Summary!$F$2:$F$201,MATCH($B104,Summary!$A$2:$A$201,0))</f>
        <v>20</v>
      </c>
      <c r="M104" s="0" t="n">
        <f aca="false">INDEX(Summary!$I$2:$I$201,MATCH($B104,Summary!$A$2:$A$201,0))</f>
        <v>3</v>
      </c>
      <c r="N104" s="0" t="n">
        <f aca="false">INDEX(Summary!$J$2:$J$201,MATCH($B104,Summary!$A$2:$A$201,0))</f>
        <v>2</v>
      </c>
      <c r="O104" s="2" t="n">
        <f aca="false">INDEX(Summary!$K$2:$K$201,MATCH($B104,Summary!$A$2:$A$201,0))</f>
        <v>10.35</v>
      </c>
      <c r="P104" s="3" t="n">
        <f aca="false">INDEX(Summary!$L$2:$L$201,MATCH($B104,Summary!$A$2:$A$201,0))</f>
        <v>5</v>
      </c>
      <c r="Q104" s="3" t="n">
        <f aca="false">INDEX(Summary!$M$2:$M$201,MATCH($B104,Summary!$A$2:$A$201,0))</f>
        <v>1</v>
      </c>
      <c r="R104" s="2" t="n">
        <f aca="false">INDEX(Summary!$N$2:$N$201,MATCH($B104,Summary!$A$2:$A$201,0))</f>
        <v>10.67</v>
      </c>
      <c r="S104" s="3" t="n">
        <f aca="false">INDEX(Summary!$O$2:$O$201,MATCH($B104,Summary!$A$2:$A$201,0))</f>
        <v>8</v>
      </c>
      <c r="T104" s="3" t="n">
        <f aca="false">INDEX(Summary!$P$2:$P$201,MATCH($B104,Summary!$A$2:$A$201,0))</f>
        <v>1</v>
      </c>
      <c r="U104" s="2" t="n">
        <f aca="false">INDEX(Summary!$Q$2:$Q$201,MATCH($B104,Summary!$A$2:$A$201,0))</f>
        <v>13.33</v>
      </c>
      <c r="V104" s="2" t="n">
        <f aca="false">INDEX(Summary!$R$2:$R$201,MATCH($B104,Summary!$A$2:$A$201,0))</f>
        <v>29.06</v>
      </c>
      <c r="W104" s="0" t="str">
        <f aca="false">INDEX(Summary!$S$2:$S$201,MATCH($B104,Summary!$A$2:$A$201,0))</f>
        <v>Gold</v>
      </c>
      <c r="X104" s="2" t="n">
        <f aca="false">INDEX(Summary!$T$2:$T$201,MATCH($B104,Summary!$A$2:$A$201,0))</f>
        <v>70.88</v>
      </c>
      <c r="Y104" s="0" t="str">
        <f aca="false">INDEX('Reward Model'!$E$18:$E$37,MATCH($E104,'Reward Model'!$A$18:$A$37,0))</f>
        <v>Medium</v>
      </c>
      <c r="Z104" s="4" t="n">
        <f aca="false">ROUND(MIN(1,MAX('Reward Model'!$B$2,INDEX('Reward Model'!$C$12:$C$14,MATCH($K104,'Reward Model'!$A$12:$A$14,0))/$J104)),3)</f>
        <v>0.98</v>
      </c>
      <c r="AA104" s="2" t="n">
        <f aca="false">IF($I104="Correct",ROUND(INDEX('Reward Model'!$B$12:$B$14,MATCH($K104,'Reward Model'!$A$12:$A$14,0))*Z104,2),0)</f>
        <v>0.98</v>
      </c>
      <c r="AB104" s="2" t="n">
        <f aca="false">IF($I104="Correct",ROUND(INDEX('Reward Model'!$B$12:$B$14,MATCH($Y104,'Reward Model'!$A$12:$A$14,0))*Z104,2),0)</f>
        <v>1.96</v>
      </c>
    </row>
    <row r="105" customFormat="false" ht="15" hidden="false" customHeight="false" outlineLevel="0" collapsed="false">
      <c r="A105" s="0" t="s">
        <v>106</v>
      </c>
      <c r="B105" s="0" t="s">
        <v>107</v>
      </c>
      <c r="C105" s="0" t="s">
        <v>30</v>
      </c>
      <c r="D105" s="0" t="s">
        <v>31</v>
      </c>
      <c r="E105" s="0" t="n">
        <v>4</v>
      </c>
      <c r="F105" s="0" t="s">
        <v>43</v>
      </c>
      <c r="G105" s="0" t="s">
        <v>45</v>
      </c>
      <c r="H105" s="0" t="s">
        <v>45</v>
      </c>
      <c r="I105" s="0" t="s">
        <v>34</v>
      </c>
      <c r="J105" s="0" t="n">
        <v>1.93</v>
      </c>
      <c r="K105" s="0" t="s">
        <v>35</v>
      </c>
      <c r="L105" s="0" t="n">
        <f aca="false">INDEX(Summary!$F$2:$F$201,MATCH($B105,Summary!$A$2:$A$201,0))</f>
        <v>20</v>
      </c>
      <c r="M105" s="0" t="n">
        <f aca="false">INDEX(Summary!$I$2:$I$201,MATCH($B105,Summary!$A$2:$A$201,0))</f>
        <v>3</v>
      </c>
      <c r="N105" s="0" t="n">
        <f aca="false">INDEX(Summary!$J$2:$J$201,MATCH($B105,Summary!$A$2:$A$201,0))</f>
        <v>2</v>
      </c>
      <c r="O105" s="2" t="n">
        <f aca="false">INDEX(Summary!$K$2:$K$201,MATCH($B105,Summary!$A$2:$A$201,0))</f>
        <v>10.35</v>
      </c>
      <c r="P105" s="3" t="n">
        <f aca="false">INDEX(Summary!$L$2:$L$201,MATCH($B105,Summary!$A$2:$A$201,0))</f>
        <v>5</v>
      </c>
      <c r="Q105" s="3" t="n">
        <f aca="false">INDEX(Summary!$M$2:$M$201,MATCH($B105,Summary!$A$2:$A$201,0))</f>
        <v>1</v>
      </c>
      <c r="R105" s="2" t="n">
        <f aca="false">INDEX(Summary!$N$2:$N$201,MATCH($B105,Summary!$A$2:$A$201,0))</f>
        <v>10.67</v>
      </c>
      <c r="S105" s="3" t="n">
        <f aca="false">INDEX(Summary!$O$2:$O$201,MATCH($B105,Summary!$A$2:$A$201,0))</f>
        <v>8</v>
      </c>
      <c r="T105" s="3" t="n">
        <f aca="false">INDEX(Summary!$P$2:$P$201,MATCH($B105,Summary!$A$2:$A$201,0))</f>
        <v>1</v>
      </c>
      <c r="U105" s="2" t="n">
        <f aca="false">INDEX(Summary!$Q$2:$Q$201,MATCH($B105,Summary!$A$2:$A$201,0))</f>
        <v>13.33</v>
      </c>
      <c r="V105" s="2" t="n">
        <f aca="false">INDEX(Summary!$R$2:$R$201,MATCH($B105,Summary!$A$2:$A$201,0))</f>
        <v>29.06</v>
      </c>
      <c r="W105" s="0" t="str">
        <f aca="false">INDEX(Summary!$S$2:$S$201,MATCH($B105,Summary!$A$2:$A$201,0))</f>
        <v>Gold</v>
      </c>
      <c r="X105" s="2" t="n">
        <f aca="false">INDEX(Summary!$T$2:$T$201,MATCH($B105,Summary!$A$2:$A$201,0))</f>
        <v>70.88</v>
      </c>
      <c r="Y105" s="0" t="str">
        <f aca="false">INDEX('Reward Model'!$E$18:$E$37,MATCH($E105,'Reward Model'!$A$18:$A$37,0))</f>
        <v>Low</v>
      </c>
      <c r="Z105" s="4" t="n">
        <f aca="false">ROUND(MIN(1,MAX('Reward Model'!$B$2,INDEX('Reward Model'!$C$12:$C$14,MATCH($K105,'Reward Model'!$A$12:$A$14,0))/$J105)),3)</f>
        <v>0.777</v>
      </c>
      <c r="AA105" s="2" t="n">
        <f aca="false">IF($I105="Correct",ROUND(INDEX('Reward Model'!$B$12:$B$14,MATCH($K105,'Reward Model'!$A$12:$A$14,0))*Z105,2),0)</f>
        <v>0.78</v>
      </c>
      <c r="AB105" s="2" t="n">
        <f aca="false">IF($I105="Correct",ROUND(INDEX('Reward Model'!$B$12:$B$14,MATCH($Y105,'Reward Model'!$A$12:$A$14,0))*Z105,2),0)</f>
        <v>0.78</v>
      </c>
    </row>
    <row r="106" customFormat="false" ht="15" hidden="false" customHeight="false" outlineLevel="0" collapsed="false">
      <c r="A106" s="0" t="s">
        <v>106</v>
      </c>
      <c r="B106" s="0" t="s">
        <v>107</v>
      </c>
      <c r="C106" s="0" t="s">
        <v>30</v>
      </c>
      <c r="D106" s="0" t="s">
        <v>31</v>
      </c>
      <c r="E106" s="0" t="n">
        <v>5</v>
      </c>
      <c r="F106" s="0" t="s">
        <v>46</v>
      </c>
      <c r="G106" s="0" t="s">
        <v>47</v>
      </c>
      <c r="H106" s="0" t="s">
        <v>47</v>
      </c>
      <c r="I106" s="0" t="s">
        <v>34</v>
      </c>
      <c r="J106" s="0" t="n">
        <v>1.29</v>
      </c>
      <c r="K106" s="0" t="s">
        <v>35</v>
      </c>
      <c r="L106" s="0" t="n">
        <f aca="false">INDEX(Summary!$F$2:$F$201,MATCH($B106,Summary!$A$2:$A$201,0))</f>
        <v>20</v>
      </c>
      <c r="M106" s="0" t="n">
        <f aca="false">INDEX(Summary!$I$2:$I$201,MATCH($B106,Summary!$A$2:$A$201,0))</f>
        <v>3</v>
      </c>
      <c r="N106" s="0" t="n">
        <f aca="false">INDEX(Summary!$J$2:$J$201,MATCH($B106,Summary!$A$2:$A$201,0))</f>
        <v>2</v>
      </c>
      <c r="O106" s="2" t="n">
        <f aca="false">INDEX(Summary!$K$2:$K$201,MATCH($B106,Summary!$A$2:$A$201,0))</f>
        <v>10.35</v>
      </c>
      <c r="P106" s="3" t="n">
        <f aca="false">INDEX(Summary!$L$2:$L$201,MATCH($B106,Summary!$A$2:$A$201,0))</f>
        <v>5</v>
      </c>
      <c r="Q106" s="3" t="n">
        <f aca="false">INDEX(Summary!$M$2:$M$201,MATCH($B106,Summary!$A$2:$A$201,0))</f>
        <v>1</v>
      </c>
      <c r="R106" s="2" t="n">
        <f aca="false">INDEX(Summary!$N$2:$N$201,MATCH($B106,Summary!$A$2:$A$201,0))</f>
        <v>10.67</v>
      </c>
      <c r="S106" s="3" t="n">
        <f aca="false">INDEX(Summary!$O$2:$O$201,MATCH($B106,Summary!$A$2:$A$201,0))</f>
        <v>8</v>
      </c>
      <c r="T106" s="3" t="n">
        <f aca="false">INDEX(Summary!$P$2:$P$201,MATCH($B106,Summary!$A$2:$A$201,0))</f>
        <v>1</v>
      </c>
      <c r="U106" s="2" t="n">
        <f aca="false">INDEX(Summary!$Q$2:$Q$201,MATCH($B106,Summary!$A$2:$A$201,0))</f>
        <v>13.33</v>
      </c>
      <c r="V106" s="2" t="n">
        <f aca="false">INDEX(Summary!$R$2:$R$201,MATCH($B106,Summary!$A$2:$A$201,0))</f>
        <v>29.06</v>
      </c>
      <c r="W106" s="0" t="str">
        <f aca="false">INDEX(Summary!$S$2:$S$201,MATCH($B106,Summary!$A$2:$A$201,0))</f>
        <v>Gold</v>
      </c>
      <c r="X106" s="2" t="n">
        <f aca="false">INDEX(Summary!$T$2:$T$201,MATCH($B106,Summary!$A$2:$A$201,0))</f>
        <v>70.88</v>
      </c>
      <c r="Y106" s="0" t="str">
        <f aca="false">INDEX('Reward Model'!$E$18:$E$37,MATCH($E106,'Reward Model'!$A$18:$A$37,0))</f>
        <v>Low</v>
      </c>
      <c r="Z106" s="4" t="n">
        <f aca="false">ROUND(MIN(1,MAX('Reward Model'!$B$2,INDEX('Reward Model'!$C$12:$C$14,MATCH($K106,'Reward Model'!$A$12:$A$14,0))/$J106)),3)</f>
        <v>1</v>
      </c>
      <c r="AA106" s="2" t="n">
        <f aca="false">IF($I106="Correct",ROUND(INDEX('Reward Model'!$B$12:$B$14,MATCH($K106,'Reward Model'!$A$12:$A$14,0))*Z106,2),0)</f>
        <v>1</v>
      </c>
      <c r="AB106" s="2" t="n">
        <f aca="false">IF($I106="Correct",ROUND(INDEX('Reward Model'!$B$12:$B$14,MATCH($Y106,'Reward Model'!$A$12:$A$14,0))*Z106,2),0)</f>
        <v>1</v>
      </c>
    </row>
    <row r="107" customFormat="false" ht="15" hidden="false" customHeight="false" outlineLevel="0" collapsed="false">
      <c r="A107" s="0" t="s">
        <v>106</v>
      </c>
      <c r="B107" s="0" t="s">
        <v>107</v>
      </c>
      <c r="C107" s="0" t="s">
        <v>30</v>
      </c>
      <c r="D107" s="0" t="s">
        <v>31</v>
      </c>
      <c r="E107" s="0" t="n">
        <v>6</v>
      </c>
      <c r="F107" s="0" t="s">
        <v>48</v>
      </c>
      <c r="G107" s="0" t="s">
        <v>49</v>
      </c>
      <c r="H107" s="0" t="s">
        <v>49</v>
      </c>
      <c r="I107" s="0" t="s">
        <v>34</v>
      </c>
      <c r="J107" s="0" t="n">
        <v>1.76</v>
      </c>
      <c r="K107" s="0" t="s">
        <v>35</v>
      </c>
      <c r="L107" s="0" t="n">
        <f aca="false">INDEX(Summary!$F$2:$F$201,MATCH($B107,Summary!$A$2:$A$201,0))</f>
        <v>20</v>
      </c>
      <c r="M107" s="0" t="n">
        <f aca="false">INDEX(Summary!$I$2:$I$201,MATCH($B107,Summary!$A$2:$A$201,0))</f>
        <v>3</v>
      </c>
      <c r="N107" s="0" t="n">
        <f aca="false">INDEX(Summary!$J$2:$J$201,MATCH($B107,Summary!$A$2:$A$201,0))</f>
        <v>2</v>
      </c>
      <c r="O107" s="2" t="n">
        <f aca="false">INDEX(Summary!$K$2:$K$201,MATCH($B107,Summary!$A$2:$A$201,0))</f>
        <v>10.35</v>
      </c>
      <c r="P107" s="3" t="n">
        <f aca="false">INDEX(Summary!$L$2:$L$201,MATCH($B107,Summary!$A$2:$A$201,0))</f>
        <v>5</v>
      </c>
      <c r="Q107" s="3" t="n">
        <f aca="false">INDEX(Summary!$M$2:$M$201,MATCH($B107,Summary!$A$2:$A$201,0))</f>
        <v>1</v>
      </c>
      <c r="R107" s="2" t="n">
        <f aca="false">INDEX(Summary!$N$2:$N$201,MATCH($B107,Summary!$A$2:$A$201,0))</f>
        <v>10.67</v>
      </c>
      <c r="S107" s="3" t="n">
        <f aca="false">INDEX(Summary!$O$2:$O$201,MATCH($B107,Summary!$A$2:$A$201,0))</f>
        <v>8</v>
      </c>
      <c r="T107" s="3" t="n">
        <f aca="false">INDEX(Summary!$P$2:$P$201,MATCH($B107,Summary!$A$2:$A$201,0))</f>
        <v>1</v>
      </c>
      <c r="U107" s="2" t="n">
        <f aca="false">INDEX(Summary!$Q$2:$Q$201,MATCH($B107,Summary!$A$2:$A$201,0))</f>
        <v>13.33</v>
      </c>
      <c r="V107" s="2" t="n">
        <f aca="false">INDEX(Summary!$R$2:$R$201,MATCH($B107,Summary!$A$2:$A$201,0))</f>
        <v>29.06</v>
      </c>
      <c r="W107" s="0" t="str">
        <f aca="false">INDEX(Summary!$S$2:$S$201,MATCH($B107,Summary!$A$2:$A$201,0))</f>
        <v>Gold</v>
      </c>
      <c r="X107" s="2" t="n">
        <f aca="false">INDEX(Summary!$T$2:$T$201,MATCH($B107,Summary!$A$2:$A$201,0))</f>
        <v>70.88</v>
      </c>
      <c r="Y107" s="0" t="str">
        <f aca="false">INDEX('Reward Model'!$E$18:$E$37,MATCH($E107,'Reward Model'!$A$18:$A$37,0))</f>
        <v>Medium</v>
      </c>
      <c r="Z107" s="4" t="n">
        <f aca="false">ROUND(MIN(1,MAX('Reward Model'!$B$2,INDEX('Reward Model'!$C$12:$C$14,MATCH($K107,'Reward Model'!$A$12:$A$14,0))/$J107)),3)</f>
        <v>0.852</v>
      </c>
      <c r="AA107" s="2" t="n">
        <f aca="false">IF($I107="Correct",ROUND(INDEX('Reward Model'!$B$12:$B$14,MATCH($K107,'Reward Model'!$A$12:$A$14,0))*Z107,2),0)</f>
        <v>0.85</v>
      </c>
      <c r="AB107" s="2" t="n">
        <f aca="false">IF($I107="Correct",ROUND(INDEX('Reward Model'!$B$12:$B$14,MATCH($Y107,'Reward Model'!$A$12:$A$14,0))*Z107,2),0)</f>
        <v>1.7</v>
      </c>
    </row>
    <row r="108" customFormat="false" ht="15" hidden="false" customHeight="false" outlineLevel="0" collapsed="false">
      <c r="A108" s="0" t="s">
        <v>106</v>
      </c>
      <c r="B108" s="0" t="s">
        <v>107</v>
      </c>
      <c r="C108" s="0" t="s">
        <v>30</v>
      </c>
      <c r="D108" s="0" t="s">
        <v>31</v>
      </c>
      <c r="E108" s="0" t="n">
        <v>7</v>
      </c>
      <c r="F108" s="0" t="s">
        <v>50</v>
      </c>
      <c r="G108" s="0" t="s">
        <v>51</v>
      </c>
      <c r="H108" s="0" t="s">
        <v>51</v>
      </c>
      <c r="I108" s="0" t="s">
        <v>34</v>
      </c>
      <c r="J108" s="0" t="n">
        <v>1.57</v>
      </c>
      <c r="K108" s="0" t="s">
        <v>35</v>
      </c>
      <c r="L108" s="0" t="n">
        <f aca="false">INDEX(Summary!$F$2:$F$201,MATCH($B108,Summary!$A$2:$A$201,0))</f>
        <v>20</v>
      </c>
      <c r="M108" s="0" t="n">
        <f aca="false">INDEX(Summary!$I$2:$I$201,MATCH($B108,Summary!$A$2:$A$201,0))</f>
        <v>3</v>
      </c>
      <c r="N108" s="0" t="n">
        <f aca="false">INDEX(Summary!$J$2:$J$201,MATCH($B108,Summary!$A$2:$A$201,0))</f>
        <v>2</v>
      </c>
      <c r="O108" s="2" t="n">
        <f aca="false">INDEX(Summary!$K$2:$K$201,MATCH($B108,Summary!$A$2:$A$201,0))</f>
        <v>10.35</v>
      </c>
      <c r="P108" s="3" t="n">
        <f aca="false">INDEX(Summary!$L$2:$L$201,MATCH($B108,Summary!$A$2:$A$201,0))</f>
        <v>5</v>
      </c>
      <c r="Q108" s="3" t="n">
        <f aca="false">INDEX(Summary!$M$2:$M$201,MATCH($B108,Summary!$A$2:$A$201,0))</f>
        <v>1</v>
      </c>
      <c r="R108" s="2" t="n">
        <f aca="false">INDEX(Summary!$N$2:$N$201,MATCH($B108,Summary!$A$2:$A$201,0))</f>
        <v>10.67</v>
      </c>
      <c r="S108" s="3" t="n">
        <f aca="false">INDEX(Summary!$O$2:$O$201,MATCH($B108,Summary!$A$2:$A$201,0))</f>
        <v>8</v>
      </c>
      <c r="T108" s="3" t="n">
        <f aca="false">INDEX(Summary!$P$2:$P$201,MATCH($B108,Summary!$A$2:$A$201,0))</f>
        <v>1</v>
      </c>
      <c r="U108" s="2" t="n">
        <f aca="false">INDEX(Summary!$Q$2:$Q$201,MATCH($B108,Summary!$A$2:$A$201,0))</f>
        <v>13.33</v>
      </c>
      <c r="V108" s="2" t="n">
        <f aca="false">INDEX(Summary!$R$2:$R$201,MATCH($B108,Summary!$A$2:$A$201,0))</f>
        <v>29.06</v>
      </c>
      <c r="W108" s="0" t="str">
        <f aca="false">INDEX(Summary!$S$2:$S$201,MATCH($B108,Summary!$A$2:$A$201,0))</f>
        <v>Gold</v>
      </c>
      <c r="X108" s="2" t="n">
        <f aca="false">INDEX(Summary!$T$2:$T$201,MATCH($B108,Summary!$A$2:$A$201,0))</f>
        <v>70.88</v>
      </c>
      <c r="Y108" s="0" t="str">
        <f aca="false">INDEX('Reward Model'!$E$18:$E$37,MATCH($E108,'Reward Model'!$A$18:$A$37,0))</f>
        <v>Low</v>
      </c>
      <c r="Z108" s="4" t="n">
        <f aca="false">ROUND(MIN(1,MAX('Reward Model'!$B$2,INDEX('Reward Model'!$C$12:$C$14,MATCH($K108,'Reward Model'!$A$12:$A$14,0))/$J108)),3)</f>
        <v>0.955</v>
      </c>
      <c r="AA108" s="2" t="n">
        <f aca="false">IF($I108="Correct",ROUND(INDEX('Reward Model'!$B$12:$B$14,MATCH($K108,'Reward Model'!$A$12:$A$14,0))*Z108,2),0)</f>
        <v>0.96</v>
      </c>
      <c r="AB108" s="2" t="n">
        <f aca="false">IF($I108="Correct",ROUND(INDEX('Reward Model'!$B$12:$B$14,MATCH($Y108,'Reward Model'!$A$12:$A$14,0))*Z108,2),0)</f>
        <v>0.96</v>
      </c>
    </row>
    <row r="109" customFormat="false" ht="15" hidden="false" customHeight="false" outlineLevel="0" collapsed="false">
      <c r="A109" s="0" t="s">
        <v>106</v>
      </c>
      <c r="B109" s="0" t="s">
        <v>107</v>
      </c>
      <c r="C109" s="0" t="s">
        <v>30</v>
      </c>
      <c r="D109" s="0" t="s">
        <v>31</v>
      </c>
      <c r="E109" s="0" t="n">
        <v>8</v>
      </c>
      <c r="F109" s="0" t="s">
        <v>52</v>
      </c>
      <c r="G109" s="0" t="s">
        <v>54</v>
      </c>
      <c r="H109" s="0" t="s">
        <v>54</v>
      </c>
      <c r="I109" s="0" t="s">
        <v>34</v>
      </c>
      <c r="J109" s="0" t="n">
        <v>1.62</v>
      </c>
      <c r="K109" s="0" t="s">
        <v>35</v>
      </c>
      <c r="L109" s="0" t="n">
        <f aca="false">INDEX(Summary!$F$2:$F$201,MATCH($B109,Summary!$A$2:$A$201,0))</f>
        <v>20</v>
      </c>
      <c r="M109" s="0" t="n">
        <f aca="false">INDEX(Summary!$I$2:$I$201,MATCH($B109,Summary!$A$2:$A$201,0))</f>
        <v>3</v>
      </c>
      <c r="N109" s="0" t="n">
        <f aca="false">INDEX(Summary!$J$2:$J$201,MATCH($B109,Summary!$A$2:$A$201,0))</f>
        <v>2</v>
      </c>
      <c r="O109" s="2" t="n">
        <f aca="false">INDEX(Summary!$K$2:$K$201,MATCH($B109,Summary!$A$2:$A$201,0))</f>
        <v>10.35</v>
      </c>
      <c r="P109" s="3" t="n">
        <f aca="false">INDEX(Summary!$L$2:$L$201,MATCH($B109,Summary!$A$2:$A$201,0))</f>
        <v>5</v>
      </c>
      <c r="Q109" s="3" t="n">
        <f aca="false">INDEX(Summary!$M$2:$M$201,MATCH($B109,Summary!$A$2:$A$201,0))</f>
        <v>1</v>
      </c>
      <c r="R109" s="2" t="n">
        <f aca="false">INDEX(Summary!$N$2:$N$201,MATCH($B109,Summary!$A$2:$A$201,0))</f>
        <v>10.67</v>
      </c>
      <c r="S109" s="3" t="n">
        <f aca="false">INDEX(Summary!$O$2:$O$201,MATCH($B109,Summary!$A$2:$A$201,0))</f>
        <v>8</v>
      </c>
      <c r="T109" s="3" t="n">
        <f aca="false">INDEX(Summary!$P$2:$P$201,MATCH($B109,Summary!$A$2:$A$201,0))</f>
        <v>1</v>
      </c>
      <c r="U109" s="2" t="n">
        <f aca="false">INDEX(Summary!$Q$2:$Q$201,MATCH($B109,Summary!$A$2:$A$201,0))</f>
        <v>13.33</v>
      </c>
      <c r="V109" s="2" t="n">
        <f aca="false">INDEX(Summary!$R$2:$R$201,MATCH($B109,Summary!$A$2:$A$201,0))</f>
        <v>29.06</v>
      </c>
      <c r="W109" s="0" t="str">
        <f aca="false">INDEX(Summary!$S$2:$S$201,MATCH($B109,Summary!$A$2:$A$201,0))</f>
        <v>Gold</v>
      </c>
      <c r="X109" s="2" t="n">
        <f aca="false">INDEX(Summary!$T$2:$T$201,MATCH($B109,Summary!$A$2:$A$201,0))</f>
        <v>70.88</v>
      </c>
      <c r="Y109" s="0" t="str">
        <f aca="false">INDEX('Reward Model'!$E$18:$E$37,MATCH($E109,'Reward Model'!$A$18:$A$37,0))</f>
        <v>Medium</v>
      </c>
      <c r="Z109" s="4" t="n">
        <f aca="false">ROUND(MIN(1,MAX('Reward Model'!$B$2,INDEX('Reward Model'!$C$12:$C$14,MATCH($K109,'Reward Model'!$A$12:$A$14,0))/$J109)),3)</f>
        <v>0.926</v>
      </c>
      <c r="AA109" s="2" t="n">
        <f aca="false">IF($I109="Correct",ROUND(INDEX('Reward Model'!$B$12:$B$14,MATCH($K109,'Reward Model'!$A$12:$A$14,0))*Z109,2),0)</f>
        <v>0.93</v>
      </c>
      <c r="AB109" s="2" t="n">
        <f aca="false">IF($I109="Correct",ROUND(INDEX('Reward Model'!$B$12:$B$14,MATCH($Y109,'Reward Model'!$A$12:$A$14,0))*Z109,2),0)</f>
        <v>1.85</v>
      </c>
    </row>
    <row r="110" customFormat="false" ht="15" hidden="false" customHeight="false" outlineLevel="0" collapsed="false">
      <c r="A110" s="0" t="s">
        <v>106</v>
      </c>
      <c r="B110" s="0" t="s">
        <v>107</v>
      </c>
      <c r="C110" s="0" t="s">
        <v>30</v>
      </c>
      <c r="D110" s="0" t="s">
        <v>31</v>
      </c>
      <c r="E110" s="0" t="n">
        <v>9</v>
      </c>
      <c r="F110" s="0" t="s">
        <v>55</v>
      </c>
      <c r="G110" s="0" t="s">
        <v>108</v>
      </c>
      <c r="H110" s="0" t="s">
        <v>57</v>
      </c>
      <c r="I110" s="0" t="s">
        <v>39</v>
      </c>
      <c r="J110" s="0" t="n">
        <v>0.94</v>
      </c>
      <c r="K110" s="0" t="s">
        <v>35</v>
      </c>
      <c r="L110" s="0" t="n">
        <f aca="false">INDEX(Summary!$F$2:$F$201,MATCH($B110,Summary!$A$2:$A$201,0))</f>
        <v>20</v>
      </c>
      <c r="M110" s="0" t="n">
        <f aca="false">INDEX(Summary!$I$2:$I$201,MATCH($B110,Summary!$A$2:$A$201,0))</f>
        <v>3</v>
      </c>
      <c r="N110" s="0" t="n">
        <f aca="false">INDEX(Summary!$J$2:$J$201,MATCH($B110,Summary!$A$2:$A$201,0))</f>
        <v>2</v>
      </c>
      <c r="O110" s="2" t="n">
        <f aca="false">INDEX(Summary!$K$2:$K$201,MATCH($B110,Summary!$A$2:$A$201,0))</f>
        <v>10.35</v>
      </c>
      <c r="P110" s="3" t="n">
        <f aca="false">INDEX(Summary!$L$2:$L$201,MATCH($B110,Summary!$A$2:$A$201,0))</f>
        <v>5</v>
      </c>
      <c r="Q110" s="3" t="n">
        <f aca="false">INDEX(Summary!$M$2:$M$201,MATCH($B110,Summary!$A$2:$A$201,0))</f>
        <v>1</v>
      </c>
      <c r="R110" s="2" t="n">
        <f aca="false">INDEX(Summary!$N$2:$N$201,MATCH($B110,Summary!$A$2:$A$201,0))</f>
        <v>10.67</v>
      </c>
      <c r="S110" s="3" t="n">
        <f aca="false">INDEX(Summary!$O$2:$O$201,MATCH($B110,Summary!$A$2:$A$201,0))</f>
        <v>8</v>
      </c>
      <c r="T110" s="3" t="n">
        <f aca="false">INDEX(Summary!$P$2:$P$201,MATCH($B110,Summary!$A$2:$A$201,0))</f>
        <v>1</v>
      </c>
      <c r="U110" s="2" t="n">
        <f aca="false">INDEX(Summary!$Q$2:$Q$201,MATCH($B110,Summary!$A$2:$A$201,0))</f>
        <v>13.33</v>
      </c>
      <c r="V110" s="2" t="n">
        <f aca="false">INDEX(Summary!$R$2:$R$201,MATCH($B110,Summary!$A$2:$A$201,0))</f>
        <v>29.06</v>
      </c>
      <c r="W110" s="0" t="str">
        <f aca="false">INDEX(Summary!$S$2:$S$201,MATCH($B110,Summary!$A$2:$A$201,0))</f>
        <v>Gold</v>
      </c>
      <c r="X110" s="2" t="n">
        <f aca="false">INDEX(Summary!$T$2:$T$201,MATCH($B110,Summary!$A$2:$A$201,0))</f>
        <v>70.88</v>
      </c>
      <c r="Y110" s="0" t="str">
        <f aca="false">INDEX('Reward Model'!$E$18:$E$37,MATCH($E110,'Reward Model'!$A$18:$A$37,0))</f>
        <v>Medium</v>
      </c>
      <c r="Z110" s="4" t="n">
        <f aca="false">ROUND(MIN(1,MAX('Reward Model'!$B$2,INDEX('Reward Model'!$C$12:$C$14,MATCH($K110,'Reward Model'!$A$12:$A$14,0))/$J110)),3)</f>
        <v>1</v>
      </c>
      <c r="AA110" s="2" t="n">
        <f aca="false">IF($I110="Correct",ROUND(INDEX('Reward Model'!$B$12:$B$14,MATCH($K110,'Reward Model'!$A$12:$A$14,0))*Z110,2),0)</f>
        <v>0</v>
      </c>
      <c r="AB110" s="2" t="n">
        <f aca="false">IF($I110="Correct",ROUND(INDEX('Reward Model'!$B$12:$B$14,MATCH($Y110,'Reward Model'!$A$12:$A$14,0))*Z110,2),0)</f>
        <v>0</v>
      </c>
    </row>
    <row r="111" customFormat="false" ht="15" hidden="false" customHeight="false" outlineLevel="0" collapsed="false">
      <c r="A111" s="0" t="s">
        <v>106</v>
      </c>
      <c r="B111" s="0" t="s">
        <v>107</v>
      </c>
      <c r="C111" s="0" t="s">
        <v>30</v>
      </c>
      <c r="D111" s="0" t="s">
        <v>31</v>
      </c>
      <c r="E111" s="0" t="n">
        <v>10</v>
      </c>
      <c r="F111" s="0" t="s">
        <v>58</v>
      </c>
      <c r="G111" s="0" t="s">
        <v>59</v>
      </c>
      <c r="H111" s="0" t="s">
        <v>59</v>
      </c>
      <c r="I111" s="0" t="s">
        <v>34</v>
      </c>
      <c r="J111" s="0" t="n">
        <v>1.59</v>
      </c>
      <c r="K111" s="0" t="s">
        <v>60</v>
      </c>
      <c r="L111" s="0" t="n">
        <f aca="false">INDEX(Summary!$F$2:$F$201,MATCH($B111,Summary!$A$2:$A$201,0))</f>
        <v>20</v>
      </c>
      <c r="M111" s="0" t="n">
        <f aca="false">INDEX(Summary!$I$2:$I$201,MATCH($B111,Summary!$A$2:$A$201,0))</f>
        <v>3</v>
      </c>
      <c r="N111" s="0" t="n">
        <f aca="false">INDEX(Summary!$J$2:$J$201,MATCH($B111,Summary!$A$2:$A$201,0))</f>
        <v>2</v>
      </c>
      <c r="O111" s="2" t="n">
        <f aca="false">INDEX(Summary!$K$2:$K$201,MATCH($B111,Summary!$A$2:$A$201,0))</f>
        <v>10.35</v>
      </c>
      <c r="P111" s="3" t="n">
        <f aca="false">INDEX(Summary!$L$2:$L$201,MATCH($B111,Summary!$A$2:$A$201,0))</f>
        <v>5</v>
      </c>
      <c r="Q111" s="3" t="n">
        <f aca="false">INDEX(Summary!$M$2:$M$201,MATCH($B111,Summary!$A$2:$A$201,0))</f>
        <v>1</v>
      </c>
      <c r="R111" s="2" t="n">
        <f aca="false">INDEX(Summary!$N$2:$N$201,MATCH($B111,Summary!$A$2:$A$201,0))</f>
        <v>10.67</v>
      </c>
      <c r="S111" s="3" t="n">
        <f aca="false">INDEX(Summary!$O$2:$O$201,MATCH($B111,Summary!$A$2:$A$201,0))</f>
        <v>8</v>
      </c>
      <c r="T111" s="3" t="n">
        <f aca="false">INDEX(Summary!$P$2:$P$201,MATCH($B111,Summary!$A$2:$A$201,0))</f>
        <v>1</v>
      </c>
      <c r="U111" s="2" t="n">
        <f aca="false">INDEX(Summary!$Q$2:$Q$201,MATCH($B111,Summary!$A$2:$A$201,0))</f>
        <v>13.33</v>
      </c>
      <c r="V111" s="2" t="n">
        <f aca="false">INDEX(Summary!$R$2:$R$201,MATCH($B111,Summary!$A$2:$A$201,0))</f>
        <v>29.06</v>
      </c>
      <c r="W111" s="0" t="str">
        <f aca="false">INDEX(Summary!$S$2:$S$201,MATCH($B111,Summary!$A$2:$A$201,0))</f>
        <v>Gold</v>
      </c>
      <c r="X111" s="2" t="n">
        <f aca="false">INDEX(Summary!$T$2:$T$201,MATCH($B111,Summary!$A$2:$A$201,0))</f>
        <v>70.88</v>
      </c>
      <c r="Y111" s="0" t="str">
        <f aca="false">INDEX('Reward Model'!$E$18:$E$37,MATCH($E111,'Reward Model'!$A$18:$A$37,0))</f>
        <v>Medium</v>
      </c>
      <c r="Z111" s="4" t="n">
        <f aca="false">ROUND(MIN(1,MAX('Reward Model'!$B$2,INDEX('Reward Model'!$C$12:$C$14,MATCH($K111,'Reward Model'!$A$12:$A$14,0))/$J111)),3)</f>
        <v>1</v>
      </c>
      <c r="AA111" s="2" t="n">
        <f aca="false">IF($I111="Correct",ROUND(INDEX('Reward Model'!$B$12:$B$14,MATCH($K111,'Reward Model'!$A$12:$A$14,0))*Z111,2),0)</f>
        <v>2</v>
      </c>
      <c r="AB111" s="2" t="n">
        <f aca="false">IF($I111="Correct",ROUND(INDEX('Reward Model'!$B$12:$B$14,MATCH($Y111,'Reward Model'!$A$12:$A$14,0))*Z111,2),0)</f>
        <v>2</v>
      </c>
    </row>
    <row r="112" customFormat="false" ht="15" hidden="false" customHeight="false" outlineLevel="0" collapsed="false">
      <c r="A112" s="0" t="s">
        <v>106</v>
      </c>
      <c r="B112" s="0" t="s">
        <v>107</v>
      </c>
      <c r="C112" s="0" t="s">
        <v>30</v>
      </c>
      <c r="D112" s="0" t="s">
        <v>31</v>
      </c>
      <c r="E112" s="0" t="n">
        <v>11</v>
      </c>
      <c r="F112" s="0" t="s">
        <v>61</v>
      </c>
      <c r="G112" s="0" t="s">
        <v>63</v>
      </c>
      <c r="H112" s="0" t="s">
        <v>63</v>
      </c>
      <c r="I112" s="0" t="s">
        <v>34</v>
      </c>
      <c r="J112" s="0" t="n">
        <v>1.83</v>
      </c>
      <c r="K112" s="0" t="s">
        <v>60</v>
      </c>
      <c r="L112" s="0" t="n">
        <f aca="false">INDEX(Summary!$F$2:$F$201,MATCH($B112,Summary!$A$2:$A$201,0))</f>
        <v>20</v>
      </c>
      <c r="M112" s="0" t="n">
        <f aca="false">INDEX(Summary!$I$2:$I$201,MATCH($B112,Summary!$A$2:$A$201,0))</f>
        <v>3</v>
      </c>
      <c r="N112" s="0" t="n">
        <f aca="false">INDEX(Summary!$J$2:$J$201,MATCH($B112,Summary!$A$2:$A$201,0))</f>
        <v>2</v>
      </c>
      <c r="O112" s="2" t="n">
        <f aca="false">INDEX(Summary!$K$2:$K$201,MATCH($B112,Summary!$A$2:$A$201,0))</f>
        <v>10.35</v>
      </c>
      <c r="P112" s="3" t="n">
        <f aca="false">INDEX(Summary!$L$2:$L$201,MATCH($B112,Summary!$A$2:$A$201,0))</f>
        <v>5</v>
      </c>
      <c r="Q112" s="3" t="n">
        <f aca="false">INDEX(Summary!$M$2:$M$201,MATCH($B112,Summary!$A$2:$A$201,0))</f>
        <v>1</v>
      </c>
      <c r="R112" s="2" t="n">
        <f aca="false">INDEX(Summary!$N$2:$N$201,MATCH($B112,Summary!$A$2:$A$201,0))</f>
        <v>10.67</v>
      </c>
      <c r="S112" s="3" t="n">
        <f aca="false">INDEX(Summary!$O$2:$O$201,MATCH($B112,Summary!$A$2:$A$201,0))</f>
        <v>8</v>
      </c>
      <c r="T112" s="3" t="n">
        <f aca="false">INDEX(Summary!$P$2:$P$201,MATCH($B112,Summary!$A$2:$A$201,0))</f>
        <v>1</v>
      </c>
      <c r="U112" s="2" t="n">
        <f aca="false">INDEX(Summary!$Q$2:$Q$201,MATCH($B112,Summary!$A$2:$A$201,0))</f>
        <v>13.33</v>
      </c>
      <c r="V112" s="2" t="n">
        <f aca="false">INDEX(Summary!$R$2:$R$201,MATCH($B112,Summary!$A$2:$A$201,0))</f>
        <v>29.06</v>
      </c>
      <c r="W112" s="0" t="str">
        <f aca="false">INDEX(Summary!$S$2:$S$201,MATCH($B112,Summary!$A$2:$A$201,0))</f>
        <v>Gold</v>
      </c>
      <c r="X112" s="2" t="n">
        <f aca="false">INDEX(Summary!$T$2:$T$201,MATCH($B112,Summary!$A$2:$A$201,0))</f>
        <v>70.88</v>
      </c>
      <c r="Y112" s="0" t="str">
        <f aca="false">INDEX('Reward Model'!$E$18:$E$37,MATCH($E112,'Reward Model'!$A$18:$A$37,0))</f>
        <v>Medium</v>
      </c>
      <c r="Z112" s="4" t="n">
        <f aca="false">ROUND(MIN(1,MAX('Reward Model'!$B$2,INDEX('Reward Model'!$C$12:$C$14,MATCH($K112,'Reward Model'!$A$12:$A$14,0))/$J112)),3)</f>
        <v>0.984</v>
      </c>
      <c r="AA112" s="2" t="n">
        <f aca="false">IF($I112="Correct",ROUND(INDEX('Reward Model'!$B$12:$B$14,MATCH($K112,'Reward Model'!$A$12:$A$14,0))*Z112,2),0)</f>
        <v>1.97</v>
      </c>
      <c r="AB112" s="2" t="n">
        <f aca="false">IF($I112="Correct",ROUND(INDEX('Reward Model'!$B$12:$B$14,MATCH($Y112,'Reward Model'!$A$12:$A$14,0))*Z112,2),0)</f>
        <v>1.97</v>
      </c>
    </row>
    <row r="113" customFormat="false" ht="15" hidden="false" customHeight="false" outlineLevel="0" collapsed="false">
      <c r="A113" s="0" t="s">
        <v>106</v>
      </c>
      <c r="B113" s="0" t="s">
        <v>107</v>
      </c>
      <c r="C113" s="0" t="s">
        <v>30</v>
      </c>
      <c r="D113" s="0" t="s">
        <v>31</v>
      </c>
      <c r="E113" s="0" t="n">
        <v>12</v>
      </c>
      <c r="F113" s="0" t="s">
        <v>64</v>
      </c>
      <c r="G113" s="0" t="s">
        <v>65</v>
      </c>
      <c r="H113" s="0" t="s">
        <v>65</v>
      </c>
      <c r="I113" s="0" t="s">
        <v>34</v>
      </c>
      <c r="J113" s="0" t="n">
        <v>1.81</v>
      </c>
      <c r="K113" s="0" t="s">
        <v>60</v>
      </c>
      <c r="L113" s="0" t="n">
        <f aca="false">INDEX(Summary!$F$2:$F$201,MATCH($B113,Summary!$A$2:$A$201,0))</f>
        <v>20</v>
      </c>
      <c r="M113" s="0" t="n">
        <f aca="false">INDEX(Summary!$I$2:$I$201,MATCH($B113,Summary!$A$2:$A$201,0))</f>
        <v>3</v>
      </c>
      <c r="N113" s="0" t="n">
        <f aca="false">INDEX(Summary!$J$2:$J$201,MATCH($B113,Summary!$A$2:$A$201,0))</f>
        <v>2</v>
      </c>
      <c r="O113" s="2" t="n">
        <f aca="false">INDEX(Summary!$K$2:$K$201,MATCH($B113,Summary!$A$2:$A$201,0))</f>
        <v>10.35</v>
      </c>
      <c r="P113" s="3" t="n">
        <f aca="false">INDEX(Summary!$L$2:$L$201,MATCH($B113,Summary!$A$2:$A$201,0))</f>
        <v>5</v>
      </c>
      <c r="Q113" s="3" t="n">
        <f aca="false">INDEX(Summary!$M$2:$M$201,MATCH($B113,Summary!$A$2:$A$201,0))</f>
        <v>1</v>
      </c>
      <c r="R113" s="2" t="n">
        <f aca="false">INDEX(Summary!$N$2:$N$201,MATCH($B113,Summary!$A$2:$A$201,0))</f>
        <v>10.67</v>
      </c>
      <c r="S113" s="3" t="n">
        <f aca="false">INDEX(Summary!$O$2:$O$201,MATCH($B113,Summary!$A$2:$A$201,0))</f>
        <v>8</v>
      </c>
      <c r="T113" s="3" t="n">
        <f aca="false">INDEX(Summary!$P$2:$P$201,MATCH($B113,Summary!$A$2:$A$201,0))</f>
        <v>1</v>
      </c>
      <c r="U113" s="2" t="n">
        <f aca="false">INDEX(Summary!$Q$2:$Q$201,MATCH($B113,Summary!$A$2:$A$201,0))</f>
        <v>13.33</v>
      </c>
      <c r="V113" s="2" t="n">
        <f aca="false">INDEX(Summary!$R$2:$R$201,MATCH($B113,Summary!$A$2:$A$201,0))</f>
        <v>29.06</v>
      </c>
      <c r="W113" s="0" t="str">
        <f aca="false">INDEX(Summary!$S$2:$S$201,MATCH($B113,Summary!$A$2:$A$201,0))</f>
        <v>Gold</v>
      </c>
      <c r="X113" s="2" t="n">
        <f aca="false">INDEX(Summary!$T$2:$T$201,MATCH($B113,Summary!$A$2:$A$201,0))</f>
        <v>70.88</v>
      </c>
      <c r="Y113" s="0" t="str">
        <f aca="false">INDEX('Reward Model'!$E$18:$E$37,MATCH($E113,'Reward Model'!$A$18:$A$37,0))</f>
        <v>Medium</v>
      </c>
      <c r="Z113" s="4" t="n">
        <f aca="false">ROUND(MIN(1,MAX('Reward Model'!$B$2,INDEX('Reward Model'!$C$12:$C$14,MATCH($K113,'Reward Model'!$A$12:$A$14,0))/$J113)),3)</f>
        <v>0.994</v>
      </c>
      <c r="AA113" s="2" t="n">
        <f aca="false">IF($I113="Correct",ROUND(INDEX('Reward Model'!$B$12:$B$14,MATCH($K113,'Reward Model'!$A$12:$A$14,0))*Z113,2),0)</f>
        <v>1.99</v>
      </c>
      <c r="AB113" s="2" t="n">
        <f aca="false">IF($I113="Correct",ROUND(INDEX('Reward Model'!$B$12:$B$14,MATCH($Y113,'Reward Model'!$A$12:$A$14,0))*Z113,2),0)</f>
        <v>1.99</v>
      </c>
    </row>
    <row r="114" customFormat="false" ht="15" hidden="false" customHeight="false" outlineLevel="0" collapsed="false">
      <c r="A114" s="0" t="s">
        <v>106</v>
      </c>
      <c r="B114" s="0" t="s">
        <v>107</v>
      </c>
      <c r="C114" s="0" t="s">
        <v>30</v>
      </c>
      <c r="D114" s="0" t="s">
        <v>31</v>
      </c>
      <c r="E114" s="0" t="n">
        <v>13</v>
      </c>
      <c r="F114" s="0" t="s">
        <v>66</v>
      </c>
      <c r="G114" s="0" t="s">
        <v>67</v>
      </c>
      <c r="H114" s="0" t="s">
        <v>67</v>
      </c>
      <c r="I114" s="0" t="s">
        <v>34</v>
      </c>
      <c r="J114" s="0" t="n">
        <v>1.61</v>
      </c>
      <c r="K114" s="0" t="s">
        <v>60</v>
      </c>
      <c r="L114" s="0" t="n">
        <f aca="false">INDEX(Summary!$F$2:$F$201,MATCH($B114,Summary!$A$2:$A$201,0))</f>
        <v>20</v>
      </c>
      <c r="M114" s="0" t="n">
        <f aca="false">INDEX(Summary!$I$2:$I$201,MATCH($B114,Summary!$A$2:$A$201,0))</f>
        <v>3</v>
      </c>
      <c r="N114" s="0" t="n">
        <f aca="false">INDEX(Summary!$J$2:$J$201,MATCH($B114,Summary!$A$2:$A$201,0))</f>
        <v>2</v>
      </c>
      <c r="O114" s="2" t="n">
        <f aca="false">INDEX(Summary!$K$2:$K$201,MATCH($B114,Summary!$A$2:$A$201,0))</f>
        <v>10.35</v>
      </c>
      <c r="P114" s="3" t="n">
        <f aca="false">INDEX(Summary!$L$2:$L$201,MATCH($B114,Summary!$A$2:$A$201,0))</f>
        <v>5</v>
      </c>
      <c r="Q114" s="3" t="n">
        <f aca="false">INDEX(Summary!$M$2:$M$201,MATCH($B114,Summary!$A$2:$A$201,0))</f>
        <v>1</v>
      </c>
      <c r="R114" s="2" t="n">
        <f aca="false">INDEX(Summary!$N$2:$N$201,MATCH($B114,Summary!$A$2:$A$201,0))</f>
        <v>10.67</v>
      </c>
      <c r="S114" s="3" t="n">
        <f aca="false">INDEX(Summary!$O$2:$O$201,MATCH($B114,Summary!$A$2:$A$201,0))</f>
        <v>8</v>
      </c>
      <c r="T114" s="3" t="n">
        <f aca="false">INDEX(Summary!$P$2:$P$201,MATCH($B114,Summary!$A$2:$A$201,0))</f>
        <v>1</v>
      </c>
      <c r="U114" s="2" t="n">
        <f aca="false">INDEX(Summary!$Q$2:$Q$201,MATCH($B114,Summary!$A$2:$A$201,0))</f>
        <v>13.33</v>
      </c>
      <c r="V114" s="2" t="n">
        <f aca="false">INDEX(Summary!$R$2:$R$201,MATCH($B114,Summary!$A$2:$A$201,0))</f>
        <v>29.06</v>
      </c>
      <c r="W114" s="0" t="str">
        <f aca="false">INDEX(Summary!$S$2:$S$201,MATCH($B114,Summary!$A$2:$A$201,0))</f>
        <v>Gold</v>
      </c>
      <c r="X114" s="2" t="n">
        <f aca="false">INDEX(Summary!$T$2:$T$201,MATCH($B114,Summary!$A$2:$A$201,0))</f>
        <v>70.88</v>
      </c>
      <c r="Y114" s="0" t="str">
        <f aca="false">INDEX('Reward Model'!$E$18:$E$37,MATCH($E114,'Reward Model'!$A$18:$A$37,0))</f>
        <v>Medium</v>
      </c>
      <c r="Z114" s="4" t="n">
        <f aca="false">ROUND(MIN(1,MAX('Reward Model'!$B$2,INDEX('Reward Model'!$C$12:$C$14,MATCH($K114,'Reward Model'!$A$12:$A$14,0))/$J114)),3)</f>
        <v>1</v>
      </c>
      <c r="AA114" s="2" t="n">
        <f aca="false">IF($I114="Correct",ROUND(INDEX('Reward Model'!$B$12:$B$14,MATCH($K114,'Reward Model'!$A$12:$A$14,0))*Z114,2),0)</f>
        <v>2</v>
      </c>
      <c r="AB114" s="2" t="n">
        <f aca="false">IF($I114="Correct",ROUND(INDEX('Reward Model'!$B$12:$B$14,MATCH($Y114,'Reward Model'!$A$12:$A$14,0))*Z114,2),0)</f>
        <v>2</v>
      </c>
    </row>
    <row r="115" customFormat="false" ht="15" hidden="false" customHeight="false" outlineLevel="0" collapsed="false">
      <c r="A115" s="0" t="s">
        <v>106</v>
      </c>
      <c r="B115" s="0" t="s">
        <v>107</v>
      </c>
      <c r="C115" s="0" t="s">
        <v>30</v>
      </c>
      <c r="D115" s="0" t="s">
        <v>31</v>
      </c>
      <c r="E115" s="0" t="n">
        <v>14</v>
      </c>
      <c r="F115" s="0" t="s">
        <v>68</v>
      </c>
      <c r="G115" s="0" t="s">
        <v>51</v>
      </c>
      <c r="H115" s="0" t="s">
        <v>51</v>
      </c>
      <c r="I115" s="0" t="s">
        <v>34</v>
      </c>
      <c r="J115" s="0" t="n">
        <v>1.91</v>
      </c>
      <c r="K115" s="0" t="s">
        <v>60</v>
      </c>
      <c r="L115" s="0" t="n">
        <f aca="false">INDEX(Summary!$F$2:$F$201,MATCH($B115,Summary!$A$2:$A$201,0))</f>
        <v>20</v>
      </c>
      <c r="M115" s="0" t="n">
        <f aca="false">INDEX(Summary!$I$2:$I$201,MATCH($B115,Summary!$A$2:$A$201,0))</f>
        <v>3</v>
      </c>
      <c r="N115" s="0" t="n">
        <f aca="false">INDEX(Summary!$J$2:$J$201,MATCH($B115,Summary!$A$2:$A$201,0))</f>
        <v>2</v>
      </c>
      <c r="O115" s="2" t="n">
        <f aca="false">INDEX(Summary!$K$2:$K$201,MATCH($B115,Summary!$A$2:$A$201,0))</f>
        <v>10.35</v>
      </c>
      <c r="P115" s="3" t="n">
        <f aca="false">INDEX(Summary!$L$2:$L$201,MATCH($B115,Summary!$A$2:$A$201,0))</f>
        <v>5</v>
      </c>
      <c r="Q115" s="3" t="n">
        <f aca="false">INDEX(Summary!$M$2:$M$201,MATCH($B115,Summary!$A$2:$A$201,0))</f>
        <v>1</v>
      </c>
      <c r="R115" s="2" t="n">
        <f aca="false">INDEX(Summary!$N$2:$N$201,MATCH($B115,Summary!$A$2:$A$201,0))</f>
        <v>10.67</v>
      </c>
      <c r="S115" s="3" t="n">
        <f aca="false">INDEX(Summary!$O$2:$O$201,MATCH($B115,Summary!$A$2:$A$201,0))</f>
        <v>8</v>
      </c>
      <c r="T115" s="3" t="n">
        <f aca="false">INDEX(Summary!$P$2:$P$201,MATCH($B115,Summary!$A$2:$A$201,0))</f>
        <v>1</v>
      </c>
      <c r="U115" s="2" t="n">
        <f aca="false">INDEX(Summary!$Q$2:$Q$201,MATCH($B115,Summary!$A$2:$A$201,0))</f>
        <v>13.33</v>
      </c>
      <c r="V115" s="2" t="n">
        <f aca="false">INDEX(Summary!$R$2:$R$201,MATCH($B115,Summary!$A$2:$A$201,0))</f>
        <v>29.06</v>
      </c>
      <c r="W115" s="0" t="str">
        <f aca="false">INDEX(Summary!$S$2:$S$201,MATCH($B115,Summary!$A$2:$A$201,0))</f>
        <v>Gold</v>
      </c>
      <c r="X115" s="2" t="n">
        <f aca="false">INDEX(Summary!$T$2:$T$201,MATCH($B115,Summary!$A$2:$A$201,0))</f>
        <v>70.88</v>
      </c>
      <c r="Y115" s="0" t="str">
        <f aca="false">INDEX('Reward Model'!$E$18:$E$37,MATCH($E115,'Reward Model'!$A$18:$A$37,0))</f>
        <v>Medium</v>
      </c>
      <c r="Z115" s="4" t="n">
        <f aca="false">ROUND(MIN(1,MAX('Reward Model'!$B$2,INDEX('Reward Model'!$C$12:$C$14,MATCH($K115,'Reward Model'!$A$12:$A$14,0))/$J115)),3)</f>
        <v>0.942</v>
      </c>
      <c r="AA115" s="2" t="n">
        <f aca="false">IF($I115="Correct",ROUND(INDEX('Reward Model'!$B$12:$B$14,MATCH($K115,'Reward Model'!$A$12:$A$14,0))*Z115,2),0)</f>
        <v>1.88</v>
      </c>
      <c r="AB115" s="2" t="n">
        <f aca="false">IF($I115="Correct",ROUND(INDEX('Reward Model'!$B$12:$B$14,MATCH($Y115,'Reward Model'!$A$12:$A$14,0))*Z115,2),0)</f>
        <v>1.88</v>
      </c>
    </row>
    <row r="116" customFormat="false" ht="15" hidden="false" customHeight="false" outlineLevel="0" collapsed="false">
      <c r="A116" s="0" t="s">
        <v>106</v>
      </c>
      <c r="B116" s="0" t="s">
        <v>107</v>
      </c>
      <c r="C116" s="0" t="s">
        <v>30</v>
      </c>
      <c r="D116" s="0" t="s">
        <v>31</v>
      </c>
      <c r="E116" s="0" t="n">
        <v>15</v>
      </c>
      <c r="F116" s="0" t="s">
        <v>69</v>
      </c>
      <c r="G116" s="0" t="s">
        <v>94</v>
      </c>
      <c r="H116" s="0" t="s">
        <v>70</v>
      </c>
      <c r="I116" s="0" t="s">
        <v>39</v>
      </c>
      <c r="J116" s="0" t="n">
        <v>1.92</v>
      </c>
      <c r="K116" s="0" t="s">
        <v>60</v>
      </c>
      <c r="L116" s="0" t="n">
        <f aca="false">INDEX(Summary!$F$2:$F$201,MATCH($B116,Summary!$A$2:$A$201,0))</f>
        <v>20</v>
      </c>
      <c r="M116" s="0" t="n">
        <f aca="false">INDEX(Summary!$I$2:$I$201,MATCH($B116,Summary!$A$2:$A$201,0))</f>
        <v>3</v>
      </c>
      <c r="N116" s="0" t="n">
        <f aca="false">INDEX(Summary!$J$2:$J$201,MATCH($B116,Summary!$A$2:$A$201,0))</f>
        <v>2</v>
      </c>
      <c r="O116" s="2" t="n">
        <f aca="false">INDEX(Summary!$K$2:$K$201,MATCH($B116,Summary!$A$2:$A$201,0))</f>
        <v>10.35</v>
      </c>
      <c r="P116" s="3" t="n">
        <f aca="false">INDEX(Summary!$L$2:$L$201,MATCH($B116,Summary!$A$2:$A$201,0))</f>
        <v>5</v>
      </c>
      <c r="Q116" s="3" t="n">
        <f aca="false">INDEX(Summary!$M$2:$M$201,MATCH($B116,Summary!$A$2:$A$201,0))</f>
        <v>1</v>
      </c>
      <c r="R116" s="2" t="n">
        <f aca="false">INDEX(Summary!$N$2:$N$201,MATCH($B116,Summary!$A$2:$A$201,0))</f>
        <v>10.67</v>
      </c>
      <c r="S116" s="3" t="n">
        <f aca="false">INDEX(Summary!$O$2:$O$201,MATCH($B116,Summary!$A$2:$A$201,0))</f>
        <v>8</v>
      </c>
      <c r="T116" s="3" t="n">
        <f aca="false">INDEX(Summary!$P$2:$P$201,MATCH($B116,Summary!$A$2:$A$201,0))</f>
        <v>1</v>
      </c>
      <c r="U116" s="2" t="n">
        <f aca="false">INDEX(Summary!$Q$2:$Q$201,MATCH($B116,Summary!$A$2:$A$201,0))</f>
        <v>13.33</v>
      </c>
      <c r="V116" s="2" t="n">
        <f aca="false">INDEX(Summary!$R$2:$R$201,MATCH($B116,Summary!$A$2:$A$201,0))</f>
        <v>29.06</v>
      </c>
      <c r="W116" s="0" t="str">
        <f aca="false">INDEX(Summary!$S$2:$S$201,MATCH($B116,Summary!$A$2:$A$201,0))</f>
        <v>Gold</v>
      </c>
      <c r="X116" s="2" t="n">
        <f aca="false">INDEX(Summary!$T$2:$T$201,MATCH($B116,Summary!$A$2:$A$201,0))</f>
        <v>70.88</v>
      </c>
      <c r="Y116" s="0" t="str">
        <f aca="false">INDEX('Reward Model'!$E$18:$E$37,MATCH($E116,'Reward Model'!$A$18:$A$37,0))</f>
        <v>Medium</v>
      </c>
      <c r="Z116" s="4" t="n">
        <f aca="false">ROUND(MIN(1,MAX('Reward Model'!$B$2,INDEX('Reward Model'!$C$12:$C$14,MATCH($K116,'Reward Model'!$A$12:$A$14,0))/$J116)),3)</f>
        <v>0.938</v>
      </c>
      <c r="AA116" s="2" t="n">
        <f aca="false">IF($I116="Correct",ROUND(INDEX('Reward Model'!$B$12:$B$14,MATCH($K116,'Reward Model'!$A$12:$A$14,0))*Z116,2),0)</f>
        <v>0</v>
      </c>
      <c r="AB116" s="2" t="n">
        <f aca="false">IF($I116="Correct",ROUND(INDEX('Reward Model'!$B$12:$B$14,MATCH($Y116,'Reward Model'!$A$12:$A$14,0))*Z116,2),0)</f>
        <v>0</v>
      </c>
    </row>
    <row r="117" customFormat="false" ht="15" hidden="false" customHeight="false" outlineLevel="0" collapsed="false">
      <c r="A117" s="0" t="s">
        <v>106</v>
      </c>
      <c r="B117" s="0" t="s">
        <v>107</v>
      </c>
      <c r="C117" s="0" t="s">
        <v>30</v>
      </c>
      <c r="D117" s="0" t="s">
        <v>31</v>
      </c>
      <c r="E117" s="0" t="n">
        <v>16</v>
      </c>
      <c r="F117" s="0" t="s">
        <v>71</v>
      </c>
      <c r="G117" s="0" t="s">
        <v>104</v>
      </c>
      <c r="H117" s="0" t="s">
        <v>72</v>
      </c>
      <c r="I117" s="0" t="s">
        <v>39</v>
      </c>
      <c r="J117" s="0" t="n">
        <v>2.15</v>
      </c>
      <c r="K117" s="0" t="s">
        <v>73</v>
      </c>
      <c r="L117" s="0" t="n">
        <f aca="false">INDEX(Summary!$F$2:$F$201,MATCH($B117,Summary!$A$2:$A$201,0))</f>
        <v>20</v>
      </c>
      <c r="M117" s="0" t="n">
        <f aca="false">INDEX(Summary!$I$2:$I$201,MATCH($B117,Summary!$A$2:$A$201,0))</f>
        <v>3</v>
      </c>
      <c r="N117" s="0" t="n">
        <f aca="false">INDEX(Summary!$J$2:$J$201,MATCH($B117,Summary!$A$2:$A$201,0))</f>
        <v>2</v>
      </c>
      <c r="O117" s="2" t="n">
        <f aca="false">INDEX(Summary!$K$2:$K$201,MATCH($B117,Summary!$A$2:$A$201,0))</f>
        <v>10.35</v>
      </c>
      <c r="P117" s="3" t="n">
        <f aca="false">INDEX(Summary!$L$2:$L$201,MATCH($B117,Summary!$A$2:$A$201,0))</f>
        <v>5</v>
      </c>
      <c r="Q117" s="3" t="n">
        <f aca="false">INDEX(Summary!$M$2:$M$201,MATCH($B117,Summary!$A$2:$A$201,0))</f>
        <v>1</v>
      </c>
      <c r="R117" s="2" t="n">
        <f aca="false">INDEX(Summary!$N$2:$N$201,MATCH($B117,Summary!$A$2:$A$201,0))</f>
        <v>10.67</v>
      </c>
      <c r="S117" s="3" t="n">
        <f aca="false">INDEX(Summary!$O$2:$O$201,MATCH($B117,Summary!$A$2:$A$201,0))</f>
        <v>8</v>
      </c>
      <c r="T117" s="3" t="n">
        <f aca="false">INDEX(Summary!$P$2:$P$201,MATCH($B117,Summary!$A$2:$A$201,0))</f>
        <v>1</v>
      </c>
      <c r="U117" s="2" t="n">
        <f aca="false">INDEX(Summary!$Q$2:$Q$201,MATCH($B117,Summary!$A$2:$A$201,0))</f>
        <v>13.33</v>
      </c>
      <c r="V117" s="2" t="n">
        <f aca="false">INDEX(Summary!$R$2:$R$201,MATCH($B117,Summary!$A$2:$A$201,0))</f>
        <v>29.06</v>
      </c>
      <c r="W117" s="0" t="str">
        <f aca="false">INDEX(Summary!$S$2:$S$201,MATCH($B117,Summary!$A$2:$A$201,0))</f>
        <v>Gold</v>
      </c>
      <c r="X117" s="2" t="n">
        <f aca="false">INDEX(Summary!$T$2:$T$201,MATCH($B117,Summary!$A$2:$A$201,0))</f>
        <v>70.88</v>
      </c>
      <c r="Y117" s="0" t="str">
        <f aca="false">INDEX('Reward Model'!$E$18:$E$37,MATCH($E117,'Reward Model'!$A$18:$A$37,0))</f>
        <v>High</v>
      </c>
      <c r="Z117" s="4" t="n">
        <f aca="false">ROUND(MIN(1,MAX('Reward Model'!$B$2,INDEX('Reward Model'!$C$12:$C$14,MATCH($K117,'Reward Model'!$A$12:$A$14,0))/$J117)),3)</f>
        <v>0.93</v>
      </c>
      <c r="AA117" s="2" t="n">
        <f aca="false">IF($I117="Correct",ROUND(INDEX('Reward Model'!$B$12:$B$14,MATCH($K117,'Reward Model'!$A$12:$A$14,0))*Z117,2),0)</f>
        <v>0</v>
      </c>
      <c r="AB117" s="2" t="n">
        <f aca="false">IF($I117="Correct",ROUND(INDEX('Reward Model'!$B$12:$B$14,MATCH($Y117,'Reward Model'!$A$12:$A$14,0))*Z117,2),0)</f>
        <v>0</v>
      </c>
    </row>
    <row r="118" customFormat="false" ht="15" hidden="false" customHeight="false" outlineLevel="0" collapsed="false">
      <c r="A118" s="0" t="s">
        <v>106</v>
      </c>
      <c r="B118" s="0" t="s">
        <v>107</v>
      </c>
      <c r="C118" s="0" t="s">
        <v>30</v>
      </c>
      <c r="D118" s="0" t="s">
        <v>31</v>
      </c>
      <c r="E118" s="0" t="n">
        <v>17</v>
      </c>
      <c r="F118" s="0" t="s">
        <v>74</v>
      </c>
      <c r="G118" s="0" t="s">
        <v>105</v>
      </c>
      <c r="H118" s="0" t="s">
        <v>75</v>
      </c>
      <c r="I118" s="0" t="s">
        <v>39</v>
      </c>
      <c r="J118" s="0" t="n">
        <v>1.74</v>
      </c>
      <c r="K118" s="0" t="s">
        <v>73</v>
      </c>
      <c r="L118" s="0" t="n">
        <f aca="false">INDEX(Summary!$F$2:$F$201,MATCH($B118,Summary!$A$2:$A$201,0))</f>
        <v>20</v>
      </c>
      <c r="M118" s="0" t="n">
        <f aca="false">INDEX(Summary!$I$2:$I$201,MATCH($B118,Summary!$A$2:$A$201,0))</f>
        <v>3</v>
      </c>
      <c r="N118" s="0" t="n">
        <f aca="false">INDEX(Summary!$J$2:$J$201,MATCH($B118,Summary!$A$2:$A$201,0))</f>
        <v>2</v>
      </c>
      <c r="O118" s="2" t="n">
        <f aca="false">INDEX(Summary!$K$2:$K$201,MATCH($B118,Summary!$A$2:$A$201,0))</f>
        <v>10.35</v>
      </c>
      <c r="P118" s="3" t="n">
        <f aca="false">INDEX(Summary!$L$2:$L$201,MATCH($B118,Summary!$A$2:$A$201,0))</f>
        <v>5</v>
      </c>
      <c r="Q118" s="3" t="n">
        <f aca="false">INDEX(Summary!$M$2:$M$201,MATCH($B118,Summary!$A$2:$A$201,0))</f>
        <v>1</v>
      </c>
      <c r="R118" s="2" t="n">
        <f aca="false">INDEX(Summary!$N$2:$N$201,MATCH($B118,Summary!$A$2:$A$201,0))</f>
        <v>10.67</v>
      </c>
      <c r="S118" s="3" t="n">
        <f aca="false">INDEX(Summary!$O$2:$O$201,MATCH($B118,Summary!$A$2:$A$201,0))</f>
        <v>8</v>
      </c>
      <c r="T118" s="3" t="n">
        <f aca="false">INDEX(Summary!$P$2:$P$201,MATCH($B118,Summary!$A$2:$A$201,0))</f>
        <v>1</v>
      </c>
      <c r="U118" s="2" t="n">
        <f aca="false">INDEX(Summary!$Q$2:$Q$201,MATCH($B118,Summary!$A$2:$A$201,0))</f>
        <v>13.33</v>
      </c>
      <c r="V118" s="2" t="n">
        <f aca="false">INDEX(Summary!$R$2:$R$201,MATCH($B118,Summary!$A$2:$A$201,0))</f>
        <v>29.06</v>
      </c>
      <c r="W118" s="0" t="str">
        <f aca="false">INDEX(Summary!$S$2:$S$201,MATCH($B118,Summary!$A$2:$A$201,0))</f>
        <v>Gold</v>
      </c>
      <c r="X118" s="2" t="n">
        <f aca="false">INDEX(Summary!$T$2:$T$201,MATCH($B118,Summary!$A$2:$A$201,0))</f>
        <v>70.88</v>
      </c>
      <c r="Y118" s="0" t="str">
        <f aca="false">INDEX('Reward Model'!$E$18:$E$37,MATCH($E118,'Reward Model'!$A$18:$A$37,0))</f>
        <v>High</v>
      </c>
      <c r="Z118" s="4" t="n">
        <f aca="false">ROUND(MIN(1,MAX('Reward Model'!$B$2,INDEX('Reward Model'!$C$12:$C$14,MATCH($K118,'Reward Model'!$A$12:$A$14,0))/$J118)),3)</f>
        <v>1</v>
      </c>
      <c r="AA118" s="2" t="n">
        <f aca="false">IF($I118="Correct",ROUND(INDEX('Reward Model'!$B$12:$B$14,MATCH($K118,'Reward Model'!$A$12:$A$14,0))*Z118,2),0)</f>
        <v>0</v>
      </c>
      <c r="AB118" s="2" t="n">
        <f aca="false">IF($I118="Correct",ROUND(INDEX('Reward Model'!$B$12:$B$14,MATCH($Y118,'Reward Model'!$A$12:$A$14,0))*Z118,2),0)</f>
        <v>0</v>
      </c>
    </row>
    <row r="119" customFormat="false" ht="15" hidden="false" customHeight="false" outlineLevel="0" collapsed="false">
      <c r="A119" s="0" t="s">
        <v>106</v>
      </c>
      <c r="B119" s="0" t="s">
        <v>107</v>
      </c>
      <c r="C119" s="0" t="s">
        <v>30</v>
      </c>
      <c r="D119" s="0" t="s">
        <v>31</v>
      </c>
      <c r="E119" s="0" t="n">
        <v>18</v>
      </c>
      <c r="F119" s="0" t="s">
        <v>76</v>
      </c>
      <c r="G119" s="0" t="s">
        <v>77</v>
      </c>
      <c r="H119" s="0" t="s">
        <v>77</v>
      </c>
      <c r="I119" s="0" t="s">
        <v>34</v>
      </c>
      <c r="J119" s="0" t="n">
        <v>2.53</v>
      </c>
      <c r="K119" s="0" t="s">
        <v>73</v>
      </c>
      <c r="L119" s="0" t="n">
        <f aca="false">INDEX(Summary!$F$2:$F$201,MATCH($B119,Summary!$A$2:$A$201,0))</f>
        <v>20</v>
      </c>
      <c r="M119" s="0" t="n">
        <f aca="false">INDEX(Summary!$I$2:$I$201,MATCH($B119,Summary!$A$2:$A$201,0))</f>
        <v>3</v>
      </c>
      <c r="N119" s="0" t="n">
        <f aca="false">INDEX(Summary!$J$2:$J$201,MATCH($B119,Summary!$A$2:$A$201,0))</f>
        <v>2</v>
      </c>
      <c r="O119" s="2" t="n">
        <f aca="false">INDEX(Summary!$K$2:$K$201,MATCH($B119,Summary!$A$2:$A$201,0))</f>
        <v>10.35</v>
      </c>
      <c r="P119" s="3" t="n">
        <f aca="false">INDEX(Summary!$L$2:$L$201,MATCH($B119,Summary!$A$2:$A$201,0))</f>
        <v>5</v>
      </c>
      <c r="Q119" s="3" t="n">
        <f aca="false">INDEX(Summary!$M$2:$M$201,MATCH($B119,Summary!$A$2:$A$201,0))</f>
        <v>1</v>
      </c>
      <c r="R119" s="2" t="n">
        <f aca="false">INDEX(Summary!$N$2:$N$201,MATCH($B119,Summary!$A$2:$A$201,0))</f>
        <v>10.67</v>
      </c>
      <c r="S119" s="3" t="n">
        <f aca="false">INDEX(Summary!$O$2:$O$201,MATCH($B119,Summary!$A$2:$A$201,0))</f>
        <v>8</v>
      </c>
      <c r="T119" s="3" t="n">
        <f aca="false">INDEX(Summary!$P$2:$P$201,MATCH($B119,Summary!$A$2:$A$201,0))</f>
        <v>1</v>
      </c>
      <c r="U119" s="2" t="n">
        <f aca="false">INDEX(Summary!$Q$2:$Q$201,MATCH($B119,Summary!$A$2:$A$201,0))</f>
        <v>13.33</v>
      </c>
      <c r="V119" s="2" t="n">
        <f aca="false">INDEX(Summary!$R$2:$R$201,MATCH($B119,Summary!$A$2:$A$201,0))</f>
        <v>29.06</v>
      </c>
      <c r="W119" s="0" t="str">
        <f aca="false">INDEX(Summary!$S$2:$S$201,MATCH($B119,Summary!$A$2:$A$201,0))</f>
        <v>Gold</v>
      </c>
      <c r="X119" s="2" t="n">
        <f aca="false">INDEX(Summary!$T$2:$T$201,MATCH($B119,Summary!$A$2:$A$201,0))</f>
        <v>70.88</v>
      </c>
      <c r="Y119" s="0" t="str">
        <f aca="false">INDEX('Reward Model'!$E$18:$E$37,MATCH($E119,'Reward Model'!$A$18:$A$37,0))</f>
        <v>High</v>
      </c>
      <c r="Z119" s="4" t="n">
        <f aca="false">ROUND(MIN(1,MAX('Reward Model'!$B$2,INDEX('Reward Model'!$C$12:$C$14,MATCH($K119,'Reward Model'!$A$12:$A$14,0))/$J119)),3)</f>
        <v>0.791</v>
      </c>
      <c r="AA119" s="2" t="n">
        <f aca="false">IF($I119="Correct",ROUND(INDEX('Reward Model'!$B$12:$B$14,MATCH($K119,'Reward Model'!$A$12:$A$14,0))*Z119,2),0)</f>
        <v>2.37</v>
      </c>
      <c r="AB119" s="2" t="n">
        <f aca="false">IF($I119="Correct",ROUND(INDEX('Reward Model'!$B$12:$B$14,MATCH($Y119,'Reward Model'!$A$12:$A$14,0))*Z119,2),0)</f>
        <v>2.37</v>
      </c>
    </row>
    <row r="120" customFormat="false" ht="15" hidden="false" customHeight="false" outlineLevel="0" collapsed="false">
      <c r="A120" s="0" t="s">
        <v>106</v>
      </c>
      <c r="B120" s="0" t="s">
        <v>107</v>
      </c>
      <c r="C120" s="0" t="s">
        <v>30</v>
      </c>
      <c r="D120" s="0" t="s">
        <v>31</v>
      </c>
      <c r="E120" s="0" t="n">
        <v>19</v>
      </c>
      <c r="F120" s="0" t="s">
        <v>78</v>
      </c>
      <c r="G120" s="0" t="s">
        <v>80</v>
      </c>
      <c r="H120" s="0" t="s">
        <v>80</v>
      </c>
      <c r="I120" s="0" t="s">
        <v>34</v>
      </c>
      <c r="J120" s="0" t="n">
        <v>1.7</v>
      </c>
      <c r="K120" s="0" t="s">
        <v>73</v>
      </c>
      <c r="L120" s="0" t="n">
        <f aca="false">INDEX(Summary!$F$2:$F$201,MATCH($B120,Summary!$A$2:$A$201,0))</f>
        <v>20</v>
      </c>
      <c r="M120" s="0" t="n">
        <f aca="false">INDEX(Summary!$I$2:$I$201,MATCH($B120,Summary!$A$2:$A$201,0))</f>
        <v>3</v>
      </c>
      <c r="N120" s="0" t="n">
        <f aca="false">INDEX(Summary!$J$2:$J$201,MATCH($B120,Summary!$A$2:$A$201,0))</f>
        <v>2</v>
      </c>
      <c r="O120" s="2" t="n">
        <f aca="false">INDEX(Summary!$K$2:$K$201,MATCH($B120,Summary!$A$2:$A$201,0))</f>
        <v>10.35</v>
      </c>
      <c r="P120" s="3" t="n">
        <f aca="false">INDEX(Summary!$L$2:$L$201,MATCH($B120,Summary!$A$2:$A$201,0))</f>
        <v>5</v>
      </c>
      <c r="Q120" s="3" t="n">
        <f aca="false">INDEX(Summary!$M$2:$M$201,MATCH($B120,Summary!$A$2:$A$201,0))</f>
        <v>1</v>
      </c>
      <c r="R120" s="2" t="n">
        <f aca="false">INDEX(Summary!$N$2:$N$201,MATCH($B120,Summary!$A$2:$A$201,0))</f>
        <v>10.67</v>
      </c>
      <c r="S120" s="3" t="n">
        <f aca="false">INDEX(Summary!$O$2:$O$201,MATCH($B120,Summary!$A$2:$A$201,0))</f>
        <v>8</v>
      </c>
      <c r="T120" s="3" t="n">
        <f aca="false">INDEX(Summary!$P$2:$P$201,MATCH($B120,Summary!$A$2:$A$201,0))</f>
        <v>1</v>
      </c>
      <c r="U120" s="2" t="n">
        <f aca="false">INDEX(Summary!$Q$2:$Q$201,MATCH($B120,Summary!$A$2:$A$201,0))</f>
        <v>13.33</v>
      </c>
      <c r="V120" s="2" t="n">
        <f aca="false">INDEX(Summary!$R$2:$R$201,MATCH($B120,Summary!$A$2:$A$201,0))</f>
        <v>29.06</v>
      </c>
      <c r="W120" s="0" t="str">
        <f aca="false">INDEX(Summary!$S$2:$S$201,MATCH($B120,Summary!$A$2:$A$201,0))</f>
        <v>Gold</v>
      </c>
      <c r="X120" s="2" t="n">
        <f aca="false">INDEX(Summary!$T$2:$T$201,MATCH($B120,Summary!$A$2:$A$201,0))</f>
        <v>70.88</v>
      </c>
      <c r="Y120" s="0" t="str">
        <f aca="false">INDEX('Reward Model'!$E$18:$E$37,MATCH($E120,'Reward Model'!$A$18:$A$37,0))</f>
        <v>High</v>
      </c>
      <c r="Z120" s="4" t="n">
        <f aca="false">ROUND(MIN(1,MAX('Reward Model'!$B$2,INDEX('Reward Model'!$C$12:$C$14,MATCH($K120,'Reward Model'!$A$12:$A$14,0))/$J120)),3)</f>
        <v>1</v>
      </c>
      <c r="AA120" s="2" t="n">
        <f aca="false">IF($I120="Correct",ROUND(INDEX('Reward Model'!$B$12:$B$14,MATCH($K120,'Reward Model'!$A$12:$A$14,0))*Z120,2),0)</f>
        <v>3</v>
      </c>
      <c r="AB120" s="2" t="n">
        <f aca="false">IF($I120="Correct",ROUND(INDEX('Reward Model'!$B$12:$B$14,MATCH($Y120,'Reward Model'!$A$12:$A$14,0))*Z120,2),0)</f>
        <v>3</v>
      </c>
    </row>
    <row r="121" customFormat="false" ht="15" hidden="false" customHeight="false" outlineLevel="0" collapsed="false">
      <c r="A121" s="0" t="s">
        <v>106</v>
      </c>
      <c r="B121" s="0" t="s">
        <v>107</v>
      </c>
      <c r="C121" s="0" t="s">
        <v>30</v>
      </c>
      <c r="D121" s="0" t="s">
        <v>31</v>
      </c>
      <c r="E121" s="0" t="n">
        <v>20</v>
      </c>
      <c r="F121" s="0" t="s">
        <v>81</v>
      </c>
      <c r="G121" s="0" t="s">
        <v>83</v>
      </c>
      <c r="H121" s="0" t="s">
        <v>83</v>
      </c>
      <c r="I121" s="0" t="s">
        <v>34</v>
      </c>
      <c r="J121" s="0" t="n">
        <v>2.23</v>
      </c>
      <c r="K121" s="0" t="s">
        <v>73</v>
      </c>
      <c r="L121" s="0" t="n">
        <f aca="false">INDEX(Summary!$F$2:$F$201,MATCH($B121,Summary!$A$2:$A$201,0))</f>
        <v>20</v>
      </c>
      <c r="M121" s="0" t="n">
        <f aca="false">INDEX(Summary!$I$2:$I$201,MATCH($B121,Summary!$A$2:$A$201,0))</f>
        <v>3</v>
      </c>
      <c r="N121" s="0" t="n">
        <f aca="false">INDEX(Summary!$J$2:$J$201,MATCH($B121,Summary!$A$2:$A$201,0))</f>
        <v>2</v>
      </c>
      <c r="O121" s="2" t="n">
        <f aca="false">INDEX(Summary!$K$2:$K$201,MATCH($B121,Summary!$A$2:$A$201,0))</f>
        <v>10.35</v>
      </c>
      <c r="P121" s="3" t="n">
        <f aca="false">INDEX(Summary!$L$2:$L$201,MATCH($B121,Summary!$A$2:$A$201,0))</f>
        <v>5</v>
      </c>
      <c r="Q121" s="3" t="n">
        <f aca="false">INDEX(Summary!$M$2:$M$201,MATCH($B121,Summary!$A$2:$A$201,0))</f>
        <v>1</v>
      </c>
      <c r="R121" s="2" t="n">
        <f aca="false">INDEX(Summary!$N$2:$N$201,MATCH($B121,Summary!$A$2:$A$201,0))</f>
        <v>10.67</v>
      </c>
      <c r="S121" s="3" t="n">
        <f aca="false">INDEX(Summary!$O$2:$O$201,MATCH($B121,Summary!$A$2:$A$201,0))</f>
        <v>8</v>
      </c>
      <c r="T121" s="3" t="n">
        <f aca="false">INDEX(Summary!$P$2:$P$201,MATCH($B121,Summary!$A$2:$A$201,0))</f>
        <v>1</v>
      </c>
      <c r="U121" s="2" t="n">
        <f aca="false">INDEX(Summary!$Q$2:$Q$201,MATCH($B121,Summary!$A$2:$A$201,0))</f>
        <v>13.33</v>
      </c>
      <c r="V121" s="2" t="n">
        <f aca="false">INDEX(Summary!$R$2:$R$201,MATCH($B121,Summary!$A$2:$A$201,0))</f>
        <v>29.06</v>
      </c>
      <c r="W121" s="0" t="str">
        <f aca="false">INDEX(Summary!$S$2:$S$201,MATCH($B121,Summary!$A$2:$A$201,0))</f>
        <v>Gold</v>
      </c>
      <c r="X121" s="2" t="n">
        <f aca="false">INDEX(Summary!$T$2:$T$201,MATCH($B121,Summary!$A$2:$A$201,0))</f>
        <v>70.88</v>
      </c>
      <c r="Y121" s="0" t="str">
        <f aca="false">INDEX('Reward Model'!$E$18:$E$37,MATCH($E121,'Reward Model'!$A$18:$A$37,0))</f>
        <v>High</v>
      </c>
      <c r="Z121" s="4" t="n">
        <f aca="false">ROUND(MIN(1,MAX('Reward Model'!$B$2,INDEX('Reward Model'!$C$12:$C$14,MATCH($K121,'Reward Model'!$A$12:$A$14,0))/$J121)),3)</f>
        <v>0.897</v>
      </c>
      <c r="AA121" s="2" t="n">
        <f aca="false">IF($I121="Correct",ROUND(INDEX('Reward Model'!$B$12:$B$14,MATCH($K121,'Reward Model'!$A$12:$A$14,0))*Z121,2),0)</f>
        <v>2.69</v>
      </c>
      <c r="AB121" s="2" t="n">
        <f aca="false">IF($I121="Correct",ROUND(INDEX('Reward Model'!$B$12:$B$14,MATCH($Y121,'Reward Model'!$A$12:$A$14,0))*Z121,2),0)</f>
        <v>2.69</v>
      </c>
    </row>
    <row r="122" customFormat="false" ht="15" hidden="false" customHeight="false" outlineLevel="0" collapsed="false">
      <c r="A122" s="0" t="s">
        <v>109</v>
      </c>
      <c r="B122" s="0" t="s">
        <v>110</v>
      </c>
      <c r="C122" s="0" t="s">
        <v>30</v>
      </c>
      <c r="D122" s="0" t="s">
        <v>31</v>
      </c>
      <c r="E122" s="0" t="n">
        <v>1</v>
      </c>
      <c r="F122" s="0" t="s">
        <v>32</v>
      </c>
      <c r="G122" s="0" t="s">
        <v>33</v>
      </c>
      <c r="H122" s="0" t="s">
        <v>33</v>
      </c>
      <c r="I122" s="0" t="s">
        <v>34</v>
      </c>
      <c r="J122" s="0" t="n">
        <v>1.04</v>
      </c>
      <c r="K122" s="0" t="s">
        <v>35</v>
      </c>
      <c r="L122" s="0" t="n">
        <f aca="false">INDEX(Summary!$F$2:$F$201,MATCH($B122,Summary!$A$2:$A$201,0))</f>
        <v>20</v>
      </c>
      <c r="M122" s="0" t="n">
        <f aca="false">INDEX(Summary!$I$2:$I$201,MATCH($B122,Summary!$A$2:$A$201,0))</f>
        <v>2</v>
      </c>
      <c r="N122" s="0" t="n">
        <f aca="false">INDEX(Summary!$J$2:$J$201,MATCH($B122,Summary!$A$2:$A$201,0))</f>
        <v>3</v>
      </c>
      <c r="O122" s="2" t="n">
        <f aca="false">INDEX(Summary!$K$2:$K$201,MATCH($B122,Summary!$A$2:$A$201,0))</f>
        <v>10.05</v>
      </c>
      <c r="P122" s="3" t="n">
        <f aca="false">INDEX(Summary!$L$2:$L$201,MATCH($B122,Summary!$A$2:$A$201,0))</f>
        <v>5</v>
      </c>
      <c r="Q122" s="3" t="n">
        <f aca="false">INDEX(Summary!$M$2:$M$201,MATCH($B122,Summary!$A$2:$A$201,0))</f>
        <v>1</v>
      </c>
      <c r="R122" s="2" t="n">
        <f aca="false">INDEX(Summary!$N$2:$N$201,MATCH($B122,Summary!$A$2:$A$201,0))</f>
        <v>8.83</v>
      </c>
      <c r="S122" s="3" t="n">
        <f aca="false">INDEX(Summary!$O$2:$O$201,MATCH($B122,Summary!$A$2:$A$201,0))</f>
        <v>7</v>
      </c>
      <c r="T122" s="3" t="n">
        <f aca="false">INDEX(Summary!$P$2:$P$201,MATCH($B122,Summary!$A$2:$A$201,0))</f>
        <v>2</v>
      </c>
      <c r="U122" s="2" t="n">
        <f aca="false">INDEX(Summary!$Q$2:$Q$201,MATCH($B122,Summary!$A$2:$A$201,0))</f>
        <v>12.46</v>
      </c>
      <c r="V122" s="2" t="n">
        <f aca="false">INDEX(Summary!$R$2:$R$201,MATCH($B122,Summary!$A$2:$A$201,0))</f>
        <v>25.83</v>
      </c>
      <c r="W122" s="0" t="str">
        <f aca="false">INDEX(Summary!$S$2:$S$201,MATCH($B122,Summary!$A$2:$A$201,0))</f>
        <v>Silver</v>
      </c>
      <c r="X122" s="2" t="n">
        <f aca="false">INDEX(Summary!$T$2:$T$201,MATCH($B122,Summary!$A$2:$A$201,0))</f>
        <v>63</v>
      </c>
      <c r="Y122" s="0" t="str">
        <f aca="false">INDEX('Reward Model'!$E$18:$E$37,MATCH($E122,'Reward Model'!$A$18:$A$37,0))</f>
        <v>Medium</v>
      </c>
      <c r="Z122" s="4" t="n">
        <f aca="false">ROUND(MIN(1,MAX('Reward Model'!$B$2,INDEX('Reward Model'!$C$12:$C$14,MATCH($K122,'Reward Model'!$A$12:$A$14,0))/$J122)),3)</f>
        <v>1</v>
      </c>
      <c r="AA122" s="2" t="n">
        <f aca="false">IF($I122="Correct",ROUND(INDEX('Reward Model'!$B$12:$B$14,MATCH($K122,'Reward Model'!$A$12:$A$14,0))*Z122,2),0)</f>
        <v>1</v>
      </c>
      <c r="AB122" s="2" t="n">
        <f aca="false">IF($I122="Correct",ROUND(INDEX('Reward Model'!$B$12:$B$14,MATCH($Y122,'Reward Model'!$A$12:$A$14,0))*Z122,2),0)</f>
        <v>2</v>
      </c>
    </row>
    <row r="123" customFormat="false" ht="15" hidden="false" customHeight="false" outlineLevel="0" collapsed="false">
      <c r="A123" s="0" t="s">
        <v>109</v>
      </c>
      <c r="B123" s="0" t="s">
        <v>110</v>
      </c>
      <c r="C123" s="0" t="s">
        <v>30</v>
      </c>
      <c r="D123" s="0" t="s">
        <v>31</v>
      </c>
      <c r="E123" s="0" t="n">
        <v>2</v>
      </c>
      <c r="F123" s="0" t="s">
        <v>36</v>
      </c>
      <c r="G123" s="0" t="s">
        <v>38</v>
      </c>
      <c r="H123" s="0" t="s">
        <v>38</v>
      </c>
      <c r="I123" s="0" t="s">
        <v>34</v>
      </c>
      <c r="J123" s="0" t="n">
        <v>1.36</v>
      </c>
      <c r="K123" s="0" t="s">
        <v>35</v>
      </c>
      <c r="L123" s="0" t="n">
        <f aca="false">INDEX(Summary!$F$2:$F$201,MATCH($B123,Summary!$A$2:$A$201,0))</f>
        <v>20</v>
      </c>
      <c r="M123" s="0" t="n">
        <f aca="false">INDEX(Summary!$I$2:$I$201,MATCH($B123,Summary!$A$2:$A$201,0))</f>
        <v>2</v>
      </c>
      <c r="N123" s="0" t="n">
        <f aca="false">INDEX(Summary!$J$2:$J$201,MATCH($B123,Summary!$A$2:$A$201,0))</f>
        <v>3</v>
      </c>
      <c r="O123" s="2" t="n">
        <f aca="false">INDEX(Summary!$K$2:$K$201,MATCH($B123,Summary!$A$2:$A$201,0))</f>
        <v>10.05</v>
      </c>
      <c r="P123" s="3" t="n">
        <f aca="false">INDEX(Summary!$L$2:$L$201,MATCH($B123,Summary!$A$2:$A$201,0))</f>
        <v>5</v>
      </c>
      <c r="Q123" s="3" t="n">
        <f aca="false">INDEX(Summary!$M$2:$M$201,MATCH($B123,Summary!$A$2:$A$201,0))</f>
        <v>1</v>
      </c>
      <c r="R123" s="2" t="n">
        <f aca="false">INDEX(Summary!$N$2:$N$201,MATCH($B123,Summary!$A$2:$A$201,0))</f>
        <v>8.83</v>
      </c>
      <c r="S123" s="3" t="n">
        <f aca="false">INDEX(Summary!$O$2:$O$201,MATCH($B123,Summary!$A$2:$A$201,0))</f>
        <v>7</v>
      </c>
      <c r="T123" s="3" t="n">
        <f aca="false">INDEX(Summary!$P$2:$P$201,MATCH($B123,Summary!$A$2:$A$201,0))</f>
        <v>2</v>
      </c>
      <c r="U123" s="2" t="n">
        <f aca="false">INDEX(Summary!$Q$2:$Q$201,MATCH($B123,Summary!$A$2:$A$201,0))</f>
        <v>12.46</v>
      </c>
      <c r="V123" s="2" t="n">
        <f aca="false">INDEX(Summary!$R$2:$R$201,MATCH($B123,Summary!$A$2:$A$201,0))</f>
        <v>25.83</v>
      </c>
      <c r="W123" s="0" t="str">
        <f aca="false">INDEX(Summary!$S$2:$S$201,MATCH($B123,Summary!$A$2:$A$201,0))</f>
        <v>Silver</v>
      </c>
      <c r="X123" s="2" t="n">
        <f aca="false">INDEX(Summary!$T$2:$T$201,MATCH($B123,Summary!$A$2:$A$201,0))</f>
        <v>63</v>
      </c>
      <c r="Y123" s="0" t="str">
        <f aca="false">INDEX('Reward Model'!$E$18:$E$37,MATCH($E123,'Reward Model'!$A$18:$A$37,0))</f>
        <v>Low</v>
      </c>
      <c r="Z123" s="4" t="n">
        <f aca="false">ROUND(MIN(1,MAX('Reward Model'!$B$2,INDEX('Reward Model'!$C$12:$C$14,MATCH($K123,'Reward Model'!$A$12:$A$14,0))/$J123)),3)</f>
        <v>1</v>
      </c>
      <c r="AA123" s="2" t="n">
        <f aca="false">IF($I123="Correct",ROUND(INDEX('Reward Model'!$B$12:$B$14,MATCH($K123,'Reward Model'!$A$12:$A$14,0))*Z123,2),0)</f>
        <v>1</v>
      </c>
      <c r="AB123" s="2" t="n">
        <f aca="false">IF($I123="Correct",ROUND(INDEX('Reward Model'!$B$12:$B$14,MATCH($Y123,'Reward Model'!$A$12:$A$14,0))*Z123,2),0)</f>
        <v>1</v>
      </c>
    </row>
    <row r="124" customFormat="false" ht="15" hidden="false" customHeight="false" outlineLevel="0" collapsed="false">
      <c r="A124" s="0" t="s">
        <v>109</v>
      </c>
      <c r="B124" s="0" t="s">
        <v>110</v>
      </c>
      <c r="C124" s="0" t="s">
        <v>30</v>
      </c>
      <c r="D124" s="0" t="s">
        <v>31</v>
      </c>
      <c r="E124" s="0" t="n">
        <v>3</v>
      </c>
      <c r="F124" s="0" t="s">
        <v>40</v>
      </c>
      <c r="G124" s="0" t="s">
        <v>42</v>
      </c>
      <c r="H124" s="0" t="s">
        <v>42</v>
      </c>
      <c r="I124" s="0" t="s">
        <v>34</v>
      </c>
      <c r="J124" s="0" t="n">
        <v>1.31</v>
      </c>
      <c r="K124" s="0" t="s">
        <v>35</v>
      </c>
      <c r="L124" s="0" t="n">
        <f aca="false">INDEX(Summary!$F$2:$F$201,MATCH($B124,Summary!$A$2:$A$201,0))</f>
        <v>20</v>
      </c>
      <c r="M124" s="0" t="n">
        <f aca="false">INDEX(Summary!$I$2:$I$201,MATCH($B124,Summary!$A$2:$A$201,0))</f>
        <v>2</v>
      </c>
      <c r="N124" s="0" t="n">
        <f aca="false">INDEX(Summary!$J$2:$J$201,MATCH($B124,Summary!$A$2:$A$201,0))</f>
        <v>3</v>
      </c>
      <c r="O124" s="2" t="n">
        <f aca="false">INDEX(Summary!$K$2:$K$201,MATCH($B124,Summary!$A$2:$A$201,0))</f>
        <v>10.05</v>
      </c>
      <c r="P124" s="3" t="n">
        <f aca="false">INDEX(Summary!$L$2:$L$201,MATCH($B124,Summary!$A$2:$A$201,0))</f>
        <v>5</v>
      </c>
      <c r="Q124" s="3" t="n">
        <f aca="false">INDEX(Summary!$M$2:$M$201,MATCH($B124,Summary!$A$2:$A$201,0))</f>
        <v>1</v>
      </c>
      <c r="R124" s="2" t="n">
        <f aca="false">INDEX(Summary!$N$2:$N$201,MATCH($B124,Summary!$A$2:$A$201,0))</f>
        <v>8.83</v>
      </c>
      <c r="S124" s="3" t="n">
        <f aca="false">INDEX(Summary!$O$2:$O$201,MATCH($B124,Summary!$A$2:$A$201,0))</f>
        <v>7</v>
      </c>
      <c r="T124" s="3" t="n">
        <f aca="false">INDEX(Summary!$P$2:$P$201,MATCH($B124,Summary!$A$2:$A$201,0))</f>
        <v>2</v>
      </c>
      <c r="U124" s="2" t="n">
        <f aca="false">INDEX(Summary!$Q$2:$Q$201,MATCH($B124,Summary!$A$2:$A$201,0))</f>
        <v>12.46</v>
      </c>
      <c r="V124" s="2" t="n">
        <f aca="false">INDEX(Summary!$R$2:$R$201,MATCH($B124,Summary!$A$2:$A$201,0))</f>
        <v>25.83</v>
      </c>
      <c r="W124" s="0" t="str">
        <f aca="false">INDEX(Summary!$S$2:$S$201,MATCH($B124,Summary!$A$2:$A$201,0))</f>
        <v>Silver</v>
      </c>
      <c r="X124" s="2" t="n">
        <f aca="false">INDEX(Summary!$T$2:$T$201,MATCH($B124,Summary!$A$2:$A$201,0))</f>
        <v>63</v>
      </c>
      <c r="Y124" s="0" t="str">
        <f aca="false">INDEX('Reward Model'!$E$18:$E$37,MATCH($E124,'Reward Model'!$A$18:$A$37,0))</f>
        <v>Medium</v>
      </c>
      <c r="Z124" s="4" t="n">
        <f aca="false">ROUND(MIN(1,MAX('Reward Model'!$B$2,INDEX('Reward Model'!$C$12:$C$14,MATCH($K124,'Reward Model'!$A$12:$A$14,0))/$J124)),3)</f>
        <v>1</v>
      </c>
      <c r="AA124" s="2" t="n">
        <f aca="false">IF($I124="Correct",ROUND(INDEX('Reward Model'!$B$12:$B$14,MATCH($K124,'Reward Model'!$A$12:$A$14,0))*Z124,2),0)</f>
        <v>1</v>
      </c>
      <c r="AB124" s="2" t="n">
        <f aca="false">IF($I124="Correct",ROUND(INDEX('Reward Model'!$B$12:$B$14,MATCH($Y124,'Reward Model'!$A$12:$A$14,0))*Z124,2),0)</f>
        <v>2</v>
      </c>
    </row>
    <row r="125" customFormat="false" ht="15" hidden="false" customHeight="false" outlineLevel="0" collapsed="false">
      <c r="A125" s="0" t="s">
        <v>109</v>
      </c>
      <c r="B125" s="0" t="s">
        <v>110</v>
      </c>
      <c r="C125" s="0" t="s">
        <v>30</v>
      </c>
      <c r="D125" s="0" t="s">
        <v>31</v>
      </c>
      <c r="E125" s="0" t="n">
        <v>4</v>
      </c>
      <c r="F125" s="0" t="s">
        <v>43</v>
      </c>
      <c r="G125" s="0" t="s">
        <v>111</v>
      </c>
      <c r="H125" s="0" t="s">
        <v>45</v>
      </c>
      <c r="I125" s="0" t="s">
        <v>39</v>
      </c>
      <c r="J125" s="0" t="n">
        <v>1.63</v>
      </c>
      <c r="K125" s="0" t="s">
        <v>35</v>
      </c>
      <c r="L125" s="0" t="n">
        <f aca="false">INDEX(Summary!$F$2:$F$201,MATCH($B125,Summary!$A$2:$A$201,0))</f>
        <v>20</v>
      </c>
      <c r="M125" s="0" t="n">
        <f aca="false">INDEX(Summary!$I$2:$I$201,MATCH($B125,Summary!$A$2:$A$201,0))</f>
        <v>2</v>
      </c>
      <c r="N125" s="0" t="n">
        <f aca="false">INDEX(Summary!$J$2:$J$201,MATCH($B125,Summary!$A$2:$A$201,0))</f>
        <v>3</v>
      </c>
      <c r="O125" s="2" t="n">
        <f aca="false">INDEX(Summary!$K$2:$K$201,MATCH($B125,Summary!$A$2:$A$201,0))</f>
        <v>10.05</v>
      </c>
      <c r="P125" s="3" t="n">
        <f aca="false">INDEX(Summary!$L$2:$L$201,MATCH($B125,Summary!$A$2:$A$201,0))</f>
        <v>5</v>
      </c>
      <c r="Q125" s="3" t="n">
        <f aca="false">INDEX(Summary!$M$2:$M$201,MATCH($B125,Summary!$A$2:$A$201,0))</f>
        <v>1</v>
      </c>
      <c r="R125" s="2" t="n">
        <f aca="false">INDEX(Summary!$N$2:$N$201,MATCH($B125,Summary!$A$2:$A$201,0))</f>
        <v>8.83</v>
      </c>
      <c r="S125" s="3" t="n">
        <f aca="false">INDEX(Summary!$O$2:$O$201,MATCH($B125,Summary!$A$2:$A$201,0))</f>
        <v>7</v>
      </c>
      <c r="T125" s="3" t="n">
        <f aca="false">INDEX(Summary!$P$2:$P$201,MATCH($B125,Summary!$A$2:$A$201,0))</f>
        <v>2</v>
      </c>
      <c r="U125" s="2" t="n">
        <f aca="false">INDEX(Summary!$Q$2:$Q$201,MATCH($B125,Summary!$A$2:$A$201,0))</f>
        <v>12.46</v>
      </c>
      <c r="V125" s="2" t="n">
        <f aca="false">INDEX(Summary!$R$2:$R$201,MATCH($B125,Summary!$A$2:$A$201,0))</f>
        <v>25.83</v>
      </c>
      <c r="W125" s="0" t="str">
        <f aca="false">INDEX(Summary!$S$2:$S$201,MATCH($B125,Summary!$A$2:$A$201,0))</f>
        <v>Silver</v>
      </c>
      <c r="X125" s="2" t="n">
        <f aca="false">INDEX(Summary!$T$2:$T$201,MATCH($B125,Summary!$A$2:$A$201,0))</f>
        <v>63</v>
      </c>
      <c r="Y125" s="0" t="str">
        <f aca="false">INDEX('Reward Model'!$E$18:$E$37,MATCH($E125,'Reward Model'!$A$18:$A$37,0))</f>
        <v>Low</v>
      </c>
      <c r="Z125" s="4" t="n">
        <f aca="false">ROUND(MIN(1,MAX('Reward Model'!$B$2,INDEX('Reward Model'!$C$12:$C$14,MATCH($K125,'Reward Model'!$A$12:$A$14,0))/$J125)),3)</f>
        <v>0.92</v>
      </c>
      <c r="AA125" s="2" t="n">
        <f aca="false">IF($I125="Correct",ROUND(INDEX('Reward Model'!$B$12:$B$14,MATCH($K125,'Reward Model'!$A$12:$A$14,0))*Z125,2),0)</f>
        <v>0</v>
      </c>
      <c r="AB125" s="2" t="n">
        <f aca="false">IF($I125="Correct",ROUND(INDEX('Reward Model'!$B$12:$B$14,MATCH($Y125,'Reward Model'!$A$12:$A$14,0))*Z125,2),0)</f>
        <v>0</v>
      </c>
    </row>
    <row r="126" customFormat="false" ht="15" hidden="false" customHeight="false" outlineLevel="0" collapsed="false">
      <c r="A126" s="0" t="s">
        <v>109</v>
      </c>
      <c r="B126" s="0" t="s">
        <v>110</v>
      </c>
      <c r="C126" s="0" t="s">
        <v>30</v>
      </c>
      <c r="D126" s="0" t="s">
        <v>31</v>
      </c>
      <c r="E126" s="0" t="n">
        <v>5</v>
      </c>
      <c r="F126" s="0" t="s">
        <v>46</v>
      </c>
      <c r="G126" s="0" t="s">
        <v>47</v>
      </c>
      <c r="H126" s="0" t="s">
        <v>47</v>
      </c>
      <c r="I126" s="0" t="s">
        <v>34</v>
      </c>
      <c r="J126" s="0" t="n">
        <v>1.75</v>
      </c>
      <c r="K126" s="0" t="s">
        <v>35</v>
      </c>
      <c r="L126" s="0" t="n">
        <f aca="false">INDEX(Summary!$F$2:$F$201,MATCH($B126,Summary!$A$2:$A$201,0))</f>
        <v>20</v>
      </c>
      <c r="M126" s="0" t="n">
        <f aca="false">INDEX(Summary!$I$2:$I$201,MATCH($B126,Summary!$A$2:$A$201,0))</f>
        <v>2</v>
      </c>
      <c r="N126" s="0" t="n">
        <f aca="false">INDEX(Summary!$J$2:$J$201,MATCH($B126,Summary!$A$2:$A$201,0))</f>
        <v>3</v>
      </c>
      <c r="O126" s="2" t="n">
        <f aca="false">INDEX(Summary!$K$2:$K$201,MATCH($B126,Summary!$A$2:$A$201,0))</f>
        <v>10.05</v>
      </c>
      <c r="P126" s="3" t="n">
        <f aca="false">INDEX(Summary!$L$2:$L$201,MATCH($B126,Summary!$A$2:$A$201,0))</f>
        <v>5</v>
      </c>
      <c r="Q126" s="3" t="n">
        <f aca="false">INDEX(Summary!$M$2:$M$201,MATCH($B126,Summary!$A$2:$A$201,0))</f>
        <v>1</v>
      </c>
      <c r="R126" s="2" t="n">
        <f aca="false">INDEX(Summary!$N$2:$N$201,MATCH($B126,Summary!$A$2:$A$201,0))</f>
        <v>8.83</v>
      </c>
      <c r="S126" s="3" t="n">
        <f aca="false">INDEX(Summary!$O$2:$O$201,MATCH($B126,Summary!$A$2:$A$201,0))</f>
        <v>7</v>
      </c>
      <c r="T126" s="3" t="n">
        <f aca="false">INDEX(Summary!$P$2:$P$201,MATCH($B126,Summary!$A$2:$A$201,0))</f>
        <v>2</v>
      </c>
      <c r="U126" s="2" t="n">
        <f aca="false">INDEX(Summary!$Q$2:$Q$201,MATCH($B126,Summary!$A$2:$A$201,0))</f>
        <v>12.46</v>
      </c>
      <c r="V126" s="2" t="n">
        <f aca="false">INDEX(Summary!$R$2:$R$201,MATCH($B126,Summary!$A$2:$A$201,0))</f>
        <v>25.83</v>
      </c>
      <c r="W126" s="0" t="str">
        <f aca="false">INDEX(Summary!$S$2:$S$201,MATCH($B126,Summary!$A$2:$A$201,0))</f>
        <v>Silver</v>
      </c>
      <c r="X126" s="2" t="n">
        <f aca="false">INDEX(Summary!$T$2:$T$201,MATCH($B126,Summary!$A$2:$A$201,0))</f>
        <v>63</v>
      </c>
      <c r="Y126" s="0" t="str">
        <f aca="false">INDEX('Reward Model'!$E$18:$E$37,MATCH($E126,'Reward Model'!$A$18:$A$37,0))</f>
        <v>Low</v>
      </c>
      <c r="Z126" s="4" t="n">
        <f aca="false">ROUND(MIN(1,MAX('Reward Model'!$B$2,INDEX('Reward Model'!$C$12:$C$14,MATCH($K126,'Reward Model'!$A$12:$A$14,0))/$J126)),3)</f>
        <v>0.857</v>
      </c>
      <c r="AA126" s="2" t="n">
        <f aca="false">IF($I126="Correct",ROUND(INDEX('Reward Model'!$B$12:$B$14,MATCH($K126,'Reward Model'!$A$12:$A$14,0))*Z126,2),0)</f>
        <v>0.86</v>
      </c>
      <c r="AB126" s="2" t="n">
        <f aca="false">IF($I126="Correct",ROUND(INDEX('Reward Model'!$B$12:$B$14,MATCH($Y126,'Reward Model'!$A$12:$A$14,0))*Z126,2),0)</f>
        <v>0.86</v>
      </c>
    </row>
    <row r="127" customFormat="false" ht="15" hidden="false" customHeight="false" outlineLevel="0" collapsed="false">
      <c r="A127" s="0" t="s">
        <v>109</v>
      </c>
      <c r="B127" s="0" t="s">
        <v>110</v>
      </c>
      <c r="C127" s="0" t="s">
        <v>30</v>
      </c>
      <c r="D127" s="0" t="s">
        <v>31</v>
      </c>
      <c r="E127" s="0" t="n">
        <v>6</v>
      </c>
      <c r="F127" s="0" t="s">
        <v>48</v>
      </c>
      <c r="G127" s="0" t="s">
        <v>49</v>
      </c>
      <c r="H127" s="0" t="s">
        <v>49</v>
      </c>
      <c r="I127" s="0" t="s">
        <v>34</v>
      </c>
      <c r="J127" s="0" t="n">
        <v>1.1</v>
      </c>
      <c r="K127" s="0" t="s">
        <v>35</v>
      </c>
      <c r="L127" s="0" t="n">
        <f aca="false">INDEX(Summary!$F$2:$F$201,MATCH($B127,Summary!$A$2:$A$201,0))</f>
        <v>20</v>
      </c>
      <c r="M127" s="0" t="n">
        <f aca="false">INDEX(Summary!$I$2:$I$201,MATCH($B127,Summary!$A$2:$A$201,0))</f>
        <v>2</v>
      </c>
      <c r="N127" s="0" t="n">
        <f aca="false">INDEX(Summary!$J$2:$J$201,MATCH($B127,Summary!$A$2:$A$201,0))</f>
        <v>3</v>
      </c>
      <c r="O127" s="2" t="n">
        <f aca="false">INDEX(Summary!$K$2:$K$201,MATCH($B127,Summary!$A$2:$A$201,0))</f>
        <v>10.05</v>
      </c>
      <c r="P127" s="3" t="n">
        <f aca="false">INDEX(Summary!$L$2:$L$201,MATCH($B127,Summary!$A$2:$A$201,0))</f>
        <v>5</v>
      </c>
      <c r="Q127" s="3" t="n">
        <f aca="false">INDEX(Summary!$M$2:$M$201,MATCH($B127,Summary!$A$2:$A$201,0))</f>
        <v>1</v>
      </c>
      <c r="R127" s="2" t="n">
        <f aca="false">INDEX(Summary!$N$2:$N$201,MATCH($B127,Summary!$A$2:$A$201,0))</f>
        <v>8.83</v>
      </c>
      <c r="S127" s="3" t="n">
        <f aca="false">INDEX(Summary!$O$2:$O$201,MATCH($B127,Summary!$A$2:$A$201,0))</f>
        <v>7</v>
      </c>
      <c r="T127" s="3" t="n">
        <f aca="false">INDEX(Summary!$P$2:$P$201,MATCH($B127,Summary!$A$2:$A$201,0))</f>
        <v>2</v>
      </c>
      <c r="U127" s="2" t="n">
        <f aca="false">INDEX(Summary!$Q$2:$Q$201,MATCH($B127,Summary!$A$2:$A$201,0))</f>
        <v>12.46</v>
      </c>
      <c r="V127" s="2" t="n">
        <f aca="false">INDEX(Summary!$R$2:$R$201,MATCH($B127,Summary!$A$2:$A$201,0))</f>
        <v>25.83</v>
      </c>
      <c r="W127" s="0" t="str">
        <f aca="false">INDEX(Summary!$S$2:$S$201,MATCH($B127,Summary!$A$2:$A$201,0))</f>
        <v>Silver</v>
      </c>
      <c r="X127" s="2" t="n">
        <f aca="false">INDEX(Summary!$T$2:$T$201,MATCH($B127,Summary!$A$2:$A$201,0))</f>
        <v>63</v>
      </c>
      <c r="Y127" s="0" t="str">
        <f aca="false">INDEX('Reward Model'!$E$18:$E$37,MATCH($E127,'Reward Model'!$A$18:$A$37,0))</f>
        <v>Medium</v>
      </c>
      <c r="Z127" s="4" t="n">
        <f aca="false">ROUND(MIN(1,MAX('Reward Model'!$B$2,INDEX('Reward Model'!$C$12:$C$14,MATCH($K127,'Reward Model'!$A$12:$A$14,0))/$J127)),3)</f>
        <v>1</v>
      </c>
      <c r="AA127" s="2" t="n">
        <f aca="false">IF($I127="Correct",ROUND(INDEX('Reward Model'!$B$12:$B$14,MATCH($K127,'Reward Model'!$A$12:$A$14,0))*Z127,2),0)</f>
        <v>1</v>
      </c>
      <c r="AB127" s="2" t="n">
        <f aca="false">IF($I127="Correct",ROUND(INDEX('Reward Model'!$B$12:$B$14,MATCH($Y127,'Reward Model'!$A$12:$A$14,0))*Z127,2),0)</f>
        <v>2</v>
      </c>
    </row>
    <row r="128" customFormat="false" ht="15" hidden="false" customHeight="false" outlineLevel="0" collapsed="false">
      <c r="A128" s="0" t="s">
        <v>109</v>
      </c>
      <c r="B128" s="0" t="s">
        <v>110</v>
      </c>
      <c r="C128" s="0" t="s">
        <v>30</v>
      </c>
      <c r="D128" s="0" t="s">
        <v>31</v>
      </c>
      <c r="E128" s="0" t="n">
        <v>7</v>
      </c>
      <c r="F128" s="0" t="s">
        <v>50</v>
      </c>
      <c r="G128" s="0" t="s">
        <v>51</v>
      </c>
      <c r="H128" s="0" t="s">
        <v>51</v>
      </c>
      <c r="I128" s="0" t="s">
        <v>34</v>
      </c>
      <c r="J128" s="0" t="n">
        <v>0.93</v>
      </c>
      <c r="K128" s="0" t="s">
        <v>35</v>
      </c>
      <c r="L128" s="0" t="n">
        <f aca="false">INDEX(Summary!$F$2:$F$201,MATCH($B128,Summary!$A$2:$A$201,0))</f>
        <v>20</v>
      </c>
      <c r="M128" s="0" t="n">
        <f aca="false">INDEX(Summary!$I$2:$I$201,MATCH($B128,Summary!$A$2:$A$201,0))</f>
        <v>2</v>
      </c>
      <c r="N128" s="0" t="n">
        <f aca="false">INDEX(Summary!$J$2:$J$201,MATCH($B128,Summary!$A$2:$A$201,0))</f>
        <v>3</v>
      </c>
      <c r="O128" s="2" t="n">
        <f aca="false">INDEX(Summary!$K$2:$K$201,MATCH($B128,Summary!$A$2:$A$201,0))</f>
        <v>10.05</v>
      </c>
      <c r="P128" s="3" t="n">
        <f aca="false">INDEX(Summary!$L$2:$L$201,MATCH($B128,Summary!$A$2:$A$201,0))</f>
        <v>5</v>
      </c>
      <c r="Q128" s="3" t="n">
        <f aca="false">INDEX(Summary!$M$2:$M$201,MATCH($B128,Summary!$A$2:$A$201,0))</f>
        <v>1</v>
      </c>
      <c r="R128" s="2" t="n">
        <f aca="false">INDEX(Summary!$N$2:$N$201,MATCH($B128,Summary!$A$2:$A$201,0))</f>
        <v>8.83</v>
      </c>
      <c r="S128" s="3" t="n">
        <f aca="false">INDEX(Summary!$O$2:$O$201,MATCH($B128,Summary!$A$2:$A$201,0))</f>
        <v>7</v>
      </c>
      <c r="T128" s="3" t="n">
        <f aca="false">INDEX(Summary!$P$2:$P$201,MATCH($B128,Summary!$A$2:$A$201,0))</f>
        <v>2</v>
      </c>
      <c r="U128" s="2" t="n">
        <f aca="false">INDEX(Summary!$Q$2:$Q$201,MATCH($B128,Summary!$A$2:$A$201,0))</f>
        <v>12.46</v>
      </c>
      <c r="V128" s="2" t="n">
        <f aca="false">INDEX(Summary!$R$2:$R$201,MATCH($B128,Summary!$A$2:$A$201,0))</f>
        <v>25.83</v>
      </c>
      <c r="W128" s="0" t="str">
        <f aca="false">INDEX(Summary!$S$2:$S$201,MATCH($B128,Summary!$A$2:$A$201,0))</f>
        <v>Silver</v>
      </c>
      <c r="X128" s="2" t="n">
        <f aca="false">INDEX(Summary!$T$2:$T$201,MATCH($B128,Summary!$A$2:$A$201,0))</f>
        <v>63</v>
      </c>
      <c r="Y128" s="0" t="str">
        <f aca="false">INDEX('Reward Model'!$E$18:$E$37,MATCH($E128,'Reward Model'!$A$18:$A$37,0))</f>
        <v>Low</v>
      </c>
      <c r="Z128" s="4" t="n">
        <f aca="false">ROUND(MIN(1,MAX('Reward Model'!$B$2,INDEX('Reward Model'!$C$12:$C$14,MATCH($K128,'Reward Model'!$A$12:$A$14,0))/$J128)),3)</f>
        <v>1</v>
      </c>
      <c r="AA128" s="2" t="n">
        <f aca="false">IF($I128="Correct",ROUND(INDEX('Reward Model'!$B$12:$B$14,MATCH($K128,'Reward Model'!$A$12:$A$14,0))*Z128,2),0)</f>
        <v>1</v>
      </c>
      <c r="AB128" s="2" t="n">
        <f aca="false">IF($I128="Correct",ROUND(INDEX('Reward Model'!$B$12:$B$14,MATCH($Y128,'Reward Model'!$A$12:$A$14,0))*Z128,2),0)</f>
        <v>1</v>
      </c>
    </row>
    <row r="129" customFormat="false" ht="15" hidden="false" customHeight="false" outlineLevel="0" collapsed="false">
      <c r="A129" s="0" t="s">
        <v>109</v>
      </c>
      <c r="B129" s="0" t="s">
        <v>110</v>
      </c>
      <c r="C129" s="0" t="s">
        <v>30</v>
      </c>
      <c r="D129" s="0" t="s">
        <v>31</v>
      </c>
      <c r="E129" s="0" t="n">
        <v>8</v>
      </c>
      <c r="F129" s="0" t="s">
        <v>52</v>
      </c>
      <c r="G129" s="0" t="s">
        <v>54</v>
      </c>
      <c r="H129" s="0" t="s">
        <v>54</v>
      </c>
      <c r="I129" s="0" t="s">
        <v>34</v>
      </c>
      <c r="J129" s="0" t="n">
        <v>1.69</v>
      </c>
      <c r="K129" s="0" t="s">
        <v>35</v>
      </c>
      <c r="L129" s="0" t="n">
        <f aca="false">INDEX(Summary!$F$2:$F$201,MATCH($B129,Summary!$A$2:$A$201,0))</f>
        <v>20</v>
      </c>
      <c r="M129" s="0" t="n">
        <f aca="false">INDEX(Summary!$I$2:$I$201,MATCH($B129,Summary!$A$2:$A$201,0))</f>
        <v>2</v>
      </c>
      <c r="N129" s="0" t="n">
        <f aca="false">INDEX(Summary!$J$2:$J$201,MATCH($B129,Summary!$A$2:$A$201,0))</f>
        <v>3</v>
      </c>
      <c r="O129" s="2" t="n">
        <f aca="false">INDEX(Summary!$K$2:$K$201,MATCH($B129,Summary!$A$2:$A$201,0))</f>
        <v>10.05</v>
      </c>
      <c r="P129" s="3" t="n">
        <f aca="false">INDEX(Summary!$L$2:$L$201,MATCH($B129,Summary!$A$2:$A$201,0))</f>
        <v>5</v>
      </c>
      <c r="Q129" s="3" t="n">
        <f aca="false">INDEX(Summary!$M$2:$M$201,MATCH($B129,Summary!$A$2:$A$201,0))</f>
        <v>1</v>
      </c>
      <c r="R129" s="2" t="n">
        <f aca="false">INDEX(Summary!$N$2:$N$201,MATCH($B129,Summary!$A$2:$A$201,0))</f>
        <v>8.83</v>
      </c>
      <c r="S129" s="3" t="n">
        <f aca="false">INDEX(Summary!$O$2:$O$201,MATCH($B129,Summary!$A$2:$A$201,0))</f>
        <v>7</v>
      </c>
      <c r="T129" s="3" t="n">
        <f aca="false">INDEX(Summary!$P$2:$P$201,MATCH($B129,Summary!$A$2:$A$201,0))</f>
        <v>2</v>
      </c>
      <c r="U129" s="2" t="n">
        <f aca="false">INDEX(Summary!$Q$2:$Q$201,MATCH($B129,Summary!$A$2:$A$201,0))</f>
        <v>12.46</v>
      </c>
      <c r="V129" s="2" t="n">
        <f aca="false">INDEX(Summary!$R$2:$R$201,MATCH($B129,Summary!$A$2:$A$201,0))</f>
        <v>25.83</v>
      </c>
      <c r="W129" s="0" t="str">
        <f aca="false">INDEX(Summary!$S$2:$S$201,MATCH($B129,Summary!$A$2:$A$201,0))</f>
        <v>Silver</v>
      </c>
      <c r="X129" s="2" t="n">
        <f aca="false">INDEX(Summary!$T$2:$T$201,MATCH($B129,Summary!$A$2:$A$201,0))</f>
        <v>63</v>
      </c>
      <c r="Y129" s="0" t="str">
        <f aca="false">INDEX('Reward Model'!$E$18:$E$37,MATCH($E129,'Reward Model'!$A$18:$A$37,0))</f>
        <v>Medium</v>
      </c>
      <c r="Z129" s="4" t="n">
        <f aca="false">ROUND(MIN(1,MAX('Reward Model'!$B$2,INDEX('Reward Model'!$C$12:$C$14,MATCH($K129,'Reward Model'!$A$12:$A$14,0))/$J129)),3)</f>
        <v>0.888</v>
      </c>
      <c r="AA129" s="2" t="n">
        <f aca="false">IF($I129="Correct",ROUND(INDEX('Reward Model'!$B$12:$B$14,MATCH($K129,'Reward Model'!$A$12:$A$14,0))*Z129,2),0)</f>
        <v>0.89</v>
      </c>
      <c r="AB129" s="2" t="n">
        <f aca="false">IF($I129="Correct",ROUND(INDEX('Reward Model'!$B$12:$B$14,MATCH($Y129,'Reward Model'!$A$12:$A$14,0))*Z129,2),0)</f>
        <v>1.78</v>
      </c>
    </row>
    <row r="130" customFormat="false" ht="15" hidden="false" customHeight="false" outlineLevel="0" collapsed="false">
      <c r="A130" s="0" t="s">
        <v>109</v>
      </c>
      <c r="B130" s="0" t="s">
        <v>110</v>
      </c>
      <c r="C130" s="0" t="s">
        <v>30</v>
      </c>
      <c r="D130" s="0" t="s">
        <v>31</v>
      </c>
      <c r="E130" s="0" t="n">
        <v>9</v>
      </c>
      <c r="F130" s="0" t="s">
        <v>55</v>
      </c>
      <c r="G130" s="0" t="s">
        <v>108</v>
      </c>
      <c r="H130" s="0" t="s">
        <v>57</v>
      </c>
      <c r="I130" s="0" t="s">
        <v>39</v>
      </c>
      <c r="J130" s="0" t="n">
        <v>1.65</v>
      </c>
      <c r="K130" s="0" t="s">
        <v>35</v>
      </c>
      <c r="L130" s="0" t="n">
        <f aca="false">INDEX(Summary!$F$2:$F$201,MATCH($B130,Summary!$A$2:$A$201,0))</f>
        <v>20</v>
      </c>
      <c r="M130" s="0" t="n">
        <f aca="false">INDEX(Summary!$I$2:$I$201,MATCH($B130,Summary!$A$2:$A$201,0))</f>
        <v>2</v>
      </c>
      <c r="N130" s="0" t="n">
        <f aca="false">INDEX(Summary!$J$2:$J$201,MATCH($B130,Summary!$A$2:$A$201,0))</f>
        <v>3</v>
      </c>
      <c r="O130" s="2" t="n">
        <f aca="false">INDEX(Summary!$K$2:$K$201,MATCH($B130,Summary!$A$2:$A$201,0))</f>
        <v>10.05</v>
      </c>
      <c r="P130" s="3" t="n">
        <f aca="false">INDEX(Summary!$L$2:$L$201,MATCH($B130,Summary!$A$2:$A$201,0))</f>
        <v>5</v>
      </c>
      <c r="Q130" s="3" t="n">
        <f aca="false">INDEX(Summary!$M$2:$M$201,MATCH($B130,Summary!$A$2:$A$201,0))</f>
        <v>1</v>
      </c>
      <c r="R130" s="2" t="n">
        <f aca="false">INDEX(Summary!$N$2:$N$201,MATCH($B130,Summary!$A$2:$A$201,0))</f>
        <v>8.83</v>
      </c>
      <c r="S130" s="3" t="n">
        <f aca="false">INDEX(Summary!$O$2:$O$201,MATCH($B130,Summary!$A$2:$A$201,0))</f>
        <v>7</v>
      </c>
      <c r="T130" s="3" t="n">
        <f aca="false">INDEX(Summary!$P$2:$P$201,MATCH($B130,Summary!$A$2:$A$201,0))</f>
        <v>2</v>
      </c>
      <c r="U130" s="2" t="n">
        <f aca="false">INDEX(Summary!$Q$2:$Q$201,MATCH($B130,Summary!$A$2:$A$201,0))</f>
        <v>12.46</v>
      </c>
      <c r="V130" s="2" t="n">
        <f aca="false">INDEX(Summary!$R$2:$R$201,MATCH($B130,Summary!$A$2:$A$201,0))</f>
        <v>25.83</v>
      </c>
      <c r="W130" s="0" t="str">
        <f aca="false">INDEX(Summary!$S$2:$S$201,MATCH($B130,Summary!$A$2:$A$201,0))</f>
        <v>Silver</v>
      </c>
      <c r="X130" s="2" t="n">
        <f aca="false">INDEX(Summary!$T$2:$T$201,MATCH($B130,Summary!$A$2:$A$201,0))</f>
        <v>63</v>
      </c>
      <c r="Y130" s="0" t="str">
        <f aca="false">INDEX('Reward Model'!$E$18:$E$37,MATCH($E130,'Reward Model'!$A$18:$A$37,0))</f>
        <v>Medium</v>
      </c>
      <c r="Z130" s="4" t="n">
        <f aca="false">ROUND(MIN(1,MAX('Reward Model'!$B$2,INDEX('Reward Model'!$C$12:$C$14,MATCH($K130,'Reward Model'!$A$12:$A$14,0))/$J130)),3)</f>
        <v>0.909</v>
      </c>
      <c r="AA130" s="2" t="n">
        <f aca="false">IF($I130="Correct",ROUND(INDEX('Reward Model'!$B$12:$B$14,MATCH($K130,'Reward Model'!$A$12:$A$14,0))*Z130,2),0)</f>
        <v>0</v>
      </c>
      <c r="AB130" s="2" t="n">
        <f aca="false">IF($I130="Correct",ROUND(INDEX('Reward Model'!$B$12:$B$14,MATCH($Y130,'Reward Model'!$A$12:$A$14,0))*Z130,2),0)</f>
        <v>0</v>
      </c>
    </row>
    <row r="131" customFormat="false" ht="15" hidden="false" customHeight="false" outlineLevel="0" collapsed="false">
      <c r="A131" s="0" t="s">
        <v>109</v>
      </c>
      <c r="B131" s="0" t="s">
        <v>110</v>
      </c>
      <c r="C131" s="0" t="s">
        <v>30</v>
      </c>
      <c r="D131" s="0" t="s">
        <v>31</v>
      </c>
      <c r="E131" s="0" t="n">
        <v>10</v>
      </c>
      <c r="F131" s="0" t="s">
        <v>58</v>
      </c>
      <c r="G131" s="0" t="s">
        <v>59</v>
      </c>
      <c r="H131" s="0" t="s">
        <v>59</v>
      </c>
      <c r="I131" s="0" t="s">
        <v>34</v>
      </c>
      <c r="J131" s="0" t="n">
        <v>1.58</v>
      </c>
      <c r="K131" s="0" t="s">
        <v>60</v>
      </c>
      <c r="L131" s="0" t="n">
        <f aca="false">INDEX(Summary!$F$2:$F$201,MATCH($B131,Summary!$A$2:$A$201,0))</f>
        <v>20</v>
      </c>
      <c r="M131" s="0" t="n">
        <f aca="false">INDEX(Summary!$I$2:$I$201,MATCH($B131,Summary!$A$2:$A$201,0))</f>
        <v>2</v>
      </c>
      <c r="N131" s="0" t="n">
        <f aca="false">INDEX(Summary!$J$2:$J$201,MATCH($B131,Summary!$A$2:$A$201,0))</f>
        <v>3</v>
      </c>
      <c r="O131" s="2" t="n">
        <f aca="false">INDEX(Summary!$K$2:$K$201,MATCH($B131,Summary!$A$2:$A$201,0))</f>
        <v>10.05</v>
      </c>
      <c r="P131" s="3" t="n">
        <f aca="false">INDEX(Summary!$L$2:$L$201,MATCH($B131,Summary!$A$2:$A$201,0))</f>
        <v>5</v>
      </c>
      <c r="Q131" s="3" t="n">
        <f aca="false">INDEX(Summary!$M$2:$M$201,MATCH($B131,Summary!$A$2:$A$201,0))</f>
        <v>1</v>
      </c>
      <c r="R131" s="2" t="n">
        <f aca="false">INDEX(Summary!$N$2:$N$201,MATCH($B131,Summary!$A$2:$A$201,0))</f>
        <v>8.83</v>
      </c>
      <c r="S131" s="3" t="n">
        <f aca="false">INDEX(Summary!$O$2:$O$201,MATCH($B131,Summary!$A$2:$A$201,0))</f>
        <v>7</v>
      </c>
      <c r="T131" s="3" t="n">
        <f aca="false">INDEX(Summary!$P$2:$P$201,MATCH($B131,Summary!$A$2:$A$201,0))</f>
        <v>2</v>
      </c>
      <c r="U131" s="2" t="n">
        <f aca="false">INDEX(Summary!$Q$2:$Q$201,MATCH($B131,Summary!$A$2:$A$201,0))</f>
        <v>12.46</v>
      </c>
      <c r="V131" s="2" t="n">
        <f aca="false">INDEX(Summary!$R$2:$R$201,MATCH($B131,Summary!$A$2:$A$201,0))</f>
        <v>25.83</v>
      </c>
      <c r="W131" s="0" t="str">
        <f aca="false">INDEX(Summary!$S$2:$S$201,MATCH($B131,Summary!$A$2:$A$201,0))</f>
        <v>Silver</v>
      </c>
      <c r="X131" s="2" t="n">
        <f aca="false">INDEX(Summary!$T$2:$T$201,MATCH($B131,Summary!$A$2:$A$201,0))</f>
        <v>63</v>
      </c>
      <c r="Y131" s="0" t="str">
        <f aca="false">INDEX('Reward Model'!$E$18:$E$37,MATCH($E131,'Reward Model'!$A$18:$A$37,0))</f>
        <v>Medium</v>
      </c>
      <c r="Z131" s="4" t="n">
        <f aca="false">ROUND(MIN(1,MAX('Reward Model'!$B$2,INDEX('Reward Model'!$C$12:$C$14,MATCH($K131,'Reward Model'!$A$12:$A$14,0))/$J131)),3)</f>
        <v>1</v>
      </c>
      <c r="AA131" s="2" t="n">
        <f aca="false">IF($I131="Correct",ROUND(INDEX('Reward Model'!$B$12:$B$14,MATCH($K131,'Reward Model'!$A$12:$A$14,0))*Z131,2),0)</f>
        <v>2</v>
      </c>
      <c r="AB131" s="2" t="n">
        <f aca="false">IF($I131="Correct",ROUND(INDEX('Reward Model'!$B$12:$B$14,MATCH($Y131,'Reward Model'!$A$12:$A$14,0))*Z131,2),0)</f>
        <v>2</v>
      </c>
    </row>
    <row r="132" customFormat="false" ht="15" hidden="false" customHeight="false" outlineLevel="0" collapsed="false">
      <c r="A132" s="0" t="s">
        <v>109</v>
      </c>
      <c r="B132" s="0" t="s">
        <v>110</v>
      </c>
      <c r="C132" s="0" t="s">
        <v>30</v>
      </c>
      <c r="D132" s="0" t="s">
        <v>31</v>
      </c>
      <c r="E132" s="0" t="n">
        <v>11</v>
      </c>
      <c r="F132" s="0" t="s">
        <v>61</v>
      </c>
      <c r="G132" s="0" t="s">
        <v>63</v>
      </c>
      <c r="H132" s="0" t="s">
        <v>63</v>
      </c>
      <c r="I132" s="0" t="s">
        <v>34</v>
      </c>
      <c r="J132" s="0" t="n">
        <v>1.41</v>
      </c>
      <c r="K132" s="0" t="s">
        <v>60</v>
      </c>
      <c r="L132" s="0" t="n">
        <f aca="false">INDEX(Summary!$F$2:$F$201,MATCH($B132,Summary!$A$2:$A$201,0))</f>
        <v>20</v>
      </c>
      <c r="M132" s="0" t="n">
        <f aca="false">INDEX(Summary!$I$2:$I$201,MATCH($B132,Summary!$A$2:$A$201,0))</f>
        <v>2</v>
      </c>
      <c r="N132" s="0" t="n">
        <f aca="false">INDEX(Summary!$J$2:$J$201,MATCH($B132,Summary!$A$2:$A$201,0))</f>
        <v>3</v>
      </c>
      <c r="O132" s="2" t="n">
        <f aca="false">INDEX(Summary!$K$2:$K$201,MATCH($B132,Summary!$A$2:$A$201,0))</f>
        <v>10.05</v>
      </c>
      <c r="P132" s="3" t="n">
        <f aca="false">INDEX(Summary!$L$2:$L$201,MATCH($B132,Summary!$A$2:$A$201,0))</f>
        <v>5</v>
      </c>
      <c r="Q132" s="3" t="n">
        <f aca="false">INDEX(Summary!$M$2:$M$201,MATCH($B132,Summary!$A$2:$A$201,0))</f>
        <v>1</v>
      </c>
      <c r="R132" s="2" t="n">
        <f aca="false">INDEX(Summary!$N$2:$N$201,MATCH($B132,Summary!$A$2:$A$201,0))</f>
        <v>8.83</v>
      </c>
      <c r="S132" s="3" t="n">
        <f aca="false">INDEX(Summary!$O$2:$O$201,MATCH($B132,Summary!$A$2:$A$201,0))</f>
        <v>7</v>
      </c>
      <c r="T132" s="3" t="n">
        <f aca="false">INDEX(Summary!$P$2:$P$201,MATCH($B132,Summary!$A$2:$A$201,0))</f>
        <v>2</v>
      </c>
      <c r="U132" s="2" t="n">
        <f aca="false">INDEX(Summary!$Q$2:$Q$201,MATCH($B132,Summary!$A$2:$A$201,0))</f>
        <v>12.46</v>
      </c>
      <c r="V132" s="2" t="n">
        <f aca="false">INDEX(Summary!$R$2:$R$201,MATCH($B132,Summary!$A$2:$A$201,0))</f>
        <v>25.83</v>
      </c>
      <c r="W132" s="0" t="str">
        <f aca="false">INDEX(Summary!$S$2:$S$201,MATCH($B132,Summary!$A$2:$A$201,0))</f>
        <v>Silver</v>
      </c>
      <c r="X132" s="2" t="n">
        <f aca="false">INDEX(Summary!$T$2:$T$201,MATCH($B132,Summary!$A$2:$A$201,0))</f>
        <v>63</v>
      </c>
      <c r="Y132" s="0" t="str">
        <f aca="false">INDEX('Reward Model'!$E$18:$E$37,MATCH($E132,'Reward Model'!$A$18:$A$37,0))</f>
        <v>Medium</v>
      </c>
      <c r="Z132" s="4" t="n">
        <f aca="false">ROUND(MIN(1,MAX('Reward Model'!$B$2,INDEX('Reward Model'!$C$12:$C$14,MATCH($K132,'Reward Model'!$A$12:$A$14,0))/$J132)),3)</f>
        <v>1</v>
      </c>
      <c r="AA132" s="2" t="n">
        <f aca="false">IF($I132="Correct",ROUND(INDEX('Reward Model'!$B$12:$B$14,MATCH($K132,'Reward Model'!$A$12:$A$14,0))*Z132,2),0)</f>
        <v>2</v>
      </c>
      <c r="AB132" s="2" t="n">
        <f aca="false">IF($I132="Correct",ROUND(INDEX('Reward Model'!$B$12:$B$14,MATCH($Y132,'Reward Model'!$A$12:$A$14,0))*Z132,2),0)</f>
        <v>2</v>
      </c>
    </row>
    <row r="133" customFormat="false" ht="15" hidden="false" customHeight="false" outlineLevel="0" collapsed="false">
      <c r="A133" s="0" t="s">
        <v>109</v>
      </c>
      <c r="B133" s="0" t="s">
        <v>110</v>
      </c>
      <c r="C133" s="0" t="s">
        <v>30</v>
      </c>
      <c r="D133" s="0" t="s">
        <v>31</v>
      </c>
      <c r="E133" s="0" t="n">
        <v>12</v>
      </c>
      <c r="F133" s="0" t="s">
        <v>64</v>
      </c>
      <c r="G133" s="0" t="s">
        <v>112</v>
      </c>
      <c r="H133" s="0" t="s">
        <v>65</v>
      </c>
      <c r="I133" s="0" t="s">
        <v>39</v>
      </c>
      <c r="J133" s="0" t="n">
        <v>1.37</v>
      </c>
      <c r="K133" s="0" t="s">
        <v>60</v>
      </c>
      <c r="L133" s="0" t="n">
        <f aca="false">INDEX(Summary!$F$2:$F$201,MATCH($B133,Summary!$A$2:$A$201,0))</f>
        <v>20</v>
      </c>
      <c r="M133" s="0" t="n">
        <f aca="false">INDEX(Summary!$I$2:$I$201,MATCH($B133,Summary!$A$2:$A$201,0))</f>
        <v>2</v>
      </c>
      <c r="N133" s="0" t="n">
        <f aca="false">INDEX(Summary!$J$2:$J$201,MATCH($B133,Summary!$A$2:$A$201,0))</f>
        <v>3</v>
      </c>
      <c r="O133" s="2" t="n">
        <f aca="false">INDEX(Summary!$K$2:$K$201,MATCH($B133,Summary!$A$2:$A$201,0))</f>
        <v>10.05</v>
      </c>
      <c r="P133" s="3" t="n">
        <f aca="false">INDEX(Summary!$L$2:$L$201,MATCH($B133,Summary!$A$2:$A$201,0))</f>
        <v>5</v>
      </c>
      <c r="Q133" s="3" t="n">
        <f aca="false">INDEX(Summary!$M$2:$M$201,MATCH($B133,Summary!$A$2:$A$201,0))</f>
        <v>1</v>
      </c>
      <c r="R133" s="2" t="n">
        <f aca="false">INDEX(Summary!$N$2:$N$201,MATCH($B133,Summary!$A$2:$A$201,0))</f>
        <v>8.83</v>
      </c>
      <c r="S133" s="3" t="n">
        <f aca="false">INDEX(Summary!$O$2:$O$201,MATCH($B133,Summary!$A$2:$A$201,0))</f>
        <v>7</v>
      </c>
      <c r="T133" s="3" t="n">
        <f aca="false">INDEX(Summary!$P$2:$P$201,MATCH($B133,Summary!$A$2:$A$201,0))</f>
        <v>2</v>
      </c>
      <c r="U133" s="2" t="n">
        <f aca="false">INDEX(Summary!$Q$2:$Q$201,MATCH($B133,Summary!$A$2:$A$201,0))</f>
        <v>12.46</v>
      </c>
      <c r="V133" s="2" t="n">
        <f aca="false">INDEX(Summary!$R$2:$R$201,MATCH($B133,Summary!$A$2:$A$201,0))</f>
        <v>25.83</v>
      </c>
      <c r="W133" s="0" t="str">
        <f aca="false">INDEX(Summary!$S$2:$S$201,MATCH($B133,Summary!$A$2:$A$201,0))</f>
        <v>Silver</v>
      </c>
      <c r="X133" s="2" t="n">
        <f aca="false">INDEX(Summary!$T$2:$T$201,MATCH($B133,Summary!$A$2:$A$201,0))</f>
        <v>63</v>
      </c>
      <c r="Y133" s="0" t="str">
        <f aca="false">INDEX('Reward Model'!$E$18:$E$37,MATCH($E133,'Reward Model'!$A$18:$A$37,0))</f>
        <v>Medium</v>
      </c>
      <c r="Z133" s="4" t="n">
        <f aca="false">ROUND(MIN(1,MAX('Reward Model'!$B$2,INDEX('Reward Model'!$C$12:$C$14,MATCH($K133,'Reward Model'!$A$12:$A$14,0))/$J133)),3)</f>
        <v>1</v>
      </c>
      <c r="AA133" s="2" t="n">
        <f aca="false">IF($I133="Correct",ROUND(INDEX('Reward Model'!$B$12:$B$14,MATCH($K133,'Reward Model'!$A$12:$A$14,0))*Z133,2),0)</f>
        <v>0</v>
      </c>
      <c r="AB133" s="2" t="n">
        <f aca="false">IF($I133="Correct",ROUND(INDEX('Reward Model'!$B$12:$B$14,MATCH($Y133,'Reward Model'!$A$12:$A$14,0))*Z133,2),0)</f>
        <v>0</v>
      </c>
    </row>
    <row r="134" customFormat="false" ht="15" hidden="false" customHeight="false" outlineLevel="0" collapsed="false">
      <c r="A134" s="0" t="s">
        <v>109</v>
      </c>
      <c r="B134" s="0" t="s">
        <v>110</v>
      </c>
      <c r="C134" s="0" t="s">
        <v>30</v>
      </c>
      <c r="D134" s="0" t="s">
        <v>31</v>
      </c>
      <c r="E134" s="0" t="n">
        <v>13</v>
      </c>
      <c r="F134" s="0" t="s">
        <v>66</v>
      </c>
      <c r="G134" s="0" t="s">
        <v>67</v>
      </c>
      <c r="H134" s="0" t="s">
        <v>67</v>
      </c>
      <c r="I134" s="0" t="s">
        <v>34</v>
      </c>
      <c r="J134" s="0" t="n">
        <v>1.12</v>
      </c>
      <c r="K134" s="0" t="s">
        <v>60</v>
      </c>
      <c r="L134" s="0" t="n">
        <f aca="false">INDEX(Summary!$F$2:$F$201,MATCH($B134,Summary!$A$2:$A$201,0))</f>
        <v>20</v>
      </c>
      <c r="M134" s="0" t="n">
        <f aca="false">INDEX(Summary!$I$2:$I$201,MATCH($B134,Summary!$A$2:$A$201,0))</f>
        <v>2</v>
      </c>
      <c r="N134" s="0" t="n">
        <f aca="false">INDEX(Summary!$J$2:$J$201,MATCH($B134,Summary!$A$2:$A$201,0))</f>
        <v>3</v>
      </c>
      <c r="O134" s="2" t="n">
        <f aca="false">INDEX(Summary!$K$2:$K$201,MATCH($B134,Summary!$A$2:$A$201,0))</f>
        <v>10.05</v>
      </c>
      <c r="P134" s="3" t="n">
        <f aca="false">INDEX(Summary!$L$2:$L$201,MATCH($B134,Summary!$A$2:$A$201,0))</f>
        <v>5</v>
      </c>
      <c r="Q134" s="3" t="n">
        <f aca="false">INDEX(Summary!$M$2:$M$201,MATCH($B134,Summary!$A$2:$A$201,0))</f>
        <v>1</v>
      </c>
      <c r="R134" s="2" t="n">
        <f aca="false">INDEX(Summary!$N$2:$N$201,MATCH($B134,Summary!$A$2:$A$201,0))</f>
        <v>8.83</v>
      </c>
      <c r="S134" s="3" t="n">
        <f aca="false">INDEX(Summary!$O$2:$O$201,MATCH($B134,Summary!$A$2:$A$201,0))</f>
        <v>7</v>
      </c>
      <c r="T134" s="3" t="n">
        <f aca="false">INDEX(Summary!$P$2:$P$201,MATCH($B134,Summary!$A$2:$A$201,0))</f>
        <v>2</v>
      </c>
      <c r="U134" s="2" t="n">
        <f aca="false">INDEX(Summary!$Q$2:$Q$201,MATCH($B134,Summary!$A$2:$A$201,0))</f>
        <v>12.46</v>
      </c>
      <c r="V134" s="2" t="n">
        <f aca="false">INDEX(Summary!$R$2:$R$201,MATCH($B134,Summary!$A$2:$A$201,0))</f>
        <v>25.83</v>
      </c>
      <c r="W134" s="0" t="str">
        <f aca="false">INDEX(Summary!$S$2:$S$201,MATCH($B134,Summary!$A$2:$A$201,0))</f>
        <v>Silver</v>
      </c>
      <c r="X134" s="2" t="n">
        <f aca="false">INDEX(Summary!$T$2:$T$201,MATCH($B134,Summary!$A$2:$A$201,0))</f>
        <v>63</v>
      </c>
      <c r="Y134" s="0" t="str">
        <f aca="false">INDEX('Reward Model'!$E$18:$E$37,MATCH($E134,'Reward Model'!$A$18:$A$37,0))</f>
        <v>Medium</v>
      </c>
      <c r="Z134" s="4" t="n">
        <f aca="false">ROUND(MIN(1,MAX('Reward Model'!$B$2,INDEX('Reward Model'!$C$12:$C$14,MATCH($K134,'Reward Model'!$A$12:$A$14,0))/$J134)),3)</f>
        <v>1</v>
      </c>
      <c r="AA134" s="2" t="n">
        <f aca="false">IF($I134="Correct",ROUND(INDEX('Reward Model'!$B$12:$B$14,MATCH($K134,'Reward Model'!$A$12:$A$14,0))*Z134,2),0)</f>
        <v>2</v>
      </c>
      <c r="AB134" s="2" t="n">
        <f aca="false">IF($I134="Correct",ROUND(INDEX('Reward Model'!$B$12:$B$14,MATCH($Y134,'Reward Model'!$A$12:$A$14,0))*Z134,2),0)</f>
        <v>2</v>
      </c>
    </row>
    <row r="135" customFormat="false" ht="15" hidden="false" customHeight="false" outlineLevel="0" collapsed="false">
      <c r="A135" s="0" t="s">
        <v>109</v>
      </c>
      <c r="B135" s="0" t="s">
        <v>110</v>
      </c>
      <c r="C135" s="0" t="s">
        <v>30</v>
      </c>
      <c r="D135" s="0" t="s">
        <v>31</v>
      </c>
      <c r="E135" s="0" t="n">
        <v>14</v>
      </c>
      <c r="F135" s="0" t="s">
        <v>68</v>
      </c>
      <c r="G135" s="0" t="s">
        <v>51</v>
      </c>
      <c r="H135" s="0" t="s">
        <v>51</v>
      </c>
      <c r="I135" s="0" t="s">
        <v>34</v>
      </c>
      <c r="J135" s="0" t="n">
        <v>1.75</v>
      </c>
      <c r="K135" s="0" t="s">
        <v>60</v>
      </c>
      <c r="L135" s="0" t="n">
        <f aca="false">INDEX(Summary!$F$2:$F$201,MATCH($B135,Summary!$A$2:$A$201,0))</f>
        <v>20</v>
      </c>
      <c r="M135" s="0" t="n">
        <f aca="false">INDEX(Summary!$I$2:$I$201,MATCH($B135,Summary!$A$2:$A$201,0))</f>
        <v>2</v>
      </c>
      <c r="N135" s="0" t="n">
        <f aca="false">INDEX(Summary!$J$2:$J$201,MATCH($B135,Summary!$A$2:$A$201,0))</f>
        <v>3</v>
      </c>
      <c r="O135" s="2" t="n">
        <f aca="false">INDEX(Summary!$K$2:$K$201,MATCH($B135,Summary!$A$2:$A$201,0))</f>
        <v>10.05</v>
      </c>
      <c r="P135" s="3" t="n">
        <f aca="false">INDEX(Summary!$L$2:$L$201,MATCH($B135,Summary!$A$2:$A$201,0))</f>
        <v>5</v>
      </c>
      <c r="Q135" s="3" t="n">
        <f aca="false">INDEX(Summary!$M$2:$M$201,MATCH($B135,Summary!$A$2:$A$201,0))</f>
        <v>1</v>
      </c>
      <c r="R135" s="2" t="n">
        <f aca="false">INDEX(Summary!$N$2:$N$201,MATCH($B135,Summary!$A$2:$A$201,0))</f>
        <v>8.83</v>
      </c>
      <c r="S135" s="3" t="n">
        <f aca="false">INDEX(Summary!$O$2:$O$201,MATCH($B135,Summary!$A$2:$A$201,0))</f>
        <v>7</v>
      </c>
      <c r="T135" s="3" t="n">
        <f aca="false">INDEX(Summary!$P$2:$P$201,MATCH($B135,Summary!$A$2:$A$201,0))</f>
        <v>2</v>
      </c>
      <c r="U135" s="2" t="n">
        <f aca="false">INDEX(Summary!$Q$2:$Q$201,MATCH($B135,Summary!$A$2:$A$201,0))</f>
        <v>12.46</v>
      </c>
      <c r="V135" s="2" t="n">
        <f aca="false">INDEX(Summary!$R$2:$R$201,MATCH($B135,Summary!$A$2:$A$201,0))</f>
        <v>25.83</v>
      </c>
      <c r="W135" s="0" t="str">
        <f aca="false">INDEX(Summary!$S$2:$S$201,MATCH($B135,Summary!$A$2:$A$201,0))</f>
        <v>Silver</v>
      </c>
      <c r="X135" s="2" t="n">
        <f aca="false">INDEX(Summary!$T$2:$T$201,MATCH($B135,Summary!$A$2:$A$201,0))</f>
        <v>63</v>
      </c>
      <c r="Y135" s="0" t="str">
        <f aca="false">INDEX('Reward Model'!$E$18:$E$37,MATCH($E135,'Reward Model'!$A$18:$A$37,0))</f>
        <v>Medium</v>
      </c>
      <c r="Z135" s="4" t="n">
        <f aca="false">ROUND(MIN(1,MAX('Reward Model'!$B$2,INDEX('Reward Model'!$C$12:$C$14,MATCH($K135,'Reward Model'!$A$12:$A$14,0))/$J135)),3)</f>
        <v>1</v>
      </c>
      <c r="AA135" s="2" t="n">
        <f aca="false">IF($I135="Correct",ROUND(INDEX('Reward Model'!$B$12:$B$14,MATCH($K135,'Reward Model'!$A$12:$A$14,0))*Z135,2),0)</f>
        <v>2</v>
      </c>
      <c r="AB135" s="2" t="n">
        <f aca="false">IF($I135="Correct",ROUND(INDEX('Reward Model'!$B$12:$B$14,MATCH($Y135,'Reward Model'!$A$12:$A$14,0))*Z135,2),0)</f>
        <v>2</v>
      </c>
    </row>
    <row r="136" customFormat="false" ht="15" hidden="false" customHeight="false" outlineLevel="0" collapsed="false">
      <c r="A136" s="0" t="s">
        <v>109</v>
      </c>
      <c r="B136" s="0" t="s">
        <v>110</v>
      </c>
      <c r="C136" s="0" t="s">
        <v>30</v>
      </c>
      <c r="D136" s="0" t="s">
        <v>31</v>
      </c>
      <c r="E136" s="0" t="n">
        <v>15</v>
      </c>
      <c r="F136" s="0" t="s">
        <v>69</v>
      </c>
      <c r="G136" s="0" t="s">
        <v>70</v>
      </c>
      <c r="H136" s="0" t="s">
        <v>70</v>
      </c>
      <c r="I136" s="0" t="s">
        <v>34</v>
      </c>
      <c r="J136" s="0" t="n">
        <v>1.6</v>
      </c>
      <c r="K136" s="0" t="s">
        <v>60</v>
      </c>
      <c r="L136" s="0" t="n">
        <f aca="false">INDEX(Summary!$F$2:$F$201,MATCH($B136,Summary!$A$2:$A$201,0))</f>
        <v>20</v>
      </c>
      <c r="M136" s="0" t="n">
        <f aca="false">INDEX(Summary!$I$2:$I$201,MATCH($B136,Summary!$A$2:$A$201,0))</f>
        <v>2</v>
      </c>
      <c r="N136" s="0" t="n">
        <f aca="false">INDEX(Summary!$J$2:$J$201,MATCH($B136,Summary!$A$2:$A$201,0))</f>
        <v>3</v>
      </c>
      <c r="O136" s="2" t="n">
        <f aca="false">INDEX(Summary!$K$2:$K$201,MATCH($B136,Summary!$A$2:$A$201,0))</f>
        <v>10.05</v>
      </c>
      <c r="P136" s="3" t="n">
        <f aca="false">INDEX(Summary!$L$2:$L$201,MATCH($B136,Summary!$A$2:$A$201,0))</f>
        <v>5</v>
      </c>
      <c r="Q136" s="3" t="n">
        <f aca="false">INDEX(Summary!$M$2:$M$201,MATCH($B136,Summary!$A$2:$A$201,0))</f>
        <v>1</v>
      </c>
      <c r="R136" s="2" t="n">
        <f aca="false">INDEX(Summary!$N$2:$N$201,MATCH($B136,Summary!$A$2:$A$201,0))</f>
        <v>8.83</v>
      </c>
      <c r="S136" s="3" t="n">
        <f aca="false">INDEX(Summary!$O$2:$O$201,MATCH($B136,Summary!$A$2:$A$201,0))</f>
        <v>7</v>
      </c>
      <c r="T136" s="3" t="n">
        <f aca="false">INDEX(Summary!$P$2:$P$201,MATCH($B136,Summary!$A$2:$A$201,0))</f>
        <v>2</v>
      </c>
      <c r="U136" s="2" t="n">
        <f aca="false">INDEX(Summary!$Q$2:$Q$201,MATCH($B136,Summary!$A$2:$A$201,0))</f>
        <v>12.46</v>
      </c>
      <c r="V136" s="2" t="n">
        <f aca="false">INDEX(Summary!$R$2:$R$201,MATCH($B136,Summary!$A$2:$A$201,0))</f>
        <v>25.83</v>
      </c>
      <c r="W136" s="0" t="str">
        <f aca="false">INDEX(Summary!$S$2:$S$201,MATCH($B136,Summary!$A$2:$A$201,0))</f>
        <v>Silver</v>
      </c>
      <c r="X136" s="2" t="n">
        <f aca="false">INDEX(Summary!$T$2:$T$201,MATCH($B136,Summary!$A$2:$A$201,0))</f>
        <v>63</v>
      </c>
      <c r="Y136" s="0" t="str">
        <f aca="false">INDEX('Reward Model'!$E$18:$E$37,MATCH($E136,'Reward Model'!$A$18:$A$37,0))</f>
        <v>Medium</v>
      </c>
      <c r="Z136" s="4" t="n">
        <f aca="false">ROUND(MIN(1,MAX('Reward Model'!$B$2,INDEX('Reward Model'!$C$12:$C$14,MATCH($K136,'Reward Model'!$A$12:$A$14,0))/$J136)),3)</f>
        <v>1</v>
      </c>
      <c r="AA136" s="2" t="n">
        <f aca="false">IF($I136="Correct",ROUND(INDEX('Reward Model'!$B$12:$B$14,MATCH($K136,'Reward Model'!$A$12:$A$14,0))*Z136,2),0)</f>
        <v>2</v>
      </c>
      <c r="AB136" s="2" t="n">
        <f aca="false">IF($I136="Correct",ROUND(INDEX('Reward Model'!$B$12:$B$14,MATCH($Y136,'Reward Model'!$A$12:$A$14,0))*Z136,2),0)</f>
        <v>2</v>
      </c>
    </row>
    <row r="137" customFormat="false" ht="15" hidden="false" customHeight="false" outlineLevel="0" collapsed="false">
      <c r="A137" s="0" t="s">
        <v>109</v>
      </c>
      <c r="B137" s="0" t="s">
        <v>110</v>
      </c>
      <c r="C137" s="0" t="s">
        <v>30</v>
      </c>
      <c r="D137" s="0" t="s">
        <v>31</v>
      </c>
      <c r="E137" s="0" t="n">
        <v>16</v>
      </c>
      <c r="F137" s="0" t="s">
        <v>71</v>
      </c>
      <c r="G137" s="0" t="s">
        <v>101</v>
      </c>
      <c r="H137" s="0" t="s">
        <v>72</v>
      </c>
      <c r="I137" s="0" t="s">
        <v>39</v>
      </c>
      <c r="J137" s="0" t="n">
        <v>1.39</v>
      </c>
      <c r="K137" s="0" t="s">
        <v>73</v>
      </c>
      <c r="L137" s="0" t="n">
        <f aca="false">INDEX(Summary!$F$2:$F$201,MATCH($B137,Summary!$A$2:$A$201,0))</f>
        <v>20</v>
      </c>
      <c r="M137" s="0" t="n">
        <f aca="false">INDEX(Summary!$I$2:$I$201,MATCH($B137,Summary!$A$2:$A$201,0))</f>
        <v>2</v>
      </c>
      <c r="N137" s="0" t="n">
        <f aca="false">INDEX(Summary!$J$2:$J$201,MATCH($B137,Summary!$A$2:$A$201,0))</f>
        <v>3</v>
      </c>
      <c r="O137" s="2" t="n">
        <f aca="false">INDEX(Summary!$K$2:$K$201,MATCH($B137,Summary!$A$2:$A$201,0))</f>
        <v>10.05</v>
      </c>
      <c r="P137" s="3" t="n">
        <f aca="false">INDEX(Summary!$L$2:$L$201,MATCH($B137,Summary!$A$2:$A$201,0))</f>
        <v>5</v>
      </c>
      <c r="Q137" s="3" t="n">
        <f aca="false">INDEX(Summary!$M$2:$M$201,MATCH($B137,Summary!$A$2:$A$201,0))</f>
        <v>1</v>
      </c>
      <c r="R137" s="2" t="n">
        <f aca="false">INDEX(Summary!$N$2:$N$201,MATCH($B137,Summary!$A$2:$A$201,0))</f>
        <v>8.83</v>
      </c>
      <c r="S137" s="3" t="n">
        <f aca="false">INDEX(Summary!$O$2:$O$201,MATCH($B137,Summary!$A$2:$A$201,0))</f>
        <v>7</v>
      </c>
      <c r="T137" s="3" t="n">
        <f aca="false">INDEX(Summary!$P$2:$P$201,MATCH($B137,Summary!$A$2:$A$201,0))</f>
        <v>2</v>
      </c>
      <c r="U137" s="2" t="n">
        <f aca="false">INDEX(Summary!$Q$2:$Q$201,MATCH($B137,Summary!$A$2:$A$201,0))</f>
        <v>12.46</v>
      </c>
      <c r="V137" s="2" t="n">
        <f aca="false">INDEX(Summary!$R$2:$R$201,MATCH($B137,Summary!$A$2:$A$201,0))</f>
        <v>25.83</v>
      </c>
      <c r="W137" s="0" t="str">
        <f aca="false">INDEX(Summary!$S$2:$S$201,MATCH($B137,Summary!$A$2:$A$201,0))</f>
        <v>Silver</v>
      </c>
      <c r="X137" s="2" t="n">
        <f aca="false">INDEX(Summary!$T$2:$T$201,MATCH($B137,Summary!$A$2:$A$201,0))</f>
        <v>63</v>
      </c>
      <c r="Y137" s="0" t="str">
        <f aca="false">INDEX('Reward Model'!$E$18:$E$37,MATCH($E137,'Reward Model'!$A$18:$A$37,0))</f>
        <v>High</v>
      </c>
      <c r="Z137" s="4" t="n">
        <f aca="false">ROUND(MIN(1,MAX('Reward Model'!$B$2,INDEX('Reward Model'!$C$12:$C$14,MATCH($K137,'Reward Model'!$A$12:$A$14,0))/$J137)),3)</f>
        <v>1</v>
      </c>
      <c r="AA137" s="2" t="n">
        <f aca="false">IF($I137="Correct",ROUND(INDEX('Reward Model'!$B$12:$B$14,MATCH($K137,'Reward Model'!$A$12:$A$14,0))*Z137,2),0)</f>
        <v>0</v>
      </c>
      <c r="AB137" s="2" t="n">
        <f aca="false">IF($I137="Correct",ROUND(INDEX('Reward Model'!$B$12:$B$14,MATCH($Y137,'Reward Model'!$A$12:$A$14,0))*Z137,2),0)</f>
        <v>0</v>
      </c>
    </row>
    <row r="138" customFormat="false" ht="15" hidden="false" customHeight="false" outlineLevel="0" collapsed="false">
      <c r="A138" s="0" t="s">
        <v>109</v>
      </c>
      <c r="B138" s="0" t="s">
        <v>110</v>
      </c>
      <c r="C138" s="0" t="s">
        <v>30</v>
      </c>
      <c r="D138" s="0" t="s">
        <v>31</v>
      </c>
      <c r="E138" s="0" t="n">
        <v>17</v>
      </c>
      <c r="F138" s="0" t="s">
        <v>74</v>
      </c>
      <c r="G138" s="0" t="s">
        <v>113</v>
      </c>
      <c r="H138" s="0" t="s">
        <v>75</v>
      </c>
      <c r="I138" s="0" t="s">
        <v>39</v>
      </c>
      <c r="J138" s="0" t="n">
        <v>2.03</v>
      </c>
      <c r="K138" s="0" t="s">
        <v>73</v>
      </c>
      <c r="L138" s="0" t="n">
        <f aca="false">INDEX(Summary!$F$2:$F$201,MATCH($B138,Summary!$A$2:$A$201,0))</f>
        <v>20</v>
      </c>
      <c r="M138" s="0" t="n">
        <f aca="false">INDEX(Summary!$I$2:$I$201,MATCH($B138,Summary!$A$2:$A$201,0))</f>
        <v>2</v>
      </c>
      <c r="N138" s="0" t="n">
        <f aca="false">INDEX(Summary!$J$2:$J$201,MATCH($B138,Summary!$A$2:$A$201,0))</f>
        <v>3</v>
      </c>
      <c r="O138" s="2" t="n">
        <f aca="false">INDEX(Summary!$K$2:$K$201,MATCH($B138,Summary!$A$2:$A$201,0))</f>
        <v>10.05</v>
      </c>
      <c r="P138" s="3" t="n">
        <f aca="false">INDEX(Summary!$L$2:$L$201,MATCH($B138,Summary!$A$2:$A$201,0))</f>
        <v>5</v>
      </c>
      <c r="Q138" s="3" t="n">
        <f aca="false">INDEX(Summary!$M$2:$M$201,MATCH($B138,Summary!$A$2:$A$201,0))</f>
        <v>1</v>
      </c>
      <c r="R138" s="2" t="n">
        <f aca="false">INDEX(Summary!$N$2:$N$201,MATCH($B138,Summary!$A$2:$A$201,0))</f>
        <v>8.83</v>
      </c>
      <c r="S138" s="3" t="n">
        <f aca="false">INDEX(Summary!$O$2:$O$201,MATCH($B138,Summary!$A$2:$A$201,0))</f>
        <v>7</v>
      </c>
      <c r="T138" s="3" t="n">
        <f aca="false">INDEX(Summary!$P$2:$P$201,MATCH($B138,Summary!$A$2:$A$201,0))</f>
        <v>2</v>
      </c>
      <c r="U138" s="2" t="n">
        <f aca="false">INDEX(Summary!$Q$2:$Q$201,MATCH($B138,Summary!$A$2:$A$201,0))</f>
        <v>12.46</v>
      </c>
      <c r="V138" s="2" t="n">
        <f aca="false">INDEX(Summary!$R$2:$R$201,MATCH($B138,Summary!$A$2:$A$201,0))</f>
        <v>25.83</v>
      </c>
      <c r="W138" s="0" t="str">
        <f aca="false">INDEX(Summary!$S$2:$S$201,MATCH($B138,Summary!$A$2:$A$201,0))</f>
        <v>Silver</v>
      </c>
      <c r="X138" s="2" t="n">
        <f aca="false">INDEX(Summary!$T$2:$T$201,MATCH($B138,Summary!$A$2:$A$201,0))</f>
        <v>63</v>
      </c>
      <c r="Y138" s="0" t="str">
        <f aca="false">INDEX('Reward Model'!$E$18:$E$37,MATCH($E138,'Reward Model'!$A$18:$A$37,0))</f>
        <v>High</v>
      </c>
      <c r="Z138" s="4" t="n">
        <f aca="false">ROUND(MIN(1,MAX('Reward Model'!$B$2,INDEX('Reward Model'!$C$12:$C$14,MATCH($K138,'Reward Model'!$A$12:$A$14,0))/$J138)),3)</f>
        <v>0.985</v>
      </c>
      <c r="AA138" s="2" t="n">
        <f aca="false">IF($I138="Correct",ROUND(INDEX('Reward Model'!$B$12:$B$14,MATCH($K138,'Reward Model'!$A$12:$A$14,0))*Z138,2),0)</f>
        <v>0</v>
      </c>
      <c r="AB138" s="2" t="n">
        <f aca="false">IF($I138="Correct",ROUND(INDEX('Reward Model'!$B$12:$B$14,MATCH($Y138,'Reward Model'!$A$12:$A$14,0))*Z138,2),0)</f>
        <v>0</v>
      </c>
    </row>
    <row r="139" customFormat="false" ht="15" hidden="false" customHeight="false" outlineLevel="0" collapsed="false">
      <c r="A139" s="0" t="s">
        <v>109</v>
      </c>
      <c r="B139" s="0" t="s">
        <v>110</v>
      </c>
      <c r="C139" s="0" t="s">
        <v>30</v>
      </c>
      <c r="D139" s="0" t="s">
        <v>31</v>
      </c>
      <c r="E139" s="0" t="n">
        <v>18</v>
      </c>
      <c r="F139" s="0" t="s">
        <v>76</v>
      </c>
      <c r="G139" s="0" t="s">
        <v>56</v>
      </c>
      <c r="H139" s="0" t="s">
        <v>77</v>
      </c>
      <c r="I139" s="0" t="s">
        <v>39</v>
      </c>
      <c r="J139" s="0" t="n">
        <v>1.97</v>
      </c>
      <c r="K139" s="0" t="s">
        <v>73</v>
      </c>
      <c r="L139" s="0" t="n">
        <f aca="false">INDEX(Summary!$F$2:$F$201,MATCH($B139,Summary!$A$2:$A$201,0))</f>
        <v>20</v>
      </c>
      <c r="M139" s="0" t="n">
        <f aca="false">INDEX(Summary!$I$2:$I$201,MATCH($B139,Summary!$A$2:$A$201,0))</f>
        <v>2</v>
      </c>
      <c r="N139" s="0" t="n">
        <f aca="false">INDEX(Summary!$J$2:$J$201,MATCH($B139,Summary!$A$2:$A$201,0))</f>
        <v>3</v>
      </c>
      <c r="O139" s="2" t="n">
        <f aca="false">INDEX(Summary!$K$2:$K$201,MATCH($B139,Summary!$A$2:$A$201,0))</f>
        <v>10.05</v>
      </c>
      <c r="P139" s="3" t="n">
        <f aca="false">INDEX(Summary!$L$2:$L$201,MATCH($B139,Summary!$A$2:$A$201,0))</f>
        <v>5</v>
      </c>
      <c r="Q139" s="3" t="n">
        <f aca="false">INDEX(Summary!$M$2:$M$201,MATCH($B139,Summary!$A$2:$A$201,0))</f>
        <v>1</v>
      </c>
      <c r="R139" s="2" t="n">
        <f aca="false">INDEX(Summary!$N$2:$N$201,MATCH($B139,Summary!$A$2:$A$201,0))</f>
        <v>8.83</v>
      </c>
      <c r="S139" s="3" t="n">
        <f aca="false">INDEX(Summary!$O$2:$O$201,MATCH($B139,Summary!$A$2:$A$201,0))</f>
        <v>7</v>
      </c>
      <c r="T139" s="3" t="n">
        <f aca="false">INDEX(Summary!$P$2:$P$201,MATCH($B139,Summary!$A$2:$A$201,0))</f>
        <v>2</v>
      </c>
      <c r="U139" s="2" t="n">
        <f aca="false">INDEX(Summary!$Q$2:$Q$201,MATCH($B139,Summary!$A$2:$A$201,0))</f>
        <v>12.46</v>
      </c>
      <c r="V139" s="2" t="n">
        <f aca="false">INDEX(Summary!$R$2:$R$201,MATCH($B139,Summary!$A$2:$A$201,0))</f>
        <v>25.83</v>
      </c>
      <c r="W139" s="0" t="str">
        <f aca="false">INDEX(Summary!$S$2:$S$201,MATCH($B139,Summary!$A$2:$A$201,0))</f>
        <v>Silver</v>
      </c>
      <c r="X139" s="2" t="n">
        <f aca="false">INDEX(Summary!$T$2:$T$201,MATCH($B139,Summary!$A$2:$A$201,0))</f>
        <v>63</v>
      </c>
      <c r="Y139" s="0" t="str">
        <f aca="false">INDEX('Reward Model'!$E$18:$E$37,MATCH($E139,'Reward Model'!$A$18:$A$37,0))</f>
        <v>High</v>
      </c>
      <c r="Z139" s="4" t="n">
        <f aca="false">ROUND(MIN(1,MAX('Reward Model'!$B$2,INDEX('Reward Model'!$C$12:$C$14,MATCH($K139,'Reward Model'!$A$12:$A$14,0))/$J139)),3)</f>
        <v>1</v>
      </c>
      <c r="AA139" s="2" t="n">
        <f aca="false">IF($I139="Correct",ROUND(INDEX('Reward Model'!$B$12:$B$14,MATCH($K139,'Reward Model'!$A$12:$A$14,0))*Z139,2),0)</f>
        <v>0</v>
      </c>
      <c r="AB139" s="2" t="n">
        <f aca="false">IF($I139="Correct",ROUND(INDEX('Reward Model'!$B$12:$B$14,MATCH($Y139,'Reward Model'!$A$12:$A$14,0))*Z139,2),0)</f>
        <v>0</v>
      </c>
    </row>
    <row r="140" customFormat="false" ht="15" hidden="false" customHeight="false" outlineLevel="0" collapsed="false">
      <c r="A140" s="0" t="s">
        <v>109</v>
      </c>
      <c r="B140" s="0" t="s">
        <v>110</v>
      </c>
      <c r="C140" s="0" t="s">
        <v>30</v>
      </c>
      <c r="D140" s="0" t="s">
        <v>31</v>
      </c>
      <c r="E140" s="0" t="n">
        <v>19</v>
      </c>
      <c r="F140" s="0" t="s">
        <v>78</v>
      </c>
      <c r="G140" s="0" t="s">
        <v>80</v>
      </c>
      <c r="H140" s="0" t="s">
        <v>80</v>
      </c>
      <c r="I140" s="0" t="s">
        <v>34</v>
      </c>
      <c r="J140" s="0" t="n">
        <v>2.11</v>
      </c>
      <c r="K140" s="0" t="s">
        <v>73</v>
      </c>
      <c r="L140" s="0" t="n">
        <f aca="false">INDEX(Summary!$F$2:$F$201,MATCH($B140,Summary!$A$2:$A$201,0))</f>
        <v>20</v>
      </c>
      <c r="M140" s="0" t="n">
        <f aca="false">INDEX(Summary!$I$2:$I$201,MATCH($B140,Summary!$A$2:$A$201,0))</f>
        <v>2</v>
      </c>
      <c r="N140" s="0" t="n">
        <f aca="false">INDEX(Summary!$J$2:$J$201,MATCH($B140,Summary!$A$2:$A$201,0))</f>
        <v>3</v>
      </c>
      <c r="O140" s="2" t="n">
        <f aca="false">INDEX(Summary!$K$2:$K$201,MATCH($B140,Summary!$A$2:$A$201,0))</f>
        <v>10.05</v>
      </c>
      <c r="P140" s="3" t="n">
        <f aca="false">INDEX(Summary!$L$2:$L$201,MATCH($B140,Summary!$A$2:$A$201,0))</f>
        <v>5</v>
      </c>
      <c r="Q140" s="3" t="n">
        <f aca="false">INDEX(Summary!$M$2:$M$201,MATCH($B140,Summary!$A$2:$A$201,0))</f>
        <v>1</v>
      </c>
      <c r="R140" s="2" t="n">
        <f aca="false">INDEX(Summary!$N$2:$N$201,MATCH($B140,Summary!$A$2:$A$201,0))</f>
        <v>8.83</v>
      </c>
      <c r="S140" s="3" t="n">
        <f aca="false">INDEX(Summary!$O$2:$O$201,MATCH($B140,Summary!$A$2:$A$201,0))</f>
        <v>7</v>
      </c>
      <c r="T140" s="3" t="n">
        <f aca="false">INDEX(Summary!$P$2:$P$201,MATCH($B140,Summary!$A$2:$A$201,0))</f>
        <v>2</v>
      </c>
      <c r="U140" s="2" t="n">
        <f aca="false">INDEX(Summary!$Q$2:$Q$201,MATCH($B140,Summary!$A$2:$A$201,0))</f>
        <v>12.46</v>
      </c>
      <c r="V140" s="2" t="n">
        <f aca="false">INDEX(Summary!$R$2:$R$201,MATCH($B140,Summary!$A$2:$A$201,0))</f>
        <v>25.83</v>
      </c>
      <c r="W140" s="0" t="str">
        <f aca="false">INDEX(Summary!$S$2:$S$201,MATCH($B140,Summary!$A$2:$A$201,0))</f>
        <v>Silver</v>
      </c>
      <c r="X140" s="2" t="n">
        <f aca="false">INDEX(Summary!$T$2:$T$201,MATCH($B140,Summary!$A$2:$A$201,0))</f>
        <v>63</v>
      </c>
      <c r="Y140" s="0" t="str">
        <f aca="false">INDEX('Reward Model'!$E$18:$E$37,MATCH($E140,'Reward Model'!$A$18:$A$37,0))</f>
        <v>High</v>
      </c>
      <c r="Z140" s="4" t="n">
        <f aca="false">ROUND(MIN(1,MAX('Reward Model'!$B$2,INDEX('Reward Model'!$C$12:$C$14,MATCH($K140,'Reward Model'!$A$12:$A$14,0))/$J140)),3)</f>
        <v>0.948</v>
      </c>
      <c r="AA140" s="2" t="n">
        <f aca="false">IF($I140="Correct",ROUND(INDEX('Reward Model'!$B$12:$B$14,MATCH($K140,'Reward Model'!$A$12:$A$14,0))*Z140,2),0)</f>
        <v>2.84</v>
      </c>
      <c r="AB140" s="2" t="n">
        <f aca="false">IF($I140="Correct",ROUND(INDEX('Reward Model'!$B$12:$B$14,MATCH($Y140,'Reward Model'!$A$12:$A$14,0))*Z140,2),0)</f>
        <v>2.84</v>
      </c>
    </row>
    <row r="141" customFormat="false" ht="15" hidden="false" customHeight="false" outlineLevel="0" collapsed="false">
      <c r="A141" s="0" t="s">
        <v>109</v>
      </c>
      <c r="B141" s="0" t="s">
        <v>110</v>
      </c>
      <c r="C141" s="0" t="s">
        <v>30</v>
      </c>
      <c r="D141" s="0" t="s">
        <v>31</v>
      </c>
      <c r="E141" s="0" t="n">
        <v>20</v>
      </c>
      <c r="F141" s="0" t="s">
        <v>81</v>
      </c>
      <c r="G141" s="0" t="s">
        <v>83</v>
      </c>
      <c r="H141" s="0" t="s">
        <v>83</v>
      </c>
      <c r="I141" s="0" t="s">
        <v>34</v>
      </c>
      <c r="J141" s="0" t="n">
        <v>2.55</v>
      </c>
      <c r="K141" s="0" t="s">
        <v>73</v>
      </c>
      <c r="L141" s="0" t="n">
        <f aca="false">INDEX(Summary!$F$2:$F$201,MATCH($B141,Summary!$A$2:$A$201,0))</f>
        <v>20</v>
      </c>
      <c r="M141" s="0" t="n">
        <f aca="false">INDEX(Summary!$I$2:$I$201,MATCH($B141,Summary!$A$2:$A$201,0))</f>
        <v>2</v>
      </c>
      <c r="N141" s="0" t="n">
        <f aca="false">INDEX(Summary!$J$2:$J$201,MATCH($B141,Summary!$A$2:$A$201,0))</f>
        <v>3</v>
      </c>
      <c r="O141" s="2" t="n">
        <f aca="false">INDEX(Summary!$K$2:$K$201,MATCH($B141,Summary!$A$2:$A$201,0))</f>
        <v>10.05</v>
      </c>
      <c r="P141" s="3" t="n">
        <f aca="false">INDEX(Summary!$L$2:$L$201,MATCH($B141,Summary!$A$2:$A$201,0))</f>
        <v>5</v>
      </c>
      <c r="Q141" s="3" t="n">
        <f aca="false">INDEX(Summary!$M$2:$M$201,MATCH($B141,Summary!$A$2:$A$201,0))</f>
        <v>1</v>
      </c>
      <c r="R141" s="2" t="n">
        <f aca="false">INDEX(Summary!$N$2:$N$201,MATCH($B141,Summary!$A$2:$A$201,0))</f>
        <v>8.83</v>
      </c>
      <c r="S141" s="3" t="n">
        <f aca="false">INDEX(Summary!$O$2:$O$201,MATCH($B141,Summary!$A$2:$A$201,0))</f>
        <v>7</v>
      </c>
      <c r="T141" s="3" t="n">
        <f aca="false">INDEX(Summary!$P$2:$P$201,MATCH($B141,Summary!$A$2:$A$201,0))</f>
        <v>2</v>
      </c>
      <c r="U141" s="2" t="n">
        <f aca="false">INDEX(Summary!$Q$2:$Q$201,MATCH($B141,Summary!$A$2:$A$201,0))</f>
        <v>12.46</v>
      </c>
      <c r="V141" s="2" t="n">
        <f aca="false">INDEX(Summary!$R$2:$R$201,MATCH($B141,Summary!$A$2:$A$201,0))</f>
        <v>25.83</v>
      </c>
      <c r="W141" s="0" t="str">
        <f aca="false">INDEX(Summary!$S$2:$S$201,MATCH($B141,Summary!$A$2:$A$201,0))</f>
        <v>Silver</v>
      </c>
      <c r="X141" s="2" t="n">
        <f aca="false">INDEX(Summary!$T$2:$T$201,MATCH($B141,Summary!$A$2:$A$201,0))</f>
        <v>63</v>
      </c>
      <c r="Y141" s="0" t="str">
        <f aca="false">INDEX('Reward Model'!$E$18:$E$37,MATCH($E141,'Reward Model'!$A$18:$A$37,0))</f>
        <v>High</v>
      </c>
      <c r="Z141" s="4" t="n">
        <f aca="false">ROUND(MIN(1,MAX('Reward Model'!$B$2,INDEX('Reward Model'!$C$12:$C$14,MATCH($K141,'Reward Model'!$A$12:$A$14,0))/$J141)),3)</f>
        <v>0.784</v>
      </c>
      <c r="AA141" s="2" t="n">
        <f aca="false">IF($I141="Correct",ROUND(INDEX('Reward Model'!$B$12:$B$14,MATCH($K141,'Reward Model'!$A$12:$A$14,0))*Z141,2),0)</f>
        <v>2.35</v>
      </c>
      <c r="AB141" s="2" t="n">
        <f aca="false">IF($I141="Correct",ROUND(INDEX('Reward Model'!$B$12:$B$14,MATCH($Y141,'Reward Model'!$A$12:$A$14,0))*Z141,2),0)</f>
        <v>2.35</v>
      </c>
    </row>
    <row r="142" customFormat="false" ht="15" hidden="false" customHeight="false" outlineLevel="0" collapsed="false">
      <c r="A142" s="0" t="s">
        <v>114</v>
      </c>
      <c r="B142" s="0" t="s">
        <v>115</v>
      </c>
      <c r="C142" s="0" t="s">
        <v>30</v>
      </c>
      <c r="D142" s="0" t="s">
        <v>31</v>
      </c>
      <c r="E142" s="0" t="n">
        <v>1</v>
      </c>
      <c r="F142" s="0" t="s">
        <v>32</v>
      </c>
      <c r="G142" s="0" t="s">
        <v>97</v>
      </c>
      <c r="H142" s="0" t="s">
        <v>33</v>
      </c>
      <c r="I142" s="0" t="s">
        <v>39</v>
      </c>
      <c r="J142" s="0" t="n">
        <v>1.3</v>
      </c>
      <c r="K142" s="0" t="s">
        <v>35</v>
      </c>
      <c r="L142" s="0" t="n">
        <f aca="false">INDEX(Summary!$F$2:$F$201,MATCH($B142,Summary!$A$2:$A$201,0))</f>
        <v>20</v>
      </c>
      <c r="M142" s="0" t="n">
        <f aca="false">INDEX(Summary!$I$2:$I$201,MATCH($B142,Summary!$A$2:$A$201,0))</f>
        <v>1</v>
      </c>
      <c r="N142" s="0" t="n">
        <f aca="false">INDEX(Summary!$J$2:$J$201,MATCH($B142,Summary!$A$2:$A$201,0))</f>
        <v>4</v>
      </c>
      <c r="O142" s="2" t="n">
        <f aca="false">INDEX(Summary!$K$2:$K$201,MATCH($B142,Summary!$A$2:$A$201,0))</f>
        <v>10.64</v>
      </c>
      <c r="P142" s="3" t="n">
        <f aca="false">INDEX(Summary!$L$2:$L$201,MATCH($B142,Summary!$A$2:$A$201,0))</f>
        <v>3</v>
      </c>
      <c r="Q142" s="3" t="n">
        <f aca="false">INDEX(Summary!$M$2:$M$201,MATCH($B142,Summary!$A$2:$A$201,0))</f>
        <v>3</v>
      </c>
      <c r="R142" s="2" t="n">
        <f aca="false">INDEX(Summary!$N$2:$N$201,MATCH($B142,Summary!$A$2:$A$201,0))</f>
        <v>10.16</v>
      </c>
      <c r="S142" s="3" t="n">
        <f aca="false">INDEX(Summary!$O$2:$O$201,MATCH($B142,Summary!$A$2:$A$201,0))</f>
        <v>7</v>
      </c>
      <c r="T142" s="3" t="n">
        <f aca="false">INDEX(Summary!$P$2:$P$201,MATCH($B142,Summary!$A$2:$A$201,0))</f>
        <v>2</v>
      </c>
      <c r="U142" s="2" t="n">
        <f aca="false">INDEX(Summary!$Q$2:$Q$201,MATCH($B142,Summary!$A$2:$A$201,0))</f>
        <v>12.68</v>
      </c>
      <c r="V142" s="2" t="n">
        <f aca="false">INDEX(Summary!$R$2:$R$201,MATCH($B142,Summary!$A$2:$A$201,0))</f>
        <v>18.39</v>
      </c>
      <c r="W142" s="0" t="str">
        <f aca="false">INDEX(Summary!$S$2:$S$201,MATCH($B142,Summary!$A$2:$A$201,0))</f>
        <v>Bronze</v>
      </c>
      <c r="X142" s="2" t="n">
        <f aca="false">INDEX(Summary!$T$2:$T$201,MATCH($B142,Summary!$A$2:$A$201,0))</f>
        <v>44.85</v>
      </c>
      <c r="Y142" s="0" t="str">
        <f aca="false">INDEX('Reward Model'!$E$18:$E$37,MATCH($E142,'Reward Model'!$A$18:$A$37,0))</f>
        <v>Medium</v>
      </c>
      <c r="Z142" s="4" t="n">
        <f aca="false">ROUND(MIN(1,MAX('Reward Model'!$B$2,INDEX('Reward Model'!$C$12:$C$14,MATCH($K142,'Reward Model'!$A$12:$A$14,0))/$J142)),3)</f>
        <v>1</v>
      </c>
      <c r="AA142" s="2" t="n">
        <f aca="false">IF($I142="Correct",ROUND(INDEX('Reward Model'!$B$12:$B$14,MATCH($K142,'Reward Model'!$A$12:$A$14,0))*Z142,2),0)</f>
        <v>0</v>
      </c>
      <c r="AB142" s="2" t="n">
        <f aca="false">IF($I142="Correct",ROUND(INDEX('Reward Model'!$B$12:$B$14,MATCH($Y142,'Reward Model'!$A$12:$A$14,0))*Z142,2),0)</f>
        <v>0</v>
      </c>
    </row>
    <row r="143" customFormat="false" ht="15" hidden="false" customHeight="false" outlineLevel="0" collapsed="false">
      <c r="A143" s="0" t="s">
        <v>114</v>
      </c>
      <c r="B143" s="0" t="s">
        <v>115</v>
      </c>
      <c r="C143" s="0" t="s">
        <v>30</v>
      </c>
      <c r="D143" s="0" t="s">
        <v>31</v>
      </c>
      <c r="E143" s="0" t="n">
        <v>2</v>
      </c>
      <c r="F143" s="0" t="s">
        <v>36</v>
      </c>
      <c r="G143" s="0" t="s">
        <v>38</v>
      </c>
      <c r="H143" s="0" t="s">
        <v>38</v>
      </c>
      <c r="I143" s="0" t="s">
        <v>34</v>
      </c>
      <c r="J143" s="0" t="n">
        <v>1.6</v>
      </c>
      <c r="K143" s="0" t="s">
        <v>35</v>
      </c>
      <c r="L143" s="0" t="n">
        <f aca="false">INDEX(Summary!$F$2:$F$201,MATCH($B143,Summary!$A$2:$A$201,0))</f>
        <v>20</v>
      </c>
      <c r="M143" s="0" t="n">
        <f aca="false">INDEX(Summary!$I$2:$I$201,MATCH($B143,Summary!$A$2:$A$201,0))</f>
        <v>1</v>
      </c>
      <c r="N143" s="0" t="n">
        <f aca="false">INDEX(Summary!$J$2:$J$201,MATCH($B143,Summary!$A$2:$A$201,0))</f>
        <v>4</v>
      </c>
      <c r="O143" s="2" t="n">
        <f aca="false">INDEX(Summary!$K$2:$K$201,MATCH($B143,Summary!$A$2:$A$201,0))</f>
        <v>10.64</v>
      </c>
      <c r="P143" s="3" t="n">
        <f aca="false">INDEX(Summary!$L$2:$L$201,MATCH($B143,Summary!$A$2:$A$201,0))</f>
        <v>3</v>
      </c>
      <c r="Q143" s="3" t="n">
        <f aca="false">INDEX(Summary!$M$2:$M$201,MATCH($B143,Summary!$A$2:$A$201,0))</f>
        <v>3</v>
      </c>
      <c r="R143" s="2" t="n">
        <f aca="false">INDEX(Summary!$N$2:$N$201,MATCH($B143,Summary!$A$2:$A$201,0))</f>
        <v>10.16</v>
      </c>
      <c r="S143" s="3" t="n">
        <f aca="false">INDEX(Summary!$O$2:$O$201,MATCH($B143,Summary!$A$2:$A$201,0))</f>
        <v>7</v>
      </c>
      <c r="T143" s="3" t="n">
        <f aca="false">INDEX(Summary!$P$2:$P$201,MATCH($B143,Summary!$A$2:$A$201,0))</f>
        <v>2</v>
      </c>
      <c r="U143" s="2" t="n">
        <f aca="false">INDEX(Summary!$Q$2:$Q$201,MATCH($B143,Summary!$A$2:$A$201,0))</f>
        <v>12.68</v>
      </c>
      <c r="V143" s="2" t="n">
        <f aca="false">INDEX(Summary!$R$2:$R$201,MATCH($B143,Summary!$A$2:$A$201,0))</f>
        <v>18.39</v>
      </c>
      <c r="W143" s="0" t="str">
        <f aca="false">INDEX(Summary!$S$2:$S$201,MATCH($B143,Summary!$A$2:$A$201,0))</f>
        <v>Bronze</v>
      </c>
      <c r="X143" s="2" t="n">
        <f aca="false">INDEX(Summary!$T$2:$T$201,MATCH($B143,Summary!$A$2:$A$201,0))</f>
        <v>44.85</v>
      </c>
      <c r="Y143" s="0" t="str">
        <f aca="false">INDEX('Reward Model'!$E$18:$E$37,MATCH($E143,'Reward Model'!$A$18:$A$37,0))</f>
        <v>Low</v>
      </c>
      <c r="Z143" s="4" t="n">
        <f aca="false">ROUND(MIN(1,MAX('Reward Model'!$B$2,INDEX('Reward Model'!$C$12:$C$14,MATCH($K143,'Reward Model'!$A$12:$A$14,0))/$J143)),3)</f>
        <v>0.938</v>
      </c>
      <c r="AA143" s="2" t="n">
        <f aca="false">IF($I143="Correct",ROUND(INDEX('Reward Model'!$B$12:$B$14,MATCH($K143,'Reward Model'!$A$12:$A$14,0))*Z143,2),0)</f>
        <v>0.94</v>
      </c>
      <c r="AB143" s="2" t="n">
        <f aca="false">IF($I143="Correct",ROUND(INDEX('Reward Model'!$B$12:$B$14,MATCH($Y143,'Reward Model'!$A$12:$A$14,0))*Z143,2),0)</f>
        <v>0.94</v>
      </c>
    </row>
    <row r="144" customFormat="false" ht="15" hidden="false" customHeight="false" outlineLevel="0" collapsed="false">
      <c r="A144" s="0" t="s">
        <v>114</v>
      </c>
      <c r="B144" s="0" t="s">
        <v>115</v>
      </c>
      <c r="C144" s="0" t="s">
        <v>30</v>
      </c>
      <c r="D144" s="0" t="s">
        <v>31</v>
      </c>
      <c r="E144" s="0" t="n">
        <v>3</v>
      </c>
      <c r="F144" s="0" t="s">
        <v>40</v>
      </c>
      <c r="G144" s="0" t="s">
        <v>42</v>
      </c>
      <c r="H144" s="0" t="s">
        <v>42</v>
      </c>
      <c r="I144" s="0" t="s">
        <v>34</v>
      </c>
      <c r="J144" s="0" t="n">
        <v>1.5</v>
      </c>
      <c r="K144" s="0" t="s">
        <v>35</v>
      </c>
      <c r="L144" s="0" t="n">
        <f aca="false">INDEX(Summary!$F$2:$F$201,MATCH($B144,Summary!$A$2:$A$201,0))</f>
        <v>20</v>
      </c>
      <c r="M144" s="0" t="n">
        <f aca="false">INDEX(Summary!$I$2:$I$201,MATCH($B144,Summary!$A$2:$A$201,0))</f>
        <v>1</v>
      </c>
      <c r="N144" s="0" t="n">
        <f aca="false">INDEX(Summary!$J$2:$J$201,MATCH($B144,Summary!$A$2:$A$201,0))</f>
        <v>4</v>
      </c>
      <c r="O144" s="2" t="n">
        <f aca="false">INDEX(Summary!$K$2:$K$201,MATCH($B144,Summary!$A$2:$A$201,0))</f>
        <v>10.64</v>
      </c>
      <c r="P144" s="3" t="n">
        <f aca="false">INDEX(Summary!$L$2:$L$201,MATCH($B144,Summary!$A$2:$A$201,0))</f>
        <v>3</v>
      </c>
      <c r="Q144" s="3" t="n">
        <f aca="false">INDEX(Summary!$M$2:$M$201,MATCH($B144,Summary!$A$2:$A$201,0))</f>
        <v>3</v>
      </c>
      <c r="R144" s="2" t="n">
        <f aca="false">INDEX(Summary!$N$2:$N$201,MATCH($B144,Summary!$A$2:$A$201,0))</f>
        <v>10.16</v>
      </c>
      <c r="S144" s="3" t="n">
        <f aca="false">INDEX(Summary!$O$2:$O$201,MATCH($B144,Summary!$A$2:$A$201,0))</f>
        <v>7</v>
      </c>
      <c r="T144" s="3" t="n">
        <f aca="false">INDEX(Summary!$P$2:$P$201,MATCH($B144,Summary!$A$2:$A$201,0))</f>
        <v>2</v>
      </c>
      <c r="U144" s="2" t="n">
        <f aca="false">INDEX(Summary!$Q$2:$Q$201,MATCH($B144,Summary!$A$2:$A$201,0))</f>
        <v>12.68</v>
      </c>
      <c r="V144" s="2" t="n">
        <f aca="false">INDEX(Summary!$R$2:$R$201,MATCH($B144,Summary!$A$2:$A$201,0))</f>
        <v>18.39</v>
      </c>
      <c r="W144" s="0" t="str">
        <f aca="false">INDEX(Summary!$S$2:$S$201,MATCH($B144,Summary!$A$2:$A$201,0))</f>
        <v>Bronze</v>
      </c>
      <c r="X144" s="2" t="n">
        <f aca="false">INDEX(Summary!$T$2:$T$201,MATCH($B144,Summary!$A$2:$A$201,0))</f>
        <v>44.85</v>
      </c>
      <c r="Y144" s="0" t="str">
        <f aca="false">INDEX('Reward Model'!$E$18:$E$37,MATCH($E144,'Reward Model'!$A$18:$A$37,0))</f>
        <v>Medium</v>
      </c>
      <c r="Z144" s="4" t="n">
        <f aca="false">ROUND(MIN(1,MAX('Reward Model'!$B$2,INDEX('Reward Model'!$C$12:$C$14,MATCH($K144,'Reward Model'!$A$12:$A$14,0))/$J144)),3)</f>
        <v>1</v>
      </c>
      <c r="AA144" s="2" t="n">
        <f aca="false">IF($I144="Correct",ROUND(INDEX('Reward Model'!$B$12:$B$14,MATCH($K144,'Reward Model'!$A$12:$A$14,0))*Z144,2),0)</f>
        <v>1</v>
      </c>
      <c r="AB144" s="2" t="n">
        <f aca="false">IF($I144="Correct",ROUND(INDEX('Reward Model'!$B$12:$B$14,MATCH($Y144,'Reward Model'!$A$12:$A$14,0))*Z144,2),0)</f>
        <v>2</v>
      </c>
    </row>
    <row r="145" customFormat="false" ht="15" hidden="false" customHeight="false" outlineLevel="0" collapsed="false">
      <c r="A145" s="0" t="s">
        <v>114</v>
      </c>
      <c r="B145" s="0" t="s">
        <v>115</v>
      </c>
      <c r="C145" s="0" t="s">
        <v>30</v>
      </c>
      <c r="D145" s="0" t="s">
        <v>31</v>
      </c>
      <c r="E145" s="0" t="n">
        <v>4</v>
      </c>
      <c r="F145" s="0" t="s">
        <v>43</v>
      </c>
      <c r="G145" s="0" t="s">
        <v>45</v>
      </c>
      <c r="H145" s="0" t="s">
        <v>45</v>
      </c>
      <c r="I145" s="0" t="s">
        <v>34</v>
      </c>
      <c r="J145" s="0" t="n">
        <v>1.42</v>
      </c>
      <c r="K145" s="0" t="s">
        <v>35</v>
      </c>
      <c r="L145" s="0" t="n">
        <f aca="false">INDEX(Summary!$F$2:$F$201,MATCH($B145,Summary!$A$2:$A$201,0))</f>
        <v>20</v>
      </c>
      <c r="M145" s="0" t="n">
        <f aca="false">INDEX(Summary!$I$2:$I$201,MATCH($B145,Summary!$A$2:$A$201,0))</f>
        <v>1</v>
      </c>
      <c r="N145" s="0" t="n">
        <f aca="false">INDEX(Summary!$J$2:$J$201,MATCH($B145,Summary!$A$2:$A$201,0))</f>
        <v>4</v>
      </c>
      <c r="O145" s="2" t="n">
        <f aca="false">INDEX(Summary!$K$2:$K$201,MATCH($B145,Summary!$A$2:$A$201,0))</f>
        <v>10.64</v>
      </c>
      <c r="P145" s="3" t="n">
        <f aca="false">INDEX(Summary!$L$2:$L$201,MATCH($B145,Summary!$A$2:$A$201,0))</f>
        <v>3</v>
      </c>
      <c r="Q145" s="3" t="n">
        <f aca="false">INDEX(Summary!$M$2:$M$201,MATCH($B145,Summary!$A$2:$A$201,0))</f>
        <v>3</v>
      </c>
      <c r="R145" s="2" t="n">
        <f aca="false">INDEX(Summary!$N$2:$N$201,MATCH($B145,Summary!$A$2:$A$201,0))</f>
        <v>10.16</v>
      </c>
      <c r="S145" s="3" t="n">
        <f aca="false">INDEX(Summary!$O$2:$O$201,MATCH($B145,Summary!$A$2:$A$201,0))</f>
        <v>7</v>
      </c>
      <c r="T145" s="3" t="n">
        <f aca="false">INDEX(Summary!$P$2:$P$201,MATCH($B145,Summary!$A$2:$A$201,0))</f>
        <v>2</v>
      </c>
      <c r="U145" s="2" t="n">
        <f aca="false">INDEX(Summary!$Q$2:$Q$201,MATCH($B145,Summary!$A$2:$A$201,0))</f>
        <v>12.68</v>
      </c>
      <c r="V145" s="2" t="n">
        <f aca="false">INDEX(Summary!$R$2:$R$201,MATCH($B145,Summary!$A$2:$A$201,0))</f>
        <v>18.39</v>
      </c>
      <c r="W145" s="0" t="str">
        <f aca="false">INDEX(Summary!$S$2:$S$201,MATCH($B145,Summary!$A$2:$A$201,0))</f>
        <v>Bronze</v>
      </c>
      <c r="X145" s="2" t="n">
        <f aca="false">INDEX(Summary!$T$2:$T$201,MATCH($B145,Summary!$A$2:$A$201,0))</f>
        <v>44.85</v>
      </c>
      <c r="Y145" s="0" t="str">
        <f aca="false">INDEX('Reward Model'!$E$18:$E$37,MATCH($E145,'Reward Model'!$A$18:$A$37,0))</f>
        <v>Low</v>
      </c>
      <c r="Z145" s="4" t="n">
        <f aca="false">ROUND(MIN(1,MAX('Reward Model'!$B$2,INDEX('Reward Model'!$C$12:$C$14,MATCH($K145,'Reward Model'!$A$12:$A$14,0))/$J145)),3)</f>
        <v>1</v>
      </c>
      <c r="AA145" s="2" t="n">
        <f aca="false">IF($I145="Correct",ROUND(INDEX('Reward Model'!$B$12:$B$14,MATCH($K145,'Reward Model'!$A$12:$A$14,0))*Z145,2),0)</f>
        <v>1</v>
      </c>
      <c r="AB145" s="2" t="n">
        <f aca="false">IF($I145="Correct",ROUND(INDEX('Reward Model'!$B$12:$B$14,MATCH($Y145,'Reward Model'!$A$12:$A$14,0))*Z145,2),0)</f>
        <v>1</v>
      </c>
    </row>
    <row r="146" customFormat="false" ht="15" hidden="false" customHeight="false" outlineLevel="0" collapsed="false">
      <c r="A146" s="0" t="s">
        <v>114</v>
      </c>
      <c r="B146" s="0" t="s">
        <v>115</v>
      </c>
      <c r="C146" s="0" t="s">
        <v>30</v>
      </c>
      <c r="D146" s="0" t="s">
        <v>31</v>
      </c>
      <c r="E146" s="0" t="n">
        <v>5</v>
      </c>
      <c r="F146" s="0" t="s">
        <v>46</v>
      </c>
      <c r="G146" s="0" t="s">
        <v>47</v>
      </c>
      <c r="H146" s="0" t="s">
        <v>47</v>
      </c>
      <c r="I146" s="0" t="s">
        <v>34</v>
      </c>
      <c r="J146" s="0" t="n">
        <v>1.77</v>
      </c>
      <c r="K146" s="0" t="s">
        <v>35</v>
      </c>
      <c r="L146" s="0" t="n">
        <f aca="false">INDEX(Summary!$F$2:$F$201,MATCH($B146,Summary!$A$2:$A$201,0))</f>
        <v>20</v>
      </c>
      <c r="M146" s="0" t="n">
        <f aca="false">INDEX(Summary!$I$2:$I$201,MATCH($B146,Summary!$A$2:$A$201,0))</f>
        <v>1</v>
      </c>
      <c r="N146" s="0" t="n">
        <f aca="false">INDEX(Summary!$J$2:$J$201,MATCH($B146,Summary!$A$2:$A$201,0))</f>
        <v>4</v>
      </c>
      <c r="O146" s="2" t="n">
        <f aca="false">INDEX(Summary!$K$2:$K$201,MATCH($B146,Summary!$A$2:$A$201,0))</f>
        <v>10.64</v>
      </c>
      <c r="P146" s="3" t="n">
        <f aca="false">INDEX(Summary!$L$2:$L$201,MATCH($B146,Summary!$A$2:$A$201,0))</f>
        <v>3</v>
      </c>
      <c r="Q146" s="3" t="n">
        <f aca="false">INDEX(Summary!$M$2:$M$201,MATCH($B146,Summary!$A$2:$A$201,0))</f>
        <v>3</v>
      </c>
      <c r="R146" s="2" t="n">
        <f aca="false">INDEX(Summary!$N$2:$N$201,MATCH($B146,Summary!$A$2:$A$201,0))</f>
        <v>10.16</v>
      </c>
      <c r="S146" s="3" t="n">
        <f aca="false">INDEX(Summary!$O$2:$O$201,MATCH($B146,Summary!$A$2:$A$201,0))</f>
        <v>7</v>
      </c>
      <c r="T146" s="3" t="n">
        <f aca="false">INDEX(Summary!$P$2:$P$201,MATCH($B146,Summary!$A$2:$A$201,0))</f>
        <v>2</v>
      </c>
      <c r="U146" s="2" t="n">
        <f aca="false">INDEX(Summary!$Q$2:$Q$201,MATCH($B146,Summary!$A$2:$A$201,0))</f>
        <v>12.68</v>
      </c>
      <c r="V146" s="2" t="n">
        <f aca="false">INDEX(Summary!$R$2:$R$201,MATCH($B146,Summary!$A$2:$A$201,0))</f>
        <v>18.39</v>
      </c>
      <c r="W146" s="0" t="str">
        <f aca="false">INDEX(Summary!$S$2:$S$201,MATCH($B146,Summary!$A$2:$A$201,0))</f>
        <v>Bronze</v>
      </c>
      <c r="X146" s="2" t="n">
        <f aca="false">INDEX(Summary!$T$2:$T$201,MATCH($B146,Summary!$A$2:$A$201,0))</f>
        <v>44.85</v>
      </c>
      <c r="Y146" s="0" t="str">
        <f aca="false">INDEX('Reward Model'!$E$18:$E$37,MATCH($E146,'Reward Model'!$A$18:$A$37,0))</f>
        <v>Low</v>
      </c>
      <c r="Z146" s="4" t="n">
        <f aca="false">ROUND(MIN(1,MAX('Reward Model'!$B$2,INDEX('Reward Model'!$C$12:$C$14,MATCH($K146,'Reward Model'!$A$12:$A$14,0))/$J146)),3)</f>
        <v>0.847</v>
      </c>
      <c r="AA146" s="2" t="n">
        <f aca="false">IF($I146="Correct",ROUND(INDEX('Reward Model'!$B$12:$B$14,MATCH($K146,'Reward Model'!$A$12:$A$14,0))*Z146,2),0)</f>
        <v>0.85</v>
      </c>
      <c r="AB146" s="2" t="n">
        <f aca="false">IF($I146="Correct",ROUND(INDEX('Reward Model'!$B$12:$B$14,MATCH($Y146,'Reward Model'!$A$12:$A$14,0))*Z146,2),0)</f>
        <v>0.85</v>
      </c>
    </row>
    <row r="147" customFormat="false" ht="15" hidden="false" customHeight="false" outlineLevel="0" collapsed="false">
      <c r="A147" s="0" t="s">
        <v>114</v>
      </c>
      <c r="B147" s="0" t="s">
        <v>115</v>
      </c>
      <c r="C147" s="0" t="s">
        <v>30</v>
      </c>
      <c r="D147" s="0" t="s">
        <v>31</v>
      </c>
      <c r="E147" s="0" t="n">
        <v>6</v>
      </c>
      <c r="F147" s="0" t="s">
        <v>48</v>
      </c>
      <c r="G147" s="0" t="s">
        <v>116</v>
      </c>
      <c r="H147" s="0" t="s">
        <v>49</v>
      </c>
      <c r="I147" s="0" t="s">
        <v>39</v>
      </c>
      <c r="J147" s="0" t="n">
        <v>1.24</v>
      </c>
      <c r="K147" s="0" t="s">
        <v>35</v>
      </c>
      <c r="L147" s="0" t="n">
        <f aca="false">INDEX(Summary!$F$2:$F$201,MATCH($B147,Summary!$A$2:$A$201,0))</f>
        <v>20</v>
      </c>
      <c r="M147" s="0" t="n">
        <f aca="false">INDEX(Summary!$I$2:$I$201,MATCH($B147,Summary!$A$2:$A$201,0))</f>
        <v>1</v>
      </c>
      <c r="N147" s="0" t="n">
        <f aca="false">INDEX(Summary!$J$2:$J$201,MATCH($B147,Summary!$A$2:$A$201,0))</f>
        <v>4</v>
      </c>
      <c r="O147" s="2" t="n">
        <f aca="false">INDEX(Summary!$K$2:$K$201,MATCH($B147,Summary!$A$2:$A$201,0))</f>
        <v>10.64</v>
      </c>
      <c r="P147" s="3" t="n">
        <f aca="false">INDEX(Summary!$L$2:$L$201,MATCH($B147,Summary!$A$2:$A$201,0))</f>
        <v>3</v>
      </c>
      <c r="Q147" s="3" t="n">
        <f aca="false">INDEX(Summary!$M$2:$M$201,MATCH($B147,Summary!$A$2:$A$201,0))</f>
        <v>3</v>
      </c>
      <c r="R147" s="2" t="n">
        <f aca="false">INDEX(Summary!$N$2:$N$201,MATCH($B147,Summary!$A$2:$A$201,0))</f>
        <v>10.16</v>
      </c>
      <c r="S147" s="3" t="n">
        <f aca="false">INDEX(Summary!$O$2:$O$201,MATCH($B147,Summary!$A$2:$A$201,0))</f>
        <v>7</v>
      </c>
      <c r="T147" s="3" t="n">
        <f aca="false">INDEX(Summary!$P$2:$P$201,MATCH($B147,Summary!$A$2:$A$201,0))</f>
        <v>2</v>
      </c>
      <c r="U147" s="2" t="n">
        <f aca="false">INDEX(Summary!$Q$2:$Q$201,MATCH($B147,Summary!$A$2:$A$201,0))</f>
        <v>12.68</v>
      </c>
      <c r="V147" s="2" t="n">
        <f aca="false">INDEX(Summary!$R$2:$R$201,MATCH($B147,Summary!$A$2:$A$201,0))</f>
        <v>18.39</v>
      </c>
      <c r="W147" s="0" t="str">
        <f aca="false">INDEX(Summary!$S$2:$S$201,MATCH($B147,Summary!$A$2:$A$201,0))</f>
        <v>Bronze</v>
      </c>
      <c r="X147" s="2" t="n">
        <f aca="false">INDEX(Summary!$T$2:$T$201,MATCH($B147,Summary!$A$2:$A$201,0))</f>
        <v>44.85</v>
      </c>
      <c r="Y147" s="0" t="str">
        <f aca="false">INDEX('Reward Model'!$E$18:$E$37,MATCH($E147,'Reward Model'!$A$18:$A$37,0))</f>
        <v>Medium</v>
      </c>
      <c r="Z147" s="4" t="n">
        <f aca="false">ROUND(MIN(1,MAX('Reward Model'!$B$2,INDEX('Reward Model'!$C$12:$C$14,MATCH($K147,'Reward Model'!$A$12:$A$14,0))/$J147)),3)</f>
        <v>1</v>
      </c>
      <c r="AA147" s="2" t="n">
        <f aca="false">IF($I147="Correct",ROUND(INDEX('Reward Model'!$B$12:$B$14,MATCH($K147,'Reward Model'!$A$12:$A$14,0))*Z147,2),0)</f>
        <v>0</v>
      </c>
      <c r="AB147" s="2" t="n">
        <f aca="false">IF($I147="Correct",ROUND(INDEX('Reward Model'!$B$12:$B$14,MATCH($Y147,'Reward Model'!$A$12:$A$14,0))*Z147,2),0)</f>
        <v>0</v>
      </c>
    </row>
    <row r="148" customFormat="false" ht="15" hidden="false" customHeight="false" outlineLevel="0" collapsed="false">
      <c r="A148" s="0" t="s">
        <v>114</v>
      </c>
      <c r="B148" s="0" t="s">
        <v>115</v>
      </c>
      <c r="C148" s="0" t="s">
        <v>30</v>
      </c>
      <c r="D148" s="0" t="s">
        <v>31</v>
      </c>
      <c r="E148" s="0" t="n">
        <v>7</v>
      </c>
      <c r="F148" s="0" t="s">
        <v>50</v>
      </c>
      <c r="G148" s="0" t="s">
        <v>51</v>
      </c>
      <c r="H148" s="0" t="s">
        <v>51</v>
      </c>
      <c r="I148" s="0" t="s">
        <v>34</v>
      </c>
      <c r="J148" s="0" t="n">
        <v>1.07</v>
      </c>
      <c r="K148" s="0" t="s">
        <v>35</v>
      </c>
      <c r="L148" s="0" t="n">
        <f aca="false">INDEX(Summary!$F$2:$F$201,MATCH($B148,Summary!$A$2:$A$201,0))</f>
        <v>20</v>
      </c>
      <c r="M148" s="0" t="n">
        <f aca="false">INDEX(Summary!$I$2:$I$201,MATCH($B148,Summary!$A$2:$A$201,0))</f>
        <v>1</v>
      </c>
      <c r="N148" s="0" t="n">
        <f aca="false">INDEX(Summary!$J$2:$J$201,MATCH($B148,Summary!$A$2:$A$201,0))</f>
        <v>4</v>
      </c>
      <c r="O148" s="2" t="n">
        <f aca="false">INDEX(Summary!$K$2:$K$201,MATCH($B148,Summary!$A$2:$A$201,0))</f>
        <v>10.64</v>
      </c>
      <c r="P148" s="3" t="n">
        <f aca="false">INDEX(Summary!$L$2:$L$201,MATCH($B148,Summary!$A$2:$A$201,0))</f>
        <v>3</v>
      </c>
      <c r="Q148" s="3" t="n">
        <f aca="false">INDEX(Summary!$M$2:$M$201,MATCH($B148,Summary!$A$2:$A$201,0))</f>
        <v>3</v>
      </c>
      <c r="R148" s="2" t="n">
        <f aca="false">INDEX(Summary!$N$2:$N$201,MATCH($B148,Summary!$A$2:$A$201,0))</f>
        <v>10.16</v>
      </c>
      <c r="S148" s="3" t="n">
        <f aca="false">INDEX(Summary!$O$2:$O$201,MATCH($B148,Summary!$A$2:$A$201,0))</f>
        <v>7</v>
      </c>
      <c r="T148" s="3" t="n">
        <f aca="false">INDEX(Summary!$P$2:$P$201,MATCH($B148,Summary!$A$2:$A$201,0))</f>
        <v>2</v>
      </c>
      <c r="U148" s="2" t="n">
        <f aca="false">INDEX(Summary!$Q$2:$Q$201,MATCH($B148,Summary!$A$2:$A$201,0))</f>
        <v>12.68</v>
      </c>
      <c r="V148" s="2" t="n">
        <f aca="false">INDEX(Summary!$R$2:$R$201,MATCH($B148,Summary!$A$2:$A$201,0))</f>
        <v>18.39</v>
      </c>
      <c r="W148" s="0" t="str">
        <f aca="false">INDEX(Summary!$S$2:$S$201,MATCH($B148,Summary!$A$2:$A$201,0))</f>
        <v>Bronze</v>
      </c>
      <c r="X148" s="2" t="n">
        <f aca="false">INDEX(Summary!$T$2:$T$201,MATCH($B148,Summary!$A$2:$A$201,0))</f>
        <v>44.85</v>
      </c>
      <c r="Y148" s="0" t="str">
        <f aca="false">INDEX('Reward Model'!$E$18:$E$37,MATCH($E148,'Reward Model'!$A$18:$A$37,0))</f>
        <v>Low</v>
      </c>
      <c r="Z148" s="4" t="n">
        <f aca="false">ROUND(MIN(1,MAX('Reward Model'!$B$2,INDEX('Reward Model'!$C$12:$C$14,MATCH($K148,'Reward Model'!$A$12:$A$14,0))/$J148)),3)</f>
        <v>1</v>
      </c>
      <c r="AA148" s="2" t="n">
        <f aca="false">IF($I148="Correct",ROUND(INDEX('Reward Model'!$B$12:$B$14,MATCH($K148,'Reward Model'!$A$12:$A$14,0))*Z148,2),0)</f>
        <v>1</v>
      </c>
      <c r="AB148" s="2" t="n">
        <f aca="false">IF($I148="Correct",ROUND(INDEX('Reward Model'!$B$12:$B$14,MATCH($Y148,'Reward Model'!$A$12:$A$14,0))*Z148,2),0)</f>
        <v>1</v>
      </c>
    </row>
    <row r="149" customFormat="false" ht="15" hidden="false" customHeight="false" outlineLevel="0" collapsed="false">
      <c r="A149" s="0" t="s">
        <v>114</v>
      </c>
      <c r="B149" s="0" t="s">
        <v>115</v>
      </c>
      <c r="C149" s="0" t="s">
        <v>30</v>
      </c>
      <c r="D149" s="0" t="s">
        <v>31</v>
      </c>
      <c r="E149" s="0" t="n">
        <v>8</v>
      </c>
      <c r="F149" s="0" t="s">
        <v>52</v>
      </c>
      <c r="G149" s="0" t="s">
        <v>54</v>
      </c>
      <c r="H149" s="0" t="s">
        <v>54</v>
      </c>
      <c r="I149" s="0" t="s">
        <v>34</v>
      </c>
      <c r="J149" s="0" t="n">
        <v>1.35</v>
      </c>
      <c r="K149" s="0" t="s">
        <v>35</v>
      </c>
      <c r="L149" s="0" t="n">
        <f aca="false">INDEX(Summary!$F$2:$F$201,MATCH($B149,Summary!$A$2:$A$201,0))</f>
        <v>20</v>
      </c>
      <c r="M149" s="0" t="n">
        <f aca="false">INDEX(Summary!$I$2:$I$201,MATCH($B149,Summary!$A$2:$A$201,0))</f>
        <v>1</v>
      </c>
      <c r="N149" s="0" t="n">
        <f aca="false">INDEX(Summary!$J$2:$J$201,MATCH($B149,Summary!$A$2:$A$201,0))</f>
        <v>4</v>
      </c>
      <c r="O149" s="2" t="n">
        <f aca="false">INDEX(Summary!$K$2:$K$201,MATCH($B149,Summary!$A$2:$A$201,0))</f>
        <v>10.64</v>
      </c>
      <c r="P149" s="3" t="n">
        <f aca="false">INDEX(Summary!$L$2:$L$201,MATCH($B149,Summary!$A$2:$A$201,0))</f>
        <v>3</v>
      </c>
      <c r="Q149" s="3" t="n">
        <f aca="false">INDEX(Summary!$M$2:$M$201,MATCH($B149,Summary!$A$2:$A$201,0))</f>
        <v>3</v>
      </c>
      <c r="R149" s="2" t="n">
        <f aca="false">INDEX(Summary!$N$2:$N$201,MATCH($B149,Summary!$A$2:$A$201,0))</f>
        <v>10.16</v>
      </c>
      <c r="S149" s="3" t="n">
        <f aca="false">INDEX(Summary!$O$2:$O$201,MATCH($B149,Summary!$A$2:$A$201,0))</f>
        <v>7</v>
      </c>
      <c r="T149" s="3" t="n">
        <f aca="false">INDEX(Summary!$P$2:$P$201,MATCH($B149,Summary!$A$2:$A$201,0))</f>
        <v>2</v>
      </c>
      <c r="U149" s="2" t="n">
        <f aca="false">INDEX(Summary!$Q$2:$Q$201,MATCH($B149,Summary!$A$2:$A$201,0))</f>
        <v>12.68</v>
      </c>
      <c r="V149" s="2" t="n">
        <f aca="false">INDEX(Summary!$R$2:$R$201,MATCH($B149,Summary!$A$2:$A$201,0))</f>
        <v>18.39</v>
      </c>
      <c r="W149" s="0" t="str">
        <f aca="false">INDEX(Summary!$S$2:$S$201,MATCH($B149,Summary!$A$2:$A$201,0))</f>
        <v>Bronze</v>
      </c>
      <c r="X149" s="2" t="n">
        <f aca="false">INDEX(Summary!$T$2:$T$201,MATCH($B149,Summary!$A$2:$A$201,0))</f>
        <v>44.85</v>
      </c>
      <c r="Y149" s="0" t="str">
        <f aca="false">INDEX('Reward Model'!$E$18:$E$37,MATCH($E149,'Reward Model'!$A$18:$A$37,0))</f>
        <v>Medium</v>
      </c>
      <c r="Z149" s="4" t="n">
        <f aca="false">ROUND(MIN(1,MAX('Reward Model'!$B$2,INDEX('Reward Model'!$C$12:$C$14,MATCH($K149,'Reward Model'!$A$12:$A$14,0))/$J149)),3)</f>
        <v>1</v>
      </c>
      <c r="AA149" s="2" t="n">
        <f aca="false">IF($I149="Correct",ROUND(INDEX('Reward Model'!$B$12:$B$14,MATCH($K149,'Reward Model'!$A$12:$A$14,0))*Z149,2),0)</f>
        <v>1</v>
      </c>
      <c r="AB149" s="2" t="n">
        <f aca="false">IF($I149="Correct",ROUND(INDEX('Reward Model'!$B$12:$B$14,MATCH($Y149,'Reward Model'!$A$12:$A$14,0))*Z149,2),0)</f>
        <v>2</v>
      </c>
    </row>
    <row r="150" customFormat="false" ht="15" hidden="false" customHeight="false" outlineLevel="0" collapsed="false">
      <c r="A150" s="0" t="s">
        <v>114</v>
      </c>
      <c r="B150" s="0" t="s">
        <v>115</v>
      </c>
      <c r="C150" s="0" t="s">
        <v>30</v>
      </c>
      <c r="D150" s="0" t="s">
        <v>31</v>
      </c>
      <c r="E150" s="0" t="n">
        <v>9</v>
      </c>
      <c r="F150" s="0" t="s">
        <v>55</v>
      </c>
      <c r="G150" s="0" t="s">
        <v>57</v>
      </c>
      <c r="H150" s="0" t="s">
        <v>57</v>
      </c>
      <c r="I150" s="0" t="s">
        <v>34</v>
      </c>
      <c r="J150" s="0" t="n">
        <v>1.43</v>
      </c>
      <c r="K150" s="0" t="s">
        <v>35</v>
      </c>
      <c r="L150" s="0" t="n">
        <f aca="false">INDEX(Summary!$F$2:$F$201,MATCH($B150,Summary!$A$2:$A$201,0))</f>
        <v>20</v>
      </c>
      <c r="M150" s="0" t="n">
        <f aca="false">INDEX(Summary!$I$2:$I$201,MATCH($B150,Summary!$A$2:$A$201,0))</f>
        <v>1</v>
      </c>
      <c r="N150" s="0" t="n">
        <f aca="false">INDEX(Summary!$J$2:$J$201,MATCH($B150,Summary!$A$2:$A$201,0))</f>
        <v>4</v>
      </c>
      <c r="O150" s="2" t="n">
        <f aca="false">INDEX(Summary!$K$2:$K$201,MATCH($B150,Summary!$A$2:$A$201,0))</f>
        <v>10.64</v>
      </c>
      <c r="P150" s="3" t="n">
        <f aca="false">INDEX(Summary!$L$2:$L$201,MATCH($B150,Summary!$A$2:$A$201,0))</f>
        <v>3</v>
      </c>
      <c r="Q150" s="3" t="n">
        <f aca="false">INDEX(Summary!$M$2:$M$201,MATCH($B150,Summary!$A$2:$A$201,0))</f>
        <v>3</v>
      </c>
      <c r="R150" s="2" t="n">
        <f aca="false">INDEX(Summary!$N$2:$N$201,MATCH($B150,Summary!$A$2:$A$201,0))</f>
        <v>10.16</v>
      </c>
      <c r="S150" s="3" t="n">
        <f aca="false">INDEX(Summary!$O$2:$O$201,MATCH($B150,Summary!$A$2:$A$201,0))</f>
        <v>7</v>
      </c>
      <c r="T150" s="3" t="n">
        <f aca="false">INDEX(Summary!$P$2:$P$201,MATCH($B150,Summary!$A$2:$A$201,0))</f>
        <v>2</v>
      </c>
      <c r="U150" s="2" t="n">
        <f aca="false">INDEX(Summary!$Q$2:$Q$201,MATCH($B150,Summary!$A$2:$A$201,0))</f>
        <v>12.68</v>
      </c>
      <c r="V150" s="2" t="n">
        <f aca="false">INDEX(Summary!$R$2:$R$201,MATCH($B150,Summary!$A$2:$A$201,0))</f>
        <v>18.39</v>
      </c>
      <c r="W150" s="0" t="str">
        <f aca="false">INDEX(Summary!$S$2:$S$201,MATCH($B150,Summary!$A$2:$A$201,0))</f>
        <v>Bronze</v>
      </c>
      <c r="X150" s="2" t="n">
        <f aca="false">INDEX(Summary!$T$2:$T$201,MATCH($B150,Summary!$A$2:$A$201,0))</f>
        <v>44.85</v>
      </c>
      <c r="Y150" s="0" t="str">
        <f aca="false">INDEX('Reward Model'!$E$18:$E$37,MATCH($E150,'Reward Model'!$A$18:$A$37,0))</f>
        <v>Medium</v>
      </c>
      <c r="Z150" s="4" t="n">
        <f aca="false">ROUND(MIN(1,MAX('Reward Model'!$B$2,INDEX('Reward Model'!$C$12:$C$14,MATCH($K150,'Reward Model'!$A$12:$A$14,0))/$J150)),3)</f>
        <v>1</v>
      </c>
      <c r="AA150" s="2" t="n">
        <f aca="false">IF($I150="Correct",ROUND(INDEX('Reward Model'!$B$12:$B$14,MATCH($K150,'Reward Model'!$A$12:$A$14,0))*Z150,2),0)</f>
        <v>1</v>
      </c>
      <c r="AB150" s="2" t="n">
        <f aca="false">IF($I150="Correct",ROUND(INDEX('Reward Model'!$B$12:$B$14,MATCH($Y150,'Reward Model'!$A$12:$A$14,0))*Z150,2),0)</f>
        <v>2</v>
      </c>
    </row>
    <row r="151" customFormat="false" ht="15" hidden="false" customHeight="false" outlineLevel="0" collapsed="false">
      <c r="A151" s="0" t="s">
        <v>114</v>
      </c>
      <c r="B151" s="0" t="s">
        <v>115</v>
      </c>
      <c r="C151" s="0" t="s">
        <v>30</v>
      </c>
      <c r="D151" s="0" t="s">
        <v>31</v>
      </c>
      <c r="E151" s="0" t="n">
        <v>10</v>
      </c>
      <c r="F151" s="0" t="s">
        <v>58</v>
      </c>
      <c r="G151" s="0" t="s">
        <v>59</v>
      </c>
      <c r="H151" s="0" t="s">
        <v>59</v>
      </c>
      <c r="I151" s="0" t="s">
        <v>34</v>
      </c>
      <c r="J151" s="0" t="n">
        <v>1.11</v>
      </c>
      <c r="K151" s="0" t="s">
        <v>60</v>
      </c>
      <c r="L151" s="0" t="n">
        <f aca="false">INDEX(Summary!$F$2:$F$201,MATCH($B151,Summary!$A$2:$A$201,0))</f>
        <v>20</v>
      </c>
      <c r="M151" s="0" t="n">
        <f aca="false">INDEX(Summary!$I$2:$I$201,MATCH($B151,Summary!$A$2:$A$201,0))</f>
        <v>1</v>
      </c>
      <c r="N151" s="0" t="n">
        <f aca="false">INDEX(Summary!$J$2:$J$201,MATCH($B151,Summary!$A$2:$A$201,0))</f>
        <v>4</v>
      </c>
      <c r="O151" s="2" t="n">
        <f aca="false">INDEX(Summary!$K$2:$K$201,MATCH($B151,Summary!$A$2:$A$201,0))</f>
        <v>10.64</v>
      </c>
      <c r="P151" s="3" t="n">
        <f aca="false">INDEX(Summary!$L$2:$L$201,MATCH($B151,Summary!$A$2:$A$201,0))</f>
        <v>3</v>
      </c>
      <c r="Q151" s="3" t="n">
        <f aca="false">INDEX(Summary!$M$2:$M$201,MATCH($B151,Summary!$A$2:$A$201,0))</f>
        <v>3</v>
      </c>
      <c r="R151" s="2" t="n">
        <f aca="false">INDEX(Summary!$N$2:$N$201,MATCH($B151,Summary!$A$2:$A$201,0))</f>
        <v>10.16</v>
      </c>
      <c r="S151" s="3" t="n">
        <f aca="false">INDEX(Summary!$O$2:$O$201,MATCH($B151,Summary!$A$2:$A$201,0))</f>
        <v>7</v>
      </c>
      <c r="T151" s="3" t="n">
        <f aca="false">INDEX(Summary!$P$2:$P$201,MATCH($B151,Summary!$A$2:$A$201,0))</f>
        <v>2</v>
      </c>
      <c r="U151" s="2" t="n">
        <f aca="false">INDEX(Summary!$Q$2:$Q$201,MATCH($B151,Summary!$A$2:$A$201,0))</f>
        <v>12.68</v>
      </c>
      <c r="V151" s="2" t="n">
        <f aca="false">INDEX(Summary!$R$2:$R$201,MATCH($B151,Summary!$A$2:$A$201,0))</f>
        <v>18.39</v>
      </c>
      <c r="W151" s="0" t="str">
        <f aca="false">INDEX(Summary!$S$2:$S$201,MATCH($B151,Summary!$A$2:$A$201,0))</f>
        <v>Bronze</v>
      </c>
      <c r="X151" s="2" t="n">
        <f aca="false">INDEX(Summary!$T$2:$T$201,MATCH($B151,Summary!$A$2:$A$201,0))</f>
        <v>44.85</v>
      </c>
      <c r="Y151" s="0" t="str">
        <f aca="false">INDEX('Reward Model'!$E$18:$E$37,MATCH($E151,'Reward Model'!$A$18:$A$37,0))</f>
        <v>Medium</v>
      </c>
      <c r="Z151" s="4" t="n">
        <f aca="false">ROUND(MIN(1,MAX('Reward Model'!$B$2,INDEX('Reward Model'!$C$12:$C$14,MATCH($K151,'Reward Model'!$A$12:$A$14,0))/$J151)),3)</f>
        <v>1</v>
      </c>
      <c r="AA151" s="2" t="n">
        <f aca="false">IF($I151="Correct",ROUND(INDEX('Reward Model'!$B$12:$B$14,MATCH($K151,'Reward Model'!$A$12:$A$14,0))*Z151,2),0)</f>
        <v>2</v>
      </c>
      <c r="AB151" s="2" t="n">
        <f aca="false">IF($I151="Correct",ROUND(INDEX('Reward Model'!$B$12:$B$14,MATCH($Y151,'Reward Model'!$A$12:$A$14,0))*Z151,2),0)</f>
        <v>2</v>
      </c>
    </row>
    <row r="152" customFormat="false" ht="15" hidden="false" customHeight="false" outlineLevel="0" collapsed="false">
      <c r="A152" s="0" t="s">
        <v>114</v>
      </c>
      <c r="B152" s="0" t="s">
        <v>115</v>
      </c>
      <c r="C152" s="0" t="s">
        <v>30</v>
      </c>
      <c r="D152" s="0" t="s">
        <v>31</v>
      </c>
      <c r="E152" s="0" t="n">
        <v>11</v>
      </c>
      <c r="F152" s="0" t="s">
        <v>61</v>
      </c>
      <c r="G152" s="0" t="s">
        <v>63</v>
      </c>
      <c r="H152" s="0" t="s">
        <v>63</v>
      </c>
      <c r="I152" s="0" t="s">
        <v>34</v>
      </c>
      <c r="J152" s="0" t="n">
        <v>1.53</v>
      </c>
      <c r="K152" s="0" t="s">
        <v>60</v>
      </c>
      <c r="L152" s="0" t="n">
        <f aca="false">INDEX(Summary!$F$2:$F$201,MATCH($B152,Summary!$A$2:$A$201,0))</f>
        <v>20</v>
      </c>
      <c r="M152" s="0" t="n">
        <f aca="false">INDEX(Summary!$I$2:$I$201,MATCH($B152,Summary!$A$2:$A$201,0))</f>
        <v>1</v>
      </c>
      <c r="N152" s="0" t="n">
        <f aca="false">INDEX(Summary!$J$2:$J$201,MATCH($B152,Summary!$A$2:$A$201,0))</f>
        <v>4</v>
      </c>
      <c r="O152" s="2" t="n">
        <f aca="false">INDEX(Summary!$K$2:$K$201,MATCH($B152,Summary!$A$2:$A$201,0))</f>
        <v>10.64</v>
      </c>
      <c r="P152" s="3" t="n">
        <f aca="false">INDEX(Summary!$L$2:$L$201,MATCH($B152,Summary!$A$2:$A$201,0))</f>
        <v>3</v>
      </c>
      <c r="Q152" s="3" t="n">
        <f aca="false">INDEX(Summary!$M$2:$M$201,MATCH($B152,Summary!$A$2:$A$201,0))</f>
        <v>3</v>
      </c>
      <c r="R152" s="2" t="n">
        <f aca="false">INDEX(Summary!$N$2:$N$201,MATCH($B152,Summary!$A$2:$A$201,0))</f>
        <v>10.16</v>
      </c>
      <c r="S152" s="3" t="n">
        <f aca="false">INDEX(Summary!$O$2:$O$201,MATCH($B152,Summary!$A$2:$A$201,0))</f>
        <v>7</v>
      </c>
      <c r="T152" s="3" t="n">
        <f aca="false">INDEX(Summary!$P$2:$P$201,MATCH($B152,Summary!$A$2:$A$201,0))</f>
        <v>2</v>
      </c>
      <c r="U152" s="2" t="n">
        <f aca="false">INDEX(Summary!$Q$2:$Q$201,MATCH($B152,Summary!$A$2:$A$201,0))</f>
        <v>12.68</v>
      </c>
      <c r="V152" s="2" t="n">
        <f aca="false">INDEX(Summary!$R$2:$R$201,MATCH($B152,Summary!$A$2:$A$201,0))</f>
        <v>18.39</v>
      </c>
      <c r="W152" s="0" t="str">
        <f aca="false">INDEX(Summary!$S$2:$S$201,MATCH($B152,Summary!$A$2:$A$201,0))</f>
        <v>Bronze</v>
      </c>
      <c r="X152" s="2" t="n">
        <f aca="false">INDEX(Summary!$T$2:$T$201,MATCH($B152,Summary!$A$2:$A$201,0))</f>
        <v>44.85</v>
      </c>
      <c r="Y152" s="0" t="str">
        <f aca="false">INDEX('Reward Model'!$E$18:$E$37,MATCH($E152,'Reward Model'!$A$18:$A$37,0))</f>
        <v>Medium</v>
      </c>
      <c r="Z152" s="4" t="n">
        <f aca="false">ROUND(MIN(1,MAX('Reward Model'!$B$2,INDEX('Reward Model'!$C$12:$C$14,MATCH($K152,'Reward Model'!$A$12:$A$14,0))/$J152)),3)</f>
        <v>1</v>
      </c>
      <c r="AA152" s="2" t="n">
        <f aca="false">IF($I152="Correct",ROUND(INDEX('Reward Model'!$B$12:$B$14,MATCH($K152,'Reward Model'!$A$12:$A$14,0))*Z152,2),0)</f>
        <v>2</v>
      </c>
      <c r="AB152" s="2" t="n">
        <f aca="false">IF($I152="Correct",ROUND(INDEX('Reward Model'!$B$12:$B$14,MATCH($Y152,'Reward Model'!$A$12:$A$14,0))*Z152,2),0)</f>
        <v>2</v>
      </c>
    </row>
    <row r="153" customFormat="false" ht="15" hidden="false" customHeight="false" outlineLevel="0" collapsed="false">
      <c r="A153" s="0" t="s">
        <v>114</v>
      </c>
      <c r="B153" s="0" t="s">
        <v>115</v>
      </c>
      <c r="C153" s="0" t="s">
        <v>30</v>
      </c>
      <c r="D153" s="0" t="s">
        <v>31</v>
      </c>
      <c r="E153" s="0" t="n">
        <v>12</v>
      </c>
      <c r="F153" s="0" t="s">
        <v>64</v>
      </c>
      <c r="G153" s="0" t="s">
        <v>65</v>
      </c>
      <c r="H153" s="0" t="s">
        <v>65</v>
      </c>
      <c r="I153" s="0" t="s">
        <v>34</v>
      </c>
      <c r="J153" s="0" t="n">
        <v>2.25</v>
      </c>
      <c r="K153" s="0" t="s">
        <v>60</v>
      </c>
      <c r="L153" s="0" t="n">
        <f aca="false">INDEX(Summary!$F$2:$F$201,MATCH($B153,Summary!$A$2:$A$201,0))</f>
        <v>20</v>
      </c>
      <c r="M153" s="0" t="n">
        <f aca="false">INDEX(Summary!$I$2:$I$201,MATCH($B153,Summary!$A$2:$A$201,0))</f>
        <v>1</v>
      </c>
      <c r="N153" s="0" t="n">
        <f aca="false">INDEX(Summary!$J$2:$J$201,MATCH($B153,Summary!$A$2:$A$201,0))</f>
        <v>4</v>
      </c>
      <c r="O153" s="2" t="n">
        <f aca="false">INDEX(Summary!$K$2:$K$201,MATCH($B153,Summary!$A$2:$A$201,0))</f>
        <v>10.64</v>
      </c>
      <c r="P153" s="3" t="n">
        <f aca="false">INDEX(Summary!$L$2:$L$201,MATCH($B153,Summary!$A$2:$A$201,0))</f>
        <v>3</v>
      </c>
      <c r="Q153" s="3" t="n">
        <f aca="false">INDEX(Summary!$M$2:$M$201,MATCH($B153,Summary!$A$2:$A$201,0))</f>
        <v>3</v>
      </c>
      <c r="R153" s="2" t="n">
        <f aca="false">INDEX(Summary!$N$2:$N$201,MATCH($B153,Summary!$A$2:$A$201,0))</f>
        <v>10.16</v>
      </c>
      <c r="S153" s="3" t="n">
        <f aca="false">INDEX(Summary!$O$2:$O$201,MATCH($B153,Summary!$A$2:$A$201,0))</f>
        <v>7</v>
      </c>
      <c r="T153" s="3" t="n">
        <f aca="false">INDEX(Summary!$P$2:$P$201,MATCH($B153,Summary!$A$2:$A$201,0))</f>
        <v>2</v>
      </c>
      <c r="U153" s="2" t="n">
        <f aca="false">INDEX(Summary!$Q$2:$Q$201,MATCH($B153,Summary!$A$2:$A$201,0))</f>
        <v>12.68</v>
      </c>
      <c r="V153" s="2" t="n">
        <f aca="false">INDEX(Summary!$R$2:$R$201,MATCH($B153,Summary!$A$2:$A$201,0))</f>
        <v>18.39</v>
      </c>
      <c r="W153" s="0" t="str">
        <f aca="false">INDEX(Summary!$S$2:$S$201,MATCH($B153,Summary!$A$2:$A$201,0))</f>
        <v>Bronze</v>
      </c>
      <c r="X153" s="2" t="n">
        <f aca="false">INDEX(Summary!$T$2:$T$201,MATCH($B153,Summary!$A$2:$A$201,0))</f>
        <v>44.85</v>
      </c>
      <c r="Y153" s="0" t="str">
        <f aca="false">INDEX('Reward Model'!$E$18:$E$37,MATCH($E153,'Reward Model'!$A$18:$A$37,0))</f>
        <v>Medium</v>
      </c>
      <c r="Z153" s="4" t="n">
        <f aca="false">ROUND(MIN(1,MAX('Reward Model'!$B$2,INDEX('Reward Model'!$C$12:$C$14,MATCH($K153,'Reward Model'!$A$12:$A$14,0))/$J153)),3)</f>
        <v>0.8</v>
      </c>
      <c r="AA153" s="2" t="n">
        <f aca="false">IF($I153="Correct",ROUND(INDEX('Reward Model'!$B$12:$B$14,MATCH($K153,'Reward Model'!$A$12:$A$14,0))*Z153,2),0)</f>
        <v>1.6</v>
      </c>
      <c r="AB153" s="2" t="n">
        <f aca="false">IF($I153="Correct",ROUND(INDEX('Reward Model'!$B$12:$B$14,MATCH($Y153,'Reward Model'!$A$12:$A$14,0))*Z153,2),0)</f>
        <v>1.6</v>
      </c>
    </row>
    <row r="154" customFormat="false" ht="15" hidden="false" customHeight="false" outlineLevel="0" collapsed="false">
      <c r="A154" s="0" t="s">
        <v>114</v>
      </c>
      <c r="B154" s="0" t="s">
        <v>115</v>
      </c>
      <c r="C154" s="0" t="s">
        <v>30</v>
      </c>
      <c r="D154" s="0" t="s">
        <v>31</v>
      </c>
      <c r="E154" s="0" t="n">
        <v>13</v>
      </c>
      <c r="F154" s="0" t="s">
        <v>66</v>
      </c>
      <c r="G154" s="0" t="s">
        <v>117</v>
      </c>
      <c r="H154" s="0" t="s">
        <v>67</v>
      </c>
      <c r="I154" s="0" t="s">
        <v>39</v>
      </c>
      <c r="J154" s="0" t="n">
        <v>1.94</v>
      </c>
      <c r="K154" s="0" t="s">
        <v>60</v>
      </c>
      <c r="L154" s="0" t="n">
        <f aca="false">INDEX(Summary!$F$2:$F$201,MATCH($B154,Summary!$A$2:$A$201,0))</f>
        <v>20</v>
      </c>
      <c r="M154" s="0" t="n">
        <f aca="false">INDEX(Summary!$I$2:$I$201,MATCH($B154,Summary!$A$2:$A$201,0))</f>
        <v>1</v>
      </c>
      <c r="N154" s="0" t="n">
        <f aca="false">INDEX(Summary!$J$2:$J$201,MATCH($B154,Summary!$A$2:$A$201,0))</f>
        <v>4</v>
      </c>
      <c r="O154" s="2" t="n">
        <f aca="false">INDEX(Summary!$K$2:$K$201,MATCH($B154,Summary!$A$2:$A$201,0))</f>
        <v>10.64</v>
      </c>
      <c r="P154" s="3" t="n">
        <f aca="false">INDEX(Summary!$L$2:$L$201,MATCH($B154,Summary!$A$2:$A$201,0))</f>
        <v>3</v>
      </c>
      <c r="Q154" s="3" t="n">
        <f aca="false">INDEX(Summary!$M$2:$M$201,MATCH($B154,Summary!$A$2:$A$201,0))</f>
        <v>3</v>
      </c>
      <c r="R154" s="2" t="n">
        <f aca="false">INDEX(Summary!$N$2:$N$201,MATCH($B154,Summary!$A$2:$A$201,0))</f>
        <v>10.16</v>
      </c>
      <c r="S154" s="3" t="n">
        <f aca="false">INDEX(Summary!$O$2:$O$201,MATCH($B154,Summary!$A$2:$A$201,0))</f>
        <v>7</v>
      </c>
      <c r="T154" s="3" t="n">
        <f aca="false">INDEX(Summary!$P$2:$P$201,MATCH($B154,Summary!$A$2:$A$201,0))</f>
        <v>2</v>
      </c>
      <c r="U154" s="2" t="n">
        <f aca="false">INDEX(Summary!$Q$2:$Q$201,MATCH($B154,Summary!$A$2:$A$201,0))</f>
        <v>12.68</v>
      </c>
      <c r="V154" s="2" t="n">
        <f aca="false">INDEX(Summary!$R$2:$R$201,MATCH($B154,Summary!$A$2:$A$201,0))</f>
        <v>18.39</v>
      </c>
      <c r="W154" s="0" t="str">
        <f aca="false">INDEX(Summary!$S$2:$S$201,MATCH($B154,Summary!$A$2:$A$201,0))</f>
        <v>Bronze</v>
      </c>
      <c r="X154" s="2" t="n">
        <f aca="false">INDEX(Summary!$T$2:$T$201,MATCH($B154,Summary!$A$2:$A$201,0))</f>
        <v>44.85</v>
      </c>
      <c r="Y154" s="0" t="str">
        <f aca="false">INDEX('Reward Model'!$E$18:$E$37,MATCH($E154,'Reward Model'!$A$18:$A$37,0))</f>
        <v>Medium</v>
      </c>
      <c r="Z154" s="4" t="n">
        <f aca="false">ROUND(MIN(1,MAX('Reward Model'!$B$2,INDEX('Reward Model'!$C$12:$C$14,MATCH($K154,'Reward Model'!$A$12:$A$14,0))/$J154)),3)</f>
        <v>0.928</v>
      </c>
      <c r="AA154" s="2" t="n">
        <f aca="false">IF($I154="Correct",ROUND(INDEX('Reward Model'!$B$12:$B$14,MATCH($K154,'Reward Model'!$A$12:$A$14,0))*Z154,2),0)</f>
        <v>0</v>
      </c>
      <c r="AB154" s="2" t="n">
        <f aca="false">IF($I154="Correct",ROUND(INDEX('Reward Model'!$B$12:$B$14,MATCH($Y154,'Reward Model'!$A$12:$A$14,0))*Z154,2),0)</f>
        <v>0</v>
      </c>
    </row>
    <row r="155" customFormat="false" ht="15" hidden="false" customHeight="false" outlineLevel="0" collapsed="false">
      <c r="A155" s="0" t="s">
        <v>114</v>
      </c>
      <c r="B155" s="0" t="s">
        <v>115</v>
      </c>
      <c r="C155" s="0" t="s">
        <v>30</v>
      </c>
      <c r="D155" s="0" t="s">
        <v>31</v>
      </c>
      <c r="E155" s="0" t="n">
        <v>14</v>
      </c>
      <c r="F155" s="0" t="s">
        <v>68</v>
      </c>
      <c r="G155" s="0" t="s">
        <v>118</v>
      </c>
      <c r="H155" s="0" t="s">
        <v>51</v>
      </c>
      <c r="I155" s="0" t="s">
        <v>39</v>
      </c>
      <c r="J155" s="0" t="n">
        <v>1.87</v>
      </c>
      <c r="K155" s="0" t="s">
        <v>60</v>
      </c>
      <c r="L155" s="0" t="n">
        <f aca="false">INDEX(Summary!$F$2:$F$201,MATCH($B155,Summary!$A$2:$A$201,0))</f>
        <v>20</v>
      </c>
      <c r="M155" s="0" t="n">
        <f aca="false">INDEX(Summary!$I$2:$I$201,MATCH($B155,Summary!$A$2:$A$201,0))</f>
        <v>1</v>
      </c>
      <c r="N155" s="0" t="n">
        <f aca="false">INDEX(Summary!$J$2:$J$201,MATCH($B155,Summary!$A$2:$A$201,0))</f>
        <v>4</v>
      </c>
      <c r="O155" s="2" t="n">
        <f aca="false">INDEX(Summary!$K$2:$K$201,MATCH($B155,Summary!$A$2:$A$201,0))</f>
        <v>10.64</v>
      </c>
      <c r="P155" s="3" t="n">
        <f aca="false">INDEX(Summary!$L$2:$L$201,MATCH($B155,Summary!$A$2:$A$201,0))</f>
        <v>3</v>
      </c>
      <c r="Q155" s="3" t="n">
        <f aca="false">INDEX(Summary!$M$2:$M$201,MATCH($B155,Summary!$A$2:$A$201,0))</f>
        <v>3</v>
      </c>
      <c r="R155" s="2" t="n">
        <f aca="false">INDEX(Summary!$N$2:$N$201,MATCH($B155,Summary!$A$2:$A$201,0))</f>
        <v>10.16</v>
      </c>
      <c r="S155" s="3" t="n">
        <f aca="false">INDEX(Summary!$O$2:$O$201,MATCH($B155,Summary!$A$2:$A$201,0))</f>
        <v>7</v>
      </c>
      <c r="T155" s="3" t="n">
        <f aca="false">INDEX(Summary!$P$2:$P$201,MATCH($B155,Summary!$A$2:$A$201,0))</f>
        <v>2</v>
      </c>
      <c r="U155" s="2" t="n">
        <f aca="false">INDEX(Summary!$Q$2:$Q$201,MATCH($B155,Summary!$A$2:$A$201,0))</f>
        <v>12.68</v>
      </c>
      <c r="V155" s="2" t="n">
        <f aca="false">INDEX(Summary!$R$2:$R$201,MATCH($B155,Summary!$A$2:$A$201,0))</f>
        <v>18.39</v>
      </c>
      <c r="W155" s="0" t="str">
        <f aca="false">INDEX(Summary!$S$2:$S$201,MATCH($B155,Summary!$A$2:$A$201,0))</f>
        <v>Bronze</v>
      </c>
      <c r="X155" s="2" t="n">
        <f aca="false">INDEX(Summary!$T$2:$T$201,MATCH($B155,Summary!$A$2:$A$201,0))</f>
        <v>44.85</v>
      </c>
      <c r="Y155" s="0" t="str">
        <f aca="false">INDEX('Reward Model'!$E$18:$E$37,MATCH($E155,'Reward Model'!$A$18:$A$37,0))</f>
        <v>Medium</v>
      </c>
      <c r="Z155" s="4" t="n">
        <f aca="false">ROUND(MIN(1,MAX('Reward Model'!$B$2,INDEX('Reward Model'!$C$12:$C$14,MATCH($K155,'Reward Model'!$A$12:$A$14,0))/$J155)),3)</f>
        <v>0.963</v>
      </c>
      <c r="AA155" s="2" t="n">
        <f aca="false">IF($I155="Correct",ROUND(INDEX('Reward Model'!$B$12:$B$14,MATCH($K155,'Reward Model'!$A$12:$A$14,0))*Z155,2),0)</f>
        <v>0</v>
      </c>
      <c r="AB155" s="2" t="n">
        <f aca="false">IF($I155="Correct",ROUND(INDEX('Reward Model'!$B$12:$B$14,MATCH($Y155,'Reward Model'!$A$12:$A$14,0))*Z155,2),0)</f>
        <v>0</v>
      </c>
    </row>
    <row r="156" customFormat="false" ht="15" hidden="false" customHeight="false" outlineLevel="0" collapsed="false">
      <c r="A156" s="0" t="s">
        <v>114</v>
      </c>
      <c r="B156" s="0" t="s">
        <v>115</v>
      </c>
      <c r="C156" s="0" t="s">
        <v>30</v>
      </c>
      <c r="D156" s="0" t="s">
        <v>31</v>
      </c>
      <c r="E156" s="0" t="n">
        <v>15</v>
      </c>
      <c r="F156" s="0" t="s">
        <v>69</v>
      </c>
      <c r="G156" s="0" t="s">
        <v>94</v>
      </c>
      <c r="H156" s="0" t="s">
        <v>70</v>
      </c>
      <c r="I156" s="0" t="s">
        <v>39</v>
      </c>
      <c r="J156" s="0" t="n">
        <v>1.46</v>
      </c>
      <c r="K156" s="0" t="s">
        <v>60</v>
      </c>
      <c r="L156" s="0" t="n">
        <f aca="false">INDEX(Summary!$F$2:$F$201,MATCH($B156,Summary!$A$2:$A$201,0))</f>
        <v>20</v>
      </c>
      <c r="M156" s="0" t="n">
        <f aca="false">INDEX(Summary!$I$2:$I$201,MATCH($B156,Summary!$A$2:$A$201,0))</f>
        <v>1</v>
      </c>
      <c r="N156" s="0" t="n">
        <f aca="false">INDEX(Summary!$J$2:$J$201,MATCH($B156,Summary!$A$2:$A$201,0))</f>
        <v>4</v>
      </c>
      <c r="O156" s="2" t="n">
        <f aca="false">INDEX(Summary!$K$2:$K$201,MATCH($B156,Summary!$A$2:$A$201,0))</f>
        <v>10.64</v>
      </c>
      <c r="P156" s="3" t="n">
        <f aca="false">INDEX(Summary!$L$2:$L$201,MATCH($B156,Summary!$A$2:$A$201,0))</f>
        <v>3</v>
      </c>
      <c r="Q156" s="3" t="n">
        <f aca="false">INDEX(Summary!$M$2:$M$201,MATCH($B156,Summary!$A$2:$A$201,0))</f>
        <v>3</v>
      </c>
      <c r="R156" s="2" t="n">
        <f aca="false">INDEX(Summary!$N$2:$N$201,MATCH($B156,Summary!$A$2:$A$201,0))</f>
        <v>10.16</v>
      </c>
      <c r="S156" s="3" t="n">
        <f aca="false">INDEX(Summary!$O$2:$O$201,MATCH($B156,Summary!$A$2:$A$201,0))</f>
        <v>7</v>
      </c>
      <c r="T156" s="3" t="n">
        <f aca="false">INDEX(Summary!$P$2:$P$201,MATCH($B156,Summary!$A$2:$A$201,0))</f>
        <v>2</v>
      </c>
      <c r="U156" s="2" t="n">
        <f aca="false">INDEX(Summary!$Q$2:$Q$201,MATCH($B156,Summary!$A$2:$A$201,0))</f>
        <v>12.68</v>
      </c>
      <c r="V156" s="2" t="n">
        <f aca="false">INDEX(Summary!$R$2:$R$201,MATCH($B156,Summary!$A$2:$A$201,0))</f>
        <v>18.39</v>
      </c>
      <c r="W156" s="0" t="str">
        <f aca="false">INDEX(Summary!$S$2:$S$201,MATCH($B156,Summary!$A$2:$A$201,0))</f>
        <v>Bronze</v>
      </c>
      <c r="X156" s="2" t="n">
        <f aca="false">INDEX(Summary!$T$2:$T$201,MATCH($B156,Summary!$A$2:$A$201,0))</f>
        <v>44.85</v>
      </c>
      <c r="Y156" s="0" t="str">
        <f aca="false">INDEX('Reward Model'!$E$18:$E$37,MATCH($E156,'Reward Model'!$A$18:$A$37,0))</f>
        <v>Medium</v>
      </c>
      <c r="Z156" s="4" t="n">
        <f aca="false">ROUND(MIN(1,MAX('Reward Model'!$B$2,INDEX('Reward Model'!$C$12:$C$14,MATCH($K156,'Reward Model'!$A$12:$A$14,0))/$J156)),3)</f>
        <v>1</v>
      </c>
      <c r="AA156" s="2" t="n">
        <f aca="false">IF($I156="Correct",ROUND(INDEX('Reward Model'!$B$12:$B$14,MATCH($K156,'Reward Model'!$A$12:$A$14,0))*Z156,2),0)</f>
        <v>0</v>
      </c>
      <c r="AB156" s="2" t="n">
        <f aca="false">IF($I156="Correct",ROUND(INDEX('Reward Model'!$B$12:$B$14,MATCH($Y156,'Reward Model'!$A$12:$A$14,0))*Z156,2),0)</f>
        <v>0</v>
      </c>
    </row>
    <row r="157" customFormat="false" ht="15" hidden="false" customHeight="false" outlineLevel="0" collapsed="false">
      <c r="A157" s="0" t="s">
        <v>114</v>
      </c>
      <c r="B157" s="0" t="s">
        <v>115</v>
      </c>
      <c r="C157" s="0" t="s">
        <v>30</v>
      </c>
      <c r="D157" s="0" t="s">
        <v>31</v>
      </c>
      <c r="E157" s="0" t="n">
        <v>16</v>
      </c>
      <c r="F157" s="0" t="s">
        <v>71</v>
      </c>
      <c r="G157" s="0" t="s">
        <v>104</v>
      </c>
      <c r="H157" s="0" t="s">
        <v>72</v>
      </c>
      <c r="I157" s="0" t="s">
        <v>39</v>
      </c>
      <c r="J157" s="0" t="n">
        <v>2.22</v>
      </c>
      <c r="K157" s="0" t="s">
        <v>73</v>
      </c>
      <c r="L157" s="0" t="n">
        <f aca="false">INDEX(Summary!$F$2:$F$201,MATCH($B157,Summary!$A$2:$A$201,0))</f>
        <v>20</v>
      </c>
      <c r="M157" s="0" t="n">
        <f aca="false">INDEX(Summary!$I$2:$I$201,MATCH($B157,Summary!$A$2:$A$201,0))</f>
        <v>1</v>
      </c>
      <c r="N157" s="0" t="n">
        <f aca="false">INDEX(Summary!$J$2:$J$201,MATCH($B157,Summary!$A$2:$A$201,0))</f>
        <v>4</v>
      </c>
      <c r="O157" s="2" t="n">
        <f aca="false">INDEX(Summary!$K$2:$K$201,MATCH($B157,Summary!$A$2:$A$201,0))</f>
        <v>10.64</v>
      </c>
      <c r="P157" s="3" t="n">
        <f aca="false">INDEX(Summary!$L$2:$L$201,MATCH($B157,Summary!$A$2:$A$201,0))</f>
        <v>3</v>
      </c>
      <c r="Q157" s="3" t="n">
        <f aca="false">INDEX(Summary!$M$2:$M$201,MATCH($B157,Summary!$A$2:$A$201,0))</f>
        <v>3</v>
      </c>
      <c r="R157" s="2" t="n">
        <f aca="false">INDEX(Summary!$N$2:$N$201,MATCH($B157,Summary!$A$2:$A$201,0))</f>
        <v>10.16</v>
      </c>
      <c r="S157" s="3" t="n">
        <f aca="false">INDEX(Summary!$O$2:$O$201,MATCH($B157,Summary!$A$2:$A$201,0))</f>
        <v>7</v>
      </c>
      <c r="T157" s="3" t="n">
        <f aca="false">INDEX(Summary!$P$2:$P$201,MATCH($B157,Summary!$A$2:$A$201,0))</f>
        <v>2</v>
      </c>
      <c r="U157" s="2" t="n">
        <f aca="false">INDEX(Summary!$Q$2:$Q$201,MATCH($B157,Summary!$A$2:$A$201,0))</f>
        <v>12.68</v>
      </c>
      <c r="V157" s="2" t="n">
        <f aca="false">INDEX(Summary!$R$2:$R$201,MATCH($B157,Summary!$A$2:$A$201,0))</f>
        <v>18.39</v>
      </c>
      <c r="W157" s="0" t="str">
        <f aca="false">INDEX(Summary!$S$2:$S$201,MATCH($B157,Summary!$A$2:$A$201,0))</f>
        <v>Bronze</v>
      </c>
      <c r="X157" s="2" t="n">
        <f aca="false">INDEX(Summary!$T$2:$T$201,MATCH($B157,Summary!$A$2:$A$201,0))</f>
        <v>44.85</v>
      </c>
      <c r="Y157" s="0" t="str">
        <f aca="false">INDEX('Reward Model'!$E$18:$E$37,MATCH($E157,'Reward Model'!$A$18:$A$37,0))</f>
        <v>High</v>
      </c>
      <c r="Z157" s="4" t="n">
        <f aca="false">ROUND(MIN(1,MAX('Reward Model'!$B$2,INDEX('Reward Model'!$C$12:$C$14,MATCH($K157,'Reward Model'!$A$12:$A$14,0))/$J157)),3)</f>
        <v>0.901</v>
      </c>
      <c r="AA157" s="2" t="n">
        <f aca="false">IF($I157="Correct",ROUND(INDEX('Reward Model'!$B$12:$B$14,MATCH($K157,'Reward Model'!$A$12:$A$14,0))*Z157,2),0)</f>
        <v>0</v>
      </c>
      <c r="AB157" s="2" t="n">
        <f aca="false">IF($I157="Correct",ROUND(INDEX('Reward Model'!$B$12:$B$14,MATCH($Y157,'Reward Model'!$A$12:$A$14,0))*Z157,2),0)</f>
        <v>0</v>
      </c>
    </row>
    <row r="158" customFormat="false" ht="15" hidden="false" customHeight="false" outlineLevel="0" collapsed="false">
      <c r="A158" s="0" t="s">
        <v>114</v>
      </c>
      <c r="B158" s="0" t="s">
        <v>115</v>
      </c>
      <c r="C158" s="0" t="s">
        <v>30</v>
      </c>
      <c r="D158" s="0" t="s">
        <v>31</v>
      </c>
      <c r="E158" s="0" t="n">
        <v>17</v>
      </c>
      <c r="F158" s="0" t="s">
        <v>74</v>
      </c>
      <c r="G158" s="0" t="s">
        <v>91</v>
      </c>
      <c r="H158" s="0" t="s">
        <v>75</v>
      </c>
      <c r="I158" s="0" t="s">
        <v>39</v>
      </c>
      <c r="J158" s="0" t="n">
        <v>2.2</v>
      </c>
      <c r="K158" s="0" t="s">
        <v>73</v>
      </c>
      <c r="L158" s="0" t="n">
        <f aca="false">INDEX(Summary!$F$2:$F$201,MATCH($B158,Summary!$A$2:$A$201,0))</f>
        <v>20</v>
      </c>
      <c r="M158" s="0" t="n">
        <f aca="false">INDEX(Summary!$I$2:$I$201,MATCH($B158,Summary!$A$2:$A$201,0))</f>
        <v>1</v>
      </c>
      <c r="N158" s="0" t="n">
        <f aca="false">INDEX(Summary!$J$2:$J$201,MATCH($B158,Summary!$A$2:$A$201,0))</f>
        <v>4</v>
      </c>
      <c r="O158" s="2" t="n">
        <f aca="false">INDEX(Summary!$K$2:$K$201,MATCH($B158,Summary!$A$2:$A$201,0))</f>
        <v>10.64</v>
      </c>
      <c r="P158" s="3" t="n">
        <f aca="false">INDEX(Summary!$L$2:$L$201,MATCH($B158,Summary!$A$2:$A$201,0))</f>
        <v>3</v>
      </c>
      <c r="Q158" s="3" t="n">
        <f aca="false">INDEX(Summary!$M$2:$M$201,MATCH($B158,Summary!$A$2:$A$201,0))</f>
        <v>3</v>
      </c>
      <c r="R158" s="2" t="n">
        <f aca="false">INDEX(Summary!$N$2:$N$201,MATCH($B158,Summary!$A$2:$A$201,0))</f>
        <v>10.16</v>
      </c>
      <c r="S158" s="3" t="n">
        <f aca="false">INDEX(Summary!$O$2:$O$201,MATCH($B158,Summary!$A$2:$A$201,0))</f>
        <v>7</v>
      </c>
      <c r="T158" s="3" t="n">
        <f aca="false">INDEX(Summary!$P$2:$P$201,MATCH($B158,Summary!$A$2:$A$201,0))</f>
        <v>2</v>
      </c>
      <c r="U158" s="2" t="n">
        <f aca="false">INDEX(Summary!$Q$2:$Q$201,MATCH($B158,Summary!$A$2:$A$201,0))</f>
        <v>12.68</v>
      </c>
      <c r="V158" s="2" t="n">
        <f aca="false">INDEX(Summary!$R$2:$R$201,MATCH($B158,Summary!$A$2:$A$201,0))</f>
        <v>18.39</v>
      </c>
      <c r="W158" s="0" t="str">
        <f aca="false">INDEX(Summary!$S$2:$S$201,MATCH($B158,Summary!$A$2:$A$201,0))</f>
        <v>Bronze</v>
      </c>
      <c r="X158" s="2" t="n">
        <f aca="false">INDEX(Summary!$T$2:$T$201,MATCH($B158,Summary!$A$2:$A$201,0))</f>
        <v>44.85</v>
      </c>
      <c r="Y158" s="0" t="str">
        <f aca="false">INDEX('Reward Model'!$E$18:$E$37,MATCH($E158,'Reward Model'!$A$18:$A$37,0))</f>
        <v>High</v>
      </c>
      <c r="Z158" s="4" t="n">
        <f aca="false">ROUND(MIN(1,MAX('Reward Model'!$B$2,INDEX('Reward Model'!$C$12:$C$14,MATCH($K158,'Reward Model'!$A$12:$A$14,0))/$J158)),3)</f>
        <v>0.909</v>
      </c>
      <c r="AA158" s="2" t="n">
        <f aca="false">IF($I158="Correct",ROUND(INDEX('Reward Model'!$B$12:$B$14,MATCH($K158,'Reward Model'!$A$12:$A$14,0))*Z158,2),0)</f>
        <v>0</v>
      </c>
      <c r="AB158" s="2" t="n">
        <f aca="false">IF($I158="Correct",ROUND(INDEX('Reward Model'!$B$12:$B$14,MATCH($Y158,'Reward Model'!$A$12:$A$14,0))*Z158,2),0)</f>
        <v>0</v>
      </c>
    </row>
    <row r="159" customFormat="false" ht="15" hidden="false" customHeight="false" outlineLevel="0" collapsed="false">
      <c r="A159" s="0" t="s">
        <v>114</v>
      </c>
      <c r="B159" s="0" t="s">
        <v>115</v>
      </c>
      <c r="C159" s="0" t="s">
        <v>30</v>
      </c>
      <c r="D159" s="0" t="s">
        <v>31</v>
      </c>
      <c r="E159" s="0" t="n">
        <v>18</v>
      </c>
      <c r="F159" s="0" t="s">
        <v>76</v>
      </c>
      <c r="G159" s="0" t="s">
        <v>56</v>
      </c>
      <c r="H159" s="0" t="s">
        <v>77</v>
      </c>
      <c r="I159" s="0" t="s">
        <v>39</v>
      </c>
      <c r="J159" s="0" t="n">
        <v>2.6</v>
      </c>
      <c r="K159" s="0" t="s">
        <v>73</v>
      </c>
      <c r="L159" s="0" t="n">
        <f aca="false">INDEX(Summary!$F$2:$F$201,MATCH($B159,Summary!$A$2:$A$201,0))</f>
        <v>20</v>
      </c>
      <c r="M159" s="0" t="n">
        <f aca="false">INDEX(Summary!$I$2:$I$201,MATCH($B159,Summary!$A$2:$A$201,0))</f>
        <v>1</v>
      </c>
      <c r="N159" s="0" t="n">
        <f aca="false">INDEX(Summary!$J$2:$J$201,MATCH($B159,Summary!$A$2:$A$201,0))</f>
        <v>4</v>
      </c>
      <c r="O159" s="2" t="n">
        <f aca="false">INDEX(Summary!$K$2:$K$201,MATCH($B159,Summary!$A$2:$A$201,0))</f>
        <v>10.64</v>
      </c>
      <c r="P159" s="3" t="n">
        <f aca="false">INDEX(Summary!$L$2:$L$201,MATCH($B159,Summary!$A$2:$A$201,0))</f>
        <v>3</v>
      </c>
      <c r="Q159" s="3" t="n">
        <f aca="false">INDEX(Summary!$M$2:$M$201,MATCH($B159,Summary!$A$2:$A$201,0))</f>
        <v>3</v>
      </c>
      <c r="R159" s="2" t="n">
        <f aca="false">INDEX(Summary!$N$2:$N$201,MATCH($B159,Summary!$A$2:$A$201,0))</f>
        <v>10.16</v>
      </c>
      <c r="S159" s="3" t="n">
        <f aca="false">INDEX(Summary!$O$2:$O$201,MATCH($B159,Summary!$A$2:$A$201,0))</f>
        <v>7</v>
      </c>
      <c r="T159" s="3" t="n">
        <f aca="false">INDEX(Summary!$P$2:$P$201,MATCH($B159,Summary!$A$2:$A$201,0))</f>
        <v>2</v>
      </c>
      <c r="U159" s="2" t="n">
        <f aca="false">INDEX(Summary!$Q$2:$Q$201,MATCH($B159,Summary!$A$2:$A$201,0))</f>
        <v>12.68</v>
      </c>
      <c r="V159" s="2" t="n">
        <f aca="false">INDEX(Summary!$R$2:$R$201,MATCH($B159,Summary!$A$2:$A$201,0))</f>
        <v>18.39</v>
      </c>
      <c r="W159" s="0" t="str">
        <f aca="false">INDEX(Summary!$S$2:$S$201,MATCH($B159,Summary!$A$2:$A$201,0))</f>
        <v>Bronze</v>
      </c>
      <c r="X159" s="2" t="n">
        <f aca="false">INDEX(Summary!$T$2:$T$201,MATCH($B159,Summary!$A$2:$A$201,0))</f>
        <v>44.85</v>
      </c>
      <c r="Y159" s="0" t="str">
        <f aca="false">INDEX('Reward Model'!$E$18:$E$37,MATCH($E159,'Reward Model'!$A$18:$A$37,0))</f>
        <v>High</v>
      </c>
      <c r="Z159" s="4" t="n">
        <f aca="false">ROUND(MIN(1,MAX('Reward Model'!$B$2,INDEX('Reward Model'!$C$12:$C$14,MATCH($K159,'Reward Model'!$A$12:$A$14,0))/$J159)),3)</f>
        <v>0.769</v>
      </c>
      <c r="AA159" s="2" t="n">
        <f aca="false">IF($I159="Correct",ROUND(INDEX('Reward Model'!$B$12:$B$14,MATCH($K159,'Reward Model'!$A$12:$A$14,0))*Z159,2),0)</f>
        <v>0</v>
      </c>
      <c r="AB159" s="2" t="n">
        <f aca="false">IF($I159="Correct",ROUND(INDEX('Reward Model'!$B$12:$B$14,MATCH($Y159,'Reward Model'!$A$12:$A$14,0))*Z159,2),0)</f>
        <v>0</v>
      </c>
    </row>
    <row r="160" customFormat="false" ht="15" hidden="false" customHeight="false" outlineLevel="0" collapsed="false">
      <c r="A160" s="0" t="s">
        <v>114</v>
      </c>
      <c r="B160" s="0" t="s">
        <v>115</v>
      </c>
      <c r="C160" s="0" t="s">
        <v>30</v>
      </c>
      <c r="D160" s="0" t="s">
        <v>31</v>
      </c>
      <c r="E160" s="0" t="n">
        <v>19</v>
      </c>
      <c r="F160" s="0" t="s">
        <v>78</v>
      </c>
      <c r="G160" s="0" t="s">
        <v>80</v>
      </c>
      <c r="H160" s="0" t="s">
        <v>80</v>
      </c>
      <c r="I160" s="0" t="s">
        <v>34</v>
      </c>
      <c r="J160" s="0" t="n">
        <v>1.23</v>
      </c>
      <c r="K160" s="0" t="s">
        <v>73</v>
      </c>
      <c r="L160" s="0" t="n">
        <f aca="false">INDEX(Summary!$F$2:$F$201,MATCH($B160,Summary!$A$2:$A$201,0))</f>
        <v>20</v>
      </c>
      <c r="M160" s="0" t="n">
        <f aca="false">INDEX(Summary!$I$2:$I$201,MATCH($B160,Summary!$A$2:$A$201,0))</f>
        <v>1</v>
      </c>
      <c r="N160" s="0" t="n">
        <f aca="false">INDEX(Summary!$J$2:$J$201,MATCH($B160,Summary!$A$2:$A$201,0))</f>
        <v>4</v>
      </c>
      <c r="O160" s="2" t="n">
        <f aca="false">INDEX(Summary!$K$2:$K$201,MATCH($B160,Summary!$A$2:$A$201,0))</f>
        <v>10.64</v>
      </c>
      <c r="P160" s="3" t="n">
        <f aca="false">INDEX(Summary!$L$2:$L$201,MATCH($B160,Summary!$A$2:$A$201,0))</f>
        <v>3</v>
      </c>
      <c r="Q160" s="3" t="n">
        <f aca="false">INDEX(Summary!$M$2:$M$201,MATCH($B160,Summary!$A$2:$A$201,0))</f>
        <v>3</v>
      </c>
      <c r="R160" s="2" t="n">
        <f aca="false">INDEX(Summary!$N$2:$N$201,MATCH($B160,Summary!$A$2:$A$201,0))</f>
        <v>10.16</v>
      </c>
      <c r="S160" s="3" t="n">
        <f aca="false">INDEX(Summary!$O$2:$O$201,MATCH($B160,Summary!$A$2:$A$201,0))</f>
        <v>7</v>
      </c>
      <c r="T160" s="3" t="n">
        <f aca="false">INDEX(Summary!$P$2:$P$201,MATCH($B160,Summary!$A$2:$A$201,0))</f>
        <v>2</v>
      </c>
      <c r="U160" s="2" t="n">
        <f aca="false">INDEX(Summary!$Q$2:$Q$201,MATCH($B160,Summary!$A$2:$A$201,0))</f>
        <v>12.68</v>
      </c>
      <c r="V160" s="2" t="n">
        <f aca="false">INDEX(Summary!$R$2:$R$201,MATCH($B160,Summary!$A$2:$A$201,0))</f>
        <v>18.39</v>
      </c>
      <c r="W160" s="0" t="str">
        <f aca="false">INDEX(Summary!$S$2:$S$201,MATCH($B160,Summary!$A$2:$A$201,0))</f>
        <v>Bronze</v>
      </c>
      <c r="X160" s="2" t="n">
        <f aca="false">INDEX(Summary!$T$2:$T$201,MATCH($B160,Summary!$A$2:$A$201,0))</f>
        <v>44.85</v>
      </c>
      <c r="Y160" s="0" t="str">
        <f aca="false">INDEX('Reward Model'!$E$18:$E$37,MATCH($E160,'Reward Model'!$A$18:$A$37,0))</f>
        <v>High</v>
      </c>
      <c r="Z160" s="4" t="n">
        <f aca="false">ROUND(MIN(1,MAX('Reward Model'!$B$2,INDEX('Reward Model'!$C$12:$C$14,MATCH($K160,'Reward Model'!$A$12:$A$14,0))/$J160)),3)</f>
        <v>1</v>
      </c>
      <c r="AA160" s="2" t="n">
        <f aca="false">IF($I160="Correct",ROUND(INDEX('Reward Model'!$B$12:$B$14,MATCH($K160,'Reward Model'!$A$12:$A$14,0))*Z160,2),0)</f>
        <v>3</v>
      </c>
      <c r="AB160" s="2" t="n">
        <f aca="false">IF($I160="Correct",ROUND(INDEX('Reward Model'!$B$12:$B$14,MATCH($Y160,'Reward Model'!$A$12:$A$14,0))*Z160,2),0)</f>
        <v>3</v>
      </c>
    </row>
    <row r="161" customFormat="false" ht="15" hidden="false" customHeight="false" outlineLevel="0" collapsed="false">
      <c r="A161" s="0" t="s">
        <v>114</v>
      </c>
      <c r="B161" s="0" t="s">
        <v>115</v>
      </c>
      <c r="C161" s="0" t="s">
        <v>30</v>
      </c>
      <c r="D161" s="0" t="s">
        <v>31</v>
      </c>
      <c r="E161" s="0" t="n">
        <v>20</v>
      </c>
      <c r="F161" s="0" t="s">
        <v>81</v>
      </c>
      <c r="G161" s="0" t="s">
        <v>119</v>
      </c>
      <c r="H161" s="0" t="s">
        <v>83</v>
      </c>
      <c r="I161" s="0" t="s">
        <v>39</v>
      </c>
      <c r="J161" s="0" t="n">
        <v>2.39</v>
      </c>
      <c r="K161" s="0" t="s">
        <v>73</v>
      </c>
      <c r="L161" s="0" t="n">
        <f aca="false">INDEX(Summary!$F$2:$F$201,MATCH($B161,Summary!$A$2:$A$201,0))</f>
        <v>20</v>
      </c>
      <c r="M161" s="0" t="n">
        <f aca="false">INDEX(Summary!$I$2:$I$201,MATCH($B161,Summary!$A$2:$A$201,0))</f>
        <v>1</v>
      </c>
      <c r="N161" s="0" t="n">
        <f aca="false">INDEX(Summary!$J$2:$J$201,MATCH($B161,Summary!$A$2:$A$201,0))</f>
        <v>4</v>
      </c>
      <c r="O161" s="2" t="n">
        <f aca="false">INDEX(Summary!$K$2:$K$201,MATCH($B161,Summary!$A$2:$A$201,0))</f>
        <v>10.64</v>
      </c>
      <c r="P161" s="3" t="n">
        <f aca="false">INDEX(Summary!$L$2:$L$201,MATCH($B161,Summary!$A$2:$A$201,0))</f>
        <v>3</v>
      </c>
      <c r="Q161" s="3" t="n">
        <f aca="false">INDEX(Summary!$M$2:$M$201,MATCH($B161,Summary!$A$2:$A$201,0))</f>
        <v>3</v>
      </c>
      <c r="R161" s="2" t="n">
        <f aca="false">INDEX(Summary!$N$2:$N$201,MATCH($B161,Summary!$A$2:$A$201,0))</f>
        <v>10.16</v>
      </c>
      <c r="S161" s="3" t="n">
        <f aca="false">INDEX(Summary!$O$2:$O$201,MATCH($B161,Summary!$A$2:$A$201,0))</f>
        <v>7</v>
      </c>
      <c r="T161" s="3" t="n">
        <f aca="false">INDEX(Summary!$P$2:$P$201,MATCH($B161,Summary!$A$2:$A$201,0))</f>
        <v>2</v>
      </c>
      <c r="U161" s="2" t="n">
        <f aca="false">INDEX(Summary!$Q$2:$Q$201,MATCH($B161,Summary!$A$2:$A$201,0))</f>
        <v>12.68</v>
      </c>
      <c r="V161" s="2" t="n">
        <f aca="false">INDEX(Summary!$R$2:$R$201,MATCH($B161,Summary!$A$2:$A$201,0))</f>
        <v>18.39</v>
      </c>
      <c r="W161" s="0" t="str">
        <f aca="false">INDEX(Summary!$S$2:$S$201,MATCH($B161,Summary!$A$2:$A$201,0))</f>
        <v>Bronze</v>
      </c>
      <c r="X161" s="2" t="n">
        <f aca="false">INDEX(Summary!$T$2:$T$201,MATCH($B161,Summary!$A$2:$A$201,0))</f>
        <v>44.85</v>
      </c>
      <c r="Y161" s="0" t="str">
        <f aca="false">INDEX('Reward Model'!$E$18:$E$37,MATCH($E161,'Reward Model'!$A$18:$A$37,0))</f>
        <v>High</v>
      </c>
      <c r="Z161" s="4" t="n">
        <f aca="false">ROUND(MIN(1,MAX('Reward Model'!$B$2,INDEX('Reward Model'!$C$12:$C$14,MATCH($K161,'Reward Model'!$A$12:$A$14,0))/$J161)),3)</f>
        <v>0.837</v>
      </c>
      <c r="AA161" s="2" t="n">
        <f aca="false">IF($I161="Correct",ROUND(INDEX('Reward Model'!$B$12:$B$14,MATCH($K161,'Reward Model'!$A$12:$A$14,0))*Z161,2),0)</f>
        <v>0</v>
      </c>
      <c r="AB161" s="2" t="n">
        <f aca="false">IF($I161="Correct",ROUND(INDEX('Reward Model'!$B$12:$B$14,MATCH($Y161,'Reward Model'!$A$12:$A$14,0))*Z161,2),0)</f>
        <v>0</v>
      </c>
    </row>
    <row r="162" customFormat="false" ht="15" hidden="false" customHeight="false" outlineLevel="0" collapsed="false">
      <c r="A162" s="0" t="s">
        <v>120</v>
      </c>
      <c r="B162" s="0" t="s">
        <v>121</v>
      </c>
      <c r="C162" s="0" t="s">
        <v>30</v>
      </c>
      <c r="D162" s="0" t="s">
        <v>31</v>
      </c>
      <c r="E162" s="0" t="n">
        <v>1</v>
      </c>
      <c r="F162" s="0" t="s">
        <v>32</v>
      </c>
      <c r="G162" s="0" t="s">
        <v>122</v>
      </c>
      <c r="H162" s="0" t="s">
        <v>33</v>
      </c>
      <c r="I162" s="0" t="s">
        <v>39</v>
      </c>
      <c r="J162" s="0" t="n">
        <v>1.59</v>
      </c>
      <c r="K162" s="0" t="s">
        <v>35</v>
      </c>
      <c r="L162" s="0" t="n">
        <f aca="false">INDEX(Summary!$F$2:$F$201,MATCH($B162,Summary!$A$2:$A$201,0))</f>
        <v>20</v>
      </c>
      <c r="M162" s="0" t="n">
        <f aca="false">INDEX(Summary!$I$2:$I$201,MATCH($B162,Summary!$A$2:$A$201,0))</f>
        <v>1</v>
      </c>
      <c r="N162" s="0" t="n">
        <f aca="false">INDEX(Summary!$J$2:$J$201,MATCH($B162,Summary!$A$2:$A$201,0))</f>
        <v>4</v>
      </c>
      <c r="O162" s="2" t="n">
        <f aca="false">INDEX(Summary!$K$2:$K$201,MATCH($B162,Summary!$A$2:$A$201,0))</f>
        <v>9.47</v>
      </c>
      <c r="P162" s="3" t="n">
        <f aca="false">INDEX(Summary!$L$2:$L$201,MATCH($B162,Summary!$A$2:$A$201,0))</f>
        <v>4</v>
      </c>
      <c r="Q162" s="3" t="n">
        <f aca="false">INDEX(Summary!$M$2:$M$201,MATCH($B162,Summary!$A$2:$A$201,0))</f>
        <v>2</v>
      </c>
      <c r="R162" s="2" t="n">
        <f aca="false">INDEX(Summary!$N$2:$N$201,MATCH($B162,Summary!$A$2:$A$201,0))</f>
        <v>9.9</v>
      </c>
      <c r="S162" s="3" t="n">
        <f aca="false">INDEX(Summary!$O$2:$O$201,MATCH($B162,Summary!$A$2:$A$201,0))</f>
        <v>6</v>
      </c>
      <c r="T162" s="3" t="n">
        <f aca="false">INDEX(Summary!$P$2:$P$201,MATCH($B162,Summary!$A$2:$A$201,0))</f>
        <v>3</v>
      </c>
      <c r="U162" s="2" t="n">
        <f aca="false">INDEX(Summary!$Q$2:$Q$201,MATCH($B162,Summary!$A$2:$A$201,0))</f>
        <v>15.56</v>
      </c>
      <c r="V162" s="2" t="n">
        <f aca="false">INDEX(Summary!$R$2:$R$201,MATCH($B162,Summary!$A$2:$A$201,0))</f>
        <v>17.36</v>
      </c>
      <c r="W162" s="0" t="str">
        <f aca="false">INDEX(Summary!$S$2:$S$201,MATCH($B162,Summary!$A$2:$A$201,0))</f>
        <v>Bronze</v>
      </c>
      <c r="X162" s="2" t="n">
        <f aca="false">INDEX(Summary!$T$2:$T$201,MATCH($B162,Summary!$A$2:$A$201,0))</f>
        <v>42.34</v>
      </c>
      <c r="Y162" s="0" t="str">
        <f aca="false">INDEX('Reward Model'!$E$18:$E$37,MATCH($E162,'Reward Model'!$A$18:$A$37,0))</f>
        <v>Medium</v>
      </c>
      <c r="Z162" s="4" t="n">
        <f aca="false">ROUND(MIN(1,MAX('Reward Model'!$B$2,INDEX('Reward Model'!$C$12:$C$14,MATCH($K162,'Reward Model'!$A$12:$A$14,0))/$J162)),3)</f>
        <v>0.943</v>
      </c>
      <c r="AA162" s="2" t="n">
        <f aca="false">IF($I162="Correct",ROUND(INDEX('Reward Model'!$B$12:$B$14,MATCH($K162,'Reward Model'!$A$12:$A$14,0))*Z162,2),0)</f>
        <v>0</v>
      </c>
      <c r="AB162" s="2" t="n">
        <f aca="false">IF($I162="Correct",ROUND(INDEX('Reward Model'!$B$12:$B$14,MATCH($Y162,'Reward Model'!$A$12:$A$14,0))*Z162,2),0)</f>
        <v>0</v>
      </c>
    </row>
    <row r="163" customFormat="false" ht="15" hidden="false" customHeight="false" outlineLevel="0" collapsed="false">
      <c r="A163" s="0" t="s">
        <v>120</v>
      </c>
      <c r="B163" s="0" t="s">
        <v>121</v>
      </c>
      <c r="C163" s="0" t="s">
        <v>30</v>
      </c>
      <c r="D163" s="0" t="s">
        <v>31</v>
      </c>
      <c r="E163" s="0" t="n">
        <v>2</v>
      </c>
      <c r="F163" s="0" t="s">
        <v>36</v>
      </c>
      <c r="G163" s="0" t="s">
        <v>38</v>
      </c>
      <c r="H163" s="0" t="s">
        <v>38</v>
      </c>
      <c r="I163" s="0" t="s">
        <v>34</v>
      </c>
      <c r="J163" s="0" t="n">
        <v>1.83</v>
      </c>
      <c r="K163" s="0" t="s">
        <v>35</v>
      </c>
      <c r="L163" s="0" t="n">
        <f aca="false">INDEX(Summary!$F$2:$F$201,MATCH($B163,Summary!$A$2:$A$201,0))</f>
        <v>20</v>
      </c>
      <c r="M163" s="0" t="n">
        <f aca="false">INDEX(Summary!$I$2:$I$201,MATCH($B163,Summary!$A$2:$A$201,0))</f>
        <v>1</v>
      </c>
      <c r="N163" s="0" t="n">
        <f aca="false">INDEX(Summary!$J$2:$J$201,MATCH($B163,Summary!$A$2:$A$201,0))</f>
        <v>4</v>
      </c>
      <c r="O163" s="2" t="n">
        <f aca="false">INDEX(Summary!$K$2:$K$201,MATCH($B163,Summary!$A$2:$A$201,0))</f>
        <v>9.47</v>
      </c>
      <c r="P163" s="3" t="n">
        <f aca="false">INDEX(Summary!$L$2:$L$201,MATCH($B163,Summary!$A$2:$A$201,0))</f>
        <v>4</v>
      </c>
      <c r="Q163" s="3" t="n">
        <f aca="false">INDEX(Summary!$M$2:$M$201,MATCH($B163,Summary!$A$2:$A$201,0))</f>
        <v>2</v>
      </c>
      <c r="R163" s="2" t="n">
        <f aca="false">INDEX(Summary!$N$2:$N$201,MATCH($B163,Summary!$A$2:$A$201,0))</f>
        <v>9.9</v>
      </c>
      <c r="S163" s="3" t="n">
        <f aca="false">INDEX(Summary!$O$2:$O$201,MATCH($B163,Summary!$A$2:$A$201,0))</f>
        <v>6</v>
      </c>
      <c r="T163" s="3" t="n">
        <f aca="false">INDEX(Summary!$P$2:$P$201,MATCH($B163,Summary!$A$2:$A$201,0))</f>
        <v>3</v>
      </c>
      <c r="U163" s="2" t="n">
        <f aca="false">INDEX(Summary!$Q$2:$Q$201,MATCH($B163,Summary!$A$2:$A$201,0))</f>
        <v>15.56</v>
      </c>
      <c r="V163" s="2" t="n">
        <f aca="false">INDEX(Summary!$R$2:$R$201,MATCH($B163,Summary!$A$2:$A$201,0))</f>
        <v>17.36</v>
      </c>
      <c r="W163" s="0" t="str">
        <f aca="false">INDEX(Summary!$S$2:$S$201,MATCH($B163,Summary!$A$2:$A$201,0))</f>
        <v>Bronze</v>
      </c>
      <c r="X163" s="2" t="n">
        <f aca="false">INDEX(Summary!$T$2:$T$201,MATCH($B163,Summary!$A$2:$A$201,0))</f>
        <v>42.34</v>
      </c>
      <c r="Y163" s="0" t="str">
        <f aca="false">INDEX('Reward Model'!$E$18:$E$37,MATCH($E163,'Reward Model'!$A$18:$A$37,0))</f>
        <v>Low</v>
      </c>
      <c r="Z163" s="4" t="n">
        <f aca="false">ROUND(MIN(1,MAX('Reward Model'!$B$2,INDEX('Reward Model'!$C$12:$C$14,MATCH($K163,'Reward Model'!$A$12:$A$14,0))/$J163)),3)</f>
        <v>0.82</v>
      </c>
      <c r="AA163" s="2" t="n">
        <f aca="false">IF($I163="Correct",ROUND(INDEX('Reward Model'!$B$12:$B$14,MATCH($K163,'Reward Model'!$A$12:$A$14,0))*Z163,2),0)</f>
        <v>0.82</v>
      </c>
      <c r="AB163" s="2" t="n">
        <f aca="false">IF($I163="Correct",ROUND(INDEX('Reward Model'!$B$12:$B$14,MATCH($Y163,'Reward Model'!$A$12:$A$14,0))*Z163,2),0)</f>
        <v>0.82</v>
      </c>
    </row>
    <row r="164" customFormat="false" ht="15" hidden="false" customHeight="false" outlineLevel="0" collapsed="false">
      <c r="A164" s="0" t="s">
        <v>120</v>
      </c>
      <c r="B164" s="0" t="s">
        <v>121</v>
      </c>
      <c r="C164" s="0" t="s">
        <v>30</v>
      </c>
      <c r="D164" s="0" t="s">
        <v>31</v>
      </c>
      <c r="E164" s="0" t="n">
        <v>3</v>
      </c>
      <c r="F164" s="0" t="s">
        <v>40</v>
      </c>
      <c r="G164" s="0" t="s">
        <v>123</v>
      </c>
      <c r="H164" s="0" t="s">
        <v>42</v>
      </c>
      <c r="I164" s="0" t="s">
        <v>39</v>
      </c>
      <c r="J164" s="0" t="n">
        <v>1.43</v>
      </c>
      <c r="K164" s="0" t="s">
        <v>35</v>
      </c>
      <c r="L164" s="0" t="n">
        <f aca="false">INDEX(Summary!$F$2:$F$201,MATCH($B164,Summary!$A$2:$A$201,0))</f>
        <v>20</v>
      </c>
      <c r="M164" s="0" t="n">
        <f aca="false">INDEX(Summary!$I$2:$I$201,MATCH($B164,Summary!$A$2:$A$201,0))</f>
        <v>1</v>
      </c>
      <c r="N164" s="0" t="n">
        <f aca="false">INDEX(Summary!$J$2:$J$201,MATCH($B164,Summary!$A$2:$A$201,0))</f>
        <v>4</v>
      </c>
      <c r="O164" s="2" t="n">
        <f aca="false">INDEX(Summary!$K$2:$K$201,MATCH($B164,Summary!$A$2:$A$201,0))</f>
        <v>9.47</v>
      </c>
      <c r="P164" s="3" t="n">
        <f aca="false">INDEX(Summary!$L$2:$L$201,MATCH($B164,Summary!$A$2:$A$201,0))</f>
        <v>4</v>
      </c>
      <c r="Q164" s="3" t="n">
        <f aca="false">INDEX(Summary!$M$2:$M$201,MATCH($B164,Summary!$A$2:$A$201,0))</f>
        <v>2</v>
      </c>
      <c r="R164" s="2" t="n">
        <f aca="false">INDEX(Summary!$N$2:$N$201,MATCH($B164,Summary!$A$2:$A$201,0))</f>
        <v>9.9</v>
      </c>
      <c r="S164" s="3" t="n">
        <f aca="false">INDEX(Summary!$O$2:$O$201,MATCH($B164,Summary!$A$2:$A$201,0))</f>
        <v>6</v>
      </c>
      <c r="T164" s="3" t="n">
        <f aca="false">INDEX(Summary!$P$2:$P$201,MATCH($B164,Summary!$A$2:$A$201,0))</f>
        <v>3</v>
      </c>
      <c r="U164" s="2" t="n">
        <f aca="false">INDEX(Summary!$Q$2:$Q$201,MATCH($B164,Summary!$A$2:$A$201,0))</f>
        <v>15.56</v>
      </c>
      <c r="V164" s="2" t="n">
        <f aca="false">INDEX(Summary!$R$2:$R$201,MATCH($B164,Summary!$A$2:$A$201,0))</f>
        <v>17.36</v>
      </c>
      <c r="W164" s="0" t="str">
        <f aca="false">INDEX(Summary!$S$2:$S$201,MATCH($B164,Summary!$A$2:$A$201,0))</f>
        <v>Bronze</v>
      </c>
      <c r="X164" s="2" t="n">
        <f aca="false">INDEX(Summary!$T$2:$T$201,MATCH($B164,Summary!$A$2:$A$201,0))</f>
        <v>42.34</v>
      </c>
      <c r="Y164" s="0" t="str">
        <f aca="false">INDEX('Reward Model'!$E$18:$E$37,MATCH($E164,'Reward Model'!$A$18:$A$37,0))</f>
        <v>Medium</v>
      </c>
      <c r="Z164" s="4" t="n">
        <f aca="false">ROUND(MIN(1,MAX('Reward Model'!$B$2,INDEX('Reward Model'!$C$12:$C$14,MATCH($K164,'Reward Model'!$A$12:$A$14,0))/$J164)),3)</f>
        <v>1</v>
      </c>
      <c r="AA164" s="2" t="n">
        <f aca="false">IF($I164="Correct",ROUND(INDEX('Reward Model'!$B$12:$B$14,MATCH($K164,'Reward Model'!$A$12:$A$14,0))*Z164,2),0)</f>
        <v>0</v>
      </c>
      <c r="AB164" s="2" t="n">
        <f aca="false">IF($I164="Correct",ROUND(INDEX('Reward Model'!$B$12:$B$14,MATCH($Y164,'Reward Model'!$A$12:$A$14,0))*Z164,2),0)</f>
        <v>0</v>
      </c>
    </row>
    <row r="165" customFormat="false" ht="15" hidden="false" customHeight="false" outlineLevel="0" collapsed="false">
      <c r="A165" s="0" t="s">
        <v>120</v>
      </c>
      <c r="B165" s="0" t="s">
        <v>121</v>
      </c>
      <c r="C165" s="0" t="s">
        <v>30</v>
      </c>
      <c r="D165" s="0" t="s">
        <v>31</v>
      </c>
      <c r="E165" s="0" t="n">
        <v>4</v>
      </c>
      <c r="F165" s="0" t="s">
        <v>43</v>
      </c>
      <c r="G165" s="0" t="s">
        <v>45</v>
      </c>
      <c r="H165" s="0" t="s">
        <v>45</v>
      </c>
      <c r="I165" s="0" t="s">
        <v>34</v>
      </c>
      <c r="J165" s="0" t="n">
        <v>1.36</v>
      </c>
      <c r="K165" s="0" t="s">
        <v>35</v>
      </c>
      <c r="L165" s="0" t="n">
        <f aca="false">INDEX(Summary!$F$2:$F$201,MATCH($B165,Summary!$A$2:$A$201,0))</f>
        <v>20</v>
      </c>
      <c r="M165" s="0" t="n">
        <f aca="false">INDEX(Summary!$I$2:$I$201,MATCH($B165,Summary!$A$2:$A$201,0))</f>
        <v>1</v>
      </c>
      <c r="N165" s="0" t="n">
        <f aca="false">INDEX(Summary!$J$2:$J$201,MATCH($B165,Summary!$A$2:$A$201,0))</f>
        <v>4</v>
      </c>
      <c r="O165" s="2" t="n">
        <f aca="false">INDEX(Summary!$K$2:$K$201,MATCH($B165,Summary!$A$2:$A$201,0))</f>
        <v>9.47</v>
      </c>
      <c r="P165" s="3" t="n">
        <f aca="false">INDEX(Summary!$L$2:$L$201,MATCH($B165,Summary!$A$2:$A$201,0))</f>
        <v>4</v>
      </c>
      <c r="Q165" s="3" t="n">
        <f aca="false">INDEX(Summary!$M$2:$M$201,MATCH($B165,Summary!$A$2:$A$201,0))</f>
        <v>2</v>
      </c>
      <c r="R165" s="2" t="n">
        <f aca="false">INDEX(Summary!$N$2:$N$201,MATCH($B165,Summary!$A$2:$A$201,0))</f>
        <v>9.9</v>
      </c>
      <c r="S165" s="3" t="n">
        <f aca="false">INDEX(Summary!$O$2:$O$201,MATCH($B165,Summary!$A$2:$A$201,0))</f>
        <v>6</v>
      </c>
      <c r="T165" s="3" t="n">
        <f aca="false">INDEX(Summary!$P$2:$P$201,MATCH($B165,Summary!$A$2:$A$201,0))</f>
        <v>3</v>
      </c>
      <c r="U165" s="2" t="n">
        <f aca="false">INDEX(Summary!$Q$2:$Q$201,MATCH($B165,Summary!$A$2:$A$201,0))</f>
        <v>15.56</v>
      </c>
      <c r="V165" s="2" t="n">
        <f aca="false">INDEX(Summary!$R$2:$R$201,MATCH($B165,Summary!$A$2:$A$201,0))</f>
        <v>17.36</v>
      </c>
      <c r="W165" s="0" t="str">
        <f aca="false">INDEX(Summary!$S$2:$S$201,MATCH($B165,Summary!$A$2:$A$201,0))</f>
        <v>Bronze</v>
      </c>
      <c r="X165" s="2" t="n">
        <f aca="false">INDEX(Summary!$T$2:$T$201,MATCH($B165,Summary!$A$2:$A$201,0))</f>
        <v>42.34</v>
      </c>
      <c r="Y165" s="0" t="str">
        <f aca="false">INDEX('Reward Model'!$E$18:$E$37,MATCH($E165,'Reward Model'!$A$18:$A$37,0))</f>
        <v>Low</v>
      </c>
      <c r="Z165" s="4" t="n">
        <f aca="false">ROUND(MIN(1,MAX('Reward Model'!$B$2,INDEX('Reward Model'!$C$12:$C$14,MATCH($K165,'Reward Model'!$A$12:$A$14,0))/$J165)),3)</f>
        <v>1</v>
      </c>
      <c r="AA165" s="2" t="n">
        <f aca="false">IF($I165="Correct",ROUND(INDEX('Reward Model'!$B$12:$B$14,MATCH($K165,'Reward Model'!$A$12:$A$14,0))*Z165,2),0)</f>
        <v>1</v>
      </c>
      <c r="AB165" s="2" t="n">
        <f aca="false">IF($I165="Correct",ROUND(INDEX('Reward Model'!$B$12:$B$14,MATCH($Y165,'Reward Model'!$A$12:$A$14,0))*Z165,2),0)</f>
        <v>1</v>
      </c>
    </row>
    <row r="166" customFormat="false" ht="15" hidden="false" customHeight="false" outlineLevel="0" collapsed="false">
      <c r="A166" s="0" t="s">
        <v>120</v>
      </c>
      <c r="B166" s="0" t="s">
        <v>121</v>
      </c>
      <c r="C166" s="0" t="s">
        <v>30</v>
      </c>
      <c r="D166" s="0" t="s">
        <v>31</v>
      </c>
      <c r="E166" s="0" t="n">
        <v>5</v>
      </c>
      <c r="F166" s="0" t="s">
        <v>46</v>
      </c>
      <c r="G166" s="0" t="s">
        <v>47</v>
      </c>
      <c r="H166" s="0" t="s">
        <v>47</v>
      </c>
      <c r="I166" s="0" t="s">
        <v>34</v>
      </c>
      <c r="J166" s="0" t="n">
        <v>1.79</v>
      </c>
      <c r="K166" s="0" t="s">
        <v>35</v>
      </c>
      <c r="L166" s="0" t="n">
        <f aca="false">INDEX(Summary!$F$2:$F$201,MATCH($B166,Summary!$A$2:$A$201,0))</f>
        <v>20</v>
      </c>
      <c r="M166" s="0" t="n">
        <f aca="false">INDEX(Summary!$I$2:$I$201,MATCH($B166,Summary!$A$2:$A$201,0))</f>
        <v>1</v>
      </c>
      <c r="N166" s="0" t="n">
        <f aca="false">INDEX(Summary!$J$2:$J$201,MATCH($B166,Summary!$A$2:$A$201,0))</f>
        <v>4</v>
      </c>
      <c r="O166" s="2" t="n">
        <f aca="false">INDEX(Summary!$K$2:$K$201,MATCH($B166,Summary!$A$2:$A$201,0))</f>
        <v>9.47</v>
      </c>
      <c r="P166" s="3" t="n">
        <f aca="false">INDEX(Summary!$L$2:$L$201,MATCH($B166,Summary!$A$2:$A$201,0))</f>
        <v>4</v>
      </c>
      <c r="Q166" s="3" t="n">
        <f aca="false">INDEX(Summary!$M$2:$M$201,MATCH($B166,Summary!$A$2:$A$201,0))</f>
        <v>2</v>
      </c>
      <c r="R166" s="2" t="n">
        <f aca="false">INDEX(Summary!$N$2:$N$201,MATCH($B166,Summary!$A$2:$A$201,0))</f>
        <v>9.9</v>
      </c>
      <c r="S166" s="3" t="n">
        <f aca="false">INDEX(Summary!$O$2:$O$201,MATCH($B166,Summary!$A$2:$A$201,0))</f>
        <v>6</v>
      </c>
      <c r="T166" s="3" t="n">
        <f aca="false">INDEX(Summary!$P$2:$P$201,MATCH($B166,Summary!$A$2:$A$201,0))</f>
        <v>3</v>
      </c>
      <c r="U166" s="2" t="n">
        <f aca="false">INDEX(Summary!$Q$2:$Q$201,MATCH($B166,Summary!$A$2:$A$201,0))</f>
        <v>15.56</v>
      </c>
      <c r="V166" s="2" t="n">
        <f aca="false">INDEX(Summary!$R$2:$R$201,MATCH($B166,Summary!$A$2:$A$201,0))</f>
        <v>17.36</v>
      </c>
      <c r="W166" s="0" t="str">
        <f aca="false">INDEX(Summary!$S$2:$S$201,MATCH($B166,Summary!$A$2:$A$201,0))</f>
        <v>Bronze</v>
      </c>
      <c r="X166" s="2" t="n">
        <f aca="false">INDEX(Summary!$T$2:$T$201,MATCH($B166,Summary!$A$2:$A$201,0))</f>
        <v>42.34</v>
      </c>
      <c r="Y166" s="0" t="str">
        <f aca="false">INDEX('Reward Model'!$E$18:$E$37,MATCH($E166,'Reward Model'!$A$18:$A$37,0))</f>
        <v>Low</v>
      </c>
      <c r="Z166" s="4" t="n">
        <f aca="false">ROUND(MIN(1,MAX('Reward Model'!$B$2,INDEX('Reward Model'!$C$12:$C$14,MATCH($K166,'Reward Model'!$A$12:$A$14,0))/$J166)),3)</f>
        <v>0.838</v>
      </c>
      <c r="AA166" s="2" t="n">
        <f aca="false">IF($I166="Correct",ROUND(INDEX('Reward Model'!$B$12:$B$14,MATCH($K166,'Reward Model'!$A$12:$A$14,0))*Z166,2),0)</f>
        <v>0.84</v>
      </c>
      <c r="AB166" s="2" t="n">
        <f aca="false">IF($I166="Correct",ROUND(INDEX('Reward Model'!$B$12:$B$14,MATCH($Y166,'Reward Model'!$A$12:$A$14,0))*Z166,2),0)</f>
        <v>0.84</v>
      </c>
    </row>
    <row r="167" customFormat="false" ht="15" hidden="false" customHeight="false" outlineLevel="0" collapsed="false">
      <c r="A167" s="0" t="s">
        <v>120</v>
      </c>
      <c r="B167" s="0" t="s">
        <v>121</v>
      </c>
      <c r="C167" s="0" t="s">
        <v>30</v>
      </c>
      <c r="D167" s="0" t="s">
        <v>31</v>
      </c>
      <c r="E167" s="0" t="n">
        <v>6</v>
      </c>
      <c r="F167" s="0" t="s">
        <v>48</v>
      </c>
      <c r="G167" s="0" t="s">
        <v>49</v>
      </c>
      <c r="H167" s="0" t="s">
        <v>49</v>
      </c>
      <c r="I167" s="0" t="s">
        <v>34</v>
      </c>
      <c r="J167" s="0" t="n">
        <v>1.89</v>
      </c>
      <c r="K167" s="0" t="s">
        <v>35</v>
      </c>
      <c r="L167" s="0" t="n">
        <f aca="false">INDEX(Summary!$F$2:$F$201,MATCH($B167,Summary!$A$2:$A$201,0))</f>
        <v>20</v>
      </c>
      <c r="M167" s="0" t="n">
        <f aca="false">INDEX(Summary!$I$2:$I$201,MATCH($B167,Summary!$A$2:$A$201,0))</f>
        <v>1</v>
      </c>
      <c r="N167" s="0" t="n">
        <f aca="false">INDEX(Summary!$J$2:$J$201,MATCH($B167,Summary!$A$2:$A$201,0))</f>
        <v>4</v>
      </c>
      <c r="O167" s="2" t="n">
        <f aca="false">INDEX(Summary!$K$2:$K$201,MATCH($B167,Summary!$A$2:$A$201,0))</f>
        <v>9.47</v>
      </c>
      <c r="P167" s="3" t="n">
        <f aca="false">INDEX(Summary!$L$2:$L$201,MATCH($B167,Summary!$A$2:$A$201,0))</f>
        <v>4</v>
      </c>
      <c r="Q167" s="3" t="n">
        <f aca="false">INDEX(Summary!$M$2:$M$201,MATCH($B167,Summary!$A$2:$A$201,0))</f>
        <v>2</v>
      </c>
      <c r="R167" s="2" t="n">
        <f aca="false">INDEX(Summary!$N$2:$N$201,MATCH($B167,Summary!$A$2:$A$201,0))</f>
        <v>9.9</v>
      </c>
      <c r="S167" s="3" t="n">
        <f aca="false">INDEX(Summary!$O$2:$O$201,MATCH($B167,Summary!$A$2:$A$201,0))</f>
        <v>6</v>
      </c>
      <c r="T167" s="3" t="n">
        <f aca="false">INDEX(Summary!$P$2:$P$201,MATCH($B167,Summary!$A$2:$A$201,0))</f>
        <v>3</v>
      </c>
      <c r="U167" s="2" t="n">
        <f aca="false">INDEX(Summary!$Q$2:$Q$201,MATCH($B167,Summary!$A$2:$A$201,0))</f>
        <v>15.56</v>
      </c>
      <c r="V167" s="2" t="n">
        <f aca="false">INDEX(Summary!$R$2:$R$201,MATCH($B167,Summary!$A$2:$A$201,0))</f>
        <v>17.36</v>
      </c>
      <c r="W167" s="0" t="str">
        <f aca="false">INDEX(Summary!$S$2:$S$201,MATCH($B167,Summary!$A$2:$A$201,0))</f>
        <v>Bronze</v>
      </c>
      <c r="X167" s="2" t="n">
        <f aca="false">INDEX(Summary!$T$2:$T$201,MATCH($B167,Summary!$A$2:$A$201,0))</f>
        <v>42.34</v>
      </c>
      <c r="Y167" s="0" t="str">
        <f aca="false">INDEX('Reward Model'!$E$18:$E$37,MATCH($E167,'Reward Model'!$A$18:$A$37,0))</f>
        <v>Medium</v>
      </c>
      <c r="Z167" s="4" t="n">
        <f aca="false">ROUND(MIN(1,MAX('Reward Model'!$B$2,INDEX('Reward Model'!$C$12:$C$14,MATCH($K167,'Reward Model'!$A$12:$A$14,0))/$J167)),3)</f>
        <v>0.794</v>
      </c>
      <c r="AA167" s="2" t="n">
        <f aca="false">IF($I167="Correct",ROUND(INDEX('Reward Model'!$B$12:$B$14,MATCH($K167,'Reward Model'!$A$12:$A$14,0))*Z167,2),0)</f>
        <v>0.79</v>
      </c>
      <c r="AB167" s="2" t="n">
        <f aca="false">IF($I167="Correct",ROUND(INDEX('Reward Model'!$B$12:$B$14,MATCH($Y167,'Reward Model'!$A$12:$A$14,0))*Z167,2),0)</f>
        <v>1.59</v>
      </c>
    </row>
    <row r="168" customFormat="false" ht="15" hidden="false" customHeight="false" outlineLevel="0" collapsed="false">
      <c r="A168" s="0" t="s">
        <v>120</v>
      </c>
      <c r="B168" s="0" t="s">
        <v>121</v>
      </c>
      <c r="C168" s="0" t="s">
        <v>30</v>
      </c>
      <c r="D168" s="0" t="s">
        <v>31</v>
      </c>
      <c r="E168" s="0" t="n">
        <v>7</v>
      </c>
      <c r="F168" s="0" t="s">
        <v>50</v>
      </c>
      <c r="G168" s="0" t="s">
        <v>51</v>
      </c>
      <c r="H168" s="0" t="s">
        <v>51</v>
      </c>
      <c r="I168" s="0" t="s">
        <v>34</v>
      </c>
      <c r="J168" s="0" t="n">
        <v>1.98</v>
      </c>
      <c r="K168" s="0" t="s">
        <v>35</v>
      </c>
      <c r="L168" s="0" t="n">
        <f aca="false">INDEX(Summary!$F$2:$F$201,MATCH($B168,Summary!$A$2:$A$201,0))</f>
        <v>20</v>
      </c>
      <c r="M168" s="0" t="n">
        <f aca="false">INDEX(Summary!$I$2:$I$201,MATCH($B168,Summary!$A$2:$A$201,0))</f>
        <v>1</v>
      </c>
      <c r="N168" s="0" t="n">
        <f aca="false">INDEX(Summary!$J$2:$J$201,MATCH($B168,Summary!$A$2:$A$201,0))</f>
        <v>4</v>
      </c>
      <c r="O168" s="2" t="n">
        <f aca="false">INDEX(Summary!$K$2:$K$201,MATCH($B168,Summary!$A$2:$A$201,0))</f>
        <v>9.47</v>
      </c>
      <c r="P168" s="3" t="n">
        <f aca="false">INDEX(Summary!$L$2:$L$201,MATCH($B168,Summary!$A$2:$A$201,0))</f>
        <v>4</v>
      </c>
      <c r="Q168" s="3" t="n">
        <f aca="false">INDEX(Summary!$M$2:$M$201,MATCH($B168,Summary!$A$2:$A$201,0))</f>
        <v>2</v>
      </c>
      <c r="R168" s="2" t="n">
        <f aca="false">INDEX(Summary!$N$2:$N$201,MATCH($B168,Summary!$A$2:$A$201,0))</f>
        <v>9.9</v>
      </c>
      <c r="S168" s="3" t="n">
        <f aca="false">INDEX(Summary!$O$2:$O$201,MATCH($B168,Summary!$A$2:$A$201,0))</f>
        <v>6</v>
      </c>
      <c r="T168" s="3" t="n">
        <f aca="false">INDEX(Summary!$P$2:$P$201,MATCH($B168,Summary!$A$2:$A$201,0))</f>
        <v>3</v>
      </c>
      <c r="U168" s="2" t="n">
        <f aca="false">INDEX(Summary!$Q$2:$Q$201,MATCH($B168,Summary!$A$2:$A$201,0))</f>
        <v>15.56</v>
      </c>
      <c r="V168" s="2" t="n">
        <f aca="false">INDEX(Summary!$R$2:$R$201,MATCH($B168,Summary!$A$2:$A$201,0))</f>
        <v>17.36</v>
      </c>
      <c r="W168" s="0" t="str">
        <f aca="false">INDEX(Summary!$S$2:$S$201,MATCH($B168,Summary!$A$2:$A$201,0))</f>
        <v>Bronze</v>
      </c>
      <c r="X168" s="2" t="n">
        <f aca="false">INDEX(Summary!$T$2:$T$201,MATCH($B168,Summary!$A$2:$A$201,0))</f>
        <v>42.34</v>
      </c>
      <c r="Y168" s="0" t="str">
        <f aca="false">INDEX('Reward Model'!$E$18:$E$37,MATCH($E168,'Reward Model'!$A$18:$A$37,0))</f>
        <v>Low</v>
      </c>
      <c r="Z168" s="4" t="n">
        <f aca="false">ROUND(MIN(1,MAX('Reward Model'!$B$2,INDEX('Reward Model'!$C$12:$C$14,MATCH($K168,'Reward Model'!$A$12:$A$14,0))/$J168)),3)</f>
        <v>0.758</v>
      </c>
      <c r="AA168" s="2" t="n">
        <f aca="false">IF($I168="Correct",ROUND(INDEX('Reward Model'!$B$12:$B$14,MATCH($K168,'Reward Model'!$A$12:$A$14,0))*Z168,2),0)</f>
        <v>0.76</v>
      </c>
      <c r="AB168" s="2" t="n">
        <f aca="false">IF($I168="Correct",ROUND(INDEX('Reward Model'!$B$12:$B$14,MATCH($Y168,'Reward Model'!$A$12:$A$14,0))*Z168,2),0)</f>
        <v>0.76</v>
      </c>
    </row>
    <row r="169" customFormat="false" ht="15" hidden="false" customHeight="false" outlineLevel="0" collapsed="false">
      <c r="A169" s="0" t="s">
        <v>120</v>
      </c>
      <c r="B169" s="0" t="s">
        <v>121</v>
      </c>
      <c r="C169" s="0" t="s">
        <v>30</v>
      </c>
      <c r="D169" s="0" t="s">
        <v>31</v>
      </c>
      <c r="E169" s="0" t="n">
        <v>8</v>
      </c>
      <c r="F169" s="0" t="s">
        <v>52</v>
      </c>
      <c r="G169" s="0" t="s">
        <v>54</v>
      </c>
      <c r="H169" s="0" t="s">
        <v>54</v>
      </c>
      <c r="I169" s="0" t="s">
        <v>34</v>
      </c>
      <c r="J169" s="0" t="n">
        <v>2</v>
      </c>
      <c r="K169" s="0" t="s">
        <v>35</v>
      </c>
      <c r="L169" s="0" t="n">
        <f aca="false">INDEX(Summary!$F$2:$F$201,MATCH($B169,Summary!$A$2:$A$201,0))</f>
        <v>20</v>
      </c>
      <c r="M169" s="0" t="n">
        <f aca="false">INDEX(Summary!$I$2:$I$201,MATCH($B169,Summary!$A$2:$A$201,0))</f>
        <v>1</v>
      </c>
      <c r="N169" s="0" t="n">
        <f aca="false">INDEX(Summary!$J$2:$J$201,MATCH($B169,Summary!$A$2:$A$201,0))</f>
        <v>4</v>
      </c>
      <c r="O169" s="2" t="n">
        <f aca="false">INDEX(Summary!$K$2:$K$201,MATCH($B169,Summary!$A$2:$A$201,0))</f>
        <v>9.47</v>
      </c>
      <c r="P169" s="3" t="n">
        <f aca="false">INDEX(Summary!$L$2:$L$201,MATCH($B169,Summary!$A$2:$A$201,0))</f>
        <v>4</v>
      </c>
      <c r="Q169" s="3" t="n">
        <f aca="false">INDEX(Summary!$M$2:$M$201,MATCH($B169,Summary!$A$2:$A$201,0))</f>
        <v>2</v>
      </c>
      <c r="R169" s="2" t="n">
        <f aca="false">INDEX(Summary!$N$2:$N$201,MATCH($B169,Summary!$A$2:$A$201,0))</f>
        <v>9.9</v>
      </c>
      <c r="S169" s="3" t="n">
        <f aca="false">INDEX(Summary!$O$2:$O$201,MATCH($B169,Summary!$A$2:$A$201,0))</f>
        <v>6</v>
      </c>
      <c r="T169" s="3" t="n">
        <f aca="false">INDEX(Summary!$P$2:$P$201,MATCH($B169,Summary!$A$2:$A$201,0))</f>
        <v>3</v>
      </c>
      <c r="U169" s="2" t="n">
        <f aca="false">INDEX(Summary!$Q$2:$Q$201,MATCH($B169,Summary!$A$2:$A$201,0))</f>
        <v>15.56</v>
      </c>
      <c r="V169" s="2" t="n">
        <f aca="false">INDEX(Summary!$R$2:$R$201,MATCH($B169,Summary!$A$2:$A$201,0))</f>
        <v>17.36</v>
      </c>
      <c r="W169" s="0" t="str">
        <f aca="false">INDEX(Summary!$S$2:$S$201,MATCH($B169,Summary!$A$2:$A$201,0))</f>
        <v>Bronze</v>
      </c>
      <c r="X169" s="2" t="n">
        <f aca="false">INDEX(Summary!$T$2:$T$201,MATCH($B169,Summary!$A$2:$A$201,0))</f>
        <v>42.34</v>
      </c>
      <c r="Y169" s="0" t="str">
        <f aca="false">INDEX('Reward Model'!$E$18:$E$37,MATCH($E169,'Reward Model'!$A$18:$A$37,0))</f>
        <v>Medium</v>
      </c>
      <c r="Z169" s="4" t="n">
        <f aca="false">ROUND(MIN(1,MAX('Reward Model'!$B$2,INDEX('Reward Model'!$C$12:$C$14,MATCH($K169,'Reward Model'!$A$12:$A$14,0))/$J169)),3)</f>
        <v>0.75</v>
      </c>
      <c r="AA169" s="2" t="n">
        <f aca="false">IF($I169="Correct",ROUND(INDEX('Reward Model'!$B$12:$B$14,MATCH($K169,'Reward Model'!$A$12:$A$14,0))*Z169,2),0)</f>
        <v>0.75</v>
      </c>
      <c r="AB169" s="2" t="n">
        <f aca="false">IF($I169="Correct",ROUND(INDEX('Reward Model'!$B$12:$B$14,MATCH($Y169,'Reward Model'!$A$12:$A$14,0))*Z169,2),0)</f>
        <v>1.5</v>
      </c>
    </row>
    <row r="170" customFormat="false" ht="15" hidden="false" customHeight="false" outlineLevel="0" collapsed="false">
      <c r="A170" s="0" t="s">
        <v>120</v>
      </c>
      <c r="B170" s="0" t="s">
        <v>121</v>
      </c>
      <c r="C170" s="0" t="s">
        <v>30</v>
      </c>
      <c r="D170" s="0" t="s">
        <v>31</v>
      </c>
      <c r="E170" s="0" t="n">
        <v>9</v>
      </c>
      <c r="F170" s="0" t="s">
        <v>55</v>
      </c>
      <c r="G170" s="0" t="s">
        <v>56</v>
      </c>
      <c r="H170" s="0" t="s">
        <v>57</v>
      </c>
      <c r="I170" s="0" t="s">
        <v>39</v>
      </c>
      <c r="J170" s="0" t="n">
        <v>1.69</v>
      </c>
      <c r="K170" s="0" t="s">
        <v>35</v>
      </c>
      <c r="L170" s="0" t="n">
        <f aca="false">INDEX(Summary!$F$2:$F$201,MATCH($B170,Summary!$A$2:$A$201,0))</f>
        <v>20</v>
      </c>
      <c r="M170" s="0" t="n">
        <f aca="false">INDEX(Summary!$I$2:$I$201,MATCH($B170,Summary!$A$2:$A$201,0))</f>
        <v>1</v>
      </c>
      <c r="N170" s="0" t="n">
        <f aca="false">INDEX(Summary!$J$2:$J$201,MATCH($B170,Summary!$A$2:$A$201,0))</f>
        <v>4</v>
      </c>
      <c r="O170" s="2" t="n">
        <f aca="false">INDEX(Summary!$K$2:$K$201,MATCH($B170,Summary!$A$2:$A$201,0))</f>
        <v>9.47</v>
      </c>
      <c r="P170" s="3" t="n">
        <f aca="false">INDEX(Summary!$L$2:$L$201,MATCH($B170,Summary!$A$2:$A$201,0))</f>
        <v>4</v>
      </c>
      <c r="Q170" s="3" t="n">
        <f aca="false">INDEX(Summary!$M$2:$M$201,MATCH($B170,Summary!$A$2:$A$201,0))</f>
        <v>2</v>
      </c>
      <c r="R170" s="2" t="n">
        <f aca="false">INDEX(Summary!$N$2:$N$201,MATCH($B170,Summary!$A$2:$A$201,0))</f>
        <v>9.9</v>
      </c>
      <c r="S170" s="3" t="n">
        <f aca="false">INDEX(Summary!$O$2:$O$201,MATCH($B170,Summary!$A$2:$A$201,0))</f>
        <v>6</v>
      </c>
      <c r="T170" s="3" t="n">
        <f aca="false">INDEX(Summary!$P$2:$P$201,MATCH($B170,Summary!$A$2:$A$201,0))</f>
        <v>3</v>
      </c>
      <c r="U170" s="2" t="n">
        <f aca="false">INDEX(Summary!$Q$2:$Q$201,MATCH($B170,Summary!$A$2:$A$201,0))</f>
        <v>15.56</v>
      </c>
      <c r="V170" s="2" t="n">
        <f aca="false">INDEX(Summary!$R$2:$R$201,MATCH($B170,Summary!$A$2:$A$201,0))</f>
        <v>17.36</v>
      </c>
      <c r="W170" s="0" t="str">
        <f aca="false">INDEX(Summary!$S$2:$S$201,MATCH($B170,Summary!$A$2:$A$201,0))</f>
        <v>Bronze</v>
      </c>
      <c r="X170" s="2" t="n">
        <f aca="false">INDEX(Summary!$T$2:$T$201,MATCH($B170,Summary!$A$2:$A$201,0))</f>
        <v>42.34</v>
      </c>
      <c r="Y170" s="0" t="str">
        <f aca="false">INDEX('Reward Model'!$E$18:$E$37,MATCH($E170,'Reward Model'!$A$18:$A$37,0))</f>
        <v>Medium</v>
      </c>
      <c r="Z170" s="4" t="n">
        <f aca="false">ROUND(MIN(1,MAX('Reward Model'!$B$2,INDEX('Reward Model'!$C$12:$C$14,MATCH($K170,'Reward Model'!$A$12:$A$14,0))/$J170)),3)</f>
        <v>0.888</v>
      </c>
      <c r="AA170" s="2" t="n">
        <f aca="false">IF($I170="Correct",ROUND(INDEX('Reward Model'!$B$12:$B$14,MATCH($K170,'Reward Model'!$A$12:$A$14,0))*Z170,2),0)</f>
        <v>0</v>
      </c>
      <c r="AB170" s="2" t="n">
        <f aca="false">IF($I170="Correct",ROUND(INDEX('Reward Model'!$B$12:$B$14,MATCH($Y170,'Reward Model'!$A$12:$A$14,0))*Z170,2),0)</f>
        <v>0</v>
      </c>
    </row>
    <row r="171" customFormat="false" ht="15" hidden="false" customHeight="false" outlineLevel="0" collapsed="false">
      <c r="A171" s="0" t="s">
        <v>120</v>
      </c>
      <c r="B171" s="0" t="s">
        <v>121</v>
      </c>
      <c r="C171" s="0" t="s">
        <v>30</v>
      </c>
      <c r="D171" s="0" t="s">
        <v>31</v>
      </c>
      <c r="E171" s="0" t="n">
        <v>10</v>
      </c>
      <c r="F171" s="0" t="s">
        <v>58</v>
      </c>
      <c r="G171" s="0" t="s">
        <v>59</v>
      </c>
      <c r="H171" s="0" t="s">
        <v>59</v>
      </c>
      <c r="I171" s="0" t="s">
        <v>34</v>
      </c>
      <c r="J171" s="0" t="n">
        <v>1.14</v>
      </c>
      <c r="K171" s="0" t="s">
        <v>60</v>
      </c>
      <c r="L171" s="0" t="n">
        <f aca="false">INDEX(Summary!$F$2:$F$201,MATCH($B171,Summary!$A$2:$A$201,0))</f>
        <v>20</v>
      </c>
      <c r="M171" s="0" t="n">
        <f aca="false">INDEX(Summary!$I$2:$I$201,MATCH($B171,Summary!$A$2:$A$201,0))</f>
        <v>1</v>
      </c>
      <c r="N171" s="0" t="n">
        <f aca="false">INDEX(Summary!$J$2:$J$201,MATCH($B171,Summary!$A$2:$A$201,0))</f>
        <v>4</v>
      </c>
      <c r="O171" s="2" t="n">
        <f aca="false">INDEX(Summary!$K$2:$K$201,MATCH($B171,Summary!$A$2:$A$201,0))</f>
        <v>9.47</v>
      </c>
      <c r="P171" s="3" t="n">
        <f aca="false">INDEX(Summary!$L$2:$L$201,MATCH($B171,Summary!$A$2:$A$201,0))</f>
        <v>4</v>
      </c>
      <c r="Q171" s="3" t="n">
        <f aca="false">INDEX(Summary!$M$2:$M$201,MATCH($B171,Summary!$A$2:$A$201,0))</f>
        <v>2</v>
      </c>
      <c r="R171" s="2" t="n">
        <f aca="false">INDEX(Summary!$N$2:$N$201,MATCH($B171,Summary!$A$2:$A$201,0))</f>
        <v>9.9</v>
      </c>
      <c r="S171" s="3" t="n">
        <f aca="false">INDEX(Summary!$O$2:$O$201,MATCH($B171,Summary!$A$2:$A$201,0))</f>
        <v>6</v>
      </c>
      <c r="T171" s="3" t="n">
        <f aca="false">INDEX(Summary!$P$2:$P$201,MATCH($B171,Summary!$A$2:$A$201,0))</f>
        <v>3</v>
      </c>
      <c r="U171" s="2" t="n">
        <f aca="false">INDEX(Summary!$Q$2:$Q$201,MATCH($B171,Summary!$A$2:$A$201,0))</f>
        <v>15.56</v>
      </c>
      <c r="V171" s="2" t="n">
        <f aca="false">INDEX(Summary!$R$2:$R$201,MATCH($B171,Summary!$A$2:$A$201,0))</f>
        <v>17.36</v>
      </c>
      <c r="W171" s="0" t="str">
        <f aca="false">INDEX(Summary!$S$2:$S$201,MATCH($B171,Summary!$A$2:$A$201,0))</f>
        <v>Bronze</v>
      </c>
      <c r="X171" s="2" t="n">
        <f aca="false">INDEX(Summary!$T$2:$T$201,MATCH($B171,Summary!$A$2:$A$201,0))</f>
        <v>42.34</v>
      </c>
      <c r="Y171" s="0" t="str">
        <f aca="false">INDEX('Reward Model'!$E$18:$E$37,MATCH($E171,'Reward Model'!$A$18:$A$37,0))</f>
        <v>Medium</v>
      </c>
      <c r="Z171" s="4" t="n">
        <f aca="false">ROUND(MIN(1,MAX('Reward Model'!$B$2,INDEX('Reward Model'!$C$12:$C$14,MATCH($K171,'Reward Model'!$A$12:$A$14,0))/$J171)),3)</f>
        <v>1</v>
      </c>
      <c r="AA171" s="2" t="n">
        <f aca="false">IF($I171="Correct",ROUND(INDEX('Reward Model'!$B$12:$B$14,MATCH($K171,'Reward Model'!$A$12:$A$14,0))*Z171,2),0)</f>
        <v>2</v>
      </c>
      <c r="AB171" s="2" t="n">
        <f aca="false">IF($I171="Correct",ROUND(INDEX('Reward Model'!$B$12:$B$14,MATCH($Y171,'Reward Model'!$A$12:$A$14,0))*Z171,2),0)</f>
        <v>2</v>
      </c>
    </row>
    <row r="172" customFormat="false" ht="15" hidden="false" customHeight="false" outlineLevel="0" collapsed="false">
      <c r="A172" s="0" t="s">
        <v>120</v>
      </c>
      <c r="B172" s="0" t="s">
        <v>121</v>
      </c>
      <c r="C172" s="0" t="s">
        <v>30</v>
      </c>
      <c r="D172" s="0" t="s">
        <v>31</v>
      </c>
      <c r="E172" s="0" t="n">
        <v>11</v>
      </c>
      <c r="F172" s="0" t="s">
        <v>61</v>
      </c>
      <c r="G172" s="0" t="s">
        <v>63</v>
      </c>
      <c r="H172" s="0" t="s">
        <v>63</v>
      </c>
      <c r="I172" s="0" t="s">
        <v>34</v>
      </c>
      <c r="J172" s="0" t="n">
        <v>1.48</v>
      </c>
      <c r="K172" s="0" t="s">
        <v>60</v>
      </c>
      <c r="L172" s="0" t="n">
        <f aca="false">INDEX(Summary!$F$2:$F$201,MATCH($B172,Summary!$A$2:$A$201,0))</f>
        <v>20</v>
      </c>
      <c r="M172" s="0" t="n">
        <f aca="false">INDEX(Summary!$I$2:$I$201,MATCH($B172,Summary!$A$2:$A$201,0))</f>
        <v>1</v>
      </c>
      <c r="N172" s="0" t="n">
        <f aca="false">INDEX(Summary!$J$2:$J$201,MATCH($B172,Summary!$A$2:$A$201,0))</f>
        <v>4</v>
      </c>
      <c r="O172" s="2" t="n">
        <f aca="false">INDEX(Summary!$K$2:$K$201,MATCH($B172,Summary!$A$2:$A$201,0))</f>
        <v>9.47</v>
      </c>
      <c r="P172" s="3" t="n">
        <f aca="false">INDEX(Summary!$L$2:$L$201,MATCH($B172,Summary!$A$2:$A$201,0))</f>
        <v>4</v>
      </c>
      <c r="Q172" s="3" t="n">
        <f aca="false">INDEX(Summary!$M$2:$M$201,MATCH($B172,Summary!$A$2:$A$201,0))</f>
        <v>2</v>
      </c>
      <c r="R172" s="2" t="n">
        <f aca="false">INDEX(Summary!$N$2:$N$201,MATCH($B172,Summary!$A$2:$A$201,0))</f>
        <v>9.9</v>
      </c>
      <c r="S172" s="3" t="n">
        <f aca="false">INDEX(Summary!$O$2:$O$201,MATCH($B172,Summary!$A$2:$A$201,0))</f>
        <v>6</v>
      </c>
      <c r="T172" s="3" t="n">
        <f aca="false">INDEX(Summary!$P$2:$P$201,MATCH($B172,Summary!$A$2:$A$201,0))</f>
        <v>3</v>
      </c>
      <c r="U172" s="2" t="n">
        <f aca="false">INDEX(Summary!$Q$2:$Q$201,MATCH($B172,Summary!$A$2:$A$201,0))</f>
        <v>15.56</v>
      </c>
      <c r="V172" s="2" t="n">
        <f aca="false">INDEX(Summary!$R$2:$R$201,MATCH($B172,Summary!$A$2:$A$201,0))</f>
        <v>17.36</v>
      </c>
      <c r="W172" s="0" t="str">
        <f aca="false">INDEX(Summary!$S$2:$S$201,MATCH($B172,Summary!$A$2:$A$201,0))</f>
        <v>Bronze</v>
      </c>
      <c r="X172" s="2" t="n">
        <f aca="false">INDEX(Summary!$T$2:$T$201,MATCH($B172,Summary!$A$2:$A$201,0))</f>
        <v>42.34</v>
      </c>
      <c r="Y172" s="0" t="str">
        <f aca="false">INDEX('Reward Model'!$E$18:$E$37,MATCH($E172,'Reward Model'!$A$18:$A$37,0))</f>
        <v>Medium</v>
      </c>
      <c r="Z172" s="4" t="n">
        <f aca="false">ROUND(MIN(1,MAX('Reward Model'!$B$2,INDEX('Reward Model'!$C$12:$C$14,MATCH($K172,'Reward Model'!$A$12:$A$14,0))/$J172)),3)</f>
        <v>1</v>
      </c>
      <c r="AA172" s="2" t="n">
        <f aca="false">IF($I172="Correct",ROUND(INDEX('Reward Model'!$B$12:$B$14,MATCH($K172,'Reward Model'!$A$12:$A$14,0))*Z172,2),0)</f>
        <v>2</v>
      </c>
      <c r="AB172" s="2" t="n">
        <f aca="false">IF($I172="Correct",ROUND(INDEX('Reward Model'!$B$12:$B$14,MATCH($Y172,'Reward Model'!$A$12:$A$14,0))*Z172,2),0)</f>
        <v>2</v>
      </c>
    </row>
    <row r="173" customFormat="false" ht="15" hidden="false" customHeight="false" outlineLevel="0" collapsed="false">
      <c r="A173" s="0" t="s">
        <v>120</v>
      </c>
      <c r="B173" s="0" t="s">
        <v>121</v>
      </c>
      <c r="C173" s="0" t="s">
        <v>30</v>
      </c>
      <c r="D173" s="0" t="s">
        <v>31</v>
      </c>
      <c r="E173" s="0" t="n">
        <v>12</v>
      </c>
      <c r="F173" s="0" t="s">
        <v>64</v>
      </c>
      <c r="G173" s="0" t="s">
        <v>65</v>
      </c>
      <c r="H173" s="0" t="s">
        <v>65</v>
      </c>
      <c r="I173" s="0" t="s">
        <v>34</v>
      </c>
      <c r="J173" s="0" t="n">
        <v>1.27</v>
      </c>
      <c r="K173" s="0" t="s">
        <v>60</v>
      </c>
      <c r="L173" s="0" t="n">
        <f aca="false">INDEX(Summary!$F$2:$F$201,MATCH($B173,Summary!$A$2:$A$201,0))</f>
        <v>20</v>
      </c>
      <c r="M173" s="0" t="n">
        <f aca="false">INDEX(Summary!$I$2:$I$201,MATCH($B173,Summary!$A$2:$A$201,0))</f>
        <v>1</v>
      </c>
      <c r="N173" s="0" t="n">
        <f aca="false">INDEX(Summary!$J$2:$J$201,MATCH($B173,Summary!$A$2:$A$201,0))</f>
        <v>4</v>
      </c>
      <c r="O173" s="2" t="n">
        <f aca="false">INDEX(Summary!$K$2:$K$201,MATCH($B173,Summary!$A$2:$A$201,0))</f>
        <v>9.47</v>
      </c>
      <c r="P173" s="3" t="n">
        <f aca="false">INDEX(Summary!$L$2:$L$201,MATCH($B173,Summary!$A$2:$A$201,0))</f>
        <v>4</v>
      </c>
      <c r="Q173" s="3" t="n">
        <f aca="false">INDEX(Summary!$M$2:$M$201,MATCH($B173,Summary!$A$2:$A$201,0))</f>
        <v>2</v>
      </c>
      <c r="R173" s="2" t="n">
        <f aca="false">INDEX(Summary!$N$2:$N$201,MATCH($B173,Summary!$A$2:$A$201,0))</f>
        <v>9.9</v>
      </c>
      <c r="S173" s="3" t="n">
        <f aca="false">INDEX(Summary!$O$2:$O$201,MATCH($B173,Summary!$A$2:$A$201,0))</f>
        <v>6</v>
      </c>
      <c r="T173" s="3" t="n">
        <f aca="false">INDEX(Summary!$P$2:$P$201,MATCH($B173,Summary!$A$2:$A$201,0))</f>
        <v>3</v>
      </c>
      <c r="U173" s="2" t="n">
        <f aca="false">INDEX(Summary!$Q$2:$Q$201,MATCH($B173,Summary!$A$2:$A$201,0))</f>
        <v>15.56</v>
      </c>
      <c r="V173" s="2" t="n">
        <f aca="false">INDEX(Summary!$R$2:$R$201,MATCH($B173,Summary!$A$2:$A$201,0))</f>
        <v>17.36</v>
      </c>
      <c r="W173" s="0" t="str">
        <f aca="false">INDEX(Summary!$S$2:$S$201,MATCH($B173,Summary!$A$2:$A$201,0))</f>
        <v>Bronze</v>
      </c>
      <c r="X173" s="2" t="n">
        <f aca="false">INDEX(Summary!$T$2:$T$201,MATCH($B173,Summary!$A$2:$A$201,0))</f>
        <v>42.34</v>
      </c>
      <c r="Y173" s="0" t="str">
        <f aca="false">INDEX('Reward Model'!$E$18:$E$37,MATCH($E173,'Reward Model'!$A$18:$A$37,0))</f>
        <v>Medium</v>
      </c>
      <c r="Z173" s="4" t="n">
        <f aca="false">ROUND(MIN(1,MAX('Reward Model'!$B$2,INDEX('Reward Model'!$C$12:$C$14,MATCH($K173,'Reward Model'!$A$12:$A$14,0))/$J173)),3)</f>
        <v>1</v>
      </c>
      <c r="AA173" s="2" t="n">
        <f aca="false">IF($I173="Correct",ROUND(INDEX('Reward Model'!$B$12:$B$14,MATCH($K173,'Reward Model'!$A$12:$A$14,0))*Z173,2),0)</f>
        <v>2</v>
      </c>
      <c r="AB173" s="2" t="n">
        <f aca="false">IF($I173="Correct",ROUND(INDEX('Reward Model'!$B$12:$B$14,MATCH($Y173,'Reward Model'!$A$12:$A$14,0))*Z173,2),0)</f>
        <v>2</v>
      </c>
    </row>
    <row r="174" customFormat="false" ht="15" hidden="false" customHeight="false" outlineLevel="0" collapsed="false">
      <c r="A174" s="0" t="s">
        <v>120</v>
      </c>
      <c r="B174" s="0" t="s">
        <v>121</v>
      </c>
      <c r="C174" s="0" t="s">
        <v>30</v>
      </c>
      <c r="D174" s="0" t="s">
        <v>31</v>
      </c>
      <c r="E174" s="0" t="n">
        <v>13</v>
      </c>
      <c r="F174" s="0" t="s">
        <v>66</v>
      </c>
      <c r="G174" s="0" t="s">
        <v>124</v>
      </c>
      <c r="H174" s="0" t="s">
        <v>67</v>
      </c>
      <c r="I174" s="0" t="s">
        <v>39</v>
      </c>
      <c r="J174" s="0" t="n">
        <v>2.16</v>
      </c>
      <c r="K174" s="0" t="s">
        <v>60</v>
      </c>
      <c r="L174" s="0" t="n">
        <f aca="false">INDEX(Summary!$F$2:$F$201,MATCH($B174,Summary!$A$2:$A$201,0))</f>
        <v>20</v>
      </c>
      <c r="M174" s="0" t="n">
        <f aca="false">INDEX(Summary!$I$2:$I$201,MATCH($B174,Summary!$A$2:$A$201,0))</f>
        <v>1</v>
      </c>
      <c r="N174" s="0" t="n">
        <f aca="false">INDEX(Summary!$J$2:$J$201,MATCH($B174,Summary!$A$2:$A$201,0))</f>
        <v>4</v>
      </c>
      <c r="O174" s="2" t="n">
        <f aca="false">INDEX(Summary!$K$2:$K$201,MATCH($B174,Summary!$A$2:$A$201,0))</f>
        <v>9.47</v>
      </c>
      <c r="P174" s="3" t="n">
        <f aca="false">INDEX(Summary!$L$2:$L$201,MATCH($B174,Summary!$A$2:$A$201,0))</f>
        <v>4</v>
      </c>
      <c r="Q174" s="3" t="n">
        <f aca="false">INDEX(Summary!$M$2:$M$201,MATCH($B174,Summary!$A$2:$A$201,0))</f>
        <v>2</v>
      </c>
      <c r="R174" s="2" t="n">
        <f aca="false">INDEX(Summary!$N$2:$N$201,MATCH($B174,Summary!$A$2:$A$201,0))</f>
        <v>9.9</v>
      </c>
      <c r="S174" s="3" t="n">
        <f aca="false">INDEX(Summary!$O$2:$O$201,MATCH($B174,Summary!$A$2:$A$201,0))</f>
        <v>6</v>
      </c>
      <c r="T174" s="3" t="n">
        <f aca="false">INDEX(Summary!$P$2:$P$201,MATCH($B174,Summary!$A$2:$A$201,0))</f>
        <v>3</v>
      </c>
      <c r="U174" s="2" t="n">
        <f aca="false">INDEX(Summary!$Q$2:$Q$201,MATCH($B174,Summary!$A$2:$A$201,0))</f>
        <v>15.56</v>
      </c>
      <c r="V174" s="2" t="n">
        <f aca="false">INDEX(Summary!$R$2:$R$201,MATCH($B174,Summary!$A$2:$A$201,0))</f>
        <v>17.36</v>
      </c>
      <c r="W174" s="0" t="str">
        <f aca="false">INDEX(Summary!$S$2:$S$201,MATCH($B174,Summary!$A$2:$A$201,0))</f>
        <v>Bronze</v>
      </c>
      <c r="X174" s="2" t="n">
        <f aca="false">INDEX(Summary!$T$2:$T$201,MATCH($B174,Summary!$A$2:$A$201,0))</f>
        <v>42.34</v>
      </c>
      <c r="Y174" s="0" t="str">
        <f aca="false">INDEX('Reward Model'!$E$18:$E$37,MATCH($E174,'Reward Model'!$A$18:$A$37,0))</f>
        <v>Medium</v>
      </c>
      <c r="Z174" s="4" t="n">
        <f aca="false">ROUND(MIN(1,MAX('Reward Model'!$B$2,INDEX('Reward Model'!$C$12:$C$14,MATCH($K174,'Reward Model'!$A$12:$A$14,0))/$J174)),3)</f>
        <v>0.833</v>
      </c>
      <c r="AA174" s="2" t="n">
        <f aca="false">IF($I174="Correct",ROUND(INDEX('Reward Model'!$B$12:$B$14,MATCH($K174,'Reward Model'!$A$12:$A$14,0))*Z174,2),0)</f>
        <v>0</v>
      </c>
      <c r="AB174" s="2" t="n">
        <f aca="false">IF($I174="Correct",ROUND(INDEX('Reward Model'!$B$12:$B$14,MATCH($Y174,'Reward Model'!$A$12:$A$14,0))*Z174,2),0)</f>
        <v>0</v>
      </c>
    </row>
    <row r="175" customFormat="false" ht="15" hidden="false" customHeight="false" outlineLevel="0" collapsed="false">
      <c r="A175" s="0" t="s">
        <v>120</v>
      </c>
      <c r="B175" s="0" t="s">
        <v>121</v>
      </c>
      <c r="C175" s="0" t="s">
        <v>30</v>
      </c>
      <c r="D175" s="0" t="s">
        <v>31</v>
      </c>
      <c r="E175" s="0" t="n">
        <v>14</v>
      </c>
      <c r="F175" s="0" t="s">
        <v>68</v>
      </c>
      <c r="G175" s="0" t="s">
        <v>86</v>
      </c>
      <c r="H175" s="0" t="s">
        <v>51</v>
      </c>
      <c r="I175" s="0" t="s">
        <v>39</v>
      </c>
      <c r="J175" s="0" t="n">
        <v>1.9</v>
      </c>
      <c r="K175" s="0" t="s">
        <v>60</v>
      </c>
      <c r="L175" s="0" t="n">
        <f aca="false">INDEX(Summary!$F$2:$F$201,MATCH($B175,Summary!$A$2:$A$201,0))</f>
        <v>20</v>
      </c>
      <c r="M175" s="0" t="n">
        <f aca="false">INDEX(Summary!$I$2:$I$201,MATCH($B175,Summary!$A$2:$A$201,0))</f>
        <v>1</v>
      </c>
      <c r="N175" s="0" t="n">
        <f aca="false">INDEX(Summary!$J$2:$J$201,MATCH($B175,Summary!$A$2:$A$201,0))</f>
        <v>4</v>
      </c>
      <c r="O175" s="2" t="n">
        <f aca="false">INDEX(Summary!$K$2:$K$201,MATCH($B175,Summary!$A$2:$A$201,0))</f>
        <v>9.47</v>
      </c>
      <c r="P175" s="3" t="n">
        <f aca="false">INDEX(Summary!$L$2:$L$201,MATCH($B175,Summary!$A$2:$A$201,0))</f>
        <v>4</v>
      </c>
      <c r="Q175" s="3" t="n">
        <f aca="false">INDEX(Summary!$M$2:$M$201,MATCH($B175,Summary!$A$2:$A$201,0))</f>
        <v>2</v>
      </c>
      <c r="R175" s="2" t="n">
        <f aca="false">INDEX(Summary!$N$2:$N$201,MATCH($B175,Summary!$A$2:$A$201,0))</f>
        <v>9.9</v>
      </c>
      <c r="S175" s="3" t="n">
        <f aca="false">INDEX(Summary!$O$2:$O$201,MATCH($B175,Summary!$A$2:$A$201,0))</f>
        <v>6</v>
      </c>
      <c r="T175" s="3" t="n">
        <f aca="false">INDEX(Summary!$P$2:$P$201,MATCH($B175,Summary!$A$2:$A$201,0))</f>
        <v>3</v>
      </c>
      <c r="U175" s="2" t="n">
        <f aca="false">INDEX(Summary!$Q$2:$Q$201,MATCH($B175,Summary!$A$2:$A$201,0))</f>
        <v>15.56</v>
      </c>
      <c r="V175" s="2" t="n">
        <f aca="false">INDEX(Summary!$R$2:$R$201,MATCH($B175,Summary!$A$2:$A$201,0))</f>
        <v>17.36</v>
      </c>
      <c r="W175" s="0" t="str">
        <f aca="false">INDEX(Summary!$S$2:$S$201,MATCH($B175,Summary!$A$2:$A$201,0))</f>
        <v>Bronze</v>
      </c>
      <c r="X175" s="2" t="n">
        <f aca="false">INDEX(Summary!$T$2:$T$201,MATCH($B175,Summary!$A$2:$A$201,0))</f>
        <v>42.34</v>
      </c>
      <c r="Y175" s="0" t="str">
        <f aca="false">INDEX('Reward Model'!$E$18:$E$37,MATCH($E175,'Reward Model'!$A$18:$A$37,0))</f>
        <v>Medium</v>
      </c>
      <c r="Z175" s="4" t="n">
        <f aca="false">ROUND(MIN(1,MAX('Reward Model'!$B$2,INDEX('Reward Model'!$C$12:$C$14,MATCH($K175,'Reward Model'!$A$12:$A$14,0))/$J175)),3)</f>
        <v>0.947</v>
      </c>
      <c r="AA175" s="2" t="n">
        <f aca="false">IF($I175="Correct",ROUND(INDEX('Reward Model'!$B$12:$B$14,MATCH($K175,'Reward Model'!$A$12:$A$14,0))*Z175,2),0)</f>
        <v>0</v>
      </c>
      <c r="AB175" s="2" t="n">
        <f aca="false">IF($I175="Correct",ROUND(INDEX('Reward Model'!$B$12:$B$14,MATCH($Y175,'Reward Model'!$A$12:$A$14,0))*Z175,2),0)</f>
        <v>0</v>
      </c>
    </row>
    <row r="176" customFormat="false" ht="15" hidden="false" customHeight="false" outlineLevel="0" collapsed="false">
      <c r="A176" s="0" t="s">
        <v>120</v>
      </c>
      <c r="B176" s="0" t="s">
        <v>121</v>
      </c>
      <c r="C176" s="0" t="s">
        <v>30</v>
      </c>
      <c r="D176" s="0" t="s">
        <v>31</v>
      </c>
      <c r="E176" s="0" t="n">
        <v>15</v>
      </c>
      <c r="F176" s="0" t="s">
        <v>69</v>
      </c>
      <c r="G176" s="0" t="s">
        <v>70</v>
      </c>
      <c r="H176" s="0" t="s">
        <v>70</v>
      </c>
      <c r="I176" s="0" t="s">
        <v>34</v>
      </c>
      <c r="J176" s="0" t="n">
        <v>1.95</v>
      </c>
      <c r="K176" s="0" t="s">
        <v>60</v>
      </c>
      <c r="L176" s="0" t="n">
        <f aca="false">INDEX(Summary!$F$2:$F$201,MATCH($B176,Summary!$A$2:$A$201,0))</f>
        <v>20</v>
      </c>
      <c r="M176" s="0" t="n">
        <f aca="false">INDEX(Summary!$I$2:$I$201,MATCH($B176,Summary!$A$2:$A$201,0))</f>
        <v>1</v>
      </c>
      <c r="N176" s="0" t="n">
        <f aca="false">INDEX(Summary!$J$2:$J$201,MATCH($B176,Summary!$A$2:$A$201,0))</f>
        <v>4</v>
      </c>
      <c r="O176" s="2" t="n">
        <f aca="false">INDEX(Summary!$K$2:$K$201,MATCH($B176,Summary!$A$2:$A$201,0))</f>
        <v>9.47</v>
      </c>
      <c r="P176" s="3" t="n">
        <f aca="false">INDEX(Summary!$L$2:$L$201,MATCH($B176,Summary!$A$2:$A$201,0))</f>
        <v>4</v>
      </c>
      <c r="Q176" s="3" t="n">
        <f aca="false">INDEX(Summary!$M$2:$M$201,MATCH($B176,Summary!$A$2:$A$201,0))</f>
        <v>2</v>
      </c>
      <c r="R176" s="2" t="n">
        <f aca="false">INDEX(Summary!$N$2:$N$201,MATCH($B176,Summary!$A$2:$A$201,0))</f>
        <v>9.9</v>
      </c>
      <c r="S176" s="3" t="n">
        <f aca="false">INDEX(Summary!$O$2:$O$201,MATCH($B176,Summary!$A$2:$A$201,0))</f>
        <v>6</v>
      </c>
      <c r="T176" s="3" t="n">
        <f aca="false">INDEX(Summary!$P$2:$P$201,MATCH($B176,Summary!$A$2:$A$201,0))</f>
        <v>3</v>
      </c>
      <c r="U176" s="2" t="n">
        <f aca="false">INDEX(Summary!$Q$2:$Q$201,MATCH($B176,Summary!$A$2:$A$201,0))</f>
        <v>15.56</v>
      </c>
      <c r="V176" s="2" t="n">
        <f aca="false">INDEX(Summary!$R$2:$R$201,MATCH($B176,Summary!$A$2:$A$201,0))</f>
        <v>17.36</v>
      </c>
      <c r="W176" s="0" t="str">
        <f aca="false">INDEX(Summary!$S$2:$S$201,MATCH($B176,Summary!$A$2:$A$201,0))</f>
        <v>Bronze</v>
      </c>
      <c r="X176" s="2" t="n">
        <f aca="false">INDEX(Summary!$T$2:$T$201,MATCH($B176,Summary!$A$2:$A$201,0))</f>
        <v>42.34</v>
      </c>
      <c r="Y176" s="0" t="str">
        <f aca="false">INDEX('Reward Model'!$E$18:$E$37,MATCH($E176,'Reward Model'!$A$18:$A$37,0))</f>
        <v>Medium</v>
      </c>
      <c r="Z176" s="4" t="n">
        <f aca="false">ROUND(MIN(1,MAX('Reward Model'!$B$2,INDEX('Reward Model'!$C$12:$C$14,MATCH($K176,'Reward Model'!$A$12:$A$14,0))/$J176)),3)</f>
        <v>0.923</v>
      </c>
      <c r="AA176" s="2" t="n">
        <f aca="false">IF($I176="Correct",ROUND(INDEX('Reward Model'!$B$12:$B$14,MATCH($K176,'Reward Model'!$A$12:$A$14,0))*Z176,2),0)</f>
        <v>1.85</v>
      </c>
      <c r="AB176" s="2" t="n">
        <f aca="false">IF($I176="Correct",ROUND(INDEX('Reward Model'!$B$12:$B$14,MATCH($Y176,'Reward Model'!$A$12:$A$14,0))*Z176,2),0)</f>
        <v>1.85</v>
      </c>
    </row>
    <row r="177" customFormat="false" ht="15" hidden="false" customHeight="false" outlineLevel="0" collapsed="false">
      <c r="A177" s="0" t="s">
        <v>120</v>
      </c>
      <c r="B177" s="0" t="s">
        <v>121</v>
      </c>
      <c r="C177" s="0" t="s">
        <v>30</v>
      </c>
      <c r="D177" s="0" t="s">
        <v>31</v>
      </c>
      <c r="E177" s="0" t="n">
        <v>16</v>
      </c>
      <c r="F177" s="0" t="s">
        <v>71</v>
      </c>
      <c r="G177" s="0" t="s">
        <v>87</v>
      </c>
      <c r="H177" s="0" t="s">
        <v>72</v>
      </c>
      <c r="I177" s="0" t="s">
        <v>39</v>
      </c>
      <c r="J177" s="0" t="n">
        <v>2.38</v>
      </c>
      <c r="K177" s="0" t="s">
        <v>73</v>
      </c>
      <c r="L177" s="0" t="n">
        <f aca="false">INDEX(Summary!$F$2:$F$201,MATCH($B177,Summary!$A$2:$A$201,0))</f>
        <v>20</v>
      </c>
      <c r="M177" s="0" t="n">
        <f aca="false">INDEX(Summary!$I$2:$I$201,MATCH($B177,Summary!$A$2:$A$201,0))</f>
        <v>1</v>
      </c>
      <c r="N177" s="0" t="n">
        <f aca="false">INDEX(Summary!$J$2:$J$201,MATCH($B177,Summary!$A$2:$A$201,0))</f>
        <v>4</v>
      </c>
      <c r="O177" s="2" t="n">
        <f aca="false">INDEX(Summary!$K$2:$K$201,MATCH($B177,Summary!$A$2:$A$201,0))</f>
        <v>9.47</v>
      </c>
      <c r="P177" s="3" t="n">
        <f aca="false">INDEX(Summary!$L$2:$L$201,MATCH($B177,Summary!$A$2:$A$201,0))</f>
        <v>4</v>
      </c>
      <c r="Q177" s="3" t="n">
        <f aca="false">INDEX(Summary!$M$2:$M$201,MATCH($B177,Summary!$A$2:$A$201,0))</f>
        <v>2</v>
      </c>
      <c r="R177" s="2" t="n">
        <f aca="false">INDEX(Summary!$N$2:$N$201,MATCH($B177,Summary!$A$2:$A$201,0))</f>
        <v>9.9</v>
      </c>
      <c r="S177" s="3" t="n">
        <f aca="false">INDEX(Summary!$O$2:$O$201,MATCH($B177,Summary!$A$2:$A$201,0))</f>
        <v>6</v>
      </c>
      <c r="T177" s="3" t="n">
        <f aca="false">INDEX(Summary!$P$2:$P$201,MATCH($B177,Summary!$A$2:$A$201,0))</f>
        <v>3</v>
      </c>
      <c r="U177" s="2" t="n">
        <f aca="false">INDEX(Summary!$Q$2:$Q$201,MATCH($B177,Summary!$A$2:$A$201,0))</f>
        <v>15.56</v>
      </c>
      <c r="V177" s="2" t="n">
        <f aca="false">INDEX(Summary!$R$2:$R$201,MATCH($B177,Summary!$A$2:$A$201,0))</f>
        <v>17.36</v>
      </c>
      <c r="W177" s="0" t="str">
        <f aca="false">INDEX(Summary!$S$2:$S$201,MATCH($B177,Summary!$A$2:$A$201,0))</f>
        <v>Bronze</v>
      </c>
      <c r="X177" s="2" t="n">
        <f aca="false">INDEX(Summary!$T$2:$T$201,MATCH($B177,Summary!$A$2:$A$201,0))</f>
        <v>42.34</v>
      </c>
      <c r="Y177" s="0" t="str">
        <f aca="false">INDEX('Reward Model'!$E$18:$E$37,MATCH($E177,'Reward Model'!$A$18:$A$37,0))</f>
        <v>High</v>
      </c>
      <c r="Z177" s="4" t="n">
        <f aca="false">ROUND(MIN(1,MAX('Reward Model'!$B$2,INDEX('Reward Model'!$C$12:$C$14,MATCH($K177,'Reward Model'!$A$12:$A$14,0))/$J177)),3)</f>
        <v>0.84</v>
      </c>
      <c r="AA177" s="2" t="n">
        <f aca="false">IF($I177="Correct",ROUND(INDEX('Reward Model'!$B$12:$B$14,MATCH($K177,'Reward Model'!$A$12:$A$14,0))*Z177,2),0)</f>
        <v>0</v>
      </c>
      <c r="AB177" s="2" t="n">
        <f aca="false">IF($I177="Correct",ROUND(INDEX('Reward Model'!$B$12:$B$14,MATCH($Y177,'Reward Model'!$A$12:$A$14,0))*Z177,2),0)</f>
        <v>0</v>
      </c>
    </row>
    <row r="178" customFormat="false" ht="15" hidden="false" customHeight="false" outlineLevel="0" collapsed="false">
      <c r="A178" s="0" t="s">
        <v>120</v>
      </c>
      <c r="B178" s="0" t="s">
        <v>121</v>
      </c>
      <c r="C178" s="0" t="s">
        <v>30</v>
      </c>
      <c r="D178" s="0" t="s">
        <v>31</v>
      </c>
      <c r="E178" s="0" t="n">
        <v>17</v>
      </c>
      <c r="F178" s="0" t="s">
        <v>74</v>
      </c>
      <c r="G178" s="0" t="s">
        <v>91</v>
      </c>
      <c r="H178" s="0" t="s">
        <v>75</v>
      </c>
      <c r="I178" s="0" t="s">
        <v>39</v>
      </c>
      <c r="J178" s="0" t="n">
        <v>1.72</v>
      </c>
      <c r="K178" s="0" t="s">
        <v>73</v>
      </c>
      <c r="L178" s="0" t="n">
        <f aca="false">INDEX(Summary!$F$2:$F$201,MATCH($B178,Summary!$A$2:$A$201,0))</f>
        <v>20</v>
      </c>
      <c r="M178" s="0" t="n">
        <f aca="false">INDEX(Summary!$I$2:$I$201,MATCH($B178,Summary!$A$2:$A$201,0))</f>
        <v>1</v>
      </c>
      <c r="N178" s="0" t="n">
        <f aca="false">INDEX(Summary!$J$2:$J$201,MATCH($B178,Summary!$A$2:$A$201,0))</f>
        <v>4</v>
      </c>
      <c r="O178" s="2" t="n">
        <f aca="false">INDEX(Summary!$K$2:$K$201,MATCH($B178,Summary!$A$2:$A$201,0))</f>
        <v>9.47</v>
      </c>
      <c r="P178" s="3" t="n">
        <f aca="false">INDEX(Summary!$L$2:$L$201,MATCH($B178,Summary!$A$2:$A$201,0))</f>
        <v>4</v>
      </c>
      <c r="Q178" s="3" t="n">
        <f aca="false">INDEX(Summary!$M$2:$M$201,MATCH($B178,Summary!$A$2:$A$201,0))</f>
        <v>2</v>
      </c>
      <c r="R178" s="2" t="n">
        <f aca="false">INDEX(Summary!$N$2:$N$201,MATCH($B178,Summary!$A$2:$A$201,0))</f>
        <v>9.9</v>
      </c>
      <c r="S178" s="3" t="n">
        <f aca="false">INDEX(Summary!$O$2:$O$201,MATCH($B178,Summary!$A$2:$A$201,0))</f>
        <v>6</v>
      </c>
      <c r="T178" s="3" t="n">
        <f aca="false">INDEX(Summary!$P$2:$P$201,MATCH($B178,Summary!$A$2:$A$201,0))</f>
        <v>3</v>
      </c>
      <c r="U178" s="2" t="n">
        <f aca="false">INDEX(Summary!$Q$2:$Q$201,MATCH($B178,Summary!$A$2:$A$201,0))</f>
        <v>15.56</v>
      </c>
      <c r="V178" s="2" t="n">
        <f aca="false">INDEX(Summary!$R$2:$R$201,MATCH($B178,Summary!$A$2:$A$201,0))</f>
        <v>17.36</v>
      </c>
      <c r="W178" s="0" t="str">
        <f aca="false">INDEX(Summary!$S$2:$S$201,MATCH($B178,Summary!$A$2:$A$201,0))</f>
        <v>Bronze</v>
      </c>
      <c r="X178" s="2" t="n">
        <f aca="false">INDEX(Summary!$T$2:$T$201,MATCH($B178,Summary!$A$2:$A$201,0))</f>
        <v>42.34</v>
      </c>
      <c r="Y178" s="0" t="str">
        <f aca="false">INDEX('Reward Model'!$E$18:$E$37,MATCH($E178,'Reward Model'!$A$18:$A$37,0))</f>
        <v>High</v>
      </c>
      <c r="Z178" s="4" t="n">
        <f aca="false">ROUND(MIN(1,MAX('Reward Model'!$B$2,INDEX('Reward Model'!$C$12:$C$14,MATCH($K178,'Reward Model'!$A$12:$A$14,0))/$J178)),3)</f>
        <v>1</v>
      </c>
      <c r="AA178" s="2" t="n">
        <f aca="false">IF($I178="Correct",ROUND(INDEX('Reward Model'!$B$12:$B$14,MATCH($K178,'Reward Model'!$A$12:$A$14,0))*Z178,2),0)</f>
        <v>0</v>
      </c>
      <c r="AB178" s="2" t="n">
        <f aca="false">IF($I178="Correct",ROUND(INDEX('Reward Model'!$B$12:$B$14,MATCH($Y178,'Reward Model'!$A$12:$A$14,0))*Z178,2),0)</f>
        <v>0</v>
      </c>
    </row>
    <row r="179" customFormat="false" ht="15" hidden="false" customHeight="false" outlineLevel="0" collapsed="false">
      <c r="A179" s="0" t="s">
        <v>120</v>
      </c>
      <c r="B179" s="0" t="s">
        <v>121</v>
      </c>
      <c r="C179" s="0" t="s">
        <v>30</v>
      </c>
      <c r="D179" s="0" t="s">
        <v>31</v>
      </c>
      <c r="E179" s="0" t="n">
        <v>18</v>
      </c>
      <c r="F179" s="0" t="s">
        <v>76</v>
      </c>
      <c r="G179" s="0" t="s">
        <v>56</v>
      </c>
      <c r="H179" s="0" t="s">
        <v>77</v>
      </c>
      <c r="I179" s="0" t="s">
        <v>39</v>
      </c>
      <c r="J179" s="0" t="n">
        <v>1.94</v>
      </c>
      <c r="K179" s="0" t="s">
        <v>73</v>
      </c>
      <c r="L179" s="0" t="n">
        <f aca="false">INDEX(Summary!$F$2:$F$201,MATCH($B179,Summary!$A$2:$A$201,0))</f>
        <v>20</v>
      </c>
      <c r="M179" s="0" t="n">
        <f aca="false">INDEX(Summary!$I$2:$I$201,MATCH($B179,Summary!$A$2:$A$201,0))</f>
        <v>1</v>
      </c>
      <c r="N179" s="0" t="n">
        <f aca="false">INDEX(Summary!$J$2:$J$201,MATCH($B179,Summary!$A$2:$A$201,0))</f>
        <v>4</v>
      </c>
      <c r="O179" s="2" t="n">
        <f aca="false">INDEX(Summary!$K$2:$K$201,MATCH($B179,Summary!$A$2:$A$201,0))</f>
        <v>9.47</v>
      </c>
      <c r="P179" s="3" t="n">
        <f aca="false">INDEX(Summary!$L$2:$L$201,MATCH($B179,Summary!$A$2:$A$201,0))</f>
        <v>4</v>
      </c>
      <c r="Q179" s="3" t="n">
        <f aca="false">INDEX(Summary!$M$2:$M$201,MATCH($B179,Summary!$A$2:$A$201,0))</f>
        <v>2</v>
      </c>
      <c r="R179" s="2" t="n">
        <f aca="false">INDEX(Summary!$N$2:$N$201,MATCH($B179,Summary!$A$2:$A$201,0))</f>
        <v>9.9</v>
      </c>
      <c r="S179" s="3" t="n">
        <f aca="false">INDEX(Summary!$O$2:$O$201,MATCH($B179,Summary!$A$2:$A$201,0))</f>
        <v>6</v>
      </c>
      <c r="T179" s="3" t="n">
        <f aca="false">INDEX(Summary!$P$2:$P$201,MATCH($B179,Summary!$A$2:$A$201,0))</f>
        <v>3</v>
      </c>
      <c r="U179" s="2" t="n">
        <f aca="false">INDEX(Summary!$Q$2:$Q$201,MATCH($B179,Summary!$A$2:$A$201,0))</f>
        <v>15.56</v>
      </c>
      <c r="V179" s="2" t="n">
        <f aca="false">INDEX(Summary!$R$2:$R$201,MATCH($B179,Summary!$A$2:$A$201,0))</f>
        <v>17.36</v>
      </c>
      <c r="W179" s="0" t="str">
        <f aca="false">INDEX(Summary!$S$2:$S$201,MATCH($B179,Summary!$A$2:$A$201,0))</f>
        <v>Bronze</v>
      </c>
      <c r="X179" s="2" t="n">
        <f aca="false">INDEX(Summary!$T$2:$T$201,MATCH($B179,Summary!$A$2:$A$201,0))</f>
        <v>42.34</v>
      </c>
      <c r="Y179" s="0" t="str">
        <f aca="false">INDEX('Reward Model'!$E$18:$E$37,MATCH($E179,'Reward Model'!$A$18:$A$37,0))</f>
        <v>High</v>
      </c>
      <c r="Z179" s="4" t="n">
        <f aca="false">ROUND(MIN(1,MAX('Reward Model'!$B$2,INDEX('Reward Model'!$C$12:$C$14,MATCH($K179,'Reward Model'!$A$12:$A$14,0))/$J179)),3)</f>
        <v>1</v>
      </c>
      <c r="AA179" s="2" t="n">
        <f aca="false">IF($I179="Correct",ROUND(INDEX('Reward Model'!$B$12:$B$14,MATCH($K179,'Reward Model'!$A$12:$A$14,0))*Z179,2),0)</f>
        <v>0</v>
      </c>
      <c r="AB179" s="2" t="n">
        <f aca="false">IF($I179="Correct",ROUND(INDEX('Reward Model'!$B$12:$B$14,MATCH($Y179,'Reward Model'!$A$12:$A$14,0))*Z179,2),0)</f>
        <v>0</v>
      </c>
    </row>
    <row r="180" customFormat="false" ht="15" hidden="false" customHeight="false" outlineLevel="0" collapsed="false">
      <c r="A180" s="0" t="s">
        <v>120</v>
      </c>
      <c r="B180" s="0" t="s">
        <v>121</v>
      </c>
      <c r="C180" s="0" t="s">
        <v>30</v>
      </c>
      <c r="D180" s="0" t="s">
        <v>31</v>
      </c>
      <c r="E180" s="0" t="n">
        <v>19</v>
      </c>
      <c r="F180" s="0" t="s">
        <v>78</v>
      </c>
      <c r="G180" s="0" t="s">
        <v>79</v>
      </c>
      <c r="H180" s="0" t="s">
        <v>80</v>
      </c>
      <c r="I180" s="0" t="s">
        <v>39</v>
      </c>
      <c r="J180" s="0" t="n">
        <v>2.05</v>
      </c>
      <c r="K180" s="0" t="s">
        <v>73</v>
      </c>
      <c r="L180" s="0" t="n">
        <f aca="false">INDEX(Summary!$F$2:$F$201,MATCH($B180,Summary!$A$2:$A$201,0))</f>
        <v>20</v>
      </c>
      <c r="M180" s="0" t="n">
        <f aca="false">INDEX(Summary!$I$2:$I$201,MATCH($B180,Summary!$A$2:$A$201,0))</f>
        <v>1</v>
      </c>
      <c r="N180" s="0" t="n">
        <f aca="false">INDEX(Summary!$J$2:$J$201,MATCH($B180,Summary!$A$2:$A$201,0))</f>
        <v>4</v>
      </c>
      <c r="O180" s="2" t="n">
        <f aca="false">INDEX(Summary!$K$2:$K$201,MATCH($B180,Summary!$A$2:$A$201,0))</f>
        <v>9.47</v>
      </c>
      <c r="P180" s="3" t="n">
        <f aca="false">INDEX(Summary!$L$2:$L$201,MATCH($B180,Summary!$A$2:$A$201,0))</f>
        <v>4</v>
      </c>
      <c r="Q180" s="3" t="n">
        <f aca="false">INDEX(Summary!$M$2:$M$201,MATCH($B180,Summary!$A$2:$A$201,0))</f>
        <v>2</v>
      </c>
      <c r="R180" s="2" t="n">
        <f aca="false">INDEX(Summary!$N$2:$N$201,MATCH($B180,Summary!$A$2:$A$201,0))</f>
        <v>9.9</v>
      </c>
      <c r="S180" s="3" t="n">
        <f aca="false">INDEX(Summary!$O$2:$O$201,MATCH($B180,Summary!$A$2:$A$201,0))</f>
        <v>6</v>
      </c>
      <c r="T180" s="3" t="n">
        <f aca="false">INDEX(Summary!$P$2:$P$201,MATCH($B180,Summary!$A$2:$A$201,0))</f>
        <v>3</v>
      </c>
      <c r="U180" s="2" t="n">
        <f aca="false">INDEX(Summary!$Q$2:$Q$201,MATCH($B180,Summary!$A$2:$A$201,0))</f>
        <v>15.56</v>
      </c>
      <c r="V180" s="2" t="n">
        <f aca="false">INDEX(Summary!$R$2:$R$201,MATCH($B180,Summary!$A$2:$A$201,0))</f>
        <v>17.36</v>
      </c>
      <c r="W180" s="0" t="str">
        <f aca="false">INDEX(Summary!$S$2:$S$201,MATCH($B180,Summary!$A$2:$A$201,0))</f>
        <v>Bronze</v>
      </c>
      <c r="X180" s="2" t="n">
        <f aca="false">INDEX(Summary!$T$2:$T$201,MATCH($B180,Summary!$A$2:$A$201,0))</f>
        <v>42.34</v>
      </c>
      <c r="Y180" s="0" t="str">
        <f aca="false">INDEX('Reward Model'!$E$18:$E$37,MATCH($E180,'Reward Model'!$A$18:$A$37,0))</f>
        <v>High</v>
      </c>
      <c r="Z180" s="4" t="n">
        <f aca="false">ROUND(MIN(1,MAX('Reward Model'!$B$2,INDEX('Reward Model'!$C$12:$C$14,MATCH($K180,'Reward Model'!$A$12:$A$14,0))/$J180)),3)</f>
        <v>0.976</v>
      </c>
      <c r="AA180" s="2" t="n">
        <f aca="false">IF($I180="Correct",ROUND(INDEX('Reward Model'!$B$12:$B$14,MATCH($K180,'Reward Model'!$A$12:$A$14,0))*Z180,2),0)</f>
        <v>0</v>
      </c>
      <c r="AB180" s="2" t="n">
        <f aca="false">IF($I180="Correct",ROUND(INDEX('Reward Model'!$B$12:$B$14,MATCH($Y180,'Reward Model'!$A$12:$A$14,0))*Z180,2),0)</f>
        <v>0</v>
      </c>
    </row>
    <row r="181" customFormat="false" ht="15" hidden="false" customHeight="false" outlineLevel="0" collapsed="false">
      <c r="A181" s="0" t="s">
        <v>120</v>
      </c>
      <c r="B181" s="0" t="s">
        <v>121</v>
      </c>
      <c r="C181" s="0" t="s">
        <v>30</v>
      </c>
      <c r="D181" s="0" t="s">
        <v>31</v>
      </c>
      <c r="E181" s="0" t="n">
        <v>20</v>
      </c>
      <c r="F181" s="0" t="s">
        <v>81</v>
      </c>
      <c r="G181" s="0" t="s">
        <v>83</v>
      </c>
      <c r="H181" s="0" t="s">
        <v>83</v>
      </c>
      <c r="I181" s="0" t="s">
        <v>34</v>
      </c>
      <c r="J181" s="0" t="n">
        <v>1.38</v>
      </c>
      <c r="K181" s="0" t="s">
        <v>73</v>
      </c>
      <c r="L181" s="0" t="n">
        <f aca="false">INDEX(Summary!$F$2:$F$201,MATCH($B181,Summary!$A$2:$A$201,0))</f>
        <v>20</v>
      </c>
      <c r="M181" s="0" t="n">
        <f aca="false">INDEX(Summary!$I$2:$I$201,MATCH($B181,Summary!$A$2:$A$201,0))</f>
        <v>1</v>
      </c>
      <c r="N181" s="0" t="n">
        <f aca="false">INDEX(Summary!$J$2:$J$201,MATCH($B181,Summary!$A$2:$A$201,0))</f>
        <v>4</v>
      </c>
      <c r="O181" s="2" t="n">
        <f aca="false">INDEX(Summary!$K$2:$K$201,MATCH($B181,Summary!$A$2:$A$201,0))</f>
        <v>9.47</v>
      </c>
      <c r="P181" s="3" t="n">
        <f aca="false">INDEX(Summary!$L$2:$L$201,MATCH($B181,Summary!$A$2:$A$201,0))</f>
        <v>4</v>
      </c>
      <c r="Q181" s="3" t="n">
        <f aca="false">INDEX(Summary!$M$2:$M$201,MATCH($B181,Summary!$A$2:$A$201,0))</f>
        <v>2</v>
      </c>
      <c r="R181" s="2" t="n">
        <f aca="false">INDEX(Summary!$N$2:$N$201,MATCH($B181,Summary!$A$2:$A$201,0))</f>
        <v>9.9</v>
      </c>
      <c r="S181" s="3" t="n">
        <f aca="false">INDEX(Summary!$O$2:$O$201,MATCH($B181,Summary!$A$2:$A$201,0))</f>
        <v>6</v>
      </c>
      <c r="T181" s="3" t="n">
        <f aca="false">INDEX(Summary!$P$2:$P$201,MATCH($B181,Summary!$A$2:$A$201,0))</f>
        <v>3</v>
      </c>
      <c r="U181" s="2" t="n">
        <f aca="false">INDEX(Summary!$Q$2:$Q$201,MATCH($B181,Summary!$A$2:$A$201,0))</f>
        <v>15.56</v>
      </c>
      <c r="V181" s="2" t="n">
        <f aca="false">INDEX(Summary!$R$2:$R$201,MATCH($B181,Summary!$A$2:$A$201,0))</f>
        <v>17.36</v>
      </c>
      <c r="W181" s="0" t="str">
        <f aca="false">INDEX(Summary!$S$2:$S$201,MATCH($B181,Summary!$A$2:$A$201,0))</f>
        <v>Bronze</v>
      </c>
      <c r="X181" s="2" t="n">
        <f aca="false">INDEX(Summary!$T$2:$T$201,MATCH($B181,Summary!$A$2:$A$201,0))</f>
        <v>42.34</v>
      </c>
      <c r="Y181" s="0" t="str">
        <f aca="false">INDEX('Reward Model'!$E$18:$E$37,MATCH($E181,'Reward Model'!$A$18:$A$37,0))</f>
        <v>High</v>
      </c>
      <c r="Z181" s="4" t="n">
        <f aca="false">ROUND(MIN(1,MAX('Reward Model'!$B$2,INDEX('Reward Model'!$C$12:$C$14,MATCH($K181,'Reward Model'!$A$12:$A$14,0))/$J181)),3)</f>
        <v>1</v>
      </c>
      <c r="AA181" s="2" t="n">
        <f aca="false">IF($I181="Correct",ROUND(INDEX('Reward Model'!$B$12:$B$14,MATCH($K181,'Reward Model'!$A$12:$A$14,0))*Z181,2),0)</f>
        <v>3</v>
      </c>
      <c r="AB181" s="2" t="n">
        <f aca="false">IF($I181="Correct",ROUND(INDEX('Reward Model'!$B$12:$B$14,MATCH($Y181,'Reward Model'!$A$12:$A$14,0))*Z181,2),0)</f>
        <v>3</v>
      </c>
    </row>
    <row r="182" customFormat="false" ht="15" hidden="false" customHeight="false" outlineLevel="0" collapsed="false">
      <c r="A182" s="0" t="s">
        <v>125</v>
      </c>
      <c r="B182" s="0" t="s">
        <v>126</v>
      </c>
      <c r="C182" s="0" t="s">
        <v>30</v>
      </c>
      <c r="D182" s="0" t="s">
        <v>31</v>
      </c>
      <c r="E182" s="0" t="n">
        <v>1</v>
      </c>
      <c r="F182" s="0" t="s">
        <v>32</v>
      </c>
      <c r="G182" s="0" t="s">
        <v>33</v>
      </c>
      <c r="H182" s="0" t="s">
        <v>33</v>
      </c>
      <c r="I182" s="0" t="s">
        <v>34</v>
      </c>
      <c r="J182" s="0" t="n">
        <v>1.15</v>
      </c>
      <c r="K182" s="0" t="s">
        <v>35</v>
      </c>
      <c r="L182" s="0" t="n">
        <f aca="false">INDEX(Summary!$F$2:$F$201,MATCH($B182,Summary!$A$2:$A$201,0))</f>
        <v>20</v>
      </c>
      <c r="M182" s="0" t="n">
        <f aca="false">INDEX(Summary!$I$2:$I$201,MATCH($B182,Summary!$A$2:$A$201,0))</f>
        <v>2</v>
      </c>
      <c r="N182" s="0" t="n">
        <f aca="false">INDEX(Summary!$J$2:$J$201,MATCH($B182,Summary!$A$2:$A$201,0))</f>
        <v>3</v>
      </c>
      <c r="O182" s="2" t="n">
        <f aca="false">INDEX(Summary!$K$2:$K$201,MATCH($B182,Summary!$A$2:$A$201,0))</f>
        <v>8.9</v>
      </c>
      <c r="P182" s="3" t="n">
        <f aca="false">INDEX(Summary!$L$2:$L$201,MATCH($B182,Summary!$A$2:$A$201,0))</f>
        <v>3</v>
      </c>
      <c r="Q182" s="3" t="n">
        <f aca="false">INDEX(Summary!$M$2:$M$201,MATCH($B182,Summary!$A$2:$A$201,0))</f>
        <v>3</v>
      </c>
      <c r="R182" s="2" t="n">
        <f aca="false">INDEX(Summary!$N$2:$N$201,MATCH($B182,Summary!$A$2:$A$201,0))</f>
        <v>10.2</v>
      </c>
      <c r="S182" s="3" t="n">
        <f aca="false">INDEX(Summary!$O$2:$O$201,MATCH($B182,Summary!$A$2:$A$201,0))</f>
        <v>7</v>
      </c>
      <c r="T182" s="3" t="n">
        <f aca="false">INDEX(Summary!$P$2:$P$201,MATCH($B182,Summary!$A$2:$A$201,0))</f>
        <v>2</v>
      </c>
      <c r="U182" s="2" t="n">
        <f aca="false">INDEX(Summary!$Q$2:$Q$201,MATCH($B182,Summary!$A$2:$A$201,0))</f>
        <v>13.13</v>
      </c>
      <c r="V182" s="2" t="n">
        <f aca="false">INDEX(Summary!$R$2:$R$201,MATCH($B182,Summary!$A$2:$A$201,0))</f>
        <v>22.04</v>
      </c>
      <c r="W182" s="0" t="str">
        <f aca="false">INDEX(Summary!$S$2:$S$201,MATCH($B182,Summary!$A$2:$A$201,0))</f>
        <v>Silver</v>
      </c>
      <c r="X182" s="2" t="n">
        <f aca="false">INDEX(Summary!$T$2:$T$201,MATCH($B182,Summary!$A$2:$A$201,0))</f>
        <v>53.76</v>
      </c>
      <c r="Y182" s="0" t="str">
        <f aca="false">INDEX('Reward Model'!$E$18:$E$37,MATCH($E182,'Reward Model'!$A$18:$A$37,0))</f>
        <v>Medium</v>
      </c>
      <c r="Z182" s="4" t="n">
        <f aca="false">ROUND(MIN(1,MAX('Reward Model'!$B$2,INDEX('Reward Model'!$C$12:$C$14,MATCH($K182,'Reward Model'!$A$12:$A$14,0))/$J182)),3)</f>
        <v>1</v>
      </c>
      <c r="AA182" s="2" t="n">
        <f aca="false">IF($I182="Correct",ROUND(INDEX('Reward Model'!$B$12:$B$14,MATCH($K182,'Reward Model'!$A$12:$A$14,0))*Z182,2),0)</f>
        <v>1</v>
      </c>
      <c r="AB182" s="2" t="n">
        <f aca="false">IF($I182="Correct",ROUND(INDEX('Reward Model'!$B$12:$B$14,MATCH($Y182,'Reward Model'!$A$12:$A$14,0))*Z182,2),0)</f>
        <v>2</v>
      </c>
    </row>
    <row r="183" customFormat="false" ht="15" hidden="false" customHeight="false" outlineLevel="0" collapsed="false">
      <c r="A183" s="0" t="s">
        <v>125</v>
      </c>
      <c r="B183" s="0" t="s">
        <v>126</v>
      </c>
      <c r="C183" s="0" t="s">
        <v>30</v>
      </c>
      <c r="D183" s="0" t="s">
        <v>31</v>
      </c>
      <c r="E183" s="0" t="n">
        <v>2</v>
      </c>
      <c r="F183" s="0" t="s">
        <v>36</v>
      </c>
      <c r="G183" s="0" t="s">
        <v>37</v>
      </c>
      <c r="H183" s="0" t="s">
        <v>38</v>
      </c>
      <c r="I183" s="0" t="s">
        <v>39</v>
      </c>
      <c r="J183" s="0" t="n">
        <v>1.38</v>
      </c>
      <c r="K183" s="0" t="s">
        <v>35</v>
      </c>
      <c r="L183" s="0" t="n">
        <f aca="false">INDEX(Summary!$F$2:$F$201,MATCH($B183,Summary!$A$2:$A$201,0))</f>
        <v>20</v>
      </c>
      <c r="M183" s="0" t="n">
        <f aca="false">INDEX(Summary!$I$2:$I$201,MATCH($B183,Summary!$A$2:$A$201,0))</f>
        <v>2</v>
      </c>
      <c r="N183" s="0" t="n">
        <f aca="false">INDEX(Summary!$J$2:$J$201,MATCH($B183,Summary!$A$2:$A$201,0))</f>
        <v>3</v>
      </c>
      <c r="O183" s="2" t="n">
        <f aca="false">INDEX(Summary!$K$2:$K$201,MATCH($B183,Summary!$A$2:$A$201,0))</f>
        <v>8.9</v>
      </c>
      <c r="P183" s="3" t="n">
        <f aca="false">INDEX(Summary!$L$2:$L$201,MATCH($B183,Summary!$A$2:$A$201,0))</f>
        <v>3</v>
      </c>
      <c r="Q183" s="3" t="n">
        <f aca="false">INDEX(Summary!$M$2:$M$201,MATCH($B183,Summary!$A$2:$A$201,0))</f>
        <v>3</v>
      </c>
      <c r="R183" s="2" t="n">
        <f aca="false">INDEX(Summary!$N$2:$N$201,MATCH($B183,Summary!$A$2:$A$201,0))</f>
        <v>10.2</v>
      </c>
      <c r="S183" s="3" t="n">
        <f aca="false">INDEX(Summary!$O$2:$O$201,MATCH($B183,Summary!$A$2:$A$201,0))</f>
        <v>7</v>
      </c>
      <c r="T183" s="3" t="n">
        <f aca="false">INDEX(Summary!$P$2:$P$201,MATCH($B183,Summary!$A$2:$A$201,0))</f>
        <v>2</v>
      </c>
      <c r="U183" s="2" t="n">
        <f aca="false">INDEX(Summary!$Q$2:$Q$201,MATCH($B183,Summary!$A$2:$A$201,0))</f>
        <v>13.13</v>
      </c>
      <c r="V183" s="2" t="n">
        <f aca="false">INDEX(Summary!$R$2:$R$201,MATCH($B183,Summary!$A$2:$A$201,0))</f>
        <v>22.04</v>
      </c>
      <c r="W183" s="0" t="str">
        <f aca="false">INDEX(Summary!$S$2:$S$201,MATCH($B183,Summary!$A$2:$A$201,0))</f>
        <v>Silver</v>
      </c>
      <c r="X183" s="2" t="n">
        <f aca="false">INDEX(Summary!$T$2:$T$201,MATCH($B183,Summary!$A$2:$A$201,0))</f>
        <v>53.76</v>
      </c>
      <c r="Y183" s="0" t="str">
        <f aca="false">INDEX('Reward Model'!$E$18:$E$37,MATCH($E183,'Reward Model'!$A$18:$A$37,0))</f>
        <v>Low</v>
      </c>
      <c r="Z183" s="4" t="n">
        <f aca="false">ROUND(MIN(1,MAX('Reward Model'!$B$2,INDEX('Reward Model'!$C$12:$C$14,MATCH($K183,'Reward Model'!$A$12:$A$14,0))/$J183)),3)</f>
        <v>1</v>
      </c>
      <c r="AA183" s="2" t="n">
        <f aca="false">IF($I183="Correct",ROUND(INDEX('Reward Model'!$B$12:$B$14,MATCH($K183,'Reward Model'!$A$12:$A$14,0))*Z183,2),0)</f>
        <v>0</v>
      </c>
      <c r="AB183" s="2" t="n">
        <f aca="false">IF($I183="Correct",ROUND(INDEX('Reward Model'!$B$12:$B$14,MATCH($Y183,'Reward Model'!$A$12:$A$14,0))*Z183,2),0)</f>
        <v>0</v>
      </c>
    </row>
    <row r="184" customFormat="false" ht="15" hidden="false" customHeight="false" outlineLevel="0" collapsed="false">
      <c r="A184" s="0" t="s">
        <v>125</v>
      </c>
      <c r="B184" s="0" t="s">
        <v>126</v>
      </c>
      <c r="C184" s="0" t="s">
        <v>30</v>
      </c>
      <c r="D184" s="0" t="s">
        <v>31</v>
      </c>
      <c r="E184" s="0" t="n">
        <v>3</v>
      </c>
      <c r="F184" s="0" t="s">
        <v>40</v>
      </c>
      <c r="G184" s="0" t="s">
        <v>42</v>
      </c>
      <c r="H184" s="0" t="s">
        <v>42</v>
      </c>
      <c r="I184" s="0" t="s">
        <v>34</v>
      </c>
      <c r="J184" s="0" t="n">
        <v>1.52</v>
      </c>
      <c r="K184" s="0" t="s">
        <v>35</v>
      </c>
      <c r="L184" s="0" t="n">
        <f aca="false">INDEX(Summary!$F$2:$F$201,MATCH($B184,Summary!$A$2:$A$201,0))</f>
        <v>20</v>
      </c>
      <c r="M184" s="0" t="n">
        <f aca="false">INDEX(Summary!$I$2:$I$201,MATCH($B184,Summary!$A$2:$A$201,0))</f>
        <v>2</v>
      </c>
      <c r="N184" s="0" t="n">
        <f aca="false">INDEX(Summary!$J$2:$J$201,MATCH($B184,Summary!$A$2:$A$201,0))</f>
        <v>3</v>
      </c>
      <c r="O184" s="2" t="n">
        <f aca="false">INDEX(Summary!$K$2:$K$201,MATCH($B184,Summary!$A$2:$A$201,0))</f>
        <v>8.9</v>
      </c>
      <c r="P184" s="3" t="n">
        <f aca="false">INDEX(Summary!$L$2:$L$201,MATCH($B184,Summary!$A$2:$A$201,0))</f>
        <v>3</v>
      </c>
      <c r="Q184" s="3" t="n">
        <f aca="false">INDEX(Summary!$M$2:$M$201,MATCH($B184,Summary!$A$2:$A$201,0))</f>
        <v>3</v>
      </c>
      <c r="R184" s="2" t="n">
        <f aca="false">INDEX(Summary!$N$2:$N$201,MATCH($B184,Summary!$A$2:$A$201,0))</f>
        <v>10.2</v>
      </c>
      <c r="S184" s="3" t="n">
        <f aca="false">INDEX(Summary!$O$2:$O$201,MATCH($B184,Summary!$A$2:$A$201,0))</f>
        <v>7</v>
      </c>
      <c r="T184" s="3" t="n">
        <f aca="false">INDEX(Summary!$P$2:$P$201,MATCH($B184,Summary!$A$2:$A$201,0))</f>
        <v>2</v>
      </c>
      <c r="U184" s="2" t="n">
        <f aca="false">INDEX(Summary!$Q$2:$Q$201,MATCH($B184,Summary!$A$2:$A$201,0))</f>
        <v>13.13</v>
      </c>
      <c r="V184" s="2" t="n">
        <f aca="false">INDEX(Summary!$R$2:$R$201,MATCH($B184,Summary!$A$2:$A$201,0))</f>
        <v>22.04</v>
      </c>
      <c r="W184" s="0" t="str">
        <f aca="false">INDEX(Summary!$S$2:$S$201,MATCH($B184,Summary!$A$2:$A$201,0))</f>
        <v>Silver</v>
      </c>
      <c r="X184" s="2" t="n">
        <f aca="false">INDEX(Summary!$T$2:$T$201,MATCH($B184,Summary!$A$2:$A$201,0))</f>
        <v>53.76</v>
      </c>
      <c r="Y184" s="0" t="str">
        <f aca="false">INDEX('Reward Model'!$E$18:$E$37,MATCH($E184,'Reward Model'!$A$18:$A$37,0))</f>
        <v>Medium</v>
      </c>
      <c r="Z184" s="4" t="n">
        <f aca="false">ROUND(MIN(1,MAX('Reward Model'!$B$2,INDEX('Reward Model'!$C$12:$C$14,MATCH($K184,'Reward Model'!$A$12:$A$14,0))/$J184)),3)</f>
        <v>0.987</v>
      </c>
      <c r="AA184" s="2" t="n">
        <f aca="false">IF($I184="Correct",ROUND(INDEX('Reward Model'!$B$12:$B$14,MATCH($K184,'Reward Model'!$A$12:$A$14,0))*Z184,2),0)</f>
        <v>0.99</v>
      </c>
      <c r="AB184" s="2" t="n">
        <f aca="false">IF($I184="Correct",ROUND(INDEX('Reward Model'!$B$12:$B$14,MATCH($Y184,'Reward Model'!$A$12:$A$14,0))*Z184,2),0)</f>
        <v>1.97</v>
      </c>
    </row>
    <row r="185" customFormat="false" ht="15" hidden="false" customHeight="false" outlineLevel="0" collapsed="false">
      <c r="A185" s="0" t="s">
        <v>125</v>
      </c>
      <c r="B185" s="0" t="s">
        <v>126</v>
      </c>
      <c r="C185" s="0" t="s">
        <v>30</v>
      </c>
      <c r="D185" s="0" t="s">
        <v>31</v>
      </c>
      <c r="E185" s="0" t="n">
        <v>4</v>
      </c>
      <c r="F185" s="0" t="s">
        <v>43</v>
      </c>
      <c r="G185" s="0" t="s">
        <v>45</v>
      </c>
      <c r="H185" s="0" t="s">
        <v>45</v>
      </c>
      <c r="I185" s="0" t="s">
        <v>34</v>
      </c>
      <c r="J185" s="0" t="n">
        <v>1.25</v>
      </c>
      <c r="K185" s="0" t="s">
        <v>35</v>
      </c>
      <c r="L185" s="0" t="n">
        <f aca="false">INDEX(Summary!$F$2:$F$201,MATCH($B185,Summary!$A$2:$A$201,0))</f>
        <v>20</v>
      </c>
      <c r="M185" s="0" t="n">
        <f aca="false">INDEX(Summary!$I$2:$I$201,MATCH($B185,Summary!$A$2:$A$201,0))</f>
        <v>2</v>
      </c>
      <c r="N185" s="0" t="n">
        <f aca="false">INDEX(Summary!$J$2:$J$201,MATCH($B185,Summary!$A$2:$A$201,0))</f>
        <v>3</v>
      </c>
      <c r="O185" s="2" t="n">
        <f aca="false">INDEX(Summary!$K$2:$K$201,MATCH($B185,Summary!$A$2:$A$201,0))</f>
        <v>8.9</v>
      </c>
      <c r="P185" s="3" t="n">
        <f aca="false">INDEX(Summary!$L$2:$L$201,MATCH($B185,Summary!$A$2:$A$201,0))</f>
        <v>3</v>
      </c>
      <c r="Q185" s="3" t="n">
        <f aca="false">INDEX(Summary!$M$2:$M$201,MATCH($B185,Summary!$A$2:$A$201,0))</f>
        <v>3</v>
      </c>
      <c r="R185" s="2" t="n">
        <f aca="false">INDEX(Summary!$N$2:$N$201,MATCH($B185,Summary!$A$2:$A$201,0))</f>
        <v>10.2</v>
      </c>
      <c r="S185" s="3" t="n">
        <f aca="false">INDEX(Summary!$O$2:$O$201,MATCH($B185,Summary!$A$2:$A$201,0))</f>
        <v>7</v>
      </c>
      <c r="T185" s="3" t="n">
        <f aca="false">INDEX(Summary!$P$2:$P$201,MATCH($B185,Summary!$A$2:$A$201,0))</f>
        <v>2</v>
      </c>
      <c r="U185" s="2" t="n">
        <f aca="false">INDEX(Summary!$Q$2:$Q$201,MATCH($B185,Summary!$A$2:$A$201,0))</f>
        <v>13.13</v>
      </c>
      <c r="V185" s="2" t="n">
        <f aca="false">INDEX(Summary!$R$2:$R$201,MATCH($B185,Summary!$A$2:$A$201,0))</f>
        <v>22.04</v>
      </c>
      <c r="W185" s="0" t="str">
        <f aca="false">INDEX(Summary!$S$2:$S$201,MATCH($B185,Summary!$A$2:$A$201,0))</f>
        <v>Silver</v>
      </c>
      <c r="X185" s="2" t="n">
        <f aca="false">INDEX(Summary!$T$2:$T$201,MATCH($B185,Summary!$A$2:$A$201,0))</f>
        <v>53.76</v>
      </c>
      <c r="Y185" s="0" t="str">
        <f aca="false">INDEX('Reward Model'!$E$18:$E$37,MATCH($E185,'Reward Model'!$A$18:$A$37,0))</f>
        <v>Low</v>
      </c>
      <c r="Z185" s="4" t="n">
        <f aca="false">ROUND(MIN(1,MAX('Reward Model'!$B$2,INDEX('Reward Model'!$C$12:$C$14,MATCH($K185,'Reward Model'!$A$12:$A$14,0))/$J185)),3)</f>
        <v>1</v>
      </c>
      <c r="AA185" s="2" t="n">
        <f aca="false">IF($I185="Correct",ROUND(INDEX('Reward Model'!$B$12:$B$14,MATCH($K185,'Reward Model'!$A$12:$A$14,0))*Z185,2),0)</f>
        <v>1</v>
      </c>
      <c r="AB185" s="2" t="n">
        <f aca="false">IF($I185="Correct",ROUND(INDEX('Reward Model'!$B$12:$B$14,MATCH($Y185,'Reward Model'!$A$12:$A$14,0))*Z185,2),0)</f>
        <v>1</v>
      </c>
    </row>
    <row r="186" customFormat="false" ht="15" hidden="false" customHeight="false" outlineLevel="0" collapsed="false">
      <c r="A186" s="0" t="s">
        <v>125</v>
      </c>
      <c r="B186" s="0" t="s">
        <v>126</v>
      </c>
      <c r="C186" s="0" t="s">
        <v>30</v>
      </c>
      <c r="D186" s="0" t="s">
        <v>31</v>
      </c>
      <c r="E186" s="0" t="n">
        <v>5</v>
      </c>
      <c r="F186" s="0" t="s">
        <v>46</v>
      </c>
      <c r="G186" s="0" t="s">
        <v>47</v>
      </c>
      <c r="H186" s="0" t="s">
        <v>47</v>
      </c>
      <c r="I186" s="0" t="s">
        <v>34</v>
      </c>
      <c r="J186" s="0" t="n">
        <v>1.89</v>
      </c>
      <c r="K186" s="0" t="s">
        <v>35</v>
      </c>
      <c r="L186" s="0" t="n">
        <f aca="false">INDEX(Summary!$F$2:$F$201,MATCH($B186,Summary!$A$2:$A$201,0))</f>
        <v>20</v>
      </c>
      <c r="M186" s="0" t="n">
        <f aca="false">INDEX(Summary!$I$2:$I$201,MATCH($B186,Summary!$A$2:$A$201,0))</f>
        <v>2</v>
      </c>
      <c r="N186" s="0" t="n">
        <f aca="false">INDEX(Summary!$J$2:$J$201,MATCH($B186,Summary!$A$2:$A$201,0))</f>
        <v>3</v>
      </c>
      <c r="O186" s="2" t="n">
        <f aca="false">INDEX(Summary!$K$2:$K$201,MATCH($B186,Summary!$A$2:$A$201,0))</f>
        <v>8.9</v>
      </c>
      <c r="P186" s="3" t="n">
        <f aca="false">INDEX(Summary!$L$2:$L$201,MATCH($B186,Summary!$A$2:$A$201,0))</f>
        <v>3</v>
      </c>
      <c r="Q186" s="3" t="n">
        <f aca="false">INDEX(Summary!$M$2:$M$201,MATCH($B186,Summary!$A$2:$A$201,0))</f>
        <v>3</v>
      </c>
      <c r="R186" s="2" t="n">
        <f aca="false">INDEX(Summary!$N$2:$N$201,MATCH($B186,Summary!$A$2:$A$201,0))</f>
        <v>10.2</v>
      </c>
      <c r="S186" s="3" t="n">
        <f aca="false">INDEX(Summary!$O$2:$O$201,MATCH($B186,Summary!$A$2:$A$201,0))</f>
        <v>7</v>
      </c>
      <c r="T186" s="3" t="n">
        <f aca="false">INDEX(Summary!$P$2:$P$201,MATCH($B186,Summary!$A$2:$A$201,0))</f>
        <v>2</v>
      </c>
      <c r="U186" s="2" t="n">
        <f aca="false">INDEX(Summary!$Q$2:$Q$201,MATCH($B186,Summary!$A$2:$A$201,0))</f>
        <v>13.13</v>
      </c>
      <c r="V186" s="2" t="n">
        <f aca="false">INDEX(Summary!$R$2:$R$201,MATCH($B186,Summary!$A$2:$A$201,0))</f>
        <v>22.04</v>
      </c>
      <c r="W186" s="0" t="str">
        <f aca="false">INDEX(Summary!$S$2:$S$201,MATCH($B186,Summary!$A$2:$A$201,0))</f>
        <v>Silver</v>
      </c>
      <c r="X186" s="2" t="n">
        <f aca="false">INDEX(Summary!$T$2:$T$201,MATCH($B186,Summary!$A$2:$A$201,0))</f>
        <v>53.76</v>
      </c>
      <c r="Y186" s="0" t="str">
        <f aca="false">INDEX('Reward Model'!$E$18:$E$37,MATCH($E186,'Reward Model'!$A$18:$A$37,0))</f>
        <v>Low</v>
      </c>
      <c r="Z186" s="4" t="n">
        <f aca="false">ROUND(MIN(1,MAX('Reward Model'!$B$2,INDEX('Reward Model'!$C$12:$C$14,MATCH($K186,'Reward Model'!$A$12:$A$14,0))/$J186)),3)</f>
        <v>0.794</v>
      </c>
      <c r="AA186" s="2" t="n">
        <f aca="false">IF($I186="Correct",ROUND(INDEX('Reward Model'!$B$12:$B$14,MATCH($K186,'Reward Model'!$A$12:$A$14,0))*Z186,2),0)</f>
        <v>0.79</v>
      </c>
      <c r="AB186" s="2" t="n">
        <f aca="false">IF($I186="Correct",ROUND(INDEX('Reward Model'!$B$12:$B$14,MATCH($Y186,'Reward Model'!$A$12:$A$14,0))*Z186,2),0)</f>
        <v>0.79</v>
      </c>
    </row>
    <row r="187" customFormat="false" ht="15" hidden="false" customHeight="false" outlineLevel="0" collapsed="false">
      <c r="A187" s="0" t="s">
        <v>125</v>
      </c>
      <c r="B187" s="0" t="s">
        <v>126</v>
      </c>
      <c r="C187" s="0" t="s">
        <v>30</v>
      </c>
      <c r="D187" s="0" t="s">
        <v>31</v>
      </c>
      <c r="E187" s="0" t="n">
        <v>6</v>
      </c>
      <c r="F187" s="0" t="s">
        <v>48</v>
      </c>
      <c r="G187" s="0" t="s">
        <v>49</v>
      </c>
      <c r="H187" s="0" t="s">
        <v>49</v>
      </c>
      <c r="I187" s="0" t="s">
        <v>34</v>
      </c>
      <c r="J187" s="0" t="n">
        <v>1.62</v>
      </c>
      <c r="K187" s="0" t="s">
        <v>35</v>
      </c>
      <c r="L187" s="0" t="n">
        <f aca="false">INDEX(Summary!$F$2:$F$201,MATCH($B187,Summary!$A$2:$A$201,0))</f>
        <v>20</v>
      </c>
      <c r="M187" s="0" t="n">
        <f aca="false">INDEX(Summary!$I$2:$I$201,MATCH($B187,Summary!$A$2:$A$201,0))</f>
        <v>2</v>
      </c>
      <c r="N187" s="0" t="n">
        <f aca="false">INDEX(Summary!$J$2:$J$201,MATCH($B187,Summary!$A$2:$A$201,0))</f>
        <v>3</v>
      </c>
      <c r="O187" s="2" t="n">
        <f aca="false">INDEX(Summary!$K$2:$K$201,MATCH($B187,Summary!$A$2:$A$201,0))</f>
        <v>8.9</v>
      </c>
      <c r="P187" s="3" t="n">
        <f aca="false">INDEX(Summary!$L$2:$L$201,MATCH($B187,Summary!$A$2:$A$201,0))</f>
        <v>3</v>
      </c>
      <c r="Q187" s="3" t="n">
        <f aca="false">INDEX(Summary!$M$2:$M$201,MATCH($B187,Summary!$A$2:$A$201,0))</f>
        <v>3</v>
      </c>
      <c r="R187" s="2" t="n">
        <f aca="false">INDEX(Summary!$N$2:$N$201,MATCH($B187,Summary!$A$2:$A$201,0))</f>
        <v>10.2</v>
      </c>
      <c r="S187" s="3" t="n">
        <f aca="false">INDEX(Summary!$O$2:$O$201,MATCH($B187,Summary!$A$2:$A$201,0))</f>
        <v>7</v>
      </c>
      <c r="T187" s="3" t="n">
        <f aca="false">INDEX(Summary!$P$2:$P$201,MATCH($B187,Summary!$A$2:$A$201,0))</f>
        <v>2</v>
      </c>
      <c r="U187" s="2" t="n">
        <f aca="false">INDEX(Summary!$Q$2:$Q$201,MATCH($B187,Summary!$A$2:$A$201,0))</f>
        <v>13.13</v>
      </c>
      <c r="V187" s="2" t="n">
        <f aca="false">INDEX(Summary!$R$2:$R$201,MATCH($B187,Summary!$A$2:$A$201,0))</f>
        <v>22.04</v>
      </c>
      <c r="W187" s="0" t="str">
        <f aca="false">INDEX(Summary!$S$2:$S$201,MATCH($B187,Summary!$A$2:$A$201,0))</f>
        <v>Silver</v>
      </c>
      <c r="X187" s="2" t="n">
        <f aca="false">INDEX(Summary!$T$2:$T$201,MATCH($B187,Summary!$A$2:$A$201,0))</f>
        <v>53.76</v>
      </c>
      <c r="Y187" s="0" t="str">
        <f aca="false">INDEX('Reward Model'!$E$18:$E$37,MATCH($E187,'Reward Model'!$A$18:$A$37,0))</f>
        <v>Medium</v>
      </c>
      <c r="Z187" s="4" t="n">
        <f aca="false">ROUND(MIN(1,MAX('Reward Model'!$B$2,INDEX('Reward Model'!$C$12:$C$14,MATCH($K187,'Reward Model'!$A$12:$A$14,0))/$J187)),3)</f>
        <v>0.926</v>
      </c>
      <c r="AA187" s="2" t="n">
        <f aca="false">IF($I187="Correct",ROUND(INDEX('Reward Model'!$B$12:$B$14,MATCH($K187,'Reward Model'!$A$12:$A$14,0))*Z187,2),0)</f>
        <v>0.93</v>
      </c>
      <c r="AB187" s="2" t="n">
        <f aca="false">IF($I187="Correct",ROUND(INDEX('Reward Model'!$B$12:$B$14,MATCH($Y187,'Reward Model'!$A$12:$A$14,0))*Z187,2),0)</f>
        <v>1.85</v>
      </c>
    </row>
    <row r="188" customFormat="false" ht="15" hidden="false" customHeight="false" outlineLevel="0" collapsed="false">
      <c r="A188" s="0" t="s">
        <v>125</v>
      </c>
      <c r="B188" s="0" t="s">
        <v>126</v>
      </c>
      <c r="C188" s="0" t="s">
        <v>30</v>
      </c>
      <c r="D188" s="0" t="s">
        <v>31</v>
      </c>
      <c r="E188" s="0" t="n">
        <v>7</v>
      </c>
      <c r="F188" s="0" t="s">
        <v>50</v>
      </c>
      <c r="G188" s="0" t="s">
        <v>51</v>
      </c>
      <c r="H188" s="0" t="s">
        <v>51</v>
      </c>
      <c r="I188" s="0" t="s">
        <v>34</v>
      </c>
      <c r="J188" s="0" t="n">
        <v>1.44</v>
      </c>
      <c r="K188" s="0" t="s">
        <v>35</v>
      </c>
      <c r="L188" s="0" t="n">
        <f aca="false">INDEX(Summary!$F$2:$F$201,MATCH($B188,Summary!$A$2:$A$201,0))</f>
        <v>20</v>
      </c>
      <c r="M188" s="0" t="n">
        <f aca="false">INDEX(Summary!$I$2:$I$201,MATCH($B188,Summary!$A$2:$A$201,0))</f>
        <v>2</v>
      </c>
      <c r="N188" s="0" t="n">
        <f aca="false">INDEX(Summary!$J$2:$J$201,MATCH($B188,Summary!$A$2:$A$201,0))</f>
        <v>3</v>
      </c>
      <c r="O188" s="2" t="n">
        <f aca="false">INDEX(Summary!$K$2:$K$201,MATCH($B188,Summary!$A$2:$A$201,0))</f>
        <v>8.9</v>
      </c>
      <c r="P188" s="3" t="n">
        <f aca="false">INDEX(Summary!$L$2:$L$201,MATCH($B188,Summary!$A$2:$A$201,0))</f>
        <v>3</v>
      </c>
      <c r="Q188" s="3" t="n">
        <f aca="false">INDEX(Summary!$M$2:$M$201,MATCH($B188,Summary!$A$2:$A$201,0))</f>
        <v>3</v>
      </c>
      <c r="R188" s="2" t="n">
        <f aca="false">INDEX(Summary!$N$2:$N$201,MATCH($B188,Summary!$A$2:$A$201,0))</f>
        <v>10.2</v>
      </c>
      <c r="S188" s="3" t="n">
        <f aca="false">INDEX(Summary!$O$2:$O$201,MATCH($B188,Summary!$A$2:$A$201,0))</f>
        <v>7</v>
      </c>
      <c r="T188" s="3" t="n">
        <f aca="false">INDEX(Summary!$P$2:$P$201,MATCH($B188,Summary!$A$2:$A$201,0))</f>
        <v>2</v>
      </c>
      <c r="U188" s="2" t="n">
        <f aca="false">INDEX(Summary!$Q$2:$Q$201,MATCH($B188,Summary!$A$2:$A$201,0))</f>
        <v>13.13</v>
      </c>
      <c r="V188" s="2" t="n">
        <f aca="false">INDEX(Summary!$R$2:$R$201,MATCH($B188,Summary!$A$2:$A$201,0))</f>
        <v>22.04</v>
      </c>
      <c r="W188" s="0" t="str">
        <f aca="false">INDEX(Summary!$S$2:$S$201,MATCH($B188,Summary!$A$2:$A$201,0))</f>
        <v>Silver</v>
      </c>
      <c r="X188" s="2" t="n">
        <f aca="false">INDEX(Summary!$T$2:$T$201,MATCH($B188,Summary!$A$2:$A$201,0))</f>
        <v>53.76</v>
      </c>
      <c r="Y188" s="0" t="str">
        <f aca="false">INDEX('Reward Model'!$E$18:$E$37,MATCH($E188,'Reward Model'!$A$18:$A$37,0))</f>
        <v>Low</v>
      </c>
      <c r="Z188" s="4" t="n">
        <f aca="false">ROUND(MIN(1,MAX('Reward Model'!$B$2,INDEX('Reward Model'!$C$12:$C$14,MATCH($K188,'Reward Model'!$A$12:$A$14,0))/$J188)),3)</f>
        <v>1</v>
      </c>
      <c r="AA188" s="2" t="n">
        <f aca="false">IF($I188="Correct",ROUND(INDEX('Reward Model'!$B$12:$B$14,MATCH($K188,'Reward Model'!$A$12:$A$14,0))*Z188,2),0)</f>
        <v>1</v>
      </c>
      <c r="AB188" s="2" t="n">
        <f aca="false">IF($I188="Correct",ROUND(INDEX('Reward Model'!$B$12:$B$14,MATCH($Y188,'Reward Model'!$A$12:$A$14,0))*Z188,2),0)</f>
        <v>1</v>
      </c>
    </row>
    <row r="189" customFormat="false" ht="15" hidden="false" customHeight="false" outlineLevel="0" collapsed="false">
      <c r="A189" s="0" t="s">
        <v>125</v>
      </c>
      <c r="B189" s="0" t="s">
        <v>126</v>
      </c>
      <c r="C189" s="0" t="s">
        <v>30</v>
      </c>
      <c r="D189" s="0" t="s">
        <v>31</v>
      </c>
      <c r="E189" s="0" t="n">
        <v>8</v>
      </c>
      <c r="F189" s="0" t="s">
        <v>52</v>
      </c>
      <c r="G189" s="0" t="s">
        <v>53</v>
      </c>
      <c r="H189" s="0" t="s">
        <v>54</v>
      </c>
      <c r="I189" s="0" t="s">
        <v>39</v>
      </c>
      <c r="J189" s="0" t="n">
        <v>1.09</v>
      </c>
      <c r="K189" s="0" t="s">
        <v>35</v>
      </c>
      <c r="L189" s="0" t="n">
        <f aca="false">INDEX(Summary!$F$2:$F$201,MATCH($B189,Summary!$A$2:$A$201,0))</f>
        <v>20</v>
      </c>
      <c r="M189" s="0" t="n">
        <f aca="false">INDEX(Summary!$I$2:$I$201,MATCH($B189,Summary!$A$2:$A$201,0))</f>
        <v>2</v>
      </c>
      <c r="N189" s="0" t="n">
        <f aca="false">INDEX(Summary!$J$2:$J$201,MATCH($B189,Summary!$A$2:$A$201,0))</f>
        <v>3</v>
      </c>
      <c r="O189" s="2" t="n">
        <f aca="false">INDEX(Summary!$K$2:$K$201,MATCH($B189,Summary!$A$2:$A$201,0))</f>
        <v>8.9</v>
      </c>
      <c r="P189" s="3" t="n">
        <f aca="false">INDEX(Summary!$L$2:$L$201,MATCH($B189,Summary!$A$2:$A$201,0))</f>
        <v>3</v>
      </c>
      <c r="Q189" s="3" t="n">
        <f aca="false">INDEX(Summary!$M$2:$M$201,MATCH($B189,Summary!$A$2:$A$201,0))</f>
        <v>3</v>
      </c>
      <c r="R189" s="2" t="n">
        <f aca="false">INDEX(Summary!$N$2:$N$201,MATCH($B189,Summary!$A$2:$A$201,0))</f>
        <v>10.2</v>
      </c>
      <c r="S189" s="3" t="n">
        <f aca="false">INDEX(Summary!$O$2:$O$201,MATCH($B189,Summary!$A$2:$A$201,0))</f>
        <v>7</v>
      </c>
      <c r="T189" s="3" t="n">
        <f aca="false">INDEX(Summary!$P$2:$P$201,MATCH($B189,Summary!$A$2:$A$201,0))</f>
        <v>2</v>
      </c>
      <c r="U189" s="2" t="n">
        <f aca="false">INDEX(Summary!$Q$2:$Q$201,MATCH($B189,Summary!$A$2:$A$201,0))</f>
        <v>13.13</v>
      </c>
      <c r="V189" s="2" t="n">
        <f aca="false">INDEX(Summary!$R$2:$R$201,MATCH($B189,Summary!$A$2:$A$201,0))</f>
        <v>22.04</v>
      </c>
      <c r="W189" s="0" t="str">
        <f aca="false">INDEX(Summary!$S$2:$S$201,MATCH($B189,Summary!$A$2:$A$201,0))</f>
        <v>Silver</v>
      </c>
      <c r="X189" s="2" t="n">
        <f aca="false">INDEX(Summary!$T$2:$T$201,MATCH($B189,Summary!$A$2:$A$201,0))</f>
        <v>53.76</v>
      </c>
      <c r="Y189" s="0" t="str">
        <f aca="false">INDEX('Reward Model'!$E$18:$E$37,MATCH($E189,'Reward Model'!$A$18:$A$37,0))</f>
        <v>Medium</v>
      </c>
      <c r="Z189" s="4" t="n">
        <f aca="false">ROUND(MIN(1,MAX('Reward Model'!$B$2,INDEX('Reward Model'!$C$12:$C$14,MATCH($K189,'Reward Model'!$A$12:$A$14,0))/$J189)),3)</f>
        <v>1</v>
      </c>
      <c r="AA189" s="2" t="n">
        <f aca="false">IF($I189="Correct",ROUND(INDEX('Reward Model'!$B$12:$B$14,MATCH($K189,'Reward Model'!$A$12:$A$14,0))*Z189,2),0)</f>
        <v>0</v>
      </c>
      <c r="AB189" s="2" t="n">
        <f aca="false">IF($I189="Correct",ROUND(INDEX('Reward Model'!$B$12:$B$14,MATCH($Y189,'Reward Model'!$A$12:$A$14,0))*Z189,2),0)</f>
        <v>0</v>
      </c>
    </row>
    <row r="190" customFormat="false" ht="15" hidden="false" customHeight="false" outlineLevel="0" collapsed="false">
      <c r="A190" s="0" t="s">
        <v>125</v>
      </c>
      <c r="B190" s="0" t="s">
        <v>126</v>
      </c>
      <c r="C190" s="0" t="s">
        <v>30</v>
      </c>
      <c r="D190" s="0" t="s">
        <v>31</v>
      </c>
      <c r="E190" s="0" t="n">
        <v>9</v>
      </c>
      <c r="F190" s="0" t="s">
        <v>55</v>
      </c>
      <c r="G190" s="0" t="s">
        <v>57</v>
      </c>
      <c r="H190" s="0" t="s">
        <v>57</v>
      </c>
      <c r="I190" s="0" t="s">
        <v>34</v>
      </c>
      <c r="J190" s="0" t="n">
        <v>1.79</v>
      </c>
      <c r="K190" s="0" t="s">
        <v>35</v>
      </c>
      <c r="L190" s="0" t="n">
        <f aca="false">INDEX(Summary!$F$2:$F$201,MATCH($B190,Summary!$A$2:$A$201,0))</f>
        <v>20</v>
      </c>
      <c r="M190" s="0" t="n">
        <f aca="false">INDEX(Summary!$I$2:$I$201,MATCH($B190,Summary!$A$2:$A$201,0))</f>
        <v>2</v>
      </c>
      <c r="N190" s="0" t="n">
        <f aca="false">INDEX(Summary!$J$2:$J$201,MATCH($B190,Summary!$A$2:$A$201,0))</f>
        <v>3</v>
      </c>
      <c r="O190" s="2" t="n">
        <f aca="false">INDEX(Summary!$K$2:$K$201,MATCH($B190,Summary!$A$2:$A$201,0))</f>
        <v>8.9</v>
      </c>
      <c r="P190" s="3" t="n">
        <f aca="false">INDEX(Summary!$L$2:$L$201,MATCH($B190,Summary!$A$2:$A$201,0))</f>
        <v>3</v>
      </c>
      <c r="Q190" s="3" t="n">
        <f aca="false">INDEX(Summary!$M$2:$M$201,MATCH($B190,Summary!$A$2:$A$201,0))</f>
        <v>3</v>
      </c>
      <c r="R190" s="2" t="n">
        <f aca="false">INDEX(Summary!$N$2:$N$201,MATCH($B190,Summary!$A$2:$A$201,0))</f>
        <v>10.2</v>
      </c>
      <c r="S190" s="3" t="n">
        <f aca="false">INDEX(Summary!$O$2:$O$201,MATCH($B190,Summary!$A$2:$A$201,0))</f>
        <v>7</v>
      </c>
      <c r="T190" s="3" t="n">
        <f aca="false">INDEX(Summary!$P$2:$P$201,MATCH($B190,Summary!$A$2:$A$201,0))</f>
        <v>2</v>
      </c>
      <c r="U190" s="2" t="n">
        <f aca="false">INDEX(Summary!$Q$2:$Q$201,MATCH($B190,Summary!$A$2:$A$201,0))</f>
        <v>13.13</v>
      </c>
      <c r="V190" s="2" t="n">
        <f aca="false">INDEX(Summary!$R$2:$R$201,MATCH($B190,Summary!$A$2:$A$201,0))</f>
        <v>22.04</v>
      </c>
      <c r="W190" s="0" t="str">
        <f aca="false">INDEX(Summary!$S$2:$S$201,MATCH($B190,Summary!$A$2:$A$201,0))</f>
        <v>Silver</v>
      </c>
      <c r="X190" s="2" t="n">
        <f aca="false">INDEX(Summary!$T$2:$T$201,MATCH($B190,Summary!$A$2:$A$201,0))</f>
        <v>53.76</v>
      </c>
      <c r="Y190" s="0" t="str">
        <f aca="false">INDEX('Reward Model'!$E$18:$E$37,MATCH($E190,'Reward Model'!$A$18:$A$37,0))</f>
        <v>Medium</v>
      </c>
      <c r="Z190" s="4" t="n">
        <f aca="false">ROUND(MIN(1,MAX('Reward Model'!$B$2,INDEX('Reward Model'!$C$12:$C$14,MATCH($K190,'Reward Model'!$A$12:$A$14,0))/$J190)),3)</f>
        <v>0.838</v>
      </c>
      <c r="AA190" s="2" t="n">
        <f aca="false">IF($I190="Correct",ROUND(INDEX('Reward Model'!$B$12:$B$14,MATCH($K190,'Reward Model'!$A$12:$A$14,0))*Z190,2),0)</f>
        <v>0.84</v>
      </c>
      <c r="AB190" s="2" t="n">
        <f aca="false">IF($I190="Correct",ROUND(INDEX('Reward Model'!$B$12:$B$14,MATCH($Y190,'Reward Model'!$A$12:$A$14,0))*Z190,2),0)</f>
        <v>1.68</v>
      </c>
    </row>
    <row r="191" customFormat="false" ht="15" hidden="false" customHeight="false" outlineLevel="0" collapsed="false">
      <c r="A191" s="0" t="s">
        <v>125</v>
      </c>
      <c r="B191" s="0" t="s">
        <v>126</v>
      </c>
      <c r="C191" s="0" t="s">
        <v>30</v>
      </c>
      <c r="D191" s="0" t="s">
        <v>31</v>
      </c>
      <c r="E191" s="0" t="n">
        <v>10</v>
      </c>
      <c r="F191" s="0" t="s">
        <v>58</v>
      </c>
      <c r="G191" s="0" t="s">
        <v>59</v>
      </c>
      <c r="H191" s="0" t="s">
        <v>59</v>
      </c>
      <c r="I191" s="0" t="s">
        <v>34</v>
      </c>
      <c r="J191" s="0" t="n">
        <v>1.36</v>
      </c>
      <c r="K191" s="0" t="s">
        <v>60</v>
      </c>
      <c r="L191" s="0" t="n">
        <f aca="false">INDEX(Summary!$F$2:$F$201,MATCH($B191,Summary!$A$2:$A$201,0))</f>
        <v>20</v>
      </c>
      <c r="M191" s="0" t="n">
        <f aca="false">INDEX(Summary!$I$2:$I$201,MATCH($B191,Summary!$A$2:$A$201,0))</f>
        <v>2</v>
      </c>
      <c r="N191" s="0" t="n">
        <f aca="false">INDEX(Summary!$J$2:$J$201,MATCH($B191,Summary!$A$2:$A$201,0))</f>
        <v>3</v>
      </c>
      <c r="O191" s="2" t="n">
        <f aca="false">INDEX(Summary!$K$2:$K$201,MATCH($B191,Summary!$A$2:$A$201,0))</f>
        <v>8.9</v>
      </c>
      <c r="P191" s="3" t="n">
        <f aca="false">INDEX(Summary!$L$2:$L$201,MATCH($B191,Summary!$A$2:$A$201,0))</f>
        <v>3</v>
      </c>
      <c r="Q191" s="3" t="n">
        <f aca="false">INDEX(Summary!$M$2:$M$201,MATCH($B191,Summary!$A$2:$A$201,0))</f>
        <v>3</v>
      </c>
      <c r="R191" s="2" t="n">
        <f aca="false">INDEX(Summary!$N$2:$N$201,MATCH($B191,Summary!$A$2:$A$201,0))</f>
        <v>10.2</v>
      </c>
      <c r="S191" s="3" t="n">
        <f aca="false">INDEX(Summary!$O$2:$O$201,MATCH($B191,Summary!$A$2:$A$201,0))</f>
        <v>7</v>
      </c>
      <c r="T191" s="3" t="n">
        <f aca="false">INDEX(Summary!$P$2:$P$201,MATCH($B191,Summary!$A$2:$A$201,0))</f>
        <v>2</v>
      </c>
      <c r="U191" s="2" t="n">
        <f aca="false">INDEX(Summary!$Q$2:$Q$201,MATCH($B191,Summary!$A$2:$A$201,0))</f>
        <v>13.13</v>
      </c>
      <c r="V191" s="2" t="n">
        <f aca="false">INDEX(Summary!$R$2:$R$201,MATCH($B191,Summary!$A$2:$A$201,0))</f>
        <v>22.04</v>
      </c>
      <c r="W191" s="0" t="str">
        <f aca="false">INDEX(Summary!$S$2:$S$201,MATCH($B191,Summary!$A$2:$A$201,0))</f>
        <v>Silver</v>
      </c>
      <c r="X191" s="2" t="n">
        <f aca="false">INDEX(Summary!$T$2:$T$201,MATCH($B191,Summary!$A$2:$A$201,0))</f>
        <v>53.76</v>
      </c>
      <c r="Y191" s="0" t="str">
        <f aca="false">INDEX('Reward Model'!$E$18:$E$37,MATCH($E191,'Reward Model'!$A$18:$A$37,0))</f>
        <v>Medium</v>
      </c>
      <c r="Z191" s="4" t="n">
        <f aca="false">ROUND(MIN(1,MAX('Reward Model'!$B$2,INDEX('Reward Model'!$C$12:$C$14,MATCH($K191,'Reward Model'!$A$12:$A$14,0))/$J191)),3)</f>
        <v>1</v>
      </c>
      <c r="AA191" s="2" t="n">
        <f aca="false">IF($I191="Correct",ROUND(INDEX('Reward Model'!$B$12:$B$14,MATCH($K191,'Reward Model'!$A$12:$A$14,0))*Z191,2),0)</f>
        <v>2</v>
      </c>
      <c r="AB191" s="2" t="n">
        <f aca="false">IF($I191="Correct",ROUND(INDEX('Reward Model'!$B$12:$B$14,MATCH($Y191,'Reward Model'!$A$12:$A$14,0))*Z191,2),0)</f>
        <v>2</v>
      </c>
    </row>
    <row r="192" customFormat="false" ht="15" hidden="false" customHeight="false" outlineLevel="0" collapsed="false">
      <c r="A192" s="0" t="s">
        <v>125</v>
      </c>
      <c r="B192" s="0" t="s">
        <v>126</v>
      </c>
      <c r="C192" s="0" t="s">
        <v>30</v>
      </c>
      <c r="D192" s="0" t="s">
        <v>31</v>
      </c>
      <c r="E192" s="0" t="n">
        <v>11</v>
      </c>
      <c r="F192" s="0" t="s">
        <v>61</v>
      </c>
      <c r="G192" s="0" t="s">
        <v>62</v>
      </c>
      <c r="H192" s="0" t="s">
        <v>63</v>
      </c>
      <c r="I192" s="0" t="s">
        <v>39</v>
      </c>
      <c r="J192" s="0" t="n">
        <v>2.2</v>
      </c>
      <c r="K192" s="0" t="s">
        <v>60</v>
      </c>
      <c r="L192" s="0" t="n">
        <f aca="false">INDEX(Summary!$F$2:$F$201,MATCH($B192,Summary!$A$2:$A$201,0))</f>
        <v>20</v>
      </c>
      <c r="M192" s="0" t="n">
        <f aca="false">INDEX(Summary!$I$2:$I$201,MATCH($B192,Summary!$A$2:$A$201,0))</f>
        <v>2</v>
      </c>
      <c r="N192" s="0" t="n">
        <f aca="false">INDEX(Summary!$J$2:$J$201,MATCH($B192,Summary!$A$2:$A$201,0))</f>
        <v>3</v>
      </c>
      <c r="O192" s="2" t="n">
        <f aca="false">INDEX(Summary!$K$2:$K$201,MATCH($B192,Summary!$A$2:$A$201,0))</f>
        <v>8.9</v>
      </c>
      <c r="P192" s="3" t="n">
        <f aca="false">INDEX(Summary!$L$2:$L$201,MATCH($B192,Summary!$A$2:$A$201,0))</f>
        <v>3</v>
      </c>
      <c r="Q192" s="3" t="n">
        <f aca="false">INDEX(Summary!$M$2:$M$201,MATCH($B192,Summary!$A$2:$A$201,0))</f>
        <v>3</v>
      </c>
      <c r="R192" s="2" t="n">
        <f aca="false">INDEX(Summary!$N$2:$N$201,MATCH($B192,Summary!$A$2:$A$201,0))</f>
        <v>10.2</v>
      </c>
      <c r="S192" s="3" t="n">
        <f aca="false">INDEX(Summary!$O$2:$O$201,MATCH($B192,Summary!$A$2:$A$201,0))</f>
        <v>7</v>
      </c>
      <c r="T192" s="3" t="n">
        <f aca="false">INDEX(Summary!$P$2:$P$201,MATCH($B192,Summary!$A$2:$A$201,0))</f>
        <v>2</v>
      </c>
      <c r="U192" s="2" t="n">
        <f aca="false">INDEX(Summary!$Q$2:$Q$201,MATCH($B192,Summary!$A$2:$A$201,0))</f>
        <v>13.13</v>
      </c>
      <c r="V192" s="2" t="n">
        <f aca="false">INDEX(Summary!$R$2:$R$201,MATCH($B192,Summary!$A$2:$A$201,0))</f>
        <v>22.04</v>
      </c>
      <c r="W192" s="0" t="str">
        <f aca="false">INDEX(Summary!$S$2:$S$201,MATCH($B192,Summary!$A$2:$A$201,0))</f>
        <v>Silver</v>
      </c>
      <c r="X192" s="2" t="n">
        <f aca="false">INDEX(Summary!$T$2:$T$201,MATCH($B192,Summary!$A$2:$A$201,0))</f>
        <v>53.76</v>
      </c>
      <c r="Y192" s="0" t="str">
        <f aca="false">INDEX('Reward Model'!$E$18:$E$37,MATCH($E192,'Reward Model'!$A$18:$A$37,0))</f>
        <v>Medium</v>
      </c>
      <c r="Z192" s="4" t="n">
        <f aca="false">ROUND(MIN(1,MAX('Reward Model'!$B$2,INDEX('Reward Model'!$C$12:$C$14,MATCH($K192,'Reward Model'!$A$12:$A$14,0))/$J192)),3)</f>
        <v>0.818</v>
      </c>
      <c r="AA192" s="2" t="n">
        <f aca="false">IF($I192="Correct",ROUND(INDEX('Reward Model'!$B$12:$B$14,MATCH($K192,'Reward Model'!$A$12:$A$14,0))*Z192,2),0)</f>
        <v>0</v>
      </c>
      <c r="AB192" s="2" t="n">
        <f aca="false">IF($I192="Correct",ROUND(INDEX('Reward Model'!$B$12:$B$14,MATCH($Y192,'Reward Model'!$A$12:$A$14,0))*Z192,2),0)</f>
        <v>0</v>
      </c>
    </row>
    <row r="193" customFormat="false" ht="15" hidden="false" customHeight="false" outlineLevel="0" collapsed="false">
      <c r="A193" s="0" t="s">
        <v>125</v>
      </c>
      <c r="B193" s="0" t="s">
        <v>126</v>
      </c>
      <c r="C193" s="0" t="s">
        <v>30</v>
      </c>
      <c r="D193" s="0" t="s">
        <v>31</v>
      </c>
      <c r="E193" s="0" t="n">
        <v>12</v>
      </c>
      <c r="F193" s="0" t="s">
        <v>64</v>
      </c>
      <c r="G193" s="0" t="s">
        <v>127</v>
      </c>
      <c r="H193" s="0" t="s">
        <v>65</v>
      </c>
      <c r="I193" s="0" t="s">
        <v>39</v>
      </c>
      <c r="J193" s="0" t="n">
        <v>1.59</v>
      </c>
      <c r="K193" s="0" t="s">
        <v>60</v>
      </c>
      <c r="L193" s="0" t="n">
        <f aca="false">INDEX(Summary!$F$2:$F$201,MATCH($B193,Summary!$A$2:$A$201,0))</f>
        <v>20</v>
      </c>
      <c r="M193" s="0" t="n">
        <f aca="false">INDEX(Summary!$I$2:$I$201,MATCH($B193,Summary!$A$2:$A$201,0))</f>
        <v>2</v>
      </c>
      <c r="N193" s="0" t="n">
        <f aca="false">INDEX(Summary!$J$2:$J$201,MATCH($B193,Summary!$A$2:$A$201,0))</f>
        <v>3</v>
      </c>
      <c r="O193" s="2" t="n">
        <f aca="false">INDEX(Summary!$K$2:$K$201,MATCH($B193,Summary!$A$2:$A$201,0))</f>
        <v>8.9</v>
      </c>
      <c r="P193" s="3" t="n">
        <f aca="false">INDEX(Summary!$L$2:$L$201,MATCH($B193,Summary!$A$2:$A$201,0))</f>
        <v>3</v>
      </c>
      <c r="Q193" s="3" t="n">
        <f aca="false">INDEX(Summary!$M$2:$M$201,MATCH($B193,Summary!$A$2:$A$201,0))</f>
        <v>3</v>
      </c>
      <c r="R193" s="2" t="n">
        <f aca="false">INDEX(Summary!$N$2:$N$201,MATCH($B193,Summary!$A$2:$A$201,0))</f>
        <v>10.2</v>
      </c>
      <c r="S193" s="3" t="n">
        <f aca="false">INDEX(Summary!$O$2:$O$201,MATCH($B193,Summary!$A$2:$A$201,0))</f>
        <v>7</v>
      </c>
      <c r="T193" s="3" t="n">
        <f aca="false">INDEX(Summary!$P$2:$P$201,MATCH($B193,Summary!$A$2:$A$201,0))</f>
        <v>2</v>
      </c>
      <c r="U193" s="2" t="n">
        <f aca="false">INDEX(Summary!$Q$2:$Q$201,MATCH($B193,Summary!$A$2:$A$201,0))</f>
        <v>13.13</v>
      </c>
      <c r="V193" s="2" t="n">
        <f aca="false">INDEX(Summary!$R$2:$R$201,MATCH($B193,Summary!$A$2:$A$201,0))</f>
        <v>22.04</v>
      </c>
      <c r="W193" s="0" t="str">
        <f aca="false">INDEX(Summary!$S$2:$S$201,MATCH($B193,Summary!$A$2:$A$201,0))</f>
        <v>Silver</v>
      </c>
      <c r="X193" s="2" t="n">
        <f aca="false">INDEX(Summary!$T$2:$T$201,MATCH($B193,Summary!$A$2:$A$201,0))</f>
        <v>53.76</v>
      </c>
      <c r="Y193" s="0" t="str">
        <f aca="false">INDEX('Reward Model'!$E$18:$E$37,MATCH($E193,'Reward Model'!$A$18:$A$37,0))</f>
        <v>Medium</v>
      </c>
      <c r="Z193" s="4" t="n">
        <f aca="false">ROUND(MIN(1,MAX('Reward Model'!$B$2,INDEX('Reward Model'!$C$12:$C$14,MATCH($K193,'Reward Model'!$A$12:$A$14,0))/$J193)),3)</f>
        <v>1</v>
      </c>
      <c r="AA193" s="2" t="n">
        <f aca="false">IF($I193="Correct",ROUND(INDEX('Reward Model'!$B$12:$B$14,MATCH($K193,'Reward Model'!$A$12:$A$14,0))*Z193,2),0)</f>
        <v>0</v>
      </c>
      <c r="AB193" s="2" t="n">
        <f aca="false">IF($I193="Correct",ROUND(INDEX('Reward Model'!$B$12:$B$14,MATCH($Y193,'Reward Model'!$A$12:$A$14,0))*Z193,2),0)</f>
        <v>0</v>
      </c>
    </row>
    <row r="194" customFormat="false" ht="15" hidden="false" customHeight="false" outlineLevel="0" collapsed="false">
      <c r="A194" s="0" t="s">
        <v>125</v>
      </c>
      <c r="B194" s="0" t="s">
        <v>126</v>
      </c>
      <c r="C194" s="0" t="s">
        <v>30</v>
      </c>
      <c r="D194" s="0" t="s">
        <v>31</v>
      </c>
      <c r="E194" s="0" t="n">
        <v>13</v>
      </c>
      <c r="F194" s="0" t="s">
        <v>66</v>
      </c>
      <c r="G194" s="0" t="s">
        <v>67</v>
      </c>
      <c r="H194" s="0" t="s">
        <v>67</v>
      </c>
      <c r="I194" s="0" t="s">
        <v>34</v>
      </c>
      <c r="J194" s="0" t="n">
        <v>2.06</v>
      </c>
      <c r="K194" s="0" t="s">
        <v>60</v>
      </c>
      <c r="L194" s="0" t="n">
        <f aca="false">INDEX(Summary!$F$2:$F$201,MATCH($B194,Summary!$A$2:$A$201,0))</f>
        <v>20</v>
      </c>
      <c r="M194" s="0" t="n">
        <f aca="false">INDEX(Summary!$I$2:$I$201,MATCH($B194,Summary!$A$2:$A$201,0))</f>
        <v>2</v>
      </c>
      <c r="N194" s="0" t="n">
        <f aca="false">INDEX(Summary!$J$2:$J$201,MATCH($B194,Summary!$A$2:$A$201,0))</f>
        <v>3</v>
      </c>
      <c r="O194" s="2" t="n">
        <f aca="false">INDEX(Summary!$K$2:$K$201,MATCH($B194,Summary!$A$2:$A$201,0))</f>
        <v>8.9</v>
      </c>
      <c r="P194" s="3" t="n">
        <f aca="false">INDEX(Summary!$L$2:$L$201,MATCH($B194,Summary!$A$2:$A$201,0))</f>
        <v>3</v>
      </c>
      <c r="Q194" s="3" t="n">
        <f aca="false">INDEX(Summary!$M$2:$M$201,MATCH($B194,Summary!$A$2:$A$201,0))</f>
        <v>3</v>
      </c>
      <c r="R194" s="2" t="n">
        <f aca="false">INDEX(Summary!$N$2:$N$201,MATCH($B194,Summary!$A$2:$A$201,0))</f>
        <v>10.2</v>
      </c>
      <c r="S194" s="3" t="n">
        <f aca="false">INDEX(Summary!$O$2:$O$201,MATCH($B194,Summary!$A$2:$A$201,0))</f>
        <v>7</v>
      </c>
      <c r="T194" s="3" t="n">
        <f aca="false">INDEX(Summary!$P$2:$P$201,MATCH($B194,Summary!$A$2:$A$201,0))</f>
        <v>2</v>
      </c>
      <c r="U194" s="2" t="n">
        <f aca="false">INDEX(Summary!$Q$2:$Q$201,MATCH($B194,Summary!$A$2:$A$201,0))</f>
        <v>13.13</v>
      </c>
      <c r="V194" s="2" t="n">
        <f aca="false">INDEX(Summary!$R$2:$R$201,MATCH($B194,Summary!$A$2:$A$201,0))</f>
        <v>22.04</v>
      </c>
      <c r="W194" s="0" t="str">
        <f aca="false">INDEX(Summary!$S$2:$S$201,MATCH($B194,Summary!$A$2:$A$201,0))</f>
        <v>Silver</v>
      </c>
      <c r="X194" s="2" t="n">
        <f aca="false">INDEX(Summary!$T$2:$T$201,MATCH($B194,Summary!$A$2:$A$201,0))</f>
        <v>53.76</v>
      </c>
      <c r="Y194" s="0" t="str">
        <f aca="false">INDEX('Reward Model'!$E$18:$E$37,MATCH($E194,'Reward Model'!$A$18:$A$37,0))</f>
        <v>Medium</v>
      </c>
      <c r="Z194" s="4" t="n">
        <f aca="false">ROUND(MIN(1,MAX('Reward Model'!$B$2,INDEX('Reward Model'!$C$12:$C$14,MATCH($K194,'Reward Model'!$A$12:$A$14,0))/$J194)),3)</f>
        <v>0.874</v>
      </c>
      <c r="AA194" s="2" t="n">
        <f aca="false">IF($I194="Correct",ROUND(INDEX('Reward Model'!$B$12:$B$14,MATCH($K194,'Reward Model'!$A$12:$A$14,0))*Z194,2),0)</f>
        <v>1.75</v>
      </c>
      <c r="AB194" s="2" t="n">
        <f aca="false">IF($I194="Correct",ROUND(INDEX('Reward Model'!$B$12:$B$14,MATCH($Y194,'Reward Model'!$A$12:$A$14,0))*Z194,2),0)</f>
        <v>1.75</v>
      </c>
    </row>
    <row r="195" customFormat="false" ht="15" hidden="false" customHeight="false" outlineLevel="0" collapsed="false">
      <c r="A195" s="0" t="s">
        <v>125</v>
      </c>
      <c r="B195" s="0" t="s">
        <v>126</v>
      </c>
      <c r="C195" s="0" t="s">
        <v>30</v>
      </c>
      <c r="D195" s="0" t="s">
        <v>31</v>
      </c>
      <c r="E195" s="0" t="n">
        <v>14</v>
      </c>
      <c r="F195" s="0" t="s">
        <v>68</v>
      </c>
      <c r="G195" s="0" t="s">
        <v>100</v>
      </c>
      <c r="H195" s="0" t="s">
        <v>51</v>
      </c>
      <c r="I195" s="0" t="s">
        <v>39</v>
      </c>
      <c r="J195" s="0" t="n">
        <v>1.36</v>
      </c>
      <c r="K195" s="0" t="s">
        <v>60</v>
      </c>
      <c r="L195" s="0" t="n">
        <f aca="false">INDEX(Summary!$F$2:$F$201,MATCH($B195,Summary!$A$2:$A$201,0))</f>
        <v>20</v>
      </c>
      <c r="M195" s="0" t="n">
        <f aca="false">INDEX(Summary!$I$2:$I$201,MATCH($B195,Summary!$A$2:$A$201,0))</f>
        <v>2</v>
      </c>
      <c r="N195" s="0" t="n">
        <f aca="false">INDEX(Summary!$J$2:$J$201,MATCH($B195,Summary!$A$2:$A$201,0))</f>
        <v>3</v>
      </c>
      <c r="O195" s="2" t="n">
        <f aca="false">INDEX(Summary!$K$2:$K$201,MATCH($B195,Summary!$A$2:$A$201,0))</f>
        <v>8.9</v>
      </c>
      <c r="P195" s="3" t="n">
        <f aca="false">INDEX(Summary!$L$2:$L$201,MATCH($B195,Summary!$A$2:$A$201,0))</f>
        <v>3</v>
      </c>
      <c r="Q195" s="3" t="n">
        <f aca="false">INDEX(Summary!$M$2:$M$201,MATCH($B195,Summary!$A$2:$A$201,0))</f>
        <v>3</v>
      </c>
      <c r="R195" s="2" t="n">
        <f aca="false">INDEX(Summary!$N$2:$N$201,MATCH($B195,Summary!$A$2:$A$201,0))</f>
        <v>10.2</v>
      </c>
      <c r="S195" s="3" t="n">
        <f aca="false">INDEX(Summary!$O$2:$O$201,MATCH($B195,Summary!$A$2:$A$201,0))</f>
        <v>7</v>
      </c>
      <c r="T195" s="3" t="n">
        <f aca="false">INDEX(Summary!$P$2:$P$201,MATCH($B195,Summary!$A$2:$A$201,0))</f>
        <v>2</v>
      </c>
      <c r="U195" s="2" t="n">
        <f aca="false">INDEX(Summary!$Q$2:$Q$201,MATCH($B195,Summary!$A$2:$A$201,0))</f>
        <v>13.13</v>
      </c>
      <c r="V195" s="2" t="n">
        <f aca="false">INDEX(Summary!$R$2:$R$201,MATCH($B195,Summary!$A$2:$A$201,0))</f>
        <v>22.04</v>
      </c>
      <c r="W195" s="0" t="str">
        <f aca="false">INDEX(Summary!$S$2:$S$201,MATCH($B195,Summary!$A$2:$A$201,0))</f>
        <v>Silver</v>
      </c>
      <c r="X195" s="2" t="n">
        <f aca="false">INDEX(Summary!$T$2:$T$201,MATCH($B195,Summary!$A$2:$A$201,0))</f>
        <v>53.76</v>
      </c>
      <c r="Y195" s="0" t="str">
        <f aca="false">INDEX('Reward Model'!$E$18:$E$37,MATCH($E195,'Reward Model'!$A$18:$A$37,0))</f>
        <v>Medium</v>
      </c>
      <c r="Z195" s="4" t="n">
        <f aca="false">ROUND(MIN(1,MAX('Reward Model'!$B$2,INDEX('Reward Model'!$C$12:$C$14,MATCH($K195,'Reward Model'!$A$12:$A$14,0))/$J195)),3)</f>
        <v>1</v>
      </c>
      <c r="AA195" s="2" t="n">
        <f aca="false">IF($I195="Correct",ROUND(INDEX('Reward Model'!$B$12:$B$14,MATCH($K195,'Reward Model'!$A$12:$A$14,0))*Z195,2),0)</f>
        <v>0</v>
      </c>
      <c r="AB195" s="2" t="n">
        <f aca="false">IF($I195="Correct",ROUND(INDEX('Reward Model'!$B$12:$B$14,MATCH($Y195,'Reward Model'!$A$12:$A$14,0))*Z195,2),0)</f>
        <v>0</v>
      </c>
    </row>
    <row r="196" customFormat="false" ht="15" hidden="false" customHeight="false" outlineLevel="0" collapsed="false">
      <c r="A196" s="0" t="s">
        <v>125</v>
      </c>
      <c r="B196" s="0" t="s">
        <v>126</v>
      </c>
      <c r="C196" s="0" t="s">
        <v>30</v>
      </c>
      <c r="D196" s="0" t="s">
        <v>31</v>
      </c>
      <c r="E196" s="0" t="n">
        <v>15</v>
      </c>
      <c r="F196" s="0" t="s">
        <v>69</v>
      </c>
      <c r="G196" s="0" t="s">
        <v>70</v>
      </c>
      <c r="H196" s="0" t="s">
        <v>70</v>
      </c>
      <c r="I196" s="0" t="s">
        <v>34</v>
      </c>
      <c r="J196" s="0" t="n">
        <v>1.63</v>
      </c>
      <c r="K196" s="0" t="s">
        <v>60</v>
      </c>
      <c r="L196" s="0" t="n">
        <f aca="false">INDEX(Summary!$F$2:$F$201,MATCH($B196,Summary!$A$2:$A$201,0))</f>
        <v>20</v>
      </c>
      <c r="M196" s="0" t="n">
        <f aca="false">INDEX(Summary!$I$2:$I$201,MATCH($B196,Summary!$A$2:$A$201,0))</f>
        <v>2</v>
      </c>
      <c r="N196" s="0" t="n">
        <f aca="false">INDEX(Summary!$J$2:$J$201,MATCH($B196,Summary!$A$2:$A$201,0))</f>
        <v>3</v>
      </c>
      <c r="O196" s="2" t="n">
        <f aca="false">INDEX(Summary!$K$2:$K$201,MATCH($B196,Summary!$A$2:$A$201,0))</f>
        <v>8.9</v>
      </c>
      <c r="P196" s="3" t="n">
        <f aca="false">INDEX(Summary!$L$2:$L$201,MATCH($B196,Summary!$A$2:$A$201,0))</f>
        <v>3</v>
      </c>
      <c r="Q196" s="3" t="n">
        <f aca="false">INDEX(Summary!$M$2:$M$201,MATCH($B196,Summary!$A$2:$A$201,0))</f>
        <v>3</v>
      </c>
      <c r="R196" s="2" t="n">
        <f aca="false">INDEX(Summary!$N$2:$N$201,MATCH($B196,Summary!$A$2:$A$201,0))</f>
        <v>10.2</v>
      </c>
      <c r="S196" s="3" t="n">
        <f aca="false">INDEX(Summary!$O$2:$O$201,MATCH($B196,Summary!$A$2:$A$201,0))</f>
        <v>7</v>
      </c>
      <c r="T196" s="3" t="n">
        <f aca="false">INDEX(Summary!$P$2:$P$201,MATCH($B196,Summary!$A$2:$A$201,0))</f>
        <v>2</v>
      </c>
      <c r="U196" s="2" t="n">
        <f aca="false">INDEX(Summary!$Q$2:$Q$201,MATCH($B196,Summary!$A$2:$A$201,0))</f>
        <v>13.13</v>
      </c>
      <c r="V196" s="2" t="n">
        <f aca="false">INDEX(Summary!$R$2:$R$201,MATCH($B196,Summary!$A$2:$A$201,0))</f>
        <v>22.04</v>
      </c>
      <c r="W196" s="0" t="str">
        <f aca="false">INDEX(Summary!$S$2:$S$201,MATCH($B196,Summary!$A$2:$A$201,0))</f>
        <v>Silver</v>
      </c>
      <c r="X196" s="2" t="n">
        <f aca="false">INDEX(Summary!$T$2:$T$201,MATCH($B196,Summary!$A$2:$A$201,0))</f>
        <v>53.76</v>
      </c>
      <c r="Y196" s="0" t="str">
        <f aca="false">INDEX('Reward Model'!$E$18:$E$37,MATCH($E196,'Reward Model'!$A$18:$A$37,0))</f>
        <v>Medium</v>
      </c>
      <c r="Z196" s="4" t="n">
        <f aca="false">ROUND(MIN(1,MAX('Reward Model'!$B$2,INDEX('Reward Model'!$C$12:$C$14,MATCH($K196,'Reward Model'!$A$12:$A$14,0))/$J196)),3)</f>
        <v>1</v>
      </c>
      <c r="AA196" s="2" t="n">
        <f aca="false">IF($I196="Correct",ROUND(INDEX('Reward Model'!$B$12:$B$14,MATCH($K196,'Reward Model'!$A$12:$A$14,0))*Z196,2),0)</f>
        <v>2</v>
      </c>
      <c r="AB196" s="2" t="n">
        <f aca="false">IF($I196="Correct",ROUND(INDEX('Reward Model'!$B$12:$B$14,MATCH($Y196,'Reward Model'!$A$12:$A$14,0))*Z196,2),0)</f>
        <v>2</v>
      </c>
    </row>
    <row r="197" customFormat="false" ht="15" hidden="false" customHeight="false" outlineLevel="0" collapsed="false">
      <c r="A197" s="0" t="s">
        <v>125</v>
      </c>
      <c r="B197" s="0" t="s">
        <v>126</v>
      </c>
      <c r="C197" s="0" t="s">
        <v>30</v>
      </c>
      <c r="D197" s="0" t="s">
        <v>31</v>
      </c>
      <c r="E197" s="0" t="n">
        <v>16</v>
      </c>
      <c r="F197" s="0" t="s">
        <v>71</v>
      </c>
      <c r="G197" s="0" t="s">
        <v>104</v>
      </c>
      <c r="H197" s="0" t="s">
        <v>72</v>
      </c>
      <c r="I197" s="0" t="s">
        <v>39</v>
      </c>
      <c r="J197" s="0" t="n">
        <v>2.12</v>
      </c>
      <c r="K197" s="0" t="s">
        <v>73</v>
      </c>
      <c r="L197" s="0" t="n">
        <f aca="false">INDEX(Summary!$F$2:$F$201,MATCH($B197,Summary!$A$2:$A$201,0))</f>
        <v>20</v>
      </c>
      <c r="M197" s="0" t="n">
        <f aca="false">INDEX(Summary!$I$2:$I$201,MATCH($B197,Summary!$A$2:$A$201,0))</f>
        <v>2</v>
      </c>
      <c r="N197" s="0" t="n">
        <f aca="false">INDEX(Summary!$J$2:$J$201,MATCH($B197,Summary!$A$2:$A$201,0))</f>
        <v>3</v>
      </c>
      <c r="O197" s="2" t="n">
        <f aca="false">INDEX(Summary!$K$2:$K$201,MATCH($B197,Summary!$A$2:$A$201,0))</f>
        <v>8.9</v>
      </c>
      <c r="P197" s="3" t="n">
        <f aca="false">INDEX(Summary!$L$2:$L$201,MATCH($B197,Summary!$A$2:$A$201,0))</f>
        <v>3</v>
      </c>
      <c r="Q197" s="3" t="n">
        <f aca="false">INDEX(Summary!$M$2:$M$201,MATCH($B197,Summary!$A$2:$A$201,0))</f>
        <v>3</v>
      </c>
      <c r="R197" s="2" t="n">
        <f aca="false">INDEX(Summary!$N$2:$N$201,MATCH($B197,Summary!$A$2:$A$201,0))</f>
        <v>10.2</v>
      </c>
      <c r="S197" s="3" t="n">
        <f aca="false">INDEX(Summary!$O$2:$O$201,MATCH($B197,Summary!$A$2:$A$201,0))</f>
        <v>7</v>
      </c>
      <c r="T197" s="3" t="n">
        <f aca="false">INDEX(Summary!$P$2:$P$201,MATCH($B197,Summary!$A$2:$A$201,0))</f>
        <v>2</v>
      </c>
      <c r="U197" s="2" t="n">
        <f aca="false">INDEX(Summary!$Q$2:$Q$201,MATCH($B197,Summary!$A$2:$A$201,0))</f>
        <v>13.13</v>
      </c>
      <c r="V197" s="2" t="n">
        <f aca="false">INDEX(Summary!$R$2:$R$201,MATCH($B197,Summary!$A$2:$A$201,0))</f>
        <v>22.04</v>
      </c>
      <c r="W197" s="0" t="str">
        <f aca="false">INDEX(Summary!$S$2:$S$201,MATCH($B197,Summary!$A$2:$A$201,0))</f>
        <v>Silver</v>
      </c>
      <c r="X197" s="2" t="n">
        <f aca="false">INDEX(Summary!$T$2:$T$201,MATCH($B197,Summary!$A$2:$A$201,0))</f>
        <v>53.76</v>
      </c>
      <c r="Y197" s="0" t="str">
        <f aca="false">INDEX('Reward Model'!$E$18:$E$37,MATCH($E197,'Reward Model'!$A$18:$A$37,0))</f>
        <v>High</v>
      </c>
      <c r="Z197" s="4" t="n">
        <f aca="false">ROUND(MIN(1,MAX('Reward Model'!$B$2,INDEX('Reward Model'!$C$12:$C$14,MATCH($K197,'Reward Model'!$A$12:$A$14,0))/$J197)),3)</f>
        <v>0.943</v>
      </c>
      <c r="AA197" s="2" t="n">
        <f aca="false">IF($I197="Correct",ROUND(INDEX('Reward Model'!$B$12:$B$14,MATCH($K197,'Reward Model'!$A$12:$A$14,0))*Z197,2),0)</f>
        <v>0</v>
      </c>
      <c r="AB197" s="2" t="n">
        <f aca="false">IF($I197="Correct",ROUND(INDEX('Reward Model'!$B$12:$B$14,MATCH($Y197,'Reward Model'!$A$12:$A$14,0))*Z197,2),0)</f>
        <v>0</v>
      </c>
    </row>
    <row r="198" customFormat="false" ht="15" hidden="false" customHeight="false" outlineLevel="0" collapsed="false">
      <c r="A198" s="0" t="s">
        <v>125</v>
      </c>
      <c r="B198" s="0" t="s">
        <v>126</v>
      </c>
      <c r="C198" s="0" t="s">
        <v>30</v>
      </c>
      <c r="D198" s="0" t="s">
        <v>31</v>
      </c>
      <c r="E198" s="0" t="n">
        <v>17</v>
      </c>
      <c r="F198" s="0" t="s">
        <v>74</v>
      </c>
      <c r="G198" s="0" t="s">
        <v>75</v>
      </c>
      <c r="H198" s="0" t="s">
        <v>75</v>
      </c>
      <c r="I198" s="0" t="s">
        <v>34</v>
      </c>
      <c r="J198" s="0" t="n">
        <v>1.38</v>
      </c>
      <c r="K198" s="0" t="s">
        <v>73</v>
      </c>
      <c r="L198" s="0" t="n">
        <f aca="false">INDEX(Summary!$F$2:$F$201,MATCH($B198,Summary!$A$2:$A$201,0))</f>
        <v>20</v>
      </c>
      <c r="M198" s="0" t="n">
        <f aca="false">INDEX(Summary!$I$2:$I$201,MATCH($B198,Summary!$A$2:$A$201,0))</f>
        <v>2</v>
      </c>
      <c r="N198" s="0" t="n">
        <f aca="false">INDEX(Summary!$J$2:$J$201,MATCH($B198,Summary!$A$2:$A$201,0))</f>
        <v>3</v>
      </c>
      <c r="O198" s="2" t="n">
        <f aca="false">INDEX(Summary!$K$2:$K$201,MATCH($B198,Summary!$A$2:$A$201,0))</f>
        <v>8.9</v>
      </c>
      <c r="P198" s="3" t="n">
        <f aca="false">INDEX(Summary!$L$2:$L$201,MATCH($B198,Summary!$A$2:$A$201,0))</f>
        <v>3</v>
      </c>
      <c r="Q198" s="3" t="n">
        <f aca="false">INDEX(Summary!$M$2:$M$201,MATCH($B198,Summary!$A$2:$A$201,0))</f>
        <v>3</v>
      </c>
      <c r="R198" s="2" t="n">
        <f aca="false">INDEX(Summary!$N$2:$N$201,MATCH($B198,Summary!$A$2:$A$201,0))</f>
        <v>10.2</v>
      </c>
      <c r="S198" s="3" t="n">
        <f aca="false">INDEX(Summary!$O$2:$O$201,MATCH($B198,Summary!$A$2:$A$201,0))</f>
        <v>7</v>
      </c>
      <c r="T198" s="3" t="n">
        <f aca="false">INDEX(Summary!$P$2:$P$201,MATCH($B198,Summary!$A$2:$A$201,0))</f>
        <v>2</v>
      </c>
      <c r="U198" s="2" t="n">
        <f aca="false">INDEX(Summary!$Q$2:$Q$201,MATCH($B198,Summary!$A$2:$A$201,0))</f>
        <v>13.13</v>
      </c>
      <c r="V198" s="2" t="n">
        <f aca="false">INDEX(Summary!$R$2:$R$201,MATCH($B198,Summary!$A$2:$A$201,0))</f>
        <v>22.04</v>
      </c>
      <c r="W198" s="0" t="str">
        <f aca="false">INDEX(Summary!$S$2:$S$201,MATCH($B198,Summary!$A$2:$A$201,0))</f>
        <v>Silver</v>
      </c>
      <c r="X198" s="2" t="n">
        <f aca="false">INDEX(Summary!$T$2:$T$201,MATCH($B198,Summary!$A$2:$A$201,0))</f>
        <v>53.76</v>
      </c>
      <c r="Y198" s="0" t="str">
        <f aca="false">INDEX('Reward Model'!$E$18:$E$37,MATCH($E198,'Reward Model'!$A$18:$A$37,0))</f>
        <v>High</v>
      </c>
      <c r="Z198" s="4" t="n">
        <f aca="false">ROUND(MIN(1,MAX('Reward Model'!$B$2,INDEX('Reward Model'!$C$12:$C$14,MATCH($K198,'Reward Model'!$A$12:$A$14,0))/$J198)),3)</f>
        <v>1</v>
      </c>
      <c r="AA198" s="2" t="n">
        <f aca="false">IF($I198="Correct",ROUND(INDEX('Reward Model'!$B$12:$B$14,MATCH($K198,'Reward Model'!$A$12:$A$14,0))*Z198,2),0)</f>
        <v>3</v>
      </c>
      <c r="AB198" s="2" t="n">
        <f aca="false">IF($I198="Correct",ROUND(INDEX('Reward Model'!$B$12:$B$14,MATCH($Y198,'Reward Model'!$A$12:$A$14,0))*Z198,2),0)</f>
        <v>3</v>
      </c>
    </row>
    <row r="199" customFormat="false" ht="15" hidden="false" customHeight="false" outlineLevel="0" collapsed="false">
      <c r="A199" s="0" t="s">
        <v>125</v>
      </c>
      <c r="B199" s="0" t="s">
        <v>126</v>
      </c>
      <c r="C199" s="0" t="s">
        <v>30</v>
      </c>
      <c r="D199" s="0" t="s">
        <v>31</v>
      </c>
      <c r="E199" s="0" t="n">
        <v>18</v>
      </c>
      <c r="F199" s="0" t="s">
        <v>76</v>
      </c>
      <c r="G199" s="0" t="s">
        <v>128</v>
      </c>
      <c r="H199" s="0" t="s">
        <v>77</v>
      </c>
      <c r="I199" s="0" t="s">
        <v>39</v>
      </c>
      <c r="J199" s="0" t="n">
        <v>1.66</v>
      </c>
      <c r="K199" s="0" t="s">
        <v>73</v>
      </c>
      <c r="L199" s="0" t="n">
        <f aca="false">INDEX(Summary!$F$2:$F$201,MATCH($B199,Summary!$A$2:$A$201,0))</f>
        <v>20</v>
      </c>
      <c r="M199" s="0" t="n">
        <f aca="false">INDEX(Summary!$I$2:$I$201,MATCH($B199,Summary!$A$2:$A$201,0))</f>
        <v>2</v>
      </c>
      <c r="N199" s="0" t="n">
        <f aca="false">INDEX(Summary!$J$2:$J$201,MATCH($B199,Summary!$A$2:$A$201,0))</f>
        <v>3</v>
      </c>
      <c r="O199" s="2" t="n">
        <f aca="false">INDEX(Summary!$K$2:$K$201,MATCH($B199,Summary!$A$2:$A$201,0))</f>
        <v>8.9</v>
      </c>
      <c r="P199" s="3" t="n">
        <f aca="false">INDEX(Summary!$L$2:$L$201,MATCH($B199,Summary!$A$2:$A$201,0))</f>
        <v>3</v>
      </c>
      <c r="Q199" s="3" t="n">
        <f aca="false">INDEX(Summary!$M$2:$M$201,MATCH($B199,Summary!$A$2:$A$201,0))</f>
        <v>3</v>
      </c>
      <c r="R199" s="2" t="n">
        <f aca="false">INDEX(Summary!$N$2:$N$201,MATCH($B199,Summary!$A$2:$A$201,0))</f>
        <v>10.2</v>
      </c>
      <c r="S199" s="3" t="n">
        <f aca="false">INDEX(Summary!$O$2:$O$201,MATCH($B199,Summary!$A$2:$A$201,0))</f>
        <v>7</v>
      </c>
      <c r="T199" s="3" t="n">
        <f aca="false">INDEX(Summary!$P$2:$P$201,MATCH($B199,Summary!$A$2:$A$201,0))</f>
        <v>2</v>
      </c>
      <c r="U199" s="2" t="n">
        <f aca="false">INDEX(Summary!$Q$2:$Q$201,MATCH($B199,Summary!$A$2:$A$201,0))</f>
        <v>13.13</v>
      </c>
      <c r="V199" s="2" t="n">
        <f aca="false">INDEX(Summary!$R$2:$R$201,MATCH($B199,Summary!$A$2:$A$201,0))</f>
        <v>22.04</v>
      </c>
      <c r="W199" s="0" t="str">
        <f aca="false">INDEX(Summary!$S$2:$S$201,MATCH($B199,Summary!$A$2:$A$201,0))</f>
        <v>Silver</v>
      </c>
      <c r="X199" s="2" t="n">
        <f aca="false">INDEX(Summary!$T$2:$T$201,MATCH($B199,Summary!$A$2:$A$201,0))</f>
        <v>53.76</v>
      </c>
      <c r="Y199" s="0" t="str">
        <f aca="false">INDEX('Reward Model'!$E$18:$E$37,MATCH($E199,'Reward Model'!$A$18:$A$37,0))</f>
        <v>High</v>
      </c>
      <c r="Z199" s="4" t="n">
        <f aca="false">ROUND(MIN(1,MAX('Reward Model'!$B$2,INDEX('Reward Model'!$C$12:$C$14,MATCH($K199,'Reward Model'!$A$12:$A$14,0))/$J199)),3)</f>
        <v>1</v>
      </c>
      <c r="AA199" s="2" t="n">
        <f aca="false">IF($I199="Correct",ROUND(INDEX('Reward Model'!$B$12:$B$14,MATCH($K199,'Reward Model'!$A$12:$A$14,0))*Z199,2),0)</f>
        <v>0</v>
      </c>
      <c r="AB199" s="2" t="n">
        <f aca="false">IF($I199="Correct",ROUND(INDEX('Reward Model'!$B$12:$B$14,MATCH($Y199,'Reward Model'!$A$12:$A$14,0))*Z199,2),0)</f>
        <v>0</v>
      </c>
    </row>
    <row r="200" customFormat="false" ht="15" hidden="false" customHeight="false" outlineLevel="0" collapsed="false">
      <c r="A200" s="0" t="s">
        <v>125</v>
      </c>
      <c r="B200" s="0" t="s">
        <v>126</v>
      </c>
      <c r="C200" s="0" t="s">
        <v>30</v>
      </c>
      <c r="D200" s="0" t="s">
        <v>31</v>
      </c>
      <c r="E200" s="0" t="n">
        <v>19</v>
      </c>
      <c r="F200" s="0" t="s">
        <v>78</v>
      </c>
      <c r="G200" s="0" t="s">
        <v>80</v>
      </c>
      <c r="H200" s="0" t="s">
        <v>80</v>
      </c>
      <c r="I200" s="0" t="s">
        <v>34</v>
      </c>
      <c r="J200" s="0" t="n">
        <v>1.36</v>
      </c>
      <c r="K200" s="0" t="s">
        <v>73</v>
      </c>
      <c r="L200" s="0" t="n">
        <f aca="false">INDEX(Summary!$F$2:$F$201,MATCH($B200,Summary!$A$2:$A$201,0))</f>
        <v>20</v>
      </c>
      <c r="M200" s="0" t="n">
        <f aca="false">INDEX(Summary!$I$2:$I$201,MATCH($B200,Summary!$A$2:$A$201,0))</f>
        <v>2</v>
      </c>
      <c r="N200" s="0" t="n">
        <f aca="false">INDEX(Summary!$J$2:$J$201,MATCH($B200,Summary!$A$2:$A$201,0))</f>
        <v>3</v>
      </c>
      <c r="O200" s="2" t="n">
        <f aca="false">INDEX(Summary!$K$2:$K$201,MATCH($B200,Summary!$A$2:$A$201,0))</f>
        <v>8.9</v>
      </c>
      <c r="P200" s="3" t="n">
        <f aca="false">INDEX(Summary!$L$2:$L$201,MATCH($B200,Summary!$A$2:$A$201,0))</f>
        <v>3</v>
      </c>
      <c r="Q200" s="3" t="n">
        <f aca="false">INDEX(Summary!$M$2:$M$201,MATCH($B200,Summary!$A$2:$A$201,0))</f>
        <v>3</v>
      </c>
      <c r="R200" s="2" t="n">
        <f aca="false">INDEX(Summary!$N$2:$N$201,MATCH($B200,Summary!$A$2:$A$201,0))</f>
        <v>10.2</v>
      </c>
      <c r="S200" s="3" t="n">
        <f aca="false">INDEX(Summary!$O$2:$O$201,MATCH($B200,Summary!$A$2:$A$201,0))</f>
        <v>7</v>
      </c>
      <c r="T200" s="3" t="n">
        <f aca="false">INDEX(Summary!$P$2:$P$201,MATCH($B200,Summary!$A$2:$A$201,0))</f>
        <v>2</v>
      </c>
      <c r="U200" s="2" t="n">
        <f aca="false">INDEX(Summary!$Q$2:$Q$201,MATCH($B200,Summary!$A$2:$A$201,0))</f>
        <v>13.13</v>
      </c>
      <c r="V200" s="2" t="n">
        <f aca="false">INDEX(Summary!$R$2:$R$201,MATCH($B200,Summary!$A$2:$A$201,0))</f>
        <v>22.04</v>
      </c>
      <c r="W200" s="0" t="str">
        <f aca="false">INDEX(Summary!$S$2:$S$201,MATCH($B200,Summary!$A$2:$A$201,0))</f>
        <v>Silver</v>
      </c>
      <c r="X200" s="2" t="n">
        <f aca="false">INDEX(Summary!$T$2:$T$201,MATCH($B200,Summary!$A$2:$A$201,0))</f>
        <v>53.76</v>
      </c>
      <c r="Y200" s="0" t="str">
        <f aca="false">INDEX('Reward Model'!$E$18:$E$37,MATCH($E200,'Reward Model'!$A$18:$A$37,0))</f>
        <v>High</v>
      </c>
      <c r="Z200" s="4" t="n">
        <f aca="false">ROUND(MIN(1,MAX('Reward Model'!$B$2,INDEX('Reward Model'!$C$12:$C$14,MATCH($K200,'Reward Model'!$A$12:$A$14,0))/$J200)),3)</f>
        <v>1</v>
      </c>
      <c r="AA200" s="2" t="n">
        <f aca="false">IF($I200="Correct",ROUND(INDEX('Reward Model'!$B$12:$B$14,MATCH($K200,'Reward Model'!$A$12:$A$14,0))*Z200,2),0)</f>
        <v>3</v>
      </c>
      <c r="AB200" s="2" t="n">
        <f aca="false">IF($I200="Correct",ROUND(INDEX('Reward Model'!$B$12:$B$14,MATCH($Y200,'Reward Model'!$A$12:$A$14,0))*Z200,2),0)</f>
        <v>3</v>
      </c>
    </row>
    <row r="201" customFormat="false" ht="15" hidden="false" customHeight="false" outlineLevel="0" collapsed="false">
      <c r="A201" s="0" t="s">
        <v>125</v>
      </c>
      <c r="B201" s="0" t="s">
        <v>126</v>
      </c>
      <c r="C201" s="0" t="s">
        <v>30</v>
      </c>
      <c r="D201" s="0" t="s">
        <v>31</v>
      </c>
      <c r="E201" s="0" t="n">
        <v>20</v>
      </c>
      <c r="F201" s="0" t="s">
        <v>81</v>
      </c>
      <c r="G201" s="0" t="s">
        <v>82</v>
      </c>
      <c r="H201" s="0" t="s">
        <v>83</v>
      </c>
      <c r="I201" s="0" t="s">
        <v>39</v>
      </c>
      <c r="J201" s="0" t="n">
        <v>2.38</v>
      </c>
      <c r="K201" s="0" t="s">
        <v>73</v>
      </c>
      <c r="L201" s="0" t="n">
        <f aca="false">INDEX(Summary!$F$2:$F$201,MATCH($B201,Summary!$A$2:$A$201,0))</f>
        <v>20</v>
      </c>
      <c r="M201" s="0" t="n">
        <f aca="false">INDEX(Summary!$I$2:$I$201,MATCH($B201,Summary!$A$2:$A$201,0))</f>
        <v>2</v>
      </c>
      <c r="N201" s="0" t="n">
        <f aca="false">INDEX(Summary!$J$2:$J$201,MATCH($B201,Summary!$A$2:$A$201,0))</f>
        <v>3</v>
      </c>
      <c r="O201" s="2" t="n">
        <f aca="false">INDEX(Summary!$K$2:$K$201,MATCH($B201,Summary!$A$2:$A$201,0))</f>
        <v>8.9</v>
      </c>
      <c r="P201" s="3" t="n">
        <f aca="false">INDEX(Summary!$L$2:$L$201,MATCH($B201,Summary!$A$2:$A$201,0))</f>
        <v>3</v>
      </c>
      <c r="Q201" s="3" t="n">
        <f aca="false">INDEX(Summary!$M$2:$M$201,MATCH($B201,Summary!$A$2:$A$201,0))</f>
        <v>3</v>
      </c>
      <c r="R201" s="2" t="n">
        <f aca="false">INDEX(Summary!$N$2:$N$201,MATCH($B201,Summary!$A$2:$A$201,0))</f>
        <v>10.2</v>
      </c>
      <c r="S201" s="3" t="n">
        <f aca="false">INDEX(Summary!$O$2:$O$201,MATCH($B201,Summary!$A$2:$A$201,0))</f>
        <v>7</v>
      </c>
      <c r="T201" s="3" t="n">
        <f aca="false">INDEX(Summary!$P$2:$P$201,MATCH($B201,Summary!$A$2:$A$201,0))</f>
        <v>2</v>
      </c>
      <c r="U201" s="2" t="n">
        <f aca="false">INDEX(Summary!$Q$2:$Q$201,MATCH($B201,Summary!$A$2:$A$201,0))</f>
        <v>13.13</v>
      </c>
      <c r="V201" s="2" t="n">
        <f aca="false">INDEX(Summary!$R$2:$R$201,MATCH($B201,Summary!$A$2:$A$201,0))</f>
        <v>22.04</v>
      </c>
      <c r="W201" s="0" t="str">
        <f aca="false">INDEX(Summary!$S$2:$S$201,MATCH($B201,Summary!$A$2:$A$201,0))</f>
        <v>Silver</v>
      </c>
      <c r="X201" s="2" t="n">
        <f aca="false">INDEX(Summary!$T$2:$T$201,MATCH($B201,Summary!$A$2:$A$201,0))</f>
        <v>53.76</v>
      </c>
      <c r="Y201" s="0" t="str">
        <f aca="false">INDEX('Reward Model'!$E$18:$E$37,MATCH($E201,'Reward Model'!$A$18:$A$37,0))</f>
        <v>High</v>
      </c>
      <c r="Z201" s="4" t="n">
        <f aca="false">ROUND(MIN(1,MAX('Reward Model'!$B$2,INDEX('Reward Model'!$C$12:$C$14,MATCH($K201,'Reward Model'!$A$12:$A$14,0))/$J201)),3)</f>
        <v>0.84</v>
      </c>
      <c r="AA201" s="2" t="n">
        <f aca="false">IF($I201="Correct",ROUND(INDEX('Reward Model'!$B$12:$B$14,MATCH($K201,'Reward Model'!$A$12:$A$14,0))*Z201,2),0)</f>
        <v>0</v>
      </c>
      <c r="AB201" s="2" t="n">
        <f aca="false">IF($I201="Correct",ROUND(INDEX('Reward Model'!$B$12:$B$14,MATCH($Y201,'Reward Model'!$A$12:$A$14,0))*Z201,2),0)</f>
        <v>0</v>
      </c>
    </row>
    <row r="202" customFormat="false" ht="15" hidden="false" customHeight="false" outlineLevel="0" collapsed="false">
      <c r="A202" s="0" t="s">
        <v>129</v>
      </c>
      <c r="B202" s="0" t="s">
        <v>130</v>
      </c>
      <c r="C202" s="0" t="s">
        <v>30</v>
      </c>
      <c r="D202" s="0" t="s">
        <v>31</v>
      </c>
      <c r="E202" s="0" t="n">
        <v>1</v>
      </c>
      <c r="F202" s="0" t="s">
        <v>32</v>
      </c>
      <c r="G202" s="0" t="s">
        <v>97</v>
      </c>
      <c r="H202" s="0" t="s">
        <v>33</v>
      </c>
      <c r="I202" s="0" t="s">
        <v>39</v>
      </c>
      <c r="J202" s="0" t="n">
        <v>1.7</v>
      </c>
      <c r="K202" s="0" t="s">
        <v>35</v>
      </c>
      <c r="L202" s="0" t="n">
        <f aca="false">INDEX(Summary!$F$2:$F$201,MATCH($B202,Summary!$A$2:$A$201,0))</f>
        <v>20</v>
      </c>
      <c r="M202" s="0" t="n">
        <f aca="false">INDEX(Summary!$I$2:$I$201,MATCH($B202,Summary!$A$2:$A$201,0))</f>
        <v>1</v>
      </c>
      <c r="N202" s="0" t="n">
        <f aca="false">INDEX(Summary!$J$2:$J$201,MATCH($B202,Summary!$A$2:$A$201,0))</f>
        <v>4</v>
      </c>
      <c r="O202" s="2" t="n">
        <f aca="false">INDEX(Summary!$K$2:$K$201,MATCH($B202,Summary!$A$2:$A$201,0))</f>
        <v>9.91</v>
      </c>
      <c r="P202" s="3" t="n">
        <f aca="false">INDEX(Summary!$L$2:$L$201,MATCH($B202,Summary!$A$2:$A$201,0))</f>
        <v>4</v>
      </c>
      <c r="Q202" s="3" t="n">
        <f aca="false">INDEX(Summary!$M$2:$M$201,MATCH($B202,Summary!$A$2:$A$201,0))</f>
        <v>2</v>
      </c>
      <c r="R202" s="2" t="n">
        <f aca="false">INDEX(Summary!$N$2:$N$201,MATCH($B202,Summary!$A$2:$A$201,0))</f>
        <v>10.06</v>
      </c>
      <c r="S202" s="3" t="n">
        <f aca="false">INDEX(Summary!$O$2:$O$201,MATCH($B202,Summary!$A$2:$A$201,0))</f>
        <v>8</v>
      </c>
      <c r="T202" s="3" t="n">
        <f aca="false">INDEX(Summary!$P$2:$P$201,MATCH($B202,Summary!$A$2:$A$201,0))</f>
        <v>1</v>
      </c>
      <c r="U202" s="2" t="n">
        <f aca="false">INDEX(Summary!$Q$2:$Q$201,MATCH($B202,Summary!$A$2:$A$201,0))</f>
        <v>12.72</v>
      </c>
      <c r="V202" s="2" t="n">
        <f aca="false">INDEX(Summary!$R$2:$R$201,MATCH($B202,Summary!$A$2:$A$201,0))</f>
        <v>22</v>
      </c>
      <c r="W202" s="0" t="str">
        <f aca="false">INDEX(Summary!$S$2:$S$201,MATCH($B202,Summary!$A$2:$A$201,0))</f>
        <v>Silver</v>
      </c>
      <c r="X202" s="2" t="n">
        <f aca="false">INDEX(Summary!$T$2:$T$201,MATCH($B202,Summary!$A$2:$A$201,0))</f>
        <v>53.66</v>
      </c>
      <c r="Y202" s="0" t="str">
        <f aca="false">INDEX('Reward Model'!$E$18:$E$37,MATCH($E202,'Reward Model'!$A$18:$A$37,0))</f>
        <v>Medium</v>
      </c>
      <c r="Z202" s="4" t="n">
        <f aca="false">ROUND(MIN(1,MAX('Reward Model'!$B$2,INDEX('Reward Model'!$C$12:$C$14,MATCH($K202,'Reward Model'!$A$12:$A$14,0))/$J202)),3)</f>
        <v>0.882</v>
      </c>
      <c r="AA202" s="2" t="n">
        <f aca="false">IF($I202="Correct",ROUND(INDEX('Reward Model'!$B$12:$B$14,MATCH($K202,'Reward Model'!$A$12:$A$14,0))*Z202,2),0)</f>
        <v>0</v>
      </c>
      <c r="AB202" s="2" t="n">
        <f aca="false">IF($I202="Correct",ROUND(INDEX('Reward Model'!$B$12:$B$14,MATCH($Y202,'Reward Model'!$A$12:$A$14,0))*Z202,2),0)</f>
        <v>0</v>
      </c>
    </row>
    <row r="203" customFormat="false" ht="15" hidden="false" customHeight="false" outlineLevel="0" collapsed="false">
      <c r="A203" s="0" t="s">
        <v>129</v>
      </c>
      <c r="B203" s="0" t="s">
        <v>130</v>
      </c>
      <c r="C203" s="0" t="s">
        <v>30</v>
      </c>
      <c r="D203" s="0" t="s">
        <v>31</v>
      </c>
      <c r="E203" s="0" t="n">
        <v>2</v>
      </c>
      <c r="F203" s="0" t="s">
        <v>36</v>
      </c>
      <c r="G203" s="0" t="s">
        <v>38</v>
      </c>
      <c r="H203" s="0" t="s">
        <v>38</v>
      </c>
      <c r="I203" s="0" t="s">
        <v>34</v>
      </c>
      <c r="J203" s="0" t="n">
        <v>0.91</v>
      </c>
      <c r="K203" s="0" t="s">
        <v>35</v>
      </c>
      <c r="L203" s="0" t="n">
        <f aca="false">INDEX(Summary!$F$2:$F$201,MATCH($B203,Summary!$A$2:$A$201,0))</f>
        <v>20</v>
      </c>
      <c r="M203" s="0" t="n">
        <f aca="false">INDEX(Summary!$I$2:$I$201,MATCH($B203,Summary!$A$2:$A$201,0))</f>
        <v>1</v>
      </c>
      <c r="N203" s="0" t="n">
        <f aca="false">INDEX(Summary!$J$2:$J$201,MATCH($B203,Summary!$A$2:$A$201,0))</f>
        <v>4</v>
      </c>
      <c r="O203" s="2" t="n">
        <f aca="false">INDEX(Summary!$K$2:$K$201,MATCH($B203,Summary!$A$2:$A$201,0))</f>
        <v>9.91</v>
      </c>
      <c r="P203" s="3" t="n">
        <f aca="false">INDEX(Summary!$L$2:$L$201,MATCH($B203,Summary!$A$2:$A$201,0))</f>
        <v>4</v>
      </c>
      <c r="Q203" s="3" t="n">
        <f aca="false">INDEX(Summary!$M$2:$M$201,MATCH($B203,Summary!$A$2:$A$201,0))</f>
        <v>2</v>
      </c>
      <c r="R203" s="2" t="n">
        <f aca="false">INDEX(Summary!$N$2:$N$201,MATCH($B203,Summary!$A$2:$A$201,0))</f>
        <v>10.06</v>
      </c>
      <c r="S203" s="3" t="n">
        <f aca="false">INDEX(Summary!$O$2:$O$201,MATCH($B203,Summary!$A$2:$A$201,0))</f>
        <v>8</v>
      </c>
      <c r="T203" s="3" t="n">
        <f aca="false">INDEX(Summary!$P$2:$P$201,MATCH($B203,Summary!$A$2:$A$201,0))</f>
        <v>1</v>
      </c>
      <c r="U203" s="2" t="n">
        <f aca="false">INDEX(Summary!$Q$2:$Q$201,MATCH($B203,Summary!$A$2:$A$201,0))</f>
        <v>12.72</v>
      </c>
      <c r="V203" s="2" t="n">
        <f aca="false">INDEX(Summary!$R$2:$R$201,MATCH($B203,Summary!$A$2:$A$201,0))</f>
        <v>22</v>
      </c>
      <c r="W203" s="0" t="str">
        <f aca="false">INDEX(Summary!$S$2:$S$201,MATCH($B203,Summary!$A$2:$A$201,0))</f>
        <v>Silver</v>
      </c>
      <c r="X203" s="2" t="n">
        <f aca="false">INDEX(Summary!$T$2:$T$201,MATCH($B203,Summary!$A$2:$A$201,0))</f>
        <v>53.66</v>
      </c>
      <c r="Y203" s="0" t="str">
        <f aca="false">INDEX('Reward Model'!$E$18:$E$37,MATCH($E203,'Reward Model'!$A$18:$A$37,0))</f>
        <v>Low</v>
      </c>
      <c r="Z203" s="4" t="n">
        <f aca="false">ROUND(MIN(1,MAX('Reward Model'!$B$2,INDEX('Reward Model'!$C$12:$C$14,MATCH($K203,'Reward Model'!$A$12:$A$14,0))/$J203)),3)</f>
        <v>1</v>
      </c>
      <c r="AA203" s="2" t="n">
        <f aca="false">IF($I203="Correct",ROUND(INDEX('Reward Model'!$B$12:$B$14,MATCH($K203,'Reward Model'!$A$12:$A$14,0))*Z203,2),0)</f>
        <v>1</v>
      </c>
      <c r="AB203" s="2" t="n">
        <f aca="false">IF($I203="Correct",ROUND(INDEX('Reward Model'!$B$12:$B$14,MATCH($Y203,'Reward Model'!$A$12:$A$14,0))*Z203,2),0)</f>
        <v>1</v>
      </c>
    </row>
    <row r="204" customFormat="false" ht="15" hidden="false" customHeight="false" outlineLevel="0" collapsed="false">
      <c r="A204" s="0" t="s">
        <v>129</v>
      </c>
      <c r="B204" s="0" t="s">
        <v>130</v>
      </c>
      <c r="C204" s="0" t="s">
        <v>30</v>
      </c>
      <c r="D204" s="0" t="s">
        <v>31</v>
      </c>
      <c r="E204" s="0" t="n">
        <v>3</v>
      </c>
      <c r="F204" s="0" t="s">
        <v>40</v>
      </c>
      <c r="G204" s="0" t="s">
        <v>42</v>
      </c>
      <c r="H204" s="0" t="s">
        <v>42</v>
      </c>
      <c r="I204" s="0" t="s">
        <v>34</v>
      </c>
      <c r="J204" s="0" t="n">
        <v>1.51</v>
      </c>
      <c r="K204" s="0" t="s">
        <v>35</v>
      </c>
      <c r="L204" s="0" t="n">
        <f aca="false">INDEX(Summary!$F$2:$F$201,MATCH($B204,Summary!$A$2:$A$201,0))</f>
        <v>20</v>
      </c>
      <c r="M204" s="0" t="n">
        <f aca="false">INDEX(Summary!$I$2:$I$201,MATCH($B204,Summary!$A$2:$A$201,0))</f>
        <v>1</v>
      </c>
      <c r="N204" s="0" t="n">
        <f aca="false">INDEX(Summary!$J$2:$J$201,MATCH($B204,Summary!$A$2:$A$201,0))</f>
        <v>4</v>
      </c>
      <c r="O204" s="2" t="n">
        <f aca="false">INDEX(Summary!$K$2:$K$201,MATCH($B204,Summary!$A$2:$A$201,0))</f>
        <v>9.91</v>
      </c>
      <c r="P204" s="3" t="n">
        <f aca="false">INDEX(Summary!$L$2:$L$201,MATCH($B204,Summary!$A$2:$A$201,0))</f>
        <v>4</v>
      </c>
      <c r="Q204" s="3" t="n">
        <f aca="false">INDEX(Summary!$M$2:$M$201,MATCH($B204,Summary!$A$2:$A$201,0))</f>
        <v>2</v>
      </c>
      <c r="R204" s="2" t="n">
        <f aca="false">INDEX(Summary!$N$2:$N$201,MATCH($B204,Summary!$A$2:$A$201,0))</f>
        <v>10.06</v>
      </c>
      <c r="S204" s="3" t="n">
        <f aca="false">INDEX(Summary!$O$2:$O$201,MATCH($B204,Summary!$A$2:$A$201,0))</f>
        <v>8</v>
      </c>
      <c r="T204" s="3" t="n">
        <f aca="false">INDEX(Summary!$P$2:$P$201,MATCH($B204,Summary!$A$2:$A$201,0))</f>
        <v>1</v>
      </c>
      <c r="U204" s="2" t="n">
        <f aca="false">INDEX(Summary!$Q$2:$Q$201,MATCH($B204,Summary!$A$2:$A$201,0))</f>
        <v>12.72</v>
      </c>
      <c r="V204" s="2" t="n">
        <f aca="false">INDEX(Summary!$R$2:$R$201,MATCH($B204,Summary!$A$2:$A$201,0))</f>
        <v>22</v>
      </c>
      <c r="W204" s="0" t="str">
        <f aca="false">INDEX(Summary!$S$2:$S$201,MATCH($B204,Summary!$A$2:$A$201,0))</f>
        <v>Silver</v>
      </c>
      <c r="X204" s="2" t="n">
        <f aca="false">INDEX(Summary!$T$2:$T$201,MATCH($B204,Summary!$A$2:$A$201,0))</f>
        <v>53.66</v>
      </c>
      <c r="Y204" s="0" t="str">
        <f aca="false">INDEX('Reward Model'!$E$18:$E$37,MATCH($E204,'Reward Model'!$A$18:$A$37,0))</f>
        <v>Medium</v>
      </c>
      <c r="Z204" s="4" t="n">
        <f aca="false">ROUND(MIN(1,MAX('Reward Model'!$B$2,INDEX('Reward Model'!$C$12:$C$14,MATCH($K204,'Reward Model'!$A$12:$A$14,0))/$J204)),3)</f>
        <v>0.993</v>
      </c>
      <c r="AA204" s="2" t="n">
        <f aca="false">IF($I204="Correct",ROUND(INDEX('Reward Model'!$B$12:$B$14,MATCH($K204,'Reward Model'!$A$12:$A$14,0))*Z204,2),0)</f>
        <v>0.99</v>
      </c>
      <c r="AB204" s="2" t="n">
        <f aca="false">IF($I204="Correct",ROUND(INDEX('Reward Model'!$B$12:$B$14,MATCH($Y204,'Reward Model'!$A$12:$A$14,0))*Z204,2),0)</f>
        <v>1.99</v>
      </c>
    </row>
    <row r="205" customFormat="false" ht="15" hidden="false" customHeight="false" outlineLevel="0" collapsed="false">
      <c r="A205" s="0" t="s">
        <v>129</v>
      </c>
      <c r="B205" s="0" t="s">
        <v>130</v>
      </c>
      <c r="C205" s="0" t="s">
        <v>30</v>
      </c>
      <c r="D205" s="0" t="s">
        <v>31</v>
      </c>
      <c r="E205" s="0" t="n">
        <v>4</v>
      </c>
      <c r="F205" s="0" t="s">
        <v>43</v>
      </c>
      <c r="G205" s="0" t="s">
        <v>45</v>
      </c>
      <c r="H205" s="0" t="s">
        <v>45</v>
      </c>
      <c r="I205" s="0" t="s">
        <v>34</v>
      </c>
      <c r="J205" s="0" t="n">
        <v>1.18</v>
      </c>
      <c r="K205" s="0" t="s">
        <v>35</v>
      </c>
      <c r="L205" s="0" t="n">
        <f aca="false">INDEX(Summary!$F$2:$F$201,MATCH($B205,Summary!$A$2:$A$201,0))</f>
        <v>20</v>
      </c>
      <c r="M205" s="0" t="n">
        <f aca="false">INDEX(Summary!$I$2:$I$201,MATCH($B205,Summary!$A$2:$A$201,0))</f>
        <v>1</v>
      </c>
      <c r="N205" s="0" t="n">
        <f aca="false">INDEX(Summary!$J$2:$J$201,MATCH($B205,Summary!$A$2:$A$201,0))</f>
        <v>4</v>
      </c>
      <c r="O205" s="2" t="n">
        <f aca="false">INDEX(Summary!$K$2:$K$201,MATCH($B205,Summary!$A$2:$A$201,0))</f>
        <v>9.91</v>
      </c>
      <c r="P205" s="3" t="n">
        <f aca="false">INDEX(Summary!$L$2:$L$201,MATCH($B205,Summary!$A$2:$A$201,0))</f>
        <v>4</v>
      </c>
      <c r="Q205" s="3" t="n">
        <f aca="false">INDEX(Summary!$M$2:$M$201,MATCH($B205,Summary!$A$2:$A$201,0))</f>
        <v>2</v>
      </c>
      <c r="R205" s="2" t="n">
        <f aca="false">INDEX(Summary!$N$2:$N$201,MATCH($B205,Summary!$A$2:$A$201,0))</f>
        <v>10.06</v>
      </c>
      <c r="S205" s="3" t="n">
        <f aca="false">INDEX(Summary!$O$2:$O$201,MATCH($B205,Summary!$A$2:$A$201,0))</f>
        <v>8</v>
      </c>
      <c r="T205" s="3" t="n">
        <f aca="false">INDEX(Summary!$P$2:$P$201,MATCH($B205,Summary!$A$2:$A$201,0))</f>
        <v>1</v>
      </c>
      <c r="U205" s="2" t="n">
        <f aca="false">INDEX(Summary!$Q$2:$Q$201,MATCH($B205,Summary!$A$2:$A$201,0))</f>
        <v>12.72</v>
      </c>
      <c r="V205" s="2" t="n">
        <f aca="false">INDEX(Summary!$R$2:$R$201,MATCH($B205,Summary!$A$2:$A$201,0))</f>
        <v>22</v>
      </c>
      <c r="W205" s="0" t="str">
        <f aca="false">INDEX(Summary!$S$2:$S$201,MATCH($B205,Summary!$A$2:$A$201,0))</f>
        <v>Silver</v>
      </c>
      <c r="X205" s="2" t="n">
        <f aca="false">INDEX(Summary!$T$2:$T$201,MATCH($B205,Summary!$A$2:$A$201,0))</f>
        <v>53.66</v>
      </c>
      <c r="Y205" s="0" t="str">
        <f aca="false">INDEX('Reward Model'!$E$18:$E$37,MATCH($E205,'Reward Model'!$A$18:$A$37,0))</f>
        <v>Low</v>
      </c>
      <c r="Z205" s="4" t="n">
        <f aca="false">ROUND(MIN(1,MAX('Reward Model'!$B$2,INDEX('Reward Model'!$C$12:$C$14,MATCH($K205,'Reward Model'!$A$12:$A$14,0))/$J205)),3)</f>
        <v>1</v>
      </c>
      <c r="AA205" s="2" t="n">
        <f aca="false">IF($I205="Correct",ROUND(INDEX('Reward Model'!$B$12:$B$14,MATCH($K205,'Reward Model'!$A$12:$A$14,0))*Z205,2),0)</f>
        <v>1</v>
      </c>
      <c r="AB205" s="2" t="n">
        <f aca="false">IF($I205="Correct",ROUND(INDEX('Reward Model'!$B$12:$B$14,MATCH($Y205,'Reward Model'!$A$12:$A$14,0))*Z205,2),0)</f>
        <v>1</v>
      </c>
    </row>
    <row r="206" customFormat="false" ht="15" hidden="false" customHeight="false" outlineLevel="0" collapsed="false">
      <c r="A206" s="0" t="s">
        <v>129</v>
      </c>
      <c r="B206" s="0" t="s">
        <v>130</v>
      </c>
      <c r="C206" s="0" t="s">
        <v>30</v>
      </c>
      <c r="D206" s="0" t="s">
        <v>31</v>
      </c>
      <c r="E206" s="0" t="n">
        <v>5</v>
      </c>
      <c r="F206" s="0" t="s">
        <v>46</v>
      </c>
      <c r="G206" s="0" t="s">
        <v>47</v>
      </c>
      <c r="H206" s="0" t="s">
        <v>47</v>
      </c>
      <c r="I206" s="0" t="s">
        <v>34</v>
      </c>
      <c r="J206" s="0" t="n">
        <v>1.27</v>
      </c>
      <c r="K206" s="0" t="s">
        <v>35</v>
      </c>
      <c r="L206" s="0" t="n">
        <f aca="false">INDEX(Summary!$F$2:$F$201,MATCH($B206,Summary!$A$2:$A$201,0))</f>
        <v>20</v>
      </c>
      <c r="M206" s="0" t="n">
        <f aca="false">INDEX(Summary!$I$2:$I$201,MATCH($B206,Summary!$A$2:$A$201,0))</f>
        <v>1</v>
      </c>
      <c r="N206" s="0" t="n">
        <f aca="false">INDEX(Summary!$J$2:$J$201,MATCH($B206,Summary!$A$2:$A$201,0))</f>
        <v>4</v>
      </c>
      <c r="O206" s="2" t="n">
        <f aca="false">INDEX(Summary!$K$2:$K$201,MATCH($B206,Summary!$A$2:$A$201,0))</f>
        <v>9.91</v>
      </c>
      <c r="P206" s="3" t="n">
        <f aca="false">INDEX(Summary!$L$2:$L$201,MATCH($B206,Summary!$A$2:$A$201,0))</f>
        <v>4</v>
      </c>
      <c r="Q206" s="3" t="n">
        <f aca="false">INDEX(Summary!$M$2:$M$201,MATCH($B206,Summary!$A$2:$A$201,0))</f>
        <v>2</v>
      </c>
      <c r="R206" s="2" t="n">
        <f aca="false">INDEX(Summary!$N$2:$N$201,MATCH($B206,Summary!$A$2:$A$201,0))</f>
        <v>10.06</v>
      </c>
      <c r="S206" s="3" t="n">
        <f aca="false">INDEX(Summary!$O$2:$O$201,MATCH($B206,Summary!$A$2:$A$201,0))</f>
        <v>8</v>
      </c>
      <c r="T206" s="3" t="n">
        <f aca="false">INDEX(Summary!$P$2:$P$201,MATCH($B206,Summary!$A$2:$A$201,0))</f>
        <v>1</v>
      </c>
      <c r="U206" s="2" t="n">
        <f aca="false">INDEX(Summary!$Q$2:$Q$201,MATCH($B206,Summary!$A$2:$A$201,0))</f>
        <v>12.72</v>
      </c>
      <c r="V206" s="2" t="n">
        <f aca="false">INDEX(Summary!$R$2:$R$201,MATCH($B206,Summary!$A$2:$A$201,0))</f>
        <v>22</v>
      </c>
      <c r="W206" s="0" t="str">
        <f aca="false">INDEX(Summary!$S$2:$S$201,MATCH($B206,Summary!$A$2:$A$201,0))</f>
        <v>Silver</v>
      </c>
      <c r="X206" s="2" t="n">
        <f aca="false">INDEX(Summary!$T$2:$T$201,MATCH($B206,Summary!$A$2:$A$201,0))</f>
        <v>53.66</v>
      </c>
      <c r="Y206" s="0" t="str">
        <f aca="false">INDEX('Reward Model'!$E$18:$E$37,MATCH($E206,'Reward Model'!$A$18:$A$37,0))</f>
        <v>Low</v>
      </c>
      <c r="Z206" s="4" t="n">
        <f aca="false">ROUND(MIN(1,MAX('Reward Model'!$B$2,INDEX('Reward Model'!$C$12:$C$14,MATCH($K206,'Reward Model'!$A$12:$A$14,0))/$J206)),3)</f>
        <v>1</v>
      </c>
      <c r="AA206" s="2" t="n">
        <f aca="false">IF($I206="Correct",ROUND(INDEX('Reward Model'!$B$12:$B$14,MATCH($K206,'Reward Model'!$A$12:$A$14,0))*Z206,2),0)</f>
        <v>1</v>
      </c>
      <c r="AB206" s="2" t="n">
        <f aca="false">IF($I206="Correct",ROUND(INDEX('Reward Model'!$B$12:$B$14,MATCH($Y206,'Reward Model'!$A$12:$A$14,0))*Z206,2),0)</f>
        <v>1</v>
      </c>
    </row>
    <row r="207" customFormat="false" ht="15" hidden="false" customHeight="false" outlineLevel="0" collapsed="false">
      <c r="A207" s="0" t="s">
        <v>129</v>
      </c>
      <c r="B207" s="0" t="s">
        <v>130</v>
      </c>
      <c r="C207" s="0" t="s">
        <v>30</v>
      </c>
      <c r="D207" s="0" t="s">
        <v>31</v>
      </c>
      <c r="E207" s="0" t="n">
        <v>6</v>
      </c>
      <c r="F207" s="0" t="s">
        <v>48</v>
      </c>
      <c r="G207" s="0" t="s">
        <v>49</v>
      </c>
      <c r="H207" s="0" t="s">
        <v>49</v>
      </c>
      <c r="I207" s="0" t="s">
        <v>34</v>
      </c>
      <c r="J207" s="0" t="n">
        <v>1.61</v>
      </c>
      <c r="K207" s="0" t="s">
        <v>35</v>
      </c>
      <c r="L207" s="0" t="n">
        <f aca="false">INDEX(Summary!$F$2:$F$201,MATCH($B207,Summary!$A$2:$A$201,0))</f>
        <v>20</v>
      </c>
      <c r="M207" s="0" t="n">
        <f aca="false">INDEX(Summary!$I$2:$I$201,MATCH($B207,Summary!$A$2:$A$201,0))</f>
        <v>1</v>
      </c>
      <c r="N207" s="0" t="n">
        <f aca="false">INDEX(Summary!$J$2:$J$201,MATCH($B207,Summary!$A$2:$A$201,0))</f>
        <v>4</v>
      </c>
      <c r="O207" s="2" t="n">
        <f aca="false">INDEX(Summary!$K$2:$K$201,MATCH($B207,Summary!$A$2:$A$201,0))</f>
        <v>9.91</v>
      </c>
      <c r="P207" s="3" t="n">
        <f aca="false">INDEX(Summary!$L$2:$L$201,MATCH($B207,Summary!$A$2:$A$201,0))</f>
        <v>4</v>
      </c>
      <c r="Q207" s="3" t="n">
        <f aca="false">INDEX(Summary!$M$2:$M$201,MATCH($B207,Summary!$A$2:$A$201,0))</f>
        <v>2</v>
      </c>
      <c r="R207" s="2" t="n">
        <f aca="false">INDEX(Summary!$N$2:$N$201,MATCH($B207,Summary!$A$2:$A$201,0))</f>
        <v>10.06</v>
      </c>
      <c r="S207" s="3" t="n">
        <f aca="false">INDEX(Summary!$O$2:$O$201,MATCH($B207,Summary!$A$2:$A$201,0))</f>
        <v>8</v>
      </c>
      <c r="T207" s="3" t="n">
        <f aca="false">INDEX(Summary!$P$2:$P$201,MATCH($B207,Summary!$A$2:$A$201,0))</f>
        <v>1</v>
      </c>
      <c r="U207" s="2" t="n">
        <f aca="false">INDEX(Summary!$Q$2:$Q$201,MATCH($B207,Summary!$A$2:$A$201,0))</f>
        <v>12.72</v>
      </c>
      <c r="V207" s="2" t="n">
        <f aca="false">INDEX(Summary!$R$2:$R$201,MATCH($B207,Summary!$A$2:$A$201,0))</f>
        <v>22</v>
      </c>
      <c r="W207" s="0" t="str">
        <f aca="false">INDEX(Summary!$S$2:$S$201,MATCH($B207,Summary!$A$2:$A$201,0))</f>
        <v>Silver</v>
      </c>
      <c r="X207" s="2" t="n">
        <f aca="false">INDEX(Summary!$T$2:$T$201,MATCH($B207,Summary!$A$2:$A$201,0))</f>
        <v>53.66</v>
      </c>
      <c r="Y207" s="0" t="str">
        <f aca="false">INDEX('Reward Model'!$E$18:$E$37,MATCH($E207,'Reward Model'!$A$18:$A$37,0))</f>
        <v>Medium</v>
      </c>
      <c r="Z207" s="4" t="n">
        <f aca="false">ROUND(MIN(1,MAX('Reward Model'!$B$2,INDEX('Reward Model'!$C$12:$C$14,MATCH($K207,'Reward Model'!$A$12:$A$14,0))/$J207)),3)</f>
        <v>0.932</v>
      </c>
      <c r="AA207" s="2" t="n">
        <f aca="false">IF($I207="Correct",ROUND(INDEX('Reward Model'!$B$12:$B$14,MATCH($K207,'Reward Model'!$A$12:$A$14,0))*Z207,2),0)</f>
        <v>0.93</v>
      </c>
      <c r="AB207" s="2" t="n">
        <f aca="false">IF($I207="Correct",ROUND(INDEX('Reward Model'!$B$12:$B$14,MATCH($Y207,'Reward Model'!$A$12:$A$14,0))*Z207,2),0)</f>
        <v>1.86</v>
      </c>
    </row>
    <row r="208" customFormat="false" ht="15" hidden="false" customHeight="false" outlineLevel="0" collapsed="false">
      <c r="A208" s="0" t="s">
        <v>129</v>
      </c>
      <c r="B208" s="0" t="s">
        <v>130</v>
      </c>
      <c r="C208" s="0" t="s">
        <v>30</v>
      </c>
      <c r="D208" s="0" t="s">
        <v>31</v>
      </c>
      <c r="E208" s="0" t="n">
        <v>7</v>
      </c>
      <c r="F208" s="0" t="s">
        <v>50</v>
      </c>
      <c r="G208" s="0" t="s">
        <v>51</v>
      </c>
      <c r="H208" s="0" t="s">
        <v>51</v>
      </c>
      <c r="I208" s="0" t="s">
        <v>34</v>
      </c>
      <c r="J208" s="0" t="n">
        <v>1.36</v>
      </c>
      <c r="K208" s="0" t="s">
        <v>35</v>
      </c>
      <c r="L208" s="0" t="n">
        <f aca="false">INDEX(Summary!$F$2:$F$201,MATCH($B208,Summary!$A$2:$A$201,0))</f>
        <v>20</v>
      </c>
      <c r="M208" s="0" t="n">
        <f aca="false">INDEX(Summary!$I$2:$I$201,MATCH($B208,Summary!$A$2:$A$201,0))</f>
        <v>1</v>
      </c>
      <c r="N208" s="0" t="n">
        <f aca="false">INDEX(Summary!$J$2:$J$201,MATCH($B208,Summary!$A$2:$A$201,0))</f>
        <v>4</v>
      </c>
      <c r="O208" s="2" t="n">
        <f aca="false">INDEX(Summary!$K$2:$K$201,MATCH($B208,Summary!$A$2:$A$201,0))</f>
        <v>9.91</v>
      </c>
      <c r="P208" s="3" t="n">
        <f aca="false">INDEX(Summary!$L$2:$L$201,MATCH($B208,Summary!$A$2:$A$201,0))</f>
        <v>4</v>
      </c>
      <c r="Q208" s="3" t="n">
        <f aca="false">INDEX(Summary!$M$2:$M$201,MATCH($B208,Summary!$A$2:$A$201,0))</f>
        <v>2</v>
      </c>
      <c r="R208" s="2" t="n">
        <f aca="false">INDEX(Summary!$N$2:$N$201,MATCH($B208,Summary!$A$2:$A$201,0))</f>
        <v>10.06</v>
      </c>
      <c r="S208" s="3" t="n">
        <f aca="false">INDEX(Summary!$O$2:$O$201,MATCH($B208,Summary!$A$2:$A$201,0))</f>
        <v>8</v>
      </c>
      <c r="T208" s="3" t="n">
        <f aca="false">INDEX(Summary!$P$2:$P$201,MATCH($B208,Summary!$A$2:$A$201,0))</f>
        <v>1</v>
      </c>
      <c r="U208" s="2" t="n">
        <f aca="false">INDEX(Summary!$Q$2:$Q$201,MATCH($B208,Summary!$A$2:$A$201,0))</f>
        <v>12.72</v>
      </c>
      <c r="V208" s="2" t="n">
        <f aca="false">INDEX(Summary!$R$2:$R$201,MATCH($B208,Summary!$A$2:$A$201,0))</f>
        <v>22</v>
      </c>
      <c r="W208" s="0" t="str">
        <f aca="false">INDEX(Summary!$S$2:$S$201,MATCH($B208,Summary!$A$2:$A$201,0))</f>
        <v>Silver</v>
      </c>
      <c r="X208" s="2" t="n">
        <f aca="false">INDEX(Summary!$T$2:$T$201,MATCH($B208,Summary!$A$2:$A$201,0))</f>
        <v>53.66</v>
      </c>
      <c r="Y208" s="0" t="str">
        <f aca="false">INDEX('Reward Model'!$E$18:$E$37,MATCH($E208,'Reward Model'!$A$18:$A$37,0))</f>
        <v>Low</v>
      </c>
      <c r="Z208" s="4" t="n">
        <f aca="false">ROUND(MIN(1,MAX('Reward Model'!$B$2,INDEX('Reward Model'!$C$12:$C$14,MATCH($K208,'Reward Model'!$A$12:$A$14,0))/$J208)),3)</f>
        <v>1</v>
      </c>
      <c r="AA208" s="2" t="n">
        <f aca="false">IF($I208="Correct",ROUND(INDEX('Reward Model'!$B$12:$B$14,MATCH($K208,'Reward Model'!$A$12:$A$14,0))*Z208,2),0)</f>
        <v>1</v>
      </c>
      <c r="AB208" s="2" t="n">
        <f aca="false">IF($I208="Correct",ROUND(INDEX('Reward Model'!$B$12:$B$14,MATCH($Y208,'Reward Model'!$A$12:$A$14,0))*Z208,2),0)</f>
        <v>1</v>
      </c>
    </row>
    <row r="209" customFormat="false" ht="15" hidden="false" customHeight="false" outlineLevel="0" collapsed="false">
      <c r="A209" s="0" t="s">
        <v>129</v>
      </c>
      <c r="B209" s="0" t="s">
        <v>130</v>
      </c>
      <c r="C209" s="0" t="s">
        <v>30</v>
      </c>
      <c r="D209" s="0" t="s">
        <v>31</v>
      </c>
      <c r="E209" s="0" t="n">
        <v>8</v>
      </c>
      <c r="F209" s="0" t="s">
        <v>52</v>
      </c>
      <c r="G209" s="0" t="s">
        <v>54</v>
      </c>
      <c r="H209" s="0" t="s">
        <v>54</v>
      </c>
      <c r="I209" s="0" t="s">
        <v>34</v>
      </c>
      <c r="J209" s="0" t="n">
        <v>1.76</v>
      </c>
      <c r="K209" s="0" t="s">
        <v>35</v>
      </c>
      <c r="L209" s="0" t="n">
        <f aca="false">INDEX(Summary!$F$2:$F$201,MATCH($B209,Summary!$A$2:$A$201,0))</f>
        <v>20</v>
      </c>
      <c r="M209" s="0" t="n">
        <f aca="false">INDEX(Summary!$I$2:$I$201,MATCH($B209,Summary!$A$2:$A$201,0))</f>
        <v>1</v>
      </c>
      <c r="N209" s="0" t="n">
        <f aca="false">INDEX(Summary!$J$2:$J$201,MATCH($B209,Summary!$A$2:$A$201,0))</f>
        <v>4</v>
      </c>
      <c r="O209" s="2" t="n">
        <f aca="false">INDEX(Summary!$K$2:$K$201,MATCH($B209,Summary!$A$2:$A$201,0))</f>
        <v>9.91</v>
      </c>
      <c r="P209" s="3" t="n">
        <f aca="false">INDEX(Summary!$L$2:$L$201,MATCH($B209,Summary!$A$2:$A$201,0))</f>
        <v>4</v>
      </c>
      <c r="Q209" s="3" t="n">
        <f aca="false">INDEX(Summary!$M$2:$M$201,MATCH($B209,Summary!$A$2:$A$201,0))</f>
        <v>2</v>
      </c>
      <c r="R209" s="2" t="n">
        <f aca="false">INDEX(Summary!$N$2:$N$201,MATCH($B209,Summary!$A$2:$A$201,0))</f>
        <v>10.06</v>
      </c>
      <c r="S209" s="3" t="n">
        <f aca="false">INDEX(Summary!$O$2:$O$201,MATCH($B209,Summary!$A$2:$A$201,0))</f>
        <v>8</v>
      </c>
      <c r="T209" s="3" t="n">
        <f aca="false">INDEX(Summary!$P$2:$P$201,MATCH($B209,Summary!$A$2:$A$201,0))</f>
        <v>1</v>
      </c>
      <c r="U209" s="2" t="n">
        <f aca="false">INDEX(Summary!$Q$2:$Q$201,MATCH($B209,Summary!$A$2:$A$201,0))</f>
        <v>12.72</v>
      </c>
      <c r="V209" s="2" t="n">
        <f aca="false">INDEX(Summary!$R$2:$R$201,MATCH($B209,Summary!$A$2:$A$201,0))</f>
        <v>22</v>
      </c>
      <c r="W209" s="0" t="str">
        <f aca="false">INDEX(Summary!$S$2:$S$201,MATCH($B209,Summary!$A$2:$A$201,0))</f>
        <v>Silver</v>
      </c>
      <c r="X209" s="2" t="n">
        <f aca="false">INDEX(Summary!$T$2:$T$201,MATCH($B209,Summary!$A$2:$A$201,0))</f>
        <v>53.66</v>
      </c>
      <c r="Y209" s="0" t="str">
        <f aca="false">INDEX('Reward Model'!$E$18:$E$37,MATCH($E209,'Reward Model'!$A$18:$A$37,0))</f>
        <v>Medium</v>
      </c>
      <c r="Z209" s="4" t="n">
        <f aca="false">ROUND(MIN(1,MAX('Reward Model'!$B$2,INDEX('Reward Model'!$C$12:$C$14,MATCH($K209,'Reward Model'!$A$12:$A$14,0))/$J209)),3)</f>
        <v>0.852</v>
      </c>
      <c r="AA209" s="2" t="n">
        <f aca="false">IF($I209="Correct",ROUND(INDEX('Reward Model'!$B$12:$B$14,MATCH($K209,'Reward Model'!$A$12:$A$14,0))*Z209,2),0)</f>
        <v>0.85</v>
      </c>
      <c r="AB209" s="2" t="n">
        <f aca="false">IF($I209="Correct",ROUND(INDEX('Reward Model'!$B$12:$B$14,MATCH($Y209,'Reward Model'!$A$12:$A$14,0))*Z209,2),0)</f>
        <v>1.7</v>
      </c>
    </row>
    <row r="210" customFormat="false" ht="15" hidden="false" customHeight="false" outlineLevel="0" collapsed="false">
      <c r="A210" s="0" t="s">
        <v>129</v>
      </c>
      <c r="B210" s="0" t="s">
        <v>130</v>
      </c>
      <c r="C210" s="0" t="s">
        <v>30</v>
      </c>
      <c r="D210" s="0" t="s">
        <v>31</v>
      </c>
      <c r="E210" s="0" t="n">
        <v>9</v>
      </c>
      <c r="F210" s="0" t="s">
        <v>55</v>
      </c>
      <c r="G210" s="0" t="s">
        <v>57</v>
      </c>
      <c r="H210" s="0" t="s">
        <v>57</v>
      </c>
      <c r="I210" s="0" t="s">
        <v>34</v>
      </c>
      <c r="J210" s="0" t="n">
        <v>1.42</v>
      </c>
      <c r="K210" s="0" t="s">
        <v>35</v>
      </c>
      <c r="L210" s="0" t="n">
        <f aca="false">INDEX(Summary!$F$2:$F$201,MATCH($B210,Summary!$A$2:$A$201,0))</f>
        <v>20</v>
      </c>
      <c r="M210" s="0" t="n">
        <f aca="false">INDEX(Summary!$I$2:$I$201,MATCH($B210,Summary!$A$2:$A$201,0))</f>
        <v>1</v>
      </c>
      <c r="N210" s="0" t="n">
        <f aca="false">INDEX(Summary!$J$2:$J$201,MATCH($B210,Summary!$A$2:$A$201,0))</f>
        <v>4</v>
      </c>
      <c r="O210" s="2" t="n">
        <f aca="false">INDEX(Summary!$K$2:$K$201,MATCH($B210,Summary!$A$2:$A$201,0))</f>
        <v>9.91</v>
      </c>
      <c r="P210" s="3" t="n">
        <f aca="false">INDEX(Summary!$L$2:$L$201,MATCH($B210,Summary!$A$2:$A$201,0))</f>
        <v>4</v>
      </c>
      <c r="Q210" s="3" t="n">
        <f aca="false">INDEX(Summary!$M$2:$M$201,MATCH($B210,Summary!$A$2:$A$201,0))</f>
        <v>2</v>
      </c>
      <c r="R210" s="2" t="n">
        <f aca="false">INDEX(Summary!$N$2:$N$201,MATCH($B210,Summary!$A$2:$A$201,0))</f>
        <v>10.06</v>
      </c>
      <c r="S210" s="3" t="n">
        <f aca="false">INDEX(Summary!$O$2:$O$201,MATCH($B210,Summary!$A$2:$A$201,0))</f>
        <v>8</v>
      </c>
      <c r="T210" s="3" t="n">
        <f aca="false">INDEX(Summary!$P$2:$P$201,MATCH($B210,Summary!$A$2:$A$201,0))</f>
        <v>1</v>
      </c>
      <c r="U210" s="2" t="n">
        <f aca="false">INDEX(Summary!$Q$2:$Q$201,MATCH($B210,Summary!$A$2:$A$201,0))</f>
        <v>12.72</v>
      </c>
      <c r="V210" s="2" t="n">
        <f aca="false">INDEX(Summary!$R$2:$R$201,MATCH($B210,Summary!$A$2:$A$201,0))</f>
        <v>22</v>
      </c>
      <c r="W210" s="0" t="str">
        <f aca="false">INDEX(Summary!$S$2:$S$201,MATCH($B210,Summary!$A$2:$A$201,0))</f>
        <v>Silver</v>
      </c>
      <c r="X210" s="2" t="n">
        <f aca="false">INDEX(Summary!$T$2:$T$201,MATCH($B210,Summary!$A$2:$A$201,0))</f>
        <v>53.66</v>
      </c>
      <c r="Y210" s="0" t="str">
        <f aca="false">INDEX('Reward Model'!$E$18:$E$37,MATCH($E210,'Reward Model'!$A$18:$A$37,0))</f>
        <v>Medium</v>
      </c>
      <c r="Z210" s="4" t="n">
        <f aca="false">ROUND(MIN(1,MAX('Reward Model'!$B$2,INDEX('Reward Model'!$C$12:$C$14,MATCH($K210,'Reward Model'!$A$12:$A$14,0))/$J210)),3)</f>
        <v>1</v>
      </c>
      <c r="AA210" s="2" t="n">
        <f aca="false">IF($I210="Correct",ROUND(INDEX('Reward Model'!$B$12:$B$14,MATCH($K210,'Reward Model'!$A$12:$A$14,0))*Z210,2),0)</f>
        <v>1</v>
      </c>
      <c r="AB210" s="2" t="n">
        <f aca="false">IF($I210="Correct",ROUND(INDEX('Reward Model'!$B$12:$B$14,MATCH($Y210,'Reward Model'!$A$12:$A$14,0))*Z210,2),0)</f>
        <v>2</v>
      </c>
    </row>
    <row r="211" customFormat="false" ht="15" hidden="false" customHeight="false" outlineLevel="0" collapsed="false">
      <c r="A211" s="0" t="s">
        <v>129</v>
      </c>
      <c r="B211" s="0" t="s">
        <v>130</v>
      </c>
      <c r="C211" s="0" t="s">
        <v>30</v>
      </c>
      <c r="D211" s="0" t="s">
        <v>31</v>
      </c>
      <c r="E211" s="0" t="n">
        <v>10</v>
      </c>
      <c r="F211" s="0" t="s">
        <v>58</v>
      </c>
      <c r="G211" s="0" t="s">
        <v>59</v>
      </c>
      <c r="H211" s="0" t="s">
        <v>59</v>
      </c>
      <c r="I211" s="0" t="s">
        <v>34</v>
      </c>
      <c r="J211" s="0" t="n">
        <v>2.17</v>
      </c>
      <c r="K211" s="0" t="s">
        <v>60</v>
      </c>
      <c r="L211" s="0" t="n">
        <f aca="false">INDEX(Summary!$F$2:$F$201,MATCH($B211,Summary!$A$2:$A$201,0))</f>
        <v>20</v>
      </c>
      <c r="M211" s="0" t="n">
        <f aca="false">INDEX(Summary!$I$2:$I$201,MATCH($B211,Summary!$A$2:$A$201,0))</f>
        <v>1</v>
      </c>
      <c r="N211" s="0" t="n">
        <f aca="false">INDEX(Summary!$J$2:$J$201,MATCH($B211,Summary!$A$2:$A$201,0))</f>
        <v>4</v>
      </c>
      <c r="O211" s="2" t="n">
        <f aca="false">INDEX(Summary!$K$2:$K$201,MATCH($B211,Summary!$A$2:$A$201,0))</f>
        <v>9.91</v>
      </c>
      <c r="P211" s="3" t="n">
        <f aca="false">INDEX(Summary!$L$2:$L$201,MATCH($B211,Summary!$A$2:$A$201,0))</f>
        <v>4</v>
      </c>
      <c r="Q211" s="3" t="n">
        <f aca="false">INDEX(Summary!$M$2:$M$201,MATCH($B211,Summary!$A$2:$A$201,0))</f>
        <v>2</v>
      </c>
      <c r="R211" s="2" t="n">
        <f aca="false">INDEX(Summary!$N$2:$N$201,MATCH($B211,Summary!$A$2:$A$201,0))</f>
        <v>10.06</v>
      </c>
      <c r="S211" s="3" t="n">
        <f aca="false">INDEX(Summary!$O$2:$O$201,MATCH($B211,Summary!$A$2:$A$201,0))</f>
        <v>8</v>
      </c>
      <c r="T211" s="3" t="n">
        <f aca="false">INDEX(Summary!$P$2:$P$201,MATCH($B211,Summary!$A$2:$A$201,0))</f>
        <v>1</v>
      </c>
      <c r="U211" s="2" t="n">
        <f aca="false">INDEX(Summary!$Q$2:$Q$201,MATCH($B211,Summary!$A$2:$A$201,0))</f>
        <v>12.72</v>
      </c>
      <c r="V211" s="2" t="n">
        <f aca="false">INDEX(Summary!$R$2:$R$201,MATCH($B211,Summary!$A$2:$A$201,0))</f>
        <v>22</v>
      </c>
      <c r="W211" s="0" t="str">
        <f aca="false">INDEX(Summary!$S$2:$S$201,MATCH($B211,Summary!$A$2:$A$201,0))</f>
        <v>Silver</v>
      </c>
      <c r="X211" s="2" t="n">
        <f aca="false">INDEX(Summary!$T$2:$T$201,MATCH($B211,Summary!$A$2:$A$201,0))</f>
        <v>53.66</v>
      </c>
      <c r="Y211" s="0" t="str">
        <f aca="false">INDEX('Reward Model'!$E$18:$E$37,MATCH($E211,'Reward Model'!$A$18:$A$37,0))</f>
        <v>Medium</v>
      </c>
      <c r="Z211" s="4" t="n">
        <f aca="false">ROUND(MIN(1,MAX('Reward Model'!$B$2,INDEX('Reward Model'!$C$12:$C$14,MATCH($K211,'Reward Model'!$A$12:$A$14,0))/$J211)),3)</f>
        <v>0.829</v>
      </c>
      <c r="AA211" s="2" t="n">
        <f aca="false">IF($I211="Correct",ROUND(INDEX('Reward Model'!$B$12:$B$14,MATCH($K211,'Reward Model'!$A$12:$A$14,0))*Z211,2),0)</f>
        <v>1.66</v>
      </c>
      <c r="AB211" s="2" t="n">
        <f aca="false">IF($I211="Correct",ROUND(INDEX('Reward Model'!$B$12:$B$14,MATCH($Y211,'Reward Model'!$A$12:$A$14,0))*Z211,2),0)</f>
        <v>1.66</v>
      </c>
    </row>
    <row r="212" customFormat="false" ht="15" hidden="false" customHeight="false" outlineLevel="0" collapsed="false">
      <c r="A212" s="0" t="s">
        <v>129</v>
      </c>
      <c r="B212" s="0" t="s">
        <v>130</v>
      </c>
      <c r="C212" s="0" t="s">
        <v>30</v>
      </c>
      <c r="D212" s="0" t="s">
        <v>31</v>
      </c>
      <c r="E212" s="0" t="n">
        <v>11</v>
      </c>
      <c r="F212" s="0" t="s">
        <v>61</v>
      </c>
      <c r="G212" s="0" t="s">
        <v>63</v>
      </c>
      <c r="H212" s="0" t="s">
        <v>63</v>
      </c>
      <c r="I212" s="0" t="s">
        <v>34</v>
      </c>
      <c r="J212" s="0" t="n">
        <v>1.51</v>
      </c>
      <c r="K212" s="0" t="s">
        <v>60</v>
      </c>
      <c r="L212" s="0" t="n">
        <f aca="false">INDEX(Summary!$F$2:$F$201,MATCH($B212,Summary!$A$2:$A$201,0))</f>
        <v>20</v>
      </c>
      <c r="M212" s="0" t="n">
        <f aca="false">INDEX(Summary!$I$2:$I$201,MATCH($B212,Summary!$A$2:$A$201,0))</f>
        <v>1</v>
      </c>
      <c r="N212" s="0" t="n">
        <f aca="false">INDEX(Summary!$J$2:$J$201,MATCH($B212,Summary!$A$2:$A$201,0))</f>
        <v>4</v>
      </c>
      <c r="O212" s="2" t="n">
        <f aca="false">INDEX(Summary!$K$2:$K$201,MATCH($B212,Summary!$A$2:$A$201,0))</f>
        <v>9.91</v>
      </c>
      <c r="P212" s="3" t="n">
        <f aca="false">INDEX(Summary!$L$2:$L$201,MATCH($B212,Summary!$A$2:$A$201,0))</f>
        <v>4</v>
      </c>
      <c r="Q212" s="3" t="n">
        <f aca="false">INDEX(Summary!$M$2:$M$201,MATCH($B212,Summary!$A$2:$A$201,0))</f>
        <v>2</v>
      </c>
      <c r="R212" s="2" t="n">
        <f aca="false">INDEX(Summary!$N$2:$N$201,MATCH($B212,Summary!$A$2:$A$201,0))</f>
        <v>10.06</v>
      </c>
      <c r="S212" s="3" t="n">
        <f aca="false">INDEX(Summary!$O$2:$O$201,MATCH($B212,Summary!$A$2:$A$201,0))</f>
        <v>8</v>
      </c>
      <c r="T212" s="3" t="n">
        <f aca="false">INDEX(Summary!$P$2:$P$201,MATCH($B212,Summary!$A$2:$A$201,0))</f>
        <v>1</v>
      </c>
      <c r="U212" s="2" t="n">
        <f aca="false">INDEX(Summary!$Q$2:$Q$201,MATCH($B212,Summary!$A$2:$A$201,0))</f>
        <v>12.72</v>
      </c>
      <c r="V212" s="2" t="n">
        <f aca="false">INDEX(Summary!$R$2:$R$201,MATCH($B212,Summary!$A$2:$A$201,0))</f>
        <v>22</v>
      </c>
      <c r="W212" s="0" t="str">
        <f aca="false">INDEX(Summary!$S$2:$S$201,MATCH($B212,Summary!$A$2:$A$201,0))</f>
        <v>Silver</v>
      </c>
      <c r="X212" s="2" t="n">
        <f aca="false">INDEX(Summary!$T$2:$T$201,MATCH($B212,Summary!$A$2:$A$201,0))</f>
        <v>53.66</v>
      </c>
      <c r="Y212" s="0" t="str">
        <f aca="false">INDEX('Reward Model'!$E$18:$E$37,MATCH($E212,'Reward Model'!$A$18:$A$37,0))</f>
        <v>Medium</v>
      </c>
      <c r="Z212" s="4" t="n">
        <f aca="false">ROUND(MIN(1,MAX('Reward Model'!$B$2,INDEX('Reward Model'!$C$12:$C$14,MATCH($K212,'Reward Model'!$A$12:$A$14,0))/$J212)),3)</f>
        <v>1</v>
      </c>
      <c r="AA212" s="2" t="n">
        <f aca="false">IF($I212="Correct",ROUND(INDEX('Reward Model'!$B$12:$B$14,MATCH($K212,'Reward Model'!$A$12:$A$14,0))*Z212,2),0)</f>
        <v>2</v>
      </c>
      <c r="AB212" s="2" t="n">
        <f aca="false">IF($I212="Correct",ROUND(INDEX('Reward Model'!$B$12:$B$14,MATCH($Y212,'Reward Model'!$A$12:$A$14,0))*Z212,2),0)</f>
        <v>2</v>
      </c>
    </row>
    <row r="213" customFormat="false" ht="15" hidden="false" customHeight="false" outlineLevel="0" collapsed="false">
      <c r="A213" s="0" t="s">
        <v>129</v>
      </c>
      <c r="B213" s="0" t="s">
        <v>130</v>
      </c>
      <c r="C213" s="0" t="s">
        <v>30</v>
      </c>
      <c r="D213" s="0" t="s">
        <v>31</v>
      </c>
      <c r="E213" s="0" t="n">
        <v>12</v>
      </c>
      <c r="F213" s="0" t="s">
        <v>64</v>
      </c>
      <c r="G213" s="0" t="s">
        <v>65</v>
      </c>
      <c r="H213" s="0" t="s">
        <v>65</v>
      </c>
      <c r="I213" s="0" t="s">
        <v>34</v>
      </c>
      <c r="J213" s="0" t="n">
        <v>1.14</v>
      </c>
      <c r="K213" s="0" t="s">
        <v>60</v>
      </c>
      <c r="L213" s="0" t="n">
        <f aca="false">INDEX(Summary!$F$2:$F$201,MATCH($B213,Summary!$A$2:$A$201,0))</f>
        <v>20</v>
      </c>
      <c r="M213" s="0" t="n">
        <f aca="false">INDEX(Summary!$I$2:$I$201,MATCH($B213,Summary!$A$2:$A$201,0))</f>
        <v>1</v>
      </c>
      <c r="N213" s="0" t="n">
        <f aca="false">INDEX(Summary!$J$2:$J$201,MATCH($B213,Summary!$A$2:$A$201,0))</f>
        <v>4</v>
      </c>
      <c r="O213" s="2" t="n">
        <f aca="false">INDEX(Summary!$K$2:$K$201,MATCH($B213,Summary!$A$2:$A$201,0))</f>
        <v>9.91</v>
      </c>
      <c r="P213" s="3" t="n">
        <f aca="false">INDEX(Summary!$L$2:$L$201,MATCH($B213,Summary!$A$2:$A$201,0))</f>
        <v>4</v>
      </c>
      <c r="Q213" s="3" t="n">
        <f aca="false">INDEX(Summary!$M$2:$M$201,MATCH($B213,Summary!$A$2:$A$201,0))</f>
        <v>2</v>
      </c>
      <c r="R213" s="2" t="n">
        <f aca="false">INDEX(Summary!$N$2:$N$201,MATCH($B213,Summary!$A$2:$A$201,0))</f>
        <v>10.06</v>
      </c>
      <c r="S213" s="3" t="n">
        <f aca="false">INDEX(Summary!$O$2:$O$201,MATCH($B213,Summary!$A$2:$A$201,0))</f>
        <v>8</v>
      </c>
      <c r="T213" s="3" t="n">
        <f aca="false">INDEX(Summary!$P$2:$P$201,MATCH($B213,Summary!$A$2:$A$201,0))</f>
        <v>1</v>
      </c>
      <c r="U213" s="2" t="n">
        <f aca="false">INDEX(Summary!$Q$2:$Q$201,MATCH($B213,Summary!$A$2:$A$201,0))</f>
        <v>12.72</v>
      </c>
      <c r="V213" s="2" t="n">
        <f aca="false">INDEX(Summary!$R$2:$R$201,MATCH($B213,Summary!$A$2:$A$201,0))</f>
        <v>22</v>
      </c>
      <c r="W213" s="0" t="str">
        <f aca="false">INDEX(Summary!$S$2:$S$201,MATCH($B213,Summary!$A$2:$A$201,0))</f>
        <v>Silver</v>
      </c>
      <c r="X213" s="2" t="n">
        <f aca="false">INDEX(Summary!$T$2:$T$201,MATCH($B213,Summary!$A$2:$A$201,0))</f>
        <v>53.66</v>
      </c>
      <c r="Y213" s="0" t="str">
        <f aca="false">INDEX('Reward Model'!$E$18:$E$37,MATCH($E213,'Reward Model'!$A$18:$A$37,0))</f>
        <v>Medium</v>
      </c>
      <c r="Z213" s="4" t="n">
        <f aca="false">ROUND(MIN(1,MAX('Reward Model'!$B$2,INDEX('Reward Model'!$C$12:$C$14,MATCH($K213,'Reward Model'!$A$12:$A$14,0))/$J213)),3)</f>
        <v>1</v>
      </c>
      <c r="AA213" s="2" t="n">
        <f aca="false">IF($I213="Correct",ROUND(INDEX('Reward Model'!$B$12:$B$14,MATCH($K213,'Reward Model'!$A$12:$A$14,0))*Z213,2),0)</f>
        <v>2</v>
      </c>
      <c r="AB213" s="2" t="n">
        <f aca="false">IF($I213="Correct",ROUND(INDEX('Reward Model'!$B$12:$B$14,MATCH($Y213,'Reward Model'!$A$12:$A$14,0))*Z213,2),0)</f>
        <v>2</v>
      </c>
    </row>
    <row r="214" customFormat="false" ht="15" hidden="false" customHeight="false" outlineLevel="0" collapsed="false">
      <c r="A214" s="0" t="s">
        <v>129</v>
      </c>
      <c r="B214" s="0" t="s">
        <v>130</v>
      </c>
      <c r="C214" s="0" t="s">
        <v>30</v>
      </c>
      <c r="D214" s="0" t="s">
        <v>31</v>
      </c>
      <c r="E214" s="0" t="n">
        <v>13</v>
      </c>
      <c r="F214" s="0" t="s">
        <v>66</v>
      </c>
      <c r="G214" s="0" t="s">
        <v>124</v>
      </c>
      <c r="H214" s="0" t="s">
        <v>67</v>
      </c>
      <c r="I214" s="0" t="s">
        <v>39</v>
      </c>
      <c r="J214" s="0" t="n">
        <v>1.86</v>
      </c>
      <c r="K214" s="0" t="s">
        <v>60</v>
      </c>
      <c r="L214" s="0" t="n">
        <f aca="false">INDEX(Summary!$F$2:$F$201,MATCH($B214,Summary!$A$2:$A$201,0))</f>
        <v>20</v>
      </c>
      <c r="M214" s="0" t="n">
        <f aca="false">INDEX(Summary!$I$2:$I$201,MATCH($B214,Summary!$A$2:$A$201,0))</f>
        <v>1</v>
      </c>
      <c r="N214" s="0" t="n">
        <f aca="false">INDEX(Summary!$J$2:$J$201,MATCH($B214,Summary!$A$2:$A$201,0))</f>
        <v>4</v>
      </c>
      <c r="O214" s="2" t="n">
        <f aca="false">INDEX(Summary!$K$2:$K$201,MATCH($B214,Summary!$A$2:$A$201,0))</f>
        <v>9.91</v>
      </c>
      <c r="P214" s="3" t="n">
        <f aca="false">INDEX(Summary!$L$2:$L$201,MATCH($B214,Summary!$A$2:$A$201,0))</f>
        <v>4</v>
      </c>
      <c r="Q214" s="3" t="n">
        <f aca="false">INDEX(Summary!$M$2:$M$201,MATCH($B214,Summary!$A$2:$A$201,0))</f>
        <v>2</v>
      </c>
      <c r="R214" s="2" t="n">
        <f aca="false">INDEX(Summary!$N$2:$N$201,MATCH($B214,Summary!$A$2:$A$201,0))</f>
        <v>10.06</v>
      </c>
      <c r="S214" s="3" t="n">
        <f aca="false">INDEX(Summary!$O$2:$O$201,MATCH($B214,Summary!$A$2:$A$201,0))</f>
        <v>8</v>
      </c>
      <c r="T214" s="3" t="n">
        <f aca="false">INDEX(Summary!$P$2:$P$201,MATCH($B214,Summary!$A$2:$A$201,0))</f>
        <v>1</v>
      </c>
      <c r="U214" s="2" t="n">
        <f aca="false">INDEX(Summary!$Q$2:$Q$201,MATCH($B214,Summary!$A$2:$A$201,0))</f>
        <v>12.72</v>
      </c>
      <c r="V214" s="2" t="n">
        <f aca="false">INDEX(Summary!$R$2:$R$201,MATCH($B214,Summary!$A$2:$A$201,0))</f>
        <v>22</v>
      </c>
      <c r="W214" s="0" t="str">
        <f aca="false">INDEX(Summary!$S$2:$S$201,MATCH($B214,Summary!$A$2:$A$201,0))</f>
        <v>Silver</v>
      </c>
      <c r="X214" s="2" t="n">
        <f aca="false">INDEX(Summary!$T$2:$T$201,MATCH($B214,Summary!$A$2:$A$201,0))</f>
        <v>53.66</v>
      </c>
      <c r="Y214" s="0" t="str">
        <f aca="false">INDEX('Reward Model'!$E$18:$E$37,MATCH($E214,'Reward Model'!$A$18:$A$37,0))</f>
        <v>Medium</v>
      </c>
      <c r="Z214" s="4" t="n">
        <f aca="false">ROUND(MIN(1,MAX('Reward Model'!$B$2,INDEX('Reward Model'!$C$12:$C$14,MATCH($K214,'Reward Model'!$A$12:$A$14,0))/$J214)),3)</f>
        <v>0.968</v>
      </c>
      <c r="AA214" s="2" t="n">
        <f aca="false">IF($I214="Correct",ROUND(INDEX('Reward Model'!$B$12:$B$14,MATCH($K214,'Reward Model'!$A$12:$A$14,0))*Z214,2),0)</f>
        <v>0</v>
      </c>
      <c r="AB214" s="2" t="n">
        <f aca="false">IF($I214="Correct",ROUND(INDEX('Reward Model'!$B$12:$B$14,MATCH($Y214,'Reward Model'!$A$12:$A$14,0))*Z214,2),0)</f>
        <v>0</v>
      </c>
    </row>
    <row r="215" customFormat="false" ht="15" hidden="false" customHeight="false" outlineLevel="0" collapsed="false">
      <c r="A215" s="0" t="s">
        <v>129</v>
      </c>
      <c r="B215" s="0" t="s">
        <v>130</v>
      </c>
      <c r="C215" s="0" t="s">
        <v>30</v>
      </c>
      <c r="D215" s="0" t="s">
        <v>31</v>
      </c>
      <c r="E215" s="0" t="n">
        <v>14</v>
      </c>
      <c r="F215" s="0" t="s">
        <v>68</v>
      </c>
      <c r="G215" s="0" t="s">
        <v>51</v>
      </c>
      <c r="H215" s="0" t="s">
        <v>51</v>
      </c>
      <c r="I215" s="0" t="s">
        <v>34</v>
      </c>
      <c r="J215" s="0" t="n">
        <v>1.89</v>
      </c>
      <c r="K215" s="0" t="s">
        <v>60</v>
      </c>
      <c r="L215" s="0" t="n">
        <f aca="false">INDEX(Summary!$F$2:$F$201,MATCH($B215,Summary!$A$2:$A$201,0))</f>
        <v>20</v>
      </c>
      <c r="M215" s="0" t="n">
        <f aca="false">INDEX(Summary!$I$2:$I$201,MATCH($B215,Summary!$A$2:$A$201,0))</f>
        <v>1</v>
      </c>
      <c r="N215" s="0" t="n">
        <f aca="false">INDEX(Summary!$J$2:$J$201,MATCH($B215,Summary!$A$2:$A$201,0))</f>
        <v>4</v>
      </c>
      <c r="O215" s="2" t="n">
        <f aca="false">INDEX(Summary!$K$2:$K$201,MATCH($B215,Summary!$A$2:$A$201,0))</f>
        <v>9.91</v>
      </c>
      <c r="P215" s="3" t="n">
        <f aca="false">INDEX(Summary!$L$2:$L$201,MATCH($B215,Summary!$A$2:$A$201,0))</f>
        <v>4</v>
      </c>
      <c r="Q215" s="3" t="n">
        <f aca="false">INDEX(Summary!$M$2:$M$201,MATCH($B215,Summary!$A$2:$A$201,0))</f>
        <v>2</v>
      </c>
      <c r="R215" s="2" t="n">
        <f aca="false">INDEX(Summary!$N$2:$N$201,MATCH($B215,Summary!$A$2:$A$201,0))</f>
        <v>10.06</v>
      </c>
      <c r="S215" s="3" t="n">
        <f aca="false">INDEX(Summary!$O$2:$O$201,MATCH($B215,Summary!$A$2:$A$201,0))</f>
        <v>8</v>
      </c>
      <c r="T215" s="3" t="n">
        <f aca="false">INDEX(Summary!$P$2:$P$201,MATCH($B215,Summary!$A$2:$A$201,0))</f>
        <v>1</v>
      </c>
      <c r="U215" s="2" t="n">
        <f aca="false">INDEX(Summary!$Q$2:$Q$201,MATCH($B215,Summary!$A$2:$A$201,0))</f>
        <v>12.72</v>
      </c>
      <c r="V215" s="2" t="n">
        <f aca="false">INDEX(Summary!$R$2:$R$201,MATCH($B215,Summary!$A$2:$A$201,0))</f>
        <v>22</v>
      </c>
      <c r="W215" s="0" t="str">
        <f aca="false">INDEX(Summary!$S$2:$S$201,MATCH($B215,Summary!$A$2:$A$201,0))</f>
        <v>Silver</v>
      </c>
      <c r="X215" s="2" t="n">
        <f aca="false">INDEX(Summary!$T$2:$T$201,MATCH($B215,Summary!$A$2:$A$201,0))</f>
        <v>53.66</v>
      </c>
      <c r="Y215" s="0" t="str">
        <f aca="false">INDEX('Reward Model'!$E$18:$E$37,MATCH($E215,'Reward Model'!$A$18:$A$37,0))</f>
        <v>Medium</v>
      </c>
      <c r="Z215" s="4" t="n">
        <f aca="false">ROUND(MIN(1,MAX('Reward Model'!$B$2,INDEX('Reward Model'!$C$12:$C$14,MATCH($K215,'Reward Model'!$A$12:$A$14,0))/$J215)),3)</f>
        <v>0.952</v>
      </c>
      <c r="AA215" s="2" t="n">
        <f aca="false">IF($I215="Correct",ROUND(INDEX('Reward Model'!$B$12:$B$14,MATCH($K215,'Reward Model'!$A$12:$A$14,0))*Z215,2),0)</f>
        <v>1.9</v>
      </c>
      <c r="AB215" s="2" t="n">
        <f aca="false">IF($I215="Correct",ROUND(INDEX('Reward Model'!$B$12:$B$14,MATCH($Y215,'Reward Model'!$A$12:$A$14,0))*Z215,2),0)</f>
        <v>1.9</v>
      </c>
    </row>
    <row r="216" customFormat="false" ht="15" hidden="false" customHeight="false" outlineLevel="0" collapsed="false">
      <c r="A216" s="0" t="s">
        <v>129</v>
      </c>
      <c r="B216" s="0" t="s">
        <v>130</v>
      </c>
      <c r="C216" s="0" t="s">
        <v>30</v>
      </c>
      <c r="D216" s="0" t="s">
        <v>31</v>
      </c>
      <c r="E216" s="0" t="n">
        <v>15</v>
      </c>
      <c r="F216" s="0" t="s">
        <v>69</v>
      </c>
      <c r="G216" s="0" t="s">
        <v>131</v>
      </c>
      <c r="H216" s="0" t="s">
        <v>70</v>
      </c>
      <c r="I216" s="0" t="s">
        <v>39</v>
      </c>
      <c r="J216" s="0" t="n">
        <v>1.49</v>
      </c>
      <c r="K216" s="0" t="s">
        <v>60</v>
      </c>
      <c r="L216" s="0" t="n">
        <f aca="false">INDEX(Summary!$F$2:$F$201,MATCH($B216,Summary!$A$2:$A$201,0))</f>
        <v>20</v>
      </c>
      <c r="M216" s="0" t="n">
        <f aca="false">INDEX(Summary!$I$2:$I$201,MATCH($B216,Summary!$A$2:$A$201,0))</f>
        <v>1</v>
      </c>
      <c r="N216" s="0" t="n">
        <f aca="false">INDEX(Summary!$J$2:$J$201,MATCH($B216,Summary!$A$2:$A$201,0))</f>
        <v>4</v>
      </c>
      <c r="O216" s="2" t="n">
        <f aca="false">INDEX(Summary!$K$2:$K$201,MATCH($B216,Summary!$A$2:$A$201,0))</f>
        <v>9.91</v>
      </c>
      <c r="P216" s="3" t="n">
        <f aca="false">INDEX(Summary!$L$2:$L$201,MATCH($B216,Summary!$A$2:$A$201,0))</f>
        <v>4</v>
      </c>
      <c r="Q216" s="3" t="n">
        <f aca="false">INDEX(Summary!$M$2:$M$201,MATCH($B216,Summary!$A$2:$A$201,0))</f>
        <v>2</v>
      </c>
      <c r="R216" s="2" t="n">
        <f aca="false">INDEX(Summary!$N$2:$N$201,MATCH($B216,Summary!$A$2:$A$201,0))</f>
        <v>10.06</v>
      </c>
      <c r="S216" s="3" t="n">
        <f aca="false">INDEX(Summary!$O$2:$O$201,MATCH($B216,Summary!$A$2:$A$201,0))</f>
        <v>8</v>
      </c>
      <c r="T216" s="3" t="n">
        <f aca="false">INDEX(Summary!$P$2:$P$201,MATCH($B216,Summary!$A$2:$A$201,0))</f>
        <v>1</v>
      </c>
      <c r="U216" s="2" t="n">
        <f aca="false">INDEX(Summary!$Q$2:$Q$201,MATCH($B216,Summary!$A$2:$A$201,0))</f>
        <v>12.72</v>
      </c>
      <c r="V216" s="2" t="n">
        <f aca="false">INDEX(Summary!$R$2:$R$201,MATCH($B216,Summary!$A$2:$A$201,0))</f>
        <v>22</v>
      </c>
      <c r="W216" s="0" t="str">
        <f aca="false">INDEX(Summary!$S$2:$S$201,MATCH($B216,Summary!$A$2:$A$201,0))</f>
        <v>Silver</v>
      </c>
      <c r="X216" s="2" t="n">
        <f aca="false">INDEX(Summary!$T$2:$T$201,MATCH($B216,Summary!$A$2:$A$201,0))</f>
        <v>53.66</v>
      </c>
      <c r="Y216" s="0" t="str">
        <f aca="false">INDEX('Reward Model'!$E$18:$E$37,MATCH($E216,'Reward Model'!$A$18:$A$37,0))</f>
        <v>Medium</v>
      </c>
      <c r="Z216" s="4" t="n">
        <f aca="false">ROUND(MIN(1,MAX('Reward Model'!$B$2,INDEX('Reward Model'!$C$12:$C$14,MATCH($K216,'Reward Model'!$A$12:$A$14,0))/$J216)),3)</f>
        <v>1</v>
      </c>
      <c r="AA216" s="2" t="n">
        <f aca="false">IF($I216="Correct",ROUND(INDEX('Reward Model'!$B$12:$B$14,MATCH($K216,'Reward Model'!$A$12:$A$14,0))*Z216,2),0)</f>
        <v>0</v>
      </c>
      <c r="AB216" s="2" t="n">
        <f aca="false">IF($I216="Correct",ROUND(INDEX('Reward Model'!$B$12:$B$14,MATCH($Y216,'Reward Model'!$A$12:$A$14,0))*Z216,2),0)</f>
        <v>0</v>
      </c>
    </row>
    <row r="217" customFormat="false" ht="15" hidden="false" customHeight="false" outlineLevel="0" collapsed="false">
      <c r="A217" s="0" t="s">
        <v>129</v>
      </c>
      <c r="B217" s="0" t="s">
        <v>130</v>
      </c>
      <c r="C217" s="0" t="s">
        <v>30</v>
      </c>
      <c r="D217" s="0" t="s">
        <v>31</v>
      </c>
      <c r="E217" s="0" t="n">
        <v>16</v>
      </c>
      <c r="F217" s="0" t="s">
        <v>71</v>
      </c>
      <c r="G217" s="0" t="s">
        <v>87</v>
      </c>
      <c r="H217" s="0" t="s">
        <v>72</v>
      </c>
      <c r="I217" s="0" t="s">
        <v>39</v>
      </c>
      <c r="J217" s="0" t="n">
        <v>2.31</v>
      </c>
      <c r="K217" s="0" t="s">
        <v>73</v>
      </c>
      <c r="L217" s="0" t="n">
        <f aca="false">INDEX(Summary!$F$2:$F$201,MATCH($B217,Summary!$A$2:$A$201,0))</f>
        <v>20</v>
      </c>
      <c r="M217" s="0" t="n">
        <f aca="false">INDEX(Summary!$I$2:$I$201,MATCH($B217,Summary!$A$2:$A$201,0))</f>
        <v>1</v>
      </c>
      <c r="N217" s="0" t="n">
        <f aca="false">INDEX(Summary!$J$2:$J$201,MATCH($B217,Summary!$A$2:$A$201,0))</f>
        <v>4</v>
      </c>
      <c r="O217" s="2" t="n">
        <f aca="false">INDEX(Summary!$K$2:$K$201,MATCH($B217,Summary!$A$2:$A$201,0))</f>
        <v>9.91</v>
      </c>
      <c r="P217" s="3" t="n">
        <f aca="false">INDEX(Summary!$L$2:$L$201,MATCH($B217,Summary!$A$2:$A$201,0))</f>
        <v>4</v>
      </c>
      <c r="Q217" s="3" t="n">
        <f aca="false">INDEX(Summary!$M$2:$M$201,MATCH($B217,Summary!$A$2:$A$201,0))</f>
        <v>2</v>
      </c>
      <c r="R217" s="2" t="n">
        <f aca="false">INDEX(Summary!$N$2:$N$201,MATCH($B217,Summary!$A$2:$A$201,0))</f>
        <v>10.06</v>
      </c>
      <c r="S217" s="3" t="n">
        <f aca="false">INDEX(Summary!$O$2:$O$201,MATCH($B217,Summary!$A$2:$A$201,0))</f>
        <v>8</v>
      </c>
      <c r="T217" s="3" t="n">
        <f aca="false">INDEX(Summary!$P$2:$P$201,MATCH($B217,Summary!$A$2:$A$201,0))</f>
        <v>1</v>
      </c>
      <c r="U217" s="2" t="n">
        <f aca="false">INDEX(Summary!$Q$2:$Q$201,MATCH($B217,Summary!$A$2:$A$201,0))</f>
        <v>12.72</v>
      </c>
      <c r="V217" s="2" t="n">
        <f aca="false">INDEX(Summary!$R$2:$R$201,MATCH($B217,Summary!$A$2:$A$201,0))</f>
        <v>22</v>
      </c>
      <c r="W217" s="0" t="str">
        <f aca="false">INDEX(Summary!$S$2:$S$201,MATCH($B217,Summary!$A$2:$A$201,0))</f>
        <v>Silver</v>
      </c>
      <c r="X217" s="2" t="n">
        <f aca="false">INDEX(Summary!$T$2:$T$201,MATCH($B217,Summary!$A$2:$A$201,0))</f>
        <v>53.66</v>
      </c>
      <c r="Y217" s="0" t="str">
        <f aca="false">INDEX('Reward Model'!$E$18:$E$37,MATCH($E217,'Reward Model'!$A$18:$A$37,0))</f>
        <v>High</v>
      </c>
      <c r="Z217" s="4" t="n">
        <f aca="false">ROUND(MIN(1,MAX('Reward Model'!$B$2,INDEX('Reward Model'!$C$12:$C$14,MATCH($K217,'Reward Model'!$A$12:$A$14,0))/$J217)),3)</f>
        <v>0.866</v>
      </c>
      <c r="AA217" s="2" t="n">
        <f aca="false">IF($I217="Correct",ROUND(INDEX('Reward Model'!$B$12:$B$14,MATCH($K217,'Reward Model'!$A$12:$A$14,0))*Z217,2),0)</f>
        <v>0</v>
      </c>
      <c r="AB217" s="2" t="n">
        <f aca="false">IF($I217="Correct",ROUND(INDEX('Reward Model'!$B$12:$B$14,MATCH($Y217,'Reward Model'!$A$12:$A$14,0))*Z217,2),0)</f>
        <v>0</v>
      </c>
    </row>
    <row r="218" customFormat="false" ht="15" hidden="false" customHeight="false" outlineLevel="0" collapsed="false">
      <c r="A218" s="0" t="s">
        <v>129</v>
      </c>
      <c r="B218" s="0" t="s">
        <v>130</v>
      </c>
      <c r="C218" s="0" t="s">
        <v>30</v>
      </c>
      <c r="D218" s="0" t="s">
        <v>31</v>
      </c>
      <c r="E218" s="0" t="n">
        <v>17</v>
      </c>
      <c r="F218" s="0" t="s">
        <v>74</v>
      </c>
      <c r="G218" s="0" t="s">
        <v>113</v>
      </c>
      <c r="H218" s="0" t="s">
        <v>75</v>
      </c>
      <c r="I218" s="0" t="s">
        <v>39</v>
      </c>
      <c r="J218" s="0" t="n">
        <v>1.59</v>
      </c>
      <c r="K218" s="0" t="s">
        <v>73</v>
      </c>
      <c r="L218" s="0" t="n">
        <f aca="false">INDEX(Summary!$F$2:$F$201,MATCH($B218,Summary!$A$2:$A$201,0))</f>
        <v>20</v>
      </c>
      <c r="M218" s="0" t="n">
        <f aca="false">INDEX(Summary!$I$2:$I$201,MATCH($B218,Summary!$A$2:$A$201,0))</f>
        <v>1</v>
      </c>
      <c r="N218" s="0" t="n">
        <f aca="false">INDEX(Summary!$J$2:$J$201,MATCH($B218,Summary!$A$2:$A$201,0))</f>
        <v>4</v>
      </c>
      <c r="O218" s="2" t="n">
        <f aca="false">INDEX(Summary!$K$2:$K$201,MATCH($B218,Summary!$A$2:$A$201,0))</f>
        <v>9.91</v>
      </c>
      <c r="P218" s="3" t="n">
        <f aca="false">INDEX(Summary!$L$2:$L$201,MATCH($B218,Summary!$A$2:$A$201,0))</f>
        <v>4</v>
      </c>
      <c r="Q218" s="3" t="n">
        <f aca="false">INDEX(Summary!$M$2:$M$201,MATCH($B218,Summary!$A$2:$A$201,0))</f>
        <v>2</v>
      </c>
      <c r="R218" s="2" t="n">
        <f aca="false">INDEX(Summary!$N$2:$N$201,MATCH($B218,Summary!$A$2:$A$201,0))</f>
        <v>10.06</v>
      </c>
      <c r="S218" s="3" t="n">
        <f aca="false">INDEX(Summary!$O$2:$O$201,MATCH($B218,Summary!$A$2:$A$201,0))</f>
        <v>8</v>
      </c>
      <c r="T218" s="3" t="n">
        <f aca="false">INDEX(Summary!$P$2:$P$201,MATCH($B218,Summary!$A$2:$A$201,0))</f>
        <v>1</v>
      </c>
      <c r="U218" s="2" t="n">
        <f aca="false">INDEX(Summary!$Q$2:$Q$201,MATCH($B218,Summary!$A$2:$A$201,0))</f>
        <v>12.72</v>
      </c>
      <c r="V218" s="2" t="n">
        <f aca="false">INDEX(Summary!$R$2:$R$201,MATCH($B218,Summary!$A$2:$A$201,0))</f>
        <v>22</v>
      </c>
      <c r="W218" s="0" t="str">
        <f aca="false">INDEX(Summary!$S$2:$S$201,MATCH($B218,Summary!$A$2:$A$201,0))</f>
        <v>Silver</v>
      </c>
      <c r="X218" s="2" t="n">
        <f aca="false">INDEX(Summary!$T$2:$T$201,MATCH($B218,Summary!$A$2:$A$201,0))</f>
        <v>53.66</v>
      </c>
      <c r="Y218" s="0" t="str">
        <f aca="false">INDEX('Reward Model'!$E$18:$E$37,MATCH($E218,'Reward Model'!$A$18:$A$37,0))</f>
        <v>High</v>
      </c>
      <c r="Z218" s="4" t="n">
        <f aca="false">ROUND(MIN(1,MAX('Reward Model'!$B$2,INDEX('Reward Model'!$C$12:$C$14,MATCH($K218,'Reward Model'!$A$12:$A$14,0))/$J218)),3)</f>
        <v>1</v>
      </c>
      <c r="AA218" s="2" t="n">
        <f aca="false">IF($I218="Correct",ROUND(INDEX('Reward Model'!$B$12:$B$14,MATCH($K218,'Reward Model'!$A$12:$A$14,0))*Z218,2),0)</f>
        <v>0</v>
      </c>
      <c r="AB218" s="2" t="n">
        <f aca="false">IF($I218="Correct",ROUND(INDEX('Reward Model'!$B$12:$B$14,MATCH($Y218,'Reward Model'!$A$12:$A$14,0))*Z218,2),0)</f>
        <v>0</v>
      </c>
    </row>
    <row r="219" customFormat="false" ht="15" hidden="false" customHeight="false" outlineLevel="0" collapsed="false">
      <c r="A219" s="0" t="s">
        <v>129</v>
      </c>
      <c r="B219" s="0" t="s">
        <v>130</v>
      </c>
      <c r="C219" s="0" t="s">
        <v>30</v>
      </c>
      <c r="D219" s="0" t="s">
        <v>31</v>
      </c>
      <c r="E219" s="0" t="n">
        <v>18</v>
      </c>
      <c r="F219" s="0" t="s">
        <v>76</v>
      </c>
      <c r="G219" s="0" t="s">
        <v>77</v>
      </c>
      <c r="H219" s="0" t="s">
        <v>77</v>
      </c>
      <c r="I219" s="0" t="s">
        <v>34</v>
      </c>
      <c r="J219" s="0" t="n">
        <v>2.08</v>
      </c>
      <c r="K219" s="0" t="s">
        <v>73</v>
      </c>
      <c r="L219" s="0" t="n">
        <f aca="false">INDEX(Summary!$F$2:$F$201,MATCH($B219,Summary!$A$2:$A$201,0))</f>
        <v>20</v>
      </c>
      <c r="M219" s="0" t="n">
        <f aca="false">INDEX(Summary!$I$2:$I$201,MATCH($B219,Summary!$A$2:$A$201,0))</f>
        <v>1</v>
      </c>
      <c r="N219" s="0" t="n">
        <f aca="false">INDEX(Summary!$J$2:$J$201,MATCH($B219,Summary!$A$2:$A$201,0))</f>
        <v>4</v>
      </c>
      <c r="O219" s="2" t="n">
        <f aca="false">INDEX(Summary!$K$2:$K$201,MATCH($B219,Summary!$A$2:$A$201,0))</f>
        <v>9.91</v>
      </c>
      <c r="P219" s="3" t="n">
        <f aca="false">INDEX(Summary!$L$2:$L$201,MATCH($B219,Summary!$A$2:$A$201,0))</f>
        <v>4</v>
      </c>
      <c r="Q219" s="3" t="n">
        <f aca="false">INDEX(Summary!$M$2:$M$201,MATCH($B219,Summary!$A$2:$A$201,0))</f>
        <v>2</v>
      </c>
      <c r="R219" s="2" t="n">
        <f aca="false">INDEX(Summary!$N$2:$N$201,MATCH($B219,Summary!$A$2:$A$201,0))</f>
        <v>10.06</v>
      </c>
      <c r="S219" s="3" t="n">
        <f aca="false">INDEX(Summary!$O$2:$O$201,MATCH($B219,Summary!$A$2:$A$201,0))</f>
        <v>8</v>
      </c>
      <c r="T219" s="3" t="n">
        <f aca="false">INDEX(Summary!$P$2:$P$201,MATCH($B219,Summary!$A$2:$A$201,0))</f>
        <v>1</v>
      </c>
      <c r="U219" s="2" t="n">
        <f aca="false">INDEX(Summary!$Q$2:$Q$201,MATCH($B219,Summary!$A$2:$A$201,0))</f>
        <v>12.72</v>
      </c>
      <c r="V219" s="2" t="n">
        <f aca="false">INDEX(Summary!$R$2:$R$201,MATCH($B219,Summary!$A$2:$A$201,0))</f>
        <v>22</v>
      </c>
      <c r="W219" s="0" t="str">
        <f aca="false">INDEX(Summary!$S$2:$S$201,MATCH($B219,Summary!$A$2:$A$201,0))</f>
        <v>Silver</v>
      </c>
      <c r="X219" s="2" t="n">
        <f aca="false">INDEX(Summary!$T$2:$T$201,MATCH($B219,Summary!$A$2:$A$201,0))</f>
        <v>53.66</v>
      </c>
      <c r="Y219" s="0" t="str">
        <f aca="false">INDEX('Reward Model'!$E$18:$E$37,MATCH($E219,'Reward Model'!$A$18:$A$37,0))</f>
        <v>High</v>
      </c>
      <c r="Z219" s="4" t="n">
        <f aca="false">ROUND(MIN(1,MAX('Reward Model'!$B$2,INDEX('Reward Model'!$C$12:$C$14,MATCH($K219,'Reward Model'!$A$12:$A$14,0))/$J219)),3)</f>
        <v>0.962</v>
      </c>
      <c r="AA219" s="2" t="n">
        <f aca="false">IF($I219="Correct",ROUND(INDEX('Reward Model'!$B$12:$B$14,MATCH($K219,'Reward Model'!$A$12:$A$14,0))*Z219,2),0)</f>
        <v>2.89</v>
      </c>
      <c r="AB219" s="2" t="n">
        <f aca="false">IF($I219="Correct",ROUND(INDEX('Reward Model'!$B$12:$B$14,MATCH($Y219,'Reward Model'!$A$12:$A$14,0))*Z219,2),0)</f>
        <v>2.89</v>
      </c>
    </row>
    <row r="220" customFormat="false" ht="15" hidden="false" customHeight="false" outlineLevel="0" collapsed="false">
      <c r="A220" s="0" t="s">
        <v>129</v>
      </c>
      <c r="B220" s="0" t="s">
        <v>130</v>
      </c>
      <c r="C220" s="0" t="s">
        <v>30</v>
      </c>
      <c r="D220" s="0" t="s">
        <v>31</v>
      </c>
      <c r="E220" s="0" t="n">
        <v>19</v>
      </c>
      <c r="F220" s="0" t="s">
        <v>78</v>
      </c>
      <c r="G220" s="0" t="s">
        <v>132</v>
      </c>
      <c r="H220" s="0" t="s">
        <v>80</v>
      </c>
      <c r="I220" s="0" t="s">
        <v>39</v>
      </c>
      <c r="J220" s="0" t="n">
        <v>1.98</v>
      </c>
      <c r="K220" s="0" t="s">
        <v>73</v>
      </c>
      <c r="L220" s="0" t="n">
        <f aca="false">INDEX(Summary!$F$2:$F$201,MATCH($B220,Summary!$A$2:$A$201,0))</f>
        <v>20</v>
      </c>
      <c r="M220" s="0" t="n">
        <f aca="false">INDEX(Summary!$I$2:$I$201,MATCH($B220,Summary!$A$2:$A$201,0))</f>
        <v>1</v>
      </c>
      <c r="N220" s="0" t="n">
        <f aca="false">INDEX(Summary!$J$2:$J$201,MATCH($B220,Summary!$A$2:$A$201,0))</f>
        <v>4</v>
      </c>
      <c r="O220" s="2" t="n">
        <f aca="false">INDEX(Summary!$K$2:$K$201,MATCH($B220,Summary!$A$2:$A$201,0))</f>
        <v>9.91</v>
      </c>
      <c r="P220" s="3" t="n">
        <f aca="false">INDEX(Summary!$L$2:$L$201,MATCH($B220,Summary!$A$2:$A$201,0))</f>
        <v>4</v>
      </c>
      <c r="Q220" s="3" t="n">
        <f aca="false">INDEX(Summary!$M$2:$M$201,MATCH($B220,Summary!$A$2:$A$201,0))</f>
        <v>2</v>
      </c>
      <c r="R220" s="2" t="n">
        <f aca="false">INDEX(Summary!$N$2:$N$201,MATCH($B220,Summary!$A$2:$A$201,0))</f>
        <v>10.06</v>
      </c>
      <c r="S220" s="3" t="n">
        <f aca="false">INDEX(Summary!$O$2:$O$201,MATCH($B220,Summary!$A$2:$A$201,0))</f>
        <v>8</v>
      </c>
      <c r="T220" s="3" t="n">
        <f aca="false">INDEX(Summary!$P$2:$P$201,MATCH($B220,Summary!$A$2:$A$201,0))</f>
        <v>1</v>
      </c>
      <c r="U220" s="2" t="n">
        <f aca="false">INDEX(Summary!$Q$2:$Q$201,MATCH($B220,Summary!$A$2:$A$201,0))</f>
        <v>12.72</v>
      </c>
      <c r="V220" s="2" t="n">
        <f aca="false">INDEX(Summary!$R$2:$R$201,MATCH($B220,Summary!$A$2:$A$201,0))</f>
        <v>22</v>
      </c>
      <c r="W220" s="0" t="str">
        <f aca="false">INDEX(Summary!$S$2:$S$201,MATCH($B220,Summary!$A$2:$A$201,0))</f>
        <v>Silver</v>
      </c>
      <c r="X220" s="2" t="n">
        <f aca="false">INDEX(Summary!$T$2:$T$201,MATCH($B220,Summary!$A$2:$A$201,0))</f>
        <v>53.66</v>
      </c>
      <c r="Y220" s="0" t="str">
        <f aca="false">INDEX('Reward Model'!$E$18:$E$37,MATCH($E220,'Reward Model'!$A$18:$A$37,0))</f>
        <v>High</v>
      </c>
      <c r="Z220" s="4" t="n">
        <f aca="false">ROUND(MIN(1,MAX('Reward Model'!$B$2,INDEX('Reward Model'!$C$12:$C$14,MATCH($K220,'Reward Model'!$A$12:$A$14,0))/$J220)),3)</f>
        <v>1</v>
      </c>
      <c r="AA220" s="2" t="n">
        <f aca="false">IF($I220="Correct",ROUND(INDEX('Reward Model'!$B$12:$B$14,MATCH($K220,'Reward Model'!$A$12:$A$14,0))*Z220,2),0)</f>
        <v>0</v>
      </c>
      <c r="AB220" s="2" t="n">
        <f aca="false">IF($I220="Correct",ROUND(INDEX('Reward Model'!$B$12:$B$14,MATCH($Y220,'Reward Model'!$A$12:$A$14,0))*Z220,2),0)</f>
        <v>0</v>
      </c>
    </row>
    <row r="221" customFormat="false" ht="15" hidden="false" customHeight="false" outlineLevel="0" collapsed="false">
      <c r="A221" s="0" t="s">
        <v>129</v>
      </c>
      <c r="B221" s="0" t="s">
        <v>130</v>
      </c>
      <c r="C221" s="0" t="s">
        <v>30</v>
      </c>
      <c r="D221" s="0" t="s">
        <v>31</v>
      </c>
      <c r="E221" s="0" t="n">
        <v>20</v>
      </c>
      <c r="F221" s="0" t="s">
        <v>81</v>
      </c>
      <c r="G221" s="0" t="s">
        <v>119</v>
      </c>
      <c r="H221" s="0" t="s">
        <v>83</v>
      </c>
      <c r="I221" s="0" t="s">
        <v>39</v>
      </c>
      <c r="J221" s="0" t="n">
        <v>1.95</v>
      </c>
      <c r="K221" s="0" t="s">
        <v>73</v>
      </c>
      <c r="L221" s="0" t="n">
        <f aca="false">INDEX(Summary!$F$2:$F$201,MATCH($B221,Summary!$A$2:$A$201,0))</f>
        <v>20</v>
      </c>
      <c r="M221" s="0" t="n">
        <f aca="false">INDEX(Summary!$I$2:$I$201,MATCH($B221,Summary!$A$2:$A$201,0))</f>
        <v>1</v>
      </c>
      <c r="N221" s="0" t="n">
        <f aca="false">INDEX(Summary!$J$2:$J$201,MATCH($B221,Summary!$A$2:$A$201,0))</f>
        <v>4</v>
      </c>
      <c r="O221" s="2" t="n">
        <f aca="false">INDEX(Summary!$K$2:$K$201,MATCH($B221,Summary!$A$2:$A$201,0))</f>
        <v>9.91</v>
      </c>
      <c r="P221" s="3" t="n">
        <f aca="false">INDEX(Summary!$L$2:$L$201,MATCH($B221,Summary!$A$2:$A$201,0))</f>
        <v>4</v>
      </c>
      <c r="Q221" s="3" t="n">
        <f aca="false">INDEX(Summary!$M$2:$M$201,MATCH($B221,Summary!$A$2:$A$201,0))</f>
        <v>2</v>
      </c>
      <c r="R221" s="2" t="n">
        <f aca="false">INDEX(Summary!$N$2:$N$201,MATCH($B221,Summary!$A$2:$A$201,0))</f>
        <v>10.06</v>
      </c>
      <c r="S221" s="3" t="n">
        <f aca="false">INDEX(Summary!$O$2:$O$201,MATCH($B221,Summary!$A$2:$A$201,0))</f>
        <v>8</v>
      </c>
      <c r="T221" s="3" t="n">
        <f aca="false">INDEX(Summary!$P$2:$P$201,MATCH($B221,Summary!$A$2:$A$201,0))</f>
        <v>1</v>
      </c>
      <c r="U221" s="2" t="n">
        <f aca="false">INDEX(Summary!$Q$2:$Q$201,MATCH($B221,Summary!$A$2:$A$201,0))</f>
        <v>12.72</v>
      </c>
      <c r="V221" s="2" t="n">
        <f aca="false">INDEX(Summary!$R$2:$R$201,MATCH($B221,Summary!$A$2:$A$201,0))</f>
        <v>22</v>
      </c>
      <c r="W221" s="0" t="str">
        <f aca="false">INDEX(Summary!$S$2:$S$201,MATCH($B221,Summary!$A$2:$A$201,0))</f>
        <v>Silver</v>
      </c>
      <c r="X221" s="2" t="n">
        <f aca="false">INDEX(Summary!$T$2:$T$201,MATCH($B221,Summary!$A$2:$A$201,0))</f>
        <v>53.66</v>
      </c>
      <c r="Y221" s="0" t="str">
        <f aca="false">INDEX('Reward Model'!$E$18:$E$37,MATCH($E221,'Reward Model'!$A$18:$A$37,0))</f>
        <v>High</v>
      </c>
      <c r="Z221" s="4" t="n">
        <f aca="false">ROUND(MIN(1,MAX('Reward Model'!$B$2,INDEX('Reward Model'!$C$12:$C$14,MATCH($K221,'Reward Model'!$A$12:$A$14,0))/$J221)),3)</f>
        <v>1</v>
      </c>
      <c r="AA221" s="2" t="n">
        <f aca="false">IF($I221="Correct",ROUND(INDEX('Reward Model'!$B$12:$B$14,MATCH($K221,'Reward Model'!$A$12:$A$14,0))*Z221,2),0)</f>
        <v>0</v>
      </c>
      <c r="AB221" s="2" t="n">
        <f aca="false">IF($I221="Correct",ROUND(INDEX('Reward Model'!$B$12:$B$14,MATCH($Y221,'Reward Model'!$A$12:$A$14,0))*Z221,2),0)</f>
        <v>0</v>
      </c>
    </row>
    <row r="222" customFormat="false" ht="15" hidden="false" customHeight="false" outlineLevel="0" collapsed="false">
      <c r="A222" s="0" t="s">
        <v>133</v>
      </c>
      <c r="B222" s="0" t="s">
        <v>134</v>
      </c>
      <c r="C222" s="0" t="s">
        <v>30</v>
      </c>
      <c r="D222" s="0" t="s">
        <v>31</v>
      </c>
      <c r="E222" s="0" t="n">
        <v>1</v>
      </c>
      <c r="F222" s="0" t="s">
        <v>32</v>
      </c>
      <c r="G222" s="0" t="s">
        <v>122</v>
      </c>
      <c r="H222" s="0" t="s">
        <v>33</v>
      </c>
      <c r="I222" s="0" t="s">
        <v>39</v>
      </c>
      <c r="J222" s="0" t="n">
        <v>1.28</v>
      </c>
      <c r="K222" s="0" t="s">
        <v>35</v>
      </c>
      <c r="L222" s="0" t="n">
        <f aca="false">INDEX(Summary!$F$2:$F$201,MATCH($B222,Summary!$A$2:$A$201,0))</f>
        <v>20</v>
      </c>
      <c r="M222" s="0" t="n">
        <f aca="false">INDEX(Summary!$I$2:$I$201,MATCH($B222,Summary!$A$2:$A$201,0))</f>
        <v>4</v>
      </c>
      <c r="N222" s="0" t="n">
        <f aca="false">INDEX(Summary!$J$2:$J$201,MATCH($B222,Summary!$A$2:$A$201,0))</f>
        <v>1</v>
      </c>
      <c r="O222" s="2" t="n">
        <f aca="false">INDEX(Summary!$K$2:$K$201,MATCH($B222,Summary!$A$2:$A$201,0))</f>
        <v>8.89</v>
      </c>
      <c r="P222" s="3" t="n">
        <f aca="false">INDEX(Summary!$L$2:$L$201,MATCH($B222,Summary!$A$2:$A$201,0))</f>
        <v>5</v>
      </c>
      <c r="Q222" s="3" t="n">
        <f aca="false">INDEX(Summary!$M$2:$M$201,MATCH($B222,Summary!$A$2:$A$201,0))</f>
        <v>1</v>
      </c>
      <c r="R222" s="2" t="n">
        <f aca="false">INDEX(Summary!$N$2:$N$201,MATCH($B222,Summary!$A$2:$A$201,0))</f>
        <v>10.53</v>
      </c>
      <c r="S222" s="3" t="n">
        <f aca="false">INDEX(Summary!$O$2:$O$201,MATCH($B222,Summary!$A$2:$A$201,0))</f>
        <v>7</v>
      </c>
      <c r="T222" s="3" t="n">
        <f aca="false">INDEX(Summary!$P$2:$P$201,MATCH($B222,Summary!$A$2:$A$201,0))</f>
        <v>2</v>
      </c>
      <c r="U222" s="2" t="n">
        <f aca="false">INDEX(Summary!$Q$2:$Q$201,MATCH($B222,Summary!$A$2:$A$201,0))</f>
        <v>11.96</v>
      </c>
      <c r="V222" s="2" t="n">
        <f aca="false">INDEX(Summary!$R$2:$R$201,MATCH($B222,Summary!$A$2:$A$201,0))</f>
        <v>31.5</v>
      </c>
      <c r="W222" s="0" t="str">
        <f aca="false">INDEX(Summary!$S$2:$S$201,MATCH($B222,Summary!$A$2:$A$201,0))</f>
        <v>Gold</v>
      </c>
      <c r="X222" s="2" t="n">
        <f aca="false">INDEX(Summary!$T$2:$T$201,MATCH($B222,Summary!$A$2:$A$201,0))</f>
        <v>76.83</v>
      </c>
      <c r="Y222" s="0" t="str">
        <f aca="false">INDEX('Reward Model'!$E$18:$E$37,MATCH($E222,'Reward Model'!$A$18:$A$37,0))</f>
        <v>Medium</v>
      </c>
      <c r="Z222" s="4" t="n">
        <f aca="false">ROUND(MIN(1,MAX('Reward Model'!$B$2,INDEX('Reward Model'!$C$12:$C$14,MATCH($K222,'Reward Model'!$A$12:$A$14,0))/$J222)),3)</f>
        <v>1</v>
      </c>
      <c r="AA222" s="2" t="n">
        <f aca="false">IF($I222="Correct",ROUND(INDEX('Reward Model'!$B$12:$B$14,MATCH($K222,'Reward Model'!$A$12:$A$14,0))*Z222,2),0)</f>
        <v>0</v>
      </c>
      <c r="AB222" s="2" t="n">
        <f aca="false">IF($I222="Correct",ROUND(INDEX('Reward Model'!$B$12:$B$14,MATCH($Y222,'Reward Model'!$A$12:$A$14,0))*Z222,2),0)</f>
        <v>0</v>
      </c>
    </row>
    <row r="223" customFormat="false" ht="15" hidden="false" customHeight="false" outlineLevel="0" collapsed="false">
      <c r="A223" s="0" t="s">
        <v>133</v>
      </c>
      <c r="B223" s="0" t="s">
        <v>134</v>
      </c>
      <c r="C223" s="0" t="s">
        <v>30</v>
      </c>
      <c r="D223" s="0" t="s">
        <v>31</v>
      </c>
      <c r="E223" s="0" t="n">
        <v>2</v>
      </c>
      <c r="F223" s="0" t="s">
        <v>36</v>
      </c>
      <c r="G223" s="0" t="s">
        <v>38</v>
      </c>
      <c r="H223" s="0" t="s">
        <v>38</v>
      </c>
      <c r="I223" s="0" t="s">
        <v>34</v>
      </c>
      <c r="J223" s="0" t="n">
        <v>1.28</v>
      </c>
      <c r="K223" s="0" t="s">
        <v>35</v>
      </c>
      <c r="L223" s="0" t="n">
        <f aca="false">INDEX(Summary!$F$2:$F$201,MATCH($B223,Summary!$A$2:$A$201,0))</f>
        <v>20</v>
      </c>
      <c r="M223" s="0" t="n">
        <f aca="false">INDEX(Summary!$I$2:$I$201,MATCH($B223,Summary!$A$2:$A$201,0))</f>
        <v>4</v>
      </c>
      <c r="N223" s="0" t="n">
        <f aca="false">INDEX(Summary!$J$2:$J$201,MATCH($B223,Summary!$A$2:$A$201,0))</f>
        <v>1</v>
      </c>
      <c r="O223" s="2" t="n">
        <f aca="false">INDEX(Summary!$K$2:$K$201,MATCH($B223,Summary!$A$2:$A$201,0))</f>
        <v>8.89</v>
      </c>
      <c r="P223" s="3" t="n">
        <f aca="false">INDEX(Summary!$L$2:$L$201,MATCH($B223,Summary!$A$2:$A$201,0))</f>
        <v>5</v>
      </c>
      <c r="Q223" s="3" t="n">
        <f aca="false">INDEX(Summary!$M$2:$M$201,MATCH($B223,Summary!$A$2:$A$201,0))</f>
        <v>1</v>
      </c>
      <c r="R223" s="2" t="n">
        <f aca="false">INDEX(Summary!$N$2:$N$201,MATCH($B223,Summary!$A$2:$A$201,0))</f>
        <v>10.53</v>
      </c>
      <c r="S223" s="3" t="n">
        <f aca="false">INDEX(Summary!$O$2:$O$201,MATCH($B223,Summary!$A$2:$A$201,0))</f>
        <v>7</v>
      </c>
      <c r="T223" s="3" t="n">
        <f aca="false">INDEX(Summary!$P$2:$P$201,MATCH($B223,Summary!$A$2:$A$201,0))</f>
        <v>2</v>
      </c>
      <c r="U223" s="2" t="n">
        <f aca="false">INDEX(Summary!$Q$2:$Q$201,MATCH($B223,Summary!$A$2:$A$201,0))</f>
        <v>11.96</v>
      </c>
      <c r="V223" s="2" t="n">
        <f aca="false">INDEX(Summary!$R$2:$R$201,MATCH($B223,Summary!$A$2:$A$201,0))</f>
        <v>31.5</v>
      </c>
      <c r="W223" s="0" t="str">
        <f aca="false">INDEX(Summary!$S$2:$S$201,MATCH($B223,Summary!$A$2:$A$201,0))</f>
        <v>Gold</v>
      </c>
      <c r="X223" s="2" t="n">
        <f aca="false">INDEX(Summary!$T$2:$T$201,MATCH($B223,Summary!$A$2:$A$201,0))</f>
        <v>76.83</v>
      </c>
      <c r="Y223" s="0" t="str">
        <f aca="false">INDEX('Reward Model'!$E$18:$E$37,MATCH($E223,'Reward Model'!$A$18:$A$37,0))</f>
        <v>Low</v>
      </c>
      <c r="Z223" s="4" t="n">
        <f aca="false">ROUND(MIN(1,MAX('Reward Model'!$B$2,INDEX('Reward Model'!$C$12:$C$14,MATCH($K223,'Reward Model'!$A$12:$A$14,0))/$J223)),3)</f>
        <v>1</v>
      </c>
      <c r="AA223" s="2" t="n">
        <f aca="false">IF($I223="Correct",ROUND(INDEX('Reward Model'!$B$12:$B$14,MATCH($K223,'Reward Model'!$A$12:$A$14,0))*Z223,2),0)</f>
        <v>1</v>
      </c>
      <c r="AB223" s="2" t="n">
        <f aca="false">IF($I223="Correct",ROUND(INDEX('Reward Model'!$B$12:$B$14,MATCH($Y223,'Reward Model'!$A$12:$A$14,0))*Z223,2),0)</f>
        <v>1</v>
      </c>
    </row>
    <row r="224" customFormat="false" ht="15" hidden="false" customHeight="false" outlineLevel="0" collapsed="false">
      <c r="A224" s="0" t="s">
        <v>133</v>
      </c>
      <c r="B224" s="0" t="s">
        <v>134</v>
      </c>
      <c r="C224" s="0" t="s">
        <v>30</v>
      </c>
      <c r="D224" s="0" t="s">
        <v>31</v>
      </c>
      <c r="E224" s="0" t="n">
        <v>3</v>
      </c>
      <c r="F224" s="0" t="s">
        <v>40</v>
      </c>
      <c r="G224" s="0" t="s">
        <v>123</v>
      </c>
      <c r="H224" s="0" t="s">
        <v>42</v>
      </c>
      <c r="I224" s="0" t="s">
        <v>39</v>
      </c>
      <c r="J224" s="0" t="n">
        <v>1.43</v>
      </c>
      <c r="K224" s="0" t="s">
        <v>35</v>
      </c>
      <c r="L224" s="0" t="n">
        <f aca="false">INDEX(Summary!$F$2:$F$201,MATCH($B224,Summary!$A$2:$A$201,0))</f>
        <v>20</v>
      </c>
      <c r="M224" s="0" t="n">
        <f aca="false">INDEX(Summary!$I$2:$I$201,MATCH($B224,Summary!$A$2:$A$201,0))</f>
        <v>4</v>
      </c>
      <c r="N224" s="0" t="n">
        <f aca="false">INDEX(Summary!$J$2:$J$201,MATCH($B224,Summary!$A$2:$A$201,0))</f>
        <v>1</v>
      </c>
      <c r="O224" s="2" t="n">
        <f aca="false">INDEX(Summary!$K$2:$K$201,MATCH($B224,Summary!$A$2:$A$201,0))</f>
        <v>8.89</v>
      </c>
      <c r="P224" s="3" t="n">
        <f aca="false">INDEX(Summary!$L$2:$L$201,MATCH($B224,Summary!$A$2:$A$201,0))</f>
        <v>5</v>
      </c>
      <c r="Q224" s="3" t="n">
        <f aca="false">INDEX(Summary!$M$2:$M$201,MATCH($B224,Summary!$A$2:$A$201,0))</f>
        <v>1</v>
      </c>
      <c r="R224" s="2" t="n">
        <f aca="false">INDEX(Summary!$N$2:$N$201,MATCH($B224,Summary!$A$2:$A$201,0))</f>
        <v>10.53</v>
      </c>
      <c r="S224" s="3" t="n">
        <f aca="false">INDEX(Summary!$O$2:$O$201,MATCH($B224,Summary!$A$2:$A$201,0))</f>
        <v>7</v>
      </c>
      <c r="T224" s="3" t="n">
        <f aca="false">INDEX(Summary!$P$2:$P$201,MATCH($B224,Summary!$A$2:$A$201,0))</f>
        <v>2</v>
      </c>
      <c r="U224" s="2" t="n">
        <f aca="false">INDEX(Summary!$Q$2:$Q$201,MATCH($B224,Summary!$A$2:$A$201,0))</f>
        <v>11.96</v>
      </c>
      <c r="V224" s="2" t="n">
        <f aca="false">INDEX(Summary!$R$2:$R$201,MATCH($B224,Summary!$A$2:$A$201,0))</f>
        <v>31.5</v>
      </c>
      <c r="W224" s="0" t="str">
        <f aca="false">INDEX(Summary!$S$2:$S$201,MATCH($B224,Summary!$A$2:$A$201,0))</f>
        <v>Gold</v>
      </c>
      <c r="X224" s="2" t="n">
        <f aca="false">INDEX(Summary!$T$2:$T$201,MATCH($B224,Summary!$A$2:$A$201,0))</f>
        <v>76.83</v>
      </c>
      <c r="Y224" s="0" t="str">
        <f aca="false">INDEX('Reward Model'!$E$18:$E$37,MATCH($E224,'Reward Model'!$A$18:$A$37,0))</f>
        <v>Medium</v>
      </c>
      <c r="Z224" s="4" t="n">
        <f aca="false">ROUND(MIN(1,MAX('Reward Model'!$B$2,INDEX('Reward Model'!$C$12:$C$14,MATCH($K224,'Reward Model'!$A$12:$A$14,0))/$J224)),3)</f>
        <v>1</v>
      </c>
      <c r="AA224" s="2" t="n">
        <f aca="false">IF($I224="Correct",ROUND(INDEX('Reward Model'!$B$12:$B$14,MATCH($K224,'Reward Model'!$A$12:$A$14,0))*Z224,2),0)</f>
        <v>0</v>
      </c>
      <c r="AB224" s="2" t="n">
        <f aca="false">IF($I224="Correct",ROUND(INDEX('Reward Model'!$B$12:$B$14,MATCH($Y224,'Reward Model'!$A$12:$A$14,0))*Z224,2),0)</f>
        <v>0</v>
      </c>
    </row>
    <row r="225" customFormat="false" ht="15" hidden="false" customHeight="false" outlineLevel="0" collapsed="false">
      <c r="A225" s="0" t="s">
        <v>133</v>
      </c>
      <c r="B225" s="0" t="s">
        <v>134</v>
      </c>
      <c r="C225" s="0" t="s">
        <v>30</v>
      </c>
      <c r="D225" s="0" t="s">
        <v>31</v>
      </c>
      <c r="E225" s="0" t="n">
        <v>4</v>
      </c>
      <c r="F225" s="0" t="s">
        <v>43</v>
      </c>
      <c r="G225" s="0" t="s">
        <v>45</v>
      </c>
      <c r="H225" s="0" t="s">
        <v>45</v>
      </c>
      <c r="I225" s="0" t="s">
        <v>34</v>
      </c>
      <c r="J225" s="0" t="n">
        <v>1.44</v>
      </c>
      <c r="K225" s="0" t="s">
        <v>35</v>
      </c>
      <c r="L225" s="0" t="n">
        <f aca="false">INDEX(Summary!$F$2:$F$201,MATCH($B225,Summary!$A$2:$A$201,0))</f>
        <v>20</v>
      </c>
      <c r="M225" s="0" t="n">
        <f aca="false">INDEX(Summary!$I$2:$I$201,MATCH($B225,Summary!$A$2:$A$201,0))</f>
        <v>4</v>
      </c>
      <c r="N225" s="0" t="n">
        <f aca="false">INDEX(Summary!$J$2:$J$201,MATCH($B225,Summary!$A$2:$A$201,0))</f>
        <v>1</v>
      </c>
      <c r="O225" s="2" t="n">
        <f aca="false">INDEX(Summary!$K$2:$K$201,MATCH($B225,Summary!$A$2:$A$201,0))</f>
        <v>8.89</v>
      </c>
      <c r="P225" s="3" t="n">
        <f aca="false">INDEX(Summary!$L$2:$L$201,MATCH($B225,Summary!$A$2:$A$201,0))</f>
        <v>5</v>
      </c>
      <c r="Q225" s="3" t="n">
        <f aca="false">INDEX(Summary!$M$2:$M$201,MATCH($B225,Summary!$A$2:$A$201,0))</f>
        <v>1</v>
      </c>
      <c r="R225" s="2" t="n">
        <f aca="false">INDEX(Summary!$N$2:$N$201,MATCH($B225,Summary!$A$2:$A$201,0))</f>
        <v>10.53</v>
      </c>
      <c r="S225" s="3" t="n">
        <f aca="false">INDEX(Summary!$O$2:$O$201,MATCH($B225,Summary!$A$2:$A$201,0))</f>
        <v>7</v>
      </c>
      <c r="T225" s="3" t="n">
        <f aca="false">INDEX(Summary!$P$2:$P$201,MATCH($B225,Summary!$A$2:$A$201,0))</f>
        <v>2</v>
      </c>
      <c r="U225" s="2" t="n">
        <f aca="false">INDEX(Summary!$Q$2:$Q$201,MATCH($B225,Summary!$A$2:$A$201,0))</f>
        <v>11.96</v>
      </c>
      <c r="V225" s="2" t="n">
        <f aca="false">INDEX(Summary!$R$2:$R$201,MATCH($B225,Summary!$A$2:$A$201,0))</f>
        <v>31.5</v>
      </c>
      <c r="W225" s="0" t="str">
        <f aca="false">INDEX(Summary!$S$2:$S$201,MATCH($B225,Summary!$A$2:$A$201,0))</f>
        <v>Gold</v>
      </c>
      <c r="X225" s="2" t="n">
        <f aca="false">INDEX(Summary!$T$2:$T$201,MATCH($B225,Summary!$A$2:$A$201,0))</f>
        <v>76.83</v>
      </c>
      <c r="Y225" s="0" t="str">
        <f aca="false">INDEX('Reward Model'!$E$18:$E$37,MATCH($E225,'Reward Model'!$A$18:$A$37,0))</f>
        <v>Low</v>
      </c>
      <c r="Z225" s="4" t="n">
        <f aca="false">ROUND(MIN(1,MAX('Reward Model'!$B$2,INDEX('Reward Model'!$C$12:$C$14,MATCH($K225,'Reward Model'!$A$12:$A$14,0))/$J225)),3)</f>
        <v>1</v>
      </c>
      <c r="AA225" s="2" t="n">
        <f aca="false">IF($I225="Correct",ROUND(INDEX('Reward Model'!$B$12:$B$14,MATCH($K225,'Reward Model'!$A$12:$A$14,0))*Z225,2),0)</f>
        <v>1</v>
      </c>
      <c r="AB225" s="2" t="n">
        <f aca="false">IF($I225="Correct",ROUND(INDEX('Reward Model'!$B$12:$B$14,MATCH($Y225,'Reward Model'!$A$12:$A$14,0))*Z225,2),0)</f>
        <v>1</v>
      </c>
    </row>
    <row r="226" customFormat="false" ht="15" hidden="false" customHeight="false" outlineLevel="0" collapsed="false">
      <c r="A226" s="0" t="s">
        <v>133</v>
      </c>
      <c r="B226" s="0" t="s">
        <v>134</v>
      </c>
      <c r="C226" s="0" t="s">
        <v>30</v>
      </c>
      <c r="D226" s="0" t="s">
        <v>31</v>
      </c>
      <c r="E226" s="0" t="n">
        <v>5</v>
      </c>
      <c r="F226" s="0" t="s">
        <v>46</v>
      </c>
      <c r="G226" s="0" t="s">
        <v>47</v>
      </c>
      <c r="H226" s="0" t="s">
        <v>47</v>
      </c>
      <c r="I226" s="0" t="s">
        <v>34</v>
      </c>
      <c r="J226" s="0" t="n">
        <v>1.26</v>
      </c>
      <c r="K226" s="0" t="s">
        <v>35</v>
      </c>
      <c r="L226" s="0" t="n">
        <f aca="false">INDEX(Summary!$F$2:$F$201,MATCH($B226,Summary!$A$2:$A$201,0))</f>
        <v>20</v>
      </c>
      <c r="M226" s="0" t="n">
        <f aca="false">INDEX(Summary!$I$2:$I$201,MATCH($B226,Summary!$A$2:$A$201,0))</f>
        <v>4</v>
      </c>
      <c r="N226" s="0" t="n">
        <f aca="false">INDEX(Summary!$J$2:$J$201,MATCH($B226,Summary!$A$2:$A$201,0))</f>
        <v>1</v>
      </c>
      <c r="O226" s="2" t="n">
        <f aca="false">INDEX(Summary!$K$2:$K$201,MATCH($B226,Summary!$A$2:$A$201,0))</f>
        <v>8.89</v>
      </c>
      <c r="P226" s="3" t="n">
        <f aca="false">INDEX(Summary!$L$2:$L$201,MATCH($B226,Summary!$A$2:$A$201,0))</f>
        <v>5</v>
      </c>
      <c r="Q226" s="3" t="n">
        <f aca="false">INDEX(Summary!$M$2:$M$201,MATCH($B226,Summary!$A$2:$A$201,0))</f>
        <v>1</v>
      </c>
      <c r="R226" s="2" t="n">
        <f aca="false">INDEX(Summary!$N$2:$N$201,MATCH($B226,Summary!$A$2:$A$201,0))</f>
        <v>10.53</v>
      </c>
      <c r="S226" s="3" t="n">
        <f aca="false">INDEX(Summary!$O$2:$O$201,MATCH($B226,Summary!$A$2:$A$201,0))</f>
        <v>7</v>
      </c>
      <c r="T226" s="3" t="n">
        <f aca="false">INDEX(Summary!$P$2:$P$201,MATCH($B226,Summary!$A$2:$A$201,0))</f>
        <v>2</v>
      </c>
      <c r="U226" s="2" t="n">
        <f aca="false">INDEX(Summary!$Q$2:$Q$201,MATCH($B226,Summary!$A$2:$A$201,0))</f>
        <v>11.96</v>
      </c>
      <c r="V226" s="2" t="n">
        <f aca="false">INDEX(Summary!$R$2:$R$201,MATCH($B226,Summary!$A$2:$A$201,0))</f>
        <v>31.5</v>
      </c>
      <c r="W226" s="0" t="str">
        <f aca="false">INDEX(Summary!$S$2:$S$201,MATCH($B226,Summary!$A$2:$A$201,0))</f>
        <v>Gold</v>
      </c>
      <c r="X226" s="2" t="n">
        <f aca="false">INDEX(Summary!$T$2:$T$201,MATCH($B226,Summary!$A$2:$A$201,0))</f>
        <v>76.83</v>
      </c>
      <c r="Y226" s="0" t="str">
        <f aca="false">INDEX('Reward Model'!$E$18:$E$37,MATCH($E226,'Reward Model'!$A$18:$A$37,0))</f>
        <v>Low</v>
      </c>
      <c r="Z226" s="4" t="n">
        <f aca="false">ROUND(MIN(1,MAX('Reward Model'!$B$2,INDEX('Reward Model'!$C$12:$C$14,MATCH($K226,'Reward Model'!$A$12:$A$14,0))/$J226)),3)</f>
        <v>1</v>
      </c>
      <c r="AA226" s="2" t="n">
        <f aca="false">IF($I226="Correct",ROUND(INDEX('Reward Model'!$B$12:$B$14,MATCH($K226,'Reward Model'!$A$12:$A$14,0))*Z226,2),0)</f>
        <v>1</v>
      </c>
      <c r="AB226" s="2" t="n">
        <f aca="false">IF($I226="Correct",ROUND(INDEX('Reward Model'!$B$12:$B$14,MATCH($Y226,'Reward Model'!$A$12:$A$14,0))*Z226,2),0)</f>
        <v>1</v>
      </c>
    </row>
    <row r="227" customFormat="false" ht="15" hidden="false" customHeight="false" outlineLevel="0" collapsed="false">
      <c r="A227" s="0" t="s">
        <v>133</v>
      </c>
      <c r="B227" s="0" t="s">
        <v>134</v>
      </c>
      <c r="C227" s="0" t="s">
        <v>30</v>
      </c>
      <c r="D227" s="0" t="s">
        <v>31</v>
      </c>
      <c r="E227" s="0" t="n">
        <v>6</v>
      </c>
      <c r="F227" s="0" t="s">
        <v>48</v>
      </c>
      <c r="G227" s="0" t="s">
        <v>49</v>
      </c>
      <c r="H227" s="0" t="s">
        <v>49</v>
      </c>
      <c r="I227" s="0" t="s">
        <v>34</v>
      </c>
      <c r="J227" s="0" t="n">
        <v>1.18</v>
      </c>
      <c r="K227" s="0" t="s">
        <v>35</v>
      </c>
      <c r="L227" s="0" t="n">
        <f aca="false">INDEX(Summary!$F$2:$F$201,MATCH($B227,Summary!$A$2:$A$201,0))</f>
        <v>20</v>
      </c>
      <c r="M227" s="0" t="n">
        <f aca="false">INDEX(Summary!$I$2:$I$201,MATCH($B227,Summary!$A$2:$A$201,0))</f>
        <v>4</v>
      </c>
      <c r="N227" s="0" t="n">
        <f aca="false">INDEX(Summary!$J$2:$J$201,MATCH($B227,Summary!$A$2:$A$201,0))</f>
        <v>1</v>
      </c>
      <c r="O227" s="2" t="n">
        <f aca="false">INDEX(Summary!$K$2:$K$201,MATCH($B227,Summary!$A$2:$A$201,0))</f>
        <v>8.89</v>
      </c>
      <c r="P227" s="3" t="n">
        <f aca="false">INDEX(Summary!$L$2:$L$201,MATCH($B227,Summary!$A$2:$A$201,0))</f>
        <v>5</v>
      </c>
      <c r="Q227" s="3" t="n">
        <f aca="false">INDEX(Summary!$M$2:$M$201,MATCH($B227,Summary!$A$2:$A$201,0))</f>
        <v>1</v>
      </c>
      <c r="R227" s="2" t="n">
        <f aca="false">INDEX(Summary!$N$2:$N$201,MATCH($B227,Summary!$A$2:$A$201,0))</f>
        <v>10.53</v>
      </c>
      <c r="S227" s="3" t="n">
        <f aca="false">INDEX(Summary!$O$2:$O$201,MATCH($B227,Summary!$A$2:$A$201,0))</f>
        <v>7</v>
      </c>
      <c r="T227" s="3" t="n">
        <f aca="false">INDEX(Summary!$P$2:$P$201,MATCH($B227,Summary!$A$2:$A$201,0))</f>
        <v>2</v>
      </c>
      <c r="U227" s="2" t="n">
        <f aca="false">INDEX(Summary!$Q$2:$Q$201,MATCH($B227,Summary!$A$2:$A$201,0))</f>
        <v>11.96</v>
      </c>
      <c r="V227" s="2" t="n">
        <f aca="false">INDEX(Summary!$R$2:$R$201,MATCH($B227,Summary!$A$2:$A$201,0))</f>
        <v>31.5</v>
      </c>
      <c r="W227" s="0" t="str">
        <f aca="false">INDEX(Summary!$S$2:$S$201,MATCH($B227,Summary!$A$2:$A$201,0))</f>
        <v>Gold</v>
      </c>
      <c r="X227" s="2" t="n">
        <f aca="false">INDEX(Summary!$T$2:$T$201,MATCH($B227,Summary!$A$2:$A$201,0))</f>
        <v>76.83</v>
      </c>
      <c r="Y227" s="0" t="str">
        <f aca="false">INDEX('Reward Model'!$E$18:$E$37,MATCH($E227,'Reward Model'!$A$18:$A$37,0))</f>
        <v>Medium</v>
      </c>
      <c r="Z227" s="4" t="n">
        <f aca="false">ROUND(MIN(1,MAX('Reward Model'!$B$2,INDEX('Reward Model'!$C$12:$C$14,MATCH($K227,'Reward Model'!$A$12:$A$14,0))/$J227)),3)</f>
        <v>1</v>
      </c>
      <c r="AA227" s="2" t="n">
        <f aca="false">IF($I227="Correct",ROUND(INDEX('Reward Model'!$B$12:$B$14,MATCH($K227,'Reward Model'!$A$12:$A$14,0))*Z227,2),0)</f>
        <v>1</v>
      </c>
      <c r="AB227" s="2" t="n">
        <f aca="false">IF($I227="Correct",ROUND(INDEX('Reward Model'!$B$12:$B$14,MATCH($Y227,'Reward Model'!$A$12:$A$14,0))*Z227,2),0)</f>
        <v>2</v>
      </c>
    </row>
    <row r="228" customFormat="false" ht="15" hidden="false" customHeight="false" outlineLevel="0" collapsed="false">
      <c r="A228" s="0" t="s">
        <v>133</v>
      </c>
      <c r="B228" s="0" t="s">
        <v>134</v>
      </c>
      <c r="C228" s="0" t="s">
        <v>30</v>
      </c>
      <c r="D228" s="0" t="s">
        <v>31</v>
      </c>
      <c r="E228" s="0" t="n">
        <v>7</v>
      </c>
      <c r="F228" s="0" t="s">
        <v>50</v>
      </c>
      <c r="G228" s="0" t="s">
        <v>51</v>
      </c>
      <c r="H228" s="0" t="s">
        <v>51</v>
      </c>
      <c r="I228" s="0" t="s">
        <v>34</v>
      </c>
      <c r="J228" s="0" t="n">
        <v>1.61</v>
      </c>
      <c r="K228" s="0" t="s">
        <v>35</v>
      </c>
      <c r="L228" s="0" t="n">
        <f aca="false">INDEX(Summary!$F$2:$F$201,MATCH($B228,Summary!$A$2:$A$201,0))</f>
        <v>20</v>
      </c>
      <c r="M228" s="0" t="n">
        <f aca="false">INDEX(Summary!$I$2:$I$201,MATCH($B228,Summary!$A$2:$A$201,0))</f>
        <v>4</v>
      </c>
      <c r="N228" s="0" t="n">
        <f aca="false">INDEX(Summary!$J$2:$J$201,MATCH($B228,Summary!$A$2:$A$201,0))</f>
        <v>1</v>
      </c>
      <c r="O228" s="2" t="n">
        <f aca="false">INDEX(Summary!$K$2:$K$201,MATCH($B228,Summary!$A$2:$A$201,0))</f>
        <v>8.89</v>
      </c>
      <c r="P228" s="3" t="n">
        <f aca="false">INDEX(Summary!$L$2:$L$201,MATCH($B228,Summary!$A$2:$A$201,0))</f>
        <v>5</v>
      </c>
      <c r="Q228" s="3" t="n">
        <f aca="false">INDEX(Summary!$M$2:$M$201,MATCH($B228,Summary!$A$2:$A$201,0))</f>
        <v>1</v>
      </c>
      <c r="R228" s="2" t="n">
        <f aca="false">INDEX(Summary!$N$2:$N$201,MATCH($B228,Summary!$A$2:$A$201,0))</f>
        <v>10.53</v>
      </c>
      <c r="S228" s="3" t="n">
        <f aca="false">INDEX(Summary!$O$2:$O$201,MATCH($B228,Summary!$A$2:$A$201,0))</f>
        <v>7</v>
      </c>
      <c r="T228" s="3" t="n">
        <f aca="false">INDEX(Summary!$P$2:$P$201,MATCH($B228,Summary!$A$2:$A$201,0))</f>
        <v>2</v>
      </c>
      <c r="U228" s="2" t="n">
        <f aca="false">INDEX(Summary!$Q$2:$Q$201,MATCH($B228,Summary!$A$2:$A$201,0))</f>
        <v>11.96</v>
      </c>
      <c r="V228" s="2" t="n">
        <f aca="false">INDEX(Summary!$R$2:$R$201,MATCH($B228,Summary!$A$2:$A$201,0))</f>
        <v>31.5</v>
      </c>
      <c r="W228" s="0" t="str">
        <f aca="false">INDEX(Summary!$S$2:$S$201,MATCH($B228,Summary!$A$2:$A$201,0))</f>
        <v>Gold</v>
      </c>
      <c r="X228" s="2" t="n">
        <f aca="false">INDEX(Summary!$T$2:$T$201,MATCH($B228,Summary!$A$2:$A$201,0))</f>
        <v>76.83</v>
      </c>
      <c r="Y228" s="0" t="str">
        <f aca="false">INDEX('Reward Model'!$E$18:$E$37,MATCH($E228,'Reward Model'!$A$18:$A$37,0))</f>
        <v>Low</v>
      </c>
      <c r="Z228" s="4" t="n">
        <f aca="false">ROUND(MIN(1,MAX('Reward Model'!$B$2,INDEX('Reward Model'!$C$12:$C$14,MATCH($K228,'Reward Model'!$A$12:$A$14,0))/$J228)),3)</f>
        <v>0.932</v>
      </c>
      <c r="AA228" s="2" t="n">
        <f aca="false">IF($I228="Correct",ROUND(INDEX('Reward Model'!$B$12:$B$14,MATCH($K228,'Reward Model'!$A$12:$A$14,0))*Z228,2),0)</f>
        <v>0.93</v>
      </c>
      <c r="AB228" s="2" t="n">
        <f aca="false">IF($I228="Correct",ROUND(INDEX('Reward Model'!$B$12:$B$14,MATCH($Y228,'Reward Model'!$A$12:$A$14,0))*Z228,2),0)</f>
        <v>0.93</v>
      </c>
    </row>
    <row r="229" customFormat="false" ht="15" hidden="false" customHeight="false" outlineLevel="0" collapsed="false">
      <c r="A229" s="0" t="s">
        <v>133</v>
      </c>
      <c r="B229" s="0" t="s">
        <v>134</v>
      </c>
      <c r="C229" s="0" t="s">
        <v>30</v>
      </c>
      <c r="D229" s="0" t="s">
        <v>31</v>
      </c>
      <c r="E229" s="0" t="n">
        <v>8</v>
      </c>
      <c r="F229" s="0" t="s">
        <v>52</v>
      </c>
      <c r="G229" s="0" t="s">
        <v>54</v>
      </c>
      <c r="H229" s="0" t="s">
        <v>54</v>
      </c>
      <c r="I229" s="0" t="s">
        <v>34</v>
      </c>
      <c r="J229" s="0" t="n">
        <v>1.05</v>
      </c>
      <c r="K229" s="0" t="s">
        <v>35</v>
      </c>
      <c r="L229" s="0" t="n">
        <f aca="false">INDEX(Summary!$F$2:$F$201,MATCH($B229,Summary!$A$2:$A$201,0))</f>
        <v>20</v>
      </c>
      <c r="M229" s="0" t="n">
        <f aca="false">INDEX(Summary!$I$2:$I$201,MATCH($B229,Summary!$A$2:$A$201,0))</f>
        <v>4</v>
      </c>
      <c r="N229" s="0" t="n">
        <f aca="false">INDEX(Summary!$J$2:$J$201,MATCH($B229,Summary!$A$2:$A$201,0))</f>
        <v>1</v>
      </c>
      <c r="O229" s="2" t="n">
        <f aca="false">INDEX(Summary!$K$2:$K$201,MATCH($B229,Summary!$A$2:$A$201,0))</f>
        <v>8.89</v>
      </c>
      <c r="P229" s="3" t="n">
        <f aca="false">INDEX(Summary!$L$2:$L$201,MATCH($B229,Summary!$A$2:$A$201,0))</f>
        <v>5</v>
      </c>
      <c r="Q229" s="3" t="n">
        <f aca="false">INDEX(Summary!$M$2:$M$201,MATCH($B229,Summary!$A$2:$A$201,0))</f>
        <v>1</v>
      </c>
      <c r="R229" s="2" t="n">
        <f aca="false">INDEX(Summary!$N$2:$N$201,MATCH($B229,Summary!$A$2:$A$201,0))</f>
        <v>10.53</v>
      </c>
      <c r="S229" s="3" t="n">
        <f aca="false">INDEX(Summary!$O$2:$O$201,MATCH($B229,Summary!$A$2:$A$201,0))</f>
        <v>7</v>
      </c>
      <c r="T229" s="3" t="n">
        <f aca="false">INDEX(Summary!$P$2:$P$201,MATCH($B229,Summary!$A$2:$A$201,0))</f>
        <v>2</v>
      </c>
      <c r="U229" s="2" t="n">
        <f aca="false">INDEX(Summary!$Q$2:$Q$201,MATCH($B229,Summary!$A$2:$A$201,0))</f>
        <v>11.96</v>
      </c>
      <c r="V229" s="2" t="n">
        <f aca="false">INDEX(Summary!$R$2:$R$201,MATCH($B229,Summary!$A$2:$A$201,0))</f>
        <v>31.5</v>
      </c>
      <c r="W229" s="0" t="str">
        <f aca="false">INDEX(Summary!$S$2:$S$201,MATCH($B229,Summary!$A$2:$A$201,0))</f>
        <v>Gold</v>
      </c>
      <c r="X229" s="2" t="n">
        <f aca="false">INDEX(Summary!$T$2:$T$201,MATCH($B229,Summary!$A$2:$A$201,0))</f>
        <v>76.83</v>
      </c>
      <c r="Y229" s="0" t="str">
        <f aca="false">INDEX('Reward Model'!$E$18:$E$37,MATCH($E229,'Reward Model'!$A$18:$A$37,0))</f>
        <v>Medium</v>
      </c>
      <c r="Z229" s="4" t="n">
        <f aca="false">ROUND(MIN(1,MAX('Reward Model'!$B$2,INDEX('Reward Model'!$C$12:$C$14,MATCH($K229,'Reward Model'!$A$12:$A$14,0))/$J229)),3)</f>
        <v>1</v>
      </c>
      <c r="AA229" s="2" t="n">
        <f aca="false">IF($I229="Correct",ROUND(INDEX('Reward Model'!$B$12:$B$14,MATCH($K229,'Reward Model'!$A$12:$A$14,0))*Z229,2),0)</f>
        <v>1</v>
      </c>
      <c r="AB229" s="2" t="n">
        <f aca="false">IF($I229="Correct",ROUND(INDEX('Reward Model'!$B$12:$B$14,MATCH($Y229,'Reward Model'!$A$12:$A$14,0))*Z229,2),0)</f>
        <v>2</v>
      </c>
    </row>
    <row r="230" customFormat="false" ht="15" hidden="false" customHeight="false" outlineLevel="0" collapsed="false">
      <c r="A230" s="0" t="s">
        <v>133</v>
      </c>
      <c r="B230" s="0" t="s">
        <v>134</v>
      </c>
      <c r="C230" s="0" t="s">
        <v>30</v>
      </c>
      <c r="D230" s="0" t="s">
        <v>31</v>
      </c>
      <c r="E230" s="0" t="n">
        <v>9</v>
      </c>
      <c r="F230" s="0" t="s">
        <v>55</v>
      </c>
      <c r="G230" s="0" t="s">
        <v>57</v>
      </c>
      <c r="H230" s="0" t="s">
        <v>57</v>
      </c>
      <c r="I230" s="0" t="s">
        <v>34</v>
      </c>
      <c r="J230" s="0" t="n">
        <v>1.43</v>
      </c>
      <c r="K230" s="0" t="s">
        <v>35</v>
      </c>
      <c r="L230" s="0" t="n">
        <f aca="false">INDEX(Summary!$F$2:$F$201,MATCH($B230,Summary!$A$2:$A$201,0))</f>
        <v>20</v>
      </c>
      <c r="M230" s="0" t="n">
        <f aca="false">INDEX(Summary!$I$2:$I$201,MATCH($B230,Summary!$A$2:$A$201,0))</f>
        <v>4</v>
      </c>
      <c r="N230" s="0" t="n">
        <f aca="false">INDEX(Summary!$J$2:$J$201,MATCH($B230,Summary!$A$2:$A$201,0))</f>
        <v>1</v>
      </c>
      <c r="O230" s="2" t="n">
        <f aca="false">INDEX(Summary!$K$2:$K$201,MATCH($B230,Summary!$A$2:$A$201,0))</f>
        <v>8.89</v>
      </c>
      <c r="P230" s="3" t="n">
        <f aca="false">INDEX(Summary!$L$2:$L$201,MATCH($B230,Summary!$A$2:$A$201,0))</f>
        <v>5</v>
      </c>
      <c r="Q230" s="3" t="n">
        <f aca="false">INDEX(Summary!$M$2:$M$201,MATCH($B230,Summary!$A$2:$A$201,0))</f>
        <v>1</v>
      </c>
      <c r="R230" s="2" t="n">
        <f aca="false">INDEX(Summary!$N$2:$N$201,MATCH($B230,Summary!$A$2:$A$201,0))</f>
        <v>10.53</v>
      </c>
      <c r="S230" s="3" t="n">
        <f aca="false">INDEX(Summary!$O$2:$O$201,MATCH($B230,Summary!$A$2:$A$201,0))</f>
        <v>7</v>
      </c>
      <c r="T230" s="3" t="n">
        <f aca="false">INDEX(Summary!$P$2:$P$201,MATCH($B230,Summary!$A$2:$A$201,0))</f>
        <v>2</v>
      </c>
      <c r="U230" s="2" t="n">
        <f aca="false">INDEX(Summary!$Q$2:$Q$201,MATCH($B230,Summary!$A$2:$A$201,0))</f>
        <v>11.96</v>
      </c>
      <c r="V230" s="2" t="n">
        <f aca="false">INDEX(Summary!$R$2:$R$201,MATCH($B230,Summary!$A$2:$A$201,0))</f>
        <v>31.5</v>
      </c>
      <c r="W230" s="0" t="str">
        <f aca="false">INDEX(Summary!$S$2:$S$201,MATCH($B230,Summary!$A$2:$A$201,0))</f>
        <v>Gold</v>
      </c>
      <c r="X230" s="2" t="n">
        <f aca="false">INDEX(Summary!$T$2:$T$201,MATCH($B230,Summary!$A$2:$A$201,0))</f>
        <v>76.83</v>
      </c>
      <c r="Y230" s="0" t="str">
        <f aca="false">INDEX('Reward Model'!$E$18:$E$37,MATCH($E230,'Reward Model'!$A$18:$A$37,0))</f>
        <v>Medium</v>
      </c>
      <c r="Z230" s="4" t="n">
        <f aca="false">ROUND(MIN(1,MAX('Reward Model'!$B$2,INDEX('Reward Model'!$C$12:$C$14,MATCH($K230,'Reward Model'!$A$12:$A$14,0))/$J230)),3)</f>
        <v>1</v>
      </c>
      <c r="AA230" s="2" t="n">
        <f aca="false">IF($I230="Correct",ROUND(INDEX('Reward Model'!$B$12:$B$14,MATCH($K230,'Reward Model'!$A$12:$A$14,0))*Z230,2),0)</f>
        <v>1</v>
      </c>
      <c r="AB230" s="2" t="n">
        <f aca="false">IF($I230="Correct",ROUND(INDEX('Reward Model'!$B$12:$B$14,MATCH($Y230,'Reward Model'!$A$12:$A$14,0))*Z230,2),0)</f>
        <v>2</v>
      </c>
    </row>
    <row r="231" customFormat="false" ht="15" hidden="false" customHeight="false" outlineLevel="0" collapsed="false">
      <c r="A231" s="0" t="s">
        <v>133</v>
      </c>
      <c r="B231" s="0" t="s">
        <v>134</v>
      </c>
      <c r="C231" s="0" t="s">
        <v>30</v>
      </c>
      <c r="D231" s="0" t="s">
        <v>31</v>
      </c>
      <c r="E231" s="0" t="n">
        <v>10</v>
      </c>
      <c r="F231" s="0" t="s">
        <v>58</v>
      </c>
      <c r="G231" s="0" t="s">
        <v>59</v>
      </c>
      <c r="H231" s="0" t="s">
        <v>59</v>
      </c>
      <c r="I231" s="0" t="s">
        <v>34</v>
      </c>
      <c r="J231" s="0" t="n">
        <v>1.54</v>
      </c>
      <c r="K231" s="0" t="s">
        <v>60</v>
      </c>
      <c r="L231" s="0" t="n">
        <f aca="false">INDEX(Summary!$F$2:$F$201,MATCH($B231,Summary!$A$2:$A$201,0))</f>
        <v>20</v>
      </c>
      <c r="M231" s="0" t="n">
        <f aca="false">INDEX(Summary!$I$2:$I$201,MATCH($B231,Summary!$A$2:$A$201,0))</f>
        <v>4</v>
      </c>
      <c r="N231" s="0" t="n">
        <f aca="false">INDEX(Summary!$J$2:$J$201,MATCH($B231,Summary!$A$2:$A$201,0))</f>
        <v>1</v>
      </c>
      <c r="O231" s="2" t="n">
        <f aca="false">INDEX(Summary!$K$2:$K$201,MATCH($B231,Summary!$A$2:$A$201,0))</f>
        <v>8.89</v>
      </c>
      <c r="P231" s="3" t="n">
        <f aca="false">INDEX(Summary!$L$2:$L$201,MATCH($B231,Summary!$A$2:$A$201,0))</f>
        <v>5</v>
      </c>
      <c r="Q231" s="3" t="n">
        <f aca="false">INDEX(Summary!$M$2:$M$201,MATCH($B231,Summary!$A$2:$A$201,0))</f>
        <v>1</v>
      </c>
      <c r="R231" s="2" t="n">
        <f aca="false">INDEX(Summary!$N$2:$N$201,MATCH($B231,Summary!$A$2:$A$201,0))</f>
        <v>10.53</v>
      </c>
      <c r="S231" s="3" t="n">
        <f aca="false">INDEX(Summary!$O$2:$O$201,MATCH($B231,Summary!$A$2:$A$201,0))</f>
        <v>7</v>
      </c>
      <c r="T231" s="3" t="n">
        <f aca="false">INDEX(Summary!$P$2:$P$201,MATCH($B231,Summary!$A$2:$A$201,0))</f>
        <v>2</v>
      </c>
      <c r="U231" s="2" t="n">
        <f aca="false">INDEX(Summary!$Q$2:$Q$201,MATCH($B231,Summary!$A$2:$A$201,0))</f>
        <v>11.96</v>
      </c>
      <c r="V231" s="2" t="n">
        <f aca="false">INDEX(Summary!$R$2:$R$201,MATCH($B231,Summary!$A$2:$A$201,0))</f>
        <v>31.5</v>
      </c>
      <c r="W231" s="0" t="str">
        <f aca="false">INDEX(Summary!$S$2:$S$201,MATCH($B231,Summary!$A$2:$A$201,0))</f>
        <v>Gold</v>
      </c>
      <c r="X231" s="2" t="n">
        <f aca="false">INDEX(Summary!$T$2:$T$201,MATCH($B231,Summary!$A$2:$A$201,0))</f>
        <v>76.83</v>
      </c>
      <c r="Y231" s="0" t="str">
        <f aca="false">INDEX('Reward Model'!$E$18:$E$37,MATCH($E231,'Reward Model'!$A$18:$A$37,0))</f>
        <v>Medium</v>
      </c>
      <c r="Z231" s="4" t="n">
        <f aca="false">ROUND(MIN(1,MAX('Reward Model'!$B$2,INDEX('Reward Model'!$C$12:$C$14,MATCH($K231,'Reward Model'!$A$12:$A$14,0))/$J231)),3)</f>
        <v>1</v>
      </c>
      <c r="AA231" s="2" t="n">
        <f aca="false">IF($I231="Correct",ROUND(INDEX('Reward Model'!$B$12:$B$14,MATCH($K231,'Reward Model'!$A$12:$A$14,0))*Z231,2),0)</f>
        <v>2</v>
      </c>
      <c r="AB231" s="2" t="n">
        <f aca="false">IF($I231="Correct",ROUND(INDEX('Reward Model'!$B$12:$B$14,MATCH($Y231,'Reward Model'!$A$12:$A$14,0))*Z231,2),0)</f>
        <v>2</v>
      </c>
    </row>
    <row r="232" customFormat="false" ht="15" hidden="false" customHeight="false" outlineLevel="0" collapsed="false">
      <c r="A232" s="0" t="s">
        <v>133</v>
      </c>
      <c r="B232" s="0" t="s">
        <v>134</v>
      </c>
      <c r="C232" s="0" t="s">
        <v>30</v>
      </c>
      <c r="D232" s="0" t="s">
        <v>31</v>
      </c>
      <c r="E232" s="0" t="n">
        <v>11</v>
      </c>
      <c r="F232" s="0" t="s">
        <v>61</v>
      </c>
      <c r="G232" s="0" t="s">
        <v>63</v>
      </c>
      <c r="H232" s="0" t="s">
        <v>63</v>
      </c>
      <c r="I232" s="0" t="s">
        <v>34</v>
      </c>
      <c r="J232" s="0" t="n">
        <v>2.1</v>
      </c>
      <c r="K232" s="0" t="s">
        <v>60</v>
      </c>
      <c r="L232" s="0" t="n">
        <f aca="false">INDEX(Summary!$F$2:$F$201,MATCH($B232,Summary!$A$2:$A$201,0))</f>
        <v>20</v>
      </c>
      <c r="M232" s="0" t="n">
        <f aca="false">INDEX(Summary!$I$2:$I$201,MATCH($B232,Summary!$A$2:$A$201,0))</f>
        <v>4</v>
      </c>
      <c r="N232" s="0" t="n">
        <f aca="false">INDEX(Summary!$J$2:$J$201,MATCH($B232,Summary!$A$2:$A$201,0))</f>
        <v>1</v>
      </c>
      <c r="O232" s="2" t="n">
        <f aca="false">INDEX(Summary!$K$2:$K$201,MATCH($B232,Summary!$A$2:$A$201,0))</f>
        <v>8.89</v>
      </c>
      <c r="P232" s="3" t="n">
        <f aca="false">INDEX(Summary!$L$2:$L$201,MATCH($B232,Summary!$A$2:$A$201,0))</f>
        <v>5</v>
      </c>
      <c r="Q232" s="3" t="n">
        <f aca="false">INDEX(Summary!$M$2:$M$201,MATCH($B232,Summary!$A$2:$A$201,0))</f>
        <v>1</v>
      </c>
      <c r="R232" s="2" t="n">
        <f aca="false">INDEX(Summary!$N$2:$N$201,MATCH($B232,Summary!$A$2:$A$201,0))</f>
        <v>10.53</v>
      </c>
      <c r="S232" s="3" t="n">
        <f aca="false">INDEX(Summary!$O$2:$O$201,MATCH($B232,Summary!$A$2:$A$201,0))</f>
        <v>7</v>
      </c>
      <c r="T232" s="3" t="n">
        <f aca="false">INDEX(Summary!$P$2:$P$201,MATCH($B232,Summary!$A$2:$A$201,0))</f>
        <v>2</v>
      </c>
      <c r="U232" s="2" t="n">
        <f aca="false">INDEX(Summary!$Q$2:$Q$201,MATCH($B232,Summary!$A$2:$A$201,0))</f>
        <v>11.96</v>
      </c>
      <c r="V232" s="2" t="n">
        <f aca="false">INDEX(Summary!$R$2:$R$201,MATCH($B232,Summary!$A$2:$A$201,0))</f>
        <v>31.5</v>
      </c>
      <c r="W232" s="0" t="str">
        <f aca="false">INDEX(Summary!$S$2:$S$201,MATCH($B232,Summary!$A$2:$A$201,0))</f>
        <v>Gold</v>
      </c>
      <c r="X232" s="2" t="n">
        <f aca="false">INDEX(Summary!$T$2:$T$201,MATCH($B232,Summary!$A$2:$A$201,0))</f>
        <v>76.83</v>
      </c>
      <c r="Y232" s="0" t="str">
        <f aca="false">INDEX('Reward Model'!$E$18:$E$37,MATCH($E232,'Reward Model'!$A$18:$A$37,0))</f>
        <v>Medium</v>
      </c>
      <c r="Z232" s="4" t="n">
        <f aca="false">ROUND(MIN(1,MAX('Reward Model'!$B$2,INDEX('Reward Model'!$C$12:$C$14,MATCH($K232,'Reward Model'!$A$12:$A$14,0))/$J232)),3)</f>
        <v>0.857</v>
      </c>
      <c r="AA232" s="2" t="n">
        <f aca="false">IF($I232="Correct",ROUND(INDEX('Reward Model'!$B$12:$B$14,MATCH($K232,'Reward Model'!$A$12:$A$14,0))*Z232,2),0)</f>
        <v>1.71</v>
      </c>
      <c r="AB232" s="2" t="n">
        <f aca="false">IF($I232="Correct",ROUND(INDEX('Reward Model'!$B$12:$B$14,MATCH($Y232,'Reward Model'!$A$12:$A$14,0))*Z232,2),0)</f>
        <v>1.71</v>
      </c>
    </row>
    <row r="233" customFormat="false" ht="15" hidden="false" customHeight="false" outlineLevel="0" collapsed="false">
      <c r="A233" s="0" t="s">
        <v>133</v>
      </c>
      <c r="B233" s="0" t="s">
        <v>134</v>
      </c>
      <c r="C233" s="0" t="s">
        <v>30</v>
      </c>
      <c r="D233" s="0" t="s">
        <v>31</v>
      </c>
      <c r="E233" s="0" t="n">
        <v>12</v>
      </c>
      <c r="F233" s="0" t="s">
        <v>64</v>
      </c>
      <c r="G233" s="0" t="s">
        <v>65</v>
      </c>
      <c r="H233" s="0" t="s">
        <v>65</v>
      </c>
      <c r="I233" s="0" t="s">
        <v>34</v>
      </c>
      <c r="J233" s="0" t="n">
        <v>1.66</v>
      </c>
      <c r="K233" s="0" t="s">
        <v>60</v>
      </c>
      <c r="L233" s="0" t="n">
        <f aca="false">INDEX(Summary!$F$2:$F$201,MATCH($B233,Summary!$A$2:$A$201,0))</f>
        <v>20</v>
      </c>
      <c r="M233" s="0" t="n">
        <f aca="false">INDEX(Summary!$I$2:$I$201,MATCH($B233,Summary!$A$2:$A$201,0))</f>
        <v>4</v>
      </c>
      <c r="N233" s="0" t="n">
        <f aca="false">INDEX(Summary!$J$2:$J$201,MATCH($B233,Summary!$A$2:$A$201,0))</f>
        <v>1</v>
      </c>
      <c r="O233" s="2" t="n">
        <f aca="false">INDEX(Summary!$K$2:$K$201,MATCH($B233,Summary!$A$2:$A$201,0))</f>
        <v>8.89</v>
      </c>
      <c r="P233" s="3" t="n">
        <f aca="false">INDEX(Summary!$L$2:$L$201,MATCH($B233,Summary!$A$2:$A$201,0))</f>
        <v>5</v>
      </c>
      <c r="Q233" s="3" t="n">
        <f aca="false">INDEX(Summary!$M$2:$M$201,MATCH($B233,Summary!$A$2:$A$201,0))</f>
        <v>1</v>
      </c>
      <c r="R233" s="2" t="n">
        <f aca="false">INDEX(Summary!$N$2:$N$201,MATCH($B233,Summary!$A$2:$A$201,0))</f>
        <v>10.53</v>
      </c>
      <c r="S233" s="3" t="n">
        <f aca="false">INDEX(Summary!$O$2:$O$201,MATCH($B233,Summary!$A$2:$A$201,0))</f>
        <v>7</v>
      </c>
      <c r="T233" s="3" t="n">
        <f aca="false">INDEX(Summary!$P$2:$P$201,MATCH($B233,Summary!$A$2:$A$201,0))</f>
        <v>2</v>
      </c>
      <c r="U233" s="2" t="n">
        <f aca="false">INDEX(Summary!$Q$2:$Q$201,MATCH($B233,Summary!$A$2:$A$201,0))</f>
        <v>11.96</v>
      </c>
      <c r="V233" s="2" t="n">
        <f aca="false">INDEX(Summary!$R$2:$R$201,MATCH($B233,Summary!$A$2:$A$201,0))</f>
        <v>31.5</v>
      </c>
      <c r="W233" s="0" t="str">
        <f aca="false">INDEX(Summary!$S$2:$S$201,MATCH($B233,Summary!$A$2:$A$201,0))</f>
        <v>Gold</v>
      </c>
      <c r="X233" s="2" t="n">
        <f aca="false">INDEX(Summary!$T$2:$T$201,MATCH($B233,Summary!$A$2:$A$201,0))</f>
        <v>76.83</v>
      </c>
      <c r="Y233" s="0" t="str">
        <f aca="false">INDEX('Reward Model'!$E$18:$E$37,MATCH($E233,'Reward Model'!$A$18:$A$37,0))</f>
        <v>Medium</v>
      </c>
      <c r="Z233" s="4" t="n">
        <f aca="false">ROUND(MIN(1,MAX('Reward Model'!$B$2,INDEX('Reward Model'!$C$12:$C$14,MATCH($K233,'Reward Model'!$A$12:$A$14,0))/$J233)),3)</f>
        <v>1</v>
      </c>
      <c r="AA233" s="2" t="n">
        <f aca="false">IF($I233="Correct",ROUND(INDEX('Reward Model'!$B$12:$B$14,MATCH($K233,'Reward Model'!$A$12:$A$14,0))*Z233,2),0)</f>
        <v>2</v>
      </c>
      <c r="AB233" s="2" t="n">
        <f aca="false">IF($I233="Correct",ROUND(INDEX('Reward Model'!$B$12:$B$14,MATCH($Y233,'Reward Model'!$A$12:$A$14,0))*Z233,2),0)</f>
        <v>2</v>
      </c>
    </row>
    <row r="234" customFormat="false" ht="15" hidden="false" customHeight="false" outlineLevel="0" collapsed="false">
      <c r="A234" s="0" t="s">
        <v>133</v>
      </c>
      <c r="B234" s="0" t="s">
        <v>134</v>
      </c>
      <c r="C234" s="0" t="s">
        <v>30</v>
      </c>
      <c r="D234" s="0" t="s">
        <v>31</v>
      </c>
      <c r="E234" s="0" t="n">
        <v>13</v>
      </c>
      <c r="F234" s="0" t="s">
        <v>66</v>
      </c>
      <c r="G234" s="0" t="s">
        <v>67</v>
      </c>
      <c r="H234" s="0" t="s">
        <v>67</v>
      </c>
      <c r="I234" s="0" t="s">
        <v>34</v>
      </c>
      <c r="J234" s="0" t="n">
        <v>1.54</v>
      </c>
      <c r="K234" s="0" t="s">
        <v>60</v>
      </c>
      <c r="L234" s="0" t="n">
        <f aca="false">INDEX(Summary!$F$2:$F$201,MATCH($B234,Summary!$A$2:$A$201,0))</f>
        <v>20</v>
      </c>
      <c r="M234" s="0" t="n">
        <f aca="false">INDEX(Summary!$I$2:$I$201,MATCH($B234,Summary!$A$2:$A$201,0))</f>
        <v>4</v>
      </c>
      <c r="N234" s="0" t="n">
        <f aca="false">INDEX(Summary!$J$2:$J$201,MATCH($B234,Summary!$A$2:$A$201,0))</f>
        <v>1</v>
      </c>
      <c r="O234" s="2" t="n">
        <f aca="false">INDEX(Summary!$K$2:$K$201,MATCH($B234,Summary!$A$2:$A$201,0))</f>
        <v>8.89</v>
      </c>
      <c r="P234" s="3" t="n">
        <f aca="false">INDEX(Summary!$L$2:$L$201,MATCH($B234,Summary!$A$2:$A$201,0))</f>
        <v>5</v>
      </c>
      <c r="Q234" s="3" t="n">
        <f aca="false">INDEX(Summary!$M$2:$M$201,MATCH($B234,Summary!$A$2:$A$201,0))</f>
        <v>1</v>
      </c>
      <c r="R234" s="2" t="n">
        <f aca="false">INDEX(Summary!$N$2:$N$201,MATCH($B234,Summary!$A$2:$A$201,0))</f>
        <v>10.53</v>
      </c>
      <c r="S234" s="3" t="n">
        <f aca="false">INDEX(Summary!$O$2:$O$201,MATCH($B234,Summary!$A$2:$A$201,0))</f>
        <v>7</v>
      </c>
      <c r="T234" s="3" t="n">
        <f aca="false">INDEX(Summary!$P$2:$P$201,MATCH($B234,Summary!$A$2:$A$201,0))</f>
        <v>2</v>
      </c>
      <c r="U234" s="2" t="n">
        <f aca="false">INDEX(Summary!$Q$2:$Q$201,MATCH($B234,Summary!$A$2:$A$201,0))</f>
        <v>11.96</v>
      </c>
      <c r="V234" s="2" t="n">
        <f aca="false">INDEX(Summary!$R$2:$R$201,MATCH($B234,Summary!$A$2:$A$201,0))</f>
        <v>31.5</v>
      </c>
      <c r="W234" s="0" t="str">
        <f aca="false">INDEX(Summary!$S$2:$S$201,MATCH($B234,Summary!$A$2:$A$201,0))</f>
        <v>Gold</v>
      </c>
      <c r="X234" s="2" t="n">
        <f aca="false">INDEX(Summary!$T$2:$T$201,MATCH($B234,Summary!$A$2:$A$201,0))</f>
        <v>76.83</v>
      </c>
      <c r="Y234" s="0" t="str">
        <f aca="false">INDEX('Reward Model'!$E$18:$E$37,MATCH($E234,'Reward Model'!$A$18:$A$37,0))</f>
        <v>Medium</v>
      </c>
      <c r="Z234" s="4" t="n">
        <f aca="false">ROUND(MIN(1,MAX('Reward Model'!$B$2,INDEX('Reward Model'!$C$12:$C$14,MATCH($K234,'Reward Model'!$A$12:$A$14,0))/$J234)),3)</f>
        <v>1</v>
      </c>
      <c r="AA234" s="2" t="n">
        <f aca="false">IF($I234="Correct",ROUND(INDEX('Reward Model'!$B$12:$B$14,MATCH($K234,'Reward Model'!$A$12:$A$14,0))*Z234,2),0)</f>
        <v>2</v>
      </c>
      <c r="AB234" s="2" t="n">
        <f aca="false">IF($I234="Correct",ROUND(INDEX('Reward Model'!$B$12:$B$14,MATCH($Y234,'Reward Model'!$A$12:$A$14,0))*Z234,2),0)</f>
        <v>2</v>
      </c>
    </row>
    <row r="235" customFormat="false" ht="15" hidden="false" customHeight="false" outlineLevel="0" collapsed="false">
      <c r="A235" s="0" t="s">
        <v>133</v>
      </c>
      <c r="B235" s="0" t="s">
        <v>134</v>
      </c>
      <c r="C235" s="0" t="s">
        <v>30</v>
      </c>
      <c r="D235" s="0" t="s">
        <v>31</v>
      </c>
      <c r="E235" s="0" t="n">
        <v>14</v>
      </c>
      <c r="F235" s="0" t="s">
        <v>68</v>
      </c>
      <c r="G235" s="0" t="s">
        <v>86</v>
      </c>
      <c r="H235" s="0" t="s">
        <v>51</v>
      </c>
      <c r="I235" s="0" t="s">
        <v>39</v>
      </c>
      <c r="J235" s="0" t="n">
        <v>2.11</v>
      </c>
      <c r="K235" s="0" t="s">
        <v>60</v>
      </c>
      <c r="L235" s="0" t="n">
        <f aca="false">INDEX(Summary!$F$2:$F$201,MATCH($B235,Summary!$A$2:$A$201,0))</f>
        <v>20</v>
      </c>
      <c r="M235" s="0" t="n">
        <f aca="false">INDEX(Summary!$I$2:$I$201,MATCH($B235,Summary!$A$2:$A$201,0))</f>
        <v>4</v>
      </c>
      <c r="N235" s="0" t="n">
        <f aca="false">INDEX(Summary!$J$2:$J$201,MATCH($B235,Summary!$A$2:$A$201,0))</f>
        <v>1</v>
      </c>
      <c r="O235" s="2" t="n">
        <f aca="false">INDEX(Summary!$K$2:$K$201,MATCH($B235,Summary!$A$2:$A$201,0))</f>
        <v>8.89</v>
      </c>
      <c r="P235" s="3" t="n">
        <f aca="false">INDEX(Summary!$L$2:$L$201,MATCH($B235,Summary!$A$2:$A$201,0))</f>
        <v>5</v>
      </c>
      <c r="Q235" s="3" t="n">
        <f aca="false">INDEX(Summary!$M$2:$M$201,MATCH($B235,Summary!$A$2:$A$201,0))</f>
        <v>1</v>
      </c>
      <c r="R235" s="2" t="n">
        <f aca="false">INDEX(Summary!$N$2:$N$201,MATCH($B235,Summary!$A$2:$A$201,0))</f>
        <v>10.53</v>
      </c>
      <c r="S235" s="3" t="n">
        <f aca="false">INDEX(Summary!$O$2:$O$201,MATCH($B235,Summary!$A$2:$A$201,0))</f>
        <v>7</v>
      </c>
      <c r="T235" s="3" t="n">
        <f aca="false">INDEX(Summary!$P$2:$P$201,MATCH($B235,Summary!$A$2:$A$201,0))</f>
        <v>2</v>
      </c>
      <c r="U235" s="2" t="n">
        <f aca="false">INDEX(Summary!$Q$2:$Q$201,MATCH($B235,Summary!$A$2:$A$201,0))</f>
        <v>11.96</v>
      </c>
      <c r="V235" s="2" t="n">
        <f aca="false">INDEX(Summary!$R$2:$R$201,MATCH($B235,Summary!$A$2:$A$201,0))</f>
        <v>31.5</v>
      </c>
      <c r="W235" s="0" t="str">
        <f aca="false">INDEX(Summary!$S$2:$S$201,MATCH($B235,Summary!$A$2:$A$201,0))</f>
        <v>Gold</v>
      </c>
      <c r="X235" s="2" t="n">
        <f aca="false">INDEX(Summary!$T$2:$T$201,MATCH($B235,Summary!$A$2:$A$201,0))</f>
        <v>76.83</v>
      </c>
      <c r="Y235" s="0" t="str">
        <f aca="false">INDEX('Reward Model'!$E$18:$E$37,MATCH($E235,'Reward Model'!$A$18:$A$37,0))</f>
        <v>Medium</v>
      </c>
      <c r="Z235" s="4" t="n">
        <f aca="false">ROUND(MIN(1,MAX('Reward Model'!$B$2,INDEX('Reward Model'!$C$12:$C$14,MATCH($K235,'Reward Model'!$A$12:$A$14,0))/$J235)),3)</f>
        <v>0.853</v>
      </c>
      <c r="AA235" s="2" t="n">
        <f aca="false">IF($I235="Correct",ROUND(INDEX('Reward Model'!$B$12:$B$14,MATCH($K235,'Reward Model'!$A$12:$A$14,0))*Z235,2),0)</f>
        <v>0</v>
      </c>
      <c r="AB235" s="2" t="n">
        <f aca="false">IF($I235="Correct",ROUND(INDEX('Reward Model'!$B$12:$B$14,MATCH($Y235,'Reward Model'!$A$12:$A$14,0))*Z235,2),0)</f>
        <v>0</v>
      </c>
    </row>
    <row r="236" customFormat="false" ht="15" hidden="false" customHeight="false" outlineLevel="0" collapsed="false">
      <c r="A236" s="0" t="s">
        <v>133</v>
      </c>
      <c r="B236" s="0" t="s">
        <v>134</v>
      </c>
      <c r="C236" s="0" t="s">
        <v>30</v>
      </c>
      <c r="D236" s="0" t="s">
        <v>31</v>
      </c>
      <c r="E236" s="0" t="n">
        <v>15</v>
      </c>
      <c r="F236" s="0" t="s">
        <v>69</v>
      </c>
      <c r="G236" s="0" t="s">
        <v>70</v>
      </c>
      <c r="H236" s="0" t="s">
        <v>70</v>
      </c>
      <c r="I236" s="0" t="s">
        <v>34</v>
      </c>
      <c r="J236" s="0" t="n">
        <v>1.58</v>
      </c>
      <c r="K236" s="0" t="s">
        <v>60</v>
      </c>
      <c r="L236" s="0" t="n">
        <f aca="false">INDEX(Summary!$F$2:$F$201,MATCH($B236,Summary!$A$2:$A$201,0))</f>
        <v>20</v>
      </c>
      <c r="M236" s="0" t="n">
        <f aca="false">INDEX(Summary!$I$2:$I$201,MATCH($B236,Summary!$A$2:$A$201,0))</f>
        <v>4</v>
      </c>
      <c r="N236" s="0" t="n">
        <f aca="false">INDEX(Summary!$J$2:$J$201,MATCH($B236,Summary!$A$2:$A$201,0))</f>
        <v>1</v>
      </c>
      <c r="O236" s="2" t="n">
        <f aca="false">INDEX(Summary!$K$2:$K$201,MATCH($B236,Summary!$A$2:$A$201,0))</f>
        <v>8.89</v>
      </c>
      <c r="P236" s="3" t="n">
        <f aca="false">INDEX(Summary!$L$2:$L$201,MATCH($B236,Summary!$A$2:$A$201,0))</f>
        <v>5</v>
      </c>
      <c r="Q236" s="3" t="n">
        <f aca="false">INDEX(Summary!$M$2:$M$201,MATCH($B236,Summary!$A$2:$A$201,0))</f>
        <v>1</v>
      </c>
      <c r="R236" s="2" t="n">
        <f aca="false">INDEX(Summary!$N$2:$N$201,MATCH($B236,Summary!$A$2:$A$201,0))</f>
        <v>10.53</v>
      </c>
      <c r="S236" s="3" t="n">
        <f aca="false">INDEX(Summary!$O$2:$O$201,MATCH($B236,Summary!$A$2:$A$201,0))</f>
        <v>7</v>
      </c>
      <c r="T236" s="3" t="n">
        <f aca="false">INDEX(Summary!$P$2:$P$201,MATCH($B236,Summary!$A$2:$A$201,0))</f>
        <v>2</v>
      </c>
      <c r="U236" s="2" t="n">
        <f aca="false">INDEX(Summary!$Q$2:$Q$201,MATCH($B236,Summary!$A$2:$A$201,0))</f>
        <v>11.96</v>
      </c>
      <c r="V236" s="2" t="n">
        <f aca="false">INDEX(Summary!$R$2:$R$201,MATCH($B236,Summary!$A$2:$A$201,0))</f>
        <v>31.5</v>
      </c>
      <c r="W236" s="0" t="str">
        <f aca="false">INDEX(Summary!$S$2:$S$201,MATCH($B236,Summary!$A$2:$A$201,0))</f>
        <v>Gold</v>
      </c>
      <c r="X236" s="2" t="n">
        <f aca="false">INDEX(Summary!$T$2:$T$201,MATCH($B236,Summary!$A$2:$A$201,0))</f>
        <v>76.83</v>
      </c>
      <c r="Y236" s="0" t="str">
        <f aca="false">INDEX('Reward Model'!$E$18:$E$37,MATCH($E236,'Reward Model'!$A$18:$A$37,0))</f>
        <v>Medium</v>
      </c>
      <c r="Z236" s="4" t="n">
        <f aca="false">ROUND(MIN(1,MAX('Reward Model'!$B$2,INDEX('Reward Model'!$C$12:$C$14,MATCH($K236,'Reward Model'!$A$12:$A$14,0))/$J236)),3)</f>
        <v>1</v>
      </c>
      <c r="AA236" s="2" t="n">
        <f aca="false">IF($I236="Correct",ROUND(INDEX('Reward Model'!$B$12:$B$14,MATCH($K236,'Reward Model'!$A$12:$A$14,0))*Z236,2),0)</f>
        <v>2</v>
      </c>
      <c r="AB236" s="2" t="n">
        <f aca="false">IF($I236="Correct",ROUND(INDEX('Reward Model'!$B$12:$B$14,MATCH($Y236,'Reward Model'!$A$12:$A$14,0))*Z236,2),0)</f>
        <v>2</v>
      </c>
    </row>
    <row r="237" customFormat="false" ht="15" hidden="false" customHeight="false" outlineLevel="0" collapsed="false">
      <c r="A237" s="0" t="s">
        <v>133</v>
      </c>
      <c r="B237" s="0" t="s">
        <v>134</v>
      </c>
      <c r="C237" s="0" t="s">
        <v>30</v>
      </c>
      <c r="D237" s="0" t="s">
        <v>31</v>
      </c>
      <c r="E237" s="0" t="n">
        <v>16</v>
      </c>
      <c r="F237" s="0" t="s">
        <v>71</v>
      </c>
      <c r="G237" s="0" t="s">
        <v>72</v>
      </c>
      <c r="H237" s="0" t="s">
        <v>72</v>
      </c>
      <c r="I237" s="0" t="s">
        <v>34</v>
      </c>
      <c r="J237" s="0" t="n">
        <v>1.51</v>
      </c>
      <c r="K237" s="0" t="s">
        <v>73</v>
      </c>
      <c r="L237" s="0" t="n">
        <f aca="false">INDEX(Summary!$F$2:$F$201,MATCH($B237,Summary!$A$2:$A$201,0))</f>
        <v>20</v>
      </c>
      <c r="M237" s="0" t="n">
        <f aca="false">INDEX(Summary!$I$2:$I$201,MATCH($B237,Summary!$A$2:$A$201,0))</f>
        <v>4</v>
      </c>
      <c r="N237" s="0" t="n">
        <f aca="false">INDEX(Summary!$J$2:$J$201,MATCH($B237,Summary!$A$2:$A$201,0))</f>
        <v>1</v>
      </c>
      <c r="O237" s="2" t="n">
        <f aca="false">INDEX(Summary!$K$2:$K$201,MATCH($B237,Summary!$A$2:$A$201,0))</f>
        <v>8.89</v>
      </c>
      <c r="P237" s="3" t="n">
        <f aca="false">INDEX(Summary!$L$2:$L$201,MATCH($B237,Summary!$A$2:$A$201,0))</f>
        <v>5</v>
      </c>
      <c r="Q237" s="3" t="n">
        <f aca="false">INDEX(Summary!$M$2:$M$201,MATCH($B237,Summary!$A$2:$A$201,0))</f>
        <v>1</v>
      </c>
      <c r="R237" s="2" t="n">
        <f aca="false">INDEX(Summary!$N$2:$N$201,MATCH($B237,Summary!$A$2:$A$201,0))</f>
        <v>10.53</v>
      </c>
      <c r="S237" s="3" t="n">
        <f aca="false">INDEX(Summary!$O$2:$O$201,MATCH($B237,Summary!$A$2:$A$201,0))</f>
        <v>7</v>
      </c>
      <c r="T237" s="3" t="n">
        <f aca="false">INDEX(Summary!$P$2:$P$201,MATCH($B237,Summary!$A$2:$A$201,0))</f>
        <v>2</v>
      </c>
      <c r="U237" s="2" t="n">
        <f aca="false">INDEX(Summary!$Q$2:$Q$201,MATCH($B237,Summary!$A$2:$A$201,0))</f>
        <v>11.96</v>
      </c>
      <c r="V237" s="2" t="n">
        <f aca="false">INDEX(Summary!$R$2:$R$201,MATCH($B237,Summary!$A$2:$A$201,0))</f>
        <v>31.5</v>
      </c>
      <c r="W237" s="0" t="str">
        <f aca="false">INDEX(Summary!$S$2:$S$201,MATCH($B237,Summary!$A$2:$A$201,0))</f>
        <v>Gold</v>
      </c>
      <c r="X237" s="2" t="n">
        <f aca="false">INDEX(Summary!$T$2:$T$201,MATCH($B237,Summary!$A$2:$A$201,0))</f>
        <v>76.83</v>
      </c>
      <c r="Y237" s="0" t="str">
        <f aca="false">INDEX('Reward Model'!$E$18:$E$37,MATCH($E237,'Reward Model'!$A$18:$A$37,0))</f>
        <v>High</v>
      </c>
      <c r="Z237" s="4" t="n">
        <f aca="false">ROUND(MIN(1,MAX('Reward Model'!$B$2,INDEX('Reward Model'!$C$12:$C$14,MATCH($K237,'Reward Model'!$A$12:$A$14,0))/$J237)),3)</f>
        <v>1</v>
      </c>
      <c r="AA237" s="2" t="n">
        <f aca="false">IF($I237="Correct",ROUND(INDEX('Reward Model'!$B$12:$B$14,MATCH($K237,'Reward Model'!$A$12:$A$14,0))*Z237,2),0)</f>
        <v>3</v>
      </c>
      <c r="AB237" s="2" t="n">
        <f aca="false">IF($I237="Correct",ROUND(INDEX('Reward Model'!$B$12:$B$14,MATCH($Y237,'Reward Model'!$A$12:$A$14,0))*Z237,2),0)</f>
        <v>3</v>
      </c>
    </row>
    <row r="238" customFormat="false" ht="15" hidden="false" customHeight="false" outlineLevel="0" collapsed="false">
      <c r="A238" s="0" t="s">
        <v>133</v>
      </c>
      <c r="B238" s="0" t="s">
        <v>134</v>
      </c>
      <c r="C238" s="0" t="s">
        <v>30</v>
      </c>
      <c r="D238" s="0" t="s">
        <v>31</v>
      </c>
      <c r="E238" s="0" t="n">
        <v>17</v>
      </c>
      <c r="F238" s="0" t="s">
        <v>74</v>
      </c>
      <c r="G238" s="0" t="s">
        <v>75</v>
      </c>
      <c r="H238" s="0" t="s">
        <v>75</v>
      </c>
      <c r="I238" s="0" t="s">
        <v>34</v>
      </c>
      <c r="J238" s="0" t="n">
        <v>1.28</v>
      </c>
      <c r="K238" s="0" t="s">
        <v>73</v>
      </c>
      <c r="L238" s="0" t="n">
        <f aca="false">INDEX(Summary!$F$2:$F$201,MATCH($B238,Summary!$A$2:$A$201,0))</f>
        <v>20</v>
      </c>
      <c r="M238" s="0" t="n">
        <f aca="false">INDEX(Summary!$I$2:$I$201,MATCH($B238,Summary!$A$2:$A$201,0))</f>
        <v>4</v>
      </c>
      <c r="N238" s="0" t="n">
        <f aca="false">INDEX(Summary!$J$2:$J$201,MATCH($B238,Summary!$A$2:$A$201,0))</f>
        <v>1</v>
      </c>
      <c r="O238" s="2" t="n">
        <f aca="false">INDEX(Summary!$K$2:$K$201,MATCH($B238,Summary!$A$2:$A$201,0))</f>
        <v>8.89</v>
      </c>
      <c r="P238" s="3" t="n">
        <f aca="false">INDEX(Summary!$L$2:$L$201,MATCH($B238,Summary!$A$2:$A$201,0))</f>
        <v>5</v>
      </c>
      <c r="Q238" s="3" t="n">
        <f aca="false">INDEX(Summary!$M$2:$M$201,MATCH($B238,Summary!$A$2:$A$201,0))</f>
        <v>1</v>
      </c>
      <c r="R238" s="2" t="n">
        <f aca="false">INDEX(Summary!$N$2:$N$201,MATCH($B238,Summary!$A$2:$A$201,0))</f>
        <v>10.53</v>
      </c>
      <c r="S238" s="3" t="n">
        <f aca="false">INDEX(Summary!$O$2:$O$201,MATCH($B238,Summary!$A$2:$A$201,0))</f>
        <v>7</v>
      </c>
      <c r="T238" s="3" t="n">
        <f aca="false">INDEX(Summary!$P$2:$P$201,MATCH($B238,Summary!$A$2:$A$201,0))</f>
        <v>2</v>
      </c>
      <c r="U238" s="2" t="n">
        <f aca="false">INDEX(Summary!$Q$2:$Q$201,MATCH($B238,Summary!$A$2:$A$201,0))</f>
        <v>11.96</v>
      </c>
      <c r="V238" s="2" t="n">
        <f aca="false">INDEX(Summary!$R$2:$R$201,MATCH($B238,Summary!$A$2:$A$201,0))</f>
        <v>31.5</v>
      </c>
      <c r="W238" s="0" t="str">
        <f aca="false">INDEX(Summary!$S$2:$S$201,MATCH($B238,Summary!$A$2:$A$201,0))</f>
        <v>Gold</v>
      </c>
      <c r="X238" s="2" t="n">
        <f aca="false">INDEX(Summary!$T$2:$T$201,MATCH($B238,Summary!$A$2:$A$201,0))</f>
        <v>76.83</v>
      </c>
      <c r="Y238" s="0" t="str">
        <f aca="false">INDEX('Reward Model'!$E$18:$E$37,MATCH($E238,'Reward Model'!$A$18:$A$37,0))</f>
        <v>High</v>
      </c>
      <c r="Z238" s="4" t="n">
        <f aca="false">ROUND(MIN(1,MAX('Reward Model'!$B$2,INDEX('Reward Model'!$C$12:$C$14,MATCH($K238,'Reward Model'!$A$12:$A$14,0))/$J238)),3)</f>
        <v>1</v>
      </c>
      <c r="AA238" s="2" t="n">
        <f aca="false">IF($I238="Correct",ROUND(INDEX('Reward Model'!$B$12:$B$14,MATCH($K238,'Reward Model'!$A$12:$A$14,0))*Z238,2),0)</f>
        <v>3</v>
      </c>
      <c r="AB238" s="2" t="n">
        <f aca="false">IF($I238="Correct",ROUND(INDEX('Reward Model'!$B$12:$B$14,MATCH($Y238,'Reward Model'!$A$12:$A$14,0))*Z238,2),0)</f>
        <v>3</v>
      </c>
    </row>
    <row r="239" customFormat="false" ht="15" hidden="false" customHeight="false" outlineLevel="0" collapsed="false">
      <c r="A239" s="0" t="s">
        <v>133</v>
      </c>
      <c r="B239" s="0" t="s">
        <v>134</v>
      </c>
      <c r="C239" s="0" t="s">
        <v>30</v>
      </c>
      <c r="D239" s="0" t="s">
        <v>31</v>
      </c>
      <c r="E239" s="0" t="n">
        <v>18</v>
      </c>
      <c r="F239" s="0" t="s">
        <v>76</v>
      </c>
      <c r="G239" s="0" t="s">
        <v>77</v>
      </c>
      <c r="H239" s="0" t="s">
        <v>77</v>
      </c>
      <c r="I239" s="0" t="s">
        <v>34</v>
      </c>
      <c r="J239" s="0" t="n">
        <v>1.78</v>
      </c>
      <c r="K239" s="0" t="s">
        <v>73</v>
      </c>
      <c r="L239" s="0" t="n">
        <f aca="false">INDEX(Summary!$F$2:$F$201,MATCH($B239,Summary!$A$2:$A$201,0))</f>
        <v>20</v>
      </c>
      <c r="M239" s="0" t="n">
        <f aca="false">INDEX(Summary!$I$2:$I$201,MATCH($B239,Summary!$A$2:$A$201,0))</f>
        <v>4</v>
      </c>
      <c r="N239" s="0" t="n">
        <f aca="false">INDEX(Summary!$J$2:$J$201,MATCH($B239,Summary!$A$2:$A$201,0))</f>
        <v>1</v>
      </c>
      <c r="O239" s="2" t="n">
        <f aca="false">INDEX(Summary!$K$2:$K$201,MATCH($B239,Summary!$A$2:$A$201,0))</f>
        <v>8.89</v>
      </c>
      <c r="P239" s="3" t="n">
        <f aca="false">INDEX(Summary!$L$2:$L$201,MATCH($B239,Summary!$A$2:$A$201,0))</f>
        <v>5</v>
      </c>
      <c r="Q239" s="3" t="n">
        <f aca="false">INDEX(Summary!$M$2:$M$201,MATCH($B239,Summary!$A$2:$A$201,0))</f>
        <v>1</v>
      </c>
      <c r="R239" s="2" t="n">
        <f aca="false">INDEX(Summary!$N$2:$N$201,MATCH($B239,Summary!$A$2:$A$201,0))</f>
        <v>10.53</v>
      </c>
      <c r="S239" s="3" t="n">
        <f aca="false">INDEX(Summary!$O$2:$O$201,MATCH($B239,Summary!$A$2:$A$201,0))</f>
        <v>7</v>
      </c>
      <c r="T239" s="3" t="n">
        <f aca="false">INDEX(Summary!$P$2:$P$201,MATCH($B239,Summary!$A$2:$A$201,0))</f>
        <v>2</v>
      </c>
      <c r="U239" s="2" t="n">
        <f aca="false">INDEX(Summary!$Q$2:$Q$201,MATCH($B239,Summary!$A$2:$A$201,0))</f>
        <v>11.96</v>
      </c>
      <c r="V239" s="2" t="n">
        <f aca="false">INDEX(Summary!$R$2:$R$201,MATCH($B239,Summary!$A$2:$A$201,0))</f>
        <v>31.5</v>
      </c>
      <c r="W239" s="0" t="str">
        <f aca="false">INDEX(Summary!$S$2:$S$201,MATCH($B239,Summary!$A$2:$A$201,0))</f>
        <v>Gold</v>
      </c>
      <c r="X239" s="2" t="n">
        <f aca="false">INDEX(Summary!$T$2:$T$201,MATCH($B239,Summary!$A$2:$A$201,0))</f>
        <v>76.83</v>
      </c>
      <c r="Y239" s="0" t="str">
        <f aca="false">INDEX('Reward Model'!$E$18:$E$37,MATCH($E239,'Reward Model'!$A$18:$A$37,0))</f>
        <v>High</v>
      </c>
      <c r="Z239" s="4" t="n">
        <f aca="false">ROUND(MIN(1,MAX('Reward Model'!$B$2,INDEX('Reward Model'!$C$12:$C$14,MATCH($K239,'Reward Model'!$A$12:$A$14,0))/$J239)),3)</f>
        <v>1</v>
      </c>
      <c r="AA239" s="2" t="n">
        <f aca="false">IF($I239="Correct",ROUND(INDEX('Reward Model'!$B$12:$B$14,MATCH($K239,'Reward Model'!$A$12:$A$14,0))*Z239,2),0)</f>
        <v>3</v>
      </c>
      <c r="AB239" s="2" t="n">
        <f aca="false">IF($I239="Correct",ROUND(INDEX('Reward Model'!$B$12:$B$14,MATCH($Y239,'Reward Model'!$A$12:$A$14,0))*Z239,2),0)</f>
        <v>3</v>
      </c>
    </row>
    <row r="240" customFormat="false" ht="15" hidden="false" customHeight="false" outlineLevel="0" collapsed="false">
      <c r="A240" s="0" t="s">
        <v>133</v>
      </c>
      <c r="B240" s="0" t="s">
        <v>134</v>
      </c>
      <c r="C240" s="0" t="s">
        <v>30</v>
      </c>
      <c r="D240" s="0" t="s">
        <v>31</v>
      </c>
      <c r="E240" s="0" t="n">
        <v>19</v>
      </c>
      <c r="F240" s="0" t="s">
        <v>78</v>
      </c>
      <c r="G240" s="0" t="s">
        <v>132</v>
      </c>
      <c r="H240" s="0" t="s">
        <v>80</v>
      </c>
      <c r="I240" s="0" t="s">
        <v>39</v>
      </c>
      <c r="J240" s="0" t="n">
        <v>2.22</v>
      </c>
      <c r="K240" s="0" t="s">
        <v>73</v>
      </c>
      <c r="L240" s="0" t="n">
        <f aca="false">INDEX(Summary!$F$2:$F$201,MATCH($B240,Summary!$A$2:$A$201,0))</f>
        <v>20</v>
      </c>
      <c r="M240" s="0" t="n">
        <f aca="false">INDEX(Summary!$I$2:$I$201,MATCH($B240,Summary!$A$2:$A$201,0))</f>
        <v>4</v>
      </c>
      <c r="N240" s="0" t="n">
        <f aca="false">INDEX(Summary!$J$2:$J$201,MATCH($B240,Summary!$A$2:$A$201,0))</f>
        <v>1</v>
      </c>
      <c r="O240" s="2" t="n">
        <f aca="false">INDEX(Summary!$K$2:$K$201,MATCH($B240,Summary!$A$2:$A$201,0))</f>
        <v>8.89</v>
      </c>
      <c r="P240" s="3" t="n">
        <f aca="false">INDEX(Summary!$L$2:$L$201,MATCH($B240,Summary!$A$2:$A$201,0))</f>
        <v>5</v>
      </c>
      <c r="Q240" s="3" t="n">
        <f aca="false">INDEX(Summary!$M$2:$M$201,MATCH($B240,Summary!$A$2:$A$201,0))</f>
        <v>1</v>
      </c>
      <c r="R240" s="2" t="n">
        <f aca="false">INDEX(Summary!$N$2:$N$201,MATCH($B240,Summary!$A$2:$A$201,0))</f>
        <v>10.53</v>
      </c>
      <c r="S240" s="3" t="n">
        <f aca="false">INDEX(Summary!$O$2:$O$201,MATCH($B240,Summary!$A$2:$A$201,0))</f>
        <v>7</v>
      </c>
      <c r="T240" s="3" t="n">
        <f aca="false">INDEX(Summary!$P$2:$P$201,MATCH($B240,Summary!$A$2:$A$201,0))</f>
        <v>2</v>
      </c>
      <c r="U240" s="2" t="n">
        <f aca="false">INDEX(Summary!$Q$2:$Q$201,MATCH($B240,Summary!$A$2:$A$201,0))</f>
        <v>11.96</v>
      </c>
      <c r="V240" s="2" t="n">
        <f aca="false">INDEX(Summary!$R$2:$R$201,MATCH($B240,Summary!$A$2:$A$201,0))</f>
        <v>31.5</v>
      </c>
      <c r="W240" s="0" t="str">
        <f aca="false">INDEX(Summary!$S$2:$S$201,MATCH($B240,Summary!$A$2:$A$201,0))</f>
        <v>Gold</v>
      </c>
      <c r="X240" s="2" t="n">
        <f aca="false">INDEX(Summary!$T$2:$T$201,MATCH($B240,Summary!$A$2:$A$201,0))</f>
        <v>76.83</v>
      </c>
      <c r="Y240" s="0" t="str">
        <f aca="false">INDEX('Reward Model'!$E$18:$E$37,MATCH($E240,'Reward Model'!$A$18:$A$37,0))</f>
        <v>High</v>
      </c>
      <c r="Z240" s="4" t="n">
        <f aca="false">ROUND(MIN(1,MAX('Reward Model'!$B$2,INDEX('Reward Model'!$C$12:$C$14,MATCH($K240,'Reward Model'!$A$12:$A$14,0))/$J240)),3)</f>
        <v>0.901</v>
      </c>
      <c r="AA240" s="2" t="n">
        <f aca="false">IF($I240="Correct",ROUND(INDEX('Reward Model'!$B$12:$B$14,MATCH($K240,'Reward Model'!$A$12:$A$14,0))*Z240,2),0)</f>
        <v>0</v>
      </c>
      <c r="AB240" s="2" t="n">
        <f aca="false">IF($I240="Correct",ROUND(INDEX('Reward Model'!$B$12:$B$14,MATCH($Y240,'Reward Model'!$A$12:$A$14,0))*Z240,2),0)</f>
        <v>0</v>
      </c>
    </row>
    <row r="241" customFormat="false" ht="15" hidden="false" customHeight="false" outlineLevel="0" collapsed="false">
      <c r="A241" s="0" t="s">
        <v>133</v>
      </c>
      <c r="B241" s="0" t="s">
        <v>134</v>
      </c>
      <c r="C241" s="0" t="s">
        <v>30</v>
      </c>
      <c r="D241" s="0" t="s">
        <v>31</v>
      </c>
      <c r="E241" s="0" t="n">
        <v>20</v>
      </c>
      <c r="F241" s="0" t="s">
        <v>81</v>
      </c>
      <c r="G241" s="0" t="s">
        <v>83</v>
      </c>
      <c r="H241" s="0" t="s">
        <v>83</v>
      </c>
      <c r="I241" s="0" t="s">
        <v>34</v>
      </c>
      <c r="J241" s="0" t="n">
        <v>2.1</v>
      </c>
      <c r="K241" s="0" t="s">
        <v>73</v>
      </c>
      <c r="L241" s="0" t="n">
        <f aca="false">INDEX(Summary!$F$2:$F$201,MATCH($B241,Summary!$A$2:$A$201,0))</f>
        <v>20</v>
      </c>
      <c r="M241" s="0" t="n">
        <f aca="false">INDEX(Summary!$I$2:$I$201,MATCH($B241,Summary!$A$2:$A$201,0))</f>
        <v>4</v>
      </c>
      <c r="N241" s="0" t="n">
        <f aca="false">INDEX(Summary!$J$2:$J$201,MATCH($B241,Summary!$A$2:$A$201,0))</f>
        <v>1</v>
      </c>
      <c r="O241" s="2" t="n">
        <f aca="false">INDEX(Summary!$K$2:$K$201,MATCH($B241,Summary!$A$2:$A$201,0))</f>
        <v>8.89</v>
      </c>
      <c r="P241" s="3" t="n">
        <f aca="false">INDEX(Summary!$L$2:$L$201,MATCH($B241,Summary!$A$2:$A$201,0))</f>
        <v>5</v>
      </c>
      <c r="Q241" s="3" t="n">
        <f aca="false">INDEX(Summary!$M$2:$M$201,MATCH($B241,Summary!$A$2:$A$201,0))</f>
        <v>1</v>
      </c>
      <c r="R241" s="2" t="n">
        <f aca="false">INDEX(Summary!$N$2:$N$201,MATCH($B241,Summary!$A$2:$A$201,0))</f>
        <v>10.53</v>
      </c>
      <c r="S241" s="3" t="n">
        <f aca="false">INDEX(Summary!$O$2:$O$201,MATCH($B241,Summary!$A$2:$A$201,0))</f>
        <v>7</v>
      </c>
      <c r="T241" s="3" t="n">
        <f aca="false">INDEX(Summary!$P$2:$P$201,MATCH($B241,Summary!$A$2:$A$201,0))</f>
        <v>2</v>
      </c>
      <c r="U241" s="2" t="n">
        <f aca="false">INDEX(Summary!$Q$2:$Q$201,MATCH($B241,Summary!$A$2:$A$201,0))</f>
        <v>11.96</v>
      </c>
      <c r="V241" s="2" t="n">
        <f aca="false">INDEX(Summary!$R$2:$R$201,MATCH($B241,Summary!$A$2:$A$201,0))</f>
        <v>31.5</v>
      </c>
      <c r="W241" s="0" t="str">
        <f aca="false">INDEX(Summary!$S$2:$S$201,MATCH($B241,Summary!$A$2:$A$201,0))</f>
        <v>Gold</v>
      </c>
      <c r="X241" s="2" t="n">
        <f aca="false">INDEX(Summary!$T$2:$T$201,MATCH($B241,Summary!$A$2:$A$201,0))</f>
        <v>76.83</v>
      </c>
      <c r="Y241" s="0" t="str">
        <f aca="false">INDEX('Reward Model'!$E$18:$E$37,MATCH($E241,'Reward Model'!$A$18:$A$37,0))</f>
        <v>High</v>
      </c>
      <c r="Z241" s="4" t="n">
        <f aca="false">ROUND(MIN(1,MAX('Reward Model'!$B$2,INDEX('Reward Model'!$C$12:$C$14,MATCH($K241,'Reward Model'!$A$12:$A$14,0))/$J241)),3)</f>
        <v>0.952</v>
      </c>
      <c r="AA241" s="2" t="n">
        <f aca="false">IF($I241="Correct",ROUND(INDEX('Reward Model'!$B$12:$B$14,MATCH($K241,'Reward Model'!$A$12:$A$14,0))*Z241,2),0)</f>
        <v>2.86</v>
      </c>
      <c r="AB241" s="2" t="n">
        <f aca="false">IF($I241="Correct",ROUND(INDEX('Reward Model'!$B$12:$B$14,MATCH($Y241,'Reward Model'!$A$12:$A$14,0))*Z241,2),0)</f>
        <v>2.86</v>
      </c>
    </row>
    <row r="242" customFormat="false" ht="15" hidden="false" customHeight="false" outlineLevel="0" collapsed="false">
      <c r="A242" s="0" t="s">
        <v>135</v>
      </c>
      <c r="B242" s="0" t="s">
        <v>136</v>
      </c>
      <c r="C242" s="0" t="s">
        <v>30</v>
      </c>
      <c r="D242" s="0" t="s">
        <v>31</v>
      </c>
      <c r="E242" s="0" t="n">
        <v>1</v>
      </c>
      <c r="F242" s="0" t="s">
        <v>32</v>
      </c>
      <c r="G242" s="0" t="s">
        <v>33</v>
      </c>
      <c r="H242" s="0" t="s">
        <v>33</v>
      </c>
      <c r="I242" s="0" t="s">
        <v>34</v>
      </c>
      <c r="J242" s="0" t="n">
        <v>1.16</v>
      </c>
      <c r="K242" s="0" t="s">
        <v>35</v>
      </c>
      <c r="L242" s="0" t="n">
        <f aca="false">INDEX(Summary!$F$2:$F$201,MATCH($B242,Summary!$A$2:$A$201,0))</f>
        <v>20</v>
      </c>
      <c r="M242" s="0" t="n">
        <f aca="false">INDEX(Summary!$I$2:$I$201,MATCH($B242,Summary!$A$2:$A$201,0))</f>
        <v>2</v>
      </c>
      <c r="N242" s="0" t="n">
        <f aca="false">INDEX(Summary!$J$2:$J$201,MATCH($B242,Summary!$A$2:$A$201,0))</f>
        <v>3</v>
      </c>
      <c r="O242" s="2" t="n">
        <f aca="false">INDEX(Summary!$K$2:$K$201,MATCH($B242,Summary!$A$2:$A$201,0))</f>
        <v>8.93</v>
      </c>
      <c r="P242" s="3" t="n">
        <f aca="false">INDEX(Summary!$L$2:$L$201,MATCH($B242,Summary!$A$2:$A$201,0))</f>
        <v>2</v>
      </c>
      <c r="Q242" s="3" t="n">
        <f aca="false">INDEX(Summary!$M$2:$M$201,MATCH($B242,Summary!$A$2:$A$201,0))</f>
        <v>4</v>
      </c>
      <c r="R242" s="2" t="n">
        <f aca="false">INDEX(Summary!$N$2:$N$201,MATCH($B242,Summary!$A$2:$A$201,0))</f>
        <v>10.81</v>
      </c>
      <c r="S242" s="3" t="n">
        <f aca="false">INDEX(Summary!$O$2:$O$201,MATCH($B242,Summary!$A$2:$A$201,0))</f>
        <v>8</v>
      </c>
      <c r="T242" s="3" t="n">
        <f aca="false">INDEX(Summary!$P$2:$P$201,MATCH($B242,Summary!$A$2:$A$201,0))</f>
        <v>1</v>
      </c>
      <c r="U242" s="2" t="n">
        <f aca="false">INDEX(Summary!$Q$2:$Q$201,MATCH($B242,Summary!$A$2:$A$201,0))</f>
        <v>13.09</v>
      </c>
      <c r="V242" s="2" t="n">
        <f aca="false">INDEX(Summary!$R$2:$R$201,MATCH($B242,Summary!$A$2:$A$201,0))</f>
        <v>20.65</v>
      </c>
      <c r="W242" s="0" t="str">
        <f aca="false">INDEX(Summary!$S$2:$S$201,MATCH($B242,Summary!$A$2:$A$201,0))</f>
        <v>Silver</v>
      </c>
      <c r="X242" s="2" t="n">
        <f aca="false">INDEX(Summary!$T$2:$T$201,MATCH($B242,Summary!$A$2:$A$201,0))</f>
        <v>50.37</v>
      </c>
      <c r="Y242" s="0" t="str">
        <f aca="false">INDEX('Reward Model'!$E$18:$E$37,MATCH($E242,'Reward Model'!$A$18:$A$37,0))</f>
        <v>Medium</v>
      </c>
      <c r="Z242" s="4" t="n">
        <f aca="false">ROUND(MIN(1,MAX('Reward Model'!$B$2,INDEX('Reward Model'!$C$12:$C$14,MATCH($K242,'Reward Model'!$A$12:$A$14,0))/$J242)),3)</f>
        <v>1</v>
      </c>
      <c r="AA242" s="2" t="n">
        <f aca="false">IF($I242="Correct",ROUND(INDEX('Reward Model'!$B$12:$B$14,MATCH($K242,'Reward Model'!$A$12:$A$14,0))*Z242,2),0)</f>
        <v>1</v>
      </c>
      <c r="AB242" s="2" t="n">
        <f aca="false">IF($I242="Correct",ROUND(INDEX('Reward Model'!$B$12:$B$14,MATCH($Y242,'Reward Model'!$A$12:$A$14,0))*Z242,2),0)</f>
        <v>2</v>
      </c>
    </row>
    <row r="243" customFormat="false" ht="15" hidden="false" customHeight="false" outlineLevel="0" collapsed="false">
      <c r="A243" s="0" t="s">
        <v>135</v>
      </c>
      <c r="B243" s="0" t="s">
        <v>136</v>
      </c>
      <c r="C243" s="0" t="s">
        <v>30</v>
      </c>
      <c r="D243" s="0" t="s">
        <v>31</v>
      </c>
      <c r="E243" s="0" t="n">
        <v>2</v>
      </c>
      <c r="F243" s="0" t="s">
        <v>36</v>
      </c>
      <c r="G243" s="0" t="s">
        <v>38</v>
      </c>
      <c r="H243" s="0" t="s">
        <v>38</v>
      </c>
      <c r="I243" s="0" t="s">
        <v>34</v>
      </c>
      <c r="J243" s="0" t="n">
        <v>1.37</v>
      </c>
      <c r="K243" s="0" t="s">
        <v>35</v>
      </c>
      <c r="L243" s="0" t="n">
        <f aca="false">INDEX(Summary!$F$2:$F$201,MATCH($B243,Summary!$A$2:$A$201,0))</f>
        <v>20</v>
      </c>
      <c r="M243" s="0" t="n">
        <f aca="false">INDEX(Summary!$I$2:$I$201,MATCH($B243,Summary!$A$2:$A$201,0))</f>
        <v>2</v>
      </c>
      <c r="N243" s="0" t="n">
        <f aca="false">INDEX(Summary!$J$2:$J$201,MATCH($B243,Summary!$A$2:$A$201,0))</f>
        <v>3</v>
      </c>
      <c r="O243" s="2" t="n">
        <f aca="false">INDEX(Summary!$K$2:$K$201,MATCH($B243,Summary!$A$2:$A$201,0))</f>
        <v>8.93</v>
      </c>
      <c r="P243" s="3" t="n">
        <f aca="false">INDEX(Summary!$L$2:$L$201,MATCH($B243,Summary!$A$2:$A$201,0))</f>
        <v>2</v>
      </c>
      <c r="Q243" s="3" t="n">
        <f aca="false">INDEX(Summary!$M$2:$M$201,MATCH($B243,Summary!$A$2:$A$201,0))</f>
        <v>4</v>
      </c>
      <c r="R243" s="2" t="n">
        <f aca="false">INDEX(Summary!$N$2:$N$201,MATCH($B243,Summary!$A$2:$A$201,0))</f>
        <v>10.81</v>
      </c>
      <c r="S243" s="3" t="n">
        <f aca="false">INDEX(Summary!$O$2:$O$201,MATCH($B243,Summary!$A$2:$A$201,0))</f>
        <v>8</v>
      </c>
      <c r="T243" s="3" t="n">
        <f aca="false">INDEX(Summary!$P$2:$P$201,MATCH($B243,Summary!$A$2:$A$201,0))</f>
        <v>1</v>
      </c>
      <c r="U243" s="2" t="n">
        <f aca="false">INDEX(Summary!$Q$2:$Q$201,MATCH($B243,Summary!$A$2:$A$201,0))</f>
        <v>13.09</v>
      </c>
      <c r="V243" s="2" t="n">
        <f aca="false">INDEX(Summary!$R$2:$R$201,MATCH($B243,Summary!$A$2:$A$201,0))</f>
        <v>20.65</v>
      </c>
      <c r="W243" s="0" t="str">
        <f aca="false">INDEX(Summary!$S$2:$S$201,MATCH($B243,Summary!$A$2:$A$201,0))</f>
        <v>Silver</v>
      </c>
      <c r="X243" s="2" t="n">
        <f aca="false">INDEX(Summary!$T$2:$T$201,MATCH($B243,Summary!$A$2:$A$201,0))</f>
        <v>50.37</v>
      </c>
      <c r="Y243" s="0" t="str">
        <f aca="false">INDEX('Reward Model'!$E$18:$E$37,MATCH($E243,'Reward Model'!$A$18:$A$37,0))</f>
        <v>Low</v>
      </c>
      <c r="Z243" s="4" t="n">
        <f aca="false">ROUND(MIN(1,MAX('Reward Model'!$B$2,INDEX('Reward Model'!$C$12:$C$14,MATCH($K243,'Reward Model'!$A$12:$A$14,0))/$J243)),3)</f>
        <v>1</v>
      </c>
      <c r="AA243" s="2" t="n">
        <f aca="false">IF($I243="Correct",ROUND(INDEX('Reward Model'!$B$12:$B$14,MATCH($K243,'Reward Model'!$A$12:$A$14,0))*Z243,2),0)</f>
        <v>1</v>
      </c>
      <c r="AB243" s="2" t="n">
        <f aca="false">IF($I243="Correct",ROUND(INDEX('Reward Model'!$B$12:$B$14,MATCH($Y243,'Reward Model'!$A$12:$A$14,0))*Z243,2),0)</f>
        <v>1</v>
      </c>
    </row>
    <row r="244" customFormat="false" ht="15" hidden="false" customHeight="false" outlineLevel="0" collapsed="false">
      <c r="A244" s="0" t="s">
        <v>135</v>
      </c>
      <c r="B244" s="0" t="s">
        <v>136</v>
      </c>
      <c r="C244" s="0" t="s">
        <v>30</v>
      </c>
      <c r="D244" s="0" t="s">
        <v>31</v>
      </c>
      <c r="E244" s="0" t="n">
        <v>3</v>
      </c>
      <c r="F244" s="0" t="s">
        <v>40</v>
      </c>
      <c r="G244" s="0" t="s">
        <v>42</v>
      </c>
      <c r="H244" s="0" t="s">
        <v>42</v>
      </c>
      <c r="I244" s="0" t="s">
        <v>34</v>
      </c>
      <c r="J244" s="0" t="n">
        <v>1.84</v>
      </c>
      <c r="K244" s="0" t="s">
        <v>35</v>
      </c>
      <c r="L244" s="0" t="n">
        <f aca="false">INDEX(Summary!$F$2:$F$201,MATCH($B244,Summary!$A$2:$A$201,0))</f>
        <v>20</v>
      </c>
      <c r="M244" s="0" t="n">
        <f aca="false">INDEX(Summary!$I$2:$I$201,MATCH($B244,Summary!$A$2:$A$201,0))</f>
        <v>2</v>
      </c>
      <c r="N244" s="0" t="n">
        <f aca="false">INDEX(Summary!$J$2:$J$201,MATCH($B244,Summary!$A$2:$A$201,0))</f>
        <v>3</v>
      </c>
      <c r="O244" s="2" t="n">
        <f aca="false">INDEX(Summary!$K$2:$K$201,MATCH($B244,Summary!$A$2:$A$201,0))</f>
        <v>8.93</v>
      </c>
      <c r="P244" s="3" t="n">
        <f aca="false">INDEX(Summary!$L$2:$L$201,MATCH($B244,Summary!$A$2:$A$201,0))</f>
        <v>2</v>
      </c>
      <c r="Q244" s="3" t="n">
        <f aca="false">INDEX(Summary!$M$2:$M$201,MATCH($B244,Summary!$A$2:$A$201,0))</f>
        <v>4</v>
      </c>
      <c r="R244" s="2" t="n">
        <f aca="false">INDEX(Summary!$N$2:$N$201,MATCH($B244,Summary!$A$2:$A$201,0))</f>
        <v>10.81</v>
      </c>
      <c r="S244" s="3" t="n">
        <f aca="false">INDEX(Summary!$O$2:$O$201,MATCH($B244,Summary!$A$2:$A$201,0))</f>
        <v>8</v>
      </c>
      <c r="T244" s="3" t="n">
        <f aca="false">INDEX(Summary!$P$2:$P$201,MATCH($B244,Summary!$A$2:$A$201,0))</f>
        <v>1</v>
      </c>
      <c r="U244" s="2" t="n">
        <f aca="false">INDEX(Summary!$Q$2:$Q$201,MATCH($B244,Summary!$A$2:$A$201,0))</f>
        <v>13.09</v>
      </c>
      <c r="V244" s="2" t="n">
        <f aca="false">INDEX(Summary!$R$2:$R$201,MATCH($B244,Summary!$A$2:$A$201,0))</f>
        <v>20.65</v>
      </c>
      <c r="W244" s="0" t="str">
        <f aca="false">INDEX(Summary!$S$2:$S$201,MATCH($B244,Summary!$A$2:$A$201,0))</f>
        <v>Silver</v>
      </c>
      <c r="X244" s="2" t="n">
        <f aca="false">INDEX(Summary!$T$2:$T$201,MATCH($B244,Summary!$A$2:$A$201,0))</f>
        <v>50.37</v>
      </c>
      <c r="Y244" s="0" t="str">
        <f aca="false">INDEX('Reward Model'!$E$18:$E$37,MATCH($E244,'Reward Model'!$A$18:$A$37,0))</f>
        <v>Medium</v>
      </c>
      <c r="Z244" s="4" t="n">
        <f aca="false">ROUND(MIN(1,MAX('Reward Model'!$B$2,INDEX('Reward Model'!$C$12:$C$14,MATCH($K244,'Reward Model'!$A$12:$A$14,0))/$J244)),3)</f>
        <v>0.815</v>
      </c>
      <c r="AA244" s="2" t="n">
        <f aca="false">IF($I244="Correct",ROUND(INDEX('Reward Model'!$B$12:$B$14,MATCH($K244,'Reward Model'!$A$12:$A$14,0))*Z244,2),0)</f>
        <v>0.82</v>
      </c>
      <c r="AB244" s="2" t="n">
        <f aca="false">IF($I244="Correct",ROUND(INDEX('Reward Model'!$B$12:$B$14,MATCH($Y244,'Reward Model'!$A$12:$A$14,0))*Z244,2),0)</f>
        <v>1.63</v>
      </c>
    </row>
    <row r="245" customFormat="false" ht="15" hidden="false" customHeight="false" outlineLevel="0" collapsed="false">
      <c r="A245" s="0" t="s">
        <v>135</v>
      </c>
      <c r="B245" s="0" t="s">
        <v>136</v>
      </c>
      <c r="C245" s="0" t="s">
        <v>30</v>
      </c>
      <c r="D245" s="0" t="s">
        <v>31</v>
      </c>
      <c r="E245" s="0" t="n">
        <v>4</v>
      </c>
      <c r="F245" s="0" t="s">
        <v>43</v>
      </c>
      <c r="G245" s="0" t="s">
        <v>45</v>
      </c>
      <c r="H245" s="0" t="s">
        <v>45</v>
      </c>
      <c r="I245" s="0" t="s">
        <v>34</v>
      </c>
      <c r="J245" s="0" t="n">
        <v>1.04</v>
      </c>
      <c r="K245" s="0" t="s">
        <v>35</v>
      </c>
      <c r="L245" s="0" t="n">
        <f aca="false">INDEX(Summary!$F$2:$F$201,MATCH($B245,Summary!$A$2:$A$201,0))</f>
        <v>20</v>
      </c>
      <c r="M245" s="0" t="n">
        <f aca="false">INDEX(Summary!$I$2:$I$201,MATCH($B245,Summary!$A$2:$A$201,0))</f>
        <v>2</v>
      </c>
      <c r="N245" s="0" t="n">
        <f aca="false">INDEX(Summary!$J$2:$J$201,MATCH($B245,Summary!$A$2:$A$201,0))</f>
        <v>3</v>
      </c>
      <c r="O245" s="2" t="n">
        <f aca="false">INDEX(Summary!$K$2:$K$201,MATCH($B245,Summary!$A$2:$A$201,0))</f>
        <v>8.93</v>
      </c>
      <c r="P245" s="3" t="n">
        <f aca="false">INDEX(Summary!$L$2:$L$201,MATCH($B245,Summary!$A$2:$A$201,0))</f>
        <v>2</v>
      </c>
      <c r="Q245" s="3" t="n">
        <f aca="false">INDEX(Summary!$M$2:$M$201,MATCH($B245,Summary!$A$2:$A$201,0))</f>
        <v>4</v>
      </c>
      <c r="R245" s="2" t="n">
        <f aca="false">INDEX(Summary!$N$2:$N$201,MATCH($B245,Summary!$A$2:$A$201,0))</f>
        <v>10.81</v>
      </c>
      <c r="S245" s="3" t="n">
        <f aca="false">INDEX(Summary!$O$2:$O$201,MATCH($B245,Summary!$A$2:$A$201,0))</f>
        <v>8</v>
      </c>
      <c r="T245" s="3" t="n">
        <f aca="false">INDEX(Summary!$P$2:$P$201,MATCH($B245,Summary!$A$2:$A$201,0))</f>
        <v>1</v>
      </c>
      <c r="U245" s="2" t="n">
        <f aca="false">INDEX(Summary!$Q$2:$Q$201,MATCH($B245,Summary!$A$2:$A$201,0))</f>
        <v>13.09</v>
      </c>
      <c r="V245" s="2" t="n">
        <f aca="false">INDEX(Summary!$R$2:$R$201,MATCH($B245,Summary!$A$2:$A$201,0))</f>
        <v>20.65</v>
      </c>
      <c r="W245" s="0" t="str">
        <f aca="false">INDEX(Summary!$S$2:$S$201,MATCH($B245,Summary!$A$2:$A$201,0))</f>
        <v>Silver</v>
      </c>
      <c r="X245" s="2" t="n">
        <f aca="false">INDEX(Summary!$T$2:$T$201,MATCH($B245,Summary!$A$2:$A$201,0))</f>
        <v>50.37</v>
      </c>
      <c r="Y245" s="0" t="str">
        <f aca="false">INDEX('Reward Model'!$E$18:$E$37,MATCH($E245,'Reward Model'!$A$18:$A$37,0))</f>
        <v>Low</v>
      </c>
      <c r="Z245" s="4" t="n">
        <f aca="false">ROUND(MIN(1,MAX('Reward Model'!$B$2,INDEX('Reward Model'!$C$12:$C$14,MATCH($K245,'Reward Model'!$A$12:$A$14,0))/$J245)),3)</f>
        <v>1</v>
      </c>
      <c r="AA245" s="2" t="n">
        <f aca="false">IF($I245="Correct",ROUND(INDEX('Reward Model'!$B$12:$B$14,MATCH($K245,'Reward Model'!$A$12:$A$14,0))*Z245,2),0)</f>
        <v>1</v>
      </c>
      <c r="AB245" s="2" t="n">
        <f aca="false">IF($I245="Correct",ROUND(INDEX('Reward Model'!$B$12:$B$14,MATCH($Y245,'Reward Model'!$A$12:$A$14,0))*Z245,2),0)</f>
        <v>1</v>
      </c>
    </row>
    <row r="246" customFormat="false" ht="15" hidden="false" customHeight="false" outlineLevel="0" collapsed="false">
      <c r="A246" s="0" t="s">
        <v>135</v>
      </c>
      <c r="B246" s="0" t="s">
        <v>136</v>
      </c>
      <c r="C246" s="0" t="s">
        <v>30</v>
      </c>
      <c r="D246" s="0" t="s">
        <v>31</v>
      </c>
      <c r="E246" s="0" t="n">
        <v>5</v>
      </c>
      <c r="F246" s="0" t="s">
        <v>46</v>
      </c>
      <c r="G246" s="0" t="s">
        <v>47</v>
      </c>
      <c r="H246" s="0" t="s">
        <v>47</v>
      </c>
      <c r="I246" s="0" t="s">
        <v>34</v>
      </c>
      <c r="J246" s="0" t="n">
        <v>1.13</v>
      </c>
      <c r="K246" s="0" t="s">
        <v>35</v>
      </c>
      <c r="L246" s="0" t="n">
        <f aca="false">INDEX(Summary!$F$2:$F$201,MATCH($B246,Summary!$A$2:$A$201,0))</f>
        <v>20</v>
      </c>
      <c r="M246" s="0" t="n">
        <f aca="false">INDEX(Summary!$I$2:$I$201,MATCH($B246,Summary!$A$2:$A$201,0))</f>
        <v>2</v>
      </c>
      <c r="N246" s="0" t="n">
        <f aca="false">INDEX(Summary!$J$2:$J$201,MATCH($B246,Summary!$A$2:$A$201,0))</f>
        <v>3</v>
      </c>
      <c r="O246" s="2" t="n">
        <f aca="false">INDEX(Summary!$K$2:$K$201,MATCH($B246,Summary!$A$2:$A$201,0))</f>
        <v>8.93</v>
      </c>
      <c r="P246" s="3" t="n">
        <f aca="false">INDEX(Summary!$L$2:$L$201,MATCH($B246,Summary!$A$2:$A$201,0))</f>
        <v>2</v>
      </c>
      <c r="Q246" s="3" t="n">
        <f aca="false">INDEX(Summary!$M$2:$M$201,MATCH($B246,Summary!$A$2:$A$201,0))</f>
        <v>4</v>
      </c>
      <c r="R246" s="2" t="n">
        <f aca="false">INDEX(Summary!$N$2:$N$201,MATCH($B246,Summary!$A$2:$A$201,0))</f>
        <v>10.81</v>
      </c>
      <c r="S246" s="3" t="n">
        <f aca="false">INDEX(Summary!$O$2:$O$201,MATCH($B246,Summary!$A$2:$A$201,0))</f>
        <v>8</v>
      </c>
      <c r="T246" s="3" t="n">
        <f aca="false">INDEX(Summary!$P$2:$P$201,MATCH($B246,Summary!$A$2:$A$201,0))</f>
        <v>1</v>
      </c>
      <c r="U246" s="2" t="n">
        <f aca="false">INDEX(Summary!$Q$2:$Q$201,MATCH($B246,Summary!$A$2:$A$201,0))</f>
        <v>13.09</v>
      </c>
      <c r="V246" s="2" t="n">
        <f aca="false">INDEX(Summary!$R$2:$R$201,MATCH($B246,Summary!$A$2:$A$201,0))</f>
        <v>20.65</v>
      </c>
      <c r="W246" s="0" t="str">
        <f aca="false">INDEX(Summary!$S$2:$S$201,MATCH($B246,Summary!$A$2:$A$201,0))</f>
        <v>Silver</v>
      </c>
      <c r="X246" s="2" t="n">
        <f aca="false">INDEX(Summary!$T$2:$T$201,MATCH($B246,Summary!$A$2:$A$201,0))</f>
        <v>50.37</v>
      </c>
      <c r="Y246" s="0" t="str">
        <f aca="false">INDEX('Reward Model'!$E$18:$E$37,MATCH($E246,'Reward Model'!$A$18:$A$37,0))</f>
        <v>Low</v>
      </c>
      <c r="Z246" s="4" t="n">
        <f aca="false">ROUND(MIN(1,MAX('Reward Model'!$B$2,INDEX('Reward Model'!$C$12:$C$14,MATCH($K246,'Reward Model'!$A$12:$A$14,0))/$J246)),3)</f>
        <v>1</v>
      </c>
      <c r="AA246" s="2" t="n">
        <f aca="false">IF($I246="Correct",ROUND(INDEX('Reward Model'!$B$12:$B$14,MATCH($K246,'Reward Model'!$A$12:$A$14,0))*Z246,2),0)</f>
        <v>1</v>
      </c>
      <c r="AB246" s="2" t="n">
        <f aca="false">IF($I246="Correct",ROUND(INDEX('Reward Model'!$B$12:$B$14,MATCH($Y246,'Reward Model'!$A$12:$A$14,0))*Z246,2),0)</f>
        <v>1</v>
      </c>
    </row>
    <row r="247" customFormat="false" ht="15" hidden="false" customHeight="false" outlineLevel="0" collapsed="false">
      <c r="A247" s="0" t="s">
        <v>135</v>
      </c>
      <c r="B247" s="0" t="s">
        <v>136</v>
      </c>
      <c r="C247" s="0" t="s">
        <v>30</v>
      </c>
      <c r="D247" s="0" t="s">
        <v>31</v>
      </c>
      <c r="E247" s="0" t="n">
        <v>6</v>
      </c>
      <c r="F247" s="0" t="s">
        <v>48</v>
      </c>
      <c r="G247" s="0" t="s">
        <v>49</v>
      </c>
      <c r="H247" s="0" t="s">
        <v>49</v>
      </c>
      <c r="I247" s="0" t="s">
        <v>34</v>
      </c>
      <c r="J247" s="0" t="n">
        <v>1.85</v>
      </c>
      <c r="K247" s="0" t="s">
        <v>35</v>
      </c>
      <c r="L247" s="0" t="n">
        <f aca="false">INDEX(Summary!$F$2:$F$201,MATCH($B247,Summary!$A$2:$A$201,0))</f>
        <v>20</v>
      </c>
      <c r="M247" s="0" t="n">
        <f aca="false">INDEX(Summary!$I$2:$I$201,MATCH($B247,Summary!$A$2:$A$201,0))</f>
        <v>2</v>
      </c>
      <c r="N247" s="0" t="n">
        <f aca="false">INDEX(Summary!$J$2:$J$201,MATCH($B247,Summary!$A$2:$A$201,0))</f>
        <v>3</v>
      </c>
      <c r="O247" s="2" t="n">
        <f aca="false">INDEX(Summary!$K$2:$K$201,MATCH($B247,Summary!$A$2:$A$201,0))</f>
        <v>8.93</v>
      </c>
      <c r="P247" s="3" t="n">
        <f aca="false">INDEX(Summary!$L$2:$L$201,MATCH($B247,Summary!$A$2:$A$201,0))</f>
        <v>2</v>
      </c>
      <c r="Q247" s="3" t="n">
        <f aca="false">INDEX(Summary!$M$2:$M$201,MATCH($B247,Summary!$A$2:$A$201,0))</f>
        <v>4</v>
      </c>
      <c r="R247" s="2" t="n">
        <f aca="false">INDEX(Summary!$N$2:$N$201,MATCH($B247,Summary!$A$2:$A$201,0))</f>
        <v>10.81</v>
      </c>
      <c r="S247" s="3" t="n">
        <f aca="false">INDEX(Summary!$O$2:$O$201,MATCH($B247,Summary!$A$2:$A$201,0))</f>
        <v>8</v>
      </c>
      <c r="T247" s="3" t="n">
        <f aca="false">INDEX(Summary!$P$2:$P$201,MATCH($B247,Summary!$A$2:$A$201,0))</f>
        <v>1</v>
      </c>
      <c r="U247" s="2" t="n">
        <f aca="false">INDEX(Summary!$Q$2:$Q$201,MATCH($B247,Summary!$A$2:$A$201,0))</f>
        <v>13.09</v>
      </c>
      <c r="V247" s="2" t="n">
        <f aca="false">INDEX(Summary!$R$2:$R$201,MATCH($B247,Summary!$A$2:$A$201,0))</f>
        <v>20.65</v>
      </c>
      <c r="W247" s="0" t="str">
        <f aca="false">INDEX(Summary!$S$2:$S$201,MATCH($B247,Summary!$A$2:$A$201,0))</f>
        <v>Silver</v>
      </c>
      <c r="X247" s="2" t="n">
        <f aca="false">INDEX(Summary!$T$2:$T$201,MATCH($B247,Summary!$A$2:$A$201,0))</f>
        <v>50.37</v>
      </c>
      <c r="Y247" s="0" t="str">
        <f aca="false">INDEX('Reward Model'!$E$18:$E$37,MATCH($E247,'Reward Model'!$A$18:$A$37,0))</f>
        <v>Medium</v>
      </c>
      <c r="Z247" s="4" t="n">
        <f aca="false">ROUND(MIN(1,MAX('Reward Model'!$B$2,INDEX('Reward Model'!$C$12:$C$14,MATCH($K247,'Reward Model'!$A$12:$A$14,0))/$J247)),3)</f>
        <v>0.811</v>
      </c>
      <c r="AA247" s="2" t="n">
        <f aca="false">IF($I247="Correct",ROUND(INDEX('Reward Model'!$B$12:$B$14,MATCH($K247,'Reward Model'!$A$12:$A$14,0))*Z247,2),0)</f>
        <v>0.81</v>
      </c>
      <c r="AB247" s="2" t="n">
        <f aca="false">IF($I247="Correct",ROUND(INDEX('Reward Model'!$B$12:$B$14,MATCH($Y247,'Reward Model'!$A$12:$A$14,0))*Z247,2),0)</f>
        <v>1.62</v>
      </c>
    </row>
    <row r="248" customFormat="false" ht="15" hidden="false" customHeight="false" outlineLevel="0" collapsed="false">
      <c r="A248" s="0" t="s">
        <v>135</v>
      </c>
      <c r="B248" s="0" t="s">
        <v>136</v>
      </c>
      <c r="C248" s="0" t="s">
        <v>30</v>
      </c>
      <c r="D248" s="0" t="s">
        <v>31</v>
      </c>
      <c r="E248" s="0" t="n">
        <v>7</v>
      </c>
      <c r="F248" s="0" t="s">
        <v>50</v>
      </c>
      <c r="G248" s="0" t="s">
        <v>51</v>
      </c>
      <c r="H248" s="0" t="s">
        <v>51</v>
      </c>
      <c r="I248" s="0" t="s">
        <v>34</v>
      </c>
      <c r="J248" s="0" t="n">
        <v>1.75</v>
      </c>
      <c r="K248" s="0" t="s">
        <v>35</v>
      </c>
      <c r="L248" s="0" t="n">
        <f aca="false">INDEX(Summary!$F$2:$F$201,MATCH($B248,Summary!$A$2:$A$201,0))</f>
        <v>20</v>
      </c>
      <c r="M248" s="0" t="n">
        <f aca="false">INDEX(Summary!$I$2:$I$201,MATCH($B248,Summary!$A$2:$A$201,0))</f>
        <v>2</v>
      </c>
      <c r="N248" s="0" t="n">
        <f aca="false">INDEX(Summary!$J$2:$J$201,MATCH($B248,Summary!$A$2:$A$201,0))</f>
        <v>3</v>
      </c>
      <c r="O248" s="2" t="n">
        <f aca="false">INDEX(Summary!$K$2:$K$201,MATCH($B248,Summary!$A$2:$A$201,0))</f>
        <v>8.93</v>
      </c>
      <c r="P248" s="3" t="n">
        <f aca="false">INDEX(Summary!$L$2:$L$201,MATCH($B248,Summary!$A$2:$A$201,0))</f>
        <v>2</v>
      </c>
      <c r="Q248" s="3" t="n">
        <f aca="false">INDEX(Summary!$M$2:$M$201,MATCH($B248,Summary!$A$2:$A$201,0))</f>
        <v>4</v>
      </c>
      <c r="R248" s="2" t="n">
        <f aca="false">INDEX(Summary!$N$2:$N$201,MATCH($B248,Summary!$A$2:$A$201,0))</f>
        <v>10.81</v>
      </c>
      <c r="S248" s="3" t="n">
        <f aca="false">INDEX(Summary!$O$2:$O$201,MATCH($B248,Summary!$A$2:$A$201,0))</f>
        <v>8</v>
      </c>
      <c r="T248" s="3" t="n">
        <f aca="false">INDEX(Summary!$P$2:$P$201,MATCH($B248,Summary!$A$2:$A$201,0))</f>
        <v>1</v>
      </c>
      <c r="U248" s="2" t="n">
        <f aca="false">INDEX(Summary!$Q$2:$Q$201,MATCH($B248,Summary!$A$2:$A$201,0))</f>
        <v>13.09</v>
      </c>
      <c r="V248" s="2" t="n">
        <f aca="false">INDEX(Summary!$R$2:$R$201,MATCH($B248,Summary!$A$2:$A$201,0))</f>
        <v>20.65</v>
      </c>
      <c r="W248" s="0" t="str">
        <f aca="false">INDEX(Summary!$S$2:$S$201,MATCH($B248,Summary!$A$2:$A$201,0))</f>
        <v>Silver</v>
      </c>
      <c r="X248" s="2" t="n">
        <f aca="false">INDEX(Summary!$T$2:$T$201,MATCH($B248,Summary!$A$2:$A$201,0))</f>
        <v>50.37</v>
      </c>
      <c r="Y248" s="0" t="str">
        <f aca="false">INDEX('Reward Model'!$E$18:$E$37,MATCH($E248,'Reward Model'!$A$18:$A$37,0))</f>
        <v>Low</v>
      </c>
      <c r="Z248" s="4" t="n">
        <f aca="false">ROUND(MIN(1,MAX('Reward Model'!$B$2,INDEX('Reward Model'!$C$12:$C$14,MATCH($K248,'Reward Model'!$A$12:$A$14,0))/$J248)),3)</f>
        <v>0.857</v>
      </c>
      <c r="AA248" s="2" t="n">
        <f aca="false">IF($I248="Correct",ROUND(INDEX('Reward Model'!$B$12:$B$14,MATCH($K248,'Reward Model'!$A$12:$A$14,0))*Z248,2),0)</f>
        <v>0.86</v>
      </c>
      <c r="AB248" s="2" t="n">
        <f aca="false">IF($I248="Correct",ROUND(INDEX('Reward Model'!$B$12:$B$14,MATCH($Y248,'Reward Model'!$A$12:$A$14,0))*Z248,2),0)</f>
        <v>0.86</v>
      </c>
    </row>
    <row r="249" customFormat="false" ht="15" hidden="false" customHeight="false" outlineLevel="0" collapsed="false">
      <c r="A249" s="0" t="s">
        <v>135</v>
      </c>
      <c r="B249" s="0" t="s">
        <v>136</v>
      </c>
      <c r="C249" s="0" t="s">
        <v>30</v>
      </c>
      <c r="D249" s="0" t="s">
        <v>31</v>
      </c>
      <c r="E249" s="0" t="n">
        <v>8</v>
      </c>
      <c r="F249" s="0" t="s">
        <v>52</v>
      </c>
      <c r="G249" s="0" t="s">
        <v>137</v>
      </c>
      <c r="H249" s="0" t="s">
        <v>54</v>
      </c>
      <c r="I249" s="0" t="s">
        <v>39</v>
      </c>
      <c r="J249" s="0" t="n">
        <v>1.44</v>
      </c>
      <c r="K249" s="0" t="s">
        <v>35</v>
      </c>
      <c r="L249" s="0" t="n">
        <f aca="false">INDEX(Summary!$F$2:$F$201,MATCH($B249,Summary!$A$2:$A$201,0))</f>
        <v>20</v>
      </c>
      <c r="M249" s="0" t="n">
        <f aca="false">INDEX(Summary!$I$2:$I$201,MATCH($B249,Summary!$A$2:$A$201,0))</f>
        <v>2</v>
      </c>
      <c r="N249" s="0" t="n">
        <f aca="false">INDEX(Summary!$J$2:$J$201,MATCH($B249,Summary!$A$2:$A$201,0))</f>
        <v>3</v>
      </c>
      <c r="O249" s="2" t="n">
        <f aca="false">INDEX(Summary!$K$2:$K$201,MATCH($B249,Summary!$A$2:$A$201,0))</f>
        <v>8.93</v>
      </c>
      <c r="P249" s="3" t="n">
        <f aca="false">INDEX(Summary!$L$2:$L$201,MATCH($B249,Summary!$A$2:$A$201,0))</f>
        <v>2</v>
      </c>
      <c r="Q249" s="3" t="n">
        <f aca="false">INDEX(Summary!$M$2:$M$201,MATCH($B249,Summary!$A$2:$A$201,0))</f>
        <v>4</v>
      </c>
      <c r="R249" s="2" t="n">
        <f aca="false">INDEX(Summary!$N$2:$N$201,MATCH($B249,Summary!$A$2:$A$201,0))</f>
        <v>10.81</v>
      </c>
      <c r="S249" s="3" t="n">
        <f aca="false">INDEX(Summary!$O$2:$O$201,MATCH($B249,Summary!$A$2:$A$201,0))</f>
        <v>8</v>
      </c>
      <c r="T249" s="3" t="n">
        <f aca="false">INDEX(Summary!$P$2:$P$201,MATCH($B249,Summary!$A$2:$A$201,0))</f>
        <v>1</v>
      </c>
      <c r="U249" s="2" t="n">
        <f aca="false">INDEX(Summary!$Q$2:$Q$201,MATCH($B249,Summary!$A$2:$A$201,0))</f>
        <v>13.09</v>
      </c>
      <c r="V249" s="2" t="n">
        <f aca="false">INDEX(Summary!$R$2:$R$201,MATCH($B249,Summary!$A$2:$A$201,0))</f>
        <v>20.65</v>
      </c>
      <c r="W249" s="0" t="str">
        <f aca="false">INDEX(Summary!$S$2:$S$201,MATCH($B249,Summary!$A$2:$A$201,0))</f>
        <v>Silver</v>
      </c>
      <c r="X249" s="2" t="n">
        <f aca="false">INDEX(Summary!$T$2:$T$201,MATCH($B249,Summary!$A$2:$A$201,0))</f>
        <v>50.37</v>
      </c>
      <c r="Y249" s="0" t="str">
        <f aca="false">INDEX('Reward Model'!$E$18:$E$37,MATCH($E249,'Reward Model'!$A$18:$A$37,0))</f>
        <v>Medium</v>
      </c>
      <c r="Z249" s="4" t="n">
        <f aca="false">ROUND(MIN(1,MAX('Reward Model'!$B$2,INDEX('Reward Model'!$C$12:$C$14,MATCH($K249,'Reward Model'!$A$12:$A$14,0))/$J249)),3)</f>
        <v>1</v>
      </c>
      <c r="AA249" s="2" t="n">
        <f aca="false">IF($I249="Correct",ROUND(INDEX('Reward Model'!$B$12:$B$14,MATCH($K249,'Reward Model'!$A$12:$A$14,0))*Z249,2),0)</f>
        <v>0</v>
      </c>
      <c r="AB249" s="2" t="n">
        <f aca="false">IF($I249="Correct",ROUND(INDEX('Reward Model'!$B$12:$B$14,MATCH($Y249,'Reward Model'!$A$12:$A$14,0))*Z249,2),0)</f>
        <v>0</v>
      </c>
    </row>
    <row r="250" customFormat="false" ht="15" hidden="false" customHeight="false" outlineLevel="0" collapsed="false">
      <c r="A250" s="0" t="s">
        <v>135</v>
      </c>
      <c r="B250" s="0" t="s">
        <v>136</v>
      </c>
      <c r="C250" s="0" t="s">
        <v>30</v>
      </c>
      <c r="D250" s="0" t="s">
        <v>31</v>
      </c>
      <c r="E250" s="0" t="n">
        <v>9</v>
      </c>
      <c r="F250" s="0" t="s">
        <v>55</v>
      </c>
      <c r="G250" s="0" t="s">
        <v>57</v>
      </c>
      <c r="H250" s="0" t="s">
        <v>57</v>
      </c>
      <c r="I250" s="0" t="s">
        <v>34</v>
      </c>
      <c r="J250" s="0" t="n">
        <v>1.51</v>
      </c>
      <c r="K250" s="0" t="s">
        <v>35</v>
      </c>
      <c r="L250" s="0" t="n">
        <f aca="false">INDEX(Summary!$F$2:$F$201,MATCH($B250,Summary!$A$2:$A$201,0))</f>
        <v>20</v>
      </c>
      <c r="M250" s="0" t="n">
        <f aca="false">INDEX(Summary!$I$2:$I$201,MATCH($B250,Summary!$A$2:$A$201,0))</f>
        <v>2</v>
      </c>
      <c r="N250" s="0" t="n">
        <f aca="false">INDEX(Summary!$J$2:$J$201,MATCH($B250,Summary!$A$2:$A$201,0))</f>
        <v>3</v>
      </c>
      <c r="O250" s="2" t="n">
        <f aca="false">INDEX(Summary!$K$2:$K$201,MATCH($B250,Summary!$A$2:$A$201,0))</f>
        <v>8.93</v>
      </c>
      <c r="P250" s="3" t="n">
        <f aca="false">INDEX(Summary!$L$2:$L$201,MATCH($B250,Summary!$A$2:$A$201,0))</f>
        <v>2</v>
      </c>
      <c r="Q250" s="3" t="n">
        <f aca="false">INDEX(Summary!$M$2:$M$201,MATCH($B250,Summary!$A$2:$A$201,0))</f>
        <v>4</v>
      </c>
      <c r="R250" s="2" t="n">
        <f aca="false">INDEX(Summary!$N$2:$N$201,MATCH($B250,Summary!$A$2:$A$201,0))</f>
        <v>10.81</v>
      </c>
      <c r="S250" s="3" t="n">
        <f aca="false">INDEX(Summary!$O$2:$O$201,MATCH($B250,Summary!$A$2:$A$201,0))</f>
        <v>8</v>
      </c>
      <c r="T250" s="3" t="n">
        <f aca="false">INDEX(Summary!$P$2:$P$201,MATCH($B250,Summary!$A$2:$A$201,0))</f>
        <v>1</v>
      </c>
      <c r="U250" s="2" t="n">
        <f aca="false">INDEX(Summary!$Q$2:$Q$201,MATCH($B250,Summary!$A$2:$A$201,0))</f>
        <v>13.09</v>
      </c>
      <c r="V250" s="2" t="n">
        <f aca="false">INDEX(Summary!$R$2:$R$201,MATCH($B250,Summary!$A$2:$A$201,0))</f>
        <v>20.65</v>
      </c>
      <c r="W250" s="0" t="str">
        <f aca="false">INDEX(Summary!$S$2:$S$201,MATCH($B250,Summary!$A$2:$A$201,0))</f>
        <v>Silver</v>
      </c>
      <c r="X250" s="2" t="n">
        <f aca="false">INDEX(Summary!$T$2:$T$201,MATCH($B250,Summary!$A$2:$A$201,0))</f>
        <v>50.37</v>
      </c>
      <c r="Y250" s="0" t="str">
        <f aca="false">INDEX('Reward Model'!$E$18:$E$37,MATCH($E250,'Reward Model'!$A$18:$A$37,0))</f>
        <v>Medium</v>
      </c>
      <c r="Z250" s="4" t="n">
        <f aca="false">ROUND(MIN(1,MAX('Reward Model'!$B$2,INDEX('Reward Model'!$C$12:$C$14,MATCH($K250,'Reward Model'!$A$12:$A$14,0))/$J250)),3)</f>
        <v>0.993</v>
      </c>
      <c r="AA250" s="2" t="n">
        <f aca="false">IF($I250="Correct",ROUND(INDEX('Reward Model'!$B$12:$B$14,MATCH($K250,'Reward Model'!$A$12:$A$14,0))*Z250,2),0)</f>
        <v>0.99</v>
      </c>
      <c r="AB250" s="2" t="n">
        <f aca="false">IF($I250="Correct",ROUND(INDEX('Reward Model'!$B$12:$B$14,MATCH($Y250,'Reward Model'!$A$12:$A$14,0))*Z250,2),0)</f>
        <v>1.99</v>
      </c>
    </row>
    <row r="251" customFormat="false" ht="15" hidden="false" customHeight="false" outlineLevel="0" collapsed="false">
      <c r="A251" s="0" t="s">
        <v>135</v>
      </c>
      <c r="B251" s="0" t="s">
        <v>136</v>
      </c>
      <c r="C251" s="0" t="s">
        <v>30</v>
      </c>
      <c r="D251" s="0" t="s">
        <v>31</v>
      </c>
      <c r="E251" s="0" t="n">
        <v>10</v>
      </c>
      <c r="F251" s="0" t="s">
        <v>58</v>
      </c>
      <c r="G251" s="0" t="s">
        <v>138</v>
      </c>
      <c r="H251" s="0" t="s">
        <v>59</v>
      </c>
      <c r="I251" s="0" t="s">
        <v>39</v>
      </c>
      <c r="J251" s="0" t="n">
        <v>1.54</v>
      </c>
      <c r="K251" s="0" t="s">
        <v>60</v>
      </c>
      <c r="L251" s="0" t="n">
        <f aca="false">INDEX(Summary!$F$2:$F$201,MATCH($B251,Summary!$A$2:$A$201,0))</f>
        <v>20</v>
      </c>
      <c r="M251" s="0" t="n">
        <f aca="false">INDEX(Summary!$I$2:$I$201,MATCH($B251,Summary!$A$2:$A$201,0))</f>
        <v>2</v>
      </c>
      <c r="N251" s="0" t="n">
        <f aca="false">INDEX(Summary!$J$2:$J$201,MATCH($B251,Summary!$A$2:$A$201,0))</f>
        <v>3</v>
      </c>
      <c r="O251" s="2" t="n">
        <f aca="false">INDEX(Summary!$K$2:$K$201,MATCH($B251,Summary!$A$2:$A$201,0))</f>
        <v>8.93</v>
      </c>
      <c r="P251" s="3" t="n">
        <f aca="false">INDEX(Summary!$L$2:$L$201,MATCH($B251,Summary!$A$2:$A$201,0))</f>
        <v>2</v>
      </c>
      <c r="Q251" s="3" t="n">
        <f aca="false">INDEX(Summary!$M$2:$M$201,MATCH($B251,Summary!$A$2:$A$201,0))</f>
        <v>4</v>
      </c>
      <c r="R251" s="2" t="n">
        <f aca="false">INDEX(Summary!$N$2:$N$201,MATCH($B251,Summary!$A$2:$A$201,0))</f>
        <v>10.81</v>
      </c>
      <c r="S251" s="3" t="n">
        <f aca="false">INDEX(Summary!$O$2:$O$201,MATCH($B251,Summary!$A$2:$A$201,0))</f>
        <v>8</v>
      </c>
      <c r="T251" s="3" t="n">
        <f aca="false">INDEX(Summary!$P$2:$P$201,MATCH($B251,Summary!$A$2:$A$201,0))</f>
        <v>1</v>
      </c>
      <c r="U251" s="2" t="n">
        <f aca="false">INDEX(Summary!$Q$2:$Q$201,MATCH($B251,Summary!$A$2:$A$201,0))</f>
        <v>13.09</v>
      </c>
      <c r="V251" s="2" t="n">
        <f aca="false">INDEX(Summary!$R$2:$R$201,MATCH($B251,Summary!$A$2:$A$201,0))</f>
        <v>20.65</v>
      </c>
      <c r="W251" s="0" t="str">
        <f aca="false">INDEX(Summary!$S$2:$S$201,MATCH($B251,Summary!$A$2:$A$201,0))</f>
        <v>Silver</v>
      </c>
      <c r="X251" s="2" t="n">
        <f aca="false">INDEX(Summary!$T$2:$T$201,MATCH($B251,Summary!$A$2:$A$201,0))</f>
        <v>50.37</v>
      </c>
      <c r="Y251" s="0" t="str">
        <f aca="false">INDEX('Reward Model'!$E$18:$E$37,MATCH($E251,'Reward Model'!$A$18:$A$37,0))</f>
        <v>Medium</v>
      </c>
      <c r="Z251" s="4" t="n">
        <f aca="false">ROUND(MIN(1,MAX('Reward Model'!$B$2,INDEX('Reward Model'!$C$12:$C$14,MATCH($K251,'Reward Model'!$A$12:$A$14,0))/$J251)),3)</f>
        <v>1</v>
      </c>
      <c r="AA251" s="2" t="n">
        <f aca="false">IF($I251="Correct",ROUND(INDEX('Reward Model'!$B$12:$B$14,MATCH($K251,'Reward Model'!$A$12:$A$14,0))*Z251,2),0)</f>
        <v>0</v>
      </c>
      <c r="AB251" s="2" t="n">
        <f aca="false">IF($I251="Correct",ROUND(INDEX('Reward Model'!$B$12:$B$14,MATCH($Y251,'Reward Model'!$A$12:$A$14,0))*Z251,2),0)</f>
        <v>0</v>
      </c>
    </row>
    <row r="252" customFormat="false" ht="15" hidden="false" customHeight="false" outlineLevel="0" collapsed="false">
      <c r="A252" s="0" t="s">
        <v>135</v>
      </c>
      <c r="B252" s="0" t="s">
        <v>136</v>
      </c>
      <c r="C252" s="0" t="s">
        <v>30</v>
      </c>
      <c r="D252" s="0" t="s">
        <v>31</v>
      </c>
      <c r="E252" s="0" t="n">
        <v>11</v>
      </c>
      <c r="F252" s="0" t="s">
        <v>61</v>
      </c>
      <c r="G252" s="0" t="s">
        <v>62</v>
      </c>
      <c r="H252" s="0" t="s">
        <v>63</v>
      </c>
      <c r="I252" s="0" t="s">
        <v>39</v>
      </c>
      <c r="J252" s="0" t="n">
        <v>1.57</v>
      </c>
      <c r="K252" s="0" t="s">
        <v>60</v>
      </c>
      <c r="L252" s="0" t="n">
        <f aca="false">INDEX(Summary!$F$2:$F$201,MATCH($B252,Summary!$A$2:$A$201,0))</f>
        <v>20</v>
      </c>
      <c r="M252" s="0" t="n">
        <f aca="false">INDEX(Summary!$I$2:$I$201,MATCH($B252,Summary!$A$2:$A$201,0))</f>
        <v>2</v>
      </c>
      <c r="N252" s="0" t="n">
        <f aca="false">INDEX(Summary!$J$2:$J$201,MATCH($B252,Summary!$A$2:$A$201,0))</f>
        <v>3</v>
      </c>
      <c r="O252" s="2" t="n">
        <f aca="false">INDEX(Summary!$K$2:$K$201,MATCH($B252,Summary!$A$2:$A$201,0))</f>
        <v>8.93</v>
      </c>
      <c r="P252" s="3" t="n">
        <f aca="false">INDEX(Summary!$L$2:$L$201,MATCH($B252,Summary!$A$2:$A$201,0))</f>
        <v>2</v>
      </c>
      <c r="Q252" s="3" t="n">
        <f aca="false">INDEX(Summary!$M$2:$M$201,MATCH($B252,Summary!$A$2:$A$201,0))</f>
        <v>4</v>
      </c>
      <c r="R252" s="2" t="n">
        <f aca="false">INDEX(Summary!$N$2:$N$201,MATCH($B252,Summary!$A$2:$A$201,0))</f>
        <v>10.81</v>
      </c>
      <c r="S252" s="3" t="n">
        <f aca="false">INDEX(Summary!$O$2:$O$201,MATCH($B252,Summary!$A$2:$A$201,0))</f>
        <v>8</v>
      </c>
      <c r="T252" s="3" t="n">
        <f aca="false">INDEX(Summary!$P$2:$P$201,MATCH($B252,Summary!$A$2:$A$201,0))</f>
        <v>1</v>
      </c>
      <c r="U252" s="2" t="n">
        <f aca="false">INDEX(Summary!$Q$2:$Q$201,MATCH($B252,Summary!$A$2:$A$201,0))</f>
        <v>13.09</v>
      </c>
      <c r="V252" s="2" t="n">
        <f aca="false">INDEX(Summary!$R$2:$R$201,MATCH($B252,Summary!$A$2:$A$201,0))</f>
        <v>20.65</v>
      </c>
      <c r="W252" s="0" t="str">
        <f aca="false">INDEX(Summary!$S$2:$S$201,MATCH($B252,Summary!$A$2:$A$201,0))</f>
        <v>Silver</v>
      </c>
      <c r="X252" s="2" t="n">
        <f aca="false">INDEX(Summary!$T$2:$T$201,MATCH($B252,Summary!$A$2:$A$201,0))</f>
        <v>50.37</v>
      </c>
      <c r="Y252" s="0" t="str">
        <f aca="false">INDEX('Reward Model'!$E$18:$E$37,MATCH($E252,'Reward Model'!$A$18:$A$37,0))</f>
        <v>Medium</v>
      </c>
      <c r="Z252" s="4" t="n">
        <f aca="false">ROUND(MIN(1,MAX('Reward Model'!$B$2,INDEX('Reward Model'!$C$12:$C$14,MATCH($K252,'Reward Model'!$A$12:$A$14,0))/$J252)),3)</f>
        <v>1</v>
      </c>
      <c r="AA252" s="2" t="n">
        <f aca="false">IF($I252="Correct",ROUND(INDEX('Reward Model'!$B$12:$B$14,MATCH($K252,'Reward Model'!$A$12:$A$14,0))*Z252,2),0)</f>
        <v>0</v>
      </c>
      <c r="AB252" s="2" t="n">
        <f aca="false">IF($I252="Correct",ROUND(INDEX('Reward Model'!$B$12:$B$14,MATCH($Y252,'Reward Model'!$A$12:$A$14,0))*Z252,2),0)</f>
        <v>0</v>
      </c>
    </row>
    <row r="253" customFormat="false" ht="15" hidden="false" customHeight="false" outlineLevel="0" collapsed="false">
      <c r="A253" s="0" t="s">
        <v>135</v>
      </c>
      <c r="B253" s="0" t="s">
        <v>136</v>
      </c>
      <c r="C253" s="0" t="s">
        <v>30</v>
      </c>
      <c r="D253" s="0" t="s">
        <v>31</v>
      </c>
      <c r="E253" s="0" t="n">
        <v>12</v>
      </c>
      <c r="F253" s="0" t="s">
        <v>64</v>
      </c>
      <c r="G253" s="0" t="s">
        <v>65</v>
      </c>
      <c r="H253" s="0" t="s">
        <v>65</v>
      </c>
      <c r="I253" s="0" t="s">
        <v>34</v>
      </c>
      <c r="J253" s="0" t="n">
        <v>1.84</v>
      </c>
      <c r="K253" s="0" t="s">
        <v>60</v>
      </c>
      <c r="L253" s="0" t="n">
        <f aca="false">INDEX(Summary!$F$2:$F$201,MATCH($B253,Summary!$A$2:$A$201,0))</f>
        <v>20</v>
      </c>
      <c r="M253" s="0" t="n">
        <f aca="false">INDEX(Summary!$I$2:$I$201,MATCH($B253,Summary!$A$2:$A$201,0))</f>
        <v>2</v>
      </c>
      <c r="N253" s="0" t="n">
        <f aca="false">INDEX(Summary!$J$2:$J$201,MATCH($B253,Summary!$A$2:$A$201,0))</f>
        <v>3</v>
      </c>
      <c r="O253" s="2" t="n">
        <f aca="false">INDEX(Summary!$K$2:$K$201,MATCH($B253,Summary!$A$2:$A$201,0))</f>
        <v>8.93</v>
      </c>
      <c r="P253" s="3" t="n">
        <f aca="false">INDEX(Summary!$L$2:$L$201,MATCH($B253,Summary!$A$2:$A$201,0))</f>
        <v>2</v>
      </c>
      <c r="Q253" s="3" t="n">
        <f aca="false">INDEX(Summary!$M$2:$M$201,MATCH($B253,Summary!$A$2:$A$201,0))</f>
        <v>4</v>
      </c>
      <c r="R253" s="2" t="n">
        <f aca="false">INDEX(Summary!$N$2:$N$201,MATCH($B253,Summary!$A$2:$A$201,0))</f>
        <v>10.81</v>
      </c>
      <c r="S253" s="3" t="n">
        <f aca="false">INDEX(Summary!$O$2:$O$201,MATCH($B253,Summary!$A$2:$A$201,0))</f>
        <v>8</v>
      </c>
      <c r="T253" s="3" t="n">
        <f aca="false">INDEX(Summary!$P$2:$P$201,MATCH($B253,Summary!$A$2:$A$201,0))</f>
        <v>1</v>
      </c>
      <c r="U253" s="2" t="n">
        <f aca="false">INDEX(Summary!$Q$2:$Q$201,MATCH($B253,Summary!$A$2:$A$201,0))</f>
        <v>13.09</v>
      </c>
      <c r="V253" s="2" t="n">
        <f aca="false">INDEX(Summary!$R$2:$R$201,MATCH($B253,Summary!$A$2:$A$201,0))</f>
        <v>20.65</v>
      </c>
      <c r="W253" s="0" t="str">
        <f aca="false">INDEX(Summary!$S$2:$S$201,MATCH($B253,Summary!$A$2:$A$201,0))</f>
        <v>Silver</v>
      </c>
      <c r="X253" s="2" t="n">
        <f aca="false">INDEX(Summary!$T$2:$T$201,MATCH($B253,Summary!$A$2:$A$201,0))</f>
        <v>50.37</v>
      </c>
      <c r="Y253" s="0" t="str">
        <f aca="false">INDEX('Reward Model'!$E$18:$E$37,MATCH($E253,'Reward Model'!$A$18:$A$37,0))</f>
        <v>Medium</v>
      </c>
      <c r="Z253" s="4" t="n">
        <f aca="false">ROUND(MIN(1,MAX('Reward Model'!$B$2,INDEX('Reward Model'!$C$12:$C$14,MATCH($K253,'Reward Model'!$A$12:$A$14,0))/$J253)),3)</f>
        <v>0.978</v>
      </c>
      <c r="AA253" s="2" t="n">
        <f aca="false">IF($I253="Correct",ROUND(INDEX('Reward Model'!$B$12:$B$14,MATCH($K253,'Reward Model'!$A$12:$A$14,0))*Z253,2),0)</f>
        <v>1.96</v>
      </c>
      <c r="AB253" s="2" t="n">
        <f aca="false">IF($I253="Correct",ROUND(INDEX('Reward Model'!$B$12:$B$14,MATCH($Y253,'Reward Model'!$A$12:$A$14,0))*Z253,2),0)</f>
        <v>1.96</v>
      </c>
    </row>
    <row r="254" customFormat="false" ht="15" hidden="false" customHeight="false" outlineLevel="0" collapsed="false">
      <c r="A254" s="0" t="s">
        <v>135</v>
      </c>
      <c r="B254" s="0" t="s">
        <v>136</v>
      </c>
      <c r="C254" s="0" t="s">
        <v>30</v>
      </c>
      <c r="D254" s="0" t="s">
        <v>31</v>
      </c>
      <c r="E254" s="0" t="n">
        <v>13</v>
      </c>
      <c r="F254" s="0" t="s">
        <v>66</v>
      </c>
      <c r="G254" s="0" t="s">
        <v>67</v>
      </c>
      <c r="H254" s="0" t="s">
        <v>67</v>
      </c>
      <c r="I254" s="0" t="s">
        <v>34</v>
      </c>
      <c r="J254" s="0" t="n">
        <v>1.75</v>
      </c>
      <c r="K254" s="0" t="s">
        <v>60</v>
      </c>
      <c r="L254" s="0" t="n">
        <f aca="false">INDEX(Summary!$F$2:$F$201,MATCH($B254,Summary!$A$2:$A$201,0))</f>
        <v>20</v>
      </c>
      <c r="M254" s="0" t="n">
        <f aca="false">INDEX(Summary!$I$2:$I$201,MATCH($B254,Summary!$A$2:$A$201,0))</f>
        <v>2</v>
      </c>
      <c r="N254" s="0" t="n">
        <f aca="false">INDEX(Summary!$J$2:$J$201,MATCH($B254,Summary!$A$2:$A$201,0))</f>
        <v>3</v>
      </c>
      <c r="O254" s="2" t="n">
        <f aca="false">INDEX(Summary!$K$2:$K$201,MATCH($B254,Summary!$A$2:$A$201,0))</f>
        <v>8.93</v>
      </c>
      <c r="P254" s="3" t="n">
        <f aca="false">INDEX(Summary!$L$2:$L$201,MATCH($B254,Summary!$A$2:$A$201,0))</f>
        <v>2</v>
      </c>
      <c r="Q254" s="3" t="n">
        <f aca="false">INDEX(Summary!$M$2:$M$201,MATCH($B254,Summary!$A$2:$A$201,0))</f>
        <v>4</v>
      </c>
      <c r="R254" s="2" t="n">
        <f aca="false">INDEX(Summary!$N$2:$N$201,MATCH($B254,Summary!$A$2:$A$201,0))</f>
        <v>10.81</v>
      </c>
      <c r="S254" s="3" t="n">
        <f aca="false">INDEX(Summary!$O$2:$O$201,MATCH($B254,Summary!$A$2:$A$201,0))</f>
        <v>8</v>
      </c>
      <c r="T254" s="3" t="n">
        <f aca="false">INDEX(Summary!$P$2:$P$201,MATCH($B254,Summary!$A$2:$A$201,0))</f>
        <v>1</v>
      </c>
      <c r="U254" s="2" t="n">
        <f aca="false">INDEX(Summary!$Q$2:$Q$201,MATCH($B254,Summary!$A$2:$A$201,0))</f>
        <v>13.09</v>
      </c>
      <c r="V254" s="2" t="n">
        <f aca="false">INDEX(Summary!$R$2:$R$201,MATCH($B254,Summary!$A$2:$A$201,0))</f>
        <v>20.65</v>
      </c>
      <c r="W254" s="0" t="str">
        <f aca="false">INDEX(Summary!$S$2:$S$201,MATCH($B254,Summary!$A$2:$A$201,0))</f>
        <v>Silver</v>
      </c>
      <c r="X254" s="2" t="n">
        <f aca="false">INDEX(Summary!$T$2:$T$201,MATCH($B254,Summary!$A$2:$A$201,0))</f>
        <v>50.37</v>
      </c>
      <c r="Y254" s="0" t="str">
        <f aca="false">INDEX('Reward Model'!$E$18:$E$37,MATCH($E254,'Reward Model'!$A$18:$A$37,0))</f>
        <v>Medium</v>
      </c>
      <c r="Z254" s="4" t="n">
        <f aca="false">ROUND(MIN(1,MAX('Reward Model'!$B$2,INDEX('Reward Model'!$C$12:$C$14,MATCH($K254,'Reward Model'!$A$12:$A$14,0))/$J254)),3)</f>
        <v>1</v>
      </c>
      <c r="AA254" s="2" t="n">
        <f aca="false">IF($I254="Correct",ROUND(INDEX('Reward Model'!$B$12:$B$14,MATCH($K254,'Reward Model'!$A$12:$A$14,0))*Z254,2),0)</f>
        <v>2</v>
      </c>
      <c r="AB254" s="2" t="n">
        <f aca="false">IF($I254="Correct",ROUND(INDEX('Reward Model'!$B$12:$B$14,MATCH($Y254,'Reward Model'!$A$12:$A$14,0))*Z254,2),0)</f>
        <v>2</v>
      </c>
    </row>
    <row r="255" customFormat="false" ht="15" hidden="false" customHeight="false" outlineLevel="0" collapsed="false">
      <c r="A255" s="0" t="s">
        <v>135</v>
      </c>
      <c r="B255" s="0" t="s">
        <v>136</v>
      </c>
      <c r="C255" s="0" t="s">
        <v>30</v>
      </c>
      <c r="D255" s="0" t="s">
        <v>31</v>
      </c>
      <c r="E255" s="0" t="n">
        <v>14</v>
      </c>
      <c r="F255" s="0" t="s">
        <v>68</v>
      </c>
      <c r="G255" s="0" t="s">
        <v>118</v>
      </c>
      <c r="H255" s="0" t="s">
        <v>51</v>
      </c>
      <c r="I255" s="0" t="s">
        <v>39</v>
      </c>
      <c r="J255" s="0" t="n">
        <v>1.83</v>
      </c>
      <c r="K255" s="0" t="s">
        <v>60</v>
      </c>
      <c r="L255" s="0" t="n">
        <f aca="false">INDEX(Summary!$F$2:$F$201,MATCH($B255,Summary!$A$2:$A$201,0))</f>
        <v>20</v>
      </c>
      <c r="M255" s="0" t="n">
        <f aca="false">INDEX(Summary!$I$2:$I$201,MATCH($B255,Summary!$A$2:$A$201,0))</f>
        <v>2</v>
      </c>
      <c r="N255" s="0" t="n">
        <f aca="false">INDEX(Summary!$J$2:$J$201,MATCH($B255,Summary!$A$2:$A$201,0))</f>
        <v>3</v>
      </c>
      <c r="O255" s="2" t="n">
        <f aca="false">INDEX(Summary!$K$2:$K$201,MATCH($B255,Summary!$A$2:$A$201,0))</f>
        <v>8.93</v>
      </c>
      <c r="P255" s="3" t="n">
        <f aca="false">INDEX(Summary!$L$2:$L$201,MATCH($B255,Summary!$A$2:$A$201,0))</f>
        <v>2</v>
      </c>
      <c r="Q255" s="3" t="n">
        <f aca="false">INDEX(Summary!$M$2:$M$201,MATCH($B255,Summary!$A$2:$A$201,0))</f>
        <v>4</v>
      </c>
      <c r="R255" s="2" t="n">
        <f aca="false">INDEX(Summary!$N$2:$N$201,MATCH($B255,Summary!$A$2:$A$201,0))</f>
        <v>10.81</v>
      </c>
      <c r="S255" s="3" t="n">
        <f aca="false">INDEX(Summary!$O$2:$O$201,MATCH($B255,Summary!$A$2:$A$201,0))</f>
        <v>8</v>
      </c>
      <c r="T255" s="3" t="n">
        <f aca="false">INDEX(Summary!$P$2:$P$201,MATCH($B255,Summary!$A$2:$A$201,0))</f>
        <v>1</v>
      </c>
      <c r="U255" s="2" t="n">
        <f aca="false">INDEX(Summary!$Q$2:$Q$201,MATCH($B255,Summary!$A$2:$A$201,0))</f>
        <v>13.09</v>
      </c>
      <c r="V255" s="2" t="n">
        <f aca="false">INDEX(Summary!$R$2:$R$201,MATCH($B255,Summary!$A$2:$A$201,0))</f>
        <v>20.65</v>
      </c>
      <c r="W255" s="0" t="str">
        <f aca="false">INDEX(Summary!$S$2:$S$201,MATCH($B255,Summary!$A$2:$A$201,0))</f>
        <v>Silver</v>
      </c>
      <c r="X255" s="2" t="n">
        <f aca="false">INDEX(Summary!$T$2:$T$201,MATCH($B255,Summary!$A$2:$A$201,0))</f>
        <v>50.37</v>
      </c>
      <c r="Y255" s="0" t="str">
        <f aca="false">INDEX('Reward Model'!$E$18:$E$37,MATCH($E255,'Reward Model'!$A$18:$A$37,0))</f>
        <v>Medium</v>
      </c>
      <c r="Z255" s="4" t="n">
        <f aca="false">ROUND(MIN(1,MAX('Reward Model'!$B$2,INDEX('Reward Model'!$C$12:$C$14,MATCH($K255,'Reward Model'!$A$12:$A$14,0))/$J255)),3)</f>
        <v>0.984</v>
      </c>
      <c r="AA255" s="2" t="n">
        <f aca="false">IF($I255="Correct",ROUND(INDEX('Reward Model'!$B$12:$B$14,MATCH($K255,'Reward Model'!$A$12:$A$14,0))*Z255,2),0)</f>
        <v>0</v>
      </c>
      <c r="AB255" s="2" t="n">
        <f aca="false">IF($I255="Correct",ROUND(INDEX('Reward Model'!$B$12:$B$14,MATCH($Y255,'Reward Model'!$A$12:$A$14,0))*Z255,2),0)</f>
        <v>0</v>
      </c>
    </row>
    <row r="256" customFormat="false" ht="15" hidden="false" customHeight="false" outlineLevel="0" collapsed="false">
      <c r="A256" s="0" t="s">
        <v>135</v>
      </c>
      <c r="B256" s="0" t="s">
        <v>136</v>
      </c>
      <c r="C256" s="0" t="s">
        <v>30</v>
      </c>
      <c r="D256" s="0" t="s">
        <v>31</v>
      </c>
      <c r="E256" s="0" t="n">
        <v>15</v>
      </c>
      <c r="F256" s="0" t="s">
        <v>69</v>
      </c>
      <c r="G256" s="0" t="s">
        <v>139</v>
      </c>
      <c r="H256" s="0" t="s">
        <v>70</v>
      </c>
      <c r="I256" s="0" t="s">
        <v>39</v>
      </c>
      <c r="J256" s="0" t="n">
        <v>2.28</v>
      </c>
      <c r="K256" s="0" t="s">
        <v>60</v>
      </c>
      <c r="L256" s="0" t="n">
        <f aca="false">INDEX(Summary!$F$2:$F$201,MATCH($B256,Summary!$A$2:$A$201,0))</f>
        <v>20</v>
      </c>
      <c r="M256" s="0" t="n">
        <f aca="false">INDEX(Summary!$I$2:$I$201,MATCH($B256,Summary!$A$2:$A$201,0))</f>
        <v>2</v>
      </c>
      <c r="N256" s="0" t="n">
        <f aca="false">INDEX(Summary!$J$2:$J$201,MATCH($B256,Summary!$A$2:$A$201,0))</f>
        <v>3</v>
      </c>
      <c r="O256" s="2" t="n">
        <f aca="false">INDEX(Summary!$K$2:$K$201,MATCH($B256,Summary!$A$2:$A$201,0))</f>
        <v>8.93</v>
      </c>
      <c r="P256" s="3" t="n">
        <f aca="false">INDEX(Summary!$L$2:$L$201,MATCH($B256,Summary!$A$2:$A$201,0))</f>
        <v>2</v>
      </c>
      <c r="Q256" s="3" t="n">
        <f aca="false">INDEX(Summary!$M$2:$M$201,MATCH($B256,Summary!$A$2:$A$201,0))</f>
        <v>4</v>
      </c>
      <c r="R256" s="2" t="n">
        <f aca="false">INDEX(Summary!$N$2:$N$201,MATCH($B256,Summary!$A$2:$A$201,0))</f>
        <v>10.81</v>
      </c>
      <c r="S256" s="3" t="n">
        <f aca="false">INDEX(Summary!$O$2:$O$201,MATCH($B256,Summary!$A$2:$A$201,0))</f>
        <v>8</v>
      </c>
      <c r="T256" s="3" t="n">
        <f aca="false">INDEX(Summary!$P$2:$P$201,MATCH($B256,Summary!$A$2:$A$201,0))</f>
        <v>1</v>
      </c>
      <c r="U256" s="2" t="n">
        <f aca="false">INDEX(Summary!$Q$2:$Q$201,MATCH($B256,Summary!$A$2:$A$201,0))</f>
        <v>13.09</v>
      </c>
      <c r="V256" s="2" t="n">
        <f aca="false">INDEX(Summary!$R$2:$R$201,MATCH($B256,Summary!$A$2:$A$201,0))</f>
        <v>20.65</v>
      </c>
      <c r="W256" s="0" t="str">
        <f aca="false">INDEX(Summary!$S$2:$S$201,MATCH($B256,Summary!$A$2:$A$201,0))</f>
        <v>Silver</v>
      </c>
      <c r="X256" s="2" t="n">
        <f aca="false">INDEX(Summary!$T$2:$T$201,MATCH($B256,Summary!$A$2:$A$201,0))</f>
        <v>50.37</v>
      </c>
      <c r="Y256" s="0" t="str">
        <f aca="false">INDEX('Reward Model'!$E$18:$E$37,MATCH($E256,'Reward Model'!$A$18:$A$37,0))</f>
        <v>Medium</v>
      </c>
      <c r="Z256" s="4" t="n">
        <f aca="false">ROUND(MIN(1,MAX('Reward Model'!$B$2,INDEX('Reward Model'!$C$12:$C$14,MATCH($K256,'Reward Model'!$A$12:$A$14,0))/$J256)),3)</f>
        <v>0.789</v>
      </c>
      <c r="AA256" s="2" t="n">
        <f aca="false">IF($I256="Correct",ROUND(INDEX('Reward Model'!$B$12:$B$14,MATCH($K256,'Reward Model'!$A$12:$A$14,0))*Z256,2),0)</f>
        <v>0</v>
      </c>
      <c r="AB256" s="2" t="n">
        <f aca="false">IF($I256="Correct",ROUND(INDEX('Reward Model'!$B$12:$B$14,MATCH($Y256,'Reward Model'!$A$12:$A$14,0))*Z256,2),0)</f>
        <v>0</v>
      </c>
    </row>
    <row r="257" customFormat="false" ht="15" hidden="false" customHeight="false" outlineLevel="0" collapsed="false">
      <c r="A257" s="0" t="s">
        <v>135</v>
      </c>
      <c r="B257" s="0" t="s">
        <v>136</v>
      </c>
      <c r="C257" s="0" t="s">
        <v>30</v>
      </c>
      <c r="D257" s="0" t="s">
        <v>31</v>
      </c>
      <c r="E257" s="0" t="n">
        <v>16</v>
      </c>
      <c r="F257" s="0" t="s">
        <v>71</v>
      </c>
      <c r="G257" s="0" t="s">
        <v>104</v>
      </c>
      <c r="H257" s="0" t="s">
        <v>72</v>
      </c>
      <c r="I257" s="0" t="s">
        <v>39</v>
      </c>
      <c r="J257" s="0" t="n">
        <v>1.4</v>
      </c>
      <c r="K257" s="0" t="s">
        <v>73</v>
      </c>
      <c r="L257" s="0" t="n">
        <f aca="false">INDEX(Summary!$F$2:$F$201,MATCH($B257,Summary!$A$2:$A$201,0))</f>
        <v>20</v>
      </c>
      <c r="M257" s="0" t="n">
        <f aca="false">INDEX(Summary!$I$2:$I$201,MATCH($B257,Summary!$A$2:$A$201,0))</f>
        <v>2</v>
      </c>
      <c r="N257" s="0" t="n">
        <f aca="false">INDEX(Summary!$J$2:$J$201,MATCH($B257,Summary!$A$2:$A$201,0))</f>
        <v>3</v>
      </c>
      <c r="O257" s="2" t="n">
        <f aca="false">INDEX(Summary!$K$2:$K$201,MATCH($B257,Summary!$A$2:$A$201,0))</f>
        <v>8.93</v>
      </c>
      <c r="P257" s="3" t="n">
        <f aca="false">INDEX(Summary!$L$2:$L$201,MATCH($B257,Summary!$A$2:$A$201,0))</f>
        <v>2</v>
      </c>
      <c r="Q257" s="3" t="n">
        <f aca="false">INDEX(Summary!$M$2:$M$201,MATCH($B257,Summary!$A$2:$A$201,0))</f>
        <v>4</v>
      </c>
      <c r="R257" s="2" t="n">
        <f aca="false">INDEX(Summary!$N$2:$N$201,MATCH($B257,Summary!$A$2:$A$201,0))</f>
        <v>10.81</v>
      </c>
      <c r="S257" s="3" t="n">
        <f aca="false">INDEX(Summary!$O$2:$O$201,MATCH($B257,Summary!$A$2:$A$201,0))</f>
        <v>8</v>
      </c>
      <c r="T257" s="3" t="n">
        <f aca="false">INDEX(Summary!$P$2:$P$201,MATCH($B257,Summary!$A$2:$A$201,0))</f>
        <v>1</v>
      </c>
      <c r="U257" s="2" t="n">
        <f aca="false">INDEX(Summary!$Q$2:$Q$201,MATCH($B257,Summary!$A$2:$A$201,0))</f>
        <v>13.09</v>
      </c>
      <c r="V257" s="2" t="n">
        <f aca="false">INDEX(Summary!$R$2:$R$201,MATCH($B257,Summary!$A$2:$A$201,0))</f>
        <v>20.65</v>
      </c>
      <c r="W257" s="0" t="str">
        <f aca="false">INDEX(Summary!$S$2:$S$201,MATCH($B257,Summary!$A$2:$A$201,0))</f>
        <v>Silver</v>
      </c>
      <c r="X257" s="2" t="n">
        <f aca="false">INDEX(Summary!$T$2:$T$201,MATCH($B257,Summary!$A$2:$A$201,0))</f>
        <v>50.37</v>
      </c>
      <c r="Y257" s="0" t="str">
        <f aca="false">INDEX('Reward Model'!$E$18:$E$37,MATCH($E257,'Reward Model'!$A$18:$A$37,0))</f>
        <v>High</v>
      </c>
      <c r="Z257" s="4" t="n">
        <f aca="false">ROUND(MIN(1,MAX('Reward Model'!$B$2,INDEX('Reward Model'!$C$12:$C$14,MATCH($K257,'Reward Model'!$A$12:$A$14,0))/$J257)),3)</f>
        <v>1</v>
      </c>
      <c r="AA257" s="2" t="n">
        <f aca="false">IF($I257="Correct",ROUND(INDEX('Reward Model'!$B$12:$B$14,MATCH($K257,'Reward Model'!$A$12:$A$14,0))*Z257,2),0)</f>
        <v>0</v>
      </c>
      <c r="AB257" s="2" t="n">
        <f aca="false">IF($I257="Correct",ROUND(INDEX('Reward Model'!$B$12:$B$14,MATCH($Y257,'Reward Model'!$A$12:$A$14,0))*Z257,2),0)</f>
        <v>0</v>
      </c>
    </row>
    <row r="258" customFormat="false" ht="15" hidden="false" customHeight="false" outlineLevel="0" collapsed="false">
      <c r="A258" s="0" t="s">
        <v>135</v>
      </c>
      <c r="B258" s="0" t="s">
        <v>136</v>
      </c>
      <c r="C258" s="0" t="s">
        <v>30</v>
      </c>
      <c r="D258" s="0" t="s">
        <v>31</v>
      </c>
      <c r="E258" s="0" t="n">
        <v>17</v>
      </c>
      <c r="F258" s="0" t="s">
        <v>74</v>
      </c>
      <c r="G258" s="0" t="s">
        <v>113</v>
      </c>
      <c r="H258" s="0" t="s">
        <v>75</v>
      </c>
      <c r="I258" s="0" t="s">
        <v>39</v>
      </c>
      <c r="J258" s="0" t="n">
        <v>2</v>
      </c>
      <c r="K258" s="0" t="s">
        <v>73</v>
      </c>
      <c r="L258" s="0" t="n">
        <f aca="false">INDEX(Summary!$F$2:$F$201,MATCH($B258,Summary!$A$2:$A$201,0))</f>
        <v>20</v>
      </c>
      <c r="M258" s="0" t="n">
        <f aca="false">INDEX(Summary!$I$2:$I$201,MATCH($B258,Summary!$A$2:$A$201,0))</f>
        <v>2</v>
      </c>
      <c r="N258" s="0" t="n">
        <f aca="false">INDEX(Summary!$J$2:$J$201,MATCH($B258,Summary!$A$2:$A$201,0))</f>
        <v>3</v>
      </c>
      <c r="O258" s="2" t="n">
        <f aca="false">INDEX(Summary!$K$2:$K$201,MATCH($B258,Summary!$A$2:$A$201,0))</f>
        <v>8.93</v>
      </c>
      <c r="P258" s="3" t="n">
        <f aca="false">INDEX(Summary!$L$2:$L$201,MATCH($B258,Summary!$A$2:$A$201,0))</f>
        <v>2</v>
      </c>
      <c r="Q258" s="3" t="n">
        <f aca="false">INDEX(Summary!$M$2:$M$201,MATCH($B258,Summary!$A$2:$A$201,0))</f>
        <v>4</v>
      </c>
      <c r="R258" s="2" t="n">
        <f aca="false">INDEX(Summary!$N$2:$N$201,MATCH($B258,Summary!$A$2:$A$201,0))</f>
        <v>10.81</v>
      </c>
      <c r="S258" s="3" t="n">
        <f aca="false">INDEX(Summary!$O$2:$O$201,MATCH($B258,Summary!$A$2:$A$201,0))</f>
        <v>8</v>
      </c>
      <c r="T258" s="3" t="n">
        <f aca="false">INDEX(Summary!$P$2:$P$201,MATCH($B258,Summary!$A$2:$A$201,0))</f>
        <v>1</v>
      </c>
      <c r="U258" s="2" t="n">
        <f aca="false">INDEX(Summary!$Q$2:$Q$201,MATCH($B258,Summary!$A$2:$A$201,0))</f>
        <v>13.09</v>
      </c>
      <c r="V258" s="2" t="n">
        <f aca="false">INDEX(Summary!$R$2:$R$201,MATCH($B258,Summary!$A$2:$A$201,0))</f>
        <v>20.65</v>
      </c>
      <c r="W258" s="0" t="str">
        <f aca="false">INDEX(Summary!$S$2:$S$201,MATCH($B258,Summary!$A$2:$A$201,0))</f>
        <v>Silver</v>
      </c>
      <c r="X258" s="2" t="n">
        <f aca="false">INDEX(Summary!$T$2:$T$201,MATCH($B258,Summary!$A$2:$A$201,0))</f>
        <v>50.37</v>
      </c>
      <c r="Y258" s="0" t="str">
        <f aca="false">INDEX('Reward Model'!$E$18:$E$37,MATCH($E258,'Reward Model'!$A$18:$A$37,0))</f>
        <v>High</v>
      </c>
      <c r="Z258" s="4" t="n">
        <f aca="false">ROUND(MIN(1,MAX('Reward Model'!$B$2,INDEX('Reward Model'!$C$12:$C$14,MATCH($K258,'Reward Model'!$A$12:$A$14,0))/$J258)),3)</f>
        <v>1</v>
      </c>
      <c r="AA258" s="2" t="n">
        <f aca="false">IF($I258="Correct",ROUND(INDEX('Reward Model'!$B$12:$B$14,MATCH($K258,'Reward Model'!$A$12:$A$14,0))*Z258,2),0)</f>
        <v>0</v>
      </c>
      <c r="AB258" s="2" t="n">
        <f aca="false">IF($I258="Correct",ROUND(INDEX('Reward Model'!$B$12:$B$14,MATCH($Y258,'Reward Model'!$A$12:$A$14,0))*Z258,2),0)</f>
        <v>0</v>
      </c>
    </row>
    <row r="259" customFormat="false" ht="15" hidden="false" customHeight="false" outlineLevel="0" collapsed="false">
      <c r="A259" s="0" t="s">
        <v>135</v>
      </c>
      <c r="B259" s="0" t="s">
        <v>136</v>
      </c>
      <c r="C259" s="0" t="s">
        <v>30</v>
      </c>
      <c r="D259" s="0" t="s">
        <v>31</v>
      </c>
      <c r="E259" s="0" t="n">
        <v>18</v>
      </c>
      <c r="F259" s="0" t="s">
        <v>76</v>
      </c>
      <c r="G259" s="0" t="s">
        <v>77</v>
      </c>
      <c r="H259" s="0" t="s">
        <v>77</v>
      </c>
      <c r="I259" s="0" t="s">
        <v>34</v>
      </c>
      <c r="J259" s="0" t="n">
        <v>2.32</v>
      </c>
      <c r="K259" s="0" t="s">
        <v>73</v>
      </c>
      <c r="L259" s="0" t="n">
        <f aca="false">INDEX(Summary!$F$2:$F$201,MATCH($B259,Summary!$A$2:$A$201,0))</f>
        <v>20</v>
      </c>
      <c r="M259" s="0" t="n">
        <f aca="false">INDEX(Summary!$I$2:$I$201,MATCH($B259,Summary!$A$2:$A$201,0))</f>
        <v>2</v>
      </c>
      <c r="N259" s="0" t="n">
        <f aca="false">INDEX(Summary!$J$2:$J$201,MATCH($B259,Summary!$A$2:$A$201,0))</f>
        <v>3</v>
      </c>
      <c r="O259" s="2" t="n">
        <f aca="false">INDEX(Summary!$K$2:$K$201,MATCH($B259,Summary!$A$2:$A$201,0))</f>
        <v>8.93</v>
      </c>
      <c r="P259" s="3" t="n">
        <f aca="false">INDEX(Summary!$L$2:$L$201,MATCH($B259,Summary!$A$2:$A$201,0))</f>
        <v>2</v>
      </c>
      <c r="Q259" s="3" t="n">
        <f aca="false">INDEX(Summary!$M$2:$M$201,MATCH($B259,Summary!$A$2:$A$201,0))</f>
        <v>4</v>
      </c>
      <c r="R259" s="2" t="n">
        <f aca="false">INDEX(Summary!$N$2:$N$201,MATCH($B259,Summary!$A$2:$A$201,0))</f>
        <v>10.81</v>
      </c>
      <c r="S259" s="3" t="n">
        <f aca="false">INDEX(Summary!$O$2:$O$201,MATCH($B259,Summary!$A$2:$A$201,0))</f>
        <v>8</v>
      </c>
      <c r="T259" s="3" t="n">
        <f aca="false">INDEX(Summary!$P$2:$P$201,MATCH($B259,Summary!$A$2:$A$201,0))</f>
        <v>1</v>
      </c>
      <c r="U259" s="2" t="n">
        <f aca="false">INDEX(Summary!$Q$2:$Q$201,MATCH($B259,Summary!$A$2:$A$201,0))</f>
        <v>13.09</v>
      </c>
      <c r="V259" s="2" t="n">
        <f aca="false">INDEX(Summary!$R$2:$R$201,MATCH($B259,Summary!$A$2:$A$201,0))</f>
        <v>20.65</v>
      </c>
      <c r="W259" s="0" t="str">
        <f aca="false">INDEX(Summary!$S$2:$S$201,MATCH($B259,Summary!$A$2:$A$201,0))</f>
        <v>Silver</v>
      </c>
      <c r="X259" s="2" t="n">
        <f aca="false">INDEX(Summary!$T$2:$T$201,MATCH($B259,Summary!$A$2:$A$201,0))</f>
        <v>50.37</v>
      </c>
      <c r="Y259" s="0" t="str">
        <f aca="false">INDEX('Reward Model'!$E$18:$E$37,MATCH($E259,'Reward Model'!$A$18:$A$37,0))</f>
        <v>High</v>
      </c>
      <c r="Z259" s="4" t="n">
        <f aca="false">ROUND(MIN(1,MAX('Reward Model'!$B$2,INDEX('Reward Model'!$C$12:$C$14,MATCH($K259,'Reward Model'!$A$12:$A$14,0))/$J259)),3)</f>
        <v>0.862</v>
      </c>
      <c r="AA259" s="2" t="n">
        <f aca="false">IF($I259="Correct",ROUND(INDEX('Reward Model'!$B$12:$B$14,MATCH($K259,'Reward Model'!$A$12:$A$14,0))*Z259,2),0)</f>
        <v>2.59</v>
      </c>
      <c r="AB259" s="2" t="n">
        <f aca="false">IF($I259="Correct",ROUND(INDEX('Reward Model'!$B$12:$B$14,MATCH($Y259,'Reward Model'!$A$12:$A$14,0))*Z259,2),0)</f>
        <v>2.59</v>
      </c>
    </row>
    <row r="260" customFormat="false" ht="15" hidden="false" customHeight="false" outlineLevel="0" collapsed="false">
      <c r="A260" s="0" t="s">
        <v>135</v>
      </c>
      <c r="B260" s="0" t="s">
        <v>136</v>
      </c>
      <c r="C260" s="0" t="s">
        <v>30</v>
      </c>
      <c r="D260" s="0" t="s">
        <v>31</v>
      </c>
      <c r="E260" s="0" t="n">
        <v>19</v>
      </c>
      <c r="F260" s="0" t="s">
        <v>78</v>
      </c>
      <c r="G260" s="0" t="s">
        <v>132</v>
      </c>
      <c r="H260" s="0" t="s">
        <v>80</v>
      </c>
      <c r="I260" s="0" t="s">
        <v>39</v>
      </c>
      <c r="J260" s="0" t="n">
        <v>1.59</v>
      </c>
      <c r="K260" s="0" t="s">
        <v>73</v>
      </c>
      <c r="L260" s="0" t="n">
        <f aca="false">INDEX(Summary!$F$2:$F$201,MATCH($B260,Summary!$A$2:$A$201,0))</f>
        <v>20</v>
      </c>
      <c r="M260" s="0" t="n">
        <f aca="false">INDEX(Summary!$I$2:$I$201,MATCH($B260,Summary!$A$2:$A$201,0))</f>
        <v>2</v>
      </c>
      <c r="N260" s="0" t="n">
        <f aca="false">INDEX(Summary!$J$2:$J$201,MATCH($B260,Summary!$A$2:$A$201,0))</f>
        <v>3</v>
      </c>
      <c r="O260" s="2" t="n">
        <f aca="false">INDEX(Summary!$K$2:$K$201,MATCH($B260,Summary!$A$2:$A$201,0))</f>
        <v>8.93</v>
      </c>
      <c r="P260" s="3" t="n">
        <f aca="false">INDEX(Summary!$L$2:$L$201,MATCH($B260,Summary!$A$2:$A$201,0))</f>
        <v>2</v>
      </c>
      <c r="Q260" s="3" t="n">
        <f aca="false">INDEX(Summary!$M$2:$M$201,MATCH($B260,Summary!$A$2:$A$201,0))</f>
        <v>4</v>
      </c>
      <c r="R260" s="2" t="n">
        <f aca="false">INDEX(Summary!$N$2:$N$201,MATCH($B260,Summary!$A$2:$A$201,0))</f>
        <v>10.81</v>
      </c>
      <c r="S260" s="3" t="n">
        <f aca="false">INDEX(Summary!$O$2:$O$201,MATCH($B260,Summary!$A$2:$A$201,0))</f>
        <v>8</v>
      </c>
      <c r="T260" s="3" t="n">
        <f aca="false">INDEX(Summary!$P$2:$P$201,MATCH($B260,Summary!$A$2:$A$201,0))</f>
        <v>1</v>
      </c>
      <c r="U260" s="2" t="n">
        <f aca="false">INDEX(Summary!$Q$2:$Q$201,MATCH($B260,Summary!$A$2:$A$201,0))</f>
        <v>13.09</v>
      </c>
      <c r="V260" s="2" t="n">
        <f aca="false">INDEX(Summary!$R$2:$R$201,MATCH($B260,Summary!$A$2:$A$201,0))</f>
        <v>20.65</v>
      </c>
      <c r="W260" s="0" t="str">
        <f aca="false">INDEX(Summary!$S$2:$S$201,MATCH($B260,Summary!$A$2:$A$201,0))</f>
        <v>Silver</v>
      </c>
      <c r="X260" s="2" t="n">
        <f aca="false">INDEX(Summary!$T$2:$T$201,MATCH($B260,Summary!$A$2:$A$201,0))</f>
        <v>50.37</v>
      </c>
      <c r="Y260" s="0" t="str">
        <f aca="false">INDEX('Reward Model'!$E$18:$E$37,MATCH($E260,'Reward Model'!$A$18:$A$37,0))</f>
        <v>High</v>
      </c>
      <c r="Z260" s="4" t="n">
        <f aca="false">ROUND(MIN(1,MAX('Reward Model'!$B$2,INDEX('Reward Model'!$C$12:$C$14,MATCH($K260,'Reward Model'!$A$12:$A$14,0))/$J260)),3)</f>
        <v>1</v>
      </c>
      <c r="AA260" s="2" t="n">
        <f aca="false">IF($I260="Correct",ROUND(INDEX('Reward Model'!$B$12:$B$14,MATCH($K260,'Reward Model'!$A$12:$A$14,0))*Z260,2),0)</f>
        <v>0</v>
      </c>
      <c r="AB260" s="2" t="n">
        <f aca="false">IF($I260="Correct",ROUND(INDEX('Reward Model'!$B$12:$B$14,MATCH($Y260,'Reward Model'!$A$12:$A$14,0))*Z260,2),0)</f>
        <v>0</v>
      </c>
    </row>
    <row r="261" customFormat="false" ht="15" hidden="false" customHeight="false" outlineLevel="0" collapsed="false">
      <c r="A261" s="0" t="s">
        <v>135</v>
      </c>
      <c r="B261" s="0" t="s">
        <v>136</v>
      </c>
      <c r="C261" s="0" t="s">
        <v>30</v>
      </c>
      <c r="D261" s="0" t="s">
        <v>31</v>
      </c>
      <c r="E261" s="0" t="n">
        <v>20</v>
      </c>
      <c r="F261" s="0" t="s">
        <v>81</v>
      </c>
      <c r="G261" s="0" t="s">
        <v>83</v>
      </c>
      <c r="H261" s="0" t="s">
        <v>83</v>
      </c>
      <c r="I261" s="0" t="s">
        <v>34</v>
      </c>
      <c r="J261" s="0" t="n">
        <v>1.62</v>
      </c>
      <c r="K261" s="0" t="s">
        <v>73</v>
      </c>
      <c r="L261" s="0" t="n">
        <f aca="false">INDEX(Summary!$F$2:$F$201,MATCH($B261,Summary!$A$2:$A$201,0))</f>
        <v>20</v>
      </c>
      <c r="M261" s="0" t="n">
        <f aca="false">INDEX(Summary!$I$2:$I$201,MATCH($B261,Summary!$A$2:$A$201,0))</f>
        <v>2</v>
      </c>
      <c r="N261" s="0" t="n">
        <f aca="false">INDEX(Summary!$J$2:$J$201,MATCH($B261,Summary!$A$2:$A$201,0))</f>
        <v>3</v>
      </c>
      <c r="O261" s="2" t="n">
        <f aca="false">INDEX(Summary!$K$2:$K$201,MATCH($B261,Summary!$A$2:$A$201,0))</f>
        <v>8.93</v>
      </c>
      <c r="P261" s="3" t="n">
        <f aca="false">INDEX(Summary!$L$2:$L$201,MATCH($B261,Summary!$A$2:$A$201,0))</f>
        <v>2</v>
      </c>
      <c r="Q261" s="3" t="n">
        <f aca="false">INDEX(Summary!$M$2:$M$201,MATCH($B261,Summary!$A$2:$A$201,0))</f>
        <v>4</v>
      </c>
      <c r="R261" s="2" t="n">
        <f aca="false">INDEX(Summary!$N$2:$N$201,MATCH($B261,Summary!$A$2:$A$201,0))</f>
        <v>10.81</v>
      </c>
      <c r="S261" s="3" t="n">
        <f aca="false">INDEX(Summary!$O$2:$O$201,MATCH($B261,Summary!$A$2:$A$201,0))</f>
        <v>8</v>
      </c>
      <c r="T261" s="3" t="n">
        <f aca="false">INDEX(Summary!$P$2:$P$201,MATCH($B261,Summary!$A$2:$A$201,0))</f>
        <v>1</v>
      </c>
      <c r="U261" s="2" t="n">
        <f aca="false">INDEX(Summary!$Q$2:$Q$201,MATCH($B261,Summary!$A$2:$A$201,0))</f>
        <v>13.09</v>
      </c>
      <c r="V261" s="2" t="n">
        <f aca="false">INDEX(Summary!$R$2:$R$201,MATCH($B261,Summary!$A$2:$A$201,0))</f>
        <v>20.65</v>
      </c>
      <c r="W261" s="0" t="str">
        <f aca="false">INDEX(Summary!$S$2:$S$201,MATCH($B261,Summary!$A$2:$A$201,0))</f>
        <v>Silver</v>
      </c>
      <c r="X261" s="2" t="n">
        <f aca="false">INDEX(Summary!$T$2:$T$201,MATCH($B261,Summary!$A$2:$A$201,0))</f>
        <v>50.37</v>
      </c>
      <c r="Y261" s="0" t="str">
        <f aca="false">INDEX('Reward Model'!$E$18:$E$37,MATCH($E261,'Reward Model'!$A$18:$A$37,0))</f>
        <v>High</v>
      </c>
      <c r="Z261" s="4" t="n">
        <f aca="false">ROUND(MIN(1,MAX('Reward Model'!$B$2,INDEX('Reward Model'!$C$12:$C$14,MATCH($K261,'Reward Model'!$A$12:$A$14,0))/$J261)),3)</f>
        <v>1</v>
      </c>
      <c r="AA261" s="2" t="n">
        <f aca="false">IF($I261="Correct",ROUND(INDEX('Reward Model'!$B$12:$B$14,MATCH($K261,'Reward Model'!$A$12:$A$14,0))*Z261,2),0)</f>
        <v>3</v>
      </c>
      <c r="AB261" s="2" t="n">
        <f aca="false">IF($I261="Correct",ROUND(INDEX('Reward Model'!$B$12:$B$14,MATCH($Y261,'Reward Model'!$A$12:$A$14,0))*Z261,2),0)</f>
        <v>3</v>
      </c>
    </row>
    <row r="262" customFormat="false" ht="15" hidden="false" customHeight="false" outlineLevel="0" collapsed="false">
      <c r="A262" s="0" t="s">
        <v>140</v>
      </c>
      <c r="B262" s="0" t="s">
        <v>141</v>
      </c>
      <c r="C262" s="0" t="s">
        <v>30</v>
      </c>
      <c r="D262" s="0" t="s">
        <v>31</v>
      </c>
      <c r="E262" s="0" t="n">
        <v>1</v>
      </c>
      <c r="F262" s="0" t="s">
        <v>32</v>
      </c>
      <c r="G262" s="0" t="s">
        <v>33</v>
      </c>
      <c r="H262" s="0" t="s">
        <v>33</v>
      </c>
      <c r="I262" s="0" t="s">
        <v>34</v>
      </c>
      <c r="J262" s="0" t="n">
        <v>1.46</v>
      </c>
      <c r="K262" s="0" t="s">
        <v>35</v>
      </c>
      <c r="L262" s="0" t="n">
        <f aca="false">INDEX(Summary!$F$2:$F$201,MATCH($B262,Summary!$A$2:$A$201,0))</f>
        <v>20</v>
      </c>
      <c r="M262" s="0" t="n">
        <f aca="false">INDEX(Summary!$I$2:$I$201,MATCH($B262,Summary!$A$2:$A$201,0))</f>
        <v>2</v>
      </c>
      <c r="N262" s="0" t="n">
        <f aca="false">INDEX(Summary!$J$2:$J$201,MATCH($B262,Summary!$A$2:$A$201,0))</f>
        <v>3</v>
      </c>
      <c r="O262" s="2" t="n">
        <f aca="false">INDEX(Summary!$K$2:$K$201,MATCH($B262,Summary!$A$2:$A$201,0))</f>
        <v>10.6</v>
      </c>
      <c r="P262" s="3" t="n">
        <f aca="false">INDEX(Summary!$L$2:$L$201,MATCH($B262,Summary!$A$2:$A$201,0))</f>
        <v>1</v>
      </c>
      <c r="Q262" s="3" t="n">
        <f aca="false">INDEX(Summary!$M$2:$M$201,MATCH($B262,Summary!$A$2:$A$201,0))</f>
        <v>5</v>
      </c>
      <c r="R262" s="2" t="n">
        <f aca="false">INDEX(Summary!$N$2:$N$201,MATCH($B262,Summary!$A$2:$A$201,0))</f>
        <v>10.34</v>
      </c>
      <c r="S262" s="3" t="n">
        <f aca="false">INDEX(Summary!$O$2:$O$201,MATCH($B262,Summary!$A$2:$A$201,0))</f>
        <v>4</v>
      </c>
      <c r="T262" s="3" t="n">
        <f aca="false">INDEX(Summary!$P$2:$P$201,MATCH($B262,Summary!$A$2:$A$201,0))</f>
        <v>5</v>
      </c>
      <c r="U262" s="2" t="n">
        <f aca="false">INDEX(Summary!$Q$2:$Q$201,MATCH($B262,Summary!$A$2:$A$201,0))</f>
        <v>12.36</v>
      </c>
      <c r="V262" s="2" t="n">
        <f aca="false">INDEX(Summary!$R$2:$R$201,MATCH($B262,Summary!$A$2:$A$201,0))</f>
        <v>13.72</v>
      </c>
      <c r="W262" s="0" t="str">
        <f aca="false">INDEX(Summary!$S$2:$S$201,MATCH($B262,Summary!$A$2:$A$201,0))</f>
        <v>Bronze</v>
      </c>
      <c r="X262" s="2" t="n">
        <f aca="false">INDEX(Summary!$T$2:$T$201,MATCH($B262,Summary!$A$2:$A$201,0))</f>
        <v>33.46</v>
      </c>
      <c r="Y262" s="0" t="str">
        <f aca="false">INDEX('Reward Model'!$E$18:$E$37,MATCH($E262,'Reward Model'!$A$18:$A$37,0))</f>
        <v>Medium</v>
      </c>
      <c r="Z262" s="4" t="n">
        <f aca="false">ROUND(MIN(1,MAX('Reward Model'!$B$2,INDEX('Reward Model'!$C$12:$C$14,MATCH($K262,'Reward Model'!$A$12:$A$14,0))/$J262)),3)</f>
        <v>1</v>
      </c>
      <c r="AA262" s="2" t="n">
        <f aca="false">IF($I262="Correct",ROUND(INDEX('Reward Model'!$B$12:$B$14,MATCH($K262,'Reward Model'!$A$12:$A$14,0))*Z262,2),0)</f>
        <v>1</v>
      </c>
      <c r="AB262" s="2" t="n">
        <f aca="false">IF($I262="Correct",ROUND(INDEX('Reward Model'!$B$12:$B$14,MATCH($Y262,'Reward Model'!$A$12:$A$14,0))*Z262,2),0)</f>
        <v>2</v>
      </c>
    </row>
    <row r="263" customFormat="false" ht="15" hidden="false" customHeight="false" outlineLevel="0" collapsed="false">
      <c r="A263" s="0" t="s">
        <v>140</v>
      </c>
      <c r="B263" s="0" t="s">
        <v>141</v>
      </c>
      <c r="C263" s="0" t="s">
        <v>30</v>
      </c>
      <c r="D263" s="0" t="s">
        <v>31</v>
      </c>
      <c r="E263" s="0" t="n">
        <v>2</v>
      </c>
      <c r="F263" s="0" t="s">
        <v>36</v>
      </c>
      <c r="G263" s="0" t="s">
        <v>37</v>
      </c>
      <c r="H263" s="0" t="s">
        <v>38</v>
      </c>
      <c r="I263" s="0" t="s">
        <v>39</v>
      </c>
      <c r="J263" s="0" t="n">
        <v>0.91</v>
      </c>
      <c r="K263" s="0" t="s">
        <v>35</v>
      </c>
      <c r="L263" s="0" t="n">
        <f aca="false">INDEX(Summary!$F$2:$F$201,MATCH($B263,Summary!$A$2:$A$201,0))</f>
        <v>20</v>
      </c>
      <c r="M263" s="0" t="n">
        <f aca="false">INDEX(Summary!$I$2:$I$201,MATCH($B263,Summary!$A$2:$A$201,0))</f>
        <v>2</v>
      </c>
      <c r="N263" s="0" t="n">
        <f aca="false">INDEX(Summary!$J$2:$J$201,MATCH($B263,Summary!$A$2:$A$201,0))</f>
        <v>3</v>
      </c>
      <c r="O263" s="2" t="n">
        <f aca="false">INDEX(Summary!$K$2:$K$201,MATCH($B263,Summary!$A$2:$A$201,0))</f>
        <v>10.6</v>
      </c>
      <c r="P263" s="3" t="n">
        <f aca="false">INDEX(Summary!$L$2:$L$201,MATCH($B263,Summary!$A$2:$A$201,0))</f>
        <v>1</v>
      </c>
      <c r="Q263" s="3" t="n">
        <f aca="false">INDEX(Summary!$M$2:$M$201,MATCH($B263,Summary!$A$2:$A$201,0))</f>
        <v>5</v>
      </c>
      <c r="R263" s="2" t="n">
        <f aca="false">INDEX(Summary!$N$2:$N$201,MATCH($B263,Summary!$A$2:$A$201,0))</f>
        <v>10.34</v>
      </c>
      <c r="S263" s="3" t="n">
        <f aca="false">INDEX(Summary!$O$2:$O$201,MATCH($B263,Summary!$A$2:$A$201,0))</f>
        <v>4</v>
      </c>
      <c r="T263" s="3" t="n">
        <f aca="false">INDEX(Summary!$P$2:$P$201,MATCH($B263,Summary!$A$2:$A$201,0))</f>
        <v>5</v>
      </c>
      <c r="U263" s="2" t="n">
        <f aca="false">INDEX(Summary!$Q$2:$Q$201,MATCH($B263,Summary!$A$2:$A$201,0))</f>
        <v>12.36</v>
      </c>
      <c r="V263" s="2" t="n">
        <f aca="false">INDEX(Summary!$R$2:$R$201,MATCH($B263,Summary!$A$2:$A$201,0))</f>
        <v>13.72</v>
      </c>
      <c r="W263" s="0" t="str">
        <f aca="false">INDEX(Summary!$S$2:$S$201,MATCH($B263,Summary!$A$2:$A$201,0))</f>
        <v>Bronze</v>
      </c>
      <c r="X263" s="2" t="n">
        <f aca="false">INDEX(Summary!$T$2:$T$201,MATCH($B263,Summary!$A$2:$A$201,0))</f>
        <v>33.46</v>
      </c>
      <c r="Y263" s="0" t="str">
        <f aca="false">INDEX('Reward Model'!$E$18:$E$37,MATCH($E263,'Reward Model'!$A$18:$A$37,0))</f>
        <v>Low</v>
      </c>
      <c r="Z263" s="4" t="n">
        <f aca="false">ROUND(MIN(1,MAX('Reward Model'!$B$2,INDEX('Reward Model'!$C$12:$C$14,MATCH($K263,'Reward Model'!$A$12:$A$14,0))/$J263)),3)</f>
        <v>1</v>
      </c>
      <c r="AA263" s="2" t="n">
        <f aca="false">IF($I263="Correct",ROUND(INDEX('Reward Model'!$B$12:$B$14,MATCH($K263,'Reward Model'!$A$12:$A$14,0))*Z263,2),0)</f>
        <v>0</v>
      </c>
      <c r="AB263" s="2" t="n">
        <f aca="false">IF($I263="Correct",ROUND(INDEX('Reward Model'!$B$12:$B$14,MATCH($Y263,'Reward Model'!$A$12:$A$14,0))*Z263,2),0)</f>
        <v>0</v>
      </c>
    </row>
    <row r="264" customFormat="false" ht="15" hidden="false" customHeight="false" outlineLevel="0" collapsed="false">
      <c r="A264" s="0" t="s">
        <v>140</v>
      </c>
      <c r="B264" s="0" t="s">
        <v>141</v>
      </c>
      <c r="C264" s="0" t="s">
        <v>30</v>
      </c>
      <c r="D264" s="0" t="s">
        <v>31</v>
      </c>
      <c r="E264" s="0" t="n">
        <v>3</v>
      </c>
      <c r="F264" s="0" t="s">
        <v>40</v>
      </c>
      <c r="G264" s="0" t="s">
        <v>142</v>
      </c>
      <c r="H264" s="0" t="s">
        <v>42</v>
      </c>
      <c r="I264" s="0" t="s">
        <v>39</v>
      </c>
      <c r="J264" s="0" t="n">
        <v>1.29</v>
      </c>
      <c r="K264" s="0" t="s">
        <v>35</v>
      </c>
      <c r="L264" s="0" t="n">
        <f aca="false">INDEX(Summary!$F$2:$F$201,MATCH($B264,Summary!$A$2:$A$201,0))</f>
        <v>20</v>
      </c>
      <c r="M264" s="0" t="n">
        <f aca="false">INDEX(Summary!$I$2:$I$201,MATCH($B264,Summary!$A$2:$A$201,0))</f>
        <v>2</v>
      </c>
      <c r="N264" s="0" t="n">
        <f aca="false">INDEX(Summary!$J$2:$J$201,MATCH($B264,Summary!$A$2:$A$201,0))</f>
        <v>3</v>
      </c>
      <c r="O264" s="2" t="n">
        <f aca="false">INDEX(Summary!$K$2:$K$201,MATCH($B264,Summary!$A$2:$A$201,0))</f>
        <v>10.6</v>
      </c>
      <c r="P264" s="3" t="n">
        <f aca="false">INDEX(Summary!$L$2:$L$201,MATCH($B264,Summary!$A$2:$A$201,0))</f>
        <v>1</v>
      </c>
      <c r="Q264" s="3" t="n">
        <f aca="false">INDEX(Summary!$M$2:$M$201,MATCH($B264,Summary!$A$2:$A$201,0))</f>
        <v>5</v>
      </c>
      <c r="R264" s="2" t="n">
        <f aca="false">INDEX(Summary!$N$2:$N$201,MATCH($B264,Summary!$A$2:$A$201,0))</f>
        <v>10.34</v>
      </c>
      <c r="S264" s="3" t="n">
        <f aca="false">INDEX(Summary!$O$2:$O$201,MATCH($B264,Summary!$A$2:$A$201,0))</f>
        <v>4</v>
      </c>
      <c r="T264" s="3" t="n">
        <f aca="false">INDEX(Summary!$P$2:$P$201,MATCH($B264,Summary!$A$2:$A$201,0))</f>
        <v>5</v>
      </c>
      <c r="U264" s="2" t="n">
        <f aca="false">INDEX(Summary!$Q$2:$Q$201,MATCH($B264,Summary!$A$2:$A$201,0))</f>
        <v>12.36</v>
      </c>
      <c r="V264" s="2" t="n">
        <f aca="false">INDEX(Summary!$R$2:$R$201,MATCH($B264,Summary!$A$2:$A$201,0))</f>
        <v>13.72</v>
      </c>
      <c r="W264" s="0" t="str">
        <f aca="false">INDEX(Summary!$S$2:$S$201,MATCH($B264,Summary!$A$2:$A$201,0))</f>
        <v>Bronze</v>
      </c>
      <c r="X264" s="2" t="n">
        <f aca="false">INDEX(Summary!$T$2:$T$201,MATCH($B264,Summary!$A$2:$A$201,0))</f>
        <v>33.46</v>
      </c>
      <c r="Y264" s="0" t="str">
        <f aca="false">INDEX('Reward Model'!$E$18:$E$37,MATCH($E264,'Reward Model'!$A$18:$A$37,0))</f>
        <v>Medium</v>
      </c>
      <c r="Z264" s="4" t="n">
        <f aca="false">ROUND(MIN(1,MAX('Reward Model'!$B$2,INDEX('Reward Model'!$C$12:$C$14,MATCH($K264,'Reward Model'!$A$12:$A$14,0))/$J264)),3)</f>
        <v>1</v>
      </c>
      <c r="AA264" s="2" t="n">
        <f aca="false">IF($I264="Correct",ROUND(INDEX('Reward Model'!$B$12:$B$14,MATCH($K264,'Reward Model'!$A$12:$A$14,0))*Z264,2),0)</f>
        <v>0</v>
      </c>
      <c r="AB264" s="2" t="n">
        <f aca="false">IF($I264="Correct",ROUND(INDEX('Reward Model'!$B$12:$B$14,MATCH($Y264,'Reward Model'!$A$12:$A$14,0))*Z264,2),0)</f>
        <v>0</v>
      </c>
    </row>
    <row r="265" customFormat="false" ht="15" hidden="false" customHeight="false" outlineLevel="0" collapsed="false">
      <c r="A265" s="0" t="s">
        <v>140</v>
      </c>
      <c r="B265" s="0" t="s">
        <v>141</v>
      </c>
      <c r="C265" s="0" t="s">
        <v>30</v>
      </c>
      <c r="D265" s="0" t="s">
        <v>31</v>
      </c>
      <c r="E265" s="0" t="n">
        <v>4</v>
      </c>
      <c r="F265" s="0" t="s">
        <v>43</v>
      </c>
      <c r="G265" s="0" t="s">
        <v>45</v>
      </c>
      <c r="H265" s="0" t="s">
        <v>45</v>
      </c>
      <c r="I265" s="0" t="s">
        <v>34</v>
      </c>
      <c r="J265" s="0" t="n">
        <v>1.83</v>
      </c>
      <c r="K265" s="0" t="s">
        <v>35</v>
      </c>
      <c r="L265" s="0" t="n">
        <f aca="false">INDEX(Summary!$F$2:$F$201,MATCH($B265,Summary!$A$2:$A$201,0))</f>
        <v>20</v>
      </c>
      <c r="M265" s="0" t="n">
        <f aca="false">INDEX(Summary!$I$2:$I$201,MATCH($B265,Summary!$A$2:$A$201,0))</f>
        <v>2</v>
      </c>
      <c r="N265" s="0" t="n">
        <f aca="false">INDEX(Summary!$J$2:$J$201,MATCH($B265,Summary!$A$2:$A$201,0))</f>
        <v>3</v>
      </c>
      <c r="O265" s="2" t="n">
        <f aca="false">INDEX(Summary!$K$2:$K$201,MATCH($B265,Summary!$A$2:$A$201,0))</f>
        <v>10.6</v>
      </c>
      <c r="P265" s="3" t="n">
        <f aca="false">INDEX(Summary!$L$2:$L$201,MATCH($B265,Summary!$A$2:$A$201,0))</f>
        <v>1</v>
      </c>
      <c r="Q265" s="3" t="n">
        <f aca="false">INDEX(Summary!$M$2:$M$201,MATCH($B265,Summary!$A$2:$A$201,0))</f>
        <v>5</v>
      </c>
      <c r="R265" s="2" t="n">
        <f aca="false">INDEX(Summary!$N$2:$N$201,MATCH($B265,Summary!$A$2:$A$201,0))</f>
        <v>10.34</v>
      </c>
      <c r="S265" s="3" t="n">
        <f aca="false">INDEX(Summary!$O$2:$O$201,MATCH($B265,Summary!$A$2:$A$201,0))</f>
        <v>4</v>
      </c>
      <c r="T265" s="3" t="n">
        <f aca="false">INDEX(Summary!$P$2:$P$201,MATCH($B265,Summary!$A$2:$A$201,0))</f>
        <v>5</v>
      </c>
      <c r="U265" s="2" t="n">
        <f aca="false">INDEX(Summary!$Q$2:$Q$201,MATCH($B265,Summary!$A$2:$A$201,0))</f>
        <v>12.36</v>
      </c>
      <c r="V265" s="2" t="n">
        <f aca="false">INDEX(Summary!$R$2:$R$201,MATCH($B265,Summary!$A$2:$A$201,0))</f>
        <v>13.72</v>
      </c>
      <c r="W265" s="0" t="str">
        <f aca="false">INDEX(Summary!$S$2:$S$201,MATCH($B265,Summary!$A$2:$A$201,0))</f>
        <v>Bronze</v>
      </c>
      <c r="X265" s="2" t="n">
        <f aca="false">INDEX(Summary!$T$2:$T$201,MATCH($B265,Summary!$A$2:$A$201,0))</f>
        <v>33.46</v>
      </c>
      <c r="Y265" s="0" t="str">
        <f aca="false">INDEX('Reward Model'!$E$18:$E$37,MATCH($E265,'Reward Model'!$A$18:$A$37,0))</f>
        <v>Low</v>
      </c>
      <c r="Z265" s="4" t="n">
        <f aca="false">ROUND(MIN(1,MAX('Reward Model'!$B$2,INDEX('Reward Model'!$C$12:$C$14,MATCH($K265,'Reward Model'!$A$12:$A$14,0))/$J265)),3)</f>
        <v>0.82</v>
      </c>
      <c r="AA265" s="2" t="n">
        <f aca="false">IF($I265="Correct",ROUND(INDEX('Reward Model'!$B$12:$B$14,MATCH($K265,'Reward Model'!$A$12:$A$14,0))*Z265,2),0)</f>
        <v>0.82</v>
      </c>
      <c r="AB265" s="2" t="n">
        <f aca="false">IF($I265="Correct",ROUND(INDEX('Reward Model'!$B$12:$B$14,MATCH($Y265,'Reward Model'!$A$12:$A$14,0))*Z265,2),0)</f>
        <v>0.82</v>
      </c>
    </row>
    <row r="266" customFormat="false" ht="15" hidden="false" customHeight="false" outlineLevel="0" collapsed="false">
      <c r="A266" s="0" t="s">
        <v>140</v>
      </c>
      <c r="B266" s="0" t="s">
        <v>141</v>
      </c>
      <c r="C266" s="0" t="s">
        <v>30</v>
      </c>
      <c r="D266" s="0" t="s">
        <v>31</v>
      </c>
      <c r="E266" s="0" t="n">
        <v>5</v>
      </c>
      <c r="F266" s="0" t="s">
        <v>46</v>
      </c>
      <c r="G266" s="0" t="s">
        <v>47</v>
      </c>
      <c r="H266" s="0" t="s">
        <v>47</v>
      </c>
      <c r="I266" s="0" t="s">
        <v>34</v>
      </c>
      <c r="J266" s="0" t="n">
        <v>1.67</v>
      </c>
      <c r="K266" s="0" t="s">
        <v>35</v>
      </c>
      <c r="L266" s="0" t="n">
        <f aca="false">INDEX(Summary!$F$2:$F$201,MATCH($B266,Summary!$A$2:$A$201,0))</f>
        <v>20</v>
      </c>
      <c r="M266" s="0" t="n">
        <f aca="false">INDEX(Summary!$I$2:$I$201,MATCH($B266,Summary!$A$2:$A$201,0))</f>
        <v>2</v>
      </c>
      <c r="N266" s="0" t="n">
        <f aca="false">INDEX(Summary!$J$2:$J$201,MATCH($B266,Summary!$A$2:$A$201,0))</f>
        <v>3</v>
      </c>
      <c r="O266" s="2" t="n">
        <f aca="false">INDEX(Summary!$K$2:$K$201,MATCH($B266,Summary!$A$2:$A$201,0))</f>
        <v>10.6</v>
      </c>
      <c r="P266" s="3" t="n">
        <f aca="false">INDEX(Summary!$L$2:$L$201,MATCH($B266,Summary!$A$2:$A$201,0))</f>
        <v>1</v>
      </c>
      <c r="Q266" s="3" t="n">
        <f aca="false">INDEX(Summary!$M$2:$M$201,MATCH($B266,Summary!$A$2:$A$201,0))</f>
        <v>5</v>
      </c>
      <c r="R266" s="2" t="n">
        <f aca="false">INDEX(Summary!$N$2:$N$201,MATCH($B266,Summary!$A$2:$A$201,0))</f>
        <v>10.34</v>
      </c>
      <c r="S266" s="3" t="n">
        <f aca="false">INDEX(Summary!$O$2:$O$201,MATCH($B266,Summary!$A$2:$A$201,0))</f>
        <v>4</v>
      </c>
      <c r="T266" s="3" t="n">
        <f aca="false">INDEX(Summary!$P$2:$P$201,MATCH($B266,Summary!$A$2:$A$201,0))</f>
        <v>5</v>
      </c>
      <c r="U266" s="2" t="n">
        <f aca="false">INDEX(Summary!$Q$2:$Q$201,MATCH($B266,Summary!$A$2:$A$201,0))</f>
        <v>12.36</v>
      </c>
      <c r="V266" s="2" t="n">
        <f aca="false">INDEX(Summary!$R$2:$R$201,MATCH($B266,Summary!$A$2:$A$201,0))</f>
        <v>13.72</v>
      </c>
      <c r="W266" s="0" t="str">
        <f aca="false">INDEX(Summary!$S$2:$S$201,MATCH($B266,Summary!$A$2:$A$201,0))</f>
        <v>Bronze</v>
      </c>
      <c r="X266" s="2" t="n">
        <f aca="false">INDEX(Summary!$T$2:$T$201,MATCH($B266,Summary!$A$2:$A$201,0))</f>
        <v>33.46</v>
      </c>
      <c r="Y266" s="0" t="str">
        <f aca="false">INDEX('Reward Model'!$E$18:$E$37,MATCH($E266,'Reward Model'!$A$18:$A$37,0))</f>
        <v>Low</v>
      </c>
      <c r="Z266" s="4" t="n">
        <f aca="false">ROUND(MIN(1,MAX('Reward Model'!$B$2,INDEX('Reward Model'!$C$12:$C$14,MATCH($K266,'Reward Model'!$A$12:$A$14,0))/$J266)),3)</f>
        <v>0.898</v>
      </c>
      <c r="AA266" s="2" t="n">
        <f aca="false">IF($I266="Correct",ROUND(INDEX('Reward Model'!$B$12:$B$14,MATCH($K266,'Reward Model'!$A$12:$A$14,0))*Z266,2),0)</f>
        <v>0.9</v>
      </c>
      <c r="AB266" s="2" t="n">
        <f aca="false">IF($I266="Correct",ROUND(INDEX('Reward Model'!$B$12:$B$14,MATCH($Y266,'Reward Model'!$A$12:$A$14,0))*Z266,2),0)</f>
        <v>0.9</v>
      </c>
    </row>
    <row r="267" customFormat="false" ht="15" hidden="false" customHeight="false" outlineLevel="0" collapsed="false">
      <c r="A267" s="0" t="s">
        <v>140</v>
      </c>
      <c r="B267" s="0" t="s">
        <v>141</v>
      </c>
      <c r="C267" s="0" t="s">
        <v>30</v>
      </c>
      <c r="D267" s="0" t="s">
        <v>31</v>
      </c>
      <c r="E267" s="0" t="n">
        <v>6</v>
      </c>
      <c r="F267" s="0" t="s">
        <v>48</v>
      </c>
      <c r="G267" s="0" t="s">
        <v>143</v>
      </c>
      <c r="H267" s="0" t="s">
        <v>49</v>
      </c>
      <c r="I267" s="0" t="s">
        <v>39</v>
      </c>
      <c r="J267" s="0" t="n">
        <v>1.26</v>
      </c>
      <c r="K267" s="0" t="s">
        <v>35</v>
      </c>
      <c r="L267" s="0" t="n">
        <f aca="false">INDEX(Summary!$F$2:$F$201,MATCH($B267,Summary!$A$2:$A$201,0))</f>
        <v>20</v>
      </c>
      <c r="M267" s="0" t="n">
        <f aca="false">INDEX(Summary!$I$2:$I$201,MATCH($B267,Summary!$A$2:$A$201,0))</f>
        <v>2</v>
      </c>
      <c r="N267" s="0" t="n">
        <f aca="false">INDEX(Summary!$J$2:$J$201,MATCH($B267,Summary!$A$2:$A$201,0))</f>
        <v>3</v>
      </c>
      <c r="O267" s="2" t="n">
        <f aca="false">INDEX(Summary!$K$2:$K$201,MATCH($B267,Summary!$A$2:$A$201,0))</f>
        <v>10.6</v>
      </c>
      <c r="P267" s="3" t="n">
        <f aca="false">INDEX(Summary!$L$2:$L$201,MATCH($B267,Summary!$A$2:$A$201,0))</f>
        <v>1</v>
      </c>
      <c r="Q267" s="3" t="n">
        <f aca="false">INDEX(Summary!$M$2:$M$201,MATCH($B267,Summary!$A$2:$A$201,0))</f>
        <v>5</v>
      </c>
      <c r="R267" s="2" t="n">
        <f aca="false">INDEX(Summary!$N$2:$N$201,MATCH($B267,Summary!$A$2:$A$201,0))</f>
        <v>10.34</v>
      </c>
      <c r="S267" s="3" t="n">
        <f aca="false">INDEX(Summary!$O$2:$O$201,MATCH($B267,Summary!$A$2:$A$201,0))</f>
        <v>4</v>
      </c>
      <c r="T267" s="3" t="n">
        <f aca="false">INDEX(Summary!$P$2:$P$201,MATCH($B267,Summary!$A$2:$A$201,0))</f>
        <v>5</v>
      </c>
      <c r="U267" s="2" t="n">
        <f aca="false">INDEX(Summary!$Q$2:$Q$201,MATCH($B267,Summary!$A$2:$A$201,0))</f>
        <v>12.36</v>
      </c>
      <c r="V267" s="2" t="n">
        <f aca="false">INDEX(Summary!$R$2:$R$201,MATCH($B267,Summary!$A$2:$A$201,0))</f>
        <v>13.72</v>
      </c>
      <c r="W267" s="0" t="str">
        <f aca="false">INDEX(Summary!$S$2:$S$201,MATCH($B267,Summary!$A$2:$A$201,0))</f>
        <v>Bronze</v>
      </c>
      <c r="X267" s="2" t="n">
        <f aca="false">INDEX(Summary!$T$2:$T$201,MATCH($B267,Summary!$A$2:$A$201,0))</f>
        <v>33.46</v>
      </c>
      <c r="Y267" s="0" t="str">
        <f aca="false">INDEX('Reward Model'!$E$18:$E$37,MATCH($E267,'Reward Model'!$A$18:$A$37,0))</f>
        <v>Medium</v>
      </c>
      <c r="Z267" s="4" t="n">
        <f aca="false">ROUND(MIN(1,MAX('Reward Model'!$B$2,INDEX('Reward Model'!$C$12:$C$14,MATCH($K267,'Reward Model'!$A$12:$A$14,0))/$J267)),3)</f>
        <v>1</v>
      </c>
      <c r="AA267" s="2" t="n">
        <f aca="false">IF($I267="Correct",ROUND(INDEX('Reward Model'!$B$12:$B$14,MATCH($K267,'Reward Model'!$A$12:$A$14,0))*Z267,2),0)</f>
        <v>0</v>
      </c>
      <c r="AB267" s="2" t="n">
        <f aca="false">IF($I267="Correct",ROUND(INDEX('Reward Model'!$B$12:$B$14,MATCH($Y267,'Reward Model'!$A$12:$A$14,0))*Z267,2),0)</f>
        <v>0</v>
      </c>
    </row>
    <row r="268" customFormat="false" ht="15" hidden="false" customHeight="false" outlineLevel="0" collapsed="false">
      <c r="A268" s="0" t="s">
        <v>140</v>
      </c>
      <c r="B268" s="0" t="s">
        <v>141</v>
      </c>
      <c r="C268" s="0" t="s">
        <v>30</v>
      </c>
      <c r="D268" s="0" t="s">
        <v>31</v>
      </c>
      <c r="E268" s="0" t="n">
        <v>7</v>
      </c>
      <c r="F268" s="0" t="s">
        <v>50</v>
      </c>
      <c r="G268" s="0" t="s">
        <v>144</v>
      </c>
      <c r="H268" s="0" t="s">
        <v>51</v>
      </c>
      <c r="I268" s="0" t="s">
        <v>39</v>
      </c>
      <c r="J268" s="0" t="n">
        <v>1.08</v>
      </c>
      <c r="K268" s="0" t="s">
        <v>35</v>
      </c>
      <c r="L268" s="0" t="n">
        <f aca="false">INDEX(Summary!$F$2:$F$201,MATCH($B268,Summary!$A$2:$A$201,0))</f>
        <v>20</v>
      </c>
      <c r="M268" s="0" t="n">
        <f aca="false">INDEX(Summary!$I$2:$I$201,MATCH($B268,Summary!$A$2:$A$201,0))</f>
        <v>2</v>
      </c>
      <c r="N268" s="0" t="n">
        <f aca="false">INDEX(Summary!$J$2:$J$201,MATCH($B268,Summary!$A$2:$A$201,0))</f>
        <v>3</v>
      </c>
      <c r="O268" s="2" t="n">
        <f aca="false">INDEX(Summary!$K$2:$K$201,MATCH($B268,Summary!$A$2:$A$201,0))</f>
        <v>10.6</v>
      </c>
      <c r="P268" s="3" t="n">
        <f aca="false">INDEX(Summary!$L$2:$L$201,MATCH($B268,Summary!$A$2:$A$201,0))</f>
        <v>1</v>
      </c>
      <c r="Q268" s="3" t="n">
        <f aca="false">INDEX(Summary!$M$2:$M$201,MATCH($B268,Summary!$A$2:$A$201,0))</f>
        <v>5</v>
      </c>
      <c r="R268" s="2" t="n">
        <f aca="false">INDEX(Summary!$N$2:$N$201,MATCH($B268,Summary!$A$2:$A$201,0))</f>
        <v>10.34</v>
      </c>
      <c r="S268" s="3" t="n">
        <f aca="false">INDEX(Summary!$O$2:$O$201,MATCH($B268,Summary!$A$2:$A$201,0))</f>
        <v>4</v>
      </c>
      <c r="T268" s="3" t="n">
        <f aca="false">INDEX(Summary!$P$2:$P$201,MATCH($B268,Summary!$A$2:$A$201,0))</f>
        <v>5</v>
      </c>
      <c r="U268" s="2" t="n">
        <f aca="false">INDEX(Summary!$Q$2:$Q$201,MATCH($B268,Summary!$A$2:$A$201,0))</f>
        <v>12.36</v>
      </c>
      <c r="V268" s="2" t="n">
        <f aca="false">INDEX(Summary!$R$2:$R$201,MATCH($B268,Summary!$A$2:$A$201,0))</f>
        <v>13.72</v>
      </c>
      <c r="W268" s="0" t="str">
        <f aca="false">INDEX(Summary!$S$2:$S$201,MATCH($B268,Summary!$A$2:$A$201,0))</f>
        <v>Bronze</v>
      </c>
      <c r="X268" s="2" t="n">
        <f aca="false">INDEX(Summary!$T$2:$T$201,MATCH($B268,Summary!$A$2:$A$201,0))</f>
        <v>33.46</v>
      </c>
      <c r="Y268" s="0" t="str">
        <f aca="false">INDEX('Reward Model'!$E$18:$E$37,MATCH($E268,'Reward Model'!$A$18:$A$37,0))</f>
        <v>Low</v>
      </c>
      <c r="Z268" s="4" t="n">
        <f aca="false">ROUND(MIN(1,MAX('Reward Model'!$B$2,INDEX('Reward Model'!$C$12:$C$14,MATCH($K268,'Reward Model'!$A$12:$A$14,0))/$J268)),3)</f>
        <v>1</v>
      </c>
      <c r="AA268" s="2" t="n">
        <f aca="false">IF($I268="Correct",ROUND(INDEX('Reward Model'!$B$12:$B$14,MATCH($K268,'Reward Model'!$A$12:$A$14,0))*Z268,2),0)</f>
        <v>0</v>
      </c>
      <c r="AB268" s="2" t="n">
        <f aca="false">IF($I268="Correct",ROUND(INDEX('Reward Model'!$B$12:$B$14,MATCH($Y268,'Reward Model'!$A$12:$A$14,0))*Z268,2),0)</f>
        <v>0</v>
      </c>
    </row>
    <row r="269" customFormat="false" ht="15" hidden="false" customHeight="false" outlineLevel="0" collapsed="false">
      <c r="A269" s="0" t="s">
        <v>140</v>
      </c>
      <c r="B269" s="0" t="s">
        <v>141</v>
      </c>
      <c r="C269" s="0" t="s">
        <v>30</v>
      </c>
      <c r="D269" s="0" t="s">
        <v>31</v>
      </c>
      <c r="E269" s="0" t="n">
        <v>8</v>
      </c>
      <c r="F269" s="0" t="s">
        <v>52</v>
      </c>
      <c r="G269" s="0" t="s">
        <v>93</v>
      </c>
      <c r="H269" s="0" t="s">
        <v>54</v>
      </c>
      <c r="I269" s="0" t="s">
        <v>39</v>
      </c>
      <c r="J269" s="0" t="n">
        <v>1.86</v>
      </c>
      <c r="K269" s="0" t="s">
        <v>35</v>
      </c>
      <c r="L269" s="0" t="n">
        <f aca="false">INDEX(Summary!$F$2:$F$201,MATCH($B269,Summary!$A$2:$A$201,0))</f>
        <v>20</v>
      </c>
      <c r="M269" s="0" t="n">
        <f aca="false">INDEX(Summary!$I$2:$I$201,MATCH($B269,Summary!$A$2:$A$201,0))</f>
        <v>2</v>
      </c>
      <c r="N269" s="0" t="n">
        <f aca="false">INDEX(Summary!$J$2:$J$201,MATCH($B269,Summary!$A$2:$A$201,0))</f>
        <v>3</v>
      </c>
      <c r="O269" s="2" t="n">
        <f aca="false">INDEX(Summary!$K$2:$K$201,MATCH($B269,Summary!$A$2:$A$201,0))</f>
        <v>10.6</v>
      </c>
      <c r="P269" s="3" t="n">
        <f aca="false">INDEX(Summary!$L$2:$L$201,MATCH($B269,Summary!$A$2:$A$201,0))</f>
        <v>1</v>
      </c>
      <c r="Q269" s="3" t="n">
        <f aca="false">INDEX(Summary!$M$2:$M$201,MATCH($B269,Summary!$A$2:$A$201,0))</f>
        <v>5</v>
      </c>
      <c r="R269" s="2" t="n">
        <f aca="false">INDEX(Summary!$N$2:$N$201,MATCH($B269,Summary!$A$2:$A$201,0))</f>
        <v>10.34</v>
      </c>
      <c r="S269" s="3" t="n">
        <f aca="false">INDEX(Summary!$O$2:$O$201,MATCH($B269,Summary!$A$2:$A$201,0))</f>
        <v>4</v>
      </c>
      <c r="T269" s="3" t="n">
        <f aca="false">INDEX(Summary!$P$2:$P$201,MATCH($B269,Summary!$A$2:$A$201,0))</f>
        <v>5</v>
      </c>
      <c r="U269" s="2" t="n">
        <f aca="false">INDEX(Summary!$Q$2:$Q$201,MATCH($B269,Summary!$A$2:$A$201,0))</f>
        <v>12.36</v>
      </c>
      <c r="V269" s="2" t="n">
        <f aca="false">INDEX(Summary!$R$2:$R$201,MATCH($B269,Summary!$A$2:$A$201,0))</f>
        <v>13.72</v>
      </c>
      <c r="W269" s="0" t="str">
        <f aca="false">INDEX(Summary!$S$2:$S$201,MATCH($B269,Summary!$A$2:$A$201,0))</f>
        <v>Bronze</v>
      </c>
      <c r="X269" s="2" t="n">
        <f aca="false">INDEX(Summary!$T$2:$T$201,MATCH($B269,Summary!$A$2:$A$201,0))</f>
        <v>33.46</v>
      </c>
      <c r="Y269" s="0" t="str">
        <f aca="false">INDEX('Reward Model'!$E$18:$E$37,MATCH($E269,'Reward Model'!$A$18:$A$37,0))</f>
        <v>Medium</v>
      </c>
      <c r="Z269" s="4" t="n">
        <f aca="false">ROUND(MIN(1,MAX('Reward Model'!$B$2,INDEX('Reward Model'!$C$12:$C$14,MATCH($K269,'Reward Model'!$A$12:$A$14,0))/$J269)),3)</f>
        <v>0.806</v>
      </c>
      <c r="AA269" s="2" t="n">
        <f aca="false">IF($I269="Correct",ROUND(INDEX('Reward Model'!$B$12:$B$14,MATCH($K269,'Reward Model'!$A$12:$A$14,0))*Z269,2),0)</f>
        <v>0</v>
      </c>
      <c r="AB269" s="2" t="n">
        <f aca="false">IF($I269="Correct",ROUND(INDEX('Reward Model'!$B$12:$B$14,MATCH($Y269,'Reward Model'!$A$12:$A$14,0))*Z269,2),0)</f>
        <v>0</v>
      </c>
    </row>
    <row r="270" customFormat="false" ht="15" hidden="false" customHeight="false" outlineLevel="0" collapsed="false">
      <c r="A270" s="0" t="s">
        <v>140</v>
      </c>
      <c r="B270" s="0" t="s">
        <v>141</v>
      </c>
      <c r="C270" s="0" t="s">
        <v>30</v>
      </c>
      <c r="D270" s="0" t="s">
        <v>31</v>
      </c>
      <c r="E270" s="0" t="n">
        <v>9</v>
      </c>
      <c r="F270" s="0" t="s">
        <v>55</v>
      </c>
      <c r="G270" s="0" t="s">
        <v>57</v>
      </c>
      <c r="H270" s="0" t="s">
        <v>57</v>
      </c>
      <c r="I270" s="0" t="s">
        <v>34</v>
      </c>
      <c r="J270" s="0" t="n">
        <v>1</v>
      </c>
      <c r="K270" s="0" t="s">
        <v>35</v>
      </c>
      <c r="L270" s="0" t="n">
        <f aca="false">INDEX(Summary!$F$2:$F$201,MATCH($B270,Summary!$A$2:$A$201,0))</f>
        <v>20</v>
      </c>
      <c r="M270" s="0" t="n">
        <f aca="false">INDEX(Summary!$I$2:$I$201,MATCH($B270,Summary!$A$2:$A$201,0))</f>
        <v>2</v>
      </c>
      <c r="N270" s="0" t="n">
        <f aca="false">INDEX(Summary!$J$2:$J$201,MATCH($B270,Summary!$A$2:$A$201,0))</f>
        <v>3</v>
      </c>
      <c r="O270" s="2" t="n">
        <f aca="false">INDEX(Summary!$K$2:$K$201,MATCH($B270,Summary!$A$2:$A$201,0))</f>
        <v>10.6</v>
      </c>
      <c r="P270" s="3" t="n">
        <f aca="false">INDEX(Summary!$L$2:$L$201,MATCH($B270,Summary!$A$2:$A$201,0))</f>
        <v>1</v>
      </c>
      <c r="Q270" s="3" t="n">
        <f aca="false">INDEX(Summary!$M$2:$M$201,MATCH($B270,Summary!$A$2:$A$201,0))</f>
        <v>5</v>
      </c>
      <c r="R270" s="2" t="n">
        <f aca="false">INDEX(Summary!$N$2:$N$201,MATCH($B270,Summary!$A$2:$A$201,0))</f>
        <v>10.34</v>
      </c>
      <c r="S270" s="3" t="n">
        <f aca="false">INDEX(Summary!$O$2:$O$201,MATCH($B270,Summary!$A$2:$A$201,0))</f>
        <v>4</v>
      </c>
      <c r="T270" s="3" t="n">
        <f aca="false">INDEX(Summary!$P$2:$P$201,MATCH($B270,Summary!$A$2:$A$201,0))</f>
        <v>5</v>
      </c>
      <c r="U270" s="2" t="n">
        <f aca="false">INDEX(Summary!$Q$2:$Q$201,MATCH($B270,Summary!$A$2:$A$201,0))</f>
        <v>12.36</v>
      </c>
      <c r="V270" s="2" t="n">
        <f aca="false">INDEX(Summary!$R$2:$R$201,MATCH($B270,Summary!$A$2:$A$201,0))</f>
        <v>13.72</v>
      </c>
      <c r="W270" s="0" t="str">
        <f aca="false">INDEX(Summary!$S$2:$S$201,MATCH($B270,Summary!$A$2:$A$201,0))</f>
        <v>Bronze</v>
      </c>
      <c r="X270" s="2" t="n">
        <f aca="false">INDEX(Summary!$T$2:$T$201,MATCH($B270,Summary!$A$2:$A$201,0))</f>
        <v>33.46</v>
      </c>
      <c r="Y270" s="0" t="str">
        <f aca="false">INDEX('Reward Model'!$E$18:$E$37,MATCH($E270,'Reward Model'!$A$18:$A$37,0))</f>
        <v>Medium</v>
      </c>
      <c r="Z270" s="4" t="n">
        <f aca="false">ROUND(MIN(1,MAX('Reward Model'!$B$2,INDEX('Reward Model'!$C$12:$C$14,MATCH($K270,'Reward Model'!$A$12:$A$14,0))/$J270)),3)</f>
        <v>1</v>
      </c>
      <c r="AA270" s="2" t="n">
        <f aca="false">IF($I270="Correct",ROUND(INDEX('Reward Model'!$B$12:$B$14,MATCH($K270,'Reward Model'!$A$12:$A$14,0))*Z270,2),0)</f>
        <v>1</v>
      </c>
      <c r="AB270" s="2" t="n">
        <f aca="false">IF($I270="Correct",ROUND(INDEX('Reward Model'!$B$12:$B$14,MATCH($Y270,'Reward Model'!$A$12:$A$14,0))*Z270,2),0)</f>
        <v>2</v>
      </c>
    </row>
    <row r="271" customFormat="false" ht="15" hidden="false" customHeight="false" outlineLevel="0" collapsed="false">
      <c r="A271" s="0" t="s">
        <v>140</v>
      </c>
      <c r="B271" s="0" t="s">
        <v>141</v>
      </c>
      <c r="C271" s="0" t="s">
        <v>30</v>
      </c>
      <c r="D271" s="0" t="s">
        <v>31</v>
      </c>
      <c r="E271" s="0" t="n">
        <v>10</v>
      </c>
      <c r="F271" s="0" t="s">
        <v>58</v>
      </c>
      <c r="G271" s="0" t="s">
        <v>99</v>
      </c>
      <c r="H271" s="0" t="s">
        <v>59</v>
      </c>
      <c r="I271" s="0" t="s">
        <v>39</v>
      </c>
      <c r="J271" s="0" t="n">
        <v>1.62</v>
      </c>
      <c r="K271" s="0" t="s">
        <v>60</v>
      </c>
      <c r="L271" s="0" t="n">
        <f aca="false">INDEX(Summary!$F$2:$F$201,MATCH($B271,Summary!$A$2:$A$201,0))</f>
        <v>20</v>
      </c>
      <c r="M271" s="0" t="n">
        <f aca="false">INDEX(Summary!$I$2:$I$201,MATCH($B271,Summary!$A$2:$A$201,0))</f>
        <v>2</v>
      </c>
      <c r="N271" s="0" t="n">
        <f aca="false">INDEX(Summary!$J$2:$J$201,MATCH($B271,Summary!$A$2:$A$201,0))</f>
        <v>3</v>
      </c>
      <c r="O271" s="2" t="n">
        <f aca="false">INDEX(Summary!$K$2:$K$201,MATCH($B271,Summary!$A$2:$A$201,0))</f>
        <v>10.6</v>
      </c>
      <c r="P271" s="3" t="n">
        <f aca="false">INDEX(Summary!$L$2:$L$201,MATCH($B271,Summary!$A$2:$A$201,0))</f>
        <v>1</v>
      </c>
      <c r="Q271" s="3" t="n">
        <f aca="false">INDEX(Summary!$M$2:$M$201,MATCH($B271,Summary!$A$2:$A$201,0))</f>
        <v>5</v>
      </c>
      <c r="R271" s="2" t="n">
        <f aca="false">INDEX(Summary!$N$2:$N$201,MATCH($B271,Summary!$A$2:$A$201,0))</f>
        <v>10.34</v>
      </c>
      <c r="S271" s="3" t="n">
        <f aca="false">INDEX(Summary!$O$2:$O$201,MATCH($B271,Summary!$A$2:$A$201,0))</f>
        <v>4</v>
      </c>
      <c r="T271" s="3" t="n">
        <f aca="false">INDEX(Summary!$P$2:$P$201,MATCH($B271,Summary!$A$2:$A$201,0))</f>
        <v>5</v>
      </c>
      <c r="U271" s="2" t="n">
        <f aca="false">INDEX(Summary!$Q$2:$Q$201,MATCH($B271,Summary!$A$2:$A$201,0))</f>
        <v>12.36</v>
      </c>
      <c r="V271" s="2" t="n">
        <f aca="false">INDEX(Summary!$R$2:$R$201,MATCH($B271,Summary!$A$2:$A$201,0))</f>
        <v>13.72</v>
      </c>
      <c r="W271" s="0" t="str">
        <f aca="false">INDEX(Summary!$S$2:$S$201,MATCH($B271,Summary!$A$2:$A$201,0))</f>
        <v>Bronze</v>
      </c>
      <c r="X271" s="2" t="n">
        <f aca="false">INDEX(Summary!$T$2:$T$201,MATCH($B271,Summary!$A$2:$A$201,0))</f>
        <v>33.46</v>
      </c>
      <c r="Y271" s="0" t="str">
        <f aca="false">INDEX('Reward Model'!$E$18:$E$37,MATCH($E271,'Reward Model'!$A$18:$A$37,0))</f>
        <v>Medium</v>
      </c>
      <c r="Z271" s="4" t="n">
        <f aca="false">ROUND(MIN(1,MAX('Reward Model'!$B$2,INDEX('Reward Model'!$C$12:$C$14,MATCH($K271,'Reward Model'!$A$12:$A$14,0))/$J271)),3)</f>
        <v>1</v>
      </c>
      <c r="AA271" s="2" t="n">
        <f aca="false">IF($I271="Correct",ROUND(INDEX('Reward Model'!$B$12:$B$14,MATCH($K271,'Reward Model'!$A$12:$A$14,0))*Z271,2),0)</f>
        <v>0</v>
      </c>
      <c r="AB271" s="2" t="n">
        <f aca="false">IF($I271="Correct",ROUND(INDEX('Reward Model'!$B$12:$B$14,MATCH($Y271,'Reward Model'!$A$12:$A$14,0))*Z271,2),0)</f>
        <v>0</v>
      </c>
    </row>
    <row r="272" customFormat="false" ht="15" hidden="false" customHeight="false" outlineLevel="0" collapsed="false">
      <c r="A272" s="0" t="s">
        <v>140</v>
      </c>
      <c r="B272" s="0" t="s">
        <v>141</v>
      </c>
      <c r="C272" s="0" t="s">
        <v>30</v>
      </c>
      <c r="D272" s="0" t="s">
        <v>31</v>
      </c>
      <c r="E272" s="0" t="n">
        <v>11</v>
      </c>
      <c r="F272" s="0" t="s">
        <v>61</v>
      </c>
      <c r="G272" s="0" t="s">
        <v>145</v>
      </c>
      <c r="H272" s="0" t="s">
        <v>63</v>
      </c>
      <c r="I272" s="0" t="s">
        <v>39</v>
      </c>
      <c r="J272" s="0" t="n">
        <v>1.39</v>
      </c>
      <c r="K272" s="0" t="s">
        <v>60</v>
      </c>
      <c r="L272" s="0" t="n">
        <f aca="false">INDEX(Summary!$F$2:$F$201,MATCH($B272,Summary!$A$2:$A$201,0))</f>
        <v>20</v>
      </c>
      <c r="M272" s="0" t="n">
        <f aca="false">INDEX(Summary!$I$2:$I$201,MATCH($B272,Summary!$A$2:$A$201,0))</f>
        <v>2</v>
      </c>
      <c r="N272" s="0" t="n">
        <f aca="false">INDEX(Summary!$J$2:$J$201,MATCH($B272,Summary!$A$2:$A$201,0))</f>
        <v>3</v>
      </c>
      <c r="O272" s="2" t="n">
        <f aca="false">INDEX(Summary!$K$2:$K$201,MATCH($B272,Summary!$A$2:$A$201,0))</f>
        <v>10.6</v>
      </c>
      <c r="P272" s="3" t="n">
        <f aca="false">INDEX(Summary!$L$2:$L$201,MATCH($B272,Summary!$A$2:$A$201,0))</f>
        <v>1</v>
      </c>
      <c r="Q272" s="3" t="n">
        <f aca="false">INDEX(Summary!$M$2:$M$201,MATCH($B272,Summary!$A$2:$A$201,0))</f>
        <v>5</v>
      </c>
      <c r="R272" s="2" t="n">
        <f aca="false">INDEX(Summary!$N$2:$N$201,MATCH($B272,Summary!$A$2:$A$201,0))</f>
        <v>10.34</v>
      </c>
      <c r="S272" s="3" t="n">
        <f aca="false">INDEX(Summary!$O$2:$O$201,MATCH($B272,Summary!$A$2:$A$201,0))</f>
        <v>4</v>
      </c>
      <c r="T272" s="3" t="n">
        <f aca="false">INDEX(Summary!$P$2:$P$201,MATCH($B272,Summary!$A$2:$A$201,0))</f>
        <v>5</v>
      </c>
      <c r="U272" s="2" t="n">
        <f aca="false">INDEX(Summary!$Q$2:$Q$201,MATCH($B272,Summary!$A$2:$A$201,0))</f>
        <v>12.36</v>
      </c>
      <c r="V272" s="2" t="n">
        <f aca="false">INDEX(Summary!$R$2:$R$201,MATCH($B272,Summary!$A$2:$A$201,0))</f>
        <v>13.72</v>
      </c>
      <c r="W272" s="0" t="str">
        <f aca="false">INDEX(Summary!$S$2:$S$201,MATCH($B272,Summary!$A$2:$A$201,0))</f>
        <v>Bronze</v>
      </c>
      <c r="X272" s="2" t="n">
        <f aca="false">INDEX(Summary!$T$2:$T$201,MATCH($B272,Summary!$A$2:$A$201,0))</f>
        <v>33.46</v>
      </c>
      <c r="Y272" s="0" t="str">
        <f aca="false">INDEX('Reward Model'!$E$18:$E$37,MATCH($E272,'Reward Model'!$A$18:$A$37,0))</f>
        <v>Medium</v>
      </c>
      <c r="Z272" s="4" t="n">
        <f aca="false">ROUND(MIN(1,MAX('Reward Model'!$B$2,INDEX('Reward Model'!$C$12:$C$14,MATCH($K272,'Reward Model'!$A$12:$A$14,0))/$J272)),3)</f>
        <v>1</v>
      </c>
      <c r="AA272" s="2" t="n">
        <f aca="false">IF($I272="Correct",ROUND(INDEX('Reward Model'!$B$12:$B$14,MATCH($K272,'Reward Model'!$A$12:$A$14,0))*Z272,2),0)</f>
        <v>0</v>
      </c>
      <c r="AB272" s="2" t="n">
        <f aca="false">IF($I272="Correct",ROUND(INDEX('Reward Model'!$B$12:$B$14,MATCH($Y272,'Reward Model'!$A$12:$A$14,0))*Z272,2),0)</f>
        <v>0</v>
      </c>
    </row>
    <row r="273" customFormat="false" ht="15" hidden="false" customHeight="false" outlineLevel="0" collapsed="false">
      <c r="A273" s="0" t="s">
        <v>140</v>
      </c>
      <c r="B273" s="0" t="s">
        <v>141</v>
      </c>
      <c r="C273" s="0" t="s">
        <v>30</v>
      </c>
      <c r="D273" s="0" t="s">
        <v>31</v>
      </c>
      <c r="E273" s="0" t="n">
        <v>12</v>
      </c>
      <c r="F273" s="0" t="s">
        <v>64</v>
      </c>
      <c r="G273" s="0" t="s">
        <v>146</v>
      </c>
      <c r="H273" s="0" t="s">
        <v>65</v>
      </c>
      <c r="I273" s="0" t="s">
        <v>39</v>
      </c>
      <c r="J273" s="0" t="n">
        <v>2.26</v>
      </c>
      <c r="K273" s="0" t="s">
        <v>60</v>
      </c>
      <c r="L273" s="0" t="n">
        <f aca="false">INDEX(Summary!$F$2:$F$201,MATCH($B273,Summary!$A$2:$A$201,0))</f>
        <v>20</v>
      </c>
      <c r="M273" s="0" t="n">
        <f aca="false">INDEX(Summary!$I$2:$I$201,MATCH($B273,Summary!$A$2:$A$201,0))</f>
        <v>2</v>
      </c>
      <c r="N273" s="0" t="n">
        <f aca="false">INDEX(Summary!$J$2:$J$201,MATCH($B273,Summary!$A$2:$A$201,0))</f>
        <v>3</v>
      </c>
      <c r="O273" s="2" t="n">
        <f aca="false">INDEX(Summary!$K$2:$K$201,MATCH($B273,Summary!$A$2:$A$201,0))</f>
        <v>10.6</v>
      </c>
      <c r="P273" s="3" t="n">
        <f aca="false">INDEX(Summary!$L$2:$L$201,MATCH($B273,Summary!$A$2:$A$201,0))</f>
        <v>1</v>
      </c>
      <c r="Q273" s="3" t="n">
        <f aca="false">INDEX(Summary!$M$2:$M$201,MATCH($B273,Summary!$A$2:$A$201,0))</f>
        <v>5</v>
      </c>
      <c r="R273" s="2" t="n">
        <f aca="false">INDEX(Summary!$N$2:$N$201,MATCH($B273,Summary!$A$2:$A$201,0))</f>
        <v>10.34</v>
      </c>
      <c r="S273" s="3" t="n">
        <f aca="false">INDEX(Summary!$O$2:$O$201,MATCH($B273,Summary!$A$2:$A$201,0))</f>
        <v>4</v>
      </c>
      <c r="T273" s="3" t="n">
        <f aca="false">INDEX(Summary!$P$2:$P$201,MATCH($B273,Summary!$A$2:$A$201,0))</f>
        <v>5</v>
      </c>
      <c r="U273" s="2" t="n">
        <f aca="false">INDEX(Summary!$Q$2:$Q$201,MATCH($B273,Summary!$A$2:$A$201,0))</f>
        <v>12.36</v>
      </c>
      <c r="V273" s="2" t="n">
        <f aca="false">INDEX(Summary!$R$2:$R$201,MATCH($B273,Summary!$A$2:$A$201,0))</f>
        <v>13.72</v>
      </c>
      <c r="W273" s="0" t="str">
        <f aca="false">INDEX(Summary!$S$2:$S$201,MATCH($B273,Summary!$A$2:$A$201,0))</f>
        <v>Bronze</v>
      </c>
      <c r="X273" s="2" t="n">
        <f aca="false">INDEX(Summary!$T$2:$T$201,MATCH($B273,Summary!$A$2:$A$201,0))</f>
        <v>33.46</v>
      </c>
      <c r="Y273" s="0" t="str">
        <f aca="false">INDEX('Reward Model'!$E$18:$E$37,MATCH($E273,'Reward Model'!$A$18:$A$37,0))</f>
        <v>Medium</v>
      </c>
      <c r="Z273" s="4" t="n">
        <f aca="false">ROUND(MIN(1,MAX('Reward Model'!$B$2,INDEX('Reward Model'!$C$12:$C$14,MATCH($K273,'Reward Model'!$A$12:$A$14,0))/$J273)),3)</f>
        <v>0.796</v>
      </c>
      <c r="AA273" s="2" t="n">
        <f aca="false">IF($I273="Correct",ROUND(INDEX('Reward Model'!$B$12:$B$14,MATCH($K273,'Reward Model'!$A$12:$A$14,0))*Z273,2),0)</f>
        <v>0</v>
      </c>
      <c r="AB273" s="2" t="n">
        <f aca="false">IF($I273="Correct",ROUND(INDEX('Reward Model'!$B$12:$B$14,MATCH($Y273,'Reward Model'!$A$12:$A$14,0))*Z273,2),0)</f>
        <v>0</v>
      </c>
    </row>
    <row r="274" customFormat="false" ht="15" hidden="false" customHeight="false" outlineLevel="0" collapsed="false">
      <c r="A274" s="0" t="s">
        <v>140</v>
      </c>
      <c r="B274" s="0" t="s">
        <v>141</v>
      </c>
      <c r="C274" s="0" t="s">
        <v>30</v>
      </c>
      <c r="D274" s="0" t="s">
        <v>31</v>
      </c>
      <c r="E274" s="0" t="n">
        <v>13</v>
      </c>
      <c r="F274" s="0" t="s">
        <v>66</v>
      </c>
      <c r="G274" s="0" t="s">
        <v>67</v>
      </c>
      <c r="H274" s="0" t="s">
        <v>67</v>
      </c>
      <c r="I274" s="0" t="s">
        <v>34</v>
      </c>
      <c r="J274" s="0" t="n">
        <v>1.36</v>
      </c>
      <c r="K274" s="0" t="s">
        <v>60</v>
      </c>
      <c r="L274" s="0" t="n">
        <f aca="false">INDEX(Summary!$F$2:$F$201,MATCH($B274,Summary!$A$2:$A$201,0))</f>
        <v>20</v>
      </c>
      <c r="M274" s="0" t="n">
        <f aca="false">INDEX(Summary!$I$2:$I$201,MATCH($B274,Summary!$A$2:$A$201,0))</f>
        <v>2</v>
      </c>
      <c r="N274" s="0" t="n">
        <f aca="false">INDEX(Summary!$J$2:$J$201,MATCH($B274,Summary!$A$2:$A$201,0))</f>
        <v>3</v>
      </c>
      <c r="O274" s="2" t="n">
        <f aca="false">INDEX(Summary!$K$2:$K$201,MATCH($B274,Summary!$A$2:$A$201,0))</f>
        <v>10.6</v>
      </c>
      <c r="P274" s="3" t="n">
        <f aca="false">INDEX(Summary!$L$2:$L$201,MATCH($B274,Summary!$A$2:$A$201,0))</f>
        <v>1</v>
      </c>
      <c r="Q274" s="3" t="n">
        <f aca="false">INDEX(Summary!$M$2:$M$201,MATCH($B274,Summary!$A$2:$A$201,0))</f>
        <v>5</v>
      </c>
      <c r="R274" s="2" t="n">
        <f aca="false">INDEX(Summary!$N$2:$N$201,MATCH($B274,Summary!$A$2:$A$201,0))</f>
        <v>10.34</v>
      </c>
      <c r="S274" s="3" t="n">
        <f aca="false">INDEX(Summary!$O$2:$O$201,MATCH($B274,Summary!$A$2:$A$201,0))</f>
        <v>4</v>
      </c>
      <c r="T274" s="3" t="n">
        <f aca="false">INDEX(Summary!$P$2:$P$201,MATCH($B274,Summary!$A$2:$A$201,0))</f>
        <v>5</v>
      </c>
      <c r="U274" s="2" t="n">
        <f aca="false">INDEX(Summary!$Q$2:$Q$201,MATCH($B274,Summary!$A$2:$A$201,0))</f>
        <v>12.36</v>
      </c>
      <c r="V274" s="2" t="n">
        <f aca="false">INDEX(Summary!$R$2:$R$201,MATCH($B274,Summary!$A$2:$A$201,0))</f>
        <v>13.72</v>
      </c>
      <c r="W274" s="0" t="str">
        <f aca="false">INDEX(Summary!$S$2:$S$201,MATCH($B274,Summary!$A$2:$A$201,0))</f>
        <v>Bronze</v>
      </c>
      <c r="X274" s="2" t="n">
        <f aca="false">INDEX(Summary!$T$2:$T$201,MATCH($B274,Summary!$A$2:$A$201,0))</f>
        <v>33.46</v>
      </c>
      <c r="Y274" s="0" t="str">
        <f aca="false">INDEX('Reward Model'!$E$18:$E$37,MATCH($E274,'Reward Model'!$A$18:$A$37,0))</f>
        <v>Medium</v>
      </c>
      <c r="Z274" s="4" t="n">
        <f aca="false">ROUND(MIN(1,MAX('Reward Model'!$B$2,INDEX('Reward Model'!$C$12:$C$14,MATCH($K274,'Reward Model'!$A$12:$A$14,0))/$J274)),3)</f>
        <v>1</v>
      </c>
      <c r="AA274" s="2" t="n">
        <f aca="false">IF($I274="Correct",ROUND(INDEX('Reward Model'!$B$12:$B$14,MATCH($K274,'Reward Model'!$A$12:$A$14,0))*Z274,2),0)</f>
        <v>2</v>
      </c>
      <c r="AB274" s="2" t="n">
        <f aca="false">IF($I274="Correct",ROUND(INDEX('Reward Model'!$B$12:$B$14,MATCH($Y274,'Reward Model'!$A$12:$A$14,0))*Z274,2),0)</f>
        <v>2</v>
      </c>
    </row>
    <row r="275" customFormat="false" ht="15" hidden="false" customHeight="false" outlineLevel="0" collapsed="false">
      <c r="A275" s="0" t="s">
        <v>140</v>
      </c>
      <c r="B275" s="0" t="s">
        <v>141</v>
      </c>
      <c r="C275" s="0" t="s">
        <v>30</v>
      </c>
      <c r="D275" s="0" t="s">
        <v>31</v>
      </c>
      <c r="E275" s="0" t="n">
        <v>14</v>
      </c>
      <c r="F275" s="0" t="s">
        <v>68</v>
      </c>
      <c r="G275" s="0" t="s">
        <v>118</v>
      </c>
      <c r="H275" s="0" t="s">
        <v>51</v>
      </c>
      <c r="I275" s="0" t="s">
        <v>39</v>
      </c>
      <c r="J275" s="0" t="n">
        <v>1.74</v>
      </c>
      <c r="K275" s="0" t="s">
        <v>60</v>
      </c>
      <c r="L275" s="0" t="n">
        <f aca="false">INDEX(Summary!$F$2:$F$201,MATCH($B275,Summary!$A$2:$A$201,0))</f>
        <v>20</v>
      </c>
      <c r="M275" s="0" t="n">
        <f aca="false">INDEX(Summary!$I$2:$I$201,MATCH($B275,Summary!$A$2:$A$201,0))</f>
        <v>2</v>
      </c>
      <c r="N275" s="0" t="n">
        <f aca="false">INDEX(Summary!$J$2:$J$201,MATCH($B275,Summary!$A$2:$A$201,0))</f>
        <v>3</v>
      </c>
      <c r="O275" s="2" t="n">
        <f aca="false">INDEX(Summary!$K$2:$K$201,MATCH($B275,Summary!$A$2:$A$201,0))</f>
        <v>10.6</v>
      </c>
      <c r="P275" s="3" t="n">
        <f aca="false">INDEX(Summary!$L$2:$L$201,MATCH($B275,Summary!$A$2:$A$201,0))</f>
        <v>1</v>
      </c>
      <c r="Q275" s="3" t="n">
        <f aca="false">INDEX(Summary!$M$2:$M$201,MATCH($B275,Summary!$A$2:$A$201,0))</f>
        <v>5</v>
      </c>
      <c r="R275" s="2" t="n">
        <f aca="false">INDEX(Summary!$N$2:$N$201,MATCH($B275,Summary!$A$2:$A$201,0))</f>
        <v>10.34</v>
      </c>
      <c r="S275" s="3" t="n">
        <f aca="false">INDEX(Summary!$O$2:$O$201,MATCH($B275,Summary!$A$2:$A$201,0))</f>
        <v>4</v>
      </c>
      <c r="T275" s="3" t="n">
        <f aca="false">INDEX(Summary!$P$2:$P$201,MATCH($B275,Summary!$A$2:$A$201,0))</f>
        <v>5</v>
      </c>
      <c r="U275" s="2" t="n">
        <f aca="false">INDEX(Summary!$Q$2:$Q$201,MATCH($B275,Summary!$A$2:$A$201,0))</f>
        <v>12.36</v>
      </c>
      <c r="V275" s="2" t="n">
        <f aca="false">INDEX(Summary!$R$2:$R$201,MATCH($B275,Summary!$A$2:$A$201,0))</f>
        <v>13.72</v>
      </c>
      <c r="W275" s="0" t="str">
        <f aca="false">INDEX(Summary!$S$2:$S$201,MATCH($B275,Summary!$A$2:$A$201,0))</f>
        <v>Bronze</v>
      </c>
      <c r="X275" s="2" t="n">
        <f aca="false">INDEX(Summary!$T$2:$T$201,MATCH($B275,Summary!$A$2:$A$201,0))</f>
        <v>33.46</v>
      </c>
      <c r="Y275" s="0" t="str">
        <f aca="false">INDEX('Reward Model'!$E$18:$E$37,MATCH($E275,'Reward Model'!$A$18:$A$37,0))</f>
        <v>Medium</v>
      </c>
      <c r="Z275" s="4" t="n">
        <f aca="false">ROUND(MIN(1,MAX('Reward Model'!$B$2,INDEX('Reward Model'!$C$12:$C$14,MATCH($K275,'Reward Model'!$A$12:$A$14,0))/$J275)),3)</f>
        <v>1</v>
      </c>
      <c r="AA275" s="2" t="n">
        <f aca="false">IF($I275="Correct",ROUND(INDEX('Reward Model'!$B$12:$B$14,MATCH($K275,'Reward Model'!$A$12:$A$14,0))*Z275,2),0)</f>
        <v>0</v>
      </c>
      <c r="AB275" s="2" t="n">
        <f aca="false">IF($I275="Correct",ROUND(INDEX('Reward Model'!$B$12:$B$14,MATCH($Y275,'Reward Model'!$A$12:$A$14,0))*Z275,2),0)</f>
        <v>0</v>
      </c>
    </row>
    <row r="276" customFormat="false" ht="15" hidden="false" customHeight="false" outlineLevel="0" collapsed="false">
      <c r="A276" s="0" t="s">
        <v>140</v>
      </c>
      <c r="B276" s="0" t="s">
        <v>141</v>
      </c>
      <c r="C276" s="0" t="s">
        <v>30</v>
      </c>
      <c r="D276" s="0" t="s">
        <v>31</v>
      </c>
      <c r="E276" s="0" t="n">
        <v>15</v>
      </c>
      <c r="F276" s="0" t="s">
        <v>69</v>
      </c>
      <c r="G276" s="0" t="s">
        <v>131</v>
      </c>
      <c r="H276" s="0" t="s">
        <v>70</v>
      </c>
      <c r="I276" s="0" t="s">
        <v>39</v>
      </c>
      <c r="J276" s="0" t="n">
        <v>1.97</v>
      </c>
      <c r="K276" s="0" t="s">
        <v>60</v>
      </c>
      <c r="L276" s="0" t="n">
        <f aca="false">INDEX(Summary!$F$2:$F$201,MATCH($B276,Summary!$A$2:$A$201,0))</f>
        <v>20</v>
      </c>
      <c r="M276" s="0" t="n">
        <f aca="false">INDEX(Summary!$I$2:$I$201,MATCH($B276,Summary!$A$2:$A$201,0))</f>
        <v>2</v>
      </c>
      <c r="N276" s="0" t="n">
        <f aca="false">INDEX(Summary!$J$2:$J$201,MATCH($B276,Summary!$A$2:$A$201,0))</f>
        <v>3</v>
      </c>
      <c r="O276" s="2" t="n">
        <f aca="false">INDEX(Summary!$K$2:$K$201,MATCH($B276,Summary!$A$2:$A$201,0))</f>
        <v>10.6</v>
      </c>
      <c r="P276" s="3" t="n">
        <f aca="false">INDEX(Summary!$L$2:$L$201,MATCH($B276,Summary!$A$2:$A$201,0))</f>
        <v>1</v>
      </c>
      <c r="Q276" s="3" t="n">
        <f aca="false">INDEX(Summary!$M$2:$M$201,MATCH($B276,Summary!$A$2:$A$201,0))</f>
        <v>5</v>
      </c>
      <c r="R276" s="2" t="n">
        <f aca="false">INDEX(Summary!$N$2:$N$201,MATCH($B276,Summary!$A$2:$A$201,0))</f>
        <v>10.34</v>
      </c>
      <c r="S276" s="3" t="n">
        <f aca="false">INDEX(Summary!$O$2:$O$201,MATCH($B276,Summary!$A$2:$A$201,0))</f>
        <v>4</v>
      </c>
      <c r="T276" s="3" t="n">
        <f aca="false">INDEX(Summary!$P$2:$P$201,MATCH($B276,Summary!$A$2:$A$201,0))</f>
        <v>5</v>
      </c>
      <c r="U276" s="2" t="n">
        <f aca="false">INDEX(Summary!$Q$2:$Q$201,MATCH($B276,Summary!$A$2:$A$201,0))</f>
        <v>12.36</v>
      </c>
      <c r="V276" s="2" t="n">
        <f aca="false">INDEX(Summary!$R$2:$R$201,MATCH($B276,Summary!$A$2:$A$201,0))</f>
        <v>13.72</v>
      </c>
      <c r="W276" s="0" t="str">
        <f aca="false">INDEX(Summary!$S$2:$S$201,MATCH($B276,Summary!$A$2:$A$201,0))</f>
        <v>Bronze</v>
      </c>
      <c r="X276" s="2" t="n">
        <f aca="false">INDEX(Summary!$T$2:$T$201,MATCH($B276,Summary!$A$2:$A$201,0))</f>
        <v>33.46</v>
      </c>
      <c r="Y276" s="0" t="str">
        <f aca="false">INDEX('Reward Model'!$E$18:$E$37,MATCH($E276,'Reward Model'!$A$18:$A$37,0))</f>
        <v>Medium</v>
      </c>
      <c r="Z276" s="4" t="n">
        <f aca="false">ROUND(MIN(1,MAX('Reward Model'!$B$2,INDEX('Reward Model'!$C$12:$C$14,MATCH($K276,'Reward Model'!$A$12:$A$14,0))/$J276)),3)</f>
        <v>0.914</v>
      </c>
      <c r="AA276" s="2" t="n">
        <f aca="false">IF($I276="Correct",ROUND(INDEX('Reward Model'!$B$12:$B$14,MATCH($K276,'Reward Model'!$A$12:$A$14,0))*Z276,2),0)</f>
        <v>0</v>
      </c>
      <c r="AB276" s="2" t="n">
        <f aca="false">IF($I276="Correct",ROUND(INDEX('Reward Model'!$B$12:$B$14,MATCH($Y276,'Reward Model'!$A$12:$A$14,0))*Z276,2),0)</f>
        <v>0</v>
      </c>
    </row>
    <row r="277" customFormat="false" ht="15" hidden="false" customHeight="false" outlineLevel="0" collapsed="false">
      <c r="A277" s="0" t="s">
        <v>140</v>
      </c>
      <c r="B277" s="0" t="s">
        <v>141</v>
      </c>
      <c r="C277" s="0" t="s">
        <v>30</v>
      </c>
      <c r="D277" s="0" t="s">
        <v>31</v>
      </c>
      <c r="E277" s="0" t="n">
        <v>16</v>
      </c>
      <c r="F277" s="0" t="s">
        <v>71</v>
      </c>
      <c r="G277" s="0" t="s">
        <v>72</v>
      </c>
      <c r="H277" s="0" t="s">
        <v>72</v>
      </c>
      <c r="I277" s="0" t="s">
        <v>34</v>
      </c>
      <c r="J277" s="0" t="n">
        <v>1.84</v>
      </c>
      <c r="K277" s="0" t="s">
        <v>73</v>
      </c>
      <c r="L277" s="0" t="n">
        <f aca="false">INDEX(Summary!$F$2:$F$201,MATCH($B277,Summary!$A$2:$A$201,0))</f>
        <v>20</v>
      </c>
      <c r="M277" s="0" t="n">
        <f aca="false">INDEX(Summary!$I$2:$I$201,MATCH($B277,Summary!$A$2:$A$201,0))</f>
        <v>2</v>
      </c>
      <c r="N277" s="0" t="n">
        <f aca="false">INDEX(Summary!$J$2:$J$201,MATCH($B277,Summary!$A$2:$A$201,0))</f>
        <v>3</v>
      </c>
      <c r="O277" s="2" t="n">
        <f aca="false">INDEX(Summary!$K$2:$K$201,MATCH($B277,Summary!$A$2:$A$201,0))</f>
        <v>10.6</v>
      </c>
      <c r="P277" s="3" t="n">
        <f aca="false">INDEX(Summary!$L$2:$L$201,MATCH($B277,Summary!$A$2:$A$201,0))</f>
        <v>1</v>
      </c>
      <c r="Q277" s="3" t="n">
        <f aca="false">INDEX(Summary!$M$2:$M$201,MATCH($B277,Summary!$A$2:$A$201,0))</f>
        <v>5</v>
      </c>
      <c r="R277" s="2" t="n">
        <f aca="false">INDEX(Summary!$N$2:$N$201,MATCH($B277,Summary!$A$2:$A$201,0))</f>
        <v>10.34</v>
      </c>
      <c r="S277" s="3" t="n">
        <f aca="false">INDEX(Summary!$O$2:$O$201,MATCH($B277,Summary!$A$2:$A$201,0))</f>
        <v>4</v>
      </c>
      <c r="T277" s="3" t="n">
        <f aca="false">INDEX(Summary!$P$2:$P$201,MATCH($B277,Summary!$A$2:$A$201,0))</f>
        <v>5</v>
      </c>
      <c r="U277" s="2" t="n">
        <f aca="false">INDEX(Summary!$Q$2:$Q$201,MATCH($B277,Summary!$A$2:$A$201,0))</f>
        <v>12.36</v>
      </c>
      <c r="V277" s="2" t="n">
        <f aca="false">INDEX(Summary!$R$2:$R$201,MATCH($B277,Summary!$A$2:$A$201,0))</f>
        <v>13.72</v>
      </c>
      <c r="W277" s="0" t="str">
        <f aca="false">INDEX(Summary!$S$2:$S$201,MATCH($B277,Summary!$A$2:$A$201,0))</f>
        <v>Bronze</v>
      </c>
      <c r="X277" s="2" t="n">
        <f aca="false">INDEX(Summary!$T$2:$T$201,MATCH($B277,Summary!$A$2:$A$201,0))</f>
        <v>33.46</v>
      </c>
      <c r="Y277" s="0" t="str">
        <f aca="false">INDEX('Reward Model'!$E$18:$E$37,MATCH($E277,'Reward Model'!$A$18:$A$37,0))</f>
        <v>High</v>
      </c>
      <c r="Z277" s="4" t="n">
        <f aca="false">ROUND(MIN(1,MAX('Reward Model'!$B$2,INDEX('Reward Model'!$C$12:$C$14,MATCH($K277,'Reward Model'!$A$12:$A$14,0))/$J277)),3)</f>
        <v>1</v>
      </c>
      <c r="AA277" s="2" t="n">
        <f aca="false">IF($I277="Correct",ROUND(INDEX('Reward Model'!$B$12:$B$14,MATCH($K277,'Reward Model'!$A$12:$A$14,0))*Z277,2),0)</f>
        <v>3</v>
      </c>
      <c r="AB277" s="2" t="n">
        <f aca="false">IF($I277="Correct",ROUND(INDEX('Reward Model'!$B$12:$B$14,MATCH($Y277,'Reward Model'!$A$12:$A$14,0))*Z277,2),0)</f>
        <v>3</v>
      </c>
    </row>
    <row r="278" customFormat="false" ht="15" hidden="false" customHeight="false" outlineLevel="0" collapsed="false">
      <c r="A278" s="0" t="s">
        <v>140</v>
      </c>
      <c r="B278" s="0" t="s">
        <v>141</v>
      </c>
      <c r="C278" s="0" t="s">
        <v>30</v>
      </c>
      <c r="D278" s="0" t="s">
        <v>31</v>
      </c>
      <c r="E278" s="0" t="n">
        <v>17</v>
      </c>
      <c r="F278" s="0" t="s">
        <v>74</v>
      </c>
      <c r="G278" s="0" t="s">
        <v>105</v>
      </c>
      <c r="H278" s="0" t="s">
        <v>75</v>
      </c>
      <c r="I278" s="0" t="s">
        <v>39</v>
      </c>
      <c r="J278" s="0" t="n">
        <v>2.19</v>
      </c>
      <c r="K278" s="0" t="s">
        <v>73</v>
      </c>
      <c r="L278" s="0" t="n">
        <f aca="false">INDEX(Summary!$F$2:$F$201,MATCH($B278,Summary!$A$2:$A$201,0))</f>
        <v>20</v>
      </c>
      <c r="M278" s="0" t="n">
        <f aca="false">INDEX(Summary!$I$2:$I$201,MATCH($B278,Summary!$A$2:$A$201,0))</f>
        <v>2</v>
      </c>
      <c r="N278" s="0" t="n">
        <f aca="false">INDEX(Summary!$J$2:$J$201,MATCH($B278,Summary!$A$2:$A$201,0))</f>
        <v>3</v>
      </c>
      <c r="O278" s="2" t="n">
        <f aca="false">INDEX(Summary!$K$2:$K$201,MATCH($B278,Summary!$A$2:$A$201,0))</f>
        <v>10.6</v>
      </c>
      <c r="P278" s="3" t="n">
        <f aca="false">INDEX(Summary!$L$2:$L$201,MATCH($B278,Summary!$A$2:$A$201,0))</f>
        <v>1</v>
      </c>
      <c r="Q278" s="3" t="n">
        <f aca="false">INDEX(Summary!$M$2:$M$201,MATCH($B278,Summary!$A$2:$A$201,0))</f>
        <v>5</v>
      </c>
      <c r="R278" s="2" t="n">
        <f aca="false">INDEX(Summary!$N$2:$N$201,MATCH($B278,Summary!$A$2:$A$201,0))</f>
        <v>10.34</v>
      </c>
      <c r="S278" s="3" t="n">
        <f aca="false">INDEX(Summary!$O$2:$O$201,MATCH($B278,Summary!$A$2:$A$201,0))</f>
        <v>4</v>
      </c>
      <c r="T278" s="3" t="n">
        <f aca="false">INDEX(Summary!$P$2:$P$201,MATCH($B278,Summary!$A$2:$A$201,0))</f>
        <v>5</v>
      </c>
      <c r="U278" s="2" t="n">
        <f aca="false">INDEX(Summary!$Q$2:$Q$201,MATCH($B278,Summary!$A$2:$A$201,0))</f>
        <v>12.36</v>
      </c>
      <c r="V278" s="2" t="n">
        <f aca="false">INDEX(Summary!$R$2:$R$201,MATCH($B278,Summary!$A$2:$A$201,0))</f>
        <v>13.72</v>
      </c>
      <c r="W278" s="0" t="str">
        <f aca="false">INDEX(Summary!$S$2:$S$201,MATCH($B278,Summary!$A$2:$A$201,0))</f>
        <v>Bronze</v>
      </c>
      <c r="X278" s="2" t="n">
        <f aca="false">INDEX(Summary!$T$2:$T$201,MATCH($B278,Summary!$A$2:$A$201,0))</f>
        <v>33.46</v>
      </c>
      <c r="Y278" s="0" t="str">
        <f aca="false">INDEX('Reward Model'!$E$18:$E$37,MATCH($E278,'Reward Model'!$A$18:$A$37,0))</f>
        <v>High</v>
      </c>
      <c r="Z278" s="4" t="n">
        <f aca="false">ROUND(MIN(1,MAX('Reward Model'!$B$2,INDEX('Reward Model'!$C$12:$C$14,MATCH($K278,'Reward Model'!$A$12:$A$14,0))/$J278)),3)</f>
        <v>0.913</v>
      </c>
      <c r="AA278" s="2" t="n">
        <f aca="false">IF($I278="Correct",ROUND(INDEX('Reward Model'!$B$12:$B$14,MATCH($K278,'Reward Model'!$A$12:$A$14,0))*Z278,2),0)</f>
        <v>0</v>
      </c>
      <c r="AB278" s="2" t="n">
        <f aca="false">IF($I278="Correct",ROUND(INDEX('Reward Model'!$B$12:$B$14,MATCH($Y278,'Reward Model'!$A$12:$A$14,0))*Z278,2),0)</f>
        <v>0</v>
      </c>
    </row>
    <row r="279" customFormat="false" ht="15" hidden="false" customHeight="false" outlineLevel="0" collapsed="false">
      <c r="A279" s="0" t="s">
        <v>140</v>
      </c>
      <c r="B279" s="0" t="s">
        <v>141</v>
      </c>
      <c r="C279" s="0" t="s">
        <v>30</v>
      </c>
      <c r="D279" s="0" t="s">
        <v>31</v>
      </c>
      <c r="E279" s="0" t="n">
        <v>18</v>
      </c>
      <c r="F279" s="0" t="s">
        <v>76</v>
      </c>
      <c r="G279" s="0" t="s">
        <v>128</v>
      </c>
      <c r="H279" s="0" t="s">
        <v>77</v>
      </c>
      <c r="I279" s="0" t="s">
        <v>39</v>
      </c>
      <c r="J279" s="0" t="n">
        <v>2.08</v>
      </c>
      <c r="K279" s="0" t="s">
        <v>73</v>
      </c>
      <c r="L279" s="0" t="n">
        <f aca="false">INDEX(Summary!$F$2:$F$201,MATCH($B279,Summary!$A$2:$A$201,0))</f>
        <v>20</v>
      </c>
      <c r="M279" s="0" t="n">
        <f aca="false">INDEX(Summary!$I$2:$I$201,MATCH($B279,Summary!$A$2:$A$201,0))</f>
        <v>2</v>
      </c>
      <c r="N279" s="0" t="n">
        <f aca="false">INDEX(Summary!$J$2:$J$201,MATCH($B279,Summary!$A$2:$A$201,0))</f>
        <v>3</v>
      </c>
      <c r="O279" s="2" t="n">
        <f aca="false">INDEX(Summary!$K$2:$K$201,MATCH($B279,Summary!$A$2:$A$201,0))</f>
        <v>10.6</v>
      </c>
      <c r="P279" s="3" t="n">
        <f aca="false">INDEX(Summary!$L$2:$L$201,MATCH($B279,Summary!$A$2:$A$201,0))</f>
        <v>1</v>
      </c>
      <c r="Q279" s="3" t="n">
        <f aca="false">INDEX(Summary!$M$2:$M$201,MATCH($B279,Summary!$A$2:$A$201,0))</f>
        <v>5</v>
      </c>
      <c r="R279" s="2" t="n">
        <f aca="false">INDEX(Summary!$N$2:$N$201,MATCH($B279,Summary!$A$2:$A$201,0))</f>
        <v>10.34</v>
      </c>
      <c r="S279" s="3" t="n">
        <f aca="false">INDEX(Summary!$O$2:$O$201,MATCH($B279,Summary!$A$2:$A$201,0))</f>
        <v>4</v>
      </c>
      <c r="T279" s="3" t="n">
        <f aca="false">INDEX(Summary!$P$2:$P$201,MATCH($B279,Summary!$A$2:$A$201,0))</f>
        <v>5</v>
      </c>
      <c r="U279" s="2" t="n">
        <f aca="false">INDEX(Summary!$Q$2:$Q$201,MATCH($B279,Summary!$A$2:$A$201,0))</f>
        <v>12.36</v>
      </c>
      <c r="V279" s="2" t="n">
        <f aca="false">INDEX(Summary!$R$2:$R$201,MATCH($B279,Summary!$A$2:$A$201,0))</f>
        <v>13.72</v>
      </c>
      <c r="W279" s="0" t="str">
        <f aca="false">INDEX(Summary!$S$2:$S$201,MATCH($B279,Summary!$A$2:$A$201,0))</f>
        <v>Bronze</v>
      </c>
      <c r="X279" s="2" t="n">
        <f aca="false">INDEX(Summary!$T$2:$T$201,MATCH($B279,Summary!$A$2:$A$201,0))</f>
        <v>33.46</v>
      </c>
      <c r="Y279" s="0" t="str">
        <f aca="false">INDEX('Reward Model'!$E$18:$E$37,MATCH($E279,'Reward Model'!$A$18:$A$37,0))</f>
        <v>High</v>
      </c>
      <c r="Z279" s="4" t="n">
        <f aca="false">ROUND(MIN(1,MAX('Reward Model'!$B$2,INDEX('Reward Model'!$C$12:$C$14,MATCH($K279,'Reward Model'!$A$12:$A$14,0))/$J279)),3)</f>
        <v>0.962</v>
      </c>
      <c r="AA279" s="2" t="n">
        <f aca="false">IF($I279="Correct",ROUND(INDEX('Reward Model'!$B$12:$B$14,MATCH($K279,'Reward Model'!$A$12:$A$14,0))*Z279,2),0)</f>
        <v>0</v>
      </c>
      <c r="AB279" s="2" t="n">
        <f aca="false">IF($I279="Correct",ROUND(INDEX('Reward Model'!$B$12:$B$14,MATCH($Y279,'Reward Model'!$A$12:$A$14,0))*Z279,2),0)</f>
        <v>0</v>
      </c>
    </row>
    <row r="280" customFormat="false" ht="15" hidden="false" customHeight="false" outlineLevel="0" collapsed="false">
      <c r="A280" s="0" t="s">
        <v>140</v>
      </c>
      <c r="B280" s="0" t="s">
        <v>141</v>
      </c>
      <c r="C280" s="0" t="s">
        <v>30</v>
      </c>
      <c r="D280" s="0" t="s">
        <v>31</v>
      </c>
      <c r="E280" s="0" t="n">
        <v>19</v>
      </c>
      <c r="F280" s="0" t="s">
        <v>78</v>
      </c>
      <c r="G280" s="0" t="s">
        <v>51</v>
      </c>
      <c r="H280" s="0" t="s">
        <v>80</v>
      </c>
      <c r="I280" s="0" t="s">
        <v>39</v>
      </c>
      <c r="J280" s="0" t="n">
        <v>2.51</v>
      </c>
      <c r="K280" s="0" t="s">
        <v>73</v>
      </c>
      <c r="L280" s="0" t="n">
        <f aca="false">INDEX(Summary!$F$2:$F$201,MATCH($B280,Summary!$A$2:$A$201,0))</f>
        <v>20</v>
      </c>
      <c r="M280" s="0" t="n">
        <f aca="false">INDEX(Summary!$I$2:$I$201,MATCH($B280,Summary!$A$2:$A$201,0))</f>
        <v>2</v>
      </c>
      <c r="N280" s="0" t="n">
        <f aca="false">INDEX(Summary!$J$2:$J$201,MATCH($B280,Summary!$A$2:$A$201,0))</f>
        <v>3</v>
      </c>
      <c r="O280" s="2" t="n">
        <f aca="false">INDEX(Summary!$K$2:$K$201,MATCH($B280,Summary!$A$2:$A$201,0))</f>
        <v>10.6</v>
      </c>
      <c r="P280" s="3" t="n">
        <f aca="false">INDEX(Summary!$L$2:$L$201,MATCH($B280,Summary!$A$2:$A$201,0))</f>
        <v>1</v>
      </c>
      <c r="Q280" s="3" t="n">
        <f aca="false">INDEX(Summary!$M$2:$M$201,MATCH($B280,Summary!$A$2:$A$201,0))</f>
        <v>5</v>
      </c>
      <c r="R280" s="2" t="n">
        <f aca="false">INDEX(Summary!$N$2:$N$201,MATCH($B280,Summary!$A$2:$A$201,0))</f>
        <v>10.34</v>
      </c>
      <c r="S280" s="3" t="n">
        <f aca="false">INDEX(Summary!$O$2:$O$201,MATCH($B280,Summary!$A$2:$A$201,0))</f>
        <v>4</v>
      </c>
      <c r="T280" s="3" t="n">
        <f aca="false">INDEX(Summary!$P$2:$P$201,MATCH($B280,Summary!$A$2:$A$201,0))</f>
        <v>5</v>
      </c>
      <c r="U280" s="2" t="n">
        <f aca="false">INDEX(Summary!$Q$2:$Q$201,MATCH($B280,Summary!$A$2:$A$201,0))</f>
        <v>12.36</v>
      </c>
      <c r="V280" s="2" t="n">
        <f aca="false">INDEX(Summary!$R$2:$R$201,MATCH($B280,Summary!$A$2:$A$201,0))</f>
        <v>13.72</v>
      </c>
      <c r="W280" s="0" t="str">
        <f aca="false">INDEX(Summary!$S$2:$S$201,MATCH($B280,Summary!$A$2:$A$201,0))</f>
        <v>Bronze</v>
      </c>
      <c r="X280" s="2" t="n">
        <f aca="false">INDEX(Summary!$T$2:$T$201,MATCH($B280,Summary!$A$2:$A$201,0))</f>
        <v>33.46</v>
      </c>
      <c r="Y280" s="0" t="str">
        <f aca="false">INDEX('Reward Model'!$E$18:$E$37,MATCH($E280,'Reward Model'!$A$18:$A$37,0))</f>
        <v>High</v>
      </c>
      <c r="Z280" s="4" t="n">
        <f aca="false">ROUND(MIN(1,MAX('Reward Model'!$B$2,INDEX('Reward Model'!$C$12:$C$14,MATCH($K280,'Reward Model'!$A$12:$A$14,0))/$J280)),3)</f>
        <v>0.797</v>
      </c>
      <c r="AA280" s="2" t="n">
        <f aca="false">IF($I280="Correct",ROUND(INDEX('Reward Model'!$B$12:$B$14,MATCH($K280,'Reward Model'!$A$12:$A$14,0))*Z280,2),0)</f>
        <v>0</v>
      </c>
      <c r="AB280" s="2" t="n">
        <f aca="false">IF($I280="Correct",ROUND(INDEX('Reward Model'!$B$12:$B$14,MATCH($Y280,'Reward Model'!$A$12:$A$14,0))*Z280,2),0)</f>
        <v>0</v>
      </c>
    </row>
    <row r="281" customFormat="false" ht="15" hidden="false" customHeight="false" outlineLevel="0" collapsed="false">
      <c r="A281" s="0" t="s">
        <v>140</v>
      </c>
      <c r="B281" s="0" t="s">
        <v>141</v>
      </c>
      <c r="C281" s="0" t="s">
        <v>30</v>
      </c>
      <c r="D281" s="0" t="s">
        <v>31</v>
      </c>
      <c r="E281" s="0" t="n">
        <v>20</v>
      </c>
      <c r="F281" s="0" t="s">
        <v>81</v>
      </c>
      <c r="G281" s="0" t="s">
        <v>83</v>
      </c>
      <c r="H281" s="0" t="s">
        <v>83</v>
      </c>
      <c r="I281" s="0" t="s">
        <v>34</v>
      </c>
      <c r="J281" s="0" t="n">
        <v>1.98</v>
      </c>
      <c r="K281" s="0" t="s">
        <v>73</v>
      </c>
      <c r="L281" s="0" t="n">
        <f aca="false">INDEX(Summary!$F$2:$F$201,MATCH($B281,Summary!$A$2:$A$201,0))</f>
        <v>20</v>
      </c>
      <c r="M281" s="0" t="n">
        <f aca="false">INDEX(Summary!$I$2:$I$201,MATCH($B281,Summary!$A$2:$A$201,0))</f>
        <v>2</v>
      </c>
      <c r="N281" s="0" t="n">
        <f aca="false">INDEX(Summary!$J$2:$J$201,MATCH($B281,Summary!$A$2:$A$201,0))</f>
        <v>3</v>
      </c>
      <c r="O281" s="2" t="n">
        <f aca="false">INDEX(Summary!$K$2:$K$201,MATCH($B281,Summary!$A$2:$A$201,0))</f>
        <v>10.6</v>
      </c>
      <c r="P281" s="3" t="n">
        <f aca="false">INDEX(Summary!$L$2:$L$201,MATCH($B281,Summary!$A$2:$A$201,0))</f>
        <v>1</v>
      </c>
      <c r="Q281" s="3" t="n">
        <f aca="false">INDEX(Summary!$M$2:$M$201,MATCH($B281,Summary!$A$2:$A$201,0))</f>
        <v>5</v>
      </c>
      <c r="R281" s="2" t="n">
        <f aca="false">INDEX(Summary!$N$2:$N$201,MATCH($B281,Summary!$A$2:$A$201,0))</f>
        <v>10.34</v>
      </c>
      <c r="S281" s="3" t="n">
        <f aca="false">INDEX(Summary!$O$2:$O$201,MATCH($B281,Summary!$A$2:$A$201,0))</f>
        <v>4</v>
      </c>
      <c r="T281" s="3" t="n">
        <f aca="false">INDEX(Summary!$P$2:$P$201,MATCH($B281,Summary!$A$2:$A$201,0))</f>
        <v>5</v>
      </c>
      <c r="U281" s="2" t="n">
        <f aca="false">INDEX(Summary!$Q$2:$Q$201,MATCH($B281,Summary!$A$2:$A$201,0))</f>
        <v>12.36</v>
      </c>
      <c r="V281" s="2" t="n">
        <f aca="false">INDEX(Summary!$R$2:$R$201,MATCH($B281,Summary!$A$2:$A$201,0))</f>
        <v>13.72</v>
      </c>
      <c r="W281" s="0" t="str">
        <f aca="false">INDEX(Summary!$S$2:$S$201,MATCH($B281,Summary!$A$2:$A$201,0))</f>
        <v>Bronze</v>
      </c>
      <c r="X281" s="2" t="n">
        <f aca="false">INDEX(Summary!$T$2:$T$201,MATCH($B281,Summary!$A$2:$A$201,0))</f>
        <v>33.46</v>
      </c>
      <c r="Y281" s="0" t="str">
        <f aca="false">INDEX('Reward Model'!$E$18:$E$37,MATCH($E281,'Reward Model'!$A$18:$A$37,0))</f>
        <v>High</v>
      </c>
      <c r="Z281" s="4" t="n">
        <f aca="false">ROUND(MIN(1,MAX('Reward Model'!$B$2,INDEX('Reward Model'!$C$12:$C$14,MATCH($K281,'Reward Model'!$A$12:$A$14,0))/$J281)),3)</f>
        <v>1</v>
      </c>
      <c r="AA281" s="2" t="n">
        <f aca="false">IF($I281="Correct",ROUND(INDEX('Reward Model'!$B$12:$B$14,MATCH($K281,'Reward Model'!$A$12:$A$14,0))*Z281,2),0)</f>
        <v>3</v>
      </c>
      <c r="AB281" s="2" t="n">
        <f aca="false">IF($I281="Correct",ROUND(INDEX('Reward Model'!$B$12:$B$14,MATCH($Y281,'Reward Model'!$A$12:$A$14,0))*Z281,2),0)</f>
        <v>3</v>
      </c>
    </row>
    <row r="282" customFormat="false" ht="15" hidden="false" customHeight="false" outlineLevel="0" collapsed="false">
      <c r="A282" s="0" t="s">
        <v>147</v>
      </c>
      <c r="B282" s="0" t="s">
        <v>148</v>
      </c>
      <c r="C282" s="0" t="s">
        <v>30</v>
      </c>
      <c r="D282" s="0" t="s">
        <v>31</v>
      </c>
      <c r="E282" s="0" t="n">
        <v>1</v>
      </c>
      <c r="F282" s="0" t="s">
        <v>32</v>
      </c>
      <c r="G282" s="0" t="s">
        <v>33</v>
      </c>
      <c r="H282" s="0" t="s">
        <v>33</v>
      </c>
      <c r="I282" s="0" t="s">
        <v>34</v>
      </c>
      <c r="J282" s="0" t="n">
        <v>1.82</v>
      </c>
      <c r="K282" s="0" t="s">
        <v>35</v>
      </c>
      <c r="L282" s="0" t="n">
        <f aca="false">INDEX(Summary!$F$2:$F$201,MATCH($B282,Summary!$A$2:$A$201,0))</f>
        <v>20</v>
      </c>
      <c r="M282" s="0" t="n">
        <f aca="false">INDEX(Summary!$I$2:$I$201,MATCH($B282,Summary!$A$2:$A$201,0))</f>
        <v>4</v>
      </c>
      <c r="N282" s="0" t="n">
        <f aca="false">INDEX(Summary!$J$2:$J$201,MATCH($B282,Summary!$A$2:$A$201,0))</f>
        <v>1</v>
      </c>
      <c r="O282" s="2" t="n">
        <f aca="false">INDEX(Summary!$K$2:$K$201,MATCH($B282,Summary!$A$2:$A$201,0))</f>
        <v>8.47</v>
      </c>
      <c r="P282" s="3" t="n">
        <f aca="false">INDEX(Summary!$L$2:$L$201,MATCH($B282,Summary!$A$2:$A$201,0))</f>
        <v>2</v>
      </c>
      <c r="Q282" s="3" t="n">
        <f aca="false">INDEX(Summary!$M$2:$M$201,MATCH($B282,Summary!$A$2:$A$201,0))</f>
        <v>4</v>
      </c>
      <c r="R282" s="2" t="n">
        <f aca="false">INDEX(Summary!$N$2:$N$201,MATCH($B282,Summary!$A$2:$A$201,0))</f>
        <v>11.43</v>
      </c>
      <c r="S282" s="3" t="n">
        <f aca="false">INDEX(Summary!$O$2:$O$201,MATCH($B282,Summary!$A$2:$A$201,0))</f>
        <v>8</v>
      </c>
      <c r="T282" s="3" t="n">
        <f aca="false">INDEX(Summary!$P$2:$P$201,MATCH($B282,Summary!$A$2:$A$201,0))</f>
        <v>1</v>
      </c>
      <c r="U282" s="2" t="n">
        <f aca="false">INDEX(Summary!$Q$2:$Q$201,MATCH($B282,Summary!$A$2:$A$201,0))</f>
        <v>12.38</v>
      </c>
      <c r="V282" s="2" t="n">
        <f aca="false">INDEX(Summary!$R$2:$R$201,MATCH($B282,Summary!$A$2:$A$201,0))</f>
        <v>27.97</v>
      </c>
      <c r="W282" s="0" t="str">
        <f aca="false">INDEX(Summary!$S$2:$S$201,MATCH($B282,Summary!$A$2:$A$201,0))</f>
        <v>Silver</v>
      </c>
      <c r="X282" s="2" t="n">
        <f aca="false">INDEX(Summary!$T$2:$T$201,MATCH($B282,Summary!$A$2:$A$201,0))</f>
        <v>68.22</v>
      </c>
      <c r="Y282" s="0" t="str">
        <f aca="false">INDEX('Reward Model'!$E$18:$E$37,MATCH($E282,'Reward Model'!$A$18:$A$37,0))</f>
        <v>Medium</v>
      </c>
      <c r="Z282" s="4" t="n">
        <f aca="false">ROUND(MIN(1,MAX('Reward Model'!$B$2,INDEX('Reward Model'!$C$12:$C$14,MATCH($K282,'Reward Model'!$A$12:$A$14,0))/$J282)),3)</f>
        <v>0.824</v>
      </c>
      <c r="AA282" s="2" t="n">
        <f aca="false">IF($I282="Correct",ROUND(INDEX('Reward Model'!$B$12:$B$14,MATCH($K282,'Reward Model'!$A$12:$A$14,0))*Z282,2),0)</f>
        <v>0.82</v>
      </c>
      <c r="AB282" s="2" t="n">
        <f aca="false">IF($I282="Correct",ROUND(INDEX('Reward Model'!$B$12:$B$14,MATCH($Y282,'Reward Model'!$A$12:$A$14,0))*Z282,2),0)</f>
        <v>1.65</v>
      </c>
    </row>
    <row r="283" customFormat="false" ht="15" hidden="false" customHeight="false" outlineLevel="0" collapsed="false">
      <c r="A283" s="0" t="s">
        <v>147</v>
      </c>
      <c r="B283" s="0" t="s">
        <v>148</v>
      </c>
      <c r="C283" s="0" t="s">
        <v>30</v>
      </c>
      <c r="D283" s="0" t="s">
        <v>31</v>
      </c>
      <c r="E283" s="0" t="n">
        <v>2</v>
      </c>
      <c r="F283" s="0" t="s">
        <v>36</v>
      </c>
      <c r="G283" s="0" t="s">
        <v>38</v>
      </c>
      <c r="H283" s="0" t="s">
        <v>38</v>
      </c>
      <c r="I283" s="0" t="s">
        <v>34</v>
      </c>
      <c r="J283" s="0" t="n">
        <v>1.44</v>
      </c>
      <c r="K283" s="0" t="s">
        <v>35</v>
      </c>
      <c r="L283" s="0" t="n">
        <f aca="false">INDEX(Summary!$F$2:$F$201,MATCH($B283,Summary!$A$2:$A$201,0))</f>
        <v>20</v>
      </c>
      <c r="M283" s="0" t="n">
        <f aca="false">INDEX(Summary!$I$2:$I$201,MATCH($B283,Summary!$A$2:$A$201,0))</f>
        <v>4</v>
      </c>
      <c r="N283" s="0" t="n">
        <f aca="false">INDEX(Summary!$J$2:$J$201,MATCH($B283,Summary!$A$2:$A$201,0))</f>
        <v>1</v>
      </c>
      <c r="O283" s="2" t="n">
        <f aca="false">INDEX(Summary!$K$2:$K$201,MATCH($B283,Summary!$A$2:$A$201,0))</f>
        <v>8.47</v>
      </c>
      <c r="P283" s="3" t="n">
        <f aca="false">INDEX(Summary!$L$2:$L$201,MATCH($B283,Summary!$A$2:$A$201,0))</f>
        <v>2</v>
      </c>
      <c r="Q283" s="3" t="n">
        <f aca="false">INDEX(Summary!$M$2:$M$201,MATCH($B283,Summary!$A$2:$A$201,0))</f>
        <v>4</v>
      </c>
      <c r="R283" s="2" t="n">
        <f aca="false">INDEX(Summary!$N$2:$N$201,MATCH($B283,Summary!$A$2:$A$201,0))</f>
        <v>11.43</v>
      </c>
      <c r="S283" s="3" t="n">
        <f aca="false">INDEX(Summary!$O$2:$O$201,MATCH($B283,Summary!$A$2:$A$201,0))</f>
        <v>8</v>
      </c>
      <c r="T283" s="3" t="n">
        <f aca="false">INDEX(Summary!$P$2:$P$201,MATCH($B283,Summary!$A$2:$A$201,0))</f>
        <v>1</v>
      </c>
      <c r="U283" s="2" t="n">
        <f aca="false">INDEX(Summary!$Q$2:$Q$201,MATCH($B283,Summary!$A$2:$A$201,0))</f>
        <v>12.38</v>
      </c>
      <c r="V283" s="2" t="n">
        <f aca="false">INDEX(Summary!$R$2:$R$201,MATCH($B283,Summary!$A$2:$A$201,0))</f>
        <v>27.97</v>
      </c>
      <c r="W283" s="0" t="str">
        <f aca="false">INDEX(Summary!$S$2:$S$201,MATCH($B283,Summary!$A$2:$A$201,0))</f>
        <v>Silver</v>
      </c>
      <c r="X283" s="2" t="n">
        <f aca="false">INDEX(Summary!$T$2:$T$201,MATCH($B283,Summary!$A$2:$A$201,0))</f>
        <v>68.22</v>
      </c>
      <c r="Y283" s="0" t="str">
        <f aca="false">INDEX('Reward Model'!$E$18:$E$37,MATCH($E283,'Reward Model'!$A$18:$A$37,0))</f>
        <v>Low</v>
      </c>
      <c r="Z283" s="4" t="n">
        <f aca="false">ROUND(MIN(1,MAX('Reward Model'!$B$2,INDEX('Reward Model'!$C$12:$C$14,MATCH($K283,'Reward Model'!$A$12:$A$14,0))/$J283)),3)</f>
        <v>1</v>
      </c>
      <c r="AA283" s="2" t="n">
        <f aca="false">IF($I283="Correct",ROUND(INDEX('Reward Model'!$B$12:$B$14,MATCH($K283,'Reward Model'!$A$12:$A$14,0))*Z283,2),0)</f>
        <v>1</v>
      </c>
      <c r="AB283" s="2" t="n">
        <f aca="false">IF($I283="Correct",ROUND(INDEX('Reward Model'!$B$12:$B$14,MATCH($Y283,'Reward Model'!$A$12:$A$14,0))*Z283,2),0)</f>
        <v>1</v>
      </c>
    </row>
    <row r="284" customFormat="false" ht="15" hidden="false" customHeight="false" outlineLevel="0" collapsed="false">
      <c r="A284" s="0" t="s">
        <v>147</v>
      </c>
      <c r="B284" s="0" t="s">
        <v>148</v>
      </c>
      <c r="C284" s="0" t="s">
        <v>30</v>
      </c>
      <c r="D284" s="0" t="s">
        <v>31</v>
      </c>
      <c r="E284" s="0" t="n">
        <v>3</v>
      </c>
      <c r="F284" s="0" t="s">
        <v>40</v>
      </c>
      <c r="G284" s="0" t="s">
        <v>42</v>
      </c>
      <c r="H284" s="0" t="s">
        <v>42</v>
      </c>
      <c r="I284" s="0" t="s">
        <v>34</v>
      </c>
      <c r="J284" s="0" t="n">
        <v>1.05</v>
      </c>
      <c r="K284" s="0" t="s">
        <v>35</v>
      </c>
      <c r="L284" s="0" t="n">
        <f aca="false">INDEX(Summary!$F$2:$F$201,MATCH($B284,Summary!$A$2:$A$201,0))</f>
        <v>20</v>
      </c>
      <c r="M284" s="0" t="n">
        <f aca="false">INDEX(Summary!$I$2:$I$201,MATCH($B284,Summary!$A$2:$A$201,0))</f>
        <v>4</v>
      </c>
      <c r="N284" s="0" t="n">
        <f aca="false">INDEX(Summary!$J$2:$J$201,MATCH($B284,Summary!$A$2:$A$201,0))</f>
        <v>1</v>
      </c>
      <c r="O284" s="2" t="n">
        <f aca="false">INDEX(Summary!$K$2:$K$201,MATCH($B284,Summary!$A$2:$A$201,0))</f>
        <v>8.47</v>
      </c>
      <c r="P284" s="3" t="n">
        <f aca="false">INDEX(Summary!$L$2:$L$201,MATCH($B284,Summary!$A$2:$A$201,0))</f>
        <v>2</v>
      </c>
      <c r="Q284" s="3" t="n">
        <f aca="false">INDEX(Summary!$M$2:$M$201,MATCH($B284,Summary!$A$2:$A$201,0))</f>
        <v>4</v>
      </c>
      <c r="R284" s="2" t="n">
        <f aca="false">INDEX(Summary!$N$2:$N$201,MATCH($B284,Summary!$A$2:$A$201,0))</f>
        <v>11.43</v>
      </c>
      <c r="S284" s="3" t="n">
        <f aca="false">INDEX(Summary!$O$2:$O$201,MATCH($B284,Summary!$A$2:$A$201,0))</f>
        <v>8</v>
      </c>
      <c r="T284" s="3" t="n">
        <f aca="false">INDEX(Summary!$P$2:$P$201,MATCH($B284,Summary!$A$2:$A$201,0))</f>
        <v>1</v>
      </c>
      <c r="U284" s="2" t="n">
        <f aca="false">INDEX(Summary!$Q$2:$Q$201,MATCH($B284,Summary!$A$2:$A$201,0))</f>
        <v>12.38</v>
      </c>
      <c r="V284" s="2" t="n">
        <f aca="false">INDEX(Summary!$R$2:$R$201,MATCH($B284,Summary!$A$2:$A$201,0))</f>
        <v>27.97</v>
      </c>
      <c r="W284" s="0" t="str">
        <f aca="false">INDEX(Summary!$S$2:$S$201,MATCH($B284,Summary!$A$2:$A$201,0))</f>
        <v>Silver</v>
      </c>
      <c r="X284" s="2" t="n">
        <f aca="false">INDEX(Summary!$T$2:$T$201,MATCH($B284,Summary!$A$2:$A$201,0))</f>
        <v>68.22</v>
      </c>
      <c r="Y284" s="0" t="str">
        <f aca="false">INDEX('Reward Model'!$E$18:$E$37,MATCH($E284,'Reward Model'!$A$18:$A$37,0))</f>
        <v>Medium</v>
      </c>
      <c r="Z284" s="4" t="n">
        <f aca="false">ROUND(MIN(1,MAX('Reward Model'!$B$2,INDEX('Reward Model'!$C$12:$C$14,MATCH($K284,'Reward Model'!$A$12:$A$14,0))/$J284)),3)</f>
        <v>1</v>
      </c>
      <c r="AA284" s="2" t="n">
        <f aca="false">IF($I284="Correct",ROUND(INDEX('Reward Model'!$B$12:$B$14,MATCH($K284,'Reward Model'!$A$12:$A$14,0))*Z284,2),0)</f>
        <v>1</v>
      </c>
      <c r="AB284" s="2" t="n">
        <f aca="false">IF($I284="Correct",ROUND(INDEX('Reward Model'!$B$12:$B$14,MATCH($Y284,'Reward Model'!$A$12:$A$14,0))*Z284,2),0)</f>
        <v>2</v>
      </c>
    </row>
    <row r="285" customFormat="false" ht="15" hidden="false" customHeight="false" outlineLevel="0" collapsed="false">
      <c r="A285" s="0" t="s">
        <v>147</v>
      </c>
      <c r="B285" s="0" t="s">
        <v>148</v>
      </c>
      <c r="C285" s="0" t="s">
        <v>30</v>
      </c>
      <c r="D285" s="0" t="s">
        <v>31</v>
      </c>
      <c r="E285" s="0" t="n">
        <v>4</v>
      </c>
      <c r="F285" s="0" t="s">
        <v>43</v>
      </c>
      <c r="G285" s="0" t="s">
        <v>45</v>
      </c>
      <c r="H285" s="0" t="s">
        <v>45</v>
      </c>
      <c r="I285" s="0" t="s">
        <v>34</v>
      </c>
      <c r="J285" s="0" t="n">
        <v>1.77</v>
      </c>
      <c r="K285" s="0" t="s">
        <v>35</v>
      </c>
      <c r="L285" s="0" t="n">
        <f aca="false">INDEX(Summary!$F$2:$F$201,MATCH($B285,Summary!$A$2:$A$201,0))</f>
        <v>20</v>
      </c>
      <c r="M285" s="0" t="n">
        <f aca="false">INDEX(Summary!$I$2:$I$201,MATCH($B285,Summary!$A$2:$A$201,0))</f>
        <v>4</v>
      </c>
      <c r="N285" s="0" t="n">
        <f aca="false">INDEX(Summary!$J$2:$J$201,MATCH($B285,Summary!$A$2:$A$201,0))</f>
        <v>1</v>
      </c>
      <c r="O285" s="2" t="n">
        <f aca="false">INDEX(Summary!$K$2:$K$201,MATCH($B285,Summary!$A$2:$A$201,0))</f>
        <v>8.47</v>
      </c>
      <c r="P285" s="3" t="n">
        <f aca="false">INDEX(Summary!$L$2:$L$201,MATCH($B285,Summary!$A$2:$A$201,0))</f>
        <v>2</v>
      </c>
      <c r="Q285" s="3" t="n">
        <f aca="false">INDEX(Summary!$M$2:$M$201,MATCH($B285,Summary!$A$2:$A$201,0))</f>
        <v>4</v>
      </c>
      <c r="R285" s="2" t="n">
        <f aca="false">INDEX(Summary!$N$2:$N$201,MATCH($B285,Summary!$A$2:$A$201,0))</f>
        <v>11.43</v>
      </c>
      <c r="S285" s="3" t="n">
        <f aca="false">INDEX(Summary!$O$2:$O$201,MATCH($B285,Summary!$A$2:$A$201,0))</f>
        <v>8</v>
      </c>
      <c r="T285" s="3" t="n">
        <f aca="false">INDEX(Summary!$P$2:$P$201,MATCH($B285,Summary!$A$2:$A$201,0))</f>
        <v>1</v>
      </c>
      <c r="U285" s="2" t="n">
        <f aca="false">INDEX(Summary!$Q$2:$Q$201,MATCH($B285,Summary!$A$2:$A$201,0))</f>
        <v>12.38</v>
      </c>
      <c r="V285" s="2" t="n">
        <f aca="false">INDEX(Summary!$R$2:$R$201,MATCH($B285,Summary!$A$2:$A$201,0))</f>
        <v>27.97</v>
      </c>
      <c r="W285" s="0" t="str">
        <f aca="false">INDEX(Summary!$S$2:$S$201,MATCH($B285,Summary!$A$2:$A$201,0))</f>
        <v>Silver</v>
      </c>
      <c r="X285" s="2" t="n">
        <f aca="false">INDEX(Summary!$T$2:$T$201,MATCH($B285,Summary!$A$2:$A$201,0))</f>
        <v>68.22</v>
      </c>
      <c r="Y285" s="0" t="str">
        <f aca="false">INDEX('Reward Model'!$E$18:$E$37,MATCH($E285,'Reward Model'!$A$18:$A$37,0))</f>
        <v>Low</v>
      </c>
      <c r="Z285" s="4" t="n">
        <f aca="false">ROUND(MIN(1,MAX('Reward Model'!$B$2,INDEX('Reward Model'!$C$12:$C$14,MATCH($K285,'Reward Model'!$A$12:$A$14,0))/$J285)),3)</f>
        <v>0.847</v>
      </c>
      <c r="AA285" s="2" t="n">
        <f aca="false">IF($I285="Correct",ROUND(INDEX('Reward Model'!$B$12:$B$14,MATCH($K285,'Reward Model'!$A$12:$A$14,0))*Z285,2),0)</f>
        <v>0.85</v>
      </c>
      <c r="AB285" s="2" t="n">
        <f aca="false">IF($I285="Correct",ROUND(INDEX('Reward Model'!$B$12:$B$14,MATCH($Y285,'Reward Model'!$A$12:$A$14,0))*Z285,2),0)</f>
        <v>0.85</v>
      </c>
    </row>
    <row r="286" customFormat="false" ht="15" hidden="false" customHeight="false" outlineLevel="0" collapsed="false">
      <c r="A286" s="0" t="s">
        <v>147</v>
      </c>
      <c r="B286" s="0" t="s">
        <v>148</v>
      </c>
      <c r="C286" s="0" t="s">
        <v>30</v>
      </c>
      <c r="D286" s="0" t="s">
        <v>31</v>
      </c>
      <c r="E286" s="0" t="n">
        <v>5</v>
      </c>
      <c r="F286" s="0" t="s">
        <v>46</v>
      </c>
      <c r="G286" s="0" t="s">
        <v>149</v>
      </c>
      <c r="H286" s="0" t="s">
        <v>47</v>
      </c>
      <c r="I286" s="0" t="s">
        <v>39</v>
      </c>
      <c r="J286" s="0" t="n">
        <v>1.14</v>
      </c>
      <c r="K286" s="0" t="s">
        <v>35</v>
      </c>
      <c r="L286" s="0" t="n">
        <f aca="false">INDEX(Summary!$F$2:$F$201,MATCH($B286,Summary!$A$2:$A$201,0))</f>
        <v>20</v>
      </c>
      <c r="M286" s="0" t="n">
        <f aca="false">INDEX(Summary!$I$2:$I$201,MATCH($B286,Summary!$A$2:$A$201,0))</f>
        <v>4</v>
      </c>
      <c r="N286" s="0" t="n">
        <f aca="false">INDEX(Summary!$J$2:$J$201,MATCH($B286,Summary!$A$2:$A$201,0))</f>
        <v>1</v>
      </c>
      <c r="O286" s="2" t="n">
        <f aca="false">INDEX(Summary!$K$2:$K$201,MATCH($B286,Summary!$A$2:$A$201,0))</f>
        <v>8.47</v>
      </c>
      <c r="P286" s="3" t="n">
        <f aca="false">INDEX(Summary!$L$2:$L$201,MATCH($B286,Summary!$A$2:$A$201,0))</f>
        <v>2</v>
      </c>
      <c r="Q286" s="3" t="n">
        <f aca="false">INDEX(Summary!$M$2:$M$201,MATCH($B286,Summary!$A$2:$A$201,0))</f>
        <v>4</v>
      </c>
      <c r="R286" s="2" t="n">
        <f aca="false">INDEX(Summary!$N$2:$N$201,MATCH($B286,Summary!$A$2:$A$201,0))</f>
        <v>11.43</v>
      </c>
      <c r="S286" s="3" t="n">
        <f aca="false">INDEX(Summary!$O$2:$O$201,MATCH($B286,Summary!$A$2:$A$201,0))</f>
        <v>8</v>
      </c>
      <c r="T286" s="3" t="n">
        <f aca="false">INDEX(Summary!$P$2:$P$201,MATCH($B286,Summary!$A$2:$A$201,0))</f>
        <v>1</v>
      </c>
      <c r="U286" s="2" t="n">
        <f aca="false">INDEX(Summary!$Q$2:$Q$201,MATCH($B286,Summary!$A$2:$A$201,0))</f>
        <v>12.38</v>
      </c>
      <c r="V286" s="2" t="n">
        <f aca="false">INDEX(Summary!$R$2:$R$201,MATCH($B286,Summary!$A$2:$A$201,0))</f>
        <v>27.97</v>
      </c>
      <c r="W286" s="0" t="str">
        <f aca="false">INDEX(Summary!$S$2:$S$201,MATCH($B286,Summary!$A$2:$A$201,0))</f>
        <v>Silver</v>
      </c>
      <c r="X286" s="2" t="n">
        <f aca="false">INDEX(Summary!$T$2:$T$201,MATCH($B286,Summary!$A$2:$A$201,0))</f>
        <v>68.22</v>
      </c>
      <c r="Y286" s="0" t="str">
        <f aca="false">INDEX('Reward Model'!$E$18:$E$37,MATCH($E286,'Reward Model'!$A$18:$A$37,0))</f>
        <v>Low</v>
      </c>
      <c r="Z286" s="4" t="n">
        <f aca="false">ROUND(MIN(1,MAX('Reward Model'!$B$2,INDEX('Reward Model'!$C$12:$C$14,MATCH($K286,'Reward Model'!$A$12:$A$14,0))/$J286)),3)</f>
        <v>1</v>
      </c>
      <c r="AA286" s="2" t="n">
        <f aca="false">IF($I286="Correct",ROUND(INDEX('Reward Model'!$B$12:$B$14,MATCH($K286,'Reward Model'!$A$12:$A$14,0))*Z286,2),0)</f>
        <v>0</v>
      </c>
      <c r="AB286" s="2" t="n">
        <f aca="false">IF($I286="Correct",ROUND(INDEX('Reward Model'!$B$12:$B$14,MATCH($Y286,'Reward Model'!$A$12:$A$14,0))*Z286,2),0)</f>
        <v>0</v>
      </c>
    </row>
    <row r="287" customFormat="false" ht="15" hidden="false" customHeight="false" outlineLevel="0" collapsed="false">
      <c r="A287" s="0" t="s">
        <v>147</v>
      </c>
      <c r="B287" s="0" t="s">
        <v>148</v>
      </c>
      <c r="C287" s="0" t="s">
        <v>30</v>
      </c>
      <c r="D287" s="0" t="s">
        <v>31</v>
      </c>
      <c r="E287" s="0" t="n">
        <v>6</v>
      </c>
      <c r="F287" s="0" t="s">
        <v>48</v>
      </c>
      <c r="G287" s="0" t="s">
        <v>49</v>
      </c>
      <c r="H287" s="0" t="s">
        <v>49</v>
      </c>
      <c r="I287" s="0" t="s">
        <v>34</v>
      </c>
      <c r="J287" s="0" t="n">
        <v>1.29</v>
      </c>
      <c r="K287" s="0" t="s">
        <v>35</v>
      </c>
      <c r="L287" s="0" t="n">
        <f aca="false">INDEX(Summary!$F$2:$F$201,MATCH($B287,Summary!$A$2:$A$201,0))</f>
        <v>20</v>
      </c>
      <c r="M287" s="0" t="n">
        <f aca="false">INDEX(Summary!$I$2:$I$201,MATCH($B287,Summary!$A$2:$A$201,0))</f>
        <v>4</v>
      </c>
      <c r="N287" s="0" t="n">
        <f aca="false">INDEX(Summary!$J$2:$J$201,MATCH($B287,Summary!$A$2:$A$201,0))</f>
        <v>1</v>
      </c>
      <c r="O287" s="2" t="n">
        <f aca="false">INDEX(Summary!$K$2:$K$201,MATCH($B287,Summary!$A$2:$A$201,0))</f>
        <v>8.47</v>
      </c>
      <c r="P287" s="3" t="n">
        <f aca="false">INDEX(Summary!$L$2:$L$201,MATCH($B287,Summary!$A$2:$A$201,0))</f>
        <v>2</v>
      </c>
      <c r="Q287" s="3" t="n">
        <f aca="false">INDEX(Summary!$M$2:$M$201,MATCH($B287,Summary!$A$2:$A$201,0))</f>
        <v>4</v>
      </c>
      <c r="R287" s="2" t="n">
        <f aca="false">INDEX(Summary!$N$2:$N$201,MATCH($B287,Summary!$A$2:$A$201,0))</f>
        <v>11.43</v>
      </c>
      <c r="S287" s="3" t="n">
        <f aca="false">INDEX(Summary!$O$2:$O$201,MATCH($B287,Summary!$A$2:$A$201,0))</f>
        <v>8</v>
      </c>
      <c r="T287" s="3" t="n">
        <f aca="false">INDEX(Summary!$P$2:$P$201,MATCH($B287,Summary!$A$2:$A$201,0))</f>
        <v>1</v>
      </c>
      <c r="U287" s="2" t="n">
        <f aca="false">INDEX(Summary!$Q$2:$Q$201,MATCH($B287,Summary!$A$2:$A$201,0))</f>
        <v>12.38</v>
      </c>
      <c r="V287" s="2" t="n">
        <f aca="false">INDEX(Summary!$R$2:$R$201,MATCH($B287,Summary!$A$2:$A$201,0))</f>
        <v>27.97</v>
      </c>
      <c r="W287" s="0" t="str">
        <f aca="false">INDEX(Summary!$S$2:$S$201,MATCH($B287,Summary!$A$2:$A$201,0))</f>
        <v>Silver</v>
      </c>
      <c r="X287" s="2" t="n">
        <f aca="false">INDEX(Summary!$T$2:$T$201,MATCH($B287,Summary!$A$2:$A$201,0))</f>
        <v>68.22</v>
      </c>
      <c r="Y287" s="0" t="str">
        <f aca="false">INDEX('Reward Model'!$E$18:$E$37,MATCH($E287,'Reward Model'!$A$18:$A$37,0))</f>
        <v>Medium</v>
      </c>
      <c r="Z287" s="4" t="n">
        <f aca="false">ROUND(MIN(1,MAX('Reward Model'!$B$2,INDEX('Reward Model'!$C$12:$C$14,MATCH($K287,'Reward Model'!$A$12:$A$14,0))/$J287)),3)</f>
        <v>1</v>
      </c>
      <c r="AA287" s="2" t="n">
        <f aca="false">IF($I287="Correct",ROUND(INDEX('Reward Model'!$B$12:$B$14,MATCH($K287,'Reward Model'!$A$12:$A$14,0))*Z287,2),0)</f>
        <v>1</v>
      </c>
      <c r="AB287" s="2" t="n">
        <f aca="false">IF($I287="Correct",ROUND(INDEX('Reward Model'!$B$12:$B$14,MATCH($Y287,'Reward Model'!$A$12:$A$14,0))*Z287,2),0)</f>
        <v>2</v>
      </c>
    </row>
    <row r="288" customFormat="false" ht="15" hidden="false" customHeight="false" outlineLevel="0" collapsed="false">
      <c r="A288" s="0" t="s">
        <v>147</v>
      </c>
      <c r="B288" s="0" t="s">
        <v>148</v>
      </c>
      <c r="C288" s="0" t="s">
        <v>30</v>
      </c>
      <c r="D288" s="0" t="s">
        <v>31</v>
      </c>
      <c r="E288" s="0" t="n">
        <v>7</v>
      </c>
      <c r="F288" s="0" t="s">
        <v>50</v>
      </c>
      <c r="G288" s="0" t="s">
        <v>51</v>
      </c>
      <c r="H288" s="0" t="s">
        <v>51</v>
      </c>
      <c r="I288" s="0" t="s">
        <v>34</v>
      </c>
      <c r="J288" s="0" t="n">
        <v>1.32</v>
      </c>
      <c r="K288" s="0" t="s">
        <v>35</v>
      </c>
      <c r="L288" s="0" t="n">
        <f aca="false">INDEX(Summary!$F$2:$F$201,MATCH($B288,Summary!$A$2:$A$201,0))</f>
        <v>20</v>
      </c>
      <c r="M288" s="0" t="n">
        <f aca="false">INDEX(Summary!$I$2:$I$201,MATCH($B288,Summary!$A$2:$A$201,0))</f>
        <v>4</v>
      </c>
      <c r="N288" s="0" t="n">
        <f aca="false">INDEX(Summary!$J$2:$J$201,MATCH($B288,Summary!$A$2:$A$201,0))</f>
        <v>1</v>
      </c>
      <c r="O288" s="2" t="n">
        <f aca="false">INDEX(Summary!$K$2:$K$201,MATCH($B288,Summary!$A$2:$A$201,0))</f>
        <v>8.47</v>
      </c>
      <c r="P288" s="3" t="n">
        <f aca="false">INDEX(Summary!$L$2:$L$201,MATCH($B288,Summary!$A$2:$A$201,0))</f>
        <v>2</v>
      </c>
      <c r="Q288" s="3" t="n">
        <f aca="false">INDEX(Summary!$M$2:$M$201,MATCH($B288,Summary!$A$2:$A$201,0))</f>
        <v>4</v>
      </c>
      <c r="R288" s="2" t="n">
        <f aca="false">INDEX(Summary!$N$2:$N$201,MATCH($B288,Summary!$A$2:$A$201,0))</f>
        <v>11.43</v>
      </c>
      <c r="S288" s="3" t="n">
        <f aca="false">INDEX(Summary!$O$2:$O$201,MATCH($B288,Summary!$A$2:$A$201,0))</f>
        <v>8</v>
      </c>
      <c r="T288" s="3" t="n">
        <f aca="false">INDEX(Summary!$P$2:$P$201,MATCH($B288,Summary!$A$2:$A$201,0))</f>
        <v>1</v>
      </c>
      <c r="U288" s="2" t="n">
        <f aca="false">INDEX(Summary!$Q$2:$Q$201,MATCH($B288,Summary!$A$2:$A$201,0))</f>
        <v>12.38</v>
      </c>
      <c r="V288" s="2" t="n">
        <f aca="false">INDEX(Summary!$R$2:$R$201,MATCH($B288,Summary!$A$2:$A$201,0))</f>
        <v>27.97</v>
      </c>
      <c r="W288" s="0" t="str">
        <f aca="false">INDEX(Summary!$S$2:$S$201,MATCH($B288,Summary!$A$2:$A$201,0))</f>
        <v>Silver</v>
      </c>
      <c r="X288" s="2" t="n">
        <f aca="false">INDEX(Summary!$T$2:$T$201,MATCH($B288,Summary!$A$2:$A$201,0))</f>
        <v>68.22</v>
      </c>
      <c r="Y288" s="0" t="str">
        <f aca="false">INDEX('Reward Model'!$E$18:$E$37,MATCH($E288,'Reward Model'!$A$18:$A$37,0))</f>
        <v>Low</v>
      </c>
      <c r="Z288" s="4" t="n">
        <f aca="false">ROUND(MIN(1,MAX('Reward Model'!$B$2,INDEX('Reward Model'!$C$12:$C$14,MATCH($K288,'Reward Model'!$A$12:$A$14,0))/$J288)),3)</f>
        <v>1</v>
      </c>
      <c r="AA288" s="2" t="n">
        <f aca="false">IF($I288="Correct",ROUND(INDEX('Reward Model'!$B$12:$B$14,MATCH($K288,'Reward Model'!$A$12:$A$14,0))*Z288,2),0)</f>
        <v>1</v>
      </c>
      <c r="AB288" s="2" t="n">
        <f aca="false">IF($I288="Correct",ROUND(INDEX('Reward Model'!$B$12:$B$14,MATCH($Y288,'Reward Model'!$A$12:$A$14,0))*Z288,2),0)</f>
        <v>1</v>
      </c>
    </row>
    <row r="289" customFormat="false" ht="15" hidden="false" customHeight="false" outlineLevel="0" collapsed="false">
      <c r="A289" s="0" t="s">
        <v>147</v>
      </c>
      <c r="B289" s="0" t="s">
        <v>148</v>
      </c>
      <c r="C289" s="0" t="s">
        <v>30</v>
      </c>
      <c r="D289" s="0" t="s">
        <v>31</v>
      </c>
      <c r="E289" s="0" t="n">
        <v>8</v>
      </c>
      <c r="F289" s="0" t="s">
        <v>52</v>
      </c>
      <c r="G289" s="0" t="s">
        <v>54</v>
      </c>
      <c r="H289" s="0" t="s">
        <v>54</v>
      </c>
      <c r="I289" s="0" t="s">
        <v>34</v>
      </c>
      <c r="J289" s="0" t="n">
        <v>1.6</v>
      </c>
      <c r="K289" s="0" t="s">
        <v>35</v>
      </c>
      <c r="L289" s="0" t="n">
        <f aca="false">INDEX(Summary!$F$2:$F$201,MATCH($B289,Summary!$A$2:$A$201,0))</f>
        <v>20</v>
      </c>
      <c r="M289" s="0" t="n">
        <f aca="false">INDEX(Summary!$I$2:$I$201,MATCH($B289,Summary!$A$2:$A$201,0))</f>
        <v>4</v>
      </c>
      <c r="N289" s="0" t="n">
        <f aca="false">INDEX(Summary!$J$2:$J$201,MATCH($B289,Summary!$A$2:$A$201,0))</f>
        <v>1</v>
      </c>
      <c r="O289" s="2" t="n">
        <f aca="false">INDEX(Summary!$K$2:$K$201,MATCH($B289,Summary!$A$2:$A$201,0))</f>
        <v>8.47</v>
      </c>
      <c r="P289" s="3" t="n">
        <f aca="false">INDEX(Summary!$L$2:$L$201,MATCH($B289,Summary!$A$2:$A$201,0))</f>
        <v>2</v>
      </c>
      <c r="Q289" s="3" t="n">
        <f aca="false">INDEX(Summary!$M$2:$M$201,MATCH($B289,Summary!$A$2:$A$201,0))</f>
        <v>4</v>
      </c>
      <c r="R289" s="2" t="n">
        <f aca="false">INDEX(Summary!$N$2:$N$201,MATCH($B289,Summary!$A$2:$A$201,0))</f>
        <v>11.43</v>
      </c>
      <c r="S289" s="3" t="n">
        <f aca="false">INDEX(Summary!$O$2:$O$201,MATCH($B289,Summary!$A$2:$A$201,0))</f>
        <v>8</v>
      </c>
      <c r="T289" s="3" t="n">
        <f aca="false">INDEX(Summary!$P$2:$P$201,MATCH($B289,Summary!$A$2:$A$201,0))</f>
        <v>1</v>
      </c>
      <c r="U289" s="2" t="n">
        <f aca="false">INDEX(Summary!$Q$2:$Q$201,MATCH($B289,Summary!$A$2:$A$201,0))</f>
        <v>12.38</v>
      </c>
      <c r="V289" s="2" t="n">
        <f aca="false">INDEX(Summary!$R$2:$R$201,MATCH($B289,Summary!$A$2:$A$201,0))</f>
        <v>27.97</v>
      </c>
      <c r="W289" s="0" t="str">
        <f aca="false">INDEX(Summary!$S$2:$S$201,MATCH($B289,Summary!$A$2:$A$201,0))</f>
        <v>Silver</v>
      </c>
      <c r="X289" s="2" t="n">
        <f aca="false">INDEX(Summary!$T$2:$T$201,MATCH($B289,Summary!$A$2:$A$201,0))</f>
        <v>68.22</v>
      </c>
      <c r="Y289" s="0" t="str">
        <f aca="false">INDEX('Reward Model'!$E$18:$E$37,MATCH($E289,'Reward Model'!$A$18:$A$37,0))</f>
        <v>Medium</v>
      </c>
      <c r="Z289" s="4" t="n">
        <f aca="false">ROUND(MIN(1,MAX('Reward Model'!$B$2,INDEX('Reward Model'!$C$12:$C$14,MATCH($K289,'Reward Model'!$A$12:$A$14,0))/$J289)),3)</f>
        <v>0.938</v>
      </c>
      <c r="AA289" s="2" t="n">
        <f aca="false">IF($I289="Correct",ROUND(INDEX('Reward Model'!$B$12:$B$14,MATCH($K289,'Reward Model'!$A$12:$A$14,0))*Z289,2),0)</f>
        <v>0.94</v>
      </c>
      <c r="AB289" s="2" t="n">
        <f aca="false">IF($I289="Correct",ROUND(INDEX('Reward Model'!$B$12:$B$14,MATCH($Y289,'Reward Model'!$A$12:$A$14,0))*Z289,2),0)</f>
        <v>1.88</v>
      </c>
    </row>
    <row r="290" customFormat="false" ht="15" hidden="false" customHeight="false" outlineLevel="0" collapsed="false">
      <c r="A290" s="0" t="s">
        <v>147</v>
      </c>
      <c r="B290" s="0" t="s">
        <v>148</v>
      </c>
      <c r="C290" s="0" t="s">
        <v>30</v>
      </c>
      <c r="D290" s="0" t="s">
        <v>31</v>
      </c>
      <c r="E290" s="0" t="n">
        <v>9</v>
      </c>
      <c r="F290" s="0" t="s">
        <v>55</v>
      </c>
      <c r="G290" s="0" t="s">
        <v>57</v>
      </c>
      <c r="H290" s="0" t="s">
        <v>57</v>
      </c>
      <c r="I290" s="0" t="s">
        <v>34</v>
      </c>
      <c r="J290" s="0" t="n">
        <v>0.95</v>
      </c>
      <c r="K290" s="0" t="s">
        <v>35</v>
      </c>
      <c r="L290" s="0" t="n">
        <f aca="false">INDEX(Summary!$F$2:$F$201,MATCH($B290,Summary!$A$2:$A$201,0))</f>
        <v>20</v>
      </c>
      <c r="M290" s="0" t="n">
        <f aca="false">INDEX(Summary!$I$2:$I$201,MATCH($B290,Summary!$A$2:$A$201,0))</f>
        <v>4</v>
      </c>
      <c r="N290" s="0" t="n">
        <f aca="false">INDEX(Summary!$J$2:$J$201,MATCH($B290,Summary!$A$2:$A$201,0))</f>
        <v>1</v>
      </c>
      <c r="O290" s="2" t="n">
        <f aca="false">INDEX(Summary!$K$2:$K$201,MATCH($B290,Summary!$A$2:$A$201,0))</f>
        <v>8.47</v>
      </c>
      <c r="P290" s="3" t="n">
        <f aca="false">INDEX(Summary!$L$2:$L$201,MATCH($B290,Summary!$A$2:$A$201,0))</f>
        <v>2</v>
      </c>
      <c r="Q290" s="3" t="n">
        <f aca="false">INDEX(Summary!$M$2:$M$201,MATCH($B290,Summary!$A$2:$A$201,0))</f>
        <v>4</v>
      </c>
      <c r="R290" s="2" t="n">
        <f aca="false">INDEX(Summary!$N$2:$N$201,MATCH($B290,Summary!$A$2:$A$201,0))</f>
        <v>11.43</v>
      </c>
      <c r="S290" s="3" t="n">
        <f aca="false">INDEX(Summary!$O$2:$O$201,MATCH($B290,Summary!$A$2:$A$201,0))</f>
        <v>8</v>
      </c>
      <c r="T290" s="3" t="n">
        <f aca="false">INDEX(Summary!$P$2:$P$201,MATCH($B290,Summary!$A$2:$A$201,0))</f>
        <v>1</v>
      </c>
      <c r="U290" s="2" t="n">
        <f aca="false">INDEX(Summary!$Q$2:$Q$201,MATCH($B290,Summary!$A$2:$A$201,0))</f>
        <v>12.38</v>
      </c>
      <c r="V290" s="2" t="n">
        <f aca="false">INDEX(Summary!$R$2:$R$201,MATCH($B290,Summary!$A$2:$A$201,0))</f>
        <v>27.97</v>
      </c>
      <c r="W290" s="0" t="str">
        <f aca="false">INDEX(Summary!$S$2:$S$201,MATCH($B290,Summary!$A$2:$A$201,0))</f>
        <v>Silver</v>
      </c>
      <c r="X290" s="2" t="n">
        <f aca="false">INDEX(Summary!$T$2:$T$201,MATCH($B290,Summary!$A$2:$A$201,0))</f>
        <v>68.22</v>
      </c>
      <c r="Y290" s="0" t="str">
        <f aca="false">INDEX('Reward Model'!$E$18:$E$37,MATCH($E290,'Reward Model'!$A$18:$A$37,0))</f>
        <v>Medium</v>
      </c>
      <c r="Z290" s="4" t="n">
        <f aca="false">ROUND(MIN(1,MAX('Reward Model'!$B$2,INDEX('Reward Model'!$C$12:$C$14,MATCH($K290,'Reward Model'!$A$12:$A$14,0))/$J290)),3)</f>
        <v>1</v>
      </c>
      <c r="AA290" s="2" t="n">
        <f aca="false">IF($I290="Correct",ROUND(INDEX('Reward Model'!$B$12:$B$14,MATCH($K290,'Reward Model'!$A$12:$A$14,0))*Z290,2),0)</f>
        <v>1</v>
      </c>
      <c r="AB290" s="2" t="n">
        <f aca="false">IF($I290="Correct",ROUND(INDEX('Reward Model'!$B$12:$B$14,MATCH($Y290,'Reward Model'!$A$12:$A$14,0))*Z290,2),0)</f>
        <v>2</v>
      </c>
    </row>
    <row r="291" customFormat="false" ht="15" hidden="false" customHeight="false" outlineLevel="0" collapsed="false">
      <c r="A291" s="0" t="s">
        <v>147</v>
      </c>
      <c r="B291" s="0" t="s">
        <v>148</v>
      </c>
      <c r="C291" s="0" t="s">
        <v>30</v>
      </c>
      <c r="D291" s="0" t="s">
        <v>31</v>
      </c>
      <c r="E291" s="0" t="n">
        <v>10</v>
      </c>
      <c r="F291" s="0" t="s">
        <v>58</v>
      </c>
      <c r="G291" s="0" t="s">
        <v>99</v>
      </c>
      <c r="H291" s="0" t="s">
        <v>59</v>
      </c>
      <c r="I291" s="0" t="s">
        <v>39</v>
      </c>
      <c r="J291" s="0" t="n">
        <v>1.9</v>
      </c>
      <c r="K291" s="0" t="s">
        <v>60</v>
      </c>
      <c r="L291" s="0" t="n">
        <f aca="false">INDEX(Summary!$F$2:$F$201,MATCH($B291,Summary!$A$2:$A$201,0))</f>
        <v>20</v>
      </c>
      <c r="M291" s="0" t="n">
        <f aca="false">INDEX(Summary!$I$2:$I$201,MATCH($B291,Summary!$A$2:$A$201,0))</f>
        <v>4</v>
      </c>
      <c r="N291" s="0" t="n">
        <f aca="false">INDEX(Summary!$J$2:$J$201,MATCH($B291,Summary!$A$2:$A$201,0))</f>
        <v>1</v>
      </c>
      <c r="O291" s="2" t="n">
        <f aca="false">INDEX(Summary!$K$2:$K$201,MATCH($B291,Summary!$A$2:$A$201,0))</f>
        <v>8.47</v>
      </c>
      <c r="P291" s="3" t="n">
        <f aca="false">INDEX(Summary!$L$2:$L$201,MATCH($B291,Summary!$A$2:$A$201,0))</f>
        <v>2</v>
      </c>
      <c r="Q291" s="3" t="n">
        <f aca="false">INDEX(Summary!$M$2:$M$201,MATCH($B291,Summary!$A$2:$A$201,0))</f>
        <v>4</v>
      </c>
      <c r="R291" s="2" t="n">
        <f aca="false">INDEX(Summary!$N$2:$N$201,MATCH($B291,Summary!$A$2:$A$201,0))</f>
        <v>11.43</v>
      </c>
      <c r="S291" s="3" t="n">
        <f aca="false">INDEX(Summary!$O$2:$O$201,MATCH($B291,Summary!$A$2:$A$201,0))</f>
        <v>8</v>
      </c>
      <c r="T291" s="3" t="n">
        <f aca="false">INDEX(Summary!$P$2:$P$201,MATCH($B291,Summary!$A$2:$A$201,0))</f>
        <v>1</v>
      </c>
      <c r="U291" s="2" t="n">
        <f aca="false">INDEX(Summary!$Q$2:$Q$201,MATCH($B291,Summary!$A$2:$A$201,0))</f>
        <v>12.38</v>
      </c>
      <c r="V291" s="2" t="n">
        <f aca="false">INDEX(Summary!$R$2:$R$201,MATCH($B291,Summary!$A$2:$A$201,0))</f>
        <v>27.97</v>
      </c>
      <c r="W291" s="0" t="str">
        <f aca="false">INDEX(Summary!$S$2:$S$201,MATCH($B291,Summary!$A$2:$A$201,0))</f>
        <v>Silver</v>
      </c>
      <c r="X291" s="2" t="n">
        <f aca="false">INDEX(Summary!$T$2:$T$201,MATCH($B291,Summary!$A$2:$A$201,0))</f>
        <v>68.22</v>
      </c>
      <c r="Y291" s="0" t="str">
        <f aca="false">INDEX('Reward Model'!$E$18:$E$37,MATCH($E291,'Reward Model'!$A$18:$A$37,0))</f>
        <v>Medium</v>
      </c>
      <c r="Z291" s="4" t="n">
        <f aca="false">ROUND(MIN(1,MAX('Reward Model'!$B$2,INDEX('Reward Model'!$C$12:$C$14,MATCH($K291,'Reward Model'!$A$12:$A$14,0))/$J291)),3)</f>
        <v>0.947</v>
      </c>
      <c r="AA291" s="2" t="n">
        <f aca="false">IF($I291="Correct",ROUND(INDEX('Reward Model'!$B$12:$B$14,MATCH($K291,'Reward Model'!$A$12:$A$14,0))*Z291,2),0)</f>
        <v>0</v>
      </c>
      <c r="AB291" s="2" t="n">
        <f aca="false">IF($I291="Correct",ROUND(INDEX('Reward Model'!$B$12:$B$14,MATCH($Y291,'Reward Model'!$A$12:$A$14,0))*Z291,2),0)</f>
        <v>0</v>
      </c>
    </row>
    <row r="292" customFormat="false" ht="15" hidden="false" customHeight="false" outlineLevel="0" collapsed="false">
      <c r="A292" s="0" t="s">
        <v>147</v>
      </c>
      <c r="B292" s="0" t="s">
        <v>148</v>
      </c>
      <c r="C292" s="0" t="s">
        <v>30</v>
      </c>
      <c r="D292" s="0" t="s">
        <v>31</v>
      </c>
      <c r="E292" s="0" t="n">
        <v>11</v>
      </c>
      <c r="F292" s="0" t="s">
        <v>61</v>
      </c>
      <c r="G292" s="0" t="s">
        <v>150</v>
      </c>
      <c r="H292" s="0" t="s">
        <v>63</v>
      </c>
      <c r="I292" s="0" t="s">
        <v>39</v>
      </c>
      <c r="J292" s="0" t="n">
        <v>2.01</v>
      </c>
      <c r="K292" s="0" t="s">
        <v>60</v>
      </c>
      <c r="L292" s="0" t="n">
        <f aca="false">INDEX(Summary!$F$2:$F$201,MATCH($B292,Summary!$A$2:$A$201,0))</f>
        <v>20</v>
      </c>
      <c r="M292" s="0" t="n">
        <f aca="false">INDEX(Summary!$I$2:$I$201,MATCH($B292,Summary!$A$2:$A$201,0))</f>
        <v>4</v>
      </c>
      <c r="N292" s="0" t="n">
        <f aca="false">INDEX(Summary!$J$2:$J$201,MATCH($B292,Summary!$A$2:$A$201,0))</f>
        <v>1</v>
      </c>
      <c r="O292" s="2" t="n">
        <f aca="false">INDEX(Summary!$K$2:$K$201,MATCH($B292,Summary!$A$2:$A$201,0))</f>
        <v>8.47</v>
      </c>
      <c r="P292" s="3" t="n">
        <f aca="false">INDEX(Summary!$L$2:$L$201,MATCH($B292,Summary!$A$2:$A$201,0))</f>
        <v>2</v>
      </c>
      <c r="Q292" s="3" t="n">
        <f aca="false">INDEX(Summary!$M$2:$M$201,MATCH($B292,Summary!$A$2:$A$201,0))</f>
        <v>4</v>
      </c>
      <c r="R292" s="2" t="n">
        <f aca="false">INDEX(Summary!$N$2:$N$201,MATCH($B292,Summary!$A$2:$A$201,0))</f>
        <v>11.43</v>
      </c>
      <c r="S292" s="3" t="n">
        <f aca="false">INDEX(Summary!$O$2:$O$201,MATCH($B292,Summary!$A$2:$A$201,0))</f>
        <v>8</v>
      </c>
      <c r="T292" s="3" t="n">
        <f aca="false">INDEX(Summary!$P$2:$P$201,MATCH($B292,Summary!$A$2:$A$201,0))</f>
        <v>1</v>
      </c>
      <c r="U292" s="2" t="n">
        <f aca="false">INDEX(Summary!$Q$2:$Q$201,MATCH($B292,Summary!$A$2:$A$201,0))</f>
        <v>12.38</v>
      </c>
      <c r="V292" s="2" t="n">
        <f aca="false">INDEX(Summary!$R$2:$R$201,MATCH($B292,Summary!$A$2:$A$201,0))</f>
        <v>27.97</v>
      </c>
      <c r="W292" s="0" t="str">
        <f aca="false">INDEX(Summary!$S$2:$S$201,MATCH($B292,Summary!$A$2:$A$201,0))</f>
        <v>Silver</v>
      </c>
      <c r="X292" s="2" t="n">
        <f aca="false">INDEX(Summary!$T$2:$T$201,MATCH($B292,Summary!$A$2:$A$201,0))</f>
        <v>68.22</v>
      </c>
      <c r="Y292" s="0" t="str">
        <f aca="false">INDEX('Reward Model'!$E$18:$E$37,MATCH($E292,'Reward Model'!$A$18:$A$37,0))</f>
        <v>Medium</v>
      </c>
      <c r="Z292" s="4" t="n">
        <f aca="false">ROUND(MIN(1,MAX('Reward Model'!$B$2,INDEX('Reward Model'!$C$12:$C$14,MATCH($K292,'Reward Model'!$A$12:$A$14,0))/$J292)),3)</f>
        <v>0.896</v>
      </c>
      <c r="AA292" s="2" t="n">
        <f aca="false">IF($I292="Correct",ROUND(INDEX('Reward Model'!$B$12:$B$14,MATCH($K292,'Reward Model'!$A$12:$A$14,0))*Z292,2),0)</f>
        <v>0</v>
      </c>
      <c r="AB292" s="2" t="n">
        <f aca="false">IF($I292="Correct",ROUND(INDEX('Reward Model'!$B$12:$B$14,MATCH($Y292,'Reward Model'!$A$12:$A$14,0))*Z292,2),0)</f>
        <v>0</v>
      </c>
    </row>
    <row r="293" customFormat="false" ht="15" hidden="false" customHeight="false" outlineLevel="0" collapsed="false">
      <c r="A293" s="0" t="s">
        <v>147</v>
      </c>
      <c r="B293" s="0" t="s">
        <v>148</v>
      </c>
      <c r="C293" s="0" t="s">
        <v>30</v>
      </c>
      <c r="D293" s="0" t="s">
        <v>31</v>
      </c>
      <c r="E293" s="0" t="n">
        <v>12</v>
      </c>
      <c r="F293" s="0" t="s">
        <v>64</v>
      </c>
      <c r="G293" s="0" t="s">
        <v>65</v>
      </c>
      <c r="H293" s="0" t="s">
        <v>65</v>
      </c>
      <c r="I293" s="0" t="s">
        <v>34</v>
      </c>
      <c r="J293" s="0" t="n">
        <v>2.26</v>
      </c>
      <c r="K293" s="0" t="s">
        <v>60</v>
      </c>
      <c r="L293" s="0" t="n">
        <f aca="false">INDEX(Summary!$F$2:$F$201,MATCH($B293,Summary!$A$2:$A$201,0))</f>
        <v>20</v>
      </c>
      <c r="M293" s="0" t="n">
        <f aca="false">INDEX(Summary!$I$2:$I$201,MATCH($B293,Summary!$A$2:$A$201,0))</f>
        <v>4</v>
      </c>
      <c r="N293" s="0" t="n">
        <f aca="false">INDEX(Summary!$J$2:$J$201,MATCH($B293,Summary!$A$2:$A$201,0))</f>
        <v>1</v>
      </c>
      <c r="O293" s="2" t="n">
        <f aca="false">INDEX(Summary!$K$2:$K$201,MATCH($B293,Summary!$A$2:$A$201,0))</f>
        <v>8.47</v>
      </c>
      <c r="P293" s="3" t="n">
        <f aca="false">INDEX(Summary!$L$2:$L$201,MATCH($B293,Summary!$A$2:$A$201,0))</f>
        <v>2</v>
      </c>
      <c r="Q293" s="3" t="n">
        <f aca="false">INDEX(Summary!$M$2:$M$201,MATCH($B293,Summary!$A$2:$A$201,0))</f>
        <v>4</v>
      </c>
      <c r="R293" s="2" t="n">
        <f aca="false">INDEX(Summary!$N$2:$N$201,MATCH($B293,Summary!$A$2:$A$201,0))</f>
        <v>11.43</v>
      </c>
      <c r="S293" s="3" t="n">
        <f aca="false">INDEX(Summary!$O$2:$O$201,MATCH($B293,Summary!$A$2:$A$201,0))</f>
        <v>8</v>
      </c>
      <c r="T293" s="3" t="n">
        <f aca="false">INDEX(Summary!$P$2:$P$201,MATCH($B293,Summary!$A$2:$A$201,0))</f>
        <v>1</v>
      </c>
      <c r="U293" s="2" t="n">
        <f aca="false">INDEX(Summary!$Q$2:$Q$201,MATCH($B293,Summary!$A$2:$A$201,0))</f>
        <v>12.38</v>
      </c>
      <c r="V293" s="2" t="n">
        <f aca="false">INDEX(Summary!$R$2:$R$201,MATCH($B293,Summary!$A$2:$A$201,0))</f>
        <v>27.97</v>
      </c>
      <c r="W293" s="0" t="str">
        <f aca="false">INDEX(Summary!$S$2:$S$201,MATCH($B293,Summary!$A$2:$A$201,0))</f>
        <v>Silver</v>
      </c>
      <c r="X293" s="2" t="n">
        <f aca="false">INDEX(Summary!$T$2:$T$201,MATCH($B293,Summary!$A$2:$A$201,0))</f>
        <v>68.22</v>
      </c>
      <c r="Y293" s="0" t="str">
        <f aca="false">INDEX('Reward Model'!$E$18:$E$37,MATCH($E293,'Reward Model'!$A$18:$A$37,0))</f>
        <v>Medium</v>
      </c>
      <c r="Z293" s="4" t="n">
        <f aca="false">ROUND(MIN(1,MAX('Reward Model'!$B$2,INDEX('Reward Model'!$C$12:$C$14,MATCH($K293,'Reward Model'!$A$12:$A$14,0))/$J293)),3)</f>
        <v>0.796</v>
      </c>
      <c r="AA293" s="2" t="n">
        <f aca="false">IF($I293="Correct",ROUND(INDEX('Reward Model'!$B$12:$B$14,MATCH($K293,'Reward Model'!$A$12:$A$14,0))*Z293,2),0)</f>
        <v>1.59</v>
      </c>
      <c r="AB293" s="2" t="n">
        <f aca="false">IF($I293="Correct",ROUND(INDEX('Reward Model'!$B$12:$B$14,MATCH($Y293,'Reward Model'!$A$12:$A$14,0))*Z293,2),0)</f>
        <v>1.59</v>
      </c>
    </row>
    <row r="294" customFormat="false" ht="15" hidden="false" customHeight="false" outlineLevel="0" collapsed="false">
      <c r="A294" s="0" t="s">
        <v>147</v>
      </c>
      <c r="B294" s="0" t="s">
        <v>148</v>
      </c>
      <c r="C294" s="0" t="s">
        <v>30</v>
      </c>
      <c r="D294" s="0" t="s">
        <v>31</v>
      </c>
      <c r="E294" s="0" t="n">
        <v>13</v>
      </c>
      <c r="F294" s="0" t="s">
        <v>66</v>
      </c>
      <c r="G294" s="0" t="s">
        <v>124</v>
      </c>
      <c r="H294" s="0" t="s">
        <v>67</v>
      </c>
      <c r="I294" s="0" t="s">
        <v>39</v>
      </c>
      <c r="J294" s="0" t="n">
        <v>1.65</v>
      </c>
      <c r="K294" s="0" t="s">
        <v>60</v>
      </c>
      <c r="L294" s="0" t="n">
        <f aca="false">INDEX(Summary!$F$2:$F$201,MATCH($B294,Summary!$A$2:$A$201,0))</f>
        <v>20</v>
      </c>
      <c r="M294" s="0" t="n">
        <f aca="false">INDEX(Summary!$I$2:$I$201,MATCH($B294,Summary!$A$2:$A$201,0))</f>
        <v>4</v>
      </c>
      <c r="N294" s="0" t="n">
        <f aca="false">INDEX(Summary!$J$2:$J$201,MATCH($B294,Summary!$A$2:$A$201,0))</f>
        <v>1</v>
      </c>
      <c r="O294" s="2" t="n">
        <f aca="false">INDEX(Summary!$K$2:$K$201,MATCH($B294,Summary!$A$2:$A$201,0))</f>
        <v>8.47</v>
      </c>
      <c r="P294" s="3" t="n">
        <f aca="false">INDEX(Summary!$L$2:$L$201,MATCH($B294,Summary!$A$2:$A$201,0))</f>
        <v>2</v>
      </c>
      <c r="Q294" s="3" t="n">
        <f aca="false">INDEX(Summary!$M$2:$M$201,MATCH($B294,Summary!$A$2:$A$201,0))</f>
        <v>4</v>
      </c>
      <c r="R294" s="2" t="n">
        <f aca="false">INDEX(Summary!$N$2:$N$201,MATCH($B294,Summary!$A$2:$A$201,0))</f>
        <v>11.43</v>
      </c>
      <c r="S294" s="3" t="n">
        <f aca="false">INDEX(Summary!$O$2:$O$201,MATCH($B294,Summary!$A$2:$A$201,0))</f>
        <v>8</v>
      </c>
      <c r="T294" s="3" t="n">
        <f aca="false">INDEX(Summary!$P$2:$P$201,MATCH($B294,Summary!$A$2:$A$201,0))</f>
        <v>1</v>
      </c>
      <c r="U294" s="2" t="n">
        <f aca="false">INDEX(Summary!$Q$2:$Q$201,MATCH($B294,Summary!$A$2:$A$201,0))</f>
        <v>12.38</v>
      </c>
      <c r="V294" s="2" t="n">
        <f aca="false">INDEX(Summary!$R$2:$R$201,MATCH($B294,Summary!$A$2:$A$201,0))</f>
        <v>27.97</v>
      </c>
      <c r="W294" s="0" t="str">
        <f aca="false">INDEX(Summary!$S$2:$S$201,MATCH($B294,Summary!$A$2:$A$201,0))</f>
        <v>Silver</v>
      </c>
      <c r="X294" s="2" t="n">
        <f aca="false">INDEX(Summary!$T$2:$T$201,MATCH($B294,Summary!$A$2:$A$201,0))</f>
        <v>68.22</v>
      </c>
      <c r="Y294" s="0" t="str">
        <f aca="false">INDEX('Reward Model'!$E$18:$E$37,MATCH($E294,'Reward Model'!$A$18:$A$37,0))</f>
        <v>Medium</v>
      </c>
      <c r="Z294" s="4" t="n">
        <f aca="false">ROUND(MIN(1,MAX('Reward Model'!$B$2,INDEX('Reward Model'!$C$12:$C$14,MATCH($K294,'Reward Model'!$A$12:$A$14,0))/$J294)),3)</f>
        <v>1</v>
      </c>
      <c r="AA294" s="2" t="n">
        <f aca="false">IF($I294="Correct",ROUND(INDEX('Reward Model'!$B$12:$B$14,MATCH($K294,'Reward Model'!$A$12:$A$14,0))*Z294,2),0)</f>
        <v>0</v>
      </c>
      <c r="AB294" s="2" t="n">
        <f aca="false">IF($I294="Correct",ROUND(INDEX('Reward Model'!$B$12:$B$14,MATCH($Y294,'Reward Model'!$A$12:$A$14,0))*Z294,2),0)</f>
        <v>0</v>
      </c>
    </row>
    <row r="295" customFormat="false" ht="15" hidden="false" customHeight="false" outlineLevel="0" collapsed="false">
      <c r="A295" s="0" t="s">
        <v>147</v>
      </c>
      <c r="B295" s="0" t="s">
        <v>148</v>
      </c>
      <c r="C295" s="0" t="s">
        <v>30</v>
      </c>
      <c r="D295" s="0" t="s">
        <v>31</v>
      </c>
      <c r="E295" s="0" t="n">
        <v>14</v>
      </c>
      <c r="F295" s="0" t="s">
        <v>68</v>
      </c>
      <c r="G295" s="0" t="s">
        <v>51</v>
      </c>
      <c r="H295" s="0" t="s">
        <v>51</v>
      </c>
      <c r="I295" s="0" t="s">
        <v>34</v>
      </c>
      <c r="J295" s="0" t="n">
        <v>1.52</v>
      </c>
      <c r="K295" s="0" t="s">
        <v>60</v>
      </c>
      <c r="L295" s="0" t="n">
        <f aca="false">INDEX(Summary!$F$2:$F$201,MATCH($B295,Summary!$A$2:$A$201,0))</f>
        <v>20</v>
      </c>
      <c r="M295" s="0" t="n">
        <f aca="false">INDEX(Summary!$I$2:$I$201,MATCH($B295,Summary!$A$2:$A$201,0))</f>
        <v>4</v>
      </c>
      <c r="N295" s="0" t="n">
        <f aca="false">INDEX(Summary!$J$2:$J$201,MATCH($B295,Summary!$A$2:$A$201,0))</f>
        <v>1</v>
      </c>
      <c r="O295" s="2" t="n">
        <f aca="false">INDEX(Summary!$K$2:$K$201,MATCH($B295,Summary!$A$2:$A$201,0))</f>
        <v>8.47</v>
      </c>
      <c r="P295" s="3" t="n">
        <f aca="false">INDEX(Summary!$L$2:$L$201,MATCH($B295,Summary!$A$2:$A$201,0))</f>
        <v>2</v>
      </c>
      <c r="Q295" s="3" t="n">
        <f aca="false">INDEX(Summary!$M$2:$M$201,MATCH($B295,Summary!$A$2:$A$201,0))</f>
        <v>4</v>
      </c>
      <c r="R295" s="2" t="n">
        <f aca="false">INDEX(Summary!$N$2:$N$201,MATCH($B295,Summary!$A$2:$A$201,0))</f>
        <v>11.43</v>
      </c>
      <c r="S295" s="3" t="n">
        <f aca="false">INDEX(Summary!$O$2:$O$201,MATCH($B295,Summary!$A$2:$A$201,0))</f>
        <v>8</v>
      </c>
      <c r="T295" s="3" t="n">
        <f aca="false">INDEX(Summary!$P$2:$P$201,MATCH($B295,Summary!$A$2:$A$201,0))</f>
        <v>1</v>
      </c>
      <c r="U295" s="2" t="n">
        <f aca="false">INDEX(Summary!$Q$2:$Q$201,MATCH($B295,Summary!$A$2:$A$201,0))</f>
        <v>12.38</v>
      </c>
      <c r="V295" s="2" t="n">
        <f aca="false">INDEX(Summary!$R$2:$R$201,MATCH($B295,Summary!$A$2:$A$201,0))</f>
        <v>27.97</v>
      </c>
      <c r="W295" s="0" t="str">
        <f aca="false">INDEX(Summary!$S$2:$S$201,MATCH($B295,Summary!$A$2:$A$201,0))</f>
        <v>Silver</v>
      </c>
      <c r="X295" s="2" t="n">
        <f aca="false">INDEX(Summary!$T$2:$T$201,MATCH($B295,Summary!$A$2:$A$201,0))</f>
        <v>68.22</v>
      </c>
      <c r="Y295" s="0" t="str">
        <f aca="false">INDEX('Reward Model'!$E$18:$E$37,MATCH($E295,'Reward Model'!$A$18:$A$37,0))</f>
        <v>Medium</v>
      </c>
      <c r="Z295" s="4" t="n">
        <f aca="false">ROUND(MIN(1,MAX('Reward Model'!$B$2,INDEX('Reward Model'!$C$12:$C$14,MATCH($K295,'Reward Model'!$A$12:$A$14,0))/$J295)),3)</f>
        <v>1</v>
      </c>
      <c r="AA295" s="2" t="n">
        <f aca="false">IF($I295="Correct",ROUND(INDEX('Reward Model'!$B$12:$B$14,MATCH($K295,'Reward Model'!$A$12:$A$14,0))*Z295,2),0)</f>
        <v>2</v>
      </c>
      <c r="AB295" s="2" t="n">
        <f aca="false">IF($I295="Correct",ROUND(INDEX('Reward Model'!$B$12:$B$14,MATCH($Y295,'Reward Model'!$A$12:$A$14,0))*Z295,2),0)</f>
        <v>2</v>
      </c>
    </row>
    <row r="296" customFormat="false" ht="15" hidden="false" customHeight="false" outlineLevel="0" collapsed="false">
      <c r="A296" s="0" t="s">
        <v>147</v>
      </c>
      <c r="B296" s="0" t="s">
        <v>148</v>
      </c>
      <c r="C296" s="0" t="s">
        <v>30</v>
      </c>
      <c r="D296" s="0" t="s">
        <v>31</v>
      </c>
      <c r="E296" s="0" t="n">
        <v>15</v>
      </c>
      <c r="F296" s="0" t="s">
        <v>69</v>
      </c>
      <c r="G296" s="0" t="s">
        <v>139</v>
      </c>
      <c r="H296" s="0" t="s">
        <v>70</v>
      </c>
      <c r="I296" s="0" t="s">
        <v>39</v>
      </c>
      <c r="J296" s="0" t="n">
        <v>2.09</v>
      </c>
      <c r="K296" s="0" t="s">
        <v>60</v>
      </c>
      <c r="L296" s="0" t="n">
        <f aca="false">INDEX(Summary!$F$2:$F$201,MATCH($B296,Summary!$A$2:$A$201,0))</f>
        <v>20</v>
      </c>
      <c r="M296" s="0" t="n">
        <f aca="false">INDEX(Summary!$I$2:$I$201,MATCH($B296,Summary!$A$2:$A$201,0))</f>
        <v>4</v>
      </c>
      <c r="N296" s="0" t="n">
        <f aca="false">INDEX(Summary!$J$2:$J$201,MATCH($B296,Summary!$A$2:$A$201,0))</f>
        <v>1</v>
      </c>
      <c r="O296" s="2" t="n">
        <f aca="false">INDEX(Summary!$K$2:$K$201,MATCH($B296,Summary!$A$2:$A$201,0))</f>
        <v>8.47</v>
      </c>
      <c r="P296" s="3" t="n">
        <f aca="false">INDEX(Summary!$L$2:$L$201,MATCH($B296,Summary!$A$2:$A$201,0))</f>
        <v>2</v>
      </c>
      <c r="Q296" s="3" t="n">
        <f aca="false">INDEX(Summary!$M$2:$M$201,MATCH($B296,Summary!$A$2:$A$201,0))</f>
        <v>4</v>
      </c>
      <c r="R296" s="2" t="n">
        <f aca="false">INDEX(Summary!$N$2:$N$201,MATCH($B296,Summary!$A$2:$A$201,0))</f>
        <v>11.43</v>
      </c>
      <c r="S296" s="3" t="n">
        <f aca="false">INDEX(Summary!$O$2:$O$201,MATCH($B296,Summary!$A$2:$A$201,0))</f>
        <v>8</v>
      </c>
      <c r="T296" s="3" t="n">
        <f aca="false">INDEX(Summary!$P$2:$P$201,MATCH($B296,Summary!$A$2:$A$201,0))</f>
        <v>1</v>
      </c>
      <c r="U296" s="2" t="n">
        <f aca="false">INDEX(Summary!$Q$2:$Q$201,MATCH($B296,Summary!$A$2:$A$201,0))</f>
        <v>12.38</v>
      </c>
      <c r="V296" s="2" t="n">
        <f aca="false">INDEX(Summary!$R$2:$R$201,MATCH($B296,Summary!$A$2:$A$201,0))</f>
        <v>27.97</v>
      </c>
      <c r="W296" s="0" t="str">
        <f aca="false">INDEX(Summary!$S$2:$S$201,MATCH($B296,Summary!$A$2:$A$201,0))</f>
        <v>Silver</v>
      </c>
      <c r="X296" s="2" t="n">
        <f aca="false">INDEX(Summary!$T$2:$T$201,MATCH($B296,Summary!$A$2:$A$201,0))</f>
        <v>68.22</v>
      </c>
      <c r="Y296" s="0" t="str">
        <f aca="false">INDEX('Reward Model'!$E$18:$E$37,MATCH($E296,'Reward Model'!$A$18:$A$37,0))</f>
        <v>Medium</v>
      </c>
      <c r="Z296" s="4" t="n">
        <f aca="false">ROUND(MIN(1,MAX('Reward Model'!$B$2,INDEX('Reward Model'!$C$12:$C$14,MATCH($K296,'Reward Model'!$A$12:$A$14,0))/$J296)),3)</f>
        <v>0.861</v>
      </c>
      <c r="AA296" s="2" t="n">
        <f aca="false">IF($I296="Correct",ROUND(INDEX('Reward Model'!$B$12:$B$14,MATCH($K296,'Reward Model'!$A$12:$A$14,0))*Z296,2),0)</f>
        <v>0</v>
      </c>
      <c r="AB296" s="2" t="n">
        <f aca="false">IF($I296="Correct",ROUND(INDEX('Reward Model'!$B$12:$B$14,MATCH($Y296,'Reward Model'!$A$12:$A$14,0))*Z296,2),0)</f>
        <v>0</v>
      </c>
    </row>
    <row r="297" customFormat="false" ht="15" hidden="false" customHeight="false" outlineLevel="0" collapsed="false">
      <c r="A297" s="0" t="s">
        <v>147</v>
      </c>
      <c r="B297" s="0" t="s">
        <v>148</v>
      </c>
      <c r="C297" s="0" t="s">
        <v>30</v>
      </c>
      <c r="D297" s="0" t="s">
        <v>31</v>
      </c>
      <c r="E297" s="0" t="n">
        <v>16</v>
      </c>
      <c r="F297" s="0" t="s">
        <v>71</v>
      </c>
      <c r="G297" s="0" t="s">
        <v>87</v>
      </c>
      <c r="H297" s="0" t="s">
        <v>72</v>
      </c>
      <c r="I297" s="0" t="s">
        <v>39</v>
      </c>
      <c r="J297" s="0" t="n">
        <v>2.34</v>
      </c>
      <c r="K297" s="0" t="s">
        <v>73</v>
      </c>
      <c r="L297" s="0" t="n">
        <f aca="false">INDEX(Summary!$F$2:$F$201,MATCH($B297,Summary!$A$2:$A$201,0))</f>
        <v>20</v>
      </c>
      <c r="M297" s="0" t="n">
        <f aca="false">INDEX(Summary!$I$2:$I$201,MATCH($B297,Summary!$A$2:$A$201,0))</f>
        <v>4</v>
      </c>
      <c r="N297" s="0" t="n">
        <f aca="false">INDEX(Summary!$J$2:$J$201,MATCH($B297,Summary!$A$2:$A$201,0))</f>
        <v>1</v>
      </c>
      <c r="O297" s="2" t="n">
        <f aca="false">INDEX(Summary!$K$2:$K$201,MATCH($B297,Summary!$A$2:$A$201,0))</f>
        <v>8.47</v>
      </c>
      <c r="P297" s="3" t="n">
        <f aca="false">INDEX(Summary!$L$2:$L$201,MATCH($B297,Summary!$A$2:$A$201,0))</f>
        <v>2</v>
      </c>
      <c r="Q297" s="3" t="n">
        <f aca="false">INDEX(Summary!$M$2:$M$201,MATCH($B297,Summary!$A$2:$A$201,0))</f>
        <v>4</v>
      </c>
      <c r="R297" s="2" t="n">
        <f aca="false">INDEX(Summary!$N$2:$N$201,MATCH($B297,Summary!$A$2:$A$201,0))</f>
        <v>11.43</v>
      </c>
      <c r="S297" s="3" t="n">
        <f aca="false">INDEX(Summary!$O$2:$O$201,MATCH($B297,Summary!$A$2:$A$201,0))</f>
        <v>8</v>
      </c>
      <c r="T297" s="3" t="n">
        <f aca="false">INDEX(Summary!$P$2:$P$201,MATCH($B297,Summary!$A$2:$A$201,0))</f>
        <v>1</v>
      </c>
      <c r="U297" s="2" t="n">
        <f aca="false">INDEX(Summary!$Q$2:$Q$201,MATCH($B297,Summary!$A$2:$A$201,0))</f>
        <v>12.38</v>
      </c>
      <c r="V297" s="2" t="n">
        <f aca="false">INDEX(Summary!$R$2:$R$201,MATCH($B297,Summary!$A$2:$A$201,0))</f>
        <v>27.97</v>
      </c>
      <c r="W297" s="0" t="str">
        <f aca="false">INDEX(Summary!$S$2:$S$201,MATCH($B297,Summary!$A$2:$A$201,0))</f>
        <v>Silver</v>
      </c>
      <c r="X297" s="2" t="n">
        <f aca="false">INDEX(Summary!$T$2:$T$201,MATCH($B297,Summary!$A$2:$A$201,0))</f>
        <v>68.22</v>
      </c>
      <c r="Y297" s="0" t="str">
        <f aca="false">INDEX('Reward Model'!$E$18:$E$37,MATCH($E297,'Reward Model'!$A$18:$A$37,0))</f>
        <v>High</v>
      </c>
      <c r="Z297" s="4" t="n">
        <f aca="false">ROUND(MIN(1,MAX('Reward Model'!$B$2,INDEX('Reward Model'!$C$12:$C$14,MATCH($K297,'Reward Model'!$A$12:$A$14,0))/$J297)),3)</f>
        <v>0.855</v>
      </c>
      <c r="AA297" s="2" t="n">
        <f aca="false">IF($I297="Correct",ROUND(INDEX('Reward Model'!$B$12:$B$14,MATCH($K297,'Reward Model'!$A$12:$A$14,0))*Z297,2),0)</f>
        <v>0</v>
      </c>
      <c r="AB297" s="2" t="n">
        <f aca="false">IF($I297="Correct",ROUND(INDEX('Reward Model'!$B$12:$B$14,MATCH($Y297,'Reward Model'!$A$12:$A$14,0))*Z297,2),0)</f>
        <v>0</v>
      </c>
    </row>
    <row r="298" customFormat="false" ht="15" hidden="false" customHeight="false" outlineLevel="0" collapsed="false">
      <c r="A298" s="0" t="s">
        <v>147</v>
      </c>
      <c r="B298" s="0" t="s">
        <v>148</v>
      </c>
      <c r="C298" s="0" t="s">
        <v>30</v>
      </c>
      <c r="D298" s="0" t="s">
        <v>31</v>
      </c>
      <c r="E298" s="0" t="n">
        <v>17</v>
      </c>
      <c r="F298" s="0" t="s">
        <v>74</v>
      </c>
      <c r="G298" s="0" t="s">
        <v>75</v>
      </c>
      <c r="H298" s="0" t="s">
        <v>75</v>
      </c>
      <c r="I298" s="0" t="s">
        <v>34</v>
      </c>
      <c r="J298" s="0" t="n">
        <v>1.62</v>
      </c>
      <c r="K298" s="0" t="s">
        <v>73</v>
      </c>
      <c r="L298" s="0" t="n">
        <f aca="false">INDEX(Summary!$F$2:$F$201,MATCH($B298,Summary!$A$2:$A$201,0))</f>
        <v>20</v>
      </c>
      <c r="M298" s="0" t="n">
        <f aca="false">INDEX(Summary!$I$2:$I$201,MATCH($B298,Summary!$A$2:$A$201,0))</f>
        <v>4</v>
      </c>
      <c r="N298" s="0" t="n">
        <f aca="false">INDEX(Summary!$J$2:$J$201,MATCH($B298,Summary!$A$2:$A$201,0))</f>
        <v>1</v>
      </c>
      <c r="O298" s="2" t="n">
        <f aca="false">INDEX(Summary!$K$2:$K$201,MATCH($B298,Summary!$A$2:$A$201,0))</f>
        <v>8.47</v>
      </c>
      <c r="P298" s="3" t="n">
        <f aca="false">INDEX(Summary!$L$2:$L$201,MATCH($B298,Summary!$A$2:$A$201,0))</f>
        <v>2</v>
      </c>
      <c r="Q298" s="3" t="n">
        <f aca="false">INDEX(Summary!$M$2:$M$201,MATCH($B298,Summary!$A$2:$A$201,0))</f>
        <v>4</v>
      </c>
      <c r="R298" s="2" t="n">
        <f aca="false">INDEX(Summary!$N$2:$N$201,MATCH($B298,Summary!$A$2:$A$201,0))</f>
        <v>11.43</v>
      </c>
      <c r="S298" s="3" t="n">
        <f aca="false">INDEX(Summary!$O$2:$O$201,MATCH($B298,Summary!$A$2:$A$201,0))</f>
        <v>8</v>
      </c>
      <c r="T298" s="3" t="n">
        <f aca="false">INDEX(Summary!$P$2:$P$201,MATCH($B298,Summary!$A$2:$A$201,0))</f>
        <v>1</v>
      </c>
      <c r="U298" s="2" t="n">
        <f aca="false">INDEX(Summary!$Q$2:$Q$201,MATCH($B298,Summary!$A$2:$A$201,0))</f>
        <v>12.38</v>
      </c>
      <c r="V298" s="2" t="n">
        <f aca="false">INDEX(Summary!$R$2:$R$201,MATCH($B298,Summary!$A$2:$A$201,0))</f>
        <v>27.97</v>
      </c>
      <c r="W298" s="0" t="str">
        <f aca="false">INDEX(Summary!$S$2:$S$201,MATCH($B298,Summary!$A$2:$A$201,0))</f>
        <v>Silver</v>
      </c>
      <c r="X298" s="2" t="n">
        <f aca="false">INDEX(Summary!$T$2:$T$201,MATCH($B298,Summary!$A$2:$A$201,0))</f>
        <v>68.22</v>
      </c>
      <c r="Y298" s="0" t="str">
        <f aca="false">INDEX('Reward Model'!$E$18:$E$37,MATCH($E298,'Reward Model'!$A$18:$A$37,0))</f>
        <v>High</v>
      </c>
      <c r="Z298" s="4" t="n">
        <f aca="false">ROUND(MIN(1,MAX('Reward Model'!$B$2,INDEX('Reward Model'!$C$12:$C$14,MATCH($K298,'Reward Model'!$A$12:$A$14,0))/$J298)),3)</f>
        <v>1</v>
      </c>
      <c r="AA298" s="2" t="n">
        <f aca="false">IF($I298="Correct",ROUND(INDEX('Reward Model'!$B$12:$B$14,MATCH($K298,'Reward Model'!$A$12:$A$14,0))*Z298,2),0)</f>
        <v>3</v>
      </c>
      <c r="AB298" s="2" t="n">
        <f aca="false">IF($I298="Correct",ROUND(INDEX('Reward Model'!$B$12:$B$14,MATCH($Y298,'Reward Model'!$A$12:$A$14,0))*Z298,2),0)</f>
        <v>3</v>
      </c>
    </row>
    <row r="299" customFormat="false" ht="15" hidden="false" customHeight="false" outlineLevel="0" collapsed="false">
      <c r="A299" s="0" t="s">
        <v>147</v>
      </c>
      <c r="B299" s="0" t="s">
        <v>148</v>
      </c>
      <c r="C299" s="0" t="s">
        <v>30</v>
      </c>
      <c r="D299" s="0" t="s">
        <v>31</v>
      </c>
      <c r="E299" s="0" t="n">
        <v>18</v>
      </c>
      <c r="F299" s="0" t="s">
        <v>76</v>
      </c>
      <c r="G299" s="0" t="s">
        <v>77</v>
      </c>
      <c r="H299" s="0" t="s">
        <v>77</v>
      </c>
      <c r="I299" s="0" t="s">
        <v>34</v>
      </c>
      <c r="J299" s="0" t="n">
        <v>1.31</v>
      </c>
      <c r="K299" s="0" t="s">
        <v>73</v>
      </c>
      <c r="L299" s="0" t="n">
        <f aca="false">INDEX(Summary!$F$2:$F$201,MATCH($B299,Summary!$A$2:$A$201,0))</f>
        <v>20</v>
      </c>
      <c r="M299" s="0" t="n">
        <f aca="false">INDEX(Summary!$I$2:$I$201,MATCH($B299,Summary!$A$2:$A$201,0))</f>
        <v>4</v>
      </c>
      <c r="N299" s="0" t="n">
        <f aca="false">INDEX(Summary!$J$2:$J$201,MATCH($B299,Summary!$A$2:$A$201,0))</f>
        <v>1</v>
      </c>
      <c r="O299" s="2" t="n">
        <f aca="false">INDEX(Summary!$K$2:$K$201,MATCH($B299,Summary!$A$2:$A$201,0))</f>
        <v>8.47</v>
      </c>
      <c r="P299" s="3" t="n">
        <f aca="false">INDEX(Summary!$L$2:$L$201,MATCH($B299,Summary!$A$2:$A$201,0))</f>
        <v>2</v>
      </c>
      <c r="Q299" s="3" t="n">
        <f aca="false">INDEX(Summary!$M$2:$M$201,MATCH($B299,Summary!$A$2:$A$201,0))</f>
        <v>4</v>
      </c>
      <c r="R299" s="2" t="n">
        <f aca="false">INDEX(Summary!$N$2:$N$201,MATCH($B299,Summary!$A$2:$A$201,0))</f>
        <v>11.43</v>
      </c>
      <c r="S299" s="3" t="n">
        <f aca="false">INDEX(Summary!$O$2:$O$201,MATCH($B299,Summary!$A$2:$A$201,0))</f>
        <v>8</v>
      </c>
      <c r="T299" s="3" t="n">
        <f aca="false">INDEX(Summary!$P$2:$P$201,MATCH($B299,Summary!$A$2:$A$201,0))</f>
        <v>1</v>
      </c>
      <c r="U299" s="2" t="n">
        <f aca="false">INDEX(Summary!$Q$2:$Q$201,MATCH($B299,Summary!$A$2:$A$201,0))</f>
        <v>12.38</v>
      </c>
      <c r="V299" s="2" t="n">
        <f aca="false">INDEX(Summary!$R$2:$R$201,MATCH($B299,Summary!$A$2:$A$201,0))</f>
        <v>27.97</v>
      </c>
      <c r="W299" s="0" t="str">
        <f aca="false">INDEX(Summary!$S$2:$S$201,MATCH($B299,Summary!$A$2:$A$201,0))</f>
        <v>Silver</v>
      </c>
      <c r="X299" s="2" t="n">
        <f aca="false">INDEX(Summary!$T$2:$T$201,MATCH($B299,Summary!$A$2:$A$201,0))</f>
        <v>68.22</v>
      </c>
      <c r="Y299" s="0" t="str">
        <f aca="false">INDEX('Reward Model'!$E$18:$E$37,MATCH($E299,'Reward Model'!$A$18:$A$37,0))</f>
        <v>High</v>
      </c>
      <c r="Z299" s="4" t="n">
        <f aca="false">ROUND(MIN(1,MAX('Reward Model'!$B$2,INDEX('Reward Model'!$C$12:$C$14,MATCH($K299,'Reward Model'!$A$12:$A$14,0))/$J299)),3)</f>
        <v>1</v>
      </c>
      <c r="AA299" s="2" t="n">
        <f aca="false">IF($I299="Correct",ROUND(INDEX('Reward Model'!$B$12:$B$14,MATCH($K299,'Reward Model'!$A$12:$A$14,0))*Z299,2),0)</f>
        <v>3</v>
      </c>
      <c r="AB299" s="2" t="n">
        <f aca="false">IF($I299="Correct",ROUND(INDEX('Reward Model'!$B$12:$B$14,MATCH($Y299,'Reward Model'!$A$12:$A$14,0))*Z299,2),0)</f>
        <v>3</v>
      </c>
    </row>
    <row r="300" customFormat="false" ht="15" hidden="false" customHeight="false" outlineLevel="0" collapsed="false">
      <c r="A300" s="0" t="s">
        <v>147</v>
      </c>
      <c r="B300" s="0" t="s">
        <v>148</v>
      </c>
      <c r="C300" s="0" t="s">
        <v>30</v>
      </c>
      <c r="D300" s="0" t="s">
        <v>31</v>
      </c>
      <c r="E300" s="0" t="n">
        <v>19</v>
      </c>
      <c r="F300" s="0" t="s">
        <v>78</v>
      </c>
      <c r="G300" s="0" t="s">
        <v>80</v>
      </c>
      <c r="H300" s="0" t="s">
        <v>80</v>
      </c>
      <c r="I300" s="0" t="s">
        <v>34</v>
      </c>
      <c r="J300" s="0" t="n">
        <v>1.26</v>
      </c>
      <c r="K300" s="0" t="s">
        <v>73</v>
      </c>
      <c r="L300" s="0" t="n">
        <f aca="false">INDEX(Summary!$F$2:$F$201,MATCH($B300,Summary!$A$2:$A$201,0))</f>
        <v>20</v>
      </c>
      <c r="M300" s="0" t="n">
        <f aca="false">INDEX(Summary!$I$2:$I$201,MATCH($B300,Summary!$A$2:$A$201,0))</f>
        <v>4</v>
      </c>
      <c r="N300" s="0" t="n">
        <f aca="false">INDEX(Summary!$J$2:$J$201,MATCH($B300,Summary!$A$2:$A$201,0))</f>
        <v>1</v>
      </c>
      <c r="O300" s="2" t="n">
        <f aca="false">INDEX(Summary!$K$2:$K$201,MATCH($B300,Summary!$A$2:$A$201,0))</f>
        <v>8.47</v>
      </c>
      <c r="P300" s="3" t="n">
        <f aca="false">INDEX(Summary!$L$2:$L$201,MATCH($B300,Summary!$A$2:$A$201,0))</f>
        <v>2</v>
      </c>
      <c r="Q300" s="3" t="n">
        <f aca="false">INDEX(Summary!$M$2:$M$201,MATCH($B300,Summary!$A$2:$A$201,0))</f>
        <v>4</v>
      </c>
      <c r="R300" s="2" t="n">
        <f aca="false">INDEX(Summary!$N$2:$N$201,MATCH($B300,Summary!$A$2:$A$201,0))</f>
        <v>11.43</v>
      </c>
      <c r="S300" s="3" t="n">
        <f aca="false">INDEX(Summary!$O$2:$O$201,MATCH($B300,Summary!$A$2:$A$201,0))</f>
        <v>8</v>
      </c>
      <c r="T300" s="3" t="n">
        <f aca="false">INDEX(Summary!$P$2:$P$201,MATCH($B300,Summary!$A$2:$A$201,0))</f>
        <v>1</v>
      </c>
      <c r="U300" s="2" t="n">
        <f aca="false">INDEX(Summary!$Q$2:$Q$201,MATCH($B300,Summary!$A$2:$A$201,0))</f>
        <v>12.38</v>
      </c>
      <c r="V300" s="2" t="n">
        <f aca="false">INDEX(Summary!$R$2:$R$201,MATCH($B300,Summary!$A$2:$A$201,0))</f>
        <v>27.97</v>
      </c>
      <c r="W300" s="0" t="str">
        <f aca="false">INDEX(Summary!$S$2:$S$201,MATCH($B300,Summary!$A$2:$A$201,0))</f>
        <v>Silver</v>
      </c>
      <c r="X300" s="2" t="n">
        <f aca="false">INDEX(Summary!$T$2:$T$201,MATCH($B300,Summary!$A$2:$A$201,0))</f>
        <v>68.22</v>
      </c>
      <c r="Y300" s="0" t="str">
        <f aca="false">INDEX('Reward Model'!$E$18:$E$37,MATCH($E300,'Reward Model'!$A$18:$A$37,0))</f>
        <v>High</v>
      </c>
      <c r="Z300" s="4" t="n">
        <f aca="false">ROUND(MIN(1,MAX('Reward Model'!$B$2,INDEX('Reward Model'!$C$12:$C$14,MATCH($K300,'Reward Model'!$A$12:$A$14,0))/$J300)),3)</f>
        <v>1</v>
      </c>
      <c r="AA300" s="2" t="n">
        <f aca="false">IF($I300="Correct",ROUND(INDEX('Reward Model'!$B$12:$B$14,MATCH($K300,'Reward Model'!$A$12:$A$14,0))*Z300,2),0)</f>
        <v>3</v>
      </c>
      <c r="AB300" s="2" t="n">
        <f aca="false">IF($I300="Correct",ROUND(INDEX('Reward Model'!$B$12:$B$14,MATCH($Y300,'Reward Model'!$A$12:$A$14,0))*Z300,2),0)</f>
        <v>3</v>
      </c>
    </row>
    <row r="301" customFormat="false" ht="15" hidden="false" customHeight="false" outlineLevel="0" collapsed="false">
      <c r="A301" s="0" t="s">
        <v>147</v>
      </c>
      <c r="B301" s="0" t="s">
        <v>148</v>
      </c>
      <c r="C301" s="0" t="s">
        <v>30</v>
      </c>
      <c r="D301" s="0" t="s">
        <v>31</v>
      </c>
      <c r="E301" s="0" t="n">
        <v>20</v>
      </c>
      <c r="F301" s="0" t="s">
        <v>81</v>
      </c>
      <c r="G301" s="0" t="s">
        <v>83</v>
      </c>
      <c r="H301" s="0" t="s">
        <v>83</v>
      </c>
      <c r="I301" s="0" t="s">
        <v>34</v>
      </c>
      <c r="J301" s="0" t="n">
        <v>1.94</v>
      </c>
      <c r="K301" s="0" t="s">
        <v>73</v>
      </c>
      <c r="L301" s="0" t="n">
        <f aca="false">INDEX(Summary!$F$2:$F$201,MATCH($B301,Summary!$A$2:$A$201,0))</f>
        <v>20</v>
      </c>
      <c r="M301" s="0" t="n">
        <f aca="false">INDEX(Summary!$I$2:$I$201,MATCH($B301,Summary!$A$2:$A$201,0))</f>
        <v>4</v>
      </c>
      <c r="N301" s="0" t="n">
        <f aca="false">INDEX(Summary!$J$2:$J$201,MATCH($B301,Summary!$A$2:$A$201,0))</f>
        <v>1</v>
      </c>
      <c r="O301" s="2" t="n">
        <f aca="false">INDEX(Summary!$K$2:$K$201,MATCH($B301,Summary!$A$2:$A$201,0))</f>
        <v>8.47</v>
      </c>
      <c r="P301" s="3" t="n">
        <f aca="false">INDEX(Summary!$L$2:$L$201,MATCH($B301,Summary!$A$2:$A$201,0))</f>
        <v>2</v>
      </c>
      <c r="Q301" s="3" t="n">
        <f aca="false">INDEX(Summary!$M$2:$M$201,MATCH($B301,Summary!$A$2:$A$201,0))</f>
        <v>4</v>
      </c>
      <c r="R301" s="2" t="n">
        <f aca="false">INDEX(Summary!$N$2:$N$201,MATCH($B301,Summary!$A$2:$A$201,0))</f>
        <v>11.43</v>
      </c>
      <c r="S301" s="3" t="n">
        <f aca="false">INDEX(Summary!$O$2:$O$201,MATCH($B301,Summary!$A$2:$A$201,0))</f>
        <v>8</v>
      </c>
      <c r="T301" s="3" t="n">
        <f aca="false">INDEX(Summary!$P$2:$P$201,MATCH($B301,Summary!$A$2:$A$201,0))</f>
        <v>1</v>
      </c>
      <c r="U301" s="2" t="n">
        <f aca="false">INDEX(Summary!$Q$2:$Q$201,MATCH($B301,Summary!$A$2:$A$201,0))</f>
        <v>12.38</v>
      </c>
      <c r="V301" s="2" t="n">
        <f aca="false">INDEX(Summary!$R$2:$R$201,MATCH($B301,Summary!$A$2:$A$201,0))</f>
        <v>27.97</v>
      </c>
      <c r="W301" s="0" t="str">
        <f aca="false">INDEX(Summary!$S$2:$S$201,MATCH($B301,Summary!$A$2:$A$201,0))</f>
        <v>Silver</v>
      </c>
      <c r="X301" s="2" t="n">
        <f aca="false">INDEX(Summary!$T$2:$T$201,MATCH($B301,Summary!$A$2:$A$201,0))</f>
        <v>68.22</v>
      </c>
      <c r="Y301" s="0" t="str">
        <f aca="false">INDEX('Reward Model'!$E$18:$E$37,MATCH($E301,'Reward Model'!$A$18:$A$37,0))</f>
        <v>High</v>
      </c>
      <c r="Z301" s="4" t="n">
        <f aca="false">ROUND(MIN(1,MAX('Reward Model'!$B$2,INDEX('Reward Model'!$C$12:$C$14,MATCH($K301,'Reward Model'!$A$12:$A$14,0))/$J301)),3)</f>
        <v>1</v>
      </c>
      <c r="AA301" s="2" t="n">
        <f aca="false">IF($I301="Correct",ROUND(INDEX('Reward Model'!$B$12:$B$14,MATCH($K301,'Reward Model'!$A$12:$A$14,0))*Z301,2),0)</f>
        <v>3</v>
      </c>
      <c r="AB301" s="2" t="n">
        <f aca="false">IF($I301="Correct",ROUND(INDEX('Reward Model'!$B$12:$B$14,MATCH($Y301,'Reward Model'!$A$12:$A$14,0))*Z301,2),0)</f>
        <v>3</v>
      </c>
    </row>
    <row r="302" customFormat="false" ht="15" hidden="false" customHeight="false" outlineLevel="0" collapsed="false">
      <c r="A302" s="0" t="s">
        <v>151</v>
      </c>
      <c r="B302" s="0" t="s">
        <v>152</v>
      </c>
      <c r="C302" s="0" t="s">
        <v>30</v>
      </c>
      <c r="D302" s="0" t="s">
        <v>31</v>
      </c>
      <c r="E302" s="0" t="n">
        <v>1</v>
      </c>
      <c r="F302" s="0" t="s">
        <v>32</v>
      </c>
      <c r="G302" s="0" t="s">
        <v>33</v>
      </c>
      <c r="H302" s="0" t="s">
        <v>33</v>
      </c>
      <c r="I302" s="0" t="s">
        <v>34</v>
      </c>
      <c r="J302" s="0" t="n">
        <v>1.24</v>
      </c>
      <c r="K302" s="0" t="s">
        <v>35</v>
      </c>
      <c r="L302" s="0" t="n">
        <f aca="false">INDEX(Summary!$F$2:$F$201,MATCH($B302,Summary!$A$2:$A$201,0))</f>
        <v>20</v>
      </c>
      <c r="M302" s="0" t="n">
        <f aca="false">INDEX(Summary!$I$2:$I$201,MATCH($B302,Summary!$A$2:$A$201,0))</f>
        <v>2</v>
      </c>
      <c r="N302" s="0" t="n">
        <f aca="false">INDEX(Summary!$J$2:$J$201,MATCH($B302,Summary!$A$2:$A$201,0))</f>
        <v>3</v>
      </c>
      <c r="O302" s="2" t="n">
        <f aca="false">INDEX(Summary!$K$2:$K$201,MATCH($B302,Summary!$A$2:$A$201,0))</f>
        <v>8.05</v>
      </c>
      <c r="P302" s="3" t="n">
        <f aca="false">INDEX(Summary!$L$2:$L$201,MATCH($B302,Summary!$A$2:$A$201,0))</f>
        <v>5</v>
      </c>
      <c r="Q302" s="3" t="n">
        <f aca="false">INDEX(Summary!$M$2:$M$201,MATCH($B302,Summary!$A$2:$A$201,0))</f>
        <v>1</v>
      </c>
      <c r="R302" s="2" t="n">
        <f aca="false">INDEX(Summary!$N$2:$N$201,MATCH($B302,Summary!$A$2:$A$201,0))</f>
        <v>8.78</v>
      </c>
      <c r="S302" s="3" t="n">
        <f aca="false">INDEX(Summary!$O$2:$O$201,MATCH($B302,Summary!$A$2:$A$201,0))</f>
        <v>8</v>
      </c>
      <c r="T302" s="3" t="n">
        <f aca="false">INDEX(Summary!$P$2:$P$201,MATCH($B302,Summary!$A$2:$A$201,0))</f>
        <v>1</v>
      </c>
      <c r="U302" s="2" t="n">
        <f aca="false">INDEX(Summary!$Q$2:$Q$201,MATCH($B302,Summary!$A$2:$A$201,0))</f>
        <v>12.14</v>
      </c>
      <c r="V302" s="2" t="n">
        <f aca="false">INDEX(Summary!$R$2:$R$201,MATCH($B302,Summary!$A$2:$A$201,0))</f>
        <v>27.81</v>
      </c>
      <c r="W302" s="0" t="str">
        <f aca="false">INDEX(Summary!$S$2:$S$201,MATCH($B302,Summary!$A$2:$A$201,0))</f>
        <v>Silver</v>
      </c>
      <c r="X302" s="2" t="n">
        <f aca="false">INDEX(Summary!$T$2:$T$201,MATCH($B302,Summary!$A$2:$A$201,0))</f>
        <v>67.83</v>
      </c>
      <c r="Y302" s="0" t="str">
        <f aca="false">INDEX('Reward Model'!$E$18:$E$37,MATCH($E302,'Reward Model'!$A$18:$A$37,0))</f>
        <v>Medium</v>
      </c>
      <c r="Z302" s="4" t="n">
        <f aca="false">ROUND(MIN(1,MAX('Reward Model'!$B$2,INDEX('Reward Model'!$C$12:$C$14,MATCH($K302,'Reward Model'!$A$12:$A$14,0))/$J302)),3)</f>
        <v>1</v>
      </c>
      <c r="AA302" s="2" t="n">
        <f aca="false">IF($I302="Correct",ROUND(INDEX('Reward Model'!$B$12:$B$14,MATCH($K302,'Reward Model'!$A$12:$A$14,0))*Z302,2),0)</f>
        <v>1</v>
      </c>
      <c r="AB302" s="2" t="n">
        <f aca="false">IF($I302="Correct",ROUND(INDEX('Reward Model'!$B$12:$B$14,MATCH($Y302,'Reward Model'!$A$12:$A$14,0))*Z302,2),0)</f>
        <v>2</v>
      </c>
    </row>
    <row r="303" customFormat="false" ht="15" hidden="false" customHeight="false" outlineLevel="0" collapsed="false">
      <c r="A303" s="0" t="s">
        <v>151</v>
      </c>
      <c r="B303" s="0" t="s">
        <v>152</v>
      </c>
      <c r="C303" s="0" t="s">
        <v>30</v>
      </c>
      <c r="D303" s="0" t="s">
        <v>31</v>
      </c>
      <c r="E303" s="0" t="n">
        <v>2</v>
      </c>
      <c r="F303" s="0" t="s">
        <v>36</v>
      </c>
      <c r="G303" s="0" t="s">
        <v>38</v>
      </c>
      <c r="H303" s="0" t="s">
        <v>38</v>
      </c>
      <c r="I303" s="0" t="s">
        <v>34</v>
      </c>
      <c r="J303" s="0" t="n">
        <v>1.42</v>
      </c>
      <c r="K303" s="0" t="s">
        <v>35</v>
      </c>
      <c r="L303" s="0" t="n">
        <f aca="false">INDEX(Summary!$F$2:$F$201,MATCH($B303,Summary!$A$2:$A$201,0))</f>
        <v>20</v>
      </c>
      <c r="M303" s="0" t="n">
        <f aca="false">INDEX(Summary!$I$2:$I$201,MATCH($B303,Summary!$A$2:$A$201,0))</f>
        <v>2</v>
      </c>
      <c r="N303" s="0" t="n">
        <f aca="false">INDEX(Summary!$J$2:$J$201,MATCH($B303,Summary!$A$2:$A$201,0))</f>
        <v>3</v>
      </c>
      <c r="O303" s="2" t="n">
        <f aca="false">INDEX(Summary!$K$2:$K$201,MATCH($B303,Summary!$A$2:$A$201,0))</f>
        <v>8.05</v>
      </c>
      <c r="P303" s="3" t="n">
        <f aca="false">INDEX(Summary!$L$2:$L$201,MATCH($B303,Summary!$A$2:$A$201,0))</f>
        <v>5</v>
      </c>
      <c r="Q303" s="3" t="n">
        <f aca="false">INDEX(Summary!$M$2:$M$201,MATCH($B303,Summary!$A$2:$A$201,0))</f>
        <v>1</v>
      </c>
      <c r="R303" s="2" t="n">
        <f aca="false">INDEX(Summary!$N$2:$N$201,MATCH($B303,Summary!$A$2:$A$201,0))</f>
        <v>8.78</v>
      </c>
      <c r="S303" s="3" t="n">
        <f aca="false">INDEX(Summary!$O$2:$O$201,MATCH($B303,Summary!$A$2:$A$201,0))</f>
        <v>8</v>
      </c>
      <c r="T303" s="3" t="n">
        <f aca="false">INDEX(Summary!$P$2:$P$201,MATCH($B303,Summary!$A$2:$A$201,0))</f>
        <v>1</v>
      </c>
      <c r="U303" s="2" t="n">
        <f aca="false">INDEX(Summary!$Q$2:$Q$201,MATCH($B303,Summary!$A$2:$A$201,0))</f>
        <v>12.14</v>
      </c>
      <c r="V303" s="2" t="n">
        <f aca="false">INDEX(Summary!$R$2:$R$201,MATCH($B303,Summary!$A$2:$A$201,0))</f>
        <v>27.81</v>
      </c>
      <c r="W303" s="0" t="str">
        <f aca="false">INDEX(Summary!$S$2:$S$201,MATCH($B303,Summary!$A$2:$A$201,0))</f>
        <v>Silver</v>
      </c>
      <c r="X303" s="2" t="n">
        <f aca="false">INDEX(Summary!$T$2:$T$201,MATCH($B303,Summary!$A$2:$A$201,0))</f>
        <v>67.83</v>
      </c>
      <c r="Y303" s="0" t="str">
        <f aca="false">INDEX('Reward Model'!$E$18:$E$37,MATCH($E303,'Reward Model'!$A$18:$A$37,0))</f>
        <v>Low</v>
      </c>
      <c r="Z303" s="4" t="n">
        <f aca="false">ROUND(MIN(1,MAX('Reward Model'!$B$2,INDEX('Reward Model'!$C$12:$C$14,MATCH($K303,'Reward Model'!$A$12:$A$14,0))/$J303)),3)</f>
        <v>1</v>
      </c>
      <c r="AA303" s="2" t="n">
        <f aca="false">IF($I303="Correct",ROUND(INDEX('Reward Model'!$B$12:$B$14,MATCH($K303,'Reward Model'!$A$12:$A$14,0))*Z303,2),0)</f>
        <v>1</v>
      </c>
      <c r="AB303" s="2" t="n">
        <f aca="false">IF($I303="Correct",ROUND(INDEX('Reward Model'!$B$12:$B$14,MATCH($Y303,'Reward Model'!$A$12:$A$14,0))*Z303,2),0)</f>
        <v>1</v>
      </c>
    </row>
    <row r="304" customFormat="false" ht="15" hidden="false" customHeight="false" outlineLevel="0" collapsed="false">
      <c r="A304" s="0" t="s">
        <v>151</v>
      </c>
      <c r="B304" s="0" t="s">
        <v>152</v>
      </c>
      <c r="C304" s="0" t="s">
        <v>30</v>
      </c>
      <c r="D304" s="0" t="s">
        <v>31</v>
      </c>
      <c r="E304" s="0" t="n">
        <v>3</v>
      </c>
      <c r="F304" s="0" t="s">
        <v>40</v>
      </c>
      <c r="G304" s="0" t="s">
        <v>41</v>
      </c>
      <c r="H304" s="0" t="s">
        <v>42</v>
      </c>
      <c r="I304" s="0" t="s">
        <v>39</v>
      </c>
      <c r="J304" s="0" t="n">
        <v>1.69</v>
      </c>
      <c r="K304" s="0" t="s">
        <v>35</v>
      </c>
      <c r="L304" s="0" t="n">
        <f aca="false">INDEX(Summary!$F$2:$F$201,MATCH($B304,Summary!$A$2:$A$201,0))</f>
        <v>20</v>
      </c>
      <c r="M304" s="0" t="n">
        <f aca="false">INDEX(Summary!$I$2:$I$201,MATCH($B304,Summary!$A$2:$A$201,0))</f>
        <v>2</v>
      </c>
      <c r="N304" s="0" t="n">
        <f aca="false">INDEX(Summary!$J$2:$J$201,MATCH($B304,Summary!$A$2:$A$201,0))</f>
        <v>3</v>
      </c>
      <c r="O304" s="2" t="n">
        <f aca="false">INDEX(Summary!$K$2:$K$201,MATCH($B304,Summary!$A$2:$A$201,0))</f>
        <v>8.05</v>
      </c>
      <c r="P304" s="3" t="n">
        <f aca="false">INDEX(Summary!$L$2:$L$201,MATCH($B304,Summary!$A$2:$A$201,0))</f>
        <v>5</v>
      </c>
      <c r="Q304" s="3" t="n">
        <f aca="false">INDEX(Summary!$M$2:$M$201,MATCH($B304,Summary!$A$2:$A$201,0))</f>
        <v>1</v>
      </c>
      <c r="R304" s="2" t="n">
        <f aca="false">INDEX(Summary!$N$2:$N$201,MATCH($B304,Summary!$A$2:$A$201,0))</f>
        <v>8.78</v>
      </c>
      <c r="S304" s="3" t="n">
        <f aca="false">INDEX(Summary!$O$2:$O$201,MATCH($B304,Summary!$A$2:$A$201,0))</f>
        <v>8</v>
      </c>
      <c r="T304" s="3" t="n">
        <f aca="false">INDEX(Summary!$P$2:$P$201,MATCH($B304,Summary!$A$2:$A$201,0))</f>
        <v>1</v>
      </c>
      <c r="U304" s="2" t="n">
        <f aca="false">INDEX(Summary!$Q$2:$Q$201,MATCH($B304,Summary!$A$2:$A$201,0))</f>
        <v>12.14</v>
      </c>
      <c r="V304" s="2" t="n">
        <f aca="false">INDEX(Summary!$R$2:$R$201,MATCH($B304,Summary!$A$2:$A$201,0))</f>
        <v>27.81</v>
      </c>
      <c r="W304" s="0" t="str">
        <f aca="false">INDEX(Summary!$S$2:$S$201,MATCH($B304,Summary!$A$2:$A$201,0))</f>
        <v>Silver</v>
      </c>
      <c r="X304" s="2" t="n">
        <f aca="false">INDEX(Summary!$T$2:$T$201,MATCH($B304,Summary!$A$2:$A$201,0))</f>
        <v>67.83</v>
      </c>
      <c r="Y304" s="0" t="str">
        <f aca="false">INDEX('Reward Model'!$E$18:$E$37,MATCH($E304,'Reward Model'!$A$18:$A$37,0))</f>
        <v>Medium</v>
      </c>
      <c r="Z304" s="4" t="n">
        <f aca="false">ROUND(MIN(1,MAX('Reward Model'!$B$2,INDEX('Reward Model'!$C$12:$C$14,MATCH($K304,'Reward Model'!$A$12:$A$14,0))/$J304)),3)</f>
        <v>0.888</v>
      </c>
      <c r="AA304" s="2" t="n">
        <f aca="false">IF($I304="Correct",ROUND(INDEX('Reward Model'!$B$12:$B$14,MATCH($K304,'Reward Model'!$A$12:$A$14,0))*Z304,2),0)</f>
        <v>0</v>
      </c>
      <c r="AB304" s="2" t="n">
        <f aca="false">IF($I304="Correct",ROUND(INDEX('Reward Model'!$B$12:$B$14,MATCH($Y304,'Reward Model'!$A$12:$A$14,0))*Z304,2),0)</f>
        <v>0</v>
      </c>
    </row>
    <row r="305" customFormat="false" ht="15" hidden="false" customHeight="false" outlineLevel="0" collapsed="false">
      <c r="A305" s="0" t="s">
        <v>151</v>
      </c>
      <c r="B305" s="0" t="s">
        <v>152</v>
      </c>
      <c r="C305" s="0" t="s">
        <v>30</v>
      </c>
      <c r="D305" s="0" t="s">
        <v>31</v>
      </c>
      <c r="E305" s="0" t="n">
        <v>4</v>
      </c>
      <c r="F305" s="0" t="s">
        <v>43</v>
      </c>
      <c r="G305" s="0" t="s">
        <v>45</v>
      </c>
      <c r="H305" s="0" t="s">
        <v>45</v>
      </c>
      <c r="I305" s="0" t="s">
        <v>34</v>
      </c>
      <c r="J305" s="0" t="n">
        <v>1.42</v>
      </c>
      <c r="K305" s="0" t="s">
        <v>35</v>
      </c>
      <c r="L305" s="0" t="n">
        <f aca="false">INDEX(Summary!$F$2:$F$201,MATCH($B305,Summary!$A$2:$A$201,0))</f>
        <v>20</v>
      </c>
      <c r="M305" s="0" t="n">
        <f aca="false">INDEX(Summary!$I$2:$I$201,MATCH($B305,Summary!$A$2:$A$201,0))</f>
        <v>2</v>
      </c>
      <c r="N305" s="0" t="n">
        <f aca="false">INDEX(Summary!$J$2:$J$201,MATCH($B305,Summary!$A$2:$A$201,0))</f>
        <v>3</v>
      </c>
      <c r="O305" s="2" t="n">
        <f aca="false">INDEX(Summary!$K$2:$K$201,MATCH($B305,Summary!$A$2:$A$201,0))</f>
        <v>8.05</v>
      </c>
      <c r="P305" s="3" t="n">
        <f aca="false">INDEX(Summary!$L$2:$L$201,MATCH($B305,Summary!$A$2:$A$201,0))</f>
        <v>5</v>
      </c>
      <c r="Q305" s="3" t="n">
        <f aca="false">INDEX(Summary!$M$2:$M$201,MATCH($B305,Summary!$A$2:$A$201,0))</f>
        <v>1</v>
      </c>
      <c r="R305" s="2" t="n">
        <f aca="false">INDEX(Summary!$N$2:$N$201,MATCH($B305,Summary!$A$2:$A$201,0))</f>
        <v>8.78</v>
      </c>
      <c r="S305" s="3" t="n">
        <f aca="false">INDEX(Summary!$O$2:$O$201,MATCH($B305,Summary!$A$2:$A$201,0))</f>
        <v>8</v>
      </c>
      <c r="T305" s="3" t="n">
        <f aca="false">INDEX(Summary!$P$2:$P$201,MATCH($B305,Summary!$A$2:$A$201,0))</f>
        <v>1</v>
      </c>
      <c r="U305" s="2" t="n">
        <f aca="false">INDEX(Summary!$Q$2:$Q$201,MATCH($B305,Summary!$A$2:$A$201,0))</f>
        <v>12.14</v>
      </c>
      <c r="V305" s="2" t="n">
        <f aca="false">INDEX(Summary!$R$2:$R$201,MATCH($B305,Summary!$A$2:$A$201,0))</f>
        <v>27.81</v>
      </c>
      <c r="W305" s="0" t="str">
        <f aca="false">INDEX(Summary!$S$2:$S$201,MATCH($B305,Summary!$A$2:$A$201,0))</f>
        <v>Silver</v>
      </c>
      <c r="X305" s="2" t="n">
        <f aca="false">INDEX(Summary!$T$2:$T$201,MATCH($B305,Summary!$A$2:$A$201,0))</f>
        <v>67.83</v>
      </c>
      <c r="Y305" s="0" t="str">
        <f aca="false">INDEX('Reward Model'!$E$18:$E$37,MATCH($E305,'Reward Model'!$A$18:$A$37,0))</f>
        <v>Low</v>
      </c>
      <c r="Z305" s="4" t="n">
        <f aca="false">ROUND(MIN(1,MAX('Reward Model'!$B$2,INDEX('Reward Model'!$C$12:$C$14,MATCH($K305,'Reward Model'!$A$12:$A$14,0))/$J305)),3)</f>
        <v>1</v>
      </c>
      <c r="AA305" s="2" t="n">
        <f aca="false">IF($I305="Correct",ROUND(INDEX('Reward Model'!$B$12:$B$14,MATCH($K305,'Reward Model'!$A$12:$A$14,0))*Z305,2),0)</f>
        <v>1</v>
      </c>
      <c r="AB305" s="2" t="n">
        <f aca="false">IF($I305="Correct",ROUND(INDEX('Reward Model'!$B$12:$B$14,MATCH($Y305,'Reward Model'!$A$12:$A$14,0))*Z305,2),0)</f>
        <v>1</v>
      </c>
    </row>
    <row r="306" customFormat="false" ht="15" hidden="false" customHeight="false" outlineLevel="0" collapsed="false">
      <c r="A306" s="0" t="s">
        <v>151</v>
      </c>
      <c r="B306" s="0" t="s">
        <v>152</v>
      </c>
      <c r="C306" s="0" t="s">
        <v>30</v>
      </c>
      <c r="D306" s="0" t="s">
        <v>31</v>
      </c>
      <c r="E306" s="0" t="n">
        <v>5</v>
      </c>
      <c r="F306" s="0" t="s">
        <v>46</v>
      </c>
      <c r="G306" s="0" t="s">
        <v>47</v>
      </c>
      <c r="H306" s="0" t="s">
        <v>47</v>
      </c>
      <c r="I306" s="0" t="s">
        <v>34</v>
      </c>
      <c r="J306" s="0" t="n">
        <v>1.17</v>
      </c>
      <c r="K306" s="0" t="s">
        <v>35</v>
      </c>
      <c r="L306" s="0" t="n">
        <f aca="false">INDEX(Summary!$F$2:$F$201,MATCH($B306,Summary!$A$2:$A$201,0))</f>
        <v>20</v>
      </c>
      <c r="M306" s="0" t="n">
        <f aca="false">INDEX(Summary!$I$2:$I$201,MATCH($B306,Summary!$A$2:$A$201,0))</f>
        <v>2</v>
      </c>
      <c r="N306" s="0" t="n">
        <f aca="false">INDEX(Summary!$J$2:$J$201,MATCH($B306,Summary!$A$2:$A$201,0))</f>
        <v>3</v>
      </c>
      <c r="O306" s="2" t="n">
        <f aca="false">INDEX(Summary!$K$2:$K$201,MATCH($B306,Summary!$A$2:$A$201,0))</f>
        <v>8.05</v>
      </c>
      <c r="P306" s="3" t="n">
        <f aca="false">INDEX(Summary!$L$2:$L$201,MATCH($B306,Summary!$A$2:$A$201,0))</f>
        <v>5</v>
      </c>
      <c r="Q306" s="3" t="n">
        <f aca="false">INDEX(Summary!$M$2:$M$201,MATCH($B306,Summary!$A$2:$A$201,0))</f>
        <v>1</v>
      </c>
      <c r="R306" s="2" t="n">
        <f aca="false">INDEX(Summary!$N$2:$N$201,MATCH($B306,Summary!$A$2:$A$201,0))</f>
        <v>8.78</v>
      </c>
      <c r="S306" s="3" t="n">
        <f aca="false">INDEX(Summary!$O$2:$O$201,MATCH($B306,Summary!$A$2:$A$201,0))</f>
        <v>8</v>
      </c>
      <c r="T306" s="3" t="n">
        <f aca="false">INDEX(Summary!$P$2:$P$201,MATCH($B306,Summary!$A$2:$A$201,0))</f>
        <v>1</v>
      </c>
      <c r="U306" s="2" t="n">
        <f aca="false">INDEX(Summary!$Q$2:$Q$201,MATCH($B306,Summary!$A$2:$A$201,0))</f>
        <v>12.14</v>
      </c>
      <c r="V306" s="2" t="n">
        <f aca="false">INDEX(Summary!$R$2:$R$201,MATCH($B306,Summary!$A$2:$A$201,0))</f>
        <v>27.81</v>
      </c>
      <c r="W306" s="0" t="str">
        <f aca="false">INDEX(Summary!$S$2:$S$201,MATCH($B306,Summary!$A$2:$A$201,0))</f>
        <v>Silver</v>
      </c>
      <c r="X306" s="2" t="n">
        <f aca="false">INDEX(Summary!$T$2:$T$201,MATCH($B306,Summary!$A$2:$A$201,0))</f>
        <v>67.83</v>
      </c>
      <c r="Y306" s="0" t="str">
        <f aca="false">INDEX('Reward Model'!$E$18:$E$37,MATCH($E306,'Reward Model'!$A$18:$A$37,0))</f>
        <v>Low</v>
      </c>
      <c r="Z306" s="4" t="n">
        <f aca="false">ROUND(MIN(1,MAX('Reward Model'!$B$2,INDEX('Reward Model'!$C$12:$C$14,MATCH($K306,'Reward Model'!$A$12:$A$14,0))/$J306)),3)</f>
        <v>1</v>
      </c>
      <c r="AA306" s="2" t="n">
        <f aca="false">IF($I306="Correct",ROUND(INDEX('Reward Model'!$B$12:$B$14,MATCH($K306,'Reward Model'!$A$12:$A$14,0))*Z306,2),0)</f>
        <v>1</v>
      </c>
      <c r="AB306" s="2" t="n">
        <f aca="false">IF($I306="Correct",ROUND(INDEX('Reward Model'!$B$12:$B$14,MATCH($Y306,'Reward Model'!$A$12:$A$14,0))*Z306,2),0)</f>
        <v>1</v>
      </c>
    </row>
    <row r="307" customFormat="false" ht="15" hidden="false" customHeight="false" outlineLevel="0" collapsed="false">
      <c r="A307" s="0" t="s">
        <v>151</v>
      </c>
      <c r="B307" s="0" t="s">
        <v>152</v>
      </c>
      <c r="C307" s="0" t="s">
        <v>30</v>
      </c>
      <c r="D307" s="0" t="s">
        <v>31</v>
      </c>
      <c r="E307" s="0" t="n">
        <v>6</v>
      </c>
      <c r="F307" s="0" t="s">
        <v>48</v>
      </c>
      <c r="G307" s="0" t="s">
        <v>49</v>
      </c>
      <c r="H307" s="0" t="s">
        <v>49</v>
      </c>
      <c r="I307" s="0" t="s">
        <v>34</v>
      </c>
      <c r="J307" s="0" t="n">
        <v>1.16</v>
      </c>
      <c r="K307" s="0" t="s">
        <v>35</v>
      </c>
      <c r="L307" s="0" t="n">
        <f aca="false">INDEX(Summary!$F$2:$F$201,MATCH($B307,Summary!$A$2:$A$201,0))</f>
        <v>20</v>
      </c>
      <c r="M307" s="0" t="n">
        <f aca="false">INDEX(Summary!$I$2:$I$201,MATCH($B307,Summary!$A$2:$A$201,0))</f>
        <v>2</v>
      </c>
      <c r="N307" s="0" t="n">
        <f aca="false">INDEX(Summary!$J$2:$J$201,MATCH($B307,Summary!$A$2:$A$201,0))</f>
        <v>3</v>
      </c>
      <c r="O307" s="2" t="n">
        <f aca="false">INDEX(Summary!$K$2:$K$201,MATCH($B307,Summary!$A$2:$A$201,0))</f>
        <v>8.05</v>
      </c>
      <c r="P307" s="3" t="n">
        <f aca="false">INDEX(Summary!$L$2:$L$201,MATCH($B307,Summary!$A$2:$A$201,0))</f>
        <v>5</v>
      </c>
      <c r="Q307" s="3" t="n">
        <f aca="false">INDEX(Summary!$M$2:$M$201,MATCH($B307,Summary!$A$2:$A$201,0))</f>
        <v>1</v>
      </c>
      <c r="R307" s="2" t="n">
        <f aca="false">INDEX(Summary!$N$2:$N$201,MATCH($B307,Summary!$A$2:$A$201,0))</f>
        <v>8.78</v>
      </c>
      <c r="S307" s="3" t="n">
        <f aca="false">INDEX(Summary!$O$2:$O$201,MATCH($B307,Summary!$A$2:$A$201,0))</f>
        <v>8</v>
      </c>
      <c r="T307" s="3" t="n">
        <f aca="false">INDEX(Summary!$P$2:$P$201,MATCH($B307,Summary!$A$2:$A$201,0))</f>
        <v>1</v>
      </c>
      <c r="U307" s="2" t="n">
        <f aca="false">INDEX(Summary!$Q$2:$Q$201,MATCH($B307,Summary!$A$2:$A$201,0))</f>
        <v>12.14</v>
      </c>
      <c r="V307" s="2" t="n">
        <f aca="false">INDEX(Summary!$R$2:$R$201,MATCH($B307,Summary!$A$2:$A$201,0))</f>
        <v>27.81</v>
      </c>
      <c r="W307" s="0" t="str">
        <f aca="false">INDEX(Summary!$S$2:$S$201,MATCH($B307,Summary!$A$2:$A$201,0))</f>
        <v>Silver</v>
      </c>
      <c r="X307" s="2" t="n">
        <f aca="false">INDEX(Summary!$T$2:$T$201,MATCH($B307,Summary!$A$2:$A$201,0))</f>
        <v>67.83</v>
      </c>
      <c r="Y307" s="0" t="str">
        <f aca="false">INDEX('Reward Model'!$E$18:$E$37,MATCH($E307,'Reward Model'!$A$18:$A$37,0))</f>
        <v>Medium</v>
      </c>
      <c r="Z307" s="4" t="n">
        <f aca="false">ROUND(MIN(1,MAX('Reward Model'!$B$2,INDEX('Reward Model'!$C$12:$C$14,MATCH($K307,'Reward Model'!$A$12:$A$14,0))/$J307)),3)</f>
        <v>1</v>
      </c>
      <c r="AA307" s="2" t="n">
        <f aca="false">IF($I307="Correct",ROUND(INDEX('Reward Model'!$B$12:$B$14,MATCH($K307,'Reward Model'!$A$12:$A$14,0))*Z307,2),0)</f>
        <v>1</v>
      </c>
      <c r="AB307" s="2" t="n">
        <f aca="false">IF($I307="Correct",ROUND(INDEX('Reward Model'!$B$12:$B$14,MATCH($Y307,'Reward Model'!$A$12:$A$14,0))*Z307,2),0)</f>
        <v>2</v>
      </c>
    </row>
    <row r="308" customFormat="false" ht="15" hidden="false" customHeight="false" outlineLevel="0" collapsed="false">
      <c r="A308" s="0" t="s">
        <v>151</v>
      </c>
      <c r="B308" s="0" t="s">
        <v>152</v>
      </c>
      <c r="C308" s="0" t="s">
        <v>30</v>
      </c>
      <c r="D308" s="0" t="s">
        <v>31</v>
      </c>
      <c r="E308" s="0" t="n">
        <v>7</v>
      </c>
      <c r="F308" s="0" t="s">
        <v>50</v>
      </c>
      <c r="G308" s="0" t="s">
        <v>51</v>
      </c>
      <c r="H308" s="0" t="s">
        <v>51</v>
      </c>
      <c r="I308" s="0" t="s">
        <v>34</v>
      </c>
      <c r="J308" s="0" t="n">
        <v>1.85</v>
      </c>
      <c r="K308" s="0" t="s">
        <v>35</v>
      </c>
      <c r="L308" s="0" t="n">
        <f aca="false">INDEX(Summary!$F$2:$F$201,MATCH($B308,Summary!$A$2:$A$201,0))</f>
        <v>20</v>
      </c>
      <c r="M308" s="0" t="n">
        <f aca="false">INDEX(Summary!$I$2:$I$201,MATCH($B308,Summary!$A$2:$A$201,0))</f>
        <v>2</v>
      </c>
      <c r="N308" s="0" t="n">
        <f aca="false">INDEX(Summary!$J$2:$J$201,MATCH($B308,Summary!$A$2:$A$201,0))</f>
        <v>3</v>
      </c>
      <c r="O308" s="2" t="n">
        <f aca="false">INDEX(Summary!$K$2:$K$201,MATCH($B308,Summary!$A$2:$A$201,0))</f>
        <v>8.05</v>
      </c>
      <c r="P308" s="3" t="n">
        <f aca="false">INDEX(Summary!$L$2:$L$201,MATCH($B308,Summary!$A$2:$A$201,0))</f>
        <v>5</v>
      </c>
      <c r="Q308" s="3" t="n">
        <f aca="false">INDEX(Summary!$M$2:$M$201,MATCH($B308,Summary!$A$2:$A$201,0))</f>
        <v>1</v>
      </c>
      <c r="R308" s="2" t="n">
        <f aca="false">INDEX(Summary!$N$2:$N$201,MATCH($B308,Summary!$A$2:$A$201,0))</f>
        <v>8.78</v>
      </c>
      <c r="S308" s="3" t="n">
        <f aca="false">INDEX(Summary!$O$2:$O$201,MATCH($B308,Summary!$A$2:$A$201,0))</f>
        <v>8</v>
      </c>
      <c r="T308" s="3" t="n">
        <f aca="false">INDEX(Summary!$P$2:$P$201,MATCH($B308,Summary!$A$2:$A$201,0))</f>
        <v>1</v>
      </c>
      <c r="U308" s="2" t="n">
        <f aca="false">INDEX(Summary!$Q$2:$Q$201,MATCH($B308,Summary!$A$2:$A$201,0))</f>
        <v>12.14</v>
      </c>
      <c r="V308" s="2" t="n">
        <f aca="false">INDEX(Summary!$R$2:$R$201,MATCH($B308,Summary!$A$2:$A$201,0))</f>
        <v>27.81</v>
      </c>
      <c r="W308" s="0" t="str">
        <f aca="false">INDEX(Summary!$S$2:$S$201,MATCH($B308,Summary!$A$2:$A$201,0))</f>
        <v>Silver</v>
      </c>
      <c r="X308" s="2" t="n">
        <f aca="false">INDEX(Summary!$T$2:$T$201,MATCH($B308,Summary!$A$2:$A$201,0))</f>
        <v>67.83</v>
      </c>
      <c r="Y308" s="0" t="str">
        <f aca="false">INDEX('Reward Model'!$E$18:$E$37,MATCH($E308,'Reward Model'!$A$18:$A$37,0))</f>
        <v>Low</v>
      </c>
      <c r="Z308" s="4" t="n">
        <f aca="false">ROUND(MIN(1,MAX('Reward Model'!$B$2,INDEX('Reward Model'!$C$12:$C$14,MATCH($K308,'Reward Model'!$A$12:$A$14,0))/$J308)),3)</f>
        <v>0.811</v>
      </c>
      <c r="AA308" s="2" t="n">
        <f aca="false">IF($I308="Correct",ROUND(INDEX('Reward Model'!$B$12:$B$14,MATCH($K308,'Reward Model'!$A$12:$A$14,0))*Z308,2),0)</f>
        <v>0.81</v>
      </c>
      <c r="AB308" s="2" t="n">
        <f aca="false">IF($I308="Correct",ROUND(INDEX('Reward Model'!$B$12:$B$14,MATCH($Y308,'Reward Model'!$A$12:$A$14,0))*Z308,2),0)</f>
        <v>0.81</v>
      </c>
    </row>
    <row r="309" customFormat="false" ht="15" hidden="false" customHeight="false" outlineLevel="0" collapsed="false">
      <c r="A309" s="0" t="s">
        <v>151</v>
      </c>
      <c r="B309" s="0" t="s">
        <v>152</v>
      </c>
      <c r="C309" s="0" t="s">
        <v>30</v>
      </c>
      <c r="D309" s="0" t="s">
        <v>31</v>
      </c>
      <c r="E309" s="0" t="n">
        <v>8</v>
      </c>
      <c r="F309" s="0" t="s">
        <v>52</v>
      </c>
      <c r="G309" s="0" t="s">
        <v>54</v>
      </c>
      <c r="H309" s="0" t="s">
        <v>54</v>
      </c>
      <c r="I309" s="0" t="s">
        <v>34</v>
      </c>
      <c r="J309" s="0" t="n">
        <v>1.24</v>
      </c>
      <c r="K309" s="0" t="s">
        <v>35</v>
      </c>
      <c r="L309" s="0" t="n">
        <f aca="false">INDEX(Summary!$F$2:$F$201,MATCH($B309,Summary!$A$2:$A$201,0))</f>
        <v>20</v>
      </c>
      <c r="M309" s="0" t="n">
        <f aca="false">INDEX(Summary!$I$2:$I$201,MATCH($B309,Summary!$A$2:$A$201,0))</f>
        <v>2</v>
      </c>
      <c r="N309" s="0" t="n">
        <f aca="false">INDEX(Summary!$J$2:$J$201,MATCH($B309,Summary!$A$2:$A$201,0))</f>
        <v>3</v>
      </c>
      <c r="O309" s="2" t="n">
        <f aca="false">INDEX(Summary!$K$2:$K$201,MATCH($B309,Summary!$A$2:$A$201,0))</f>
        <v>8.05</v>
      </c>
      <c r="P309" s="3" t="n">
        <f aca="false">INDEX(Summary!$L$2:$L$201,MATCH($B309,Summary!$A$2:$A$201,0))</f>
        <v>5</v>
      </c>
      <c r="Q309" s="3" t="n">
        <f aca="false">INDEX(Summary!$M$2:$M$201,MATCH($B309,Summary!$A$2:$A$201,0))</f>
        <v>1</v>
      </c>
      <c r="R309" s="2" t="n">
        <f aca="false">INDEX(Summary!$N$2:$N$201,MATCH($B309,Summary!$A$2:$A$201,0))</f>
        <v>8.78</v>
      </c>
      <c r="S309" s="3" t="n">
        <f aca="false">INDEX(Summary!$O$2:$O$201,MATCH($B309,Summary!$A$2:$A$201,0))</f>
        <v>8</v>
      </c>
      <c r="T309" s="3" t="n">
        <f aca="false">INDEX(Summary!$P$2:$P$201,MATCH($B309,Summary!$A$2:$A$201,0))</f>
        <v>1</v>
      </c>
      <c r="U309" s="2" t="n">
        <f aca="false">INDEX(Summary!$Q$2:$Q$201,MATCH($B309,Summary!$A$2:$A$201,0))</f>
        <v>12.14</v>
      </c>
      <c r="V309" s="2" t="n">
        <f aca="false">INDEX(Summary!$R$2:$R$201,MATCH($B309,Summary!$A$2:$A$201,0))</f>
        <v>27.81</v>
      </c>
      <c r="W309" s="0" t="str">
        <f aca="false">INDEX(Summary!$S$2:$S$201,MATCH($B309,Summary!$A$2:$A$201,0))</f>
        <v>Silver</v>
      </c>
      <c r="X309" s="2" t="n">
        <f aca="false">INDEX(Summary!$T$2:$T$201,MATCH($B309,Summary!$A$2:$A$201,0))</f>
        <v>67.83</v>
      </c>
      <c r="Y309" s="0" t="str">
        <f aca="false">INDEX('Reward Model'!$E$18:$E$37,MATCH($E309,'Reward Model'!$A$18:$A$37,0))</f>
        <v>Medium</v>
      </c>
      <c r="Z309" s="4" t="n">
        <f aca="false">ROUND(MIN(1,MAX('Reward Model'!$B$2,INDEX('Reward Model'!$C$12:$C$14,MATCH($K309,'Reward Model'!$A$12:$A$14,0))/$J309)),3)</f>
        <v>1</v>
      </c>
      <c r="AA309" s="2" t="n">
        <f aca="false">IF($I309="Correct",ROUND(INDEX('Reward Model'!$B$12:$B$14,MATCH($K309,'Reward Model'!$A$12:$A$14,0))*Z309,2),0)</f>
        <v>1</v>
      </c>
      <c r="AB309" s="2" t="n">
        <f aca="false">IF($I309="Correct",ROUND(INDEX('Reward Model'!$B$12:$B$14,MATCH($Y309,'Reward Model'!$A$12:$A$14,0))*Z309,2),0)</f>
        <v>2</v>
      </c>
    </row>
    <row r="310" customFormat="false" ht="15" hidden="false" customHeight="false" outlineLevel="0" collapsed="false">
      <c r="A310" s="0" t="s">
        <v>151</v>
      </c>
      <c r="B310" s="0" t="s">
        <v>152</v>
      </c>
      <c r="C310" s="0" t="s">
        <v>30</v>
      </c>
      <c r="D310" s="0" t="s">
        <v>31</v>
      </c>
      <c r="E310" s="0" t="n">
        <v>9</v>
      </c>
      <c r="F310" s="0" t="s">
        <v>55</v>
      </c>
      <c r="G310" s="0" t="s">
        <v>57</v>
      </c>
      <c r="H310" s="0" t="s">
        <v>57</v>
      </c>
      <c r="I310" s="0" t="s">
        <v>34</v>
      </c>
      <c r="J310" s="0" t="n">
        <v>0.95</v>
      </c>
      <c r="K310" s="0" t="s">
        <v>35</v>
      </c>
      <c r="L310" s="0" t="n">
        <f aca="false">INDEX(Summary!$F$2:$F$201,MATCH($B310,Summary!$A$2:$A$201,0))</f>
        <v>20</v>
      </c>
      <c r="M310" s="0" t="n">
        <f aca="false">INDEX(Summary!$I$2:$I$201,MATCH($B310,Summary!$A$2:$A$201,0))</f>
        <v>2</v>
      </c>
      <c r="N310" s="0" t="n">
        <f aca="false">INDEX(Summary!$J$2:$J$201,MATCH($B310,Summary!$A$2:$A$201,0))</f>
        <v>3</v>
      </c>
      <c r="O310" s="2" t="n">
        <f aca="false">INDEX(Summary!$K$2:$K$201,MATCH($B310,Summary!$A$2:$A$201,0))</f>
        <v>8.05</v>
      </c>
      <c r="P310" s="3" t="n">
        <f aca="false">INDEX(Summary!$L$2:$L$201,MATCH($B310,Summary!$A$2:$A$201,0))</f>
        <v>5</v>
      </c>
      <c r="Q310" s="3" t="n">
        <f aca="false">INDEX(Summary!$M$2:$M$201,MATCH($B310,Summary!$A$2:$A$201,0))</f>
        <v>1</v>
      </c>
      <c r="R310" s="2" t="n">
        <f aca="false">INDEX(Summary!$N$2:$N$201,MATCH($B310,Summary!$A$2:$A$201,0))</f>
        <v>8.78</v>
      </c>
      <c r="S310" s="3" t="n">
        <f aca="false">INDEX(Summary!$O$2:$O$201,MATCH($B310,Summary!$A$2:$A$201,0))</f>
        <v>8</v>
      </c>
      <c r="T310" s="3" t="n">
        <f aca="false">INDEX(Summary!$P$2:$P$201,MATCH($B310,Summary!$A$2:$A$201,0))</f>
        <v>1</v>
      </c>
      <c r="U310" s="2" t="n">
        <f aca="false">INDEX(Summary!$Q$2:$Q$201,MATCH($B310,Summary!$A$2:$A$201,0))</f>
        <v>12.14</v>
      </c>
      <c r="V310" s="2" t="n">
        <f aca="false">INDEX(Summary!$R$2:$R$201,MATCH($B310,Summary!$A$2:$A$201,0))</f>
        <v>27.81</v>
      </c>
      <c r="W310" s="0" t="str">
        <f aca="false">INDEX(Summary!$S$2:$S$201,MATCH($B310,Summary!$A$2:$A$201,0))</f>
        <v>Silver</v>
      </c>
      <c r="X310" s="2" t="n">
        <f aca="false">INDEX(Summary!$T$2:$T$201,MATCH($B310,Summary!$A$2:$A$201,0))</f>
        <v>67.83</v>
      </c>
      <c r="Y310" s="0" t="str">
        <f aca="false">INDEX('Reward Model'!$E$18:$E$37,MATCH($E310,'Reward Model'!$A$18:$A$37,0))</f>
        <v>Medium</v>
      </c>
      <c r="Z310" s="4" t="n">
        <f aca="false">ROUND(MIN(1,MAX('Reward Model'!$B$2,INDEX('Reward Model'!$C$12:$C$14,MATCH($K310,'Reward Model'!$A$12:$A$14,0))/$J310)),3)</f>
        <v>1</v>
      </c>
      <c r="AA310" s="2" t="n">
        <f aca="false">IF($I310="Correct",ROUND(INDEX('Reward Model'!$B$12:$B$14,MATCH($K310,'Reward Model'!$A$12:$A$14,0))*Z310,2),0)</f>
        <v>1</v>
      </c>
      <c r="AB310" s="2" t="n">
        <f aca="false">IF($I310="Correct",ROUND(INDEX('Reward Model'!$B$12:$B$14,MATCH($Y310,'Reward Model'!$A$12:$A$14,0))*Z310,2),0)</f>
        <v>2</v>
      </c>
    </row>
    <row r="311" customFormat="false" ht="15" hidden="false" customHeight="false" outlineLevel="0" collapsed="false">
      <c r="A311" s="0" t="s">
        <v>151</v>
      </c>
      <c r="B311" s="0" t="s">
        <v>152</v>
      </c>
      <c r="C311" s="0" t="s">
        <v>30</v>
      </c>
      <c r="D311" s="0" t="s">
        <v>31</v>
      </c>
      <c r="E311" s="0" t="n">
        <v>10</v>
      </c>
      <c r="F311" s="0" t="s">
        <v>58</v>
      </c>
      <c r="G311" s="0" t="s">
        <v>59</v>
      </c>
      <c r="H311" s="0" t="s">
        <v>59</v>
      </c>
      <c r="I311" s="0" t="s">
        <v>34</v>
      </c>
      <c r="J311" s="0" t="n">
        <v>1.4</v>
      </c>
      <c r="K311" s="0" t="s">
        <v>60</v>
      </c>
      <c r="L311" s="0" t="n">
        <f aca="false">INDEX(Summary!$F$2:$F$201,MATCH($B311,Summary!$A$2:$A$201,0))</f>
        <v>20</v>
      </c>
      <c r="M311" s="0" t="n">
        <f aca="false">INDEX(Summary!$I$2:$I$201,MATCH($B311,Summary!$A$2:$A$201,0))</f>
        <v>2</v>
      </c>
      <c r="N311" s="0" t="n">
        <f aca="false">INDEX(Summary!$J$2:$J$201,MATCH($B311,Summary!$A$2:$A$201,0))</f>
        <v>3</v>
      </c>
      <c r="O311" s="2" t="n">
        <f aca="false">INDEX(Summary!$K$2:$K$201,MATCH($B311,Summary!$A$2:$A$201,0))</f>
        <v>8.05</v>
      </c>
      <c r="P311" s="3" t="n">
        <f aca="false">INDEX(Summary!$L$2:$L$201,MATCH($B311,Summary!$A$2:$A$201,0))</f>
        <v>5</v>
      </c>
      <c r="Q311" s="3" t="n">
        <f aca="false">INDEX(Summary!$M$2:$M$201,MATCH($B311,Summary!$A$2:$A$201,0))</f>
        <v>1</v>
      </c>
      <c r="R311" s="2" t="n">
        <f aca="false">INDEX(Summary!$N$2:$N$201,MATCH($B311,Summary!$A$2:$A$201,0))</f>
        <v>8.78</v>
      </c>
      <c r="S311" s="3" t="n">
        <f aca="false">INDEX(Summary!$O$2:$O$201,MATCH($B311,Summary!$A$2:$A$201,0))</f>
        <v>8</v>
      </c>
      <c r="T311" s="3" t="n">
        <f aca="false">INDEX(Summary!$P$2:$P$201,MATCH($B311,Summary!$A$2:$A$201,0))</f>
        <v>1</v>
      </c>
      <c r="U311" s="2" t="n">
        <f aca="false">INDEX(Summary!$Q$2:$Q$201,MATCH($B311,Summary!$A$2:$A$201,0))</f>
        <v>12.14</v>
      </c>
      <c r="V311" s="2" t="n">
        <f aca="false">INDEX(Summary!$R$2:$R$201,MATCH($B311,Summary!$A$2:$A$201,0))</f>
        <v>27.81</v>
      </c>
      <c r="W311" s="0" t="str">
        <f aca="false">INDEX(Summary!$S$2:$S$201,MATCH($B311,Summary!$A$2:$A$201,0))</f>
        <v>Silver</v>
      </c>
      <c r="X311" s="2" t="n">
        <f aca="false">INDEX(Summary!$T$2:$T$201,MATCH($B311,Summary!$A$2:$A$201,0))</f>
        <v>67.83</v>
      </c>
      <c r="Y311" s="0" t="str">
        <f aca="false">INDEX('Reward Model'!$E$18:$E$37,MATCH($E311,'Reward Model'!$A$18:$A$37,0))</f>
        <v>Medium</v>
      </c>
      <c r="Z311" s="4" t="n">
        <f aca="false">ROUND(MIN(1,MAX('Reward Model'!$B$2,INDEX('Reward Model'!$C$12:$C$14,MATCH($K311,'Reward Model'!$A$12:$A$14,0))/$J311)),3)</f>
        <v>1</v>
      </c>
      <c r="AA311" s="2" t="n">
        <f aca="false">IF($I311="Correct",ROUND(INDEX('Reward Model'!$B$12:$B$14,MATCH($K311,'Reward Model'!$A$12:$A$14,0))*Z311,2),0)</f>
        <v>2</v>
      </c>
      <c r="AB311" s="2" t="n">
        <f aca="false">IF($I311="Correct",ROUND(INDEX('Reward Model'!$B$12:$B$14,MATCH($Y311,'Reward Model'!$A$12:$A$14,0))*Z311,2),0)</f>
        <v>2</v>
      </c>
    </row>
    <row r="312" customFormat="false" ht="15" hidden="false" customHeight="false" outlineLevel="0" collapsed="false">
      <c r="A312" s="0" t="s">
        <v>151</v>
      </c>
      <c r="B312" s="0" t="s">
        <v>152</v>
      </c>
      <c r="C312" s="0" t="s">
        <v>30</v>
      </c>
      <c r="D312" s="0" t="s">
        <v>31</v>
      </c>
      <c r="E312" s="0" t="n">
        <v>11</v>
      </c>
      <c r="F312" s="0" t="s">
        <v>61</v>
      </c>
      <c r="G312" s="0" t="s">
        <v>63</v>
      </c>
      <c r="H312" s="0" t="s">
        <v>63</v>
      </c>
      <c r="I312" s="0" t="s">
        <v>34</v>
      </c>
      <c r="J312" s="0" t="n">
        <v>1.32</v>
      </c>
      <c r="K312" s="0" t="s">
        <v>60</v>
      </c>
      <c r="L312" s="0" t="n">
        <f aca="false">INDEX(Summary!$F$2:$F$201,MATCH($B312,Summary!$A$2:$A$201,0))</f>
        <v>20</v>
      </c>
      <c r="M312" s="0" t="n">
        <f aca="false">INDEX(Summary!$I$2:$I$201,MATCH($B312,Summary!$A$2:$A$201,0))</f>
        <v>2</v>
      </c>
      <c r="N312" s="0" t="n">
        <f aca="false">INDEX(Summary!$J$2:$J$201,MATCH($B312,Summary!$A$2:$A$201,0))</f>
        <v>3</v>
      </c>
      <c r="O312" s="2" t="n">
        <f aca="false">INDEX(Summary!$K$2:$K$201,MATCH($B312,Summary!$A$2:$A$201,0))</f>
        <v>8.05</v>
      </c>
      <c r="P312" s="3" t="n">
        <f aca="false">INDEX(Summary!$L$2:$L$201,MATCH($B312,Summary!$A$2:$A$201,0))</f>
        <v>5</v>
      </c>
      <c r="Q312" s="3" t="n">
        <f aca="false">INDEX(Summary!$M$2:$M$201,MATCH($B312,Summary!$A$2:$A$201,0))</f>
        <v>1</v>
      </c>
      <c r="R312" s="2" t="n">
        <f aca="false">INDEX(Summary!$N$2:$N$201,MATCH($B312,Summary!$A$2:$A$201,0))</f>
        <v>8.78</v>
      </c>
      <c r="S312" s="3" t="n">
        <f aca="false">INDEX(Summary!$O$2:$O$201,MATCH($B312,Summary!$A$2:$A$201,0))</f>
        <v>8</v>
      </c>
      <c r="T312" s="3" t="n">
        <f aca="false">INDEX(Summary!$P$2:$P$201,MATCH($B312,Summary!$A$2:$A$201,0))</f>
        <v>1</v>
      </c>
      <c r="U312" s="2" t="n">
        <f aca="false">INDEX(Summary!$Q$2:$Q$201,MATCH($B312,Summary!$A$2:$A$201,0))</f>
        <v>12.14</v>
      </c>
      <c r="V312" s="2" t="n">
        <f aca="false">INDEX(Summary!$R$2:$R$201,MATCH($B312,Summary!$A$2:$A$201,0))</f>
        <v>27.81</v>
      </c>
      <c r="W312" s="0" t="str">
        <f aca="false">INDEX(Summary!$S$2:$S$201,MATCH($B312,Summary!$A$2:$A$201,0))</f>
        <v>Silver</v>
      </c>
      <c r="X312" s="2" t="n">
        <f aca="false">INDEX(Summary!$T$2:$T$201,MATCH($B312,Summary!$A$2:$A$201,0))</f>
        <v>67.83</v>
      </c>
      <c r="Y312" s="0" t="str">
        <f aca="false">INDEX('Reward Model'!$E$18:$E$37,MATCH($E312,'Reward Model'!$A$18:$A$37,0))</f>
        <v>Medium</v>
      </c>
      <c r="Z312" s="4" t="n">
        <f aca="false">ROUND(MIN(1,MAX('Reward Model'!$B$2,INDEX('Reward Model'!$C$12:$C$14,MATCH($K312,'Reward Model'!$A$12:$A$14,0))/$J312)),3)</f>
        <v>1</v>
      </c>
      <c r="AA312" s="2" t="n">
        <f aca="false">IF($I312="Correct",ROUND(INDEX('Reward Model'!$B$12:$B$14,MATCH($K312,'Reward Model'!$A$12:$A$14,0))*Z312,2),0)</f>
        <v>2</v>
      </c>
      <c r="AB312" s="2" t="n">
        <f aca="false">IF($I312="Correct",ROUND(INDEX('Reward Model'!$B$12:$B$14,MATCH($Y312,'Reward Model'!$A$12:$A$14,0))*Z312,2),0)</f>
        <v>2</v>
      </c>
    </row>
    <row r="313" customFormat="false" ht="15" hidden="false" customHeight="false" outlineLevel="0" collapsed="false">
      <c r="A313" s="0" t="s">
        <v>151</v>
      </c>
      <c r="B313" s="0" t="s">
        <v>152</v>
      </c>
      <c r="C313" s="0" t="s">
        <v>30</v>
      </c>
      <c r="D313" s="0" t="s">
        <v>31</v>
      </c>
      <c r="E313" s="0" t="n">
        <v>12</v>
      </c>
      <c r="F313" s="0" t="s">
        <v>64</v>
      </c>
      <c r="G313" s="0" t="s">
        <v>65</v>
      </c>
      <c r="H313" s="0" t="s">
        <v>65</v>
      </c>
      <c r="I313" s="0" t="s">
        <v>34</v>
      </c>
      <c r="J313" s="0" t="n">
        <v>1.33</v>
      </c>
      <c r="K313" s="0" t="s">
        <v>60</v>
      </c>
      <c r="L313" s="0" t="n">
        <f aca="false">INDEX(Summary!$F$2:$F$201,MATCH($B313,Summary!$A$2:$A$201,0))</f>
        <v>20</v>
      </c>
      <c r="M313" s="0" t="n">
        <f aca="false">INDEX(Summary!$I$2:$I$201,MATCH($B313,Summary!$A$2:$A$201,0))</f>
        <v>2</v>
      </c>
      <c r="N313" s="0" t="n">
        <f aca="false">INDEX(Summary!$J$2:$J$201,MATCH($B313,Summary!$A$2:$A$201,0))</f>
        <v>3</v>
      </c>
      <c r="O313" s="2" t="n">
        <f aca="false">INDEX(Summary!$K$2:$K$201,MATCH($B313,Summary!$A$2:$A$201,0))</f>
        <v>8.05</v>
      </c>
      <c r="P313" s="3" t="n">
        <f aca="false">INDEX(Summary!$L$2:$L$201,MATCH($B313,Summary!$A$2:$A$201,0))</f>
        <v>5</v>
      </c>
      <c r="Q313" s="3" t="n">
        <f aca="false">INDEX(Summary!$M$2:$M$201,MATCH($B313,Summary!$A$2:$A$201,0))</f>
        <v>1</v>
      </c>
      <c r="R313" s="2" t="n">
        <f aca="false">INDEX(Summary!$N$2:$N$201,MATCH($B313,Summary!$A$2:$A$201,0))</f>
        <v>8.78</v>
      </c>
      <c r="S313" s="3" t="n">
        <f aca="false">INDEX(Summary!$O$2:$O$201,MATCH($B313,Summary!$A$2:$A$201,0))</f>
        <v>8</v>
      </c>
      <c r="T313" s="3" t="n">
        <f aca="false">INDEX(Summary!$P$2:$P$201,MATCH($B313,Summary!$A$2:$A$201,0))</f>
        <v>1</v>
      </c>
      <c r="U313" s="2" t="n">
        <f aca="false">INDEX(Summary!$Q$2:$Q$201,MATCH($B313,Summary!$A$2:$A$201,0))</f>
        <v>12.14</v>
      </c>
      <c r="V313" s="2" t="n">
        <f aca="false">INDEX(Summary!$R$2:$R$201,MATCH($B313,Summary!$A$2:$A$201,0))</f>
        <v>27.81</v>
      </c>
      <c r="W313" s="0" t="str">
        <f aca="false">INDEX(Summary!$S$2:$S$201,MATCH($B313,Summary!$A$2:$A$201,0))</f>
        <v>Silver</v>
      </c>
      <c r="X313" s="2" t="n">
        <f aca="false">INDEX(Summary!$T$2:$T$201,MATCH($B313,Summary!$A$2:$A$201,0))</f>
        <v>67.83</v>
      </c>
      <c r="Y313" s="0" t="str">
        <f aca="false">INDEX('Reward Model'!$E$18:$E$37,MATCH($E313,'Reward Model'!$A$18:$A$37,0))</f>
        <v>Medium</v>
      </c>
      <c r="Z313" s="4" t="n">
        <f aca="false">ROUND(MIN(1,MAX('Reward Model'!$B$2,INDEX('Reward Model'!$C$12:$C$14,MATCH($K313,'Reward Model'!$A$12:$A$14,0))/$J313)),3)</f>
        <v>1</v>
      </c>
      <c r="AA313" s="2" t="n">
        <f aca="false">IF($I313="Correct",ROUND(INDEX('Reward Model'!$B$12:$B$14,MATCH($K313,'Reward Model'!$A$12:$A$14,0))*Z313,2),0)</f>
        <v>2</v>
      </c>
      <c r="AB313" s="2" t="n">
        <f aca="false">IF($I313="Correct",ROUND(INDEX('Reward Model'!$B$12:$B$14,MATCH($Y313,'Reward Model'!$A$12:$A$14,0))*Z313,2),0)</f>
        <v>2</v>
      </c>
    </row>
    <row r="314" customFormat="false" ht="15" hidden="false" customHeight="false" outlineLevel="0" collapsed="false">
      <c r="A314" s="0" t="s">
        <v>151</v>
      </c>
      <c r="B314" s="0" t="s">
        <v>152</v>
      </c>
      <c r="C314" s="0" t="s">
        <v>30</v>
      </c>
      <c r="D314" s="0" t="s">
        <v>31</v>
      </c>
      <c r="E314" s="0" t="n">
        <v>13</v>
      </c>
      <c r="F314" s="0" t="s">
        <v>66</v>
      </c>
      <c r="G314" s="0" t="s">
        <v>67</v>
      </c>
      <c r="H314" s="0" t="s">
        <v>67</v>
      </c>
      <c r="I314" s="0" t="s">
        <v>34</v>
      </c>
      <c r="J314" s="0" t="n">
        <v>1.24</v>
      </c>
      <c r="K314" s="0" t="s">
        <v>60</v>
      </c>
      <c r="L314" s="0" t="n">
        <f aca="false">INDEX(Summary!$F$2:$F$201,MATCH($B314,Summary!$A$2:$A$201,0))</f>
        <v>20</v>
      </c>
      <c r="M314" s="0" t="n">
        <f aca="false">INDEX(Summary!$I$2:$I$201,MATCH($B314,Summary!$A$2:$A$201,0))</f>
        <v>2</v>
      </c>
      <c r="N314" s="0" t="n">
        <f aca="false">INDEX(Summary!$J$2:$J$201,MATCH($B314,Summary!$A$2:$A$201,0))</f>
        <v>3</v>
      </c>
      <c r="O314" s="2" t="n">
        <f aca="false">INDEX(Summary!$K$2:$K$201,MATCH($B314,Summary!$A$2:$A$201,0))</f>
        <v>8.05</v>
      </c>
      <c r="P314" s="3" t="n">
        <f aca="false">INDEX(Summary!$L$2:$L$201,MATCH($B314,Summary!$A$2:$A$201,0))</f>
        <v>5</v>
      </c>
      <c r="Q314" s="3" t="n">
        <f aca="false">INDEX(Summary!$M$2:$M$201,MATCH($B314,Summary!$A$2:$A$201,0))</f>
        <v>1</v>
      </c>
      <c r="R314" s="2" t="n">
        <f aca="false">INDEX(Summary!$N$2:$N$201,MATCH($B314,Summary!$A$2:$A$201,0))</f>
        <v>8.78</v>
      </c>
      <c r="S314" s="3" t="n">
        <f aca="false">INDEX(Summary!$O$2:$O$201,MATCH($B314,Summary!$A$2:$A$201,0))</f>
        <v>8</v>
      </c>
      <c r="T314" s="3" t="n">
        <f aca="false">INDEX(Summary!$P$2:$P$201,MATCH($B314,Summary!$A$2:$A$201,0))</f>
        <v>1</v>
      </c>
      <c r="U314" s="2" t="n">
        <f aca="false">INDEX(Summary!$Q$2:$Q$201,MATCH($B314,Summary!$A$2:$A$201,0))</f>
        <v>12.14</v>
      </c>
      <c r="V314" s="2" t="n">
        <f aca="false">INDEX(Summary!$R$2:$R$201,MATCH($B314,Summary!$A$2:$A$201,0))</f>
        <v>27.81</v>
      </c>
      <c r="W314" s="0" t="str">
        <f aca="false">INDEX(Summary!$S$2:$S$201,MATCH($B314,Summary!$A$2:$A$201,0))</f>
        <v>Silver</v>
      </c>
      <c r="X314" s="2" t="n">
        <f aca="false">INDEX(Summary!$T$2:$T$201,MATCH($B314,Summary!$A$2:$A$201,0))</f>
        <v>67.83</v>
      </c>
      <c r="Y314" s="0" t="str">
        <f aca="false">INDEX('Reward Model'!$E$18:$E$37,MATCH($E314,'Reward Model'!$A$18:$A$37,0))</f>
        <v>Medium</v>
      </c>
      <c r="Z314" s="4" t="n">
        <f aca="false">ROUND(MIN(1,MAX('Reward Model'!$B$2,INDEX('Reward Model'!$C$12:$C$14,MATCH($K314,'Reward Model'!$A$12:$A$14,0))/$J314)),3)</f>
        <v>1</v>
      </c>
      <c r="AA314" s="2" t="n">
        <f aca="false">IF($I314="Correct",ROUND(INDEX('Reward Model'!$B$12:$B$14,MATCH($K314,'Reward Model'!$A$12:$A$14,0))*Z314,2),0)</f>
        <v>2</v>
      </c>
      <c r="AB314" s="2" t="n">
        <f aca="false">IF($I314="Correct",ROUND(INDEX('Reward Model'!$B$12:$B$14,MATCH($Y314,'Reward Model'!$A$12:$A$14,0))*Z314,2),0)</f>
        <v>2</v>
      </c>
    </row>
    <row r="315" customFormat="false" ht="15" hidden="false" customHeight="false" outlineLevel="0" collapsed="false">
      <c r="A315" s="0" t="s">
        <v>151</v>
      </c>
      <c r="B315" s="0" t="s">
        <v>152</v>
      </c>
      <c r="C315" s="0" t="s">
        <v>30</v>
      </c>
      <c r="D315" s="0" t="s">
        <v>31</v>
      </c>
      <c r="E315" s="0" t="n">
        <v>14</v>
      </c>
      <c r="F315" s="0" t="s">
        <v>68</v>
      </c>
      <c r="G315" s="0" t="s">
        <v>100</v>
      </c>
      <c r="H315" s="0" t="s">
        <v>51</v>
      </c>
      <c r="I315" s="0" t="s">
        <v>39</v>
      </c>
      <c r="J315" s="0" t="n">
        <v>1.81</v>
      </c>
      <c r="K315" s="0" t="s">
        <v>60</v>
      </c>
      <c r="L315" s="0" t="n">
        <f aca="false">INDEX(Summary!$F$2:$F$201,MATCH($B315,Summary!$A$2:$A$201,0))</f>
        <v>20</v>
      </c>
      <c r="M315" s="0" t="n">
        <f aca="false">INDEX(Summary!$I$2:$I$201,MATCH($B315,Summary!$A$2:$A$201,0))</f>
        <v>2</v>
      </c>
      <c r="N315" s="0" t="n">
        <f aca="false">INDEX(Summary!$J$2:$J$201,MATCH($B315,Summary!$A$2:$A$201,0))</f>
        <v>3</v>
      </c>
      <c r="O315" s="2" t="n">
        <f aca="false">INDEX(Summary!$K$2:$K$201,MATCH($B315,Summary!$A$2:$A$201,0))</f>
        <v>8.05</v>
      </c>
      <c r="P315" s="3" t="n">
        <f aca="false">INDEX(Summary!$L$2:$L$201,MATCH($B315,Summary!$A$2:$A$201,0))</f>
        <v>5</v>
      </c>
      <c r="Q315" s="3" t="n">
        <f aca="false">INDEX(Summary!$M$2:$M$201,MATCH($B315,Summary!$A$2:$A$201,0))</f>
        <v>1</v>
      </c>
      <c r="R315" s="2" t="n">
        <f aca="false">INDEX(Summary!$N$2:$N$201,MATCH($B315,Summary!$A$2:$A$201,0))</f>
        <v>8.78</v>
      </c>
      <c r="S315" s="3" t="n">
        <f aca="false">INDEX(Summary!$O$2:$O$201,MATCH($B315,Summary!$A$2:$A$201,0))</f>
        <v>8</v>
      </c>
      <c r="T315" s="3" t="n">
        <f aca="false">INDEX(Summary!$P$2:$P$201,MATCH($B315,Summary!$A$2:$A$201,0))</f>
        <v>1</v>
      </c>
      <c r="U315" s="2" t="n">
        <f aca="false">INDEX(Summary!$Q$2:$Q$201,MATCH($B315,Summary!$A$2:$A$201,0))</f>
        <v>12.14</v>
      </c>
      <c r="V315" s="2" t="n">
        <f aca="false">INDEX(Summary!$R$2:$R$201,MATCH($B315,Summary!$A$2:$A$201,0))</f>
        <v>27.81</v>
      </c>
      <c r="W315" s="0" t="str">
        <f aca="false">INDEX(Summary!$S$2:$S$201,MATCH($B315,Summary!$A$2:$A$201,0))</f>
        <v>Silver</v>
      </c>
      <c r="X315" s="2" t="n">
        <f aca="false">INDEX(Summary!$T$2:$T$201,MATCH($B315,Summary!$A$2:$A$201,0))</f>
        <v>67.83</v>
      </c>
      <c r="Y315" s="0" t="str">
        <f aca="false">INDEX('Reward Model'!$E$18:$E$37,MATCH($E315,'Reward Model'!$A$18:$A$37,0))</f>
        <v>Medium</v>
      </c>
      <c r="Z315" s="4" t="n">
        <f aca="false">ROUND(MIN(1,MAX('Reward Model'!$B$2,INDEX('Reward Model'!$C$12:$C$14,MATCH($K315,'Reward Model'!$A$12:$A$14,0))/$J315)),3)</f>
        <v>0.994</v>
      </c>
      <c r="AA315" s="2" t="n">
        <f aca="false">IF($I315="Correct",ROUND(INDEX('Reward Model'!$B$12:$B$14,MATCH($K315,'Reward Model'!$A$12:$A$14,0))*Z315,2),0)</f>
        <v>0</v>
      </c>
      <c r="AB315" s="2" t="n">
        <f aca="false">IF($I315="Correct",ROUND(INDEX('Reward Model'!$B$12:$B$14,MATCH($Y315,'Reward Model'!$A$12:$A$14,0))*Z315,2),0)</f>
        <v>0</v>
      </c>
    </row>
    <row r="316" customFormat="false" ht="15" hidden="false" customHeight="false" outlineLevel="0" collapsed="false">
      <c r="A316" s="0" t="s">
        <v>151</v>
      </c>
      <c r="B316" s="0" t="s">
        <v>152</v>
      </c>
      <c r="C316" s="0" t="s">
        <v>30</v>
      </c>
      <c r="D316" s="0" t="s">
        <v>31</v>
      </c>
      <c r="E316" s="0" t="n">
        <v>15</v>
      </c>
      <c r="F316" s="0" t="s">
        <v>69</v>
      </c>
      <c r="G316" s="0" t="s">
        <v>70</v>
      </c>
      <c r="H316" s="0" t="s">
        <v>70</v>
      </c>
      <c r="I316" s="0" t="s">
        <v>34</v>
      </c>
      <c r="J316" s="0" t="n">
        <v>1.68</v>
      </c>
      <c r="K316" s="0" t="s">
        <v>60</v>
      </c>
      <c r="L316" s="0" t="n">
        <f aca="false">INDEX(Summary!$F$2:$F$201,MATCH($B316,Summary!$A$2:$A$201,0))</f>
        <v>20</v>
      </c>
      <c r="M316" s="0" t="n">
        <f aca="false">INDEX(Summary!$I$2:$I$201,MATCH($B316,Summary!$A$2:$A$201,0))</f>
        <v>2</v>
      </c>
      <c r="N316" s="0" t="n">
        <f aca="false">INDEX(Summary!$J$2:$J$201,MATCH($B316,Summary!$A$2:$A$201,0))</f>
        <v>3</v>
      </c>
      <c r="O316" s="2" t="n">
        <f aca="false">INDEX(Summary!$K$2:$K$201,MATCH($B316,Summary!$A$2:$A$201,0))</f>
        <v>8.05</v>
      </c>
      <c r="P316" s="3" t="n">
        <f aca="false">INDEX(Summary!$L$2:$L$201,MATCH($B316,Summary!$A$2:$A$201,0))</f>
        <v>5</v>
      </c>
      <c r="Q316" s="3" t="n">
        <f aca="false">INDEX(Summary!$M$2:$M$201,MATCH($B316,Summary!$A$2:$A$201,0))</f>
        <v>1</v>
      </c>
      <c r="R316" s="2" t="n">
        <f aca="false">INDEX(Summary!$N$2:$N$201,MATCH($B316,Summary!$A$2:$A$201,0))</f>
        <v>8.78</v>
      </c>
      <c r="S316" s="3" t="n">
        <f aca="false">INDEX(Summary!$O$2:$O$201,MATCH($B316,Summary!$A$2:$A$201,0))</f>
        <v>8</v>
      </c>
      <c r="T316" s="3" t="n">
        <f aca="false">INDEX(Summary!$P$2:$P$201,MATCH($B316,Summary!$A$2:$A$201,0))</f>
        <v>1</v>
      </c>
      <c r="U316" s="2" t="n">
        <f aca="false">INDEX(Summary!$Q$2:$Q$201,MATCH($B316,Summary!$A$2:$A$201,0))</f>
        <v>12.14</v>
      </c>
      <c r="V316" s="2" t="n">
        <f aca="false">INDEX(Summary!$R$2:$R$201,MATCH($B316,Summary!$A$2:$A$201,0))</f>
        <v>27.81</v>
      </c>
      <c r="W316" s="0" t="str">
        <f aca="false">INDEX(Summary!$S$2:$S$201,MATCH($B316,Summary!$A$2:$A$201,0))</f>
        <v>Silver</v>
      </c>
      <c r="X316" s="2" t="n">
        <f aca="false">INDEX(Summary!$T$2:$T$201,MATCH($B316,Summary!$A$2:$A$201,0))</f>
        <v>67.83</v>
      </c>
      <c r="Y316" s="0" t="str">
        <f aca="false">INDEX('Reward Model'!$E$18:$E$37,MATCH($E316,'Reward Model'!$A$18:$A$37,0))</f>
        <v>Medium</v>
      </c>
      <c r="Z316" s="4" t="n">
        <f aca="false">ROUND(MIN(1,MAX('Reward Model'!$B$2,INDEX('Reward Model'!$C$12:$C$14,MATCH($K316,'Reward Model'!$A$12:$A$14,0))/$J316)),3)</f>
        <v>1</v>
      </c>
      <c r="AA316" s="2" t="n">
        <f aca="false">IF($I316="Correct",ROUND(INDEX('Reward Model'!$B$12:$B$14,MATCH($K316,'Reward Model'!$A$12:$A$14,0))*Z316,2),0)</f>
        <v>2</v>
      </c>
      <c r="AB316" s="2" t="n">
        <f aca="false">IF($I316="Correct",ROUND(INDEX('Reward Model'!$B$12:$B$14,MATCH($Y316,'Reward Model'!$A$12:$A$14,0))*Z316,2),0)</f>
        <v>2</v>
      </c>
    </row>
    <row r="317" customFormat="false" ht="15" hidden="false" customHeight="false" outlineLevel="0" collapsed="false">
      <c r="A317" s="0" t="s">
        <v>151</v>
      </c>
      <c r="B317" s="0" t="s">
        <v>152</v>
      </c>
      <c r="C317" s="0" t="s">
        <v>30</v>
      </c>
      <c r="D317" s="0" t="s">
        <v>31</v>
      </c>
      <c r="E317" s="0" t="n">
        <v>16</v>
      </c>
      <c r="F317" s="0" t="s">
        <v>71</v>
      </c>
      <c r="G317" s="0" t="s">
        <v>72</v>
      </c>
      <c r="H317" s="0" t="s">
        <v>72</v>
      </c>
      <c r="I317" s="0" t="s">
        <v>34</v>
      </c>
      <c r="J317" s="0" t="n">
        <v>1.22</v>
      </c>
      <c r="K317" s="0" t="s">
        <v>73</v>
      </c>
      <c r="L317" s="0" t="n">
        <f aca="false">INDEX(Summary!$F$2:$F$201,MATCH($B317,Summary!$A$2:$A$201,0))</f>
        <v>20</v>
      </c>
      <c r="M317" s="0" t="n">
        <f aca="false">INDEX(Summary!$I$2:$I$201,MATCH($B317,Summary!$A$2:$A$201,0))</f>
        <v>2</v>
      </c>
      <c r="N317" s="0" t="n">
        <f aca="false">INDEX(Summary!$J$2:$J$201,MATCH($B317,Summary!$A$2:$A$201,0))</f>
        <v>3</v>
      </c>
      <c r="O317" s="2" t="n">
        <f aca="false">INDEX(Summary!$K$2:$K$201,MATCH($B317,Summary!$A$2:$A$201,0))</f>
        <v>8.05</v>
      </c>
      <c r="P317" s="3" t="n">
        <f aca="false">INDEX(Summary!$L$2:$L$201,MATCH($B317,Summary!$A$2:$A$201,0))</f>
        <v>5</v>
      </c>
      <c r="Q317" s="3" t="n">
        <f aca="false">INDEX(Summary!$M$2:$M$201,MATCH($B317,Summary!$A$2:$A$201,0))</f>
        <v>1</v>
      </c>
      <c r="R317" s="2" t="n">
        <f aca="false">INDEX(Summary!$N$2:$N$201,MATCH($B317,Summary!$A$2:$A$201,0))</f>
        <v>8.78</v>
      </c>
      <c r="S317" s="3" t="n">
        <f aca="false">INDEX(Summary!$O$2:$O$201,MATCH($B317,Summary!$A$2:$A$201,0))</f>
        <v>8</v>
      </c>
      <c r="T317" s="3" t="n">
        <f aca="false">INDEX(Summary!$P$2:$P$201,MATCH($B317,Summary!$A$2:$A$201,0))</f>
        <v>1</v>
      </c>
      <c r="U317" s="2" t="n">
        <f aca="false">INDEX(Summary!$Q$2:$Q$201,MATCH($B317,Summary!$A$2:$A$201,0))</f>
        <v>12.14</v>
      </c>
      <c r="V317" s="2" t="n">
        <f aca="false">INDEX(Summary!$R$2:$R$201,MATCH($B317,Summary!$A$2:$A$201,0))</f>
        <v>27.81</v>
      </c>
      <c r="W317" s="0" t="str">
        <f aca="false">INDEX(Summary!$S$2:$S$201,MATCH($B317,Summary!$A$2:$A$201,0))</f>
        <v>Silver</v>
      </c>
      <c r="X317" s="2" t="n">
        <f aca="false">INDEX(Summary!$T$2:$T$201,MATCH($B317,Summary!$A$2:$A$201,0))</f>
        <v>67.83</v>
      </c>
      <c r="Y317" s="0" t="str">
        <f aca="false">INDEX('Reward Model'!$E$18:$E$37,MATCH($E317,'Reward Model'!$A$18:$A$37,0))</f>
        <v>High</v>
      </c>
      <c r="Z317" s="4" t="n">
        <f aca="false">ROUND(MIN(1,MAX('Reward Model'!$B$2,INDEX('Reward Model'!$C$12:$C$14,MATCH($K317,'Reward Model'!$A$12:$A$14,0))/$J317)),3)</f>
        <v>1</v>
      </c>
      <c r="AA317" s="2" t="n">
        <f aca="false">IF($I317="Correct",ROUND(INDEX('Reward Model'!$B$12:$B$14,MATCH($K317,'Reward Model'!$A$12:$A$14,0))*Z317,2),0)</f>
        <v>3</v>
      </c>
      <c r="AB317" s="2" t="n">
        <f aca="false">IF($I317="Correct",ROUND(INDEX('Reward Model'!$B$12:$B$14,MATCH($Y317,'Reward Model'!$A$12:$A$14,0))*Z317,2),0)</f>
        <v>3</v>
      </c>
    </row>
    <row r="318" customFormat="false" ht="15" hidden="false" customHeight="false" outlineLevel="0" collapsed="false">
      <c r="A318" s="0" t="s">
        <v>151</v>
      </c>
      <c r="B318" s="0" t="s">
        <v>152</v>
      </c>
      <c r="C318" s="0" t="s">
        <v>30</v>
      </c>
      <c r="D318" s="0" t="s">
        <v>31</v>
      </c>
      <c r="E318" s="0" t="n">
        <v>17</v>
      </c>
      <c r="F318" s="0" t="s">
        <v>74</v>
      </c>
      <c r="G318" s="0" t="s">
        <v>91</v>
      </c>
      <c r="H318" s="0" t="s">
        <v>75</v>
      </c>
      <c r="I318" s="0" t="s">
        <v>39</v>
      </c>
      <c r="J318" s="0" t="n">
        <v>1.74</v>
      </c>
      <c r="K318" s="0" t="s">
        <v>73</v>
      </c>
      <c r="L318" s="0" t="n">
        <f aca="false">INDEX(Summary!$F$2:$F$201,MATCH($B318,Summary!$A$2:$A$201,0))</f>
        <v>20</v>
      </c>
      <c r="M318" s="0" t="n">
        <f aca="false">INDEX(Summary!$I$2:$I$201,MATCH($B318,Summary!$A$2:$A$201,0))</f>
        <v>2</v>
      </c>
      <c r="N318" s="0" t="n">
        <f aca="false">INDEX(Summary!$J$2:$J$201,MATCH($B318,Summary!$A$2:$A$201,0))</f>
        <v>3</v>
      </c>
      <c r="O318" s="2" t="n">
        <f aca="false">INDEX(Summary!$K$2:$K$201,MATCH($B318,Summary!$A$2:$A$201,0))</f>
        <v>8.05</v>
      </c>
      <c r="P318" s="3" t="n">
        <f aca="false">INDEX(Summary!$L$2:$L$201,MATCH($B318,Summary!$A$2:$A$201,0))</f>
        <v>5</v>
      </c>
      <c r="Q318" s="3" t="n">
        <f aca="false">INDEX(Summary!$M$2:$M$201,MATCH($B318,Summary!$A$2:$A$201,0))</f>
        <v>1</v>
      </c>
      <c r="R318" s="2" t="n">
        <f aca="false">INDEX(Summary!$N$2:$N$201,MATCH($B318,Summary!$A$2:$A$201,0))</f>
        <v>8.78</v>
      </c>
      <c r="S318" s="3" t="n">
        <f aca="false">INDEX(Summary!$O$2:$O$201,MATCH($B318,Summary!$A$2:$A$201,0))</f>
        <v>8</v>
      </c>
      <c r="T318" s="3" t="n">
        <f aca="false">INDEX(Summary!$P$2:$P$201,MATCH($B318,Summary!$A$2:$A$201,0))</f>
        <v>1</v>
      </c>
      <c r="U318" s="2" t="n">
        <f aca="false">INDEX(Summary!$Q$2:$Q$201,MATCH($B318,Summary!$A$2:$A$201,0))</f>
        <v>12.14</v>
      </c>
      <c r="V318" s="2" t="n">
        <f aca="false">INDEX(Summary!$R$2:$R$201,MATCH($B318,Summary!$A$2:$A$201,0))</f>
        <v>27.81</v>
      </c>
      <c r="W318" s="0" t="str">
        <f aca="false">INDEX(Summary!$S$2:$S$201,MATCH($B318,Summary!$A$2:$A$201,0))</f>
        <v>Silver</v>
      </c>
      <c r="X318" s="2" t="n">
        <f aca="false">INDEX(Summary!$T$2:$T$201,MATCH($B318,Summary!$A$2:$A$201,0))</f>
        <v>67.83</v>
      </c>
      <c r="Y318" s="0" t="str">
        <f aca="false">INDEX('Reward Model'!$E$18:$E$37,MATCH($E318,'Reward Model'!$A$18:$A$37,0))</f>
        <v>High</v>
      </c>
      <c r="Z318" s="4" t="n">
        <f aca="false">ROUND(MIN(1,MAX('Reward Model'!$B$2,INDEX('Reward Model'!$C$12:$C$14,MATCH($K318,'Reward Model'!$A$12:$A$14,0))/$J318)),3)</f>
        <v>1</v>
      </c>
      <c r="AA318" s="2" t="n">
        <f aca="false">IF($I318="Correct",ROUND(INDEX('Reward Model'!$B$12:$B$14,MATCH($K318,'Reward Model'!$A$12:$A$14,0))*Z318,2),0)</f>
        <v>0</v>
      </c>
      <c r="AB318" s="2" t="n">
        <f aca="false">IF($I318="Correct",ROUND(INDEX('Reward Model'!$B$12:$B$14,MATCH($Y318,'Reward Model'!$A$12:$A$14,0))*Z318,2),0)</f>
        <v>0</v>
      </c>
    </row>
    <row r="319" customFormat="false" ht="15" hidden="false" customHeight="false" outlineLevel="0" collapsed="false">
      <c r="A319" s="0" t="s">
        <v>151</v>
      </c>
      <c r="B319" s="0" t="s">
        <v>152</v>
      </c>
      <c r="C319" s="0" t="s">
        <v>30</v>
      </c>
      <c r="D319" s="0" t="s">
        <v>31</v>
      </c>
      <c r="E319" s="0" t="n">
        <v>18</v>
      </c>
      <c r="F319" s="0" t="s">
        <v>76</v>
      </c>
      <c r="G319" s="0" t="s">
        <v>77</v>
      </c>
      <c r="H319" s="0" t="s">
        <v>77</v>
      </c>
      <c r="I319" s="0" t="s">
        <v>34</v>
      </c>
      <c r="J319" s="0" t="n">
        <v>1.25</v>
      </c>
      <c r="K319" s="0" t="s">
        <v>73</v>
      </c>
      <c r="L319" s="0" t="n">
        <f aca="false">INDEX(Summary!$F$2:$F$201,MATCH($B319,Summary!$A$2:$A$201,0))</f>
        <v>20</v>
      </c>
      <c r="M319" s="0" t="n">
        <f aca="false">INDEX(Summary!$I$2:$I$201,MATCH($B319,Summary!$A$2:$A$201,0))</f>
        <v>2</v>
      </c>
      <c r="N319" s="0" t="n">
        <f aca="false">INDEX(Summary!$J$2:$J$201,MATCH($B319,Summary!$A$2:$A$201,0))</f>
        <v>3</v>
      </c>
      <c r="O319" s="2" t="n">
        <f aca="false">INDEX(Summary!$K$2:$K$201,MATCH($B319,Summary!$A$2:$A$201,0))</f>
        <v>8.05</v>
      </c>
      <c r="P319" s="3" t="n">
        <f aca="false">INDEX(Summary!$L$2:$L$201,MATCH($B319,Summary!$A$2:$A$201,0))</f>
        <v>5</v>
      </c>
      <c r="Q319" s="3" t="n">
        <f aca="false">INDEX(Summary!$M$2:$M$201,MATCH($B319,Summary!$A$2:$A$201,0))</f>
        <v>1</v>
      </c>
      <c r="R319" s="2" t="n">
        <f aca="false">INDEX(Summary!$N$2:$N$201,MATCH($B319,Summary!$A$2:$A$201,0))</f>
        <v>8.78</v>
      </c>
      <c r="S319" s="3" t="n">
        <f aca="false">INDEX(Summary!$O$2:$O$201,MATCH($B319,Summary!$A$2:$A$201,0))</f>
        <v>8</v>
      </c>
      <c r="T319" s="3" t="n">
        <f aca="false">INDEX(Summary!$P$2:$P$201,MATCH($B319,Summary!$A$2:$A$201,0))</f>
        <v>1</v>
      </c>
      <c r="U319" s="2" t="n">
        <f aca="false">INDEX(Summary!$Q$2:$Q$201,MATCH($B319,Summary!$A$2:$A$201,0))</f>
        <v>12.14</v>
      </c>
      <c r="V319" s="2" t="n">
        <f aca="false">INDEX(Summary!$R$2:$R$201,MATCH($B319,Summary!$A$2:$A$201,0))</f>
        <v>27.81</v>
      </c>
      <c r="W319" s="0" t="str">
        <f aca="false">INDEX(Summary!$S$2:$S$201,MATCH($B319,Summary!$A$2:$A$201,0))</f>
        <v>Silver</v>
      </c>
      <c r="X319" s="2" t="n">
        <f aca="false">INDEX(Summary!$T$2:$T$201,MATCH($B319,Summary!$A$2:$A$201,0))</f>
        <v>67.83</v>
      </c>
      <c r="Y319" s="0" t="str">
        <f aca="false">INDEX('Reward Model'!$E$18:$E$37,MATCH($E319,'Reward Model'!$A$18:$A$37,0))</f>
        <v>High</v>
      </c>
      <c r="Z319" s="4" t="n">
        <f aca="false">ROUND(MIN(1,MAX('Reward Model'!$B$2,INDEX('Reward Model'!$C$12:$C$14,MATCH($K319,'Reward Model'!$A$12:$A$14,0))/$J319)),3)</f>
        <v>1</v>
      </c>
      <c r="AA319" s="2" t="n">
        <f aca="false">IF($I319="Correct",ROUND(INDEX('Reward Model'!$B$12:$B$14,MATCH($K319,'Reward Model'!$A$12:$A$14,0))*Z319,2),0)</f>
        <v>3</v>
      </c>
      <c r="AB319" s="2" t="n">
        <f aca="false">IF($I319="Correct",ROUND(INDEX('Reward Model'!$B$12:$B$14,MATCH($Y319,'Reward Model'!$A$12:$A$14,0))*Z319,2),0)</f>
        <v>3</v>
      </c>
    </row>
    <row r="320" customFormat="false" ht="15" hidden="false" customHeight="false" outlineLevel="0" collapsed="false">
      <c r="A320" s="0" t="s">
        <v>151</v>
      </c>
      <c r="B320" s="0" t="s">
        <v>152</v>
      </c>
      <c r="C320" s="0" t="s">
        <v>30</v>
      </c>
      <c r="D320" s="0" t="s">
        <v>31</v>
      </c>
      <c r="E320" s="0" t="n">
        <v>19</v>
      </c>
      <c r="F320" s="0" t="s">
        <v>78</v>
      </c>
      <c r="G320" s="0" t="s">
        <v>51</v>
      </c>
      <c r="H320" s="0" t="s">
        <v>80</v>
      </c>
      <c r="I320" s="0" t="s">
        <v>39</v>
      </c>
      <c r="J320" s="0" t="n">
        <v>2.3</v>
      </c>
      <c r="K320" s="0" t="s">
        <v>73</v>
      </c>
      <c r="L320" s="0" t="n">
        <f aca="false">INDEX(Summary!$F$2:$F$201,MATCH($B320,Summary!$A$2:$A$201,0))</f>
        <v>20</v>
      </c>
      <c r="M320" s="0" t="n">
        <f aca="false">INDEX(Summary!$I$2:$I$201,MATCH($B320,Summary!$A$2:$A$201,0))</f>
        <v>2</v>
      </c>
      <c r="N320" s="0" t="n">
        <f aca="false">INDEX(Summary!$J$2:$J$201,MATCH($B320,Summary!$A$2:$A$201,0))</f>
        <v>3</v>
      </c>
      <c r="O320" s="2" t="n">
        <f aca="false">INDEX(Summary!$K$2:$K$201,MATCH($B320,Summary!$A$2:$A$201,0))</f>
        <v>8.05</v>
      </c>
      <c r="P320" s="3" t="n">
        <f aca="false">INDEX(Summary!$L$2:$L$201,MATCH($B320,Summary!$A$2:$A$201,0))</f>
        <v>5</v>
      </c>
      <c r="Q320" s="3" t="n">
        <f aca="false">INDEX(Summary!$M$2:$M$201,MATCH($B320,Summary!$A$2:$A$201,0))</f>
        <v>1</v>
      </c>
      <c r="R320" s="2" t="n">
        <f aca="false">INDEX(Summary!$N$2:$N$201,MATCH($B320,Summary!$A$2:$A$201,0))</f>
        <v>8.78</v>
      </c>
      <c r="S320" s="3" t="n">
        <f aca="false">INDEX(Summary!$O$2:$O$201,MATCH($B320,Summary!$A$2:$A$201,0))</f>
        <v>8</v>
      </c>
      <c r="T320" s="3" t="n">
        <f aca="false">INDEX(Summary!$P$2:$P$201,MATCH($B320,Summary!$A$2:$A$201,0))</f>
        <v>1</v>
      </c>
      <c r="U320" s="2" t="n">
        <f aca="false">INDEX(Summary!$Q$2:$Q$201,MATCH($B320,Summary!$A$2:$A$201,0))</f>
        <v>12.14</v>
      </c>
      <c r="V320" s="2" t="n">
        <f aca="false">INDEX(Summary!$R$2:$R$201,MATCH($B320,Summary!$A$2:$A$201,0))</f>
        <v>27.81</v>
      </c>
      <c r="W320" s="0" t="str">
        <f aca="false">INDEX(Summary!$S$2:$S$201,MATCH($B320,Summary!$A$2:$A$201,0))</f>
        <v>Silver</v>
      </c>
      <c r="X320" s="2" t="n">
        <f aca="false">INDEX(Summary!$T$2:$T$201,MATCH($B320,Summary!$A$2:$A$201,0))</f>
        <v>67.83</v>
      </c>
      <c r="Y320" s="0" t="str">
        <f aca="false">INDEX('Reward Model'!$E$18:$E$37,MATCH($E320,'Reward Model'!$A$18:$A$37,0))</f>
        <v>High</v>
      </c>
      <c r="Z320" s="4" t="n">
        <f aca="false">ROUND(MIN(1,MAX('Reward Model'!$B$2,INDEX('Reward Model'!$C$12:$C$14,MATCH($K320,'Reward Model'!$A$12:$A$14,0))/$J320)),3)</f>
        <v>0.87</v>
      </c>
      <c r="AA320" s="2" t="n">
        <f aca="false">IF($I320="Correct",ROUND(INDEX('Reward Model'!$B$12:$B$14,MATCH($K320,'Reward Model'!$A$12:$A$14,0))*Z320,2),0)</f>
        <v>0</v>
      </c>
      <c r="AB320" s="2" t="n">
        <f aca="false">IF($I320="Correct",ROUND(INDEX('Reward Model'!$B$12:$B$14,MATCH($Y320,'Reward Model'!$A$12:$A$14,0))*Z320,2),0)</f>
        <v>0</v>
      </c>
    </row>
    <row r="321" customFormat="false" ht="15" hidden="false" customHeight="false" outlineLevel="0" collapsed="false">
      <c r="A321" s="0" t="s">
        <v>151</v>
      </c>
      <c r="B321" s="0" t="s">
        <v>152</v>
      </c>
      <c r="C321" s="0" t="s">
        <v>30</v>
      </c>
      <c r="D321" s="0" t="s">
        <v>31</v>
      </c>
      <c r="E321" s="0" t="n">
        <v>20</v>
      </c>
      <c r="F321" s="0" t="s">
        <v>81</v>
      </c>
      <c r="G321" s="0" t="s">
        <v>82</v>
      </c>
      <c r="H321" s="0" t="s">
        <v>83</v>
      </c>
      <c r="I321" s="0" t="s">
        <v>39</v>
      </c>
      <c r="J321" s="0" t="n">
        <v>1.54</v>
      </c>
      <c r="K321" s="0" t="s">
        <v>73</v>
      </c>
      <c r="L321" s="0" t="n">
        <f aca="false">INDEX(Summary!$F$2:$F$201,MATCH($B321,Summary!$A$2:$A$201,0))</f>
        <v>20</v>
      </c>
      <c r="M321" s="0" t="n">
        <f aca="false">INDEX(Summary!$I$2:$I$201,MATCH($B321,Summary!$A$2:$A$201,0))</f>
        <v>2</v>
      </c>
      <c r="N321" s="0" t="n">
        <f aca="false">INDEX(Summary!$J$2:$J$201,MATCH($B321,Summary!$A$2:$A$201,0))</f>
        <v>3</v>
      </c>
      <c r="O321" s="2" t="n">
        <f aca="false">INDEX(Summary!$K$2:$K$201,MATCH($B321,Summary!$A$2:$A$201,0))</f>
        <v>8.05</v>
      </c>
      <c r="P321" s="3" t="n">
        <f aca="false">INDEX(Summary!$L$2:$L$201,MATCH($B321,Summary!$A$2:$A$201,0))</f>
        <v>5</v>
      </c>
      <c r="Q321" s="3" t="n">
        <f aca="false">INDEX(Summary!$M$2:$M$201,MATCH($B321,Summary!$A$2:$A$201,0))</f>
        <v>1</v>
      </c>
      <c r="R321" s="2" t="n">
        <f aca="false">INDEX(Summary!$N$2:$N$201,MATCH($B321,Summary!$A$2:$A$201,0))</f>
        <v>8.78</v>
      </c>
      <c r="S321" s="3" t="n">
        <f aca="false">INDEX(Summary!$O$2:$O$201,MATCH($B321,Summary!$A$2:$A$201,0))</f>
        <v>8</v>
      </c>
      <c r="T321" s="3" t="n">
        <f aca="false">INDEX(Summary!$P$2:$P$201,MATCH($B321,Summary!$A$2:$A$201,0))</f>
        <v>1</v>
      </c>
      <c r="U321" s="2" t="n">
        <f aca="false">INDEX(Summary!$Q$2:$Q$201,MATCH($B321,Summary!$A$2:$A$201,0))</f>
        <v>12.14</v>
      </c>
      <c r="V321" s="2" t="n">
        <f aca="false">INDEX(Summary!$R$2:$R$201,MATCH($B321,Summary!$A$2:$A$201,0))</f>
        <v>27.81</v>
      </c>
      <c r="W321" s="0" t="str">
        <f aca="false">INDEX(Summary!$S$2:$S$201,MATCH($B321,Summary!$A$2:$A$201,0))</f>
        <v>Silver</v>
      </c>
      <c r="X321" s="2" t="n">
        <f aca="false">INDEX(Summary!$T$2:$T$201,MATCH($B321,Summary!$A$2:$A$201,0))</f>
        <v>67.83</v>
      </c>
      <c r="Y321" s="0" t="str">
        <f aca="false">INDEX('Reward Model'!$E$18:$E$37,MATCH($E321,'Reward Model'!$A$18:$A$37,0))</f>
        <v>High</v>
      </c>
      <c r="Z321" s="4" t="n">
        <f aca="false">ROUND(MIN(1,MAX('Reward Model'!$B$2,INDEX('Reward Model'!$C$12:$C$14,MATCH($K321,'Reward Model'!$A$12:$A$14,0))/$J321)),3)</f>
        <v>1</v>
      </c>
      <c r="AA321" s="2" t="n">
        <f aca="false">IF($I321="Correct",ROUND(INDEX('Reward Model'!$B$12:$B$14,MATCH($K321,'Reward Model'!$A$12:$A$14,0))*Z321,2),0)</f>
        <v>0</v>
      </c>
      <c r="AB321" s="2" t="n">
        <f aca="false">IF($I321="Correct",ROUND(INDEX('Reward Model'!$B$12:$B$14,MATCH($Y321,'Reward Model'!$A$12:$A$14,0))*Z321,2),0)</f>
        <v>0</v>
      </c>
    </row>
    <row r="322" customFormat="false" ht="15" hidden="false" customHeight="false" outlineLevel="0" collapsed="false">
      <c r="A322" s="0" t="s">
        <v>153</v>
      </c>
      <c r="B322" s="0" t="s">
        <v>154</v>
      </c>
      <c r="C322" s="0" t="s">
        <v>30</v>
      </c>
      <c r="D322" s="0" t="s">
        <v>31</v>
      </c>
      <c r="E322" s="0" t="n">
        <v>1</v>
      </c>
      <c r="F322" s="0" t="s">
        <v>32</v>
      </c>
      <c r="G322" s="0" t="s">
        <v>97</v>
      </c>
      <c r="H322" s="0" t="s">
        <v>33</v>
      </c>
      <c r="I322" s="0" t="s">
        <v>39</v>
      </c>
      <c r="J322" s="0" t="n">
        <v>1.9</v>
      </c>
      <c r="K322" s="0" t="s">
        <v>35</v>
      </c>
      <c r="L322" s="0" t="n">
        <f aca="false">INDEX(Summary!$F$2:$F$201,MATCH($B322,Summary!$A$2:$A$201,0))</f>
        <v>20</v>
      </c>
      <c r="M322" s="0" t="n">
        <f aca="false">INDEX(Summary!$I$2:$I$201,MATCH($B322,Summary!$A$2:$A$201,0))</f>
        <v>3</v>
      </c>
      <c r="N322" s="0" t="n">
        <f aca="false">INDEX(Summary!$J$2:$J$201,MATCH($B322,Summary!$A$2:$A$201,0))</f>
        <v>2</v>
      </c>
      <c r="O322" s="2" t="n">
        <f aca="false">INDEX(Summary!$K$2:$K$201,MATCH($B322,Summary!$A$2:$A$201,0))</f>
        <v>8.67</v>
      </c>
      <c r="P322" s="3" t="n">
        <f aca="false">INDEX(Summary!$L$2:$L$201,MATCH($B322,Summary!$A$2:$A$201,0))</f>
        <v>3</v>
      </c>
      <c r="Q322" s="3" t="n">
        <f aca="false">INDEX(Summary!$M$2:$M$201,MATCH($B322,Summary!$A$2:$A$201,0))</f>
        <v>3</v>
      </c>
      <c r="R322" s="2" t="n">
        <f aca="false">INDEX(Summary!$N$2:$N$201,MATCH($B322,Summary!$A$2:$A$201,0))</f>
        <v>12.47</v>
      </c>
      <c r="S322" s="3" t="n">
        <f aca="false">INDEX(Summary!$O$2:$O$201,MATCH($B322,Summary!$A$2:$A$201,0))</f>
        <v>6</v>
      </c>
      <c r="T322" s="3" t="n">
        <f aca="false">INDEX(Summary!$P$2:$P$201,MATCH($B322,Summary!$A$2:$A$201,0))</f>
        <v>3</v>
      </c>
      <c r="U322" s="2" t="n">
        <f aca="false">INDEX(Summary!$Q$2:$Q$201,MATCH($B322,Summary!$A$2:$A$201,0))</f>
        <v>12.68</v>
      </c>
      <c r="V322" s="2" t="n">
        <f aca="false">INDEX(Summary!$R$2:$R$201,MATCH($B322,Summary!$A$2:$A$201,0))</f>
        <v>21.68</v>
      </c>
      <c r="W322" s="0" t="str">
        <f aca="false">INDEX(Summary!$S$2:$S$201,MATCH($B322,Summary!$A$2:$A$201,0))</f>
        <v>Silver</v>
      </c>
      <c r="X322" s="2" t="n">
        <f aca="false">INDEX(Summary!$T$2:$T$201,MATCH($B322,Summary!$A$2:$A$201,0))</f>
        <v>52.88</v>
      </c>
      <c r="Y322" s="0" t="str">
        <f aca="false">INDEX('Reward Model'!$E$18:$E$37,MATCH($E322,'Reward Model'!$A$18:$A$37,0))</f>
        <v>Medium</v>
      </c>
      <c r="Z322" s="4" t="n">
        <f aca="false">ROUND(MIN(1,MAX('Reward Model'!$B$2,INDEX('Reward Model'!$C$12:$C$14,MATCH($K322,'Reward Model'!$A$12:$A$14,0))/$J322)),3)</f>
        <v>0.789</v>
      </c>
      <c r="AA322" s="2" t="n">
        <f aca="false">IF($I322="Correct",ROUND(INDEX('Reward Model'!$B$12:$B$14,MATCH($K322,'Reward Model'!$A$12:$A$14,0))*Z322,2),0)</f>
        <v>0</v>
      </c>
      <c r="AB322" s="2" t="n">
        <f aca="false">IF($I322="Correct",ROUND(INDEX('Reward Model'!$B$12:$B$14,MATCH($Y322,'Reward Model'!$A$12:$A$14,0))*Z322,2),0)</f>
        <v>0</v>
      </c>
    </row>
    <row r="323" customFormat="false" ht="15" hidden="false" customHeight="false" outlineLevel="0" collapsed="false">
      <c r="A323" s="0" t="s">
        <v>153</v>
      </c>
      <c r="B323" s="0" t="s">
        <v>154</v>
      </c>
      <c r="C323" s="0" t="s">
        <v>30</v>
      </c>
      <c r="D323" s="0" t="s">
        <v>31</v>
      </c>
      <c r="E323" s="0" t="n">
        <v>2</v>
      </c>
      <c r="F323" s="0" t="s">
        <v>36</v>
      </c>
      <c r="G323" s="0" t="s">
        <v>38</v>
      </c>
      <c r="H323" s="0" t="s">
        <v>38</v>
      </c>
      <c r="I323" s="0" t="s">
        <v>34</v>
      </c>
      <c r="J323" s="0" t="n">
        <v>0.99</v>
      </c>
      <c r="K323" s="0" t="s">
        <v>35</v>
      </c>
      <c r="L323" s="0" t="n">
        <f aca="false">INDEX(Summary!$F$2:$F$201,MATCH($B323,Summary!$A$2:$A$201,0))</f>
        <v>20</v>
      </c>
      <c r="M323" s="0" t="n">
        <f aca="false">INDEX(Summary!$I$2:$I$201,MATCH($B323,Summary!$A$2:$A$201,0))</f>
        <v>3</v>
      </c>
      <c r="N323" s="0" t="n">
        <f aca="false">INDEX(Summary!$J$2:$J$201,MATCH($B323,Summary!$A$2:$A$201,0))</f>
        <v>2</v>
      </c>
      <c r="O323" s="2" t="n">
        <f aca="false">INDEX(Summary!$K$2:$K$201,MATCH($B323,Summary!$A$2:$A$201,0))</f>
        <v>8.67</v>
      </c>
      <c r="P323" s="3" t="n">
        <f aca="false">INDEX(Summary!$L$2:$L$201,MATCH($B323,Summary!$A$2:$A$201,0))</f>
        <v>3</v>
      </c>
      <c r="Q323" s="3" t="n">
        <f aca="false">INDEX(Summary!$M$2:$M$201,MATCH($B323,Summary!$A$2:$A$201,0))</f>
        <v>3</v>
      </c>
      <c r="R323" s="2" t="n">
        <f aca="false">INDEX(Summary!$N$2:$N$201,MATCH($B323,Summary!$A$2:$A$201,0))</f>
        <v>12.47</v>
      </c>
      <c r="S323" s="3" t="n">
        <f aca="false">INDEX(Summary!$O$2:$O$201,MATCH($B323,Summary!$A$2:$A$201,0))</f>
        <v>6</v>
      </c>
      <c r="T323" s="3" t="n">
        <f aca="false">INDEX(Summary!$P$2:$P$201,MATCH($B323,Summary!$A$2:$A$201,0))</f>
        <v>3</v>
      </c>
      <c r="U323" s="2" t="n">
        <f aca="false">INDEX(Summary!$Q$2:$Q$201,MATCH($B323,Summary!$A$2:$A$201,0))</f>
        <v>12.68</v>
      </c>
      <c r="V323" s="2" t="n">
        <f aca="false">INDEX(Summary!$R$2:$R$201,MATCH($B323,Summary!$A$2:$A$201,0))</f>
        <v>21.68</v>
      </c>
      <c r="W323" s="0" t="str">
        <f aca="false">INDEX(Summary!$S$2:$S$201,MATCH($B323,Summary!$A$2:$A$201,0))</f>
        <v>Silver</v>
      </c>
      <c r="X323" s="2" t="n">
        <f aca="false">INDEX(Summary!$T$2:$T$201,MATCH($B323,Summary!$A$2:$A$201,0))</f>
        <v>52.88</v>
      </c>
      <c r="Y323" s="0" t="str">
        <f aca="false">INDEX('Reward Model'!$E$18:$E$37,MATCH($E323,'Reward Model'!$A$18:$A$37,0))</f>
        <v>Low</v>
      </c>
      <c r="Z323" s="4" t="n">
        <f aca="false">ROUND(MIN(1,MAX('Reward Model'!$B$2,INDEX('Reward Model'!$C$12:$C$14,MATCH($K323,'Reward Model'!$A$12:$A$14,0))/$J323)),3)</f>
        <v>1</v>
      </c>
      <c r="AA323" s="2" t="n">
        <f aca="false">IF($I323="Correct",ROUND(INDEX('Reward Model'!$B$12:$B$14,MATCH($K323,'Reward Model'!$A$12:$A$14,0))*Z323,2),0)</f>
        <v>1</v>
      </c>
      <c r="AB323" s="2" t="n">
        <f aca="false">IF($I323="Correct",ROUND(INDEX('Reward Model'!$B$12:$B$14,MATCH($Y323,'Reward Model'!$A$12:$A$14,0))*Z323,2),0)</f>
        <v>1</v>
      </c>
    </row>
    <row r="324" customFormat="false" ht="15" hidden="false" customHeight="false" outlineLevel="0" collapsed="false">
      <c r="A324" s="0" t="s">
        <v>153</v>
      </c>
      <c r="B324" s="0" t="s">
        <v>154</v>
      </c>
      <c r="C324" s="0" t="s">
        <v>30</v>
      </c>
      <c r="D324" s="0" t="s">
        <v>31</v>
      </c>
      <c r="E324" s="0" t="n">
        <v>3</v>
      </c>
      <c r="F324" s="0" t="s">
        <v>40</v>
      </c>
      <c r="G324" s="0" t="s">
        <v>42</v>
      </c>
      <c r="H324" s="0" t="s">
        <v>42</v>
      </c>
      <c r="I324" s="0" t="s">
        <v>34</v>
      </c>
      <c r="J324" s="0" t="n">
        <v>1.08</v>
      </c>
      <c r="K324" s="0" t="s">
        <v>35</v>
      </c>
      <c r="L324" s="0" t="n">
        <f aca="false">INDEX(Summary!$F$2:$F$201,MATCH($B324,Summary!$A$2:$A$201,0))</f>
        <v>20</v>
      </c>
      <c r="M324" s="0" t="n">
        <f aca="false">INDEX(Summary!$I$2:$I$201,MATCH($B324,Summary!$A$2:$A$201,0))</f>
        <v>3</v>
      </c>
      <c r="N324" s="0" t="n">
        <f aca="false">INDEX(Summary!$J$2:$J$201,MATCH($B324,Summary!$A$2:$A$201,0))</f>
        <v>2</v>
      </c>
      <c r="O324" s="2" t="n">
        <f aca="false">INDEX(Summary!$K$2:$K$201,MATCH($B324,Summary!$A$2:$A$201,0))</f>
        <v>8.67</v>
      </c>
      <c r="P324" s="3" t="n">
        <f aca="false">INDEX(Summary!$L$2:$L$201,MATCH($B324,Summary!$A$2:$A$201,0))</f>
        <v>3</v>
      </c>
      <c r="Q324" s="3" t="n">
        <f aca="false">INDEX(Summary!$M$2:$M$201,MATCH($B324,Summary!$A$2:$A$201,0))</f>
        <v>3</v>
      </c>
      <c r="R324" s="2" t="n">
        <f aca="false">INDEX(Summary!$N$2:$N$201,MATCH($B324,Summary!$A$2:$A$201,0))</f>
        <v>12.47</v>
      </c>
      <c r="S324" s="3" t="n">
        <f aca="false">INDEX(Summary!$O$2:$O$201,MATCH($B324,Summary!$A$2:$A$201,0))</f>
        <v>6</v>
      </c>
      <c r="T324" s="3" t="n">
        <f aca="false">INDEX(Summary!$P$2:$P$201,MATCH($B324,Summary!$A$2:$A$201,0))</f>
        <v>3</v>
      </c>
      <c r="U324" s="2" t="n">
        <f aca="false">INDEX(Summary!$Q$2:$Q$201,MATCH($B324,Summary!$A$2:$A$201,0))</f>
        <v>12.68</v>
      </c>
      <c r="V324" s="2" t="n">
        <f aca="false">INDEX(Summary!$R$2:$R$201,MATCH($B324,Summary!$A$2:$A$201,0))</f>
        <v>21.68</v>
      </c>
      <c r="W324" s="0" t="str">
        <f aca="false">INDEX(Summary!$S$2:$S$201,MATCH($B324,Summary!$A$2:$A$201,0))</f>
        <v>Silver</v>
      </c>
      <c r="X324" s="2" t="n">
        <f aca="false">INDEX(Summary!$T$2:$T$201,MATCH($B324,Summary!$A$2:$A$201,0))</f>
        <v>52.88</v>
      </c>
      <c r="Y324" s="0" t="str">
        <f aca="false">INDEX('Reward Model'!$E$18:$E$37,MATCH($E324,'Reward Model'!$A$18:$A$37,0))</f>
        <v>Medium</v>
      </c>
      <c r="Z324" s="4" t="n">
        <f aca="false">ROUND(MIN(1,MAX('Reward Model'!$B$2,INDEX('Reward Model'!$C$12:$C$14,MATCH($K324,'Reward Model'!$A$12:$A$14,0))/$J324)),3)</f>
        <v>1</v>
      </c>
      <c r="AA324" s="2" t="n">
        <f aca="false">IF($I324="Correct",ROUND(INDEX('Reward Model'!$B$12:$B$14,MATCH($K324,'Reward Model'!$A$12:$A$14,0))*Z324,2),0)</f>
        <v>1</v>
      </c>
      <c r="AB324" s="2" t="n">
        <f aca="false">IF($I324="Correct",ROUND(INDEX('Reward Model'!$B$12:$B$14,MATCH($Y324,'Reward Model'!$A$12:$A$14,0))*Z324,2),0)</f>
        <v>2</v>
      </c>
    </row>
    <row r="325" customFormat="false" ht="15" hidden="false" customHeight="false" outlineLevel="0" collapsed="false">
      <c r="A325" s="0" t="s">
        <v>153</v>
      </c>
      <c r="B325" s="0" t="s">
        <v>154</v>
      </c>
      <c r="C325" s="0" t="s">
        <v>30</v>
      </c>
      <c r="D325" s="0" t="s">
        <v>31</v>
      </c>
      <c r="E325" s="0" t="n">
        <v>4</v>
      </c>
      <c r="F325" s="0" t="s">
        <v>43</v>
      </c>
      <c r="G325" s="0" t="s">
        <v>155</v>
      </c>
      <c r="H325" s="0" t="s">
        <v>45</v>
      </c>
      <c r="I325" s="0" t="s">
        <v>39</v>
      </c>
      <c r="J325" s="0" t="n">
        <v>1.14</v>
      </c>
      <c r="K325" s="0" t="s">
        <v>35</v>
      </c>
      <c r="L325" s="0" t="n">
        <f aca="false">INDEX(Summary!$F$2:$F$201,MATCH($B325,Summary!$A$2:$A$201,0))</f>
        <v>20</v>
      </c>
      <c r="M325" s="0" t="n">
        <f aca="false">INDEX(Summary!$I$2:$I$201,MATCH($B325,Summary!$A$2:$A$201,0))</f>
        <v>3</v>
      </c>
      <c r="N325" s="0" t="n">
        <f aca="false">INDEX(Summary!$J$2:$J$201,MATCH($B325,Summary!$A$2:$A$201,0))</f>
        <v>2</v>
      </c>
      <c r="O325" s="2" t="n">
        <f aca="false">INDEX(Summary!$K$2:$K$201,MATCH($B325,Summary!$A$2:$A$201,0))</f>
        <v>8.67</v>
      </c>
      <c r="P325" s="3" t="n">
        <f aca="false">INDEX(Summary!$L$2:$L$201,MATCH($B325,Summary!$A$2:$A$201,0))</f>
        <v>3</v>
      </c>
      <c r="Q325" s="3" t="n">
        <f aca="false">INDEX(Summary!$M$2:$M$201,MATCH($B325,Summary!$A$2:$A$201,0))</f>
        <v>3</v>
      </c>
      <c r="R325" s="2" t="n">
        <f aca="false">INDEX(Summary!$N$2:$N$201,MATCH($B325,Summary!$A$2:$A$201,0))</f>
        <v>12.47</v>
      </c>
      <c r="S325" s="3" t="n">
        <f aca="false">INDEX(Summary!$O$2:$O$201,MATCH($B325,Summary!$A$2:$A$201,0))</f>
        <v>6</v>
      </c>
      <c r="T325" s="3" t="n">
        <f aca="false">INDEX(Summary!$P$2:$P$201,MATCH($B325,Summary!$A$2:$A$201,0))</f>
        <v>3</v>
      </c>
      <c r="U325" s="2" t="n">
        <f aca="false">INDEX(Summary!$Q$2:$Q$201,MATCH($B325,Summary!$A$2:$A$201,0))</f>
        <v>12.68</v>
      </c>
      <c r="V325" s="2" t="n">
        <f aca="false">INDEX(Summary!$R$2:$R$201,MATCH($B325,Summary!$A$2:$A$201,0))</f>
        <v>21.68</v>
      </c>
      <c r="W325" s="0" t="str">
        <f aca="false">INDEX(Summary!$S$2:$S$201,MATCH($B325,Summary!$A$2:$A$201,0))</f>
        <v>Silver</v>
      </c>
      <c r="X325" s="2" t="n">
        <f aca="false">INDEX(Summary!$T$2:$T$201,MATCH($B325,Summary!$A$2:$A$201,0))</f>
        <v>52.88</v>
      </c>
      <c r="Y325" s="0" t="str">
        <f aca="false">INDEX('Reward Model'!$E$18:$E$37,MATCH($E325,'Reward Model'!$A$18:$A$37,0))</f>
        <v>Low</v>
      </c>
      <c r="Z325" s="4" t="n">
        <f aca="false">ROUND(MIN(1,MAX('Reward Model'!$B$2,INDEX('Reward Model'!$C$12:$C$14,MATCH($K325,'Reward Model'!$A$12:$A$14,0))/$J325)),3)</f>
        <v>1</v>
      </c>
      <c r="AA325" s="2" t="n">
        <f aca="false">IF($I325="Correct",ROUND(INDEX('Reward Model'!$B$12:$B$14,MATCH($K325,'Reward Model'!$A$12:$A$14,0))*Z325,2),0)</f>
        <v>0</v>
      </c>
      <c r="AB325" s="2" t="n">
        <f aca="false">IF($I325="Correct",ROUND(INDEX('Reward Model'!$B$12:$B$14,MATCH($Y325,'Reward Model'!$A$12:$A$14,0))*Z325,2),0)</f>
        <v>0</v>
      </c>
    </row>
    <row r="326" customFormat="false" ht="15" hidden="false" customHeight="false" outlineLevel="0" collapsed="false">
      <c r="A326" s="0" t="s">
        <v>153</v>
      </c>
      <c r="B326" s="0" t="s">
        <v>154</v>
      </c>
      <c r="C326" s="0" t="s">
        <v>30</v>
      </c>
      <c r="D326" s="0" t="s">
        <v>31</v>
      </c>
      <c r="E326" s="0" t="n">
        <v>5</v>
      </c>
      <c r="F326" s="0" t="s">
        <v>46</v>
      </c>
      <c r="G326" s="0" t="s">
        <v>47</v>
      </c>
      <c r="H326" s="0" t="s">
        <v>47</v>
      </c>
      <c r="I326" s="0" t="s">
        <v>34</v>
      </c>
      <c r="J326" s="0" t="n">
        <v>1.83</v>
      </c>
      <c r="K326" s="0" t="s">
        <v>35</v>
      </c>
      <c r="L326" s="0" t="n">
        <f aca="false">INDEX(Summary!$F$2:$F$201,MATCH($B326,Summary!$A$2:$A$201,0))</f>
        <v>20</v>
      </c>
      <c r="M326" s="0" t="n">
        <f aca="false">INDEX(Summary!$I$2:$I$201,MATCH($B326,Summary!$A$2:$A$201,0))</f>
        <v>3</v>
      </c>
      <c r="N326" s="0" t="n">
        <f aca="false">INDEX(Summary!$J$2:$J$201,MATCH($B326,Summary!$A$2:$A$201,0))</f>
        <v>2</v>
      </c>
      <c r="O326" s="2" t="n">
        <f aca="false">INDEX(Summary!$K$2:$K$201,MATCH($B326,Summary!$A$2:$A$201,0))</f>
        <v>8.67</v>
      </c>
      <c r="P326" s="3" t="n">
        <f aca="false">INDEX(Summary!$L$2:$L$201,MATCH($B326,Summary!$A$2:$A$201,0))</f>
        <v>3</v>
      </c>
      <c r="Q326" s="3" t="n">
        <f aca="false">INDEX(Summary!$M$2:$M$201,MATCH($B326,Summary!$A$2:$A$201,0))</f>
        <v>3</v>
      </c>
      <c r="R326" s="2" t="n">
        <f aca="false">INDEX(Summary!$N$2:$N$201,MATCH($B326,Summary!$A$2:$A$201,0))</f>
        <v>12.47</v>
      </c>
      <c r="S326" s="3" t="n">
        <f aca="false">INDEX(Summary!$O$2:$O$201,MATCH($B326,Summary!$A$2:$A$201,0))</f>
        <v>6</v>
      </c>
      <c r="T326" s="3" t="n">
        <f aca="false">INDEX(Summary!$P$2:$P$201,MATCH($B326,Summary!$A$2:$A$201,0))</f>
        <v>3</v>
      </c>
      <c r="U326" s="2" t="n">
        <f aca="false">INDEX(Summary!$Q$2:$Q$201,MATCH($B326,Summary!$A$2:$A$201,0))</f>
        <v>12.68</v>
      </c>
      <c r="V326" s="2" t="n">
        <f aca="false">INDEX(Summary!$R$2:$R$201,MATCH($B326,Summary!$A$2:$A$201,0))</f>
        <v>21.68</v>
      </c>
      <c r="W326" s="0" t="str">
        <f aca="false">INDEX(Summary!$S$2:$S$201,MATCH($B326,Summary!$A$2:$A$201,0))</f>
        <v>Silver</v>
      </c>
      <c r="X326" s="2" t="n">
        <f aca="false">INDEX(Summary!$T$2:$T$201,MATCH($B326,Summary!$A$2:$A$201,0))</f>
        <v>52.88</v>
      </c>
      <c r="Y326" s="0" t="str">
        <f aca="false">INDEX('Reward Model'!$E$18:$E$37,MATCH($E326,'Reward Model'!$A$18:$A$37,0))</f>
        <v>Low</v>
      </c>
      <c r="Z326" s="4" t="n">
        <f aca="false">ROUND(MIN(1,MAX('Reward Model'!$B$2,INDEX('Reward Model'!$C$12:$C$14,MATCH($K326,'Reward Model'!$A$12:$A$14,0))/$J326)),3)</f>
        <v>0.82</v>
      </c>
      <c r="AA326" s="2" t="n">
        <f aca="false">IF($I326="Correct",ROUND(INDEX('Reward Model'!$B$12:$B$14,MATCH($K326,'Reward Model'!$A$12:$A$14,0))*Z326,2),0)</f>
        <v>0.82</v>
      </c>
      <c r="AB326" s="2" t="n">
        <f aca="false">IF($I326="Correct",ROUND(INDEX('Reward Model'!$B$12:$B$14,MATCH($Y326,'Reward Model'!$A$12:$A$14,0))*Z326,2),0)</f>
        <v>0.82</v>
      </c>
    </row>
    <row r="327" customFormat="false" ht="15" hidden="false" customHeight="false" outlineLevel="0" collapsed="false">
      <c r="A327" s="0" t="s">
        <v>153</v>
      </c>
      <c r="B327" s="0" t="s">
        <v>154</v>
      </c>
      <c r="C327" s="0" t="s">
        <v>30</v>
      </c>
      <c r="D327" s="0" t="s">
        <v>31</v>
      </c>
      <c r="E327" s="0" t="n">
        <v>6</v>
      </c>
      <c r="F327" s="0" t="s">
        <v>48</v>
      </c>
      <c r="G327" s="0" t="s">
        <v>49</v>
      </c>
      <c r="H327" s="0" t="s">
        <v>49</v>
      </c>
      <c r="I327" s="0" t="s">
        <v>34</v>
      </c>
      <c r="J327" s="0" t="n">
        <v>1.78</v>
      </c>
      <c r="K327" s="0" t="s">
        <v>35</v>
      </c>
      <c r="L327" s="0" t="n">
        <f aca="false">INDEX(Summary!$F$2:$F$201,MATCH($B327,Summary!$A$2:$A$201,0))</f>
        <v>20</v>
      </c>
      <c r="M327" s="0" t="n">
        <f aca="false">INDEX(Summary!$I$2:$I$201,MATCH($B327,Summary!$A$2:$A$201,0))</f>
        <v>3</v>
      </c>
      <c r="N327" s="0" t="n">
        <f aca="false">INDEX(Summary!$J$2:$J$201,MATCH($B327,Summary!$A$2:$A$201,0))</f>
        <v>2</v>
      </c>
      <c r="O327" s="2" t="n">
        <f aca="false">INDEX(Summary!$K$2:$K$201,MATCH($B327,Summary!$A$2:$A$201,0))</f>
        <v>8.67</v>
      </c>
      <c r="P327" s="3" t="n">
        <f aca="false">INDEX(Summary!$L$2:$L$201,MATCH($B327,Summary!$A$2:$A$201,0))</f>
        <v>3</v>
      </c>
      <c r="Q327" s="3" t="n">
        <f aca="false">INDEX(Summary!$M$2:$M$201,MATCH($B327,Summary!$A$2:$A$201,0))</f>
        <v>3</v>
      </c>
      <c r="R327" s="2" t="n">
        <f aca="false">INDEX(Summary!$N$2:$N$201,MATCH($B327,Summary!$A$2:$A$201,0))</f>
        <v>12.47</v>
      </c>
      <c r="S327" s="3" t="n">
        <f aca="false">INDEX(Summary!$O$2:$O$201,MATCH($B327,Summary!$A$2:$A$201,0))</f>
        <v>6</v>
      </c>
      <c r="T327" s="3" t="n">
        <f aca="false">INDEX(Summary!$P$2:$P$201,MATCH($B327,Summary!$A$2:$A$201,0))</f>
        <v>3</v>
      </c>
      <c r="U327" s="2" t="n">
        <f aca="false">INDEX(Summary!$Q$2:$Q$201,MATCH($B327,Summary!$A$2:$A$201,0))</f>
        <v>12.68</v>
      </c>
      <c r="V327" s="2" t="n">
        <f aca="false">INDEX(Summary!$R$2:$R$201,MATCH($B327,Summary!$A$2:$A$201,0))</f>
        <v>21.68</v>
      </c>
      <c r="W327" s="0" t="str">
        <f aca="false">INDEX(Summary!$S$2:$S$201,MATCH($B327,Summary!$A$2:$A$201,0))</f>
        <v>Silver</v>
      </c>
      <c r="X327" s="2" t="n">
        <f aca="false">INDEX(Summary!$T$2:$T$201,MATCH($B327,Summary!$A$2:$A$201,0))</f>
        <v>52.88</v>
      </c>
      <c r="Y327" s="0" t="str">
        <f aca="false">INDEX('Reward Model'!$E$18:$E$37,MATCH($E327,'Reward Model'!$A$18:$A$37,0))</f>
        <v>Medium</v>
      </c>
      <c r="Z327" s="4" t="n">
        <f aca="false">ROUND(MIN(1,MAX('Reward Model'!$B$2,INDEX('Reward Model'!$C$12:$C$14,MATCH($K327,'Reward Model'!$A$12:$A$14,0))/$J327)),3)</f>
        <v>0.843</v>
      </c>
      <c r="AA327" s="2" t="n">
        <f aca="false">IF($I327="Correct",ROUND(INDEX('Reward Model'!$B$12:$B$14,MATCH($K327,'Reward Model'!$A$12:$A$14,0))*Z327,2),0)</f>
        <v>0.84</v>
      </c>
      <c r="AB327" s="2" t="n">
        <f aca="false">IF($I327="Correct",ROUND(INDEX('Reward Model'!$B$12:$B$14,MATCH($Y327,'Reward Model'!$A$12:$A$14,0))*Z327,2),0)</f>
        <v>1.69</v>
      </c>
    </row>
    <row r="328" customFormat="false" ht="15" hidden="false" customHeight="false" outlineLevel="0" collapsed="false">
      <c r="A328" s="0" t="s">
        <v>153</v>
      </c>
      <c r="B328" s="0" t="s">
        <v>154</v>
      </c>
      <c r="C328" s="0" t="s">
        <v>30</v>
      </c>
      <c r="D328" s="0" t="s">
        <v>31</v>
      </c>
      <c r="E328" s="0" t="n">
        <v>7</v>
      </c>
      <c r="F328" s="0" t="s">
        <v>50</v>
      </c>
      <c r="G328" s="0" t="s">
        <v>51</v>
      </c>
      <c r="H328" s="0" t="s">
        <v>51</v>
      </c>
      <c r="I328" s="0" t="s">
        <v>34</v>
      </c>
      <c r="J328" s="0" t="n">
        <v>1.52</v>
      </c>
      <c r="K328" s="0" t="s">
        <v>35</v>
      </c>
      <c r="L328" s="0" t="n">
        <f aca="false">INDEX(Summary!$F$2:$F$201,MATCH($B328,Summary!$A$2:$A$201,0))</f>
        <v>20</v>
      </c>
      <c r="M328" s="0" t="n">
        <f aca="false">INDEX(Summary!$I$2:$I$201,MATCH($B328,Summary!$A$2:$A$201,0))</f>
        <v>3</v>
      </c>
      <c r="N328" s="0" t="n">
        <f aca="false">INDEX(Summary!$J$2:$J$201,MATCH($B328,Summary!$A$2:$A$201,0))</f>
        <v>2</v>
      </c>
      <c r="O328" s="2" t="n">
        <f aca="false">INDEX(Summary!$K$2:$K$201,MATCH($B328,Summary!$A$2:$A$201,0))</f>
        <v>8.67</v>
      </c>
      <c r="P328" s="3" t="n">
        <f aca="false">INDEX(Summary!$L$2:$L$201,MATCH($B328,Summary!$A$2:$A$201,0))</f>
        <v>3</v>
      </c>
      <c r="Q328" s="3" t="n">
        <f aca="false">INDEX(Summary!$M$2:$M$201,MATCH($B328,Summary!$A$2:$A$201,0))</f>
        <v>3</v>
      </c>
      <c r="R328" s="2" t="n">
        <f aca="false">INDEX(Summary!$N$2:$N$201,MATCH($B328,Summary!$A$2:$A$201,0))</f>
        <v>12.47</v>
      </c>
      <c r="S328" s="3" t="n">
        <f aca="false">INDEX(Summary!$O$2:$O$201,MATCH($B328,Summary!$A$2:$A$201,0))</f>
        <v>6</v>
      </c>
      <c r="T328" s="3" t="n">
        <f aca="false">INDEX(Summary!$P$2:$P$201,MATCH($B328,Summary!$A$2:$A$201,0))</f>
        <v>3</v>
      </c>
      <c r="U328" s="2" t="n">
        <f aca="false">INDEX(Summary!$Q$2:$Q$201,MATCH($B328,Summary!$A$2:$A$201,0))</f>
        <v>12.68</v>
      </c>
      <c r="V328" s="2" t="n">
        <f aca="false">INDEX(Summary!$R$2:$R$201,MATCH($B328,Summary!$A$2:$A$201,0))</f>
        <v>21.68</v>
      </c>
      <c r="W328" s="0" t="str">
        <f aca="false">INDEX(Summary!$S$2:$S$201,MATCH($B328,Summary!$A$2:$A$201,0))</f>
        <v>Silver</v>
      </c>
      <c r="X328" s="2" t="n">
        <f aca="false">INDEX(Summary!$T$2:$T$201,MATCH($B328,Summary!$A$2:$A$201,0))</f>
        <v>52.88</v>
      </c>
      <c r="Y328" s="0" t="str">
        <f aca="false">INDEX('Reward Model'!$E$18:$E$37,MATCH($E328,'Reward Model'!$A$18:$A$37,0))</f>
        <v>Low</v>
      </c>
      <c r="Z328" s="4" t="n">
        <f aca="false">ROUND(MIN(1,MAX('Reward Model'!$B$2,INDEX('Reward Model'!$C$12:$C$14,MATCH($K328,'Reward Model'!$A$12:$A$14,0))/$J328)),3)</f>
        <v>0.987</v>
      </c>
      <c r="AA328" s="2" t="n">
        <f aca="false">IF($I328="Correct",ROUND(INDEX('Reward Model'!$B$12:$B$14,MATCH($K328,'Reward Model'!$A$12:$A$14,0))*Z328,2),0)</f>
        <v>0.99</v>
      </c>
      <c r="AB328" s="2" t="n">
        <f aca="false">IF($I328="Correct",ROUND(INDEX('Reward Model'!$B$12:$B$14,MATCH($Y328,'Reward Model'!$A$12:$A$14,0))*Z328,2),0)</f>
        <v>0.99</v>
      </c>
    </row>
    <row r="329" customFormat="false" ht="15" hidden="false" customHeight="false" outlineLevel="0" collapsed="false">
      <c r="A329" s="0" t="s">
        <v>153</v>
      </c>
      <c r="B329" s="0" t="s">
        <v>154</v>
      </c>
      <c r="C329" s="0" t="s">
        <v>30</v>
      </c>
      <c r="D329" s="0" t="s">
        <v>31</v>
      </c>
      <c r="E329" s="0" t="n">
        <v>8</v>
      </c>
      <c r="F329" s="0" t="s">
        <v>52</v>
      </c>
      <c r="G329" s="0" t="s">
        <v>53</v>
      </c>
      <c r="H329" s="0" t="s">
        <v>54</v>
      </c>
      <c r="I329" s="0" t="s">
        <v>39</v>
      </c>
      <c r="J329" s="0" t="n">
        <v>1.5</v>
      </c>
      <c r="K329" s="0" t="s">
        <v>35</v>
      </c>
      <c r="L329" s="0" t="n">
        <f aca="false">INDEX(Summary!$F$2:$F$201,MATCH($B329,Summary!$A$2:$A$201,0))</f>
        <v>20</v>
      </c>
      <c r="M329" s="0" t="n">
        <f aca="false">INDEX(Summary!$I$2:$I$201,MATCH($B329,Summary!$A$2:$A$201,0))</f>
        <v>3</v>
      </c>
      <c r="N329" s="0" t="n">
        <f aca="false">INDEX(Summary!$J$2:$J$201,MATCH($B329,Summary!$A$2:$A$201,0))</f>
        <v>2</v>
      </c>
      <c r="O329" s="2" t="n">
        <f aca="false">INDEX(Summary!$K$2:$K$201,MATCH($B329,Summary!$A$2:$A$201,0))</f>
        <v>8.67</v>
      </c>
      <c r="P329" s="3" t="n">
        <f aca="false">INDEX(Summary!$L$2:$L$201,MATCH($B329,Summary!$A$2:$A$201,0))</f>
        <v>3</v>
      </c>
      <c r="Q329" s="3" t="n">
        <f aca="false">INDEX(Summary!$M$2:$M$201,MATCH($B329,Summary!$A$2:$A$201,0))</f>
        <v>3</v>
      </c>
      <c r="R329" s="2" t="n">
        <f aca="false">INDEX(Summary!$N$2:$N$201,MATCH($B329,Summary!$A$2:$A$201,0))</f>
        <v>12.47</v>
      </c>
      <c r="S329" s="3" t="n">
        <f aca="false">INDEX(Summary!$O$2:$O$201,MATCH($B329,Summary!$A$2:$A$201,0))</f>
        <v>6</v>
      </c>
      <c r="T329" s="3" t="n">
        <f aca="false">INDEX(Summary!$P$2:$P$201,MATCH($B329,Summary!$A$2:$A$201,0))</f>
        <v>3</v>
      </c>
      <c r="U329" s="2" t="n">
        <f aca="false">INDEX(Summary!$Q$2:$Q$201,MATCH($B329,Summary!$A$2:$A$201,0))</f>
        <v>12.68</v>
      </c>
      <c r="V329" s="2" t="n">
        <f aca="false">INDEX(Summary!$R$2:$R$201,MATCH($B329,Summary!$A$2:$A$201,0))</f>
        <v>21.68</v>
      </c>
      <c r="W329" s="0" t="str">
        <f aca="false">INDEX(Summary!$S$2:$S$201,MATCH($B329,Summary!$A$2:$A$201,0))</f>
        <v>Silver</v>
      </c>
      <c r="X329" s="2" t="n">
        <f aca="false">INDEX(Summary!$T$2:$T$201,MATCH($B329,Summary!$A$2:$A$201,0))</f>
        <v>52.88</v>
      </c>
      <c r="Y329" s="0" t="str">
        <f aca="false">INDEX('Reward Model'!$E$18:$E$37,MATCH($E329,'Reward Model'!$A$18:$A$37,0))</f>
        <v>Medium</v>
      </c>
      <c r="Z329" s="4" t="n">
        <f aca="false">ROUND(MIN(1,MAX('Reward Model'!$B$2,INDEX('Reward Model'!$C$12:$C$14,MATCH($K329,'Reward Model'!$A$12:$A$14,0))/$J329)),3)</f>
        <v>1</v>
      </c>
      <c r="AA329" s="2" t="n">
        <f aca="false">IF($I329="Correct",ROUND(INDEX('Reward Model'!$B$12:$B$14,MATCH($K329,'Reward Model'!$A$12:$A$14,0))*Z329,2),0)</f>
        <v>0</v>
      </c>
      <c r="AB329" s="2" t="n">
        <f aca="false">IF($I329="Correct",ROUND(INDEX('Reward Model'!$B$12:$B$14,MATCH($Y329,'Reward Model'!$A$12:$A$14,0))*Z329,2),0)</f>
        <v>0</v>
      </c>
    </row>
    <row r="330" customFormat="false" ht="15" hidden="false" customHeight="false" outlineLevel="0" collapsed="false">
      <c r="A330" s="0" t="s">
        <v>153</v>
      </c>
      <c r="B330" s="0" t="s">
        <v>154</v>
      </c>
      <c r="C330" s="0" t="s">
        <v>30</v>
      </c>
      <c r="D330" s="0" t="s">
        <v>31</v>
      </c>
      <c r="E330" s="0" t="n">
        <v>9</v>
      </c>
      <c r="F330" s="0" t="s">
        <v>55</v>
      </c>
      <c r="G330" s="0" t="s">
        <v>57</v>
      </c>
      <c r="H330" s="0" t="s">
        <v>57</v>
      </c>
      <c r="I330" s="0" t="s">
        <v>34</v>
      </c>
      <c r="J330" s="0" t="n">
        <v>0.94</v>
      </c>
      <c r="K330" s="0" t="s">
        <v>35</v>
      </c>
      <c r="L330" s="0" t="n">
        <f aca="false">INDEX(Summary!$F$2:$F$201,MATCH($B330,Summary!$A$2:$A$201,0))</f>
        <v>20</v>
      </c>
      <c r="M330" s="0" t="n">
        <f aca="false">INDEX(Summary!$I$2:$I$201,MATCH($B330,Summary!$A$2:$A$201,0))</f>
        <v>3</v>
      </c>
      <c r="N330" s="0" t="n">
        <f aca="false">INDEX(Summary!$J$2:$J$201,MATCH($B330,Summary!$A$2:$A$201,0))</f>
        <v>2</v>
      </c>
      <c r="O330" s="2" t="n">
        <f aca="false">INDEX(Summary!$K$2:$K$201,MATCH($B330,Summary!$A$2:$A$201,0))</f>
        <v>8.67</v>
      </c>
      <c r="P330" s="3" t="n">
        <f aca="false">INDEX(Summary!$L$2:$L$201,MATCH($B330,Summary!$A$2:$A$201,0))</f>
        <v>3</v>
      </c>
      <c r="Q330" s="3" t="n">
        <f aca="false">INDEX(Summary!$M$2:$M$201,MATCH($B330,Summary!$A$2:$A$201,0))</f>
        <v>3</v>
      </c>
      <c r="R330" s="2" t="n">
        <f aca="false">INDEX(Summary!$N$2:$N$201,MATCH($B330,Summary!$A$2:$A$201,0))</f>
        <v>12.47</v>
      </c>
      <c r="S330" s="3" t="n">
        <f aca="false">INDEX(Summary!$O$2:$O$201,MATCH($B330,Summary!$A$2:$A$201,0))</f>
        <v>6</v>
      </c>
      <c r="T330" s="3" t="n">
        <f aca="false">INDEX(Summary!$P$2:$P$201,MATCH($B330,Summary!$A$2:$A$201,0))</f>
        <v>3</v>
      </c>
      <c r="U330" s="2" t="n">
        <f aca="false">INDEX(Summary!$Q$2:$Q$201,MATCH($B330,Summary!$A$2:$A$201,0))</f>
        <v>12.68</v>
      </c>
      <c r="V330" s="2" t="n">
        <f aca="false">INDEX(Summary!$R$2:$R$201,MATCH($B330,Summary!$A$2:$A$201,0))</f>
        <v>21.68</v>
      </c>
      <c r="W330" s="0" t="str">
        <f aca="false">INDEX(Summary!$S$2:$S$201,MATCH($B330,Summary!$A$2:$A$201,0))</f>
        <v>Silver</v>
      </c>
      <c r="X330" s="2" t="n">
        <f aca="false">INDEX(Summary!$T$2:$T$201,MATCH($B330,Summary!$A$2:$A$201,0))</f>
        <v>52.88</v>
      </c>
      <c r="Y330" s="0" t="str">
        <f aca="false">INDEX('Reward Model'!$E$18:$E$37,MATCH($E330,'Reward Model'!$A$18:$A$37,0))</f>
        <v>Medium</v>
      </c>
      <c r="Z330" s="4" t="n">
        <f aca="false">ROUND(MIN(1,MAX('Reward Model'!$B$2,INDEX('Reward Model'!$C$12:$C$14,MATCH($K330,'Reward Model'!$A$12:$A$14,0))/$J330)),3)</f>
        <v>1</v>
      </c>
      <c r="AA330" s="2" t="n">
        <f aca="false">IF($I330="Correct",ROUND(INDEX('Reward Model'!$B$12:$B$14,MATCH($K330,'Reward Model'!$A$12:$A$14,0))*Z330,2),0)</f>
        <v>1</v>
      </c>
      <c r="AB330" s="2" t="n">
        <f aca="false">IF($I330="Correct",ROUND(INDEX('Reward Model'!$B$12:$B$14,MATCH($Y330,'Reward Model'!$A$12:$A$14,0))*Z330,2),0)</f>
        <v>2</v>
      </c>
    </row>
    <row r="331" customFormat="false" ht="15" hidden="false" customHeight="false" outlineLevel="0" collapsed="false">
      <c r="A331" s="0" t="s">
        <v>153</v>
      </c>
      <c r="B331" s="0" t="s">
        <v>154</v>
      </c>
      <c r="C331" s="0" t="s">
        <v>30</v>
      </c>
      <c r="D331" s="0" t="s">
        <v>31</v>
      </c>
      <c r="E331" s="0" t="n">
        <v>10</v>
      </c>
      <c r="F331" s="0" t="s">
        <v>58</v>
      </c>
      <c r="G331" s="0" t="s">
        <v>59</v>
      </c>
      <c r="H331" s="0" t="s">
        <v>59</v>
      </c>
      <c r="I331" s="0" t="s">
        <v>34</v>
      </c>
      <c r="J331" s="0" t="n">
        <v>2.25</v>
      </c>
      <c r="K331" s="0" t="s">
        <v>60</v>
      </c>
      <c r="L331" s="0" t="n">
        <f aca="false">INDEX(Summary!$F$2:$F$201,MATCH($B331,Summary!$A$2:$A$201,0))</f>
        <v>20</v>
      </c>
      <c r="M331" s="0" t="n">
        <f aca="false">INDEX(Summary!$I$2:$I$201,MATCH($B331,Summary!$A$2:$A$201,0))</f>
        <v>3</v>
      </c>
      <c r="N331" s="0" t="n">
        <f aca="false">INDEX(Summary!$J$2:$J$201,MATCH($B331,Summary!$A$2:$A$201,0))</f>
        <v>2</v>
      </c>
      <c r="O331" s="2" t="n">
        <f aca="false">INDEX(Summary!$K$2:$K$201,MATCH($B331,Summary!$A$2:$A$201,0))</f>
        <v>8.67</v>
      </c>
      <c r="P331" s="3" t="n">
        <f aca="false">INDEX(Summary!$L$2:$L$201,MATCH($B331,Summary!$A$2:$A$201,0))</f>
        <v>3</v>
      </c>
      <c r="Q331" s="3" t="n">
        <f aca="false">INDEX(Summary!$M$2:$M$201,MATCH($B331,Summary!$A$2:$A$201,0))</f>
        <v>3</v>
      </c>
      <c r="R331" s="2" t="n">
        <f aca="false">INDEX(Summary!$N$2:$N$201,MATCH($B331,Summary!$A$2:$A$201,0))</f>
        <v>12.47</v>
      </c>
      <c r="S331" s="3" t="n">
        <f aca="false">INDEX(Summary!$O$2:$O$201,MATCH($B331,Summary!$A$2:$A$201,0))</f>
        <v>6</v>
      </c>
      <c r="T331" s="3" t="n">
        <f aca="false">INDEX(Summary!$P$2:$P$201,MATCH($B331,Summary!$A$2:$A$201,0))</f>
        <v>3</v>
      </c>
      <c r="U331" s="2" t="n">
        <f aca="false">INDEX(Summary!$Q$2:$Q$201,MATCH($B331,Summary!$A$2:$A$201,0))</f>
        <v>12.68</v>
      </c>
      <c r="V331" s="2" t="n">
        <f aca="false">INDEX(Summary!$R$2:$R$201,MATCH($B331,Summary!$A$2:$A$201,0))</f>
        <v>21.68</v>
      </c>
      <c r="W331" s="0" t="str">
        <f aca="false">INDEX(Summary!$S$2:$S$201,MATCH($B331,Summary!$A$2:$A$201,0))</f>
        <v>Silver</v>
      </c>
      <c r="X331" s="2" t="n">
        <f aca="false">INDEX(Summary!$T$2:$T$201,MATCH($B331,Summary!$A$2:$A$201,0))</f>
        <v>52.88</v>
      </c>
      <c r="Y331" s="0" t="str">
        <f aca="false">INDEX('Reward Model'!$E$18:$E$37,MATCH($E331,'Reward Model'!$A$18:$A$37,0))</f>
        <v>Medium</v>
      </c>
      <c r="Z331" s="4" t="n">
        <f aca="false">ROUND(MIN(1,MAX('Reward Model'!$B$2,INDEX('Reward Model'!$C$12:$C$14,MATCH($K331,'Reward Model'!$A$12:$A$14,0))/$J331)),3)</f>
        <v>0.8</v>
      </c>
      <c r="AA331" s="2" t="n">
        <f aca="false">IF($I331="Correct",ROUND(INDEX('Reward Model'!$B$12:$B$14,MATCH($K331,'Reward Model'!$A$12:$A$14,0))*Z331,2),0)</f>
        <v>1.6</v>
      </c>
      <c r="AB331" s="2" t="n">
        <f aca="false">IF($I331="Correct",ROUND(INDEX('Reward Model'!$B$12:$B$14,MATCH($Y331,'Reward Model'!$A$12:$A$14,0))*Z331,2),0)</f>
        <v>1.6</v>
      </c>
    </row>
    <row r="332" customFormat="false" ht="15" hidden="false" customHeight="false" outlineLevel="0" collapsed="false">
      <c r="A332" s="0" t="s">
        <v>153</v>
      </c>
      <c r="B332" s="0" t="s">
        <v>154</v>
      </c>
      <c r="C332" s="0" t="s">
        <v>30</v>
      </c>
      <c r="D332" s="0" t="s">
        <v>31</v>
      </c>
      <c r="E332" s="0" t="n">
        <v>11</v>
      </c>
      <c r="F332" s="0" t="s">
        <v>61</v>
      </c>
      <c r="G332" s="0" t="s">
        <v>63</v>
      </c>
      <c r="H332" s="0" t="s">
        <v>63</v>
      </c>
      <c r="I332" s="0" t="s">
        <v>34</v>
      </c>
      <c r="J332" s="0" t="n">
        <v>2.27</v>
      </c>
      <c r="K332" s="0" t="s">
        <v>60</v>
      </c>
      <c r="L332" s="0" t="n">
        <f aca="false">INDEX(Summary!$F$2:$F$201,MATCH($B332,Summary!$A$2:$A$201,0))</f>
        <v>20</v>
      </c>
      <c r="M332" s="0" t="n">
        <f aca="false">INDEX(Summary!$I$2:$I$201,MATCH($B332,Summary!$A$2:$A$201,0))</f>
        <v>3</v>
      </c>
      <c r="N332" s="0" t="n">
        <f aca="false">INDEX(Summary!$J$2:$J$201,MATCH($B332,Summary!$A$2:$A$201,0))</f>
        <v>2</v>
      </c>
      <c r="O332" s="2" t="n">
        <f aca="false">INDEX(Summary!$K$2:$K$201,MATCH($B332,Summary!$A$2:$A$201,0))</f>
        <v>8.67</v>
      </c>
      <c r="P332" s="3" t="n">
        <f aca="false">INDEX(Summary!$L$2:$L$201,MATCH($B332,Summary!$A$2:$A$201,0))</f>
        <v>3</v>
      </c>
      <c r="Q332" s="3" t="n">
        <f aca="false">INDEX(Summary!$M$2:$M$201,MATCH($B332,Summary!$A$2:$A$201,0))</f>
        <v>3</v>
      </c>
      <c r="R332" s="2" t="n">
        <f aca="false">INDEX(Summary!$N$2:$N$201,MATCH($B332,Summary!$A$2:$A$201,0))</f>
        <v>12.47</v>
      </c>
      <c r="S332" s="3" t="n">
        <f aca="false">INDEX(Summary!$O$2:$O$201,MATCH($B332,Summary!$A$2:$A$201,0))</f>
        <v>6</v>
      </c>
      <c r="T332" s="3" t="n">
        <f aca="false">INDEX(Summary!$P$2:$P$201,MATCH($B332,Summary!$A$2:$A$201,0))</f>
        <v>3</v>
      </c>
      <c r="U332" s="2" t="n">
        <f aca="false">INDEX(Summary!$Q$2:$Q$201,MATCH($B332,Summary!$A$2:$A$201,0))</f>
        <v>12.68</v>
      </c>
      <c r="V332" s="2" t="n">
        <f aca="false">INDEX(Summary!$R$2:$R$201,MATCH($B332,Summary!$A$2:$A$201,0))</f>
        <v>21.68</v>
      </c>
      <c r="W332" s="0" t="str">
        <f aca="false">INDEX(Summary!$S$2:$S$201,MATCH($B332,Summary!$A$2:$A$201,0))</f>
        <v>Silver</v>
      </c>
      <c r="X332" s="2" t="n">
        <f aca="false">INDEX(Summary!$T$2:$T$201,MATCH($B332,Summary!$A$2:$A$201,0))</f>
        <v>52.88</v>
      </c>
      <c r="Y332" s="0" t="str">
        <f aca="false">INDEX('Reward Model'!$E$18:$E$37,MATCH($E332,'Reward Model'!$A$18:$A$37,0))</f>
        <v>Medium</v>
      </c>
      <c r="Z332" s="4" t="n">
        <f aca="false">ROUND(MIN(1,MAX('Reward Model'!$B$2,INDEX('Reward Model'!$C$12:$C$14,MATCH($K332,'Reward Model'!$A$12:$A$14,0))/$J332)),3)</f>
        <v>0.793</v>
      </c>
      <c r="AA332" s="2" t="n">
        <f aca="false">IF($I332="Correct",ROUND(INDEX('Reward Model'!$B$12:$B$14,MATCH($K332,'Reward Model'!$A$12:$A$14,0))*Z332,2),0)</f>
        <v>1.59</v>
      </c>
      <c r="AB332" s="2" t="n">
        <f aca="false">IF($I332="Correct",ROUND(INDEX('Reward Model'!$B$12:$B$14,MATCH($Y332,'Reward Model'!$A$12:$A$14,0))*Z332,2),0)</f>
        <v>1.59</v>
      </c>
    </row>
    <row r="333" customFormat="false" ht="15" hidden="false" customHeight="false" outlineLevel="0" collapsed="false">
      <c r="A333" s="0" t="s">
        <v>153</v>
      </c>
      <c r="B333" s="0" t="s">
        <v>154</v>
      </c>
      <c r="C333" s="0" t="s">
        <v>30</v>
      </c>
      <c r="D333" s="0" t="s">
        <v>31</v>
      </c>
      <c r="E333" s="0" t="n">
        <v>12</v>
      </c>
      <c r="F333" s="0" t="s">
        <v>64</v>
      </c>
      <c r="G333" s="0" t="s">
        <v>146</v>
      </c>
      <c r="H333" s="0" t="s">
        <v>65</v>
      </c>
      <c r="I333" s="0" t="s">
        <v>39</v>
      </c>
      <c r="J333" s="0" t="n">
        <v>1.66</v>
      </c>
      <c r="K333" s="0" t="s">
        <v>60</v>
      </c>
      <c r="L333" s="0" t="n">
        <f aca="false">INDEX(Summary!$F$2:$F$201,MATCH($B333,Summary!$A$2:$A$201,0))</f>
        <v>20</v>
      </c>
      <c r="M333" s="0" t="n">
        <f aca="false">INDEX(Summary!$I$2:$I$201,MATCH($B333,Summary!$A$2:$A$201,0))</f>
        <v>3</v>
      </c>
      <c r="N333" s="0" t="n">
        <f aca="false">INDEX(Summary!$J$2:$J$201,MATCH($B333,Summary!$A$2:$A$201,0))</f>
        <v>2</v>
      </c>
      <c r="O333" s="2" t="n">
        <f aca="false">INDEX(Summary!$K$2:$K$201,MATCH($B333,Summary!$A$2:$A$201,0))</f>
        <v>8.67</v>
      </c>
      <c r="P333" s="3" t="n">
        <f aca="false">INDEX(Summary!$L$2:$L$201,MATCH($B333,Summary!$A$2:$A$201,0))</f>
        <v>3</v>
      </c>
      <c r="Q333" s="3" t="n">
        <f aca="false">INDEX(Summary!$M$2:$M$201,MATCH($B333,Summary!$A$2:$A$201,0))</f>
        <v>3</v>
      </c>
      <c r="R333" s="2" t="n">
        <f aca="false">INDEX(Summary!$N$2:$N$201,MATCH($B333,Summary!$A$2:$A$201,0))</f>
        <v>12.47</v>
      </c>
      <c r="S333" s="3" t="n">
        <f aca="false">INDEX(Summary!$O$2:$O$201,MATCH($B333,Summary!$A$2:$A$201,0))</f>
        <v>6</v>
      </c>
      <c r="T333" s="3" t="n">
        <f aca="false">INDEX(Summary!$P$2:$P$201,MATCH($B333,Summary!$A$2:$A$201,0))</f>
        <v>3</v>
      </c>
      <c r="U333" s="2" t="n">
        <f aca="false">INDEX(Summary!$Q$2:$Q$201,MATCH($B333,Summary!$A$2:$A$201,0))</f>
        <v>12.68</v>
      </c>
      <c r="V333" s="2" t="n">
        <f aca="false">INDEX(Summary!$R$2:$R$201,MATCH($B333,Summary!$A$2:$A$201,0))</f>
        <v>21.68</v>
      </c>
      <c r="W333" s="0" t="str">
        <f aca="false">INDEX(Summary!$S$2:$S$201,MATCH($B333,Summary!$A$2:$A$201,0))</f>
        <v>Silver</v>
      </c>
      <c r="X333" s="2" t="n">
        <f aca="false">INDEX(Summary!$T$2:$T$201,MATCH($B333,Summary!$A$2:$A$201,0))</f>
        <v>52.88</v>
      </c>
      <c r="Y333" s="0" t="str">
        <f aca="false">INDEX('Reward Model'!$E$18:$E$37,MATCH($E333,'Reward Model'!$A$18:$A$37,0))</f>
        <v>Medium</v>
      </c>
      <c r="Z333" s="4" t="n">
        <f aca="false">ROUND(MIN(1,MAX('Reward Model'!$B$2,INDEX('Reward Model'!$C$12:$C$14,MATCH($K333,'Reward Model'!$A$12:$A$14,0))/$J333)),3)</f>
        <v>1</v>
      </c>
      <c r="AA333" s="2" t="n">
        <f aca="false">IF($I333="Correct",ROUND(INDEX('Reward Model'!$B$12:$B$14,MATCH($K333,'Reward Model'!$A$12:$A$14,0))*Z333,2),0)</f>
        <v>0</v>
      </c>
      <c r="AB333" s="2" t="n">
        <f aca="false">IF($I333="Correct",ROUND(INDEX('Reward Model'!$B$12:$B$14,MATCH($Y333,'Reward Model'!$A$12:$A$14,0))*Z333,2),0)</f>
        <v>0</v>
      </c>
    </row>
    <row r="334" customFormat="false" ht="15" hidden="false" customHeight="false" outlineLevel="0" collapsed="false">
      <c r="A334" s="0" t="s">
        <v>153</v>
      </c>
      <c r="B334" s="0" t="s">
        <v>154</v>
      </c>
      <c r="C334" s="0" t="s">
        <v>30</v>
      </c>
      <c r="D334" s="0" t="s">
        <v>31</v>
      </c>
      <c r="E334" s="0" t="n">
        <v>13</v>
      </c>
      <c r="F334" s="0" t="s">
        <v>66</v>
      </c>
      <c r="G334" s="0" t="s">
        <v>117</v>
      </c>
      <c r="H334" s="0" t="s">
        <v>67</v>
      </c>
      <c r="I334" s="0" t="s">
        <v>39</v>
      </c>
      <c r="J334" s="0" t="n">
        <v>1.86</v>
      </c>
      <c r="K334" s="0" t="s">
        <v>60</v>
      </c>
      <c r="L334" s="0" t="n">
        <f aca="false">INDEX(Summary!$F$2:$F$201,MATCH($B334,Summary!$A$2:$A$201,0))</f>
        <v>20</v>
      </c>
      <c r="M334" s="0" t="n">
        <f aca="false">INDEX(Summary!$I$2:$I$201,MATCH($B334,Summary!$A$2:$A$201,0))</f>
        <v>3</v>
      </c>
      <c r="N334" s="0" t="n">
        <f aca="false">INDEX(Summary!$J$2:$J$201,MATCH($B334,Summary!$A$2:$A$201,0))</f>
        <v>2</v>
      </c>
      <c r="O334" s="2" t="n">
        <f aca="false">INDEX(Summary!$K$2:$K$201,MATCH($B334,Summary!$A$2:$A$201,0))</f>
        <v>8.67</v>
      </c>
      <c r="P334" s="3" t="n">
        <f aca="false">INDEX(Summary!$L$2:$L$201,MATCH($B334,Summary!$A$2:$A$201,0))</f>
        <v>3</v>
      </c>
      <c r="Q334" s="3" t="n">
        <f aca="false">INDEX(Summary!$M$2:$M$201,MATCH($B334,Summary!$A$2:$A$201,0))</f>
        <v>3</v>
      </c>
      <c r="R334" s="2" t="n">
        <f aca="false">INDEX(Summary!$N$2:$N$201,MATCH($B334,Summary!$A$2:$A$201,0))</f>
        <v>12.47</v>
      </c>
      <c r="S334" s="3" t="n">
        <f aca="false">INDEX(Summary!$O$2:$O$201,MATCH($B334,Summary!$A$2:$A$201,0))</f>
        <v>6</v>
      </c>
      <c r="T334" s="3" t="n">
        <f aca="false">INDEX(Summary!$P$2:$P$201,MATCH($B334,Summary!$A$2:$A$201,0))</f>
        <v>3</v>
      </c>
      <c r="U334" s="2" t="n">
        <f aca="false">INDEX(Summary!$Q$2:$Q$201,MATCH($B334,Summary!$A$2:$A$201,0))</f>
        <v>12.68</v>
      </c>
      <c r="V334" s="2" t="n">
        <f aca="false">INDEX(Summary!$R$2:$R$201,MATCH($B334,Summary!$A$2:$A$201,0))</f>
        <v>21.68</v>
      </c>
      <c r="W334" s="0" t="str">
        <f aca="false">INDEX(Summary!$S$2:$S$201,MATCH($B334,Summary!$A$2:$A$201,0))</f>
        <v>Silver</v>
      </c>
      <c r="X334" s="2" t="n">
        <f aca="false">INDEX(Summary!$T$2:$T$201,MATCH($B334,Summary!$A$2:$A$201,0))</f>
        <v>52.88</v>
      </c>
      <c r="Y334" s="0" t="str">
        <f aca="false">INDEX('Reward Model'!$E$18:$E$37,MATCH($E334,'Reward Model'!$A$18:$A$37,0))</f>
        <v>Medium</v>
      </c>
      <c r="Z334" s="4" t="n">
        <f aca="false">ROUND(MIN(1,MAX('Reward Model'!$B$2,INDEX('Reward Model'!$C$12:$C$14,MATCH($K334,'Reward Model'!$A$12:$A$14,0))/$J334)),3)</f>
        <v>0.968</v>
      </c>
      <c r="AA334" s="2" t="n">
        <f aca="false">IF($I334="Correct",ROUND(INDEX('Reward Model'!$B$12:$B$14,MATCH($K334,'Reward Model'!$A$12:$A$14,0))*Z334,2),0)</f>
        <v>0</v>
      </c>
      <c r="AB334" s="2" t="n">
        <f aca="false">IF($I334="Correct",ROUND(INDEX('Reward Model'!$B$12:$B$14,MATCH($Y334,'Reward Model'!$A$12:$A$14,0))*Z334,2),0)</f>
        <v>0</v>
      </c>
    </row>
    <row r="335" customFormat="false" ht="15" hidden="false" customHeight="false" outlineLevel="0" collapsed="false">
      <c r="A335" s="0" t="s">
        <v>153</v>
      </c>
      <c r="B335" s="0" t="s">
        <v>154</v>
      </c>
      <c r="C335" s="0" t="s">
        <v>30</v>
      </c>
      <c r="D335" s="0" t="s">
        <v>31</v>
      </c>
      <c r="E335" s="0" t="n">
        <v>14</v>
      </c>
      <c r="F335" s="0" t="s">
        <v>68</v>
      </c>
      <c r="G335" s="0" t="s">
        <v>118</v>
      </c>
      <c r="H335" s="0" t="s">
        <v>51</v>
      </c>
      <c r="I335" s="0" t="s">
        <v>39</v>
      </c>
      <c r="J335" s="0" t="n">
        <v>2.25</v>
      </c>
      <c r="K335" s="0" t="s">
        <v>60</v>
      </c>
      <c r="L335" s="0" t="n">
        <f aca="false">INDEX(Summary!$F$2:$F$201,MATCH($B335,Summary!$A$2:$A$201,0))</f>
        <v>20</v>
      </c>
      <c r="M335" s="0" t="n">
        <f aca="false">INDEX(Summary!$I$2:$I$201,MATCH($B335,Summary!$A$2:$A$201,0))</f>
        <v>3</v>
      </c>
      <c r="N335" s="0" t="n">
        <f aca="false">INDEX(Summary!$J$2:$J$201,MATCH($B335,Summary!$A$2:$A$201,0))</f>
        <v>2</v>
      </c>
      <c r="O335" s="2" t="n">
        <f aca="false">INDEX(Summary!$K$2:$K$201,MATCH($B335,Summary!$A$2:$A$201,0))</f>
        <v>8.67</v>
      </c>
      <c r="P335" s="3" t="n">
        <f aca="false">INDEX(Summary!$L$2:$L$201,MATCH($B335,Summary!$A$2:$A$201,0))</f>
        <v>3</v>
      </c>
      <c r="Q335" s="3" t="n">
        <f aca="false">INDEX(Summary!$M$2:$M$201,MATCH($B335,Summary!$A$2:$A$201,0))</f>
        <v>3</v>
      </c>
      <c r="R335" s="2" t="n">
        <f aca="false">INDEX(Summary!$N$2:$N$201,MATCH($B335,Summary!$A$2:$A$201,0))</f>
        <v>12.47</v>
      </c>
      <c r="S335" s="3" t="n">
        <f aca="false">INDEX(Summary!$O$2:$O$201,MATCH($B335,Summary!$A$2:$A$201,0))</f>
        <v>6</v>
      </c>
      <c r="T335" s="3" t="n">
        <f aca="false">INDEX(Summary!$P$2:$P$201,MATCH($B335,Summary!$A$2:$A$201,0))</f>
        <v>3</v>
      </c>
      <c r="U335" s="2" t="n">
        <f aca="false">INDEX(Summary!$Q$2:$Q$201,MATCH($B335,Summary!$A$2:$A$201,0))</f>
        <v>12.68</v>
      </c>
      <c r="V335" s="2" t="n">
        <f aca="false">INDEX(Summary!$R$2:$R$201,MATCH($B335,Summary!$A$2:$A$201,0))</f>
        <v>21.68</v>
      </c>
      <c r="W335" s="0" t="str">
        <f aca="false">INDEX(Summary!$S$2:$S$201,MATCH($B335,Summary!$A$2:$A$201,0))</f>
        <v>Silver</v>
      </c>
      <c r="X335" s="2" t="n">
        <f aca="false">INDEX(Summary!$T$2:$T$201,MATCH($B335,Summary!$A$2:$A$201,0))</f>
        <v>52.88</v>
      </c>
      <c r="Y335" s="0" t="str">
        <f aca="false">INDEX('Reward Model'!$E$18:$E$37,MATCH($E335,'Reward Model'!$A$18:$A$37,0))</f>
        <v>Medium</v>
      </c>
      <c r="Z335" s="4" t="n">
        <f aca="false">ROUND(MIN(1,MAX('Reward Model'!$B$2,INDEX('Reward Model'!$C$12:$C$14,MATCH($K335,'Reward Model'!$A$12:$A$14,0))/$J335)),3)</f>
        <v>0.8</v>
      </c>
      <c r="AA335" s="2" t="n">
        <f aca="false">IF($I335="Correct",ROUND(INDEX('Reward Model'!$B$12:$B$14,MATCH($K335,'Reward Model'!$A$12:$A$14,0))*Z335,2),0)</f>
        <v>0</v>
      </c>
      <c r="AB335" s="2" t="n">
        <f aca="false">IF($I335="Correct",ROUND(INDEX('Reward Model'!$B$12:$B$14,MATCH($Y335,'Reward Model'!$A$12:$A$14,0))*Z335,2),0)</f>
        <v>0</v>
      </c>
    </row>
    <row r="336" customFormat="false" ht="15" hidden="false" customHeight="false" outlineLevel="0" collapsed="false">
      <c r="A336" s="0" t="s">
        <v>153</v>
      </c>
      <c r="B336" s="0" t="s">
        <v>154</v>
      </c>
      <c r="C336" s="0" t="s">
        <v>30</v>
      </c>
      <c r="D336" s="0" t="s">
        <v>31</v>
      </c>
      <c r="E336" s="0" t="n">
        <v>15</v>
      </c>
      <c r="F336" s="0" t="s">
        <v>69</v>
      </c>
      <c r="G336" s="0" t="s">
        <v>70</v>
      </c>
      <c r="H336" s="0" t="s">
        <v>70</v>
      </c>
      <c r="I336" s="0" t="s">
        <v>34</v>
      </c>
      <c r="J336" s="0" t="n">
        <v>2.18</v>
      </c>
      <c r="K336" s="0" t="s">
        <v>60</v>
      </c>
      <c r="L336" s="0" t="n">
        <f aca="false">INDEX(Summary!$F$2:$F$201,MATCH($B336,Summary!$A$2:$A$201,0))</f>
        <v>20</v>
      </c>
      <c r="M336" s="0" t="n">
        <f aca="false">INDEX(Summary!$I$2:$I$201,MATCH($B336,Summary!$A$2:$A$201,0))</f>
        <v>3</v>
      </c>
      <c r="N336" s="0" t="n">
        <f aca="false">INDEX(Summary!$J$2:$J$201,MATCH($B336,Summary!$A$2:$A$201,0))</f>
        <v>2</v>
      </c>
      <c r="O336" s="2" t="n">
        <f aca="false">INDEX(Summary!$K$2:$K$201,MATCH($B336,Summary!$A$2:$A$201,0))</f>
        <v>8.67</v>
      </c>
      <c r="P336" s="3" t="n">
        <f aca="false">INDEX(Summary!$L$2:$L$201,MATCH($B336,Summary!$A$2:$A$201,0))</f>
        <v>3</v>
      </c>
      <c r="Q336" s="3" t="n">
        <f aca="false">INDEX(Summary!$M$2:$M$201,MATCH($B336,Summary!$A$2:$A$201,0))</f>
        <v>3</v>
      </c>
      <c r="R336" s="2" t="n">
        <f aca="false">INDEX(Summary!$N$2:$N$201,MATCH($B336,Summary!$A$2:$A$201,0))</f>
        <v>12.47</v>
      </c>
      <c r="S336" s="3" t="n">
        <f aca="false">INDEX(Summary!$O$2:$O$201,MATCH($B336,Summary!$A$2:$A$201,0))</f>
        <v>6</v>
      </c>
      <c r="T336" s="3" t="n">
        <f aca="false">INDEX(Summary!$P$2:$P$201,MATCH($B336,Summary!$A$2:$A$201,0))</f>
        <v>3</v>
      </c>
      <c r="U336" s="2" t="n">
        <f aca="false">INDEX(Summary!$Q$2:$Q$201,MATCH($B336,Summary!$A$2:$A$201,0))</f>
        <v>12.68</v>
      </c>
      <c r="V336" s="2" t="n">
        <f aca="false">INDEX(Summary!$R$2:$R$201,MATCH($B336,Summary!$A$2:$A$201,0))</f>
        <v>21.68</v>
      </c>
      <c r="W336" s="0" t="str">
        <f aca="false">INDEX(Summary!$S$2:$S$201,MATCH($B336,Summary!$A$2:$A$201,0))</f>
        <v>Silver</v>
      </c>
      <c r="X336" s="2" t="n">
        <f aca="false">INDEX(Summary!$T$2:$T$201,MATCH($B336,Summary!$A$2:$A$201,0))</f>
        <v>52.88</v>
      </c>
      <c r="Y336" s="0" t="str">
        <f aca="false">INDEX('Reward Model'!$E$18:$E$37,MATCH($E336,'Reward Model'!$A$18:$A$37,0))</f>
        <v>Medium</v>
      </c>
      <c r="Z336" s="4" t="n">
        <f aca="false">ROUND(MIN(1,MAX('Reward Model'!$B$2,INDEX('Reward Model'!$C$12:$C$14,MATCH($K336,'Reward Model'!$A$12:$A$14,0))/$J336)),3)</f>
        <v>0.826</v>
      </c>
      <c r="AA336" s="2" t="n">
        <f aca="false">IF($I336="Correct",ROUND(INDEX('Reward Model'!$B$12:$B$14,MATCH($K336,'Reward Model'!$A$12:$A$14,0))*Z336,2),0)</f>
        <v>1.65</v>
      </c>
      <c r="AB336" s="2" t="n">
        <f aca="false">IF($I336="Correct",ROUND(INDEX('Reward Model'!$B$12:$B$14,MATCH($Y336,'Reward Model'!$A$12:$A$14,0))*Z336,2),0)</f>
        <v>1.65</v>
      </c>
    </row>
    <row r="337" customFormat="false" ht="15" hidden="false" customHeight="false" outlineLevel="0" collapsed="false">
      <c r="A337" s="0" t="s">
        <v>153</v>
      </c>
      <c r="B337" s="0" t="s">
        <v>154</v>
      </c>
      <c r="C337" s="0" t="s">
        <v>30</v>
      </c>
      <c r="D337" s="0" t="s">
        <v>31</v>
      </c>
      <c r="E337" s="0" t="n">
        <v>16</v>
      </c>
      <c r="F337" s="0" t="s">
        <v>71</v>
      </c>
      <c r="G337" s="0" t="s">
        <v>87</v>
      </c>
      <c r="H337" s="0" t="s">
        <v>72</v>
      </c>
      <c r="I337" s="0" t="s">
        <v>39</v>
      </c>
      <c r="J337" s="0" t="n">
        <v>2.11</v>
      </c>
      <c r="K337" s="0" t="s">
        <v>73</v>
      </c>
      <c r="L337" s="0" t="n">
        <f aca="false">INDEX(Summary!$F$2:$F$201,MATCH($B337,Summary!$A$2:$A$201,0))</f>
        <v>20</v>
      </c>
      <c r="M337" s="0" t="n">
        <f aca="false">INDEX(Summary!$I$2:$I$201,MATCH($B337,Summary!$A$2:$A$201,0))</f>
        <v>3</v>
      </c>
      <c r="N337" s="0" t="n">
        <f aca="false">INDEX(Summary!$J$2:$J$201,MATCH($B337,Summary!$A$2:$A$201,0))</f>
        <v>2</v>
      </c>
      <c r="O337" s="2" t="n">
        <f aca="false">INDEX(Summary!$K$2:$K$201,MATCH($B337,Summary!$A$2:$A$201,0))</f>
        <v>8.67</v>
      </c>
      <c r="P337" s="3" t="n">
        <f aca="false">INDEX(Summary!$L$2:$L$201,MATCH($B337,Summary!$A$2:$A$201,0))</f>
        <v>3</v>
      </c>
      <c r="Q337" s="3" t="n">
        <f aca="false">INDEX(Summary!$M$2:$M$201,MATCH($B337,Summary!$A$2:$A$201,0))</f>
        <v>3</v>
      </c>
      <c r="R337" s="2" t="n">
        <f aca="false">INDEX(Summary!$N$2:$N$201,MATCH($B337,Summary!$A$2:$A$201,0))</f>
        <v>12.47</v>
      </c>
      <c r="S337" s="3" t="n">
        <f aca="false">INDEX(Summary!$O$2:$O$201,MATCH($B337,Summary!$A$2:$A$201,0))</f>
        <v>6</v>
      </c>
      <c r="T337" s="3" t="n">
        <f aca="false">INDEX(Summary!$P$2:$P$201,MATCH($B337,Summary!$A$2:$A$201,0))</f>
        <v>3</v>
      </c>
      <c r="U337" s="2" t="n">
        <f aca="false">INDEX(Summary!$Q$2:$Q$201,MATCH($B337,Summary!$A$2:$A$201,0))</f>
        <v>12.68</v>
      </c>
      <c r="V337" s="2" t="n">
        <f aca="false">INDEX(Summary!$R$2:$R$201,MATCH($B337,Summary!$A$2:$A$201,0))</f>
        <v>21.68</v>
      </c>
      <c r="W337" s="0" t="str">
        <f aca="false">INDEX(Summary!$S$2:$S$201,MATCH($B337,Summary!$A$2:$A$201,0))</f>
        <v>Silver</v>
      </c>
      <c r="X337" s="2" t="n">
        <f aca="false">INDEX(Summary!$T$2:$T$201,MATCH($B337,Summary!$A$2:$A$201,0))</f>
        <v>52.88</v>
      </c>
      <c r="Y337" s="0" t="str">
        <f aca="false">INDEX('Reward Model'!$E$18:$E$37,MATCH($E337,'Reward Model'!$A$18:$A$37,0))</f>
        <v>High</v>
      </c>
      <c r="Z337" s="4" t="n">
        <f aca="false">ROUND(MIN(1,MAX('Reward Model'!$B$2,INDEX('Reward Model'!$C$12:$C$14,MATCH($K337,'Reward Model'!$A$12:$A$14,0))/$J337)),3)</f>
        <v>0.948</v>
      </c>
      <c r="AA337" s="2" t="n">
        <f aca="false">IF($I337="Correct",ROUND(INDEX('Reward Model'!$B$12:$B$14,MATCH($K337,'Reward Model'!$A$12:$A$14,0))*Z337,2),0)</f>
        <v>0</v>
      </c>
      <c r="AB337" s="2" t="n">
        <f aca="false">IF($I337="Correct",ROUND(INDEX('Reward Model'!$B$12:$B$14,MATCH($Y337,'Reward Model'!$A$12:$A$14,0))*Z337,2),0)</f>
        <v>0</v>
      </c>
    </row>
    <row r="338" customFormat="false" ht="15" hidden="false" customHeight="false" outlineLevel="0" collapsed="false">
      <c r="A338" s="0" t="s">
        <v>153</v>
      </c>
      <c r="B338" s="0" t="s">
        <v>154</v>
      </c>
      <c r="C338" s="0" t="s">
        <v>30</v>
      </c>
      <c r="D338" s="0" t="s">
        <v>31</v>
      </c>
      <c r="E338" s="0" t="n">
        <v>17</v>
      </c>
      <c r="F338" s="0" t="s">
        <v>74</v>
      </c>
      <c r="G338" s="0" t="s">
        <v>75</v>
      </c>
      <c r="H338" s="0" t="s">
        <v>75</v>
      </c>
      <c r="I338" s="0" t="s">
        <v>34</v>
      </c>
      <c r="J338" s="0" t="n">
        <v>2.56</v>
      </c>
      <c r="K338" s="0" t="s">
        <v>73</v>
      </c>
      <c r="L338" s="0" t="n">
        <f aca="false">INDEX(Summary!$F$2:$F$201,MATCH($B338,Summary!$A$2:$A$201,0))</f>
        <v>20</v>
      </c>
      <c r="M338" s="0" t="n">
        <f aca="false">INDEX(Summary!$I$2:$I$201,MATCH($B338,Summary!$A$2:$A$201,0))</f>
        <v>3</v>
      </c>
      <c r="N338" s="0" t="n">
        <f aca="false">INDEX(Summary!$J$2:$J$201,MATCH($B338,Summary!$A$2:$A$201,0))</f>
        <v>2</v>
      </c>
      <c r="O338" s="2" t="n">
        <f aca="false">INDEX(Summary!$K$2:$K$201,MATCH($B338,Summary!$A$2:$A$201,0))</f>
        <v>8.67</v>
      </c>
      <c r="P338" s="3" t="n">
        <f aca="false">INDEX(Summary!$L$2:$L$201,MATCH($B338,Summary!$A$2:$A$201,0))</f>
        <v>3</v>
      </c>
      <c r="Q338" s="3" t="n">
        <f aca="false">INDEX(Summary!$M$2:$M$201,MATCH($B338,Summary!$A$2:$A$201,0))</f>
        <v>3</v>
      </c>
      <c r="R338" s="2" t="n">
        <f aca="false">INDEX(Summary!$N$2:$N$201,MATCH($B338,Summary!$A$2:$A$201,0))</f>
        <v>12.47</v>
      </c>
      <c r="S338" s="3" t="n">
        <f aca="false">INDEX(Summary!$O$2:$O$201,MATCH($B338,Summary!$A$2:$A$201,0))</f>
        <v>6</v>
      </c>
      <c r="T338" s="3" t="n">
        <f aca="false">INDEX(Summary!$P$2:$P$201,MATCH($B338,Summary!$A$2:$A$201,0))</f>
        <v>3</v>
      </c>
      <c r="U338" s="2" t="n">
        <f aca="false">INDEX(Summary!$Q$2:$Q$201,MATCH($B338,Summary!$A$2:$A$201,0))</f>
        <v>12.68</v>
      </c>
      <c r="V338" s="2" t="n">
        <f aca="false">INDEX(Summary!$R$2:$R$201,MATCH($B338,Summary!$A$2:$A$201,0))</f>
        <v>21.68</v>
      </c>
      <c r="W338" s="0" t="str">
        <f aca="false">INDEX(Summary!$S$2:$S$201,MATCH($B338,Summary!$A$2:$A$201,0))</f>
        <v>Silver</v>
      </c>
      <c r="X338" s="2" t="n">
        <f aca="false">INDEX(Summary!$T$2:$T$201,MATCH($B338,Summary!$A$2:$A$201,0))</f>
        <v>52.88</v>
      </c>
      <c r="Y338" s="0" t="str">
        <f aca="false">INDEX('Reward Model'!$E$18:$E$37,MATCH($E338,'Reward Model'!$A$18:$A$37,0))</f>
        <v>High</v>
      </c>
      <c r="Z338" s="4" t="n">
        <f aca="false">ROUND(MIN(1,MAX('Reward Model'!$B$2,INDEX('Reward Model'!$C$12:$C$14,MATCH($K338,'Reward Model'!$A$12:$A$14,0))/$J338)),3)</f>
        <v>0.781</v>
      </c>
      <c r="AA338" s="2" t="n">
        <f aca="false">IF($I338="Correct",ROUND(INDEX('Reward Model'!$B$12:$B$14,MATCH($K338,'Reward Model'!$A$12:$A$14,0))*Z338,2),0)</f>
        <v>2.34</v>
      </c>
      <c r="AB338" s="2" t="n">
        <f aca="false">IF($I338="Correct",ROUND(INDEX('Reward Model'!$B$12:$B$14,MATCH($Y338,'Reward Model'!$A$12:$A$14,0))*Z338,2),0)</f>
        <v>2.34</v>
      </c>
    </row>
    <row r="339" customFormat="false" ht="15" hidden="false" customHeight="false" outlineLevel="0" collapsed="false">
      <c r="A339" s="0" t="s">
        <v>153</v>
      </c>
      <c r="B339" s="0" t="s">
        <v>154</v>
      </c>
      <c r="C339" s="0" t="s">
        <v>30</v>
      </c>
      <c r="D339" s="0" t="s">
        <v>31</v>
      </c>
      <c r="E339" s="0" t="n">
        <v>18</v>
      </c>
      <c r="F339" s="0" t="s">
        <v>76</v>
      </c>
      <c r="G339" s="0" t="s">
        <v>77</v>
      </c>
      <c r="H339" s="0" t="s">
        <v>77</v>
      </c>
      <c r="I339" s="0" t="s">
        <v>34</v>
      </c>
      <c r="J339" s="0" t="n">
        <v>1.27</v>
      </c>
      <c r="K339" s="0" t="s">
        <v>73</v>
      </c>
      <c r="L339" s="0" t="n">
        <f aca="false">INDEX(Summary!$F$2:$F$201,MATCH($B339,Summary!$A$2:$A$201,0))</f>
        <v>20</v>
      </c>
      <c r="M339" s="0" t="n">
        <f aca="false">INDEX(Summary!$I$2:$I$201,MATCH($B339,Summary!$A$2:$A$201,0))</f>
        <v>3</v>
      </c>
      <c r="N339" s="0" t="n">
        <f aca="false">INDEX(Summary!$J$2:$J$201,MATCH($B339,Summary!$A$2:$A$201,0))</f>
        <v>2</v>
      </c>
      <c r="O339" s="2" t="n">
        <f aca="false">INDEX(Summary!$K$2:$K$201,MATCH($B339,Summary!$A$2:$A$201,0))</f>
        <v>8.67</v>
      </c>
      <c r="P339" s="3" t="n">
        <f aca="false">INDEX(Summary!$L$2:$L$201,MATCH($B339,Summary!$A$2:$A$201,0))</f>
        <v>3</v>
      </c>
      <c r="Q339" s="3" t="n">
        <f aca="false">INDEX(Summary!$M$2:$M$201,MATCH($B339,Summary!$A$2:$A$201,0))</f>
        <v>3</v>
      </c>
      <c r="R339" s="2" t="n">
        <f aca="false">INDEX(Summary!$N$2:$N$201,MATCH($B339,Summary!$A$2:$A$201,0))</f>
        <v>12.47</v>
      </c>
      <c r="S339" s="3" t="n">
        <f aca="false">INDEX(Summary!$O$2:$O$201,MATCH($B339,Summary!$A$2:$A$201,0))</f>
        <v>6</v>
      </c>
      <c r="T339" s="3" t="n">
        <f aca="false">INDEX(Summary!$P$2:$P$201,MATCH($B339,Summary!$A$2:$A$201,0))</f>
        <v>3</v>
      </c>
      <c r="U339" s="2" t="n">
        <f aca="false">INDEX(Summary!$Q$2:$Q$201,MATCH($B339,Summary!$A$2:$A$201,0))</f>
        <v>12.68</v>
      </c>
      <c r="V339" s="2" t="n">
        <f aca="false">INDEX(Summary!$R$2:$R$201,MATCH($B339,Summary!$A$2:$A$201,0))</f>
        <v>21.68</v>
      </c>
      <c r="W339" s="0" t="str">
        <f aca="false">INDEX(Summary!$S$2:$S$201,MATCH($B339,Summary!$A$2:$A$201,0))</f>
        <v>Silver</v>
      </c>
      <c r="X339" s="2" t="n">
        <f aca="false">INDEX(Summary!$T$2:$T$201,MATCH($B339,Summary!$A$2:$A$201,0))</f>
        <v>52.88</v>
      </c>
      <c r="Y339" s="0" t="str">
        <f aca="false">INDEX('Reward Model'!$E$18:$E$37,MATCH($E339,'Reward Model'!$A$18:$A$37,0))</f>
        <v>High</v>
      </c>
      <c r="Z339" s="4" t="n">
        <f aca="false">ROUND(MIN(1,MAX('Reward Model'!$B$2,INDEX('Reward Model'!$C$12:$C$14,MATCH($K339,'Reward Model'!$A$12:$A$14,0))/$J339)),3)</f>
        <v>1</v>
      </c>
      <c r="AA339" s="2" t="n">
        <f aca="false">IF($I339="Correct",ROUND(INDEX('Reward Model'!$B$12:$B$14,MATCH($K339,'Reward Model'!$A$12:$A$14,0))*Z339,2),0)</f>
        <v>3</v>
      </c>
      <c r="AB339" s="2" t="n">
        <f aca="false">IF($I339="Correct",ROUND(INDEX('Reward Model'!$B$12:$B$14,MATCH($Y339,'Reward Model'!$A$12:$A$14,0))*Z339,2),0)</f>
        <v>3</v>
      </c>
    </row>
    <row r="340" customFormat="false" ht="15" hidden="false" customHeight="false" outlineLevel="0" collapsed="false">
      <c r="A340" s="0" t="s">
        <v>153</v>
      </c>
      <c r="B340" s="0" t="s">
        <v>154</v>
      </c>
      <c r="C340" s="0" t="s">
        <v>30</v>
      </c>
      <c r="D340" s="0" t="s">
        <v>31</v>
      </c>
      <c r="E340" s="0" t="n">
        <v>19</v>
      </c>
      <c r="F340" s="0" t="s">
        <v>78</v>
      </c>
      <c r="G340" s="0" t="s">
        <v>132</v>
      </c>
      <c r="H340" s="0" t="s">
        <v>80</v>
      </c>
      <c r="I340" s="0" t="s">
        <v>39</v>
      </c>
      <c r="J340" s="0" t="n">
        <v>1.44</v>
      </c>
      <c r="K340" s="0" t="s">
        <v>73</v>
      </c>
      <c r="L340" s="0" t="n">
        <f aca="false">INDEX(Summary!$F$2:$F$201,MATCH($B340,Summary!$A$2:$A$201,0))</f>
        <v>20</v>
      </c>
      <c r="M340" s="0" t="n">
        <f aca="false">INDEX(Summary!$I$2:$I$201,MATCH($B340,Summary!$A$2:$A$201,0))</f>
        <v>3</v>
      </c>
      <c r="N340" s="0" t="n">
        <f aca="false">INDEX(Summary!$J$2:$J$201,MATCH($B340,Summary!$A$2:$A$201,0))</f>
        <v>2</v>
      </c>
      <c r="O340" s="2" t="n">
        <f aca="false">INDEX(Summary!$K$2:$K$201,MATCH($B340,Summary!$A$2:$A$201,0))</f>
        <v>8.67</v>
      </c>
      <c r="P340" s="3" t="n">
        <f aca="false">INDEX(Summary!$L$2:$L$201,MATCH($B340,Summary!$A$2:$A$201,0))</f>
        <v>3</v>
      </c>
      <c r="Q340" s="3" t="n">
        <f aca="false">INDEX(Summary!$M$2:$M$201,MATCH($B340,Summary!$A$2:$A$201,0))</f>
        <v>3</v>
      </c>
      <c r="R340" s="2" t="n">
        <f aca="false">INDEX(Summary!$N$2:$N$201,MATCH($B340,Summary!$A$2:$A$201,0))</f>
        <v>12.47</v>
      </c>
      <c r="S340" s="3" t="n">
        <f aca="false">INDEX(Summary!$O$2:$O$201,MATCH($B340,Summary!$A$2:$A$201,0))</f>
        <v>6</v>
      </c>
      <c r="T340" s="3" t="n">
        <f aca="false">INDEX(Summary!$P$2:$P$201,MATCH($B340,Summary!$A$2:$A$201,0))</f>
        <v>3</v>
      </c>
      <c r="U340" s="2" t="n">
        <f aca="false">INDEX(Summary!$Q$2:$Q$201,MATCH($B340,Summary!$A$2:$A$201,0))</f>
        <v>12.68</v>
      </c>
      <c r="V340" s="2" t="n">
        <f aca="false">INDEX(Summary!$R$2:$R$201,MATCH($B340,Summary!$A$2:$A$201,0))</f>
        <v>21.68</v>
      </c>
      <c r="W340" s="0" t="str">
        <f aca="false">INDEX(Summary!$S$2:$S$201,MATCH($B340,Summary!$A$2:$A$201,0))</f>
        <v>Silver</v>
      </c>
      <c r="X340" s="2" t="n">
        <f aca="false">INDEX(Summary!$T$2:$T$201,MATCH($B340,Summary!$A$2:$A$201,0))</f>
        <v>52.88</v>
      </c>
      <c r="Y340" s="0" t="str">
        <f aca="false">INDEX('Reward Model'!$E$18:$E$37,MATCH($E340,'Reward Model'!$A$18:$A$37,0))</f>
        <v>High</v>
      </c>
      <c r="Z340" s="4" t="n">
        <f aca="false">ROUND(MIN(1,MAX('Reward Model'!$B$2,INDEX('Reward Model'!$C$12:$C$14,MATCH($K340,'Reward Model'!$A$12:$A$14,0))/$J340)),3)</f>
        <v>1</v>
      </c>
      <c r="AA340" s="2" t="n">
        <f aca="false">IF($I340="Correct",ROUND(INDEX('Reward Model'!$B$12:$B$14,MATCH($K340,'Reward Model'!$A$12:$A$14,0))*Z340,2),0)</f>
        <v>0</v>
      </c>
      <c r="AB340" s="2" t="n">
        <f aca="false">IF($I340="Correct",ROUND(INDEX('Reward Model'!$B$12:$B$14,MATCH($Y340,'Reward Model'!$A$12:$A$14,0))*Z340,2),0)</f>
        <v>0</v>
      </c>
    </row>
    <row r="341" customFormat="false" ht="15" hidden="false" customHeight="false" outlineLevel="0" collapsed="false">
      <c r="A341" s="0" t="s">
        <v>153</v>
      </c>
      <c r="B341" s="0" t="s">
        <v>154</v>
      </c>
      <c r="C341" s="0" t="s">
        <v>30</v>
      </c>
      <c r="D341" s="0" t="s">
        <v>31</v>
      </c>
      <c r="E341" s="0" t="n">
        <v>20</v>
      </c>
      <c r="F341" s="0" t="s">
        <v>81</v>
      </c>
      <c r="G341" s="0" t="s">
        <v>83</v>
      </c>
      <c r="H341" s="0" t="s">
        <v>83</v>
      </c>
      <c r="I341" s="0" t="s">
        <v>34</v>
      </c>
      <c r="J341" s="0" t="n">
        <v>1.29</v>
      </c>
      <c r="K341" s="0" t="s">
        <v>73</v>
      </c>
      <c r="L341" s="0" t="n">
        <f aca="false">INDEX(Summary!$F$2:$F$201,MATCH($B341,Summary!$A$2:$A$201,0))</f>
        <v>20</v>
      </c>
      <c r="M341" s="0" t="n">
        <f aca="false">INDEX(Summary!$I$2:$I$201,MATCH($B341,Summary!$A$2:$A$201,0))</f>
        <v>3</v>
      </c>
      <c r="N341" s="0" t="n">
        <f aca="false">INDEX(Summary!$J$2:$J$201,MATCH($B341,Summary!$A$2:$A$201,0))</f>
        <v>2</v>
      </c>
      <c r="O341" s="2" t="n">
        <f aca="false">INDEX(Summary!$K$2:$K$201,MATCH($B341,Summary!$A$2:$A$201,0))</f>
        <v>8.67</v>
      </c>
      <c r="P341" s="3" t="n">
        <f aca="false">INDEX(Summary!$L$2:$L$201,MATCH($B341,Summary!$A$2:$A$201,0))</f>
        <v>3</v>
      </c>
      <c r="Q341" s="3" t="n">
        <f aca="false">INDEX(Summary!$M$2:$M$201,MATCH($B341,Summary!$A$2:$A$201,0))</f>
        <v>3</v>
      </c>
      <c r="R341" s="2" t="n">
        <f aca="false">INDEX(Summary!$N$2:$N$201,MATCH($B341,Summary!$A$2:$A$201,0))</f>
        <v>12.47</v>
      </c>
      <c r="S341" s="3" t="n">
        <f aca="false">INDEX(Summary!$O$2:$O$201,MATCH($B341,Summary!$A$2:$A$201,0))</f>
        <v>6</v>
      </c>
      <c r="T341" s="3" t="n">
        <f aca="false">INDEX(Summary!$P$2:$P$201,MATCH($B341,Summary!$A$2:$A$201,0))</f>
        <v>3</v>
      </c>
      <c r="U341" s="2" t="n">
        <f aca="false">INDEX(Summary!$Q$2:$Q$201,MATCH($B341,Summary!$A$2:$A$201,0))</f>
        <v>12.68</v>
      </c>
      <c r="V341" s="2" t="n">
        <f aca="false">INDEX(Summary!$R$2:$R$201,MATCH($B341,Summary!$A$2:$A$201,0))</f>
        <v>21.68</v>
      </c>
      <c r="W341" s="0" t="str">
        <f aca="false">INDEX(Summary!$S$2:$S$201,MATCH($B341,Summary!$A$2:$A$201,0))</f>
        <v>Silver</v>
      </c>
      <c r="X341" s="2" t="n">
        <f aca="false">INDEX(Summary!$T$2:$T$201,MATCH($B341,Summary!$A$2:$A$201,0))</f>
        <v>52.88</v>
      </c>
      <c r="Y341" s="0" t="str">
        <f aca="false">INDEX('Reward Model'!$E$18:$E$37,MATCH($E341,'Reward Model'!$A$18:$A$37,0))</f>
        <v>High</v>
      </c>
      <c r="Z341" s="4" t="n">
        <f aca="false">ROUND(MIN(1,MAX('Reward Model'!$B$2,INDEX('Reward Model'!$C$12:$C$14,MATCH($K341,'Reward Model'!$A$12:$A$14,0))/$J341)),3)</f>
        <v>1</v>
      </c>
      <c r="AA341" s="2" t="n">
        <f aca="false">IF($I341="Correct",ROUND(INDEX('Reward Model'!$B$12:$B$14,MATCH($K341,'Reward Model'!$A$12:$A$14,0))*Z341,2),0)</f>
        <v>3</v>
      </c>
      <c r="AB341" s="2" t="n">
        <f aca="false">IF($I341="Correct",ROUND(INDEX('Reward Model'!$B$12:$B$14,MATCH($Y341,'Reward Model'!$A$12:$A$14,0))*Z341,2),0)</f>
        <v>3</v>
      </c>
    </row>
    <row r="342" customFormat="false" ht="15" hidden="false" customHeight="false" outlineLevel="0" collapsed="false">
      <c r="A342" s="0" t="s">
        <v>156</v>
      </c>
      <c r="B342" s="0" t="s">
        <v>157</v>
      </c>
      <c r="C342" s="0" t="s">
        <v>30</v>
      </c>
      <c r="D342" s="0" t="s">
        <v>31</v>
      </c>
      <c r="E342" s="0" t="n">
        <v>1</v>
      </c>
      <c r="F342" s="0" t="s">
        <v>32</v>
      </c>
      <c r="G342" s="0" t="s">
        <v>33</v>
      </c>
      <c r="H342" s="0" t="s">
        <v>33</v>
      </c>
      <c r="I342" s="0" t="s">
        <v>34</v>
      </c>
      <c r="J342" s="0" t="n">
        <v>1.16</v>
      </c>
      <c r="K342" s="0" t="s">
        <v>35</v>
      </c>
      <c r="L342" s="0" t="n">
        <f aca="false">INDEX(Summary!$F$2:$F$201,MATCH($B342,Summary!$A$2:$A$201,0))</f>
        <v>20</v>
      </c>
      <c r="M342" s="0" t="n">
        <f aca="false">INDEX(Summary!$I$2:$I$201,MATCH($B342,Summary!$A$2:$A$201,0))</f>
        <v>4</v>
      </c>
      <c r="N342" s="0" t="n">
        <f aca="false">INDEX(Summary!$J$2:$J$201,MATCH($B342,Summary!$A$2:$A$201,0))</f>
        <v>1</v>
      </c>
      <c r="O342" s="2" t="n">
        <f aca="false">INDEX(Summary!$K$2:$K$201,MATCH($B342,Summary!$A$2:$A$201,0))</f>
        <v>9.4</v>
      </c>
      <c r="P342" s="3" t="n">
        <f aca="false">INDEX(Summary!$L$2:$L$201,MATCH($B342,Summary!$A$2:$A$201,0))</f>
        <v>5</v>
      </c>
      <c r="Q342" s="3" t="n">
        <f aca="false">INDEX(Summary!$M$2:$M$201,MATCH($B342,Summary!$A$2:$A$201,0))</f>
        <v>1</v>
      </c>
      <c r="R342" s="2" t="n">
        <f aca="false">INDEX(Summary!$N$2:$N$201,MATCH($B342,Summary!$A$2:$A$201,0))</f>
        <v>11.86</v>
      </c>
      <c r="S342" s="3" t="n">
        <f aca="false">INDEX(Summary!$O$2:$O$201,MATCH($B342,Summary!$A$2:$A$201,0))</f>
        <v>8</v>
      </c>
      <c r="T342" s="3" t="n">
        <f aca="false">INDEX(Summary!$P$2:$P$201,MATCH($B342,Summary!$A$2:$A$201,0))</f>
        <v>1</v>
      </c>
      <c r="U342" s="2" t="n">
        <f aca="false">INDEX(Summary!$Q$2:$Q$201,MATCH($B342,Summary!$A$2:$A$201,0))</f>
        <v>12.66</v>
      </c>
      <c r="V342" s="2" t="n">
        <f aca="false">INDEX(Summary!$R$2:$R$201,MATCH($B342,Summary!$A$2:$A$201,0))</f>
        <v>32.54</v>
      </c>
      <c r="W342" s="0" t="str">
        <f aca="false">INDEX(Summary!$S$2:$S$201,MATCH($B342,Summary!$A$2:$A$201,0))</f>
        <v>Gold</v>
      </c>
      <c r="X342" s="2" t="n">
        <f aca="false">INDEX(Summary!$T$2:$T$201,MATCH($B342,Summary!$A$2:$A$201,0))</f>
        <v>79.37</v>
      </c>
      <c r="Y342" s="0" t="str">
        <f aca="false">INDEX('Reward Model'!$E$18:$E$37,MATCH($E342,'Reward Model'!$A$18:$A$37,0))</f>
        <v>Medium</v>
      </c>
      <c r="Z342" s="4" t="n">
        <f aca="false">ROUND(MIN(1,MAX('Reward Model'!$B$2,INDEX('Reward Model'!$C$12:$C$14,MATCH($K342,'Reward Model'!$A$12:$A$14,0))/$J342)),3)</f>
        <v>1</v>
      </c>
      <c r="AA342" s="2" t="n">
        <f aca="false">IF($I342="Correct",ROUND(INDEX('Reward Model'!$B$12:$B$14,MATCH($K342,'Reward Model'!$A$12:$A$14,0))*Z342,2),0)</f>
        <v>1</v>
      </c>
      <c r="AB342" s="2" t="n">
        <f aca="false">IF($I342="Correct",ROUND(INDEX('Reward Model'!$B$12:$B$14,MATCH($Y342,'Reward Model'!$A$12:$A$14,0))*Z342,2),0)</f>
        <v>2</v>
      </c>
    </row>
    <row r="343" customFormat="false" ht="15" hidden="false" customHeight="false" outlineLevel="0" collapsed="false">
      <c r="A343" s="0" t="s">
        <v>156</v>
      </c>
      <c r="B343" s="0" t="s">
        <v>157</v>
      </c>
      <c r="C343" s="0" t="s">
        <v>30</v>
      </c>
      <c r="D343" s="0" t="s">
        <v>31</v>
      </c>
      <c r="E343" s="0" t="n">
        <v>2</v>
      </c>
      <c r="F343" s="0" t="s">
        <v>36</v>
      </c>
      <c r="G343" s="0" t="s">
        <v>38</v>
      </c>
      <c r="H343" s="0" t="s">
        <v>38</v>
      </c>
      <c r="I343" s="0" t="s">
        <v>34</v>
      </c>
      <c r="J343" s="0" t="n">
        <v>1.52</v>
      </c>
      <c r="K343" s="0" t="s">
        <v>35</v>
      </c>
      <c r="L343" s="0" t="n">
        <f aca="false">INDEX(Summary!$F$2:$F$201,MATCH($B343,Summary!$A$2:$A$201,0))</f>
        <v>20</v>
      </c>
      <c r="M343" s="0" t="n">
        <f aca="false">INDEX(Summary!$I$2:$I$201,MATCH($B343,Summary!$A$2:$A$201,0))</f>
        <v>4</v>
      </c>
      <c r="N343" s="0" t="n">
        <f aca="false">INDEX(Summary!$J$2:$J$201,MATCH($B343,Summary!$A$2:$A$201,0))</f>
        <v>1</v>
      </c>
      <c r="O343" s="2" t="n">
        <f aca="false">INDEX(Summary!$K$2:$K$201,MATCH($B343,Summary!$A$2:$A$201,0))</f>
        <v>9.4</v>
      </c>
      <c r="P343" s="3" t="n">
        <f aca="false">INDEX(Summary!$L$2:$L$201,MATCH($B343,Summary!$A$2:$A$201,0))</f>
        <v>5</v>
      </c>
      <c r="Q343" s="3" t="n">
        <f aca="false">INDEX(Summary!$M$2:$M$201,MATCH($B343,Summary!$A$2:$A$201,0))</f>
        <v>1</v>
      </c>
      <c r="R343" s="2" t="n">
        <f aca="false">INDEX(Summary!$N$2:$N$201,MATCH($B343,Summary!$A$2:$A$201,0))</f>
        <v>11.86</v>
      </c>
      <c r="S343" s="3" t="n">
        <f aca="false">INDEX(Summary!$O$2:$O$201,MATCH($B343,Summary!$A$2:$A$201,0))</f>
        <v>8</v>
      </c>
      <c r="T343" s="3" t="n">
        <f aca="false">INDEX(Summary!$P$2:$P$201,MATCH($B343,Summary!$A$2:$A$201,0))</f>
        <v>1</v>
      </c>
      <c r="U343" s="2" t="n">
        <f aca="false">INDEX(Summary!$Q$2:$Q$201,MATCH($B343,Summary!$A$2:$A$201,0))</f>
        <v>12.66</v>
      </c>
      <c r="V343" s="2" t="n">
        <f aca="false">INDEX(Summary!$R$2:$R$201,MATCH($B343,Summary!$A$2:$A$201,0))</f>
        <v>32.54</v>
      </c>
      <c r="W343" s="0" t="str">
        <f aca="false">INDEX(Summary!$S$2:$S$201,MATCH($B343,Summary!$A$2:$A$201,0))</f>
        <v>Gold</v>
      </c>
      <c r="X343" s="2" t="n">
        <f aca="false">INDEX(Summary!$T$2:$T$201,MATCH($B343,Summary!$A$2:$A$201,0))</f>
        <v>79.37</v>
      </c>
      <c r="Y343" s="0" t="str">
        <f aca="false">INDEX('Reward Model'!$E$18:$E$37,MATCH($E343,'Reward Model'!$A$18:$A$37,0))</f>
        <v>Low</v>
      </c>
      <c r="Z343" s="4" t="n">
        <f aca="false">ROUND(MIN(1,MAX('Reward Model'!$B$2,INDEX('Reward Model'!$C$12:$C$14,MATCH($K343,'Reward Model'!$A$12:$A$14,0))/$J343)),3)</f>
        <v>0.987</v>
      </c>
      <c r="AA343" s="2" t="n">
        <f aca="false">IF($I343="Correct",ROUND(INDEX('Reward Model'!$B$12:$B$14,MATCH($K343,'Reward Model'!$A$12:$A$14,0))*Z343,2),0)</f>
        <v>0.99</v>
      </c>
      <c r="AB343" s="2" t="n">
        <f aca="false">IF($I343="Correct",ROUND(INDEX('Reward Model'!$B$12:$B$14,MATCH($Y343,'Reward Model'!$A$12:$A$14,0))*Z343,2),0)</f>
        <v>0.99</v>
      </c>
    </row>
    <row r="344" customFormat="false" ht="15" hidden="false" customHeight="false" outlineLevel="0" collapsed="false">
      <c r="A344" s="0" t="s">
        <v>156</v>
      </c>
      <c r="B344" s="0" t="s">
        <v>157</v>
      </c>
      <c r="C344" s="0" t="s">
        <v>30</v>
      </c>
      <c r="D344" s="0" t="s">
        <v>31</v>
      </c>
      <c r="E344" s="0" t="n">
        <v>3</v>
      </c>
      <c r="F344" s="0" t="s">
        <v>40</v>
      </c>
      <c r="G344" s="0" t="s">
        <v>123</v>
      </c>
      <c r="H344" s="0" t="s">
        <v>42</v>
      </c>
      <c r="I344" s="0" t="s">
        <v>39</v>
      </c>
      <c r="J344" s="0" t="n">
        <v>1.73</v>
      </c>
      <c r="K344" s="0" t="s">
        <v>35</v>
      </c>
      <c r="L344" s="0" t="n">
        <f aca="false">INDEX(Summary!$F$2:$F$201,MATCH($B344,Summary!$A$2:$A$201,0))</f>
        <v>20</v>
      </c>
      <c r="M344" s="0" t="n">
        <f aca="false">INDEX(Summary!$I$2:$I$201,MATCH($B344,Summary!$A$2:$A$201,0))</f>
        <v>4</v>
      </c>
      <c r="N344" s="0" t="n">
        <f aca="false">INDEX(Summary!$J$2:$J$201,MATCH($B344,Summary!$A$2:$A$201,0))</f>
        <v>1</v>
      </c>
      <c r="O344" s="2" t="n">
        <f aca="false">INDEX(Summary!$K$2:$K$201,MATCH($B344,Summary!$A$2:$A$201,0))</f>
        <v>9.4</v>
      </c>
      <c r="P344" s="3" t="n">
        <f aca="false">INDEX(Summary!$L$2:$L$201,MATCH($B344,Summary!$A$2:$A$201,0))</f>
        <v>5</v>
      </c>
      <c r="Q344" s="3" t="n">
        <f aca="false">INDEX(Summary!$M$2:$M$201,MATCH($B344,Summary!$A$2:$A$201,0))</f>
        <v>1</v>
      </c>
      <c r="R344" s="2" t="n">
        <f aca="false">INDEX(Summary!$N$2:$N$201,MATCH($B344,Summary!$A$2:$A$201,0))</f>
        <v>11.86</v>
      </c>
      <c r="S344" s="3" t="n">
        <f aca="false">INDEX(Summary!$O$2:$O$201,MATCH($B344,Summary!$A$2:$A$201,0))</f>
        <v>8</v>
      </c>
      <c r="T344" s="3" t="n">
        <f aca="false">INDEX(Summary!$P$2:$P$201,MATCH($B344,Summary!$A$2:$A$201,0))</f>
        <v>1</v>
      </c>
      <c r="U344" s="2" t="n">
        <f aca="false">INDEX(Summary!$Q$2:$Q$201,MATCH($B344,Summary!$A$2:$A$201,0))</f>
        <v>12.66</v>
      </c>
      <c r="V344" s="2" t="n">
        <f aca="false">INDEX(Summary!$R$2:$R$201,MATCH($B344,Summary!$A$2:$A$201,0))</f>
        <v>32.54</v>
      </c>
      <c r="W344" s="0" t="str">
        <f aca="false">INDEX(Summary!$S$2:$S$201,MATCH($B344,Summary!$A$2:$A$201,0))</f>
        <v>Gold</v>
      </c>
      <c r="X344" s="2" t="n">
        <f aca="false">INDEX(Summary!$T$2:$T$201,MATCH($B344,Summary!$A$2:$A$201,0))</f>
        <v>79.37</v>
      </c>
      <c r="Y344" s="0" t="str">
        <f aca="false">INDEX('Reward Model'!$E$18:$E$37,MATCH($E344,'Reward Model'!$A$18:$A$37,0))</f>
        <v>Medium</v>
      </c>
      <c r="Z344" s="4" t="n">
        <f aca="false">ROUND(MIN(1,MAX('Reward Model'!$B$2,INDEX('Reward Model'!$C$12:$C$14,MATCH($K344,'Reward Model'!$A$12:$A$14,0))/$J344)),3)</f>
        <v>0.867</v>
      </c>
      <c r="AA344" s="2" t="n">
        <f aca="false">IF($I344="Correct",ROUND(INDEX('Reward Model'!$B$12:$B$14,MATCH($K344,'Reward Model'!$A$12:$A$14,0))*Z344,2),0)</f>
        <v>0</v>
      </c>
      <c r="AB344" s="2" t="n">
        <f aca="false">IF($I344="Correct",ROUND(INDEX('Reward Model'!$B$12:$B$14,MATCH($Y344,'Reward Model'!$A$12:$A$14,0))*Z344,2),0)</f>
        <v>0</v>
      </c>
    </row>
    <row r="345" customFormat="false" ht="15" hidden="false" customHeight="false" outlineLevel="0" collapsed="false">
      <c r="A345" s="0" t="s">
        <v>156</v>
      </c>
      <c r="B345" s="0" t="s">
        <v>157</v>
      </c>
      <c r="C345" s="0" t="s">
        <v>30</v>
      </c>
      <c r="D345" s="0" t="s">
        <v>31</v>
      </c>
      <c r="E345" s="0" t="n">
        <v>4</v>
      </c>
      <c r="F345" s="0" t="s">
        <v>43</v>
      </c>
      <c r="G345" s="0" t="s">
        <v>45</v>
      </c>
      <c r="H345" s="0" t="s">
        <v>45</v>
      </c>
      <c r="I345" s="0" t="s">
        <v>34</v>
      </c>
      <c r="J345" s="0" t="n">
        <v>1.34</v>
      </c>
      <c r="K345" s="0" t="s">
        <v>35</v>
      </c>
      <c r="L345" s="0" t="n">
        <f aca="false">INDEX(Summary!$F$2:$F$201,MATCH($B345,Summary!$A$2:$A$201,0))</f>
        <v>20</v>
      </c>
      <c r="M345" s="0" t="n">
        <f aca="false">INDEX(Summary!$I$2:$I$201,MATCH($B345,Summary!$A$2:$A$201,0))</f>
        <v>4</v>
      </c>
      <c r="N345" s="0" t="n">
        <f aca="false">INDEX(Summary!$J$2:$J$201,MATCH($B345,Summary!$A$2:$A$201,0))</f>
        <v>1</v>
      </c>
      <c r="O345" s="2" t="n">
        <f aca="false">INDEX(Summary!$K$2:$K$201,MATCH($B345,Summary!$A$2:$A$201,0))</f>
        <v>9.4</v>
      </c>
      <c r="P345" s="3" t="n">
        <f aca="false">INDEX(Summary!$L$2:$L$201,MATCH($B345,Summary!$A$2:$A$201,0))</f>
        <v>5</v>
      </c>
      <c r="Q345" s="3" t="n">
        <f aca="false">INDEX(Summary!$M$2:$M$201,MATCH($B345,Summary!$A$2:$A$201,0))</f>
        <v>1</v>
      </c>
      <c r="R345" s="2" t="n">
        <f aca="false">INDEX(Summary!$N$2:$N$201,MATCH($B345,Summary!$A$2:$A$201,0))</f>
        <v>11.86</v>
      </c>
      <c r="S345" s="3" t="n">
        <f aca="false">INDEX(Summary!$O$2:$O$201,MATCH($B345,Summary!$A$2:$A$201,0))</f>
        <v>8</v>
      </c>
      <c r="T345" s="3" t="n">
        <f aca="false">INDEX(Summary!$P$2:$P$201,MATCH($B345,Summary!$A$2:$A$201,0))</f>
        <v>1</v>
      </c>
      <c r="U345" s="2" t="n">
        <f aca="false">INDEX(Summary!$Q$2:$Q$201,MATCH($B345,Summary!$A$2:$A$201,0))</f>
        <v>12.66</v>
      </c>
      <c r="V345" s="2" t="n">
        <f aca="false">INDEX(Summary!$R$2:$R$201,MATCH($B345,Summary!$A$2:$A$201,0))</f>
        <v>32.54</v>
      </c>
      <c r="W345" s="0" t="str">
        <f aca="false">INDEX(Summary!$S$2:$S$201,MATCH($B345,Summary!$A$2:$A$201,0))</f>
        <v>Gold</v>
      </c>
      <c r="X345" s="2" t="n">
        <f aca="false">INDEX(Summary!$T$2:$T$201,MATCH($B345,Summary!$A$2:$A$201,0))</f>
        <v>79.37</v>
      </c>
      <c r="Y345" s="0" t="str">
        <f aca="false">INDEX('Reward Model'!$E$18:$E$37,MATCH($E345,'Reward Model'!$A$18:$A$37,0))</f>
        <v>Low</v>
      </c>
      <c r="Z345" s="4" t="n">
        <f aca="false">ROUND(MIN(1,MAX('Reward Model'!$B$2,INDEX('Reward Model'!$C$12:$C$14,MATCH($K345,'Reward Model'!$A$12:$A$14,0))/$J345)),3)</f>
        <v>1</v>
      </c>
      <c r="AA345" s="2" t="n">
        <f aca="false">IF($I345="Correct",ROUND(INDEX('Reward Model'!$B$12:$B$14,MATCH($K345,'Reward Model'!$A$12:$A$14,0))*Z345,2),0)</f>
        <v>1</v>
      </c>
      <c r="AB345" s="2" t="n">
        <f aca="false">IF($I345="Correct",ROUND(INDEX('Reward Model'!$B$12:$B$14,MATCH($Y345,'Reward Model'!$A$12:$A$14,0))*Z345,2),0)</f>
        <v>1</v>
      </c>
    </row>
    <row r="346" customFormat="false" ht="15" hidden="false" customHeight="false" outlineLevel="0" collapsed="false">
      <c r="A346" s="0" t="s">
        <v>156</v>
      </c>
      <c r="B346" s="0" t="s">
        <v>157</v>
      </c>
      <c r="C346" s="0" t="s">
        <v>30</v>
      </c>
      <c r="D346" s="0" t="s">
        <v>31</v>
      </c>
      <c r="E346" s="0" t="n">
        <v>5</v>
      </c>
      <c r="F346" s="0" t="s">
        <v>46</v>
      </c>
      <c r="G346" s="0" t="s">
        <v>47</v>
      </c>
      <c r="H346" s="0" t="s">
        <v>47</v>
      </c>
      <c r="I346" s="0" t="s">
        <v>34</v>
      </c>
      <c r="J346" s="0" t="n">
        <v>1.98</v>
      </c>
      <c r="K346" s="0" t="s">
        <v>35</v>
      </c>
      <c r="L346" s="0" t="n">
        <f aca="false">INDEX(Summary!$F$2:$F$201,MATCH($B346,Summary!$A$2:$A$201,0))</f>
        <v>20</v>
      </c>
      <c r="M346" s="0" t="n">
        <f aca="false">INDEX(Summary!$I$2:$I$201,MATCH($B346,Summary!$A$2:$A$201,0))</f>
        <v>4</v>
      </c>
      <c r="N346" s="0" t="n">
        <f aca="false">INDEX(Summary!$J$2:$J$201,MATCH($B346,Summary!$A$2:$A$201,0))</f>
        <v>1</v>
      </c>
      <c r="O346" s="2" t="n">
        <f aca="false">INDEX(Summary!$K$2:$K$201,MATCH($B346,Summary!$A$2:$A$201,0))</f>
        <v>9.4</v>
      </c>
      <c r="P346" s="3" t="n">
        <f aca="false">INDEX(Summary!$L$2:$L$201,MATCH($B346,Summary!$A$2:$A$201,0))</f>
        <v>5</v>
      </c>
      <c r="Q346" s="3" t="n">
        <f aca="false">INDEX(Summary!$M$2:$M$201,MATCH($B346,Summary!$A$2:$A$201,0))</f>
        <v>1</v>
      </c>
      <c r="R346" s="2" t="n">
        <f aca="false">INDEX(Summary!$N$2:$N$201,MATCH($B346,Summary!$A$2:$A$201,0))</f>
        <v>11.86</v>
      </c>
      <c r="S346" s="3" t="n">
        <f aca="false">INDEX(Summary!$O$2:$O$201,MATCH($B346,Summary!$A$2:$A$201,0))</f>
        <v>8</v>
      </c>
      <c r="T346" s="3" t="n">
        <f aca="false">INDEX(Summary!$P$2:$P$201,MATCH($B346,Summary!$A$2:$A$201,0))</f>
        <v>1</v>
      </c>
      <c r="U346" s="2" t="n">
        <f aca="false">INDEX(Summary!$Q$2:$Q$201,MATCH($B346,Summary!$A$2:$A$201,0))</f>
        <v>12.66</v>
      </c>
      <c r="V346" s="2" t="n">
        <f aca="false">INDEX(Summary!$R$2:$R$201,MATCH($B346,Summary!$A$2:$A$201,0))</f>
        <v>32.54</v>
      </c>
      <c r="W346" s="0" t="str">
        <f aca="false">INDEX(Summary!$S$2:$S$201,MATCH($B346,Summary!$A$2:$A$201,0))</f>
        <v>Gold</v>
      </c>
      <c r="X346" s="2" t="n">
        <f aca="false">INDEX(Summary!$T$2:$T$201,MATCH($B346,Summary!$A$2:$A$201,0))</f>
        <v>79.37</v>
      </c>
      <c r="Y346" s="0" t="str">
        <f aca="false">INDEX('Reward Model'!$E$18:$E$37,MATCH($E346,'Reward Model'!$A$18:$A$37,0))</f>
        <v>Low</v>
      </c>
      <c r="Z346" s="4" t="n">
        <f aca="false">ROUND(MIN(1,MAX('Reward Model'!$B$2,INDEX('Reward Model'!$C$12:$C$14,MATCH($K346,'Reward Model'!$A$12:$A$14,0))/$J346)),3)</f>
        <v>0.758</v>
      </c>
      <c r="AA346" s="2" t="n">
        <f aca="false">IF($I346="Correct",ROUND(INDEX('Reward Model'!$B$12:$B$14,MATCH($K346,'Reward Model'!$A$12:$A$14,0))*Z346,2),0)</f>
        <v>0.76</v>
      </c>
      <c r="AB346" s="2" t="n">
        <f aca="false">IF($I346="Correct",ROUND(INDEX('Reward Model'!$B$12:$B$14,MATCH($Y346,'Reward Model'!$A$12:$A$14,0))*Z346,2),0)</f>
        <v>0.76</v>
      </c>
    </row>
    <row r="347" customFormat="false" ht="15" hidden="false" customHeight="false" outlineLevel="0" collapsed="false">
      <c r="A347" s="0" t="s">
        <v>156</v>
      </c>
      <c r="B347" s="0" t="s">
        <v>157</v>
      </c>
      <c r="C347" s="0" t="s">
        <v>30</v>
      </c>
      <c r="D347" s="0" t="s">
        <v>31</v>
      </c>
      <c r="E347" s="0" t="n">
        <v>6</v>
      </c>
      <c r="F347" s="0" t="s">
        <v>48</v>
      </c>
      <c r="G347" s="0" t="s">
        <v>49</v>
      </c>
      <c r="H347" s="0" t="s">
        <v>49</v>
      </c>
      <c r="I347" s="0" t="s">
        <v>34</v>
      </c>
      <c r="J347" s="0" t="n">
        <v>1.62</v>
      </c>
      <c r="K347" s="0" t="s">
        <v>35</v>
      </c>
      <c r="L347" s="0" t="n">
        <f aca="false">INDEX(Summary!$F$2:$F$201,MATCH($B347,Summary!$A$2:$A$201,0))</f>
        <v>20</v>
      </c>
      <c r="M347" s="0" t="n">
        <f aca="false">INDEX(Summary!$I$2:$I$201,MATCH($B347,Summary!$A$2:$A$201,0))</f>
        <v>4</v>
      </c>
      <c r="N347" s="0" t="n">
        <f aca="false">INDEX(Summary!$J$2:$J$201,MATCH($B347,Summary!$A$2:$A$201,0))</f>
        <v>1</v>
      </c>
      <c r="O347" s="2" t="n">
        <f aca="false">INDEX(Summary!$K$2:$K$201,MATCH($B347,Summary!$A$2:$A$201,0))</f>
        <v>9.4</v>
      </c>
      <c r="P347" s="3" t="n">
        <f aca="false">INDEX(Summary!$L$2:$L$201,MATCH($B347,Summary!$A$2:$A$201,0))</f>
        <v>5</v>
      </c>
      <c r="Q347" s="3" t="n">
        <f aca="false">INDEX(Summary!$M$2:$M$201,MATCH($B347,Summary!$A$2:$A$201,0))</f>
        <v>1</v>
      </c>
      <c r="R347" s="2" t="n">
        <f aca="false">INDEX(Summary!$N$2:$N$201,MATCH($B347,Summary!$A$2:$A$201,0))</f>
        <v>11.86</v>
      </c>
      <c r="S347" s="3" t="n">
        <f aca="false">INDEX(Summary!$O$2:$O$201,MATCH($B347,Summary!$A$2:$A$201,0))</f>
        <v>8</v>
      </c>
      <c r="T347" s="3" t="n">
        <f aca="false">INDEX(Summary!$P$2:$P$201,MATCH($B347,Summary!$A$2:$A$201,0))</f>
        <v>1</v>
      </c>
      <c r="U347" s="2" t="n">
        <f aca="false">INDEX(Summary!$Q$2:$Q$201,MATCH($B347,Summary!$A$2:$A$201,0))</f>
        <v>12.66</v>
      </c>
      <c r="V347" s="2" t="n">
        <f aca="false">INDEX(Summary!$R$2:$R$201,MATCH($B347,Summary!$A$2:$A$201,0))</f>
        <v>32.54</v>
      </c>
      <c r="W347" s="0" t="str">
        <f aca="false">INDEX(Summary!$S$2:$S$201,MATCH($B347,Summary!$A$2:$A$201,0))</f>
        <v>Gold</v>
      </c>
      <c r="X347" s="2" t="n">
        <f aca="false">INDEX(Summary!$T$2:$T$201,MATCH($B347,Summary!$A$2:$A$201,0))</f>
        <v>79.37</v>
      </c>
      <c r="Y347" s="0" t="str">
        <f aca="false">INDEX('Reward Model'!$E$18:$E$37,MATCH($E347,'Reward Model'!$A$18:$A$37,0))</f>
        <v>Medium</v>
      </c>
      <c r="Z347" s="4" t="n">
        <f aca="false">ROUND(MIN(1,MAX('Reward Model'!$B$2,INDEX('Reward Model'!$C$12:$C$14,MATCH($K347,'Reward Model'!$A$12:$A$14,0))/$J347)),3)</f>
        <v>0.926</v>
      </c>
      <c r="AA347" s="2" t="n">
        <f aca="false">IF($I347="Correct",ROUND(INDEX('Reward Model'!$B$12:$B$14,MATCH($K347,'Reward Model'!$A$12:$A$14,0))*Z347,2),0)</f>
        <v>0.93</v>
      </c>
      <c r="AB347" s="2" t="n">
        <f aca="false">IF($I347="Correct",ROUND(INDEX('Reward Model'!$B$12:$B$14,MATCH($Y347,'Reward Model'!$A$12:$A$14,0))*Z347,2),0)</f>
        <v>1.85</v>
      </c>
    </row>
    <row r="348" customFormat="false" ht="15" hidden="false" customHeight="false" outlineLevel="0" collapsed="false">
      <c r="A348" s="0" t="s">
        <v>156</v>
      </c>
      <c r="B348" s="0" t="s">
        <v>157</v>
      </c>
      <c r="C348" s="0" t="s">
        <v>30</v>
      </c>
      <c r="D348" s="0" t="s">
        <v>31</v>
      </c>
      <c r="E348" s="0" t="n">
        <v>7</v>
      </c>
      <c r="F348" s="0" t="s">
        <v>50</v>
      </c>
      <c r="G348" s="0" t="s">
        <v>51</v>
      </c>
      <c r="H348" s="0" t="s">
        <v>51</v>
      </c>
      <c r="I348" s="0" t="s">
        <v>34</v>
      </c>
      <c r="J348" s="0" t="n">
        <v>1.41</v>
      </c>
      <c r="K348" s="0" t="s">
        <v>35</v>
      </c>
      <c r="L348" s="0" t="n">
        <f aca="false">INDEX(Summary!$F$2:$F$201,MATCH($B348,Summary!$A$2:$A$201,0))</f>
        <v>20</v>
      </c>
      <c r="M348" s="0" t="n">
        <f aca="false">INDEX(Summary!$I$2:$I$201,MATCH($B348,Summary!$A$2:$A$201,0))</f>
        <v>4</v>
      </c>
      <c r="N348" s="0" t="n">
        <f aca="false">INDEX(Summary!$J$2:$J$201,MATCH($B348,Summary!$A$2:$A$201,0))</f>
        <v>1</v>
      </c>
      <c r="O348" s="2" t="n">
        <f aca="false">INDEX(Summary!$K$2:$K$201,MATCH($B348,Summary!$A$2:$A$201,0))</f>
        <v>9.4</v>
      </c>
      <c r="P348" s="3" t="n">
        <f aca="false">INDEX(Summary!$L$2:$L$201,MATCH($B348,Summary!$A$2:$A$201,0))</f>
        <v>5</v>
      </c>
      <c r="Q348" s="3" t="n">
        <f aca="false">INDEX(Summary!$M$2:$M$201,MATCH($B348,Summary!$A$2:$A$201,0))</f>
        <v>1</v>
      </c>
      <c r="R348" s="2" t="n">
        <f aca="false">INDEX(Summary!$N$2:$N$201,MATCH($B348,Summary!$A$2:$A$201,0))</f>
        <v>11.86</v>
      </c>
      <c r="S348" s="3" t="n">
        <f aca="false">INDEX(Summary!$O$2:$O$201,MATCH($B348,Summary!$A$2:$A$201,0))</f>
        <v>8</v>
      </c>
      <c r="T348" s="3" t="n">
        <f aca="false">INDEX(Summary!$P$2:$P$201,MATCH($B348,Summary!$A$2:$A$201,0))</f>
        <v>1</v>
      </c>
      <c r="U348" s="2" t="n">
        <f aca="false">INDEX(Summary!$Q$2:$Q$201,MATCH($B348,Summary!$A$2:$A$201,0))</f>
        <v>12.66</v>
      </c>
      <c r="V348" s="2" t="n">
        <f aca="false">INDEX(Summary!$R$2:$R$201,MATCH($B348,Summary!$A$2:$A$201,0))</f>
        <v>32.54</v>
      </c>
      <c r="W348" s="0" t="str">
        <f aca="false">INDEX(Summary!$S$2:$S$201,MATCH($B348,Summary!$A$2:$A$201,0))</f>
        <v>Gold</v>
      </c>
      <c r="X348" s="2" t="n">
        <f aca="false">INDEX(Summary!$T$2:$T$201,MATCH($B348,Summary!$A$2:$A$201,0))</f>
        <v>79.37</v>
      </c>
      <c r="Y348" s="0" t="str">
        <f aca="false">INDEX('Reward Model'!$E$18:$E$37,MATCH($E348,'Reward Model'!$A$18:$A$37,0))</f>
        <v>Low</v>
      </c>
      <c r="Z348" s="4" t="n">
        <f aca="false">ROUND(MIN(1,MAX('Reward Model'!$B$2,INDEX('Reward Model'!$C$12:$C$14,MATCH($K348,'Reward Model'!$A$12:$A$14,0))/$J348)),3)</f>
        <v>1</v>
      </c>
      <c r="AA348" s="2" t="n">
        <f aca="false">IF($I348="Correct",ROUND(INDEX('Reward Model'!$B$12:$B$14,MATCH($K348,'Reward Model'!$A$12:$A$14,0))*Z348,2),0)</f>
        <v>1</v>
      </c>
      <c r="AB348" s="2" t="n">
        <f aca="false">IF($I348="Correct",ROUND(INDEX('Reward Model'!$B$12:$B$14,MATCH($Y348,'Reward Model'!$A$12:$A$14,0))*Z348,2),0)</f>
        <v>1</v>
      </c>
    </row>
    <row r="349" customFormat="false" ht="15" hidden="false" customHeight="false" outlineLevel="0" collapsed="false">
      <c r="A349" s="0" t="s">
        <v>156</v>
      </c>
      <c r="B349" s="0" t="s">
        <v>157</v>
      </c>
      <c r="C349" s="0" t="s">
        <v>30</v>
      </c>
      <c r="D349" s="0" t="s">
        <v>31</v>
      </c>
      <c r="E349" s="0" t="n">
        <v>8</v>
      </c>
      <c r="F349" s="0" t="s">
        <v>52</v>
      </c>
      <c r="G349" s="0" t="s">
        <v>54</v>
      </c>
      <c r="H349" s="0" t="s">
        <v>54</v>
      </c>
      <c r="I349" s="0" t="s">
        <v>34</v>
      </c>
      <c r="J349" s="0" t="n">
        <v>0.92</v>
      </c>
      <c r="K349" s="0" t="s">
        <v>35</v>
      </c>
      <c r="L349" s="0" t="n">
        <f aca="false">INDEX(Summary!$F$2:$F$201,MATCH($B349,Summary!$A$2:$A$201,0))</f>
        <v>20</v>
      </c>
      <c r="M349" s="0" t="n">
        <f aca="false">INDEX(Summary!$I$2:$I$201,MATCH($B349,Summary!$A$2:$A$201,0))</f>
        <v>4</v>
      </c>
      <c r="N349" s="0" t="n">
        <f aca="false">INDEX(Summary!$J$2:$J$201,MATCH($B349,Summary!$A$2:$A$201,0))</f>
        <v>1</v>
      </c>
      <c r="O349" s="2" t="n">
        <f aca="false">INDEX(Summary!$K$2:$K$201,MATCH($B349,Summary!$A$2:$A$201,0))</f>
        <v>9.4</v>
      </c>
      <c r="P349" s="3" t="n">
        <f aca="false">INDEX(Summary!$L$2:$L$201,MATCH($B349,Summary!$A$2:$A$201,0))</f>
        <v>5</v>
      </c>
      <c r="Q349" s="3" t="n">
        <f aca="false">INDEX(Summary!$M$2:$M$201,MATCH($B349,Summary!$A$2:$A$201,0))</f>
        <v>1</v>
      </c>
      <c r="R349" s="2" t="n">
        <f aca="false">INDEX(Summary!$N$2:$N$201,MATCH($B349,Summary!$A$2:$A$201,0))</f>
        <v>11.86</v>
      </c>
      <c r="S349" s="3" t="n">
        <f aca="false">INDEX(Summary!$O$2:$O$201,MATCH($B349,Summary!$A$2:$A$201,0))</f>
        <v>8</v>
      </c>
      <c r="T349" s="3" t="n">
        <f aca="false">INDEX(Summary!$P$2:$P$201,MATCH($B349,Summary!$A$2:$A$201,0))</f>
        <v>1</v>
      </c>
      <c r="U349" s="2" t="n">
        <f aca="false">INDEX(Summary!$Q$2:$Q$201,MATCH($B349,Summary!$A$2:$A$201,0))</f>
        <v>12.66</v>
      </c>
      <c r="V349" s="2" t="n">
        <f aca="false">INDEX(Summary!$R$2:$R$201,MATCH($B349,Summary!$A$2:$A$201,0))</f>
        <v>32.54</v>
      </c>
      <c r="W349" s="0" t="str">
        <f aca="false">INDEX(Summary!$S$2:$S$201,MATCH($B349,Summary!$A$2:$A$201,0))</f>
        <v>Gold</v>
      </c>
      <c r="X349" s="2" t="n">
        <f aca="false">INDEX(Summary!$T$2:$T$201,MATCH($B349,Summary!$A$2:$A$201,0))</f>
        <v>79.37</v>
      </c>
      <c r="Y349" s="0" t="str">
        <f aca="false">INDEX('Reward Model'!$E$18:$E$37,MATCH($E349,'Reward Model'!$A$18:$A$37,0))</f>
        <v>Medium</v>
      </c>
      <c r="Z349" s="4" t="n">
        <f aca="false">ROUND(MIN(1,MAX('Reward Model'!$B$2,INDEX('Reward Model'!$C$12:$C$14,MATCH($K349,'Reward Model'!$A$12:$A$14,0))/$J349)),3)</f>
        <v>1</v>
      </c>
      <c r="AA349" s="2" t="n">
        <f aca="false">IF($I349="Correct",ROUND(INDEX('Reward Model'!$B$12:$B$14,MATCH($K349,'Reward Model'!$A$12:$A$14,0))*Z349,2),0)</f>
        <v>1</v>
      </c>
      <c r="AB349" s="2" t="n">
        <f aca="false">IF($I349="Correct",ROUND(INDEX('Reward Model'!$B$12:$B$14,MATCH($Y349,'Reward Model'!$A$12:$A$14,0))*Z349,2),0)</f>
        <v>2</v>
      </c>
    </row>
    <row r="350" customFormat="false" ht="15" hidden="false" customHeight="false" outlineLevel="0" collapsed="false">
      <c r="A350" s="0" t="s">
        <v>156</v>
      </c>
      <c r="B350" s="0" t="s">
        <v>157</v>
      </c>
      <c r="C350" s="0" t="s">
        <v>30</v>
      </c>
      <c r="D350" s="0" t="s">
        <v>31</v>
      </c>
      <c r="E350" s="0" t="n">
        <v>9</v>
      </c>
      <c r="F350" s="0" t="s">
        <v>55</v>
      </c>
      <c r="G350" s="0" t="s">
        <v>57</v>
      </c>
      <c r="H350" s="0" t="s">
        <v>57</v>
      </c>
      <c r="I350" s="0" t="s">
        <v>34</v>
      </c>
      <c r="J350" s="0" t="n">
        <v>0.98</v>
      </c>
      <c r="K350" s="0" t="s">
        <v>35</v>
      </c>
      <c r="L350" s="0" t="n">
        <f aca="false">INDEX(Summary!$F$2:$F$201,MATCH($B350,Summary!$A$2:$A$201,0))</f>
        <v>20</v>
      </c>
      <c r="M350" s="0" t="n">
        <f aca="false">INDEX(Summary!$I$2:$I$201,MATCH($B350,Summary!$A$2:$A$201,0))</f>
        <v>4</v>
      </c>
      <c r="N350" s="0" t="n">
        <f aca="false">INDEX(Summary!$J$2:$J$201,MATCH($B350,Summary!$A$2:$A$201,0))</f>
        <v>1</v>
      </c>
      <c r="O350" s="2" t="n">
        <f aca="false">INDEX(Summary!$K$2:$K$201,MATCH($B350,Summary!$A$2:$A$201,0))</f>
        <v>9.4</v>
      </c>
      <c r="P350" s="3" t="n">
        <f aca="false">INDEX(Summary!$L$2:$L$201,MATCH($B350,Summary!$A$2:$A$201,0))</f>
        <v>5</v>
      </c>
      <c r="Q350" s="3" t="n">
        <f aca="false">INDEX(Summary!$M$2:$M$201,MATCH($B350,Summary!$A$2:$A$201,0))</f>
        <v>1</v>
      </c>
      <c r="R350" s="2" t="n">
        <f aca="false">INDEX(Summary!$N$2:$N$201,MATCH($B350,Summary!$A$2:$A$201,0))</f>
        <v>11.86</v>
      </c>
      <c r="S350" s="3" t="n">
        <f aca="false">INDEX(Summary!$O$2:$O$201,MATCH($B350,Summary!$A$2:$A$201,0))</f>
        <v>8</v>
      </c>
      <c r="T350" s="3" t="n">
        <f aca="false">INDEX(Summary!$P$2:$P$201,MATCH($B350,Summary!$A$2:$A$201,0))</f>
        <v>1</v>
      </c>
      <c r="U350" s="2" t="n">
        <f aca="false">INDEX(Summary!$Q$2:$Q$201,MATCH($B350,Summary!$A$2:$A$201,0))</f>
        <v>12.66</v>
      </c>
      <c r="V350" s="2" t="n">
        <f aca="false">INDEX(Summary!$R$2:$R$201,MATCH($B350,Summary!$A$2:$A$201,0))</f>
        <v>32.54</v>
      </c>
      <c r="W350" s="0" t="str">
        <f aca="false">INDEX(Summary!$S$2:$S$201,MATCH($B350,Summary!$A$2:$A$201,0))</f>
        <v>Gold</v>
      </c>
      <c r="X350" s="2" t="n">
        <f aca="false">INDEX(Summary!$T$2:$T$201,MATCH($B350,Summary!$A$2:$A$201,0))</f>
        <v>79.37</v>
      </c>
      <c r="Y350" s="0" t="str">
        <f aca="false">INDEX('Reward Model'!$E$18:$E$37,MATCH($E350,'Reward Model'!$A$18:$A$37,0))</f>
        <v>Medium</v>
      </c>
      <c r="Z350" s="4" t="n">
        <f aca="false">ROUND(MIN(1,MAX('Reward Model'!$B$2,INDEX('Reward Model'!$C$12:$C$14,MATCH($K350,'Reward Model'!$A$12:$A$14,0))/$J350)),3)</f>
        <v>1</v>
      </c>
      <c r="AA350" s="2" t="n">
        <f aca="false">IF($I350="Correct",ROUND(INDEX('Reward Model'!$B$12:$B$14,MATCH($K350,'Reward Model'!$A$12:$A$14,0))*Z350,2),0)</f>
        <v>1</v>
      </c>
      <c r="AB350" s="2" t="n">
        <f aca="false">IF($I350="Correct",ROUND(INDEX('Reward Model'!$B$12:$B$14,MATCH($Y350,'Reward Model'!$A$12:$A$14,0))*Z350,2),0)</f>
        <v>2</v>
      </c>
    </row>
    <row r="351" customFormat="false" ht="15" hidden="false" customHeight="false" outlineLevel="0" collapsed="false">
      <c r="A351" s="0" t="s">
        <v>156</v>
      </c>
      <c r="B351" s="0" t="s">
        <v>157</v>
      </c>
      <c r="C351" s="0" t="s">
        <v>30</v>
      </c>
      <c r="D351" s="0" t="s">
        <v>31</v>
      </c>
      <c r="E351" s="0" t="n">
        <v>10</v>
      </c>
      <c r="F351" s="0" t="s">
        <v>58</v>
      </c>
      <c r="G351" s="0" t="s">
        <v>59</v>
      </c>
      <c r="H351" s="0" t="s">
        <v>59</v>
      </c>
      <c r="I351" s="0" t="s">
        <v>34</v>
      </c>
      <c r="J351" s="0" t="n">
        <v>2</v>
      </c>
      <c r="K351" s="0" t="s">
        <v>60</v>
      </c>
      <c r="L351" s="0" t="n">
        <f aca="false">INDEX(Summary!$F$2:$F$201,MATCH($B351,Summary!$A$2:$A$201,0))</f>
        <v>20</v>
      </c>
      <c r="M351" s="0" t="n">
        <f aca="false">INDEX(Summary!$I$2:$I$201,MATCH($B351,Summary!$A$2:$A$201,0))</f>
        <v>4</v>
      </c>
      <c r="N351" s="0" t="n">
        <f aca="false">INDEX(Summary!$J$2:$J$201,MATCH($B351,Summary!$A$2:$A$201,0))</f>
        <v>1</v>
      </c>
      <c r="O351" s="2" t="n">
        <f aca="false">INDEX(Summary!$K$2:$K$201,MATCH($B351,Summary!$A$2:$A$201,0))</f>
        <v>9.4</v>
      </c>
      <c r="P351" s="3" t="n">
        <f aca="false">INDEX(Summary!$L$2:$L$201,MATCH($B351,Summary!$A$2:$A$201,0))</f>
        <v>5</v>
      </c>
      <c r="Q351" s="3" t="n">
        <f aca="false">INDEX(Summary!$M$2:$M$201,MATCH($B351,Summary!$A$2:$A$201,0))</f>
        <v>1</v>
      </c>
      <c r="R351" s="2" t="n">
        <f aca="false">INDEX(Summary!$N$2:$N$201,MATCH($B351,Summary!$A$2:$A$201,0))</f>
        <v>11.86</v>
      </c>
      <c r="S351" s="3" t="n">
        <f aca="false">INDEX(Summary!$O$2:$O$201,MATCH($B351,Summary!$A$2:$A$201,0))</f>
        <v>8</v>
      </c>
      <c r="T351" s="3" t="n">
        <f aca="false">INDEX(Summary!$P$2:$P$201,MATCH($B351,Summary!$A$2:$A$201,0))</f>
        <v>1</v>
      </c>
      <c r="U351" s="2" t="n">
        <f aca="false">INDEX(Summary!$Q$2:$Q$201,MATCH($B351,Summary!$A$2:$A$201,0))</f>
        <v>12.66</v>
      </c>
      <c r="V351" s="2" t="n">
        <f aca="false">INDEX(Summary!$R$2:$R$201,MATCH($B351,Summary!$A$2:$A$201,0))</f>
        <v>32.54</v>
      </c>
      <c r="W351" s="0" t="str">
        <f aca="false">INDEX(Summary!$S$2:$S$201,MATCH($B351,Summary!$A$2:$A$201,0))</f>
        <v>Gold</v>
      </c>
      <c r="X351" s="2" t="n">
        <f aca="false">INDEX(Summary!$T$2:$T$201,MATCH($B351,Summary!$A$2:$A$201,0))</f>
        <v>79.37</v>
      </c>
      <c r="Y351" s="0" t="str">
        <f aca="false">INDEX('Reward Model'!$E$18:$E$37,MATCH($E351,'Reward Model'!$A$18:$A$37,0))</f>
        <v>Medium</v>
      </c>
      <c r="Z351" s="4" t="n">
        <f aca="false">ROUND(MIN(1,MAX('Reward Model'!$B$2,INDEX('Reward Model'!$C$12:$C$14,MATCH($K351,'Reward Model'!$A$12:$A$14,0))/$J351)),3)</f>
        <v>0.9</v>
      </c>
      <c r="AA351" s="2" t="n">
        <f aca="false">IF($I351="Correct",ROUND(INDEX('Reward Model'!$B$12:$B$14,MATCH($K351,'Reward Model'!$A$12:$A$14,0))*Z351,2),0)</f>
        <v>1.8</v>
      </c>
      <c r="AB351" s="2" t="n">
        <f aca="false">IF($I351="Correct",ROUND(INDEX('Reward Model'!$B$12:$B$14,MATCH($Y351,'Reward Model'!$A$12:$A$14,0))*Z351,2),0)</f>
        <v>1.8</v>
      </c>
    </row>
    <row r="352" customFormat="false" ht="15" hidden="false" customHeight="false" outlineLevel="0" collapsed="false">
      <c r="A352" s="0" t="s">
        <v>156</v>
      </c>
      <c r="B352" s="0" t="s">
        <v>157</v>
      </c>
      <c r="C352" s="0" t="s">
        <v>30</v>
      </c>
      <c r="D352" s="0" t="s">
        <v>31</v>
      </c>
      <c r="E352" s="0" t="n">
        <v>11</v>
      </c>
      <c r="F352" s="0" t="s">
        <v>61</v>
      </c>
      <c r="G352" s="0" t="s">
        <v>62</v>
      </c>
      <c r="H352" s="0" t="s">
        <v>63</v>
      </c>
      <c r="I352" s="0" t="s">
        <v>39</v>
      </c>
      <c r="J352" s="0" t="n">
        <v>2.14</v>
      </c>
      <c r="K352" s="0" t="s">
        <v>60</v>
      </c>
      <c r="L352" s="0" t="n">
        <f aca="false">INDEX(Summary!$F$2:$F$201,MATCH($B352,Summary!$A$2:$A$201,0))</f>
        <v>20</v>
      </c>
      <c r="M352" s="0" t="n">
        <f aca="false">INDEX(Summary!$I$2:$I$201,MATCH($B352,Summary!$A$2:$A$201,0))</f>
        <v>4</v>
      </c>
      <c r="N352" s="0" t="n">
        <f aca="false">INDEX(Summary!$J$2:$J$201,MATCH($B352,Summary!$A$2:$A$201,0))</f>
        <v>1</v>
      </c>
      <c r="O352" s="2" t="n">
        <f aca="false">INDEX(Summary!$K$2:$K$201,MATCH($B352,Summary!$A$2:$A$201,0))</f>
        <v>9.4</v>
      </c>
      <c r="P352" s="3" t="n">
        <f aca="false">INDEX(Summary!$L$2:$L$201,MATCH($B352,Summary!$A$2:$A$201,0))</f>
        <v>5</v>
      </c>
      <c r="Q352" s="3" t="n">
        <f aca="false">INDEX(Summary!$M$2:$M$201,MATCH($B352,Summary!$A$2:$A$201,0))</f>
        <v>1</v>
      </c>
      <c r="R352" s="2" t="n">
        <f aca="false">INDEX(Summary!$N$2:$N$201,MATCH($B352,Summary!$A$2:$A$201,0))</f>
        <v>11.86</v>
      </c>
      <c r="S352" s="3" t="n">
        <f aca="false">INDEX(Summary!$O$2:$O$201,MATCH($B352,Summary!$A$2:$A$201,0))</f>
        <v>8</v>
      </c>
      <c r="T352" s="3" t="n">
        <f aca="false">INDEX(Summary!$P$2:$P$201,MATCH($B352,Summary!$A$2:$A$201,0))</f>
        <v>1</v>
      </c>
      <c r="U352" s="2" t="n">
        <f aca="false">INDEX(Summary!$Q$2:$Q$201,MATCH($B352,Summary!$A$2:$A$201,0))</f>
        <v>12.66</v>
      </c>
      <c r="V352" s="2" t="n">
        <f aca="false">INDEX(Summary!$R$2:$R$201,MATCH($B352,Summary!$A$2:$A$201,0))</f>
        <v>32.54</v>
      </c>
      <c r="W352" s="0" t="str">
        <f aca="false">INDEX(Summary!$S$2:$S$201,MATCH($B352,Summary!$A$2:$A$201,0))</f>
        <v>Gold</v>
      </c>
      <c r="X352" s="2" t="n">
        <f aca="false">INDEX(Summary!$T$2:$T$201,MATCH($B352,Summary!$A$2:$A$201,0))</f>
        <v>79.37</v>
      </c>
      <c r="Y352" s="0" t="str">
        <f aca="false">INDEX('Reward Model'!$E$18:$E$37,MATCH($E352,'Reward Model'!$A$18:$A$37,0))</f>
        <v>Medium</v>
      </c>
      <c r="Z352" s="4" t="n">
        <f aca="false">ROUND(MIN(1,MAX('Reward Model'!$B$2,INDEX('Reward Model'!$C$12:$C$14,MATCH($K352,'Reward Model'!$A$12:$A$14,0))/$J352)),3)</f>
        <v>0.841</v>
      </c>
      <c r="AA352" s="2" t="n">
        <f aca="false">IF($I352="Correct",ROUND(INDEX('Reward Model'!$B$12:$B$14,MATCH($K352,'Reward Model'!$A$12:$A$14,0))*Z352,2),0)</f>
        <v>0</v>
      </c>
      <c r="AB352" s="2" t="n">
        <f aca="false">IF($I352="Correct",ROUND(INDEX('Reward Model'!$B$12:$B$14,MATCH($Y352,'Reward Model'!$A$12:$A$14,0))*Z352,2),0)</f>
        <v>0</v>
      </c>
    </row>
    <row r="353" customFormat="false" ht="15" hidden="false" customHeight="false" outlineLevel="0" collapsed="false">
      <c r="A353" s="0" t="s">
        <v>156</v>
      </c>
      <c r="B353" s="0" t="s">
        <v>157</v>
      </c>
      <c r="C353" s="0" t="s">
        <v>30</v>
      </c>
      <c r="D353" s="0" t="s">
        <v>31</v>
      </c>
      <c r="E353" s="0" t="n">
        <v>12</v>
      </c>
      <c r="F353" s="0" t="s">
        <v>64</v>
      </c>
      <c r="G353" s="0" t="s">
        <v>65</v>
      </c>
      <c r="H353" s="0" t="s">
        <v>65</v>
      </c>
      <c r="I353" s="0" t="s">
        <v>34</v>
      </c>
      <c r="J353" s="0" t="n">
        <v>2.03</v>
      </c>
      <c r="K353" s="0" t="s">
        <v>60</v>
      </c>
      <c r="L353" s="0" t="n">
        <f aca="false">INDEX(Summary!$F$2:$F$201,MATCH($B353,Summary!$A$2:$A$201,0))</f>
        <v>20</v>
      </c>
      <c r="M353" s="0" t="n">
        <f aca="false">INDEX(Summary!$I$2:$I$201,MATCH($B353,Summary!$A$2:$A$201,0))</f>
        <v>4</v>
      </c>
      <c r="N353" s="0" t="n">
        <f aca="false">INDEX(Summary!$J$2:$J$201,MATCH($B353,Summary!$A$2:$A$201,0))</f>
        <v>1</v>
      </c>
      <c r="O353" s="2" t="n">
        <f aca="false">INDEX(Summary!$K$2:$K$201,MATCH($B353,Summary!$A$2:$A$201,0))</f>
        <v>9.4</v>
      </c>
      <c r="P353" s="3" t="n">
        <f aca="false">INDEX(Summary!$L$2:$L$201,MATCH($B353,Summary!$A$2:$A$201,0))</f>
        <v>5</v>
      </c>
      <c r="Q353" s="3" t="n">
        <f aca="false">INDEX(Summary!$M$2:$M$201,MATCH($B353,Summary!$A$2:$A$201,0))</f>
        <v>1</v>
      </c>
      <c r="R353" s="2" t="n">
        <f aca="false">INDEX(Summary!$N$2:$N$201,MATCH($B353,Summary!$A$2:$A$201,0))</f>
        <v>11.86</v>
      </c>
      <c r="S353" s="3" t="n">
        <f aca="false">INDEX(Summary!$O$2:$O$201,MATCH($B353,Summary!$A$2:$A$201,0))</f>
        <v>8</v>
      </c>
      <c r="T353" s="3" t="n">
        <f aca="false">INDEX(Summary!$P$2:$P$201,MATCH($B353,Summary!$A$2:$A$201,0))</f>
        <v>1</v>
      </c>
      <c r="U353" s="2" t="n">
        <f aca="false">INDEX(Summary!$Q$2:$Q$201,MATCH($B353,Summary!$A$2:$A$201,0))</f>
        <v>12.66</v>
      </c>
      <c r="V353" s="2" t="n">
        <f aca="false">INDEX(Summary!$R$2:$R$201,MATCH($B353,Summary!$A$2:$A$201,0))</f>
        <v>32.54</v>
      </c>
      <c r="W353" s="0" t="str">
        <f aca="false">INDEX(Summary!$S$2:$S$201,MATCH($B353,Summary!$A$2:$A$201,0))</f>
        <v>Gold</v>
      </c>
      <c r="X353" s="2" t="n">
        <f aca="false">INDEX(Summary!$T$2:$T$201,MATCH($B353,Summary!$A$2:$A$201,0))</f>
        <v>79.37</v>
      </c>
      <c r="Y353" s="0" t="str">
        <f aca="false">INDEX('Reward Model'!$E$18:$E$37,MATCH($E353,'Reward Model'!$A$18:$A$37,0))</f>
        <v>Medium</v>
      </c>
      <c r="Z353" s="4" t="n">
        <f aca="false">ROUND(MIN(1,MAX('Reward Model'!$B$2,INDEX('Reward Model'!$C$12:$C$14,MATCH($K353,'Reward Model'!$A$12:$A$14,0))/$J353)),3)</f>
        <v>0.887</v>
      </c>
      <c r="AA353" s="2" t="n">
        <f aca="false">IF($I353="Correct",ROUND(INDEX('Reward Model'!$B$12:$B$14,MATCH($K353,'Reward Model'!$A$12:$A$14,0))*Z353,2),0)</f>
        <v>1.77</v>
      </c>
      <c r="AB353" s="2" t="n">
        <f aca="false">IF($I353="Correct",ROUND(INDEX('Reward Model'!$B$12:$B$14,MATCH($Y353,'Reward Model'!$A$12:$A$14,0))*Z353,2),0)</f>
        <v>1.77</v>
      </c>
    </row>
    <row r="354" customFormat="false" ht="15" hidden="false" customHeight="false" outlineLevel="0" collapsed="false">
      <c r="A354" s="0" t="s">
        <v>156</v>
      </c>
      <c r="B354" s="0" t="s">
        <v>157</v>
      </c>
      <c r="C354" s="0" t="s">
        <v>30</v>
      </c>
      <c r="D354" s="0" t="s">
        <v>31</v>
      </c>
      <c r="E354" s="0" t="n">
        <v>13</v>
      </c>
      <c r="F354" s="0" t="s">
        <v>66</v>
      </c>
      <c r="G354" s="0" t="s">
        <v>67</v>
      </c>
      <c r="H354" s="0" t="s">
        <v>67</v>
      </c>
      <c r="I354" s="0" t="s">
        <v>34</v>
      </c>
      <c r="J354" s="0" t="n">
        <v>2.09</v>
      </c>
      <c r="K354" s="0" t="s">
        <v>60</v>
      </c>
      <c r="L354" s="0" t="n">
        <f aca="false">INDEX(Summary!$F$2:$F$201,MATCH($B354,Summary!$A$2:$A$201,0))</f>
        <v>20</v>
      </c>
      <c r="M354" s="0" t="n">
        <f aca="false">INDEX(Summary!$I$2:$I$201,MATCH($B354,Summary!$A$2:$A$201,0))</f>
        <v>4</v>
      </c>
      <c r="N354" s="0" t="n">
        <f aca="false">INDEX(Summary!$J$2:$J$201,MATCH($B354,Summary!$A$2:$A$201,0))</f>
        <v>1</v>
      </c>
      <c r="O354" s="2" t="n">
        <f aca="false">INDEX(Summary!$K$2:$K$201,MATCH($B354,Summary!$A$2:$A$201,0))</f>
        <v>9.4</v>
      </c>
      <c r="P354" s="3" t="n">
        <f aca="false">INDEX(Summary!$L$2:$L$201,MATCH($B354,Summary!$A$2:$A$201,0))</f>
        <v>5</v>
      </c>
      <c r="Q354" s="3" t="n">
        <f aca="false">INDEX(Summary!$M$2:$M$201,MATCH($B354,Summary!$A$2:$A$201,0))</f>
        <v>1</v>
      </c>
      <c r="R354" s="2" t="n">
        <f aca="false">INDEX(Summary!$N$2:$N$201,MATCH($B354,Summary!$A$2:$A$201,0))</f>
        <v>11.86</v>
      </c>
      <c r="S354" s="3" t="n">
        <f aca="false">INDEX(Summary!$O$2:$O$201,MATCH($B354,Summary!$A$2:$A$201,0))</f>
        <v>8</v>
      </c>
      <c r="T354" s="3" t="n">
        <f aca="false">INDEX(Summary!$P$2:$P$201,MATCH($B354,Summary!$A$2:$A$201,0))</f>
        <v>1</v>
      </c>
      <c r="U354" s="2" t="n">
        <f aca="false">INDEX(Summary!$Q$2:$Q$201,MATCH($B354,Summary!$A$2:$A$201,0))</f>
        <v>12.66</v>
      </c>
      <c r="V354" s="2" t="n">
        <f aca="false">INDEX(Summary!$R$2:$R$201,MATCH($B354,Summary!$A$2:$A$201,0))</f>
        <v>32.54</v>
      </c>
      <c r="W354" s="0" t="str">
        <f aca="false">INDEX(Summary!$S$2:$S$201,MATCH($B354,Summary!$A$2:$A$201,0))</f>
        <v>Gold</v>
      </c>
      <c r="X354" s="2" t="n">
        <f aca="false">INDEX(Summary!$T$2:$T$201,MATCH($B354,Summary!$A$2:$A$201,0))</f>
        <v>79.37</v>
      </c>
      <c r="Y354" s="0" t="str">
        <f aca="false">INDEX('Reward Model'!$E$18:$E$37,MATCH($E354,'Reward Model'!$A$18:$A$37,0))</f>
        <v>Medium</v>
      </c>
      <c r="Z354" s="4" t="n">
        <f aca="false">ROUND(MIN(1,MAX('Reward Model'!$B$2,INDEX('Reward Model'!$C$12:$C$14,MATCH($K354,'Reward Model'!$A$12:$A$14,0))/$J354)),3)</f>
        <v>0.861</v>
      </c>
      <c r="AA354" s="2" t="n">
        <f aca="false">IF($I354="Correct",ROUND(INDEX('Reward Model'!$B$12:$B$14,MATCH($K354,'Reward Model'!$A$12:$A$14,0))*Z354,2),0)</f>
        <v>1.72</v>
      </c>
      <c r="AB354" s="2" t="n">
        <f aca="false">IF($I354="Correct",ROUND(INDEX('Reward Model'!$B$12:$B$14,MATCH($Y354,'Reward Model'!$A$12:$A$14,0))*Z354,2),0)</f>
        <v>1.72</v>
      </c>
    </row>
    <row r="355" customFormat="false" ht="15" hidden="false" customHeight="false" outlineLevel="0" collapsed="false">
      <c r="A355" s="0" t="s">
        <v>156</v>
      </c>
      <c r="B355" s="0" t="s">
        <v>157</v>
      </c>
      <c r="C355" s="0" t="s">
        <v>30</v>
      </c>
      <c r="D355" s="0" t="s">
        <v>31</v>
      </c>
      <c r="E355" s="0" t="n">
        <v>14</v>
      </c>
      <c r="F355" s="0" t="s">
        <v>68</v>
      </c>
      <c r="G355" s="0" t="s">
        <v>51</v>
      </c>
      <c r="H355" s="0" t="s">
        <v>51</v>
      </c>
      <c r="I355" s="0" t="s">
        <v>34</v>
      </c>
      <c r="J355" s="0" t="n">
        <v>1.67</v>
      </c>
      <c r="K355" s="0" t="s">
        <v>60</v>
      </c>
      <c r="L355" s="0" t="n">
        <f aca="false">INDEX(Summary!$F$2:$F$201,MATCH($B355,Summary!$A$2:$A$201,0))</f>
        <v>20</v>
      </c>
      <c r="M355" s="0" t="n">
        <f aca="false">INDEX(Summary!$I$2:$I$201,MATCH($B355,Summary!$A$2:$A$201,0))</f>
        <v>4</v>
      </c>
      <c r="N355" s="0" t="n">
        <f aca="false">INDEX(Summary!$J$2:$J$201,MATCH($B355,Summary!$A$2:$A$201,0))</f>
        <v>1</v>
      </c>
      <c r="O355" s="2" t="n">
        <f aca="false">INDEX(Summary!$K$2:$K$201,MATCH($B355,Summary!$A$2:$A$201,0))</f>
        <v>9.4</v>
      </c>
      <c r="P355" s="3" t="n">
        <f aca="false">INDEX(Summary!$L$2:$L$201,MATCH($B355,Summary!$A$2:$A$201,0))</f>
        <v>5</v>
      </c>
      <c r="Q355" s="3" t="n">
        <f aca="false">INDEX(Summary!$M$2:$M$201,MATCH($B355,Summary!$A$2:$A$201,0))</f>
        <v>1</v>
      </c>
      <c r="R355" s="2" t="n">
        <f aca="false">INDEX(Summary!$N$2:$N$201,MATCH($B355,Summary!$A$2:$A$201,0))</f>
        <v>11.86</v>
      </c>
      <c r="S355" s="3" t="n">
        <f aca="false">INDEX(Summary!$O$2:$O$201,MATCH($B355,Summary!$A$2:$A$201,0))</f>
        <v>8</v>
      </c>
      <c r="T355" s="3" t="n">
        <f aca="false">INDEX(Summary!$P$2:$P$201,MATCH($B355,Summary!$A$2:$A$201,0))</f>
        <v>1</v>
      </c>
      <c r="U355" s="2" t="n">
        <f aca="false">INDEX(Summary!$Q$2:$Q$201,MATCH($B355,Summary!$A$2:$A$201,0))</f>
        <v>12.66</v>
      </c>
      <c r="V355" s="2" t="n">
        <f aca="false">INDEX(Summary!$R$2:$R$201,MATCH($B355,Summary!$A$2:$A$201,0))</f>
        <v>32.54</v>
      </c>
      <c r="W355" s="0" t="str">
        <f aca="false">INDEX(Summary!$S$2:$S$201,MATCH($B355,Summary!$A$2:$A$201,0))</f>
        <v>Gold</v>
      </c>
      <c r="X355" s="2" t="n">
        <f aca="false">INDEX(Summary!$T$2:$T$201,MATCH($B355,Summary!$A$2:$A$201,0))</f>
        <v>79.37</v>
      </c>
      <c r="Y355" s="0" t="str">
        <f aca="false">INDEX('Reward Model'!$E$18:$E$37,MATCH($E355,'Reward Model'!$A$18:$A$37,0))</f>
        <v>Medium</v>
      </c>
      <c r="Z355" s="4" t="n">
        <f aca="false">ROUND(MIN(1,MAX('Reward Model'!$B$2,INDEX('Reward Model'!$C$12:$C$14,MATCH($K355,'Reward Model'!$A$12:$A$14,0))/$J355)),3)</f>
        <v>1</v>
      </c>
      <c r="AA355" s="2" t="n">
        <f aca="false">IF($I355="Correct",ROUND(INDEX('Reward Model'!$B$12:$B$14,MATCH($K355,'Reward Model'!$A$12:$A$14,0))*Z355,2),0)</f>
        <v>2</v>
      </c>
      <c r="AB355" s="2" t="n">
        <f aca="false">IF($I355="Correct",ROUND(INDEX('Reward Model'!$B$12:$B$14,MATCH($Y355,'Reward Model'!$A$12:$A$14,0))*Z355,2),0)</f>
        <v>2</v>
      </c>
    </row>
    <row r="356" customFormat="false" ht="15" hidden="false" customHeight="false" outlineLevel="0" collapsed="false">
      <c r="A356" s="0" t="s">
        <v>156</v>
      </c>
      <c r="B356" s="0" t="s">
        <v>157</v>
      </c>
      <c r="C356" s="0" t="s">
        <v>30</v>
      </c>
      <c r="D356" s="0" t="s">
        <v>31</v>
      </c>
      <c r="E356" s="0" t="n">
        <v>15</v>
      </c>
      <c r="F356" s="0" t="s">
        <v>69</v>
      </c>
      <c r="G356" s="0" t="s">
        <v>70</v>
      </c>
      <c r="H356" s="0" t="s">
        <v>70</v>
      </c>
      <c r="I356" s="0" t="s">
        <v>34</v>
      </c>
      <c r="J356" s="0" t="n">
        <v>1.93</v>
      </c>
      <c r="K356" s="0" t="s">
        <v>60</v>
      </c>
      <c r="L356" s="0" t="n">
        <f aca="false">INDEX(Summary!$F$2:$F$201,MATCH($B356,Summary!$A$2:$A$201,0))</f>
        <v>20</v>
      </c>
      <c r="M356" s="0" t="n">
        <f aca="false">INDEX(Summary!$I$2:$I$201,MATCH($B356,Summary!$A$2:$A$201,0))</f>
        <v>4</v>
      </c>
      <c r="N356" s="0" t="n">
        <f aca="false">INDEX(Summary!$J$2:$J$201,MATCH($B356,Summary!$A$2:$A$201,0))</f>
        <v>1</v>
      </c>
      <c r="O356" s="2" t="n">
        <f aca="false">INDEX(Summary!$K$2:$K$201,MATCH($B356,Summary!$A$2:$A$201,0))</f>
        <v>9.4</v>
      </c>
      <c r="P356" s="3" t="n">
        <f aca="false">INDEX(Summary!$L$2:$L$201,MATCH($B356,Summary!$A$2:$A$201,0))</f>
        <v>5</v>
      </c>
      <c r="Q356" s="3" t="n">
        <f aca="false">INDEX(Summary!$M$2:$M$201,MATCH($B356,Summary!$A$2:$A$201,0))</f>
        <v>1</v>
      </c>
      <c r="R356" s="2" t="n">
        <f aca="false">INDEX(Summary!$N$2:$N$201,MATCH($B356,Summary!$A$2:$A$201,0))</f>
        <v>11.86</v>
      </c>
      <c r="S356" s="3" t="n">
        <f aca="false">INDEX(Summary!$O$2:$O$201,MATCH($B356,Summary!$A$2:$A$201,0))</f>
        <v>8</v>
      </c>
      <c r="T356" s="3" t="n">
        <f aca="false">INDEX(Summary!$P$2:$P$201,MATCH($B356,Summary!$A$2:$A$201,0))</f>
        <v>1</v>
      </c>
      <c r="U356" s="2" t="n">
        <f aca="false">INDEX(Summary!$Q$2:$Q$201,MATCH($B356,Summary!$A$2:$A$201,0))</f>
        <v>12.66</v>
      </c>
      <c r="V356" s="2" t="n">
        <f aca="false">INDEX(Summary!$R$2:$R$201,MATCH($B356,Summary!$A$2:$A$201,0))</f>
        <v>32.54</v>
      </c>
      <c r="W356" s="0" t="str">
        <f aca="false">INDEX(Summary!$S$2:$S$201,MATCH($B356,Summary!$A$2:$A$201,0))</f>
        <v>Gold</v>
      </c>
      <c r="X356" s="2" t="n">
        <f aca="false">INDEX(Summary!$T$2:$T$201,MATCH($B356,Summary!$A$2:$A$201,0))</f>
        <v>79.37</v>
      </c>
      <c r="Y356" s="0" t="str">
        <f aca="false">INDEX('Reward Model'!$E$18:$E$37,MATCH($E356,'Reward Model'!$A$18:$A$37,0))</f>
        <v>Medium</v>
      </c>
      <c r="Z356" s="4" t="n">
        <f aca="false">ROUND(MIN(1,MAX('Reward Model'!$B$2,INDEX('Reward Model'!$C$12:$C$14,MATCH($K356,'Reward Model'!$A$12:$A$14,0))/$J356)),3)</f>
        <v>0.933</v>
      </c>
      <c r="AA356" s="2" t="n">
        <f aca="false">IF($I356="Correct",ROUND(INDEX('Reward Model'!$B$12:$B$14,MATCH($K356,'Reward Model'!$A$12:$A$14,0))*Z356,2),0)</f>
        <v>1.87</v>
      </c>
      <c r="AB356" s="2" t="n">
        <f aca="false">IF($I356="Correct",ROUND(INDEX('Reward Model'!$B$12:$B$14,MATCH($Y356,'Reward Model'!$A$12:$A$14,0))*Z356,2),0)</f>
        <v>1.87</v>
      </c>
    </row>
    <row r="357" customFormat="false" ht="15" hidden="false" customHeight="false" outlineLevel="0" collapsed="false">
      <c r="A357" s="0" t="s">
        <v>156</v>
      </c>
      <c r="B357" s="0" t="s">
        <v>157</v>
      </c>
      <c r="C357" s="0" t="s">
        <v>30</v>
      </c>
      <c r="D357" s="0" t="s">
        <v>31</v>
      </c>
      <c r="E357" s="0" t="n">
        <v>16</v>
      </c>
      <c r="F357" s="0" t="s">
        <v>71</v>
      </c>
      <c r="G357" s="0" t="s">
        <v>72</v>
      </c>
      <c r="H357" s="0" t="s">
        <v>72</v>
      </c>
      <c r="I357" s="0" t="s">
        <v>34</v>
      </c>
      <c r="J357" s="0" t="n">
        <v>2.16</v>
      </c>
      <c r="K357" s="0" t="s">
        <v>73</v>
      </c>
      <c r="L357" s="0" t="n">
        <f aca="false">INDEX(Summary!$F$2:$F$201,MATCH($B357,Summary!$A$2:$A$201,0))</f>
        <v>20</v>
      </c>
      <c r="M357" s="0" t="n">
        <f aca="false">INDEX(Summary!$I$2:$I$201,MATCH($B357,Summary!$A$2:$A$201,0))</f>
        <v>4</v>
      </c>
      <c r="N357" s="0" t="n">
        <f aca="false">INDEX(Summary!$J$2:$J$201,MATCH($B357,Summary!$A$2:$A$201,0))</f>
        <v>1</v>
      </c>
      <c r="O357" s="2" t="n">
        <f aca="false">INDEX(Summary!$K$2:$K$201,MATCH($B357,Summary!$A$2:$A$201,0))</f>
        <v>9.4</v>
      </c>
      <c r="P357" s="3" t="n">
        <f aca="false">INDEX(Summary!$L$2:$L$201,MATCH($B357,Summary!$A$2:$A$201,0))</f>
        <v>5</v>
      </c>
      <c r="Q357" s="3" t="n">
        <f aca="false">INDEX(Summary!$M$2:$M$201,MATCH($B357,Summary!$A$2:$A$201,0))</f>
        <v>1</v>
      </c>
      <c r="R357" s="2" t="n">
        <f aca="false">INDEX(Summary!$N$2:$N$201,MATCH($B357,Summary!$A$2:$A$201,0))</f>
        <v>11.86</v>
      </c>
      <c r="S357" s="3" t="n">
        <f aca="false">INDEX(Summary!$O$2:$O$201,MATCH($B357,Summary!$A$2:$A$201,0))</f>
        <v>8</v>
      </c>
      <c r="T357" s="3" t="n">
        <f aca="false">INDEX(Summary!$P$2:$P$201,MATCH($B357,Summary!$A$2:$A$201,0))</f>
        <v>1</v>
      </c>
      <c r="U357" s="2" t="n">
        <f aca="false">INDEX(Summary!$Q$2:$Q$201,MATCH($B357,Summary!$A$2:$A$201,0))</f>
        <v>12.66</v>
      </c>
      <c r="V357" s="2" t="n">
        <f aca="false">INDEX(Summary!$R$2:$R$201,MATCH($B357,Summary!$A$2:$A$201,0))</f>
        <v>32.54</v>
      </c>
      <c r="W357" s="0" t="str">
        <f aca="false">INDEX(Summary!$S$2:$S$201,MATCH($B357,Summary!$A$2:$A$201,0))</f>
        <v>Gold</v>
      </c>
      <c r="X357" s="2" t="n">
        <f aca="false">INDEX(Summary!$T$2:$T$201,MATCH($B357,Summary!$A$2:$A$201,0))</f>
        <v>79.37</v>
      </c>
      <c r="Y357" s="0" t="str">
        <f aca="false">INDEX('Reward Model'!$E$18:$E$37,MATCH($E357,'Reward Model'!$A$18:$A$37,0))</f>
        <v>High</v>
      </c>
      <c r="Z357" s="4" t="n">
        <f aca="false">ROUND(MIN(1,MAX('Reward Model'!$B$2,INDEX('Reward Model'!$C$12:$C$14,MATCH($K357,'Reward Model'!$A$12:$A$14,0))/$J357)),3)</f>
        <v>0.926</v>
      </c>
      <c r="AA357" s="2" t="n">
        <f aca="false">IF($I357="Correct",ROUND(INDEX('Reward Model'!$B$12:$B$14,MATCH($K357,'Reward Model'!$A$12:$A$14,0))*Z357,2),0)</f>
        <v>2.78</v>
      </c>
      <c r="AB357" s="2" t="n">
        <f aca="false">IF($I357="Correct",ROUND(INDEX('Reward Model'!$B$12:$B$14,MATCH($Y357,'Reward Model'!$A$12:$A$14,0))*Z357,2),0)</f>
        <v>2.78</v>
      </c>
    </row>
    <row r="358" customFormat="false" ht="15" hidden="false" customHeight="false" outlineLevel="0" collapsed="false">
      <c r="A358" s="0" t="s">
        <v>156</v>
      </c>
      <c r="B358" s="0" t="s">
        <v>157</v>
      </c>
      <c r="C358" s="0" t="s">
        <v>30</v>
      </c>
      <c r="D358" s="0" t="s">
        <v>31</v>
      </c>
      <c r="E358" s="0" t="n">
        <v>17</v>
      </c>
      <c r="F358" s="0" t="s">
        <v>74</v>
      </c>
      <c r="G358" s="0" t="s">
        <v>75</v>
      </c>
      <c r="H358" s="0" t="s">
        <v>75</v>
      </c>
      <c r="I358" s="0" t="s">
        <v>34</v>
      </c>
      <c r="J358" s="0" t="n">
        <v>1.65</v>
      </c>
      <c r="K358" s="0" t="s">
        <v>73</v>
      </c>
      <c r="L358" s="0" t="n">
        <f aca="false">INDEX(Summary!$F$2:$F$201,MATCH($B358,Summary!$A$2:$A$201,0))</f>
        <v>20</v>
      </c>
      <c r="M358" s="0" t="n">
        <f aca="false">INDEX(Summary!$I$2:$I$201,MATCH($B358,Summary!$A$2:$A$201,0))</f>
        <v>4</v>
      </c>
      <c r="N358" s="0" t="n">
        <f aca="false">INDEX(Summary!$J$2:$J$201,MATCH($B358,Summary!$A$2:$A$201,0))</f>
        <v>1</v>
      </c>
      <c r="O358" s="2" t="n">
        <f aca="false">INDEX(Summary!$K$2:$K$201,MATCH($B358,Summary!$A$2:$A$201,0))</f>
        <v>9.4</v>
      </c>
      <c r="P358" s="3" t="n">
        <f aca="false">INDEX(Summary!$L$2:$L$201,MATCH($B358,Summary!$A$2:$A$201,0))</f>
        <v>5</v>
      </c>
      <c r="Q358" s="3" t="n">
        <f aca="false">INDEX(Summary!$M$2:$M$201,MATCH($B358,Summary!$A$2:$A$201,0))</f>
        <v>1</v>
      </c>
      <c r="R358" s="2" t="n">
        <f aca="false">INDEX(Summary!$N$2:$N$201,MATCH($B358,Summary!$A$2:$A$201,0))</f>
        <v>11.86</v>
      </c>
      <c r="S358" s="3" t="n">
        <f aca="false">INDEX(Summary!$O$2:$O$201,MATCH($B358,Summary!$A$2:$A$201,0))</f>
        <v>8</v>
      </c>
      <c r="T358" s="3" t="n">
        <f aca="false">INDEX(Summary!$P$2:$P$201,MATCH($B358,Summary!$A$2:$A$201,0))</f>
        <v>1</v>
      </c>
      <c r="U358" s="2" t="n">
        <f aca="false">INDEX(Summary!$Q$2:$Q$201,MATCH($B358,Summary!$A$2:$A$201,0))</f>
        <v>12.66</v>
      </c>
      <c r="V358" s="2" t="n">
        <f aca="false">INDEX(Summary!$R$2:$R$201,MATCH($B358,Summary!$A$2:$A$201,0))</f>
        <v>32.54</v>
      </c>
      <c r="W358" s="0" t="str">
        <f aca="false">INDEX(Summary!$S$2:$S$201,MATCH($B358,Summary!$A$2:$A$201,0))</f>
        <v>Gold</v>
      </c>
      <c r="X358" s="2" t="n">
        <f aca="false">INDEX(Summary!$T$2:$T$201,MATCH($B358,Summary!$A$2:$A$201,0))</f>
        <v>79.37</v>
      </c>
      <c r="Y358" s="0" t="str">
        <f aca="false">INDEX('Reward Model'!$E$18:$E$37,MATCH($E358,'Reward Model'!$A$18:$A$37,0))</f>
        <v>High</v>
      </c>
      <c r="Z358" s="4" t="n">
        <f aca="false">ROUND(MIN(1,MAX('Reward Model'!$B$2,INDEX('Reward Model'!$C$12:$C$14,MATCH($K358,'Reward Model'!$A$12:$A$14,0))/$J358)),3)</f>
        <v>1</v>
      </c>
      <c r="AA358" s="2" t="n">
        <f aca="false">IF($I358="Correct",ROUND(INDEX('Reward Model'!$B$12:$B$14,MATCH($K358,'Reward Model'!$A$12:$A$14,0))*Z358,2),0)</f>
        <v>3</v>
      </c>
      <c r="AB358" s="2" t="n">
        <f aca="false">IF($I358="Correct",ROUND(INDEX('Reward Model'!$B$12:$B$14,MATCH($Y358,'Reward Model'!$A$12:$A$14,0))*Z358,2),0)</f>
        <v>3</v>
      </c>
    </row>
    <row r="359" customFormat="false" ht="15" hidden="false" customHeight="false" outlineLevel="0" collapsed="false">
      <c r="A359" s="0" t="s">
        <v>156</v>
      </c>
      <c r="B359" s="0" t="s">
        <v>157</v>
      </c>
      <c r="C359" s="0" t="s">
        <v>30</v>
      </c>
      <c r="D359" s="0" t="s">
        <v>31</v>
      </c>
      <c r="E359" s="0" t="n">
        <v>18</v>
      </c>
      <c r="F359" s="0" t="s">
        <v>76</v>
      </c>
      <c r="G359" s="0" t="s">
        <v>77</v>
      </c>
      <c r="H359" s="0" t="s">
        <v>77</v>
      </c>
      <c r="I359" s="0" t="s">
        <v>34</v>
      </c>
      <c r="J359" s="0" t="n">
        <v>1.89</v>
      </c>
      <c r="K359" s="0" t="s">
        <v>73</v>
      </c>
      <c r="L359" s="0" t="n">
        <f aca="false">INDEX(Summary!$F$2:$F$201,MATCH($B359,Summary!$A$2:$A$201,0))</f>
        <v>20</v>
      </c>
      <c r="M359" s="0" t="n">
        <f aca="false">INDEX(Summary!$I$2:$I$201,MATCH($B359,Summary!$A$2:$A$201,0))</f>
        <v>4</v>
      </c>
      <c r="N359" s="0" t="n">
        <f aca="false">INDEX(Summary!$J$2:$J$201,MATCH($B359,Summary!$A$2:$A$201,0))</f>
        <v>1</v>
      </c>
      <c r="O359" s="2" t="n">
        <f aca="false">INDEX(Summary!$K$2:$K$201,MATCH($B359,Summary!$A$2:$A$201,0))</f>
        <v>9.4</v>
      </c>
      <c r="P359" s="3" t="n">
        <f aca="false">INDEX(Summary!$L$2:$L$201,MATCH($B359,Summary!$A$2:$A$201,0))</f>
        <v>5</v>
      </c>
      <c r="Q359" s="3" t="n">
        <f aca="false">INDEX(Summary!$M$2:$M$201,MATCH($B359,Summary!$A$2:$A$201,0))</f>
        <v>1</v>
      </c>
      <c r="R359" s="2" t="n">
        <f aca="false">INDEX(Summary!$N$2:$N$201,MATCH($B359,Summary!$A$2:$A$201,0))</f>
        <v>11.86</v>
      </c>
      <c r="S359" s="3" t="n">
        <f aca="false">INDEX(Summary!$O$2:$O$201,MATCH($B359,Summary!$A$2:$A$201,0))</f>
        <v>8</v>
      </c>
      <c r="T359" s="3" t="n">
        <f aca="false">INDEX(Summary!$P$2:$P$201,MATCH($B359,Summary!$A$2:$A$201,0))</f>
        <v>1</v>
      </c>
      <c r="U359" s="2" t="n">
        <f aca="false">INDEX(Summary!$Q$2:$Q$201,MATCH($B359,Summary!$A$2:$A$201,0))</f>
        <v>12.66</v>
      </c>
      <c r="V359" s="2" t="n">
        <f aca="false">INDEX(Summary!$R$2:$R$201,MATCH($B359,Summary!$A$2:$A$201,0))</f>
        <v>32.54</v>
      </c>
      <c r="W359" s="0" t="str">
        <f aca="false">INDEX(Summary!$S$2:$S$201,MATCH($B359,Summary!$A$2:$A$201,0))</f>
        <v>Gold</v>
      </c>
      <c r="X359" s="2" t="n">
        <f aca="false">INDEX(Summary!$T$2:$T$201,MATCH($B359,Summary!$A$2:$A$201,0))</f>
        <v>79.37</v>
      </c>
      <c r="Y359" s="0" t="str">
        <f aca="false">INDEX('Reward Model'!$E$18:$E$37,MATCH($E359,'Reward Model'!$A$18:$A$37,0))</f>
        <v>High</v>
      </c>
      <c r="Z359" s="4" t="n">
        <f aca="false">ROUND(MIN(1,MAX('Reward Model'!$B$2,INDEX('Reward Model'!$C$12:$C$14,MATCH($K359,'Reward Model'!$A$12:$A$14,0))/$J359)),3)</f>
        <v>1</v>
      </c>
      <c r="AA359" s="2" t="n">
        <f aca="false">IF($I359="Correct",ROUND(INDEX('Reward Model'!$B$12:$B$14,MATCH($K359,'Reward Model'!$A$12:$A$14,0))*Z359,2),0)</f>
        <v>3</v>
      </c>
      <c r="AB359" s="2" t="n">
        <f aca="false">IF($I359="Correct",ROUND(INDEX('Reward Model'!$B$12:$B$14,MATCH($Y359,'Reward Model'!$A$12:$A$14,0))*Z359,2),0)</f>
        <v>3</v>
      </c>
    </row>
    <row r="360" customFormat="false" ht="15" hidden="false" customHeight="false" outlineLevel="0" collapsed="false">
      <c r="A360" s="0" t="s">
        <v>156</v>
      </c>
      <c r="B360" s="0" t="s">
        <v>157</v>
      </c>
      <c r="C360" s="0" t="s">
        <v>30</v>
      </c>
      <c r="D360" s="0" t="s">
        <v>31</v>
      </c>
      <c r="E360" s="0" t="n">
        <v>19</v>
      </c>
      <c r="F360" s="0" t="s">
        <v>78</v>
      </c>
      <c r="G360" s="0" t="s">
        <v>80</v>
      </c>
      <c r="H360" s="0" t="s">
        <v>80</v>
      </c>
      <c r="I360" s="0" t="s">
        <v>34</v>
      </c>
      <c r="J360" s="0" t="n">
        <v>1.36</v>
      </c>
      <c r="K360" s="0" t="s">
        <v>73</v>
      </c>
      <c r="L360" s="0" t="n">
        <f aca="false">INDEX(Summary!$F$2:$F$201,MATCH($B360,Summary!$A$2:$A$201,0))</f>
        <v>20</v>
      </c>
      <c r="M360" s="0" t="n">
        <f aca="false">INDEX(Summary!$I$2:$I$201,MATCH($B360,Summary!$A$2:$A$201,0))</f>
        <v>4</v>
      </c>
      <c r="N360" s="0" t="n">
        <f aca="false">INDEX(Summary!$J$2:$J$201,MATCH($B360,Summary!$A$2:$A$201,0))</f>
        <v>1</v>
      </c>
      <c r="O360" s="2" t="n">
        <f aca="false">INDEX(Summary!$K$2:$K$201,MATCH($B360,Summary!$A$2:$A$201,0))</f>
        <v>9.4</v>
      </c>
      <c r="P360" s="3" t="n">
        <f aca="false">INDEX(Summary!$L$2:$L$201,MATCH($B360,Summary!$A$2:$A$201,0))</f>
        <v>5</v>
      </c>
      <c r="Q360" s="3" t="n">
        <f aca="false">INDEX(Summary!$M$2:$M$201,MATCH($B360,Summary!$A$2:$A$201,0))</f>
        <v>1</v>
      </c>
      <c r="R360" s="2" t="n">
        <f aca="false">INDEX(Summary!$N$2:$N$201,MATCH($B360,Summary!$A$2:$A$201,0))</f>
        <v>11.86</v>
      </c>
      <c r="S360" s="3" t="n">
        <f aca="false">INDEX(Summary!$O$2:$O$201,MATCH($B360,Summary!$A$2:$A$201,0))</f>
        <v>8</v>
      </c>
      <c r="T360" s="3" t="n">
        <f aca="false">INDEX(Summary!$P$2:$P$201,MATCH($B360,Summary!$A$2:$A$201,0))</f>
        <v>1</v>
      </c>
      <c r="U360" s="2" t="n">
        <f aca="false">INDEX(Summary!$Q$2:$Q$201,MATCH($B360,Summary!$A$2:$A$201,0))</f>
        <v>12.66</v>
      </c>
      <c r="V360" s="2" t="n">
        <f aca="false">INDEX(Summary!$R$2:$R$201,MATCH($B360,Summary!$A$2:$A$201,0))</f>
        <v>32.54</v>
      </c>
      <c r="W360" s="0" t="str">
        <f aca="false">INDEX(Summary!$S$2:$S$201,MATCH($B360,Summary!$A$2:$A$201,0))</f>
        <v>Gold</v>
      </c>
      <c r="X360" s="2" t="n">
        <f aca="false">INDEX(Summary!$T$2:$T$201,MATCH($B360,Summary!$A$2:$A$201,0))</f>
        <v>79.37</v>
      </c>
      <c r="Y360" s="0" t="str">
        <f aca="false">INDEX('Reward Model'!$E$18:$E$37,MATCH($E360,'Reward Model'!$A$18:$A$37,0))</f>
        <v>High</v>
      </c>
      <c r="Z360" s="4" t="n">
        <f aca="false">ROUND(MIN(1,MAX('Reward Model'!$B$2,INDEX('Reward Model'!$C$12:$C$14,MATCH($K360,'Reward Model'!$A$12:$A$14,0))/$J360)),3)</f>
        <v>1</v>
      </c>
      <c r="AA360" s="2" t="n">
        <f aca="false">IF($I360="Correct",ROUND(INDEX('Reward Model'!$B$12:$B$14,MATCH($K360,'Reward Model'!$A$12:$A$14,0))*Z360,2),0)</f>
        <v>3</v>
      </c>
      <c r="AB360" s="2" t="n">
        <f aca="false">IF($I360="Correct",ROUND(INDEX('Reward Model'!$B$12:$B$14,MATCH($Y360,'Reward Model'!$A$12:$A$14,0))*Z360,2),0)</f>
        <v>3</v>
      </c>
    </row>
    <row r="361" customFormat="false" ht="15" hidden="false" customHeight="false" outlineLevel="0" collapsed="false">
      <c r="A361" s="0" t="s">
        <v>156</v>
      </c>
      <c r="B361" s="0" t="s">
        <v>157</v>
      </c>
      <c r="C361" s="0" t="s">
        <v>30</v>
      </c>
      <c r="D361" s="0" t="s">
        <v>31</v>
      </c>
      <c r="E361" s="0" t="n">
        <v>20</v>
      </c>
      <c r="F361" s="0" t="s">
        <v>81</v>
      </c>
      <c r="G361" s="0" t="s">
        <v>119</v>
      </c>
      <c r="H361" s="0" t="s">
        <v>83</v>
      </c>
      <c r="I361" s="0" t="s">
        <v>39</v>
      </c>
      <c r="J361" s="0" t="n">
        <v>2.34</v>
      </c>
      <c r="K361" s="0" t="s">
        <v>73</v>
      </c>
      <c r="L361" s="0" t="n">
        <f aca="false">INDEX(Summary!$F$2:$F$201,MATCH($B361,Summary!$A$2:$A$201,0))</f>
        <v>20</v>
      </c>
      <c r="M361" s="0" t="n">
        <f aca="false">INDEX(Summary!$I$2:$I$201,MATCH($B361,Summary!$A$2:$A$201,0))</f>
        <v>4</v>
      </c>
      <c r="N361" s="0" t="n">
        <f aca="false">INDEX(Summary!$J$2:$J$201,MATCH($B361,Summary!$A$2:$A$201,0))</f>
        <v>1</v>
      </c>
      <c r="O361" s="2" t="n">
        <f aca="false">INDEX(Summary!$K$2:$K$201,MATCH($B361,Summary!$A$2:$A$201,0))</f>
        <v>9.4</v>
      </c>
      <c r="P361" s="3" t="n">
        <f aca="false">INDEX(Summary!$L$2:$L$201,MATCH($B361,Summary!$A$2:$A$201,0))</f>
        <v>5</v>
      </c>
      <c r="Q361" s="3" t="n">
        <f aca="false">INDEX(Summary!$M$2:$M$201,MATCH($B361,Summary!$A$2:$A$201,0))</f>
        <v>1</v>
      </c>
      <c r="R361" s="2" t="n">
        <f aca="false">INDEX(Summary!$N$2:$N$201,MATCH($B361,Summary!$A$2:$A$201,0))</f>
        <v>11.86</v>
      </c>
      <c r="S361" s="3" t="n">
        <f aca="false">INDEX(Summary!$O$2:$O$201,MATCH($B361,Summary!$A$2:$A$201,0))</f>
        <v>8</v>
      </c>
      <c r="T361" s="3" t="n">
        <f aca="false">INDEX(Summary!$P$2:$P$201,MATCH($B361,Summary!$A$2:$A$201,0))</f>
        <v>1</v>
      </c>
      <c r="U361" s="2" t="n">
        <f aca="false">INDEX(Summary!$Q$2:$Q$201,MATCH($B361,Summary!$A$2:$A$201,0))</f>
        <v>12.66</v>
      </c>
      <c r="V361" s="2" t="n">
        <f aca="false">INDEX(Summary!$R$2:$R$201,MATCH($B361,Summary!$A$2:$A$201,0))</f>
        <v>32.54</v>
      </c>
      <c r="W361" s="0" t="str">
        <f aca="false">INDEX(Summary!$S$2:$S$201,MATCH($B361,Summary!$A$2:$A$201,0))</f>
        <v>Gold</v>
      </c>
      <c r="X361" s="2" t="n">
        <f aca="false">INDEX(Summary!$T$2:$T$201,MATCH($B361,Summary!$A$2:$A$201,0))</f>
        <v>79.37</v>
      </c>
      <c r="Y361" s="0" t="str">
        <f aca="false">INDEX('Reward Model'!$E$18:$E$37,MATCH($E361,'Reward Model'!$A$18:$A$37,0))</f>
        <v>High</v>
      </c>
      <c r="Z361" s="4" t="n">
        <f aca="false">ROUND(MIN(1,MAX('Reward Model'!$B$2,INDEX('Reward Model'!$C$12:$C$14,MATCH($K361,'Reward Model'!$A$12:$A$14,0))/$J361)),3)</f>
        <v>0.855</v>
      </c>
      <c r="AA361" s="2" t="n">
        <f aca="false">IF($I361="Correct",ROUND(INDEX('Reward Model'!$B$12:$B$14,MATCH($K361,'Reward Model'!$A$12:$A$14,0))*Z361,2),0)</f>
        <v>0</v>
      </c>
      <c r="AB361" s="2" t="n">
        <f aca="false">IF($I361="Correct",ROUND(INDEX('Reward Model'!$B$12:$B$14,MATCH($Y361,'Reward Model'!$A$12:$A$14,0))*Z361,2),0)</f>
        <v>0</v>
      </c>
    </row>
    <row r="362" customFormat="false" ht="15" hidden="false" customHeight="false" outlineLevel="0" collapsed="false">
      <c r="A362" s="0" t="s">
        <v>158</v>
      </c>
      <c r="B362" s="0" t="s">
        <v>159</v>
      </c>
      <c r="C362" s="0" t="s">
        <v>30</v>
      </c>
      <c r="D362" s="0" t="s">
        <v>31</v>
      </c>
      <c r="E362" s="0" t="n">
        <v>1</v>
      </c>
      <c r="F362" s="0" t="s">
        <v>32</v>
      </c>
      <c r="G362" s="0" t="s">
        <v>33</v>
      </c>
      <c r="H362" s="0" t="s">
        <v>33</v>
      </c>
      <c r="I362" s="0" t="s">
        <v>34</v>
      </c>
      <c r="J362" s="0" t="n">
        <v>1.17</v>
      </c>
      <c r="K362" s="0" t="s">
        <v>35</v>
      </c>
      <c r="L362" s="0" t="n">
        <f aca="false">INDEX(Summary!$F$2:$F$201,MATCH($B362,Summary!$A$2:$A$201,0))</f>
        <v>20</v>
      </c>
      <c r="M362" s="0" t="n">
        <f aca="false">INDEX(Summary!$I$2:$I$201,MATCH($B362,Summary!$A$2:$A$201,0))</f>
        <v>2</v>
      </c>
      <c r="N362" s="0" t="n">
        <f aca="false">INDEX(Summary!$J$2:$J$201,MATCH($B362,Summary!$A$2:$A$201,0))</f>
        <v>3</v>
      </c>
      <c r="O362" s="2" t="n">
        <f aca="false">INDEX(Summary!$K$2:$K$201,MATCH($B362,Summary!$A$2:$A$201,0))</f>
        <v>10.37</v>
      </c>
      <c r="P362" s="3" t="n">
        <f aca="false">INDEX(Summary!$L$2:$L$201,MATCH($B362,Summary!$A$2:$A$201,0))</f>
        <v>5</v>
      </c>
      <c r="Q362" s="3" t="n">
        <f aca="false">INDEX(Summary!$M$2:$M$201,MATCH($B362,Summary!$A$2:$A$201,0))</f>
        <v>1</v>
      </c>
      <c r="R362" s="2" t="n">
        <f aca="false">INDEX(Summary!$N$2:$N$201,MATCH($B362,Summary!$A$2:$A$201,0))</f>
        <v>9.87</v>
      </c>
      <c r="S362" s="3" t="n">
        <f aca="false">INDEX(Summary!$O$2:$O$201,MATCH($B362,Summary!$A$2:$A$201,0))</f>
        <v>8</v>
      </c>
      <c r="T362" s="3" t="n">
        <f aca="false">INDEX(Summary!$P$2:$P$201,MATCH($B362,Summary!$A$2:$A$201,0))</f>
        <v>1</v>
      </c>
      <c r="U362" s="2" t="n">
        <f aca="false">INDEX(Summary!$Q$2:$Q$201,MATCH($B362,Summary!$A$2:$A$201,0))</f>
        <v>12.64</v>
      </c>
      <c r="V362" s="2" t="n">
        <f aca="false">INDEX(Summary!$R$2:$R$201,MATCH($B362,Summary!$A$2:$A$201,0))</f>
        <v>27.62</v>
      </c>
      <c r="W362" s="0" t="str">
        <f aca="false">INDEX(Summary!$S$2:$S$201,MATCH($B362,Summary!$A$2:$A$201,0))</f>
        <v>Silver</v>
      </c>
      <c r="X362" s="2" t="n">
        <f aca="false">INDEX(Summary!$T$2:$T$201,MATCH($B362,Summary!$A$2:$A$201,0))</f>
        <v>67.37</v>
      </c>
      <c r="Y362" s="0" t="str">
        <f aca="false">INDEX('Reward Model'!$E$18:$E$37,MATCH($E362,'Reward Model'!$A$18:$A$37,0))</f>
        <v>Medium</v>
      </c>
      <c r="Z362" s="4" t="n">
        <f aca="false">ROUND(MIN(1,MAX('Reward Model'!$B$2,INDEX('Reward Model'!$C$12:$C$14,MATCH($K362,'Reward Model'!$A$12:$A$14,0))/$J362)),3)</f>
        <v>1</v>
      </c>
      <c r="AA362" s="2" t="n">
        <f aca="false">IF($I362="Correct",ROUND(INDEX('Reward Model'!$B$12:$B$14,MATCH($K362,'Reward Model'!$A$12:$A$14,0))*Z362,2),0)</f>
        <v>1</v>
      </c>
      <c r="AB362" s="2" t="n">
        <f aca="false">IF($I362="Correct",ROUND(INDEX('Reward Model'!$B$12:$B$14,MATCH($Y362,'Reward Model'!$A$12:$A$14,0))*Z362,2),0)</f>
        <v>2</v>
      </c>
    </row>
    <row r="363" customFormat="false" ht="15" hidden="false" customHeight="false" outlineLevel="0" collapsed="false">
      <c r="A363" s="0" t="s">
        <v>158</v>
      </c>
      <c r="B363" s="0" t="s">
        <v>159</v>
      </c>
      <c r="C363" s="0" t="s">
        <v>30</v>
      </c>
      <c r="D363" s="0" t="s">
        <v>31</v>
      </c>
      <c r="E363" s="0" t="n">
        <v>2</v>
      </c>
      <c r="F363" s="0" t="s">
        <v>36</v>
      </c>
      <c r="G363" s="0" t="s">
        <v>37</v>
      </c>
      <c r="H363" s="0" t="s">
        <v>38</v>
      </c>
      <c r="I363" s="0" t="s">
        <v>39</v>
      </c>
      <c r="J363" s="0" t="n">
        <v>1.73</v>
      </c>
      <c r="K363" s="0" t="s">
        <v>35</v>
      </c>
      <c r="L363" s="0" t="n">
        <f aca="false">INDEX(Summary!$F$2:$F$201,MATCH($B363,Summary!$A$2:$A$201,0))</f>
        <v>20</v>
      </c>
      <c r="M363" s="0" t="n">
        <f aca="false">INDEX(Summary!$I$2:$I$201,MATCH($B363,Summary!$A$2:$A$201,0))</f>
        <v>2</v>
      </c>
      <c r="N363" s="0" t="n">
        <f aca="false">INDEX(Summary!$J$2:$J$201,MATCH($B363,Summary!$A$2:$A$201,0))</f>
        <v>3</v>
      </c>
      <c r="O363" s="2" t="n">
        <f aca="false">INDEX(Summary!$K$2:$K$201,MATCH($B363,Summary!$A$2:$A$201,0))</f>
        <v>10.37</v>
      </c>
      <c r="P363" s="3" t="n">
        <f aca="false">INDEX(Summary!$L$2:$L$201,MATCH($B363,Summary!$A$2:$A$201,0))</f>
        <v>5</v>
      </c>
      <c r="Q363" s="3" t="n">
        <f aca="false">INDEX(Summary!$M$2:$M$201,MATCH($B363,Summary!$A$2:$A$201,0))</f>
        <v>1</v>
      </c>
      <c r="R363" s="2" t="n">
        <f aca="false">INDEX(Summary!$N$2:$N$201,MATCH($B363,Summary!$A$2:$A$201,0))</f>
        <v>9.87</v>
      </c>
      <c r="S363" s="3" t="n">
        <f aca="false">INDEX(Summary!$O$2:$O$201,MATCH($B363,Summary!$A$2:$A$201,0))</f>
        <v>8</v>
      </c>
      <c r="T363" s="3" t="n">
        <f aca="false">INDEX(Summary!$P$2:$P$201,MATCH($B363,Summary!$A$2:$A$201,0))</f>
        <v>1</v>
      </c>
      <c r="U363" s="2" t="n">
        <f aca="false">INDEX(Summary!$Q$2:$Q$201,MATCH($B363,Summary!$A$2:$A$201,0))</f>
        <v>12.64</v>
      </c>
      <c r="V363" s="2" t="n">
        <f aca="false">INDEX(Summary!$R$2:$R$201,MATCH($B363,Summary!$A$2:$A$201,0))</f>
        <v>27.62</v>
      </c>
      <c r="W363" s="0" t="str">
        <f aca="false">INDEX(Summary!$S$2:$S$201,MATCH($B363,Summary!$A$2:$A$201,0))</f>
        <v>Silver</v>
      </c>
      <c r="X363" s="2" t="n">
        <f aca="false">INDEX(Summary!$T$2:$T$201,MATCH($B363,Summary!$A$2:$A$201,0))</f>
        <v>67.37</v>
      </c>
      <c r="Y363" s="0" t="str">
        <f aca="false">INDEX('Reward Model'!$E$18:$E$37,MATCH($E363,'Reward Model'!$A$18:$A$37,0))</f>
        <v>Low</v>
      </c>
      <c r="Z363" s="4" t="n">
        <f aca="false">ROUND(MIN(1,MAX('Reward Model'!$B$2,INDEX('Reward Model'!$C$12:$C$14,MATCH($K363,'Reward Model'!$A$12:$A$14,0))/$J363)),3)</f>
        <v>0.867</v>
      </c>
      <c r="AA363" s="2" t="n">
        <f aca="false">IF($I363="Correct",ROUND(INDEX('Reward Model'!$B$12:$B$14,MATCH($K363,'Reward Model'!$A$12:$A$14,0))*Z363,2),0)</f>
        <v>0</v>
      </c>
      <c r="AB363" s="2" t="n">
        <f aca="false">IF($I363="Correct",ROUND(INDEX('Reward Model'!$B$12:$B$14,MATCH($Y363,'Reward Model'!$A$12:$A$14,0))*Z363,2),0)</f>
        <v>0</v>
      </c>
    </row>
    <row r="364" customFormat="false" ht="15" hidden="false" customHeight="false" outlineLevel="0" collapsed="false">
      <c r="A364" s="0" t="s">
        <v>158</v>
      </c>
      <c r="B364" s="0" t="s">
        <v>159</v>
      </c>
      <c r="C364" s="0" t="s">
        <v>30</v>
      </c>
      <c r="D364" s="0" t="s">
        <v>31</v>
      </c>
      <c r="E364" s="0" t="n">
        <v>3</v>
      </c>
      <c r="F364" s="0" t="s">
        <v>40</v>
      </c>
      <c r="G364" s="0" t="s">
        <v>42</v>
      </c>
      <c r="H364" s="0" t="s">
        <v>42</v>
      </c>
      <c r="I364" s="0" t="s">
        <v>34</v>
      </c>
      <c r="J364" s="0" t="n">
        <v>1.08</v>
      </c>
      <c r="K364" s="0" t="s">
        <v>35</v>
      </c>
      <c r="L364" s="0" t="n">
        <f aca="false">INDEX(Summary!$F$2:$F$201,MATCH($B364,Summary!$A$2:$A$201,0))</f>
        <v>20</v>
      </c>
      <c r="M364" s="0" t="n">
        <f aca="false">INDEX(Summary!$I$2:$I$201,MATCH($B364,Summary!$A$2:$A$201,0))</f>
        <v>2</v>
      </c>
      <c r="N364" s="0" t="n">
        <f aca="false">INDEX(Summary!$J$2:$J$201,MATCH($B364,Summary!$A$2:$A$201,0))</f>
        <v>3</v>
      </c>
      <c r="O364" s="2" t="n">
        <f aca="false">INDEX(Summary!$K$2:$K$201,MATCH($B364,Summary!$A$2:$A$201,0))</f>
        <v>10.37</v>
      </c>
      <c r="P364" s="3" t="n">
        <f aca="false">INDEX(Summary!$L$2:$L$201,MATCH($B364,Summary!$A$2:$A$201,0))</f>
        <v>5</v>
      </c>
      <c r="Q364" s="3" t="n">
        <f aca="false">INDEX(Summary!$M$2:$M$201,MATCH($B364,Summary!$A$2:$A$201,0))</f>
        <v>1</v>
      </c>
      <c r="R364" s="2" t="n">
        <f aca="false">INDEX(Summary!$N$2:$N$201,MATCH($B364,Summary!$A$2:$A$201,0))</f>
        <v>9.87</v>
      </c>
      <c r="S364" s="3" t="n">
        <f aca="false">INDEX(Summary!$O$2:$O$201,MATCH($B364,Summary!$A$2:$A$201,0))</f>
        <v>8</v>
      </c>
      <c r="T364" s="3" t="n">
        <f aca="false">INDEX(Summary!$P$2:$P$201,MATCH($B364,Summary!$A$2:$A$201,0))</f>
        <v>1</v>
      </c>
      <c r="U364" s="2" t="n">
        <f aca="false">INDEX(Summary!$Q$2:$Q$201,MATCH($B364,Summary!$A$2:$A$201,0))</f>
        <v>12.64</v>
      </c>
      <c r="V364" s="2" t="n">
        <f aca="false">INDEX(Summary!$R$2:$R$201,MATCH($B364,Summary!$A$2:$A$201,0))</f>
        <v>27.62</v>
      </c>
      <c r="W364" s="0" t="str">
        <f aca="false">INDEX(Summary!$S$2:$S$201,MATCH($B364,Summary!$A$2:$A$201,0))</f>
        <v>Silver</v>
      </c>
      <c r="X364" s="2" t="n">
        <f aca="false">INDEX(Summary!$T$2:$T$201,MATCH($B364,Summary!$A$2:$A$201,0))</f>
        <v>67.37</v>
      </c>
      <c r="Y364" s="0" t="str">
        <f aca="false">INDEX('Reward Model'!$E$18:$E$37,MATCH($E364,'Reward Model'!$A$18:$A$37,0))</f>
        <v>Medium</v>
      </c>
      <c r="Z364" s="4" t="n">
        <f aca="false">ROUND(MIN(1,MAX('Reward Model'!$B$2,INDEX('Reward Model'!$C$12:$C$14,MATCH($K364,'Reward Model'!$A$12:$A$14,0))/$J364)),3)</f>
        <v>1</v>
      </c>
      <c r="AA364" s="2" t="n">
        <f aca="false">IF($I364="Correct",ROUND(INDEX('Reward Model'!$B$12:$B$14,MATCH($K364,'Reward Model'!$A$12:$A$14,0))*Z364,2),0)</f>
        <v>1</v>
      </c>
      <c r="AB364" s="2" t="n">
        <f aca="false">IF($I364="Correct",ROUND(INDEX('Reward Model'!$B$12:$B$14,MATCH($Y364,'Reward Model'!$A$12:$A$14,0))*Z364,2),0)</f>
        <v>2</v>
      </c>
    </row>
    <row r="365" customFormat="false" ht="15" hidden="false" customHeight="false" outlineLevel="0" collapsed="false">
      <c r="A365" s="0" t="s">
        <v>158</v>
      </c>
      <c r="B365" s="0" t="s">
        <v>159</v>
      </c>
      <c r="C365" s="0" t="s">
        <v>30</v>
      </c>
      <c r="D365" s="0" t="s">
        <v>31</v>
      </c>
      <c r="E365" s="0" t="n">
        <v>4</v>
      </c>
      <c r="F365" s="0" t="s">
        <v>43</v>
      </c>
      <c r="G365" s="0" t="s">
        <v>45</v>
      </c>
      <c r="H365" s="0" t="s">
        <v>45</v>
      </c>
      <c r="I365" s="0" t="s">
        <v>34</v>
      </c>
      <c r="J365" s="0" t="n">
        <v>1.95</v>
      </c>
      <c r="K365" s="0" t="s">
        <v>35</v>
      </c>
      <c r="L365" s="0" t="n">
        <f aca="false">INDEX(Summary!$F$2:$F$201,MATCH($B365,Summary!$A$2:$A$201,0))</f>
        <v>20</v>
      </c>
      <c r="M365" s="0" t="n">
        <f aca="false">INDEX(Summary!$I$2:$I$201,MATCH($B365,Summary!$A$2:$A$201,0))</f>
        <v>2</v>
      </c>
      <c r="N365" s="0" t="n">
        <f aca="false">INDEX(Summary!$J$2:$J$201,MATCH($B365,Summary!$A$2:$A$201,0))</f>
        <v>3</v>
      </c>
      <c r="O365" s="2" t="n">
        <f aca="false">INDEX(Summary!$K$2:$K$201,MATCH($B365,Summary!$A$2:$A$201,0))</f>
        <v>10.37</v>
      </c>
      <c r="P365" s="3" t="n">
        <f aca="false">INDEX(Summary!$L$2:$L$201,MATCH($B365,Summary!$A$2:$A$201,0))</f>
        <v>5</v>
      </c>
      <c r="Q365" s="3" t="n">
        <f aca="false">INDEX(Summary!$M$2:$M$201,MATCH($B365,Summary!$A$2:$A$201,0))</f>
        <v>1</v>
      </c>
      <c r="R365" s="2" t="n">
        <f aca="false">INDEX(Summary!$N$2:$N$201,MATCH($B365,Summary!$A$2:$A$201,0))</f>
        <v>9.87</v>
      </c>
      <c r="S365" s="3" t="n">
        <f aca="false">INDEX(Summary!$O$2:$O$201,MATCH($B365,Summary!$A$2:$A$201,0))</f>
        <v>8</v>
      </c>
      <c r="T365" s="3" t="n">
        <f aca="false">INDEX(Summary!$P$2:$P$201,MATCH($B365,Summary!$A$2:$A$201,0))</f>
        <v>1</v>
      </c>
      <c r="U365" s="2" t="n">
        <f aca="false">INDEX(Summary!$Q$2:$Q$201,MATCH($B365,Summary!$A$2:$A$201,0))</f>
        <v>12.64</v>
      </c>
      <c r="V365" s="2" t="n">
        <f aca="false">INDEX(Summary!$R$2:$R$201,MATCH($B365,Summary!$A$2:$A$201,0))</f>
        <v>27.62</v>
      </c>
      <c r="W365" s="0" t="str">
        <f aca="false">INDEX(Summary!$S$2:$S$201,MATCH($B365,Summary!$A$2:$A$201,0))</f>
        <v>Silver</v>
      </c>
      <c r="X365" s="2" t="n">
        <f aca="false">INDEX(Summary!$T$2:$T$201,MATCH($B365,Summary!$A$2:$A$201,0))</f>
        <v>67.37</v>
      </c>
      <c r="Y365" s="0" t="str">
        <f aca="false">INDEX('Reward Model'!$E$18:$E$37,MATCH($E365,'Reward Model'!$A$18:$A$37,0))</f>
        <v>Low</v>
      </c>
      <c r="Z365" s="4" t="n">
        <f aca="false">ROUND(MIN(1,MAX('Reward Model'!$B$2,INDEX('Reward Model'!$C$12:$C$14,MATCH($K365,'Reward Model'!$A$12:$A$14,0))/$J365)),3)</f>
        <v>0.769</v>
      </c>
      <c r="AA365" s="2" t="n">
        <f aca="false">IF($I365="Correct",ROUND(INDEX('Reward Model'!$B$12:$B$14,MATCH($K365,'Reward Model'!$A$12:$A$14,0))*Z365,2),0)</f>
        <v>0.77</v>
      </c>
      <c r="AB365" s="2" t="n">
        <f aca="false">IF($I365="Correct",ROUND(INDEX('Reward Model'!$B$12:$B$14,MATCH($Y365,'Reward Model'!$A$12:$A$14,0))*Z365,2),0)</f>
        <v>0.77</v>
      </c>
    </row>
    <row r="366" customFormat="false" ht="15" hidden="false" customHeight="false" outlineLevel="0" collapsed="false">
      <c r="A366" s="0" t="s">
        <v>158</v>
      </c>
      <c r="B366" s="0" t="s">
        <v>159</v>
      </c>
      <c r="C366" s="0" t="s">
        <v>30</v>
      </c>
      <c r="D366" s="0" t="s">
        <v>31</v>
      </c>
      <c r="E366" s="0" t="n">
        <v>5</v>
      </c>
      <c r="F366" s="0" t="s">
        <v>46</v>
      </c>
      <c r="G366" s="0" t="s">
        <v>47</v>
      </c>
      <c r="H366" s="0" t="s">
        <v>47</v>
      </c>
      <c r="I366" s="0" t="s">
        <v>34</v>
      </c>
      <c r="J366" s="0" t="n">
        <v>1.93</v>
      </c>
      <c r="K366" s="0" t="s">
        <v>35</v>
      </c>
      <c r="L366" s="0" t="n">
        <f aca="false">INDEX(Summary!$F$2:$F$201,MATCH($B366,Summary!$A$2:$A$201,0))</f>
        <v>20</v>
      </c>
      <c r="M366" s="0" t="n">
        <f aca="false">INDEX(Summary!$I$2:$I$201,MATCH($B366,Summary!$A$2:$A$201,0))</f>
        <v>2</v>
      </c>
      <c r="N366" s="0" t="n">
        <f aca="false">INDEX(Summary!$J$2:$J$201,MATCH($B366,Summary!$A$2:$A$201,0))</f>
        <v>3</v>
      </c>
      <c r="O366" s="2" t="n">
        <f aca="false">INDEX(Summary!$K$2:$K$201,MATCH($B366,Summary!$A$2:$A$201,0))</f>
        <v>10.37</v>
      </c>
      <c r="P366" s="3" t="n">
        <f aca="false">INDEX(Summary!$L$2:$L$201,MATCH($B366,Summary!$A$2:$A$201,0))</f>
        <v>5</v>
      </c>
      <c r="Q366" s="3" t="n">
        <f aca="false">INDEX(Summary!$M$2:$M$201,MATCH($B366,Summary!$A$2:$A$201,0))</f>
        <v>1</v>
      </c>
      <c r="R366" s="2" t="n">
        <f aca="false">INDEX(Summary!$N$2:$N$201,MATCH($B366,Summary!$A$2:$A$201,0))</f>
        <v>9.87</v>
      </c>
      <c r="S366" s="3" t="n">
        <f aca="false">INDEX(Summary!$O$2:$O$201,MATCH($B366,Summary!$A$2:$A$201,0))</f>
        <v>8</v>
      </c>
      <c r="T366" s="3" t="n">
        <f aca="false">INDEX(Summary!$P$2:$P$201,MATCH($B366,Summary!$A$2:$A$201,0))</f>
        <v>1</v>
      </c>
      <c r="U366" s="2" t="n">
        <f aca="false">INDEX(Summary!$Q$2:$Q$201,MATCH($B366,Summary!$A$2:$A$201,0))</f>
        <v>12.64</v>
      </c>
      <c r="V366" s="2" t="n">
        <f aca="false">INDEX(Summary!$R$2:$R$201,MATCH($B366,Summary!$A$2:$A$201,0))</f>
        <v>27.62</v>
      </c>
      <c r="W366" s="0" t="str">
        <f aca="false">INDEX(Summary!$S$2:$S$201,MATCH($B366,Summary!$A$2:$A$201,0))</f>
        <v>Silver</v>
      </c>
      <c r="X366" s="2" t="n">
        <f aca="false">INDEX(Summary!$T$2:$T$201,MATCH($B366,Summary!$A$2:$A$201,0))</f>
        <v>67.37</v>
      </c>
      <c r="Y366" s="0" t="str">
        <f aca="false">INDEX('Reward Model'!$E$18:$E$37,MATCH($E366,'Reward Model'!$A$18:$A$37,0))</f>
        <v>Low</v>
      </c>
      <c r="Z366" s="4" t="n">
        <f aca="false">ROUND(MIN(1,MAX('Reward Model'!$B$2,INDEX('Reward Model'!$C$12:$C$14,MATCH($K366,'Reward Model'!$A$12:$A$14,0))/$J366)),3)</f>
        <v>0.777</v>
      </c>
      <c r="AA366" s="2" t="n">
        <f aca="false">IF($I366="Correct",ROUND(INDEX('Reward Model'!$B$12:$B$14,MATCH($K366,'Reward Model'!$A$12:$A$14,0))*Z366,2),0)</f>
        <v>0.78</v>
      </c>
      <c r="AB366" s="2" t="n">
        <f aca="false">IF($I366="Correct",ROUND(INDEX('Reward Model'!$B$12:$B$14,MATCH($Y366,'Reward Model'!$A$12:$A$14,0))*Z366,2),0)</f>
        <v>0.78</v>
      </c>
    </row>
    <row r="367" customFormat="false" ht="15" hidden="false" customHeight="false" outlineLevel="0" collapsed="false">
      <c r="A367" s="0" t="s">
        <v>158</v>
      </c>
      <c r="B367" s="0" t="s">
        <v>159</v>
      </c>
      <c r="C367" s="0" t="s">
        <v>30</v>
      </c>
      <c r="D367" s="0" t="s">
        <v>31</v>
      </c>
      <c r="E367" s="0" t="n">
        <v>6</v>
      </c>
      <c r="F367" s="0" t="s">
        <v>48</v>
      </c>
      <c r="G367" s="0" t="s">
        <v>49</v>
      </c>
      <c r="H367" s="0" t="s">
        <v>49</v>
      </c>
      <c r="I367" s="0" t="s">
        <v>34</v>
      </c>
      <c r="J367" s="0" t="n">
        <v>1.43</v>
      </c>
      <c r="K367" s="0" t="s">
        <v>35</v>
      </c>
      <c r="L367" s="0" t="n">
        <f aca="false">INDEX(Summary!$F$2:$F$201,MATCH($B367,Summary!$A$2:$A$201,0))</f>
        <v>20</v>
      </c>
      <c r="M367" s="0" t="n">
        <f aca="false">INDEX(Summary!$I$2:$I$201,MATCH($B367,Summary!$A$2:$A$201,0))</f>
        <v>2</v>
      </c>
      <c r="N367" s="0" t="n">
        <f aca="false">INDEX(Summary!$J$2:$J$201,MATCH($B367,Summary!$A$2:$A$201,0))</f>
        <v>3</v>
      </c>
      <c r="O367" s="2" t="n">
        <f aca="false">INDEX(Summary!$K$2:$K$201,MATCH($B367,Summary!$A$2:$A$201,0))</f>
        <v>10.37</v>
      </c>
      <c r="P367" s="3" t="n">
        <f aca="false">INDEX(Summary!$L$2:$L$201,MATCH($B367,Summary!$A$2:$A$201,0))</f>
        <v>5</v>
      </c>
      <c r="Q367" s="3" t="n">
        <f aca="false">INDEX(Summary!$M$2:$M$201,MATCH($B367,Summary!$A$2:$A$201,0))</f>
        <v>1</v>
      </c>
      <c r="R367" s="2" t="n">
        <f aca="false">INDEX(Summary!$N$2:$N$201,MATCH($B367,Summary!$A$2:$A$201,0))</f>
        <v>9.87</v>
      </c>
      <c r="S367" s="3" t="n">
        <f aca="false">INDEX(Summary!$O$2:$O$201,MATCH($B367,Summary!$A$2:$A$201,0))</f>
        <v>8</v>
      </c>
      <c r="T367" s="3" t="n">
        <f aca="false">INDEX(Summary!$P$2:$P$201,MATCH($B367,Summary!$A$2:$A$201,0))</f>
        <v>1</v>
      </c>
      <c r="U367" s="2" t="n">
        <f aca="false">INDEX(Summary!$Q$2:$Q$201,MATCH($B367,Summary!$A$2:$A$201,0))</f>
        <v>12.64</v>
      </c>
      <c r="V367" s="2" t="n">
        <f aca="false">INDEX(Summary!$R$2:$R$201,MATCH($B367,Summary!$A$2:$A$201,0))</f>
        <v>27.62</v>
      </c>
      <c r="W367" s="0" t="str">
        <f aca="false">INDEX(Summary!$S$2:$S$201,MATCH($B367,Summary!$A$2:$A$201,0))</f>
        <v>Silver</v>
      </c>
      <c r="X367" s="2" t="n">
        <f aca="false">INDEX(Summary!$T$2:$T$201,MATCH($B367,Summary!$A$2:$A$201,0))</f>
        <v>67.37</v>
      </c>
      <c r="Y367" s="0" t="str">
        <f aca="false">INDEX('Reward Model'!$E$18:$E$37,MATCH($E367,'Reward Model'!$A$18:$A$37,0))</f>
        <v>Medium</v>
      </c>
      <c r="Z367" s="4" t="n">
        <f aca="false">ROUND(MIN(1,MAX('Reward Model'!$B$2,INDEX('Reward Model'!$C$12:$C$14,MATCH($K367,'Reward Model'!$A$12:$A$14,0))/$J367)),3)</f>
        <v>1</v>
      </c>
      <c r="AA367" s="2" t="n">
        <f aca="false">IF($I367="Correct",ROUND(INDEX('Reward Model'!$B$12:$B$14,MATCH($K367,'Reward Model'!$A$12:$A$14,0))*Z367,2),0)</f>
        <v>1</v>
      </c>
      <c r="AB367" s="2" t="n">
        <f aca="false">IF($I367="Correct",ROUND(INDEX('Reward Model'!$B$12:$B$14,MATCH($Y367,'Reward Model'!$A$12:$A$14,0))*Z367,2),0)</f>
        <v>2</v>
      </c>
    </row>
    <row r="368" customFormat="false" ht="15" hidden="false" customHeight="false" outlineLevel="0" collapsed="false">
      <c r="A368" s="0" t="s">
        <v>158</v>
      </c>
      <c r="B368" s="0" t="s">
        <v>159</v>
      </c>
      <c r="C368" s="0" t="s">
        <v>30</v>
      </c>
      <c r="D368" s="0" t="s">
        <v>31</v>
      </c>
      <c r="E368" s="0" t="n">
        <v>7</v>
      </c>
      <c r="F368" s="0" t="s">
        <v>50</v>
      </c>
      <c r="G368" s="0" t="s">
        <v>51</v>
      </c>
      <c r="H368" s="0" t="s">
        <v>51</v>
      </c>
      <c r="I368" s="0" t="s">
        <v>34</v>
      </c>
      <c r="J368" s="0" t="n">
        <v>0.97</v>
      </c>
      <c r="K368" s="0" t="s">
        <v>35</v>
      </c>
      <c r="L368" s="0" t="n">
        <f aca="false">INDEX(Summary!$F$2:$F$201,MATCH($B368,Summary!$A$2:$A$201,0))</f>
        <v>20</v>
      </c>
      <c r="M368" s="0" t="n">
        <f aca="false">INDEX(Summary!$I$2:$I$201,MATCH($B368,Summary!$A$2:$A$201,0))</f>
        <v>2</v>
      </c>
      <c r="N368" s="0" t="n">
        <f aca="false">INDEX(Summary!$J$2:$J$201,MATCH($B368,Summary!$A$2:$A$201,0))</f>
        <v>3</v>
      </c>
      <c r="O368" s="2" t="n">
        <f aca="false">INDEX(Summary!$K$2:$K$201,MATCH($B368,Summary!$A$2:$A$201,0))</f>
        <v>10.37</v>
      </c>
      <c r="P368" s="3" t="n">
        <f aca="false">INDEX(Summary!$L$2:$L$201,MATCH($B368,Summary!$A$2:$A$201,0))</f>
        <v>5</v>
      </c>
      <c r="Q368" s="3" t="n">
        <f aca="false">INDEX(Summary!$M$2:$M$201,MATCH($B368,Summary!$A$2:$A$201,0))</f>
        <v>1</v>
      </c>
      <c r="R368" s="2" t="n">
        <f aca="false">INDEX(Summary!$N$2:$N$201,MATCH($B368,Summary!$A$2:$A$201,0))</f>
        <v>9.87</v>
      </c>
      <c r="S368" s="3" t="n">
        <f aca="false">INDEX(Summary!$O$2:$O$201,MATCH($B368,Summary!$A$2:$A$201,0))</f>
        <v>8</v>
      </c>
      <c r="T368" s="3" t="n">
        <f aca="false">INDEX(Summary!$P$2:$P$201,MATCH($B368,Summary!$A$2:$A$201,0))</f>
        <v>1</v>
      </c>
      <c r="U368" s="2" t="n">
        <f aca="false">INDEX(Summary!$Q$2:$Q$201,MATCH($B368,Summary!$A$2:$A$201,0))</f>
        <v>12.64</v>
      </c>
      <c r="V368" s="2" t="n">
        <f aca="false">INDEX(Summary!$R$2:$R$201,MATCH($B368,Summary!$A$2:$A$201,0))</f>
        <v>27.62</v>
      </c>
      <c r="W368" s="0" t="str">
        <f aca="false">INDEX(Summary!$S$2:$S$201,MATCH($B368,Summary!$A$2:$A$201,0))</f>
        <v>Silver</v>
      </c>
      <c r="X368" s="2" t="n">
        <f aca="false">INDEX(Summary!$T$2:$T$201,MATCH($B368,Summary!$A$2:$A$201,0))</f>
        <v>67.37</v>
      </c>
      <c r="Y368" s="0" t="str">
        <f aca="false">INDEX('Reward Model'!$E$18:$E$37,MATCH($E368,'Reward Model'!$A$18:$A$37,0))</f>
        <v>Low</v>
      </c>
      <c r="Z368" s="4" t="n">
        <f aca="false">ROUND(MIN(1,MAX('Reward Model'!$B$2,INDEX('Reward Model'!$C$12:$C$14,MATCH($K368,'Reward Model'!$A$12:$A$14,0))/$J368)),3)</f>
        <v>1</v>
      </c>
      <c r="AA368" s="2" t="n">
        <f aca="false">IF($I368="Correct",ROUND(INDEX('Reward Model'!$B$12:$B$14,MATCH($K368,'Reward Model'!$A$12:$A$14,0))*Z368,2),0)</f>
        <v>1</v>
      </c>
      <c r="AB368" s="2" t="n">
        <f aca="false">IF($I368="Correct",ROUND(INDEX('Reward Model'!$B$12:$B$14,MATCH($Y368,'Reward Model'!$A$12:$A$14,0))*Z368,2),0)</f>
        <v>1</v>
      </c>
    </row>
    <row r="369" customFormat="false" ht="15" hidden="false" customHeight="false" outlineLevel="0" collapsed="false">
      <c r="A369" s="0" t="s">
        <v>158</v>
      </c>
      <c r="B369" s="0" t="s">
        <v>159</v>
      </c>
      <c r="C369" s="0" t="s">
        <v>30</v>
      </c>
      <c r="D369" s="0" t="s">
        <v>31</v>
      </c>
      <c r="E369" s="0" t="n">
        <v>8</v>
      </c>
      <c r="F369" s="0" t="s">
        <v>52</v>
      </c>
      <c r="G369" s="0" t="s">
        <v>54</v>
      </c>
      <c r="H369" s="0" t="s">
        <v>54</v>
      </c>
      <c r="I369" s="0" t="s">
        <v>34</v>
      </c>
      <c r="J369" s="0" t="n">
        <v>0.9</v>
      </c>
      <c r="K369" s="0" t="s">
        <v>35</v>
      </c>
      <c r="L369" s="0" t="n">
        <f aca="false">INDEX(Summary!$F$2:$F$201,MATCH($B369,Summary!$A$2:$A$201,0))</f>
        <v>20</v>
      </c>
      <c r="M369" s="0" t="n">
        <f aca="false">INDEX(Summary!$I$2:$I$201,MATCH($B369,Summary!$A$2:$A$201,0))</f>
        <v>2</v>
      </c>
      <c r="N369" s="0" t="n">
        <f aca="false">INDEX(Summary!$J$2:$J$201,MATCH($B369,Summary!$A$2:$A$201,0))</f>
        <v>3</v>
      </c>
      <c r="O369" s="2" t="n">
        <f aca="false">INDEX(Summary!$K$2:$K$201,MATCH($B369,Summary!$A$2:$A$201,0))</f>
        <v>10.37</v>
      </c>
      <c r="P369" s="3" t="n">
        <f aca="false">INDEX(Summary!$L$2:$L$201,MATCH($B369,Summary!$A$2:$A$201,0))</f>
        <v>5</v>
      </c>
      <c r="Q369" s="3" t="n">
        <f aca="false">INDEX(Summary!$M$2:$M$201,MATCH($B369,Summary!$A$2:$A$201,0))</f>
        <v>1</v>
      </c>
      <c r="R369" s="2" t="n">
        <f aca="false">INDEX(Summary!$N$2:$N$201,MATCH($B369,Summary!$A$2:$A$201,0))</f>
        <v>9.87</v>
      </c>
      <c r="S369" s="3" t="n">
        <f aca="false">INDEX(Summary!$O$2:$O$201,MATCH($B369,Summary!$A$2:$A$201,0))</f>
        <v>8</v>
      </c>
      <c r="T369" s="3" t="n">
        <f aca="false">INDEX(Summary!$P$2:$P$201,MATCH($B369,Summary!$A$2:$A$201,0))</f>
        <v>1</v>
      </c>
      <c r="U369" s="2" t="n">
        <f aca="false">INDEX(Summary!$Q$2:$Q$201,MATCH($B369,Summary!$A$2:$A$201,0))</f>
        <v>12.64</v>
      </c>
      <c r="V369" s="2" t="n">
        <f aca="false">INDEX(Summary!$R$2:$R$201,MATCH($B369,Summary!$A$2:$A$201,0))</f>
        <v>27.62</v>
      </c>
      <c r="W369" s="0" t="str">
        <f aca="false">INDEX(Summary!$S$2:$S$201,MATCH($B369,Summary!$A$2:$A$201,0))</f>
        <v>Silver</v>
      </c>
      <c r="X369" s="2" t="n">
        <f aca="false">INDEX(Summary!$T$2:$T$201,MATCH($B369,Summary!$A$2:$A$201,0))</f>
        <v>67.37</v>
      </c>
      <c r="Y369" s="0" t="str">
        <f aca="false">INDEX('Reward Model'!$E$18:$E$37,MATCH($E369,'Reward Model'!$A$18:$A$37,0))</f>
        <v>Medium</v>
      </c>
      <c r="Z369" s="4" t="n">
        <f aca="false">ROUND(MIN(1,MAX('Reward Model'!$B$2,INDEX('Reward Model'!$C$12:$C$14,MATCH($K369,'Reward Model'!$A$12:$A$14,0))/$J369)),3)</f>
        <v>1</v>
      </c>
      <c r="AA369" s="2" t="n">
        <f aca="false">IF($I369="Correct",ROUND(INDEX('Reward Model'!$B$12:$B$14,MATCH($K369,'Reward Model'!$A$12:$A$14,0))*Z369,2),0)</f>
        <v>1</v>
      </c>
      <c r="AB369" s="2" t="n">
        <f aca="false">IF($I369="Correct",ROUND(INDEX('Reward Model'!$B$12:$B$14,MATCH($Y369,'Reward Model'!$A$12:$A$14,0))*Z369,2),0)</f>
        <v>2</v>
      </c>
    </row>
    <row r="370" customFormat="false" ht="15" hidden="false" customHeight="false" outlineLevel="0" collapsed="false">
      <c r="A370" s="0" t="s">
        <v>158</v>
      </c>
      <c r="B370" s="0" t="s">
        <v>159</v>
      </c>
      <c r="C370" s="0" t="s">
        <v>30</v>
      </c>
      <c r="D370" s="0" t="s">
        <v>31</v>
      </c>
      <c r="E370" s="0" t="n">
        <v>9</v>
      </c>
      <c r="F370" s="0" t="s">
        <v>55</v>
      </c>
      <c r="G370" s="0" t="s">
        <v>57</v>
      </c>
      <c r="H370" s="0" t="s">
        <v>57</v>
      </c>
      <c r="I370" s="0" t="s">
        <v>34</v>
      </c>
      <c r="J370" s="0" t="n">
        <v>1.48</v>
      </c>
      <c r="K370" s="0" t="s">
        <v>35</v>
      </c>
      <c r="L370" s="0" t="n">
        <f aca="false">INDEX(Summary!$F$2:$F$201,MATCH($B370,Summary!$A$2:$A$201,0))</f>
        <v>20</v>
      </c>
      <c r="M370" s="0" t="n">
        <f aca="false">INDEX(Summary!$I$2:$I$201,MATCH($B370,Summary!$A$2:$A$201,0))</f>
        <v>2</v>
      </c>
      <c r="N370" s="0" t="n">
        <f aca="false">INDEX(Summary!$J$2:$J$201,MATCH($B370,Summary!$A$2:$A$201,0))</f>
        <v>3</v>
      </c>
      <c r="O370" s="2" t="n">
        <f aca="false">INDEX(Summary!$K$2:$K$201,MATCH($B370,Summary!$A$2:$A$201,0))</f>
        <v>10.37</v>
      </c>
      <c r="P370" s="3" t="n">
        <f aca="false">INDEX(Summary!$L$2:$L$201,MATCH($B370,Summary!$A$2:$A$201,0))</f>
        <v>5</v>
      </c>
      <c r="Q370" s="3" t="n">
        <f aca="false">INDEX(Summary!$M$2:$M$201,MATCH($B370,Summary!$A$2:$A$201,0))</f>
        <v>1</v>
      </c>
      <c r="R370" s="2" t="n">
        <f aca="false">INDEX(Summary!$N$2:$N$201,MATCH($B370,Summary!$A$2:$A$201,0))</f>
        <v>9.87</v>
      </c>
      <c r="S370" s="3" t="n">
        <f aca="false">INDEX(Summary!$O$2:$O$201,MATCH($B370,Summary!$A$2:$A$201,0))</f>
        <v>8</v>
      </c>
      <c r="T370" s="3" t="n">
        <f aca="false">INDEX(Summary!$P$2:$P$201,MATCH($B370,Summary!$A$2:$A$201,0))</f>
        <v>1</v>
      </c>
      <c r="U370" s="2" t="n">
        <f aca="false">INDEX(Summary!$Q$2:$Q$201,MATCH($B370,Summary!$A$2:$A$201,0))</f>
        <v>12.64</v>
      </c>
      <c r="V370" s="2" t="n">
        <f aca="false">INDEX(Summary!$R$2:$R$201,MATCH($B370,Summary!$A$2:$A$201,0))</f>
        <v>27.62</v>
      </c>
      <c r="W370" s="0" t="str">
        <f aca="false">INDEX(Summary!$S$2:$S$201,MATCH($B370,Summary!$A$2:$A$201,0))</f>
        <v>Silver</v>
      </c>
      <c r="X370" s="2" t="n">
        <f aca="false">INDEX(Summary!$T$2:$T$201,MATCH($B370,Summary!$A$2:$A$201,0))</f>
        <v>67.37</v>
      </c>
      <c r="Y370" s="0" t="str">
        <f aca="false">INDEX('Reward Model'!$E$18:$E$37,MATCH($E370,'Reward Model'!$A$18:$A$37,0))</f>
        <v>Medium</v>
      </c>
      <c r="Z370" s="4" t="n">
        <f aca="false">ROUND(MIN(1,MAX('Reward Model'!$B$2,INDEX('Reward Model'!$C$12:$C$14,MATCH($K370,'Reward Model'!$A$12:$A$14,0))/$J370)),3)</f>
        <v>1</v>
      </c>
      <c r="AA370" s="2" t="n">
        <f aca="false">IF($I370="Correct",ROUND(INDEX('Reward Model'!$B$12:$B$14,MATCH($K370,'Reward Model'!$A$12:$A$14,0))*Z370,2),0)</f>
        <v>1</v>
      </c>
      <c r="AB370" s="2" t="n">
        <f aca="false">IF($I370="Correct",ROUND(INDEX('Reward Model'!$B$12:$B$14,MATCH($Y370,'Reward Model'!$A$12:$A$14,0))*Z370,2),0)</f>
        <v>2</v>
      </c>
    </row>
    <row r="371" customFormat="false" ht="15" hidden="false" customHeight="false" outlineLevel="0" collapsed="false">
      <c r="A371" s="0" t="s">
        <v>158</v>
      </c>
      <c r="B371" s="0" t="s">
        <v>159</v>
      </c>
      <c r="C371" s="0" t="s">
        <v>30</v>
      </c>
      <c r="D371" s="0" t="s">
        <v>31</v>
      </c>
      <c r="E371" s="0" t="n">
        <v>10</v>
      </c>
      <c r="F371" s="0" t="s">
        <v>58</v>
      </c>
      <c r="G371" s="0" t="s">
        <v>59</v>
      </c>
      <c r="H371" s="0" t="s">
        <v>59</v>
      </c>
      <c r="I371" s="0" t="s">
        <v>34</v>
      </c>
      <c r="J371" s="0" t="n">
        <v>1.28</v>
      </c>
      <c r="K371" s="0" t="s">
        <v>60</v>
      </c>
      <c r="L371" s="0" t="n">
        <f aca="false">INDEX(Summary!$F$2:$F$201,MATCH($B371,Summary!$A$2:$A$201,0))</f>
        <v>20</v>
      </c>
      <c r="M371" s="0" t="n">
        <f aca="false">INDEX(Summary!$I$2:$I$201,MATCH($B371,Summary!$A$2:$A$201,0))</f>
        <v>2</v>
      </c>
      <c r="N371" s="0" t="n">
        <f aca="false">INDEX(Summary!$J$2:$J$201,MATCH($B371,Summary!$A$2:$A$201,0))</f>
        <v>3</v>
      </c>
      <c r="O371" s="2" t="n">
        <f aca="false">INDEX(Summary!$K$2:$K$201,MATCH($B371,Summary!$A$2:$A$201,0))</f>
        <v>10.37</v>
      </c>
      <c r="P371" s="3" t="n">
        <f aca="false">INDEX(Summary!$L$2:$L$201,MATCH($B371,Summary!$A$2:$A$201,0))</f>
        <v>5</v>
      </c>
      <c r="Q371" s="3" t="n">
        <f aca="false">INDEX(Summary!$M$2:$M$201,MATCH($B371,Summary!$A$2:$A$201,0))</f>
        <v>1</v>
      </c>
      <c r="R371" s="2" t="n">
        <f aca="false">INDEX(Summary!$N$2:$N$201,MATCH($B371,Summary!$A$2:$A$201,0))</f>
        <v>9.87</v>
      </c>
      <c r="S371" s="3" t="n">
        <f aca="false">INDEX(Summary!$O$2:$O$201,MATCH($B371,Summary!$A$2:$A$201,0))</f>
        <v>8</v>
      </c>
      <c r="T371" s="3" t="n">
        <f aca="false">INDEX(Summary!$P$2:$P$201,MATCH($B371,Summary!$A$2:$A$201,0))</f>
        <v>1</v>
      </c>
      <c r="U371" s="2" t="n">
        <f aca="false">INDEX(Summary!$Q$2:$Q$201,MATCH($B371,Summary!$A$2:$A$201,0))</f>
        <v>12.64</v>
      </c>
      <c r="V371" s="2" t="n">
        <f aca="false">INDEX(Summary!$R$2:$R$201,MATCH($B371,Summary!$A$2:$A$201,0))</f>
        <v>27.62</v>
      </c>
      <c r="W371" s="0" t="str">
        <f aca="false">INDEX(Summary!$S$2:$S$201,MATCH($B371,Summary!$A$2:$A$201,0))</f>
        <v>Silver</v>
      </c>
      <c r="X371" s="2" t="n">
        <f aca="false">INDEX(Summary!$T$2:$T$201,MATCH($B371,Summary!$A$2:$A$201,0))</f>
        <v>67.37</v>
      </c>
      <c r="Y371" s="0" t="str">
        <f aca="false">INDEX('Reward Model'!$E$18:$E$37,MATCH($E371,'Reward Model'!$A$18:$A$37,0))</f>
        <v>Medium</v>
      </c>
      <c r="Z371" s="4" t="n">
        <f aca="false">ROUND(MIN(1,MAX('Reward Model'!$B$2,INDEX('Reward Model'!$C$12:$C$14,MATCH($K371,'Reward Model'!$A$12:$A$14,0))/$J371)),3)</f>
        <v>1</v>
      </c>
      <c r="AA371" s="2" t="n">
        <f aca="false">IF($I371="Correct",ROUND(INDEX('Reward Model'!$B$12:$B$14,MATCH($K371,'Reward Model'!$A$12:$A$14,0))*Z371,2),0)</f>
        <v>2</v>
      </c>
      <c r="AB371" s="2" t="n">
        <f aca="false">IF($I371="Correct",ROUND(INDEX('Reward Model'!$B$12:$B$14,MATCH($Y371,'Reward Model'!$A$12:$A$14,0))*Z371,2),0)</f>
        <v>2</v>
      </c>
    </row>
    <row r="372" customFormat="false" ht="15" hidden="false" customHeight="false" outlineLevel="0" collapsed="false">
      <c r="A372" s="0" t="s">
        <v>158</v>
      </c>
      <c r="B372" s="0" t="s">
        <v>159</v>
      </c>
      <c r="C372" s="0" t="s">
        <v>30</v>
      </c>
      <c r="D372" s="0" t="s">
        <v>31</v>
      </c>
      <c r="E372" s="0" t="n">
        <v>11</v>
      </c>
      <c r="F372" s="0" t="s">
        <v>61</v>
      </c>
      <c r="G372" s="0" t="s">
        <v>63</v>
      </c>
      <c r="H372" s="0" t="s">
        <v>63</v>
      </c>
      <c r="I372" s="0" t="s">
        <v>34</v>
      </c>
      <c r="J372" s="0" t="n">
        <v>2.23</v>
      </c>
      <c r="K372" s="0" t="s">
        <v>60</v>
      </c>
      <c r="L372" s="0" t="n">
        <f aca="false">INDEX(Summary!$F$2:$F$201,MATCH($B372,Summary!$A$2:$A$201,0))</f>
        <v>20</v>
      </c>
      <c r="M372" s="0" t="n">
        <f aca="false">INDEX(Summary!$I$2:$I$201,MATCH($B372,Summary!$A$2:$A$201,0))</f>
        <v>2</v>
      </c>
      <c r="N372" s="0" t="n">
        <f aca="false">INDEX(Summary!$J$2:$J$201,MATCH($B372,Summary!$A$2:$A$201,0))</f>
        <v>3</v>
      </c>
      <c r="O372" s="2" t="n">
        <f aca="false">INDEX(Summary!$K$2:$K$201,MATCH($B372,Summary!$A$2:$A$201,0))</f>
        <v>10.37</v>
      </c>
      <c r="P372" s="3" t="n">
        <f aca="false">INDEX(Summary!$L$2:$L$201,MATCH($B372,Summary!$A$2:$A$201,0))</f>
        <v>5</v>
      </c>
      <c r="Q372" s="3" t="n">
        <f aca="false">INDEX(Summary!$M$2:$M$201,MATCH($B372,Summary!$A$2:$A$201,0))</f>
        <v>1</v>
      </c>
      <c r="R372" s="2" t="n">
        <f aca="false">INDEX(Summary!$N$2:$N$201,MATCH($B372,Summary!$A$2:$A$201,0))</f>
        <v>9.87</v>
      </c>
      <c r="S372" s="3" t="n">
        <f aca="false">INDEX(Summary!$O$2:$O$201,MATCH($B372,Summary!$A$2:$A$201,0))</f>
        <v>8</v>
      </c>
      <c r="T372" s="3" t="n">
        <f aca="false">INDEX(Summary!$P$2:$P$201,MATCH($B372,Summary!$A$2:$A$201,0))</f>
        <v>1</v>
      </c>
      <c r="U372" s="2" t="n">
        <f aca="false">INDEX(Summary!$Q$2:$Q$201,MATCH($B372,Summary!$A$2:$A$201,0))</f>
        <v>12.64</v>
      </c>
      <c r="V372" s="2" t="n">
        <f aca="false">INDEX(Summary!$R$2:$R$201,MATCH($B372,Summary!$A$2:$A$201,0))</f>
        <v>27.62</v>
      </c>
      <c r="W372" s="0" t="str">
        <f aca="false">INDEX(Summary!$S$2:$S$201,MATCH($B372,Summary!$A$2:$A$201,0))</f>
        <v>Silver</v>
      </c>
      <c r="X372" s="2" t="n">
        <f aca="false">INDEX(Summary!$T$2:$T$201,MATCH($B372,Summary!$A$2:$A$201,0))</f>
        <v>67.37</v>
      </c>
      <c r="Y372" s="0" t="str">
        <f aca="false">INDEX('Reward Model'!$E$18:$E$37,MATCH($E372,'Reward Model'!$A$18:$A$37,0))</f>
        <v>Medium</v>
      </c>
      <c r="Z372" s="4" t="n">
        <f aca="false">ROUND(MIN(1,MAX('Reward Model'!$B$2,INDEX('Reward Model'!$C$12:$C$14,MATCH($K372,'Reward Model'!$A$12:$A$14,0))/$J372)),3)</f>
        <v>0.807</v>
      </c>
      <c r="AA372" s="2" t="n">
        <f aca="false">IF($I372="Correct",ROUND(INDEX('Reward Model'!$B$12:$B$14,MATCH($K372,'Reward Model'!$A$12:$A$14,0))*Z372,2),0)</f>
        <v>1.61</v>
      </c>
      <c r="AB372" s="2" t="n">
        <f aca="false">IF($I372="Correct",ROUND(INDEX('Reward Model'!$B$12:$B$14,MATCH($Y372,'Reward Model'!$A$12:$A$14,0))*Z372,2),0)</f>
        <v>1.61</v>
      </c>
    </row>
    <row r="373" customFormat="false" ht="15" hidden="false" customHeight="false" outlineLevel="0" collapsed="false">
      <c r="A373" s="0" t="s">
        <v>158</v>
      </c>
      <c r="B373" s="0" t="s">
        <v>159</v>
      </c>
      <c r="C373" s="0" t="s">
        <v>30</v>
      </c>
      <c r="D373" s="0" t="s">
        <v>31</v>
      </c>
      <c r="E373" s="0" t="n">
        <v>12</v>
      </c>
      <c r="F373" s="0" t="s">
        <v>64</v>
      </c>
      <c r="G373" s="0" t="s">
        <v>65</v>
      </c>
      <c r="H373" s="0" t="s">
        <v>65</v>
      </c>
      <c r="I373" s="0" t="s">
        <v>34</v>
      </c>
      <c r="J373" s="0" t="n">
        <v>1.12</v>
      </c>
      <c r="K373" s="0" t="s">
        <v>60</v>
      </c>
      <c r="L373" s="0" t="n">
        <f aca="false">INDEX(Summary!$F$2:$F$201,MATCH($B373,Summary!$A$2:$A$201,0))</f>
        <v>20</v>
      </c>
      <c r="M373" s="0" t="n">
        <f aca="false">INDEX(Summary!$I$2:$I$201,MATCH($B373,Summary!$A$2:$A$201,0))</f>
        <v>2</v>
      </c>
      <c r="N373" s="0" t="n">
        <f aca="false">INDEX(Summary!$J$2:$J$201,MATCH($B373,Summary!$A$2:$A$201,0))</f>
        <v>3</v>
      </c>
      <c r="O373" s="2" t="n">
        <f aca="false">INDEX(Summary!$K$2:$K$201,MATCH($B373,Summary!$A$2:$A$201,0))</f>
        <v>10.37</v>
      </c>
      <c r="P373" s="3" t="n">
        <f aca="false">INDEX(Summary!$L$2:$L$201,MATCH($B373,Summary!$A$2:$A$201,0))</f>
        <v>5</v>
      </c>
      <c r="Q373" s="3" t="n">
        <f aca="false">INDEX(Summary!$M$2:$M$201,MATCH($B373,Summary!$A$2:$A$201,0))</f>
        <v>1</v>
      </c>
      <c r="R373" s="2" t="n">
        <f aca="false">INDEX(Summary!$N$2:$N$201,MATCH($B373,Summary!$A$2:$A$201,0))</f>
        <v>9.87</v>
      </c>
      <c r="S373" s="3" t="n">
        <f aca="false">INDEX(Summary!$O$2:$O$201,MATCH($B373,Summary!$A$2:$A$201,0))</f>
        <v>8</v>
      </c>
      <c r="T373" s="3" t="n">
        <f aca="false">INDEX(Summary!$P$2:$P$201,MATCH($B373,Summary!$A$2:$A$201,0))</f>
        <v>1</v>
      </c>
      <c r="U373" s="2" t="n">
        <f aca="false">INDEX(Summary!$Q$2:$Q$201,MATCH($B373,Summary!$A$2:$A$201,0))</f>
        <v>12.64</v>
      </c>
      <c r="V373" s="2" t="n">
        <f aca="false">INDEX(Summary!$R$2:$R$201,MATCH($B373,Summary!$A$2:$A$201,0))</f>
        <v>27.62</v>
      </c>
      <c r="W373" s="0" t="str">
        <f aca="false">INDEX(Summary!$S$2:$S$201,MATCH($B373,Summary!$A$2:$A$201,0))</f>
        <v>Silver</v>
      </c>
      <c r="X373" s="2" t="n">
        <f aca="false">INDEX(Summary!$T$2:$T$201,MATCH($B373,Summary!$A$2:$A$201,0))</f>
        <v>67.37</v>
      </c>
      <c r="Y373" s="0" t="str">
        <f aca="false">INDEX('Reward Model'!$E$18:$E$37,MATCH($E373,'Reward Model'!$A$18:$A$37,0))</f>
        <v>Medium</v>
      </c>
      <c r="Z373" s="4" t="n">
        <f aca="false">ROUND(MIN(1,MAX('Reward Model'!$B$2,INDEX('Reward Model'!$C$12:$C$14,MATCH($K373,'Reward Model'!$A$12:$A$14,0))/$J373)),3)</f>
        <v>1</v>
      </c>
      <c r="AA373" s="2" t="n">
        <f aca="false">IF($I373="Correct",ROUND(INDEX('Reward Model'!$B$12:$B$14,MATCH($K373,'Reward Model'!$A$12:$A$14,0))*Z373,2),0)</f>
        <v>2</v>
      </c>
      <c r="AB373" s="2" t="n">
        <f aca="false">IF($I373="Correct",ROUND(INDEX('Reward Model'!$B$12:$B$14,MATCH($Y373,'Reward Model'!$A$12:$A$14,0))*Z373,2),0)</f>
        <v>2</v>
      </c>
    </row>
    <row r="374" customFormat="false" ht="15" hidden="false" customHeight="false" outlineLevel="0" collapsed="false">
      <c r="A374" s="0" t="s">
        <v>158</v>
      </c>
      <c r="B374" s="0" t="s">
        <v>159</v>
      </c>
      <c r="C374" s="0" t="s">
        <v>30</v>
      </c>
      <c r="D374" s="0" t="s">
        <v>31</v>
      </c>
      <c r="E374" s="0" t="n">
        <v>13</v>
      </c>
      <c r="F374" s="0" t="s">
        <v>66</v>
      </c>
      <c r="G374" s="0" t="s">
        <v>67</v>
      </c>
      <c r="H374" s="0" t="s">
        <v>67</v>
      </c>
      <c r="I374" s="0" t="s">
        <v>34</v>
      </c>
      <c r="J374" s="0" t="n">
        <v>1.83</v>
      </c>
      <c r="K374" s="0" t="s">
        <v>60</v>
      </c>
      <c r="L374" s="0" t="n">
        <f aca="false">INDEX(Summary!$F$2:$F$201,MATCH($B374,Summary!$A$2:$A$201,0))</f>
        <v>20</v>
      </c>
      <c r="M374" s="0" t="n">
        <f aca="false">INDEX(Summary!$I$2:$I$201,MATCH($B374,Summary!$A$2:$A$201,0))</f>
        <v>2</v>
      </c>
      <c r="N374" s="0" t="n">
        <f aca="false">INDEX(Summary!$J$2:$J$201,MATCH($B374,Summary!$A$2:$A$201,0))</f>
        <v>3</v>
      </c>
      <c r="O374" s="2" t="n">
        <f aca="false">INDEX(Summary!$K$2:$K$201,MATCH($B374,Summary!$A$2:$A$201,0))</f>
        <v>10.37</v>
      </c>
      <c r="P374" s="3" t="n">
        <f aca="false">INDEX(Summary!$L$2:$L$201,MATCH($B374,Summary!$A$2:$A$201,0))</f>
        <v>5</v>
      </c>
      <c r="Q374" s="3" t="n">
        <f aca="false">INDEX(Summary!$M$2:$M$201,MATCH($B374,Summary!$A$2:$A$201,0))</f>
        <v>1</v>
      </c>
      <c r="R374" s="2" t="n">
        <f aca="false">INDEX(Summary!$N$2:$N$201,MATCH($B374,Summary!$A$2:$A$201,0))</f>
        <v>9.87</v>
      </c>
      <c r="S374" s="3" t="n">
        <f aca="false">INDEX(Summary!$O$2:$O$201,MATCH($B374,Summary!$A$2:$A$201,0))</f>
        <v>8</v>
      </c>
      <c r="T374" s="3" t="n">
        <f aca="false">INDEX(Summary!$P$2:$P$201,MATCH($B374,Summary!$A$2:$A$201,0))</f>
        <v>1</v>
      </c>
      <c r="U374" s="2" t="n">
        <f aca="false">INDEX(Summary!$Q$2:$Q$201,MATCH($B374,Summary!$A$2:$A$201,0))</f>
        <v>12.64</v>
      </c>
      <c r="V374" s="2" t="n">
        <f aca="false">INDEX(Summary!$R$2:$R$201,MATCH($B374,Summary!$A$2:$A$201,0))</f>
        <v>27.62</v>
      </c>
      <c r="W374" s="0" t="str">
        <f aca="false">INDEX(Summary!$S$2:$S$201,MATCH($B374,Summary!$A$2:$A$201,0))</f>
        <v>Silver</v>
      </c>
      <c r="X374" s="2" t="n">
        <f aca="false">INDEX(Summary!$T$2:$T$201,MATCH($B374,Summary!$A$2:$A$201,0))</f>
        <v>67.37</v>
      </c>
      <c r="Y374" s="0" t="str">
        <f aca="false">INDEX('Reward Model'!$E$18:$E$37,MATCH($E374,'Reward Model'!$A$18:$A$37,0))</f>
        <v>Medium</v>
      </c>
      <c r="Z374" s="4" t="n">
        <f aca="false">ROUND(MIN(1,MAX('Reward Model'!$B$2,INDEX('Reward Model'!$C$12:$C$14,MATCH($K374,'Reward Model'!$A$12:$A$14,0))/$J374)),3)</f>
        <v>0.984</v>
      </c>
      <c r="AA374" s="2" t="n">
        <f aca="false">IF($I374="Correct",ROUND(INDEX('Reward Model'!$B$12:$B$14,MATCH($K374,'Reward Model'!$A$12:$A$14,0))*Z374,2),0)</f>
        <v>1.97</v>
      </c>
      <c r="AB374" s="2" t="n">
        <f aca="false">IF($I374="Correct",ROUND(INDEX('Reward Model'!$B$12:$B$14,MATCH($Y374,'Reward Model'!$A$12:$A$14,0))*Z374,2),0)</f>
        <v>1.97</v>
      </c>
    </row>
    <row r="375" customFormat="false" ht="15" hidden="false" customHeight="false" outlineLevel="0" collapsed="false">
      <c r="A375" s="0" t="s">
        <v>158</v>
      </c>
      <c r="B375" s="0" t="s">
        <v>159</v>
      </c>
      <c r="C375" s="0" t="s">
        <v>30</v>
      </c>
      <c r="D375" s="0" t="s">
        <v>31</v>
      </c>
      <c r="E375" s="0" t="n">
        <v>14</v>
      </c>
      <c r="F375" s="0" t="s">
        <v>68</v>
      </c>
      <c r="G375" s="0" t="s">
        <v>118</v>
      </c>
      <c r="H375" s="0" t="s">
        <v>51</v>
      </c>
      <c r="I375" s="0" t="s">
        <v>39</v>
      </c>
      <c r="J375" s="0" t="n">
        <v>1.56</v>
      </c>
      <c r="K375" s="0" t="s">
        <v>60</v>
      </c>
      <c r="L375" s="0" t="n">
        <f aca="false">INDEX(Summary!$F$2:$F$201,MATCH($B375,Summary!$A$2:$A$201,0))</f>
        <v>20</v>
      </c>
      <c r="M375" s="0" t="n">
        <f aca="false">INDEX(Summary!$I$2:$I$201,MATCH($B375,Summary!$A$2:$A$201,0))</f>
        <v>2</v>
      </c>
      <c r="N375" s="0" t="n">
        <f aca="false">INDEX(Summary!$J$2:$J$201,MATCH($B375,Summary!$A$2:$A$201,0))</f>
        <v>3</v>
      </c>
      <c r="O375" s="2" t="n">
        <f aca="false">INDEX(Summary!$K$2:$K$201,MATCH($B375,Summary!$A$2:$A$201,0))</f>
        <v>10.37</v>
      </c>
      <c r="P375" s="3" t="n">
        <f aca="false">INDEX(Summary!$L$2:$L$201,MATCH($B375,Summary!$A$2:$A$201,0))</f>
        <v>5</v>
      </c>
      <c r="Q375" s="3" t="n">
        <f aca="false">INDEX(Summary!$M$2:$M$201,MATCH($B375,Summary!$A$2:$A$201,0))</f>
        <v>1</v>
      </c>
      <c r="R375" s="2" t="n">
        <f aca="false">INDEX(Summary!$N$2:$N$201,MATCH($B375,Summary!$A$2:$A$201,0))</f>
        <v>9.87</v>
      </c>
      <c r="S375" s="3" t="n">
        <f aca="false">INDEX(Summary!$O$2:$O$201,MATCH($B375,Summary!$A$2:$A$201,0))</f>
        <v>8</v>
      </c>
      <c r="T375" s="3" t="n">
        <f aca="false">INDEX(Summary!$P$2:$P$201,MATCH($B375,Summary!$A$2:$A$201,0))</f>
        <v>1</v>
      </c>
      <c r="U375" s="2" t="n">
        <f aca="false">INDEX(Summary!$Q$2:$Q$201,MATCH($B375,Summary!$A$2:$A$201,0))</f>
        <v>12.64</v>
      </c>
      <c r="V375" s="2" t="n">
        <f aca="false">INDEX(Summary!$R$2:$R$201,MATCH($B375,Summary!$A$2:$A$201,0))</f>
        <v>27.62</v>
      </c>
      <c r="W375" s="0" t="str">
        <f aca="false">INDEX(Summary!$S$2:$S$201,MATCH($B375,Summary!$A$2:$A$201,0))</f>
        <v>Silver</v>
      </c>
      <c r="X375" s="2" t="n">
        <f aca="false">INDEX(Summary!$T$2:$T$201,MATCH($B375,Summary!$A$2:$A$201,0))</f>
        <v>67.37</v>
      </c>
      <c r="Y375" s="0" t="str">
        <f aca="false">INDEX('Reward Model'!$E$18:$E$37,MATCH($E375,'Reward Model'!$A$18:$A$37,0))</f>
        <v>Medium</v>
      </c>
      <c r="Z375" s="4" t="n">
        <f aca="false">ROUND(MIN(1,MAX('Reward Model'!$B$2,INDEX('Reward Model'!$C$12:$C$14,MATCH($K375,'Reward Model'!$A$12:$A$14,0))/$J375)),3)</f>
        <v>1</v>
      </c>
      <c r="AA375" s="2" t="n">
        <f aca="false">IF($I375="Correct",ROUND(INDEX('Reward Model'!$B$12:$B$14,MATCH($K375,'Reward Model'!$A$12:$A$14,0))*Z375,2),0)</f>
        <v>0</v>
      </c>
      <c r="AB375" s="2" t="n">
        <f aca="false">IF($I375="Correct",ROUND(INDEX('Reward Model'!$B$12:$B$14,MATCH($Y375,'Reward Model'!$A$12:$A$14,0))*Z375,2),0)</f>
        <v>0</v>
      </c>
    </row>
    <row r="376" customFormat="false" ht="15" hidden="false" customHeight="false" outlineLevel="0" collapsed="false">
      <c r="A376" s="0" t="s">
        <v>158</v>
      </c>
      <c r="B376" s="0" t="s">
        <v>159</v>
      </c>
      <c r="C376" s="0" t="s">
        <v>30</v>
      </c>
      <c r="D376" s="0" t="s">
        <v>31</v>
      </c>
      <c r="E376" s="0" t="n">
        <v>15</v>
      </c>
      <c r="F376" s="0" t="s">
        <v>69</v>
      </c>
      <c r="G376" s="0" t="s">
        <v>70</v>
      </c>
      <c r="H376" s="0" t="s">
        <v>70</v>
      </c>
      <c r="I376" s="0" t="s">
        <v>34</v>
      </c>
      <c r="J376" s="0" t="n">
        <v>1.85</v>
      </c>
      <c r="K376" s="0" t="s">
        <v>60</v>
      </c>
      <c r="L376" s="0" t="n">
        <f aca="false">INDEX(Summary!$F$2:$F$201,MATCH($B376,Summary!$A$2:$A$201,0))</f>
        <v>20</v>
      </c>
      <c r="M376" s="0" t="n">
        <f aca="false">INDEX(Summary!$I$2:$I$201,MATCH($B376,Summary!$A$2:$A$201,0))</f>
        <v>2</v>
      </c>
      <c r="N376" s="0" t="n">
        <f aca="false">INDEX(Summary!$J$2:$J$201,MATCH($B376,Summary!$A$2:$A$201,0))</f>
        <v>3</v>
      </c>
      <c r="O376" s="2" t="n">
        <f aca="false">INDEX(Summary!$K$2:$K$201,MATCH($B376,Summary!$A$2:$A$201,0))</f>
        <v>10.37</v>
      </c>
      <c r="P376" s="3" t="n">
        <f aca="false">INDEX(Summary!$L$2:$L$201,MATCH($B376,Summary!$A$2:$A$201,0))</f>
        <v>5</v>
      </c>
      <c r="Q376" s="3" t="n">
        <f aca="false">INDEX(Summary!$M$2:$M$201,MATCH($B376,Summary!$A$2:$A$201,0))</f>
        <v>1</v>
      </c>
      <c r="R376" s="2" t="n">
        <f aca="false">INDEX(Summary!$N$2:$N$201,MATCH($B376,Summary!$A$2:$A$201,0))</f>
        <v>9.87</v>
      </c>
      <c r="S376" s="3" t="n">
        <f aca="false">INDEX(Summary!$O$2:$O$201,MATCH($B376,Summary!$A$2:$A$201,0))</f>
        <v>8</v>
      </c>
      <c r="T376" s="3" t="n">
        <f aca="false">INDEX(Summary!$P$2:$P$201,MATCH($B376,Summary!$A$2:$A$201,0))</f>
        <v>1</v>
      </c>
      <c r="U376" s="2" t="n">
        <f aca="false">INDEX(Summary!$Q$2:$Q$201,MATCH($B376,Summary!$A$2:$A$201,0))</f>
        <v>12.64</v>
      </c>
      <c r="V376" s="2" t="n">
        <f aca="false">INDEX(Summary!$R$2:$R$201,MATCH($B376,Summary!$A$2:$A$201,0))</f>
        <v>27.62</v>
      </c>
      <c r="W376" s="0" t="str">
        <f aca="false">INDEX(Summary!$S$2:$S$201,MATCH($B376,Summary!$A$2:$A$201,0))</f>
        <v>Silver</v>
      </c>
      <c r="X376" s="2" t="n">
        <f aca="false">INDEX(Summary!$T$2:$T$201,MATCH($B376,Summary!$A$2:$A$201,0))</f>
        <v>67.37</v>
      </c>
      <c r="Y376" s="0" t="str">
        <f aca="false">INDEX('Reward Model'!$E$18:$E$37,MATCH($E376,'Reward Model'!$A$18:$A$37,0))</f>
        <v>Medium</v>
      </c>
      <c r="Z376" s="4" t="n">
        <f aca="false">ROUND(MIN(1,MAX('Reward Model'!$B$2,INDEX('Reward Model'!$C$12:$C$14,MATCH($K376,'Reward Model'!$A$12:$A$14,0))/$J376)),3)</f>
        <v>0.973</v>
      </c>
      <c r="AA376" s="2" t="n">
        <f aca="false">IF($I376="Correct",ROUND(INDEX('Reward Model'!$B$12:$B$14,MATCH($K376,'Reward Model'!$A$12:$A$14,0))*Z376,2),0)</f>
        <v>1.95</v>
      </c>
      <c r="AB376" s="2" t="n">
        <f aca="false">IF($I376="Correct",ROUND(INDEX('Reward Model'!$B$12:$B$14,MATCH($Y376,'Reward Model'!$A$12:$A$14,0))*Z376,2),0)</f>
        <v>1.95</v>
      </c>
    </row>
    <row r="377" customFormat="false" ht="15" hidden="false" customHeight="false" outlineLevel="0" collapsed="false">
      <c r="A377" s="0" t="s">
        <v>158</v>
      </c>
      <c r="B377" s="0" t="s">
        <v>159</v>
      </c>
      <c r="C377" s="0" t="s">
        <v>30</v>
      </c>
      <c r="D377" s="0" t="s">
        <v>31</v>
      </c>
      <c r="E377" s="0" t="n">
        <v>16</v>
      </c>
      <c r="F377" s="0" t="s">
        <v>71</v>
      </c>
      <c r="G377" s="0" t="s">
        <v>72</v>
      </c>
      <c r="H377" s="0" t="s">
        <v>72</v>
      </c>
      <c r="I377" s="0" t="s">
        <v>34</v>
      </c>
      <c r="J377" s="0" t="n">
        <v>1.82</v>
      </c>
      <c r="K377" s="0" t="s">
        <v>73</v>
      </c>
      <c r="L377" s="0" t="n">
        <f aca="false">INDEX(Summary!$F$2:$F$201,MATCH($B377,Summary!$A$2:$A$201,0))</f>
        <v>20</v>
      </c>
      <c r="M377" s="0" t="n">
        <f aca="false">INDEX(Summary!$I$2:$I$201,MATCH($B377,Summary!$A$2:$A$201,0))</f>
        <v>2</v>
      </c>
      <c r="N377" s="0" t="n">
        <f aca="false">INDEX(Summary!$J$2:$J$201,MATCH($B377,Summary!$A$2:$A$201,0))</f>
        <v>3</v>
      </c>
      <c r="O377" s="2" t="n">
        <f aca="false">INDEX(Summary!$K$2:$K$201,MATCH($B377,Summary!$A$2:$A$201,0))</f>
        <v>10.37</v>
      </c>
      <c r="P377" s="3" t="n">
        <f aca="false">INDEX(Summary!$L$2:$L$201,MATCH($B377,Summary!$A$2:$A$201,0))</f>
        <v>5</v>
      </c>
      <c r="Q377" s="3" t="n">
        <f aca="false">INDEX(Summary!$M$2:$M$201,MATCH($B377,Summary!$A$2:$A$201,0))</f>
        <v>1</v>
      </c>
      <c r="R377" s="2" t="n">
        <f aca="false">INDEX(Summary!$N$2:$N$201,MATCH($B377,Summary!$A$2:$A$201,0))</f>
        <v>9.87</v>
      </c>
      <c r="S377" s="3" t="n">
        <f aca="false">INDEX(Summary!$O$2:$O$201,MATCH($B377,Summary!$A$2:$A$201,0))</f>
        <v>8</v>
      </c>
      <c r="T377" s="3" t="n">
        <f aca="false">INDEX(Summary!$P$2:$P$201,MATCH($B377,Summary!$A$2:$A$201,0))</f>
        <v>1</v>
      </c>
      <c r="U377" s="2" t="n">
        <f aca="false">INDEX(Summary!$Q$2:$Q$201,MATCH($B377,Summary!$A$2:$A$201,0))</f>
        <v>12.64</v>
      </c>
      <c r="V377" s="2" t="n">
        <f aca="false">INDEX(Summary!$R$2:$R$201,MATCH($B377,Summary!$A$2:$A$201,0))</f>
        <v>27.62</v>
      </c>
      <c r="W377" s="0" t="str">
        <f aca="false">INDEX(Summary!$S$2:$S$201,MATCH($B377,Summary!$A$2:$A$201,0))</f>
        <v>Silver</v>
      </c>
      <c r="X377" s="2" t="n">
        <f aca="false">INDEX(Summary!$T$2:$T$201,MATCH($B377,Summary!$A$2:$A$201,0))</f>
        <v>67.37</v>
      </c>
      <c r="Y377" s="0" t="str">
        <f aca="false">INDEX('Reward Model'!$E$18:$E$37,MATCH($E377,'Reward Model'!$A$18:$A$37,0))</f>
        <v>High</v>
      </c>
      <c r="Z377" s="4" t="n">
        <f aca="false">ROUND(MIN(1,MAX('Reward Model'!$B$2,INDEX('Reward Model'!$C$12:$C$14,MATCH($K377,'Reward Model'!$A$12:$A$14,0))/$J377)),3)</f>
        <v>1</v>
      </c>
      <c r="AA377" s="2" t="n">
        <f aca="false">IF($I377="Correct",ROUND(INDEX('Reward Model'!$B$12:$B$14,MATCH($K377,'Reward Model'!$A$12:$A$14,0))*Z377,2),0)</f>
        <v>3</v>
      </c>
      <c r="AB377" s="2" t="n">
        <f aca="false">IF($I377="Correct",ROUND(INDEX('Reward Model'!$B$12:$B$14,MATCH($Y377,'Reward Model'!$A$12:$A$14,0))*Z377,2),0)</f>
        <v>3</v>
      </c>
    </row>
    <row r="378" customFormat="false" ht="15" hidden="false" customHeight="false" outlineLevel="0" collapsed="false">
      <c r="A378" s="0" t="s">
        <v>158</v>
      </c>
      <c r="B378" s="0" t="s">
        <v>159</v>
      </c>
      <c r="C378" s="0" t="s">
        <v>30</v>
      </c>
      <c r="D378" s="0" t="s">
        <v>31</v>
      </c>
      <c r="E378" s="0" t="n">
        <v>17</v>
      </c>
      <c r="F378" s="0" t="s">
        <v>74</v>
      </c>
      <c r="G378" s="0" t="s">
        <v>91</v>
      </c>
      <c r="H378" s="0" t="s">
        <v>75</v>
      </c>
      <c r="I378" s="0" t="s">
        <v>39</v>
      </c>
      <c r="J378" s="0" t="n">
        <v>1.33</v>
      </c>
      <c r="K378" s="0" t="s">
        <v>73</v>
      </c>
      <c r="L378" s="0" t="n">
        <f aca="false">INDEX(Summary!$F$2:$F$201,MATCH($B378,Summary!$A$2:$A$201,0))</f>
        <v>20</v>
      </c>
      <c r="M378" s="0" t="n">
        <f aca="false">INDEX(Summary!$I$2:$I$201,MATCH($B378,Summary!$A$2:$A$201,0))</f>
        <v>2</v>
      </c>
      <c r="N378" s="0" t="n">
        <f aca="false">INDEX(Summary!$J$2:$J$201,MATCH($B378,Summary!$A$2:$A$201,0))</f>
        <v>3</v>
      </c>
      <c r="O378" s="2" t="n">
        <f aca="false">INDEX(Summary!$K$2:$K$201,MATCH($B378,Summary!$A$2:$A$201,0))</f>
        <v>10.37</v>
      </c>
      <c r="P378" s="3" t="n">
        <f aca="false">INDEX(Summary!$L$2:$L$201,MATCH($B378,Summary!$A$2:$A$201,0))</f>
        <v>5</v>
      </c>
      <c r="Q378" s="3" t="n">
        <f aca="false">INDEX(Summary!$M$2:$M$201,MATCH($B378,Summary!$A$2:$A$201,0))</f>
        <v>1</v>
      </c>
      <c r="R378" s="2" t="n">
        <f aca="false">INDEX(Summary!$N$2:$N$201,MATCH($B378,Summary!$A$2:$A$201,0))</f>
        <v>9.87</v>
      </c>
      <c r="S378" s="3" t="n">
        <f aca="false">INDEX(Summary!$O$2:$O$201,MATCH($B378,Summary!$A$2:$A$201,0))</f>
        <v>8</v>
      </c>
      <c r="T378" s="3" t="n">
        <f aca="false">INDEX(Summary!$P$2:$P$201,MATCH($B378,Summary!$A$2:$A$201,0))</f>
        <v>1</v>
      </c>
      <c r="U378" s="2" t="n">
        <f aca="false">INDEX(Summary!$Q$2:$Q$201,MATCH($B378,Summary!$A$2:$A$201,0))</f>
        <v>12.64</v>
      </c>
      <c r="V378" s="2" t="n">
        <f aca="false">INDEX(Summary!$R$2:$R$201,MATCH($B378,Summary!$A$2:$A$201,0))</f>
        <v>27.62</v>
      </c>
      <c r="W378" s="0" t="str">
        <f aca="false">INDEX(Summary!$S$2:$S$201,MATCH($B378,Summary!$A$2:$A$201,0))</f>
        <v>Silver</v>
      </c>
      <c r="X378" s="2" t="n">
        <f aca="false">INDEX(Summary!$T$2:$T$201,MATCH($B378,Summary!$A$2:$A$201,0))</f>
        <v>67.37</v>
      </c>
      <c r="Y378" s="0" t="str">
        <f aca="false">INDEX('Reward Model'!$E$18:$E$37,MATCH($E378,'Reward Model'!$A$18:$A$37,0))</f>
        <v>High</v>
      </c>
      <c r="Z378" s="4" t="n">
        <f aca="false">ROUND(MIN(1,MAX('Reward Model'!$B$2,INDEX('Reward Model'!$C$12:$C$14,MATCH($K378,'Reward Model'!$A$12:$A$14,0))/$J378)),3)</f>
        <v>1</v>
      </c>
      <c r="AA378" s="2" t="n">
        <f aca="false">IF($I378="Correct",ROUND(INDEX('Reward Model'!$B$12:$B$14,MATCH($K378,'Reward Model'!$A$12:$A$14,0))*Z378,2),0)</f>
        <v>0</v>
      </c>
      <c r="AB378" s="2" t="n">
        <f aca="false">IF($I378="Correct",ROUND(INDEX('Reward Model'!$B$12:$B$14,MATCH($Y378,'Reward Model'!$A$12:$A$14,0))*Z378,2),0)</f>
        <v>0</v>
      </c>
    </row>
    <row r="379" customFormat="false" ht="15" hidden="false" customHeight="false" outlineLevel="0" collapsed="false">
      <c r="A379" s="0" t="s">
        <v>158</v>
      </c>
      <c r="B379" s="0" t="s">
        <v>159</v>
      </c>
      <c r="C379" s="0" t="s">
        <v>30</v>
      </c>
      <c r="D379" s="0" t="s">
        <v>31</v>
      </c>
      <c r="E379" s="0" t="n">
        <v>18</v>
      </c>
      <c r="F379" s="0" t="s">
        <v>76</v>
      </c>
      <c r="G379" s="0" t="s">
        <v>77</v>
      </c>
      <c r="H379" s="0" t="s">
        <v>77</v>
      </c>
      <c r="I379" s="0" t="s">
        <v>34</v>
      </c>
      <c r="J379" s="0" t="n">
        <v>2.36</v>
      </c>
      <c r="K379" s="0" t="s">
        <v>73</v>
      </c>
      <c r="L379" s="0" t="n">
        <f aca="false">INDEX(Summary!$F$2:$F$201,MATCH($B379,Summary!$A$2:$A$201,0))</f>
        <v>20</v>
      </c>
      <c r="M379" s="0" t="n">
        <f aca="false">INDEX(Summary!$I$2:$I$201,MATCH($B379,Summary!$A$2:$A$201,0))</f>
        <v>2</v>
      </c>
      <c r="N379" s="0" t="n">
        <f aca="false">INDEX(Summary!$J$2:$J$201,MATCH($B379,Summary!$A$2:$A$201,0))</f>
        <v>3</v>
      </c>
      <c r="O379" s="2" t="n">
        <f aca="false">INDEX(Summary!$K$2:$K$201,MATCH($B379,Summary!$A$2:$A$201,0))</f>
        <v>10.37</v>
      </c>
      <c r="P379" s="3" t="n">
        <f aca="false">INDEX(Summary!$L$2:$L$201,MATCH($B379,Summary!$A$2:$A$201,0))</f>
        <v>5</v>
      </c>
      <c r="Q379" s="3" t="n">
        <f aca="false">INDEX(Summary!$M$2:$M$201,MATCH($B379,Summary!$A$2:$A$201,0))</f>
        <v>1</v>
      </c>
      <c r="R379" s="2" t="n">
        <f aca="false">INDEX(Summary!$N$2:$N$201,MATCH($B379,Summary!$A$2:$A$201,0))</f>
        <v>9.87</v>
      </c>
      <c r="S379" s="3" t="n">
        <f aca="false">INDEX(Summary!$O$2:$O$201,MATCH($B379,Summary!$A$2:$A$201,0))</f>
        <v>8</v>
      </c>
      <c r="T379" s="3" t="n">
        <f aca="false">INDEX(Summary!$P$2:$P$201,MATCH($B379,Summary!$A$2:$A$201,0))</f>
        <v>1</v>
      </c>
      <c r="U379" s="2" t="n">
        <f aca="false">INDEX(Summary!$Q$2:$Q$201,MATCH($B379,Summary!$A$2:$A$201,0))</f>
        <v>12.64</v>
      </c>
      <c r="V379" s="2" t="n">
        <f aca="false">INDEX(Summary!$R$2:$R$201,MATCH($B379,Summary!$A$2:$A$201,0))</f>
        <v>27.62</v>
      </c>
      <c r="W379" s="0" t="str">
        <f aca="false">INDEX(Summary!$S$2:$S$201,MATCH($B379,Summary!$A$2:$A$201,0))</f>
        <v>Silver</v>
      </c>
      <c r="X379" s="2" t="n">
        <f aca="false">INDEX(Summary!$T$2:$T$201,MATCH($B379,Summary!$A$2:$A$201,0))</f>
        <v>67.37</v>
      </c>
      <c r="Y379" s="0" t="str">
        <f aca="false">INDEX('Reward Model'!$E$18:$E$37,MATCH($E379,'Reward Model'!$A$18:$A$37,0))</f>
        <v>High</v>
      </c>
      <c r="Z379" s="4" t="n">
        <f aca="false">ROUND(MIN(1,MAX('Reward Model'!$B$2,INDEX('Reward Model'!$C$12:$C$14,MATCH($K379,'Reward Model'!$A$12:$A$14,0))/$J379)),3)</f>
        <v>0.847</v>
      </c>
      <c r="AA379" s="2" t="n">
        <f aca="false">IF($I379="Correct",ROUND(INDEX('Reward Model'!$B$12:$B$14,MATCH($K379,'Reward Model'!$A$12:$A$14,0))*Z379,2),0)</f>
        <v>2.54</v>
      </c>
      <c r="AB379" s="2" t="n">
        <f aca="false">IF($I379="Correct",ROUND(INDEX('Reward Model'!$B$12:$B$14,MATCH($Y379,'Reward Model'!$A$12:$A$14,0))*Z379,2),0)</f>
        <v>2.54</v>
      </c>
    </row>
    <row r="380" customFormat="false" ht="15" hidden="false" customHeight="false" outlineLevel="0" collapsed="false">
      <c r="A380" s="0" t="s">
        <v>158</v>
      </c>
      <c r="B380" s="0" t="s">
        <v>159</v>
      </c>
      <c r="C380" s="0" t="s">
        <v>30</v>
      </c>
      <c r="D380" s="0" t="s">
        <v>31</v>
      </c>
      <c r="E380" s="0" t="n">
        <v>19</v>
      </c>
      <c r="F380" s="0" t="s">
        <v>78</v>
      </c>
      <c r="G380" s="0" t="s">
        <v>51</v>
      </c>
      <c r="H380" s="0" t="s">
        <v>80</v>
      </c>
      <c r="I380" s="0" t="s">
        <v>39</v>
      </c>
      <c r="J380" s="0" t="n">
        <v>2.33</v>
      </c>
      <c r="K380" s="0" t="s">
        <v>73</v>
      </c>
      <c r="L380" s="0" t="n">
        <f aca="false">INDEX(Summary!$F$2:$F$201,MATCH($B380,Summary!$A$2:$A$201,0))</f>
        <v>20</v>
      </c>
      <c r="M380" s="0" t="n">
        <f aca="false">INDEX(Summary!$I$2:$I$201,MATCH($B380,Summary!$A$2:$A$201,0))</f>
        <v>2</v>
      </c>
      <c r="N380" s="0" t="n">
        <f aca="false">INDEX(Summary!$J$2:$J$201,MATCH($B380,Summary!$A$2:$A$201,0))</f>
        <v>3</v>
      </c>
      <c r="O380" s="2" t="n">
        <f aca="false">INDEX(Summary!$K$2:$K$201,MATCH($B380,Summary!$A$2:$A$201,0))</f>
        <v>10.37</v>
      </c>
      <c r="P380" s="3" t="n">
        <f aca="false">INDEX(Summary!$L$2:$L$201,MATCH($B380,Summary!$A$2:$A$201,0))</f>
        <v>5</v>
      </c>
      <c r="Q380" s="3" t="n">
        <f aca="false">INDEX(Summary!$M$2:$M$201,MATCH($B380,Summary!$A$2:$A$201,0))</f>
        <v>1</v>
      </c>
      <c r="R380" s="2" t="n">
        <f aca="false">INDEX(Summary!$N$2:$N$201,MATCH($B380,Summary!$A$2:$A$201,0))</f>
        <v>9.87</v>
      </c>
      <c r="S380" s="3" t="n">
        <f aca="false">INDEX(Summary!$O$2:$O$201,MATCH($B380,Summary!$A$2:$A$201,0))</f>
        <v>8</v>
      </c>
      <c r="T380" s="3" t="n">
        <f aca="false">INDEX(Summary!$P$2:$P$201,MATCH($B380,Summary!$A$2:$A$201,0))</f>
        <v>1</v>
      </c>
      <c r="U380" s="2" t="n">
        <f aca="false">INDEX(Summary!$Q$2:$Q$201,MATCH($B380,Summary!$A$2:$A$201,0))</f>
        <v>12.64</v>
      </c>
      <c r="V380" s="2" t="n">
        <f aca="false">INDEX(Summary!$R$2:$R$201,MATCH($B380,Summary!$A$2:$A$201,0))</f>
        <v>27.62</v>
      </c>
      <c r="W380" s="0" t="str">
        <f aca="false">INDEX(Summary!$S$2:$S$201,MATCH($B380,Summary!$A$2:$A$201,0))</f>
        <v>Silver</v>
      </c>
      <c r="X380" s="2" t="n">
        <f aca="false">INDEX(Summary!$T$2:$T$201,MATCH($B380,Summary!$A$2:$A$201,0))</f>
        <v>67.37</v>
      </c>
      <c r="Y380" s="0" t="str">
        <f aca="false">INDEX('Reward Model'!$E$18:$E$37,MATCH($E380,'Reward Model'!$A$18:$A$37,0))</f>
        <v>High</v>
      </c>
      <c r="Z380" s="4" t="n">
        <f aca="false">ROUND(MIN(1,MAX('Reward Model'!$B$2,INDEX('Reward Model'!$C$12:$C$14,MATCH($K380,'Reward Model'!$A$12:$A$14,0))/$J380)),3)</f>
        <v>0.858</v>
      </c>
      <c r="AA380" s="2" t="n">
        <f aca="false">IF($I380="Correct",ROUND(INDEX('Reward Model'!$B$12:$B$14,MATCH($K380,'Reward Model'!$A$12:$A$14,0))*Z380,2),0)</f>
        <v>0</v>
      </c>
      <c r="AB380" s="2" t="n">
        <f aca="false">IF($I380="Correct",ROUND(INDEX('Reward Model'!$B$12:$B$14,MATCH($Y380,'Reward Model'!$A$12:$A$14,0))*Z380,2),0)</f>
        <v>0</v>
      </c>
    </row>
    <row r="381" customFormat="false" ht="15" hidden="false" customHeight="false" outlineLevel="0" collapsed="false">
      <c r="A381" s="0" t="s">
        <v>158</v>
      </c>
      <c r="B381" s="0" t="s">
        <v>159</v>
      </c>
      <c r="C381" s="0" t="s">
        <v>30</v>
      </c>
      <c r="D381" s="0" t="s">
        <v>31</v>
      </c>
      <c r="E381" s="0" t="n">
        <v>20</v>
      </c>
      <c r="F381" s="0" t="s">
        <v>81</v>
      </c>
      <c r="G381" s="0" t="s">
        <v>82</v>
      </c>
      <c r="H381" s="0" t="s">
        <v>83</v>
      </c>
      <c r="I381" s="0" t="s">
        <v>39</v>
      </c>
      <c r="J381" s="0" t="n">
        <v>2.53</v>
      </c>
      <c r="K381" s="0" t="s">
        <v>73</v>
      </c>
      <c r="L381" s="0" t="n">
        <f aca="false">INDEX(Summary!$F$2:$F$201,MATCH($B381,Summary!$A$2:$A$201,0))</f>
        <v>20</v>
      </c>
      <c r="M381" s="0" t="n">
        <f aca="false">INDEX(Summary!$I$2:$I$201,MATCH($B381,Summary!$A$2:$A$201,0))</f>
        <v>2</v>
      </c>
      <c r="N381" s="0" t="n">
        <f aca="false">INDEX(Summary!$J$2:$J$201,MATCH($B381,Summary!$A$2:$A$201,0))</f>
        <v>3</v>
      </c>
      <c r="O381" s="2" t="n">
        <f aca="false">INDEX(Summary!$K$2:$K$201,MATCH($B381,Summary!$A$2:$A$201,0))</f>
        <v>10.37</v>
      </c>
      <c r="P381" s="3" t="n">
        <f aca="false">INDEX(Summary!$L$2:$L$201,MATCH($B381,Summary!$A$2:$A$201,0))</f>
        <v>5</v>
      </c>
      <c r="Q381" s="3" t="n">
        <f aca="false">INDEX(Summary!$M$2:$M$201,MATCH($B381,Summary!$A$2:$A$201,0))</f>
        <v>1</v>
      </c>
      <c r="R381" s="2" t="n">
        <f aca="false">INDEX(Summary!$N$2:$N$201,MATCH($B381,Summary!$A$2:$A$201,0))</f>
        <v>9.87</v>
      </c>
      <c r="S381" s="3" t="n">
        <f aca="false">INDEX(Summary!$O$2:$O$201,MATCH($B381,Summary!$A$2:$A$201,0))</f>
        <v>8</v>
      </c>
      <c r="T381" s="3" t="n">
        <f aca="false">INDEX(Summary!$P$2:$P$201,MATCH($B381,Summary!$A$2:$A$201,0))</f>
        <v>1</v>
      </c>
      <c r="U381" s="2" t="n">
        <f aca="false">INDEX(Summary!$Q$2:$Q$201,MATCH($B381,Summary!$A$2:$A$201,0))</f>
        <v>12.64</v>
      </c>
      <c r="V381" s="2" t="n">
        <f aca="false">INDEX(Summary!$R$2:$R$201,MATCH($B381,Summary!$A$2:$A$201,0))</f>
        <v>27.62</v>
      </c>
      <c r="W381" s="0" t="str">
        <f aca="false">INDEX(Summary!$S$2:$S$201,MATCH($B381,Summary!$A$2:$A$201,0))</f>
        <v>Silver</v>
      </c>
      <c r="X381" s="2" t="n">
        <f aca="false">INDEX(Summary!$T$2:$T$201,MATCH($B381,Summary!$A$2:$A$201,0))</f>
        <v>67.37</v>
      </c>
      <c r="Y381" s="0" t="str">
        <f aca="false">INDEX('Reward Model'!$E$18:$E$37,MATCH($E381,'Reward Model'!$A$18:$A$37,0))</f>
        <v>High</v>
      </c>
      <c r="Z381" s="4" t="n">
        <f aca="false">ROUND(MIN(1,MAX('Reward Model'!$B$2,INDEX('Reward Model'!$C$12:$C$14,MATCH($K381,'Reward Model'!$A$12:$A$14,0))/$J381)),3)</f>
        <v>0.791</v>
      </c>
      <c r="AA381" s="2" t="n">
        <f aca="false">IF($I381="Correct",ROUND(INDEX('Reward Model'!$B$12:$B$14,MATCH($K381,'Reward Model'!$A$12:$A$14,0))*Z381,2),0)</f>
        <v>0</v>
      </c>
      <c r="AB381" s="2" t="n">
        <f aca="false">IF($I381="Correct",ROUND(INDEX('Reward Model'!$B$12:$B$14,MATCH($Y381,'Reward Model'!$A$12:$A$14,0))*Z381,2),0)</f>
        <v>0</v>
      </c>
    </row>
    <row r="382" customFormat="false" ht="15" hidden="false" customHeight="false" outlineLevel="0" collapsed="false">
      <c r="A382" s="0" t="s">
        <v>160</v>
      </c>
      <c r="B382" s="0" t="s">
        <v>161</v>
      </c>
      <c r="C382" s="0" t="s">
        <v>30</v>
      </c>
      <c r="D382" s="0" t="s">
        <v>31</v>
      </c>
      <c r="E382" s="0" t="n">
        <v>1</v>
      </c>
      <c r="F382" s="0" t="s">
        <v>32</v>
      </c>
      <c r="G382" s="0" t="s">
        <v>33</v>
      </c>
      <c r="H382" s="0" t="s">
        <v>33</v>
      </c>
      <c r="I382" s="0" t="s">
        <v>34</v>
      </c>
      <c r="J382" s="0" t="n">
        <v>1.32</v>
      </c>
      <c r="K382" s="0" t="s">
        <v>35</v>
      </c>
      <c r="L382" s="0" t="n">
        <f aca="false">INDEX(Summary!$F$2:$F$201,MATCH($B382,Summary!$A$2:$A$201,0))</f>
        <v>20</v>
      </c>
      <c r="M382" s="0" t="n">
        <f aca="false">INDEX(Summary!$I$2:$I$201,MATCH($B382,Summary!$A$2:$A$201,0))</f>
        <v>2</v>
      </c>
      <c r="N382" s="0" t="n">
        <f aca="false">INDEX(Summary!$J$2:$J$201,MATCH($B382,Summary!$A$2:$A$201,0))</f>
        <v>3</v>
      </c>
      <c r="O382" s="2" t="n">
        <f aca="false">INDEX(Summary!$K$2:$K$201,MATCH($B382,Summary!$A$2:$A$201,0))</f>
        <v>8.07</v>
      </c>
      <c r="P382" s="3" t="n">
        <f aca="false">INDEX(Summary!$L$2:$L$201,MATCH($B382,Summary!$A$2:$A$201,0))</f>
        <v>2</v>
      </c>
      <c r="Q382" s="3" t="n">
        <f aca="false">INDEX(Summary!$M$2:$M$201,MATCH($B382,Summary!$A$2:$A$201,0))</f>
        <v>4</v>
      </c>
      <c r="R382" s="2" t="n">
        <f aca="false">INDEX(Summary!$N$2:$N$201,MATCH($B382,Summary!$A$2:$A$201,0))</f>
        <v>9.53</v>
      </c>
      <c r="S382" s="3" t="n">
        <f aca="false">INDEX(Summary!$O$2:$O$201,MATCH($B382,Summary!$A$2:$A$201,0))</f>
        <v>8</v>
      </c>
      <c r="T382" s="3" t="n">
        <f aca="false">INDEX(Summary!$P$2:$P$201,MATCH($B382,Summary!$A$2:$A$201,0))</f>
        <v>1</v>
      </c>
      <c r="U382" s="2" t="n">
        <f aca="false">INDEX(Summary!$Q$2:$Q$201,MATCH($B382,Summary!$A$2:$A$201,0))</f>
        <v>12.9</v>
      </c>
      <c r="V382" s="2" t="n">
        <f aca="false">INDEX(Summary!$R$2:$R$201,MATCH($B382,Summary!$A$2:$A$201,0))</f>
        <v>21.54</v>
      </c>
      <c r="W382" s="0" t="str">
        <f aca="false">INDEX(Summary!$S$2:$S$201,MATCH($B382,Summary!$A$2:$A$201,0))</f>
        <v>Silver</v>
      </c>
      <c r="X382" s="2" t="n">
        <f aca="false">INDEX(Summary!$T$2:$T$201,MATCH($B382,Summary!$A$2:$A$201,0))</f>
        <v>52.54</v>
      </c>
      <c r="Y382" s="0" t="str">
        <f aca="false">INDEX('Reward Model'!$E$18:$E$37,MATCH($E382,'Reward Model'!$A$18:$A$37,0))</f>
        <v>Medium</v>
      </c>
      <c r="Z382" s="4" t="n">
        <f aca="false">ROUND(MIN(1,MAX('Reward Model'!$B$2,INDEX('Reward Model'!$C$12:$C$14,MATCH($K382,'Reward Model'!$A$12:$A$14,0))/$J382)),3)</f>
        <v>1</v>
      </c>
      <c r="AA382" s="2" t="n">
        <f aca="false">IF($I382="Correct",ROUND(INDEX('Reward Model'!$B$12:$B$14,MATCH($K382,'Reward Model'!$A$12:$A$14,0))*Z382,2),0)</f>
        <v>1</v>
      </c>
      <c r="AB382" s="2" t="n">
        <f aca="false">IF($I382="Correct",ROUND(INDEX('Reward Model'!$B$12:$B$14,MATCH($Y382,'Reward Model'!$A$12:$A$14,0))*Z382,2),0)</f>
        <v>2</v>
      </c>
    </row>
    <row r="383" customFormat="false" ht="15" hidden="false" customHeight="false" outlineLevel="0" collapsed="false">
      <c r="A383" s="0" t="s">
        <v>160</v>
      </c>
      <c r="B383" s="0" t="s">
        <v>161</v>
      </c>
      <c r="C383" s="0" t="s">
        <v>30</v>
      </c>
      <c r="D383" s="0" t="s">
        <v>31</v>
      </c>
      <c r="E383" s="0" t="n">
        <v>2</v>
      </c>
      <c r="F383" s="0" t="s">
        <v>36</v>
      </c>
      <c r="G383" s="0" t="s">
        <v>38</v>
      </c>
      <c r="H383" s="0" t="s">
        <v>38</v>
      </c>
      <c r="I383" s="0" t="s">
        <v>34</v>
      </c>
      <c r="J383" s="0" t="n">
        <v>1.56</v>
      </c>
      <c r="K383" s="0" t="s">
        <v>35</v>
      </c>
      <c r="L383" s="0" t="n">
        <f aca="false">INDEX(Summary!$F$2:$F$201,MATCH($B383,Summary!$A$2:$A$201,0))</f>
        <v>20</v>
      </c>
      <c r="M383" s="0" t="n">
        <f aca="false">INDEX(Summary!$I$2:$I$201,MATCH($B383,Summary!$A$2:$A$201,0))</f>
        <v>2</v>
      </c>
      <c r="N383" s="0" t="n">
        <f aca="false">INDEX(Summary!$J$2:$J$201,MATCH($B383,Summary!$A$2:$A$201,0))</f>
        <v>3</v>
      </c>
      <c r="O383" s="2" t="n">
        <f aca="false">INDEX(Summary!$K$2:$K$201,MATCH($B383,Summary!$A$2:$A$201,0))</f>
        <v>8.07</v>
      </c>
      <c r="P383" s="3" t="n">
        <f aca="false">INDEX(Summary!$L$2:$L$201,MATCH($B383,Summary!$A$2:$A$201,0))</f>
        <v>2</v>
      </c>
      <c r="Q383" s="3" t="n">
        <f aca="false">INDEX(Summary!$M$2:$M$201,MATCH($B383,Summary!$A$2:$A$201,0))</f>
        <v>4</v>
      </c>
      <c r="R383" s="2" t="n">
        <f aca="false">INDEX(Summary!$N$2:$N$201,MATCH($B383,Summary!$A$2:$A$201,0))</f>
        <v>9.53</v>
      </c>
      <c r="S383" s="3" t="n">
        <f aca="false">INDEX(Summary!$O$2:$O$201,MATCH($B383,Summary!$A$2:$A$201,0))</f>
        <v>8</v>
      </c>
      <c r="T383" s="3" t="n">
        <f aca="false">INDEX(Summary!$P$2:$P$201,MATCH($B383,Summary!$A$2:$A$201,0))</f>
        <v>1</v>
      </c>
      <c r="U383" s="2" t="n">
        <f aca="false">INDEX(Summary!$Q$2:$Q$201,MATCH($B383,Summary!$A$2:$A$201,0))</f>
        <v>12.9</v>
      </c>
      <c r="V383" s="2" t="n">
        <f aca="false">INDEX(Summary!$R$2:$R$201,MATCH($B383,Summary!$A$2:$A$201,0))</f>
        <v>21.54</v>
      </c>
      <c r="W383" s="0" t="str">
        <f aca="false">INDEX(Summary!$S$2:$S$201,MATCH($B383,Summary!$A$2:$A$201,0))</f>
        <v>Silver</v>
      </c>
      <c r="X383" s="2" t="n">
        <f aca="false">INDEX(Summary!$T$2:$T$201,MATCH($B383,Summary!$A$2:$A$201,0))</f>
        <v>52.54</v>
      </c>
      <c r="Y383" s="0" t="str">
        <f aca="false">INDEX('Reward Model'!$E$18:$E$37,MATCH($E383,'Reward Model'!$A$18:$A$37,0))</f>
        <v>Low</v>
      </c>
      <c r="Z383" s="4" t="n">
        <f aca="false">ROUND(MIN(1,MAX('Reward Model'!$B$2,INDEX('Reward Model'!$C$12:$C$14,MATCH($K383,'Reward Model'!$A$12:$A$14,0))/$J383)),3)</f>
        <v>0.962</v>
      </c>
      <c r="AA383" s="2" t="n">
        <f aca="false">IF($I383="Correct",ROUND(INDEX('Reward Model'!$B$12:$B$14,MATCH($K383,'Reward Model'!$A$12:$A$14,0))*Z383,2),0)</f>
        <v>0.96</v>
      </c>
      <c r="AB383" s="2" t="n">
        <f aca="false">IF($I383="Correct",ROUND(INDEX('Reward Model'!$B$12:$B$14,MATCH($Y383,'Reward Model'!$A$12:$A$14,0))*Z383,2),0)</f>
        <v>0.96</v>
      </c>
    </row>
    <row r="384" customFormat="false" ht="15" hidden="false" customHeight="false" outlineLevel="0" collapsed="false">
      <c r="A384" s="0" t="s">
        <v>160</v>
      </c>
      <c r="B384" s="0" t="s">
        <v>161</v>
      </c>
      <c r="C384" s="0" t="s">
        <v>30</v>
      </c>
      <c r="D384" s="0" t="s">
        <v>31</v>
      </c>
      <c r="E384" s="0" t="n">
        <v>3</v>
      </c>
      <c r="F384" s="0" t="s">
        <v>40</v>
      </c>
      <c r="G384" s="0" t="s">
        <v>123</v>
      </c>
      <c r="H384" s="0" t="s">
        <v>42</v>
      </c>
      <c r="I384" s="0" t="s">
        <v>39</v>
      </c>
      <c r="J384" s="0" t="n">
        <v>1.49</v>
      </c>
      <c r="K384" s="0" t="s">
        <v>35</v>
      </c>
      <c r="L384" s="0" t="n">
        <f aca="false">INDEX(Summary!$F$2:$F$201,MATCH($B384,Summary!$A$2:$A$201,0))</f>
        <v>20</v>
      </c>
      <c r="M384" s="0" t="n">
        <f aca="false">INDEX(Summary!$I$2:$I$201,MATCH($B384,Summary!$A$2:$A$201,0))</f>
        <v>2</v>
      </c>
      <c r="N384" s="0" t="n">
        <f aca="false">INDEX(Summary!$J$2:$J$201,MATCH($B384,Summary!$A$2:$A$201,0))</f>
        <v>3</v>
      </c>
      <c r="O384" s="2" t="n">
        <f aca="false">INDEX(Summary!$K$2:$K$201,MATCH($B384,Summary!$A$2:$A$201,0))</f>
        <v>8.07</v>
      </c>
      <c r="P384" s="3" t="n">
        <f aca="false">INDEX(Summary!$L$2:$L$201,MATCH($B384,Summary!$A$2:$A$201,0))</f>
        <v>2</v>
      </c>
      <c r="Q384" s="3" t="n">
        <f aca="false">INDEX(Summary!$M$2:$M$201,MATCH($B384,Summary!$A$2:$A$201,0))</f>
        <v>4</v>
      </c>
      <c r="R384" s="2" t="n">
        <f aca="false">INDEX(Summary!$N$2:$N$201,MATCH($B384,Summary!$A$2:$A$201,0))</f>
        <v>9.53</v>
      </c>
      <c r="S384" s="3" t="n">
        <f aca="false">INDEX(Summary!$O$2:$O$201,MATCH($B384,Summary!$A$2:$A$201,0))</f>
        <v>8</v>
      </c>
      <c r="T384" s="3" t="n">
        <f aca="false">INDEX(Summary!$P$2:$P$201,MATCH($B384,Summary!$A$2:$A$201,0))</f>
        <v>1</v>
      </c>
      <c r="U384" s="2" t="n">
        <f aca="false">INDEX(Summary!$Q$2:$Q$201,MATCH($B384,Summary!$A$2:$A$201,0))</f>
        <v>12.9</v>
      </c>
      <c r="V384" s="2" t="n">
        <f aca="false">INDEX(Summary!$R$2:$R$201,MATCH($B384,Summary!$A$2:$A$201,0))</f>
        <v>21.54</v>
      </c>
      <c r="W384" s="0" t="str">
        <f aca="false">INDEX(Summary!$S$2:$S$201,MATCH($B384,Summary!$A$2:$A$201,0))</f>
        <v>Silver</v>
      </c>
      <c r="X384" s="2" t="n">
        <f aca="false">INDEX(Summary!$T$2:$T$201,MATCH($B384,Summary!$A$2:$A$201,0))</f>
        <v>52.54</v>
      </c>
      <c r="Y384" s="0" t="str">
        <f aca="false">INDEX('Reward Model'!$E$18:$E$37,MATCH($E384,'Reward Model'!$A$18:$A$37,0))</f>
        <v>Medium</v>
      </c>
      <c r="Z384" s="4" t="n">
        <f aca="false">ROUND(MIN(1,MAX('Reward Model'!$B$2,INDEX('Reward Model'!$C$12:$C$14,MATCH($K384,'Reward Model'!$A$12:$A$14,0))/$J384)),3)</f>
        <v>1</v>
      </c>
      <c r="AA384" s="2" t="n">
        <f aca="false">IF($I384="Correct",ROUND(INDEX('Reward Model'!$B$12:$B$14,MATCH($K384,'Reward Model'!$A$12:$A$14,0))*Z384,2),0)</f>
        <v>0</v>
      </c>
      <c r="AB384" s="2" t="n">
        <f aca="false">IF($I384="Correct",ROUND(INDEX('Reward Model'!$B$12:$B$14,MATCH($Y384,'Reward Model'!$A$12:$A$14,0))*Z384,2),0)</f>
        <v>0</v>
      </c>
    </row>
    <row r="385" customFormat="false" ht="15" hidden="false" customHeight="false" outlineLevel="0" collapsed="false">
      <c r="A385" s="0" t="s">
        <v>160</v>
      </c>
      <c r="B385" s="0" t="s">
        <v>161</v>
      </c>
      <c r="C385" s="0" t="s">
        <v>30</v>
      </c>
      <c r="D385" s="0" t="s">
        <v>31</v>
      </c>
      <c r="E385" s="0" t="n">
        <v>4</v>
      </c>
      <c r="F385" s="0" t="s">
        <v>43</v>
      </c>
      <c r="G385" s="0" t="s">
        <v>45</v>
      </c>
      <c r="H385" s="0" t="s">
        <v>45</v>
      </c>
      <c r="I385" s="0" t="s">
        <v>34</v>
      </c>
      <c r="J385" s="0" t="n">
        <v>1.13</v>
      </c>
      <c r="K385" s="0" t="s">
        <v>35</v>
      </c>
      <c r="L385" s="0" t="n">
        <f aca="false">INDEX(Summary!$F$2:$F$201,MATCH($B385,Summary!$A$2:$A$201,0))</f>
        <v>20</v>
      </c>
      <c r="M385" s="0" t="n">
        <f aca="false">INDEX(Summary!$I$2:$I$201,MATCH($B385,Summary!$A$2:$A$201,0))</f>
        <v>2</v>
      </c>
      <c r="N385" s="0" t="n">
        <f aca="false">INDEX(Summary!$J$2:$J$201,MATCH($B385,Summary!$A$2:$A$201,0))</f>
        <v>3</v>
      </c>
      <c r="O385" s="2" t="n">
        <f aca="false">INDEX(Summary!$K$2:$K$201,MATCH($B385,Summary!$A$2:$A$201,0))</f>
        <v>8.07</v>
      </c>
      <c r="P385" s="3" t="n">
        <f aca="false">INDEX(Summary!$L$2:$L$201,MATCH($B385,Summary!$A$2:$A$201,0))</f>
        <v>2</v>
      </c>
      <c r="Q385" s="3" t="n">
        <f aca="false">INDEX(Summary!$M$2:$M$201,MATCH($B385,Summary!$A$2:$A$201,0))</f>
        <v>4</v>
      </c>
      <c r="R385" s="2" t="n">
        <f aca="false">INDEX(Summary!$N$2:$N$201,MATCH($B385,Summary!$A$2:$A$201,0))</f>
        <v>9.53</v>
      </c>
      <c r="S385" s="3" t="n">
        <f aca="false">INDEX(Summary!$O$2:$O$201,MATCH($B385,Summary!$A$2:$A$201,0))</f>
        <v>8</v>
      </c>
      <c r="T385" s="3" t="n">
        <f aca="false">INDEX(Summary!$P$2:$P$201,MATCH($B385,Summary!$A$2:$A$201,0))</f>
        <v>1</v>
      </c>
      <c r="U385" s="2" t="n">
        <f aca="false">INDEX(Summary!$Q$2:$Q$201,MATCH($B385,Summary!$A$2:$A$201,0))</f>
        <v>12.9</v>
      </c>
      <c r="V385" s="2" t="n">
        <f aca="false">INDEX(Summary!$R$2:$R$201,MATCH($B385,Summary!$A$2:$A$201,0))</f>
        <v>21.54</v>
      </c>
      <c r="W385" s="0" t="str">
        <f aca="false">INDEX(Summary!$S$2:$S$201,MATCH($B385,Summary!$A$2:$A$201,0))</f>
        <v>Silver</v>
      </c>
      <c r="X385" s="2" t="n">
        <f aca="false">INDEX(Summary!$T$2:$T$201,MATCH($B385,Summary!$A$2:$A$201,0))</f>
        <v>52.54</v>
      </c>
      <c r="Y385" s="0" t="str">
        <f aca="false">INDEX('Reward Model'!$E$18:$E$37,MATCH($E385,'Reward Model'!$A$18:$A$37,0))</f>
        <v>Low</v>
      </c>
      <c r="Z385" s="4" t="n">
        <f aca="false">ROUND(MIN(1,MAX('Reward Model'!$B$2,INDEX('Reward Model'!$C$12:$C$14,MATCH($K385,'Reward Model'!$A$12:$A$14,0))/$J385)),3)</f>
        <v>1</v>
      </c>
      <c r="AA385" s="2" t="n">
        <f aca="false">IF($I385="Correct",ROUND(INDEX('Reward Model'!$B$12:$B$14,MATCH($K385,'Reward Model'!$A$12:$A$14,0))*Z385,2),0)</f>
        <v>1</v>
      </c>
      <c r="AB385" s="2" t="n">
        <f aca="false">IF($I385="Correct",ROUND(INDEX('Reward Model'!$B$12:$B$14,MATCH($Y385,'Reward Model'!$A$12:$A$14,0))*Z385,2),0)</f>
        <v>1</v>
      </c>
    </row>
    <row r="386" customFormat="false" ht="15" hidden="false" customHeight="false" outlineLevel="0" collapsed="false">
      <c r="A386" s="0" t="s">
        <v>160</v>
      </c>
      <c r="B386" s="0" t="s">
        <v>161</v>
      </c>
      <c r="C386" s="0" t="s">
        <v>30</v>
      </c>
      <c r="D386" s="0" t="s">
        <v>31</v>
      </c>
      <c r="E386" s="0" t="n">
        <v>5</v>
      </c>
      <c r="F386" s="0" t="s">
        <v>46</v>
      </c>
      <c r="G386" s="0" t="s">
        <v>47</v>
      </c>
      <c r="H386" s="0" t="s">
        <v>47</v>
      </c>
      <c r="I386" s="0" t="s">
        <v>34</v>
      </c>
      <c r="J386" s="0" t="n">
        <v>1.5</v>
      </c>
      <c r="K386" s="0" t="s">
        <v>35</v>
      </c>
      <c r="L386" s="0" t="n">
        <f aca="false">INDEX(Summary!$F$2:$F$201,MATCH($B386,Summary!$A$2:$A$201,0))</f>
        <v>20</v>
      </c>
      <c r="M386" s="0" t="n">
        <f aca="false">INDEX(Summary!$I$2:$I$201,MATCH($B386,Summary!$A$2:$A$201,0))</f>
        <v>2</v>
      </c>
      <c r="N386" s="0" t="n">
        <f aca="false">INDEX(Summary!$J$2:$J$201,MATCH($B386,Summary!$A$2:$A$201,0))</f>
        <v>3</v>
      </c>
      <c r="O386" s="2" t="n">
        <f aca="false">INDEX(Summary!$K$2:$K$201,MATCH($B386,Summary!$A$2:$A$201,0))</f>
        <v>8.07</v>
      </c>
      <c r="P386" s="3" t="n">
        <f aca="false">INDEX(Summary!$L$2:$L$201,MATCH($B386,Summary!$A$2:$A$201,0))</f>
        <v>2</v>
      </c>
      <c r="Q386" s="3" t="n">
        <f aca="false">INDEX(Summary!$M$2:$M$201,MATCH($B386,Summary!$A$2:$A$201,0))</f>
        <v>4</v>
      </c>
      <c r="R386" s="2" t="n">
        <f aca="false">INDEX(Summary!$N$2:$N$201,MATCH($B386,Summary!$A$2:$A$201,0))</f>
        <v>9.53</v>
      </c>
      <c r="S386" s="3" t="n">
        <f aca="false">INDEX(Summary!$O$2:$O$201,MATCH($B386,Summary!$A$2:$A$201,0))</f>
        <v>8</v>
      </c>
      <c r="T386" s="3" t="n">
        <f aca="false">INDEX(Summary!$P$2:$P$201,MATCH($B386,Summary!$A$2:$A$201,0))</f>
        <v>1</v>
      </c>
      <c r="U386" s="2" t="n">
        <f aca="false">INDEX(Summary!$Q$2:$Q$201,MATCH($B386,Summary!$A$2:$A$201,0))</f>
        <v>12.9</v>
      </c>
      <c r="V386" s="2" t="n">
        <f aca="false">INDEX(Summary!$R$2:$R$201,MATCH($B386,Summary!$A$2:$A$201,0))</f>
        <v>21.54</v>
      </c>
      <c r="W386" s="0" t="str">
        <f aca="false">INDEX(Summary!$S$2:$S$201,MATCH($B386,Summary!$A$2:$A$201,0))</f>
        <v>Silver</v>
      </c>
      <c r="X386" s="2" t="n">
        <f aca="false">INDEX(Summary!$T$2:$T$201,MATCH($B386,Summary!$A$2:$A$201,0))</f>
        <v>52.54</v>
      </c>
      <c r="Y386" s="0" t="str">
        <f aca="false">INDEX('Reward Model'!$E$18:$E$37,MATCH($E386,'Reward Model'!$A$18:$A$37,0))</f>
        <v>Low</v>
      </c>
      <c r="Z386" s="4" t="n">
        <f aca="false">ROUND(MIN(1,MAX('Reward Model'!$B$2,INDEX('Reward Model'!$C$12:$C$14,MATCH($K386,'Reward Model'!$A$12:$A$14,0))/$J386)),3)</f>
        <v>1</v>
      </c>
      <c r="AA386" s="2" t="n">
        <f aca="false">IF($I386="Correct",ROUND(INDEX('Reward Model'!$B$12:$B$14,MATCH($K386,'Reward Model'!$A$12:$A$14,0))*Z386,2),0)</f>
        <v>1</v>
      </c>
      <c r="AB386" s="2" t="n">
        <f aca="false">IF($I386="Correct",ROUND(INDEX('Reward Model'!$B$12:$B$14,MATCH($Y386,'Reward Model'!$A$12:$A$14,0))*Z386,2),0)</f>
        <v>1</v>
      </c>
    </row>
    <row r="387" customFormat="false" ht="15" hidden="false" customHeight="false" outlineLevel="0" collapsed="false">
      <c r="A387" s="0" t="s">
        <v>160</v>
      </c>
      <c r="B387" s="0" t="s">
        <v>161</v>
      </c>
      <c r="C387" s="0" t="s">
        <v>30</v>
      </c>
      <c r="D387" s="0" t="s">
        <v>31</v>
      </c>
      <c r="E387" s="0" t="n">
        <v>6</v>
      </c>
      <c r="F387" s="0" t="s">
        <v>48</v>
      </c>
      <c r="G387" s="0" t="s">
        <v>49</v>
      </c>
      <c r="H387" s="0" t="s">
        <v>49</v>
      </c>
      <c r="I387" s="0" t="s">
        <v>34</v>
      </c>
      <c r="J387" s="0" t="n">
        <v>1.9</v>
      </c>
      <c r="K387" s="0" t="s">
        <v>35</v>
      </c>
      <c r="L387" s="0" t="n">
        <f aca="false">INDEX(Summary!$F$2:$F$201,MATCH($B387,Summary!$A$2:$A$201,0))</f>
        <v>20</v>
      </c>
      <c r="M387" s="0" t="n">
        <f aca="false">INDEX(Summary!$I$2:$I$201,MATCH($B387,Summary!$A$2:$A$201,0))</f>
        <v>2</v>
      </c>
      <c r="N387" s="0" t="n">
        <f aca="false">INDEX(Summary!$J$2:$J$201,MATCH($B387,Summary!$A$2:$A$201,0))</f>
        <v>3</v>
      </c>
      <c r="O387" s="2" t="n">
        <f aca="false">INDEX(Summary!$K$2:$K$201,MATCH($B387,Summary!$A$2:$A$201,0))</f>
        <v>8.07</v>
      </c>
      <c r="P387" s="3" t="n">
        <f aca="false">INDEX(Summary!$L$2:$L$201,MATCH($B387,Summary!$A$2:$A$201,0))</f>
        <v>2</v>
      </c>
      <c r="Q387" s="3" t="n">
        <f aca="false">INDEX(Summary!$M$2:$M$201,MATCH($B387,Summary!$A$2:$A$201,0))</f>
        <v>4</v>
      </c>
      <c r="R387" s="2" t="n">
        <f aca="false">INDEX(Summary!$N$2:$N$201,MATCH($B387,Summary!$A$2:$A$201,0))</f>
        <v>9.53</v>
      </c>
      <c r="S387" s="3" t="n">
        <f aca="false">INDEX(Summary!$O$2:$O$201,MATCH($B387,Summary!$A$2:$A$201,0))</f>
        <v>8</v>
      </c>
      <c r="T387" s="3" t="n">
        <f aca="false">INDEX(Summary!$P$2:$P$201,MATCH($B387,Summary!$A$2:$A$201,0))</f>
        <v>1</v>
      </c>
      <c r="U387" s="2" t="n">
        <f aca="false">INDEX(Summary!$Q$2:$Q$201,MATCH($B387,Summary!$A$2:$A$201,0))</f>
        <v>12.9</v>
      </c>
      <c r="V387" s="2" t="n">
        <f aca="false">INDEX(Summary!$R$2:$R$201,MATCH($B387,Summary!$A$2:$A$201,0))</f>
        <v>21.54</v>
      </c>
      <c r="W387" s="0" t="str">
        <f aca="false">INDEX(Summary!$S$2:$S$201,MATCH($B387,Summary!$A$2:$A$201,0))</f>
        <v>Silver</v>
      </c>
      <c r="X387" s="2" t="n">
        <f aca="false">INDEX(Summary!$T$2:$T$201,MATCH($B387,Summary!$A$2:$A$201,0))</f>
        <v>52.54</v>
      </c>
      <c r="Y387" s="0" t="str">
        <f aca="false">INDEX('Reward Model'!$E$18:$E$37,MATCH($E387,'Reward Model'!$A$18:$A$37,0))</f>
        <v>Medium</v>
      </c>
      <c r="Z387" s="4" t="n">
        <f aca="false">ROUND(MIN(1,MAX('Reward Model'!$B$2,INDEX('Reward Model'!$C$12:$C$14,MATCH($K387,'Reward Model'!$A$12:$A$14,0))/$J387)),3)</f>
        <v>0.789</v>
      </c>
      <c r="AA387" s="2" t="n">
        <f aca="false">IF($I387="Correct",ROUND(INDEX('Reward Model'!$B$12:$B$14,MATCH($K387,'Reward Model'!$A$12:$A$14,0))*Z387,2),0)</f>
        <v>0.79</v>
      </c>
      <c r="AB387" s="2" t="n">
        <f aca="false">IF($I387="Correct",ROUND(INDEX('Reward Model'!$B$12:$B$14,MATCH($Y387,'Reward Model'!$A$12:$A$14,0))*Z387,2),0)</f>
        <v>1.58</v>
      </c>
    </row>
    <row r="388" customFormat="false" ht="15" hidden="false" customHeight="false" outlineLevel="0" collapsed="false">
      <c r="A388" s="0" t="s">
        <v>160</v>
      </c>
      <c r="B388" s="0" t="s">
        <v>161</v>
      </c>
      <c r="C388" s="0" t="s">
        <v>30</v>
      </c>
      <c r="D388" s="0" t="s">
        <v>31</v>
      </c>
      <c r="E388" s="0" t="n">
        <v>7</v>
      </c>
      <c r="F388" s="0" t="s">
        <v>50</v>
      </c>
      <c r="G388" s="0" t="s">
        <v>51</v>
      </c>
      <c r="H388" s="0" t="s">
        <v>51</v>
      </c>
      <c r="I388" s="0" t="s">
        <v>34</v>
      </c>
      <c r="J388" s="0" t="n">
        <v>1.49</v>
      </c>
      <c r="K388" s="0" t="s">
        <v>35</v>
      </c>
      <c r="L388" s="0" t="n">
        <f aca="false">INDEX(Summary!$F$2:$F$201,MATCH($B388,Summary!$A$2:$A$201,0))</f>
        <v>20</v>
      </c>
      <c r="M388" s="0" t="n">
        <f aca="false">INDEX(Summary!$I$2:$I$201,MATCH($B388,Summary!$A$2:$A$201,0))</f>
        <v>2</v>
      </c>
      <c r="N388" s="0" t="n">
        <f aca="false">INDEX(Summary!$J$2:$J$201,MATCH($B388,Summary!$A$2:$A$201,0))</f>
        <v>3</v>
      </c>
      <c r="O388" s="2" t="n">
        <f aca="false">INDEX(Summary!$K$2:$K$201,MATCH($B388,Summary!$A$2:$A$201,0))</f>
        <v>8.07</v>
      </c>
      <c r="P388" s="3" t="n">
        <f aca="false">INDEX(Summary!$L$2:$L$201,MATCH($B388,Summary!$A$2:$A$201,0))</f>
        <v>2</v>
      </c>
      <c r="Q388" s="3" t="n">
        <f aca="false">INDEX(Summary!$M$2:$M$201,MATCH($B388,Summary!$A$2:$A$201,0))</f>
        <v>4</v>
      </c>
      <c r="R388" s="2" t="n">
        <f aca="false">INDEX(Summary!$N$2:$N$201,MATCH($B388,Summary!$A$2:$A$201,0))</f>
        <v>9.53</v>
      </c>
      <c r="S388" s="3" t="n">
        <f aca="false">INDEX(Summary!$O$2:$O$201,MATCH($B388,Summary!$A$2:$A$201,0))</f>
        <v>8</v>
      </c>
      <c r="T388" s="3" t="n">
        <f aca="false">INDEX(Summary!$P$2:$P$201,MATCH($B388,Summary!$A$2:$A$201,0))</f>
        <v>1</v>
      </c>
      <c r="U388" s="2" t="n">
        <f aca="false">INDEX(Summary!$Q$2:$Q$201,MATCH($B388,Summary!$A$2:$A$201,0))</f>
        <v>12.9</v>
      </c>
      <c r="V388" s="2" t="n">
        <f aca="false">INDEX(Summary!$R$2:$R$201,MATCH($B388,Summary!$A$2:$A$201,0))</f>
        <v>21.54</v>
      </c>
      <c r="W388" s="0" t="str">
        <f aca="false">INDEX(Summary!$S$2:$S$201,MATCH($B388,Summary!$A$2:$A$201,0))</f>
        <v>Silver</v>
      </c>
      <c r="X388" s="2" t="n">
        <f aca="false">INDEX(Summary!$T$2:$T$201,MATCH($B388,Summary!$A$2:$A$201,0))</f>
        <v>52.54</v>
      </c>
      <c r="Y388" s="0" t="str">
        <f aca="false">INDEX('Reward Model'!$E$18:$E$37,MATCH($E388,'Reward Model'!$A$18:$A$37,0))</f>
        <v>Low</v>
      </c>
      <c r="Z388" s="4" t="n">
        <f aca="false">ROUND(MIN(1,MAX('Reward Model'!$B$2,INDEX('Reward Model'!$C$12:$C$14,MATCH($K388,'Reward Model'!$A$12:$A$14,0))/$J388)),3)</f>
        <v>1</v>
      </c>
      <c r="AA388" s="2" t="n">
        <f aca="false">IF($I388="Correct",ROUND(INDEX('Reward Model'!$B$12:$B$14,MATCH($K388,'Reward Model'!$A$12:$A$14,0))*Z388,2),0)</f>
        <v>1</v>
      </c>
      <c r="AB388" s="2" t="n">
        <f aca="false">IF($I388="Correct",ROUND(INDEX('Reward Model'!$B$12:$B$14,MATCH($Y388,'Reward Model'!$A$12:$A$14,0))*Z388,2),0)</f>
        <v>1</v>
      </c>
    </row>
    <row r="389" customFormat="false" ht="15" hidden="false" customHeight="false" outlineLevel="0" collapsed="false">
      <c r="A389" s="0" t="s">
        <v>160</v>
      </c>
      <c r="B389" s="0" t="s">
        <v>161</v>
      </c>
      <c r="C389" s="0" t="s">
        <v>30</v>
      </c>
      <c r="D389" s="0" t="s">
        <v>31</v>
      </c>
      <c r="E389" s="0" t="n">
        <v>8</v>
      </c>
      <c r="F389" s="0" t="s">
        <v>52</v>
      </c>
      <c r="G389" s="0" t="s">
        <v>54</v>
      </c>
      <c r="H389" s="0" t="s">
        <v>54</v>
      </c>
      <c r="I389" s="0" t="s">
        <v>34</v>
      </c>
      <c r="J389" s="0" t="n">
        <v>1.32</v>
      </c>
      <c r="K389" s="0" t="s">
        <v>35</v>
      </c>
      <c r="L389" s="0" t="n">
        <f aca="false">INDEX(Summary!$F$2:$F$201,MATCH($B389,Summary!$A$2:$A$201,0))</f>
        <v>20</v>
      </c>
      <c r="M389" s="0" t="n">
        <f aca="false">INDEX(Summary!$I$2:$I$201,MATCH($B389,Summary!$A$2:$A$201,0))</f>
        <v>2</v>
      </c>
      <c r="N389" s="0" t="n">
        <f aca="false">INDEX(Summary!$J$2:$J$201,MATCH($B389,Summary!$A$2:$A$201,0))</f>
        <v>3</v>
      </c>
      <c r="O389" s="2" t="n">
        <f aca="false">INDEX(Summary!$K$2:$K$201,MATCH($B389,Summary!$A$2:$A$201,0))</f>
        <v>8.07</v>
      </c>
      <c r="P389" s="3" t="n">
        <f aca="false">INDEX(Summary!$L$2:$L$201,MATCH($B389,Summary!$A$2:$A$201,0))</f>
        <v>2</v>
      </c>
      <c r="Q389" s="3" t="n">
        <f aca="false">INDEX(Summary!$M$2:$M$201,MATCH($B389,Summary!$A$2:$A$201,0))</f>
        <v>4</v>
      </c>
      <c r="R389" s="2" t="n">
        <f aca="false">INDEX(Summary!$N$2:$N$201,MATCH($B389,Summary!$A$2:$A$201,0))</f>
        <v>9.53</v>
      </c>
      <c r="S389" s="3" t="n">
        <f aca="false">INDEX(Summary!$O$2:$O$201,MATCH($B389,Summary!$A$2:$A$201,0))</f>
        <v>8</v>
      </c>
      <c r="T389" s="3" t="n">
        <f aca="false">INDEX(Summary!$P$2:$P$201,MATCH($B389,Summary!$A$2:$A$201,0))</f>
        <v>1</v>
      </c>
      <c r="U389" s="2" t="n">
        <f aca="false">INDEX(Summary!$Q$2:$Q$201,MATCH($B389,Summary!$A$2:$A$201,0))</f>
        <v>12.9</v>
      </c>
      <c r="V389" s="2" t="n">
        <f aca="false">INDEX(Summary!$R$2:$R$201,MATCH($B389,Summary!$A$2:$A$201,0))</f>
        <v>21.54</v>
      </c>
      <c r="W389" s="0" t="str">
        <f aca="false">INDEX(Summary!$S$2:$S$201,MATCH($B389,Summary!$A$2:$A$201,0))</f>
        <v>Silver</v>
      </c>
      <c r="X389" s="2" t="n">
        <f aca="false">INDEX(Summary!$T$2:$T$201,MATCH($B389,Summary!$A$2:$A$201,0))</f>
        <v>52.54</v>
      </c>
      <c r="Y389" s="0" t="str">
        <f aca="false">INDEX('Reward Model'!$E$18:$E$37,MATCH($E389,'Reward Model'!$A$18:$A$37,0))</f>
        <v>Medium</v>
      </c>
      <c r="Z389" s="4" t="n">
        <f aca="false">ROUND(MIN(1,MAX('Reward Model'!$B$2,INDEX('Reward Model'!$C$12:$C$14,MATCH($K389,'Reward Model'!$A$12:$A$14,0))/$J389)),3)</f>
        <v>1</v>
      </c>
      <c r="AA389" s="2" t="n">
        <f aca="false">IF($I389="Correct",ROUND(INDEX('Reward Model'!$B$12:$B$14,MATCH($K389,'Reward Model'!$A$12:$A$14,0))*Z389,2),0)</f>
        <v>1</v>
      </c>
      <c r="AB389" s="2" t="n">
        <f aca="false">IF($I389="Correct",ROUND(INDEX('Reward Model'!$B$12:$B$14,MATCH($Y389,'Reward Model'!$A$12:$A$14,0))*Z389,2),0)</f>
        <v>2</v>
      </c>
    </row>
    <row r="390" customFormat="false" ht="15" hidden="false" customHeight="false" outlineLevel="0" collapsed="false">
      <c r="A390" s="0" t="s">
        <v>160</v>
      </c>
      <c r="B390" s="0" t="s">
        <v>161</v>
      </c>
      <c r="C390" s="0" t="s">
        <v>30</v>
      </c>
      <c r="D390" s="0" t="s">
        <v>31</v>
      </c>
      <c r="E390" s="0" t="n">
        <v>9</v>
      </c>
      <c r="F390" s="0" t="s">
        <v>55</v>
      </c>
      <c r="G390" s="0" t="s">
        <v>57</v>
      </c>
      <c r="H390" s="0" t="s">
        <v>57</v>
      </c>
      <c r="I390" s="0" t="s">
        <v>34</v>
      </c>
      <c r="J390" s="0" t="n">
        <v>1.19</v>
      </c>
      <c r="K390" s="0" t="s">
        <v>35</v>
      </c>
      <c r="L390" s="0" t="n">
        <f aca="false">INDEX(Summary!$F$2:$F$201,MATCH($B390,Summary!$A$2:$A$201,0))</f>
        <v>20</v>
      </c>
      <c r="M390" s="0" t="n">
        <f aca="false">INDEX(Summary!$I$2:$I$201,MATCH($B390,Summary!$A$2:$A$201,0))</f>
        <v>2</v>
      </c>
      <c r="N390" s="0" t="n">
        <f aca="false">INDEX(Summary!$J$2:$J$201,MATCH($B390,Summary!$A$2:$A$201,0))</f>
        <v>3</v>
      </c>
      <c r="O390" s="2" t="n">
        <f aca="false">INDEX(Summary!$K$2:$K$201,MATCH($B390,Summary!$A$2:$A$201,0))</f>
        <v>8.07</v>
      </c>
      <c r="P390" s="3" t="n">
        <f aca="false">INDEX(Summary!$L$2:$L$201,MATCH($B390,Summary!$A$2:$A$201,0))</f>
        <v>2</v>
      </c>
      <c r="Q390" s="3" t="n">
        <f aca="false">INDEX(Summary!$M$2:$M$201,MATCH($B390,Summary!$A$2:$A$201,0))</f>
        <v>4</v>
      </c>
      <c r="R390" s="2" t="n">
        <f aca="false">INDEX(Summary!$N$2:$N$201,MATCH($B390,Summary!$A$2:$A$201,0))</f>
        <v>9.53</v>
      </c>
      <c r="S390" s="3" t="n">
        <f aca="false">INDEX(Summary!$O$2:$O$201,MATCH($B390,Summary!$A$2:$A$201,0))</f>
        <v>8</v>
      </c>
      <c r="T390" s="3" t="n">
        <f aca="false">INDEX(Summary!$P$2:$P$201,MATCH($B390,Summary!$A$2:$A$201,0))</f>
        <v>1</v>
      </c>
      <c r="U390" s="2" t="n">
        <f aca="false">INDEX(Summary!$Q$2:$Q$201,MATCH($B390,Summary!$A$2:$A$201,0))</f>
        <v>12.9</v>
      </c>
      <c r="V390" s="2" t="n">
        <f aca="false">INDEX(Summary!$R$2:$R$201,MATCH($B390,Summary!$A$2:$A$201,0))</f>
        <v>21.54</v>
      </c>
      <c r="W390" s="0" t="str">
        <f aca="false">INDEX(Summary!$S$2:$S$201,MATCH($B390,Summary!$A$2:$A$201,0))</f>
        <v>Silver</v>
      </c>
      <c r="X390" s="2" t="n">
        <f aca="false">INDEX(Summary!$T$2:$T$201,MATCH($B390,Summary!$A$2:$A$201,0))</f>
        <v>52.54</v>
      </c>
      <c r="Y390" s="0" t="str">
        <f aca="false">INDEX('Reward Model'!$E$18:$E$37,MATCH($E390,'Reward Model'!$A$18:$A$37,0))</f>
        <v>Medium</v>
      </c>
      <c r="Z390" s="4" t="n">
        <f aca="false">ROUND(MIN(1,MAX('Reward Model'!$B$2,INDEX('Reward Model'!$C$12:$C$14,MATCH($K390,'Reward Model'!$A$12:$A$14,0))/$J390)),3)</f>
        <v>1</v>
      </c>
      <c r="AA390" s="2" t="n">
        <f aca="false">IF($I390="Correct",ROUND(INDEX('Reward Model'!$B$12:$B$14,MATCH($K390,'Reward Model'!$A$12:$A$14,0))*Z390,2),0)</f>
        <v>1</v>
      </c>
      <c r="AB390" s="2" t="n">
        <f aca="false">IF($I390="Correct",ROUND(INDEX('Reward Model'!$B$12:$B$14,MATCH($Y390,'Reward Model'!$A$12:$A$14,0))*Z390,2),0)</f>
        <v>2</v>
      </c>
    </row>
    <row r="391" customFormat="false" ht="15" hidden="false" customHeight="false" outlineLevel="0" collapsed="false">
      <c r="A391" s="0" t="s">
        <v>160</v>
      </c>
      <c r="B391" s="0" t="s">
        <v>161</v>
      </c>
      <c r="C391" s="0" t="s">
        <v>30</v>
      </c>
      <c r="D391" s="0" t="s">
        <v>31</v>
      </c>
      <c r="E391" s="0" t="n">
        <v>10</v>
      </c>
      <c r="F391" s="0" t="s">
        <v>58</v>
      </c>
      <c r="G391" s="0" t="s">
        <v>138</v>
      </c>
      <c r="H391" s="0" t="s">
        <v>59</v>
      </c>
      <c r="I391" s="0" t="s">
        <v>39</v>
      </c>
      <c r="J391" s="0" t="n">
        <v>1.39</v>
      </c>
      <c r="K391" s="0" t="s">
        <v>60</v>
      </c>
      <c r="L391" s="0" t="n">
        <f aca="false">INDEX(Summary!$F$2:$F$201,MATCH($B391,Summary!$A$2:$A$201,0))</f>
        <v>20</v>
      </c>
      <c r="M391" s="0" t="n">
        <f aca="false">INDEX(Summary!$I$2:$I$201,MATCH($B391,Summary!$A$2:$A$201,0))</f>
        <v>2</v>
      </c>
      <c r="N391" s="0" t="n">
        <f aca="false">INDEX(Summary!$J$2:$J$201,MATCH($B391,Summary!$A$2:$A$201,0))</f>
        <v>3</v>
      </c>
      <c r="O391" s="2" t="n">
        <f aca="false">INDEX(Summary!$K$2:$K$201,MATCH($B391,Summary!$A$2:$A$201,0))</f>
        <v>8.07</v>
      </c>
      <c r="P391" s="3" t="n">
        <f aca="false">INDEX(Summary!$L$2:$L$201,MATCH($B391,Summary!$A$2:$A$201,0))</f>
        <v>2</v>
      </c>
      <c r="Q391" s="3" t="n">
        <f aca="false">INDEX(Summary!$M$2:$M$201,MATCH($B391,Summary!$A$2:$A$201,0))</f>
        <v>4</v>
      </c>
      <c r="R391" s="2" t="n">
        <f aca="false">INDEX(Summary!$N$2:$N$201,MATCH($B391,Summary!$A$2:$A$201,0))</f>
        <v>9.53</v>
      </c>
      <c r="S391" s="3" t="n">
        <f aca="false">INDEX(Summary!$O$2:$O$201,MATCH($B391,Summary!$A$2:$A$201,0))</f>
        <v>8</v>
      </c>
      <c r="T391" s="3" t="n">
        <f aca="false">INDEX(Summary!$P$2:$P$201,MATCH($B391,Summary!$A$2:$A$201,0))</f>
        <v>1</v>
      </c>
      <c r="U391" s="2" t="n">
        <f aca="false">INDEX(Summary!$Q$2:$Q$201,MATCH($B391,Summary!$A$2:$A$201,0))</f>
        <v>12.9</v>
      </c>
      <c r="V391" s="2" t="n">
        <f aca="false">INDEX(Summary!$R$2:$R$201,MATCH($B391,Summary!$A$2:$A$201,0))</f>
        <v>21.54</v>
      </c>
      <c r="W391" s="0" t="str">
        <f aca="false">INDEX(Summary!$S$2:$S$201,MATCH($B391,Summary!$A$2:$A$201,0))</f>
        <v>Silver</v>
      </c>
      <c r="X391" s="2" t="n">
        <f aca="false">INDEX(Summary!$T$2:$T$201,MATCH($B391,Summary!$A$2:$A$201,0))</f>
        <v>52.54</v>
      </c>
      <c r="Y391" s="0" t="str">
        <f aca="false">INDEX('Reward Model'!$E$18:$E$37,MATCH($E391,'Reward Model'!$A$18:$A$37,0))</f>
        <v>Medium</v>
      </c>
      <c r="Z391" s="4" t="n">
        <f aca="false">ROUND(MIN(1,MAX('Reward Model'!$B$2,INDEX('Reward Model'!$C$12:$C$14,MATCH($K391,'Reward Model'!$A$12:$A$14,0))/$J391)),3)</f>
        <v>1</v>
      </c>
      <c r="AA391" s="2" t="n">
        <f aca="false">IF($I391="Correct",ROUND(INDEX('Reward Model'!$B$12:$B$14,MATCH($K391,'Reward Model'!$A$12:$A$14,0))*Z391,2),0)</f>
        <v>0</v>
      </c>
      <c r="AB391" s="2" t="n">
        <f aca="false">IF($I391="Correct",ROUND(INDEX('Reward Model'!$B$12:$B$14,MATCH($Y391,'Reward Model'!$A$12:$A$14,0))*Z391,2),0)</f>
        <v>0</v>
      </c>
    </row>
    <row r="392" customFormat="false" ht="15" hidden="false" customHeight="false" outlineLevel="0" collapsed="false">
      <c r="A392" s="0" t="s">
        <v>160</v>
      </c>
      <c r="B392" s="0" t="s">
        <v>161</v>
      </c>
      <c r="C392" s="0" t="s">
        <v>30</v>
      </c>
      <c r="D392" s="0" t="s">
        <v>31</v>
      </c>
      <c r="E392" s="0" t="n">
        <v>11</v>
      </c>
      <c r="F392" s="0" t="s">
        <v>61</v>
      </c>
      <c r="G392" s="0" t="s">
        <v>63</v>
      </c>
      <c r="H392" s="0" t="s">
        <v>63</v>
      </c>
      <c r="I392" s="0" t="s">
        <v>34</v>
      </c>
      <c r="J392" s="0" t="n">
        <v>1.71</v>
      </c>
      <c r="K392" s="0" t="s">
        <v>60</v>
      </c>
      <c r="L392" s="0" t="n">
        <f aca="false">INDEX(Summary!$F$2:$F$201,MATCH($B392,Summary!$A$2:$A$201,0))</f>
        <v>20</v>
      </c>
      <c r="M392" s="0" t="n">
        <f aca="false">INDEX(Summary!$I$2:$I$201,MATCH($B392,Summary!$A$2:$A$201,0))</f>
        <v>2</v>
      </c>
      <c r="N392" s="0" t="n">
        <f aca="false">INDEX(Summary!$J$2:$J$201,MATCH($B392,Summary!$A$2:$A$201,0))</f>
        <v>3</v>
      </c>
      <c r="O392" s="2" t="n">
        <f aca="false">INDEX(Summary!$K$2:$K$201,MATCH($B392,Summary!$A$2:$A$201,0))</f>
        <v>8.07</v>
      </c>
      <c r="P392" s="3" t="n">
        <f aca="false">INDEX(Summary!$L$2:$L$201,MATCH($B392,Summary!$A$2:$A$201,0))</f>
        <v>2</v>
      </c>
      <c r="Q392" s="3" t="n">
        <f aca="false">INDEX(Summary!$M$2:$M$201,MATCH($B392,Summary!$A$2:$A$201,0))</f>
        <v>4</v>
      </c>
      <c r="R392" s="2" t="n">
        <f aca="false">INDEX(Summary!$N$2:$N$201,MATCH($B392,Summary!$A$2:$A$201,0))</f>
        <v>9.53</v>
      </c>
      <c r="S392" s="3" t="n">
        <f aca="false">INDEX(Summary!$O$2:$O$201,MATCH($B392,Summary!$A$2:$A$201,0))</f>
        <v>8</v>
      </c>
      <c r="T392" s="3" t="n">
        <f aca="false">INDEX(Summary!$P$2:$P$201,MATCH($B392,Summary!$A$2:$A$201,0))</f>
        <v>1</v>
      </c>
      <c r="U392" s="2" t="n">
        <f aca="false">INDEX(Summary!$Q$2:$Q$201,MATCH($B392,Summary!$A$2:$A$201,0))</f>
        <v>12.9</v>
      </c>
      <c r="V392" s="2" t="n">
        <f aca="false">INDEX(Summary!$R$2:$R$201,MATCH($B392,Summary!$A$2:$A$201,0))</f>
        <v>21.54</v>
      </c>
      <c r="W392" s="0" t="str">
        <f aca="false">INDEX(Summary!$S$2:$S$201,MATCH($B392,Summary!$A$2:$A$201,0))</f>
        <v>Silver</v>
      </c>
      <c r="X392" s="2" t="n">
        <f aca="false">INDEX(Summary!$T$2:$T$201,MATCH($B392,Summary!$A$2:$A$201,0))</f>
        <v>52.54</v>
      </c>
      <c r="Y392" s="0" t="str">
        <f aca="false">INDEX('Reward Model'!$E$18:$E$37,MATCH($E392,'Reward Model'!$A$18:$A$37,0))</f>
        <v>Medium</v>
      </c>
      <c r="Z392" s="4" t="n">
        <f aca="false">ROUND(MIN(1,MAX('Reward Model'!$B$2,INDEX('Reward Model'!$C$12:$C$14,MATCH($K392,'Reward Model'!$A$12:$A$14,0))/$J392)),3)</f>
        <v>1</v>
      </c>
      <c r="AA392" s="2" t="n">
        <f aca="false">IF($I392="Correct",ROUND(INDEX('Reward Model'!$B$12:$B$14,MATCH($K392,'Reward Model'!$A$12:$A$14,0))*Z392,2),0)</f>
        <v>2</v>
      </c>
      <c r="AB392" s="2" t="n">
        <f aca="false">IF($I392="Correct",ROUND(INDEX('Reward Model'!$B$12:$B$14,MATCH($Y392,'Reward Model'!$A$12:$A$14,0))*Z392,2),0)</f>
        <v>2</v>
      </c>
    </row>
    <row r="393" customFormat="false" ht="15" hidden="false" customHeight="false" outlineLevel="0" collapsed="false">
      <c r="A393" s="0" t="s">
        <v>160</v>
      </c>
      <c r="B393" s="0" t="s">
        <v>161</v>
      </c>
      <c r="C393" s="0" t="s">
        <v>30</v>
      </c>
      <c r="D393" s="0" t="s">
        <v>31</v>
      </c>
      <c r="E393" s="0" t="n">
        <v>12</v>
      </c>
      <c r="F393" s="0" t="s">
        <v>64</v>
      </c>
      <c r="G393" s="0" t="s">
        <v>65</v>
      </c>
      <c r="H393" s="0" t="s">
        <v>65</v>
      </c>
      <c r="I393" s="0" t="s">
        <v>34</v>
      </c>
      <c r="J393" s="0" t="n">
        <v>1.14</v>
      </c>
      <c r="K393" s="0" t="s">
        <v>60</v>
      </c>
      <c r="L393" s="0" t="n">
        <f aca="false">INDEX(Summary!$F$2:$F$201,MATCH($B393,Summary!$A$2:$A$201,0))</f>
        <v>20</v>
      </c>
      <c r="M393" s="0" t="n">
        <f aca="false">INDEX(Summary!$I$2:$I$201,MATCH($B393,Summary!$A$2:$A$201,0))</f>
        <v>2</v>
      </c>
      <c r="N393" s="0" t="n">
        <f aca="false">INDEX(Summary!$J$2:$J$201,MATCH($B393,Summary!$A$2:$A$201,0))</f>
        <v>3</v>
      </c>
      <c r="O393" s="2" t="n">
        <f aca="false">INDEX(Summary!$K$2:$K$201,MATCH($B393,Summary!$A$2:$A$201,0))</f>
        <v>8.07</v>
      </c>
      <c r="P393" s="3" t="n">
        <f aca="false">INDEX(Summary!$L$2:$L$201,MATCH($B393,Summary!$A$2:$A$201,0))</f>
        <v>2</v>
      </c>
      <c r="Q393" s="3" t="n">
        <f aca="false">INDEX(Summary!$M$2:$M$201,MATCH($B393,Summary!$A$2:$A$201,0))</f>
        <v>4</v>
      </c>
      <c r="R393" s="2" t="n">
        <f aca="false">INDEX(Summary!$N$2:$N$201,MATCH($B393,Summary!$A$2:$A$201,0))</f>
        <v>9.53</v>
      </c>
      <c r="S393" s="3" t="n">
        <f aca="false">INDEX(Summary!$O$2:$O$201,MATCH($B393,Summary!$A$2:$A$201,0))</f>
        <v>8</v>
      </c>
      <c r="T393" s="3" t="n">
        <f aca="false">INDEX(Summary!$P$2:$P$201,MATCH($B393,Summary!$A$2:$A$201,0))</f>
        <v>1</v>
      </c>
      <c r="U393" s="2" t="n">
        <f aca="false">INDEX(Summary!$Q$2:$Q$201,MATCH($B393,Summary!$A$2:$A$201,0))</f>
        <v>12.9</v>
      </c>
      <c r="V393" s="2" t="n">
        <f aca="false">INDEX(Summary!$R$2:$R$201,MATCH($B393,Summary!$A$2:$A$201,0))</f>
        <v>21.54</v>
      </c>
      <c r="W393" s="0" t="str">
        <f aca="false">INDEX(Summary!$S$2:$S$201,MATCH($B393,Summary!$A$2:$A$201,0))</f>
        <v>Silver</v>
      </c>
      <c r="X393" s="2" t="n">
        <f aca="false">INDEX(Summary!$T$2:$T$201,MATCH($B393,Summary!$A$2:$A$201,0))</f>
        <v>52.54</v>
      </c>
      <c r="Y393" s="0" t="str">
        <f aca="false">INDEX('Reward Model'!$E$18:$E$37,MATCH($E393,'Reward Model'!$A$18:$A$37,0))</f>
        <v>Medium</v>
      </c>
      <c r="Z393" s="4" t="n">
        <f aca="false">ROUND(MIN(1,MAX('Reward Model'!$B$2,INDEX('Reward Model'!$C$12:$C$14,MATCH($K393,'Reward Model'!$A$12:$A$14,0))/$J393)),3)</f>
        <v>1</v>
      </c>
      <c r="AA393" s="2" t="n">
        <f aca="false">IF($I393="Correct",ROUND(INDEX('Reward Model'!$B$12:$B$14,MATCH($K393,'Reward Model'!$A$12:$A$14,0))*Z393,2),0)</f>
        <v>2</v>
      </c>
      <c r="AB393" s="2" t="n">
        <f aca="false">IF($I393="Correct",ROUND(INDEX('Reward Model'!$B$12:$B$14,MATCH($Y393,'Reward Model'!$A$12:$A$14,0))*Z393,2),0)</f>
        <v>2</v>
      </c>
    </row>
    <row r="394" customFormat="false" ht="15" hidden="false" customHeight="false" outlineLevel="0" collapsed="false">
      <c r="A394" s="0" t="s">
        <v>160</v>
      </c>
      <c r="B394" s="0" t="s">
        <v>161</v>
      </c>
      <c r="C394" s="0" t="s">
        <v>30</v>
      </c>
      <c r="D394" s="0" t="s">
        <v>31</v>
      </c>
      <c r="E394" s="0" t="n">
        <v>13</v>
      </c>
      <c r="F394" s="0" t="s">
        <v>66</v>
      </c>
      <c r="G394" s="0" t="s">
        <v>117</v>
      </c>
      <c r="H394" s="0" t="s">
        <v>67</v>
      </c>
      <c r="I394" s="0" t="s">
        <v>39</v>
      </c>
      <c r="J394" s="0" t="n">
        <v>2.09</v>
      </c>
      <c r="K394" s="0" t="s">
        <v>60</v>
      </c>
      <c r="L394" s="0" t="n">
        <f aca="false">INDEX(Summary!$F$2:$F$201,MATCH($B394,Summary!$A$2:$A$201,0))</f>
        <v>20</v>
      </c>
      <c r="M394" s="0" t="n">
        <f aca="false">INDEX(Summary!$I$2:$I$201,MATCH($B394,Summary!$A$2:$A$201,0))</f>
        <v>2</v>
      </c>
      <c r="N394" s="0" t="n">
        <f aca="false">INDEX(Summary!$J$2:$J$201,MATCH($B394,Summary!$A$2:$A$201,0))</f>
        <v>3</v>
      </c>
      <c r="O394" s="2" t="n">
        <f aca="false">INDEX(Summary!$K$2:$K$201,MATCH($B394,Summary!$A$2:$A$201,0))</f>
        <v>8.07</v>
      </c>
      <c r="P394" s="3" t="n">
        <f aca="false">INDEX(Summary!$L$2:$L$201,MATCH($B394,Summary!$A$2:$A$201,0))</f>
        <v>2</v>
      </c>
      <c r="Q394" s="3" t="n">
        <f aca="false">INDEX(Summary!$M$2:$M$201,MATCH($B394,Summary!$A$2:$A$201,0))</f>
        <v>4</v>
      </c>
      <c r="R394" s="2" t="n">
        <f aca="false">INDEX(Summary!$N$2:$N$201,MATCH($B394,Summary!$A$2:$A$201,0))</f>
        <v>9.53</v>
      </c>
      <c r="S394" s="3" t="n">
        <f aca="false">INDEX(Summary!$O$2:$O$201,MATCH($B394,Summary!$A$2:$A$201,0))</f>
        <v>8</v>
      </c>
      <c r="T394" s="3" t="n">
        <f aca="false">INDEX(Summary!$P$2:$P$201,MATCH($B394,Summary!$A$2:$A$201,0))</f>
        <v>1</v>
      </c>
      <c r="U394" s="2" t="n">
        <f aca="false">INDEX(Summary!$Q$2:$Q$201,MATCH($B394,Summary!$A$2:$A$201,0))</f>
        <v>12.9</v>
      </c>
      <c r="V394" s="2" t="n">
        <f aca="false">INDEX(Summary!$R$2:$R$201,MATCH($B394,Summary!$A$2:$A$201,0))</f>
        <v>21.54</v>
      </c>
      <c r="W394" s="0" t="str">
        <f aca="false">INDEX(Summary!$S$2:$S$201,MATCH($B394,Summary!$A$2:$A$201,0))</f>
        <v>Silver</v>
      </c>
      <c r="X394" s="2" t="n">
        <f aca="false">INDEX(Summary!$T$2:$T$201,MATCH($B394,Summary!$A$2:$A$201,0))</f>
        <v>52.54</v>
      </c>
      <c r="Y394" s="0" t="str">
        <f aca="false">INDEX('Reward Model'!$E$18:$E$37,MATCH($E394,'Reward Model'!$A$18:$A$37,0))</f>
        <v>Medium</v>
      </c>
      <c r="Z394" s="4" t="n">
        <f aca="false">ROUND(MIN(1,MAX('Reward Model'!$B$2,INDEX('Reward Model'!$C$12:$C$14,MATCH($K394,'Reward Model'!$A$12:$A$14,0))/$J394)),3)</f>
        <v>0.861</v>
      </c>
      <c r="AA394" s="2" t="n">
        <f aca="false">IF($I394="Correct",ROUND(INDEX('Reward Model'!$B$12:$B$14,MATCH($K394,'Reward Model'!$A$12:$A$14,0))*Z394,2),0)</f>
        <v>0</v>
      </c>
      <c r="AB394" s="2" t="n">
        <f aca="false">IF($I394="Correct",ROUND(INDEX('Reward Model'!$B$12:$B$14,MATCH($Y394,'Reward Model'!$A$12:$A$14,0))*Z394,2),0)</f>
        <v>0</v>
      </c>
    </row>
    <row r="395" customFormat="false" ht="15" hidden="false" customHeight="false" outlineLevel="0" collapsed="false">
      <c r="A395" s="0" t="s">
        <v>160</v>
      </c>
      <c r="B395" s="0" t="s">
        <v>161</v>
      </c>
      <c r="C395" s="0" t="s">
        <v>30</v>
      </c>
      <c r="D395" s="0" t="s">
        <v>31</v>
      </c>
      <c r="E395" s="0" t="n">
        <v>14</v>
      </c>
      <c r="F395" s="0" t="s">
        <v>68</v>
      </c>
      <c r="G395" s="0" t="s">
        <v>100</v>
      </c>
      <c r="H395" s="0" t="s">
        <v>51</v>
      </c>
      <c r="I395" s="0" t="s">
        <v>39</v>
      </c>
      <c r="J395" s="0" t="n">
        <v>1.3</v>
      </c>
      <c r="K395" s="0" t="s">
        <v>60</v>
      </c>
      <c r="L395" s="0" t="n">
        <f aca="false">INDEX(Summary!$F$2:$F$201,MATCH($B395,Summary!$A$2:$A$201,0))</f>
        <v>20</v>
      </c>
      <c r="M395" s="0" t="n">
        <f aca="false">INDEX(Summary!$I$2:$I$201,MATCH($B395,Summary!$A$2:$A$201,0))</f>
        <v>2</v>
      </c>
      <c r="N395" s="0" t="n">
        <f aca="false">INDEX(Summary!$J$2:$J$201,MATCH($B395,Summary!$A$2:$A$201,0))</f>
        <v>3</v>
      </c>
      <c r="O395" s="2" t="n">
        <f aca="false">INDEX(Summary!$K$2:$K$201,MATCH($B395,Summary!$A$2:$A$201,0))</f>
        <v>8.07</v>
      </c>
      <c r="P395" s="3" t="n">
        <f aca="false">INDEX(Summary!$L$2:$L$201,MATCH($B395,Summary!$A$2:$A$201,0))</f>
        <v>2</v>
      </c>
      <c r="Q395" s="3" t="n">
        <f aca="false">INDEX(Summary!$M$2:$M$201,MATCH($B395,Summary!$A$2:$A$201,0))</f>
        <v>4</v>
      </c>
      <c r="R395" s="2" t="n">
        <f aca="false">INDEX(Summary!$N$2:$N$201,MATCH($B395,Summary!$A$2:$A$201,0))</f>
        <v>9.53</v>
      </c>
      <c r="S395" s="3" t="n">
        <f aca="false">INDEX(Summary!$O$2:$O$201,MATCH($B395,Summary!$A$2:$A$201,0))</f>
        <v>8</v>
      </c>
      <c r="T395" s="3" t="n">
        <f aca="false">INDEX(Summary!$P$2:$P$201,MATCH($B395,Summary!$A$2:$A$201,0))</f>
        <v>1</v>
      </c>
      <c r="U395" s="2" t="n">
        <f aca="false">INDEX(Summary!$Q$2:$Q$201,MATCH($B395,Summary!$A$2:$A$201,0))</f>
        <v>12.9</v>
      </c>
      <c r="V395" s="2" t="n">
        <f aca="false">INDEX(Summary!$R$2:$R$201,MATCH($B395,Summary!$A$2:$A$201,0))</f>
        <v>21.54</v>
      </c>
      <c r="W395" s="0" t="str">
        <f aca="false">INDEX(Summary!$S$2:$S$201,MATCH($B395,Summary!$A$2:$A$201,0))</f>
        <v>Silver</v>
      </c>
      <c r="X395" s="2" t="n">
        <f aca="false">INDEX(Summary!$T$2:$T$201,MATCH($B395,Summary!$A$2:$A$201,0))</f>
        <v>52.54</v>
      </c>
      <c r="Y395" s="0" t="str">
        <f aca="false">INDEX('Reward Model'!$E$18:$E$37,MATCH($E395,'Reward Model'!$A$18:$A$37,0))</f>
        <v>Medium</v>
      </c>
      <c r="Z395" s="4" t="n">
        <f aca="false">ROUND(MIN(1,MAX('Reward Model'!$B$2,INDEX('Reward Model'!$C$12:$C$14,MATCH($K395,'Reward Model'!$A$12:$A$14,0))/$J395)),3)</f>
        <v>1</v>
      </c>
      <c r="AA395" s="2" t="n">
        <f aca="false">IF($I395="Correct",ROUND(INDEX('Reward Model'!$B$12:$B$14,MATCH($K395,'Reward Model'!$A$12:$A$14,0))*Z395,2),0)</f>
        <v>0</v>
      </c>
      <c r="AB395" s="2" t="n">
        <f aca="false">IF($I395="Correct",ROUND(INDEX('Reward Model'!$B$12:$B$14,MATCH($Y395,'Reward Model'!$A$12:$A$14,0))*Z395,2),0)</f>
        <v>0</v>
      </c>
    </row>
    <row r="396" customFormat="false" ht="15" hidden="false" customHeight="false" outlineLevel="0" collapsed="false">
      <c r="A396" s="0" t="s">
        <v>160</v>
      </c>
      <c r="B396" s="0" t="s">
        <v>161</v>
      </c>
      <c r="C396" s="0" t="s">
        <v>30</v>
      </c>
      <c r="D396" s="0" t="s">
        <v>31</v>
      </c>
      <c r="E396" s="0" t="n">
        <v>15</v>
      </c>
      <c r="F396" s="0" t="s">
        <v>69</v>
      </c>
      <c r="G396" s="0" t="s">
        <v>131</v>
      </c>
      <c r="H396" s="0" t="s">
        <v>70</v>
      </c>
      <c r="I396" s="0" t="s">
        <v>39</v>
      </c>
      <c r="J396" s="0" t="n">
        <v>1.9</v>
      </c>
      <c r="K396" s="0" t="s">
        <v>60</v>
      </c>
      <c r="L396" s="0" t="n">
        <f aca="false">INDEX(Summary!$F$2:$F$201,MATCH($B396,Summary!$A$2:$A$201,0))</f>
        <v>20</v>
      </c>
      <c r="M396" s="0" t="n">
        <f aca="false">INDEX(Summary!$I$2:$I$201,MATCH($B396,Summary!$A$2:$A$201,0))</f>
        <v>2</v>
      </c>
      <c r="N396" s="0" t="n">
        <f aca="false">INDEX(Summary!$J$2:$J$201,MATCH($B396,Summary!$A$2:$A$201,0))</f>
        <v>3</v>
      </c>
      <c r="O396" s="2" t="n">
        <f aca="false">INDEX(Summary!$K$2:$K$201,MATCH($B396,Summary!$A$2:$A$201,0))</f>
        <v>8.07</v>
      </c>
      <c r="P396" s="3" t="n">
        <f aca="false">INDEX(Summary!$L$2:$L$201,MATCH($B396,Summary!$A$2:$A$201,0))</f>
        <v>2</v>
      </c>
      <c r="Q396" s="3" t="n">
        <f aca="false">INDEX(Summary!$M$2:$M$201,MATCH($B396,Summary!$A$2:$A$201,0))</f>
        <v>4</v>
      </c>
      <c r="R396" s="2" t="n">
        <f aca="false">INDEX(Summary!$N$2:$N$201,MATCH($B396,Summary!$A$2:$A$201,0))</f>
        <v>9.53</v>
      </c>
      <c r="S396" s="3" t="n">
        <f aca="false">INDEX(Summary!$O$2:$O$201,MATCH($B396,Summary!$A$2:$A$201,0))</f>
        <v>8</v>
      </c>
      <c r="T396" s="3" t="n">
        <f aca="false">INDEX(Summary!$P$2:$P$201,MATCH($B396,Summary!$A$2:$A$201,0))</f>
        <v>1</v>
      </c>
      <c r="U396" s="2" t="n">
        <f aca="false">INDEX(Summary!$Q$2:$Q$201,MATCH($B396,Summary!$A$2:$A$201,0))</f>
        <v>12.9</v>
      </c>
      <c r="V396" s="2" t="n">
        <f aca="false">INDEX(Summary!$R$2:$R$201,MATCH($B396,Summary!$A$2:$A$201,0))</f>
        <v>21.54</v>
      </c>
      <c r="W396" s="0" t="str">
        <f aca="false">INDEX(Summary!$S$2:$S$201,MATCH($B396,Summary!$A$2:$A$201,0))</f>
        <v>Silver</v>
      </c>
      <c r="X396" s="2" t="n">
        <f aca="false">INDEX(Summary!$T$2:$T$201,MATCH($B396,Summary!$A$2:$A$201,0))</f>
        <v>52.54</v>
      </c>
      <c r="Y396" s="0" t="str">
        <f aca="false">INDEX('Reward Model'!$E$18:$E$37,MATCH($E396,'Reward Model'!$A$18:$A$37,0))</f>
        <v>Medium</v>
      </c>
      <c r="Z396" s="4" t="n">
        <f aca="false">ROUND(MIN(1,MAX('Reward Model'!$B$2,INDEX('Reward Model'!$C$12:$C$14,MATCH($K396,'Reward Model'!$A$12:$A$14,0))/$J396)),3)</f>
        <v>0.947</v>
      </c>
      <c r="AA396" s="2" t="n">
        <f aca="false">IF($I396="Correct",ROUND(INDEX('Reward Model'!$B$12:$B$14,MATCH($K396,'Reward Model'!$A$12:$A$14,0))*Z396,2),0)</f>
        <v>0</v>
      </c>
      <c r="AB396" s="2" t="n">
        <f aca="false">IF($I396="Correct",ROUND(INDEX('Reward Model'!$B$12:$B$14,MATCH($Y396,'Reward Model'!$A$12:$A$14,0))*Z396,2),0)</f>
        <v>0</v>
      </c>
    </row>
    <row r="397" customFormat="false" ht="15" hidden="false" customHeight="false" outlineLevel="0" collapsed="false">
      <c r="A397" s="0" t="s">
        <v>160</v>
      </c>
      <c r="B397" s="0" t="s">
        <v>161</v>
      </c>
      <c r="C397" s="0" t="s">
        <v>30</v>
      </c>
      <c r="D397" s="0" t="s">
        <v>31</v>
      </c>
      <c r="E397" s="0" t="n">
        <v>16</v>
      </c>
      <c r="F397" s="0" t="s">
        <v>71</v>
      </c>
      <c r="G397" s="0" t="s">
        <v>87</v>
      </c>
      <c r="H397" s="0" t="s">
        <v>72</v>
      </c>
      <c r="I397" s="0" t="s">
        <v>39</v>
      </c>
      <c r="J397" s="0" t="n">
        <v>1.82</v>
      </c>
      <c r="K397" s="0" t="s">
        <v>73</v>
      </c>
      <c r="L397" s="0" t="n">
        <f aca="false">INDEX(Summary!$F$2:$F$201,MATCH($B397,Summary!$A$2:$A$201,0))</f>
        <v>20</v>
      </c>
      <c r="M397" s="0" t="n">
        <f aca="false">INDEX(Summary!$I$2:$I$201,MATCH($B397,Summary!$A$2:$A$201,0))</f>
        <v>2</v>
      </c>
      <c r="N397" s="0" t="n">
        <f aca="false">INDEX(Summary!$J$2:$J$201,MATCH($B397,Summary!$A$2:$A$201,0))</f>
        <v>3</v>
      </c>
      <c r="O397" s="2" t="n">
        <f aca="false">INDEX(Summary!$K$2:$K$201,MATCH($B397,Summary!$A$2:$A$201,0))</f>
        <v>8.07</v>
      </c>
      <c r="P397" s="3" t="n">
        <f aca="false">INDEX(Summary!$L$2:$L$201,MATCH($B397,Summary!$A$2:$A$201,0))</f>
        <v>2</v>
      </c>
      <c r="Q397" s="3" t="n">
        <f aca="false">INDEX(Summary!$M$2:$M$201,MATCH($B397,Summary!$A$2:$A$201,0))</f>
        <v>4</v>
      </c>
      <c r="R397" s="2" t="n">
        <f aca="false">INDEX(Summary!$N$2:$N$201,MATCH($B397,Summary!$A$2:$A$201,0))</f>
        <v>9.53</v>
      </c>
      <c r="S397" s="3" t="n">
        <f aca="false">INDEX(Summary!$O$2:$O$201,MATCH($B397,Summary!$A$2:$A$201,0))</f>
        <v>8</v>
      </c>
      <c r="T397" s="3" t="n">
        <f aca="false">INDEX(Summary!$P$2:$P$201,MATCH($B397,Summary!$A$2:$A$201,0))</f>
        <v>1</v>
      </c>
      <c r="U397" s="2" t="n">
        <f aca="false">INDEX(Summary!$Q$2:$Q$201,MATCH($B397,Summary!$A$2:$A$201,0))</f>
        <v>12.9</v>
      </c>
      <c r="V397" s="2" t="n">
        <f aca="false">INDEX(Summary!$R$2:$R$201,MATCH($B397,Summary!$A$2:$A$201,0))</f>
        <v>21.54</v>
      </c>
      <c r="W397" s="0" t="str">
        <f aca="false">INDEX(Summary!$S$2:$S$201,MATCH($B397,Summary!$A$2:$A$201,0))</f>
        <v>Silver</v>
      </c>
      <c r="X397" s="2" t="n">
        <f aca="false">INDEX(Summary!$T$2:$T$201,MATCH($B397,Summary!$A$2:$A$201,0))</f>
        <v>52.54</v>
      </c>
      <c r="Y397" s="0" t="str">
        <f aca="false">INDEX('Reward Model'!$E$18:$E$37,MATCH($E397,'Reward Model'!$A$18:$A$37,0))</f>
        <v>High</v>
      </c>
      <c r="Z397" s="4" t="n">
        <f aca="false">ROUND(MIN(1,MAX('Reward Model'!$B$2,INDEX('Reward Model'!$C$12:$C$14,MATCH($K397,'Reward Model'!$A$12:$A$14,0))/$J397)),3)</f>
        <v>1</v>
      </c>
      <c r="AA397" s="2" t="n">
        <f aca="false">IF($I397="Correct",ROUND(INDEX('Reward Model'!$B$12:$B$14,MATCH($K397,'Reward Model'!$A$12:$A$14,0))*Z397,2),0)</f>
        <v>0</v>
      </c>
      <c r="AB397" s="2" t="n">
        <f aca="false">IF($I397="Correct",ROUND(INDEX('Reward Model'!$B$12:$B$14,MATCH($Y397,'Reward Model'!$A$12:$A$14,0))*Z397,2),0)</f>
        <v>0</v>
      </c>
    </row>
    <row r="398" customFormat="false" ht="15" hidden="false" customHeight="false" outlineLevel="0" collapsed="false">
      <c r="A398" s="0" t="s">
        <v>160</v>
      </c>
      <c r="B398" s="0" t="s">
        <v>161</v>
      </c>
      <c r="C398" s="0" t="s">
        <v>30</v>
      </c>
      <c r="D398" s="0" t="s">
        <v>31</v>
      </c>
      <c r="E398" s="0" t="n">
        <v>17</v>
      </c>
      <c r="F398" s="0" t="s">
        <v>74</v>
      </c>
      <c r="G398" s="0" t="s">
        <v>105</v>
      </c>
      <c r="H398" s="0" t="s">
        <v>75</v>
      </c>
      <c r="I398" s="0" t="s">
        <v>39</v>
      </c>
      <c r="J398" s="0" t="n">
        <v>2.09</v>
      </c>
      <c r="K398" s="0" t="s">
        <v>73</v>
      </c>
      <c r="L398" s="0" t="n">
        <f aca="false">INDEX(Summary!$F$2:$F$201,MATCH($B398,Summary!$A$2:$A$201,0))</f>
        <v>20</v>
      </c>
      <c r="M398" s="0" t="n">
        <f aca="false">INDEX(Summary!$I$2:$I$201,MATCH($B398,Summary!$A$2:$A$201,0))</f>
        <v>2</v>
      </c>
      <c r="N398" s="0" t="n">
        <f aca="false">INDEX(Summary!$J$2:$J$201,MATCH($B398,Summary!$A$2:$A$201,0))</f>
        <v>3</v>
      </c>
      <c r="O398" s="2" t="n">
        <f aca="false">INDEX(Summary!$K$2:$K$201,MATCH($B398,Summary!$A$2:$A$201,0))</f>
        <v>8.07</v>
      </c>
      <c r="P398" s="3" t="n">
        <f aca="false">INDEX(Summary!$L$2:$L$201,MATCH($B398,Summary!$A$2:$A$201,0))</f>
        <v>2</v>
      </c>
      <c r="Q398" s="3" t="n">
        <f aca="false">INDEX(Summary!$M$2:$M$201,MATCH($B398,Summary!$A$2:$A$201,0))</f>
        <v>4</v>
      </c>
      <c r="R398" s="2" t="n">
        <f aca="false">INDEX(Summary!$N$2:$N$201,MATCH($B398,Summary!$A$2:$A$201,0))</f>
        <v>9.53</v>
      </c>
      <c r="S398" s="3" t="n">
        <f aca="false">INDEX(Summary!$O$2:$O$201,MATCH($B398,Summary!$A$2:$A$201,0))</f>
        <v>8</v>
      </c>
      <c r="T398" s="3" t="n">
        <f aca="false">INDEX(Summary!$P$2:$P$201,MATCH($B398,Summary!$A$2:$A$201,0))</f>
        <v>1</v>
      </c>
      <c r="U398" s="2" t="n">
        <f aca="false">INDEX(Summary!$Q$2:$Q$201,MATCH($B398,Summary!$A$2:$A$201,0))</f>
        <v>12.9</v>
      </c>
      <c r="V398" s="2" t="n">
        <f aca="false">INDEX(Summary!$R$2:$R$201,MATCH($B398,Summary!$A$2:$A$201,0))</f>
        <v>21.54</v>
      </c>
      <c r="W398" s="0" t="str">
        <f aca="false">INDEX(Summary!$S$2:$S$201,MATCH($B398,Summary!$A$2:$A$201,0))</f>
        <v>Silver</v>
      </c>
      <c r="X398" s="2" t="n">
        <f aca="false">INDEX(Summary!$T$2:$T$201,MATCH($B398,Summary!$A$2:$A$201,0))</f>
        <v>52.54</v>
      </c>
      <c r="Y398" s="0" t="str">
        <f aca="false">INDEX('Reward Model'!$E$18:$E$37,MATCH($E398,'Reward Model'!$A$18:$A$37,0))</f>
        <v>High</v>
      </c>
      <c r="Z398" s="4" t="n">
        <f aca="false">ROUND(MIN(1,MAX('Reward Model'!$B$2,INDEX('Reward Model'!$C$12:$C$14,MATCH($K398,'Reward Model'!$A$12:$A$14,0))/$J398)),3)</f>
        <v>0.957</v>
      </c>
      <c r="AA398" s="2" t="n">
        <f aca="false">IF($I398="Correct",ROUND(INDEX('Reward Model'!$B$12:$B$14,MATCH($K398,'Reward Model'!$A$12:$A$14,0))*Z398,2),0)</f>
        <v>0</v>
      </c>
      <c r="AB398" s="2" t="n">
        <f aca="false">IF($I398="Correct",ROUND(INDEX('Reward Model'!$B$12:$B$14,MATCH($Y398,'Reward Model'!$A$12:$A$14,0))*Z398,2),0)</f>
        <v>0</v>
      </c>
    </row>
    <row r="399" customFormat="false" ht="15" hidden="false" customHeight="false" outlineLevel="0" collapsed="false">
      <c r="A399" s="0" t="s">
        <v>160</v>
      </c>
      <c r="B399" s="0" t="s">
        <v>161</v>
      </c>
      <c r="C399" s="0" t="s">
        <v>30</v>
      </c>
      <c r="D399" s="0" t="s">
        <v>31</v>
      </c>
      <c r="E399" s="0" t="n">
        <v>18</v>
      </c>
      <c r="F399" s="0" t="s">
        <v>76</v>
      </c>
      <c r="G399" s="0" t="s">
        <v>88</v>
      </c>
      <c r="H399" s="0" t="s">
        <v>77</v>
      </c>
      <c r="I399" s="0" t="s">
        <v>39</v>
      </c>
      <c r="J399" s="0" t="n">
        <v>1.28</v>
      </c>
      <c r="K399" s="0" t="s">
        <v>73</v>
      </c>
      <c r="L399" s="0" t="n">
        <f aca="false">INDEX(Summary!$F$2:$F$201,MATCH($B399,Summary!$A$2:$A$201,0))</f>
        <v>20</v>
      </c>
      <c r="M399" s="0" t="n">
        <f aca="false">INDEX(Summary!$I$2:$I$201,MATCH($B399,Summary!$A$2:$A$201,0))</f>
        <v>2</v>
      </c>
      <c r="N399" s="0" t="n">
        <f aca="false">INDEX(Summary!$J$2:$J$201,MATCH($B399,Summary!$A$2:$A$201,0))</f>
        <v>3</v>
      </c>
      <c r="O399" s="2" t="n">
        <f aca="false">INDEX(Summary!$K$2:$K$201,MATCH($B399,Summary!$A$2:$A$201,0))</f>
        <v>8.07</v>
      </c>
      <c r="P399" s="3" t="n">
        <f aca="false">INDEX(Summary!$L$2:$L$201,MATCH($B399,Summary!$A$2:$A$201,0))</f>
        <v>2</v>
      </c>
      <c r="Q399" s="3" t="n">
        <f aca="false">INDEX(Summary!$M$2:$M$201,MATCH($B399,Summary!$A$2:$A$201,0))</f>
        <v>4</v>
      </c>
      <c r="R399" s="2" t="n">
        <f aca="false">INDEX(Summary!$N$2:$N$201,MATCH($B399,Summary!$A$2:$A$201,0))</f>
        <v>9.53</v>
      </c>
      <c r="S399" s="3" t="n">
        <f aca="false">INDEX(Summary!$O$2:$O$201,MATCH($B399,Summary!$A$2:$A$201,0))</f>
        <v>8</v>
      </c>
      <c r="T399" s="3" t="n">
        <f aca="false">INDEX(Summary!$P$2:$P$201,MATCH($B399,Summary!$A$2:$A$201,0))</f>
        <v>1</v>
      </c>
      <c r="U399" s="2" t="n">
        <f aca="false">INDEX(Summary!$Q$2:$Q$201,MATCH($B399,Summary!$A$2:$A$201,0))</f>
        <v>12.9</v>
      </c>
      <c r="V399" s="2" t="n">
        <f aca="false">INDEX(Summary!$R$2:$R$201,MATCH($B399,Summary!$A$2:$A$201,0))</f>
        <v>21.54</v>
      </c>
      <c r="W399" s="0" t="str">
        <f aca="false">INDEX(Summary!$S$2:$S$201,MATCH($B399,Summary!$A$2:$A$201,0))</f>
        <v>Silver</v>
      </c>
      <c r="X399" s="2" t="n">
        <f aca="false">INDEX(Summary!$T$2:$T$201,MATCH($B399,Summary!$A$2:$A$201,0))</f>
        <v>52.54</v>
      </c>
      <c r="Y399" s="0" t="str">
        <f aca="false">INDEX('Reward Model'!$E$18:$E$37,MATCH($E399,'Reward Model'!$A$18:$A$37,0))</f>
        <v>High</v>
      </c>
      <c r="Z399" s="4" t="n">
        <f aca="false">ROUND(MIN(1,MAX('Reward Model'!$B$2,INDEX('Reward Model'!$C$12:$C$14,MATCH($K399,'Reward Model'!$A$12:$A$14,0))/$J399)),3)</f>
        <v>1</v>
      </c>
      <c r="AA399" s="2" t="n">
        <f aca="false">IF($I399="Correct",ROUND(INDEX('Reward Model'!$B$12:$B$14,MATCH($K399,'Reward Model'!$A$12:$A$14,0))*Z399,2),0)</f>
        <v>0</v>
      </c>
      <c r="AB399" s="2" t="n">
        <f aca="false">IF($I399="Correct",ROUND(INDEX('Reward Model'!$B$12:$B$14,MATCH($Y399,'Reward Model'!$A$12:$A$14,0))*Z399,2),0)</f>
        <v>0</v>
      </c>
    </row>
    <row r="400" customFormat="false" ht="15" hidden="false" customHeight="false" outlineLevel="0" collapsed="false">
      <c r="A400" s="0" t="s">
        <v>160</v>
      </c>
      <c r="B400" s="0" t="s">
        <v>161</v>
      </c>
      <c r="C400" s="0" t="s">
        <v>30</v>
      </c>
      <c r="D400" s="0" t="s">
        <v>31</v>
      </c>
      <c r="E400" s="0" t="n">
        <v>19</v>
      </c>
      <c r="F400" s="0" t="s">
        <v>78</v>
      </c>
      <c r="G400" s="0" t="s">
        <v>80</v>
      </c>
      <c r="H400" s="0" t="s">
        <v>80</v>
      </c>
      <c r="I400" s="0" t="s">
        <v>34</v>
      </c>
      <c r="J400" s="0" t="n">
        <v>1.63</v>
      </c>
      <c r="K400" s="0" t="s">
        <v>73</v>
      </c>
      <c r="L400" s="0" t="n">
        <f aca="false">INDEX(Summary!$F$2:$F$201,MATCH($B400,Summary!$A$2:$A$201,0))</f>
        <v>20</v>
      </c>
      <c r="M400" s="0" t="n">
        <f aca="false">INDEX(Summary!$I$2:$I$201,MATCH($B400,Summary!$A$2:$A$201,0))</f>
        <v>2</v>
      </c>
      <c r="N400" s="0" t="n">
        <f aca="false">INDEX(Summary!$J$2:$J$201,MATCH($B400,Summary!$A$2:$A$201,0))</f>
        <v>3</v>
      </c>
      <c r="O400" s="2" t="n">
        <f aca="false">INDEX(Summary!$K$2:$K$201,MATCH($B400,Summary!$A$2:$A$201,0))</f>
        <v>8.07</v>
      </c>
      <c r="P400" s="3" t="n">
        <f aca="false">INDEX(Summary!$L$2:$L$201,MATCH($B400,Summary!$A$2:$A$201,0))</f>
        <v>2</v>
      </c>
      <c r="Q400" s="3" t="n">
        <f aca="false">INDEX(Summary!$M$2:$M$201,MATCH($B400,Summary!$A$2:$A$201,0))</f>
        <v>4</v>
      </c>
      <c r="R400" s="2" t="n">
        <f aca="false">INDEX(Summary!$N$2:$N$201,MATCH($B400,Summary!$A$2:$A$201,0))</f>
        <v>9.53</v>
      </c>
      <c r="S400" s="3" t="n">
        <f aca="false">INDEX(Summary!$O$2:$O$201,MATCH($B400,Summary!$A$2:$A$201,0))</f>
        <v>8</v>
      </c>
      <c r="T400" s="3" t="n">
        <f aca="false">INDEX(Summary!$P$2:$P$201,MATCH($B400,Summary!$A$2:$A$201,0))</f>
        <v>1</v>
      </c>
      <c r="U400" s="2" t="n">
        <f aca="false">INDEX(Summary!$Q$2:$Q$201,MATCH($B400,Summary!$A$2:$A$201,0))</f>
        <v>12.9</v>
      </c>
      <c r="V400" s="2" t="n">
        <f aca="false">INDEX(Summary!$R$2:$R$201,MATCH($B400,Summary!$A$2:$A$201,0))</f>
        <v>21.54</v>
      </c>
      <c r="W400" s="0" t="str">
        <f aca="false">INDEX(Summary!$S$2:$S$201,MATCH($B400,Summary!$A$2:$A$201,0))</f>
        <v>Silver</v>
      </c>
      <c r="X400" s="2" t="n">
        <f aca="false">INDEX(Summary!$T$2:$T$201,MATCH($B400,Summary!$A$2:$A$201,0))</f>
        <v>52.54</v>
      </c>
      <c r="Y400" s="0" t="str">
        <f aca="false">INDEX('Reward Model'!$E$18:$E$37,MATCH($E400,'Reward Model'!$A$18:$A$37,0))</f>
        <v>High</v>
      </c>
      <c r="Z400" s="4" t="n">
        <f aca="false">ROUND(MIN(1,MAX('Reward Model'!$B$2,INDEX('Reward Model'!$C$12:$C$14,MATCH($K400,'Reward Model'!$A$12:$A$14,0))/$J400)),3)</f>
        <v>1</v>
      </c>
      <c r="AA400" s="2" t="n">
        <f aca="false">IF($I400="Correct",ROUND(INDEX('Reward Model'!$B$12:$B$14,MATCH($K400,'Reward Model'!$A$12:$A$14,0))*Z400,2),0)</f>
        <v>3</v>
      </c>
      <c r="AB400" s="2" t="n">
        <f aca="false">IF($I400="Correct",ROUND(INDEX('Reward Model'!$B$12:$B$14,MATCH($Y400,'Reward Model'!$A$12:$A$14,0))*Z400,2),0)</f>
        <v>3</v>
      </c>
    </row>
    <row r="401" customFormat="false" ht="15" hidden="false" customHeight="false" outlineLevel="0" collapsed="false">
      <c r="A401" s="0" t="s">
        <v>160</v>
      </c>
      <c r="B401" s="0" t="s">
        <v>161</v>
      </c>
      <c r="C401" s="0" t="s">
        <v>30</v>
      </c>
      <c r="D401" s="0" t="s">
        <v>31</v>
      </c>
      <c r="E401" s="0" t="n">
        <v>20</v>
      </c>
      <c r="F401" s="0" t="s">
        <v>81</v>
      </c>
      <c r="G401" s="0" t="s">
        <v>83</v>
      </c>
      <c r="H401" s="0" t="s">
        <v>83</v>
      </c>
      <c r="I401" s="0" t="s">
        <v>34</v>
      </c>
      <c r="J401" s="0" t="n">
        <v>1.25</v>
      </c>
      <c r="K401" s="0" t="s">
        <v>73</v>
      </c>
      <c r="L401" s="0" t="n">
        <f aca="false">INDEX(Summary!$F$2:$F$201,MATCH($B401,Summary!$A$2:$A$201,0))</f>
        <v>20</v>
      </c>
      <c r="M401" s="0" t="n">
        <f aca="false">INDEX(Summary!$I$2:$I$201,MATCH($B401,Summary!$A$2:$A$201,0))</f>
        <v>2</v>
      </c>
      <c r="N401" s="0" t="n">
        <f aca="false">INDEX(Summary!$J$2:$J$201,MATCH($B401,Summary!$A$2:$A$201,0))</f>
        <v>3</v>
      </c>
      <c r="O401" s="2" t="n">
        <f aca="false">INDEX(Summary!$K$2:$K$201,MATCH($B401,Summary!$A$2:$A$201,0))</f>
        <v>8.07</v>
      </c>
      <c r="P401" s="3" t="n">
        <f aca="false">INDEX(Summary!$L$2:$L$201,MATCH($B401,Summary!$A$2:$A$201,0))</f>
        <v>2</v>
      </c>
      <c r="Q401" s="3" t="n">
        <f aca="false">INDEX(Summary!$M$2:$M$201,MATCH($B401,Summary!$A$2:$A$201,0))</f>
        <v>4</v>
      </c>
      <c r="R401" s="2" t="n">
        <f aca="false">INDEX(Summary!$N$2:$N$201,MATCH($B401,Summary!$A$2:$A$201,0))</f>
        <v>9.53</v>
      </c>
      <c r="S401" s="3" t="n">
        <f aca="false">INDEX(Summary!$O$2:$O$201,MATCH($B401,Summary!$A$2:$A$201,0))</f>
        <v>8</v>
      </c>
      <c r="T401" s="3" t="n">
        <f aca="false">INDEX(Summary!$P$2:$P$201,MATCH($B401,Summary!$A$2:$A$201,0))</f>
        <v>1</v>
      </c>
      <c r="U401" s="2" t="n">
        <f aca="false">INDEX(Summary!$Q$2:$Q$201,MATCH($B401,Summary!$A$2:$A$201,0))</f>
        <v>12.9</v>
      </c>
      <c r="V401" s="2" t="n">
        <f aca="false">INDEX(Summary!$R$2:$R$201,MATCH($B401,Summary!$A$2:$A$201,0))</f>
        <v>21.54</v>
      </c>
      <c r="W401" s="0" t="str">
        <f aca="false">INDEX(Summary!$S$2:$S$201,MATCH($B401,Summary!$A$2:$A$201,0))</f>
        <v>Silver</v>
      </c>
      <c r="X401" s="2" t="n">
        <f aca="false">INDEX(Summary!$T$2:$T$201,MATCH($B401,Summary!$A$2:$A$201,0))</f>
        <v>52.54</v>
      </c>
      <c r="Y401" s="0" t="str">
        <f aca="false">INDEX('Reward Model'!$E$18:$E$37,MATCH($E401,'Reward Model'!$A$18:$A$37,0))</f>
        <v>High</v>
      </c>
      <c r="Z401" s="4" t="n">
        <f aca="false">ROUND(MIN(1,MAX('Reward Model'!$B$2,INDEX('Reward Model'!$C$12:$C$14,MATCH($K401,'Reward Model'!$A$12:$A$14,0))/$J401)),3)</f>
        <v>1</v>
      </c>
      <c r="AA401" s="2" t="n">
        <f aca="false">IF($I401="Correct",ROUND(INDEX('Reward Model'!$B$12:$B$14,MATCH($K401,'Reward Model'!$A$12:$A$14,0))*Z401,2),0)</f>
        <v>3</v>
      </c>
      <c r="AB401" s="2" t="n">
        <f aca="false">IF($I401="Correct",ROUND(INDEX('Reward Model'!$B$12:$B$14,MATCH($Y401,'Reward Model'!$A$12:$A$14,0))*Z401,2),0)</f>
        <v>3</v>
      </c>
    </row>
    <row r="402" customFormat="false" ht="15" hidden="false" customHeight="false" outlineLevel="0" collapsed="false">
      <c r="A402" s="0" t="s">
        <v>162</v>
      </c>
      <c r="B402" s="0" t="s">
        <v>163</v>
      </c>
      <c r="C402" s="0" t="s">
        <v>30</v>
      </c>
      <c r="D402" s="0" t="s">
        <v>31</v>
      </c>
      <c r="E402" s="0" t="n">
        <v>1</v>
      </c>
      <c r="F402" s="0" t="s">
        <v>32</v>
      </c>
      <c r="G402" s="0" t="s">
        <v>122</v>
      </c>
      <c r="H402" s="0" t="s">
        <v>33</v>
      </c>
      <c r="I402" s="0" t="s">
        <v>39</v>
      </c>
      <c r="J402" s="0" t="n">
        <v>1.54</v>
      </c>
      <c r="K402" s="0" t="s">
        <v>35</v>
      </c>
      <c r="L402" s="0" t="n">
        <f aca="false">INDEX(Summary!$F$2:$F$201,MATCH($B402,Summary!$A$2:$A$201,0))</f>
        <v>20</v>
      </c>
      <c r="M402" s="0" t="n">
        <f aca="false">INDEX(Summary!$I$2:$I$201,MATCH($B402,Summary!$A$2:$A$201,0))</f>
        <v>1</v>
      </c>
      <c r="N402" s="0" t="n">
        <f aca="false">INDEX(Summary!$J$2:$J$201,MATCH($B402,Summary!$A$2:$A$201,0))</f>
        <v>4</v>
      </c>
      <c r="O402" s="2" t="n">
        <f aca="false">INDEX(Summary!$K$2:$K$201,MATCH($B402,Summary!$A$2:$A$201,0))</f>
        <v>8.45</v>
      </c>
      <c r="P402" s="3" t="n">
        <f aca="false">INDEX(Summary!$L$2:$L$201,MATCH($B402,Summary!$A$2:$A$201,0))</f>
        <v>2</v>
      </c>
      <c r="Q402" s="3" t="n">
        <f aca="false">INDEX(Summary!$M$2:$M$201,MATCH($B402,Summary!$A$2:$A$201,0))</f>
        <v>4</v>
      </c>
      <c r="R402" s="2" t="n">
        <f aca="false">INDEX(Summary!$N$2:$N$201,MATCH($B402,Summary!$A$2:$A$201,0))</f>
        <v>9.7</v>
      </c>
      <c r="S402" s="3" t="n">
        <f aca="false">INDEX(Summary!$O$2:$O$201,MATCH($B402,Summary!$A$2:$A$201,0))</f>
        <v>2</v>
      </c>
      <c r="T402" s="3" t="n">
        <f aca="false">INDEX(Summary!$P$2:$P$201,MATCH($B402,Summary!$A$2:$A$201,0))</f>
        <v>7</v>
      </c>
      <c r="U402" s="2" t="n">
        <f aca="false">INDEX(Summary!$Q$2:$Q$201,MATCH($B402,Summary!$A$2:$A$201,0))</f>
        <v>12.81</v>
      </c>
      <c r="V402" s="2" t="n">
        <f aca="false">INDEX(Summary!$R$2:$R$201,MATCH($B402,Summary!$A$2:$A$201,0))</f>
        <v>8.42</v>
      </c>
      <c r="W402" s="0" t="str">
        <f aca="false">INDEX(Summary!$S$2:$S$201,MATCH($B402,Summary!$A$2:$A$201,0))</f>
        <v>Bronze</v>
      </c>
      <c r="X402" s="2" t="n">
        <f aca="false">INDEX(Summary!$T$2:$T$201,MATCH($B402,Summary!$A$2:$A$201,0))</f>
        <v>20.54</v>
      </c>
      <c r="Y402" s="0" t="str">
        <f aca="false">INDEX('Reward Model'!$E$18:$E$37,MATCH($E402,'Reward Model'!$A$18:$A$37,0))</f>
        <v>Medium</v>
      </c>
      <c r="Z402" s="4" t="n">
        <f aca="false">ROUND(MIN(1,MAX('Reward Model'!$B$2,INDEX('Reward Model'!$C$12:$C$14,MATCH($K402,'Reward Model'!$A$12:$A$14,0))/$J402)),3)</f>
        <v>0.974</v>
      </c>
      <c r="AA402" s="2" t="n">
        <f aca="false">IF($I402="Correct",ROUND(INDEX('Reward Model'!$B$12:$B$14,MATCH($K402,'Reward Model'!$A$12:$A$14,0))*Z402,2),0)</f>
        <v>0</v>
      </c>
      <c r="AB402" s="2" t="n">
        <f aca="false">IF($I402="Correct",ROUND(INDEX('Reward Model'!$B$12:$B$14,MATCH($Y402,'Reward Model'!$A$12:$A$14,0))*Z402,2),0)</f>
        <v>0</v>
      </c>
    </row>
    <row r="403" customFormat="false" ht="15" hidden="false" customHeight="false" outlineLevel="0" collapsed="false">
      <c r="A403" s="0" t="s">
        <v>162</v>
      </c>
      <c r="B403" s="0" t="s">
        <v>163</v>
      </c>
      <c r="C403" s="0" t="s">
        <v>30</v>
      </c>
      <c r="D403" s="0" t="s">
        <v>31</v>
      </c>
      <c r="E403" s="0" t="n">
        <v>2</v>
      </c>
      <c r="F403" s="0" t="s">
        <v>36</v>
      </c>
      <c r="G403" s="0" t="s">
        <v>38</v>
      </c>
      <c r="H403" s="0" t="s">
        <v>38</v>
      </c>
      <c r="I403" s="0" t="s">
        <v>34</v>
      </c>
      <c r="J403" s="0" t="n">
        <v>1.29</v>
      </c>
      <c r="K403" s="0" t="s">
        <v>35</v>
      </c>
      <c r="L403" s="0" t="n">
        <f aca="false">INDEX(Summary!$F$2:$F$201,MATCH($B403,Summary!$A$2:$A$201,0))</f>
        <v>20</v>
      </c>
      <c r="M403" s="0" t="n">
        <f aca="false">INDEX(Summary!$I$2:$I$201,MATCH($B403,Summary!$A$2:$A$201,0))</f>
        <v>1</v>
      </c>
      <c r="N403" s="0" t="n">
        <f aca="false">INDEX(Summary!$J$2:$J$201,MATCH($B403,Summary!$A$2:$A$201,0))</f>
        <v>4</v>
      </c>
      <c r="O403" s="2" t="n">
        <f aca="false">INDEX(Summary!$K$2:$K$201,MATCH($B403,Summary!$A$2:$A$201,0))</f>
        <v>8.45</v>
      </c>
      <c r="P403" s="3" t="n">
        <f aca="false">INDEX(Summary!$L$2:$L$201,MATCH($B403,Summary!$A$2:$A$201,0))</f>
        <v>2</v>
      </c>
      <c r="Q403" s="3" t="n">
        <f aca="false">INDEX(Summary!$M$2:$M$201,MATCH($B403,Summary!$A$2:$A$201,0))</f>
        <v>4</v>
      </c>
      <c r="R403" s="2" t="n">
        <f aca="false">INDEX(Summary!$N$2:$N$201,MATCH($B403,Summary!$A$2:$A$201,0))</f>
        <v>9.7</v>
      </c>
      <c r="S403" s="3" t="n">
        <f aca="false">INDEX(Summary!$O$2:$O$201,MATCH($B403,Summary!$A$2:$A$201,0))</f>
        <v>2</v>
      </c>
      <c r="T403" s="3" t="n">
        <f aca="false">INDEX(Summary!$P$2:$P$201,MATCH($B403,Summary!$A$2:$A$201,0))</f>
        <v>7</v>
      </c>
      <c r="U403" s="2" t="n">
        <f aca="false">INDEX(Summary!$Q$2:$Q$201,MATCH($B403,Summary!$A$2:$A$201,0))</f>
        <v>12.81</v>
      </c>
      <c r="V403" s="2" t="n">
        <f aca="false">INDEX(Summary!$R$2:$R$201,MATCH($B403,Summary!$A$2:$A$201,0))</f>
        <v>8.42</v>
      </c>
      <c r="W403" s="0" t="str">
        <f aca="false">INDEX(Summary!$S$2:$S$201,MATCH($B403,Summary!$A$2:$A$201,0))</f>
        <v>Bronze</v>
      </c>
      <c r="X403" s="2" t="n">
        <f aca="false">INDEX(Summary!$T$2:$T$201,MATCH($B403,Summary!$A$2:$A$201,0))</f>
        <v>20.54</v>
      </c>
      <c r="Y403" s="0" t="str">
        <f aca="false">INDEX('Reward Model'!$E$18:$E$37,MATCH($E403,'Reward Model'!$A$18:$A$37,0))</f>
        <v>Low</v>
      </c>
      <c r="Z403" s="4" t="n">
        <f aca="false">ROUND(MIN(1,MAX('Reward Model'!$B$2,INDEX('Reward Model'!$C$12:$C$14,MATCH($K403,'Reward Model'!$A$12:$A$14,0))/$J403)),3)</f>
        <v>1</v>
      </c>
      <c r="AA403" s="2" t="n">
        <f aca="false">IF($I403="Correct",ROUND(INDEX('Reward Model'!$B$12:$B$14,MATCH($K403,'Reward Model'!$A$12:$A$14,0))*Z403,2),0)</f>
        <v>1</v>
      </c>
      <c r="AB403" s="2" t="n">
        <f aca="false">IF($I403="Correct",ROUND(INDEX('Reward Model'!$B$12:$B$14,MATCH($Y403,'Reward Model'!$A$12:$A$14,0))*Z403,2),0)</f>
        <v>1</v>
      </c>
    </row>
    <row r="404" customFormat="false" ht="15" hidden="false" customHeight="false" outlineLevel="0" collapsed="false">
      <c r="A404" s="0" t="s">
        <v>162</v>
      </c>
      <c r="B404" s="0" t="s">
        <v>163</v>
      </c>
      <c r="C404" s="0" t="s">
        <v>30</v>
      </c>
      <c r="D404" s="0" t="s">
        <v>31</v>
      </c>
      <c r="E404" s="0" t="n">
        <v>3</v>
      </c>
      <c r="F404" s="0" t="s">
        <v>40</v>
      </c>
      <c r="G404" s="0" t="s">
        <v>123</v>
      </c>
      <c r="H404" s="0" t="s">
        <v>42</v>
      </c>
      <c r="I404" s="0" t="s">
        <v>39</v>
      </c>
      <c r="J404" s="0" t="n">
        <v>1.85</v>
      </c>
      <c r="K404" s="0" t="s">
        <v>35</v>
      </c>
      <c r="L404" s="0" t="n">
        <f aca="false">INDEX(Summary!$F$2:$F$201,MATCH($B404,Summary!$A$2:$A$201,0))</f>
        <v>20</v>
      </c>
      <c r="M404" s="0" t="n">
        <f aca="false">INDEX(Summary!$I$2:$I$201,MATCH($B404,Summary!$A$2:$A$201,0))</f>
        <v>1</v>
      </c>
      <c r="N404" s="0" t="n">
        <f aca="false">INDEX(Summary!$J$2:$J$201,MATCH($B404,Summary!$A$2:$A$201,0))</f>
        <v>4</v>
      </c>
      <c r="O404" s="2" t="n">
        <f aca="false">INDEX(Summary!$K$2:$K$201,MATCH($B404,Summary!$A$2:$A$201,0))</f>
        <v>8.45</v>
      </c>
      <c r="P404" s="3" t="n">
        <f aca="false">INDEX(Summary!$L$2:$L$201,MATCH($B404,Summary!$A$2:$A$201,0))</f>
        <v>2</v>
      </c>
      <c r="Q404" s="3" t="n">
        <f aca="false">INDEX(Summary!$M$2:$M$201,MATCH($B404,Summary!$A$2:$A$201,0))</f>
        <v>4</v>
      </c>
      <c r="R404" s="2" t="n">
        <f aca="false">INDEX(Summary!$N$2:$N$201,MATCH($B404,Summary!$A$2:$A$201,0))</f>
        <v>9.7</v>
      </c>
      <c r="S404" s="3" t="n">
        <f aca="false">INDEX(Summary!$O$2:$O$201,MATCH($B404,Summary!$A$2:$A$201,0))</f>
        <v>2</v>
      </c>
      <c r="T404" s="3" t="n">
        <f aca="false">INDEX(Summary!$P$2:$P$201,MATCH($B404,Summary!$A$2:$A$201,0))</f>
        <v>7</v>
      </c>
      <c r="U404" s="2" t="n">
        <f aca="false">INDEX(Summary!$Q$2:$Q$201,MATCH($B404,Summary!$A$2:$A$201,0))</f>
        <v>12.81</v>
      </c>
      <c r="V404" s="2" t="n">
        <f aca="false">INDEX(Summary!$R$2:$R$201,MATCH($B404,Summary!$A$2:$A$201,0))</f>
        <v>8.42</v>
      </c>
      <c r="W404" s="0" t="str">
        <f aca="false">INDEX(Summary!$S$2:$S$201,MATCH($B404,Summary!$A$2:$A$201,0))</f>
        <v>Bronze</v>
      </c>
      <c r="X404" s="2" t="n">
        <f aca="false">INDEX(Summary!$T$2:$T$201,MATCH($B404,Summary!$A$2:$A$201,0))</f>
        <v>20.54</v>
      </c>
      <c r="Y404" s="0" t="str">
        <f aca="false">INDEX('Reward Model'!$E$18:$E$37,MATCH($E404,'Reward Model'!$A$18:$A$37,0))</f>
        <v>Medium</v>
      </c>
      <c r="Z404" s="4" t="n">
        <f aca="false">ROUND(MIN(1,MAX('Reward Model'!$B$2,INDEX('Reward Model'!$C$12:$C$14,MATCH($K404,'Reward Model'!$A$12:$A$14,0))/$J404)),3)</f>
        <v>0.811</v>
      </c>
      <c r="AA404" s="2" t="n">
        <f aca="false">IF($I404="Correct",ROUND(INDEX('Reward Model'!$B$12:$B$14,MATCH($K404,'Reward Model'!$A$12:$A$14,0))*Z404,2),0)</f>
        <v>0</v>
      </c>
      <c r="AB404" s="2" t="n">
        <f aca="false">IF($I404="Correct",ROUND(INDEX('Reward Model'!$B$12:$B$14,MATCH($Y404,'Reward Model'!$A$12:$A$14,0))*Z404,2),0)</f>
        <v>0</v>
      </c>
    </row>
    <row r="405" customFormat="false" ht="15" hidden="false" customHeight="false" outlineLevel="0" collapsed="false">
      <c r="A405" s="0" t="s">
        <v>162</v>
      </c>
      <c r="B405" s="0" t="s">
        <v>163</v>
      </c>
      <c r="C405" s="0" t="s">
        <v>30</v>
      </c>
      <c r="D405" s="0" t="s">
        <v>31</v>
      </c>
      <c r="E405" s="0" t="n">
        <v>4</v>
      </c>
      <c r="F405" s="0" t="s">
        <v>43</v>
      </c>
      <c r="G405" s="0" t="s">
        <v>155</v>
      </c>
      <c r="H405" s="0" t="s">
        <v>45</v>
      </c>
      <c r="I405" s="0" t="s">
        <v>39</v>
      </c>
      <c r="J405" s="0" t="n">
        <v>1.02</v>
      </c>
      <c r="K405" s="0" t="s">
        <v>35</v>
      </c>
      <c r="L405" s="0" t="n">
        <f aca="false">INDEX(Summary!$F$2:$F$201,MATCH($B405,Summary!$A$2:$A$201,0))</f>
        <v>20</v>
      </c>
      <c r="M405" s="0" t="n">
        <f aca="false">INDEX(Summary!$I$2:$I$201,MATCH($B405,Summary!$A$2:$A$201,0))</f>
        <v>1</v>
      </c>
      <c r="N405" s="0" t="n">
        <f aca="false">INDEX(Summary!$J$2:$J$201,MATCH($B405,Summary!$A$2:$A$201,0))</f>
        <v>4</v>
      </c>
      <c r="O405" s="2" t="n">
        <f aca="false">INDEX(Summary!$K$2:$K$201,MATCH($B405,Summary!$A$2:$A$201,0))</f>
        <v>8.45</v>
      </c>
      <c r="P405" s="3" t="n">
        <f aca="false">INDEX(Summary!$L$2:$L$201,MATCH($B405,Summary!$A$2:$A$201,0))</f>
        <v>2</v>
      </c>
      <c r="Q405" s="3" t="n">
        <f aca="false">INDEX(Summary!$M$2:$M$201,MATCH($B405,Summary!$A$2:$A$201,0))</f>
        <v>4</v>
      </c>
      <c r="R405" s="2" t="n">
        <f aca="false">INDEX(Summary!$N$2:$N$201,MATCH($B405,Summary!$A$2:$A$201,0))</f>
        <v>9.7</v>
      </c>
      <c r="S405" s="3" t="n">
        <f aca="false">INDEX(Summary!$O$2:$O$201,MATCH($B405,Summary!$A$2:$A$201,0))</f>
        <v>2</v>
      </c>
      <c r="T405" s="3" t="n">
        <f aca="false">INDEX(Summary!$P$2:$P$201,MATCH($B405,Summary!$A$2:$A$201,0))</f>
        <v>7</v>
      </c>
      <c r="U405" s="2" t="n">
        <f aca="false">INDEX(Summary!$Q$2:$Q$201,MATCH($B405,Summary!$A$2:$A$201,0))</f>
        <v>12.81</v>
      </c>
      <c r="V405" s="2" t="n">
        <f aca="false">INDEX(Summary!$R$2:$R$201,MATCH($B405,Summary!$A$2:$A$201,0))</f>
        <v>8.42</v>
      </c>
      <c r="W405" s="0" t="str">
        <f aca="false">INDEX(Summary!$S$2:$S$201,MATCH($B405,Summary!$A$2:$A$201,0))</f>
        <v>Bronze</v>
      </c>
      <c r="X405" s="2" t="n">
        <f aca="false">INDEX(Summary!$T$2:$T$201,MATCH($B405,Summary!$A$2:$A$201,0))</f>
        <v>20.54</v>
      </c>
      <c r="Y405" s="0" t="str">
        <f aca="false">INDEX('Reward Model'!$E$18:$E$37,MATCH($E405,'Reward Model'!$A$18:$A$37,0))</f>
        <v>Low</v>
      </c>
      <c r="Z405" s="4" t="n">
        <f aca="false">ROUND(MIN(1,MAX('Reward Model'!$B$2,INDEX('Reward Model'!$C$12:$C$14,MATCH($K405,'Reward Model'!$A$12:$A$14,0))/$J405)),3)</f>
        <v>1</v>
      </c>
      <c r="AA405" s="2" t="n">
        <f aca="false">IF($I405="Correct",ROUND(INDEX('Reward Model'!$B$12:$B$14,MATCH($K405,'Reward Model'!$A$12:$A$14,0))*Z405,2),0)</f>
        <v>0</v>
      </c>
      <c r="AB405" s="2" t="n">
        <f aca="false">IF($I405="Correct",ROUND(INDEX('Reward Model'!$B$12:$B$14,MATCH($Y405,'Reward Model'!$A$12:$A$14,0))*Z405,2),0)</f>
        <v>0</v>
      </c>
    </row>
    <row r="406" customFormat="false" ht="15" hidden="false" customHeight="false" outlineLevel="0" collapsed="false">
      <c r="A406" s="0" t="s">
        <v>162</v>
      </c>
      <c r="B406" s="0" t="s">
        <v>163</v>
      </c>
      <c r="C406" s="0" t="s">
        <v>30</v>
      </c>
      <c r="D406" s="0" t="s">
        <v>31</v>
      </c>
      <c r="E406" s="0" t="n">
        <v>5</v>
      </c>
      <c r="F406" s="0" t="s">
        <v>46</v>
      </c>
      <c r="G406" s="0" t="s">
        <v>164</v>
      </c>
      <c r="H406" s="0" t="s">
        <v>47</v>
      </c>
      <c r="I406" s="0" t="s">
        <v>39</v>
      </c>
      <c r="J406" s="0" t="n">
        <v>1.09</v>
      </c>
      <c r="K406" s="0" t="s">
        <v>35</v>
      </c>
      <c r="L406" s="0" t="n">
        <f aca="false">INDEX(Summary!$F$2:$F$201,MATCH($B406,Summary!$A$2:$A$201,0))</f>
        <v>20</v>
      </c>
      <c r="M406" s="0" t="n">
        <f aca="false">INDEX(Summary!$I$2:$I$201,MATCH($B406,Summary!$A$2:$A$201,0))</f>
        <v>1</v>
      </c>
      <c r="N406" s="0" t="n">
        <f aca="false">INDEX(Summary!$J$2:$J$201,MATCH($B406,Summary!$A$2:$A$201,0))</f>
        <v>4</v>
      </c>
      <c r="O406" s="2" t="n">
        <f aca="false">INDEX(Summary!$K$2:$K$201,MATCH($B406,Summary!$A$2:$A$201,0))</f>
        <v>8.45</v>
      </c>
      <c r="P406" s="3" t="n">
        <f aca="false">INDEX(Summary!$L$2:$L$201,MATCH($B406,Summary!$A$2:$A$201,0))</f>
        <v>2</v>
      </c>
      <c r="Q406" s="3" t="n">
        <f aca="false">INDEX(Summary!$M$2:$M$201,MATCH($B406,Summary!$A$2:$A$201,0))</f>
        <v>4</v>
      </c>
      <c r="R406" s="2" t="n">
        <f aca="false">INDEX(Summary!$N$2:$N$201,MATCH($B406,Summary!$A$2:$A$201,0))</f>
        <v>9.7</v>
      </c>
      <c r="S406" s="3" t="n">
        <f aca="false">INDEX(Summary!$O$2:$O$201,MATCH($B406,Summary!$A$2:$A$201,0))</f>
        <v>2</v>
      </c>
      <c r="T406" s="3" t="n">
        <f aca="false">INDEX(Summary!$P$2:$P$201,MATCH($B406,Summary!$A$2:$A$201,0))</f>
        <v>7</v>
      </c>
      <c r="U406" s="2" t="n">
        <f aca="false">INDEX(Summary!$Q$2:$Q$201,MATCH($B406,Summary!$A$2:$A$201,0))</f>
        <v>12.81</v>
      </c>
      <c r="V406" s="2" t="n">
        <f aca="false">INDEX(Summary!$R$2:$R$201,MATCH($B406,Summary!$A$2:$A$201,0))</f>
        <v>8.42</v>
      </c>
      <c r="W406" s="0" t="str">
        <f aca="false">INDEX(Summary!$S$2:$S$201,MATCH($B406,Summary!$A$2:$A$201,0))</f>
        <v>Bronze</v>
      </c>
      <c r="X406" s="2" t="n">
        <f aca="false">INDEX(Summary!$T$2:$T$201,MATCH($B406,Summary!$A$2:$A$201,0))</f>
        <v>20.54</v>
      </c>
      <c r="Y406" s="0" t="str">
        <f aca="false">INDEX('Reward Model'!$E$18:$E$37,MATCH($E406,'Reward Model'!$A$18:$A$37,0))</f>
        <v>Low</v>
      </c>
      <c r="Z406" s="4" t="n">
        <f aca="false">ROUND(MIN(1,MAX('Reward Model'!$B$2,INDEX('Reward Model'!$C$12:$C$14,MATCH($K406,'Reward Model'!$A$12:$A$14,0))/$J406)),3)</f>
        <v>1</v>
      </c>
      <c r="AA406" s="2" t="n">
        <f aca="false">IF($I406="Correct",ROUND(INDEX('Reward Model'!$B$12:$B$14,MATCH($K406,'Reward Model'!$A$12:$A$14,0))*Z406,2),0)</f>
        <v>0</v>
      </c>
      <c r="AB406" s="2" t="n">
        <f aca="false">IF($I406="Correct",ROUND(INDEX('Reward Model'!$B$12:$B$14,MATCH($Y406,'Reward Model'!$A$12:$A$14,0))*Z406,2),0)</f>
        <v>0</v>
      </c>
    </row>
    <row r="407" customFormat="false" ht="15" hidden="false" customHeight="false" outlineLevel="0" collapsed="false">
      <c r="A407" s="0" t="s">
        <v>162</v>
      </c>
      <c r="B407" s="0" t="s">
        <v>163</v>
      </c>
      <c r="C407" s="0" t="s">
        <v>30</v>
      </c>
      <c r="D407" s="0" t="s">
        <v>31</v>
      </c>
      <c r="E407" s="0" t="n">
        <v>6</v>
      </c>
      <c r="F407" s="0" t="s">
        <v>48</v>
      </c>
      <c r="G407" s="0" t="s">
        <v>116</v>
      </c>
      <c r="H407" s="0" t="s">
        <v>49</v>
      </c>
      <c r="I407" s="0" t="s">
        <v>39</v>
      </c>
      <c r="J407" s="0" t="n">
        <v>1.33</v>
      </c>
      <c r="K407" s="0" t="s">
        <v>35</v>
      </c>
      <c r="L407" s="0" t="n">
        <f aca="false">INDEX(Summary!$F$2:$F$201,MATCH($B407,Summary!$A$2:$A$201,0))</f>
        <v>20</v>
      </c>
      <c r="M407" s="0" t="n">
        <f aca="false">INDEX(Summary!$I$2:$I$201,MATCH($B407,Summary!$A$2:$A$201,0))</f>
        <v>1</v>
      </c>
      <c r="N407" s="0" t="n">
        <f aca="false">INDEX(Summary!$J$2:$J$201,MATCH($B407,Summary!$A$2:$A$201,0))</f>
        <v>4</v>
      </c>
      <c r="O407" s="2" t="n">
        <f aca="false">INDEX(Summary!$K$2:$K$201,MATCH($B407,Summary!$A$2:$A$201,0))</f>
        <v>8.45</v>
      </c>
      <c r="P407" s="3" t="n">
        <f aca="false">INDEX(Summary!$L$2:$L$201,MATCH($B407,Summary!$A$2:$A$201,0))</f>
        <v>2</v>
      </c>
      <c r="Q407" s="3" t="n">
        <f aca="false">INDEX(Summary!$M$2:$M$201,MATCH($B407,Summary!$A$2:$A$201,0))</f>
        <v>4</v>
      </c>
      <c r="R407" s="2" t="n">
        <f aca="false">INDEX(Summary!$N$2:$N$201,MATCH($B407,Summary!$A$2:$A$201,0))</f>
        <v>9.7</v>
      </c>
      <c r="S407" s="3" t="n">
        <f aca="false">INDEX(Summary!$O$2:$O$201,MATCH($B407,Summary!$A$2:$A$201,0))</f>
        <v>2</v>
      </c>
      <c r="T407" s="3" t="n">
        <f aca="false">INDEX(Summary!$P$2:$P$201,MATCH($B407,Summary!$A$2:$A$201,0))</f>
        <v>7</v>
      </c>
      <c r="U407" s="2" t="n">
        <f aca="false">INDEX(Summary!$Q$2:$Q$201,MATCH($B407,Summary!$A$2:$A$201,0))</f>
        <v>12.81</v>
      </c>
      <c r="V407" s="2" t="n">
        <f aca="false">INDEX(Summary!$R$2:$R$201,MATCH($B407,Summary!$A$2:$A$201,0))</f>
        <v>8.42</v>
      </c>
      <c r="W407" s="0" t="str">
        <f aca="false">INDEX(Summary!$S$2:$S$201,MATCH($B407,Summary!$A$2:$A$201,0))</f>
        <v>Bronze</v>
      </c>
      <c r="X407" s="2" t="n">
        <f aca="false">INDEX(Summary!$T$2:$T$201,MATCH($B407,Summary!$A$2:$A$201,0))</f>
        <v>20.54</v>
      </c>
      <c r="Y407" s="0" t="str">
        <f aca="false">INDEX('Reward Model'!$E$18:$E$37,MATCH($E407,'Reward Model'!$A$18:$A$37,0))</f>
        <v>Medium</v>
      </c>
      <c r="Z407" s="4" t="n">
        <f aca="false">ROUND(MIN(1,MAX('Reward Model'!$B$2,INDEX('Reward Model'!$C$12:$C$14,MATCH($K407,'Reward Model'!$A$12:$A$14,0))/$J407)),3)</f>
        <v>1</v>
      </c>
      <c r="AA407" s="2" t="n">
        <f aca="false">IF($I407="Correct",ROUND(INDEX('Reward Model'!$B$12:$B$14,MATCH($K407,'Reward Model'!$A$12:$A$14,0))*Z407,2),0)</f>
        <v>0</v>
      </c>
      <c r="AB407" s="2" t="n">
        <f aca="false">IF($I407="Correct",ROUND(INDEX('Reward Model'!$B$12:$B$14,MATCH($Y407,'Reward Model'!$A$12:$A$14,0))*Z407,2),0)</f>
        <v>0</v>
      </c>
    </row>
    <row r="408" customFormat="false" ht="15" hidden="false" customHeight="false" outlineLevel="0" collapsed="false">
      <c r="A408" s="0" t="s">
        <v>162</v>
      </c>
      <c r="B408" s="0" t="s">
        <v>163</v>
      </c>
      <c r="C408" s="0" t="s">
        <v>30</v>
      </c>
      <c r="D408" s="0" t="s">
        <v>31</v>
      </c>
      <c r="E408" s="0" t="n">
        <v>7</v>
      </c>
      <c r="F408" s="0" t="s">
        <v>50</v>
      </c>
      <c r="G408" s="0" t="s">
        <v>51</v>
      </c>
      <c r="H408" s="0" t="s">
        <v>51</v>
      </c>
      <c r="I408" s="0" t="s">
        <v>34</v>
      </c>
      <c r="J408" s="0" t="n">
        <v>2</v>
      </c>
      <c r="K408" s="0" t="s">
        <v>35</v>
      </c>
      <c r="L408" s="0" t="n">
        <f aca="false">INDEX(Summary!$F$2:$F$201,MATCH($B408,Summary!$A$2:$A$201,0))</f>
        <v>20</v>
      </c>
      <c r="M408" s="0" t="n">
        <f aca="false">INDEX(Summary!$I$2:$I$201,MATCH($B408,Summary!$A$2:$A$201,0))</f>
        <v>1</v>
      </c>
      <c r="N408" s="0" t="n">
        <f aca="false">INDEX(Summary!$J$2:$J$201,MATCH($B408,Summary!$A$2:$A$201,0))</f>
        <v>4</v>
      </c>
      <c r="O408" s="2" t="n">
        <f aca="false">INDEX(Summary!$K$2:$K$201,MATCH($B408,Summary!$A$2:$A$201,0))</f>
        <v>8.45</v>
      </c>
      <c r="P408" s="3" t="n">
        <f aca="false">INDEX(Summary!$L$2:$L$201,MATCH($B408,Summary!$A$2:$A$201,0))</f>
        <v>2</v>
      </c>
      <c r="Q408" s="3" t="n">
        <f aca="false">INDEX(Summary!$M$2:$M$201,MATCH($B408,Summary!$A$2:$A$201,0))</f>
        <v>4</v>
      </c>
      <c r="R408" s="2" t="n">
        <f aca="false">INDEX(Summary!$N$2:$N$201,MATCH($B408,Summary!$A$2:$A$201,0))</f>
        <v>9.7</v>
      </c>
      <c r="S408" s="3" t="n">
        <f aca="false">INDEX(Summary!$O$2:$O$201,MATCH($B408,Summary!$A$2:$A$201,0))</f>
        <v>2</v>
      </c>
      <c r="T408" s="3" t="n">
        <f aca="false">INDEX(Summary!$P$2:$P$201,MATCH($B408,Summary!$A$2:$A$201,0))</f>
        <v>7</v>
      </c>
      <c r="U408" s="2" t="n">
        <f aca="false">INDEX(Summary!$Q$2:$Q$201,MATCH($B408,Summary!$A$2:$A$201,0))</f>
        <v>12.81</v>
      </c>
      <c r="V408" s="2" t="n">
        <f aca="false">INDEX(Summary!$R$2:$R$201,MATCH($B408,Summary!$A$2:$A$201,0))</f>
        <v>8.42</v>
      </c>
      <c r="W408" s="0" t="str">
        <f aca="false">INDEX(Summary!$S$2:$S$201,MATCH($B408,Summary!$A$2:$A$201,0))</f>
        <v>Bronze</v>
      </c>
      <c r="X408" s="2" t="n">
        <f aca="false">INDEX(Summary!$T$2:$T$201,MATCH($B408,Summary!$A$2:$A$201,0))</f>
        <v>20.54</v>
      </c>
      <c r="Y408" s="0" t="str">
        <f aca="false">INDEX('Reward Model'!$E$18:$E$37,MATCH($E408,'Reward Model'!$A$18:$A$37,0))</f>
        <v>Low</v>
      </c>
      <c r="Z408" s="4" t="n">
        <f aca="false">ROUND(MIN(1,MAX('Reward Model'!$B$2,INDEX('Reward Model'!$C$12:$C$14,MATCH($K408,'Reward Model'!$A$12:$A$14,0))/$J408)),3)</f>
        <v>0.75</v>
      </c>
      <c r="AA408" s="2" t="n">
        <f aca="false">IF($I408="Correct",ROUND(INDEX('Reward Model'!$B$12:$B$14,MATCH($K408,'Reward Model'!$A$12:$A$14,0))*Z408,2),0)</f>
        <v>0.75</v>
      </c>
      <c r="AB408" s="2" t="n">
        <f aca="false">IF($I408="Correct",ROUND(INDEX('Reward Model'!$B$12:$B$14,MATCH($Y408,'Reward Model'!$A$12:$A$14,0))*Z408,2),0)</f>
        <v>0.75</v>
      </c>
    </row>
    <row r="409" customFormat="false" ht="15" hidden="false" customHeight="false" outlineLevel="0" collapsed="false">
      <c r="A409" s="0" t="s">
        <v>162</v>
      </c>
      <c r="B409" s="0" t="s">
        <v>163</v>
      </c>
      <c r="C409" s="0" t="s">
        <v>30</v>
      </c>
      <c r="D409" s="0" t="s">
        <v>31</v>
      </c>
      <c r="E409" s="0" t="n">
        <v>8</v>
      </c>
      <c r="F409" s="0" t="s">
        <v>52</v>
      </c>
      <c r="G409" s="0" t="s">
        <v>93</v>
      </c>
      <c r="H409" s="0" t="s">
        <v>54</v>
      </c>
      <c r="I409" s="0" t="s">
        <v>39</v>
      </c>
      <c r="J409" s="0" t="n">
        <v>1.38</v>
      </c>
      <c r="K409" s="0" t="s">
        <v>35</v>
      </c>
      <c r="L409" s="0" t="n">
        <f aca="false">INDEX(Summary!$F$2:$F$201,MATCH($B409,Summary!$A$2:$A$201,0))</f>
        <v>20</v>
      </c>
      <c r="M409" s="0" t="n">
        <f aca="false">INDEX(Summary!$I$2:$I$201,MATCH($B409,Summary!$A$2:$A$201,0))</f>
        <v>1</v>
      </c>
      <c r="N409" s="0" t="n">
        <f aca="false">INDEX(Summary!$J$2:$J$201,MATCH($B409,Summary!$A$2:$A$201,0))</f>
        <v>4</v>
      </c>
      <c r="O409" s="2" t="n">
        <f aca="false">INDEX(Summary!$K$2:$K$201,MATCH($B409,Summary!$A$2:$A$201,0))</f>
        <v>8.45</v>
      </c>
      <c r="P409" s="3" t="n">
        <f aca="false">INDEX(Summary!$L$2:$L$201,MATCH($B409,Summary!$A$2:$A$201,0))</f>
        <v>2</v>
      </c>
      <c r="Q409" s="3" t="n">
        <f aca="false">INDEX(Summary!$M$2:$M$201,MATCH($B409,Summary!$A$2:$A$201,0))</f>
        <v>4</v>
      </c>
      <c r="R409" s="2" t="n">
        <f aca="false">INDEX(Summary!$N$2:$N$201,MATCH($B409,Summary!$A$2:$A$201,0))</f>
        <v>9.7</v>
      </c>
      <c r="S409" s="3" t="n">
        <f aca="false">INDEX(Summary!$O$2:$O$201,MATCH($B409,Summary!$A$2:$A$201,0))</f>
        <v>2</v>
      </c>
      <c r="T409" s="3" t="n">
        <f aca="false">INDEX(Summary!$P$2:$P$201,MATCH($B409,Summary!$A$2:$A$201,0))</f>
        <v>7</v>
      </c>
      <c r="U409" s="2" t="n">
        <f aca="false">INDEX(Summary!$Q$2:$Q$201,MATCH($B409,Summary!$A$2:$A$201,0))</f>
        <v>12.81</v>
      </c>
      <c r="V409" s="2" t="n">
        <f aca="false">INDEX(Summary!$R$2:$R$201,MATCH($B409,Summary!$A$2:$A$201,0))</f>
        <v>8.42</v>
      </c>
      <c r="W409" s="0" t="str">
        <f aca="false">INDEX(Summary!$S$2:$S$201,MATCH($B409,Summary!$A$2:$A$201,0))</f>
        <v>Bronze</v>
      </c>
      <c r="X409" s="2" t="n">
        <f aca="false">INDEX(Summary!$T$2:$T$201,MATCH($B409,Summary!$A$2:$A$201,0))</f>
        <v>20.54</v>
      </c>
      <c r="Y409" s="0" t="str">
        <f aca="false">INDEX('Reward Model'!$E$18:$E$37,MATCH($E409,'Reward Model'!$A$18:$A$37,0))</f>
        <v>Medium</v>
      </c>
      <c r="Z409" s="4" t="n">
        <f aca="false">ROUND(MIN(1,MAX('Reward Model'!$B$2,INDEX('Reward Model'!$C$12:$C$14,MATCH($K409,'Reward Model'!$A$12:$A$14,0))/$J409)),3)</f>
        <v>1</v>
      </c>
      <c r="AA409" s="2" t="n">
        <f aca="false">IF($I409="Correct",ROUND(INDEX('Reward Model'!$B$12:$B$14,MATCH($K409,'Reward Model'!$A$12:$A$14,0))*Z409,2),0)</f>
        <v>0</v>
      </c>
      <c r="AB409" s="2" t="n">
        <f aca="false">IF($I409="Correct",ROUND(INDEX('Reward Model'!$B$12:$B$14,MATCH($Y409,'Reward Model'!$A$12:$A$14,0))*Z409,2),0)</f>
        <v>0</v>
      </c>
    </row>
    <row r="410" customFormat="false" ht="15" hidden="false" customHeight="false" outlineLevel="0" collapsed="false">
      <c r="A410" s="0" t="s">
        <v>162</v>
      </c>
      <c r="B410" s="0" t="s">
        <v>163</v>
      </c>
      <c r="C410" s="0" t="s">
        <v>30</v>
      </c>
      <c r="D410" s="0" t="s">
        <v>31</v>
      </c>
      <c r="E410" s="0" t="n">
        <v>9</v>
      </c>
      <c r="F410" s="0" t="s">
        <v>55</v>
      </c>
      <c r="G410" s="0" t="s">
        <v>56</v>
      </c>
      <c r="H410" s="0" t="s">
        <v>57</v>
      </c>
      <c r="I410" s="0" t="s">
        <v>39</v>
      </c>
      <c r="J410" s="0" t="n">
        <v>1.31</v>
      </c>
      <c r="K410" s="0" t="s">
        <v>35</v>
      </c>
      <c r="L410" s="0" t="n">
        <f aca="false">INDEX(Summary!$F$2:$F$201,MATCH($B410,Summary!$A$2:$A$201,0))</f>
        <v>20</v>
      </c>
      <c r="M410" s="0" t="n">
        <f aca="false">INDEX(Summary!$I$2:$I$201,MATCH($B410,Summary!$A$2:$A$201,0))</f>
        <v>1</v>
      </c>
      <c r="N410" s="0" t="n">
        <f aca="false">INDEX(Summary!$J$2:$J$201,MATCH($B410,Summary!$A$2:$A$201,0))</f>
        <v>4</v>
      </c>
      <c r="O410" s="2" t="n">
        <f aca="false">INDEX(Summary!$K$2:$K$201,MATCH($B410,Summary!$A$2:$A$201,0))</f>
        <v>8.45</v>
      </c>
      <c r="P410" s="3" t="n">
        <f aca="false">INDEX(Summary!$L$2:$L$201,MATCH($B410,Summary!$A$2:$A$201,0))</f>
        <v>2</v>
      </c>
      <c r="Q410" s="3" t="n">
        <f aca="false">INDEX(Summary!$M$2:$M$201,MATCH($B410,Summary!$A$2:$A$201,0))</f>
        <v>4</v>
      </c>
      <c r="R410" s="2" t="n">
        <f aca="false">INDEX(Summary!$N$2:$N$201,MATCH($B410,Summary!$A$2:$A$201,0))</f>
        <v>9.7</v>
      </c>
      <c r="S410" s="3" t="n">
        <f aca="false">INDEX(Summary!$O$2:$O$201,MATCH($B410,Summary!$A$2:$A$201,0))</f>
        <v>2</v>
      </c>
      <c r="T410" s="3" t="n">
        <f aca="false">INDEX(Summary!$P$2:$P$201,MATCH($B410,Summary!$A$2:$A$201,0))</f>
        <v>7</v>
      </c>
      <c r="U410" s="2" t="n">
        <f aca="false">INDEX(Summary!$Q$2:$Q$201,MATCH($B410,Summary!$A$2:$A$201,0))</f>
        <v>12.81</v>
      </c>
      <c r="V410" s="2" t="n">
        <f aca="false">INDEX(Summary!$R$2:$R$201,MATCH($B410,Summary!$A$2:$A$201,0))</f>
        <v>8.42</v>
      </c>
      <c r="W410" s="0" t="str">
        <f aca="false">INDEX(Summary!$S$2:$S$201,MATCH($B410,Summary!$A$2:$A$201,0))</f>
        <v>Bronze</v>
      </c>
      <c r="X410" s="2" t="n">
        <f aca="false">INDEX(Summary!$T$2:$T$201,MATCH($B410,Summary!$A$2:$A$201,0))</f>
        <v>20.54</v>
      </c>
      <c r="Y410" s="0" t="str">
        <f aca="false">INDEX('Reward Model'!$E$18:$E$37,MATCH($E410,'Reward Model'!$A$18:$A$37,0))</f>
        <v>Medium</v>
      </c>
      <c r="Z410" s="4" t="n">
        <f aca="false">ROUND(MIN(1,MAX('Reward Model'!$B$2,INDEX('Reward Model'!$C$12:$C$14,MATCH($K410,'Reward Model'!$A$12:$A$14,0))/$J410)),3)</f>
        <v>1</v>
      </c>
      <c r="AA410" s="2" t="n">
        <f aca="false">IF($I410="Correct",ROUND(INDEX('Reward Model'!$B$12:$B$14,MATCH($K410,'Reward Model'!$A$12:$A$14,0))*Z410,2),0)</f>
        <v>0</v>
      </c>
      <c r="AB410" s="2" t="n">
        <f aca="false">IF($I410="Correct",ROUND(INDEX('Reward Model'!$B$12:$B$14,MATCH($Y410,'Reward Model'!$A$12:$A$14,0))*Z410,2),0)</f>
        <v>0</v>
      </c>
    </row>
    <row r="411" customFormat="false" ht="15" hidden="false" customHeight="false" outlineLevel="0" collapsed="false">
      <c r="A411" s="0" t="s">
        <v>162</v>
      </c>
      <c r="B411" s="0" t="s">
        <v>163</v>
      </c>
      <c r="C411" s="0" t="s">
        <v>30</v>
      </c>
      <c r="D411" s="0" t="s">
        <v>31</v>
      </c>
      <c r="E411" s="0" t="n">
        <v>10</v>
      </c>
      <c r="F411" s="0" t="s">
        <v>58</v>
      </c>
      <c r="G411" s="0" t="s">
        <v>99</v>
      </c>
      <c r="H411" s="0" t="s">
        <v>59</v>
      </c>
      <c r="I411" s="0" t="s">
        <v>39</v>
      </c>
      <c r="J411" s="0" t="n">
        <v>1.2</v>
      </c>
      <c r="K411" s="0" t="s">
        <v>60</v>
      </c>
      <c r="L411" s="0" t="n">
        <f aca="false">INDEX(Summary!$F$2:$F$201,MATCH($B411,Summary!$A$2:$A$201,0))</f>
        <v>20</v>
      </c>
      <c r="M411" s="0" t="n">
        <f aca="false">INDEX(Summary!$I$2:$I$201,MATCH($B411,Summary!$A$2:$A$201,0))</f>
        <v>1</v>
      </c>
      <c r="N411" s="0" t="n">
        <f aca="false">INDEX(Summary!$J$2:$J$201,MATCH($B411,Summary!$A$2:$A$201,0))</f>
        <v>4</v>
      </c>
      <c r="O411" s="2" t="n">
        <f aca="false">INDEX(Summary!$K$2:$K$201,MATCH($B411,Summary!$A$2:$A$201,0))</f>
        <v>8.45</v>
      </c>
      <c r="P411" s="3" t="n">
        <f aca="false">INDEX(Summary!$L$2:$L$201,MATCH($B411,Summary!$A$2:$A$201,0))</f>
        <v>2</v>
      </c>
      <c r="Q411" s="3" t="n">
        <f aca="false">INDEX(Summary!$M$2:$M$201,MATCH($B411,Summary!$A$2:$A$201,0))</f>
        <v>4</v>
      </c>
      <c r="R411" s="2" t="n">
        <f aca="false">INDEX(Summary!$N$2:$N$201,MATCH($B411,Summary!$A$2:$A$201,0))</f>
        <v>9.7</v>
      </c>
      <c r="S411" s="3" t="n">
        <f aca="false">INDEX(Summary!$O$2:$O$201,MATCH($B411,Summary!$A$2:$A$201,0))</f>
        <v>2</v>
      </c>
      <c r="T411" s="3" t="n">
        <f aca="false">INDEX(Summary!$P$2:$P$201,MATCH($B411,Summary!$A$2:$A$201,0))</f>
        <v>7</v>
      </c>
      <c r="U411" s="2" t="n">
        <f aca="false">INDEX(Summary!$Q$2:$Q$201,MATCH($B411,Summary!$A$2:$A$201,0))</f>
        <v>12.81</v>
      </c>
      <c r="V411" s="2" t="n">
        <f aca="false">INDEX(Summary!$R$2:$R$201,MATCH($B411,Summary!$A$2:$A$201,0))</f>
        <v>8.42</v>
      </c>
      <c r="W411" s="0" t="str">
        <f aca="false">INDEX(Summary!$S$2:$S$201,MATCH($B411,Summary!$A$2:$A$201,0))</f>
        <v>Bronze</v>
      </c>
      <c r="X411" s="2" t="n">
        <f aca="false">INDEX(Summary!$T$2:$T$201,MATCH($B411,Summary!$A$2:$A$201,0))</f>
        <v>20.54</v>
      </c>
      <c r="Y411" s="0" t="str">
        <f aca="false">INDEX('Reward Model'!$E$18:$E$37,MATCH($E411,'Reward Model'!$A$18:$A$37,0))</f>
        <v>Medium</v>
      </c>
      <c r="Z411" s="4" t="n">
        <f aca="false">ROUND(MIN(1,MAX('Reward Model'!$B$2,INDEX('Reward Model'!$C$12:$C$14,MATCH($K411,'Reward Model'!$A$12:$A$14,0))/$J411)),3)</f>
        <v>1</v>
      </c>
      <c r="AA411" s="2" t="n">
        <f aca="false">IF($I411="Correct",ROUND(INDEX('Reward Model'!$B$12:$B$14,MATCH($K411,'Reward Model'!$A$12:$A$14,0))*Z411,2),0)</f>
        <v>0</v>
      </c>
      <c r="AB411" s="2" t="n">
        <f aca="false">IF($I411="Correct",ROUND(INDEX('Reward Model'!$B$12:$B$14,MATCH($Y411,'Reward Model'!$A$12:$A$14,0))*Z411,2),0)</f>
        <v>0</v>
      </c>
    </row>
    <row r="412" customFormat="false" ht="15" hidden="false" customHeight="false" outlineLevel="0" collapsed="false">
      <c r="A412" s="0" t="s">
        <v>162</v>
      </c>
      <c r="B412" s="0" t="s">
        <v>163</v>
      </c>
      <c r="C412" s="0" t="s">
        <v>30</v>
      </c>
      <c r="D412" s="0" t="s">
        <v>31</v>
      </c>
      <c r="E412" s="0" t="n">
        <v>11</v>
      </c>
      <c r="F412" s="0" t="s">
        <v>61</v>
      </c>
      <c r="G412" s="0" t="s">
        <v>63</v>
      </c>
      <c r="H412" s="0" t="s">
        <v>63</v>
      </c>
      <c r="I412" s="0" t="s">
        <v>34</v>
      </c>
      <c r="J412" s="0" t="n">
        <v>1.22</v>
      </c>
      <c r="K412" s="0" t="s">
        <v>60</v>
      </c>
      <c r="L412" s="0" t="n">
        <f aca="false">INDEX(Summary!$F$2:$F$201,MATCH($B412,Summary!$A$2:$A$201,0))</f>
        <v>20</v>
      </c>
      <c r="M412" s="0" t="n">
        <f aca="false">INDEX(Summary!$I$2:$I$201,MATCH($B412,Summary!$A$2:$A$201,0))</f>
        <v>1</v>
      </c>
      <c r="N412" s="0" t="n">
        <f aca="false">INDEX(Summary!$J$2:$J$201,MATCH($B412,Summary!$A$2:$A$201,0))</f>
        <v>4</v>
      </c>
      <c r="O412" s="2" t="n">
        <f aca="false">INDEX(Summary!$K$2:$K$201,MATCH($B412,Summary!$A$2:$A$201,0))</f>
        <v>8.45</v>
      </c>
      <c r="P412" s="3" t="n">
        <f aca="false">INDEX(Summary!$L$2:$L$201,MATCH($B412,Summary!$A$2:$A$201,0))</f>
        <v>2</v>
      </c>
      <c r="Q412" s="3" t="n">
        <f aca="false">INDEX(Summary!$M$2:$M$201,MATCH($B412,Summary!$A$2:$A$201,0))</f>
        <v>4</v>
      </c>
      <c r="R412" s="2" t="n">
        <f aca="false">INDEX(Summary!$N$2:$N$201,MATCH($B412,Summary!$A$2:$A$201,0))</f>
        <v>9.7</v>
      </c>
      <c r="S412" s="3" t="n">
        <f aca="false">INDEX(Summary!$O$2:$O$201,MATCH($B412,Summary!$A$2:$A$201,0))</f>
        <v>2</v>
      </c>
      <c r="T412" s="3" t="n">
        <f aca="false">INDEX(Summary!$P$2:$P$201,MATCH($B412,Summary!$A$2:$A$201,0))</f>
        <v>7</v>
      </c>
      <c r="U412" s="2" t="n">
        <f aca="false">INDEX(Summary!$Q$2:$Q$201,MATCH($B412,Summary!$A$2:$A$201,0))</f>
        <v>12.81</v>
      </c>
      <c r="V412" s="2" t="n">
        <f aca="false">INDEX(Summary!$R$2:$R$201,MATCH($B412,Summary!$A$2:$A$201,0))</f>
        <v>8.42</v>
      </c>
      <c r="W412" s="0" t="str">
        <f aca="false">INDEX(Summary!$S$2:$S$201,MATCH($B412,Summary!$A$2:$A$201,0))</f>
        <v>Bronze</v>
      </c>
      <c r="X412" s="2" t="n">
        <f aca="false">INDEX(Summary!$T$2:$T$201,MATCH($B412,Summary!$A$2:$A$201,0))</f>
        <v>20.54</v>
      </c>
      <c r="Y412" s="0" t="str">
        <f aca="false">INDEX('Reward Model'!$E$18:$E$37,MATCH($E412,'Reward Model'!$A$18:$A$37,0))</f>
        <v>Medium</v>
      </c>
      <c r="Z412" s="4" t="n">
        <f aca="false">ROUND(MIN(1,MAX('Reward Model'!$B$2,INDEX('Reward Model'!$C$12:$C$14,MATCH($K412,'Reward Model'!$A$12:$A$14,0))/$J412)),3)</f>
        <v>1</v>
      </c>
      <c r="AA412" s="2" t="n">
        <f aca="false">IF($I412="Correct",ROUND(INDEX('Reward Model'!$B$12:$B$14,MATCH($K412,'Reward Model'!$A$12:$A$14,0))*Z412,2),0)</f>
        <v>2</v>
      </c>
      <c r="AB412" s="2" t="n">
        <f aca="false">IF($I412="Correct",ROUND(INDEX('Reward Model'!$B$12:$B$14,MATCH($Y412,'Reward Model'!$A$12:$A$14,0))*Z412,2),0)</f>
        <v>2</v>
      </c>
    </row>
    <row r="413" customFormat="false" ht="15" hidden="false" customHeight="false" outlineLevel="0" collapsed="false">
      <c r="A413" s="0" t="s">
        <v>162</v>
      </c>
      <c r="B413" s="0" t="s">
        <v>163</v>
      </c>
      <c r="C413" s="0" t="s">
        <v>30</v>
      </c>
      <c r="D413" s="0" t="s">
        <v>31</v>
      </c>
      <c r="E413" s="0" t="n">
        <v>12</v>
      </c>
      <c r="F413" s="0" t="s">
        <v>64</v>
      </c>
      <c r="G413" s="0" t="s">
        <v>112</v>
      </c>
      <c r="H413" s="0" t="s">
        <v>65</v>
      </c>
      <c r="I413" s="0" t="s">
        <v>39</v>
      </c>
      <c r="J413" s="0" t="n">
        <v>1.58</v>
      </c>
      <c r="K413" s="0" t="s">
        <v>60</v>
      </c>
      <c r="L413" s="0" t="n">
        <f aca="false">INDEX(Summary!$F$2:$F$201,MATCH($B413,Summary!$A$2:$A$201,0))</f>
        <v>20</v>
      </c>
      <c r="M413" s="0" t="n">
        <f aca="false">INDEX(Summary!$I$2:$I$201,MATCH($B413,Summary!$A$2:$A$201,0))</f>
        <v>1</v>
      </c>
      <c r="N413" s="0" t="n">
        <f aca="false">INDEX(Summary!$J$2:$J$201,MATCH($B413,Summary!$A$2:$A$201,0))</f>
        <v>4</v>
      </c>
      <c r="O413" s="2" t="n">
        <f aca="false">INDEX(Summary!$K$2:$K$201,MATCH($B413,Summary!$A$2:$A$201,0))</f>
        <v>8.45</v>
      </c>
      <c r="P413" s="3" t="n">
        <f aca="false">INDEX(Summary!$L$2:$L$201,MATCH($B413,Summary!$A$2:$A$201,0))</f>
        <v>2</v>
      </c>
      <c r="Q413" s="3" t="n">
        <f aca="false">INDEX(Summary!$M$2:$M$201,MATCH($B413,Summary!$A$2:$A$201,0))</f>
        <v>4</v>
      </c>
      <c r="R413" s="2" t="n">
        <f aca="false">INDEX(Summary!$N$2:$N$201,MATCH($B413,Summary!$A$2:$A$201,0))</f>
        <v>9.7</v>
      </c>
      <c r="S413" s="3" t="n">
        <f aca="false">INDEX(Summary!$O$2:$O$201,MATCH($B413,Summary!$A$2:$A$201,0))</f>
        <v>2</v>
      </c>
      <c r="T413" s="3" t="n">
        <f aca="false">INDEX(Summary!$P$2:$P$201,MATCH($B413,Summary!$A$2:$A$201,0))</f>
        <v>7</v>
      </c>
      <c r="U413" s="2" t="n">
        <f aca="false">INDEX(Summary!$Q$2:$Q$201,MATCH($B413,Summary!$A$2:$A$201,0))</f>
        <v>12.81</v>
      </c>
      <c r="V413" s="2" t="n">
        <f aca="false">INDEX(Summary!$R$2:$R$201,MATCH($B413,Summary!$A$2:$A$201,0))</f>
        <v>8.42</v>
      </c>
      <c r="W413" s="0" t="str">
        <f aca="false">INDEX(Summary!$S$2:$S$201,MATCH($B413,Summary!$A$2:$A$201,0))</f>
        <v>Bronze</v>
      </c>
      <c r="X413" s="2" t="n">
        <f aca="false">INDEX(Summary!$T$2:$T$201,MATCH($B413,Summary!$A$2:$A$201,0))</f>
        <v>20.54</v>
      </c>
      <c r="Y413" s="0" t="str">
        <f aca="false">INDEX('Reward Model'!$E$18:$E$37,MATCH($E413,'Reward Model'!$A$18:$A$37,0))</f>
        <v>Medium</v>
      </c>
      <c r="Z413" s="4" t="n">
        <f aca="false">ROUND(MIN(1,MAX('Reward Model'!$B$2,INDEX('Reward Model'!$C$12:$C$14,MATCH($K413,'Reward Model'!$A$12:$A$14,0))/$J413)),3)</f>
        <v>1</v>
      </c>
      <c r="AA413" s="2" t="n">
        <f aca="false">IF($I413="Correct",ROUND(INDEX('Reward Model'!$B$12:$B$14,MATCH($K413,'Reward Model'!$A$12:$A$14,0))*Z413,2),0)</f>
        <v>0</v>
      </c>
      <c r="AB413" s="2" t="n">
        <f aca="false">IF($I413="Correct",ROUND(INDEX('Reward Model'!$B$12:$B$14,MATCH($Y413,'Reward Model'!$A$12:$A$14,0))*Z413,2),0)</f>
        <v>0</v>
      </c>
    </row>
    <row r="414" customFormat="false" ht="15" hidden="false" customHeight="false" outlineLevel="0" collapsed="false">
      <c r="A414" s="0" t="s">
        <v>162</v>
      </c>
      <c r="B414" s="0" t="s">
        <v>163</v>
      </c>
      <c r="C414" s="0" t="s">
        <v>30</v>
      </c>
      <c r="D414" s="0" t="s">
        <v>31</v>
      </c>
      <c r="E414" s="0" t="n">
        <v>13</v>
      </c>
      <c r="F414" s="0" t="s">
        <v>66</v>
      </c>
      <c r="G414" s="0" t="s">
        <v>165</v>
      </c>
      <c r="H414" s="0" t="s">
        <v>67</v>
      </c>
      <c r="I414" s="0" t="s">
        <v>39</v>
      </c>
      <c r="J414" s="0" t="n">
        <v>1.82</v>
      </c>
      <c r="K414" s="0" t="s">
        <v>60</v>
      </c>
      <c r="L414" s="0" t="n">
        <f aca="false">INDEX(Summary!$F$2:$F$201,MATCH($B414,Summary!$A$2:$A$201,0))</f>
        <v>20</v>
      </c>
      <c r="M414" s="0" t="n">
        <f aca="false">INDEX(Summary!$I$2:$I$201,MATCH($B414,Summary!$A$2:$A$201,0))</f>
        <v>1</v>
      </c>
      <c r="N414" s="0" t="n">
        <f aca="false">INDEX(Summary!$J$2:$J$201,MATCH($B414,Summary!$A$2:$A$201,0))</f>
        <v>4</v>
      </c>
      <c r="O414" s="2" t="n">
        <f aca="false">INDEX(Summary!$K$2:$K$201,MATCH($B414,Summary!$A$2:$A$201,0))</f>
        <v>8.45</v>
      </c>
      <c r="P414" s="3" t="n">
        <f aca="false">INDEX(Summary!$L$2:$L$201,MATCH($B414,Summary!$A$2:$A$201,0))</f>
        <v>2</v>
      </c>
      <c r="Q414" s="3" t="n">
        <f aca="false">INDEX(Summary!$M$2:$M$201,MATCH($B414,Summary!$A$2:$A$201,0))</f>
        <v>4</v>
      </c>
      <c r="R414" s="2" t="n">
        <f aca="false">INDEX(Summary!$N$2:$N$201,MATCH($B414,Summary!$A$2:$A$201,0))</f>
        <v>9.7</v>
      </c>
      <c r="S414" s="3" t="n">
        <f aca="false">INDEX(Summary!$O$2:$O$201,MATCH($B414,Summary!$A$2:$A$201,0))</f>
        <v>2</v>
      </c>
      <c r="T414" s="3" t="n">
        <f aca="false">INDEX(Summary!$P$2:$P$201,MATCH($B414,Summary!$A$2:$A$201,0))</f>
        <v>7</v>
      </c>
      <c r="U414" s="2" t="n">
        <f aca="false">INDEX(Summary!$Q$2:$Q$201,MATCH($B414,Summary!$A$2:$A$201,0))</f>
        <v>12.81</v>
      </c>
      <c r="V414" s="2" t="n">
        <f aca="false">INDEX(Summary!$R$2:$R$201,MATCH($B414,Summary!$A$2:$A$201,0))</f>
        <v>8.42</v>
      </c>
      <c r="W414" s="0" t="str">
        <f aca="false">INDEX(Summary!$S$2:$S$201,MATCH($B414,Summary!$A$2:$A$201,0))</f>
        <v>Bronze</v>
      </c>
      <c r="X414" s="2" t="n">
        <f aca="false">INDEX(Summary!$T$2:$T$201,MATCH($B414,Summary!$A$2:$A$201,0))</f>
        <v>20.54</v>
      </c>
      <c r="Y414" s="0" t="str">
        <f aca="false">INDEX('Reward Model'!$E$18:$E$37,MATCH($E414,'Reward Model'!$A$18:$A$37,0))</f>
        <v>Medium</v>
      </c>
      <c r="Z414" s="4" t="n">
        <f aca="false">ROUND(MIN(1,MAX('Reward Model'!$B$2,INDEX('Reward Model'!$C$12:$C$14,MATCH($K414,'Reward Model'!$A$12:$A$14,0))/$J414)),3)</f>
        <v>0.989</v>
      </c>
      <c r="AA414" s="2" t="n">
        <f aca="false">IF($I414="Correct",ROUND(INDEX('Reward Model'!$B$12:$B$14,MATCH($K414,'Reward Model'!$A$12:$A$14,0))*Z414,2),0)</f>
        <v>0</v>
      </c>
      <c r="AB414" s="2" t="n">
        <f aca="false">IF($I414="Correct",ROUND(INDEX('Reward Model'!$B$12:$B$14,MATCH($Y414,'Reward Model'!$A$12:$A$14,0))*Z414,2),0)</f>
        <v>0</v>
      </c>
    </row>
    <row r="415" customFormat="false" ht="15" hidden="false" customHeight="false" outlineLevel="0" collapsed="false">
      <c r="A415" s="0" t="s">
        <v>162</v>
      </c>
      <c r="B415" s="0" t="s">
        <v>163</v>
      </c>
      <c r="C415" s="0" t="s">
        <v>30</v>
      </c>
      <c r="D415" s="0" t="s">
        <v>31</v>
      </c>
      <c r="E415" s="0" t="n">
        <v>14</v>
      </c>
      <c r="F415" s="0" t="s">
        <v>68</v>
      </c>
      <c r="G415" s="0" t="s">
        <v>86</v>
      </c>
      <c r="H415" s="0" t="s">
        <v>51</v>
      </c>
      <c r="I415" s="0" t="s">
        <v>39</v>
      </c>
      <c r="J415" s="0" t="n">
        <v>1.72</v>
      </c>
      <c r="K415" s="0" t="s">
        <v>60</v>
      </c>
      <c r="L415" s="0" t="n">
        <f aca="false">INDEX(Summary!$F$2:$F$201,MATCH($B415,Summary!$A$2:$A$201,0))</f>
        <v>20</v>
      </c>
      <c r="M415" s="0" t="n">
        <f aca="false">INDEX(Summary!$I$2:$I$201,MATCH($B415,Summary!$A$2:$A$201,0))</f>
        <v>1</v>
      </c>
      <c r="N415" s="0" t="n">
        <f aca="false">INDEX(Summary!$J$2:$J$201,MATCH($B415,Summary!$A$2:$A$201,0))</f>
        <v>4</v>
      </c>
      <c r="O415" s="2" t="n">
        <f aca="false">INDEX(Summary!$K$2:$K$201,MATCH($B415,Summary!$A$2:$A$201,0))</f>
        <v>8.45</v>
      </c>
      <c r="P415" s="3" t="n">
        <f aca="false">INDEX(Summary!$L$2:$L$201,MATCH($B415,Summary!$A$2:$A$201,0))</f>
        <v>2</v>
      </c>
      <c r="Q415" s="3" t="n">
        <f aca="false">INDEX(Summary!$M$2:$M$201,MATCH($B415,Summary!$A$2:$A$201,0))</f>
        <v>4</v>
      </c>
      <c r="R415" s="2" t="n">
        <f aca="false">INDEX(Summary!$N$2:$N$201,MATCH($B415,Summary!$A$2:$A$201,0))</f>
        <v>9.7</v>
      </c>
      <c r="S415" s="3" t="n">
        <f aca="false">INDEX(Summary!$O$2:$O$201,MATCH($B415,Summary!$A$2:$A$201,0))</f>
        <v>2</v>
      </c>
      <c r="T415" s="3" t="n">
        <f aca="false">INDEX(Summary!$P$2:$P$201,MATCH($B415,Summary!$A$2:$A$201,0))</f>
        <v>7</v>
      </c>
      <c r="U415" s="2" t="n">
        <f aca="false">INDEX(Summary!$Q$2:$Q$201,MATCH($B415,Summary!$A$2:$A$201,0))</f>
        <v>12.81</v>
      </c>
      <c r="V415" s="2" t="n">
        <f aca="false">INDEX(Summary!$R$2:$R$201,MATCH($B415,Summary!$A$2:$A$201,0))</f>
        <v>8.42</v>
      </c>
      <c r="W415" s="0" t="str">
        <f aca="false">INDEX(Summary!$S$2:$S$201,MATCH($B415,Summary!$A$2:$A$201,0))</f>
        <v>Bronze</v>
      </c>
      <c r="X415" s="2" t="n">
        <f aca="false">INDEX(Summary!$T$2:$T$201,MATCH($B415,Summary!$A$2:$A$201,0))</f>
        <v>20.54</v>
      </c>
      <c r="Y415" s="0" t="str">
        <f aca="false">INDEX('Reward Model'!$E$18:$E$37,MATCH($E415,'Reward Model'!$A$18:$A$37,0))</f>
        <v>Medium</v>
      </c>
      <c r="Z415" s="4" t="n">
        <f aca="false">ROUND(MIN(1,MAX('Reward Model'!$B$2,INDEX('Reward Model'!$C$12:$C$14,MATCH($K415,'Reward Model'!$A$12:$A$14,0))/$J415)),3)</f>
        <v>1</v>
      </c>
      <c r="AA415" s="2" t="n">
        <f aca="false">IF($I415="Correct",ROUND(INDEX('Reward Model'!$B$12:$B$14,MATCH($K415,'Reward Model'!$A$12:$A$14,0))*Z415,2),0)</f>
        <v>0</v>
      </c>
      <c r="AB415" s="2" t="n">
        <f aca="false">IF($I415="Correct",ROUND(INDEX('Reward Model'!$B$12:$B$14,MATCH($Y415,'Reward Model'!$A$12:$A$14,0))*Z415,2),0)</f>
        <v>0</v>
      </c>
    </row>
    <row r="416" customFormat="false" ht="15" hidden="false" customHeight="false" outlineLevel="0" collapsed="false">
      <c r="A416" s="0" t="s">
        <v>162</v>
      </c>
      <c r="B416" s="0" t="s">
        <v>163</v>
      </c>
      <c r="C416" s="0" t="s">
        <v>30</v>
      </c>
      <c r="D416" s="0" t="s">
        <v>31</v>
      </c>
      <c r="E416" s="0" t="n">
        <v>15</v>
      </c>
      <c r="F416" s="0" t="s">
        <v>69</v>
      </c>
      <c r="G416" s="0" t="s">
        <v>70</v>
      </c>
      <c r="H416" s="0" t="s">
        <v>70</v>
      </c>
      <c r="I416" s="0" t="s">
        <v>34</v>
      </c>
      <c r="J416" s="0" t="n">
        <v>2.16</v>
      </c>
      <c r="K416" s="0" t="s">
        <v>60</v>
      </c>
      <c r="L416" s="0" t="n">
        <f aca="false">INDEX(Summary!$F$2:$F$201,MATCH($B416,Summary!$A$2:$A$201,0))</f>
        <v>20</v>
      </c>
      <c r="M416" s="0" t="n">
        <f aca="false">INDEX(Summary!$I$2:$I$201,MATCH($B416,Summary!$A$2:$A$201,0))</f>
        <v>1</v>
      </c>
      <c r="N416" s="0" t="n">
        <f aca="false">INDEX(Summary!$J$2:$J$201,MATCH($B416,Summary!$A$2:$A$201,0))</f>
        <v>4</v>
      </c>
      <c r="O416" s="2" t="n">
        <f aca="false">INDEX(Summary!$K$2:$K$201,MATCH($B416,Summary!$A$2:$A$201,0))</f>
        <v>8.45</v>
      </c>
      <c r="P416" s="3" t="n">
        <f aca="false">INDEX(Summary!$L$2:$L$201,MATCH($B416,Summary!$A$2:$A$201,0))</f>
        <v>2</v>
      </c>
      <c r="Q416" s="3" t="n">
        <f aca="false">INDEX(Summary!$M$2:$M$201,MATCH($B416,Summary!$A$2:$A$201,0))</f>
        <v>4</v>
      </c>
      <c r="R416" s="2" t="n">
        <f aca="false">INDEX(Summary!$N$2:$N$201,MATCH($B416,Summary!$A$2:$A$201,0))</f>
        <v>9.7</v>
      </c>
      <c r="S416" s="3" t="n">
        <f aca="false">INDEX(Summary!$O$2:$O$201,MATCH($B416,Summary!$A$2:$A$201,0))</f>
        <v>2</v>
      </c>
      <c r="T416" s="3" t="n">
        <f aca="false">INDEX(Summary!$P$2:$P$201,MATCH($B416,Summary!$A$2:$A$201,0))</f>
        <v>7</v>
      </c>
      <c r="U416" s="2" t="n">
        <f aca="false">INDEX(Summary!$Q$2:$Q$201,MATCH($B416,Summary!$A$2:$A$201,0))</f>
        <v>12.81</v>
      </c>
      <c r="V416" s="2" t="n">
        <f aca="false">INDEX(Summary!$R$2:$R$201,MATCH($B416,Summary!$A$2:$A$201,0))</f>
        <v>8.42</v>
      </c>
      <c r="W416" s="0" t="str">
        <f aca="false">INDEX(Summary!$S$2:$S$201,MATCH($B416,Summary!$A$2:$A$201,0))</f>
        <v>Bronze</v>
      </c>
      <c r="X416" s="2" t="n">
        <f aca="false">INDEX(Summary!$T$2:$T$201,MATCH($B416,Summary!$A$2:$A$201,0))</f>
        <v>20.54</v>
      </c>
      <c r="Y416" s="0" t="str">
        <f aca="false">INDEX('Reward Model'!$E$18:$E$37,MATCH($E416,'Reward Model'!$A$18:$A$37,0))</f>
        <v>Medium</v>
      </c>
      <c r="Z416" s="4" t="n">
        <f aca="false">ROUND(MIN(1,MAX('Reward Model'!$B$2,INDEX('Reward Model'!$C$12:$C$14,MATCH($K416,'Reward Model'!$A$12:$A$14,0))/$J416)),3)</f>
        <v>0.833</v>
      </c>
      <c r="AA416" s="2" t="n">
        <f aca="false">IF($I416="Correct",ROUND(INDEX('Reward Model'!$B$12:$B$14,MATCH($K416,'Reward Model'!$A$12:$A$14,0))*Z416,2),0)</f>
        <v>1.67</v>
      </c>
      <c r="AB416" s="2" t="n">
        <f aca="false">IF($I416="Correct",ROUND(INDEX('Reward Model'!$B$12:$B$14,MATCH($Y416,'Reward Model'!$A$12:$A$14,0))*Z416,2),0)</f>
        <v>1.67</v>
      </c>
    </row>
    <row r="417" customFormat="false" ht="15" hidden="false" customHeight="false" outlineLevel="0" collapsed="false">
      <c r="A417" s="0" t="s">
        <v>162</v>
      </c>
      <c r="B417" s="0" t="s">
        <v>163</v>
      </c>
      <c r="C417" s="0" t="s">
        <v>30</v>
      </c>
      <c r="D417" s="0" t="s">
        <v>31</v>
      </c>
      <c r="E417" s="0" t="n">
        <v>16</v>
      </c>
      <c r="F417" s="0" t="s">
        <v>71</v>
      </c>
      <c r="G417" s="0" t="s">
        <v>87</v>
      </c>
      <c r="H417" s="0" t="s">
        <v>72</v>
      </c>
      <c r="I417" s="0" t="s">
        <v>39</v>
      </c>
      <c r="J417" s="0" t="n">
        <v>1.78</v>
      </c>
      <c r="K417" s="0" t="s">
        <v>73</v>
      </c>
      <c r="L417" s="0" t="n">
        <f aca="false">INDEX(Summary!$F$2:$F$201,MATCH($B417,Summary!$A$2:$A$201,0))</f>
        <v>20</v>
      </c>
      <c r="M417" s="0" t="n">
        <f aca="false">INDEX(Summary!$I$2:$I$201,MATCH($B417,Summary!$A$2:$A$201,0))</f>
        <v>1</v>
      </c>
      <c r="N417" s="0" t="n">
        <f aca="false">INDEX(Summary!$J$2:$J$201,MATCH($B417,Summary!$A$2:$A$201,0))</f>
        <v>4</v>
      </c>
      <c r="O417" s="2" t="n">
        <f aca="false">INDEX(Summary!$K$2:$K$201,MATCH($B417,Summary!$A$2:$A$201,0))</f>
        <v>8.45</v>
      </c>
      <c r="P417" s="3" t="n">
        <f aca="false">INDEX(Summary!$L$2:$L$201,MATCH($B417,Summary!$A$2:$A$201,0))</f>
        <v>2</v>
      </c>
      <c r="Q417" s="3" t="n">
        <f aca="false">INDEX(Summary!$M$2:$M$201,MATCH($B417,Summary!$A$2:$A$201,0))</f>
        <v>4</v>
      </c>
      <c r="R417" s="2" t="n">
        <f aca="false">INDEX(Summary!$N$2:$N$201,MATCH($B417,Summary!$A$2:$A$201,0))</f>
        <v>9.7</v>
      </c>
      <c r="S417" s="3" t="n">
        <f aca="false">INDEX(Summary!$O$2:$O$201,MATCH($B417,Summary!$A$2:$A$201,0))</f>
        <v>2</v>
      </c>
      <c r="T417" s="3" t="n">
        <f aca="false">INDEX(Summary!$P$2:$P$201,MATCH($B417,Summary!$A$2:$A$201,0))</f>
        <v>7</v>
      </c>
      <c r="U417" s="2" t="n">
        <f aca="false">INDEX(Summary!$Q$2:$Q$201,MATCH($B417,Summary!$A$2:$A$201,0))</f>
        <v>12.81</v>
      </c>
      <c r="V417" s="2" t="n">
        <f aca="false">INDEX(Summary!$R$2:$R$201,MATCH($B417,Summary!$A$2:$A$201,0))</f>
        <v>8.42</v>
      </c>
      <c r="W417" s="0" t="str">
        <f aca="false">INDEX(Summary!$S$2:$S$201,MATCH($B417,Summary!$A$2:$A$201,0))</f>
        <v>Bronze</v>
      </c>
      <c r="X417" s="2" t="n">
        <f aca="false">INDEX(Summary!$T$2:$T$201,MATCH($B417,Summary!$A$2:$A$201,0))</f>
        <v>20.54</v>
      </c>
      <c r="Y417" s="0" t="str">
        <f aca="false">INDEX('Reward Model'!$E$18:$E$37,MATCH($E417,'Reward Model'!$A$18:$A$37,0))</f>
        <v>High</v>
      </c>
      <c r="Z417" s="4" t="n">
        <f aca="false">ROUND(MIN(1,MAX('Reward Model'!$B$2,INDEX('Reward Model'!$C$12:$C$14,MATCH($K417,'Reward Model'!$A$12:$A$14,0))/$J417)),3)</f>
        <v>1</v>
      </c>
      <c r="AA417" s="2" t="n">
        <f aca="false">IF($I417="Correct",ROUND(INDEX('Reward Model'!$B$12:$B$14,MATCH($K417,'Reward Model'!$A$12:$A$14,0))*Z417,2),0)</f>
        <v>0</v>
      </c>
      <c r="AB417" s="2" t="n">
        <f aca="false">IF($I417="Correct",ROUND(INDEX('Reward Model'!$B$12:$B$14,MATCH($Y417,'Reward Model'!$A$12:$A$14,0))*Z417,2),0)</f>
        <v>0</v>
      </c>
    </row>
    <row r="418" customFormat="false" ht="15" hidden="false" customHeight="false" outlineLevel="0" collapsed="false">
      <c r="A418" s="0" t="s">
        <v>162</v>
      </c>
      <c r="B418" s="0" t="s">
        <v>163</v>
      </c>
      <c r="C418" s="0" t="s">
        <v>30</v>
      </c>
      <c r="D418" s="0" t="s">
        <v>31</v>
      </c>
      <c r="E418" s="0" t="n">
        <v>17</v>
      </c>
      <c r="F418" s="0" t="s">
        <v>74</v>
      </c>
      <c r="G418" s="0" t="s">
        <v>75</v>
      </c>
      <c r="H418" s="0" t="s">
        <v>75</v>
      </c>
      <c r="I418" s="0" t="s">
        <v>34</v>
      </c>
      <c r="J418" s="0" t="n">
        <v>1.65</v>
      </c>
      <c r="K418" s="0" t="s">
        <v>73</v>
      </c>
      <c r="L418" s="0" t="n">
        <f aca="false">INDEX(Summary!$F$2:$F$201,MATCH($B418,Summary!$A$2:$A$201,0))</f>
        <v>20</v>
      </c>
      <c r="M418" s="0" t="n">
        <f aca="false">INDEX(Summary!$I$2:$I$201,MATCH($B418,Summary!$A$2:$A$201,0))</f>
        <v>1</v>
      </c>
      <c r="N418" s="0" t="n">
        <f aca="false">INDEX(Summary!$J$2:$J$201,MATCH($B418,Summary!$A$2:$A$201,0))</f>
        <v>4</v>
      </c>
      <c r="O418" s="2" t="n">
        <f aca="false">INDEX(Summary!$K$2:$K$201,MATCH($B418,Summary!$A$2:$A$201,0))</f>
        <v>8.45</v>
      </c>
      <c r="P418" s="3" t="n">
        <f aca="false">INDEX(Summary!$L$2:$L$201,MATCH($B418,Summary!$A$2:$A$201,0))</f>
        <v>2</v>
      </c>
      <c r="Q418" s="3" t="n">
        <f aca="false">INDEX(Summary!$M$2:$M$201,MATCH($B418,Summary!$A$2:$A$201,0))</f>
        <v>4</v>
      </c>
      <c r="R418" s="2" t="n">
        <f aca="false">INDEX(Summary!$N$2:$N$201,MATCH($B418,Summary!$A$2:$A$201,0))</f>
        <v>9.7</v>
      </c>
      <c r="S418" s="3" t="n">
        <f aca="false">INDEX(Summary!$O$2:$O$201,MATCH($B418,Summary!$A$2:$A$201,0))</f>
        <v>2</v>
      </c>
      <c r="T418" s="3" t="n">
        <f aca="false">INDEX(Summary!$P$2:$P$201,MATCH($B418,Summary!$A$2:$A$201,0))</f>
        <v>7</v>
      </c>
      <c r="U418" s="2" t="n">
        <f aca="false">INDEX(Summary!$Q$2:$Q$201,MATCH($B418,Summary!$A$2:$A$201,0))</f>
        <v>12.81</v>
      </c>
      <c r="V418" s="2" t="n">
        <f aca="false">INDEX(Summary!$R$2:$R$201,MATCH($B418,Summary!$A$2:$A$201,0))</f>
        <v>8.42</v>
      </c>
      <c r="W418" s="0" t="str">
        <f aca="false">INDEX(Summary!$S$2:$S$201,MATCH($B418,Summary!$A$2:$A$201,0))</f>
        <v>Bronze</v>
      </c>
      <c r="X418" s="2" t="n">
        <f aca="false">INDEX(Summary!$T$2:$T$201,MATCH($B418,Summary!$A$2:$A$201,0))</f>
        <v>20.54</v>
      </c>
      <c r="Y418" s="0" t="str">
        <f aca="false">INDEX('Reward Model'!$E$18:$E$37,MATCH($E418,'Reward Model'!$A$18:$A$37,0))</f>
        <v>High</v>
      </c>
      <c r="Z418" s="4" t="n">
        <f aca="false">ROUND(MIN(1,MAX('Reward Model'!$B$2,INDEX('Reward Model'!$C$12:$C$14,MATCH($K418,'Reward Model'!$A$12:$A$14,0))/$J418)),3)</f>
        <v>1</v>
      </c>
      <c r="AA418" s="2" t="n">
        <f aca="false">IF($I418="Correct",ROUND(INDEX('Reward Model'!$B$12:$B$14,MATCH($K418,'Reward Model'!$A$12:$A$14,0))*Z418,2),0)</f>
        <v>3</v>
      </c>
      <c r="AB418" s="2" t="n">
        <f aca="false">IF($I418="Correct",ROUND(INDEX('Reward Model'!$B$12:$B$14,MATCH($Y418,'Reward Model'!$A$12:$A$14,0))*Z418,2),0)</f>
        <v>3</v>
      </c>
    </row>
    <row r="419" customFormat="false" ht="15" hidden="false" customHeight="false" outlineLevel="0" collapsed="false">
      <c r="A419" s="0" t="s">
        <v>162</v>
      </c>
      <c r="B419" s="0" t="s">
        <v>163</v>
      </c>
      <c r="C419" s="0" t="s">
        <v>30</v>
      </c>
      <c r="D419" s="0" t="s">
        <v>31</v>
      </c>
      <c r="E419" s="0" t="n">
        <v>18</v>
      </c>
      <c r="F419" s="0" t="s">
        <v>76</v>
      </c>
      <c r="G419" s="0" t="s">
        <v>56</v>
      </c>
      <c r="H419" s="0" t="s">
        <v>77</v>
      </c>
      <c r="I419" s="0" t="s">
        <v>39</v>
      </c>
      <c r="J419" s="0" t="n">
        <v>1.34</v>
      </c>
      <c r="K419" s="0" t="s">
        <v>73</v>
      </c>
      <c r="L419" s="0" t="n">
        <f aca="false">INDEX(Summary!$F$2:$F$201,MATCH($B419,Summary!$A$2:$A$201,0))</f>
        <v>20</v>
      </c>
      <c r="M419" s="0" t="n">
        <f aca="false">INDEX(Summary!$I$2:$I$201,MATCH($B419,Summary!$A$2:$A$201,0))</f>
        <v>1</v>
      </c>
      <c r="N419" s="0" t="n">
        <f aca="false">INDEX(Summary!$J$2:$J$201,MATCH($B419,Summary!$A$2:$A$201,0))</f>
        <v>4</v>
      </c>
      <c r="O419" s="2" t="n">
        <f aca="false">INDEX(Summary!$K$2:$K$201,MATCH($B419,Summary!$A$2:$A$201,0))</f>
        <v>8.45</v>
      </c>
      <c r="P419" s="3" t="n">
        <f aca="false">INDEX(Summary!$L$2:$L$201,MATCH($B419,Summary!$A$2:$A$201,0))</f>
        <v>2</v>
      </c>
      <c r="Q419" s="3" t="n">
        <f aca="false">INDEX(Summary!$M$2:$M$201,MATCH($B419,Summary!$A$2:$A$201,0))</f>
        <v>4</v>
      </c>
      <c r="R419" s="2" t="n">
        <f aca="false">INDEX(Summary!$N$2:$N$201,MATCH($B419,Summary!$A$2:$A$201,0))</f>
        <v>9.7</v>
      </c>
      <c r="S419" s="3" t="n">
        <f aca="false">INDEX(Summary!$O$2:$O$201,MATCH($B419,Summary!$A$2:$A$201,0))</f>
        <v>2</v>
      </c>
      <c r="T419" s="3" t="n">
        <f aca="false">INDEX(Summary!$P$2:$P$201,MATCH($B419,Summary!$A$2:$A$201,0))</f>
        <v>7</v>
      </c>
      <c r="U419" s="2" t="n">
        <f aca="false">INDEX(Summary!$Q$2:$Q$201,MATCH($B419,Summary!$A$2:$A$201,0))</f>
        <v>12.81</v>
      </c>
      <c r="V419" s="2" t="n">
        <f aca="false">INDEX(Summary!$R$2:$R$201,MATCH($B419,Summary!$A$2:$A$201,0))</f>
        <v>8.42</v>
      </c>
      <c r="W419" s="0" t="str">
        <f aca="false">INDEX(Summary!$S$2:$S$201,MATCH($B419,Summary!$A$2:$A$201,0))</f>
        <v>Bronze</v>
      </c>
      <c r="X419" s="2" t="n">
        <f aca="false">INDEX(Summary!$T$2:$T$201,MATCH($B419,Summary!$A$2:$A$201,0))</f>
        <v>20.54</v>
      </c>
      <c r="Y419" s="0" t="str">
        <f aca="false">INDEX('Reward Model'!$E$18:$E$37,MATCH($E419,'Reward Model'!$A$18:$A$37,0))</f>
        <v>High</v>
      </c>
      <c r="Z419" s="4" t="n">
        <f aca="false">ROUND(MIN(1,MAX('Reward Model'!$B$2,INDEX('Reward Model'!$C$12:$C$14,MATCH($K419,'Reward Model'!$A$12:$A$14,0))/$J419)),3)</f>
        <v>1</v>
      </c>
      <c r="AA419" s="2" t="n">
        <f aca="false">IF($I419="Correct",ROUND(INDEX('Reward Model'!$B$12:$B$14,MATCH($K419,'Reward Model'!$A$12:$A$14,0))*Z419,2),0)</f>
        <v>0</v>
      </c>
      <c r="AB419" s="2" t="n">
        <f aca="false">IF($I419="Correct",ROUND(INDEX('Reward Model'!$B$12:$B$14,MATCH($Y419,'Reward Model'!$A$12:$A$14,0))*Z419,2),0)</f>
        <v>0</v>
      </c>
    </row>
    <row r="420" customFormat="false" ht="15" hidden="false" customHeight="false" outlineLevel="0" collapsed="false">
      <c r="A420" s="0" t="s">
        <v>162</v>
      </c>
      <c r="B420" s="0" t="s">
        <v>163</v>
      </c>
      <c r="C420" s="0" t="s">
        <v>30</v>
      </c>
      <c r="D420" s="0" t="s">
        <v>31</v>
      </c>
      <c r="E420" s="0" t="n">
        <v>19</v>
      </c>
      <c r="F420" s="0" t="s">
        <v>78</v>
      </c>
      <c r="G420" s="0" t="s">
        <v>132</v>
      </c>
      <c r="H420" s="0" t="s">
        <v>80</v>
      </c>
      <c r="I420" s="0" t="s">
        <v>39</v>
      </c>
      <c r="J420" s="0" t="n">
        <v>2.27</v>
      </c>
      <c r="K420" s="0" t="s">
        <v>73</v>
      </c>
      <c r="L420" s="0" t="n">
        <f aca="false">INDEX(Summary!$F$2:$F$201,MATCH($B420,Summary!$A$2:$A$201,0))</f>
        <v>20</v>
      </c>
      <c r="M420" s="0" t="n">
        <f aca="false">INDEX(Summary!$I$2:$I$201,MATCH($B420,Summary!$A$2:$A$201,0))</f>
        <v>1</v>
      </c>
      <c r="N420" s="0" t="n">
        <f aca="false">INDEX(Summary!$J$2:$J$201,MATCH($B420,Summary!$A$2:$A$201,0))</f>
        <v>4</v>
      </c>
      <c r="O420" s="2" t="n">
        <f aca="false">INDEX(Summary!$K$2:$K$201,MATCH($B420,Summary!$A$2:$A$201,0))</f>
        <v>8.45</v>
      </c>
      <c r="P420" s="3" t="n">
        <f aca="false">INDEX(Summary!$L$2:$L$201,MATCH($B420,Summary!$A$2:$A$201,0))</f>
        <v>2</v>
      </c>
      <c r="Q420" s="3" t="n">
        <f aca="false">INDEX(Summary!$M$2:$M$201,MATCH($B420,Summary!$A$2:$A$201,0))</f>
        <v>4</v>
      </c>
      <c r="R420" s="2" t="n">
        <f aca="false">INDEX(Summary!$N$2:$N$201,MATCH($B420,Summary!$A$2:$A$201,0))</f>
        <v>9.7</v>
      </c>
      <c r="S420" s="3" t="n">
        <f aca="false">INDEX(Summary!$O$2:$O$201,MATCH($B420,Summary!$A$2:$A$201,0))</f>
        <v>2</v>
      </c>
      <c r="T420" s="3" t="n">
        <f aca="false">INDEX(Summary!$P$2:$P$201,MATCH($B420,Summary!$A$2:$A$201,0))</f>
        <v>7</v>
      </c>
      <c r="U420" s="2" t="n">
        <f aca="false">INDEX(Summary!$Q$2:$Q$201,MATCH($B420,Summary!$A$2:$A$201,0))</f>
        <v>12.81</v>
      </c>
      <c r="V420" s="2" t="n">
        <f aca="false">INDEX(Summary!$R$2:$R$201,MATCH($B420,Summary!$A$2:$A$201,0))</f>
        <v>8.42</v>
      </c>
      <c r="W420" s="0" t="str">
        <f aca="false">INDEX(Summary!$S$2:$S$201,MATCH($B420,Summary!$A$2:$A$201,0))</f>
        <v>Bronze</v>
      </c>
      <c r="X420" s="2" t="n">
        <f aca="false">INDEX(Summary!$T$2:$T$201,MATCH($B420,Summary!$A$2:$A$201,0))</f>
        <v>20.54</v>
      </c>
      <c r="Y420" s="0" t="str">
        <f aca="false">INDEX('Reward Model'!$E$18:$E$37,MATCH($E420,'Reward Model'!$A$18:$A$37,0))</f>
        <v>High</v>
      </c>
      <c r="Z420" s="4" t="n">
        <f aca="false">ROUND(MIN(1,MAX('Reward Model'!$B$2,INDEX('Reward Model'!$C$12:$C$14,MATCH($K420,'Reward Model'!$A$12:$A$14,0))/$J420)),3)</f>
        <v>0.881</v>
      </c>
      <c r="AA420" s="2" t="n">
        <f aca="false">IF($I420="Correct",ROUND(INDEX('Reward Model'!$B$12:$B$14,MATCH($K420,'Reward Model'!$A$12:$A$14,0))*Z420,2),0)</f>
        <v>0</v>
      </c>
      <c r="AB420" s="2" t="n">
        <f aca="false">IF($I420="Correct",ROUND(INDEX('Reward Model'!$B$12:$B$14,MATCH($Y420,'Reward Model'!$A$12:$A$14,0))*Z420,2),0)</f>
        <v>0</v>
      </c>
    </row>
    <row r="421" customFormat="false" ht="15" hidden="false" customHeight="false" outlineLevel="0" collapsed="false">
      <c r="A421" s="0" t="s">
        <v>162</v>
      </c>
      <c r="B421" s="0" t="s">
        <v>163</v>
      </c>
      <c r="C421" s="0" t="s">
        <v>30</v>
      </c>
      <c r="D421" s="0" t="s">
        <v>31</v>
      </c>
      <c r="E421" s="0" t="n">
        <v>20</v>
      </c>
      <c r="F421" s="0" t="s">
        <v>81</v>
      </c>
      <c r="G421" s="0" t="s">
        <v>166</v>
      </c>
      <c r="H421" s="0" t="s">
        <v>83</v>
      </c>
      <c r="I421" s="0" t="s">
        <v>39</v>
      </c>
      <c r="J421" s="0" t="n">
        <v>1.41</v>
      </c>
      <c r="K421" s="0" t="s">
        <v>73</v>
      </c>
      <c r="L421" s="0" t="n">
        <f aca="false">INDEX(Summary!$F$2:$F$201,MATCH($B421,Summary!$A$2:$A$201,0))</f>
        <v>20</v>
      </c>
      <c r="M421" s="0" t="n">
        <f aca="false">INDEX(Summary!$I$2:$I$201,MATCH($B421,Summary!$A$2:$A$201,0))</f>
        <v>1</v>
      </c>
      <c r="N421" s="0" t="n">
        <f aca="false">INDEX(Summary!$J$2:$J$201,MATCH($B421,Summary!$A$2:$A$201,0))</f>
        <v>4</v>
      </c>
      <c r="O421" s="2" t="n">
        <f aca="false">INDEX(Summary!$K$2:$K$201,MATCH($B421,Summary!$A$2:$A$201,0))</f>
        <v>8.45</v>
      </c>
      <c r="P421" s="3" t="n">
        <f aca="false">INDEX(Summary!$L$2:$L$201,MATCH($B421,Summary!$A$2:$A$201,0))</f>
        <v>2</v>
      </c>
      <c r="Q421" s="3" t="n">
        <f aca="false">INDEX(Summary!$M$2:$M$201,MATCH($B421,Summary!$A$2:$A$201,0))</f>
        <v>4</v>
      </c>
      <c r="R421" s="2" t="n">
        <f aca="false">INDEX(Summary!$N$2:$N$201,MATCH($B421,Summary!$A$2:$A$201,0))</f>
        <v>9.7</v>
      </c>
      <c r="S421" s="3" t="n">
        <f aca="false">INDEX(Summary!$O$2:$O$201,MATCH($B421,Summary!$A$2:$A$201,0))</f>
        <v>2</v>
      </c>
      <c r="T421" s="3" t="n">
        <f aca="false">INDEX(Summary!$P$2:$P$201,MATCH($B421,Summary!$A$2:$A$201,0))</f>
        <v>7</v>
      </c>
      <c r="U421" s="2" t="n">
        <f aca="false">INDEX(Summary!$Q$2:$Q$201,MATCH($B421,Summary!$A$2:$A$201,0))</f>
        <v>12.81</v>
      </c>
      <c r="V421" s="2" t="n">
        <f aca="false">INDEX(Summary!$R$2:$R$201,MATCH($B421,Summary!$A$2:$A$201,0))</f>
        <v>8.42</v>
      </c>
      <c r="W421" s="0" t="str">
        <f aca="false">INDEX(Summary!$S$2:$S$201,MATCH($B421,Summary!$A$2:$A$201,0))</f>
        <v>Bronze</v>
      </c>
      <c r="X421" s="2" t="n">
        <f aca="false">INDEX(Summary!$T$2:$T$201,MATCH($B421,Summary!$A$2:$A$201,0))</f>
        <v>20.54</v>
      </c>
      <c r="Y421" s="0" t="str">
        <f aca="false">INDEX('Reward Model'!$E$18:$E$37,MATCH($E421,'Reward Model'!$A$18:$A$37,0))</f>
        <v>High</v>
      </c>
      <c r="Z421" s="4" t="n">
        <f aca="false">ROUND(MIN(1,MAX('Reward Model'!$B$2,INDEX('Reward Model'!$C$12:$C$14,MATCH($K421,'Reward Model'!$A$12:$A$14,0))/$J421)),3)</f>
        <v>1</v>
      </c>
      <c r="AA421" s="2" t="n">
        <f aca="false">IF($I421="Correct",ROUND(INDEX('Reward Model'!$B$12:$B$14,MATCH($K421,'Reward Model'!$A$12:$A$14,0))*Z421,2),0)</f>
        <v>0</v>
      </c>
      <c r="AB421" s="2" t="n">
        <f aca="false">IF($I421="Correct",ROUND(INDEX('Reward Model'!$B$12:$B$14,MATCH($Y421,'Reward Model'!$A$12:$A$14,0))*Z421,2),0)</f>
        <v>0</v>
      </c>
    </row>
    <row r="422" customFormat="false" ht="15" hidden="false" customHeight="false" outlineLevel="0" collapsed="false">
      <c r="A422" s="0" t="s">
        <v>167</v>
      </c>
      <c r="B422" s="0" t="s">
        <v>168</v>
      </c>
      <c r="C422" s="0" t="s">
        <v>30</v>
      </c>
      <c r="D422" s="0" t="s">
        <v>31</v>
      </c>
      <c r="E422" s="0" t="n">
        <v>1</v>
      </c>
      <c r="F422" s="0" t="s">
        <v>32</v>
      </c>
      <c r="G422" s="0" t="s">
        <v>33</v>
      </c>
      <c r="H422" s="0" t="s">
        <v>33</v>
      </c>
      <c r="I422" s="0" t="s">
        <v>34</v>
      </c>
      <c r="J422" s="0" t="n">
        <v>1.86</v>
      </c>
      <c r="K422" s="0" t="s">
        <v>35</v>
      </c>
      <c r="L422" s="0" t="n">
        <f aca="false">INDEX(Summary!$F$2:$F$201,MATCH($B422,Summary!$A$2:$A$201,0))</f>
        <v>20</v>
      </c>
      <c r="M422" s="0" t="n">
        <f aca="false">INDEX(Summary!$I$2:$I$201,MATCH($B422,Summary!$A$2:$A$201,0))</f>
        <v>2</v>
      </c>
      <c r="N422" s="0" t="n">
        <f aca="false">INDEX(Summary!$J$2:$J$201,MATCH($B422,Summary!$A$2:$A$201,0))</f>
        <v>3</v>
      </c>
      <c r="O422" s="2" t="n">
        <f aca="false">INDEX(Summary!$K$2:$K$201,MATCH($B422,Summary!$A$2:$A$201,0))</f>
        <v>8.96</v>
      </c>
      <c r="P422" s="3" t="n">
        <f aca="false">INDEX(Summary!$L$2:$L$201,MATCH($B422,Summary!$A$2:$A$201,0))</f>
        <v>3</v>
      </c>
      <c r="Q422" s="3" t="n">
        <f aca="false">INDEX(Summary!$M$2:$M$201,MATCH($B422,Summary!$A$2:$A$201,0))</f>
        <v>3</v>
      </c>
      <c r="R422" s="2" t="n">
        <f aca="false">INDEX(Summary!$N$2:$N$201,MATCH($B422,Summary!$A$2:$A$201,0))</f>
        <v>11.01</v>
      </c>
      <c r="S422" s="3" t="n">
        <f aca="false">INDEX(Summary!$O$2:$O$201,MATCH($B422,Summary!$A$2:$A$201,0))</f>
        <v>7</v>
      </c>
      <c r="T422" s="3" t="n">
        <f aca="false">INDEX(Summary!$P$2:$P$201,MATCH($B422,Summary!$A$2:$A$201,0))</f>
        <v>2</v>
      </c>
      <c r="U422" s="2" t="n">
        <f aca="false">INDEX(Summary!$Q$2:$Q$201,MATCH($B422,Summary!$A$2:$A$201,0))</f>
        <v>12.32</v>
      </c>
      <c r="V422" s="2" t="n">
        <f aca="false">INDEX(Summary!$R$2:$R$201,MATCH($B422,Summary!$A$2:$A$201,0))</f>
        <v>20.66</v>
      </c>
      <c r="W422" s="0" t="str">
        <f aca="false">INDEX(Summary!$S$2:$S$201,MATCH($B422,Summary!$A$2:$A$201,0))</f>
        <v>Silver</v>
      </c>
      <c r="X422" s="2" t="n">
        <f aca="false">INDEX(Summary!$T$2:$T$201,MATCH($B422,Summary!$A$2:$A$201,0))</f>
        <v>50.39</v>
      </c>
      <c r="Y422" s="0" t="str">
        <f aca="false">INDEX('Reward Model'!$E$18:$E$37,MATCH($E422,'Reward Model'!$A$18:$A$37,0))</f>
        <v>Medium</v>
      </c>
      <c r="Z422" s="4" t="n">
        <f aca="false">ROUND(MIN(1,MAX('Reward Model'!$B$2,INDEX('Reward Model'!$C$12:$C$14,MATCH($K422,'Reward Model'!$A$12:$A$14,0))/$J422)),3)</f>
        <v>0.806</v>
      </c>
      <c r="AA422" s="2" t="n">
        <f aca="false">IF($I422="Correct",ROUND(INDEX('Reward Model'!$B$12:$B$14,MATCH($K422,'Reward Model'!$A$12:$A$14,0))*Z422,2),0)</f>
        <v>0.81</v>
      </c>
      <c r="AB422" s="2" t="n">
        <f aca="false">IF($I422="Correct",ROUND(INDEX('Reward Model'!$B$12:$B$14,MATCH($Y422,'Reward Model'!$A$12:$A$14,0))*Z422,2),0)</f>
        <v>1.61</v>
      </c>
    </row>
    <row r="423" customFormat="false" ht="15" hidden="false" customHeight="false" outlineLevel="0" collapsed="false">
      <c r="A423" s="0" t="s">
        <v>167</v>
      </c>
      <c r="B423" s="0" t="s">
        <v>168</v>
      </c>
      <c r="C423" s="0" t="s">
        <v>30</v>
      </c>
      <c r="D423" s="0" t="s">
        <v>31</v>
      </c>
      <c r="E423" s="0" t="n">
        <v>2</v>
      </c>
      <c r="F423" s="0" t="s">
        <v>36</v>
      </c>
      <c r="G423" s="0" t="s">
        <v>38</v>
      </c>
      <c r="H423" s="0" t="s">
        <v>38</v>
      </c>
      <c r="I423" s="0" t="s">
        <v>34</v>
      </c>
      <c r="J423" s="0" t="n">
        <v>0.97</v>
      </c>
      <c r="K423" s="0" t="s">
        <v>35</v>
      </c>
      <c r="L423" s="0" t="n">
        <f aca="false">INDEX(Summary!$F$2:$F$201,MATCH($B423,Summary!$A$2:$A$201,0))</f>
        <v>20</v>
      </c>
      <c r="M423" s="0" t="n">
        <f aca="false">INDEX(Summary!$I$2:$I$201,MATCH($B423,Summary!$A$2:$A$201,0))</f>
        <v>2</v>
      </c>
      <c r="N423" s="0" t="n">
        <f aca="false">INDEX(Summary!$J$2:$J$201,MATCH($B423,Summary!$A$2:$A$201,0))</f>
        <v>3</v>
      </c>
      <c r="O423" s="2" t="n">
        <f aca="false">INDEX(Summary!$K$2:$K$201,MATCH($B423,Summary!$A$2:$A$201,0))</f>
        <v>8.96</v>
      </c>
      <c r="P423" s="3" t="n">
        <f aca="false">INDEX(Summary!$L$2:$L$201,MATCH($B423,Summary!$A$2:$A$201,0))</f>
        <v>3</v>
      </c>
      <c r="Q423" s="3" t="n">
        <f aca="false">INDEX(Summary!$M$2:$M$201,MATCH($B423,Summary!$A$2:$A$201,0))</f>
        <v>3</v>
      </c>
      <c r="R423" s="2" t="n">
        <f aca="false">INDEX(Summary!$N$2:$N$201,MATCH($B423,Summary!$A$2:$A$201,0))</f>
        <v>11.01</v>
      </c>
      <c r="S423" s="3" t="n">
        <f aca="false">INDEX(Summary!$O$2:$O$201,MATCH($B423,Summary!$A$2:$A$201,0))</f>
        <v>7</v>
      </c>
      <c r="T423" s="3" t="n">
        <f aca="false">INDEX(Summary!$P$2:$P$201,MATCH($B423,Summary!$A$2:$A$201,0))</f>
        <v>2</v>
      </c>
      <c r="U423" s="2" t="n">
        <f aca="false">INDEX(Summary!$Q$2:$Q$201,MATCH($B423,Summary!$A$2:$A$201,0))</f>
        <v>12.32</v>
      </c>
      <c r="V423" s="2" t="n">
        <f aca="false">INDEX(Summary!$R$2:$R$201,MATCH($B423,Summary!$A$2:$A$201,0))</f>
        <v>20.66</v>
      </c>
      <c r="W423" s="0" t="str">
        <f aca="false">INDEX(Summary!$S$2:$S$201,MATCH($B423,Summary!$A$2:$A$201,0))</f>
        <v>Silver</v>
      </c>
      <c r="X423" s="2" t="n">
        <f aca="false">INDEX(Summary!$T$2:$T$201,MATCH($B423,Summary!$A$2:$A$201,0))</f>
        <v>50.39</v>
      </c>
      <c r="Y423" s="0" t="str">
        <f aca="false">INDEX('Reward Model'!$E$18:$E$37,MATCH($E423,'Reward Model'!$A$18:$A$37,0))</f>
        <v>Low</v>
      </c>
      <c r="Z423" s="4" t="n">
        <f aca="false">ROUND(MIN(1,MAX('Reward Model'!$B$2,INDEX('Reward Model'!$C$12:$C$14,MATCH($K423,'Reward Model'!$A$12:$A$14,0))/$J423)),3)</f>
        <v>1</v>
      </c>
      <c r="AA423" s="2" t="n">
        <f aca="false">IF($I423="Correct",ROUND(INDEX('Reward Model'!$B$12:$B$14,MATCH($K423,'Reward Model'!$A$12:$A$14,0))*Z423,2),0)</f>
        <v>1</v>
      </c>
      <c r="AB423" s="2" t="n">
        <f aca="false">IF($I423="Correct",ROUND(INDEX('Reward Model'!$B$12:$B$14,MATCH($Y423,'Reward Model'!$A$12:$A$14,0))*Z423,2),0)</f>
        <v>1</v>
      </c>
    </row>
    <row r="424" customFormat="false" ht="15" hidden="false" customHeight="false" outlineLevel="0" collapsed="false">
      <c r="A424" s="0" t="s">
        <v>167</v>
      </c>
      <c r="B424" s="0" t="s">
        <v>168</v>
      </c>
      <c r="C424" s="0" t="s">
        <v>30</v>
      </c>
      <c r="D424" s="0" t="s">
        <v>31</v>
      </c>
      <c r="E424" s="0" t="n">
        <v>3</v>
      </c>
      <c r="F424" s="0" t="s">
        <v>40</v>
      </c>
      <c r="G424" s="0" t="s">
        <v>41</v>
      </c>
      <c r="H424" s="0" t="s">
        <v>42</v>
      </c>
      <c r="I424" s="0" t="s">
        <v>39</v>
      </c>
      <c r="J424" s="0" t="n">
        <v>0.97</v>
      </c>
      <c r="K424" s="0" t="s">
        <v>35</v>
      </c>
      <c r="L424" s="0" t="n">
        <f aca="false">INDEX(Summary!$F$2:$F$201,MATCH($B424,Summary!$A$2:$A$201,0))</f>
        <v>20</v>
      </c>
      <c r="M424" s="0" t="n">
        <f aca="false">INDEX(Summary!$I$2:$I$201,MATCH($B424,Summary!$A$2:$A$201,0))</f>
        <v>2</v>
      </c>
      <c r="N424" s="0" t="n">
        <f aca="false">INDEX(Summary!$J$2:$J$201,MATCH($B424,Summary!$A$2:$A$201,0))</f>
        <v>3</v>
      </c>
      <c r="O424" s="2" t="n">
        <f aca="false">INDEX(Summary!$K$2:$K$201,MATCH($B424,Summary!$A$2:$A$201,0))</f>
        <v>8.96</v>
      </c>
      <c r="P424" s="3" t="n">
        <f aca="false">INDEX(Summary!$L$2:$L$201,MATCH($B424,Summary!$A$2:$A$201,0))</f>
        <v>3</v>
      </c>
      <c r="Q424" s="3" t="n">
        <f aca="false">INDEX(Summary!$M$2:$M$201,MATCH($B424,Summary!$A$2:$A$201,0))</f>
        <v>3</v>
      </c>
      <c r="R424" s="2" t="n">
        <f aca="false">INDEX(Summary!$N$2:$N$201,MATCH($B424,Summary!$A$2:$A$201,0))</f>
        <v>11.01</v>
      </c>
      <c r="S424" s="3" t="n">
        <f aca="false">INDEX(Summary!$O$2:$O$201,MATCH($B424,Summary!$A$2:$A$201,0))</f>
        <v>7</v>
      </c>
      <c r="T424" s="3" t="n">
        <f aca="false">INDEX(Summary!$P$2:$P$201,MATCH($B424,Summary!$A$2:$A$201,0))</f>
        <v>2</v>
      </c>
      <c r="U424" s="2" t="n">
        <f aca="false">INDEX(Summary!$Q$2:$Q$201,MATCH($B424,Summary!$A$2:$A$201,0))</f>
        <v>12.32</v>
      </c>
      <c r="V424" s="2" t="n">
        <f aca="false">INDEX(Summary!$R$2:$R$201,MATCH($B424,Summary!$A$2:$A$201,0))</f>
        <v>20.66</v>
      </c>
      <c r="W424" s="0" t="str">
        <f aca="false">INDEX(Summary!$S$2:$S$201,MATCH($B424,Summary!$A$2:$A$201,0))</f>
        <v>Silver</v>
      </c>
      <c r="X424" s="2" t="n">
        <f aca="false">INDEX(Summary!$T$2:$T$201,MATCH($B424,Summary!$A$2:$A$201,0))</f>
        <v>50.39</v>
      </c>
      <c r="Y424" s="0" t="str">
        <f aca="false">INDEX('Reward Model'!$E$18:$E$37,MATCH($E424,'Reward Model'!$A$18:$A$37,0))</f>
        <v>Medium</v>
      </c>
      <c r="Z424" s="4" t="n">
        <f aca="false">ROUND(MIN(1,MAX('Reward Model'!$B$2,INDEX('Reward Model'!$C$12:$C$14,MATCH($K424,'Reward Model'!$A$12:$A$14,0))/$J424)),3)</f>
        <v>1</v>
      </c>
      <c r="AA424" s="2" t="n">
        <f aca="false">IF($I424="Correct",ROUND(INDEX('Reward Model'!$B$12:$B$14,MATCH($K424,'Reward Model'!$A$12:$A$14,0))*Z424,2),0)</f>
        <v>0</v>
      </c>
      <c r="AB424" s="2" t="n">
        <f aca="false">IF($I424="Correct",ROUND(INDEX('Reward Model'!$B$12:$B$14,MATCH($Y424,'Reward Model'!$A$12:$A$14,0))*Z424,2),0)</f>
        <v>0</v>
      </c>
    </row>
    <row r="425" customFormat="false" ht="15" hidden="false" customHeight="false" outlineLevel="0" collapsed="false">
      <c r="A425" s="0" t="s">
        <v>167</v>
      </c>
      <c r="B425" s="0" t="s">
        <v>168</v>
      </c>
      <c r="C425" s="0" t="s">
        <v>30</v>
      </c>
      <c r="D425" s="0" t="s">
        <v>31</v>
      </c>
      <c r="E425" s="0" t="n">
        <v>4</v>
      </c>
      <c r="F425" s="0" t="s">
        <v>43</v>
      </c>
      <c r="G425" s="0" t="s">
        <v>45</v>
      </c>
      <c r="H425" s="0" t="s">
        <v>45</v>
      </c>
      <c r="I425" s="0" t="s">
        <v>34</v>
      </c>
      <c r="J425" s="0" t="n">
        <v>1.42</v>
      </c>
      <c r="K425" s="0" t="s">
        <v>35</v>
      </c>
      <c r="L425" s="0" t="n">
        <f aca="false">INDEX(Summary!$F$2:$F$201,MATCH($B425,Summary!$A$2:$A$201,0))</f>
        <v>20</v>
      </c>
      <c r="M425" s="0" t="n">
        <f aca="false">INDEX(Summary!$I$2:$I$201,MATCH($B425,Summary!$A$2:$A$201,0))</f>
        <v>2</v>
      </c>
      <c r="N425" s="0" t="n">
        <f aca="false">INDEX(Summary!$J$2:$J$201,MATCH($B425,Summary!$A$2:$A$201,0))</f>
        <v>3</v>
      </c>
      <c r="O425" s="2" t="n">
        <f aca="false">INDEX(Summary!$K$2:$K$201,MATCH($B425,Summary!$A$2:$A$201,0))</f>
        <v>8.96</v>
      </c>
      <c r="P425" s="3" t="n">
        <f aca="false">INDEX(Summary!$L$2:$L$201,MATCH($B425,Summary!$A$2:$A$201,0))</f>
        <v>3</v>
      </c>
      <c r="Q425" s="3" t="n">
        <f aca="false">INDEX(Summary!$M$2:$M$201,MATCH($B425,Summary!$A$2:$A$201,0))</f>
        <v>3</v>
      </c>
      <c r="R425" s="2" t="n">
        <f aca="false">INDEX(Summary!$N$2:$N$201,MATCH($B425,Summary!$A$2:$A$201,0))</f>
        <v>11.01</v>
      </c>
      <c r="S425" s="3" t="n">
        <f aca="false">INDEX(Summary!$O$2:$O$201,MATCH($B425,Summary!$A$2:$A$201,0))</f>
        <v>7</v>
      </c>
      <c r="T425" s="3" t="n">
        <f aca="false">INDEX(Summary!$P$2:$P$201,MATCH($B425,Summary!$A$2:$A$201,0))</f>
        <v>2</v>
      </c>
      <c r="U425" s="2" t="n">
        <f aca="false">INDEX(Summary!$Q$2:$Q$201,MATCH($B425,Summary!$A$2:$A$201,0))</f>
        <v>12.32</v>
      </c>
      <c r="V425" s="2" t="n">
        <f aca="false">INDEX(Summary!$R$2:$R$201,MATCH($B425,Summary!$A$2:$A$201,0))</f>
        <v>20.66</v>
      </c>
      <c r="W425" s="0" t="str">
        <f aca="false">INDEX(Summary!$S$2:$S$201,MATCH($B425,Summary!$A$2:$A$201,0))</f>
        <v>Silver</v>
      </c>
      <c r="X425" s="2" t="n">
        <f aca="false">INDEX(Summary!$T$2:$T$201,MATCH($B425,Summary!$A$2:$A$201,0))</f>
        <v>50.39</v>
      </c>
      <c r="Y425" s="0" t="str">
        <f aca="false">INDEX('Reward Model'!$E$18:$E$37,MATCH($E425,'Reward Model'!$A$18:$A$37,0))</f>
        <v>Low</v>
      </c>
      <c r="Z425" s="4" t="n">
        <f aca="false">ROUND(MIN(1,MAX('Reward Model'!$B$2,INDEX('Reward Model'!$C$12:$C$14,MATCH($K425,'Reward Model'!$A$12:$A$14,0))/$J425)),3)</f>
        <v>1</v>
      </c>
      <c r="AA425" s="2" t="n">
        <f aca="false">IF($I425="Correct",ROUND(INDEX('Reward Model'!$B$12:$B$14,MATCH($K425,'Reward Model'!$A$12:$A$14,0))*Z425,2),0)</f>
        <v>1</v>
      </c>
      <c r="AB425" s="2" t="n">
        <f aca="false">IF($I425="Correct",ROUND(INDEX('Reward Model'!$B$12:$B$14,MATCH($Y425,'Reward Model'!$A$12:$A$14,0))*Z425,2),0)</f>
        <v>1</v>
      </c>
    </row>
    <row r="426" customFormat="false" ht="15" hidden="false" customHeight="false" outlineLevel="0" collapsed="false">
      <c r="A426" s="0" t="s">
        <v>167</v>
      </c>
      <c r="B426" s="0" t="s">
        <v>168</v>
      </c>
      <c r="C426" s="0" t="s">
        <v>30</v>
      </c>
      <c r="D426" s="0" t="s">
        <v>31</v>
      </c>
      <c r="E426" s="0" t="n">
        <v>5</v>
      </c>
      <c r="F426" s="0" t="s">
        <v>46</v>
      </c>
      <c r="G426" s="0" t="s">
        <v>47</v>
      </c>
      <c r="H426" s="0" t="s">
        <v>47</v>
      </c>
      <c r="I426" s="0" t="s">
        <v>34</v>
      </c>
      <c r="J426" s="0" t="n">
        <v>1.72</v>
      </c>
      <c r="K426" s="0" t="s">
        <v>35</v>
      </c>
      <c r="L426" s="0" t="n">
        <f aca="false">INDEX(Summary!$F$2:$F$201,MATCH($B426,Summary!$A$2:$A$201,0))</f>
        <v>20</v>
      </c>
      <c r="M426" s="0" t="n">
        <f aca="false">INDEX(Summary!$I$2:$I$201,MATCH($B426,Summary!$A$2:$A$201,0))</f>
        <v>2</v>
      </c>
      <c r="N426" s="0" t="n">
        <f aca="false">INDEX(Summary!$J$2:$J$201,MATCH($B426,Summary!$A$2:$A$201,0))</f>
        <v>3</v>
      </c>
      <c r="O426" s="2" t="n">
        <f aca="false">INDEX(Summary!$K$2:$K$201,MATCH($B426,Summary!$A$2:$A$201,0))</f>
        <v>8.96</v>
      </c>
      <c r="P426" s="3" t="n">
        <f aca="false">INDEX(Summary!$L$2:$L$201,MATCH($B426,Summary!$A$2:$A$201,0))</f>
        <v>3</v>
      </c>
      <c r="Q426" s="3" t="n">
        <f aca="false">INDEX(Summary!$M$2:$M$201,MATCH($B426,Summary!$A$2:$A$201,0))</f>
        <v>3</v>
      </c>
      <c r="R426" s="2" t="n">
        <f aca="false">INDEX(Summary!$N$2:$N$201,MATCH($B426,Summary!$A$2:$A$201,0))</f>
        <v>11.01</v>
      </c>
      <c r="S426" s="3" t="n">
        <f aca="false">INDEX(Summary!$O$2:$O$201,MATCH($B426,Summary!$A$2:$A$201,0))</f>
        <v>7</v>
      </c>
      <c r="T426" s="3" t="n">
        <f aca="false">INDEX(Summary!$P$2:$P$201,MATCH($B426,Summary!$A$2:$A$201,0))</f>
        <v>2</v>
      </c>
      <c r="U426" s="2" t="n">
        <f aca="false">INDEX(Summary!$Q$2:$Q$201,MATCH($B426,Summary!$A$2:$A$201,0))</f>
        <v>12.32</v>
      </c>
      <c r="V426" s="2" t="n">
        <f aca="false">INDEX(Summary!$R$2:$R$201,MATCH($B426,Summary!$A$2:$A$201,0))</f>
        <v>20.66</v>
      </c>
      <c r="W426" s="0" t="str">
        <f aca="false">INDEX(Summary!$S$2:$S$201,MATCH($B426,Summary!$A$2:$A$201,0))</f>
        <v>Silver</v>
      </c>
      <c r="X426" s="2" t="n">
        <f aca="false">INDEX(Summary!$T$2:$T$201,MATCH($B426,Summary!$A$2:$A$201,0))</f>
        <v>50.39</v>
      </c>
      <c r="Y426" s="0" t="str">
        <f aca="false">INDEX('Reward Model'!$E$18:$E$37,MATCH($E426,'Reward Model'!$A$18:$A$37,0))</f>
        <v>Low</v>
      </c>
      <c r="Z426" s="4" t="n">
        <f aca="false">ROUND(MIN(1,MAX('Reward Model'!$B$2,INDEX('Reward Model'!$C$12:$C$14,MATCH($K426,'Reward Model'!$A$12:$A$14,0))/$J426)),3)</f>
        <v>0.872</v>
      </c>
      <c r="AA426" s="2" t="n">
        <f aca="false">IF($I426="Correct",ROUND(INDEX('Reward Model'!$B$12:$B$14,MATCH($K426,'Reward Model'!$A$12:$A$14,0))*Z426,2),0)</f>
        <v>0.87</v>
      </c>
      <c r="AB426" s="2" t="n">
        <f aca="false">IF($I426="Correct",ROUND(INDEX('Reward Model'!$B$12:$B$14,MATCH($Y426,'Reward Model'!$A$12:$A$14,0))*Z426,2),0)</f>
        <v>0.87</v>
      </c>
    </row>
    <row r="427" customFormat="false" ht="15" hidden="false" customHeight="false" outlineLevel="0" collapsed="false">
      <c r="A427" s="0" t="s">
        <v>167</v>
      </c>
      <c r="B427" s="0" t="s">
        <v>168</v>
      </c>
      <c r="C427" s="0" t="s">
        <v>30</v>
      </c>
      <c r="D427" s="0" t="s">
        <v>31</v>
      </c>
      <c r="E427" s="0" t="n">
        <v>6</v>
      </c>
      <c r="F427" s="0" t="s">
        <v>48</v>
      </c>
      <c r="G427" s="0" t="s">
        <v>169</v>
      </c>
      <c r="H427" s="0" t="s">
        <v>49</v>
      </c>
      <c r="I427" s="0" t="s">
        <v>39</v>
      </c>
      <c r="J427" s="0" t="n">
        <v>1.35</v>
      </c>
      <c r="K427" s="0" t="s">
        <v>35</v>
      </c>
      <c r="L427" s="0" t="n">
        <f aca="false">INDEX(Summary!$F$2:$F$201,MATCH($B427,Summary!$A$2:$A$201,0))</f>
        <v>20</v>
      </c>
      <c r="M427" s="0" t="n">
        <f aca="false">INDEX(Summary!$I$2:$I$201,MATCH($B427,Summary!$A$2:$A$201,0))</f>
        <v>2</v>
      </c>
      <c r="N427" s="0" t="n">
        <f aca="false">INDEX(Summary!$J$2:$J$201,MATCH($B427,Summary!$A$2:$A$201,0))</f>
        <v>3</v>
      </c>
      <c r="O427" s="2" t="n">
        <f aca="false">INDEX(Summary!$K$2:$K$201,MATCH($B427,Summary!$A$2:$A$201,0))</f>
        <v>8.96</v>
      </c>
      <c r="P427" s="3" t="n">
        <f aca="false">INDEX(Summary!$L$2:$L$201,MATCH($B427,Summary!$A$2:$A$201,0))</f>
        <v>3</v>
      </c>
      <c r="Q427" s="3" t="n">
        <f aca="false">INDEX(Summary!$M$2:$M$201,MATCH($B427,Summary!$A$2:$A$201,0))</f>
        <v>3</v>
      </c>
      <c r="R427" s="2" t="n">
        <f aca="false">INDEX(Summary!$N$2:$N$201,MATCH($B427,Summary!$A$2:$A$201,0))</f>
        <v>11.01</v>
      </c>
      <c r="S427" s="3" t="n">
        <f aca="false">INDEX(Summary!$O$2:$O$201,MATCH($B427,Summary!$A$2:$A$201,0))</f>
        <v>7</v>
      </c>
      <c r="T427" s="3" t="n">
        <f aca="false">INDEX(Summary!$P$2:$P$201,MATCH($B427,Summary!$A$2:$A$201,0))</f>
        <v>2</v>
      </c>
      <c r="U427" s="2" t="n">
        <f aca="false">INDEX(Summary!$Q$2:$Q$201,MATCH($B427,Summary!$A$2:$A$201,0))</f>
        <v>12.32</v>
      </c>
      <c r="V427" s="2" t="n">
        <f aca="false">INDEX(Summary!$R$2:$R$201,MATCH($B427,Summary!$A$2:$A$201,0))</f>
        <v>20.66</v>
      </c>
      <c r="W427" s="0" t="str">
        <f aca="false">INDEX(Summary!$S$2:$S$201,MATCH($B427,Summary!$A$2:$A$201,0))</f>
        <v>Silver</v>
      </c>
      <c r="X427" s="2" t="n">
        <f aca="false">INDEX(Summary!$T$2:$T$201,MATCH($B427,Summary!$A$2:$A$201,0))</f>
        <v>50.39</v>
      </c>
      <c r="Y427" s="0" t="str">
        <f aca="false">INDEX('Reward Model'!$E$18:$E$37,MATCH($E427,'Reward Model'!$A$18:$A$37,0))</f>
        <v>Medium</v>
      </c>
      <c r="Z427" s="4" t="n">
        <f aca="false">ROUND(MIN(1,MAX('Reward Model'!$B$2,INDEX('Reward Model'!$C$12:$C$14,MATCH($K427,'Reward Model'!$A$12:$A$14,0))/$J427)),3)</f>
        <v>1</v>
      </c>
      <c r="AA427" s="2" t="n">
        <f aca="false">IF($I427="Correct",ROUND(INDEX('Reward Model'!$B$12:$B$14,MATCH($K427,'Reward Model'!$A$12:$A$14,0))*Z427,2),0)</f>
        <v>0</v>
      </c>
      <c r="AB427" s="2" t="n">
        <f aca="false">IF($I427="Correct",ROUND(INDEX('Reward Model'!$B$12:$B$14,MATCH($Y427,'Reward Model'!$A$12:$A$14,0))*Z427,2),0)</f>
        <v>0</v>
      </c>
    </row>
    <row r="428" customFormat="false" ht="15" hidden="false" customHeight="false" outlineLevel="0" collapsed="false">
      <c r="A428" s="0" t="s">
        <v>167</v>
      </c>
      <c r="B428" s="0" t="s">
        <v>168</v>
      </c>
      <c r="C428" s="0" t="s">
        <v>30</v>
      </c>
      <c r="D428" s="0" t="s">
        <v>31</v>
      </c>
      <c r="E428" s="0" t="n">
        <v>7</v>
      </c>
      <c r="F428" s="0" t="s">
        <v>50</v>
      </c>
      <c r="G428" s="0" t="s">
        <v>51</v>
      </c>
      <c r="H428" s="0" t="s">
        <v>51</v>
      </c>
      <c r="I428" s="0" t="s">
        <v>34</v>
      </c>
      <c r="J428" s="0" t="n">
        <v>1.37</v>
      </c>
      <c r="K428" s="0" t="s">
        <v>35</v>
      </c>
      <c r="L428" s="0" t="n">
        <f aca="false">INDEX(Summary!$F$2:$F$201,MATCH($B428,Summary!$A$2:$A$201,0))</f>
        <v>20</v>
      </c>
      <c r="M428" s="0" t="n">
        <f aca="false">INDEX(Summary!$I$2:$I$201,MATCH($B428,Summary!$A$2:$A$201,0))</f>
        <v>2</v>
      </c>
      <c r="N428" s="0" t="n">
        <f aca="false">INDEX(Summary!$J$2:$J$201,MATCH($B428,Summary!$A$2:$A$201,0))</f>
        <v>3</v>
      </c>
      <c r="O428" s="2" t="n">
        <f aca="false">INDEX(Summary!$K$2:$K$201,MATCH($B428,Summary!$A$2:$A$201,0))</f>
        <v>8.96</v>
      </c>
      <c r="P428" s="3" t="n">
        <f aca="false">INDEX(Summary!$L$2:$L$201,MATCH($B428,Summary!$A$2:$A$201,0))</f>
        <v>3</v>
      </c>
      <c r="Q428" s="3" t="n">
        <f aca="false">INDEX(Summary!$M$2:$M$201,MATCH($B428,Summary!$A$2:$A$201,0))</f>
        <v>3</v>
      </c>
      <c r="R428" s="2" t="n">
        <f aca="false">INDEX(Summary!$N$2:$N$201,MATCH($B428,Summary!$A$2:$A$201,0))</f>
        <v>11.01</v>
      </c>
      <c r="S428" s="3" t="n">
        <f aca="false">INDEX(Summary!$O$2:$O$201,MATCH($B428,Summary!$A$2:$A$201,0))</f>
        <v>7</v>
      </c>
      <c r="T428" s="3" t="n">
        <f aca="false">INDEX(Summary!$P$2:$P$201,MATCH($B428,Summary!$A$2:$A$201,0))</f>
        <v>2</v>
      </c>
      <c r="U428" s="2" t="n">
        <f aca="false">INDEX(Summary!$Q$2:$Q$201,MATCH($B428,Summary!$A$2:$A$201,0))</f>
        <v>12.32</v>
      </c>
      <c r="V428" s="2" t="n">
        <f aca="false">INDEX(Summary!$R$2:$R$201,MATCH($B428,Summary!$A$2:$A$201,0))</f>
        <v>20.66</v>
      </c>
      <c r="W428" s="0" t="str">
        <f aca="false">INDEX(Summary!$S$2:$S$201,MATCH($B428,Summary!$A$2:$A$201,0))</f>
        <v>Silver</v>
      </c>
      <c r="X428" s="2" t="n">
        <f aca="false">INDEX(Summary!$T$2:$T$201,MATCH($B428,Summary!$A$2:$A$201,0))</f>
        <v>50.39</v>
      </c>
      <c r="Y428" s="0" t="str">
        <f aca="false">INDEX('Reward Model'!$E$18:$E$37,MATCH($E428,'Reward Model'!$A$18:$A$37,0))</f>
        <v>Low</v>
      </c>
      <c r="Z428" s="4" t="n">
        <f aca="false">ROUND(MIN(1,MAX('Reward Model'!$B$2,INDEX('Reward Model'!$C$12:$C$14,MATCH($K428,'Reward Model'!$A$12:$A$14,0))/$J428)),3)</f>
        <v>1</v>
      </c>
      <c r="AA428" s="2" t="n">
        <f aca="false">IF($I428="Correct",ROUND(INDEX('Reward Model'!$B$12:$B$14,MATCH($K428,'Reward Model'!$A$12:$A$14,0))*Z428,2),0)</f>
        <v>1</v>
      </c>
      <c r="AB428" s="2" t="n">
        <f aca="false">IF($I428="Correct",ROUND(INDEX('Reward Model'!$B$12:$B$14,MATCH($Y428,'Reward Model'!$A$12:$A$14,0))*Z428,2),0)</f>
        <v>1</v>
      </c>
    </row>
    <row r="429" customFormat="false" ht="15" hidden="false" customHeight="false" outlineLevel="0" collapsed="false">
      <c r="A429" s="0" t="s">
        <v>167</v>
      </c>
      <c r="B429" s="0" t="s">
        <v>168</v>
      </c>
      <c r="C429" s="0" t="s">
        <v>30</v>
      </c>
      <c r="D429" s="0" t="s">
        <v>31</v>
      </c>
      <c r="E429" s="0" t="n">
        <v>8</v>
      </c>
      <c r="F429" s="0" t="s">
        <v>52</v>
      </c>
      <c r="G429" s="0" t="s">
        <v>54</v>
      </c>
      <c r="H429" s="0" t="s">
        <v>54</v>
      </c>
      <c r="I429" s="0" t="s">
        <v>34</v>
      </c>
      <c r="J429" s="0" t="n">
        <v>0.98</v>
      </c>
      <c r="K429" s="0" t="s">
        <v>35</v>
      </c>
      <c r="L429" s="0" t="n">
        <f aca="false">INDEX(Summary!$F$2:$F$201,MATCH($B429,Summary!$A$2:$A$201,0))</f>
        <v>20</v>
      </c>
      <c r="M429" s="0" t="n">
        <f aca="false">INDEX(Summary!$I$2:$I$201,MATCH($B429,Summary!$A$2:$A$201,0))</f>
        <v>2</v>
      </c>
      <c r="N429" s="0" t="n">
        <f aca="false">INDEX(Summary!$J$2:$J$201,MATCH($B429,Summary!$A$2:$A$201,0))</f>
        <v>3</v>
      </c>
      <c r="O429" s="2" t="n">
        <f aca="false">INDEX(Summary!$K$2:$K$201,MATCH($B429,Summary!$A$2:$A$201,0))</f>
        <v>8.96</v>
      </c>
      <c r="P429" s="3" t="n">
        <f aca="false">INDEX(Summary!$L$2:$L$201,MATCH($B429,Summary!$A$2:$A$201,0))</f>
        <v>3</v>
      </c>
      <c r="Q429" s="3" t="n">
        <f aca="false">INDEX(Summary!$M$2:$M$201,MATCH($B429,Summary!$A$2:$A$201,0))</f>
        <v>3</v>
      </c>
      <c r="R429" s="2" t="n">
        <f aca="false">INDEX(Summary!$N$2:$N$201,MATCH($B429,Summary!$A$2:$A$201,0))</f>
        <v>11.01</v>
      </c>
      <c r="S429" s="3" t="n">
        <f aca="false">INDEX(Summary!$O$2:$O$201,MATCH($B429,Summary!$A$2:$A$201,0))</f>
        <v>7</v>
      </c>
      <c r="T429" s="3" t="n">
        <f aca="false">INDEX(Summary!$P$2:$P$201,MATCH($B429,Summary!$A$2:$A$201,0))</f>
        <v>2</v>
      </c>
      <c r="U429" s="2" t="n">
        <f aca="false">INDEX(Summary!$Q$2:$Q$201,MATCH($B429,Summary!$A$2:$A$201,0))</f>
        <v>12.32</v>
      </c>
      <c r="V429" s="2" t="n">
        <f aca="false">INDEX(Summary!$R$2:$R$201,MATCH($B429,Summary!$A$2:$A$201,0))</f>
        <v>20.66</v>
      </c>
      <c r="W429" s="0" t="str">
        <f aca="false">INDEX(Summary!$S$2:$S$201,MATCH($B429,Summary!$A$2:$A$201,0))</f>
        <v>Silver</v>
      </c>
      <c r="X429" s="2" t="n">
        <f aca="false">INDEX(Summary!$T$2:$T$201,MATCH($B429,Summary!$A$2:$A$201,0))</f>
        <v>50.39</v>
      </c>
      <c r="Y429" s="0" t="str">
        <f aca="false">INDEX('Reward Model'!$E$18:$E$37,MATCH($E429,'Reward Model'!$A$18:$A$37,0))</f>
        <v>Medium</v>
      </c>
      <c r="Z429" s="4" t="n">
        <f aca="false">ROUND(MIN(1,MAX('Reward Model'!$B$2,INDEX('Reward Model'!$C$12:$C$14,MATCH($K429,'Reward Model'!$A$12:$A$14,0))/$J429)),3)</f>
        <v>1</v>
      </c>
      <c r="AA429" s="2" t="n">
        <f aca="false">IF($I429="Correct",ROUND(INDEX('Reward Model'!$B$12:$B$14,MATCH($K429,'Reward Model'!$A$12:$A$14,0))*Z429,2),0)</f>
        <v>1</v>
      </c>
      <c r="AB429" s="2" t="n">
        <f aca="false">IF($I429="Correct",ROUND(INDEX('Reward Model'!$B$12:$B$14,MATCH($Y429,'Reward Model'!$A$12:$A$14,0))*Z429,2),0)</f>
        <v>2</v>
      </c>
    </row>
    <row r="430" customFormat="false" ht="15" hidden="false" customHeight="false" outlineLevel="0" collapsed="false">
      <c r="A430" s="0" t="s">
        <v>167</v>
      </c>
      <c r="B430" s="0" t="s">
        <v>168</v>
      </c>
      <c r="C430" s="0" t="s">
        <v>30</v>
      </c>
      <c r="D430" s="0" t="s">
        <v>31</v>
      </c>
      <c r="E430" s="0" t="n">
        <v>9</v>
      </c>
      <c r="F430" s="0" t="s">
        <v>55</v>
      </c>
      <c r="G430" s="0" t="s">
        <v>57</v>
      </c>
      <c r="H430" s="0" t="s">
        <v>57</v>
      </c>
      <c r="I430" s="0" t="s">
        <v>34</v>
      </c>
      <c r="J430" s="0" t="n">
        <v>1.68</v>
      </c>
      <c r="K430" s="0" t="s">
        <v>35</v>
      </c>
      <c r="L430" s="0" t="n">
        <f aca="false">INDEX(Summary!$F$2:$F$201,MATCH($B430,Summary!$A$2:$A$201,0))</f>
        <v>20</v>
      </c>
      <c r="M430" s="0" t="n">
        <f aca="false">INDEX(Summary!$I$2:$I$201,MATCH($B430,Summary!$A$2:$A$201,0))</f>
        <v>2</v>
      </c>
      <c r="N430" s="0" t="n">
        <f aca="false">INDEX(Summary!$J$2:$J$201,MATCH($B430,Summary!$A$2:$A$201,0))</f>
        <v>3</v>
      </c>
      <c r="O430" s="2" t="n">
        <f aca="false">INDEX(Summary!$K$2:$K$201,MATCH($B430,Summary!$A$2:$A$201,0))</f>
        <v>8.96</v>
      </c>
      <c r="P430" s="3" t="n">
        <f aca="false">INDEX(Summary!$L$2:$L$201,MATCH($B430,Summary!$A$2:$A$201,0))</f>
        <v>3</v>
      </c>
      <c r="Q430" s="3" t="n">
        <f aca="false">INDEX(Summary!$M$2:$M$201,MATCH($B430,Summary!$A$2:$A$201,0))</f>
        <v>3</v>
      </c>
      <c r="R430" s="2" t="n">
        <f aca="false">INDEX(Summary!$N$2:$N$201,MATCH($B430,Summary!$A$2:$A$201,0))</f>
        <v>11.01</v>
      </c>
      <c r="S430" s="3" t="n">
        <f aca="false">INDEX(Summary!$O$2:$O$201,MATCH($B430,Summary!$A$2:$A$201,0))</f>
        <v>7</v>
      </c>
      <c r="T430" s="3" t="n">
        <f aca="false">INDEX(Summary!$P$2:$P$201,MATCH($B430,Summary!$A$2:$A$201,0))</f>
        <v>2</v>
      </c>
      <c r="U430" s="2" t="n">
        <f aca="false">INDEX(Summary!$Q$2:$Q$201,MATCH($B430,Summary!$A$2:$A$201,0))</f>
        <v>12.32</v>
      </c>
      <c r="V430" s="2" t="n">
        <f aca="false">INDEX(Summary!$R$2:$R$201,MATCH($B430,Summary!$A$2:$A$201,0))</f>
        <v>20.66</v>
      </c>
      <c r="W430" s="0" t="str">
        <f aca="false">INDEX(Summary!$S$2:$S$201,MATCH($B430,Summary!$A$2:$A$201,0))</f>
        <v>Silver</v>
      </c>
      <c r="X430" s="2" t="n">
        <f aca="false">INDEX(Summary!$T$2:$T$201,MATCH($B430,Summary!$A$2:$A$201,0))</f>
        <v>50.39</v>
      </c>
      <c r="Y430" s="0" t="str">
        <f aca="false">INDEX('Reward Model'!$E$18:$E$37,MATCH($E430,'Reward Model'!$A$18:$A$37,0))</f>
        <v>Medium</v>
      </c>
      <c r="Z430" s="4" t="n">
        <f aca="false">ROUND(MIN(1,MAX('Reward Model'!$B$2,INDEX('Reward Model'!$C$12:$C$14,MATCH($K430,'Reward Model'!$A$12:$A$14,0))/$J430)),3)</f>
        <v>0.893</v>
      </c>
      <c r="AA430" s="2" t="n">
        <f aca="false">IF($I430="Correct",ROUND(INDEX('Reward Model'!$B$12:$B$14,MATCH($K430,'Reward Model'!$A$12:$A$14,0))*Z430,2),0)</f>
        <v>0.89</v>
      </c>
      <c r="AB430" s="2" t="n">
        <f aca="false">IF($I430="Correct",ROUND(INDEX('Reward Model'!$B$12:$B$14,MATCH($Y430,'Reward Model'!$A$12:$A$14,0))*Z430,2),0)</f>
        <v>1.79</v>
      </c>
    </row>
    <row r="431" customFormat="false" ht="15" hidden="false" customHeight="false" outlineLevel="0" collapsed="false">
      <c r="A431" s="0" t="s">
        <v>167</v>
      </c>
      <c r="B431" s="0" t="s">
        <v>168</v>
      </c>
      <c r="C431" s="0" t="s">
        <v>30</v>
      </c>
      <c r="D431" s="0" t="s">
        <v>31</v>
      </c>
      <c r="E431" s="0" t="n">
        <v>10</v>
      </c>
      <c r="F431" s="0" t="s">
        <v>58</v>
      </c>
      <c r="G431" s="0" t="s">
        <v>59</v>
      </c>
      <c r="H431" s="0" t="s">
        <v>59</v>
      </c>
      <c r="I431" s="0" t="s">
        <v>34</v>
      </c>
      <c r="J431" s="0" t="n">
        <v>1.73</v>
      </c>
      <c r="K431" s="0" t="s">
        <v>60</v>
      </c>
      <c r="L431" s="0" t="n">
        <f aca="false">INDEX(Summary!$F$2:$F$201,MATCH($B431,Summary!$A$2:$A$201,0))</f>
        <v>20</v>
      </c>
      <c r="M431" s="0" t="n">
        <f aca="false">INDEX(Summary!$I$2:$I$201,MATCH($B431,Summary!$A$2:$A$201,0))</f>
        <v>2</v>
      </c>
      <c r="N431" s="0" t="n">
        <f aca="false">INDEX(Summary!$J$2:$J$201,MATCH($B431,Summary!$A$2:$A$201,0))</f>
        <v>3</v>
      </c>
      <c r="O431" s="2" t="n">
        <f aca="false">INDEX(Summary!$K$2:$K$201,MATCH($B431,Summary!$A$2:$A$201,0))</f>
        <v>8.96</v>
      </c>
      <c r="P431" s="3" t="n">
        <f aca="false">INDEX(Summary!$L$2:$L$201,MATCH($B431,Summary!$A$2:$A$201,0))</f>
        <v>3</v>
      </c>
      <c r="Q431" s="3" t="n">
        <f aca="false">INDEX(Summary!$M$2:$M$201,MATCH($B431,Summary!$A$2:$A$201,0))</f>
        <v>3</v>
      </c>
      <c r="R431" s="2" t="n">
        <f aca="false">INDEX(Summary!$N$2:$N$201,MATCH($B431,Summary!$A$2:$A$201,0))</f>
        <v>11.01</v>
      </c>
      <c r="S431" s="3" t="n">
        <f aca="false">INDEX(Summary!$O$2:$O$201,MATCH($B431,Summary!$A$2:$A$201,0))</f>
        <v>7</v>
      </c>
      <c r="T431" s="3" t="n">
        <f aca="false">INDEX(Summary!$P$2:$P$201,MATCH($B431,Summary!$A$2:$A$201,0))</f>
        <v>2</v>
      </c>
      <c r="U431" s="2" t="n">
        <f aca="false">INDEX(Summary!$Q$2:$Q$201,MATCH($B431,Summary!$A$2:$A$201,0))</f>
        <v>12.32</v>
      </c>
      <c r="V431" s="2" t="n">
        <f aca="false">INDEX(Summary!$R$2:$R$201,MATCH($B431,Summary!$A$2:$A$201,0))</f>
        <v>20.66</v>
      </c>
      <c r="W431" s="0" t="str">
        <f aca="false">INDEX(Summary!$S$2:$S$201,MATCH($B431,Summary!$A$2:$A$201,0))</f>
        <v>Silver</v>
      </c>
      <c r="X431" s="2" t="n">
        <f aca="false">INDEX(Summary!$T$2:$T$201,MATCH($B431,Summary!$A$2:$A$201,0))</f>
        <v>50.39</v>
      </c>
      <c r="Y431" s="0" t="str">
        <f aca="false">INDEX('Reward Model'!$E$18:$E$37,MATCH($E431,'Reward Model'!$A$18:$A$37,0))</f>
        <v>Medium</v>
      </c>
      <c r="Z431" s="4" t="n">
        <f aca="false">ROUND(MIN(1,MAX('Reward Model'!$B$2,INDEX('Reward Model'!$C$12:$C$14,MATCH($K431,'Reward Model'!$A$12:$A$14,0))/$J431)),3)</f>
        <v>1</v>
      </c>
      <c r="AA431" s="2" t="n">
        <f aca="false">IF($I431="Correct",ROUND(INDEX('Reward Model'!$B$12:$B$14,MATCH($K431,'Reward Model'!$A$12:$A$14,0))*Z431,2),0)</f>
        <v>2</v>
      </c>
      <c r="AB431" s="2" t="n">
        <f aca="false">IF($I431="Correct",ROUND(INDEX('Reward Model'!$B$12:$B$14,MATCH($Y431,'Reward Model'!$A$12:$A$14,0))*Z431,2),0)</f>
        <v>2</v>
      </c>
    </row>
    <row r="432" customFormat="false" ht="15" hidden="false" customHeight="false" outlineLevel="0" collapsed="false">
      <c r="A432" s="0" t="s">
        <v>167</v>
      </c>
      <c r="B432" s="0" t="s">
        <v>168</v>
      </c>
      <c r="C432" s="0" t="s">
        <v>30</v>
      </c>
      <c r="D432" s="0" t="s">
        <v>31</v>
      </c>
      <c r="E432" s="0" t="n">
        <v>11</v>
      </c>
      <c r="F432" s="0" t="s">
        <v>61</v>
      </c>
      <c r="G432" s="0" t="s">
        <v>63</v>
      </c>
      <c r="H432" s="0" t="s">
        <v>63</v>
      </c>
      <c r="I432" s="0" t="s">
        <v>34</v>
      </c>
      <c r="J432" s="0" t="n">
        <v>1.61</v>
      </c>
      <c r="K432" s="0" t="s">
        <v>60</v>
      </c>
      <c r="L432" s="0" t="n">
        <f aca="false">INDEX(Summary!$F$2:$F$201,MATCH($B432,Summary!$A$2:$A$201,0))</f>
        <v>20</v>
      </c>
      <c r="M432" s="0" t="n">
        <f aca="false">INDEX(Summary!$I$2:$I$201,MATCH($B432,Summary!$A$2:$A$201,0))</f>
        <v>2</v>
      </c>
      <c r="N432" s="0" t="n">
        <f aca="false">INDEX(Summary!$J$2:$J$201,MATCH($B432,Summary!$A$2:$A$201,0))</f>
        <v>3</v>
      </c>
      <c r="O432" s="2" t="n">
        <f aca="false">INDEX(Summary!$K$2:$K$201,MATCH($B432,Summary!$A$2:$A$201,0))</f>
        <v>8.96</v>
      </c>
      <c r="P432" s="3" t="n">
        <f aca="false">INDEX(Summary!$L$2:$L$201,MATCH($B432,Summary!$A$2:$A$201,0))</f>
        <v>3</v>
      </c>
      <c r="Q432" s="3" t="n">
        <f aca="false">INDEX(Summary!$M$2:$M$201,MATCH($B432,Summary!$A$2:$A$201,0))</f>
        <v>3</v>
      </c>
      <c r="R432" s="2" t="n">
        <f aca="false">INDEX(Summary!$N$2:$N$201,MATCH($B432,Summary!$A$2:$A$201,0))</f>
        <v>11.01</v>
      </c>
      <c r="S432" s="3" t="n">
        <f aca="false">INDEX(Summary!$O$2:$O$201,MATCH($B432,Summary!$A$2:$A$201,0))</f>
        <v>7</v>
      </c>
      <c r="T432" s="3" t="n">
        <f aca="false">INDEX(Summary!$P$2:$P$201,MATCH($B432,Summary!$A$2:$A$201,0))</f>
        <v>2</v>
      </c>
      <c r="U432" s="2" t="n">
        <f aca="false">INDEX(Summary!$Q$2:$Q$201,MATCH($B432,Summary!$A$2:$A$201,0))</f>
        <v>12.32</v>
      </c>
      <c r="V432" s="2" t="n">
        <f aca="false">INDEX(Summary!$R$2:$R$201,MATCH($B432,Summary!$A$2:$A$201,0))</f>
        <v>20.66</v>
      </c>
      <c r="W432" s="0" t="str">
        <f aca="false">INDEX(Summary!$S$2:$S$201,MATCH($B432,Summary!$A$2:$A$201,0))</f>
        <v>Silver</v>
      </c>
      <c r="X432" s="2" t="n">
        <f aca="false">INDEX(Summary!$T$2:$T$201,MATCH($B432,Summary!$A$2:$A$201,0))</f>
        <v>50.39</v>
      </c>
      <c r="Y432" s="0" t="str">
        <f aca="false">INDEX('Reward Model'!$E$18:$E$37,MATCH($E432,'Reward Model'!$A$18:$A$37,0))</f>
        <v>Medium</v>
      </c>
      <c r="Z432" s="4" t="n">
        <f aca="false">ROUND(MIN(1,MAX('Reward Model'!$B$2,INDEX('Reward Model'!$C$12:$C$14,MATCH($K432,'Reward Model'!$A$12:$A$14,0))/$J432)),3)</f>
        <v>1</v>
      </c>
      <c r="AA432" s="2" t="n">
        <f aca="false">IF($I432="Correct",ROUND(INDEX('Reward Model'!$B$12:$B$14,MATCH($K432,'Reward Model'!$A$12:$A$14,0))*Z432,2),0)</f>
        <v>2</v>
      </c>
      <c r="AB432" s="2" t="n">
        <f aca="false">IF($I432="Correct",ROUND(INDEX('Reward Model'!$B$12:$B$14,MATCH($Y432,'Reward Model'!$A$12:$A$14,0))*Z432,2),0)</f>
        <v>2</v>
      </c>
    </row>
    <row r="433" customFormat="false" ht="15" hidden="false" customHeight="false" outlineLevel="0" collapsed="false">
      <c r="A433" s="0" t="s">
        <v>167</v>
      </c>
      <c r="B433" s="0" t="s">
        <v>168</v>
      </c>
      <c r="C433" s="0" t="s">
        <v>30</v>
      </c>
      <c r="D433" s="0" t="s">
        <v>31</v>
      </c>
      <c r="E433" s="0" t="n">
        <v>12</v>
      </c>
      <c r="F433" s="0" t="s">
        <v>64</v>
      </c>
      <c r="G433" s="0" t="s">
        <v>127</v>
      </c>
      <c r="H433" s="0" t="s">
        <v>65</v>
      </c>
      <c r="I433" s="0" t="s">
        <v>39</v>
      </c>
      <c r="J433" s="0" t="n">
        <v>2.24</v>
      </c>
      <c r="K433" s="0" t="s">
        <v>60</v>
      </c>
      <c r="L433" s="0" t="n">
        <f aca="false">INDEX(Summary!$F$2:$F$201,MATCH($B433,Summary!$A$2:$A$201,0))</f>
        <v>20</v>
      </c>
      <c r="M433" s="0" t="n">
        <f aca="false">INDEX(Summary!$I$2:$I$201,MATCH($B433,Summary!$A$2:$A$201,0))</f>
        <v>2</v>
      </c>
      <c r="N433" s="0" t="n">
        <f aca="false">INDEX(Summary!$J$2:$J$201,MATCH($B433,Summary!$A$2:$A$201,0))</f>
        <v>3</v>
      </c>
      <c r="O433" s="2" t="n">
        <f aca="false">INDEX(Summary!$K$2:$K$201,MATCH($B433,Summary!$A$2:$A$201,0))</f>
        <v>8.96</v>
      </c>
      <c r="P433" s="3" t="n">
        <f aca="false">INDEX(Summary!$L$2:$L$201,MATCH($B433,Summary!$A$2:$A$201,0))</f>
        <v>3</v>
      </c>
      <c r="Q433" s="3" t="n">
        <f aca="false">INDEX(Summary!$M$2:$M$201,MATCH($B433,Summary!$A$2:$A$201,0))</f>
        <v>3</v>
      </c>
      <c r="R433" s="2" t="n">
        <f aca="false">INDEX(Summary!$N$2:$N$201,MATCH($B433,Summary!$A$2:$A$201,0))</f>
        <v>11.01</v>
      </c>
      <c r="S433" s="3" t="n">
        <f aca="false">INDEX(Summary!$O$2:$O$201,MATCH($B433,Summary!$A$2:$A$201,0))</f>
        <v>7</v>
      </c>
      <c r="T433" s="3" t="n">
        <f aca="false">INDEX(Summary!$P$2:$P$201,MATCH($B433,Summary!$A$2:$A$201,0))</f>
        <v>2</v>
      </c>
      <c r="U433" s="2" t="n">
        <f aca="false">INDEX(Summary!$Q$2:$Q$201,MATCH($B433,Summary!$A$2:$A$201,0))</f>
        <v>12.32</v>
      </c>
      <c r="V433" s="2" t="n">
        <f aca="false">INDEX(Summary!$R$2:$R$201,MATCH($B433,Summary!$A$2:$A$201,0))</f>
        <v>20.66</v>
      </c>
      <c r="W433" s="0" t="str">
        <f aca="false">INDEX(Summary!$S$2:$S$201,MATCH($B433,Summary!$A$2:$A$201,0))</f>
        <v>Silver</v>
      </c>
      <c r="X433" s="2" t="n">
        <f aca="false">INDEX(Summary!$T$2:$T$201,MATCH($B433,Summary!$A$2:$A$201,0))</f>
        <v>50.39</v>
      </c>
      <c r="Y433" s="0" t="str">
        <f aca="false">INDEX('Reward Model'!$E$18:$E$37,MATCH($E433,'Reward Model'!$A$18:$A$37,0))</f>
        <v>Medium</v>
      </c>
      <c r="Z433" s="4" t="n">
        <f aca="false">ROUND(MIN(1,MAX('Reward Model'!$B$2,INDEX('Reward Model'!$C$12:$C$14,MATCH($K433,'Reward Model'!$A$12:$A$14,0))/$J433)),3)</f>
        <v>0.804</v>
      </c>
      <c r="AA433" s="2" t="n">
        <f aca="false">IF($I433="Correct",ROUND(INDEX('Reward Model'!$B$12:$B$14,MATCH($K433,'Reward Model'!$A$12:$A$14,0))*Z433,2),0)</f>
        <v>0</v>
      </c>
      <c r="AB433" s="2" t="n">
        <f aca="false">IF($I433="Correct",ROUND(INDEX('Reward Model'!$B$12:$B$14,MATCH($Y433,'Reward Model'!$A$12:$A$14,0))*Z433,2),0)</f>
        <v>0</v>
      </c>
    </row>
    <row r="434" customFormat="false" ht="15" hidden="false" customHeight="false" outlineLevel="0" collapsed="false">
      <c r="A434" s="0" t="s">
        <v>167</v>
      </c>
      <c r="B434" s="0" t="s">
        <v>168</v>
      </c>
      <c r="C434" s="0" t="s">
        <v>30</v>
      </c>
      <c r="D434" s="0" t="s">
        <v>31</v>
      </c>
      <c r="E434" s="0" t="n">
        <v>13</v>
      </c>
      <c r="F434" s="0" t="s">
        <v>66</v>
      </c>
      <c r="G434" s="0" t="s">
        <v>124</v>
      </c>
      <c r="H434" s="0" t="s">
        <v>67</v>
      </c>
      <c r="I434" s="0" t="s">
        <v>39</v>
      </c>
      <c r="J434" s="0" t="n">
        <v>2.13</v>
      </c>
      <c r="K434" s="0" t="s">
        <v>60</v>
      </c>
      <c r="L434" s="0" t="n">
        <f aca="false">INDEX(Summary!$F$2:$F$201,MATCH($B434,Summary!$A$2:$A$201,0))</f>
        <v>20</v>
      </c>
      <c r="M434" s="0" t="n">
        <f aca="false">INDEX(Summary!$I$2:$I$201,MATCH($B434,Summary!$A$2:$A$201,0))</f>
        <v>2</v>
      </c>
      <c r="N434" s="0" t="n">
        <f aca="false">INDEX(Summary!$J$2:$J$201,MATCH($B434,Summary!$A$2:$A$201,0))</f>
        <v>3</v>
      </c>
      <c r="O434" s="2" t="n">
        <f aca="false">INDEX(Summary!$K$2:$K$201,MATCH($B434,Summary!$A$2:$A$201,0))</f>
        <v>8.96</v>
      </c>
      <c r="P434" s="3" t="n">
        <f aca="false">INDEX(Summary!$L$2:$L$201,MATCH($B434,Summary!$A$2:$A$201,0))</f>
        <v>3</v>
      </c>
      <c r="Q434" s="3" t="n">
        <f aca="false">INDEX(Summary!$M$2:$M$201,MATCH($B434,Summary!$A$2:$A$201,0))</f>
        <v>3</v>
      </c>
      <c r="R434" s="2" t="n">
        <f aca="false">INDEX(Summary!$N$2:$N$201,MATCH($B434,Summary!$A$2:$A$201,0))</f>
        <v>11.01</v>
      </c>
      <c r="S434" s="3" t="n">
        <f aca="false">INDEX(Summary!$O$2:$O$201,MATCH($B434,Summary!$A$2:$A$201,0))</f>
        <v>7</v>
      </c>
      <c r="T434" s="3" t="n">
        <f aca="false">INDEX(Summary!$P$2:$P$201,MATCH($B434,Summary!$A$2:$A$201,0))</f>
        <v>2</v>
      </c>
      <c r="U434" s="2" t="n">
        <f aca="false">INDEX(Summary!$Q$2:$Q$201,MATCH($B434,Summary!$A$2:$A$201,0))</f>
        <v>12.32</v>
      </c>
      <c r="V434" s="2" t="n">
        <f aca="false">INDEX(Summary!$R$2:$R$201,MATCH($B434,Summary!$A$2:$A$201,0))</f>
        <v>20.66</v>
      </c>
      <c r="W434" s="0" t="str">
        <f aca="false">INDEX(Summary!$S$2:$S$201,MATCH($B434,Summary!$A$2:$A$201,0))</f>
        <v>Silver</v>
      </c>
      <c r="X434" s="2" t="n">
        <f aca="false">INDEX(Summary!$T$2:$T$201,MATCH($B434,Summary!$A$2:$A$201,0))</f>
        <v>50.39</v>
      </c>
      <c r="Y434" s="0" t="str">
        <f aca="false">INDEX('Reward Model'!$E$18:$E$37,MATCH($E434,'Reward Model'!$A$18:$A$37,0))</f>
        <v>Medium</v>
      </c>
      <c r="Z434" s="4" t="n">
        <f aca="false">ROUND(MIN(1,MAX('Reward Model'!$B$2,INDEX('Reward Model'!$C$12:$C$14,MATCH($K434,'Reward Model'!$A$12:$A$14,0))/$J434)),3)</f>
        <v>0.845</v>
      </c>
      <c r="AA434" s="2" t="n">
        <f aca="false">IF($I434="Correct",ROUND(INDEX('Reward Model'!$B$12:$B$14,MATCH($K434,'Reward Model'!$A$12:$A$14,0))*Z434,2),0)</f>
        <v>0</v>
      </c>
      <c r="AB434" s="2" t="n">
        <f aca="false">IF($I434="Correct",ROUND(INDEX('Reward Model'!$B$12:$B$14,MATCH($Y434,'Reward Model'!$A$12:$A$14,0))*Z434,2),0)</f>
        <v>0</v>
      </c>
    </row>
    <row r="435" customFormat="false" ht="15" hidden="false" customHeight="false" outlineLevel="0" collapsed="false">
      <c r="A435" s="0" t="s">
        <v>167</v>
      </c>
      <c r="B435" s="0" t="s">
        <v>168</v>
      </c>
      <c r="C435" s="0" t="s">
        <v>30</v>
      </c>
      <c r="D435" s="0" t="s">
        <v>31</v>
      </c>
      <c r="E435" s="0" t="n">
        <v>14</v>
      </c>
      <c r="F435" s="0" t="s">
        <v>68</v>
      </c>
      <c r="G435" s="0" t="s">
        <v>86</v>
      </c>
      <c r="H435" s="0" t="s">
        <v>51</v>
      </c>
      <c r="I435" s="0" t="s">
        <v>39</v>
      </c>
      <c r="J435" s="0" t="n">
        <v>1.83</v>
      </c>
      <c r="K435" s="0" t="s">
        <v>60</v>
      </c>
      <c r="L435" s="0" t="n">
        <f aca="false">INDEX(Summary!$F$2:$F$201,MATCH($B435,Summary!$A$2:$A$201,0))</f>
        <v>20</v>
      </c>
      <c r="M435" s="0" t="n">
        <f aca="false">INDEX(Summary!$I$2:$I$201,MATCH($B435,Summary!$A$2:$A$201,0))</f>
        <v>2</v>
      </c>
      <c r="N435" s="0" t="n">
        <f aca="false">INDEX(Summary!$J$2:$J$201,MATCH($B435,Summary!$A$2:$A$201,0))</f>
        <v>3</v>
      </c>
      <c r="O435" s="2" t="n">
        <f aca="false">INDEX(Summary!$K$2:$K$201,MATCH($B435,Summary!$A$2:$A$201,0))</f>
        <v>8.96</v>
      </c>
      <c r="P435" s="3" t="n">
        <f aca="false">INDEX(Summary!$L$2:$L$201,MATCH($B435,Summary!$A$2:$A$201,0))</f>
        <v>3</v>
      </c>
      <c r="Q435" s="3" t="n">
        <f aca="false">INDEX(Summary!$M$2:$M$201,MATCH($B435,Summary!$A$2:$A$201,0))</f>
        <v>3</v>
      </c>
      <c r="R435" s="2" t="n">
        <f aca="false">INDEX(Summary!$N$2:$N$201,MATCH($B435,Summary!$A$2:$A$201,0))</f>
        <v>11.01</v>
      </c>
      <c r="S435" s="3" t="n">
        <f aca="false">INDEX(Summary!$O$2:$O$201,MATCH($B435,Summary!$A$2:$A$201,0))</f>
        <v>7</v>
      </c>
      <c r="T435" s="3" t="n">
        <f aca="false">INDEX(Summary!$P$2:$P$201,MATCH($B435,Summary!$A$2:$A$201,0))</f>
        <v>2</v>
      </c>
      <c r="U435" s="2" t="n">
        <f aca="false">INDEX(Summary!$Q$2:$Q$201,MATCH($B435,Summary!$A$2:$A$201,0))</f>
        <v>12.32</v>
      </c>
      <c r="V435" s="2" t="n">
        <f aca="false">INDEX(Summary!$R$2:$R$201,MATCH($B435,Summary!$A$2:$A$201,0))</f>
        <v>20.66</v>
      </c>
      <c r="W435" s="0" t="str">
        <f aca="false">INDEX(Summary!$S$2:$S$201,MATCH($B435,Summary!$A$2:$A$201,0))</f>
        <v>Silver</v>
      </c>
      <c r="X435" s="2" t="n">
        <f aca="false">INDEX(Summary!$T$2:$T$201,MATCH($B435,Summary!$A$2:$A$201,0))</f>
        <v>50.39</v>
      </c>
      <c r="Y435" s="0" t="str">
        <f aca="false">INDEX('Reward Model'!$E$18:$E$37,MATCH($E435,'Reward Model'!$A$18:$A$37,0))</f>
        <v>Medium</v>
      </c>
      <c r="Z435" s="4" t="n">
        <f aca="false">ROUND(MIN(1,MAX('Reward Model'!$B$2,INDEX('Reward Model'!$C$12:$C$14,MATCH($K435,'Reward Model'!$A$12:$A$14,0))/$J435)),3)</f>
        <v>0.984</v>
      </c>
      <c r="AA435" s="2" t="n">
        <f aca="false">IF($I435="Correct",ROUND(INDEX('Reward Model'!$B$12:$B$14,MATCH($K435,'Reward Model'!$A$12:$A$14,0))*Z435,2),0)</f>
        <v>0</v>
      </c>
      <c r="AB435" s="2" t="n">
        <f aca="false">IF($I435="Correct",ROUND(INDEX('Reward Model'!$B$12:$B$14,MATCH($Y435,'Reward Model'!$A$12:$A$14,0))*Z435,2),0)</f>
        <v>0</v>
      </c>
    </row>
    <row r="436" customFormat="false" ht="15" hidden="false" customHeight="false" outlineLevel="0" collapsed="false">
      <c r="A436" s="0" t="s">
        <v>167</v>
      </c>
      <c r="B436" s="0" t="s">
        <v>168</v>
      </c>
      <c r="C436" s="0" t="s">
        <v>30</v>
      </c>
      <c r="D436" s="0" t="s">
        <v>31</v>
      </c>
      <c r="E436" s="0" t="n">
        <v>15</v>
      </c>
      <c r="F436" s="0" t="s">
        <v>69</v>
      </c>
      <c r="G436" s="0" t="s">
        <v>70</v>
      </c>
      <c r="H436" s="0" t="s">
        <v>70</v>
      </c>
      <c r="I436" s="0" t="s">
        <v>34</v>
      </c>
      <c r="J436" s="0" t="n">
        <v>1.47</v>
      </c>
      <c r="K436" s="0" t="s">
        <v>60</v>
      </c>
      <c r="L436" s="0" t="n">
        <f aca="false">INDEX(Summary!$F$2:$F$201,MATCH($B436,Summary!$A$2:$A$201,0))</f>
        <v>20</v>
      </c>
      <c r="M436" s="0" t="n">
        <f aca="false">INDEX(Summary!$I$2:$I$201,MATCH($B436,Summary!$A$2:$A$201,0))</f>
        <v>2</v>
      </c>
      <c r="N436" s="0" t="n">
        <f aca="false">INDEX(Summary!$J$2:$J$201,MATCH($B436,Summary!$A$2:$A$201,0))</f>
        <v>3</v>
      </c>
      <c r="O436" s="2" t="n">
        <f aca="false">INDEX(Summary!$K$2:$K$201,MATCH($B436,Summary!$A$2:$A$201,0))</f>
        <v>8.96</v>
      </c>
      <c r="P436" s="3" t="n">
        <f aca="false">INDEX(Summary!$L$2:$L$201,MATCH($B436,Summary!$A$2:$A$201,0))</f>
        <v>3</v>
      </c>
      <c r="Q436" s="3" t="n">
        <f aca="false">INDEX(Summary!$M$2:$M$201,MATCH($B436,Summary!$A$2:$A$201,0))</f>
        <v>3</v>
      </c>
      <c r="R436" s="2" t="n">
        <f aca="false">INDEX(Summary!$N$2:$N$201,MATCH($B436,Summary!$A$2:$A$201,0))</f>
        <v>11.01</v>
      </c>
      <c r="S436" s="3" t="n">
        <f aca="false">INDEX(Summary!$O$2:$O$201,MATCH($B436,Summary!$A$2:$A$201,0))</f>
        <v>7</v>
      </c>
      <c r="T436" s="3" t="n">
        <f aca="false">INDEX(Summary!$P$2:$P$201,MATCH($B436,Summary!$A$2:$A$201,0))</f>
        <v>2</v>
      </c>
      <c r="U436" s="2" t="n">
        <f aca="false">INDEX(Summary!$Q$2:$Q$201,MATCH($B436,Summary!$A$2:$A$201,0))</f>
        <v>12.32</v>
      </c>
      <c r="V436" s="2" t="n">
        <f aca="false">INDEX(Summary!$R$2:$R$201,MATCH($B436,Summary!$A$2:$A$201,0))</f>
        <v>20.66</v>
      </c>
      <c r="W436" s="0" t="str">
        <f aca="false">INDEX(Summary!$S$2:$S$201,MATCH($B436,Summary!$A$2:$A$201,0))</f>
        <v>Silver</v>
      </c>
      <c r="X436" s="2" t="n">
        <f aca="false">INDEX(Summary!$T$2:$T$201,MATCH($B436,Summary!$A$2:$A$201,0))</f>
        <v>50.39</v>
      </c>
      <c r="Y436" s="0" t="str">
        <f aca="false">INDEX('Reward Model'!$E$18:$E$37,MATCH($E436,'Reward Model'!$A$18:$A$37,0))</f>
        <v>Medium</v>
      </c>
      <c r="Z436" s="4" t="n">
        <f aca="false">ROUND(MIN(1,MAX('Reward Model'!$B$2,INDEX('Reward Model'!$C$12:$C$14,MATCH($K436,'Reward Model'!$A$12:$A$14,0))/$J436)),3)</f>
        <v>1</v>
      </c>
      <c r="AA436" s="2" t="n">
        <f aca="false">IF($I436="Correct",ROUND(INDEX('Reward Model'!$B$12:$B$14,MATCH($K436,'Reward Model'!$A$12:$A$14,0))*Z436,2),0)</f>
        <v>2</v>
      </c>
      <c r="AB436" s="2" t="n">
        <f aca="false">IF($I436="Correct",ROUND(INDEX('Reward Model'!$B$12:$B$14,MATCH($Y436,'Reward Model'!$A$12:$A$14,0))*Z436,2),0)</f>
        <v>2</v>
      </c>
    </row>
    <row r="437" customFormat="false" ht="15" hidden="false" customHeight="false" outlineLevel="0" collapsed="false">
      <c r="A437" s="0" t="s">
        <v>167</v>
      </c>
      <c r="B437" s="0" t="s">
        <v>168</v>
      </c>
      <c r="C437" s="0" t="s">
        <v>30</v>
      </c>
      <c r="D437" s="0" t="s">
        <v>31</v>
      </c>
      <c r="E437" s="0" t="n">
        <v>16</v>
      </c>
      <c r="F437" s="0" t="s">
        <v>71</v>
      </c>
      <c r="G437" s="0" t="s">
        <v>101</v>
      </c>
      <c r="H437" s="0" t="s">
        <v>72</v>
      </c>
      <c r="I437" s="0" t="s">
        <v>39</v>
      </c>
      <c r="J437" s="0" t="n">
        <v>2.3</v>
      </c>
      <c r="K437" s="0" t="s">
        <v>73</v>
      </c>
      <c r="L437" s="0" t="n">
        <f aca="false">INDEX(Summary!$F$2:$F$201,MATCH($B437,Summary!$A$2:$A$201,0))</f>
        <v>20</v>
      </c>
      <c r="M437" s="0" t="n">
        <f aca="false">INDEX(Summary!$I$2:$I$201,MATCH($B437,Summary!$A$2:$A$201,0))</f>
        <v>2</v>
      </c>
      <c r="N437" s="0" t="n">
        <f aca="false">INDEX(Summary!$J$2:$J$201,MATCH($B437,Summary!$A$2:$A$201,0))</f>
        <v>3</v>
      </c>
      <c r="O437" s="2" t="n">
        <f aca="false">INDEX(Summary!$K$2:$K$201,MATCH($B437,Summary!$A$2:$A$201,0))</f>
        <v>8.96</v>
      </c>
      <c r="P437" s="3" t="n">
        <f aca="false">INDEX(Summary!$L$2:$L$201,MATCH($B437,Summary!$A$2:$A$201,0))</f>
        <v>3</v>
      </c>
      <c r="Q437" s="3" t="n">
        <f aca="false">INDEX(Summary!$M$2:$M$201,MATCH($B437,Summary!$A$2:$A$201,0))</f>
        <v>3</v>
      </c>
      <c r="R437" s="2" t="n">
        <f aca="false">INDEX(Summary!$N$2:$N$201,MATCH($B437,Summary!$A$2:$A$201,0))</f>
        <v>11.01</v>
      </c>
      <c r="S437" s="3" t="n">
        <f aca="false">INDEX(Summary!$O$2:$O$201,MATCH($B437,Summary!$A$2:$A$201,0))</f>
        <v>7</v>
      </c>
      <c r="T437" s="3" t="n">
        <f aca="false">INDEX(Summary!$P$2:$P$201,MATCH($B437,Summary!$A$2:$A$201,0))</f>
        <v>2</v>
      </c>
      <c r="U437" s="2" t="n">
        <f aca="false">INDEX(Summary!$Q$2:$Q$201,MATCH($B437,Summary!$A$2:$A$201,0))</f>
        <v>12.32</v>
      </c>
      <c r="V437" s="2" t="n">
        <f aca="false">INDEX(Summary!$R$2:$R$201,MATCH($B437,Summary!$A$2:$A$201,0))</f>
        <v>20.66</v>
      </c>
      <c r="W437" s="0" t="str">
        <f aca="false">INDEX(Summary!$S$2:$S$201,MATCH($B437,Summary!$A$2:$A$201,0))</f>
        <v>Silver</v>
      </c>
      <c r="X437" s="2" t="n">
        <f aca="false">INDEX(Summary!$T$2:$T$201,MATCH($B437,Summary!$A$2:$A$201,0))</f>
        <v>50.39</v>
      </c>
      <c r="Y437" s="0" t="str">
        <f aca="false">INDEX('Reward Model'!$E$18:$E$37,MATCH($E437,'Reward Model'!$A$18:$A$37,0))</f>
        <v>High</v>
      </c>
      <c r="Z437" s="4" t="n">
        <f aca="false">ROUND(MIN(1,MAX('Reward Model'!$B$2,INDEX('Reward Model'!$C$12:$C$14,MATCH($K437,'Reward Model'!$A$12:$A$14,0))/$J437)),3)</f>
        <v>0.87</v>
      </c>
      <c r="AA437" s="2" t="n">
        <f aca="false">IF($I437="Correct",ROUND(INDEX('Reward Model'!$B$12:$B$14,MATCH($K437,'Reward Model'!$A$12:$A$14,0))*Z437,2),0)</f>
        <v>0</v>
      </c>
      <c r="AB437" s="2" t="n">
        <f aca="false">IF($I437="Correct",ROUND(INDEX('Reward Model'!$B$12:$B$14,MATCH($Y437,'Reward Model'!$A$12:$A$14,0))*Z437,2),0)</f>
        <v>0</v>
      </c>
    </row>
    <row r="438" customFormat="false" ht="15" hidden="false" customHeight="false" outlineLevel="0" collapsed="false">
      <c r="A438" s="0" t="s">
        <v>167</v>
      </c>
      <c r="B438" s="0" t="s">
        <v>168</v>
      </c>
      <c r="C438" s="0" t="s">
        <v>30</v>
      </c>
      <c r="D438" s="0" t="s">
        <v>31</v>
      </c>
      <c r="E438" s="0" t="n">
        <v>17</v>
      </c>
      <c r="F438" s="0" t="s">
        <v>74</v>
      </c>
      <c r="G438" s="0" t="s">
        <v>113</v>
      </c>
      <c r="H438" s="0" t="s">
        <v>75</v>
      </c>
      <c r="I438" s="0" t="s">
        <v>39</v>
      </c>
      <c r="J438" s="0" t="n">
        <v>1.52</v>
      </c>
      <c r="K438" s="0" t="s">
        <v>73</v>
      </c>
      <c r="L438" s="0" t="n">
        <f aca="false">INDEX(Summary!$F$2:$F$201,MATCH($B438,Summary!$A$2:$A$201,0))</f>
        <v>20</v>
      </c>
      <c r="M438" s="0" t="n">
        <f aca="false">INDEX(Summary!$I$2:$I$201,MATCH($B438,Summary!$A$2:$A$201,0))</f>
        <v>2</v>
      </c>
      <c r="N438" s="0" t="n">
        <f aca="false">INDEX(Summary!$J$2:$J$201,MATCH($B438,Summary!$A$2:$A$201,0))</f>
        <v>3</v>
      </c>
      <c r="O438" s="2" t="n">
        <f aca="false">INDEX(Summary!$K$2:$K$201,MATCH($B438,Summary!$A$2:$A$201,0))</f>
        <v>8.96</v>
      </c>
      <c r="P438" s="3" t="n">
        <f aca="false">INDEX(Summary!$L$2:$L$201,MATCH($B438,Summary!$A$2:$A$201,0))</f>
        <v>3</v>
      </c>
      <c r="Q438" s="3" t="n">
        <f aca="false">INDEX(Summary!$M$2:$M$201,MATCH($B438,Summary!$A$2:$A$201,0))</f>
        <v>3</v>
      </c>
      <c r="R438" s="2" t="n">
        <f aca="false">INDEX(Summary!$N$2:$N$201,MATCH($B438,Summary!$A$2:$A$201,0))</f>
        <v>11.01</v>
      </c>
      <c r="S438" s="3" t="n">
        <f aca="false">INDEX(Summary!$O$2:$O$201,MATCH($B438,Summary!$A$2:$A$201,0))</f>
        <v>7</v>
      </c>
      <c r="T438" s="3" t="n">
        <f aca="false">INDEX(Summary!$P$2:$P$201,MATCH($B438,Summary!$A$2:$A$201,0))</f>
        <v>2</v>
      </c>
      <c r="U438" s="2" t="n">
        <f aca="false">INDEX(Summary!$Q$2:$Q$201,MATCH($B438,Summary!$A$2:$A$201,0))</f>
        <v>12.32</v>
      </c>
      <c r="V438" s="2" t="n">
        <f aca="false">INDEX(Summary!$R$2:$R$201,MATCH($B438,Summary!$A$2:$A$201,0))</f>
        <v>20.66</v>
      </c>
      <c r="W438" s="0" t="str">
        <f aca="false">INDEX(Summary!$S$2:$S$201,MATCH($B438,Summary!$A$2:$A$201,0))</f>
        <v>Silver</v>
      </c>
      <c r="X438" s="2" t="n">
        <f aca="false">INDEX(Summary!$T$2:$T$201,MATCH($B438,Summary!$A$2:$A$201,0))</f>
        <v>50.39</v>
      </c>
      <c r="Y438" s="0" t="str">
        <f aca="false">INDEX('Reward Model'!$E$18:$E$37,MATCH($E438,'Reward Model'!$A$18:$A$37,0))</f>
        <v>High</v>
      </c>
      <c r="Z438" s="4" t="n">
        <f aca="false">ROUND(MIN(1,MAX('Reward Model'!$B$2,INDEX('Reward Model'!$C$12:$C$14,MATCH($K438,'Reward Model'!$A$12:$A$14,0))/$J438)),3)</f>
        <v>1</v>
      </c>
      <c r="AA438" s="2" t="n">
        <f aca="false">IF($I438="Correct",ROUND(INDEX('Reward Model'!$B$12:$B$14,MATCH($K438,'Reward Model'!$A$12:$A$14,0))*Z438,2),0)</f>
        <v>0</v>
      </c>
      <c r="AB438" s="2" t="n">
        <f aca="false">IF($I438="Correct",ROUND(INDEX('Reward Model'!$B$12:$B$14,MATCH($Y438,'Reward Model'!$A$12:$A$14,0))*Z438,2),0)</f>
        <v>0</v>
      </c>
    </row>
    <row r="439" customFormat="false" ht="15" hidden="false" customHeight="false" outlineLevel="0" collapsed="false">
      <c r="A439" s="0" t="s">
        <v>167</v>
      </c>
      <c r="B439" s="0" t="s">
        <v>168</v>
      </c>
      <c r="C439" s="0" t="s">
        <v>30</v>
      </c>
      <c r="D439" s="0" t="s">
        <v>31</v>
      </c>
      <c r="E439" s="0" t="n">
        <v>18</v>
      </c>
      <c r="F439" s="0" t="s">
        <v>76</v>
      </c>
      <c r="G439" s="0" t="s">
        <v>77</v>
      </c>
      <c r="H439" s="0" t="s">
        <v>77</v>
      </c>
      <c r="I439" s="0" t="s">
        <v>34</v>
      </c>
      <c r="J439" s="0" t="n">
        <v>2.51</v>
      </c>
      <c r="K439" s="0" t="s">
        <v>73</v>
      </c>
      <c r="L439" s="0" t="n">
        <f aca="false">INDEX(Summary!$F$2:$F$201,MATCH($B439,Summary!$A$2:$A$201,0))</f>
        <v>20</v>
      </c>
      <c r="M439" s="0" t="n">
        <f aca="false">INDEX(Summary!$I$2:$I$201,MATCH($B439,Summary!$A$2:$A$201,0))</f>
        <v>2</v>
      </c>
      <c r="N439" s="0" t="n">
        <f aca="false">INDEX(Summary!$J$2:$J$201,MATCH($B439,Summary!$A$2:$A$201,0))</f>
        <v>3</v>
      </c>
      <c r="O439" s="2" t="n">
        <f aca="false">INDEX(Summary!$K$2:$K$201,MATCH($B439,Summary!$A$2:$A$201,0))</f>
        <v>8.96</v>
      </c>
      <c r="P439" s="3" t="n">
        <f aca="false">INDEX(Summary!$L$2:$L$201,MATCH($B439,Summary!$A$2:$A$201,0))</f>
        <v>3</v>
      </c>
      <c r="Q439" s="3" t="n">
        <f aca="false">INDEX(Summary!$M$2:$M$201,MATCH($B439,Summary!$A$2:$A$201,0))</f>
        <v>3</v>
      </c>
      <c r="R439" s="2" t="n">
        <f aca="false">INDEX(Summary!$N$2:$N$201,MATCH($B439,Summary!$A$2:$A$201,0))</f>
        <v>11.01</v>
      </c>
      <c r="S439" s="3" t="n">
        <f aca="false">INDEX(Summary!$O$2:$O$201,MATCH($B439,Summary!$A$2:$A$201,0))</f>
        <v>7</v>
      </c>
      <c r="T439" s="3" t="n">
        <f aca="false">INDEX(Summary!$P$2:$P$201,MATCH($B439,Summary!$A$2:$A$201,0))</f>
        <v>2</v>
      </c>
      <c r="U439" s="2" t="n">
        <f aca="false">INDEX(Summary!$Q$2:$Q$201,MATCH($B439,Summary!$A$2:$A$201,0))</f>
        <v>12.32</v>
      </c>
      <c r="V439" s="2" t="n">
        <f aca="false">INDEX(Summary!$R$2:$R$201,MATCH($B439,Summary!$A$2:$A$201,0))</f>
        <v>20.66</v>
      </c>
      <c r="W439" s="0" t="str">
        <f aca="false">INDEX(Summary!$S$2:$S$201,MATCH($B439,Summary!$A$2:$A$201,0))</f>
        <v>Silver</v>
      </c>
      <c r="X439" s="2" t="n">
        <f aca="false">INDEX(Summary!$T$2:$T$201,MATCH($B439,Summary!$A$2:$A$201,0))</f>
        <v>50.39</v>
      </c>
      <c r="Y439" s="0" t="str">
        <f aca="false">INDEX('Reward Model'!$E$18:$E$37,MATCH($E439,'Reward Model'!$A$18:$A$37,0))</f>
        <v>High</v>
      </c>
      <c r="Z439" s="4" t="n">
        <f aca="false">ROUND(MIN(1,MAX('Reward Model'!$B$2,INDEX('Reward Model'!$C$12:$C$14,MATCH($K439,'Reward Model'!$A$12:$A$14,0))/$J439)),3)</f>
        <v>0.797</v>
      </c>
      <c r="AA439" s="2" t="n">
        <f aca="false">IF($I439="Correct",ROUND(INDEX('Reward Model'!$B$12:$B$14,MATCH($K439,'Reward Model'!$A$12:$A$14,0))*Z439,2),0)</f>
        <v>2.39</v>
      </c>
      <c r="AB439" s="2" t="n">
        <f aca="false">IF($I439="Correct",ROUND(INDEX('Reward Model'!$B$12:$B$14,MATCH($Y439,'Reward Model'!$A$12:$A$14,0))*Z439,2),0)</f>
        <v>2.39</v>
      </c>
    </row>
    <row r="440" customFormat="false" ht="15" hidden="false" customHeight="false" outlineLevel="0" collapsed="false">
      <c r="A440" s="0" t="s">
        <v>167</v>
      </c>
      <c r="B440" s="0" t="s">
        <v>168</v>
      </c>
      <c r="C440" s="0" t="s">
        <v>30</v>
      </c>
      <c r="D440" s="0" t="s">
        <v>31</v>
      </c>
      <c r="E440" s="0" t="n">
        <v>19</v>
      </c>
      <c r="F440" s="0" t="s">
        <v>78</v>
      </c>
      <c r="G440" s="0" t="s">
        <v>80</v>
      </c>
      <c r="H440" s="0" t="s">
        <v>80</v>
      </c>
      <c r="I440" s="0" t="s">
        <v>34</v>
      </c>
      <c r="J440" s="0" t="n">
        <v>1.31</v>
      </c>
      <c r="K440" s="0" t="s">
        <v>73</v>
      </c>
      <c r="L440" s="0" t="n">
        <f aca="false">INDEX(Summary!$F$2:$F$201,MATCH($B440,Summary!$A$2:$A$201,0))</f>
        <v>20</v>
      </c>
      <c r="M440" s="0" t="n">
        <f aca="false">INDEX(Summary!$I$2:$I$201,MATCH($B440,Summary!$A$2:$A$201,0))</f>
        <v>2</v>
      </c>
      <c r="N440" s="0" t="n">
        <f aca="false">INDEX(Summary!$J$2:$J$201,MATCH($B440,Summary!$A$2:$A$201,0))</f>
        <v>3</v>
      </c>
      <c r="O440" s="2" t="n">
        <f aca="false">INDEX(Summary!$K$2:$K$201,MATCH($B440,Summary!$A$2:$A$201,0))</f>
        <v>8.96</v>
      </c>
      <c r="P440" s="3" t="n">
        <f aca="false">INDEX(Summary!$L$2:$L$201,MATCH($B440,Summary!$A$2:$A$201,0))</f>
        <v>3</v>
      </c>
      <c r="Q440" s="3" t="n">
        <f aca="false">INDEX(Summary!$M$2:$M$201,MATCH($B440,Summary!$A$2:$A$201,0))</f>
        <v>3</v>
      </c>
      <c r="R440" s="2" t="n">
        <f aca="false">INDEX(Summary!$N$2:$N$201,MATCH($B440,Summary!$A$2:$A$201,0))</f>
        <v>11.01</v>
      </c>
      <c r="S440" s="3" t="n">
        <f aca="false">INDEX(Summary!$O$2:$O$201,MATCH($B440,Summary!$A$2:$A$201,0))</f>
        <v>7</v>
      </c>
      <c r="T440" s="3" t="n">
        <f aca="false">INDEX(Summary!$P$2:$P$201,MATCH($B440,Summary!$A$2:$A$201,0))</f>
        <v>2</v>
      </c>
      <c r="U440" s="2" t="n">
        <f aca="false">INDEX(Summary!$Q$2:$Q$201,MATCH($B440,Summary!$A$2:$A$201,0))</f>
        <v>12.32</v>
      </c>
      <c r="V440" s="2" t="n">
        <f aca="false">INDEX(Summary!$R$2:$R$201,MATCH($B440,Summary!$A$2:$A$201,0))</f>
        <v>20.66</v>
      </c>
      <c r="W440" s="0" t="str">
        <f aca="false">INDEX(Summary!$S$2:$S$201,MATCH($B440,Summary!$A$2:$A$201,0))</f>
        <v>Silver</v>
      </c>
      <c r="X440" s="2" t="n">
        <f aca="false">INDEX(Summary!$T$2:$T$201,MATCH($B440,Summary!$A$2:$A$201,0))</f>
        <v>50.39</v>
      </c>
      <c r="Y440" s="0" t="str">
        <f aca="false">INDEX('Reward Model'!$E$18:$E$37,MATCH($E440,'Reward Model'!$A$18:$A$37,0))</f>
        <v>High</v>
      </c>
      <c r="Z440" s="4" t="n">
        <f aca="false">ROUND(MIN(1,MAX('Reward Model'!$B$2,INDEX('Reward Model'!$C$12:$C$14,MATCH($K440,'Reward Model'!$A$12:$A$14,0))/$J440)),3)</f>
        <v>1</v>
      </c>
      <c r="AA440" s="2" t="n">
        <f aca="false">IF($I440="Correct",ROUND(INDEX('Reward Model'!$B$12:$B$14,MATCH($K440,'Reward Model'!$A$12:$A$14,0))*Z440,2),0)</f>
        <v>3</v>
      </c>
      <c r="AB440" s="2" t="n">
        <f aca="false">IF($I440="Correct",ROUND(INDEX('Reward Model'!$B$12:$B$14,MATCH($Y440,'Reward Model'!$A$12:$A$14,0))*Z440,2),0)</f>
        <v>3</v>
      </c>
    </row>
    <row r="441" customFormat="false" ht="15" hidden="false" customHeight="false" outlineLevel="0" collapsed="false">
      <c r="A441" s="0" t="s">
        <v>167</v>
      </c>
      <c r="B441" s="0" t="s">
        <v>168</v>
      </c>
      <c r="C441" s="0" t="s">
        <v>30</v>
      </c>
      <c r="D441" s="0" t="s">
        <v>31</v>
      </c>
      <c r="E441" s="0" t="n">
        <v>20</v>
      </c>
      <c r="F441" s="0" t="s">
        <v>81</v>
      </c>
      <c r="G441" s="0" t="s">
        <v>166</v>
      </c>
      <c r="H441" s="0" t="s">
        <v>83</v>
      </c>
      <c r="I441" s="0" t="s">
        <v>39</v>
      </c>
      <c r="J441" s="0" t="n">
        <v>1.32</v>
      </c>
      <c r="K441" s="0" t="s">
        <v>73</v>
      </c>
      <c r="L441" s="0" t="n">
        <f aca="false">INDEX(Summary!$F$2:$F$201,MATCH($B441,Summary!$A$2:$A$201,0))</f>
        <v>20</v>
      </c>
      <c r="M441" s="0" t="n">
        <f aca="false">INDEX(Summary!$I$2:$I$201,MATCH($B441,Summary!$A$2:$A$201,0))</f>
        <v>2</v>
      </c>
      <c r="N441" s="0" t="n">
        <f aca="false">INDEX(Summary!$J$2:$J$201,MATCH($B441,Summary!$A$2:$A$201,0))</f>
        <v>3</v>
      </c>
      <c r="O441" s="2" t="n">
        <f aca="false">INDEX(Summary!$K$2:$K$201,MATCH($B441,Summary!$A$2:$A$201,0))</f>
        <v>8.96</v>
      </c>
      <c r="P441" s="3" t="n">
        <f aca="false">INDEX(Summary!$L$2:$L$201,MATCH($B441,Summary!$A$2:$A$201,0))</f>
        <v>3</v>
      </c>
      <c r="Q441" s="3" t="n">
        <f aca="false">INDEX(Summary!$M$2:$M$201,MATCH($B441,Summary!$A$2:$A$201,0))</f>
        <v>3</v>
      </c>
      <c r="R441" s="2" t="n">
        <f aca="false">INDEX(Summary!$N$2:$N$201,MATCH($B441,Summary!$A$2:$A$201,0))</f>
        <v>11.01</v>
      </c>
      <c r="S441" s="3" t="n">
        <f aca="false">INDEX(Summary!$O$2:$O$201,MATCH($B441,Summary!$A$2:$A$201,0))</f>
        <v>7</v>
      </c>
      <c r="T441" s="3" t="n">
        <f aca="false">INDEX(Summary!$P$2:$P$201,MATCH($B441,Summary!$A$2:$A$201,0))</f>
        <v>2</v>
      </c>
      <c r="U441" s="2" t="n">
        <f aca="false">INDEX(Summary!$Q$2:$Q$201,MATCH($B441,Summary!$A$2:$A$201,0))</f>
        <v>12.32</v>
      </c>
      <c r="V441" s="2" t="n">
        <f aca="false">INDEX(Summary!$R$2:$R$201,MATCH($B441,Summary!$A$2:$A$201,0))</f>
        <v>20.66</v>
      </c>
      <c r="W441" s="0" t="str">
        <f aca="false">INDEX(Summary!$S$2:$S$201,MATCH($B441,Summary!$A$2:$A$201,0))</f>
        <v>Silver</v>
      </c>
      <c r="X441" s="2" t="n">
        <f aca="false">INDEX(Summary!$T$2:$T$201,MATCH($B441,Summary!$A$2:$A$201,0))</f>
        <v>50.39</v>
      </c>
      <c r="Y441" s="0" t="str">
        <f aca="false">INDEX('Reward Model'!$E$18:$E$37,MATCH($E441,'Reward Model'!$A$18:$A$37,0))</f>
        <v>High</v>
      </c>
      <c r="Z441" s="4" t="n">
        <f aca="false">ROUND(MIN(1,MAX('Reward Model'!$B$2,INDEX('Reward Model'!$C$12:$C$14,MATCH($K441,'Reward Model'!$A$12:$A$14,0))/$J441)),3)</f>
        <v>1</v>
      </c>
      <c r="AA441" s="2" t="n">
        <f aca="false">IF($I441="Correct",ROUND(INDEX('Reward Model'!$B$12:$B$14,MATCH($K441,'Reward Model'!$A$12:$A$14,0))*Z441,2),0)</f>
        <v>0</v>
      </c>
      <c r="AB441" s="2" t="n">
        <f aca="false">IF($I441="Correct",ROUND(INDEX('Reward Model'!$B$12:$B$14,MATCH($Y441,'Reward Model'!$A$12:$A$14,0))*Z441,2),0)</f>
        <v>0</v>
      </c>
    </row>
    <row r="442" customFormat="false" ht="15" hidden="false" customHeight="false" outlineLevel="0" collapsed="false">
      <c r="A442" s="0" t="s">
        <v>170</v>
      </c>
      <c r="B442" s="0" t="s">
        <v>171</v>
      </c>
      <c r="C442" s="0" t="s">
        <v>30</v>
      </c>
      <c r="D442" s="0" t="s">
        <v>31</v>
      </c>
      <c r="E442" s="0" t="n">
        <v>1</v>
      </c>
      <c r="F442" s="0" t="s">
        <v>32</v>
      </c>
      <c r="G442" s="0" t="s">
        <v>33</v>
      </c>
      <c r="H442" s="0" t="s">
        <v>33</v>
      </c>
      <c r="I442" s="0" t="s">
        <v>34</v>
      </c>
      <c r="J442" s="0" t="n">
        <v>1.86</v>
      </c>
      <c r="K442" s="0" t="s">
        <v>35</v>
      </c>
      <c r="L442" s="0" t="n">
        <f aca="false">INDEX(Summary!$F$2:$F$201,MATCH($B442,Summary!$A$2:$A$201,0))</f>
        <v>20</v>
      </c>
      <c r="M442" s="0" t="n">
        <f aca="false">INDEX(Summary!$I$2:$I$201,MATCH($B442,Summary!$A$2:$A$201,0))</f>
        <v>3</v>
      </c>
      <c r="N442" s="0" t="n">
        <f aca="false">INDEX(Summary!$J$2:$J$201,MATCH($B442,Summary!$A$2:$A$201,0))</f>
        <v>2</v>
      </c>
      <c r="O442" s="2" t="n">
        <f aca="false">INDEX(Summary!$K$2:$K$201,MATCH($B442,Summary!$A$2:$A$201,0))</f>
        <v>9.17</v>
      </c>
      <c r="P442" s="3" t="n">
        <f aca="false">INDEX(Summary!$L$2:$L$201,MATCH($B442,Summary!$A$2:$A$201,0))</f>
        <v>3</v>
      </c>
      <c r="Q442" s="3" t="n">
        <f aca="false">INDEX(Summary!$M$2:$M$201,MATCH($B442,Summary!$A$2:$A$201,0))</f>
        <v>3</v>
      </c>
      <c r="R442" s="2" t="n">
        <f aca="false">INDEX(Summary!$N$2:$N$201,MATCH($B442,Summary!$A$2:$A$201,0))</f>
        <v>10.64</v>
      </c>
      <c r="S442" s="3" t="n">
        <f aca="false">INDEX(Summary!$O$2:$O$201,MATCH($B442,Summary!$A$2:$A$201,0))</f>
        <v>8</v>
      </c>
      <c r="T442" s="3" t="n">
        <f aca="false">INDEX(Summary!$P$2:$P$201,MATCH($B442,Summary!$A$2:$A$201,0))</f>
        <v>1</v>
      </c>
      <c r="U442" s="2" t="n">
        <f aca="false">INDEX(Summary!$Q$2:$Q$201,MATCH($B442,Summary!$A$2:$A$201,0))</f>
        <v>13.07</v>
      </c>
      <c r="V442" s="2" t="n">
        <f aca="false">INDEX(Summary!$R$2:$R$201,MATCH($B442,Summary!$A$2:$A$201,0))</f>
        <v>26.58</v>
      </c>
      <c r="W442" s="0" t="str">
        <f aca="false">INDEX(Summary!$S$2:$S$201,MATCH($B442,Summary!$A$2:$A$201,0))</f>
        <v>Silver</v>
      </c>
      <c r="X442" s="2" t="n">
        <f aca="false">INDEX(Summary!$T$2:$T$201,MATCH($B442,Summary!$A$2:$A$201,0))</f>
        <v>64.83</v>
      </c>
      <c r="Y442" s="0" t="str">
        <f aca="false">INDEX('Reward Model'!$E$18:$E$37,MATCH($E442,'Reward Model'!$A$18:$A$37,0))</f>
        <v>Medium</v>
      </c>
      <c r="Z442" s="4" t="n">
        <f aca="false">ROUND(MIN(1,MAX('Reward Model'!$B$2,INDEX('Reward Model'!$C$12:$C$14,MATCH($K442,'Reward Model'!$A$12:$A$14,0))/$J442)),3)</f>
        <v>0.806</v>
      </c>
      <c r="AA442" s="2" t="n">
        <f aca="false">IF($I442="Correct",ROUND(INDEX('Reward Model'!$B$12:$B$14,MATCH($K442,'Reward Model'!$A$12:$A$14,0))*Z442,2),0)</f>
        <v>0.81</v>
      </c>
      <c r="AB442" s="2" t="n">
        <f aca="false">IF($I442="Correct",ROUND(INDEX('Reward Model'!$B$12:$B$14,MATCH($Y442,'Reward Model'!$A$12:$A$14,0))*Z442,2),0)</f>
        <v>1.61</v>
      </c>
    </row>
    <row r="443" customFormat="false" ht="15" hidden="false" customHeight="false" outlineLevel="0" collapsed="false">
      <c r="A443" s="0" t="s">
        <v>170</v>
      </c>
      <c r="B443" s="0" t="s">
        <v>171</v>
      </c>
      <c r="C443" s="0" t="s">
        <v>30</v>
      </c>
      <c r="D443" s="0" t="s">
        <v>31</v>
      </c>
      <c r="E443" s="0" t="n">
        <v>2</v>
      </c>
      <c r="F443" s="0" t="s">
        <v>36</v>
      </c>
      <c r="G443" s="0" t="s">
        <v>94</v>
      </c>
      <c r="H443" s="0" t="s">
        <v>38</v>
      </c>
      <c r="I443" s="0" t="s">
        <v>39</v>
      </c>
      <c r="J443" s="0" t="n">
        <v>0.9</v>
      </c>
      <c r="K443" s="0" t="s">
        <v>35</v>
      </c>
      <c r="L443" s="0" t="n">
        <f aca="false">INDEX(Summary!$F$2:$F$201,MATCH($B443,Summary!$A$2:$A$201,0))</f>
        <v>20</v>
      </c>
      <c r="M443" s="0" t="n">
        <f aca="false">INDEX(Summary!$I$2:$I$201,MATCH($B443,Summary!$A$2:$A$201,0))</f>
        <v>3</v>
      </c>
      <c r="N443" s="0" t="n">
        <f aca="false">INDEX(Summary!$J$2:$J$201,MATCH($B443,Summary!$A$2:$A$201,0))</f>
        <v>2</v>
      </c>
      <c r="O443" s="2" t="n">
        <f aca="false">INDEX(Summary!$K$2:$K$201,MATCH($B443,Summary!$A$2:$A$201,0))</f>
        <v>9.17</v>
      </c>
      <c r="P443" s="3" t="n">
        <f aca="false">INDEX(Summary!$L$2:$L$201,MATCH($B443,Summary!$A$2:$A$201,0))</f>
        <v>3</v>
      </c>
      <c r="Q443" s="3" t="n">
        <f aca="false">INDEX(Summary!$M$2:$M$201,MATCH($B443,Summary!$A$2:$A$201,0))</f>
        <v>3</v>
      </c>
      <c r="R443" s="2" t="n">
        <f aca="false">INDEX(Summary!$N$2:$N$201,MATCH($B443,Summary!$A$2:$A$201,0))</f>
        <v>10.64</v>
      </c>
      <c r="S443" s="3" t="n">
        <f aca="false">INDEX(Summary!$O$2:$O$201,MATCH($B443,Summary!$A$2:$A$201,0))</f>
        <v>8</v>
      </c>
      <c r="T443" s="3" t="n">
        <f aca="false">INDEX(Summary!$P$2:$P$201,MATCH($B443,Summary!$A$2:$A$201,0))</f>
        <v>1</v>
      </c>
      <c r="U443" s="2" t="n">
        <f aca="false">INDEX(Summary!$Q$2:$Q$201,MATCH($B443,Summary!$A$2:$A$201,0))</f>
        <v>13.07</v>
      </c>
      <c r="V443" s="2" t="n">
        <f aca="false">INDEX(Summary!$R$2:$R$201,MATCH($B443,Summary!$A$2:$A$201,0))</f>
        <v>26.58</v>
      </c>
      <c r="W443" s="0" t="str">
        <f aca="false">INDEX(Summary!$S$2:$S$201,MATCH($B443,Summary!$A$2:$A$201,0))</f>
        <v>Silver</v>
      </c>
      <c r="X443" s="2" t="n">
        <f aca="false">INDEX(Summary!$T$2:$T$201,MATCH($B443,Summary!$A$2:$A$201,0))</f>
        <v>64.83</v>
      </c>
      <c r="Y443" s="0" t="str">
        <f aca="false">INDEX('Reward Model'!$E$18:$E$37,MATCH($E443,'Reward Model'!$A$18:$A$37,0))</f>
        <v>Low</v>
      </c>
      <c r="Z443" s="4" t="n">
        <f aca="false">ROUND(MIN(1,MAX('Reward Model'!$B$2,INDEX('Reward Model'!$C$12:$C$14,MATCH($K443,'Reward Model'!$A$12:$A$14,0))/$J443)),3)</f>
        <v>1</v>
      </c>
      <c r="AA443" s="2" t="n">
        <f aca="false">IF($I443="Correct",ROUND(INDEX('Reward Model'!$B$12:$B$14,MATCH($K443,'Reward Model'!$A$12:$A$14,0))*Z443,2),0)</f>
        <v>0</v>
      </c>
      <c r="AB443" s="2" t="n">
        <f aca="false">IF($I443="Correct",ROUND(INDEX('Reward Model'!$B$12:$B$14,MATCH($Y443,'Reward Model'!$A$12:$A$14,0))*Z443,2),0)</f>
        <v>0</v>
      </c>
    </row>
    <row r="444" customFormat="false" ht="15" hidden="false" customHeight="false" outlineLevel="0" collapsed="false">
      <c r="A444" s="0" t="s">
        <v>170</v>
      </c>
      <c r="B444" s="0" t="s">
        <v>171</v>
      </c>
      <c r="C444" s="0" t="s">
        <v>30</v>
      </c>
      <c r="D444" s="0" t="s">
        <v>31</v>
      </c>
      <c r="E444" s="0" t="n">
        <v>3</v>
      </c>
      <c r="F444" s="0" t="s">
        <v>40</v>
      </c>
      <c r="G444" s="0" t="s">
        <v>42</v>
      </c>
      <c r="H444" s="0" t="s">
        <v>42</v>
      </c>
      <c r="I444" s="0" t="s">
        <v>34</v>
      </c>
      <c r="J444" s="0" t="n">
        <v>1.12</v>
      </c>
      <c r="K444" s="0" t="s">
        <v>35</v>
      </c>
      <c r="L444" s="0" t="n">
        <f aca="false">INDEX(Summary!$F$2:$F$201,MATCH($B444,Summary!$A$2:$A$201,0))</f>
        <v>20</v>
      </c>
      <c r="M444" s="0" t="n">
        <f aca="false">INDEX(Summary!$I$2:$I$201,MATCH($B444,Summary!$A$2:$A$201,0))</f>
        <v>3</v>
      </c>
      <c r="N444" s="0" t="n">
        <f aca="false">INDEX(Summary!$J$2:$J$201,MATCH($B444,Summary!$A$2:$A$201,0))</f>
        <v>2</v>
      </c>
      <c r="O444" s="2" t="n">
        <f aca="false">INDEX(Summary!$K$2:$K$201,MATCH($B444,Summary!$A$2:$A$201,0))</f>
        <v>9.17</v>
      </c>
      <c r="P444" s="3" t="n">
        <f aca="false">INDEX(Summary!$L$2:$L$201,MATCH($B444,Summary!$A$2:$A$201,0))</f>
        <v>3</v>
      </c>
      <c r="Q444" s="3" t="n">
        <f aca="false">INDEX(Summary!$M$2:$M$201,MATCH($B444,Summary!$A$2:$A$201,0))</f>
        <v>3</v>
      </c>
      <c r="R444" s="2" t="n">
        <f aca="false">INDEX(Summary!$N$2:$N$201,MATCH($B444,Summary!$A$2:$A$201,0))</f>
        <v>10.64</v>
      </c>
      <c r="S444" s="3" t="n">
        <f aca="false">INDEX(Summary!$O$2:$O$201,MATCH($B444,Summary!$A$2:$A$201,0))</f>
        <v>8</v>
      </c>
      <c r="T444" s="3" t="n">
        <f aca="false">INDEX(Summary!$P$2:$P$201,MATCH($B444,Summary!$A$2:$A$201,0))</f>
        <v>1</v>
      </c>
      <c r="U444" s="2" t="n">
        <f aca="false">INDEX(Summary!$Q$2:$Q$201,MATCH($B444,Summary!$A$2:$A$201,0))</f>
        <v>13.07</v>
      </c>
      <c r="V444" s="2" t="n">
        <f aca="false">INDEX(Summary!$R$2:$R$201,MATCH($B444,Summary!$A$2:$A$201,0))</f>
        <v>26.58</v>
      </c>
      <c r="W444" s="0" t="str">
        <f aca="false">INDEX(Summary!$S$2:$S$201,MATCH($B444,Summary!$A$2:$A$201,0))</f>
        <v>Silver</v>
      </c>
      <c r="X444" s="2" t="n">
        <f aca="false">INDEX(Summary!$T$2:$T$201,MATCH($B444,Summary!$A$2:$A$201,0))</f>
        <v>64.83</v>
      </c>
      <c r="Y444" s="0" t="str">
        <f aca="false">INDEX('Reward Model'!$E$18:$E$37,MATCH($E444,'Reward Model'!$A$18:$A$37,0))</f>
        <v>Medium</v>
      </c>
      <c r="Z444" s="4" t="n">
        <f aca="false">ROUND(MIN(1,MAX('Reward Model'!$B$2,INDEX('Reward Model'!$C$12:$C$14,MATCH($K444,'Reward Model'!$A$12:$A$14,0))/$J444)),3)</f>
        <v>1</v>
      </c>
      <c r="AA444" s="2" t="n">
        <f aca="false">IF($I444="Correct",ROUND(INDEX('Reward Model'!$B$12:$B$14,MATCH($K444,'Reward Model'!$A$12:$A$14,0))*Z444,2),0)</f>
        <v>1</v>
      </c>
      <c r="AB444" s="2" t="n">
        <f aca="false">IF($I444="Correct",ROUND(INDEX('Reward Model'!$B$12:$B$14,MATCH($Y444,'Reward Model'!$A$12:$A$14,0))*Z444,2),0)</f>
        <v>2</v>
      </c>
    </row>
    <row r="445" customFormat="false" ht="15" hidden="false" customHeight="false" outlineLevel="0" collapsed="false">
      <c r="A445" s="0" t="s">
        <v>170</v>
      </c>
      <c r="B445" s="0" t="s">
        <v>171</v>
      </c>
      <c r="C445" s="0" t="s">
        <v>30</v>
      </c>
      <c r="D445" s="0" t="s">
        <v>31</v>
      </c>
      <c r="E445" s="0" t="n">
        <v>4</v>
      </c>
      <c r="F445" s="0" t="s">
        <v>43</v>
      </c>
      <c r="G445" s="0" t="s">
        <v>45</v>
      </c>
      <c r="H445" s="0" t="s">
        <v>45</v>
      </c>
      <c r="I445" s="0" t="s">
        <v>34</v>
      </c>
      <c r="J445" s="0" t="n">
        <v>1.55</v>
      </c>
      <c r="K445" s="0" t="s">
        <v>35</v>
      </c>
      <c r="L445" s="0" t="n">
        <f aca="false">INDEX(Summary!$F$2:$F$201,MATCH($B445,Summary!$A$2:$A$201,0))</f>
        <v>20</v>
      </c>
      <c r="M445" s="0" t="n">
        <f aca="false">INDEX(Summary!$I$2:$I$201,MATCH($B445,Summary!$A$2:$A$201,0))</f>
        <v>3</v>
      </c>
      <c r="N445" s="0" t="n">
        <f aca="false">INDEX(Summary!$J$2:$J$201,MATCH($B445,Summary!$A$2:$A$201,0))</f>
        <v>2</v>
      </c>
      <c r="O445" s="2" t="n">
        <f aca="false">INDEX(Summary!$K$2:$K$201,MATCH($B445,Summary!$A$2:$A$201,0))</f>
        <v>9.17</v>
      </c>
      <c r="P445" s="3" t="n">
        <f aca="false">INDEX(Summary!$L$2:$L$201,MATCH($B445,Summary!$A$2:$A$201,0))</f>
        <v>3</v>
      </c>
      <c r="Q445" s="3" t="n">
        <f aca="false">INDEX(Summary!$M$2:$M$201,MATCH($B445,Summary!$A$2:$A$201,0))</f>
        <v>3</v>
      </c>
      <c r="R445" s="2" t="n">
        <f aca="false">INDEX(Summary!$N$2:$N$201,MATCH($B445,Summary!$A$2:$A$201,0))</f>
        <v>10.64</v>
      </c>
      <c r="S445" s="3" t="n">
        <f aca="false">INDEX(Summary!$O$2:$O$201,MATCH($B445,Summary!$A$2:$A$201,0))</f>
        <v>8</v>
      </c>
      <c r="T445" s="3" t="n">
        <f aca="false">INDEX(Summary!$P$2:$P$201,MATCH($B445,Summary!$A$2:$A$201,0))</f>
        <v>1</v>
      </c>
      <c r="U445" s="2" t="n">
        <f aca="false">INDEX(Summary!$Q$2:$Q$201,MATCH($B445,Summary!$A$2:$A$201,0))</f>
        <v>13.07</v>
      </c>
      <c r="V445" s="2" t="n">
        <f aca="false">INDEX(Summary!$R$2:$R$201,MATCH($B445,Summary!$A$2:$A$201,0))</f>
        <v>26.58</v>
      </c>
      <c r="W445" s="0" t="str">
        <f aca="false">INDEX(Summary!$S$2:$S$201,MATCH($B445,Summary!$A$2:$A$201,0))</f>
        <v>Silver</v>
      </c>
      <c r="X445" s="2" t="n">
        <f aca="false">INDEX(Summary!$T$2:$T$201,MATCH($B445,Summary!$A$2:$A$201,0))</f>
        <v>64.83</v>
      </c>
      <c r="Y445" s="0" t="str">
        <f aca="false">INDEX('Reward Model'!$E$18:$E$37,MATCH($E445,'Reward Model'!$A$18:$A$37,0))</f>
        <v>Low</v>
      </c>
      <c r="Z445" s="4" t="n">
        <f aca="false">ROUND(MIN(1,MAX('Reward Model'!$B$2,INDEX('Reward Model'!$C$12:$C$14,MATCH($K445,'Reward Model'!$A$12:$A$14,0))/$J445)),3)</f>
        <v>0.968</v>
      </c>
      <c r="AA445" s="2" t="n">
        <f aca="false">IF($I445="Correct",ROUND(INDEX('Reward Model'!$B$12:$B$14,MATCH($K445,'Reward Model'!$A$12:$A$14,0))*Z445,2),0)</f>
        <v>0.97</v>
      </c>
      <c r="AB445" s="2" t="n">
        <f aca="false">IF($I445="Correct",ROUND(INDEX('Reward Model'!$B$12:$B$14,MATCH($Y445,'Reward Model'!$A$12:$A$14,0))*Z445,2),0)</f>
        <v>0.97</v>
      </c>
    </row>
    <row r="446" customFormat="false" ht="15" hidden="false" customHeight="false" outlineLevel="0" collapsed="false">
      <c r="A446" s="0" t="s">
        <v>170</v>
      </c>
      <c r="B446" s="0" t="s">
        <v>171</v>
      </c>
      <c r="C446" s="0" t="s">
        <v>30</v>
      </c>
      <c r="D446" s="0" t="s">
        <v>31</v>
      </c>
      <c r="E446" s="0" t="n">
        <v>5</v>
      </c>
      <c r="F446" s="0" t="s">
        <v>46</v>
      </c>
      <c r="G446" s="0" t="s">
        <v>47</v>
      </c>
      <c r="H446" s="0" t="s">
        <v>47</v>
      </c>
      <c r="I446" s="0" t="s">
        <v>34</v>
      </c>
      <c r="J446" s="0" t="n">
        <v>1.67</v>
      </c>
      <c r="K446" s="0" t="s">
        <v>35</v>
      </c>
      <c r="L446" s="0" t="n">
        <f aca="false">INDEX(Summary!$F$2:$F$201,MATCH($B446,Summary!$A$2:$A$201,0))</f>
        <v>20</v>
      </c>
      <c r="M446" s="0" t="n">
        <f aca="false">INDEX(Summary!$I$2:$I$201,MATCH($B446,Summary!$A$2:$A$201,0))</f>
        <v>3</v>
      </c>
      <c r="N446" s="0" t="n">
        <f aca="false">INDEX(Summary!$J$2:$J$201,MATCH($B446,Summary!$A$2:$A$201,0))</f>
        <v>2</v>
      </c>
      <c r="O446" s="2" t="n">
        <f aca="false">INDEX(Summary!$K$2:$K$201,MATCH($B446,Summary!$A$2:$A$201,0))</f>
        <v>9.17</v>
      </c>
      <c r="P446" s="3" t="n">
        <f aca="false">INDEX(Summary!$L$2:$L$201,MATCH($B446,Summary!$A$2:$A$201,0))</f>
        <v>3</v>
      </c>
      <c r="Q446" s="3" t="n">
        <f aca="false">INDEX(Summary!$M$2:$M$201,MATCH($B446,Summary!$A$2:$A$201,0))</f>
        <v>3</v>
      </c>
      <c r="R446" s="2" t="n">
        <f aca="false">INDEX(Summary!$N$2:$N$201,MATCH($B446,Summary!$A$2:$A$201,0))</f>
        <v>10.64</v>
      </c>
      <c r="S446" s="3" t="n">
        <f aca="false">INDEX(Summary!$O$2:$O$201,MATCH($B446,Summary!$A$2:$A$201,0))</f>
        <v>8</v>
      </c>
      <c r="T446" s="3" t="n">
        <f aca="false">INDEX(Summary!$P$2:$P$201,MATCH($B446,Summary!$A$2:$A$201,0))</f>
        <v>1</v>
      </c>
      <c r="U446" s="2" t="n">
        <f aca="false">INDEX(Summary!$Q$2:$Q$201,MATCH($B446,Summary!$A$2:$A$201,0))</f>
        <v>13.07</v>
      </c>
      <c r="V446" s="2" t="n">
        <f aca="false">INDEX(Summary!$R$2:$R$201,MATCH($B446,Summary!$A$2:$A$201,0))</f>
        <v>26.58</v>
      </c>
      <c r="W446" s="0" t="str">
        <f aca="false">INDEX(Summary!$S$2:$S$201,MATCH($B446,Summary!$A$2:$A$201,0))</f>
        <v>Silver</v>
      </c>
      <c r="X446" s="2" t="n">
        <f aca="false">INDEX(Summary!$T$2:$T$201,MATCH($B446,Summary!$A$2:$A$201,0))</f>
        <v>64.83</v>
      </c>
      <c r="Y446" s="0" t="str">
        <f aca="false">INDEX('Reward Model'!$E$18:$E$37,MATCH($E446,'Reward Model'!$A$18:$A$37,0))</f>
        <v>Low</v>
      </c>
      <c r="Z446" s="4" t="n">
        <f aca="false">ROUND(MIN(1,MAX('Reward Model'!$B$2,INDEX('Reward Model'!$C$12:$C$14,MATCH($K446,'Reward Model'!$A$12:$A$14,0))/$J446)),3)</f>
        <v>0.898</v>
      </c>
      <c r="AA446" s="2" t="n">
        <f aca="false">IF($I446="Correct",ROUND(INDEX('Reward Model'!$B$12:$B$14,MATCH($K446,'Reward Model'!$A$12:$A$14,0))*Z446,2),0)</f>
        <v>0.9</v>
      </c>
      <c r="AB446" s="2" t="n">
        <f aca="false">IF($I446="Correct",ROUND(INDEX('Reward Model'!$B$12:$B$14,MATCH($Y446,'Reward Model'!$A$12:$A$14,0))*Z446,2),0)</f>
        <v>0.9</v>
      </c>
    </row>
    <row r="447" customFormat="false" ht="15" hidden="false" customHeight="false" outlineLevel="0" collapsed="false">
      <c r="A447" s="0" t="s">
        <v>170</v>
      </c>
      <c r="B447" s="0" t="s">
        <v>171</v>
      </c>
      <c r="C447" s="0" t="s">
        <v>30</v>
      </c>
      <c r="D447" s="0" t="s">
        <v>31</v>
      </c>
      <c r="E447" s="0" t="n">
        <v>6</v>
      </c>
      <c r="F447" s="0" t="s">
        <v>48</v>
      </c>
      <c r="G447" s="0" t="s">
        <v>49</v>
      </c>
      <c r="H447" s="0" t="s">
        <v>49</v>
      </c>
      <c r="I447" s="0" t="s">
        <v>34</v>
      </c>
      <c r="J447" s="0" t="n">
        <v>1.7</v>
      </c>
      <c r="K447" s="0" t="s">
        <v>35</v>
      </c>
      <c r="L447" s="0" t="n">
        <f aca="false">INDEX(Summary!$F$2:$F$201,MATCH($B447,Summary!$A$2:$A$201,0))</f>
        <v>20</v>
      </c>
      <c r="M447" s="0" t="n">
        <f aca="false">INDEX(Summary!$I$2:$I$201,MATCH($B447,Summary!$A$2:$A$201,0))</f>
        <v>3</v>
      </c>
      <c r="N447" s="0" t="n">
        <f aca="false">INDEX(Summary!$J$2:$J$201,MATCH($B447,Summary!$A$2:$A$201,0))</f>
        <v>2</v>
      </c>
      <c r="O447" s="2" t="n">
        <f aca="false">INDEX(Summary!$K$2:$K$201,MATCH($B447,Summary!$A$2:$A$201,0))</f>
        <v>9.17</v>
      </c>
      <c r="P447" s="3" t="n">
        <f aca="false">INDEX(Summary!$L$2:$L$201,MATCH($B447,Summary!$A$2:$A$201,0))</f>
        <v>3</v>
      </c>
      <c r="Q447" s="3" t="n">
        <f aca="false">INDEX(Summary!$M$2:$M$201,MATCH($B447,Summary!$A$2:$A$201,0))</f>
        <v>3</v>
      </c>
      <c r="R447" s="2" t="n">
        <f aca="false">INDEX(Summary!$N$2:$N$201,MATCH($B447,Summary!$A$2:$A$201,0))</f>
        <v>10.64</v>
      </c>
      <c r="S447" s="3" t="n">
        <f aca="false">INDEX(Summary!$O$2:$O$201,MATCH($B447,Summary!$A$2:$A$201,0))</f>
        <v>8</v>
      </c>
      <c r="T447" s="3" t="n">
        <f aca="false">INDEX(Summary!$P$2:$P$201,MATCH($B447,Summary!$A$2:$A$201,0))</f>
        <v>1</v>
      </c>
      <c r="U447" s="2" t="n">
        <f aca="false">INDEX(Summary!$Q$2:$Q$201,MATCH($B447,Summary!$A$2:$A$201,0))</f>
        <v>13.07</v>
      </c>
      <c r="V447" s="2" t="n">
        <f aca="false">INDEX(Summary!$R$2:$R$201,MATCH($B447,Summary!$A$2:$A$201,0))</f>
        <v>26.58</v>
      </c>
      <c r="W447" s="0" t="str">
        <f aca="false">INDEX(Summary!$S$2:$S$201,MATCH($B447,Summary!$A$2:$A$201,0))</f>
        <v>Silver</v>
      </c>
      <c r="X447" s="2" t="n">
        <f aca="false">INDEX(Summary!$T$2:$T$201,MATCH($B447,Summary!$A$2:$A$201,0))</f>
        <v>64.83</v>
      </c>
      <c r="Y447" s="0" t="str">
        <f aca="false">INDEX('Reward Model'!$E$18:$E$37,MATCH($E447,'Reward Model'!$A$18:$A$37,0))</f>
        <v>Medium</v>
      </c>
      <c r="Z447" s="4" t="n">
        <f aca="false">ROUND(MIN(1,MAX('Reward Model'!$B$2,INDEX('Reward Model'!$C$12:$C$14,MATCH($K447,'Reward Model'!$A$12:$A$14,0))/$J447)),3)</f>
        <v>0.882</v>
      </c>
      <c r="AA447" s="2" t="n">
        <f aca="false">IF($I447="Correct",ROUND(INDEX('Reward Model'!$B$12:$B$14,MATCH($K447,'Reward Model'!$A$12:$A$14,0))*Z447,2),0)</f>
        <v>0.88</v>
      </c>
      <c r="AB447" s="2" t="n">
        <f aca="false">IF($I447="Correct",ROUND(INDEX('Reward Model'!$B$12:$B$14,MATCH($Y447,'Reward Model'!$A$12:$A$14,0))*Z447,2),0)</f>
        <v>1.76</v>
      </c>
    </row>
    <row r="448" customFormat="false" ht="15" hidden="false" customHeight="false" outlineLevel="0" collapsed="false">
      <c r="A448" s="0" t="s">
        <v>170</v>
      </c>
      <c r="B448" s="0" t="s">
        <v>171</v>
      </c>
      <c r="C448" s="0" t="s">
        <v>30</v>
      </c>
      <c r="D448" s="0" t="s">
        <v>31</v>
      </c>
      <c r="E448" s="0" t="n">
        <v>7</v>
      </c>
      <c r="F448" s="0" t="s">
        <v>50</v>
      </c>
      <c r="G448" s="0" t="s">
        <v>51</v>
      </c>
      <c r="H448" s="0" t="s">
        <v>51</v>
      </c>
      <c r="I448" s="0" t="s">
        <v>34</v>
      </c>
      <c r="J448" s="0" t="n">
        <v>1.96</v>
      </c>
      <c r="K448" s="0" t="s">
        <v>35</v>
      </c>
      <c r="L448" s="0" t="n">
        <f aca="false">INDEX(Summary!$F$2:$F$201,MATCH($B448,Summary!$A$2:$A$201,0))</f>
        <v>20</v>
      </c>
      <c r="M448" s="0" t="n">
        <f aca="false">INDEX(Summary!$I$2:$I$201,MATCH($B448,Summary!$A$2:$A$201,0))</f>
        <v>3</v>
      </c>
      <c r="N448" s="0" t="n">
        <f aca="false">INDEX(Summary!$J$2:$J$201,MATCH($B448,Summary!$A$2:$A$201,0))</f>
        <v>2</v>
      </c>
      <c r="O448" s="2" t="n">
        <f aca="false">INDEX(Summary!$K$2:$K$201,MATCH($B448,Summary!$A$2:$A$201,0))</f>
        <v>9.17</v>
      </c>
      <c r="P448" s="3" t="n">
        <f aca="false">INDEX(Summary!$L$2:$L$201,MATCH($B448,Summary!$A$2:$A$201,0))</f>
        <v>3</v>
      </c>
      <c r="Q448" s="3" t="n">
        <f aca="false">INDEX(Summary!$M$2:$M$201,MATCH($B448,Summary!$A$2:$A$201,0))</f>
        <v>3</v>
      </c>
      <c r="R448" s="2" t="n">
        <f aca="false">INDEX(Summary!$N$2:$N$201,MATCH($B448,Summary!$A$2:$A$201,0))</f>
        <v>10.64</v>
      </c>
      <c r="S448" s="3" t="n">
        <f aca="false">INDEX(Summary!$O$2:$O$201,MATCH($B448,Summary!$A$2:$A$201,0))</f>
        <v>8</v>
      </c>
      <c r="T448" s="3" t="n">
        <f aca="false">INDEX(Summary!$P$2:$P$201,MATCH($B448,Summary!$A$2:$A$201,0))</f>
        <v>1</v>
      </c>
      <c r="U448" s="2" t="n">
        <f aca="false">INDEX(Summary!$Q$2:$Q$201,MATCH($B448,Summary!$A$2:$A$201,0))</f>
        <v>13.07</v>
      </c>
      <c r="V448" s="2" t="n">
        <f aca="false">INDEX(Summary!$R$2:$R$201,MATCH($B448,Summary!$A$2:$A$201,0))</f>
        <v>26.58</v>
      </c>
      <c r="W448" s="0" t="str">
        <f aca="false">INDEX(Summary!$S$2:$S$201,MATCH($B448,Summary!$A$2:$A$201,0))</f>
        <v>Silver</v>
      </c>
      <c r="X448" s="2" t="n">
        <f aca="false">INDEX(Summary!$T$2:$T$201,MATCH($B448,Summary!$A$2:$A$201,0))</f>
        <v>64.83</v>
      </c>
      <c r="Y448" s="0" t="str">
        <f aca="false">INDEX('Reward Model'!$E$18:$E$37,MATCH($E448,'Reward Model'!$A$18:$A$37,0))</f>
        <v>Low</v>
      </c>
      <c r="Z448" s="4" t="n">
        <f aca="false">ROUND(MIN(1,MAX('Reward Model'!$B$2,INDEX('Reward Model'!$C$12:$C$14,MATCH($K448,'Reward Model'!$A$12:$A$14,0))/$J448)),3)</f>
        <v>0.765</v>
      </c>
      <c r="AA448" s="2" t="n">
        <f aca="false">IF($I448="Correct",ROUND(INDEX('Reward Model'!$B$12:$B$14,MATCH($K448,'Reward Model'!$A$12:$A$14,0))*Z448,2),0)</f>
        <v>0.77</v>
      </c>
      <c r="AB448" s="2" t="n">
        <f aca="false">IF($I448="Correct",ROUND(INDEX('Reward Model'!$B$12:$B$14,MATCH($Y448,'Reward Model'!$A$12:$A$14,0))*Z448,2),0)</f>
        <v>0.77</v>
      </c>
    </row>
    <row r="449" customFormat="false" ht="15" hidden="false" customHeight="false" outlineLevel="0" collapsed="false">
      <c r="A449" s="0" t="s">
        <v>170</v>
      </c>
      <c r="B449" s="0" t="s">
        <v>171</v>
      </c>
      <c r="C449" s="0" t="s">
        <v>30</v>
      </c>
      <c r="D449" s="0" t="s">
        <v>31</v>
      </c>
      <c r="E449" s="0" t="n">
        <v>8</v>
      </c>
      <c r="F449" s="0" t="s">
        <v>52</v>
      </c>
      <c r="G449" s="0" t="s">
        <v>54</v>
      </c>
      <c r="H449" s="0" t="s">
        <v>54</v>
      </c>
      <c r="I449" s="0" t="s">
        <v>34</v>
      </c>
      <c r="J449" s="0" t="n">
        <v>1.04</v>
      </c>
      <c r="K449" s="0" t="s">
        <v>35</v>
      </c>
      <c r="L449" s="0" t="n">
        <f aca="false">INDEX(Summary!$F$2:$F$201,MATCH($B449,Summary!$A$2:$A$201,0))</f>
        <v>20</v>
      </c>
      <c r="M449" s="0" t="n">
        <f aca="false">INDEX(Summary!$I$2:$I$201,MATCH($B449,Summary!$A$2:$A$201,0))</f>
        <v>3</v>
      </c>
      <c r="N449" s="0" t="n">
        <f aca="false">INDEX(Summary!$J$2:$J$201,MATCH($B449,Summary!$A$2:$A$201,0))</f>
        <v>2</v>
      </c>
      <c r="O449" s="2" t="n">
        <f aca="false">INDEX(Summary!$K$2:$K$201,MATCH($B449,Summary!$A$2:$A$201,0))</f>
        <v>9.17</v>
      </c>
      <c r="P449" s="3" t="n">
        <f aca="false">INDEX(Summary!$L$2:$L$201,MATCH($B449,Summary!$A$2:$A$201,0))</f>
        <v>3</v>
      </c>
      <c r="Q449" s="3" t="n">
        <f aca="false">INDEX(Summary!$M$2:$M$201,MATCH($B449,Summary!$A$2:$A$201,0))</f>
        <v>3</v>
      </c>
      <c r="R449" s="2" t="n">
        <f aca="false">INDEX(Summary!$N$2:$N$201,MATCH($B449,Summary!$A$2:$A$201,0))</f>
        <v>10.64</v>
      </c>
      <c r="S449" s="3" t="n">
        <f aca="false">INDEX(Summary!$O$2:$O$201,MATCH($B449,Summary!$A$2:$A$201,0))</f>
        <v>8</v>
      </c>
      <c r="T449" s="3" t="n">
        <f aca="false">INDEX(Summary!$P$2:$P$201,MATCH($B449,Summary!$A$2:$A$201,0))</f>
        <v>1</v>
      </c>
      <c r="U449" s="2" t="n">
        <f aca="false">INDEX(Summary!$Q$2:$Q$201,MATCH($B449,Summary!$A$2:$A$201,0))</f>
        <v>13.07</v>
      </c>
      <c r="V449" s="2" t="n">
        <f aca="false">INDEX(Summary!$R$2:$R$201,MATCH($B449,Summary!$A$2:$A$201,0))</f>
        <v>26.58</v>
      </c>
      <c r="W449" s="0" t="str">
        <f aca="false">INDEX(Summary!$S$2:$S$201,MATCH($B449,Summary!$A$2:$A$201,0))</f>
        <v>Silver</v>
      </c>
      <c r="X449" s="2" t="n">
        <f aca="false">INDEX(Summary!$T$2:$T$201,MATCH($B449,Summary!$A$2:$A$201,0))</f>
        <v>64.83</v>
      </c>
      <c r="Y449" s="0" t="str">
        <f aca="false">INDEX('Reward Model'!$E$18:$E$37,MATCH($E449,'Reward Model'!$A$18:$A$37,0))</f>
        <v>Medium</v>
      </c>
      <c r="Z449" s="4" t="n">
        <f aca="false">ROUND(MIN(1,MAX('Reward Model'!$B$2,INDEX('Reward Model'!$C$12:$C$14,MATCH($K449,'Reward Model'!$A$12:$A$14,0))/$J449)),3)</f>
        <v>1</v>
      </c>
      <c r="AA449" s="2" t="n">
        <f aca="false">IF($I449="Correct",ROUND(INDEX('Reward Model'!$B$12:$B$14,MATCH($K449,'Reward Model'!$A$12:$A$14,0))*Z449,2),0)</f>
        <v>1</v>
      </c>
      <c r="AB449" s="2" t="n">
        <f aca="false">IF($I449="Correct",ROUND(INDEX('Reward Model'!$B$12:$B$14,MATCH($Y449,'Reward Model'!$A$12:$A$14,0))*Z449,2),0)</f>
        <v>2</v>
      </c>
    </row>
    <row r="450" customFormat="false" ht="15" hidden="false" customHeight="false" outlineLevel="0" collapsed="false">
      <c r="A450" s="0" t="s">
        <v>170</v>
      </c>
      <c r="B450" s="0" t="s">
        <v>171</v>
      </c>
      <c r="C450" s="0" t="s">
        <v>30</v>
      </c>
      <c r="D450" s="0" t="s">
        <v>31</v>
      </c>
      <c r="E450" s="0" t="n">
        <v>9</v>
      </c>
      <c r="F450" s="0" t="s">
        <v>55</v>
      </c>
      <c r="G450" s="0" t="s">
        <v>57</v>
      </c>
      <c r="H450" s="0" t="s">
        <v>57</v>
      </c>
      <c r="I450" s="0" t="s">
        <v>34</v>
      </c>
      <c r="J450" s="0" t="n">
        <v>1.27</v>
      </c>
      <c r="K450" s="0" t="s">
        <v>35</v>
      </c>
      <c r="L450" s="0" t="n">
        <f aca="false">INDEX(Summary!$F$2:$F$201,MATCH($B450,Summary!$A$2:$A$201,0))</f>
        <v>20</v>
      </c>
      <c r="M450" s="0" t="n">
        <f aca="false">INDEX(Summary!$I$2:$I$201,MATCH($B450,Summary!$A$2:$A$201,0))</f>
        <v>3</v>
      </c>
      <c r="N450" s="0" t="n">
        <f aca="false">INDEX(Summary!$J$2:$J$201,MATCH($B450,Summary!$A$2:$A$201,0))</f>
        <v>2</v>
      </c>
      <c r="O450" s="2" t="n">
        <f aca="false">INDEX(Summary!$K$2:$K$201,MATCH($B450,Summary!$A$2:$A$201,0))</f>
        <v>9.17</v>
      </c>
      <c r="P450" s="3" t="n">
        <f aca="false">INDEX(Summary!$L$2:$L$201,MATCH($B450,Summary!$A$2:$A$201,0))</f>
        <v>3</v>
      </c>
      <c r="Q450" s="3" t="n">
        <f aca="false">INDEX(Summary!$M$2:$M$201,MATCH($B450,Summary!$A$2:$A$201,0))</f>
        <v>3</v>
      </c>
      <c r="R450" s="2" t="n">
        <f aca="false">INDEX(Summary!$N$2:$N$201,MATCH($B450,Summary!$A$2:$A$201,0))</f>
        <v>10.64</v>
      </c>
      <c r="S450" s="3" t="n">
        <f aca="false">INDEX(Summary!$O$2:$O$201,MATCH($B450,Summary!$A$2:$A$201,0))</f>
        <v>8</v>
      </c>
      <c r="T450" s="3" t="n">
        <f aca="false">INDEX(Summary!$P$2:$P$201,MATCH($B450,Summary!$A$2:$A$201,0))</f>
        <v>1</v>
      </c>
      <c r="U450" s="2" t="n">
        <f aca="false">INDEX(Summary!$Q$2:$Q$201,MATCH($B450,Summary!$A$2:$A$201,0))</f>
        <v>13.07</v>
      </c>
      <c r="V450" s="2" t="n">
        <f aca="false">INDEX(Summary!$R$2:$R$201,MATCH($B450,Summary!$A$2:$A$201,0))</f>
        <v>26.58</v>
      </c>
      <c r="W450" s="0" t="str">
        <f aca="false">INDEX(Summary!$S$2:$S$201,MATCH($B450,Summary!$A$2:$A$201,0))</f>
        <v>Silver</v>
      </c>
      <c r="X450" s="2" t="n">
        <f aca="false">INDEX(Summary!$T$2:$T$201,MATCH($B450,Summary!$A$2:$A$201,0))</f>
        <v>64.83</v>
      </c>
      <c r="Y450" s="0" t="str">
        <f aca="false">INDEX('Reward Model'!$E$18:$E$37,MATCH($E450,'Reward Model'!$A$18:$A$37,0))</f>
        <v>Medium</v>
      </c>
      <c r="Z450" s="4" t="n">
        <f aca="false">ROUND(MIN(1,MAX('Reward Model'!$B$2,INDEX('Reward Model'!$C$12:$C$14,MATCH($K450,'Reward Model'!$A$12:$A$14,0))/$J450)),3)</f>
        <v>1</v>
      </c>
      <c r="AA450" s="2" t="n">
        <f aca="false">IF($I450="Correct",ROUND(INDEX('Reward Model'!$B$12:$B$14,MATCH($K450,'Reward Model'!$A$12:$A$14,0))*Z450,2),0)</f>
        <v>1</v>
      </c>
      <c r="AB450" s="2" t="n">
        <f aca="false">IF($I450="Correct",ROUND(INDEX('Reward Model'!$B$12:$B$14,MATCH($Y450,'Reward Model'!$A$12:$A$14,0))*Z450,2),0)</f>
        <v>2</v>
      </c>
    </row>
    <row r="451" customFormat="false" ht="15" hidden="false" customHeight="false" outlineLevel="0" collapsed="false">
      <c r="A451" s="0" t="s">
        <v>170</v>
      </c>
      <c r="B451" s="0" t="s">
        <v>171</v>
      </c>
      <c r="C451" s="0" t="s">
        <v>30</v>
      </c>
      <c r="D451" s="0" t="s">
        <v>31</v>
      </c>
      <c r="E451" s="0" t="n">
        <v>10</v>
      </c>
      <c r="F451" s="0" t="s">
        <v>58</v>
      </c>
      <c r="G451" s="0" t="s">
        <v>59</v>
      </c>
      <c r="H451" s="0" t="s">
        <v>59</v>
      </c>
      <c r="I451" s="0" t="s">
        <v>34</v>
      </c>
      <c r="J451" s="0" t="n">
        <v>1.88</v>
      </c>
      <c r="K451" s="0" t="s">
        <v>60</v>
      </c>
      <c r="L451" s="0" t="n">
        <f aca="false">INDEX(Summary!$F$2:$F$201,MATCH($B451,Summary!$A$2:$A$201,0))</f>
        <v>20</v>
      </c>
      <c r="M451" s="0" t="n">
        <f aca="false">INDEX(Summary!$I$2:$I$201,MATCH($B451,Summary!$A$2:$A$201,0))</f>
        <v>3</v>
      </c>
      <c r="N451" s="0" t="n">
        <f aca="false">INDEX(Summary!$J$2:$J$201,MATCH($B451,Summary!$A$2:$A$201,0))</f>
        <v>2</v>
      </c>
      <c r="O451" s="2" t="n">
        <f aca="false">INDEX(Summary!$K$2:$K$201,MATCH($B451,Summary!$A$2:$A$201,0))</f>
        <v>9.17</v>
      </c>
      <c r="P451" s="3" t="n">
        <f aca="false">INDEX(Summary!$L$2:$L$201,MATCH($B451,Summary!$A$2:$A$201,0))</f>
        <v>3</v>
      </c>
      <c r="Q451" s="3" t="n">
        <f aca="false">INDEX(Summary!$M$2:$M$201,MATCH($B451,Summary!$A$2:$A$201,0))</f>
        <v>3</v>
      </c>
      <c r="R451" s="2" t="n">
        <f aca="false">INDEX(Summary!$N$2:$N$201,MATCH($B451,Summary!$A$2:$A$201,0))</f>
        <v>10.64</v>
      </c>
      <c r="S451" s="3" t="n">
        <f aca="false">INDEX(Summary!$O$2:$O$201,MATCH($B451,Summary!$A$2:$A$201,0))</f>
        <v>8</v>
      </c>
      <c r="T451" s="3" t="n">
        <f aca="false">INDEX(Summary!$P$2:$P$201,MATCH($B451,Summary!$A$2:$A$201,0))</f>
        <v>1</v>
      </c>
      <c r="U451" s="2" t="n">
        <f aca="false">INDEX(Summary!$Q$2:$Q$201,MATCH($B451,Summary!$A$2:$A$201,0))</f>
        <v>13.07</v>
      </c>
      <c r="V451" s="2" t="n">
        <f aca="false">INDEX(Summary!$R$2:$R$201,MATCH($B451,Summary!$A$2:$A$201,0))</f>
        <v>26.58</v>
      </c>
      <c r="W451" s="0" t="str">
        <f aca="false">INDEX(Summary!$S$2:$S$201,MATCH($B451,Summary!$A$2:$A$201,0))</f>
        <v>Silver</v>
      </c>
      <c r="X451" s="2" t="n">
        <f aca="false">INDEX(Summary!$T$2:$T$201,MATCH($B451,Summary!$A$2:$A$201,0))</f>
        <v>64.83</v>
      </c>
      <c r="Y451" s="0" t="str">
        <f aca="false">INDEX('Reward Model'!$E$18:$E$37,MATCH($E451,'Reward Model'!$A$18:$A$37,0))</f>
        <v>Medium</v>
      </c>
      <c r="Z451" s="4" t="n">
        <f aca="false">ROUND(MIN(1,MAX('Reward Model'!$B$2,INDEX('Reward Model'!$C$12:$C$14,MATCH($K451,'Reward Model'!$A$12:$A$14,0))/$J451)),3)</f>
        <v>0.957</v>
      </c>
      <c r="AA451" s="2" t="n">
        <f aca="false">IF($I451="Correct",ROUND(INDEX('Reward Model'!$B$12:$B$14,MATCH($K451,'Reward Model'!$A$12:$A$14,0))*Z451,2),0)</f>
        <v>1.91</v>
      </c>
      <c r="AB451" s="2" t="n">
        <f aca="false">IF($I451="Correct",ROUND(INDEX('Reward Model'!$B$12:$B$14,MATCH($Y451,'Reward Model'!$A$12:$A$14,0))*Z451,2),0)</f>
        <v>1.91</v>
      </c>
    </row>
    <row r="452" customFormat="false" ht="15" hidden="false" customHeight="false" outlineLevel="0" collapsed="false">
      <c r="A452" s="0" t="s">
        <v>170</v>
      </c>
      <c r="B452" s="0" t="s">
        <v>171</v>
      </c>
      <c r="C452" s="0" t="s">
        <v>30</v>
      </c>
      <c r="D452" s="0" t="s">
        <v>31</v>
      </c>
      <c r="E452" s="0" t="n">
        <v>11</v>
      </c>
      <c r="F452" s="0" t="s">
        <v>61</v>
      </c>
      <c r="G452" s="0" t="s">
        <v>63</v>
      </c>
      <c r="H452" s="0" t="s">
        <v>63</v>
      </c>
      <c r="I452" s="0" t="s">
        <v>34</v>
      </c>
      <c r="J452" s="0" t="n">
        <v>1.83</v>
      </c>
      <c r="K452" s="0" t="s">
        <v>60</v>
      </c>
      <c r="L452" s="0" t="n">
        <f aca="false">INDEX(Summary!$F$2:$F$201,MATCH($B452,Summary!$A$2:$A$201,0))</f>
        <v>20</v>
      </c>
      <c r="M452" s="0" t="n">
        <f aca="false">INDEX(Summary!$I$2:$I$201,MATCH($B452,Summary!$A$2:$A$201,0))</f>
        <v>3</v>
      </c>
      <c r="N452" s="0" t="n">
        <f aca="false">INDEX(Summary!$J$2:$J$201,MATCH($B452,Summary!$A$2:$A$201,0))</f>
        <v>2</v>
      </c>
      <c r="O452" s="2" t="n">
        <f aca="false">INDEX(Summary!$K$2:$K$201,MATCH($B452,Summary!$A$2:$A$201,0))</f>
        <v>9.17</v>
      </c>
      <c r="P452" s="3" t="n">
        <f aca="false">INDEX(Summary!$L$2:$L$201,MATCH($B452,Summary!$A$2:$A$201,0))</f>
        <v>3</v>
      </c>
      <c r="Q452" s="3" t="n">
        <f aca="false">INDEX(Summary!$M$2:$M$201,MATCH($B452,Summary!$A$2:$A$201,0))</f>
        <v>3</v>
      </c>
      <c r="R452" s="2" t="n">
        <f aca="false">INDEX(Summary!$N$2:$N$201,MATCH($B452,Summary!$A$2:$A$201,0))</f>
        <v>10.64</v>
      </c>
      <c r="S452" s="3" t="n">
        <f aca="false">INDEX(Summary!$O$2:$O$201,MATCH($B452,Summary!$A$2:$A$201,0))</f>
        <v>8</v>
      </c>
      <c r="T452" s="3" t="n">
        <f aca="false">INDEX(Summary!$P$2:$P$201,MATCH($B452,Summary!$A$2:$A$201,0))</f>
        <v>1</v>
      </c>
      <c r="U452" s="2" t="n">
        <f aca="false">INDEX(Summary!$Q$2:$Q$201,MATCH($B452,Summary!$A$2:$A$201,0))</f>
        <v>13.07</v>
      </c>
      <c r="V452" s="2" t="n">
        <f aca="false">INDEX(Summary!$R$2:$R$201,MATCH($B452,Summary!$A$2:$A$201,0))</f>
        <v>26.58</v>
      </c>
      <c r="W452" s="0" t="str">
        <f aca="false">INDEX(Summary!$S$2:$S$201,MATCH($B452,Summary!$A$2:$A$201,0))</f>
        <v>Silver</v>
      </c>
      <c r="X452" s="2" t="n">
        <f aca="false">INDEX(Summary!$T$2:$T$201,MATCH($B452,Summary!$A$2:$A$201,0))</f>
        <v>64.83</v>
      </c>
      <c r="Y452" s="0" t="str">
        <f aca="false">INDEX('Reward Model'!$E$18:$E$37,MATCH($E452,'Reward Model'!$A$18:$A$37,0))</f>
        <v>Medium</v>
      </c>
      <c r="Z452" s="4" t="n">
        <f aca="false">ROUND(MIN(1,MAX('Reward Model'!$B$2,INDEX('Reward Model'!$C$12:$C$14,MATCH($K452,'Reward Model'!$A$12:$A$14,0))/$J452)),3)</f>
        <v>0.984</v>
      </c>
      <c r="AA452" s="2" t="n">
        <f aca="false">IF($I452="Correct",ROUND(INDEX('Reward Model'!$B$12:$B$14,MATCH($K452,'Reward Model'!$A$12:$A$14,0))*Z452,2),0)</f>
        <v>1.97</v>
      </c>
      <c r="AB452" s="2" t="n">
        <f aca="false">IF($I452="Correct",ROUND(INDEX('Reward Model'!$B$12:$B$14,MATCH($Y452,'Reward Model'!$A$12:$A$14,0))*Z452,2),0)</f>
        <v>1.97</v>
      </c>
    </row>
    <row r="453" customFormat="false" ht="15" hidden="false" customHeight="false" outlineLevel="0" collapsed="false">
      <c r="A453" s="0" t="s">
        <v>170</v>
      </c>
      <c r="B453" s="0" t="s">
        <v>171</v>
      </c>
      <c r="C453" s="0" t="s">
        <v>30</v>
      </c>
      <c r="D453" s="0" t="s">
        <v>31</v>
      </c>
      <c r="E453" s="0" t="n">
        <v>12</v>
      </c>
      <c r="F453" s="0" t="s">
        <v>64</v>
      </c>
      <c r="G453" s="0" t="s">
        <v>146</v>
      </c>
      <c r="H453" s="0" t="s">
        <v>65</v>
      </c>
      <c r="I453" s="0" t="s">
        <v>39</v>
      </c>
      <c r="J453" s="0" t="n">
        <v>1.55</v>
      </c>
      <c r="K453" s="0" t="s">
        <v>60</v>
      </c>
      <c r="L453" s="0" t="n">
        <f aca="false">INDEX(Summary!$F$2:$F$201,MATCH($B453,Summary!$A$2:$A$201,0))</f>
        <v>20</v>
      </c>
      <c r="M453" s="0" t="n">
        <f aca="false">INDEX(Summary!$I$2:$I$201,MATCH($B453,Summary!$A$2:$A$201,0))</f>
        <v>3</v>
      </c>
      <c r="N453" s="0" t="n">
        <f aca="false">INDEX(Summary!$J$2:$J$201,MATCH($B453,Summary!$A$2:$A$201,0))</f>
        <v>2</v>
      </c>
      <c r="O453" s="2" t="n">
        <f aca="false">INDEX(Summary!$K$2:$K$201,MATCH($B453,Summary!$A$2:$A$201,0))</f>
        <v>9.17</v>
      </c>
      <c r="P453" s="3" t="n">
        <f aca="false">INDEX(Summary!$L$2:$L$201,MATCH($B453,Summary!$A$2:$A$201,0))</f>
        <v>3</v>
      </c>
      <c r="Q453" s="3" t="n">
        <f aca="false">INDEX(Summary!$M$2:$M$201,MATCH($B453,Summary!$A$2:$A$201,0))</f>
        <v>3</v>
      </c>
      <c r="R453" s="2" t="n">
        <f aca="false">INDEX(Summary!$N$2:$N$201,MATCH($B453,Summary!$A$2:$A$201,0))</f>
        <v>10.64</v>
      </c>
      <c r="S453" s="3" t="n">
        <f aca="false">INDEX(Summary!$O$2:$O$201,MATCH($B453,Summary!$A$2:$A$201,0))</f>
        <v>8</v>
      </c>
      <c r="T453" s="3" t="n">
        <f aca="false">INDEX(Summary!$P$2:$P$201,MATCH($B453,Summary!$A$2:$A$201,0))</f>
        <v>1</v>
      </c>
      <c r="U453" s="2" t="n">
        <f aca="false">INDEX(Summary!$Q$2:$Q$201,MATCH($B453,Summary!$A$2:$A$201,0))</f>
        <v>13.07</v>
      </c>
      <c r="V453" s="2" t="n">
        <f aca="false">INDEX(Summary!$R$2:$R$201,MATCH($B453,Summary!$A$2:$A$201,0))</f>
        <v>26.58</v>
      </c>
      <c r="W453" s="0" t="str">
        <f aca="false">INDEX(Summary!$S$2:$S$201,MATCH($B453,Summary!$A$2:$A$201,0))</f>
        <v>Silver</v>
      </c>
      <c r="X453" s="2" t="n">
        <f aca="false">INDEX(Summary!$T$2:$T$201,MATCH($B453,Summary!$A$2:$A$201,0))</f>
        <v>64.83</v>
      </c>
      <c r="Y453" s="0" t="str">
        <f aca="false">INDEX('Reward Model'!$E$18:$E$37,MATCH($E453,'Reward Model'!$A$18:$A$37,0))</f>
        <v>Medium</v>
      </c>
      <c r="Z453" s="4" t="n">
        <f aca="false">ROUND(MIN(1,MAX('Reward Model'!$B$2,INDEX('Reward Model'!$C$12:$C$14,MATCH($K453,'Reward Model'!$A$12:$A$14,0))/$J453)),3)</f>
        <v>1</v>
      </c>
      <c r="AA453" s="2" t="n">
        <f aca="false">IF($I453="Correct",ROUND(INDEX('Reward Model'!$B$12:$B$14,MATCH($K453,'Reward Model'!$A$12:$A$14,0))*Z453,2),0)</f>
        <v>0</v>
      </c>
      <c r="AB453" s="2" t="n">
        <f aca="false">IF($I453="Correct",ROUND(INDEX('Reward Model'!$B$12:$B$14,MATCH($Y453,'Reward Model'!$A$12:$A$14,0))*Z453,2),0)</f>
        <v>0</v>
      </c>
    </row>
    <row r="454" customFormat="false" ht="15" hidden="false" customHeight="false" outlineLevel="0" collapsed="false">
      <c r="A454" s="0" t="s">
        <v>170</v>
      </c>
      <c r="B454" s="0" t="s">
        <v>171</v>
      </c>
      <c r="C454" s="0" t="s">
        <v>30</v>
      </c>
      <c r="D454" s="0" t="s">
        <v>31</v>
      </c>
      <c r="E454" s="0" t="n">
        <v>13</v>
      </c>
      <c r="F454" s="0" t="s">
        <v>66</v>
      </c>
      <c r="G454" s="0" t="s">
        <v>67</v>
      </c>
      <c r="H454" s="0" t="s">
        <v>67</v>
      </c>
      <c r="I454" s="0" t="s">
        <v>34</v>
      </c>
      <c r="J454" s="0" t="n">
        <v>1.23</v>
      </c>
      <c r="K454" s="0" t="s">
        <v>60</v>
      </c>
      <c r="L454" s="0" t="n">
        <f aca="false">INDEX(Summary!$F$2:$F$201,MATCH($B454,Summary!$A$2:$A$201,0))</f>
        <v>20</v>
      </c>
      <c r="M454" s="0" t="n">
        <f aca="false">INDEX(Summary!$I$2:$I$201,MATCH($B454,Summary!$A$2:$A$201,0))</f>
        <v>3</v>
      </c>
      <c r="N454" s="0" t="n">
        <f aca="false">INDEX(Summary!$J$2:$J$201,MATCH($B454,Summary!$A$2:$A$201,0))</f>
        <v>2</v>
      </c>
      <c r="O454" s="2" t="n">
        <f aca="false">INDEX(Summary!$K$2:$K$201,MATCH($B454,Summary!$A$2:$A$201,0))</f>
        <v>9.17</v>
      </c>
      <c r="P454" s="3" t="n">
        <f aca="false">INDEX(Summary!$L$2:$L$201,MATCH($B454,Summary!$A$2:$A$201,0))</f>
        <v>3</v>
      </c>
      <c r="Q454" s="3" t="n">
        <f aca="false">INDEX(Summary!$M$2:$M$201,MATCH($B454,Summary!$A$2:$A$201,0))</f>
        <v>3</v>
      </c>
      <c r="R454" s="2" t="n">
        <f aca="false">INDEX(Summary!$N$2:$N$201,MATCH($B454,Summary!$A$2:$A$201,0))</f>
        <v>10.64</v>
      </c>
      <c r="S454" s="3" t="n">
        <f aca="false">INDEX(Summary!$O$2:$O$201,MATCH($B454,Summary!$A$2:$A$201,0))</f>
        <v>8</v>
      </c>
      <c r="T454" s="3" t="n">
        <f aca="false">INDEX(Summary!$P$2:$P$201,MATCH($B454,Summary!$A$2:$A$201,0))</f>
        <v>1</v>
      </c>
      <c r="U454" s="2" t="n">
        <f aca="false">INDEX(Summary!$Q$2:$Q$201,MATCH($B454,Summary!$A$2:$A$201,0))</f>
        <v>13.07</v>
      </c>
      <c r="V454" s="2" t="n">
        <f aca="false">INDEX(Summary!$R$2:$R$201,MATCH($B454,Summary!$A$2:$A$201,0))</f>
        <v>26.58</v>
      </c>
      <c r="W454" s="0" t="str">
        <f aca="false">INDEX(Summary!$S$2:$S$201,MATCH($B454,Summary!$A$2:$A$201,0))</f>
        <v>Silver</v>
      </c>
      <c r="X454" s="2" t="n">
        <f aca="false">INDEX(Summary!$T$2:$T$201,MATCH($B454,Summary!$A$2:$A$201,0))</f>
        <v>64.83</v>
      </c>
      <c r="Y454" s="0" t="str">
        <f aca="false">INDEX('Reward Model'!$E$18:$E$37,MATCH($E454,'Reward Model'!$A$18:$A$37,0))</f>
        <v>Medium</v>
      </c>
      <c r="Z454" s="4" t="n">
        <f aca="false">ROUND(MIN(1,MAX('Reward Model'!$B$2,INDEX('Reward Model'!$C$12:$C$14,MATCH($K454,'Reward Model'!$A$12:$A$14,0))/$J454)),3)</f>
        <v>1</v>
      </c>
      <c r="AA454" s="2" t="n">
        <f aca="false">IF($I454="Correct",ROUND(INDEX('Reward Model'!$B$12:$B$14,MATCH($K454,'Reward Model'!$A$12:$A$14,0))*Z454,2),0)</f>
        <v>2</v>
      </c>
      <c r="AB454" s="2" t="n">
        <f aca="false">IF($I454="Correct",ROUND(INDEX('Reward Model'!$B$12:$B$14,MATCH($Y454,'Reward Model'!$A$12:$A$14,0))*Z454,2),0)</f>
        <v>2</v>
      </c>
    </row>
    <row r="455" customFormat="false" ht="15" hidden="false" customHeight="false" outlineLevel="0" collapsed="false">
      <c r="A455" s="0" t="s">
        <v>170</v>
      </c>
      <c r="B455" s="0" t="s">
        <v>171</v>
      </c>
      <c r="C455" s="0" t="s">
        <v>30</v>
      </c>
      <c r="D455" s="0" t="s">
        <v>31</v>
      </c>
      <c r="E455" s="0" t="n">
        <v>14</v>
      </c>
      <c r="F455" s="0" t="s">
        <v>68</v>
      </c>
      <c r="G455" s="0" t="s">
        <v>100</v>
      </c>
      <c r="H455" s="0" t="s">
        <v>51</v>
      </c>
      <c r="I455" s="0" t="s">
        <v>39</v>
      </c>
      <c r="J455" s="0" t="n">
        <v>2.14</v>
      </c>
      <c r="K455" s="0" t="s">
        <v>60</v>
      </c>
      <c r="L455" s="0" t="n">
        <f aca="false">INDEX(Summary!$F$2:$F$201,MATCH($B455,Summary!$A$2:$A$201,0))</f>
        <v>20</v>
      </c>
      <c r="M455" s="0" t="n">
        <f aca="false">INDEX(Summary!$I$2:$I$201,MATCH($B455,Summary!$A$2:$A$201,0))</f>
        <v>3</v>
      </c>
      <c r="N455" s="0" t="n">
        <f aca="false">INDEX(Summary!$J$2:$J$201,MATCH($B455,Summary!$A$2:$A$201,0))</f>
        <v>2</v>
      </c>
      <c r="O455" s="2" t="n">
        <f aca="false">INDEX(Summary!$K$2:$K$201,MATCH($B455,Summary!$A$2:$A$201,0))</f>
        <v>9.17</v>
      </c>
      <c r="P455" s="3" t="n">
        <f aca="false">INDEX(Summary!$L$2:$L$201,MATCH($B455,Summary!$A$2:$A$201,0))</f>
        <v>3</v>
      </c>
      <c r="Q455" s="3" t="n">
        <f aca="false">INDEX(Summary!$M$2:$M$201,MATCH($B455,Summary!$A$2:$A$201,0))</f>
        <v>3</v>
      </c>
      <c r="R455" s="2" t="n">
        <f aca="false">INDEX(Summary!$N$2:$N$201,MATCH($B455,Summary!$A$2:$A$201,0))</f>
        <v>10.64</v>
      </c>
      <c r="S455" s="3" t="n">
        <f aca="false">INDEX(Summary!$O$2:$O$201,MATCH($B455,Summary!$A$2:$A$201,0))</f>
        <v>8</v>
      </c>
      <c r="T455" s="3" t="n">
        <f aca="false">INDEX(Summary!$P$2:$P$201,MATCH($B455,Summary!$A$2:$A$201,0))</f>
        <v>1</v>
      </c>
      <c r="U455" s="2" t="n">
        <f aca="false">INDEX(Summary!$Q$2:$Q$201,MATCH($B455,Summary!$A$2:$A$201,0))</f>
        <v>13.07</v>
      </c>
      <c r="V455" s="2" t="n">
        <f aca="false">INDEX(Summary!$R$2:$R$201,MATCH($B455,Summary!$A$2:$A$201,0))</f>
        <v>26.58</v>
      </c>
      <c r="W455" s="0" t="str">
        <f aca="false">INDEX(Summary!$S$2:$S$201,MATCH($B455,Summary!$A$2:$A$201,0))</f>
        <v>Silver</v>
      </c>
      <c r="X455" s="2" t="n">
        <f aca="false">INDEX(Summary!$T$2:$T$201,MATCH($B455,Summary!$A$2:$A$201,0))</f>
        <v>64.83</v>
      </c>
      <c r="Y455" s="0" t="str">
        <f aca="false">INDEX('Reward Model'!$E$18:$E$37,MATCH($E455,'Reward Model'!$A$18:$A$37,0))</f>
        <v>Medium</v>
      </c>
      <c r="Z455" s="4" t="n">
        <f aca="false">ROUND(MIN(1,MAX('Reward Model'!$B$2,INDEX('Reward Model'!$C$12:$C$14,MATCH($K455,'Reward Model'!$A$12:$A$14,0))/$J455)),3)</f>
        <v>0.841</v>
      </c>
      <c r="AA455" s="2" t="n">
        <f aca="false">IF($I455="Correct",ROUND(INDEX('Reward Model'!$B$12:$B$14,MATCH($K455,'Reward Model'!$A$12:$A$14,0))*Z455,2),0)</f>
        <v>0</v>
      </c>
      <c r="AB455" s="2" t="n">
        <f aca="false">IF($I455="Correct",ROUND(INDEX('Reward Model'!$B$12:$B$14,MATCH($Y455,'Reward Model'!$A$12:$A$14,0))*Z455,2),0)</f>
        <v>0</v>
      </c>
    </row>
    <row r="456" customFormat="false" ht="15" hidden="false" customHeight="false" outlineLevel="0" collapsed="false">
      <c r="A456" s="0" t="s">
        <v>170</v>
      </c>
      <c r="B456" s="0" t="s">
        <v>171</v>
      </c>
      <c r="C456" s="0" t="s">
        <v>30</v>
      </c>
      <c r="D456" s="0" t="s">
        <v>31</v>
      </c>
      <c r="E456" s="0" t="n">
        <v>15</v>
      </c>
      <c r="F456" s="0" t="s">
        <v>69</v>
      </c>
      <c r="G456" s="0" t="s">
        <v>131</v>
      </c>
      <c r="H456" s="0" t="s">
        <v>70</v>
      </c>
      <c r="I456" s="0" t="s">
        <v>39</v>
      </c>
      <c r="J456" s="0" t="n">
        <v>2.01</v>
      </c>
      <c r="K456" s="0" t="s">
        <v>60</v>
      </c>
      <c r="L456" s="0" t="n">
        <f aca="false">INDEX(Summary!$F$2:$F$201,MATCH($B456,Summary!$A$2:$A$201,0))</f>
        <v>20</v>
      </c>
      <c r="M456" s="0" t="n">
        <f aca="false">INDEX(Summary!$I$2:$I$201,MATCH($B456,Summary!$A$2:$A$201,0))</f>
        <v>3</v>
      </c>
      <c r="N456" s="0" t="n">
        <f aca="false">INDEX(Summary!$J$2:$J$201,MATCH($B456,Summary!$A$2:$A$201,0))</f>
        <v>2</v>
      </c>
      <c r="O456" s="2" t="n">
        <f aca="false">INDEX(Summary!$K$2:$K$201,MATCH($B456,Summary!$A$2:$A$201,0))</f>
        <v>9.17</v>
      </c>
      <c r="P456" s="3" t="n">
        <f aca="false">INDEX(Summary!$L$2:$L$201,MATCH($B456,Summary!$A$2:$A$201,0))</f>
        <v>3</v>
      </c>
      <c r="Q456" s="3" t="n">
        <f aca="false">INDEX(Summary!$M$2:$M$201,MATCH($B456,Summary!$A$2:$A$201,0))</f>
        <v>3</v>
      </c>
      <c r="R456" s="2" t="n">
        <f aca="false">INDEX(Summary!$N$2:$N$201,MATCH($B456,Summary!$A$2:$A$201,0))</f>
        <v>10.64</v>
      </c>
      <c r="S456" s="3" t="n">
        <f aca="false">INDEX(Summary!$O$2:$O$201,MATCH($B456,Summary!$A$2:$A$201,0))</f>
        <v>8</v>
      </c>
      <c r="T456" s="3" t="n">
        <f aca="false">INDEX(Summary!$P$2:$P$201,MATCH($B456,Summary!$A$2:$A$201,0))</f>
        <v>1</v>
      </c>
      <c r="U456" s="2" t="n">
        <f aca="false">INDEX(Summary!$Q$2:$Q$201,MATCH($B456,Summary!$A$2:$A$201,0))</f>
        <v>13.07</v>
      </c>
      <c r="V456" s="2" t="n">
        <f aca="false">INDEX(Summary!$R$2:$R$201,MATCH($B456,Summary!$A$2:$A$201,0))</f>
        <v>26.58</v>
      </c>
      <c r="W456" s="0" t="str">
        <f aca="false">INDEX(Summary!$S$2:$S$201,MATCH($B456,Summary!$A$2:$A$201,0))</f>
        <v>Silver</v>
      </c>
      <c r="X456" s="2" t="n">
        <f aca="false">INDEX(Summary!$T$2:$T$201,MATCH($B456,Summary!$A$2:$A$201,0))</f>
        <v>64.83</v>
      </c>
      <c r="Y456" s="0" t="str">
        <f aca="false">INDEX('Reward Model'!$E$18:$E$37,MATCH($E456,'Reward Model'!$A$18:$A$37,0))</f>
        <v>Medium</v>
      </c>
      <c r="Z456" s="4" t="n">
        <f aca="false">ROUND(MIN(1,MAX('Reward Model'!$B$2,INDEX('Reward Model'!$C$12:$C$14,MATCH($K456,'Reward Model'!$A$12:$A$14,0))/$J456)),3)</f>
        <v>0.896</v>
      </c>
      <c r="AA456" s="2" t="n">
        <f aca="false">IF($I456="Correct",ROUND(INDEX('Reward Model'!$B$12:$B$14,MATCH($K456,'Reward Model'!$A$12:$A$14,0))*Z456,2),0)</f>
        <v>0</v>
      </c>
      <c r="AB456" s="2" t="n">
        <f aca="false">IF($I456="Correct",ROUND(INDEX('Reward Model'!$B$12:$B$14,MATCH($Y456,'Reward Model'!$A$12:$A$14,0))*Z456,2),0)</f>
        <v>0</v>
      </c>
    </row>
    <row r="457" customFormat="false" ht="15" hidden="false" customHeight="false" outlineLevel="0" collapsed="false">
      <c r="A457" s="0" t="s">
        <v>170</v>
      </c>
      <c r="B457" s="0" t="s">
        <v>171</v>
      </c>
      <c r="C457" s="0" t="s">
        <v>30</v>
      </c>
      <c r="D457" s="0" t="s">
        <v>31</v>
      </c>
      <c r="E457" s="0" t="n">
        <v>16</v>
      </c>
      <c r="F457" s="0" t="s">
        <v>71</v>
      </c>
      <c r="G457" s="0" t="s">
        <v>101</v>
      </c>
      <c r="H457" s="0" t="s">
        <v>72</v>
      </c>
      <c r="I457" s="0" t="s">
        <v>39</v>
      </c>
      <c r="J457" s="0" t="n">
        <v>2.02</v>
      </c>
      <c r="K457" s="0" t="s">
        <v>73</v>
      </c>
      <c r="L457" s="0" t="n">
        <f aca="false">INDEX(Summary!$F$2:$F$201,MATCH($B457,Summary!$A$2:$A$201,0))</f>
        <v>20</v>
      </c>
      <c r="M457" s="0" t="n">
        <f aca="false">INDEX(Summary!$I$2:$I$201,MATCH($B457,Summary!$A$2:$A$201,0))</f>
        <v>3</v>
      </c>
      <c r="N457" s="0" t="n">
        <f aca="false">INDEX(Summary!$J$2:$J$201,MATCH($B457,Summary!$A$2:$A$201,0))</f>
        <v>2</v>
      </c>
      <c r="O457" s="2" t="n">
        <f aca="false">INDEX(Summary!$K$2:$K$201,MATCH($B457,Summary!$A$2:$A$201,0))</f>
        <v>9.17</v>
      </c>
      <c r="P457" s="3" t="n">
        <f aca="false">INDEX(Summary!$L$2:$L$201,MATCH($B457,Summary!$A$2:$A$201,0))</f>
        <v>3</v>
      </c>
      <c r="Q457" s="3" t="n">
        <f aca="false">INDEX(Summary!$M$2:$M$201,MATCH($B457,Summary!$A$2:$A$201,0))</f>
        <v>3</v>
      </c>
      <c r="R457" s="2" t="n">
        <f aca="false">INDEX(Summary!$N$2:$N$201,MATCH($B457,Summary!$A$2:$A$201,0))</f>
        <v>10.64</v>
      </c>
      <c r="S457" s="3" t="n">
        <f aca="false">INDEX(Summary!$O$2:$O$201,MATCH($B457,Summary!$A$2:$A$201,0))</f>
        <v>8</v>
      </c>
      <c r="T457" s="3" t="n">
        <f aca="false">INDEX(Summary!$P$2:$P$201,MATCH($B457,Summary!$A$2:$A$201,0))</f>
        <v>1</v>
      </c>
      <c r="U457" s="2" t="n">
        <f aca="false">INDEX(Summary!$Q$2:$Q$201,MATCH($B457,Summary!$A$2:$A$201,0))</f>
        <v>13.07</v>
      </c>
      <c r="V457" s="2" t="n">
        <f aca="false">INDEX(Summary!$R$2:$R$201,MATCH($B457,Summary!$A$2:$A$201,0))</f>
        <v>26.58</v>
      </c>
      <c r="W457" s="0" t="str">
        <f aca="false">INDEX(Summary!$S$2:$S$201,MATCH($B457,Summary!$A$2:$A$201,0))</f>
        <v>Silver</v>
      </c>
      <c r="X457" s="2" t="n">
        <f aca="false">INDEX(Summary!$T$2:$T$201,MATCH($B457,Summary!$A$2:$A$201,0))</f>
        <v>64.83</v>
      </c>
      <c r="Y457" s="0" t="str">
        <f aca="false">INDEX('Reward Model'!$E$18:$E$37,MATCH($E457,'Reward Model'!$A$18:$A$37,0))</f>
        <v>High</v>
      </c>
      <c r="Z457" s="4" t="n">
        <f aca="false">ROUND(MIN(1,MAX('Reward Model'!$B$2,INDEX('Reward Model'!$C$12:$C$14,MATCH($K457,'Reward Model'!$A$12:$A$14,0))/$J457)),3)</f>
        <v>0.99</v>
      </c>
      <c r="AA457" s="2" t="n">
        <f aca="false">IF($I457="Correct",ROUND(INDEX('Reward Model'!$B$12:$B$14,MATCH($K457,'Reward Model'!$A$12:$A$14,0))*Z457,2),0)</f>
        <v>0</v>
      </c>
      <c r="AB457" s="2" t="n">
        <f aca="false">IF($I457="Correct",ROUND(INDEX('Reward Model'!$B$12:$B$14,MATCH($Y457,'Reward Model'!$A$12:$A$14,0))*Z457,2),0)</f>
        <v>0</v>
      </c>
    </row>
    <row r="458" customFormat="false" ht="15" hidden="false" customHeight="false" outlineLevel="0" collapsed="false">
      <c r="A458" s="0" t="s">
        <v>170</v>
      </c>
      <c r="B458" s="0" t="s">
        <v>171</v>
      </c>
      <c r="C458" s="0" t="s">
        <v>30</v>
      </c>
      <c r="D458" s="0" t="s">
        <v>31</v>
      </c>
      <c r="E458" s="0" t="n">
        <v>17</v>
      </c>
      <c r="F458" s="0" t="s">
        <v>74</v>
      </c>
      <c r="G458" s="0" t="s">
        <v>75</v>
      </c>
      <c r="H458" s="0" t="s">
        <v>75</v>
      </c>
      <c r="I458" s="0" t="s">
        <v>34</v>
      </c>
      <c r="J458" s="0" t="n">
        <v>2</v>
      </c>
      <c r="K458" s="0" t="s">
        <v>73</v>
      </c>
      <c r="L458" s="0" t="n">
        <f aca="false">INDEX(Summary!$F$2:$F$201,MATCH($B458,Summary!$A$2:$A$201,0))</f>
        <v>20</v>
      </c>
      <c r="M458" s="0" t="n">
        <f aca="false">INDEX(Summary!$I$2:$I$201,MATCH($B458,Summary!$A$2:$A$201,0))</f>
        <v>3</v>
      </c>
      <c r="N458" s="0" t="n">
        <f aca="false">INDEX(Summary!$J$2:$J$201,MATCH($B458,Summary!$A$2:$A$201,0))</f>
        <v>2</v>
      </c>
      <c r="O458" s="2" t="n">
        <f aca="false">INDEX(Summary!$K$2:$K$201,MATCH($B458,Summary!$A$2:$A$201,0))</f>
        <v>9.17</v>
      </c>
      <c r="P458" s="3" t="n">
        <f aca="false">INDEX(Summary!$L$2:$L$201,MATCH($B458,Summary!$A$2:$A$201,0))</f>
        <v>3</v>
      </c>
      <c r="Q458" s="3" t="n">
        <f aca="false">INDEX(Summary!$M$2:$M$201,MATCH($B458,Summary!$A$2:$A$201,0))</f>
        <v>3</v>
      </c>
      <c r="R458" s="2" t="n">
        <f aca="false">INDEX(Summary!$N$2:$N$201,MATCH($B458,Summary!$A$2:$A$201,0))</f>
        <v>10.64</v>
      </c>
      <c r="S458" s="3" t="n">
        <f aca="false">INDEX(Summary!$O$2:$O$201,MATCH($B458,Summary!$A$2:$A$201,0))</f>
        <v>8</v>
      </c>
      <c r="T458" s="3" t="n">
        <f aca="false">INDEX(Summary!$P$2:$P$201,MATCH($B458,Summary!$A$2:$A$201,0))</f>
        <v>1</v>
      </c>
      <c r="U458" s="2" t="n">
        <f aca="false">INDEX(Summary!$Q$2:$Q$201,MATCH($B458,Summary!$A$2:$A$201,0))</f>
        <v>13.07</v>
      </c>
      <c r="V458" s="2" t="n">
        <f aca="false">INDEX(Summary!$R$2:$R$201,MATCH($B458,Summary!$A$2:$A$201,0))</f>
        <v>26.58</v>
      </c>
      <c r="W458" s="0" t="str">
        <f aca="false">INDEX(Summary!$S$2:$S$201,MATCH($B458,Summary!$A$2:$A$201,0))</f>
        <v>Silver</v>
      </c>
      <c r="X458" s="2" t="n">
        <f aca="false">INDEX(Summary!$T$2:$T$201,MATCH($B458,Summary!$A$2:$A$201,0))</f>
        <v>64.83</v>
      </c>
      <c r="Y458" s="0" t="str">
        <f aca="false">INDEX('Reward Model'!$E$18:$E$37,MATCH($E458,'Reward Model'!$A$18:$A$37,0))</f>
        <v>High</v>
      </c>
      <c r="Z458" s="4" t="n">
        <f aca="false">ROUND(MIN(1,MAX('Reward Model'!$B$2,INDEX('Reward Model'!$C$12:$C$14,MATCH($K458,'Reward Model'!$A$12:$A$14,0))/$J458)),3)</f>
        <v>1</v>
      </c>
      <c r="AA458" s="2" t="n">
        <f aca="false">IF($I458="Correct",ROUND(INDEX('Reward Model'!$B$12:$B$14,MATCH($K458,'Reward Model'!$A$12:$A$14,0))*Z458,2),0)</f>
        <v>3</v>
      </c>
      <c r="AB458" s="2" t="n">
        <f aca="false">IF($I458="Correct",ROUND(INDEX('Reward Model'!$B$12:$B$14,MATCH($Y458,'Reward Model'!$A$12:$A$14,0))*Z458,2),0)</f>
        <v>3</v>
      </c>
    </row>
    <row r="459" customFormat="false" ht="15" hidden="false" customHeight="false" outlineLevel="0" collapsed="false">
      <c r="A459" s="0" t="s">
        <v>170</v>
      </c>
      <c r="B459" s="0" t="s">
        <v>171</v>
      </c>
      <c r="C459" s="0" t="s">
        <v>30</v>
      </c>
      <c r="D459" s="0" t="s">
        <v>31</v>
      </c>
      <c r="E459" s="0" t="n">
        <v>18</v>
      </c>
      <c r="F459" s="0" t="s">
        <v>76</v>
      </c>
      <c r="G459" s="0" t="s">
        <v>128</v>
      </c>
      <c r="H459" s="0" t="s">
        <v>77</v>
      </c>
      <c r="I459" s="0" t="s">
        <v>39</v>
      </c>
      <c r="J459" s="0" t="n">
        <v>1.22</v>
      </c>
      <c r="K459" s="0" t="s">
        <v>73</v>
      </c>
      <c r="L459" s="0" t="n">
        <f aca="false">INDEX(Summary!$F$2:$F$201,MATCH($B459,Summary!$A$2:$A$201,0))</f>
        <v>20</v>
      </c>
      <c r="M459" s="0" t="n">
        <f aca="false">INDEX(Summary!$I$2:$I$201,MATCH($B459,Summary!$A$2:$A$201,0))</f>
        <v>3</v>
      </c>
      <c r="N459" s="0" t="n">
        <f aca="false">INDEX(Summary!$J$2:$J$201,MATCH($B459,Summary!$A$2:$A$201,0))</f>
        <v>2</v>
      </c>
      <c r="O459" s="2" t="n">
        <f aca="false">INDEX(Summary!$K$2:$K$201,MATCH($B459,Summary!$A$2:$A$201,0))</f>
        <v>9.17</v>
      </c>
      <c r="P459" s="3" t="n">
        <f aca="false">INDEX(Summary!$L$2:$L$201,MATCH($B459,Summary!$A$2:$A$201,0))</f>
        <v>3</v>
      </c>
      <c r="Q459" s="3" t="n">
        <f aca="false">INDEX(Summary!$M$2:$M$201,MATCH($B459,Summary!$A$2:$A$201,0))</f>
        <v>3</v>
      </c>
      <c r="R459" s="2" t="n">
        <f aca="false">INDEX(Summary!$N$2:$N$201,MATCH($B459,Summary!$A$2:$A$201,0))</f>
        <v>10.64</v>
      </c>
      <c r="S459" s="3" t="n">
        <f aca="false">INDEX(Summary!$O$2:$O$201,MATCH($B459,Summary!$A$2:$A$201,0))</f>
        <v>8</v>
      </c>
      <c r="T459" s="3" t="n">
        <f aca="false">INDEX(Summary!$P$2:$P$201,MATCH($B459,Summary!$A$2:$A$201,0))</f>
        <v>1</v>
      </c>
      <c r="U459" s="2" t="n">
        <f aca="false">INDEX(Summary!$Q$2:$Q$201,MATCH($B459,Summary!$A$2:$A$201,0))</f>
        <v>13.07</v>
      </c>
      <c r="V459" s="2" t="n">
        <f aca="false">INDEX(Summary!$R$2:$R$201,MATCH($B459,Summary!$A$2:$A$201,0))</f>
        <v>26.58</v>
      </c>
      <c r="W459" s="0" t="str">
        <f aca="false">INDEX(Summary!$S$2:$S$201,MATCH($B459,Summary!$A$2:$A$201,0))</f>
        <v>Silver</v>
      </c>
      <c r="X459" s="2" t="n">
        <f aca="false">INDEX(Summary!$T$2:$T$201,MATCH($B459,Summary!$A$2:$A$201,0))</f>
        <v>64.83</v>
      </c>
      <c r="Y459" s="0" t="str">
        <f aca="false">INDEX('Reward Model'!$E$18:$E$37,MATCH($E459,'Reward Model'!$A$18:$A$37,0))</f>
        <v>High</v>
      </c>
      <c r="Z459" s="4" t="n">
        <f aca="false">ROUND(MIN(1,MAX('Reward Model'!$B$2,INDEX('Reward Model'!$C$12:$C$14,MATCH($K459,'Reward Model'!$A$12:$A$14,0))/$J459)),3)</f>
        <v>1</v>
      </c>
      <c r="AA459" s="2" t="n">
        <f aca="false">IF($I459="Correct",ROUND(INDEX('Reward Model'!$B$12:$B$14,MATCH($K459,'Reward Model'!$A$12:$A$14,0))*Z459,2),0)</f>
        <v>0</v>
      </c>
      <c r="AB459" s="2" t="n">
        <f aca="false">IF($I459="Correct",ROUND(INDEX('Reward Model'!$B$12:$B$14,MATCH($Y459,'Reward Model'!$A$12:$A$14,0))*Z459,2),0)</f>
        <v>0</v>
      </c>
    </row>
    <row r="460" customFormat="false" ht="15" hidden="false" customHeight="false" outlineLevel="0" collapsed="false">
      <c r="A460" s="0" t="s">
        <v>170</v>
      </c>
      <c r="B460" s="0" t="s">
        <v>171</v>
      </c>
      <c r="C460" s="0" t="s">
        <v>30</v>
      </c>
      <c r="D460" s="0" t="s">
        <v>31</v>
      </c>
      <c r="E460" s="0" t="n">
        <v>19</v>
      </c>
      <c r="F460" s="0" t="s">
        <v>78</v>
      </c>
      <c r="G460" s="0" t="s">
        <v>80</v>
      </c>
      <c r="H460" s="0" t="s">
        <v>80</v>
      </c>
      <c r="I460" s="0" t="s">
        <v>34</v>
      </c>
      <c r="J460" s="0" t="n">
        <v>1.7</v>
      </c>
      <c r="K460" s="0" t="s">
        <v>73</v>
      </c>
      <c r="L460" s="0" t="n">
        <f aca="false">INDEX(Summary!$F$2:$F$201,MATCH($B460,Summary!$A$2:$A$201,0))</f>
        <v>20</v>
      </c>
      <c r="M460" s="0" t="n">
        <f aca="false">INDEX(Summary!$I$2:$I$201,MATCH($B460,Summary!$A$2:$A$201,0))</f>
        <v>3</v>
      </c>
      <c r="N460" s="0" t="n">
        <f aca="false">INDEX(Summary!$J$2:$J$201,MATCH($B460,Summary!$A$2:$A$201,0))</f>
        <v>2</v>
      </c>
      <c r="O460" s="2" t="n">
        <f aca="false">INDEX(Summary!$K$2:$K$201,MATCH($B460,Summary!$A$2:$A$201,0))</f>
        <v>9.17</v>
      </c>
      <c r="P460" s="3" t="n">
        <f aca="false">INDEX(Summary!$L$2:$L$201,MATCH($B460,Summary!$A$2:$A$201,0))</f>
        <v>3</v>
      </c>
      <c r="Q460" s="3" t="n">
        <f aca="false">INDEX(Summary!$M$2:$M$201,MATCH($B460,Summary!$A$2:$A$201,0))</f>
        <v>3</v>
      </c>
      <c r="R460" s="2" t="n">
        <f aca="false">INDEX(Summary!$N$2:$N$201,MATCH($B460,Summary!$A$2:$A$201,0))</f>
        <v>10.64</v>
      </c>
      <c r="S460" s="3" t="n">
        <f aca="false">INDEX(Summary!$O$2:$O$201,MATCH($B460,Summary!$A$2:$A$201,0))</f>
        <v>8</v>
      </c>
      <c r="T460" s="3" t="n">
        <f aca="false">INDEX(Summary!$P$2:$P$201,MATCH($B460,Summary!$A$2:$A$201,0))</f>
        <v>1</v>
      </c>
      <c r="U460" s="2" t="n">
        <f aca="false">INDEX(Summary!$Q$2:$Q$201,MATCH($B460,Summary!$A$2:$A$201,0))</f>
        <v>13.07</v>
      </c>
      <c r="V460" s="2" t="n">
        <f aca="false">INDEX(Summary!$R$2:$R$201,MATCH($B460,Summary!$A$2:$A$201,0))</f>
        <v>26.58</v>
      </c>
      <c r="W460" s="0" t="str">
        <f aca="false">INDEX(Summary!$S$2:$S$201,MATCH($B460,Summary!$A$2:$A$201,0))</f>
        <v>Silver</v>
      </c>
      <c r="X460" s="2" t="n">
        <f aca="false">INDEX(Summary!$T$2:$T$201,MATCH($B460,Summary!$A$2:$A$201,0))</f>
        <v>64.83</v>
      </c>
      <c r="Y460" s="0" t="str">
        <f aca="false">INDEX('Reward Model'!$E$18:$E$37,MATCH($E460,'Reward Model'!$A$18:$A$37,0))</f>
        <v>High</v>
      </c>
      <c r="Z460" s="4" t="n">
        <f aca="false">ROUND(MIN(1,MAX('Reward Model'!$B$2,INDEX('Reward Model'!$C$12:$C$14,MATCH($K460,'Reward Model'!$A$12:$A$14,0))/$J460)),3)</f>
        <v>1</v>
      </c>
      <c r="AA460" s="2" t="n">
        <f aca="false">IF($I460="Correct",ROUND(INDEX('Reward Model'!$B$12:$B$14,MATCH($K460,'Reward Model'!$A$12:$A$14,0))*Z460,2),0)</f>
        <v>3</v>
      </c>
      <c r="AB460" s="2" t="n">
        <f aca="false">IF($I460="Correct",ROUND(INDEX('Reward Model'!$B$12:$B$14,MATCH($Y460,'Reward Model'!$A$12:$A$14,0))*Z460,2),0)</f>
        <v>3</v>
      </c>
    </row>
    <row r="461" customFormat="false" ht="15" hidden="false" customHeight="false" outlineLevel="0" collapsed="false">
      <c r="A461" s="0" t="s">
        <v>170</v>
      </c>
      <c r="B461" s="0" t="s">
        <v>171</v>
      </c>
      <c r="C461" s="0" t="s">
        <v>30</v>
      </c>
      <c r="D461" s="0" t="s">
        <v>31</v>
      </c>
      <c r="E461" s="0" t="n">
        <v>20</v>
      </c>
      <c r="F461" s="0" t="s">
        <v>81</v>
      </c>
      <c r="G461" s="0" t="s">
        <v>83</v>
      </c>
      <c r="H461" s="0" t="s">
        <v>83</v>
      </c>
      <c r="I461" s="0" t="s">
        <v>34</v>
      </c>
      <c r="J461" s="0" t="n">
        <v>2.23</v>
      </c>
      <c r="K461" s="0" t="s">
        <v>73</v>
      </c>
      <c r="L461" s="0" t="n">
        <f aca="false">INDEX(Summary!$F$2:$F$201,MATCH($B461,Summary!$A$2:$A$201,0))</f>
        <v>20</v>
      </c>
      <c r="M461" s="0" t="n">
        <f aca="false">INDEX(Summary!$I$2:$I$201,MATCH($B461,Summary!$A$2:$A$201,0))</f>
        <v>3</v>
      </c>
      <c r="N461" s="0" t="n">
        <f aca="false">INDEX(Summary!$J$2:$J$201,MATCH($B461,Summary!$A$2:$A$201,0))</f>
        <v>2</v>
      </c>
      <c r="O461" s="2" t="n">
        <f aca="false">INDEX(Summary!$K$2:$K$201,MATCH($B461,Summary!$A$2:$A$201,0))</f>
        <v>9.17</v>
      </c>
      <c r="P461" s="3" t="n">
        <f aca="false">INDEX(Summary!$L$2:$L$201,MATCH($B461,Summary!$A$2:$A$201,0))</f>
        <v>3</v>
      </c>
      <c r="Q461" s="3" t="n">
        <f aca="false">INDEX(Summary!$M$2:$M$201,MATCH($B461,Summary!$A$2:$A$201,0))</f>
        <v>3</v>
      </c>
      <c r="R461" s="2" t="n">
        <f aca="false">INDEX(Summary!$N$2:$N$201,MATCH($B461,Summary!$A$2:$A$201,0))</f>
        <v>10.64</v>
      </c>
      <c r="S461" s="3" t="n">
        <f aca="false">INDEX(Summary!$O$2:$O$201,MATCH($B461,Summary!$A$2:$A$201,0))</f>
        <v>8</v>
      </c>
      <c r="T461" s="3" t="n">
        <f aca="false">INDEX(Summary!$P$2:$P$201,MATCH($B461,Summary!$A$2:$A$201,0))</f>
        <v>1</v>
      </c>
      <c r="U461" s="2" t="n">
        <f aca="false">INDEX(Summary!$Q$2:$Q$201,MATCH($B461,Summary!$A$2:$A$201,0))</f>
        <v>13.07</v>
      </c>
      <c r="V461" s="2" t="n">
        <f aca="false">INDEX(Summary!$R$2:$R$201,MATCH($B461,Summary!$A$2:$A$201,0))</f>
        <v>26.58</v>
      </c>
      <c r="W461" s="0" t="str">
        <f aca="false">INDEX(Summary!$S$2:$S$201,MATCH($B461,Summary!$A$2:$A$201,0))</f>
        <v>Silver</v>
      </c>
      <c r="X461" s="2" t="n">
        <f aca="false">INDEX(Summary!$T$2:$T$201,MATCH($B461,Summary!$A$2:$A$201,0))</f>
        <v>64.83</v>
      </c>
      <c r="Y461" s="0" t="str">
        <f aca="false">INDEX('Reward Model'!$E$18:$E$37,MATCH($E461,'Reward Model'!$A$18:$A$37,0))</f>
        <v>High</v>
      </c>
      <c r="Z461" s="4" t="n">
        <f aca="false">ROUND(MIN(1,MAX('Reward Model'!$B$2,INDEX('Reward Model'!$C$12:$C$14,MATCH($K461,'Reward Model'!$A$12:$A$14,0))/$J461)),3)</f>
        <v>0.897</v>
      </c>
      <c r="AA461" s="2" t="n">
        <f aca="false">IF($I461="Correct",ROUND(INDEX('Reward Model'!$B$12:$B$14,MATCH($K461,'Reward Model'!$A$12:$A$14,0))*Z461,2),0)</f>
        <v>2.69</v>
      </c>
      <c r="AB461" s="2" t="n">
        <f aca="false">IF($I461="Correct",ROUND(INDEX('Reward Model'!$B$12:$B$14,MATCH($Y461,'Reward Model'!$A$12:$A$14,0))*Z461,2),0)</f>
        <v>2.69</v>
      </c>
    </row>
    <row r="462" customFormat="false" ht="15" hidden="false" customHeight="false" outlineLevel="0" collapsed="false">
      <c r="A462" s="0" t="s">
        <v>172</v>
      </c>
      <c r="B462" s="0" t="s">
        <v>173</v>
      </c>
      <c r="C462" s="0" t="s">
        <v>30</v>
      </c>
      <c r="D462" s="0" t="s">
        <v>31</v>
      </c>
      <c r="E462" s="0" t="n">
        <v>1</v>
      </c>
      <c r="F462" s="0" t="s">
        <v>32</v>
      </c>
      <c r="G462" s="0" t="s">
        <v>33</v>
      </c>
      <c r="H462" s="0" t="s">
        <v>33</v>
      </c>
      <c r="I462" s="0" t="s">
        <v>34</v>
      </c>
      <c r="J462" s="0" t="n">
        <v>1.4</v>
      </c>
      <c r="K462" s="0" t="s">
        <v>35</v>
      </c>
      <c r="L462" s="0" t="n">
        <f aca="false">INDEX(Summary!$F$2:$F$201,MATCH($B462,Summary!$A$2:$A$201,0))</f>
        <v>20</v>
      </c>
      <c r="M462" s="0" t="n">
        <f aca="false">INDEX(Summary!$I$2:$I$201,MATCH($B462,Summary!$A$2:$A$201,0))</f>
        <v>4</v>
      </c>
      <c r="N462" s="0" t="n">
        <f aca="false">INDEX(Summary!$J$2:$J$201,MATCH($B462,Summary!$A$2:$A$201,0))</f>
        <v>1</v>
      </c>
      <c r="O462" s="2" t="n">
        <f aca="false">INDEX(Summary!$K$2:$K$201,MATCH($B462,Summary!$A$2:$A$201,0))</f>
        <v>9.08</v>
      </c>
      <c r="P462" s="3" t="n">
        <f aca="false">INDEX(Summary!$L$2:$L$201,MATCH($B462,Summary!$A$2:$A$201,0))</f>
        <v>3</v>
      </c>
      <c r="Q462" s="3" t="n">
        <f aca="false">INDEX(Summary!$M$2:$M$201,MATCH($B462,Summary!$A$2:$A$201,0))</f>
        <v>3</v>
      </c>
      <c r="R462" s="2" t="n">
        <f aca="false">INDEX(Summary!$N$2:$N$201,MATCH($B462,Summary!$A$2:$A$201,0))</f>
        <v>10.53</v>
      </c>
      <c r="S462" s="3" t="n">
        <f aca="false">INDEX(Summary!$O$2:$O$201,MATCH($B462,Summary!$A$2:$A$201,0))</f>
        <v>8</v>
      </c>
      <c r="T462" s="3" t="n">
        <f aca="false">INDEX(Summary!$P$2:$P$201,MATCH($B462,Summary!$A$2:$A$201,0))</f>
        <v>1</v>
      </c>
      <c r="U462" s="2" t="n">
        <f aca="false">INDEX(Summary!$Q$2:$Q$201,MATCH($B462,Summary!$A$2:$A$201,0))</f>
        <v>13.14</v>
      </c>
      <c r="V462" s="2" t="n">
        <f aca="false">INDEX(Summary!$R$2:$R$201,MATCH($B462,Summary!$A$2:$A$201,0))</f>
        <v>28.88</v>
      </c>
      <c r="W462" s="0" t="str">
        <f aca="false">INDEX(Summary!$S$2:$S$201,MATCH($B462,Summary!$A$2:$A$201,0))</f>
        <v>Gold</v>
      </c>
      <c r="X462" s="2" t="n">
        <f aca="false">INDEX(Summary!$T$2:$T$201,MATCH($B462,Summary!$A$2:$A$201,0))</f>
        <v>70.44</v>
      </c>
      <c r="Y462" s="0" t="str">
        <f aca="false">INDEX('Reward Model'!$E$18:$E$37,MATCH($E462,'Reward Model'!$A$18:$A$37,0))</f>
        <v>Medium</v>
      </c>
      <c r="Z462" s="4" t="n">
        <f aca="false">ROUND(MIN(1,MAX('Reward Model'!$B$2,INDEX('Reward Model'!$C$12:$C$14,MATCH($K462,'Reward Model'!$A$12:$A$14,0))/$J462)),3)</f>
        <v>1</v>
      </c>
      <c r="AA462" s="2" t="n">
        <f aca="false">IF($I462="Correct",ROUND(INDEX('Reward Model'!$B$12:$B$14,MATCH($K462,'Reward Model'!$A$12:$A$14,0))*Z462,2),0)</f>
        <v>1</v>
      </c>
      <c r="AB462" s="2" t="n">
        <f aca="false">IF($I462="Correct",ROUND(INDEX('Reward Model'!$B$12:$B$14,MATCH($Y462,'Reward Model'!$A$12:$A$14,0))*Z462,2),0)</f>
        <v>2</v>
      </c>
    </row>
    <row r="463" customFormat="false" ht="15" hidden="false" customHeight="false" outlineLevel="0" collapsed="false">
      <c r="A463" s="0" t="s">
        <v>172</v>
      </c>
      <c r="B463" s="0" t="s">
        <v>173</v>
      </c>
      <c r="C463" s="0" t="s">
        <v>30</v>
      </c>
      <c r="D463" s="0" t="s">
        <v>31</v>
      </c>
      <c r="E463" s="0" t="n">
        <v>2</v>
      </c>
      <c r="F463" s="0" t="s">
        <v>36</v>
      </c>
      <c r="G463" s="0" t="s">
        <v>38</v>
      </c>
      <c r="H463" s="0" t="s">
        <v>38</v>
      </c>
      <c r="I463" s="0" t="s">
        <v>34</v>
      </c>
      <c r="J463" s="0" t="n">
        <v>1.64</v>
      </c>
      <c r="K463" s="0" t="s">
        <v>35</v>
      </c>
      <c r="L463" s="0" t="n">
        <f aca="false">INDEX(Summary!$F$2:$F$201,MATCH($B463,Summary!$A$2:$A$201,0))</f>
        <v>20</v>
      </c>
      <c r="M463" s="0" t="n">
        <f aca="false">INDEX(Summary!$I$2:$I$201,MATCH($B463,Summary!$A$2:$A$201,0))</f>
        <v>4</v>
      </c>
      <c r="N463" s="0" t="n">
        <f aca="false">INDEX(Summary!$J$2:$J$201,MATCH($B463,Summary!$A$2:$A$201,0))</f>
        <v>1</v>
      </c>
      <c r="O463" s="2" t="n">
        <f aca="false">INDEX(Summary!$K$2:$K$201,MATCH($B463,Summary!$A$2:$A$201,0))</f>
        <v>9.08</v>
      </c>
      <c r="P463" s="3" t="n">
        <f aca="false">INDEX(Summary!$L$2:$L$201,MATCH($B463,Summary!$A$2:$A$201,0))</f>
        <v>3</v>
      </c>
      <c r="Q463" s="3" t="n">
        <f aca="false">INDEX(Summary!$M$2:$M$201,MATCH($B463,Summary!$A$2:$A$201,0))</f>
        <v>3</v>
      </c>
      <c r="R463" s="2" t="n">
        <f aca="false">INDEX(Summary!$N$2:$N$201,MATCH($B463,Summary!$A$2:$A$201,0))</f>
        <v>10.53</v>
      </c>
      <c r="S463" s="3" t="n">
        <f aca="false">INDEX(Summary!$O$2:$O$201,MATCH($B463,Summary!$A$2:$A$201,0))</f>
        <v>8</v>
      </c>
      <c r="T463" s="3" t="n">
        <f aca="false">INDEX(Summary!$P$2:$P$201,MATCH($B463,Summary!$A$2:$A$201,0))</f>
        <v>1</v>
      </c>
      <c r="U463" s="2" t="n">
        <f aca="false">INDEX(Summary!$Q$2:$Q$201,MATCH($B463,Summary!$A$2:$A$201,0))</f>
        <v>13.14</v>
      </c>
      <c r="V463" s="2" t="n">
        <f aca="false">INDEX(Summary!$R$2:$R$201,MATCH($B463,Summary!$A$2:$A$201,0))</f>
        <v>28.88</v>
      </c>
      <c r="W463" s="0" t="str">
        <f aca="false">INDEX(Summary!$S$2:$S$201,MATCH($B463,Summary!$A$2:$A$201,0))</f>
        <v>Gold</v>
      </c>
      <c r="X463" s="2" t="n">
        <f aca="false">INDEX(Summary!$T$2:$T$201,MATCH($B463,Summary!$A$2:$A$201,0))</f>
        <v>70.44</v>
      </c>
      <c r="Y463" s="0" t="str">
        <f aca="false">INDEX('Reward Model'!$E$18:$E$37,MATCH($E463,'Reward Model'!$A$18:$A$37,0))</f>
        <v>Low</v>
      </c>
      <c r="Z463" s="4" t="n">
        <f aca="false">ROUND(MIN(1,MAX('Reward Model'!$B$2,INDEX('Reward Model'!$C$12:$C$14,MATCH($K463,'Reward Model'!$A$12:$A$14,0))/$J463)),3)</f>
        <v>0.915</v>
      </c>
      <c r="AA463" s="2" t="n">
        <f aca="false">IF($I463="Correct",ROUND(INDEX('Reward Model'!$B$12:$B$14,MATCH($K463,'Reward Model'!$A$12:$A$14,0))*Z463,2),0)</f>
        <v>0.92</v>
      </c>
      <c r="AB463" s="2" t="n">
        <f aca="false">IF($I463="Correct",ROUND(INDEX('Reward Model'!$B$12:$B$14,MATCH($Y463,'Reward Model'!$A$12:$A$14,0))*Z463,2),0)</f>
        <v>0.92</v>
      </c>
    </row>
    <row r="464" customFormat="false" ht="15" hidden="false" customHeight="false" outlineLevel="0" collapsed="false">
      <c r="A464" s="0" t="s">
        <v>172</v>
      </c>
      <c r="B464" s="0" t="s">
        <v>173</v>
      </c>
      <c r="C464" s="0" t="s">
        <v>30</v>
      </c>
      <c r="D464" s="0" t="s">
        <v>31</v>
      </c>
      <c r="E464" s="0" t="n">
        <v>3</v>
      </c>
      <c r="F464" s="0" t="s">
        <v>40</v>
      </c>
      <c r="G464" s="0" t="s">
        <v>42</v>
      </c>
      <c r="H464" s="0" t="s">
        <v>42</v>
      </c>
      <c r="I464" s="0" t="s">
        <v>34</v>
      </c>
      <c r="J464" s="0" t="n">
        <v>1.49</v>
      </c>
      <c r="K464" s="0" t="s">
        <v>35</v>
      </c>
      <c r="L464" s="0" t="n">
        <f aca="false">INDEX(Summary!$F$2:$F$201,MATCH($B464,Summary!$A$2:$A$201,0))</f>
        <v>20</v>
      </c>
      <c r="M464" s="0" t="n">
        <f aca="false">INDEX(Summary!$I$2:$I$201,MATCH($B464,Summary!$A$2:$A$201,0))</f>
        <v>4</v>
      </c>
      <c r="N464" s="0" t="n">
        <f aca="false">INDEX(Summary!$J$2:$J$201,MATCH($B464,Summary!$A$2:$A$201,0))</f>
        <v>1</v>
      </c>
      <c r="O464" s="2" t="n">
        <f aca="false">INDEX(Summary!$K$2:$K$201,MATCH($B464,Summary!$A$2:$A$201,0))</f>
        <v>9.08</v>
      </c>
      <c r="P464" s="3" t="n">
        <f aca="false">INDEX(Summary!$L$2:$L$201,MATCH($B464,Summary!$A$2:$A$201,0))</f>
        <v>3</v>
      </c>
      <c r="Q464" s="3" t="n">
        <f aca="false">INDEX(Summary!$M$2:$M$201,MATCH($B464,Summary!$A$2:$A$201,0))</f>
        <v>3</v>
      </c>
      <c r="R464" s="2" t="n">
        <f aca="false">INDEX(Summary!$N$2:$N$201,MATCH($B464,Summary!$A$2:$A$201,0))</f>
        <v>10.53</v>
      </c>
      <c r="S464" s="3" t="n">
        <f aca="false">INDEX(Summary!$O$2:$O$201,MATCH($B464,Summary!$A$2:$A$201,0))</f>
        <v>8</v>
      </c>
      <c r="T464" s="3" t="n">
        <f aca="false">INDEX(Summary!$P$2:$P$201,MATCH($B464,Summary!$A$2:$A$201,0))</f>
        <v>1</v>
      </c>
      <c r="U464" s="2" t="n">
        <f aca="false">INDEX(Summary!$Q$2:$Q$201,MATCH($B464,Summary!$A$2:$A$201,0))</f>
        <v>13.14</v>
      </c>
      <c r="V464" s="2" t="n">
        <f aca="false">INDEX(Summary!$R$2:$R$201,MATCH($B464,Summary!$A$2:$A$201,0))</f>
        <v>28.88</v>
      </c>
      <c r="W464" s="0" t="str">
        <f aca="false">INDEX(Summary!$S$2:$S$201,MATCH($B464,Summary!$A$2:$A$201,0))</f>
        <v>Gold</v>
      </c>
      <c r="X464" s="2" t="n">
        <f aca="false">INDEX(Summary!$T$2:$T$201,MATCH($B464,Summary!$A$2:$A$201,0))</f>
        <v>70.44</v>
      </c>
      <c r="Y464" s="0" t="str">
        <f aca="false">INDEX('Reward Model'!$E$18:$E$37,MATCH($E464,'Reward Model'!$A$18:$A$37,0))</f>
        <v>Medium</v>
      </c>
      <c r="Z464" s="4" t="n">
        <f aca="false">ROUND(MIN(1,MAX('Reward Model'!$B$2,INDEX('Reward Model'!$C$12:$C$14,MATCH($K464,'Reward Model'!$A$12:$A$14,0))/$J464)),3)</f>
        <v>1</v>
      </c>
      <c r="AA464" s="2" t="n">
        <f aca="false">IF($I464="Correct",ROUND(INDEX('Reward Model'!$B$12:$B$14,MATCH($K464,'Reward Model'!$A$12:$A$14,0))*Z464,2),0)</f>
        <v>1</v>
      </c>
      <c r="AB464" s="2" t="n">
        <f aca="false">IF($I464="Correct",ROUND(INDEX('Reward Model'!$B$12:$B$14,MATCH($Y464,'Reward Model'!$A$12:$A$14,0))*Z464,2),0)</f>
        <v>2</v>
      </c>
    </row>
    <row r="465" customFormat="false" ht="15" hidden="false" customHeight="false" outlineLevel="0" collapsed="false">
      <c r="A465" s="0" t="s">
        <v>172</v>
      </c>
      <c r="B465" s="0" t="s">
        <v>173</v>
      </c>
      <c r="C465" s="0" t="s">
        <v>30</v>
      </c>
      <c r="D465" s="0" t="s">
        <v>31</v>
      </c>
      <c r="E465" s="0" t="n">
        <v>4</v>
      </c>
      <c r="F465" s="0" t="s">
        <v>43</v>
      </c>
      <c r="G465" s="0" t="s">
        <v>45</v>
      </c>
      <c r="H465" s="0" t="s">
        <v>45</v>
      </c>
      <c r="I465" s="0" t="s">
        <v>34</v>
      </c>
      <c r="J465" s="0" t="n">
        <v>1.6</v>
      </c>
      <c r="K465" s="0" t="s">
        <v>35</v>
      </c>
      <c r="L465" s="0" t="n">
        <f aca="false">INDEX(Summary!$F$2:$F$201,MATCH($B465,Summary!$A$2:$A$201,0))</f>
        <v>20</v>
      </c>
      <c r="M465" s="0" t="n">
        <f aca="false">INDEX(Summary!$I$2:$I$201,MATCH($B465,Summary!$A$2:$A$201,0))</f>
        <v>4</v>
      </c>
      <c r="N465" s="0" t="n">
        <f aca="false">INDEX(Summary!$J$2:$J$201,MATCH($B465,Summary!$A$2:$A$201,0))</f>
        <v>1</v>
      </c>
      <c r="O465" s="2" t="n">
        <f aca="false">INDEX(Summary!$K$2:$K$201,MATCH($B465,Summary!$A$2:$A$201,0))</f>
        <v>9.08</v>
      </c>
      <c r="P465" s="3" t="n">
        <f aca="false">INDEX(Summary!$L$2:$L$201,MATCH($B465,Summary!$A$2:$A$201,0))</f>
        <v>3</v>
      </c>
      <c r="Q465" s="3" t="n">
        <f aca="false">INDEX(Summary!$M$2:$M$201,MATCH($B465,Summary!$A$2:$A$201,0))</f>
        <v>3</v>
      </c>
      <c r="R465" s="2" t="n">
        <f aca="false">INDEX(Summary!$N$2:$N$201,MATCH($B465,Summary!$A$2:$A$201,0))</f>
        <v>10.53</v>
      </c>
      <c r="S465" s="3" t="n">
        <f aca="false">INDEX(Summary!$O$2:$O$201,MATCH($B465,Summary!$A$2:$A$201,0))</f>
        <v>8</v>
      </c>
      <c r="T465" s="3" t="n">
        <f aca="false">INDEX(Summary!$P$2:$P$201,MATCH($B465,Summary!$A$2:$A$201,0))</f>
        <v>1</v>
      </c>
      <c r="U465" s="2" t="n">
        <f aca="false">INDEX(Summary!$Q$2:$Q$201,MATCH($B465,Summary!$A$2:$A$201,0))</f>
        <v>13.14</v>
      </c>
      <c r="V465" s="2" t="n">
        <f aca="false">INDEX(Summary!$R$2:$R$201,MATCH($B465,Summary!$A$2:$A$201,0))</f>
        <v>28.88</v>
      </c>
      <c r="W465" s="0" t="str">
        <f aca="false">INDEX(Summary!$S$2:$S$201,MATCH($B465,Summary!$A$2:$A$201,0))</f>
        <v>Gold</v>
      </c>
      <c r="X465" s="2" t="n">
        <f aca="false">INDEX(Summary!$T$2:$T$201,MATCH($B465,Summary!$A$2:$A$201,0))</f>
        <v>70.44</v>
      </c>
      <c r="Y465" s="0" t="str">
        <f aca="false">INDEX('Reward Model'!$E$18:$E$37,MATCH($E465,'Reward Model'!$A$18:$A$37,0))</f>
        <v>Low</v>
      </c>
      <c r="Z465" s="4" t="n">
        <f aca="false">ROUND(MIN(1,MAX('Reward Model'!$B$2,INDEX('Reward Model'!$C$12:$C$14,MATCH($K465,'Reward Model'!$A$12:$A$14,0))/$J465)),3)</f>
        <v>0.938</v>
      </c>
      <c r="AA465" s="2" t="n">
        <f aca="false">IF($I465="Correct",ROUND(INDEX('Reward Model'!$B$12:$B$14,MATCH($K465,'Reward Model'!$A$12:$A$14,0))*Z465,2),0)</f>
        <v>0.94</v>
      </c>
      <c r="AB465" s="2" t="n">
        <f aca="false">IF($I465="Correct",ROUND(INDEX('Reward Model'!$B$12:$B$14,MATCH($Y465,'Reward Model'!$A$12:$A$14,0))*Z465,2),0)</f>
        <v>0.94</v>
      </c>
    </row>
    <row r="466" customFormat="false" ht="15" hidden="false" customHeight="false" outlineLevel="0" collapsed="false">
      <c r="A466" s="0" t="s">
        <v>172</v>
      </c>
      <c r="B466" s="0" t="s">
        <v>173</v>
      </c>
      <c r="C466" s="0" t="s">
        <v>30</v>
      </c>
      <c r="D466" s="0" t="s">
        <v>31</v>
      </c>
      <c r="E466" s="0" t="n">
        <v>5</v>
      </c>
      <c r="F466" s="0" t="s">
        <v>46</v>
      </c>
      <c r="G466" s="0" t="s">
        <v>47</v>
      </c>
      <c r="H466" s="0" t="s">
        <v>47</v>
      </c>
      <c r="I466" s="0" t="s">
        <v>34</v>
      </c>
      <c r="J466" s="0" t="n">
        <v>0.96</v>
      </c>
      <c r="K466" s="0" t="s">
        <v>35</v>
      </c>
      <c r="L466" s="0" t="n">
        <f aca="false">INDEX(Summary!$F$2:$F$201,MATCH($B466,Summary!$A$2:$A$201,0))</f>
        <v>20</v>
      </c>
      <c r="M466" s="0" t="n">
        <f aca="false">INDEX(Summary!$I$2:$I$201,MATCH($B466,Summary!$A$2:$A$201,0))</f>
        <v>4</v>
      </c>
      <c r="N466" s="0" t="n">
        <f aca="false">INDEX(Summary!$J$2:$J$201,MATCH($B466,Summary!$A$2:$A$201,0))</f>
        <v>1</v>
      </c>
      <c r="O466" s="2" t="n">
        <f aca="false">INDEX(Summary!$K$2:$K$201,MATCH($B466,Summary!$A$2:$A$201,0))</f>
        <v>9.08</v>
      </c>
      <c r="P466" s="3" t="n">
        <f aca="false">INDEX(Summary!$L$2:$L$201,MATCH($B466,Summary!$A$2:$A$201,0))</f>
        <v>3</v>
      </c>
      <c r="Q466" s="3" t="n">
        <f aca="false">INDEX(Summary!$M$2:$M$201,MATCH($B466,Summary!$A$2:$A$201,0))</f>
        <v>3</v>
      </c>
      <c r="R466" s="2" t="n">
        <f aca="false">INDEX(Summary!$N$2:$N$201,MATCH($B466,Summary!$A$2:$A$201,0))</f>
        <v>10.53</v>
      </c>
      <c r="S466" s="3" t="n">
        <f aca="false">INDEX(Summary!$O$2:$O$201,MATCH($B466,Summary!$A$2:$A$201,0))</f>
        <v>8</v>
      </c>
      <c r="T466" s="3" t="n">
        <f aca="false">INDEX(Summary!$P$2:$P$201,MATCH($B466,Summary!$A$2:$A$201,0))</f>
        <v>1</v>
      </c>
      <c r="U466" s="2" t="n">
        <f aca="false">INDEX(Summary!$Q$2:$Q$201,MATCH($B466,Summary!$A$2:$A$201,0))</f>
        <v>13.14</v>
      </c>
      <c r="V466" s="2" t="n">
        <f aca="false">INDEX(Summary!$R$2:$R$201,MATCH($B466,Summary!$A$2:$A$201,0))</f>
        <v>28.88</v>
      </c>
      <c r="W466" s="0" t="str">
        <f aca="false">INDEX(Summary!$S$2:$S$201,MATCH($B466,Summary!$A$2:$A$201,0))</f>
        <v>Gold</v>
      </c>
      <c r="X466" s="2" t="n">
        <f aca="false">INDEX(Summary!$T$2:$T$201,MATCH($B466,Summary!$A$2:$A$201,0))</f>
        <v>70.44</v>
      </c>
      <c r="Y466" s="0" t="str">
        <f aca="false">INDEX('Reward Model'!$E$18:$E$37,MATCH($E466,'Reward Model'!$A$18:$A$37,0))</f>
        <v>Low</v>
      </c>
      <c r="Z466" s="4" t="n">
        <f aca="false">ROUND(MIN(1,MAX('Reward Model'!$B$2,INDEX('Reward Model'!$C$12:$C$14,MATCH($K466,'Reward Model'!$A$12:$A$14,0))/$J466)),3)</f>
        <v>1</v>
      </c>
      <c r="AA466" s="2" t="n">
        <f aca="false">IF($I466="Correct",ROUND(INDEX('Reward Model'!$B$12:$B$14,MATCH($K466,'Reward Model'!$A$12:$A$14,0))*Z466,2),0)</f>
        <v>1</v>
      </c>
      <c r="AB466" s="2" t="n">
        <f aca="false">IF($I466="Correct",ROUND(INDEX('Reward Model'!$B$12:$B$14,MATCH($Y466,'Reward Model'!$A$12:$A$14,0))*Z466,2),0)</f>
        <v>1</v>
      </c>
    </row>
    <row r="467" customFormat="false" ht="15" hidden="false" customHeight="false" outlineLevel="0" collapsed="false">
      <c r="A467" s="0" t="s">
        <v>172</v>
      </c>
      <c r="B467" s="0" t="s">
        <v>173</v>
      </c>
      <c r="C467" s="0" t="s">
        <v>30</v>
      </c>
      <c r="D467" s="0" t="s">
        <v>31</v>
      </c>
      <c r="E467" s="0" t="n">
        <v>6</v>
      </c>
      <c r="F467" s="0" t="s">
        <v>48</v>
      </c>
      <c r="G467" s="0" t="s">
        <v>49</v>
      </c>
      <c r="H467" s="0" t="s">
        <v>49</v>
      </c>
      <c r="I467" s="0" t="s">
        <v>34</v>
      </c>
      <c r="J467" s="0" t="n">
        <v>1.04</v>
      </c>
      <c r="K467" s="0" t="s">
        <v>35</v>
      </c>
      <c r="L467" s="0" t="n">
        <f aca="false">INDEX(Summary!$F$2:$F$201,MATCH($B467,Summary!$A$2:$A$201,0))</f>
        <v>20</v>
      </c>
      <c r="M467" s="0" t="n">
        <f aca="false">INDEX(Summary!$I$2:$I$201,MATCH($B467,Summary!$A$2:$A$201,0))</f>
        <v>4</v>
      </c>
      <c r="N467" s="0" t="n">
        <f aca="false">INDEX(Summary!$J$2:$J$201,MATCH($B467,Summary!$A$2:$A$201,0))</f>
        <v>1</v>
      </c>
      <c r="O467" s="2" t="n">
        <f aca="false">INDEX(Summary!$K$2:$K$201,MATCH($B467,Summary!$A$2:$A$201,0))</f>
        <v>9.08</v>
      </c>
      <c r="P467" s="3" t="n">
        <f aca="false">INDEX(Summary!$L$2:$L$201,MATCH($B467,Summary!$A$2:$A$201,0))</f>
        <v>3</v>
      </c>
      <c r="Q467" s="3" t="n">
        <f aca="false">INDEX(Summary!$M$2:$M$201,MATCH($B467,Summary!$A$2:$A$201,0))</f>
        <v>3</v>
      </c>
      <c r="R467" s="2" t="n">
        <f aca="false">INDEX(Summary!$N$2:$N$201,MATCH($B467,Summary!$A$2:$A$201,0))</f>
        <v>10.53</v>
      </c>
      <c r="S467" s="3" t="n">
        <f aca="false">INDEX(Summary!$O$2:$O$201,MATCH($B467,Summary!$A$2:$A$201,0))</f>
        <v>8</v>
      </c>
      <c r="T467" s="3" t="n">
        <f aca="false">INDEX(Summary!$P$2:$P$201,MATCH($B467,Summary!$A$2:$A$201,0))</f>
        <v>1</v>
      </c>
      <c r="U467" s="2" t="n">
        <f aca="false">INDEX(Summary!$Q$2:$Q$201,MATCH($B467,Summary!$A$2:$A$201,0))</f>
        <v>13.14</v>
      </c>
      <c r="V467" s="2" t="n">
        <f aca="false">INDEX(Summary!$R$2:$R$201,MATCH($B467,Summary!$A$2:$A$201,0))</f>
        <v>28.88</v>
      </c>
      <c r="W467" s="0" t="str">
        <f aca="false">INDEX(Summary!$S$2:$S$201,MATCH($B467,Summary!$A$2:$A$201,0))</f>
        <v>Gold</v>
      </c>
      <c r="X467" s="2" t="n">
        <f aca="false">INDEX(Summary!$T$2:$T$201,MATCH($B467,Summary!$A$2:$A$201,0))</f>
        <v>70.44</v>
      </c>
      <c r="Y467" s="0" t="str">
        <f aca="false">INDEX('Reward Model'!$E$18:$E$37,MATCH($E467,'Reward Model'!$A$18:$A$37,0))</f>
        <v>Medium</v>
      </c>
      <c r="Z467" s="4" t="n">
        <f aca="false">ROUND(MIN(1,MAX('Reward Model'!$B$2,INDEX('Reward Model'!$C$12:$C$14,MATCH($K467,'Reward Model'!$A$12:$A$14,0))/$J467)),3)</f>
        <v>1</v>
      </c>
      <c r="AA467" s="2" t="n">
        <f aca="false">IF($I467="Correct",ROUND(INDEX('Reward Model'!$B$12:$B$14,MATCH($K467,'Reward Model'!$A$12:$A$14,0))*Z467,2),0)</f>
        <v>1</v>
      </c>
      <c r="AB467" s="2" t="n">
        <f aca="false">IF($I467="Correct",ROUND(INDEX('Reward Model'!$B$12:$B$14,MATCH($Y467,'Reward Model'!$A$12:$A$14,0))*Z467,2),0)</f>
        <v>2</v>
      </c>
    </row>
    <row r="468" customFormat="false" ht="15" hidden="false" customHeight="false" outlineLevel="0" collapsed="false">
      <c r="A468" s="0" t="s">
        <v>172</v>
      </c>
      <c r="B468" s="0" t="s">
        <v>173</v>
      </c>
      <c r="C468" s="0" t="s">
        <v>30</v>
      </c>
      <c r="D468" s="0" t="s">
        <v>31</v>
      </c>
      <c r="E468" s="0" t="n">
        <v>7</v>
      </c>
      <c r="F468" s="0" t="s">
        <v>50</v>
      </c>
      <c r="G468" s="0" t="s">
        <v>51</v>
      </c>
      <c r="H468" s="0" t="s">
        <v>51</v>
      </c>
      <c r="I468" s="0" t="s">
        <v>34</v>
      </c>
      <c r="J468" s="0" t="n">
        <v>1.86</v>
      </c>
      <c r="K468" s="0" t="s">
        <v>35</v>
      </c>
      <c r="L468" s="0" t="n">
        <f aca="false">INDEX(Summary!$F$2:$F$201,MATCH($B468,Summary!$A$2:$A$201,0))</f>
        <v>20</v>
      </c>
      <c r="M468" s="0" t="n">
        <f aca="false">INDEX(Summary!$I$2:$I$201,MATCH($B468,Summary!$A$2:$A$201,0))</f>
        <v>4</v>
      </c>
      <c r="N468" s="0" t="n">
        <f aca="false">INDEX(Summary!$J$2:$J$201,MATCH($B468,Summary!$A$2:$A$201,0))</f>
        <v>1</v>
      </c>
      <c r="O468" s="2" t="n">
        <f aca="false">INDEX(Summary!$K$2:$K$201,MATCH($B468,Summary!$A$2:$A$201,0))</f>
        <v>9.08</v>
      </c>
      <c r="P468" s="3" t="n">
        <f aca="false">INDEX(Summary!$L$2:$L$201,MATCH($B468,Summary!$A$2:$A$201,0))</f>
        <v>3</v>
      </c>
      <c r="Q468" s="3" t="n">
        <f aca="false">INDEX(Summary!$M$2:$M$201,MATCH($B468,Summary!$A$2:$A$201,0))</f>
        <v>3</v>
      </c>
      <c r="R468" s="2" t="n">
        <f aca="false">INDEX(Summary!$N$2:$N$201,MATCH($B468,Summary!$A$2:$A$201,0))</f>
        <v>10.53</v>
      </c>
      <c r="S468" s="3" t="n">
        <f aca="false">INDEX(Summary!$O$2:$O$201,MATCH($B468,Summary!$A$2:$A$201,0))</f>
        <v>8</v>
      </c>
      <c r="T468" s="3" t="n">
        <f aca="false">INDEX(Summary!$P$2:$P$201,MATCH($B468,Summary!$A$2:$A$201,0))</f>
        <v>1</v>
      </c>
      <c r="U468" s="2" t="n">
        <f aca="false">INDEX(Summary!$Q$2:$Q$201,MATCH($B468,Summary!$A$2:$A$201,0))</f>
        <v>13.14</v>
      </c>
      <c r="V468" s="2" t="n">
        <f aca="false">INDEX(Summary!$R$2:$R$201,MATCH($B468,Summary!$A$2:$A$201,0))</f>
        <v>28.88</v>
      </c>
      <c r="W468" s="0" t="str">
        <f aca="false">INDEX(Summary!$S$2:$S$201,MATCH($B468,Summary!$A$2:$A$201,0))</f>
        <v>Gold</v>
      </c>
      <c r="X468" s="2" t="n">
        <f aca="false">INDEX(Summary!$T$2:$T$201,MATCH($B468,Summary!$A$2:$A$201,0))</f>
        <v>70.44</v>
      </c>
      <c r="Y468" s="0" t="str">
        <f aca="false">INDEX('Reward Model'!$E$18:$E$37,MATCH($E468,'Reward Model'!$A$18:$A$37,0))</f>
        <v>Low</v>
      </c>
      <c r="Z468" s="4" t="n">
        <f aca="false">ROUND(MIN(1,MAX('Reward Model'!$B$2,INDEX('Reward Model'!$C$12:$C$14,MATCH($K468,'Reward Model'!$A$12:$A$14,0))/$J468)),3)</f>
        <v>0.806</v>
      </c>
      <c r="AA468" s="2" t="n">
        <f aca="false">IF($I468="Correct",ROUND(INDEX('Reward Model'!$B$12:$B$14,MATCH($K468,'Reward Model'!$A$12:$A$14,0))*Z468,2),0)</f>
        <v>0.81</v>
      </c>
      <c r="AB468" s="2" t="n">
        <f aca="false">IF($I468="Correct",ROUND(INDEX('Reward Model'!$B$12:$B$14,MATCH($Y468,'Reward Model'!$A$12:$A$14,0))*Z468,2),0)</f>
        <v>0.81</v>
      </c>
    </row>
    <row r="469" customFormat="false" ht="15" hidden="false" customHeight="false" outlineLevel="0" collapsed="false">
      <c r="A469" s="0" t="s">
        <v>172</v>
      </c>
      <c r="B469" s="0" t="s">
        <v>173</v>
      </c>
      <c r="C469" s="0" t="s">
        <v>30</v>
      </c>
      <c r="D469" s="0" t="s">
        <v>31</v>
      </c>
      <c r="E469" s="0" t="n">
        <v>8</v>
      </c>
      <c r="F469" s="0" t="s">
        <v>52</v>
      </c>
      <c r="G469" s="0" t="s">
        <v>54</v>
      </c>
      <c r="H469" s="0" t="s">
        <v>54</v>
      </c>
      <c r="I469" s="0" t="s">
        <v>34</v>
      </c>
      <c r="J469" s="0" t="n">
        <v>1.15</v>
      </c>
      <c r="K469" s="0" t="s">
        <v>35</v>
      </c>
      <c r="L469" s="0" t="n">
        <f aca="false">INDEX(Summary!$F$2:$F$201,MATCH($B469,Summary!$A$2:$A$201,0))</f>
        <v>20</v>
      </c>
      <c r="M469" s="0" t="n">
        <f aca="false">INDEX(Summary!$I$2:$I$201,MATCH($B469,Summary!$A$2:$A$201,0))</f>
        <v>4</v>
      </c>
      <c r="N469" s="0" t="n">
        <f aca="false">INDEX(Summary!$J$2:$J$201,MATCH($B469,Summary!$A$2:$A$201,0))</f>
        <v>1</v>
      </c>
      <c r="O469" s="2" t="n">
        <f aca="false">INDEX(Summary!$K$2:$K$201,MATCH($B469,Summary!$A$2:$A$201,0))</f>
        <v>9.08</v>
      </c>
      <c r="P469" s="3" t="n">
        <f aca="false">INDEX(Summary!$L$2:$L$201,MATCH($B469,Summary!$A$2:$A$201,0))</f>
        <v>3</v>
      </c>
      <c r="Q469" s="3" t="n">
        <f aca="false">INDEX(Summary!$M$2:$M$201,MATCH($B469,Summary!$A$2:$A$201,0))</f>
        <v>3</v>
      </c>
      <c r="R469" s="2" t="n">
        <f aca="false">INDEX(Summary!$N$2:$N$201,MATCH($B469,Summary!$A$2:$A$201,0))</f>
        <v>10.53</v>
      </c>
      <c r="S469" s="3" t="n">
        <f aca="false">INDEX(Summary!$O$2:$O$201,MATCH($B469,Summary!$A$2:$A$201,0))</f>
        <v>8</v>
      </c>
      <c r="T469" s="3" t="n">
        <f aca="false">INDEX(Summary!$P$2:$P$201,MATCH($B469,Summary!$A$2:$A$201,0))</f>
        <v>1</v>
      </c>
      <c r="U469" s="2" t="n">
        <f aca="false">INDEX(Summary!$Q$2:$Q$201,MATCH($B469,Summary!$A$2:$A$201,0))</f>
        <v>13.14</v>
      </c>
      <c r="V469" s="2" t="n">
        <f aca="false">INDEX(Summary!$R$2:$R$201,MATCH($B469,Summary!$A$2:$A$201,0))</f>
        <v>28.88</v>
      </c>
      <c r="W469" s="0" t="str">
        <f aca="false">INDEX(Summary!$S$2:$S$201,MATCH($B469,Summary!$A$2:$A$201,0))</f>
        <v>Gold</v>
      </c>
      <c r="X469" s="2" t="n">
        <f aca="false">INDEX(Summary!$T$2:$T$201,MATCH($B469,Summary!$A$2:$A$201,0))</f>
        <v>70.44</v>
      </c>
      <c r="Y469" s="0" t="str">
        <f aca="false">INDEX('Reward Model'!$E$18:$E$37,MATCH($E469,'Reward Model'!$A$18:$A$37,0))</f>
        <v>Medium</v>
      </c>
      <c r="Z469" s="4" t="n">
        <f aca="false">ROUND(MIN(1,MAX('Reward Model'!$B$2,INDEX('Reward Model'!$C$12:$C$14,MATCH($K469,'Reward Model'!$A$12:$A$14,0))/$J469)),3)</f>
        <v>1</v>
      </c>
      <c r="AA469" s="2" t="n">
        <f aca="false">IF($I469="Correct",ROUND(INDEX('Reward Model'!$B$12:$B$14,MATCH($K469,'Reward Model'!$A$12:$A$14,0))*Z469,2),0)</f>
        <v>1</v>
      </c>
      <c r="AB469" s="2" t="n">
        <f aca="false">IF($I469="Correct",ROUND(INDEX('Reward Model'!$B$12:$B$14,MATCH($Y469,'Reward Model'!$A$12:$A$14,0))*Z469,2),0)</f>
        <v>2</v>
      </c>
    </row>
    <row r="470" customFormat="false" ht="15" hidden="false" customHeight="false" outlineLevel="0" collapsed="false">
      <c r="A470" s="0" t="s">
        <v>172</v>
      </c>
      <c r="B470" s="0" t="s">
        <v>173</v>
      </c>
      <c r="C470" s="0" t="s">
        <v>30</v>
      </c>
      <c r="D470" s="0" t="s">
        <v>31</v>
      </c>
      <c r="E470" s="0" t="n">
        <v>9</v>
      </c>
      <c r="F470" s="0" t="s">
        <v>55</v>
      </c>
      <c r="G470" s="0" t="s">
        <v>108</v>
      </c>
      <c r="H470" s="0" t="s">
        <v>57</v>
      </c>
      <c r="I470" s="0" t="s">
        <v>39</v>
      </c>
      <c r="J470" s="0" t="n">
        <v>2</v>
      </c>
      <c r="K470" s="0" t="s">
        <v>35</v>
      </c>
      <c r="L470" s="0" t="n">
        <f aca="false">INDEX(Summary!$F$2:$F$201,MATCH($B470,Summary!$A$2:$A$201,0))</f>
        <v>20</v>
      </c>
      <c r="M470" s="0" t="n">
        <f aca="false">INDEX(Summary!$I$2:$I$201,MATCH($B470,Summary!$A$2:$A$201,0))</f>
        <v>4</v>
      </c>
      <c r="N470" s="0" t="n">
        <f aca="false">INDEX(Summary!$J$2:$J$201,MATCH($B470,Summary!$A$2:$A$201,0))</f>
        <v>1</v>
      </c>
      <c r="O470" s="2" t="n">
        <f aca="false">INDEX(Summary!$K$2:$K$201,MATCH($B470,Summary!$A$2:$A$201,0))</f>
        <v>9.08</v>
      </c>
      <c r="P470" s="3" t="n">
        <f aca="false">INDEX(Summary!$L$2:$L$201,MATCH($B470,Summary!$A$2:$A$201,0))</f>
        <v>3</v>
      </c>
      <c r="Q470" s="3" t="n">
        <f aca="false">INDEX(Summary!$M$2:$M$201,MATCH($B470,Summary!$A$2:$A$201,0))</f>
        <v>3</v>
      </c>
      <c r="R470" s="2" t="n">
        <f aca="false">INDEX(Summary!$N$2:$N$201,MATCH($B470,Summary!$A$2:$A$201,0))</f>
        <v>10.53</v>
      </c>
      <c r="S470" s="3" t="n">
        <f aca="false">INDEX(Summary!$O$2:$O$201,MATCH($B470,Summary!$A$2:$A$201,0))</f>
        <v>8</v>
      </c>
      <c r="T470" s="3" t="n">
        <f aca="false">INDEX(Summary!$P$2:$P$201,MATCH($B470,Summary!$A$2:$A$201,0))</f>
        <v>1</v>
      </c>
      <c r="U470" s="2" t="n">
        <f aca="false">INDEX(Summary!$Q$2:$Q$201,MATCH($B470,Summary!$A$2:$A$201,0))</f>
        <v>13.14</v>
      </c>
      <c r="V470" s="2" t="n">
        <f aca="false">INDEX(Summary!$R$2:$R$201,MATCH($B470,Summary!$A$2:$A$201,0))</f>
        <v>28.88</v>
      </c>
      <c r="W470" s="0" t="str">
        <f aca="false">INDEX(Summary!$S$2:$S$201,MATCH($B470,Summary!$A$2:$A$201,0))</f>
        <v>Gold</v>
      </c>
      <c r="X470" s="2" t="n">
        <f aca="false">INDEX(Summary!$T$2:$T$201,MATCH($B470,Summary!$A$2:$A$201,0))</f>
        <v>70.44</v>
      </c>
      <c r="Y470" s="0" t="str">
        <f aca="false">INDEX('Reward Model'!$E$18:$E$37,MATCH($E470,'Reward Model'!$A$18:$A$37,0))</f>
        <v>Medium</v>
      </c>
      <c r="Z470" s="4" t="n">
        <f aca="false">ROUND(MIN(1,MAX('Reward Model'!$B$2,INDEX('Reward Model'!$C$12:$C$14,MATCH($K470,'Reward Model'!$A$12:$A$14,0))/$J470)),3)</f>
        <v>0.75</v>
      </c>
      <c r="AA470" s="2" t="n">
        <f aca="false">IF($I470="Correct",ROUND(INDEX('Reward Model'!$B$12:$B$14,MATCH($K470,'Reward Model'!$A$12:$A$14,0))*Z470,2),0)</f>
        <v>0</v>
      </c>
      <c r="AB470" s="2" t="n">
        <f aca="false">IF($I470="Correct",ROUND(INDEX('Reward Model'!$B$12:$B$14,MATCH($Y470,'Reward Model'!$A$12:$A$14,0))*Z470,2),0)</f>
        <v>0</v>
      </c>
    </row>
    <row r="471" customFormat="false" ht="15" hidden="false" customHeight="false" outlineLevel="0" collapsed="false">
      <c r="A471" s="0" t="s">
        <v>172</v>
      </c>
      <c r="B471" s="0" t="s">
        <v>173</v>
      </c>
      <c r="C471" s="0" t="s">
        <v>30</v>
      </c>
      <c r="D471" s="0" t="s">
        <v>31</v>
      </c>
      <c r="E471" s="0" t="n">
        <v>10</v>
      </c>
      <c r="F471" s="0" t="s">
        <v>58</v>
      </c>
      <c r="G471" s="0" t="s">
        <v>174</v>
      </c>
      <c r="H471" s="0" t="s">
        <v>59</v>
      </c>
      <c r="I471" s="0" t="s">
        <v>39</v>
      </c>
      <c r="J471" s="0" t="n">
        <v>2.05</v>
      </c>
      <c r="K471" s="0" t="s">
        <v>60</v>
      </c>
      <c r="L471" s="0" t="n">
        <f aca="false">INDEX(Summary!$F$2:$F$201,MATCH($B471,Summary!$A$2:$A$201,0))</f>
        <v>20</v>
      </c>
      <c r="M471" s="0" t="n">
        <f aca="false">INDEX(Summary!$I$2:$I$201,MATCH($B471,Summary!$A$2:$A$201,0))</f>
        <v>4</v>
      </c>
      <c r="N471" s="0" t="n">
        <f aca="false">INDEX(Summary!$J$2:$J$201,MATCH($B471,Summary!$A$2:$A$201,0))</f>
        <v>1</v>
      </c>
      <c r="O471" s="2" t="n">
        <f aca="false">INDEX(Summary!$K$2:$K$201,MATCH($B471,Summary!$A$2:$A$201,0))</f>
        <v>9.08</v>
      </c>
      <c r="P471" s="3" t="n">
        <f aca="false">INDEX(Summary!$L$2:$L$201,MATCH($B471,Summary!$A$2:$A$201,0))</f>
        <v>3</v>
      </c>
      <c r="Q471" s="3" t="n">
        <f aca="false">INDEX(Summary!$M$2:$M$201,MATCH($B471,Summary!$A$2:$A$201,0))</f>
        <v>3</v>
      </c>
      <c r="R471" s="2" t="n">
        <f aca="false">INDEX(Summary!$N$2:$N$201,MATCH($B471,Summary!$A$2:$A$201,0))</f>
        <v>10.53</v>
      </c>
      <c r="S471" s="3" t="n">
        <f aca="false">INDEX(Summary!$O$2:$O$201,MATCH($B471,Summary!$A$2:$A$201,0))</f>
        <v>8</v>
      </c>
      <c r="T471" s="3" t="n">
        <f aca="false">INDEX(Summary!$P$2:$P$201,MATCH($B471,Summary!$A$2:$A$201,0))</f>
        <v>1</v>
      </c>
      <c r="U471" s="2" t="n">
        <f aca="false">INDEX(Summary!$Q$2:$Q$201,MATCH($B471,Summary!$A$2:$A$201,0))</f>
        <v>13.14</v>
      </c>
      <c r="V471" s="2" t="n">
        <f aca="false">INDEX(Summary!$R$2:$R$201,MATCH($B471,Summary!$A$2:$A$201,0))</f>
        <v>28.88</v>
      </c>
      <c r="W471" s="0" t="str">
        <f aca="false">INDEX(Summary!$S$2:$S$201,MATCH($B471,Summary!$A$2:$A$201,0))</f>
        <v>Gold</v>
      </c>
      <c r="X471" s="2" t="n">
        <f aca="false">INDEX(Summary!$T$2:$T$201,MATCH($B471,Summary!$A$2:$A$201,0))</f>
        <v>70.44</v>
      </c>
      <c r="Y471" s="0" t="str">
        <f aca="false">INDEX('Reward Model'!$E$18:$E$37,MATCH($E471,'Reward Model'!$A$18:$A$37,0))</f>
        <v>Medium</v>
      </c>
      <c r="Z471" s="4" t="n">
        <f aca="false">ROUND(MIN(1,MAX('Reward Model'!$B$2,INDEX('Reward Model'!$C$12:$C$14,MATCH($K471,'Reward Model'!$A$12:$A$14,0))/$J471)),3)</f>
        <v>0.878</v>
      </c>
      <c r="AA471" s="2" t="n">
        <f aca="false">IF($I471="Correct",ROUND(INDEX('Reward Model'!$B$12:$B$14,MATCH($K471,'Reward Model'!$A$12:$A$14,0))*Z471,2),0)</f>
        <v>0</v>
      </c>
      <c r="AB471" s="2" t="n">
        <f aca="false">IF($I471="Correct",ROUND(INDEX('Reward Model'!$B$12:$B$14,MATCH($Y471,'Reward Model'!$A$12:$A$14,0))*Z471,2),0)</f>
        <v>0</v>
      </c>
    </row>
    <row r="472" customFormat="false" ht="15" hidden="false" customHeight="false" outlineLevel="0" collapsed="false">
      <c r="A472" s="0" t="s">
        <v>172</v>
      </c>
      <c r="B472" s="0" t="s">
        <v>173</v>
      </c>
      <c r="C472" s="0" t="s">
        <v>30</v>
      </c>
      <c r="D472" s="0" t="s">
        <v>31</v>
      </c>
      <c r="E472" s="0" t="n">
        <v>11</v>
      </c>
      <c r="F472" s="0" t="s">
        <v>61</v>
      </c>
      <c r="G472" s="0" t="s">
        <v>63</v>
      </c>
      <c r="H472" s="0" t="s">
        <v>63</v>
      </c>
      <c r="I472" s="0" t="s">
        <v>34</v>
      </c>
      <c r="J472" s="0" t="n">
        <v>1.19</v>
      </c>
      <c r="K472" s="0" t="s">
        <v>60</v>
      </c>
      <c r="L472" s="0" t="n">
        <f aca="false">INDEX(Summary!$F$2:$F$201,MATCH($B472,Summary!$A$2:$A$201,0))</f>
        <v>20</v>
      </c>
      <c r="M472" s="0" t="n">
        <f aca="false">INDEX(Summary!$I$2:$I$201,MATCH($B472,Summary!$A$2:$A$201,0))</f>
        <v>4</v>
      </c>
      <c r="N472" s="0" t="n">
        <f aca="false">INDEX(Summary!$J$2:$J$201,MATCH($B472,Summary!$A$2:$A$201,0))</f>
        <v>1</v>
      </c>
      <c r="O472" s="2" t="n">
        <f aca="false">INDEX(Summary!$K$2:$K$201,MATCH($B472,Summary!$A$2:$A$201,0))</f>
        <v>9.08</v>
      </c>
      <c r="P472" s="3" t="n">
        <f aca="false">INDEX(Summary!$L$2:$L$201,MATCH($B472,Summary!$A$2:$A$201,0))</f>
        <v>3</v>
      </c>
      <c r="Q472" s="3" t="n">
        <f aca="false">INDEX(Summary!$M$2:$M$201,MATCH($B472,Summary!$A$2:$A$201,0))</f>
        <v>3</v>
      </c>
      <c r="R472" s="2" t="n">
        <f aca="false">INDEX(Summary!$N$2:$N$201,MATCH($B472,Summary!$A$2:$A$201,0))</f>
        <v>10.53</v>
      </c>
      <c r="S472" s="3" t="n">
        <f aca="false">INDEX(Summary!$O$2:$O$201,MATCH($B472,Summary!$A$2:$A$201,0))</f>
        <v>8</v>
      </c>
      <c r="T472" s="3" t="n">
        <f aca="false">INDEX(Summary!$P$2:$P$201,MATCH($B472,Summary!$A$2:$A$201,0))</f>
        <v>1</v>
      </c>
      <c r="U472" s="2" t="n">
        <f aca="false">INDEX(Summary!$Q$2:$Q$201,MATCH($B472,Summary!$A$2:$A$201,0))</f>
        <v>13.14</v>
      </c>
      <c r="V472" s="2" t="n">
        <f aca="false">INDEX(Summary!$R$2:$R$201,MATCH($B472,Summary!$A$2:$A$201,0))</f>
        <v>28.88</v>
      </c>
      <c r="W472" s="0" t="str">
        <f aca="false">INDEX(Summary!$S$2:$S$201,MATCH($B472,Summary!$A$2:$A$201,0))</f>
        <v>Gold</v>
      </c>
      <c r="X472" s="2" t="n">
        <f aca="false">INDEX(Summary!$T$2:$T$201,MATCH($B472,Summary!$A$2:$A$201,0))</f>
        <v>70.44</v>
      </c>
      <c r="Y472" s="0" t="str">
        <f aca="false">INDEX('Reward Model'!$E$18:$E$37,MATCH($E472,'Reward Model'!$A$18:$A$37,0))</f>
        <v>Medium</v>
      </c>
      <c r="Z472" s="4" t="n">
        <f aca="false">ROUND(MIN(1,MAX('Reward Model'!$B$2,INDEX('Reward Model'!$C$12:$C$14,MATCH($K472,'Reward Model'!$A$12:$A$14,0))/$J472)),3)</f>
        <v>1</v>
      </c>
      <c r="AA472" s="2" t="n">
        <f aca="false">IF($I472="Correct",ROUND(INDEX('Reward Model'!$B$12:$B$14,MATCH($K472,'Reward Model'!$A$12:$A$14,0))*Z472,2),0)</f>
        <v>2</v>
      </c>
      <c r="AB472" s="2" t="n">
        <f aca="false">IF($I472="Correct",ROUND(INDEX('Reward Model'!$B$12:$B$14,MATCH($Y472,'Reward Model'!$A$12:$A$14,0))*Z472,2),0)</f>
        <v>2</v>
      </c>
    </row>
    <row r="473" customFormat="false" ht="15" hidden="false" customHeight="false" outlineLevel="0" collapsed="false">
      <c r="A473" s="0" t="s">
        <v>172</v>
      </c>
      <c r="B473" s="0" t="s">
        <v>173</v>
      </c>
      <c r="C473" s="0" t="s">
        <v>30</v>
      </c>
      <c r="D473" s="0" t="s">
        <v>31</v>
      </c>
      <c r="E473" s="0" t="n">
        <v>12</v>
      </c>
      <c r="F473" s="0" t="s">
        <v>64</v>
      </c>
      <c r="G473" s="0" t="s">
        <v>65</v>
      </c>
      <c r="H473" s="0" t="s">
        <v>65</v>
      </c>
      <c r="I473" s="0" t="s">
        <v>34</v>
      </c>
      <c r="J473" s="0" t="n">
        <v>1.81</v>
      </c>
      <c r="K473" s="0" t="s">
        <v>60</v>
      </c>
      <c r="L473" s="0" t="n">
        <f aca="false">INDEX(Summary!$F$2:$F$201,MATCH($B473,Summary!$A$2:$A$201,0))</f>
        <v>20</v>
      </c>
      <c r="M473" s="0" t="n">
        <f aca="false">INDEX(Summary!$I$2:$I$201,MATCH($B473,Summary!$A$2:$A$201,0))</f>
        <v>4</v>
      </c>
      <c r="N473" s="0" t="n">
        <f aca="false">INDEX(Summary!$J$2:$J$201,MATCH($B473,Summary!$A$2:$A$201,0))</f>
        <v>1</v>
      </c>
      <c r="O473" s="2" t="n">
        <f aca="false">INDEX(Summary!$K$2:$K$201,MATCH($B473,Summary!$A$2:$A$201,0))</f>
        <v>9.08</v>
      </c>
      <c r="P473" s="3" t="n">
        <f aca="false">INDEX(Summary!$L$2:$L$201,MATCH($B473,Summary!$A$2:$A$201,0))</f>
        <v>3</v>
      </c>
      <c r="Q473" s="3" t="n">
        <f aca="false">INDEX(Summary!$M$2:$M$201,MATCH($B473,Summary!$A$2:$A$201,0))</f>
        <v>3</v>
      </c>
      <c r="R473" s="2" t="n">
        <f aca="false">INDEX(Summary!$N$2:$N$201,MATCH($B473,Summary!$A$2:$A$201,0))</f>
        <v>10.53</v>
      </c>
      <c r="S473" s="3" t="n">
        <f aca="false">INDEX(Summary!$O$2:$O$201,MATCH($B473,Summary!$A$2:$A$201,0))</f>
        <v>8</v>
      </c>
      <c r="T473" s="3" t="n">
        <f aca="false">INDEX(Summary!$P$2:$P$201,MATCH($B473,Summary!$A$2:$A$201,0))</f>
        <v>1</v>
      </c>
      <c r="U473" s="2" t="n">
        <f aca="false">INDEX(Summary!$Q$2:$Q$201,MATCH($B473,Summary!$A$2:$A$201,0))</f>
        <v>13.14</v>
      </c>
      <c r="V473" s="2" t="n">
        <f aca="false">INDEX(Summary!$R$2:$R$201,MATCH($B473,Summary!$A$2:$A$201,0))</f>
        <v>28.88</v>
      </c>
      <c r="W473" s="0" t="str">
        <f aca="false">INDEX(Summary!$S$2:$S$201,MATCH($B473,Summary!$A$2:$A$201,0))</f>
        <v>Gold</v>
      </c>
      <c r="X473" s="2" t="n">
        <f aca="false">INDEX(Summary!$T$2:$T$201,MATCH($B473,Summary!$A$2:$A$201,0))</f>
        <v>70.44</v>
      </c>
      <c r="Y473" s="0" t="str">
        <f aca="false">INDEX('Reward Model'!$E$18:$E$37,MATCH($E473,'Reward Model'!$A$18:$A$37,0))</f>
        <v>Medium</v>
      </c>
      <c r="Z473" s="4" t="n">
        <f aca="false">ROUND(MIN(1,MAX('Reward Model'!$B$2,INDEX('Reward Model'!$C$12:$C$14,MATCH($K473,'Reward Model'!$A$12:$A$14,0))/$J473)),3)</f>
        <v>0.994</v>
      </c>
      <c r="AA473" s="2" t="n">
        <f aca="false">IF($I473="Correct",ROUND(INDEX('Reward Model'!$B$12:$B$14,MATCH($K473,'Reward Model'!$A$12:$A$14,0))*Z473,2),0)</f>
        <v>1.99</v>
      </c>
      <c r="AB473" s="2" t="n">
        <f aca="false">IF($I473="Correct",ROUND(INDEX('Reward Model'!$B$12:$B$14,MATCH($Y473,'Reward Model'!$A$12:$A$14,0))*Z473,2),0)</f>
        <v>1.99</v>
      </c>
    </row>
    <row r="474" customFormat="false" ht="15" hidden="false" customHeight="false" outlineLevel="0" collapsed="false">
      <c r="A474" s="0" t="s">
        <v>172</v>
      </c>
      <c r="B474" s="0" t="s">
        <v>173</v>
      </c>
      <c r="C474" s="0" t="s">
        <v>30</v>
      </c>
      <c r="D474" s="0" t="s">
        <v>31</v>
      </c>
      <c r="E474" s="0" t="n">
        <v>13</v>
      </c>
      <c r="F474" s="0" t="s">
        <v>66</v>
      </c>
      <c r="G474" s="0" t="s">
        <v>117</v>
      </c>
      <c r="H474" s="0" t="s">
        <v>67</v>
      </c>
      <c r="I474" s="0" t="s">
        <v>39</v>
      </c>
      <c r="J474" s="0" t="n">
        <v>1.96</v>
      </c>
      <c r="K474" s="0" t="s">
        <v>60</v>
      </c>
      <c r="L474" s="0" t="n">
        <f aca="false">INDEX(Summary!$F$2:$F$201,MATCH($B474,Summary!$A$2:$A$201,0))</f>
        <v>20</v>
      </c>
      <c r="M474" s="0" t="n">
        <f aca="false">INDEX(Summary!$I$2:$I$201,MATCH($B474,Summary!$A$2:$A$201,0))</f>
        <v>4</v>
      </c>
      <c r="N474" s="0" t="n">
        <f aca="false">INDEX(Summary!$J$2:$J$201,MATCH($B474,Summary!$A$2:$A$201,0))</f>
        <v>1</v>
      </c>
      <c r="O474" s="2" t="n">
        <f aca="false">INDEX(Summary!$K$2:$K$201,MATCH($B474,Summary!$A$2:$A$201,0))</f>
        <v>9.08</v>
      </c>
      <c r="P474" s="3" t="n">
        <f aca="false">INDEX(Summary!$L$2:$L$201,MATCH($B474,Summary!$A$2:$A$201,0))</f>
        <v>3</v>
      </c>
      <c r="Q474" s="3" t="n">
        <f aca="false">INDEX(Summary!$M$2:$M$201,MATCH($B474,Summary!$A$2:$A$201,0))</f>
        <v>3</v>
      </c>
      <c r="R474" s="2" t="n">
        <f aca="false">INDEX(Summary!$N$2:$N$201,MATCH($B474,Summary!$A$2:$A$201,0))</f>
        <v>10.53</v>
      </c>
      <c r="S474" s="3" t="n">
        <f aca="false">INDEX(Summary!$O$2:$O$201,MATCH($B474,Summary!$A$2:$A$201,0))</f>
        <v>8</v>
      </c>
      <c r="T474" s="3" t="n">
        <f aca="false">INDEX(Summary!$P$2:$P$201,MATCH($B474,Summary!$A$2:$A$201,0))</f>
        <v>1</v>
      </c>
      <c r="U474" s="2" t="n">
        <f aca="false">INDEX(Summary!$Q$2:$Q$201,MATCH($B474,Summary!$A$2:$A$201,0))</f>
        <v>13.14</v>
      </c>
      <c r="V474" s="2" t="n">
        <f aca="false">INDEX(Summary!$R$2:$R$201,MATCH($B474,Summary!$A$2:$A$201,0))</f>
        <v>28.88</v>
      </c>
      <c r="W474" s="0" t="str">
        <f aca="false">INDEX(Summary!$S$2:$S$201,MATCH($B474,Summary!$A$2:$A$201,0))</f>
        <v>Gold</v>
      </c>
      <c r="X474" s="2" t="n">
        <f aca="false">INDEX(Summary!$T$2:$T$201,MATCH($B474,Summary!$A$2:$A$201,0))</f>
        <v>70.44</v>
      </c>
      <c r="Y474" s="0" t="str">
        <f aca="false">INDEX('Reward Model'!$E$18:$E$37,MATCH($E474,'Reward Model'!$A$18:$A$37,0))</f>
        <v>Medium</v>
      </c>
      <c r="Z474" s="4" t="n">
        <f aca="false">ROUND(MIN(1,MAX('Reward Model'!$B$2,INDEX('Reward Model'!$C$12:$C$14,MATCH($K474,'Reward Model'!$A$12:$A$14,0))/$J474)),3)</f>
        <v>0.918</v>
      </c>
      <c r="AA474" s="2" t="n">
        <f aca="false">IF($I474="Correct",ROUND(INDEX('Reward Model'!$B$12:$B$14,MATCH($K474,'Reward Model'!$A$12:$A$14,0))*Z474,2),0)</f>
        <v>0</v>
      </c>
      <c r="AB474" s="2" t="n">
        <f aca="false">IF($I474="Correct",ROUND(INDEX('Reward Model'!$B$12:$B$14,MATCH($Y474,'Reward Model'!$A$12:$A$14,0))*Z474,2),0)</f>
        <v>0</v>
      </c>
    </row>
    <row r="475" customFormat="false" ht="15" hidden="false" customHeight="false" outlineLevel="0" collapsed="false">
      <c r="A475" s="0" t="s">
        <v>172</v>
      </c>
      <c r="B475" s="0" t="s">
        <v>173</v>
      </c>
      <c r="C475" s="0" t="s">
        <v>30</v>
      </c>
      <c r="D475" s="0" t="s">
        <v>31</v>
      </c>
      <c r="E475" s="0" t="n">
        <v>14</v>
      </c>
      <c r="F475" s="0" t="s">
        <v>68</v>
      </c>
      <c r="G475" s="0" t="s">
        <v>118</v>
      </c>
      <c r="H475" s="0" t="s">
        <v>51</v>
      </c>
      <c r="I475" s="0" t="s">
        <v>39</v>
      </c>
      <c r="J475" s="0" t="n">
        <v>1.26</v>
      </c>
      <c r="K475" s="0" t="s">
        <v>60</v>
      </c>
      <c r="L475" s="0" t="n">
        <f aca="false">INDEX(Summary!$F$2:$F$201,MATCH($B475,Summary!$A$2:$A$201,0))</f>
        <v>20</v>
      </c>
      <c r="M475" s="0" t="n">
        <f aca="false">INDEX(Summary!$I$2:$I$201,MATCH($B475,Summary!$A$2:$A$201,0))</f>
        <v>4</v>
      </c>
      <c r="N475" s="0" t="n">
        <f aca="false">INDEX(Summary!$J$2:$J$201,MATCH($B475,Summary!$A$2:$A$201,0))</f>
        <v>1</v>
      </c>
      <c r="O475" s="2" t="n">
        <f aca="false">INDEX(Summary!$K$2:$K$201,MATCH($B475,Summary!$A$2:$A$201,0))</f>
        <v>9.08</v>
      </c>
      <c r="P475" s="3" t="n">
        <f aca="false">INDEX(Summary!$L$2:$L$201,MATCH($B475,Summary!$A$2:$A$201,0))</f>
        <v>3</v>
      </c>
      <c r="Q475" s="3" t="n">
        <f aca="false">INDEX(Summary!$M$2:$M$201,MATCH($B475,Summary!$A$2:$A$201,0))</f>
        <v>3</v>
      </c>
      <c r="R475" s="2" t="n">
        <f aca="false">INDEX(Summary!$N$2:$N$201,MATCH($B475,Summary!$A$2:$A$201,0))</f>
        <v>10.53</v>
      </c>
      <c r="S475" s="3" t="n">
        <f aca="false">INDEX(Summary!$O$2:$O$201,MATCH($B475,Summary!$A$2:$A$201,0))</f>
        <v>8</v>
      </c>
      <c r="T475" s="3" t="n">
        <f aca="false">INDEX(Summary!$P$2:$P$201,MATCH($B475,Summary!$A$2:$A$201,0))</f>
        <v>1</v>
      </c>
      <c r="U475" s="2" t="n">
        <f aca="false">INDEX(Summary!$Q$2:$Q$201,MATCH($B475,Summary!$A$2:$A$201,0))</f>
        <v>13.14</v>
      </c>
      <c r="V475" s="2" t="n">
        <f aca="false">INDEX(Summary!$R$2:$R$201,MATCH($B475,Summary!$A$2:$A$201,0))</f>
        <v>28.88</v>
      </c>
      <c r="W475" s="0" t="str">
        <f aca="false">INDEX(Summary!$S$2:$S$201,MATCH($B475,Summary!$A$2:$A$201,0))</f>
        <v>Gold</v>
      </c>
      <c r="X475" s="2" t="n">
        <f aca="false">INDEX(Summary!$T$2:$T$201,MATCH($B475,Summary!$A$2:$A$201,0))</f>
        <v>70.44</v>
      </c>
      <c r="Y475" s="0" t="str">
        <f aca="false">INDEX('Reward Model'!$E$18:$E$37,MATCH($E475,'Reward Model'!$A$18:$A$37,0))</f>
        <v>Medium</v>
      </c>
      <c r="Z475" s="4" t="n">
        <f aca="false">ROUND(MIN(1,MAX('Reward Model'!$B$2,INDEX('Reward Model'!$C$12:$C$14,MATCH($K475,'Reward Model'!$A$12:$A$14,0))/$J475)),3)</f>
        <v>1</v>
      </c>
      <c r="AA475" s="2" t="n">
        <f aca="false">IF($I475="Correct",ROUND(INDEX('Reward Model'!$B$12:$B$14,MATCH($K475,'Reward Model'!$A$12:$A$14,0))*Z475,2),0)</f>
        <v>0</v>
      </c>
      <c r="AB475" s="2" t="n">
        <f aca="false">IF($I475="Correct",ROUND(INDEX('Reward Model'!$B$12:$B$14,MATCH($Y475,'Reward Model'!$A$12:$A$14,0))*Z475,2),0)</f>
        <v>0</v>
      </c>
    </row>
    <row r="476" customFormat="false" ht="15" hidden="false" customHeight="false" outlineLevel="0" collapsed="false">
      <c r="A476" s="0" t="s">
        <v>172</v>
      </c>
      <c r="B476" s="0" t="s">
        <v>173</v>
      </c>
      <c r="C476" s="0" t="s">
        <v>30</v>
      </c>
      <c r="D476" s="0" t="s">
        <v>31</v>
      </c>
      <c r="E476" s="0" t="n">
        <v>15</v>
      </c>
      <c r="F476" s="0" t="s">
        <v>69</v>
      </c>
      <c r="G476" s="0" t="s">
        <v>70</v>
      </c>
      <c r="H476" s="0" t="s">
        <v>70</v>
      </c>
      <c r="I476" s="0" t="s">
        <v>34</v>
      </c>
      <c r="J476" s="0" t="n">
        <v>2.26</v>
      </c>
      <c r="K476" s="0" t="s">
        <v>60</v>
      </c>
      <c r="L476" s="0" t="n">
        <f aca="false">INDEX(Summary!$F$2:$F$201,MATCH($B476,Summary!$A$2:$A$201,0))</f>
        <v>20</v>
      </c>
      <c r="M476" s="0" t="n">
        <f aca="false">INDEX(Summary!$I$2:$I$201,MATCH($B476,Summary!$A$2:$A$201,0))</f>
        <v>4</v>
      </c>
      <c r="N476" s="0" t="n">
        <f aca="false">INDEX(Summary!$J$2:$J$201,MATCH($B476,Summary!$A$2:$A$201,0))</f>
        <v>1</v>
      </c>
      <c r="O476" s="2" t="n">
        <f aca="false">INDEX(Summary!$K$2:$K$201,MATCH($B476,Summary!$A$2:$A$201,0))</f>
        <v>9.08</v>
      </c>
      <c r="P476" s="3" t="n">
        <f aca="false">INDEX(Summary!$L$2:$L$201,MATCH($B476,Summary!$A$2:$A$201,0))</f>
        <v>3</v>
      </c>
      <c r="Q476" s="3" t="n">
        <f aca="false">INDEX(Summary!$M$2:$M$201,MATCH($B476,Summary!$A$2:$A$201,0))</f>
        <v>3</v>
      </c>
      <c r="R476" s="2" t="n">
        <f aca="false">INDEX(Summary!$N$2:$N$201,MATCH($B476,Summary!$A$2:$A$201,0))</f>
        <v>10.53</v>
      </c>
      <c r="S476" s="3" t="n">
        <f aca="false">INDEX(Summary!$O$2:$O$201,MATCH($B476,Summary!$A$2:$A$201,0))</f>
        <v>8</v>
      </c>
      <c r="T476" s="3" t="n">
        <f aca="false">INDEX(Summary!$P$2:$P$201,MATCH($B476,Summary!$A$2:$A$201,0))</f>
        <v>1</v>
      </c>
      <c r="U476" s="2" t="n">
        <f aca="false">INDEX(Summary!$Q$2:$Q$201,MATCH($B476,Summary!$A$2:$A$201,0))</f>
        <v>13.14</v>
      </c>
      <c r="V476" s="2" t="n">
        <f aca="false">INDEX(Summary!$R$2:$R$201,MATCH($B476,Summary!$A$2:$A$201,0))</f>
        <v>28.88</v>
      </c>
      <c r="W476" s="0" t="str">
        <f aca="false">INDEX(Summary!$S$2:$S$201,MATCH($B476,Summary!$A$2:$A$201,0))</f>
        <v>Gold</v>
      </c>
      <c r="X476" s="2" t="n">
        <f aca="false">INDEX(Summary!$T$2:$T$201,MATCH($B476,Summary!$A$2:$A$201,0))</f>
        <v>70.44</v>
      </c>
      <c r="Y476" s="0" t="str">
        <f aca="false">INDEX('Reward Model'!$E$18:$E$37,MATCH($E476,'Reward Model'!$A$18:$A$37,0))</f>
        <v>Medium</v>
      </c>
      <c r="Z476" s="4" t="n">
        <f aca="false">ROUND(MIN(1,MAX('Reward Model'!$B$2,INDEX('Reward Model'!$C$12:$C$14,MATCH($K476,'Reward Model'!$A$12:$A$14,0))/$J476)),3)</f>
        <v>0.796</v>
      </c>
      <c r="AA476" s="2" t="n">
        <f aca="false">IF($I476="Correct",ROUND(INDEX('Reward Model'!$B$12:$B$14,MATCH($K476,'Reward Model'!$A$12:$A$14,0))*Z476,2),0)</f>
        <v>1.59</v>
      </c>
      <c r="AB476" s="2" t="n">
        <f aca="false">IF($I476="Correct",ROUND(INDEX('Reward Model'!$B$12:$B$14,MATCH($Y476,'Reward Model'!$A$12:$A$14,0))*Z476,2),0)</f>
        <v>1.59</v>
      </c>
    </row>
    <row r="477" customFormat="false" ht="15" hidden="false" customHeight="false" outlineLevel="0" collapsed="false">
      <c r="A477" s="0" t="s">
        <v>172</v>
      </c>
      <c r="B477" s="0" t="s">
        <v>173</v>
      </c>
      <c r="C477" s="0" t="s">
        <v>30</v>
      </c>
      <c r="D477" s="0" t="s">
        <v>31</v>
      </c>
      <c r="E477" s="0" t="n">
        <v>16</v>
      </c>
      <c r="F477" s="0" t="s">
        <v>71</v>
      </c>
      <c r="G477" s="0" t="s">
        <v>72</v>
      </c>
      <c r="H477" s="0" t="s">
        <v>72</v>
      </c>
      <c r="I477" s="0" t="s">
        <v>34</v>
      </c>
      <c r="J477" s="0" t="n">
        <v>1.99</v>
      </c>
      <c r="K477" s="0" t="s">
        <v>73</v>
      </c>
      <c r="L477" s="0" t="n">
        <f aca="false">INDEX(Summary!$F$2:$F$201,MATCH($B477,Summary!$A$2:$A$201,0))</f>
        <v>20</v>
      </c>
      <c r="M477" s="0" t="n">
        <f aca="false">INDEX(Summary!$I$2:$I$201,MATCH($B477,Summary!$A$2:$A$201,0))</f>
        <v>4</v>
      </c>
      <c r="N477" s="0" t="n">
        <f aca="false">INDEX(Summary!$J$2:$J$201,MATCH($B477,Summary!$A$2:$A$201,0))</f>
        <v>1</v>
      </c>
      <c r="O477" s="2" t="n">
        <f aca="false">INDEX(Summary!$K$2:$K$201,MATCH($B477,Summary!$A$2:$A$201,0))</f>
        <v>9.08</v>
      </c>
      <c r="P477" s="3" t="n">
        <f aca="false">INDEX(Summary!$L$2:$L$201,MATCH($B477,Summary!$A$2:$A$201,0))</f>
        <v>3</v>
      </c>
      <c r="Q477" s="3" t="n">
        <f aca="false">INDEX(Summary!$M$2:$M$201,MATCH($B477,Summary!$A$2:$A$201,0))</f>
        <v>3</v>
      </c>
      <c r="R477" s="2" t="n">
        <f aca="false">INDEX(Summary!$N$2:$N$201,MATCH($B477,Summary!$A$2:$A$201,0))</f>
        <v>10.53</v>
      </c>
      <c r="S477" s="3" t="n">
        <f aca="false">INDEX(Summary!$O$2:$O$201,MATCH($B477,Summary!$A$2:$A$201,0))</f>
        <v>8</v>
      </c>
      <c r="T477" s="3" t="n">
        <f aca="false">INDEX(Summary!$P$2:$P$201,MATCH($B477,Summary!$A$2:$A$201,0))</f>
        <v>1</v>
      </c>
      <c r="U477" s="2" t="n">
        <f aca="false">INDEX(Summary!$Q$2:$Q$201,MATCH($B477,Summary!$A$2:$A$201,0))</f>
        <v>13.14</v>
      </c>
      <c r="V477" s="2" t="n">
        <f aca="false">INDEX(Summary!$R$2:$R$201,MATCH($B477,Summary!$A$2:$A$201,0))</f>
        <v>28.88</v>
      </c>
      <c r="W477" s="0" t="str">
        <f aca="false">INDEX(Summary!$S$2:$S$201,MATCH($B477,Summary!$A$2:$A$201,0))</f>
        <v>Gold</v>
      </c>
      <c r="X477" s="2" t="n">
        <f aca="false">INDEX(Summary!$T$2:$T$201,MATCH($B477,Summary!$A$2:$A$201,0))</f>
        <v>70.44</v>
      </c>
      <c r="Y477" s="0" t="str">
        <f aca="false">INDEX('Reward Model'!$E$18:$E$37,MATCH($E477,'Reward Model'!$A$18:$A$37,0))</f>
        <v>High</v>
      </c>
      <c r="Z477" s="4" t="n">
        <f aca="false">ROUND(MIN(1,MAX('Reward Model'!$B$2,INDEX('Reward Model'!$C$12:$C$14,MATCH($K477,'Reward Model'!$A$12:$A$14,0))/$J477)),3)</f>
        <v>1</v>
      </c>
      <c r="AA477" s="2" t="n">
        <f aca="false">IF($I477="Correct",ROUND(INDEX('Reward Model'!$B$12:$B$14,MATCH($K477,'Reward Model'!$A$12:$A$14,0))*Z477,2),0)</f>
        <v>3</v>
      </c>
      <c r="AB477" s="2" t="n">
        <f aca="false">IF($I477="Correct",ROUND(INDEX('Reward Model'!$B$12:$B$14,MATCH($Y477,'Reward Model'!$A$12:$A$14,0))*Z477,2),0)</f>
        <v>3</v>
      </c>
    </row>
    <row r="478" customFormat="false" ht="15" hidden="false" customHeight="false" outlineLevel="0" collapsed="false">
      <c r="A478" s="0" t="s">
        <v>172</v>
      </c>
      <c r="B478" s="0" t="s">
        <v>173</v>
      </c>
      <c r="C478" s="0" t="s">
        <v>30</v>
      </c>
      <c r="D478" s="0" t="s">
        <v>31</v>
      </c>
      <c r="E478" s="0" t="n">
        <v>17</v>
      </c>
      <c r="F478" s="0" t="s">
        <v>74</v>
      </c>
      <c r="G478" s="0" t="s">
        <v>75</v>
      </c>
      <c r="H478" s="0" t="s">
        <v>75</v>
      </c>
      <c r="I478" s="0" t="s">
        <v>34</v>
      </c>
      <c r="J478" s="0" t="n">
        <v>1.23</v>
      </c>
      <c r="K478" s="0" t="s">
        <v>73</v>
      </c>
      <c r="L478" s="0" t="n">
        <f aca="false">INDEX(Summary!$F$2:$F$201,MATCH($B478,Summary!$A$2:$A$201,0))</f>
        <v>20</v>
      </c>
      <c r="M478" s="0" t="n">
        <f aca="false">INDEX(Summary!$I$2:$I$201,MATCH($B478,Summary!$A$2:$A$201,0))</f>
        <v>4</v>
      </c>
      <c r="N478" s="0" t="n">
        <f aca="false">INDEX(Summary!$J$2:$J$201,MATCH($B478,Summary!$A$2:$A$201,0))</f>
        <v>1</v>
      </c>
      <c r="O478" s="2" t="n">
        <f aca="false">INDEX(Summary!$K$2:$K$201,MATCH($B478,Summary!$A$2:$A$201,0))</f>
        <v>9.08</v>
      </c>
      <c r="P478" s="3" t="n">
        <f aca="false">INDEX(Summary!$L$2:$L$201,MATCH($B478,Summary!$A$2:$A$201,0))</f>
        <v>3</v>
      </c>
      <c r="Q478" s="3" t="n">
        <f aca="false">INDEX(Summary!$M$2:$M$201,MATCH($B478,Summary!$A$2:$A$201,0))</f>
        <v>3</v>
      </c>
      <c r="R478" s="2" t="n">
        <f aca="false">INDEX(Summary!$N$2:$N$201,MATCH($B478,Summary!$A$2:$A$201,0))</f>
        <v>10.53</v>
      </c>
      <c r="S478" s="3" t="n">
        <f aca="false">INDEX(Summary!$O$2:$O$201,MATCH($B478,Summary!$A$2:$A$201,0))</f>
        <v>8</v>
      </c>
      <c r="T478" s="3" t="n">
        <f aca="false">INDEX(Summary!$P$2:$P$201,MATCH($B478,Summary!$A$2:$A$201,0))</f>
        <v>1</v>
      </c>
      <c r="U478" s="2" t="n">
        <f aca="false">INDEX(Summary!$Q$2:$Q$201,MATCH($B478,Summary!$A$2:$A$201,0))</f>
        <v>13.14</v>
      </c>
      <c r="V478" s="2" t="n">
        <f aca="false">INDEX(Summary!$R$2:$R$201,MATCH($B478,Summary!$A$2:$A$201,0))</f>
        <v>28.88</v>
      </c>
      <c r="W478" s="0" t="str">
        <f aca="false">INDEX(Summary!$S$2:$S$201,MATCH($B478,Summary!$A$2:$A$201,0))</f>
        <v>Gold</v>
      </c>
      <c r="X478" s="2" t="n">
        <f aca="false">INDEX(Summary!$T$2:$T$201,MATCH($B478,Summary!$A$2:$A$201,0))</f>
        <v>70.44</v>
      </c>
      <c r="Y478" s="0" t="str">
        <f aca="false">INDEX('Reward Model'!$E$18:$E$37,MATCH($E478,'Reward Model'!$A$18:$A$37,0))</f>
        <v>High</v>
      </c>
      <c r="Z478" s="4" t="n">
        <f aca="false">ROUND(MIN(1,MAX('Reward Model'!$B$2,INDEX('Reward Model'!$C$12:$C$14,MATCH($K478,'Reward Model'!$A$12:$A$14,0))/$J478)),3)</f>
        <v>1</v>
      </c>
      <c r="AA478" s="2" t="n">
        <f aca="false">IF($I478="Correct",ROUND(INDEX('Reward Model'!$B$12:$B$14,MATCH($K478,'Reward Model'!$A$12:$A$14,0))*Z478,2),0)</f>
        <v>3</v>
      </c>
      <c r="AB478" s="2" t="n">
        <f aca="false">IF($I478="Correct",ROUND(INDEX('Reward Model'!$B$12:$B$14,MATCH($Y478,'Reward Model'!$A$12:$A$14,0))*Z478,2),0)</f>
        <v>3</v>
      </c>
    </row>
    <row r="479" customFormat="false" ht="15" hidden="false" customHeight="false" outlineLevel="0" collapsed="false">
      <c r="A479" s="0" t="s">
        <v>172</v>
      </c>
      <c r="B479" s="0" t="s">
        <v>173</v>
      </c>
      <c r="C479" s="0" t="s">
        <v>30</v>
      </c>
      <c r="D479" s="0" t="s">
        <v>31</v>
      </c>
      <c r="E479" s="0" t="n">
        <v>18</v>
      </c>
      <c r="F479" s="0" t="s">
        <v>76</v>
      </c>
      <c r="G479" s="0" t="s">
        <v>77</v>
      </c>
      <c r="H479" s="0" t="s">
        <v>77</v>
      </c>
      <c r="I479" s="0" t="s">
        <v>34</v>
      </c>
      <c r="J479" s="0" t="n">
        <v>2.28</v>
      </c>
      <c r="K479" s="0" t="s">
        <v>73</v>
      </c>
      <c r="L479" s="0" t="n">
        <f aca="false">INDEX(Summary!$F$2:$F$201,MATCH($B479,Summary!$A$2:$A$201,0))</f>
        <v>20</v>
      </c>
      <c r="M479" s="0" t="n">
        <f aca="false">INDEX(Summary!$I$2:$I$201,MATCH($B479,Summary!$A$2:$A$201,0))</f>
        <v>4</v>
      </c>
      <c r="N479" s="0" t="n">
        <f aca="false">INDEX(Summary!$J$2:$J$201,MATCH($B479,Summary!$A$2:$A$201,0))</f>
        <v>1</v>
      </c>
      <c r="O479" s="2" t="n">
        <f aca="false">INDEX(Summary!$K$2:$K$201,MATCH($B479,Summary!$A$2:$A$201,0))</f>
        <v>9.08</v>
      </c>
      <c r="P479" s="3" t="n">
        <f aca="false">INDEX(Summary!$L$2:$L$201,MATCH($B479,Summary!$A$2:$A$201,0))</f>
        <v>3</v>
      </c>
      <c r="Q479" s="3" t="n">
        <f aca="false">INDEX(Summary!$M$2:$M$201,MATCH($B479,Summary!$A$2:$A$201,0))</f>
        <v>3</v>
      </c>
      <c r="R479" s="2" t="n">
        <f aca="false">INDEX(Summary!$N$2:$N$201,MATCH($B479,Summary!$A$2:$A$201,0))</f>
        <v>10.53</v>
      </c>
      <c r="S479" s="3" t="n">
        <f aca="false">INDEX(Summary!$O$2:$O$201,MATCH($B479,Summary!$A$2:$A$201,0))</f>
        <v>8</v>
      </c>
      <c r="T479" s="3" t="n">
        <f aca="false">INDEX(Summary!$P$2:$P$201,MATCH($B479,Summary!$A$2:$A$201,0))</f>
        <v>1</v>
      </c>
      <c r="U479" s="2" t="n">
        <f aca="false">INDEX(Summary!$Q$2:$Q$201,MATCH($B479,Summary!$A$2:$A$201,0))</f>
        <v>13.14</v>
      </c>
      <c r="V479" s="2" t="n">
        <f aca="false">INDEX(Summary!$R$2:$R$201,MATCH($B479,Summary!$A$2:$A$201,0))</f>
        <v>28.88</v>
      </c>
      <c r="W479" s="0" t="str">
        <f aca="false">INDEX(Summary!$S$2:$S$201,MATCH($B479,Summary!$A$2:$A$201,0))</f>
        <v>Gold</v>
      </c>
      <c r="X479" s="2" t="n">
        <f aca="false">INDEX(Summary!$T$2:$T$201,MATCH($B479,Summary!$A$2:$A$201,0))</f>
        <v>70.44</v>
      </c>
      <c r="Y479" s="0" t="str">
        <f aca="false">INDEX('Reward Model'!$E$18:$E$37,MATCH($E479,'Reward Model'!$A$18:$A$37,0))</f>
        <v>High</v>
      </c>
      <c r="Z479" s="4" t="n">
        <f aca="false">ROUND(MIN(1,MAX('Reward Model'!$B$2,INDEX('Reward Model'!$C$12:$C$14,MATCH($K479,'Reward Model'!$A$12:$A$14,0))/$J479)),3)</f>
        <v>0.877</v>
      </c>
      <c r="AA479" s="2" t="n">
        <f aca="false">IF($I479="Correct",ROUND(INDEX('Reward Model'!$B$12:$B$14,MATCH($K479,'Reward Model'!$A$12:$A$14,0))*Z479,2),0)</f>
        <v>2.63</v>
      </c>
      <c r="AB479" s="2" t="n">
        <f aca="false">IF($I479="Correct",ROUND(INDEX('Reward Model'!$B$12:$B$14,MATCH($Y479,'Reward Model'!$A$12:$A$14,0))*Z479,2),0)</f>
        <v>2.63</v>
      </c>
    </row>
    <row r="480" customFormat="false" ht="15" hidden="false" customHeight="false" outlineLevel="0" collapsed="false">
      <c r="A480" s="0" t="s">
        <v>172</v>
      </c>
      <c r="B480" s="0" t="s">
        <v>173</v>
      </c>
      <c r="C480" s="0" t="s">
        <v>30</v>
      </c>
      <c r="D480" s="0" t="s">
        <v>31</v>
      </c>
      <c r="E480" s="0" t="n">
        <v>19</v>
      </c>
      <c r="F480" s="0" t="s">
        <v>78</v>
      </c>
      <c r="G480" s="0" t="s">
        <v>80</v>
      </c>
      <c r="H480" s="0" t="s">
        <v>80</v>
      </c>
      <c r="I480" s="0" t="s">
        <v>34</v>
      </c>
      <c r="J480" s="0" t="n">
        <v>1.6</v>
      </c>
      <c r="K480" s="0" t="s">
        <v>73</v>
      </c>
      <c r="L480" s="0" t="n">
        <f aca="false">INDEX(Summary!$F$2:$F$201,MATCH($B480,Summary!$A$2:$A$201,0))</f>
        <v>20</v>
      </c>
      <c r="M480" s="0" t="n">
        <f aca="false">INDEX(Summary!$I$2:$I$201,MATCH($B480,Summary!$A$2:$A$201,0))</f>
        <v>4</v>
      </c>
      <c r="N480" s="0" t="n">
        <f aca="false">INDEX(Summary!$J$2:$J$201,MATCH($B480,Summary!$A$2:$A$201,0))</f>
        <v>1</v>
      </c>
      <c r="O480" s="2" t="n">
        <f aca="false">INDEX(Summary!$K$2:$K$201,MATCH($B480,Summary!$A$2:$A$201,0))</f>
        <v>9.08</v>
      </c>
      <c r="P480" s="3" t="n">
        <f aca="false">INDEX(Summary!$L$2:$L$201,MATCH($B480,Summary!$A$2:$A$201,0))</f>
        <v>3</v>
      </c>
      <c r="Q480" s="3" t="n">
        <f aca="false">INDEX(Summary!$M$2:$M$201,MATCH($B480,Summary!$A$2:$A$201,0))</f>
        <v>3</v>
      </c>
      <c r="R480" s="2" t="n">
        <f aca="false">INDEX(Summary!$N$2:$N$201,MATCH($B480,Summary!$A$2:$A$201,0))</f>
        <v>10.53</v>
      </c>
      <c r="S480" s="3" t="n">
        <f aca="false">INDEX(Summary!$O$2:$O$201,MATCH($B480,Summary!$A$2:$A$201,0))</f>
        <v>8</v>
      </c>
      <c r="T480" s="3" t="n">
        <f aca="false">INDEX(Summary!$P$2:$P$201,MATCH($B480,Summary!$A$2:$A$201,0))</f>
        <v>1</v>
      </c>
      <c r="U480" s="2" t="n">
        <f aca="false">INDEX(Summary!$Q$2:$Q$201,MATCH($B480,Summary!$A$2:$A$201,0))</f>
        <v>13.14</v>
      </c>
      <c r="V480" s="2" t="n">
        <f aca="false">INDEX(Summary!$R$2:$R$201,MATCH($B480,Summary!$A$2:$A$201,0))</f>
        <v>28.88</v>
      </c>
      <c r="W480" s="0" t="str">
        <f aca="false">INDEX(Summary!$S$2:$S$201,MATCH($B480,Summary!$A$2:$A$201,0))</f>
        <v>Gold</v>
      </c>
      <c r="X480" s="2" t="n">
        <f aca="false">INDEX(Summary!$T$2:$T$201,MATCH($B480,Summary!$A$2:$A$201,0))</f>
        <v>70.44</v>
      </c>
      <c r="Y480" s="0" t="str">
        <f aca="false">INDEX('Reward Model'!$E$18:$E$37,MATCH($E480,'Reward Model'!$A$18:$A$37,0))</f>
        <v>High</v>
      </c>
      <c r="Z480" s="4" t="n">
        <f aca="false">ROUND(MIN(1,MAX('Reward Model'!$B$2,INDEX('Reward Model'!$C$12:$C$14,MATCH($K480,'Reward Model'!$A$12:$A$14,0))/$J480)),3)</f>
        <v>1</v>
      </c>
      <c r="AA480" s="2" t="n">
        <f aca="false">IF($I480="Correct",ROUND(INDEX('Reward Model'!$B$12:$B$14,MATCH($K480,'Reward Model'!$A$12:$A$14,0))*Z480,2),0)</f>
        <v>3</v>
      </c>
      <c r="AB480" s="2" t="n">
        <f aca="false">IF($I480="Correct",ROUND(INDEX('Reward Model'!$B$12:$B$14,MATCH($Y480,'Reward Model'!$A$12:$A$14,0))*Z480,2),0)</f>
        <v>3</v>
      </c>
    </row>
    <row r="481" customFormat="false" ht="15" hidden="false" customHeight="false" outlineLevel="0" collapsed="false">
      <c r="A481" s="0" t="s">
        <v>172</v>
      </c>
      <c r="B481" s="0" t="s">
        <v>173</v>
      </c>
      <c r="C481" s="0" t="s">
        <v>30</v>
      </c>
      <c r="D481" s="0" t="s">
        <v>31</v>
      </c>
      <c r="E481" s="0" t="n">
        <v>20</v>
      </c>
      <c r="F481" s="0" t="s">
        <v>81</v>
      </c>
      <c r="G481" s="0" t="s">
        <v>82</v>
      </c>
      <c r="H481" s="0" t="s">
        <v>83</v>
      </c>
      <c r="I481" s="0" t="s">
        <v>39</v>
      </c>
      <c r="J481" s="0" t="n">
        <v>1.98</v>
      </c>
      <c r="K481" s="0" t="s">
        <v>73</v>
      </c>
      <c r="L481" s="0" t="n">
        <f aca="false">INDEX(Summary!$F$2:$F$201,MATCH($B481,Summary!$A$2:$A$201,0))</f>
        <v>20</v>
      </c>
      <c r="M481" s="0" t="n">
        <f aca="false">INDEX(Summary!$I$2:$I$201,MATCH($B481,Summary!$A$2:$A$201,0))</f>
        <v>4</v>
      </c>
      <c r="N481" s="0" t="n">
        <f aca="false">INDEX(Summary!$J$2:$J$201,MATCH($B481,Summary!$A$2:$A$201,0))</f>
        <v>1</v>
      </c>
      <c r="O481" s="2" t="n">
        <f aca="false">INDEX(Summary!$K$2:$K$201,MATCH($B481,Summary!$A$2:$A$201,0))</f>
        <v>9.08</v>
      </c>
      <c r="P481" s="3" t="n">
        <f aca="false">INDEX(Summary!$L$2:$L$201,MATCH($B481,Summary!$A$2:$A$201,0))</f>
        <v>3</v>
      </c>
      <c r="Q481" s="3" t="n">
        <f aca="false">INDEX(Summary!$M$2:$M$201,MATCH($B481,Summary!$A$2:$A$201,0))</f>
        <v>3</v>
      </c>
      <c r="R481" s="2" t="n">
        <f aca="false">INDEX(Summary!$N$2:$N$201,MATCH($B481,Summary!$A$2:$A$201,0))</f>
        <v>10.53</v>
      </c>
      <c r="S481" s="3" t="n">
        <f aca="false">INDEX(Summary!$O$2:$O$201,MATCH($B481,Summary!$A$2:$A$201,0))</f>
        <v>8</v>
      </c>
      <c r="T481" s="3" t="n">
        <f aca="false">INDEX(Summary!$P$2:$P$201,MATCH($B481,Summary!$A$2:$A$201,0))</f>
        <v>1</v>
      </c>
      <c r="U481" s="2" t="n">
        <f aca="false">INDEX(Summary!$Q$2:$Q$201,MATCH($B481,Summary!$A$2:$A$201,0))</f>
        <v>13.14</v>
      </c>
      <c r="V481" s="2" t="n">
        <f aca="false">INDEX(Summary!$R$2:$R$201,MATCH($B481,Summary!$A$2:$A$201,0))</f>
        <v>28.88</v>
      </c>
      <c r="W481" s="0" t="str">
        <f aca="false">INDEX(Summary!$S$2:$S$201,MATCH($B481,Summary!$A$2:$A$201,0))</f>
        <v>Gold</v>
      </c>
      <c r="X481" s="2" t="n">
        <f aca="false">INDEX(Summary!$T$2:$T$201,MATCH($B481,Summary!$A$2:$A$201,0))</f>
        <v>70.44</v>
      </c>
      <c r="Y481" s="0" t="str">
        <f aca="false">INDEX('Reward Model'!$E$18:$E$37,MATCH($E481,'Reward Model'!$A$18:$A$37,0))</f>
        <v>High</v>
      </c>
      <c r="Z481" s="4" t="n">
        <f aca="false">ROUND(MIN(1,MAX('Reward Model'!$B$2,INDEX('Reward Model'!$C$12:$C$14,MATCH($K481,'Reward Model'!$A$12:$A$14,0))/$J481)),3)</f>
        <v>1</v>
      </c>
      <c r="AA481" s="2" t="n">
        <f aca="false">IF($I481="Correct",ROUND(INDEX('Reward Model'!$B$12:$B$14,MATCH($K481,'Reward Model'!$A$12:$A$14,0))*Z481,2),0)</f>
        <v>0</v>
      </c>
      <c r="AB481" s="2" t="n">
        <f aca="false">IF($I481="Correct",ROUND(INDEX('Reward Model'!$B$12:$B$14,MATCH($Y481,'Reward Model'!$A$12:$A$14,0))*Z481,2),0)</f>
        <v>0</v>
      </c>
    </row>
    <row r="482" customFormat="false" ht="15" hidden="false" customHeight="false" outlineLevel="0" collapsed="false">
      <c r="A482" s="0" t="s">
        <v>175</v>
      </c>
      <c r="B482" s="0" t="s">
        <v>176</v>
      </c>
      <c r="C482" s="0" t="s">
        <v>30</v>
      </c>
      <c r="D482" s="0" t="s">
        <v>31</v>
      </c>
      <c r="E482" s="0" t="n">
        <v>1</v>
      </c>
      <c r="F482" s="0" t="s">
        <v>32</v>
      </c>
      <c r="G482" s="0" t="s">
        <v>33</v>
      </c>
      <c r="H482" s="0" t="s">
        <v>33</v>
      </c>
      <c r="I482" s="0" t="s">
        <v>34</v>
      </c>
      <c r="J482" s="0" t="n">
        <v>1.13</v>
      </c>
      <c r="K482" s="0" t="s">
        <v>35</v>
      </c>
      <c r="L482" s="0" t="n">
        <f aca="false">INDEX(Summary!$F$2:$F$201,MATCH($B482,Summary!$A$2:$A$201,0))</f>
        <v>20</v>
      </c>
      <c r="M482" s="0" t="n">
        <f aca="false">INDEX(Summary!$I$2:$I$201,MATCH($B482,Summary!$A$2:$A$201,0))</f>
        <v>2</v>
      </c>
      <c r="N482" s="0" t="n">
        <f aca="false">INDEX(Summary!$J$2:$J$201,MATCH($B482,Summary!$A$2:$A$201,0))</f>
        <v>3</v>
      </c>
      <c r="O482" s="2" t="n">
        <f aca="false">INDEX(Summary!$K$2:$K$201,MATCH($B482,Summary!$A$2:$A$201,0))</f>
        <v>7.97</v>
      </c>
      <c r="P482" s="3" t="n">
        <f aca="false">INDEX(Summary!$L$2:$L$201,MATCH($B482,Summary!$A$2:$A$201,0))</f>
        <v>5</v>
      </c>
      <c r="Q482" s="3" t="n">
        <f aca="false">INDEX(Summary!$M$2:$M$201,MATCH($B482,Summary!$A$2:$A$201,0))</f>
        <v>1</v>
      </c>
      <c r="R482" s="2" t="n">
        <f aca="false">INDEX(Summary!$N$2:$N$201,MATCH($B482,Summary!$A$2:$A$201,0))</f>
        <v>9.05</v>
      </c>
      <c r="S482" s="3" t="n">
        <f aca="false">INDEX(Summary!$O$2:$O$201,MATCH($B482,Summary!$A$2:$A$201,0))</f>
        <v>7</v>
      </c>
      <c r="T482" s="3" t="n">
        <f aca="false">INDEX(Summary!$P$2:$P$201,MATCH($B482,Summary!$A$2:$A$201,0))</f>
        <v>2</v>
      </c>
      <c r="U482" s="2" t="n">
        <f aca="false">INDEX(Summary!$Q$2:$Q$201,MATCH($B482,Summary!$A$2:$A$201,0))</f>
        <v>11.79</v>
      </c>
      <c r="V482" s="2" t="n">
        <f aca="false">INDEX(Summary!$R$2:$R$201,MATCH($B482,Summary!$A$2:$A$201,0))</f>
        <v>25.8</v>
      </c>
      <c r="W482" s="0" t="str">
        <f aca="false">INDEX(Summary!$S$2:$S$201,MATCH($B482,Summary!$A$2:$A$201,0))</f>
        <v>Silver</v>
      </c>
      <c r="X482" s="2" t="n">
        <f aca="false">INDEX(Summary!$T$2:$T$201,MATCH($B482,Summary!$A$2:$A$201,0))</f>
        <v>62.93</v>
      </c>
      <c r="Y482" s="0" t="str">
        <f aca="false">INDEX('Reward Model'!$E$18:$E$37,MATCH($E482,'Reward Model'!$A$18:$A$37,0))</f>
        <v>Medium</v>
      </c>
      <c r="Z482" s="4" t="n">
        <f aca="false">ROUND(MIN(1,MAX('Reward Model'!$B$2,INDEX('Reward Model'!$C$12:$C$14,MATCH($K482,'Reward Model'!$A$12:$A$14,0))/$J482)),3)</f>
        <v>1</v>
      </c>
      <c r="AA482" s="2" t="n">
        <f aca="false">IF($I482="Correct",ROUND(INDEX('Reward Model'!$B$12:$B$14,MATCH($K482,'Reward Model'!$A$12:$A$14,0))*Z482,2),0)</f>
        <v>1</v>
      </c>
      <c r="AB482" s="2" t="n">
        <f aca="false">IF($I482="Correct",ROUND(INDEX('Reward Model'!$B$12:$B$14,MATCH($Y482,'Reward Model'!$A$12:$A$14,0))*Z482,2),0)</f>
        <v>2</v>
      </c>
    </row>
    <row r="483" customFormat="false" ht="15" hidden="false" customHeight="false" outlineLevel="0" collapsed="false">
      <c r="A483" s="0" t="s">
        <v>175</v>
      </c>
      <c r="B483" s="0" t="s">
        <v>176</v>
      </c>
      <c r="C483" s="0" t="s">
        <v>30</v>
      </c>
      <c r="D483" s="0" t="s">
        <v>31</v>
      </c>
      <c r="E483" s="0" t="n">
        <v>2</v>
      </c>
      <c r="F483" s="0" t="s">
        <v>36</v>
      </c>
      <c r="G483" s="0" t="s">
        <v>38</v>
      </c>
      <c r="H483" s="0" t="s">
        <v>38</v>
      </c>
      <c r="I483" s="0" t="s">
        <v>34</v>
      </c>
      <c r="J483" s="0" t="n">
        <v>1.08</v>
      </c>
      <c r="K483" s="0" t="s">
        <v>35</v>
      </c>
      <c r="L483" s="0" t="n">
        <f aca="false">INDEX(Summary!$F$2:$F$201,MATCH($B483,Summary!$A$2:$A$201,0))</f>
        <v>20</v>
      </c>
      <c r="M483" s="0" t="n">
        <f aca="false">INDEX(Summary!$I$2:$I$201,MATCH($B483,Summary!$A$2:$A$201,0))</f>
        <v>2</v>
      </c>
      <c r="N483" s="0" t="n">
        <f aca="false">INDEX(Summary!$J$2:$J$201,MATCH($B483,Summary!$A$2:$A$201,0))</f>
        <v>3</v>
      </c>
      <c r="O483" s="2" t="n">
        <f aca="false">INDEX(Summary!$K$2:$K$201,MATCH($B483,Summary!$A$2:$A$201,0))</f>
        <v>7.97</v>
      </c>
      <c r="P483" s="3" t="n">
        <f aca="false">INDEX(Summary!$L$2:$L$201,MATCH($B483,Summary!$A$2:$A$201,0))</f>
        <v>5</v>
      </c>
      <c r="Q483" s="3" t="n">
        <f aca="false">INDEX(Summary!$M$2:$M$201,MATCH($B483,Summary!$A$2:$A$201,0))</f>
        <v>1</v>
      </c>
      <c r="R483" s="2" t="n">
        <f aca="false">INDEX(Summary!$N$2:$N$201,MATCH($B483,Summary!$A$2:$A$201,0))</f>
        <v>9.05</v>
      </c>
      <c r="S483" s="3" t="n">
        <f aca="false">INDEX(Summary!$O$2:$O$201,MATCH($B483,Summary!$A$2:$A$201,0))</f>
        <v>7</v>
      </c>
      <c r="T483" s="3" t="n">
        <f aca="false">INDEX(Summary!$P$2:$P$201,MATCH($B483,Summary!$A$2:$A$201,0))</f>
        <v>2</v>
      </c>
      <c r="U483" s="2" t="n">
        <f aca="false">INDEX(Summary!$Q$2:$Q$201,MATCH($B483,Summary!$A$2:$A$201,0))</f>
        <v>11.79</v>
      </c>
      <c r="V483" s="2" t="n">
        <f aca="false">INDEX(Summary!$R$2:$R$201,MATCH($B483,Summary!$A$2:$A$201,0))</f>
        <v>25.8</v>
      </c>
      <c r="W483" s="0" t="str">
        <f aca="false">INDEX(Summary!$S$2:$S$201,MATCH($B483,Summary!$A$2:$A$201,0))</f>
        <v>Silver</v>
      </c>
      <c r="X483" s="2" t="n">
        <f aca="false">INDEX(Summary!$T$2:$T$201,MATCH($B483,Summary!$A$2:$A$201,0))</f>
        <v>62.93</v>
      </c>
      <c r="Y483" s="0" t="str">
        <f aca="false">INDEX('Reward Model'!$E$18:$E$37,MATCH($E483,'Reward Model'!$A$18:$A$37,0))</f>
        <v>Low</v>
      </c>
      <c r="Z483" s="4" t="n">
        <f aca="false">ROUND(MIN(1,MAX('Reward Model'!$B$2,INDEX('Reward Model'!$C$12:$C$14,MATCH($K483,'Reward Model'!$A$12:$A$14,0))/$J483)),3)</f>
        <v>1</v>
      </c>
      <c r="AA483" s="2" t="n">
        <f aca="false">IF($I483="Correct",ROUND(INDEX('Reward Model'!$B$12:$B$14,MATCH($K483,'Reward Model'!$A$12:$A$14,0))*Z483,2),0)</f>
        <v>1</v>
      </c>
      <c r="AB483" s="2" t="n">
        <f aca="false">IF($I483="Correct",ROUND(INDEX('Reward Model'!$B$12:$B$14,MATCH($Y483,'Reward Model'!$A$12:$A$14,0))*Z483,2),0)</f>
        <v>1</v>
      </c>
    </row>
    <row r="484" customFormat="false" ht="15" hidden="false" customHeight="false" outlineLevel="0" collapsed="false">
      <c r="A484" s="0" t="s">
        <v>175</v>
      </c>
      <c r="B484" s="0" t="s">
        <v>176</v>
      </c>
      <c r="C484" s="0" t="s">
        <v>30</v>
      </c>
      <c r="D484" s="0" t="s">
        <v>31</v>
      </c>
      <c r="E484" s="0" t="n">
        <v>3</v>
      </c>
      <c r="F484" s="0" t="s">
        <v>40</v>
      </c>
      <c r="G484" s="0" t="s">
        <v>123</v>
      </c>
      <c r="H484" s="0" t="s">
        <v>42</v>
      </c>
      <c r="I484" s="0" t="s">
        <v>39</v>
      </c>
      <c r="J484" s="0" t="n">
        <v>1.22</v>
      </c>
      <c r="K484" s="0" t="s">
        <v>35</v>
      </c>
      <c r="L484" s="0" t="n">
        <f aca="false">INDEX(Summary!$F$2:$F$201,MATCH($B484,Summary!$A$2:$A$201,0))</f>
        <v>20</v>
      </c>
      <c r="M484" s="0" t="n">
        <f aca="false">INDEX(Summary!$I$2:$I$201,MATCH($B484,Summary!$A$2:$A$201,0))</f>
        <v>2</v>
      </c>
      <c r="N484" s="0" t="n">
        <f aca="false">INDEX(Summary!$J$2:$J$201,MATCH($B484,Summary!$A$2:$A$201,0))</f>
        <v>3</v>
      </c>
      <c r="O484" s="2" t="n">
        <f aca="false">INDEX(Summary!$K$2:$K$201,MATCH($B484,Summary!$A$2:$A$201,0))</f>
        <v>7.97</v>
      </c>
      <c r="P484" s="3" t="n">
        <f aca="false">INDEX(Summary!$L$2:$L$201,MATCH($B484,Summary!$A$2:$A$201,0))</f>
        <v>5</v>
      </c>
      <c r="Q484" s="3" t="n">
        <f aca="false">INDEX(Summary!$M$2:$M$201,MATCH($B484,Summary!$A$2:$A$201,0))</f>
        <v>1</v>
      </c>
      <c r="R484" s="2" t="n">
        <f aca="false">INDEX(Summary!$N$2:$N$201,MATCH($B484,Summary!$A$2:$A$201,0))</f>
        <v>9.05</v>
      </c>
      <c r="S484" s="3" t="n">
        <f aca="false">INDEX(Summary!$O$2:$O$201,MATCH($B484,Summary!$A$2:$A$201,0))</f>
        <v>7</v>
      </c>
      <c r="T484" s="3" t="n">
        <f aca="false">INDEX(Summary!$P$2:$P$201,MATCH($B484,Summary!$A$2:$A$201,0))</f>
        <v>2</v>
      </c>
      <c r="U484" s="2" t="n">
        <f aca="false">INDEX(Summary!$Q$2:$Q$201,MATCH($B484,Summary!$A$2:$A$201,0))</f>
        <v>11.79</v>
      </c>
      <c r="V484" s="2" t="n">
        <f aca="false">INDEX(Summary!$R$2:$R$201,MATCH($B484,Summary!$A$2:$A$201,0))</f>
        <v>25.8</v>
      </c>
      <c r="W484" s="0" t="str">
        <f aca="false">INDEX(Summary!$S$2:$S$201,MATCH($B484,Summary!$A$2:$A$201,0))</f>
        <v>Silver</v>
      </c>
      <c r="X484" s="2" t="n">
        <f aca="false">INDEX(Summary!$T$2:$T$201,MATCH($B484,Summary!$A$2:$A$201,0))</f>
        <v>62.93</v>
      </c>
      <c r="Y484" s="0" t="str">
        <f aca="false">INDEX('Reward Model'!$E$18:$E$37,MATCH($E484,'Reward Model'!$A$18:$A$37,0))</f>
        <v>Medium</v>
      </c>
      <c r="Z484" s="4" t="n">
        <f aca="false">ROUND(MIN(1,MAX('Reward Model'!$B$2,INDEX('Reward Model'!$C$12:$C$14,MATCH($K484,'Reward Model'!$A$12:$A$14,0))/$J484)),3)</f>
        <v>1</v>
      </c>
      <c r="AA484" s="2" t="n">
        <f aca="false">IF($I484="Correct",ROUND(INDEX('Reward Model'!$B$12:$B$14,MATCH($K484,'Reward Model'!$A$12:$A$14,0))*Z484,2),0)</f>
        <v>0</v>
      </c>
      <c r="AB484" s="2" t="n">
        <f aca="false">IF($I484="Correct",ROUND(INDEX('Reward Model'!$B$12:$B$14,MATCH($Y484,'Reward Model'!$A$12:$A$14,0))*Z484,2),0)</f>
        <v>0</v>
      </c>
    </row>
    <row r="485" customFormat="false" ht="15" hidden="false" customHeight="false" outlineLevel="0" collapsed="false">
      <c r="A485" s="0" t="s">
        <v>175</v>
      </c>
      <c r="B485" s="0" t="s">
        <v>176</v>
      </c>
      <c r="C485" s="0" t="s">
        <v>30</v>
      </c>
      <c r="D485" s="0" t="s">
        <v>31</v>
      </c>
      <c r="E485" s="0" t="n">
        <v>4</v>
      </c>
      <c r="F485" s="0" t="s">
        <v>43</v>
      </c>
      <c r="G485" s="0" t="s">
        <v>45</v>
      </c>
      <c r="H485" s="0" t="s">
        <v>45</v>
      </c>
      <c r="I485" s="0" t="s">
        <v>34</v>
      </c>
      <c r="J485" s="0" t="n">
        <v>1.88</v>
      </c>
      <c r="K485" s="0" t="s">
        <v>35</v>
      </c>
      <c r="L485" s="0" t="n">
        <f aca="false">INDEX(Summary!$F$2:$F$201,MATCH($B485,Summary!$A$2:$A$201,0))</f>
        <v>20</v>
      </c>
      <c r="M485" s="0" t="n">
        <f aca="false">INDEX(Summary!$I$2:$I$201,MATCH($B485,Summary!$A$2:$A$201,0))</f>
        <v>2</v>
      </c>
      <c r="N485" s="0" t="n">
        <f aca="false">INDEX(Summary!$J$2:$J$201,MATCH($B485,Summary!$A$2:$A$201,0))</f>
        <v>3</v>
      </c>
      <c r="O485" s="2" t="n">
        <f aca="false">INDEX(Summary!$K$2:$K$201,MATCH($B485,Summary!$A$2:$A$201,0))</f>
        <v>7.97</v>
      </c>
      <c r="P485" s="3" t="n">
        <f aca="false">INDEX(Summary!$L$2:$L$201,MATCH($B485,Summary!$A$2:$A$201,0))</f>
        <v>5</v>
      </c>
      <c r="Q485" s="3" t="n">
        <f aca="false">INDEX(Summary!$M$2:$M$201,MATCH($B485,Summary!$A$2:$A$201,0))</f>
        <v>1</v>
      </c>
      <c r="R485" s="2" t="n">
        <f aca="false">INDEX(Summary!$N$2:$N$201,MATCH($B485,Summary!$A$2:$A$201,0))</f>
        <v>9.05</v>
      </c>
      <c r="S485" s="3" t="n">
        <f aca="false">INDEX(Summary!$O$2:$O$201,MATCH($B485,Summary!$A$2:$A$201,0))</f>
        <v>7</v>
      </c>
      <c r="T485" s="3" t="n">
        <f aca="false">INDEX(Summary!$P$2:$P$201,MATCH($B485,Summary!$A$2:$A$201,0))</f>
        <v>2</v>
      </c>
      <c r="U485" s="2" t="n">
        <f aca="false">INDEX(Summary!$Q$2:$Q$201,MATCH($B485,Summary!$A$2:$A$201,0))</f>
        <v>11.79</v>
      </c>
      <c r="V485" s="2" t="n">
        <f aca="false">INDEX(Summary!$R$2:$R$201,MATCH($B485,Summary!$A$2:$A$201,0))</f>
        <v>25.8</v>
      </c>
      <c r="W485" s="0" t="str">
        <f aca="false">INDEX(Summary!$S$2:$S$201,MATCH($B485,Summary!$A$2:$A$201,0))</f>
        <v>Silver</v>
      </c>
      <c r="X485" s="2" t="n">
        <f aca="false">INDEX(Summary!$T$2:$T$201,MATCH($B485,Summary!$A$2:$A$201,0))</f>
        <v>62.93</v>
      </c>
      <c r="Y485" s="0" t="str">
        <f aca="false">INDEX('Reward Model'!$E$18:$E$37,MATCH($E485,'Reward Model'!$A$18:$A$37,0))</f>
        <v>Low</v>
      </c>
      <c r="Z485" s="4" t="n">
        <f aca="false">ROUND(MIN(1,MAX('Reward Model'!$B$2,INDEX('Reward Model'!$C$12:$C$14,MATCH($K485,'Reward Model'!$A$12:$A$14,0))/$J485)),3)</f>
        <v>0.798</v>
      </c>
      <c r="AA485" s="2" t="n">
        <f aca="false">IF($I485="Correct",ROUND(INDEX('Reward Model'!$B$12:$B$14,MATCH($K485,'Reward Model'!$A$12:$A$14,0))*Z485,2),0)</f>
        <v>0.8</v>
      </c>
      <c r="AB485" s="2" t="n">
        <f aca="false">IF($I485="Correct",ROUND(INDEX('Reward Model'!$B$12:$B$14,MATCH($Y485,'Reward Model'!$A$12:$A$14,0))*Z485,2),0)</f>
        <v>0.8</v>
      </c>
    </row>
    <row r="486" customFormat="false" ht="15" hidden="false" customHeight="false" outlineLevel="0" collapsed="false">
      <c r="A486" s="0" t="s">
        <v>175</v>
      </c>
      <c r="B486" s="0" t="s">
        <v>176</v>
      </c>
      <c r="C486" s="0" t="s">
        <v>30</v>
      </c>
      <c r="D486" s="0" t="s">
        <v>31</v>
      </c>
      <c r="E486" s="0" t="n">
        <v>5</v>
      </c>
      <c r="F486" s="0" t="s">
        <v>46</v>
      </c>
      <c r="G486" s="0" t="s">
        <v>47</v>
      </c>
      <c r="H486" s="0" t="s">
        <v>47</v>
      </c>
      <c r="I486" s="0" t="s">
        <v>34</v>
      </c>
      <c r="J486" s="0" t="n">
        <v>1.11</v>
      </c>
      <c r="K486" s="0" t="s">
        <v>35</v>
      </c>
      <c r="L486" s="0" t="n">
        <f aca="false">INDEX(Summary!$F$2:$F$201,MATCH($B486,Summary!$A$2:$A$201,0))</f>
        <v>20</v>
      </c>
      <c r="M486" s="0" t="n">
        <f aca="false">INDEX(Summary!$I$2:$I$201,MATCH($B486,Summary!$A$2:$A$201,0))</f>
        <v>2</v>
      </c>
      <c r="N486" s="0" t="n">
        <f aca="false">INDEX(Summary!$J$2:$J$201,MATCH($B486,Summary!$A$2:$A$201,0))</f>
        <v>3</v>
      </c>
      <c r="O486" s="2" t="n">
        <f aca="false">INDEX(Summary!$K$2:$K$201,MATCH($B486,Summary!$A$2:$A$201,0))</f>
        <v>7.97</v>
      </c>
      <c r="P486" s="3" t="n">
        <f aca="false">INDEX(Summary!$L$2:$L$201,MATCH($B486,Summary!$A$2:$A$201,0))</f>
        <v>5</v>
      </c>
      <c r="Q486" s="3" t="n">
        <f aca="false">INDEX(Summary!$M$2:$M$201,MATCH($B486,Summary!$A$2:$A$201,0))</f>
        <v>1</v>
      </c>
      <c r="R486" s="2" t="n">
        <f aca="false">INDEX(Summary!$N$2:$N$201,MATCH($B486,Summary!$A$2:$A$201,0))</f>
        <v>9.05</v>
      </c>
      <c r="S486" s="3" t="n">
        <f aca="false">INDEX(Summary!$O$2:$O$201,MATCH($B486,Summary!$A$2:$A$201,0))</f>
        <v>7</v>
      </c>
      <c r="T486" s="3" t="n">
        <f aca="false">INDEX(Summary!$P$2:$P$201,MATCH($B486,Summary!$A$2:$A$201,0))</f>
        <v>2</v>
      </c>
      <c r="U486" s="2" t="n">
        <f aca="false">INDEX(Summary!$Q$2:$Q$201,MATCH($B486,Summary!$A$2:$A$201,0))</f>
        <v>11.79</v>
      </c>
      <c r="V486" s="2" t="n">
        <f aca="false">INDEX(Summary!$R$2:$R$201,MATCH($B486,Summary!$A$2:$A$201,0))</f>
        <v>25.8</v>
      </c>
      <c r="W486" s="0" t="str">
        <f aca="false">INDEX(Summary!$S$2:$S$201,MATCH($B486,Summary!$A$2:$A$201,0))</f>
        <v>Silver</v>
      </c>
      <c r="X486" s="2" t="n">
        <f aca="false">INDEX(Summary!$T$2:$T$201,MATCH($B486,Summary!$A$2:$A$201,0))</f>
        <v>62.93</v>
      </c>
      <c r="Y486" s="0" t="str">
        <f aca="false">INDEX('Reward Model'!$E$18:$E$37,MATCH($E486,'Reward Model'!$A$18:$A$37,0))</f>
        <v>Low</v>
      </c>
      <c r="Z486" s="4" t="n">
        <f aca="false">ROUND(MIN(1,MAX('Reward Model'!$B$2,INDEX('Reward Model'!$C$12:$C$14,MATCH($K486,'Reward Model'!$A$12:$A$14,0))/$J486)),3)</f>
        <v>1</v>
      </c>
      <c r="AA486" s="2" t="n">
        <f aca="false">IF($I486="Correct",ROUND(INDEX('Reward Model'!$B$12:$B$14,MATCH($K486,'Reward Model'!$A$12:$A$14,0))*Z486,2),0)</f>
        <v>1</v>
      </c>
      <c r="AB486" s="2" t="n">
        <f aca="false">IF($I486="Correct",ROUND(INDEX('Reward Model'!$B$12:$B$14,MATCH($Y486,'Reward Model'!$A$12:$A$14,0))*Z486,2),0)</f>
        <v>1</v>
      </c>
    </row>
    <row r="487" customFormat="false" ht="15" hidden="false" customHeight="false" outlineLevel="0" collapsed="false">
      <c r="A487" s="0" t="s">
        <v>175</v>
      </c>
      <c r="B487" s="0" t="s">
        <v>176</v>
      </c>
      <c r="C487" s="0" t="s">
        <v>30</v>
      </c>
      <c r="D487" s="0" t="s">
        <v>31</v>
      </c>
      <c r="E487" s="0" t="n">
        <v>6</v>
      </c>
      <c r="F487" s="0" t="s">
        <v>48</v>
      </c>
      <c r="G487" s="0" t="s">
        <v>49</v>
      </c>
      <c r="H487" s="0" t="s">
        <v>49</v>
      </c>
      <c r="I487" s="0" t="s">
        <v>34</v>
      </c>
      <c r="J487" s="0" t="n">
        <v>1.32</v>
      </c>
      <c r="K487" s="0" t="s">
        <v>35</v>
      </c>
      <c r="L487" s="0" t="n">
        <f aca="false">INDEX(Summary!$F$2:$F$201,MATCH($B487,Summary!$A$2:$A$201,0))</f>
        <v>20</v>
      </c>
      <c r="M487" s="0" t="n">
        <f aca="false">INDEX(Summary!$I$2:$I$201,MATCH($B487,Summary!$A$2:$A$201,0))</f>
        <v>2</v>
      </c>
      <c r="N487" s="0" t="n">
        <f aca="false">INDEX(Summary!$J$2:$J$201,MATCH($B487,Summary!$A$2:$A$201,0))</f>
        <v>3</v>
      </c>
      <c r="O487" s="2" t="n">
        <f aca="false">INDEX(Summary!$K$2:$K$201,MATCH($B487,Summary!$A$2:$A$201,0))</f>
        <v>7.97</v>
      </c>
      <c r="P487" s="3" t="n">
        <f aca="false">INDEX(Summary!$L$2:$L$201,MATCH($B487,Summary!$A$2:$A$201,0))</f>
        <v>5</v>
      </c>
      <c r="Q487" s="3" t="n">
        <f aca="false">INDEX(Summary!$M$2:$M$201,MATCH($B487,Summary!$A$2:$A$201,0))</f>
        <v>1</v>
      </c>
      <c r="R487" s="2" t="n">
        <f aca="false">INDEX(Summary!$N$2:$N$201,MATCH($B487,Summary!$A$2:$A$201,0))</f>
        <v>9.05</v>
      </c>
      <c r="S487" s="3" t="n">
        <f aca="false">INDEX(Summary!$O$2:$O$201,MATCH($B487,Summary!$A$2:$A$201,0))</f>
        <v>7</v>
      </c>
      <c r="T487" s="3" t="n">
        <f aca="false">INDEX(Summary!$P$2:$P$201,MATCH($B487,Summary!$A$2:$A$201,0))</f>
        <v>2</v>
      </c>
      <c r="U487" s="2" t="n">
        <f aca="false">INDEX(Summary!$Q$2:$Q$201,MATCH($B487,Summary!$A$2:$A$201,0))</f>
        <v>11.79</v>
      </c>
      <c r="V487" s="2" t="n">
        <f aca="false">INDEX(Summary!$R$2:$R$201,MATCH($B487,Summary!$A$2:$A$201,0))</f>
        <v>25.8</v>
      </c>
      <c r="W487" s="0" t="str">
        <f aca="false">INDEX(Summary!$S$2:$S$201,MATCH($B487,Summary!$A$2:$A$201,0))</f>
        <v>Silver</v>
      </c>
      <c r="X487" s="2" t="n">
        <f aca="false">INDEX(Summary!$T$2:$T$201,MATCH($B487,Summary!$A$2:$A$201,0))</f>
        <v>62.93</v>
      </c>
      <c r="Y487" s="0" t="str">
        <f aca="false">INDEX('Reward Model'!$E$18:$E$37,MATCH($E487,'Reward Model'!$A$18:$A$37,0))</f>
        <v>Medium</v>
      </c>
      <c r="Z487" s="4" t="n">
        <f aca="false">ROUND(MIN(1,MAX('Reward Model'!$B$2,INDEX('Reward Model'!$C$12:$C$14,MATCH($K487,'Reward Model'!$A$12:$A$14,0))/$J487)),3)</f>
        <v>1</v>
      </c>
      <c r="AA487" s="2" t="n">
        <f aca="false">IF($I487="Correct",ROUND(INDEX('Reward Model'!$B$12:$B$14,MATCH($K487,'Reward Model'!$A$12:$A$14,0))*Z487,2),0)</f>
        <v>1</v>
      </c>
      <c r="AB487" s="2" t="n">
        <f aca="false">IF($I487="Correct",ROUND(INDEX('Reward Model'!$B$12:$B$14,MATCH($Y487,'Reward Model'!$A$12:$A$14,0))*Z487,2),0)</f>
        <v>2</v>
      </c>
    </row>
    <row r="488" customFormat="false" ht="15" hidden="false" customHeight="false" outlineLevel="0" collapsed="false">
      <c r="A488" s="0" t="s">
        <v>175</v>
      </c>
      <c r="B488" s="0" t="s">
        <v>176</v>
      </c>
      <c r="C488" s="0" t="s">
        <v>30</v>
      </c>
      <c r="D488" s="0" t="s">
        <v>31</v>
      </c>
      <c r="E488" s="0" t="n">
        <v>7</v>
      </c>
      <c r="F488" s="0" t="s">
        <v>50</v>
      </c>
      <c r="G488" s="0" t="s">
        <v>51</v>
      </c>
      <c r="H488" s="0" t="s">
        <v>51</v>
      </c>
      <c r="I488" s="0" t="s">
        <v>34</v>
      </c>
      <c r="J488" s="0" t="n">
        <v>1.3</v>
      </c>
      <c r="K488" s="0" t="s">
        <v>35</v>
      </c>
      <c r="L488" s="0" t="n">
        <f aca="false">INDEX(Summary!$F$2:$F$201,MATCH($B488,Summary!$A$2:$A$201,0))</f>
        <v>20</v>
      </c>
      <c r="M488" s="0" t="n">
        <f aca="false">INDEX(Summary!$I$2:$I$201,MATCH($B488,Summary!$A$2:$A$201,0))</f>
        <v>2</v>
      </c>
      <c r="N488" s="0" t="n">
        <f aca="false">INDEX(Summary!$J$2:$J$201,MATCH($B488,Summary!$A$2:$A$201,0))</f>
        <v>3</v>
      </c>
      <c r="O488" s="2" t="n">
        <f aca="false">INDEX(Summary!$K$2:$K$201,MATCH($B488,Summary!$A$2:$A$201,0))</f>
        <v>7.97</v>
      </c>
      <c r="P488" s="3" t="n">
        <f aca="false">INDEX(Summary!$L$2:$L$201,MATCH($B488,Summary!$A$2:$A$201,0))</f>
        <v>5</v>
      </c>
      <c r="Q488" s="3" t="n">
        <f aca="false">INDEX(Summary!$M$2:$M$201,MATCH($B488,Summary!$A$2:$A$201,0))</f>
        <v>1</v>
      </c>
      <c r="R488" s="2" t="n">
        <f aca="false">INDEX(Summary!$N$2:$N$201,MATCH($B488,Summary!$A$2:$A$201,0))</f>
        <v>9.05</v>
      </c>
      <c r="S488" s="3" t="n">
        <f aca="false">INDEX(Summary!$O$2:$O$201,MATCH($B488,Summary!$A$2:$A$201,0))</f>
        <v>7</v>
      </c>
      <c r="T488" s="3" t="n">
        <f aca="false">INDEX(Summary!$P$2:$P$201,MATCH($B488,Summary!$A$2:$A$201,0))</f>
        <v>2</v>
      </c>
      <c r="U488" s="2" t="n">
        <f aca="false">INDEX(Summary!$Q$2:$Q$201,MATCH($B488,Summary!$A$2:$A$201,0))</f>
        <v>11.79</v>
      </c>
      <c r="V488" s="2" t="n">
        <f aca="false">INDEX(Summary!$R$2:$R$201,MATCH($B488,Summary!$A$2:$A$201,0))</f>
        <v>25.8</v>
      </c>
      <c r="W488" s="0" t="str">
        <f aca="false">INDEX(Summary!$S$2:$S$201,MATCH($B488,Summary!$A$2:$A$201,0))</f>
        <v>Silver</v>
      </c>
      <c r="X488" s="2" t="n">
        <f aca="false">INDEX(Summary!$T$2:$T$201,MATCH($B488,Summary!$A$2:$A$201,0))</f>
        <v>62.93</v>
      </c>
      <c r="Y488" s="0" t="str">
        <f aca="false">INDEX('Reward Model'!$E$18:$E$37,MATCH($E488,'Reward Model'!$A$18:$A$37,0))</f>
        <v>Low</v>
      </c>
      <c r="Z488" s="4" t="n">
        <f aca="false">ROUND(MIN(1,MAX('Reward Model'!$B$2,INDEX('Reward Model'!$C$12:$C$14,MATCH($K488,'Reward Model'!$A$12:$A$14,0))/$J488)),3)</f>
        <v>1</v>
      </c>
      <c r="AA488" s="2" t="n">
        <f aca="false">IF($I488="Correct",ROUND(INDEX('Reward Model'!$B$12:$B$14,MATCH($K488,'Reward Model'!$A$12:$A$14,0))*Z488,2),0)</f>
        <v>1</v>
      </c>
      <c r="AB488" s="2" t="n">
        <f aca="false">IF($I488="Correct",ROUND(INDEX('Reward Model'!$B$12:$B$14,MATCH($Y488,'Reward Model'!$A$12:$A$14,0))*Z488,2),0)</f>
        <v>1</v>
      </c>
    </row>
    <row r="489" customFormat="false" ht="15" hidden="false" customHeight="false" outlineLevel="0" collapsed="false">
      <c r="A489" s="0" t="s">
        <v>175</v>
      </c>
      <c r="B489" s="0" t="s">
        <v>176</v>
      </c>
      <c r="C489" s="0" t="s">
        <v>30</v>
      </c>
      <c r="D489" s="0" t="s">
        <v>31</v>
      </c>
      <c r="E489" s="0" t="n">
        <v>8</v>
      </c>
      <c r="F489" s="0" t="s">
        <v>52</v>
      </c>
      <c r="G489" s="0" t="s">
        <v>93</v>
      </c>
      <c r="H489" s="0" t="s">
        <v>54</v>
      </c>
      <c r="I489" s="0" t="s">
        <v>39</v>
      </c>
      <c r="J489" s="0" t="n">
        <v>1.84</v>
      </c>
      <c r="K489" s="0" t="s">
        <v>35</v>
      </c>
      <c r="L489" s="0" t="n">
        <f aca="false">INDEX(Summary!$F$2:$F$201,MATCH($B489,Summary!$A$2:$A$201,0))</f>
        <v>20</v>
      </c>
      <c r="M489" s="0" t="n">
        <f aca="false">INDEX(Summary!$I$2:$I$201,MATCH($B489,Summary!$A$2:$A$201,0))</f>
        <v>2</v>
      </c>
      <c r="N489" s="0" t="n">
        <f aca="false">INDEX(Summary!$J$2:$J$201,MATCH($B489,Summary!$A$2:$A$201,0))</f>
        <v>3</v>
      </c>
      <c r="O489" s="2" t="n">
        <f aca="false">INDEX(Summary!$K$2:$K$201,MATCH($B489,Summary!$A$2:$A$201,0))</f>
        <v>7.97</v>
      </c>
      <c r="P489" s="3" t="n">
        <f aca="false">INDEX(Summary!$L$2:$L$201,MATCH($B489,Summary!$A$2:$A$201,0))</f>
        <v>5</v>
      </c>
      <c r="Q489" s="3" t="n">
        <f aca="false">INDEX(Summary!$M$2:$M$201,MATCH($B489,Summary!$A$2:$A$201,0))</f>
        <v>1</v>
      </c>
      <c r="R489" s="2" t="n">
        <f aca="false">INDEX(Summary!$N$2:$N$201,MATCH($B489,Summary!$A$2:$A$201,0))</f>
        <v>9.05</v>
      </c>
      <c r="S489" s="3" t="n">
        <f aca="false">INDEX(Summary!$O$2:$O$201,MATCH($B489,Summary!$A$2:$A$201,0))</f>
        <v>7</v>
      </c>
      <c r="T489" s="3" t="n">
        <f aca="false">INDEX(Summary!$P$2:$P$201,MATCH($B489,Summary!$A$2:$A$201,0))</f>
        <v>2</v>
      </c>
      <c r="U489" s="2" t="n">
        <f aca="false">INDEX(Summary!$Q$2:$Q$201,MATCH($B489,Summary!$A$2:$A$201,0))</f>
        <v>11.79</v>
      </c>
      <c r="V489" s="2" t="n">
        <f aca="false">INDEX(Summary!$R$2:$R$201,MATCH($B489,Summary!$A$2:$A$201,0))</f>
        <v>25.8</v>
      </c>
      <c r="W489" s="0" t="str">
        <f aca="false">INDEX(Summary!$S$2:$S$201,MATCH($B489,Summary!$A$2:$A$201,0))</f>
        <v>Silver</v>
      </c>
      <c r="X489" s="2" t="n">
        <f aca="false">INDEX(Summary!$T$2:$T$201,MATCH($B489,Summary!$A$2:$A$201,0))</f>
        <v>62.93</v>
      </c>
      <c r="Y489" s="0" t="str">
        <f aca="false">INDEX('Reward Model'!$E$18:$E$37,MATCH($E489,'Reward Model'!$A$18:$A$37,0))</f>
        <v>Medium</v>
      </c>
      <c r="Z489" s="4" t="n">
        <f aca="false">ROUND(MIN(1,MAX('Reward Model'!$B$2,INDEX('Reward Model'!$C$12:$C$14,MATCH($K489,'Reward Model'!$A$12:$A$14,0))/$J489)),3)</f>
        <v>0.815</v>
      </c>
      <c r="AA489" s="2" t="n">
        <f aca="false">IF($I489="Correct",ROUND(INDEX('Reward Model'!$B$12:$B$14,MATCH($K489,'Reward Model'!$A$12:$A$14,0))*Z489,2),0)</f>
        <v>0</v>
      </c>
      <c r="AB489" s="2" t="n">
        <f aca="false">IF($I489="Correct",ROUND(INDEX('Reward Model'!$B$12:$B$14,MATCH($Y489,'Reward Model'!$A$12:$A$14,0))*Z489,2),0)</f>
        <v>0</v>
      </c>
    </row>
    <row r="490" customFormat="false" ht="15" hidden="false" customHeight="false" outlineLevel="0" collapsed="false">
      <c r="A490" s="0" t="s">
        <v>175</v>
      </c>
      <c r="B490" s="0" t="s">
        <v>176</v>
      </c>
      <c r="C490" s="0" t="s">
        <v>30</v>
      </c>
      <c r="D490" s="0" t="s">
        <v>31</v>
      </c>
      <c r="E490" s="0" t="n">
        <v>9</v>
      </c>
      <c r="F490" s="0" t="s">
        <v>55</v>
      </c>
      <c r="G490" s="0" t="s">
        <v>57</v>
      </c>
      <c r="H490" s="0" t="s">
        <v>57</v>
      </c>
      <c r="I490" s="0" t="s">
        <v>34</v>
      </c>
      <c r="J490" s="0" t="n">
        <v>0.91</v>
      </c>
      <c r="K490" s="0" t="s">
        <v>35</v>
      </c>
      <c r="L490" s="0" t="n">
        <f aca="false">INDEX(Summary!$F$2:$F$201,MATCH($B490,Summary!$A$2:$A$201,0))</f>
        <v>20</v>
      </c>
      <c r="M490" s="0" t="n">
        <f aca="false">INDEX(Summary!$I$2:$I$201,MATCH($B490,Summary!$A$2:$A$201,0))</f>
        <v>2</v>
      </c>
      <c r="N490" s="0" t="n">
        <f aca="false">INDEX(Summary!$J$2:$J$201,MATCH($B490,Summary!$A$2:$A$201,0))</f>
        <v>3</v>
      </c>
      <c r="O490" s="2" t="n">
        <f aca="false">INDEX(Summary!$K$2:$K$201,MATCH($B490,Summary!$A$2:$A$201,0))</f>
        <v>7.97</v>
      </c>
      <c r="P490" s="3" t="n">
        <f aca="false">INDEX(Summary!$L$2:$L$201,MATCH($B490,Summary!$A$2:$A$201,0))</f>
        <v>5</v>
      </c>
      <c r="Q490" s="3" t="n">
        <f aca="false">INDEX(Summary!$M$2:$M$201,MATCH($B490,Summary!$A$2:$A$201,0))</f>
        <v>1</v>
      </c>
      <c r="R490" s="2" t="n">
        <f aca="false">INDEX(Summary!$N$2:$N$201,MATCH($B490,Summary!$A$2:$A$201,0))</f>
        <v>9.05</v>
      </c>
      <c r="S490" s="3" t="n">
        <f aca="false">INDEX(Summary!$O$2:$O$201,MATCH($B490,Summary!$A$2:$A$201,0))</f>
        <v>7</v>
      </c>
      <c r="T490" s="3" t="n">
        <f aca="false">INDEX(Summary!$P$2:$P$201,MATCH($B490,Summary!$A$2:$A$201,0))</f>
        <v>2</v>
      </c>
      <c r="U490" s="2" t="n">
        <f aca="false">INDEX(Summary!$Q$2:$Q$201,MATCH($B490,Summary!$A$2:$A$201,0))</f>
        <v>11.79</v>
      </c>
      <c r="V490" s="2" t="n">
        <f aca="false">INDEX(Summary!$R$2:$R$201,MATCH($B490,Summary!$A$2:$A$201,0))</f>
        <v>25.8</v>
      </c>
      <c r="W490" s="0" t="str">
        <f aca="false">INDEX(Summary!$S$2:$S$201,MATCH($B490,Summary!$A$2:$A$201,0))</f>
        <v>Silver</v>
      </c>
      <c r="X490" s="2" t="n">
        <f aca="false">INDEX(Summary!$T$2:$T$201,MATCH($B490,Summary!$A$2:$A$201,0))</f>
        <v>62.93</v>
      </c>
      <c r="Y490" s="0" t="str">
        <f aca="false">INDEX('Reward Model'!$E$18:$E$37,MATCH($E490,'Reward Model'!$A$18:$A$37,0))</f>
        <v>Medium</v>
      </c>
      <c r="Z490" s="4" t="n">
        <f aca="false">ROUND(MIN(1,MAX('Reward Model'!$B$2,INDEX('Reward Model'!$C$12:$C$14,MATCH($K490,'Reward Model'!$A$12:$A$14,0))/$J490)),3)</f>
        <v>1</v>
      </c>
      <c r="AA490" s="2" t="n">
        <f aca="false">IF($I490="Correct",ROUND(INDEX('Reward Model'!$B$12:$B$14,MATCH($K490,'Reward Model'!$A$12:$A$14,0))*Z490,2),0)</f>
        <v>1</v>
      </c>
      <c r="AB490" s="2" t="n">
        <f aca="false">IF($I490="Correct",ROUND(INDEX('Reward Model'!$B$12:$B$14,MATCH($Y490,'Reward Model'!$A$12:$A$14,0))*Z490,2),0)</f>
        <v>2</v>
      </c>
    </row>
    <row r="491" customFormat="false" ht="15" hidden="false" customHeight="false" outlineLevel="0" collapsed="false">
      <c r="A491" s="0" t="s">
        <v>175</v>
      </c>
      <c r="B491" s="0" t="s">
        <v>176</v>
      </c>
      <c r="C491" s="0" t="s">
        <v>30</v>
      </c>
      <c r="D491" s="0" t="s">
        <v>31</v>
      </c>
      <c r="E491" s="0" t="n">
        <v>10</v>
      </c>
      <c r="F491" s="0" t="s">
        <v>58</v>
      </c>
      <c r="G491" s="0" t="s">
        <v>59</v>
      </c>
      <c r="H491" s="0" t="s">
        <v>59</v>
      </c>
      <c r="I491" s="0" t="s">
        <v>34</v>
      </c>
      <c r="J491" s="0" t="n">
        <v>1.79</v>
      </c>
      <c r="K491" s="0" t="s">
        <v>60</v>
      </c>
      <c r="L491" s="0" t="n">
        <f aca="false">INDEX(Summary!$F$2:$F$201,MATCH($B491,Summary!$A$2:$A$201,0))</f>
        <v>20</v>
      </c>
      <c r="M491" s="0" t="n">
        <f aca="false">INDEX(Summary!$I$2:$I$201,MATCH($B491,Summary!$A$2:$A$201,0))</f>
        <v>2</v>
      </c>
      <c r="N491" s="0" t="n">
        <f aca="false">INDEX(Summary!$J$2:$J$201,MATCH($B491,Summary!$A$2:$A$201,0))</f>
        <v>3</v>
      </c>
      <c r="O491" s="2" t="n">
        <f aca="false">INDEX(Summary!$K$2:$K$201,MATCH($B491,Summary!$A$2:$A$201,0))</f>
        <v>7.97</v>
      </c>
      <c r="P491" s="3" t="n">
        <f aca="false">INDEX(Summary!$L$2:$L$201,MATCH($B491,Summary!$A$2:$A$201,0))</f>
        <v>5</v>
      </c>
      <c r="Q491" s="3" t="n">
        <f aca="false">INDEX(Summary!$M$2:$M$201,MATCH($B491,Summary!$A$2:$A$201,0))</f>
        <v>1</v>
      </c>
      <c r="R491" s="2" t="n">
        <f aca="false">INDEX(Summary!$N$2:$N$201,MATCH($B491,Summary!$A$2:$A$201,0))</f>
        <v>9.05</v>
      </c>
      <c r="S491" s="3" t="n">
        <f aca="false">INDEX(Summary!$O$2:$O$201,MATCH($B491,Summary!$A$2:$A$201,0))</f>
        <v>7</v>
      </c>
      <c r="T491" s="3" t="n">
        <f aca="false">INDEX(Summary!$P$2:$P$201,MATCH($B491,Summary!$A$2:$A$201,0))</f>
        <v>2</v>
      </c>
      <c r="U491" s="2" t="n">
        <f aca="false">INDEX(Summary!$Q$2:$Q$201,MATCH($B491,Summary!$A$2:$A$201,0))</f>
        <v>11.79</v>
      </c>
      <c r="V491" s="2" t="n">
        <f aca="false">INDEX(Summary!$R$2:$R$201,MATCH($B491,Summary!$A$2:$A$201,0))</f>
        <v>25.8</v>
      </c>
      <c r="W491" s="0" t="str">
        <f aca="false">INDEX(Summary!$S$2:$S$201,MATCH($B491,Summary!$A$2:$A$201,0))</f>
        <v>Silver</v>
      </c>
      <c r="X491" s="2" t="n">
        <f aca="false">INDEX(Summary!$T$2:$T$201,MATCH($B491,Summary!$A$2:$A$201,0))</f>
        <v>62.93</v>
      </c>
      <c r="Y491" s="0" t="str">
        <f aca="false">INDEX('Reward Model'!$E$18:$E$37,MATCH($E491,'Reward Model'!$A$18:$A$37,0))</f>
        <v>Medium</v>
      </c>
      <c r="Z491" s="4" t="n">
        <f aca="false">ROUND(MIN(1,MAX('Reward Model'!$B$2,INDEX('Reward Model'!$C$12:$C$14,MATCH($K491,'Reward Model'!$A$12:$A$14,0))/$J491)),3)</f>
        <v>1</v>
      </c>
      <c r="AA491" s="2" t="n">
        <f aca="false">IF($I491="Correct",ROUND(INDEX('Reward Model'!$B$12:$B$14,MATCH($K491,'Reward Model'!$A$12:$A$14,0))*Z491,2),0)</f>
        <v>2</v>
      </c>
      <c r="AB491" s="2" t="n">
        <f aca="false">IF($I491="Correct",ROUND(INDEX('Reward Model'!$B$12:$B$14,MATCH($Y491,'Reward Model'!$A$12:$A$14,0))*Z491,2),0)</f>
        <v>2</v>
      </c>
    </row>
    <row r="492" customFormat="false" ht="15" hidden="false" customHeight="false" outlineLevel="0" collapsed="false">
      <c r="A492" s="0" t="s">
        <v>175</v>
      </c>
      <c r="B492" s="0" t="s">
        <v>176</v>
      </c>
      <c r="C492" s="0" t="s">
        <v>30</v>
      </c>
      <c r="D492" s="0" t="s">
        <v>31</v>
      </c>
      <c r="E492" s="0" t="n">
        <v>11</v>
      </c>
      <c r="F492" s="0" t="s">
        <v>61</v>
      </c>
      <c r="G492" s="0" t="s">
        <v>63</v>
      </c>
      <c r="H492" s="0" t="s">
        <v>63</v>
      </c>
      <c r="I492" s="0" t="s">
        <v>34</v>
      </c>
      <c r="J492" s="0" t="n">
        <v>1.21</v>
      </c>
      <c r="K492" s="0" t="s">
        <v>60</v>
      </c>
      <c r="L492" s="0" t="n">
        <f aca="false">INDEX(Summary!$F$2:$F$201,MATCH($B492,Summary!$A$2:$A$201,0))</f>
        <v>20</v>
      </c>
      <c r="M492" s="0" t="n">
        <f aca="false">INDEX(Summary!$I$2:$I$201,MATCH($B492,Summary!$A$2:$A$201,0))</f>
        <v>2</v>
      </c>
      <c r="N492" s="0" t="n">
        <f aca="false">INDEX(Summary!$J$2:$J$201,MATCH($B492,Summary!$A$2:$A$201,0))</f>
        <v>3</v>
      </c>
      <c r="O492" s="2" t="n">
        <f aca="false">INDEX(Summary!$K$2:$K$201,MATCH($B492,Summary!$A$2:$A$201,0))</f>
        <v>7.97</v>
      </c>
      <c r="P492" s="3" t="n">
        <f aca="false">INDEX(Summary!$L$2:$L$201,MATCH($B492,Summary!$A$2:$A$201,0))</f>
        <v>5</v>
      </c>
      <c r="Q492" s="3" t="n">
        <f aca="false">INDEX(Summary!$M$2:$M$201,MATCH($B492,Summary!$A$2:$A$201,0))</f>
        <v>1</v>
      </c>
      <c r="R492" s="2" t="n">
        <f aca="false">INDEX(Summary!$N$2:$N$201,MATCH($B492,Summary!$A$2:$A$201,0))</f>
        <v>9.05</v>
      </c>
      <c r="S492" s="3" t="n">
        <f aca="false">INDEX(Summary!$O$2:$O$201,MATCH($B492,Summary!$A$2:$A$201,0))</f>
        <v>7</v>
      </c>
      <c r="T492" s="3" t="n">
        <f aca="false">INDEX(Summary!$P$2:$P$201,MATCH($B492,Summary!$A$2:$A$201,0))</f>
        <v>2</v>
      </c>
      <c r="U492" s="2" t="n">
        <f aca="false">INDEX(Summary!$Q$2:$Q$201,MATCH($B492,Summary!$A$2:$A$201,0))</f>
        <v>11.79</v>
      </c>
      <c r="V492" s="2" t="n">
        <f aca="false">INDEX(Summary!$R$2:$R$201,MATCH($B492,Summary!$A$2:$A$201,0))</f>
        <v>25.8</v>
      </c>
      <c r="W492" s="0" t="str">
        <f aca="false">INDEX(Summary!$S$2:$S$201,MATCH($B492,Summary!$A$2:$A$201,0))</f>
        <v>Silver</v>
      </c>
      <c r="X492" s="2" t="n">
        <f aca="false">INDEX(Summary!$T$2:$T$201,MATCH($B492,Summary!$A$2:$A$201,0))</f>
        <v>62.93</v>
      </c>
      <c r="Y492" s="0" t="str">
        <f aca="false">INDEX('Reward Model'!$E$18:$E$37,MATCH($E492,'Reward Model'!$A$18:$A$37,0))</f>
        <v>Medium</v>
      </c>
      <c r="Z492" s="4" t="n">
        <f aca="false">ROUND(MIN(1,MAX('Reward Model'!$B$2,INDEX('Reward Model'!$C$12:$C$14,MATCH($K492,'Reward Model'!$A$12:$A$14,0))/$J492)),3)</f>
        <v>1</v>
      </c>
      <c r="AA492" s="2" t="n">
        <f aca="false">IF($I492="Correct",ROUND(INDEX('Reward Model'!$B$12:$B$14,MATCH($K492,'Reward Model'!$A$12:$A$14,0))*Z492,2),0)</f>
        <v>2</v>
      </c>
      <c r="AB492" s="2" t="n">
        <f aca="false">IF($I492="Correct",ROUND(INDEX('Reward Model'!$B$12:$B$14,MATCH($Y492,'Reward Model'!$A$12:$A$14,0))*Z492,2),0)</f>
        <v>2</v>
      </c>
    </row>
    <row r="493" customFormat="false" ht="15" hidden="false" customHeight="false" outlineLevel="0" collapsed="false">
      <c r="A493" s="0" t="s">
        <v>175</v>
      </c>
      <c r="B493" s="0" t="s">
        <v>176</v>
      </c>
      <c r="C493" s="0" t="s">
        <v>30</v>
      </c>
      <c r="D493" s="0" t="s">
        <v>31</v>
      </c>
      <c r="E493" s="0" t="n">
        <v>12</v>
      </c>
      <c r="F493" s="0" t="s">
        <v>64</v>
      </c>
      <c r="G493" s="0" t="s">
        <v>65</v>
      </c>
      <c r="H493" s="0" t="s">
        <v>65</v>
      </c>
      <c r="I493" s="0" t="s">
        <v>34</v>
      </c>
      <c r="J493" s="0" t="n">
        <v>1.76</v>
      </c>
      <c r="K493" s="0" t="s">
        <v>60</v>
      </c>
      <c r="L493" s="0" t="n">
        <f aca="false">INDEX(Summary!$F$2:$F$201,MATCH($B493,Summary!$A$2:$A$201,0))</f>
        <v>20</v>
      </c>
      <c r="M493" s="0" t="n">
        <f aca="false">INDEX(Summary!$I$2:$I$201,MATCH($B493,Summary!$A$2:$A$201,0))</f>
        <v>2</v>
      </c>
      <c r="N493" s="0" t="n">
        <f aca="false">INDEX(Summary!$J$2:$J$201,MATCH($B493,Summary!$A$2:$A$201,0))</f>
        <v>3</v>
      </c>
      <c r="O493" s="2" t="n">
        <f aca="false">INDEX(Summary!$K$2:$K$201,MATCH($B493,Summary!$A$2:$A$201,0))</f>
        <v>7.97</v>
      </c>
      <c r="P493" s="3" t="n">
        <f aca="false">INDEX(Summary!$L$2:$L$201,MATCH($B493,Summary!$A$2:$A$201,0))</f>
        <v>5</v>
      </c>
      <c r="Q493" s="3" t="n">
        <f aca="false">INDEX(Summary!$M$2:$M$201,MATCH($B493,Summary!$A$2:$A$201,0))</f>
        <v>1</v>
      </c>
      <c r="R493" s="2" t="n">
        <f aca="false">INDEX(Summary!$N$2:$N$201,MATCH($B493,Summary!$A$2:$A$201,0))</f>
        <v>9.05</v>
      </c>
      <c r="S493" s="3" t="n">
        <f aca="false">INDEX(Summary!$O$2:$O$201,MATCH($B493,Summary!$A$2:$A$201,0))</f>
        <v>7</v>
      </c>
      <c r="T493" s="3" t="n">
        <f aca="false">INDEX(Summary!$P$2:$P$201,MATCH($B493,Summary!$A$2:$A$201,0))</f>
        <v>2</v>
      </c>
      <c r="U493" s="2" t="n">
        <f aca="false">INDEX(Summary!$Q$2:$Q$201,MATCH($B493,Summary!$A$2:$A$201,0))</f>
        <v>11.79</v>
      </c>
      <c r="V493" s="2" t="n">
        <f aca="false">INDEX(Summary!$R$2:$R$201,MATCH($B493,Summary!$A$2:$A$201,0))</f>
        <v>25.8</v>
      </c>
      <c r="W493" s="0" t="str">
        <f aca="false">INDEX(Summary!$S$2:$S$201,MATCH($B493,Summary!$A$2:$A$201,0))</f>
        <v>Silver</v>
      </c>
      <c r="X493" s="2" t="n">
        <f aca="false">INDEX(Summary!$T$2:$T$201,MATCH($B493,Summary!$A$2:$A$201,0))</f>
        <v>62.93</v>
      </c>
      <c r="Y493" s="0" t="str">
        <f aca="false">INDEX('Reward Model'!$E$18:$E$37,MATCH($E493,'Reward Model'!$A$18:$A$37,0))</f>
        <v>Medium</v>
      </c>
      <c r="Z493" s="4" t="n">
        <f aca="false">ROUND(MIN(1,MAX('Reward Model'!$B$2,INDEX('Reward Model'!$C$12:$C$14,MATCH($K493,'Reward Model'!$A$12:$A$14,0))/$J493)),3)</f>
        <v>1</v>
      </c>
      <c r="AA493" s="2" t="n">
        <f aca="false">IF($I493="Correct",ROUND(INDEX('Reward Model'!$B$12:$B$14,MATCH($K493,'Reward Model'!$A$12:$A$14,0))*Z493,2),0)</f>
        <v>2</v>
      </c>
      <c r="AB493" s="2" t="n">
        <f aca="false">IF($I493="Correct",ROUND(INDEX('Reward Model'!$B$12:$B$14,MATCH($Y493,'Reward Model'!$A$12:$A$14,0))*Z493,2),0)</f>
        <v>2</v>
      </c>
    </row>
    <row r="494" customFormat="false" ht="15" hidden="false" customHeight="false" outlineLevel="0" collapsed="false">
      <c r="A494" s="0" t="s">
        <v>175</v>
      </c>
      <c r="B494" s="0" t="s">
        <v>176</v>
      </c>
      <c r="C494" s="0" t="s">
        <v>30</v>
      </c>
      <c r="D494" s="0" t="s">
        <v>31</v>
      </c>
      <c r="E494" s="0" t="n">
        <v>13</v>
      </c>
      <c r="F494" s="0" t="s">
        <v>66</v>
      </c>
      <c r="G494" s="0" t="s">
        <v>67</v>
      </c>
      <c r="H494" s="0" t="s">
        <v>67</v>
      </c>
      <c r="I494" s="0" t="s">
        <v>34</v>
      </c>
      <c r="J494" s="0" t="n">
        <v>1.33</v>
      </c>
      <c r="K494" s="0" t="s">
        <v>60</v>
      </c>
      <c r="L494" s="0" t="n">
        <f aca="false">INDEX(Summary!$F$2:$F$201,MATCH($B494,Summary!$A$2:$A$201,0))</f>
        <v>20</v>
      </c>
      <c r="M494" s="0" t="n">
        <f aca="false">INDEX(Summary!$I$2:$I$201,MATCH($B494,Summary!$A$2:$A$201,0))</f>
        <v>2</v>
      </c>
      <c r="N494" s="0" t="n">
        <f aca="false">INDEX(Summary!$J$2:$J$201,MATCH($B494,Summary!$A$2:$A$201,0))</f>
        <v>3</v>
      </c>
      <c r="O494" s="2" t="n">
        <f aca="false">INDEX(Summary!$K$2:$K$201,MATCH($B494,Summary!$A$2:$A$201,0))</f>
        <v>7.97</v>
      </c>
      <c r="P494" s="3" t="n">
        <f aca="false">INDEX(Summary!$L$2:$L$201,MATCH($B494,Summary!$A$2:$A$201,0))</f>
        <v>5</v>
      </c>
      <c r="Q494" s="3" t="n">
        <f aca="false">INDEX(Summary!$M$2:$M$201,MATCH($B494,Summary!$A$2:$A$201,0))</f>
        <v>1</v>
      </c>
      <c r="R494" s="2" t="n">
        <f aca="false">INDEX(Summary!$N$2:$N$201,MATCH($B494,Summary!$A$2:$A$201,0))</f>
        <v>9.05</v>
      </c>
      <c r="S494" s="3" t="n">
        <f aca="false">INDEX(Summary!$O$2:$O$201,MATCH($B494,Summary!$A$2:$A$201,0))</f>
        <v>7</v>
      </c>
      <c r="T494" s="3" t="n">
        <f aca="false">INDEX(Summary!$P$2:$P$201,MATCH($B494,Summary!$A$2:$A$201,0))</f>
        <v>2</v>
      </c>
      <c r="U494" s="2" t="n">
        <f aca="false">INDEX(Summary!$Q$2:$Q$201,MATCH($B494,Summary!$A$2:$A$201,0))</f>
        <v>11.79</v>
      </c>
      <c r="V494" s="2" t="n">
        <f aca="false">INDEX(Summary!$R$2:$R$201,MATCH($B494,Summary!$A$2:$A$201,0))</f>
        <v>25.8</v>
      </c>
      <c r="W494" s="0" t="str">
        <f aca="false">INDEX(Summary!$S$2:$S$201,MATCH($B494,Summary!$A$2:$A$201,0))</f>
        <v>Silver</v>
      </c>
      <c r="X494" s="2" t="n">
        <f aca="false">INDEX(Summary!$T$2:$T$201,MATCH($B494,Summary!$A$2:$A$201,0))</f>
        <v>62.93</v>
      </c>
      <c r="Y494" s="0" t="str">
        <f aca="false">INDEX('Reward Model'!$E$18:$E$37,MATCH($E494,'Reward Model'!$A$18:$A$37,0))</f>
        <v>Medium</v>
      </c>
      <c r="Z494" s="4" t="n">
        <f aca="false">ROUND(MIN(1,MAX('Reward Model'!$B$2,INDEX('Reward Model'!$C$12:$C$14,MATCH($K494,'Reward Model'!$A$12:$A$14,0))/$J494)),3)</f>
        <v>1</v>
      </c>
      <c r="AA494" s="2" t="n">
        <f aca="false">IF($I494="Correct",ROUND(INDEX('Reward Model'!$B$12:$B$14,MATCH($K494,'Reward Model'!$A$12:$A$14,0))*Z494,2),0)</f>
        <v>2</v>
      </c>
      <c r="AB494" s="2" t="n">
        <f aca="false">IF($I494="Correct",ROUND(INDEX('Reward Model'!$B$12:$B$14,MATCH($Y494,'Reward Model'!$A$12:$A$14,0))*Z494,2),0)</f>
        <v>2</v>
      </c>
    </row>
    <row r="495" customFormat="false" ht="15" hidden="false" customHeight="false" outlineLevel="0" collapsed="false">
      <c r="A495" s="0" t="s">
        <v>175</v>
      </c>
      <c r="B495" s="0" t="s">
        <v>176</v>
      </c>
      <c r="C495" s="0" t="s">
        <v>30</v>
      </c>
      <c r="D495" s="0" t="s">
        <v>31</v>
      </c>
      <c r="E495" s="0" t="n">
        <v>14</v>
      </c>
      <c r="F495" s="0" t="s">
        <v>68</v>
      </c>
      <c r="G495" s="0" t="s">
        <v>100</v>
      </c>
      <c r="H495" s="0" t="s">
        <v>51</v>
      </c>
      <c r="I495" s="0" t="s">
        <v>39</v>
      </c>
      <c r="J495" s="0" t="n">
        <v>1.21</v>
      </c>
      <c r="K495" s="0" t="s">
        <v>60</v>
      </c>
      <c r="L495" s="0" t="n">
        <f aca="false">INDEX(Summary!$F$2:$F$201,MATCH($B495,Summary!$A$2:$A$201,0))</f>
        <v>20</v>
      </c>
      <c r="M495" s="0" t="n">
        <f aca="false">INDEX(Summary!$I$2:$I$201,MATCH($B495,Summary!$A$2:$A$201,0))</f>
        <v>2</v>
      </c>
      <c r="N495" s="0" t="n">
        <f aca="false">INDEX(Summary!$J$2:$J$201,MATCH($B495,Summary!$A$2:$A$201,0))</f>
        <v>3</v>
      </c>
      <c r="O495" s="2" t="n">
        <f aca="false">INDEX(Summary!$K$2:$K$201,MATCH($B495,Summary!$A$2:$A$201,0))</f>
        <v>7.97</v>
      </c>
      <c r="P495" s="3" t="n">
        <f aca="false">INDEX(Summary!$L$2:$L$201,MATCH($B495,Summary!$A$2:$A$201,0))</f>
        <v>5</v>
      </c>
      <c r="Q495" s="3" t="n">
        <f aca="false">INDEX(Summary!$M$2:$M$201,MATCH($B495,Summary!$A$2:$A$201,0))</f>
        <v>1</v>
      </c>
      <c r="R495" s="2" t="n">
        <f aca="false">INDEX(Summary!$N$2:$N$201,MATCH($B495,Summary!$A$2:$A$201,0))</f>
        <v>9.05</v>
      </c>
      <c r="S495" s="3" t="n">
        <f aca="false">INDEX(Summary!$O$2:$O$201,MATCH($B495,Summary!$A$2:$A$201,0))</f>
        <v>7</v>
      </c>
      <c r="T495" s="3" t="n">
        <f aca="false">INDEX(Summary!$P$2:$P$201,MATCH($B495,Summary!$A$2:$A$201,0))</f>
        <v>2</v>
      </c>
      <c r="U495" s="2" t="n">
        <f aca="false">INDEX(Summary!$Q$2:$Q$201,MATCH($B495,Summary!$A$2:$A$201,0))</f>
        <v>11.79</v>
      </c>
      <c r="V495" s="2" t="n">
        <f aca="false">INDEX(Summary!$R$2:$R$201,MATCH($B495,Summary!$A$2:$A$201,0))</f>
        <v>25.8</v>
      </c>
      <c r="W495" s="0" t="str">
        <f aca="false">INDEX(Summary!$S$2:$S$201,MATCH($B495,Summary!$A$2:$A$201,0))</f>
        <v>Silver</v>
      </c>
      <c r="X495" s="2" t="n">
        <f aca="false">INDEX(Summary!$T$2:$T$201,MATCH($B495,Summary!$A$2:$A$201,0))</f>
        <v>62.93</v>
      </c>
      <c r="Y495" s="0" t="str">
        <f aca="false">INDEX('Reward Model'!$E$18:$E$37,MATCH($E495,'Reward Model'!$A$18:$A$37,0))</f>
        <v>Medium</v>
      </c>
      <c r="Z495" s="4" t="n">
        <f aca="false">ROUND(MIN(1,MAX('Reward Model'!$B$2,INDEX('Reward Model'!$C$12:$C$14,MATCH($K495,'Reward Model'!$A$12:$A$14,0))/$J495)),3)</f>
        <v>1</v>
      </c>
      <c r="AA495" s="2" t="n">
        <f aca="false">IF($I495="Correct",ROUND(INDEX('Reward Model'!$B$12:$B$14,MATCH($K495,'Reward Model'!$A$12:$A$14,0))*Z495,2),0)</f>
        <v>0</v>
      </c>
      <c r="AB495" s="2" t="n">
        <f aca="false">IF($I495="Correct",ROUND(INDEX('Reward Model'!$B$12:$B$14,MATCH($Y495,'Reward Model'!$A$12:$A$14,0))*Z495,2),0)</f>
        <v>0</v>
      </c>
    </row>
    <row r="496" customFormat="false" ht="15" hidden="false" customHeight="false" outlineLevel="0" collapsed="false">
      <c r="A496" s="0" t="s">
        <v>175</v>
      </c>
      <c r="B496" s="0" t="s">
        <v>176</v>
      </c>
      <c r="C496" s="0" t="s">
        <v>30</v>
      </c>
      <c r="D496" s="0" t="s">
        <v>31</v>
      </c>
      <c r="E496" s="0" t="n">
        <v>15</v>
      </c>
      <c r="F496" s="0" t="s">
        <v>69</v>
      </c>
      <c r="G496" s="0" t="s">
        <v>70</v>
      </c>
      <c r="H496" s="0" t="s">
        <v>70</v>
      </c>
      <c r="I496" s="0" t="s">
        <v>34</v>
      </c>
      <c r="J496" s="0" t="n">
        <v>1.75</v>
      </c>
      <c r="K496" s="0" t="s">
        <v>60</v>
      </c>
      <c r="L496" s="0" t="n">
        <f aca="false">INDEX(Summary!$F$2:$F$201,MATCH($B496,Summary!$A$2:$A$201,0))</f>
        <v>20</v>
      </c>
      <c r="M496" s="0" t="n">
        <f aca="false">INDEX(Summary!$I$2:$I$201,MATCH($B496,Summary!$A$2:$A$201,0))</f>
        <v>2</v>
      </c>
      <c r="N496" s="0" t="n">
        <f aca="false">INDEX(Summary!$J$2:$J$201,MATCH($B496,Summary!$A$2:$A$201,0))</f>
        <v>3</v>
      </c>
      <c r="O496" s="2" t="n">
        <f aca="false">INDEX(Summary!$K$2:$K$201,MATCH($B496,Summary!$A$2:$A$201,0))</f>
        <v>7.97</v>
      </c>
      <c r="P496" s="3" t="n">
        <f aca="false">INDEX(Summary!$L$2:$L$201,MATCH($B496,Summary!$A$2:$A$201,0))</f>
        <v>5</v>
      </c>
      <c r="Q496" s="3" t="n">
        <f aca="false">INDEX(Summary!$M$2:$M$201,MATCH($B496,Summary!$A$2:$A$201,0))</f>
        <v>1</v>
      </c>
      <c r="R496" s="2" t="n">
        <f aca="false">INDEX(Summary!$N$2:$N$201,MATCH($B496,Summary!$A$2:$A$201,0))</f>
        <v>9.05</v>
      </c>
      <c r="S496" s="3" t="n">
        <f aca="false">INDEX(Summary!$O$2:$O$201,MATCH($B496,Summary!$A$2:$A$201,0))</f>
        <v>7</v>
      </c>
      <c r="T496" s="3" t="n">
        <f aca="false">INDEX(Summary!$P$2:$P$201,MATCH($B496,Summary!$A$2:$A$201,0))</f>
        <v>2</v>
      </c>
      <c r="U496" s="2" t="n">
        <f aca="false">INDEX(Summary!$Q$2:$Q$201,MATCH($B496,Summary!$A$2:$A$201,0))</f>
        <v>11.79</v>
      </c>
      <c r="V496" s="2" t="n">
        <f aca="false">INDEX(Summary!$R$2:$R$201,MATCH($B496,Summary!$A$2:$A$201,0))</f>
        <v>25.8</v>
      </c>
      <c r="W496" s="0" t="str">
        <f aca="false">INDEX(Summary!$S$2:$S$201,MATCH($B496,Summary!$A$2:$A$201,0))</f>
        <v>Silver</v>
      </c>
      <c r="X496" s="2" t="n">
        <f aca="false">INDEX(Summary!$T$2:$T$201,MATCH($B496,Summary!$A$2:$A$201,0))</f>
        <v>62.93</v>
      </c>
      <c r="Y496" s="0" t="str">
        <f aca="false">INDEX('Reward Model'!$E$18:$E$37,MATCH($E496,'Reward Model'!$A$18:$A$37,0))</f>
        <v>Medium</v>
      </c>
      <c r="Z496" s="4" t="n">
        <f aca="false">ROUND(MIN(1,MAX('Reward Model'!$B$2,INDEX('Reward Model'!$C$12:$C$14,MATCH($K496,'Reward Model'!$A$12:$A$14,0))/$J496)),3)</f>
        <v>1</v>
      </c>
      <c r="AA496" s="2" t="n">
        <f aca="false">IF($I496="Correct",ROUND(INDEX('Reward Model'!$B$12:$B$14,MATCH($K496,'Reward Model'!$A$12:$A$14,0))*Z496,2),0)</f>
        <v>2</v>
      </c>
      <c r="AB496" s="2" t="n">
        <f aca="false">IF($I496="Correct",ROUND(INDEX('Reward Model'!$B$12:$B$14,MATCH($Y496,'Reward Model'!$A$12:$A$14,0))*Z496,2),0)</f>
        <v>2</v>
      </c>
    </row>
    <row r="497" customFormat="false" ht="15" hidden="false" customHeight="false" outlineLevel="0" collapsed="false">
      <c r="A497" s="0" t="s">
        <v>175</v>
      </c>
      <c r="B497" s="0" t="s">
        <v>176</v>
      </c>
      <c r="C497" s="0" t="s">
        <v>30</v>
      </c>
      <c r="D497" s="0" t="s">
        <v>31</v>
      </c>
      <c r="E497" s="0" t="n">
        <v>16</v>
      </c>
      <c r="F497" s="0" t="s">
        <v>71</v>
      </c>
      <c r="G497" s="0" t="s">
        <v>72</v>
      </c>
      <c r="H497" s="0" t="s">
        <v>72</v>
      </c>
      <c r="I497" s="0" t="s">
        <v>34</v>
      </c>
      <c r="J497" s="0" t="n">
        <v>1.36</v>
      </c>
      <c r="K497" s="0" t="s">
        <v>73</v>
      </c>
      <c r="L497" s="0" t="n">
        <f aca="false">INDEX(Summary!$F$2:$F$201,MATCH($B497,Summary!$A$2:$A$201,0))</f>
        <v>20</v>
      </c>
      <c r="M497" s="0" t="n">
        <f aca="false">INDEX(Summary!$I$2:$I$201,MATCH($B497,Summary!$A$2:$A$201,0))</f>
        <v>2</v>
      </c>
      <c r="N497" s="0" t="n">
        <f aca="false">INDEX(Summary!$J$2:$J$201,MATCH($B497,Summary!$A$2:$A$201,0))</f>
        <v>3</v>
      </c>
      <c r="O497" s="2" t="n">
        <f aca="false">INDEX(Summary!$K$2:$K$201,MATCH($B497,Summary!$A$2:$A$201,0))</f>
        <v>7.97</v>
      </c>
      <c r="P497" s="3" t="n">
        <f aca="false">INDEX(Summary!$L$2:$L$201,MATCH($B497,Summary!$A$2:$A$201,0))</f>
        <v>5</v>
      </c>
      <c r="Q497" s="3" t="n">
        <f aca="false">INDEX(Summary!$M$2:$M$201,MATCH($B497,Summary!$A$2:$A$201,0))</f>
        <v>1</v>
      </c>
      <c r="R497" s="2" t="n">
        <f aca="false">INDEX(Summary!$N$2:$N$201,MATCH($B497,Summary!$A$2:$A$201,0))</f>
        <v>9.05</v>
      </c>
      <c r="S497" s="3" t="n">
        <f aca="false">INDEX(Summary!$O$2:$O$201,MATCH($B497,Summary!$A$2:$A$201,0))</f>
        <v>7</v>
      </c>
      <c r="T497" s="3" t="n">
        <f aca="false">INDEX(Summary!$P$2:$P$201,MATCH($B497,Summary!$A$2:$A$201,0))</f>
        <v>2</v>
      </c>
      <c r="U497" s="2" t="n">
        <f aca="false">INDEX(Summary!$Q$2:$Q$201,MATCH($B497,Summary!$A$2:$A$201,0))</f>
        <v>11.79</v>
      </c>
      <c r="V497" s="2" t="n">
        <f aca="false">INDEX(Summary!$R$2:$R$201,MATCH($B497,Summary!$A$2:$A$201,0))</f>
        <v>25.8</v>
      </c>
      <c r="W497" s="0" t="str">
        <f aca="false">INDEX(Summary!$S$2:$S$201,MATCH($B497,Summary!$A$2:$A$201,0))</f>
        <v>Silver</v>
      </c>
      <c r="X497" s="2" t="n">
        <f aca="false">INDEX(Summary!$T$2:$T$201,MATCH($B497,Summary!$A$2:$A$201,0))</f>
        <v>62.93</v>
      </c>
      <c r="Y497" s="0" t="str">
        <f aca="false">INDEX('Reward Model'!$E$18:$E$37,MATCH($E497,'Reward Model'!$A$18:$A$37,0))</f>
        <v>High</v>
      </c>
      <c r="Z497" s="4" t="n">
        <f aca="false">ROUND(MIN(1,MAX('Reward Model'!$B$2,INDEX('Reward Model'!$C$12:$C$14,MATCH($K497,'Reward Model'!$A$12:$A$14,0))/$J497)),3)</f>
        <v>1</v>
      </c>
      <c r="AA497" s="2" t="n">
        <f aca="false">IF($I497="Correct",ROUND(INDEX('Reward Model'!$B$12:$B$14,MATCH($K497,'Reward Model'!$A$12:$A$14,0))*Z497,2),0)</f>
        <v>3</v>
      </c>
      <c r="AB497" s="2" t="n">
        <f aca="false">IF($I497="Correct",ROUND(INDEX('Reward Model'!$B$12:$B$14,MATCH($Y497,'Reward Model'!$A$12:$A$14,0))*Z497,2),0)</f>
        <v>3</v>
      </c>
    </row>
    <row r="498" customFormat="false" ht="15" hidden="false" customHeight="false" outlineLevel="0" collapsed="false">
      <c r="A498" s="0" t="s">
        <v>175</v>
      </c>
      <c r="B498" s="0" t="s">
        <v>176</v>
      </c>
      <c r="C498" s="0" t="s">
        <v>30</v>
      </c>
      <c r="D498" s="0" t="s">
        <v>31</v>
      </c>
      <c r="E498" s="0" t="n">
        <v>17</v>
      </c>
      <c r="F498" s="0" t="s">
        <v>74</v>
      </c>
      <c r="G498" s="0" t="s">
        <v>75</v>
      </c>
      <c r="H498" s="0" t="s">
        <v>75</v>
      </c>
      <c r="I498" s="0" t="s">
        <v>34</v>
      </c>
      <c r="J498" s="0" t="n">
        <v>1.96</v>
      </c>
      <c r="K498" s="0" t="s">
        <v>73</v>
      </c>
      <c r="L498" s="0" t="n">
        <f aca="false">INDEX(Summary!$F$2:$F$201,MATCH($B498,Summary!$A$2:$A$201,0))</f>
        <v>20</v>
      </c>
      <c r="M498" s="0" t="n">
        <f aca="false">INDEX(Summary!$I$2:$I$201,MATCH($B498,Summary!$A$2:$A$201,0))</f>
        <v>2</v>
      </c>
      <c r="N498" s="0" t="n">
        <f aca="false">INDEX(Summary!$J$2:$J$201,MATCH($B498,Summary!$A$2:$A$201,0))</f>
        <v>3</v>
      </c>
      <c r="O498" s="2" t="n">
        <f aca="false">INDEX(Summary!$K$2:$K$201,MATCH($B498,Summary!$A$2:$A$201,0))</f>
        <v>7.97</v>
      </c>
      <c r="P498" s="3" t="n">
        <f aca="false">INDEX(Summary!$L$2:$L$201,MATCH($B498,Summary!$A$2:$A$201,0))</f>
        <v>5</v>
      </c>
      <c r="Q498" s="3" t="n">
        <f aca="false">INDEX(Summary!$M$2:$M$201,MATCH($B498,Summary!$A$2:$A$201,0))</f>
        <v>1</v>
      </c>
      <c r="R498" s="2" t="n">
        <f aca="false">INDEX(Summary!$N$2:$N$201,MATCH($B498,Summary!$A$2:$A$201,0))</f>
        <v>9.05</v>
      </c>
      <c r="S498" s="3" t="n">
        <f aca="false">INDEX(Summary!$O$2:$O$201,MATCH($B498,Summary!$A$2:$A$201,0))</f>
        <v>7</v>
      </c>
      <c r="T498" s="3" t="n">
        <f aca="false">INDEX(Summary!$P$2:$P$201,MATCH($B498,Summary!$A$2:$A$201,0))</f>
        <v>2</v>
      </c>
      <c r="U498" s="2" t="n">
        <f aca="false">INDEX(Summary!$Q$2:$Q$201,MATCH($B498,Summary!$A$2:$A$201,0))</f>
        <v>11.79</v>
      </c>
      <c r="V498" s="2" t="n">
        <f aca="false">INDEX(Summary!$R$2:$R$201,MATCH($B498,Summary!$A$2:$A$201,0))</f>
        <v>25.8</v>
      </c>
      <c r="W498" s="0" t="str">
        <f aca="false">INDEX(Summary!$S$2:$S$201,MATCH($B498,Summary!$A$2:$A$201,0))</f>
        <v>Silver</v>
      </c>
      <c r="X498" s="2" t="n">
        <f aca="false">INDEX(Summary!$T$2:$T$201,MATCH($B498,Summary!$A$2:$A$201,0))</f>
        <v>62.93</v>
      </c>
      <c r="Y498" s="0" t="str">
        <f aca="false">INDEX('Reward Model'!$E$18:$E$37,MATCH($E498,'Reward Model'!$A$18:$A$37,0))</f>
        <v>High</v>
      </c>
      <c r="Z498" s="4" t="n">
        <f aca="false">ROUND(MIN(1,MAX('Reward Model'!$B$2,INDEX('Reward Model'!$C$12:$C$14,MATCH($K498,'Reward Model'!$A$12:$A$14,0))/$J498)),3)</f>
        <v>1</v>
      </c>
      <c r="AA498" s="2" t="n">
        <f aca="false">IF($I498="Correct",ROUND(INDEX('Reward Model'!$B$12:$B$14,MATCH($K498,'Reward Model'!$A$12:$A$14,0))*Z498,2),0)</f>
        <v>3</v>
      </c>
      <c r="AB498" s="2" t="n">
        <f aca="false">IF($I498="Correct",ROUND(INDEX('Reward Model'!$B$12:$B$14,MATCH($Y498,'Reward Model'!$A$12:$A$14,0))*Z498,2),0)</f>
        <v>3</v>
      </c>
    </row>
    <row r="499" customFormat="false" ht="15" hidden="false" customHeight="false" outlineLevel="0" collapsed="false">
      <c r="A499" s="0" t="s">
        <v>175</v>
      </c>
      <c r="B499" s="0" t="s">
        <v>176</v>
      </c>
      <c r="C499" s="0" t="s">
        <v>30</v>
      </c>
      <c r="D499" s="0" t="s">
        <v>31</v>
      </c>
      <c r="E499" s="0" t="n">
        <v>18</v>
      </c>
      <c r="F499" s="0" t="s">
        <v>76</v>
      </c>
      <c r="G499" s="0" t="s">
        <v>88</v>
      </c>
      <c r="H499" s="0" t="s">
        <v>77</v>
      </c>
      <c r="I499" s="0" t="s">
        <v>39</v>
      </c>
      <c r="J499" s="0" t="n">
        <v>1.52</v>
      </c>
      <c r="K499" s="0" t="s">
        <v>73</v>
      </c>
      <c r="L499" s="0" t="n">
        <f aca="false">INDEX(Summary!$F$2:$F$201,MATCH($B499,Summary!$A$2:$A$201,0))</f>
        <v>20</v>
      </c>
      <c r="M499" s="0" t="n">
        <f aca="false">INDEX(Summary!$I$2:$I$201,MATCH($B499,Summary!$A$2:$A$201,0))</f>
        <v>2</v>
      </c>
      <c r="N499" s="0" t="n">
        <f aca="false">INDEX(Summary!$J$2:$J$201,MATCH($B499,Summary!$A$2:$A$201,0))</f>
        <v>3</v>
      </c>
      <c r="O499" s="2" t="n">
        <f aca="false">INDEX(Summary!$K$2:$K$201,MATCH($B499,Summary!$A$2:$A$201,0))</f>
        <v>7.97</v>
      </c>
      <c r="P499" s="3" t="n">
        <f aca="false">INDEX(Summary!$L$2:$L$201,MATCH($B499,Summary!$A$2:$A$201,0))</f>
        <v>5</v>
      </c>
      <c r="Q499" s="3" t="n">
        <f aca="false">INDEX(Summary!$M$2:$M$201,MATCH($B499,Summary!$A$2:$A$201,0))</f>
        <v>1</v>
      </c>
      <c r="R499" s="2" t="n">
        <f aca="false">INDEX(Summary!$N$2:$N$201,MATCH($B499,Summary!$A$2:$A$201,0))</f>
        <v>9.05</v>
      </c>
      <c r="S499" s="3" t="n">
        <f aca="false">INDEX(Summary!$O$2:$O$201,MATCH($B499,Summary!$A$2:$A$201,0))</f>
        <v>7</v>
      </c>
      <c r="T499" s="3" t="n">
        <f aca="false">INDEX(Summary!$P$2:$P$201,MATCH($B499,Summary!$A$2:$A$201,0))</f>
        <v>2</v>
      </c>
      <c r="U499" s="2" t="n">
        <f aca="false">INDEX(Summary!$Q$2:$Q$201,MATCH($B499,Summary!$A$2:$A$201,0))</f>
        <v>11.79</v>
      </c>
      <c r="V499" s="2" t="n">
        <f aca="false">INDEX(Summary!$R$2:$R$201,MATCH($B499,Summary!$A$2:$A$201,0))</f>
        <v>25.8</v>
      </c>
      <c r="W499" s="0" t="str">
        <f aca="false">INDEX(Summary!$S$2:$S$201,MATCH($B499,Summary!$A$2:$A$201,0))</f>
        <v>Silver</v>
      </c>
      <c r="X499" s="2" t="n">
        <f aca="false">INDEX(Summary!$T$2:$T$201,MATCH($B499,Summary!$A$2:$A$201,0))</f>
        <v>62.93</v>
      </c>
      <c r="Y499" s="0" t="str">
        <f aca="false">INDEX('Reward Model'!$E$18:$E$37,MATCH($E499,'Reward Model'!$A$18:$A$37,0))</f>
        <v>High</v>
      </c>
      <c r="Z499" s="4" t="n">
        <f aca="false">ROUND(MIN(1,MAX('Reward Model'!$B$2,INDEX('Reward Model'!$C$12:$C$14,MATCH($K499,'Reward Model'!$A$12:$A$14,0))/$J499)),3)</f>
        <v>1</v>
      </c>
      <c r="AA499" s="2" t="n">
        <f aca="false">IF($I499="Correct",ROUND(INDEX('Reward Model'!$B$12:$B$14,MATCH($K499,'Reward Model'!$A$12:$A$14,0))*Z499,2),0)</f>
        <v>0</v>
      </c>
      <c r="AB499" s="2" t="n">
        <f aca="false">IF($I499="Correct",ROUND(INDEX('Reward Model'!$B$12:$B$14,MATCH($Y499,'Reward Model'!$A$12:$A$14,0))*Z499,2),0)</f>
        <v>0</v>
      </c>
    </row>
    <row r="500" customFormat="false" ht="15" hidden="false" customHeight="false" outlineLevel="0" collapsed="false">
      <c r="A500" s="0" t="s">
        <v>175</v>
      </c>
      <c r="B500" s="0" t="s">
        <v>176</v>
      </c>
      <c r="C500" s="0" t="s">
        <v>30</v>
      </c>
      <c r="D500" s="0" t="s">
        <v>31</v>
      </c>
      <c r="E500" s="0" t="n">
        <v>19</v>
      </c>
      <c r="F500" s="0" t="s">
        <v>78</v>
      </c>
      <c r="G500" s="0" t="s">
        <v>79</v>
      </c>
      <c r="H500" s="0" t="s">
        <v>80</v>
      </c>
      <c r="I500" s="0" t="s">
        <v>39</v>
      </c>
      <c r="J500" s="0" t="n">
        <v>1.69</v>
      </c>
      <c r="K500" s="0" t="s">
        <v>73</v>
      </c>
      <c r="L500" s="0" t="n">
        <f aca="false">INDEX(Summary!$F$2:$F$201,MATCH($B500,Summary!$A$2:$A$201,0))</f>
        <v>20</v>
      </c>
      <c r="M500" s="0" t="n">
        <f aca="false">INDEX(Summary!$I$2:$I$201,MATCH($B500,Summary!$A$2:$A$201,0))</f>
        <v>2</v>
      </c>
      <c r="N500" s="0" t="n">
        <f aca="false">INDEX(Summary!$J$2:$J$201,MATCH($B500,Summary!$A$2:$A$201,0))</f>
        <v>3</v>
      </c>
      <c r="O500" s="2" t="n">
        <f aca="false">INDEX(Summary!$K$2:$K$201,MATCH($B500,Summary!$A$2:$A$201,0))</f>
        <v>7.97</v>
      </c>
      <c r="P500" s="3" t="n">
        <f aca="false">INDEX(Summary!$L$2:$L$201,MATCH($B500,Summary!$A$2:$A$201,0))</f>
        <v>5</v>
      </c>
      <c r="Q500" s="3" t="n">
        <f aca="false">INDEX(Summary!$M$2:$M$201,MATCH($B500,Summary!$A$2:$A$201,0))</f>
        <v>1</v>
      </c>
      <c r="R500" s="2" t="n">
        <f aca="false">INDEX(Summary!$N$2:$N$201,MATCH($B500,Summary!$A$2:$A$201,0))</f>
        <v>9.05</v>
      </c>
      <c r="S500" s="3" t="n">
        <f aca="false">INDEX(Summary!$O$2:$O$201,MATCH($B500,Summary!$A$2:$A$201,0))</f>
        <v>7</v>
      </c>
      <c r="T500" s="3" t="n">
        <f aca="false">INDEX(Summary!$P$2:$P$201,MATCH($B500,Summary!$A$2:$A$201,0))</f>
        <v>2</v>
      </c>
      <c r="U500" s="2" t="n">
        <f aca="false">INDEX(Summary!$Q$2:$Q$201,MATCH($B500,Summary!$A$2:$A$201,0))</f>
        <v>11.79</v>
      </c>
      <c r="V500" s="2" t="n">
        <f aca="false">INDEX(Summary!$R$2:$R$201,MATCH($B500,Summary!$A$2:$A$201,0))</f>
        <v>25.8</v>
      </c>
      <c r="W500" s="0" t="str">
        <f aca="false">INDEX(Summary!$S$2:$S$201,MATCH($B500,Summary!$A$2:$A$201,0))</f>
        <v>Silver</v>
      </c>
      <c r="X500" s="2" t="n">
        <f aca="false">INDEX(Summary!$T$2:$T$201,MATCH($B500,Summary!$A$2:$A$201,0))</f>
        <v>62.93</v>
      </c>
      <c r="Y500" s="0" t="str">
        <f aca="false">INDEX('Reward Model'!$E$18:$E$37,MATCH($E500,'Reward Model'!$A$18:$A$37,0))</f>
        <v>High</v>
      </c>
      <c r="Z500" s="4" t="n">
        <f aca="false">ROUND(MIN(1,MAX('Reward Model'!$B$2,INDEX('Reward Model'!$C$12:$C$14,MATCH($K500,'Reward Model'!$A$12:$A$14,0))/$J500)),3)</f>
        <v>1</v>
      </c>
      <c r="AA500" s="2" t="n">
        <f aca="false">IF($I500="Correct",ROUND(INDEX('Reward Model'!$B$12:$B$14,MATCH($K500,'Reward Model'!$A$12:$A$14,0))*Z500,2),0)</f>
        <v>0</v>
      </c>
      <c r="AB500" s="2" t="n">
        <f aca="false">IF($I500="Correct",ROUND(INDEX('Reward Model'!$B$12:$B$14,MATCH($Y500,'Reward Model'!$A$12:$A$14,0))*Z500,2),0)</f>
        <v>0</v>
      </c>
    </row>
    <row r="501" customFormat="false" ht="15" hidden="false" customHeight="false" outlineLevel="0" collapsed="false">
      <c r="A501" s="0" t="s">
        <v>175</v>
      </c>
      <c r="B501" s="0" t="s">
        <v>176</v>
      </c>
      <c r="C501" s="0" t="s">
        <v>30</v>
      </c>
      <c r="D501" s="0" t="s">
        <v>31</v>
      </c>
      <c r="E501" s="0" t="n">
        <v>20</v>
      </c>
      <c r="F501" s="0" t="s">
        <v>81</v>
      </c>
      <c r="G501" s="0" t="s">
        <v>119</v>
      </c>
      <c r="H501" s="0" t="s">
        <v>83</v>
      </c>
      <c r="I501" s="0" t="s">
        <v>39</v>
      </c>
      <c r="J501" s="0" t="n">
        <v>1.44</v>
      </c>
      <c r="K501" s="0" t="s">
        <v>73</v>
      </c>
      <c r="L501" s="0" t="n">
        <f aca="false">INDEX(Summary!$F$2:$F$201,MATCH($B501,Summary!$A$2:$A$201,0))</f>
        <v>20</v>
      </c>
      <c r="M501" s="0" t="n">
        <f aca="false">INDEX(Summary!$I$2:$I$201,MATCH($B501,Summary!$A$2:$A$201,0))</f>
        <v>2</v>
      </c>
      <c r="N501" s="0" t="n">
        <f aca="false">INDEX(Summary!$J$2:$J$201,MATCH($B501,Summary!$A$2:$A$201,0))</f>
        <v>3</v>
      </c>
      <c r="O501" s="2" t="n">
        <f aca="false">INDEX(Summary!$K$2:$K$201,MATCH($B501,Summary!$A$2:$A$201,0))</f>
        <v>7.97</v>
      </c>
      <c r="P501" s="3" t="n">
        <f aca="false">INDEX(Summary!$L$2:$L$201,MATCH($B501,Summary!$A$2:$A$201,0))</f>
        <v>5</v>
      </c>
      <c r="Q501" s="3" t="n">
        <f aca="false">INDEX(Summary!$M$2:$M$201,MATCH($B501,Summary!$A$2:$A$201,0))</f>
        <v>1</v>
      </c>
      <c r="R501" s="2" t="n">
        <f aca="false">INDEX(Summary!$N$2:$N$201,MATCH($B501,Summary!$A$2:$A$201,0))</f>
        <v>9.05</v>
      </c>
      <c r="S501" s="3" t="n">
        <f aca="false">INDEX(Summary!$O$2:$O$201,MATCH($B501,Summary!$A$2:$A$201,0))</f>
        <v>7</v>
      </c>
      <c r="T501" s="3" t="n">
        <f aca="false">INDEX(Summary!$P$2:$P$201,MATCH($B501,Summary!$A$2:$A$201,0))</f>
        <v>2</v>
      </c>
      <c r="U501" s="2" t="n">
        <f aca="false">INDEX(Summary!$Q$2:$Q$201,MATCH($B501,Summary!$A$2:$A$201,0))</f>
        <v>11.79</v>
      </c>
      <c r="V501" s="2" t="n">
        <f aca="false">INDEX(Summary!$R$2:$R$201,MATCH($B501,Summary!$A$2:$A$201,0))</f>
        <v>25.8</v>
      </c>
      <c r="W501" s="0" t="str">
        <f aca="false">INDEX(Summary!$S$2:$S$201,MATCH($B501,Summary!$A$2:$A$201,0))</f>
        <v>Silver</v>
      </c>
      <c r="X501" s="2" t="n">
        <f aca="false">INDEX(Summary!$T$2:$T$201,MATCH($B501,Summary!$A$2:$A$201,0))</f>
        <v>62.93</v>
      </c>
      <c r="Y501" s="0" t="str">
        <f aca="false">INDEX('Reward Model'!$E$18:$E$37,MATCH($E501,'Reward Model'!$A$18:$A$37,0))</f>
        <v>High</v>
      </c>
      <c r="Z501" s="4" t="n">
        <f aca="false">ROUND(MIN(1,MAX('Reward Model'!$B$2,INDEX('Reward Model'!$C$12:$C$14,MATCH($K501,'Reward Model'!$A$12:$A$14,0))/$J501)),3)</f>
        <v>1</v>
      </c>
      <c r="AA501" s="2" t="n">
        <f aca="false">IF($I501="Correct",ROUND(INDEX('Reward Model'!$B$12:$B$14,MATCH($K501,'Reward Model'!$A$12:$A$14,0))*Z501,2),0)</f>
        <v>0</v>
      </c>
      <c r="AB501" s="2" t="n">
        <f aca="false">IF($I501="Correct",ROUND(INDEX('Reward Model'!$B$12:$B$14,MATCH($Y501,'Reward Model'!$A$12:$A$14,0))*Z501,2),0)</f>
        <v>0</v>
      </c>
    </row>
    <row r="502" customFormat="false" ht="15" hidden="false" customHeight="false" outlineLevel="0" collapsed="false">
      <c r="A502" s="0" t="s">
        <v>177</v>
      </c>
      <c r="B502" s="0" t="s">
        <v>178</v>
      </c>
      <c r="C502" s="0" t="s">
        <v>30</v>
      </c>
      <c r="D502" s="0" t="s">
        <v>31</v>
      </c>
      <c r="E502" s="0" t="n">
        <v>1</v>
      </c>
      <c r="F502" s="0" t="s">
        <v>32</v>
      </c>
      <c r="G502" s="0" t="s">
        <v>33</v>
      </c>
      <c r="H502" s="0" t="s">
        <v>33</v>
      </c>
      <c r="I502" s="0" t="s">
        <v>34</v>
      </c>
      <c r="J502" s="0" t="n">
        <v>1.91</v>
      </c>
      <c r="K502" s="0" t="s">
        <v>35</v>
      </c>
      <c r="L502" s="0" t="n">
        <f aca="false">INDEX(Summary!$F$2:$F$201,MATCH($B502,Summary!$A$2:$A$201,0))</f>
        <v>20</v>
      </c>
      <c r="M502" s="0" t="n">
        <f aca="false">INDEX(Summary!$I$2:$I$201,MATCH($B502,Summary!$A$2:$A$201,0))</f>
        <v>1</v>
      </c>
      <c r="N502" s="0" t="n">
        <f aca="false">INDEX(Summary!$J$2:$J$201,MATCH($B502,Summary!$A$2:$A$201,0))</f>
        <v>4</v>
      </c>
      <c r="O502" s="2" t="n">
        <f aca="false">INDEX(Summary!$K$2:$K$201,MATCH($B502,Summary!$A$2:$A$201,0))</f>
        <v>8.24</v>
      </c>
      <c r="P502" s="3" t="n">
        <f aca="false">INDEX(Summary!$L$2:$L$201,MATCH($B502,Summary!$A$2:$A$201,0))</f>
        <v>4</v>
      </c>
      <c r="Q502" s="3" t="n">
        <f aca="false">INDEX(Summary!$M$2:$M$201,MATCH($B502,Summary!$A$2:$A$201,0))</f>
        <v>2</v>
      </c>
      <c r="R502" s="2" t="n">
        <f aca="false">INDEX(Summary!$N$2:$N$201,MATCH($B502,Summary!$A$2:$A$201,0))</f>
        <v>9.57</v>
      </c>
      <c r="S502" s="3" t="n">
        <f aca="false">INDEX(Summary!$O$2:$O$201,MATCH($B502,Summary!$A$2:$A$201,0))</f>
        <v>8</v>
      </c>
      <c r="T502" s="3" t="n">
        <f aca="false">INDEX(Summary!$P$2:$P$201,MATCH($B502,Summary!$A$2:$A$201,0))</f>
        <v>1</v>
      </c>
      <c r="U502" s="2" t="n">
        <f aca="false">INDEX(Summary!$Q$2:$Q$201,MATCH($B502,Summary!$A$2:$A$201,0))</f>
        <v>14.22</v>
      </c>
      <c r="V502" s="2" t="n">
        <f aca="false">INDEX(Summary!$R$2:$R$201,MATCH($B502,Summary!$A$2:$A$201,0))</f>
        <v>21.6</v>
      </c>
      <c r="W502" s="0" t="str">
        <f aca="false">INDEX(Summary!$S$2:$S$201,MATCH($B502,Summary!$A$2:$A$201,0))</f>
        <v>Silver</v>
      </c>
      <c r="X502" s="2" t="n">
        <f aca="false">INDEX(Summary!$T$2:$T$201,MATCH($B502,Summary!$A$2:$A$201,0))</f>
        <v>52.68</v>
      </c>
      <c r="Y502" s="0" t="str">
        <f aca="false">INDEX('Reward Model'!$E$18:$E$37,MATCH($E502,'Reward Model'!$A$18:$A$37,0))</f>
        <v>Medium</v>
      </c>
      <c r="Z502" s="4" t="n">
        <f aca="false">ROUND(MIN(1,MAX('Reward Model'!$B$2,INDEX('Reward Model'!$C$12:$C$14,MATCH($K502,'Reward Model'!$A$12:$A$14,0))/$J502)),3)</f>
        <v>0.785</v>
      </c>
      <c r="AA502" s="2" t="n">
        <f aca="false">IF($I502="Correct",ROUND(INDEX('Reward Model'!$B$12:$B$14,MATCH($K502,'Reward Model'!$A$12:$A$14,0))*Z502,2),0)</f>
        <v>0.79</v>
      </c>
      <c r="AB502" s="2" t="n">
        <f aca="false">IF($I502="Correct",ROUND(INDEX('Reward Model'!$B$12:$B$14,MATCH($Y502,'Reward Model'!$A$12:$A$14,0))*Z502,2),0)</f>
        <v>1.57</v>
      </c>
    </row>
    <row r="503" customFormat="false" ht="15" hidden="false" customHeight="false" outlineLevel="0" collapsed="false">
      <c r="A503" s="0" t="s">
        <v>177</v>
      </c>
      <c r="B503" s="0" t="s">
        <v>178</v>
      </c>
      <c r="C503" s="0" t="s">
        <v>30</v>
      </c>
      <c r="D503" s="0" t="s">
        <v>31</v>
      </c>
      <c r="E503" s="0" t="n">
        <v>2</v>
      </c>
      <c r="F503" s="0" t="s">
        <v>36</v>
      </c>
      <c r="G503" s="0" t="s">
        <v>38</v>
      </c>
      <c r="H503" s="0" t="s">
        <v>38</v>
      </c>
      <c r="I503" s="0" t="s">
        <v>34</v>
      </c>
      <c r="J503" s="0" t="n">
        <v>1.91</v>
      </c>
      <c r="K503" s="0" t="s">
        <v>35</v>
      </c>
      <c r="L503" s="0" t="n">
        <f aca="false">INDEX(Summary!$F$2:$F$201,MATCH($B503,Summary!$A$2:$A$201,0))</f>
        <v>20</v>
      </c>
      <c r="M503" s="0" t="n">
        <f aca="false">INDEX(Summary!$I$2:$I$201,MATCH($B503,Summary!$A$2:$A$201,0))</f>
        <v>1</v>
      </c>
      <c r="N503" s="0" t="n">
        <f aca="false">INDEX(Summary!$J$2:$J$201,MATCH($B503,Summary!$A$2:$A$201,0))</f>
        <v>4</v>
      </c>
      <c r="O503" s="2" t="n">
        <f aca="false">INDEX(Summary!$K$2:$K$201,MATCH($B503,Summary!$A$2:$A$201,0))</f>
        <v>8.24</v>
      </c>
      <c r="P503" s="3" t="n">
        <f aca="false">INDEX(Summary!$L$2:$L$201,MATCH($B503,Summary!$A$2:$A$201,0))</f>
        <v>4</v>
      </c>
      <c r="Q503" s="3" t="n">
        <f aca="false">INDEX(Summary!$M$2:$M$201,MATCH($B503,Summary!$A$2:$A$201,0))</f>
        <v>2</v>
      </c>
      <c r="R503" s="2" t="n">
        <f aca="false">INDEX(Summary!$N$2:$N$201,MATCH($B503,Summary!$A$2:$A$201,0))</f>
        <v>9.57</v>
      </c>
      <c r="S503" s="3" t="n">
        <f aca="false">INDEX(Summary!$O$2:$O$201,MATCH($B503,Summary!$A$2:$A$201,0))</f>
        <v>8</v>
      </c>
      <c r="T503" s="3" t="n">
        <f aca="false">INDEX(Summary!$P$2:$P$201,MATCH($B503,Summary!$A$2:$A$201,0))</f>
        <v>1</v>
      </c>
      <c r="U503" s="2" t="n">
        <f aca="false">INDEX(Summary!$Q$2:$Q$201,MATCH($B503,Summary!$A$2:$A$201,0))</f>
        <v>14.22</v>
      </c>
      <c r="V503" s="2" t="n">
        <f aca="false">INDEX(Summary!$R$2:$R$201,MATCH($B503,Summary!$A$2:$A$201,0))</f>
        <v>21.6</v>
      </c>
      <c r="W503" s="0" t="str">
        <f aca="false">INDEX(Summary!$S$2:$S$201,MATCH($B503,Summary!$A$2:$A$201,0))</f>
        <v>Silver</v>
      </c>
      <c r="X503" s="2" t="n">
        <f aca="false">INDEX(Summary!$T$2:$T$201,MATCH($B503,Summary!$A$2:$A$201,0))</f>
        <v>52.68</v>
      </c>
      <c r="Y503" s="0" t="str">
        <f aca="false">INDEX('Reward Model'!$E$18:$E$37,MATCH($E503,'Reward Model'!$A$18:$A$37,0))</f>
        <v>Low</v>
      </c>
      <c r="Z503" s="4" t="n">
        <f aca="false">ROUND(MIN(1,MAX('Reward Model'!$B$2,INDEX('Reward Model'!$C$12:$C$14,MATCH($K503,'Reward Model'!$A$12:$A$14,0))/$J503)),3)</f>
        <v>0.785</v>
      </c>
      <c r="AA503" s="2" t="n">
        <f aca="false">IF($I503="Correct",ROUND(INDEX('Reward Model'!$B$12:$B$14,MATCH($K503,'Reward Model'!$A$12:$A$14,0))*Z503,2),0)</f>
        <v>0.79</v>
      </c>
      <c r="AB503" s="2" t="n">
        <f aca="false">IF($I503="Correct",ROUND(INDEX('Reward Model'!$B$12:$B$14,MATCH($Y503,'Reward Model'!$A$12:$A$14,0))*Z503,2),0)</f>
        <v>0.79</v>
      </c>
    </row>
    <row r="504" customFormat="false" ht="15" hidden="false" customHeight="false" outlineLevel="0" collapsed="false">
      <c r="A504" s="0" t="s">
        <v>177</v>
      </c>
      <c r="B504" s="0" t="s">
        <v>178</v>
      </c>
      <c r="C504" s="0" t="s">
        <v>30</v>
      </c>
      <c r="D504" s="0" t="s">
        <v>31</v>
      </c>
      <c r="E504" s="0" t="n">
        <v>3</v>
      </c>
      <c r="F504" s="0" t="s">
        <v>40</v>
      </c>
      <c r="G504" s="0" t="s">
        <v>42</v>
      </c>
      <c r="H504" s="0" t="s">
        <v>42</v>
      </c>
      <c r="I504" s="0" t="s">
        <v>34</v>
      </c>
      <c r="J504" s="0" t="n">
        <v>1.07</v>
      </c>
      <c r="K504" s="0" t="s">
        <v>35</v>
      </c>
      <c r="L504" s="0" t="n">
        <f aca="false">INDEX(Summary!$F$2:$F$201,MATCH($B504,Summary!$A$2:$A$201,0))</f>
        <v>20</v>
      </c>
      <c r="M504" s="0" t="n">
        <f aca="false">INDEX(Summary!$I$2:$I$201,MATCH($B504,Summary!$A$2:$A$201,0))</f>
        <v>1</v>
      </c>
      <c r="N504" s="0" t="n">
        <f aca="false">INDEX(Summary!$J$2:$J$201,MATCH($B504,Summary!$A$2:$A$201,0))</f>
        <v>4</v>
      </c>
      <c r="O504" s="2" t="n">
        <f aca="false">INDEX(Summary!$K$2:$K$201,MATCH($B504,Summary!$A$2:$A$201,0))</f>
        <v>8.24</v>
      </c>
      <c r="P504" s="3" t="n">
        <f aca="false">INDEX(Summary!$L$2:$L$201,MATCH($B504,Summary!$A$2:$A$201,0))</f>
        <v>4</v>
      </c>
      <c r="Q504" s="3" t="n">
        <f aca="false">INDEX(Summary!$M$2:$M$201,MATCH($B504,Summary!$A$2:$A$201,0))</f>
        <v>2</v>
      </c>
      <c r="R504" s="2" t="n">
        <f aca="false">INDEX(Summary!$N$2:$N$201,MATCH($B504,Summary!$A$2:$A$201,0))</f>
        <v>9.57</v>
      </c>
      <c r="S504" s="3" t="n">
        <f aca="false">INDEX(Summary!$O$2:$O$201,MATCH($B504,Summary!$A$2:$A$201,0))</f>
        <v>8</v>
      </c>
      <c r="T504" s="3" t="n">
        <f aca="false">INDEX(Summary!$P$2:$P$201,MATCH($B504,Summary!$A$2:$A$201,0))</f>
        <v>1</v>
      </c>
      <c r="U504" s="2" t="n">
        <f aca="false">INDEX(Summary!$Q$2:$Q$201,MATCH($B504,Summary!$A$2:$A$201,0))</f>
        <v>14.22</v>
      </c>
      <c r="V504" s="2" t="n">
        <f aca="false">INDEX(Summary!$R$2:$R$201,MATCH($B504,Summary!$A$2:$A$201,0))</f>
        <v>21.6</v>
      </c>
      <c r="W504" s="0" t="str">
        <f aca="false">INDEX(Summary!$S$2:$S$201,MATCH($B504,Summary!$A$2:$A$201,0))</f>
        <v>Silver</v>
      </c>
      <c r="X504" s="2" t="n">
        <f aca="false">INDEX(Summary!$T$2:$T$201,MATCH($B504,Summary!$A$2:$A$201,0))</f>
        <v>52.68</v>
      </c>
      <c r="Y504" s="0" t="str">
        <f aca="false">INDEX('Reward Model'!$E$18:$E$37,MATCH($E504,'Reward Model'!$A$18:$A$37,0))</f>
        <v>Medium</v>
      </c>
      <c r="Z504" s="4" t="n">
        <f aca="false">ROUND(MIN(1,MAX('Reward Model'!$B$2,INDEX('Reward Model'!$C$12:$C$14,MATCH($K504,'Reward Model'!$A$12:$A$14,0))/$J504)),3)</f>
        <v>1</v>
      </c>
      <c r="AA504" s="2" t="n">
        <f aca="false">IF($I504="Correct",ROUND(INDEX('Reward Model'!$B$12:$B$14,MATCH($K504,'Reward Model'!$A$12:$A$14,0))*Z504,2),0)</f>
        <v>1</v>
      </c>
      <c r="AB504" s="2" t="n">
        <f aca="false">IF($I504="Correct",ROUND(INDEX('Reward Model'!$B$12:$B$14,MATCH($Y504,'Reward Model'!$A$12:$A$14,0))*Z504,2),0)</f>
        <v>2</v>
      </c>
    </row>
    <row r="505" customFormat="false" ht="15" hidden="false" customHeight="false" outlineLevel="0" collapsed="false">
      <c r="A505" s="0" t="s">
        <v>177</v>
      </c>
      <c r="B505" s="0" t="s">
        <v>178</v>
      </c>
      <c r="C505" s="0" t="s">
        <v>30</v>
      </c>
      <c r="D505" s="0" t="s">
        <v>31</v>
      </c>
      <c r="E505" s="0" t="n">
        <v>4</v>
      </c>
      <c r="F505" s="0" t="s">
        <v>43</v>
      </c>
      <c r="G505" s="0" t="s">
        <v>45</v>
      </c>
      <c r="H505" s="0" t="s">
        <v>45</v>
      </c>
      <c r="I505" s="0" t="s">
        <v>34</v>
      </c>
      <c r="J505" s="0" t="n">
        <v>1.4</v>
      </c>
      <c r="K505" s="0" t="s">
        <v>35</v>
      </c>
      <c r="L505" s="0" t="n">
        <f aca="false">INDEX(Summary!$F$2:$F$201,MATCH($B505,Summary!$A$2:$A$201,0))</f>
        <v>20</v>
      </c>
      <c r="M505" s="0" t="n">
        <f aca="false">INDEX(Summary!$I$2:$I$201,MATCH($B505,Summary!$A$2:$A$201,0))</f>
        <v>1</v>
      </c>
      <c r="N505" s="0" t="n">
        <f aca="false">INDEX(Summary!$J$2:$J$201,MATCH($B505,Summary!$A$2:$A$201,0))</f>
        <v>4</v>
      </c>
      <c r="O505" s="2" t="n">
        <f aca="false">INDEX(Summary!$K$2:$K$201,MATCH($B505,Summary!$A$2:$A$201,0))</f>
        <v>8.24</v>
      </c>
      <c r="P505" s="3" t="n">
        <f aca="false">INDEX(Summary!$L$2:$L$201,MATCH($B505,Summary!$A$2:$A$201,0))</f>
        <v>4</v>
      </c>
      <c r="Q505" s="3" t="n">
        <f aca="false">INDEX(Summary!$M$2:$M$201,MATCH($B505,Summary!$A$2:$A$201,0))</f>
        <v>2</v>
      </c>
      <c r="R505" s="2" t="n">
        <f aca="false">INDEX(Summary!$N$2:$N$201,MATCH($B505,Summary!$A$2:$A$201,0))</f>
        <v>9.57</v>
      </c>
      <c r="S505" s="3" t="n">
        <f aca="false">INDEX(Summary!$O$2:$O$201,MATCH($B505,Summary!$A$2:$A$201,0))</f>
        <v>8</v>
      </c>
      <c r="T505" s="3" t="n">
        <f aca="false">INDEX(Summary!$P$2:$P$201,MATCH($B505,Summary!$A$2:$A$201,0))</f>
        <v>1</v>
      </c>
      <c r="U505" s="2" t="n">
        <f aca="false">INDEX(Summary!$Q$2:$Q$201,MATCH($B505,Summary!$A$2:$A$201,0))</f>
        <v>14.22</v>
      </c>
      <c r="V505" s="2" t="n">
        <f aca="false">INDEX(Summary!$R$2:$R$201,MATCH($B505,Summary!$A$2:$A$201,0))</f>
        <v>21.6</v>
      </c>
      <c r="W505" s="0" t="str">
        <f aca="false">INDEX(Summary!$S$2:$S$201,MATCH($B505,Summary!$A$2:$A$201,0))</f>
        <v>Silver</v>
      </c>
      <c r="X505" s="2" t="n">
        <f aca="false">INDEX(Summary!$T$2:$T$201,MATCH($B505,Summary!$A$2:$A$201,0))</f>
        <v>52.68</v>
      </c>
      <c r="Y505" s="0" t="str">
        <f aca="false">INDEX('Reward Model'!$E$18:$E$37,MATCH($E505,'Reward Model'!$A$18:$A$37,0))</f>
        <v>Low</v>
      </c>
      <c r="Z505" s="4" t="n">
        <f aca="false">ROUND(MIN(1,MAX('Reward Model'!$B$2,INDEX('Reward Model'!$C$12:$C$14,MATCH($K505,'Reward Model'!$A$12:$A$14,0))/$J505)),3)</f>
        <v>1</v>
      </c>
      <c r="AA505" s="2" t="n">
        <f aca="false">IF($I505="Correct",ROUND(INDEX('Reward Model'!$B$12:$B$14,MATCH($K505,'Reward Model'!$A$12:$A$14,0))*Z505,2),0)</f>
        <v>1</v>
      </c>
      <c r="AB505" s="2" t="n">
        <f aca="false">IF($I505="Correct",ROUND(INDEX('Reward Model'!$B$12:$B$14,MATCH($Y505,'Reward Model'!$A$12:$A$14,0))*Z505,2),0)</f>
        <v>1</v>
      </c>
    </row>
    <row r="506" customFormat="false" ht="15" hidden="false" customHeight="false" outlineLevel="0" collapsed="false">
      <c r="A506" s="0" t="s">
        <v>177</v>
      </c>
      <c r="B506" s="0" t="s">
        <v>178</v>
      </c>
      <c r="C506" s="0" t="s">
        <v>30</v>
      </c>
      <c r="D506" s="0" t="s">
        <v>31</v>
      </c>
      <c r="E506" s="0" t="n">
        <v>5</v>
      </c>
      <c r="F506" s="0" t="s">
        <v>46</v>
      </c>
      <c r="G506" s="0" t="s">
        <v>47</v>
      </c>
      <c r="H506" s="0" t="s">
        <v>47</v>
      </c>
      <c r="I506" s="0" t="s">
        <v>34</v>
      </c>
      <c r="J506" s="0" t="n">
        <v>1.88</v>
      </c>
      <c r="K506" s="0" t="s">
        <v>35</v>
      </c>
      <c r="L506" s="0" t="n">
        <f aca="false">INDEX(Summary!$F$2:$F$201,MATCH($B506,Summary!$A$2:$A$201,0))</f>
        <v>20</v>
      </c>
      <c r="M506" s="0" t="n">
        <f aca="false">INDEX(Summary!$I$2:$I$201,MATCH($B506,Summary!$A$2:$A$201,0))</f>
        <v>1</v>
      </c>
      <c r="N506" s="0" t="n">
        <f aca="false">INDEX(Summary!$J$2:$J$201,MATCH($B506,Summary!$A$2:$A$201,0))</f>
        <v>4</v>
      </c>
      <c r="O506" s="2" t="n">
        <f aca="false">INDEX(Summary!$K$2:$K$201,MATCH($B506,Summary!$A$2:$A$201,0))</f>
        <v>8.24</v>
      </c>
      <c r="P506" s="3" t="n">
        <f aca="false">INDEX(Summary!$L$2:$L$201,MATCH($B506,Summary!$A$2:$A$201,0))</f>
        <v>4</v>
      </c>
      <c r="Q506" s="3" t="n">
        <f aca="false">INDEX(Summary!$M$2:$M$201,MATCH($B506,Summary!$A$2:$A$201,0))</f>
        <v>2</v>
      </c>
      <c r="R506" s="2" t="n">
        <f aca="false">INDEX(Summary!$N$2:$N$201,MATCH($B506,Summary!$A$2:$A$201,0))</f>
        <v>9.57</v>
      </c>
      <c r="S506" s="3" t="n">
        <f aca="false">INDEX(Summary!$O$2:$O$201,MATCH($B506,Summary!$A$2:$A$201,0))</f>
        <v>8</v>
      </c>
      <c r="T506" s="3" t="n">
        <f aca="false">INDEX(Summary!$P$2:$P$201,MATCH($B506,Summary!$A$2:$A$201,0))</f>
        <v>1</v>
      </c>
      <c r="U506" s="2" t="n">
        <f aca="false">INDEX(Summary!$Q$2:$Q$201,MATCH($B506,Summary!$A$2:$A$201,0))</f>
        <v>14.22</v>
      </c>
      <c r="V506" s="2" t="n">
        <f aca="false">INDEX(Summary!$R$2:$R$201,MATCH($B506,Summary!$A$2:$A$201,0))</f>
        <v>21.6</v>
      </c>
      <c r="W506" s="0" t="str">
        <f aca="false">INDEX(Summary!$S$2:$S$201,MATCH($B506,Summary!$A$2:$A$201,0))</f>
        <v>Silver</v>
      </c>
      <c r="X506" s="2" t="n">
        <f aca="false">INDEX(Summary!$T$2:$T$201,MATCH($B506,Summary!$A$2:$A$201,0))</f>
        <v>52.68</v>
      </c>
      <c r="Y506" s="0" t="str">
        <f aca="false">INDEX('Reward Model'!$E$18:$E$37,MATCH($E506,'Reward Model'!$A$18:$A$37,0))</f>
        <v>Low</v>
      </c>
      <c r="Z506" s="4" t="n">
        <f aca="false">ROUND(MIN(1,MAX('Reward Model'!$B$2,INDEX('Reward Model'!$C$12:$C$14,MATCH($K506,'Reward Model'!$A$12:$A$14,0))/$J506)),3)</f>
        <v>0.798</v>
      </c>
      <c r="AA506" s="2" t="n">
        <f aca="false">IF($I506="Correct",ROUND(INDEX('Reward Model'!$B$12:$B$14,MATCH($K506,'Reward Model'!$A$12:$A$14,0))*Z506,2),0)</f>
        <v>0.8</v>
      </c>
      <c r="AB506" s="2" t="n">
        <f aca="false">IF($I506="Correct",ROUND(INDEX('Reward Model'!$B$12:$B$14,MATCH($Y506,'Reward Model'!$A$12:$A$14,0))*Z506,2),0)</f>
        <v>0.8</v>
      </c>
    </row>
    <row r="507" customFormat="false" ht="15" hidden="false" customHeight="false" outlineLevel="0" collapsed="false">
      <c r="A507" s="0" t="s">
        <v>177</v>
      </c>
      <c r="B507" s="0" t="s">
        <v>178</v>
      </c>
      <c r="C507" s="0" t="s">
        <v>30</v>
      </c>
      <c r="D507" s="0" t="s">
        <v>31</v>
      </c>
      <c r="E507" s="0" t="n">
        <v>6</v>
      </c>
      <c r="F507" s="0" t="s">
        <v>48</v>
      </c>
      <c r="G507" s="0" t="s">
        <v>49</v>
      </c>
      <c r="H507" s="0" t="s">
        <v>49</v>
      </c>
      <c r="I507" s="0" t="s">
        <v>34</v>
      </c>
      <c r="J507" s="0" t="n">
        <v>1.94</v>
      </c>
      <c r="K507" s="0" t="s">
        <v>35</v>
      </c>
      <c r="L507" s="0" t="n">
        <f aca="false">INDEX(Summary!$F$2:$F$201,MATCH($B507,Summary!$A$2:$A$201,0))</f>
        <v>20</v>
      </c>
      <c r="M507" s="0" t="n">
        <f aca="false">INDEX(Summary!$I$2:$I$201,MATCH($B507,Summary!$A$2:$A$201,0))</f>
        <v>1</v>
      </c>
      <c r="N507" s="0" t="n">
        <f aca="false">INDEX(Summary!$J$2:$J$201,MATCH($B507,Summary!$A$2:$A$201,0))</f>
        <v>4</v>
      </c>
      <c r="O507" s="2" t="n">
        <f aca="false">INDEX(Summary!$K$2:$K$201,MATCH($B507,Summary!$A$2:$A$201,0))</f>
        <v>8.24</v>
      </c>
      <c r="P507" s="3" t="n">
        <f aca="false">INDEX(Summary!$L$2:$L$201,MATCH($B507,Summary!$A$2:$A$201,0))</f>
        <v>4</v>
      </c>
      <c r="Q507" s="3" t="n">
        <f aca="false">INDEX(Summary!$M$2:$M$201,MATCH($B507,Summary!$A$2:$A$201,0))</f>
        <v>2</v>
      </c>
      <c r="R507" s="2" t="n">
        <f aca="false">INDEX(Summary!$N$2:$N$201,MATCH($B507,Summary!$A$2:$A$201,0))</f>
        <v>9.57</v>
      </c>
      <c r="S507" s="3" t="n">
        <f aca="false">INDEX(Summary!$O$2:$O$201,MATCH($B507,Summary!$A$2:$A$201,0))</f>
        <v>8</v>
      </c>
      <c r="T507" s="3" t="n">
        <f aca="false">INDEX(Summary!$P$2:$P$201,MATCH($B507,Summary!$A$2:$A$201,0))</f>
        <v>1</v>
      </c>
      <c r="U507" s="2" t="n">
        <f aca="false">INDEX(Summary!$Q$2:$Q$201,MATCH($B507,Summary!$A$2:$A$201,0))</f>
        <v>14.22</v>
      </c>
      <c r="V507" s="2" t="n">
        <f aca="false">INDEX(Summary!$R$2:$R$201,MATCH($B507,Summary!$A$2:$A$201,0))</f>
        <v>21.6</v>
      </c>
      <c r="W507" s="0" t="str">
        <f aca="false">INDEX(Summary!$S$2:$S$201,MATCH($B507,Summary!$A$2:$A$201,0))</f>
        <v>Silver</v>
      </c>
      <c r="X507" s="2" t="n">
        <f aca="false">INDEX(Summary!$T$2:$T$201,MATCH($B507,Summary!$A$2:$A$201,0))</f>
        <v>52.68</v>
      </c>
      <c r="Y507" s="0" t="str">
        <f aca="false">INDEX('Reward Model'!$E$18:$E$37,MATCH($E507,'Reward Model'!$A$18:$A$37,0))</f>
        <v>Medium</v>
      </c>
      <c r="Z507" s="4" t="n">
        <f aca="false">ROUND(MIN(1,MAX('Reward Model'!$B$2,INDEX('Reward Model'!$C$12:$C$14,MATCH($K507,'Reward Model'!$A$12:$A$14,0))/$J507)),3)</f>
        <v>0.773</v>
      </c>
      <c r="AA507" s="2" t="n">
        <f aca="false">IF($I507="Correct",ROUND(INDEX('Reward Model'!$B$12:$B$14,MATCH($K507,'Reward Model'!$A$12:$A$14,0))*Z507,2),0)</f>
        <v>0.77</v>
      </c>
      <c r="AB507" s="2" t="n">
        <f aca="false">IF($I507="Correct",ROUND(INDEX('Reward Model'!$B$12:$B$14,MATCH($Y507,'Reward Model'!$A$12:$A$14,0))*Z507,2),0)</f>
        <v>1.55</v>
      </c>
    </row>
    <row r="508" customFormat="false" ht="15" hidden="false" customHeight="false" outlineLevel="0" collapsed="false">
      <c r="A508" s="0" t="s">
        <v>177</v>
      </c>
      <c r="B508" s="0" t="s">
        <v>178</v>
      </c>
      <c r="C508" s="0" t="s">
        <v>30</v>
      </c>
      <c r="D508" s="0" t="s">
        <v>31</v>
      </c>
      <c r="E508" s="0" t="n">
        <v>7</v>
      </c>
      <c r="F508" s="0" t="s">
        <v>50</v>
      </c>
      <c r="G508" s="0" t="s">
        <v>51</v>
      </c>
      <c r="H508" s="0" t="s">
        <v>51</v>
      </c>
      <c r="I508" s="0" t="s">
        <v>34</v>
      </c>
      <c r="J508" s="0" t="n">
        <v>1.69</v>
      </c>
      <c r="K508" s="0" t="s">
        <v>35</v>
      </c>
      <c r="L508" s="0" t="n">
        <f aca="false">INDEX(Summary!$F$2:$F$201,MATCH($B508,Summary!$A$2:$A$201,0))</f>
        <v>20</v>
      </c>
      <c r="M508" s="0" t="n">
        <f aca="false">INDEX(Summary!$I$2:$I$201,MATCH($B508,Summary!$A$2:$A$201,0))</f>
        <v>1</v>
      </c>
      <c r="N508" s="0" t="n">
        <f aca="false">INDEX(Summary!$J$2:$J$201,MATCH($B508,Summary!$A$2:$A$201,0))</f>
        <v>4</v>
      </c>
      <c r="O508" s="2" t="n">
        <f aca="false">INDEX(Summary!$K$2:$K$201,MATCH($B508,Summary!$A$2:$A$201,0))</f>
        <v>8.24</v>
      </c>
      <c r="P508" s="3" t="n">
        <f aca="false">INDEX(Summary!$L$2:$L$201,MATCH($B508,Summary!$A$2:$A$201,0))</f>
        <v>4</v>
      </c>
      <c r="Q508" s="3" t="n">
        <f aca="false">INDEX(Summary!$M$2:$M$201,MATCH($B508,Summary!$A$2:$A$201,0))</f>
        <v>2</v>
      </c>
      <c r="R508" s="2" t="n">
        <f aca="false">INDEX(Summary!$N$2:$N$201,MATCH($B508,Summary!$A$2:$A$201,0))</f>
        <v>9.57</v>
      </c>
      <c r="S508" s="3" t="n">
        <f aca="false">INDEX(Summary!$O$2:$O$201,MATCH($B508,Summary!$A$2:$A$201,0))</f>
        <v>8</v>
      </c>
      <c r="T508" s="3" t="n">
        <f aca="false">INDEX(Summary!$P$2:$P$201,MATCH($B508,Summary!$A$2:$A$201,0))</f>
        <v>1</v>
      </c>
      <c r="U508" s="2" t="n">
        <f aca="false">INDEX(Summary!$Q$2:$Q$201,MATCH($B508,Summary!$A$2:$A$201,0))</f>
        <v>14.22</v>
      </c>
      <c r="V508" s="2" t="n">
        <f aca="false">INDEX(Summary!$R$2:$R$201,MATCH($B508,Summary!$A$2:$A$201,0))</f>
        <v>21.6</v>
      </c>
      <c r="W508" s="0" t="str">
        <f aca="false">INDEX(Summary!$S$2:$S$201,MATCH($B508,Summary!$A$2:$A$201,0))</f>
        <v>Silver</v>
      </c>
      <c r="X508" s="2" t="n">
        <f aca="false">INDEX(Summary!$T$2:$T$201,MATCH($B508,Summary!$A$2:$A$201,0))</f>
        <v>52.68</v>
      </c>
      <c r="Y508" s="0" t="str">
        <f aca="false">INDEX('Reward Model'!$E$18:$E$37,MATCH($E508,'Reward Model'!$A$18:$A$37,0))</f>
        <v>Low</v>
      </c>
      <c r="Z508" s="4" t="n">
        <f aca="false">ROUND(MIN(1,MAX('Reward Model'!$B$2,INDEX('Reward Model'!$C$12:$C$14,MATCH($K508,'Reward Model'!$A$12:$A$14,0))/$J508)),3)</f>
        <v>0.888</v>
      </c>
      <c r="AA508" s="2" t="n">
        <f aca="false">IF($I508="Correct",ROUND(INDEX('Reward Model'!$B$12:$B$14,MATCH($K508,'Reward Model'!$A$12:$A$14,0))*Z508,2),0)</f>
        <v>0.89</v>
      </c>
      <c r="AB508" s="2" t="n">
        <f aca="false">IF($I508="Correct",ROUND(INDEX('Reward Model'!$B$12:$B$14,MATCH($Y508,'Reward Model'!$A$12:$A$14,0))*Z508,2),0)</f>
        <v>0.89</v>
      </c>
    </row>
    <row r="509" customFormat="false" ht="15" hidden="false" customHeight="false" outlineLevel="0" collapsed="false">
      <c r="A509" s="0" t="s">
        <v>177</v>
      </c>
      <c r="B509" s="0" t="s">
        <v>178</v>
      </c>
      <c r="C509" s="0" t="s">
        <v>30</v>
      </c>
      <c r="D509" s="0" t="s">
        <v>31</v>
      </c>
      <c r="E509" s="0" t="n">
        <v>8</v>
      </c>
      <c r="F509" s="0" t="s">
        <v>52</v>
      </c>
      <c r="G509" s="0" t="s">
        <v>93</v>
      </c>
      <c r="H509" s="0" t="s">
        <v>54</v>
      </c>
      <c r="I509" s="0" t="s">
        <v>39</v>
      </c>
      <c r="J509" s="0" t="n">
        <v>1.24</v>
      </c>
      <c r="K509" s="0" t="s">
        <v>35</v>
      </c>
      <c r="L509" s="0" t="n">
        <f aca="false">INDEX(Summary!$F$2:$F$201,MATCH($B509,Summary!$A$2:$A$201,0))</f>
        <v>20</v>
      </c>
      <c r="M509" s="0" t="n">
        <f aca="false">INDEX(Summary!$I$2:$I$201,MATCH($B509,Summary!$A$2:$A$201,0))</f>
        <v>1</v>
      </c>
      <c r="N509" s="0" t="n">
        <f aca="false">INDEX(Summary!$J$2:$J$201,MATCH($B509,Summary!$A$2:$A$201,0))</f>
        <v>4</v>
      </c>
      <c r="O509" s="2" t="n">
        <f aca="false">INDEX(Summary!$K$2:$K$201,MATCH($B509,Summary!$A$2:$A$201,0))</f>
        <v>8.24</v>
      </c>
      <c r="P509" s="3" t="n">
        <f aca="false">INDEX(Summary!$L$2:$L$201,MATCH($B509,Summary!$A$2:$A$201,0))</f>
        <v>4</v>
      </c>
      <c r="Q509" s="3" t="n">
        <f aca="false">INDEX(Summary!$M$2:$M$201,MATCH($B509,Summary!$A$2:$A$201,0))</f>
        <v>2</v>
      </c>
      <c r="R509" s="2" t="n">
        <f aca="false">INDEX(Summary!$N$2:$N$201,MATCH($B509,Summary!$A$2:$A$201,0))</f>
        <v>9.57</v>
      </c>
      <c r="S509" s="3" t="n">
        <f aca="false">INDEX(Summary!$O$2:$O$201,MATCH($B509,Summary!$A$2:$A$201,0))</f>
        <v>8</v>
      </c>
      <c r="T509" s="3" t="n">
        <f aca="false">INDEX(Summary!$P$2:$P$201,MATCH($B509,Summary!$A$2:$A$201,0))</f>
        <v>1</v>
      </c>
      <c r="U509" s="2" t="n">
        <f aca="false">INDEX(Summary!$Q$2:$Q$201,MATCH($B509,Summary!$A$2:$A$201,0))</f>
        <v>14.22</v>
      </c>
      <c r="V509" s="2" t="n">
        <f aca="false">INDEX(Summary!$R$2:$R$201,MATCH($B509,Summary!$A$2:$A$201,0))</f>
        <v>21.6</v>
      </c>
      <c r="W509" s="0" t="str">
        <f aca="false">INDEX(Summary!$S$2:$S$201,MATCH($B509,Summary!$A$2:$A$201,0))</f>
        <v>Silver</v>
      </c>
      <c r="X509" s="2" t="n">
        <f aca="false">INDEX(Summary!$T$2:$T$201,MATCH($B509,Summary!$A$2:$A$201,0))</f>
        <v>52.68</v>
      </c>
      <c r="Y509" s="0" t="str">
        <f aca="false">INDEX('Reward Model'!$E$18:$E$37,MATCH($E509,'Reward Model'!$A$18:$A$37,0))</f>
        <v>Medium</v>
      </c>
      <c r="Z509" s="4" t="n">
        <f aca="false">ROUND(MIN(1,MAX('Reward Model'!$B$2,INDEX('Reward Model'!$C$12:$C$14,MATCH($K509,'Reward Model'!$A$12:$A$14,0))/$J509)),3)</f>
        <v>1</v>
      </c>
      <c r="AA509" s="2" t="n">
        <f aca="false">IF($I509="Correct",ROUND(INDEX('Reward Model'!$B$12:$B$14,MATCH($K509,'Reward Model'!$A$12:$A$14,0))*Z509,2),0)</f>
        <v>0</v>
      </c>
      <c r="AB509" s="2" t="n">
        <f aca="false">IF($I509="Correct",ROUND(INDEX('Reward Model'!$B$12:$B$14,MATCH($Y509,'Reward Model'!$A$12:$A$14,0))*Z509,2),0)</f>
        <v>0</v>
      </c>
    </row>
    <row r="510" customFormat="false" ht="15" hidden="false" customHeight="false" outlineLevel="0" collapsed="false">
      <c r="A510" s="0" t="s">
        <v>177</v>
      </c>
      <c r="B510" s="0" t="s">
        <v>178</v>
      </c>
      <c r="C510" s="0" t="s">
        <v>30</v>
      </c>
      <c r="D510" s="0" t="s">
        <v>31</v>
      </c>
      <c r="E510" s="0" t="n">
        <v>9</v>
      </c>
      <c r="F510" s="0" t="s">
        <v>55</v>
      </c>
      <c r="G510" s="0" t="s">
        <v>57</v>
      </c>
      <c r="H510" s="0" t="s">
        <v>57</v>
      </c>
      <c r="I510" s="0" t="s">
        <v>34</v>
      </c>
      <c r="J510" s="0" t="n">
        <v>1.18</v>
      </c>
      <c r="K510" s="0" t="s">
        <v>35</v>
      </c>
      <c r="L510" s="0" t="n">
        <f aca="false">INDEX(Summary!$F$2:$F$201,MATCH($B510,Summary!$A$2:$A$201,0))</f>
        <v>20</v>
      </c>
      <c r="M510" s="0" t="n">
        <f aca="false">INDEX(Summary!$I$2:$I$201,MATCH($B510,Summary!$A$2:$A$201,0))</f>
        <v>1</v>
      </c>
      <c r="N510" s="0" t="n">
        <f aca="false">INDEX(Summary!$J$2:$J$201,MATCH($B510,Summary!$A$2:$A$201,0))</f>
        <v>4</v>
      </c>
      <c r="O510" s="2" t="n">
        <f aca="false">INDEX(Summary!$K$2:$K$201,MATCH($B510,Summary!$A$2:$A$201,0))</f>
        <v>8.24</v>
      </c>
      <c r="P510" s="3" t="n">
        <f aca="false">INDEX(Summary!$L$2:$L$201,MATCH($B510,Summary!$A$2:$A$201,0))</f>
        <v>4</v>
      </c>
      <c r="Q510" s="3" t="n">
        <f aca="false">INDEX(Summary!$M$2:$M$201,MATCH($B510,Summary!$A$2:$A$201,0))</f>
        <v>2</v>
      </c>
      <c r="R510" s="2" t="n">
        <f aca="false">INDEX(Summary!$N$2:$N$201,MATCH($B510,Summary!$A$2:$A$201,0))</f>
        <v>9.57</v>
      </c>
      <c r="S510" s="3" t="n">
        <f aca="false">INDEX(Summary!$O$2:$O$201,MATCH($B510,Summary!$A$2:$A$201,0))</f>
        <v>8</v>
      </c>
      <c r="T510" s="3" t="n">
        <f aca="false">INDEX(Summary!$P$2:$P$201,MATCH($B510,Summary!$A$2:$A$201,0))</f>
        <v>1</v>
      </c>
      <c r="U510" s="2" t="n">
        <f aca="false">INDEX(Summary!$Q$2:$Q$201,MATCH($B510,Summary!$A$2:$A$201,0))</f>
        <v>14.22</v>
      </c>
      <c r="V510" s="2" t="n">
        <f aca="false">INDEX(Summary!$R$2:$R$201,MATCH($B510,Summary!$A$2:$A$201,0))</f>
        <v>21.6</v>
      </c>
      <c r="W510" s="0" t="str">
        <f aca="false">INDEX(Summary!$S$2:$S$201,MATCH($B510,Summary!$A$2:$A$201,0))</f>
        <v>Silver</v>
      </c>
      <c r="X510" s="2" t="n">
        <f aca="false">INDEX(Summary!$T$2:$T$201,MATCH($B510,Summary!$A$2:$A$201,0))</f>
        <v>52.68</v>
      </c>
      <c r="Y510" s="0" t="str">
        <f aca="false">INDEX('Reward Model'!$E$18:$E$37,MATCH($E510,'Reward Model'!$A$18:$A$37,0))</f>
        <v>Medium</v>
      </c>
      <c r="Z510" s="4" t="n">
        <f aca="false">ROUND(MIN(1,MAX('Reward Model'!$B$2,INDEX('Reward Model'!$C$12:$C$14,MATCH($K510,'Reward Model'!$A$12:$A$14,0))/$J510)),3)</f>
        <v>1</v>
      </c>
      <c r="AA510" s="2" t="n">
        <f aca="false">IF($I510="Correct",ROUND(INDEX('Reward Model'!$B$12:$B$14,MATCH($K510,'Reward Model'!$A$12:$A$14,0))*Z510,2),0)</f>
        <v>1</v>
      </c>
      <c r="AB510" s="2" t="n">
        <f aca="false">IF($I510="Correct",ROUND(INDEX('Reward Model'!$B$12:$B$14,MATCH($Y510,'Reward Model'!$A$12:$A$14,0))*Z510,2),0)</f>
        <v>2</v>
      </c>
    </row>
    <row r="511" customFormat="false" ht="15" hidden="false" customHeight="false" outlineLevel="0" collapsed="false">
      <c r="A511" s="0" t="s">
        <v>177</v>
      </c>
      <c r="B511" s="0" t="s">
        <v>178</v>
      </c>
      <c r="C511" s="0" t="s">
        <v>30</v>
      </c>
      <c r="D511" s="0" t="s">
        <v>31</v>
      </c>
      <c r="E511" s="0" t="n">
        <v>10</v>
      </c>
      <c r="F511" s="0" t="s">
        <v>58</v>
      </c>
      <c r="G511" s="0" t="s">
        <v>99</v>
      </c>
      <c r="H511" s="0" t="s">
        <v>59</v>
      </c>
      <c r="I511" s="0" t="s">
        <v>39</v>
      </c>
      <c r="J511" s="0" t="n">
        <v>2.09</v>
      </c>
      <c r="K511" s="0" t="s">
        <v>60</v>
      </c>
      <c r="L511" s="0" t="n">
        <f aca="false">INDEX(Summary!$F$2:$F$201,MATCH($B511,Summary!$A$2:$A$201,0))</f>
        <v>20</v>
      </c>
      <c r="M511" s="0" t="n">
        <f aca="false">INDEX(Summary!$I$2:$I$201,MATCH($B511,Summary!$A$2:$A$201,0))</f>
        <v>1</v>
      </c>
      <c r="N511" s="0" t="n">
        <f aca="false">INDEX(Summary!$J$2:$J$201,MATCH($B511,Summary!$A$2:$A$201,0))</f>
        <v>4</v>
      </c>
      <c r="O511" s="2" t="n">
        <f aca="false">INDEX(Summary!$K$2:$K$201,MATCH($B511,Summary!$A$2:$A$201,0))</f>
        <v>8.24</v>
      </c>
      <c r="P511" s="3" t="n">
        <f aca="false">INDEX(Summary!$L$2:$L$201,MATCH($B511,Summary!$A$2:$A$201,0))</f>
        <v>4</v>
      </c>
      <c r="Q511" s="3" t="n">
        <f aca="false">INDEX(Summary!$M$2:$M$201,MATCH($B511,Summary!$A$2:$A$201,0))</f>
        <v>2</v>
      </c>
      <c r="R511" s="2" t="n">
        <f aca="false">INDEX(Summary!$N$2:$N$201,MATCH($B511,Summary!$A$2:$A$201,0))</f>
        <v>9.57</v>
      </c>
      <c r="S511" s="3" t="n">
        <f aca="false">INDEX(Summary!$O$2:$O$201,MATCH($B511,Summary!$A$2:$A$201,0))</f>
        <v>8</v>
      </c>
      <c r="T511" s="3" t="n">
        <f aca="false">INDEX(Summary!$P$2:$P$201,MATCH($B511,Summary!$A$2:$A$201,0))</f>
        <v>1</v>
      </c>
      <c r="U511" s="2" t="n">
        <f aca="false">INDEX(Summary!$Q$2:$Q$201,MATCH($B511,Summary!$A$2:$A$201,0))</f>
        <v>14.22</v>
      </c>
      <c r="V511" s="2" t="n">
        <f aca="false">INDEX(Summary!$R$2:$R$201,MATCH($B511,Summary!$A$2:$A$201,0))</f>
        <v>21.6</v>
      </c>
      <c r="W511" s="0" t="str">
        <f aca="false">INDEX(Summary!$S$2:$S$201,MATCH($B511,Summary!$A$2:$A$201,0))</f>
        <v>Silver</v>
      </c>
      <c r="X511" s="2" t="n">
        <f aca="false">INDEX(Summary!$T$2:$T$201,MATCH($B511,Summary!$A$2:$A$201,0))</f>
        <v>52.68</v>
      </c>
      <c r="Y511" s="0" t="str">
        <f aca="false">INDEX('Reward Model'!$E$18:$E$37,MATCH($E511,'Reward Model'!$A$18:$A$37,0))</f>
        <v>Medium</v>
      </c>
      <c r="Z511" s="4" t="n">
        <f aca="false">ROUND(MIN(1,MAX('Reward Model'!$B$2,INDEX('Reward Model'!$C$12:$C$14,MATCH($K511,'Reward Model'!$A$12:$A$14,0))/$J511)),3)</f>
        <v>0.861</v>
      </c>
      <c r="AA511" s="2" t="n">
        <f aca="false">IF($I511="Correct",ROUND(INDEX('Reward Model'!$B$12:$B$14,MATCH($K511,'Reward Model'!$A$12:$A$14,0))*Z511,2),0)</f>
        <v>0</v>
      </c>
      <c r="AB511" s="2" t="n">
        <f aca="false">IF($I511="Correct",ROUND(INDEX('Reward Model'!$B$12:$B$14,MATCH($Y511,'Reward Model'!$A$12:$A$14,0))*Z511,2),0)</f>
        <v>0</v>
      </c>
    </row>
    <row r="512" customFormat="false" ht="15" hidden="false" customHeight="false" outlineLevel="0" collapsed="false">
      <c r="A512" s="0" t="s">
        <v>177</v>
      </c>
      <c r="B512" s="0" t="s">
        <v>178</v>
      </c>
      <c r="C512" s="0" t="s">
        <v>30</v>
      </c>
      <c r="D512" s="0" t="s">
        <v>31</v>
      </c>
      <c r="E512" s="0" t="n">
        <v>11</v>
      </c>
      <c r="F512" s="0" t="s">
        <v>61</v>
      </c>
      <c r="G512" s="0" t="s">
        <v>63</v>
      </c>
      <c r="H512" s="0" t="s">
        <v>63</v>
      </c>
      <c r="I512" s="0" t="s">
        <v>34</v>
      </c>
      <c r="J512" s="0" t="n">
        <v>1.19</v>
      </c>
      <c r="K512" s="0" t="s">
        <v>60</v>
      </c>
      <c r="L512" s="0" t="n">
        <f aca="false">INDEX(Summary!$F$2:$F$201,MATCH($B512,Summary!$A$2:$A$201,0))</f>
        <v>20</v>
      </c>
      <c r="M512" s="0" t="n">
        <f aca="false">INDEX(Summary!$I$2:$I$201,MATCH($B512,Summary!$A$2:$A$201,0))</f>
        <v>1</v>
      </c>
      <c r="N512" s="0" t="n">
        <f aca="false">INDEX(Summary!$J$2:$J$201,MATCH($B512,Summary!$A$2:$A$201,0))</f>
        <v>4</v>
      </c>
      <c r="O512" s="2" t="n">
        <f aca="false">INDEX(Summary!$K$2:$K$201,MATCH($B512,Summary!$A$2:$A$201,0))</f>
        <v>8.24</v>
      </c>
      <c r="P512" s="3" t="n">
        <f aca="false">INDEX(Summary!$L$2:$L$201,MATCH($B512,Summary!$A$2:$A$201,0))</f>
        <v>4</v>
      </c>
      <c r="Q512" s="3" t="n">
        <f aca="false">INDEX(Summary!$M$2:$M$201,MATCH($B512,Summary!$A$2:$A$201,0))</f>
        <v>2</v>
      </c>
      <c r="R512" s="2" t="n">
        <f aca="false">INDEX(Summary!$N$2:$N$201,MATCH($B512,Summary!$A$2:$A$201,0))</f>
        <v>9.57</v>
      </c>
      <c r="S512" s="3" t="n">
        <f aca="false">INDEX(Summary!$O$2:$O$201,MATCH($B512,Summary!$A$2:$A$201,0))</f>
        <v>8</v>
      </c>
      <c r="T512" s="3" t="n">
        <f aca="false">INDEX(Summary!$P$2:$P$201,MATCH($B512,Summary!$A$2:$A$201,0))</f>
        <v>1</v>
      </c>
      <c r="U512" s="2" t="n">
        <f aca="false">INDEX(Summary!$Q$2:$Q$201,MATCH($B512,Summary!$A$2:$A$201,0))</f>
        <v>14.22</v>
      </c>
      <c r="V512" s="2" t="n">
        <f aca="false">INDEX(Summary!$R$2:$R$201,MATCH($B512,Summary!$A$2:$A$201,0))</f>
        <v>21.6</v>
      </c>
      <c r="W512" s="0" t="str">
        <f aca="false">INDEX(Summary!$S$2:$S$201,MATCH($B512,Summary!$A$2:$A$201,0))</f>
        <v>Silver</v>
      </c>
      <c r="X512" s="2" t="n">
        <f aca="false">INDEX(Summary!$T$2:$T$201,MATCH($B512,Summary!$A$2:$A$201,0))</f>
        <v>52.68</v>
      </c>
      <c r="Y512" s="0" t="str">
        <f aca="false">INDEX('Reward Model'!$E$18:$E$37,MATCH($E512,'Reward Model'!$A$18:$A$37,0))</f>
        <v>Medium</v>
      </c>
      <c r="Z512" s="4" t="n">
        <f aca="false">ROUND(MIN(1,MAX('Reward Model'!$B$2,INDEX('Reward Model'!$C$12:$C$14,MATCH($K512,'Reward Model'!$A$12:$A$14,0))/$J512)),3)</f>
        <v>1</v>
      </c>
      <c r="AA512" s="2" t="n">
        <f aca="false">IF($I512="Correct",ROUND(INDEX('Reward Model'!$B$12:$B$14,MATCH($K512,'Reward Model'!$A$12:$A$14,0))*Z512,2),0)</f>
        <v>2</v>
      </c>
      <c r="AB512" s="2" t="n">
        <f aca="false">IF($I512="Correct",ROUND(INDEX('Reward Model'!$B$12:$B$14,MATCH($Y512,'Reward Model'!$A$12:$A$14,0))*Z512,2),0)</f>
        <v>2</v>
      </c>
    </row>
    <row r="513" customFormat="false" ht="15" hidden="false" customHeight="false" outlineLevel="0" collapsed="false">
      <c r="A513" s="0" t="s">
        <v>177</v>
      </c>
      <c r="B513" s="0" t="s">
        <v>178</v>
      </c>
      <c r="C513" s="0" t="s">
        <v>30</v>
      </c>
      <c r="D513" s="0" t="s">
        <v>31</v>
      </c>
      <c r="E513" s="0" t="n">
        <v>12</v>
      </c>
      <c r="F513" s="0" t="s">
        <v>64</v>
      </c>
      <c r="G513" s="0" t="s">
        <v>65</v>
      </c>
      <c r="H513" s="0" t="s">
        <v>65</v>
      </c>
      <c r="I513" s="0" t="s">
        <v>34</v>
      </c>
      <c r="J513" s="0" t="n">
        <v>1.48</v>
      </c>
      <c r="K513" s="0" t="s">
        <v>60</v>
      </c>
      <c r="L513" s="0" t="n">
        <f aca="false">INDEX(Summary!$F$2:$F$201,MATCH($B513,Summary!$A$2:$A$201,0))</f>
        <v>20</v>
      </c>
      <c r="M513" s="0" t="n">
        <f aca="false">INDEX(Summary!$I$2:$I$201,MATCH($B513,Summary!$A$2:$A$201,0))</f>
        <v>1</v>
      </c>
      <c r="N513" s="0" t="n">
        <f aca="false">INDEX(Summary!$J$2:$J$201,MATCH($B513,Summary!$A$2:$A$201,0))</f>
        <v>4</v>
      </c>
      <c r="O513" s="2" t="n">
        <f aca="false">INDEX(Summary!$K$2:$K$201,MATCH($B513,Summary!$A$2:$A$201,0))</f>
        <v>8.24</v>
      </c>
      <c r="P513" s="3" t="n">
        <f aca="false">INDEX(Summary!$L$2:$L$201,MATCH($B513,Summary!$A$2:$A$201,0))</f>
        <v>4</v>
      </c>
      <c r="Q513" s="3" t="n">
        <f aca="false">INDEX(Summary!$M$2:$M$201,MATCH($B513,Summary!$A$2:$A$201,0))</f>
        <v>2</v>
      </c>
      <c r="R513" s="2" t="n">
        <f aca="false">INDEX(Summary!$N$2:$N$201,MATCH($B513,Summary!$A$2:$A$201,0))</f>
        <v>9.57</v>
      </c>
      <c r="S513" s="3" t="n">
        <f aca="false">INDEX(Summary!$O$2:$O$201,MATCH($B513,Summary!$A$2:$A$201,0))</f>
        <v>8</v>
      </c>
      <c r="T513" s="3" t="n">
        <f aca="false">INDEX(Summary!$P$2:$P$201,MATCH($B513,Summary!$A$2:$A$201,0))</f>
        <v>1</v>
      </c>
      <c r="U513" s="2" t="n">
        <f aca="false">INDEX(Summary!$Q$2:$Q$201,MATCH($B513,Summary!$A$2:$A$201,0))</f>
        <v>14.22</v>
      </c>
      <c r="V513" s="2" t="n">
        <f aca="false">INDEX(Summary!$R$2:$R$201,MATCH($B513,Summary!$A$2:$A$201,0))</f>
        <v>21.6</v>
      </c>
      <c r="W513" s="0" t="str">
        <f aca="false">INDEX(Summary!$S$2:$S$201,MATCH($B513,Summary!$A$2:$A$201,0))</f>
        <v>Silver</v>
      </c>
      <c r="X513" s="2" t="n">
        <f aca="false">INDEX(Summary!$T$2:$T$201,MATCH($B513,Summary!$A$2:$A$201,0))</f>
        <v>52.68</v>
      </c>
      <c r="Y513" s="0" t="str">
        <f aca="false">INDEX('Reward Model'!$E$18:$E$37,MATCH($E513,'Reward Model'!$A$18:$A$37,0))</f>
        <v>Medium</v>
      </c>
      <c r="Z513" s="4" t="n">
        <f aca="false">ROUND(MIN(1,MAX('Reward Model'!$B$2,INDEX('Reward Model'!$C$12:$C$14,MATCH($K513,'Reward Model'!$A$12:$A$14,0))/$J513)),3)</f>
        <v>1</v>
      </c>
      <c r="AA513" s="2" t="n">
        <f aca="false">IF($I513="Correct",ROUND(INDEX('Reward Model'!$B$12:$B$14,MATCH($K513,'Reward Model'!$A$12:$A$14,0))*Z513,2),0)</f>
        <v>2</v>
      </c>
      <c r="AB513" s="2" t="n">
        <f aca="false">IF($I513="Correct",ROUND(INDEX('Reward Model'!$B$12:$B$14,MATCH($Y513,'Reward Model'!$A$12:$A$14,0))*Z513,2),0)</f>
        <v>2</v>
      </c>
    </row>
    <row r="514" customFormat="false" ht="15" hidden="false" customHeight="false" outlineLevel="0" collapsed="false">
      <c r="A514" s="0" t="s">
        <v>177</v>
      </c>
      <c r="B514" s="0" t="s">
        <v>178</v>
      </c>
      <c r="C514" s="0" t="s">
        <v>30</v>
      </c>
      <c r="D514" s="0" t="s">
        <v>31</v>
      </c>
      <c r="E514" s="0" t="n">
        <v>13</v>
      </c>
      <c r="F514" s="0" t="s">
        <v>66</v>
      </c>
      <c r="G514" s="0" t="s">
        <v>67</v>
      </c>
      <c r="H514" s="0" t="s">
        <v>67</v>
      </c>
      <c r="I514" s="0" t="s">
        <v>34</v>
      </c>
      <c r="J514" s="0" t="n">
        <v>1.46</v>
      </c>
      <c r="K514" s="0" t="s">
        <v>60</v>
      </c>
      <c r="L514" s="0" t="n">
        <f aca="false">INDEX(Summary!$F$2:$F$201,MATCH($B514,Summary!$A$2:$A$201,0))</f>
        <v>20</v>
      </c>
      <c r="M514" s="0" t="n">
        <f aca="false">INDEX(Summary!$I$2:$I$201,MATCH($B514,Summary!$A$2:$A$201,0))</f>
        <v>1</v>
      </c>
      <c r="N514" s="0" t="n">
        <f aca="false">INDEX(Summary!$J$2:$J$201,MATCH($B514,Summary!$A$2:$A$201,0))</f>
        <v>4</v>
      </c>
      <c r="O514" s="2" t="n">
        <f aca="false">INDEX(Summary!$K$2:$K$201,MATCH($B514,Summary!$A$2:$A$201,0))</f>
        <v>8.24</v>
      </c>
      <c r="P514" s="3" t="n">
        <f aca="false">INDEX(Summary!$L$2:$L$201,MATCH($B514,Summary!$A$2:$A$201,0))</f>
        <v>4</v>
      </c>
      <c r="Q514" s="3" t="n">
        <f aca="false">INDEX(Summary!$M$2:$M$201,MATCH($B514,Summary!$A$2:$A$201,0))</f>
        <v>2</v>
      </c>
      <c r="R514" s="2" t="n">
        <f aca="false">INDEX(Summary!$N$2:$N$201,MATCH($B514,Summary!$A$2:$A$201,0))</f>
        <v>9.57</v>
      </c>
      <c r="S514" s="3" t="n">
        <f aca="false">INDEX(Summary!$O$2:$O$201,MATCH($B514,Summary!$A$2:$A$201,0))</f>
        <v>8</v>
      </c>
      <c r="T514" s="3" t="n">
        <f aca="false">INDEX(Summary!$P$2:$P$201,MATCH($B514,Summary!$A$2:$A$201,0))</f>
        <v>1</v>
      </c>
      <c r="U514" s="2" t="n">
        <f aca="false">INDEX(Summary!$Q$2:$Q$201,MATCH($B514,Summary!$A$2:$A$201,0))</f>
        <v>14.22</v>
      </c>
      <c r="V514" s="2" t="n">
        <f aca="false">INDEX(Summary!$R$2:$R$201,MATCH($B514,Summary!$A$2:$A$201,0))</f>
        <v>21.6</v>
      </c>
      <c r="W514" s="0" t="str">
        <f aca="false">INDEX(Summary!$S$2:$S$201,MATCH($B514,Summary!$A$2:$A$201,0))</f>
        <v>Silver</v>
      </c>
      <c r="X514" s="2" t="n">
        <f aca="false">INDEX(Summary!$T$2:$T$201,MATCH($B514,Summary!$A$2:$A$201,0))</f>
        <v>52.68</v>
      </c>
      <c r="Y514" s="0" t="str">
        <f aca="false">INDEX('Reward Model'!$E$18:$E$37,MATCH($E514,'Reward Model'!$A$18:$A$37,0))</f>
        <v>Medium</v>
      </c>
      <c r="Z514" s="4" t="n">
        <f aca="false">ROUND(MIN(1,MAX('Reward Model'!$B$2,INDEX('Reward Model'!$C$12:$C$14,MATCH($K514,'Reward Model'!$A$12:$A$14,0))/$J514)),3)</f>
        <v>1</v>
      </c>
      <c r="AA514" s="2" t="n">
        <f aca="false">IF($I514="Correct",ROUND(INDEX('Reward Model'!$B$12:$B$14,MATCH($K514,'Reward Model'!$A$12:$A$14,0))*Z514,2),0)</f>
        <v>2</v>
      </c>
      <c r="AB514" s="2" t="n">
        <f aca="false">IF($I514="Correct",ROUND(INDEX('Reward Model'!$B$12:$B$14,MATCH($Y514,'Reward Model'!$A$12:$A$14,0))*Z514,2),0)</f>
        <v>2</v>
      </c>
    </row>
    <row r="515" customFormat="false" ht="15" hidden="false" customHeight="false" outlineLevel="0" collapsed="false">
      <c r="A515" s="0" t="s">
        <v>177</v>
      </c>
      <c r="B515" s="0" t="s">
        <v>178</v>
      </c>
      <c r="C515" s="0" t="s">
        <v>30</v>
      </c>
      <c r="D515" s="0" t="s">
        <v>31</v>
      </c>
      <c r="E515" s="0" t="n">
        <v>14</v>
      </c>
      <c r="F515" s="0" t="s">
        <v>68</v>
      </c>
      <c r="G515" s="0" t="s">
        <v>86</v>
      </c>
      <c r="H515" s="0" t="s">
        <v>51</v>
      </c>
      <c r="I515" s="0" t="s">
        <v>39</v>
      </c>
      <c r="J515" s="0" t="n">
        <v>2.19</v>
      </c>
      <c r="K515" s="0" t="s">
        <v>60</v>
      </c>
      <c r="L515" s="0" t="n">
        <f aca="false">INDEX(Summary!$F$2:$F$201,MATCH($B515,Summary!$A$2:$A$201,0))</f>
        <v>20</v>
      </c>
      <c r="M515" s="0" t="n">
        <f aca="false">INDEX(Summary!$I$2:$I$201,MATCH($B515,Summary!$A$2:$A$201,0))</f>
        <v>1</v>
      </c>
      <c r="N515" s="0" t="n">
        <f aca="false">INDEX(Summary!$J$2:$J$201,MATCH($B515,Summary!$A$2:$A$201,0))</f>
        <v>4</v>
      </c>
      <c r="O515" s="2" t="n">
        <f aca="false">INDEX(Summary!$K$2:$K$201,MATCH($B515,Summary!$A$2:$A$201,0))</f>
        <v>8.24</v>
      </c>
      <c r="P515" s="3" t="n">
        <f aca="false">INDEX(Summary!$L$2:$L$201,MATCH($B515,Summary!$A$2:$A$201,0))</f>
        <v>4</v>
      </c>
      <c r="Q515" s="3" t="n">
        <f aca="false">INDEX(Summary!$M$2:$M$201,MATCH($B515,Summary!$A$2:$A$201,0))</f>
        <v>2</v>
      </c>
      <c r="R515" s="2" t="n">
        <f aca="false">INDEX(Summary!$N$2:$N$201,MATCH($B515,Summary!$A$2:$A$201,0))</f>
        <v>9.57</v>
      </c>
      <c r="S515" s="3" t="n">
        <f aca="false">INDEX(Summary!$O$2:$O$201,MATCH($B515,Summary!$A$2:$A$201,0))</f>
        <v>8</v>
      </c>
      <c r="T515" s="3" t="n">
        <f aca="false">INDEX(Summary!$P$2:$P$201,MATCH($B515,Summary!$A$2:$A$201,0))</f>
        <v>1</v>
      </c>
      <c r="U515" s="2" t="n">
        <f aca="false">INDEX(Summary!$Q$2:$Q$201,MATCH($B515,Summary!$A$2:$A$201,0))</f>
        <v>14.22</v>
      </c>
      <c r="V515" s="2" t="n">
        <f aca="false">INDEX(Summary!$R$2:$R$201,MATCH($B515,Summary!$A$2:$A$201,0))</f>
        <v>21.6</v>
      </c>
      <c r="W515" s="0" t="str">
        <f aca="false">INDEX(Summary!$S$2:$S$201,MATCH($B515,Summary!$A$2:$A$201,0))</f>
        <v>Silver</v>
      </c>
      <c r="X515" s="2" t="n">
        <f aca="false">INDEX(Summary!$T$2:$T$201,MATCH($B515,Summary!$A$2:$A$201,0))</f>
        <v>52.68</v>
      </c>
      <c r="Y515" s="0" t="str">
        <f aca="false">INDEX('Reward Model'!$E$18:$E$37,MATCH($E515,'Reward Model'!$A$18:$A$37,0))</f>
        <v>Medium</v>
      </c>
      <c r="Z515" s="4" t="n">
        <f aca="false">ROUND(MIN(1,MAX('Reward Model'!$B$2,INDEX('Reward Model'!$C$12:$C$14,MATCH($K515,'Reward Model'!$A$12:$A$14,0))/$J515)),3)</f>
        <v>0.822</v>
      </c>
      <c r="AA515" s="2" t="n">
        <f aca="false">IF($I515="Correct",ROUND(INDEX('Reward Model'!$B$12:$B$14,MATCH($K515,'Reward Model'!$A$12:$A$14,0))*Z515,2),0)</f>
        <v>0</v>
      </c>
      <c r="AB515" s="2" t="n">
        <f aca="false">IF($I515="Correct",ROUND(INDEX('Reward Model'!$B$12:$B$14,MATCH($Y515,'Reward Model'!$A$12:$A$14,0))*Z515,2),0)</f>
        <v>0</v>
      </c>
    </row>
    <row r="516" customFormat="false" ht="15" hidden="false" customHeight="false" outlineLevel="0" collapsed="false">
      <c r="A516" s="0" t="s">
        <v>177</v>
      </c>
      <c r="B516" s="0" t="s">
        <v>178</v>
      </c>
      <c r="C516" s="0" t="s">
        <v>30</v>
      </c>
      <c r="D516" s="0" t="s">
        <v>31</v>
      </c>
      <c r="E516" s="0" t="n">
        <v>15</v>
      </c>
      <c r="F516" s="0" t="s">
        <v>69</v>
      </c>
      <c r="G516" s="0" t="s">
        <v>70</v>
      </c>
      <c r="H516" s="0" t="s">
        <v>70</v>
      </c>
      <c r="I516" s="0" t="s">
        <v>34</v>
      </c>
      <c r="J516" s="0" t="n">
        <v>1.16</v>
      </c>
      <c r="K516" s="0" t="s">
        <v>60</v>
      </c>
      <c r="L516" s="0" t="n">
        <f aca="false">INDEX(Summary!$F$2:$F$201,MATCH($B516,Summary!$A$2:$A$201,0))</f>
        <v>20</v>
      </c>
      <c r="M516" s="0" t="n">
        <f aca="false">INDEX(Summary!$I$2:$I$201,MATCH($B516,Summary!$A$2:$A$201,0))</f>
        <v>1</v>
      </c>
      <c r="N516" s="0" t="n">
        <f aca="false">INDEX(Summary!$J$2:$J$201,MATCH($B516,Summary!$A$2:$A$201,0))</f>
        <v>4</v>
      </c>
      <c r="O516" s="2" t="n">
        <f aca="false">INDEX(Summary!$K$2:$K$201,MATCH($B516,Summary!$A$2:$A$201,0))</f>
        <v>8.24</v>
      </c>
      <c r="P516" s="3" t="n">
        <f aca="false">INDEX(Summary!$L$2:$L$201,MATCH($B516,Summary!$A$2:$A$201,0))</f>
        <v>4</v>
      </c>
      <c r="Q516" s="3" t="n">
        <f aca="false">INDEX(Summary!$M$2:$M$201,MATCH($B516,Summary!$A$2:$A$201,0))</f>
        <v>2</v>
      </c>
      <c r="R516" s="2" t="n">
        <f aca="false">INDEX(Summary!$N$2:$N$201,MATCH($B516,Summary!$A$2:$A$201,0))</f>
        <v>9.57</v>
      </c>
      <c r="S516" s="3" t="n">
        <f aca="false">INDEX(Summary!$O$2:$O$201,MATCH($B516,Summary!$A$2:$A$201,0))</f>
        <v>8</v>
      </c>
      <c r="T516" s="3" t="n">
        <f aca="false">INDEX(Summary!$P$2:$P$201,MATCH($B516,Summary!$A$2:$A$201,0))</f>
        <v>1</v>
      </c>
      <c r="U516" s="2" t="n">
        <f aca="false">INDEX(Summary!$Q$2:$Q$201,MATCH($B516,Summary!$A$2:$A$201,0))</f>
        <v>14.22</v>
      </c>
      <c r="V516" s="2" t="n">
        <f aca="false">INDEX(Summary!$R$2:$R$201,MATCH($B516,Summary!$A$2:$A$201,0))</f>
        <v>21.6</v>
      </c>
      <c r="W516" s="0" t="str">
        <f aca="false">INDEX(Summary!$S$2:$S$201,MATCH($B516,Summary!$A$2:$A$201,0))</f>
        <v>Silver</v>
      </c>
      <c r="X516" s="2" t="n">
        <f aca="false">INDEX(Summary!$T$2:$T$201,MATCH($B516,Summary!$A$2:$A$201,0))</f>
        <v>52.68</v>
      </c>
      <c r="Y516" s="0" t="str">
        <f aca="false">INDEX('Reward Model'!$E$18:$E$37,MATCH($E516,'Reward Model'!$A$18:$A$37,0))</f>
        <v>Medium</v>
      </c>
      <c r="Z516" s="4" t="n">
        <f aca="false">ROUND(MIN(1,MAX('Reward Model'!$B$2,INDEX('Reward Model'!$C$12:$C$14,MATCH($K516,'Reward Model'!$A$12:$A$14,0))/$J516)),3)</f>
        <v>1</v>
      </c>
      <c r="AA516" s="2" t="n">
        <f aca="false">IF($I516="Correct",ROUND(INDEX('Reward Model'!$B$12:$B$14,MATCH($K516,'Reward Model'!$A$12:$A$14,0))*Z516,2),0)</f>
        <v>2</v>
      </c>
      <c r="AB516" s="2" t="n">
        <f aca="false">IF($I516="Correct",ROUND(INDEX('Reward Model'!$B$12:$B$14,MATCH($Y516,'Reward Model'!$A$12:$A$14,0))*Z516,2),0)</f>
        <v>2</v>
      </c>
    </row>
    <row r="517" customFormat="false" ht="15" hidden="false" customHeight="false" outlineLevel="0" collapsed="false">
      <c r="A517" s="0" t="s">
        <v>177</v>
      </c>
      <c r="B517" s="0" t="s">
        <v>178</v>
      </c>
      <c r="C517" s="0" t="s">
        <v>30</v>
      </c>
      <c r="D517" s="0" t="s">
        <v>31</v>
      </c>
      <c r="E517" s="0" t="n">
        <v>16</v>
      </c>
      <c r="F517" s="0" t="s">
        <v>71</v>
      </c>
      <c r="G517" s="0" t="s">
        <v>87</v>
      </c>
      <c r="H517" s="0" t="s">
        <v>72</v>
      </c>
      <c r="I517" s="0" t="s">
        <v>39</v>
      </c>
      <c r="J517" s="0" t="n">
        <v>1.61</v>
      </c>
      <c r="K517" s="0" t="s">
        <v>73</v>
      </c>
      <c r="L517" s="0" t="n">
        <f aca="false">INDEX(Summary!$F$2:$F$201,MATCH($B517,Summary!$A$2:$A$201,0))</f>
        <v>20</v>
      </c>
      <c r="M517" s="0" t="n">
        <f aca="false">INDEX(Summary!$I$2:$I$201,MATCH($B517,Summary!$A$2:$A$201,0))</f>
        <v>1</v>
      </c>
      <c r="N517" s="0" t="n">
        <f aca="false">INDEX(Summary!$J$2:$J$201,MATCH($B517,Summary!$A$2:$A$201,0))</f>
        <v>4</v>
      </c>
      <c r="O517" s="2" t="n">
        <f aca="false">INDEX(Summary!$K$2:$K$201,MATCH($B517,Summary!$A$2:$A$201,0))</f>
        <v>8.24</v>
      </c>
      <c r="P517" s="3" t="n">
        <f aca="false">INDEX(Summary!$L$2:$L$201,MATCH($B517,Summary!$A$2:$A$201,0))</f>
        <v>4</v>
      </c>
      <c r="Q517" s="3" t="n">
        <f aca="false">INDEX(Summary!$M$2:$M$201,MATCH($B517,Summary!$A$2:$A$201,0))</f>
        <v>2</v>
      </c>
      <c r="R517" s="2" t="n">
        <f aca="false">INDEX(Summary!$N$2:$N$201,MATCH($B517,Summary!$A$2:$A$201,0))</f>
        <v>9.57</v>
      </c>
      <c r="S517" s="3" t="n">
        <f aca="false">INDEX(Summary!$O$2:$O$201,MATCH($B517,Summary!$A$2:$A$201,0))</f>
        <v>8</v>
      </c>
      <c r="T517" s="3" t="n">
        <f aca="false">INDEX(Summary!$P$2:$P$201,MATCH($B517,Summary!$A$2:$A$201,0))</f>
        <v>1</v>
      </c>
      <c r="U517" s="2" t="n">
        <f aca="false">INDEX(Summary!$Q$2:$Q$201,MATCH($B517,Summary!$A$2:$A$201,0))</f>
        <v>14.22</v>
      </c>
      <c r="V517" s="2" t="n">
        <f aca="false">INDEX(Summary!$R$2:$R$201,MATCH($B517,Summary!$A$2:$A$201,0))</f>
        <v>21.6</v>
      </c>
      <c r="W517" s="0" t="str">
        <f aca="false">INDEX(Summary!$S$2:$S$201,MATCH($B517,Summary!$A$2:$A$201,0))</f>
        <v>Silver</v>
      </c>
      <c r="X517" s="2" t="n">
        <f aca="false">INDEX(Summary!$T$2:$T$201,MATCH($B517,Summary!$A$2:$A$201,0))</f>
        <v>52.68</v>
      </c>
      <c r="Y517" s="0" t="str">
        <f aca="false">INDEX('Reward Model'!$E$18:$E$37,MATCH($E517,'Reward Model'!$A$18:$A$37,0))</f>
        <v>High</v>
      </c>
      <c r="Z517" s="4" t="n">
        <f aca="false">ROUND(MIN(1,MAX('Reward Model'!$B$2,INDEX('Reward Model'!$C$12:$C$14,MATCH($K517,'Reward Model'!$A$12:$A$14,0))/$J517)),3)</f>
        <v>1</v>
      </c>
      <c r="AA517" s="2" t="n">
        <f aca="false">IF($I517="Correct",ROUND(INDEX('Reward Model'!$B$12:$B$14,MATCH($K517,'Reward Model'!$A$12:$A$14,0))*Z517,2),0)</f>
        <v>0</v>
      </c>
      <c r="AB517" s="2" t="n">
        <f aca="false">IF($I517="Correct",ROUND(INDEX('Reward Model'!$B$12:$B$14,MATCH($Y517,'Reward Model'!$A$12:$A$14,0))*Z517,2),0)</f>
        <v>0</v>
      </c>
    </row>
    <row r="518" customFormat="false" ht="15" hidden="false" customHeight="false" outlineLevel="0" collapsed="false">
      <c r="A518" s="0" t="s">
        <v>177</v>
      </c>
      <c r="B518" s="0" t="s">
        <v>178</v>
      </c>
      <c r="C518" s="0" t="s">
        <v>30</v>
      </c>
      <c r="D518" s="0" t="s">
        <v>31</v>
      </c>
      <c r="E518" s="0" t="n">
        <v>17</v>
      </c>
      <c r="F518" s="0" t="s">
        <v>74</v>
      </c>
      <c r="G518" s="0" t="s">
        <v>75</v>
      </c>
      <c r="H518" s="0" t="s">
        <v>75</v>
      </c>
      <c r="I518" s="0" t="s">
        <v>34</v>
      </c>
      <c r="J518" s="0" t="n">
        <v>1.81</v>
      </c>
      <c r="K518" s="0" t="s">
        <v>73</v>
      </c>
      <c r="L518" s="0" t="n">
        <f aca="false">INDEX(Summary!$F$2:$F$201,MATCH($B518,Summary!$A$2:$A$201,0))</f>
        <v>20</v>
      </c>
      <c r="M518" s="0" t="n">
        <f aca="false">INDEX(Summary!$I$2:$I$201,MATCH($B518,Summary!$A$2:$A$201,0))</f>
        <v>1</v>
      </c>
      <c r="N518" s="0" t="n">
        <f aca="false">INDEX(Summary!$J$2:$J$201,MATCH($B518,Summary!$A$2:$A$201,0))</f>
        <v>4</v>
      </c>
      <c r="O518" s="2" t="n">
        <f aca="false">INDEX(Summary!$K$2:$K$201,MATCH($B518,Summary!$A$2:$A$201,0))</f>
        <v>8.24</v>
      </c>
      <c r="P518" s="3" t="n">
        <f aca="false">INDEX(Summary!$L$2:$L$201,MATCH($B518,Summary!$A$2:$A$201,0))</f>
        <v>4</v>
      </c>
      <c r="Q518" s="3" t="n">
        <f aca="false">INDEX(Summary!$M$2:$M$201,MATCH($B518,Summary!$A$2:$A$201,0))</f>
        <v>2</v>
      </c>
      <c r="R518" s="2" t="n">
        <f aca="false">INDEX(Summary!$N$2:$N$201,MATCH($B518,Summary!$A$2:$A$201,0))</f>
        <v>9.57</v>
      </c>
      <c r="S518" s="3" t="n">
        <f aca="false">INDEX(Summary!$O$2:$O$201,MATCH($B518,Summary!$A$2:$A$201,0))</f>
        <v>8</v>
      </c>
      <c r="T518" s="3" t="n">
        <f aca="false">INDEX(Summary!$P$2:$P$201,MATCH($B518,Summary!$A$2:$A$201,0))</f>
        <v>1</v>
      </c>
      <c r="U518" s="2" t="n">
        <f aca="false">INDEX(Summary!$Q$2:$Q$201,MATCH($B518,Summary!$A$2:$A$201,0))</f>
        <v>14.22</v>
      </c>
      <c r="V518" s="2" t="n">
        <f aca="false">INDEX(Summary!$R$2:$R$201,MATCH($B518,Summary!$A$2:$A$201,0))</f>
        <v>21.6</v>
      </c>
      <c r="W518" s="0" t="str">
        <f aca="false">INDEX(Summary!$S$2:$S$201,MATCH($B518,Summary!$A$2:$A$201,0))</f>
        <v>Silver</v>
      </c>
      <c r="X518" s="2" t="n">
        <f aca="false">INDEX(Summary!$T$2:$T$201,MATCH($B518,Summary!$A$2:$A$201,0))</f>
        <v>52.68</v>
      </c>
      <c r="Y518" s="0" t="str">
        <f aca="false">INDEX('Reward Model'!$E$18:$E$37,MATCH($E518,'Reward Model'!$A$18:$A$37,0))</f>
        <v>High</v>
      </c>
      <c r="Z518" s="4" t="n">
        <f aca="false">ROUND(MIN(1,MAX('Reward Model'!$B$2,INDEX('Reward Model'!$C$12:$C$14,MATCH($K518,'Reward Model'!$A$12:$A$14,0))/$J518)),3)</f>
        <v>1</v>
      </c>
      <c r="AA518" s="2" t="n">
        <f aca="false">IF($I518="Correct",ROUND(INDEX('Reward Model'!$B$12:$B$14,MATCH($K518,'Reward Model'!$A$12:$A$14,0))*Z518,2),0)</f>
        <v>3</v>
      </c>
      <c r="AB518" s="2" t="n">
        <f aca="false">IF($I518="Correct",ROUND(INDEX('Reward Model'!$B$12:$B$14,MATCH($Y518,'Reward Model'!$A$12:$A$14,0))*Z518,2),0)</f>
        <v>3</v>
      </c>
    </row>
    <row r="519" customFormat="false" ht="15" hidden="false" customHeight="false" outlineLevel="0" collapsed="false">
      <c r="A519" s="0" t="s">
        <v>177</v>
      </c>
      <c r="B519" s="0" t="s">
        <v>178</v>
      </c>
      <c r="C519" s="0" t="s">
        <v>30</v>
      </c>
      <c r="D519" s="0" t="s">
        <v>31</v>
      </c>
      <c r="E519" s="0" t="n">
        <v>18</v>
      </c>
      <c r="F519" s="0" t="s">
        <v>76</v>
      </c>
      <c r="G519" s="0" t="s">
        <v>56</v>
      </c>
      <c r="H519" s="0" t="s">
        <v>77</v>
      </c>
      <c r="I519" s="0" t="s">
        <v>39</v>
      </c>
      <c r="J519" s="0" t="n">
        <v>2.12</v>
      </c>
      <c r="K519" s="0" t="s">
        <v>73</v>
      </c>
      <c r="L519" s="0" t="n">
        <f aca="false">INDEX(Summary!$F$2:$F$201,MATCH($B519,Summary!$A$2:$A$201,0))</f>
        <v>20</v>
      </c>
      <c r="M519" s="0" t="n">
        <f aca="false">INDEX(Summary!$I$2:$I$201,MATCH($B519,Summary!$A$2:$A$201,0))</f>
        <v>1</v>
      </c>
      <c r="N519" s="0" t="n">
        <f aca="false">INDEX(Summary!$J$2:$J$201,MATCH($B519,Summary!$A$2:$A$201,0))</f>
        <v>4</v>
      </c>
      <c r="O519" s="2" t="n">
        <f aca="false">INDEX(Summary!$K$2:$K$201,MATCH($B519,Summary!$A$2:$A$201,0))</f>
        <v>8.24</v>
      </c>
      <c r="P519" s="3" t="n">
        <f aca="false">INDEX(Summary!$L$2:$L$201,MATCH($B519,Summary!$A$2:$A$201,0))</f>
        <v>4</v>
      </c>
      <c r="Q519" s="3" t="n">
        <f aca="false">INDEX(Summary!$M$2:$M$201,MATCH($B519,Summary!$A$2:$A$201,0))</f>
        <v>2</v>
      </c>
      <c r="R519" s="2" t="n">
        <f aca="false">INDEX(Summary!$N$2:$N$201,MATCH($B519,Summary!$A$2:$A$201,0))</f>
        <v>9.57</v>
      </c>
      <c r="S519" s="3" t="n">
        <f aca="false">INDEX(Summary!$O$2:$O$201,MATCH($B519,Summary!$A$2:$A$201,0))</f>
        <v>8</v>
      </c>
      <c r="T519" s="3" t="n">
        <f aca="false">INDEX(Summary!$P$2:$P$201,MATCH($B519,Summary!$A$2:$A$201,0))</f>
        <v>1</v>
      </c>
      <c r="U519" s="2" t="n">
        <f aca="false">INDEX(Summary!$Q$2:$Q$201,MATCH($B519,Summary!$A$2:$A$201,0))</f>
        <v>14.22</v>
      </c>
      <c r="V519" s="2" t="n">
        <f aca="false">INDEX(Summary!$R$2:$R$201,MATCH($B519,Summary!$A$2:$A$201,0))</f>
        <v>21.6</v>
      </c>
      <c r="W519" s="0" t="str">
        <f aca="false">INDEX(Summary!$S$2:$S$201,MATCH($B519,Summary!$A$2:$A$201,0))</f>
        <v>Silver</v>
      </c>
      <c r="X519" s="2" t="n">
        <f aca="false">INDEX(Summary!$T$2:$T$201,MATCH($B519,Summary!$A$2:$A$201,0))</f>
        <v>52.68</v>
      </c>
      <c r="Y519" s="0" t="str">
        <f aca="false">INDEX('Reward Model'!$E$18:$E$37,MATCH($E519,'Reward Model'!$A$18:$A$37,0))</f>
        <v>High</v>
      </c>
      <c r="Z519" s="4" t="n">
        <f aca="false">ROUND(MIN(1,MAX('Reward Model'!$B$2,INDEX('Reward Model'!$C$12:$C$14,MATCH($K519,'Reward Model'!$A$12:$A$14,0))/$J519)),3)</f>
        <v>0.943</v>
      </c>
      <c r="AA519" s="2" t="n">
        <f aca="false">IF($I519="Correct",ROUND(INDEX('Reward Model'!$B$12:$B$14,MATCH($K519,'Reward Model'!$A$12:$A$14,0))*Z519,2),0)</f>
        <v>0</v>
      </c>
      <c r="AB519" s="2" t="n">
        <f aca="false">IF($I519="Correct",ROUND(INDEX('Reward Model'!$B$12:$B$14,MATCH($Y519,'Reward Model'!$A$12:$A$14,0))*Z519,2),0)</f>
        <v>0</v>
      </c>
    </row>
    <row r="520" customFormat="false" ht="15" hidden="false" customHeight="false" outlineLevel="0" collapsed="false">
      <c r="A520" s="0" t="s">
        <v>177</v>
      </c>
      <c r="B520" s="0" t="s">
        <v>178</v>
      </c>
      <c r="C520" s="0" t="s">
        <v>30</v>
      </c>
      <c r="D520" s="0" t="s">
        <v>31</v>
      </c>
      <c r="E520" s="0" t="n">
        <v>19</v>
      </c>
      <c r="F520" s="0" t="s">
        <v>78</v>
      </c>
      <c r="G520" s="0" t="s">
        <v>79</v>
      </c>
      <c r="H520" s="0" t="s">
        <v>80</v>
      </c>
      <c r="I520" s="0" t="s">
        <v>39</v>
      </c>
      <c r="J520" s="0" t="n">
        <v>1.22</v>
      </c>
      <c r="K520" s="0" t="s">
        <v>73</v>
      </c>
      <c r="L520" s="0" t="n">
        <f aca="false">INDEX(Summary!$F$2:$F$201,MATCH($B520,Summary!$A$2:$A$201,0))</f>
        <v>20</v>
      </c>
      <c r="M520" s="0" t="n">
        <f aca="false">INDEX(Summary!$I$2:$I$201,MATCH($B520,Summary!$A$2:$A$201,0))</f>
        <v>1</v>
      </c>
      <c r="N520" s="0" t="n">
        <f aca="false">INDEX(Summary!$J$2:$J$201,MATCH($B520,Summary!$A$2:$A$201,0))</f>
        <v>4</v>
      </c>
      <c r="O520" s="2" t="n">
        <f aca="false">INDEX(Summary!$K$2:$K$201,MATCH($B520,Summary!$A$2:$A$201,0))</f>
        <v>8.24</v>
      </c>
      <c r="P520" s="3" t="n">
        <f aca="false">INDEX(Summary!$L$2:$L$201,MATCH($B520,Summary!$A$2:$A$201,0))</f>
        <v>4</v>
      </c>
      <c r="Q520" s="3" t="n">
        <f aca="false">INDEX(Summary!$M$2:$M$201,MATCH($B520,Summary!$A$2:$A$201,0))</f>
        <v>2</v>
      </c>
      <c r="R520" s="2" t="n">
        <f aca="false">INDEX(Summary!$N$2:$N$201,MATCH($B520,Summary!$A$2:$A$201,0))</f>
        <v>9.57</v>
      </c>
      <c r="S520" s="3" t="n">
        <f aca="false">INDEX(Summary!$O$2:$O$201,MATCH($B520,Summary!$A$2:$A$201,0))</f>
        <v>8</v>
      </c>
      <c r="T520" s="3" t="n">
        <f aca="false">INDEX(Summary!$P$2:$P$201,MATCH($B520,Summary!$A$2:$A$201,0))</f>
        <v>1</v>
      </c>
      <c r="U520" s="2" t="n">
        <f aca="false">INDEX(Summary!$Q$2:$Q$201,MATCH($B520,Summary!$A$2:$A$201,0))</f>
        <v>14.22</v>
      </c>
      <c r="V520" s="2" t="n">
        <f aca="false">INDEX(Summary!$R$2:$R$201,MATCH($B520,Summary!$A$2:$A$201,0))</f>
        <v>21.6</v>
      </c>
      <c r="W520" s="0" t="str">
        <f aca="false">INDEX(Summary!$S$2:$S$201,MATCH($B520,Summary!$A$2:$A$201,0))</f>
        <v>Silver</v>
      </c>
      <c r="X520" s="2" t="n">
        <f aca="false">INDEX(Summary!$T$2:$T$201,MATCH($B520,Summary!$A$2:$A$201,0))</f>
        <v>52.68</v>
      </c>
      <c r="Y520" s="0" t="str">
        <f aca="false">INDEX('Reward Model'!$E$18:$E$37,MATCH($E520,'Reward Model'!$A$18:$A$37,0))</f>
        <v>High</v>
      </c>
      <c r="Z520" s="4" t="n">
        <f aca="false">ROUND(MIN(1,MAX('Reward Model'!$B$2,INDEX('Reward Model'!$C$12:$C$14,MATCH($K520,'Reward Model'!$A$12:$A$14,0))/$J520)),3)</f>
        <v>1</v>
      </c>
      <c r="AA520" s="2" t="n">
        <f aca="false">IF($I520="Correct",ROUND(INDEX('Reward Model'!$B$12:$B$14,MATCH($K520,'Reward Model'!$A$12:$A$14,0))*Z520,2),0)</f>
        <v>0</v>
      </c>
      <c r="AB520" s="2" t="n">
        <f aca="false">IF($I520="Correct",ROUND(INDEX('Reward Model'!$B$12:$B$14,MATCH($Y520,'Reward Model'!$A$12:$A$14,0))*Z520,2),0)</f>
        <v>0</v>
      </c>
    </row>
    <row r="521" customFormat="false" ht="15" hidden="false" customHeight="false" outlineLevel="0" collapsed="false">
      <c r="A521" s="0" t="s">
        <v>177</v>
      </c>
      <c r="B521" s="0" t="s">
        <v>178</v>
      </c>
      <c r="C521" s="0" t="s">
        <v>30</v>
      </c>
      <c r="D521" s="0" t="s">
        <v>31</v>
      </c>
      <c r="E521" s="0" t="n">
        <v>20</v>
      </c>
      <c r="F521" s="0" t="s">
        <v>81</v>
      </c>
      <c r="G521" s="0" t="s">
        <v>82</v>
      </c>
      <c r="H521" s="0" t="s">
        <v>83</v>
      </c>
      <c r="I521" s="0" t="s">
        <v>39</v>
      </c>
      <c r="J521" s="0" t="n">
        <v>1.48</v>
      </c>
      <c r="K521" s="0" t="s">
        <v>73</v>
      </c>
      <c r="L521" s="0" t="n">
        <f aca="false">INDEX(Summary!$F$2:$F$201,MATCH($B521,Summary!$A$2:$A$201,0))</f>
        <v>20</v>
      </c>
      <c r="M521" s="0" t="n">
        <f aca="false">INDEX(Summary!$I$2:$I$201,MATCH($B521,Summary!$A$2:$A$201,0))</f>
        <v>1</v>
      </c>
      <c r="N521" s="0" t="n">
        <f aca="false">INDEX(Summary!$J$2:$J$201,MATCH($B521,Summary!$A$2:$A$201,0))</f>
        <v>4</v>
      </c>
      <c r="O521" s="2" t="n">
        <f aca="false">INDEX(Summary!$K$2:$K$201,MATCH($B521,Summary!$A$2:$A$201,0))</f>
        <v>8.24</v>
      </c>
      <c r="P521" s="3" t="n">
        <f aca="false">INDEX(Summary!$L$2:$L$201,MATCH($B521,Summary!$A$2:$A$201,0))</f>
        <v>4</v>
      </c>
      <c r="Q521" s="3" t="n">
        <f aca="false">INDEX(Summary!$M$2:$M$201,MATCH($B521,Summary!$A$2:$A$201,0))</f>
        <v>2</v>
      </c>
      <c r="R521" s="2" t="n">
        <f aca="false">INDEX(Summary!$N$2:$N$201,MATCH($B521,Summary!$A$2:$A$201,0))</f>
        <v>9.57</v>
      </c>
      <c r="S521" s="3" t="n">
        <f aca="false">INDEX(Summary!$O$2:$O$201,MATCH($B521,Summary!$A$2:$A$201,0))</f>
        <v>8</v>
      </c>
      <c r="T521" s="3" t="n">
        <f aca="false">INDEX(Summary!$P$2:$P$201,MATCH($B521,Summary!$A$2:$A$201,0))</f>
        <v>1</v>
      </c>
      <c r="U521" s="2" t="n">
        <f aca="false">INDEX(Summary!$Q$2:$Q$201,MATCH($B521,Summary!$A$2:$A$201,0))</f>
        <v>14.22</v>
      </c>
      <c r="V521" s="2" t="n">
        <f aca="false">INDEX(Summary!$R$2:$R$201,MATCH($B521,Summary!$A$2:$A$201,0))</f>
        <v>21.6</v>
      </c>
      <c r="W521" s="0" t="str">
        <f aca="false">INDEX(Summary!$S$2:$S$201,MATCH($B521,Summary!$A$2:$A$201,0))</f>
        <v>Silver</v>
      </c>
      <c r="X521" s="2" t="n">
        <f aca="false">INDEX(Summary!$T$2:$T$201,MATCH($B521,Summary!$A$2:$A$201,0))</f>
        <v>52.68</v>
      </c>
      <c r="Y521" s="0" t="str">
        <f aca="false">INDEX('Reward Model'!$E$18:$E$37,MATCH($E521,'Reward Model'!$A$18:$A$37,0))</f>
        <v>High</v>
      </c>
      <c r="Z521" s="4" t="n">
        <f aca="false">ROUND(MIN(1,MAX('Reward Model'!$B$2,INDEX('Reward Model'!$C$12:$C$14,MATCH($K521,'Reward Model'!$A$12:$A$14,0))/$J521)),3)</f>
        <v>1</v>
      </c>
      <c r="AA521" s="2" t="n">
        <f aca="false">IF($I521="Correct",ROUND(INDEX('Reward Model'!$B$12:$B$14,MATCH($K521,'Reward Model'!$A$12:$A$14,0))*Z521,2),0)</f>
        <v>0</v>
      </c>
      <c r="AB521" s="2" t="n">
        <f aca="false">IF($I521="Correct",ROUND(INDEX('Reward Model'!$B$12:$B$14,MATCH($Y521,'Reward Model'!$A$12:$A$14,0))*Z521,2),0)</f>
        <v>0</v>
      </c>
    </row>
    <row r="522" customFormat="false" ht="15" hidden="false" customHeight="false" outlineLevel="0" collapsed="false">
      <c r="A522" s="0" t="s">
        <v>179</v>
      </c>
      <c r="B522" s="0" t="s">
        <v>180</v>
      </c>
      <c r="C522" s="0" t="s">
        <v>30</v>
      </c>
      <c r="D522" s="0" t="s">
        <v>31</v>
      </c>
      <c r="E522" s="0" t="n">
        <v>1</v>
      </c>
      <c r="F522" s="0" t="s">
        <v>32</v>
      </c>
      <c r="G522" s="0" t="s">
        <v>33</v>
      </c>
      <c r="H522" s="0" t="s">
        <v>33</v>
      </c>
      <c r="I522" s="0" t="s">
        <v>34</v>
      </c>
      <c r="J522" s="0" t="n">
        <v>1.6</v>
      </c>
      <c r="K522" s="0" t="s">
        <v>35</v>
      </c>
      <c r="L522" s="0" t="n">
        <f aca="false">INDEX(Summary!$F$2:$F$201,MATCH($B522,Summary!$A$2:$A$201,0))</f>
        <v>20</v>
      </c>
      <c r="M522" s="0" t="n">
        <f aca="false">INDEX(Summary!$I$2:$I$201,MATCH($B522,Summary!$A$2:$A$201,0))</f>
        <v>3</v>
      </c>
      <c r="N522" s="0" t="n">
        <f aca="false">INDEX(Summary!$J$2:$J$201,MATCH($B522,Summary!$A$2:$A$201,0))</f>
        <v>2</v>
      </c>
      <c r="O522" s="2" t="n">
        <f aca="false">INDEX(Summary!$K$2:$K$201,MATCH($B522,Summary!$A$2:$A$201,0))</f>
        <v>9.67</v>
      </c>
      <c r="P522" s="3" t="n">
        <f aca="false">INDEX(Summary!$L$2:$L$201,MATCH($B522,Summary!$A$2:$A$201,0))</f>
        <v>5</v>
      </c>
      <c r="Q522" s="3" t="n">
        <f aca="false">INDEX(Summary!$M$2:$M$201,MATCH($B522,Summary!$A$2:$A$201,0))</f>
        <v>1</v>
      </c>
      <c r="R522" s="2" t="n">
        <f aca="false">INDEX(Summary!$N$2:$N$201,MATCH($B522,Summary!$A$2:$A$201,0))</f>
        <v>9.91</v>
      </c>
      <c r="S522" s="3" t="n">
        <f aca="false">INDEX(Summary!$O$2:$O$201,MATCH($B522,Summary!$A$2:$A$201,0))</f>
        <v>8</v>
      </c>
      <c r="T522" s="3" t="n">
        <f aca="false">INDEX(Summary!$P$2:$P$201,MATCH($B522,Summary!$A$2:$A$201,0))</f>
        <v>1</v>
      </c>
      <c r="U522" s="2" t="n">
        <f aca="false">INDEX(Summary!$Q$2:$Q$201,MATCH($B522,Summary!$A$2:$A$201,0))</f>
        <v>13.15</v>
      </c>
      <c r="V522" s="2" t="n">
        <f aca="false">INDEX(Summary!$R$2:$R$201,MATCH($B522,Summary!$A$2:$A$201,0))</f>
        <v>29.92</v>
      </c>
      <c r="W522" s="0" t="str">
        <f aca="false">INDEX(Summary!$S$2:$S$201,MATCH($B522,Summary!$A$2:$A$201,0))</f>
        <v>Gold</v>
      </c>
      <c r="X522" s="2" t="n">
        <f aca="false">INDEX(Summary!$T$2:$T$201,MATCH($B522,Summary!$A$2:$A$201,0))</f>
        <v>72.98</v>
      </c>
      <c r="Y522" s="0" t="str">
        <f aca="false">INDEX('Reward Model'!$E$18:$E$37,MATCH($E522,'Reward Model'!$A$18:$A$37,0))</f>
        <v>Medium</v>
      </c>
      <c r="Z522" s="4" t="n">
        <f aca="false">ROUND(MIN(1,MAX('Reward Model'!$B$2,INDEX('Reward Model'!$C$12:$C$14,MATCH($K522,'Reward Model'!$A$12:$A$14,0))/$J522)),3)</f>
        <v>0.938</v>
      </c>
      <c r="AA522" s="2" t="n">
        <f aca="false">IF($I522="Correct",ROUND(INDEX('Reward Model'!$B$12:$B$14,MATCH($K522,'Reward Model'!$A$12:$A$14,0))*Z522,2),0)</f>
        <v>0.94</v>
      </c>
      <c r="AB522" s="2" t="n">
        <f aca="false">IF($I522="Correct",ROUND(INDEX('Reward Model'!$B$12:$B$14,MATCH($Y522,'Reward Model'!$A$12:$A$14,0))*Z522,2),0)</f>
        <v>1.88</v>
      </c>
    </row>
    <row r="523" customFormat="false" ht="15" hidden="false" customHeight="false" outlineLevel="0" collapsed="false">
      <c r="A523" s="0" t="s">
        <v>179</v>
      </c>
      <c r="B523" s="0" t="s">
        <v>180</v>
      </c>
      <c r="C523" s="0" t="s">
        <v>30</v>
      </c>
      <c r="D523" s="0" t="s">
        <v>31</v>
      </c>
      <c r="E523" s="0" t="n">
        <v>2</v>
      </c>
      <c r="F523" s="0" t="s">
        <v>36</v>
      </c>
      <c r="G523" s="0" t="s">
        <v>94</v>
      </c>
      <c r="H523" s="0" t="s">
        <v>38</v>
      </c>
      <c r="I523" s="0" t="s">
        <v>39</v>
      </c>
      <c r="J523" s="0" t="n">
        <v>1.38</v>
      </c>
      <c r="K523" s="0" t="s">
        <v>35</v>
      </c>
      <c r="L523" s="0" t="n">
        <f aca="false">INDEX(Summary!$F$2:$F$201,MATCH($B523,Summary!$A$2:$A$201,0))</f>
        <v>20</v>
      </c>
      <c r="M523" s="0" t="n">
        <f aca="false">INDEX(Summary!$I$2:$I$201,MATCH($B523,Summary!$A$2:$A$201,0))</f>
        <v>3</v>
      </c>
      <c r="N523" s="0" t="n">
        <f aca="false">INDEX(Summary!$J$2:$J$201,MATCH($B523,Summary!$A$2:$A$201,0))</f>
        <v>2</v>
      </c>
      <c r="O523" s="2" t="n">
        <f aca="false">INDEX(Summary!$K$2:$K$201,MATCH($B523,Summary!$A$2:$A$201,0))</f>
        <v>9.67</v>
      </c>
      <c r="P523" s="3" t="n">
        <f aca="false">INDEX(Summary!$L$2:$L$201,MATCH($B523,Summary!$A$2:$A$201,0))</f>
        <v>5</v>
      </c>
      <c r="Q523" s="3" t="n">
        <f aca="false">INDEX(Summary!$M$2:$M$201,MATCH($B523,Summary!$A$2:$A$201,0))</f>
        <v>1</v>
      </c>
      <c r="R523" s="2" t="n">
        <f aca="false">INDEX(Summary!$N$2:$N$201,MATCH($B523,Summary!$A$2:$A$201,0))</f>
        <v>9.91</v>
      </c>
      <c r="S523" s="3" t="n">
        <f aca="false">INDEX(Summary!$O$2:$O$201,MATCH($B523,Summary!$A$2:$A$201,0))</f>
        <v>8</v>
      </c>
      <c r="T523" s="3" t="n">
        <f aca="false">INDEX(Summary!$P$2:$P$201,MATCH($B523,Summary!$A$2:$A$201,0))</f>
        <v>1</v>
      </c>
      <c r="U523" s="2" t="n">
        <f aca="false">INDEX(Summary!$Q$2:$Q$201,MATCH($B523,Summary!$A$2:$A$201,0))</f>
        <v>13.15</v>
      </c>
      <c r="V523" s="2" t="n">
        <f aca="false">INDEX(Summary!$R$2:$R$201,MATCH($B523,Summary!$A$2:$A$201,0))</f>
        <v>29.92</v>
      </c>
      <c r="W523" s="0" t="str">
        <f aca="false">INDEX(Summary!$S$2:$S$201,MATCH($B523,Summary!$A$2:$A$201,0))</f>
        <v>Gold</v>
      </c>
      <c r="X523" s="2" t="n">
        <f aca="false">INDEX(Summary!$T$2:$T$201,MATCH($B523,Summary!$A$2:$A$201,0))</f>
        <v>72.98</v>
      </c>
      <c r="Y523" s="0" t="str">
        <f aca="false">INDEX('Reward Model'!$E$18:$E$37,MATCH($E523,'Reward Model'!$A$18:$A$37,0))</f>
        <v>Low</v>
      </c>
      <c r="Z523" s="4" t="n">
        <f aca="false">ROUND(MIN(1,MAX('Reward Model'!$B$2,INDEX('Reward Model'!$C$12:$C$14,MATCH($K523,'Reward Model'!$A$12:$A$14,0))/$J523)),3)</f>
        <v>1</v>
      </c>
      <c r="AA523" s="2" t="n">
        <f aca="false">IF($I523="Correct",ROUND(INDEX('Reward Model'!$B$12:$B$14,MATCH($K523,'Reward Model'!$A$12:$A$14,0))*Z523,2),0)</f>
        <v>0</v>
      </c>
      <c r="AB523" s="2" t="n">
        <f aca="false">IF($I523="Correct",ROUND(INDEX('Reward Model'!$B$12:$B$14,MATCH($Y523,'Reward Model'!$A$12:$A$14,0))*Z523,2),0)</f>
        <v>0</v>
      </c>
    </row>
    <row r="524" customFormat="false" ht="15" hidden="false" customHeight="false" outlineLevel="0" collapsed="false">
      <c r="A524" s="0" t="s">
        <v>179</v>
      </c>
      <c r="B524" s="0" t="s">
        <v>180</v>
      </c>
      <c r="C524" s="0" t="s">
        <v>30</v>
      </c>
      <c r="D524" s="0" t="s">
        <v>31</v>
      </c>
      <c r="E524" s="0" t="n">
        <v>3</v>
      </c>
      <c r="F524" s="0" t="s">
        <v>40</v>
      </c>
      <c r="G524" s="0" t="s">
        <v>42</v>
      </c>
      <c r="H524" s="0" t="s">
        <v>42</v>
      </c>
      <c r="I524" s="0" t="s">
        <v>34</v>
      </c>
      <c r="J524" s="0" t="n">
        <v>1.93</v>
      </c>
      <c r="K524" s="0" t="s">
        <v>35</v>
      </c>
      <c r="L524" s="0" t="n">
        <f aca="false">INDEX(Summary!$F$2:$F$201,MATCH($B524,Summary!$A$2:$A$201,0))</f>
        <v>20</v>
      </c>
      <c r="M524" s="0" t="n">
        <f aca="false">INDEX(Summary!$I$2:$I$201,MATCH($B524,Summary!$A$2:$A$201,0))</f>
        <v>3</v>
      </c>
      <c r="N524" s="0" t="n">
        <f aca="false">INDEX(Summary!$J$2:$J$201,MATCH($B524,Summary!$A$2:$A$201,0))</f>
        <v>2</v>
      </c>
      <c r="O524" s="2" t="n">
        <f aca="false">INDEX(Summary!$K$2:$K$201,MATCH($B524,Summary!$A$2:$A$201,0))</f>
        <v>9.67</v>
      </c>
      <c r="P524" s="3" t="n">
        <f aca="false">INDEX(Summary!$L$2:$L$201,MATCH($B524,Summary!$A$2:$A$201,0))</f>
        <v>5</v>
      </c>
      <c r="Q524" s="3" t="n">
        <f aca="false">INDEX(Summary!$M$2:$M$201,MATCH($B524,Summary!$A$2:$A$201,0))</f>
        <v>1</v>
      </c>
      <c r="R524" s="2" t="n">
        <f aca="false">INDEX(Summary!$N$2:$N$201,MATCH($B524,Summary!$A$2:$A$201,0))</f>
        <v>9.91</v>
      </c>
      <c r="S524" s="3" t="n">
        <f aca="false">INDEX(Summary!$O$2:$O$201,MATCH($B524,Summary!$A$2:$A$201,0))</f>
        <v>8</v>
      </c>
      <c r="T524" s="3" t="n">
        <f aca="false">INDEX(Summary!$P$2:$P$201,MATCH($B524,Summary!$A$2:$A$201,0))</f>
        <v>1</v>
      </c>
      <c r="U524" s="2" t="n">
        <f aca="false">INDEX(Summary!$Q$2:$Q$201,MATCH($B524,Summary!$A$2:$A$201,0))</f>
        <v>13.15</v>
      </c>
      <c r="V524" s="2" t="n">
        <f aca="false">INDEX(Summary!$R$2:$R$201,MATCH($B524,Summary!$A$2:$A$201,0))</f>
        <v>29.92</v>
      </c>
      <c r="W524" s="0" t="str">
        <f aca="false">INDEX(Summary!$S$2:$S$201,MATCH($B524,Summary!$A$2:$A$201,0))</f>
        <v>Gold</v>
      </c>
      <c r="X524" s="2" t="n">
        <f aca="false">INDEX(Summary!$T$2:$T$201,MATCH($B524,Summary!$A$2:$A$201,0))</f>
        <v>72.98</v>
      </c>
      <c r="Y524" s="0" t="str">
        <f aca="false">INDEX('Reward Model'!$E$18:$E$37,MATCH($E524,'Reward Model'!$A$18:$A$37,0))</f>
        <v>Medium</v>
      </c>
      <c r="Z524" s="4" t="n">
        <f aca="false">ROUND(MIN(1,MAX('Reward Model'!$B$2,INDEX('Reward Model'!$C$12:$C$14,MATCH($K524,'Reward Model'!$A$12:$A$14,0))/$J524)),3)</f>
        <v>0.777</v>
      </c>
      <c r="AA524" s="2" t="n">
        <f aca="false">IF($I524="Correct",ROUND(INDEX('Reward Model'!$B$12:$B$14,MATCH($K524,'Reward Model'!$A$12:$A$14,0))*Z524,2),0)</f>
        <v>0.78</v>
      </c>
      <c r="AB524" s="2" t="n">
        <f aca="false">IF($I524="Correct",ROUND(INDEX('Reward Model'!$B$12:$B$14,MATCH($Y524,'Reward Model'!$A$12:$A$14,0))*Z524,2),0)</f>
        <v>1.55</v>
      </c>
    </row>
    <row r="525" customFormat="false" ht="15" hidden="false" customHeight="false" outlineLevel="0" collapsed="false">
      <c r="A525" s="0" t="s">
        <v>179</v>
      </c>
      <c r="B525" s="0" t="s">
        <v>180</v>
      </c>
      <c r="C525" s="0" t="s">
        <v>30</v>
      </c>
      <c r="D525" s="0" t="s">
        <v>31</v>
      </c>
      <c r="E525" s="0" t="n">
        <v>4</v>
      </c>
      <c r="F525" s="0" t="s">
        <v>43</v>
      </c>
      <c r="G525" s="0" t="s">
        <v>45</v>
      </c>
      <c r="H525" s="0" t="s">
        <v>45</v>
      </c>
      <c r="I525" s="0" t="s">
        <v>34</v>
      </c>
      <c r="J525" s="0" t="n">
        <v>0.96</v>
      </c>
      <c r="K525" s="0" t="s">
        <v>35</v>
      </c>
      <c r="L525" s="0" t="n">
        <f aca="false">INDEX(Summary!$F$2:$F$201,MATCH($B525,Summary!$A$2:$A$201,0))</f>
        <v>20</v>
      </c>
      <c r="M525" s="0" t="n">
        <f aca="false">INDEX(Summary!$I$2:$I$201,MATCH($B525,Summary!$A$2:$A$201,0))</f>
        <v>3</v>
      </c>
      <c r="N525" s="0" t="n">
        <f aca="false">INDEX(Summary!$J$2:$J$201,MATCH($B525,Summary!$A$2:$A$201,0))</f>
        <v>2</v>
      </c>
      <c r="O525" s="2" t="n">
        <f aca="false">INDEX(Summary!$K$2:$K$201,MATCH($B525,Summary!$A$2:$A$201,0))</f>
        <v>9.67</v>
      </c>
      <c r="P525" s="3" t="n">
        <f aca="false">INDEX(Summary!$L$2:$L$201,MATCH($B525,Summary!$A$2:$A$201,0))</f>
        <v>5</v>
      </c>
      <c r="Q525" s="3" t="n">
        <f aca="false">INDEX(Summary!$M$2:$M$201,MATCH($B525,Summary!$A$2:$A$201,0))</f>
        <v>1</v>
      </c>
      <c r="R525" s="2" t="n">
        <f aca="false">INDEX(Summary!$N$2:$N$201,MATCH($B525,Summary!$A$2:$A$201,0))</f>
        <v>9.91</v>
      </c>
      <c r="S525" s="3" t="n">
        <f aca="false">INDEX(Summary!$O$2:$O$201,MATCH($B525,Summary!$A$2:$A$201,0))</f>
        <v>8</v>
      </c>
      <c r="T525" s="3" t="n">
        <f aca="false">INDEX(Summary!$P$2:$P$201,MATCH($B525,Summary!$A$2:$A$201,0))</f>
        <v>1</v>
      </c>
      <c r="U525" s="2" t="n">
        <f aca="false">INDEX(Summary!$Q$2:$Q$201,MATCH($B525,Summary!$A$2:$A$201,0))</f>
        <v>13.15</v>
      </c>
      <c r="V525" s="2" t="n">
        <f aca="false">INDEX(Summary!$R$2:$R$201,MATCH($B525,Summary!$A$2:$A$201,0))</f>
        <v>29.92</v>
      </c>
      <c r="W525" s="0" t="str">
        <f aca="false">INDEX(Summary!$S$2:$S$201,MATCH($B525,Summary!$A$2:$A$201,0))</f>
        <v>Gold</v>
      </c>
      <c r="X525" s="2" t="n">
        <f aca="false">INDEX(Summary!$T$2:$T$201,MATCH($B525,Summary!$A$2:$A$201,0))</f>
        <v>72.98</v>
      </c>
      <c r="Y525" s="0" t="str">
        <f aca="false">INDEX('Reward Model'!$E$18:$E$37,MATCH($E525,'Reward Model'!$A$18:$A$37,0))</f>
        <v>Low</v>
      </c>
      <c r="Z525" s="4" t="n">
        <f aca="false">ROUND(MIN(1,MAX('Reward Model'!$B$2,INDEX('Reward Model'!$C$12:$C$14,MATCH($K525,'Reward Model'!$A$12:$A$14,0))/$J525)),3)</f>
        <v>1</v>
      </c>
      <c r="AA525" s="2" t="n">
        <f aca="false">IF($I525="Correct",ROUND(INDEX('Reward Model'!$B$12:$B$14,MATCH($K525,'Reward Model'!$A$12:$A$14,0))*Z525,2),0)</f>
        <v>1</v>
      </c>
      <c r="AB525" s="2" t="n">
        <f aca="false">IF($I525="Correct",ROUND(INDEX('Reward Model'!$B$12:$B$14,MATCH($Y525,'Reward Model'!$A$12:$A$14,0))*Z525,2),0)</f>
        <v>1</v>
      </c>
    </row>
    <row r="526" customFormat="false" ht="15" hidden="false" customHeight="false" outlineLevel="0" collapsed="false">
      <c r="A526" s="0" t="s">
        <v>179</v>
      </c>
      <c r="B526" s="0" t="s">
        <v>180</v>
      </c>
      <c r="C526" s="0" t="s">
        <v>30</v>
      </c>
      <c r="D526" s="0" t="s">
        <v>31</v>
      </c>
      <c r="E526" s="0" t="n">
        <v>5</v>
      </c>
      <c r="F526" s="0" t="s">
        <v>46</v>
      </c>
      <c r="G526" s="0" t="s">
        <v>47</v>
      </c>
      <c r="H526" s="0" t="s">
        <v>47</v>
      </c>
      <c r="I526" s="0" t="s">
        <v>34</v>
      </c>
      <c r="J526" s="0" t="n">
        <v>1.56</v>
      </c>
      <c r="K526" s="0" t="s">
        <v>35</v>
      </c>
      <c r="L526" s="0" t="n">
        <f aca="false">INDEX(Summary!$F$2:$F$201,MATCH($B526,Summary!$A$2:$A$201,0))</f>
        <v>20</v>
      </c>
      <c r="M526" s="0" t="n">
        <f aca="false">INDEX(Summary!$I$2:$I$201,MATCH($B526,Summary!$A$2:$A$201,0))</f>
        <v>3</v>
      </c>
      <c r="N526" s="0" t="n">
        <f aca="false">INDEX(Summary!$J$2:$J$201,MATCH($B526,Summary!$A$2:$A$201,0))</f>
        <v>2</v>
      </c>
      <c r="O526" s="2" t="n">
        <f aca="false">INDEX(Summary!$K$2:$K$201,MATCH($B526,Summary!$A$2:$A$201,0))</f>
        <v>9.67</v>
      </c>
      <c r="P526" s="3" t="n">
        <f aca="false">INDEX(Summary!$L$2:$L$201,MATCH($B526,Summary!$A$2:$A$201,0))</f>
        <v>5</v>
      </c>
      <c r="Q526" s="3" t="n">
        <f aca="false">INDEX(Summary!$M$2:$M$201,MATCH($B526,Summary!$A$2:$A$201,0))</f>
        <v>1</v>
      </c>
      <c r="R526" s="2" t="n">
        <f aca="false">INDEX(Summary!$N$2:$N$201,MATCH($B526,Summary!$A$2:$A$201,0))</f>
        <v>9.91</v>
      </c>
      <c r="S526" s="3" t="n">
        <f aca="false">INDEX(Summary!$O$2:$O$201,MATCH($B526,Summary!$A$2:$A$201,0))</f>
        <v>8</v>
      </c>
      <c r="T526" s="3" t="n">
        <f aca="false">INDEX(Summary!$P$2:$P$201,MATCH($B526,Summary!$A$2:$A$201,0))</f>
        <v>1</v>
      </c>
      <c r="U526" s="2" t="n">
        <f aca="false">INDEX(Summary!$Q$2:$Q$201,MATCH($B526,Summary!$A$2:$A$201,0))</f>
        <v>13.15</v>
      </c>
      <c r="V526" s="2" t="n">
        <f aca="false">INDEX(Summary!$R$2:$R$201,MATCH($B526,Summary!$A$2:$A$201,0))</f>
        <v>29.92</v>
      </c>
      <c r="W526" s="0" t="str">
        <f aca="false">INDEX(Summary!$S$2:$S$201,MATCH($B526,Summary!$A$2:$A$201,0))</f>
        <v>Gold</v>
      </c>
      <c r="X526" s="2" t="n">
        <f aca="false">INDEX(Summary!$T$2:$T$201,MATCH($B526,Summary!$A$2:$A$201,0))</f>
        <v>72.98</v>
      </c>
      <c r="Y526" s="0" t="str">
        <f aca="false">INDEX('Reward Model'!$E$18:$E$37,MATCH($E526,'Reward Model'!$A$18:$A$37,0))</f>
        <v>Low</v>
      </c>
      <c r="Z526" s="4" t="n">
        <f aca="false">ROUND(MIN(1,MAX('Reward Model'!$B$2,INDEX('Reward Model'!$C$12:$C$14,MATCH($K526,'Reward Model'!$A$12:$A$14,0))/$J526)),3)</f>
        <v>0.962</v>
      </c>
      <c r="AA526" s="2" t="n">
        <f aca="false">IF($I526="Correct",ROUND(INDEX('Reward Model'!$B$12:$B$14,MATCH($K526,'Reward Model'!$A$12:$A$14,0))*Z526,2),0)</f>
        <v>0.96</v>
      </c>
      <c r="AB526" s="2" t="n">
        <f aca="false">IF($I526="Correct",ROUND(INDEX('Reward Model'!$B$12:$B$14,MATCH($Y526,'Reward Model'!$A$12:$A$14,0))*Z526,2),0)</f>
        <v>0.96</v>
      </c>
    </row>
    <row r="527" customFormat="false" ht="15" hidden="false" customHeight="false" outlineLevel="0" collapsed="false">
      <c r="A527" s="0" t="s">
        <v>179</v>
      </c>
      <c r="B527" s="0" t="s">
        <v>180</v>
      </c>
      <c r="C527" s="0" t="s">
        <v>30</v>
      </c>
      <c r="D527" s="0" t="s">
        <v>31</v>
      </c>
      <c r="E527" s="0" t="n">
        <v>6</v>
      </c>
      <c r="F527" s="0" t="s">
        <v>48</v>
      </c>
      <c r="G527" s="0" t="s">
        <v>49</v>
      </c>
      <c r="H527" s="0" t="s">
        <v>49</v>
      </c>
      <c r="I527" s="0" t="s">
        <v>34</v>
      </c>
      <c r="J527" s="0" t="n">
        <v>1.42</v>
      </c>
      <c r="K527" s="0" t="s">
        <v>35</v>
      </c>
      <c r="L527" s="0" t="n">
        <f aca="false">INDEX(Summary!$F$2:$F$201,MATCH($B527,Summary!$A$2:$A$201,0))</f>
        <v>20</v>
      </c>
      <c r="M527" s="0" t="n">
        <f aca="false">INDEX(Summary!$I$2:$I$201,MATCH($B527,Summary!$A$2:$A$201,0))</f>
        <v>3</v>
      </c>
      <c r="N527" s="0" t="n">
        <f aca="false">INDEX(Summary!$J$2:$J$201,MATCH($B527,Summary!$A$2:$A$201,0))</f>
        <v>2</v>
      </c>
      <c r="O527" s="2" t="n">
        <f aca="false">INDEX(Summary!$K$2:$K$201,MATCH($B527,Summary!$A$2:$A$201,0))</f>
        <v>9.67</v>
      </c>
      <c r="P527" s="3" t="n">
        <f aca="false">INDEX(Summary!$L$2:$L$201,MATCH($B527,Summary!$A$2:$A$201,0))</f>
        <v>5</v>
      </c>
      <c r="Q527" s="3" t="n">
        <f aca="false">INDEX(Summary!$M$2:$M$201,MATCH($B527,Summary!$A$2:$A$201,0))</f>
        <v>1</v>
      </c>
      <c r="R527" s="2" t="n">
        <f aca="false">INDEX(Summary!$N$2:$N$201,MATCH($B527,Summary!$A$2:$A$201,0))</f>
        <v>9.91</v>
      </c>
      <c r="S527" s="3" t="n">
        <f aca="false">INDEX(Summary!$O$2:$O$201,MATCH($B527,Summary!$A$2:$A$201,0))</f>
        <v>8</v>
      </c>
      <c r="T527" s="3" t="n">
        <f aca="false">INDEX(Summary!$P$2:$P$201,MATCH($B527,Summary!$A$2:$A$201,0))</f>
        <v>1</v>
      </c>
      <c r="U527" s="2" t="n">
        <f aca="false">INDEX(Summary!$Q$2:$Q$201,MATCH($B527,Summary!$A$2:$A$201,0))</f>
        <v>13.15</v>
      </c>
      <c r="V527" s="2" t="n">
        <f aca="false">INDEX(Summary!$R$2:$R$201,MATCH($B527,Summary!$A$2:$A$201,0))</f>
        <v>29.92</v>
      </c>
      <c r="W527" s="0" t="str">
        <f aca="false">INDEX(Summary!$S$2:$S$201,MATCH($B527,Summary!$A$2:$A$201,0))</f>
        <v>Gold</v>
      </c>
      <c r="X527" s="2" t="n">
        <f aca="false">INDEX(Summary!$T$2:$T$201,MATCH($B527,Summary!$A$2:$A$201,0))</f>
        <v>72.98</v>
      </c>
      <c r="Y527" s="0" t="str">
        <f aca="false">INDEX('Reward Model'!$E$18:$E$37,MATCH($E527,'Reward Model'!$A$18:$A$37,0))</f>
        <v>Medium</v>
      </c>
      <c r="Z527" s="4" t="n">
        <f aca="false">ROUND(MIN(1,MAX('Reward Model'!$B$2,INDEX('Reward Model'!$C$12:$C$14,MATCH($K527,'Reward Model'!$A$12:$A$14,0))/$J527)),3)</f>
        <v>1</v>
      </c>
      <c r="AA527" s="2" t="n">
        <f aca="false">IF($I527="Correct",ROUND(INDEX('Reward Model'!$B$12:$B$14,MATCH($K527,'Reward Model'!$A$12:$A$14,0))*Z527,2),0)</f>
        <v>1</v>
      </c>
      <c r="AB527" s="2" t="n">
        <f aca="false">IF($I527="Correct",ROUND(INDEX('Reward Model'!$B$12:$B$14,MATCH($Y527,'Reward Model'!$A$12:$A$14,0))*Z527,2),0)</f>
        <v>2</v>
      </c>
    </row>
    <row r="528" customFormat="false" ht="15" hidden="false" customHeight="false" outlineLevel="0" collapsed="false">
      <c r="A528" s="0" t="s">
        <v>179</v>
      </c>
      <c r="B528" s="0" t="s">
        <v>180</v>
      </c>
      <c r="C528" s="0" t="s">
        <v>30</v>
      </c>
      <c r="D528" s="0" t="s">
        <v>31</v>
      </c>
      <c r="E528" s="0" t="n">
        <v>7</v>
      </c>
      <c r="F528" s="0" t="s">
        <v>50</v>
      </c>
      <c r="G528" s="0" t="s">
        <v>51</v>
      </c>
      <c r="H528" s="0" t="s">
        <v>51</v>
      </c>
      <c r="I528" s="0" t="s">
        <v>34</v>
      </c>
      <c r="J528" s="0" t="n">
        <v>1.85</v>
      </c>
      <c r="K528" s="0" t="s">
        <v>35</v>
      </c>
      <c r="L528" s="0" t="n">
        <f aca="false">INDEX(Summary!$F$2:$F$201,MATCH($B528,Summary!$A$2:$A$201,0))</f>
        <v>20</v>
      </c>
      <c r="M528" s="0" t="n">
        <f aca="false">INDEX(Summary!$I$2:$I$201,MATCH($B528,Summary!$A$2:$A$201,0))</f>
        <v>3</v>
      </c>
      <c r="N528" s="0" t="n">
        <f aca="false">INDEX(Summary!$J$2:$J$201,MATCH($B528,Summary!$A$2:$A$201,0))</f>
        <v>2</v>
      </c>
      <c r="O528" s="2" t="n">
        <f aca="false">INDEX(Summary!$K$2:$K$201,MATCH($B528,Summary!$A$2:$A$201,0))</f>
        <v>9.67</v>
      </c>
      <c r="P528" s="3" t="n">
        <f aca="false">INDEX(Summary!$L$2:$L$201,MATCH($B528,Summary!$A$2:$A$201,0))</f>
        <v>5</v>
      </c>
      <c r="Q528" s="3" t="n">
        <f aca="false">INDEX(Summary!$M$2:$M$201,MATCH($B528,Summary!$A$2:$A$201,0))</f>
        <v>1</v>
      </c>
      <c r="R528" s="2" t="n">
        <f aca="false">INDEX(Summary!$N$2:$N$201,MATCH($B528,Summary!$A$2:$A$201,0))</f>
        <v>9.91</v>
      </c>
      <c r="S528" s="3" t="n">
        <f aca="false">INDEX(Summary!$O$2:$O$201,MATCH($B528,Summary!$A$2:$A$201,0))</f>
        <v>8</v>
      </c>
      <c r="T528" s="3" t="n">
        <f aca="false">INDEX(Summary!$P$2:$P$201,MATCH($B528,Summary!$A$2:$A$201,0))</f>
        <v>1</v>
      </c>
      <c r="U528" s="2" t="n">
        <f aca="false">INDEX(Summary!$Q$2:$Q$201,MATCH($B528,Summary!$A$2:$A$201,0))</f>
        <v>13.15</v>
      </c>
      <c r="V528" s="2" t="n">
        <f aca="false">INDEX(Summary!$R$2:$R$201,MATCH($B528,Summary!$A$2:$A$201,0))</f>
        <v>29.92</v>
      </c>
      <c r="W528" s="0" t="str">
        <f aca="false">INDEX(Summary!$S$2:$S$201,MATCH($B528,Summary!$A$2:$A$201,0))</f>
        <v>Gold</v>
      </c>
      <c r="X528" s="2" t="n">
        <f aca="false">INDEX(Summary!$T$2:$T$201,MATCH($B528,Summary!$A$2:$A$201,0))</f>
        <v>72.98</v>
      </c>
      <c r="Y528" s="0" t="str">
        <f aca="false">INDEX('Reward Model'!$E$18:$E$37,MATCH($E528,'Reward Model'!$A$18:$A$37,0))</f>
        <v>Low</v>
      </c>
      <c r="Z528" s="4" t="n">
        <f aca="false">ROUND(MIN(1,MAX('Reward Model'!$B$2,INDEX('Reward Model'!$C$12:$C$14,MATCH($K528,'Reward Model'!$A$12:$A$14,0))/$J528)),3)</f>
        <v>0.811</v>
      </c>
      <c r="AA528" s="2" t="n">
        <f aca="false">IF($I528="Correct",ROUND(INDEX('Reward Model'!$B$12:$B$14,MATCH($K528,'Reward Model'!$A$12:$A$14,0))*Z528,2),0)</f>
        <v>0.81</v>
      </c>
      <c r="AB528" s="2" t="n">
        <f aca="false">IF($I528="Correct",ROUND(INDEX('Reward Model'!$B$12:$B$14,MATCH($Y528,'Reward Model'!$A$12:$A$14,0))*Z528,2),0)</f>
        <v>0.81</v>
      </c>
    </row>
    <row r="529" customFormat="false" ht="15" hidden="false" customHeight="false" outlineLevel="0" collapsed="false">
      <c r="A529" s="0" t="s">
        <v>179</v>
      </c>
      <c r="B529" s="0" t="s">
        <v>180</v>
      </c>
      <c r="C529" s="0" t="s">
        <v>30</v>
      </c>
      <c r="D529" s="0" t="s">
        <v>31</v>
      </c>
      <c r="E529" s="0" t="n">
        <v>8</v>
      </c>
      <c r="F529" s="0" t="s">
        <v>52</v>
      </c>
      <c r="G529" s="0" t="s">
        <v>54</v>
      </c>
      <c r="H529" s="0" t="s">
        <v>54</v>
      </c>
      <c r="I529" s="0" t="s">
        <v>34</v>
      </c>
      <c r="J529" s="0" t="n">
        <v>1.42</v>
      </c>
      <c r="K529" s="0" t="s">
        <v>35</v>
      </c>
      <c r="L529" s="0" t="n">
        <f aca="false">INDEX(Summary!$F$2:$F$201,MATCH($B529,Summary!$A$2:$A$201,0))</f>
        <v>20</v>
      </c>
      <c r="M529" s="0" t="n">
        <f aca="false">INDEX(Summary!$I$2:$I$201,MATCH($B529,Summary!$A$2:$A$201,0))</f>
        <v>3</v>
      </c>
      <c r="N529" s="0" t="n">
        <f aca="false">INDEX(Summary!$J$2:$J$201,MATCH($B529,Summary!$A$2:$A$201,0))</f>
        <v>2</v>
      </c>
      <c r="O529" s="2" t="n">
        <f aca="false">INDEX(Summary!$K$2:$K$201,MATCH($B529,Summary!$A$2:$A$201,0))</f>
        <v>9.67</v>
      </c>
      <c r="P529" s="3" t="n">
        <f aca="false">INDEX(Summary!$L$2:$L$201,MATCH($B529,Summary!$A$2:$A$201,0))</f>
        <v>5</v>
      </c>
      <c r="Q529" s="3" t="n">
        <f aca="false">INDEX(Summary!$M$2:$M$201,MATCH($B529,Summary!$A$2:$A$201,0))</f>
        <v>1</v>
      </c>
      <c r="R529" s="2" t="n">
        <f aca="false">INDEX(Summary!$N$2:$N$201,MATCH($B529,Summary!$A$2:$A$201,0))</f>
        <v>9.91</v>
      </c>
      <c r="S529" s="3" t="n">
        <f aca="false">INDEX(Summary!$O$2:$O$201,MATCH($B529,Summary!$A$2:$A$201,0))</f>
        <v>8</v>
      </c>
      <c r="T529" s="3" t="n">
        <f aca="false">INDEX(Summary!$P$2:$P$201,MATCH($B529,Summary!$A$2:$A$201,0))</f>
        <v>1</v>
      </c>
      <c r="U529" s="2" t="n">
        <f aca="false">INDEX(Summary!$Q$2:$Q$201,MATCH($B529,Summary!$A$2:$A$201,0))</f>
        <v>13.15</v>
      </c>
      <c r="V529" s="2" t="n">
        <f aca="false">INDEX(Summary!$R$2:$R$201,MATCH($B529,Summary!$A$2:$A$201,0))</f>
        <v>29.92</v>
      </c>
      <c r="W529" s="0" t="str">
        <f aca="false">INDEX(Summary!$S$2:$S$201,MATCH($B529,Summary!$A$2:$A$201,0))</f>
        <v>Gold</v>
      </c>
      <c r="X529" s="2" t="n">
        <f aca="false">INDEX(Summary!$T$2:$T$201,MATCH($B529,Summary!$A$2:$A$201,0))</f>
        <v>72.98</v>
      </c>
      <c r="Y529" s="0" t="str">
        <f aca="false">INDEX('Reward Model'!$E$18:$E$37,MATCH($E529,'Reward Model'!$A$18:$A$37,0))</f>
        <v>Medium</v>
      </c>
      <c r="Z529" s="4" t="n">
        <f aca="false">ROUND(MIN(1,MAX('Reward Model'!$B$2,INDEX('Reward Model'!$C$12:$C$14,MATCH($K529,'Reward Model'!$A$12:$A$14,0))/$J529)),3)</f>
        <v>1</v>
      </c>
      <c r="AA529" s="2" t="n">
        <f aca="false">IF($I529="Correct",ROUND(INDEX('Reward Model'!$B$12:$B$14,MATCH($K529,'Reward Model'!$A$12:$A$14,0))*Z529,2),0)</f>
        <v>1</v>
      </c>
      <c r="AB529" s="2" t="n">
        <f aca="false">IF($I529="Correct",ROUND(INDEX('Reward Model'!$B$12:$B$14,MATCH($Y529,'Reward Model'!$A$12:$A$14,0))*Z529,2),0)</f>
        <v>2</v>
      </c>
    </row>
    <row r="530" customFormat="false" ht="15" hidden="false" customHeight="false" outlineLevel="0" collapsed="false">
      <c r="A530" s="0" t="s">
        <v>179</v>
      </c>
      <c r="B530" s="0" t="s">
        <v>180</v>
      </c>
      <c r="C530" s="0" t="s">
        <v>30</v>
      </c>
      <c r="D530" s="0" t="s">
        <v>31</v>
      </c>
      <c r="E530" s="0" t="n">
        <v>9</v>
      </c>
      <c r="F530" s="0" t="s">
        <v>55</v>
      </c>
      <c r="G530" s="0" t="s">
        <v>57</v>
      </c>
      <c r="H530" s="0" t="s">
        <v>57</v>
      </c>
      <c r="I530" s="0" t="s">
        <v>34</v>
      </c>
      <c r="J530" s="0" t="n">
        <v>1.03</v>
      </c>
      <c r="K530" s="0" t="s">
        <v>35</v>
      </c>
      <c r="L530" s="0" t="n">
        <f aca="false">INDEX(Summary!$F$2:$F$201,MATCH($B530,Summary!$A$2:$A$201,0))</f>
        <v>20</v>
      </c>
      <c r="M530" s="0" t="n">
        <f aca="false">INDEX(Summary!$I$2:$I$201,MATCH($B530,Summary!$A$2:$A$201,0))</f>
        <v>3</v>
      </c>
      <c r="N530" s="0" t="n">
        <f aca="false">INDEX(Summary!$J$2:$J$201,MATCH($B530,Summary!$A$2:$A$201,0))</f>
        <v>2</v>
      </c>
      <c r="O530" s="2" t="n">
        <f aca="false">INDEX(Summary!$K$2:$K$201,MATCH($B530,Summary!$A$2:$A$201,0))</f>
        <v>9.67</v>
      </c>
      <c r="P530" s="3" t="n">
        <f aca="false">INDEX(Summary!$L$2:$L$201,MATCH($B530,Summary!$A$2:$A$201,0))</f>
        <v>5</v>
      </c>
      <c r="Q530" s="3" t="n">
        <f aca="false">INDEX(Summary!$M$2:$M$201,MATCH($B530,Summary!$A$2:$A$201,0))</f>
        <v>1</v>
      </c>
      <c r="R530" s="2" t="n">
        <f aca="false">INDEX(Summary!$N$2:$N$201,MATCH($B530,Summary!$A$2:$A$201,0))</f>
        <v>9.91</v>
      </c>
      <c r="S530" s="3" t="n">
        <f aca="false">INDEX(Summary!$O$2:$O$201,MATCH($B530,Summary!$A$2:$A$201,0))</f>
        <v>8</v>
      </c>
      <c r="T530" s="3" t="n">
        <f aca="false">INDEX(Summary!$P$2:$P$201,MATCH($B530,Summary!$A$2:$A$201,0))</f>
        <v>1</v>
      </c>
      <c r="U530" s="2" t="n">
        <f aca="false">INDEX(Summary!$Q$2:$Q$201,MATCH($B530,Summary!$A$2:$A$201,0))</f>
        <v>13.15</v>
      </c>
      <c r="V530" s="2" t="n">
        <f aca="false">INDEX(Summary!$R$2:$R$201,MATCH($B530,Summary!$A$2:$A$201,0))</f>
        <v>29.92</v>
      </c>
      <c r="W530" s="0" t="str">
        <f aca="false">INDEX(Summary!$S$2:$S$201,MATCH($B530,Summary!$A$2:$A$201,0))</f>
        <v>Gold</v>
      </c>
      <c r="X530" s="2" t="n">
        <f aca="false">INDEX(Summary!$T$2:$T$201,MATCH($B530,Summary!$A$2:$A$201,0))</f>
        <v>72.98</v>
      </c>
      <c r="Y530" s="0" t="str">
        <f aca="false">INDEX('Reward Model'!$E$18:$E$37,MATCH($E530,'Reward Model'!$A$18:$A$37,0))</f>
        <v>Medium</v>
      </c>
      <c r="Z530" s="4" t="n">
        <f aca="false">ROUND(MIN(1,MAX('Reward Model'!$B$2,INDEX('Reward Model'!$C$12:$C$14,MATCH($K530,'Reward Model'!$A$12:$A$14,0))/$J530)),3)</f>
        <v>1</v>
      </c>
      <c r="AA530" s="2" t="n">
        <f aca="false">IF($I530="Correct",ROUND(INDEX('Reward Model'!$B$12:$B$14,MATCH($K530,'Reward Model'!$A$12:$A$14,0))*Z530,2),0)</f>
        <v>1</v>
      </c>
      <c r="AB530" s="2" t="n">
        <f aca="false">IF($I530="Correct",ROUND(INDEX('Reward Model'!$B$12:$B$14,MATCH($Y530,'Reward Model'!$A$12:$A$14,0))*Z530,2),0)</f>
        <v>2</v>
      </c>
    </row>
    <row r="531" customFormat="false" ht="15" hidden="false" customHeight="false" outlineLevel="0" collapsed="false">
      <c r="A531" s="0" t="s">
        <v>179</v>
      </c>
      <c r="B531" s="0" t="s">
        <v>180</v>
      </c>
      <c r="C531" s="0" t="s">
        <v>30</v>
      </c>
      <c r="D531" s="0" t="s">
        <v>31</v>
      </c>
      <c r="E531" s="0" t="n">
        <v>10</v>
      </c>
      <c r="F531" s="0" t="s">
        <v>58</v>
      </c>
      <c r="G531" s="0" t="s">
        <v>99</v>
      </c>
      <c r="H531" s="0" t="s">
        <v>59</v>
      </c>
      <c r="I531" s="0" t="s">
        <v>39</v>
      </c>
      <c r="J531" s="0" t="n">
        <v>2.13</v>
      </c>
      <c r="K531" s="0" t="s">
        <v>60</v>
      </c>
      <c r="L531" s="0" t="n">
        <f aca="false">INDEX(Summary!$F$2:$F$201,MATCH($B531,Summary!$A$2:$A$201,0))</f>
        <v>20</v>
      </c>
      <c r="M531" s="0" t="n">
        <f aca="false">INDEX(Summary!$I$2:$I$201,MATCH($B531,Summary!$A$2:$A$201,0))</f>
        <v>3</v>
      </c>
      <c r="N531" s="0" t="n">
        <f aca="false">INDEX(Summary!$J$2:$J$201,MATCH($B531,Summary!$A$2:$A$201,0))</f>
        <v>2</v>
      </c>
      <c r="O531" s="2" t="n">
        <f aca="false">INDEX(Summary!$K$2:$K$201,MATCH($B531,Summary!$A$2:$A$201,0))</f>
        <v>9.67</v>
      </c>
      <c r="P531" s="3" t="n">
        <f aca="false">INDEX(Summary!$L$2:$L$201,MATCH($B531,Summary!$A$2:$A$201,0))</f>
        <v>5</v>
      </c>
      <c r="Q531" s="3" t="n">
        <f aca="false">INDEX(Summary!$M$2:$M$201,MATCH($B531,Summary!$A$2:$A$201,0))</f>
        <v>1</v>
      </c>
      <c r="R531" s="2" t="n">
        <f aca="false">INDEX(Summary!$N$2:$N$201,MATCH($B531,Summary!$A$2:$A$201,0))</f>
        <v>9.91</v>
      </c>
      <c r="S531" s="3" t="n">
        <f aca="false">INDEX(Summary!$O$2:$O$201,MATCH($B531,Summary!$A$2:$A$201,0))</f>
        <v>8</v>
      </c>
      <c r="T531" s="3" t="n">
        <f aca="false">INDEX(Summary!$P$2:$P$201,MATCH($B531,Summary!$A$2:$A$201,0))</f>
        <v>1</v>
      </c>
      <c r="U531" s="2" t="n">
        <f aca="false">INDEX(Summary!$Q$2:$Q$201,MATCH($B531,Summary!$A$2:$A$201,0))</f>
        <v>13.15</v>
      </c>
      <c r="V531" s="2" t="n">
        <f aca="false">INDEX(Summary!$R$2:$R$201,MATCH($B531,Summary!$A$2:$A$201,0))</f>
        <v>29.92</v>
      </c>
      <c r="W531" s="0" t="str">
        <f aca="false">INDEX(Summary!$S$2:$S$201,MATCH($B531,Summary!$A$2:$A$201,0))</f>
        <v>Gold</v>
      </c>
      <c r="X531" s="2" t="n">
        <f aca="false">INDEX(Summary!$T$2:$T$201,MATCH($B531,Summary!$A$2:$A$201,0))</f>
        <v>72.98</v>
      </c>
      <c r="Y531" s="0" t="str">
        <f aca="false">INDEX('Reward Model'!$E$18:$E$37,MATCH($E531,'Reward Model'!$A$18:$A$37,0))</f>
        <v>Medium</v>
      </c>
      <c r="Z531" s="4" t="n">
        <f aca="false">ROUND(MIN(1,MAX('Reward Model'!$B$2,INDEX('Reward Model'!$C$12:$C$14,MATCH($K531,'Reward Model'!$A$12:$A$14,0))/$J531)),3)</f>
        <v>0.845</v>
      </c>
      <c r="AA531" s="2" t="n">
        <f aca="false">IF($I531="Correct",ROUND(INDEX('Reward Model'!$B$12:$B$14,MATCH($K531,'Reward Model'!$A$12:$A$14,0))*Z531,2),0)</f>
        <v>0</v>
      </c>
      <c r="AB531" s="2" t="n">
        <f aca="false">IF($I531="Correct",ROUND(INDEX('Reward Model'!$B$12:$B$14,MATCH($Y531,'Reward Model'!$A$12:$A$14,0))*Z531,2),0)</f>
        <v>0</v>
      </c>
    </row>
    <row r="532" customFormat="false" ht="15" hidden="false" customHeight="false" outlineLevel="0" collapsed="false">
      <c r="A532" s="0" t="s">
        <v>179</v>
      </c>
      <c r="B532" s="0" t="s">
        <v>180</v>
      </c>
      <c r="C532" s="0" t="s">
        <v>30</v>
      </c>
      <c r="D532" s="0" t="s">
        <v>31</v>
      </c>
      <c r="E532" s="0" t="n">
        <v>11</v>
      </c>
      <c r="F532" s="0" t="s">
        <v>61</v>
      </c>
      <c r="G532" s="0" t="s">
        <v>63</v>
      </c>
      <c r="H532" s="0" t="s">
        <v>63</v>
      </c>
      <c r="I532" s="0" t="s">
        <v>34</v>
      </c>
      <c r="J532" s="0" t="n">
        <v>2.25</v>
      </c>
      <c r="K532" s="0" t="s">
        <v>60</v>
      </c>
      <c r="L532" s="0" t="n">
        <f aca="false">INDEX(Summary!$F$2:$F$201,MATCH($B532,Summary!$A$2:$A$201,0))</f>
        <v>20</v>
      </c>
      <c r="M532" s="0" t="n">
        <f aca="false">INDEX(Summary!$I$2:$I$201,MATCH($B532,Summary!$A$2:$A$201,0))</f>
        <v>3</v>
      </c>
      <c r="N532" s="0" t="n">
        <f aca="false">INDEX(Summary!$J$2:$J$201,MATCH($B532,Summary!$A$2:$A$201,0))</f>
        <v>2</v>
      </c>
      <c r="O532" s="2" t="n">
        <f aca="false">INDEX(Summary!$K$2:$K$201,MATCH($B532,Summary!$A$2:$A$201,0))</f>
        <v>9.67</v>
      </c>
      <c r="P532" s="3" t="n">
        <f aca="false">INDEX(Summary!$L$2:$L$201,MATCH($B532,Summary!$A$2:$A$201,0))</f>
        <v>5</v>
      </c>
      <c r="Q532" s="3" t="n">
        <f aca="false">INDEX(Summary!$M$2:$M$201,MATCH($B532,Summary!$A$2:$A$201,0))</f>
        <v>1</v>
      </c>
      <c r="R532" s="2" t="n">
        <f aca="false">INDEX(Summary!$N$2:$N$201,MATCH($B532,Summary!$A$2:$A$201,0))</f>
        <v>9.91</v>
      </c>
      <c r="S532" s="3" t="n">
        <f aca="false">INDEX(Summary!$O$2:$O$201,MATCH($B532,Summary!$A$2:$A$201,0))</f>
        <v>8</v>
      </c>
      <c r="T532" s="3" t="n">
        <f aca="false">INDEX(Summary!$P$2:$P$201,MATCH($B532,Summary!$A$2:$A$201,0))</f>
        <v>1</v>
      </c>
      <c r="U532" s="2" t="n">
        <f aca="false">INDEX(Summary!$Q$2:$Q$201,MATCH($B532,Summary!$A$2:$A$201,0))</f>
        <v>13.15</v>
      </c>
      <c r="V532" s="2" t="n">
        <f aca="false">INDEX(Summary!$R$2:$R$201,MATCH($B532,Summary!$A$2:$A$201,0))</f>
        <v>29.92</v>
      </c>
      <c r="W532" s="0" t="str">
        <f aca="false">INDEX(Summary!$S$2:$S$201,MATCH($B532,Summary!$A$2:$A$201,0))</f>
        <v>Gold</v>
      </c>
      <c r="X532" s="2" t="n">
        <f aca="false">INDEX(Summary!$T$2:$T$201,MATCH($B532,Summary!$A$2:$A$201,0))</f>
        <v>72.98</v>
      </c>
      <c r="Y532" s="0" t="str">
        <f aca="false">INDEX('Reward Model'!$E$18:$E$37,MATCH($E532,'Reward Model'!$A$18:$A$37,0))</f>
        <v>Medium</v>
      </c>
      <c r="Z532" s="4" t="n">
        <f aca="false">ROUND(MIN(1,MAX('Reward Model'!$B$2,INDEX('Reward Model'!$C$12:$C$14,MATCH($K532,'Reward Model'!$A$12:$A$14,0))/$J532)),3)</f>
        <v>0.8</v>
      </c>
      <c r="AA532" s="2" t="n">
        <f aca="false">IF($I532="Correct",ROUND(INDEX('Reward Model'!$B$12:$B$14,MATCH($K532,'Reward Model'!$A$12:$A$14,0))*Z532,2),0)</f>
        <v>1.6</v>
      </c>
      <c r="AB532" s="2" t="n">
        <f aca="false">IF($I532="Correct",ROUND(INDEX('Reward Model'!$B$12:$B$14,MATCH($Y532,'Reward Model'!$A$12:$A$14,0))*Z532,2),0)</f>
        <v>1.6</v>
      </c>
    </row>
    <row r="533" customFormat="false" ht="15" hidden="false" customHeight="false" outlineLevel="0" collapsed="false">
      <c r="A533" s="0" t="s">
        <v>179</v>
      </c>
      <c r="B533" s="0" t="s">
        <v>180</v>
      </c>
      <c r="C533" s="0" t="s">
        <v>30</v>
      </c>
      <c r="D533" s="0" t="s">
        <v>31</v>
      </c>
      <c r="E533" s="0" t="n">
        <v>12</v>
      </c>
      <c r="F533" s="0" t="s">
        <v>64</v>
      </c>
      <c r="G533" s="0" t="s">
        <v>65</v>
      </c>
      <c r="H533" s="0" t="s">
        <v>65</v>
      </c>
      <c r="I533" s="0" t="s">
        <v>34</v>
      </c>
      <c r="J533" s="0" t="n">
        <v>1.42</v>
      </c>
      <c r="K533" s="0" t="s">
        <v>60</v>
      </c>
      <c r="L533" s="0" t="n">
        <f aca="false">INDEX(Summary!$F$2:$F$201,MATCH($B533,Summary!$A$2:$A$201,0))</f>
        <v>20</v>
      </c>
      <c r="M533" s="0" t="n">
        <f aca="false">INDEX(Summary!$I$2:$I$201,MATCH($B533,Summary!$A$2:$A$201,0))</f>
        <v>3</v>
      </c>
      <c r="N533" s="0" t="n">
        <f aca="false">INDEX(Summary!$J$2:$J$201,MATCH($B533,Summary!$A$2:$A$201,0))</f>
        <v>2</v>
      </c>
      <c r="O533" s="2" t="n">
        <f aca="false">INDEX(Summary!$K$2:$K$201,MATCH($B533,Summary!$A$2:$A$201,0))</f>
        <v>9.67</v>
      </c>
      <c r="P533" s="3" t="n">
        <f aca="false">INDEX(Summary!$L$2:$L$201,MATCH($B533,Summary!$A$2:$A$201,0))</f>
        <v>5</v>
      </c>
      <c r="Q533" s="3" t="n">
        <f aca="false">INDEX(Summary!$M$2:$M$201,MATCH($B533,Summary!$A$2:$A$201,0))</f>
        <v>1</v>
      </c>
      <c r="R533" s="2" t="n">
        <f aca="false">INDEX(Summary!$N$2:$N$201,MATCH($B533,Summary!$A$2:$A$201,0))</f>
        <v>9.91</v>
      </c>
      <c r="S533" s="3" t="n">
        <f aca="false">INDEX(Summary!$O$2:$O$201,MATCH($B533,Summary!$A$2:$A$201,0))</f>
        <v>8</v>
      </c>
      <c r="T533" s="3" t="n">
        <f aca="false">INDEX(Summary!$P$2:$P$201,MATCH($B533,Summary!$A$2:$A$201,0))</f>
        <v>1</v>
      </c>
      <c r="U533" s="2" t="n">
        <f aca="false">INDEX(Summary!$Q$2:$Q$201,MATCH($B533,Summary!$A$2:$A$201,0))</f>
        <v>13.15</v>
      </c>
      <c r="V533" s="2" t="n">
        <f aca="false">INDEX(Summary!$R$2:$R$201,MATCH($B533,Summary!$A$2:$A$201,0))</f>
        <v>29.92</v>
      </c>
      <c r="W533" s="0" t="str">
        <f aca="false">INDEX(Summary!$S$2:$S$201,MATCH($B533,Summary!$A$2:$A$201,0))</f>
        <v>Gold</v>
      </c>
      <c r="X533" s="2" t="n">
        <f aca="false">INDEX(Summary!$T$2:$T$201,MATCH($B533,Summary!$A$2:$A$201,0))</f>
        <v>72.98</v>
      </c>
      <c r="Y533" s="0" t="str">
        <f aca="false">INDEX('Reward Model'!$E$18:$E$37,MATCH($E533,'Reward Model'!$A$18:$A$37,0))</f>
        <v>Medium</v>
      </c>
      <c r="Z533" s="4" t="n">
        <f aca="false">ROUND(MIN(1,MAX('Reward Model'!$B$2,INDEX('Reward Model'!$C$12:$C$14,MATCH($K533,'Reward Model'!$A$12:$A$14,0))/$J533)),3)</f>
        <v>1</v>
      </c>
      <c r="AA533" s="2" t="n">
        <f aca="false">IF($I533="Correct",ROUND(INDEX('Reward Model'!$B$12:$B$14,MATCH($K533,'Reward Model'!$A$12:$A$14,0))*Z533,2),0)</f>
        <v>2</v>
      </c>
      <c r="AB533" s="2" t="n">
        <f aca="false">IF($I533="Correct",ROUND(INDEX('Reward Model'!$B$12:$B$14,MATCH($Y533,'Reward Model'!$A$12:$A$14,0))*Z533,2),0)</f>
        <v>2</v>
      </c>
    </row>
    <row r="534" customFormat="false" ht="15" hidden="false" customHeight="false" outlineLevel="0" collapsed="false">
      <c r="A534" s="0" t="s">
        <v>179</v>
      </c>
      <c r="B534" s="0" t="s">
        <v>180</v>
      </c>
      <c r="C534" s="0" t="s">
        <v>30</v>
      </c>
      <c r="D534" s="0" t="s">
        <v>31</v>
      </c>
      <c r="E534" s="0" t="n">
        <v>13</v>
      </c>
      <c r="F534" s="0" t="s">
        <v>66</v>
      </c>
      <c r="G534" s="0" t="s">
        <v>67</v>
      </c>
      <c r="H534" s="0" t="s">
        <v>67</v>
      </c>
      <c r="I534" s="0" t="s">
        <v>34</v>
      </c>
      <c r="J534" s="0" t="n">
        <v>1.39</v>
      </c>
      <c r="K534" s="0" t="s">
        <v>60</v>
      </c>
      <c r="L534" s="0" t="n">
        <f aca="false">INDEX(Summary!$F$2:$F$201,MATCH($B534,Summary!$A$2:$A$201,0))</f>
        <v>20</v>
      </c>
      <c r="M534" s="0" t="n">
        <f aca="false">INDEX(Summary!$I$2:$I$201,MATCH($B534,Summary!$A$2:$A$201,0))</f>
        <v>3</v>
      </c>
      <c r="N534" s="0" t="n">
        <f aca="false">INDEX(Summary!$J$2:$J$201,MATCH($B534,Summary!$A$2:$A$201,0))</f>
        <v>2</v>
      </c>
      <c r="O534" s="2" t="n">
        <f aca="false">INDEX(Summary!$K$2:$K$201,MATCH($B534,Summary!$A$2:$A$201,0))</f>
        <v>9.67</v>
      </c>
      <c r="P534" s="3" t="n">
        <f aca="false">INDEX(Summary!$L$2:$L$201,MATCH($B534,Summary!$A$2:$A$201,0))</f>
        <v>5</v>
      </c>
      <c r="Q534" s="3" t="n">
        <f aca="false">INDEX(Summary!$M$2:$M$201,MATCH($B534,Summary!$A$2:$A$201,0))</f>
        <v>1</v>
      </c>
      <c r="R534" s="2" t="n">
        <f aca="false">INDEX(Summary!$N$2:$N$201,MATCH($B534,Summary!$A$2:$A$201,0))</f>
        <v>9.91</v>
      </c>
      <c r="S534" s="3" t="n">
        <f aca="false">INDEX(Summary!$O$2:$O$201,MATCH($B534,Summary!$A$2:$A$201,0))</f>
        <v>8</v>
      </c>
      <c r="T534" s="3" t="n">
        <f aca="false">INDEX(Summary!$P$2:$P$201,MATCH($B534,Summary!$A$2:$A$201,0))</f>
        <v>1</v>
      </c>
      <c r="U534" s="2" t="n">
        <f aca="false">INDEX(Summary!$Q$2:$Q$201,MATCH($B534,Summary!$A$2:$A$201,0))</f>
        <v>13.15</v>
      </c>
      <c r="V534" s="2" t="n">
        <f aca="false">INDEX(Summary!$R$2:$R$201,MATCH($B534,Summary!$A$2:$A$201,0))</f>
        <v>29.92</v>
      </c>
      <c r="W534" s="0" t="str">
        <f aca="false">INDEX(Summary!$S$2:$S$201,MATCH($B534,Summary!$A$2:$A$201,0))</f>
        <v>Gold</v>
      </c>
      <c r="X534" s="2" t="n">
        <f aca="false">INDEX(Summary!$T$2:$T$201,MATCH($B534,Summary!$A$2:$A$201,0))</f>
        <v>72.98</v>
      </c>
      <c r="Y534" s="0" t="str">
        <f aca="false">INDEX('Reward Model'!$E$18:$E$37,MATCH($E534,'Reward Model'!$A$18:$A$37,0))</f>
        <v>Medium</v>
      </c>
      <c r="Z534" s="4" t="n">
        <f aca="false">ROUND(MIN(1,MAX('Reward Model'!$B$2,INDEX('Reward Model'!$C$12:$C$14,MATCH($K534,'Reward Model'!$A$12:$A$14,0))/$J534)),3)</f>
        <v>1</v>
      </c>
      <c r="AA534" s="2" t="n">
        <f aca="false">IF($I534="Correct",ROUND(INDEX('Reward Model'!$B$12:$B$14,MATCH($K534,'Reward Model'!$A$12:$A$14,0))*Z534,2),0)</f>
        <v>2</v>
      </c>
      <c r="AB534" s="2" t="n">
        <f aca="false">IF($I534="Correct",ROUND(INDEX('Reward Model'!$B$12:$B$14,MATCH($Y534,'Reward Model'!$A$12:$A$14,0))*Z534,2),0)</f>
        <v>2</v>
      </c>
    </row>
    <row r="535" customFormat="false" ht="15" hidden="false" customHeight="false" outlineLevel="0" collapsed="false">
      <c r="A535" s="0" t="s">
        <v>179</v>
      </c>
      <c r="B535" s="0" t="s">
        <v>180</v>
      </c>
      <c r="C535" s="0" t="s">
        <v>30</v>
      </c>
      <c r="D535" s="0" t="s">
        <v>31</v>
      </c>
      <c r="E535" s="0" t="n">
        <v>14</v>
      </c>
      <c r="F535" s="0" t="s">
        <v>68</v>
      </c>
      <c r="G535" s="0" t="s">
        <v>51</v>
      </c>
      <c r="H535" s="0" t="s">
        <v>51</v>
      </c>
      <c r="I535" s="0" t="s">
        <v>34</v>
      </c>
      <c r="J535" s="0" t="n">
        <v>1.37</v>
      </c>
      <c r="K535" s="0" t="s">
        <v>60</v>
      </c>
      <c r="L535" s="0" t="n">
        <f aca="false">INDEX(Summary!$F$2:$F$201,MATCH($B535,Summary!$A$2:$A$201,0))</f>
        <v>20</v>
      </c>
      <c r="M535" s="0" t="n">
        <f aca="false">INDEX(Summary!$I$2:$I$201,MATCH($B535,Summary!$A$2:$A$201,0))</f>
        <v>3</v>
      </c>
      <c r="N535" s="0" t="n">
        <f aca="false">INDEX(Summary!$J$2:$J$201,MATCH($B535,Summary!$A$2:$A$201,0))</f>
        <v>2</v>
      </c>
      <c r="O535" s="2" t="n">
        <f aca="false">INDEX(Summary!$K$2:$K$201,MATCH($B535,Summary!$A$2:$A$201,0))</f>
        <v>9.67</v>
      </c>
      <c r="P535" s="3" t="n">
        <f aca="false">INDEX(Summary!$L$2:$L$201,MATCH($B535,Summary!$A$2:$A$201,0))</f>
        <v>5</v>
      </c>
      <c r="Q535" s="3" t="n">
        <f aca="false">INDEX(Summary!$M$2:$M$201,MATCH($B535,Summary!$A$2:$A$201,0))</f>
        <v>1</v>
      </c>
      <c r="R535" s="2" t="n">
        <f aca="false">INDEX(Summary!$N$2:$N$201,MATCH($B535,Summary!$A$2:$A$201,0))</f>
        <v>9.91</v>
      </c>
      <c r="S535" s="3" t="n">
        <f aca="false">INDEX(Summary!$O$2:$O$201,MATCH($B535,Summary!$A$2:$A$201,0))</f>
        <v>8</v>
      </c>
      <c r="T535" s="3" t="n">
        <f aca="false">INDEX(Summary!$P$2:$P$201,MATCH($B535,Summary!$A$2:$A$201,0))</f>
        <v>1</v>
      </c>
      <c r="U535" s="2" t="n">
        <f aca="false">INDEX(Summary!$Q$2:$Q$201,MATCH($B535,Summary!$A$2:$A$201,0))</f>
        <v>13.15</v>
      </c>
      <c r="V535" s="2" t="n">
        <f aca="false">INDEX(Summary!$R$2:$R$201,MATCH($B535,Summary!$A$2:$A$201,0))</f>
        <v>29.92</v>
      </c>
      <c r="W535" s="0" t="str">
        <f aca="false">INDEX(Summary!$S$2:$S$201,MATCH($B535,Summary!$A$2:$A$201,0))</f>
        <v>Gold</v>
      </c>
      <c r="X535" s="2" t="n">
        <f aca="false">INDEX(Summary!$T$2:$T$201,MATCH($B535,Summary!$A$2:$A$201,0))</f>
        <v>72.98</v>
      </c>
      <c r="Y535" s="0" t="str">
        <f aca="false">INDEX('Reward Model'!$E$18:$E$37,MATCH($E535,'Reward Model'!$A$18:$A$37,0))</f>
        <v>Medium</v>
      </c>
      <c r="Z535" s="4" t="n">
        <f aca="false">ROUND(MIN(1,MAX('Reward Model'!$B$2,INDEX('Reward Model'!$C$12:$C$14,MATCH($K535,'Reward Model'!$A$12:$A$14,0))/$J535)),3)</f>
        <v>1</v>
      </c>
      <c r="AA535" s="2" t="n">
        <f aca="false">IF($I535="Correct",ROUND(INDEX('Reward Model'!$B$12:$B$14,MATCH($K535,'Reward Model'!$A$12:$A$14,0))*Z535,2),0)</f>
        <v>2</v>
      </c>
      <c r="AB535" s="2" t="n">
        <f aca="false">IF($I535="Correct",ROUND(INDEX('Reward Model'!$B$12:$B$14,MATCH($Y535,'Reward Model'!$A$12:$A$14,0))*Z535,2),0)</f>
        <v>2</v>
      </c>
    </row>
    <row r="536" customFormat="false" ht="15" hidden="false" customHeight="false" outlineLevel="0" collapsed="false">
      <c r="A536" s="0" t="s">
        <v>179</v>
      </c>
      <c r="B536" s="0" t="s">
        <v>180</v>
      </c>
      <c r="C536" s="0" t="s">
        <v>30</v>
      </c>
      <c r="D536" s="0" t="s">
        <v>31</v>
      </c>
      <c r="E536" s="0" t="n">
        <v>15</v>
      </c>
      <c r="F536" s="0" t="s">
        <v>69</v>
      </c>
      <c r="G536" s="0" t="s">
        <v>70</v>
      </c>
      <c r="H536" s="0" t="s">
        <v>70</v>
      </c>
      <c r="I536" s="0" t="s">
        <v>34</v>
      </c>
      <c r="J536" s="0" t="n">
        <v>1.35</v>
      </c>
      <c r="K536" s="0" t="s">
        <v>60</v>
      </c>
      <c r="L536" s="0" t="n">
        <f aca="false">INDEX(Summary!$F$2:$F$201,MATCH($B536,Summary!$A$2:$A$201,0))</f>
        <v>20</v>
      </c>
      <c r="M536" s="0" t="n">
        <f aca="false">INDEX(Summary!$I$2:$I$201,MATCH($B536,Summary!$A$2:$A$201,0))</f>
        <v>3</v>
      </c>
      <c r="N536" s="0" t="n">
        <f aca="false">INDEX(Summary!$J$2:$J$201,MATCH($B536,Summary!$A$2:$A$201,0))</f>
        <v>2</v>
      </c>
      <c r="O536" s="2" t="n">
        <f aca="false">INDEX(Summary!$K$2:$K$201,MATCH($B536,Summary!$A$2:$A$201,0))</f>
        <v>9.67</v>
      </c>
      <c r="P536" s="3" t="n">
        <f aca="false">INDEX(Summary!$L$2:$L$201,MATCH($B536,Summary!$A$2:$A$201,0))</f>
        <v>5</v>
      </c>
      <c r="Q536" s="3" t="n">
        <f aca="false">INDEX(Summary!$M$2:$M$201,MATCH($B536,Summary!$A$2:$A$201,0))</f>
        <v>1</v>
      </c>
      <c r="R536" s="2" t="n">
        <f aca="false">INDEX(Summary!$N$2:$N$201,MATCH($B536,Summary!$A$2:$A$201,0))</f>
        <v>9.91</v>
      </c>
      <c r="S536" s="3" t="n">
        <f aca="false">INDEX(Summary!$O$2:$O$201,MATCH($B536,Summary!$A$2:$A$201,0))</f>
        <v>8</v>
      </c>
      <c r="T536" s="3" t="n">
        <f aca="false">INDEX(Summary!$P$2:$P$201,MATCH($B536,Summary!$A$2:$A$201,0))</f>
        <v>1</v>
      </c>
      <c r="U536" s="2" t="n">
        <f aca="false">INDEX(Summary!$Q$2:$Q$201,MATCH($B536,Summary!$A$2:$A$201,0))</f>
        <v>13.15</v>
      </c>
      <c r="V536" s="2" t="n">
        <f aca="false">INDEX(Summary!$R$2:$R$201,MATCH($B536,Summary!$A$2:$A$201,0))</f>
        <v>29.92</v>
      </c>
      <c r="W536" s="0" t="str">
        <f aca="false">INDEX(Summary!$S$2:$S$201,MATCH($B536,Summary!$A$2:$A$201,0))</f>
        <v>Gold</v>
      </c>
      <c r="X536" s="2" t="n">
        <f aca="false">INDEX(Summary!$T$2:$T$201,MATCH($B536,Summary!$A$2:$A$201,0))</f>
        <v>72.98</v>
      </c>
      <c r="Y536" s="0" t="str">
        <f aca="false">INDEX('Reward Model'!$E$18:$E$37,MATCH($E536,'Reward Model'!$A$18:$A$37,0))</f>
        <v>Medium</v>
      </c>
      <c r="Z536" s="4" t="n">
        <f aca="false">ROUND(MIN(1,MAX('Reward Model'!$B$2,INDEX('Reward Model'!$C$12:$C$14,MATCH($K536,'Reward Model'!$A$12:$A$14,0))/$J536)),3)</f>
        <v>1</v>
      </c>
      <c r="AA536" s="2" t="n">
        <f aca="false">IF($I536="Correct",ROUND(INDEX('Reward Model'!$B$12:$B$14,MATCH($K536,'Reward Model'!$A$12:$A$14,0))*Z536,2),0)</f>
        <v>2</v>
      </c>
      <c r="AB536" s="2" t="n">
        <f aca="false">IF($I536="Correct",ROUND(INDEX('Reward Model'!$B$12:$B$14,MATCH($Y536,'Reward Model'!$A$12:$A$14,0))*Z536,2),0)</f>
        <v>2</v>
      </c>
    </row>
    <row r="537" customFormat="false" ht="15" hidden="false" customHeight="false" outlineLevel="0" collapsed="false">
      <c r="A537" s="0" t="s">
        <v>179</v>
      </c>
      <c r="B537" s="0" t="s">
        <v>180</v>
      </c>
      <c r="C537" s="0" t="s">
        <v>30</v>
      </c>
      <c r="D537" s="0" t="s">
        <v>31</v>
      </c>
      <c r="E537" s="0" t="n">
        <v>16</v>
      </c>
      <c r="F537" s="0" t="s">
        <v>71</v>
      </c>
      <c r="G537" s="0" t="s">
        <v>87</v>
      </c>
      <c r="H537" s="0" t="s">
        <v>72</v>
      </c>
      <c r="I537" s="0" t="s">
        <v>39</v>
      </c>
      <c r="J537" s="0" t="n">
        <v>1.84</v>
      </c>
      <c r="K537" s="0" t="s">
        <v>73</v>
      </c>
      <c r="L537" s="0" t="n">
        <f aca="false">INDEX(Summary!$F$2:$F$201,MATCH($B537,Summary!$A$2:$A$201,0))</f>
        <v>20</v>
      </c>
      <c r="M537" s="0" t="n">
        <f aca="false">INDEX(Summary!$I$2:$I$201,MATCH($B537,Summary!$A$2:$A$201,0))</f>
        <v>3</v>
      </c>
      <c r="N537" s="0" t="n">
        <f aca="false">INDEX(Summary!$J$2:$J$201,MATCH($B537,Summary!$A$2:$A$201,0))</f>
        <v>2</v>
      </c>
      <c r="O537" s="2" t="n">
        <f aca="false">INDEX(Summary!$K$2:$K$201,MATCH($B537,Summary!$A$2:$A$201,0))</f>
        <v>9.67</v>
      </c>
      <c r="P537" s="3" t="n">
        <f aca="false">INDEX(Summary!$L$2:$L$201,MATCH($B537,Summary!$A$2:$A$201,0))</f>
        <v>5</v>
      </c>
      <c r="Q537" s="3" t="n">
        <f aca="false">INDEX(Summary!$M$2:$M$201,MATCH($B537,Summary!$A$2:$A$201,0))</f>
        <v>1</v>
      </c>
      <c r="R537" s="2" t="n">
        <f aca="false">INDEX(Summary!$N$2:$N$201,MATCH($B537,Summary!$A$2:$A$201,0))</f>
        <v>9.91</v>
      </c>
      <c r="S537" s="3" t="n">
        <f aca="false">INDEX(Summary!$O$2:$O$201,MATCH($B537,Summary!$A$2:$A$201,0))</f>
        <v>8</v>
      </c>
      <c r="T537" s="3" t="n">
        <f aca="false">INDEX(Summary!$P$2:$P$201,MATCH($B537,Summary!$A$2:$A$201,0))</f>
        <v>1</v>
      </c>
      <c r="U537" s="2" t="n">
        <f aca="false">INDEX(Summary!$Q$2:$Q$201,MATCH($B537,Summary!$A$2:$A$201,0))</f>
        <v>13.15</v>
      </c>
      <c r="V537" s="2" t="n">
        <f aca="false">INDEX(Summary!$R$2:$R$201,MATCH($B537,Summary!$A$2:$A$201,0))</f>
        <v>29.92</v>
      </c>
      <c r="W537" s="0" t="str">
        <f aca="false">INDEX(Summary!$S$2:$S$201,MATCH($B537,Summary!$A$2:$A$201,0))</f>
        <v>Gold</v>
      </c>
      <c r="X537" s="2" t="n">
        <f aca="false">INDEX(Summary!$T$2:$T$201,MATCH($B537,Summary!$A$2:$A$201,0))</f>
        <v>72.98</v>
      </c>
      <c r="Y537" s="0" t="str">
        <f aca="false">INDEX('Reward Model'!$E$18:$E$37,MATCH($E537,'Reward Model'!$A$18:$A$37,0))</f>
        <v>High</v>
      </c>
      <c r="Z537" s="4" t="n">
        <f aca="false">ROUND(MIN(1,MAX('Reward Model'!$B$2,INDEX('Reward Model'!$C$12:$C$14,MATCH($K537,'Reward Model'!$A$12:$A$14,0))/$J537)),3)</f>
        <v>1</v>
      </c>
      <c r="AA537" s="2" t="n">
        <f aca="false">IF($I537="Correct",ROUND(INDEX('Reward Model'!$B$12:$B$14,MATCH($K537,'Reward Model'!$A$12:$A$14,0))*Z537,2),0)</f>
        <v>0</v>
      </c>
      <c r="AB537" s="2" t="n">
        <f aca="false">IF($I537="Correct",ROUND(INDEX('Reward Model'!$B$12:$B$14,MATCH($Y537,'Reward Model'!$A$12:$A$14,0))*Z537,2),0)</f>
        <v>0</v>
      </c>
    </row>
    <row r="538" customFormat="false" ht="15" hidden="false" customHeight="false" outlineLevel="0" collapsed="false">
      <c r="A538" s="0" t="s">
        <v>179</v>
      </c>
      <c r="B538" s="0" t="s">
        <v>180</v>
      </c>
      <c r="C538" s="0" t="s">
        <v>30</v>
      </c>
      <c r="D538" s="0" t="s">
        <v>31</v>
      </c>
      <c r="E538" s="0" t="n">
        <v>17</v>
      </c>
      <c r="F538" s="0" t="s">
        <v>74</v>
      </c>
      <c r="G538" s="0" t="s">
        <v>75</v>
      </c>
      <c r="H538" s="0" t="s">
        <v>75</v>
      </c>
      <c r="I538" s="0" t="s">
        <v>34</v>
      </c>
      <c r="J538" s="0" t="n">
        <v>2.16</v>
      </c>
      <c r="K538" s="0" t="s">
        <v>73</v>
      </c>
      <c r="L538" s="0" t="n">
        <f aca="false">INDEX(Summary!$F$2:$F$201,MATCH($B538,Summary!$A$2:$A$201,0))</f>
        <v>20</v>
      </c>
      <c r="M538" s="0" t="n">
        <f aca="false">INDEX(Summary!$I$2:$I$201,MATCH($B538,Summary!$A$2:$A$201,0))</f>
        <v>3</v>
      </c>
      <c r="N538" s="0" t="n">
        <f aca="false">INDEX(Summary!$J$2:$J$201,MATCH($B538,Summary!$A$2:$A$201,0))</f>
        <v>2</v>
      </c>
      <c r="O538" s="2" t="n">
        <f aca="false">INDEX(Summary!$K$2:$K$201,MATCH($B538,Summary!$A$2:$A$201,0))</f>
        <v>9.67</v>
      </c>
      <c r="P538" s="3" t="n">
        <f aca="false">INDEX(Summary!$L$2:$L$201,MATCH($B538,Summary!$A$2:$A$201,0))</f>
        <v>5</v>
      </c>
      <c r="Q538" s="3" t="n">
        <f aca="false">INDEX(Summary!$M$2:$M$201,MATCH($B538,Summary!$A$2:$A$201,0))</f>
        <v>1</v>
      </c>
      <c r="R538" s="2" t="n">
        <f aca="false">INDEX(Summary!$N$2:$N$201,MATCH($B538,Summary!$A$2:$A$201,0))</f>
        <v>9.91</v>
      </c>
      <c r="S538" s="3" t="n">
        <f aca="false">INDEX(Summary!$O$2:$O$201,MATCH($B538,Summary!$A$2:$A$201,0))</f>
        <v>8</v>
      </c>
      <c r="T538" s="3" t="n">
        <f aca="false">INDEX(Summary!$P$2:$P$201,MATCH($B538,Summary!$A$2:$A$201,0))</f>
        <v>1</v>
      </c>
      <c r="U538" s="2" t="n">
        <f aca="false">INDEX(Summary!$Q$2:$Q$201,MATCH($B538,Summary!$A$2:$A$201,0))</f>
        <v>13.15</v>
      </c>
      <c r="V538" s="2" t="n">
        <f aca="false">INDEX(Summary!$R$2:$R$201,MATCH($B538,Summary!$A$2:$A$201,0))</f>
        <v>29.92</v>
      </c>
      <c r="W538" s="0" t="str">
        <f aca="false">INDEX(Summary!$S$2:$S$201,MATCH($B538,Summary!$A$2:$A$201,0))</f>
        <v>Gold</v>
      </c>
      <c r="X538" s="2" t="n">
        <f aca="false">INDEX(Summary!$T$2:$T$201,MATCH($B538,Summary!$A$2:$A$201,0))</f>
        <v>72.98</v>
      </c>
      <c r="Y538" s="0" t="str">
        <f aca="false">INDEX('Reward Model'!$E$18:$E$37,MATCH($E538,'Reward Model'!$A$18:$A$37,0))</f>
        <v>High</v>
      </c>
      <c r="Z538" s="4" t="n">
        <f aca="false">ROUND(MIN(1,MAX('Reward Model'!$B$2,INDEX('Reward Model'!$C$12:$C$14,MATCH($K538,'Reward Model'!$A$12:$A$14,0))/$J538)),3)</f>
        <v>0.926</v>
      </c>
      <c r="AA538" s="2" t="n">
        <f aca="false">IF($I538="Correct",ROUND(INDEX('Reward Model'!$B$12:$B$14,MATCH($K538,'Reward Model'!$A$12:$A$14,0))*Z538,2),0)</f>
        <v>2.78</v>
      </c>
      <c r="AB538" s="2" t="n">
        <f aca="false">IF($I538="Correct",ROUND(INDEX('Reward Model'!$B$12:$B$14,MATCH($Y538,'Reward Model'!$A$12:$A$14,0))*Z538,2),0)</f>
        <v>2.78</v>
      </c>
    </row>
    <row r="539" customFormat="false" ht="15" hidden="false" customHeight="false" outlineLevel="0" collapsed="false">
      <c r="A539" s="0" t="s">
        <v>179</v>
      </c>
      <c r="B539" s="0" t="s">
        <v>180</v>
      </c>
      <c r="C539" s="0" t="s">
        <v>30</v>
      </c>
      <c r="D539" s="0" t="s">
        <v>31</v>
      </c>
      <c r="E539" s="0" t="n">
        <v>18</v>
      </c>
      <c r="F539" s="0" t="s">
        <v>76</v>
      </c>
      <c r="G539" s="0" t="s">
        <v>56</v>
      </c>
      <c r="H539" s="0" t="s">
        <v>77</v>
      </c>
      <c r="I539" s="0" t="s">
        <v>39</v>
      </c>
      <c r="J539" s="0" t="n">
        <v>1.25</v>
      </c>
      <c r="K539" s="0" t="s">
        <v>73</v>
      </c>
      <c r="L539" s="0" t="n">
        <f aca="false">INDEX(Summary!$F$2:$F$201,MATCH($B539,Summary!$A$2:$A$201,0))</f>
        <v>20</v>
      </c>
      <c r="M539" s="0" t="n">
        <f aca="false">INDEX(Summary!$I$2:$I$201,MATCH($B539,Summary!$A$2:$A$201,0))</f>
        <v>3</v>
      </c>
      <c r="N539" s="0" t="n">
        <f aca="false">INDEX(Summary!$J$2:$J$201,MATCH($B539,Summary!$A$2:$A$201,0))</f>
        <v>2</v>
      </c>
      <c r="O539" s="2" t="n">
        <f aca="false">INDEX(Summary!$K$2:$K$201,MATCH($B539,Summary!$A$2:$A$201,0))</f>
        <v>9.67</v>
      </c>
      <c r="P539" s="3" t="n">
        <f aca="false">INDEX(Summary!$L$2:$L$201,MATCH($B539,Summary!$A$2:$A$201,0))</f>
        <v>5</v>
      </c>
      <c r="Q539" s="3" t="n">
        <f aca="false">INDEX(Summary!$M$2:$M$201,MATCH($B539,Summary!$A$2:$A$201,0))</f>
        <v>1</v>
      </c>
      <c r="R539" s="2" t="n">
        <f aca="false">INDEX(Summary!$N$2:$N$201,MATCH($B539,Summary!$A$2:$A$201,0))</f>
        <v>9.91</v>
      </c>
      <c r="S539" s="3" t="n">
        <f aca="false">INDEX(Summary!$O$2:$O$201,MATCH($B539,Summary!$A$2:$A$201,0))</f>
        <v>8</v>
      </c>
      <c r="T539" s="3" t="n">
        <f aca="false">INDEX(Summary!$P$2:$P$201,MATCH($B539,Summary!$A$2:$A$201,0))</f>
        <v>1</v>
      </c>
      <c r="U539" s="2" t="n">
        <f aca="false">INDEX(Summary!$Q$2:$Q$201,MATCH($B539,Summary!$A$2:$A$201,0))</f>
        <v>13.15</v>
      </c>
      <c r="V539" s="2" t="n">
        <f aca="false">INDEX(Summary!$R$2:$R$201,MATCH($B539,Summary!$A$2:$A$201,0))</f>
        <v>29.92</v>
      </c>
      <c r="W539" s="0" t="str">
        <f aca="false">INDEX(Summary!$S$2:$S$201,MATCH($B539,Summary!$A$2:$A$201,0))</f>
        <v>Gold</v>
      </c>
      <c r="X539" s="2" t="n">
        <f aca="false">INDEX(Summary!$T$2:$T$201,MATCH($B539,Summary!$A$2:$A$201,0))</f>
        <v>72.98</v>
      </c>
      <c r="Y539" s="0" t="str">
        <f aca="false">INDEX('Reward Model'!$E$18:$E$37,MATCH($E539,'Reward Model'!$A$18:$A$37,0))</f>
        <v>High</v>
      </c>
      <c r="Z539" s="4" t="n">
        <f aca="false">ROUND(MIN(1,MAX('Reward Model'!$B$2,INDEX('Reward Model'!$C$12:$C$14,MATCH($K539,'Reward Model'!$A$12:$A$14,0))/$J539)),3)</f>
        <v>1</v>
      </c>
      <c r="AA539" s="2" t="n">
        <f aca="false">IF($I539="Correct",ROUND(INDEX('Reward Model'!$B$12:$B$14,MATCH($K539,'Reward Model'!$A$12:$A$14,0))*Z539,2),0)</f>
        <v>0</v>
      </c>
      <c r="AB539" s="2" t="n">
        <f aca="false">IF($I539="Correct",ROUND(INDEX('Reward Model'!$B$12:$B$14,MATCH($Y539,'Reward Model'!$A$12:$A$14,0))*Z539,2),0)</f>
        <v>0</v>
      </c>
    </row>
    <row r="540" customFormat="false" ht="15" hidden="false" customHeight="false" outlineLevel="0" collapsed="false">
      <c r="A540" s="0" t="s">
        <v>179</v>
      </c>
      <c r="B540" s="0" t="s">
        <v>180</v>
      </c>
      <c r="C540" s="0" t="s">
        <v>30</v>
      </c>
      <c r="D540" s="0" t="s">
        <v>31</v>
      </c>
      <c r="E540" s="0" t="n">
        <v>19</v>
      </c>
      <c r="F540" s="0" t="s">
        <v>78</v>
      </c>
      <c r="G540" s="0" t="s">
        <v>80</v>
      </c>
      <c r="H540" s="0" t="s">
        <v>80</v>
      </c>
      <c r="I540" s="0" t="s">
        <v>34</v>
      </c>
      <c r="J540" s="0" t="n">
        <v>2.56</v>
      </c>
      <c r="K540" s="0" t="s">
        <v>73</v>
      </c>
      <c r="L540" s="0" t="n">
        <f aca="false">INDEX(Summary!$F$2:$F$201,MATCH($B540,Summary!$A$2:$A$201,0))</f>
        <v>20</v>
      </c>
      <c r="M540" s="0" t="n">
        <f aca="false">INDEX(Summary!$I$2:$I$201,MATCH($B540,Summary!$A$2:$A$201,0))</f>
        <v>3</v>
      </c>
      <c r="N540" s="0" t="n">
        <f aca="false">INDEX(Summary!$J$2:$J$201,MATCH($B540,Summary!$A$2:$A$201,0))</f>
        <v>2</v>
      </c>
      <c r="O540" s="2" t="n">
        <f aca="false">INDEX(Summary!$K$2:$K$201,MATCH($B540,Summary!$A$2:$A$201,0))</f>
        <v>9.67</v>
      </c>
      <c r="P540" s="3" t="n">
        <f aca="false">INDEX(Summary!$L$2:$L$201,MATCH($B540,Summary!$A$2:$A$201,0))</f>
        <v>5</v>
      </c>
      <c r="Q540" s="3" t="n">
        <f aca="false">INDEX(Summary!$M$2:$M$201,MATCH($B540,Summary!$A$2:$A$201,0))</f>
        <v>1</v>
      </c>
      <c r="R540" s="2" t="n">
        <f aca="false">INDEX(Summary!$N$2:$N$201,MATCH($B540,Summary!$A$2:$A$201,0))</f>
        <v>9.91</v>
      </c>
      <c r="S540" s="3" t="n">
        <f aca="false">INDEX(Summary!$O$2:$O$201,MATCH($B540,Summary!$A$2:$A$201,0))</f>
        <v>8</v>
      </c>
      <c r="T540" s="3" t="n">
        <f aca="false">INDEX(Summary!$P$2:$P$201,MATCH($B540,Summary!$A$2:$A$201,0))</f>
        <v>1</v>
      </c>
      <c r="U540" s="2" t="n">
        <f aca="false">INDEX(Summary!$Q$2:$Q$201,MATCH($B540,Summary!$A$2:$A$201,0))</f>
        <v>13.15</v>
      </c>
      <c r="V540" s="2" t="n">
        <f aca="false">INDEX(Summary!$R$2:$R$201,MATCH($B540,Summary!$A$2:$A$201,0))</f>
        <v>29.92</v>
      </c>
      <c r="W540" s="0" t="str">
        <f aca="false">INDEX(Summary!$S$2:$S$201,MATCH($B540,Summary!$A$2:$A$201,0))</f>
        <v>Gold</v>
      </c>
      <c r="X540" s="2" t="n">
        <f aca="false">INDEX(Summary!$T$2:$T$201,MATCH($B540,Summary!$A$2:$A$201,0))</f>
        <v>72.98</v>
      </c>
      <c r="Y540" s="0" t="str">
        <f aca="false">INDEX('Reward Model'!$E$18:$E$37,MATCH($E540,'Reward Model'!$A$18:$A$37,0))</f>
        <v>High</v>
      </c>
      <c r="Z540" s="4" t="n">
        <f aca="false">ROUND(MIN(1,MAX('Reward Model'!$B$2,INDEX('Reward Model'!$C$12:$C$14,MATCH($K540,'Reward Model'!$A$12:$A$14,0))/$J540)),3)</f>
        <v>0.781</v>
      </c>
      <c r="AA540" s="2" t="n">
        <f aca="false">IF($I540="Correct",ROUND(INDEX('Reward Model'!$B$12:$B$14,MATCH($K540,'Reward Model'!$A$12:$A$14,0))*Z540,2),0)</f>
        <v>2.34</v>
      </c>
      <c r="AB540" s="2" t="n">
        <f aca="false">IF($I540="Correct",ROUND(INDEX('Reward Model'!$B$12:$B$14,MATCH($Y540,'Reward Model'!$A$12:$A$14,0))*Z540,2),0)</f>
        <v>2.34</v>
      </c>
    </row>
    <row r="541" customFormat="false" ht="15" hidden="false" customHeight="false" outlineLevel="0" collapsed="false">
      <c r="A541" s="0" t="s">
        <v>179</v>
      </c>
      <c r="B541" s="0" t="s">
        <v>180</v>
      </c>
      <c r="C541" s="0" t="s">
        <v>30</v>
      </c>
      <c r="D541" s="0" t="s">
        <v>31</v>
      </c>
      <c r="E541" s="0" t="n">
        <v>20</v>
      </c>
      <c r="F541" s="0" t="s">
        <v>81</v>
      </c>
      <c r="G541" s="0" t="s">
        <v>83</v>
      </c>
      <c r="H541" s="0" t="s">
        <v>83</v>
      </c>
      <c r="I541" s="0" t="s">
        <v>34</v>
      </c>
      <c r="J541" s="0" t="n">
        <v>1.86</v>
      </c>
      <c r="K541" s="0" t="s">
        <v>73</v>
      </c>
      <c r="L541" s="0" t="n">
        <f aca="false">INDEX(Summary!$F$2:$F$201,MATCH($B541,Summary!$A$2:$A$201,0))</f>
        <v>20</v>
      </c>
      <c r="M541" s="0" t="n">
        <f aca="false">INDEX(Summary!$I$2:$I$201,MATCH($B541,Summary!$A$2:$A$201,0))</f>
        <v>3</v>
      </c>
      <c r="N541" s="0" t="n">
        <f aca="false">INDEX(Summary!$J$2:$J$201,MATCH($B541,Summary!$A$2:$A$201,0))</f>
        <v>2</v>
      </c>
      <c r="O541" s="2" t="n">
        <f aca="false">INDEX(Summary!$K$2:$K$201,MATCH($B541,Summary!$A$2:$A$201,0))</f>
        <v>9.67</v>
      </c>
      <c r="P541" s="3" t="n">
        <f aca="false">INDEX(Summary!$L$2:$L$201,MATCH($B541,Summary!$A$2:$A$201,0))</f>
        <v>5</v>
      </c>
      <c r="Q541" s="3" t="n">
        <f aca="false">INDEX(Summary!$M$2:$M$201,MATCH($B541,Summary!$A$2:$A$201,0))</f>
        <v>1</v>
      </c>
      <c r="R541" s="2" t="n">
        <f aca="false">INDEX(Summary!$N$2:$N$201,MATCH($B541,Summary!$A$2:$A$201,0))</f>
        <v>9.91</v>
      </c>
      <c r="S541" s="3" t="n">
        <f aca="false">INDEX(Summary!$O$2:$O$201,MATCH($B541,Summary!$A$2:$A$201,0))</f>
        <v>8</v>
      </c>
      <c r="T541" s="3" t="n">
        <f aca="false">INDEX(Summary!$P$2:$P$201,MATCH($B541,Summary!$A$2:$A$201,0))</f>
        <v>1</v>
      </c>
      <c r="U541" s="2" t="n">
        <f aca="false">INDEX(Summary!$Q$2:$Q$201,MATCH($B541,Summary!$A$2:$A$201,0))</f>
        <v>13.15</v>
      </c>
      <c r="V541" s="2" t="n">
        <f aca="false">INDEX(Summary!$R$2:$R$201,MATCH($B541,Summary!$A$2:$A$201,0))</f>
        <v>29.92</v>
      </c>
      <c r="W541" s="0" t="str">
        <f aca="false">INDEX(Summary!$S$2:$S$201,MATCH($B541,Summary!$A$2:$A$201,0))</f>
        <v>Gold</v>
      </c>
      <c r="X541" s="2" t="n">
        <f aca="false">INDEX(Summary!$T$2:$T$201,MATCH($B541,Summary!$A$2:$A$201,0))</f>
        <v>72.98</v>
      </c>
      <c r="Y541" s="0" t="str">
        <f aca="false">INDEX('Reward Model'!$E$18:$E$37,MATCH($E541,'Reward Model'!$A$18:$A$37,0))</f>
        <v>High</v>
      </c>
      <c r="Z541" s="4" t="n">
        <f aca="false">ROUND(MIN(1,MAX('Reward Model'!$B$2,INDEX('Reward Model'!$C$12:$C$14,MATCH($K541,'Reward Model'!$A$12:$A$14,0))/$J541)),3)</f>
        <v>1</v>
      </c>
      <c r="AA541" s="2" t="n">
        <f aca="false">IF($I541="Correct",ROUND(INDEX('Reward Model'!$B$12:$B$14,MATCH($K541,'Reward Model'!$A$12:$A$14,0))*Z541,2),0)</f>
        <v>3</v>
      </c>
      <c r="AB541" s="2" t="n">
        <f aca="false">IF($I541="Correct",ROUND(INDEX('Reward Model'!$B$12:$B$14,MATCH($Y541,'Reward Model'!$A$12:$A$14,0))*Z541,2),0)</f>
        <v>3</v>
      </c>
    </row>
    <row r="542" customFormat="false" ht="15" hidden="false" customHeight="false" outlineLevel="0" collapsed="false">
      <c r="A542" s="0" t="s">
        <v>181</v>
      </c>
      <c r="B542" s="0" t="s">
        <v>182</v>
      </c>
      <c r="C542" s="0" t="s">
        <v>30</v>
      </c>
      <c r="D542" s="0" t="s">
        <v>31</v>
      </c>
      <c r="E542" s="0" t="n">
        <v>1</v>
      </c>
      <c r="F542" s="0" t="s">
        <v>32</v>
      </c>
      <c r="G542" s="0" t="s">
        <v>33</v>
      </c>
      <c r="H542" s="0" t="s">
        <v>33</v>
      </c>
      <c r="I542" s="0" t="s">
        <v>34</v>
      </c>
      <c r="J542" s="0" t="n">
        <v>1.98</v>
      </c>
      <c r="K542" s="0" t="s">
        <v>35</v>
      </c>
      <c r="L542" s="0" t="n">
        <f aca="false">INDEX(Summary!$F$2:$F$201,MATCH($B542,Summary!$A$2:$A$201,0))</f>
        <v>20</v>
      </c>
      <c r="M542" s="0" t="n">
        <f aca="false">INDEX(Summary!$I$2:$I$201,MATCH($B542,Summary!$A$2:$A$201,0))</f>
        <v>1</v>
      </c>
      <c r="N542" s="0" t="n">
        <f aca="false">INDEX(Summary!$J$2:$J$201,MATCH($B542,Summary!$A$2:$A$201,0))</f>
        <v>4</v>
      </c>
      <c r="O542" s="2" t="n">
        <f aca="false">INDEX(Summary!$K$2:$K$201,MATCH($B542,Summary!$A$2:$A$201,0))</f>
        <v>9.87</v>
      </c>
      <c r="P542" s="3" t="n">
        <f aca="false">INDEX(Summary!$L$2:$L$201,MATCH($B542,Summary!$A$2:$A$201,0))</f>
        <v>5</v>
      </c>
      <c r="Q542" s="3" t="n">
        <f aca="false">INDEX(Summary!$M$2:$M$201,MATCH($B542,Summary!$A$2:$A$201,0))</f>
        <v>1</v>
      </c>
      <c r="R542" s="2" t="n">
        <f aca="false">INDEX(Summary!$N$2:$N$201,MATCH($B542,Summary!$A$2:$A$201,0))</f>
        <v>10.53</v>
      </c>
      <c r="S542" s="3" t="n">
        <f aca="false">INDEX(Summary!$O$2:$O$201,MATCH($B542,Summary!$A$2:$A$201,0))</f>
        <v>7</v>
      </c>
      <c r="T542" s="3" t="n">
        <f aca="false">INDEX(Summary!$P$2:$P$201,MATCH($B542,Summary!$A$2:$A$201,0))</f>
        <v>2</v>
      </c>
      <c r="U542" s="2" t="n">
        <f aca="false">INDEX(Summary!$Q$2:$Q$201,MATCH($B542,Summary!$A$2:$A$201,0))</f>
        <v>14.18</v>
      </c>
      <c r="V542" s="2" t="n">
        <f aca="false">INDEX(Summary!$R$2:$R$201,MATCH($B542,Summary!$A$2:$A$201,0))</f>
        <v>22.44</v>
      </c>
      <c r="W542" s="0" t="str">
        <f aca="false">INDEX(Summary!$S$2:$S$201,MATCH($B542,Summary!$A$2:$A$201,0))</f>
        <v>Silver</v>
      </c>
      <c r="X542" s="2" t="n">
        <f aca="false">INDEX(Summary!$T$2:$T$201,MATCH($B542,Summary!$A$2:$A$201,0))</f>
        <v>54.73</v>
      </c>
      <c r="Y542" s="0" t="str">
        <f aca="false">INDEX('Reward Model'!$E$18:$E$37,MATCH($E542,'Reward Model'!$A$18:$A$37,0))</f>
        <v>Medium</v>
      </c>
      <c r="Z542" s="4" t="n">
        <f aca="false">ROUND(MIN(1,MAX('Reward Model'!$B$2,INDEX('Reward Model'!$C$12:$C$14,MATCH($K542,'Reward Model'!$A$12:$A$14,0))/$J542)),3)</f>
        <v>0.758</v>
      </c>
      <c r="AA542" s="2" t="n">
        <f aca="false">IF($I542="Correct",ROUND(INDEX('Reward Model'!$B$12:$B$14,MATCH($K542,'Reward Model'!$A$12:$A$14,0))*Z542,2),0)</f>
        <v>0.76</v>
      </c>
      <c r="AB542" s="2" t="n">
        <f aca="false">IF($I542="Correct",ROUND(INDEX('Reward Model'!$B$12:$B$14,MATCH($Y542,'Reward Model'!$A$12:$A$14,0))*Z542,2),0)</f>
        <v>1.52</v>
      </c>
    </row>
    <row r="543" customFormat="false" ht="15" hidden="false" customHeight="false" outlineLevel="0" collapsed="false">
      <c r="A543" s="0" t="s">
        <v>181</v>
      </c>
      <c r="B543" s="0" t="s">
        <v>182</v>
      </c>
      <c r="C543" s="0" t="s">
        <v>30</v>
      </c>
      <c r="D543" s="0" t="s">
        <v>31</v>
      </c>
      <c r="E543" s="0" t="n">
        <v>2</v>
      </c>
      <c r="F543" s="0" t="s">
        <v>36</v>
      </c>
      <c r="G543" s="0" t="s">
        <v>94</v>
      </c>
      <c r="H543" s="0" t="s">
        <v>38</v>
      </c>
      <c r="I543" s="0" t="s">
        <v>39</v>
      </c>
      <c r="J543" s="0" t="n">
        <v>1.7</v>
      </c>
      <c r="K543" s="0" t="s">
        <v>35</v>
      </c>
      <c r="L543" s="0" t="n">
        <f aca="false">INDEX(Summary!$F$2:$F$201,MATCH($B543,Summary!$A$2:$A$201,0))</f>
        <v>20</v>
      </c>
      <c r="M543" s="0" t="n">
        <f aca="false">INDEX(Summary!$I$2:$I$201,MATCH($B543,Summary!$A$2:$A$201,0))</f>
        <v>1</v>
      </c>
      <c r="N543" s="0" t="n">
        <f aca="false">INDEX(Summary!$J$2:$J$201,MATCH($B543,Summary!$A$2:$A$201,0))</f>
        <v>4</v>
      </c>
      <c r="O543" s="2" t="n">
        <f aca="false">INDEX(Summary!$K$2:$K$201,MATCH($B543,Summary!$A$2:$A$201,0))</f>
        <v>9.87</v>
      </c>
      <c r="P543" s="3" t="n">
        <f aca="false">INDEX(Summary!$L$2:$L$201,MATCH($B543,Summary!$A$2:$A$201,0))</f>
        <v>5</v>
      </c>
      <c r="Q543" s="3" t="n">
        <f aca="false">INDEX(Summary!$M$2:$M$201,MATCH($B543,Summary!$A$2:$A$201,0))</f>
        <v>1</v>
      </c>
      <c r="R543" s="2" t="n">
        <f aca="false">INDEX(Summary!$N$2:$N$201,MATCH($B543,Summary!$A$2:$A$201,0))</f>
        <v>10.53</v>
      </c>
      <c r="S543" s="3" t="n">
        <f aca="false">INDEX(Summary!$O$2:$O$201,MATCH($B543,Summary!$A$2:$A$201,0))</f>
        <v>7</v>
      </c>
      <c r="T543" s="3" t="n">
        <f aca="false">INDEX(Summary!$P$2:$P$201,MATCH($B543,Summary!$A$2:$A$201,0))</f>
        <v>2</v>
      </c>
      <c r="U543" s="2" t="n">
        <f aca="false">INDEX(Summary!$Q$2:$Q$201,MATCH($B543,Summary!$A$2:$A$201,0))</f>
        <v>14.18</v>
      </c>
      <c r="V543" s="2" t="n">
        <f aca="false">INDEX(Summary!$R$2:$R$201,MATCH($B543,Summary!$A$2:$A$201,0))</f>
        <v>22.44</v>
      </c>
      <c r="W543" s="0" t="str">
        <f aca="false">INDEX(Summary!$S$2:$S$201,MATCH($B543,Summary!$A$2:$A$201,0))</f>
        <v>Silver</v>
      </c>
      <c r="X543" s="2" t="n">
        <f aca="false">INDEX(Summary!$T$2:$T$201,MATCH($B543,Summary!$A$2:$A$201,0))</f>
        <v>54.73</v>
      </c>
      <c r="Y543" s="0" t="str">
        <f aca="false">INDEX('Reward Model'!$E$18:$E$37,MATCH($E543,'Reward Model'!$A$18:$A$37,0))</f>
        <v>Low</v>
      </c>
      <c r="Z543" s="4" t="n">
        <f aca="false">ROUND(MIN(1,MAX('Reward Model'!$B$2,INDEX('Reward Model'!$C$12:$C$14,MATCH($K543,'Reward Model'!$A$12:$A$14,0))/$J543)),3)</f>
        <v>0.882</v>
      </c>
      <c r="AA543" s="2" t="n">
        <f aca="false">IF($I543="Correct",ROUND(INDEX('Reward Model'!$B$12:$B$14,MATCH($K543,'Reward Model'!$A$12:$A$14,0))*Z543,2),0)</f>
        <v>0</v>
      </c>
      <c r="AB543" s="2" t="n">
        <f aca="false">IF($I543="Correct",ROUND(INDEX('Reward Model'!$B$12:$B$14,MATCH($Y543,'Reward Model'!$A$12:$A$14,0))*Z543,2),0)</f>
        <v>0</v>
      </c>
    </row>
    <row r="544" customFormat="false" ht="15" hidden="false" customHeight="false" outlineLevel="0" collapsed="false">
      <c r="A544" s="0" t="s">
        <v>181</v>
      </c>
      <c r="B544" s="0" t="s">
        <v>182</v>
      </c>
      <c r="C544" s="0" t="s">
        <v>30</v>
      </c>
      <c r="D544" s="0" t="s">
        <v>31</v>
      </c>
      <c r="E544" s="0" t="n">
        <v>3</v>
      </c>
      <c r="F544" s="0" t="s">
        <v>40</v>
      </c>
      <c r="G544" s="0" t="s">
        <v>42</v>
      </c>
      <c r="H544" s="0" t="s">
        <v>42</v>
      </c>
      <c r="I544" s="0" t="s">
        <v>34</v>
      </c>
      <c r="J544" s="0" t="n">
        <v>1.79</v>
      </c>
      <c r="K544" s="0" t="s">
        <v>35</v>
      </c>
      <c r="L544" s="0" t="n">
        <f aca="false">INDEX(Summary!$F$2:$F$201,MATCH($B544,Summary!$A$2:$A$201,0))</f>
        <v>20</v>
      </c>
      <c r="M544" s="0" t="n">
        <f aca="false">INDEX(Summary!$I$2:$I$201,MATCH($B544,Summary!$A$2:$A$201,0))</f>
        <v>1</v>
      </c>
      <c r="N544" s="0" t="n">
        <f aca="false">INDEX(Summary!$J$2:$J$201,MATCH($B544,Summary!$A$2:$A$201,0))</f>
        <v>4</v>
      </c>
      <c r="O544" s="2" t="n">
        <f aca="false">INDEX(Summary!$K$2:$K$201,MATCH($B544,Summary!$A$2:$A$201,0))</f>
        <v>9.87</v>
      </c>
      <c r="P544" s="3" t="n">
        <f aca="false">INDEX(Summary!$L$2:$L$201,MATCH($B544,Summary!$A$2:$A$201,0))</f>
        <v>5</v>
      </c>
      <c r="Q544" s="3" t="n">
        <f aca="false">INDEX(Summary!$M$2:$M$201,MATCH($B544,Summary!$A$2:$A$201,0))</f>
        <v>1</v>
      </c>
      <c r="R544" s="2" t="n">
        <f aca="false">INDEX(Summary!$N$2:$N$201,MATCH($B544,Summary!$A$2:$A$201,0))</f>
        <v>10.53</v>
      </c>
      <c r="S544" s="3" t="n">
        <f aca="false">INDEX(Summary!$O$2:$O$201,MATCH($B544,Summary!$A$2:$A$201,0))</f>
        <v>7</v>
      </c>
      <c r="T544" s="3" t="n">
        <f aca="false">INDEX(Summary!$P$2:$P$201,MATCH($B544,Summary!$A$2:$A$201,0))</f>
        <v>2</v>
      </c>
      <c r="U544" s="2" t="n">
        <f aca="false">INDEX(Summary!$Q$2:$Q$201,MATCH($B544,Summary!$A$2:$A$201,0))</f>
        <v>14.18</v>
      </c>
      <c r="V544" s="2" t="n">
        <f aca="false">INDEX(Summary!$R$2:$R$201,MATCH($B544,Summary!$A$2:$A$201,0))</f>
        <v>22.44</v>
      </c>
      <c r="W544" s="0" t="str">
        <f aca="false">INDEX(Summary!$S$2:$S$201,MATCH($B544,Summary!$A$2:$A$201,0))</f>
        <v>Silver</v>
      </c>
      <c r="X544" s="2" t="n">
        <f aca="false">INDEX(Summary!$T$2:$T$201,MATCH($B544,Summary!$A$2:$A$201,0))</f>
        <v>54.73</v>
      </c>
      <c r="Y544" s="0" t="str">
        <f aca="false">INDEX('Reward Model'!$E$18:$E$37,MATCH($E544,'Reward Model'!$A$18:$A$37,0))</f>
        <v>Medium</v>
      </c>
      <c r="Z544" s="4" t="n">
        <f aca="false">ROUND(MIN(1,MAX('Reward Model'!$B$2,INDEX('Reward Model'!$C$12:$C$14,MATCH($K544,'Reward Model'!$A$12:$A$14,0))/$J544)),3)</f>
        <v>0.838</v>
      </c>
      <c r="AA544" s="2" t="n">
        <f aca="false">IF($I544="Correct",ROUND(INDEX('Reward Model'!$B$12:$B$14,MATCH($K544,'Reward Model'!$A$12:$A$14,0))*Z544,2),0)</f>
        <v>0.84</v>
      </c>
      <c r="AB544" s="2" t="n">
        <f aca="false">IF($I544="Correct",ROUND(INDEX('Reward Model'!$B$12:$B$14,MATCH($Y544,'Reward Model'!$A$12:$A$14,0))*Z544,2),0)</f>
        <v>1.68</v>
      </c>
    </row>
    <row r="545" customFormat="false" ht="15" hidden="false" customHeight="false" outlineLevel="0" collapsed="false">
      <c r="A545" s="0" t="s">
        <v>181</v>
      </c>
      <c r="B545" s="0" t="s">
        <v>182</v>
      </c>
      <c r="C545" s="0" t="s">
        <v>30</v>
      </c>
      <c r="D545" s="0" t="s">
        <v>31</v>
      </c>
      <c r="E545" s="0" t="n">
        <v>4</v>
      </c>
      <c r="F545" s="0" t="s">
        <v>43</v>
      </c>
      <c r="G545" s="0" t="s">
        <v>111</v>
      </c>
      <c r="H545" s="0" t="s">
        <v>45</v>
      </c>
      <c r="I545" s="0" t="s">
        <v>39</v>
      </c>
      <c r="J545" s="0" t="n">
        <v>1.5</v>
      </c>
      <c r="K545" s="0" t="s">
        <v>35</v>
      </c>
      <c r="L545" s="0" t="n">
        <f aca="false">INDEX(Summary!$F$2:$F$201,MATCH($B545,Summary!$A$2:$A$201,0))</f>
        <v>20</v>
      </c>
      <c r="M545" s="0" t="n">
        <f aca="false">INDEX(Summary!$I$2:$I$201,MATCH($B545,Summary!$A$2:$A$201,0))</f>
        <v>1</v>
      </c>
      <c r="N545" s="0" t="n">
        <f aca="false">INDEX(Summary!$J$2:$J$201,MATCH($B545,Summary!$A$2:$A$201,0))</f>
        <v>4</v>
      </c>
      <c r="O545" s="2" t="n">
        <f aca="false">INDEX(Summary!$K$2:$K$201,MATCH($B545,Summary!$A$2:$A$201,0))</f>
        <v>9.87</v>
      </c>
      <c r="P545" s="3" t="n">
        <f aca="false">INDEX(Summary!$L$2:$L$201,MATCH($B545,Summary!$A$2:$A$201,0))</f>
        <v>5</v>
      </c>
      <c r="Q545" s="3" t="n">
        <f aca="false">INDEX(Summary!$M$2:$M$201,MATCH($B545,Summary!$A$2:$A$201,0))</f>
        <v>1</v>
      </c>
      <c r="R545" s="2" t="n">
        <f aca="false">INDEX(Summary!$N$2:$N$201,MATCH($B545,Summary!$A$2:$A$201,0))</f>
        <v>10.53</v>
      </c>
      <c r="S545" s="3" t="n">
        <f aca="false">INDEX(Summary!$O$2:$O$201,MATCH($B545,Summary!$A$2:$A$201,0))</f>
        <v>7</v>
      </c>
      <c r="T545" s="3" t="n">
        <f aca="false">INDEX(Summary!$P$2:$P$201,MATCH($B545,Summary!$A$2:$A$201,0))</f>
        <v>2</v>
      </c>
      <c r="U545" s="2" t="n">
        <f aca="false">INDEX(Summary!$Q$2:$Q$201,MATCH($B545,Summary!$A$2:$A$201,0))</f>
        <v>14.18</v>
      </c>
      <c r="V545" s="2" t="n">
        <f aca="false">INDEX(Summary!$R$2:$R$201,MATCH($B545,Summary!$A$2:$A$201,0))</f>
        <v>22.44</v>
      </c>
      <c r="W545" s="0" t="str">
        <f aca="false">INDEX(Summary!$S$2:$S$201,MATCH($B545,Summary!$A$2:$A$201,0))</f>
        <v>Silver</v>
      </c>
      <c r="X545" s="2" t="n">
        <f aca="false">INDEX(Summary!$T$2:$T$201,MATCH($B545,Summary!$A$2:$A$201,0))</f>
        <v>54.73</v>
      </c>
      <c r="Y545" s="0" t="str">
        <f aca="false">INDEX('Reward Model'!$E$18:$E$37,MATCH($E545,'Reward Model'!$A$18:$A$37,0))</f>
        <v>Low</v>
      </c>
      <c r="Z545" s="4" t="n">
        <f aca="false">ROUND(MIN(1,MAX('Reward Model'!$B$2,INDEX('Reward Model'!$C$12:$C$14,MATCH($K545,'Reward Model'!$A$12:$A$14,0))/$J545)),3)</f>
        <v>1</v>
      </c>
      <c r="AA545" s="2" t="n">
        <f aca="false">IF($I545="Correct",ROUND(INDEX('Reward Model'!$B$12:$B$14,MATCH($K545,'Reward Model'!$A$12:$A$14,0))*Z545,2),0)</f>
        <v>0</v>
      </c>
      <c r="AB545" s="2" t="n">
        <f aca="false">IF($I545="Correct",ROUND(INDEX('Reward Model'!$B$12:$B$14,MATCH($Y545,'Reward Model'!$A$12:$A$14,0))*Z545,2),0)</f>
        <v>0</v>
      </c>
    </row>
    <row r="546" customFormat="false" ht="15" hidden="false" customHeight="false" outlineLevel="0" collapsed="false">
      <c r="A546" s="0" t="s">
        <v>181</v>
      </c>
      <c r="B546" s="0" t="s">
        <v>182</v>
      </c>
      <c r="C546" s="0" t="s">
        <v>30</v>
      </c>
      <c r="D546" s="0" t="s">
        <v>31</v>
      </c>
      <c r="E546" s="0" t="n">
        <v>5</v>
      </c>
      <c r="F546" s="0" t="s">
        <v>46</v>
      </c>
      <c r="G546" s="0" t="s">
        <v>47</v>
      </c>
      <c r="H546" s="0" t="s">
        <v>47</v>
      </c>
      <c r="I546" s="0" t="s">
        <v>34</v>
      </c>
      <c r="J546" s="0" t="n">
        <v>1.84</v>
      </c>
      <c r="K546" s="0" t="s">
        <v>35</v>
      </c>
      <c r="L546" s="0" t="n">
        <f aca="false">INDEX(Summary!$F$2:$F$201,MATCH($B546,Summary!$A$2:$A$201,0))</f>
        <v>20</v>
      </c>
      <c r="M546" s="0" t="n">
        <f aca="false">INDEX(Summary!$I$2:$I$201,MATCH($B546,Summary!$A$2:$A$201,0))</f>
        <v>1</v>
      </c>
      <c r="N546" s="0" t="n">
        <f aca="false">INDEX(Summary!$J$2:$J$201,MATCH($B546,Summary!$A$2:$A$201,0))</f>
        <v>4</v>
      </c>
      <c r="O546" s="2" t="n">
        <f aca="false">INDEX(Summary!$K$2:$K$201,MATCH($B546,Summary!$A$2:$A$201,0))</f>
        <v>9.87</v>
      </c>
      <c r="P546" s="3" t="n">
        <f aca="false">INDEX(Summary!$L$2:$L$201,MATCH($B546,Summary!$A$2:$A$201,0))</f>
        <v>5</v>
      </c>
      <c r="Q546" s="3" t="n">
        <f aca="false">INDEX(Summary!$M$2:$M$201,MATCH($B546,Summary!$A$2:$A$201,0))</f>
        <v>1</v>
      </c>
      <c r="R546" s="2" t="n">
        <f aca="false">INDEX(Summary!$N$2:$N$201,MATCH($B546,Summary!$A$2:$A$201,0))</f>
        <v>10.53</v>
      </c>
      <c r="S546" s="3" t="n">
        <f aca="false">INDEX(Summary!$O$2:$O$201,MATCH($B546,Summary!$A$2:$A$201,0))</f>
        <v>7</v>
      </c>
      <c r="T546" s="3" t="n">
        <f aca="false">INDEX(Summary!$P$2:$P$201,MATCH($B546,Summary!$A$2:$A$201,0))</f>
        <v>2</v>
      </c>
      <c r="U546" s="2" t="n">
        <f aca="false">INDEX(Summary!$Q$2:$Q$201,MATCH($B546,Summary!$A$2:$A$201,0))</f>
        <v>14.18</v>
      </c>
      <c r="V546" s="2" t="n">
        <f aca="false">INDEX(Summary!$R$2:$R$201,MATCH($B546,Summary!$A$2:$A$201,0))</f>
        <v>22.44</v>
      </c>
      <c r="W546" s="0" t="str">
        <f aca="false">INDEX(Summary!$S$2:$S$201,MATCH($B546,Summary!$A$2:$A$201,0))</f>
        <v>Silver</v>
      </c>
      <c r="X546" s="2" t="n">
        <f aca="false">INDEX(Summary!$T$2:$T$201,MATCH($B546,Summary!$A$2:$A$201,0))</f>
        <v>54.73</v>
      </c>
      <c r="Y546" s="0" t="str">
        <f aca="false">INDEX('Reward Model'!$E$18:$E$37,MATCH($E546,'Reward Model'!$A$18:$A$37,0))</f>
        <v>Low</v>
      </c>
      <c r="Z546" s="4" t="n">
        <f aca="false">ROUND(MIN(1,MAX('Reward Model'!$B$2,INDEX('Reward Model'!$C$12:$C$14,MATCH($K546,'Reward Model'!$A$12:$A$14,0))/$J546)),3)</f>
        <v>0.815</v>
      </c>
      <c r="AA546" s="2" t="n">
        <f aca="false">IF($I546="Correct",ROUND(INDEX('Reward Model'!$B$12:$B$14,MATCH($K546,'Reward Model'!$A$12:$A$14,0))*Z546,2),0)</f>
        <v>0.82</v>
      </c>
      <c r="AB546" s="2" t="n">
        <f aca="false">IF($I546="Correct",ROUND(INDEX('Reward Model'!$B$12:$B$14,MATCH($Y546,'Reward Model'!$A$12:$A$14,0))*Z546,2),0)</f>
        <v>0.82</v>
      </c>
    </row>
    <row r="547" customFormat="false" ht="15" hidden="false" customHeight="false" outlineLevel="0" collapsed="false">
      <c r="A547" s="0" t="s">
        <v>181</v>
      </c>
      <c r="B547" s="0" t="s">
        <v>182</v>
      </c>
      <c r="C547" s="0" t="s">
        <v>30</v>
      </c>
      <c r="D547" s="0" t="s">
        <v>31</v>
      </c>
      <c r="E547" s="0" t="n">
        <v>6</v>
      </c>
      <c r="F547" s="0" t="s">
        <v>48</v>
      </c>
      <c r="G547" s="0" t="s">
        <v>49</v>
      </c>
      <c r="H547" s="0" t="s">
        <v>49</v>
      </c>
      <c r="I547" s="0" t="s">
        <v>34</v>
      </c>
      <c r="J547" s="0" t="n">
        <v>1.71</v>
      </c>
      <c r="K547" s="0" t="s">
        <v>35</v>
      </c>
      <c r="L547" s="0" t="n">
        <f aca="false">INDEX(Summary!$F$2:$F$201,MATCH($B547,Summary!$A$2:$A$201,0))</f>
        <v>20</v>
      </c>
      <c r="M547" s="0" t="n">
        <f aca="false">INDEX(Summary!$I$2:$I$201,MATCH($B547,Summary!$A$2:$A$201,0))</f>
        <v>1</v>
      </c>
      <c r="N547" s="0" t="n">
        <f aca="false">INDEX(Summary!$J$2:$J$201,MATCH($B547,Summary!$A$2:$A$201,0))</f>
        <v>4</v>
      </c>
      <c r="O547" s="2" t="n">
        <f aca="false">INDEX(Summary!$K$2:$K$201,MATCH($B547,Summary!$A$2:$A$201,0))</f>
        <v>9.87</v>
      </c>
      <c r="P547" s="3" t="n">
        <f aca="false">INDEX(Summary!$L$2:$L$201,MATCH($B547,Summary!$A$2:$A$201,0))</f>
        <v>5</v>
      </c>
      <c r="Q547" s="3" t="n">
        <f aca="false">INDEX(Summary!$M$2:$M$201,MATCH($B547,Summary!$A$2:$A$201,0))</f>
        <v>1</v>
      </c>
      <c r="R547" s="2" t="n">
        <f aca="false">INDEX(Summary!$N$2:$N$201,MATCH($B547,Summary!$A$2:$A$201,0))</f>
        <v>10.53</v>
      </c>
      <c r="S547" s="3" t="n">
        <f aca="false">INDEX(Summary!$O$2:$O$201,MATCH($B547,Summary!$A$2:$A$201,0))</f>
        <v>7</v>
      </c>
      <c r="T547" s="3" t="n">
        <f aca="false">INDEX(Summary!$P$2:$P$201,MATCH($B547,Summary!$A$2:$A$201,0))</f>
        <v>2</v>
      </c>
      <c r="U547" s="2" t="n">
        <f aca="false">INDEX(Summary!$Q$2:$Q$201,MATCH($B547,Summary!$A$2:$A$201,0))</f>
        <v>14.18</v>
      </c>
      <c r="V547" s="2" t="n">
        <f aca="false">INDEX(Summary!$R$2:$R$201,MATCH($B547,Summary!$A$2:$A$201,0))</f>
        <v>22.44</v>
      </c>
      <c r="W547" s="0" t="str">
        <f aca="false">INDEX(Summary!$S$2:$S$201,MATCH($B547,Summary!$A$2:$A$201,0))</f>
        <v>Silver</v>
      </c>
      <c r="X547" s="2" t="n">
        <f aca="false">INDEX(Summary!$T$2:$T$201,MATCH($B547,Summary!$A$2:$A$201,0))</f>
        <v>54.73</v>
      </c>
      <c r="Y547" s="0" t="str">
        <f aca="false">INDEX('Reward Model'!$E$18:$E$37,MATCH($E547,'Reward Model'!$A$18:$A$37,0))</f>
        <v>Medium</v>
      </c>
      <c r="Z547" s="4" t="n">
        <f aca="false">ROUND(MIN(1,MAX('Reward Model'!$B$2,INDEX('Reward Model'!$C$12:$C$14,MATCH($K547,'Reward Model'!$A$12:$A$14,0))/$J547)),3)</f>
        <v>0.877</v>
      </c>
      <c r="AA547" s="2" t="n">
        <f aca="false">IF($I547="Correct",ROUND(INDEX('Reward Model'!$B$12:$B$14,MATCH($K547,'Reward Model'!$A$12:$A$14,0))*Z547,2),0)</f>
        <v>0.88</v>
      </c>
      <c r="AB547" s="2" t="n">
        <f aca="false">IF($I547="Correct",ROUND(INDEX('Reward Model'!$B$12:$B$14,MATCH($Y547,'Reward Model'!$A$12:$A$14,0))*Z547,2),0)</f>
        <v>1.75</v>
      </c>
    </row>
    <row r="548" customFormat="false" ht="15" hidden="false" customHeight="false" outlineLevel="0" collapsed="false">
      <c r="A548" s="0" t="s">
        <v>181</v>
      </c>
      <c r="B548" s="0" t="s">
        <v>182</v>
      </c>
      <c r="C548" s="0" t="s">
        <v>30</v>
      </c>
      <c r="D548" s="0" t="s">
        <v>31</v>
      </c>
      <c r="E548" s="0" t="n">
        <v>7</v>
      </c>
      <c r="F548" s="0" t="s">
        <v>50</v>
      </c>
      <c r="G548" s="0" t="s">
        <v>51</v>
      </c>
      <c r="H548" s="0" t="s">
        <v>51</v>
      </c>
      <c r="I548" s="0" t="s">
        <v>34</v>
      </c>
      <c r="J548" s="0" t="n">
        <v>1.11</v>
      </c>
      <c r="K548" s="0" t="s">
        <v>35</v>
      </c>
      <c r="L548" s="0" t="n">
        <f aca="false">INDEX(Summary!$F$2:$F$201,MATCH($B548,Summary!$A$2:$A$201,0))</f>
        <v>20</v>
      </c>
      <c r="M548" s="0" t="n">
        <f aca="false">INDEX(Summary!$I$2:$I$201,MATCH($B548,Summary!$A$2:$A$201,0))</f>
        <v>1</v>
      </c>
      <c r="N548" s="0" t="n">
        <f aca="false">INDEX(Summary!$J$2:$J$201,MATCH($B548,Summary!$A$2:$A$201,0))</f>
        <v>4</v>
      </c>
      <c r="O548" s="2" t="n">
        <f aca="false">INDEX(Summary!$K$2:$K$201,MATCH($B548,Summary!$A$2:$A$201,0))</f>
        <v>9.87</v>
      </c>
      <c r="P548" s="3" t="n">
        <f aca="false">INDEX(Summary!$L$2:$L$201,MATCH($B548,Summary!$A$2:$A$201,0))</f>
        <v>5</v>
      </c>
      <c r="Q548" s="3" t="n">
        <f aca="false">INDEX(Summary!$M$2:$M$201,MATCH($B548,Summary!$A$2:$A$201,0))</f>
        <v>1</v>
      </c>
      <c r="R548" s="2" t="n">
        <f aca="false">INDEX(Summary!$N$2:$N$201,MATCH($B548,Summary!$A$2:$A$201,0))</f>
        <v>10.53</v>
      </c>
      <c r="S548" s="3" t="n">
        <f aca="false">INDEX(Summary!$O$2:$O$201,MATCH($B548,Summary!$A$2:$A$201,0))</f>
        <v>7</v>
      </c>
      <c r="T548" s="3" t="n">
        <f aca="false">INDEX(Summary!$P$2:$P$201,MATCH($B548,Summary!$A$2:$A$201,0))</f>
        <v>2</v>
      </c>
      <c r="U548" s="2" t="n">
        <f aca="false">INDEX(Summary!$Q$2:$Q$201,MATCH($B548,Summary!$A$2:$A$201,0))</f>
        <v>14.18</v>
      </c>
      <c r="V548" s="2" t="n">
        <f aca="false">INDEX(Summary!$R$2:$R$201,MATCH($B548,Summary!$A$2:$A$201,0))</f>
        <v>22.44</v>
      </c>
      <c r="W548" s="0" t="str">
        <f aca="false">INDEX(Summary!$S$2:$S$201,MATCH($B548,Summary!$A$2:$A$201,0))</f>
        <v>Silver</v>
      </c>
      <c r="X548" s="2" t="n">
        <f aca="false">INDEX(Summary!$T$2:$T$201,MATCH($B548,Summary!$A$2:$A$201,0))</f>
        <v>54.73</v>
      </c>
      <c r="Y548" s="0" t="str">
        <f aca="false">INDEX('Reward Model'!$E$18:$E$37,MATCH($E548,'Reward Model'!$A$18:$A$37,0))</f>
        <v>Low</v>
      </c>
      <c r="Z548" s="4" t="n">
        <f aca="false">ROUND(MIN(1,MAX('Reward Model'!$B$2,INDEX('Reward Model'!$C$12:$C$14,MATCH($K548,'Reward Model'!$A$12:$A$14,0))/$J548)),3)</f>
        <v>1</v>
      </c>
      <c r="AA548" s="2" t="n">
        <f aca="false">IF($I548="Correct",ROUND(INDEX('Reward Model'!$B$12:$B$14,MATCH($K548,'Reward Model'!$A$12:$A$14,0))*Z548,2),0)</f>
        <v>1</v>
      </c>
      <c r="AB548" s="2" t="n">
        <f aca="false">IF($I548="Correct",ROUND(INDEX('Reward Model'!$B$12:$B$14,MATCH($Y548,'Reward Model'!$A$12:$A$14,0))*Z548,2),0)</f>
        <v>1</v>
      </c>
    </row>
    <row r="549" customFormat="false" ht="15" hidden="false" customHeight="false" outlineLevel="0" collapsed="false">
      <c r="A549" s="0" t="s">
        <v>181</v>
      </c>
      <c r="B549" s="0" t="s">
        <v>182</v>
      </c>
      <c r="C549" s="0" t="s">
        <v>30</v>
      </c>
      <c r="D549" s="0" t="s">
        <v>31</v>
      </c>
      <c r="E549" s="0" t="n">
        <v>8</v>
      </c>
      <c r="F549" s="0" t="s">
        <v>52</v>
      </c>
      <c r="G549" s="0" t="s">
        <v>54</v>
      </c>
      <c r="H549" s="0" t="s">
        <v>54</v>
      </c>
      <c r="I549" s="0" t="s">
        <v>34</v>
      </c>
      <c r="J549" s="0" t="n">
        <v>1.41</v>
      </c>
      <c r="K549" s="0" t="s">
        <v>35</v>
      </c>
      <c r="L549" s="0" t="n">
        <f aca="false">INDEX(Summary!$F$2:$F$201,MATCH($B549,Summary!$A$2:$A$201,0))</f>
        <v>20</v>
      </c>
      <c r="M549" s="0" t="n">
        <f aca="false">INDEX(Summary!$I$2:$I$201,MATCH($B549,Summary!$A$2:$A$201,0))</f>
        <v>1</v>
      </c>
      <c r="N549" s="0" t="n">
        <f aca="false">INDEX(Summary!$J$2:$J$201,MATCH($B549,Summary!$A$2:$A$201,0))</f>
        <v>4</v>
      </c>
      <c r="O549" s="2" t="n">
        <f aca="false">INDEX(Summary!$K$2:$K$201,MATCH($B549,Summary!$A$2:$A$201,0))</f>
        <v>9.87</v>
      </c>
      <c r="P549" s="3" t="n">
        <f aca="false">INDEX(Summary!$L$2:$L$201,MATCH($B549,Summary!$A$2:$A$201,0))</f>
        <v>5</v>
      </c>
      <c r="Q549" s="3" t="n">
        <f aca="false">INDEX(Summary!$M$2:$M$201,MATCH($B549,Summary!$A$2:$A$201,0))</f>
        <v>1</v>
      </c>
      <c r="R549" s="2" t="n">
        <f aca="false">INDEX(Summary!$N$2:$N$201,MATCH($B549,Summary!$A$2:$A$201,0))</f>
        <v>10.53</v>
      </c>
      <c r="S549" s="3" t="n">
        <f aca="false">INDEX(Summary!$O$2:$O$201,MATCH($B549,Summary!$A$2:$A$201,0))</f>
        <v>7</v>
      </c>
      <c r="T549" s="3" t="n">
        <f aca="false">INDEX(Summary!$P$2:$P$201,MATCH($B549,Summary!$A$2:$A$201,0))</f>
        <v>2</v>
      </c>
      <c r="U549" s="2" t="n">
        <f aca="false">INDEX(Summary!$Q$2:$Q$201,MATCH($B549,Summary!$A$2:$A$201,0))</f>
        <v>14.18</v>
      </c>
      <c r="V549" s="2" t="n">
        <f aca="false">INDEX(Summary!$R$2:$R$201,MATCH($B549,Summary!$A$2:$A$201,0))</f>
        <v>22.44</v>
      </c>
      <c r="W549" s="0" t="str">
        <f aca="false">INDEX(Summary!$S$2:$S$201,MATCH($B549,Summary!$A$2:$A$201,0))</f>
        <v>Silver</v>
      </c>
      <c r="X549" s="2" t="n">
        <f aca="false">INDEX(Summary!$T$2:$T$201,MATCH($B549,Summary!$A$2:$A$201,0))</f>
        <v>54.73</v>
      </c>
      <c r="Y549" s="0" t="str">
        <f aca="false">INDEX('Reward Model'!$E$18:$E$37,MATCH($E549,'Reward Model'!$A$18:$A$37,0))</f>
        <v>Medium</v>
      </c>
      <c r="Z549" s="4" t="n">
        <f aca="false">ROUND(MIN(1,MAX('Reward Model'!$B$2,INDEX('Reward Model'!$C$12:$C$14,MATCH($K549,'Reward Model'!$A$12:$A$14,0))/$J549)),3)</f>
        <v>1</v>
      </c>
      <c r="AA549" s="2" t="n">
        <f aca="false">IF($I549="Correct",ROUND(INDEX('Reward Model'!$B$12:$B$14,MATCH($K549,'Reward Model'!$A$12:$A$14,0))*Z549,2),0)</f>
        <v>1</v>
      </c>
      <c r="AB549" s="2" t="n">
        <f aca="false">IF($I549="Correct",ROUND(INDEX('Reward Model'!$B$12:$B$14,MATCH($Y549,'Reward Model'!$A$12:$A$14,0))*Z549,2),0)</f>
        <v>2</v>
      </c>
    </row>
    <row r="550" customFormat="false" ht="15" hidden="false" customHeight="false" outlineLevel="0" collapsed="false">
      <c r="A550" s="0" t="s">
        <v>181</v>
      </c>
      <c r="B550" s="0" t="s">
        <v>182</v>
      </c>
      <c r="C550" s="0" t="s">
        <v>30</v>
      </c>
      <c r="D550" s="0" t="s">
        <v>31</v>
      </c>
      <c r="E550" s="0" t="n">
        <v>9</v>
      </c>
      <c r="F550" s="0" t="s">
        <v>55</v>
      </c>
      <c r="G550" s="0" t="s">
        <v>57</v>
      </c>
      <c r="H550" s="0" t="s">
        <v>57</v>
      </c>
      <c r="I550" s="0" t="s">
        <v>34</v>
      </c>
      <c r="J550" s="0" t="n">
        <v>1.14</v>
      </c>
      <c r="K550" s="0" t="s">
        <v>35</v>
      </c>
      <c r="L550" s="0" t="n">
        <f aca="false">INDEX(Summary!$F$2:$F$201,MATCH($B550,Summary!$A$2:$A$201,0))</f>
        <v>20</v>
      </c>
      <c r="M550" s="0" t="n">
        <f aca="false">INDEX(Summary!$I$2:$I$201,MATCH($B550,Summary!$A$2:$A$201,0))</f>
        <v>1</v>
      </c>
      <c r="N550" s="0" t="n">
        <f aca="false">INDEX(Summary!$J$2:$J$201,MATCH($B550,Summary!$A$2:$A$201,0))</f>
        <v>4</v>
      </c>
      <c r="O550" s="2" t="n">
        <f aca="false">INDEX(Summary!$K$2:$K$201,MATCH($B550,Summary!$A$2:$A$201,0))</f>
        <v>9.87</v>
      </c>
      <c r="P550" s="3" t="n">
        <f aca="false">INDEX(Summary!$L$2:$L$201,MATCH($B550,Summary!$A$2:$A$201,0))</f>
        <v>5</v>
      </c>
      <c r="Q550" s="3" t="n">
        <f aca="false">INDEX(Summary!$M$2:$M$201,MATCH($B550,Summary!$A$2:$A$201,0))</f>
        <v>1</v>
      </c>
      <c r="R550" s="2" t="n">
        <f aca="false">INDEX(Summary!$N$2:$N$201,MATCH($B550,Summary!$A$2:$A$201,0))</f>
        <v>10.53</v>
      </c>
      <c r="S550" s="3" t="n">
        <f aca="false">INDEX(Summary!$O$2:$O$201,MATCH($B550,Summary!$A$2:$A$201,0))</f>
        <v>7</v>
      </c>
      <c r="T550" s="3" t="n">
        <f aca="false">INDEX(Summary!$P$2:$P$201,MATCH($B550,Summary!$A$2:$A$201,0))</f>
        <v>2</v>
      </c>
      <c r="U550" s="2" t="n">
        <f aca="false">INDEX(Summary!$Q$2:$Q$201,MATCH($B550,Summary!$A$2:$A$201,0))</f>
        <v>14.18</v>
      </c>
      <c r="V550" s="2" t="n">
        <f aca="false">INDEX(Summary!$R$2:$R$201,MATCH($B550,Summary!$A$2:$A$201,0))</f>
        <v>22.44</v>
      </c>
      <c r="W550" s="0" t="str">
        <f aca="false">INDEX(Summary!$S$2:$S$201,MATCH($B550,Summary!$A$2:$A$201,0))</f>
        <v>Silver</v>
      </c>
      <c r="X550" s="2" t="n">
        <f aca="false">INDEX(Summary!$T$2:$T$201,MATCH($B550,Summary!$A$2:$A$201,0))</f>
        <v>54.73</v>
      </c>
      <c r="Y550" s="0" t="str">
        <f aca="false">INDEX('Reward Model'!$E$18:$E$37,MATCH($E550,'Reward Model'!$A$18:$A$37,0))</f>
        <v>Medium</v>
      </c>
      <c r="Z550" s="4" t="n">
        <f aca="false">ROUND(MIN(1,MAX('Reward Model'!$B$2,INDEX('Reward Model'!$C$12:$C$14,MATCH($K550,'Reward Model'!$A$12:$A$14,0))/$J550)),3)</f>
        <v>1</v>
      </c>
      <c r="AA550" s="2" t="n">
        <f aca="false">IF($I550="Correct",ROUND(INDEX('Reward Model'!$B$12:$B$14,MATCH($K550,'Reward Model'!$A$12:$A$14,0))*Z550,2),0)</f>
        <v>1</v>
      </c>
      <c r="AB550" s="2" t="n">
        <f aca="false">IF($I550="Correct",ROUND(INDEX('Reward Model'!$B$12:$B$14,MATCH($Y550,'Reward Model'!$A$12:$A$14,0))*Z550,2),0)</f>
        <v>2</v>
      </c>
    </row>
    <row r="551" customFormat="false" ht="15" hidden="false" customHeight="false" outlineLevel="0" collapsed="false">
      <c r="A551" s="0" t="s">
        <v>181</v>
      </c>
      <c r="B551" s="0" t="s">
        <v>182</v>
      </c>
      <c r="C551" s="0" t="s">
        <v>30</v>
      </c>
      <c r="D551" s="0" t="s">
        <v>31</v>
      </c>
      <c r="E551" s="0" t="n">
        <v>10</v>
      </c>
      <c r="F551" s="0" t="s">
        <v>58</v>
      </c>
      <c r="G551" s="0" t="s">
        <v>59</v>
      </c>
      <c r="H551" s="0" t="s">
        <v>59</v>
      </c>
      <c r="I551" s="0" t="s">
        <v>34</v>
      </c>
      <c r="J551" s="0" t="n">
        <v>2.03</v>
      </c>
      <c r="K551" s="0" t="s">
        <v>60</v>
      </c>
      <c r="L551" s="0" t="n">
        <f aca="false">INDEX(Summary!$F$2:$F$201,MATCH($B551,Summary!$A$2:$A$201,0))</f>
        <v>20</v>
      </c>
      <c r="M551" s="0" t="n">
        <f aca="false">INDEX(Summary!$I$2:$I$201,MATCH($B551,Summary!$A$2:$A$201,0))</f>
        <v>1</v>
      </c>
      <c r="N551" s="0" t="n">
        <f aca="false">INDEX(Summary!$J$2:$J$201,MATCH($B551,Summary!$A$2:$A$201,0))</f>
        <v>4</v>
      </c>
      <c r="O551" s="2" t="n">
        <f aca="false">INDEX(Summary!$K$2:$K$201,MATCH($B551,Summary!$A$2:$A$201,0))</f>
        <v>9.87</v>
      </c>
      <c r="P551" s="3" t="n">
        <f aca="false">INDEX(Summary!$L$2:$L$201,MATCH($B551,Summary!$A$2:$A$201,0))</f>
        <v>5</v>
      </c>
      <c r="Q551" s="3" t="n">
        <f aca="false">INDEX(Summary!$M$2:$M$201,MATCH($B551,Summary!$A$2:$A$201,0))</f>
        <v>1</v>
      </c>
      <c r="R551" s="2" t="n">
        <f aca="false">INDEX(Summary!$N$2:$N$201,MATCH($B551,Summary!$A$2:$A$201,0))</f>
        <v>10.53</v>
      </c>
      <c r="S551" s="3" t="n">
        <f aca="false">INDEX(Summary!$O$2:$O$201,MATCH($B551,Summary!$A$2:$A$201,0))</f>
        <v>7</v>
      </c>
      <c r="T551" s="3" t="n">
        <f aca="false">INDEX(Summary!$P$2:$P$201,MATCH($B551,Summary!$A$2:$A$201,0))</f>
        <v>2</v>
      </c>
      <c r="U551" s="2" t="n">
        <f aca="false">INDEX(Summary!$Q$2:$Q$201,MATCH($B551,Summary!$A$2:$A$201,0))</f>
        <v>14.18</v>
      </c>
      <c r="V551" s="2" t="n">
        <f aca="false">INDEX(Summary!$R$2:$R$201,MATCH($B551,Summary!$A$2:$A$201,0))</f>
        <v>22.44</v>
      </c>
      <c r="W551" s="0" t="str">
        <f aca="false">INDEX(Summary!$S$2:$S$201,MATCH($B551,Summary!$A$2:$A$201,0))</f>
        <v>Silver</v>
      </c>
      <c r="X551" s="2" t="n">
        <f aca="false">INDEX(Summary!$T$2:$T$201,MATCH($B551,Summary!$A$2:$A$201,0))</f>
        <v>54.73</v>
      </c>
      <c r="Y551" s="0" t="str">
        <f aca="false">INDEX('Reward Model'!$E$18:$E$37,MATCH($E551,'Reward Model'!$A$18:$A$37,0))</f>
        <v>Medium</v>
      </c>
      <c r="Z551" s="4" t="n">
        <f aca="false">ROUND(MIN(1,MAX('Reward Model'!$B$2,INDEX('Reward Model'!$C$12:$C$14,MATCH($K551,'Reward Model'!$A$12:$A$14,0))/$J551)),3)</f>
        <v>0.887</v>
      </c>
      <c r="AA551" s="2" t="n">
        <f aca="false">IF($I551="Correct",ROUND(INDEX('Reward Model'!$B$12:$B$14,MATCH($K551,'Reward Model'!$A$12:$A$14,0))*Z551,2),0)</f>
        <v>1.77</v>
      </c>
      <c r="AB551" s="2" t="n">
        <f aca="false">IF($I551="Correct",ROUND(INDEX('Reward Model'!$B$12:$B$14,MATCH($Y551,'Reward Model'!$A$12:$A$14,0))*Z551,2),0)</f>
        <v>1.77</v>
      </c>
    </row>
    <row r="552" customFormat="false" ht="15" hidden="false" customHeight="false" outlineLevel="0" collapsed="false">
      <c r="A552" s="0" t="s">
        <v>181</v>
      </c>
      <c r="B552" s="0" t="s">
        <v>182</v>
      </c>
      <c r="C552" s="0" t="s">
        <v>30</v>
      </c>
      <c r="D552" s="0" t="s">
        <v>31</v>
      </c>
      <c r="E552" s="0" t="n">
        <v>11</v>
      </c>
      <c r="F552" s="0" t="s">
        <v>61</v>
      </c>
      <c r="G552" s="0" t="s">
        <v>63</v>
      </c>
      <c r="H552" s="0" t="s">
        <v>63</v>
      </c>
      <c r="I552" s="0" t="s">
        <v>34</v>
      </c>
      <c r="J552" s="0" t="n">
        <v>2.22</v>
      </c>
      <c r="K552" s="0" t="s">
        <v>60</v>
      </c>
      <c r="L552" s="0" t="n">
        <f aca="false">INDEX(Summary!$F$2:$F$201,MATCH($B552,Summary!$A$2:$A$201,0))</f>
        <v>20</v>
      </c>
      <c r="M552" s="0" t="n">
        <f aca="false">INDEX(Summary!$I$2:$I$201,MATCH($B552,Summary!$A$2:$A$201,0))</f>
        <v>1</v>
      </c>
      <c r="N552" s="0" t="n">
        <f aca="false">INDEX(Summary!$J$2:$J$201,MATCH($B552,Summary!$A$2:$A$201,0))</f>
        <v>4</v>
      </c>
      <c r="O552" s="2" t="n">
        <f aca="false">INDEX(Summary!$K$2:$K$201,MATCH($B552,Summary!$A$2:$A$201,0))</f>
        <v>9.87</v>
      </c>
      <c r="P552" s="3" t="n">
        <f aca="false">INDEX(Summary!$L$2:$L$201,MATCH($B552,Summary!$A$2:$A$201,0))</f>
        <v>5</v>
      </c>
      <c r="Q552" s="3" t="n">
        <f aca="false">INDEX(Summary!$M$2:$M$201,MATCH($B552,Summary!$A$2:$A$201,0))</f>
        <v>1</v>
      </c>
      <c r="R552" s="2" t="n">
        <f aca="false">INDEX(Summary!$N$2:$N$201,MATCH($B552,Summary!$A$2:$A$201,0))</f>
        <v>10.53</v>
      </c>
      <c r="S552" s="3" t="n">
        <f aca="false">INDEX(Summary!$O$2:$O$201,MATCH($B552,Summary!$A$2:$A$201,0))</f>
        <v>7</v>
      </c>
      <c r="T552" s="3" t="n">
        <f aca="false">INDEX(Summary!$P$2:$P$201,MATCH($B552,Summary!$A$2:$A$201,0))</f>
        <v>2</v>
      </c>
      <c r="U552" s="2" t="n">
        <f aca="false">INDEX(Summary!$Q$2:$Q$201,MATCH($B552,Summary!$A$2:$A$201,0))</f>
        <v>14.18</v>
      </c>
      <c r="V552" s="2" t="n">
        <f aca="false">INDEX(Summary!$R$2:$R$201,MATCH($B552,Summary!$A$2:$A$201,0))</f>
        <v>22.44</v>
      </c>
      <c r="W552" s="0" t="str">
        <f aca="false">INDEX(Summary!$S$2:$S$201,MATCH($B552,Summary!$A$2:$A$201,0))</f>
        <v>Silver</v>
      </c>
      <c r="X552" s="2" t="n">
        <f aca="false">INDEX(Summary!$T$2:$T$201,MATCH($B552,Summary!$A$2:$A$201,0))</f>
        <v>54.73</v>
      </c>
      <c r="Y552" s="0" t="str">
        <f aca="false">INDEX('Reward Model'!$E$18:$E$37,MATCH($E552,'Reward Model'!$A$18:$A$37,0))</f>
        <v>Medium</v>
      </c>
      <c r="Z552" s="4" t="n">
        <f aca="false">ROUND(MIN(1,MAX('Reward Model'!$B$2,INDEX('Reward Model'!$C$12:$C$14,MATCH($K552,'Reward Model'!$A$12:$A$14,0))/$J552)),3)</f>
        <v>0.811</v>
      </c>
      <c r="AA552" s="2" t="n">
        <f aca="false">IF($I552="Correct",ROUND(INDEX('Reward Model'!$B$12:$B$14,MATCH($K552,'Reward Model'!$A$12:$A$14,0))*Z552,2),0)</f>
        <v>1.62</v>
      </c>
      <c r="AB552" s="2" t="n">
        <f aca="false">IF($I552="Correct",ROUND(INDEX('Reward Model'!$B$12:$B$14,MATCH($Y552,'Reward Model'!$A$12:$A$14,0))*Z552,2),0)</f>
        <v>1.62</v>
      </c>
    </row>
    <row r="553" customFormat="false" ht="15" hidden="false" customHeight="false" outlineLevel="0" collapsed="false">
      <c r="A553" s="0" t="s">
        <v>181</v>
      </c>
      <c r="B553" s="0" t="s">
        <v>182</v>
      </c>
      <c r="C553" s="0" t="s">
        <v>30</v>
      </c>
      <c r="D553" s="0" t="s">
        <v>31</v>
      </c>
      <c r="E553" s="0" t="n">
        <v>12</v>
      </c>
      <c r="F553" s="0" t="s">
        <v>64</v>
      </c>
      <c r="G553" s="0" t="s">
        <v>146</v>
      </c>
      <c r="H553" s="0" t="s">
        <v>65</v>
      </c>
      <c r="I553" s="0" t="s">
        <v>39</v>
      </c>
      <c r="J553" s="0" t="n">
        <v>1.59</v>
      </c>
      <c r="K553" s="0" t="s">
        <v>60</v>
      </c>
      <c r="L553" s="0" t="n">
        <f aca="false">INDEX(Summary!$F$2:$F$201,MATCH($B553,Summary!$A$2:$A$201,0))</f>
        <v>20</v>
      </c>
      <c r="M553" s="0" t="n">
        <f aca="false">INDEX(Summary!$I$2:$I$201,MATCH($B553,Summary!$A$2:$A$201,0))</f>
        <v>1</v>
      </c>
      <c r="N553" s="0" t="n">
        <f aca="false">INDEX(Summary!$J$2:$J$201,MATCH($B553,Summary!$A$2:$A$201,0))</f>
        <v>4</v>
      </c>
      <c r="O553" s="2" t="n">
        <f aca="false">INDEX(Summary!$K$2:$K$201,MATCH($B553,Summary!$A$2:$A$201,0))</f>
        <v>9.87</v>
      </c>
      <c r="P553" s="3" t="n">
        <f aca="false">INDEX(Summary!$L$2:$L$201,MATCH($B553,Summary!$A$2:$A$201,0))</f>
        <v>5</v>
      </c>
      <c r="Q553" s="3" t="n">
        <f aca="false">INDEX(Summary!$M$2:$M$201,MATCH($B553,Summary!$A$2:$A$201,0))</f>
        <v>1</v>
      </c>
      <c r="R553" s="2" t="n">
        <f aca="false">INDEX(Summary!$N$2:$N$201,MATCH($B553,Summary!$A$2:$A$201,0))</f>
        <v>10.53</v>
      </c>
      <c r="S553" s="3" t="n">
        <f aca="false">INDEX(Summary!$O$2:$O$201,MATCH($B553,Summary!$A$2:$A$201,0))</f>
        <v>7</v>
      </c>
      <c r="T553" s="3" t="n">
        <f aca="false">INDEX(Summary!$P$2:$P$201,MATCH($B553,Summary!$A$2:$A$201,0))</f>
        <v>2</v>
      </c>
      <c r="U553" s="2" t="n">
        <f aca="false">INDEX(Summary!$Q$2:$Q$201,MATCH($B553,Summary!$A$2:$A$201,0))</f>
        <v>14.18</v>
      </c>
      <c r="V553" s="2" t="n">
        <f aca="false">INDEX(Summary!$R$2:$R$201,MATCH($B553,Summary!$A$2:$A$201,0))</f>
        <v>22.44</v>
      </c>
      <c r="W553" s="0" t="str">
        <f aca="false">INDEX(Summary!$S$2:$S$201,MATCH($B553,Summary!$A$2:$A$201,0))</f>
        <v>Silver</v>
      </c>
      <c r="X553" s="2" t="n">
        <f aca="false">INDEX(Summary!$T$2:$T$201,MATCH($B553,Summary!$A$2:$A$201,0))</f>
        <v>54.73</v>
      </c>
      <c r="Y553" s="0" t="str">
        <f aca="false">INDEX('Reward Model'!$E$18:$E$37,MATCH($E553,'Reward Model'!$A$18:$A$37,0))</f>
        <v>Medium</v>
      </c>
      <c r="Z553" s="4" t="n">
        <f aca="false">ROUND(MIN(1,MAX('Reward Model'!$B$2,INDEX('Reward Model'!$C$12:$C$14,MATCH($K553,'Reward Model'!$A$12:$A$14,0))/$J553)),3)</f>
        <v>1</v>
      </c>
      <c r="AA553" s="2" t="n">
        <f aca="false">IF($I553="Correct",ROUND(INDEX('Reward Model'!$B$12:$B$14,MATCH($K553,'Reward Model'!$A$12:$A$14,0))*Z553,2),0)</f>
        <v>0</v>
      </c>
      <c r="AB553" s="2" t="n">
        <f aca="false">IF($I553="Correct",ROUND(INDEX('Reward Model'!$B$12:$B$14,MATCH($Y553,'Reward Model'!$A$12:$A$14,0))*Z553,2),0)</f>
        <v>0</v>
      </c>
    </row>
    <row r="554" customFormat="false" ht="15" hidden="false" customHeight="false" outlineLevel="0" collapsed="false">
      <c r="A554" s="0" t="s">
        <v>181</v>
      </c>
      <c r="B554" s="0" t="s">
        <v>182</v>
      </c>
      <c r="C554" s="0" t="s">
        <v>30</v>
      </c>
      <c r="D554" s="0" t="s">
        <v>31</v>
      </c>
      <c r="E554" s="0" t="n">
        <v>13</v>
      </c>
      <c r="F554" s="0" t="s">
        <v>66</v>
      </c>
      <c r="G554" s="0" t="s">
        <v>67</v>
      </c>
      <c r="H554" s="0" t="s">
        <v>67</v>
      </c>
      <c r="I554" s="0" t="s">
        <v>34</v>
      </c>
      <c r="J554" s="0" t="n">
        <v>2.11</v>
      </c>
      <c r="K554" s="0" t="s">
        <v>60</v>
      </c>
      <c r="L554" s="0" t="n">
        <f aca="false">INDEX(Summary!$F$2:$F$201,MATCH($B554,Summary!$A$2:$A$201,0))</f>
        <v>20</v>
      </c>
      <c r="M554" s="0" t="n">
        <f aca="false">INDEX(Summary!$I$2:$I$201,MATCH($B554,Summary!$A$2:$A$201,0))</f>
        <v>1</v>
      </c>
      <c r="N554" s="0" t="n">
        <f aca="false">INDEX(Summary!$J$2:$J$201,MATCH($B554,Summary!$A$2:$A$201,0))</f>
        <v>4</v>
      </c>
      <c r="O554" s="2" t="n">
        <f aca="false">INDEX(Summary!$K$2:$K$201,MATCH($B554,Summary!$A$2:$A$201,0))</f>
        <v>9.87</v>
      </c>
      <c r="P554" s="3" t="n">
        <f aca="false">INDEX(Summary!$L$2:$L$201,MATCH($B554,Summary!$A$2:$A$201,0))</f>
        <v>5</v>
      </c>
      <c r="Q554" s="3" t="n">
        <f aca="false">INDEX(Summary!$M$2:$M$201,MATCH($B554,Summary!$A$2:$A$201,0))</f>
        <v>1</v>
      </c>
      <c r="R554" s="2" t="n">
        <f aca="false">INDEX(Summary!$N$2:$N$201,MATCH($B554,Summary!$A$2:$A$201,0))</f>
        <v>10.53</v>
      </c>
      <c r="S554" s="3" t="n">
        <f aca="false">INDEX(Summary!$O$2:$O$201,MATCH($B554,Summary!$A$2:$A$201,0))</f>
        <v>7</v>
      </c>
      <c r="T554" s="3" t="n">
        <f aca="false">INDEX(Summary!$P$2:$P$201,MATCH($B554,Summary!$A$2:$A$201,0))</f>
        <v>2</v>
      </c>
      <c r="U554" s="2" t="n">
        <f aca="false">INDEX(Summary!$Q$2:$Q$201,MATCH($B554,Summary!$A$2:$A$201,0))</f>
        <v>14.18</v>
      </c>
      <c r="V554" s="2" t="n">
        <f aca="false">INDEX(Summary!$R$2:$R$201,MATCH($B554,Summary!$A$2:$A$201,0))</f>
        <v>22.44</v>
      </c>
      <c r="W554" s="0" t="str">
        <f aca="false">INDEX(Summary!$S$2:$S$201,MATCH($B554,Summary!$A$2:$A$201,0))</f>
        <v>Silver</v>
      </c>
      <c r="X554" s="2" t="n">
        <f aca="false">INDEX(Summary!$T$2:$T$201,MATCH($B554,Summary!$A$2:$A$201,0))</f>
        <v>54.73</v>
      </c>
      <c r="Y554" s="0" t="str">
        <f aca="false">INDEX('Reward Model'!$E$18:$E$37,MATCH($E554,'Reward Model'!$A$18:$A$37,0))</f>
        <v>Medium</v>
      </c>
      <c r="Z554" s="4" t="n">
        <f aca="false">ROUND(MIN(1,MAX('Reward Model'!$B$2,INDEX('Reward Model'!$C$12:$C$14,MATCH($K554,'Reward Model'!$A$12:$A$14,0))/$J554)),3)</f>
        <v>0.853</v>
      </c>
      <c r="AA554" s="2" t="n">
        <f aca="false">IF($I554="Correct",ROUND(INDEX('Reward Model'!$B$12:$B$14,MATCH($K554,'Reward Model'!$A$12:$A$14,0))*Z554,2),0)</f>
        <v>1.71</v>
      </c>
      <c r="AB554" s="2" t="n">
        <f aca="false">IF($I554="Correct",ROUND(INDEX('Reward Model'!$B$12:$B$14,MATCH($Y554,'Reward Model'!$A$12:$A$14,0))*Z554,2),0)</f>
        <v>1.71</v>
      </c>
    </row>
    <row r="555" customFormat="false" ht="15" hidden="false" customHeight="false" outlineLevel="0" collapsed="false">
      <c r="A555" s="0" t="s">
        <v>181</v>
      </c>
      <c r="B555" s="0" t="s">
        <v>182</v>
      </c>
      <c r="C555" s="0" t="s">
        <v>30</v>
      </c>
      <c r="D555" s="0" t="s">
        <v>31</v>
      </c>
      <c r="E555" s="0" t="n">
        <v>14</v>
      </c>
      <c r="F555" s="0" t="s">
        <v>68</v>
      </c>
      <c r="G555" s="0" t="s">
        <v>51</v>
      </c>
      <c r="H555" s="0" t="s">
        <v>51</v>
      </c>
      <c r="I555" s="0" t="s">
        <v>34</v>
      </c>
      <c r="J555" s="0" t="n">
        <v>1.15</v>
      </c>
      <c r="K555" s="0" t="s">
        <v>60</v>
      </c>
      <c r="L555" s="0" t="n">
        <f aca="false">INDEX(Summary!$F$2:$F$201,MATCH($B555,Summary!$A$2:$A$201,0))</f>
        <v>20</v>
      </c>
      <c r="M555" s="0" t="n">
        <f aca="false">INDEX(Summary!$I$2:$I$201,MATCH($B555,Summary!$A$2:$A$201,0))</f>
        <v>1</v>
      </c>
      <c r="N555" s="0" t="n">
        <f aca="false">INDEX(Summary!$J$2:$J$201,MATCH($B555,Summary!$A$2:$A$201,0))</f>
        <v>4</v>
      </c>
      <c r="O555" s="2" t="n">
        <f aca="false">INDEX(Summary!$K$2:$K$201,MATCH($B555,Summary!$A$2:$A$201,0))</f>
        <v>9.87</v>
      </c>
      <c r="P555" s="3" t="n">
        <f aca="false">INDEX(Summary!$L$2:$L$201,MATCH($B555,Summary!$A$2:$A$201,0))</f>
        <v>5</v>
      </c>
      <c r="Q555" s="3" t="n">
        <f aca="false">INDEX(Summary!$M$2:$M$201,MATCH($B555,Summary!$A$2:$A$201,0))</f>
        <v>1</v>
      </c>
      <c r="R555" s="2" t="n">
        <f aca="false">INDEX(Summary!$N$2:$N$201,MATCH($B555,Summary!$A$2:$A$201,0))</f>
        <v>10.53</v>
      </c>
      <c r="S555" s="3" t="n">
        <f aca="false">INDEX(Summary!$O$2:$O$201,MATCH($B555,Summary!$A$2:$A$201,0))</f>
        <v>7</v>
      </c>
      <c r="T555" s="3" t="n">
        <f aca="false">INDEX(Summary!$P$2:$P$201,MATCH($B555,Summary!$A$2:$A$201,0))</f>
        <v>2</v>
      </c>
      <c r="U555" s="2" t="n">
        <f aca="false">INDEX(Summary!$Q$2:$Q$201,MATCH($B555,Summary!$A$2:$A$201,0))</f>
        <v>14.18</v>
      </c>
      <c r="V555" s="2" t="n">
        <f aca="false">INDEX(Summary!$R$2:$R$201,MATCH($B555,Summary!$A$2:$A$201,0))</f>
        <v>22.44</v>
      </c>
      <c r="W555" s="0" t="str">
        <f aca="false">INDEX(Summary!$S$2:$S$201,MATCH($B555,Summary!$A$2:$A$201,0))</f>
        <v>Silver</v>
      </c>
      <c r="X555" s="2" t="n">
        <f aca="false">INDEX(Summary!$T$2:$T$201,MATCH($B555,Summary!$A$2:$A$201,0))</f>
        <v>54.73</v>
      </c>
      <c r="Y555" s="0" t="str">
        <f aca="false">INDEX('Reward Model'!$E$18:$E$37,MATCH($E555,'Reward Model'!$A$18:$A$37,0))</f>
        <v>Medium</v>
      </c>
      <c r="Z555" s="4" t="n">
        <f aca="false">ROUND(MIN(1,MAX('Reward Model'!$B$2,INDEX('Reward Model'!$C$12:$C$14,MATCH($K555,'Reward Model'!$A$12:$A$14,0))/$J555)),3)</f>
        <v>1</v>
      </c>
      <c r="AA555" s="2" t="n">
        <f aca="false">IF($I555="Correct",ROUND(INDEX('Reward Model'!$B$12:$B$14,MATCH($K555,'Reward Model'!$A$12:$A$14,0))*Z555,2),0)</f>
        <v>2</v>
      </c>
      <c r="AB555" s="2" t="n">
        <f aca="false">IF($I555="Correct",ROUND(INDEX('Reward Model'!$B$12:$B$14,MATCH($Y555,'Reward Model'!$A$12:$A$14,0))*Z555,2),0)</f>
        <v>2</v>
      </c>
    </row>
    <row r="556" customFormat="false" ht="15" hidden="false" customHeight="false" outlineLevel="0" collapsed="false">
      <c r="A556" s="0" t="s">
        <v>181</v>
      </c>
      <c r="B556" s="0" t="s">
        <v>182</v>
      </c>
      <c r="C556" s="0" t="s">
        <v>30</v>
      </c>
      <c r="D556" s="0" t="s">
        <v>31</v>
      </c>
      <c r="E556" s="0" t="n">
        <v>15</v>
      </c>
      <c r="F556" s="0" t="s">
        <v>69</v>
      </c>
      <c r="G556" s="0" t="s">
        <v>70</v>
      </c>
      <c r="H556" s="0" t="s">
        <v>70</v>
      </c>
      <c r="I556" s="0" t="s">
        <v>34</v>
      </c>
      <c r="J556" s="0" t="n">
        <v>1.43</v>
      </c>
      <c r="K556" s="0" t="s">
        <v>60</v>
      </c>
      <c r="L556" s="0" t="n">
        <f aca="false">INDEX(Summary!$F$2:$F$201,MATCH($B556,Summary!$A$2:$A$201,0))</f>
        <v>20</v>
      </c>
      <c r="M556" s="0" t="n">
        <f aca="false">INDEX(Summary!$I$2:$I$201,MATCH($B556,Summary!$A$2:$A$201,0))</f>
        <v>1</v>
      </c>
      <c r="N556" s="0" t="n">
        <f aca="false">INDEX(Summary!$J$2:$J$201,MATCH($B556,Summary!$A$2:$A$201,0))</f>
        <v>4</v>
      </c>
      <c r="O556" s="2" t="n">
        <f aca="false">INDEX(Summary!$K$2:$K$201,MATCH($B556,Summary!$A$2:$A$201,0))</f>
        <v>9.87</v>
      </c>
      <c r="P556" s="3" t="n">
        <f aca="false">INDEX(Summary!$L$2:$L$201,MATCH($B556,Summary!$A$2:$A$201,0))</f>
        <v>5</v>
      </c>
      <c r="Q556" s="3" t="n">
        <f aca="false">INDEX(Summary!$M$2:$M$201,MATCH($B556,Summary!$A$2:$A$201,0))</f>
        <v>1</v>
      </c>
      <c r="R556" s="2" t="n">
        <f aca="false">INDEX(Summary!$N$2:$N$201,MATCH($B556,Summary!$A$2:$A$201,0))</f>
        <v>10.53</v>
      </c>
      <c r="S556" s="3" t="n">
        <f aca="false">INDEX(Summary!$O$2:$O$201,MATCH($B556,Summary!$A$2:$A$201,0))</f>
        <v>7</v>
      </c>
      <c r="T556" s="3" t="n">
        <f aca="false">INDEX(Summary!$P$2:$P$201,MATCH($B556,Summary!$A$2:$A$201,0))</f>
        <v>2</v>
      </c>
      <c r="U556" s="2" t="n">
        <f aca="false">INDEX(Summary!$Q$2:$Q$201,MATCH($B556,Summary!$A$2:$A$201,0))</f>
        <v>14.18</v>
      </c>
      <c r="V556" s="2" t="n">
        <f aca="false">INDEX(Summary!$R$2:$R$201,MATCH($B556,Summary!$A$2:$A$201,0))</f>
        <v>22.44</v>
      </c>
      <c r="W556" s="0" t="str">
        <f aca="false">INDEX(Summary!$S$2:$S$201,MATCH($B556,Summary!$A$2:$A$201,0))</f>
        <v>Silver</v>
      </c>
      <c r="X556" s="2" t="n">
        <f aca="false">INDEX(Summary!$T$2:$T$201,MATCH($B556,Summary!$A$2:$A$201,0))</f>
        <v>54.73</v>
      </c>
      <c r="Y556" s="0" t="str">
        <f aca="false">INDEX('Reward Model'!$E$18:$E$37,MATCH($E556,'Reward Model'!$A$18:$A$37,0))</f>
        <v>Medium</v>
      </c>
      <c r="Z556" s="4" t="n">
        <f aca="false">ROUND(MIN(1,MAX('Reward Model'!$B$2,INDEX('Reward Model'!$C$12:$C$14,MATCH($K556,'Reward Model'!$A$12:$A$14,0))/$J556)),3)</f>
        <v>1</v>
      </c>
      <c r="AA556" s="2" t="n">
        <f aca="false">IF($I556="Correct",ROUND(INDEX('Reward Model'!$B$12:$B$14,MATCH($K556,'Reward Model'!$A$12:$A$14,0))*Z556,2),0)</f>
        <v>2</v>
      </c>
      <c r="AB556" s="2" t="n">
        <f aca="false">IF($I556="Correct",ROUND(INDEX('Reward Model'!$B$12:$B$14,MATCH($Y556,'Reward Model'!$A$12:$A$14,0))*Z556,2),0)</f>
        <v>2</v>
      </c>
    </row>
    <row r="557" customFormat="false" ht="15" hidden="false" customHeight="false" outlineLevel="0" collapsed="false">
      <c r="A557" s="0" t="s">
        <v>181</v>
      </c>
      <c r="B557" s="0" t="s">
        <v>182</v>
      </c>
      <c r="C557" s="0" t="s">
        <v>30</v>
      </c>
      <c r="D557" s="0" t="s">
        <v>31</v>
      </c>
      <c r="E557" s="0" t="n">
        <v>16</v>
      </c>
      <c r="F557" s="0" t="s">
        <v>71</v>
      </c>
      <c r="G557" s="0" t="s">
        <v>104</v>
      </c>
      <c r="H557" s="0" t="s">
        <v>72</v>
      </c>
      <c r="I557" s="0" t="s">
        <v>39</v>
      </c>
      <c r="J557" s="0" t="n">
        <v>2.44</v>
      </c>
      <c r="K557" s="0" t="s">
        <v>73</v>
      </c>
      <c r="L557" s="0" t="n">
        <f aca="false">INDEX(Summary!$F$2:$F$201,MATCH($B557,Summary!$A$2:$A$201,0))</f>
        <v>20</v>
      </c>
      <c r="M557" s="0" t="n">
        <f aca="false">INDEX(Summary!$I$2:$I$201,MATCH($B557,Summary!$A$2:$A$201,0))</f>
        <v>1</v>
      </c>
      <c r="N557" s="0" t="n">
        <f aca="false">INDEX(Summary!$J$2:$J$201,MATCH($B557,Summary!$A$2:$A$201,0))</f>
        <v>4</v>
      </c>
      <c r="O557" s="2" t="n">
        <f aca="false">INDEX(Summary!$K$2:$K$201,MATCH($B557,Summary!$A$2:$A$201,0))</f>
        <v>9.87</v>
      </c>
      <c r="P557" s="3" t="n">
        <f aca="false">INDEX(Summary!$L$2:$L$201,MATCH($B557,Summary!$A$2:$A$201,0))</f>
        <v>5</v>
      </c>
      <c r="Q557" s="3" t="n">
        <f aca="false">INDEX(Summary!$M$2:$M$201,MATCH($B557,Summary!$A$2:$A$201,0))</f>
        <v>1</v>
      </c>
      <c r="R557" s="2" t="n">
        <f aca="false">INDEX(Summary!$N$2:$N$201,MATCH($B557,Summary!$A$2:$A$201,0))</f>
        <v>10.53</v>
      </c>
      <c r="S557" s="3" t="n">
        <f aca="false">INDEX(Summary!$O$2:$O$201,MATCH($B557,Summary!$A$2:$A$201,0))</f>
        <v>7</v>
      </c>
      <c r="T557" s="3" t="n">
        <f aca="false">INDEX(Summary!$P$2:$P$201,MATCH($B557,Summary!$A$2:$A$201,0))</f>
        <v>2</v>
      </c>
      <c r="U557" s="2" t="n">
        <f aca="false">INDEX(Summary!$Q$2:$Q$201,MATCH($B557,Summary!$A$2:$A$201,0))</f>
        <v>14.18</v>
      </c>
      <c r="V557" s="2" t="n">
        <f aca="false">INDEX(Summary!$R$2:$R$201,MATCH($B557,Summary!$A$2:$A$201,0))</f>
        <v>22.44</v>
      </c>
      <c r="W557" s="0" t="str">
        <f aca="false">INDEX(Summary!$S$2:$S$201,MATCH($B557,Summary!$A$2:$A$201,0))</f>
        <v>Silver</v>
      </c>
      <c r="X557" s="2" t="n">
        <f aca="false">INDEX(Summary!$T$2:$T$201,MATCH($B557,Summary!$A$2:$A$201,0))</f>
        <v>54.73</v>
      </c>
      <c r="Y557" s="0" t="str">
        <f aca="false">INDEX('Reward Model'!$E$18:$E$37,MATCH($E557,'Reward Model'!$A$18:$A$37,0))</f>
        <v>High</v>
      </c>
      <c r="Z557" s="4" t="n">
        <f aca="false">ROUND(MIN(1,MAX('Reward Model'!$B$2,INDEX('Reward Model'!$C$12:$C$14,MATCH($K557,'Reward Model'!$A$12:$A$14,0))/$J557)),3)</f>
        <v>0.82</v>
      </c>
      <c r="AA557" s="2" t="n">
        <f aca="false">IF($I557="Correct",ROUND(INDEX('Reward Model'!$B$12:$B$14,MATCH($K557,'Reward Model'!$A$12:$A$14,0))*Z557,2),0)</f>
        <v>0</v>
      </c>
      <c r="AB557" s="2" t="n">
        <f aca="false">IF($I557="Correct",ROUND(INDEX('Reward Model'!$B$12:$B$14,MATCH($Y557,'Reward Model'!$A$12:$A$14,0))*Z557,2),0)</f>
        <v>0</v>
      </c>
    </row>
    <row r="558" customFormat="false" ht="15" hidden="false" customHeight="false" outlineLevel="0" collapsed="false">
      <c r="A558" s="0" t="s">
        <v>181</v>
      </c>
      <c r="B558" s="0" t="s">
        <v>182</v>
      </c>
      <c r="C558" s="0" t="s">
        <v>30</v>
      </c>
      <c r="D558" s="0" t="s">
        <v>31</v>
      </c>
      <c r="E558" s="0" t="n">
        <v>17</v>
      </c>
      <c r="F558" s="0" t="s">
        <v>74</v>
      </c>
      <c r="G558" s="0" t="s">
        <v>105</v>
      </c>
      <c r="H558" s="0" t="s">
        <v>75</v>
      </c>
      <c r="I558" s="0" t="s">
        <v>39</v>
      </c>
      <c r="J558" s="0" t="n">
        <v>2.17</v>
      </c>
      <c r="K558" s="0" t="s">
        <v>73</v>
      </c>
      <c r="L558" s="0" t="n">
        <f aca="false">INDEX(Summary!$F$2:$F$201,MATCH($B558,Summary!$A$2:$A$201,0))</f>
        <v>20</v>
      </c>
      <c r="M558" s="0" t="n">
        <f aca="false">INDEX(Summary!$I$2:$I$201,MATCH($B558,Summary!$A$2:$A$201,0))</f>
        <v>1</v>
      </c>
      <c r="N558" s="0" t="n">
        <f aca="false">INDEX(Summary!$J$2:$J$201,MATCH($B558,Summary!$A$2:$A$201,0))</f>
        <v>4</v>
      </c>
      <c r="O558" s="2" t="n">
        <f aca="false">INDEX(Summary!$K$2:$K$201,MATCH($B558,Summary!$A$2:$A$201,0))</f>
        <v>9.87</v>
      </c>
      <c r="P558" s="3" t="n">
        <f aca="false">INDEX(Summary!$L$2:$L$201,MATCH($B558,Summary!$A$2:$A$201,0))</f>
        <v>5</v>
      </c>
      <c r="Q558" s="3" t="n">
        <f aca="false">INDEX(Summary!$M$2:$M$201,MATCH($B558,Summary!$A$2:$A$201,0))</f>
        <v>1</v>
      </c>
      <c r="R558" s="2" t="n">
        <f aca="false">INDEX(Summary!$N$2:$N$201,MATCH($B558,Summary!$A$2:$A$201,0))</f>
        <v>10.53</v>
      </c>
      <c r="S558" s="3" t="n">
        <f aca="false">INDEX(Summary!$O$2:$O$201,MATCH($B558,Summary!$A$2:$A$201,0))</f>
        <v>7</v>
      </c>
      <c r="T558" s="3" t="n">
        <f aca="false">INDEX(Summary!$P$2:$P$201,MATCH($B558,Summary!$A$2:$A$201,0))</f>
        <v>2</v>
      </c>
      <c r="U558" s="2" t="n">
        <f aca="false">INDEX(Summary!$Q$2:$Q$201,MATCH($B558,Summary!$A$2:$A$201,0))</f>
        <v>14.18</v>
      </c>
      <c r="V558" s="2" t="n">
        <f aca="false">INDEX(Summary!$R$2:$R$201,MATCH($B558,Summary!$A$2:$A$201,0))</f>
        <v>22.44</v>
      </c>
      <c r="W558" s="0" t="str">
        <f aca="false">INDEX(Summary!$S$2:$S$201,MATCH($B558,Summary!$A$2:$A$201,0))</f>
        <v>Silver</v>
      </c>
      <c r="X558" s="2" t="n">
        <f aca="false">INDEX(Summary!$T$2:$T$201,MATCH($B558,Summary!$A$2:$A$201,0))</f>
        <v>54.73</v>
      </c>
      <c r="Y558" s="0" t="str">
        <f aca="false">INDEX('Reward Model'!$E$18:$E$37,MATCH($E558,'Reward Model'!$A$18:$A$37,0))</f>
        <v>High</v>
      </c>
      <c r="Z558" s="4" t="n">
        <f aca="false">ROUND(MIN(1,MAX('Reward Model'!$B$2,INDEX('Reward Model'!$C$12:$C$14,MATCH($K558,'Reward Model'!$A$12:$A$14,0))/$J558)),3)</f>
        <v>0.922</v>
      </c>
      <c r="AA558" s="2" t="n">
        <f aca="false">IF($I558="Correct",ROUND(INDEX('Reward Model'!$B$12:$B$14,MATCH($K558,'Reward Model'!$A$12:$A$14,0))*Z558,2),0)</f>
        <v>0</v>
      </c>
      <c r="AB558" s="2" t="n">
        <f aca="false">IF($I558="Correct",ROUND(INDEX('Reward Model'!$B$12:$B$14,MATCH($Y558,'Reward Model'!$A$12:$A$14,0))*Z558,2),0)</f>
        <v>0</v>
      </c>
    </row>
    <row r="559" customFormat="false" ht="15" hidden="false" customHeight="false" outlineLevel="0" collapsed="false">
      <c r="A559" s="0" t="s">
        <v>181</v>
      </c>
      <c r="B559" s="0" t="s">
        <v>182</v>
      </c>
      <c r="C559" s="0" t="s">
        <v>30</v>
      </c>
      <c r="D559" s="0" t="s">
        <v>31</v>
      </c>
      <c r="E559" s="0" t="n">
        <v>18</v>
      </c>
      <c r="F559" s="0" t="s">
        <v>76</v>
      </c>
      <c r="G559" s="0" t="s">
        <v>88</v>
      </c>
      <c r="H559" s="0" t="s">
        <v>77</v>
      </c>
      <c r="I559" s="0" t="s">
        <v>39</v>
      </c>
      <c r="J559" s="0" t="n">
        <v>1.26</v>
      </c>
      <c r="K559" s="0" t="s">
        <v>73</v>
      </c>
      <c r="L559" s="0" t="n">
        <f aca="false">INDEX(Summary!$F$2:$F$201,MATCH($B559,Summary!$A$2:$A$201,0))</f>
        <v>20</v>
      </c>
      <c r="M559" s="0" t="n">
        <f aca="false">INDEX(Summary!$I$2:$I$201,MATCH($B559,Summary!$A$2:$A$201,0))</f>
        <v>1</v>
      </c>
      <c r="N559" s="0" t="n">
        <f aca="false">INDEX(Summary!$J$2:$J$201,MATCH($B559,Summary!$A$2:$A$201,0))</f>
        <v>4</v>
      </c>
      <c r="O559" s="2" t="n">
        <f aca="false">INDEX(Summary!$K$2:$K$201,MATCH($B559,Summary!$A$2:$A$201,0))</f>
        <v>9.87</v>
      </c>
      <c r="P559" s="3" t="n">
        <f aca="false">INDEX(Summary!$L$2:$L$201,MATCH($B559,Summary!$A$2:$A$201,0))</f>
        <v>5</v>
      </c>
      <c r="Q559" s="3" t="n">
        <f aca="false">INDEX(Summary!$M$2:$M$201,MATCH($B559,Summary!$A$2:$A$201,0))</f>
        <v>1</v>
      </c>
      <c r="R559" s="2" t="n">
        <f aca="false">INDEX(Summary!$N$2:$N$201,MATCH($B559,Summary!$A$2:$A$201,0))</f>
        <v>10.53</v>
      </c>
      <c r="S559" s="3" t="n">
        <f aca="false">INDEX(Summary!$O$2:$O$201,MATCH($B559,Summary!$A$2:$A$201,0))</f>
        <v>7</v>
      </c>
      <c r="T559" s="3" t="n">
        <f aca="false">INDEX(Summary!$P$2:$P$201,MATCH($B559,Summary!$A$2:$A$201,0))</f>
        <v>2</v>
      </c>
      <c r="U559" s="2" t="n">
        <f aca="false">INDEX(Summary!$Q$2:$Q$201,MATCH($B559,Summary!$A$2:$A$201,0))</f>
        <v>14.18</v>
      </c>
      <c r="V559" s="2" t="n">
        <f aca="false">INDEX(Summary!$R$2:$R$201,MATCH($B559,Summary!$A$2:$A$201,0))</f>
        <v>22.44</v>
      </c>
      <c r="W559" s="0" t="str">
        <f aca="false">INDEX(Summary!$S$2:$S$201,MATCH($B559,Summary!$A$2:$A$201,0))</f>
        <v>Silver</v>
      </c>
      <c r="X559" s="2" t="n">
        <f aca="false">INDEX(Summary!$T$2:$T$201,MATCH($B559,Summary!$A$2:$A$201,0))</f>
        <v>54.73</v>
      </c>
      <c r="Y559" s="0" t="str">
        <f aca="false">INDEX('Reward Model'!$E$18:$E$37,MATCH($E559,'Reward Model'!$A$18:$A$37,0))</f>
        <v>High</v>
      </c>
      <c r="Z559" s="4" t="n">
        <f aca="false">ROUND(MIN(1,MAX('Reward Model'!$B$2,INDEX('Reward Model'!$C$12:$C$14,MATCH($K559,'Reward Model'!$A$12:$A$14,0))/$J559)),3)</f>
        <v>1</v>
      </c>
      <c r="AA559" s="2" t="n">
        <f aca="false">IF($I559="Correct",ROUND(INDEX('Reward Model'!$B$12:$B$14,MATCH($K559,'Reward Model'!$A$12:$A$14,0))*Z559,2),0)</f>
        <v>0</v>
      </c>
      <c r="AB559" s="2" t="n">
        <f aca="false">IF($I559="Correct",ROUND(INDEX('Reward Model'!$B$12:$B$14,MATCH($Y559,'Reward Model'!$A$12:$A$14,0))*Z559,2),0)</f>
        <v>0</v>
      </c>
    </row>
    <row r="560" customFormat="false" ht="15" hidden="false" customHeight="false" outlineLevel="0" collapsed="false">
      <c r="A560" s="0" t="s">
        <v>181</v>
      </c>
      <c r="B560" s="0" t="s">
        <v>182</v>
      </c>
      <c r="C560" s="0" t="s">
        <v>30</v>
      </c>
      <c r="D560" s="0" t="s">
        <v>31</v>
      </c>
      <c r="E560" s="0" t="n">
        <v>19</v>
      </c>
      <c r="F560" s="0" t="s">
        <v>78</v>
      </c>
      <c r="G560" s="0" t="s">
        <v>51</v>
      </c>
      <c r="H560" s="0" t="s">
        <v>80</v>
      </c>
      <c r="I560" s="0" t="s">
        <v>39</v>
      </c>
      <c r="J560" s="0" t="n">
        <v>1.67</v>
      </c>
      <c r="K560" s="0" t="s">
        <v>73</v>
      </c>
      <c r="L560" s="0" t="n">
        <f aca="false">INDEX(Summary!$F$2:$F$201,MATCH($B560,Summary!$A$2:$A$201,0))</f>
        <v>20</v>
      </c>
      <c r="M560" s="0" t="n">
        <f aca="false">INDEX(Summary!$I$2:$I$201,MATCH($B560,Summary!$A$2:$A$201,0))</f>
        <v>1</v>
      </c>
      <c r="N560" s="0" t="n">
        <f aca="false">INDEX(Summary!$J$2:$J$201,MATCH($B560,Summary!$A$2:$A$201,0))</f>
        <v>4</v>
      </c>
      <c r="O560" s="2" t="n">
        <f aca="false">INDEX(Summary!$K$2:$K$201,MATCH($B560,Summary!$A$2:$A$201,0))</f>
        <v>9.87</v>
      </c>
      <c r="P560" s="3" t="n">
        <f aca="false">INDEX(Summary!$L$2:$L$201,MATCH($B560,Summary!$A$2:$A$201,0))</f>
        <v>5</v>
      </c>
      <c r="Q560" s="3" t="n">
        <f aca="false">INDEX(Summary!$M$2:$M$201,MATCH($B560,Summary!$A$2:$A$201,0))</f>
        <v>1</v>
      </c>
      <c r="R560" s="2" t="n">
        <f aca="false">INDEX(Summary!$N$2:$N$201,MATCH($B560,Summary!$A$2:$A$201,0))</f>
        <v>10.53</v>
      </c>
      <c r="S560" s="3" t="n">
        <f aca="false">INDEX(Summary!$O$2:$O$201,MATCH($B560,Summary!$A$2:$A$201,0))</f>
        <v>7</v>
      </c>
      <c r="T560" s="3" t="n">
        <f aca="false">INDEX(Summary!$P$2:$P$201,MATCH($B560,Summary!$A$2:$A$201,0))</f>
        <v>2</v>
      </c>
      <c r="U560" s="2" t="n">
        <f aca="false">INDEX(Summary!$Q$2:$Q$201,MATCH($B560,Summary!$A$2:$A$201,0))</f>
        <v>14.18</v>
      </c>
      <c r="V560" s="2" t="n">
        <f aca="false">INDEX(Summary!$R$2:$R$201,MATCH($B560,Summary!$A$2:$A$201,0))</f>
        <v>22.44</v>
      </c>
      <c r="W560" s="0" t="str">
        <f aca="false">INDEX(Summary!$S$2:$S$201,MATCH($B560,Summary!$A$2:$A$201,0))</f>
        <v>Silver</v>
      </c>
      <c r="X560" s="2" t="n">
        <f aca="false">INDEX(Summary!$T$2:$T$201,MATCH($B560,Summary!$A$2:$A$201,0))</f>
        <v>54.73</v>
      </c>
      <c r="Y560" s="0" t="str">
        <f aca="false">INDEX('Reward Model'!$E$18:$E$37,MATCH($E560,'Reward Model'!$A$18:$A$37,0))</f>
        <v>High</v>
      </c>
      <c r="Z560" s="4" t="n">
        <f aca="false">ROUND(MIN(1,MAX('Reward Model'!$B$2,INDEX('Reward Model'!$C$12:$C$14,MATCH($K560,'Reward Model'!$A$12:$A$14,0))/$J560)),3)</f>
        <v>1</v>
      </c>
      <c r="AA560" s="2" t="n">
        <f aca="false">IF($I560="Correct",ROUND(INDEX('Reward Model'!$B$12:$B$14,MATCH($K560,'Reward Model'!$A$12:$A$14,0))*Z560,2),0)</f>
        <v>0</v>
      </c>
      <c r="AB560" s="2" t="n">
        <f aca="false">IF($I560="Correct",ROUND(INDEX('Reward Model'!$B$12:$B$14,MATCH($Y560,'Reward Model'!$A$12:$A$14,0))*Z560,2),0)</f>
        <v>0</v>
      </c>
    </row>
    <row r="561" customFormat="false" ht="15" hidden="false" customHeight="false" outlineLevel="0" collapsed="false">
      <c r="A561" s="0" t="s">
        <v>181</v>
      </c>
      <c r="B561" s="0" t="s">
        <v>182</v>
      </c>
      <c r="C561" s="0" t="s">
        <v>30</v>
      </c>
      <c r="D561" s="0" t="s">
        <v>31</v>
      </c>
      <c r="E561" s="0" t="n">
        <v>20</v>
      </c>
      <c r="F561" s="0" t="s">
        <v>81</v>
      </c>
      <c r="G561" s="0" t="s">
        <v>83</v>
      </c>
      <c r="H561" s="0" t="s">
        <v>83</v>
      </c>
      <c r="I561" s="0" t="s">
        <v>34</v>
      </c>
      <c r="J561" s="0" t="n">
        <v>2.33</v>
      </c>
      <c r="K561" s="0" t="s">
        <v>73</v>
      </c>
      <c r="L561" s="0" t="n">
        <f aca="false">INDEX(Summary!$F$2:$F$201,MATCH($B561,Summary!$A$2:$A$201,0))</f>
        <v>20</v>
      </c>
      <c r="M561" s="0" t="n">
        <f aca="false">INDEX(Summary!$I$2:$I$201,MATCH($B561,Summary!$A$2:$A$201,0))</f>
        <v>1</v>
      </c>
      <c r="N561" s="0" t="n">
        <f aca="false">INDEX(Summary!$J$2:$J$201,MATCH($B561,Summary!$A$2:$A$201,0))</f>
        <v>4</v>
      </c>
      <c r="O561" s="2" t="n">
        <f aca="false">INDEX(Summary!$K$2:$K$201,MATCH($B561,Summary!$A$2:$A$201,0))</f>
        <v>9.87</v>
      </c>
      <c r="P561" s="3" t="n">
        <f aca="false">INDEX(Summary!$L$2:$L$201,MATCH($B561,Summary!$A$2:$A$201,0))</f>
        <v>5</v>
      </c>
      <c r="Q561" s="3" t="n">
        <f aca="false">INDEX(Summary!$M$2:$M$201,MATCH($B561,Summary!$A$2:$A$201,0))</f>
        <v>1</v>
      </c>
      <c r="R561" s="2" t="n">
        <f aca="false">INDEX(Summary!$N$2:$N$201,MATCH($B561,Summary!$A$2:$A$201,0))</f>
        <v>10.53</v>
      </c>
      <c r="S561" s="3" t="n">
        <f aca="false">INDEX(Summary!$O$2:$O$201,MATCH($B561,Summary!$A$2:$A$201,0))</f>
        <v>7</v>
      </c>
      <c r="T561" s="3" t="n">
        <f aca="false">INDEX(Summary!$P$2:$P$201,MATCH($B561,Summary!$A$2:$A$201,0))</f>
        <v>2</v>
      </c>
      <c r="U561" s="2" t="n">
        <f aca="false">INDEX(Summary!$Q$2:$Q$201,MATCH($B561,Summary!$A$2:$A$201,0))</f>
        <v>14.18</v>
      </c>
      <c r="V561" s="2" t="n">
        <f aca="false">INDEX(Summary!$R$2:$R$201,MATCH($B561,Summary!$A$2:$A$201,0))</f>
        <v>22.44</v>
      </c>
      <c r="W561" s="0" t="str">
        <f aca="false">INDEX(Summary!$S$2:$S$201,MATCH($B561,Summary!$A$2:$A$201,0))</f>
        <v>Silver</v>
      </c>
      <c r="X561" s="2" t="n">
        <f aca="false">INDEX(Summary!$T$2:$T$201,MATCH($B561,Summary!$A$2:$A$201,0))</f>
        <v>54.73</v>
      </c>
      <c r="Y561" s="0" t="str">
        <f aca="false">INDEX('Reward Model'!$E$18:$E$37,MATCH($E561,'Reward Model'!$A$18:$A$37,0))</f>
        <v>High</v>
      </c>
      <c r="Z561" s="4" t="n">
        <f aca="false">ROUND(MIN(1,MAX('Reward Model'!$B$2,INDEX('Reward Model'!$C$12:$C$14,MATCH($K561,'Reward Model'!$A$12:$A$14,0))/$J561)),3)</f>
        <v>0.858</v>
      </c>
      <c r="AA561" s="2" t="n">
        <f aca="false">IF($I561="Correct",ROUND(INDEX('Reward Model'!$B$12:$B$14,MATCH($K561,'Reward Model'!$A$12:$A$14,0))*Z561,2),0)</f>
        <v>2.57</v>
      </c>
      <c r="AB561" s="2" t="n">
        <f aca="false">IF($I561="Correct",ROUND(INDEX('Reward Model'!$B$12:$B$14,MATCH($Y561,'Reward Model'!$A$12:$A$14,0))*Z561,2),0)</f>
        <v>2.57</v>
      </c>
    </row>
    <row r="562" customFormat="false" ht="15" hidden="false" customHeight="false" outlineLevel="0" collapsed="false">
      <c r="A562" s="0" t="s">
        <v>183</v>
      </c>
      <c r="B562" s="0" t="s">
        <v>184</v>
      </c>
      <c r="C562" s="0" t="s">
        <v>30</v>
      </c>
      <c r="D562" s="0" t="s">
        <v>31</v>
      </c>
      <c r="E562" s="0" t="n">
        <v>1</v>
      </c>
      <c r="F562" s="0" t="s">
        <v>32</v>
      </c>
      <c r="G562" s="0" t="s">
        <v>33</v>
      </c>
      <c r="H562" s="0" t="s">
        <v>33</v>
      </c>
      <c r="I562" s="0" t="s">
        <v>34</v>
      </c>
      <c r="J562" s="0" t="n">
        <v>1.74</v>
      </c>
      <c r="K562" s="0" t="s">
        <v>35</v>
      </c>
      <c r="L562" s="0" t="n">
        <f aca="false">INDEX(Summary!$F$2:$F$201,MATCH($B562,Summary!$A$2:$A$201,0))</f>
        <v>20</v>
      </c>
      <c r="M562" s="0" t="n">
        <f aca="false">INDEX(Summary!$I$2:$I$201,MATCH($B562,Summary!$A$2:$A$201,0))</f>
        <v>3</v>
      </c>
      <c r="N562" s="0" t="n">
        <f aca="false">INDEX(Summary!$J$2:$J$201,MATCH($B562,Summary!$A$2:$A$201,0))</f>
        <v>2</v>
      </c>
      <c r="O562" s="2" t="n">
        <f aca="false">INDEX(Summary!$K$2:$K$201,MATCH($B562,Summary!$A$2:$A$201,0))</f>
        <v>8.06</v>
      </c>
      <c r="P562" s="3" t="n">
        <f aca="false">INDEX(Summary!$L$2:$L$201,MATCH($B562,Summary!$A$2:$A$201,0))</f>
        <v>5</v>
      </c>
      <c r="Q562" s="3" t="n">
        <f aca="false">INDEX(Summary!$M$2:$M$201,MATCH($B562,Summary!$A$2:$A$201,0))</f>
        <v>1</v>
      </c>
      <c r="R562" s="2" t="n">
        <f aca="false">INDEX(Summary!$N$2:$N$201,MATCH($B562,Summary!$A$2:$A$201,0))</f>
        <v>8.01</v>
      </c>
      <c r="S562" s="3" t="n">
        <f aca="false">INDEX(Summary!$O$2:$O$201,MATCH($B562,Summary!$A$2:$A$201,0))</f>
        <v>8</v>
      </c>
      <c r="T562" s="3" t="n">
        <f aca="false">INDEX(Summary!$P$2:$P$201,MATCH($B562,Summary!$A$2:$A$201,0))</f>
        <v>1</v>
      </c>
      <c r="U562" s="2" t="n">
        <f aca="false">INDEX(Summary!$Q$2:$Q$201,MATCH($B562,Summary!$A$2:$A$201,0))</f>
        <v>12.06</v>
      </c>
      <c r="V562" s="2" t="n">
        <f aca="false">INDEX(Summary!$R$2:$R$201,MATCH($B562,Summary!$A$2:$A$201,0))</f>
        <v>30.45</v>
      </c>
      <c r="W562" s="0" t="str">
        <f aca="false">INDEX(Summary!$S$2:$S$201,MATCH($B562,Summary!$A$2:$A$201,0))</f>
        <v>Gold</v>
      </c>
      <c r="X562" s="2" t="n">
        <f aca="false">INDEX(Summary!$T$2:$T$201,MATCH($B562,Summary!$A$2:$A$201,0))</f>
        <v>74.27</v>
      </c>
      <c r="Y562" s="0" t="str">
        <f aca="false">INDEX('Reward Model'!$E$18:$E$37,MATCH($E562,'Reward Model'!$A$18:$A$37,0))</f>
        <v>Medium</v>
      </c>
      <c r="Z562" s="4" t="n">
        <f aca="false">ROUND(MIN(1,MAX('Reward Model'!$B$2,INDEX('Reward Model'!$C$12:$C$14,MATCH($K562,'Reward Model'!$A$12:$A$14,0))/$J562)),3)</f>
        <v>0.862</v>
      </c>
      <c r="AA562" s="2" t="n">
        <f aca="false">IF($I562="Correct",ROUND(INDEX('Reward Model'!$B$12:$B$14,MATCH($K562,'Reward Model'!$A$12:$A$14,0))*Z562,2),0)</f>
        <v>0.86</v>
      </c>
      <c r="AB562" s="2" t="n">
        <f aca="false">IF($I562="Correct",ROUND(INDEX('Reward Model'!$B$12:$B$14,MATCH($Y562,'Reward Model'!$A$12:$A$14,0))*Z562,2),0)</f>
        <v>1.72</v>
      </c>
    </row>
    <row r="563" customFormat="false" ht="15" hidden="false" customHeight="false" outlineLevel="0" collapsed="false">
      <c r="A563" s="0" t="s">
        <v>183</v>
      </c>
      <c r="B563" s="0" t="s">
        <v>184</v>
      </c>
      <c r="C563" s="0" t="s">
        <v>30</v>
      </c>
      <c r="D563" s="0" t="s">
        <v>31</v>
      </c>
      <c r="E563" s="0" t="n">
        <v>2</v>
      </c>
      <c r="F563" s="0" t="s">
        <v>36</v>
      </c>
      <c r="G563" s="0" t="s">
        <v>94</v>
      </c>
      <c r="H563" s="0" t="s">
        <v>38</v>
      </c>
      <c r="I563" s="0" t="s">
        <v>39</v>
      </c>
      <c r="J563" s="0" t="n">
        <v>1.19</v>
      </c>
      <c r="K563" s="0" t="s">
        <v>35</v>
      </c>
      <c r="L563" s="0" t="n">
        <f aca="false">INDEX(Summary!$F$2:$F$201,MATCH($B563,Summary!$A$2:$A$201,0))</f>
        <v>20</v>
      </c>
      <c r="M563" s="0" t="n">
        <f aca="false">INDEX(Summary!$I$2:$I$201,MATCH($B563,Summary!$A$2:$A$201,0))</f>
        <v>3</v>
      </c>
      <c r="N563" s="0" t="n">
        <f aca="false">INDEX(Summary!$J$2:$J$201,MATCH($B563,Summary!$A$2:$A$201,0))</f>
        <v>2</v>
      </c>
      <c r="O563" s="2" t="n">
        <f aca="false">INDEX(Summary!$K$2:$K$201,MATCH($B563,Summary!$A$2:$A$201,0))</f>
        <v>8.06</v>
      </c>
      <c r="P563" s="3" t="n">
        <f aca="false">INDEX(Summary!$L$2:$L$201,MATCH($B563,Summary!$A$2:$A$201,0))</f>
        <v>5</v>
      </c>
      <c r="Q563" s="3" t="n">
        <f aca="false">INDEX(Summary!$M$2:$M$201,MATCH($B563,Summary!$A$2:$A$201,0))</f>
        <v>1</v>
      </c>
      <c r="R563" s="2" t="n">
        <f aca="false">INDEX(Summary!$N$2:$N$201,MATCH($B563,Summary!$A$2:$A$201,0))</f>
        <v>8.01</v>
      </c>
      <c r="S563" s="3" t="n">
        <f aca="false">INDEX(Summary!$O$2:$O$201,MATCH($B563,Summary!$A$2:$A$201,0))</f>
        <v>8</v>
      </c>
      <c r="T563" s="3" t="n">
        <f aca="false">INDEX(Summary!$P$2:$P$201,MATCH($B563,Summary!$A$2:$A$201,0))</f>
        <v>1</v>
      </c>
      <c r="U563" s="2" t="n">
        <f aca="false">INDEX(Summary!$Q$2:$Q$201,MATCH($B563,Summary!$A$2:$A$201,0))</f>
        <v>12.06</v>
      </c>
      <c r="V563" s="2" t="n">
        <f aca="false">INDEX(Summary!$R$2:$R$201,MATCH($B563,Summary!$A$2:$A$201,0))</f>
        <v>30.45</v>
      </c>
      <c r="W563" s="0" t="str">
        <f aca="false">INDEX(Summary!$S$2:$S$201,MATCH($B563,Summary!$A$2:$A$201,0))</f>
        <v>Gold</v>
      </c>
      <c r="X563" s="2" t="n">
        <f aca="false">INDEX(Summary!$T$2:$T$201,MATCH($B563,Summary!$A$2:$A$201,0))</f>
        <v>74.27</v>
      </c>
      <c r="Y563" s="0" t="str">
        <f aca="false">INDEX('Reward Model'!$E$18:$E$37,MATCH($E563,'Reward Model'!$A$18:$A$37,0))</f>
        <v>Low</v>
      </c>
      <c r="Z563" s="4" t="n">
        <f aca="false">ROUND(MIN(1,MAX('Reward Model'!$B$2,INDEX('Reward Model'!$C$12:$C$14,MATCH($K563,'Reward Model'!$A$12:$A$14,0))/$J563)),3)</f>
        <v>1</v>
      </c>
      <c r="AA563" s="2" t="n">
        <f aca="false">IF($I563="Correct",ROUND(INDEX('Reward Model'!$B$12:$B$14,MATCH($K563,'Reward Model'!$A$12:$A$14,0))*Z563,2),0)</f>
        <v>0</v>
      </c>
      <c r="AB563" s="2" t="n">
        <f aca="false">IF($I563="Correct",ROUND(INDEX('Reward Model'!$B$12:$B$14,MATCH($Y563,'Reward Model'!$A$12:$A$14,0))*Z563,2),0)</f>
        <v>0</v>
      </c>
    </row>
    <row r="564" customFormat="false" ht="15" hidden="false" customHeight="false" outlineLevel="0" collapsed="false">
      <c r="A564" s="0" t="s">
        <v>183</v>
      </c>
      <c r="B564" s="0" t="s">
        <v>184</v>
      </c>
      <c r="C564" s="0" t="s">
        <v>30</v>
      </c>
      <c r="D564" s="0" t="s">
        <v>31</v>
      </c>
      <c r="E564" s="0" t="n">
        <v>3</v>
      </c>
      <c r="F564" s="0" t="s">
        <v>40</v>
      </c>
      <c r="G564" s="0" t="s">
        <v>42</v>
      </c>
      <c r="H564" s="0" t="s">
        <v>42</v>
      </c>
      <c r="I564" s="0" t="s">
        <v>34</v>
      </c>
      <c r="J564" s="0" t="n">
        <v>1.19</v>
      </c>
      <c r="K564" s="0" t="s">
        <v>35</v>
      </c>
      <c r="L564" s="0" t="n">
        <f aca="false">INDEX(Summary!$F$2:$F$201,MATCH($B564,Summary!$A$2:$A$201,0))</f>
        <v>20</v>
      </c>
      <c r="M564" s="0" t="n">
        <f aca="false">INDEX(Summary!$I$2:$I$201,MATCH($B564,Summary!$A$2:$A$201,0))</f>
        <v>3</v>
      </c>
      <c r="N564" s="0" t="n">
        <f aca="false">INDEX(Summary!$J$2:$J$201,MATCH($B564,Summary!$A$2:$A$201,0))</f>
        <v>2</v>
      </c>
      <c r="O564" s="2" t="n">
        <f aca="false">INDEX(Summary!$K$2:$K$201,MATCH($B564,Summary!$A$2:$A$201,0))</f>
        <v>8.06</v>
      </c>
      <c r="P564" s="3" t="n">
        <f aca="false">INDEX(Summary!$L$2:$L$201,MATCH($B564,Summary!$A$2:$A$201,0))</f>
        <v>5</v>
      </c>
      <c r="Q564" s="3" t="n">
        <f aca="false">INDEX(Summary!$M$2:$M$201,MATCH($B564,Summary!$A$2:$A$201,0))</f>
        <v>1</v>
      </c>
      <c r="R564" s="2" t="n">
        <f aca="false">INDEX(Summary!$N$2:$N$201,MATCH($B564,Summary!$A$2:$A$201,0))</f>
        <v>8.01</v>
      </c>
      <c r="S564" s="3" t="n">
        <f aca="false">INDEX(Summary!$O$2:$O$201,MATCH($B564,Summary!$A$2:$A$201,0))</f>
        <v>8</v>
      </c>
      <c r="T564" s="3" t="n">
        <f aca="false">INDEX(Summary!$P$2:$P$201,MATCH($B564,Summary!$A$2:$A$201,0))</f>
        <v>1</v>
      </c>
      <c r="U564" s="2" t="n">
        <f aca="false">INDEX(Summary!$Q$2:$Q$201,MATCH($B564,Summary!$A$2:$A$201,0))</f>
        <v>12.06</v>
      </c>
      <c r="V564" s="2" t="n">
        <f aca="false">INDEX(Summary!$R$2:$R$201,MATCH($B564,Summary!$A$2:$A$201,0))</f>
        <v>30.45</v>
      </c>
      <c r="W564" s="0" t="str">
        <f aca="false">INDEX(Summary!$S$2:$S$201,MATCH($B564,Summary!$A$2:$A$201,0))</f>
        <v>Gold</v>
      </c>
      <c r="X564" s="2" t="n">
        <f aca="false">INDEX(Summary!$T$2:$T$201,MATCH($B564,Summary!$A$2:$A$201,0))</f>
        <v>74.27</v>
      </c>
      <c r="Y564" s="0" t="str">
        <f aca="false">INDEX('Reward Model'!$E$18:$E$37,MATCH($E564,'Reward Model'!$A$18:$A$37,0))</f>
        <v>Medium</v>
      </c>
      <c r="Z564" s="4" t="n">
        <f aca="false">ROUND(MIN(1,MAX('Reward Model'!$B$2,INDEX('Reward Model'!$C$12:$C$14,MATCH($K564,'Reward Model'!$A$12:$A$14,0))/$J564)),3)</f>
        <v>1</v>
      </c>
      <c r="AA564" s="2" t="n">
        <f aca="false">IF($I564="Correct",ROUND(INDEX('Reward Model'!$B$12:$B$14,MATCH($K564,'Reward Model'!$A$12:$A$14,0))*Z564,2),0)</f>
        <v>1</v>
      </c>
      <c r="AB564" s="2" t="n">
        <f aca="false">IF($I564="Correct",ROUND(INDEX('Reward Model'!$B$12:$B$14,MATCH($Y564,'Reward Model'!$A$12:$A$14,0))*Z564,2),0)</f>
        <v>2</v>
      </c>
    </row>
    <row r="565" customFormat="false" ht="15" hidden="false" customHeight="false" outlineLevel="0" collapsed="false">
      <c r="A565" s="0" t="s">
        <v>183</v>
      </c>
      <c r="B565" s="0" t="s">
        <v>184</v>
      </c>
      <c r="C565" s="0" t="s">
        <v>30</v>
      </c>
      <c r="D565" s="0" t="s">
        <v>31</v>
      </c>
      <c r="E565" s="0" t="n">
        <v>4</v>
      </c>
      <c r="F565" s="0" t="s">
        <v>43</v>
      </c>
      <c r="G565" s="0" t="s">
        <v>45</v>
      </c>
      <c r="H565" s="0" t="s">
        <v>45</v>
      </c>
      <c r="I565" s="0" t="s">
        <v>34</v>
      </c>
      <c r="J565" s="0" t="n">
        <v>0.91</v>
      </c>
      <c r="K565" s="0" t="s">
        <v>35</v>
      </c>
      <c r="L565" s="0" t="n">
        <f aca="false">INDEX(Summary!$F$2:$F$201,MATCH($B565,Summary!$A$2:$A$201,0))</f>
        <v>20</v>
      </c>
      <c r="M565" s="0" t="n">
        <f aca="false">INDEX(Summary!$I$2:$I$201,MATCH($B565,Summary!$A$2:$A$201,0))</f>
        <v>3</v>
      </c>
      <c r="N565" s="0" t="n">
        <f aca="false">INDEX(Summary!$J$2:$J$201,MATCH($B565,Summary!$A$2:$A$201,0))</f>
        <v>2</v>
      </c>
      <c r="O565" s="2" t="n">
        <f aca="false">INDEX(Summary!$K$2:$K$201,MATCH($B565,Summary!$A$2:$A$201,0))</f>
        <v>8.06</v>
      </c>
      <c r="P565" s="3" t="n">
        <f aca="false">INDEX(Summary!$L$2:$L$201,MATCH($B565,Summary!$A$2:$A$201,0))</f>
        <v>5</v>
      </c>
      <c r="Q565" s="3" t="n">
        <f aca="false">INDEX(Summary!$M$2:$M$201,MATCH($B565,Summary!$A$2:$A$201,0))</f>
        <v>1</v>
      </c>
      <c r="R565" s="2" t="n">
        <f aca="false">INDEX(Summary!$N$2:$N$201,MATCH($B565,Summary!$A$2:$A$201,0))</f>
        <v>8.01</v>
      </c>
      <c r="S565" s="3" t="n">
        <f aca="false">INDEX(Summary!$O$2:$O$201,MATCH($B565,Summary!$A$2:$A$201,0))</f>
        <v>8</v>
      </c>
      <c r="T565" s="3" t="n">
        <f aca="false">INDEX(Summary!$P$2:$P$201,MATCH($B565,Summary!$A$2:$A$201,0))</f>
        <v>1</v>
      </c>
      <c r="U565" s="2" t="n">
        <f aca="false">INDEX(Summary!$Q$2:$Q$201,MATCH($B565,Summary!$A$2:$A$201,0))</f>
        <v>12.06</v>
      </c>
      <c r="V565" s="2" t="n">
        <f aca="false">INDEX(Summary!$R$2:$R$201,MATCH($B565,Summary!$A$2:$A$201,0))</f>
        <v>30.45</v>
      </c>
      <c r="W565" s="0" t="str">
        <f aca="false">INDEX(Summary!$S$2:$S$201,MATCH($B565,Summary!$A$2:$A$201,0))</f>
        <v>Gold</v>
      </c>
      <c r="X565" s="2" t="n">
        <f aca="false">INDEX(Summary!$T$2:$T$201,MATCH($B565,Summary!$A$2:$A$201,0))</f>
        <v>74.27</v>
      </c>
      <c r="Y565" s="0" t="str">
        <f aca="false">INDEX('Reward Model'!$E$18:$E$37,MATCH($E565,'Reward Model'!$A$18:$A$37,0))</f>
        <v>Low</v>
      </c>
      <c r="Z565" s="4" t="n">
        <f aca="false">ROUND(MIN(1,MAX('Reward Model'!$B$2,INDEX('Reward Model'!$C$12:$C$14,MATCH($K565,'Reward Model'!$A$12:$A$14,0))/$J565)),3)</f>
        <v>1</v>
      </c>
      <c r="AA565" s="2" t="n">
        <f aca="false">IF($I565="Correct",ROUND(INDEX('Reward Model'!$B$12:$B$14,MATCH($K565,'Reward Model'!$A$12:$A$14,0))*Z565,2),0)</f>
        <v>1</v>
      </c>
      <c r="AB565" s="2" t="n">
        <f aca="false">IF($I565="Correct",ROUND(INDEX('Reward Model'!$B$12:$B$14,MATCH($Y565,'Reward Model'!$A$12:$A$14,0))*Z565,2),0)</f>
        <v>1</v>
      </c>
    </row>
    <row r="566" customFormat="false" ht="15" hidden="false" customHeight="false" outlineLevel="0" collapsed="false">
      <c r="A566" s="0" t="s">
        <v>183</v>
      </c>
      <c r="B566" s="0" t="s">
        <v>184</v>
      </c>
      <c r="C566" s="0" t="s">
        <v>30</v>
      </c>
      <c r="D566" s="0" t="s">
        <v>31</v>
      </c>
      <c r="E566" s="0" t="n">
        <v>5</v>
      </c>
      <c r="F566" s="0" t="s">
        <v>46</v>
      </c>
      <c r="G566" s="0" t="s">
        <v>47</v>
      </c>
      <c r="H566" s="0" t="s">
        <v>47</v>
      </c>
      <c r="I566" s="0" t="s">
        <v>34</v>
      </c>
      <c r="J566" s="0" t="n">
        <v>1.33</v>
      </c>
      <c r="K566" s="0" t="s">
        <v>35</v>
      </c>
      <c r="L566" s="0" t="n">
        <f aca="false">INDEX(Summary!$F$2:$F$201,MATCH($B566,Summary!$A$2:$A$201,0))</f>
        <v>20</v>
      </c>
      <c r="M566" s="0" t="n">
        <f aca="false">INDEX(Summary!$I$2:$I$201,MATCH($B566,Summary!$A$2:$A$201,0))</f>
        <v>3</v>
      </c>
      <c r="N566" s="0" t="n">
        <f aca="false">INDEX(Summary!$J$2:$J$201,MATCH($B566,Summary!$A$2:$A$201,0))</f>
        <v>2</v>
      </c>
      <c r="O566" s="2" t="n">
        <f aca="false">INDEX(Summary!$K$2:$K$201,MATCH($B566,Summary!$A$2:$A$201,0))</f>
        <v>8.06</v>
      </c>
      <c r="P566" s="3" t="n">
        <f aca="false">INDEX(Summary!$L$2:$L$201,MATCH($B566,Summary!$A$2:$A$201,0))</f>
        <v>5</v>
      </c>
      <c r="Q566" s="3" t="n">
        <f aca="false">INDEX(Summary!$M$2:$M$201,MATCH($B566,Summary!$A$2:$A$201,0))</f>
        <v>1</v>
      </c>
      <c r="R566" s="2" t="n">
        <f aca="false">INDEX(Summary!$N$2:$N$201,MATCH($B566,Summary!$A$2:$A$201,0))</f>
        <v>8.01</v>
      </c>
      <c r="S566" s="3" t="n">
        <f aca="false">INDEX(Summary!$O$2:$O$201,MATCH($B566,Summary!$A$2:$A$201,0))</f>
        <v>8</v>
      </c>
      <c r="T566" s="3" t="n">
        <f aca="false">INDEX(Summary!$P$2:$P$201,MATCH($B566,Summary!$A$2:$A$201,0))</f>
        <v>1</v>
      </c>
      <c r="U566" s="2" t="n">
        <f aca="false">INDEX(Summary!$Q$2:$Q$201,MATCH($B566,Summary!$A$2:$A$201,0))</f>
        <v>12.06</v>
      </c>
      <c r="V566" s="2" t="n">
        <f aca="false">INDEX(Summary!$R$2:$R$201,MATCH($B566,Summary!$A$2:$A$201,0))</f>
        <v>30.45</v>
      </c>
      <c r="W566" s="0" t="str">
        <f aca="false">INDEX(Summary!$S$2:$S$201,MATCH($B566,Summary!$A$2:$A$201,0))</f>
        <v>Gold</v>
      </c>
      <c r="X566" s="2" t="n">
        <f aca="false">INDEX(Summary!$T$2:$T$201,MATCH($B566,Summary!$A$2:$A$201,0))</f>
        <v>74.27</v>
      </c>
      <c r="Y566" s="0" t="str">
        <f aca="false">INDEX('Reward Model'!$E$18:$E$37,MATCH($E566,'Reward Model'!$A$18:$A$37,0))</f>
        <v>Low</v>
      </c>
      <c r="Z566" s="4" t="n">
        <f aca="false">ROUND(MIN(1,MAX('Reward Model'!$B$2,INDEX('Reward Model'!$C$12:$C$14,MATCH($K566,'Reward Model'!$A$12:$A$14,0))/$J566)),3)</f>
        <v>1</v>
      </c>
      <c r="AA566" s="2" t="n">
        <f aca="false">IF($I566="Correct",ROUND(INDEX('Reward Model'!$B$12:$B$14,MATCH($K566,'Reward Model'!$A$12:$A$14,0))*Z566,2),0)</f>
        <v>1</v>
      </c>
      <c r="AB566" s="2" t="n">
        <f aca="false">IF($I566="Correct",ROUND(INDEX('Reward Model'!$B$12:$B$14,MATCH($Y566,'Reward Model'!$A$12:$A$14,0))*Z566,2),0)</f>
        <v>1</v>
      </c>
    </row>
    <row r="567" customFormat="false" ht="15" hidden="false" customHeight="false" outlineLevel="0" collapsed="false">
      <c r="A567" s="0" t="s">
        <v>183</v>
      </c>
      <c r="B567" s="0" t="s">
        <v>184</v>
      </c>
      <c r="C567" s="0" t="s">
        <v>30</v>
      </c>
      <c r="D567" s="0" t="s">
        <v>31</v>
      </c>
      <c r="E567" s="0" t="n">
        <v>6</v>
      </c>
      <c r="F567" s="0" t="s">
        <v>48</v>
      </c>
      <c r="G567" s="0" t="s">
        <v>49</v>
      </c>
      <c r="H567" s="0" t="s">
        <v>49</v>
      </c>
      <c r="I567" s="0" t="s">
        <v>34</v>
      </c>
      <c r="J567" s="0" t="n">
        <v>1</v>
      </c>
      <c r="K567" s="0" t="s">
        <v>35</v>
      </c>
      <c r="L567" s="0" t="n">
        <f aca="false">INDEX(Summary!$F$2:$F$201,MATCH($B567,Summary!$A$2:$A$201,0))</f>
        <v>20</v>
      </c>
      <c r="M567" s="0" t="n">
        <f aca="false">INDEX(Summary!$I$2:$I$201,MATCH($B567,Summary!$A$2:$A$201,0))</f>
        <v>3</v>
      </c>
      <c r="N567" s="0" t="n">
        <f aca="false">INDEX(Summary!$J$2:$J$201,MATCH($B567,Summary!$A$2:$A$201,0))</f>
        <v>2</v>
      </c>
      <c r="O567" s="2" t="n">
        <f aca="false">INDEX(Summary!$K$2:$K$201,MATCH($B567,Summary!$A$2:$A$201,0))</f>
        <v>8.06</v>
      </c>
      <c r="P567" s="3" t="n">
        <f aca="false">INDEX(Summary!$L$2:$L$201,MATCH($B567,Summary!$A$2:$A$201,0))</f>
        <v>5</v>
      </c>
      <c r="Q567" s="3" t="n">
        <f aca="false">INDEX(Summary!$M$2:$M$201,MATCH($B567,Summary!$A$2:$A$201,0))</f>
        <v>1</v>
      </c>
      <c r="R567" s="2" t="n">
        <f aca="false">INDEX(Summary!$N$2:$N$201,MATCH($B567,Summary!$A$2:$A$201,0))</f>
        <v>8.01</v>
      </c>
      <c r="S567" s="3" t="n">
        <f aca="false">INDEX(Summary!$O$2:$O$201,MATCH($B567,Summary!$A$2:$A$201,0))</f>
        <v>8</v>
      </c>
      <c r="T567" s="3" t="n">
        <f aca="false">INDEX(Summary!$P$2:$P$201,MATCH($B567,Summary!$A$2:$A$201,0))</f>
        <v>1</v>
      </c>
      <c r="U567" s="2" t="n">
        <f aca="false">INDEX(Summary!$Q$2:$Q$201,MATCH($B567,Summary!$A$2:$A$201,0))</f>
        <v>12.06</v>
      </c>
      <c r="V567" s="2" t="n">
        <f aca="false">INDEX(Summary!$R$2:$R$201,MATCH($B567,Summary!$A$2:$A$201,0))</f>
        <v>30.45</v>
      </c>
      <c r="W567" s="0" t="str">
        <f aca="false">INDEX(Summary!$S$2:$S$201,MATCH($B567,Summary!$A$2:$A$201,0))</f>
        <v>Gold</v>
      </c>
      <c r="X567" s="2" t="n">
        <f aca="false">INDEX(Summary!$T$2:$T$201,MATCH($B567,Summary!$A$2:$A$201,0))</f>
        <v>74.27</v>
      </c>
      <c r="Y567" s="0" t="str">
        <f aca="false">INDEX('Reward Model'!$E$18:$E$37,MATCH($E567,'Reward Model'!$A$18:$A$37,0))</f>
        <v>Medium</v>
      </c>
      <c r="Z567" s="4" t="n">
        <f aca="false">ROUND(MIN(1,MAX('Reward Model'!$B$2,INDEX('Reward Model'!$C$12:$C$14,MATCH($K567,'Reward Model'!$A$12:$A$14,0))/$J567)),3)</f>
        <v>1</v>
      </c>
      <c r="AA567" s="2" t="n">
        <f aca="false">IF($I567="Correct",ROUND(INDEX('Reward Model'!$B$12:$B$14,MATCH($K567,'Reward Model'!$A$12:$A$14,0))*Z567,2),0)</f>
        <v>1</v>
      </c>
      <c r="AB567" s="2" t="n">
        <f aca="false">IF($I567="Correct",ROUND(INDEX('Reward Model'!$B$12:$B$14,MATCH($Y567,'Reward Model'!$A$12:$A$14,0))*Z567,2),0)</f>
        <v>2</v>
      </c>
    </row>
    <row r="568" customFormat="false" ht="15" hidden="false" customHeight="false" outlineLevel="0" collapsed="false">
      <c r="A568" s="0" t="s">
        <v>183</v>
      </c>
      <c r="B568" s="0" t="s">
        <v>184</v>
      </c>
      <c r="C568" s="0" t="s">
        <v>30</v>
      </c>
      <c r="D568" s="0" t="s">
        <v>31</v>
      </c>
      <c r="E568" s="0" t="n">
        <v>7</v>
      </c>
      <c r="F568" s="0" t="s">
        <v>50</v>
      </c>
      <c r="G568" s="0" t="s">
        <v>51</v>
      </c>
      <c r="H568" s="0" t="s">
        <v>51</v>
      </c>
      <c r="I568" s="0" t="s">
        <v>34</v>
      </c>
      <c r="J568" s="0" t="n">
        <v>1.31</v>
      </c>
      <c r="K568" s="0" t="s">
        <v>35</v>
      </c>
      <c r="L568" s="0" t="n">
        <f aca="false">INDEX(Summary!$F$2:$F$201,MATCH($B568,Summary!$A$2:$A$201,0))</f>
        <v>20</v>
      </c>
      <c r="M568" s="0" t="n">
        <f aca="false">INDEX(Summary!$I$2:$I$201,MATCH($B568,Summary!$A$2:$A$201,0))</f>
        <v>3</v>
      </c>
      <c r="N568" s="0" t="n">
        <f aca="false">INDEX(Summary!$J$2:$J$201,MATCH($B568,Summary!$A$2:$A$201,0))</f>
        <v>2</v>
      </c>
      <c r="O568" s="2" t="n">
        <f aca="false">INDEX(Summary!$K$2:$K$201,MATCH($B568,Summary!$A$2:$A$201,0))</f>
        <v>8.06</v>
      </c>
      <c r="P568" s="3" t="n">
        <f aca="false">INDEX(Summary!$L$2:$L$201,MATCH($B568,Summary!$A$2:$A$201,0))</f>
        <v>5</v>
      </c>
      <c r="Q568" s="3" t="n">
        <f aca="false">INDEX(Summary!$M$2:$M$201,MATCH($B568,Summary!$A$2:$A$201,0))</f>
        <v>1</v>
      </c>
      <c r="R568" s="2" t="n">
        <f aca="false">INDEX(Summary!$N$2:$N$201,MATCH($B568,Summary!$A$2:$A$201,0))</f>
        <v>8.01</v>
      </c>
      <c r="S568" s="3" t="n">
        <f aca="false">INDEX(Summary!$O$2:$O$201,MATCH($B568,Summary!$A$2:$A$201,0))</f>
        <v>8</v>
      </c>
      <c r="T568" s="3" t="n">
        <f aca="false">INDEX(Summary!$P$2:$P$201,MATCH($B568,Summary!$A$2:$A$201,0))</f>
        <v>1</v>
      </c>
      <c r="U568" s="2" t="n">
        <f aca="false">INDEX(Summary!$Q$2:$Q$201,MATCH($B568,Summary!$A$2:$A$201,0))</f>
        <v>12.06</v>
      </c>
      <c r="V568" s="2" t="n">
        <f aca="false">INDEX(Summary!$R$2:$R$201,MATCH($B568,Summary!$A$2:$A$201,0))</f>
        <v>30.45</v>
      </c>
      <c r="W568" s="0" t="str">
        <f aca="false">INDEX(Summary!$S$2:$S$201,MATCH($B568,Summary!$A$2:$A$201,0))</f>
        <v>Gold</v>
      </c>
      <c r="X568" s="2" t="n">
        <f aca="false">INDEX(Summary!$T$2:$T$201,MATCH($B568,Summary!$A$2:$A$201,0))</f>
        <v>74.27</v>
      </c>
      <c r="Y568" s="0" t="str">
        <f aca="false">INDEX('Reward Model'!$E$18:$E$37,MATCH($E568,'Reward Model'!$A$18:$A$37,0))</f>
        <v>Low</v>
      </c>
      <c r="Z568" s="4" t="n">
        <f aca="false">ROUND(MIN(1,MAX('Reward Model'!$B$2,INDEX('Reward Model'!$C$12:$C$14,MATCH($K568,'Reward Model'!$A$12:$A$14,0))/$J568)),3)</f>
        <v>1</v>
      </c>
      <c r="AA568" s="2" t="n">
        <f aca="false">IF($I568="Correct",ROUND(INDEX('Reward Model'!$B$12:$B$14,MATCH($K568,'Reward Model'!$A$12:$A$14,0))*Z568,2),0)</f>
        <v>1</v>
      </c>
      <c r="AB568" s="2" t="n">
        <f aca="false">IF($I568="Correct",ROUND(INDEX('Reward Model'!$B$12:$B$14,MATCH($Y568,'Reward Model'!$A$12:$A$14,0))*Z568,2),0)</f>
        <v>1</v>
      </c>
    </row>
    <row r="569" customFormat="false" ht="15" hidden="false" customHeight="false" outlineLevel="0" collapsed="false">
      <c r="A569" s="0" t="s">
        <v>183</v>
      </c>
      <c r="B569" s="0" t="s">
        <v>184</v>
      </c>
      <c r="C569" s="0" t="s">
        <v>30</v>
      </c>
      <c r="D569" s="0" t="s">
        <v>31</v>
      </c>
      <c r="E569" s="0" t="n">
        <v>8</v>
      </c>
      <c r="F569" s="0" t="s">
        <v>52</v>
      </c>
      <c r="G569" s="0" t="s">
        <v>54</v>
      </c>
      <c r="H569" s="0" t="s">
        <v>54</v>
      </c>
      <c r="I569" s="0" t="s">
        <v>34</v>
      </c>
      <c r="J569" s="0" t="n">
        <v>1.73</v>
      </c>
      <c r="K569" s="0" t="s">
        <v>35</v>
      </c>
      <c r="L569" s="0" t="n">
        <f aca="false">INDEX(Summary!$F$2:$F$201,MATCH($B569,Summary!$A$2:$A$201,0))</f>
        <v>20</v>
      </c>
      <c r="M569" s="0" t="n">
        <f aca="false">INDEX(Summary!$I$2:$I$201,MATCH($B569,Summary!$A$2:$A$201,0))</f>
        <v>3</v>
      </c>
      <c r="N569" s="0" t="n">
        <f aca="false">INDEX(Summary!$J$2:$J$201,MATCH($B569,Summary!$A$2:$A$201,0))</f>
        <v>2</v>
      </c>
      <c r="O569" s="2" t="n">
        <f aca="false">INDEX(Summary!$K$2:$K$201,MATCH($B569,Summary!$A$2:$A$201,0))</f>
        <v>8.06</v>
      </c>
      <c r="P569" s="3" t="n">
        <f aca="false">INDEX(Summary!$L$2:$L$201,MATCH($B569,Summary!$A$2:$A$201,0))</f>
        <v>5</v>
      </c>
      <c r="Q569" s="3" t="n">
        <f aca="false">INDEX(Summary!$M$2:$M$201,MATCH($B569,Summary!$A$2:$A$201,0))</f>
        <v>1</v>
      </c>
      <c r="R569" s="2" t="n">
        <f aca="false">INDEX(Summary!$N$2:$N$201,MATCH($B569,Summary!$A$2:$A$201,0))</f>
        <v>8.01</v>
      </c>
      <c r="S569" s="3" t="n">
        <f aca="false">INDEX(Summary!$O$2:$O$201,MATCH($B569,Summary!$A$2:$A$201,0))</f>
        <v>8</v>
      </c>
      <c r="T569" s="3" t="n">
        <f aca="false">INDEX(Summary!$P$2:$P$201,MATCH($B569,Summary!$A$2:$A$201,0))</f>
        <v>1</v>
      </c>
      <c r="U569" s="2" t="n">
        <f aca="false">INDEX(Summary!$Q$2:$Q$201,MATCH($B569,Summary!$A$2:$A$201,0))</f>
        <v>12.06</v>
      </c>
      <c r="V569" s="2" t="n">
        <f aca="false">INDEX(Summary!$R$2:$R$201,MATCH($B569,Summary!$A$2:$A$201,0))</f>
        <v>30.45</v>
      </c>
      <c r="W569" s="0" t="str">
        <f aca="false">INDEX(Summary!$S$2:$S$201,MATCH($B569,Summary!$A$2:$A$201,0))</f>
        <v>Gold</v>
      </c>
      <c r="X569" s="2" t="n">
        <f aca="false">INDEX(Summary!$T$2:$T$201,MATCH($B569,Summary!$A$2:$A$201,0))</f>
        <v>74.27</v>
      </c>
      <c r="Y569" s="0" t="str">
        <f aca="false">INDEX('Reward Model'!$E$18:$E$37,MATCH($E569,'Reward Model'!$A$18:$A$37,0))</f>
        <v>Medium</v>
      </c>
      <c r="Z569" s="4" t="n">
        <f aca="false">ROUND(MIN(1,MAX('Reward Model'!$B$2,INDEX('Reward Model'!$C$12:$C$14,MATCH($K569,'Reward Model'!$A$12:$A$14,0))/$J569)),3)</f>
        <v>0.867</v>
      </c>
      <c r="AA569" s="2" t="n">
        <f aca="false">IF($I569="Correct",ROUND(INDEX('Reward Model'!$B$12:$B$14,MATCH($K569,'Reward Model'!$A$12:$A$14,0))*Z569,2),0)</f>
        <v>0.87</v>
      </c>
      <c r="AB569" s="2" t="n">
        <f aca="false">IF($I569="Correct",ROUND(INDEX('Reward Model'!$B$12:$B$14,MATCH($Y569,'Reward Model'!$A$12:$A$14,0))*Z569,2),0)</f>
        <v>1.73</v>
      </c>
    </row>
    <row r="570" customFormat="false" ht="15" hidden="false" customHeight="false" outlineLevel="0" collapsed="false">
      <c r="A570" s="0" t="s">
        <v>183</v>
      </c>
      <c r="B570" s="0" t="s">
        <v>184</v>
      </c>
      <c r="C570" s="0" t="s">
        <v>30</v>
      </c>
      <c r="D570" s="0" t="s">
        <v>31</v>
      </c>
      <c r="E570" s="0" t="n">
        <v>9</v>
      </c>
      <c r="F570" s="0" t="s">
        <v>55</v>
      </c>
      <c r="G570" s="0" t="s">
        <v>57</v>
      </c>
      <c r="H570" s="0" t="s">
        <v>57</v>
      </c>
      <c r="I570" s="0" t="s">
        <v>34</v>
      </c>
      <c r="J570" s="0" t="n">
        <v>1.66</v>
      </c>
      <c r="K570" s="0" t="s">
        <v>35</v>
      </c>
      <c r="L570" s="0" t="n">
        <f aca="false">INDEX(Summary!$F$2:$F$201,MATCH($B570,Summary!$A$2:$A$201,0))</f>
        <v>20</v>
      </c>
      <c r="M570" s="0" t="n">
        <f aca="false">INDEX(Summary!$I$2:$I$201,MATCH($B570,Summary!$A$2:$A$201,0))</f>
        <v>3</v>
      </c>
      <c r="N570" s="0" t="n">
        <f aca="false">INDEX(Summary!$J$2:$J$201,MATCH($B570,Summary!$A$2:$A$201,0))</f>
        <v>2</v>
      </c>
      <c r="O570" s="2" t="n">
        <f aca="false">INDEX(Summary!$K$2:$K$201,MATCH($B570,Summary!$A$2:$A$201,0))</f>
        <v>8.06</v>
      </c>
      <c r="P570" s="3" t="n">
        <f aca="false">INDEX(Summary!$L$2:$L$201,MATCH($B570,Summary!$A$2:$A$201,0))</f>
        <v>5</v>
      </c>
      <c r="Q570" s="3" t="n">
        <f aca="false">INDEX(Summary!$M$2:$M$201,MATCH($B570,Summary!$A$2:$A$201,0))</f>
        <v>1</v>
      </c>
      <c r="R570" s="2" t="n">
        <f aca="false">INDEX(Summary!$N$2:$N$201,MATCH($B570,Summary!$A$2:$A$201,0))</f>
        <v>8.01</v>
      </c>
      <c r="S570" s="3" t="n">
        <f aca="false">INDEX(Summary!$O$2:$O$201,MATCH($B570,Summary!$A$2:$A$201,0))</f>
        <v>8</v>
      </c>
      <c r="T570" s="3" t="n">
        <f aca="false">INDEX(Summary!$P$2:$P$201,MATCH($B570,Summary!$A$2:$A$201,0))</f>
        <v>1</v>
      </c>
      <c r="U570" s="2" t="n">
        <f aca="false">INDEX(Summary!$Q$2:$Q$201,MATCH($B570,Summary!$A$2:$A$201,0))</f>
        <v>12.06</v>
      </c>
      <c r="V570" s="2" t="n">
        <f aca="false">INDEX(Summary!$R$2:$R$201,MATCH($B570,Summary!$A$2:$A$201,0))</f>
        <v>30.45</v>
      </c>
      <c r="W570" s="0" t="str">
        <f aca="false">INDEX(Summary!$S$2:$S$201,MATCH($B570,Summary!$A$2:$A$201,0))</f>
        <v>Gold</v>
      </c>
      <c r="X570" s="2" t="n">
        <f aca="false">INDEX(Summary!$T$2:$T$201,MATCH($B570,Summary!$A$2:$A$201,0))</f>
        <v>74.27</v>
      </c>
      <c r="Y570" s="0" t="str">
        <f aca="false">INDEX('Reward Model'!$E$18:$E$37,MATCH($E570,'Reward Model'!$A$18:$A$37,0))</f>
        <v>Medium</v>
      </c>
      <c r="Z570" s="4" t="n">
        <f aca="false">ROUND(MIN(1,MAX('Reward Model'!$B$2,INDEX('Reward Model'!$C$12:$C$14,MATCH($K570,'Reward Model'!$A$12:$A$14,0))/$J570)),3)</f>
        <v>0.904</v>
      </c>
      <c r="AA570" s="2" t="n">
        <f aca="false">IF($I570="Correct",ROUND(INDEX('Reward Model'!$B$12:$B$14,MATCH($K570,'Reward Model'!$A$12:$A$14,0))*Z570,2),0)</f>
        <v>0.9</v>
      </c>
      <c r="AB570" s="2" t="n">
        <f aca="false">IF($I570="Correct",ROUND(INDEX('Reward Model'!$B$12:$B$14,MATCH($Y570,'Reward Model'!$A$12:$A$14,0))*Z570,2),0)</f>
        <v>1.81</v>
      </c>
    </row>
    <row r="571" customFormat="false" ht="15" hidden="false" customHeight="false" outlineLevel="0" collapsed="false">
      <c r="A571" s="0" t="s">
        <v>183</v>
      </c>
      <c r="B571" s="0" t="s">
        <v>184</v>
      </c>
      <c r="C571" s="0" t="s">
        <v>30</v>
      </c>
      <c r="D571" s="0" t="s">
        <v>31</v>
      </c>
      <c r="E571" s="0" t="n">
        <v>10</v>
      </c>
      <c r="F571" s="0" t="s">
        <v>58</v>
      </c>
      <c r="G571" s="0" t="s">
        <v>59</v>
      </c>
      <c r="H571" s="0" t="s">
        <v>59</v>
      </c>
      <c r="I571" s="0" t="s">
        <v>34</v>
      </c>
      <c r="J571" s="0" t="n">
        <v>1.99</v>
      </c>
      <c r="K571" s="0" t="s">
        <v>60</v>
      </c>
      <c r="L571" s="0" t="n">
        <f aca="false">INDEX(Summary!$F$2:$F$201,MATCH($B571,Summary!$A$2:$A$201,0))</f>
        <v>20</v>
      </c>
      <c r="M571" s="0" t="n">
        <f aca="false">INDEX(Summary!$I$2:$I$201,MATCH($B571,Summary!$A$2:$A$201,0))</f>
        <v>3</v>
      </c>
      <c r="N571" s="0" t="n">
        <f aca="false">INDEX(Summary!$J$2:$J$201,MATCH($B571,Summary!$A$2:$A$201,0))</f>
        <v>2</v>
      </c>
      <c r="O571" s="2" t="n">
        <f aca="false">INDEX(Summary!$K$2:$K$201,MATCH($B571,Summary!$A$2:$A$201,0))</f>
        <v>8.06</v>
      </c>
      <c r="P571" s="3" t="n">
        <f aca="false">INDEX(Summary!$L$2:$L$201,MATCH($B571,Summary!$A$2:$A$201,0))</f>
        <v>5</v>
      </c>
      <c r="Q571" s="3" t="n">
        <f aca="false">INDEX(Summary!$M$2:$M$201,MATCH($B571,Summary!$A$2:$A$201,0))</f>
        <v>1</v>
      </c>
      <c r="R571" s="2" t="n">
        <f aca="false">INDEX(Summary!$N$2:$N$201,MATCH($B571,Summary!$A$2:$A$201,0))</f>
        <v>8.01</v>
      </c>
      <c r="S571" s="3" t="n">
        <f aca="false">INDEX(Summary!$O$2:$O$201,MATCH($B571,Summary!$A$2:$A$201,0))</f>
        <v>8</v>
      </c>
      <c r="T571" s="3" t="n">
        <f aca="false">INDEX(Summary!$P$2:$P$201,MATCH($B571,Summary!$A$2:$A$201,0))</f>
        <v>1</v>
      </c>
      <c r="U571" s="2" t="n">
        <f aca="false">INDEX(Summary!$Q$2:$Q$201,MATCH($B571,Summary!$A$2:$A$201,0))</f>
        <v>12.06</v>
      </c>
      <c r="V571" s="2" t="n">
        <f aca="false">INDEX(Summary!$R$2:$R$201,MATCH($B571,Summary!$A$2:$A$201,0))</f>
        <v>30.45</v>
      </c>
      <c r="W571" s="0" t="str">
        <f aca="false">INDEX(Summary!$S$2:$S$201,MATCH($B571,Summary!$A$2:$A$201,0))</f>
        <v>Gold</v>
      </c>
      <c r="X571" s="2" t="n">
        <f aca="false">INDEX(Summary!$T$2:$T$201,MATCH($B571,Summary!$A$2:$A$201,0))</f>
        <v>74.27</v>
      </c>
      <c r="Y571" s="0" t="str">
        <f aca="false">INDEX('Reward Model'!$E$18:$E$37,MATCH($E571,'Reward Model'!$A$18:$A$37,0))</f>
        <v>Medium</v>
      </c>
      <c r="Z571" s="4" t="n">
        <f aca="false">ROUND(MIN(1,MAX('Reward Model'!$B$2,INDEX('Reward Model'!$C$12:$C$14,MATCH($K571,'Reward Model'!$A$12:$A$14,0))/$J571)),3)</f>
        <v>0.905</v>
      </c>
      <c r="AA571" s="2" t="n">
        <f aca="false">IF($I571="Correct",ROUND(INDEX('Reward Model'!$B$12:$B$14,MATCH($K571,'Reward Model'!$A$12:$A$14,0))*Z571,2),0)</f>
        <v>1.81</v>
      </c>
      <c r="AB571" s="2" t="n">
        <f aca="false">IF($I571="Correct",ROUND(INDEX('Reward Model'!$B$12:$B$14,MATCH($Y571,'Reward Model'!$A$12:$A$14,0))*Z571,2),0)</f>
        <v>1.81</v>
      </c>
    </row>
    <row r="572" customFormat="false" ht="15" hidden="false" customHeight="false" outlineLevel="0" collapsed="false">
      <c r="A572" s="0" t="s">
        <v>183</v>
      </c>
      <c r="B572" s="0" t="s">
        <v>184</v>
      </c>
      <c r="C572" s="0" t="s">
        <v>30</v>
      </c>
      <c r="D572" s="0" t="s">
        <v>31</v>
      </c>
      <c r="E572" s="0" t="n">
        <v>11</v>
      </c>
      <c r="F572" s="0" t="s">
        <v>61</v>
      </c>
      <c r="G572" s="0" t="s">
        <v>63</v>
      </c>
      <c r="H572" s="0" t="s">
        <v>63</v>
      </c>
      <c r="I572" s="0" t="s">
        <v>34</v>
      </c>
      <c r="J572" s="0" t="n">
        <v>1.1</v>
      </c>
      <c r="K572" s="0" t="s">
        <v>60</v>
      </c>
      <c r="L572" s="0" t="n">
        <f aca="false">INDEX(Summary!$F$2:$F$201,MATCH($B572,Summary!$A$2:$A$201,0))</f>
        <v>20</v>
      </c>
      <c r="M572" s="0" t="n">
        <f aca="false">INDEX(Summary!$I$2:$I$201,MATCH($B572,Summary!$A$2:$A$201,0))</f>
        <v>3</v>
      </c>
      <c r="N572" s="0" t="n">
        <f aca="false">INDEX(Summary!$J$2:$J$201,MATCH($B572,Summary!$A$2:$A$201,0))</f>
        <v>2</v>
      </c>
      <c r="O572" s="2" t="n">
        <f aca="false">INDEX(Summary!$K$2:$K$201,MATCH($B572,Summary!$A$2:$A$201,0))</f>
        <v>8.06</v>
      </c>
      <c r="P572" s="3" t="n">
        <f aca="false">INDEX(Summary!$L$2:$L$201,MATCH($B572,Summary!$A$2:$A$201,0))</f>
        <v>5</v>
      </c>
      <c r="Q572" s="3" t="n">
        <f aca="false">INDEX(Summary!$M$2:$M$201,MATCH($B572,Summary!$A$2:$A$201,0))</f>
        <v>1</v>
      </c>
      <c r="R572" s="2" t="n">
        <f aca="false">INDEX(Summary!$N$2:$N$201,MATCH($B572,Summary!$A$2:$A$201,0))</f>
        <v>8.01</v>
      </c>
      <c r="S572" s="3" t="n">
        <f aca="false">INDEX(Summary!$O$2:$O$201,MATCH($B572,Summary!$A$2:$A$201,0))</f>
        <v>8</v>
      </c>
      <c r="T572" s="3" t="n">
        <f aca="false">INDEX(Summary!$P$2:$P$201,MATCH($B572,Summary!$A$2:$A$201,0))</f>
        <v>1</v>
      </c>
      <c r="U572" s="2" t="n">
        <f aca="false">INDEX(Summary!$Q$2:$Q$201,MATCH($B572,Summary!$A$2:$A$201,0))</f>
        <v>12.06</v>
      </c>
      <c r="V572" s="2" t="n">
        <f aca="false">INDEX(Summary!$R$2:$R$201,MATCH($B572,Summary!$A$2:$A$201,0))</f>
        <v>30.45</v>
      </c>
      <c r="W572" s="0" t="str">
        <f aca="false">INDEX(Summary!$S$2:$S$201,MATCH($B572,Summary!$A$2:$A$201,0))</f>
        <v>Gold</v>
      </c>
      <c r="X572" s="2" t="n">
        <f aca="false">INDEX(Summary!$T$2:$T$201,MATCH($B572,Summary!$A$2:$A$201,0))</f>
        <v>74.27</v>
      </c>
      <c r="Y572" s="0" t="str">
        <f aca="false">INDEX('Reward Model'!$E$18:$E$37,MATCH($E572,'Reward Model'!$A$18:$A$37,0))</f>
        <v>Medium</v>
      </c>
      <c r="Z572" s="4" t="n">
        <f aca="false">ROUND(MIN(1,MAX('Reward Model'!$B$2,INDEX('Reward Model'!$C$12:$C$14,MATCH($K572,'Reward Model'!$A$12:$A$14,0))/$J572)),3)</f>
        <v>1</v>
      </c>
      <c r="AA572" s="2" t="n">
        <f aca="false">IF($I572="Correct",ROUND(INDEX('Reward Model'!$B$12:$B$14,MATCH($K572,'Reward Model'!$A$12:$A$14,0))*Z572,2),0)</f>
        <v>2</v>
      </c>
      <c r="AB572" s="2" t="n">
        <f aca="false">IF($I572="Correct",ROUND(INDEX('Reward Model'!$B$12:$B$14,MATCH($Y572,'Reward Model'!$A$12:$A$14,0))*Z572,2),0)</f>
        <v>2</v>
      </c>
    </row>
    <row r="573" customFormat="false" ht="15" hidden="false" customHeight="false" outlineLevel="0" collapsed="false">
      <c r="A573" s="0" t="s">
        <v>183</v>
      </c>
      <c r="B573" s="0" t="s">
        <v>184</v>
      </c>
      <c r="C573" s="0" t="s">
        <v>30</v>
      </c>
      <c r="D573" s="0" t="s">
        <v>31</v>
      </c>
      <c r="E573" s="0" t="n">
        <v>12</v>
      </c>
      <c r="F573" s="0" t="s">
        <v>64</v>
      </c>
      <c r="G573" s="0" t="s">
        <v>65</v>
      </c>
      <c r="H573" s="0" t="s">
        <v>65</v>
      </c>
      <c r="I573" s="0" t="s">
        <v>34</v>
      </c>
      <c r="J573" s="0" t="n">
        <v>1.17</v>
      </c>
      <c r="K573" s="0" t="s">
        <v>60</v>
      </c>
      <c r="L573" s="0" t="n">
        <f aca="false">INDEX(Summary!$F$2:$F$201,MATCH($B573,Summary!$A$2:$A$201,0))</f>
        <v>20</v>
      </c>
      <c r="M573" s="0" t="n">
        <f aca="false">INDEX(Summary!$I$2:$I$201,MATCH($B573,Summary!$A$2:$A$201,0))</f>
        <v>3</v>
      </c>
      <c r="N573" s="0" t="n">
        <f aca="false">INDEX(Summary!$J$2:$J$201,MATCH($B573,Summary!$A$2:$A$201,0))</f>
        <v>2</v>
      </c>
      <c r="O573" s="2" t="n">
        <f aca="false">INDEX(Summary!$K$2:$K$201,MATCH($B573,Summary!$A$2:$A$201,0))</f>
        <v>8.06</v>
      </c>
      <c r="P573" s="3" t="n">
        <f aca="false">INDEX(Summary!$L$2:$L$201,MATCH($B573,Summary!$A$2:$A$201,0))</f>
        <v>5</v>
      </c>
      <c r="Q573" s="3" t="n">
        <f aca="false">INDEX(Summary!$M$2:$M$201,MATCH($B573,Summary!$A$2:$A$201,0))</f>
        <v>1</v>
      </c>
      <c r="R573" s="2" t="n">
        <f aca="false">INDEX(Summary!$N$2:$N$201,MATCH($B573,Summary!$A$2:$A$201,0))</f>
        <v>8.01</v>
      </c>
      <c r="S573" s="3" t="n">
        <f aca="false">INDEX(Summary!$O$2:$O$201,MATCH($B573,Summary!$A$2:$A$201,0))</f>
        <v>8</v>
      </c>
      <c r="T573" s="3" t="n">
        <f aca="false">INDEX(Summary!$P$2:$P$201,MATCH($B573,Summary!$A$2:$A$201,0))</f>
        <v>1</v>
      </c>
      <c r="U573" s="2" t="n">
        <f aca="false">INDEX(Summary!$Q$2:$Q$201,MATCH($B573,Summary!$A$2:$A$201,0))</f>
        <v>12.06</v>
      </c>
      <c r="V573" s="2" t="n">
        <f aca="false">INDEX(Summary!$R$2:$R$201,MATCH($B573,Summary!$A$2:$A$201,0))</f>
        <v>30.45</v>
      </c>
      <c r="W573" s="0" t="str">
        <f aca="false">INDEX(Summary!$S$2:$S$201,MATCH($B573,Summary!$A$2:$A$201,0))</f>
        <v>Gold</v>
      </c>
      <c r="X573" s="2" t="n">
        <f aca="false">INDEX(Summary!$T$2:$T$201,MATCH($B573,Summary!$A$2:$A$201,0))</f>
        <v>74.27</v>
      </c>
      <c r="Y573" s="0" t="str">
        <f aca="false">INDEX('Reward Model'!$E$18:$E$37,MATCH($E573,'Reward Model'!$A$18:$A$37,0))</f>
        <v>Medium</v>
      </c>
      <c r="Z573" s="4" t="n">
        <f aca="false">ROUND(MIN(1,MAX('Reward Model'!$B$2,INDEX('Reward Model'!$C$12:$C$14,MATCH($K573,'Reward Model'!$A$12:$A$14,0))/$J573)),3)</f>
        <v>1</v>
      </c>
      <c r="AA573" s="2" t="n">
        <f aca="false">IF($I573="Correct",ROUND(INDEX('Reward Model'!$B$12:$B$14,MATCH($K573,'Reward Model'!$A$12:$A$14,0))*Z573,2),0)</f>
        <v>2</v>
      </c>
      <c r="AB573" s="2" t="n">
        <f aca="false">IF($I573="Correct",ROUND(INDEX('Reward Model'!$B$12:$B$14,MATCH($Y573,'Reward Model'!$A$12:$A$14,0))*Z573,2),0)</f>
        <v>2</v>
      </c>
    </row>
    <row r="574" customFormat="false" ht="15" hidden="false" customHeight="false" outlineLevel="0" collapsed="false">
      <c r="A574" s="0" t="s">
        <v>183</v>
      </c>
      <c r="B574" s="0" t="s">
        <v>184</v>
      </c>
      <c r="C574" s="0" t="s">
        <v>30</v>
      </c>
      <c r="D574" s="0" t="s">
        <v>31</v>
      </c>
      <c r="E574" s="0" t="n">
        <v>13</v>
      </c>
      <c r="F574" s="0" t="s">
        <v>66</v>
      </c>
      <c r="G574" s="0" t="s">
        <v>67</v>
      </c>
      <c r="H574" s="0" t="s">
        <v>67</v>
      </c>
      <c r="I574" s="0" t="s">
        <v>34</v>
      </c>
      <c r="J574" s="0" t="n">
        <v>1.12</v>
      </c>
      <c r="K574" s="0" t="s">
        <v>60</v>
      </c>
      <c r="L574" s="0" t="n">
        <f aca="false">INDEX(Summary!$F$2:$F$201,MATCH($B574,Summary!$A$2:$A$201,0))</f>
        <v>20</v>
      </c>
      <c r="M574" s="0" t="n">
        <f aca="false">INDEX(Summary!$I$2:$I$201,MATCH($B574,Summary!$A$2:$A$201,0))</f>
        <v>3</v>
      </c>
      <c r="N574" s="0" t="n">
        <f aca="false">INDEX(Summary!$J$2:$J$201,MATCH($B574,Summary!$A$2:$A$201,0))</f>
        <v>2</v>
      </c>
      <c r="O574" s="2" t="n">
        <f aca="false">INDEX(Summary!$K$2:$K$201,MATCH($B574,Summary!$A$2:$A$201,0))</f>
        <v>8.06</v>
      </c>
      <c r="P574" s="3" t="n">
        <f aca="false">INDEX(Summary!$L$2:$L$201,MATCH($B574,Summary!$A$2:$A$201,0))</f>
        <v>5</v>
      </c>
      <c r="Q574" s="3" t="n">
        <f aca="false">INDEX(Summary!$M$2:$M$201,MATCH($B574,Summary!$A$2:$A$201,0))</f>
        <v>1</v>
      </c>
      <c r="R574" s="2" t="n">
        <f aca="false">INDEX(Summary!$N$2:$N$201,MATCH($B574,Summary!$A$2:$A$201,0))</f>
        <v>8.01</v>
      </c>
      <c r="S574" s="3" t="n">
        <f aca="false">INDEX(Summary!$O$2:$O$201,MATCH($B574,Summary!$A$2:$A$201,0))</f>
        <v>8</v>
      </c>
      <c r="T574" s="3" t="n">
        <f aca="false">INDEX(Summary!$P$2:$P$201,MATCH($B574,Summary!$A$2:$A$201,0))</f>
        <v>1</v>
      </c>
      <c r="U574" s="2" t="n">
        <f aca="false">INDEX(Summary!$Q$2:$Q$201,MATCH($B574,Summary!$A$2:$A$201,0))</f>
        <v>12.06</v>
      </c>
      <c r="V574" s="2" t="n">
        <f aca="false">INDEX(Summary!$R$2:$R$201,MATCH($B574,Summary!$A$2:$A$201,0))</f>
        <v>30.45</v>
      </c>
      <c r="W574" s="0" t="str">
        <f aca="false">INDEX(Summary!$S$2:$S$201,MATCH($B574,Summary!$A$2:$A$201,0))</f>
        <v>Gold</v>
      </c>
      <c r="X574" s="2" t="n">
        <f aca="false">INDEX(Summary!$T$2:$T$201,MATCH($B574,Summary!$A$2:$A$201,0))</f>
        <v>74.27</v>
      </c>
      <c r="Y574" s="0" t="str">
        <f aca="false">INDEX('Reward Model'!$E$18:$E$37,MATCH($E574,'Reward Model'!$A$18:$A$37,0))</f>
        <v>Medium</v>
      </c>
      <c r="Z574" s="4" t="n">
        <f aca="false">ROUND(MIN(1,MAX('Reward Model'!$B$2,INDEX('Reward Model'!$C$12:$C$14,MATCH($K574,'Reward Model'!$A$12:$A$14,0))/$J574)),3)</f>
        <v>1</v>
      </c>
      <c r="AA574" s="2" t="n">
        <f aca="false">IF($I574="Correct",ROUND(INDEX('Reward Model'!$B$12:$B$14,MATCH($K574,'Reward Model'!$A$12:$A$14,0))*Z574,2),0)</f>
        <v>2</v>
      </c>
      <c r="AB574" s="2" t="n">
        <f aca="false">IF($I574="Correct",ROUND(INDEX('Reward Model'!$B$12:$B$14,MATCH($Y574,'Reward Model'!$A$12:$A$14,0))*Z574,2),0)</f>
        <v>2</v>
      </c>
    </row>
    <row r="575" customFormat="false" ht="15" hidden="false" customHeight="false" outlineLevel="0" collapsed="false">
      <c r="A575" s="0" t="s">
        <v>183</v>
      </c>
      <c r="B575" s="0" t="s">
        <v>184</v>
      </c>
      <c r="C575" s="0" t="s">
        <v>30</v>
      </c>
      <c r="D575" s="0" t="s">
        <v>31</v>
      </c>
      <c r="E575" s="0" t="n">
        <v>14</v>
      </c>
      <c r="F575" s="0" t="s">
        <v>68</v>
      </c>
      <c r="G575" s="0" t="s">
        <v>86</v>
      </c>
      <c r="H575" s="0" t="s">
        <v>51</v>
      </c>
      <c r="I575" s="0" t="s">
        <v>39</v>
      </c>
      <c r="J575" s="0" t="n">
        <v>1.15</v>
      </c>
      <c r="K575" s="0" t="s">
        <v>60</v>
      </c>
      <c r="L575" s="0" t="n">
        <f aca="false">INDEX(Summary!$F$2:$F$201,MATCH($B575,Summary!$A$2:$A$201,0))</f>
        <v>20</v>
      </c>
      <c r="M575" s="0" t="n">
        <f aca="false">INDEX(Summary!$I$2:$I$201,MATCH($B575,Summary!$A$2:$A$201,0))</f>
        <v>3</v>
      </c>
      <c r="N575" s="0" t="n">
        <f aca="false">INDEX(Summary!$J$2:$J$201,MATCH($B575,Summary!$A$2:$A$201,0))</f>
        <v>2</v>
      </c>
      <c r="O575" s="2" t="n">
        <f aca="false">INDEX(Summary!$K$2:$K$201,MATCH($B575,Summary!$A$2:$A$201,0))</f>
        <v>8.06</v>
      </c>
      <c r="P575" s="3" t="n">
        <f aca="false">INDEX(Summary!$L$2:$L$201,MATCH($B575,Summary!$A$2:$A$201,0))</f>
        <v>5</v>
      </c>
      <c r="Q575" s="3" t="n">
        <f aca="false">INDEX(Summary!$M$2:$M$201,MATCH($B575,Summary!$A$2:$A$201,0))</f>
        <v>1</v>
      </c>
      <c r="R575" s="2" t="n">
        <f aca="false">INDEX(Summary!$N$2:$N$201,MATCH($B575,Summary!$A$2:$A$201,0))</f>
        <v>8.01</v>
      </c>
      <c r="S575" s="3" t="n">
        <f aca="false">INDEX(Summary!$O$2:$O$201,MATCH($B575,Summary!$A$2:$A$201,0))</f>
        <v>8</v>
      </c>
      <c r="T575" s="3" t="n">
        <f aca="false">INDEX(Summary!$P$2:$P$201,MATCH($B575,Summary!$A$2:$A$201,0))</f>
        <v>1</v>
      </c>
      <c r="U575" s="2" t="n">
        <f aca="false">INDEX(Summary!$Q$2:$Q$201,MATCH($B575,Summary!$A$2:$A$201,0))</f>
        <v>12.06</v>
      </c>
      <c r="V575" s="2" t="n">
        <f aca="false">INDEX(Summary!$R$2:$R$201,MATCH($B575,Summary!$A$2:$A$201,0))</f>
        <v>30.45</v>
      </c>
      <c r="W575" s="0" t="str">
        <f aca="false">INDEX(Summary!$S$2:$S$201,MATCH($B575,Summary!$A$2:$A$201,0))</f>
        <v>Gold</v>
      </c>
      <c r="X575" s="2" t="n">
        <f aca="false">INDEX(Summary!$T$2:$T$201,MATCH($B575,Summary!$A$2:$A$201,0))</f>
        <v>74.27</v>
      </c>
      <c r="Y575" s="0" t="str">
        <f aca="false">INDEX('Reward Model'!$E$18:$E$37,MATCH($E575,'Reward Model'!$A$18:$A$37,0))</f>
        <v>Medium</v>
      </c>
      <c r="Z575" s="4" t="n">
        <f aca="false">ROUND(MIN(1,MAX('Reward Model'!$B$2,INDEX('Reward Model'!$C$12:$C$14,MATCH($K575,'Reward Model'!$A$12:$A$14,0))/$J575)),3)</f>
        <v>1</v>
      </c>
      <c r="AA575" s="2" t="n">
        <f aca="false">IF($I575="Correct",ROUND(INDEX('Reward Model'!$B$12:$B$14,MATCH($K575,'Reward Model'!$A$12:$A$14,0))*Z575,2),0)</f>
        <v>0</v>
      </c>
      <c r="AB575" s="2" t="n">
        <f aca="false">IF($I575="Correct",ROUND(INDEX('Reward Model'!$B$12:$B$14,MATCH($Y575,'Reward Model'!$A$12:$A$14,0))*Z575,2),0)</f>
        <v>0</v>
      </c>
    </row>
    <row r="576" customFormat="false" ht="15" hidden="false" customHeight="false" outlineLevel="0" collapsed="false">
      <c r="A576" s="0" t="s">
        <v>183</v>
      </c>
      <c r="B576" s="0" t="s">
        <v>184</v>
      </c>
      <c r="C576" s="0" t="s">
        <v>30</v>
      </c>
      <c r="D576" s="0" t="s">
        <v>31</v>
      </c>
      <c r="E576" s="0" t="n">
        <v>15</v>
      </c>
      <c r="F576" s="0" t="s">
        <v>69</v>
      </c>
      <c r="G576" s="0" t="s">
        <v>70</v>
      </c>
      <c r="H576" s="0" t="s">
        <v>70</v>
      </c>
      <c r="I576" s="0" t="s">
        <v>34</v>
      </c>
      <c r="J576" s="0" t="n">
        <v>1.48</v>
      </c>
      <c r="K576" s="0" t="s">
        <v>60</v>
      </c>
      <c r="L576" s="0" t="n">
        <f aca="false">INDEX(Summary!$F$2:$F$201,MATCH($B576,Summary!$A$2:$A$201,0))</f>
        <v>20</v>
      </c>
      <c r="M576" s="0" t="n">
        <f aca="false">INDEX(Summary!$I$2:$I$201,MATCH($B576,Summary!$A$2:$A$201,0))</f>
        <v>3</v>
      </c>
      <c r="N576" s="0" t="n">
        <f aca="false">INDEX(Summary!$J$2:$J$201,MATCH($B576,Summary!$A$2:$A$201,0))</f>
        <v>2</v>
      </c>
      <c r="O576" s="2" t="n">
        <f aca="false">INDEX(Summary!$K$2:$K$201,MATCH($B576,Summary!$A$2:$A$201,0))</f>
        <v>8.06</v>
      </c>
      <c r="P576" s="3" t="n">
        <f aca="false">INDEX(Summary!$L$2:$L$201,MATCH($B576,Summary!$A$2:$A$201,0))</f>
        <v>5</v>
      </c>
      <c r="Q576" s="3" t="n">
        <f aca="false">INDEX(Summary!$M$2:$M$201,MATCH($B576,Summary!$A$2:$A$201,0))</f>
        <v>1</v>
      </c>
      <c r="R576" s="2" t="n">
        <f aca="false">INDEX(Summary!$N$2:$N$201,MATCH($B576,Summary!$A$2:$A$201,0))</f>
        <v>8.01</v>
      </c>
      <c r="S576" s="3" t="n">
        <f aca="false">INDEX(Summary!$O$2:$O$201,MATCH($B576,Summary!$A$2:$A$201,0))</f>
        <v>8</v>
      </c>
      <c r="T576" s="3" t="n">
        <f aca="false">INDEX(Summary!$P$2:$P$201,MATCH($B576,Summary!$A$2:$A$201,0))</f>
        <v>1</v>
      </c>
      <c r="U576" s="2" t="n">
        <f aca="false">INDEX(Summary!$Q$2:$Q$201,MATCH($B576,Summary!$A$2:$A$201,0))</f>
        <v>12.06</v>
      </c>
      <c r="V576" s="2" t="n">
        <f aca="false">INDEX(Summary!$R$2:$R$201,MATCH($B576,Summary!$A$2:$A$201,0))</f>
        <v>30.45</v>
      </c>
      <c r="W576" s="0" t="str">
        <f aca="false">INDEX(Summary!$S$2:$S$201,MATCH($B576,Summary!$A$2:$A$201,0))</f>
        <v>Gold</v>
      </c>
      <c r="X576" s="2" t="n">
        <f aca="false">INDEX(Summary!$T$2:$T$201,MATCH($B576,Summary!$A$2:$A$201,0))</f>
        <v>74.27</v>
      </c>
      <c r="Y576" s="0" t="str">
        <f aca="false">INDEX('Reward Model'!$E$18:$E$37,MATCH($E576,'Reward Model'!$A$18:$A$37,0))</f>
        <v>Medium</v>
      </c>
      <c r="Z576" s="4" t="n">
        <f aca="false">ROUND(MIN(1,MAX('Reward Model'!$B$2,INDEX('Reward Model'!$C$12:$C$14,MATCH($K576,'Reward Model'!$A$12:$A$14,0))/$J576)),3)</f>
        <v>1</v>
      </c>
      <c r="AA576" s="2" t="n">
        <f aca="false">IF($I576="Correct",ROUND(INDEX('Reward Model'!$B$12:$B$14,MATCH($K576,'Reward Model'!$A$12:$A$14,0))*Z576,2),0)</f>
        <v>2</v>
      </c>
      <c r="AB576" s="2" t="n">
        <f aca="false">IF($I576="Correct",ROUND(INDEX('Reward Model'!$B$12:$B$14,MATCH($Y576,'Reward Model'!$A$12:$A$14,0))*Z576,2),0)</f>
        <v>2</v>
      </c>
    </row>
    <row r="577" customFormat="false" ht="15" hidden="false" customHeight="false" outlineLevel="0" collapsed="false">
      <c r="A577" s="0" t="s">
        <v>183</v>
      </c>
      <c r="B577" s="0" t="s">
        <v>184</v>
      </c>
      <c r="C577" s="0" t="s">
        <v>30</v>
      </c>
      <c r="D577" s="0" t="s">
        <v>31</v>
      </c>
      <c r="E577" s="0" t="n">
        <v>16</v>
      </c>
      <c r="F577" s="0" t="s">
        <v>71</v>
      </c>
      <c r="G577" s="0" t="s">
        <v>87</v>
      </c>
      <c r="H577" s="0" t="s">
        <v>72</v>
      </c>
      <c r="I577" s="0" t="s">
        <v>39</v>
      </c>
      <c r="J577" s="0" t="n">
        <v>1.23</v>
      </c>
      <c r="K577" s="0" t="s">
        <v>73</v>
      </c>
      <c r="L577" s="0" t="n">
        <f aca="false">INDEX(Summary!$F$2:$F$201,MATCH($B577,Summary!$A$2:$A$201,0))</f>
        <v>20</v>
      </c>
      <c r="M577" s="0" t="n">
        <f aca="false">INDEX(Summary!$I$2:$I$201,MATCH($B577,Summary!$A$2:$A$201,0))</f>
        <v>3</v>
      </c>
      <c r="N577" s="0" t="n">
        <f aca="false">INDEX(Summary!$J$2:$J$201,MATCH($B577,Summary!$A$2:$A$201,0))</f>
        <v>2</v>
      </c>
      <c r="O577" s="2" t="n">
        <f aca="false">INDEX(Summary!$K$2:$K$201,MATCH($B577,Summary!$A$2:$A$201,0))</f>
        <v>8.06</v>
      </c>
      <c r="P577" s="3" t="n">
        <f aca="false">INDEX(Summary!$L$2:$L$201,MATCH($B577,Summary!$A$2:$A$201,0))</f>
        <v>5</v>
      </c>
      <c r="Q577" s="3" t="n">
        <f aca="false">INDEX(Summary!$M$2:$M$201,MATCH($B577,Summary!$A$2:$A$201,0))</f>
        <v>1</v>
      </c>
      <c r="R577" s="2" t="n">
        <f aca="false">INDEX(Summary!$N$2:$N$201,MATCH($B577,Summary!$A$2:$A$201,0))</f>
        <v>8.01</v>
      </c>
      <c r="S577" s="3" t="n">
        <f aca="false">INDEX(Summary!$O$2:$O$201,MATCH($B577,Summary!$A$2:$A$201,0))</f>
        <v>8</v>
      </c>
      <c r="T577" s="3" t="n">
        <f aca="false">INDEX(Summary!$P$2:$P$201,MATCH($B577,Summary!$A$2:$A$201,0))</f>
        <v>1</v>
      </c>
      <c r="U577" s="2" t="n">
        <f aca="false">INDEX(Summary!$Q$2:$Q$201,MATCH($B577,Summary!$A$2:$A$201,0))</f>
        <v>12.06</v>
      </c>
      <c r="V577" s="2" t="n">
        <f aca="false">INDEX(Summary!$R$2:$R$201,MATCH($B577,Summary!$A$2:$A$201,0))</f>
        <v>30.45</v>
      </c>
      <c r="W577" s="0" t="str">
        <f aca="false">INDEX(Summary!$S$2:$S$201,MATCH($B577,Summary!$A$2:$A$201,0))</f>
        <v>Gold</v>
      </c>
      <c r="X577" s="2" t="n">
        <f aca="false">INDEX(Summary!$T$2:$T$201,MATCH($B577,Summary!$A$2:$A$201,0))</f>
        <v>74.27</v>
      </c>
      <c r="Y577" s="0" t="str">
        <f aca="false">INDEX('Reward Model'!$E$18:$E$37,MATCH($E577,'Reward Model'!$A$18:$A$37,0))</f>
        <v>High</v>
      </c>
      <c r="Z577" s="4" t="n">
        <f aca="false">ROUND(MIN(1,MAX('Reward Model'!$B$2,INDEX('Reward Model'!$C$12:$C$14,MATCH($K577,'Reward Model'!$A$12:$A$14,0))/$J577)),3)</f>
        <v>1</v>
      </c>
      <c r="AA577" s="2" t="n">
        <f aca="false">IF($I577="Correct",ROUND(INDEX('Reward Model'!$B$12:$B$14,MATCH($K577,'Reward Model'!$A$12:$A$14,0))*Z577,2),0)</f>
        <v>0</v>
      </c>
      <c r="AB577" s="2" t="n">
        <f aca="false">IF($I577="Correct",ROUND(INDEX('Reward Model'!$B$12:$B$14,MATCH($Y577,'Reward Model'!$A$12:$A$14,0))*Z577,2),0)</f>
        <v>0</v>
      </c>
    </row>
    <row r="578" customFormat="false" ht="15" hidden="false" customHeight="false" outlineLevel="0" collapsed="false">
      <c r="A578" s="0" t="s">
        <v>183</v>
      </c>
      <c r="B578" s="0" t="s">
        <v>184</v>
      </c>
      <c r="C578" s="0" t="s">
        <v>30</v>
      </c>
      <c r="D578" s="0" t="s">
        <v>31</v>
      </c>
      <c r="E578" s="0" t="n">
        <v>17</v>
      </c>
      <c r="F578" s="0" t="s">
        <v>74</v>
      </c>
      <c r="G578" s="0" t="s">
        <v>105</v>
      </c>
      <c r="H578" s="0" t="s">
        <v>75</v>
      </c>
      <c r="I578" s="0" t="s">
        <v>39</v>
      </c>
      <c r="J578" s="0" t="n">
        <v>1.27</v>
      </c>
      <c r="K578" s="0" t="s">
        <v>73</v>
      </c>
      <c r="L578" s="0" t="n">
        <f aca="false">INDEX(Summary!$F$2:$F$201,MATCH($B578,Summary!$A$2:$A$201,0))</f>
        <v>20</v>
      </c>
      <c r="M578" s="0" t="n">
        <f aca="false">INDEX(Summary!$I$2:$I$201,MATCH($B578,Summary!$A$2:$A$201,0))</f>
        <v>3</v>
      </c>
      <c r="N578" s="0" t="n">
        <f aca="false">INDEX(Summary!$J$2:$J$201,MATCH($B578,Summary!$A$2:$A$201,0))</f>
        <v>2</v>
      </c>
      <c r="O578" s="2" t="n">
        <f aca="false">INDEX(Summary!$K$2:$K$201,MATCH($B578,Summary!$A$2:$A$201,0))</f>
        <v>8.06</v>
      </c>
      <c r="P578" s="3" t="n">
        <f aca="false">INDEX(Summary!$L$2:$L$201,MATCH($B578,Summary!$A$2:$A$201,0))</f>
        <v>5</v>
      </c>
      <c r="Q578" s="3" t="n">
        <f aca="false">INDEX(Summary!$M$2:$M$201,MATCH($B578,Summary!$A$2:$A$201,0))</f>
        <v>1</v>
      </c>
      <c r="R578" s="2" t="n">
        <f aca="false">INDEX(Summary!$N$2:$N$201,MATCH($B578,Summary!$A$2:$A$201,0))</f>
        <v>8.01</v>
      </c>
      <c r="S578" s="3" t="n">
        <f aca="false">INDEX(Summary!$O$2:$O$201,MATCH($B578,Summary!$A$2:$A$201,0))</f>
        <v>8</v>
      </c>
      <c r="T578" s="3" t="n">
        <f aca="false">INDEX(Summary!$P$2:$P$201,MATCH($B578,Summary!$A$2:$A$201,0))</f>
        <v>1</v>
      </c>
      <c r="U578" s="2" t="n">
        <f aca="false">INDEX(Summary!$Q$2:$Q$201,MATCH($B578,Summary!$A$2:$A$201,0))</f>
        <v>12.06</v>
      </c>
      <c r="V578" s="2" t="n">
        <f aca="false">INDEX(Summary!$R$2:$R$201,MATCH($B578,Summary!$A$2:$A$201,0))</f>
        <v>30.45</v>
      </c>
      <c r="W578" s="0" t="str">
        <f aca="false">INDEX(Summary!$S$2:$S$201,MATCH($B578,Summary!$A$2:$A$201,0))</f>
        <v>Gold</v>
      </c>
      <c r="X578" s="2" t="n">
        <f aca="false">INDEX(Summary!$T$2:$T$201,MATCH($B578,Summary!$A$2:$A$201,0))</f>
        <v>74.27</v>
      </c>
      <c r="Y578" s="0" t="str">
        <f aca="false">INDEX('Reward Model'!$E$18:$E$37,MATCH($E578,'Reward Model'!$A$18:$A$37,0))</f>
        <v>High</v>
      </c>
      <c r="Z578" s="4" t="n">
        <f aca="false">ROUND(MIN(1,MAX('Reward Model'!$B$2,INDEX('Reward Model'!$C$12:$C$14,MATCH($K578,'Reward Model'!$A$12:$A$14,0))/$J578)),3)</f>
        <v>1</v>
      </c>
      <c r="AA578" s="2" t="n">
        <f aca="false">IF($I578="Correct",ROUND(INDEX('Reward Model'!$B$12:$B$14,MATCH($K578,'Reward Model'!$A$12:$A$14,0))*Z578,2),0)</f>
        <v>0</v>
      </c>
      <c r="AB578" s="2" t="n">
        <f aca="false">IF($I578="Correct",ROUND(INDEX('Reward Model'!$B$12:$B$14,MATCH($Y578,'Reward Model'!$A$12:$A$14,0))*Z578,2),0)</f>
        <v>0</v>
      </c>
    </row>
    <row r="579" customFormat="false" ht="15" hidden="false" customHeight="false" outlineLevel="0" collapsed="false">
      <c r="A579" s="0" t="s">
        <v>183</v>
      </c>
      <c r="B579" s="0" t="s">
        <v>184</v>
      </c>
      <c r="C579" s="0" t="s">
        <v>30</v>
      </c>
      <c r="D579" s="0" t="s">
        <v>31</v>
      </c>
      <c r="E579" s="0" t="n">
        <v>18</v>
      </c>
      <c r="F579" s="0" t="s">
        <v>76</v>
      </c>
      <c r="G579" s="0" t="s">
        <v>77</v>
      </c>
      <c r="H579" s="0" t="s">
        <v>77</v>
      </c>
      <c r="I579" s="0" t="s">
        <v>34</v>
      </c>
      <c r="J579" s="0" t="n">
        <v>1.22</v>
      </c>
      <c r="K579" s="0" t="s">
        <v>73</v>
      </c>
      <c r="L579" s="0" t="n">
        <f aca="false">INDEX(Summary!$F$2:$F$201,MATCH($B579,Summary!$A$2:$A$201,0))</f>
        <v>20</v>
      </c>
      <c r="M579" s="0" t="n">
        <f aca="false">INDEX(Summary!$I$2:$I$201,MATCH($B579,Summary!$A$2:$A$201,0))</f>
        <v>3</v>
      </c>
      <c r="N579" s="0" t="n">
        <f aca="false">INDEX(Summary!$J$2:$J$201,MATCH($B579,Summary!$A$2:$A$201,0))</f>
        <v>2</v>
      </c>
      <c r="O579" s="2" t="n">
        <f aca="false">INDEX(Summary!$K$2:$K$201,MATCH($B579,Summary!$A$2:$A$201,0))</f>
        <v>8.06</v>
      </c>
      <c r="P579" s="3" t="n">
        <f aca="false">INDEX(Summary!$L$2:$L$201,MATCH($B579,Summary!$A$2:$A$201,0))</f>
        <v>5</v>
      </c>
      <c r="Q579" s="3" t="n">
        <f aca="false">INDEX(Summary!$M$2:$M$201,MATCH($B579,Summary!$A$2:$A$201,0))</f>
        <v>1</v>
      </c>
      <c r="R579" s="2" t="n">
        <f aca="false">INDEX(Summary!$N$2:$N$201,MATCH($B579,Summary!$A$2:$A$201,0))</f>
        <v>8.01</v>
      </c>
      <c r="S579" s="3" t="n">
        <f aca="false">INDEX(Summary!$O$2:$O$201,MATCH($B579,Summary!$A$2:$A$201,0))</f>
        <v>8</v>
      </c>
      <c r="T579" s="3" t="n">
        <f aca="false">INDEX(Summary!$P$2:$P$201,MATCH($B579,Summary!$A$2:$A$201,0))</f>
        <v>1</v>
      </c>
      <c r="U579" s="2" t="n">
        <f aca="false">INDEX(Summary!$Q$2:$Q$201,MATCH($B579,Summary!$A$2:$A$201,0))</f>
        <v>12.06</v>
      </c>
      <c r="V579" s="2" t="n">
        <f aca="false">INDEX(Summary!$R$2:$R$201,MATCH($B579,Summary!$A$2:$A$201,0))</f>
        <v>30.45</v>
      </c>
      <c r="W579" s="0" t="str">
        <f aca="false">INDEX(Summary!$S$2:$S$201,MATCH($B579,Summary!$A$2:$A$201,0))</f>
        <v>Gold</v>
      </c>
      <c r="X579" s="2" t="n">
        <f aca="false">INDEX(Summary!$T$2:$T$201,MATCH($B579,Summary!$A$2:$A$201,0))</f>
        <v>74.27</v>
      </c>
      <c r="Y579" s="0" t="str">
        <f aca="false">INDEX('Reward Model'!$E$18:$E$37,MATCH($E579,'Reward Model'!$A$18:$A$37,0))</f>
        <v>High</v>
      </c>
      <c r="Z579" s="4" t="n">
        <f aca="false">ROUND(MIN(1,MAX('Reward Model'!$B$2,INDEX('Reward Model'!$C$12:$C$14,MATCH($K579,'Reward Model'!$A$12:$A$14,0))/$J579)),3)</f>
        <v>1</v>
      </c>
      <c r="AA579" s="2" t="n">
        <f aca="false">IF($I579="Correct",ROUND(INDEX('Reward Model'!$B$12:$B$14,MATCH($K579,'Reward Model'!$A$12:$A$14,0))*Z579,2),0)</f>
        <v>3</v>
      </c>
      <c r="AB579" s="2" t="n">
        <f aca="false">IF($I579="Correct",ROUND(INDEX('Reward Model'!$B$12:$B$14,MATCH($Y579,'Reward Model'!$A$12:$A$14,0))*Z579,2),0)</f>
        <v>3</v>
      </c>
    </row>
    <row r="580" customFormat="false" ht="15" hidden="false" customHeight="false" outlineLevel="0" collapsed="false">
      <c r="A580" s="0" t="s">
        <v>183</v>
      </c>
      <c r="B580" s="0" t="s">
        <v>184</v>
      </c>
      <c r="C580" s="0" t="s">
        <v>30</v>
      </c>
      <c r="D580" s="0" t="s">
        <v>31</v>
      </c>
      <c r="E580" s="0" t="n">
        <v>19</v>
      </c>
      <c r="F580" s="0" t="s">
        <v>78</v>
      </c>
      <c r="G580" s="0" t="s">
        <v>80</v>
      </c>
      <c r="H580" s="0" t="s">
        <v>80</v>
      </c>
      <c r="I580" s="0" t="s">
        <v>34</v>
      </c>
      <c r="J580" s="0" t="n">
        <v>2.52</v>
      </c>
      <c r="K580" s="0" t="s">
        <v>73</v>
      </c>
      <c r="L580" s="0" t="n">
        <f aca="false">INDEX(Summary!$F$2:$F$201,MATCH($B580,Summary!$A$2:$A$201,0))</f>
        <v>20</v>
      </c>
      <c r="M580" s="0" t="n">
        <f aca="false">INDEX(Summary!$I$2:$I$201,MATCH($B580,Summary!$A$2:$A$201,0))</f>
        <v>3</v>
      </c>
      <c r="N580" s="0" t="n">
        <f aca="false">INDEX(Summary!$J$2:$J$201,MATCH($B580,Summary!$A$2:$A$201,0))</f>
        <v>2</v>
      </c>
      <c r="O580" s="2" t="n">
        <f aca="false">INDEX(Summary!$K$2:$K$201,MATCH($B580,Summary!$A$2:$A$201,0))</f>
        <v>8.06</v>
      </c>
      <c r="P580" s="3" t="n">
        <f aca="false">INDEX(Summary!$L$2:$L$201,MATCH($B580,Summary!$A$2:$A$201,0))</f>
        <v>5</v>
      </c>
      <c r="Q580" s="3" t="n">
        <f aca="false">INDEX(Summary!$M$2:$M$201,MATCH($B580,Summary!$A$2:$A$201,0))</f>
        <v>1</v>
      </c>
      <c r="R580" s="2" t="n">
        <f aca="false">INDEX(Summary!$N$2:$N$201,MATCH($B580,Summary!$A$2:$A$201,0))</f>
        <v>8.01</v>
      </c>
      <c r="S580" s="3" t="n">
        <f aca="false">INDEX(Summary!$O$2:$O$201,MATCH($B580,Summary!$A$2:$A$201,0))</f>
        <v>8</v>
      </c>
      <c r="T580" s="3" t="n">
        <f aca="false">INDEX(Summary!$P$2:$P$201,MATCH($B580,Summary!$A$2:$A$201,0))</f>
        <v>1</v>
      </c>
      <c r="U580" s="2" t="n">
        <f aca="false">INDEX(Summary!$Q$2:$Q$201,MATCH($B580,Summary!$A$2:$A$201,0))</f>
        <v>12.06</v>
      </c>
      <c r="V580" s="2" t="n">
        <f aca="false">INDEX(Summary!$R$2:$R$201,MATCH($B580,Summary!$A$2:$A$201,0))</f>
        <v>30.45</v>
      </c>
      <c r="W580" s="0" t="str">
        <f aca="false">INDEX(Summary!$S$2:$S$201,MATCH($B580,Summary!$A$2:$A$201,0))</f>
        <v>Gold</v>
      </c>
      <c r="X580" s="2" t="n">
        <f aca="false">INDEX(Summary!$T$2:$T$201,MATCH($B580,Summary!$A$2:$A$201,0))</f>
        <v>74.27</v>
      </c>
      <c r="Y580" s="0" t="str">
        <f aca="false">INDEX('Reward Model'!$E$18:$E$37,MATCH($E580,'Reward Model'!$A$18:$A$37,0))</f>
        <v>High</v>
      </c>
      <c r="Z580" s="4" t="n">
        <f aca="false">ROUND(MIN(1,MAX('Reward Model'!$B$2,INDEX('Reward Model'!$C$12:$C$14,MATCH($K580,'Reward Model'!$A$12:$A$14,0))/$J580)),3)</f>
        <v>0.794</v>
      </c>
      <c r="AA580" s="2" t="n">
        <f aca="false">IF($I580="Correct",ROUND(INDEX('Reward Model'!$B$12:$B$14,MATCH($K580,'Reward Model'!$A$12:$A$14,0))*Z580,2),0)</f>
        <v>2.38</v>
      </c>
      <c r="AB580" s="2" t="n">
        <f aca="false">IF($I580="Correct",ROUND(INDEX('Reward Model'!$B$12:$B$14,MATCH($Y580,'Reward Model'!$A$12:$A$14,0))*Z580,2),0)</f>
        <v>2.38</v>
      </c>
    </row>
    <row r="581" customFormat="false" ht="15" hidden="false" customHeight="false" outlineLevel="0" collapsed="false">
      <c r="A581" s="0" t="s">
        <v>183</v>
      </c>
      <c r="B581" s="0" t="s">
        <v>184</v>
      </c>
      <c r="C581" s="0" t="s">
        <v>30</v>
      </c>
      <c r="D581" s="0" t="s">
        <v>31</v>
      </c>
      <c r="E581" s="0" t="n">
        <v>20</v>
      </c>
      <c r="F581" s="0" t="s">
        <v>81</v>
      </c>
      <c r="G581" s="0" t="s">
        <v>83</v>
      </c>
      <c r="H581" s="0" t="s">
        <v>83</v>
      </c>
      <c r="I581" s="0" t="s">
        <v>34</v>
      </c>
      <c r="J581" s="0" t="n">
        <v>1.82</v>
      </c>
      <c r="K581" s="0" t="s">
        <v>73</v>
      </c>
      <c r="L581" s="0" t="n">
        <f aca="false">INDEX(Summary!$F$2:$F$201,MATCH($B581,Summary!$A$2:$A$201,0))</f>
        <v>20</v>
      </c>
      <c r="M581" s="0" t="n">
        <f aca="false">INDEX(Summary!$I$2:$I$201,MATCH($B581,Summary!$A$2:$A$201,0))</f>
        <v>3</v>
      </c>
      <c r="N581" s="0" t="n">
        <f aca="false">INDEX(Summary!$J$2:$J$201,MATCH($B581,Summary!$A$2:$A$201,0))</f>
        <v>2</v>
      </c>
      <c r="O581" s="2" t="n">
        <f aca="false">INDEX(Summary!$K$2:$K$201,MATCH($B581,Summary!$A$2:$A$201,0))</f>
        <v>8.06</v>
      </c>
      <c r="P581" s="3" t="n">
        <f aca="false">INDEX(Summary!$L$2:$L$201,MATCH($B581,Summary!$A$2:$A$201,0))</f>
        <v>5</v>
      </c>
      <c r="Q581" s="3" t="n">
        <f aca="false">INDEX(Summary!$M$2:$M$201,MATCH($B581,Summary!$A$2:$A$201,0))</f>
        <v>1</v>
      </c>
      <c r="R581" s="2" t="n">
        <f aca="false">INDEX(Summary!$N$2:$N$201,MATCH($B581,Summary!$A$2:$A$201,0))</f>
        <v>8.01</v>
      </c>
      <c r="S581" s="3" t="n">
        <f aca="false">INDEX(Summary!$O$2:$O$201,MATCH($B581,Summary!$A$2:$A$201,0))</f>
        <v>8</v>
      </c>
      <c r="T581" s="3" t="n">
        <f aca="false">INDEX(Summary!$P$2:$P$201,MATCH($B581,Summary!$A$2:$A$201,0))</f>
        <v>1</v>
      </c>
      <c r="U581" s="2" t="n">
        <f aca="false">INDEX(Summary!$Q$2:$Q$201,MATCH($B581,Summary!$A$2:$A$201,0))</f>
        <v>12.06</v>
      </c>
      <c r="V581" s="2" t="n">
        <f aca="false">INDEX(Summary!$R$2:$R$201,MATCH($B581,Summary!$A$2:$A$201,0))</f>
        <v>30.45</v>
      </c>
      <c r="W581" s="0" t="str">
        <f aca="false">INDEX(Summary!$S$2:$S$201,MATCH($B581,Summary!$A$2:$A$201,0))</f>
        <v>Gold</v>
      </c>
      <c r="X581" s="2" t="n">
        <f aca="false">INDEX(Summary!$T$2:$T$201,MATCH($B581,Summary!$A$2:$A$201,0))</f>
        <v>74.27</v>
      </c>
      <c r="Y581" s="0" t="str">
        <f aca="false">INDEX('Reward Model'!$E$18:$E$37,MATCH($E581,'Reward Model'!$A$18:$A$37,0))</f>
        <v>High</v>
      </c>
      <c r="Z581" s="4" t="n">
        <f aca="false">ROUND(MIN(1,MAX('Reward Model'!$B$2,INDEX('Reward Model'!$C$12:$C$14,MATCH($K581,'Reward Model'!$A$12:$A$14,0))/$J581)),3)</f>
        <v>1</v>
      </c>
      <c r="AA581" s="2" t="n">
        <f aca="false">IF($I581="Correct",ROUND(INDEX('Reward Model'!$B$12:$B$14,MATCH($K581,'Reward Model'!$A$12:$A$14,0))*Z581,2),0)</f>
        <v>3</v>
      </c>
      <c r="AB581" s="2" t="n">
        <f aca="false">IF($I581="Correct",ROUND(INDEX('Reward Model'!$B$12:$B$14,MATCH($Y581,'Reward Model'!$A$12:$A$14,0))*Z581,2),0)</f>
        <v>3</v>
      </c>
    </row>
    <row r="582" customFormat="false" ht="15" hidden="false" customHeight="false" outlineLevel="0" collapsed="false">
      <c r="A582" s="0" t="s">
        <v>185</v>
      </c>
      <c r="B582" s="0" t="s">
        <v>186</v>
      </c>
      <c r="C582" s="0" t="s">
        <v>30</v>
      </c>
      <c r="D582" s="0" t="s">
        <v>31</v>
      </c>
      <c r="E582" s="0" t="n">
        <v>1</v>
      </c>
      <c r="F582" s="0" t="s">
        <v>32</v>
      </c>
      <c r="G582" s="0" t="s">
        <v>33</v>
      </c>
      <c r="H582" s="0" t="s">
        <v>33</v>
      </c>
      <c r="I582" s="0" t="s">
        <v>34</v>
      </c>
      <c r="J582" s="0" t="n">
        <v>0.99</v>
      </c>
      <c r="K582" s="0" t="s">
        <v>35</v>
      </c>
      <c r="L582" s="0" t="n">
        <f aca="false">INDEX(Summary!$F$2:$F$201,MATCH($B582,Summary!$A$2:$A$201,0))</f>
        <v>20</v>
      </c>
      <c r="M582" s="0" t="n">
        <f aca="false">INDEX(Summary!$I$2:$I$201,MATCH($B582,Summary!$A$2:$A$201,0))</f>
        <v>2</v>
      </c>
      <c r="N582" s="0" t="n">
        <f aca="false">INDEX(Summary!$J$2:$J$201,MATCH($B582,Summary!$A$2:$A$201,0))</f>
        <v>3</v>
      </c>
      <c r="O582" s="2" t="n">
        <f aca="false">INDEX(Summary!$K$2:$K$201,MATCH($B582,Summary!$A$2:$A$201,0))</f>
        <v>8.96</v>
      </c>
      <c r="P582" s="3" t="n">
        <f aca="false">INDEX(Summary!$L$2:$L$201,MATCH($B582,Summary!$A$2:$A$201,0))</f>
        <v>3</v>
      </c>
      <c r="Q582" s="3" t="n">
        <f aca="false">INDEX(Summary!$M$2:$M$201,MATCH($B582,Summary!$A$2:$A$201,0))</f>
        <v>3</v>
      </c>
      <c r="R582" s="2" t="n">
        <f aca="false">INDEX(Summary!$N$2:$N$201,MATCH($B582,Summary!$A$2:$A$201,0))</f>
        <v>8.95</v>
      </c>
      <c r="S582" s="3" t="n">
        <f aca="false">INDEX(Summary!$O$2:$O$201,MATCH($B582,Summary!$A$2:$A$201,0))</f>
        <v>8</v>
      </c>
      <c r="T582" s="3" t="n">
        <f aca="false">INDEX(Summary!$P$2:$P$201,MATCH($B582,Summary!$A$2:$A$201,0))</f>
        <v>1</v>
      </c>
      <c r="U582" s="2" t="n">
        <f aca="false">INDEX(Summary!$Q$2:$Q$201,MATCH($B582,Summary!$A$2:$A$201,0))</f>
        <v>10.91</v>
      </c>
      <c r="V582" s="2" t="n">
        <f aca="false">INDEX(Summary!$R$2:$R$201,MATCH($B582,Summary!$A$2:$A$201,0))</f>
        <v>24.16</v>
      </c>
      <c r="W582" s="0" t="str">
        <f aca="false">INDEX(Summary!$S$2:$S$201,MATCH($B582,Summary!$A$2:$A$201,0))</f>
        <v>Silver</v>
      </c>
      <c r="X582" s="2" t="n">
        <f aca="false">INDEX(Summary!$T$2:$T$201,MATCH($B582,Summary!$A$2:$A$201,0))</f>
        <v>58.93</v>
      </c>
      <c r="Y582" s="0" t="str">
        <f aca="false">INDEX('Reward Model'!$E$18:$E$37,MATCH($E582,'Reward Model'!$A$18:$A$37,0))</f>
        <v>Medium</v>
      </c>
      <c r="Z582" s="4" t="n">
        <f aca="false">ROUND(MIN(1,MAX('Reward Model'!$B$2,INDEX('Reward Model'!$C$12:$C$14,MATCH($K582,'Reward Model'!$A$12:$A$14,0))/$J582)),3)</f>
        <v>1</v>
      </c>
      <c r="AA582" s="2" t="n">
        <f aca="false">IF($I582="Correct",ROUND(INDEX('Reward Model'!$B$12:$B$14,MATCH($K582,'Reward Model'!$A$12:$A$14,0))*Z582,2),0)</f>
        <v>1</v>
      </c>
      <c r="AB582" s="2" t="n">
        <f aca="false">IF($I582="Correct",ROUND(INDEX('Reward Model'!$B$12:$B$14,MATCH($Y582,'Reward Model'!$A$12:$A$14,0))*Z582,2),0)</f>
        <v>2</v>
      </c>
    </row>
    <row r="583" customFormat="false" ht="15" hidden="false" customHeight="false" outlineLevel="0" collapsed="false">
      <c r="A583" s="0" t="s">
        <v>185</v>
      </c>
      <c r="B583" s="0" t="s">
        <v>186</v>
      </c>
      <c r="C583" s="0" t="s">
        <v>30</v>
      </c>
      <c r="D583" s="0" t="s">
        <v>31</v>
      </c>
      <c r="E583" s="0" t="n">
        <v>2</v>
      </c>
      <c r="F583" s="0" t="s">
        <v>36</v>
      </c>
      <c r="G583" s="0" t="s">
        <v>94</v>
      </c>
      <c r="H583" s="0" t="s">
        <v>38</v>
      </c>
      <c r="I583" s="0" t="s">
        <v>39</v>
      </c>
      <c r="J583" s="0" t="n">
        <v>0.93</v>
      </c>
      <c r="K583" s="0" t="s">
        <v>35</v>
      </c>
      <c r="L583" s="0" t="n">
        <f aca="false">INDEX(Summary!$F$2:$F$201,MATCH($B583,Summary!$A$2:$A$201,0))</f>
        <v>20</v>
      </c>
      <c r="M583" s="0" t="n">
        <f aca="false">INDEX(Summary!$I$2:$I$201,MATCH($B583,Summary!$A$2:$A$201,0))</f>
        <v>2</v>
      </c>
      <c r="N583" s="0" t="n">
        <f aca="false">INDEX(Summary!$J$2:$J$201,MATCH($B583,Summary!$A$2:$A$201,0))</f>
        <v>3</v>
      </c>
      <c r="O583" s="2" t="n">
        <f aca="false">INDEX(Summary!$K$2:$K$201,MATCH($B583,Summary!$A$2:$A$201,0))</f>
        <v>8.96</v>
      </c>
      <c r="P583" s="3" t="n">
        <f aca="false">INDEX(Summary!$L$2:$L$201,MATCH($B583,Summary!$A$2:$A$201,0))</f>
        <v>3</v>
      </c>
      <c r="Q583" s="3" t="n">
        <f aca="false">INDEX(Summary!$M$2:$M$201,MATCH($B583,Summary!$A$2:$A$201,0))</f>
        <v>3</v>
      </c>
      <c r="R583" s="2" t="n">
        <f aca="false">INDEX(Summary!$N$2:$N$201,MATCH($B583,Summary!$A$2:$A$201,0))</f>
        <v>8.95</v>
      </c>
      <c r="S583" s="3" t="n">
        <f aca="false">INDEX(Summary!$O$2:$O$201,MATCH($B583,Summary!$A$2:$A$201,0))</f>
        <v>8</v>
      </c>
      <c r="T583" s="3" t="n">
        <f aca="false">INDEX(Summary!$P$2:$P$201,MATCH($B583,Summary!$A$2:$A$201,0))</f>
        <v>1</v>
      </c>
      <c r="U583" s="2" t="n">
        <f aca="false">INDEX(Summary!$Q$2:$Q$201,MATCH($B583,Summary!$A$2:$A$201,0))</f>
        <v>10.91</v>
      </c>
      <c r="V583" s="2" t="n">
        <f aca="false">INDEX(Summary!$R$2:$R$201,MATCH($B583,Summary!$A$2:$A$201,0))</f>
        <v>24.16</v>
      </c>
      <c r="W583" s="0" t="str">
        <f aca="false">INDEX(Summary!$S$2:$S$201,MATCH($B583,Summary!$A$2:$A$201,0))</f>
        <v>Silver</v>
      </c>
      <c r="X583" s="2" t="n">
        <f aca="false">INDEX(Summary!$T$2:$T$201,MATCH($B583,Summary!$A$2:$A$201,0))</f>
        <v>58.93</v>
      </c>
      <c r="Y583" s="0" t="str">
        <f aca="false">INDEX('Reward Model'!$E$18:$E$37,MATCH($E583,'Reward Model'!$A$18:$A$37,0))</f>
        <v>Low</v>
      </c>
      <c r="Z583" s="4" t="n">
        <f aca="false">ROUND(MIN(1,MAX('Reward Model'!$B$2,INDEX('Reward Model'!$C$12:$C$14,MATCH($K583,'Reward Model'!$A$12:$A$14,0))/$J583)),3)</f>
        <v>1</v>
      </c>
      <c r="AA583" s="2" t="n">
        <f aca="false">IF($I583="Correct",ROUND(INDEX('Reward Model'!$B$12:$B$14,MATCH($K583,'Reward Model'!$A$12:$A$14,0))*Z583,2),0)</f>
        <v>0</v>
      </c>
      <c r="AB583" s="2" t="n">
        <f aca="false">IF($I583="Correct",ROUND(INDEX('Reward Model'!$B$12:$B$14,MATCH($Y583,'Reward Model'!$A$12:$A$14,0))*Z583,2),0)</f>
        <v>0</v>
      </c>
    </row>
    <row r="584" customFormat="false" ht="15" hidden="false" customHeight="false" outlineLevel="0" collapsed="false">
      <c r="A584" s="0" t="s">
        <v>185</v>
      </c>
      <c r="B584" s="0" t="s">
        <v>186</v>
      </c>
      <c r="C584" s="0" t="s">
        <v>30</v>
      </c>
      <c r="D584" s="0" t="s">
        <v>31</v>
      </c>
      <c r="E584" s="0" t="n">
        <v>3</v>
      </c>
      <c r="F584" s="0" t="s">
        <v>40</v>
      </c>
      <c r="G584" s="0" t="s">
        <v>42</v>
      </c>
      <c r="H584" s="0" t="s">
        <v>42</v>
      </c>
      <c r="I584" s="0" t="s">
        <v>34</v>
      </c>
      <c r="J584" s="0" t="n">
        <v>1.46</v>
      </c>
      <c r="K584" s="0" t="s">
        <v>35</v>
      </c>
      <c r="L584" s="0" t="n">
        <f aca="false">INDEX(Summary!$F$2:$F$201,MATCH($B584,Summary!$A$2:$A$201,0))</f>
        <v>20</v>
      </c>
      <c r="M584" s="0" t="n">
        <f aca="false">INDEX(Summary!$I$2:$I$201,MATCH($B584,Summary!$A$2:$A$201,0))</f>
        <v>2</v>
      </c>
      <c r="N584" s="0" t="n">
        <f aca="false">INDEX(Summary!$J$2:$J$201,MATCH($B584,Summary!$A$2:$A$201,0))</f>
        <v>3</v>
      </c>
      <c r="O584" s="2" t="n">
        <f aca="false">INDEX(Summary!$K$2:$K$201,MATCH($B584,Summary!$A$2:$A$201,0))</f>
        <v>8.96</v>
      </c>
      <c r="P584" s="3" t="n">
        <f aca="false">INDEX(Summary!$L$2:$L$201,MATCH($B584,Summary!$A$2:$A$201,0))</f>
        <v>3</v>
      </c>
      <c r="Q584" s="3" t="n">
        <f aca="false">INDEX(Summary!$M$2:$M$201,MATCH($B584,Summary!$A$2:$A$201,0))</f>
        <v>3</v>
      </c>
      <c r="R584" s="2" t="n">
        <f aca="false">INDEX(Summary!$N$2:$N$201,MATCH($B584,Summary!$A$2:$A$201,0))</f>
        <v>8.95</v>
      </c>
      <c r="S584" s="3" t="n">
        <f aca="false">INDEX(Summary!$O$2:$O$201,MATCH($B584,Summary!$A$2:$A$201,0))</f>
        <v>8</v>
      </c>
      <c r="T584" s="3" t="n">
        <f aca="false">INDEX(Summary!$P$2:$P$201,MATCH($B584,Summary!$A$2:$A$201,0))</f>
        <v>1</v>
      </c>
      <c r="U584" s="2" t="n">
        <f aca="false">INDEX(Summary!$Q$2:$Q$201,MATCH($B584,Summary!$A$2:$A$201,0))</f>
        <v>10.91</v>
      </c>
      <c r="V584" s="2" t="n">
        <f aca="false">INDEX(Summary!$R$2:$R$201,MATCH($B584,Summary!$A$2:$A$201,0))</f>
        <v>24.16</v>
      </c>
      <c r="W584" s="0" t="str">
        <f aca="false">INDEX(Summary!$S$2:$S$201,MATCH($B584,Summary!$A$2:$A$201,0))</f>
        <v>Silver</v>
      </c>
      <c r="X584" s="2" t="n">
        <f aca="false">INDEX(Summary!$T$2:$T$201,MATCH($B584,Summary!$A$2:$A$201,0))</f>
        <v>58.93</v>
      </c>
      <c r="Y584" s="0" t="str">
        <f aca="false">INDEX('Reward Model'!$E$18:$E$37,MATCH($E584,'Reward Model'!$A$18:$A$37,0))</f>
        <v>Medium</v>
      </c>
      <c r="Z584" s="4" t="n">
        <f aca="false">ROUND(MIN(1,MAX('Reward Model'!$B$2,INDEX('Reward Model'!$C$12:$C$14,MATCH($K584,'Reward Model'!$A$12:$A$14,0))/$J584)),3)</f>
        <v>1</v>
      </c>
      <c r="AA584" s="2" t="n">
        <f aca="false">IF($I584="Correct",ROUND(INDEX('Reward Model'!$B$12:$B$14,MATCH($K584,'Reward Model'!$A$12:$A$14,0))*Z584,2),0)</f>
        <v>1</v>
      </c>
      <c r="AB584" s="2" t="n">
        <f aca="false">IF($I584="Correct",ROUND(INDEX('Reward Model'!$B$12:$B$14,MATCH($Y584,'Reward Model'!$A$12:$A$14,0))*Z584,2),0)</f>
        <v>2</v>
      </c>
    </row>
    <row r="585" customFormat="false" ht="15" hidden="false" customHeight="false" outlineLevel="0" collapsed="false">
      <c r="A585" s="0" t="s">
        <v>185</v>
      </c>
      <c r="B585" s="0" t="s">
        <v>186</v>
      </c>
      <c r="C585" s="0" t="s">
        <v>30</v>
      </c>
      <c r="D585" s="0" t="s">
        <v>31</v>
      </c>
      <c r="E585" s="0" t="n">
        <v>4</v>
      </c>
      <c r="F585" s="0" t="s">
        <v>43</v>
      </c>
      <c r="G585" s="0" t="s">
        <v>45</v>
      </c>
      <c r="H585" s="0" t="s">
        <v>45</v>
      </c>
      <c r="I585" s="0" t="s">
        <v>34</v>
      </c>
      <c r="J585" s="0" t="n">
        <v>1.94</v>
      </c>
      <c r="K585" s="0" t="s">
        <v>35</v>
      </c>
      <c r="L585" s="0" t="n">
        <f aca="false">INDEX(Summary!$F$2:$F$201,MATCH($B585,Summary!$A$2:$A$201,0))</f>
        <v>20</v>
      </c>
      <c r="M585" s="0" t="n">
        <f aca="false">INDEX(Summary!$I$2:$I$201,MATCH($B585,Summary!$A$2:$A$201,0))</f>
        <v>2</v>
      </c>
      <c r="N585" s="0" t="n">
        <f aca="false">INDEX(Summary!$J$2:$J$201,MATCH($B585,Summary!$A$2:$A$201,0))</f>
        <v>3</v>
      </c>
      <c r="O585" s="2" t="n">
        <f aca="false">INDEX(Summary!$K$2:$K$201,MATCH($B585,Summary!$A$2:$A$201,0))</f>
        <v>8.96</v>
      </c>
      <c r="P585" s="3" t="n">
        <f aca="false">INDEX(Summary!$L$2:$L$201,MATCH($B585,Summary!$A$2:$A$201,0))</f>
        <v>3</v>
      </c>
      <c r="Q585" s="3" t="n">
        <f aca="false">INDEX(Summary!$M$2:$M$201,MATCH($B585,Summary!$A$2:$A$201,0))</f>
        <v>3</v>
      </c>
      <c r="R585" s="2" t="n">
        <f aca="false">INDEX(Summary!$N$2:$N$201,MATCH($B585,Summary!$A$2:$A$201,0))</f>
        <v>8.95</v>
      </c>
      <c r="S585" s="3" t="n">
        <f aca="false">INDEX(Summary!$O$2:$O$201,MATCH($B585,Summary!$A$2:$A$201,0))</f>
        <v>8</v>
      </c>
      <c r="T585" s="3" t="n">
        <f aca="false">INDEX(Summary!$P$2:$P$201,MATCH($B585,Summary!$A$2:$A$201,0))</f>
        <v>1</v>
      </c>
      <c r="U585" s="2" t="n">
        <f aca="false">INDEX(Summary!$Q$2:$Q$201,MATCH($B585,Summary!$A$2:$A$201,0))</f>
        <v>10.91</v>
      </c>
      <c r="V585" s="2" t="n">
        <f aca="false">INDEX(Summary!$R$2:$R$201,MATCH($B585,Summary!$A$2:$A$201,0))</f>
        <v>24.16</v>
      </c>
      <c r="W585" s="0" t="str">
        <f aca="false">INDEX(Summary!$S$2:$S$201,MATCH($B585,Summary!$A$2:$A$201,0))</f>
        <v>Silver</v>
      </c>
      <c r="X585" s="2" t="n">
        <f aca="false">INDEX(Summary!$T$2:$T$201,MATCH($B585,Summary!$A$2:$A$201,0))</f>
        <v>58.93</v>
      </c>
      <c r="Y585" s="0" t="str">
        <f aca="false">INDEX('Reward Model'!$E$18:$E$37,MATCH($E585,'Reward Model'!$A$18:$A$37,0))</f>
        <v>Low</v>
      </c>
      <c r="Z585" s="4" t="n">
        <f aca="false">ROUND(MIN(1,MAX('Reward Model'!$B$2,INDEX('Reward Model'!$C$12:$C$14,MATCH($K585,'Reward Model'!$A$12:$A$14,0))/$J585)),3)</f>
        <v>0.773</v>
      </c>
      <c r="AA585" s="2" t="n">
        <f aca="false">IF($I585="Correct",ROUND(INDEX('Reward Model'!$B$12:$B$14,MATCH($K585,'Reward Model'!$A$12:$A$14,0))*Z585,2),0)</f>
        <v>0.77</v>
      </c>
      <c r="AB585" s="2" t="n">
        <f aca="false">IF($I585="Correct",ROUND(INDEX('Reward Model'!$B$12:$B$14,MATCH($Y585,'Reward Model'!$A$12:$A$14,0))*Z585,2),0)</f>
        <v>0.77</v>
      </c>
    </row>
    <row r="586" customFormat="false" ht="15" hidden="false" customHeight="false" outlineLevel="0" collapsed="false">
      <c r="A586" s="0" t="s">
        <v>185</v>
      </c>
      <c r="B586" s="0" t="s">
        <v>186</v>
      </c>
      <c r="C586" s="0" t="s">
        <v>30</v>
      </c>
      <c r="D586" s="0" t="s">
        <v>31</v>
      </c>
      <c r="E586" s="0" t="n">
        <v>5</v>
      </c>
      <c r="F586" s="0" t="s">
        <v>46</v>
      </c>
      <c r="G586" s="0" t="s">
        <v>47</v>
      </c>
      <c r="H586" s="0" t="s">
        <v>47</v>
      </c>
      <c r="I586" s="0" t="s">
        <v>34</v>
      </c>
      <c r="J586" s="0" t="n">
        <v>0.95</v>
      </c>
      <c r="K586" s="0" t="s">
        <v>35</v>
      </c>
      <c r="L586" s="0" t="n">
        <f aca="false">INDEX(Summary!$F$2:$F$201,MATCH($B586,Summary!$A$2:$A$201,0))</f>
        <v>20</v>
      </c>
      <c r="M586" s="0" t="n">
        <f aca="false">INDEX(Summary!$I$2:$I$201,MATCH($B586,Summary!$A$2:$A$201,0))</f>
        <v>2</v>
      </c>
      <c r="N586" s="0" t="n">
        <f aca="false">INDEX(Summary!$J$2:$J$201,MATCH($B586,Summary!$A$2:$A$201,0))</f>
        <v>3</v>
      </c>
      <c r="O586" s="2" t="n">
        <f aca="false">INDEX(Summary!$K$2:$K$201,MATCH($B586,Summary!$A$2:$A$201,0))</f>
        <v>8.96</v>
      </c>
      <c r="P586" s="3" t="n">
        <f aca="false">INDEX(Summary!$L$2:$L$201,MATCH($B586,Summary!$A$2:$A$201,0))</f>
        <v>3</v>
      </c>
      <c r="Q586" s="3" t="n">
        <f aca="false">INDEX(Summary!$M$2:$M$201,MATCH($B586,Summary!$A$2:$A$201,0))</f>
        <v>3</v>
      </c>
      <c r="R586" s="2" t="n">
        <f aca="false">INDEX(Summary!$N$2:$N$201,MATCH($B586,Summary!$A$2:$A$201,0))</f>
        <v>8.95</v>
      </c>
      <c r="S586" s="3" t="n">
        <f aca="false">INDEX(Summary!$O$2:$O$201,MATCH($B586,Summary!$A$2:$A$201,0))</f>
        <v>8</v>
      </c>
      <c r="T586" s="3" t="n">
        <f aca="false">INDEX(Summary!$P$2:$P$201,MATCH($B586,Summary!$A$2:$A$201,0))</f>
        <v>1</v>
      </c>
      <c r="U586" s="2" t="n">
        <f aca="false">INDEX(Summary!$Q$2:$Q$201,MATCH($B586,Summary!$A$2:$A$201,0))</f>
        <v>10.91</v>
      </c>
      <c r="V586" s="2" t="n">
        <f aca="false">INDEX(Summary!$R$2:$R$201,MATCH($B586,Summary!$A$2:$A$201,0))</f>
        <v>24.16</v>
      </c>
      <c r="W586" s="0" t="str">
        <f aca="false">INDEX(Summary!$S$2:$S$201,MATCH($B586,Summary!$A$2:$A$201,0))</f>
        <v>Silver</v>
      </c>
      <c r="X586" s="2" t="n">
        <f aca="false">INDEX(Summary!$T$2:$T$201,MATCH($B586,Summary!$A$2:$A$201,0))</f>
        <v>58.93</v>
      </c>
      <c r="Y586" s="0" t="str">
        <f aca="false">INDEX('Reward Model'!$E$18:$E$37,MATCH($E586,'Reward Model'!$A$18:$A$37,0))</f>
        <v>Low</v>
      </c>
      <c r="Z586" s="4" t="n">
        <f aca="false">ROUND(MIN(1,MAX('Reward Model'!$B$2,INDEX('Reward Model'!$C$12:$C$14,MATCH($K586,'Reward Model'!$A$12:$A$14,0))/$J586)),3)</f>
        <v>1</v>
      </c>
      <c r="AA586" s="2" t="n">
        <f aca="false">IF($I586="Correct",ROUND(INDEX('Reward Model'!$B$12:$B$14,MATCH($K586,'Reward Model'!$A$12:$A$14,0))*Z586,2),0)</f>
        <v>1</v>
      </c>
      <c r="AB586" s="2" t="n">
        <f aca="false">IF($I586="Correct",ROUND(INDEX('Reward Model'!$B$12:$B$14,MATCH($Y586,'Reward Model'!$A$12:$A$14,0))*Z586,2),0)</f>
        <v>1</v>
      </c>
    </row>
    <row r="587" customFormat="false" ht="15" hidden="false" customHeight="false" outlineLevel="0" collapsed="false">
      <c r="A587" s="0" t="s">
        <v>185</v>
      </c>
      <c r="B587" s="0" t="s">
        <v>186</v>
      </c>
      <c r="C587" s="0" t="s">
        <v>30</v>
      </c>
      <c r="D587" s="0" t="s">
        <v>31</v>
      </c>
      <c r="E587" s="0" t="n">
        <v>6</v>
      </c>
      <c r="F587" s="0" t="s">
        <v>48</v>
      </c>
      <c r="G587" s="0" t="s">
        <v>49</v>
      </c>
      <c r="H587" s="0" t="s">
        <v>49</v>
      </c>
      <c r="I587" s="0" t="s">
        <v>34</v>
      </c>
      <c r="J587" s="0" t="n">
        <v>1.24</v>
      </c>
      <c r="K587" s="0" t="s">
        <v>35</v>
      </c>
      <c r="L587" s="0" t="n">
        <f aca="false">INDEX(Summary!$F$2:$F$201,MATCH($B587,Summary!$A$2:$A$201,0))</f>
        <v>20</v>
      </c>
      <c r="M587" s="0" t="n">
        <f aca="false">INDEX(Summary!$I$2:$I$201,MATCH($B587,Summary!$A$2:$A$201,0))</f>
        <v>2</v>
      </c>
      <c r="N587" s="0" t="n">
        <f aca="false">INDEX(Summary!$J$2:$J$201,MATCH($B587,Summary!$A$2:$A$201,0))</f>
        <v>3</v>
      </c>
      <c r="O587" s="2" t="n">
        <f aca="false">INDEX(Summary!$K$2:$K$201,MATCH($B587,Summary!$A$2:$A$201,0))</f>
        <v>8.96</v>
      </c>
      <c r="P587" s="3" t="n">
        <f aca="false">INDEX(Summary!$L$2:$L$201,MATCH($B587,Summary!$A$2:$A$201,0))</f>
        <v>3</v>
      </c>
      <c r="Q587" s="3" t="n">
        <f aca="false">INDEX(Summary!$M$2:$M$201,MATCH($B587,Summary!$A$2:$A$201,0))</f>
        <v>3</v>
      </c>
      <c r="R587" s="2" t="n">
        <f aca="false">INDEX(Summary!$N$2:$N$201,MATCH($B587,Summary!$A$2:$A$201,0))</f>
        <v>8.95</v>
      </c>
      <c r="S587" s="3" t="n">
        <f aca="false">INDEX(Summary!$O$2:$O$201,MATCH($B587,Summary!$A$2:$A$201,0))</f>
        <v>8</v>
      </c>
      <c r="T587" s="3" t="n">
        <f aca="false">INDEX(Summary!$P$2:$P$201,MATCH($B587,Summary!$A$2:$A$201,0))</f>
        <v>1</v>
      </c>
      <c r="U587" s="2" t="n">
        <f aca="false">INDEX(Summary!$Q$2:$Q$201,MATCH($B587,Summary!$A$2:$A$201,0))</f>
        <v>10.91</v>
      </c>
      <c r="V587" s="2" t="n">
        <f aca="false">INDEX(Summary!$R$2:$R$201,MATCH($B587,Summary!$A$2:$A$201,0))</f>
        <v>24.16</v>
      </c>
      <c r="W587" s="0" t="str">
        <f aca="false">INDEX(Summary!$S$2:$S$201,MATCH($B587,Summary!$A$2:$A$201,0))</f>
        <v>Silver</v>
      </c>
      <c r="X587" s="2" t="n">
        <f aca="false">INDEX(Summary!$T$2:$T$201,MATCH($B587,Summary!$A$2:$A$201,0))</f>
        <v>58.93</v>
      </c>
      <c r="Y587" s="0" t="str">
        <f aca="false">INDEX('Reward Model'!$E$18:$E$37,MATCH($E587,'Reward Model'!$A$18:$A$37,0))</f>
        <v>Medium</v>
      </c>
      <c r="Z587" s="4" t="n">
        <f aca="false">ROUND(MIN(1,MAX('Reward Model'!$B$2,INDEX('Reward Model'!$C$12:$C$14,MATCH($K587,'Reward Model'!$A$12:$A$14,0))/$J587)),3)</f>
        <v>1</v>
      </c>
      <c r="AA587" s="2" t="n">
        <f aca="false">IF($I587="Correct",ROUND(INDEX('Reward Model'!$B$12:$B$14,MATCH($K587,'Reward Model'!$A$12:$A$14,0))*Z587,2),0)</f>
        <v>1</v>
      </c>
      <c r="AB587" s="2" t="n">
        <f aca="false">IF($I587="Correct",ROUND(INDEX('Reward Model'!$B$12:$B$14,MATCH($Y587,'Reward Model'!$A$12:$A$14,0))*Z587,2),0)</f>
        <v>2</v>
      </c>
    </row>
    <row r="588" customFormat="false" ht="15" hidden="false" customHeight="false" outlineLevel="0" collapsed="false">
      <c r="A588" s="0" t="s">
        <v>185</v>
      </c>
      <c r="B588" s="0" t="s">
        <v>186</v>
      </c>
      <c r="C588" s="0" t="s">
        <v>30</v>
      </c>
      <c r="D588" s="0" t="s">
        <v>31</v>
      </c>
      <c r="E588" s="0" t="n">
        <v>7</v>
      </c>
      <c r="F588" s="0" t="s">
        <v>50</v>
      </c>
      <c r="G588" s="0" t="s">
        <v>51</v>
      </c>
      <c r="H588" s="0" t="s">
        <v>51</v>
      </c>
      <c r="I588" s="0" t="s">
        <v>34</v>
      </c>
      <c r="J588" s="0" t="n">
        <v>1.59</v>
      </c>
      <c r="K588" s="0" t="s">
        <v>35</v>
      </c>
      <c r="L588" s="0" t="n">
        <f aca="false">INDEX(Summary!$F$2:$F$201,MATCH($B588,Summary!$A$2:$A$201,0))</f>
        <v>20</v>
      </c>
      <c r="M588" s="0" t="n">
        <f aca="false">INDEX(Summary!$I$2:$I$201,MATCH($B588,Summary!$A$2:$A$201,0))</f>
        <v>2</v>
      </c>
      <c r="N588" s="0" t="n">
        <f aca="false">INDEX(Summary!$J$2:$J$201,MATCH($B588,Summary!$A$2:$A$201,0))</f>
        <v>3</v>
      </c>
      <c r="O588" s="2" t="n">
        <f aca="false">INDEX(Summary!$K$2:$K$201,MATCH($B588,Summary!$A$2:$A$201,0))</f>
        <v>8.96</v>
      </c>
      <c r="P588" s="3" t="n">
        <f aca="false">INDEX(Summary!$L$2:$L$201,MATCH($B588,Summary!$A$2:$A$201,0))</f>
        <v>3</v>
      </c>
      <c r="Q588" s="3" t="n">
        <f aca="false">INDEX(Summary!$M$2:$M$201,MATCH($B588,Summary!$A$2:$A$201,0))</f>
        <v>3</v>
      </c>
      <c r="R588" s="2" t="n">
        <f aca="false">INDEX(Summary!$N$2:$N$201,MATCH($B588,Summary!$A$2:$A$201,0))</f>
        <v>8.95</v>
      </c>
      <c r="S588" s="3" t="n">
        <f aca="false">INDEX(Summary!$O$2:$O$201,MATCH($B588,Summary!$A$2:$A$201,0))</f>
        <v>8</v>
      </c>
      <c r="T588" s="3" t="n">
        <f aca="false">INDEX(Summary!$P$2:$P$201,MATCH($B588,Summary!$A$2:$A$201,0))</f>
        <v>1</v>
      </c>
      <c r="U588" s="2" t="n">
        <f aca="false">INDEX(Summary!$Q$2:$Q$201,MATCH($B588,Summary!$A$2:$A$201,0))</f>
        <v>10.91</v>
      </c>
      <c r="V588" s="2" t="n">
        <f aca="false">INDEX(Summary!$R$2:$R$201,MATCH($B588,Summary!$A$2:$A$201,0))</f>
        <v>24.16</v>
      </c>
      <c r="W588" s="0" t="str">
        <f aca="false">INDEX(Summary!$S$2:$S$201,MATCH($B588,Summary!$A$2:$A$201,0))</f>
        <v>Silver</v>
      </c>
      <c r="X588" s="2" t="n">
        <f aca="false">INDEX(Summary!$T$2:$T$201,MATCH($B588,Summary!$A$2:$A$201,0))</f>
        <v>58.93</v>
      </c>
      <c r="Y588" s="0" t="str">
        <f aca="false">INDEX('Reward Model'!$E$18:$E$37,MATCH($E588,'Reward Model'!$A$18:$A$37,0))</f>
        <v>Low</v>
      </c>
      <c r="Z588" s="4" t="n">
        <f aca="false">ROUND(MIN(1,MAX('Reward Model'!$B$2,INDEX('Reward Model'!$C$12:$C$14,MATCH($K588,'Reward Model'!$A$12:$A$14,0))/$J588)),3)</f>
        <v>0.943</v>
      </c>
      <c r="AA588" s="2" t="n">
        <f aca="false">IF($I588="Correct",ROUND(INDEX('Reward Model'!$B$12:$B$14,MATCH($K588,'Reward Model'!$A$12:$A$14,0))*Z588,2),0)</f>
        <v>0.94</v>
      </c>
      <c r="AB588" s="2" t="n">
        <f aca="false">IF($I588="Correct",ROUND(INDEX('Reward Model'!$B$12:$B$14,MATCH($Y588,'Reward Model'!$A$12:$A$14,0))*Z588,2),0)</f>
        <v>0.94</v>
      </c>
    </row>
    <row r="589" customFormat="false" ht="15" hidden="false" customHeight="false" outlineLevel="0" collapsed="false">
      <c r="A589" s="0" t="s">
        <v>185</v>
      </c>
      <c r="B589" s="0" t="s">
        <v>186</v>
      </c>
      <c r="C589" s="0" t="s">
        <v>30</v>
      </c>
      <c r="D589" s="0" t="s">
        <v>31</v>
      </c>
      <c r="E589" s="0" t="n">
        <v>8</v>
      </c>
      <c r="F589" s="0" t="s">
        <v>52</v>
      </c>
      <c r="G589" s="0" t="s">
        <v>54</v>
      </c>
      <c r="H589" s="0" t="s">
        <v>54</v>
      </c>
      <c r="I589" s="0" t="s">
        <v>34</v>
      </c>
      <c r="J589" s="0" t="n">
        <v>0.9</v>
      </c>
      <c r="K589" s="0" t="s">
        <v>35</v>
      </c>
      <c r="L589" s="0" t="n">
        <f aca="false">INDEX(Summary!$F$2:$F$201,MATCH($B589,Summary!$A$2:$A$201,0))</f>
        <v>20</v>
      </c>
      <c r="M589" s="0" t="n">
        <f aca="false">INDEX(Summary!$I$2:$I$201,MATCH($B589,Summary!$A$2:$A$201,0))</f>
        <v>2</v>
      </c>
      <c r="N589" s="0" t="n">
        <f aca="false">INDEX(Summary!$J$2:$J$201,MATCH($B589,Summary!$A$2:$A$201,0))</f>
        <v>3</v>
      </c>
      <c r="O589" s="2" t="n">
        <f aca="false">INDEX(Summary!$K$2:$K$201,MATCH($B589,Summary!$A$2:$A$201,0))</f>
        <v>8.96</v>
      </c>
      <c r="P589" s="3" t="n">
        <f aca="false">INDEX(Summary!$L$2:$L$201,MATCH($B589,Summary!$A$2:$A$201,0))</f>
        <v>3</v>
      </c>
      <c r="Q589" s="3" t="n">
        <f aca="false">INDEX(Summary!$M$2:$M$201,MATCH($B589,Summary!$A$2:$A$201,0))</f>
        <v>3</v>
      </c>
      <c r="R589" s="2" t="n">
        <f aca="false">INDEX(Summary!$N$2:$N$201,MATCH($B589,Summary!$A$2:$A$201,0))</f>
        <v>8.95</v>
      </c>
      <c r="S589" s="3" t="n">
        <f aca="false">INDEX(Summary!$O$2:$O$201,MATCH($B589,Summary!$A$2:$A$201,0))</f>
        <v>8</v>
      </c>
      <c r="T589" s="3" t="n">
        <f aca="false">INDEX(Summary!$P$2:$P$201,MATCH($B589,Summary!$A$2:$A$201,0))</f>
        <v>1</v>
      </c>
      <c r="U589" s="2" t="n">
        <f aca="false">INDEX(Summary!$Q$2:$Q$201,MATCH($B589,Summary!$A$2:$A$201,0))</f>
        <v>10.91</v>
      </c>
      <c r="V589" s="2" t="n">
        <f aca="false">INDEX(Summary!$R$2:$R$201,MATCH($B589,Summary!$A$2:$A$201,0))</f>
        <v>24.16</v>
      </c>
      <c r="W589" s="0" t="str">
        <f aca="false">INDEX(Summary!$S$2:$S$201,MATCH($B589,Summary!$A$2:$A$201,0))</f>
        <v>Silver</v>
      </c>
      <c r="X589" s="2" t="n">
        <f aca="false">INDEX(Summary!$T$2:$T$201,MATCH($B589,Summary!$A$2:$A$201,0))</f>
        <v>58.93</v>
      </c>
      <c r="Y589" s="0" t="str">
        <f aca="false">INDEX('Reward Model'!$E$18:$E$37,MATCH($E589,'Reward Model'!$A$18:$A$37,0))</f>
        <v>Medium</v>
      </c>
      <c r="Z589" s="4" t="n">
        <f aca="false">ROUND(MIN(1,MAX('Reward Model'!$B$2,INDEX('Reward Model'!$C$12:$C$14,MATCH($K589,'Reward Model'!$A$12:$A$14,0))/$J589)),3)</f>
        <v>1</v>
      </c>
      <c r="AA589" s="2" t="n">
        <f aca="false">IF($I589="Correct",ROUND(INDEX('Reward Model'!$B$12:$B$14,MATCH($K589,'Reward Model'!$A$12:$A$14,0))*Z589,2),0)</f>
        <v>1</v>
      </c>
      <c r="AB589" s="2" t="n">
        <f aca="false">IF($I589="Correct",ROUND(INDEX('Reward Model'!$B$12:$B$14,MATCH($Y589,'Reward Model'!$A$12:$A$14,0))*Z589,2),0)</f>
        <v>2</v>
      </c>
    </row>
    <row r="590" customFormat="false" ht="15" hidden="false" customHeight="false" outlineLevel="0" collapsed="false">
      <c r="A590" s="0" t="s">
        <v>185</v>
      </c>
      <c r="B590" s="0" t="s">
        <v>186</v>
      </c>
      <c r="C590" s="0" t="s">
        <v>30</v>
      </c>
      <c r="D590" s="0" t="s">
        <v>31</v>
      </c>
      <c r="E590" s="0" t="n">
        <v>9</v>
      </c>
      <c r="F590" s="0" t="s">
        <v>55</v>
      </c>
      <c r="G590" s="0" t="s">
        <v>57</v>
      </c>
      <c r="H590" s="0" t="s">
        <v>57</v>
      </c>
      <c r="I590" s="0" t="s">
        <v>34</v>
      </c>
      <c r="J590" s="0" t="n">
        <v>0.91</v>
      </c>
      <c r="K590" s="0" t="s">
        <v>35</v>
      </c>
      <c r="L590" s="0" t="n">
        <f aca="false">INDEX(Summary!$F$2:$F$201,MATCH($B590,Summary!$A$2:$A$201,0))</f>
        <v>20</v>
      </c>
      <c r="M590" s="0" t="n">
        <f aca="false">INDEX(Summary!$I$2:$I$201,MATCH($B590,Summary!$A$2:$A$201,0))</f>
        <v>2</v>
      </c>
      <c r="N590" s="0" t="n">
        <f aca="false">INDEX(Summary!$J$2:$J$201,MATCH($B590,Summary!$A$2:$A$201,0))</f>
        <v>3</v>
      </c>
      <c r="O590" s="2" t="n">
        <f aca="false">INDEX(Summary!$K$2:$K$201,MATCH($B590,Summary!$A$2:$A$201,0))</f>
        <v>8.96</v>
      </c>
      <c r="P590" s="3" t="n">
        <f aca="false">INDEX(Summary!$L$2:$L$201,MATCH($B590,Summary!$A$2:$A$201,0))</f>
        <v>3</v>
      </c>
      <c r="Q590" s="3" t="n">
        <f aca="false">INDEX(Summary!$M$2:$M$201,MATCH($B590,Summary!$A$2:$A$201,0))</f>
        <v>3</v>
      </c>
      <c r="R590" s="2" t="n">
        <f aca="false">INDEX(Summary!$N$2:$N$201,MATCH($B590,Summary!$A$2:$A$201,0))</f>
        <v>8.95</v>
      </c>
      <c r="S590" s="3" t="n">
        <f aca="false">INDEX(Summary!$O$2:$O$201,MATCH($B590,Summary!$A$2:$A$201,0))</f>
        <v>8</v>
      </c>
      <c r="T590" s="3" t="n">
        <f aca="false">INDEX(Summary!$P$2:$P$201,MATCH($B590,Summary!$A$2:$A$201,0))</f>
        <v>1</v>
      </c>
      <c r="U590" s="2" t="n">
        <f aca="false">INDEX(Summary!$Q$2:$Q$201,MATCH($B590,Summary!$A$2:$A$201,0))</f>
        <v>10.91</v>
      </c>
      <c r="V590" s="2" t="n">
        <f aca="false">INDEX(Summary!$R$2:$R$201,MATCH($B590,Summary!$A$2:$A$201,0))</f>
        <v>24.16</v>
      </c>
      <c r="W590" s="0" t="str">
        <f aca="false">INDEX(Summary!$S$2:$S$201,MATCH($B590,Summary!$A$2:$A$201,0))</f>
        <v>Silver</v>
      </c>
      <c r="X590" s="2" t="n">
        <f aca="false">INDEX(Summary!$T$2:$T$201,MATCH($B590,Summary!$A$2:$A$201,0))</f>
        <v>58.93</v>
      </c>
      <c r="Y590" s="0" t="str">
        <f aca="false">INDEX('Reward Model'!$E$18:$E$37,MATCH($E590,'Reward Model'!$A$18:$A$37,0))</f>
        <v>Medium</v>
      </c>
      <c r="Z590" s="4" t="n">
        <f aca="false">ROUND(MIN(1,MAX('Reward Model'!$B$2,INDEX('Reward Model'!$C$12:$C$14,MATCH($K590,'Reward Model'!$A$12:$A$14,0))/$J590)),3)</f>
        <v>1</v>
      </c>
      <c r="AA590" s="2" t="n">
        <f aca="false">IF($I590="Correct",ROUND(INDEX('Reward Model'!$B$12:$B$14,MATCH($K590,'Reward Model'!$A$12:$A$14,0))*Z590,2),0)</f>
        <v>1</v>
      </c>
      <c r="AB590" s="2" t="n">
        <f aca="false">IF($I590="Correct",ROUND(INDEX('Reward Model'!$B$12:$B$14,MATCH($Y590,'Reward Model'!$A$12:$A$14,0))*Z590,2),0)</f>
        <v>2</v>
      </c>
    </row>
    <row r="591" customFormat="false" ht="15" hidden="false" customHeight="false" outlineLevel="0" collapsed="false">
      <c r="A591" s="0" t="s">
        <v>185</v>
      </c>
      <c r="B591" s="0" t="s">
        <v>186</v>
      </c>
      <c r="C591" s="0" t="s">
        <v>30</v>
      </c>
      <c r="D591" s="0" t="s">
        <v>31</v>
      </c>
      <c r="E591" s="0" t="n">
        <v>10</v>
      </c>
      <c r="F591" s="0" t="s">
        <v>58</v>
      </c>
      <c r="G591" s="0" t="s">
        <v>59</v>
      </c>
      <c r="H591" s="0" t="s">
        <v>59</v>
      </c>
      <c r="I591" s="0" t="s">
        <v>34</v>
      </c>
      <c r="J591" s="0" t="n">
        <v>1.3</v>
      </c>
      <c r="K591" s="0" t="s">
        <v>60</v>
      </c>
      <c r="L591" s="0" t="n">
        <f aca="false">INDEX(Summary!$F$2:$F$201,MATCH($B591,Summary!$A$2:$A$201,0))</f>
        <v>20</v>
      </c>
      <c r="M591" s="0" t="n">
        <f aca="false">INDEX(Summary!$I$2:$I$201,MATCH($B591,Summary!$A$2:$A$201,0))</f>
        <v>2</v>
      </c>
      <c r="N591" s="0" t="n">
        <f aca="false">INDEX(Summary!$J$2:$J$201,MATCH($B591,Summary!$A$2:$A$201,0))</f>
        <v>3</v>
      </c>
      <c r="O591" s="2" t="n">
        <f aca="false">INDEX(Summary!$K$2:$K$201,MATCH($B591,Summary!$A$2:$A$201,0))</f>
        <v>8.96</v>
      </c>
      <c r="P591" s="3" t="n">
        <f aca="false">INDEX(Summary!$L$2:$L$201,MATCH($B591,Summary!$A$2:$A$201,0))</f>
        <v>3</v>
      </c>
      <c r="Q591" s="3" t="n">
        <f aca="false">INDEX(Summary!$M$2:$M$201,MATCH($B591,Summary!$A$2:$A$201,0))</f>
        <v>3</v>
      </c>
      <c r="R591" s="2" t="n">
        <f aca="false">INDEX(Summary!$N$2:$N$201,MATCH($B591,Summary!$A$2:$A$201,0))</f>
        <v>8.95</v>
      </c>
      <c r="S591" s="3" t="n">
        <f aca="false">INDEX(Summary!$O$2:$O$201,MATCH($B591,Summary!$A$2:$A$201,0))</f>
        <v>8</v>
      </c>
      <c r="T591" s="3" t="n">
        <f aca="false">INDEX(Summary!$P$2:$P$201,MATCH($B591,Summary!$A$2:$A$201,0))</f>
        <v>1</v>
      </c>
      <c r="U591" s="2" t="n">
        <f aca="false">INDEX(Summary!$Q$2:$Q$201,MATCH($B591,Summary!$A$2:$A$201,0))</f>
        <v>10.91</v>
      </c>
      <c r="V591" s="2" t="n">
        <f aca="false">INDEX(Summary!$R$2:$R$201,MATCH($B591,Summary!$A$2:$A$201,0))</f>
        <v>24.16</v>
      </c>
      <c r="W591" s="0" t="str">
        <f aca="false">INDEX(Summary!$S$2:$S$201,MATCH($B591,Summary!$A$2:$A$201,0))</f>
        <v>Silver</v>
      </c>
      <c r="X591" s="2" t="n">
        <f aca="false">INDEX(Summary!$T$2:$T$201,MATCH($B591,Summary!$A$2:$A$201,0))</f>
        <v>58.93</v>
      </c>
      <c r="Y591" s="0" t="str">
        <f aca="false">INDEX('Reward Model'!$E$18:$E$37,MATCH($E591,'Reward Model'!$A$18:$A$37,0))</f>
        <v>Medium</v>
      </c>
      <c r="Z591" s="4" t="n">
        <f aca="false">ROUND(MIN(1,MAX('Reward Model'!$B$2,INDEX('Reward Model'!$C$12:$C$14,MATCH($K591,'Reward Model'!$A$12:$A$14,0))/$J591)),3)</f>
        <v>1</v>
      </c>
      <c r="AA591" s="2" t="n">
        <f aca="false">IF($I591="Correct",ROUND(INDEX('Reward Model'!$B$12:$B$14,MATCH($K591,'Reward Model'!$A$12:$A$14,0))*Z591,2),0)</f>
        <v>2</v>
      </c>
      <c r="AB591" s="2" t="n">
        <f aca="false">IF($I591="Correct",ROUND(INDEX('Reward Model'!$B$12:$B$14,MATCH($Y591,'Reward Model'!$A$12:$A$14,0))*Z591,2),0)</f>
        <v>2</v>
      </c>
    </row>
    <row r="592" customFormat="false" ht="15" hidden="false" customHeight="false" outlineLevel="0" collapsed="false">
      <c r="A592" s="0" t="s">
        <v>185</v>
      </c>
      <c r="B592" s="0" t="s">
        <v>186</v>
      </c>
      <c r="C592" s="0" t="s">
        <v>30</v>
      </c>
      <c r="D592" s="0" t="s">
        <v>31</v>
      </c>
      <c r="E592" s="0" t="n">
        <v>11</v>
      </c>
      <c r="F592" s="0" t="s">
        <v>61</v>
      </c>
      <c r="G592" s="0" t="s">
        <v>63</v>
      </c>
      <c r="H592" s="0" t="s">
        <v>63</v>
      </c>
      <c r="I592" s="0" t="s">
        <v>34</v>
      </c>
      <c r="J592" s="0" t="n">
        <v>1.34</v>
      </c>
      <c r="K592" s="0" t="s">
        <v>60</v>
      </c>
      <c r="L592" s="0" t="n">
        <f aca="false">INDEX(Summary!$F$2:$F$201,MATCH($B592,Summary!$A$2:$A$201,0))</f>
        <v>20</v>
      </c>
      <c r="M592" s="0" t="n">
        <f aca="false">INDEX(Summary!$I$2:$I$201,MATCH($B592,Summary!$A$2:$A$201,0))</f>
        <v>2</v>
      </c>
      <c r="N592" s="0" t="n">
        <f aca="false">INDEX(Summary!$J$2:$J$201,MATCH($B592,Summary!$A$2:$A$201,0))</f>
        <v>3</v>
      </c>
      <c r="O592" s="2" t="n">
        <f aca="false">INDEX(Summary!$K$2:$K$201,MATCH($B592,Summary!$A$2:$A$201,0))</f>
        <v>8.96</v>
      </c>
      <c r="P592" s="3" t="n">
        <f aca="false">INDEX(Summary!$L$2:$L$201,MATCH($B592,Summary!$A$2:$A$201,0))</f>
        <v>3</v>
      </c>
      <c r="Q592" s="3" t="n">
        <f aca="false">INDEX(Summary!$M$2:$M$201,MATCH($B592,Summary!$A$2:$A$201,0))</f>
        <v>3</v>
      </c>
      <c r="R592" s="2" t="n">
        <f aca="false">INDEX(Summary!$N$2:$N$201,MATCH($B592,Summary!$A$2:$A$201,0))</f>
        <v>8.95</v>
      </c>
      <c r="S592" s="3" t="n">
        <f aca="false">INDEX(Summary!$O$2:$O$201,MATCH($B592,Summary!$A$2:$A$201,0))</f>
        <v>8</v>
      </c>
      <c r="T592" s="3" t="n">
        <f aca="false">INDEX(Summary!$P$2:$P$201,MATCH($B592,Summary!$A$2:$A$201,0))</f>
        <v>1</v>
      </c>
      <c r="U592" s="2" t="n">
        <f aca="false">INDEX(Summary!$Q$2:$Q$201,MATCH($B592,Summary!$A$2:$A$201,0))</f>
        <v>10.91</v>
      </c>
      <c r="V592" s="2" t="n">
        <f aca="false">INDEX(Summary!$R$2:$R$201,MATCH($B592,Summary!$A$2:$A$201,0))</f>
        <v>24.16</v>
      </c>
      <c r="W592" s="0" t="str">
        <f aca="false">INDEX(Summary!$S$2:$S$201,MATCH($B592,Summary!$A$2:$A$201,0))</f>
        <v>Silver</v>
      </c>
      <c r="X592" s="2" t="n">
        <f aca="false">INDEX(Summary!$T$2:$T$201,MATCH($B592,Summary!$A$2:$A$201,0))</f>
        <v>58.93</v>
      </c>
      <c r="Y592" s="0" t="str">
        <f aca="false">INDEX('Reward Model'!$E$18:$E$37,MATCH($E592,'Reward Model'!$A$18:$A$37,0))</f>
        <v>Medium</v>
      </c>
      <c r="Z592" s="4" t="n">
        <f aca="false">ROUND(MIN(1,MAX('Reward Model'!$B$2,INDEX('Reward Model'!$C$12:$C$14,MATCH($K592,'Reward Model'!$A$12:$A$14,0))/$J592)),3)</f>
        <v>1</v>
      </c>
      <c r="AA592" s="2" t="n">
        <f aca="false">IF($I592="Correct",ROUND(INDEX('Reward Model'!$B$12:$B$14,MATCH($K592,'Reward Model'!$A$12:$A$14,0))*Z592,2),0)</f>
        <v>2</v>
      </c>
      <c r="AB592" s="2" t="n">
        <f aca="false">IF($I592="Correct",ROUND(INDEX('Reward Model'!$B$12:$B$14,MATCH($Y592,'Reward Model'!$A$12:$A$14,0))*Z592,2),0)</f>
        <v>2</v>
      </c>
    </row>
    <row r="593" customFormat="false" ht="15" hidden="false" customHeight="false" outlineLevel="0" collapsed="false">
      <c r="A593" s="0" t="s">
        <v>185</v>
      </c>
      <c r="B593" s="0" t="s">
        <v>186</v>
      </c>
      <c r="C593" s="0" t="s">
        <v>30</v>
      </c>
      <c r="D593" s="0" t="s">
        <v>31</v>
      </c>
      <c r="E593" s="0" t="n">
        <v>12</v>
      </c>
      <c r="F593" s="0" t="s">
        <v>64</v>
      </c>
      <c r="G593" s="0" t="s">
        <v>65</v>
      </c>
      <c r="H593" s="0" t="s">
        <v>65</v>
      </c>
      <c r="I593" s="0" t="s">
        <v>34</v>
      </c>
      <c r="J593" s="0" t="n">
        <v>1.63</v>
      </c>
      <c r="K593" s="0" t="s">
        <v>60</v>
      </c>
      <c r="L593" s="0" t="n">
        <f aca="false">INDEX(Summary!$F$2:$F$201,MATCH($B593,Summary!$A$2:$A$201,0))</f>
        <v>20</v>
      </c>
      <c r="M593" s="0" t="n">
        <f aca="false">INDEX(Summary!$I$2:$I$201,MATCH($B593,Summary!$A$2:$A$201,0))</f>
        <v>2</v>
      </c>
      <c r="N593" s="0" t="n">
        <f aca="false">INDEX(Summary!$J$2:$J$201,MATCH($B593,Summary!$A$2:$A$201,0))</f>
        <v>3</v>
      </c>
      <c r="O593" s="2" t="n">
        <f aca="false">INDEX(Summary!$K$2:$K$201,MATCH($B593,Summary!$A$2:$A$201,0))</f>
        <v>8.96</v>
      </c>
      <c r="P593" s="3" t="n">
        <f aca="false">INDEX(Summary!$L$2:$L$201,MATCH($B593,Summary!$A$2:$A$201,0))</f>
        <v>3</v>
      </c>
      <c r="Q593" s="3" t="n">
        <f aca="false">INDEX(Summary!$M$2:$M$201,MATCH($B593,Summary!$A$2:$A$201,0))</f>
        <v>3</v>
      </c>
      <c r="R593" s="2" t="n">
        <f aca="false">INDEX(Summary!$N$2:$N$201,MATCH($B593,Summary!$A$2:$A$201,0))</f>
        <v>8.95</v>
      </c>
      <c r="S593" s="3" t="n">
        <f aca="false">INDEX(Summary!$O$2:$O$201,MATCH($B593,Summary!$A$2:$A$201,0))</f>
        <v>8</v>
      </c>
      <c r="T593" s="3" t="n">
        <f aca="false">INDEX(Summary!$P$2:$P$201,MATCH($B593,Summary!$A$2:$A$201,0))</f>
        <v>1</v>
      </c>
      <c r="U593" s="2" t="n">
        <f aca="false">INDEX(Summary!$Q$2:$Q$201,MATCH($B593,Summary!$A$2:$A$201,0))</f>
        <v>10.91</v>
      </c>
      <c r="V593" s="2" t="n">
        <f aca="false">INDEX(Summary!$R$2:$R$201,MATCH($B593,Summary!$A$2:$A$201,0))</f>
        <v>24.16</v>
      </c>
      <c r="W593" s="0" t="str">
        <f aca="false">INDEX(Summary!$S$2:$S$201,MATCH($B593,Summary!$A$2:$A$201,0))</f>
        <v>Silver</v>
      </c>
      <c r="X593" s="2" t="n">
        <f aca="false">INDEX(Summary!$T$2:$T$201,MATCH($B593,Summary!$A$2:$A$201,0))</f>
        <v>58.93</v>
      </c>
      <c r="Y593" s="0" t="str">
        <f aca="false">INDEX('Reward Model'!$E$18:$E$37,MATCH($E593,'Reward Model'!$A$18:$A$37,0))</f>
        <v>Medium</v>
      </c>
      <c r="Z593" s="4" t="n">
        <f aca="false">ROUND(MIN(1,MAX('Reward Model'!$B$2,INDEX('Reward Model'!$C$12:$C$14,MATCH($K593,'Reward Model'!$A$12:$A$14,0))/$J593)),3)</f>
        <v>1</v>
      </c>
      <c r="AA593" s="2" t="n">
        <f aca="false">IF($I593="Correct",ROUND(INDEX('Reward Model'!$B$12:$B$14,MATCH($K593,'Reward Model'!$A$12:$A$14,0))*Z593,2),0)</f>
        <v>2</v>
      </c>
      <c r="AB593" s="2" t="n">
        <f aca="false">IF($I593="Correct",ROUND(INDEX('Reward Model'!$B$12:$B$14,MATCH($Y593,'Reward Model'!$A$12:$A$14,0))*Z593,2),0)</f>
        <v>2</v>
      </c>
    </row>
    <row r="594" customFormat="false" ht="15" hidden="false" customHeight="false" outlineLevel="0" collapsed="false">
      <c r="A594" s="0" t="s">
        <v>185</v>
      </c>
      <c r="B594" s="0" t="s">
        <v>186</v>
      </c>
      <c r="C594" s="0" t="s">
        <v>30</v>
      </c>
      <c r="D594" s="0" t="s">
        <v>31</v>
      </c>
      <c r="E594" s="0" t="n">
        <v>13</v>
      </c>
      <c r="F594" s="0" t="s">
        <v>66</v>
      </c>
      <c r="G594" s="0" t="s">
        <v>124</v>
      </c>
      <c r="H594" s="0" t="s">
        <v>67</v>
      </c>
      <c r="I594" s="0" t="s">
        <v>39</v>
      </c>
      <c r="J594" s="0" t="n">
        <v>2.15</v>
      </c>
      <c r="K594" s="0" t="s">
        <v>60</v>
      </c>
      <c r="L594" s="0" t="n">
        <f aca="false">INDEX(Summary!$F$2:$F$201,MATCH($B594,Summary!$A$2:$A$201,0))</f>
        <v>20</v>
      </c>
      <c r="M594" s="0" t="n">
        <f aca="false">INDEX(Summary!$I$2:$I$201,MATCH($B594,Summary!$A$2:$A$201,0))</f>
        <v>2</v>
      </c>
      <c r="N594" s="0" t="n">
        <f aca="false">INDEX(Summary!$J$2:$J$201,MATCH($B594,Summary!$A$2:$A$201,0))</f>
        <v>3</v>
      </c>
      <c r="O594" s="2" t="n">
        <f aca="false">INDEX(Summary!$K$2:$K$201,MATCH($B594,Summary!$A$2:$A$201,0))</f>
        <v>8.96</v>
      </c>
      <c r="P594" s="3" t="n">
        <f aca="false">INDEX(Summary!$L$2:$L$201,MATCH($B594,Summary!$A$2:$A$201,0))</f>
        <v>3</v>
      </c>
      <c r="Q594" s="3" t="n">
        <f aca="false">INDEX(Summary!$M$2:$M$201,MATCH($B594,Summary!$A$2:$A$201,0))</f>
        <v>3</v>
      </c>
      <c r="R594" s="2" t="n">
        <f aca="false">INDEX(Summary!$N$2:$N$201,MATCH($B594,Summary!$A$2:$A$201,0))</f>
        <v>8.95</v>
      </c>
      <c r="S594" s="3" t="n">
        <f aca="false">INDEX(Summary!$O$2:$O$201,MATCH($B594,Summary!$A$2:$A$201,0))</f>
        <v>8</v>
      </c>
      <c r="T594" s="3" t="n">
        <f aca="false">INDEX(Summary!$P$2:$P$201,MATCH($B594,Summary!$A$2:$A$201,0))</f>
        <v>1</v>
      </c>
      <c r="U594" s="2" t="n">
        <f aca="false">INDEX(Summary!$Q$2:$Q$201,MATCH($B594,Summary!$A$2:$A$201,0))</f>
        <v>10.91</v>
      </c>
      <c r="V594" s="2" t="n">
        <f aca="false">INDEX(Summary!$R$2:$R$201,MATCH($B594,Summary!$A$2:$A$201,0))</f>
        <v>24.16</v>
      </c>
      <c r="W594" s="0" t="str">
        <f aca="false">INDEX(Summary!$S$2:$S$201,MATCH($B594,Summary!$A$2:$A$201,0))</f>
        <v>Silver</v>
      </c>
      <c r="X594" s="2" t="n">
        <f aca="false">INDEX(Summary!$T$2:$T$201,MATCH($B594,Summary!$A$2:$A$201,0))</f>
        <v>58.93</v>
      </c>
      <c r="Y594" s="0" t="str">
        <f aca="false">INDEX('Reward Model'!$E$18:$E$37,MATCH($E594,'Reward Model'!$A$18:$A$37,0))</f>
        <v>Medium</v>
      </c>
      <c r="Z594" s="4" t="n">
        <f aca="false">ROUND(MIN(1,MAX('Reward Model'!$B$2,INDEX('Reward Model'!$C$12:$C$14,MATCH($K594,'Reward Model'!$A$12:$A$14,0))/$J594)),3)</f>
        <v>0.837</v>
      </c>
      <c r="AA594" s="2" t="n">
        <f aca="false">IF($I594="Correct",ROUND(INDEX('Reward Model'!$B$12:$B$14,MATCH($K594,'Reward Model'!$A$12:$A$14,0))*Z594,2),0)</f>
        <v>0</v>
      </c>
      <c r="AB594" s="2" t="n">
        <f aca="false">IF($I594="Correct",ROUND(INDEX('Reward Model'!$B$12:$B$14,MATCH($Y594,'Reward Model'!$A$12:$A$14,0))*Z594,2),0)</f>
        <v>0</v>
      </c>
    </row>
    <row r="595" customFormat="false" ht="15" hidden="false" customHeight="false" outlineLevel="0" collapsed="false">
      <c r="A595" s="0" t="s">
        <v>185</v>
      </c>
      <c r="B595" s="0" t="s">
        <v>186</v>
      </c>
      <c r="C595" s="0" t="s">
        <v>30</v>
      </c>
      <c r="D595" s="0" t="s">
        <v>31</v>
      </c>
      <c r="E595" s="0" t="n">
        <v>14</v>
      </c>
      <c r="F595" s="0" t="s">
        <v>68</v>
      </c>
      <c r="G595" s="0" t="s">
        <v>100</v>
      </c>
      <c r="H595" s="0" t="s">
        <v>51</v>
      </c>
      <c r="I595" s="0" t="s">
        <v>39</v>
      </c>
      <c r="J595" s="0" t="n">
        <v>1.22</v>
      </c>
      <c r="K595" s="0" t="s">
        <v>60</v>
      </c>
      <c r="L595" s="0" t="n">
        <f aca="false">INDEX(Summary!$F$2:$F$201,MATCH($B595,Summary!$A$2:$A$201,0))</f>
        <v>20</v>
      </c>
      <c r="M595" s="0" t="n">
        <f aca="false">INDEX(Summary!$I$2:$I$201,MATCH($B595,Summary!$A$2:$A$201,0))</f>
        <v>2</v>
      </c>
      <c r="N595" s="0" t="n">
        <f aca="false">INDEX(Summary!$J$2:$J$201,MATCH($B595,Summary!$A$2:$A$201,0))</f>
        <v>3</v>
      </c>
      <c r="O595" s="2" t="n">
        <f aca="false">INDEX(Summary!$K$2:$K$201,MATCH($B595,Summary!$A$2:$A$201,0))</f>
        <v>8.96</v>
      </c>
      <c r="P595" s="3" t="n">
        <f aca="false">INDEX(Summary!$L$2:$L$201,MATCH($B595,Summary!$A$2:$A$201,0))</f>
        <v>3</v>
      </c>
      <c r="Q595" s="3" t="n">
        <f aca="false">INDEX(Summary!$M$2:$M$201,MATCH($B595,Summary!$A$2:$A$201,0))</f>
        <v>3</v>
      </c>
      <c r="R595" s="2" t="n">
        <f aca="false">INDEX(Summary!$N$2:$N$201,MATCH($B595,Summary!$A$2:$A$201,0))</f>
        <v>8.95</v>
      </c>
      <c r="S595" s="3" t="n">
        <f aca="false">INDEX(Summary!$O$2:$O$201,MATCH($B595,Summary!$A$2:$A$201,0))</f>
        <v>8</v>
      </c>
      <c r="T595" s="3" t="n">
        <f aca="false">INDEX(Summary!$P$2:$P$201,MATCH($B595,Summary!$A$2:$A$201,0))</f>
        <v>1</v>
      </c>
      <c r="U595" s="2" t="n">
        <f aca="false">INDEX(Summary!$Q$2:$Q$201,MATCH($B595,Summary!$A$2:$A$201,0))</f>
        <v>10.91</v>
      </c>
      <c r="V595" s="2" t="n">
        <f aca="false">INDEX(Summary!$R$2:$R$201,MATCH($B595,Summary!$A$2:$A$201,0))</f>
        <v>24.16</v>
      </c>
      <c r="W595" s="0" t="str">
        <f aca="false">INDEX(Summary!$S$2:$S$201,MATCH($B595,Summary!$A$2:$A$201,0))</f>
        <v>Silver</v>
      </c>
      <c r="X595" s="2" t="n">
        <f aca="false">INDEX(Summary!$T$2:$T$201,MATCH($B595,Summary!$A$2:$A$201,0))</f>
        <v>58.93</v>
      </c>
      <c r="Y595" s="0" t="str">
        <f aca="false">INDEX('Reward Model'!$E$18:$E$37,MATCH($E595,'Reward Model'!$A$18:$A$37,0))</f>
        <v>Medium</v>
      </c>
      <c r="Z595" s="4" t="n">
        <f aca="false">ROUND(MIN(1,MAX('Reward Model'!$B$2,INDEX('Reward Model'!$C$12:$C$14,MATCH($K595,'Reward Model'!$A$12:$A$14,0))/$J595)),3)</f>
        <v>1</v>
      </c>
      <c r="AA595" s="2" t="n">
        <f aca="false">IF($I595="Correct",ROUND(INDEX('Reward Model'!$B$12:$B$14,MATCH($K595,'Reward Model'!$A$12:$A$14,0))*Z595,2),0)</f>
        <v>0</v>
      </c>
      <c r="AB595" s="2" t="n">
        <f aca="false">IF($I595="Correct",ROUND(INDEX('Reward Model'!$B$12:$B$14,MATCH($Y595,'Reward Model'!$A$12:$A$14,0))*Z595,2),0)</f>
        <v>0</v>
      </c>
    </row>
    <row r="596" customFormat="false" ht="15" hidden="false" customHeight="false" outlineLevel="0" collapsed="false">
      <c r="A596" s="0" t="s">
        <v>185</v>
      </c>
      <c r="B596" s="0" t="s">
        <v>186</v>
      </c>
      <c r="C596" s="0" t="s">
        <v>30</v>
      </c>
      <c r="D596" s="0" t="s">
        <v>31</v>
      </c>
      <c r="E596" s="0" t="n">
        <v>15</v>
      </c>
      <c r="F596" s="0" t="s">
        <v>69</v>
      </c>
      <c r="G596" s="0" t="s">
        <v>131</v>
      </c>
      <c r="H596" s="0" t="s">
        <v>70</v>
      </c>
      <c r="I596" s="0" t="s">
        <v>39</v>
      </c>
      <c r="J596" s="0" t="n">
        <v>1.31</v>
      </c>
      <c r="K596" s="0" t="s">
        <v>60</v>
      </c>
      <c r="L596" s="0" t="n">
        <f aca="false">INDEX(Summary!$F$2:$F$201,MATCH($B596,Summary!$A$2:$A$201,0))</f>
        <v>20</v>
      </c>
      <c r="M596" s="0" t="n">
        <f aca="false">INDEX(Summary!$I$2:$I$201,MATCH($B596,Summary!$A$2:$A$201,0))</f>
        <v>2</v>
      </c>
      <c r="N596" s="0" t="n">
        <f aca="false">INDEX(Summary!$J$2:$J$201,MATCH($B596,Summary!$A$2:$A$201,0))</f>
        <v>3</v>
      </c>
      <c r="O596" s="2" t="n">
        <f aca="false">INDEX(Summary!$K$2:$K$201,MATCH($B596,Summary!$A$2:$A$201,0))</f>
        <v>8.96</v>
      </c>
      <c r="P596" s="3" t="n">
        <f aca="false">INDEX(Summary!$L$2:$L$201,MATCH($B596,Summary!$A$2:$A$201,0))</f>
        <v>3</v>
      </c>
      <c r="Q596" s="3" t="n">
        <f aca="false">INDEX(Summary!$M$2:$M$201,MATCH($B596,Summary!$A$2:$A$201,0))</f>
        <v>3</v>
      </c>
      <c r="R596" s="2" t="n">
        <f aca="false">INDEX(Summary!$N$2:$N$201,MATCH($B596,Summary!$A$2:$A$201,0))</f>
        <v>8.95</v>
      </c>
      <c r="S596" s="3" t="n">
        <f aca="false">INDEX(Summary!$O$2:$O$201,MATCH($B596,Summary!$A$2:$A$201,0))</f>
        <v>8</v>
      </c>
      <c r="T596" s="3" t="n">
        <f aca="false">INDEX(Summary!$P$2:$P$201,MATCH($B596,Summary!$A$2:$A$201,0))</f>
        <v>1</v>
      </c>
      <c r="U596" s="2" t="n">
        <f aca="false">INDEX(Summary!$Q$2:$Q$201,MATCH($B596,Summary!$A$2:$A$201,0))</f>
        <v>10.91</v>
      </c>
      <c r="V596" s="2" t="n">
        <f aca="false">INDEX(Summary!$R$2:$R$201,MATCH($B596,Summary!$A$2:$A$201,0))</f>
        <v>24.16</v>
      </c>
      <c r="W596" s="0" t="str">
        <f aca="false">INDEX(Summary!$S$2:$S$201,MATCH($B596,Summary!$A$2:$A$201,0))</f>
        <v>Silver</v>
      </c>
      <c r="X596" s="2" t="n">
        <f aca="false">INDEX(Summary!$T$2:$T$201,MATCH($B596,Summary!$A$2:$A$201,0))</f>
        <v>58.93</v>
      </c>
      <c r="Y596" s="0" t="str">
        <f aca="false">INDEX('Reward Model'!$E$18:$E$37,MATCH($E596,'Reward Model'!$A$18:$A$37,0))</f>
        <v>Medium</v>
      </c>
      <c r="Z596" s="4" t="n">
        <f aca="false">ROUND(MIN(1,MAX('Reward Model'!$B$2,INDEX('Reward Model'!$C$12:$C$14,MATCH($K596,'Reward Model'!$A$12:$A$14,0))/$J596)),3)</f>
        <v>1</v>
      </c>
      <c r="AA596" s="2" t="n">
        <f aca="false">IF($I596="Correct",ROUND(INDEX('Reward Model'!$B$12:$B$14,MATCH($K596,'Reward Model'!$A$12:$A$14,0))*Z596,2),0)</f>
        <v>0</v>
      </c>
      <c r="AB596" s="2" t="n">
        <f aca="false">IF($I596="Correct",ROUND(INDEX('Reward Model'!$B$12:$B$14,MATCH($Y596,'Reward Model'!$A$12:$A$14,0))*Z596,2),0)</f>
        <v>0</v>
      </c>
    </row>
    <row r="597" customFormat="false" ht="15" hidden="false" customHeight="false" outlineLevel="0" collapsed="false">
      <c r="A597" s="0" t="s">
        <v>185</v>
      </c>
      <c r="B597" s="0" t="s">
        <v>186</v>
      </c>
      <c r="C597" s="0" t="s">
        <v>30</v>
      </c>
      <c r="D597" s="0" t="s">
        <v>31</v>
      </c>
      <c r="E597" s="0" t="n">
        <v>16</v>
      </c>
      <c r="F597" s="0" t="s">
        <v>71</v>
      </c>
      <c r="G597" s="0" t="s">
        <v>104</v>
      </c>
      <c r="H597" s="0" t="s">
        <v>72</v>
      </c>
      <c r="I597" s="0" t="s">
        <v>39</v>
      </c>
      <c r="J597" s="0" t="n">
        <v>1.54</v>
      </c>
      <c r="K597" s="0" t="s">
        <v>73</v>
      </c>
      <c r="L597" s="0" t="n">
        <f aca="false">INDEX(Summary!$F$2:$F$201,MATCH($B597,Summary!$A$2:$A$201,0))</f>
        <v>20</v>
      </c>
      <c r="M597" s="0" t="n">
        <f aca="false">INDEX(Summary!$I$2:$I$201,MATCH($B597,Summary!$A$2:$A$201,0))</f>
        <v>2</v>
      </c>
      <c r="N597" s="0" t="n">
        <f aca="false">INDEX(Summary!$J$2:$J$201,MATCH($B597,Summary!$A$2:$A$201,0))</f>
        <v>3</v>
      </c>
      <c r="O597" s="2" t="n">
        <f aca="false">INDEX(Summary!$K$2:$K$201,MATCH($B597,Summary!$A$2:$A$201,0))</f>
        <v>8.96</v>
      </c>
      <c r="P597" s="3" t="n">
        <f aca="false">INDEX(Summary!$L$2:$L$201,MATCH($B597,Summary!$A$2:$A$201,0))</f>
        <v>3</v>
      </c>
      <c r="Q597" s="3" t="n">
        <f aca="false">INDEX(Summary!$M$2:$M$201,MATCH($B597,Summary!$A$2:$A$201,0))</f>
        <v>3</v>
      </c>
      <c r="R597" s="2" t="n">
        <f aca="false">INDEX(Summary!$N$2:$N$201,MATCH($B597,Summary!$A$2:$A$201,0))</f>
        <v>8.95</v>
      </c>
      <c r="S597" s="3" t="n">
        <f aca="false">INDEX(Summary!$O$2:$O$201,MATCH($B597,Summary!$A$2:$A$201,0))</f>
        <v>8</v>
      </c>
      <c r="T597" s="3" t="n">
        <f aca="false">INDEX(Summary!$P$2:$P$201,MATCH($B597,Summary!$A$2:$A$201,0))</f>
        <v>1</v>
      </c>
      <c r="U597" s="2" t="n">
        <f aca="false">INDEX(Summary!$Q$2:$Q$201,MATCH($B597,Summary!$A$2:$A$201,0))</f>
        <v>10.91</v>
      </c>
      <c r="V597" s="2" t="n">
        <f aca="false">INDEX(Summary!$R$2:$R$201,MATCH($B597,Summary!$A$2:$A$201,0))</f>
        <v>24.16</v>
      </c>
      <c r="W597" s="0" t="str">
        <f aca="false">INDEX(Summary!$S$2:$S$201,MATCH($B597,Summary!$A$2:$A$201,0))</f>
        <v>Silver</v>
      </c>
      <c r="X597" s="2" t="n">
        <f aca="false">INDEX(Summary!$T$2:$T$201,MATCH($B597,Summary!$A$2:$A$201,0))</f>
        <v>58.93</v>
      </c>
      <c r="Y597" s="0" t="str">
        <f aca="false">INDEX('Reward Model'!$E$18:$E$37,MATCH($E597,'Reward Model'!$A$18:$A$37,0))</f>
        <v>High</v>
      </c>
      <c r="Z597" s="4" t="n">
        <f aca="false">ROUND(MIN(1,MAX('Reward Model'!$B$2,INDEX('Reward Model'!$C$12:$C$14,MATCH($K597,'Reward Model'!$A$12:$A$14,0))/$J597)),3)</f>
        <v>1</v>
      </c>
      <c r="AA597" s="2" t="n">
        <f aca="false">IF($I597="Correct",ROUND(INDEX('Reward Model'!$B$12:$B$14,MATCH($K597,'Reward Model'!$A$12:$A$14,0))*Z597,2),0)</f>
        <v>0</v>
      </c>
      <c r="AB597" s="2" t="n">
        <f aca="false">IF($I597="Correct",ROUND(INDEX('Reward Model'!$B$12:$B$14,MATCH($Y597,'Reward Model'!$A$12:$A$14,0))*Z597,2),0)</f>
        <v>0</v>
      </c>
    </row>
    <row r="598" customFormat="false" ht="15" hidden="false" customHeight="false" outlineLevel="0" collapsed="false">
      <c r="A598" s="0" t="s">
        <v>185</v>
      </c>
      <c r="B598" s="0" t="s">
        <v>186</v>
      </c>
      <c r="C598" s="0" t="s">
        <v>30</v>
      </c>
      <c r="D598" s="0" t="s">
        <v>31</v>
      </c>
      <c r="E598" s="0" t="n">
        <v>17</v>
      </c>
      <c r="F598" s="0" t="s">
        <v>74</v>
      </c>
      <c r="G598" s="0" t="s">
        <v>75</v>
      </c>
      <c r="H598" s="0" t="s">
        <v>75</v>
      </c>
      <c r="I598" s="0" t="s">
        <v>34</v>
      </c>
      <c r="J598" s="0" t="n">
        <v>1.26</v>
      </c>
      <c r="K598" s="0" t="s">
        <v>73</v>
      </c>
      <c r="L598" s="0" t="n">
        <f aca="false">INDEX(Summary!$F$2:$F$201,MATCH($B598,Summary!$A$2:$A$201,0))</f>
        <v>20</v>
      </c>
      <c r="M598" s="0" t="n">
        <f aca="false">INDEX(Summary!$I$2:$I$201,MATCH($B598,Summary!$A$2:$A$201,0))</f>
        <v>2</v>
      </c>
      <c r="N598" s="0" t="n">
        <f aca="false">INDEX(Summary!$J$2:$J$201,MATCH($B598,Summary!$A$2:$A$201,0))</f>
        <v>3</v>
      </c>
      <c r="O598" s="2" t="n">
        <f aca="false">INDEX(Summary!$K$2:$K$201,MATCH($B598,Summary!$A$2:$A$201,0))</f>
        <v>8.96</v>
      </c>
      <c r="P598" s="3" t="n">
        <f aca="false">INDEX(Summary!$L$2:$L$201,MATCH($B598,Summary!$A$2:$A$201,0))</f>
        <v>3</v>
      </c>
      <c r="Q598" s="3" t="n">
        <f aca="false">INDEX(Summary!$M$2:$M$201,MATCH($B598,Summary!$A$2:$A$201,0))</f>
        <v>3</v>
      </c>
      <c r="R598" s="2" t="n">
        <f aca="false">INDEX(Summary!$N$2:$N$201,MATCH($B598,Summary!$A$2:$A$201,0))</f>
        <v>8.95</v>
      </c>
      <c r="S598" s="3" t="n">
        <f aca="false">INDEX(Summary!$O$2:$O$201,MATCH($B598,Summary!$A$2:$A$201,0))</f>
        <v>8</v>
      </c>
      <c r="T598" s="3" t="n">
        <f aca="false">INDEX(Summary!$P$2:$P$201,MATCH($B598,Summary!$A$2:$A$201,0))</f>
        <v>1</v>
      </c>
      <c r="U598" s="2" t="n">
        <f aca="false">INDEX(Summary!$Q$2:$Q$201,MATCH($B598,Summary!$A$2:$A$201,0))</f>
        <v>10.91</v>
      </c>
      <c r="V598" s="2" t="n">
        <f aca="false">INDEX(Summary!$R$2:$R$201,MATCH($B598,Summary!$A$2:$A$201,0))</f>
        <v>24.16</v>
      </c>
      <c r="W598" s="0" t="str">
        <f aca="false">INDEX(Summary!$S$2:$S$201,MATCH($B598,Summary!$A$2:$A$201,0))</f>
        <v>Silver</v>
      </c>
      <c r="X598" s="2" t="n">
        <f aca="false">INDEX(Summary!$T$2:$T$201,MATCH($B598,Summary!$A$2:$A$201,0))</f>
        <v>58.93</v>
      </c>
      <c r="Y598" s="0" t="str">
        <f aca="false">INDEX('Reward Model'!$E$18:$E$37,MATCH($E598,'Reward Model'!$A$18:$A$37,0))</f>
        <v>High</v>
      </c>
      <c r="Z598" s="4" t="n">
        <f aca="false">ROUND(MIN(1,MAX('Reward Model'!$B$2,INDEX('Reward Model'!$C$12:$C$14,MATCH($K598,'Reward Model'!$A$12:$A$14,0))/$J598)),3)</f>
        <v>1</v>
      </c>
      <c r="AA598" s="2" t="n">
        <f aca="false">IF($I598="Correct",ROUND(INDEX('Reward Model'!$B$12:$B$14,MATCH($K598,'Reward Model'!$A$12:$A$14,0))*Z598,2),0)</f>
        <v>3</v>
      </c>
      <c r="AB598" s="2" t="n">
        <f aca="false">IF($I598="Correct",ROUND(INDEX('Reward Model'!$B$12:$B$14,MATCH($Y598,'Reward Model'!$A$12:$A$14,0))*Z598,2),0)</f>
        <v>3</v>
      </c>
    </row>
    <row r="599" customFormat="false" ht="15" hidden="false" customHeight="false" outlineLevel="0" collapsed="false">
      <c r="A599" s="0" t="s">
        <v>185</v>
      </c>
      <c r="B599" s="0" t="s">
        <v>186</v>
      </c>
      <c r="C599" s="0" t="s">
        <v>30</v>
      </c>
      <c r="D599" s="0" t="s">
        <v>31</v>
      </c>
      <c r="E599" s="0" t="n">
        <v>18</v>
      </c>
      <c r="F599" s="0" t="s">
        <v>76</v>
      </c>
      <c r="G599" s="0" t="s">
        <v>77</v>
      </c>
      <c r="H599" s="0" t="s">
        <v>77</v>
      </c>
      <c r="I599" s="0" t="s">
        <v>34</v>
      </c>
      <c r="J599" s="0" t="n">
        <v>2.45</v>
      </c>
      <c r="K599" s="0" t="s">
        <v>73</v>
      </c>
      <c r="L599" s="0" t="n">
        <f aca="false">INDEX(Summary!$F$2:$F$201,MATCH($B599,Summary!$A$2:$A$201,0))</f>
        <v>20</v>
      </c>
      <c r="M599" s="0" t="n">
        <f aca="false">INDEX(Summary!$I$2:$I$201,MATCH($B599,Summary!$A$2:$A$201,0))</f>
        <v>2</v>
      </c>
      <c r="N599" s="0" t="n">
        <f aca="false">INDEX(Summary!$J$2:$J$201,MATCH($B599,Summary!$A$2:$A$201,0))</f>
        <v>3</v>
      </c>
      <c r="O599" s="2" t="n">
        <f aca="false">INDEX(Summary!$K$2:$K$201,MATCH($B599,Summary!$A$2:$A$201,0))</f>
        <v>8.96</v>
      </c>
      <c r="P599" s="3" t="n">
        <f aca="false">INDEX(Summary!$L$2:$L$201,MATCH($B599,Summary!$A$2:$A$201,0))</f>
        <v>3</v>
      </c>
      <c r="Q599" s="3" t="n">
        <f aca="false">INDEX(Summary!$M$2:$M$201,MATCH($B599,Summary!$A$2:$A$201,0))</f>
        <v>3</v>
      </c>
      <c r="R599" s="2" t="n">
        <f aca="false">INDEX(Summary!$N$2:$N$201,MATCH($B599,Summary!$A$2:$A$201,0))</f>
        <v>8.95</v>
      </c>
      <c r="S599" s="3" t="n">
        <f aca="false">INDEX(Summary!$O$2:$O$201,MATCH($B599,Summary!$A$2:$A$201,0))</f>
        <v>8</v>
      </c>
      <c r="T599" s="3" t="n">
        <f aca="false">INDEX(Summary!$P$2:$P$201,MATCH($B599,Summary!$A$2:$A$201,0))</f>
        <v>1</v>
      </c>
      <c r="U599" s="2" t="n">
        <f aca="false">INDEX(Summary!$Q$2:$Q$201,MATCH($B599,Summary!$A$2:$A$201,0))</f>
        <v>10.91</v>
      </c>
      <c r="V599" s="2" t="n">
        <f aca="false">INDEX(Summary!$R$2:$R$201,MATCH($B599,Summary!$A$2:$A$201,0))</f>
        <v>24.16</v>
      </c>
      <c r="W599" s="0" t="str">
        <f aca="false">INDEX(Summary!$S$2:$S$201,MATCH($B599,Summary!$A$2:$A$201,0))</f>
        <v>Silver</v>
      </c>
      <c r="X599" s="2" t="n">
        <f aca="false">INDEX(Summary!$T$2:$T$201,MATCH($B599,Summary!$A$2:$A$201,0))</f>
        <v>58.93</v>
      </c>
      <c r="Y599" s="0" t="str">
        <f aca="false">INDEX('Reward Model'!$E$18:$E$37,MATCH($E599,'Reward Model'!$A$18:$A$37,0))</f>
        <v>High</v>
      </c>
      <c r="Z599" s="4" t="n">
        <f aca="false">ROUND(MIN(1,MAX('Reward Model'!$B$2,INDEX('Reward Model'!$C$12:$C$14,MATCH($K599,'Reward Model'!$A$12:$A$14,0))/$J599)),3)</f>
        <v>0.816</v>
      </c>
      <c r="AA599" s="2" t="n">
        <f aca="false">IF($I599="Correct",ROUND(INDEX('Reward Model'!$B$12:$B$14,MATCH($K599,'Reward Model'!$A$12:$A$14,0))*Z599,2),0)</f>
        <v>2.45</v>
      </c>
      <c r="AB599" s="2" t="n">
        <f aca="false">IF($I599="Correct",ROUND(INDEX('Reward Model'!$B$12:$B$14,MATCH($Y599,'Reward Model'!$A$12:$A$14,0))*Z599,2),0)</f>
        <v>2.45</v>
      </c>
    </row>
    <row r="600" customFormat="false" ht="15" hidden="false" customHeight="false" outlineLevel="0" collapsed="false">
      <c r="A600" s="0" t="s">
        <v>185</v>
      </c>
      <c r="B600" s="0" t="s">
        <v>186</v>
      </c>
      <c r="C600" s="0" t="s">
        <v>30</v>
      </c>
      <c r="D600" s="0" t="s">
        <v>31</v>
      </c>
      <c r="E600" s="0" t="n">
        <v>19</v>
      </c>
      <c r="F600" s="0" t="s">
        <v>78</v>
      </c>
      <c r="G600" s="0" t="s">
        <v>132</v>
      </c>
      <c r="H600" s="0" t="s">
        <v>80</v>
      </c>
      <c r="I600" s="0" t="s">
        <v>39</v>
      </c>
      <c r="J600" s="0" t="n">
        <v>1.79</v>
      </c>
      <c r="K600" s="0" t="s">
        <v>73</v>
      </c>
      <c r="L600" s="0" t="n">
        <f aca="false">INDEX(Summary!$F$2:$F$201,MATCH($B600,Summary!$A$2:$A$201,0))</f>
        <v>20</v>
      </c>
      <c r="M600" s="0" t="n">
        <f aca="false">INDEX(Summary!$I$2:$I$201,MATCH($B600,Summary!$A$2:$A$201,0))</f>
        <v>2</v>
      </c>
      <c r="N600" s="0" t="n">
        <f aca="false">INDEX(Summary!$J$2:$J$201,MATCH($B600,Summary!$A$2:$A$201,0))</f>
        <v>3</v>
      </c>
      <c r="O600" s="2" t="n">
        <f aca="false">INDEX(Summary!$K$2:$K$201,MATCH($B600,Summary!$A$2:$A$201,0))</f>
        <v>8.96</v>
      </c>
      <c r="P600" s="3" t="n">
        <f aca="false">INDEX(Summary!$L$2:$L$201,MATCH($B600,Summary!$A$2:$A$201,0))</f>
        <v>3</v>
      </c>
      <c r="Q600" s="3" t="n">
        <f aca="false">INDEX(Summary!$M$2:$M$201,MATCH($B600,Summary!$A$2:$A$201,0))</f>
        <v>3</v>
      </c>
      <c r="R600" s="2" t="n">
        <f aca="false">INDEX(Summary!$N$2:$N$201,MATCH($B600,Summary!$A$2:$A$201,0))</f>
        <v>8.95</v>
      </c>
      <c r="S600" s="3" t="n">
        <f aca="false">INDEX(Summary!$O$2:$O$201,MATCH($B600,Summary!$A$2:$A$201,0))</f>
        <v>8</v>
      </c>
      <c r="T600" s="3" t="n">
        <f aca="false">INDEX(Summary!$P$2:$P$201,MATCH($B600,Summary!$A$2:$A$201,0))</f>
        <v>1</v>
      </c>
      <c r="U600" s="2" t="n">
        <f aca="false">INDEX(Summary!$Q$2:$Q$201,MATCH($B600,Summary!$A$2:$A$201,0))</f>
        <v>10.91</v>
      </c>
      <c r="V600" s="2" t="n">
        <f aca="false">INDEX(Summary!$R$2:$R$201,MATCH($B600,Summary!$A$2:$A$201,0))</f>
        <v>24.16</v>
      </c>
      <c r="W600" s="0" t="str">
        <f aca="false">INDEX(Summary!$S$2:$S$201,MATCH($B600,Summary!$A$2:$A$201,0))</f>
        <v>Silver</v>
      </c>
      <c r="X600" s="2" t="n">
        <f aca="false">INDEX(Summary!$T$2:$T$201,MATCH($B600,Summary!$A$2:$A$201,0))</f>
        <v>58.93</v>
      </c>
      <c r="Y600" s="0" t="str">
        <f aca="false">INDEX('Reward Model'!$E$18:$E$37,MATCH($E600,'Reward Model'!$A$18:$A$37,0))</f>
        <v>High</v>
      </c>
      <c r="Z600" s="4" t="n">
        <f aca="false">ROUND(MIN(1,MAX('Reward Model'!$B$2,INDEX('Reward Model'!$C$12:$C$14,MATCH($K600,'Reward Model'!$A$12:$A$14,0))/$J600)),3)</f>
        <v>1</v>
      </c>
      <c r="AA600" s="2" t="n">
        <f aca="false">IF($I600="Correct",ROUND(INDEX('Reward Model'!$B$12:$B$14,MATCH($K600,'Reward Model'!$A$12:$A$14,0))*Z600,2),0)</f>
        <v>0</v>
      </c>
      <c r="AB600" s="2" t="n">
        <f aca="false">IF($I600="Correct",ROUND(INDEX('Reward Model'!$B$12:$B$14,MATCH($Y600,'Reward Model'!$A$12:$A$14,0))*Z600,2),0)</f>
        <v>0</v>
      </c>
    </row>
    <row r="601" customFormat="false" ht="15" hidden="false" customHeight="false" outlineLevel="0" collapsed="false">
      <c r="A601" s="0" t="s">
        <v>185</v>
      </c>
      <c r="B601" s="0" t="s">
        <v>186</v>
      </c>
      <c r="C601" s="0" t="s">
        <v>30</v>
      </c>
      <c r="D601" s="0" t="s">
        <v>31</v>
      </c>
      <c r="E601" s="0" t="n">
        <v>20</v>
      </c>
      <c r="F601" s="0" t="s">
        <v>81</v>
      </c>
      <c r="G601" s="0" t="s">
        <v>119</v>
      </c>
      <c r="H601" s="0" t="s">
        <v>83</v>
      </c>
      <c r="I601" s="0" t="s">
        <v>39</v>
      </c>
      <c r="J601" s="0" t="n">
        <v>1.92</v>
      </c>
      <c r="K601" s="0" t="s">
        <v>73</v>
      </c>
      <c r="L601" s="0" t="n">
        <f aca="false">INDEX(Summary!$F$2:$F$201,MATCH($B601,Summary!$A$2:$A$201,0))</f>
        <v>20</v>
      </c>
      <c r="M601" s="0" t="n">
        <f aca="false">INDEX(Summary!$I$2:$I$201,MATCH($B601,Summary!$A$2:$A$201,0))</f>
        <v>2</v>
      </c>
      <c r="N601" s="0" t="n">
        <f aca="false">INDEX(Summary!$J$2:$J$201,MATCH($B601,Summary!$A$2:$A$201,0))</f>
        <v>3</v>
      </c>
      <c r="O601" s="2" t="n">
        <f aca="false">INDEX(Summary!$K$2:$K$201,MATCH($B601,Summary!$A$2:$A$201,0))</f>
        <v>8.96</v>
      </c>
      <c r="P601" s="3" t="n">
        <f aca="false">INDEX(Summary!$L$2:$L$201,MATCH($B601,Summary!$A$2:$A$201,0))</f>
        <v>3</v>
      </c>
      <c r="Q601" s="3" t="n">
        <f aca="false">INDEX(Summary!$M$2:$M$201,MATCH($B601,Summary!$A$2:$A$201,0))</f>
        <v>3</v>
      </c>
      <c r="R601" s="2" t="n">
        <f aca="false">INDEX(Summary!$N$2:$N$201,MATCH($B601,Summary!$A$2:$A$201,0))</f>
        <v>8.95</v>
      </c>
      <c r="S601" s="3" t="n">
        <f aca="false">INDEX(Summary!$O$2:$O$201,MATCH($B601,Summary!$A$2:$A$201,0))</f>
        <v>8</v>
      </c>
      <c r="T601" s="3" t="n">
        <f aca="false">INDEX(Summary!$P$2:$P$201,MATCH($B601,Summary!$A$2:$A$201,0))</f>
        <v>1</v>
      </c>
      <c r="U601" s="2" t="n">
        <f aca="false">INDEX(Summary!$Q$2:$Q$201,MATCH($B601,Summary!$A$2:$A$201,0))</f>
        <v>10.91</v>
      </c>
      <c r="V601" s="2" t="n">
        <f aca="false">INDEX(Summary!$R$2:$R$201,MATCH($B601,Summary!$A$2:$A$201,0))</f>
        <v>24.16</v>
      </c>
      <c r="W601" s="0" t="str">
        <f aca="false">INDEX(Summary!$S$2:$S$201,MATCH($B601,Summary!$A$2:$A$201,0))</f>
        <v>Silver</v>
      </c>
      <c r="X601" s="2" t="n">
        <f aca="false">INDEX(Summary!$T$2:$T$201,MATCH($B601,Summary!$A$2:$A$201,0))</f>
        <v>58.93</v>
      </c>
      <c r="Y601" s="0" t="str">
        <f aca="false">INDEX('Reward Model'!$E$18:$E$37,MATCH($E601,'Reward Model'!$A$18:$A$37,0))</f>
        <v>High</v>
      </c>
      <c r="Z601" s="4" t="n">
        <f aca="false">ROUND(MIN(1,MAX('Reward Model'!$B$2,INDEX('Reward Model'!$C$12:$C$14,MATCH($K601,'Reward Model'!$A$12:$A$14,0))/$J601)),3)</f>
        <v>1</v>
      </c>
      <c r="AA601" s="2" t="n">
        <f aca="false">IF($I601="Correct",ROUND(INDEX('Reward Model'!$B$12:$B$14,MATCH($K601,'Reward Model'!$A$12:$A$14,0))*Z601,2),0)</f>
        <v>0</v>
      </c>
      <c r="AB601" s="2" t="n">
        <f aca="false">IF($I601="Correct",ROUND(INDEX('Reward Model'!$B$12:$B$14,MATCH($Y601,'Reward Model'!$A$12:$A$14,0))*Z601,2),0)</f>
        <v>0</v>
      </c>
    </row>
    <row r="602" customFormat="false" ht="15" hidden="false" customHeight="false" outlineLevel="0" collapsed="false">
      <c r="A602" s="0" t="s">
        <v>187</v>
      </c>
      <c r="B602" s="0" t="s">
        <v>188</v>
      </c>
      <c r="C602" s="0" t="s">
        <v>30</v>
      </c>
      <c r="D602" s="0" t="s">
        <v>189</v>
      </c>
      <c r="E602" s="0" t="n">
        <v>1</v>
      </c>
      <c r="F602" s="0" t="s">
        <v>32</v>
      </c>
      <c r="G602" s="0" t="s">
        <v>33</v>
      </c>
      <c r="H602" s="0" t="s">
        <v>33</v>
      </c>
      <c r="I602" s="0" t="s">
        <v>34</v>
      </c>
      <c r="J602" s="0" t="n">
        <v>1.05</v>
      </c>
      <c r="K602" s="0" t="s">
        <v>35</v>
      </c>
      <c r="L602" s="0" t="n">
        <f aca="false">INDEX(Summary!$F$2:$F$201,MATCH($B602,Summary!$A$2:$A$201,0))</f>
        <v>20</v>
      </c>
      <c r="M602" s="0" t="n">
        <f aca="false">INDEX(Summary!$I$2:$I$201,MATCH($B602,Summary!$A$2:$A$201,0))</f>
        <v>3</v>
      </c>
      <c r="N602" s="0" t="n">
        <f aca="false">INDEX(Summary!$J$2:$J$201,MATCH($B602,Summary!$A$2:$A$201,0))</f>
        <v>2</v>
      </c>
      <c r="O602" s="2" t="n">
        <f aca="false">INDEX(Summary!$K$2:$K$201,MATCH($B602,Summary!$A$2:$A$201,0))</f>
        <v>9.14</v>
      </c>
      <c r="P602" s="3" t="n">
        <f aca="false">INDEX(Summary!$L$2:$L$201,MATCH($B602,Summary!$A$2:$A$201,0))</f>
        <v>3</v>
      </c>
      <c r="Q602" s="3" t="n">
        <f aca="false">INDEX(Summary!$M$2:$M$201,MATCH($B602,Summary!$A$2:$A$201,0))</f>
        <v>3</v>
      </c>
      <c r="R602" s="2" t="n">
        <f aca="false">INDEX(Summary!$N$2:$N$201,MATCH($B602,Summary!$A$2:$A$201,0))</f>
        <v>10.06</v>
      </c>
      <c r="S602" s="3" t="n">
        <f aca="false">INDEX(Summary!$O$2:$O$201,MATCH($B602,Summary!$A$2:$A$201,0))</f>
        <v>8</v>
      </c>
      <c r="T602" s="3" t="n">
        <f aca="false">INDEX(Summary!$P$2:$P$201,MATCH($B602,Summary!$A$2:$A$201,0))</f>
        <v>1</v>
      </c>
      <c r="U602" s="2" t="n">
        <f aca="false">INDEX(Summary!$Q$2:$Q$201,MATCH($B602,Summary!$A$2:$A$201,0))</f>
        <v>12.21</v>
      </c>
      <c r="V602" s="2" t="n">
        <f aca="false">INDEX(Summary!$R$2:$R$201,MATCH($B602,Summary!$A$2:$A$201,0))</f>
        <v>26.28</v>
      </c>
      <c r="W602" s="0" t="str">
        <f aca="false">INDEX(Summary!$S$2:$S$201,MATCH($B602,Summary!$A$2:$A$201,0))</f>
        <v>Silver</v>
      </c>
      <c r="X602" s="2" t="n">
        <f aca="false">INDEX(Summary!$T$2:$T$201,MATCH($B602,Summary!$A$2:$A$201,0))</f>
        <v>64.1</v>
      </c>
      <c r="Y602" s="0" t="str">
        <f aca="false">INDEX('Reward Model'!$E$18:$E$37,MATCH($E602,'Reward Model'!$A$18:$A$37,0))</f>
        <v>Medium</v>
      </c>
      <c r="Z602" s="4" t="n">
        <f aca="false">ROUND(MIN(1,MAX('Reward Model'!$B$2,INDEX('Reward Model'!$C$12:$C$14,MATCH($K602,'Reward Model'!$A$12:$A$14,0))/$J602)),3)</f>
        <v>1</v>
      </c>
      <c r="AA602" s="2" t="n">
        <f aca="false">IF($I602="Correct",ROUND(INDEX('Reward Model'!$B$12:$B$14,MATCH($K602,'Reward Model'!$A$12:$A$14,0))*Z602,2),0)</f>
        <v>1</v>
      </c>
      <c r="AB602" s="2" t="n">
        <f aca="false">IF($I602="Correct",ROUND(INDEX('Reward Model'!$B$12:$B$14,MATCH($Y602,'Reward Model'!$A$12:$A$14,0))*Z602,2),0)</f>
        <v>2</v>
      </c>
    </row>
    <row r="603" customFormat="false" ht="15" hidden="false" customHeight="false" outlineLevel="0" collapsed="false">
      <c r="A603" s="0" t="s">
        <v>187</v>
      </c>
      <c r="B603" s="0" t="s">
        <v>188</v>
      </c>
      <c r="C603" s="0" t="s">
        <v>30</v>
      </c>
      <c r="D603" s="0" t="s">
        <v>189</v>
      </c>
      <c r="E603" s="0" t="n">
        <v>2</v>
      </c>
      <c r="F603" s="0" t="s">
        <v>36</v>
      </c>
      <c r="G603" s="0" t="s">
        <v>190</v>
      </c>
      <c r="H603" s="0" t="s">
        <v>38</v>
      </c>
      <c r="I603" s="0" t="s">
        <v>39</v>
      </c>
      <c r="J603" s="0" t="n">
        <v>1.85</v>
      </c>
      <c r="K603" s="0" t="s">
        <v>35</v>
      </c>
      <c r="L603" s="0" t="n">
        <f aca="false">INDEX(Summary!$F$2:$F$201,MATCH($B603,Summary!$A$2:$A$201,0))</f>
        <v>20</v>
      </c>
      <c r="M603" s="0" t="n">
        <f aca="false">INDEX(Summary!$I$2:$I$201,MATCH($B603,Summary!$A$2:$A$201,0))</f>
        <v>3</v>
      </c>
      <c r="N603" s="0" t="n">
        <f aca="false">INDEX(Summary!$J$2:$J$201,MATCH($B603,Summary!$A$2:$A$201,0))</f>
        <v>2</v>
      </c>
      <c r="O603" s="2" t="n">
        <f aca="false">INDEX(Summary!$K$2:$K$201,MATCH($B603,Summary!$A$2:$A$201,0))</f>
        <v>9.14</v>
      </c>
      <c r="P603" s="3" t="n">
        <f aca="false">INDEX(Summary!$L$2:$L$201,MATCH($B603,Summary!$A$2:$A$201,0))</f>
        <v>3</v>
      </c>
      <c r="Q603" s="3" t="n">
        <f aca="false">INDEX(Summary!$M$2:$M$201,MATCH($B603,Summary!$A$2:$A$201,0))</f>
        <v>3</v>
      </c>
      <c r="R603" s="2" t="n">
        <f aca="false">INDEX(Summary!$N$2:$N$201,MATCH($B603,Summary!$A$2:$A$201,0))</f>
        <v>10.06</v>
      </c>
      <c r="S603" s="3" t="n">
        <f aca="false">INDEX(Summary!$O$2:$O$201,MATCH($B603,Summary!$A$2:$A$201,0))</f>
        <v>8</v>
      </c>
      <c r="T603" s="3" t="n">
        <f aca="false">INDEX(Summary!$P$2:$P$201,MATCH($B603,Summary!$A$2:$A$201,0))</f>
        <v>1</v>
      </c>
      <c r="U603" s="2" t="n">
        <f aca="false">INDEX(Summary!$Q$2:$Q$201,MATCH($B603,Summary!$A$2:$A$201,0))</f>
        <v>12.21</v>
      </c>
      <c r="V603" s="2" t="n">
        <f aca="false">INDEX(Summary!$R$2:$R$201,MATCH($B603,Summary!$A$2:$A$201,0))</f>
        <v>26.28</v>
      </c>
      <c r="W603" s="0" t="str">
        <f aca="false">INDEX(Summary!$S$2:$S$201,MATCH($B603,Summary!$A$2:$A$201,0))</f>
        <v>Silver</v>
      </c>
      <c r="X603" s="2" t="n">
        <f aca="false">INDEX(Summary!$T$2:$T$201,MATCH($B603,Summary!$A$2:$A$201,0))</f>
        <v>64.1</v>
      </c>
      <c r="Y603" s="0" t="str">
        <f aca="false">INDEX('Reward Model'!$E$18:$E$37,MATCH($E603,'Reward Model'!$A$18:$A$37,0))</f>
        <v>Low</v>
      </c>
      <c r="Z603" s="4" t="n">
        <f aca="false">ROUND(MIN(1,MAX('Reward Model'!$B$2,INDEX('Reward Model'!$C$12:$C$14,MATCH($K603,'Reward Model'!$A$12:$A$14,0))/$J603)),3)</f>
        <v>0.811</v>
      </c>
      <c r="AA603" s="2" t="n">
        <f aca="false">IF($I603="Correct",ROUND(INDEX('Reward Model'!$B$12:$B$14,MATCH($K603,'Reward Model'!$A$12:$A$14,0))*Z603,2),0)</f>
        <v>0</v>
      </c>
      <c r="AB603" s="2" t="n">
        <f aca="false">IF($I603="Correct",ROUND(INDEX('Reward Model'!$B$12:$B$14,MATCH($Y603,'Reward Model'!$A$12:$A$14,0))*Z603,2),0)</f>
        <v>0</v>
      </c>
    </row>
    <row r="604" customFormat="false" ht="15" hidden="false" customHeight="false" outlineLevel="0" collapsed="false">
      <c r="A604" s="0" t="s">
        <v>187</v>
      </c>
      <c r="B604" s="0" t="s">
        <v>188</v>
      </c>
      <c r="C604" s="0" t="s">
        <v>30</v>
      </c>
      <c r="D604" s="0" t="s">
        <v>189</v>
      </c>
      <c r="E604" s="0" t="n">
        <v>3</v>
      </c>
      <c r="F604" s="0" t="s">
        <v>40</v>
      </c>
      <c r="G604" s="0" t="s">
        <v>42</v>
      </c>
      <c r="H604" s="0" t="s">
        <v>42</v>
      </c>
      <c r="I604" s="0" t="s">
        <v>34</v>
      </c>
      <c r="J604" s="0" t="n">
        <v>1.55</v>
      </c>
      <c r="K604" s="0" t="s">
        <v>35</v>
      </c>
      <c r="L604" s="0" t="n">
        <f aca="false">INDEX(Summary!$F$2:$F$201,MATCH($B604,Summary!$A$2:$A$201,0))</f>
        <v>20</v>
      </c>
      <c r="M604" s="0" t="n">
        <f aca="false">INDEX(Summary!$I$2:$I$201,MATCH($B604,Summary!$A$2:$A$201,0))</f>
        <v>3</v>
      </c>
      <c r="N604" s="0" t="n">
        <f aca="false">INDEX(Summary!$J$2:$J$201,MATCH($B604,Summary!$A$2:$A$201,0))</f>
        <v>2</v>
      </c>
      <c r="O604" s="2" t="n">
        <f aca="false">INDEX(Summary!$K$2:$K$201,MATCH($B604,Summary!$A$2:$A$201,0))</f>
        <v>9.14</v>
      </c>
      <c r="P604" s="3" t="n">
        <f aca="false">INDEX(Summary!$L$2:$L$201,MATCH($B604,Summary!$A$2:$A$201,0))</f>
        <v>3</v>
      </c>
      <c r="Q604" s="3" t="n">
        <f aca="false">INDEX(Summary!$M$2:$M$201,MATCH($B604,Summary!$A$2:$A$201,0))</f>
        <v>3</v>
      </c>
      <c r="R604" s="2" t="n">
        <f aca="false">INDEX(Summary!$N$2:$N$201,MATCH($B604,Summary!$A$2:$A$201,0))</f>
        <v>10.06</v>
      </c>
      <c r="S604" s="3" t="n">
        <f aca="false">INDEX(Summary!$O$2:$O$201,MATCH($B604,Summary!$A$2:$A$201,0))</f>
        <v>8</v>
      </c>
      <c r="T604" s="3" t="n">
        <f aca="false">INDEX(Summary!$P$2:$P$201,MATCH($B604,Summary!$A$2:$A$201,0))</f>
        <v>1</v>
      </c>
      <c r="U604" s="2" t="n">
        <f aca="false">INDEX(Summary!$Q$2:$Q$201,MATCH($B604,Summary!$A$2:$A$201,0))</f>
        <v>12.21</v>
      </c>
      <c r="V604" s="2" t="n">
        <f aca="false">INDEX(Summary!$R$2:$R$201,MATCH($B604,Summary!$A$2:$A$201,0))</f>
        <v>26.28</v>
      </c>
      <c r="W604" s="0" t="str">
        <f aca="false">INDEX(Summary!$S$2:$S$201,MATCH($B604,Summary!$A$2:$A$201,0))</f>
        <v>Silver</v>
      </c>
      <c r="X604" s="2" t="n">
        <f aca="false">INDEX(Summary!$T$2:$T$201,MATCH($B604,Summary!$A$2:$A$201,0))</f>
        <v>64.1</v>
      </c>
      <c r="Y604" s="0" t="str">
        <f aca="false">INDEX('Reward Model'!$E$18:$E$37,MATCH($E604,'Reward Model'!$A$18:$A$37,0))</f>
        <v>Medium</v>
      </c>
      <c r="Z604" s="4" t="n">
        <f aca="false">ROUND(MIN(1,MAX('Reward Model'!$B$2,INDEX('Reward Model'!$C$12:$C$14,MATCH($K604,'Reward Model'!$A$12:$A$14,0))/$J604)),3)</f>
        <v>0.968</v>
      </c>
      <c r="AA604" s="2" t="n">
        <f aca="false">IF($I604="Correct",ROUND(INDEX('Reward Model'!$B$12:$B$14,MATCH($K604,'Reward Model'!$A$12:$A$14,0))*Z604,2),0)</f>
        <v>0.97</v>
      </c>
      <c r="AB604" s="2" t="n">
        <f aca="false">IF($I604="Correct",ROUND(INDEX('Reward Model'!$B$12:$B$14,MATCH($Y604,'Reward Model'!$A$12:$A$14,0))*Z604,2),0)</f>
        <v>1.94</v>
      </c>
    </row>
    <row r="605" customFormat="false" ht="15" hidden="false" customHeight="false" outlineLevel="0" collapsed="false">
      <c r="A605" s="0" t="s">
        <v>187</v>
      </c>
      <c r="B605" s="0" t="s">
        <v>188</v>
      </c>
      <c r="C605" s="0" t="s">
        <v>30</v>
      </c>
      <c r="D605" s="0" t="s">
        <v>189</v>
      </c>
      <c r="E605" s="0" t="n">
        <v>4</v>
      </c>
      <c r="F605" s="0" t="s">
        <v>43</v>
      </c>
      <c r="G605" s="0" t="s">
        <v>45</v>
      </c>
      <c r="H605" s="0" t="s">
        <v>45</v>
      </c>
      <c r="I605" s="0" t="s">
        <v>34</v>
      </c>
      <c r="J605" s="0" t="n">
        <v>1.02</v>
      </c>
      <c r="K605" s="0" t="s">
        <v>35</v>
      </c>
      <c r="L605" s="0" t="n">
        <f aca="false">INDEX(Summary!$F$2:$F$201,MATCH($B605,Summary!$A$2:$A$201,0))</f>
        <v>20</v>
      </c>
      <c r="M605" s="0" t="n">
        <f aca="false">INDEX(Summary!$I$2:$I$201,MATCH($B605,Summary!$A$2:$A$201,0))</f>
        <v>3</v>
      </c>
      <c r="N605" s="0" t="n">
        <f aca="false">INDEX(Summary!$J$2:$J$201,MATCH($B605,Summary!$A$2:$A$201,0))</f>
        <v>2</v>
      </c>
      <c r="O605" s="2" t="n">
        <f aca="false">INDEX(Summary!$K$2:$K$201,MATCH($B605,Summary!$A$2:$A$201,0))</f>
        <v>9.14</v>
      </c>
      <c r="P605" s="3" t="n">
        <f aca="false">INDEX(Summary!$L$2:$L$201,MATCH($B605,Summary!$A$2:$A$201,0))</f>
        <v>3</v>
      </c>
      <c r="Q605" s="3" t="n">
        <f aca="false">INDEX(Summary!$M$2:$M$201,MATCH($B605,Summary!$A$2:$A$201,0))</f>
        <v>3</v>
      </c>
      <c r="R605" s="2" t="n">
        <f aca="false">INDEX(Summary!$N$2:$N$201,MATCH($B605,Summary!$A$2:$A$201,0))</f>
        <v>10.06</v>
      </c>
      <c r="S605" s="3" t="n">
        <f aca="false">INDEX(Summary!$O$2:$O$201,MATCH($B605,Summary!$A$2:$A$201,0))</f>
        <v>8</v>
      </c>
      <c r="T605" s="3" t="n">
        <f aca="false">INDEX(Summary!$P$2:$P$201,MATCH($B605,Summary!$A$2:$A$201,0))</f>
        <v>1</v>
      </c>
      <c r="U605" s="2" t="n">
        <f aca="false">INDEX(Summary!$Q$2:$Q$201,MATCH($B605,Summary!$A$2:$A$201,0))</f>
        <v>12.21</v>
      </c>
      <c r="V605" s="2" t="n">
        <f aca="false">INDEX(Summary!$R$2:$R$201,MATCH($B605,Summary!$A$2:$A$201,0))</f>
        <v>26.28</v>
      </c>
      <c r="W605" s="0" t="str">
        <f aca="false">INDEX(Summary!$S$2:$S$201,MATCH($B605,Summary!$A$2:$A$201,0))</f>
        <v>Silver</v>
      </c>
      <c r="X605" s="2" t="n">
        <f aca="false">INDEX(Summary!$T$2:$T$201,MATCH($B605,Summary!$A$2:$A$201,0))</f>
        <v>64.1</v>
      </c>
      <c r="Y605" s="0" t="str">
        <f aca="false">INDEX('Reward Model'!$E$18:$E$37,MATCH($E605,'Reward Model'!$A$18:$A$37,0))</f>
        <v>Low</v>
      </c>
      <c r="Z605" s="4" t="n">
        <f aca="false">ROUND(MIN(1,MAX('Reward Model'!$B$2,INDEX('Reward Model'!$C$12:$C$14,MATCH($K605,'Reward Model'!$A$12:$A$14,0))/$J605)),3)</f>
        <v>1</v>
      </c>
      <c r="AA605" s="2" t="n">
        <f aca="false">IF($I605="Correct",ROUND(INDEX('Reward Model'!$B$12:$B$14,MATCH($K605,'Reward Model'!$A$12:$A$14,0))*Z605,2),0)</f>
        <v>1</v>
      </c>
      <c r="AB605" s="2" t="n">
        <f aca="false">IF($I605="Correct",ROUND(INDEX('Reward Model'!$B$12:$B$14,MATCH($Y605,'Reward Model'!$A$12:$A$14,0))*Z605,2),0)</f>
        <v>1</v>
      </c>
    </row>
    <row r="606" customFormat="false" ht="15" hidden="false" customHeight="false" outlineLevel="0" collapsed="false">
      <c r="A606" s="0" t="s">
        <v>187</v>
      </c>
      <c r="B606" s="0" t="s">
        <v>188</v>
      </c>
      <c r="C606" s="0" t="s">
        <v>30</v>
      </c>
      <c r="D606" s="0" t="s">
        <v>189</v>
      </c>
      <c r="E606" s="0" t="n">
        <v>5</v>
      </c>
      <c r="F606" s="0" t="s">
        <v>46</v>
      </c>
      <c r="G606" s="0" t="s">
        <v>47</v>
      </c>
      <c r="H606" s="0" t="s">
        <v>47</v>
      </c>
      <c r="I606" s="0" t="s">
        <v>34</v>
      </c>
      <c r="J606" s="0" t="n">
        <v>1.22</v>
      </c>
      <c r="K606" s="0" t="s">
        <v>35</v>
      </c>
      <c r="L606" s="0" t="n">
        <f aca="false">INDEX(Summary!$F$2:$F$201,MATCH($B606,Summary!$A$2:$A$201,0))</f>
        <v>20</v>
      </c>
      <c r="M606" s="0" t="n">
        <f aca="false">INDEX(Summary!$I$2:$I$201,MATCH($B606,Summary!$A$2:$A$201,0))</f>
        <v>3</v>
      </c>
      <c r="N606" s="0" t="n">
        <f aca="false">INDEX(Summary!$J$2:$J$201,MATCH($B606,Summary!$A$2:$A$201,0))</f>
        <v>2</v>
      </c>
      <c r="O606" s="2" t="n">
        <f aca="false">INDEX(Summary!$K$2:$K$201,MATCH($B606,Summary!$A$2:$A$201,0))</f>
        <v>9.14</v>
      </c>
      <c r="P606" s="3" t="n">
        <f aca="false">INDEX(Summary!$L$2:$L$201,MATCH($B606,Summary!$A$2:$A$201,0))</f>
        <v>3</v>
      </c>
      <c r="Q606" s="3" t="n">
        <f aca="false">INDEX(Summary!$M$2:$M$201,MATCH($B606,Summary!$A$2:$A$201,0))</f>
        <v>3</v>
      </c>
      <c r="R606" s="2" t="n">
        <f aca="false">INDEX(Summary!$N$2:$N$201,MATCH($B606,Summary!$A$2:$A$201,0))</f>
        <v>10.06</v>
      </c>
      <c r="S606" s="3" t="n">
        <f aca="false">INDEX(Summary!$O$2:$O$201,MATCH($B606,Summary!$A$2:$A$201,0))</f>
        <v>8</v>
      </c>
      <c r="T606" s="3" t="n">
        <f aca="false">INDEX(Summary!$P$2:$P$201,MATCH($B606,Summary!$A$2:$A$201,0))</f>
        <v>1</v>
      </c>
      <c r="U606" s="2" t="n">
        <f aca="false">INDEX(Summary!$Q$2:$Q$201,MATCH($B606,Summary!$A$2:$A$201,0))</f>
        <v>12.21</v>
      </c>
      <c r="V606" s="2" t="n">
        <f aca="false">INDEX(Summary!$R$2:$R$201,MATCH($B606,Summary!$A$2:$A$201,0))</f>
        <v>26.28</v>
      </c>
      <c r="W606" s="0" t="str">
        <f aca="false">INDEX(Summary!$S$2:$S$201,MATCH($B606,Summary!$A$2:$A$201,0))</f>
        <v>Silver</v>
      </c>
      <c r="X606" s="2" t="n">
        <f aca="false">INDEX(Summary!$T$2:$T$201,MATCH($B606,Summary!$A$2:$A$201,0))</f>
        <v>64.1</v>
      </c>
      <c r="Y606" s="0" t="str">
        <f aca="false">INDEX('Reward Model'!$E$18:$E$37,MATCH($E606,'Reward Model'!$A$18:$A$37,0))</f>
        <v>Low</v>
      </c>
      <c r="Z606" s="4" t="n">
        <f aca="false">ROUND(MIN(1,MAX('Reward Model'!$B$2,INDEX('Reward Model'!$C$12:$C$14,MATCH($K606,'Reward Model'!$A$12:$A$14,0))/$J606)),3)</f>
        <v>1</v>
      </c>
      <c r="AA606" s="2" t="n">
        <f aca="false">IF($I606="Correct",ROUND(INDEX('Reward Model'!$B$12:$B$14,MATCH($K606,'Reward Model'!$A$12:$A$14,0))*Z606,2),0)</f>
        <v>1</v>
      </c>
      <c r="AB606" s="2" t="n">
        <f aca="false">IF($I606="Correct",ROUND(INDEX('Reward Model'!$B$12:$B$14,MATCH($Y606,'Reward Model'!$A$12:$A$14,0))*Z606,2),0)</f>
        <v>1</v>
      </c>
    </row>
    <row r="607" customFormat="false" ht="15" hidden="false" customHeight="false" outlineLevel="0" collapsed="false">
      <c r="A607" s="0" t="s">
        <v>187</v>
      </c>
      <c r="B607" s="0" t="s">
        <v>188</v>
      </c>
      <c r="C607" s="0" t="s">
        <v>30</v>
      </c>
      <c r="D607" s="0" t="s">
        <v>189</v>
      </c>
      <c r="E607" s="0" t="n">
        <v>6</v>
      </c>
      <c r="F607" s="0" t="s">
        <v>48</v>
      </c>
      <c r="G607" s="0" t="s">
        <v>49</v>
      </c>
      <c r="H607" s="0" t="s">
        <v>49</v>
      </c>
      <c r="I607" s="0" t="s">
        <v>34</v>
      </c>
      <c r="J607" s="0" t="n">
        <v>1.44</v>
      </c>
      <c r="K607" s="0" t="s">
        <v>35</v>
      </c>
      <c r="L607" s="0" t="n">
        <f aca="false">INDEX(Summary!$F$2:$F$201,MATCH($B607,Summary!$A$2:$A$201,0))</f>
        <v>20</v>
      </c>
      <c r="M607" s="0" t="n">
        <f aca="false">INDEX(Summary!$I$2:$I$201,MATCH($B607,Summary!$A$2:$A$201,0))</f>
        <v>3</v>
      </c>
      <c r="N607" s="0" t="n">
        <f aca="false">INDEX(Summary!$J$2:$J$201,MATCH($B607,Summary!$A$2:$A$201,0))</f>
        <v>2</v>
      </c>
      <c r="O607" s="2" t="n">
        <f aca="false">INDEX(Summary!$K$2:$K$201,MATCH($B607,Summary!$A$2:$A$201,0))</f>
        <v>9.14</v>
      </c>
      <c r="P607" s="3" t="n">
        <f aca="false">INDEX(Summary!$L$2:$L$201,MATCH($B607,Summary!$A$2:$A$201,0))</f>
        <v>3</v>
      </c>
      <c r="Q607" s="3" t="n">
        <f aca="false">INDEX(Summary!$M$2:$M$201,MATCH($B607,Summary!$A$2:$A$201,0))</f>
        <v>3</v>
      </c>
      <c r="R607" s="2" t="n">
        <f aca="false">INDEX(Summary!$N$2:$N$201,MATCH($B607,Summary!$A$2:$A$201,0))</f>
        <v>10.06</v>
      </c>
      <c r="S607" s="3" t="n">
        <f aca="false">INDEX(Summary!$O$2:$O$201,MATCH($B607,Summary!$A$2:$A$201,0))</f>
        <v>8</v>
      </c>
      <c r="T607" s="3" t="n">
        <f aca="false">INDEX(Summary!$P$2:$P$201,MATCH($B607,Summary!$A$2:$A$201,0))</f>
        <v>1</v>
      </c>
      <c r="U607" s="2" t="n">
        <f aca="false">INDEX(Summary!$Q$2:$Q$201,MATCH($B607,Summary!$A$2:$A$201,0))</f>
        <v>12.21</v>
      </c>
      <c r="V607" s="2" t="n">
        <f aca="false">INDEX(Summary!$R$2:$R$201,MATCH($B607,Summary!$A$2:$A$201,0))</f>
        <v>26.28</v>
      </c>
      <c r="W607" s="0" t="str">
        <f aca="false">INDEX(Summary!$S$2:$S$201,MATCH($B607,Summary!$A$2:$A$201,0))</f>
        <v>Silver</v>
      </c>
      <c r="X607" s="2" t="n">
        <f aca="false">INDEX(Summary!$T$2:$T$201,MATCH($B607,Summary!$A$2:$A$201,0))</f>
        <v>64.1</v>
      </c>
      <c r="Y607" s="0" t="str">
        <f aca="false">INDEX('Reward Model'!$E$18:$E$37,MATCH($E607,'Reward Model'!$A$18:$A$37,0))</f>
        <v>Medium</v>
      </c>
      <c r="Z607" s="4" t="n">
        <f aca="false">ROUND(MIN(1,MAX('Reward Model'!$B$2,INDEX('Reward Model'!$C$12:$C$14,MATCH($K607,'Reward Model'!$A$12:$A$14,0))/$J607)),3)</f>
        <v>1</v>
      </c>
      <c r="AA607" s="2" t="n">
        <f aca="false">IF($I607="Correct",ROUND(INDEX('Reward Model'!$B$12:$B$14,MATCH($K607,'Reward Model'!$A$12:$A$14,0))*Z607,2),0)</f>
        <v>1</v>
      </c>
      <c r="AB607" s="2" t="n">
        <f aca="false">IF($I607="Correct",ROUND(INDEX('Reward Model'!$B$12:$B$14,MATCH($Y607,'Reward Model'!$A$12:$A$14,0))*Z607,2),0)</f>
        <v>2</v>
      </c>
    </row>
    <row r="608" customFormat="false" ht="15" hidden="false" customHeight="false" outlineLevel="0" collapsed="false">
      <c r="A608" s="0" t="s">
        <v>187</v>
      </c>
      <c r="B608" s="0" t="s">
        <v>188</v>
      </c>
      <c r="C608" s="0" t="s">
        <v>30</v>
      </c>
      <c r="D608" s="0" t="s">
        <v>189</v>
      </c>
      <c r="E608" s="0" t="n">
        <v>7</v>
      </c>
      <c r="F608" s="0" t="s">
        <v>50</v>
      </c>
      <c r="G608" s="0" t="s">
        <v>51</v>
      </c>
      <c r="H608" s="0" t="s">
        <v>51</v>
      </c>
      <c r="I608" s="0" t="s">
        <v>34</v>
      </c>
      <c r="J608" s="0" t="n">
        <v>0.93</v>
      </c>
      <c r="K608" s="0" t="s">
        <v>35</v>
      </c>
      <c r="L608" s="0" t="n">
        <f aca="false">INDEX(Summary!$F$2:$F$201,MATCH($B608,Summary!$A$2:$A$201,0))</f>
        <v>20</v>
      </c>
      <c r="M608" s="0" t="n">
        <f aca="false">INDEX(Summary!$I$2:$I$201,MATCH($B608,Summary!$A$2:$A$201,0))</f>
        <v>3</v>
      </c>
      <c r="N608" s="0" t="n">
        <f aca="false">INDEX(Summary!$J$2:$J$201,MATCH($B608,Summary!$A$2:$A$201,0))</f>
        <v>2</v>
      </c>
      <c r="O608" s="2" t="n">
        <f aca="false">INDEX(Summary!$K$2:$K$201,MATCH($B608,Summary!$A$2:$A$201,0))</f>
        <v>9.14</v>
      </c>
      <c r="P608" s="3" t="n">
        <f aca="false">INDEX(Summary!$L$2:$L$201,MATCH($B608,Summary!$A$2:$A$201,0))</f>
        <v>3</v>
      </c>
      <c r="Q608" s="3" t="n">
        <f aca="false">INDEX(Summary!$M$2:$M$201,MATCH($B608,Summary!$A$2:$A$201,0))</f>
        <v>3</v>
      </c>
      <c r="R608" s="2" t="n">
        <f aca="false">INDEX(Summary!$N$2:$N$201,MATCH($B608,Summary!$A$2:$A$201,0))</f>
        <v>10.06</v>
      </c>
      <c r="S608" s="3" t="n">
        <f aca="false">INDEX(Summary!$O$2:$O$201,MATCH($B608,Summary!$A$2:$A$201,0))</f>
        <v>8</v>
      </c>
      <c r="T608" s="3" t="n">
        <f aca="false">INDEX(Summary!$P$2:$P$201,MATCH($B608,Summary!$A$2:$A$201,0))</f>
        <v>1</v>
      </c>
      <c r="U608" s="2" t="n">
        <f aca="false">INDEX(Summary!$Q$2:$Q$201,MATCH($B608,Summary!$A$2:$A$201,0))</f>
        <v>12.21</v>
      </c>
      <c r="V608" s="2" t="n">
        <f aca="false">INDEX(Summary!$R$2:$R$201,MATCH($B608,Summary!$A$2:$A$201,0))</f>
        <v>26.28</v>
      </c>
      <c r="W608" s="0" t="str">
        <f aca="false">INDEX(Summary!$S$2:$S$201,MATCH($B608,Summary!$A$2:$A$201,0))</f>
        <v>Silver</v>
      </c>
      <c r="X608" s="2" t="n">
        <f aca="false">INDEX(Summary!$T$2:$T$201,MATCH($B608,Summary!$A$2:$A$201,0))</f>
        <v>64.1</v>
      </c>
      <c r="Y608" s="0" t="str">
        <f aca="false">INDEX('Reward Model'!$E$18:$E$37,MATCH($E608,'Reward Model'!$A$18:$A$37,0))</f>
        <v>Low</v>
      </c>
      <c r="Z608" s="4" t="n">
        <f aca="false">ROUND(MIN(1,MAX('Reward Model'!$B$2,INDEX('Reward Model'!$C$12:$C$14,MATCH($K608,'Reward Model'!$A$12:$A$14,0))/$J608)),3)</f>
        <v>1</v>
      </c>
      <c r="AA608" s="2" t="n">
        <f aca="false">IF($I608="Correct",ROUND(INDEX('Reward Model'!$B$12:$B$14,MATCH($K608,'Reward Model'!$A$12:$A$14,0))*Z608,2),0)</f>
        <v>1</v>
      </c>
      <c r="AB608" s="2" t="n">
        <f aca="false">IF($I608="Correct",ROUND(INDEX('Reward Model'!$B$12:$B$14,MATCH($Y608,'Reward Model'!$A$12:$A$14,0))*Z608,2),0)</f>
        <v>1</v>
      </c>
    </row>
    <row r="609" customFormat="false" ht="15" hidden="false" customHeight="false" outlineLevel="0" collapsed="false">
      <c r="A609" s="0" t="s">
        <v>187</v>
      </c>
      <c r="B609" s="0" t="s">
        <v>188</v>
      </c>
      <c r="C609" s="0" t="s">
        <v>30</v>
      </c>
      <c r="D609" s="0" t="s">
        <v>189</v>
      </c>
      <c r="E609" s="0" t="n">
        <v>8</v>
      </c>
      <c r="F609" s="0" t="s">
        <v>52</v>
      </c>
      <c r="G609" s="0" t="s">
        <v>54</v>
      </c>
      <c r="H609" s="0" t="s">
        <v>54</v>
      </c>
      <c r="I609" s="0" t="s">
        <v>34</v>
      </c>
      <c r="J609" s="0" t="n">
        <v>1.34</v>
      </c>
      <c r="K609" s="0" t="s">
        <v>35</v>
      </c>
      <c r="L609" s="0" t="n">
        <f aca="false">INDEX(Summary!$F$2:$F$201,MATCH($B609,Summary!$A$2:$A$201,0))</f>
        <v>20</v>
      </c>
      <c r="M609" s="0" t="n">
        <f aca="false">INDEX(Summary!$I$2:$I$201,MATCH($B609,Summary!$A$2:$A$201,0))</f>
        <v>3</v>
      </c>
      <c r="N609" s="0" t="n">
        <f aca="false">INDEX(Summary!$J$2:$J$201,MATCH($B609,Summary!$A$2:$A$201,0))</f>
        <v>2</v>
      </c>
      <c r="O609" s="2" t="n">
        <f aca="false">INDEX(Summary!$K$2:$K$201,MATCH($B609,Summary!$A$2:$A$201,0))</f>
        <v>9.14</v>
      </c>
      <c r="P609" s="3" t="n">
        <f aca="false">INDEX(Summary!$L$2:$L$201,MATCH($B609,Summary!$A$2:$A$201,0))</f>
        <v>3</v>
      </c>
      <c r="Q609" s="3" t="n">
        <f aca="false">INDEX(Summary!$M$2:$M$201,MATCH($B609,Summary!$A$2:$A$201,0))</f>
        <v>3</v>
      </c>
      <c r="R609" s="2" t="n">
        <f aca="false">INDEX(Summary!$N$2:$N$201,MATCH($B609,Summary!$A$2:$A$201,0))</f>
        <v>10.06</v>
      </c>
      <c r="S609" s="3" t="n">
        <f aca="false">INDEX(Summary!$O$2:$O$201,MATCH($B609,Summary!$A$2:$A$201,0))</f>
        <v>8</v>
      </c>
      <c r="T609" s="3" t="n">
        <f aca="false">INDEX(Summary!$P$2:$P$201,MATCH($B609,Summary!$A$2:$A$201,0))</f>
        <v>1</v>
      </c>
      <c r="U609" s="2" t="n">
        <f aca="false">INDEX(Summary!$Q$2:$Q$201,MATCH($B609,Summary!$A$2:$A$201,0))</f>
        <v>12.21</v>
      </c>
      <c r="V609" s="2" t="n">
        <f aca="false">INDEX(Summary!$R$2:$R$201,MATCH($B609,Summary!$A$2:$A$201,0))</f>
        <v>26.28</v>
      </c>
      <c r="W609" s="0" t="str">
        <f aca="false">INDEX(Summary!$S$2:$S$201,MATCH($B609,Summary!$A$2:$A$201,0))</f>
        <v>Silver</v>
      </c>
      <c r="X609" s="2" t="n">
        <f aca="false">INDEX(Summary!$T$2:$T$201,MATCH($B609,Summary!$A$2:$A$201,0))</f>
        <v>64.1</v>
      </c>
      <c r="Y609" s="0" t="str">
        <f aca="false">INDEX('Reward Model'!$E$18:$E$37,MATCH($E609,'Reward Model'!$A$18:$A$37,0))</f>
        <v>Medium</v>
      </c>
      <c r="Z609" s="4" t="n">
        <f aca="false">ROUND(MIN(1,MAX('Reward Model'!$B$2,INDEX('Reward Model'!$C$12:$C$14,MATCH($K609,'Reward Model'!$A$12:$A$14,0))/$J609)),3)</f>
        <v>1</v>
      </c>
      <c r="AA609" s="2" t="n">
        <f aca="false">IF($I609="Correct",ROUND(INDEX('Reward Model'!$B$12:$B$14,MATCH($K609,'Reward Model'!$A$12:$A$14,0))*Z609,2),0)</f>
        <v>1</v>
      </c>
      <c r="AB609" s="2" t="n">
        <f aca="false">IF($I609="Correct",ROUND(INDEX('Reward Model'!$B$12:$B$14,MATCH($Y609,'Reward Model'!$A$12:$A$14,0))*Z609,2),0)</f>
        <v>2</v>
      </c>
    </row>
    <row r="610" customFormat="false" ht="15" hidden="false" customHeight="false" outlineLevel="0" collapsed="false">
      <c r="A610" s="0" t="s">
        <v>187</v>
      </c>
      <c r="B610" s="0" t="s">
        <v>188</v>
      </c>
      <c r="C610" s="0" t="s">
        <v>30</v>
      </c>
      <c r="D610" s="0" t="s">
        <v>189</v>
      </c>
      <c r="E610" s="0" t="n">
        <v>9</v>
      </c>
      <c r="F610" s="0" t="s">
        <v>55</v>
      </c>
      <c r="G610" s="0" t="s">
        <v>57</v>
      </c>
      <c r="H610" s="0" t="s">
        <v>57</v>
      </c>
      <c r="I610" s="0" t="s">
        <v>34</v>
      </c>
      <c r="J610" s="0" t="n">
        <v>1.81</v>
      </c>
      <c r="K610" s="0" t="s">
        <v>35</v>
      </c>
      <c r="L610" s="0" t="n">
        <f aca="false">INDEX(Summary!$F$2:$F$201,MATCH($B610,Summary!$A$2:$A$201,0))</f>
        <v>20</v>
      </c>
      <c r="M610" s="0" t="n">
        <f aca="false">INDEX(Summary!$I$2:$I$201,MATCH($B610,Summary!$A$2:$A$201,0))</f>
        <v>3</v>
      </c>
      <c r="N610" s="0" t="n">
        <f aca="false">INDEX(Summary!$J$2:$J$201,MATCH($B610,Summary!$A$2:$A$201,0))</f>
        <v>2</v>
      </c>
      <c r="O610" s="2" t="n">
        <f aca="false">INDEX(Summary!$K$2:$K$201,MATCH($B610,Summary!$A$2:$A$201,0))</f>
        <v>9.14</v>
      </c>
      <c r="P610" s="3" t="n">
        <f aca="false">INDEX(Summary!$L$2:$L$201,MATCH($B610,Summary!$A$2:$A$201,0))</f>
        <v>3</v>
      </c>
      <c r="Q610" s="3" t="n">
        <f aca="false">INDEX(Summary!$M$2:$M$201,MATCH($B610,Summary!$A$2:$A$201,0))</f>
        <v>3</v>
      </c>
      <c r="R610" s="2" t="n">
        <f aca="false">INDEX(Summary!$N$2:$N$201,MATCH($B610,Summary!$A$2:$A$201,0))</f>
        <v>10.06</v>
      </c>
      <c r="S610" s="3" t="n">
        <f aca="false">INDEX(Summary!$O$2:$O$201,MATCH($B610,Summary!$A$2:$A$201,0))</f>
        <v>8</v>
      </c>
      <c r="T610" s="3" t="n">
        <f aca="false">INDEX(Summary!$P$2:$P$201,MATCH($B610,Summary!$A$2:$A$201,0))</f>
        <v>1</v>
      </c>
      <c r="U610" s="2" t="n">
        <f aca="false">INDEX(Summary!$Q$2:$Q$201,MATCH($B610,Summary!$A$2:$A$201,0))</f>
        <v>12.21</v>
      </c>
      <c r="V610" s="2" t="n">
        <f aca="false">INDEX(Summary!$R$2:$R$201,MATCH($B610,Summary!$A$2:$A$201,0))</f>
        <v>26.28</v>
      </c>
      <c r="W610" s="0" t="str">
        <f aca="false">INDEX(Summary!$S$2:$S$201,MATCH($B610,Summary!$A$2:$A$201,0))</f>
        <v>Silver</v>
      </c>
      <c r="X610" s="2" t="n">
        <f aca="false">INDEX(Summary!$T$2:$T$201,MATCH($B610,Summary!$A$2:$A$201,0))</f>
        <v>64.1</v>
      </c>
      <c r="Y610" s="0" t="str">
        <f aca="false">INDEX('Reward Model'!$E$18:$E$37,MATCH($E610,'Reward Model'!$A$18:$A$37,0))</f>
        <v>Medium</v>
      </c>
      <c r="Z610" s="4" t="n">
        <f aca="false">ROUND(MIN(1,MAX('Reward Model'!$B$2,INDEX('Reward Model'!$C$12:$C$14,MATCH($K610,'Reward Model'!$A$12:$A$14,0))/$J610)),3)</f>
        <v>0.829</v>
      </c>
      <c r="AA610" s="2" t="n">
        <f aca="false">IF($I610="Correct",ROUND(INDEX('Reward Model'!$B$12:$B$14,MATCH($K610,'Reward Model'!$A$12:$A$14,0))*Z610,2),0)</f>
        <v>0.83</v>
      </c>
      <c r="AB610" s="2" t="n">
        <f aca="false">IF($I610="Correct",ROUND(INDEX('Reward Model'!$B$12:$B$14,MATCH($Y610,'Reward Model'!$A$12:$A$14,0))*Z610,2),0)</f>
        <v>1.66</v>
      </c>
    </row>
    <row r="611" customFormat="false" ht="15" hidden="false" customHeight="false" outlineLevel="0" collapsed="false">
      <c r="A611" s="0" t="s">
        <v>187</v>
      </c>
      <c r="B611" s="0" t="s">
        <v>188</v>
      </c>
      <c r="C611" s="0" t="s">
        <v>30</v>
      </c>
      <c r="D611" s="0" t="s">
        <v>189</v>
      </c>
      <c r="E611" s="0" t="n">
        <v>10</v>
      </c>
      <c r="F611" s="0" t="s">
        <v>58</v>
      </c>
      <c r="G611" s="0" t="s">
        <v>138</v>
      </c>
      <c r="H611" s="0" t="s">
        <v>59</v>
      </c>
      <c r="I611" s="0" t="s">
        <v>39</v>
      </c>
      <c r="J611" s="0" t="n">
        <v>1.41</v>
      </c>
      <c r="K611" s="0" t="s">
        <v>60</v>
      </c>
      <c r="L611" s="0" t="n">
        <f aca="false">INDEX(Summary!$F$2:$F$201,MATCH($B611,Summary!$A$2:$A$201,0))</f>
        <v>20</v>
      </c>
      <c r="M611" s="0" t="n">
        <f aca="false">INDEX(Summary!$I$2:$I$201,MATCH($B611,Summary!$A$2:$A$201,0))</f>
        <v>3</v>
      </c>
      <c r="N611" s="0" t="n">
        <f aca="false">INDEX(Summary!$J$2:$J$201,MATCH($B611,Summary!$A$2:$A$201,0))</f>
        <v>2</v>
      </c>
      <c r="O611" s="2" t="n">
        <f aca="false">INDEX(Summary!$K$2:$K$201,MATCH($B611,Summary!$A$2:$A$201,0))</f>
        <v>9.14</v>
      </c>
      <c r="P611" s="3" t="n">
        <f aca="false">INDEX(Summary!$L$2:$L$201,MATCH($B611,Summary!$A$2:$A$201,0))</f>
        <v>3</v>
      </c>
      <c r="Q611" s="3" t="n">
        <f aca="false">INDEX(Summary!$M$2:$M$201,MATCH($B611,Summary!$A$2:$A$201,0))</f>
        <v>3</v>
      </c>
      <c r="R611" s="2" t="n">
        <f aca="false">INDEX(Summary!$N$2:$N$201,MATCH($B611,Summary!$A$2:$A$201,0))</f>
        <v>10.06</v>
      </c>
      <c r="S611" s="3" t="n">
        <f aca="false">INDEX(Summary!$O$2:$O$201,MATCH($B611,Summary!$A$2:$A$201,0))</f>
        <v>8</v>
      </c>
      <c r="T611" s="3" t="n">
        <f aca="false">INDEX(Summary!$P$2:$P$201,MATCH($B611,Summary!$A$2:$A$201,0))</f>
        <v>1</v>
      </c>
      <c r="U611" s="2" t="n">
        <f aca="false">INDEX(Summary!$Q$2:$Q$201,MATCH($B611,Summary!$A$2:$A$201,0))</f>
        <v>12.21</v>
      </c>
      <c r="V611" s="2" t="n">
        <f aca="false">INDEX(Summary!$R$2:$R$201,MATCH($B611,Summary!$A$2:$A$201,0))</f>
        <v>26.28</v>
      </c>
      <c r="W611" s="0" t="str">
        <f aca="false">INDEX(Summary!$S$2:$S$201,MATCH($B611,Summary!$A$2:$A$201,0))</f>
        <v>Silver</v>
      </c>
      <c r="X611" s="2" t="n">
        <f aca="false">INDEX(Summary!$T$2:$T$201,MATCH($B611,Summary!$A$2:$A$201,0))</f>
        <v>64.1</v>
      </c>
      <c r="Y611" s="0" t="str">
        <f aca="false">INDEX('Reward Model'!$E$18:$E$37,MATCH($E611,'Reward Model'!$A$18:$A$37,0))</f>
        <v>Medium</v>
      </c>
      <c r="Z611" s="4" t="n">
        <f aca="false">ROUND(MIN(1,MAX('Reward Model'!$B$2,INDEX('Reward Model'!$C$12:$C$14,MATCH($K611,'Reward Model'!$A$12:$A$14,0))/$J611)),3)</f>
        <v>1</v>
      </c>
      <c r="AA611" s="2" t="n">
        <f aca="false">IF($I611="Correct",ROUND(INDEX('Reward Model'!$B$12:$B$14,MATCH($K611,'Reward Model'!$A$12:$A$14,0))*Z611,2),0)</f>
        <v>0</v>
      </c>
      <c r="AB611" s="2" t="n">
        <f aca="false">IF($I611="Correct",ROUND(INDEX('Reward Model'!$B$12:$B$14,MATCH($Y611,'Reward Model'!$A$12:$A$14,0))*Z611,2),0)</f>
        <v>0</v>
      </c>
    </row>
    <row r="612" customFormat="false" ht="15" hidden="false" customHeight="false" outlineLevel="0" collapsed="false">
      <c r="A612" s="0" t="s">
        <v>187</v>
      </c>
      <c r="B612" s="0" t="s">
        <v>188</v>
      </c>
      <c r="C612" s="0" t="s">
        <v>30</v>
      </c>
      <c r="D612" s="0" t="s">
        <v>189</v>
      </c>
      <c r="E612" s="0" t="n">
        <v>11</v>
      </c>
      <c r="F612" s="0" t="s">
        <v>61</v>
      </c>
      <c r="G612" s="0" t="s">
        <v>63</v>
      </c>
      <c r="H612" s="0" t="s">
        <v>63</v>
      </c>
      <c r="I612" s="0" t="s">
        <v>34</v>
      </c>
      <c r="J612" s="0" t="n">
        <v>2.18</v>
      </c>
      <c r="K612" s="0" t="s">
        <v>60</v>
      </c>
      <c r="L612" s="0" t="n">
        <f aca="false">INDEX(Summary!$F$2:$F$201,MATCH($B612,Summary!$A$2:$A$201,0))</f>
        <v>20</v>
      </c>
      <c r="M612" s="0" t="n">
        <f aca="false">INDEX(Summary!$I$2:$I$201,MATCH($B612,Summary!$A$2:$A$201,0))</f>
        <v>3</v>
      </c>
      <c r="N612" s="0" t="n">
        <f aca="false">INDEX(Summary!$J$2:$J$201,MATCH($B612,Summary!$A$2:$A$201,0))</f>
        <v>2</v>
      </c>
      <c r="O612" s="2" t="n">
        <f aca="false">INDEX(Summary!$K$2:$K$201,MATCH($B612,Summary!$A$2:$A$201,0))</f>
        <v>9.14</v>
      </c>
      <c r="P612" s="3" t="n">
        <f aca="false">INDEX(Summary!$L$2:$L$201,MATCH($B612,Summary!$A$2:$A$201,0))</f>
        <v>3</v>
      </c>
      <c r="Q612" s="3" t="n">
        <f aca="false">INDEX(Summary!$M$2:$M$201,MATCH($B612,Summary!$A$2:$A$201,0))</f>
        <v>3</v>
      </c>
      <c r="R612" s="2" t="n">
        <f aca="false">INDEX(Summary!$N$2:$N$201,MATCH($B612,Summary!$A$2:$A$201,0))</f>
        <v>10.06</v>
      </c>
      <c r="S612" s="3" t="n">
        <f aca="false">INDEX(Summary!$O$2:$O$201,MATCH($B612,Summary!$A$2:$A$201,0))</f>
        <v>8</v>
      </c>
      <c r="T612" s="3" t="n">
        <f aca="false">INDEX(Summary!$P$2:$P$201,MATCH($B612,Summary!$A$2:$A$201,0))</f>
        <v>1</v>
      </c>
      <c r="U612" s="2" t="n">
        <f aca="false">INDEX(Summary!$Q$2:$Q$201,MATCH($B612,Summary!$A$2:$A$201,0))</f>
        <v>12.21</v>
      </c>
      <c r="V612" s="2" t="n">
        <f aca="false">INDEX(Summary!$R$2:$R$201,MATCH($B612,Summary!$A$2:$A$201,0))</f>
        <v>26.28</v>
      </c>
      <c r="W612" s="0" t="str">
        <f aca="false">INDEX(Summary!$S$2:$S$201,MATCH($B612,Summary!$A$2:$A$201,0))</f>
        <v>Silver</v>
      </c>
      <c r="X612" s="2" t="n">
        <f aca="false">INDEX(Summary!$T$2:$T$201,MATCH($B612,Summary!$A$2:$A$201,0))</f>
        <v>64.1</v>
      </c>
      <c r="Y612" s="0" t="str">
        <f aca="false">INDEX('Reward Model'!$E$18:$E$37,MATCH($E612,'Reward Model'!$A$18:$A$37,0))</f>
        <v>Medium</v>
      </c>
      <c r="Z612" s="4" t="n">
        <f aca="false">ROUND(MIN(1,MAX('Reward Model'!$B$2,INDEX('Reward Model'!$C$12:$C$14,MATCH($K612,'Reward Model'!$A$12:$A$14,0))/$J612)),3)</f>
        <v>0.826</v>
      </c>
      <c r="AA612" s="2" t="n">
        <f aca="false">IF($I612="Correct",ROUND(INDEX('Reward Model'!$B$12:$B$14,MATCH($K612,'Reward Model'!$A$12:$A$14,0))*Z612,2),0)</f>
        <v>1.65</v>
      </c>
      <c r="AB612" s="2" t="n">
        <f aca="false">IF($I612="Correct",ROUND(INDEX('Reward Model'!$B$12:$B$14,MATCH($Y612,'Reward Model'!$A$12:$A$14,0))*Z612,2),0)</f>
        <v>1.65</v>
      </c>
    </row>
    <row r="613" customFormat="false" ht="15" hidden="false" customHeight="false" outlineLevel="0" collapsed="false">
      <c r="A613" s="0" t="s">
        <v>187</v>
      </c>
      <c r="B613" s="0" t="s">
        <v>188</v>
      </c>
      <c r="C613" s="0" t="s">
        <v>30</v>
      </c>
      <c r="D613" s="0" t="s">
        <v>189</v>
      </c>
      <c r="E613" s="0" t="n">
        <v>12</v>
      </c>
      <c r="F613" s="0" t="s">
        <v>64</v>
      </c>
      <c r="G613" s="0" t="s">
        <v>112</v>
      </c>
      <c r="H613" s="0" t="s">
        <v>65</v>
      </c>
      <c r="I613" s="0" t="s">
        <v>39</v>
      </c>
      <c r="J613" s="0" t="n">
        <v>1.61</v>
      </c>
      <c r="K613" s="0" t="s">
        <v>60</v>
      </c>
      <c r="L613" s="0" t="n">
        <f aca="false">INDEX(Summary!$F$2:$F$201,MATCH($B613,Summary!$A$2:$A$201,0))</f>
        <v>20</v>
      </c>
      <c r="M613" s="0" t="n">
        <f aca="false">INDEX(Summary!$I$2:$I$201,MATCH($B613,Summary!$A$2:$A$201,0))</f>
        <v>3</v>
      </c>
      <c r="N613" s="0" t="n">
        <f aca="false">INDEX(Summary!$J$2:$J$201,MATCH($B613,Summary!$A$2:$A$201,0))</f>
        <v>2</v>
      </c>
      <c r="O613" s="2" t="n">
        <f aca="false">INDEX(Summary!$K$2:$K$201,MATCH($B613,Summary!$A$2:$A$201,0))</f>
        <v>9.14</v>
      </c>
      <c r="P613" s="3" t="n">
        <f aca="false">INDEX(Summary!$L$2:$L$201,MATCH($B613,Summary!$A$2:$A$201,0))</f>
        <v>3</v>
      </c>
      <c r="Q613" s="3" t="n">
        <f aca="false">INDEX(Summary!$M$2:$M$201,MATCH($B613,Summary!$A$2:$A$201,0))</f>
        <v>3</v>
      </c>
      <c r="R613" s="2" t="n">
        <f aca="false">INDEX(Summary!$N$2:$N$201,MATCH($B613,Summary!$A$2:$A$201,0))</f>
        <v>10.06</v>
      </c>
      <c r="S613" s="3" t="n">
        <f aca="false">INDEX(Summary!$O$2:$O$201,MATCH($B613,Summary!$A$2:$A$201,0))</f>
        <v>8</v>
      </c>
      <c r="T613" s="3" t="n">
        <f aca="false">INDEX(Summary!$P$2:$P$201,MATCH($B613,Summary!$A$2:$A$201,0))</f>
        <v>1</v>
      </c>
      <c r="U613" s="2" t="n">
        <f aca="false">INDEX(Summary!$Q$2:$Q$201,MATCH($B613,Summary!$A$2:$A$201,0))</f>
        <v>12.21</v>
      </c>
      <c r="V613" s="2" t="n">
        <f aca="false">INDEX(Summary!$R$2:$R$201,MATCH($B613,Summary!$A$2:$A$201,0))</f>
        <v>26.28</v>
      </c>
      <c r="W613" s="0" t="str">
        <f aca="false">INDEX(Summary!$S$2:$S$201,MATCH($B613,Summary!$A$2:$A$201,0))</f>
        <v>Silver</v>
      </c>
      <c r="X613" s="2" t="n">
        <f aca="false">INDEX(Summary!$T$2:$T$201,MATCH($B613,Summary!$A$2:$A$201,0))</f>
        <v>64.1</v>
      </c>
      <c r="Y613" s="0" t="str">
        <f aca="false">INDEX('Reward Model'!$E$18:$E$37,MATCH($E613,'Reward Model'!$A$18:$A$37,0))</f>
        <v>Medium</v>
      </c>
      <c r="Z613" s="4" t="n">
        <f aca="false">ROUND(MIN(1,MAX('Reward Model'!$B$2,INDEX('Reward Model'!$C$12:$C$14,MATCH($K613,'Reward Model'!$A$12:$A$14,0))/$J613)),3)</f>
        <v>1</v>
      </c>
      <c r="AA613" s="2" t="n">
        <f aca="false">IF($I613="Correct",ROUND(INDEX('Reward Model'!$B$12:$B$14,MATCH($K613,'Reward Model'!$A$12:$A$14,0))*Z613,2),0)</f>
        <v>0</v>
      </c>
      <c r="AB613" s="2" t="n">
        <f aca="false">IF($I613="Correct",ROUND(INDEX('Reward Model'!$B$12:$B$14,MATCH($Y613,'Reward Model'!$A$12:$A$14,0))*Z613,2),0)</f>
        <v>0</v>
      </c>
    </row>
    <row r="614" customFormat="false" ht="15" hidden="false" customHeight="false" outlineLevel="0" collapsed="false">
      <c r="A614" s="0" t="s">
        <v>187</v>
      </c>
      <c r="B614" s="0" t="s">
        <v>188</v>
      </c>
      <c r="C614" s="0" t="s">
        <v>30</v>
      </c>
      <c r="D614" s="0" t="s">
        <v>189</v>
      </c>
      <c r="E614" s="0" t="n">
        <v>13</v>
      </c>
      <c r="F614" s="0" t="s">
        <v>66</v>
      </c>
      <c r="G614" s="0" t="s">
        <v>67</v>
      </c>
      <c r="H614" s="0" t="s">
        <v>67</v>
      </c>
      <c r="I614" s="0" t="s">
        <v>34</v>
      </c>
      <c r="J614" s="0" t="n">
        <v>2.26</v>
      </c>
      <c r="K614" s="0" t="s">
        <v>60</v>
      </c>
      <c r="L614" s="0" t="n">
        <f aca="false">INDEX(Summary!$F$2:$F$201,MATCH($B614,Summary!$A$2:$A$201,0))</f>
        <v>20</v>
      </c>
      <c r="M614" s="0" t="n">
        <f aca="false">INDEX(Summary!$I$2:$I$201,MATCH($B614,Summary!$A$2:$A$201,0))</f>
        <v>3</v>
      </c>
      <c r="N614" s="0" t="n">
        <f aca="false">INDEX(Summary!$J$2:$J$201,MATCH($B614,Summary!$A$2:$A$201,0))</f>
        <v>2</v>
      </c>
      <c r="O614" s="2" t="n">
        <f aca="false">INDEX(Summary!$K$2:$K$201,MATCH($B614,Summary!$A$2:$A$201,0))</f>
        <v>9.14</v>
      </c>
      <c r="P614" s="3" t="n">
        <f aca="false">INDEX(Summary!$L$2:$L$201,MATCH($B614,Summary!$A$2:$A$201,0))</f>
        <v>3</v>
      </c>
      <c r="Q614" s="3" t="n">
        <f aca="false">INDEX(Summary!$M$2:$M$201,MATCH($B614,Summary!$A$2:$A$201,0))</f>
        <v>3</v>
      </c>
      <c r="R614" s="2" t="n">
        <f aca="false">INDEX(Summary!$N$2:$N$201,MATCH($B614,Summary!$A$2:$A$201,0))</f>
        <v>10.06</v>
      </c>
      <c r="S614" s="3" t="n">
        <f aca="false">INDEX(Summary!$O$2:$O$201,MATCH($B614,Summary!$A$2:$A$201,0))</f>
        <v>8</v>
      </c>
      <c r="T614" s="3" t="n">
        <f aca="false">INDEX(Summary!$P$2:$P$201,MATCH($B614,Summary!$A$2:$A$201,0))</f>
        <v>1</v>
      </c>
      <c r="U614" s="2" t="n">
        <f aca="false">INDEX(Summary!$Q$2:$Q$201,MATCH($B614,Summary!$A$2:$A$201,0))</f>
        <v>12.21</v>
      </c>
      <c r="V614" s="2" t="n">
        <f aca="false">INDEX(Summary!$R$2:$R$201,MATCH($B614,Summary!$A$2:$A$201,0))</f>
        <v>26.28</v>
      </c>
      <c r="W614" s="0" t="str">
        <f aca="false">INDEX(Summary!$S$2:$S$201,MATCH($B614,Summary!$A$2:$A$201,0))</f>
        <v>Silver</v>
      </c>
      <c r="X614" s="2" t="n">
        <f aca="false">INDEX(Summary!$T$2:$T$201,MATCH($B614,Summary!$A$2:$A$201,0))</f>
        <v>64.1</v>
      </c>
      <c r="Y614" s="0" t="str">
        <f aca="false">INDEX('Reward Model'!$E$18:$E$37,MATCH($E614,'Reward Model'!$A$18:$A$37,0))</f>
        <v>Medium</v>
      </c>
      <c r="Z614" s="4" t="n">
        <f aca="false">ROUND(MIN(1,MAX('Reward Model'!$B$2,INDEX('Reward Model'!$C$12:$C$14,MATCH($K614,'Reward Model'!$A$12:$A$14,0))/$J614)),3)</f>
        <v>0.796</v>
      </c>
      <c r="AA614" s="2" t="n">
        <f aca="false">IF($I614="Correct",ROUND(INDEX('Reward Model'!$B$12:$B$14,MATCH($K614,'Reward Model'!$A$12:$A$14,0))*Z614,2),0)</f>
        <v>1.59</v>
      </c>
      <c r="AB614" s="2" t="n">
        <f aca="false">IF($I614="Correct",ROUND(INDEX('Reward Model'!$B$12:$B$14,MATCH($Y614,'Reward Model'!$A$12:$A$14,0))*Z614,2),0)</f>
        <v>1.59</v>
      </c>
    </row>
    <row r="615" customFormat="false" ht="15" hidden="false" customHeight="false" outlineLevel="0" collapsed="false">
      <c r="A615" s="0" t="s">
        <v>187</v>
      </c>
      <c r="B615" s="0" t="s">
        <v>188</v>
      </c>
      <c r="C615" s="0" t="s">
        <v>30</v>
      </c>
      <c r="D615" s="0" t="s">
        <v>189</v>
      </c>
      <c r="E615" s="0" t="n">
        <v>14</v>
      </c>
      <c r="F615" s="0" t="s">
        <v>68</v>
      </c>
      <c r="G615" s="0" t="s">
        <v>51</v>
      </c>
      <c r="H615" s="0" t="s">
        <v>51</v>
      </c>
      <c r="I615" s="0" t="s">
        <v>34</v>
      </c>
      <c r="J615" s="0" t="n">
        <v>1.38</v>
      </c>
      <c r="K615" s="0" t="s">
        <v>60</v>
      </c>
      <c r="L615" s="0" t="n">
        <f aca="false">INDEX(Summary!$F$2:$F$201,MATCH($B615,Summary!$A$2:$A$201,0))</f>
        <v>20</v>
      </c>
      <c r="M615" s="0" t="n">
        <f aca="false">INDEX(Summary!$I$2:$I$201,MATCH($B615,Summary!$A$2:$A$201,0))</f>
        <v>3</v>
      </c>
      <c r="N615" s="0" t="n">
        <f aca="false">INDEX(Summary!$J$2:$J$201,MATCH($B615,Summary!$A$2:$A$201,0))</f>
        <v>2</v>
      </c>
      <c r="O615" s="2" t="n">
        <f aca="false">INDEX(Summary!$K$2:$K$201,MATCH($B615,Summary!$A$2:$A$201,0))</f>
        <v>9.14</v>
      </c>
      <c r="P615" s="3" t="n">
        <f aca="false">INDEX(Summary!$L$2:$L$201,MATCH($B615,Summary!$A$2:$A$201,0))</f>
        <v>3</v>
      </c>
      <c r="Q615" s="3" t="n">
        <f aca="false">INDEX(Summary!$M$2:$M$201,MATCH($B615,Summary!$A$2:$A$201,0))</f>
        <v>3</v>
      </c>
      <c r="R615" s="2" t="n">
        <f aca="false">INDEX(Summary!$N$2:$N$201,MATCH($B615,Summary!$A$2:$A$201,0))</f>
        <v>10.06</v>
      </c>
      <c r="S615" s="3" t="n">
        <f aca="false">INDEX(Summary!$O$2:$O$201,MATCH($B615,Summary!$A$2:$A$201,0))</f>
        <v>8</v>
      </c>
      <c r="T615" s="3" t="n">
        <f aca="false">INDEX(Summary!$P$2:$P$201,MATCH($B615,Summary!$A$2:$A$201,0))</f>
        <v>1</v>
      </c>
      <c r="U615" s="2" t="n">
        <f aca="false">INDEX(Summary!$Q$2:$Q$201,MATCH($B615,Summary!$A$2:$A$201,0))</f>
        <v>12.21</v>
      </c>
      <c r="V615" s="2" t="n">
        <f aca="false">INDEX(Summary!$R$2:$R$201,MATCH($B615,Summary!$A$2:$A$201,0))</f>
        <v>26.28</v>
      </c>
      <c r="W615" s="0" t="str">
        <f aca="false">INDEX(Summary!$S$2:$S$201,MATCH($B615,Summary!$A$2:$A$201,0))</f>
        <v>Silver</v>
      </c>
      <c r="X615" s="2" t="n">
        <f aca="false">INDEX(Summary!$T$2:$T$201,MATCH($B615,Summary!$A$2:$A$201,0))</f>
        <v>64.1</v>
      </c>
      <c r="Y615" s="0" t="str">
        <f aca="false">INDEX('Reward Model'!$E$18:$E$37,MATCH($E615,'Reward Model'!$A$18:$A$37,0))</f>
        <v>Medium</v>
      </c>
      <c r="Z615" s="4" t="n">
        <f aca="false">ROUND(MIN(1,MAX('Reward Model'!$B$2,INDEX('Reward Model'!$C$12:$C$14,MATCH($K615,'Reward Model'!$A$12:$A$14,0))/$J615)),3)</f>
        <v>1</v>
      </c>
      <c r="AA615" s="2" t="n">
        <f aca="false">IF($I615="Correct",ROUND(INDEX('Reward Model'!$B$12:$B$14,MATCH($K615,'Reward Model'!$A$12:$A$14,0))*Z615,2),0)</f>
        <v>2</v>
      </c>
      <c r="AB615" s="2" t="n">
        <f aca="false">IF($I615="Correct",ROUND(INDEX('Reward Model'!$B$12:$B$14,MATCH($Y615,'Reward Model'!$A$12:$A$14,0))*Z615,2),0)</f>
        <v>2</v>
      </c>
    </row>
    <row r="616" customFormat="false" ht="15" hidden="false" customHeight="false" outlineLevel="0" collapsed="false">
      <c r="A616" s="0" t="s">
        <v>187</v>
      </c>
      <c r="B616" s="0" t="s">
        <v>188</v>
      </c>
      <c r="C616" s="0" t="s">
        <v>30</v>
      </c>
      <c r="D616" s="0" t="s">
        <v>189</v>
      </c>
      <c r="E616" s="0" t="n">
        <v>15</v>
      </c>
      <c r="F616" s="0" t="s">
        <v>69</v>
      </c>
      <c r="G616" s="0" t="s">
        <v>131</v>
      </c>
      <c r="H616" s="0" t="s">
        <v>70</v>
      </c>
      <c r="I616" s="0" t="s">
        <v>39</v>
      </c>
      <c r="J616" s="0" t="n">
        <v>1.22</v>
      </c>
      <c r="K616" s="0" t="s">
        <v>60</v>
      </c>
      <c r="L616" s="0" t="n">
        <f aca="false">INDEX(Summary!$F$2:$F$201,MATCH($B616,Summary!$A$2:$A$201,0))</f>
        <v>20</v>
      </c>
      <c r="M616" s="0" t="n">
        <f aca="false">INDEX(Summary!$I$2:$I$201,MATCH($B616,Summary!$A$2:$A$201,0))</f>
        <v>3</v>
      </c>
      <c r="N616" s="0" t="n">
        <f aca="false">INDEX(Summary!$J$2:$J$201,MATCH($B616,Summary!$A$2:$A$201,0))</f>
        <v>2</v>
      </c>
      <c r="O616" s="2" t="n">
        <f aca="false">INDEX(Summary!$K$2:$K$201,MATCH($B616,Summary!$A$2:$A$201,0))</f>
        <v>9.14</v>
      </c>
      <c r="P616" s="3" t="n">
        <f aca="false">INDEX(Summary!$L$2:$L$201,MATCH($B616,Summary!$A$2:$A$201,0))</f>
        <v>3</v>
      </c>
      <c r="Q616" s="3" t="n">
        <f aca="false">INDEX(Summary!$M$2:$M$201,MATCH($B616,Summary!$A$2:$A$201,0))</f>
        <v>3</v>
      </c>
      <c r="R616" s="2" t="n">
        <f aca="false">INDEX(Summary!$N$2:$N$201,MATCH($B616,Summary!$A$2:$A$201,0))</f>
        <v>10.06</v>
      </c>
      <c r="S616" s="3" t="n">
        <f aca="false">INDEX(Summary!$O$2:$O$201,MATCH($B616,Summary!$A$2:$A$201,0))</f>
        <v>8</v>
      </c>
      <c r="T616" s="3" t="n">
        <f aca="false">INDEX(Summary!$P$2:$P$201,MATCH($B616,Summary!$A$2:$A$201,0))</f>
        <v>1</v>
      </c>
      <c r="U616" s="2" t="n">
        <f aca="false">INDEX(Summary!$Q$2:$Q$201,MATCH($B616,Summary!$A$2:$A$201,0))</f>
        <v>12.21</v>
      </c>
      <c r="V616" s="2" t="n">
        <f aca="false">INDEX(Summary!$R$2:$R$201,MATCH($B616,Summary!$A$2:$A$201,0))</f>
        <v>26.28</v>
      </c>
      <c r="W616" s="0" t="str">
        <f aca="false">INDEX(Summary!$S$2:$S$201,MATCH($B616,Summary!$A$2:$A$201,0))</f>
        <v>Silver</v>
      </c>
      <c r="X616" s="2" t="n">
        <f aca="false">INDEX(Summary!$T$2:$T$201,MATCH($B616,Summary!$A$2:$A$201,0))</f>
        <v>64.1</v>
      </c>
      <c r="Y616" s="0" t="str">
        <f aca="false">INDEX('Reward Model'!$E$18:$E$37,MATCH($E616,'Reward Model'!$A$18:$A$37,0))</f>
        <v>Medium</v>
      </c>
      <c r="Z616" s="4" t="n">
        <f aca="false">ROUND(MIN(1,MAX('Reward Model'!$B$2,INDEX('Reward Model'!$C$12:$C$14,MATCH($K616,'Reward Model'!$A$12:$A$14,0))/$J616)),3)</f>
        <v>1</v>
      </c>
      <c r="AA616" s="2" t="n">
        <f aca="false">IF($I616="Correct",ROUND(INDEX('Reward Model'!$B$12:$B$14,MATCH($K616,'Reward Model'!$A$12:$A$14,0))*Z616,2),0)</f>
        <v>0</v>
      </c>
      <c r="AB616" s="2" t="n">
        <f aca="false">IF($I616="Correct",ROUND(INDEX('Reward Model'!$B$12:$B$14,MATCH($Y616,'Reward Model'!$A$12:$A$14,0))*Z616,2),0)</f>
        <v>0</v>
      </c>
    </row>
    <row r="617" customFormat="false" ht="15" hidden="false" customHeight="false" outlineLevel="0" collapsed="false">
      <c r="A617" s="0" t="s">
        <v>187</v>
      </c>
      <c r="B617" s="0" t="s">
        <v>188</v>
      </c>
      <c r="C617" s="0" t="s">
        <v>30</v>
      </c>
      <c r="D617" s="0" t="s">
        <v>189</v>
      </c>
      <c r="E617" s="0" t="n">
        <v>16</v>
      </c>
      <c r="F617" s="0" t="s">
        <v>71</v>
      </c>
      <c r="G617" s="0" t="s">
        <v>101</v>
      </c>
      <c r="H617" s="0" t="s">
        <v>72</v>
      </c>
      <c r="I617" s="0" t="s">
        <v>39</v>
      </c>
      <c r="J617" s="0" t="n">
        <v>1.78</v>
      </c>
      <c r="K617" s="0" t="s">
        <v>73</v>
      </c>
      <c r="L617" s="0" t="n">
        <f aca="false">INDEX(Summary!$F$2:$F$201,MATCH($B617,Summary!$A$2:$A$201,0))</f>
        <v>20</v>
      </c>
      <c r="M617" s="0" t="n">
        <f aca="false">INDEX(Summary!$I$2:$I$201,MATCH($B617,Summary!$A$2:$A$201,0))</f>
        <v>3</v>
      </c>
      <c r="N617" s="0" t="n">
        <f aca="false">INDEX(Summary!$J$2:$J$201,MATCH($B617,Summary!$A$2:$A$201,0))</f>
        <v>2</v>
      </c>
      <c r="O617" s="2" t="n">
        <f aca="false">INDEX(Summary!$K$2:$K$201,MATCH($B617,Summary!$A$2:$A$201,0))</f>
        <v>9.14</v>
      </c>
      <c r="P617" s="3" t="n">
        <f aca="false">INDEX(Summary!$L$2:$L$201,MATCH($B617,Summary!$A$2:$A$201,0))</f>
        <v>3</v>
      </c>
      <c r="Q617" s="3" t="n">
        <f aca="false">INDEX(Summary!$M$2:$M$201,MATCH($B617,Summary!$A$2:$A$201,0))</f>
        <v>3</v>
      </c>
      <c r="R617" s="2" t="n">
        <f aca="false">INDEX(Summary!$N$2:$N$201,MATCH($B617,Summary!$A$2:$A$201,0))</f>
        <v>10.06</v>
      </c>
      <c r="S617" s="3" t="n">
        <f aca="false">INDEX(Summary!$O$2:$O$201,MATCH($B617,Summary!$A$2:$A$201,0))</f>
        <v>8</v>
      </c>
      <c r="T617" s="3" t="n">
        <f aca="false">INDEX(Summary!$P$2:$P$201,MATCH($B617,Summary!$A$2:$A$201,0))</f>
        <v>1</v>
      </c>
      <c r="U617" s="2" t="n">
        <f aca="false">INDEX(Summary!$Q$2:$Q$201,MATCH($B617,Summary!$A$2:$A$201,0))</f>
        <v>12.21</v>
      </c>
      <c r="V617" s="2" t="n">
        <f aca="false">INDEX(Summary!$R$2:$R$201,MATCH($B617,Summary!$A$2:$A$201,0))</f>
        <v>26.28</v>
      </c>
      <c r="W617" s="0" t="str">
        <f aca="false">INDEX(Summary!$S$2:$S$201,MATCH($B617,Summary!$A$2:$A$201,0))</f>
        <v>Silver</v>
      </c>
      <c r="X617" s="2" t="n">
        <f aca="false">INDEX(Summary!$T$2:$T$201,MATCH($B617,Summary!$A$2:$A$201,0))</f>
        <v>64.1</v>
      </c>
      <c r="Y617" s="0" t="str">
        <f aca="false">INDEX('Reward Model'!$E$18:$E$37,MATCH($E617,'Reward Model'!$A$18:$A$37,0))</f>
        <v>High</v>
      </c>
      <c r="Z617" s="4" t="n">
        <f aca="false">ROUND(MIN(1,MAX('Reward Model'!$B$2,INDEX('Reward Model'!$C$12:$C$14,MATCH($K617,'Reward Model'!$A$12:$A$14,0))/$J617)),3)</f>
        <v>1</v>
      </c>
      <c r="AA617" s="2" t="n">
        <f aca="false">IF($I617="Correct",ROUND(INDEX('Reward Model'!$B$12:$B$14,MATCH($K617,'Reward Model'!$A$12:$A$14,0))*Z617,2),0)</f>
        <v>0</v>
      </c>
      <c r="AB617" s="2" t="n">
        <f aca="false">IF($I617="Correct",ROUND(INDEX('Reward Model'!$B$12:$B$14,MATCH($Y617,'Reward Model'!$A$12:$A$14,0))*Z617,2),0)</f>
        <v>0</v>
      </c>
    </row>
    <row r="618" customFormat="false" ht="15" hidden="false" customHeight="false" outlineLevel="0" collapsed="false">
      <c r="A618" s="0" t="s">
        <v>187</v>
      </c>
      <c r="B618" s="0" t="s">
        <v>188</v>
      </c>
      <c r="C618" s="0" t="s">
        <v>30</v>
      </c>
      <c r="D618" s="0" t="s">
        <v>189</v>
      </c>
      <c r="E618" s="0" t="n">
        <v>17</v>
      </c>
      <c r="F618" s="0" t="s">
        <v>74</v>
      </c>
      <c r="G618" s="0" t="s">
        <v>113</v>
      </c>
      <c r="H618" s="0" t="s">
        <v>75</v>
      </c>
      <c r="I618" s="0" t="s">
        <v>39</v>
      </c>
      <c r="J618" s="0" t="n">
        <v>1.41</v>
      </c>
      <c r="K618" s="0" t="s">
        <v>73</v>
      </c>
      <c r="L618" s="0" t="n">
        <f aca="false">INDEX(Summary!$F$2:$F$201,MATCH($B618,Summary!$A$2:$A$201,0))</f>
        <v>20</v>
      </c>
      <c r="M618" s="0" t="n">
        <f aca="false">INDEX(Summary!$I$2:$I$201,MATCH($B618,Summary!$A$2:$A$201,0))</f>
        <v>3</v>
      </c>
      <c r="N618" s="0" t="n">
        <f aca="false">INDEX(Summary!$J$2:$J$201,MATCH($B618,Summary!$A$2:$A$201,0))</f>
        <v>2</v>
      </c>
      <c r="O618" s="2" t="n">
        <f aca="false">INDEX(Summary!$K$2:$K$201,MATCH($B618,Summary!$A$2:$A$201,0))</f>
        <v>9.14</v>
      </c>
      <c r="P618" s="3" t="n">
        <f aca="false">INDEX(Summary!$L$2:$L$201,MATCH($B618,Summary!$A$2:$A$201,0))</f>
        <v>3</v>
      </c>
      <c r="Q618" s="3" t="n">
        <f aca="false">INDEX(Summary!$M$2:$M$201,MATCH($B618,Summary!$A$2:$A$201,0))</f>
        <v>3</v>
      </c>
      <c r="R618" s="2" t="n">
        <f aca="false">INDEX(Summary!$N$2:$N$201,MATCH($B618,Summary!$A$2:$A$201,0))</f>
        <v>10.06</v>
      </c>
      <c r="S618" s="3" t="n">
        <f aca="false">INDEX(Summary!$O$2:$O$201,MATCH($B618,Summary!$A$2:$A$201,0))</f>
        <v>8</v>
      </c>
      <c r="T618" s="3" t="n">
        <f aca="false">INDEX(Summary!$P$2:$P$201,MATCH($B618,Summary!$A$2:$A$201,0))</f>
        <v>1</v>
      </c>
      <c r="U618" s="2" t="n">
        <f aca="false">INDEX(Summary!$Q$2:$Q$201,MATCH($B618,Summary!$A$2:$A$201,0))</f>
        <v>12.21</v>
      </c>
      <c r="V618" s="2" t="n">
        <f aca="false">INDEX(Summary!$R$2:$R$201,MATCH($B618,Summary!$A$2:$A$201,0))</f>
        <v>26.28</v>
      </c>
      <c r="W618" s="0" t="str">
        <f aca="false">INDEX(Summary!$S$2:$S$201,MATCH($B618,Summary!$A$2:$A$201,0))</f>
        <v>Silver</v>
      </c>
      <c r="X618" s="2" t="n">
        <f aca="false">INDEX(Summary!$T$2:$T$201,MATCH($B618,Summary!$A$2:$A$201,0))</f>
        <v>64.1</v>
      </c>
      <c r="Y618" s="0" t="str">
        <f aca="false">INDEX('Reward Model'!$E$18:$E$37,MATCH($E618,'Reward Model'!$A$18:$A$37,0))</f>
        <v>High</v>
      </c>
      <c r="Z618" s="4" t="n">
        <f aca="false">ROUND(MIN(1,MAX('Reward Model'!$B$2,INDEX('Reward Model'!$C$12:$C$14,MATCH($K618,'Reward Model'!$A$12:$A$14,0))/$J618)),3)</f>
        <v>1</v>
      </c>
      <c r="AA618" s="2" t="n">
        <f aca="false">IF($I618="Correct",ROUND(INDEX('Reward Model'!$B$12:$B$14,MATCH($K618,'Reward Model'!$A$12:$A$14,0))*Z618,2),0)</f>
        <v>0</v>
      </c>
      <c r="AB618" s="2" t="n">
        <f aca="false">IF($I618="Correct",ROUND(INDEX('Reward Model'!$B$12:$B$14,MATCH($Y618,'Reward Model'!$A$12:$A$14,0))*Z618,2),0)</f>
        <v>0</v>
      </c>
    </row>
    <row r="619" customFormat="false" ht="15" hidden="false" customHeight="false" outlineLevel="0" collapsed="false">
      <c r="A619" s="0" t="s">
        <v>187</v>
      </c>
      <c r="B619" s="0" t="s">
        <v>188</v>
      </c>
      <c r="C619" s="0" t="s">
        <v>30</v>
      </c>
      <c r="D619" s="0" t="s">
        <v>189</v>
      </c>
      <c r="E619" s="0" t="n">
        <v>18</v>
      </c>
      <c r="F619" s="0" t="s">
        <v>76</v>
      </c>
      <c r="G619" s="0" t="s">
        <v>77</v>
      </c>
      <c r="H619" s="0" t="s">
        <v>77</v>
      </c>
      <c r="I619" s="0" t="s">
        <v>34</v>
      </c>
      <c r="J619" s="0" t="n">
        <v>2.46</v>
      </c>
      <c r="K619" s="0" t="s">
        <v>73</v>
      </c>
      <c r="L619" s="0" t="n">
        <f aca="false">INDEX(Summary!$F$2:$F$201,MATCH($B619,Summary!$A$2:$A$201,0))</f>
        <v>20</v>
      </c>
      <c r="M619" s="0" t="n">
        <f aca="false">INDEX(Summary!$I$2:$I$201,MATCH($B619,Summary!$A$2:$A$201,0))</f>
        <v>3</v>
      </c>
      <c r="N619" s="0" t="n">
        <f aca="false">INDEX(Summary!$J$2:$J$201,MATCH($B619,Summary!$A$2:$A$201,0))</f>
        <v>2</v>
      </c>
      <c r="O619" s="2" t="n">
        <f aca="false">INDEX(Summary!$K$2:$K$201,MATCH($B619,Summary!$A$2:$A$201,0))</f>
        <v>9.14</v>
      </c>
      <c r="P619" s="3" t="n">
        <f aca="false">INDEX(Summary!$L$2:$L$201,MATCH($B619,Summary!$A$2:$A$201,0))</f>
        <v>3</v>
      </c>
      <c r="Q619" s="3" t="n">
        <f aca="false">INDEX(Summary!$M$2:$M$201,MATCH($B619,Summary!$A$2:$A$201,0))</f>
        <v>3</v>
      </c>
      <c r="R619" s="2" t="n">
        <f aca="false">INDEX(Summary!$N$2:$N$201,MATCH($B619,Summary!$A$2:$A$201,0))</f>
        <v>10.06</v>
      </c>
      <c r="S619" s="3" t="n">
        <f aca="false">INDEX(Summary!$O$2:$O$201,MATCH($B619,Summary!$A$2:$A$201,0))</f>
        <v>8</v>
      </c>
      <c r="T619" s="3" t="n">
        <f aca="false">INDEX(Summary!$P$2:$P$201,MATCH($B619,Summary!$A$2:$A$201,0))</f>
        <v>1</v>
      </c>
      <c r="U619" s="2" t="n">
        <f aca="false">INDEX(Summary!$Q$2:$Q$201,MATCH($B619,Summary!$A$2:$A$201,0))</f>
        <v>12.21</v>
      </c>
      <c r="V619" s="2" t="n">
        <f aca="false">INDEX(Summary!$R$2:$R$201,MATCH($B619,Summary!$A$2:$A$201,0))</f>
        <v>26.28</v>
      </c>
      <c r="W619" s="0" t="str">
        <f aca="false">INDEX(Summary!$S$2:$S$201,MATCH($B619,Summary!$A$2:$A$201,0))</f>
        <v>Silver</v>
      </c>
      <c r="X619" s="2" t="n">
        <f aca="false">INDEX(Summary!$T$2:$T$201,MATCH($B619,Summary!$A$2:$A$201,0))</f>
        <v>64.1</v>
      </c>
      <c r="Y619" s="0" t="str">
        <f aca="false">INDEX('Reward Model'!$E$18:$E$37,MATCH($E619,'Reward Model'!$A$18:$A$37,0))</f>
        <v>High</v>
      </c>
      <c r="Z619" s="4" t="n">
        <f aca="false">ROUND(MIN(1,MAX('Reward Model'!$B$2,INDEX('Reward Model'!$C$12:$C$14,MATCH($K619,'Reward Model'!$A$12:$A$14,0))/$J619)),3)</f>
        <v>0.813</v>
      </c>
      <c r="AA619" s="2" t="n">
        <f aca="false">IF($I619="Correct",ROUND(INDEX('Reward Model'!$B$12:$B$14,MATCH($K619,'Reward Model'!$A$12:$A$14,0))*Z619,2),0)</f>
        <v>2.44</v>
      </c>
      <c r="AB619" s="2" t="n">
        <f aca="false">IF($I619="Correct",ROUND(INDEX('Reward Model'!$B$12:$B$14,MATCH($Y619,'Reward Model'!$A$12:$A$14,0))*Z619,2),0)</f>
        <v>2.44</v>
      </c>
    </row>
    <row r="620" customFormat="false" ht="15" hidden="false" customHeight="false" outlineLevel="0" collapsed="false">
      <c r="A620" s="0" t="s">
        <v>187</v>
      </c>
      <c r="B620" s="0" t="s">
        <v>188</v>
      </c>
      <c r="C620" s="0" t="s">
        <v>30</v>
      </c>
      <c r="D620" s="0" t="s">
        <v>189</v>
      </c>
      <c r="E620" s="0" t="n">
        <v>19</v>
      </c>
      <c r="F620" s="0" t="s">
        <v>78</v>
      </c>
      <c r="G620" s="0" t="s">
        <v>80</v>
      </c>
      <c r="H620" s="0" t="s">
        <v>80</v>
      </c>
      <c r="I620" s="0" t="s">
        <v>34</v>
      </c>
      <c r="J620" s="0" t="n">
        <v>1.64</v>
      </c>
      <c r="K620" s="0" t="s">
        <v>73</v>
      </c>
      <c r="L620" s="0" t="n">
        <f aca="false">INDEX(Summary!$F$2:$F$201,MATCH($B620,Summary!$A$2:$A$201,0))</f>
        <v>20</v>
      </c>
      <c r="M620" s="0" t="n">
        <f aca="false">INDEX(Summary!$I$2:$I$201,MATCH($B620,Summary!$A$2:$A$201,0))</f>
        <v>3</v>
      </c>
      <c r="N620" s="0" t="n">
        <f aca="false">INDEX(Summary!$J$2:$J$201,MATCH($B620,Summary!$A$2:$A$201,0))</f>
        <v>2</v>
      </c>
      <c r="O620" s="2" t="n">
        <f aca="false">INDEX(Summary!$K$2:$K$201,MATCH($B620,Summary!$A$2:$A$201,0))</f>
        <v>9.14</v>
      </c>
      <c r="P620" s="3" t="n">
        <f aca="false">INDEX(Summary!$L$2:$L$201,MATCH($B620,Summary!$A$2:$A$201,0))</f>
        <v>3</v>
      </c>
      <c r="Q620" s="3" t="n">
        <f aca="false">INDEX(Summary!$M$2:$M$201,MATCH($B620,Summary!$A$2:$A$201,0))</f>
        <v>3</v>
      </c>
      <c r="R620" s="2" t="n">
        <f aca="false">INDEX(Summary!$N$2:$N$201,MATCH($B620,Summary!$A$2:$A$201,0))</f>
        <v>10.06</v>
      </c>
      <c r="S620" s="3" t="n">
        <f aca="false">INDEX(Summary!$O$2:$O$201,MATCH($B620,Summary!$A$2:$A$201,0))</f>
        <v>8</v>
      </c>
      <c r="T620" s="3" t="n">
        <f aca="false">INDEX(Summary!$P$2:$P$201,MATCH($B620,Summary!$A$2:$A$201,0))</f>
        <v>1</v>
      </c>
      <c r="U620" s="2" t="n">
        <f aca="false">INDEX(Summary!$Q$2:$Q$201,MATCH($B620,Summary!$A$2:$A$201,0))</f>
        <v>12.21</v>
      </c>
      <c r="V620" s="2" t="n">
        <f aca="false">INDEX(Summary!$R$2:$R$201,MATCH($B620,Summary!$A$2:$A$201,0))</f>
        <v>26.28</v>
      </c>
      <c r="W620" s="0" t="str">
        <f aca="false">INDEX(Summary!$S$2:$S$201,MATCH($B620,Summary!$A$2:$A$201,0))</f>
        <v>Silver</v>
      </c>
      <c r="X620" s="2" t="n">
        <f aca="false">INDEX(Summary!$T$2:$T$201,MATCH($B620,Summary!$A$2:$A$201,0))</f>
        <v>64.1</v>
      </c>
      <c r="Y620" s="0" t="str">
        <f aca="false">INDEX('Reward Model'!$E$18:$E$37,MATCH($E620,'Reward Model'!$A$18:$A$37,0))</f>
        <v>High</v>
      </c>
      <c r="Z620" s="4" t="n">
        <f aca="false">ROUND(MIN(1,MAX('Reward Model'!$B$2,INDEX('Reward Model'!$C$12:$C$14,MATCH($K620,'Reward Model'!$A$12:$A$14,0))/$J620)),3)</f>
        <v>1</v>
      </c>
      <c r="AA620" s="2" t="n">
        <f aca="false">IF($I620="Correct",ROUND(INDEX('Reward Model'!$B$12:$B$14,MATCH($K620,'Reward Model'!$A$12:$A$14,0))*Z620,2),0)</f>
        <v>3</v>
      </c>
      <c r="AB620" s="2" t="n">
        <f aca="false">IF($I620="Correct",ROUND(INDEX('Reward Model'!$B$12:$B$14,MATCH($Y620,'Reward Model'!$A$12:$A$14,0))*Z620,2),0)</f>
        <v>3</v>
      </c>
    </row>
    <row r="621" customFormat="false" ht="15" hidden="false" customHeight="false" outlineLevel="0" collapsed="false">
      <c r="A621" s="0" t="s">
        <v>187</v>
      </c>
      <c r="B621" s="0" t="s">
        <v>188</v>
      </c>
      <c r="C621" s="0" t="s">
        <v>30</v>
      </c>
      <c r="D621" s="0" t="s">
        <v>189</v>
      </c>
      <c r="E621" s="0" t="n">
        <v>20</v>
      </c>
      <c r="F621" s="0" t="s">
        <v>81</v>
      </c>
      <c r="G621" s="0" t="s">
        <v>83</v>
      </c>
      <c r="H621" s="0" t="s">
        <v>83</v>
      </c>
      <c r="I621" s="0" t="s">
        <v>34</v>
      </c>
      <c r="J621" s="0" t="n">
        <v>1.85</v>
      </c>
      <c r="K621" s="0" t="s">
        <v>73</v>
      </c>
      <c r="L621" s="0" t="n">
        <f aca="false">INDEX(Summary!$F$2:$F$201,MATCH($B621,Summary!$A$2:$A$201,0))</f>
        <v>20</v>
      </c>
      <c r="M621" s="0" t="n">
        <f aca="false">INDEX(Summary!$I$2:$I$201,MATCH($B621,Summary!$A$2:$A$201,0))</f>
        <v>3</v>
      </c>
      <c r="N621" s="0" t="n">
        <f aca="false">INDEX(Summary!$J$2:$J$201,MATCH($B621,Summary!$A$2:$A$201,0))</f>
        <v>2</v>
      </c>
      <c r="O621" s="2" t="n">
        <f aca="false">INDEX(Summary!$K$2:$K$201,MATCH($B621,Summary!$A$2:$A$201,0))</f>
        <v>9.14</v>
      </c>
      <c r="P621" s="3" t="n">
        <f aca="false">INDEX(Summary!$L$2:$L$201,MATCH($B621,Summary!$A$2:$A$201,0))</f>
        <v>3</v>
      </c>
      <c r="Q621" s="3" t="n">
        <f aca="false">INDEX(Summary!$M$2:$M$201,MATCH($B621,Summary!$A$2:$A$201,0))</f>
        <v>3</v>
      </c>
      <c r="R621" s="2" t="n">
        <f aca="false">INDEX(Summary!$N$2:$N$201,MATCH($B621,Summary!$A$2:$A$201,0))</f>
        <v>10.06</v>
      </c>
      <c r="S621" s="3" t="n">
        <f aca="false">INDEX(Summary!$O$2:$O$201,MATCH($B621,Summary!$A$2:$A$201,0))</f>
        <v>8</v>
      </c>
      <c r="T621" s="3" t="n">
        <f aca="false">INDEX(Summary!$P$2:$P$201,MATCH($B621,Summary!$A$2:$A$201,0))</f>
        <v>1</v>
      </c>
      <c r="U621" s="2" t="n">
        <f aca="false">INDEX(Summary!$Q$2:$Q$201,MATCH($B621,Summary!$A$2:$A$201,0))</f>
        <v>12.21</v>
      </c>
      <c r="V621" s="2" t="n">
        <f aca="false">INDEX(Summary!$R$2:$R$201,MATCH($B621,Summary!$A$2:$A$201,0))</f>
        <v>26.28</v>
      </c>
      <c r="W621" s="0" t="str">
        <f aca="false">INDEX(Summary!$S$2:$S$201,MATCH($B621,Summary!$A$2:$A$201,0))</f>
        <v>Silver</v>
      </c>
      <c r="X621" s="2" t="n">
        <f aca="false">INDEX(Summary!$T$2:$T$201,MATCH($B621,Summary!$A$2:$A$201,0))</f>
        <v>64.1</v>
      </c>
      <c r="Y621" s="0" t="str">
        <f aca="false">INDEX('Reward Model'!$E$18:$E$37,MATCH($E621,'Reward Model'!$A$18:$A$37,0))</f>
        <v>High</v>
      </c>
      <c r="Z621" s="4" t="n">
        <f aca="false">ROUND(MIN(1,MAX('Reward Model'!$B$2,INDEX('Reward Model'!$C$12:$C$14,MATCH($K621,'Reward Model'!$A$12:$A$14,0))/$J621)),3)</f>
        <v>1</v>
      </c>
      <c r="AA621" s="2" t="n">
        <f aca="false">IF($I621="Correct",ROUND(INDEX('Reward Model'!$B$12:$B$14,MATCH($K621,'Reward Model'!$A$12:$A$14,0))*Z621,2),0)</f>
        <v>3</v>
      </c>
      <c r="AB621" s="2" t="n">
        <f aca="false">IF($I621="Correct",ROUND(INDEX('Reward Model'!$B$12:$B$14,MATCH($Y621,'Reward Model'!$A$12:$A$14,0))*Z621,2),0)</f>
        <v>3</v>
      </c>
    </row>
    <row r="622" customFormat="false" ht="15" hidden="false" customHeight="false" outlineLevel="0" collapsed="false">
      <c r="A622" s="0" t="s">
        <v>191</v>
      </c>
      <c r="B622" s="0" t="s">
        <v>192</v>
      </c>
      <c r="C622" s="0" t="s">
        <v>30</v>
      </c>
      <c r="D622" s="0" t="s">
        <v>189</v>
      </c>
      <c r="E622" s="0" t="n">
        <v>1</v>
      </c>
      <c r="F622" s="0" t="s">
        <v>32</v>
      </c>
      <c r="G622" s="0" t="s">
        <v>33</v>
      </c>
      <c r="H622" s="0" t="s">
        <v>33</v>
      </c>
      <c r="I622" s="0" t="s">
        <v>34</v>
      </c>
      <c r="J622" s="0" t="n">
        <v>1.7</v>
      </c>
      <c r="K622" s="0" t="s">
        <v>35</v>
      </c>
      <c r="L622" s="0" t="n">
        <f aca="false">INDEX(Summary!$F$2:$F$201,MATCH($B622,Summary!$A$2:$A$201,0))</f>
        <v>20</v>
      </c>
      <c r="M622" s="0" t="n">
        <f aca="false">INDEX(Summary!$I$2:$I$201,MATCH($B622,Summary!$A$2:$A$201,0))</f>
        <v>2</v>
      </c>
      <c r="N622" s="0" t="n">
        <f aca="false">INDEX(Summary!$J$2:$J$201,MATCH($B622,Summary!$A$2:$A$201,0))</f>
        <v>3</v>
      </c>
      <c r="O622" s="2" t="n">
        <f aca="false">INDEX(Summary!$K$2:$K$201,MATCH($B622,Summary!$A$2:$A$201,0))</f>
        <v>8.55</v>
      </c>
      <c r="P622" s="3" t="n">
        <f aca="false">INDEX(Summary!$L$2:$L$201,MATCH($B622,Summary!$A$2:$A$201,0))</f>
        <v>2</v>
      </c>
      <c r="Q622" s="3" t="n">
        <f aca="false">INDEX(Summary!$M$2:$M$201,MATCH($B622,Summary!$A$2:$A$201,0))</f>
        <v>4</v>
      </c>
      <c r="R622" s="2" t="n">
        <f aca="false">INDEX(Summary!$N$2:$N$201,MATCH($B622,Summary!$A$2:$A$201,0))</f>
        <v>11.37</v>
      </c>
      <c r="S622" s="3" t="n">
        <f aca="false">INDEX(Summary!$O$2:$O$201,MATCH($B622,Summary!$A$2:$A$201,0))</f>
        <v>6</v>
      </c>
      <c r="T622" s="3" t="n">
        <f aca="false">INDEX(Summary!$P$2:$P$201,MATCH($B622,Summary!$A$2:$A$201,0))</f>
        <v>3</v>
      </c>
      <c r="U622" s="2" t="n">
        <f aca="false">INDEX(Summary!$Q$2:$Q$201,MATCH($B622,Summary!$A$2:$A$201,0))</f>
        <v>14.19</v>
      </c>
      <c r="V622" s="2" t="n">
        <f aca="false">INDEX(Summary!$R$2:$R$201,MATCH($B622,Summary!$A$2:$A$201,0))</f>
        <v>18.94</v>
      </c>
      <c r="W622" s="0" t="str">
        <f aca="false">INDEX(Summary!$S$2:$S$201,MATCH($B622,Summary!$A$2:$A$201,0))</f>
        <v>Bronze</v>
      </c>
      <c r="X622" s="2" t="n">
        <f aca="false">INDEX(Summary!$T$2:$T$201,MATCH($B622,Summary!$A$2:$A$201,0))</f>
        <v>46.2</v>
      </c>
      <c r="Y622" s="0" t="str">
        <f aca="false">INDEX('Reward Model'!$E$18:$E$37,MATCH($E622,'Reward Model'!$A$18:$A$37,0))</f>
        <v>Medium</v>
      </c>
      <c r="Z622" s="4" t="n">
        <f aca="false">ROUND(MIN(1,MAX('Reward Model'!$B$2,INDEX('Reward Model'!$C$12:$C$14,MATCH($K622,'Reward Model'!$A$12:$A$14,0))/$J622)),3)</f>
        <v>0.882</v>
      </c>
      <c r="AA622" s="2" t="n">
        <f aca="false">IF($I622="Correct",ROUND(INDEX('Reward Model'!$B$12:$B$14,MATCH($K622,'Reward Model'!$A$12:$A$14,0))*Z622,2),0)</f>
        <v>0.88</v>
      </c>
      <c r="AB622" s="2" t="n">
        <f aca="false">IF($I622="Correct",ROUND(INDEX('Reward Model'!$B$12:$B$14,MATCH($Y622,'Reward Model'!$A$12:$A$14,0))*Z622,2),0)</f>
        <v>1.76</v>
      </c>
    </row>
    <row r="623" customFormat="false" ht="15" hidden="false" customHeight="false" outlineLevel="0" collapsed="false">
      <c r="A623" s="0" t="s">
        <v>191</v>
      </c>
      <c r="B623" s="0" t="s">
        <v>192</v>
      </c>
      <c r="C623" s="0" t="s">
        <v>30</v>
      </c>
      <c r="D623" s="0" t="s">
        <v>189</v>
      </c>
      <c r="E623" s="0" t="n">
        <v>2</v>
      </c>
      <c r="F623" s="0" t="s">
        <v>36</v>
      </c>
      <c r="G623" s="0" t="s">
        <v>38</v>
      </c>
      <c r="H623" s="0" t="s">
        <v>38</v>
      </c>
      <c r="I623" s="0" t="s">
        <v>34</v>
      </c>
      <c r="J623" s="0" t="n">
        <v>1.69</v>
      </c>
      <c r="K623" s="0" t="s">
        <v>35</v>
      </c>
      <c r="L623" s="0" t="n">
        <f aca="false">INDEX(Summary!$F$2:$F$201,MATCH($B623,Summary!$A$2:$A$201,0))</f>
        <v>20</v>
      </c>
      <c r="M623" s="0" t="n">
        <f aca="false">INDEX(Summary!$I$2:$I$201,MATCH($B623,Summary!$A$2:$A$201,0))</f>
        <v>2</v>
      </c>
      <c r="N623" s="0" t="n">
        <f aca="false">INDEX(Summary!$J$2:$J$201,MATCH($B623,Summary!$A$2:$A$201,0))</f>
        <v>3</v>
      </c>
      <c r="O623" s="2" t="n">
        <f aca="false">INDEX(Summary!$K$2:$K$201,MATCH($B623,Summary!$A$2:$A$201,0))</f>
        <v>8.55</v>
      </c>
      <c r="P623" s="3" t="n">
        <f aca="false">INDEX(Summary!$L$2:$L$201,MATCH($B623,Summary!$A$2:$A$201,0))</f>
        <v>2</v>
      </c>
      <c r="Q623" s="3" t="n">
        <f aca="false">INDEX(Summary!$M$2:$M$201,MATCH($B623,Summary!$A$2:$A$201,0))</f>
        <v>4</v>
      </c>
      <c r="R623" s="2" t="n">
        <f aca="false">INDEX(Summary!$N$2:$N$201,MATCH($B623,Summary!$A$2:$A$201,0))</f>
        <v>11.37</v>
      </c>
      <c r="S623" s="3" t="n">
        <f aca="false">INDEX(Summary!$O$2:$O$201,MATCH($B623,Summary!$A$2:$A$201,0))</f>
        <v>6</v>
      </c>
      <c r="T623" s="3" t="n">
        <f aca="false">INDEX(Summary!$P$2:$P$201,MATCH($B623,Summary!$A$2:$A$201,0))</f>
        <v>3</v>
      </c>
      <c r="U623" s="2" t="n">
        <f aca="false">INDEX(Summary!$Q$2:$Q$201,MATCH($B623,Summary!$A$2:$A$201,0))</f>
        <v>14.19</v>
      </c>
      <c r="V623" s="2" t="n">
        <f aca="false">INDEX(Summary!$R$2:$R$201,MATCH($B623,Summary!$A$2:$A$201,0))</f>
        <v>18.94</v>
      </c>
      <c r="W623" s="0" t="str">
        <f aca="false">INDEX(Summary!$S$2:$S$201,MATCH($B623,Summary!$A$2:$A$201,0))</f>
        <v>Bronze</v>
      </c>
      <c r="X623" s="2" t="n">
        <f aca="false">INDEX(Summary!$T$2:$T$201,MATCH($B623,Summary!$A$2:$A$201,0))</f>
        <v>46.2</v>
      </c>
      <c r="Y623" s="0" t="str">
        <f aca="false">INDEX('Reward Model'!$E$18:$E$37,MATCH($E623,'Reward Model'!$A$18:$A$37,0))</f>
        <v>Low</v>
      </c>
      <c r="Z623" s="4" t="n">
        <f aca="false">ROUND(MIN(1,MAX('Reward Model'!$B$2,INDEX('Reward Model'!$C$12:$C$14,MATCH($K623,'Reward Model'!$A$12:$A$14,0))/$J623)),3)</f>
        <v>0.888</v>
      </c>
      <c r="AA623" s="2" t="n">
        <f aca="false">IF($I623="Correct",ROUND(INDEX('Reward Model'!$B$12:$B$14,MATCH($K623,'Reward Model'!$A$12:$A$14,0))*Z623,2),0)</f>
        <v>0.89</v>
      </c>
      <c r="AB623" s="2" t="n">
        <f aca="false">IF($I623="Correct",ROUND(INDEX('Reward Model'!$B$12:$B$14,MATCH($Y623,'Reward Model'!$A$12:$A$14,0))*Z623,2),0)</f>
        <v>0.89</v>
      </c>
    </row>
    <row r="624" customFormat="false" ht="15" hidden="false" customHeight="false" outlineLevel="0" collapsed="false">
      <c r="A624" s="0" t="s">
        <v>191</v>
      </c>
      <c r="B624" s="0" t="s">
        <v>192</v>
      </c>
      <c r="C624" s="0" t="s">
        <v>30</v>
      </c>
      <c r="D624" s="0" t="s">
        <v>189</v>
      </c>
      <c r="E624" s="0" t="n">
        <v>3</v>
      </c>
      <c r="F624" s="0" t="s">
        <v>40</v>
      </c>
      <c r="G624" s="0" t="s">
        <v>42</v>
      </c>
      <c r="H624" s="0" t="s">
        <v>42</v>
      </c>
      <c r="I624" s="0" t="s">
        <v>34</v>
      </c>
      <c r="J624" s="0" t="n">
        <v>1.05</v>
      </c>
      <c r="K624" s="0" t="s">
        <v>35</v>
      </c>
      <c r="L624" s="0" t="n">
        <f aca="false">INDEX(Summary!$F$2:$F$201,MATCH($B624,Summary!$A$2:$A$201,0))</f>
        <v>20</v>
      </c>
      <c r="M624" s="0" t="n">
        <f aca="false">INDEX(Summary!$I$2:$I$201,MATCH($B624,Summary!$A$2:$A$201,0))</f>
        <v>2</v>
      </c>
      <c r="N624" s="0" t="n">
        <f aca="false">INDEX(Summary!$J$2:$J$201,MATCH($B624,Summary!$A$2:$A$201,0))</f>
        <v>3</v>
      </c>
      <c r="O624" s="2" t="n">
        <f aca="false">INDEX(Summary!$K$2:$K$201,MATCH($B624,Summary!$A$2:$A$201,0))</f>
        <v>8.55</v>
      </c>
      <c r="P624" s="3" t="n">
        <f aca="false">INDEX(Summary!$L$2:$L$201,MATCH($B624,Summary!$A$2:$A$201,0))</f>
        <v>2</v>
      </c>
      <c r="Q624" s="3" t="n">
        <f aca="false">INDEX(Summary!$M$2:$M$201,MATCH($B624,Summary!$A$2:$A$201,0))</f>
        <v>4</v>
      </c>
      <c r="R624" s="2" t="n">
        <f aca="false">INDEX(Summary!$N$2:$N$201,MATCH($B624,Summary!$A$2:$A$201,0))</f>
        <v>11.37</v>
      </c>
      <c r="S624" s="3" t="n">
        <f aca="false">INDEX(Summary!$O$2:$O$201,MATCH($B624,Summary!$A$2:$A$201,0))</f>
        <v>6</v>
      </c>
      <c r="T624" s="3" t="n">
        <f aca="false">INDEX(Summary!$P$2:$P$201,MATCH($B624,Summary!$A$2:$A$201,0))</f>
        <v>3</v>
      </c>
      <c r="U624" s="2" t="n">
        <f aca="false">INDEX(Summary!$Q$2:$Q$201,MATCH($B624,Summary!$A$2:$A$201,0))</f>
        <v>14.19</v>
      </c>
      <c r="V624" s="2" t="n">
        <f aca="false">INDEX(Summary!$R$2:$R$201,MATCH($B624,Summary!$A$2:$A$201,0))</f>
        <v>18.94</v>
      </c>
      <c r="W624" s="0" t="str">
        <f aca="false">INDEX(Summary!$S$2:$S$201,MATCH($B624,Summary!$A$2:$A$201,0))</f>
        <v>Bronze</v>
      </c>
      <c r="X624" s="2" t="n">
        <f aca="false">INDEX(Summary!$T$2:$T$201,MATCH($B624,Summary!$A$2:$A$201,0))</f>
        <v>46.2</v>
      </c>
      <c r="Y624" s="0" t="str">
        <f aca="false">INDEX('Reward Model'!$E$18:$E$37,MATCH($E624,'Reward Model'!$A$18:$A$37,0))</f>
        <v>Medium</v>
      </c>
      <c r="Z624" s="4" t="n">
        <f aca="false">ROUND(MIN(1,MAX('Reward Model'!$B$2,INDEX('Reward Model'!$C$12:$C$14,MATCH($K624,'Reward Model'!$A$12:$A$14,0))/$J624)),3)</f>
        <v>1</v>
      </c>
      <c r="AA624" s="2" t="n">
        <f aca="false">IF($I624="Correct",ROUND(INDEX('Reward Model'!$B$12:$B$14,MATCH($K624,'Reward Model'!$A$12:$A$14,0))*Z624,2),0)</f>
        <v>1</v>
      </c>
      <c r="AB624" s="2" t="n">
        <f aca="false">IF($I624="Correct",ROUND(INDEX('Reward Model'!$B$12:$B$14,MATCH($Y624,'Reward Model'!$A$12:$A$14,0))*Z624,2),0)</f>
        <v>2</v>
      </c>
    </row>
    <row r="625" customFormat="false" ht="15" hidden="false" customHeight="false" outlineLevel="0" collapsed="false">
      <c r="A625" s="0" t="s">
        <v>191</v>
      </c>
      <c r="B625" s="0" t="s">
        <v>192</v>
      </c>
      <c r="C625" s="0" t="s">
        <v>30</v>
      </c>
      <c r="D625" s="0" t="s">
        <v>189</v>
      </c>
      <c r="E625" s="0" t="n">
        <v>4</v>
      </c>
      <c r="F625" s="0" t="s">
        <v>43</v>
      </c>
      <c r="G625" s="0" t="s">
        <v>45</v>
      </c>
      <c r="H625" s="0" t="s">
        <v>45</v>
      </c>
      <c r="I625" s="0" t="s">
        <v>34</v>
      </c>
      <c r="J625" s="0" t="n">
        <v>1.69</v>
      </c>
      <c r="K625" s="0" t="s">
        <v>35</v>
      </c>
      <c r="L625" s="0" t="n">
        <f aca="false">INDEX(Summary!$F$2:$F$201,MATCH($B625,Summary!$A$2:$A$201,0))</f>
        <v>20</v>
      </c>
      <c r="M625" s="0" t="n">
        <f aca="false">INDEX(Summary!$I$2:$I$201,MATCH($B625,Summary!$A$2:$A$201,0))</f>
        <v>2</v>
      </c>
      <c r="N625" s="0" t="n">
        <f aca="false">INDEX(Summary!$J$2:$J$201,MATCH($B625,Summary!$A$2:$A$201,0))</f>
        <v>3</v>
      </c>
      <c r="O625" s="2" t="n">
        <f aca="false">INDEX(Summary!$K$2:$K$201,MATCH($B625,Summary!$A$2:$A$201,0))</f>
        <v>8.55</v>
      </c>
      <c r="P625" s="3" t="n">
        <f aca="false">INDEX(Summary!$L$2:$L$201,MATCH($B625,Summary!$A$2:$A$201,0))</f>
        <v>2</v>
      </c>
      <c r="Q625" s="3" t="n">
        <f aca="false">INDEX(Summary!$M$2:$M$201,MATCH($B625,Summary!$A$2:$A$201,0))</f>
        <v>4</v>
      </c>
      <c r="R625" s="2" t="n">
        <f aca="false">INDEX(Summary!$N$2:$N$201,MATCH($B625,Summary!$A$2:$A$201,0))</f>
        <v>11.37</v>
      </c>
      <c r="S625" s="3" t="n">
        <f aca="false">INDEX(Summary!$O$2:$O$201,MATCH($B625,Summary!$A$2:$A$201,0))</f>
        <v>6</v>
      </c>
      <c r="T625" s="3" t="n">
        <f aca="false">INDEX(Summary!$P$2:$P$201,MATCH($B625,Summary!$A$2:$A$201,0))</f>
        <v>3</v>
      </c>
      <c r="U625" s="2" t="n">
        <f aca="false">INDEX(Summary!$Q$2:$Q$201,MATCH($B625,Summary!$A$2:$A$201,0))</f>
        <v>14.19</v>
      </c>
      <c r="V625" s="2" t="n">
        <f aca="false">INDEX(Summary!$R$2:$R$201,MATCH($B625,Summary!$A$2:$A$201,0))</f>
        <v>18.94</v>
      </c>
      <c r="W625" s="0" t="str">
        <f aca="false">INDEX(Summary!$S$2:$S$201,MATCH($B625,Summary!$A$2:$A$201,0))</f>
        <v>Bronze</v>
      </c>
      <c r="X625" s="2" t="n">
        <f aca="false">INDEX(Summary!$T$2:$T$201,MATCH($B625,Summary!$A$2:$A$201,0))</f>
        <v>46.2</v>
      </c>
      <c r="Y625" s="0" t="str">
        <f aca="false">INDEX('Reward Model'!$E$18:$E$37,MATCH($E625,'Reward Model'!$A$18:$A$37,0))</f>
        <v>Low</v>
      </c>
      <c r="Z625" s="4" t="n">
        <f aca="false">ROUND(MIN(1,MAX('Reward Model'!$B$2,INDEX('Reward Model'!$C$12:$C$14,MATCH($K625,'Reward Model'!$A$12:$A$14,0))/$J625)),3)</f>
        <v>0.888</v>
      </c>
      <c r="AA625" s="2" t="n">
        <f aca="false">IF($I625="Correct",ROUND(INDEX('Reward Model'!$B$12:$B$14,MATCH($K625,'Reward Model'!$A$12:$A$14,0))*Z625,2),0)</f>
        <v>0.89</v>
      </c>
      <c r="AB625" s="2" t="n">
        <f aca="false">IF($I625="Correct",ROUND(INDEX('Reward Model'!$B$12:$B$14,MATCH($Y625,'Reward Model'!$A$12:$A$14,0))*Z625,2),0)</f>
        <v>0.89</v>
      </c>
    </row>
    <row r="626" customFormat="false" ht="15" hidden="false" customHeight="false" outlineLevel="0" collapsed="false">
      <c r="A626" s="0" t="s">
        <v>191</v>
      </c>
      <c r="B626" s="0" t="s">
        <v>192</v>
      </c>
      <c r="C626" s="0" t="s">
        <v>30</v>
      </c>
      <c r="D626" s="0" t="s">
        <v>189</v>
      </c>
      <c r="E626" s="0" t="n">
        <v>5</v>
      </c>
      <c r="F626" s="0" t="s">
        <v>46</v>
      </c>
      <c r="G626" s="0" t="s">
        <v>164</v>
      </c>
      <c r="H626" s="0" t="s">
        <v>47</v>
      </c>
      <c r="I626" s="0" t="s">
        <v>39</v>
      </c>
      <c r="J626" s="0" t="n">
        <v>1.59</v>
      </c>
      <c r="K626" s="0" t="s">
        <v>35</v>
      </c>
      <c r="L626" s="0" t="n">
        <f aca="false">INDEX(Summary!$F$2:$F$201,MATCH($B626,Summary!$A$2:$A$201,0))</f>
        <v>20</v>
      </c>
      <c r="M626" s="0" t="n">
        <f aca="false">INDEX(Summary!$I$2:$I$201,MATCH($B626,Summary!$A$2:$A$201,0))</f>
        <v>2</v>
      </c>
      <c r="N626" s="0" t="n">
        <f aca="false">INDEX(Summary!$J$2:$J$201,MATCH($B626,Summary!$A$2:$A$201,0))</f>
        <v>3</v>
      </c>
      <c r="O626" s="2" t="n">
        <f aca="false">INDEX(Summary!$K$2:$K$201,MATCH($B626,Summary!$A$2:$A$201,0))</f>
        <v>8.55</v>
      </c>
      <c r="P626" s="3" t="n">
        <f aca="false">INDEX(Summary!$L$2:$L$201,MATCH($B626,Summary!$A$2:$A$201,0))</f>
        <v>2</v>
      </c>
      <c r="Q626" s="3" t="n">
        <f aca="false">INDEX(Summary!$M$2:$M$201,MATCH($B626,Summary!$A$2:$A$201,0))</f>
        <v>4</v>
      </c>
      <c r="R626" s="2" t="n">
        <f aca="false">INDEX(Summary!$N$2:$N$201,MATCH($B626,Summary!$A$2:$A$201,0))</f>
        <v>11.37</v>
      </c>
      <c r="S626" s="3" t="n">
        <f aca="false">INDEX(Summary!$O$2:$O$201,MATCH($B626,Summary!$A$2:$A$201,0))</f>
        <v>6</v>
      </c>
      <c r="T626" s="3" t="n">
        <f aca="false">INDEX(Summary!$P$2:$P$201,MATCH($B626,Summary!$A$2:$A$201,0))</f>
        <v>3</v>
      </c>
      <c r="U626" s="2" t="n">
        <f aca="false">INDEX(Summary!$Q$2:$Q$201,MATCH($B626,Summary!$A$2:$A$201,0))</f>
        <v>14.19</v>
      </c>
      <c r="V626" s="2" t="n">
        <f aca="false">INDEX(Summary!$R$2:$R$201,MATCH($B626,Summary!$A$2:$A$201,0))</f>
        <v>18.94</v>
      </c>
      <c r="W626" s="0" t="str">
        <f aca="false">INDEX(Summary!$S$2:$S$201,MATCH($B626,Summary!$A$2:$A$201,0))</f>
        <v>Bronze</v>
      </c>
      <c r="X626" s="2" t="n">
        <f aca="false">INDEX(Summary!$T$2:$T$201,MATCH($B626,Summary!$A$2:$A$201,0))</f>
        <v>46.2</v>
      </c>
      <c r="Y626" s="0" t="str">
        <f aca="false">INDEX('Reward Model'!$E$18:$E$37,MATCH($E626,'Reward Model'!$A$18:$A$37,0))</f>
        <v>Low</v>
      </c>
      <c r="Z626" s="4" t="n">
        <f aca="false">ROUND(MIN(1,MAX('Reward Model'!$B$2,INDEX('Reward Model'!$C$12:$C$14,MATCH($K626,'Reward Model'!$A$12:$A$14,0))/$J626)),3)</f>
        <v>0.943</v>
      </c>
      <c r="AA626" s="2" t="n">
        <f aca="false">IF($I626="Correct",ROUND(INDEX('Reward Model'!$B$12:$B$14,MATCH($K626,'Reward Model'!$A$12:$A$14,0))*Z626,2),0)</f>
        <v>0</v>
      </c>
      <c r="AB626" s="2" t="n">
        <f aca="false">IF($I626="Correct",ROUND(INDEX('Reward Model'!$B$12:$B$14,MATCH($Y626,'Reward Model'!$A$12:$A$14,0))*Z626,2),0)</f>
        <v>0</v>
      </c>
    </row>
    <row r="627" customFormat="false" ht="15" hidden="false" customHeight="false" outlineLevel="0" collapsed="false">
      <c r="A627" s="0" t="s">
        <v>191</v>
      </c>
      <c r="B627" s="0" t="s">
        <v>192</v>
      </c>
      <c r="C627" s="0" t="s">
        <v>30</v>
      </c>
      <c r="D627" s="0" t="s">
        <v>189</v>
      </c>
      <c r="E627" s="0" t="n">
        <v>6</v>
      </c>
      <c r="F627" s="0" t="s">
        <v>48</v>
      </c>
      <c r="G627" s="0" t="s">
        <v>169</v>
      </c>
      <c r="H627" s="0" t="s">
        <v>49</v>
      </c>
      <c r="I627" s="0" t="s">
        <v>39</v>
      </c>
      <c r="J627" s="0" t="n">
        <v>1.72</v>
      </c>
      <c r="K627" s="0" t="s">
        <v>35</v>
      </c>
      <c r="L627" s="0" t="n">
        <f aca="false">INDEX(Summary!$F$2:$F$201,MATCH($B627,Summary!$A$2:$A$201,0))</f>
        <v>20</v>
      </c>
      <c r="M627" s="0" t="n">
        <f aca="false">INDEX(Summary!$I$2:$I$201,MATCH($B627,Summary!$A$2:$A$201,0))</f>
        <v>2</v>
      </c>
      <c r="N627" s="0" t="n">
        <f aca="false">INDEX(Summary!$J$2:$J$201,MATCH($B627,Summary!$A$2:$A$201,0))</f>
        <v>3</v>
      </c>
      <c r="O627" s="2" t="n">
        <f aca="false">INDEX(Summary!$K$2:$K$201,MATCH($B627,Summary!$A$2:$A$201,0))</f>
        <v>8.55</v>
      </c>
      <c r="P627" s="3" t="n">
        <f aca="false">INDEX(Summary!$L$2:$L$201,MATCH($B627,Summary!$A$2:$A$201,0))</f>
        <v>2</v>
      </c>
      <c r="Q627" s="3" t="n">
        <f aca="false">INDEX(Summary!$M$2:$M$201,MATCH($B627,Summary!$A$2:$A$201,0))</f>
        <v>4</v>
      </c>
      <c r="R627" s="2" t="n">
        <f aca="false">INDEX(Summary!$N$2:$N$201,MATCH($B627,Summary!$A$2:$A$201,0))</f>
        <v>11.37</v>
      </c>
      <c r="S627" s="3" t="n">
        <f aca="false">INDEX(Summary!$O$2:$O$201,MATCH($B627,Summary!$A$2:$A$201,0))</f>
        <v>6</v>
      </c>
      <c r="T627" s="3" t="n">
        <f aca="false">INDEX(Summary!$P$2:$P$201,MATCH($B627,Summary!$A$2:$A$201,0))</f>
        <v>3</v>
      </c>
      <c r="U627" s="2" t="n">
        <f aca="false">INDEX(Summary!$Q$2:$Q$201,MATCH($B627,Summary!$A$2:$A$201,0))</f>
        <v>14.19</v>
      </c>
      <c r="V627" s="2" t="n">
        <f aca="false">INDEX(Summary!$R$2:$R$201,MATCH($B627,Summary!$A$2:$A$201,0))</f>
        <v>18.94</v>
      </c>
      <c r="W627" s="0" t="str">
        <f aca="false">INDEX(Summary!$S$2:$S$201,MATCH($B627,Summary!$A$2:$A$201,0))</f>
        <v>Bronze</v>
      </c>
      <c r="X627" s="2" t="n">
        <f aca="false">INDEX(Summary!$T$2:$T$201,MATCH($B627,Summary!$A$2:$A$201,0))</f>
        <v>46.2</v>
      </c>
      <c r="Y627" s="0" t="str">
        <f aca="false">INDEX('Reward Model'!$E$18:$E$37,MATCH($E627,'Reward Model'!$A$18:$A$37,0))</f>
        <v>Medium</v>
      </c>
      <c r="Z627" s="4" t="n">
        <f aca="false">ROUND(MIN(1,MAX('Reward Model'!$B$2,INDEX('Reward Model'!$C$12:$C$14,MATCH($K627,'Reward Model'!$A$12:$A$14,0))/$J627)),3)</f>
        <v>0.872</v>
      </c>
      <c r="AA627" s="2" t="n">
        <f aca="false">IF($I627="Correct",ROUND(INDEX('Reward Model'!$B$12:$B$14,MATCH($K627,'Reward Model'!$A$12:$A$14,0))*Z627,2),0)</f>
        <v>0</v>
      </c>
      <c r="AB627" s="2" t="n">
        <f aca="false">IF($I627="Correct",ROUND(INDEX('Reward Model'!$B$12:$B$14,MATCH($Y627,'Reward Model'!$A$12:$A$14,0))*Z627,2),0)</f>
        <v>0</v>
      </c>
    </row>
    <row r="628" customFormat="false" ht="15" hidden="false" customHeight="false" outlineLevel="0" collapsed="false">
      <c r="A628" s="0" t="s">
        <v>191</v>
      </c>
      <c r="B628" s="0" t="s">
        <v>192</v>
      </c>
      <c r="C628" s="0" t="s">
        <v>30</v>
      </c>
      <c r="D628" s="0" t="s">
        <v>189</v>
      </c>
      <c r="E628" s="0" t="n">
        <v>7</v>
      </c>
      <c r="F628" s="0" t="s">
        <v>50</v>
      </c>
      <c r="G628" s="0" t="s">
        <v>144</v>
      </c>
      <c r="H628" s="0" t="s">
        <v>51</v>
      </c>
      <c r="I628" s="0" t="s">
        <v>39</v>
      </c>
      <c r="J628" s="0" t="n">
        <v>1.34</v>
      </c>
      <c r="K628" s="0" t="s">
        <v>35</v>
      </c>
      <c r="L628" s="0" t="n">
        <f aca="false">INDEX(Summary!$F$2:$F$201,MATCH($B628,Summary!$A$2:$A$201,0))</f>
        <v>20</v>
      </c>
      <c r="M628" s="0" t="n">
        <f aca="false">INDEX(Summary!$I$2:$I$201,MATCH($B628,Summary!$A$2:$A$201,0))</f>
        <v>2</v>
      </c>
      <c r="N628" s="0" t="n">
        <f aca="false">INDEX(Summary!$J$2:$J$201,MATCH($B628,Summary!$A$2:$A$201,0))</f>
        <v>3</v>
      </c>
      <c r="O628" s="2" t="n">
        <f aca="false">INDEX(Summary!$K$2:$K$201,MATCH($B628,Summary!$A$2:$A$201,0))</f>
        <v>8.55</v>
      </c>
      <c r="P628" s="3" t="n">
        <f aca="false">INDEX(Summary!$L$2:$L$201,MATCH($B628,Summary!$A$2:$A$201,0))</f>
        <v>2</v>
      </c>
      <c r="Q628" s="3" t="n">
        <f aca="false">INDEX(Summary!$M$2:$M$201,MATCH($B628,Summary!$A$2:$A$201,0))</f>
        <v>4</v>
      </c>
      <c r="R628" s="2" t="n">
        <f aca="false">INDEX(Summary!$N$2:$N$201,MATCH($B628,Summary!$A$2:$A$201,0))</f>
        <v>11.37</v>
      </c>
      <c r="S628" s="3" t="n">
        <f aca="false">INDEX(Summary!$O$2:$O$201,MATCH($B628,Summary!$A$2:$A$201,0))</f>
        <v>6</v>
      </c>
      <c r="T628" s="3" t="n">
        <f aca="false">INDEX(Summary!$P$2:$P$201,MATCH($B628,Summary!$A$2:$A$201,0))</f>
        <v>3</v>
      </c>
      <c r="U628" s="2" t="n">
        <f aca="false">INDEX(Summary!$Q$2:$Q$201,MATCH($B628,Summary!$A$2:$A$201,0))</f>
        <v>14.19</v>
      </c>
      <c r="V628" s="2" t="n">
        <f aca="false">INDEX(Summary!$R$2:$R$201,MATCH($B628,Summary!$A$2:$A$201,0))</f>
        <v>18.94</v>
      </c>
      <c r="W628" s="0" t="str">
        <f aca="false">INDEX(Summary!$S$2:$S$201,MATCH($B628,Summary!$A$2:$A$201,0))</f>
        <v>Bronze</v>
      </c>
      <c r="X628" s="2" t="n">
        <f aca="false">INDEX(Summary!$T$2:$T$201,MATCH($B628,Summary!$A$2:$A$201,0))</f>
        <v>46.2</v>
      </c>
      <c r="Y628" s="0" t="str">
        <f aca="false">INDEX('Reward Model'!$E$18:$E$37,MATCH($E628,'Reward Model'!$A$18:$A$37,0))</f>
        <v>Low</v>
      </c>
      <c r="Z628" s="4" t="n">
        <f aca="false">ROUND(MIN(1,MAX('Reward Model'!$B$2,INDEX('Reward Model'!$C$12:$C$14,MATCH($K628,'Reward Model'!$A$12:$A$14,0))/$J628)),3)</f>
        <v>1</v>
      </c>
      <c r="AA628" s="2" t="n">
        <f aca="false">IF($I628="Correct",ROUND(INDEX('Reward Model'!$B$12:$B$14,MATCH($K628,'Reward Model'!$A$12:$A$14,0))*Z628,2),0)</f>
        <v>0</v>
      </c>
      <c r="AB628" s="2" t="n">
        <f aca="false">IF($I628="Correct",ROUND(INDEX('Reward Model'!$B$12:$B$14,MATCH($Y628,'Reward Model'!$A$12:$A$14,0))*Z628,2),0)</f>
        <v>0</v>
      </c>
    </row>
    <row r="629" customFormat="false" ht="15" hidden="false" customHeight="false" outlineLevel="0" collapsed="false">
      <c r="A629" s="0" t="s">
        <v>191</v>
      </c>
      <c r="B629" s="0" t="s">
        <v>192</v>
      </c>
      <c r="C629" s="0" t="s">
        <v>30</v>
      </c>
      <c r="D629" s="0" t="s">
        <v>189</v>
      </c>
      <c r="E629" s="0" t="n">
        <v>8</v>
      </c>
      <c r="F629" s="0" t="s">
        <v>52</v>
      </c>
      <c r="G629" s="0" t="s">
        <v>54</v>
      </c>
      <c r="H629" s="0" t="s">
        <v>54</v>
      </c>
      <c r="I629" s="0" t="s">
        <v>34</v>
      </c>
      <c r="J629" s="0" t="n">
        <v>1.47</v>
      </c>
      <c r="K629" s="0" t="s">
        <v>35</v>
      </c>
      <c r="L629" s="0" t="n">
        <f aca="false">INDEX(Summary!$F$2:$F$201,MATCH($B629,Summary!$A$2:$A$201,0))</f>
        <v>20</v>
      </c>
      <c r="M629" s="0" t="n">
        <f aca="false">INDEX(Summary!$I$2:$I$201,MATCH($B629,Summary!$A$2:$A$201,0))</f>
        <v>2</v>
      </c>
      <c r="N629" s="0" t="n">
        <f aca="false">INDEX(Summary!$J$2:$J$201,MATCH($B629,Summary!$A$2:$A$201,0))</f>
        <v>3</v>
      </c>
      <c r="O629" s="2" t="n">
        <f aca="false">INDEX(Summary!$K$2:$K$201,MATCH($B629,Summary!$A$2:$A$201,0))</f>
        <v>8.55</v>
      </c>
      <c r="P629" s="3" t="n">
        <f aca="false">INDEX(Summary!$L$2:$L$201,MATCH($B629,Summary!$A$2:$A$201,0))</f>
        <v>2</v>
      </c>
      <c r="Q629" s="3" t="n">
        <f aca="false">INDEX(Summary!$M$2:$M$201,MATCH($B629,Summary!$A$2:$A$201,0))</f>
        <v>4</v>
      </c>
      <c r="R629" s="2" t="n">
        <f aca="false">INDEX(Summary!$N$2:$N$201,MATCH($B629,Summary!$A$2:$A$201,0))</f>
        <v>11.37</v>
      </c>
      <c r="S629" s="3" t="n">
        <f aca="false">INDEX(Summary!$O$2:$O$201,MATCH($B629,Summary!$A$2:$A$201,0))</f>
        <v>6</v>
      </c>
      <c r="T629" s="3" t="n">
        <f aca="false">INDEX(Summary!$P$2:$P$201,MATCH($B629,Summary!$A$2:$A$201,0))</f>
        <v>3</v>
      </c>
      <c r="U629" s="2" t="n">
        <f aca="false">INDEX(Summary!$Q$2:$Q$201,MATCH($B629,Summary!$A$2:$A$201,0))</f>
        <v>14.19</v>
      </c>
      <c r="V629" s="2" t="n">
        <f aca="false">INDEX(Summary!$R$2:$R$201,MATCH($B629,Summary!$A$2:$A$201,0))</f>
        <v>18.94</v>
      </c>
      <c r="W629" s="0" t="str">
        <f aca="false">INDEX(Summary!$S$2:$S$201,MATCH($B629,Summary!$A$2:$A$201,0))</f>
        <v>Bronze</v>
      </c>
      <c r="X629" s="2" t="n">
        <f aca="false">INDEX(Summary!$T$2:$T$201,MATCH($B629,Summary!$A$2:$A$201,0))</f>
        <v>46.2</v>
      </c>
      <c r="Y629" s="0" t="str">
        <f aca="false">INDEX('Reward Model'!$E$18:$E$37,MATCH($E629,'Reward Model'!$A$18:$A$37,0))</f>
        <v>Medium</v>
      </c>
      <c r="Z629" s="4" t="n">
        <f aca="false">ROUND(MIN(1,MAX('Reward Model'!$B$2,INDEX('Reward Model'!$C$12:$C$14,MATCH($K629,'Reward Model'!$A$12:$A$14,0))/$J629)),3)</f>
        <v>1</v>
      </c>
      <c r="AA629" s="2" t="n">
        <f aca="false">IF($I629="Correct",ROUND(INDEX('Reward Model'!$B$12:$B$14,MATCH($K629,'Reward Model'!$A$12:$A$14,0))*Z629,2),0)</f>
        <v>1</v>
      </c>
      <c r="AB629" s="2" t="n">
        <f aca="false">IF($I629="Correct",ROUND(INDEX('Reward Model'!$B$12:$B$14,MATCH($Y629,'Reward Model'!$A$12:$A$14,0))*Z629,2),0)</f>
        <v>2</v>
      </c>
    </row>
    <row r="630" customFormat="false" ht="15" hidden="false" customHeight="false" outlineLevel="0" collapsed="false">
      <c r="A630" s="0" t="s">
        <v>191</v>
      </c>
      <c r="B630" s="0" t="s">
        <v>192</v>
      </c>
      <c r="C630" s="0" t="s">
        <v>30</v>
      </c>
      <c r="D630" s="0" t="s">
        <v>189</v>
      </c>
      <c r="E630" s="0" t="n">
        <v>9</v>
      </c>
      <c r="F630" s="0" t="s">
        <v>55</v>
      </c>
      <c r="G630" s="0" t="s">
        <v>57</v>
      </c>
      <c r="H630" s="0" t="s">
        <v>57</v>
      </c>
      <c r="I630" s="0" t="s">
        <v>34</v>
      </c>
      <c r="J630" s="0" t="n">
        <v>1.94</v>
      </c>
      <c r="K630" s="0" t="s">
        <v>35</v>
      </c>
      <c r="L630" s="0" t="n">
        <f aca="false">INDEX(Summary!$F$2:$F$201,MATCH($B630,Summary!$A$2:$A$201,0))</f>
        <v>20</v>
      </c>
      <c r="M630" s="0" t="n">
        <f aca="false">INDEX(Summary!$I$2:$I$201,MATCH($B630,Summary!$A$2:$A$201,0))</f>
        <v>2</v>
      </c>
      <c r="N630" s="0" t="n">
        <f aca="false">INDEX(Summary!$J$2:$J$201,MATCH($B630,Summary!$A$2:$A$201,0))</f>
        <v>3</v>
      </c>
      <c r="O630" s="2" t="n">
        <f aca="false">INDEX(Summary!$K$2:$K$201,MATCH($B630,Summary!$A$2:$A$201,0))</f>
        <v>8.55</v>
      </c>
      <c r="P630" s="3" t="n">
        <f aca="false">INDEX(Summary!$L$2:$L$201,MATCH($B630,Summary!$A$2:$A$201,0))</f>
        <v>2</v>
      </c>
      <c r="Q630" s="3" t="n">
        <f aca="false">INDEX(Summary!$M$2:$M$201,MATCH($B630,Summary!$A$2:$A$201,0))</f>
        <v>4</v>
      </c>
      <c r="R630" s="2" t="n">
        <f aca="false">INDEX(Summary!$N$2:$N$201,MATCH($B630,Summary!$A$2:$A$201,0))</f>
        <v>11.37</v>
      </c>
      <c r="S630" s="3" t="n">
        <f aca="false">INDEX(Summary!$O$2:$O$201,MATCH($B630,Summary!$A$2:$A$201,0))</f>
        <v>6</v>
      </c>
      <c r="T630" s="3" t="n">
        <f aca="false">INDEX(Summary!$P$2:$P$201,MATCH($B630,Summary!$A$2:$A$201,0))</f>
        <v>3</v>
      </c>
      <c r="U630" s="2" t="n">
        <f aca="false">INDEX(Summary!$Q$2:$Q$201,MATCH($B630,Summary!$A$2:$A$201,0))</f>
        <v>14.19</v>
      </c>
      <c r="V630" s="2" t="n">
        <f aca="false">INDEX(Summary!$R$2:$R$201,MATCH($B630,Summary!$A$2:$A$201,0))</f>
        <v>18.94</v>
      </c>
      <c r="W630" s="0" t="str">
        <f aca="false">INDEX(Summary!$S$2:$S$201,MATCH($B630,Summary!$A$2:$A$201,0))</f>
        <v>Bronze</v>
      </c>
      <c r="X630" s="2" t="n">
        <f aca="false">INDEX(Summary!$T$2:$T$201,MATCH($B630,Summary!$A$2:$A$201,0))</f>
        <v>46.2</v>
      </c>
      <c r="Y630" s="0" t="str">
        <f aca="false">INDEX('Reward Model'!$E$18:$E$37,MATCH($E630,'Reward Model'!$A$18:$A$37,0))</f>
        <v>Medium</v>
      </c>
      <c r="Z630" s="4" t="n">
        <f aca="false">ROUND(MIN(1,MAX('Reward Model'!$B$2,INDEX('Reward Model'!$C$12:$C$14,MATCH($K630,'Reward Model'!$A$12:$A$14,0))/$J630)),3)</f>
        <v>0.773</v>
      </c>
      <c r="AA630" s="2" t="n">
        <f aca="false">IF($I630="Correct",ROUND(INDEX('Reward Model'!$B$12:$B$14,MATCH($K630,'Reward Model'!$A$12:$A$14,0))*Z630,2),0)</f>
        <v>0.77</v>
      </c>
      <c r="AB630" s="2" t="n">
        <f aca="false">IF($I630="Correct",ROUND(INDEX('Reward Model'!$B$12:$B$14,MATCH($Y630,'Reward Model'!$A$12:$A$14,0))*Z630,2),0)</f>
        <v>1.55</v>
      </c>
    </row>
    <row r="631" customFormat="false" ht="15" hidden="false" customHeight="false" outlineLevel="0" collapsed="false">
      <c r="A631" s="0" t="s">
        <v>191</v>
      </c>
      <c r="B631" s="0" t="s">
        <v>192</v>
      </c>
      <c r="C631" s="0" t="s">
        <v>30</v>
      </c>
      <c r="D631" s="0" t="s">
        <v>189</v>
      </c>
      <c r="E631" s="0" t="n">
        <v>10</v>
      </c>
      <c r="F631" s="0" t="s">
        <v>58</v>
      </c>
      <c r="G631" s="0" t="s">
        <v>99</v>
      </c>
      <c r="H631" s="0" t="s">
        <v>59</v>
      </c>
      <c r="I631" s="0" t="s">
        <v>39</v>
      </c>
      <c r="J631" s="0" t="n">
        <v>2.27</v>
      </c>
      <c r="K631" s="0" t="s">
        <v>60</v>
      </c>
      <c r="L631" s="0" t="n">
        <f aca="false">INDEX(Summary!$F$2:$F$201,MATCH($B631,Summary!$A$2:$A$201,0))</f>
        <v>20</v>
      </c>
      <c r="M631" s="0" t="n">
        <f aca="false">INDEX(Summary!$I$2:$I$201,MATCH($B631,Summary!$A$2:$A$201,0))</f>
        <v>2</v>
      </c>
      <c r="N631" s="0" t="n">
        <f aca="false">INDEX(Summary!$J$2:$J$201,MATCH($B631,Summary!$A$2:$A$201,0))</f>
        <v>3</v>
      </c>
      <c r="O631" s="2" t="n">
        <f aca="false">INDEX(Summary!$K$2:$K$201,MATCH($B631,Summary!$A$2:$A$201,0))</f>
        <v>8.55</v>
      </c>
      <c r="P631" s="3" t="n">
        <f aca="false">INDEX(Summary!$L$2:$L$201,MATCH($B631,Summary!$A$2:$A$201,0))</f>
        <v>2</v>
      </c>
      <c r="Q631" s="3" t="n">
        <f aca="false">INDEX(Summary!$M$2:$M$201,MATCH($B631,Summary!$A$2:$A$201,0))</f>
        <v>4</v>
      </c>
      <c r="R631" s="2" t="n">
        <f aca="false">INDEX(Summary!$N$2:$N$201,MATCH($B631,Summary!$A$2:$A$201,0))</f>
        <v>11.37</v>
      </c>
      <c r="S631" s="3" t="n">
        <f aca="false">INDEX(Summary!$O$2:$O$201,MATCH($B631,Summary!$A$2:$A$201,0))</f>
        <v>6</v>
      </c>
      <c r="T631" s="3" t="n">
        <f aca="false">INDEX(Summary!$P$2:$P$201,MATCH($B631,Summary!$A$2:$A$201,0))</f>
        <v>3</v>
      </c>
      <c r="U631" s="2" t="n">
        <f aca="false">INDEX(Summary!$Q$2:$Q$201,MATCH($B631,Summary!$A$2:$A$201,0))</f>
        <v>14.19</v>
      </c>
      <c r="V631" s="2" t="n">
        <f aca="false">INDEX(Summary!$R$2:$R$201,MATCH($B631,Summary!$A$2:$A$201,0))</f>
        <v>18.94</v>
      </c>
      <c r="W631" s="0" t="str">
        <f aca="false">INDEX(Summary!$S$2:$S$201,MATCH($B631,Summary!$A$2:$A$201,0))</f>
        <v>Bronze</v>
      </c>
      <c r="X631" s="2" t="n">
        <f aca="false">INDEX(Summary!$T$2:$T$201,MATCH($B631,Summary!$A$2:$A$201,0))</f>
        <v>46.2</v>
      </c>
      <c r="Y631" s="0" t="str">
        <f aca="false">INDEX('Reward Model'!$E$18:$E$37,MATCH($E631,'Reward Model'!$A$18:$A$37,0))</f>
        <v>Medium</v>
      </c>
      <c r="Z631" s="4" t="n">
        <f aca="false">ROUND(MIN(1,MAX('Reward Model'!$B$2,INDEX('Reward Model'!$C$12:$C$14,MATCH($K631,'Reward Model'!$A$12:$A$14,0))/$J631)),3)</f>
        <v>0.793</v>
      </c>
      <c r="AA631" s="2" t="n">
        <f aca="false">IF($I631="Correct",ROUND(INDEX('Reward Model'!$B$12:$B$14,MATCH($K631,'Reward Model'!$A$12:$A$14,0))*Z631,2),0)</f>
        <v>0</v>
      </c>
      <c r="AB631" s="2" t="n">
        <f aca="false">IF($I631="Correct",ROUND(INDEX('Reward Model'!$B$12:$B$14,MATCH($Y631,'Reward Model'!$A$12:$A$14,0))*Z631,2),0)</f>
        <v>0</v>
      </c>
    </row>
    <row r="632" customFormat="false" ht="15" hidden="false" customHeight="false" outlineLevel="0" collapsed="false">
      <c r="A632" s="0" t="s">
        <v>191</v>
      </c>
      <c r="B632" s="0" t="s">
        <v>192</v>
      </c>
      <c r="C632" s="0" t="s">
        <v>30</v>
      </c>
      <c r="D632" s="0" t="s">
        <v>189</v>
      </c>
      <c r="E632" s="0" t="n">
        <v>11</v>
      </c>
      <c r="F632" s="0" t="s">
        <v>61</v>
      </c>
      <c r="G632" s="0" t="s">
        <v>62</v>
      </c>
      <c r="H632" s="0" t="s">
        <v>63</v>
      </c>
      <c r="I632" s="0" t="s">
        <v>39</v>
      </c>
      <c r="J632" s="0" t="n">
        <v>2.06</v>
      </c>
      <c r="K632" s="0" t="s">
        <v>60</v>
      </c>
      <c r="L632" s="0" t="n">
        <f aca="false">INDEX(Summary!$F$2:$F$201,MATCH($B632,Summary!$A$2:$A$201,0))</f>
        <v>20</v>
      </c>
      <c r="M632" s="0" t="n">
        <f aca="false">INDEX(Summary!$I$2:$I$201,MATCH($B632,Summary!$A$2:$A$201,0))</f>
        <v>2</v>
      </c>
      <c r="N632" s="0" t="n">
        <f aca="false">INDEX(Summary!$J$2:$J$201,MATCH($B632,Summary!$A$2:$A$201,0))</f>
        <v>3</v>
      </c>
      <c r="O632" s="2" t="n">
        <f aca="false">INDEX(Summary!$K$2:$K$201,MATCH($B632,Summary!$A$2:$A$201,0))</f>
        <v>8.55</v>
      </c>
      <c r="P632" s="3" t="n">
        <f aca="false">INDEX(Summary!$L$2:$L$201,MATCH($B632,Summary!$A$2:$A$201,0))</f>
        <v>2</v>
      </c>
      <c r="Q632" s="3" t="n">
        <f aca="false">INDEX(Summary!$M$2:$M$201,MATCH($B632,Summary!$A$2:$A$201,0))</f>
        <v>4</v>
      </c>
      <c r="R632" s="2" t="n">
        <f aca="false">INDEX(Summary!$N$2:$N$201,MATCH($B632,Summary!$A$2:$A$201,0))</f>
        <v>11.37</v>
      </c>
      <c r="S632" s="3" t="n">
        <f aca="false">INDEX(Summary!$O$2:$O$201,MATCH($B632,Summary!$A$2:$A$201,0))</f>
        <v>6</v>
      </c>
      <c r="T632" s="3" t="n">
        <f aca="false">INDEX(Summary!$P$2:$P$201,MATCH($B632,Summary!$A$2:$A$201,0))</f>
        <v>3</v>
      </c>
      <c r="U632" s="2" t="n">
        <f aca="false">INDEX(Summary!$Q$2:$Q$201,MATCH($B632,Summary!$A$2:$A$201,0))</f>
        <v>14.19</v>
      </c>
      <c r="V632" s="2" t="n">
        <f aca="false">INDEX(Summary!$R$2:$R$201,MATCH($B632,Summary!$A$2:$A$201,0))</f>
        <v>18.94</v>
      </c>
      <c r="W632" s="0" t="str">
        <f aca="false">INDEX(Summary!$S$2:$S$201,MATCH($B632,Summary!$A$2:$A$201,0))</f>
        <v>Bronze</v>
      </c>
      <c r="X632" s="2" t="n">
        <f aca="false">INDEX(Summary!$T$2:$T$201,MATCH($B632,Summary!$A$2:$A$201,0))</f>
        <v>46.2</v>
      </c>
      <c r="Y632" s="0" t="str">
        <f aca="false">INDEX('Reward Model'!$E$18:$E$37,MATCH($E632,'Reward Model'!$A$18:$A$37,0))</f>
        <v>Medium</v>
      </c>
      <c r="Z632" s="4" t="n">
        <f aca="false">ROUND(MIN(1,MAX('Reward Model'!$B$2,INDEX('Reward Model'!$C$12:$C$14,MATCH($K632,'Reward Model'!$A$12:$A$14,0))/$J632)),3)</f>
        <v>0.874</v>
      </c>
      <c r="AA632" s="2" t="n">
        <f aca="false">IF($I632="Correct",ROUND(INDEX('Reward Model'!$B$12:$B$14,MATCH($K632,'Reward Model'!$A$12:$A$14,0))*Z632,2),0)</f>
        <v>0</v>
      </c>
      <c r="AB632" s="2" t="n">
        <f aca="false">IF($I632="Correct",ROUND(INDEX('Reward Model'!$B$12:$B$14,MATCH($Y632,'Reward Model'!$A$12:$A$14,0))*Z632,2),0)</f>
        <v>0</v>
      </c>
    </row>
    <row r="633" customFormat="false" ht="15" hidden="false" customHeight="false" outlineLevel="0" collapsed="false">
      <c r="A633" s="0" t="s">
        <v>191</v>
      </c>
      <c r="B633" s="0" t="s">
        <v>192</v>
      </c>
      <c r="C633" s="0" t="s">
        <v>30</v>
      </c>
      <c r="D633" s="0" t="s">
        <v>189</v>
      </c>
      <c r="E633" s="0" t="n">
        <v>12</v>
      </c>
      <c r="F633" s="0" t="s">
        <v>64</v>
      </c>
      <c r="G633" s="0" t="s">
        <v>65</v>
      </c>
      <c r="H633" s="0" t="s">
        <v>65</v>
      </c>
      <c r="I633" s="0" t="s">
        <v>34</v>
      </c>
      <c r="J633" s="0" t="n">
        <v>1.86</v>
      </c>
      <c r="K633" s="0" t="s">
        <v>60</v>
      </c>
      <c r="L633" s="0" t="n">
        <f aca="false">INDEX(Summary!$F$2:$F$201,MATCH($B633,Summary!$A$2:$A$201,0))</f>
        <v>20</v>
      </c>
      <c r="M633" s="0" t="n">
        <f aca="false">INDEX(Summary!$I$2:$I$201,MATCH($B633,Summary!$A$2:$A$201,0))</f>
        <v>2</v>
      </c>
      <c r="N633" s="0" t="n">
        <f aca="false">INDEX(Summary!$J$2:$J$201,MATCH($B633,Summary!$A$2:$A$201,0))</f>
        <v>3</v>
      </c>
      <c r="O633" s="2" t="n">
        <f aca="false">INDEX(Summary!$K$2:$K$201,MATCH($B633,Summary!$A$2:$A$201,0))</f>
        <v>8.55</v>
      </c>
      <c r="P633" s="3" t="n">
        <f aca="false">INDEX(Summary!$L$2:$L$201,MATCH($B633,Summary!$A$2:$A$201,0))</f>
        <v>2</v>
      </c>
      <c r="Q633" s="3" t="n">
        <f aca="false">INDEX(Summary!$M$2:$M$201,MATCH($B633,Summary!$A$2:$A$201,0))</f>
        <v>4</v>
      </c>
      <c r="R633" s="2" t="n">
        <f aca="false">INDEX(Summary!$N$2:$N$201,MATCH($B633,Summary!$A$2:$A$201,0))</f>
        <v>11.37</v>
      </c>
      <c r="S633" s="3" t="n">
        <f aca="false">INDEX(Summary!$O$2:$O$201,MATCH($B633,Summary!$A$2:$A$201,0))</f>
        <v>6</v>
      </c>
      <c r="T633" s="3" t="n">
        <f aca="false">INDEX(Summary!$P$2:$P$201,MATCH($B633,Summary!$A$2:$A$201,0))</f>
        <v>3</v>
      </c>
      <c r="U633" s="2" t="n">
        <f aca="false">INDEX(Summary!$Q$2:$Q$201,MATCH($B633,Summary!$A$2:$A$201,0))</f>
        <v>14.19</v>
      </c>
      <c r="V633" s="2" t="n">
        <f aca="false">INDEX(Summary!$R$2:$R$201,MATCH($B633,Summary!$A$2:$A$201,0))</f>
        <v>18.94</v>
      </c>
      <c r="W633" s="0" t="str">
        <f aca="false">INDEX(Summary!$S$2:$S$201,MATCH($B633,Summary!$A$2:$A$201,0))</f>
        <v>Bronze</v>
      </c>
      <c r="X633" s="2" t="n">
        <f aca="false">INDEX(Summary!$T$2:$T$201,MATCH($B633,Summary!$A$2:$A$201,0))</f>
        <v>46.2</v>
      </c>
      <c r="Y633" s="0" t="str">
        <f aca="false">INDEX('Reward Model'!$E$18:$E$37,MATCH($E633,'Reward Model'!$A$18:$A$37,0))</f>
        <v>Medium</v>
      </c>
      <c r="Z633" s="4" t="n">
        <f aca="false">ROUND(MIN(1,MAX('Reward Model'!$B$2,INDEX('Reward Model'!$C$12:$C$14,MATCH($K633,'Reward Model'!$A$12:$A$14,0))/$J633)),3)</f>
        <v>0.968</v>
      </c>
      <c r="AA633" s="2" t="n">
        <f aca="false">IF($I633="Correct",ROUND(INDEX('Reward Model'!$B$12:$B$14,MATCH($K633,'Reward Model'!$A$12:$A$14,0))*Z633,2),0)</f>
        <v>1.94</v>
      </c>
      <c r="AB633" s="2" t="n">
        <f aca="false">IF($I633="Correct",ROUND(INDEX('Reward Model'!$B$12:$B$14,MATCH($Y633,'Reward Model'!$A$12:$A$14,0))*Z633,2),0)</f>
        <v>1.94</v>
      </c>
    </row>
    <row r="634" customFormat="false" ht="15" hidden="false" customHeight="false" outlineLevel="0" collapsed="false">
      <c r="A634" s="0" t="s">
        <v>191</v>
      </c>
      <c r="B634" s="0" t="s">
        <v>192</v>
      </c>
      <c r="C634" s="0" t="s">
        <v>30</v>
      </c>
      <c r="D634" s="0" t="s">
        <v>189</v>
      </c>
      <c r="E634" s="0" t="n">
        <v>13</v>
      </c>
      <c r="F634" s="0" t="s">
        <v>66</v>
      </c>
      <c r="G634" s="0" t="s">
        <v>165</v>
      </c>
      <c r="H634" s="0" t="s">
        <v>67</v>
      </c>
      <c r="I634" s="0" t="s">
        <v>39</v>
      </c>
      <c r="J634" s="0" t="n">
        <v>1.15</v>
      </c>
      <c r="K634" s="0" t="s">
        <v>60</v>
      </c>
      <c r="L634" s="0" t="n">
        <f aca="false">INDEX(Summary!$F$2:$F$201,MATCH($B634,Summary!$A$2:$A$201,0))</f>
        <v>20</v>
      </c>
      <c r="M634" s="0" t="n">
        <f aca="false">INDEX(Summary!$I$2:$I$201,MATCH($B634,Summary!$A$2:$A$201,0))</f>
        <v>2</v>
      </c>
      <c r="N634" s="0" t="n">
        <f aca="false">INDEX(Summary!$J$2:$J$201,MATCH($B634,Summary!$A$2:$A$201,0))</f>
        <v>3</v>
      </c>
      <c r="O634" s="2" t="n">
        <f aca="false">INDEX(Summary!$K$2:$K$201,MATCH($B634,Summary!$A$2:$A$201,0))</f>
        <v>8.55</v>
      </c>
      <c r="P634" s="3" t="n">
        <f aca="false">INDEX(Summary!$L$2:$L$201,MATCH($B634,Summary!$A$2:$A$201,0))</f>
        <v>2</v>
      </c>
      <c r="Q634" s="3" t="n">
        <f aca="false">INDEX(Summary!$M$2:$M$201,MATCH($B634,Summary!$A$2:$A$201,0))</f>
        <v>4</v>
      </c>
      <c r="R634" s="2" t="n">
        <f aca="false">INDEX(Summary!$N$2:$N$201,MATCH($B634,Summary!$A$2:$A$201,0))</f>
        <v>11.37</v>
      </c>
      <c r="S634" s="3" t="n">
        <f aca="false">INDEX(Summary!$O$2:$O$201,MATCH($B634,Summary!$A$2:$A$201,0))</f>
        <v>6</v>
      </c>
      <c r="T634" s="3" t="n">
        <f aca="false">INDEX(Summary!$P$2:$P$201,MATCH($B634,Summary!$A$2:$A$201,0))</f>
        <v>3</v>
      </c>
      <c r="U634" s="2" t="n">
        <f aca="false">INDEX(Summary!$Q$2:$Q$201,MATCH($B634,Summary!$A$2:$A$201,0))</f>
        <v>14.19</v>
      </c>
      <c r="V634" s="2" t="n">
        <f aca="false">INDEX(Summary!$R$2:$R$201,MATCH($B634,Summary!$A$2:$A$201,0))</f>
        <v>18.94</v>
      </c>
      <c r="W634" s="0" t="str">
        <f aca="false">INDEX(Summary!$S$2:$S$201,MATCH($B634,Summary!$A$2:$A$201,0))</f>
        <v>Bronze</v>
      </c>
      <c r="X634" s="2" t="n">
        <f aca="false">INDEX(Summary!$T$2:$T$201,MATCH($B634,Summary!$A$2:$A$201,0))</f>
        <v>46.2</v>
      </c>
      <c r="Y634" s="0" t="str">
        <f aca="false">INDEX('Reward Model'!$E$18:$E$37,MATCH($E634,'Reward Model'!$A$18:$A$37,0))</f>
        <v>Medium</v>
      </c>
      <c r="Z634" s="4" t="n">
        <f aca="false">ROUND(MIN(1,MAX('Reward Model'!$B$2,INDEX('Reward Model'!$C$12:$C$14,MATCH($K634,'Reward Model'!$A$12:$A$14,0))/$J634)),3)</f>
        <v>1</v>
      </c>
      <c r="AA634" s="2" t="n">
        <f aca="false">IF($I634="Correct",ROUND(INDEX('Reward Model'!$B$12:$B$14,MATCH($K634,'Reward Model'!$A$12:$A$14,0))*Z634,2),0)</f>
        <v>0</v>
      </c>
      <c r="AB634" s="2" t="n">
        <f aca="false">IF($I634="Correct",ROUND(INDEX('Reward Model'!$B$12:$B$14,MATCH($Y634,'Reward Model'!$A$12:$A$14,0))*Z634,2),0)</f>
        <v>0</v>
      </c>
    </row>
    <row r="635" customFormat="false" ht="15" hidden="false" customHeight="false" outlineLevel="0" collapsed="false">
      <c r="A635" s="0" t="s">
        <v>191</v>
      </c>
      <c r="B635" s="0" t="s">
        <v>192</v>
      </c>
      <c r="C635" s="0" t="s">
        <v>30</v>
      </c>
      <c r="D635" s="0" t="s">
        <v>189</v>
      </c>
      <c r="E635" s="0" t="n">
        <v>14</v>
      </c>
      <c r="F635" s="0" t="s">
        <v>68</v>
      </c>
      <c r="G635" s="0" t="s">
        <v>118</v>
      </c>
      <c r="H635" s="0" t="s">
        <v>51</v>
      </c>
      <c r="I635" s="0" t="s">
        <v>39</v>
      </c>
      <c r="J635" s="0" t="n">
        <v>2.15</v>
      </c>
      <c r="K635" s="0" t="s">
        <v>60</v>
      </c>
      <c r="L635" s="0" t="n">
        <f aca="false">INDEX(Summary!$F$2:$F$201,MATCH($B635,Summary!$A$2:$A$201,0))</f>
        <v>20</v>
      </c>
      <c r="M635" s="0" t="n">
        <f aca="false">INDEX(Summary!$I$2:$I$201,MATCH($B635,Summary!$A$2:$A$201,0))</f>
        <v>2</v>
      </c>
      <c r="N635" s="0" t="n">
        <f aca="false">INDEX(Summary!$J$2:$J$201,MATCH($B635,Summary!$A$2:$A$201,0))</f>
        <v>3</v>
      </c>
      <c r="O635" s="2" t="n">
        <f aca="false">INDEX(Summary!$K$2:$K$201,MATCH($B635,Summary!$A$2:$A$201,0))</f>
        <v>8.55</v>
      </c>
      <c r="P635" s="3" t="n">
        <f aca="false">INDEX(Summary!$L$2:$L$201,MATCH($B635,Summary!$A$2:$A$201,0))</f>
        <v>2</v>
      </c>
      <c r="Q635" s="3" t="n">
        <f aca="false">INDEX(Summary!$M$2:$M$201,MATCH($B635,Summary!$A$2:$A$201,0))</f>
        <v>4</v>
      </c>
      <c r="R635" s="2" t="n">
        <f aca="false">INDEX(Summary!$N$2:$N$201,MATCH($B635,Summary!$A$2:$A$201,0))</f>
        <v>11.37</v>
      </c>
      <c r="S635" s="3" t="n">
        <f aca="false">INDEX(Summary!$O$2:$O$201,MATCH($B635,Summary!$A$2:$A$201,0))</f>
        <v>6</v>
      </c>
      <c r="T635" s="3" t="n">
        <f aca="false">INDEX(Summary!$P$2:$P$201,MATCH($B635,Summary!$A$2:$A$201,0))</f>
        <v>3</v>
      </c>
      <c r="U635" s="2" t="n">
        <f aca="false">INDEX(Summary!$Q$2:$Q$201,MATCH($B635,Summary!$A$2:$A$201,0))</f>
        <v>14.19</v>
      </c>
      <c r="V635" s="2" t="n">
        <f aca="false">INDEX(Summary!$R$2:$R$201,MATCH($B635,Summary!$A$2:$A$201,0))</f>
        <v>18.94</v>
      </c>
      <c r="W635" s="0" t="str">
        <f aca="false">INDEX(Summary!$S$2:$S$201,MATCH($B635,Summary!$A$2:$A$201,0))</f>
        <v>Bronze</v>
      </c>
      <c r="X635" s="2" t="n">
        <f aca="false">INDEX(Summary!$T$2:$T$201,MATCH($B635,Summary!$A$2:$A$201,0))</f>
        <v>46.2</v>
      </c>
      <c r="Y635" s="0" t="str">
        <f aca="false">INDEX('Reward Model'!$E$18:$E$37,MATCH($E635,'Reward Model'!$A$18:$A$37,0))</f>
        <v>Medium</v>
      </c>
      <c r="Z635" s="4" t="n">
        <f aca="false">ROUND(MIN(1,MAX('Reward Model'!$B$2,INDEX('Reward Model'!$C$12:$C$14,MATCH($K635,'Reward Model'!$A$12:$A$14,0))/$J635)),3)</f>
        <v>0.837</v>
      </c>
      <c r="AA635" s="2" t="n">
        <f aca="false">IF($I635="Correct",ROUND(INDEX('Reward Model'!$B$12:$B$14,MATCH($K635,'Reward Model'!$A$12:$A$14,0))*Z635,2),0)</f>
        <v>0</v>
      </c>
      <c r="AB635" s="2" t="n">
        <f aca="false">IF($I635="Correct",ROUND(INDEX('Reward Model'!$B$12:$B$14,MATCH($Y635,'Reward Model'!$A$12:$A$14,0))*Z635,2),0)</f>
        <v>0</v>
      </c>
    </row>
    <row r="636" customFormat="false" ht="15" hidden="false" customHeight="false" outlineLevel="0" collapsed="false">
      <c r="A636" s="0" t="s">
        <v>191</v>
      </c>
      <c r="B636" s="0" t="s">
        <v>192</v>
      </c>
      <c r="C636" s="0" t="s">
        <v>30</v>
      </c>
      <c r="D636" s="0" t="s">
        <v>189</v>
      </c>
      <c r="E636" s="0" t="n">
        <v>15</v>
      </c>
      <c r="F636" s="0" t="s">
        <v>69</v>
      </c>
      <c r="G636" s="0" t="s">
        <v>70</v>
      </c>
      <c r="H636" s="0" t="s">
        <v>70</v>
      </c>
      <c r="I636" s="0" t="s">
        <v>34</v>
      </c>
      <c r="J636" s="0" t="n">
        <v>1.88</v>
      </c>
      <c r="K636" s="0" t="s">
        <v>60</v>
      </c>
      <c r="L636" s="0" t="n">
        <f aca="false">INDEX(Summary!$F$2:$F$201,MATCH($B636,Summary!$A$2:$A$201,0))</f>
        <v>20</v>
      </c>
      <c r="M636" s="0" t="n">
        <f aca="false">INDEX(Summary!$I$2:$I$201,MATCH($B636,Summary!$A$2:$A$201,0))</f>
        <v>2</v>
      </c>
      <c r="N636" s="0" t="n">
        <f aca="false">INDEX(Summary!$J$2:$J$201,MATCH($B636,Summary!$A$2:$A$201,0))</f>
        <v>3</v>
      </c>
      <c r="O636" s="2" t="n">
        <f aca="false">INDEX(Summary!$K$2:$K$201,MATCH($B636,Summary!$A$2:$A$201,0))</f>
        <v>8.55</v>
      </c>
      <c r="P636" s="3" t="n">
        <f aca="false">INDEX(Summary!$L$2:$L$201,MATCH($B636,Summary!$A$2:$A$201,0))</f>
        <v>2</v>
      </c>
      <c r="Q636" s="3" t="n">
        <f aca="false">INDEX(Summary!$M$2:$M$201,MATCH($B636,Summary!$A$2:$A$201,0))</f>
        <v>4</v>
      </c>
      <c r="R636" s="2" t="n">
        <f aca="false">INDEX(Summary!$N$2:$N$201,MATCH($B636,Summary!$A$2:$A$201,0))</f>
        <v>11.37</v>
      </c>
      <c r="S636" s="3" t="n">
        <f aca="false">INDEX(Summary!$O$2:$O$201,MATCH($B636,Summary!$A$2:$A$201,0))</f>
        <v>6</v>
      </c>
      <c r="T636" s="3" t="n">
        <f aca="false">INDEX(Summary!$P$2:$P$201,MATCH($B636,Summary!$A$2:$A$201,0))</f>
        <v>3</v>
      </c>
      <c r="U636" s="2" t="n">
        <f aca="false">INDEX(Summary!$Q$2:$Q$201,MATCH($B636,Summary!$A$2:$A$201,0))</f>
        <v>14.19</v>
      </c>
      <c r="V636" s="2" t="n">
        <f aca="false">INDEX(Summary!$R$2:$R$201,MATCH($B636,Summary!$A$2:$A$201,0))</f>
        <v>18.94</v>
      </c>
      <c r="W636" s="0" t="str">
        <f aca="false">INDEX(Summary!$S$2:$S$201,MATCH($B636,Summary!$A$2:$A$201,0))</f>
        <v>Bronze</v>
      </c>
      <c r="X636" s="2" t="n">
        <f aca="false">INDEX(Summary!$T$2:$T$201,MATCH($B636,Summary!$A$2:$A$201,0))</f>
        <v>46.2</v>
      </c>
      <c r="Y636" s="0" t="str">
        <f aca="false">INDEX('Reward Model'!$E$18:$E$37,MATCH($E636,'Reward Model'!$A$18:$A$37,0))</f>
        <v>Medium</v>
      </c>
      <c r="Z636" s="4" t="n">
        <f aca="false">ROUND(MIN(1,MAX('Reward Model'!$B$2,INDEX('Reward Model'!$C$12:$C$14,MATCH($K636,'Reward Model'!$A$12:$A$14,0))/$J636)),3)</f>
        <v>0.957</v>
      </c>
      <c r="AA636" s="2" t="n">
        <f aca="false">IF($I636="Correct",ROUND(INDEX('Reward Model'!$B$12:$B$14,MATCH($K636,'Reward Model'!$A$12:$A$14,0))*Z636,2),0)</f>
        <v>1.91</v>
      </c>
      <c r="AB636" s="2" t="n">
        <f aca="false">IF($I636="Correct",ROUND(INDEX('Reward Model'!$B$12:$B$14,MATCH($Y636,'Reward Model'!$A$12:$A$14,0))*Z636,2),0)</f>
        <v>1.91</v>
      </c>
    </row>
    <row r="637" customFormat="false" ht="15" hidden="false" customHeight="false" outlineLevel="0" collapsed="false">
      <c r="A637" s="0" t="s">
        <v>191</v>
      </c>
      <c r="B637" s="0" t="s">
        <v>192</v>
      </c>
      <c r="C637" s="0" t="s">
        <v>30</v>
      </c>
      <c r="D637" s="0" t="s">
        <v>189</v>
      </c>
      <c r="E637" s="0" t="n">
        <v>16</v>
      </c>
      <c r="F637" s="0" t="s">
        <v>71</v>
      </c>
      <c r="G637" s="0" t="s">
        <v>72</v>
      </c>
      <c r="H637" s="0" t="s">
        <v>72</v>
      </c>
      <c r="I637" s="0" t="s">
        <v>34</v>
      </c>
      <c r="J637" s="0" t="n">
        <v>1.96</v>
      </c>
      <c r="K637" s="0" t="s">
        <v>73</v>
      </c>
      <c r="L637" s="0" t="n">
        <f aca="false">INDEX(Summary!$F$2:$F$201,MATCH($B637,Summary!$A$2:$A$201,0))</f>
        <v>20</v>
      </c>
      <c r="M637" s="0" t="n">
        <f aca="false">INDEX(Summary!$I$2:$I$201,MATCH($B637,Summary!$A$2:$A$201,0))</f>
        <v>2</v>
      </c>
      <c r="N637" s="0" t="n">
        <f aca="false">INDEX(Summary!$J$2:$J$201,MATCH($B637,Summary!$A$2:$A$201,0))</f>
        <v>3</v>
      </c>
      <c r="O637" s="2" t="n">
        <f aca="false">INDEX(Summary!$K$2:$K$201,MATCH($B637,Summary!$A$2:$A$201,0))</f>
        <v>8.55</v>
      </c>
      <c r="P637" s="3" t="n">
        <f aca="false">INDEX(Summary!$L$2:$L$201,MATCH($B637,Summary!$A$2:$A$201,0))</f>
        <v>2</v>
      </c>
      <c r="Q637" s="3" t="n">
        <f aca="false">INDEX(Summary!$M$2:$M$201,MATCH($B637,Summary!$A$2:$A$201,0))</f>
        <v>4</v>
      </c>
      <c r="R637" s="2" t="n">
        <f aca="false">INDEX(Summary!$N$2:$N$201,MATCH($B637,Summary!$A$2:$A$201,0))</f>
        <v>11.37</v>
      </c>
      <c r="S637" s="3" t="n">
        <f aca="false">INDEX(Summary!$O$2:$O$201,MATCH($B637,Summary!$A$2:$A$201,0))</f>
        <v>6</v>
      </c>
      <c r="T637" s="3" t="n">
        <f aca="false">INDEX(Summary!$P$2:$P$201,MATCH($B637,Summary!$A$2:$A$201,0))</f>
        <v>3</v>
      </c>
      <c r="U637" s="2" t="n">
        <f aca="false">INDEX(Summary!$Q$2:$Q$201,MATCH($B637,Summary!$A$2:$A$201,0))</f>
        <v>14.19</v>
      </c>
      <c r="V637" s="2" t="n">
        <f aca="false">INDEX(Summary!$R$2:$R$201,MATCH($B637,Summary!$A$2:$A$201,0))</f>
        <v>18.94</v>
      </c>
      <c r="W637" s="0" t="str">
        <f aca="false">INDEX(Summary!$S$2:$S$201,MATCH($B637,Summary!$A$2:$A$201,0))</f>
        <v>Bronze</v>
      </c>
      <c r="X637" s="2" t="n">
        <f aca="false">INDEX(Summary!$T$2:$T$201,MATCH($B637,Summary!$A$2:$A$201,0))</f>
        <v>46.2</v>
      </c>
      <c r="Y637" s="0" t="str">
        <f aca="false">INDEX('Reward Model'!$E$18:$E$37,MATCH($E637,'Reward Model'!$A$18:$A$37,0))</f>
        <v>High</v>
      </c>
      <c r="Z637" s="4" t="n">
        <f aca="false">ROUND(MIN(1,MAX('Reward Model'!$B$2,INDEX('Reward Model'!$C$12:$C$14,MATCH($K637,'Reward Model'!$A$12:$A$14,0))/$J637)),3)</f>
        <v>1</v>
      </c>
      <c r="AA637" s="2" t="n">
        <f aca="false">IF($I637="Correct",ROUND(INDEX('Reward Model'!$B$12:$B$14,MATCH($K637,'Reward Model'!$A$12:$A$14,0))*Z637,2),0)</f>
        <v>3</v>
      </c>
      <c r="AB637" s="2" t="n">
        <f aca="false">IF($I637="Correct",ROUND(INDEX('Reward Model'!$B$12:$B$14,MATCH($Y637,'Reward Model'!$A$12:$A$14,0))*Z637,2),0)</f>
        <v>3</v>
      </c>
    </row>
    <row r="638" customFormat="false" ht="15" hidden="false" customHeight="false" outlineLevel="0" collapsed="false">
      <c r="A638" s="0" t="s">
        <v>191</v>
      </c>
      <c r="B638" s="0" t="s">
        <v>192</v>
      </c>
      <c r="C638" s="0" t="s">
        <v>30</v>
      </c>
      <c r="D638" s="0" t="s">
        <v>189</v>
      </c>
      <c r="E638" s="0" t="n">
        <v>17</v>
      </c>
      <c r="F638" s="0" t="s">
        <v>74</v>
      </c>
      <c r="G638" s="0" t="s">
        <v>113</v>
      </c>
      <c r="H638" s="0" t="s">
        <v>75</v>
      </c>
      <c r="I638" s="0" t="s">
        <v>39</v>
      </c>
      <c r="J638" s="0" t="n">
        <v>2.02</v>
      </c>
      <c r="K638" s="0" t="s">
        <v>73</v>
      </c>
      <c r="L638" s="0" t="n">
        <f aca="false">INDEX(Summary!$F$2:$F$201,MATCH($B638,Summary!$A$2:$A$201,0))</f>
        <v>20</v>
      </c>
      <c r="M638" s="0" t="n">
        <f aca="false">INDEX(Summary!$I$2:$I$201,MATCH($B638,Summary!$A$2:$A$201,0))</f>
        <v>2</v>
      </c>
      <c r="N638" s="0" t="n">
        <f aca="false">INDEX(Summary!$J$2:$J$201,MATCH($B638,Summary!$A$2:$A$201,0))</f>
        <v>3</v>
      </c>
      <c r="O638" s="2" t="n">
        <f aca="false">INDEX(Summary!$K$2:$K$201,MATCH($B638,Summary!$A$2:$A$201,0))</f>
        <v>8.55</v>
      </c>
      <c r="P638" s="3" t="n">
        <f aca="false">INDEX(Summary!$L$2:$L$201,MATCH($B638,Summary!$A$2:$A$201,0))</f>
        <v>2</v>
      </c>
      <c r="Q638" s="3" t="n">
        <f aca="false">INDEX(Summary!$M$2:$M$201,MATCH($B638,Summary!$A$2:$A$201,0))</f>
        <v>4</v>
      </c>
      <c r="R638" s="2" t="n">
        <f aca="false">INDEX(Summary!$N$2:$N$201,MATCH($B638,Summary!$A$2:$A$201,0))</f>
        <v>11.37</v>
      </c>
      <c r="S638" s="3" t="n">
        <f aca="false">INDEX(Summary!$O$2:$O$201,MATCH($B638,Summary!$A$2:$A$201,0))</f>
        <v>6</v>
      </c>
      <c r="T638" s="3" t="n">
        <f aca="false">INDEX(Summary!$P$2:$P$201,MATCH($B638,Summary!$A$2:$A$201,0))</f>
        <v>3</v>
      </c>
      <c r="U638" s="2" t="n">
        <f aca="false">INDEX(Summary!$Q$2:$Q$201,MATCH($B638,Summary!$A$2:$A$201,0))</f>
        <v>14.19</v>
      </c>
      <c r="V638" s="2" t="n">
        <f aca="false">INDEX(Summary!$R$2:$R$201,MATCH($B638,Summary!$A$2:$A$201,0))</f>
        <v>18.94</v>
      </c>
      <c r="W638" s="0" t="str">
        <f aca="false">INDEX(Summary!$S$2:$S$201,MATCH($B638,Summary!$A$2:$A$201,0))</f>
        <v>Bronze</v>
      </c>
      <c r="X638" s="2" t="n">
        <f aca="false">INDEX(Summary!$T$2:$T$201,MATCH($B638,Summary!$A$2:$A$201,0))</f>
        <v>46.2</v>
      </c>
      <c r="Y638" s="0" t="str">
        <f aca="false">INDEX('Reward Model'!$E$18:$E$37,MATCH($E638,'Reward Model'!$A$18:$A$37,0))</f>
        <v>High</v>
      </c>
      <c r="Z638" s="4" t="n">
        <f aca="false">ROUND(MIN(1,MAX('Reward Model'!$B$2,INDEX('Reward Model'!$C$12:$C$14,MATCH($K638,'Reward Model'!$A$12:$A$14,0))/$J638)),3)</f>
        <v>0.99</v>
      </c>
      <c r="AA638" s="2" t="n">
        <f aca="false">IF($I638="Correct",ROUND(INDEX('Reward Model'!$B$12:$B$14,MATCH($K638,'Reward Model'!$A$12:$A$14,0))*Z638,2),0)</f>
        <v>0</v>
      </c>
      <c r="AB638" s="2" t="n">
        <f aca="false">IF($I638="Correct",ROUND(INDEX('Reward Model'!$B$12:$B$14,MATCH($Y638,'Reward Model'!$A$12:$A$14,0))*Z638,2),0)</f>
        <v>0</v>
      </c>
    </row>
    <row r="639" customFormat="false" ht="15" hidden="false" customHeight="false" outlineLevel="0" collapsed="false">
      <c r="A639" s="0" t="s">
        <v>191</v>
      </c>
      <c r="B639" s="0" t="s">
        <v>192</v>
      </c>
      <c r="C639" s="0" t="s">
        <v>30</v>
      </c>
      <c r="D639" s="0" t="s">
        <v>189</v>
      </c>
      <c r="E639" s="0" t="n">
        <v>18</v>
      </c>
      <c r="F639" s="0" t="s">
        <v>76</v>
      </c>
      <c r="G639" s="0" t="s">
        <v>88</v>
      </c>
      <c r="H639" s="0" t="s">
        <v>77</v>
      </c>
      <c r="I639" s="0" t="s">
        <v>39</v>
      </c>
      <c r="J639" s="0" t="n">
        <v>1.83</v>
      </c>
      <c r="K639" s="0" t="s">
        <v>73</v>
      </c>
      <c r="L639" s="0" t="n">
        <f aca="false">INDEX(Summary!$F$2:$F$201,MATCH($B639,Summary!$A$2:$A$201,0))</f>
        <v>20</v>
      </c>
      <c r="M639" s="0" t="n">
        <f aca="false">INDEX(Summary!$I$2:$I$201,MATCH($B639,Summary!$A$2:$A$201,0))</f>
        <v>2</v>
      </c>
      <c r="N639" s="0" t="n">
        <f aca="false">INDEX(Summary!$J$2:$J$201,MATCH($B639,Summary!$A$2:$A$201,0))</f>
        <v>3</v>
      </c>
      <c r="O639" s="2" t="n">
        <f aca="false">INDEX(Summary!$K$2:$K$201,MATCH($B639,Summary!$A$2:$A$201,0))</f>
        <v>8.55</v>
      </c>
      <c r="P639" s="3" t="n">
        <f aca="false">INDEX(Summary!$L$2:$L$201,MATCH($B639,Summary!$A$2:$A$201,0))</f>
        <v>2</v>
      </c>
      <c r="Q639" s="3" t="n">
        <f aca="false">INDEX(Summary!$M$2:$M$201,MATCH($B639,Summary!$A$2:$A$201,0))</f>
        <v>4</v>
      </c>
      <c r="R639" s="2" t="n">
        <f aca="false">INDEX(Summary!$N$2:$N$201,MATCH($B639,Summary!$A$2:$A$201,0))</f>
        <v>11.37</v>
      </c>
      <c r="S639" s="3" t="n">
        <f aca="false">INDEX(Summary!$O$2:$O$201,MATCH($B639,Summary!$A$2:$A$201,0))</f>
        <v>6</v>
      </c>
      <c r="T639" s="3" t="n">
        <f aca="false">INDEX(Summary!$P$2:$P$201,MATCH($B639,Summary!$A$2:$A$201,0))</f>
        <v>3</v>
      </c>
      <c r="U639" s="2" t="n">
        <f aca="false">INDEX(Summary!$Q$2:$Q$201,MATCH($B639,Summary!$A$2:$A$201,0))</f>
        <v>14.19</v>
      </c>
      <c r="V639" s="2" t="n">
        <f aca="false">INDEX(Summary!$R$2:$R$201,MATCH($B639,Summary!$A$2:$A$201,0))</f>
        <v>18.94</v>
      </c>
      <c r="W639" s="0" t="str">
        <f aca="false">INDEX(Summary!$S$2:$S$201,MATCH($B639,Summary!$A$2:$A$201,0))</f>
        <v>Bronze</v>
      </c>
      <c r="X639" s="2" t="n">
        <f aca="false">INDEX(Summary!$T$2:$T$201,MATCH($B639,Summary!$A$2:$A$201,0))</f>
        <v>46.2</v>
      </c>
      <c r="Y639" s="0" t="str">
        <f aca="false">INDEX('Reward Model'!$E$18:$E$37,MATCH($E639,'Reward Model'!$A$18:$A$37,0))</f>
        <v>High</v>
      </c>
      <c r="Z639" s="4" t="n">
        <f aca="false">ROUND(MIN(1,MAX('Reward Model'!$B$2,INDEX('Reward Model'!$C$12:$C$14,MATCH($K639,'Reward Model'!$A$12:$A$14,0))/$J639)),3)</f>
        <v>1</v>
      </c>
      <c r="AA639" s="2" t="n">
        <f aca="false">IF($I639="Correct",ROUND(INDEX('Reward Model'!$B$12:$B$14,MATCH($K639,'Reward Model'!$A$12:$A$14,0))*Z639,2),0)</f>
        <v>0</v>
      </c>
      <c r="AB639" s="2" t="n">
        <f aca="false">IF($I639="Correct",ROUND(INDEX('Reward Model'!$B$12:$B$14,MATCH($Y639,'Reward Model'!$A$12:$A$14,0))*Z639,2),0)</f>
        <v>0</v>
      </c>
    </row>
    <row r="640" customFormat="false" ht="15" hidden="false" customHeight="false" outlineLevel="0" collapsed="false">
      <c r="A640" s="0" t="s">
        <v>191</v>
      </c>
      <c r="B640" s="0" t="s">
        <v>192</v>
      </c>
      <c r="C640" s="0" t="s">
        <v>30</v>
      </c>
      <c r="D640" s="0" t="s">
        <v>189</v>
      </c>
      <c r="E640" s="0" t="n">
        <v>19</v>
      </c>
      <c r="F640" s="0" t="s">
        <v>78</v>
      </c>
      <c r="G640" s="0" t="s">
        <v>51</v>
      </c>
      <c r="H640" s="0" t="s">
        <v>80</v>
      </c>
      <c r="I640" s="0" t="s">
        <v>39</v>
      </c>
      <c r="J640" s="0" t="n">
        <v>1.37</v>
      </c>
      <c r="K640" s="0" t="s">
        <v>73</v>
      </c>
      <c r="L640" s="0" t="n">
        <f aca="false">INDEX(Summary!$F$2:$F$201,MATCH($B640,Summary!$A$2:$A$201,0))</f>
        <v>20</v>
      </c>
      <c r="M640" s="0" t="n">
        <f aca="false">INDEX(Summary!$I$2:$I$201,MATCH($B640,Summary!$A$2:$A$201,0))</f>
        <v>2</v>
      </c>
      <c r="N640" s="0" t="n">
        <f aca="false">INDEX(Summary!$J$2:$J$201,MATCH($B640,Summary!$A$2:$A$201,0))</f>
        <v>3</v>
      </c>
      <c r="O640" s="2" t="n">
        <f aca="false">INDEX(Summary!$K$2:$K$201,MATCH($B640,Summary!$A$2:$A$201,0))</f>
        <v>8.55</v>
      </c>
      <c r="P640" s="3" t="n">
        <f aca="false">INDEX(Summary!$L$2:$L$201,MATCH($B640,Summary!$A$2:$A$201,0))</f>
        <v>2</v>
      </c>
      <c r="Q640" s="3" t="n">
        <f aca="false">INDEX(Summary!$M$2:$M$201,MATCH($B640,Summary!$A$2:$A$201,0))</f>
        <v>4</v>
      </c>
      <c r="R640" s="2" t="n">
        <f aca="false">INDEX(Summary!$N$2:$N$201,MATCH($B640,Summary!$A$2:$A$201,0))</f>
        <v>11.37</v>
      </c>
      <c r="S640" s="3" t="n">
        <f aca="false">INDEX(Summary!$O$2:$O$201,MATCH($B640,Summary!$A$2:$A$201,0))</f>
        <v>6</v>
      </c>
      <c r="T640" s="3" t="n">
        <f aca="false">INDEX(Summary!$P$2:$P$201,MATCH($B640,Summary!$A$2:$A$201,0))</f>
        <v>3</v>
      </c>
      <c r="U640" s="2" t="n">
        <f aca="false">INDEX(Summary!$Q$2:$Q$201,MATCH($B640,Summary!$A$2:$A$201,0))</f>
        <v>14.19</v>
      </c>
      <c r="V640" s="2" t="n">
        <f aca="false">INDEX(Summary!$R$2:$R$201,MATCH($B640,Summary!$A$2:$A$201,0))</f>
        <v>18.94</v>
      </c>
      <c r="W640" s="0" t="str">
        <f aca="false">INDEX(Summary!$S$2:$S$201,MATCH($B640,Summary!$A$2:$A$201,0))</f>
        <v>Bronze</v>
      </c>
      <c r="X640" s="2" t="n">
        <f aca="false">INDEX(Summary!$T$2:$T$201,MATCH($B640,Summary!$A$2:$A$201,0))</f>
        <v>46.2</v>
      </c>
      <c r="Y640" s="0" t="str">
        <f aca="false">INDEX('Reward Model'!$E$18:$E$37,MATCH($E640,'Reward Model'!$A$18:$A$37,0))</f>
        <v>High</v>
      </c>
      <c r="Z640" s="4" t="n">
        <f aca="false">ROUND(MIN(1,MAX('Reward Model'!$B$2,INDEX('Reward Model'!$C$12:$C$14,MATCH($K640,'Reward Model'!$A$12:$A$14,0))/$J640)),3)</f>
        <v>1</v>
      </c>
      <c r="AA640" s="2" t="n">
        <f aca="false">IF($I640="Correct",ROUND(INDEX('Reward Model'!$B$12:$B$14,MATCH($K640,'Reward Model'!$A$12:$A$14,0))*Z640,2),0)</f>
        <v>0</v>
      </c>
      <c r="AB640" s="2" t="n">
        <f aca="false">IF($I640="Correct",ROUND(INDEX('Reward Model'!$B$12:$B$14,MATCH($Y640,'Reward Model'!$A$12:$A$14,0))*Z640,2),0)</f>
        <v>0</v>
      </c>
    </row>
    <row r="641" customFormat="false" ht="15" hidden="false" customHeight="false" outlineLevel="0" collapsed="false">
      <c r="A641" s="0" t="s">
        <v>191</v>
      </c>
      <c r="B641" s="0" t="s">
        <v>192</v>
      </c>
      <c r="C641" s="0" t="s">
        <v>30</v>
      </c>
      <c r="D641" s="0" t="s">
        <v>189</v>
      </c>
      <c r="E641" s="0" t="n">
        <v>20</v>
      </c>
      <c r="F641" s="0" t="s">
        <v>81</v>
      </c>
      <c r="G641" s="0" t="s">
        <v>83</v>
      </c>
      <c r="H641" s="0" t="s">
        <v>83</v>
      </c>
      <c r="I641" s="0" t="s">
        <v>34</v>
      </c>
      <c r="J641" s="0" t="n">
        <v>1.37</v>
      </c>
      <c r="K641" s="0" t="s">
        <v>73</v>
      </c>
      <c r="L641" s="0" t="n">
        <f aca="false">INDEX(Summary!$F$2:$F$201,MATCH($B641,Summary!$A$2:$A$201,0))</f>
        <v>20</v>
      </c>
      <c r="M641" s="0" t="n">
        <f aca="false">INDEX(Summary!$I$2:$I$201,MATCH($B641,Summary!$A$2:$A$201,0))</f>
        <v>2</v>
      </c>
      <c r="N641" s="0" t="n">
        <f aca="false">INDEX(Summary!$J$2:$J$201,MATCH($B641,Summary!$A$2:$A$201,0))</f>
        <v>3</v>
      </c>
      <c r="O641" s="2" t="n">
        <f aca="false">INDEX(Summary!$K$2:$K$201,MATCH($B641,Summary!$A$2:$A$201,0))</f>
        <v>8.55</v>
      </c>
      <c r="P641" s="3" t="n">
        <f aca="false">INDEX(Summary!$L$2:$L$201,MATCH($B641,Summary!$A$2:$A$201,0))</f>
        <v>2</v>
      </c>
      <c r="Q641" s="3" t="n">
        <f aca="false">INDEX(Summary!$M$2:$M$201,MATCH($B641,Summary!$A$2:$A$201,0))</f>
        <v>4</v>
      </c>
      <c r="R641" s="2" t="n">
        <f aca="false">INDEX(Summary!$N$2:$N$201,MATCH($B641,Summary!$A$2:$A$201,0))</f>
        <v>11.37</v>
      </c>
      <c r="S641" s="3" t="n">
        <f aca="false">INDEX(Summary!$O$2:$O$201,MATCH($B641,Summary!$A$2:$A$201,0))</f>
        <v>6</v>
      </c>
      <c r="T641" s="3" t="n">
        <f aca="false">INDEX(Summary!$P$2:$P$201,MATCH($B641,Summary!$A$2:$A$201,0))</f>
        <v>3</v>
      </c>
      <c r="U641" s="2" t="n">
        <f aca="false">INDEX(Summary!$Q$2:$Q$201,MATCH($B641,Summary!$A$2:$A$201,0))</f>
        <v>14.19</v>
      </c>
      <c r="V641" s="2" t="n">
        <f aca="false">INDEX(Summary!$R$2:$R$201,MATCH($B641,Summary!$A$2:$A$201,0))</f>
        <v>18.94</v>
      </c>
      <c r="W641" s="0" t="str">
        <f aca="false">INDEX(Summary!$S$2:$S$201,MATCH($B641,Summary!$A$2:$A$201,0))</f>
        <v>Bronze</v>
      </c>
      <c r="X641" s="2" t="n">
        <f aca="false">INDEX(Summary!$T$2:$T$201,MATCH($B641,Summary!$A$2:$A$201,0))</f>
        <v>46.2</v>
      </c>
      <c r="Y641" s="0" t="str">
        <f aca="false">INDEX('Reward Model'!$E$18:$E$37,MATCH($E641,'Reward Model'!$A$18:$A$37,0))</f>
        <v>High</v>
      </c>
      <c r="Z641" s="4" t="n">
        <f aca="false">ROUND(MIN(1,MAX('Reward Model'!$B$2,INDEX('Reward Model'!$C$12:$C$14,MATCH($K641,'Reward Model'!$A$12:$A$14,0))/$J641)),3)</f>
        <v>1</v>
      </c>
      <c r="AA641" s="2" t="n">
        <f aca="false">IF($I641="Correct",ROUND(INDEX('Reward Model'!$B$12:$B$14,MATCH($K641,'Reward Model'!$A$12:$A$14,0))*Z641,2),0)</f>
        <v>3</v>
      </c>
      <c r="AB641" s="2" t="n">
        <f aca="false">IF($I641="Correct",ROUND(INDEX('Reward Model'!$B$12:$B$14,MATCH($Y641,'Reward Model'!$A$12:$A$14,0))*Z641,2),0)</f>
        <v>3</v>
      </c>
    </row>
    <row r="642" customFormat="false" ht="15" hidden="false" customHeight="false" outlineLevel="0" collapsed="false">
      <c r="A642" s="0" t="s">
        <v>193</v>
      </c>
      <c r="B642" s="0" t="s">
        <v>194</v>
      </c>
      <c r="C642" s="0" t="s">
        <v>30</v>
      </c>
      <c r="D642" s="0" t="s">
        <v>189</v>
      </c>
      <c r="E642" s="0" t="n">
        <v>1</v>
      </c>
      <c r="F642" s="0" t="s">
        <v>32</v>
      </c>
      <c r="G642" s="0" t="s">
        <v>33</v>
      </c>
      <c r="H642" s="0" t="s">
        <v>33</v>
      </c>
      <c r="I642" s="0" t="s">
        <v>34</v>
      </c>
      <c r="J642" s="0" t="n">
        <v>1</v>
      </c>
      <c r="K642" s="0" t="s">
        <v>35</v>
      </c>
      <c r="L642" s="0" t="n">
        <f aca="false">INDEX(Summary!$F$2:$F$201,MATCH($B642,Summary!$A$2:$A$201,0))</f>
        <v>20</v>
      </c>
      <c r="M642" s="0" t="n">
        <f aca="false">INDEX(Summary!$I$2:$I$201,MATCH($B642,Summary!$A$2:$A$201,0))</f>
        <v>3</v>
      </c>
      <c r="N642" s="0" t="n">
        <f aca="false">INDEX(Summary!$J$2:$J$201,MATCH($B642,Summary!$A$2:$A$201,0))</f>
        <v>2</v>
      </c>
      <c r="O642" s="2" t="n">
        <f aca="false">INDEX(Summary!$K$2:$K$201,MATCH($B642,Summary!$A$2:$A$201,0))</f>
        <v>8.87</v>
      </c>
      <c r="P642" s="3" t="n">
        <f aca="false">INDEX(Summary!$L$2:$L$201,MATCH($B642,Summary!$A$2:$A$201,0))</f>
        <v>3</v>
      </c>
      <c r="Q642" s="3" t="n">
        <f aca="false">INDEX(Summary!$M$2:$M$201,MATCH($B642,Summary!$A$2:$A$201,0))</f>
        <v>3</v>
      </c>
      <c r="R642" s="2" t="n">
        <f aca="false">INDEX(Summary!$N$2:$N$201,MATCH($B642,Summary!$A$2:$A$201,0))</f>
        <v>10.73</v>
      </c>
      <c r="S642" s="3" t="n">
        <f aca="false">INDEX(Summary!$O$2:$O$201,MATCH($B642,Summary!$A$2:$A$201,0))</f>
        <v>7</v>
      </c>
      <c r="T642" s="3" t="n">
        <f aca="false">INDEX(Summary!$P$2:$P$201,MATCH($B642,Summary!$A$2:$A$201,0))</f>
        <v>2</v>
      </c>
      <c r="U642" s="2" t="n">
        <f aca="false">INDEX(Summary!$Q$2:$Q$201,MATCH($B642,Summary!$A$2:$A$201,0))</f>
        <v>11.43</v>
      </c>
      <c r="V642" s="2" t="n">
        <f aca="false">INDEX(Summary!$R$2:$R$201,MATCH($B642,Summary!$A$2:$A$201,0))</f>
        <v>23.57</v>
      </c>
      <c r="W642" s="0" t="str">
        <f aca="false">INDEX(Summary!$S$2:$S$201,MATCH($B642,Summary!$A$2:$A$201,0))</f>
        <v>Silver</v>
      </c>
      <c r="X642" s="2" t="n">
        <f aca="false">INDEX(Summary!$T$2:$T$201,MATCH($B642,Summary!$A$2:$A$201,0))</f>
        <v>57.49</v>
      </c>
      <c r="Y642" s="0" t="str">
        <f aca="false">INDEX('Reward Model'!$E$18:$E$37,MATCH($E642,'Reward Model'!$A$18:$A$37,0))</f>
        <v>Medium</v>
      </c>
      <c r="Z642" s="4" t="n">
        <f aca="false">ROUND(MIN(1,MAX('Reward Model'!$B$2,INDEX('Reward Model'!$C$12:$C$14,MATCH($K642,'Reward Model'!$A$12:$A$14,0))/$J642)),3)</f>
        <v>1</v>
      </c>
      <c r="AA642" s="2" t="n">
        <f aca="false">IF($I642="Correct",ROUND(INDEX('Reward Model'!$B$12:$B$14,MATCH($K642,'Reward Model'!$A$12:$A$14,0))*Z642,2),0)</f>
        <v>1</v>
      </c>
      <c r="AB642" s="2" t="n">
        <f aca="false">IF($I642="Correct",ROUND(INDEX('Reward Model'!$B$12:$B$14,MATCH($Y642,'Reward Model'!$A$12:$A$14,0))*Z642,2),0)</f>
        <v>2</v>
      </c>
    </row>
    <row r="643" customFormat="false" ht="15" hidden="false" customHeight="false" outlineLevel="0" collapsed="false">
      <c r="A643" s="0" t="s">
        <v>193</v>
      </c>
      <c r="B643" s="0" t="s">
        <v>194</v>
      </c>
      <c r="C643" s="0" t="s">
        <v>30</v>
      </c>
      <c r="D643" s="0" t="s">
        <v>189</v>
      </c>
      <c r="E643" s="0" t="n">
        <v>2</v>
      </c>
      <c r="F643" s="0" t="s">
        <v>36</v>
      </c>
      <c r="G643" s="0" t="s">
        <v>38</v>
      </c>
      <c r="H643" s="0" t="s">
        <v>38</v>
      </c>
      <c r="I643" s="0" t="s">
        <v>34</v>
      </c>
      <c r="J643" s="0" t="n">
        <v>1.48</v>
      </c>
      <c r="K643" s="0" t="s">
        <v>35</v>
      </c>
      <c r="L643" s="0" t="n">
        <f aca="false">INDEX(Summary!$F$2:$F$201,MATCH($B643,Summary!$A$2:$A$201,0))</f>
        <v>20</v>
      </c>
      <c r="M643" s="0" t="n">
        <f aca="false">INDEX(Summary!$I$2:$I$201,MATCH($B643,Summary!$A$2:$A$201,0))</f>
        <v>3</v>
      </c>
      <c r="N643" s="0" t="n">
        <f aca="false">INDEX(Summary!$J$2:$J$201,MATCH($B643,Summary!$A$2:$A$201,0))</f>
        <v>2</v>
      </c>
      <c r="O643" s="2" t="n">
        <f aca="false">INDEX(Summary!$K$2:$K$201,MATCH($B643,Summary!$A$2:$A$201,0))</f>
        <v>8.87</v>
      </c>
      <c r="P643" s="3" t="n">
        <f aca="false">INDEX(Summary!$L$2:$L$201,MATCH($B643,Summary!$A$2:$A$201,0))</f>
        <v>3</v>
      </c>
      <c r="Q643" s="3" t="n">
        <f aca="false">INDEX(Summary!$M$2:$M$201,MATCH($B643,Summary!$A$2:$A$201,0))</f>
        <v>3</v>
      </c>
      <c r="R643" s="2" t="n">
        <f aca="false">INDEX(Summary!$N$2:$N$201,MATCH($B643,Summary!$A$2:$A$201,0))</f>
        <v>10.73</v>
      </c>
      <c r="S643" s="3" t="n">
        <f aca="false">INDEX(Summary!$O$2:$O$201,MATCH($B643,Summary!$A$2:$A$201,0))</f>
        <v>7</v>
      </c>
      <c r="T643" s="3" t="n">
        <f aca="false">INDEX(Summary!$P$2:$P$201,MATCH($B643,Summary!$A$2:$A$201,0))</f>
        <v>2</v>
      </c>
      <c r="U643" s="2" t="n">
        <f aca="false">INDEX(Summary!$Q$2:$Q$201,MATCH($B643,Summary!$A$2:$A$201,0))</f>
        <v>11.43</v>
      </c>
      <c r="V643" s="2" t="n">
        <f aca="false">INDEX(Summary!$R$2:$R$201,MATCH($B643,Summary!$A$2:$A$201,0))</f>
        <v>23.57</v>
      </c>
      <c r="W643" s="0" t="str">
        <f aca="false">INDEX(Summary!$S$2:$S$201,MATCH($B643,Summary!$A$2:$A$201,0))</f>
        <v>Silver</v>
      </c>
      <c r="X643" s="2" t="n">
        <f aca="false">INDEX(Summary!$T$2:$T$201,MATCH($B643,Summary!$A$2:$A$201,0))</f>
        <v>57.49</v>
      </c>
      <c r="Y643" s="0" t="str">
        <f aca="false">INDEX('Reward Model'!$E$18:$E$37,MATCH($E643,'Reward Model'!$A$18:$A$37,0))</f>
        <v>Low</v>
      </c>
      <c r="Z643" s="4" t="n">
        <f aca="false">ROUND(MIN(1,MAX('Reward Model'!$B$2,INDEX('Reward Model'!$C$12:$C$14,MATCH($K643,'Reward Model'!$A$12:$A$14,0))/$J643)),3)</f>
        <v>1</v>
      </c>
      <c r="AA643" s="2" t="n">
        <f aca="false">IF($I643="Correct",ROUND(INDEX('Reward Model'!$B$12:$B$14,MATCH($K643,'Reward Model'!$A$12:$A$14,0))*Z643,2),0)</f>
        <v>1</v>
      </c>
      <c r="AB643" s="2" t="n">
        <f aca="false">IF($I643="Correct",ROUND(INDEX('Reward Model'!$B$12:$B$14,MATCH($Y643,'Reward Model'!$A$12:$A$14,0))*Z643,2),0)</f>
        <v>1</v>
      </c>
    </row>
    <row r="644" customFormat="false" ht="15" hidden="false" customHeight="false" outlineLevel="0" collapsed="false">
      <c r="A644" s="0" t="s">
        <v>193</v>
      </c>
      <c r="B644" s="0" t="s">
        <v>194</v>
      </c>
      <c r="C644" s="0" t="s">
        <v>30</v>
      </c>
      <c r="D644" s="0" t="s">
        <v>189</v>
      </c>
      <c r="E644" s="0" t="n">
        <v>3</v>
      </c>
      <c r="F644" s="0" t="s">
        <v>40</v>
      </c>
      <c r="G644" s="0" t="s">
        <v>42</v>
      </c>
      <c r="H644" s="0" t="s">
        <v>42</v>
      </c>
      <c r="I644" s="0" t="s">
        <v>34</v>
      </c>
      <c r="J644" s="0" t="n">
        <v>1.28</v>
      </c>
      <c r="K644" s="0" t="s">
        <v>35</v>
      </c>
      <c r="L644" s="0" t="n">
        <f aca="false">INDEX(Summary!$F$2:$F$201,MATCH($B644,Summary!$A$2:$A$201,0))</f>
        <v>20</v>
      </c>
      <c r="M644" s="0" t="n">
        <f aca="false">INDEX(Summary!$I$2:$I$201,MATCH($B644,Summary!$A$2:$A$201,0))</f>
        <v>3</v>
      </c>
      <c r="N644" s="0" t="n">
        <f aca="false">INDEX(Summary!$J$2:$J$201,MATCH($B644,Summary!$A$2:$A$201,0))</f>
        <v>2</v>
      </c>
      <c r="O644" s="2" t="n">
        <f aca="false">INDEX(Summary!$K$2:$K$201,MATCH($B644,Summary!$A$2:$A$201,0))</f>
        <v>8.87</v>
      </c>
      <c r="P644" s="3" t="n">
        <f aca="false">INDEX(Summary!$L$2:$L$201,MATCH($B644,Summary!$A$2:$A$201,0))</f>
        <v>3</v>
      </c>
      <c r="Q644" s="3" t="n">
        <f aca="false">INDEX(Summary!$M$2:$M$201,MATCH($B644,Summary!$A$2:$A$201,0))</f>
        <v>3</v>
      </c>
      <c r="R644" s="2" t="n">
        <f aca="false">INDEX(Summary!$N$2:$N$201,MATCH($B644,Summary!$A$2:$A$201,0))</f>
        <v>10.73</v>
      </c>
      <c r="S644" s="3" t="n">
        <f aca="false">INDEX(Summary!$O$2:$O$201,MATCH($B644,Summary!$A$2:$A$201,0))</f>
        <v>7</v>
      </c>
      <c r="T644" s="3" t="n">
        <f aca="false">INDEX(Summary!$P$2:$P$201,MATCH($B644,Summary!$A$2:$A$201,0))</f>
        <v>2</v>
      </c>
      <c r="U644" s="2" t="n">
        <f aca="false">INDEX(Summary!$Q$2:$Q$201,MATCH($B644,Summary!$A$2:$A$201,0))</f>
        <v>11.43</v>
      </c>
      <c r="V644" s="2" t="n">
        <f aca="false">INDEX(Summary!$R$2:$R$201,MATCH($B644,Summary!$A$2:$A$201,0))</f>
        <v>23.57</v>
      </c>
      <c r="W644" s="0" t="str">
        <f aca="false">INDEX(Summary!$S$2:$S$201,MATCH($B644,Summary!$A$2:$A$201,0))</f>
        <v>Silver</v>
      </c>
      <c r="X644" s="2" t="n">
        <f aca="false">INDEX(Summary!$T$2:$T$201,MATCH($B644,Summary!$A$2:$A$201,0))</f>
        <v>57.49</v>
      </c>
      <c r="Y644" s="0" t="str">
        <f aca="false">INDEX('Reward Model'!$E$18:$E$37,MATCH($E644,'Reward Model'!$A$18:$A$37,0))</f>
        <v>Medium</v>
      </c>
      <c r="Z644" s="4" t="n">
        <f aca="false">ROUND(MIN(1,MAX('Reward Model'!$B$2,INDEX('Reward Model'!$C$12:$C$14,MATCH($K644,'Reward Model'!$A$12:$A$14,0))/$J644)),3)</f>
        <v>1</v>
      </c>
      <c r="AA644" s="2" t="n">
        <f aca="false">IF($I644="Correct",ROUND(INDEX('Reward Model'!$B$12:$B$14,MATCH($K644,'Reward Model'!$A$12:$A$14,0))*Z644,2),0)</f>
        <v>1</v>
      </c>
      <c r="AB644" s="2" t="n">
        <f aca="false">IF($I644="Correct",ROUND(INDEX('Reward Model'!$B$12:$B$14,MATCH($Y644,'Reward Model'!$A$12:$A$14,0))*Z644,2),0)</f>
        <v>2</v>
      </c>
    </row>
    <row r="645" customFormat="false" ht="15" hidden="false" customHeight="false" outlineLevel="0" collapsed="false">
      <c r="A645" s="0" t="s">
        <v>193</v>
      </c>
      <c r="B645" s="0" t="s">
        <v>194</v>
      </c>
      <c r="C645" s="0" t="s">
        <v>30</v>
      </c>
      <c r="D645" s="0" t="s">
        <v>189</v>
      </c>
      <c r="E645" s="0" t="n">
        <v>4</v>
      </c>
      <c r="F645" s="0" t="s">
        <v>43</v>
      </c>
      <c r="G645" s="0" t="s">
        <v>45</v>
      </c>
      <c r="H645" s="0" t="s">
        <v>45</v>
      </c>
      <c r="I645" s="0" t="s">
        <v>34</v>
      </c>
      <c r="J645" s="0" t="n">
        <v>0.97</v>
      </c>
      <c r="K645" s="0" t="s">
        <v>35</v>
      </c>
      <c r="L645" s="0" t="n">
        <f aca="false">INDEX(Summary!$F$2:$F$201,MATCH($B645,Summary!$A$2:$A$201,0))</f>
        <v>20</v>
      </c>
      <c r="M645" s="0" t="n">
        <f aca="false">INDEX(Summary!$I$2:$I$201,MATCH($B645,Summary!$A$2:$A$201,0))</f>
        <v>3</v>
      </c>
      <c r="N645" s="0" t="n">
        <f aca="false">INDEX(Summary!$J$2:$J$201,MATCH($B645,Summary!$A$2:$A$201,0))</f>
        <v>2</v>
      </c>
      <c r="O645" s="2" t="n">
        <f aca="false">INDEX(Summary!$K$2:$K$201,MATCH($B645,Summary!$A$2:$A$201,0))</f>
        <v>8.87</v>
      </c>
      <c r="P645" s="3" t="n">
        <f aca="false">INDEX(Summary!$L$2:$L$201,MATCH($B645,Summary!$A$2:$A$201,0))</f>
        <v>3</v>
      </c>
      <c r="Q645" s="3" t="n">
        <f aca="false">INDEX(Summary!$M$2:$M$201,MATCH($B645,Summary!$A$2:$A$201,0))</f>
        <v>3</v>
      </c>
      <c r="R645" s="2" t="n">
        <f aca="false">INDEX(Summary!$N$2:$N$201,MATCH($B645,Summary!$A$2:$A$201,0))</f>
        <v>10.73</v>
      </c>
      <c r="S645" s="3" t="n">
        <f aca="false">INDEX(Summary!$O$2:$O$201,MATCH($B645,Summary!$A$2:$A$201,0))</f>
        <v>7</v>
      </c>
      <c r="T645" s="3" t="n">
        <f aca="false">INDEX(Summary!$P$2:$P$201,MATCH($B645,Summary!$A$2:$A$201,0))</f>
        <v>2</v>
      </c>
      <c r="U645" s="2" t="n">
        <f aca="false">INDEX(Summary!$Q$2:$Q$201,MATCH($B645,Summary!$A$2:$A$201,0))</f>
        <v>11.43</v>
      </c>
      <c r="V645" s="2" t="n">
        <f aca="false">INDEX(Summary!$R$2:$R$201,MATCH($B645,Summary!$A$2:$A$201,0))</f>
        <v>23.57</v>
      </c>
      <c r="W645" s="0" t="str">
        <f aca="false">INDEX(Summary!$S$2:$S$201,MATCH($B645,Summary!$A$2:$A$201,0))</f>
        <v>Silver</v>
      </c>
      <c r="X645" s="2" t="n">
        <f aca="false">INDEX(Summary!$T$2:$T$201,MATCH($B645,Summary!$A$2:$A$201,0))</f>
        <v>57.49</v>
      </c>
      <c r="Y645" s="0" t="str">
        <f aca="false">INDEX('Reward Model'!$E$18:$E$37,MATCH($E645,'Reward Model'!$A$18:$A$37,0))</f>
        <v>Low</v>
      </c>
      <c r="Z645" s="4" t="n">
        <f aca="false">ROUND(MIN(1,MAX('Reward Model'!$B$2,INDEX('Reward Model'!$C$12:$C$14,MATCH($K645,'Reward Model'!$A$12:$A$14,0))/$J645)),3)</f>
        <v>1</v>
      </c>
      <c r="AA645" s="2" t="n">
        <f aca="false">IF($I645="Correct",ROUND(INDEX('Reward Model'!$B$12:$B$14,MATCH($K645,'Reward Model'!$A$12:$A$14,0))*Z645,2),0)</f>
        <v>1</v>
      </c>
      <c r="AB645" s="2" t="n">
        <f aca="false">IF($I645="Correct",ROUND(INDEX('Reward Model'!$B$12:$B$14,MATCH($Y645,'Reward Model'!$A$12:$A$14,0))*Z645,2),0)</f>
        <v>1</v>
      </c>
    </row>
    <row r="646" customFormat="false" ht="15" hidden="false" customHeight="false" outlineLevel="0" collapsed="false">
      <c r="A646" s="0" t="s">
        <v>193</v>
      </c>
      <c r="B646" s="0" t="s">
        <v>194</v>
      </c>
      <c r="C646" s="0" t="s">
        <v>30</v>
      </c>
      <c r="D646" s="0" t="s">
        <v>189</v>
      </c>
      <c r="E646" s="0" t="n">
        <v>5</v>
      </c>
      <c r="F646" s="0" t="s">
        <v>46</v>
      </c>
      <c r="G646" s="0" t="s">
        <v>47</v>
      </c>
      <c r="H646" s="0" t="s">
        <v>47</v>
      </c>
      <c r="I646" s="0" t="s">
        <v>34</v>
      </c>
      <c r="J646" s="0" t="n">
        <v>0.95</v>
      </c>
      <c r="K646" s="0" t="s">
        <v>35</v>
      </c>
      <c r="L646" s="0" t="n">
        <f aca="false">INDEX(Summary!$F$2:$F$201,MATCH($B646,Summary!$A$2:$A$201,0))</f>
        <v>20</v>
      </c>
      <c r="M646" s="0" t="n">
        <f aca="false">INDEX(Summary!$I$2:$I$201,MATCH($B646,Summary!$A$2:$A$201,0))</f>
        <v>3</v>
      </c>
      <c r="N646" s="0" t="n">
        <f aca="false">INDEX(Summary!$J$2:$J$201,MATCH($B646,Summary!$A$2:$A$201,0))</f>
        <v>2</v>
      </c>
      <c r="O646" s="2" t="n">
        <f aca="false">INDEX(Summary!$K$2:$K$201,MATCH($B646,Summary!$A$2:$A$201,0))</f>
        <v>8.87</v>
      </c>
      <c r="P646" s="3" t="n">
        <f aca="false">INDEX(Summary!$L$2:$L$201,MATCH($B646,Summary!$A$2:$A$201,0))</f>
        <v>3</v>
      </c>
      <c r="Q646" s="3" t="n">
        <f aca="false">INDEX(Summary!$M$2:$M$201,MATCH($B646,Summary!$A$2:$A$201,0))</f>
        <v>3</v>
      </c>
      <c r="R646" s="2" t="n">
        <f aca="false">INDEX(Summary!$N$2:$N$201,MATCH($B646,Summary!$A$2:$A$201,0))</f>
        <v>10.73</v>
      </c>
      <c r="S646" s="3" t="n">
        <f aca="false">INDEX(Summary!$O$2:$O$201,MATCH($B646,Summary!$A$2:$A$201,0))</f>
        <v>7</v>
      </c>
      <c r="T646" s="3" t="n">
        <f aca="false">INDEX(Summary!$P$2:$P$201,MATCH($B646,Summary!$A$2:$A$201,0))</f>
        <v>2</v>
      </c>
      <c r="U646" s="2" t="n">
        <f aca="false">INDEX(Summary!$Q$2:$Q$201,MATCH($B646,Summary!$A$2:$A$201,0))</f>
        <v>11.43</v>
      </c>
      <c r="V646" s="2" t="n">
        <f aca="false">INDEX(Summary!$R$2:$R$201,MATCH($B646,Summary!$A$2:$A$201,0))</f>
        <v>23.57</v>
      </c>
      <c r="W646" s="0" t="str">
        <f aca="false">INDEX(Summary!$S$2:$S$201,MATCH($B646,Summary!$A$2:$A$201,0))</f>
        <v>Silver</v>
      </c>
      <c r="X646" s="2" t="n">
        <f aca="false">INDEX(Summary!$T$2:$T$201,MATCH($B646,Summary!$A$2:$A$201,0))</f>
        <v>57.49</v>
      </c>
      <c r="Y646" s="0" t="str">
        <f aca="false">INDEX('Reward Model'!$E$18:$E$37,MATCH($E646,'Reward Model'!$A$18:$A$37,0))</f>
        <v>Low</v>
      </c>
      <c r="Z646" s="4" t="n">
        <f aca="false">ROUND(MIN(1,MAX('Reward Model'!$B$2,INDEX('Reward Model'!$C$12:$C$14,MATCH($K646,'Reward Model'!$A$12:$A$14,0))/$J646)),3)</f>
        <v>1</v>
      </c>
      <c r="AA646" s="2" t="n">
        <f aca="false">IF($I646="Correct",ROUND(INDEX('Reward Model'!$B$12:$B$14,MATCH($K646,'Reward Model'!$A$12:$A$14,0))*Z646,2),0)</f>
        <v>1</v>
      </c>
      <c r="AB646" s="2" t="n">
        <f aca="false">IF($I646="Correct",ROUND(INDEX('Reward Model'!$B$12:$B$14,MATCH($Y646,'Reward Model'!$A$12:$A$14,0))*Z646,2),0)</f>
        <v>1</v>
      </c>
    </row>
    <row r="647" customFormat="false" ht="15" hidden="false" customHeight="false" outlineLevel="0" collapsed="false">
      <c r="A647" s="0" t="s">
        <v>193</v>
      </c>
      <c r="B647" s="0" t="s">
        <v>194</v>
      </c>
      <c r="C647" s="0" t="s">
        <v>30</v>
      </c>
      <c r="D647" s="0" t="s">
        <v>189</v>
      </c>
      <c r="E647" s="0" t="n">
        <v>6</v>
      </c>
      <c r="F647" s="0" t="s">
        <v>48</v>
      </c>
      <c r="G647" s="0" t="s">
        <v>49</v>
      </c>
      <c r="H647" s="0" t="s">
        <v>49</v>
      </c>
      <c r="I647" s="0" t="s">
        <v>34</v>
      </c>
      <c r="J647" s="0" t="n">
        <v>1.08</v>
      </c>
      <c r="K647" s="0" t="s">
        <v>35</v>
      </c>
      <c r="L647" s="0" t="n">
        <f aca="false">INDEX(Summary!$F$2:$F$201,MATCH($B647,Summary!$A$2:$A$201,0))</f>
        <v>20</v>
      </c>
      <c r="M647" s="0" t="n">
        <f aca="false">INDEX(Summary!$I$2:$I$201,MATCH($B647,Summary!$A$2:$A$201,0))</f>
        <v>3</v>
      </c>
      <c r="N647" s="0" t="n">
        <f aca="false">INDEX(Summary!$J$2:$J$201,MATCH($B647,Summary!$A$2:$A$201,0))</f>
        <v>2</v>
      </c>
      <c r="O647" s="2" t="n">
        <f aca="false">INDEX(Summary!$K$2:$K$201,MATCH($B647,Summary!$A$2:$A$201,0))</f>
        <v>8.87</v>
      </c>
      <c r="P647" s="3" t="n">
        <f aca="false">INDEX(Summary!$L$2:$L$201,MATCH($B647,Summary!$A$2:$A$201,0))</f>
        <v>3</v>
      </c>
      <c r="Q647" s="3" t="n">
        <f aca="false">INDEX(Summary!$M$2:$M$201,MATCH($B647,Summary!$A$2:$A$201,0))</f>
        <v>3</v>
      </c>
      <c r="R647" s="2" t="n">
        <f aca="false">INDEX(Summary!$N$2:$N$201,MATCH($B647,Summary!$A$2:$A$201,0))</f>
        <v>10.73</v>
      </c>
      <c r="S647" s="3" t="n">
        <f aca="false">INDEX(Summary!$O$2:$O$201,MATCH($B647,Summary!$A$2:$A$201,0))</f>
        <v>7</v>
      </c>
      <c r="T647" s="3" t="n">
        <f aca="false">INDEX(Summary!$P$2:$P$201,MATCH($B647,Summary!$A$2:$A$201,0))</f>
        <v>2</v>
      </c>
      <c r="U647" s="2" t="n">
        <f aca="false">INDEX(Summary!$Q$2:$Q$201,MATCH($B647,Summary!$A$2:$A$201,0))</f>
        <v>11.43</v>
      </c>
      <c r="V647" s="2" t="n">
        <f aca="false">INDEX(Summary!$R$2:$R$201,MATCH($B647,Summary!$A$2:$A$201,0))</f>
        <v>23.57</v>
      </c>
      <c r="W647" s="0" t="str">
        <f aca="false">INDEX(Summary!$S$2:$S$201,MATCH($B647,Summary!$A$2:$A$201,0))</f>
        <v>Silver</v>
      </c>
      <c r="X647" s="2" t="n">
        <f aca="false">INDEX(Summary!$T$2:$T$201,MATCH($B647,Summary!$A$2:$A$201,0))</f>
        <v>57.49</v>
      </c>
      <c r="Y647" s="0" t="str">
        <f aca="false">INDEX('Reward Model'!$E$18:$E$37,MATCH($E647,'Reward Model'!$A$18:$A$37,0))</f>
        <v>Medium</v>
      </c>
      <c r="Z647" s="4" t="n">
        <f aca="false">ROUND(MIN(1,MAX('Reward Model'!$B$2,INDEX('Reward Model'!$C$12:$C$14,MATCH($K647,'Reward Model'!$A$12:$A$14,0))/$J647)),3)</f>
        <v>1</v>
      </c>
      <c r="AA647" s="2" t="n">
        <f aca="false">IF($I647="Correct",ROUND(INDEX('Reward Model'!$B$12:$B$14,MATCH($K647,'Reward Model'!$A$12:$A$14,0))*Z647,2),0)</f>
        <v>1</v>
      </c>
      <c r="AB647" s="2" t="n">
        <f aca="false">IF($I647="Correct",ROUND(INDEX('Reward Model'!$B$12:$B$14,MATCH($Y647,'Reward Model'!$A$12:$A$14,0))*Z647,2),0)</f>
        <v>2</v>
      </c>
    </row>
    <row r="648" customFormat="false" ht="15" hidden="false" customHeight="false" outlineLevel="0" collapsed="false">
      <c r="A648" s="0" t="s">
        <v>193</v>
      </c>
      <c r="B648" s="0" t="s">
        <v>194</v>
      </c>
      <c r="C648" s="0" t="s">
        <v>30</v>
      </c>
      <c r="D648" s="0" t="s">
        <v>189</v>
      </c>
      <c r="E648" s="0" t="n">
        <v>7</v>
      </c>
      <c r="F648" s="0" t="s">
        <v>50</v>
      </c>
      <c r="G648" s="0" t="s">
        <v>51</v>
      </c>
      <c r="H648" s="0" t="s">
        <v>51</v>
      </c>
      <c r="I648" s="0" t="s">
        <v>34</v>
      </c>
      <c r="J648" s="0" t="n">
        <v>1.13</v>
      </c>
      <c r="K648" s="0" t="s">
        <v>35</v>
      </c>
      <c r="L648" s="0" t="n">
        <f aca="false">INDEX(Summary!$F$2:$F$201,MATCH($B648,Summary!$A$2:$A$201,0))</f>
        <v>20</v>
      </c>
      <c r="M648" s="0" t="n">
        <f aca="false">INDEX(Summary!$I$2:$I$201,MATCH($B648,Summary!$A$2:$A$201,0))</f>
        <v>3</v>
      </c>
      <c r="N648" s="0" t="n">
        <f aca="false">INDEX(Summary!$J$2:$J$201,MATCH($B648,Summary!$A$2:$A$201,0))</f>
        <v>2</v>
      </c>
      <c r="O648" s="2" t="n">
        <f aca="false">INDEX(Summary!$K$2:$K$201,MATCH($B648,Summary!$A$2:$A$201,0))</f>
        <v>8.87</v>
      </c>
      <c r="P648" s="3" t="n">
        <f aca="false">INDEX(Summary!$L$2:$L$201,MATCH($B648,Summary!$A$2:$A$201,0))</f>
        <v>3</v>
      </c>
      <c r="Q648" s="3" t="n">
        <f aca="false">INDEX(Summary!$M$2:$M$201,MATCH($B648,Summary!$A$2:$A$201,0))</f>
        <v>3</v>
      </c>
      <c r="R648" s="2" t="n">
        <f aca="false">INDEX(Summary!$N$2:$N$201,MATCH($B648,Summary!$A$2:$A$201,0))</f>
        <v>10.73</v>
      </c>
      <c r="S648" s="3" t="n">
        <f aca="false">INDEX(Summary!$O$2:$O$201,MATCH($B648,Summary!$A$2:$A$201,0))</f>
        <v>7</v>
      </c>
      <c r="T648" s="3" t="n">
        <f aca="false">INDEX(Summary!$P$2:$P$201,MATCH($B648,Summary!$A$2:$A$201,0))</f>
        <v>2</v>
      </c>
      <c r="U648" s="2" t="n">
        <f aca="false">INDEX(Summary!$Q$2:$Q$201,MATCH($B648,Summary!$A$2:$A$201,0))</f>
        <v>11.43</v>
      </c>
      <c r="V648" s="2" t="n">
        <f aca="false">INDEX(Summary!$R$2:$R$201,MATCH($B648,Summary!$A$2:$A$201,0))</f>
        <v>23.57</v>
      </c>
      <c r="W648" s="0" t="str">
        <f aca="false">INDEX(Summary!$S$2:$S$201,MATCH($B648,Summary!$A$2:$A$201,0))</f>
        <v>Silver</v>
      </c>
      <c r="X648" s="2" t="n">
        <f aca="false">INDEX(Summary!$T$2:$T$201,MATCH($B648,Summary!$A$2:$A$201,0))</f>
        <v>57.49</v>
      </c>
      <c r="Y648" s="0" t="str">
        <f aca="false">INDEX('Reward Model'!$E$18:$E$37,MATCH($E648,'Reward Model'!$A$18:$A$37,0))</f>
        <v>Low</v>
      </c>
      <c r="Z648" s="4" t="n">
        <f aca="false">ROUND(MIN(1,MAX('Reward Model'!$B$2,INDEX('Reward Model'!$C$12:$C$14,MATCH($K648,'Reward Model'!$A$12:$A$14,0))/$J648)),3)</f>
        <v>1</v>
      </c>
      <c r="AA648" s="2" t="n">
        <f aca="false">IF($I648="Correct",ROUND(INDEX('Reward Model'!$B$12:$B$14,MATCH($K648,'Reward Model'!$A$12:$A$14,0))*Z648,2),0)</f>
        <v>1</v>
      </c>
      <c r="AB648" s="2" t="n">
        <f aca="false">IF($I648="Correct",ROUND(INDEX('Reward Model'!$B$12:$B$14,MATCH($Y648,'Reward Model'!$A$12:$A$14,0))*Z648,2),0)</f>
        <v>1</v>
      </c>
    </row>
    <row r="649" customFormat="false" ht="15" hidden="false" customHeight="false" outlineLevel="0" collapsed="false">
      <c r="A649" s="0" t="s">
        <v>193</v>
      </c>
      <c r="B649" s="0" t="s">
        <v>194</v>
      </c>
      <c r="C649" s="0" t="s">
        <v>30</v>
      </c>
      <c r="D649" s="0" t="s">
        <v>189</v>
      </c>
      <c r="E649" s="0" t="n">
        <v>8</v>
      </c>
      <c r="F649" s="0" t="s">
        <v>52</v>
      </c>
      <c r="G649" s="0" t="s">
        <v>53</v>
      </c>
      <c r="H649" s="0" t="s">
        <v>54</v>
      </c>
      <c r="I649" s="0" t="s">
        <v>39</v>
      </c>
      <c r="J649" s="0" t="n">
        <v>2</v>
      </c>
      <c r="K649" s="0" t="s">
        <v>35</v>
      </c>
      <c r="L649" s="0" t="n">
        <f aca="false">INDEX(Summary!$F$2:$F$201,MATCH($B649,Summary!$A$2:$A$201,0))</f>
        <v>20</v>
      </c>
      <c r="M649" s="0" t="n">
        <f aca="false">INDEX(Summary!$I$2:$I$201,MATCH($B649,Summary!$A$2:$A$201,0))</f>
        <v>3</v>
      </c>
      <c r="N649" s="0" t="n">
        <f aca="false">INDEX(Summary!$J$2:$J$201,MATCH($B649,Summary!$A$2:$A$201,0))</f>
        <v>2</v>
      </c>
      <c r="O649" s="2" t="n">
        <f aca="false">INDEX(Summary!$K$2:$K$201,MATCH($B649,Summary!$A$2:$A$201,0))</f>
        <v>8.87</v>
      </c>
      <c r="P649" s="3" t="n">
        <f aca="false">INDEX(Summary!$L$2:$L$201,MATCH($B649,Summary!$A$2:$A$201,0))</f>
        <v>3</v>
      </c>
      <c r="Q649" s="3" t="n">
        <f aca="false">INDEX(Summary!$M$2:$M$201,MATCH($B649,Summary!$A$2:$A$201,0))</f>
        <v>3</v>
      </c>
      <c r="R649" s="2" t="n">
        <f aca="false">INDEX(Summary!$N$2:$N$201,MATCH($B649,Summary!$A$2:$A$201,0))</f>
        <v>10.73</v>
      </c>
      <c r="S649" s="3" t="n">
        <f aca="false">INDEX(Summary!$O$2:$O$201,MATCH($B649,Summary!$A$2:$A$201,0))</f>
        <v>7</v>
      </c>
      <c r="T649" s="3" t="n">
        <f aca="false">INDEX(Summary!$P$2:$P$201,MATCH($B649,Summary!$A$2:$A$201,0))</f>
        <v>2</v>
      </c>
      <c r="U649" s="2" t="n">
        <f aca="false">INDEX(Summary!$Q$2:$Q$201,MATCH($B649,Summary!$A$2:$A$201,0))</f>
        <v>11.43</v>
      </c>
      <c r="V649" s="2" t="n">
        <f aca="false">INDEX(Summary!$R$2:$R$201,MATCH($B649,Summary!$A$2:$A$201,0))</f>
        <v>23.57</v>
      </c>
      <c r="W649" s="0" t="str">
        <f aca="false">INDEX(Summary!$S$2:$S$201,MATCH($B649,Summary!$A$2:$A$201,0))</f>
        <v>Silver</v>
      </c>
      <c r="X649" s="2" t="n">
        <f aca="false">INDEX(Summary!$T$2:$T$201,MATCH($B649,Summary!$A$2:$A$201,0))</f>
        <v>57.49</v>
      </c>
      <c r="Y649" s="0" t="str">
        <f aca="false">INDEX('Reward Model'!$E$18:$E$37,MATCH($E649,'Reward Model'!$A$18:$A$37,0))</f>
        <v>Medium</v>
      </c>
      <c r="Z649" s="4" t="n">
        <f aca="false">ROUND(MIN(1,MAX('Reward Model'!$B$2,INDEX('Reward Model'!$C$12:$C$14,MATCH($K649,'Reward Model'!$A$12:$A$14,0))/$J649)),3)</f>
        <v>0.75</v>
      </c>
      <c r="AA649" s="2" t="n">
        <f aca="false">IF($I649="Correct",ROUND(INDEX('Reward Model'!$B$12:$B$14,MATCH($K649,'Reward Model'!$A$12:$A$14,0))*Z649,2),0)</f>
        <v>0</v>
      </c>
      <c r="AB649" s="2" t="n">
        <f aca="false">IF($I649="Correct",ROUND(INDEX('Reward Model'!$B$12:$B$14,MATCH($Y649,'Reward Model'!$A$12:$A$14,0))*Z649,2),0)</f>
        <v>0</v>
      </c>
    </row>
    <row r="650" customFormat="false" ht="15" hidden="false" customHeight="false" outlineLevel="0" collapsed="false">
      <c r="A650" s="0" t="s">
        <v>193</v>
      </c>
      <c r="B650" s="0" t="s">
        <v>194</v>
      </c>
      <c r="C650" s="0" t="s">
        <v>30</v>
      </c>
      <c r="D650" s="0" t="s">
        <v>189</v>
      </c>
      <c r="E650" s="0" t="n">
        <v>9</v>
      </c>
      <c r="F650" s="0" t="s">
        <v>55</v>
      </c>
      <c r="G650" s="0" t="s">
        <v>108</v>
      </c>
      <c r="H650" s="0" t="s">
        <v>57</v>
      </c>
      <c r="I650" s="0" t="s">
        <v>39</v>
      </c>
      <c r="J650" s="0" t="n">
        <v>1.54</v>
      </c>
      <c r="K650" s="0" t="s">
        <v>35</v>
      </c>
      <c r="L650" s="0" t="n">
        <f aca="false">INDEX(Summary!$F$2:$F$201,MATCH($B650,Summary!$A$2:$A$201,0))</f>
        <v>20</v>
      </c>
      <c r="M650" s="0" t="n">
        <f aca="false">INDEX(Summary!$I$2:$I$201,MATCH($B650,Summary!$A$2:$A$201,0))</f>
        <v>3</v>
      </c>
      <c r="N650" s="0" t="n">
        <f aca="false">INDEX(Summary!$J$2:$J$201,MATCH($B650,Summary!$A$2:$A$201,0))</f>
        <v>2</v>
      </c>
      <c r="O650" s="2" t="n">
        <f aca="false">INDEX(Summary!$K$2:$K$201,MATCH($B650,Summary!$A$2:$A$201,0))</f>
        <v>8.87</v>
      </c>
      <c r="P650" s="3" t="n">
        <f aca="false">INDEX(Summary!$L$2:$L$201,MATCH($B650,Summary!$A$2:$A$201,0))</f>
        <v>3</v>
      </c>
      <c r="Q650" s="3" t="n">
        <f aca="false">INDEX(Summary!$M$2:$M$201,MATCH($B650,Summary!$A$2:$A$201,0))</f>
        <v>3</v>
      </c>
      <c r="R650" s="2" t="n">
        <f aca="false">INDEX(Summary!$N$2:$N$201,MATCH($B650,Summary!$A$2:$A$201,0))</f>
        <v>10.73</v>
      </c>
      <c r="S650" s="3" t="n">
        <f aca="false">INDEX(Summary!$O$2:$O$201,MATCH($B650,Summary!$A$2:$A$201,0))</f>
        <v>7</v>
      </c>
      <c r="T650" s="3" t="n">
        <f aca="false">INDEX(Summary!$P$2:$P$201,MATCH($B650,Summary!$A$2:$A$201,0))</f>
        <v>2</v>
      </c>
      <c r="U650" s="2" t="n">
        <f aca="false">INDEX(Summary!$Q$2:$Q$201,MATCH($B650,Summary!$A$2:$A$201,0))</f>
        <v>11.43</v>
      </c>
      <c r="V650" s="2" t="n">
        <f aca="false">INDEX(Summary!$R$2:$R$201,MATCH($B650,Summary!$A$2:$A$201,0))</f>
        <v>23.57</v>
      </c>
      <c r="W650" s="0" t="str">
        <f aca="false">INDEX(Summary!$S$2:$S$201,MATCH($B650,Summary!$A$2:$A$201,0))</f>
        <v>Silver</v>
      </c>
      <c r="X650" s="2" t="n">
        <f aca="false">INDEX(Summary!$T$2:$T$201,MATCH($B650,Summary!$A$2:$A$201,0))</f>
        <v>57.49</v>
      </c>
      <c r="Y650" s="0" t="str">
        <f aca="false">INDEX('Reward Model'!$E$18:$E$37,MATCH($E650,'Reward Model'!$A$18:$A$37,0))</f>
        <v>Medium</v>
      </c>
      <c r="Z650" s="4" t="n">
        <f aca="false">ROUND(MIN(1,MAX('Reward Model'!$B$2,INDEX('Reward Model'!$C$12:$C$14,MATCH($K650,'Reward Model'!$A$12:$A$14,0))/$J650)),3)</f>
        <v>0.974</v>
      </c>
      <c r="AA650" s="2" t="n">
        <f aca="false">IF($I650="Correct",ROUND(INDEX('Reward Model'!$B$12:$B$14,MATCH($K650,'Reward Model'!$A$12:$A$14,0))*Z650,2),0)</f>
        <v>0</v>
      </c>
      <c r="AB650" s="2" t="n">
        <f aca="false">IF($I650="Correct",ROUND(INDEX('Reward Model'!$B$12:$B$14,MATCH($Y650,'Reward Model'!$A$12:$A$14,0))*Z650,2),0)</f>
        <v>0</v>
      </c>
    </row>
    <row r="651" customFormat="false" ht="15" hidden="false" customHeight="false" outlineLevel="0" collapsed="false">
      <c r="A651" s="0" t="s">
        <v>193</v>
      </c>
      <c r="B651" s="0" t="s">
        <v>194</v>
      </c>
      <c r="C651" s="0" t="s">
        <v>30</v>
      </c>
      <c r="D651" s="0" t="s">
        <v>189</v>
      </c>
      <c r="E651" s="0" t="n">
        <v>10</v>
      </c>
      <c r="F651" s="0" t="s">
        <v>58</v>
      </c>
      <c r="G651" s="0" t="s">
        <v>59</v>
      </c>
      <c r="H651" s="0" t="s">
        <v>59</v>
      </c>
      <c r="I651" s="0" t="s">
        <v>34</v>
      </c>
      <c r="J651" s="0" t="n">
        <v>1.82</v>
      </c>
      <c r="K651" s="0" t="s">
        <v>60</v>
      </c>
      <c r="L651" s="0" t="n">
        <f aca="false">INDEX(Summary!$F$2:$F$201,MATCH($B651,Summary!$A$2:$A$201,0))</f>
        <v>20</v>
      </c>
      <c r="M651" s="0" t="n">
        <f aca="false">INDEX(Summary!$I$2:$I$201,MATCH($B651,Summary!$A$2:$A$201,0))</f>
        <v>3</v>
      </c>
      <c r="N651" s="0" t="n">
        <f aca="false">INDEX(Summary!$J$2:$J$201,MATCH($B651,Summary!$A$2:$A$201,0))</f>
        <v>2</v>
      </c>
      <c r="O651" s="2" t="n">
        <f aca="false">INDEX(Summary!$K$2:$K$201,MATCH($B651,Summary!$A$2:$A$201,0))</f>
        <v>8.87</v>
      </c>
      <c r="P651" s="3" t="n">
        <f aca="false">INDEX(Summary!$L$2:$L$201,MATCH($B651,Summary!$A$2:$A$201,0))</f>
        <v>3</v>
      </c>
      <c r="Q651" s="3" t="n">
        <f aca="false">INDEX(Summary!$M$2:$M$201,MATCH($B651,Summary!$A$2:$A$201,0))</f>
        <v>3</v>
      </c>
      <c r="R651" s="2" t="n">
        <f aca="false">INDEX(Summary!$N$2:$N$201,MATCH($B651,Summary!$A$2:$A$201,0))</f>
        <v>10.73</v>
      </c>
      <c r="S651" s="3" t="n">
        <f aca="false">INDEX(Summary!$O$2:$O$201,MATCH($B651,Summary!$A$2:$A$201,0))</f>
        <v>7</v>
      </c>
      <c r="T651" s="3" t="n">
        <f aca="false">INDEX(Summary!$P$2:$P$201,MATCH($B651,Summary!$A$2:$A$201,0))</f>
        <v>2</v>
      </c>
      <c r="U651" s="2" t="n">
        <f aca="false">INDEX(Summary!$Q$2:$Q$201,MATCH($B651,Summary!$A$2:$A$201,0))</f>
        <v>11.43</v>
      </c>
      <c r="V651" s="2" t="n">
        <f aca="false">INDEX(Summary!$R$2:$R$201,MATCH($B651,Summary!$A$2:$A$201,0))</f>
        <v>23.57</v>
      </c>
      <c r="W651" s="0" t="str">
        <f aca="false">INDEX(Summary!$S$2:$S$201,MATCH($B651,Summary!$A$2:$A$201,0))</f>
        <v>Silver</v>
      </c>
      <c r="X651" s="2" t="n">
        <f aca="false">INDEX(Summary!$T$2:$T$201,MATCH($B651,Summary!$A$2:$A$201,0))</f>
        <v>57.49</v>
      </c>
      <c r="Y651" s="0" t="str">
        <f aca="false">INDEX('Reward Model'!$E$18:$E$37,MATCH($E651,'Reward Model'!$A$18:$A$37,0))</f>
        <v>Medium</v>
      </c>
      <c r="Z651" s="4" t="n">
        <f aca="false">ROUND(MIN(1,MAX('Reward Model'!$B$2,INDEX('Reward Model'!$C$12:$C$14,MATCH($K651,'Reward Model'!$A$12:$A$14,0))/$J651)),3)</f>
        <v>0.989</v>
      </c>
      <c r="AA651" s="2" t="n">
        <f aca="false">IF($I651="Correct",ROUND(INDEX('Reward Model'!$B$12:$B$14,MATCH($K651,'Reward Model'!$A$12:$A$14,0))*Z651,2),0)</f>
        <v>1.98</v>
      </c>
      <c r="AB651" s="2" t="n">
        <f aca="false">IF($I651="Correct",ROUND(INDEX('Reward Model'!$B$12:$B$14,MATCH($Y651,'Reward Model'!$A$12:$A$14,0))*Z651,2),0)</f>
        <v>1.98</v>
      </c>
    </row>
    <row r="652" customFormat="false" ht="15" hidden="false" customHeight="false" outlineLevel="0" collapsed="false">
      <c r="A652" s="0" t="s">
        <v>193</v>
      </c>
      <c r="B652" s="0" t="s">
        <v>194</v>
      </c>
      <c r="C652" s="0" t="s">
        <v>30</v>
      </c>
      <c r="D652" s="0" t="s">
        <v>189</v>
      </c>
      <c r="E652" s="0" t="n">
        <v>11</v>
      </c>
      <c r="F652" s="0" t="s">
        <v>61</v>
      </c>
      <c r="G652" s="0" t="s">
        <v>150</v>
      </c>
      <c r="H652" s="0" t="s">
        <v>63</v>
      </c>
      <c r="I652" s="0" t="s">
        <v>39</v>
      </c>
      <c r="J652" s="0" t="n">
        <v>1.35</v>
      </c>
      <c r="K652" s="0" t="s">
        <v>60</v>
      </c>
      <c r="L652" s="0" t="n">
        <f aca="false">INDEX(Summary!$F$2:$F$201,MATCH($B652,Summary!$A$2:$A$201,0))</f>
        <v>20</v>
      </c>
      <c r="M652" s="0" t="n">
        <f aca="false">INDEX(Summary!$I$2:$I$201,MATCH($B652,Summary!$A$2:$A$201,0))</f>
        <v>3</v>
      </c>
      <c r="N652" s="0" t="n">
        <f aca="false">INDEX(Summary!$J$2:$J$201,MATCH($B652,Summary!$A$2:$A$201,0))</f>
        <v>2</v>
      </c>
      <c r="O652" s="2" t="n">
        <f aca="false">INDEX(Summary!$K$2:$K$201,MATCH($B652,Summary!$A$2:$A$201,0))</f>
        <v>8.87</v>
      </c>
      <c r="P652" s="3" t="n">
        <f aca="false">INDEX(Summary!$L$2:$L$201,MATCH($B652,Summary!$A$2:$A$201,0))</f>
        <v>3</v>
      </c>
      <c r="Q652" s="3" t="n">
        <f aca="false">INDEX(Summary!$M$2:$M$201,MATCH($B652,Summary!$A$2:$A$201,0))</f>
        <v>3</v>
      </c>
      <c r="R652" s="2" t="n">
        <f aca="false">INDEX(Summary!$N$2:$N$201,MATCH($B652,Summary!$A$2:$A$201,0))</f>
        <v>10.73</v>
      </c>
      <c r="S652" s="3" t="n">
        <f aca="false">INDEX(Summary!$O$2:$O$201,MATCH($B652,Summary!$A$2:$A$201,0))</f>
        <v>7</v>
      </c>
      <c r="T652" s="3" t="n">
        <f aca="false">INDEX(Summary!$P$2:$P$201,MATCH($B652,Summary!$A$2:$A$201,0))</f>
        <v>2</v>
      </c>
      <c r="U652" s="2" t="n">
        <f aca="false">INDEX(Summary!$Q$2:$Q$201,MATCH($B652,Summary!$A$2:$A$201,0))</f>
        <v>11.43</v>
      </c>
      <c r="V652" s="2" t="n">
        <f aca="false">INDEX(Summary!$R$2:$R$201,MATCH($B652,Summary!$A$2:$A$201,0))</f>
        <v>23.57</v>
      </c>
      <c r="W652" s="0" t="str">
        <f aca="false">INDEX(Summary!$S$2:$S$201,MATCH($B652,Summary!$A$2:$A$201,0))</f>
        <v>Silver</v>
      </c>
      <c r="X652" s="2" t="n">
        <f aca="false">INDEX(Summary!$T$2:$T$201,MATCH($B652,Summary!$A$2:$A$201,0))</f>
        <v>57.49</v>
      </c>
      <c r="Y652" s="0" t="str">
        <f aca="false">INDEX('Reward Model'!$E$18:$E$37,MATCH($E652,'Reward Model'!$A$18:$A$37,0))</f>
        <v>Medium</v>
      </c>
      <c r="Z652" s="4" t="n">
        <f aca="false">ROUND(MIN(1,MAX('Reward Model'!$B$2,INDEX('Reward Model'!$C$12:$C$14,MATCH($K652,'Reward Model'!$A$12:$A$14,0))/$J652)),3)</f>
        <v>1</v>
      </c>
      <c r="AA652" s="2" t="n">
        <f aca="false">IF($I652="Correct",ROUND(INDEX('Reward Model'!$B$12:$B$14,MATCH($K652,'Reward Model'!$A$12:$A$14,0))*Z652,2),0)</f>
        <v>0</v>
      </c>
      <c r="AB652" s="2" t="n">
        <f aca="false">IF($I652="Correct",ROUND(INDEX('Reward Model'!$B$12:$B$14,MATCH($Y652,'Reward Model'!$A$12:$A$14,0))*Z652,2),0)</f>
        <v>0</v>
      </c>
    </row>
    <row r="653" customFormat="false" ht="15" hidden="false" customHeight="false" outlineLevel="0" collapsed="false">
      <c r="A653" s="0" t="s">
        <v>193</v>
      </c>
      <c r="B653" s="0" t="s">
        <v>194</v>
      </c>
      <c r="C653" s="0" t="s">
        <v>30</v>
      </c>
      <c r="D653" s="0" t="s">
        <v>189</v>
      </c>
      <c r="E653" s="0" t="n">
        <v>12</v>
      </c>
      <c r="F653" s="0" t="s">
        <v>64</v>
      </c>
      <c r="G653" s="0" t="s">
        <v>112</v>
      </c>
      <c r="H653" s="0" t="s">
        <v>65</v>
      </c>
      <c r="I653" s="0" t="s">
        <v>39</v>
      </c>
      <c r="J653" s="0" t="n">
        <v>1.25</v>
      </c>
      <c r="K653" s="0" t="s">
        <v>60</v>
      </c>
      <c r="L653" s="0" t="n">
        <f aca="false">INDEX(Summary!$F$2:$F$201,MATCH($B653,Summary!$A$2:$A$201,0))</f>
        <v>20</v>
      </c>
      <c r="M653" s="0" t="n">
        <f aca="false">INDEX(Summary!$I$2:$I$201,MATCH($B653,Summary!$A$2:$A$201,0))</f>
        <v>3</v>
      </c>
      <c r="N653" s="0" t="n">
        <f aca="false">INDEX(Summary!$J$2:$J$201,MATCH($B653,Summary!$A$2:$A$201,0))</f>
        <v>2</v>
      </c>
      <c r="O653" s="2" t="n">
        <f aca="false">INDEX(Summary!$K$2:$K$201,MATCH($B653,Summary!$A$2:$A$201,0))</f>
        <v>8.87</v>
      </c>
      <c r="P653" s="3" t="n">
        <f aca="false">INDEX(Summary!$L$2:$L$201,MATCH($B653,Summary!$A$2:$A$201,0))</f>
        <v>3</v>
      </c>
      <c r="Q653" s="3" t="n">
        <f aca="false">INDEX(Summary!$M$2:$M$201,MATCH($B653,Summary!$A$2:$A$201,0))</f>
        <v>3</v>
      </c>
      <c r="R653" s="2" t="n">
        <f aca="false">INDEX(Summary!$N$2:$N$201,MATCH($B653,Summary!$A$2:$A$201,0))</f>
        <v>10.73</v>
      </c>
      <c r="S653" s="3" t="n">
        <f aca="false">INDEX(Summary!$O$2:$O$201,MATCH($B653,Summary!$A$2:$A$201,0))</f>
        <v>7</v>
      </c>
      <c r="T653" s="3" t="n">
        <f aca="false">INDEX(Summary!$P$2:$P$201,MATCH($B653,Summary!$A$2:$A$201,0))</f>
        <v>2</v>
      </c>
      <c r="U653" s="2" t="n">
        <f aca="false">INDEX(Summary!$Q$2:$Q$201,MATCH($B653,Summary!$A$2:$A$201,0))</f>
        <v>11.43</v>
      </c>
      <c r="V653" s="2" t="n">
        <f aca="false">INDEX(Summary!$R$2:$R$201,MATCH($B653,Summary!$A$2:$A$201,0))</f>
        <v>23.57</v>
      </c>
      <c r="W653" s="0" t="str">
        <f aca="false">INDEX(Summary!$S$2:$S$201,MATCH($B653,Summary!$A$2:$A$201,0))</f>
        <v>Silver</v>
      </c>
      <c r="X653" s="2" t="n">
        <f aca="false">INDEX(Summary!$T$2:$T$201,MATCH($B653,Summary!$A$2:$A$201,0))</f>
        <v>57.49</v>
      </c>
      <c r="Y653" s="0" t="str">
        <f aca="false">INDEX('Reward Model'!$E$18:$E$37,MATCH($E653,'Reward Model'!$A$18:$A$37,0))</f>
        <v>Medium</v>
      </c>
      <c r="Z653" s="4" t="n">
        <f aca="false">ROUND(MIN(1,MAX('Reward Model'!$B$2,INDEX('Reward Model'!$C$12:$C$14,MATCH($K653,'Reward Model'!$A$12:$A$14,0))/$J653)),3)</f>
        <v>1</v>
      </c>
      <c r="AA653" s="2" t="n">
        <f aca="false">IF($I653="Correct",ROUND(INDEX('Reward Model'!$B$12:$B$14,MATCH($K653,'Reward Model'!$A$12:$A$14,0))*Z653,2),0)</f>
        <v>0</v>
      </c>
      <c r="AB653" s="2" t="n">
        <f aca="false">IF($I653="Correct",ROUND(INDEX('Reward Model'!$B$12:$B$14,MATCH($Y653,'Reward Model'!$A$12:$A$14,0))*Z653,2),0)</f>
        <v>0</v>
      </c>
    </row>
    <row r="654" customFormat="false" ht="15" hidden="false" customHeight="false" outlineLevel="0" collapsed="false">
      <c r="A654" s="0" t="s">
        <v>193</v>
      </c>
      <c r="B654" s="0" t="s">
        <v>194</v>
      </c>
      <c r="C654" s="0" t="s">
        <v>30</v>
      </c>
      <c r="D654" s="0" t="s">
        <v>189</v>
      </c>
      <c r="E654" s="0" t="n">
        <v>13</v>
      </c>
      <c r="F654" s="0" t="s">
        <v>66</v>
      </c>
      <c r="G654" s="0" t="s">
        <v>165</v>
      </c>
      <c r="H654" s="0" t="s">
        <v>67</v>
      </c>
      <c r="I654" s="0" t="s">
        <v>39</v>
      </c>
      <c r="J654" s="0" t="n">
        <v>2.03</v>
      </c>
      <c r="K654" s="0" t="s">
        <v>60</v>
      </c>
      <c r="L654" s="0" t="n">
        <f aca="false">INDEX(Summary!$F$2:$F$201,MATCH($B654,Summary!$A$2:$A$201,0))</f>
        <v>20</v>
      </c>
      <c r="M654" s="0" t="n">
        <f aca="false">INDEX(Summary!$I$2:$I$201,MATCH($B654,Summary!$A$2:$A$201,0))</f>
        <v>3</v>
      </c>
      <c r="N654" s="0" t="n">
        <f aca="false">INDEX(Summary!$J$2:$J$201,MATCH($B654,Summary!$A$2:$A$201,0))</f>
        <v>2</v>
      </c>
      <c r="O654" s="2" t="n">
        <f aca="false">INDEX(Summary!$K$2:$K$201,MATCH($B654,Summary!$A$2:$A$201,0))</f>
        <v>8.87</v>
      </c>
      <c r="P654" s="3" t="n">
        <f aca="false">INDEX(Summary!$L$2:$L$201,MATCH($B654,Summary!$A$2:$A$201,0))</f>
        <v>3</v>
      </c>
      <c r="Q654" s="3" t="n">
        <f aca="false">INDEX(Summary!$M$2:$M$201,MATCH($B654,Summary!$A$2:$A$201,0))</f>
        <v>3</v>
      </c>
      <c r="R654" s="2" t="n">
        <f aca="false">INDEX(Summary!$N$2:$N$201,MATCH($B654,Summary!$A$2:$A$201,0))</f>
        <v>10.73</v>
      </c>
      <c r="S654" s="3" t="n">
        <f aca="false">INDEX(Summary!$O$2:$O$201,MATCH($B654,Summary!$A$2:$A$201,0))</f>
        <v>7</v>
      </c>
      <c r="T654" s="3" t="n">
        <f aca="false">INDEX(Summary!$P$2:$P$201,MATCH($B654,Summary!$A$2:$A$201,0))</f>
        <v>2</v>
      </c>
      <c r="U654" s="2" t="n">
        <f aca="false">INDEX(Summary!$Q$2:$Q$201,MATCH($B654,Summary!$A$2:$A$201,0))</f>
        <v>11.43</v>
      </c>
      <c r="V654" s="2" t="n">
        <f aca="false">INDEX(Summary!$R$2:$R$201,MATCH($B654,Summary!$A$2:$A$201,0))</f>
        <v>23.57</v>
      </c>
      <c r="W654" s="0" t="str">
        <f aca="false">INDEX(Summary!$S$2:$S$201,MATCH($B654,Summary!$A$2:$A$201,0))</f>
        <v>Silver</v>
      </c>
      <c r="X654" s="2" t="n">
        <f aca="false">INDEX(Summary!$T$2:$T$201,MATCH($B654,Summary!$A$2:$A$201,0))</f>
        <v>57.49</v>
      </c>
      <c r="Y654" s="0" t="str">
        <f aca="false">INDEX('Reward Model'!$E$18:$E$37,MATCH($E654,'Reward Model'!$A$18:$A$37,0))</f>
        <v>Medium</v>
      </c>
      <c r="Z654" s="4" t="n">
        <f aca="false">ROUND(MIN(1,MAX('Reward Model'!$B$2,INDEX('Reward Model'!$C$12:$C$14,MATCH($K654,'Reward Model'!$A$12:$A$14,0))/$J654)),3)</f>
        <v>0.887</v>
      </c>
      <c r="AA654" s="2" t="n">
        <f aca="false">IF($I654="Correct",ROUND(INDEX('Reward Model'!$B$12:$B$14,MATCH($K654,'Reward Model'!$A$12:$A$14,0))*Z654,2),0)</f>
        <v>0</v>
      </c>
      <c r="AB654" s="2" t="n">
        <f aca="false">IF($I654="Correct",ROUND(INDEX('Reward Model'!$B$12:$B$14,MATCH($Y654,'Reward Model'!$A$12:$A$14,0))*Z654,2),0)</f>
        <v>0</v>
      </c>
    </row>
    <row r="655" customFormat="false" ht="15" hidden="false" customHeight="false" outlineLevel="0" collapsed="false">
      <c r="A655" s="0" t="s">
        <v>193</v>
      </c>
      <c r="B655" s="0" t="s">
        <v>194</v>
      </c>
      <c r="C655" s="0" t="s">
        <v>30</v>
      </c>
      <c r="D655" s="0" t="s">
        <v>189</v>
      </c>
      <c r="E655" s="0" t="n">
        <v>14</v>
      </c>
      <c r="F655" s="0" t="s">
        <v>68</v>
      </c>
      <c r="G655" s="0" t="s">
        <v>51</v>
      </c>
      <c r="H655" s="0" t="s">
        <v>51</v>
      </c>
      <c r="I655" s="0" t="s">
        <v>34</v>
      </c>
      <c r="J655" s="0" t="n">
        <v>2.15</v>
      </c>
      <c r="K655" s="0" t="s">
        <v>60</v>
      </c>
      <c r="L655" s="0" t="n">
        <f aca="false">INDEX(Summary!$F$2:$F$201,MATCH($B655,Summary!$A$2:$A$201,0))</f>
        <v>20</v>
      </c>
      <c r="M655" s="0" t="n">
        <f aca="false">INDEX(Summary!$I$2:$I$201,MATCH($B655,Summary!$A$2:$A$201,0))</f>
        <v>3</v>
      </c>
      <c r="N655" s="0" t="n">
        <f aca="false">INDEX(Summary!$J$2:$J$201,MATCH($B655,Summary!$A$2:$A$201,0))</f>
        <v>2</v>
      </c>
      <c r="O655" s="2" t="n">
        <f aca="false">INDEX(Summary!$K$2:$K$201,MATCH($B655,Summary!$A$2:$A$201,0))</f>
        <v>8.87</v>
      </c>
      <c r="P655" s="3" t="n">
        <f aca="false">INDEX(Summary!$L$2:$L$201,MATCH($B655,Summary!$A$2:$A$201,0))</f>
        <v>3</v>
      </c>
      <c r="Q655" s="3" t="n">
        <f aca="false">INDEX(Summary!$M$2:$M$201,MATCH($B655,Summary!$A$2:$A$201,0))</f>
        <v>3</v>
      </c>
      <c r="R655" s="2" t="n">
        <f aca="false">INDEX(Summary!$N$2:$N$201,MATCH($B655,Summary!$A$2:$A$201,0))</f>
        <v>10.73</v>
      </c>
      <c r="S655" s="3" t="n">
        <f aca="false">INDEX(Summary!$O$2:$O$201,MATCH($B655,Summary!$A$2:$A$201,0))</f>
        <v>7</v>
      </c>
      <c r="T655" s="3" t="n">
        <f aca="false">INDEX(Summary!$P$2:$P$201,MATCH($B655,Summary!$A$2:$A$201,0))</f>
        <v>2</v>
      </c>
      <c r="U655" s="2" t="n">
        <f aca="false">INDEX(Summary!$Q$2:$Q$201,MATCH($B655,Summary!$A$2:$A$201,0))</f>
        <v>11.43</v>
      </c>
      <c r="V655" s="2" t="n">
        <f aca="false">INDEX(Summary!$R$2:$R$201,MATCH($B655,Summary!$A$2:$A$201,0))</f>
        <v>23.57</v>
      </c>
      <c r="W655" s="0" t="str">
        <f aca="false">INDEX(Summary!$S$2:$S$201,MATCH($B655,Summary!$A$2:$A$201,0))</f>
        <v>Silver</v>
      </c>
      <c r="X655" s="2" t="n">
        <f aca="false">INDEX(Summary!$T$2:$T$201,MATCH($B655,Summary!$A$2:$A$201,0))</f>
        <v>57.49</v>
      </c>
      <c r="Y655" s="0" t="str">
        <f aca="false">INDEX('Reward Model'!$E$18:$E$37,MATCH($E655,'Reward Model'!$A$18:$A$37,0))</f>
        <v>Medium</v>
      </c>
      <c r="Z655" s="4" t="n">
        <f aca="false">ROUND(MIN(1,MAX('Reward Model'!$B$2,INDEX('Reward Model'!$C$12:$C$14,MATCH($K655,'Reward Model'!$A$12:$A$14,0))/$J655)),3)</f>
        <v>0.837</v>
      </c>
      <c r="AA655" s="2" t="n">
        <f aca="false">IF($I655="Correct",ROUND(INDEX('Reward Model'!$B$12:$B$14,MATCH($K655,'Reward Model'!$A$12:$A$14,0))*Z655,2),0)</f>
        <v>1.67</v>
      </c>
      <c r="AB655" s="2" t="n">
        <f aca="false">IF($I655="Correct",ROUND(INDEX('Reward Model'!$B$12:$B$14,MATCH($Y655,'Reward Model'!$A$12:$A$14,0))*Z655,2),0)</f>
        <v>1.67</v>
      </c>
    </row>
    <row r="656" customFormat="false" ht="15" hidden="false" customHeight="false" outlineLevel="0" collapsed="false">
      <c r="A656" s="0" t="s">
        <v>193</v>
      </c>
      <c r="B656" s="0" t="s">
        <v>194</v>
      </c>
      <c r="C656" s="0" t="s">
        <v>30</v>
      </c>
      <c r="D656" s="0" t="s">
        <v>189</v>
      </c>
      <c r="E656" s="0" t="n">
        <v>15</v>
      </c>
      <c r="F656" s="0" t="s">
        <v>69</v>
      </c>
      <c r="G656" s="0" t="s">
        <v>70</v>
      </c>
      <c r="H656" s="0" t="s">
        <v>70</v>
      </c>
      <c r="I656" s="0" t="s">
        <v>34</v>
      </c>
      <c r="J656" s="0" t="n">
        <v>2.13</v>
      </c>
      <c r="K656" s="0" t="s">
        <v>60</v>
      </c>
      <c r="L656" s="0" t="n">
        <f aca="false">INDEX(Summary!$F$2:$F$201,MATCH($B656,Summary!$A$2:$A$201,0))</f>
        <v>20</v>
      </c>
      <c r="M656" s="0" t="n">
        <f aca="false">INDEX(Summary!$I$2:$I$201,MATCH($B656,Summary!$A$2:$A$201,0))</f>
        <v>3</v>
      </c>
      <c r="N656" s="0" t="n">
        <f aca="false">INDEX(Summary!$J$2:$J$201,MATCH($B656,Summary!$A$2:$A$201,0))</f>
        <v>2</v>
      </c>
      <c r="O656" s="2" t="n">
        <f aca="false">INDEX(Summary!$K$2:$K$201,MATCH($B656,Summary!$A$2:$A$201,0))</f>
        <v>8.87</v>
      </c>
      <c r="P656" s="3" t="n">
        <f aca="false">INDEX(Summary!$L$2:$L$201,MATCH($B656,Summary!$A$2:$A$201,0))</f>
        <v>3</v>
      </c>
      <c r="Q656" s="3" t="n">
        <f aca="false">INDEX(Summary!$M$2:$M$201,MATCH($B656,Summary!$A$2:$A$201,0))</f>
        <v>3</v>
      </c>
      <c r="R656" s="2" t="n">
        <f aca="false">INDEX(Summary!$N$2:$N$201,MATCH($B656,Summary!$A$2:$A$201,0))</f>
        <v>10.73</v>
      </c>
      <c r="S656" s="3" t="n">
        <f aca="false">INDEX(Summary!$O$2:$O$201,MATCH($B656,Summary!$A$2:$A$201,0))</f>
        <v>7</v>
      </c>
      <c r="T656" s="3" t="n">
        <f aca="false">INDEX(Summary!$P$2:$P$201,MATCH($B656,Summary!$A$2:$A$201,0))</f>
        <v>2</v>
      </c>
      <c r="U656" s="2" t="n">
        <f aca="false">INDEX(Summary!$Q$2:$Q$201,MATCH($B656,Summary!$A$2:$A$201,0))</f>
        <v>11.43</v>
      </c>
      <c r="V656" s="2" t="n">
        <f aca="false">INDEX(Summary!$R$2:$R$201,MATCH($B656,Summary!$A$2:$A$201,0))</f>
        <v>23.57</v>
      </c>
      <c r="W656" s="0" t="str">
        <f aca="false">INDEX(Summary!$S$2:$S$201,MATCH($B656,Summary!$A$2:$A$201,0))</f>
        <v>Silver</v>
      </c>
      <c r="X656" s="2" t="n">
        <f aca="false">INDEX(Summary!$T$2:$T$201,MATCH($B656,Summary!$A$2:$A$201,0))</f>
        <v>57.49</v>
      </c>
      <c r="Y656" s="0" t="str">
        <f aca="false">INDEX('Reward Model'!$E$18:$E$37,MATCH($E656,'Reward Model'!$A$18:$A$37,0))</f>
        <v>Medium</v>
      </c>
      <c r="Z656" s="4" t="n">
        <f aca="false">ROUND(MIN(1,MAX('Reward Model'!$B$2,INDEX('Reward Model'!$C$12:$C$14,MATCH($K656,'Reward Model'!$A$12:$A$14,0))/$J656)),3)</f>
        <v>0.845</v>
      </c>
      <c r="AA656" s="2" t="n">
        <f aca="false">IF($I656="Correct",ROUND(INDEX('Reward Model'!$B$12:$B$14,MATCH($K656,'Reward Model'!$A$12:$A$14,0))*Z656,2),0)</f>
        <v>1.69</v>
      </c>
      <c r="AB656" s="2" t="n">
        <f aca="false">IF($I656="Correct",ROUND(INDEX('Reward Model'!$B$12:$B$14,MATCH($Y656,'Reward Model'!$A$12:$A$14,0))*Z656,2),0)</f>
        <v>1.69</v>
      </c>
    </row>
    <row r="657" customFormat="false" ht="15" hidden="false" customHeight="false" outlineLevel="0" collapsed="false">
      <c r="A657" s="0" t="s">
        <v>193</v>
      </c>
      <c r="B657" s="0" t="s">
        <v>194</v>
      </c>
      <c r="C657" s="0" t="s">
        <v>30</v>
      </c>
      <c r="D657" s="0" t="s">
        <v>189</v>
      </c>
      <c r="E657" s="0" t="n">
        <v>16</v>
      </c>
      <c r="F657" s="0" t="s">
        <v>71</v>
      </c>
      <c r="G657" s="0" t="s">
        <v>87</v>
      </c>
      <c r="H657" s="0" t="s">
        <v>72</v>
      </c>
      <c r="I657" s="0" t="s">
        <v>39</v>
      </c>
      <c r="J657" s="0" t="n">
        <v>1.29</v>
      </c>
      <c r="K657" s="0" t="s">
        <v>73</v>
      </c>
      <c r="L657" s="0" t="n">
        <f aca="false">INDEX(Summary!$F$2:$F$201,MATCH($B657,Summary!$A$2:$A$201,0))</f>
        <v>20</v>
      </c>
      <c r="M657" s="0" t="n">
        <f aca="false">INDEX(Summary!$I$2:$I$201,MATCH($B657,Summary!$A$2:$A$201,0))</f>
        <v>3</v>
      </c>
      <c r="N657" s="0" t="n">
        <f aca="false">INDEX(Summary!$J$2:$J$201,MATCH($B657,Summary!$A$2:$A$201,0))</f>
        <v>2</v>
      </c>
      <c r="O657" s="2" t="n">
        <f aca="false">INDEX(Summary!$K$2:$K$201,MATCH($B657,Summary!$A$2:$A$201,0))</f>
        <v>8.87</v>
      </c>
      <c r="P657" s="3" t="n">
        <f aca="false">INDEX(Summary!$L$2:$L$201,MATCH($B657,Summary!$A$2:$A$201,0))</f>
        <v>3</v>
      </c>
      <c r="Q657" s="3" t="n">
        <f aca="false">INDEX(Summary!$M$2:$M$201,MATCH($B657,Summary!$A$2:$A$201,0))</f>
        <v>3</v>
      </c>
      <c r="R657" s="2" t="n">
        <f aca="false">INDEX(Summary!$N$2:$N$201,MATCH($B657,Summary!$A$2:$A$201,0))</f>
        <v>10.73</v>
      </c>
      <c r="S657" s="3" t="n">
        <f aca="false">INDEX(Summary!$O$2:$O$201,MATCH($B657,Summary!$A$2:$A$201,0))</f>
        <v>7</v>
      </c>
      <c r="T657" s="3" t="n">
        <f aca="false">INDEX(Summary!$P$2:$P$201,MATCH($B657,Summary!$A$2:$A$201,0))</f>
        <v>2</v>
      </c>
      <c r="U657" s="2" t="n">
        <f aca="false">INDEX(Summary!$Q$2:$Q$201,MATCH($B657,Summary!$A$2:$A$201,0))</f>
        <v>11.43</v>
      </c>
      <c r="V657" s="2" t="n">
        <f aca="false">INDEX(Summary!$R$2:$R$201,MATCH($B657,Summary!$A$2:$A$201,0))</f>
        <v>23.57</v>
      </c>
      <c r="W657" s="0" t="str">
        <f aca="false">INDEX(Summary!$S$2:$S$201,MATCH($B657,Summary!$A$2:$A$201,0))</f>
        <v>Silver</v>
      </c>
      <c r="X657" s="2" t="n">
        <f aca="false">INDEX(Summary!$T$2:$T$201,MATCH($B657,Summary!$A$2:$A$201,0))</f>
        <v>57.49</v>
      </c>
      <c r="Y657" s="0" t="str">
        <f aca="false">INDEX('Reward Model'!$E$18:$E$37,MATCH($E657,'Reward Model'!$A$18:$A$37,0))</f>
        <v>High</v>
      </c>
      <c r="Z657" s="4" t="n">
        <f aca="false">ROUND(MIN(1,MAX('Reward Model'!$B$2,INDEX('Reward Model'!$C$12:$C$14,MATCH($K657,'Reward Model'!$A$12:$A$14,0))/$J657)),3)</f>
        <v>1</v>
      </c>
      <c r="AA657" s="2" t="n">
        <f aca="false">IF($I657="Correct",ROUND(INDEX('Reward Model'!$B$12:$B$14,MATCH($K657,'Reward Model'!$A$12:$A$14,0))*Z657,2),0)</f>
        <v>0</v>
      </c>
      <c r="AB657" s="2" t="n">
        <f aca="false">IF($I657="Correct",ROUND(INDEX('Reward Model'!$B$12:$B$14,MATCH($Y657,'Reward Model'!$A$12:$A$14,0))*Z657,2),0)</f>
        <v>0</v>
      </c>
    </row>
    <row r="658" customFormat="false" ht="15" hidden="false" customHeight="false" outlineLevel="0" collapsed="false">
      <c r="A658" s="0" t="s">
        <v>193</v>
      </c>
      <c r="B658" s="0" t="s">
        <v>194</v>
      </c>
      <c r="C658" s="0" t="s">
        <v>30</v>
      </c>
      <c r="D658" s="0" t="s">
        <v>189</v>
      </c>
      <c r="E658" s="0" t="n">
        <v>17</v>
      </c>
      <c r="F658" s="0" t="s">
        <v>74</v>
      </c>
      <c r="G658" s="0" t="s">
        <v>75</v>
      </c>
      <c r="H658" s="0" t="s">
        <v>75</v>
      </c>
      <c r="I658" s="0" t="s">
        <v>34</v>
      </c>
      <c r="J658" s="0" t="n">
        <v>2.42</v>
      </c>
      <c r="K658" s="0" t="s">
        <v>73</v>
      </c>
      <c r="L658" s="0" t="n">
        <f aca="false">INDEX(Summary!$F$2:$F$201,MATCH($B658,Summary!$A$2:$A$201,0))</f>
        <v>20</v>
      </c>
      <c r="M658" s="0" t="n">
        <f aca="false">INDEX(Summary!$I$2:$I$201,MATCH($B658,Summary!$A$2:$A$201,0))</f>
        <v>3</v>
      </c>
      <c r="N658" s="0" t="n">
        <f aca="false">INDEX(Summary!$J$2:$J$201,MATCH($B658,Summary!$A$2:$A$201,0))</f>
        <v>2</v>
      </c>
      <c r="O658" s="2" t="n">
        <f aca="false">INDEX(Summary!$K$2:$K$201,MATCH($B658,Summary!$A$2:$A$201,0))</f>
        <v>8.87</v>
      </c>
      <c r="P658" s="3" t="n">
        <f aca="false">INDEX(Summary!$L$2:$L$201,MATCH($B658,Summary!$A$2:$A$201,0))</f>
        <v>3</v>
      </c>
      <c r="Q658" s="3" t="n">
        <f aca="false">INDEX(Summary!$M$2:$M$201,MATCH($B658,Summary!$A$2:$A$201,0))</f>
        <v>3</v>
      </c>
      <c r="R658" s="2" t="n">
        <f aca="false">INDEX(Summary!$N$2:$N$201,MATCH($B658,Summary!$A$2:$A$201,0))</f>
        <v>10.73</v>
      </c>
      <c r="S658" s="3" t="n">
        <f aca="false">INDEX(Summary!$O$2:$O$201,MATCH($B658,Summary!$A$2:$A$201,0))</f>
        <v>7</v>
      </c>
      <c r="T658" s="3" t="n">
        <f aca="false">INDEX(Summary!$P$2:$P$201,MATCH($B658,Summary!$A$2:$A$201,0))</f>
        <v>2</v>
      </c>
      <c r="U658" s="2" t="n">
        <f aca="false">INDEX(Summary!$Q$2:$Q$201,MATCH($B658,Summary!$A$2:$A$201,0))</f>
        <v>11.43</v>
      </c>
      <c r="V658" s="2" t="n">
        <f aca="false">INDEX(Summary!$R$2:$R$201,MATCH($B658,Summary!$A$2:$A$201,0))</f>
        <v>23.57</v>
      </c>
      <c r="W658" s="0" t="str">
        <f aca="false">INDEX(Summary!$S$2:$S$201,MATCH($B658,Summary!$A$2:$A$201,0))</f>
        <v>Silver</v>
      </c>
      <c r="X658" s="2" t="n">
        <f aca="false">INDEX(Summary!$T$2:$T$201,MATCH($B658,Summary!$A$2:$A$201,0))</f>
        <v>57.49</v>
      </c>
      <c r="Y658" s="0" t="str">
        <f aca="false">INDEX('Reward Model'!$E$18:$E$37,MATCH($E658,'Reward Model'!$A$18:$A$37,0))</f>
        <v>High</v>
      </c>
      <c r="Z658" s="4" t="n">
        <f aca="false">ROUND(MIN(1,MAX('Reward Model'!$B$2,INDEX('Reward Model'!$C$12:$C$14,MATCH($K658,'Reward Model'!$A$12:$A$14,0))/$J658)),3)</f>
        <v>0.826</v>
      </c>
      <c r="AA658" s="2" t="n">
        <f aca="false">IF($I658="Correct",ROUND(INDEX('Reward Model'!$B$12:$B$14,MATCH($K658,'Reward Model'!$A$12:$A$14,0))*Z658,2),0)</f>
        <v>2.48</v>
      </c>
      <c r="AB658" s="2" t="n">
        <f aca="false">IF($I658="Correct",ROUND(INDEX('Reward Model'!$B$12:$B$14,MATCH($Y658,'Reward Model'!$A$12:$A$14,0))*Z658,2),0)</f>
        <v>2.48</v>
      </c>
    </row>
    <row r="659" customFormat="false" ht="15" hidden="false" customHeight="false" outlineLevel="0" collapsed="false">
      <c r="A659" s="0" t="s">
        <v>193</v>
      </c>
      <c r="B659" s="0" t="s">
        <v>194</v>
      </c>
      <c r="C659" s="0" t="s">
        <v>30</v>
      </c>
      <c r="D659" s="0" t="s">
        <v>189</v>
      </c>
      <c r="E659" s="0" t="n">
        <v>18</v>
      </c>
      <c r="F659" s="0" t="s">
        <v>76</v>
      </c>
      <c r="G659" s="0" t="s">
        <v>88</v>
      </c>
      <c r="H659" s="0" t="s">
        <v>77</v>
      </c>
      <c r="I659" s="0" t="s">
        <v>39</v>
      </c>
      <c r="J659" s="0" t="n">
        <v>1.71</v>
      </c>
      <c r="K659" s="0" t="s">
        <v>73</v>
      </c>
      <c r="L659" s="0" t="n">
        <f aca="false">INDEX(Summary!$F$2:$F$201,MATCH($B659,Summary!$A$2:$A$201,0))</f>
        <v>20</v>
      </c>
      <c r="M659" s="0" t="n">
        <f aca="false">INDEX(Summary!$I$2:$I$201,MATCH($B659,Summary!$A$2:$A$201,0))</f>
        <v>3</v>
      </c>
      <c r="N659" s="0" t="n">
        <f aca="false">INDEX(Summary!$J$2:$J$201,MATCH($B659,Summary!$A$2:$A$201,0))</f>
        <v>2</v>
      </c>
      <c r="O659" s="2" t="n">
        <f aca="false">INDEX(Summary!$K$2:$K$201,MATCH($B659,Summary!$A$2:$A$201,0))</f>
        <v>8.87</v>
      </c>
      <c r="P659" s="3" t="n">
        <f aca="false">INDEX(Summary!$L$2:$L$201,MATCH($B659,Summary!$A$2:$A$201,0))</f>
        <v>3</v>
      </c>
      <c r="Q659" s="3" t="n">
        <f aca="false">INDEX(Summary!$M$2:$M$201,MATCH($B659,Summary!$A$2:$A$201,0))</f>
        <v>3</v>
      </c>
      <c r="R659" s="2" t="n">
        <f aca="false">INDEX(Summary!$N$2:$N$201,MATCH($B659,Summary!$A$2:$A$201,0))</f>
        <v>10.73</v>
      </c>
      <c r="S659" s="3" t="n">
        <f aca="false">INDEX(Summary!$O$2:$O$201,MATCH($B659,Summary!$A$2:$A$201,0))</f>
        <v>7</v>
      </c>
      <c r="T659" s="3" t="n">
        <f aca="false">INDEX(Summary!$P$2:$P$201,MATCH($B659,Summary!$A$2:$A$201,0))</f>
        <v>2</v>
      </c>
      <c r="U659" s="2" t="n">
        <f aca="false">INDEX(Summary!$Q$2:$Q$201,MATCH($B659,Summary!$A$2:$A$201,0))</f>
        <v>11.43</v>
      </c>
      <c r="V659" s="2" t="n">
        <f aca="false">INDEX(Summary!$R$2:$R$201,MATCH($B659,Summary!$A$2:$A$201,0))</f>
        <v>23.57</v>
      </c>
      <c r="W659" s="0" t="str">
        <f aca="false">INDEX(Summary!$S$2:$S$201,MATCH($B659,Summary!$A$2:$A$201,0))</f>
        <v>Silver</v>
      </c>
      <c r="X659" s="2" t="n">
        <f aca="false">INDEX(Summary!$T$2:$T$201,MATCH($B659,Summary!$A$2:$A$201,0))</f>
        <v>57.49</v>
      </c>
      <c r="Y659" s="0" t="str">
        <f aca="false">INDEX('Reward Model'!$E$18:$E$37,MATCH($E659,'Reward Model'!$A$18:$A$37,0))</f>
        <v>High</v>
      </c>
      <c r="Z659" s="4" t="n">
        <f aca="false">ROUND(MIN(1,MAX('Reward Model'!$B$2,INDEX('Reward Model'!$C$12:$C$14,MATCH($K659,'Reward Model'!$A$12:$A$14,0))/$J659)),3)</f>
        <v>1</v>
      </c>
      <c r="AA659" s="2" t="n">
        <f aca="false">IF($I659="Correct",ROUND(INDEX('Reward Model'!$B$12:$B$14,MATCH($K659,'Reward Model'!$A$12:$A$14,0))*Z659,2),0)</f>
        <v>0</v>
      </c>
      <c r="AB659" s="2" t="n">
        <f aca="false">IF($I659="Correct",ROUND(INDEX('Reward Model'!$B$12:$B$14,MATCH($Y659,'Reward Model'!$A$12:$A$14,0))*Z659,2),0)</f>
        <v>0</v>
      </c>
    </row>
    <row r="660" customFormat="false" ht="15" hidden="false" customHeight="false" outlineLevel="0" collapsed="false">
      <c r="A660" s="0" t="s">
        <v>193</v>
      </c>
      <c r="B660" s="0" t="s">
        <v>194</v>
      </c>
      <c r="C660" s="0" t="s">
        <v>30</v>
      </c>
      <c r="D660" s="0" t="s">
        <v>189</v>
      </c>
      <c r="E660" s="0" t="n">
        <v>19</v>
      </c>
      <c r="F660" s="0" t="s">
        <v>78</v>
      </c>
      <c r="G660" s="0" t="s">
        <v>80</v>
      </c>
      <c r="H660" s="0" t="s">
        <v>80</v>
      </c>
      <c r="I660" s="0" t="s">
        <v>34</v>
      </c>
      <c r="J660" s="0" t="n">
        <v>1.27</v>
      </c>
      <c r="K660" s="0" t="s">
        <v>73</v>
      </c>
      <c r="L660" s="0" t="n">
        <f aca="false">INDEX(Summary!$F$2:$F$201,MATCH($B660,Summary!$A$2:$A$201,0))</f>
        <v>20</v>
      </c>
      <c r="M660" s="0" t="n">
        <f aca="false">INDEX(Summary!$I$2:$I$201,MATCH($B660,Summary!$A$2:$A$201,0))</f>
        <v>3</v>
      </c>
      <c r="N660" s="0" t="n">
        <f aca="false">INDEX(Summary!$J$2:$J$201,MATCH($B660,Summary!$A$2:$A$201,0))</f>
        <v>2</v>
      </c>
      <c r="O660" s="2" t="n">
        <f aca="false">INDEX(Summary!$K$2:$K$201,MATCH($B660,Summary!$A$2:$A$201,0))</f>
        <v>8.87</v>
      </c>
      <c r="P660" s="3" t="n">
        <f aca="false">INDEX(Summary!$L$2:$L$201,MATCH($B660,Summary!$A$2:$A$201,0))</f>
        <v>3</v>
      </c>
      <c r="Q660" s="3" t="n">
        <f aca="false">INDEX(Summary!$M$2:$M$201,MATCH($B660,Summary!$A$2:$A$201,0))</f>
        <v>3</v>
      </c>
      <c r="R660" s="2" t="n">
        <f aca="false">INDEX(Summary!$N$2:$N$201,MATCH($B660,Summary!$A$2:$A$201,0))</f>
        <v>10.73</v>
      </c>
      <c r="S660" s="3" t="n">
        <f aca="false">INDEX(Summary!$O$2:$O$201,MATCH($B660,Summary!$A$2:$A$201,0))</f>
        <v>7</v>
      </c>
      <c r="T660" s="3" t="n">
        <f aca="false">INDEX(Summary!$P$2:$P$201,MATCH($B660,Summary!$A$2:$A$201,0))</f>
        <v>2</v>
      </c>
      <c r="U660" s="2" t="n">
        <f aca="false">INDEX(Summary!$Q$2:$Q$201,MATCH($B660,Summary!$A$2:$A$201,0))</f>
        <v>11.43</v>
      </c>
      <c r="V660" s="2" t="n">
        <f aca="false">INDEX(Summary!$R$2:$R$201,MATCH($B660,Summary!$A$2:$A$201,0))</f>
        <v>23.57</v>
      </c>
      <c r="W660" s="0" t="str">
        <f aca="false">INDEX(Summary!$S$2:$S$201,MATCH($B660,Summary!$A$2:$A$201,0))</f>
        <v>Silver</v>
      </c>
      <c r="X660" s="2" t="n">
        <f aca="false">INDEX(Summary!$T$2:$T$201,MATCH($B660,Summary!$A$2:$A$201,0))</f>
        <v>57.49</v>
      </c>
      <c r="Y660" s="0" t="str">
        <f aca="false">INDEX('Reward Model'!$E$18:$E$37,MATCH($E660,'Reward Model'!$A$18:$A$37,0))</f>
        <v>High</v>
      </c>
      <c r="Z660" s="4" t="n">
        <f aca="false">ROUND(MIN(1,MAX('Reward Model'!$B$2,INDEX('Reward Model'!$C$12:$C$14,MATCH($K660,'Reward Model'!$A$12:$A$14,0))/$J660)),3)</f>
        <v>1</v>
      </c>
      <c r="AA660" s="2" t="n">
        <f aca="false">IF($I660="Correct",ROUND(INDEX('Reward Model'!$B$12:$B$14,MATCH($K660,'Reward Model'!$A$12:$A$14,0))*Z660,2),0)</f>
        <v>3</v>
      </c>
      <c r="AB660" s="2" t="n">
        <f aca="false">IF($I660="Correct",ROUND(INDEX('Reward Model'!$B$12:$B$14,MATCH($Y660,'Reward Model'!$A$12:$A$14,0))*Z660,2),0)</f>
        <v>3</v>
      </c>
    </row>
    <row r="661" customFormat="false" ht="15" hidden="false" customHeight="false" outlineLevel="0" collapsed="false">
      <c r="A661" s="0" t="s">
        <v>193</v>
      </c>
      <c r="B661" s="0" t="s">
        <v>194</v>
      </c>
      <c r="C661" s="0" t="s">
        <v>30</v>
      </c>
      <c r="D661" s="0" t="s">
        <v>189</v>
      </c>
      <c r="E661" s="0" t="n">
        <v>20</v>
      </c>
      <c r="F661" s="0" t="s">
        <v>81</v>
      </c>
      <c r="G661" s="0" t="s">
        <v>83</v>
      </c>
      <c r="H661" s="0" t="s">
        <v>83</v>
      </c>
      <c r="I661" s="0" t="s">
        <v>34</v>
      </c>
      <c r="J661" s="0" t="n">
        <v>2.18</v>
      </c>
      <c r="K661" s="0" t="s">
        <v>73</v>
      </c>
      <c r="L661" s="0" t="n">
        <f aca="false">INDEX(Summary!$F$2:$F$201,MATCH($B661,Summary!$A$2:$A$201,0))</f>
        <v>20</v>
      </c>
      <c r="M661" s="0" t="n">
        <f aca="false">INDEX(Summary!$I$2:$I$201,MATCH($B661,Summary!$A$2:$A$201,0))</f>
        <v>3</v>
      </c>
      <c r="N661" s="0" t="n">
        <f aca="false">INDEX(Summary!$J$2:$J$201,MATCH($B661,Summary!$A$2:$A$201,0))</f>
        <v>2</v>
      </c>
      <c r="O661" s="2" t="n">
        <f aca="false">INDEX(Summary!$K$2:$K$201,MATCH($B661,Summary!$A$2:$A$201,0))</f>
        <v>8.87</v>
      </c>
      <c r="P661" s="3" t="n">
        <f aca="false">INDEX(Summary!$L$2:$L$201,MATCH($B661,Summary!$A$2:$A$201,0))</f>
        <v>3</v>
      </c>
      <c r="Q661" s="3" t="n">
        <f aca="false">INDEX(Summary!$M$2:$M$201,MATCH($B661,Summary!$A$2:$A$201,0))</f>
        <v>3</v>
      </c>
      <c r="R661" s="2" t="n">
        <f aca="false">INDEX(Summary!$N$2:$N$201,MATCH($B661,Summary!$A$2:$A$201,0))</f>
        <v>10.73</v>
      </c>
      <c r="S661" s="3" t="n">
        <f aca="false">INDEX(Summary!$O$2:$O$201,MATCH($B661,Summary!$A$2:$A$201,0))</f>
        <v>7</v>
      </c>
      <c r="T661" s="3" t="n">
        <f aca="false">INDEX(Summary!$P$2:$P$201,MATCH($B661,Summary!$A$2:$A$201,0))</f>
        <v>2</v>
      </c>
      <c r="U661" s="2" t="n">
        <f aca="false">INDEX(Summary!$Q$2:$Q$201,MATCH($B661,Summary!$A$2:$A$201,0))</f>
        <v>11.43</v>
      </c>
      <c r="V661" s="2" t="n">
        <f aca="false">INDEX(Summary!$R$2:$R$201,MATCH($B661,Summary!$A$2:$A$201,0))</f>
        <v>23.57</v>
      </c>
      <c r="W661" s="0" t="str">
        <f aca="false">INDEX(Summary!$S$2:$S$201,MATCH($B661,Summary!$A$2:$A$201,0))</f>
        <v>Silver</v>
      </c>
      <c r="X661" s="2" t="n">
        <f aca="false">INDEX(Summary!$T$2:$T$201,MATCH($B661,Summary!$A$2:$A$201,0))</f>
        <v>57.49</v>
      </c>
      <c r="Y661" s="0" t="str">
        <f aca="false">INDEX('Reward Model'!$E$18:$E$37,MATCH($E661,'Reward Model'!$A$18:$A$37,0))</f>
        <v>High</v>
      </c>
      <c r="Z661" s="4" t="n">
        <f aca="false">ROUND(MIN(1,MAX('Reward Model'!$B$2,INDEX('Reward Model'!$C$12:$C$14,MATCH($K661,'Reward Model'!$A$12:$A$14,0))/$J661)),3)</f>
        <v>0.917</v>
      </c>
      <c r="AA661" s="2" t="n">
        <f aca="false">IF($I661="Correct",ROUND(INDEX('Reward Model'!$B$12:$B$14,MATCH($K661,'Reward Model'!$A$12:$A$14,0))*Z661,2),0)</f>
        <v>2.75</v>
      </c>
      <c r="AB661" s="2" t="n">
        <f aca="false">IF($I661="Correct",ROUND(INDEX('Reward Model'!$B$12:$B$14,MATCH($Y661,'Reward Model'!$A$12:$A$14,0))*Z661,2),0)</f>
        <v>2.75</v>
      </c>
    </row>
    <row r="662" customFormat="false" ht="15" hidden="false" customHeight="false" outlineLevel="0" collapsed="false">
      <c r="A662" s="0" t="s">
        <v>195</v>
      </c>
      <c r="B662" s="0" t="s">
        <v>196</v>
      </c>
      <c r="C662" s="0" t="s">
        <v>30</v>
      </c>
      <c r="D662" s="0" t="s">
        <v>189</v>
      </c>
      <c r="E662" s="0" t="n">
        <v>1</v>
      </c>
      <c r="F662" s="0" t="s">
        <v>32</v>
      </c>
      <c r="G662" s="0" t="s">
        <v>33</v>
      </c>
      <c r="H662" s="0" t="s">
        <v>33</v>
      </c>
      <c r="I662" s="0" t="s">
        <v>34</v>
      </c>
      <c r="J662" s="0" t="n">
        <v>0.92</v>
      </c>
      <c r="K662" s="0" t="s">
        <v>35</v>
      </c>
      <c r="L662" s="0" t="n">
        <f aca="false">INDEX(Summary!$F$2:$F$201,MATCH($B662,Summary!$A$2:$A$201,0))</f>
        <v>20</v>
      </c>
      <c r="M662" s="0" t="n">
        <f aca="false">INDEX(Summary!$I$2:$I$201,MATCH($B662,Summary!$A$2:$A$201,0))</f>
        <v>1</v>
      </c>
      <c r="N662" s="0" t="n">
        <f aca="false">INDEX(Summary!$J$2:$J$201,MATCH($B662,Summary!$A$2:$A$201,0))</f>
        <v>4</v>
      </c>
      <c r="O662" s="2" t="n">
        <f aca="false">INDEX(Summary!$K$2:$K$201,MATCH($B662,Summary!$A$2:$A$201,0))</f>
        <v>10.81</v>
      </c>
      <c r="P662" s="3" t="n">
        <f aca="false">INDEX(Summary!$L$2:$L$201,MATCH($B662,Summary!$A$2:$A$201,0))</f>
        <v>5</v>
      </c>
      <c r="Q662" s="3" t="n">
        <f aca="false">INDEX(Summary!$M$2:$M$201,MATCH($B662,Summary!$A$2:$A$201,0))</f>
        <v>1</v>
      </c>
      <c r="R662" s="2" t="n">
        <f aca="false">INDEX(Summary!$N$2:$N$201,MATCH($B662,Summary!$A$2:$A$201,0))</f>
        <v>9.75</v>
      </c>
      <c r="S662" s="3" t="n">
        <f aca="false">INDEX(Summary!$O$2:$O$201,MATCH($B662,Summary!$A$2:$A$201,0))</f>
        <v>6</v>
      </c>
      <c r="T662" s="3" t="n">
        <f aca="false">INDEX(Summary!$P$2:$P$201,MATCH($B662,Summary!$A$2:$A$201,0))</f>
        <v>3</v>
      </c>
      <c r="U662" s="2" t="n">
        <f aca="false">INDEX(Summary!$Q$2:$Q$201,MATCH($B662,Summary!$A$2:$A$201,0))</f>
        <v>10.76</v>
      </c>
      <c r="V662" s="2" t="n">
        <f aca="false">INDEX(Summary!$R$2:$R$201,MATCH($B662,Summary!$A$2:$A$201,0))</f>
        <v>21.79</v>
      </c>
      <c r="W662" s="0" t="str">
        <f aca="false">INDEX(Summary!$S$2:$S$201,MATCH($B662,Summary!$A$2:$A$201,0))</f>
        <v>Silver</v>
      </c>
      <c r="X662" s="2" t="n">
        <f aca="false">INDEX(Summary!$T$2:$T$201,MATCH($B662,Summary!$A$2:$A$201,0))</f>
        <v>53.15</v>
      </c>
      <c r="Y662" s="0" t="str">
        <f aca="false">INDEX('Reward Model'!$E$18:$E$37,MATCH($E662,'Reward Model'!$A$18:$A$37,0))</f>
        <v>Medium</v>
      </c>
      <c r="Z662" s="4" t="n">
        <f aca="false">ROUND(MIN(1,MAX('Reward Model'!$B$2,INDEX('Reward Model'!$C$12:$C$14,MATCH($K662,'Reward Model'!$A$12:$A$14,0))/$J662)),3)</f>
        <v>1</v>
      </c>
      <c r="AA662" s="2" t="n">
        <f aca="false">IF($I662="Correct",ROUND(INDEX('Reward Model'!$B$12:$B$14,MATCH($K662,'Reward Model'!$A$12:$A$14,0))*Z662,2),0)</f>
        <v>1</v>
      </c>
      <c r="AB662" s="2" t="n">
        <f aca="false">IF($I662="Correct",ROUND(INDEX('Reward Model'!$B$12:$B$14,MATCH($Y662,'Reward Model'!$A$12:$A$14,0))*Z662,2),0)</f>
        <v>2</v>
      </c>
    </row>
    <row r="663" customFormat="false" ht="15" hidden="false" customHeight="false" outlineLevel="0" collapsed="false">
      <c r="A663" s="0" t="s">
        <v>195</v>
      </c>
      <c r="B663" s="0" t="s">
        <v>196</v>
      </c>
      <c r="C663" s="0" t="s">
        <v>30</v>
      </c>
      <c r="D663" s="0" t="s">
        <v>189</v>
      </c>
      <c r="E663" s="0" t="n">
        <v>2</v>
      </c>
      <c r="F663" s="0" t="s">
        <v>36</v>
      </c>
      <c r="G663" s="0" t="s">
        <v>94</v>
      </c>
      <c r="H663" s="0" t="s">
        <v>38</v>
      </c>
      <c r="I663" s="0" t="s">
        <v>39</v>
      </c>
      <c r="J663" s="0" t="n">
        <v>1.26</v>
      </c>
      <c r="K663" s="0" t="s">
        <v>35</v>
      </c>
      <c r="L663" s="0" t="n">
        <f aca="false">INDEX(Summary!$F$2:$F$201,MATCH($B663,Summary!$A$2:$A$201,0))</f>
        <v>20</v>
      </c>
      <c r="M663" s="0" t="n">
        <f aca="false">INDEX(Summary!$I$2:$I$201,MATCH($B663,Summary!$A$2:$A$201,0))</f>
        <v>1</v>
      </c>
      <c r="N663" s="0" t="n">
        <f aca="false">INDEX(Summary!$J$2:$J$201,MATCH($B663,Summary!$A$2:$A$201,0))</f>
        <v>4</v>
      </c>
      <c r="O663" s="2" t="n">
        <f aca="false">INDEX(Summary!$K$2:$K$201,MATCH($B663,Summary!$A$2:$A$201,0))</f>
        <v>10.81</v>
      </c>
      <c r="P663" s="3" t="n">
        <f aca="false">INDEX(Summary!$L$2:$L$201,MATCH($B663,Summary!$A$2:$A$201,0))</f>
        <v>5</v>
      </c>
      <c r="Q663" s="3" t="n">
        <f aca="false">INDEX(Summary!$M$2:$M$201,MATCH($B663,Summary!$A$2:$A$201,0))</f>
        <v>1</v>
      </c>
      <c r="R663" s="2" t="n">
        <f aca="false">INDEX(Summary!$N$2:$N$201,MATCH($B663,Summary!$A$2:$A$201,0))</f>
        <v>9.75</v>
      </c>
      <c r="S663" s="3" t="n">
        <f aca="false">INDEX(Summary!$O$2:$O$201,MATCH($B663,Summary!$A$2:$A$201,0))</f>
        <v>6</v>
      </c>
      <c r="T663" s="3" t="n">
        <f aca="false">INDEX(Summary!$P$2:$P$201,MATCH($B663,Summary!$A$2:$A$201,0))</f>
        <v>3</v>
      </c>
      <c r="U663" s="2" t="n">
        <f aca="false">INDEX(Summary!$Q$2:$Q$201,MATCH($B663,Summary!$A$2:$A$201,0))</f>
        <v>10.76</v>
      </c>
      <c r="V663" s="2" t="n">
        <f aca="false">INDEX(Summary!$R$2:$R$201,MATCH($B663,Summary!$A$2:$A$201,0))</f>
        <v>21.79</v>
      </c>
      <c r="W663" s="0" t="str">
        <f aca="false">INDEX(Summary!$S$2:$S$201,MATCH($B663,Summary!$A$2:$A$201,0))</f>
        <v>Silver</v>
      </c>
      <c r="X663" s="2" t="n">
        <f aca="false">INDEX(Summary!$T$2:$T$201,MATCH($B663,Summary!$A$2:$A$201,0))</f>
        <v>53.15</v>
      </c>
      <c r="Y663" s="0" t="str">
        <f aca="false">INDEX('Reward Model'!$E$18:$E$37,MATCH($E663,'Reward Model'!$A$18:$A$37,0))</f>
        <v>Low</v>
      </c>
      <c r="Z663" s="4" t="n">
        <f aca="false">ROUND(MIN(1,MAX('Reward Model'!$B$2,INDEX('Reward Model'!$C$12:$C$14,MATCH($K663,'Reward Model'!$A$12:$A$14,0))/$J663)),3)</f>
        <v>1</v>
      </c>
      <c r="AA663" s="2" t="n">
        <f aca="false">IF($I663="Correct",ROUND(INDEX('Reward Model'!$B$12:$B$14,MATCH($K663,'Reward Model'!$A$12:$A$14,0))*Z663,2),0)</f>
        <v>0</v>
      </c>
      <c r="AB663" s="2" t="n">
        <f aca="false">IF($I663="Correct",ROUND(INDEX('Reward Model'!$B$12:$B$14,MATCH($Y663,'Reward Model'!$A$12:$A$14,0))*Z663,2),0)</f>
        <v>0</v>
      </c>
    </row>
    <row r="664" customFormat="false" ht="15" hidden="false" customHeight="false" outlineLevel="0" collapsed="false">
      <c r="A664" s="0" t="s">
        <v>195</v>
      </c>
      <c r="B664" s="0" t="s">
        <v>196</v>
      </c>
      <c r="C664" s="0" t="s">
        <v>30</v>
      </c>
      <c r="D664" s="0" t="s">
        <v>189</v>
      </c>
      <c r="E664" s="0" t="n">
        <v>3</v>
      </c>
      <c r="F664" s="0" t="s">
        <v>40</v>
      </c>
      <c r="G664" s="0" t="s">
        <v>42</v>
      </c>
      <c r="H664" s="0" t="s">
        <v>42</v>
      </c>
      <c r="I664" s="0" t="s">
        <v>34</v>
      </c>
      <c r="J664" s="0" t="n">
        <v>1.14</v>
      </c>
      <c r="K664" s="0" t="s">
        <v>35</v>
      </c>
      <c r="L664" s="0" t="n">
        <f aca="false">INDEX(Summary!$F$2:$F$201,MATCH($B664,Summary!$A$2:$A$201,0))</f>
        <v>20</v>
      </c>
      <c r="M664" s="0" t="n">
        <f aca="false">INDEX(Summary!$I$2:$I$201,MATCH($B664,Summary!$A$2:$A$201,0))</f>
        <v>1</v>
      </c>
      <c r="N664" s="0" t="n">
        <f aca="false">INDEX(Summary!$J$2:$J$201,MATCH($B664,Summary!$A$2:$A$201,0))</f>
        <v>4</v>
      </c>
      <c r="O664" s="2" t="n">
        <f aca="false">INDEX(Summary!$K$2:$K$201,MATCH($B664,Summary!$A$2:$A$201,0))</f>
        <v>10.81</v>
      </c>
      <c r="P664" s="3" t="n">
        <f aca="false">INDEX(Summary!$L$2:$L$201,MATCH($B664,Summary!$A$2:$A$201,0))</f>
        <v>5</v>
      </c>
      <c r="Q664" s="3" t="n">
        <f aca="false">INDEX(Summary!$M$2:$M$201,MATCH($B664,Summary!$A$2:$A$201,0))</f>
        <v>1</v>
      </c>
      <c r="R664" s="2" t="n">
        <f aca="false">INDEX(Summary!$N$2:$N$201,MATCH($B664,Summary!$A$2:$A$201,0))</f>
        <v>9.75</v>
      </c>
      <c r="S664" s="3" t="n">
        <f aca="false">INDEX(Summary!$O$2:$O$201,MATCH($B664,Summary!$A$2:$A$201,0))</f>
        <v>6</v>
      </c>
      <c r="T664" s="3" t="n">
        <f aca="false">INDEX(Summary!$P$2:$P$201,MATCH($B664,Summary!$A$2:$A$201,0))</f>
        <v>3</v>
      </c>
      <c r="U664" s="2" t="n">
        <f aca="false">INDEX(Summary!$Q$2:$Q$201,MATCH($B664,Summary!$A$2:$A$201,0))</f>
        <v>10.76</v>
      </c>
      <c r="V664" s="2" t="n">
        <f aca="false">INDEX(Summary!$R$2:$R$201,MATCH($B664,Summary!$A$2:$A$201,0))</f>
        <v>21.79</v>
      </c>
      <c r="W664" s="0" t="str">
        <f aca="false">INDEX(Summary!$S$2:$S$201,MATCH($B664,Summary!$A$2:$A$201,0))</f>
        <v>Silver</v>
      </c>
      <c r="X664" s="2" t="n">
        <f aca="false">INDEX(Summary!$T$2:$T$201,MATCH($B664,Summary!$A$2:$A$201,0))</f>
        <v>53.15</v>
      </c>
      <c r="Y664" s="0" t="str">
        <f aca="false">INDEX('Reward Model'!$E$18:$E$37,MATCH($E664,'Reward Model'!$A$18:$A$37,0))</f>
        <v>Medium</v>
      </c>
      <c r="Z664" s="4" t="n">
        <f aca="false">ROUND(MIN(1,MAX('Reward Model'!$B$2,INDEX('Reward Model'!$C$12:$C$14,MATCH($K664,'Reward Model'!$A$12:$A$14,0))/$J664)),3)</f>
        <v>1</v>
      </c>
      <c r="AA664" s="2" t="n">
        <f aca="false">IF($I664="Correct",ROUND(INDEX('Reward Model'!$B$12:$B$14,MATCH($K664,'Reward Model'!$A$12:$A$14,0))*Z664,2),0)</f>
        <v>1</v>
      </c>
      <c r="AB664" s="2" t="n">
        <f aca="false">IF($I664="Correct",ROUND(INDEX('Reward Model'!$B$12:$B$14,MATCH($Y664,'Reward Model'!$A$12:$A$14,0))*Z664,2),0)</f>
        <v>2</v>
      </c>
    </row>
    <row r="665" customFormat="false" ht="15" hidden="false" customHeight="false" outlineLevel="0" collapsed="false">
      <c r="A665" s="0" t="s">
        <v>195</v>
      </c>
      <c r="B665" s="0" t="s">
        <v>196</v>
      </c>
      <c r="C665" s="0" t="s">
        <v>30</v>
      </c>
      <c r="D665" s="0" t="s">
        <v>189</v>
      </c>
      <c r="E665" s="0" t="n">
        <v>4</v>
      </c>
      <c r="F665" s="0" t="s">
        <v>43</v>
      </c>
      <c r="G665" s="0" t="s">
        <v>111</v>
      </c>
      <c r="H665" s="0" t="s">
        <v>45</v>
      </c>
      <c r="I665" s="0" t="s">
        <v>39</v>
      </c>
      <c r="J665" s="0" t="n">
        <v>0.98</v>
      </c>
      <c r="K665" s="0" t="s">
        <v>35</v>
      </c>
      <c r="L665" s="0" t="n">
        <f aca="false">INDEX(Summary!$F$2:$F$201,MATCH($B665,Summary!$A$2:$A$201,0))</f>
        <v>20</v>
      </c>
      <c r="M665" s="0" t="n">
        <f aca="false">INDEX(Summary!$I$2:$I$201,MATCH($B665,Summary!$A$2:$A$201,0))</f>
        <v>1</v>
      </c>
      <c r="N665" s="0" t="n">
        <f aca="false">INDEX(Summary!$J$2:$J$201,MATCH($B665,Summary!$A$2:$A$201,0))</f>
        <v>4</v>
      </c>
      <c r="O665" s="2" t="n">
        <f aca="false">INDEX(Summary!$K$2:$K$201,MATCH($B665,Summary!$A$2:$A$201,0))</f>
        <v>10.81</v>
      </c>
      <c r="P665" s="3" t="n">
        <f aca="false">INDEX(Summary!$L$2:$L$201,MATCH($B665,Summary!$A$2:$A$201,0))</f>
        <v>5</v>
      </c>
      <c r="Q665" s="3" t="n">
        <f aca="false">INDEX(Summary!$M$2:$M$201,MATCH($B665,Summary!$A$2:$A$201,0))</f>
        <v>1</v>
      </c>
      <c r="R665" s="2" t="n">
        <f aca="false">INDEX(Summary!$N$2:$N$201,MATCH($B665,Summary!$A$2:$A$201,0))</f>
        <v>9.75</v>
      </c>
      <c r="S665" s="3" t="n">
        <f aca="false">INDEX(Summary!$O$2:$O$201,MATCH($B665,Summary!$A$2:$A$201,0))</f>
        <v>6</v>
      </c>
      <c r="T665" s="3" t="n">
        <f aca="false">INDEX(Summary!$P$2:$P$201,MATCH($B665,Summary!$A$2:$A$201,0))</f>
        <v>3</v>
      </c>
      <c r="U665" s="2" t="n">
        <f aca="false">INDEX(Summary!$Q$2:$Q$201,MATCH($B665,Summary!$A$2:$A$201,0))</f>
        <v>10.76</v>
      </c>
      <c r="V665" s="2" t="n">
        <f aca="false">INDEX(Summary!$R$2:$R$201,MATCH($B665,Summary!$A$2:$A$201,0))</f>
        <v>21.79</v>
      </c>
      <c r="W665" s="0" t="str">
        <f aca="false">INDEX(Summary!$S$2:$S$201,MATCH($B665,Summary!$A$2:$A$201,0))</f>
        <v>Silver</v>
      </c>
      <c r="X665" s="2" t="n">
        <f aca="false">INDEX(Summary!$T$2:$T$201,MATCH($B665,Summary!$A$2:$A$201,0))</f>
        <v>53.15</v>
      </c>
      <c r="Y665" s="0" t="str">
        <f aca="false">INDEX('Reward Model'!$E$18:$E$37,MATCH($E665,'Reward Model'!$A$18:$A$37,0))</f>
        <v>Low</v>
      </c>
      <c r="Z665" s="4" t="n">
        <f aca="false">ROUND(MIN(1,MAX('Reward Model'!$B$2,INDEX('Reward Model'!$C$12:$C$14,MATCH($K665,'Reward Model'!$A$12:$A$14,0))/$J665)),3)</f>
        <v>1</v>
      </c>
      <c r="AA665" s="2" t="n">
        <f aca="false">IF($I665="Correct",ROUND(INDEX('Reward Model'!$B$12:$B$14,MATCH($K665,'Reward Model'!$A$12:$A$14,0))*Z665,2),0)</f>
        <v>0</v>
      </c>
      <c r="AB665" s="2" t="n">
        <f aca="false">IF($I665="Correct",ROUND(INDEX('Reward Model'!$B$12:$B$14,MATCH($Y665,'Reward Model'!$A$12:$A$14,0))*Z665,2),0)</f>
        <v>0</v>
      </c>
    </row>
    <row r="666" customFormat="false" ht="15" hidden="false" customHeight="false" outlineLevel="0" collapsed="false">
      <c r="A666" s="0" t="s">
        <v>195</v>
      </c>
      <c r="B666" s="0" t="s">
        <v>196</v>
      </c>
      <c r="C666" s="0" t="s">
        <v>30</v>
      </c>
      <c r="D666" s="0" t="s">
        <v>189</v>
      </c>
      <c r="E666" s="0" t="n">
        <v>5</v>
      </c>
      <c r="F666" s="0" t="s">
        <v>46</v>
      </c>
      <c r="G666" s="0" t="s">
        <v>47</v>
      </c>
      <c r="H666" s="0" t="s">
        <v>47</v>
      </c>
      <c r="I666" s="0" t="s">
        <v>34</v>
      </c>
      <c r="J666" s="0" t="n">
        <v>1.11</v>
      </c>
      <c r="K666" s="0" t="s">
        <v>35</v>
      </c>
      <c r="L666" s="0" t="n">
        <f aca="false">INDEX(Summary!$F$2:$F$201,MATCH($B666,Summary!$A$2:$A$201,0))</f>
        <v>20</v>
      </c>
      <c r="M666" s="0" t="n">
        <f aca="false">INDEX(Summary!$I$2:$I$201,MATCH($B666,Summary!$A$2:$A$201,0))</f>
        <v>1</v>
      </c>
      <c r="N666" s="0" t="n">
        <f aca="false">INDEX(Summary!$J$2:$J$201,MATCH($B666,Summary!$A$2:$A$201,0))</f>
        <v>4</v>
      </c>
      <c r="O666" s="2" t="n">
        <f aca="false">INDEX(Summary!$K$2:$K$201,MATCH($B666,Summary!$A$2:$A$201,0))</f>
        <v>10.81</v>
      </c>
      <c r="P666" s="3" t="n">
        <f aca="false">INDEX(Summary!$L$2:$L$201,MATCH($B666,Summary!$A$2:$A$201,0))</f>
        <v>5</v>
      </c>
      <c r="Q666" s="3" t="n">
        <f aca="false">INDEX(Summary!$M$2:$M$201,MATCH($B666,Summary!$A$2:$A$201,0))</f>
        <v>1</v>
      </c>
      <c r="R666" s="2" t="n">
        <f aca="false">INDEX(Summary!$N$2:$N$201,MATCH($B666,Summary!$A$2:$A$201,0))</f>
        <v>9.75</v>
      </c>
      <c r="S666" s="3" t="n">
        <f aca="false">INDEX(Summary!$O$2:$O$201,MATCH($B666,Summary!$A$2:$A$201,0))</f>
        <v>6</v>
      </c>
      <c r="T666" s="3" t="n">
        <f aca="false">INDEX(Summary!$P$2:$P$201,MATCH($B666,Summary!$A$2:$A$201,0))</f>
        <v>3</v>
      </c>
      <c r="U666" s="2" t="n">
        <f aca="false">INDEX(Summary!$Q$2:$Q$201,MATCH($B666,Summary!$A$2:$A$201,0))</f>
        <v>10.76</v>
      </c>
      <c r="V666" s="2" t="n">
        <f aca="false">INDEX(Summary!$R$2:$R$201,MATCH($B666,Summary!$A$2:$A$201,0))</f>
        <v>21.79</v>
      </c>
      <c r="W666" s="0" t="str">
        <f aca="false">INDEX(Summary!$S$2:$S$201,MATCH($B666,Summary!$A$2:$A$201,0))</f>
        <v>Silver</v>
      </c>
      <c r="X666" s="2" t="n">
        <f aca="false">INDEX(Summary!$T$2:$T$201,MATCH($B666,Summary!$A$2:$A$201,0))</f>
        <v>53.15</v>
      </c>
      <c r="Y666" s="0" t="str">
        <f aca="false">INDEX('Reward Model'!$E$18:$E$37,MATCH($E666,'Reward Model'!$A$18:$A$37,0))</f>
        <v>Low</v>
      </c>
      <c r="Z666" s="4" t="n">
        <f aca="false">ROUND(MIN(1,MAX('Reward Model'!$B$2,INDEX('Reward Model'!$C$12:$C$14,MATCH($K666,'Reward Model'!$A$12:$A$14,0))/$J666)),3)</f>
        <v>1</v>
      </c>
      <c r="AA666" s="2" t="n">
        <f aca="false">IF($I666="Correct",ROUND(INDEX('Reward Model'!$B$12:$B$14,MATCH($K666,'Reward Model'!$A$12:$A$14,0))*Z666,2),0)</f>
        <v>1</v>
      </c>
      <c r="AB666" s="2" t="n">
        <f aca="false">IF($I666="Correct",ROUND(INDEX('Reward Model'!$B$12:$B$14,MATCH($Y666,'Reward Model'!$A$12:$A$14,0))*Z666,2),0)</f>
        <v>1</v>
      </c>
    </row>
    <row r="667" customFormat="false" ht="15" hidden="false" customHeight="false" outlineLevel="0" collapsed="false">
      <c r="A667" s="0" t="s">
        <v>195</v>
      </c>
      <c r="B667" s="0" t="s">
        <v>196</v>
      </c>
      <c r="C667" s="0" t="s">
        <v>30</v>
      </c>
      <c r="D667" s="0" t="s">
        <v>189</v>
      </c>
      <c r="E667" s="0" t="n">
        <v>6</v>
      </c>
      <c r="F667" s="0" t="s">
        <v>48</v>
      </c>
      <c r="G667" s="0" t="s">
        <v>116</v>
      </c>
      <c r="H667" s="0" t="s">
        <v>49</v>
      </c>
      <c r="I667" s="0" t="s">
        <v>39</v>
      </c>
      <c r="J667" s="0" t="n">
        <v>1.93</v>
      </c>
      <c r="K667" s="0" t="s">
        <v>35</v>
      </c>
      <c r="L667" s="0" t="n">
        <f aca="false">INDEX(Summary!$F$2:$F$201,MATCH($B667,Summary!$A$2:$A$201,0))</f>
        <v>20</v>
      </c>
      <c r="M667" s="0" t="n">
        <f aca="false">INDEX(Summary!$I$2:$I$201,MATCH($B667,Summary!$A$2:$A$201,0))</f>
        <v>1</v>
      </c>
      <c r="N667" s="0" t="n">
        <f aca="false">INDEX(Summary!$J$2:$J$201,MATCH($B667,Summary!$A$2:$A$201,0))</f>
        <v>4</v>
      </c>
      <c r="O667" s="2" t="n">
        <f aca="false">INDEX(Summary!$K$2:$K$201,MATCH($B667,Summary!$A$2:$A$201,0))</f>
        <v>10.81</v>
      </c>
      <c r="P667" s="3" t="n">
        <f aca="false">INDEX(Summary!$L$2:$L$201,MATCH($B667,Summary!$A$2:$A$201,0))</f>
        <v>5</v>
      </c>
      <c r="Q667" s="3" t="n">
        <f aca="false">INDEX(Summary!$M$2:$M$201,MATCH($B667,Summary!$A$2:$A$201,0))</f>
        <v>1</v>
      </c>
      <c r="R667" s="2" t="n">
        <f aca="false">INDEX(Summary!$N$2:$N$201,MATCH($B667,Summary!$A$2:$A$201,0))</f>
        <v>9.75</v>
      </c>
      <c r="S667" s="3" t="n">
        <f aca="false">INDEX(Summary!$O$2:$O$201,MATCH($B667,Summary!$A$2:$A$201,0))</f>
        <v>6</v>
      </c>
      <c r="T667" s="3" t="n">
        <f aca="false">INDEX(Summary!$P$2:$P$201,MATCH($B667,Summary!$A$2:$A$201,0))</f>
        <v>3</v>
      </c>
      <c r="U667" s="2" t="n">
        <f aca="false">INDEX(Summary!$Q$2:$Q$201,MATCH($B667,Summary!$A$2:$A$201,0))</f>
        <v>10.76</v>
      </c>
      <c r="V667" s="2" t="n">
        <f aca="false">INDEX(Summary!$R$2:$R$201,MATCH($B667,Summary!$A$2:$A$201,0))</f>
        <v>21.79</v>
      </c>
      <c r="W667" s="0" t="str">
        <f aca="false">INDEX(Summary!$S$2:$S$201,MATCH($B667,Summary!$A$2:$A$201,0))</f>
        <v>Silver</v>
      </c>
      <c r="X667" s="2" t="n">
        <f aca="false">INDEX(Summary!$T$2:$T$201,MATCH($B667,Summary!$A$2:$A$201,0))</f>
        <v>53.15</v>
      </c>
      <c r="Y667" s="0" t="str">
        <f aca="false">INDEX('Reward Model'!$E$18:$E$37,MATCH($E667,'Reward Model'!$A$18:$A$37,0))</f>
        <v>Medium</v>
      </c>
      <c r="Z667" s="4" t="n">
        <f aca="false">ROUND(MIN(1,MAX('Reward Model'!$B$2,INDEX('Reward Model'!$C$12:$C$14,MATCH($K667,'Reward Model'!$A$12:$A$14,0))/$J667)),3)</f>
        <v>0.777</v>
      </c>
      <c r="AA667" s="2" t="n">
        <f aca="false">IF($I667="Correct",ROUND(INDEX('Reward Model'!$B$12:$B$14,MATCH($K667,'Reward Model'!$A$12:$A$14,0))*Z667,2),0)</f>
        <v>0</v>
      </c>
      <c r="AB667" s="2" t="n">
        <f aca="false">IF($I667="Correct",ROUND(INDEX('Reward Model'!$B$12:$B$14,MATCH($Y667,'Reward Model'!$A$12:$A$14,0))*Z667,2),0)</f>
        <v>0</v>
      </c>
    </row>
    <row r="668" customFormat="false" ht="15" hidden="false" customHeight="false" outlineLevel="0" collapsed="false">
      <c r="A668" s="0" t="s">
        <v>195</v>
      </c>
      <c r="B668" s="0" t="s">
        <v>196</v>
      </c>
      <c r="C668" s="0" t="s">
        <v>30</v>
      </c>
      <c r="D668" s="0" t="s">
        <v>189</v>
      </c>
      <c r="E668" s="0" t="n">
        <v>7</v>
      </c>
      <c r="F668" s="0" t="s">
        <v>50</v>
      </c>
      <c r="G668" s="0" t="s">
        <v>51</v>
      </c>
      <c r="H668" s="0" t="s">
        <v>51</v>
      </c>
      <c r="I668" s="0" t="s">
        <v>34</v>
      </c>
      <c r="J668" s="0" t="n">
        <v>1.06</v>
      </c>
      <c r="K668" s="0" t="s">
        <v>35</v>
      </c>
      <c r="L668" s="0" t="n">
        <f aca="false">INDEX(Summary!$F$2:$F$201,MATCH($B668,Summary!$A$2:$A$201,0))</f>
        <v>20</v>
      </c>
      <c r="M668" s="0" t="n">
        <f aca="false">INDEX(Summary!$I$2:$I$201,MATCH($B668,Summary!$A$2:$A$201,0))</f>
        <v>1</v>
      </c>
      <c r="N668" s="0" t="n">
        <f aca="false">INDEX(Summary!$J$2:$J$201,MATCH($B668,Summary!$A$2:$A$201,0))</f>
        <v>4</v>
      </c>
      <c r="O668" s="2" t="n">
        <f aca="false">INDEX(Summary!$K$2:$K$201,MATCH($B668,Summary!$A$2:$A$201,0))</f>
        <v>10.81</v>
      </c>
      <c r="P668" s="3" t="n">
        <f aca="false">INDEX(Summary!$L$2:$L$201,MATCH($B668,Summary!$A$2:$A$201,0))</f>
        <v>5</v>
      </c>
      <c r="Q668" s="3" t="n">
        <f aca="false">INDEX(Summary!$M$2:$M$201,MATCH($B668,Summary!$A$2:$A$201,0))</f>
        <v>1</v>
      </c>
      <c r="R668" s="2" t="n">
        <f aca="false">INDEX(Summary!$N$2:$N$201,MATCH($B668,Summary!$A$2:$A$201,0))</f>
        <v>9.75</v>
      </c>
      <c r="S668" s="3" t="n">
        <f aca="false">INDEX(Summary!$O$2:$O$201,MATCH($B668,Summary!$A$2:$A$201,0))</f>
        <v>6</v>
      </c>
      <c r="T668" s="3" t="n">
        <f aca="false">INDEX(Summary!$P$2:$P$201,MATCH($B668,Summary!$A$2:$A$201,0))</f>
        <v>3</v>
      </c>
      <c r="U668" s="2" t="n">
        <f aca="false">INDEX(Summary!$Q$2:$Q$201,MATCH($B668,Summary!$A$2:$A$201,0))</f>
        <v>10.76</v>
      </c>
      <c r="V668" s="2" t="n">
        <f aca="false">INDEX(Summary!$R$2:$R$201,MATCH($B668,Summary!$A$2:$A$201,0))</f>
        <v>21.79</v>
      </c>
      <c r="W668" s="0" t="str">
        <f aca="false">INDEX(Summary!$S$2:$S$201,MATCH($B668,Summary!$A$2:$A$201,0))</f>
        <v>Silver</v>
      </c>
      <c r="X668" s="2" t="n">
        <f aca="false">INDEX(Summary!$T$2:$T$201,MATCH($B668,Summary!$A$2:$A$201,0))</f>
        <v>53.15</v>
      </c>
      <c r="Y668" s="0" t="str">
        <f aca="false">INDEX('Reward Model'!$E$18:$E$37,MATCH($E668,'Reward Model'!$A$18:$A$37,0))</f>
        <v>Low</v>
      </c>
      <c r="Z668" s="4" t="n">
        <f aca="false">ROUND(MIN(1,MAX('Reward Model'!$B$2,INDEX('Reward Model'!$C$12:$C$14,MATCH($K668,'Reward Model'!$A$12:$A$14,0))/$J668)),3)</f>
        <v>1</v>
      </c>
      <c r="AA668" s="2" t="n">
        <f aca="false">IF($I668="Correct",ROUND(INDEX('Reward Model'!$B$12:$B$14,MATCH($K668,'Reward Model'!$A$12:$A$14,0))*Z668,2),0)</f>
        <v>1</v>
      </c>
      <c r="AB668" s="2" t="n">
        <f aca="false">IF($I668="Correct",ROUND(INDEX('Reward Model'!$B$12:$B$14,MATCH($Y668,'Reward Model'!$A$12:$A$14,0))*Z668,2),0)</f>
        <v>1</v>
      </c>
    </row>
    <row r="669" customFormat="false" ht="15" hidden="false" customHeight="false" outlineLevel="0" collapsed="false">
      <c r="A669" s="0" t="s">
        <v>195</v>
      </c>
      <c r="B669" s="0" t="s">
        <v>196</v>
      </c>
      <c r="C669" s="0" t="s">
        <v>30</v>
      </c>
      <c r="D669" s="0" t="s">
        <v>189</v>
      </c>
      <c r="E669" s="0" t="n">
        <v>8</v>
      </c>
      <c r="F669" s="0" t="s">
        <v>52</v>
      </c>
      <c r="G669" s="0" t="s">
        <v>54</v>
      </c>
      <c r="H669" s="0" t="s">
        <v>54</v>
      </c>
      <c r="I669" s="0" t="s">
        <v>34</v>
      </c>
      <c r="J669" s="0" t="n">
        <v>1.29</v>
      </c>
      <c r="K669" s="0" t="s">
        <v>35</v>
      </c>
      <c r="L669" s="0" t="n">
        <f aca="false">INDEX(Summary!$F$2:$F$201,MATCH($B669,Summary!$A$2:$A$201,0))</f>
        <v>20</v>
      </c>
      <c r="M669" s="0" t="n">
        <f aca="false">INDEX(Summary!$I$2:$I$201,MATCH($B669,Summary!$A$2:$A$201,0))</f>
        <v>1</v>
      </c>
      <c r="N669" s="0" t="n">
        <f aca="false">INDEX(Summary!$J$2:$J$201,MATCH($B669,Summary!$A$2:$A$201,0))</f>
        <v>4</v>
      </c>
      <c r="O669" s="2" t="n">
        <f aca="false">INDEX(Summary!$K$2:$K$201,MATCH($B669,Summary!$A$2:$A$201,0))</f>
        <v>10.81</v>
      </c>
      <c r="P669" s="3" t="n">
        <f aca="false">INDEX(Summary!$L$2:$L$201,MATCH($B669,Summary!$A$2:$A$201,0))</f>
        <v>5</v>
      </c>
      <c r="Q669" s="3" t="n">
        <f aca="false">INDEX(Summary!$M$2:$M$201,MATCH($B669,Summary!$A$2:$A$201,0))</f>
        <v>1</v>
      </c>
      <c r="R669" s="2" t="n">
        <f aca="false">INDEX(Summary!$N$2:$N$201,MATCH($B669,Summary!$A$2:$A$201,0))</f>
        <v>9.75</v>
      </c>
      <c r="S669" s="3" t="n">
        <f aca="false">INDEX(Summary!$O$2:$O$201,MATCH($B669,Summary!$A$2:$A$201,0))</f>
        <v>6</v>
      </c>
      <c r="T669" s="3" t="n">
        <f aca="false">INDEX(Summary!$P$2:$P$201,MATCH($B669,Summary!$A$2:$A$201,0))</f>
        <v>3</v>
      </c>
      <c r="U669" s="2" t="n">
        <f aca="false">INDEX(Summary!$Q$2:$Q$201,MATCH($B669,Summary!$A$2:$A$201,0))</f>
        <v>10.76</v>
      </c>
      <c r="V669" s="2" t="n">
        <f aca="false">INDEX(Summary!$R$2:$R$201,MATCH($B669,Summary!$A$2:$A$201,0))</f>
        <v>21.79</v>
      </c>
      <c r="W669" s="0" t="str">
        <f aca="false">INDEX(Summary!$S$2:$S$201,MATCH($B669,Summary!$A$2:$A$201,0))</f>
        <v>Silver</v>
      </c>
      <c r="X669" s="2" t="n">
        <f aca="false">INDEX(Summary!$T$2:$T$201,MATCH($B669,Summary!$A$2:$A$201,0))</f>
        <v>53.15</v>
      </c>
      <c r="Y669" s="0" t="str">
        <f aca="false">INDEX('Reward Model'!$E$18:$E$37,MATCH($E669,'Reward Model'!$A$18:$A$37,0))</f>
        <v>Medium</v>
      </c>
      <c r="Z669" s="4" t="n">
        <f aca="false">ROUND(MIN(1,MAX('Reward Model'!$B$2,INDEX('Reward Model'!$C$12:$C$14,MATCH($K669,'Reward Model'!$A$12:$A$14,0))/$J669)),3)</f>
        <v>1</v>
      </c>
      <c r="AA669" s="2" t="n">
        <f aca="false">IF($I669="Correct",ROUND(INDEX('Reward Model'!$B$12:$B$14,MATCH($K669,'Reward Model'!$A$12:$A$14,0))*Z669,2),0)</f>
        <v>1</v>
      </c>
      <c r="AB669" s="2" t="n">
        <f aca="false">IF($I669="Correct",ROUND(INDEX('Reward Model'!$B$12:$B$14,MATCH($Y669,'Reward Model'!$A$12:$A$14,0))*Z669,2),0)</f>
        <v>2</v>
      </c>
    </row>
    <row r="670" customFormat="false" ht="15" hidden="false" customHeight="false" outlineLevel="0" collapsed="false">
      <c r="A670" s="0" t="s">
        <v>195</v>
      </c>
      <c r="B670" s="0" t="s">
        <v>196</v>
      </c>
      <c r="C670" s="0" t="s">
        <v>30</v>
      </c>
      <c r="D670" s="0" t="s">
        <v>189</v>
      </c>
      <c r="E670" s="0" t="n">
        <v>9</v>
      </c>
      <c r="F670" s="0" t="s">
        <v>55</v>
      </c>
      <c r="G670" s="0" t="s">
        <v>57</v>
      </c>
      <c r="H670" s="0" t="s">
        <v>57</v>
      </c>
      <c r="I670" s="0" t="s">
        <v>34</v>
      </c>
      <c r="J670" s="0" t="n">
        <v>1.07</v>
      </c>
      <c r="K670" s="0" t="s">
        <v>35</v>
      </c>
      <c r="L670" s="0" t="n">
        <f aca="false">INDEX(Summary!$F$2:$F$201,MATCH($B670,Summary!$A$2:$A$201,0))</f>
        <v>20</v>
      </c>
      <c r="M670" s="0" t="n">
        <f aca="false">INDEX(Summary!$I$2:$I$201,MATCH($B670,Summary!$A$2:$A$201,0))</f>
        <v>1</v>
      </c>
      <c r="N670" s="0" t="n">
        <f aca="false">INDEX(Summary!$J$2:$J$201,MATCH($B670,Summary!$A$2:$A$201,0))</f>
        <v>4</v>
      </c>
      <c r="O670" s="2" t="n">
        <f aca="false">INDEX(Summary!$K$2:$K$201,MATCH($B670,Summary!$A$2:$A$201,0))</f>
        <v>10.81</v>
      </c>
      <c r="P670" s="3" t="n">
        <f aca="false">INDEX(Summary!$L$2:$L$201,MATCH($B670,Summary!$A$2:$A$201,0))</f>
        <v>5</v>
      </c>
      <c r="Q670" s="3" t="n">
        <f aca="false">INDEX(Summary!$M$2:$M$201,MATCH($B670,Summary!$A$2:$A$201,0))</f>
        <v>1</v>
      </c>
      <c r="R670" s="2" t="n">
        <f aca="false">INDEX(Summary!$N$2:$N$201,MATCH($B670,Summary!$A$2:$A$201,0))</f>
        <v>9.75</v>
      </c>
      <c r="S670" s="3" t="n">
        <f aca="false">INDEX(Summary!$O$2:$O$201,MATCH($B670,Summary!$A$2:$A$201,0))</f>
        <v>6</v>
      </c>
      <c r="T670" s="3" t="n">
        <f aca="false">INDEX(Summary!$P$2:$P$201,MATCH($B670,Summary!$A$2:$A$201,0))</f>
        <v>3</v>
      </c>
      <c r="U670" s="2" t="n">
        <f aca="false">INDEX(Summary!$Q$2:$Q$201,MATCH($B670,Summary!$A$2:$A$201,0))</f>
        <v>10.76</v>
      </c>
      <c r="V670" s="2" t="n">
        <f aca="false">INDEX(Summary!$R$2:$R$201,MATCH($B670,Summary!$A$2:$A$201,0))</f>
        <v>21.79</v>
      </c>
      <c r="W670" s="0" t="str">
        <f aca="false">INDEX(Summary!$S$2:$S$201,MATCH($B670,Summary!$A$2:$A$201,0))</f>
        <v>Silver</v>
      </c>
      <c r="X670" s="2" t="n">
        <f aca="false">INDEX(Summary!$T$2:$T$201,MATCH($B670,Summary!$A$2:$A$201,0))</f>
        <v>53.15</v>
      </c>
      <c r="Y670" s="0" t="str">
        <f aca="false">INDEX('Reward Model'!$E$18:$E$37,MATCH($E670,'Reward Model'!$A$18:$A$37,0))</f>
        <v>Medium</v>
      </c>
      <c r="Z670" s="4" t="n">
        <f aca="false">ROUND(MIN(1,MAX('Reward Model'!$B$2,INDEX('Reward Model'!$C$12:$C$14,MATCH($K670,'Reward Model'!$A$12:$A$14,0))/$J670)),3)</f>
        <v>1</v>
      </c>
      <c r="AA670" s="2" t="n">
        <f aca="false">IF($I670="Correct",ROUND(INDEX('Reward Model'!$B$12:$B$14,MATCH($K670,'Reward Model'!$A$12:$A$14,0))*Z670,2),0)</f>
        <v>1</v>
      </c>
      <c r="AB670" s="2" t="n">
        <f aca="false">IF($I670="Correct",ROUND(INDEX('Reward Model'!$B$12:$B$14,MATCH($Y670,'Reward Model'!$A$12:$A$14,0))*Z670,2),0)</f>
        <v>2</v>
      </c>
    </row>
    <row r="671" customFormat="false" ht="15" hidden="false" customHeight="false" outlineLevel="0" collapsed="false">
      <c r="A671" s="0" t="s">
        <v>195</v>
      </c>
      <c r="B671" s="0" t="s">
        <v>196</v>
      </c>
      <c r="C671" s="0" t="s">
        <v>30</v>
      </c>
      <c r="D671" s="0" t="s">
        <v>189</v>
      </c>
      <c r="E671" s="0" t="n">
        <v>10</v>
      </c>
      <c r="F671" s="0" t="s">
        <v>58</v>
      </c>
      <c r="G671" s="0" t="s">
        <v>59</v>
      </c>
      <c r="H671" s="0" t="s">
        <v>59</v>
      </c>
      <c r="I671" s="0" t="s">
        <v>34</v>
      </c>
      <c r="J671" s="0" t="n">
        <v>1.53</v>
      </c>
      <c r="K671" s="0" t="s">
        <v>60</v>
      </c>
      <c r="L671" s="0" t="n">
        <f aca="false">INDEX(Summary!$F$2:$F$201,MATCH($B671,Summary!$A$2:$A$201,0))</f>
        <v>20</v>
      </c>
      <c r="M671" s="0" t="n">
        <f aca="false">INDEX(Summary!$I$2:$I$201,MATCH($B671,Summary!$A$2:$A$201,0))</f>
        <v>1</v>
      </c>
      <c r="N671" s="0" t="n">
        <f aca="false">INDEX(Summary!$J$2:$J$201,MATCH($B671,Summary!$A$2:$A$201,0))</f>
        <v>4</v>
      </c>
      <c r="O671" s="2" t="n">
        <f aca="false">INDEX(Summary!$K$2:$K$201,MATCH($B671,Summary!$A$2:$A$201,0))</f>
        <v>10.81</v>
      </c>
      <c r="P671" s="3" t="n">
        <f aca="false">INDEX(Summary!$L$2:$L$201,MATCH($B671,Summary!$A$2:$A$201,0))</f>
        <v>5</v>
      </c>
      <c r="Q671" s="3" t="n">
        <f aca="false">INDEX(Summary!$M$2:$M$201,MATCH($B671,Summary!$A$2:$A$201,0))</f>
        <v>1</v>
      </c>
      <c r="R671" s="2" t="n">
        <f aca="false">INDEX(Summary!$N$2:$N$201,MATCH($B671,Summary!$A$2:$A$201,0))</f>
        <v>9.75</v>
      </c>
      <c r="S671" s="3" t="n">
        <f aca="false">INDEX(Summary!$O$2:$O$201,MATCH($B671,Summary!$A$2:$A$201,0))</f>
        <v>6</v>
      </c>
      <c r="T671" s="3" t="n">
        <f aca="false">INDEX(Summary!$P$2:$P$201,MATCH($B671,Summary!$A$2:$A$201,0))</f>
        <v>3</v>
      </c>
      <c r="U671" s="2" t="n">
        <f aca="false">INDEX(Summary!$Q$2:$Q$201,MATCH($B671,Summary!$A$2:$A$201,0))</f>
        <v>10.76</v>
      </c>
      <c r="V671" s="2" t="n">
        <f aca="false">INDEX(Summary!$R$2:$R$201,MATCH($B671,Summary!$A$2:$A$201,0))</f>
        <v>21.79</v>
      </c>
      <c r="W671" s="0" t="str">
        <f aca="false">INDEX(Summary!$S$2:$S$201,MATCH($B671,Summary!$A$2:$A$201,0))</f>
        <v>Silver</v>
      </c>
      <c r="X671" s="2" t="n">
        <f aca="false">INDEX(Summary!$T$2:$T$201,MATCH($B671,Summary!$A$2:$A$201,0))</f>
        <v>53.15</v>
      </c>
      <c r="Y671" s="0" t="str">
        <f aca="false">INDEX('Reward Model'!$E$18:$E$37,MATCH($E671,'Reward Model'!$A$18:$A$37,0))</f>
        <v>Medium</v>
      </c>
      <c r="Z671" s="4" t="n">
        <f aca="false">ROUND(MIN(1,MAX('Reward Model'!$B$2,INDEX('Reward Model'!$C$12:$C$14,MATCH($K671,'Reward Model'!$A$12:$A$14,0))/$J671)),3)</f>
        <v>1</v>
      </c>
      <c r="AA671" s="2" t="n">
        <f aca="false">IF($I671="Correct",ROUND(INDEX('Reward Model'!$B$12:$B$14,MATCH($K671,'Reward Model'!$A$12:$A$14,0))*Z671,2),0)</f>
        <v>2</v>
      </c>
      <c r="AB671" s="2" t="n">
        <f aca="false">IF($I671="Correct",ROUND(INDEX('Reward Model'!$B$12:$B$14,MATCH($Y671,'Reward Model'!$A$12:$A$14,0))*Z671,2),0)</f>
        <v>2</v>
      </c>
    </row>
    <row r="672" customFormat="false" ht="15" hidden="false" customHeight="false" outlineLevel="0" collapsed="false">
      <c r="A672" s="0" t="s">
        <v>195</v>
      </c>
      <c r="B672" s="0" t="s">
        <v>196</v>
      </c>
      <c r="C672" s="0" t="s">
        <v>30</v>
      </c>
      <c r="D672" s="0" t="s">
        <v>189</v>
      </c>
      <c r="E672" s="0" t="n">
        <v>11</v>
      </c>
      <c r="F672" s="0" t="s">
        <v>61</v>
      </c>
      <c r="G672" s="0" t="s">
        <v>145</v>
      </c>
      <c r="H672" s="0" t="s">
        <v>63</v>
      </c>
      <c r="I672" s="0" t="s">
        <v>39</v>
      </c>
      <c r="J672" s="0" t="n">
        <v>1.1</v>
      </c>
      <c r="K672" s="0" t="s">
        <v>60</v>
      </c>
      <c r="L672" s="0" t="n">
        <f aca="false">INDEX(Summary!$F$2:$F$201,MATCH($B672,Summary!$A$2:$A$201,0))</f>
        <v>20</v>
      </c>
      <c r="M672" s="0" t="n">
        <f aca="false">INDEX(Summary!$I$2:$I$201,MATCH($B672,Summary!$A$2:$A$201,0))</f>
        <v>1</v>
      </c>
      <c r="N672" s="0" t="n">
        <f aca="false">INDEX(Summary!$J$2:$J$201,MATCH($B672,Summary!$A$2:$A$201,0))</f>
        <v>4</v>
      </c>
      <c r="O672" s="2" t="n">
        <f aca="false">INDEX(Summary!$K$2:$K$201,MATCH($B672,Summary!$A$2:$A$201,0))</f>
        <v>10.81</v>
      </c>
      <c r="P672" s="3" t="n">
        <f aca="false">INDEX(Summary!$L$2:$L$201,MATCH($B672,Summary!$A$2:$A$201,0))</f>
        <v>5</v>
      </c>
      <c r="Q672" s="3" t="n">
        <f aca="false">INDEX(Summary!$M$2:$M$201,MATCH($B672,Summary!$A$2:$A$201,0))</f>
        <v>1</v>
      </c>
      <c r="R672" s="2" t="n">
        <f aca="false">INDEX(Summary!$N$2:$N$201,MATCH($B672,Summary!$A$2:$A$201,0))</f>
        <v>9.75</v>
      </c>
      <c r="S672" s="3" t="n">
        <f aca="false">INDEX(Summary!$O$2:$O$201,MATCH($B672,Summary!$A$2:$A$201,0))</f>
        <v>6</v>
      </c>
      <c r="T672" s="3" t="n">
        <f aca="false">INDEX(Summary!$P$2:$P$201,MATCH($B672,Summary!$A$2:$A$201,0))</f>
        <v>3</v>
      </c>
      <c r="U672" s="2" t="n">
        <f aca="false">INDEX(Summary!$Q$2:$Q$201,MATCH($B672,Summary!$A$2:$A$201,0))</f>
        <v>10.76</v>
      </c>
      <c r="V672" s="2" t="n">
        <f aca="false">INDEX(Summary!$R$2:$R$201,MATCH($B672,Summary!$A$2:$A$201,0))</f>
        <v>21.79</v>
      </c>
      <c r="W672" s="0" t="str">
        <f aca="false">INDEX(Summary!$S$2:$S$201,MATCH($B672,Summary!$A$2:$A$201,0))</f>
        <v>Silver</v>
      </c>
      <c r="X672" s="2" t="n">
        <f aca="false">INDEX(Summary!$T$2:$T$201,MATCH($B672,Summary!$A$2:$A$201,0))</f>
        <v>53.15</v>
      </c>
      <c r="Y672" s="0" t="str">
        <f aca="false">INDEX('Reward Model'!$E$18:$E$37,MATCH($E672,'Reward Model'!$A$18:$A$37,0))</f>
        <v>Medium</v>
      </c>
      <c r="Z672" s="4" t="n">
        <f aca="false">ROUND(MIN(1,MAX('Reward Model'!$B$2,INDEX('Reward Model'!$C$12:$C$14,MATCH($K672,'Reward Model'!$A$12:$A$14,0))/$J672)),3)</f>
        <v>1</v>
      </c>
      <c r="AA672" s="2" t="n">
        <f aca="false">IF($I672="Correct",ROUND(INDEX('Reward Model'!$B$12:$B$14,MATCH($K672,'Reward Model'!$A$12:$A$14,0))*Z672,2),0)</f>
        <v>0</v>
      </c>
      <c r="AB672" s="2" t="n">
        <f aca="false">IF($I672="Correct",ROUND(INDEX('Reward Model'!$B$12:$B$14,MATCH($Y672,'Reward Model'!$A$12:$A$14,0))*Z672,2),0)</f>
        <v>0</v>
      </c>
    </row>
    <row r="673" customFormat="false" ht="15" hidden="false" customHeight="false" outlineLevel="0" collapsed="false">
      <c r="A673" s="0" t="s">
        <v>195</v>
      </c>
      <c r="B673" s="0" t="s">
        <v>196</v>
      </c>
      <c r="C673" s="0" t="s">
        <v>30</v>
      </c>
      <c r="D673" s="0" t="s">
        <v>189</v>
      </c>
      <c r="E673" s="0" t="n">
        <v>12</v>
      </c>
      <c r="F673" s="0" t="s">
        <v>64</v>
      </c>
      <c r="G673" s="0" t="s">
        <v>65</v>
      </c>
      <c r="H673" s="0" t="s">
        <v>65</v>
      </c>
      <c r="I673" s="0" t="s">
        <v>34</v>
      </c>
      <c r="J673" s="0" t="n">
        <v>2.27</v>
      </c>
      <c r="K673" s="0" t="s">
        <v>60</v>
      </c>
      <c r="L673" s="0" t="n">
        <f aca="false">INDEX(Summary!$F$2:$F$201,MATCH($B673,Summary!$A$2:$A$201,0))</f>
        <v>20</v>
      </c>
      <c r="M673" s="0" t="n">
        <f aca="false">INDEX(Summary!$I$2:$I$201,MATCH($B673,Summary!$A$2:$A$201,0))</f>
        <v>1</v>
      </c>
      <c r="N673" s="0" t="n">
        <f aca="false">INDEX(Summary!$J$2:$J$201,MATCH($B673,Summary!$A$2:$A$201,0))</f>
        <v>4</v>
      </c>
      <c r="O673" s="2" t="n">
        <f aca="false">INDEX(Summary!$K$2:$K$201,MATCH($B673,Summary!$A$2:$A$201,0))</f>
        <v>10.81</v>
      </c>
      <c r="P673" s="3" t="n">
        <f aca="false">INDEX(Summary!$L$2:$L$201,MATCH($B673,Summary!$A$2:$A$201,0))</f>
        <v>5</v>
      </c>
      <c r="Q673" s="3" t="n">
        <f aca="false">INDEX(Summary!$M$2:$M$201,MATCH($B673,Summary!$A$2:$A$201,0))</f>
        <v>1</v>
      </c>
      <c r="R673" s="2" t="n">
        <f aca="false">INDEX(Summary!$N$2:$N$201,MATCH($B673,Summary!$A$2:$A$201,0))</f>
        <v>9.75</v>
      </c>
      <c r="S673" s="3" t="n">
        <f aca="false">INDEX(Summary!$O$2:$O$201,MATCH($B673,Summary!$A$2:$A$201,0))</f>
        <v>6</v>
      </c>
      <c r="T673" s="3" t="n">
        <f aca="false">INDEX(Summary!$P$2:$P$201,MATCH($B673,Summary!$A$2:$A$201,0))</f>
        <v>3</v>
      </c>
      <c r="U673" s="2" t="n">
        <f aca="false">INDEX(Summary!$Q$2:$Q$201,MATCH($B673,Summary!$A$2:$A$201,0))</f>
        <v>10.76</v>
      </c>
      <c r="V673" s="2" t="n">
        <f aca="false">INDEX(Summary!$R$2:$R$201,MATCH($B673,Summary!$A$2:$A$201,0))</f>
        <v>21.79</v>
      </c>
      <c r="W673" s="0" t="str">
        <f aca="false">INDEX(Summary!$S$2:$S$201,MATCH($B673,Summary!$A$2:$A$201,0))</f>
        <v>Silver</v>
      </c>
      <c r="X673" s="2" t="n">
        <f aca="false">INDEX(Summary!$T$2:$T$201,MATCH($B673,Summary!$A$2:$A$201,0))</f>
        <v>53.15</v>
      </c>
      <c r="Y673" s="0" t="str">
        <f aca="false">INDEX('Reward Model'!$E$18:$E$37,MATCH($E673,'Reward Model'!$A$18:$A$37,0))</f>
        <v>Medium</v>
      </c>
      <c r="Z673" s="4" t="n">
        <f aca="false">ROUND(MIN(1,MAX('Reward Model'!$B$2,INDEX('Reward Model'!$C$12:$C$14,MATCH($K673,'Reward Model'!$A$12:$A$14,0))/$J673)),3)</f>
        <v>0.793</v>
      </c>
      <c r="AA673" s="2" t="n">
        <f aca="false">IF($I673="Correct",ROUND(INDEX('Reward Model'!$B$12:$B$14,MATCH($K673,'Reward Model'!$A$12:$A$14,0))*Z673,2),0)</f>
        <v>1.59</v>
      </c>
      <c r="AB673" s="2" t="n">
        <f aca="false">IF($I673="Correct",ROUND(INDEX('Reward Model'!$B$12:$B$14,MATCH($Y673,'Reward Model'!$A$12:$A$14,0))*Z673,2),0)</f>
        <v>1.59</v>
      </c>
    </row>
    <row r="674" customFormat="false" ht="15" hidden="false" customHeight="false" outlineLevel="0" collapsed="false">
      <c r="A674" s="0" t="s">
        <v>195</v>
      </c>
      <c r="B674" s="0" t="s">
        <v>196</v>
      </c>
      <c r="C674" s="0" t="s">
        <v>30</v>
      </c>
      <c r="D674" s="0" t="s">
        <v>189</v>
      </c>
      <c r="E674" s="0" t="n">
        <v>13</v>
      </c>
      <c r="F674" s="0" t="s">
        <v>66</v>
      </c>
      <c r="G674" s="0" t="s">
        <v>67</v>
      </c>
      <c r="H674" s="0" t="s">
        <v>67</v>
      </c>
      <c r="I674" s="0" t="s">
        <v>34</v>
      </c>
      <c r="J674" s="0" t="n">
        <v>1.24</v>
      </c>
      <c r="K674" s="0" t="s">
        <v>60</v>
      </c>
      <c r="L674" s="0" t="n">
        <f aca="false">INDEX(Summary!$F$2:$F$201,MATCH($B674,Summary!$A$2:$A$201,0))</f>
        <v>20</v>
      </c>
      <c r="M674" s="0" t="n">
        <f aca="false">INDEX(Summary!$I$2:$I$201,MATCH($B674,Summary!$A$2:$A$201,0))</f>
        <v>1</v>
      </c>
      <c r="N674" s="0" t="n">
        <f aca="false">INDEX(Summary!$J$2:$J$201,MATCH($B674,Summary!$A$2:$A$201,0))</f>
        <v>4</v>
      </c>
      <c r="O674" s="2" t="n">
        <f aca="false">INDEX(Summary!$K$2:$K$201,MATCH($B674,Summary!$A$2:$A$201,0))</f>
        <v>10.81</v>
      </c>
      <c r="P674" s="3" t="n">
        <f aca="false">INDEX(Summary!$L$2:$L$201,MATCH($B674,Summary!$A$2:$A$201,0))</f>
        <v>5</v>
      </c>
      <c r="Q674" s="3" t="n">
        <f aca="false">INDEX(Summary!$M$2:$M$201,MATCH($B674,Summary!$A$2:$A$201,0))</f>
        <v>1</v>
      </c>
      <c r="R674" s="2" t="n">
        <f aca="false">INDEX(Summary!$N$2:$N$201,MATCH($B674,Summary!$A$2:$A$201,0))</f>
        <v>9.75</v>
      </c>
      <c r="S674" s="3" t="n">
        <f aca="false">INDEX(Summary!$O$2:$O$201,MATCH($B674,Summary!$A$2:$A$201,0))</f>
        <v>6</v>
      </c>
      <c r="T674" s="3" t="n">
        <f aca="false">INDEX(Summary!$P$2:$P$201,MATCH($B674,Summary!$A$2:$A$201,0))</f>
        <v>3</v>
      </c>
      <c r="U674" s="2" t="n">
        <f aca="false">INDEX(Summary!$Q$2:$Q$201,MATCH($B674,Summary!$A$2:$A$201,0))</f>
        <v>10.76</v>
      </c>
      <c r="V674" s="2" t="n">
        <f aca="false">INDEX(Summary!$R$2:$R$201,MATCH($B674,Summary!$A$2:$A$201,0))</f>
        <v>21.79</v>
      </c>
      <c r="W674" s="0" t="str">
        <f aca="false">INDEX(Summary!$S$2:$S$201,MATCH($B674,Summary!$A$2:$A$201,0))</f>
        <v>Silver</v>
      </c>
      <c r="X674" s="2" t="n">
        <f aca="false">INDEX(Summary!$T$2:$T$201,MATCH($B674,Summary!$A$2:$A$201,0))</f>
        <v>53.15</v>
      </c>
      <c r="Y674" s="0" t="str">
        <f aca="false">INDEX('Reward Model'!$E$18:$E$37,MATCH($E674,'Reward Model'!$A$18:$A$37,0))</f>
        <v>Medium</v>
      </c>
      <c r="Z674" s="4" t="n">
        <f aca="false">ROUND(MIN(1,MAX('Reward Model'!$B$2,INDEX('Reward Model'!$C$12:$C$14,MATCH($K674,'Reward Model'!$A$12:$A$14,0))/$J674)),3)</f>
        <v>1</v>
      </c>
      <c r="AA674" s="2" t="n">
        <f aca="false">IF($I674="Correct",ROUND(INDEX('Reward Model'!$B$12:$B$14,MATCH($K674,'Reward Model'!$A$12:$A$14,0))*Z674,2),0)</f>
        <v>2</v>
      </c>
      <c r="AB674" s="2" t="n">
        <f aca="false">IF($I674="Correct",ROUND(INDEX('Reward Model'!$B$12:$B$14,MATCH($Y674,'Reward Model'!$A$12:$A$14,0))*Z674,2),0)</f>
        <v>2</v>
      </c>
    </row>
    <row r="675" customFormat="false" ht="15" hidden="false" customHeight="false" outlineLevel="0" collapsed="false">
      <c r="A675" s="0" t="s">
        <v>195</v>
      </c>
      <c r="B675" s="0" t="s">
        <v>196</v>
      </c>
      <c r="C675" s="0" t="s">
        <v>30</v>
      </c>
      <c r="D675" s="0" t="s">
        <v>189</v>
      </c>
      <c r="E675" s="0" t="n">
        <v>14</v>
      </c>
      <c r="F675" s="0" t="s">
        <v>68</v>
      </c>
      <c r="G675" s="0" t="s">
        <v>51</v>
      </c>
      <c r="H675" s="0" t="s">
        <v>51</v>
      </c>
      <c r="I675" s="0" t="s">
        <v>34</v>
      </c>
      <c r="J675" s="0" t="n">
        <v>1.43</v>
      </c>
      <c r="K675" s="0" t="s">
        <v>60</v>
      </c>
      <c r="L675" s="0" t="n">
        <f aca="false">INDEX(Summary!$F$2:$F$201,MATCH($B675,Summary!$A$2:$A$201,0))</f>
        <v>20</v>
      </c>
      <c r="M675" s="0" t="n">
        <f aca="false">INDEX(Summary!$I$2:$I$201,MATCH($B675,Summary!$A$2:$A$201,0))</f>
        <v>1</v>
      </c>
      <c r="N675" s="0" t="n">
        <f aca="false">INDEX(Summary!$J$2:$J$201,MATCH($B675,Summary!$A$2:$A$201,0))</f>
        <v>4</v>
      </c>
      <c r="O675" s="2" t="n">
        <f aca="false">INDEX(Summary!$K$2:$K$201,MATCH($B675,Summary!$A$2:$A$201,0))</f>
        <v>10.81</v>
      </c>
      <c r="P675" s="3" t="n">
        <f aca="false">INDEX(Summary!$L$2:$L$201,MATCH($B675,Summary!$A$2:$A$201,0))</f>
        <v>5</v>
      </c>
      <c r="Q675" s="3" t="n">
        <f aca="false">INDEX(Summary!$M$2:$M$201,MATCH($B675,Summary!$A$2:$A$201,0))</f>
        <v>1</v>
      </c>
      <c r="R675" s="2" t="n">
        <f aca="false">INDEX(Summary!$N$2:$N$201,MATCH($B675,Summary!$A$2:$A$201,0))</f>
        <v>9.75</v>
      </c>
      <c r="S675" s="3" t="n">
        <f aca="false">INDEX(Summary!$O$2:$O$201,MATCH($B675,Summary!$A$2:$A$201,0))</f>
        <v>6</v>
      </c>
      <c r="T675" s="3" t="n">
        <f aca="false">INDEX(Summary!$P$2:$P$201,MATCH($B675,Summary!$A$2:$A$201,0))</f>
        <v>3</v>
      </c>
      <c r="U675" s="2" t="n">
        <f aca="false">INDEX(Summary!$Q$2:$Q$201,MATCH($B675,Summary!$A$2:$A$201,0))</f>
        <v>10.76</v>
      </c>
      <c r="V675" s="2" t="n">
        <f aca="false">INDEX(Summary!$R$2:$R$201,MATCH($B675,Summary!$A$2:$A$201,0))</f>
        <v>21.79</v>
      </c>
      <c r="W675" s="0" t="str">
        <f aca="false">INDEX(Summary!$S$2:$S$201,MATCH($B675,Summary!$A$2:$A$201,0))</f>
        <v>Silver</v>
      </c>
      <c r="X675" s="2" t="n">
        <f aca="false">INDEX(Summary!$T$2:$T$201,MATCH($B675,Summary!$A$2:$A$201,0))</f>
        <v>53.15</v>
      </c>
      <c r="Y675" s="0" t="str">
        <f aca="false">INDEX('Reward Model'!$E$18:$E$37,MATCH($E675,'Reward Model'!$A$18:$A$37,0))</f>
        <v>Medium</v>
      </c>
      <c r="Z675" s="4" t="n">
        <f aca="false">ROUND(MIN(1,MAX('Reward Model'!$B$2,INDEX('Reward Model'!$C$12:$C$14,MATCH($K675,'Reward Model'!$A$12:$A$14,0))/$J675)),3)</f>
        <v>1</v>
      </c>
      <c r="AA675" s="2" t="n">
        <f aca="false">IF($I675="Correct",ROUND(INDEX('Reward Model'!$B$12:$B$14,MATCH($K675,'Reward Model'!$A$12:$A$14,0))*Z675,2),0)</f>
        <v>2</v>
      </c>
      <c r="AB675" s="2" t="n">
        <f aca="false">IF($I675="Correct",ROUND(INDEX('Reward Model'!$B$12:$B$14,MATCH($Y675,'Reward Model'!$A$12:$A$14,0))*Z675,2),0)</f>
        <v>2</v>
      </c>
    </row>
    <row r="676" customFormat="false" ht="15" hidden="false" customHeight="false" outlineLevel="0" collapsed="false">
      <c r="A676" s="0" t="s">
        <v>195</v>
      </c>
      <c r="B676" s="0" t="s">
        <v>196</v>
      </c>
      <c r="C676" s="0" t="s">
        <v>30</v>
      </c>
      <c r="D676" s="0" t="s">
        <v>189</v>
      </c>
      <c r="E676" s="0" t="n">
        <v>15</v>
      </c>
      <c r="F676" s="0" t="s">
        <v>69</v>
      </c>
      <c r="G676" s="0" t="s">
        <v>70</v>
      </c>
      <c r="H676" s="0" t="s">
        <v>70</v>
      </c>
      <c r="I676" s="0" t="s">
        <v>34</v>
      </c>
      <c r="J676" s="0" t="n">
        <v>2.18</v>
      </c>
      <c r="K676" s="0" t="s">
        <v>60</v>
      </c>
      <c r="L676" s="0" t="n">
        <f aca="false">INDEX(Summary!$F$2:$F$201,MATCH($B676,Summary!$A$2:$A$201,0))</f>
        <v>20</v>
      </c>
      <c r="M676" s="0" t="n">
        <f aca="false">INDEX(Summary!$I$2:$I$201,MATCH($B676,Summary!$A$2:$A$201,0))</f>
        <v>1</v>
      </c>
      <c r="N676" s="0" t="n">
        <f aca="false">INDEX(Summary!$J$2:$J$201,MATCH($B676,Summary!$A$2:$A$201,0))</f>
        <v>4</v>
      </c>
      <c r="O676" s="2" t="n">
        <f aca="false">INDEX(Summary!$K$2:$K$201,MATCH($B676,Summary!$A$2:$A$201,0))</f>
        <v>10.81</v>
      </c>
      <c r="P676" s="3" t="n">
        <f aca="false">INDEX(Summary!$L$2:$L$201,MATCH($B676,Summary!$A$2:$A$201,0))</f>
        <v>5</v>
      </c>
      <c r="Q676" s="3" t="n">
        <f aca="false">INDEX(Summary!$M$2:$M$201,MATCH($B676,Summary!$A$2:$A$201,0))</f>
        <v>1</v>
      </c>
      <c r="R676" s="2" t="n">
        <f aca="false">INDEX(Summary!$N$2:$N$201,MATCH($B676,Summary!$A$2:$A$201,0))</f>
        <v>9.75</v>
      </c>
      <c r="S676" s="3" t="n">
        <f aca="false">INDEX(Summary!$O$2:$O$201,MATCH($B676,Summary!$A$2:$A$201,0))</f>
        <v>6</v>
      </c>
      <c r="T676" s="3" t="n">
        <f aca="false">INDEX(Summary!$P$2:$P$201,MATCH($B676,Summary!$A$2:$A$201,0))</f>
        <v>3</v>
      </c>
      <c r="U676" s="2" t="n">
        <f aca="false">INDEX(Summary!$Q$2:$Q$201,MATCH($B676,Summary!$A$2:$A$201,0))</f>
        <v>10.76</v>
      </c>
      <c r="V676" s="2" t="n">
        <f aca="false">INDEX(Summary!$R$2:$R$201,MATCH($B676,Summary!$A$2:$A$201,0))</f>
        <v>21.79</v>
      </c>
      <c r="W676" s="0" t="str">
        <f aca="false">INDEX(Summary!$S$2:$S$201,MATCH($B676,Summary!$A$2:$A$201,0))</f>
        <v>Silver</v>
      </c>
      <c r="X676" s="2" t="n">
        <f aca="false">INDEX(Summary!$T$2:$T$201,MATCH($B676,Summary!$A$2:$A$201,0))</f>
        <v>53.15</v>
      </c>
      <c r="Y676" s="0" t="str">
        <f aca="false">INDEX('Reward Model'!$E$18:$E$37,MATCH($E676,'Reward Model'!$A$18:$A$37,0))</f>
        <v>Medium</v>
      </c>
      <c r="Z676" s="4" t="n">
        <f aca="false">ROUND(MIN(1,MAX('Reward Model'!$B$2,INDEX('Reward Model'!$C$12:$C$14,MATCH($K676,'Reward Model'!$A$12:$A$14,0))/$J676)),3)</f>
        <v>0.826</v>
      </c>
      <c r="AA676" s="2" t="n">
        <f aca="false">IF($I676="Correct",ROUND(INDEX('Reward Model'!$B$12:$B$14,MATCH($K676,'Reward Model'!$A$12:$A$14,0))*Z676,2),0)</f>
        <v>1.65</v>
      </c>
      <c r="AB676" s="2" t="n">
        <f aca="false">IF($I676="Correct",ROUND(INDEX('Reward Model'!$B$12:$B$14,MATCH($Y676,'Reward Model'!$A$12:$A$14,0))*Z676,2),0)</f>
        <v>1.65</v>
      </c>
    </row>
    <row r="677" customFormat="false" ht="15" hidden="false" customHeight="false" outlineLevel="0" collapsed="false">
      <c r="A677" s="0" t="s">
        <v>195</v>
      </c>
      <c r="B677" s="0" t="s">
        <v>196</v>
      </c>
      <c r="C677" s="0" t="s">
        <v>30</v>
      </c>
      <c r="D677" s="0" t="s">
        <v>189</v>
      </c>
      <c r="E677" s="0" t="n">
        <v>16</v>
      </c>
      <c r="F677" s="0" t="s">
        <v>71</v>
      </c>
      <c r="G677" s="0" t="s">
        <v>104</v>
      </c>
      <c r="H677" s="0" t="s">
        <v>72</v>
      </c>
      <c r="I677" s="0" t="s">
        <v>39</v>
      </c>
      <c r="J677" s="0" t="n">
        <v>2.11</v>
      </c>
      <c r="K677" s="0" t="s">
        <v>73</v>
      </c>
      <c r="L677" s="0" t="n">
        <f aca="false">INDEX(Summary!$F$2:$F$201,MATCH($B677,Summary!$A$2:$A$201,0))</f>
        <v>20</v>
      </c>
      <c r="M677" s="0" t="n">
        <f aca="false">INDEX(Summary!$I$2:$I$201,MATCH($B677,Summary!$A$2:$A$201,0))</f>
        <v>1</v>
      </c>
      <c r="N677" s="0" t="n">
        <f aca="false">INDEX(Summary!$J$2:$J$201,MATCH($B677,Summary!$A$2:$A$201,0))</f>
        <v>4</v>
      </c>
      <c r="O677" s="2" t="n">
        <f aca="false">INDEX(Summary!$K$2:$K$201,MATCH($B677,Summary!$A$2:$A$201,0))</f>
        <v>10.81</v>
      </c>
      <c r="P677" s="3" t="n">
        <f aca="false">INDEX(Summary!$L$2:$L$201,MATCH($B677,Summary!$A$2:$A$201,0))</f>
        <v>5</v>
      </c>
      <c r="Q677" s="3" t="n">
        <f aca="false">INDEX(Summary!$M$2:$M$201,MATCH($B677,Summary!$A$2:$A$201,0))</f>
        <v>1</v>
      </c>
      <c r="R677" s="2" t="n">
        <f aca="false">INDEX(Summary!$N$2:$N$201,MATCH($B677,Summary!$A$2:$A$201,0))</f>
        <v>9.75</v>
      </c>
      <c r="S677" s="3" t="n">
        <f aca="false">INDEX(Summary!$O$2:$O$201,MATCH($B677,Summary!$A$2:$A$201,0))</f>
        <v>6</v>
      </c>
      <c r="T677" s="3" t="n">
        <f aca="false">INDEX(Summary!$P$2:$P$201,MATCH($B677,Summary!$A$2:$A$201,0))</f>
        <v>3</v>
      </c>
      <c r="U677" s="2" t="n">
        <f aca="false">INDEX(Summary!$Q$2:$Q$201,MATCH($B677,Summary!$A$2:$A$201,0))</f>
        <v>10.76</v>
      </c>
      <c r="V677" s="2" t="n">
        <f aca="false">INDEX(Summary!$R$2:$R$201,MATCH($B677,Summary!$A$2:$A$201,0))</f>
        <v>21.79</v>
      </c>
      <c r="W677" s="0" t="str">
        <f aca="false">INDEX(Summary!$S$2:$S$201,MATCH($B677,Summary!$A$2:$A$201,0))</f>
        <v>Silver</v>
      </c>
      <c r="X677" s="2" t="n">
        <f aca="false">INDEX(Summary!$T$2:$T$201,MATCH($B677,Summary!$A$2:$A$201,0))</f>
        <v>53.15</v>
      </c>
      <c r="Y677" s="0" t="str">
        <f aca="false">INDEX('Reward Model'!$E$18:$E$37,MATCH($E677,'Reward Model'!$A$18:$A$37,0))</f>
        <v>High</v>
      </c>
      <c r="Z677" s="4" t="n">
        <f aca="false">ROUND(MIN(1,MAX('Reward Model'!$B$2,INDEX('Reward Model'!$C$12:$C$14,MATCH($K677,'Reward Model'!$A$12:$A$14,0))/$J677)),3)</f>
        <v>0.948</v>
      </c>
      <c r="AA677" s="2" t="n">
        <f aca="false">IF($I677="Correct",ROUND(INDEX('Reward Model'!$B$12:$B$14,MATCH($K677,'Reward Model'!$A$12:$A$14,0))*Z677,2),0)</f>
        <v>0</v>
      </c>
      <c r="AB677" s="2" t="n">
        <f aca="false">IF($I677="Correct",ROUND(INDEX('Reward Model'!$B$12:$B$14,MATCH($Y677,'Reward Model'!$A$12:$A$14,0))*Z677,2),0)</f>
        <v>0</v>
      </c>
    </row>
    <row r="678" customFormat="false" ht="15" hidden="false" customHeight="false" outlineLevel="0" collapsed="false">
      <c r="A678" s="0" t="s">
        <v>195</v>
      </c>
      <c r="B678" s="0" t="s">
        <v>196</v>
      </c>
      <c r="C678" s="0" t="s">
        <v>30</v>
      </c>
      <c r="D678" s="0" t="s">
        <v>189</v>
      </c>
      <c r="E678" s="0" t="n">
        <v>17</v>
      </c>
      <c r="F678" s="0" t="s">
        <v>74</v>
      </c>
      <c r="G678" s="0" t="s">
        <v>75</v>
      </c>
      <c r="H678" s="0" t="s">
        <v>75</v>
      </c>
      <c r="I678" s="0" t="s">
        <v>34</v>
      </c>
      <c r="J678" s="0" t="n">
        <v>2.35</v>
      </c>
      <c r="K678" s="0" t="s">
        <v>73</v>
      </c>
      <c r="L678" s="0" t="n">
        <f aca="false">INDEX(Summary!$F$2:$F$201,MATCH($B678,Summary!$A$2:$A$201,0))</f>
        <v>20</v>
      </c>
      <c r="M678" s="0" t="n">
        <f aca="false">INDEX(Summary!$I$2:$I$201,MATCH($B678,Summary!$A$2:$A$201,0))</f>
        <v>1</v>
      </c>
      <c r="N678" s="0" t="n">
        <f aca="false">INDEX(Summary!$J$2:$J$201,MATCH($B678,Summary!$A$2:$A$201,0))</f>
        <v>4</v>
      </c>
      <c r="O678" s="2" t="n">
        <f aca="false">INDEX(Summary!$K$2:$K$201,MATCH($B678,Summary!$A$2:$A$201,0))</f>
        <v>10.81</v>
      </c>
      <c r="P678" s="3" t="n">
        <f aca="false">INDEX(Summary!$L$2:$L$201,MATCH($B678,Summary!$A$2:$A$201,0))</f>
        <v>5</v>
      </c>
      <c r="Q678" s="3" t="n">
        <f aca="false">INDEX(Summary!$M$2:$M$201,MATCH($B678,Summary!$A$2:$A$201,0))</f>
        <v>1</v>
      </c>
      <c r="R678" s="2" t="n">
        <f aca="false">INDEX(Summary!$N$2:$N$201,MATCH($B678,Summary!$A$2:$A$201,0))</f>
        <v>9.75</v>
      </c>
      <c r="S678" s="3" t="n">
        <f aca="false">INDEX(Summary!$O$2:$O$201,MATCH($B678,Summary!$A$2:$A$201,0))</f>
        <v>6</v>
      </c>
      <c r="T678" s="3" t="n">
        <f aca="false">INDEX(Summary!$P$2:$P$201,MATCH($B678,Summary!$A$2:$A$201,0))</f>
        <v>3</v>
      </c>
      <c r="U678" s="2" t="n">
        <f aca="false">INDEX(Summary!$Q$2:$Q$201,MATCH($B678,Summary!$A$2:$A$201,0))</f>
        <v>10.76</v>
      </c>
      <c r="V678" s="2" t="n">
        <f aca="false">INDEX(Summary!$R$2:$R$201,MATCH($B678,Summary!$A$2:$A$201,0))</f>
        <v>21.79</v>
      </c>
      <c r="W678" s="0" t="str">
        <f aca="false">INDEX(Summary!$S$2:$S$201,MATCH($B678,Summary!$A$2:$A$201,0))</f>
        <v>Silver</v>
      </c>
      <c r="X678" s="2" t="n">
        <f aca="false">INDEX(Summary!$T$2:$T$201,MATCH($B678,Summary!$A$2:$A$201,0))</f>
        <v>53.15</v>
      </c>
      <c r="Y678" s="0" t="str">
        <f aca="false">INDEX('Reward Model'!$E$18:$E$37,MATCH($E678,'Reward Model'!$A$18:$A$37,0))</f>
        <v>High</v>
      </c>
      <c r="Z678" s="4" t="n">
        <f aca="false">ROUND(MIN(1,MAX('Reward Model'!$B$2,INDEX('Reward Model'!$C$12:$C$14,MATCH($K678,'Reward Model'!$A$12:$A$14,0))/$J678)),3)</f>
        <v>0.851</v>
      </c>
      <c r="AA678" s="2" t="n">
        <f aca="false">IF($I678="Correct",ROUND(INDEX('Reward Model'!$B$12:$B$14,MATCH($K678,'Reward Model'!$A$12:$A$14,0))*Z678,2),0)</f>
        <v>2.55</v>
      </c>
      <c r="AB678" s="2" t="n">
        <f aca="false">IF($I678="Correct",ROUND(INDEX('Reward Model'!$B$12:$B$14,MATCH($Y678,'Reward Model'!$A$12:$A$14,0))*Z678,2),0)</f>
        <v>2.55</v>
      </c>
    </row>
    <row r="679" customFormat="false" ht="15" hidden="false" customHeight="false" outlineLevel="0" collapsed="false">
      <c r="A679" s="0" t="s">
        <v>195</v>
      </c>
      <c r="B679" s="0" t="s">
        <v>196</v>
      </c>
      <c r="C679" s="0" t="s">
        <v>30</v>
      </c>
      <c r="D679" s="0" t="s">
        <v>189</v>
      </c>
      <c r="E679" s="0" t="n">
        <v>18</v>
      </c>
      <c r="F679" s="0" t="s">
        <v>76</v>
      </c>
      <c r="G679" s="0" t="s">
        <v>88</v>
      </c>
      <c r="H679" s="0" t="s">
        <v>77</v>
      </c>
      <c r="I679" s="0" t="s">
        <v>39</v>
      </c>
      <c r="J679" s="0" t="n">
        <v>2.58</v>
      </c>
      <c r="K679" s="0" t="s">
        <v>73</v>
      </c>
      <c r="L679" s="0" t="n">
        <f aca="false">INDEX(Summary!$F$2:$F$201,MATCH($B679,Summary!$A$2:$A$201,0))</f>
        <v>20</v>
      </c>
      <c r="M679" s="0" t="n">
        <f aca="false">INDEX(Summary!$I$2:$I$201,MATCH($B679,Summary!$A$2:$A$201,0))</f>
        <v>1</v>
      </c>
      <c r="N679" s="0" t="n">
        <f aca="false">INDEX(Summary!$J$2:$J$201,MATCH($B679,Summary!$A$2:$A$201,0))</f>
        <v>4</v>
      </c>
      <c r="O679" s="2" t="n">
        <f aca="false">INDEX(Summary!$K$2:$K$201,MATCH($B679,Summary!$A$2:$A$201,0))</f>
        <v>10.81</v>
      </c>
      <c r="P679" s="3" t="n">
        <f aca="false">INDEX(Summary!$L$2:$L$201,MATCH($B679,Summary!$A$2:$A$201,0))</f>
        <v>5</v>
      </c>
      <c r="Q679" s="3" t="n">
        <f aca="false">INDEX(Summary!$M$2:$M$201,MATCH($B679,Summary!$A$2:$A$201,0))</f>
        <v>1</v>
      </c>
      <c r="R679" s="2" t="n">
        <f aca="false">INDEX(Summary!$N$2:$N$201,MATCH($B679,Summary!$A$2:$A$201,0))</f>
        <v>9.75</v>
      </c>
      <c r="S679" s="3" t="n">
        <f aca="false">INDEX(Summary!$O$2:$O$201,MATCH($B679,Summary!$A$2:$A$201,0))</f>
        <v>6</v>
      </c>
      <c r="T679" s="3" t="n">
        <f aca="false">INDEX(Summary!$P$2:$P$201,MATCH($B679,Summary!$A$2:$A$201,0))</f>
        <v>3</v>
      </c>
      <c r="U679" s="2" t="n">
        <f aca="false">INDEX(Summary!$Q$2:$Q$201,MATCH($B679,Summary!$A$2:$A$201,0))</f>
        <v>10.76</v>
      </c>
      <c r="V679" s="2" t="n">
        <f aca="false">INDEX(Summary!$R$2:$R$201,MATCH($B679,Summary!$A$2:$A$201,0))</f>
        <v>21.79</v>
      </c>
      <c r="W679" s="0" t="str">
        <f aca="false">INDEX(Summary!$S$2:$S$201,MATCH($B679,Summary!$A$2:$A$201,0))</f>
        <v>Silver</v>
      </c>
      <c r="X679" s="2" t="n">
        <f aca="false">INDEX(Summary!$T$2:$T$201,MATCH($B679,Summary!$A$2:$A$201,0))</f>
        <v>53.15</v>
      </c>
      <c r="Y679" s="0" t="str">
        <f aca="false">INDEX('Reward Model'!$E$18:$E$37,MATCH($E679,'Reward Model'!$A$18:$A$37,0))</f>
        <v>High</v>
      </c>
      <c r="Z679" s="4" t="n">
        <f aca="false">ROUND(MIN(1,MAX('Reward Model'!$B$2,INDEX('Reward Model'!$C$12:$C$14,MATCH($K679,'Reward Model'!$A$12:$A$14,0))/$J679)),3)</f>
        <v>0.775</v>
      </c>
      <c r="AA679" s="2" t="n">
        <f aca="false">IF($I679="Correct",ROUND(INDEX('Reward Model'!$B$12:$B$14,MATCH($K679,'Reward Model'!$A$12:$A$14,0))*Z679,2),0)</f>
        <v>0</v>
      </c>
      <c r="AB679" s="2" t="n">
        <f aca="false">IF($I679="Correct",ROUND(INDEX('Reward Model'!$B$12:$B$14,MATCH($Y679,'Reward Model'!$A$12:$A$14,0))*Z679,2),0)</f>
        <v>0</v>
      </c>
    </row>
    <row r="680" customFormat="false" ht="15" hidden="false" customHeight="false" outlineLevel="0" collapsed="false">
      <c r="A680" s="0" t="s">
        <v>195</v>
      </c>
      <c r="B680" s="0" t="s">
        <v>196</v>
      </c>
      <c r="C680" s="0" t="s">
        <v>30</v>
      </c>
      <c r="D680" s="0" t="s">
        <v>189</v>
      </c>
      <c r="E680" s="0" t="n">
        <v>19</v>
      </c>
      <c r="F680" s="0" t="s">
        <v>78</v>
      </c>
      <c r="G680" s="0" t="s">
        <v>51</v>
      </c>
      <c r="H680" s="0" t="s">
        <v>80</v>
      </c>
      <c r="I680" s="0" t="s">
        <v>39</v>
      </c>
      <c r="J680" s="0" t="n">
        <v>1.36</v>
      </c>
      <c r="K680" s="0" t="s">
        <v>73</v>
      </c>
      <c r="L680" s="0" t="n">
        <f aca="false">INDEX(Summary!$F$2:$F$201,MATCH($B680,Summary!$A$2:$A$201,0))</f>
        <v>20</v>
      </c>
      <c r="M680" s="0" t="n">
        <f aca="false">INDEX(Summary!$I$2:$I$201,MATCH($B680,Summary!$A$2:$A$201,0))</f>
        <v>1</v>
      </c>
      <c r="N680" s="0" t="n">
        <f aca="false">INDEX(Summary!$J$2:$J$201,MATCH($B680,Summary!$A$2:$A$201,0))</f>
        <v>4</v>
      </c>
      <c r="O680" s="2" t="n">
        <f aca="false">INDEX(Summary!$K$2:$K$201,MATCH($B680,Summary!$A$2:$A$201,0))</f>
        <v>10.81</v>
      </c>
      <c r="P680" s="3" t="n">
        <f aca="false">INDEX(Summary!$L$2:$L$201,MATCH($B680,Summary!$A$2:$A$201,0))</f>
        <v>5</v>
      </c>
      <c r="Q680" s="3" t="n">
        <f aca="false">INDEX(Summary!$M$2:$M$201,MATCH($B680,Summary!$A$2:$A$201,0))</f>
        <v>1</v>
      </c>
      <c r="R680" s="2" t="n">
        <f aca="false">INDEX(Summary!$N$2:$N$201,MATCH($B680,Summary!$A$2:$A$201,0))</f>
        <v>9.75</v>
      </c>
      <c r="S680" s="3" t="n">
        <f aca="false">INDEX(Summary!$O$2:$O$201,MATCH($B680,Summary!$A$2:$A$201,0))</f>
        <v>6</v>
      </c>
      <c r="T680" s="3" t="n">
        <f aca="false">INDEX(Summary!$P$2:$P$201,MATCH($B680,Summary!$A$2:$A$201,0))</f>
        <v>3</v>
      </c>
      <c r="U680" s="2" t="n">
        <f aca="false">INDEX(Summary!$Q$2:$Q$201,MATCH($B680,Summary!$A$2:$A$201,0))</f>
        <v>10.76</v>
      </c>
      <c r="V680" s="2" t="n">
        <f aca="false">INDEX(Summary!$R$2:$R$201,MATCH($B680,Summary!$A$2:$A$201,0))</f>
        <v>21.79</v>
      </c>
      <c r="W680" s="0" t="str">
        <f aca="false">INDEX(Summary!$S$2:$S$201,MATCH($B680,Summary!$A$2:$A$201,0))</f>
        <v>Silver</v>
      </c>
      <c r="X680" s="2" t="n">
        <f aca="false">INDEX(Summary!$T$2:$T$201,MATCH($B680,Summary!$A$2:$A$201,0))</f>
        <v>53.15</v>
      </c>
      <c r="Y680" s="0" t="str">
        <f aca="false">INDEX('Reward Model'!$E$18:$E$37,MATCH($E680,'Reward Model'!$A$18:$A$37,0))</f>
        <v>High</v>
      </c>
      <c r="Z680" s="4" t="n">
        <f aca="false">ROUND(MIN(1,MAX('Reward Model'!$B$2,INDEX('Reward Model'!$C$12:$C$14,MATCH($K680,'Reward Model'!$A$12:$A$14,0))/$J680)),3)</f>
        <v>1</v>
      </c>
      <c r="AA680" s="2" t="n">
        <f aca="false">IF($I680="Correct",ROUND(INDEX('Reward Model'!$B$12:$B$14,MATCH($K680,'Reward Model'!$A$12:$A$14,0))*Z680,2),0)</f>
        <v>0</v>
      </c>
      <c r="AB680" s="2" t="n">
        <f aca="false">IF($I680="Correct",ROUND(INDEX('Reward Model'!$B$12:$B$14,MATCH($Y680,'Reward Model'!$A$12:$A$14,0))*Z680,2),0)</f>
        <v>0</v>
      </c>
    </row>
    <row r="681" customFormat="false" ht="15" hidden="false" customHeight="false" outlineLevel="0" collapsed="false">
      <c r="A681" s="0" t="s">
        <v>195</v>
      </c>
      <c r="B681" s="0" t="s">
        <v>196</v>
      </c>
      <c r="C681" s="0" t="s">
        <v>30</v>
      </c>
      <c r="D681" s="0" t="s">
        <v>189</v>
      </c>
      <c r="E681" s="0" t="n">
        <v>20</v>
      </c>
      <c r="F681" s="0" t="s">
        <v>81</v>
      </c>
      <c r="G681" s="0" t="s">
        <v>119</v>
      </c>
      <c r="H681" s="0" t="s">
        <v>83</v>
      </c>
      <c r="I681" s="0" t="s">
        <v>39</v>
      </c>
      <c r="J681" s="0" t="n">
        <v>2.41</v>
      </c>
      <c r="K681" s="0" t="s">
        <v>73</v>
      </c>
      <c r="L681" s="0" t="n">
        <f aca="false">INDEX(Summary!$F$2:$F$201,MATCH($B681,Summary!$A$2:$A$201,0))</f>
        <v>20</v>
      </c>
      <c r="M681" s="0" t="n">
        <f aca="false">INDEX(Summary!$I$2:$I$201,MATCH($B681,Summary!$A$2:$A$201,0))</f>
        <v>1</v>
      </c>
      <c r="N681" s="0" t="n">
        <f aca="false">INDEX(Summary!$J$2:$J$201,MATCH($B681,Summary!$A$2:$A$201,0))</f>
        <v>4</v>
      </c>
      <c r="O681" s="2" t="n">
        <f aca="false">INDEX(Summary!$K$2:$K$201,MATCH($B681,Summary!$A$2:$A$201,0))</f>
        <v>10.81</v>
      </c>
      <c r="P681" s="3" t="n">
        <f aca="false">INDEX(Summary!$L$2:$L$201,MATCH($B681,Summary!$A$2:$A$201,0))</f>
        <v>5</v>
      </c>
      <c r="Q681" s="3" t="n">
        <f aca="false">INDEX(Summary!$M$2:$M$201,MATCH($B681,Summary!$A$2:$A$201,0))</f>
        <v>1</v>
      </c>
      <c r="R681" s="2" t="n">
        <f aca="false">INDEX(Summary!$N$2:$N$201,MATCH($B681,Summary!$A$2:$A$201,0))</f>
        <v>9.75</v>
      </c>
      <c r="S681" s="3" t="n">
        <f aca="false">INDEX(Summary!$O$2:$O$201,MATCH($B681,Summary!$A$2:$A$201,0))</f>
        <v>6</v>
      </c>
      <c r="T681" s="3" t="n">
        <f aca="false">INDEX(Summary!$P$2:$P$201,MATCH($B681,Summary!$A$2:$A$201,0))</f>
        <v>3</v>
      </c>
      <c r="U681" s="2" t="n">
        <f aca="false">INDEX(Summary!$Q$2:$Q$201,MATCH($B681,Summary!$A$2:$A$201,0))</f>
        <v>10.76</v>
      </c>
      <c r="V681" s="2" t="n">
        <f aca="false">INDEX(Summary!$R$2:$R$201,MATCH($B681,Summary!$A$2:$A$201,0))</f>
        <v>21.79</v>
      </c>
      <c r="W681" s="0" t="str">
        <f aca="false">INDEX(Summary!$S$2:$S$201,MATCH($B681,Summary!$A$2:$A$201,0))</f>
        <v>Silver</v>
      </c>
      <c r="X681" s="2" t="n">
        <f aca="false">INDEX(Summary!$T$2:$T$201,MATCH($B681,Summary!$A$2:$A$201,0))</f>
        <v>53.15</v>
      </c>
      <c r="Y681" s="0" t="str">
        <f aca="false">INDEX('Reward Model'!$E$18:$E$37,MATCH($E681,'Reward Model'!$A$18:$A$37,0))</f>
        <v>High</v>
      </c>
      <c r="Z681" s="4" t="n">
        <f aca="false">ROUND(MIN(1,MAX('Reward Model'!$B$2,INDEX('Reward Model'!$C$12:$C$14,MATCH($K681,'Reward Model'!$A$12:$A$14,0))/$J681)),3)</f>
        <v>0.83</v>
      </c>
      <c r="AA681" s="2" t="n">
        <f aca="false">IF($I681="Correct",ROUND(INDEX('Reward Model'!$B$12:$B$14,MATCH($K681,'Reward Model'!$A$12:$A$14,0))*Z681,2),0)</f>
        <v>0</v>
      </c>
      <c r="AB681" s="2" t="n">
        <f aca="false">IF($I681="Correct",ROUND(INDEX('Reward Model'!$B$12:$B$14,MATCH($Y681,'Reward Model'!$A$12:$A$14,0))*Z681,2),0)</f>
        <v>0</v>
      </c>
    </row>
    <row r="682" customFormat="false" ht="15" hidden="false" customHeight="false" outlineLevel="0" collapsed="false">
      <c r="A682" s="0" t="s">
        <v>197</v>
      </c>
      <c r="B682" s="0" t="s">
        <v>198</v>
      </c>
      <c r="C682" s="0" t="s">
        <v>30</v>
      </c>
      <c r="D682" s="0" t="s">
        <v>189</v>
      </c>
      <c r="E682" s="0" t="n">
        <v>1</v>
      </c>
      <c r="F682" s="0" t="s">
        <v>32</v>
      </c>
      <c r="G682" s="0" t="s">
        <v>33</v>
      </c>
      <c r="H682" s="0" t="s">
        <v>33</v>
      </c>
      <c r="I682" s="0" t="s">
        <v>34</v>
      </c>
      <c r="J682" s="0" t="n">
        <v>1.24</v>
      </c>
      <c r="K682" s="0" t="s">
        <v>35</v>
      </c>
      <c r="L682" s="0" t="n">
        <f aca="false">INDEX(Summary!$F$2:$F$201,MATCH($B682,Summary!$A$2:$A$201,0))</f>
        <v>20</v>
      </c>
      <c r="M682" s="0" t="n">
        <f aca="false">INDEX(Summary!$I$2:$I$201,MATCH($B682,Summary!$A$2:$A$201,0))</f>
        <v>3</v>
      </c>
      <c r="N682" s="0" t="n">
        <f aca="false">INDEX(Summary!$J$2:$J$201,MATCH($B682,Summary!$A$2:$A$201,0))</f>
        <v>2</v>
      </c>
      <c r="O682" s="2" t="n">
        <f aca="false">INDEX(Summary!$K$2:$K$201,MATCH($B682,Summary!$A$2:$A$201,0))</f>
        <v>9.61</v>
      </c>
      <c r="P682" s="3" t="n">
        <f aca="false">INDEX(Summary!$L$2:$L$201,MATCH($B682,Summary!$A$2:$A$201,0))</f>
        <v>3</v>
      </c>
      <c r="Q682" s="3" t="n">
        <f aca="false">INDEX(Summary!$M$2:$M$201,MATCH($B682,Summary!$A$2:$A$201,0))</f>
        <v>3</v>
      </c>
      <c r="R682" s="2" t="n">
        <f aca="false">INDEX(Summary!$N$2:$N$201,MATCH($B682,Summary!$A$2:$A$201,0))</f>
        <v>11.89</v>
      </c>
      <c r="S682" s="3" t="n">
        <f aca="false">INDEX(Summary!$O$2:$O$201,MATCH($B682,Summary!$A$2:$A$201,0))</f>
        <v>8</v>
      </c>
      <c r="T682" s="3" t="n">
        <f aca="false">INDEX(Summary!$P$2:$P$201,MATCH($B682,Summary!$A$2:$A$201,0))</f>
        <v>1</v>
      </c>
      <c r="U682" s="2" t="n">
        <f aca="false">INDEX(Summary!$Q$2:$Q$201,MATCH($B682,Summary!$A$2:$A$201,0))</f>
        <v>11.6</v>
      </c>
      <c r="V682" s="2" t="n">
        <f aca="false">INDEX(Summary!$R$2:$R$201,MATCH($B682,Summary!$A$2:$A$201,0))</f>
        <v>24.98</v>
      </c>
      <c r="W682" s="0" t="str">
        <f aca="false">INDEX(Summary!$S$2:$S$201,MATCH($B682,Summary!$A$2:$A$201,0))</f>
        <v>Silver</v>
      </c>
      <c r="X682" s="2" t="n">
        <f aca="false">INDEX(Summary!$T$2:$T$201,MATCH($B682,Summary!$A$2:$A$201,0))</f>
        <v>60.93</v>
      </c>
      <c r="Y682" s="0" t="str">
        <f aca="false">INDEX('Reward Model'!$E$18:$E$37,MATCH($E682,'Reward Model'!$A$18:$A$37,0))</f>
        <v>Medium</v>
      </c>
      <c r="Z682" s="4" t="n">
        <f aca="false">ROUND(MIN(1,MAX('Reward Model'!$B$2,INDEX('Reward Model'!$C$12:$C$14,MATCH($K682,'Reward Model'!$A$12:$A$14,0))/$J682)),3)</f>
        <v>1</v>
      </c>
      <c r="AA682" s="2" t="n">
        <f aca="false">IF($I682="Correct",ROUND(INDEX('Reward Model'!$B$12:$B$14,MATCH($K682,'Reward Model'!$A$12:$A$14,0))*Z682,2),0)</f>
        <v>1</v>
      </c>
      <c r="AB682" s="2" t="n">
        <f aca="false">IF($I682="Correct",ROUND(INDEX('Reward Model'!$B$12:$B$14,MATCH($Y682,'Reward Model'!$A$12:$A$14,0))*Z682,2),0)</f>
        <v>2</v>
      </c>
    </row>
    <row r="683" customFormat="false" ht="15" hidden="false" customHeight="false" outlineLevel="0" collapsed="false">
      <c r="A683" s="0" t="s">
        <v>197</v>
      </c>
      <c r="B683" s="0" t="s">
        <v>198</v>
      </c>
      <c r="C683" s="0" t="s">
        <v>30</v>
      </c>
      <c r="D683" s="0" t="s">
        <v>189</v>
      </c>
      <c r="E683" s="0" t="n">
        <v>2</v>
      </c>
      <c r="F683" s="0" t="s">
        <v>36</v>
      </c>
      <c r="G683" s="0" t="s">
        <v>38</v>
      </c>
      <c r="H683" s="0" t="s">
        <v>38</v>
      </c>
      <c r="I683" s="0" t="s">
        <v>34</v>
      </c>
      <c r="J683" s="0" t="n">
        <v>1.09</v>
      </c>
      <c r="K683" s="0" t="s">
        <v>35</v>
      </c>
      <c r="L683" s="0" t="n">
        <f aca="false">INDEX(Summary!$F$2:$F$201,MATCH($B683,Summary!$A$2:$A$201,0))</f>
        <v>20</v>
      </c>
      <c r="M683" s="0" t="n">
        <f aca="false">INDEX(Summary!$I$2:$I$201,MATCH($B683,Summary!$A$2:$A$201,0))</f>
        <v>3</v>
      </c>
      <c r="N683" s="0" t="n">
        <f aca="false">INDEX(Summary!$J$2:$J$201,MATCH($B683,Summary!$A$2:$A$201,0))</f>
        <v>2</v>
      </c>
      <c r="O683" s="2" t="n">
        <f aca="false">INDEX(Summary!$K$2:$K$201,MATCH($B683,Summary!$A$2:$A$201,0))</f>
        <v>9.61</v>
      </c>
      <c r="P683" s="3" t="n">
        <f aca="false">INDEX(Summary!$L$2:$L$201,MATCH($B683,Summary!$A$2:$A$201,0))</f>
        <v>3</v>
      </c>
      <c r="Q683" s="3" t="n">
        <f aca="false">INDEX(Summary!$M$2:$M$201,MATCH($B683,Summary!$A$2:$A$201,0))</f>
        <v>3</v>
      </c>
      <c r="R683" s="2" t="n">
        <f aca="false">INDEX(Summary!$N$2:$N$201,MATCH($B683,Summary!$A$2:$A$201,0))</f>
        <v>11.89</v>
      </c>
      <c r="S683" s="3" t="n">
        <f aca="false">INDEX(Summary!$O$2:$O$201,MATCH($B683,Summary!$A$2:$A$201,0))</f>
        <v>8</v>
      </c>
      <c r="T683" s="3" t="n">
        <f aca="false">INDEX(Summary!$P$2:$P$201,MATCH($B683,Summary!$A$2:$A$201,0))</f>
        <v>1</v>
      </c>
      <c r="U683" s="2" t="n">
        <f aca="false">INDEX(Summary!$Q$2:$Q$201,MATCH($B683,Summary!$A$2:$A$201,0))</f>
        <v>11.6</v>
      </c>
      <c r="V683" s="2" t="n">
        <f aca="false">INDEX(Summary!$R$2:$R$201,MATCH($B683,Summary!$A$2:$A$201,0))</f>
        <v>24.98</v>
      </c>
      <c r="W683" s="0" t="str">
        <f aca="false">INDEX(Summary!$S$2:$S$201,MATCH($B683,Summary!$A$2:$A$201,0))</f>
        <v>Silver</v>
      </c>
      <c r="X683" s="2" t="n">
        <f aca="false">INDEX(Summary!$T$2:$T$201,MATCH($B683,Summary!$A$2:$A$201,0))</f>
        <v>60.93</v>
      </c>
      <c r="Y683" s="0" t="str">
        <f aca="false">INDEX('Reward Model'!$E$18:$E$37,MATCH($E683,'Reward Model'!$A$18:$A$37,0))</f>
        <v>Low</v>
      </c>
      <c r="Z683" s="4" t="n">
        <f aca="false">ROUND(MIN(1,MAX('Reward Model'!$B$2,INDEX('Reward Model'!$C$12:$C$14,MATCH($K683,'Reward Model'!$A$12:$A$14,0))/$J683)),3)</f>
        <v>1</v>
      </c>
      <c r="AA683" s="2" t="n">
        <f aca="false">IF($I683="Correct",ROUND(INDEX('Reward Model'!$B$12:$B$14,MATCH($K683,'Reward Model'!$A$12:$A$14,0))*Z683,2),0)</f>
        <v>1</v>
      </c>
      <c r="AB683" s="2" t="n">
        <f aca="false">IF($I683="Correct",ROUND(INDEX('Reward Model'!$B$12:$B$14,MATCH($Y683,'Reward Model'!$A$12:$A$14,0))*Z683,2),0)</f>
        <v>1</v>
      </c>
    </row>
    <row r="684" customFormat="false" ht="15" hidden="false" customHeight="false" outlineLevel="0" collapsed="false">
      <c r="A684" s="0" t="s">
        <v>197</v>
      </c>
      <c r="B684" s="0" t="s">
        <v>198</v>
      </c>
      <c r="C684" s="0" t="s">
        <v>30</v>
      </c>
      <c r="D684" s="0" t="s">
        <v>189</v>
      </c>
      <c r="E684" s="0" t="n">
        <v>3</v>
      </c>
      <c r="F684" s="0" t="s">
        <v>40</v>
      </c>
      <c r="G684" s="0" t="s">
        <v>42</v>
      </c>
      <c r="H684" s="0" t="s">
        <v>42</v>
      </c>
      <c r="I684" s="0" t="s">
        <v>34</v>
      </c>
      <c r="J684" s="0" t="n">
        <v>1.83</v>
      </c>
      <c r="K684" s="0" t="s">
        <v>35</v>
      </c>
      <c r="L684" s="0" t="n">
        <f aca="false">INDEX(Summary!$F$2:$F$201,MATCH($B684,Summary!$A$2:$A$201,0))</f>
        <v>20</v>
      </c>
      <c r="M684" s="0" t="n">
        <f aca="false">INDEX(Summary!$I$2:$I$201,MATCH($B684,Summary!$A$2:$A$201,0))</f>
        <v>3</v>
      </c>
      <c r="N684" s="0" t="n">
        <f aca="false">INDEX(Summary!$J$2:$J$201,MATCH($B684,Summary!$A$2:$A$201,0))</f>
        <v>2</v>
      </c>
      <c r="O684" s="2" t="n">
        <f aca="false">INDEX(Summary!$K$2:$K$201,MATCH($B684,Summary!$A$2:$A$201,0))</f>
        <v>9.61</v>
      </c>
      <c r="P684" s="3" t="n">
        <f aca="false">INDEX(Summary!$L$2:$L$201,MATCH($B684,Summary!$A$2:$A$201,0))</f>
        <v>3</v>
      </c>
      <c r="Q684" s="3" t="n">
        <f aca="false">INDEX(Summary!$M$2:$M$201,MATCH($B684,Summary!$A$2:$A$201,0))</f>
        <v>3</v>
      </c>
      <c r="R684" s="2" t="n">
        <f aca="false">INDEX(Summary!$N$2:$N$201,MATCH($B684,Summary!$A$2:$A$201,0))</f>
        <v>11.89</v>
      </c>
      <c r="S684" s="3" t="n">
        <f aca="false">INDEX(Summary!$O$2:$O$201,MATCH($B684,Summary!$A$2:$A$201,0))</f>
        <v>8</v>
      </c>
      <c r="T684" s="3" t="n">
        <f aca="false">INDEX(Summary!$P$2:$P$201,MATCH($B684,Summary!$A$2:$A$201,0))</f>
        <v>1</v>
      </c>
      <c r="U684" s="2" t="n">
        <f aca="false">INDEX(Summary!$Q$2:$Q$201,MATCH($B684,Summary!$A$2:$A$201,0))</f>
        <v>11.6</v>
      </c>
      <c r="V684" s="2" t="n">
        <f aca="false">INDEX(Summary!$R$2:$R$201,MATCH($B684,Summary!$A$2:$A$201,0))</f>
        <v>24.98</v>
      </c>
      <c r="W684" s="0" t="str">
        <f aca="false">INDEX(Summary!$S$2:$S$201,MATCH($B684,Summary!$A$2:$A$201,0))</f>
        <v>Silver</v>
      </c>
      <c r="X684" s="2" t="n">
        <f aca="false">INDEX(Summary!$T$2:$T$201,MATCH($B684,Summary!$A$2:$A$201,0))</f>
        <v>60.93</v>
      </c>
      <c r="Y684" s="0" t="str">
        <f aca="false">INDEX('Reward Model'!$E$18:$E$37,MATCH($E684,'Reward Model'!$A$18:$A$37,0))</f>
        <v>Medium</v>
      </c>
      <c r="Z684" s="4" t="n">
        <f aca="false">ROUND(MIN(1,MAX('Reward Model'!$B$2,INDEX('Reward Model'!$C$12:$C$14,MATCH($K684,'Reward Model'!$A$12:$A$14,0))/$J684)),3)</f>
        <v>0.82</v>
      </c>
      <c r="AA684" s="2" t="n">
        <f aca="false">IF($I684="Correct",ROUND(INDEX('Reward Model'!$B$12:$B$14,MATCH($K684,'Reward Model'!$A$12:$A$14,0))*Z684,2),0)</f>
        <v>0.82</v>
      </c>
      <c r="AB684" s="2" t="n">
        <f aca="false">IF($I684="Correct",ROUND(INDEX('Reward Model'!$B$12:$B$14,MATCH($Y684,'Reward Model'!$A$12:$A$14,0))*Z684,2),0)</f>
        <v>1.64</v>
      </c>
    </row>
    <row r="685" customFormat="false" ht="15" hidden="false" customHeight="false" outlineLevel="0" collapsed="false">
      <c r="A685" s="0" t="s">
        <v>197</v>
      </c>
      <c r="B685" s="0" t="s">
        <v>198</v>
      </c>
      <c r="C685" s="0" t="s">
        <v>30</v>
      </c>
      <c r="D685" s="0" t="s">
        <v>189</v>
      </c>
      <c r="E685" s="0" t="n">
        <v>4</v>
      </c>
      <c r="F685" s="0" t="s">
        <v>43</v>
      </c>
      <c r="G685" s="0" t="s">
        <v>45</v>
      </c>
      <c r="H685" s="0" t="s">
        <v>45</v>
      </c>
      <c r="I685" s="0" t="s">
        <v>34</v>
      </c>
      <c r="J685" s="0" t="n">
        <v>1.47</v>
      </c>
      <c r="K685" s="0" t="s">
        <v>35</v>
      </c>
      <c r="L685" s="0" t="n">
        <f aca="false">INDEX(Summary!$F$2:$F$201,MATCH($B685,Summary!$A$2:$A$201,0))</f>
        <v>20</v>
      </c>
      <c r="M685" s="0" t="n">
        <f aca="false">INDEX(Summary!$I$2:$I$201,MATCH($B685,Summary!$A$2:$A$201,0))</f>
        <v>3</v>
      </c>
      <c r="N685" s="0" t="n">
        <f aca="false">INDEX(Summary!$J$2:$J$201,MATCH($B685,Summary!$A$2:$A$201,0))</f>
        <v>2</v>
      </c>
      <c r="O685" s="2" t="n">
        <f aca="false">INDEX(Summary!$K$2:$K$201,MATCH($B685,Summary!$A$2:$A$201,0))</f>
        <v>9.61</v>
      </c>
      <c r="P685" s="3" t="n">
        <f aca="false">INDEX(Summary!$L$2:$L$201,MATCH($B685,Summary!$A$2:$A$201,0))</f>
        <v>3</v>
      </c>
      <c r="Q685" s="3" t="n">
        <f aca="false">INDEX(Summary!$M$2:$M$201,MATCH($B685,Summary!$A$2:$A$201,0))</f>
        <v>3</v>
      </c>
      <c r="R685" s="2" t="n">
        <f aca="false">INDEX(Summary!$N$2:$N$201,MATCH($B685,Summary!$A$2:$A$201,0))</f>
        <v>11.89</v>
      </c>
      <c r="S685" s="3" t="n">
        <f aca="false">INDEX(Summary!$O$2:$O$201,MATCH($B685,Summary!$A$2:$A$201,0))</f>
        <v>8</v>
      </c>
      <c r="T685" s="3" t="n">
        <f aca="false">INDEX(Summary!$P$2:$P$201,MATCH($B685,Summary!$A$2:$A$201,0))</f>
        <v>1</v>
      </c>
      <c r="U685" s="2" t="n">
        <f aca="false">INDEX(Summary!$Q$2:$Q$201,MATCH($B685,Summary!$A$2:$A$201,0))</f>
        <v>11.6</v>
      </c>
      <c r="V685" s="2" t="n">
        <f aca="false">INDEX(Summary!$R$2:$R$201,MATCH($B685,Summary!$A$2:$A$201,0))</f>
        <v>24.98</v>
      </c>
      <c r="W685" s="0" t="str">
        <f aca="false">INDEX(Summary!$S$2:$S$201,MATCH($B685,Summary!$A$2:$A$201,0))</f>
        <v>Silver</v>
      </c>
      <c r="X685" s="2" t="n">
        <f aca="false">INDEX(Summary!$T$2:$T$201,MATCH($B685,Summary!$A$2:$A$201,0))</f>
        <v>60.93</v>
      </c>
      <c r="Y685" s="0" t="str">
        <f aca="false">INDEX('Reward Model'!$E$18:$E$37,MATCH($E685,'Reward Model'!$A$18:$A$37,0))</f>
        <v>Low</v>
      </c>
      <c r="Z685" s="4" t="n">
        <f aca="false">ROUND(MIN(1,MAX('Reward Model'!$B$2,INDEX('Reward Model'!$C$12:$C$14,MATCH($K685,'Reward Model'!$A$12:$A$14,0))/$J685)),3)</f>
        <v>1</v>
      </c>
      <c r="AA685" s="2" t="n">
        <f aca="false">IF($I685="Correct",ROUND(INDEX('Reward Model'!$B$12:$B$14,MATCH($K685,'Reward Model'!$A$12:$A$14,0))*Z685,2),0)</f>
        <v>1</v>
      </c>
      <c r="AB685" s="2" t="n">
        <f aca="false">IF($I685="Correct",ROUND(INDEX('Reward Model'!$B$12:$B$14,MATCH($Y685,'Reward Model'!$A$12:$A$14,0))*Z685,2),0)</f>
        <v>1</v>
      </c>
    </row>
    <row r="686" customFormat="false" ht="15" hidden="false" customHeight="false" outlineLevel="0" collapsed="false">
      <c r="A686" s="0" t="s">
        <v>197</v>
      </c>
      <c r="B686" s="0" t="s">
        <v>198</v>
      </c>
      <c r="C686" s="0" t="s">
        <v>30</v>
      </c>
      <c r="D686" s="0" t="s">
        <v>189</v>
      </c>
      <c r="E686" s="0" t="n">
        <v>5</v>
      </c>
      <c r="F686" s="0" t="s">
        <v>46</v>
      </c>
      <c r="G686" s="0" t="s">
        <v>47</v>
      </c>
      <c r="H686" s="0" t="s">
        <v>47</v>
      </c>
      <c r="I686" s="0" t="s">
        <v>34</v>
      </c>
      <c r="J686" s="0" t="n">
        <v>1.26</v>
      </c>
      <c r="K686" s="0" t="s">
        <v>35</v>
      </c>
      <c r="L686" s="0" t="n">
        <f aca="false">INDEX(Summary!$F$2:$F$201,MATCH($B686,Summary!$A$2:$A$201,0))</f>
        <v>20</v>
      </c>
      <c r="M686" s="0" t="n">
        <f aca="false">INDEX(Summary!$I$2:$I$201,MATCH($B686,Summary!$A$2:$A$201,0))</f>
        <v>3</v>
      </c>
      <c r="N686" s="0" t="n">
        <f aca="false">INDEX(Summary!$J$2:$J$201,MATCH($B686,Summary!$A$2:$A$201,0))</f>
        <v>2</v>
      </c>
      <c r="O686" s="2" t="n">
        <f aca="false">INDEX(Summary!$K$2:$K$201,MATCH($B686,Summary!$A$2:$A$201,0))</f>
        <v>9.61</v>
      </c>
      <c r="P686" s="3" t="n">
        <f aca="false">INDEX(Summary!$L$2:$L$201,MATCH($B686,Summary!$A$2:$A$201,0))</f>
        <v>3</v>
      </c>
      <c r="Q686" s="3" t="n">
        <f aca="false">INDEX(Summary!$M$2:$M$201,MATCH($B686,Summary!$A$2:$A$201,0))</f>
        <v>3</v>
      </c>
      <c r="R686" s="2" t="n">
        <f aca="false">INDEX(Summary!$N$2:$N$201,MATCH($B686,Summary!$A$2:$A$201,0))</f>
        <v>11.89</v>
      </c>
      <c r="S686" s="3" t="n">
        <f aca="false">INDEX(Summary!$O$2:$O$201,MATCH($B686,Summary!$A$2:$A$201,0))</f>
        <v>8</v>
      </c>
      <c r="T686" s="3" t="n">
        <f aca="false">INDEX(Summary!$P$2:$P$201,MATCH($B686,Summary!$A$2:$A$201,0))</f>
        <v>1</v>
      </c>
      <c r="U686" s="2" t="n">
        <f aca="false">INDEX(Summary!$Q$2:$Q$201,MATCH($B686,Summary!$A$2:$A$201,0))</f>
        <v>11.6</v>
      </c>
      <c r="V686" s="2" t="n">
        <f aca="false">INDEX(Summary!$R$2:$R$201,MATCH($B686,Summary!$A$2:$A$201,0))</f>
        <v>24.98</v>
      </c>
      <c r="W686" s="0" t="str">
        <f aca="false">INDEX(Summary!$S$2:$S$201,MATCH($B686,Summary!$A$2:$A$201,0))</f>
        <v>Silver</v>
      </c>
      <c r="X686" s="2" t="n">
        <f aca="false">INDEX(Summary!$T$2:$T$201,MATCH($B686,Summary!$A$2:$A$201,0))</f>
        <v>60.93</v>
      </c>
      <c r="Y686" s="0" t="str">
        <f aca="false">INDEX('Reward Model'!$E$18:$E$37,MATCH($E686,'Reward Model'!$A$18:$A$37,0))</f>
        <v>Low</v>
      </c>
      <c r="Z686" s="4" t="n">
        <f aca="false">ROUND(MIN(1,MAX('Reward Model'!$B$2,INDEX('Reward Model'!$C$12:$C$14,MATCH($K686,'Reward Model'!$A$12:$A$14,0))/$J686)),3)</f>
        <v>1</v>
      </c>
      <c r="AA686" s="2" t="n">
        <f aca="false">IF($I686="Correct",ROUND(INDEX('Reward Model'!$B$12:$B$14,MATCH($K686,'Reward Model'!$A$12:$A$14,0))*Z686,2),0)</f>
        <v>1</v>
      </c>
      <c r="AB686" s="2" t="n">
        <f aca="false">IF($I686="Correct",ROUND(INDEX('Reward Model'!$B$12:$B$14,MATCH($Y686,'Reward Model'!$A$12:$A$14,0))*Z686,2),0)</f>
        <v>1</v>
      </c>
    </row>
    <row r="687" customFormat="false" ht="15" hidden="false" customHeight="false" outlineLevel="0" collapsed="false">
      <c r="A687" s="0" t="s">
        <v>197</v>
      </c>
      <c r="B687" s="0" t="s">
        <v>198</v>
      </c>
      <c r="C687" s="0" t="s">
        <v>30</v>
      </c>
      <c r="D687" s="0" t="s">
        <v>189</v>
      </c>
      <c r="E687" s="0" t="n">
        <v>6</v>
      </c>
      <c r="F687" s="0" t="s">
        <v>48</v>
      </c>
      <c r="G687" s="0" t="s">
        <v>116</v>
      </c>
      <c r="H687" s="0" t="s">
        <v>49</v>
      </c>
      <c r="I687" s="0" t="s">
        <v>39</v>
      </c>
      <c r="J687" s="0" t="n">
        <v>1.07</v>
      </c>
      <c r="K687" s="0" t="s">
        <v>35</v>
      </c>
      <c r="L687" s="0" t="n">
        <f aca="false">INDEX(Summary!$F$2:$F$201,MATCH($B687,Summary!$A$2:$A$201,0))</f>
        <v>20</v>
      </c>
      <c r="M687" s="0" t="n">
        <f aca="false">INDEX(Summary!$I$2:$I$201,MATCH($B687,Summary!$A$2:$A$201,0))</f>
        <v>3</v>
      </c>
      <c r="N687" s="0" t="n">
        <f aca="false">INDEX(Summary!$J$2:$J$201,MATCH($B687,Summary!$A$2:$A$201,0))</f>
        <v>2</v>
      </c>
      <c r="O687" s="2" t="n">
        <f aca="false">INDEX(Summary!$K$2:$K$201,MATCH($B687,Summary!$A$2:$A$201,0))</f>
        <v>9.61</v>
      </c>
      <c r="P687" s="3" t="n">
        <f aca="false">INDEX(Summary!$L$2:$L$201,MATCH($B687,Summary!$A$2:$A$201,0))</f>
        <v>3</v>
      </c>
      <c r="Q687" s="3" t="n">
        <f aca="false">INDEX(Summary!$M$2:$M$201,MATCH($B687,Summary!$A$2:$A$201,0))</f>
        <v>3</v>
      </c>
      <c r="R687" s="2" t="n">
        <f aca="false">INDEX(Summary!$N$2:$N$201,MATCH($B687,Summary!$A$2:$A$201,0))</f>
        <v>11.89</v>
      </c>
      <c r="S687" s="3" t="n">
        <f aca="false">INDEX(Summary!$O$2:$O$201,MATCH($B687,Summary!$A$2:$A$201,0))</f>
        <v>8</v>
      </c>
      <c r="T687" s="3" t="n">
        <f aca="false">INDEX(Summary!$P$2:$P$201,MATCH($B687,Summary!$A$2:$A$201,0))</f>
        <v>1</v>
      </c>
      <c r="U687" s="2" t="n">
        <f aca="false">INDEX(Summary!$Q$2:$Q$201,MATCH($B687,Summary!$A$2:$A$201,0))</f>
        <v>11.6</v>
      </c>
      <c r="V687" s="2" t="n">
        <f aca="false">INDEX(Summary!$R$2:$R$201,MATCH($B687,Summary!$A$2:$A$201,0))</f>
        <v>24.98</v>
      </c>
      <c r="W687" s="0" t="str">
        <f aca="false">INDEX(Summary!$S$2:$S$201,MATCH($B687,Summary!$A$2:$A$201,0))</f>
        <v>Silver</v>
      </c>
      <c r="X687" s="2" t="n">
        <f aca="false">INDEX(Summary!$T$2:$T$201,MATCH($B687,Summary!$A$2:$A$201,0))</f>
        <v>60.93</v>
      </c>
      <c r="Y687" s="0" t="str">
        <f aca="false">INDEX('Reward Model'!$E$18:$E$37,MATCH($E687,'Reward Model'!$A$18:$A$37,0))</f>
        <v>Medium</v>
      </c>
      <c r="Z687" s="4" t="n">
        <f aca="false">ROUND(MIN(1,MAX('Reward Model'!$B$2,INDEX('Reward Model'!$C$12:$C$14,MATCH($K687,'Reward Model'!$A$12:$A$14,0))/$J687)),3)</f>
        <v>1</v>
      </c>
      <c r="AA687" s="2" t="n">
        <f aca="false">IF($I687="Correct",ROUND(INDEX('Reward Model'!$B$12:$B$14,MATCH($K687,'Reward Model'!$A$12:$A$14,0))*Z687,2),0)</f>
        <v>0</v>
      </c>
      <c r="AB687" s="2" t="n">
        <f aca="false">IF($I687="Correct",ROUND(INDEX('Reward Model'!$B$12:$B$14,MATCH($Y687,'Reward Model'!$A$12:$A$14,0))*Z687,2),0)</f>
        <v>0</v>
      </c>
    </row>
    <row r="688" customFormat="false" ht="15" hidden="false" customHeight="false" outlineLevel="0" collapsed="false">
      <c r="A688" s="0" t="s">
        <v>197</v>
      </c>
      <c r="B688" s="0" t="s">
        <v>198</v>
      </c>
      <c r="C688" s="0" t="s">
        <v>30</v>
      </c>
      <c r="D688" s="0" t="s">
        <v>189</v>
      </c>
      <c r="E688" s="0" t="n">
        <v>7</v>
      </c>
      <c r="F688" s="0" t="s">
        <v>50</v>
      </c>
      <c r="G688" s="0" t="s">
        <v>51</v>
      </c>
      <c r="H688" s="0" t="s">
        <v>51</v>
      </c>
      <c r="I688" s="0" t="s">
        <v>34</v>
      </c>
      <c r="J688" s="0" t="n">
        <v>1.05</v>
      </c>
      <c r="K688" s="0" t="s">
        <v>35</v>
      </c>
      <c r="L688" s="0" t="n">
        <f aca="false">INDEX(Summary!$F$2:$F$201,MATCH($B688,Summary!$A$2:$A$201,0))</f>
        <v>20</v>
      </c>
      <c r="M688" s="0" t="n">
        <f aca="false">INDEX(Summary!$I$2:$I$201,MATCH($B688,Summary!$A$2:$A$201,0))</f>
        <v>3</v>
      </c>
      <c r="N688" s="0" t="n">
        <f aca="false">INDEX(Summary!$J$2:$J$201,MATCH($B688,Summary!$A$2:$A$201,0))</f>
        <v>2</v>
      </c>
      <c r="O688" s="2" t="n">
        <f aca="false">INDEX(Summary!$K$2:$K$201,MATCH($B688,Summary!$A$2:$A$201,0))</f>
        <v>9.61</v>
      </c>
      <c r="P688" s="3" t="n">
        <f aca="false">INDEX(Summary!$L$2:$L$201,MATCH($B688,Summary!$A$2:$A$201,0))</f>
        <v>3</v>
      </c>
      <c r="Q688" s="3" t="n">
        <f aca="false">INDEX(Summary!$M$2:$M$201,MATCH($B688,Summary!$A$2:$A$201,0))</f>
        <v>3</v>
      </c>
      <c r="R688" s="2" t="n">
        <f aca="false">INDEX(Summary!$N$2:$N$201,MATCH($B688,Summary!$A$2:$A$201,0))</f>
        <v>11.89</v>
      </c>
      <c r="S688" s="3" t="n">
        <f aca="false">INDEX(Summary!$O$2:$O$201,MATCH($B688,Summary!$A$2:$A$201,0))</f>
        <v>8</v>
      </c>
      <c r="T688" s="3" t="n">
        <f aca="false">INDEX(Summary!$P$2:$P$201,MATCH($B688,Summary!$A$2:$A$201,0))</f>
        <v>1</v>
      </c>
      <c r="U688" s="2" t="n">
        <f aca="false">INDEX(Summary!$Q$2:$Q$201,MATCH($B688,Summary!$A$2:$A$201,0))</f>
        <v>11.6</v>
      </c>
      <c r="V688" s="2" t="n">
        <f aca="false">INDEX(Summary!$R$2:$R$201,MATCH($B688,Summary!$A$2:$A$201,0))</f>
        <v>24.98</v>
      </c>
      <c r="W688" s="0" t="str">
        <f aca="false">INDEX(Summary!$S$2:$S$201,MATCH($B688,Summary!$A$2:$A$201,0))</f>
        <v>Silver</v>
      </c>
      <c r="X688" s="2" t="n">
        <f aca="false">INDEX(Summary!$T$2:$T$201,MATCH($B688,Summary!$A$2:$A$201,0))</f>
        <v>60.93</v>
      </c>
      <c r="Y688" s="0" t="str">
        <f aca="false">INDEX('Reward Model'!$E$18:$E$37,MATCH($E688,'Reward Model'!$A$18:$A$37,0))</f>
        <v>Low</v>
      </c>
      <c r="Z688" s="4" t="n">
        <f aca="false">ROUND(MIN(1,MAX('Reward Model'!$B$2,INDEX('Reward Model'!$C$12:$C$14,MATCH($K688,'Reward Model'!$A$12:$A$14,0))/$J688)),3)</f>
        <v>1</v>
      </c>
      <c r="AA688" s="2" t="n">
        <f aca="false">IF($I688="Correct",ROUND(INDEX('Reward Model'!$B$12:$B$14,MATCH($K688,'Reward Model'!$A$12:$A$14,0))*Z688,2),0)</f>
        <v>1</v>
      </c>
      <c r="AB688" s="2" t="n">
        <f aca="false">IF($I688="Correct",ROUND(INDEX('Reward Model'!$B$12:$B$14,MATCH($Y688,'Reward Model'!$A$12:$A$14,0))*Z688,2),0)</f>
        <v>1</v>
      </c>
    </row>
    <row r="689" customFormat="false" ht="15" hidden="false" customHeight="false" outlineLevel="0" collapsed="false">
      <c r="A689" s="0" t="s">
        <v>197</v>
      </c>
      <c r="B689" s="0" t="s">
        <v>198</v>
      </c>
      <c r="C689" s="0" t="s">
        <v>30</v>
      </c>
      <c r="D689" s="0" t="s">
        <v>189</v>
      </c>
      <c r="E689" s="0" t="n">
        <v>8</v>
      </c>
      <c r="F689" s="0" t="s">
        <v>52</v>
      </c>
      <c r="G689" s="0" t="s">
        <v>54</v>
      </c>
      <c r="H689" s="0" t="s">
        <v>54</v>
      </c>
      <c r="I689" s="0" t="s">
        <v>34</v>
      </c>
      <c r="J689" s="0" t="n">
        <v>1.39</v>
      </c>
      <c r="K689" s="0" t="s">
        <v>35</v>
      </c>
      <c r="L689" s="0" t="n">
        <f aca="false">INDEX(Summary!$F$2:$F$201,MATCH($B689,Summary!$A$2:$A$201,0))</f>
        <v>20</v>
      </c>
      <c r="M689" s="0" t="n">
        <f aca="false">INDEX(Summary!$I$2:$I$201,MATCH($B689,Summary!$A$2:$A$201,0))</f>
        <v>3</v>
      </c>
      <c r="N689" s="0" t="n">
        <f aca="false">INDEX(Summary!$J$2:$J$201,MATCH($B689,Summary!$A$2:$A$201,0))</f>
        <v>2</v>
      </c>
      <c r="O689" s="2" t="n">
        <f aca="false">INDEX(Summary!$K$2:$K$201,MATCH($B689,Summary!$A$2:$A$201,0))</f>
        <v>9.61</v>
      </c>
      <c r="P689" s="3" t="n">
        <f aca="false">INDEX(Summary!$L$2:$L$201,MATCH($B689,Summary!$A$2:$A$201,0))</f>
        <v>3</v>
      </c>
      <c r="Q689" s="3" t="n">
        <f aca="false">INDEX(Summary!$M$2:$M$201,MATCH($B689,Summary!$A$2:$A$201,0))</f>
        <v>3</v>
      </c>
      <c r="R689" s="2" t="n">
        <f aca="false">INDEX(Summary!$N$2:$N$201,MATCH($B689,Summary!$A$2:$A$201,0))</f>
        <v>11.89</v>
      </c>
      <c r="S689" s="3" t="n">
        <f aca="false">INDEX(Summary!$O$2:$O$201,MATCH($B689,Summary!$A$2:$A$201,0))</f>
        <v>8</v>
      </c>
      <c r="T689" s="3" t="n">
        <f aca="false">INDEX(Summary!$P$2:$P$201,MATCH($B689,Summary!$A$2:$A$201,0))</f>
        <v>1</v>
      </c>
      <c r="U689" s="2" t="n">
        <f aca="false">INDEX(Summary!$Q$2:$Q$201,MATCH($B689,Summary!$A$2:$A$201,0))</f>
        <v>11.6</v>
      </c>
      <c r="V689" s="2" t="n">
        <f aca="false">INDEX(Summary!$R$2:$R$201,MATCH($B689,Summary!$A$2:$A$201,0))</f>
        <v>24.98</v>
      </c>
      <c r="W689" s="0" t="str">
        <f aca="false">INDEX(Summary!$S$2:$S$201,MATCH($B689,Summary!$A$2:$A$201,0))</f>
        <v>Silver</v>
      </c>
      <c r="X689" s="2" t="n">
        <f aca="false">INDEX(Summary!$T$2:$T$201,MATCH($B689,Summary!$A$2:$A$201,0))</f>
        <v>60.93</v>
      </c>
      <c r="Y689" s="0" t="str">
        <f aca="false">INDEX('Reward Model'!$E$18:$E$37,MATCH($E689,'Reward Model'!$A$18:$A$37,0))</f>
        <v>Medium</v>
      </c>
      <c r="Z689" s="4" t="n">
        <f aca="false">ROUND(MIN(1,MAX('Reward Model'!$B$2,INDEX('Reward Model'!$C$12:$C$14,MATCH($K689,'Reward Model'!$A$12:$A$14,0))/$J689)),3)</f>
        <v>1</v>
      </c>
      <c r="AA689" s="2" t="n">
        <f aca="false">IF($I689="Correct",ROUND(INDEX('Reward Model'!$B$12:$B$14,MATCH($K689,'Reward Model'!$A$12:$A$14,0))*Z689,2),0)</f>
        <v>1</v>
      </c>
      <c r="AB689" s="2" t="n">
        <f aca="false">IF($I689="Correct",ROUND(INDEX('Reward Model'!$B$12:$B$14,MATCH($Y689,'Reward Model'!$A$12:$A$14,0))*Z689,2),0)</f>
        <v>2</v>
      </c>
    </row>
    <row r="690" customFormat="false" ht="15" hidden="false" customHeight="false" outlineLevel="0" collapsed="false">
      <c r="A690" s="0" t="s">
        <v>197</v>
      </c>
      <c r="B690" s="0" t="s">
        <v>198</v>
      </c>
      <c r="C690" s="0" t="s">
        <v>30</v>
      </c>
      <c r="D690" s="0" t="s">
        <v>189</v>
      </c>
      <c r="E690" s="0" t="n">
        <v>9</v>
      </c>
      <c r="F690" s="0" t="s">
        <v>55</v>
      </c>
      <c r="G690" s="0" t="s">
        <v>57</v>
      </c>
      <c r="H690" s="0" t="s">
        <v>57</v>
      </c>
      <c r="I690" s="0" t="s">
        <v>34</v>
      </c>
      <c r="J690" s="0" t="n">
        <v>1.2</v>
      </c>
      <c r="K690" s="0" t="s">
        <v>35</v>
      </c>
      <c r="L690" s="0" t="n">
        <f aca="false">INDEX(Summary!$F$2:$F$201,MATCH($B690,Summary!$A$2:$A$201,0))</f>
        <v>20</v>
      </c>
      <c r="M690" s="0" t="n">
        <f aca="false">INDEX(Summary!$I$2:$I$201,MATCH($B690,Summary!$A$2:$A$201,0))</f>
        <v>3</v>
      </c>
      <c r="N690" s="0" t="n">
        <f aca="false">INDEX(Summary!$J$2:$J$201,MATCH($B690,Summary!$A$2:$A$201,0))</f>
        <v>2</v>
      </c>
      <c r="O690" s="2" t="n">
        <f aca="false">INDEX(Summary!$K$2:$K$201,MATCH($B690,Summary!$A$2:$A$201,0))</f>
        <v>9.61</v>
      </c>
      <c r="P690" s="3" t="n">
        <f aca="false">INDEX(Summary!$L$2:$L$201,MATCH($B690,Summary!$A$2:$A$201,0))</f>
        <v>3</v>
      </c>
      <c r="Q690" s="3" t="n">
        <f aca="false">INDEX(Summary!$M$2:$M$201,MATCH($B690,Summary!$A$2:$A$201,0))</f>
        <v>3</v>
      </c>
      <c r="R690" s="2" t="n">
        <f aca="false">INDEX(Summary!$N$2:$N$201,MATCH($B690,Summary!$A$2:$A$201,0))</f>
        <v>11.89</v>
      </c>
      <c r="S690" s="3" t="n">
        <f aca="false">INDEX(Summary!$O$2:$O$201,MATCH($B690,Summary!$A$2:$A$201,0))</f>
        <v>8</v>
      </c>
      <c r="T690" s="3" t="n">
        <f aca="false">INDEX(Summary!$P$2:$P$201,MATCH($B690,Summary!$A$2:$A$201,0))</f>
        <v>1</v>
      </c>
      <c r="U690" s="2" t="n">
        <f aca="false">INDEX(Summary!$Q$2:$Q$201,MATCH($B690,Summary!$A$2:$A$201,0))</f>
        <v>11.6</v>
      </c>
      <c r="V690" s="2" t="n">
        <f aca="false">INDEX(Summary!$R$2:$R$201,MATCH($B690,Summary!$A$2:$A$201,0))</f>
        <v>24.98</v>
      </c>
      <c r="W690" s="0" t="str">
        <f aca="false">INDEX(Summary!$S$2:$S$201,MATCH($B690,Summary!$A$2:$A$201,0))</f>
        <v>Silver</v>
      </c>
      <c r="X690" s="2" t="n">
        <f aca="false">INDEX(Summary!$T$2:$T$201,MATCH($B690,Summary!$A$2:$A$201,0))</f>
        <v>60.93</v>
      </c>
      <c r="Y690" s="0" t="str">
        <f aca="false">INDEX('Reward Model'!$E$18:$E$37,MATCH($E690,'Reward Model'!$A$18:$A$37,0))</f>
        <v>Medium</v>
      </c>
      <c r="Z690" s="4" t="n">
        <f aca="false">ROUND(MIN(1,MAX('Reward Model'!$B$2,INDEX('Reward Model'!$C$12:$C$14,MATCH($K690,'Reward Model'!$A$12:$A$14,0))/$J690)),3)</f>
        <v>1</v>
      </c>
      <c r="AA690" s="2" t="n">
        <f aca="false">IF($I690="Correct",ROUND(INDEX('Reward Model'!$B$12:$B$14,MATCH($K690,'Reward Model'!$A$12:$A$14,0))*Z690,2),0)</f>
        <v>1</v>
      </c>
      <c r="AB690" s="2" t="n">
        <f aca="false">IF($I690="Correct",ROUND(INDEX('Reward Model'!$B$12:$B$14,MATCH($Y690,'Reward Model'!$A$12:$A$14,0))*Z690,2),0)</f>
        <v>2</v>
      </c>
    </row>
    <row r="691" customFormat="false" ht="15" hidden="false" customHeight="false" outlineLevel="0" collapsed="false">
      <c r="A691" s="0" t="s">
        <v>197</v>
      </c>
      <c r="B691" s="0" t="s">
        <v>198</v>
      </c>
      <c r="C691" s="0" t="s">
        <v>30</v>
      </c>
      <c r="D691" s="0" t="s">
        <v>189</v>
      </c>
      <c r="E691" s="0" t="n">
        <v>10</v>
      </c>
      <c r="F691" s="0" t="s">
        <v>58</v>
      </c>
      <c r="G691" s="0" t="s">
        <v>59</v>
      </c>
      <c r="H691" s="0" t="s">
        <v>59</v>
      </c>
      <c r="I691" s="0" t="s">
        <v>34</v>
      </c>
      <c r="J691" s="0" t="n">
        <v>2.18</v>
      </c>
      <c r="K691" s="0" t="s">
        <v>60</v>
      </c>
      <c r="L691" s="0" t="n">
        <f aca="false">INDEX(Summary!$F$2:$F$201,MATCH($B691,Summary!$A$2:$A$201,0))</f>
        <v>20</v>
      </c>
      <c r="M691" s="0" t="n">
        <f aca="false">INDEX(Summary!$I$2:$I$201,MATCH($B691,Summary!$A$2:$A$201,0))</f>
        <v>3</v>
      </c>
      <c r="N691" s="0" t="n">
        <f aca="false">INDEX(Summary!$J$2:$J$201,MATCH($B691,Summary!$A$2:$A$201,0))</f>
        <v>2</v>
      </c>
      <c r="O691" s="2" t="n">
        <f aca="false">INDEX(Summary!$K$2:$K$201,MATCH($B691,Summary!$A$2:$A$201,0))</f>
        <v>9.61</v>
      </c>
      <c r="P691" s="3" t="n">
        <f aca="false">INDEX(Summary!$L$2:$L$201,MATCH($B691,Summary!$A$2:$A$201,0))</f>
        <v>3</v>
      </c>
      <c r="Q691" s="3" t="n">
        <f aca="false">INDEX(Summary!$M$2:$M$201,MATCH($B691,Summary!$A$2:$A$201,0))</f>
        <v>3</v>
      </c>
      <c r="R691" s="2" t="n">
        <f aca="false">INDEX(Summary!$N$2:$N$201,MATCH($B691,Summary!$A$2:$A$201,0))</f>
        <v>11.89</v>
      </c>
      <c r="S691" s="3" t="n">
        <f aca="false">INDEX(Summary!$O$2:$O$201,MATCH($B691,Summary!$A$2:$A$201,0))</f>
        <v>8</v>
      </c>
      <c r="T691" s="3" t="n">
        <f aca="false">INDEX(Summary!$P$2:$P$201,MATCH($B691,Summary!$A$2:$A$201,0))</f>
        <v>1</v>
      </c>
      <c r="U691" s="2" t="n">
        <f aca="false">INDEX(Summary!$Q$2:$Q$201,MATCH($B691,Summary!$A$2:$A$201,0))</f>
        <v>11.6</v>
      </c>
      <c r="V691" s="2" t="n">
        <f aca="false">INDEX(Summary!$R$2:$R$201,MATCH($B691,Summary!$A$2:$A$201,0))</f>
        <v>24.98</v>
      </c>
      <c r="W691" s="0" t="str">
        <f aca="false">INDEX(Summary!$S$2:$S$201,MATCH($B691,Summary!$A$2:$A$201,0))</f>
        <v>Silver</v>
      </c>
      <c r="X691" s="2" t="n">
        <f aca="false">INDEX(Summary!$T$2:$T$201,MATCH($B691,Summary!$A$2:$A$201,0))</f>
        <v>60.93</v>
      </c>
      <c r="Y691" s="0" t="str">
        <f aca="false">INDEX('Reward Model'!$E$18:$E$37,MATCH($E691,'Reward Model'!$A$18:$A$37,0))</f>
        <v>Medium</v>
      </c>
      <c r="Z691" s="4" t="n">
        <f aca="false">ROUND(MIN(1,MAX('Reward Model'!$B$2,INDEX('Reward Model'!$C$12:$C$14,MATCH($K691,'Reward Model'!$A$12:$A$14,0))/$J691)),3)</f>
        <v>0.826</v>
      </c>
      <c r="AA691" s="2" t="n">
        <f aca="false">IF($I691="Correct",ROUND(INDEX('Reward Model'!$B$12:$B$14,MATCH($K691,'Reward Model'!$A$12:$A$14,0))*Z691,2),0)</f>
        <v>1.65</v>
      </c>
      <c r="AB691" s="2" t="n">
        <f aca="false">IF($I691="Correct",ROUND(INDEX('Reward Model'!$B$12:$B$14,MATCH($Y691,'Reward Model'!$A$12:$A$14,0))*Z691,2),0)</f>
        <v>1.65</v>
      </c>
    </row>
    <row r="692" customFormat="false" ht="15" hidden="false" customHeight="false" outlineLevel="0" collapsed="false">
      <c r="A692" s="0" t="s">
        <v>197</v>
      </c>
      <c r="B692" s="0" t="s">
        <v>198</v>
      </c>
      <c r="C692" s="0" t="s">
        <v>30</v>
      </c>
      <c r="D692" s="0" t="s">
        <v>189</v>
      </c>
      <c r="E692" s="0" t="n">
        <v>11</v>
      </c>
      <c r="F692" s="0" t="s">
        <v>61</v>
      </c>
      <c r="G692" s="0" t="s">
        <v>62</v>
      </c>
      <c r="H692" s="0" t="s">
        <v>63</v>
      </c>
      <c r="I692" s="0" t="s">
        <v>39</v>
      </c>
      <c r="J692" s="0" t="n">
        <v>1.95</v>
      </c>
      <c r="K692" s="0" t="s">
        <v>60</v>
      </c>
      <c r="L692" s="0" t="n">
        <f aca="false">INDEX(Summary!$F$2:$F$201,MATCH($B692,Summary!$A$2:$A$201,0))</f>
        <v>20</v>
      </c>
      <c r="M692" s="0" t="n">
        <f aca="false">INDEX(Summary!$I$2:$I$201,MATCH($B692,Summary!$A$2:$A$201,0))</f>
        <v>3</v>
      </c>
      <c r="N692" s="0" t="n">
        <f aca="false">INDEX(Summary!$J$2:$J$201,MATCH($B692,Summary!$A$2:$A$201,0))</f>
        <v>2</v>
      </c>
      <c r="O692" s="2" t="n">
        <f aca="false">INDEX(Summary!$K$2:$K$201,MATCH($B692,Summary!$A$2:$A$201,0))</f>
        <v>9.61</v>
      </c>
      <c r="P692" s="3" t="n">
        <f aca="false">INDEX(Summary!$L$2:$L$201,MATCH($B692,Summary!$A$2:$A$201,0))</f>
        <v>3</v>
      </c>
      <c r="Q692" s="3" t="n">
        <f aca="false">INDEX(Summary!$M$2:$M$201,MATCH($B692,Summary!$A$2:$A$201,0))</f>
        <v>3</v>
      </c>
      <c r="R692" s="2" t="n">
        <f aca="false">INDEX(Summary!$N$2:$N$201,MATCH($B692,Summary!$A$2:$A$201,0))</f>
        <v>11.89</v>
      </c>
      <c r="S692" s="3" t="n">
        <f aca="false">INDEX(Summary!$O$2:$O$201,MATCH($B692,Summary!$A$2:$A$201,0))</f>
        <v>8</v>
      </c>
      <c r="T692" s="3" t="n">
        <f aca="false">INDEX(Summary!$P$2:$P$201,MATCH($B692,Summary!$A$2:$A$201,0))</f>
        <v>1</v>
      </c>
      <c r="U692" s="2" t="n">
        <f aca="false">INDEX(Summary!$Q$2:$Q$201,MATCH($B692,Summary!$A$2:$A$201,0))</f>
        <v>11.6</v>
      </c>
      <c r="V692" s="2" t="n">
        <f aca="false">INDEX(Summary!$R$2:$R$201,MATCH($B692,Summary!$A$2:$A$201,0))</f>
        <v>24.98</v>
      </c>
      <c r="W692" s="0" t="str">
        <f aca="false">INDEX(Summary!$S$2:$S$201,MATCH($B692,Summary!$A$2:$A$201,0))</f>
        <v>Silver</v>
      </c>
      <c r="X692" s="2" t="n">
        <f aca="false">INDEX(Summary!$T$2:$T$201,MATCH($B692,Summary!$A$2:$A$201,0))</f>
        <v>60.93</v>
      </c>
      <c r="Y692" s="0" t="str">
        <f aca="false">INDEX('Reward Model'!$E$18:$E$37,MATCH($E692,'Reward Model'!$A$18:$A$37,0))</f>
        <v>Medium</v>
      </c>
      <c r="Z692" s="4" t="n">
        <f aca="false">ROUND(MIN(1,MAX('Reward Model'!$B$2,INDEX('Reward Model'!$C$12:$C$14,MATCH($K692,'Reward Model'!$A$12:$A$14,0))/$J692)),3)</f>
        <v>0.923</v>
      </c>
      <c r="AA692" s="2" t="n">
        <f aca="false">IF($I692="Correct",ROUND(INDEX('Reward Model'!$B$12:$B$14,MATCH($K692,'Reward Model'!$A$12:$A$14,0))*Z692,2),0)</f>
        <v>0</v>
      </c>
      <c r="AB692" s="2" t="n">
        <f aca="false">IF($I692="Correct",ROUND(INDEX('Reward Model'!$B$12:$B$14,MATCH($Y692,'Reward Model'!$A$12:$A$14,0))*Z692,2),0)</f>
        <v>0</v>
      </c>
    </row>
    <row r="693" customFormat="false" ht="15" hidden="false" customHeight="false" outlineLevel="0" collapsed="false">
      <c r="A693" s="0" t="s">
        <v>197</v>
      </c>
      <c r="B693" s="0" t="s">
        <v>198</v>
      </c>
      <c r="C693" s="0" t="s">
        <v>30</v>
      </c>
      <c r="D693" s="0" t="s">
        <v>189</v>
      </c>
      <c r="E693" s="0" t="n">
        <v>12</v>
      </c>
      <c r="F693" s="0" t="s">
        <v>64</v>
      </c>
      <c r="G693" s="0" t="s">
        <v>146</v>
      </c>
      <c r="H693" s="0" t="s">
        <v>65</v>
      </c>
      <c r="I693" s="0" t="s">
        <v>39</v>
      </c>
      <c r="J693" s="0" t="n">
        <v>2.07</v>
      </c>
      <c r="K693" s="0" t="s">
        <v>60</v>
      </c>
      <c r="L693" s="0" t="n">
        <f aca="false">INDEX(Summary!$F$2:$F$201,MATCH($B693,Summary!$A$2:$A$201,0))</f>
        <v>20</v>
      </c>
      <c r="M693" s="0" t="n">
        <f aca="false">INDEX(Summary!$I$2:$I$201,MATCH($B693,Summary!$A$2:$A$201,0))</f>
        <v>3</v>
      </c>
      <c r="N693" s="0" t="n">
        <f aca="false">INDEX(Summary!$J$2:$J$201,MATCH($B693,Summary!$A$2:$A$201,0))</f>
        <v>2</v>
      </c>
      <c r="O693" s="2" t="n">
        <f aca="false">INDEX(Summary!$K$2:$K$201,MATCH($B693,Summary!$A$2:$A$201,0))</f>
        <v>9.61</v>
      </c>
      <c r="P693" s="3" t="n">
        <f aca="false">INDEX(Summary!$L$2:$L$201,MATCH($B693,Summary!$A$2:$A$201,0))</f>
        <v>3</v>
      </c>
      <c r="Q693" s="3" t="n">
        <f aca="false">INDEX(Summary!$M$2:$M$201,MATCH($B693,Summary!$A$2:$A$201,0))</f>
        <v>3</v>
      </c>
      <c r="R693" s="2" t="n">
        <f aca="false">INDEX(Summary!$N$2:$N$201,MATCH($B693,Summary!$A$2:$A$201,0))</f>
        <v>11.89</v>
      </c>
      <c r="S693" s="3" t="n">
        <f aca="false">INDEX(Summary!$O$2:$O$201,MATCH($B693,Summary!$A$2:$A$201,0))</f>
        <v>8</v>
      </c>
      <c r="T693" s="3" t="n">
        <f aca="false">INDEX(Summary!$P$2:$P$201,MATCH($B693,Summary!$A$2:$A$201,0))</f>
        <v>1</v>
      </c>
      <c r="U693" s="2" t="n">
        <f aca="false">INDEX(Summary!$Q$2:$Q$201,MATCH($B693,Summary!$A$2:$A$201,0))</f>
        <v>11.6</v>
      </c>
      <c r="V693" s="2" t="n">
        <f aca="false">INDEX(Summary!$R$2:$R$201,MATCH($B693,Summary!$A$2:$A$201,0))</f>
        <v>24.98</v>
      </c>
      <c r="W693" s="0" t="str">
        <f aca="false">INDEX(Summary!$S$2:$S$201,MATCH($B693,Summary!$A$2:$A$201,0))</f>
        <v>Silver</v>
      </c>
      <c r="X693" s="2" t="n">
        <f aca="false">INDEX(Summary!$T$2:$T$201,MATCH($B693,Summary!$A$2:$A$201,0))</f>
        <v>60.93</v>
      </c>
      <c r="Y693" s="0" t="str">
        <f aca="false">INDEX('Reward Model'!$E$18:$E$37,MATCH($E693,'Reward Model'!$A$18:$A$37,0))</f>
        <v>Medium</v>
      </c>
      <c r="Z693" s="4" t="n">
        <f aca="false">ROUND(MIN(1,MAX('Reward Model'!$B$2,INDEX('Reward Model'!$C$12:$C$14,MATCH($K693,'Reward Model'!$A$12:$A$14,0))/$J693)),3)</f>
        <v>0.87</v>
      </c>
      <c r="AA693" s="2" t="n">
        <f aca="false">IF($I693="Correct",ROUND(INDEX('Reward Model'!$B$12:$B$14,MATCH($K693,'Reward Model'!$A$12:$A$14,0))*Z693,2),0)</f>
        <v>0</v>
      </c>
      <c r="AB693" s="2" t="n">
        <f aca="false">IF($I693="Correct",ROUND(INDEX('Reward Model'!$B$12:$B$14,MATCH($Y693,'Reward Model'!$A$12:$A$14,0))*Z693,2),0)</f>
        <v>0</v>
      </c>
    </row>
    <row r="694" customFormat="false" ht="15" hidden="false" customHeight="false" outlineLevel="0" collapsed="false">
      <c r="A694" s="0" t="s">
        <v>197</v>
      </c>
      <c r="B694" s="0" t="s">
        <v>198</v>
      </c>
      <c r="C694" s="0" t="s">
        <v>30</v>
      </c>
      <c r="D694" s="0" t="s">
        <v>189</v>
      </c>
      <c r="E694" s="0" t="n">
        <v>13</v>
      </c>
      <c r="F694" s="0" t="s">
        <v>66</v>
      </c>
      <c r="G694" s="0" t="s">
        <v>67</v>
      </c>
      <c r="H694" s="0" t="s">
        <v>67</v>
      </c>
      <c r="I694" s="0" t="s">
        <v>34</v>
      </c>
      <c r="J694" s="0" t="n">
        <v>2.12</v>
      </c>
      <c r="K694" s="0" t="s">
        <v>60</v>
      </c>
      <c r="L694" s="0" t="n">
        <f aca="false">INDEX(Summary!$F$2:$F$201,MATCH($B694,Summary!$A$2:$A$201,0))</f>
        <v>20</v>
      </c>
      <c r="M694" s="0" t="n">
        <f aca="false">INDEX(Summary!$I$2:$I$201,MATCH($B694,Summary!$A$2:$A$201,0))</f>
        <v>3</v>
      </c>
      <c r="N694" s="0" t="n">
        <f aca="false">INDEX(Summary!$J$2:$J$201,MATCH($B694,Summary!$A$2:$A$201,0))</f>
        <v>2</v>
      </c>
      <c r="O694" s="2" t="n">
        <f aca="false">INDEX(Summary!$K$2:$K$201,MATCH($B694,Summary!$A$2:$A$201,0))</f>
        <v>9.61</v>
      </c>
      <c r="P694" s="3" t="n">
        <f aca="false">INDEX(Summary!$L$2:$L$201,MATCH($B694,Summary!$A$2:$A$201,0))</f>
        <v>3</v>
      </c>
      <c r="Q694" s="3" t="n">
        <f aca="false">INDEX(Summary!$M$2:$M$201,MATCH($B694,Summary!$A$2:$A$201,0))</f>
        <v>3</v>
      </c>
      <c r="R694" s="2" t="n">
        <f aca="false">INDEX(Summary!$N$2:$N$201,MATCH($B694,Summary!$A$2:$A$201,0))</f>
        <v>11.89</v>
      </c>
      <c r="S694" s="3" t="n">
        <f aca="false">INDEX(Summary!$O$2:$O$201,MATCH($B694,Summary!$A$2:$A$201,0))</f>
        <v>8</v>
      </c>
      <c r="T694" s="3" t="n">
        <f aca="false">INDEX(Summary!$P$2:$P$201,MATCH($B694,Summary!$A$2:$A$201,0))</f>
        <v>1</v>
      </c>
      <c r="U694" s="2" t="n">
        <f aca="false">INDEX(Summary!$Q$2:$Q$201,MATCH($B694,Summary!$A$2:$A$201,0))</f>
        <v>11.6</v>
      </c>
      <c r="V694" s="2" t="n">
        <f aca="false">INDEX(Summary!$R$2:$R$201,MATCH($B694,Summary!$A$2:$A$201,0))</f>
        <v>24.98</v>
      </c>
      <c r="W694" s="0" t="str">
        <f aca="false">INDEX(Summary!$S$2:$S$201,MATCH($B694,Summary!$A$2:$A$201,0))</f>
        <v>Silver</v>
      </c>
      <c r="X694" s="2" t="n">
        <f aca="false">INDEX(Summary!$T$2:$T$201,MATCH($B694,Summary!$A$2:$A$201,0))</f>
        <v>60.93</v>
      </c>
      <c r="Y694" s="0" t="str">
        <f aca="false">INDEX('Reward Model'!$E$18:$E$37,MATCH($E694,'Reward Model'!$A$18:$A$37,0))</f>
        <v>Medium</v>
      </c>
      <c r="Z694" s="4" t="n">
        <f aca="false">ROUND(MIN(1,MAX('Reward Model'!$B$2,INDEX('Reward Model'!$C$12:$C$14,MATCH($K694,'Reward Model'!$A$12:$A$14,0))/$J694)),3)</f>
        <v>0.849</v>
      </c>
      <c r="AA694" s="2" t="n">
        <f aca="false">IF($I694="Correct",ROUND(INDEX('Reward Model'!$B$12:$B$14,MATCH($K694,'Reward Model'!$A$12:$A$14,0))*Z694,2),0)</f>
        <v>1.7</v>
      </c>
      <c r="AB694" s="2" t="n">
        <f aca="false">IF($I694="Correct",ROUND(INDEX('Reward Model'!$B$12:$B$14,MATCH($Y694,'Reward Model'!$A$12:$A$14,0))*Z694,2),0)</f>
        <v>1.7</v>
      </c>
    </row>
    <row r="695" customFormat="false" ht="15" hidden="false" customHeight="false" outlineLevel="0" collapsed="false">
      <c r="A695" s="0" t="s">
        <v>197</v>
      </c>
      <c r="B695" s="0" t="s">
        <v>198</v>
      </c>
      <c r="C695" s="0" t="s">
        <v>30</v>
      </c>
      <c r="D695" s="0" t="s">
        <v>189</v>
      </c>
      <c r="E695" s="0" t="n">
        <v>14</v>
      </c>
      <c r="F695" s="0" t="s">
        <v>68</v>
      </c>
      <c r="G695" s="0" t="s">
        <v>51</v>
      </c>
      <c r="H695" s="0" t="s">
        <v>51</v>
      </c>
      <c r="I695" s="0" t="s">
        <v>34</v>
      </c>
      <c r="J695" s="0" t="n">
        <v>2.16</v>
      </c>
      <c r="K695" s="0" t="s">
        <v>60</v>
      </c>
      <c r="L695" s="0" t="n">
        <f aca="false">INDEX(Summary!$F$2:$F$201,MATCH($B695,Summary!$A$2:$A$201,0))</f>
        <v>20</v>
      </c>
      <c r="M695" s="0" t="n">
        <f aca="false">INDEX(Summary!$I$2:$I$201,MATCH($B695,Summary!$A$2:$A$201,0))</f>
        <v>3</v>
      </c>
      <c r="N695" s="0" t="n">
        <f aca="false">INDEX(Summary!$J$2:$J$201,MATCH($B695,Summary!$A$2:$A$201,0))</f>
        <v>2</v>
      </c>
      <c r="O695" s="2" t="n">
        <f aca="false">INDEX(Summary!$K$2:$K$201,MATCH($B695,Summary!$A$2:$A$201,0))</f>
        <v>9.61</v>
      </c>
      <c r="P695" s="3" t="n">
        <f aca="false">INDEX(Summary!$L$2:$L$201,MATCH($B695,Summary!$A$2:$A$201,0))</f>
        <v>3</v>
      </c>
      <c r="Q695" s="3" t="n">
        <f aca="false">INDEX(Summary!$M$2:$M$201,MATCH($B695,Summary!$A$2:$A$201,0))</f>
        <v>3</v>
      </c>
      <c r="R695" s="2" t="n">
        <f aca="false">INDEX(Summary!$N$2:$N$201,MATCH($B695,Summary!$A$2:$A$201,0))</f>
        <v>11.89</v>
      </c>
      <c r="S695" s="3" t="n">
        <f aca="false">INDEX(Summary!$O$2:$O$201,MATCH($B695,Summary!$A$2:$A$201,0))</f>
        <v>8</v>
      </c>
      <c r="T695" s="3" t="n">
        <f aca="false">INDEX(Summary!$P$2:$P$201,MATCH($B695,Summary!$A$2:$A$201,0))</f>
        <v>1</v>
      </c>
      <c r="U695" s="2" t="n">
        <f aca="false">INDEX(Summary!$Q$2:$Q$201,MATCH($B695,Summary!$A$2:$A$201,0))</f>
        <v>11.6</v>
      </c>
      <c r="V695" s="2" t="n">
        <f aca="false">INDEX(Summary!$R$2:$R$201,MATCH($B695,Summary!$A$2:$A$201,0))</f>
        <v>24.98</v>
      </c>
      <c r="W695" s="0" t="str">
        <f aca="false">INDEX(Summary!$S$2:$S$201,MATCH($B695,Summary!$A$2:$A$201,0))</f>
        <v>Silver</v>
      </c>
      <c r="X695" s="2" t="n">
        <f aca="false">INDEX(Summary!$T$2:$T$201,MATCH($B695,Summary!$A$2:$A$201,0))</f>
        <v>60.93</v>
      </c>
      <c r="Y695" s="0" t="str">
        <f aca="false">INDEX('Reward Model'!$E$18:$E$37,MATCH($E695,'Reward Model'!$A$18:$A$37,0))</f>
        <v>Medium</v>
      </c>
      <c r="Z695" s="4" t="n">
        <f aca="false">ROUND(MIN(1,MAX('Reward Model'!$B$2,INDEX('Reward Model'!$C$12:$C$14,MATCH($K695,'Reward Model'!$A$12:$A$14,0))/$J695)),3)</f>
        <v>0.833</v>
      </c>
      <c r="AA695" s="2" t="n">
        <f aca="false">IF($I695="Correct",ROUND(INDEX('Reward Model'!$B$12:$B$14,MATCH($K695,'Reward Model'!$A$12:$A$14,0))*Z695,2),0)</f>
        <v>1.67</v>
      </c>
      <c r="AB695" s="2" t="n">
        <f aca="false">IF($I695="Correct",ROUND(INDEX('Reward Model'!$B$12:$B$14,MATCH($Y695,'Reward Model'!$A$12:$A$14,0))*Z695,2),0)</f>
        <v>1.67</v>
      </c>
    </row>
    <row r="696" customFormat="false" ht="15" hidden="false" customHeight="false" outlineLevel="0" collapsed="false">
      <c r="A696" s="0" t="s">
        <v>197</v>
      </c>
      <c r="B696" s="0" t="s">
        <v>198</v>
      </c>
      <c r="C696" s="0" t="s">
        <v>30</v>
      </c>
      <c r="D696" s="0" t="s">
        <v>189</v>
      </c>
      <c r="E696" s="0" t="n">
        <v>15</v>
      </c>
      <c r="F696" s="0" t="s">
        <v>69</v>
      </c>
      <c r="G696" s="0" t="s">
        <v>131</v>
      </c>
      <c r="H696" s="0" t="s">
        <v>70</v>
      </c>
      <c r="I696" s="0" t="s">
        <v>39</v>
      </c>
      <c r="J696" s="0" t="n">
        <v>1.41</v>
      </c>
      <c r="K696" s="0" t="s">
        <v>60</v>
      </c>
      <c r="L696" s="0" t="n">
        <f aca="false">INDEX(Summary!$F$2:$F$201,MATCH($B696,Summary!$A$2:$A$201,0))</f>
        <v>20</v>
      </c>
      <c r="M696" s="0" t="n">
        <f aca="false">INDEX(Summary!$I$2:$I$201,MATCH($B696,Summary!$A$2:$A$201,0))</f>
        <v>3</v>
      </c>
      <c r="N696" s="0" t="n">
        <f aca="false">INDEX(Summary!$J$2:$J$201,MATCH($B696,Summary!$A$2:$A$201,0))</f>
        <v>2</v>
      </c>
      <c r="O696" s="2" t="n">
        <f aca="false">INDEX(Summary!$K$2:$K$201,MATCH($B696,Summary!$A$2:$A$201,0))</f>
        <v>9.61</v>
      </c>
      <c r="P696" s="3" t="n">
        <f aca="false">INDEX(Summary!$L$2:$L$201,MATCH($B696,Summary!$A$2:$A$201,0))</f>
        <v>3</v>
      </c>
      <c r="Q696" s="3" t="n">
        <f aca="false">INDEX(Summary!$M$2:$M$201,MATCH($B696,Summary!$A$2:$A$201,0))</f>
        <v>3</v>
      </c>
      <c r="R696" s="2" t="n">
        <f aca="false">INDEX(Summary!$N$2:$N$201,MATCH($B696,Summary!$A$2:$A$201,0))</f>
        <v>11.89</v>
      </c>
      <c r="S696" s="3" t="n">
        <f aca="false">INDEX(Summary!$O$2:$O$201,MATCH($B696,Summary!$A$2:$A$201,0))</f>
        <v>8</v>
      </c>
      <c r="T696" s="3" t="n">
        <f aca="false">INDEX(Summary!$P$2:$P$201,MATCH($B696,Summary!$A$2:$A$201,0))</f>
        <v>1</v>
      </c>
      <c r="U696" s="2" t="n">
        <f aca="false">INDEX(Summary!$Q$2:$Q$201,MATCH($B696,Summary!$A$2:$A$201,0))</f>
        <v>11.6</v>
      </c>
      <c r="V696" s="2" t="n">
        <f aca="false">INDEX(Summary!$R$2:$R$201,MATCH($B696,Summary!$A$2:$A$201,0))</f>
        <v>24.98</v>
      </c>
      <c r="W696" s="0" t="str">
        <f aca="false">INDEX(Summary!$S$2:$S$201,MATCH($B696,Summary!$A$2:$A$201,0))</f>
        <v>Silver</v>
      </c>
      <c r="X696" s="2" t="n">
        <f aca="false">INDEX(Summary!$T$2:$T$201,MATCH($B696,Summary!$A$2:$A$201,0))</f>
        <v>60.93</v>
      </c>
      <c r="Y696" s="0" t="str">
        <f aca="false">INDEX('Reward Model'!$E$18:$E$37,MATCH($E696,'Reward Model'!$A$18:$A$37,0))</f>
        <v>Medium</v>
      </c>
      <c r="Z696" s="4" t="n">
        <f aca="false">ROUND(MIN(1,MAX('Reward Model'!$B$2,INDEX('Reward Model'!$C$12:$C$14,MATCH($K696,'Reward Model'!$A$12:$A$14,0))/$J696)),3)</f>
        <v>1</v>
      </c>
      <c r="AA696" s="2" t="n">
        <f aca="false">IF($I696="Correct",ROUND(INDEX('Reward Model'!$B$12:$B$14,MATCH($K696,'Reward Model'!$A$12:$A$14,0))*Z696,2),0)</f>
        <v>0</v>
      </c>
      <c r="AB696" s="2" t="n">
        <f aca="false">IF($I696="Correct",ROUND(INDEX('Reward Model'!$B$12:$B$14,MATCH($Y696,'Reward Model'!$A$12:$A$14,0))*Z696,2),0)</f>
        <v>0</v>
      </c>
    </row>
    <row r="697" customFormat="false" ht="15" hidden="false" customHeight="false" outlineLevel="0" collapsed="false">
      <c r="A697" s="0" t="s">
        <v>197</v>
      </c>
      <c r="B697" s="0" t="s">
        <v>198</v>
      </c>
      <c r="C697" s="0" t="s">
        <v>30</v>
      </c>
      <c r="D697" s="0" t="s">
        <v>189</v>
      </c>
      <c r="E697" s="0" t="n">
        <v>16</v>
      </c>
      <c r="F697" s="0" t="s">
        <v>71</v>
      </c>
      <c r="G697" s="0" t="s">
        <v>104</v>
      </c>
      <c r="H697" s="0" t="s">
        <v>72</v>
      </c>
      <c r="I697" s="0" t="s">
        <v>39</v>
      </c>
      <c r="J697" s="0" t="n">
        <v>1.82</v>
      </c>
      <c r="K697" s="0" t="s">
        <v>73</v>
      </c>
      <c r="L697" s="0" t="n">
        <f aca="false">INDEX(Summary!$F$2:$F$201,MATCH($B697,Summary!$A$2:$A$201,0))</f>
        <v>20</v>
      </c>
      <c r="M697" s="0" t="n">
        <f aca="false">INDEX(Summary!$I$2:$I$201,MATCH($B697,Summary!$A$2:$A$201,0))</f>
        <v>3</v>
      </c>
      <c r="N697" s="0" t="n">
        <f aca="false">INDEX(Summary!$J$2:$J$201,MATCH($B697,Summary!$A$2:$A$201,0))</f>
        <v>2</v>
      </c>
      <c r="O697" s="2" t="n">
        <f aca="false">INDEX(Summary!$K$2:$K$201,MATCH($B697,Summary!$A$2:$A$201,0))</f>
        <v>9.61</v>
      </c>
      <c r="P697" s="3" t="n">
        <f aca="false">INDEX(Summary!$L$2:$L$201,MATCH($B697,Summary!$A$2:$A$201,0))</f>
        <v>3</v>
      </c>
      <c r="Q697" s="3" t="n">
        <f aca="false">INDEX(Summary!$M$2:$M$201,MATCH($B697,Summary!$A$2:$A$201,0))</f>
        <v>3</v>
      </c>
      <c r="R697" s="2" t="n">
        <f aca="false">INDEX(Summary!$N$2:$N$201,MATCH($B697,Summary!$A$2:$A$201,0))</f>
        <v>11.89</v>
      </c>
      <c r="S697" s="3" t="n">
        <f aca="false">INDEX(Summary!$O$2:$O$201,MATCH($B697,Summary!$A$2:$A$201,0))</f>
        <v>8</v>
      </c>
      <c r="T697" s="3" t="n">
        <f aca="false">INDEX(Summary!$P$2:$P$201,MATCH($B697,Summary!$A$2:$A$201,0))</f>
        <v>1</v>
      </c>
      <c r="U697" s="2" t="n">
        <f aca="false">INDEX(Summary!$Q$2:$Q$201,MATCH($B697,Summary!$A$2:$A$201,0))</f>
        <v>11.6</v>
      </c>
      <c r="V697" s="2" t="n">
        <f aca="false">INDEX(Summary!$R$2:$R$201,MATCH($B697,Summary!$A$2:$A$201,0))</f>
        <v>24.98</v>
      </c>
      <c r="W697" s="0" t="str">
        <f aca="false">INDEX(Summary!$S$2:$S$201,MATCH($B697,Summary!$A$2:$A$201,0))</f>
        <v>Silver</v>
      </c>
      <c r="X697" s="2" t="n">
        <f aca="false">INDEX(Summary!$T$2:$T$201,MATCH($B697,Summary!$A$2:$A$201,0))</f>
        <v>60.93</v>
      </c>
      <c r="Y697" s="0" t="str">
        <f aca="false">INDEX('Reward Model'!$E$18:$E$37,MATCH($E697,'Reward Model'!$A$18:$A$37,0))</f>
        <v>High</v>
      </c>
      <c r="Z697" s="4" t="n">
        <f aca="false">ROUND(MIN(1,MAX('Reward Model'!$B$2,INDEX('Reward Model'!$C$12:$C$14,MATCH($K697,'Reward Model'!$A$12:$A$14,0))/$J697)),3)</f>
        <v>1</v>
      </c>
      <c r="AA697" s="2" t="n">
        <f aca="false">IF($I697="Correct",ROUND(INDEX('Reward Model'!$B$12:$B$14,MATCH($K697,'Reward Model'!$A$12:$A$14,0))*Z697,2),0)</f>
        <v>0</v>
      </c>
      <c r="AB697" s="2" t="n">
        <f aca="false">IF($I697="Correct",ROUND(INDEX('Reward Model'!$B$12:$B$14,MATCH($Y697,'Reward Model'!$A$12:$A$14,0))*Z697,2),0)</f>
        <v>0</v>
      </c>
    </row>
    <row r="698" customFormat="false" ht="15" hidden="false" customHeight="false" outlineLevel="0" collapsed="false">
      <c r="A698" s="0" t="s">
        <v>197</v>
      </c>
      <c r="B698" s="0" t="s">
        <v>198</v>
      </c>
      <c r="C698" s="0" t="s">
        <v>30</v>
      </c>
      <c r="D698" s="0" t="s">
        <v>189</v>
      </c>
      <c r="E698" s="0" t="n">
        <v>17</v>
      </c>
      <c r="F698" s="0" t="s">
        <v>74</v>
      </c>
      <c r="G698" s="0" t="s">
        <v>75</v>
      </c>
      <c r="H698" s="0" t="s">
        <v>75</v>
      </c>
      <c r="I698" s="0" t="s">
        <v>34</v>
      </c>
      <c r="J698" s="0" t="n">
        <v>1.76</v>
      </c>
      <c r="K698" s="0" t="s">
        <v>73</v>
      </c>
      <c r="L698" s="0" t="n">
        <f aca="false">INDEX(Summary!$F$2:$F$201,MATCH($B698,Summary!$A$2:$A$201,0))</f>
        <v>20</v>
      </c>
      <c r="M698" s="0" t="n">
        <f aca="false">INDEX(Summary!$I$2:$I$201,MATCH($B698,Summary!$A$2:$A$201,0))</f>
        <v>3</v>
      </c>
      <c r="N698" s="0" t="n">
        <f aca="false">INDEX(Summary!$J$2:$J$201,MATCH($B698,Summary!$A$2:$A$201,0))</f>
        <v>2</v>
      </c>
      <c r="O698" s="2" t="n">
        <f aca="false">INDEX(Summary!$K$2:$K$201,MATCH($B698,Summary!$A$2:$A$201,0))</f>
        <v>9.61</v>
      </c>
      <c r="P698" s="3" t="n">
        <f aca="false">INDEX(Summary!$L$2:$L$201,MATCH($B698,Summary!$A$2:$A$201,0))</f>
        <v>3</v>
      </c>
      <c r="Q698" s="3" t="n">
        <f aca="false">INDEX(Summary!$M$2:$M$201,MATCH($B698,Summary!$A$2:$A$201,0))</f>
        <v>3</v>
      </c>
      <c r="R698" s="2" t="n">
        <f aca="false">INDEX(Summary!$N$2:$N$201,MATCH($B698,Summary!$A$2:$A$201,0))</f>
        <v>11.89</v>
      </c>
      <c r="S698" s="3" t="n">
        <f aca="false">INDEX(Summary!$O$2:$O$201,MATCH($B698,Summary!$A$2:$A$201,0))</f>
        <v>8</v>
      </c>
      <c r="T698" s="3" t="n">
        <f aca="false">INDEX(Summary!$P$2:$P$201,MATCH($B698,Summary!$A$2:$A$201,0))</f>
        <v>1</v>
      </c>
      <c r="U698" s="2" t="n">
        <f aca="false">INDEX(Summary!$Q$2:$Q$201,MATCH($B698,Summary!$A$2:$A$201,0))</f>
        <v>11.6</v>
      </c>
      <c r="V698" s="2" t="n">
        <f aca="false">INDEX(Summary!$R$2:$R$201,MATCH($B698,Summary!$A$2:$A$201,0))</f>
        <v>24.98</v>
      </c>
      <c r="W698" s="0" t="str">
        <f aca="false">INDEX(Summary!$S$2:$S$201,MATCH($B698,Summary!$A$2:$A$201,0))</f>
        <v>Silver</v>
      </c>
      <c r="X698" s="2" t="n">
        <f aca="false">INDEX(Summary!$T$2:$T$201,MATCH($B698,Summary!$A$2:$A$201,0))</f>
        <v>60.93</v>
      </c>
      <c r="Y698" s="0" t="str">
        <f aca="false">INDEX('Reward Model'!$E$18:$E$37,MATCH($E698,'Reward Model'!$A$18:$A$37,0))</f>
        <v>High</v>
      </c>
      <c r="Z698" s="4" t="n">
        <f aca="false">ROUND(MIN(1,MAX('Reward Model'!$B$2,INDEX('Reward Model'!$C$12:$C$14,MATCH($K698,'Reward Model'!$A$12:$A$14,0))/$J698)),3)</f>
        <v>1</v>
      </c>
      <c r="AA698" s="2" t="n">
        <f aca="false">IF($I698="Correct",ROUND(INDEX('Reward Model'!$B$12:$B$14,MATCH($K698,'Reward Model'!$A$12:$A$14,0))*Z698,2),0)</f>
        <v>3</v>
      </c>
      <c r="AB698" s="2" t="n">
        <f aca="false">IF($I698="Correct",ROUND(INDEX('Reward Model'!$B$12:$B$14,MATCH($Y698,'Reward Model'!$A$12:$A$14,0))*Z698,2),0)</f>
        <v>3</v>
      </c>
    </row>
    <row r="699" customFormat="false" ht="15" hidden="false" customHeight="false" outlineLevel="0" collapsed="false">
      <c r="A699" s="0" t="s">
        <v>197</v>
      </c>
      <c r="B699" s="0" t="s">
        <v>198</v>
      </c>
      <c r="C699" s="0" t="s">
        <v>30</v>
      </c>
      <c r="D699" s="0" t="s">
        <v>189</v>
      </c>
      <c r="E699" s="0" t="n">
        <v>18</v>
      </c>
      <c r="F699" s="0" t="s">
        <v>76</v>
      </c>
      <c r="G699" s="0" t="s">
        <v>77</v>
      </c>
      <c r="H699" s="0" t="s">
        <v>77</v>
      </c>
      <c r="I699" s="0" t="s">
        <v>34</v>
      </c>
      <c r="J699" s="0" t="n">
        <v>1.59</v>
      </c>
      <c r="K699" s="0" t="s">
        <v>73</v>
      </c>
      <c r="L699" s="0" t="n">
        <f aca="false">INDEX(Summary!$F$2:$F$201,MATCH($B699,Summary!$A$2:$A$201,0))</f>
        <v>20</v>
      </c>
      <c r="M699" s="0" t="n">
        <f aca="false">INDEX(Summary!$I$2:$I$201,MATCH($B699,Summary!$A$2:$A$201,0))</f>
        <v>3</v>
      </c>
      <c r="N699" s="0" t="n">
        <f aca="false">INDEX(Summary!$J$2:$J$201,MATCH($B699,Summary!$A$2:$A$201,0))</f>
        <v>2</v>
      </c>
      <c r="O699" s="2" t="n">
        <f aca="false">INDEX(Summary!$K$2:$K$201,MATCH($B699,Summary!$A$2:$A$201,0))</f>
        <v>9.61</v>
      </c>
      <c r="P699" s="3" t="n">
        <f aca="false">INDEX(Summary!$L$2:$L$201,MATCH($B699,Summary!$A$2:$A$201,0))</f>
        <v>3</v>
      </c>
      <c r="Q699" s="3" t="n">
        <f aca="false">INDEX(Summary!$M$2:$M$201,MATCH($B699,Summary!$A$2:$A$201,0))</f>
        <v>3</v>
      </c>
      <c r="R699" s="2" t="n">
        <f aca="false">INDEX(Summary!$N$2:$N$201,MATCH($B699,Summary!$A$2:$A$201,0))</f>
        <v>11.89</v>
      </c>
      <c r="S699" s="3" t="n">
        <f aca="false">INDEX(Summary!$O$2:$O$201,MATCH($B699,Summary!$A$2:$A$201,0))</f>
        <v>8</v>
      </c>
      <c r="T699" s="3" t="n">
        <f aca="false">INDEX(Summary!$P$2:$P$201,MATCH($B699,Summary!$A$2:$A$201,0))</f>
        <v>1</v>
      </c>
      <c r="U699" s="2" t="n">
        <f aca="false">INDEX(Summary!$Q$2:$Q$201,MATCH($B699,Summary!$A$2:$A$201,0))</f>
        <v>11.6</v>
      </c>
      <c r="V699" s="2" t="n">
        <f aca="false">INDEX(Summary!$R$2:$R$201,MATCH($B699,Summary!$A$2:$A$201,0))</f>
        <v>24.98</v>
      </c>
      <c r="W699" s="0" t="str">
        <f aca="false">INDEX(Summary!$S$2:$S$201,MATCH($B699,Summary!$A$2:$A$201,0))</f>
        <v>Silver</v>
      </c>
      <c r="X699" s="2" t="n">
        <f aca="false">INDEX(Summary!$T$2:$T$201,MATCH($B699,Summary!$A$2:$A$201,0))</f>
        <v>60.93</v>
      </c>
      <c r="Y699" s="0" t="str">
        <f aca="false">INDEX('Reward Model'!$E$18:$E$37,MATCH($E699,'Reward Model'!$A$18:$A$37,0))</f>
        <v>High</v>
      </c>
      <c r="Z699" s="4" t="n">
        <f aca="false">ROUND(MIN(1,MAX('Reward Model'!$B$2,INDEX('Reward Model'!$C$12:$C$14,MATCH($K699,'Reward Model'!$A$12:$A$14,0))/$J699)),3)</f>
        <v>1</v>
      </c>
      <c r="AA699" s="2" t="n">
        <f aca="false">IF($I699="Correct",ROUND(INDEX('Reward Model'!$B$12:$B$14,MATCH($K699,'Reward Model'!$A$12:$A$14,0))*Z699,2),0)</f>
        <v>3</v>
      </c>
      <c r="AB699" s="2" t="n">
        <f aca="false">IF($I699="Correct",ROUND(INDEX('Reward Model'!$B$12:$B$14,MATCH($Y699,'Reward Model'!$A$12:$A$14,0))*Z699,2),0)</f>
        <v>3</v>
      </c>
    </row>
    <row r="700" customFormat="false" ht="15" hidden="false" customHeight="false" outlineLevel="0" collapsed="false">
      <c r="A700" s="0" t="s">
        <v>197</v>
      </c>
      <c r="B700" s="0" t="s">
        <v>198</v>
      </c>
      <c r="C700" s="0" t="s">
        <v>30</v>
      </c>
      <c r="D700" s="0" t="s">
        <v>189</v>
      </c>
      <c r="E700" s="0" t="n">
        <v>19</v>
      </c>
      <c r="F700" s="0" t="s">
        <v>78</v>
      </c>
      <c r="G700" s="0" t="s">
        <v>80</v>
      </c>
      <c r="H700" s="0" t="s">
        <v>80</v>
      </c>
      <c r="I700" s="0" t="s">
        <v>34</v>
      </c>
      <c r="J700" s="0" t="n">
        <v>2.59</v>
      </c>
      <c r="K700" s="0" t="s">
        <v>73</v>
      </c>
      <c r="L700" s="0" t="n">
        <f aca="false">INDEX(Summary!$F$2:$F$201,MATCH($B700,Summary!$A$2:$A$201,0))</f>
        <v>20</v>
      </c>
      <c r="M700" s="0" t="n">
        <f aca="false">INDEX(Summary!$I$2:$I$201,MATCH($B700,Summary!$A$2:$A$201,0))</f>
        <v>3</v>
      </c>
      <c r="N700" s="0" t="n">
        <f aca="false">INDEX(Summary!$J$2:$J$201,MATCH($B700,Summary!$A$2:$A$201,0))</f>
        <v>2</v>
      </c>
      <c r="O700" s="2" t="n">
        <f aca="false">INDEX(Summary!$K$2:$K$201,MATCH($B700,Summary!$A$2:$A$201,0))</f>
        <v>9.61</v>
      </c>
      <c r="P700" s="3" t="n">
        <f aca="false">INDEX(Summary!$L$2:$L$201,MATCH($B700,Summary!$A$2:$A$201,0))</f>
        <v>3</v>
      </c>
      <c r="Q700" s="3" t="n">
        <f aca="false">INDEX(Summary!$M$2:$M$201,MATCH($B700,Summary!$A$2:$A$201,0))</f>
        <v>3</v>
      </c>
      <c r="R700" s="2" t="n">
        <f aca="false">INDEX(Summary!$N$2:$N$201,MATCH($B700,Summary!$A$2:$A$201,0))</f>
        <v>11.89</v>
      </c>
      <c r="S700" s="3" t="n">
        <f aca="false">INDEX(Summary!$O$2:$O$201,MATCH($B700,Summary!$A$2:$A$201,0))</f>
        <v>8</v>
      </c>
      <c r="T700" s="3" t="n">
        <f aca="false">INDEX(Summary!$P$2:$P$201,MATCH($B700,Summary!$A$2:$A$201,0))</f>
        <v>1</v>
      </c>
      <c r="U700" s="2" t="n">
        <f aca="false">INDEX(Summary!$Q$2:$Q$201,MATCH($B700,Summary!$A$2:$A$201,0))</f>
        <v>11.6</v>
      </c>
      <c r="V700" s="2" t="n">
        <f aca="false">INDEX(Summary!$R$2:$R$201,MATCH($B700,Summary!$A$2:$A$201,0))</f>
        <v>24.98</v>
      </c>
      <c r="W700" s="0" t="str">
        <f aca="false">INDEX(Summary!$S$2:$S$201,MATCH($B700,Summary!$A$2:$A$201,0))</f>
        <v>Silver</v>
      </c>
      <c r="X700" s="2" t="n">
        <f aca="false">INDEX(Summary!$T$2:$T$201,MATCH($B700,Summary!$A$2:$A$201,0))</f>
        <v>60.93</v>
      </c>
      <c r="Y700" s="0" t="str">
        <f aca="false">INDEX('Reward Model'!$E$18:$E$37,MATCH($E700,'Reward Model'!$A$18:$A$37,0))</f>
        <v>High</v>
      </c>
      <c r="Z700" s="4" t="n">
        <f aca="false">ROUND(MIN(1,MAX('Reward Model'!$B$2,INDEX('Reward Model'!$C$12:$C$14,MATCH($K700,'Reward Model'!$A$12:$A$14,0))/$J700)),3)</f>
        <v>0.772</v>
      </c>
      <c r="AA700" s="2" t="n">
        <f aca="false">IF($I700="Correct",ROUND(INDEX('Reward Model'!$B$12:$B$14,MATCH($K700,'Reward Model'!$A$12:$A$14,0))*Z700,2),0)</f>
        <v>2.32</v>
      </c>
      <c r="AB700" s="2" t="n">
        <f aca="false">IF($I700="Correct",ROUND(INDEX('Reward Model'!$B$12:$B$14,MATCH($Y700,'Reward Model'!$A$12:$A$14,0))*Z700,2),0)</f>
        <v>2.32</v>
      </c>
    </row>
    <row r="701" customFormat="false" ht="15" hidden="false" customHeight="false" outlineLevel="0" collapsed="false">
      <c r="A701" s="0" t="s">
        <v>197</v>
      </c>
      <c r="B701" s="0" t="s">
        <v>198</v>
      </c>
      <c r="C701" s="0" t="s">
        <v>30</v>
      </c>
      <c r="D701" s="0" t="s">
        <v>189</v>
      </c>
      <c r="E701" s="0" t="n">
        <v>20</v>
      </c>
      <c r="F701" s="0" t="s">
        <v>81</v>
      </c>
      <c r="G701" s="0" t="s">
        <v>166</v>
      </c>
      <c r="H701" s="0" t="s">
        <v>83</v>
      </c>
      <c r="I701" s="0" t="s">
        <v>39</v>
      </c>
      <c r="J701" s="0" t="n">
        <v>1.85</v>
      </c>
      <c r="K701" s="0" t="s">
        <v>73</v>
      </c>
      <c r="L701" s="0" t="n">
        <f aca="false">INDEX(Summary!$F$2:$F$201,MATCH($B701,Summary!$A$2:$A$201,0))</f>
        <v>20</v>
      </c>
      <c r="M701" s="0" t="n">
        <f aca="false">INDEX(Summary!$I$2:$I$201,MATCH($B701,Summary!$A$2:$A$201,0))</f>
        <v>3</v>
      </c>
      <c r="N701" s="0" t="n">
        <f aca="false">INDEX(Summary!$J$2:$J$201,MATCH($B701,Summary!$A$2:$A$201,0))</f>
        <v>2</v>
      </c>
      <c r="O701" s="2" t="n">
        <f aca="false">INDEX(Summary!$K$2:$K$201,MATCH($B701,Summary!$A$2:$A$201,0))</f>
        <v>9.61</v>
      </c>
      <c r="P701" s="3" t="n">
        <f aca="false">INDEX(Summary!$L$2:$L$201,MATCH($B701,Summary!$A$2:$A$201,0))</f>
        <v>3</v>
      </c>
      <c r="Q701" s="3" t="n">
        <f aca="false">INDEX(Summary!$M$2:$M$201,MATCH($B701,Summary!$A$2:$A$201,0))</f>
        <v>3</v>
      </c>
      <c r="R701" s="2" t="n">
        <f aca="false">INDEX(Summary!$N$2:$N$201,MATCH($B701,Summary!$A$2:$A$201,0))</f>
        <v>11.89</v>
      </c>
      <c r="S701" s="3" t="n">
        <f aca="false">INDEX(Summary!$O$2:$O$201,MATCH($B701,Summary!$A$2:$A$201,0))</f>
        <v>8</v>
      </c>
      <c r="T701" s="3" t="n">
        <f aca="false">INDEX(Summary!$P$2:$P$201,MATCH($B701,Summary!$A$2:$A$201,0))</f>
        <v>1</v>
      </c>
      <c r="U701" s="2" t="n">
        <f aca="false">INDEX(Summary!$Q$2:$Q$201,MATCH($B701,Summary!$A$2:$A$201,0))</f>
        <v>11.6</v>
      </c>
      <c r="V701" s="2" t="n">
        <f aca="false">INDEX(Summary!$R$2:$R$201,MATCH($B701,Summary!$A$2:$A$201,0))</f>
        <v>24.98</v>
      </c>
      <c r="W701" s="0" t="str">
        <f aca="false">INDEX(Summary!$S$2:$S$201,MATCH($B701,Summary!$A$2:$A$201,0))</f>
        <v>Silver</v>
      </c>
      <c r="X701" s="2" t="n">
        <f aca="false">INDEX(Summary!$T$2:$T$201,MATCH($B701,Summary!$A$2:$A$201,0))</f>
        <v>60.93</v>
      </c>
      <c r="Y701" s="0" t="str">
        <f aca="false">INDEX('Reward Model'!$E$18:$E$37,MATCH($E701,'Reward Model'!$A$18:$A$37,0))</f>
        <v>High</v>
      </c>
      <c r="Z701" s="4" t="n">
        <f aca="false">ROUND(MIN(1,MAX('Reward Model'!$B$2,INDEX('Reward Model'!$C$12:$C$14,MATCH($K701,'Reward Model'!$A$12:$A$14,0))/$J701)),3)</f>
        <v>1</v>
      </c>
      <c r="AA701" s="2" t="n">
        <f aca="false">IF($I701="Correct",ROUND(INDEX('Reward Model'!$B$12:$B$14,MATCH($K701,'Reward Model'!$A$12:$A$14,0))*Z701,2),0)</f>
        <v>0</v>
      </c>
      <c r="AB701" s="2" t="n">
        <f aca="false">IF($I701="Correct",ROUND(INDEX('Reward Model'!$B$12:$B$14,MATCH($Y701,'Reward Model'!$A$12:$A$14,0))*Z701,2),0)</f>
        <v>0</v>
      </c>
    </row>
    <row r="702" customFormat="false" ht="15" hidden="false" customHeight="false" outlineLevel="0" collapsed="false">
      <c r="A702" s="0" t="s">
        <v>199</v>
      </c>
      <c r="B702" s="0" t="s">
        <v>200</v>
      </c>
      <c r="C702" s="0" t="s">
        <v>30</v>
      </c>
      <c r="D702" s="0" t="s">
        <v>189</v>
      </c>
      <c r="E702" s="0" t="n">
        <v>1</v>
      </c>
      <c r="F702" s="0" t="s">
        <v>32</v>
      </c>
      <c r="G702" s="0" t="s">
        <v>122</v>
      </c>
      <c r="H702" s="0" t="s">
        <v>33</v>
      </c>
      <c r="I702" s="0" t="s">
        <v>39</v>
      </c>
      <c r="J702" s="0" t="n">
        <v>1.73</v>
      </c>
      <c r="K702" s="0" t="s">
        <v>35</v>
      </c>
      <c r="L702" s="0" t="n">
        <f aca="false">INDEX(Summary!$F$2:$F$201,MATCH($B702,Summary!$A$2:$A$201,0))</f>
        <v>20</v>
      </c>
      <c r="M702" s="0" t="n">
        <f aca="false">INDEX(Summary!$I$2:$I$201,MATCH($B702,Summary!$A$2:$A$201,0))</f>
        <v>1</v>
      </c>
      <c r="N702" s="0" t="n">
        <f aca="false">INDEX(Summary!$J$2:$J$201,MATCH($B702,Summary!$A$2:$A$201,0))</f>
        <v>4</v>
      </c>
      <c r="O702" s="2" t="n">
        <f aca="false">INDEX(Summary!$K$2:$K$201,MATCH($B702,Summary!$A$2:$A$201,0))</f>
        <v>9.04</v>
      </c>
      <c r="P702" s="3" t="n">
        <f aca="false">INDEX(Summary!$L$2:$L$201,MATCH($B702,Summary!$A$2:$A$201,0))</f>
        <v>2</v>
      </c>
      <c r="Q702" s="3" t="n">
        <f aca="false">INDEX(Summary!$M$2:$M$201,MATCH($B702,Summary!$A$2:$A$201,0))</f>
        <v>4</v>
      </c>
      <c r="R702" s="2" t="n">
        <f aca="false">INDEX(Summary!$N$2:$N$201,MATCH($B702,Summary!$A$2:$A$201,0))</f>
        <v>11.05</v>
      </c>
      <c r="S702" s="3" t="n">
        <f aca="false">INDEX(Summary!$O$2:$O$201,MATCH($B702,Summary!$A$2:$A$201,0))</f>
        <v>6</v>
      </c>
      <c r="T702" s="3" t="n">
        <f aca="false">INDEX(Summary!$P$2:$P$201,MATCH($B702,Summary!$A$2:$A$201,0))</f>
        <v>3</v>
      </c>
      <c r="U702" s="2" t="n">
        <f aca="false">INDEX(Summary!$Q$2:$Q$201,MATCH($B702,Summary!$A$2:$A$201,0))</f>
        <v>12.36</v>
      </c>
      <c r="V702" s="2" t="n">
        <f aca="false">INDEX(Summary!$R$2:$R$201,MATCH($B702,Summary!$A$2:$A$201,0))</f>
        <v>14.79</v>
      </c>
      <c r="W702" s="0" t="str">
        <f aca="false">INDEX(Summary!$S$2:$S$201,MATCH($B702,Summary!$A$2:$A$201,0))</f>
        <v>Bronze</v>
      </c>
      <c r="X702" s="2" t="n">
        <f aca="false">INDEX(Summary!$T$2:$T$201,MATCH($B702,Summary!$A$2:$A$201,0))</f>
        <v>36.07</v>
      </c>
      <c r="Y702" s="0" t="str">
        <f aca="false">INDEX('Reward Model'!$E$18:$E$37,MATCH($E702,'Reward Model'!$A$18:$A$37,0))</f>
        <v>Medium</v>
      </c>
      <c r="Z702" s="4" t="n">
        <f aca="false">ROUND(MIN(1,MAX('Reward Model'!$B$2,INDEX('Reward Model'!$C$12:$C$14,MATCH($K702,'Reward Model'!$A$12:$A$14,0))/$J702)),3)</f>
        <v>0.867</v>
      </c>
      <c r="AA702" s="2" t="n">
        <f aca="false">IF($I702="Correct",ROUND(INDEX('Reward Model'!$B$12:$B$14,MATCH($K702,'Reward Model'!$A$12:$A$14,0))*Z702,2),0)</f>
        <v>0</v>
      </c>
      <c r="AB702" s="2" t="n">
        <f aca="false">IF($I702="Correct",ROUND(INDEX('Reward Model'!$B$12:$B$14,MATCH($Y702,'Reward Model'!$A$12:$A$14,0))*Z702,2),0)</f>
        <v>0</v>
      </c>
    </row>
    <row r="703" customFormat="false" ht="15" hidden="false" customHeight="false" outlineLevel="0" collapsed="false">
      <c r="A703" s="0" t="s">
        <v>199</v>
      </c>
      <c r="B703" s="0" t="s">
        <v>200</v>
      </c>
      <c r="C703" s="0" t="s">
        <v>30</v>
      </c>
      <c r="D703" s="0" t="s">
        <v>189</v>
      </c>
      <c r="E703" s="0" t="n">
        <v>2</v>
      </c>
      <c r="F703" s="0" t="s">
        <v>36</v>
      </c>
      <c r="G703" s="0" t="s">
        <v>38</v>
      </c>
      <c r="H703" s="0" t="s">
        <v>38</v>
      </c>
      <c r="I703" s="0" t="s">
        <v>34</v>
      </c>
      <c r="J703" s="0" t="n">
        <v>1.56</v>
      </c>
      <c r="K703" s="0" t="s">
        <v>35</v>
      </c>
      <c r="L703" s="0" t="n">
        <f aca="false">INDEX(Summary!$F$2:$F$201,MATCH($B703,Summary!$A$2:$A$201,0))</f>
        <v>20</v>
      </c>
      <c r="M703" s="0" t="n">
        <f aca="false">INDEX(Summary!$I$2:$I$201,MATCH($B703,Summary!$A$2:$A$201,0))</f>
        <v>1</v>
      </c>
      <c r="N703" s="0" t="n">
        <f aca="false">INDEX(Summary!$J$2:$J$201,MATCH($B703,Summary!$A$2:$A$201,0))</f>
        <v>4</v>
      </c>
      <c r="O703" s="2" t="n">
        <f aca="false">INDEX(Summary!$K$2:$K$201,MATCH($B703,Summary!$A$2:$A$201,0))</f>
        <v>9.04</v>
      </c>
      <c r="P703" s="3" t="n">
        <f aca="false">INDEX(Summary!$L$2:$L$201,MATCH($B703,Summary!$A$2:$A$201,0))</f>
        <v>2</v>
      </c>
      <c r="Q703" s="3" t="n">
        <f aca="false">INDEX(Summary!$M$2:$M$201,MATCH($B703,Summary!$A$2:$A$201,0))</f>
        <v>4</v>
      </c>
      <c r="R703" s="2" t="n">
        <f aca="false">INDEX(Summary!$N$2:$N$201,MATCH($B703,Summary!$A$2:$A$201,0))</f>
        <v>11.05</v>
      </c>
      <c r="S703" s="3" t="n">
        <f aca="false">INDEX(Summary!$O$2:$O$201,MATCH($B703,Summary!$A$2:$A$201,0))</f>
        <v>6</v>
      </c>
      <c r="T703" s="3" t="n">
        <f aca="false">INDEX(Summary!$P$2:$P$201,MATCH($B703,Summary!$A$2:$A$201,0))</f>
        <v>3</v>
      </c>
      <c r="U703" s="2" t="n">
        <f aca="false">INDEX(Summary!$Q$2:$Q$201,MATCH($B703,Summary!$A$2:$A$201,0))</f>
        <v>12.36</v>
      </c>
      <c r="V703" s="2" t="n">
        <f aca="false">INDEX(Summary!$R$2:$R$201,MATCH($B703,Summary!$A$2:$A$201,0))</f>
        <v>14.79</v>
      </c>
      <c r="W703" s="0" t="str">
        <f aca="false">INDEX(Summary!$S$2:$S$201,MATCH($B703,Summary!$A$2:$A$201,0))</f>
        <v>Bronze</v>
      </c>
      <c r="X703" s="2" t="n">
        <f aca="false">INDEX(Summary!$T$2:$T$201,MATCH($B703,Summary!$A$2:$A$201,0))</f>
        <v>36.07</v>
      </c>
      <c r="Y703" s="0" t="str">
        <f aca="false">INDEX('Reward Model'!$E$18:$E$37,MATCH($E703,'Reward Model'!$A$18:$A$37,0))</f>
        <v>Low</v>
      </c>
      <c r="Z703" s="4" t="n">
        <f aca="false">ROUND(MIN(1,MAX('Reward Model'!$B$2,INDEX('Reward Model'!$C$12:$C$14,MATCH($K703,'Reward Model'!$A$12:$A$14,0))/$J703)),3)</f>
        <v>0.962</v>
      </c>
      <c r="AA703" s="2" t="n">
        <f aca="false">IF($I703="Correct",ROUND(INDEX('Reward Model'!$B$12:$B$14,MATCH($K703,'Reward Model'!$A$12:$A$14,0))*Z703,2),0)</f>
        <v>0.96</v>
      </c>
      <c r="AB703" s="2" t="n">
        <f aca="false">IF($I703="Correct",ROUND(INDEX('Reward Model'!$B$12:$B$14,MATCH($Y703,'Reward Model'!$A$12:$A$14,0))*Z703,2),0)</f>
        <v>0.96</v>
      </c>
    </row>
    <row r="704" customFormat="false" ht="15" hidden="false" customHeight="false" outlineLevel="0" collapsed="false">
      <c r="A704" s="0" t="s">
        <v>199</v>
      </c>
      <c r="B704" s="0" t="s">
        <v>200</v>
      </c>
      <c r="C704" s="0" t="s">
        <v>30</v>
      </c>
      <c r="D704" s="0" t="s">
        <v>189</v>
      </c>
      <c r="E704" s="0" t="n">
        <v>3</v>
      </c>
      <c r="F704" s="0" t="s">
        <v>40</v>
      </c>
      <c r="G704" s="0" t="s">
        <v>42</v>
      </c>
      <c r="H704" s="0" t="s">
        <v>42</v>
      </c>
      <c r="I704" s="0" t="s">
        <v>34</v>
      </c>
      <c r="J704" s="0" t="n">
        <v>1.21</v>
      </c>
      <c r="K704" s="0" t="s">
        <v>35</v>
      </c>
      <c r="L704" s="0" t="n">
        <f aca="false">INDEX(Summary!$F$2:$F$201,MATCH($B704,Summary!$A$2:$A$201,0))</f>
        <v>20</v>
      </c>
      <c r="M704" s="0" t="n">
        <f aca="false">INDEX(Summary!$I$2:$I$201,MATCH($B704,Summary!$A$2:$A$201,0))</f>
        <v>1</v>
      </c>
      <c r="N704" s="0" t="n">
        <f aca="false">INDEX(Summary!$J$2:$J$201,MATCH($B704,Summary!$A$2:$A$201,0))</f>
        <v>4</v>
      </c>
      <c r="O704" s="2" t="n">
        <f aca="false">INDEX(Summary!$K$2:$K$201,MATCH($B704,Summary!$A$2:$A$201,0))</f>
        <v>9.04</v>
      </c>
      <c r="P704" s="3" t="n">
        <f aca="false">INDEX(Summary!$L$2:$L$201,MATCH($B704,Summary!$A$2:$A$201,0))</f>
        <v>2</v>
      </c>
      <c r="Q704" s="3" t="n">
        <f aca="false">INDEX(Summary!$M$2:$M$201,MATCH($B704,Summary!$A$2:$A$201,0))</f>
        <v>4</v>
      </c>
      <c r="R704" s="2" t="n">
        <f aca="false">INDEX(Summary!$N$2:$N$201,MATCH($B704,Summary!$A$2:$A$201,0))</f>
        <v>11.05</v>
      </c>
      <c r="S704" s="3" t="n">
        <f aca="false">INDEX(Summary!$O$2:$O$201,MATCH($B704,Summary!$A$2:$A$201,0))</f>
        <v>6</v>
      </c>
      <c r="T704" s="3" t="n">
        <f aca="false">INDEX(Summary!$P$2:$P$201,MATCH($B704,Summary!$A$2:$A$201,0))</f>
        <v>3</v>
      </c>
      <c r="U704" s="2" t="n">
        <f aca="false">INDEX(Summary!$Q$2:$Q$201,MATCH($B704,Summary!$A$2:$A$201,0))</f>
        <v>12.36</v>
      </c>
      <c r="V704" s="2" t="n">
        <f aca="false">INDEX(Summary!$R$2:$R$201,MATCH($B704,Summary!$A$2:$A$201,0))</f>
        <v>14.79</v>
      </c>
      <c r="W704" s="0" t="str">
        <f aca="false">INDEX(Summary!$S$2:$S$201,MATCH($B704,Summary!$A$2:$A$201,0))</f>
        <v>Bronze</v>
      </c>
      <c r="X704" s="2" t="n">
        <f aca="false">INDEX(Summary!$T$2:$T$201,MATCH($B704,Summary!$A$2:$A$201,0))</f>
        <v>36.07</v>
      </c>
      <c r="Y704" s="0" t="str">
        <f aca="false">INDEX('Reward Model'!$E$18:$E$37,MATCH($E704,'Reward Model'!$A$18:$A$37,0))</f>
        <v>Medium</v>
      </c>
      <c r="Z704" s="4" t="n">
        <f aca="false">ROUND(MIN(1,MAX('Reward Model'!$B$2,INDEX('Reward Model'!$C$12:$C$14,MATCH($K704,'Reward Model'!$A$12:$A$14,0))/$J704)),3)</f>
        <v>1</v>
      </c>
      <c r="AA704" s="2" t="n">
        <f aca="false">IF($I704="Correct",ROUND(INDEX('Reward Model'!$B$12:$B$14,MATCH($K704,'Reward Model'!$A$12:$A$14,0))*Z704,2),0)</f>
        <v>1</v>
      </c>
      <c r="AB704" s="2" t="n">
        <f aca="false">IF($I704="Correct",ROUND(INDEX('Reward Model'!$B$12:$B$14,MATCH($Y704,'Reward Model'!$A$12:$A$14,0))*Z704,2),0)</f>
        <v>2</v>
      </c>
    </row>
    <row r="705" customFormat="false" ht="15" hidden="false" customHeight="false" outlineLevel="0" collapsed="false">
      <c r="A705" s="0" t="s">
        <v>199</v>
      </c>
      <c r="B705" s="0" t="s">
        <v>200</v>
      </c>
      <c r="C705" s="0" t="s">
        <v>30</v>
      </c>
      <c r="D705" s="0" t="s">
        <v>189</v>
      </c>
      <c r="E705" s="0" t="n">
        <v>4</v>
      </c>
      <c r="F705" s="0" t="s">
        <v>43</v>
      </c>
      <c r="G705" s="0" t="s">
        <v>45</v>
      </c>
      <c r="H705" s="0" t="s">
        <v>45</v>
      </c>
      <c r="I705" s="0" t="s">
        <v>34</v>
      </c>
      <c r="J705" s="0" t="n">
        <v>1.21</v>
      </c>
      <c r="K705" s="0" t="s">
        <v>35</v>
      </c>
      <c r="L705" s="0" t="n">
        <f aca="false">INDEX(Summary!$F$2:$F$201,MATCH($B705,Summary!$A$2:$A$201,0))</f>
        <v>20</v>
      </c>
      <c r="M705" s="0" t="n">
        <f aca="false">INDEX(Summary!$I$2:$I$201,MATCH($B705,Summary!$A$2:$A$201,0))</f>
        <v>1</v>
      </c>
      <c r="N705" s="0" t="n">
        <f aca="false">INDEX(Summary!$J$2:$J$201,MATCH($B705,Summary!$A$2:$A$201,0))</f>
        <v>4</v>
      </c>
      <c r="O705" s="2" t="n">
        <f aca="false">INDEX(Summary!$K$2:$K$201,MATCH($B705,Summary!$A$2:$A$201,0))</f>
        <v>9.04</v>
      </c>
      <c r="P705" s="3" t="n">
        <f aca="false">INDEX(Summary!$L$2:$L$201,MATCH($B705,Summary!$A$2:$A$201,0))</f>
        <v>2</v>
      </c>
      <c r="Q705" s="3" t="n">
        <f aca="false">INDEX(Summary!$M$2:$M$201,MATCH($B705,Summary!$A$2:$A$201,0))</f>
        <v>4</v>
      </c>
      <c r="R705" s="2" t="n">
        <f aca="false">INDEX(Summary!$N$2:$N$201,MATCH($B705,Summary!$A$2:$A$201,0))</f>
        <v>11.05</v>
      </c>
      <c r="S705" s="3" t="n">
        <f aca="false">INDEX(Summary!$O$2:$O$201,MATCH($B705,Summary!$A$2:$A$201,0))</f>
        <v>6</v>
      </c>
      <c r="T705" s="3" t="n">
        <f aca="false">INDEX(Summary!$P$2:$P$201,MATCH($B705,Summary!$A$2:$A$201,0))</f>
        <v>3</v>
      </c>
      <c r="U705" s="2" t="n">
        <f aca="false">INDEX(Summary!$Q$2:$Q$201,MATCH($B705,Summary!$A$2:$A$201,0))</f>
        <v>12.36</v>
      </c>
      <c r="V705" s="2" t="n">
        <f aca="false">INDEX(Summary!$R$2:$R$201,MATCH($B705,Summary!$A$2:$A$201,0))</f>
        <v>14.79</v>
      </c>
      <c r="W705" s="0" t="str">
        <f aca="false">INDEX(Summary!$S$2:$S$201,MATCH($B705,Summary!$A$2:$A$201,0))</f>
        <v>Bronze</v>
      </c>
      <c r="X705" s="2" t="n">
        <f aca="false">INDEX(Summary!$T$2:$T$201,MATCH($B705,Summary!$A$2:$A$201,0))</f>
        <v>36.07</v>
      </c>
      <c r="Y705" s="0" t="str">
        <f aca="false">INDEX('Reward Model'!$E$18:$E$37,MATCH($E705,'Reward Model'!$A$18:$A$37,0))</f>
        <v>Low</v>
      </c>
      <c r="Z705" s="4" t="n">
        <f aca="false">ROUND(MIN(1,MAX('Reward Model'!$B$2,INDEX('Reward Model'!$C$12:$C$14,MATCH($K705,'Reward Model'!$A$12:$A$14,0))/$J705)),3)</f>
        <v>1</v>
      </c>
      <c r="AA705" s="2" t="n">
        <f aca="false">IF($I705="Correct",ROUND(INDEX('Reward Model'!$B$12:$B$14,MATCH($K705,'Reward Model'!$A$12:$A$14,0))*Z705,2),0)</f>
        <v>1</v>
      </c>
      <c r="AB705" s="2" t="n">
        <f aca="false">IF($I705="Correct",ROUND(INDEX('Reward Model'!$B$12:$B$14,MATCH($Y705,'Reward Model'!$A$12:$A$14,0))*Z705,2),0)</f>
        <v>1</v>
      </c>
    </row>
    <row r="706" customFormat="false" ht="15" hidden="false" customHeight="false" outlineLevel="0" collapsed="false">
      <c r="A706" s="0" t="s">
        <v>199</v>
      </c>
      <c r="B706" s="0" t="s">
        <v>200</v>
      </c>
      <c r="C706" s="0" t="s">
        <v>30</v>
      </c>
      <c r="D706" s="0" t="s">
        <v>189</v>
      </c>
      <c r="E706" s="0" t="n">
        <v>5</v>
      </c>
      <c r="F706" s="0" t="s">
        <v>46</v>
      </c>
      <c r="G706" s="0" t="s">
        <v>47</v>
      </c>
      <c r="H706" s="0" t="s">
        <v>47</v>
      </c>
      <c r="I706" s="0" t="s">
        <v>34</v>
      </c>
      <c r="J706" s="0" t="n">
        <v>1.81</v>
      </c>
      <c r="K706" s="0" t="s">
        <v>35</v>
      </c>
      <c r="L706" s="0" t="n">
        <f aca="false">INDEX(Summary!$F$2:$F$201,MATCH($B706,Summary!$A$2:$A$201,0))</f>
        <v>20</v>
      </c>
      <c r="M706" s="0" t="n">
        <f aca="false">INDEX(Summary!$I$2:$I$201,MATCH($B706,Summary!$A$2:$A$201,0))</f>
        <v>1</v>
      </c>
      <c r="N706" s="0" t="n">
        <f aca="false">INDEX(Summary!$J$2:$J$201,MATCH($B706,Summary!$A$2:$A$201,0))</f>
        <v>4</v>
      </c>
      <c r="O706" s="2" t="n">
        <f aca="false">INDEX(Summary!$K$2:$K$201,MATCH($B706,Summary!$A$2:$A$201,0))</f>
        <v>9.04</v>
      </c>
      <c r="P706" s="3" t="n">
        <f aca="false">INDEX(Summary!$L$2:$L$201,MATCH($B706,Summary!$A$2:$A$201,0))</f>
        <v>2</v>
      </c>
      <c r="Q706" s="3" t="n">
        <f aca="false">INDEX(Summary!$M$2:$M$201,MATCH($B706,Summary!$A$2:$A$201,0))</f>
        <v>4</v>
      </c>
      <c r="R706" s="2" t="n">
        <f aca="false">INDEX(Summary!$N$2:$N$201,MATCH($B706,Summary!$A$2:$A$201,0))</f>
        <v>11.05</v>
      </c>
      <c r="S706" s="3" t="n">
        <f aca="false">INDEX(Summary!$O$2:$O$201,MATCH($B706,Summary!$A$2:$A$201,0))</f>
        <v>6</v>
      </c>
      <c r="T706" s="3" t="n">
        <f aca="false">INDEX(Summary!$P$2:$P$201,MATCH($B706,Summary!$A$2:$A$201,0))</f>
        <v>3</v>
      </c>
      <c r="U706" s="2" t="n">
        <f aca="false">INDEX(Summary!$Q$2:$Q$201,MATCH($B706,Summary!$A$2:$A$201,0))</f>
        <v>12.36</v>
      </c>
      <c r="V706" s="2" t="n">
        <f aca="false">INDEX(Summary!$R$2:$R$201,MATCH($B706,Summary!$A$2:$A$201,0))</f>
        <v>14.79</v>
      </c>
      <c r="W706" s="0" t="str">
        <f aca="false">INDEX(Summary!$S$2:$S$201,MATCH($B706,Summary!$A$2:$A$201,0))</f>
        <v>Bronze</v>
      </c>
      <c r="X706" s="2" t="n">
        <f aca="false">INDEX(Summary!$T$2:$T$201,MATCH($B706,Summary!$A$2:$A$201,0))</f>
        <v>36.07</v>
      </c>
      <c r="Y706" s="0" t="str">
        <f aca="false">INDEX('Reward Model'!$E$18:$E$37,MATCH($E706,'Reward Model'!$A$18:$A$37,0))</f>
        <v>Low</v>
      </c>
      <c r="Z706" s="4" t="n">
        <f aca="false">ROUND(MIN(1,MAX('Reward Model'!$B$2,INDEX('Reward Model'!$C$12:$C$14,MATCH($K706,'Reward Model'!$A$12:$A$14,0))/$J706)),3)</f>
        <v>0.829</v>
      </c>
      <c r="AA706" s="2" t="n">
        <f aca="false">IF($I706="Correct",ROUND(INDEX('Reward Model'!$B$12:$B$14,MATCH($K706,'Reward Model'!$A$12:$A$14,0))*Z706,2),0)</f>
        <v>0.83</v>
      </c>
      <c r="AB706" s="2" t="n">
        <f aca="false">IF($I706="Correct",ROUND(INDEX('Reward Model'!$B$12:$B$14,MATCH($Y706,'Reward Model'!$A$12:$A$14,0))*Z706,2),0)</f>
        <v>0.83</v>
      </c>
    </row>
    <row r="707" customFormat="false" ht="15" hidden="false" customHeight="false" outlineLevel="0" collapsed="false">
      <c r="A707" s="0" t="s">
        <v>199</v>
      </c>
      <c r="B707" s="0" t="s">
        <v>200</v>
      </c>
      <c r="C707" s="0" t="s">
        <v>30</v>
      </c>
      <c r="D707" s="0" t="s">
        <v>189</v>
      </c>
      <c r="E707" s="0" t="n">
        <v>6</v>
      </c>
      <c r="F707" s="0" t="s">
        <v>48</v>
      </c>
      <c r="G707" s="0" t="s">
        <v>143</v>
      </c>
      <c r="H707" s="0" t="s">
        <v>49</v>
      </c>
      <c r="I707" s="0" t="s">
        <v>39</v>
      </c>
      <c r="J707" s="0" t="n">
        <v>1.79</v>
      </c>
      <c r="K707" s="0" t="s">
        <v>35</v>
      </c>
      <c r="L707" s="0" t="n">
        <f aca="false">INDEX(Summary!$F$2:$F$201,MATCH($B707,Summary!$A$2:$A$201,0))</f>
        <v>20</v>
      </c>
      <c r="M707" s="0" t="n">
        <f aca="false">INDEX(Summary!$I$2:$I$201,MATCH($B707,Summary!$A$2:$A$201,0))</f>
        <v>1</v>
      </c>
      <c r="N707" s="0" t="n">
        <f aca="false">INDEX(Summary!$J$2:$J$201,MATCH($B707,Summary!$A$2:$A$201,0))</f>
        <v>4</v>
      </c>
      <c r="O707" s="2" t="n">
        <f aca="false">INDEX(Summary!$K$2:$K$201,MATCH($B707,Summary!$A$2:$A$201,0))</f>
        <v>9.04</v>
      </c>
      <c r="P707" s="3" t="n">
        <f aca="false">INDEX(Summary!$L$2:$L$201,MATCH($B707,Summary!$A$2:$A$201,0))</f>
        <v>2</v>
      </c>
      <c r="Q707" s="3" t="n">
        <f aca="false">INDEX(Summary!$M$2:$M$201,MATCH($B707,Summary!$A$2:$A$201,0))</f>
        <v>4</v>
      </c>
      <c r="R707" s="2" t="n">
        <f aca="false">INDEX(Summary!$N$2:$N$201,MATCH($B707,Summary!$A$2:$A$201,0))</f>
        <v>11.05</v>
      </c>
      <c r="S707" s="3" t="n">
        <f aca="false">INDEX(Summary!$O$2:$O$201,MATCH($B707,Summary!$A$2:$A$201,0))</f>
        <v>6</v>
      </c>
      <c r="T707" s="3" t="n">
        <f aca="false">INDEX(Summary!$P$2:$P$201,MATCH($B707,Summary!$A$2:$A$201,0))</f>
        <v>3</v>
      </c>
      <c r="U707" s="2" t="n">
        <f aca="false">INDEX(Summary!$Q$2:$Q$201,MATCH($B707,Summary!$A$2:$A$201,0))</f>
        <v>12.36</v>
      </c>
      <c r="V707" s="2" t="n">
        <f aca="false">INDEX(Summary!$R$2:$R$201,MATCH($B707,Summary!$A$2:$A$201,0))</f>
        <v>14.79</v>
      </c>
      <c r="W707" s="0" t="str">
        <f aca="false">INDEX(Summary!$S$2:$S$201,MATCH($B707,Summary!$A$2:$A$201,0))</f>
        <v>Bronze</v>
      </c>
      <c r="X707" s="2" t="n">
        <f aca="false">INDEX(Summary!$T$2:$T$201,MATCH($B707,Summary!$A$2:$A$201,0))</f>
        <v>36.07</v>
      </c>
      <c r="Y707" s="0" t="str">
        <f aca="false">INDEX('Reward Model'!$E$18:$E$37,MATCH($E707,'Reward Model'!$A$18:$A$37,0))</f>
        <v>Medium</v>
      </c>
      <c r="Z707" s="4" t="n">
        <f aca="false">ROUND(MIN(1,MAX('Reward Model'!$B$2,INDEX('Reward Model'!$C$12:$C$14,MATCH($K707,'Reward Model'!$A$12:$A$14,0))/$J707)),3)</f>
        <v>0.838</v>
      </c>
      <c r="AA707" s="2" t="n">
        <f aca="false">IF($I707="Correct",ROUND(INDEX('Reward Model'!$B$12:$B$14,MATCH($K707,'Reward Model'!$A$12:$A$14,0))*Z707,2),0)</f>
        <v>0</v>
      </c>
      <c r="AB707" s="2" t="n">
        <f aca="false">IF($I707="Correct",ROUND(INDEX('Reward Model'!$B$12:$B$14,MATCH($Y707,'Reward Model'!$A$12:$A$14,0))*Z707,2),0)</f>
        <v>0</v>
      </c>
    </row>
    <row r="708" customFormat="false" ht="15" hidden="false" customHeight="false" outlineLevel="0" collapsed="false">
      <c r="A708" s="0" t="s">
        <v>199</v>
      </c>
      <c r="B708" s="0" t="s">
        <v>200</v>
      </c>
      <c r="C708" s="0" t="s">
        <v>30</v>
      </c>
      <c r="D708" s="0" t="s">
        <v>189</v>
      </c>
      <c r="E708" s="0" t="n">
        <v>7</v>
      </c>
      <c r="F708" s="0" t="s">
        <v>50</v>
      </c>
      <c r="G708" s="0" t="s">
        <v>51</v>
      </c>
      <c r="H708" s="0" t="s">
        <v>51</v>
      </c>
      <c r="I708" s="0" t="s">
        <v>34</v>
      </c>
      <c r="J708" s="0" t="n">
        <v>0.95</v>
      </c>
      <c r="K708" s="0" t="s">
        <v>35</v>
      </c>
      <c r="L708" s="0" t="n">
        <f aca="false">INDEX(Summary!$F$2:$F$201,MATCH($B708,Summary!$A$2:$A$201,0))</f>
        <v>20</v>
      </c>
      <c r="M708" s="0" t="n">
        <f aca="false">INDEX(Summary!$I$2:$I$201,MATCH($B708,Summary!$A$2:$A$201,0))</f>
        <v>1</v>
      </c>
      <c r="N708" s="0" t="n">
        <f aca="false">INDEX(Summary!$J$2:$J$201,MATCH($B708,Summary!$A$2:$A$201,0))</f>
        <v>4</v>
      </c>
      <c r="O708" s="2" t="n">
        <f aca="false">INDEX(Summary!$K$2:$K$201,MATCH($B708,Summary!$A$2:$A$201,0))</f>
        <v>9.04</v>
      </c>
      <c r="P708" s="3" t="n">
        <f aca="false">INDEX(Summary!$L$2:$L$201,MATCH($B708,Summary!$A$2:$A$201,0))</f>
        <v>2</v>
      </c>
      <c r="Q708" s="3" t="n">
        <f aca="false">INDEX(Summary!$M$2:$M$201,MATCH($B708,Summary!$A$2:$A$201,0))</f>
        <v>4</v>
      </c>
      <c r="R708" s="2" t="n">
        <f aca="false">INDEX(Summary!$N$2:$N$201,MATCH($B708,Summary!$A$2:$A$201,0))</f>
        <v>11.05</v>
      </c>
      <c r="S708" s="3" t="n">
        <f aca="false">INDEX(Summary!$O$2:$O$201,MATCH($B708,Summary!$A$2:$A$201,0))</f>
        <v>6</v>
      </c>
      <c r="T708" s="3" t="n">
        <f aca="false">INDEX(Summary!$P$2:$P$201,MATCH($B708,Summary!$A$2:$A$201,0))</f>
        <v>3</v>
      </c>
      <c r="U708" s="2" t="n">
        <f aca="false">INDEX(Summary!$Q$2:$Q$201,MATCH($B708,Summary!$A$2:$A$201,0))</f>
        <v>12.36</v>
      </c>
      <c r="V708" s="2" t="n">
        <f aca="false">INDEX(Summary!$R$2:$R$201,MATCH($B708,Summary!$A$2:$A$201,0))</f>
        <v>14.79</v>
      </c>
      <c r="W708" s="0" t="str">
        <f aca="false">INDEX(Summary!$S$2:$S$201,MATCH($B708,Summary!$A$2:$A$201,0))</f>
        <v>Bronze</v>
      </c>
      <c r="X708" s="2" t="n">
        <f aca="false">INDEX(Summary!$T$2:$T$201,MATCH($B708,Summary!$A$2:$A$201,0))</f>
        <v>36.07</v>
      </c>
      <c r="Y708" s="0" t="str">
        <f aca="false">INDEX('Reward Model'!$E$18:$E$37,MATCH($E708,'Reward Model'!$A$18:$A$37,0))</f>
        <v>Low</v>
      </c>
      <c r="Z708" s="4" t="n">
        <f aca="false">ROUND(MIN(1,MAX('Reward Model'!$B$2,INDEX('Reward Model'!$C$12:$C$14,MATCH($K708,'Reward Model'!$A$12:$A$14,0))/$J708)),3)</f>
        <v>1</v>
      </c>
      <c r="AA708" s="2" t="n">
        <f aca="false">IF($I708="Correct",ROUND(INDEX('Reward Model'!$B$12:$B$14,MATCH($K708,'Reward Model'!$A$12:$A$14,0))*Z708,2),0)</f>
        <v>1</v>
      </c>
      <c r="AB708" s="2" t="n">
        <f aca="false">IF($I708="Correct",ROUND(INDEX('Reward Model'!$B$12:$B$14,MATCH($Y708,'Reward Model'!$A$12:$A$14,0))*Z708,2),0)</f>
        <v>1</v>
      </c>
    </row>
    <row r="709" customFormat="false" ht="15" hidden="false" customHeight="false" outlineLevel="0" collapsed="false">
      <c r="A709" s="0" t="s">
        <v>199</v>
      </c>
      <c r="B709" s="0" t="s">
        <v>200</v>
      </c>
      <c r="C709" s="0" t="s">
        <v>30</v>
      </c>
      <c r="D709" s="0" t="s">
        <v>189</v>
      </c>
      <c r="E709" s="0" t="n">
        <v>8</v>
      </c>
      <c r="F709" s="0" t="s">
        <v>52</v>
      </c>
      <c r="G709" s="0" t="s">
        <v>54</v>
      </c>
      <c r="H709" s="0" t="s">
        <v>54</v>
      </c>
      <c r="I709" s="0" t="s">
        <v>34</v>
      </c>
      <c r="J709" s="0" t="n">
        <v>1.17</v>
      </c>
      <c r="K709" s="0" t="s">
        <v>35</v>
      </c>
      <c r="L709" s="0" t="n">
        <f aca="false">INDEX(Summary!$F$2:$F$201,MATCH($B709,Summary!$A$2:$A$201,0))</f>
        <v>20</v>
      </c>
      <c r="M709" s="0" t="n">
        <f aca="false">INDEX(Summary!$I$2:$I$201,MATCH($B709,Summary!$A$2:$A$201,0))</f>
        <v>1</v>
      </c>
      <c r="N709" s="0" t="n">
        <f aca="false">INDEX(Summary!$J$2:$J$201,MATCH($B709,Summary!$A$2:$A$201,0))</f>
        <v>4</v>
      </c>
      <c r="O709" s="2" t="n">
        <f aca="false">INDEX(Summary!$K$2:$K$201,MATCH($B709,Summary!$A$2:$A$201,0))</f>
        <v>9.04</v>
      </c>
      <c r="P709" s="3" t="n">
        <f aca="false">INDEX(Summary!$L$2:$L$201,MATCH($B709,Summary!$A$2:$A$201,0))</f>
        <v>2</v>
      </c>
      <c r="Q709" s="3" t="n">
        <f aca="false">INDEX(Summary!$M$2:$M$201,MATCH($B709,Summary!$A$2:$A$201,0))</f>
        <v>4</v>
      </c>
      <c r="R709" s="2" t="n">
        <f aca="false">INDEX(Summary!$N$2:$N$201,MATCH($B709,Summary!$A$2:$A$201,0))</f>
        <v>11.05</v>
      </c>
      <c r="S709" s="3" t="n">
        <f aca="false">INDEX(Summary!$O$2:$O$201,MATCH($B709,Summary!$A$2:$A$201,0))</f>
        <v>6</v>
      </c>
      <c r="T709" s="3" t="n">
        <f aca="false">INDEX(Summary!$P$2:$P$201,MATCH($B709,Summary!$A$2:$A$201,0))</f>
        <v>3</v>
      </c>
      <c r="U709" s="2" t="n">
        <f aca="false">INDEX(Summary!$Q$2:$Q$201,MATCH($B709,Summary!$A$2:$A$201,0))</f>
        <v>12.36</v>
      </c>
      <c r="V709" s="2" t="n">
        <f aca="false">INDEX(Summary!$R$2:$R$201,MATCH($B709,Summary!$A$2:$A$201,0))</f>
        <v>14.79</v>
      </c>
      <c r="W709" s="0" t="str">
        <f aca="false">INDEX(Summary!$S$2:$S$201,MATCH($B709,Summary!$A$2:$A$201,0))</f>
        <v>Bronze</v>
      </c>
      <c r="X709" s="2" t="n">
        <f aca="false">INDEX(Summary!$T$2:$T$201,MATCH($B709,Summary!$A$2:$A$201,0))</f>
        <v>36.07</v>
      </c>
      <c r="Y709" s="0" t="str">
        <f aca="false">INDEX('Reward Model'!$E$18:$E$37,MATCH($E709,'Reward Model'!$A$18:$A$37,0))</f>
        <v>Medium</v>
      </c>
      <c r="Z709" s="4" t="n">
        <f aca="false">ROUND(MIN(1,MAX('Reward Model'!$B$2,INDEX('Reward Model'!$C$12:$C$14,MATCH($K709,'Reward Model'!$A$12:$A$14,0))/$J709)),3)</f>
        <v>1</v>
      </c>
      <c r="AA709" s="2" t="n">
        <f aca="false">IF($I709="Correct",ROUND(INDEX('Reward Model'!$B$12:$B$14,MATCH($K709,'Reward Model'!$A$12:$A$14,0))*Z709,2),0)</f>
        <v>1</v>
      </c>
      <c r="AB709" s="2" t="n">
        <f aca="false">IF($I709="Correct",ROUND(INDEX('Reward Model'!$B$12:$B$14,MATCH($Y709,'Reward Model'!$A$12:$A$14,0))*Z709,2),0)</f>
        <v>2</v>
      </c>
    </row>
    <row r="710" customFormat="false" ht="15" hidden="false" customHeight="false" outlineLevel="0" collapsed="false">
      <c r="A710" s="0" t="s">
        <v>199</v>
      </c>
      <c r="B710" s="0" t="s">
        <v>200</v>
      </c>
      <c r="C710" s="0" t="s">
        <v>30</v>
      </c>
      <c r="D710" s="0" t="s">
        <v>189</v>
      </c>
      <c r="E710" s="0" t="n">
        <v>9</v>
      </c>
      <c r="F710" s="0" t="s">
        <v>55</v>
      </c>
      <c r="G710" s="0" t="s">
        <v>56</v>
      </c>
      <c r="H710" s="0" t="s">
        <v>57</v>
      </c>
      <c r="I710" s="0" t="s">
        <v>39</v>
      </c>
      <c r="J710" s="0" t="n">
        <v>0.93</v>
      </c>
      <c r="K710" s="0" t="s">
        <v>35</v>
      </c>
      <c r="L710" s="0" t="n">
        <f aca="false">INDEX(Summary!$F$2:$F$201,MATCH($B710,Summary!$A$2:$A$201,0))</f>
        <v>20</v>
      </c>
      <c r="M710" s="0" t="n">
        <f aca="false">INDEX(Summary!$I$2:$I$201,MATCH($B710,Summary!$A$2:$A$201,0))</f>
        <v>1</v>
      </c>
      <c r="N710" s="0" t="n">
        <f aca="false">INDEX(Summary!$J$2:$J$201,MATCH($B710,Summary!$A$2:$A$201,0))</f>
        <v>4</v>
      </c>
      <c r="O710" s="2" t="n">
        <f aca="false">INDEX(Summary!$K$2:$K$201,MATCH($B710,Summary!$A$2:$A$201,0))</f>
        <v>9.04</v>
      </c>
      <c r="P710" s="3" t="n">
        <f aca="false">INDEX(Summary!$L$2:$L$201,MATCH($B710,Summary!$A$2:$A$201,0))</f>
        <v>2</v>
      </c>
      <c r="Q710" s="3" t="n">
        <f aca="false">INDEX(Summary!$M$2:$M$201,MATCH($B710,Summary!$A$2:$A$201,0))</f>
        <v>4</v>
      </c>
      <c r="R710" s="2" t="n">
        <f aca="false">INDEX(Summary!$N$2:$N$201,MATCH($B710,Summary!$A$2:$A$201,0))</f>
        <v>11.05</v>
      </c>
      <c r="S710" s="3" t="n">
        <f aca="false">INDEX(Summary!$O$2:$O$201,MATCH($B710,Summary!$A$2:$A$201,0))</f>
        <v>6</v>
      </c>
      <c r="T710" s="3" t="n">
        <f aca="false">INDEX(Summary!$P$2:$P$201,MATCH($B710,Summary!$A$2:$A$201,0))</f>
        <v>3</v>
      </c>
      <c r="U710" s="2" t="n">
        <f aca="false">INDEX(Summary!$Q$2:$Q$201,MATCH($B710,Summary!$A$2:$A$201,0))</f>
        <v>12.36</v>
      </c>
      <c r="V710" s="2" t="n">
        <f aca="false">INDEX(Summary!$R$2:$R$201,MATCH($B710,Summary!$A$2:$A$201,0))</f>
        <v>14.79</v>
      </c>
      <c r="W710" s="0" t="str">
        <f aca="false">INDEX(Summary!$S$2:$S$201,MATCH($B710,Summary!$A$2:$A$201,0))</f>
        <v>Bronze</v>
      </c>
      <c r="X710" s="2" t="n">
        <f aca="false">INDEX(Summary!$T$2:$T$201,MATCH($B710,Summary!$A$2:$A$201,0))</f>
        <v>36.07</v>
      </c>
      <c r="Y710" s="0" t="str">
        <f aca="false">INDEX('Reward Model'!$E$18:$E$37,MATCH($E710,'Reward Model'!$A$18:$A$37,0))</f>
        <v>Medium</v>
      </c>
      <c r="Z710" s="4" t="n">
        <f aca="false">ROUND(MIN(1,MAX('Reward Model'!$B$2,INDEX('Reward Model'!$C$12:$C$14,MATCH($K710,'Reward Model'!$A$12:$A$14,0))/$J710)),3)</f>
        <v>1</v>
      </c>
      <c r="AA710" s="2" t="n">
        <f aca="false">IF($I710="Correct",ROUND(INDEX('Reward Model'!$B$12:$B$14,MATCH($K710,'Reward Model'!$A$12:$A$14,0))*Z710,2),0)</f>
        <v>0</v>
      </c>
      <c r="AB710" s="2" t="n">
        <f aca="false">IF($I710="Correct",ROUND(INDEX('Reward Model'!$B$12:$B$14,MATCH($Y710,'Reward Model'!$A$12:$A$14,0))*Z710,2),0)</f>
        <v>0</v>
      </c>
    </row>
    <row r="711" customFormat="false" ht="15" hidden="false" customHeight="false" outlineLevel="0" collapsed="false">
      <c r="A711" s="0" t="s">
        <v>199</v>
      </c>
      <c r="B711" s="0" t="s">
        <v>200</v>
      </c>
      <c r="C711" s="0" t="s">
        <v>30</v>
      </c>
      <c r="D711" s="0" t="s">
        <v>189</v>
      </c>
      <c r="E711" s="0" t="n">
        <v>10</v>
      </c>
      <c r="F711" s="0" t="s">
        <v>58</v>
      </c>
      <c r="G711" s="0" t="s">
        <v>59</v>
      </c>
      <c r="H711" s="0" t="s">
        <v>59</v>
      </c>
      <c r="I711" s="0" t="s">
        <v>34</v>
      </c>
      <c r="J711" s="0" t="n">
        <v>1.6</v>
      </c>
      <c r="K711" s="0" t="s">
        <v>60</v>
      </c>
      <c r="L711" s="0" t="n">
        <f aca="false">INDEX(Summary!$F$2:$F$201,MATCH($B711,Summary!$A$2:$A$201,0))</f>
        <v>20</v>
      </c>
      <c r="M711" s="0" t="n">
        <f aca="false">INDEX(Summary!$I$2:$I$201,MATCH($B711,Summary!$A$2:$A$201,0))</f>
        <v>1</v>
      </c>
      <c r="N711" s="0" t="n">
        <f aca="false">INDEX(Summary!$J$2:$J$201,MATCH($B711,Summary!$A$2:$A$201,0))</f>
        <v>4</v>
      </c>
      <c r="O711" s="2" t="n">
        <f aca="false">INDEX(Summary!$K$2:$K$201,MATCH($B711,Summary!$A$2:$A$201,0))</f>
        <v>9.04</v>
      </c>
      <c r="P711" s="3" t="n">
        <f aca="false">INDEX(Summary!$L$2:$L$201,MATCH($B711,Summary!$A$2:$A$201,0))</f>
        <v>2</v>
      </c>
      <c r="Q711" s="3" t="n">
        <f aca="false">INDEX(Summary!$M$2:$M$201,MATCH($B711,Summary!$A$2:$A$201,0))</f>
        <v>4</v>
      </c>
      <c r="R711" s="2" t="n">
        <f aca="false">INDEX(Summary!$N$2:$N$201,MATCH($B711,Summary!$A$2:$A$201,0))</f>
        <v>11.05</v>
      </c>
      <c r="S711" s="3" t="n">
        <f aca="false">INDEX(Summary!$O$2:$O$201,MATCH($B711,Summary!$A$2:$A$201,0))</f>
        <v>6</v>
      </c>
      <c r="T711" s="3" t="n">
        <f aca="false">INDEX(Summary!$P$2:$P$201,MATCH($B711,Summary!$A$2:$A$201,0))</f>
        <v>3</v>
      </c>
      <c r="U711" s="2" t="n">
        <f aca="false">INDEX(Summary!$Q$2:$Q$201,MATCH($B711,Summary!$A$2:$A$201,0))</f>
        <v>12.36</v>
      </c>
      <c r="V711" s="2" t="n">
        <f aca="false">INDEX(Summary!$R$2:$R$201,MATCH($B711,Summary!$A$2:$A$201,0))</f>
        <v>14.79</v>
      </c>
      <c r="W711" s="0" t="str">
        <f aca="false">INDEX(Summary!$S$2:$S$201,MATCH($B711,Summary!$A$2:$A$201,0))</f>
        <v>Bronze</v>
      </c>
      <c r="X711" s="2" t="n">
        <f aca="false">INDEX(Summary!$T$2:$T$201,MATCH($B711,Summary!$A$2:$A$201,0))</f>
        <v>36.07</v>
      </c>
      <c r="Y711" s="0" t="str">
        <f aca="false">INDEX('Reward Model'!$E$18:$E$37,MATCH($E711,'Reward Model'!$A$18:$A$37,0))</f>
        <v>Medium</v>
      </c>
      <c r="Z711" s="4" t="n">
        <f aca="false">ROUND(MIN(1,MAX('Reward Model'!$B$2,INDEX('Reward Model'!$C$12:$C$14,MATCH($K711,'Reward Model'!$A$12:$A$14,0))/$J711)),3)</f>
        <v>1</v>
      </c>
      <c r="AA711" s="2" t="n">
        <f aca="false">IF($I711="Correct",ROUND(INDEX('Reward Model'!$B$12:$B$14,MATCH($K711,'Reward Model'!$A$12:$A$14,0))*Z711,2),0)</f>
        <v>2</v>
      </c>
      <c r="AB711" s="2" t="n">
        <f aca="false">IF($I711="Correct",ROUND(INDEX('Reward Model'!$B$12:$B$14,MATCH($Y711,'Reward Model'!$A$12:$A$14,0))*Z711,2),0)</f>
        <v>2</v>
      </c>
    </row>
    <row r="712" customFormat="false" ht="15" hidden="false" customHeight="false" outlineLevel="0" collapsed="false">
      <c r="A712" s="0" t="s">
        <v>199</v>
      </c>
      <c r="B712" s="0" t="s">
        <v>200</v>
      </c>
      <c r="C712" s="0" t="s">
        <v>30</v>
      </c>
      <c r="D712" s="0" t="s">
        <v>189</v>
      </c>
      <c r="E712" s="0" t="n">
        <v>11</v>
      </c>
      <c r="F712" s="0" t="s">
        <v>61</v>
      </c>
      <c r="G712" s="0" t="s">
        <v>145</v>
      </c>
      <c r="H712" s="0" t="s">
        <v>63</v>
      </c>
      <c r="I712" s="0" t="s">
        <v>39</v>
      </c>
      <c r="J712" s="0" t="n">
        <v>2.08</v>
      </c>
      <c r="K712" s="0" t="s">
        <v>60</v>
      </c>
      <c r="L712" s="0" t="n">
        <f aca="false">INDEX(Summary!$F$2:$F$201,MATCH($B712,Summary!$A$2:$A$201,0))</f>
        <v>20</v>
      </c>
      <c r="M712" s="0" t="n">
        <f aca="false">INDEX(Summary!$I$2:$I$201,MATCH($B712,Summary!$A$2:$A$201,0))</f>
        <v>1</v>
      </c>
      <c r="N712" s="0" t="n">
        <f aca="false">INDEX(Summary!$J$2:$J$201,MATCH($B712,Summary!$A$2:$A$201,0))</f>
        <v>4</v>
      </c>
      <c r="O712" s="2" t="n">
        <f aca="false">INDEX(Summary!$K$2:$K$201,MATCH($B712,Summary!$A$2:$A$201,0))</f>
        <v>9.04</v>
      </c>
      <c r="P712" s="3" t="n">
        <f aca="false">INDEX(Summary!$L$2:$L$201,MATCH($B712,Summary!$A$2:$A$201,0))</f>
        <v>2</v>
      </c>
      <c r="Q712" s="3" t="n">
        <f aca="false">INDEX(Summary!$M$2:$M$201,MATCH($B712,Summary!$A$2:$A$201,0))</f>
        <v>4</v>
      </c>
      <c r="R712" s="2" t="n">
        <f aca="false">INDEX(Summary!$N$2:$N$201,MATCH($B712,Summary!$A$2:$A$201,0))</f>
        <v>11.05</v>
      </c>
      <c r="S712" s="3" t="n">
        <f aca="false">INDEX(Summary!$O$2:$O$201,MATCH($B712,Summary!$A$2:$A$201,0))</f>
        <v>6</v>
      </c>
      <c r="T712" s="3" t="n">
        <f aca="false">INDEX(Summary!$P$2:$P$201,MATCH($B712,Summary!$A$2:$A$201,0))</f>
        <v>3</v>
      </c>
      <c r="U712" s="2" t="n">
        <f aca="false">INDEX(Summary!$Q$2:$Q$201,MATCH($B712,Summary!$A$2:$A$201,0))</f>
        <v>12.36</v>
      </c>
      <c r="V712" s="2" t="n">
        <f aca="false">INDEX(Summary!$R$2:$R$201,MATCH($B712,Summary!$A$2:$A$201,0))</f>
        <v>14.79</v>
      </c>
      <c r="W712" s="0" t="str">
        <f aca="false">INDEX(Summary!$S$2:$S$201,MATCH($B712,Summary!$A$2:$A$201,0))</f>
        <v>Bronze</v>
      </c>
      <c r="X712" s="2" t="n">
        <f aca="false">INDEX(Summary!$T$2:$T$201,MATCH($B712,Summary!$A$2:$A$201,0))</f>
        <v>36.07</v>
      </c>
      <c r="Y712" s="0" t="str">
        <f aca="false">INDEX('Reward Model'!$E$18:$E$37,MATCH($E712,'Reward Model'!$A$18:$A$37,0))</f>
        <v>Medium</v>
      </c>
      <c r="Z712" s="4" t="n">
        <f aca="false">ROUND(MIN(1,MAX('Reward Model'!$B$2,INDEX('Reward Model'!$C$12:$C$14,MATCH($K712,'Reward Model'!$A$12:$A$14,0))/$J712)),3)</f>
        <v>0.865</v>
      </c>
      <c r="AA712" s="2" t="n">
        <f aca="false">IF($I712="Correct",ROUND(INDEX('Reward Model'!$B$12:$B$14,MATCH($K712,'Reward Model'!$A$12:$A$14,0))*Z712,2),0)</f>
        <v>0</v>
      </c>
      <c r="AB712" s="2" t="n">
        <f aca="false">IF($I712="Correct",ROUND(INDEX('Reward Model'!$B$12:$B$14,MATCH($Y712,'Reward Model'!$A$12:$A$14,0))*Z712,2),0)</f>
        <v>0</v>
      </c>
    </row>
    <row r="713" customFormat="false" ht="15" hidden="false" customHeight="false" outlineLevel="0" collapsed="false">
      <c r="A713" s="0" t="s">
        <v>199</v>
      </c>
      <c r="B713" s="0" t="s">
        <v>200</v>
      </c>
      <c r="C713" s="0" t="s">
        <v>30</v>
      </c>
      <c r="D713" s="0" t="s">
        <v>189</v>
      </c>
      <c r="E713" s="0" t="n">
        <v>12</v>
      </c>
      <c r="F713" s="0" t="s">
        <v>64</v>
      </c>
      <c r="G713" s="0" t="s">
        <v>112</v>
      </c>
      <c r="H713" s="0" t="s">
        <v>65</v>
      </c>
      <c r="I713" s="0" t="s">
        <v>39</v>
      </c>
      <c r="J713" s="0" t="n">
        <v>2.09</v>
      </c>
      <c r="K713" s="0" t="s">
        <v>60</v>
      </c>
      <c r="L713" s="0" t="n">
        <f aca="false">INDEX(Summary!$F$2:$F$201,MATCH($B713,Summary!$A$2:$A$201,0))</f>
        <v>20</v>
      </c>
      <c r="M713" s="0" t="n">
        <f aca="false">INDEX(Summary!$I$2:$I$201,MATCH($B713,Summary!$A$2:$A$201,0))</f>
        <v>1</v>
      </c>
      <c r="N713" s="0" t="n">
        <f aca="false">INDEX(Summary!$J$2:$J$201,MATCH($B713,Summary!$A$2:$A$201,0))</f>
        <v>4</v>
      </c>
      <c r="O713" s="2" t="n">
        <f aca="false">INDEX(Summary!$K$2:$K$201,MATCH($B713,Summary!$A$2:$A$201,0))</f>
        <v>9.04</v>
      </c>
      <c r="P713" s="3" t="n">
        <f aca="false">INDEX(Summary!$L$2:$L$201,MATCH($B713,Summary!$A$2:$A$201,0))</f>
        <v>2</v>
      </c>
      <c r="Q713" s="3" t="n">
        <f aca="false">INDEX(Summary!$M$2:$M$201,MATCH($B713,Summary!$A$2:$A$201,0))</f>
        <v>4</v>
      </c>
      <c r="R713" s="2" t="n">
        <f aca="false">INDEX(Summary!$N$2:$N$201,MATCH($B713,Summary!$A$2:$A$201,0))</f>
        <v>11.05</v>
      </c>
      <c r="S713" s="3" t="n">
        <f aca="false">INDEX(Summary!$O$2:$O$201,MATCH($B713,Summary!$A$2:$A$201,0))</f>
        <v>6</v>
      </c>
      <c r="T713" s="3" t="n">
        <f aca="false">INDEX(Summary!$P$2:$P$201,MATCH($B713,Summary!$A$2:$A$201,0))</f>
        <v>3</v>
      </c>
      <c r="U713" s="2" t="n">
        <f aca="false">INDEX(Summary!$Q$2:$Q$201,MATCH($B713,Summary!$A$2:$A$201,0))</f>
        <v>12.36</v>
      </c>
      <c r="V713" s="2" t="n">
        <f aca="false">INDEX(Summary!$R$2:$R$201,MATCH($B713,Summary!$A$2:$A$201,0))</f>
        <v>14.79</v>
      </c>
      <c r="W713" s="0" t="str">
        <f aca="false">INDEX(Summary!$S$2:$S$201,MATCH($B713,Summary!$A$2:$A$201,0))</f>
        <v>Bronze</v>
      </c>
      <c r="X713" s="2" t="n">
        <f aca="false">INDEX(Summary!$T$2:$T$201,MATCH($B713,Summary!$A$2:$A$201,0))</f>
        <v>36.07</v>
      </c>
      <c r="Y713" s="0" t="str">
        <f aca="false">INDEX('Reward Model'!$E$18:$E$37,MATCH($E713,'Reward Model'!$A$18:$A$37,0))</f>
        <v>Medium</v>
      </c>
      <c r="Z713" s="4" t="n">
        <f aca="false">ROUND(MIN(1,MAX('Reward Model'!$B$2,INDEX('Reward Model'!$C$12:$C$14,MATCH($K713,'Reward Model'!$A$12:$A$14,0))/$J713)),3)</f>
        <v>0.861</v>
      </c>
      <c r="AA713" s="2" t="n">
        <f aca="false">IF($I713="Correct",ROUND(INDEX('Reward Model'!$B$12:$B$14,MATCH($K713,'Reward Model'!$A$12:$A$14,0))*Z713,2),0)</f>
        <v>0</v>
      </c>
      <c r="AB713" s="2" t="n">
        <f aca="false">IF($I713="Correct",ROUND(INDEX('Reward Model'!$B$12:$B$14,MATCH($Y713,'Reward Model'!$A$12:$A$14,0))*Z713,2),0)</f>
        <v>0</v>
      </c>
    </row>
    <row r="714" customFormat="false" ht="15" hidden="false" customHeight="false" outlineLevel="0" collapsed="false">
      <c r="A714" s="0" t="s">
        <v>199</v>
      </c>
      <c r="B714" s="0" t="s">
        <v>200</v>
      </c>
      <c r="C714" s="0" t="s">
        <v>30</v>
      </c>
      <c r="D714" s="0" t="s">
        <v>189</v>
      </c>
      <c r="E714" s="0" t="n">
        <v>13</v>
      </c>
      <c r="F714" s="0" t="s">
        <v>66</v>
      </c>
      <c r="G714" s="0" t="s">
        <v>67</v>
      </c>
      <c r="H714" s="0" t="s">
        <v>67</v>
      </c>
      <c r="I714" s="0" t="s">
        <v>34</v>
      </c>
      <c r="J714" s="0" t="n">
        <v>1.57</v>
      </c>
      <c r="K714" s="0" t="s">
        <v>60</v>
      </c>
      <c r="L714" s="0" t="n">
        <f aca="false">INDEX(Summary!$F$2:$F$201,MATCH($B714,Summary!$A$2:$A$201,0))</f>
        <v>20</v>
      </c>
      <c r="M714" s="0" t="n">
        <f aca="false">INDEX(Summary!$I$2:$I$201,MATCH($B714,Summary!$A$2:$A$201,0))</f>
        <v>1</v>
      </c>
      <c r="N714" s="0" t="n">
        <f aca="false">INDEX(Summary!$J$2:$J$201,MATCH($B714,Summary!$A$2:$A$201,0))</f>
        <v>4</v>
      </c>
      <c r="O714" s="2" t="n">
        <f aca="false">INDEX(Summary!$K$2:$K$201,MATCH($B714,Summary!$A$2:$A$201,0))</f>
        <v>9.04</v>
      </c>
      <c r="P714" s="3" t="n">
        <f aca="false">INDEX(Summary!$L$2:$L$201,MATCH($B714,Summary!$A$2:$A$201,0))</f>
        <v>2</v>
      </c>
      <c r="Q714" s="3" t="n">
        <f aca="false">INDEX(Summary!$M$2:$M$201,MATCH($B714,Summary!$A$2:$A$201,0))</f>
        <v>4</v>
      </c>
      <c r="R714" s="2" t="n">
        <f aca="false">INDEX(Summary!$N$2:$N$201,MATCH($B714,Summary!$A$2:$A$201,0))</f>
        <v>11.05</v>
      </c>
      <c r="S714" s="3" t="n">
        <f aca="false">INDEX(Summary!$O$2:$O$201,MATCH($B714,Summary!$A$2:$A$201,0))</f>
        <v>6</v>
      </c>
      <c r="T714" s="3" t="n">
        <f aca="false">INDEX(Summary!$P$2:$P$201,MATCH($B714,Summary!$A$2:$A$201,0))</f>
        <v>3</v>
      </c>
      <c r="U714" s="2" t="n">
        <f aca="false">INDEX(Summary!$Q$2:$Q$201,MATCH($B714,Summary!$A$2:$A$201,0))</f>
        <v>12.36</v>
      </c>
      <c r="V714" s="2" t="n">
        <f aca="false">INDEX(Summary!$R$2:$R$201,MATCH($B714,Summary!$A$2:$A$201,0))</f>
        <v>14.79</v>
      </c>
      <c r="W714" s="0" t="str">
        <f aca="false">INDEX(Summary!$S$2:$S$201,MATCH($B714,Summary!$A$2:$A$201,0))</f>
        <v>Bronze</v>
      </c>
      <c r="X714" s="2" t="n">
        <f aca="false">INDEX(Summary!$T$2:$T$201,MATCH($B714,Summary!$A$2:$A$201,0))</f>
        <v>36.07</v>
      </c>
      <c r="Y714" s="0" t="str">
        <f aca="false">INDEX('Reward Model'!$E$18:$E$37,MATCH($E714,'Reward Model'!$A$18:$A$37,0))</f>
        <v>Medium</v>
      </c>
      <c r="Z714" s="4" t="n">
        <f aca="false">ROUND(MIN(1,MAX('Reward Model'!$B$2,INDEX('Reward Model'!$C$12:$C$14,MATCH($K714,'Reward Model'!$A$12:$A$14,0))/$J714)),3)</f>
        <v>1</v>
      </c>
      <c r="AA714" s="2" t="n">
        <f aca="false">IF($I714="Correct",ROUND(INDEX('Reward Model'!$B$12:$B$14,MATCH($K714,'Reward Model'!$A$12:$A$14,0))*Z714,2),0)</f>
        <v>2</v>
      </c>
      <c r="AB714" s="2" t="n">
        <f aca="false">IF($I714="Correct",ROUND(INDEX('Reward Model'!$B$12:$B$14,MATCH($Y714,'Reward Model'!$A$12:$A$14,0))*Z714,2),0)</f>
        <v>2</v>
      </c>
    </row>
    <row r="715" customFormat="false" ht="15" hidden="false" customHeight="false" outlineLevel="0" collapsed="false">
      <c r="A715" s="0" t="s">
        <v>199</v>
      </c>
      <c r="B715" s="0" t="s">
        <v>200</v>
      </c>
      <c r="C715" s="0" t="s">
        <v>30</v>
      </c>
      <c r="D715" s="0" t="s">
        <v>189</v>
      </c>
      <c r="E715" s="0" t="n">
        <v>14</v>
      </c>
      <c r="F715" s="0" t="s">
        <v>68</v>
      </c>
      <c r="G715" s="0" t="s">
        <v>86</v>
      </c>
      <c r="H715" s="0" t="s">
        <v>51</v>
      </c>
      <c r="I715" s="0" t="s">
        <v>39</v>
      </c>
      <c r="J715" s="0" t="n">
        <v>2.2</v>
      </c>
      <c r="K715" s="0" t="s">
        <v>60</v>
      </c>
      <c r="L715" s="0" t="n">
        <f aca="false">INDEX(Summary!$F$2:$F$201,MATCH($B715,Summary!$A$2:$A$201,0))</f>
        <v>20</v>
      </c>
      <c r="M715" s="0" t="n">
        <f aca="false">INDEX(Summary!$I$2:$I$201,MATCH($B715,Summary!$A$2:$A$201,0))</f>
        <v>1</v>
      </c>
      <c r="N715" s="0" t="n">
        <f aca="false">INDEX(Summary!$J$2:$J$201,MATCH($B715,Summary!$A$2:$A$201,0))</f>
        <v>4</v>
      </c>
      <c r="O715" s="2" t="n">
        <f aca="false">INDEX(Summary!$K$2:$K$201,MATCH($B715,Summary!$A$2:$A$201,0))</f>
        <v>9.04</v>
      </c>
      <c r="P715" s="3" t="n">
        <f aca="false">INDEX(Summary!$L$2:$L$201,MATCH($B715,Summary!$A$2:$A$201,0))</f>
        <v>2</v>
      </c>
      <c r="Q715" s="3" t="n">
        <f aca="false">INDEX(Summary!$M$2:$M$201,MATCH($B715,Summary!$A$2:$A$201,0))</f>
        <v>4</v>
      </c>
      <c r="R715" s="2" t="n">
        <f aca="false">INDEX(Summary!$N$2:$N$201,MATCH($B715,Summary!$A$2:$A$201,0))</f>
        <v>11.05</v>
      </c>
      <c r="S715" s="3" t="n">
        <f aca="false">INDEX(Summary!$O$2:$O$201,MATCH($B715,Summary!$A$2:$A$201,0))</f>
        <v>6</v>
      </c>
      <c r="T715" s="3" t="n">
        <f aca="false">INDEX(Summary!$P$2:$P$201,MATCH($B715,Summary!$A$2:$A$201,0))</f>
        <v>3</v>
      </c>
      <c r="U715" s="2" t="n">
        <f aca="false">INDEX(Summary!$Q$2:$Q$201,MATCH($B715,Summary!$A$2:$A$201,0))</f>
        <v>12.36</v>
      </c>
      <c r="V715" s="2" t="n">
        <f aca="false">INDEX(Summary!$R$2:$R$201,MATCH($B715,Summary!$A$2:$A$201,0))</f>
        <v>14.79</v>
      </c>
      <c r="W715" s="0" t="str">
        <f aca="false">INDEX(Summary!$S$2:$S$201,MATCH($B715,Summary!$A$2:$A$201,0))</f>
        <v>Bronze</v>
      </c>
      <c r="X715" s="2" t="n">
        <f aca="false">INDEX(Summary!$T$2:$T$201,MATCH($B715,Summary!$A$2:$A$201,0))</f>
        <v>36.07</v>
      </c>
      <c r="Y715" s="0" t="str">
        <f aca="false">INDEX('Reward Model'!$E$18:$E$37,MATCH($E715,'Reward Model'!$A$18:$A$37,0))</f>
        <v>Medium</v>
      </c>
      <c r="Z715" s="4" t="n">
        <f aca="false">ROUND(MIN(1,MAX('Reward Model'!$B$2,INDEX('Reward Model'!$C$12:$C$14,MATCH($K715,'Reward Model'!$A$12:$A$14,0))/$J715)),3)</f>
        <v>0.818</v>
      </c>
      <c r="AA715" s="2" t="n">
        <f aca="false">IF($I715="Correct",ROUND(INDEX('Reward Model'!$B$12:$B$14,MATCH($K715,'Reward Model'!$A$12:$A$14,0))*Z715,2),0)</f>
        <v>0</v>
      </c>
      <c r="AB715" s="2" t="n">
        <f aca="false">IF($I715="Correct",ROUND(INDEX('Reward Model'!$B$12:$B$14,MATCH($Y715,'Reward Model'!$A$12:$A$14,0))*Z715,2),0)</f>
        <v>0</v>
      </c>
    </row>
    <row r="716" customFormat="false" ht="15" hidden="false" customHeight="false" outlineLevel="0" collapsed="false">
      <c r="A716" s="0" t="s">
        <v>199</v>
      </c>
      <c r="B716" s="0" t="s">
        <v>200</v>
      </c>
      <c r="C716" s="0" t="s">
        <v>30</v>
      </c>
      <c r="D716" s="0" t="s">
        <v>189</v>
      </c>
      <c r="E716" s="0" t="n">
        <v>15</v>
      </c>
      <c r="F716" s="0" t="s">
        <v>69</v>
      </c>
      <c r="G716" s="0" t="s">
        <v>131</v>
      </c>
      <c r="H716" s="0" t="s">
        <v>70</v>
      </c>
      <c r="I716" s="0" t="s">
        <v>39</v>
      </c>
      <c r="J716" s="0" t="n">
        <v>1.51</v>
      </c>
      <c r="K716" s="0" t="s">
        <v>60</v>
      </c>
      <c r="L716" s="0" t="n">
        <f aca="false">INDEX(Summary!$F$2:$F$201,MATCH($B716,Summary!$A$2:$A$201,0))</f>
        <v>20</v>
      </c>
      <c r="M716" s="0" t="n">
        <f aca="false">INDEX(Summary!$I$2:$I$201,MATCH($B716,Summary!$A$2:$A$201,0))</f>
        <v>1</v>
      </c>
      <c r="N716" s="0" t="n">
        <f aca="false">INDEX(Summary!$J$2:$J$201,MATCH($B716,Summary!$A$2:$A$201,0))</f>
        <v>4</v>
      </c>
      <c r="O716" s="2" t="n">
        <f aca="false">INDEX(Summary!$K$2:$K$201,MATCH($B716,Summary!$A$2:$A$201,0))</f>
        <v>9.04</v>
      </c>
      <c r="P716" s="3" t="n">
        <f aca="false">INDEX(Summary!$L$2:$L$201,MATCH($B716,Summary!$A$2:$A$201,0))</f>
        <v>2</v>
      </c>
      <c r="Q716" s="3" t="n">
        <f aca="false">INDEX(Summary!$M$2:$M$201,MATCH($B716,Summary!$A$2:$A$201,0))</f>
        <v>4</v>
      </c>
      <c r="R716" s="2" t="n">
        <f aca="false">INDEX(Summary!$N$2:$N$201,MATCH($B716,Summary!$A$2:$A$201,0))</f>
        <v>11.05</v>
      </c>
      <c r="S716" s="3" t="n">
        <f aca="false">INDEX(Summary!$O$2:$O$201,MATCH($B716,Summary!$A$2:$A$201,0))</f>
        <v>6</v>
      </c>
      <c r="T716" s="3" t="n">
        <f aca="false">INDEX(Summary!$P$2:$P$201,MATCH($B716,Summary!$A$2:$A$201,0))</f>
        <v>3</v>
      </c>
      <c r="U716" s="2" t="n">
        <f aca="false">INDEX(Summary!$Q$2:$Q$201,MATCH($B716,Summary!$A$2:$A$201,0))</f>
        <v>12.36</v>
      </c>
      <c r="V716" s="2" t="n">
        <f aca="false">INDEX(Summary!$R$2:$R$201,MATCH($B716,Summary!$A$2:$A$201,0))</f>
        <v>14.79</v>
      </c>
      <c r="W716" s="0" t="str">
        <f aca="false">INDEX(Summary!$S$2:$S$201,MATCH($B716,Summary!$A$2:$A$201,0))</f>
        <v>Bronze</v>
      </c>
      <c r="X716" s="2" t="n">
        <f aca="false">INDEX(Summary!$T$2:$T$201,MATCH($B716,Summary!$A$2:$A$201,0))</f>
        <v>36.07</v>
      </c>
      <c r="Y716" s="0" t="str">
        <f aca="false">INDEX('Reward Model'!$E$18:$E$37,MATCH($E716,'Reward Model'!$A$18:$A$37,0))</f>
        <v>Medium</v>
      </c>
      <c r="Z716" s="4" t="n">
        <f aca="false">ROUND(MIN(1,MAX('Reward Model'!$B$2,INDEX('Reward Model'!$C$12:$C$14,MATCH($K716,'Reward Model'!$A$12:$A$14,0))/$J716)),3)</f>
        <v>1</v>
      </c>
      <c r="AA716" s="2" t="n">
        <f aca="false">IF($I716="Correct",ROUND(INDEX('Reward Model'!$B$12:$B$14,MATCH($K716,'Reward Model'!$A$12:$A$14,0))*Z716,2),0)</f>
        <v>0</v>
      </c>
      <c r="AB716" s="2" t="n">
        <f aca="false">IF($I716="Correct",ROUND(INDEX('Reward Model'!$B$12:$B$14,MATCH($Y716,'Reward Model'!$A$12:$A$14,0))*Z716,2),0)</f>
        <v>0</v>
      </c>
    </row>
    <row r="717" customFormat="false" ht="15" hidden="false" customHeight="false" outlineLevel="0" collapsed="false">
      <c r="A717" s="0" t="s">
        <v>199</v>
      </c>
      <c r="B717" s="0" t="s">
        <v>200</v>
      </c>
      <c r="C717" s="0" t="s">
        <v>30</v>
      </c>
      <c r="D717" s="0" t="s">
        <v>189</v>
      </c>
      <c r="E717" s="0" t="n">
        <v>16</v>
      </c>
      <c r="F717" s="0" t="s">
        <v>71</v>
      </c>
      <c r="G717" s="0" t="s">
        <v>72</v>
      </c>
      <c r="H717" s="0" t="s">
        <v>72</v>
      </c>
      <c r="I717" s="0" t="s">
        <v>34</v>
      </c>
      <c r="J717" s="0" t="n">
        <v>1.91</v>
      </c>
      <c r="K717" s="0" t="s">
        <v>73</v>
      </c>
      <c r="L717" s="0" t="n">
        <f aca="false">INDEX(Summary!$F$2:$F$201,MATCH($B717,Summary!$A$2:$A$201,0))</f>
        <v>20</v>
      </c>
      <c r="M717" s="0" t="n">
        <f aca="false">INDEX(Summary!$I$2:$I$201,MATCH($B717,Summary!$A$2:$A$201,0))</f>
        <v>1</v>
      </c>
      <c r="N717" s="0" t="n">
        <f aca="false">INDEX(Summary!$J$2:$J$201,MATCH($B717,Summary!$A$2:$A$201,0))</f>
        <v>4</v>
      </c>
      <c r="O717" s="2" t="n">
        <f aca="false">INDEX(Summary!$K$2:$K$201,MATCH($B717,Summary!$A$2:$A$201,0))</f>
        <v>9.04</v>
      </c>
      <c r="P717" s="3" t="n">
        <f aca="false">INDEX(Summary!$L$2:$L$201,MATCH($B717,Summary!$A$2:$A$201,0))</f>
        <v>2</v>
      </c>
      <c r="Q717" s="3" t="n">
        <f aca="false">INDEX(Summary!$M$2:$M$201,MATCH($B717,Summary!$A$2:$A$201,0))</f>
        <v>4</v>
      </c>
      <c r="R717" s="2" t="n">
        <f aca="false">INDEX(Summary!$N$2:$N$201,MATCH($B717,Summary!$A$2:$A$201,0))</f>
        <v>11.05</v>
      </c>
      <c r="S717" s="3" t="n">
        <f aca="false">INDEX(Summary!$O$2:$O$201,MATCH($B717,Summary!$A$2:$A$201,0))</f>
        <v>6</v>
      </c>
      <c r="T717" s="3" t="n">
        <f aca="false">INDEX(Summary!$P$2:$P$201,MATCH($B717,Summary!$A$2:$A$201,0))</f>
        <v>3</v>
      </c>
      <c r="U717" s="2" t="n">
        <f aca="false">INDEX(Summary!$Q$2:$Q$201,MATCH($B717,Summary!$A$2:$A$201,0))</f>
        <v>12.36</v>
      </c>
      <c r="V717" s="2" t="n">
        <f aca="false">INDEX(Summary!$R$2:$R$201,MATCH($B717,Summary!$A$2:$A$201,0))</f>
        <v>14.79</v>
      </c>
      <c r="W717" s="0" t="str">
        <f aca="false">INDEX(Summary!$S$2:$S$201,MATCH($B717,Summary!$A$2:$A$201,0))</f>
        <v>Bronze</v>
      </c>
      <c r="X717" s="2" t="n">
        <f aca="false">INDEX(Summary!$T$2:$T$201,MATCH($B717,Summary!$A$2:$A$201,0))</f>
        <v>36.07</v>
      </c>
      <c r="Y717" s="0" t="str">
        <f aca="false">INDEX('Reward Model'!$E$18:$E$37,MATCH($E717,'Reward Model'!$A$18:$A$37,0))</f>
        <v>High</v>
      </c>
      <c r="Z717" s="4" t="n">
        <f aca="false">ROUND(MIN(1,MAX('Reward Model'!$B$2,INDEX('Reward Model'!$C$12:$C$14,MATCH($K717,'Reward Model'!$A$12:$A$14,0))/$J717)),3)</f>
        <v>1</v>
      </c>
      <c r="AA717" s="2" t="n">
        <f aca="false">IF($I717="Correct",ROUND(INDEX('Reward Model'!$B$12:$B$14,MATCH($K717,'Reward Model'!$A$12:$A$14,0))*Z717,2),0)</f>
        <v>3</v>
      </c>
      <c r="AB717" s="2" t="n">
        <f aca="false">IF($I717="Correct",ROUND(INDEX('Reward Model'!$B$12:$B$14,MATCH($Y717,'Reward Model'!$A$12:$A$14,0))*Z717,2),0)</f>
        <v>3</v>
      </c>
    </row>
    <row r="718" customFormat="false" ht="15" hidden="false" customHeight="false" outlineLevel="0" collapsed="false">
      <c r="A718" s="0" t="s">
        <v>199</v>
      </c>
      <c r="B718" s="0" t="s">
        <v>200</v>
      </c>
      <c r="C718" s="0" t="s">
        <v>30</v>
      </c>
      <c r="D718" s="0" t="s">
        <v>189</v>
      </c>
      <c r="E718" s="0" t="n">
        <v>17</v>
      </c>
      <c r="F718" s="0" t="s">
        <v>74</v>
      </c>
      <c r="G718" s="0" t="s">
        <v>105</v>
      </c>
      <c r="H718" s="0" t="s">
        <v>75</v>
      </c>
      <c r="I718" s="0" t="s">
        <v>39</v>
      </c>
      <c r="J718" s="0" t="n">
        <v>1.7</v>
      </c>
      <c r="K718" s="0" t="s">
        <v>73</v>
      </c>
      <c r="L718" s="0" t="n">
        <f aca="false">INDEX(Summary!$F$2:$F$201,MATCH($B718,Summary!$A$2:$A$201,0))</f>
        <v>20</v>
      </c>
      <c r="M718" s="0" t="n">
        <f aca="false">INDEX(Summary!$I$2:$I$201,MATCH($B718,Summary!$A$2:$A$201,0))</f>
        <v>1</v>
      </c>
      <c r="N718" s="0" t="n">
        <f aca="false">INDEX(Summary!$J$2:$J$201,MATCH($B718,Summary!$A$2:$A$201,0))</f>
        <v>4</v>
      </c>
      <c r="O718" s="2" t="n">
        <f aca="false">INDEX(Summary!$K$2:$K$201,MATCH($B718,Summary!$A$2:$A$201,0))</f>
        <v>9.04</v>
      </c>
      <c r="P718" s="3" t="n">
        <f aca="false">INDEX(Summary!$L$2:$L$201,MATCH($B718,Summary!$A$2:$A$201,0))</f>
        <v>2</v>
      </c>
      <c r="Q718" s="3" t="n">
        <f aca="false">INDEX(Summary!$M$2:$M$201,MATCH($B718,Summary!$A$2:$A$201,0))</f>
        <v>4</v>
      </c>
      <c r="R718" s="2" t="n">
        <f aca="false">INDEX(Summary!$N$2:$N$201,MATCH($B718,Summary!$A$2:$A$201,0))</f>
        <v>11.05</v>
      </c>
      <c r="S718" s="3" t="n">
        <f aca="false">INDEX(Summary!$O$2:$O$201,MATCH($B718,Summary!$A$2:$A$201,0))</f>
        <v>6</v>
      </c>
      <c r="T718" s="3" t="n">
        <f aca="false">INDEX(Summary!$P$2:$P$201,MATCH($B718,Summary!$A$2:$A$201,0))</f>
        <v>3</v>
      </c>
      <c r="U718" s="2" t="n">
        <f aca="false">INDEX(Summary!$Q$2:$Q$201,MATCH($B718,Summary!$A$2:$A$201,0))</f>
        <v>12.36</v>
      </c>
      <c r="V718" s="2" t="n">
        <f aca="false">INDEX(Summary!$R$2:$R$201,MATCH($B718,Summary!$A$2:$A$201,0))</f>
        <v>14.79</v>
      </c>
      <c r="W718" s="0" t="str">
        <f aca="false">INDEX(Summary!$S$2:$S$201,MATCH($B718,Summary!$A$2:$A$201,0))</f>
        <v>Bronze</v>
      </c>
      <c r="X718" s="2" t="n">
        <f aca="false">INDEX(Summary!$T$2:$T$201,MATCH($B718,Summary!$A$2:$A$201,0))</f>
        <v>36.07</v>
      </c>
      <c r="Y718" s="0" t="str">
        <f aca="false">INDEX('Reward Model'!$E$18:$E$37,MATCH($E718,'Reward Model'!$A$18:$A$37,0))</f>
        <v>High</v>
      </c>
      <c r="Z718" s="4" t="n">
        <f aca="false">ROUND(MIN(1,MAX('Reward Model'!$B$2,INDEX('Reward Model'!$C$12:$C$14,MATCH($K718,'Reward Model'!$A$12:$A$14,0))/$J718)),3)</f>
        <v>1</v>
      </c>
      <c r="AA718" s="2" t="n">
        <f aca="false">IF($I718="Correct",ROUND(INDEX('Reward Model'!$B$12:$B$14,MATCH($K718,'Reward Model'!$A$12:$A$14,0))*Z718,2),0)</f>
        <v>0</v>
      </c>
      <c r="AB718" s="2" t="n">
        <f aca="false">IF($I718="Correct",ROUND(INDEX('Reward Model'!$B$12:$B$14,MATCH($Y718,'Reward Model'!$A$12:$A$14,0))*Z718,2),0)</f>
        <v>0</v>
      </c>
    </row>
    <row r="719" customFormat="false" ht="15" hidden="false" customHeight="false" outlineLevel="0" collapsed="false">
      <c r="A719" s="0" t="s">
        <v>199</v>
      </c>
      <c r="B719" s="0" t="s">
        <v>200</v>
      </c>
      <c r="C719" s="0" t="s">
        <v>30</v>
      </c>
      <c r="D719" s="0" t="s">
        <v>189</v>
      </c>
      <c r="E719" s="0" t="n">
        <v>18</v>
      </c>
      <c r="F719" s="0" t="s">
        <v>76</v>
      </c>
      <c r="G719" s="0" t="s">
        <v>128</v>
      </c>
      <c r="H719" s="0" t="s">
        <v>77</v>
      </c>
      <c r="I719" s="0" t="s">
        <v>39</v>
      </c>
      <c r="J719" s="0" t="n">
        <v>2.22</v>
      </c>
      <c r="K719" s="0" t="s">
        <v>73</v>
      </c>
      <c r="L719" s="0" t="n">
        <f aca="false">INDEX(Summary!$F$2:$F$201,MATCH($B719,Summary!$A$2:$A$201,0))</f>
        <v>20</v>
      </c>
      <c r="M719" s="0" t="n">
        <f aca="false">INDEX(Summary!$I$2:$I$201,MATCH($B719,Summary!$A$2:$A$201,0))</f>
        <v>1</v>
      </c>
      <c r="N719" s="0" t="n">
        <f aca="false">INDEX(Summary!$J$2:$J$201,MATCH($B719,Summary!$A$2:$A$201,0))</f>
        <v>4</v>
      </c>
      <c r="O719" s="2" t="n">
        <f aca="false">INDEX(Summary!$K$2:$K$201,MATCH($B719,Summary!$A$2:$A$201,0))</f>
        <v>9.04</v>
      </c>
      <c r="P719" s="3" t="n">
        <f aca="false">INDEX(Summary!$L$2:$L$201,MATCH($B719,Summary!$A$2:$A$201,0))</f>
        <v>2</v>
      </c>
      <c r="Q719" s="3" t="n">
        <f aca="false">INDEX(Summary!$M$2:$M$201,MATCH($B719,Summary!$A$2:$A$201,0))</f>
        <v>4</v>
      </c>
      <c r="R719" s="2" t="n">
        <f aca="false">INDEX(Summary!$N$2:$N$201,MATCH($B719,Summary!$A$2:$A$201,0))</f>
        <v>11.05</v>
      </c>
      <c r="S719" s="3" t="n">
        <f aca="false">INDEX(Summary!$O$2:$O$201,MATCH($B719,Summary!$A$2:$A$201,0))</f>
        <v>6</v>
      </c>
      <c r="T719" s="3" t="n">
        <f aca="false">INDEX(Summary!$P$2:$P$201,MATCH($B719,Summary!$A$2:$A$201,0))</f>
        <v>3</v>
      </c>
      <c r="U719" s="2" t="n">
        <f aca="false">INDEX(Summary!$Q$2:$Q$201,MATCH($B719,Summary!$A$2:$A$201,0))</f>
        <v>12.36</v>
      </c>
      <c r="V719" s="2" t="n">
        <f aca="false">INDEX(Summary!$R$2:$R$201,MATCH($B719,Summary!$A$2:$A$201,0))</f>
        <v>14.79</v>
      </c>
      <c r="W719" s="0" t="str">
        <f aca="false">INDEX(Summary!$S$2:$S$201,MATCH($B719,Summary!$A$2:$A$201,0))</f>
        <v>Bronze</v>
      </c>
      <c r="X719" s="2" t="n">
        <f aca="false">INDEX(Summary!$T$2:$T$201,MATCH($B719,Summary!$A$2:$A$201,0))</f>
        <v>36.07</v>
      </c>
      <c r="Y719" s="0" t="str">
        <f aca="false">INDEX('Reward Model'!$E$18:$E$37,MATCH($E719,'Reward Model'!$A$18:$A$37,0))</f>
        <v>High</v>
      </c>
      <c r="Z719" s="4" t="n">
        <f aca="false">ROUND(MIN(1,MAX('Reward Model'!$B$2,INDEX('Reward Model'!$C$12:$C$14,MATCH($K719,'Reward Model'!$A$12:$A$14,0))/$J719)),3)</f>
        <v>0.901</v>
      </c>
      <c r="AA719" s="2" t="n">
        <f aca="false">IF($I719="Correct",ROUND(INDEX('Reward Model'!$B$12:$B$14,MATCH($K719,'Reward Model'!$A$12:$A$14,0))*Z719,2),0)</f>
        <v>0</v>
      </c>
      <c r="AB719" s="2" t="n">
        <f aca="false">IF($I719="Correct",ROUND(INDEX('Reward Model'!$B$12:$B$14,MATCH($Y719,'Reward Model'!$A$12:$A$14,0))*Z719,2),0)</f>
        <v>0</v>
      </c>
    </row>
    <row r="720" customFormat="false" ht="15" hidden="false" customHeight="false" outlineLevel="0" collapsed="false">
      <c r="A720" s="0" t="s">
        <v>199</v>
      </c>
      <c r="B720" s="0" t="s">
        <v>200</v>
      </c>
      <c r="C720" s="0" t="s">
        <v>30</v>
      </c>
      <c r="D720" s="0" t="s">
        <v>189</v>
      </c>
      <c r="E720" s="0" t="n">
        <v>19</v>
      </c>
      <c r="F720" s="0" t="s">
        <v>78</v>
      </c>
      <c r="G720" s="0" t="s">
        <v>79</v>
      </c>
      <c r="H720" s="0" t="s">
        <v>80</v>
      </c>
      <c r="I720" s="0" t="s">
        <v>39</v>
      </c>
      <c r="J720" s="0" t="n">
        <v>1.28</v>
      </c>
      <c r="K720" s="0" t="s">
        <v>73</v>
      </c>
      <c r="L720" s="0" t="n">
        <f aca="false">INDEX(Summary!$F$2:$F$201,MATCH($B720,Summary!$A$2:$A$201,0))</f>
        <v>20</v>
      </c>
      <c r="M720" s="0" t="n">
        <f aca="false">INDEX(Summary!$I$2:$I$201,MATCH($B720,Summary!$A$2:$A$201,0))</f>
        <v>1</v>
      </c>
      <c r="N720" s="0" t="n">
        <f aca="false">INDEX(Summary!$J$2:$J$201,MATCH($B720,Summary!$A$2:$A$201,0))</f>
        <v>4</v>
      </c>
      <c r="O720" s="2" t="n">
        <f aca="false">INDEX(Summary!$K$2:$K$201,MATCH($B720,Summary!$A$2:$A$201,0))</f>
        <v>9.04</v>
      </c>
      <c r="P720" s="3" t="n">
        <f aca="false">INDEX(Summary!$L$2:$L$201,MATCH($B720,Summary!$A$2:$A$201,0))</f>
        <v>2</v>
      </c>
      <c r="Q720" s="3" t="n">
        <f aca="false">INDEX(Summary!$M$2:$M$201,MATCH($B720,Summary!$A$2:$A$201,0))</f>
        <v>4</v>
      </c>
      <c r="R720" s="2" t="n">
        <f aca="false">INDEX(Summary!$N$2:$N$201,MATCH($B720,Summary!$A$2:$A$201,0))</f>
        <v>11.05</v>
      </c>
      <c r="S720" s="3" t="n">
        <f aca="false">INDEX(Summary!$O$2:$O$201,MATCH($B720,Summary!$A$2:$A$201,0))</f>
        <v>6</v>
      </c>
      <c r="T720" s="3" t="n">
        <f aca="false">INDEX(Summary!$P$2:$P$201,MATCH($B720,Summary!$A$2:$A$201,0))</f>
        <v>3</v>
      </c>
      <c r="U720" s="2" t="n">
        <f aca="false">INDEX(Summary!$Q$2:$Q$201,MATCH($B720,Summary!$A$2:$A$201,0))</f>
        <v>12.36</v>
      </c>
      <c r="V720" s="2" t="n">
        <f aca="false">INDEX(Summary!$R$2:$R$201,MATCH($B720,Summary!$A$2:$A$201,0))</f>
        <v>14.79</v>
      </c>
      <c r="W720" s="0" t="str">
        <f aca="false">INDEX(Summary!$S$2:$S$201,MATCH($B720,Summary!$A$2:$A$201,0))</f>
        <v>Bronze</v>
      </c>
      <c r="X720" s="2" t="n">
        <f aca="false">INDEX(Summary!$T$2:$T$201,MATCH($B720,Summary!$A$2:$A$201,0))</f>
        <v>36.07</v>
      </c>
      <c r="Y720" s="0" t="str">
        <f aca="false">INDEX('Reward Model'!$E$18:$E$37,MATCH($E720,'Reward Model'!$A$18:$A$37,0))</f>
        <v>High</v>
      </c>
      <c r="Z720" s="4" t="n">
        <f aca="false">ROUND(MIN(1,MAX('Reward Model'!$B$2,INDEX('Reward Model'!$C$12:$C$14,MATCH($K720,'Reward Model'!$A$12:$A$14,0))/$J720)),3)</f>
        <v>1</v>
      </c>
      <c r="AA720" s="2" t="n">
        <f aca="false">IF($I720="Correct",ROUND(INDEX('Reward Model'!$B$12:$B$14,MATCH($K720,'Reward Model'!$A$12:$A$14,0))*Z720,2),0)</f>
        <v>0</v>
      </c>
      <c r="AB720" s="2" t="n">
        <f aca="false">IF($I720="Correct",ROUND(INDEX('Reward Model'!$B$12:$B$14,MATCH($Y720,'Reward Model'!$A$12:$A$14,0))*Z720,2),0)</f>
        <v>0</v>
      </c>
    </row>
    <row r="721" customFormat="false" ht="15" hidden="false" customHeight="false" outlineLevel="0" collapsed="false">
      <c r="A721" s="0" t="s">
        <v>199</v>
      </c>
      <c r="B721" s="0" t="s">
        <v>200</v>
      </c>
      <c r="C721" s="0" t="s">
        <v>30</v>
      </c>
      <c r="D721" s="0" t="s">
        <v>189</v>
      </c>
      <c r="E721" s="0" t="n">
        <v>20</v>
      </c>
      <c r="F721" s="0" t="s">
        <v>81</v>
      </c>
      <c r="G721" s="0" t="s">
        <v>166</v>
      </c>
      <c r="H721" s="0" t="s">
        <v>83</v>
      </c>
      <c r="I721" s="0" t="s">
        <v>39</v>
      </c>
      <c r="J721" s="0" t="n">
        <v>1.93</v>
      </c>
      <c r="K721" s="0" t="s">
        <v>73</v>
      </c>
      <c r="L721" s="0" t="n">
        <f aca="false">INDEX(Summary!$F$2:$F$201,MATCH($B721,Summary!$A$2:$A$201,0))</f>
        <v>20</v>
      </c>
      <c r="M721" s="0" t="n">
        <f aca="false">INDEX(Summary!$I$2:$I$201,MATCH($B721,Summary!$A$2:$A$201,0))</f>
        <v>1</v>
      </c>
      <c r="N721" s="0" t="n">
        <f aca="false">INDEX(Summary!$J$2:$J$201,MATCH($B721,Summary!$A$2:$A$201,0))</f>
        <v>4</v>
      </c>
      <c r="O721" s="2" t="n">
        <f aca="false">INDEX(Summary!$K$2:$K$201,MATCH($B721,Summary!$A$2:$A$201,0))</f>
        <v>9.04</v>
      </c>
      <c r="P721" s="3" t="n">
        <f aca="false">INDEX(Summary!$L$2:$L$201,MATCH($B721,Summary!$A$2:$A$201,0))</f>
        <v>2</v>
      </c>
      <c r="Q721" s="3" t="n">
        <f aca="false">INDEX(Summary!$M$2:$M$201,MATCH($B721,Summary!$A$2:$A$201,0))</f>
        <v>4</v>
      </c>
      <c r="R721" s="2" t="n">
        <f aca="false">INDEX(Summary!$N$2:$N$201,MATCH($B721,Summary!$A$2:$A$201,0))</f>
        <v>11.05</v>
      </c>
      <c r="S721" s="3" t="n">
        <f aca="false">INDEX(Summary!$O$2:$O$201,MATCH($B721,Summary!$A$2:$A$201,0))</f>
        <v>6</v>
      </c>
      <c r="T721" s="3" t="n">
        <f aca="false">INDEX(Summary!$P$2:$P$201,MATCH($B721,Summary!$A$2:$A$201,0))</f>
        <v>3</v>
      </c>
      <c r="U721" s="2" t="n">
        <f aca="false">INDEX(Summary!$Q$2:$Q$201,MATCH($B721,Summary!$A$2:$A$201,0))</f>
        <v>12.36</v>
      </c>
      <c r="V721" s="2" t="n">
        <f aca="false">INDEX(Summary!$R$2:$R$201,MATCH($B721,Summary!$A$2:$A$201,0))</f>
        <v>14.79</v>
      </c>
      <c r="W721" s="0" t="str">
        <f aca="false">INDEX(Summary!$S$2:$S$201,MATCH($B721,Summary!$A$2:$A$201,0))</f>
        <v>Bronze</v>
      </c>
      <c r="X721" s="2" t="n">
        <f aca="false">INDEX(Summary!$T$2:$T$201,MATCH($B721,Summary!$A$2:$A$201,0))</f>
        <v>36.07</v>
      </c>
      <c r="Y721" s="0" t="str">
        <f aca="false">INDEX('Reward Model'!$E$18:$E$37,MATCH($E721,'Reward Model'!$A$18:$A$37,0))</f>
        <v>High</v>
      </c>
      <c r="Z721" s="4" t="n">
        <f aca="false">ROUND(MIN(1,MAX('Reward Model'!$B$2,INDEX('Reward Model'!$C$12:$C$14,MATCH($K721,'Reward Model'!$A$12:$A$14,0))/$J721)),3)</f>
        <v>1</v>
      </c>
      <c r="AA721" s="2" t="n">
        <f aca="false">IF($I721="Correct",ROUND(INDEX('Reward Model'!$B$12:$B$14,MATCH($K721,'Reward Model'!$A$12:$A$14,0))*Z721,2),0)</f>
        <v>0</v>
      </c>
      <c r="AB721" s="2" t="n">
        <f aca="false">IF($I721="Correct",ROUND(INDEX('Reward Model'!$B$12:$B$14,MATCH($Y721,'Reward Model'!$A$12:$A$14,0))*Z721,2),0)</f>
        <v>0</v>
      </c>
    </row>
    <row r="722" customFormat="false" ht="15" hidden="false" customHeight="false" outlineLevel="0" collapsed="false">
      <c r="A722" s="0" t="s">
        <v>201</v>
      </c>
      <c r="B722" s="0" t="s">
        <v>202</v>
      </c>
      <c r="C722" s="0" t="s">
        <v>30</v>
      </c>
      <c r="D722" s="0" t="s">
        <v>189</v>
      </c>
      <c r="E722" s="0" t="n">
        <v>1</v>
      </c>
      <c r="F722" s="0" t="s">
        <v>32</v>
      </c>
      <c r="G722" s="0" t="s">
        <v>33</v>
      </c>
      <c r="H722" s="0" t="s">
        <v>33</v>
      </c>
      <c r="I722" s="0" t="s">
        <v>34</v>
      </c>
      <c r="J722" s="0" t="n">
        <v>1.08</v>
      </c>
      <c r="K722" s="0" t="s">
        <v>35</v>
      </c>
      <c r="L722" s="0" t="n">
        <f aca="false">INDEX(Summary!$F$2:$F$201,MATCH($B722,Summary!$A$2:$A$201,0))</f>
        <v>20</v>
      </c>
      <c r="M722" s="0" t="n">
        <f aca="false">INDEX(Summary!$I$2:$I$201,MATCH($B722,Summary!$A$2:$A$201,0))</f>
        <v>1</v>
      </c>
      <c r="N722" s="0" t="n">
        <f aca="false">INDEX(Summary!$J$2:$J$201,MATCH($B722,Summary!$A$2:$A$201,0))</f>
        <v>4</v>
      </c>
      <c r="O722" s="2" t="n">
        <f aca="false">INDEX(Summary!$K$2:$K$201,MATCH($B722,Summary!$A$2:$A$201,0))</f>
        <v>9.03</v>
      </c>
      <c r="P722" s="3" t="n">
        <f aca="false">INDEX(Summary!$L$2:$L$201,MATCH($B722,Summary!$A$2:$A$201,0))</f>
        <v>3</v>
      </c>
      <c r="Q722" s="3" t="n">
        <f aca="false">INDEX(Summary!$M$2:$M$201,MATCH($B722,Summary!$A$2:$A$201,0))</f>
        <v>3</v>
      </c>
      <c r="R722" s="2" t="n">
        <f aca="false">INDEX(Summary!$N$2:$N$201,MATCH($B722,Summary!$A$2:$A$201,0))</f>
        <v>9.93</v>
      </c>
      <c r="S722" s="3" t="n">
        <f aca="false">INDEX(Summary!$O$2:$O$201,MATCH($B722,Summary!$A$2:$A$201,0))</f>
        <v>8</v>
      </c>
      <c r="T722" s="3" t="n">
        <f aca="false">INDEX(Summary!$P$2:$P$201,MATCH($B722,Summary!$A$2:$A$201,0))</f>
        <v>1</v>
      </c>
      <c r="U722" s="2" t="n">
        <f aca="false">INDEX(Summary!$Q$2:$Q$201,MATCH($B722,Summary!$A$2:$A$201,0))</f>
        <v>13.23</v>
      </c>
      <c r="V722" s="2" t="n">
        <f aca="false">INDEX(Summary!$R$2:$R$201,MATCH($B722,Summary!$A$2:$A$201,0))</f>
        <v>20.03</v>
      </c>
      <c r="W722" s="0" t="str">
        <f aca="false">INDEX(Summary!$S$2:$S$201,MATCH($B722,Summary!$A$2:$A$201,0))</f>
        <v>Bronze</v>
      </c>
      <c r="X722" s="2" t="n">
        <f aca="false">INDEX(Summary!$T$2:$T$201,MATCH($B722,Summary!$A$2:$A$201,0))</f>
        <v>48.85</v>
      </c>
      <c r="Y722" s="0" t="str">
        <f aca="false">INDEX('Reward Model'!$E$18:$E$37,MATCH($E722,'Reward Model'!$A$18:$A$37,0))</f>
        <v>Medium</v>
      </c>
      <c r="Z722" s="4" t="n">
        <f aca="false">ROUND(MIN(1,MAX('Reward Model'!$B$2,INDEX('Reward Model'!$C$12:$C$14,MATCH($K722,'Reward Model'!$A$12:$A$14,0))/$J722)),3)</f>
        <v>1</v>
      </c>
      <c r="AA722" s="2" t="n">
        <f aca="false">IF($I722="Correct",ROUND(INDEX('Reward Model'!$B$12:$B$14,MATCH($K722,'Reward Model'!$A$12:$A$14,0))*Z722,2),0)</f>
        <v>1</v>
      </c>
      <c r="AB722" s="2" t="n">
        <f aca="false">IF($I722="Correct",ROUND(INDEX('Reward Model'!$B$12:$B$14,MATCH($Y722,'Reward Model'!$A$12:$A$14,0))*Z722,2),0)</f>
        <v>2</v>
      </c>
    </row>
    <row r="723" customFormat="false" ht="15" hidden="false" customHeight="false" outlineLevel="0" collapsed="false">
      <c r="A723" s="0" t="s">
        <v>201</v>
      </c>
      <c r="B723" s="0" t="s">
        <v>202</v>
      </c>
      <c r="C723" s="0" t="s">
        <v>30</v>
      </c>
      <c r="D723" s="0" t="s">
        <v>189</v>
      </c>
      <c r="E723" s="0" t="n">
        <v>2</v>
      </c>
      <c r="F723" s="0" t="s">
        <v>36</v>
      </c>
      <c r="G723" s="0" t="s">
        <v>38</v>
      </c>
      <c r="H723" s="0" t="s">
        <v>38</v>
      </c>
      <c r="I723" s="0" t="s">
        <v>34</v>
      </c>
      <c r="J723" s="0" t="n">
        <v>0.91</v>
      </c>
      <c r="K723" s="0" t="s">
        <v>35</v>
      </c>
      <c r="L723" s="0" t="n">
        <f aca="false">INDEX(Summary!$F$2:$F$201,MATCH($B723,Summary!$A$2:$A$201,0))</f>
        <v>20</v>
      </c>
      <c r="M723" s="0" t="n">
        <f aca="false">INDEX(Summary!$I$2:$I$201,MATCH($B723,Summary!$A$2:$A$201,0))</f>
        <v>1</v>
      </c>
      <c r="N723" s="0" t="n">
        <f aca="false">INDEX(Summary!$J$2:$J$201,MATCH($B723,Summary!$A$2:$A$201,0))</f>
        <v>4</v>
      </c>
      <c r="O723" s="2" t="n">
        <f aca="false">INDEX(Summary!$K$2:$K$201,MATCH($B723,Summary!$A$2:$A$201,0))</f>
        <v>9.03</v>
      </c>
      <c r="P723" s="3" t="n">
        <f aca="false">INDEX(Summary!$L$2:$L$201,MATCH($B723,Summary!$A$2:$A$201,0))</f>
        <v>3</v>
      </c>
      <c r="Q723" s="3" t="n">
        <f aca="false">INDEX(Summary!$M$2:$M$201,MATCH($B723,Summary!$A$2:$A$201,0))</f>
        <v>3</v>
      </c>
      <c r="R723" s="2" t="n">
        <f aca="false">INDEX(Summary!$N$2:$N$201,MATCH($B723,Summary!$A$2:$A$201,0))</f>
        <v>9.93</v>
      </c>
      <c r="S723" s="3" t="n">
        <f aca="false">INDEX(Summary!$O$2:$O$201,MATCH($B723,Summary!$A$2:$A$201,0))</f>
        <v>8</v>
      </c>
      <c r="T723" s="3" t="n">
        <f aca="false">INDEX(Summary!$P$2:$P$201,MATCH($B723,Summary!$A$2:$A$201,0))</f>
        <v>1</v>
      </c>
      <c r="U723" s="2" t="n">
        <f aca="false">INDEX(Summary!$Q$2:$Q$201,MATCH($B723,Summary!$A$2:$A$201,0))</f>
        <v>13.23</v>
      </c>
      <c r="V723" s="2" t="n">
        <f aca="false">INDEX(Summary!$R$2:$R$201,MATCH($B723,Summary!$A$2:$A$201,0))</f>
        <v>20.03</v>
      </c>
      <c r="W723" s="0" t="str">
        <f aca="false">INDEX(Summary!$S$2:$S$201,MATCH($B723,Summary!$A$2:$A$201,0))</f>
        <v>Bronze</v>
      </c>
      <c r="X723" s="2" t="n">
        <f aca="false">INDEX(Summary!$T$2:$T$201,MATCH($B723,Summary!$A$2:$A$201,0))</f>
        <v>48.85</v>
      </c>
      <c r="Y723" s="0" t="str">
        <f aca="false">INDEX('Reward Model'!$E$18:$E$37,MATCH($E723,'Reward Model'!$A$18:$A$37,0))</f>
        <v>Low</v>
      </c>
      <c r="Z723" s="4" t="n">
        <f aca="false">ROUND(MIN(1,MAX('Reward Model'!$B$2,INDEX('Reward Model'!$C$12:$C$14,MATCH($K723,'Reward Model'!$A$12:$A$14,0))/$J723)),3)</f>
        <v>1</v>
      </c>
      <c r="AA723" s="2" t="n">
        <f aca="false">IF($I723="Correct",ROUND(INDEX('Reward Model'!$B$12:$B$14,MATCH($K723,'Reward Model'!$A$12:$A$14,0))*Z723,2),0)</f>
        <v>1</v>
      </c>
      <c r="AB723" s="2" t="n">
        <f aca="false">IF($I723="Correct",ROUND(INDEX('Reward Model'!$B$12:$B$14,MATCH($Y723,'Reward Model'!$A$12:$A$14,0))*Z723,2),0)</f>
        <v>1</v>
      </c>
    </row>
    <row r="724" customFormat="false" ht="15" hidden="false" customHeight="false" outlineLevel="0" collapsed="false">
      <c r="A724" s="0" t="s">
        <v>201</v>
      </c>
      <c r="B724" s="0" t="s">
        <v>202</v>
      </c>
      <c r="C724" s="0" t="s">
        <v>30</v>
      </c>
      <c r="D724" s="0" t="s">
        <v>189</v>
      </c>
      <c r="E724" s="0" t="n">
        <v>3</v>
      </c>
      <c r="F724" s="0" t="s">
        <v>40</v>
      </c>
      <c r="G724" s="0" t="s">
        <v>42</v>
      </c>
      <c r="H724" s="0" t="s">
        <v>42</v>
      </c>
      <c r="I724" s="0" t="s">
        <v>34</v>
      </c>
      <c r="J724" s="0" t="n">
        <v>1.44</v>
      </c>
      <c r="K724" s="0" t="s">
        <v>35</v>
      </c>
      <c r="L724" s="0" t="n">
        <f aca="false">INDEX(Summary!$F$2:$F$201,MATCH($B724,Summary!$A$2:$A$201,0))</f>
        <v>20</v>
      </c>
      <c r="M724" s="0" t="n">
        <f aca="false">INDEX(Summary!$I$2:$I$201,MATCH($B724,Summary!$A$2:$A$201,0))</f>
        <v>1</v>
      </c>
      <c r="N724" s="0" t="n">
        <f aca="false">INDEX(Summary!$J$2:$J$201,MATCH($B724,Summary!$A$2:$A$201,0))</f>
        <v>4</v>
      </c>
      <c r="O724" s="2" t="n">
        <f aca="false">INDEX(Summary!$K$2:$K$201,MATCH($B724,Summary!$A$2:$A$201,0))</f>
        <v>9.03</v>
      </c>
      <c r="P724" s="3" t="n">
        <f aca="false">INDEX(Summary!$L$2:$L$201,MATCH($B724,Summary!$A$2:$A$201,0))</f>
        <v>3</v>
      </c>
      <c r="Q724" s="3" t="n">
        <f aca="false">INDEX(Summary!$M$2:$M$201,MATCH($B724,Summary!$A$2:$A$201,0))</f>
        <v>3</v>
      </c>
      <c r="R724" s="2" t="n">
        <f aca="false">INDEX(Summary!$N$2:$N$201,MATCH($B724,Summary!$A$2:$A$201,0))</f>
        <v>9.93</v>
      </c>
      <c r="S724" s="3" t="n">
        <f aca="false">INDEX(Summary!$O$2:$O$201,MATCH($B724,Summary!$A$2:$A$201,0))</f>
        <v>8</v>
      </c>
      <c r="T724" s="3" t="n">
        <f aca="false">INDEX(Summary!$P$2:$P$201,MATCH($B724,Summary!$A$2:$A$201,0))</f>
        <v>1</v>
      </c>
      <c r="U724" s="2" t="n">
        <f aca="false">INDEX(Summary!$Q$2:$Q$201,MATCH($B724,Summary!$A$2:$A$201,0))</f>
        <v>13.23</v>
      </c>
      <c r="V724" s="2" t="n">
        <f aca="false">INDEX(Summary!$R$2:$R$201,MATCH($B724,Summary!$A$2:$A$201,0))</f>
        <v>20.03</v>
      </c>
      <c r="W724" s="0" t="str">
        <f aca="false">INDEX(Summary!$S$2:$S$201,MATCH($B724,Summary!$A$2:$A$201,0))</f>
        <v>Bronze</v>
      </c>
      <c r="X724" s="2" t="n">
        <f aca="false">INDEX(Summary!$T$2:$T$201,MATCH($B724,Summary!$A$2:$A$201,0))</f>
        <v>48.85</v>
      </c>
      <c r="Y724" s="0" t="str">
        <f aca="false">INDEX('Reward Model'!$E$18:$E$37,MATCH($E724,'Reward Model'!$A$18:$A$37,0))</f>
        <v>Medium</v>
      </c>
      <c r="Z724" s="4" t="n">
        <f aca="false">ROUND(MIN(1,MAX('Reward Model'!$B$2,INDEX('Reward Model'!$C$12:$C$14,MATCH($K724,'Reward Model'!$A$12:$A$14,0))/$J724)),3)</f>
        <v>1</v>
      </c>
      <c r="AA724" s="2" t="n">
        <f aca="false">IF($I724="Correct",ROUND(INDEX('Reward Model'!$B$12:$B$14,MATCH($K724,'Reward Model'!$A$12:$A$14,0))*Z724,2),0)</f>
        <v>1</v>
      </c>
      <c r="AB724" s="2" t="n">
        <f aca="false">IF($I724="Correct",ROUND(INDEX('Reward Model'!$B$12:$B$14,MATCH($Y724,'Reward Model'!$A$12:$A$14,0))*Z724,2),0)</f>
        <v>2</v>
      </c>
    </row>
    <row r="725" customFormat="false" ht="15" hidden="false" customHeight="false" outlineLevel="0" collapsed="false">
      <c r="A725" s="0" t="s">
        <v>201</v>
      </c>
      <c r="B725" s="0" t="s">
        <v>202</v>
      </c>
      <c r="C725" s="0" t="s">
        <v>30</v>
      </c>
      <c r="D725" s="0" t="s">
        <v>189</v>
      </c>
      <c r="E725" s="0" t="n">
        <v>4</v>
      </c>
      <c r="F725" s="0" t="s">
        <v>43</v>
      </c>
      <c r="G725" s="0" t="s">
        <v>45</v>
      </c>
      <c r="H725" s="0" t="s">
        <v>45</v>
      </c>
      <c r="I725" s="0" t="s">
        <v>34</v>
      </c>
      <c r="J725" s="0" t="n">
        <v>1.94</v>
      </c>
      <c r="K725" s="0" t="s">
        <v>35</v>
      </c>
      <c r="L725" s="0" t="n">
        <f aca="false">INDEX(Summary!$F$2:$F$201,MATCH($B725,Summary!$A$2:$A$201,0))</f>
        <v>20</v>
      </c>
      <c r="M725" s="0" t="n">
        <f aca="false">INDEX(Summary!$I$2:$I$201,MATCH($B725,Summary!$A$2:$A$201,0))</f>
        <v>1</v>
      </c>
      <c r="N725" s="0" t="n">
        <f aca="false">INDEX(Summary!$J$2:$J$201,MATCH($B725,Summary!$A$2:$A$201,0))</f>
        <v>4</v>
      </c>
      <c r="O725" s="2" t="n">
        <f aca="false">INDEX(Summary!$K$2:$K$201,MATCH($B725,Summary!$A$2:$A$201,0))</f>
        <v>9.03</v>
      </c>
      <c r="P725" s="3" t="n">
        <f aca="false">INDEX(Summary!$L$2:$L$201,MATCH($B725,Summary!$A$2:$A$201,0))</f>
        <v>3</v>
      </c>
      <c r="Q725" s="3" t="n">
        <f aca="false">INDEX(Summary!$M$2:$M$201,MATCH($B725,Summary!$A$2:$A$201,0))</f>
        <v>3</v>
      </c>
      <c r="R725" s="2" t="n">
        <f aca="false">INDEX(Summary!$N$2:$N$201,MATCH($B725,Summary!$A$2:$A$201,0))</f>
        <v>9.93</v>
      </c>
      <c r="S725" s="3" t="n">
        <f aca="false">INDEX(Summary!$O$2:$O$201,MATCH($B725,Summary!$A$2:$A$201,0))</f>
        <v>8</v>
      </c>
      <c r="T725" s="3" t="n">
        <f aca="false">INDEX(Summary!$P$2:$P$201,MATCH($B725,Summary!$A$2:$A$201,0))</f>
        <v>1</v>
      </c>
      <c r="U725" s="2" t="n">
        <f aca="false">INDEX(Summary!$Q$2:$Q$201,MATCH($B725,Summary!$A$2:$A$201,0))</f>
        <v>13.23</v>
      </c>
      <c r="V725" s="2" t="n">
        <f aca="false">INDEX(Summary!$R$2:$R$201,MATCH($B725,Summary!$A$2:$A$201,0))</f>
        <v>20.03</v>
      </c>
      <c r="W725" s="0" t="str">
        <f aca="false">INDEX(Summary!$S$2:$S$201,MATCH($B725,Summary!$A$2:$A$201,0))</f>
        <v>Bronze</v>
      </c>
      <c r="X725" s="2" t="n">
        <f aca="false">INDEX(Summary!$T$2:$T$201,MATCH($B725,Summary!$A$2:$A$201,0))</f>
        <v>48.85</v>
      </c>
      <c r="Y725" s="0" t="str">
        <f aca="false">INDEX('Reward Model'!$E$18:$E$37,MATCH($E725,'Reward Model'!$A$18:$A$37,0))</f>
        <v>Low</v>
      </c>
      <c r="Z725" s="4" t="n">
        <f aca="false">ROUND(MIN(1,MAX('Reward Model'!$B$2,INDEX('Reward Model'!$C$12:$C$14,MATCH($K725,'Reward Model'!$A$12:$A$14,0))/$J725)),3)</f>
        <v>0.773</v>
      </c>
      <c r="AA725" s="2" t="n">
        <f aca="false">IF($I725="Correct",ROUND(INDEX('Reward Model'!$B$12:$B$14,MATCH($K725,'Reward Model'!$A$12:$A$14,0))*Z725,2),0)</f>
        <v>0.77</v>
      </c>
      <c r="AB725" s="2" t="n">
        <f aca="false">IF($I725="Correct",ROUND(INDEX('Reward Model'!$B$12:$B$14,MATCH($Y725,'Reward Model'!$A$12:$A$14,0))*Z725,2),0)</f>
        <v>0.77</v>
      </c>
    </row>
    <row r="726" customFormat="false" ht="15" hidden="false" customHeight="false" outlineLevel="0" collapsed="false">
      <c r="A726" s="0" t="s">
        <v>201</v>
      </c>
      <c r="B726" s="0" t="s">
        <v>202</v>
      </c>
      <c r="C726" s="0" t="s">
        <v>30</v>
      </c>
      <c r="D726" s="0" t="s">
        <v>189</v>
      </c>
      <c r="E726" s="0" t="n">
        <v>5</v>
      </c>
      <c r="F726" s="0" t="s">
        <v>46</v>
      </c>
      <c r="G726" s="0" t="s">
        <v>47</v>
      </c>
      <c r="H726" s="0" t="s">
        <v>47</v>
      </c>
      <c r="I726" s="0" t="s">
        <v>34</v>
      </c>
      <c r="J726" s="0" t="n">
        <v>1.59</v>
      </c>
      <c r="K726" s="0" t="s">
        <v>35</v>
      </c>
      <c r="L726" s="0" t="n">
        <f aca="false">INDEX(Summary!$F$2:$F$201,MATCH($B726,Summary!$A$2:$A$201,0))</f>
        <v>20</v>
      </c>
      <c r="M726" s="0" t="n">
        <f aca="false">INDEX(Summary!$I$2:$I$201,MATCH($B726,Summary!$A$2:$A$201,0))</f>
        <v>1</v>
      </c>
      <c r="N726" s="0" t="n">
        <f aca="false">INDEX(Summary!$J$2:$J$201,MATCH($B726,Summary!$A$2:$A$201,0))</f>
        <v>4</v>
      </c>
      <c r="O726" s="2" t="n">
        <f aca="false">INDEX(Summary!$K$2:$K$201,MATCH($B726,Summary!$A$2:$A$201,0))</f>
        <v>9.03</v>
      </c>
      <c r="P726" s="3" t="n">
        <f aca="false">INDEX(Summary!$L$2:$L$201,MATCH($B726,Summary!$A$2:$A$201,0))</f>
        <v>3</v>
      </c>
      <c r="Q726" s="3" t="n">
        <f aca="false">INDEX(Summary!$M$2:$M$201,MATCH($B726,Summary!$A$2:$A$201,0))</f>
        <v>3</v>
      </c>
      <c r="R726" s="2" t="n">
        <f aca="false">INDEX(Summary!$N$2:$N$201,MATCH($B726,Summary!$A$2:$A$201,0))</f>
        <v>9.93</v>
      </c>
      <c r="S726" s="3" t="n">
        <f aca="false">INDEX(Summary!$O$2:$O$201,MATCH($B726,Summary!$A$2:$A$201,0))</f>
        <v>8</v>
      </c>
      <c r="T726" s="3" t="n">
        <f aca="false">INDEX(Summary!$P$2:$P$201,MATCH($B726,Summary!$A$2:$A$201,0))</f>
        <v>1</v>
      </c>
      <c r="U726" s="2" t="n">
        <f aca="false">INDEX(Summary!$Q$2:$Q$201,MATCH($B726,Summary!$A$2:$A$201,0))</f>
        <v>13.23</v>
      </c>
      <c r="V726" s="2" t="n">
        <f aca="false">INDEX(Summary!$R$2:$R$201,MATCH($B726,Summary!$A$2:$A$201,0))</f>
        <v>20.03</v>
      </c>
      <c r="W726" s="0" t="str">
        <f aca="false">INDEX(Summary!$S$2:$S$201,MATCH($B726,Summary!$A$2:$A$201,0))</f>
        <v>Bronze</v>
      </c>
      <c r="X726" s="2" t="n">
        <f aca="false">INDEX(Summary!$T$2:$T$201,MATCH($B726,Summary!$A$2:$A$201,0))</f>
        <v>48.85</v>
      </c>
      <c r="Y726" s="0" t="str">
        <f aca="false">INDEX('Reward Model'!$E$18:$E$37,MATCH($E726,'Reward Model'!$A$18:$A$37,0))</f>
        <v>Low</v>
      </c>
      <c r="Z726" s="4" t="n">
        <f aca="false">ROUND(MIN(1,MAX('Reward Model'!$B$2,INDEX('Reward Model'!$C$12:$C$14,MATCH($K726,'Reward Model'!$A$12:$A$14,0))/$J726)),3)</f>
        <v>0.943</v>
      </c>
      <c r="AA726" s="2" t="n">
        <f aca="false">IF($I726="Correct",ROUND(INDEX('Reward Model'!$B$12:$B$14,MATCH($K726,'Reward Model'!$A$12:$A$14,0))*Z726,2),0)</f>
        <v>0.94</v>
      </c>
      <c r="AB726" s="2" t="n">
        <f aca="false">IF($I726="Correct",ROUND(INDEX('Reward Model'!$B$12:$B$14,MATCH($Y726,'Reward Model'!$A$12:$A$14,0))*Z726,2),0)</f>
        <v>0.94</v>
      </c>
    </row>
    <row r="727" customFormat="false" ht="15" hidden="false" customHeight="false" outlineLevel="0" collapsed="false">
      <c r="A727" s="0" t="s">
        <v>201</v>
      </c>
      <c r="B727" s="0" t="s">
        <v>202</v>
      </c>
      <c r="C727" s="0" t="s">
        <v>30</v>
      </c>
      <c r="D727" s="0" t="s">
        <v>189</v>
      </c>
      <c r="E727" s="0" t="n">
        <v>6</v>
      </c>
      <c r="F727" s="0" t="s">
        <v>48</v>
      </c>
      <c r="G727" s="0" t="s">
        <v>49</v>
      </c>
      <c r="H727" s="0" t="s">
        <v>49</v>
      </c>
      <c r="I727" s="0" t="s">
        <v>34</v>
      </c>
      <c r="J727" s="0" t="n">
        <v>1.78</v>
      </c>
      <c r="K727" s="0" t="s">
        <v>35</v>
      </c>
      <c r="L727" s="0" t="n">
        <f aca="false">INDEX(Summary!$F$2:$F$201,MATCH($B727,Summary!$A$2:$A$201,0))</f>
        <v>20</v>
      </c>
      <c r="M727" s="0" t="n">
        <f aca="false">INDEX(Summary!$I$2:$I$201,MATCH($B727,Summary!$A$2:$A$201,0))</f>
        <v>1</v>
      </c>
      <c r="N727" s="0" t="n">
        <f aca="false">INDEX(Summary!$J$2:$J$201,MATCH($B727,Summary!$A$2:$A$201,0))</f>
        <v>4</v>
      </c>
      <c r="O727" s="2" t="n">
        <f aca="false">INDEX(Summary!$K$2:$K$201,MATCH($B727,Summary!$A$2:$A$201,0))</f>
        <v>9.03</v>
      </c>
      <c r="P727" s="3" t="n">
        <f aca="false">INDEX(Summary!$L$2:$L$201,MATCH($B727,Summary!$A$2:$A$201,0))</f>
        <v>3</v>
      </c>
      <c r="Q727" s="3" t="n">
        <f aca="false">INDEX(Summary!$M$2:$M$201,MATCH($B727,Summary!$A$2:$A$201,0))</f>
        <v>3</v>
      </c>
      <c r="R727" s="2" t="n">
        <f aca="false">INDEX(Summary!$N$2:$N$201,MATCH($B727,Summary!$A$2:$A$201,0))</f>
        <v>9.93</v>
      </c>
      <c r="S727" s="3" t="n">
        <f aca="false">INDEX(Summary!$O$2:$O$201,MATCH($B727,Summary!$A$2:$A$201,0))</f>
        <v>8</v>
      </c>
      <c r="T727" s="3" t="n">
        <f aca="false">INDEX(Summary!$P$2:$P$201,MATCH($B727,Summary!$A$2:$A$201,0))</f>
        <v>1</v>
      </c>
      <c r="U727" s="2" t="n">
        <f aca="false">INDEX(Summary!$Q$2:$Q$201,MATCH($B727,Summary!$A$2:$A$201,0))</f>
        <v>13.23</v>
      </c>
      <c r="V727" s="2" t="n">
        <f aca="false">INDEX(Summary!$R$2:$R$201,MATCH($B727,Summary!$A$2:$A$201,0))</f>
        <v>20.03</v>
      </c>
      <c r="W727" s="0" t="str">
        <f aca="false">INDEX(Summary!$S$2:$S$201,MATCH($B727,Summary!$A$2:$A$201,0))</f>
        <v>Bronze</v>
      </c>
      <c r="X727" s="2" t="n">
        <f aca="false">INDEX(Summary!$T$2:$T$201,MATCH($B727,Summary!$A$2:$A$201,0))</f>
        <v>48.85</v>
      </c>
      <c r="Y727" s="0" t="str">
        <f aca="false">INDEX('Reward Model'!$E$18:$E$37,MATCH($E727,'Reward Model'!$A$18:$A$37,0))</f>
        <v>Medium</v>
      </c>
      <c r="Z727" s="4" t="n">
        <f aca="false">ROUND(MIN(1,MAX('Reward Model'!$B$2,INDEX('Reward Model'!$C$12:$C$14,MATCH($K727,'Reward Model'!$A$12:$A$14,0))/$J727)),3)</f>
        <v>0.843</v>
      </c>
      <c r="AA727" s="2" t="n">
        <f aca="false">IF($I727="Correct",ROUND(INDEX('Reward Model'!$B$12:$B$14,MATCH($K727,'Reward Model'!$A$12:$A$14,0))*Z727,2),0)</f>
        <v>0.84</v>
      </c>
      <c r="AB727" s="2" t="n">
        <f aca="false">IF($I727="Correct",ROUND(INDEX('Reward Model'!$B$12:$B$14,MATCH($Y727,'Reward Model'!$A$12:$A$14,0))*Z727,2),0)</f>
        <v>1.69</v>
      </c>
    </row>
    <row r="728" customFormat="false" ht="15" hidden="false" customHeight="false" outlineLevel="0" collapsed="false">
      <c r="A728" s="0" t="s">
        <v>201</v>
      </c>
      <c r="B728" s="0" t="s">
        <v>202</v>
      </c>
      <c r="C728" s="0" t="s">
        <v>30</v>
      </c>
      <c r="D728" s="0" t="s">
        <v>189</v>
      </c>
      <c r="E728" s="0" t="n">
        <v>7</v>
      </c>
      <c r="F728" s="0" t="s">
        <v>50</v>
      </c>
      <c r="G728" s="0" t="s">
        <v>51</v>
      </c>
      <c r="H728" s="0" t="s">
        <v>51</v>
      </c>
      <c r="I728" s="0" t="s">
        <v>34</v>
      </c>
      <c r="J728" s="0" t="n">
        <v>1.96</v>
      </c>
      <c r="K728" s="0" t="s">
        <v>35</v>
      </c>
      <c r="L728" s="0" t="n">
        <f aca="false">INDEX(Summary!$F$2:$F$201,MATCH($B728,Summary!$A$2:$A$201,0))</f>
        <v>20</v>
      </c>
      <c r="M728" s="0" t="n">
        <f aca="false">INDEX(Summary!$I$2:$I$201,MATCH($B728,Summary!$A$2:$A$201,0))</f>
        <v>1</v>
      </c>
      <c r="N728" s="0" t="n">
        <f aca="false">INDEX(Summary!$J$2:$J$201,MATCH($B728,Summary!$A$2:$A$201,0))</f>
        <v>4</v>
      </c>
      <c r="O728" s="2" t="n">
        <f aca="false">INDEX(Summary!$K$2:$K$201,MATCH($B728,Summary!$A$2:$A$201,0))</f>
        <v>9.03</v>
      </c>
      <c r="P728" s="3" t="n">
        <f aca="false">INDEX(Summary!$L$2:$L$201,MATCH($B728,Summary!$A$2:$A$201,0))</f>
        <v>3</v>
      </c>
      <c r="Q728" s="3" t="n">
        <f aca="false">INDEX(Summary!$M$2:$M$201,MATCH($B728,Summary!$A$2:$A$201,0))</f>
        <v>3</v>
      </c>
      <c r="R728" s="2" t="n">
        <f aca="false">INDEX(Summary!$N$2:$N$201,MATCH($B728,Summary!$A$2:$A$201,0))</f>
        <v>9.93</v>
      </c>
      <c r="S728" s="3" t="n">
        <f aca="false">INDEX(Summary!$O$2:$O$201,MATCH($B728,Summary!$A$2:$A$201,0))</f>
        <v>8</v>
      </c>
      <c r="T728" s="3" t="n">
        <f aca="false">INDEX(Summary!$P$2:$P$201,MATCH($B728,Summary!$A$2:$A$201,0))</f>
        <v>1</v>
      </c>
      <c r="U728" s="2" t="n">
        <f aca="false">INDEX(Summary!$Q$2:$Q$201,MATCH($B728,Summary!$A$2:$A$201,0))</f>
        <v>13.23</v>
      </c>
      <c r="V728" s="2" t="n">
        <f aca="false">INDEX(Summary!$R$2:$R$201,MATCH($B728,Summary!$A$2:$A$201,0))</f>
        <v>20.03</v>
      </c>
      <c r="W728" s="0" t="str">
        <f aca="false">INDEX(Summary!$S$2:$S$201,MATCH($B728,Summary!$A$2:$A$201,0))</f>
        <v>Bronze</v>
      </c>
      <c r="X728" s="2" t="n">
        <f aca="false">INDEX(Summary!$T$2:$T$201,MATCH($B728,Summary!$A$2:$A$201,0))</f>
        <v>48.85</v>
      </c>
      <c r="Y728" s="0" t="str">
        <f aca="false">INDEX('Reward Model'!$E$18:$E$37,MATCH($E728,'Reward Model'!$A$18:$A$37,0))</f>
        <v>Low</v>
      </c>
      <c r="Z728" s="4" t="n">
        <f aca="false">ROUND(MIN(1,MAX('Reward Model'!$B$2,INDEX('Reward Model'!$C$12:$C$14,MATCH($K728,'Reward Model'!$A$12:$A$14,0))/$J728)),3)</f>
        <v>0.765</v>
      </c>
      <c r="AA728" s="2" t="n">
        <f aca="false">IF($I728="Correct",ROUND(INDEX('Reward Model'!$B$12:$B$14,MATCH($K728,'Reward Model'!$A$12:$A$14,0))*Z728,2),0)</f>
        <v>0.77</v>
      </c>
      <c r="AB728" s="2" t="n">
        <f aca="false">IF($I728="Correct",ROUND(INDEX('Reward Model'!$B$12:$B$14,MATCH($Y728,'Reward Model'!$A$12:$A$14,0))*Z728,2),0)</f>
        <v>0.77</v>
      </c>
    </row>
    <row r="729" customFormat="false" ht="15" hidden="false" customHeight="false" outlineLevel="0" collapsed="false">
      <c r="A729" s="0" t="s">
        <v>201</v>
      </c>
      <c r="B729" s="0" t="s">
        <v>202</v>
      </c>
      <c r="C729" s="0" t="s">
        <v>30</v>
      </c>
      <c r="D729" s="0" t="s">
        <v>189</v>
      </c>
      <c r="E729" s="0" t="n">
        <v>8</v>
      </c>
      <c r="F729" s="0" t="s">
        <v>52</v>
      </c>
      <c r="G729" s="0" t="s">
        <v>54</v>
      </c>
      <c r="H729" s="0" t="s">
        <v>54</v>
      </c>
      <c r="I729" s="0" t="s">
        <v>34</v>
      </c>
      <c r="J729" s="0" t="n">
        <v>1.06</v>
      </c>
      <c r="K729" s="0" t="s">
        <v>35</v>
      </c>
      <c r="L729" s="0" t="n">
        <f aca="false">INDEX(Summary!$F$2:$F$201,MATCH($B729,Summary!$A$2:$A$201,0))</f>
        <v>20</v>
      </c>
      <c r="M729" s="0" t="n">
        <f aca="false">INDEX(Summary!$I$2:$I$201,MATCH($B729,Summary!$A$2:$A$201,0))</f>
        <v>1</v>
      </c>
      <c r="N729" s="0" t="n">
        <f aca="false">INDEX(Summary!$J$2:$J$201,MATCH($B729,Summary!$A$2:$A$201,0))</f>
        <v>4</v>
      </c>
      <c r="O729" s="2" t="n">
        <f aca="false">INDEX(Summary!$K$2:$K$201,MATCH($B729,Summary!$A$2:$A$201,0))</f>
        <v>9.03</v>
      </c>
      <c r="P729" s="3" t="n">
        <f aca="false">INDEX(Summary!$L$2:$L$201,MATCH($B729,Summary!$A$2:$A$201,0))</f>
        <v>3</v>
      </c>
      <c r="Q729" s="3" t="n">
        <f aca="false">INDEX(Summary!$M$2:$M$201,MATCH($B729,Summary!$A$2:$A$201,0))</f>
        <v>3</v>
      </c>
      <c r="R729" s="2" t="n">
        <f aca="false">INDEX(Summary!$N$2:$N$201,MATCH($B729,Summary!$A$2:$A$201,0))</f>
        <v>9.93</v>
      </c>
      <c r="S729" s="3" t="n">
        <f aca="false">INDEX(Summary!$O$2:$O$201,MATCH($B729,Summary!$A$2:$A$201,0))</f>
        <v>8</v>
      </c>
      <c r="T729" s="3" t="n">
        <f aca="false">INDEX(Summary!$P$2:$P$201,MATCH($B729,Summary!$A$2:$A$201,0))</f>
        <v>1</v>
      </c>
      <c r="U729" s="2" t="n">
        <f aca="false">INDEX(Summary!$Q$2:$Q$201,MATCH($B729,Summary!$A$2:$A$201,0))</f>
        <v>13.23</v>
      </c>
      <c r="V729" s="2" t="n">
        <f aca="false">INDEX(Summary!$R$2:$R$201,MATCH($B729,Summary!$A$2:$A$201,0))</f>
        <v>20.03</v>
      </c>
      <c r="W729" s="0" t="str">
        <f aca="false">INDEX(Summary!$S$2:$S$201,MATCH($B729,Summary!$A$2:$A$201,0))</f>
        <v>Bronze</v>
      </c>
      <c r="X729" s="2" t="n">
        <f aca="false">INDEX(Summary!$T$2:$T$201,MATCH($B729,Summary!$A$2:$A$201,0))</f>
        <v>48.85</v>
      </c>
      <c r="Y729" s="0" t="str">
        <f aca="false">INDEX('Reward Model'!$E$18:$E$37,MATCH($E729,'Reward Model'!$A$18:$A$37,0))</f>
        <v>Medium</v>
      </c>
      <c r="Z729" s="4" t="n">
        <f aca="false">ROUND(MIN(1,MAX('Reward Model'!$B$2,INDEX('Reward Model'!$C$12:$C$14,MATCH($K729,'Reward Model'!$A$12:$A$14,0))/$J729)),3)</f>
        <v>1</v>
      </c>
      <c r="AA729" s="2" t="n">
        <f aca="false">IF($I729="Correct",ROUND(INDEX('Reward Model'!$B$12:$B$14,MATCH($K729,'Reward Model'!$A$12:$A$14,0))*Z729,2),0)</f>
        <v>1</v>
      </c>
      <c r="AB729" s="2" t="n">
        <f aca="false">IF($I729="Correct",ROUND(INDEX('Reward Model'!$B$12:$B$14,MATCH($Y729,'Reward Model'!$A$12:$A$14,0))*Z729,2),0)</f>
        <v>2</v>
      </c>
    </row>
    <row r="730" customFormat="false" ht="15" hidden="false" customHeight="false" outlineLevel="0" collapsed="false">
      <c r="A730" s="0" t="s">
        <v>201</v>
      </c>
      <c r="B730" s="0" t="s">
        <v>202</v>
      </c>
      <c r="C730" s="0" t="s">
        <v>30</v>
      </c>
      <c r="D730" s="0" t="s">
        <v>189</v>
      </c>
      <c r="E730" s="0" t="n">
        <v>9</v>
      </c>
      <c r="F730" s="0" t="s">
        <v>55</v>
      </c>
      <c r="G730" s="0" t="s">
        <v>108</v>
      </c>
      <c r="H730" s="0" t="s">
        <v>57</v>
      </c>
      <c r="I730" s="0" t="s">
        <v>39</v>
      </c>
      <c r="J730" s="0" t="n">
        <v>1.47</v>
      </c>
      <c r="K730" s="0" t="s">
        <v>35</v>
      </c>
      <c r="L730" s="0" t="n">
        <f aca="false">INDEX(Summary!$F$2:$F$201,MATCH($B730,Summary!$A$2:$A$201,0))</f>
        <v>20</v>
      </c>
      <c r="M730" s="0" t="n">
        <f aca="false">INDEX(Summary!$I$2:$I$201,MATCH($B730,Summary!$A$2:$A$201,0))</f>
        <v>1</v>
      </c>
      <c r="N730" s="0" t="n">
        <f aca="false">INDEX(Summary!$J$2:$J$201,MATCH($B730,Summary!$A$2:$A$201,0))</f>
        <v>4</v>
      </c>
      <c r="O730" s="2" t="n">
        <f aca="false">INDEX(Summary!$K$2:$K$201,MATCH($B730,Summary!$A$2:$A$201,0))</f>
        <v>9.03</v>
      </c>
      <c r="P730" s="3" t="n">
        <f aca="false">INDEX(Summary!$L$2:$L$201,MATCH($B730,Summary!$A$2:$A$201,0))</f>
        <v>3</v>
      </c>
      <c r="Q730" s="3" t="n">
        <f aca="false">INDEX(Summary!$M$2:$M$201,MATCH($B730,Summary!$A$2:$A$201,0))</f>
        <v>3</v>
      </c>
      <c r="R730" s="2" t="n">
        <f aca="false">INDEX(Summary!$N$2:$N$201,MATCH($B730,Summary!$A$2:$A$201,0))</f>
        <v>9.93</v>
      </c>
      <c r="S730" s="3" t="n">
        <f aca="false">INDEX(Summary!$O$2:$O$201,MATCH($B730,Summary!$A$2:$A$201,0))</f>
        <v>8</v>
      </c>
      <c r="T730" s="3" t="n">
        <f aca="false">INDEX(Summary!$P$2:$P$201,MATCH($B730,Summary!$A$2:$A$201,0))</f>
        <v>1</v>
      </c>
      <c r="U730" s="2" t="n">
        <f aca="false">INDEX(Summary!$Q$2:$Q$201,MATCH($B730,Summary!$A$2:$A$201,0))</f>
        <v>13.23</v>
      </c>
      <c r="V730" s="2" t="n">
        <f aca="false">INDEX(Summary!$R$2:$R$201,MATCH($B730,Summary!$A$2:$A$201,0))</f>
        <v>20.03</v>
      </c>
      <c r="W730" s="0" t="str">
        <f aca="false">INDEX(Summary!$S$2:$S$201,MATCH($B730,Summary!$A$2:$A$201,0))</f>
        <v>Bronze</v>
      </c>
      <c r="X730" s="2" t="n">
        <f aca="false">INDEX(Summary!$T$2:$T$201,MATCH($B730,Summary!$A$2:$A$201,0))</f>
        <v>48.85</v>
      </c>
      <c r="Y730" s="0" t="str">
        <f aca="false">INDEX('Reward Model'!$E$18:$E$37,MATCH($E730,'Reward Model'!$A$18:$A$37,0))</f>
        <v>Medium</v>
      </c>
      <c r="Z730" s="4" t="n">
        <f aca="false">ROUND(MIN(1,MAX('Reward Model'!$B$2,INDEX('Reward Model'!$C$12:$C$14,MATCH($K730,'Reward Model'!$A$12:$A$14,0))/$J730)),3)</f>
        <v>1</v>
      </c>
      <c r="AA730" s="2" t="n">
        <f aca="false">IF($I730="Correct",ROUND(INDEX('Reward Model'!$B$12:$B$14,MATCH($K730,'Reward Model'!$A$12:$A$14,0))*Z730,2),0)</f>
        <v>0</v>
      </c>
      <c r="AB730" s="2" t="n">
        <f aca="false">IF($I730="Correct",ROUND(INDEX('Reward Model'!$B$12:$B$14,MATCH($Y730,'Reward Model'!$A$12:$A$14,0))*Z730,2),0)</f>
        <v>0</v>
      </c>
    </row>
    <row r="731" customFormat="false" ht="15" hidden="false" customHeight="false" outlineLevel="0" collapsed="false">
      <c r="A731" s="0" t="s">
        <v>201</v>
      </c>
      <c r="B731" s="0" t="s">
        <v>202</v>
      </c>
      <c r="C731" s="0" t="s">
        <v>30</v>
      </c>
      <c r="D731" s="0" t="s">
        <v>189</v>
      </c>
      <c r="E731" s="0" t="n">
        <v>10</v>
      </c>
      <c r="F731" s="0" t="s">
        <v>58</v>
      </c>
      <c r="G731" s="0" t="s">
        <v>138</v>
      </c>
      <c r="H731" s="0" t="s">
        <v>59</v>
      </c>
      <c r="I731" s="0" t="s">
        <v>39</v>
      </c>
      <c r="J731" s="0" t="n">
        <v>1.32</v>
      </c>
      <c r="K731" s="0" t="s">
        <v>60</v>
      </c>
      <c r="L731" s="0" t="n">
        <f aca="false">INDEX(Summary!$F$2:$F$201,MATCH($B731,Summary!$A$2:$A$201,0))</f>
        <v>20</v>
      </c>
      <c r="M731" s="0" t="n">
        <f aca="false">INDEX(Summary!$I$2:$I$201,MATCH($B731,Summary!$A$2:$A$201,0))</f>
        <v>1</v>
      </c>
      <c r="N731" s="0" t="n">
        <f aca="false">INDEX(Summary!$J$2:$J$201,MATCH($B731,Summary!$A$2:$A$201,0))</f>
        <v>4</v>
      </c>
      <c r="O731" s="2" t="n">
        <f aca="false">INDEX(Summary!$K$2:$K$201,MATCH($B731,Summary!$A$2:$A$201,0))</f>
        <v>9.03</v>
      </c>
      <c r="P731" s="3" t="n">
        <f aca="false">INDEX(Summary!$L$2:$L$201,MATCH($B731,Summary!$A$2:$A$201,0))</f>
        <v>3</v>
      </c>
      <c r="Q731" s="3" t="n">
        <f aca="false">INDEX(Summary!$M$2:$M$201,MATCH($B731,Summary!$A$2:$A$201,0))</f>
        <v>3</v>
      </c>
      <c r="R731" s="2" t="n">
        <f aca="false">INDEX(Summary!$N$2:$N$201,MATCH($B731,Summary!$A$2:$A$201,0))</f>
        <v>9.93</v>
      </c>
      <c r="S731" s="3" t="n">
        <f aca="false">INDEX(Summary!$O$2:$O$201,MATCH($B731,Summary!$A$2:$A$201,0))</f>
        <v>8</v>
      </c>
      <c r="T731" s="3" t="n">
        <f aca="false">INDEX(Summary!$P$2:$P$201,MATCH($B731,Summary!$A$2:$A$201,0))</f>
        <v>1</v>
      </c>
      <c r="U731" s="2" t="n">
        <f aca="false">INDEX(Summary!$Q$2:$Q$201,MATCH($B731,Summary!$A$2:$A$201,0))</f>
        <v>13.23</v>
      </c>
      <c r="V731" s="2" t="n">
        <f aca="false">INDEX(Summary!$R$2:$R$201,MATCH($B731,Summary!$A$2:$A$201,0))</f>
        <v>20.03</v>
      </c>
      <c r="W731" s="0" t="str">
        <f aca="false">INDEX(Summary!$S$2:$S$201,MATCH($B731,Summary!$A$2:$A$201,0))</f>
        <v>Bronze</v>
      </c>
      <c r="X731" s="2" t="n">
        <f aca="false">INDEX(Summary!$T$2:$T$201,MATCH($B731,Summary!$A$2:$A$201,0))</f>
        <v>48.85</v>
      </c>
      <c r="Y731" s="0" t="str">
        <f aca="false">INDEX('Reward Model'!$E$18:$E$37,MATCH($E731,'Reward Model'!$A$18:$A$37,0))</f>
        <v>Medium</v>
      </c>
      <c r="Z731" s="4" t="n">
        <f aca="false">ROUND(MIN(1,MAX('Reward Model'!$B$2,INDEX('Reward Model'!$C$12:$C$14,MATCH($K731,'Reward Model'!$A$12:$A$14,0))/$J731)),3)</f>
        <v>1</v>
      </c>
      <c r="AA731" s="2" t="n">
        <f aca="false">IF($I731="Correct",ROUND(INDEX('Reward Model'!$B$12:$B$14,MATCH($K731,'Reward Model'!$A$12:$A$14,0))*Z731,2),0)</f>
        <v>0</v>
      </c>
      <c r="AB731" s="2" t="n">
        <f aca="false">IF($I731="Correct",ROUND(INDEX('Reward Model'!$B$12:$B$14,MATCH($Y731,'Reward Model'!$A$12:$A$14,0))*Z731,2),0)</f>
        <v>0</v>
      </c>
    </row>
    <row r="732" customFormat="false" ht="15" hidden="false" customHeight="false" outlineLevel="0" collapsed="false">
      <c r="A732" s="0" t="s">
        <v>201</v>
      </c>
      <c r="B732" s="0" t="s">
        <v>202</v>
      </c>
      <c r="C732" s="0" t="s">
        <v>30</v>
      </c>
      <c r="D732" s="0" t="s">
        <v>189</v>
      </c>
      <c r="E732" s="0" t="n">
        <v>11</v>
      </c>
      <c r="F732" s="0" t="s">
        <v>61</v>
      </c>
      <c r="G732" s="0" t="s">
        <v>63</v>
      </c>
      <c r="H732" s="0" t="s">
        <v>63</v>
      </c>
      <c r="I732" s="0" t="s">
        <v>34</v>
      </c>
      <c r="J732" s="0" t="n">
        <v>1.7</v>
      </c>
      <c r="K732" s="0" t="s">
        <v>60</v>
      </c>
      <c r="L732" s="0" t="n">
        <f aca="false">INDEX(Summary!$F$2:$F$201,MATCH($B732,Summary!$A$2:$A$201,0))</f>
        <v>20</v>
      </c>
      <c r="M732" s="0" t="n">
        <f aca="false">INDEX(Summary!$I$2:$I$201,MATCH($B732,Summary!$A$2:$A$201,0))</f>
        <v>1</v>
      </c>
      <c r="N732" s="0" t="n">
        <f aca="false">INDEX(Summary!$J$2:$J$201,MATCH($B732,Summary!$A$2:$A$201,0))</f>
        <v>4</v>
      </c>
      <c r="O732" s="2" t="n">
        <f aca="false">INDEX(Summary!$K$2:$K$201,MATCH($B732,Summary!$A$2:$A$201,0))</f>
        <v>9.03</v>
      </c>
      <c r="P732" s="3" t="n">
        <f aca="false">INDEX(Summary!$L$2:$L$201,MATCH($B732,Summary!$A$2:$A$201,0))</f>
        <v>3</v>
      </c>
      <c r="Q732" s="3" t="n">
        <f aca="false">INDEX(Summary!$M$2:$M$201,MATCH($B732,Summary!$A$2:$A$201,0))</f>
        <v>3</v>
      </c>
      <c r="R732" s="2" t="n">
        <f aca="false">INDEX(Summary!$N$2:$N$201,MATCH($B732,Summary!$A$2:$A$201,0))</f>
        <v>9.93</v>
      </c>
      <c r="S732" s="3" t="n">
        <f aca="false">INDEX(Summary!$O$2:$O$201,MATCH($B732,Summary!$A$2:$A$201,0))</f>
        <v>8</v>
      </c>
      <c r="T732" s="3" t="n">
        <f aca="false">INDEX(Summary!$P$2:$P$201,MATCH($B732,Summary!$A$2:$A$201,0))</f>
        <v>1</v>
      </c>
      <c r="U732" s="2" t="n">
        <f aca="false">INDEX(Summary!$Q$2:$Q$201,MATCH($B732,Summary!$A$2:$A$201,0))</f>
        <v>13.23</v>
      </c>
      <c r="V732" s="2" t="n">
        <f aca="false">INDEX(Summary!$R$2:$R$201,MATCH($B732,Summary!$A$2:$A$201,0))</f>
        <v>20.03</v>
      </c>
      <c r="W732" s="0" t="str">
        <f aca="false">INDEX(Summary!$S$2:$S$201,MATCH($B732,Summary!$A$2:$A$201,0))</f>
        <v>Bronze</v>
      </c>
      <c r="X732" s="2" t="n">
        <f aca="false">INDEX(Summary!$T$2:$T$201,MATCH($B732,Summary!$A$2:$A$201,0))</f>
        <v>48.85</v>
      </c>
      <c r="Y732" s="0" t="str">
        <f aca="false">INDEX('Reward Model'!$E$18:$E$37,MATCH($E732,'Reward Model'!$A$18:$A$37,0))</f>
        <v>Medium</v>
      </c>
      <c r="Z732" s="4" t="n">
        <f aca="false">ROUND(MIN(1,MAX('Reward Model'!$B$2,INDEX('Reward Model'!$C$12:$C$14,MATCH($K732,'Reward Model'!$A$12:$A$14,0))/$J732)),3)</f>
        <v>1</v>
      </c>
      <c r="AA732" s="2" t="n">
        <f aca="false">IF($I732="Correct",ROUND(INDEX('Reward Model'!$B$12:$B$14,MATCH($K732,'Reward Model'!$A$12:$A$14,0))*Z732,2),0)</f>
        <v>2</v>
      </c>
      <c r="AB732" s="2" t="n">
        <f aca="false">IF($I732="Correct",ROUND(INDEX('Reward Model'!$B$12:$B$14,MATCH($Y732,'Reward Model'!$A$12:$A$14,0))*Z732,2),0)</f>
        <v>2</v>
      </c>
    </row>
    <row r="733" customFormat="false" ht="15" hidden="false" customHeight="false" outlineLevel="0" collapsed="false">
      <c r="A733" s="0" t="s">
        <v>201</v>
      </c>
      <c r="B733" s="0" t="s">
        <v>202</v>
      </c>
      <c r="C733" s="0" t="s">
        <v>30</v>
      </c>
      <c r="D733" s="0" t="s">
        <v>189</v>
      </c>
      <c r="E733" s="0" t="n">
        <v>12</v>
      </c>
      <c r="F733" s="0" t="s">
        <v>64</v>
      </c>
      <c r="G733" s="0" t="s">
        <v>65</v>
      </c>
      <c r="H733" s="0" t="s">
        <v>65</v>
      </c>
      <c r="I733" s="0" t="s">
        <v>34</v>
      </c>
      <c r="J733" s="0" t="n">
        <v>1.27</v>
      </c>
      <c r="K733" s="0" t="s">
        <v>60</v>
      </c>
      <c r="L733" s="0" t="n">
        <f aca="false">INDEX(Summary!$F$2:$F$201,MATCH($B733,Summary!$A$2:$A$201,0))</f>
        <v>20</v>
      </c>
      <c r="M733" s="0" t="n">
        <f aca="false">INDEX(Summary!$I$2:$I$201,MATCH($B733,Summary!$A$2:$A$201,0))</f>
        <v>1</v>
      </c>
      <c r="N733" s="0" t="n">
        <f aca="false">INDEX(Summary!$J$2:$J$201,MATCH($B733,Summary!$A$2:$A$201,0))</f>
        <v>4</v>
      </c>
      <c r="O733" s="2" t="n">
        <f aca="false">INDEX(Summary!$K$2:$K$201,MATCH($B733,Summary!$A$2:$A$201,0))</f>
        <v>9.03</v>
      </c>
      <c r="P733" s="3" t="n">
        <f aca="false">INDEX(Summary!$L$2:$L$201,MATCH($B733,Summary!$A$2:$A$201,0))</f>
        <v>3</v>
      </c>
      <c r="Q733" s="3" t="n">
        <f aca="false">INDEX(Summary!$M$2:$M$201,MATCH($B733,Summary!$A$2:$A$201,0))</f>
        <v>3</v>
      </c>
      <c r="R733" s="2" t="n">
        <f aca="false">INDEX(Summary!$N$2:$N$201,MATCH($B733,Summary!$A$2:$A$201,0))</f>
        <v>9.93</v>
      </c>
      <c r="S733" s="3" t="n">
        <f aca="false">INDEX(Summary!$O$2:$O$201,MATCH($B733,Summary!$A$2:$A$201,0))</f>
        <v>8</v>
      </c>
      <c r="T733" s="3" t="n">
        <f aca="false">INDEX(Summary!$P$2:$P$201,MATCH($B733,Summary!$A$2:$A$201,0))</f>
        <v>1</v>
      </c>
      <c r="U733" s="2" t="n">
        <f aca="false">INDEX(Summary!$Q$2:$Q$201,MATCH($B733,Summary!$A$2:$A$201,0))</f>
        <v>13.23</v>
      </c>
      <c r="V733" s="2" t="n">
        <f aca="false">INDEX(Summary!$R$2:$R$201,MATCH($B733,Summary!$A$2:$A$201,0))</f>
        <v>20.03</v>
      </c>
      <c r="W733" s="0" t="str">
        <f aca="false">INDEX(Summary!$S$2:$S$201,MATCH($B733,Summary!$A$2:$A$201,0))</f>
        <v>Bronze</v>
      </c>
      <c r="X733" s="2" t="n">
        <f aca="false">INDEX(Summary!$T$2:$T$201,MATCH($B733,Summary!$A$2:$A$201,0))</f>
        <v>48.85</v>
      </c>
      <c r="Y733" s="0" t="str">
        <f aca="false">INDEX('Reward Model'!$E$18:$E$37,MATCH($E733,'Reward Model'!$A$18:$A$37,0))</f>
        <v>Medium</v>
      </c>
      <c r="Z733" s="4" t="n">
        <f aca="false">ROUND(MIN(1,MAX('Reward Model'!$B$2,INDEX('Reward Model'!$C$12:$C$14,MATCH($K733,'Reward Model'!$A$12:$A$14,0))/$J733)),3)</f>
        <v>1</v>
      </c>
      <c r="AA733" s="2" t="n">
        <f aca="false">IF($I733="Correct",ROUND(INDEX('Reward Model'!$B$12:$B$14,MATCH($K733,'Reward Model'!$A$12:$A$14,0))*Z733,2),0)</f>
        <v>2</v>
      </c>
      <c r="AB733" s="2" t="n">
        <f aca="false">IF($I733="Correct",ROUND(INDEX('Reward Model'!$B$12:$B$14,MATCH($Y733,'Reward Model'!$A$12:$A$14,0))*Z733,2),0)</f>
        <v>2</v>
      </c>
    </row>
    <row r="734" customFormat="false" ht="15" hidden="false" customHeight="false" outlineLevel="0" collapsed="false">
      <c r="A734" s="0" t="s">
        <v>201</v>
      </c>
      <c r="B734" s="0" t="s">
        <v>202</v>
      </c>
      <c r="C734" s="0" t="s">
        <v>30</v>
      </c>
      <c r="D734" s="0" t="s">
        <v>189</v>
      </c>
      <c r="E734" s="0" t="n">
        <v>13</v>
      </c>
      <c r="F734" s="0" t="s">
        <v>66</v>
      </c>
      <c r="G734" s="0" t="s">
        <v>67</v>
      </c>
      <c r="H734" s="0" t="s">
        <v>67</v>
      </c>
      <c r="I734" s="0" t="s">
        <v>34</v>
      </c>
      <c r="J734" s="0" t="n">
        <v>1.94</v>
      </c>
      <c r="K734" s="0" t="s">
        <v>60</v>
      </c>
      <c r="L734" s="0" t="n">
        <f aca="false">INDEX(Summary!$F$2:$F$201,MATCH($B734,Summary!$A$2:$A$201,0))</f>
        <v>20</v>
      </c>
      <c r="M734" s="0" t="n">
        <f aca="false">INDEX(Summary!$I$2:$I$201,MATCH($B734,Summary!$A$2:$A$201,0))</f>
        <v>1</v>
      </c>
      <c r="N734" s="0" t="n">
        <f aca="false">INDEX(Summary!$J$2:$J$201,MATCH($B734,Summary!$A$2:$A$201,0))</f>
        <v>4</v>
      </c>
      <c r="O734" s="2" t="n">
        <f aca="false">INDEX(Summary!$K$2:$K$201,MATCH($B734,Summary!$A$2:$A$201,0))</f>
        <v>9.03</v>
      </c>
      <c r="P734" s="3" t="n">
        <f aca="false">INDEX(Summary!$L$2:$L$201,MATCH($B734,Summary!$A$2:$A$201,0))</f>
        <v>3</v>
      </c>
      <c r="Q734" s="3" t="n">
        <f aca="false">INDEX(Summary!$M$2:$M$201,MATCH($B734,Summary!$A$2:$A$201,0))</f>
        <v>3</v>
      </c>
      <c r="R734" s="2" t="n">
        <f aca="false">INDEX(Summary!$N$2:$N$201,MATCH($B734,Summary!$A$2:$A$201,0))</f>
        <v>9.93</v>
      </c>
      <c r="S734" s="3" t="n">
        <f aca="false">INDEX(Summary!$O$2:$O$201,MATCH($B734,Summary!$A$2:$A$201,0))</f>
        <v>8</v>
      </c>
      <c r="T734" s="3" t="n">
        <f aca="false">INDEX(Summary!$P$2:$P$201,MATCH($B734,Summary!$A$2:$A$201,0))</f>
        <v>1</v>
      </c>
      <c r="U734" s="2" t="n">
        <f aca="false">INDEX(Summary!$Q$2:$Q$201,MATCH($B734,Summary!$A$2:$A$201,0))</f>
        <v>13.23</v>
      </c>
      <c r="V734" s="2" t="n">
        <f aca="false">INDEX(Summary!$R$2:$R$201,MATCH($B734,Summary!$A$2:$A$201,0))</f>
        <v>20.03</v>
      </c>
      <c r="W734" s="0" t="str">
        <f aca="false">INDEX(Summary!$S$2:$S$201,MATCH($B734,Summary!$A$2:$A$201,0))</f>
        <v>Bronze</v>
      </c>
      <c r="X734" s="2" t="n">
        <f aca="false">INDEX(Summary!$T$2:$T$201,MATCH($B734,Summary!$A$2:$A$201,0))</f>
        <v>48.85</v>
      </c>
      <c r="Y734" s="0" t="str">
        <f aca="false">INDEX('Reward Model'!$E$18:$E$37,MATCH($E734,'Reward Model'!$A$18:$A$37,0))</f>
        <v>Medium</v>
      </c>
      <c r="Z734" s="4" t="n">
        <f aca="false">ROUND(MIN(1,MAX('Reward Model'!$B$2,INDEX('Reward Model'!$C$12:$C$14,MATCH($K734,'Reward Model'!$A$12:$A$14,0))/$J734)),3)</f>
        <v>0.928</v>
      </c>
      <c r="AA734" s="2" t="n">
        <f aca="false">IF($I734="Correct",ROUND(INDEX('Reward Model'!$B$12:$B$14,MATCH($K734,'Reward Model'!$A$12:$A$14,0))*Z734,2),0)</f>
        <v>1.86</v>
      </c>
      <c r="AB734" s="2" t="n">
        <f aca="false">IF($I734="Correct",ROUND(INDEX('Reward Model'!$B$12:$B$14,MATCH($Y734,'Reward Model'!$A$12:$A$14,0))*Z734,2),0)</f>
        <v>1.86</v>
      </c>
    </row>
    <row r="735" customFormat="false" ht="15" hidden="false" customHeight="false" outlineLevel="0" collapsed="false">
      <c r="A735" s="0" t="s">
        <v>201</v>
      </c>
      <c r="B735" s="0" t="s">
        <v>202</v>
      </c>
      <c r="C735" s="0" t="s">
        <v>30</v>
      </c>
      <c r="D735" s="0" t="s">
        <v>189</v>
      </c>
      <c r="E735" s="0" t="n">
        <v>14</v>
      </c>
      <c r="F735" s="0" t="s">
        <v>68</v>
      </c>
      <c r="G735" s="0" t="s">
        <v>86</v>
      </c>
      <c r="H735" s="0" t="s">
        <v>51</v>
      </c>
      <c r="I735" s="0" t="s">
        <v>39</v>
      </c>
      <c r="J735" s="0" t="n">
        <v>2.27</v>
      </c>
      <c r="K735" s="0" t="s">
        <v>60</v>
      </c>
      <c r="L735" s="0" t="n">
        <f aca="false">INDEX(Summary!$F$2:$F$201,MATCH($B735,Summary!$A$2:$A$201,0))</f>
        <v>20</v>
      </c>
      <c r="M735" s="0" t="n">
        <f aca="false">INDEX(Summary!$I$2:$I$201,MATCH($B735,Summary!$A$2:$A$201,0))</f>
        <v>1</v>
      </c>
      <c r="N735" s="0" t="n">
        <f aca="false">INDEX(Summary!$J$2:$J$201,MATCH($B735,Summary!$A$2:$A$201,0))</f>
        <v>4</v>
      </c>
      <c r="O735" s="2" t="n">
        <f aca="false">INDEX(Summary!$K$2:$K$201,MATCH($B735,Summary!$A$2:$A$201,0))</f>
        <v>9.03</v>
      </c>
      <c r="P735" s="3" t="n">
        <f aca="false">INDEX(Summary!$L$2:$L$201,MATCH($B735,Summary!$A$2:$A$201,0))</f>
        <v>3</v>
      </c>
      <c r="Q735" s="3" t="n">
        <f aca="false">INDEX(Summary!$M$2:$M$201,MATCH($B735,Summary!$A$2:$A$201,0))</f>
        <v>3</v>
      </c>
      <c r="R735" s="2" t="n">
        <f aca="false">INDEX(Summary!$N$2:$N$201,MATCH($B735,Summary!$A$2:$A$201,0))</f>
        <v>9.93</v>
      </c>
      <c r="S735" s="3" t="n">
        <f aca="false">INDEX(Summary!$O$2:$O$201,MATCH($B735,Summary!$A$2:$A$201,0))</f>
        <v>8</v>
      </c>
      <c r="T735" s="3" t="n">
        <f aca="false">INDEX(Summary!$P$2:$P$201,MATCH($B735,Summary!$A$2:$A$201,0))</f>
        <v>1</v>
      </c>
      <c r="U735" s="2" t="n">
        <f aca="false">INDEX(Summary!$Q$2:$Q$201,MATCH($B735,Summary!$A$2:$A$201,0))</f>
        <v>13.23</v>
      </c>
      <c r="V735" s="2" t="n">
        <f aca="false">INDEX(Summary!$R$2:$R$201,MATCH($B735,Summary!$A$2:$A$201,0))</f>
        <v>20.03</v>
      </c>
      <c r="W735" s="0" t="str">
        <f aca="false">INDEX(Summary!$S$2:$S$201,MATCH($B735,Summary!$A$2:$A$201,0))</f>
        <v>Bronze</v>
      </c>
      <c r="X735" s="2" t="n">
        <f aca="false">INDEX(Summary!$T$2:$T$201,MATCH($B735,Summary!$A$2:$A$201,0))</f>
        <v>48.85</v>
      </c>
      <c r="Y735" s="0" t="str">
        <f aca="false">INDEX('Reward Model'!$E$18:$E$37,MATCH($E735,'Reward Model'!$A$18:$A$37,0))</f>
        <v>Medium</v>
      </c>
      <c r="Z735" s="4" t="n">
        <f aca="false">ROUND(MIN(1,MAX('Reward Model'!$B$2,INDEX('Reward Model'!$C$12:$C$14,MATCH($K735,'Reward Model'!$A$12:$A$14,0))/$J735)),3)</f>
        <v>0.793</v>
      </c>
      <c r="AA735" s="2" t="n">
        <f aca="false">IF($I735="Correct",ROUND(INDEX('Reward Model'!$B$12:$B$14,MATCH($K735,'Reward Model'!$A$12:$A$14,0))*Z735,2),0)</f>
        <v>0</v>
      </c>
      <c r="AB735" s="2" t="n">
        <f aca="false">IF($I735="Correct",ROUND(INDEX('Reward Model'!$B$12:$B$14,MATCH($Y735,'Reward Model'!$A$12:$A$14,0))*Z735,2),0)</f>
        <v>0</v>
      </c>
    </row>
    <row r="736" customFormat="false" ht="15" hidden="false" customHeight="false" outlineLevel="0" collapsed="false">
      <c r="A736" s="0" t="s">
        <v>201</v>
      </c>
      <c r="B736" s="0" t="s">
        <v>202</v>
      </c>
      <c r="C736" s="0" t="s">
        <v>30</v>
      </c>
      <c r="D736" s="0" t="s">
        <v>189</v>
      </c>
      <c r="E736" s="0" t="n">
        <v>15</v>
      </c>
      <c r="F736" s="0" t="s">
        <v>69</v>
      </c>
      <c r="G736" s="0" t="s">
        <v>94</v>
      </c>
      <c r="H736" s="0" t="s">
        <v>70</v>
      </c>
      <c r="I736" s="0" t="s">
        <v>39</v>
      </c>
      <c r="J736" s="0" t="n">
        <v>1.43</v>
      </c>
      <c r="K736" s="0" t="s">
        <v>60</v>
      </c>
      <c r="L736" s="0" t="n">
        <f aca="false">INDEX(Summary!$F$2:$F$201,MATCH($B736,Summary!$A$2:$A$201,0))</f>
        <v>20</v>
      </c>
      <c r="M736" s="0" t="n">
        <f aca="false">INDEX(Summary!$I$2:$I$201,MATCH($B736,Summary!$A$2:$A$201,0))</f>
        <v>1</v>
      </c>
      <c r="N736" s="0" t="n">
        <f aca="false">INDEX(Summary!$J$2:$J$201,MATCH($B736,Summary!$A$2:$A$201,0))</f>
        <v>4</v>
      </c>
      <c r="O736" s="2" t="n">
        <f aca="false">INDEX(Summary!$K$2:$K$201,MATCH($B736,Summary!$A$2:$A$201,0))</f>
        <v>9.03</v>
      </c>
      <c r="P736" s="3" t="n">
        <f aca="false">INDEX(Summary!$L$2:$L$201,MATCH($B736,Summary!$A$2:$A$201,0))</f>
        <v>3</v>
      </c>
      <c r="Q736" s="3" t="n">
        <f aca="false">INDEX(Summary!$M$2:$M$201,MATCH($B736,Summary!$A$2:$A$201,0))</f>
        <v>3</v>
      </c>
      <c r="R736" s="2" t="n">
        <f aca="false">INDEX(Summary!$N$2:$N$201,MATCH($B736,Summary!$A$2:$A$201,0))</f>
        <v>9.93</v>
      </c>
      <c r="S736" s="3" t="n">
        <f aca="false">INDEX(Summary!$O$2:$O$201,MATCH($B736,Summary!$A$2:$A$201,0))</f>
        <v>8</v>
      </c>
      <c r="T736" s="3" t="n">
        <f aca="false">INDEX(Summary!$P$2:$P$201,MATCH($B736,Summary!$A$2:$A$201,0))</f>
        <v>1</v>
      </c>
      <c r="U736" s="2" t="n">
        <f aca="false">INDEX(Summary!$Q$2:$Q$201,MATCH($B736,Summary!$A$2:$A$201,0))</f>
        <v>13.23</v>
      </c>
      <c r="V736" s="2" t="n">
        <f aca="false">INDEX(Summary!$R$2:$R$201,MATCH($B736,Summary!$A$2:$A$201,0))</f>
        <v>20.03</v>
      </c>
      <c r="W736" s="0" t="str">
        <f aca="false">INDEX(Summary!$S$2:$S$201,MATCH($B736,Summary!$A$2:$A$201,0))</f>
        <v>Bronze</v>
      </c>
      <c r="X736" s="2" t="n">
        <f aca="false">INDEX(Summary!$T$2:$T$201,MATCH($B736,Summary!$A$2:$A$201,0))</f>
        <v>48.85</v>
      </c>
      <c r="Y736" s="0" t="str">
        <f aca="false">INDEX('Reward Model'!$E$18:$E$37,MATCH($E736,'Reward Model'!$A$18:$A$37,0))</f>
        <v>Medium</v>
      </c>
      <c r="Z736" s="4" t="n">
        <f aca="false">ROUND(MIN(1,MAX('Reward Model'!$B$2,INDEX('Reward Model'!$C$12:$C$14,MATCH($K736,'Reward Model'!$A$12:$A$14,0))/$J736)),3)</f>
        <v>1</v>
      </c>
      <c r="AA736" s="2" t="n">
        <f aca="false">IF($I736="Correct",ROUND(INDEX('Reward Model'!$B$12:$B$14,MATCH($K736,'Reward Model'!$A$12:$A$14,0))*Z736,2),0)</f>
        <v>0</v>
      </c>
      <c r="AB736" s="2" t="n">
        <f aca="false">IF($I736="Correct",ROUND(INDEX('Reward Model'!$B$12:$B$14,MATCH($Y736,'Reward Model'!$A$12:$A$14,0))*Z736,2),0)</f>
        <v>0</v>
      </c>
    </row>
    <row r="737" customFormat="false" ht="15" hidden="false" customHeight="false" outlineLevel="0" collapsed="false">
      <c r="A737" s="0" t="s">
        <v>201</v>
      </c>
      <c r="B737" s="0" t="s">
        <v>202</v>
      </c>
      <c r="C737" s="0" t="s">
        <v>30</v>
      </c>
      <c r="D737" s="0" t="s">
        <v>189</v>
      </c>
      <c r="E737" s="0" t="n">
        <v>16</v>
      </c>
      <c r="F737" s="0" t="s">
        <v>71</v>
      </c>
      <c r="G737" s="0" t="s">
        <v>101</v>
      </c>
      <c r="H737" s="0" t="s">
        <v>72</v>
      </c>
      <c r="I737" s="0" t="s">
        <v>39</v>
      </c>
      <c r="J737" s="0" t="n">
        <v>1.5</v>
      </c>
      <c r="K737" s="0" t="s">
        <v>73</v>
      </c>
      <c r="L737" s="0" t="n">
        <f aca="false">INDEX(Summary!$F$2:$F$201,MATCH($B737,Summary!$A$2:$A$201,0))</f>
        <v>20</v>
      </c>
      <c r="M737" s="0" t="n">
        <f aca="false">INDEX(Summary!$I$2:$I$201,MATCH($B737,Summary!$A$2:$A$201,0))</f>
        <v>1</v>
      </c>
      <c r="N737" s="0" t="n">
        <f aca="false">INDEX(Summary!$J$2:$J$201,MATCH($B737,Summary!$A$2:$A$201,0))</f>
        <v>4</v>
      </c>
      <c r="O737" s="2" t="n">
        <f aca="false">INDEX(Summary!$K$2:$K$201,MATCH($B737,Summary!$A$2:$A$201,0))</f>
        <v>9.03</v>
      </c>
      <c r="P737" s="3" t="n">
        <f aca="false">INDEX(Summary!$L$2:$L$201,MATCH($B737,Summary!$A$2:$A$201,0))</f>
        <v>3</v>
      </c>
      <c r="Q737" s="3" t="n">
        <f aca="false">INDEX(Summary!$M$2:$M$201,MATCH($B737,Summary!$A$2:$A$201,0))</f>
        <v>3</v>
      </c>
      <c r="R737" s="2" t="n">
        <f aca="false">INDEX(Summary!$N$2:$N$201,MATCH($B737,Summary!$A$2:$A$201,0))</f>
        <v>9.93</v>
      </c>
      <c r="S737" s="3" t="n">
        <f aca="false">INDEX(Summary!$O$2:$O$201,MATCH($B737,Summary!$A$2:$A$201,0))</f>
        <v>8</v>
      </c>
      <c r="T737" s="3" t="n">
        <f aca="false">INDEX(Summary!$P$2:$P$201,MATCH($B737,Summary!$A$2:$A$201,0))</f>
        <v>1</v>
      </c>
      <c r="U737" s="2" t="n">
        <f aca="false">INDEX(Summary!$Q$2:$Q$201,MATCH($B737,Summary!$A$2:$A$201,0))</f>
        <v>13.23</v>
      </c>
      <c r="V737" s="2" t="n">
        <f aca="false">INDEX(Summary!$R$2:$R$201,MATCH($B737,Summary!$A$2:$A$201,0))</f>
        <v>20.03</v>
      </c>
      <c r="W737" s="0" t="str">
        <f aca="false">INDEX(Summary!$S$2:$S$201,MATCH($B737,Summary!$A$2:$A$201,0))</f>
        <v>Bronze</v>
      </c>
      <c r="X737" s="2" t="n">
        <f aca="false">INDEX(Summary!$T$2:$T$201,MATCH($B737,Summary!$A$2:$A$201,0))</f>
        <v>48.85</v>
      </c>
      <c r="Y737" s="0" t="str">
        <f aca="false">INDEX('Reward Model'!$E$18:$E$37,MATCH($E737,'Reward Model'!$A$18:$A$37,0))</f>
        <v>High</v>
      </c>
      <c r="Z737" s="4" t="n">
        <f aca="false">ROUND(MIN(1,MAX('Reward Model'!$B$2,INDEX('Reward Model'!$C$12:$C$14,MATCH($K737,'Reward Model'!$A$12:$A$14,0))/$J737)),3)</f>
        <v>1</v>
      </c>
      <c r="AA737" s="2" t="n">
        <f aca="false">IF($I737="Correct",ROUND(INDEX('Reward Model'!$B$12:$B$14,MATCH($K737,'Reward Model'!$A$12:$A$14,0))*Z737,2),0)</f>
        <v>0</v>
      </c>
      <c r="AB737" s="2" t="n">
        <f aca="false">IF($I737="Correct",ROUND(INDEX('Reward Model'!$B$12:$B$14,MATCH($Y737,'Reward Model'!$A$12:$A$14,0))*Z737,2),0)</f>
        <v>0</v>
      </c>
    </row>
    <row r="738" customFormat="false" ht="15" hidden="false" customHeight="false" outlineLevel="0" collapsed="false">
      <c r="A738" s="0" t="s">
        <v>201</v>
      </c>
      <c r="B738" s="0" t="s">
        <v>202</v>
      </c>
      <c r="C738" s="0" t="s">
        <v>30</v>
      </c>
      <c r="D738" s="0" t="s">
        <v>189</v>
      </c>
      <c r="E738" s="0" t="n">
        <v>17</v>
      </c>
      <c r="F738" s="0" t="s">
        <v>74</v>
      </c>
      <c r="G738" s="0" t="s">
        <v>105</v>
      </c>
      <c r="H738" s="0" t="s">
        <v>75</v>
      </c>
      <c r="I738" s="0" t="s">
        <v>39</v>
      </c>
      <c r="J738" s="0" t="n">
        <v>2.29</v>
      </c>
      <c r="K738" s="0" t="s">
        <v>73</v>
      </c>
      <c r="L738" s="0" t="n">
        <f aca="false">INDEX(Summary!$F$2:$F$201,MATCH($B738,Summary!$A$2:$A$201,0))</f>
        <v>20</v>
      </c>
      <c r="M738" s="0" t="n">
        <f aca="false">INDEX(Summary!$I$2:$I$201,MATCH($B738,Summary!$A$2:$A$201,0))</f>
        <v>1</v>
      </c>
      <c r="N738" s="0" t="n">
        <f aca="false">INDEX(Summary!$J$2:$J$201,MATCH($B738,Summary!$A$2:$A$201,0))</f>
        <v>4</v>
      </c>
      <c r="O738" s="2" t="n">
        <f aca="false">INDEX(Summary!$K$2:$K$201,MATCH($B738,Summary!$A$2:$A$201,0))</f>
        <v>9.03</v>
      </c>
      <c r="P738" s="3" t="n">
        <f aca="false">INDEX(Summary!$L$2:$L$201,MATCH($B738,Summary!$A$2:$A$201,0))</f>
        <v>3</v>
      </c>
      <c r="Q738" s="3" t="n">
        <f aca="false">INDEX(Summary!$M$2:$M$201,MATCH($B738,Summary!$A$2:$A$201,0))</f>
        <v>3</v>
      </c>
      <c r="R738" s="2" t="n">
        <f aca="false">INDEX(Summary!$N$2:$N$201,MATCH($B738,Summary!$A$2:$A$201,0))</f>
        <v>9.93</v>
      </c>
      <c r="S738" s="3" t="n">
        <f aca="false">INDEX(Summary!$O$2:$O$201,MATCH($B738,Summary!$A$2:$A$201,0))</f>
        <v>8</v>
      </c>
      <c r="T738" s="3" t="n">
        <f aca="false">INDEX(Summary!$P$2:$P$201,MATCH($B738,Summary!$A$2:$A$201,0))</f>
        <v>1</v>
      </c>
      <c r="U738" s="2" t="n">
        <f aca="false">INDEX(Summary!$Q$2:$Q$201,MATCH($B738,Summary!$A$2:$A$201,0))</f>
        <v>13.23</v>
      </c>
      <c r="V738" s="2" t="n">
        <f aca="false">INDEX(Summary!$R$2:$R$201,MATCH($B738,Summary!$A$2:$A$201,0))</f>
        <v>20.03</v>
      </c>
      <c r="W738" s="0" t="str">
        <f aca="false">INDEX(Summary!$S$2:$S$201,MATCH($B738,Summary!$A$2:$A$201,0))</f>
        <v>Bronze</v>
      </c>
      <c r="X738" s="2" t="n">
        <f aca="false">INDEX(Summary!$T$2:$T$201,MATCH($B738,Summary!$A$2:$A$201,0))</f>
        <v>48.85</v>
      </c>
      <c r="Y738" s="0" t="str">
        <f aca="false">INDEX('Reward Model'!$E$18:$E$37,MATCH($E738,'Reward Model'!$A$18:$A$37,0))</f>
        <v>High</v>
      </c>
      <c r="Z738" s="4" t="n">
        <f aca="false">ROUND(MIN(1,MAX('Reward Model'!$B$2,INDEX('Reward Model'!$C$12:$C$14,MATCH($K738,'Reward Model'!$A$12:$A$14,0))/$J738)),3)</f>
        <v>0.873</v>
      </c>
      <c r="AA738" s="2" t="n">
        <f aca="false">IF($I738="Correct",ROUND(INDEX('Reward Model'!$B$12:$B$14,MATCH($K738,'Reward Model'!$A$12:$A$14,0))*Z738,2),0)</f>
        <v>0</v>
      </c>
      <c r="AB738" s="2" t="n">
        <f aca="false">IF($I738="Correct",ROUND(INDEX('Reward Model'!$B$12:$B$14,MATCH($Y738,'Reward Model'!$A$12:$A$14,0))*Z738,2),0)</f>
        <v>0</v>
      </c>
    </row>
    <row r="739" customFormat="false" ht="15" hidden="false" customHeight="false" outlineLevel="0" collapsed="false">
      <c r="A739" s="0" t="s">
        <v>201</v>
      </c>
      <c r="B739" s="0" t="s">
        <v>202</v>
      </c>
      <c r="C739" s="0" t="s">
        <v>30</v>
      </c>
      <c r="D739" s="0" t="s">
        <v>189</v>
      </c>
      <c r="E739" s="0" t="n">
        <v>18</v>
      </c>
      <c r="F739" s="0" t="s">
        <v>76</v>
      </c>
      <c r="G739" s="0" t="s">
        <v>77</v>
      </c>
      <c r="H739" s="0" t="s">
        <v>77</v>
      </c>
      <c r="I739" s="0" t="s">
        <v>34</v>
      </c>
      <c r="J739" s="0" t="n">
        <v>1.58</v>
      </c>
      <c r="K739" s="0" t="s">
        <v>73</v>
      </c>
      <c r="L739" s="0" t="n">
        <f aca="false">INDEX(Summary!$F$2:$F$201,MATCH($B739,Summary!$A$2:$A$201,0))</f>
        <v>20</v>
      </c>
      <c r="M739" s="0" t="n">
        <f aca="false">INDEX(Summary!$I$2:$I$201,MATCH($B739,Summary!$A$2:$A$201,0))</f>
        <v>1</v>
      </c>
      <c r="N739" s="0" t="n">
        <f aca="false">INDEX(Summary!$J$2:$J$201,MATCH($B739,Summary!$A$2:$A$201,0))</f>
        <v>4</v>
      </c>
      <c r="O739" s="2" t="n">
        <f aca="false">INDEX(Summary!$K$2:$K$201,MATCH($B739,Summary!$A$2:$A$201,0))</f>
        <v>9.03</v>
      </c>
      <c r="P739" s="3" t="n">
        <f aca="false">INDEX(Summary!$L$2:$L$201,MATCH($B739,Summary!$A$2:$A$201,0))</f>
        <v>3</v>
      </c>
      <c r="Q739" s="3" t="n">
        <f aca="false">INDEX(Summary!$M$2:$M$201,MATCH($B739,Summary!$A$2:$A$201,0))</f>
        <v>3</v>
      </c>
      <c r="R739" s="2" t="n">
        <f aca="false">INDEX(Summary!$N$2:$N$201,MATCH($B739,Summary!$A$2:$A$201,0))</f>
        <v>9.93</v>
      </c>
      <c r="S739" s="3" t="n">
        <f aca="false">INDEX(Summary!$O$2:$O$201,MATCH($B739,Summary!$A$2:$A$201,0))</f>
        <v>8</v>
      </c>
      <c r="T739" s="3" t="n">
        <f aca="false">INDEX(Summary!$P$2:$P$201,MATCH($B739,Summary!$A$2:$A$201,0))</f>
        <v>1</v>
      </c>
      <c r="U739" s="2" t="n">
        <f aca="false">INDEX(Summary!$Q$2:$Q$201,MATCH($B739,Summary!$A$2:$A$201,0))</f>
        <v>13.23</v>
      </c>
      <c r="V739" s="2" t="n">
        <f aca="false">INDEX(Summary!$R$2:$R$201,MATCH($B739,Summary!$A$2:$A$201,0))</f>
        <v>20.03</v>
      </c>
      <c r="W739" s="0" t="str">
        <f aca="false">INDEX(Summary!$S$2:$S$201,MATCH($B739,Summary!$A$2:$A$201,0))</f>
        <v>Bronze</v>
      </c>
      <c r="X739" s="2" t="n">
        <f aca="false">INDEX(Summary!$T$2:$T$201,MATCH($B739,Summary!$A$2:$A$201,0))</f>
        <v>48.85</v>
      </c>
      <c r="Y739" s="0" t="str">
        <f aca="false">INDEX('Reward Model'!$E$18:$E$37,MATCH($E739,'Reward Model'!$A$18:$A$37,0))</f>
        <v>High</v>
      </c>
      <c r="Z739" s="4" t="n">
        <f aca="false">ROUND(MIN(1,MAX('Reward Model'!$B$2,INDEX('Reward Model'!$C$12:$C$14,MATCH($K739,'Reward Model'!$A$12:$A$14,0))/$J739)),3)</f>
        <v>1</v>
      </c>
      <c r="AA739" s="2" t="n">
        <f aca="false">IF($I739="Correct",ROUND(INDEX('Reward Model'!$B$12:$B$14,MATCH($K739,'Reward Model'!$A$12:$A$14,0))*Z739,2),0)</f>
        <v>3</v>
      </c>
      <c r="AB739" s="2" t="n">
        <f aca="false">IF($I739="Correct",ROUND(INDEX('Reward Model'!$B$12:$B$14,MATCH($Y739,'Reward Model'!$A$12:$A$14,0))*Z739,2),0)</f>
        <v>3</v>
      </c>
    </row>
    <row r="740" customFormat="false" ht="15" hidden="false" customHeight="false" outlineLevel="0" collapsed="false">
      <c r="A740" s="0" t="s">
        <v>201</v>
      </c>
      <c r="B740" s="0" t="s">
        <v>202</v>
      </c>
      <c r="C740" s="0" t="s">
        <v>30</v>
      </c>
      <c r="D740" s="0" t="s">
        <v>189</v>
      </c>
      <c r="E740" s="0" t="n">
        <v>19</v>
      </c>
      <c r="F740" s="0" t="s">
        <v>78</v>
      </c>
      <c r="G740" s="0" t="s">
        <v>51</v>
      </c>
      <c r="H740" s="0" t="s">
        <v>80</v>
      </c>
      <c r="I740" s="0" t="s">
        <v>39</v>
      </c>
      <c r="J740" s="0" t="n">
        <v>1.58</v>
      </c>
      <c r="K740" s="0" t="s">
        <v>73</v>
      </c>
      <c r="L740" s="0" t="n">
        <f aca="false">INDEX(Summary!$F$2:$F$201,MATCH($B740,Summary!$A$2:$A$201,0))</f>
        <v>20</v>
      </c>
      <c r="M740" s="0" t="n">
        <f aca="false">INDEX(Summary!$I$2:$I$201,MATCH($B740,Summary!$A$2:$A$201,0))</f>
        <v>1</v>
      </c>
      <c r="N740" s="0" t="n">
        <f aca="false">INDEX(Summary!$J$2:$J$201,MATCH($B740,Summary!$A$2:$A$201,0))</f>
        <v>4</v>
      </c>
      <c r="O740" s="2" t="n">
        <f aca="false">INDEX(Summary!$K$2:$K$201,MATCH($B740,Summary!$A$2:$A$201,0))</f>
        <v>9.03</v>
      </c>
      <c r="P740" s="3" t="n">
        <f aca="false">INDEX(Summary!$L$2:$L$201,MATCH($B740,Summary!$A$2:$A$201,0))</f>
        <v>3</v>
      </c>
      <c r="Q740" s="3" t="n">
        <f aca="false">INDEX(Summary!$M$2:$M$201,MATCH($B740,Summary!$A$2:$A$201,0))</f>
        <v>3</v>
      </c>
      <c r="R740" s="2" t="n">
        <f aca="false">INDEX(Summary!$N$2:$N$201,MATCH($B740,Summary!$A$2:$A$201,0))</f>
        <v>9.93</v>
      </c>
      <c r="S740" s="3" t="n">
        <f aca="false">INDEX(Summary!$O$2:$O$201,MATCH($B740,Summary!$A$2:$A$201,0))</f>
        <v>8</v>
      </c>
      <c r="T740" s="3" t="n">
        <f aca="false">INDEX(Summary!$P$2:$P$201,MATCH($B740,Summary!$A$2:$A$201,0))</f>
        <v>1</v>
      </c>
      <c r="U740" s="2" t="n">
        <f aca="false">INDEX(Summary!$Q$2:$Q$201,MATCH($B740,Summary!$A$2:$A$201,0))</f>
        <v>13.23</v>
      </c>
      <c r="V740" s="2" t="n">
        <f aca="false">INDEX(Summary!$R$2:$R$201,MATCH($B740,Summary!$A$2:$A$201,0))</f>
        <v>20.03</v>
      </c>
      <c r="W740" s="0" t="str">
        <f aca="false">INDEX(Summary!$S$2:$S$201,MATCH($B740,Summary!$A$2:$A$201,0))</f>
        <v>Bronze</v>
      </c>
      <c r="X740" s="2" t="n">
        <f aca="false">INDEX(Summary!$T$2:$T$201,MATCH($B740,Summary!$A$2:$A$201,0))</f>
        <v>48.85</v>
      </c>
      <c r="Y740" s="0" t="str">
        <f aca="false">INDEX('Reward Model'!$E$18:$E$37,MATCH($E740,'Reward Model'!$A$18:$A$37,0))</f>
        <v>High</v>
      </c>
      <c r="Z740" s="4" t="n">
        <f aca="false">ROUND(MIN(1,MAX('Reward Model'!$B$2,INDEX('Reward Model'!$C$12:$C$14,MATCH($K740,'Reward Model'!$A$12:$A$14,0))/$J740)),3)</f>
        <v>1</v>
      </c>
      <c r="AA740" s="2" t="n">
        <f aca="false">IF($I740="Correct",ROUND(INDEX('Reward Model'!$B$12:$B$14,MATCH($K740,'Reward Model'!$A$12:$A$14,0))*Z740,2),0)</f>
        <v>0</v>
      </c>
      <c r="AB740" s="2" t="n">
        <f aca="false">IF($I740="Correct",ROUND(INDEX('Reward Model'!$B$12:$B$14,MATCH($Y740,'Reward Model'!$A$12:$A$14,0))*Z740,2),0)</f>
        <v>0</v>
      </c>
    </row>
    <row r="741" customFormat="false" ht="15" hidden="false" customHeight="false" outlineLevel="0" collapsed="false">
      <c r="A741" s="0" t="s">
        <v>201</v>
      </c>
      <c r="B741" s="0" t="s">
        <v>202</v>
      </c>
      <c r="C741" s="0" t="s">
        <v>30</v>
      </c>
      <c r="D741" s="0" t="s">
        <v>189</v>
      </c>
      <c r="E741" s="0" t="n">
        <v>20</v>
      </c>
      <c r="F741" s="0" t="s">
        <v>81</v>
      </c>
      <c r="G741" s="0" t="s">
        <v>119</v>
      </c>
      <c r="H741" s="0" t="s">
        <v>83</v>
      </c>
      <c r="I741" s="0" t="s">
        <v>39</v>
      </c>
      <c r="J741" s="0" t="n">
        <v>2.08</v>
      </c>
      <c r="K741" s="0" t="s">
        <v>73</v>
      </c>
      <c r="L741" s="0" t="n">
        <f aca="false">INDEX(Summary!$F$2:$F$201,MATCH($B741,Summary!$A$2:$A$201,0))</f>
        <v>20</v>
      </c>
      <c r="M741" s="0" t="n">
        <f aca="false">INDEX(Summary!$I$2:$I$201,MATCH($B741,Summary!$A$2:$A$201,0))</f>
        <v>1</v>
      </c>
      <c r="N741" s="0" t="n">
        <f aca="false">INDEX(Summary!$J$2:$J$201,MATCH($B741,Summary!$A$2:$A$201,0))</f>
        <v>4</v>
      </c>
      <c r="O741" s="2" t="n">
        <f aca="false">INDEX(Summary!$K$2:$K$201,MATCH($B741,Summary!$A$2:$A$201,0))</f>
        <v>9.03</v>
      </c>
      <c r="P741" s="3" t="n">
        <f aca="false">INDEX(Summary!$L$2:$L$201,MATCH($B741,Summary!$A$2:$A$201,0))</f>
        <v>3</v>
      </c>
      <c r="Q741" s="3" t="n">
        <f aca="false">INDEX(Summary!$M$2:$M$201,MATCH($B741,Summary!$A$2:$A$201,0))</f>
        <v>3</v>
      </c>
      <c r="R741" s="2" t="n">
        <f aca="false">INDEX(Summary!$N$2:$N$201,MATCH($B741,Summary!$A$2:$A$201,0))</f>
        <v>9.93</v>
      </c>
      <c r="S741" s="3" t="n">
        <f aca="false">INDEX(Summary!$O$2:$O$201,MATCH($B741,Summary!$A$2:$A$201,0))</f>
        <v>8</v>
      </c>
      <c r="T741" s="3" t="n">
        <f aca="false">INDEX(Summary!$P$2:$P$201,MATCH($B741,Summary!$A$2:$A$201,0))</f>
        <v>1</v>
      </c>
      <c r="U741" s="2" t="n">
        <f aca="false">INDEX(Summary!$Q$2:$Q$201,MATCH($B741,Summary!$A$2:$A$201,0))</f>
        <v>13.23</v>
      </c>
      <c r="V741" s="2" t="n">
        <f aca="false">INDEX(Summary!$R$2:$R$201,MATCH($B741,Summary!$A$2:$A$201,0))</f>
        <v>20.03</v>
      </c>
      <c r="W741" s="0" t="str">
        <f aca="false">INDEX(Summary!$S$2:$S$201,MATCH($B741,Summary!$A$2:$A$201,0))</f>
        <v>Bronze</v>
      </c>
      <c r="X741" s="2" t="n">
        <f aca="false">INDEX(Summary!$T$2:$T$201,MATCH($B741,Summary!$A$2:$A$201,0))</f>
        <v>48.85</v>
      </c>
      <c r="Y741" s="0" t="str">
        <f aca="false">INDEX('Reward Model'!$E$18:$E$37,MATCH($E741,'Reward Model'!$A$18:$A$37,0))</f>
        <v>High</v>
      </c>
      <c r="Z741" s="4" t="n">
        <f aca="false">ROUND(MIN(1,MAX('Reward Model'!$B$2,INDEX('Reward Model'!$C$12:$C$14,MATCH($K741,'Reward Model'!$A$12:$A$14,0))/$J741)),3)</f>
        <v>0.962</v>
      </c>
      <c r="AA741" s="2" t="n">
        <f aca="false">IF($I741="Correct",ROUND(INDEX('Reward Model'!$B$12:$B$14,MATCH($K741,'Reward Model'!$A$12:$A$14,0))*Z741,2),0)</f>
        <v>0</v>
      </c>
      <c r="AB741" s="2" t="n">
        <f aca="false">IF($I741="Correct",ROUND(INDEX('Reward Model'!$B$12:$B$14,MATCH($Y741,'Reward Model'!$A$12:$A$14,0))*Z741,2),0)</f>
        <v>0</v>
      </c>
    </row>
    <row r="742" customFormat="false" ht="15" hidden="false" customHeight="false" outlineLevel="0" collapsed="false">
      <c r="A742" s="0" t="s">
        <v>203</v>
      </c>
      <c r="B742" s="0" t="s">
        <v>204</v>
      </c>
      <c r="C742" s="0" t="s">
        <v>30</v>
      </c>
      <c r="D742" s="0" t="s">
        <v>189</v>
      </c>
      <c r="E742" s="0" t="n">
        <v>1</v>
      </c>
      <c r="F742" s="0" t="s">
        <v>32</v>
      </c>
      <c r="G742" s="0" t="s">
        <v>33</v>
      </c>
      <c r="H742" s="0" t="s">
        <v>33</v>
      </c>
      <c r="I742" s="0" t="s">
        <v>34</v>
      </c>
      <c r="J742" s="0" t="n">
        <v>0.94</v>
      </c>
      <c r="K742" s="0" t="s">
        <v>35</v>
      </c>
      <c r="L742" s="0" t="n">
        <f aca="false">INDEX(Summary!$F$2:$F$201,MATCH($B742,Summary!$A$2:$A$201,0))</f>
        <v>20</v>
      </c>
      <c r="M742" s="0" t="n">
        <f aca="false">INDEX(Summary!$I$2:$I$201,MATCH($B742,Summary!$A$2:$A$201,0))</f>
        <v>2</v>
      </c>
      <c r="N742" s="0" t="n">
        <f aca="false">INDEX(Summary!$J$2:$J$201,MATCH($B742,Summary!$A$2:$A$201,0))</f>
        <v>3</v>
      </c>
      <c r="O742" s="2" t="n">
        <f aca="false">INDEX(Summary!$K$2:$K$201,MATCH($B742,Summary!$A$2:$A$201,0))</f>
        <v>9.25</v>
      </c>
      <c r="P742" s="3" t="n">
        <f aca="false">INDEX(Summary!$L$2:$L$201,MATCH($B742,Summary!$A$2:$A$201,0))</f>
        <v>2</v>
      </c>
      <c r="Q742" s="3" t="n">
        <f aca="false">INDEX(Summary!$M$2:$M$201,MATCH($B742,Summary!$A$2:$A$201,0))</f>
        <v>4</v>
      </c>
      <c r="R742" s="2" t="n">
        <f aca="false">INDEX(Summary!$N$2:$N$201,MATCH($B742,Summary!$A$2:$A$201,0))</f>
        <v>8.54</v>
      </c>
      <c r="S742" s="3" t="n">
        <f aca="false">INDEX(Summary!$O$2:$O$201,MATCH($B742,Summary!$A$2:$A$201,0))</f>
        <v>7</v>
      </c>
      <c r="T742" s="3" t="n">
        <f aca="false">INDEX(Summary!$P$2:$P$201,MATCH($B742,Summary!$A$2:$A$201,0))</f>
        <v>2</v>
      </c>
      <c r="U742" s="2" t="n">
        <f aca="false">INDEX(Summary!$Q$2:$Q$201,MATCH($B742,Summary!$A$2:$A$201,0))</f>
        <v>10.76</v>
      </c>
      <c r="V742" s="2" t="n">
        <f aca="false">INDEX(Summary!$R$2:$R$201,MATCH($B742,Summary!$A$2:$A$201,0))</f>
        <v>19.01</v>
      </c>
      <c r="W742" s="0" t="str">
        <f aca="false">INDEX(Summary!$S$2:$S$201,MATCH($B742,Summary!$A$2:$A$201,0))</f>
        <v>Bronze</v>
      </c>
      <c r="X742" s="2" t="n">
        <f aca="false">INDEX(Summary!$T$2:$T$201,MATCH($B742,Summary!$A$2:$A$201,0))</f>
        <v>46.37</v>
      </c>
      <c r="Y742" s="0" t="str">
        <f aca="false">INDEX('Reward Model'!$E$18:$E$37,MATCH($E742,'Reward Model'!$A$18:$A$37,0))</f>
        <v>Medium</v>
      </c>
      <c r="Z742" s="4" t="n">
        <f aca="false">ROUND(MIN(1,MAX('Reward Model'!$B$2,INDEX('Reward Model'!$C$12:$C$14,MATCH($K742,'Reward Model'!$A$12:$A$14,0))/$J742)),3)</f>
        <v>1</v>
      </c>
      <c r="AA742" s="2" t="n">
        <f aca="false">IF($I742="Correct",ROUND(INDEX('Reward Model'!$B$12:$B$14,MATCH($K742,'Reward Model'!$A$12:$A$14,0))*Z742,2),0)</f>
        <v>1</v>
      </c>
      <c r="AB742" s="2" t="n">
        <f aca="false">IF($I742="Correct",ROUND(INDEX('Reward Model'!$B$12:$B$14,MATCH($Y742,'Reward Model'!$A$12:$A$14,0))*Z742,2),0)</f>
        <v>2</v>
      </c>
    </row>
    <row r="743" customFormat="false" ht="15" hidden="false" customHeight="false" outlineLevel="0" collapsed="false">
      <c r="A743" s="0" t="s">
        <v>203</v>
      </c>
      <c r="B743" s="0" t="s">
        <v>204</v>
      </c>
      <c r="C743" s="0" t="s">
        <v>30</v>
      </c>
      <c r="D743" s="0" t="s">
        <v>189</v>
      </c>
      <c r="E743" s="0" t="n">
        <v>2</v>
      </c>
      <c r="F743" s="0" t="s">
        <v>36</v>
      </c>
      <c r="G743" s="0" t="s">
        <v>38</v>
      </c>
      <c r="H743" s="0" t="s">
        <v>38</v>
      </c>
      <c r="I743" s="0" t="s">
        <v>34</v>
      </c>
      <c r="J743" s="0" t="n">
        <v>1.13</v>
      </c>
      <c r="K743" s="0" t="s">
        <v>35</v>
      </c>
      <c r="L743" s="0" t="n">
        <f aca="false">INDEX(Summary!$F$2:$F$201,MATCH($B743,Summary!$A$2:$A$201,0))</f>
        <v>20</v>
      </c>
      <c r="M743" s="0" t="n">
        <f aca="false">INDEX(Summary!$I$2:$I$201,MATCH($B743,Summary!$A$2:$A$201,0))</f>
        <v>2</v>
      </c>
      <c r="N743" s="0" t="n">
        <f aca="false">INDEX(Summary!$J$2:$J$201,MATCH($B743,Summary!$A$2:$A$201,0))</f>
        <v>3</v>
      </c>
      <c r="O743" s="2" t="n">
        <f aca="false">INDEX(Summary!$K$2:$K$201,MATCH($B743,Summary!$A$2:$A$201,0))</f>
        <v>9.25</v>
      </c>
      <c r="P743" s="3" t="n">
        <f aca="false">INDEX(Summary!$L$2:$L$201,MATCH($B743,Summary!$A$2:$A$201,0))</f>
        <v>2</v>
      </c>
      <c r="Q743" s="3" t="n">
        <f aca="false">INDEX(Summary!$M$2:$M$201,MATCH($B743,Summary!$A$2:$A$201,0))</f>
        <v>4</v>
      </c>
      <c r="R743" s="2" t="n">
        <f aca="false">INDEX(Summary!$N$2:$N$201,MATCH($B743,Summary!$A$2:$A$201,0))</f>
        <v>8.54</v>
      </c>
      <c r="S743" s="3" t="n">
        <f aca="false">INDEX(Summary!$O$2:$O$201,MATCH($B743,Summary!$A$2:$A$201,0))</f>
        <v>7</v>
      </c>
      <c r="T743" s="3" t="n">
        <f aca="false">INDEX(Summary!$P$2:$P$201,MATCH($B743,Summary!$A$2:$A$201,0))</f>
        <v>2</v>
      </c>
      <c r="U743" s="2" t="n">
        <f aca="false">INDEX(Summary!$Q$2:$Q$201,MATCH($B743,Summary!$A$2:$A$201,0))</f>
        <v>10.76</v>
      </c>
      <c r="V743" s="2" t="n">
        <f aca="false">INDEX(Summary!$R$2:$R$201,MATCH($B743,Summary!$A$2:$A$201,0))</f>
        <v>19.01</v>
      </c>
      <c r="W743" s="0" t="str">
        <f aca="false">INDEX(Summary!$S$2:$S$201,MATCH($B743,Summary!$A$2:$A$201,0))</f>
        <v>Bronze</v>
      </c>
      <c r="X743" s="2" t="n">
        <f aca="false">INDEX(Summary!$T$2:$T$201,MATCH($B743,Summary!$A$2:$A$201,0))</f>
        <v>46.37</v>
      </c>
      <c r="Y743" s="0" t="str">
        <f aca="false">INDEX('Reward Model'!$E$18:$E$37,MATCH($E743,'Reward Model'!$A$18:$A$37,0))</f>
        <v>Low</v>
      </c>
      <c r="Z743" s="4" t="n">
        <f aca="false">ROUND(MIN(1,MAX('Reward Model'!$B$2,INDEX('Reward Model'!$C$12:$C$14,MATCH($K743,'Reward Model'!$A$12:$A$14,0))/$J743)),3)</f>
        <v>1</v>
      </c>
      <c r="AA743" s="2" t="n">
        <f aca="false">IF($I743="Correct",ROUND(INDEX('Reward Model'!$B$12:$B$14,MATCH($K743,'Reward Model'!$A$12:$A$14,0))*Z743,2),0)</f>
        <v>1</v>
      </c>
      <c r="AB743" s="2" t="n">
        <f aca="false">IF($I743="Correct",ROUND(INDEX('Reward Model'!$B$12:$B$14,MATCH($Y743,'Reward Model'!$A$12:$A$14,0))*Z743,2),0)</f>
        <v>1</v>
      </c>
    </row>
    <row r="744" customFormat="false" ht="15" hidden="false" customHeight="false" outlineLevel="0" collapsed="false">
      <c r="A744" s="0" t="s">
        <v>203</v>
      </c>
      <c r="B744" s="0" t="s">
        <v>204</v>
      </c>
      <c r="C744" s="0" t="s">
        <v>30</v>
      </c>
      <c r="D744" s="0" t="s">
        <v>189</v>
      </c>
      <c r="E744" s="0" t="n">
        <v>3</v>
      </c>
      <c r="F744" s="0" t="s">
        <v>40</v>
      </c>
      <c r="G744" s="0" t="s">
        <v>42</v>
      </c>
      <c r="H744" s="0" t="s">
        <v>42</v>
      </c>
      <c r="I744" s="0" t="s">
        <v>34</v>
      </c>
      <c r="J744" s="0" t="n">
        <v>1.09</v>
      </c>
      <c r="K744" s="0" t="s">
        <v>35</v>
      </c>
      <c r="L744" s="0" t="n">
        <f aca="false">INDEX(Summary!$F$2:$F$201,MATCH($B744,Summary!$A$2:$A$201,0))</f>
        <v>20</v>
      </c>
      <c r="M744" s="0" t="n">
        <f aca="false">INDEX(Summary!$I$2:$I$201,MATCH($B744,Summary!$A$2:$A$201,0))</f>
        <v>2</v>
      </c>
      <c r="N744" s="0" t="n">
        <f aca="false">INDEX(Summary!$J$2:$J$201,MATCH($B744,Summary!$A$2:$A$201,0))</f>
        <v>3</v>
      </c>
      <c r="O744" s="2" t="n">
        <f aca="false">INDEX(Summary!$K$2:$K$201,MATCH($B744,Summary!$A$2:$A$201,0))</f>
        <v>9.25</v>
      </c>
      <c r="P744" s="3" t="n">
        <f aca="false">INDEX(Summary!$L$2:$L$201,MATCH($B744,Summary!$A$2:$A$201,0))</f>
        <v>2</v>
      </c>
      <c r="Q744" s="3" t="n">
        <f aca="false">INDEX(Summary!$M$2:$M$201,MATCH($B744,Summary!$A$2:$A$201,0))</f>
        <v>4</v>
      </c>
      <c r="R744" s="2" t="n">
        <f aca="false">INDEX(Summary!$N$2:$N$201,MATCH($B744,Summary!$A$2:$A$201,0))</f>
        <v>8.54</v>
      </c>
      <c r="S744" s="3" t="n">
        <f aca="false">INDEX(Summary!$O$2:$O$201,MATCH($B744,Summary!$A$2:$A$201,0))</f>
        <v>7</v>
      </c>
      <c r="T744" s="3" t="n">
        <f aca="false">INDEX(Summary!$P$2:$P$201,MATCH($B744,Summary!$A$2:$A$201,0))</f>
        <v>2</v>
      </c>
      <c r="U744" s="2" t="n">
        <f aca="false">INDEX(Summary!$Q$2:$Q$201,MATCH($B744,Summary!$A$2:$A$201,0))</f>
        <v>10.76</v>
      </c>
      <c r="V744" s="2" t="n">
        <f aca="false">INDEX(Summary!$R$2:$R$201,MATCH($B744,Summary!$A$2:$A$201,0))</f>
        <v>19.01</v>
      </c>
      <c r="W744" s="0" t="str">
        <f aca="false">INDEX(Summary!$S$2:$S$201,MATCH($B744,Summary!$A$2:$A$201,0))</f>
        <v>Bronze</v>
      </c>
      <c r="X744" s="2" t="n">
        <f aca="false">INDEX(Summary!$T$2:$T$201,MATCH($B744,Summary!$A$2:$A$201,0))</f>
        <v>46.37</v>
      </c>
      <c r="Y744" s="0" t="str">
        <f aca="false">INDEX('Reward Model'!$E$18:$E$37,MATCH($E744,'Reward Model'!$A$18:$A$37,0))</f>
        <v>Medium</v>
      </c>
      <c r="Z744" s="4" t="n">
        <f aca="false">ROUND(MIN(1,MAX('Reward Model'!$B$2,INDEX('Reward Model'!$C$12:$C$14,MATCH($K744,'Reward Model'!$A$12:$A$14,0))/$J744)),3)</f>
        <v>1</v>
      </c>
      <c r="AA744" s="2" t="n">
        <f aca="false">IF($I744="Correct",ROUND(INDEX('Reward Model'!$B$12:$B$14,MATCH($K744,'Reward Model'!$A$12:$A$14,0))*Z744,2),0)</f>
        <v>1</v>
      </c>
      <c r="AB744" s="2" t="n">
        <f aca="false">IF($I744="Correct",ROUND(INDEX('Reward Model'!$B$12:$B$14,MATCH($Y744,'Reward Model'!$A$12:$A$14,0))*Z744,2),0)</f>
        <v>2</v>
      </c>
    </row>
    <row r="745" customFormat="false" ht="15" hidden="false" customHeight="false" outlineLevel="0" collapsed="false">
      <c r="A745" s="0" t="s">
        <v>203</v>
      </c>
      <c r="B745" s="0" t="s">
        <v>204</v>
      </c>
      <c r="C745" s="0" t="s">
        <v>30</v>
      </c>
      <c r="D745" s="0" t="s">
        <v>189</v>
      </c>
      <c r="E745" s="0" t="n">
        <v>4</v>
      </c>
      <c r="F745" s="0" t="s">
        <v>43</v>
      </c>
      <c r="G745" s="0" t="s">
        <v>45</v>
      </c>
      <c r="H745" s="0" t="s">
        <v>45</v>
      </c>
      <c r="I745" s="0" t="s">
        <v>34</v>
      </c>
      <c r="J745" s="0" t="n">
        <v>1.04</v>
      </c>
      <c r="K745" s="0" t="s">
        <v>35</v>
      </c>
      <c r="L745" s="0" t="n">
        <f aca="false">INDEX(Summary!$F$2:$F$201,MATCH($B745,Summary!$A$2:$A$201,0))</f>
        <v>20</v>
      </c>
      <c r="M745" s="0" t="n">
        <f aca="false">INDEX(Summary!$I$2:$I$201,MATCH($B745,Summary!$A$2:$A$201,0))</f>
        <v>2</v>
      </c>
      <c r="N745" s="0" t="n">
        <f aca="false">INDEX(Summary!$J$2:$J$201,MATCH($B745,Summary!$A$2:$A$201,0))</f>
        <v>3</v>
      </c>
      <c r="O745" s="2" t="n">
        <f aca="false">INDEX(Summary!$K$2:$K$201,MATCH($B745,Summary!$A$2:$A$201,0))</f>
        <v>9.25</v>
      </c>
      <c r="P745" s="3" t="n">
        <f aca="false">INDEX(Summary!$L$2:$L$201,MATCH($B745,Summary!$A$2:$A$201,0))</f>
        <v>2</v>
      </c>
      <c r="Q745" s="3" t="n">
        <f aca="false">INDEX(Summary!$M$2:$M$201,MATCH($B745,Summary!$A$2:$A$201,0))</f>
        <v>4</v>
      </c>
      <c r="R745" s="2" t="n">
        <f aca="false">INDEX(Summary!$N$2:$N$201,MATCH($B745,Summary!$A$2:$A$201,0))</f>
        <v>8.54</v>
      </c>
      <c r="S745" s="3" t="n">
        <f aca="false">INDEX(Summary!$O$2:$O$201,MATCH($B745,Summary!$A$2:$A$201,0))</f>
        <v>7</v>
      </c>
      <c r="T745" s="3" t="n">
        <f aca="false">INDEX(Summary!$P$2:$P$201,MATCH($B745,Summary!$A$2:$A$201,0))</f>
        <v>2</v>
      </c>
      <c r="U745" s="2" t="n">
        <f aca="false">INDEX(Summary!$Q$2:$Q$201,MATCH($B745,Summary!$A$2:$A$201,0))</f>
        <v>10.76</v>
      </c>
      <c r="V745" s="2" t="n">
        <f aca="false">INDEX(Summary!$R$2:$R$201,MATCH($B745,Summary!$A$2:$A$201,0))</f>
        <v>19.01</v>
      </c>
      <c r="W745" s="0" t="str">
        <f aca="false">INDEX(Summary!$S$2:$S$201,MATCH($B745,Summary!$A$2:$A$201,0))</f>
        <v>Bronze</v>
      </c>
      <c r="X745" s="2" t="n">
        <f aca="false">INDEX(Summary!$T$2:$T$201,MATCH($B745,Summary!$A$2:$A$201,0))</f>
        <v>46.37</v>
      </c>
      <c r="Y745" s="0" t="str">
        <f aca="false">INDEX('Reward Model'!$E$18:$E$37,MATCH($E745,'Reward Model'!$A$18:$A$37,0))</f>
        <v>Low</v>
      </c>
      <c r="Z745" s="4" t="n">
        <f aca="false">ROUND(MIN(1,MAX('Reward Model'!$B$2,INDEX('Reward Model'!$C$12:$C$14,MATCH($K745,'Reward Model'!$A$12:$A$14,0))/$J745)),3)</f>
        <v>1</v>
      </c>
      <c r="AA745" s="2" t="n">
        <f aca="false">IF($I745="Correct",ROUND(INDEX('Reward Model'!$B$12:$B$14,MATCH($K745,'Reward Model'!$A$12:$A$14,0))*Z745,2),0)</f>
        <v>1</v>
      </c>
      <c r="AB745" s="2" t="n">
        <f aca="false">IF($I745="Correct",ROUND(INDEX('Reward Model'!$B$12:$B$14,MATCH($Y745,'Reward Model'!$A$12:$A$14,0))*Z745,2),0)</f>
        <v>1</v>
      </c>
    </row>
    <row r="746" customFormat="false" ht="15" hidden="false" customHeight="false" outlineLevel="0" collapsed="false">
      <c r="A746" s="0" t="s">
        <v>203</v>
      </c>
      <c r="B746" s="0" t="s">
        <v>204</v>
      </c>
      <c r="C746" s="0" t="s">
        <v>30</v>
      </c>
      <c r="D746" s="0" t="s">
        <v>189</v>
      </c>
      <c r="E746" s="0" t="n">
        <v>5</v>
      </c>
      <c r="F746" s="0" t="s">
        <v>46</v>
      </c>
      <c r="G746" s="0" t="s">
        <v>47</v>
      </c>
      <c r="H746" s="0" t="s">
        <v>47</v>
      </c>
      <c r="I746" s="0" t="s">
        <v>34</v>
      </c>
      <c r="J746" s="0" t="n">
        <v>1.38</v>
      </c>
      <c r="K746" s="0" t="s">
        <v>35</v>
      </c>
      <c r="L746" s="0" t="n">
        <f aca="false">INDEX(Summary!$F$2:$F$201,MATCH($B746,Summary!$A$2:$A$201,0))</f>
        <v>20</v>
      </c>
      <c r="M746" s="0" t="n">
        <f aca="false">INDEX(Summary!$I$2:$I$201,MATCH($B746,Summary!$A$2:$A$201,0))</f>
        <v>2</v>
      </c>
      <c r="N746" s="0" t="n">
        <f aca="false">INDEX(Summary!$J$2:$J$201,MATCH($B746,Summary!$A$2:$A$201,0))</f>
        <v>3</v>
      </c>
      <c r="O746" s="2" t="n">
        <f aca="false">INDEX(Summary!$K$2:$K$201,MATCH($B746,Summary!$A$2:$A$201,0))</f>
        <v>9.25</v>
      </c>
      <c r="P746" s="3" t="n">
        <f aca="false">INDEX(Summary!$L$2:$L$201,MATCH($B746,Summary!$A$2:$A$201,0))</f>
        <v>2</v>
      </c>
      <c r="Q746" s="3" t="n">
        <f aca="false">INDEX(Summary!$M$2:$M$201,MATCH($B746,Summary!$A$2:$A$201,0))</f>
        <v>4</v>
      </c>
      <c r="R746" s="2" t="n">
        <f aca="false">INDEX(Summary!$N$2:$N$201,MATCH($B746,Summary!$A$2:$A$201,0))</f>
        <v>8.54</v>
      </c>
      <c r="S746" s="3" t="n">
        <f aca="false">INDEX(Summary!$O$2:$O$201,MATCH($B746,Summary!$A$2:$A$201,0))</f>
        <v>7</v>
      </c>
      <c r="T746" s="3" t="n">
        <f aca="false">INDEX(Summary!$P$2:$P$201,MATCH($B746,Summary!$A$2:$A$201,0))</f>
        <v>2</v>
      </c>
      <c r="U746" s="2" t="n">
        <f aca="false">INDEX(Summary!$Q$2:$Q$201,MATCH($B746,Summary!$A$2:$A$201,0))</f>
        <v>10.76</v>
      </c>
      <c r="V746" s="2" t="n">
        <f aca="false">INDEX(Summary!$R$2:$R$201,MATCH($B746,Summary!$A$2:$A$201,0))</f>
        <v>19.01</v>
      </c>
      <c r="W746" s="0" t="str">
        <f aca="false">INDEX(Summary!$S$2:$S$201,MATCH($B746,Summary!$A$2:$A$201,0))</f>
        <v>Bronze</v>
      </c>
      <c r="X746" s="2" t="n">
        <f aca="false">INDEX(Summary!$T$2:$T$201,MATCH($B746,Summary!$A$2:$A$201,0))</f>
        <v>46.37</v>
      </c>
      <c r="Y746" s="0" t="str">
        <f aca="false">INDEX('Reward Model'!$E$18:$E$37,MATCH($E746,'Reward Model'!$A$18:$A$37,0))</f>
        <v>Low</v>
      </c>
      <c r="Z746" s="4" t="n">
        <f aca="false">ROUND(MIN(1,MAX('Reward Model'!$B$2,INDEX('Reward Model'!$C$12:$C$14,MATCH($K746,'Reward Model'!$A$12:$A$14,0))/$J746)),3)</f>
        <v>1</v>
      </c>
      <c r="AA746" s="2" t="n">
        <f aca="false">IF($I746="Correct",ROUND(INDEX('Reward Model'!$B$12:$B$14,MATCH($K746,'Reward Model'!$A$12:$A$14,0))*Z746,2),0)</f>
        <v>1</v>
      </c>
      <c r="AB746" s="2" t="n">
        <f aca="false">IF($I746="Correct",ROUND(INDEX('Reward Model'!$B$12:$B$14,MATCH($Y746,'Reward Model'!$A$12:$A$14,0))*Z746,2),0)</f>
        <v>1</v>
      </c>
    </row>
    <row r="747" customFormat="false" ht="15" hidden="false" customHeight="false" outlineLevel="0" collapsed="false">
      <c r="A747" s="0" t="s">
        <v>203</v>
      </c>
      <c r="B747" s="0" t="s">
        <v>204</v>
      </c>
      <c r="C747" s="0" t="s">
        <v>30</v>
      </c>
      <c r="D747" s="0" t="s">
        <v>189</v>
      </c>
      <c r="E747" s="0" t="n">
        <v>6</v>
      </c>
      <c r="F747" s="0" t="s">
        <v>48</v>
      </c>
      <c r="G747" s="0" t="s">
        <v>49</v>
      </c>
      <c r="H747" s="0" t="s">
        <v>49</v>
      </c>
      <c r="I747" s="0" t="s">
        <v>34</v>
      </c>
      <c r="J747" s="0" t="n">
        <v>1.34</v>
      </c>
      <c r="K747" s="0" t="s">
        <v>35</v>
      </c>
      <c r="L747" s="0" t="n">
        <f aca="false">INDEX(Summary!$F$2:$F$201,MATCH($B747,Summary!$A$2:$A$201,0))</f>
        <v>20</v>
      </c>
      <c r="M747" s="0" t="n">
        <f aca="false">INDEX(Summary!$I$2:$I$201,MATCH($B747,Summary!$A$2:$A$201,0))</f>
        <v>2</v>
      </c>
      <c r="N747" s="0" t="n">
        <f aca="false">INDEX(Summary!$J$2:$J$201,MATCH($B747,Summary!$A$2:$A$201,0))</f>
        <v>3</v>
      </c>
      <c r="O747" s="2" t="n">
        <f aca="false">INDEX(Summary!$K$2:$K$201,MATCH($B747,Summary!$A$2:$A$201,0))</f>
        <v>9.25</v>
      </c>
      <c r="P747" s="3" t="n">
        <f aca="false">INDEX(Summary!$L$2:$L$201,MATCH($B747,Summary!$A$2:$A$201,0))</f>
        <v>2</v>
      </c>
      <c r="Q747" s="3" t="n">
        <f aca="false">INDEX(Summary!$M$2:$M$201,MATCH($B747,Summary!$A$2:$A$201,0))</f>
        <v>4</v>
      </c>
      <c r="R747" s="2" t="n">
        <f aca="false">INDEX(Summary!$N$2:$N$201,MATCH($B747,Summary!$A$2:$A$201,0))</f>
        <v>8.54</v>
      </c>
      <c r="S747" s="3" t="n">
        <f aca="false">INDEX(Summary!$O$2:$O$201,MATCH($B747,Summary!$A$2:$A$201,0))</f>
        <v>7</v>
      </c>
      <c r="T747" s="3" t="n">
        <f aca="false">INDEX(Summary!$P$2:$P$201,MATCH($B747,Summary!$A$2:$A$201,0))</f>
        <v>2</v>
      </c>
      <c r="U747" s="2" t="n">
        <f aca="false">INDEX(Summary!$Q$2:$Q$201,MATCH($B747,Summary!$A$2:$A$201,0))</f>
        <v>10.76</v>
      </c>
      <c r="V747" s="2" t="n">
        <f aca="false">INDEX(Summary!$R$2:$R$201,MATCH($B747,Summary!$A$2:$A$201,0))</f>
        <v>19.01</v>
      </c>
      <c r="W747" s="0" t="str">
        <f aca="false">INDEX(Summary!$S$2:$S$201,MATCH($B747,Summary!$A$2:$A$201,0))</f>
        <v>Bronze</v>
      </c>
      <c r="X747" s="2" t="n">
        <f aca="false">INDEX(Summary!$T$2:$T$201,MATCH($B747,Summary!$A$2:$A$201,0))</f>
        <v>46.37</v>
      </c>
      <c r="Y747" s="0" t="str">
        <f aca="false">INDEX('Reward Model'!$E$18:$E$37,MATCH($E747,'Reward Model'!$A$18:$A$37,0))</f>
        <v>Medium</v>
      </c>
      <c r="Z747" s="4" t="n">
        <f aca="false">ROUND(MIN(1,MAX('Reward Model'!$B$2,INDEX('Reward Model'!$C$12:$C$14,MATCH($K747,'Reward Model'!$A$12:$A$14,0))/$J747)),3)</f>
        <v>1</v>
      </c>
      <c r="AA747" s="2" t="n">
        <f aca="false">IF($I747="Correct",ROUND(INDEX('Reward Model'!$B$12:$B$14,MATCH($K747,'Reward Model'!$A$12:$A$14,0))*Z747,2),0)</f>
        <v>1</v>
      </c>
      <c r="AB747" s="2" t="n">
        <f aca="false">IF($I747="Correct",ROUND(INDEX('Reward Model'!$B$12:$B$14,MATCH($Y747,'Reward Model'!$A$12:$A$14,0))*Z747,2),0)</f>
        <v>2</v>
      </c>
    </row>
    <row r="748" customFormat="false" ht="15" hidden="false" customHeight="false" outlineLevel="0" collapsed="false">
      <c r="A748" s="0" t="s">
        <v>203</v>
      </c>
      <c r="B748" s="0" t="s">
        <v>204</v>
      </c>
      <c r="C748" s="0" t="s">
        <v>30</v>
      </c>
      <c r="D748" s="0" t="s">
        <v>189</v>
      </c>
      <c r="E748" s="0" t="n">
        <v>7</v>
      </c>
      <c r="F748" s="0" t="s">
        <v>50</v>
      </c>
      <c r="G748" s="0" t="s">
        <v>51</v>
      </c>
      <c r="H748" s="0" t="s">
        <v>51</v>
      </c>
      <c r="I748" s="0" t="s">
        <v>34</v>
      </c>
      <c r="J748" s="0" t="n">
        <v>1.36</v>
      </c>
      <c r="K748" s="0" t="s">
        <v>35</v>
      </c>
      <c r="L748" s="0" t="n">
        <f aca="false">INDEX(Summary!$F$2:$F$201,MATCH($B748,Summary!$A$2:$A$201,0))</f>
        <v>20</v>
      </c>
      <c r="M748" s="0" t="n">
        <f aca="false">INDEX(Summary!$I$2:$I$201,MATCH($B748,Summary!$A$2:$A$201,0))</f>
        <v>2</v>
      </c>
      <c r="N748" s="0" t="n">
        <f aca="false">INDEX(Summary!$J$2:$J$201,MATCH($B748,Summary!$A$2:$A$201,0))</f>
        <v>3</v>
      </c>
      <c r="O748" s="2" t="n">
        <f aca="false">INDEX(Summary!$K$2:$K$201,MATCH($B748,Summary!$A$2:$A$201,0))</f>
        <v>9.25</v>
      </c>
      <c r="P748" s="3" t="n">
        <f aca="false">INDEX(Summary!$L$2:$L$201,MATCH($B748,Summary!$A$2:$A$201,0))</f>
        <v>2</v>
      </c>
      <c r="Q748" s="3" t="n">
        <f aca="false">INDEX(Summary!$M$2:$M$201,MATCH($B748,Summary!$A$2:$A$201,0))</f>
        <v>4</v>
      </c>
      <c r="R748" s="2" t="n">
        <f aca="false">INDEX(Summary!$N$2:$N$201,MATCH($B748,Summary!$A$2:$A$201,0))</f>
        <v>8.54</v>
      </c>
      <c r="S748" s="3" t="n">
        <f aca="false">INDEX(Summary!$O$2:$O$201,MATCH($B748,Summary!$A$2:$A$201,0))</f>
        <v>7</v>
      </c>
      <c r="T748" s="3" t="n">
        <f aca="false">INDEX(Summary!$P$2:$P$201,MATCH($B748,Summary!$A$2:$A$201,0))</f>
        <v>2</v>
      </c>
      <c r="U748" s="2" t="n">
        <f aca="false">INDEX(Summary!$Q$2:$Q$201,MATCH($B748,Summary!$A$2:$A$201,0))</f>
        <v>10.76</v>
      </c>
      <c r="V748" s="2" t="n">
        <f aca="false">INDEX(Summary!$R$2:$R$201,MATCH($B748,Summary!$A$2:$A$201,0))</f>
        <v>19.01</v>
      </c>
      <c r="W748" s="0" t="str">
        <f aca="false">INDEX(Summary!$S$2:$S$201,MATCH($B748,Summary!$A$2:$A$201,0))</f>
        <v>Bronze</v>
      </c>
      <c r="X748" s="2" t="n">
        <f aca="false">INDEX(Summary!$T$2:$T$201,MATCH($B748,Summary!$A$2:$A$201,0))</f>
        <v>46.37</v>
      </c>
      <c r="Y748" s="0" t="str">
        <f aca="false">INDEX('Reward Model'!$E$18:$E$37,MATCH($E748,'Reward Model'!$A$18:$A$37,0))</f>
        <v>Low</v>
      </c>
      <c r="Z748" s="4" t="n">
        <f aca="false">ROUND(MIN(1,MAX('Reward Model'!$B$2,INDEX('Reward Model'!$C$12:$C$14,MATCH($K748,'Reward Model'!$A$12:$A$14,0))/$J748)),3)</f>
        <v>1</v>
      </c>
      <c r="AA748" s="2" t="n">
        <f aca="false">IF($I748="Correct",ROUND(INDEX('Reward Model'!$B$12:$B$14,MATCH($K748,'Reward Model'!$A$12:$A$14,0))*Z748,2),0)</f>
        <v>1</v>
      </c>
      <c r="AB748" s="2" t="n">
        <f aca="false">IF($I748="Correct",ROUND(INDEX('Reward Model'!$B$12:$B$14,MATCH($Y748,'Reward Model'!$A$12:$A$14,0))*Z748,2),0)</f>
        <v>1</v>
      </c>
    </row>
    <row r="749" customFormat="false" ht="15" hidden="false" customHeight="false" outlineLevel="0" collapsed="false">
      <c r="A749" s="0" t="s">
        <v>203</v>
      </c>
      <c r="B749" s="0" t="s">
        <v>204</v>
      </c>
      <c r="C749" s="0" t="s">
        <v>30</v>
      </c>
      <c r="D749" s="0" t="s">
        <v>189</v>
      </c>
      <c r="E749" s="0" t="n">
        <v>8</v>
      </c>
      <c r="F749" s="0" t="s">
        <v>52</v>
      </c>
      <c r="G749" s="0" t="s">
        <v>137</v>
      </c>
      <c r="H749" s="0" t="s">
        <v>54</v>
      </c>
      <c r="I749" s="0" t="s">
        <v>39</v>
      </c>
      <c r="J749" s="0" t="n">
        <v>1.07</v>
      </c>
      <c r="K749" s="0" t="s">
        <v>35</v>
      </c>
      <c r="L749" s="0" t="n">
        <f aca="false">INDEX(Summary!$F$2:$F$201,MATCH($B749,Summary!$A$2:$A$201,0))</f>
        <v>20</v>
      </c>
      <c r="M749" s="0" t="n">
        <f aca="false">INDEX(Summary!$I$2:$I$201,MATCH($B749,Summary!$A$2:$A$201,0))</f>
        <v>2</v>
      </c>
      <c r="N749" s="0" t="n">
        <f aca="false">INDEX(Summary!$J$2:$J$201,MATCH($B749,Summary!$A$2:$A$201,0))</f>
        <v>3</v>
      </c>
      <c r="O749" s="2" t="n">
        <f aca="false">INDEX(Summary!$K$2:$K$201,MATCH($B749,Summary!$A$2:$A$201,0))</f>
        <v>9.25</v>
      </c>
      <c r="P749" s="3" t="n">
        <f aca="false">INDEX(Summary!$L$2:$L$201,MATCH($B749,Summary!$A$2:$A$201,0))</f>
        <v>2</v>
      </c>
      <c r="Q749" s="3" t="n">
        <f aca="false">INDEX(Summary!$M$2:$M$201,MATCH($B749,Summary!$A$2:$A$201,0))</f>
        <v>4</v>
      </c>
      <c r="R749" s="2" t="n">
        <f aca="false">INDEX(Summary!$N$2:$N$201,MATCH($B749,Summary!$A$2:$A$201,0))</f>
        <v>8.54</v>
      </c>
      <c r="S749" s="3" t="n">
        <f aca="false">INDEX(Summary!$O$2:$O$201,MATCH($B749,Summary!$A$2:$A$201,0))</f>
        <v>7</v>
      </c>
      <c r="T749" s="3" t="n">
        <f aca="false">INDEX(Summary!$P$2:$P$201,MATCH($B749,Summary!$A$2:$A$201,0))</f>
        <v>2</v>
      </c>
      <c r="U749" s="2" t="n">
        <f aca="false">INDEX(Summary!$Q$2:$Q$201,MATCH($B749,Summary!$A$2:$A$201,0))</f>
        <v>10.76</v>
      </c>
      <c r="V749" s="2" t="n">
        <f aca="false">INDEX(Summary!$R$2:$R$201,MATCH($B749,Summary!$A$2:$A$201,0))</f>
        <v>19.01</v>
      </c>
      <c r="W749" s="0" t="str">
        <f aca="false">INDEX(Summary!$S$2:$S$201,MATCH($B749,Summary!$A$2:$A$201,0))</f>
        <v>Bronze</v>
      </c>
      <c r="X749" s="2" t="n">
        <f aca="false">INDEX(Summary!$T$2:$T$201,MATCH($B749,Summary!$A$2:$A$201,0))</f>
        <v>46.37</v>
      </c>
      <c r="Y749" s="0" t="str">
        <f aca="false">INDEX('Reward Model'!$E$18:$E$37,MATCH($E749,'Reward Model'!$A$18:$A$37,0))</f>
        <v>Medium</v>
      </c>
      <c r="Z749" s="4" t="n">
        <f aca="false">ROUND(MIN(1,MAX('Reward Model'!$B$2,INDEX('Reward Model'!$C$12:$C$14,MATCH($K749,'Reward Model'!$A$12:$A$14,0))/$J749)),3)</f>
        <v>1</v>
      </c>
      <c r="AA749" s="2" t="n">
        <f aca="false">IF($I749="Correct",ROUND(INDEX('Reward Model'!$B$12:$B$14,MATCH($K749,'Reward Model'!$A$12:$A$14,0))*Z749,2),0)</f>
        <v>0</v>
      </c>
      <c r="AB749" s="2" t="n">
        <f aca="false">IF($I749="Correct",ROUND(INDEX('Reward Model'!$B$12:$B$14,MATCH($Y749,'Reward Model'!$A$12:$A$14,0))*Z749,2),0)</f>
        <v>0</v>
      </c>
    </row>
    <row r="750" customFormat="false" ht="15" hidden="false" customHeight="false" outlineLevel="0" collapsed="false">
      <c r="A750" s="0" t="s">
        <v>203</v>
      </c>
      <c r="B750" s="0" t="s">
        <v>204</v>
      </c>
      <c r="C750" s="0" t="s">
        <v>30</v>
      </c>
      <c r="D750" s="0" t="s">
        <v>189</v>
      </c>
      <c r="E750" s="0" t="n">
        <v>9</v>
      </c>
      <c r="F750" s="0" t="s">
        <v>55</v>
      </c>
      <c r="G750" s="0" t="s">
        <v>56</v>
      </c>
      <c r="H750" s="0" t="s">
        <v>57</v>
      </c>
      <c r="I750" s="0" t="s">
        <v>39</v>
      </c>
      <c r="J750" s="0" t="n">
        <v>1.41</v>
      </c>
      <c r="K750" s="0" t="s">
        <v>35</v>
      </c>
      <c r="L750" s="0" t="n">
        <f aca="false">INDEX(Summary!$F$2:$F$201,MATCH($B750,Summary!$A$2:$A$201,0))</f>
        <v>20</v>
      </c>
      <c r="M750" s="0" t="n">
        <f aca="false">INDEX(Summary!$I$2:$I$201,MATCH($B750,Summary!$A$2:$A$201,0))</f>
        <v>2</v>
      </c>
      <c r="N750" s="0" t="n">
        <f aca="false">INDEX(Summary!$J$2:$J$201,MATCH($B750,Summary!$A$2:$A$201,0))</f>
        <v>3</v>
      </c>
      <c r="O750" s="2" t="n">
        <f aca="false">INDEX(Summary!$K$2:$K$201,MATCH($B750,Summary!$A$2:$A$201,0))</f>
        <v>9.25</v>
      </c>
      <c r="P750" s="3" t="n">
        <f aca="false">INDEX(Summary!$L$2:$L$201,MATCH($B750,Summary!$A$2:$A$201,0))</f>
        <v>2</v>
      </c>
      <c r="Q750" s="3" t="n">
        <f aca="false">INDEX(Summary!$M$2:$M$201,MATCH($B750,Summary!$A$2:$A$201,0))</f>
        <v>4</v>
      </c>
      <c r="R750" s="2" t="n">
        <f aca="false">INDEX(Summary!$N$2:$N$201,MATCH($B750,Summary!$A$2:$A$201,0))</f>
        <v>8.54</v>
      </c>
      <c r="S750" s="3" t="n">
        <f aca="false">INDEX(Summary!$O$2:$O$201,MATCH($B750,Summary!$A$2:$A$201,0))</f>
        <v>7</v>
      </c>
      <c r="T750" s="3" t="n">
        <f aca="false">INDEX(Summary!$P$2:$P$201,MATCH($B750,Summary!$A$2:$A$201,0))</f>
        <v>2</v>
      </c>
      <c r="U750" s="2" t="n">
        <f aca="false">INDEX(Summary!$Q$2:$Q$201,MATCH($B750,Summary!$A$2:$A$201,0))</f>
        <v>10.76</v>
      </c>
      <c r="V750" s="2" t="n">
        <f aca="false">INDEX(Summary!$R$2:$R$201,MATCH($B750,Summary!$A$2:$A$201,0))</f>
        <v>19.01</v>
      </c>
      <c r="W750" s="0" t="str">
        <f aca="false">INDEX(Summary!$S$2:$S$201,MATCH($B750,Summary!$A$2:$A$201,0))</f>
        <v>Bronze</v>
      </c>
      <c r="X750" s="2" t="n">
        <f aca="false">INDEX(Summary!$T$2:$T$201,MATCH($B750,Summary!$A$2:$A$201,0))</f>
        <v>46.37</v>
      </c>
      <c r="Y750" s="0" t="str">
        <f aca="false">INDEX('Reward Model'!$E$18:$E$37,MATCH($E750,'Reward Model'!$A$18:$A$37,0))</f>
        <v>Medium</v>
      </c>
      <c r="Z750" s="4" t="n">
        <f aca="false">ROUND(MIN(1,MAX('Reward Model'!$B$2,INDEX('Reward Model'!$C$12:$C$14,MATCH($K750,'Reward Model'!$A$12:$A$14,0))/$J750)),3)</f>
        <v>1</v>
      </c>
      <c r="AA750" s="2" t="n">
        <f aca="false">IF($I750="Correct",ROUND(INDEX('Reward Model'!$B$12:$B$14,MATCH($K750,'Reward Model'!$A$12:$A$14,0))*Z750,2),0)</f>
        <v>0</v>
      </c>
      <c r="AB750" s="2" t="n">
        <f aca="false">IF($I750="Correct",ROUND(INDEX('Reward Model'!$B$12:$B$14,MATCH($Y750,'Reward Model'!$A$12:$A$14,0))*Z750,2),0)</f>
        <v>0</v>
      </c>
    </row>
    <row r="751" customFormat="false" ht="15" hidden="false" customHeight="false" outlineLevel="0" collapsed="false">
      <c r="A751" s="0" t="s">
        <v>203</v>
      </c>
      <c r="B751" s="0" t="s">
        <v>204</v>
      </c>
      <c r="C751" s="0" t="s">
        <v>30</v>
      </c>
      <c r="D751" s="0" t="s">
        <v>189</v>
      </c>
      <c r="E751" s="0" t="n">
        <v>10</v>
      </c>
      <c r="F751" s="0" t="s">
        <v>58</v>
      </c>
      <c r="G751" s="0" t="s">
        <v>174</v>
      </c>
      <c r="H751" s="0" t="s">
        <v>59</v>
      </c>
      <c r="I751" s="0" t="s">
        <v>39</v>
      </c>
      <c r="J751" s="0" t="n">
        <v>1.36</v>
      </c>
      <c r="K751" s="0" t="s">
        <v>60</v>
      </c>
      <c r="L751" s="0" t="n">
        <f aca="false">INDEX(Summary!$F$2:$F$201,MATCH($B751,Summary!$A$2:$A$201,0))</f>
        <v>20</v>
      </c>
      <c r="M751" s="0" t="n">
        <f aca="false">INDEX(Summary!$I$2:$I$201,MATCH($B751,Summary!$A$2:$A$201,0))</f>
        <v>2</v>
      </c>
      <c r="N751" s="0" t="n">
        <f aca="false">INDEX(Summary!$J$2:$J$201,MATCH($B751,Summary!$A$2:$A$201,0))</f>
        <v>3</v>
      </c>
      <c r="O751" s="2" t="n">
        <f aca="false">INDEX(Summary!$K$2:$K$201,MATCH($B751,Summary!$A$2:$A$201,0))</f>
        <v>9.25</v>
      </c>
      <c r="P751" s="3" t="n">
        <f aca="false">INDEX(Summary!$L$2:$L$201,MATCH($B751,Summary!$A$2:$A$201,0))</f>
        <v>2</v>
      </c>
      <c r="Q751" s="3" t="n">
        <f aca="false">INDEX(Summary!$M$2:$M$201,MATCH($B751,Summary!$A$2:$A$201,0))</f>
        <v>4</v>
      </c>
      <c r="R751" s="2" t="n">
        <f aca="false">INDEX(Summary!$N$2:$N$201,MATCH($B751,Summary!$A$2:$A$201,0))</f>
        <v>8.54</v>
      </c>
      <c r="S751" s="3" t="n">
        <f aca="false">INDEX(Summary!$O$2:$O$201,MATCH($B751,Summary!$A$2:$A$201,0))</f>
        <v>7</v>
      </c>
      <c r="T751" s="3" t="n">
        <f aca="false">INDEX(Summary!$P$2:$P$201,MATCH($B751,Summary!$A$2:$A$201,0))</f>
        <v>2</v>
      </c>
      <c r="U751" s="2" t="n">
        <f aca="false">INDEX(Summary!$Q$2:$Q$201,MATCH($B751,Summary!$A$2:$A$201,0))</f>
        <v>10.76</v>
      </c>
      <c r="V751" s="2" t="n">
        <f aca="false">INDEX(Summary!$R$2:$R$201,MATCH($B751,Summary!$A$2:$A$201,0))</f>
        <v>19.01</v>
      </c>
      <c r="W751" s="0" t="str">
        <f aca="false">INDEX(Summary!$S$2:$S$201,MATCH($B751,Summary!$A$2:$A$201,0))</f>
        <v>Bronze</v>
      </c>
      <c r="X751" s="2" t="n">
        <f aca="false">INDEX(Summary!$T$2:$T$201,MATCH($B751,Summary!$A$2:$A$201,0))</f>
        <v>46.37</v>
      </c>
      <c r="Y751" s="0" t="str">
        <f aca="false">INDEX('Reward Model'!$E$18:$E$37,MATCH($E751,'Reward Model'!$A$18:$A$37,0))</f>
        <v>Medium</v>
      </c>
      <c r="Z751" s="4" t="n">
        <f aca="false">ROUND(MIN(1,MAX('Reward Model'!$B$2,INDEX('Reward Model'!$C$12:$C$14,MATCH($K751,'Reward Model'!$A$12:$A$14,0))/$J751)),3)</f>
        <v>1</v>
      </c>
      <c r="AA751" s="2" t="n">
        <f aca="false">IF($I751="Correct",ROUND(INDEX('Reward Model'!$B$12:$B$14,MATCH($K751,'Reward Model'!$A$12:$A$14,0))*Z751,2),0)</f>
        <v>0</v>
      </c>
      <c r="AB751" s="2" t="n">
        <f aca="false">IF($I751="Correct",ROUND(INDEX('Reward Model'!$B$12:$B$14,MATCH($Y751,'Reward Model'!$A$12:$A$14,0))*Z751,2),0)</f>
        <v>0</v>
      </c>
    </row>
    <row r="752" customFormat="false" ht="15" hidden="false" customHeight="false" outlineLevel="0" collapsed="false">
      <c r="A752" s="0" t="s">
        <v>203</v>
      </c>
      <c r="B752" s="0" t="s">
        <v>204</v>
      </c>
      <c r="C752" s="0" t="s">
        <v>30</v>
      </c>
      <c r="D752" s="0" t="s">
        <v>189</v>
      </c>
      <c r="E752" s="0" t="n">
        <v>11</v>
      </c>
      <c r="F752" s="0" t="s">
        <v>61</v>
      </c>
      <c r="G752" s="0" t="s">
        <v>63</v>
      </c>
      <c r="H752" s="0" t="s">
        <v>63</v>
      </c>
      <c r="I752" s="0" t="s">
        <v>34</v>
      </c>
      <c r="J752" s="0" t="n">
        <v>1.33</v>
      </c>
      <c r="K752" s="0" t="s">
        <v>60</v>
      </c>
      <c r="L752" s="0" t="n">
        <f aca="false">INDEX(Summary!$F$2:$F$201,MATCH($B752,Summary!$A$2:$A$201,0))</f>
        <v>20</v>
      </c>
      <c r="M752" s="0" t="n">
        <f aca="false">INDEX(Summary!$I$2:$I$201,MATCH($B752,Summary!$A$2:$A$201,0))</f>
        <v>2</v>
      </c>
      <c r="N752" s="0" t="n">
        <f aca="false">INDEX(Summary!$J$2:$J$201,MATCH($B752,Summary!$A$2:$A$201,0))</f>
        <v>3</v>
      </c>
      <c r="O752" s="2" t="n">
        <f aca="false">INDEX(Summary!$K$2:$K$201,MATCH($B752,Summary!$A$2:$A$201,0))</f>
        <v>9.25</v>
      </c>
      <c r="P752" s="3" t="n">
        <f aca="false">INDEX(Summary!$L$2:$L$201,MATCH($B752,Summary!$A$2:$A$201,0))</f>
        <v>2</v>
      </c>
      <c r="Q752" s="3" t="n">
        <f aca="false">INDEX(Summary!$M$2:$M$201,MATCH($B752,Summary!$A$2:$A$201,0))</f>
        <v>4</v>
      </c>
      <c r="R752" s="2" t="n">
        <f aca="false">INDEX(Summary!$N$2:$N$201,MATCH($B752,Summary!$A$2:$A$201,0))</f>
        <v>8.54</v>
      </c>
      <c r="S752" s="3" t="n">
        <f aca="false">INDEX(Summary!$O$2:$O$201,MATCH($B752,Summary!$A$2:$A$201,0))</f>
        <v>7</v>
      </c>
      <c r="T752" s="3" t="n">
        <f aca="false">INDEX(Summary!$P$2:$P$201,MATCH($B752,Summary!$A$2:$A$201,0))</f>
        <v>2</v>
      </c>
      <c r="U752" s="2" t="n">
        <f aca="false">INDEX(Summary!$Q$2:$Q$201,MATCH($B752,Summary!$A$2:$A$201,0))</f>
        <v>10.76</v>
      </c>
      <c r="V752" s="2" t="n">
        <f aca="false">INDEX(Summary!$R$2:$R$201,MATCH($B752,Summary!$A$2:$A$201,0))</f>
        <v>19.01</v>
      </c>
      <c r="W752" s="0" t="str">
        <f aca="false">INDEX(Summary!$S$2:$S$201,MATCH($B752,Summary!$A$2:$A$201,0))</f>
        <v>Bronze</v>
      </c>
      <c r="X752" s="2" t="n">
        <f aca="false">INDEX(Summary!$T$2:$T$201,MATCH($B752,Summary!$A$2:$A$201,0))</f>
        <v>46.37</v>
      </c>
      <c r="Y752" s="0" t="str">
        <f aca="false">INDEX('Reward Model'!$E$18:$E$37,MATCH($E752,'Reward Model'!$A$18:$A$37,0))</f>
        <v>Medium</v>
      </c>
      <c r="Z752" s="4" t="n">
        <f aca="false">ROUND(MIN(1,MAX('Reward Model'!$B$2,INDEX('Reward Model'!$C$12:$C$14,MATCH($K752,'Reward Model'!$A$12:$A$14,0))/$J752)),3)</f>
        <v>1</v>
      </c>
      <c r="AA752" s="2" t="n">
        <f aca="false">IF($I752="Correct",ROUND(INDEX('Reward Model'!$B$12:$B$14,MATCH($K752,'Reward Model'!$A$12:$A$14,0))*Z752,2),0)</f>
        <v>2</v>
      </c>
      <c r="AB752" s="2" t="n">
        <f aca="false">IF($I752="Correct",ROUND(INDEX('Reward Model'!$B$12:$B$14,MATCH($Y752,'Reward Model'!$A$12:$A$14,0))*Z752,2),0)</f>
        <v>2</v>
      </c>
    </row>
    <row r="753" customFormat="false" ht="15" hidden="false" customHeight="false" outlineLevel="0" collapsed="false">
      <c r="A753" s="0" t="s">
        <v>203</v>
      </c>
      <c r="B753" s="0" t="s">
        <v>204</v>
      </c>
      <c r="C753" s="0" t="s">
        <v>30</v>
      </c>
      <c r="D753" s="0" t="s">
        <v>189</v>
      </c>
      <c r="E753" s="0" t="n">
        <v>12</v>
      </c>
      <c r="F753" s="0" t="s">
        <v>64</v>
      </c>
      <c r="G753" s="0" t="s">
        <v>112</v>
      </c>
      <c r="H753" s="0" t="s">
        <v>65</v>
      </c>
      <c r="I753" s="0" t="s">
        <v>39</v>
      </c>
      <c r="J753" s="0" t="n">
        <v>1.31</v>
      </c>
      <c r="K753" s="0" t="s">
        <v>60</v>
      </c>
      <c r="L753" s="0" t="n">
        <f aca="false">INDEX(Summary!$F$2:$F$201,MATCH($B753,Summary!$A$2:$A$201,0))</f>
        <v>20</v>
      </c>
      <c r="M753" s="0" t="n">
        <f aca="false">INDEX(Summary!$I$2:$I$201,MATCH($B753,Summary!$A$2:$A$201,0))</f>
        <v>2</v>
      </c>
      <c r="N753" s="0" t="n">
        <f aca="false">INDEX(Summary!$J$2:$J$201,MATCH($B753,Summary!$A$2:$A$201,0))</f>
        <v>3</v>
      </c>
      <c r="O753" s="2" t="n">
        <f aca="false">INDEX(Summary!$K$2:$K$201,MATCH($B753,Summary!$A$2:$A$201,0))</f>
        <v>9.25</v>
      </c>
      <c r="P753" s="3" t="n">
        <f aca="false">INDEX(Summary!$L$2:$L$201,MATCH($B753,Summary!$A$2:$A$201,0))</f>
        <v>2</v>
      </c>
      <c r="Q753" s="3" t="n">
        <f aca="false">INDEX(Summary!$M$2:$M$201,MATCH($B753,Summary!$A$2:$A$201,0))</f>
        <v>4</v>
      </c>
      <c r="R753" s="2" t="n">
        <f aca="false">INDEX(Summary!$N$2:$N$201,MATCH($B753,Summary!$A$2:$A$201,0))</f>
        <v>8.54</v>
      </c>
      <c r="S753" s="3" t="n">
        <f aca="false">INDEX(Summary!$O$2:$O$201,MATCH($B753,Summary!$A$2:$A$201,0))</f>
        <v>7</v>
      </c>
      <c r="T753" s="3" t="n">
        <f aca="false">INDEX(Summary!$P$2:$P$201,MATCH($B753,Summary!$A$2:$A$201,0))</f>
        <v>2</v>
      </c>
      <c r="U753" s="2" t="n">
        <f aca="false">INDEX(Summary!$Q$2:$Q$201,MATCH($B753,Summary!$A$2:$A$201,0))</f>
        <v>10.76</v>
      </c>
      <c r="V753" s="2" t="n">
        <f aca="false">INDEX(Summary!$R$2:$R$201,MATCH($B753,Summary!$A$2:$A$201,0))</f>
        <v>19.01</v>
      </c>
      <c r="W753" s="0" t="str">
        <f aca="false">INDEX(Summary!$S$2:$S$201,MATCH($B753,Summary!$A$2:$A$201,0))</f>
        <v>Bronze</v>
      </c>
      <c r="X753" s="2" t="n">
        <f aca="false">INDEX(Summary!$T$2:$T$201,MATCH($B753,Summary!$A$2:$A$201,0))</f>
        <v>46.37</v>
      </c>
      <c r="Y753" s="0" t="str">
        <f aca="false">INDEX('Reward Model'!$E$18:$E$37,MATCH($E753,'Reward Model'!$A$18:$A$37,0))</f>
        <v>Medium</v>
      </c>
      <c r="Z753" s="4" t="n">
        <f aca="false">ROUND(MIN(1,MAX('Reward Model'!$B$2,INDEX('Reward Model'!$C$12:$C$14,MATCH($K753,'Reward Model'!$A$12:$A$14,0))/$J753)),3)</f>
        <v>1</v>
      </c>
      <c r="AA753" s="2" t="n">
        <f aca="false">IF($I753="Correct",ROUND(INDEX('Reward Model'!$B$12:$B$14,MATCH($K753,'Reward Model'!$A$12:$A$14,0))*Z753,2),0)</f>
        <v>0</v>
      </c>
      <c r="AB753" s="2" t="n">
        <f aca="false">IF($I753="Correct",ROUND(INDEX('Reward Model'!$B$12:$B$14,MATCH($Y753,'Reward Model'!$A$12:$A$14,0))*Z753,2),0)</f>
        <v>0</v>
      </c>
    </row>
    <row r="754" customFormat="false" ht="15" hidden="false" customHeight="false" outlineLevel="0" collapsed="false">
      <c r="A754" s="0" t="s">
        <v>203</v>
      </c>
      <c r="B754" s="0" t="s">
        <v>204</v>
      </c>
      <c r="C754" s="0" t="s">
        <v>30</v>
      </c>
      <c r="D754" s="0" t="s">
        <v>189</v>
      </c>
      <c r="E754" s="0" t="n">
        <v>13</v>
      </c>
      <c r="F754" s="0" t="s">
        <v>66</v>
      </c>
      <c r="G754" s="0" t="s">
        <v>117</v>
      </c>
      <c r="H754" s="0" t="s">
        <v>67</v>
      </c>
      <c r="I754" s="0" t="s">
        <v>39</v>
      </c>
      <c r="J754" s="0" t="n">
        <v>1.43</v>
      </c>
      <c r="K754" s="0" t="s">
        <v>60</v>
      </c>
      <c r="L754" s="0" t="n">
        <f aca="false">INDEX(Summary!$F$2:$F$201,MATCH($B754,Summary!$A$2:$A$201,0))</f>
        <v>20</v>
      </c>
      <c r="M754" s="0" t="n">
        <f aca="false">INDEX(Summary!$I$2:$I$201,MATCH($B754,Summary!$A$2:$A$201,0))</f>
        <v>2</v>
      </c>
      <c r="N754" s="0" t="n">
        <f aca="false">INDEX(Summary!$J$2:$J$201,MATCH($B754,Summary!$A$2:$A$201,0))</f>
        <v>3</v>
      </c>
      <c r="O754" s="2" t="n">
        <f aca="false">INDEX(Summary!$K$2:$K$201,MATCH($B754,Summary!$A$2:$A$201,0))</f>
        <v>9.25</v>
      </c>
      <c r="P754" s="3" t="n">
        <f aca="false">INDEX(Summary!$L$2:$L$201,MATCH($B754,Summary!$A$2:$A$201,0))</f>
        <v>2</v>
      </c>
      <c r="Q754" s="3" t="n">
        <f aca="false">INDEX(Summary!$M$2:$M$201,MATCH($B754,Summary!$A$2:$A$201,0))</f>
        <v>4</v>
      </c>
      <c r="R754" s="2" t="n">
        <f aca="false">INDEX(Summary!$N$2:$N$201,MATCH($B754,Summary!$A$2:$A$201,0))</f>
        <v>8.54</v>
      </c>
      <c r="S754" s="3" t="n">
        <f aca="false">INDEX(Summary!$O$2:$O$201,MATCH($B754,Summary!$A$2:$A$201,0))</f>
        <v>7</v>
      </c>
      <c r="T754" s="3" t="n">
        <f aca="false">INDEX(Summary!$P$2:$P$201,MATCH($B754,Summary!$A$2:$A$201,0))</f>
        <v>2</v>
      </c>
      <c r="U754" s="2" t="n">
        <f aca="false">INDEX(Summary!$Q$2:$Q$201,MATCH($B754,Summary!$A$2:$A$201,0))</f>
        <v>10.76</v>
      </c>
      <c r="V754" s="2" t="n">
        <f aca="false">INDEX(Summary!$R$2:$R$201,MATCH($B754,Summary!$A$2:$A$201,0))</f>
        <v>19.01</v>
      </c>
      <c r="W754" s="0" t="str">
        <f aca="false">INDEX(Summary!$S$2:$S$201,MATCH($B754,Summary!$A$2:$A$201,0))</f>
        <v>Bronze</v>
      </c>
      <c r="X754" s="2" t="n">
        <f aca="false">INDEX(Summary!$T$2:$T$201,MATCH($B754,Summary!$A$2:$A$201,0))</f>
        <v>46.37</v>
      </c>
      <c r="Y754" s="0" t="str">
        <f aca="false">INDEX('Reward Model'!$E$18:$E$37,MATCH($E754,'Reward Model'!$A$18:$A$37,0))</f>
        <v>Medium</v>
      </c>
      <c r="Z754" s="4" t="n">
        <f aca="false">ROUND(MIN(1,MAX('Reward Model'!$B$2,INDEX('Reward Model'!$C$12:$C$14,MATCH($K754,'Reward Model'!$A$12:$A$14,0))/$J754)),3)</f>
        <v>1</v>
      </c>
      <c r="AA754" s="2" t="n">
        <f aca="false">IF($I754="Correct",ROUND(INDEX('Reward Model'!$B$12:$B$14,MATCH($K754,'Reward Model'!$A$12:$A$14,0))*Z754,2),0)</f>
        <v>0</v>
      </c>
      <c r="AB754" s="2" t="n">
        <f aca="false">IF($I754="Correct",ROUND(INDEX('Reward Model'!$B$12:$B$14,MATCH($Y754,'Reward Model'!$A$12:$A$14,0))*Z754,2),0)</f>
        <v>0</v>
      </c>
    </row>
    <row r="755" customFormat="false" ht="15" hidden="false" customHeight="false" outlineLevel="0" collapsed="false">
      <c r="A755" s="0" t="s">
        <v>203</v>
      </c>
      <c r="B755" s="0" t="s">
        <v>204</v>
      </c>
      <c r="C755" s="0" t="s">
        <v>30</v>
      </c>
      <c r="D755" s="0" t="s">
        <v>189</v>
      </c>
      <c r="E755" s="0" t="n">
        <v>14</v>
      </c>
      <c r="F755" s="0" t="s">
        <v>68</v>
      </c>
      <c r="G755" s="0" t="s">
        <v>100</v>
      </c>
      <c r="H755" s="0" t="s">
        <v>51</v>
      </c>
      <c r="I755" s="0" t="s">
        <v>39</v>
      </c>
      <c r="J755" s="0" t="n">
        <v>1.21</v>
      </c>
      <c r="K755" s="0" t="s">
        <v>60</v>
      </c>
      <c r="L755" s="0" t="n">
        <f aca="false">INDEX(Summary!$F$2:$F$201,MATCH($B755,Summary!$A$2:$A$201,0))</f>
        <v>20</v>
      </c>
      <c r="M755" s="0" t="n">
        <f aca="false">INDEX(Summary!$I$2:$I$201,MATCH($B755,Summary!$A$2:$A$201,0))</f>
        <v>2</v>
      </c>
      <c r="N755" s="0" t="n">
        <f aca="false">INDEX(Summary!$J$2:$J$201,MATCH($B755,Summary!$A$2:$A$201,0))</f>
        <v>3</v>
      </c>
      <c r="O755" s="2" t="n">
        <f aca="false">INDEX(Summary!$K$2:$K$201,MATCH($B755,Summary!$A$2:$A$201,0))</f>
        <v>9.25</v>
      </c>
      <c r="P755" s="3" t="n">
        <f aca="false">INDEX(Summary!$L$2:$L$201,MATCH($B755,Summary!$A$2:$A$201,0))</f>
        <v>2</v>
      </c>
      <c r="Q755" s="3" t="n">
        <f aca="false">INDEX(Summary!$M$2:$M$201,MATCH($B755,Summary!$A$2:$A$201,0))</f>
        <v>4</v>
      </c>
      <c r="R755" s="2" t="n">
        <f aca="false">INDEX(Summary!$N$2:$N$201,MATCH($B755,Summary!$A$2:$A$201,0))</f>
        <v>8.54</v>
      </c>
      <c r="S755" s="3" t="n">
        <f aca="false">INDEX(Summary!$O$2:$O$201,MATCH($B755,Summary!$A$2:$A$201,0))</f>
        <v>7</v>
      </c>
      <c r="T755" s="3" t="n">
        <f aca="false">INDEX(Summary!$P$2:$P$201,MATCH($B755,Summary!$A$2:$A$201,0))</f>
        <v>2</v>
      </c>
      <c r="U755" s="2" t="n">
        <f aca="false">INDEX(Summary!$Q$2:$Q$201,MATCH($B755,Summary!$A$2:$A$201,0))</f>
        <v>10.76</v>
      </c>
      <c r="V755" s="2" t="n">
        <f aca="false">INDEX(Summary!$R$2:$R$201,MATCH($B755,Summary!$A$2:$A$201,0))</f>
        <v>19.01</v>
      </c>
      <c r="W755" s="0" t="str">
        <f aca="false">INDEX(Summary!$S$2:$S$201,MATCH($B755,Summary!$A$2:$A$201,0))</f>
        <v>Bronze</v>
      </c>
      <c r="X755" s="2" t="n">
        <f aca="false">INDEX(Summary!$T$2:$T$201,MATCH($B755,Summary!$A$2:$A$201,0))</f>
        <v>46.37</v>
      </c>
      <c r="Y755" s="0" t="str">
        <f aca="false">INDEX('Reward Model'!$E$18:$E$37,MATCH($E755,'Reward Model'!$A$18:$A$37,0))</f>
        <v>Medium</v>
      </c>
      <c r="Z755" s="4" t="n">
        <f aca="false">ROUND(MIN(1,MAX('Reward Model'!$B$2,INDEX('Reward Model'!$C$12:$C$14,MATCH($K755,'Reward Model'!$A$12:$A$14,0))/$J755)),3)</f>
        <v>1</v>
      </c>
      <c r="AA755" s="2" t="n">
        <f aca="false">IF($I755="Correct",ROUND(INDEX('Reward Model'!$B$12:$B$14,MATCH($K755,'Reward Model'!$A$12:$A$14,0))*Z755,2),0)</f>
        <v>0</v>
      </c>
      <c r="AB755" s="2" t="n">
        <f aca="false">IF($I755="Correct",ROUND(INDEX('Reward Model'!$B$12:$B$14,MATCH($Y755,'Reward Model'!$A$12:$A$14,0))*Z755,2),0)</f>
        <v>0</v>
      </c>
    </row>
    <row r="756" customFormat="false" ht="15" hidden="false" customHeight="false" outlineLevel="0" collapsed="false">
      <c r="A756" s="0" t="s">
        <v>203</v>
      </c>
      <c r="B756" s="0" t="s">
        <v>204</v>
      </c>
      <c r="C756" s="0" t="s">
        <v>30</v>
      </c>
      <c r="D756" s="0" t="s">
        <v>189</v>
      </c>
      <c r="E756" s="0" t="n">
        <v>15</v>
      </c>
      <c r="F756" s="0" t="s">
        <v>69</v>
      </c>
      <c r="G756" s="0" t="s">
        <v>70</v>
      </c>
      <c r="H756" s="0" t="s">
        <v>70</v>
      </c>
      <c r="I756" s="0" t="s">
        <v>34</v>
      </c>
      <c r="J756" s="0" t="n">
        <v>1.9</v>
      </c>
      <c r="K756" s="0" t="s">
        <v>60</v>
      </c>
      <c r="L756" s="0" t="n">
        <f aca="false">INDEX(Summary!$F$2:$F$201,MATCH($B756,Summary!$A$2:$A$201,0))</f>
        <v>20</v>
      </c>
      <c r="M756" s="0" t="n">
        <f aca="false">INDEX(Summary!$I$2:$I$201,MATCH($B756,Summary!$A$2:$A$201,0))</f>
        <v>2</v>
      </c>
      <c r="N756" s="0" t="n">
        <f aca="false">INDEX(Summary!$J$2:$J$201,MATCH($B756,Summary!$A$2:$A$201,0))</f>
        <v>3</v>
      </c>
      <c r="O756" s="2" t="n">
        <f aca="false">INDEX(Summary!$K$2:$K$201,MATCH($B756,Summary!$A$2:$A$201,0))</f>
        <v>9.25</v>
      </c>
      <c r="P756" s="3" t="n">
        <f aca="false">INDEX(Summary!$L$2:$L$201,MATCH($B756,Summary!$A$2:$A$201,0))</f>
        <v>2</v>
      </c>
      <c r="Q756" s="3" t="n">
        <f aca="false">INDEX(Summary!$M$2:$M$201,MATCH($B756,Summary!$A$2:$A$201,0))</f>
        <v>4</v>
      </c>
      <c r="R756" s="2" t="n">
        <f aca="false">INDEX(Summary!$N$2:$N$201,MATCH($B756,Summary!$A$2:$A$201,0))</f>
        <v>8.54</v>
      </c>
      <c r="S756" s="3" t="n">
        <f aca="false">INDEX(Summary!$O$2:$O$201,MATCH($B756,Summary!$A$2:$A$201,0))</f>
        <v>7</v>
      </c>
      <c r="T756" s="3" t="n">
        <f aca="false">INDEX(Summary!$P$2:$P$201,MATCH($B756,Summary!$A$2:$A$201,0))</f>
        <v>2</v>
      </c>
      <c r="U756" s="2" t="n">
        <f aca="false">INDEX(Summary!$Q$2:$Q$201,MATCH($B756,Summary!$A$2:$A$201,0))</f>
        <v>10.76</v>
      </c>
      <c r="V756" s="2" t="n">
        <f aca="false">INDEX(Summary!$R$2:$R$201,MATCH($B756,Summary!$A$2:$A$201,0))</f>
        <v>19.01</v>
      </c>
      <c r="W756" s="0" t="str">
        <f aca="false">INDEX(Summary!$S$2:$S$201,MATCH($B756,Summary!$A$2:$A$201,0))</f>
        <v>Bronze</v>
      </c>
      <c r="X756" s="2" t="n">
        <f aca="false">INDEX(Summary!$T$2:$T$201,MATCH($B756,Summary!$A$2:$A$201,0))</f>
        <v>46.37</v>
      </c>
      <c r="Y756" s="0" t="str">
        <f aca="false">INDEX('Reward Model'!$E$18:$E$37,MATCH($E756,'Reward Model'!$A$18:$A$37,0))</f>
        <v>Medium</v>
      </c>
      <c r="Z756" s="4" t="n">
        <f aca="false">ROUND(MIN(1,MAX('Reward Model'!$B$2,INDEX('Reward Model'!$C$12:$C$14,MATCH($K756,'Reward Model'!$A$12:$A$14,0))/$J756)),3)</f>
        <v>0.947</v>
      </c>
      <c r="AA756" s="2" t="n">
        <f aca="false">IF($I756="Correct",ROUND(INDEX('Reward Model'!$B$12:$B$14,MATCH($K756,'Reward Model'!$A$12:$A$14,0))*Z756,2),0)</f>
        <v>1.89</v>
      </c>
      <c r="AB756" s="2" t="n">
        <f aca="false">IF($I756="Correct",ROUND(INDEX('Reward Model'!$B$12:$B$14,MATCH($Y756,'Reward Model'!$A$12:$A$14,0))*Z756,2),0)</f>
        <v>1.89</v>
      </c>
    </row>
    <row r="757" customFormat="false" ht="15" hidden="false" customHeight="false" outlineLevel="0" collapsed="false">
      <c r="A757" s="0" t="s">
        <v>203</v>
      </c>
      <c r="B757" s="0" t="s">
        <v>204</v>
      </c>
      <c r="C757" s="0" t="s">
        <v>30</v>
      </c>
      <c r="D757" s="0" t="s">
        <v>189</v>
      </c>
      <c r="E757" s="0" t="n">
        <v>16</v>
      </c>
      <c r="F757" s="0" t="s">
        <v>71</v>
      </c>
      <c r="G757" s="0" t="s">
        <v>72</v>
      </c>
      <c r="H757" s="0" t="s">
        <v>72</v>
      </c>
      <c r="I757" s="0" t="s">
        <v>34</v>
      </c>
      <c r="J757" s="0" t="n">
        <v>2.45</v>
      </c>
      <c r="K757" s="0" t="s">
        <v>73</v>
      </c>
      <c r="L757" s="0" t="n">
        <f aca="false">INDEX(Summary!$F$2:$F$201,MATCH($B757,Summary!$A$2:$A$201,0))</f>
        <v>20</v>
      </c>
      <c r="M757" s="0" t="n">
        <f aca="false">INDEX(Summary!$I$2:$I$201,MATCH($B757,Summary!$A$2:$A$201,0))</f>
        <v>2</v>
      </c>
      <c r="N757" s="0" t="n">
        <f aca="false">INDEX(Summary!$J$2:$J$201,MATCH($B757,Summary!$A$2:$A$201,0))</f>
        <v>3</v>
      </c>
      <c r="O757" s="2" t="n">
        <f aca="false">INDEX(Summary!$K$2:$K$201,MATCH($B757,Summary!$A$2:$A$201,0))</f>
        <v>9.25</v>
      </c>
      <c r="P757" s="3" t="n">
        <f aca="false">INDEX(Summary!$L$2:$L$201,MATCH($B757,Summary!$A$2:$A$201,0))</f>
        <v>2</v>
      </c>
      <c r="Q757" s="3" t="n">
        <f aca="false">INDEX(Summary!$M$2:$M$201,MATCH($B757,Summary!$A$2:$A$201,0))</f>
        <v>4</v>
      </c>
      <c r="R757" s="2" t="n">
        <f aca="false">INDEX(Summary!$N$2:$N$201,MATCH($B757,Summary!$A$2:$A$201,0))</f>
        <v>8.54</v>
      </c>
      <c r="S757" s="3" t="n">
        <f aca="false">INDEX(Summary!$O$2:$O$201,MATCH($B757,Summary!$A$2:$A$201,0))</f>
        <v>7</v>
      </c>
      <c r="T757" s="3" t="n">
        <f aca="false">INDEX(Summary!$P$2:$P$201,MATCH($B757,Summary!$A$2:$A$201,0))</f>
        <v>2</v>
      </c>
      <c r="U757" s="2" t="n">
        <f aca="false">INDEX(Summary!$Q$2:$Q$201,MATCH($B757,Summary!$A$2:$A$201,0))</f>
        <v>10.76</v>
      </c>
      <c r="V757" s="2" t="n">
        <f aca="false">INDEX(Summary!$R$2:$R$201,MATCH($B757,Summary!$A$2:$A$201,0))</f>
        <v>19.01</v>
      </c>
      <c r="W757" s="0" t="str">
        <f aca="false">INDEX(Summary!$S$2:$S$201,MATCH($B757,Summary!$A$2:$A$201,0))</f>
        <v>Bronze</v>
      </c>
      <c r="X757" s="2" t="n">
        <f aca="false">INDEX(Summary!$T$2:$T$201,MATCH($B757,Summary!$A$2:$A$201,0))</f>
        <v>46.37</v>
      </c>
      <c r="Y757" s="0" t="str">
        <f aca="false">INDEX('Reward Model'!$E$18:$E$37,MATCH($E757,'Reward Model'!$A$18:$A$37,0))</f>
        <v>High</v>
      </c>
      <c r="Z757" s="4" t="n">
        <f aca="false">ROUND(MIN(1,MAX('Reward Model'!$B$2,INDEX('Reward Model'!$C$12:$C$14,MATCH($K757,'Reward Model'!$A$12:$A$14,0))/$J757)),3)</f>
        <v>0.816</v>
      </c>
      <c r="AA757" s="2" t="n">
        <f aca="false">IF($I757="Correct",ROUND(INDEX('Reward Model'!$B$12:$B$14,MATCH($K757,'Reward Model'!$A$12:$A$14,0))*Z757,2),0)</f>
        <v>2.45</v>
      </c>
      <c r="AB757" s="2" t="n">
        <f aca="false">IF($I757="Correct",ROUND(INDEX('Reward Model'!$B$12:$B$14,MATCH($Y757,'Reward Model'!$A$12:$A$14,0))*Z757,2),0)</f>
        <v>2.45</v>
      </c>
    </row>
    <row r="758" customFormat="false" ht="15" hidden="false" customHeight="false" outlineLevel="0" collapsed="false">
      <c r="A758" s="0" t="s">
        <v>203</v>
      </c>
      <c r="B758" s="0" t="s">
        <v>204</v>
      </c>
      <c r="C758" s="0" t="s">
        <v>30</v>
      </c>
      <c r="D758" s="0" t="s">
        <v>189</v>
      </c>
      <c r="E758" s="0" t="n">
        <v>17</v>
      </c>
      <c r="F758" s="0" t="s">
        <v>74</v>
      </c>
      <c r="G758" s="0" t="s">
        <v>113</v>
      </c>
      <c r="H758" s="0" t="s">
        <v>75</v>
      </c>
      <c r="I758" s="0" t="s">
        <v>39</v>
      </c>
      <c r="J758" s="0" t="n">
        <v>1.38</v>
      </c>
      <c r="K758" s="0" t="s">
        <v>73</v>
      </c>
      <c r="L758" s="0" t="n">
        <f aca="false">INDEX(Summary!$F$2:$F$201,MATCH($B758,Summary!$A$2:$A$201,0))</f>
        <v>20</v>
      </c>
      <c r="M758" s="0" t="n">
        <f aca="false">INDEX(Summary!$I$2:$I$201,MATCH($B758,Summary!$A$2:$A$201,0))</f>
        <v>2</v>
      </c>
      <c r="N758" s="0" t="n">
        <f aca="false">INDEX(Summary!$J$2:$J$201,MATCH($B758,Summary!$A$2:$A$201,0))</f>
        <v>3</v>
      </c>
      <c r="O758" s="2" t="n">
        <f aca="false">INDEX(Summary!$K$2:$K$201,MATCH($B758,Summary!$A$2:$A$201,0))</f>
        <v>9.25</v>
      </c>
      <c r="P758" s="3" t="n">
        <f aca="false">INDEX(Summary!$L$2:$L$201,MATCH($B758,Summary!$A$2:$A$201,0))</f>
        <v>2</v>
      </c>
      <c r="Q758" s="3" t="n">
        <f aca="false">INDEX(Summary!$M$2:$M$201,MATCH($B758,Summary!$A$2:$A$201,0))</f>
        <v>4</v>
      </c>
      <c r="R758" s="2" t="n">
        <f aca="false">INDEX(Summary!$N$2:$N$201,MATCH($B758,Summary!$A$2:$A$201,0))</f>
        <v>8.54</v>
      </c>
      <c r="S758" s="3" t="n">
        <f aca="false">INDEX(Summary!$O$2:$O$201,MATCH($B758,Summary!$A$2:$A$201,0))</f>
        <v>7</v>
      </c>
      <c r="T758" s="3" t="n">
        <f aca="false">INDEX(Summary!$P$2:$P$201,MATCH($B758,Summary!$A$2:$A$201,0))</f>
        <v>2</v>
      </c>
      <c r="U758" s="2" t="n">
        <f aca="false">INDEX(Summary!$Q$2:$Q$201,MATCH($B758,Summary!$A$2:$A$201,0))</f>
        <v>10.76</v>
      </c>
      <c r="V758" s="2" t="n">
        <f aca="false">INDEX(Summary!$R$2:$R$201,MATCH($B758,Summary!$A$2:$A$201,0))</f>
        <v>19.01</v>
      </c>
      <c r="W758" s="0" t="str">
        <f aca="false">INDEX(Summary!$S$2:$S$201,MATCH($B758,Summary!$A$2:$A$201,0))</f>
        <v>Bronze</v>
      </c>
      <c r="X758" s="2" t="n">
        <f aca="false">INDEX(Summary!$T$2:$T$201,MATCH($B758,Summary!$A$2:$A$201,0))</f>
        <v>46.37</v>
      </c>
      <c r="Y758" s="0" t="str">
        <f aca="false">INDEX('Reward Model'!$E$18:$E$37,MATCH($E758,'Reward Model'!$A$18:$A$37,0))</f>
        <v>High</v>
      </c>
      <c r="Z758" s="4" t="n">
        <f aca="false">ROUND(MIN(1,MAX('Reward Model'!$B$2,INDEX('Reward Model'!$C$12:$C$14,MATCH($K758,'Reward Model'!$A$12:$A$14,0))/$J758)),3)</f>
        <v>1</v>
      </c>
      <c r="AA758" s="2" t="n">
        <f aca="false">IF($I758="Correct",ROUND(INDEX('Reward Model'!$B$12:$B$14,MATCH($K758,'Reward Model'!$A$12:$A$14,0))*Z758,2),0)</f>
        <v>0</v>
      </c>
      <c r="AB758" s="2" t="n">
        <f aca="false">IF($I758="Correct",ROUND(INDEX('Reward Model'!$B$12:$B$14,MATCH($Y758,'Reward Model'!$A$12:$A$14,0))*Z758,2),0)</f>
        <v>0</v>
      </c>
    </row>
    <row r="759" customFormat="false" ht="15" hidden="false" customHeight="false" outlineLevel="0" collapsed="false">
      <c r="A759" s="0" t="s">
        <v>203</v>
      </c>
      <c r="B759" s="0" t="s">
        <v>204</v>
      </c>
      <c r="C759" s="0" t="s">
        <v>30</v>
      </c>
      <c r="D759" s="0" t="s">
        <v>189</v>
      </c>
      <c r="E759" s="0" t="n">
        <v>18</v>
      </c>
      <c r="F759" s="0" t="s">
        <v>76</v>
      </c>
      <c r="G759" s="0" t="s">
        <v>77</v>
      </c>
      <c r="H759" s="0" t="s">
        <v>77</v>
      </c>
      <c r="I759" s="0" t="s">
        <v>34</v>
      </c>
      <c r="J759" s="0" t="n">
        <v>2.25</v>
      </c>
      <c r="K759" s="0" t="s">
        <v>73</v>
      </c>
      <c r="L759" s="0" t="n">
        <f aca="false">INDEX(Summary!$F$2:$F$201,MATCH($B759,Summary!$A$2:$A$201,0))</f>
        <v>20</v>
      </c>
      <c r="M759" s="0" t="n">
        <f aca="false">INDEX(Summary!$I$2:$I$201,MATCH($B759,Summary!$A$2:$A$201,0))</f>
        <v>2</v>
      </c>
      <c r="N759" s="0" t="n">
        <f aca="false">INDEX(Summary!$J$2:$J$201,MATCH($B759,Summary!$A$2:$A$201,0))</f>
        <v>3</v>
      </c>
      <c r="O759" s="2" t="n">
        <f aca="false">INDEX(Summary!$K$2:$K$201,MATCH($B759,Summary!$A$2:$A$201,0))</f>
        <v>9.25</v>
      </c>
      <c r="P759" s="3" t="n">
        <f aca="false">INDEX(Summary!$L$2:$L$201,MATCH($B759,Summary!$A$2:$A$201,0))</f>
        <v>2</v>
      </c>
      <c r="Q759" s="3" t="n">
        <f aca="false">INDEX(Summary!$M$2:$M$201,MATCH($B759,Summary!$A$2:$A$201,0))</f>
        <v>4</v>
      </c>
      <c r="R759" s="2" t="n">
        <f aca="false">INDEX(Summary!$N$2:$N$201,MATCH($B759,Summary!$A$2:$A$201,0))</f>
        <v>8.54</v>
      </c>
      <c r="S759" s="3" t="n">
        <f aca="false">INDEX(Summary!$O$2:$O$201,MATCH($B759,Summary!$A$2:$A$201,0))</f>
        <v>7</v>
      </c>
      <c r="T759" s="3" t="n">
        <f aca="false">INDEX(Summary!$P$2:$P$201,MATCH($B759,Summary!$A$2:$A$201,0))</f>
        <v>2</v>
      </c>
      <c r="U759" s="2" t="n">
        <f aca="false">INDEX(Summary!$Q$2:$Q$201,MATCH($B759,Summary!$A$2:$A$201,0))</f>
        <v>10.76</v>
      </c>
      <c r="V759" s="2" t="n">
        <f aca="false">INDEX(Summary!$R$2:$R$201,MATCH($B759,Summary!$A$2:$A$201,0))</f>
        <v>19.01</v>
      </c>
      <c r="W759" s="0" t="str">
        <f aca="false">INDEX(Summary!$S$2:$S$201,MATCH($B759,Summary!$A$2:$A$201,0))</f>
        <v>Bronze</v>
      </c>
      <c r="X759" s="2" t="n">
        <f aca="false">INDEX(Summary!$T$2:$T$201,MATCH($B759,Summary!$A$2:$A$201,0))</f>
        <v>46.37</v>
      </c>
      <c r="Y759" s="0" t="str">
        <f aca="false">INDEX('Reward Model'!$E$18:$E$37,MATCH($E759,'Reward Model'!$A$18:$A$37,0))</f>
        <v>High</v>
      </c>
      <c r="Z759" s="4" t="n">
        <f aca="false">ROUND(MIN(1,MAX('Reward Model'!$B$2,INDEX('Reward Model'!$C$12:$C$14,MATCH($K759,'Reward Model'!$A$12:$A$14,0))/$J759)),3)</f>
        <v>0.889</v>
      </c>
      <c r="AA759" s="2" t="n">
        <f aca="false">IF($I759="Correct",ROUND(INDEX('Reward Model'!$B$12:$B$14,MATCH($K759,'Reward Model'!$A$12:$A$14,0))*Z759,2),0)</f>
        <v>2.67</v>
      </c>
      <c r="AB759" s="2" t="n">
        <f aca="false">IF($I759="Correct",ROUND(INDEX('Reward Model'!$B$12:$B$14,MATCH($Y759,'Reward Model'!$A$12:$A$14,0))*Z759,2),0)</f>
        <v>2.67</v>
      </c>
    </row>
    <row r="760" customFormat="false" ht="15" hidden="false" customHeight="false" outlineLevel="0" collapsed="false">
      <c r="A760" s="0" t="s">
        <v>203</v>
      </c>
      <c r="B760" s="0" t="s">
        <v>204</v>
      </c>
      <c r="C760" s="0" t="s">
        <v>30</v>
      </c>
      <c r="D760" s="0" t="s">
        <v>189</v>
      </c>
      <c r="E760" s="0" t="n">
        <v>19</v>
      </c>
      <c r="F760" s="0" t="s">
        <v>78</v>
      </c>
      <c r="G760" s="0" t="s">
        <v>79</v>
      </c>
      <c r="H760" s="0" t="s">
        <v>80</v>
      </c>
      <c r="I760" s="0" t="s">
        <v>39</v>
      </c>
      <c r="J760" s="0" t="n">
        <v>1.72</v>
      </c>
      <c r="K760" s="0" t="s">
        <v>73</v>
      </c>
      <c r="L760" s="0" t="n">
        <f aca="false">INDEX(Summary!$F$2:$F$201,MATCH($B760,Summary!$A$2:$A$201,0))</f>
        <v>20</v>
      </c>
      <c r="M760" s="0" t="n">
        <f aca="false">INDEX(Summary!$I$2:$I$201,MATCH($B760,Summary!$A$2:$A$201,0))</f>
        <v>2</v>
      </c>
      <c r="N760" s="0" t="n">
        <f aca="false">INDEX(Summary!$J$2:$J$201,MATCH($B760,Summary!$A$2:$A$201,0))</f>
        <v>3</v>
      </c>
      <c r="O760" s="2" t="n">
        <f aca="false">INDEX(Summary!$K$2:$K$201,MATCH($B760,Summary!$A$2:$A$201,0))</f>
        <v>9.25</v>
      </c>
      <c r="P760" s="3" t="n">
        <f aca="false">INDEX(Summary!$L$2:$L$201,MATCH($B760,Summary!$A$2:$A$201,0))</f>
        <v>2</v>
      </c>
      <c r="Q760" s="3" t="n">
        <f aca="false">INDEX(Summary!$M$2:$M$201,MATCH($B760,Summary!$A$2:$A$201,0))</f>
        <v>4</v>
      </c>
      <c r="R760" s="2" t="n">
        <f aca="false">INDEX(Summary!$N$2:$N$201,MATCH($B760,Summary!$A$2:$A$201,0))</f>
        <v>8.54</v>
      </c>
      <c r="S760" s="3" t="n">
        <f aca="false">INDEX(Summary!$O$2:$O$201,MATCH($B760,Summary!$A$2:$A$201,0))</f>
        <v>7</v>
      </c>
      <c r="T760" s="3" t="n">
        <f aca="false">INDEX(Summary!$P$2:$P$201,MATCH($B760,Summary!$A$2:$A$201,0))</f>
        <v>2</v>
      </c>
      <c r="U760" s="2" t="n">
        <f aca="false">INDEX(Summary!$Q$2:$Q$201,MATCH($B760,Summary!$A$2:$A$201,0))</f>
        <v>10.76</v>
      </c>
      <c r="V760" s="2" t="n">
        <f aca="false">INDEX(Summary!$R$2:$R$201,MATCH($B760,Summary!$A$2:$A$201,0))</f>
        <v>19.01</v>
      </c>
      <c r="W760" s="0" t="str">
        <f aca="false">INDEX(Summary!$S$2:$S$201,MATCH($B760,Summary!$A$2:$A$201,0))</f>
        <v>Bronze</v>
      </c>
      <c r="X760" s="2" t="n">
        <f aca="false">INDEX(Summary!$T$2:$T$201,MATCH($B760,Summary!$A$2:$A$201,0))</f>
        <v>46.37</v>
      </c>
      <c r="Y760" s="0" t="str">
        <f aca="false">INDEX('Reward Model'!$E$18:$E$37,MATCH($E760,'Reward Model'!$A$18:$A$37,0))</f>
        <v>High</v>
      </c>
      <c r="Z760" s="4" t="n">
        <f aca="false">ROUND(MIN(1,MAX('Reward Model'!$B$2,INDEX('Reward Model'!$C$12:$C$14,MATCH($K760,'Reward Model'!$A$12:$A$14,0))/$J760)),3)</f>
        <v>1</v>
      </c>
      <c r="AA760" s="2" t="n">
        <f aca="false">IF($I760="Correct",ROUND(INDEX('Reward Model'!$B$12:$B$14,MATCH($K760,'Reward Model'!$A$12:$A$14,0))*Z760,2),0)</f>
        <v>0</v>
      </c>
      <c r="AB760" s="2" t="n">
        <f aca="false">IF($I760="Correct",ROUND(INDEX('Reward Model'!$B$12:$B$14,MATCH($Y760,'Reward Model'!$A$12:$A$14,0))*Z760,2),0)</f>
        <v>0</v>
      </c>
    </row>
    <row r="761" customFormat="false" ht="15" hidden="false" customHeight="false" outlineLevel="0" collapsed="false">
      <c r="A761" s="0" t="s">
        <v>203</v>
      </c>
      <c r="B761" s="0" t="s">
        <v>204</v>
      </c>
      <c r="C761" s="0" t="s">
        <v>30</v>
      </c>
      <c r="D761" s="0" t="s">
        <v>189</v>
      </c>
      <c r="E761" s="0" t="n">
        <v>20</v>
      </c>
      <c r="F761" s="0" t="s">
        <v>81</v>
      </c>
      <c r="G761" s="0" t="s">
        <v>166</v>
      </c>
      <c r="H761" s="0" t="s">
        <v>83</v>
      </c>
      <c r="I761" s="0" t="s">
        <v>39</v>
      </c>
      <c r="J761" s="0" t="n">
        <v>1.45</v>
      </c>
      <c r="K761" s="0" t="s">
        <v>73</v>
      </c>
      <c r="L761" s="0" t="n">
        <f aca="false">INDEX(Summary!$F$2:$F$201,MATCH($B761,Summary!$A$2:$A$201,0))</f>
        <v>20</v>
      </c>
      <c r="M761" s="0" t="n">
        <f aca="false">INDEX(Summary!$I$2:$I$201,MATCH($B761,Summary!$A$2:$A$201,0))</f>
        <v>2</v>
      </c>
      <c r="N761" s="0" t="n">
        <f aca="false">INDEX(Summary!$J$2:$J$201,MATCH($B761,Summary!$A$2:$A$201,0))</f>
        <v>3</v>
      </c>
      <c r="O761" s="2" t="n">
        <f aca="false">INDEX(Summary!$K$2:$K$201,MATCH($B761,Summary!$A$2:$A$201,0))</f>
        <v>9.25</v>
      </c>
      <c r="P761" s="3" t="n">
        <f aca="false">INDEX(Summary!$L$2:$L$201,MATCH($B761,Summary!$A$2:$A$201,0))</f>
        <v>2</v>
      </c>
      <c r="Q761" s="3" t="n">
        <f aca="false">INDEX(Summary!$M$2:$M$201,MATCH($B761,Summary!$A$2:$A$201,0))</f>
        <v>4</v>
      </c>
      <c r="R761" s="2" t="n">
        <f aca="false">INDEX(Summary!$N$2:$N$201,MATCH($B761,Summary!$A$2:$A$201,0))</f>
        <v>8.54</v>
      </c>
      <c r="S761" s="3" t="n">
        <f aca="false">INDEX(Summary!$O$2:$O$201,MATCH($B761,Summary!$A$2:$A$201,0))</f>
        <v>7</v>
      </c>
      <c r="T761" s="3" t="n">
        <f aca="false">INDEX(Summary!$P$2:$P$201,MATCH($B761,Summary!$A$2:$A$201,0))</f>
        <v>2</v>
      </c>
      <c r="U761" s="2" t="n">
        <f aca="false">INDEX(Summary!$Q$2:$Q$201,MATCH($B761,Summary!$A$2:$A$201,0))</f>
        <v>10.76</v>
      </c>
      <c r="V761" s="2" t="n">
        <f aca="false">INDEX(Summary!$R$2:$R$201,MATCH($B761,Summary!$A$2:$A$201,0))</f>
        <v>19.01</v>
      </c>
      <c r="W761" s="0" t="str">
        <f aca="false">INDEX(Summary!$S$2:$S$201,MATCH($B761,Summary!$A$2:$A$201,0))</f>
        <v>Bronze</v>
      </c>
      <c r="X761" s="2" t="n">
        <f aca="false">INDEX(Summary!$T$2:$T$201,MATCH($B761,Summary!$A$2:$A$201,0))</f>
        <v>46.37</v>
      </c>
      <c r="Y761" s="0" t="str">
        <f aca="false">INDEX('Reward Model'!$E$18:$E$37,MATCH($E761,'Reward Model'!$A$18:$A$37,0))</f>
        <v>High</v>
      </c>
      <c r="Z761" s="4" t="n">
        <f aca="false">ROUND(MIN(1,MAX('Reward Model'!$B$2,INDEX('Reward Model'!$C$12:$C$14,MATCH($K761,'Reward Model'!$A$12:$A$14,0))/$J761)),3)</f>
        <v>1</v>
      </c>
      <c r="AA761" s="2" t="n">
        <f aca="false">IF($I761="Correct",ROUND(INDEX('Reward Model'!$B$12:$B$14,MATCH($K761,'Reward Model'!$A$12:$A$14,0))*Z761,2),0)</f>
        <v>0</v>
      </c>
      <c r="AB761" s="2" t="n">
        <f aca="false">IF($I761="Correct",ROUND(INDEX('Reward Model'!$B$12:$B$14,MATCH($Y761,'Reward Model'!$A$12:$A$14,0))*Z761,2),0)</f>
        <v>0</v>
      </c>
    </row>
    <row r="762" customFormat="false" ht="15" hidden="false" customHeight="false" outlineLevel="0" collapsed="false">
      <c r="A762" s="0" t="s">
        <v>205</v>
      </c>
      <c r="B762" s="0" t="s">
        <v>206</v>
      </c>
      <c r="C762" s="0" t="s">
        <v>30</v>
      </c>
      <c r="D762" s="0" t="s">
        <v>189</v>
      </c>
      <c r="E762" s="0" t="n">
        <v>1</v>
      </c>
      <c r="F762" s="0" t="s">
        <v>32</v>
      </c>
      <c r="G762" s="0" t="s">
        <v>122</v>
      </c>
      <c r="H762" s="0" t="s">
        <v>33</v>
      </c>
      <c r="I762" s="0" t="s">
        <v>39</v>
      </c>
      <c r="J762" s="0" t="n">
        <v>1.37</v>
      </c>
      <c r="K762" s="0" t="s">
        <v>35</v>
      </c>
      <c r="L762" s="0" t="n">
        <f aca="false">INDEX(Summary!$F$2:$F$201,MATCH($B762,Summary!$A$2:$A$201,0))</f>
        <v>20</v>
      </c>
      <c r="M762" s="0" t="n">
        <f aca="false">INDEX(Summary!$I$2:$I$201,MATCH($B762,Summary!$A$2:$A$201,0))</f>
        <v>1</v>
      </c>
      <c r="N762" s="0" t="n">
        <f aca="false">INDEX(Summary!$J$2:$J$201,MATCH($B762,Summary!$A$2:$A$201,0))</f>
        <v>4</v>
      </c>
      <c r="O762" s="2" t="n">
        <f aca="false">INDEX(Summary!$K$2:$K$201,MATCH($B762,Summary!$A$2:$A$201,0))</f>
        <v>10.72</v>
      </c>
      <c r="P762" s="3" t="n">
        <f aca="false">INDEX(Summary!$L$2:$L$201,MATCH($B762,Summary!$A$2:$A$201,0))</f>
        <v>4</v>
      </c>
      <c r="Q762" s="3" t="n">
        <f aca="false">INDEX(Summary!$M$2:$M$201,MATCH($B762,Summary!$A$2:$A$201,0))</f>
        <v>2</v>
      </c>
      <c r="R762" s="2" t="n">
        <f aca="false">INDEX(Summary!$N$2:$N$201,MATCH($B762,Summary!$A$2:$A$201,0))</f>
        <v>9.4</v>
      </c>
      <c r="S762" s="3" t="n">
        <f aca="false">INDEX(Summary!$O$2:$O$201,MATCH($B762,Summary!$A$2:$A$201,0))</f>
        <v>7</v>
      </c>
      <c r="T762" s="3" t="n">
        <f aca="false">INDEX(Summary!$P$2:$P$201,MATCH($B762,Summary!$A$2:$A$201,0))</f>
        <v>2</v>
      </c>
      <c r="U762" s="2" t="n">
        <f aca="false">INDEX(Summary!$Q$2:$Q$201,MATCH($B762,Summary!$A$2:$A$201,0))</f>
        <v>13.09</v>
      </c>
      <c r="V762" s="2" t="n">
        <f aca="false">INDEX(Summary!$R$2:$R$201,MATCH($B762,Summary!$A$2:$A$201,0))</f>
        <v>19.98</v>
      </c>
      <c r="W762" s="0" t="str">
        <f aca="false">INDEX(Summary!$S$2:$S$201,MATCH($B762,Summary!$A$2:$A$201,0))</f>
        <v>Bronze</v>
      </c>
      <c r="X762" s="2" t="n">
        <f aca="false">INDEX(Summary!$T$2:$T$201,MATCH($B762,Summary!$A$2:$A$201,0))</f>
        <v>48.73</v>
      </c>
      <c r="Y762" s="0" t="str">
        <f aca="false">INDEX('Reward Model'!$E$18:$E$37,MATCH($E762,'Reward Model'!$A$18:$A$37,0))</f>
        <v>Medium</v>
      </c>
      <c r="Z762" s="4" t="n">
        <f aca="false">ROUND(MIN(1,MAX('Reward Model'!$B$2,INDEX('Reward Model'!$C$12:$C$14,MATCH($K762,'Reward Model'!$A$12:$A$14,0))/$J762)),3)</f>
        <v>1</v>
      </c>
      <c r="AA762" s="2" t="n">
        <f aca="false">IF($I762="Correct",ROUND(INDEX('Reward Model'!$B$12:$B$14,MATCH($K762,'Reward Model'!$A$12:$A$14,0))*Z762,2),0)</f>
        <v>0</v>
      </c>
      <c r="AB762" s="2" t="n">
        <f aca="false">IF($I762="Correct",ROUND(INDEX('Reward Model'!$B$12:$B$14,MATCH($Y762,'Reward Model'!$A$12:$A$14,0))*Z762,2),0)</f>
        <v>0</v>
      </c>
    </row>
    <row r="763" customFormat="false" ht="15" hidden="false" customHeight="false" outlineLevel="0" collapsed="false">
      <c r="A763" s="0" t="s">
        <v>205</v>
      </c>
      <c r="B763" s="0" t="s">
        <v>206</v>
      </c>
      <c r="C763" s="0" t="s">
        <v>30</v>
      </c>
      <c r="D763" s="0" t="s">
        <v>189</v>
      </c>
      <c r="E763" s="0" t="n">
        <v>2</v>
      </c>
      <c r="F763" s="0" t="s">
        <v>36</v>
      </c>
      <c r="G763" s="0" t="s">
        <v>38</v>
      </c>
      <c r="H763" s="0" t="s">
        <v>38</v>
      </c>
      <c r="I763" s="0" t="s">
        <v>34</v>
      </c>
      <c r="J763" s="0" t="n">
        <v>1.3</v>
      </c>
      <c r="K763" s="0" t="s">
        <v>35</v>
      </c>
      <c r="L763" s="0" t="n">
        <f aca="false">INDEX(Summary!$F$2:$F$201,MATCH($B763,Summary!$A$2:$A$201,0))</f>
        <v>20</v>
      </c>
      <c r="M763" s="0" t="n">
        <f aca="false">INDEX(Summary!$I$2:$I$201,MATCH($B763,Summary!$A$2:$A$201,0))</f>
        <v>1</v>
      </c>
      <c r="N763" s="0" t="n">
        <f aca="false">INDEX(Summary!$J$2:$J$201,MATCH($B763,Summary!$A$2:$A$201,0))</f>
        <v>4</v>
      </c>
      <c r="O763" s="2" t="n">
        <f aca="false">INDEX(Summary!$K$2:$K$201,MATCH($B763,Summary!$A$2:$A$201,0))</f>
        <v>10.72</v>
      </c>
      <c r="P763" s="3" t="n">
        <f aca="false">INDEX(Summary!$L$2:$L$201,MATCH($B763,Summary!$A$2:$A$201,0))</f>
        <v>4</v>
      </c>
      <c r="Q763" s="3" t="n">
        <f aca="false">INDEX(Summary!$M$2:$M$201,MATCH($B763,Summary!$A$2:$A$201,0))</f>
        <v>2</v>
      </c>
      <c r="R763" s="2" t="n">
        <f aca="false">INDEX(Summary!$N$2:$N$201,MATCH($B763,Summary!$A$2:$A$201,0))</f>
        <v>9.4</v>
      </c>
      <c r="S763" s="3" t="n">
        <f aca="false">INDEX(Summary!$O$2:$O$201,MATCH($B763,Summary!$A$2:$A$201,0))</f>
        <v>7</v>
      </c>
      <c r="T763" s="3" t="n">
        <f aca="false">INDEX(Summary!$P$2:$P$201,MATCH($B763,Summary!$A$2:$A$201,0))</f>
        <v>2</v>
      </c>
      <c r="U763" s="2" t="n">
        <f aca="false">INDEX(Summary!$Q$2:$Q$201,MATCH($B763,Summary!$A$2:$A$201,0))</f>
        <v>13.09</v>
      </c>
      <c r="V763" s="2" t="n">
        <f aca="false">INDEX(Summary!$R$2:$R$201,MATCH($B763,Summary!$A$2:$A$201,0))</f>
        <v>19.98</v>
      </c>
      <c r="W763" s="0" t="str">
        <f aca="false">INDEX(Summary!$S$2:$S$201,MATCH($B763,Summary!$A$2:$A$201,0))</f>
        <v>Bronze</v>
      </c>
      <c r="X763" s="2" t="n">
        <f aca="false">INDEX(Summary!$T$2:$T$201,MATCH($B763,Summary!$A$2:$A$201,0))</f>
        <v>48.73</v>
      </c>
      <c r="Y763" s="0" t="str">
        <f aca="false">INDEX('Reward Model'!$E$18:$E$37,MATCH($E763,'Reward Model'!$A$18:$A$37,0))</f>
        <v>Low</v>
      </c>
      <c r="Z763" s="4" t="n">
        <f aca="false">ROUND(MIN(1,MAX('Reward Model'!$B$2,INDEX('Reward Model'!$C$12:$C$14,MATCH($K763,'Reward Model'!$A$12:$A$14,0))/$J763)),3)</f>
        <v>1</v>
      </c>
      <c r="AA763" s="2" t="n">
        <f aca="false">IF($I763="Correct",ROUND(INDEX('Reward Model'!$B$12:$B$14,MATCH($K763,'Reward Model'!$A$12:$A$14,0))*Z763,2),0)</f>
        <v>1</v>
      </c>
      <c r="AB763" s="2" t="n">
        <f aca="false">IF($I763="Correct",ROUND(INDEX('Reward Model'!$B$12:$B$14,MATCH($Y763,'Reward Model'!$A$12:$A$14,0))*Z763,2),0)</f>
        <v>1</v>
      </c>
    </row>
    <row r="764" customFormat="false" ht="15" hidden="false" customHeight="false" outlineLevel="0" collapsed="false">
      <c r="A764" s="0" t="s">
        <v>205</v>
      </c>
      <c r="B764" s="0" t="s">
        <v>206</v>
      </c>
      <c r="C764" s="0" t="s">
        <v>30</v>
      </c>
      <c r="D764" s="0" t="s">
        <v>189</v>
      </c>
      <c r="E764" s="0" t="n">
        <v>3</v>
      </c>
      <c r="F764" s="0" t="s">
        <v>40</v>
      </c>
      <c r="G764" s="0" t="s">
        <v>42</v>
      </c>
      <c r="H764" s="0" t="s">
        <v>42</v>
      </c>
      <c r="I764" s="0" t="s">
        <v>34</v>
      </c>
      <c r="J764" s="0" t="n">
        <v>1.6</v>
      </c>
      <c r="K764" s="0" t="s">
        <v>35</v>
      </c>
      <c r="L764" s="0" t="n">
        <f aca="false">INDEX(Summary!$F$2:$F$201,MATCH($B764,Summary!$A$2:$A$201,0))</f>
        <v>20</v>
      </c>
      <c r="M764" s="0" t="n">
        <f aca="false">INDEX(Summary!$I$2:$I$201,MATCH($B764,Summary!$A$2:$A$201,0))</f>
        <v>1</v>
      </c>
      <c r="N764" s="0" t="n">
        <f aca="false">INDEX(Summary!$J$2:$J$201,MATCH($B764,Summary!$A$2:$A$201,0))</f>
        <v>4</v>
      </c>
      <c r="O764" s="2" t="n">
        <f aca="false">INDEX(Summary!$K$2:$K$201,MATCH($B764,Summary!$A$2:$A$201,0))</f>
        <v>10.72</v>
      </c>
      <c r="P764" s="3" t="n">
        <f aca="false">INDEX(Summary!$L$2:$L$201,MATCH($B764,Summary!$A$2:$A$201,0))</f>
        <v>4</v>
      </c>
      <c r="Q764" s="3" t="n">
        <f aca="false">INDEX(Summary!$M$2:$M$201,MATCH($B764,Summary!$A$2:$A$201,0))</f>
        <v>2</v>
      </c>
      <c r="R764" s="2" t="n">
        <f aca="false">INDEX(Summary!$N$2:$N$201,MATCH($B764,Summary!$A$2:$A$201,0))</f>
        <v>9.4</v>
      </c>
      <c r="S764" s="3" t="n">
        <f aca="false">INDEX(Summary!$O$2:$O$201,MATCH($B764,Summary!$A$2:$A$201,0))</f>
        <v>7</v>
      </c>
      <c r="T764" s="3" t="n">
        <f aca="false">INDEX(Summary!$P$2:$P$201,MATCH($B764,Summary!$A$2:$A$201,0))</f>
        <v>2</v>
      </c>
      <c r="U764" s="2" t="n">
        <f aca="false">INDEX(Summary!$Q$2:$Q$201,MATCH($B764,Summary!$A$2:$A$201,0))</f>
        <v>13.09</v>
      </c>
      <c r="V764" s="2" t="n">
        <f aca="false">INDEX(Summary!$R$2:$R$201,MATCH($B764,Summary!$A$2:$A$201,0))</f>
        <v>19.98</v>
      </c>
      <c r="W764" s="0" t="str">
        <f aca="false">INDEX(Summary!$S$2:$S$201,MATCH($B764,Summary!$A$2:$A$201,0))</f>
        <v>Bronze</v>
      </c>
      <c r="X764" s="2" t="n">
        <f aca="false">INDEX(Summary!$T$2:$T$201,MATCH($B764,Summary!$A$2:$A$201,0))</f>
        <v>48.73</v>
      </c>
      <c r="Y764" s="0" t="str">
        <f aca="false">INDEX('Reward Model'!$E$18:$E$37,MATCH($E764,'Reward Model'!$A$18:$A$37,0))</f>
        <v>Medium</v>
      </c>
      <c r="Z764" s="4" t="n">
        <f aca="false">ROUND(MIN(1,MAX('Reward Model'!$B$2,INDEX('Reward Model'!$C$12:$C$14,MATCH($K764,'Reward Model'!$A$12:$A$14,0))/$J764)),3)</f>
        <v>0.938</v>
      </c>
      <c r="AA764" s="2" t="n">
        <f aca="false">IF($I764="Correct",ROUND(INDEX('Reward Model'!$B$12:$B$14,MATCH($K764,'Reward Model'!$A$12:$A$14,0))*Z764,2),0)</f>
        <v>0.94</v>
      </c>
      <c r="AB764" s="2" t="n">
        <f aca="false">IF($I764="Correct",ROUND(INDEX('Reward Model'!$B$12:$B$14,MATCH($Y764,'Reward Model'!$A$12:$A$14,0))*Z764,2),0)</f>
        <v>1.88</v>
      </c>
    </row>
    <row r="765" customFormat="false" ht="15" hidden="false" customHeight="false" outlineLevel="0" collapsed="false">
      <c r="A765" s="0" t="s">
        <v>205</v>
      </c>
      <c r="B765" s="0" t="s">
        <v>206</v>
      </c>
      <c r="C765" s="0" t="s">
        <v>30</v>
      </c>
      <c r="D765" s="0" t="s">
        <v>189</v>
      </c>
      <c r="E765" s="0" t="n">
        <v>4</v>
      </c>
      <c r="F765" s="0" t="s">
        <v>43</v>
      </c>
      <c r="G765" s="0" t="s">
        <v>45</v>
      </c>
      <c r="H765" s="0" t="s">
        <v>45</v>
      </c>
      <c r="I765" s="0" t="s">
        <v>34</v>
      </c>
      <c r="J765" s="0" t="n">
        <v>1.21</v>
      </c>
      <c r="K765" s="0" t="s">
        <v>35</v>
      </c>
      <c r="L765" s="0" t="n">
        <f aca="false">INDEX(Summary!$F$2:$F$201,MATCH($B765,Summary!$A$2:$A$201,0))</f>
        <v>20</v>
      </c>
      <c r="M765" s="0" t="n">
        <f aca="false">INDEX(Summary!$I$2:$I$201,MATCH($B765,Summary!$A$2:$A$201,0))</f>
        <v>1</v>
      </c>
      <c r="N765" s="0" t="n">
        <f aca="false">INDEX(Summary!$J$2:$J$201,MATCH($B765,Summary!$A$2:$A$201,0))</f>
        <v>4</v>
      </c>
      <c r="O765" s="2" t="n">
        <f aca="false">INDEX(Summary!$K$2:$K$201,MATCH($B765,Summary!$A$2:$A$201,0))</f>
        <v>10.72</v>
      </c>
      <c r="P765" s="3" t="n">
        <f aca="false">INDEX(Summary!$L$2:$L$201,MATCH($B765,Summary!$A$2:$A$201,0))</f>
        <v>4</v>
      </c>
      <c r="Q765" s="3" t="n">
        <f aca="false">INDEX(Summary!$M$2:$M$201,MATCH($B765,Summary!$A$2:$A$201,0))</f>
        <v>2</v>
      </c>
      <c r="R765" s="2" t="n">
        <f aca="false">INDEX(Summary!$N$2:$N$201,MATCH($B765,Summary!$A$2:$A$201,0))</f>
        <v>9.4</v>
      </c>
      <c r="S765" s="3" t="n">
        <f aca="false">INDEX(Summary!$O$2:$O$201,MATCH($B765,Summary!$A$2:$A$201,0))</f>
        <v>7</v>
      </c>
      <c r="T765" s="3" t="n">
        <f aca="false">INDEX(Summary!$P$2:$P$201,MATCH($B765,Summary!$A$2:$A$201,0))</f>
        <v>2</v>
      </c>
      <c r="U765" s="2" t="n">
        <f aca="false">INDEX(Summary!$Q$2:$Q$201,MATCH($B765,Summary!$A$2:$A$201,0))</f>
        <v>13.09</v>
      </c>
      <c r="V765" s="2" t="n">
        <f aca="false">INDEX(Summary!$R$2:$R$201,MATCH($B765,Summary!$A$2:$A$201,0))</f>
        <v>19.98</v>
      </c>
      <c r="W765" s="0" t="str">
        <f aca="false">INDEX(Summary!$S$2:$S$201,MATCH($B765,Summary!$A$2:$A$201,0))</f>
        <v>Bronze</v>
      </c>
      <c r="X765" s="2" t="n">
        <f aca="false">INDEX(Summary!$T$2:$T$201,MATCH($B765,Summary!$A$2:$A$201,0))</f>
        <v>48.73</v>
      </c>
      <c r="Y765" s="0" t="str">
        <f aca="false">INDEX('Reward Model'!$E$18:$E$37,MATCH($E765,'Reward Model'!$A$18:$A$37,0))</f>
        <v>Low</v>
      </c>
      <c r="Z765" s="4" t="n">
        <f aca="false">ROUND(MIN(1,MAX('Reward Model'!$B$2,INDEX('Reward Model'!$C$12:$C$14,MATCH($K765,'Reward Model'!$A$12:$A$14,0))/$J765)),3)</f>
        <v>1</v>
      </c>
      <c r="AA765" s="2" t="n">
        <f aca="false">IF($I765="Correct",ROUND(INDEX('Reward Model'!$B$12:$B$14,MATCH($K765,'Reward Model'!$A$12:$A$14,0))*Z765,2),0)</f>
        <v>1</v>
      </c>
      <c r="AB765" s="2" t="n">
        <f aca="false">IF($I765="Correct",ROUND(INDEX('Reward Model'!$B$12:$B$14,MATCH($Y765,'Reward Model'!$A$12:$A$14,0))*Z765,2),0)</f>
        <v>1</v>
      </c>
    </row>
    <row r="766" customFormat="false" ht="15" hidden="false" customHeight="false" outlineLevel="0" collapsed="false">
      <c r="A766" s="0" t="s">
        <v>205</v>
      </c>
      <c r="B766" s="0" t="s">
        <v>206</v>
      </c>
      <c r="C766" s="0" t="s">
        <v>30</v>
      </c>
      <c r="D766" s="0" t="s">
        <v>189</v>
      </c>
      <c r="E766" s="0" t="n">
        <v>5</v>
      </c>
      <c r="F766" s="0" t="s">
        <v>46</v>
      </c>
      <c r="G766" s="0" t="s">
        <v>47</v>
      </c>
      <c r="H766" s="0" t="s">
        <v>47</v>
      </c>
      <c r="I766" s="0" t="s">
        <v>34</v>
      </c>
      <c r="J766" s="0" t="n">
        <v>1.71</v>
      </c>
      <c r="K766" s="0" t="s">
        <v>35</v>
      </c>
      <c r="L766" s="0" t="n">
        <f aca="false">INDEX(Summary!$F$2:$F$201,MATCH($B766,Summary!$A$2:$A$201,0))</f>
        <v>20</v>
      </c>
      <c r="M766" s="0" t="n">
        <f aca="false">INDEX(Summary!$I$2:$I$201,MATCH($B766,Summary!$A$2:$A$201,0))</f>
        <v>1</v>
      </c>
      <c r="N766" s="0" t="n">
        <f aca="false">INDEX(Summary!$J$2:$J$201,MATCH($B766,Summary!$A$2:$A$201,0))</f>
        <v>4</v>
      </c>
      <c r="O766" s="2" t="n">
        <f aca="false">INDEX(Summary!$K$2:$K$201,MATCH($B766,Summary!$A$2:$A$201,0))</f>
        <v>10.72</v>
      </c>
      <c r="P766" s="3" t="n">
        <f aca="false">INDEX(Summary!$L$2:$L$201,MATCH($B766,Summary!$A$2:$A$201,0))</f>
        <v>4</v>
      </c>
      <c r="Q766" s="3" t="n">
        <f aca="false">INDEX(Summary!$M$2:$M$201,MATCH($B766,Summary!$A$2:$A$201,0))</f>
        <v>2</v>
      </c>
      <c r="R766" s="2" t="n">
        <f aca="false">INDEX(Summary!$N$2:$N$201,MATCH($B766,Summary!$A$2:$A$201,0))</f>
        <v>9.4</v>
      </c>
      <c r="S766" s="3" t="n">
        <f aca="false">INDEX(Summary!$O$2:$O$201,MATCH($B766,Summary!$A$2:$A$201,0))</f>
        <v>7</v>
      </c>
      <c r="T766" s="3" t="n">
        <f aca="false">INDEX(Summary!$P$2:$P$201,MATCH($B766,Summary!$A$2:$A$201,0))</f>
        <v>2</v>
      </c>
      <c r="U766" s="2" t="n">
        <f aca="false">INDEX(Summary!$Q$2:$Q$201,MATCH($B766,Summary!$A$2:$A$201,0))</f>
        <v>13.09</v>
      </c>
      <c r="V766" s="2" t="n">
        <f aca="false">INDEX(Summary!$R$2:$R$201,MATCH($B766,Summary!$A$2:$A$201,0))</f>
        <v>19.98</v>
      </c>
      <c r="W766" s="0" t="str">
        <f aca="false">INDEX(Summary!$S$2:$S$201,MATCH($B766,Summary!$A$2:$A$201,0))</f>
        <v>Bronze</v>
      </c>
      <c r="X766" s="2" t="n">
        <f aca="false">INDEX(Summary!$T$2:$T$201,MATCH($B766,Summary!$A$2:$A$201,0))</f>
        <v>48.73</v>
      </c>
      <c r="Y766" s="0" t="str">
        <f aca="false">INDEX('Reward Model'!$E$18:$E$37,MATCH($E766,'Reward Model'!$A$18:$A$37,0))</f>
        <v>Low</v>
      </c>
      <c r="Z766" s="4" t="n">
        <f aca="false">ROUND(MIN(1,MAX('Reward Model'!$B$2,INDEX('Reward Model'!$C$12:$C$14,MATCH($K766,'Reward Model'!$A$12:$A$14,0))/$J766)),3)</f>
        <v>0.877</v>
      </c>
      <c r="AA766" s="2" t="n">
        <f aca="false">IF($I766="Correct",ROUND(INDEX('Reward Model'!$B$12:$B$14,MATCH($K766,'Reward Model'!$A$12:$A$14,0))*Z766,2),0)</f>
        <v>0.88</v>
      </c>
      <c r="AB766" s="2" t="n">
        <f aca="false">IF($I766="Correct",ROUND(INDEX('Reward Model'!$B$12:$B$14,MATCH($Y766,'Reward Model'!$A$12:$A$14,0))*Z766,2),0)</f>
        <v>0.88</v>
      </c>
    </row>
    <row r="767" customFormat="false" ht="15" hidden="false" customHeight="false" outlineLevel="0" collapsed="false">
      <c r="A767" s="0" t="s">
        <v>205</v>
      </c>
      <c r="B767" s="0" t="s">
        <v>206</v>
      </c>
      <c r="C767" s="0" t="s">
        <v>30</v>
      </c>
      <c r="D767" s="0" t="s">
        <v>189</v>
      </c>
      <c r="E767" s="0" t="n">
        <v>6</v>
      </c>
      <c r="F767" s="0" t="s">
        <v>48</v>
      </c>
      <c r="G767" s="0" t="s">
        <v>49</v>
      </c>
      <c r="H767" s="0" t="s">
        <v>49</v>
      </c>
      <c r="I767" s="0" t="s">
        <v>34</v>
      </c>
      <c r="J767" s="0" t="n">
        <v>1.91</v>
      </c>
      <c r="K767" s="0" t="s">
        <v>35</v>
      </c>
      <c r="L767" s="0" t="n">
        <f aca="false">INDEX(Summary!$F$2:$F$201,MATCH($B767,Summary!$A$2:$A$201,0))</f>
        <v>20</v>
      </c>
      <c r="M767" s="0" t="n">
        <f aca="false">INDEX(Summary!$I$2:$I$201,MATCH($B767,Summary!$A$2:$A$201,0))</f>
        <v>1</v>
      </c>
      <c r="N767" s="0" t="n">
        <f aca="false">INDEX(Summary!$J$2:$J$201,MATCH($B767,Summary!$A$2:$A$201,0))</f>
        <v>4</v>
      </c>
      <c r="O767" s="2" t="n">
        <f aca="false">INDEX(Summary!$K$2:$K$201,MATCH($B767,Summary!$A$2:$A$201,0))</f>
        <v>10.72</v>
      </c>
      <c r="P767" s="3" t="n">
        <f aca="false">INDEX(Summary!$L$2:$L$201,MATCH($B767,Summary!$A$2:$A$201,0))</f>
        <v>4</v>
      </c>
      <c r="Q767" s="3" t="n">
        <f aca="false">INDEX(Summary!$M$2:$M$201,MATCH($B767,Summary!$A$2:$A$201,0))</f>
        <v>2</v>
      </c>
      <c r="R767" s="2" t="n">
        <f aca="false">INDEX(Summary!$N$2:$N$201,MATCH($B767,Summary!$A$2:$A$201,0))</f>
        <v>9.4</v>
      </c>
      <c r="S767" s="3" t="n">
        <f aca="false">INDEX(Summary!$O$2:$O$201,MATCH($B767,Summary!$A$2:$A$201,0))</f>
        <v>7</v>
      </c>
      <c r="T767" s="3" t="n">
        <f aca="false">INDEX(Summary!$P$2:$P$201,MATCH($B767,Summary!$A$2:$A$201,0))</f>
        <v>2</v>
      </c>
      <c r="U767" s="2" t="n">
        <f aca="false">INDEX(Summary!$Q$2:$Q$201,MATCH($B767,Summary!$A$2:$A$201,0))</f>
        <v>13.09</v>
      </c>
      <c r="V767" s="2" t="n">
        <f aca="false">INDEX(Summary!$R$2:$R$201,MATCH($B767,Summary!$A$2:$A$201,0))</f>
        <v>19.98</v>
      </c>
      <c r="W767" s="0" t="str">
        <f aca="false">INDEX(Summary!$S$2:$S$201,MATCH($B767,Summary!$A$2:$A$201,0))</f>
        <v>Bronze</v>
      </c>
      <c r="X767" s="2" t="n">
        <f aca="false">INDEX(Summary!$T$2:$T$201,MATCH($B767,Summary!$A$2:$A$201,0))</f>
        <v>48.73</v>
      </c>
      <c r="Y767" s="0" t="str">
        <f aca="false">INDEX('Reward Model'!$E$18:$E$37,MATCH($E767,'Reward Model'!$A$18:$A$37,0))</f>
        <v>Medium</v>
      </c>
      <c r="Z767" s="4" t="n">
        <f aca="false">ROUND(MIN(1,MAX('Reward Model'!$B$2,INDEX('Reward Model'!$C$12:$C$14,MATCH($K767,'Reward Model'!$A$12:$A$14,0))/$J767)),3)</f>
        <v>0.785</v>
      </c>
      <c r="AA767" s="2" t="n">
        <f aca="false">IF($I767="Correct",ROUND(INDEX('Reward Model'!$B$12:$B$14,MATCH($K767,'Reward Model'!$A$12:$A$14,0))*Z767,2),0)</f>
        <v>0.79</v>
      </c>
      <c r="AB767" s="2" t="n">
        <f aca="false">IF($I767="Correct",ROUND(INDEX('Reward Model'!$B$12:$B$14,MATCH($Y767,'Reward Model'!$A$12:$A$14,0))*Z767,2),0)</f>
        <v>1.57</v>
      </c>
    </row>
    <row r="768" customFormat="false" ht="15" hidden="false" customHeight="false" outlineLevel="0" collapsed="false">
      <c r="A768" s="0" t="s">
        <v>205</v>
      </c>
      <c r="B768" s="0" t="s">
        <v>206</v>
      </c>
      <c r="C768" s="0" t="s">
        <v>30</v>
      </c>
      <c r="D768" s="0" t="s">
        <v>189</v>
      </c>
      <c r="E768" s="0" t="n">
        <v>7</v>
      </c>
      <c r="F768" s="0" t="s">
        <v>50</v>
      </c>
      <c r="G768" s="0" t="s">
        <v>51</v>
      </c>
      <c r="H768" s="0" t="s">
        <v>51</v>
      </c>
      <c r="I768" s="0" t="s">
        <v>34</v>
      </c>
      <c r="J768" s="0" t="n">
        <v>0.93</v>
      </c>
      <c r="K768" s="0" t="s">
        <v>35</v>
      </c>
      <c r="L768" s="0" t="n">
        <f aca="false">INDEX(Summary!$F$2:$F$201,MATCH($B768,Summary!$A$2:$A$201,0))</f>
        <v>20</v>
      </c>
      <c r="M768" s="0" t="n">
        <f aca="false">INDEX(Summary!$I$2:$I$201,MATCH($B768,Summary!$A$2:$A$201,0))</f>
        <v>1</v>
      </c>
      <c r="N768" s="0" t="n">
        <f aca="false">INDEX(Summary!$J$2:$J$201,MATCH($B768,Summary!$A$2:$A$201,0))</f>
        <v>4</v>
      </c>
      <c r="O768" s="2" t="n">
        <f aca="false">INDEX(Summary!$K$2:$K$201,MATCH($B768,Summary!$A$2:$A$201,0))</f>
        <v>10.72</v>
      </c>
      <c r="P768" s="3" t="n">
        <f aca="false">INDEX(Summary!$L$2:$L$201,MATCH($B768,Summary!$A$2:$A$201,0))</f>
        <v>4</v>
      </c>
      <c r="Q768" s="3" t="n">
        <f aca="false">INDEX(Summary!$M$2:$M$201,MATCH($B768,Summary!$A$2:$A$201,0))</f>
        <v>2</v>
      </c>
      <c r="R768" s="2" t="n">
        <f aca="false">INDEX(Summary!$N$2:$N$201,MATCH($B768,Summary!$A$2:$A$201,0))</f>
        <v>9.4</v>
      </c>
      <c r="S768" s="3" t="n">
        <f aca="false">INDEX(Summary!$O$2:$O$201,MATCH($B768,Summary!$A$2:$A$201,0))</f>
        <v>7</v>
      </c>
      <c r="T768" s="3" t="n">
        <f aca="false">INDEX(Summary!$P$2:$P$201,MATCH($B768,Summary!$A$2:$A$201,0))</f>
        <v>2</v>
      </c>
      <c r="U768" s="2" t="n">
        <f aca="false">INDEX(Summary!$Q$2:$Q$201,MATCH($B768,Summary!$A$2:$A$201,0))</f>
        <v>13.09</v>
      </c>
      <c r="V768" s="2" t="n">
        <f aca="false">INDEX(Summary!$R$2:$R$201,MATCH($B768,Summary!$A$2:$A$201,0))</f>
        <v>19.98</v>
      </c>
      <c r="W768" s="0" t="str">
        <f aca="false">INDEX(Summary!$S$2:$S$201,MATCH($B768,Summary!$A$2:$A$201,0))</f>
        <v>Bronze</v>
      </c>
      <c r="X768" s="2" t="n">
        <f aca="false">INDEX(Summary!$T$2:$T$201,MATCH($B768,Summary!$A$2:$A$201,0))</f>
        <v>48.73</v>
      </c>
      <c r="Y768" s="0" t="str">
        <f aca="false">INDEX('Reward Model'!$E$18:$E$37,MATCH($E768,'Reward Model'!$A$18:$A$37,0))</f>
        <v>Low</v>
      </c>
      <c r="Z768" s="4" t="n">
        <f aca="false">ROUND(MIN(1,MAX('Reward Model'!$B$2,INDEX('Reward Model'!$C$12:$C$14,MATCH($K768,'Reward Model'!$A$12:$A$14,0))/$J768)),3)</f>
        <v>1</v>
      </c>
      <c r="AA768" s="2" t="n">
        <f aca="false">IF($I768="Correct",ROUND(INDEX('Reward Model'!$B$12:$B$14,MATCH($K768,'Reward Model'!$A$12:$A$14,0))*Z768,2),0)</f>
        <v>1</v>
      </c>
      <c r="AB768" s="2" t="n">
        <f aca="false">IF($I768="Correct",ROUND(INDEX('Reward Model'!$B$12:$B$14,MATCH($Y768,'Reward Model'!$A$12:$A$14,0))*Z768,2),0)</f>
        <v>1</v>
      </c>
    </row>
    <row r="769" customFormat="false" ht="15" hidden="false" customHeight="false" outlineLevel="0" collapsed="false">
      <c r="A769" s="0" t="s">
        <v>205</v>
      </c>
      <c r="B769" s="0" t="s">
        <v>206</v>
      </c>
      <c r="C769" s="0" t="s">
        <v>30</v>
      </c>
      <c r="D769" s="0" t="s">
        <v>189</v>
      </c>
      <c r="E769" s="0" t="n">
        <v>8</v>
      </c>
      <c r="F769" s="0" t="s">
        <v>52</v>
      </c>
      <c r="G769" s="0" t="s">
        <v>54</v>
      </c>
      <c r="H769" s="0" t="s">
        <v>54</v>
      </c>
      <c r="I769" s="0" t="s">
        <v>34</v>
      </c>
      <c r="J769" s="0" t="n">
        <v>1.59</v>
      </c>
      <c r="K769" s="0" t="s">
        <v>35</v>
      </c>
      <c r="L769" s="0" t="n">
        <f aca="false">INDEX(Summary!$F$2:$F$201,MATCH($B769,Summary!$A$2:$A$201,0))</f>
        <v>20</v>
      </c>
      <c r="M769" s="0" t="n">
        <f aca="false">INDEX(Summary!$I$2:$I$201,MATCH($B769,Summary!$A$2:$A$201,0))</f>
        <v>1</v>
      </c>
      <c r="N769" s="0" t="n">
        <f aca="false">INDEX(Summary!$J$2:$J$201,MATCH($B769,Summary!$A$2:$A$201,0))</f>
        <v>4</v>
      </c>
      <c r="O769" s="2" t="n">
        <f aca="false">INDEX(Summary!$K$2:$K$201,MATCH($B769,Summary!$A$2:$A$201,0))</f>
        <v>10.72</v>
      </c>
      <c r="P769" s="3" t="n">
        <f aca="false">INDEX(Summary!$L$2:$L$201,MATCH($B769,Summary!$A$2:$A$201,0))</f>
        <v>4</v>
      </c>
      <c r="Q769" s="3" t="n">
        <f aca="false">INDEX(Summary!$M$2:$M$201,MATCH($B769,Summary!$A$2:$A$201,0))</f>
        <v>2</v>
      </c>
      <c r="R769" s="2" t="n">
        <f aca="false">INDEX(Summary!$N$2:$N$201,MATCH($B769,Summary!$A$2:$A$201,0))</f>
        <v>9.4</v>
      </c>
      <c r="S769" s="3" t="n">
        <f aca="false">INDEX(Summary!$O$2:$O$201,MATCH($B769,Summary!$A$2:$A$201,0))</f>
        <v>7</v>
      </c>
      <c r="T769" s="3" t="n">
        <f aca="false">INDEX(Summary!$P$2:$P$201,MATCH($B769,Summary!$A$2:$A$201,0))</f>
        <v>2</v>
      </c>
      <c r="U769" s="2" t="n">
        <f aca="false">INDEX(Summary!$Q$2:$Q$201,MATCH($B769,Summary!$A$2:$A$201,0))</f>
        <v>13.09</v>
      </c>
      <c r="V769" s="2" t="n">
        <f aca="false">INDEX(Summary!$R$2:$R$201,MATCH($B769,Summary!$A$2:$A$201,0))</f>
        <v>19.98</v>
      </c>
      <c r="W769" s="0" t="str">
        <f aca="false">INDEX(Summary!$S$2:$S$201,MATCH($B769,Summary!$A$2:$A$201,0))</f>
        <v>Bronze</v>
      </c>
      <c r="X769" s="2" t="n">
        <f aca="false">INDEX(Summary!$T$2:$T$201,MATCH($B769,Summary!$A$2:$A$201,0))</f>
        <v>48.73</v>
      </c>
      <c r="Y769" s="0" t="str">
        <f aca="false">INDEX('Reward Model'!$E$18:$E$37,MATCH($E769,'Reward Model'!$A$18:$A$37,0))</f>
        <v>Medium</v>
      </c>
      <c r="Z769" s="4" t="n">
        <f aca="false">ROUND(MIN(1,MAX('Reward Model'!$B$2,INDEX('Reward Model'!$C$12:$C$14,MATCH($K769,'Reward Model'!$A$12:$A$14,0))/$J769)),3)</f>
        <v>0.943</v>
      </c>
      <c r="AA769" s="2" t="n">
        <f aca="false">IF($I769="Correct",ROUND(INDEX('Reward Model'!$B$12:$B$14,MATCH($K769,'Reward Model'!$A$12:$A$14,0))*Z769,2),0)</f>
        <v>0.94</v>
      </c>
      <c r="AB769" s="2" t="n">
        <f aca="false">IF($I769="Correct",ROUND(INDEX('Reward Model'!$B$12:$B$14,MATCH($Y769,'Reward Model'!$A$12:$A$14,0))*Z769,2),0)</f>
        <v>1.89</v>
      </c>
    </row>
    <row r="770" customFormat="false" ht="15" hidden="false" customHeight="false" outlineLevel="0" collapsed="false">
      <c r="A770" s="0" t="s">
        <v>205</v>
      </c>
      <c r="B770" s="0" t="s">
        <v>206</v>
      </c>
      <c r="C770" s="0" t="s">
        <v>30</v>
      </c>
      <c r="D770" s="0" t="s">
        <v>189</v>
      </c>
      <c r="E770" s="0" t="n">
        <v>9</v>
      </c>
      <c r="F770" s="0" t="s">
        <v>55</v>
      </c>
      <c r="G770" s="0" t="s">
        <v>108</v>
      </c>
      <c r="H770" s="0" t="s">
        <v>57</v>
      </c>
      <c r="I770" s="0" t="s">
        <v>39</v>
      </c>
      <c r="J770" s="0" t="n">
        <v>1.47</v>
      </c>
      <c r="K770" s="0" t="s">
        <v>35</v>
      </c>
      <c r="L770" s="0" t="n">
        <f aca="false">INDEX(Summary!$F$2:$F$201,MATCH($B770,Summary!$A$2:$A$201,0))</f>
        <v>20</v>
      </c>
      <c r="M770" s="0" t="n">
        <f aca="false">INDEX(Summary!$I$2:$I$201,MATCH($B770,Summary!$A$2:$A$201,0))</f>
        <v>1</v>
      </c>
      <c r="N770" s="0" t="n">
        <f aca="false">INDEX(Summary!$J$2:$J$201,MATCH($B770,Summary!$A$2:$A$201,0))</f>
        <v>4</v>
      </c>
      <c r="O770" s="2" t="n">
        <f aca="false">INDEX(Summary!$K$2:$K$201,MATCH($B770,Summary!$A$2:$A$201,0))</f>
        <v>10.72</v>
      </c>
      <c r="P770" s="3" t="n">
        <f aca="false">INDEX(Summary!$L$2:$L$201,MATCH($B770,Summary!$A$2:$A$201,0))</f>
        <v>4</v>
      </c>
      <c r="Q770" s="3" t="n">
        <f aca="false">INDEX(Summary!$M$2:$M$201,MATCH($B770,Summary!$A$2:$A$201,0))</f>
        <v>2</v>
      </c>
      <c r="R770" s="2" t="n">
        <f aca="false">INDEX(Summary!$N$2:$N$201,MATCH($B770,Summary!$A$2:$A$201,0))</f>
        <v>9.4</v>
      </c>
      <c r="S770" s="3" t="n">
        <f aca="false">INDEX(Summary!$O$2:$O$201,MATCH($B770,Summary!$A$2:$A$201,0))</f>
        <v>7</v>
      </c>
      <c r="T770" s="3" t="n">
        <f aca="false">INDEX(Summary!$P$2:$P$201,MATCH($B770,Summary!$A$2:$A$201,0))</f>
        <v>2</v>
      </c>
      <c r="U770" s="2" t="n">
        <f aca="false">INDEX(Summary!$Q$2:$Q$201,MATCH($B770,Summary!$A$2:$A$201,0))</f>
        <v>13.09</v>
      </c>
      <c r="V770" s="2" t="n">
        <f aca="false">INDEX(Summary!$R$2:$R$201,MATCH($B770,Summary!$A$2:$A$201,0))</f>
        <v>19.98</v>
      </c>
      <c r="W770" s="0" t="str">
        <f aca="false">INDEX(Summary!$S$2:$S$201,MATCH($B770,Summary!$A$2:$A$201,0))</f>
        <v>Bronze</v>
      </c>
      <c r="X770" s="2" t="n">
        <f aca="false">INDEX(Summary!$T$2:$T$201,MATCH($B770,Summary!$A$2:$A$201,0))</f>
        <v>48.73</v>
      </c>
      <c r="Y770" s="0" t="str">
        <f aca="false">INDEX('Reward Model'!$E$18:$E$37,MATCH($E770,'Reward Model'!$A$18:$A$37,0))</f>
        <v>Medium</v>
      </c>
      <c r="Z770" s="4" t="n">
        <f aca="false">ROUND(MIN(1,MAX('Reward Model'!$B$2,INDEX('Reward Model'!$C$12:$C$14,MATCH($K770,'Reward Model'!$A$12:$A$14,0))/$J770)),3)</f>
        <v>1</v>
      </c>
      <c r="AA770" s="2" t="n">
        <f aca="false">IF($I770="Correct",ROUND(INDEX('Reward Model'!$B$12:$B$14,MATCH($K770,'Reward Model'!$A$12:$A$14,0))*Z770,2),0)</f>
        <v>0</v>
      </c>
      <c r="AB770" s="2" t="n">
        <f aca="false">IF($I770="Correct",ROUND(INDEX('Reward Model'!$B$12:$B$14,MATCH($Y770,'Reward Model'!$A$12:$A$14,0))*Z770,2),0)</f>
        <v>0</v>
      </c>
    </row>
    <row r="771" customFormat="false" ht="15" hidden="false" customHeight="false" outlineLevel="0" collapsed="false">
      <c r="A771" s="0" t="s">
        <v>205</v>
      </c>
      <c r="B771" s="0" t="s">
        <v>206</v>
      </c>
      <c r="C771" s="0" t="s">
        <v>30</v>
      </c>
      <c r="D771" s="0" t="s">
        <v>189</v>
      </c>
      <c r="E771" s="0" t="n">
        <v>10</v>
      </c>
      <c r="F771" s="0" t="s">
        <v>58</v>
      </c>
      <c r="G771" s="0" t="s">
        <v>59</v>
      </c>
      <c r="H771" s="0" t="s">
        <v>59</v>
      </c>
      <c r="I771" s="0" t="s">
        <v>34</v>
      </c>
      <c r="J771" s="0" t="n">
        <v>1.24</v>
      </c>
      <c r="K771" s="0" t="s">
        <v>60</v>
      </c>
      <c r="L771" s="0" t="n">
        <f aca="false">INDEX(Summary!$F$2:$F$201,MATCH($B771,Summary!$A$2:$A$201,0))</f>
        <v>20</v>
      </c>
      <c r="M771" s="0" t="n">
        <f aca="false">INDEX(Summary!$I$2:$I$201,MATCH($B771,Summary!$A$2:$A$201,0))</f>
        <v>1</v>
      </c>
      <c r="N771" s="0" t="n">
        <f aca="false">INDEX(Summary!$J$2:$J$201,MATCH($B771,Summary!$A$2:$A$201,0))</f>
        <v>4</v>
      </c>
      <c r="O771" s="2" t="n">
        <f aca="false">INDEX(Summary!$K$2:$K$201,MATCH($B771,Summary!$A$2:$A$201,0))</f>
        <v>10.72</v>
      </c>
      <c r="P771" s="3" t="n">
        <f aca="false">INDEX(Summary!$L$2:$L$201,MATCH($B771,Summary!$A$2:$A$201,0))</f>
        <v>4</v>
      </c>
      <c r="Q771" s="3" t="n">
        <f aca="false">INDEX(Summary!$M$2:$M$201,MATCH($B771,Summary!$A$2:$A$201,0))</f>
        <v>2</v>
      </c>
      <c r="R771" s="2" t="n">
        <f aca="false">INDEX(Summary!$N$2:$N$201,MATCH($B771,Summary!$A$2:$A$201,0))</f>
        <v>9.4</v>
      </c>
      <c r="S771" s="3" t="n">
        <f aca="false">INDEX(Summary!$O$2:$O$201,MATCH($B771,Summary!$A$2:$A$201,0))</f>
        <v>7</v>
      </c>
      <c r="T771" s="3" t="n">
        <f aca="false">INDEX(Summary!$P$2:$P$201,MATCH($B771,Summary!$A$2:$A$201,0))</f>
        <v>2</v>
      </c>
      <c r="U771" s="2" t="n">
        <f aca="false">INDEX(Summary!$Q$2:$Q$201,MATCH($B771,Summary!$A$2:$A$201,0))</f>
        <v>13.09</v>
      </c>
      <c r="V771" s="2" t="n">
        <f aca="false">INDEX(Summary!$R$2:$R$201,MATCH($B771,Summary!$A$2:$A$201,0))</f>
        <v>19.98</v>
      </c>
      <c r="W771" s="0" t="str">
        <f aca="false">INDEX(Summary!$S$2:$S$201,MATCH($B771,Summary!$A$2:$A$201,0))</f>
        <v>Bronze</v>
      </c>
      <c r="X771" s="2" t="n">
        <f aca="false">INDEX(Summary!$T$2:$T$201,MATCH($B771,Summary!$A$2:$A$201,0))</f>
        <v>48.73</v>
      </c>
      <c r="Y771" s="0" t="str">
        <f aca="false">INDEX('Reward Model'!$E$18:$E$37,MATCH($E771,'Reward Model'!$A$18:$A$37,0))</f>
        <v>Medium</v>
      </c>
      <c r="Z771" s="4" t="n">
        <f aca="false">ROUND(MIN(1,MAX('Reward Model'!$B$2,INDEX('Reward Model'!$C$12:$C$14,MATCH($K771,'Reward Model'!$A$12:$A$14,0))/$J771)),3)</f>
        <v>1</v>
      </c>
      <c r="AA771" s="2" t="n">
        <f aca="false">IF($I771="Correct",ROUND(INDEX('Reward Model'!$B$12:$B$14,MATCH($K771,'Reward Model'!$A$12:$A$14,0))*Z771,2),0)</f>
        <v>2</v>
      </c>
      <c r="AB771" s="2" t="n">
        <f aca="false">IF($I771="Correct",ROUND(INDEX('Reward Model'!$B$12:$B$14,MATCH($Y771,'Reward Model'!$A$12:$A$14,0))*Z771,2),0)</f>
        <v>2</v>
      </c>
    </row>
    <row r="772" customFormat="false" ht="15" hidden="false" customHeight="false" outlineLevel="0" collapsed="false">
      <c r="A772" s="0" t="s">
        <v>205</v>
      </c>
      <c r="B772" s="0" t="s">
        <v>206</v>
      </c>
      <c r="C772" s="0" t="s">
        <v>30</v>
      </c>
      <c r="D772" s="0" t="s">
        <v>189</v>
      </c>
      <c r="E772" s="0" t="n">
        <v>11</v>
      </c>
      <c r="F772" s="0" t="s">
        <v>61</v>
      </c>
      <c r="G772" s="0" t="s">
        <v>63</v>
      </c>
      <c r="H772" s="0" t="s">
        <v>63</v>
      </c>
      <c r="I772" s="0" t="s">
        <v>34</v>
      </c>
      <c r="J772" s="0" t="n">
        <v>1.44</v>
      </c>
      <c r="K772" s="0" t="s">
        <v>60</v>
      </c>
      <c r="L772" s="0" t="n">
        <f aca="false">INDEX(Summary!$F$2:$F$201,MATCH($B772,Summary!$A$2:$A$201,0))</f>
        <v>20</v>
      </c>
      <c r="M772" s="0" t="n">
        <f aca="false">INDEX(Summary!$I$2:$I$201,MATCH($B772,Summary!$A$2:$A$201,0))</f>
        <v>1</v>
      </c>
      <c r="N772" s="0" t="n">
        <f aca="false">INDEX(Summary!$J$2:$J$201,MATCH($B772,Summary!$A$2:$A$201,0))</f>
        <v>4</v>
      </c>
      <c r="O772" s="2" t="n">
        <f aca="false">INDEX(Summary!$K$2:$K$201,MATCH($B772,Summary!$A$2:$A$201,0))</f>
        <v>10.72</v>
      </c>
      <c r="P772" s="3" t="n">
        <f aca="false">INDEX(Summary!$L$2:$L$201,MATCH($B772,Summary!$A$2:$A$201,0))</f>
        <v>4</v>
      </c>
      <c r="Q772" s="3" t="n">
        <f aca="false">INDEX(Summary!$M$2:$M$201,MATCH($B772,Summary!$A$2:$A$201,0))</f>
        <v>2</v>
      </c>
      <c r="R772" s="2" t="n">
        <f aca="false">INDEX(Summary!$N$2:$N$201,MATCH($B772,Summary!$A$2:$A$201,0))</f>
        <v>9.4</v>
      </c>
      <c r="S772" s="3" t="n">
        <f aca="false">INDEX(Summary!$O$2:$O$201,MATCH($B772,Summary!$A$2:$A$201,0))</f>
        <v>7</v>
      </c>
      <c r="T772" s="3" t="n">
        <f aca="false">INDEX(Summary!$P$2:$P$201,MATCH($B772,Summary!$A$2:$A$201,0))</f>
        <v>2</v>
      </c>
      <c r="U772" s="2" t="n">
        <f aca="false">INDEX(Summary!$Q$2:$Q$201,MATCH($B772,Summary!$A$2:$A$201,0))</f>
        <v>13.09</v>
      </c>
      <c r="V772" s="2" t="n">
        <f aca="false">INDEX(Summary!$R$2:$R$201,MATCH($B772,Summary!$A$2:$A$201,0))</f>
        <v>19.98</v>
      </c>
      <c r="W772" s="0" t="str">
        <f aca="false">INDEX(Summary!$S$2:$S$201,MATCH($B772,Summary!$A$2:$A$201,0))</f>
        <v>Bronze</v>
      </c>
      <c r="X772" s="2" t="n">
        <f aca="false">INDEX(Summary!$T$2:$T$201,MATCH($B772,Summary!$A$2:$A$201,0))</f>
        <v>48.73</v>
      </c>
      <c r="Y772" s="0" t="str">
        <f aca="false">INDEX('Reward Model'!$E$18:$E$37,MATCH($E772,'Reward Model'!$A$18:$A$37,0))</f>
        <v>Medium</v>
      </c>
      <c r="Z772" s="4" t="n">
        <f aca="false">ROUND(MIN(1,MAX('Reward Model'!$B$2,INDEX('Reward Model'!$C$12:$C$14,MATCH($K772,'Reward Model'!$A$12:$A$14,0))/$J772)),3)</f>
        <v>1</v>
      </c>
      <c r="AA772" s="2" t="n">
        <f aca="false">IF($I772="Correct",ROUND(INDEX('Reward Model'!$B$12:$B$14,MATCH($K772,'Reward Model'!$A$12:$A$14,0))*Z772,2),0)</f>
        <v>2</v>
      </c>
      <c r="AB772" s="2" t="n">
        <f aca="false">IF($I772="Correct",ROUND(INDEX('Reward Model'!$B$12:$B$14,MATCH($Y772,'Reward Model'!$A$12:$A$14,0))*Z772,2),0)</f>
        <v>2</v>
      </c>
    </row>
    <row r="773" customFormat="false" ht="15" hidden="false" customHeight="false" outlineLevel="0" collapsed="false">
      <c r="A773" s="0" t="s">
        <v>205</v>
      </c>
      <c r="B773" s="0" t="s">
        <v>206</v>
      </c>
      <c r="C773" s="0" t="s">
        <v>30</v>
      </c>
      <c r="D773" s="0" t="s">
        <v>189</v>
      </c>
      <c r="E773" s="0" t="n">
        <v>12</v>
      </c>
      <c r="F773" s="0" t="s">
        <v>64</v>
      </c>
      <c r="G773" s="0" t="s">
        <v>112</v>
      </c>
      <c r="H773" s="0" t="s">
        <v>65</v>
      </c>
      <c r="I773" s="0" t="s">
        <v>39</v>
      </c>
      <c r="J773" s="0" t="n">
        <v>2.27</v>
      </c>
      <c r="K773" s="0" t="s">
        <v>60</v>
      </c>
      <c r="L773" s="0" t="n">
        <f aca="false">INDEX(Summary!$F$2:$F$201,MATCH($B773,Summary!$A$2:$A$201,0))</f>
        <v>20</v>
      </c>
      <c r="M773" s="0" t="n">
        <f aca="false">INDEX(Summary!$I$2:$I$201,MATCH($B773,Summary!$A$2:$A$201,0))</f>
        <v>1</v>
      </c>
      <c r="N773" s="0" t="n">
        <f aca="false">INDEX(Summary!$J$2:$J$201,MATCH($B773,Summary!$A$2:$A$201,0))</f>
        <v>4</v>
      </c>
      <c r="O773" s="2" t="n">
        <f aca="false">INDEX(Summary!$K$2:$K$201,MATCH($B773,Summary!$A$2:$A$201,0))</f>
        <v>10.72</v>
      </c>
      <c r="P773" s="3" t="n">
        <f aca="false">INDEX(Summary!$L$2:$L$201,MATCH($B773,Summary!$A$2:$A$201,0))</f>
        <v>4</v>
      </c>
      <c r="Q773" s="3" t="n">
        <f aca="false">INDEX(Summary!$M$2:$M$201,MATCH($B773,Summary!$A$2:$A$201,0))</f>
        <v>2</v>
      </c>
      <c r="R773" s="2" t="n">
        <f aca="false">INDEX(Summary!$N$2:$N$201,MATCH($B773,Summary!$A$2:$A$201,0))</f>
        <v>9.4</v>
      </c>
      <c r="S773" s="3" t="n">
        <f aca="false">INDEX(Summary!$O$2:$O$201,MATCH($B773,Summary!$A$2:$A$201,0))</f>
        <v>7</v>
      </c>
      <c r="T773" s="3" t="n">
        <f aca="false">INDEX(Summary!$P$2:$P$201,MATCH($B773,Summary!$A$2:$A$201,0))</f>
        <v>2</v>
      </c>
      <c r="U773" s="2" t="n">
        <f aca="false">INDEX(Summary!$Q$2:$Q$201,MATCH($B773,Summary!$A$2:$A$201,0))</f>
        <v>13.09</v>
      </c>
      <c r="V773" s="2" t="n">
        <f aca="false">INDEX(Summary!$R$2:$R$201,MATCH($B773,Summary!$A$2:$A$201,0))</f>
        <v>19.98</v>
      </c>
      <c r="W773" s="0" t="str">
        <f aca="false">INDEX(Summary!$S$2:$S$201,MATCH($B773,Summary!$A$2:$A$201,0))</f>
        <v>Bronze</v>
      </c>
      <c r="X773" s="2" t="n">
        <f aca="false">INDEX(Summary!$T$2:$T$201,MATCH($B773,Summary!$A$2:$A$201,0))</f>
        <v>48.73</v>
      </c>
      <c r="Y773" s="0" t="str">
        <f aca="false">INDEX('Reward Model'!$E$18:$E$37,MATCH($E773,'Reward Model'!$A$18:$A$37,0))</f>
        <v>Medium</v>
      </c>
      <c r="Z773" s="4" t="n">
        <f aca="false">ROUND(MIN(1,MAX('Reward Model'!$B$2,INDEX('Reward Model'!$C$12:$C$14,MATCH($K773,'Reward Model'!$A$12:$A$14,0))/$J773)),3)</f>
        <v>0.793</v>
      </c>
      <c r="AA773" s="2" t="n">
        <f aca="false">IF($I773="Correct",ROUND(INDEX('Reward Model'!$B$12:$B$14,MATCH($K773,'Reward Model'!$A$12:$A$14,0))*Z773,2),0)</f>
        <v>0</v>
      </c>
      <c r="AB773" s="2" t="n">
        <f aca="false">IF($I773="Correct",ROUND(INDEX('Reward Model'!$B$12:$B$14,MATCH($Y773,'Reward Model'!$A$12:$A$14,0))*Z773,2),0)</f>
        <v>0</v>
      </c>
    </row>
    <row r="774" customFormat="false" ht="15" hidden="false" customHeight="false" outlineLevel="0" collapsed="false">
      <c r="A774" s="0" t="s">
        <v>205</v>
      </c>
      <c r="B774" s="0" t="s">
        <v>206</v>
      </c>
      <c r="C774" s="0" t="s">
        <v>30</v>
      </c>
      <c r="D774" s="0" t="s">
        <v>189</v>
      </c>
      <c r="E774" s="0" t="n">
        <v>13</v>
      </c>
      <c r="F774" s="0" t="s">
        <v>66</v>
      </c>
      <c r="G774" s="0" t="s">
        <v>67</v>
      </c>
      <c r="H774" s="0" t="s">
        <v>67</v>
      </c>
      <c r="I774" s="0" t="s">
        <v>34</v>
      </c>
      <c r="J774" s="0" t="n">
        <v>1.23</v>
      </c>
      <c r="K774" s="0" t="s">
        <v>60</v>
      </c>
      <c r="L774" s="0" t="n">
        <f aca="false">INDEX(Summary!$F$2:$F$201,MATCH($B774,Summary!$A$2:$A$201,0))</f>
        <v>20</v>
      </c>
      <c r="M774" s="0" t="n">
        <f aca="false">INDEX(Summary!$I$2:$I$201,MATCH($B774,Summary!$A$2:$A$201,0))</f>
        <v>1</v>
      </c>
      <c r="N774" s="0" t="n">
        <f aca="false">INDEX(Summary!$J$2:$J$201,MATCH($B774,Summary!$A$2:$A$201,0))</f>
        <v>4</v>
      </c>
      <c r="O774" s="2" t="n">
        <f aca="false">INDEX(Summary!$K$2:$K$201,MATCH($B774,Summary!$A$2:$A$201,0))</f>
        <v>10.72</v>
      </c>
      <c r="P774" s="3" t="n">
        <f aca="false">INDEX(Summary!$L$2:$L$201,MATCH($B774,Summary!$A$2:$A$201,0))</f>
        <v>4</v>
      </c>
      <c r="Q774" s="3" t="n">
        <f aca="false">INDEX(Summary!$M$2:$M$201,MATCH($B774,Summary!$A$2:$A$201,0))</f>
        <v>2</v>
      </c>
      <c r="R774" s="2" t="n">
        <f aca="false">INDEX(Summary!$N$2:$N$201,MATCH($B774,Summary!$A$2:$A$201,0))</f>
        <v>9.4</v>
      </c>
      <c r="S774" s="3" t="n">
        <f aca="false">INDEX(Summary!$O$2:$O$201,MATCH($B774,Summary!$A$2:$A$201,0))</f>
        <v>7</v>
      </c>
      <c r="T774" s="3" t="n">
        <f aca="false">INDEX(Summary!$P$2:$P$201,MATCH($B774,Summary!$A$2:$A$201,0))</f>
        <v>2</v>
      </c>
      <c r="U774" s="2" t="n">
        <f aca="false">INDEX(Summary!$Q$2:$Q$201,MATCH($B774,Summary!$A$2:$A$201,0))</f>
        <v>13.09</v>
      </c>
      <c r="V774" s="2" t="n">
        <f aca="false">INDEX(Summary!$R$2:$R$201,MATCH($B774,Summary!$A$2:$A$201,0))</f>
        <v>19.98</v>
      </c>
      <c r="W774" s="0" t="str">
        <f aca="false">INDEX(Summary!$S$2:$S$201,MATCH($B774,Summary!$A$2:$A$201,0))</f>
        <v>Bronze</v>
      </c>
      <c r="X774" s="2" t="n">
        <f aca="false">INDEX(Summary!$T$2:$T$201,MATCH($B774,Summary!$A$2:$A$201,0))</f>
        <v>48.73</v>
      </c>
      <c r="Y774" s="0" t="str">
        <f aca="false">INDEX('Reward Model'!$E$18:$E$37,MATCH($E774,'Reward Model'!$A$18:$A$37,0))</f>
        <v>Medium</v>
      </c>
      <c r="Z774" s="4" t="n">
        <f aca="false">ROUND(MIN(1,MAX('Reward Model'!$B$2,INDEX('Reward Model'!$C$12:$C$14,MATCH($K774,'Reward Model'!$A$12:$A$14,0))/$J774)),3)</f>
        <v>1</v>
      </c>
      <c r="AA774" s="2" t="n">
        <f aca="false">IF($I774="Correct",ROUND(INDEX('Reward Model'!$B$12:$B$14,MATCH($K774,'Reward Model'!$A$12:$A$14,0))*Z774,2),0)</f>
        <v>2</v>
      </c>
      <c r="AB774" s="2" t="n">
        <f aca="false">IF($I774="Correct",ROUND(INDEX('Reward Model'!$B$12:$B$14,MATCH($Y774,'Reward Model'!$A$12:$A$14,0))*Z774,2),0)</f>
        <v>2</v>
      </c>
    </row>
    <row r="775" customFormat="false" ht="15" hidden="false" customHeight="false" outlineLevel="0" collapsed="false">
      <c r="A775" s="0" t="s">
        <v>205</v>
      </c>
      <c r="B775" s="0" t="s">
        <v>206</v>
      </c>
      <c r="C775" s="0" t="s">
        <v>30</v>
      </c>
      <c r="D775" s="0" t="s">
        <v>189</v>
      </c>
      <c r="E775" s="0" t="n">
        <v>14</v>
      </c>
      <c r="F775" s="0" t="s">
        <v>68</v>
      </c>
      <c r="G775" s="0" t="s">
        <v>118</v>
      </c>
      <c r="H775" s="0" t="s">
        <v>51</v>
      </c>
      <c r="I775" s="0" t="s">
        <v>39</v>
      </c>
      <c r="J775" s="0" t="n">
        <v>1.18</v>
      </c>
      <c r="K775" s="0" t="s">
        <v>60</v>
      </c>
      <c r="L775" s="0" t="n">
        <f aca="false">INDEX(Summary!$F$2:$F$201,MATCH($B775,Summary!$A$2:$A$201,0))</f>
        <v>20</v>
      </c>
      <c r="M775" s="0" t="n">
        <f aca="false">INDEX(Summary!$I$2:$I$201,MATCH($B775,Summary!$A$2:$A$201,0))</f>
        <v>1</v>
      </c>
      <c r="N775" s="0" t="n">
        <f aca="false">INDEX(Summary!$J$2:$J$201,MATCH($B775,Summary!$A$2:$A$201,0))</f>
        <v>4</v>
      </c>
      <c r="O775" s="2" t="n">
        <f aca="false">INDEX(Summary!$K$2:$K$201,MATCH($B775,Summary!$A$2:$A$201,0))</f>
        <v>10.72</v>
      </c>
      <c r="P775" s="3" t="n">
        <f aca="false">INDEX(Summary!$L$2:$L$201,MATCH($B775,Summary!$A$2:$A$201,0))</f>
        <v>4</v>
      </c>
      <c r="Q775" s="3" t="n">
        <f aca="false">INDEX(Summary!$M$2:$M$201,MATCH($B775,Summary!$A$2:$A$201,0))</f>
        <v>2</v>
      </c>
      <c r="R775" s="2" t="n">
        <f aca="false">INDEX(Summary!$N$2:$N$201,MATCH($B775,Summary!$A$2:$A$201,0))</f>
        <v>9.4</v>
      </c>
      <c r="S775" s="3" t="n">
        <f aca="false">INDEX(Summary!$O$2:$O$201,MATCH($B775,Summary!$A$2:$A$201,0))</f>
        <v>7</v>
      </c>
      <c r="T775" s="3" t="n">
        <f aca="false">INDEX(Summary!$P$2:$P$201,MATCH($B775,Summary!$A$2:$A$201,0))</f>
        <v>2</v>
      </c>
      <c r="U775" s="2" t="n">
        <f aca="false">INDEX(Summary!$Q$2:$Q$201,MATCH($B775,Summary!$A$2:$A$201,0))</f>
        <v>13.09</v>
      </c>
      <c r="V775" s="2" t="n">
        <f aca="false">INDEX(Summary!$R$2:$R$201,MATCH($B775,Summary!$A$2:$A$201,0))</f>
        <v>19.98</v>
      </c>
      <c r="W775" s="0" t="str">
        <f aca="false">INDEX(Summary!$S$2:$S$201,MATCH($B775,Summary!$A$2:$A$201,0))</f>
        <v>Bronze</v>
      </c>
      <c r="X775" s="2" t="n">
        <f aca="false">INDEX(Summary!$T$2:$T$201,MATCH($B775,Summary!$A$2:$A$201,0))</f>
        <v>48.73</v>
      </c>
      <c r="Y775" s="0" t="str">
        <f aca="false">INDEX('Reward Model'!$E$18:$E$37,MATCH($E775,'Reward Model'!$A$18:$A$37,0))</f>
        <v>Medium</v>
      </c>
      <c r="Z775" s="4" t="n">
        <f aca="false">ROUND(MIN(1,MAX('Reward Model'!$B$2,INDEX('Reward Model'!$C$12:$C$14,MATCH($K775,'Reward Model'!$A$12:$A$14,0))/$J775)),3)</f>
        <v>1</v>
      </c>
      <c r="AA775" s="2" t="n">
        <f aca="false">IF($I775="Correct",ROUND(INDEX('Reward Model'!$B$12:$B$14,MATCH($K775,'Reward Model'!$A$12:$A$14,0))*Z775,2),0)</f>
        <v>0</v>
      </c>
      <c r="AB775" s="2" t="n">
        <f aca="false">IF($I775="Correct",ROUND(INDEX('Reward Model'!$B$12:$B$14,MATCH($Y775,'Reward Model'!$A$12:$A$14,0))*Z775,2),0)</f>
        <v>0</v>
      </c>
    </row>
    <row r="776" customFormat="false" ht="15" hidden="false" customHeight="false" outlineLevel="0" collapsed="false">
      <c r="A776" s="0" t="s">
        <v>205</v>
      </c>
      <c r="B776" s="0" t="s">
        <v>206</v>
      </c>
      <c r="C776" s="0" t="s">
        <v>30</v>
      </c>
      <c r="D776" s="0" t="s">
        <v>189</v>
      </c>
      <c r="E776" s="0" t="n">
        <v>15</v>
      </c>
      <c r="F776" s="0" t="s">
        <v>69</v>
      </c>
      <c r="G776" s="0" t="s">
        <v>70</v>
      </c>
      <c r="H776" s="0" t="s">
        <v>70</v>
      </c>
      <c r="I776" s="0" t="s">
        <v>34</v>
      </c>
      <c r="J776" s="0" t="n">
        <v>2.04</v>
      </c>
      <c r="K776" s="0" t="s">
        <v>60</v>
      </c>
      <c r="L776" s="0" t="n">
        <f aca="false">INDEX(Summary!$F$2:$F$201,MATCH($B776,Summary!$A$2:$A$201,0))</f>
        <v>20</v>
      </c>
      <c r="M776" s="0" t="n">
        <f aca="false">INDEX(Summary!$I$2:$I$201,MATCH($B776,Summary!$A$2:$A$201,0))</f>
        <v>1</v>
      </c>
      <c r="N776" s="0" t="n">
        <f aca="false">INDEX(Summary!$J$2:$J$201,MATCH($B776,Summary!$A$2:$A$201,0))</f>
        <v>4</v>
      </c>
      <c r="O776" s="2" t="n">
        <f aca="false">INDEX(Summary!$K$2:$K$201,MATCH($B776,Summary!$A$2:$A$201,0))</f>
        <v>10.72</v>
      </c>
      <c r="P776" s="3" t="n">
        <f aca="false">INDEX(Summary!$L$2:$L$201,MATCH($B776,Summary!$A$2:$A$201,0))</f>
        <v>4</v>
      </c>
      <c r="Q776" s="3" t="n">
        <f aca="false">INDEX(Summary!$M$2:$M$201,MATCH($B776,Summary!$A$2:$A$201,0))</f>
        <v>2</v>
      </c>
      <c r="R776" s="2" t="n">
        <f aca="false">INDEX(Summary!$N$2:$N$201,MATCH($B776,Summary!$A$2:$A$201,0))</f>
        <v>9.4</v>
      </c>
      <c r="S776" s="3" t="n">
        <f aca="false">INDEX(Summary!$O$2:$O$201,MATCH($B776,Summary!$A$2:$A$201,0))</f>
        <v>7</v>
      </c>
      <c r="T776" s="3" t="n">
        <f aca="false">INDEX(Summary!$P$2:$P$201,MATCH($B776,Summary!$A$2:$A$201,0))</f>
        <v>2</v>
      </c>
      <c r="U776" s="2" t="n">
        <f aca="false">INDEX(Summary!$Q$2:$Q$201,MATCH($B776,Summary!$A$2:$A$201,0))</f>
        <v>13.09</v>
      </c>
      <c r="V776" s="2" t="n">
        <f aca="false">INDEX(Summary!$R$2:$R$201,MATCH($B776,Summary!$A$2:$A$201,0))</f>
        <v>19.98</v>
      </c>
      <c r="W776" s="0" t="str">
        <f aca="false">INDEX(Summary!$S$2:$S$201,MATCH($B776,Summary!$A$2:$A$201,0))</f>
        <v>Bronze</v>
      </c>
      <c r="X776" s="2" t="n">
        <f aca="false">INDEX(Summary!$T$2:$T$201,MATCH($B776,Summary!$A$2:$A$201,0))</f>
        <v>48.73</v>
      </c>
      <c r="Y776" s="0" t="str">
        <f aca="false">INDEX('Reward Model'!$E$18:$E$37,MATCH($E776,'Reward Model'!$A$18:$A$37,0))</f>
        <v>Medium</v>
      </c>
      <c r="Z776" s="4" t="n">
        <f aca="false">ROUND(MIN(1,MAX('Reward Model'!$B$2,INDEX('Reward Model'!$C$12:$C$14,MATCH($K776,'Reward Model'!$A$12:$A$14,0))/$J776)),3)</f>
        <v>0.882</v>
      </c>
      <c r="AA776" s="2" t="n">
        <f aca="false">IF($I776="Correct",ROUND(INDEX('Reward Model'!$B$12:$B$14,MATCH($K776,'Reward Model'!$A$12:$A$14,0))*Z776,2),0)</f>
        <v>1.76</v>
      </c>
      <c r="AB776" s="2" t="n">
        <f aca="false">IF($I776="Correct",ROUND(INDEX('Reward Model'!$B$12:$B$14,MATCH($Y776,'Reward Model'!$A$12:$A$14,0))*Z776,2),0)</f>
        <v>1.76</v>
      </c>
    </row>
    <row r="777" customFormat="false" ht="15" hidden="false" customHeight="false" outlineLevel="0" collapsed="false">
      <c r="A777" s="0" t="s">
        <v>205</v>
      </c>
      <c r="B777" s="0" t="s">
        <v>206</v>
      </c>
      <c r="C777" s="0" t="s">
        <v>30</v>
      </c>
      <c r="D777" s="0" t="s">
        <v>189</v>
      </c>
      <c r="E777" s="0" t="n">
        <v>16</v>
      </c>
      <c r="F777" s="0" t="s">
        <v>71</v>
      </c>
      <c r="G777" s="0" t="s">
        <v>72</v>
      </c>
      <c r="H777" s="0" t="s">
        <v>72</v>
      </c>
      <c r="I777" s="0" t="s">
        <v>34</v>
      </c>
      <c r="J777" s="0" t="n">
        <v>1.8</v>
      </c>
      <c r="K777" s="0" t="s">
        <v>73</v>
      </c>
      <c r="L777" s="0" t="n">
        <f aca="false">INDEX(Summary!$F$2:$F$201,MATCH($B777,Summary!$A$2:$A$201,0))</f>
        <v>20</v>
      </c>
      <c r="M777" s="0" t="n">
        <f aca="false">INDEX(Summary!$I$2:$I$201,MATCH($B777,Summary!$A$2:$A$201,0))</f>
        <v>1</v>
      </c>
      <c r="N777" s="0" t="n">
        <f aca="false">INDEX(Summary!$J$2:$J$201,MATCH($B777,Summary!$A$2:$A$201,0))</f>
        <v>4</v>
      </c>
      <c r="O777" s="2" t="n">
        <f aca="false">INDEX(Summary!$K$2:$K$201,MATCH($B777,Summary!$A$2:$A$201,0))</f>
        <v>10.72</v>
      </c>
      <c r="P777" s="3" t="n">
        <f aca="false">INDEX(Summary!$L$2:$L$201,MATCH($B777,Summary!$A$2:$A$201,0))</f>
        <v>4</v>
      </c>
      <c r="Q777" s="3" t="n">
        <f aca="false">INDEX(Summary!$M$2:$M$201,MATCH($B777,Summary!$A$2:$A$201,0))</f>
        <v>2</v>
      </c>
      <c r="R777" s="2" t="n">
        <f aca="false">INDEX(Summary!$N$2:$N$201,MATCH($B777,Summary!$A$2:$A$201,0))</f>
        <v>9.4</v>
      </c>
      <c r="S777" s="3" t="n">
        <f aca="false">INDEX(Summary!$O$2:$O$201,MATCH($B777,Summary!$A$2:$A$201,0))</f>
        <v>7</v>
      </c>
      <c r="T777" s="3" t="n">
        <f aca="false">INDEX(Summary!$P$2:$P$201,MATCH($B777,Summary!$A$2:$A$201,0))</f>
        <v>2</v>
      </c>
      <c r="U777" s="2" t="n">
        <f aca="false">INDEX(Summary!$Q$2:$Q$201,MATCH($B777,Summary!$A$2:$A$201,0))</f>
        <v>13.09</v>
      </c>
      <c r="V777" s="2" t="n">
        <f aca="false">INDEX(Summary!$R$2:$R$201,MATCH($B777,Summary!$A$2:$A$201,0))</f>
        <v>19.98</v>
      </c>
      <c r="W777" s="0" t="str">
        <f aca="false">INDEX(Summary!$S$2:$S$201,MATCH($B777,Summary!$A$2:$A$201,0))</f>
        <v>Bronze</v>
      </c>
      <c r="X777" s="2" t="n">
        <f aca="false">INDEX(Summary!$T$2:$T$201,MATCH($B777,Summary!$A$2:$A$201,0))</f>
        <v>48.73</v>
      </c>
      <c r="Y777" s="0" t="str">
        <f aca="false">INDEX('Reward Model'!$E$18:$E$37,MATCH($E777,'Reward Model'!$A$18:$A$37,0))</f>
        <v>High</v>
      </c>
      <c r="Z777" s="4" t="n">
        <f aca="false">ROUND(MIN(1,MAX('Reward Model'!$B$2,INDEX('Reward Model'!$C$12:$C$14,MATCH($K777,'Reward Model'!$A$12:$A$14,0))/$J777)),3)</f>
        <v>1</v>
      </c>
      <c r="AA777" s="2" t="n">
        <f aca="false">IF($I777="Correct",ROUND(INDEX('Reward Model'!$B$12:$B$14,MATCH($K777,'Reward Model'!$A$12:$A$14,0))*Z777,2),0)</f>
        <v>3</v>
      </c>
      <c r="AB777" s="2" t="n">
        <f aca="false">IF($I777="Correct",ROUND(INDEX('Reward Model'!$B$12:$B$14,MATCH($Y777,'Reward Model'!$A$12:$A$14,0))*Z777,2),0)</f>
        <v>3</v>
      </c>
    </row>
    <row r="778" customFormat="false" ht="15" hidden="false" customHeight="false" outlineLevel="0" collapsed="false">
      <c r="A778" s="0" t="s">
        <v>205</v>
      </c>
      <c r="B778" s="0" t="s">
        <v>206</v>
      </c>
      <c r="C778" s="0" t="s">
        <v>30</v>
      </c>
      <c r="D778" s="0" t="s">
        <v>189</v>
      </c>
      <c r="E778" s="0" t="n">
        <v>17</v>
      </c>
      <c r="F778" s="0" t="s">
        <v>74</v>
      </c>
      <c r="G778" s="0" t="s">
        <v>105</v>
      </c>
      <c r="H778" s="0" t="s">
        <v>75</v>
      </c>
      <c r="I778" s="0" t="s">
        <v>39</v>
      </c>
      <c r="J778" s="0" t="n">
        <v>2.27</v>
      </c>
      <c r="K778" s="0" t="s">
        <v>73</v>
      </c>
      <c r="L778" s="0" t="n">
        <f aca="false">INDEX(Summary!$F$2:$F$201,MATCH($B778,Summary!$A$2:$A$201,0))</f>
        <v>20</v>
      </c>
      <c r="M778" s="0" t="n">
        <f aca="false">INDEX(Summary!$I$2:$I$201,MATCH($B778,Summary!$A$2:$A$201,0))</f>
        <v>1</v>
      </c>
      <c r="N778" s="0" t="n">
        <f aca="false">INDEX(Summary!$J$2:$J$201,MATCH($B778,Summary!$A$2:$A$201,0))</f>
        <v>4</v>
      </c>
      <c r="O778" s="2" t="n">
        <f aca="false">INDEX(Summary!$K$2:$K$201,MATCH($B778,Summary!$A$2:$A$201,0))</f>
        <v>10.72</v>
      </c>
      <c r="P778" s="3" t="n">
        <f aca="false">INDEX(Summary!$L$2:$L$201,MATCH($B778,Summary!$A$2:$A$201,0))</f>
        <v>4</v>
      </c>
      <c r="Q778" s="3" t="n">
        <f aca="false">INDEX(Summary!$M$2:$M$201,MATCH($B778,Summary!$A$2:$A$201,0))</f>
        <v>2</v>
      </c>
      <c r="R778" s="2" t="n">
        <f aca="false">INDEX(Summary!$N$2:$N$201,MATCH($B778,Summary!$A$2:$A$201,0))</f>
        <v>9.4</v>
      </c>
      <c r="S778" s="3" t="n">
        <f aca="false">INDEX(Summary!$O$2:$O$201,MATCH($B778,Summary!$A$2:$A$201,0))</f>
        <v>7</v>
      </c>
      <c r="T778" s="3" t="n">
        <f aca="false">INDEX(Summary!$P$2:$P$201,MATCH($B778,Summary!$A$2:$A$201,0))</f>
        <v>2</v>
      </c>
      <c r="U778" s="2" t="n">
        <f aca="false">INDEX(Summary!$Q$2:$Q$201,MATCH($B778,Summary!$A$2:$A$201,0))</f>
        <v>13.09</v>
      </c>
      <c r="V778" s="2" t="n">
        <f aca="false">INDEX(Summary!$R$2:$R$201,MATCH($B778,Summary!$A$2:$A$201,0))</f>
        <v>19.98</v>
      </c>
      <c r="W778" s="0" t="str">
        <f aca="false">INDEX(Summary!$S$2:$S$201,MATCH($B778,Summary!$A$2:$A$201,0))</f>
        <v>Bronze</v>
      </c>
      <c r="X778" s="2" t="n">
        <f aca="false">INDEX(Summary!$T$2:$T$201,MATCH($B778,Summary!$A$2:$A$201,0))</f>
        <v>48.73</v>
      </c>
      <c r="Y778" s="0" t="str">
        <f aca="false">INDEX('Reward Model'!$E$18:$E$37,MATCH($E778,'Reward Model'!$A$18:$A$37,0))</f>
        <v>High</v>
      </c>
      <c r="Z778" s="4" t="n">
        <f aca="false">ROUND(MIN(1,MAX('Reward Model'!$B$2,INDEX('Reward Model'!$C$12:$C$14,MATCH($K778,'Reward Model'!$A$12:$A$14,0))/$J778)),3)</f>
        <v>0.881</v>
      </c>
      <c r="AA778" s="2" t="n">
        <f aca="false">IF($I778="Correct",ROUND(INDEX('Reward Model'!$B$12:$B$14,MATCH($K778,'Reward Model'!$A$12:$A$14,0))*Z778,2),0)</f>
        <v>0</v>
      </c>
      <c r="AB778" s="2" t="n">
        <f aca="false">IF($I778="Correct",ROUND(INDEX('Reward Model'!$B$12:$B$14,MATCH($Y778,'Reward Model'!$A$12:$A$14,0))*Z778,2),0)</f>
        <v>0</v>
      </c>
    </row>
    <row r="779" customFormat="false" ht="15" hidden="false" customHeight="false" outlineLevel="0" collapsed="false">
      <c r="A779" s="0" t="s">
        <v>205</v>
      </c>
      <c r="B779" s="0" t="s">
        <v>206</v>
      </c>
      <c r="C779" s="0" t="s">
        <v>30</v>
      </c>
      <c r="D779" s="0" t="s">
        <v>189</v>
      </c>
      <c r="E779" s="0" t="n">
        <v>18</v>
      </c>
      <c r="F779" s="0" t="s">
        <v>76</v>
      </c>
      <c r="G779" s="0" t="s">
        <v>56</v>
      </c>
      <c r="H779" s="0" t="s">
        <v>77</v>
      </c>
      <c r="I779" s="0" t="s">
        <v>39</v>
      </c>
      <c r="J779" s="0" t="n">
        <v>1.98</v>
      </c>
      <c r="K779" s="0" t="s">
        <v>73</v>
      </c>
      <c r="L779" s="0" t="n">
        <f aca="false">INDEX(Summary!$F$2:$F$201,MATCH($B779,Summary!$A$2:$A$201,0))</f>
        <v>20</v>
      </c>
      <c r="M779" s="0" t="n">
        <f aca="false">INDEX(Summary!$I$2:$I$201,MATCH($B779,Summary!$A$2:$A$201,0))</f>
        <v>1</v>
      </c>
      <c r="N779" s="0" t="n">
        <f aca="false">INDEX(Summary!$J$2:$J$201,MATCH($B779,Summary!$A$2:$A$201,0))</f>
        <v>4</v>
      </c>
      <c r="O779" s="2" t="n">
        <f aca="false">INDEX(Summary!$K$2:$K$201,MATCH($B779,Summary!$A$2:$A$201,0))</f>
        <v>10.72</v>
      </c>
      <c r="P779" s="3" t="n">
        <f aca="false">INDEX(Summary!$L$2:$L$201,MATCH($B779,Summary!$A$2:$A$201,0))</f>
        <v>4</v>
      </c>
      <c r="Q779" s="3" t="n">
        <f aca="false">INDEX(Summary!$M$2:$M$201,MATCH($B779,Summary!$A$2:$A$201,0))</f>
        <v>2</v>
      </c>
      <c r="R779" s="2" t="n">
        <f aca="false">INDEX(Summary!$N$2:$N$201,MATCH($B779,Summary!$A$2:$A$201,0))</f>
        <v>9.4</v>
      </c>
      <c r="S779" s="3" t="n">
        <f aca="false">INDEX(Summary!$O$2:$O$201,MATCH($B779,Summary!$A$2:$A$201,0))</f>
        <v>7</v>
      </c>
      <c r="T779" s="3" t="n">
        <f aca="false">INDEX(Summary!$P$2:$P$201,MATCH($B779,Summary!$A$2:$A$201,0))</f>
        <v>2</v>
      </c>
      <c r="U779" s="2" t="n">
        <f aca="false">INDEX(Summary!$Q$2:$Q$201,MATCH($B779,Summary!$A$2:$A$201,0))</f>
        <v>13.09</v>
      </c>
      <c r="V779" s="2" t="n">
        <f aca="false">INDEX(Summary!$R$2:$R$201,MATCH($B779,Summary!$A$2:$A$201,0))</f>
        <v>19.98</v>
      </c>
      <c r="W779" s="0" t="str">
        <f aca="false">INDEX(Summary!$S$2:$S$201,MATCH($B779,Summary!$A$2:$A$201,0))</f>
        <v>Bronze</v>
      </c>
      <c r="X779" s="2" t="n">
        <f aca="false">INDEX(Summary!$T$2:$T$201,MATCH($B779,Summary!$A$2:$A$201,0))</f>
        <v>48.73</v>
      </c>
      <c r="Y779" s="0" t="str">
        <f aca="false">INDEX('Reward Model'!$E$18:$E$37,MATCH($E779,'Reward Model'!$A$18:$A$37,0))</f>
        <v>High</v>
      </c>
      <c r="Z779" s="4" t="n">
        <f aca="false">ROUND(MIN(1,MAX('Reward Model'!$B$2,INDEX('Reward Model'!$C$12:$C$14,MATCH($K779,'Reward Model'!$A$12:$A$14,0))/$J779)),3)</f>
        <v>1</v>
      </c>
      <c r="AA779" s="2" t="n">
        <f aca="false">IF($I779="Correct",ROUND(INDEX('Reward Model'!$B$12:$B$14,MATCH($K779,'Reward Model'!$A$12:$A$14,0))*Z779,2),0)</f>
        <v>0</v>
      </c>
      <c r="AB779" s="2" t="n">
        <f aca="false">IF($I779="Correct",ROUND(INDEX('Reward Model'!$B$12:$B$14,MATCH($Y779,'Reward Model'!$A$12:$A$14,0))*Z779,2),0)</f>
        <v>0</v>
      </c>
    </row>
    <row r="780" customFormat="false" ht="15" hidden="false" customHeight="false" outlineLevel="0" collapsed="false">
      <c r="A780" s="0" t="s">
        <v>205</v>
      </c>
      <c r="B780" s="0" t="s">
        <v>206</v>
      </c>
      <c r="C780" s="0" t="s">
        <v>30</v>
      </c>
      <c r="D780" s="0" t="s">
        <v>189</v>
      </c>
      <c r="E780" s="0" t="n">
        <v>19</v>
      </c>
      <c r="F780" s="0" t="s">
        <v>78</v>
      </c>
      <c r="G780" s="0" t="s">
        <v>132</v>
      </c>
      <c r="H780" s="0" t="s">
        <v>80</v>
      </c>
      <c r="I780" s="0" t="s">
        <v>39</v>
      </c>
      <c r="J780" s="0" t="n">
        <v>2.45</v>
      </c>
      <c r="K780" s="0" t="s">
        <v>73</v>
      </c>
      <c r="L780" s="0" t="n">
        <f aca="false">INDEX(Summary!$F$2:$F$201,MATCH($B780,Summary!$A$2:$A$201,0))</f>
        <v>20</v>
      </c>
      <c r="M780" s="0" t="n">
        <f aca="false">INDEX(Summary!$I$2:$I$201,MATCH($B780,Summary!$A$2:$A$201,0))</f>
        <v>1</v>
      </c>
      <c r="N780" s="0" t="n">
        <f aca="false">INDEX(Summary!$J$2:$J$201,MATCH($B780,Summary!$A$2:$A$201,0))</f>
        <v>4</v>
      </c>
      <c r="O780" s="2" t="n">
        <f aca="false">INDEX(Summary!$K$2:$K$201,MATCH($B780,Summary!$A$2:$A$201,0))</f>
        <v>10.72</v>
      </c>
      <c r="P780" s="3" t="n">
        <f aca="false">INDEX(Summary!$L$2:$L$201,MATCH($B780,Summary!$A$2:$A$201,0))</f>
        <v>4</v>
      </c>
      <c r="Q780" s="3" t="n">
        <f aca="false">INDEX(Summary!$M$2:$M$201,MATCH($B780,Summary!$A$2:$A$201,0))</f>
        <v>2</v>
      </c>
      <c r="R780" s="2" t="n">
        <f aca="false">INDEX(Summary!$N$2:$N$201,MATCH($B780,Summary!$A$2:$A$201,0))</f>
        <v>9.4</v>
      </c>
      <c r="S780" s="3" t="n">
        <f aca="false">INDEX(Summary!$O$2:$O$201,MATCH($B780,Summary!$A$2:$A$201,0))</f>
        <v>7</v>
      </c>
      <c r="T780" s="3" t="n">
        <f aca="false">INDEX(Summary!$P$2:$P$201,MATCH($B780,Summary!$A$2:$A$201,0))</f>
        <v>2</v>
      </c>
      <c r="U780" s="2" t="n">
        <f aca="false">INDEX(Summary!$Q$2:$Q$201,MATCH($B780,Summary!$A$2:$A$201,0))</f>
        <v>13.09</v>
      </c>
      <c r="V780" s="2" t="n">
        <f aca="false">INDEX(Summary!$R$2:$R$201,MATCH($B780,Summary!$A$2:$A$201,0))</f>
        <v>19.98</v>
      </c>
      <c r="W780" s="0" t="str">
        <f aca="false">INDEX(Summary!$S$2:$S$201,MATCH($B780,Summary!$A$2:$A$201,0))</f>
        <v>Bronze</v>
      </c>
      <c r="X780" s="2" t="n">
        <f aca="false">INDEX(Summary!$T$2:$T$201,MATCH($B780,Summary!$A$2:$A$201,0))</f>
        <v>48.73</v>
      </c>
      <c r="Y780" s="0" t="str">
        <f aca="false">INDEX('Reward Model'!$E$18:$E$37,MATCH($E780,'Reward Model'!$A$18:$A$37,0))</f>
        <v>High</v>
      </c>
      <c r="Z780" s="4" t="n">
        <f aca="false">ROUND(MIN(1,MAX('Reward Model'!$B$2,INDEX('Reward Model'!$C$12:$C$14,MATCH($K780,'Reward Model'!$A$12:$A$14,0))/$J780)),3)</f>
        <v>0.816</v>
      </c>
      <c r="AA780" s="2" t="n">
        <f aca="false">IF($I780="Correct",ROUND(INDEX('Reward Model'!$B$12:$B$14,MATCH($K780,'Reward Model'!$A$12:$A$14,0))*Z780,2),0)</f>
        <v>0</v>
      </c>
      <c r="AB780" s="2" t="n">
        <f aca="false">IF($I780="Correct",ROUND(INDEX('Reward Model'!$B$12:$B$14,MATCH($Y780,'Reward Model'!$A$12:$A$14,0))*Z780,2),0)</f>
        <v>0</v>
      </c>
    </row>
    <row r="781" customFormat="false" ht="15" hidden="false" customHeight="false" outlineLevel="0" collapsed="false">
      <c r="A781" s="0" t="s">
        <v>205</v>
      </c>
      <c r="B781" s="0" t="s">
        <v>206</v>
      </c>
      <c r="C781" s="0" t="s">
        <v>30</v>
      </c>
      <c r="D781" s="0" t="s">
        <v>189</v>
      </c>
      <c r="E781" s="0" t="n">
        <v>20</v>
      </c>
      <c r="F781" s="0" t="s">
        <v>81</v>
      </c>
      <c r="G781" s="0" t="s">
        <v>166</v>
      </c>
      <c r="H781" s="0" t="s">
        <v>83</v>
      </c>
      <c r="I781" s="0" t="s">
        <v>39</v>
      </c>
      <c r="J781" s="0" t="n">
        <v>2.22</v>
      </c>
      <c r="K781" s="0" t="s">
        <v>73</v>
      </c>
      <c r="L781" s="0" t="n">
        <f aca="false">INDEX(Summary!$F$2:$F$201,MATCH($B781,Summary!$A$2:$A$201,0))</f>
        <v>20</v>
      </c>
      <c r="M781" s="0" t="n">
        <f aca="false">INDEX(Summary!$I$2:$I$201,MATCH($B781,Summary!$A$2:$A$201,0))</f>
        <v>1</v>
      </c>
      <c r="N781" s="0" t="n">
        <f aca="false">INDEX(Summary!$J$2:$J$201,MATCH($B781,Summary!$A$2:$A$201,0))</f>
        <v>4</v>
      </c>
      <c r="O781" s="2" t="n">
        <f aca="false">INDEX(Summary!$K$2:$K$201,MATCH($B781,Summary!$A$2:$A$201,0))</f>
        <v>10.72</v>
      </c>
      <c r="P781" s="3" t="n">
        <f aca="false">INDEX(Summary!$L$2:$L$201,MATCH($B781,Summary!$A$2:$A$201,0))</f>
        <v>4</v>
      </c>
      <c r="Q781" s="3" t="n">
        <f aca="false">INDEX(Summary!$M$2:$M$201,MATCH($B781,Summary!$A$2:$A$201,0))</f>
        <v>2</v>
      </c>
      <c r="R781" s="2" t="n">
        <f aca="false">INDEX(Summary!$N$2:$N$201,MATCH($B781,Summary!$A$2:$A$201,0))</f>
        <v>9.4</v>
      </c>
      <c r="S781" s="3" t="n">
        <f aca="false">INDEX(Summary!$O$2:$O$201,MATCH($B781,Summary!$A$2:$A$201,0))</f>
        <v>7</v>
      </c>
      <c r="T781" s="3" t="n">
        <f aca="false">INDEX(Summary!$P$2:$P$201,MATCH($B781,Summary!$A$2:$A$201,0))</f>
        <v>2</v>
      </c>
      <c r="U781" s="2" t="n">
        <f aca="false">INDEX(Summary!$Q$2:$Q$201,MATCH($B781,Summary!$A$2:$A$201,0))</f>
        <v>13.09</v>
      </c>
      <c r="V781" s="2" t="n">
        <f aca="false">INDEX(Summary!$R$2:$R$201,MATCH($B781,Summary!$A$2:$A$201,0))</f>
        <v>19.98</v>
      </c>
      <c r="W781" s="0" t="str">
        <f aca="false">INDEX(Summary!$S$2:$S$201,MATCH($B781,Summary!$A$2:$A$201,0))</f>
        <v>Bronze</v>
      </c>
      <c r="X781" s="2" t="n">
        <f aca="false">INDEX(Summary!$T$2:$T$201,MATCH($B781,Summary!$A$2:$A$201,0))</f>
        <v>48.73</v>
      </c>
      <c r="Y781" s="0" t="str">
        <f aca="false">INDEX('Reward Model'!$E$18:$E$37,MATCH($E781,'Reward Model'!$A$18:$A$37,0))</f>
        <v>High</v>
      </c>
      <c r="Z781" s="4" t="n">
        <f aca="false">ROUND(MIN(1,MAX('Reward Model'!$B$2,INDEX('Reward Model'!$C$12:$C$14,MATCH($K781,'Reward Model'!$A$12:$A$14,0))/$J781)),3)</f>
        <v>0.901</v>
      </c>
      <c r="AA781" s="2" t="n">
        <f aca="false">IF($I781="Correct",ROUND(INDEX('Reward Model'!$B$12:$B$14,MATCH($K781,'Reward Model'!$A$12:$A$14,0))*Z781,2),0)</f>
        <v>0</v>
      </c>
      <c r="AB781" s="2" t="n">
        <f aca="false">IF($I781="Correct",ROUND(INDEX('Reward Model'!$B$12:$B$14,MATCH($Y781,'Reward Model'!$A$12:$A$14,0))*Z781,2),0)</f>
        <v>0</v>
      </c>
    </row>
    <row r="782" customFormat="false" ht="15" hidden="false" customHeight="false" outlineLevel="0" collapsed="false">
      <c r="A782" s="0" t="s">
        <v>207</v>
      </c>
      <c r="B782" s="0" t="s">
        <v>208</v>
      </c>
      <c r="C782" s="0" t="s">
        <v>30</v>
      </c>
      <c r="D782" s="0" t="s">
        <v>189</v>
      </c>
      <c r="E782" s="0" t="n">
        <v>1</v>
      </c>
      <c r="F782" s="0" t="s">
        <v>32</v>
      </c>
      <c r="G782" s="0" t="s">
        <v>33</v>
      </c>
      <c r="H782" s="0" t="s">
        <v>33</v>
      </c>
      <c r="I782" s="0" t="s">
        <v>34</v>
      </c>
      <c r="J782" s="0" t="n">
        <v>1.58</v>
      </c>
      <c r="K782" s="0" t="s">
        <v>35</v>
      </c>
      <c r="L782" s="0" t="n">
        <f aca="false">INDEX(Summary!$F$2:$F$201,MATCH($B782,Summary!$A$2:$A$201,0))</f>
        <v>20</v>
      </c>
      <c r="M782" s="0" t="n">
        <f aca="false">INDEX(Summary!$I$2:$I$201,MATCH($B782,Summary!$A$2:$A$201,0))</f>
        <v>4</v>
      </c>
      <c r="N782" s="0" t="n">
        <f aca="false">INDEX(Summary!$J$2:$J$201,MATCH($B782,Summary!$A$2:$A$201,0))</f>
        <v>1</v>
      </c>
      <c r="O782" s="2" t="n">
        <f aca="false">INDEX(Summary!$K$2:$K$201,MATCH($B782,Summary!$A$2:$A$201,0))</f>
        <v>8.62</v>
      </c>
      <c r="P782" s="3" t="n">
        <f aca="false">INDEX(Summary!$L$2:$L$201,MATCH($B782,Summary!$A$2:$A$201,0))</f>
        <v>2</v>
      </c>
      <c r="Q782" s="3" t="n">
        <f aca="false">INDEX(Summary!$M$2:$M$201,MATCH($B782,Summary!$A$2:$A$201,0))</f>
        <v>4</v>
      </c>
      <c r="R782" s="2" t="n">
        <f aca="false">INDEX(Summary!$N$2:$N$201,MATCH($B782,Summary!$A$2:$A$201,0))</f>
        <v>10.09</v>
      </c>
      <c r="S782" s="3" t="n">
        <f aca="false">INDEX(Summary!$O$2:$O$201,MATCH($B782,Summary!$A$2:$A$201,0))</f>
        <v>8</v>
      </c>
      <c r="T782" s="3" t="n">
        <f aca="false">INDEX(Summary!$P$2:$P$201,MATCH($B782,Summary!$A$2:$A$201,0))</f>
        <v>1</v>
      </c>
      <c r="U782" s="2" t="n">
        <f aca="false">INDEX(Summary!$Q$2:$Q$201,MATCH($B782,Summary!$A$2:$A$201,0))</f>
        <v>14.5</v>
      </c>
      <c r="V782" s="2" t="n">
        <f aca="false">INDEX(Summary!$R$2:$R$201,MATCH($B782,Summary!$A$2:$A$201,0))</f>
        <v>27.83</v>
      </c>
      <c r="W782" s="0" t="str">
        <f aca="false">INDEX(Summary!$S$2:$S$201,MATCH($B782,Summary!$A$2:$A$201,0))</f>
        <v>Silver</v>
      </c>
      <c r="X782" s="2" t="n">
        <f aca="false">INDEX(Summary!$T$2:$T$201,MATCH($B782,Summary!$A$2:$A$201,0))</f>
        <v>67.88</v>
      </c>
      <c r="Y782" s="0" t="str">
        <f aca="false">INDEX('Reward Model'!$E$18:$E$37,MATCH($E782,'Reward Model'!$A$18:$A$37,0))</f>
        <v>Medium</v>
      </c>
      <c r="Z782" s="4" t="n">
        <f aca="false">ROUND(MIN(1,MAX('Reward Model'!$B$2,INDEX('Reward Model'!$C$12:$C$14,MATCH($K782,'Reward Model'!$A$12:$A$14,0))/$J782)),3)</f>
        <v>0.949</v>
      </c>
      <c r="AA782" s="2" t="n">
        <f aca="false">IF($I782="Correct",ROUND(INDEX('Reward Model'!$B$12:$B$14,MATCH($K782,'Reward Model'!$A$12:$A$14,0))*Z782,2),0)</f>
        <v>0.95</v>
      </c>
      <c r="AB782" s="2" t="n">
        <f aca="false">IF($I782="Correct",ROUND(INDEX('Reward Model'!$B$12:$B$14,MATCH($Y782,'Reward Model'!$A$12:$A$14,0))*Z782,2),0)</f>
        <v>1.9</v>
      </c>
    </row>
    <row r="783" customFormat="false" ht="15" hidden="false" customHeight="false" outlineLevel="0" collapsed="false">
      <c r="A783" s="0" t="s">
        <v>207</v>
      </c>
      <c r="B783" s="0" t="s">
        <v>208</v>
      </c>
      <c r="C783" s="0" t="s">
        <v>30</v>
      </c>
      <c r="D783" s="0" t="s">
        <v>189</v>
      </c>
      <c r="E783" s="0" t="n">
        <v>2</v>
      </c>
      <c r="F783" s="0" t="s">
        <v>36</v>
      </c>
      <c r="G783" s="0" t="s">
        <v>38</v>
      </c>
      <c r="H783" s="0" t="s">
        <v>38</v>
      </c>
      <c r="I783" s="0" t="s">
        <v>34</v>
      </c>
      <c r="J783" s="0" t="n">
        <v>1.6</v>
      </c>
      <c r="K783" s="0" t="s">
        <v>35</v>
      </c>
      <c r="L783" s="0" t="n">
        <f aca="false">INDEX(Summary!$F$2:$F$201,MATCH($B783,Summary!$A$2:$A$201,0))</f>
        <v>20</v>
      </c>
      <c r="M783" s="0" t="n">
        <f aca="false">INDEX(Summary!$I$2:$I$201,MATCH($B783,Summary!$A$2:$A$201,0))</f>
        <v>4</v>
      </c>
      <c r="N783" s="0" t="n">
        <f aca="false">INDEX(Summary!$J$2:$J$201,MATCH($B783,Summary!$A$2:$A$201,0))</f>
        <v>1</v>
      </c>
      <c r="O783" s="2" t="n">
        <f aca="false">INDEX(Summary!$K$2:$K$201,MATCH($B783,Summary!$A$2:$A$201,0))</f>
        <v>8.62</v>
      </c>
      <c r="P783" s="3" t="n">
        <f aca="false">INDEX(Summary!$L$2:$L$201,MATCH($B783,Summary!$A$2:$A$201,0))</f>
        <v>2</v>
      </c>
      <c r="Q783" s="3" t="n">
        <f aca="false">INDEX(Summary!$M$2:$M$201,MATCH($B783,Summary!$A$2:$A$201,0))</f>
        <v>4</v>
      </c>
      <c r="R783" s="2" t="n">
        <f aca="false">INDEX(Summary!$N$2:$N$201,MATCH($B783,Summary!$A$2:$A$201,0))</f>
        <v>10.09</v>
      </c>
      <c r="S783" s="3" t="n">
        <f aca="false">INDEX(Summary!$O$2:$O$201,MATCH($B783,Summary!$A$2:$A$201,0))</f>
        <v>8</v>
      </c>
      <c r="T783" s="3" t="n">
        <f aca="false">INDEX(Summary!$P$2:$P$201,MATCH($B783,Summary!$A$2:$A$201,0))</f>
        <v>1</v>
      </c>
      <c r="U783" s="2" t="n">
        <f aca="false">INDEX(Summary!$Q$2:$Q$201,MATCH($B783,Summary!$A$2:$A$201,0))</f>
        <v>14.5</v>
      </c>
      <c r="V783" s="2" t="n">
        <f aca="false">INDEX(Summary!$R$2:$R$201,MATCH($B783,Summary!$A$2:$A$201,0))</f>
        <v>27.83</v>
      </c>
      <c r="W783" s="0" t="str">
        <f aca="false">INDEX(Summary!$S$2:$S$201,MATCH($B783,Summary!$A$2:$A$201,0))</f>
        <v>Silver</v>
      </c>
      <c r="X783" s="2" t="n">
        <f aca="false">INDEX(Summary!$T$2:$T$201,MATCH($B783,Summary!$A$2:$A$201,0))</f>
        <v>67.88</v>
      </c>
      <c r="Y783" s="0" t="str">
        <f aca="false">INDEX('Reward Model'!$E$18:$E$37,MATCH($E783,'Reward Model'!$A$18:$A$37,0))</f>
        <v>Low</v>
      </c>
      <c r="Z783" s="4" t="n">
        <f aca="false">ROUND(MIN(1,MAX('Reward Model'!$B$2,INDEX('Reward Model'!$C$12:$C$14,MATCH($K783,'Reward Model'!$A$12:$A$14,0))/$J783)),3)</f>
        <v>0.938</v>
      </c>
      <c r="AA783" s="2" t="n">
        <f aca="false">IF($I783="Correct",ROUND(INDEX('Reward Model'!$B$12:$B$14,MATCH($K783,'Reward Model'!$A$12:$A$14,0))*Z783,2),0)</f>
        <v>0.94</v>
      </c>
      <c r="AB783" s="2" t="n">
        <f aca="false">IF($I783="Correct",ROUND(INDEX('Reward Model'!$B$12:$B$14,MATCH($Y783,'Reward Model'!$A$12:$A$14,0))*Z783,2),0)</f>
        <v>0.94</v>
      </c>
    </row>
    <row r="784" customFormat="false" ht="15" hidden="false" customHeight="false" outlineLevel="0" collapsed="false">
      <c r="A784" s="0" t="s">
        <v>207</v>
      </c>
      <c r="B784" s="0" t="s">
        <v>208</v>
      </c>
      <c r="C784" s="0" t="s">
        <v>30</v>
      </c>
      <c r="D784" s="0" t="s">
        <v>189</v>
      </c>
      <c r="E784" s="0" t="n">
        <v>3</v>
      </c>
      <c r="F784" s="0" t="s">
        <v>40</v>
      </c>
      <c r="G784" s="0" t="s">
        <v>42</v>
      </c>
      <c r="H784" s="0" t="s">
        <v>42</v>
      </c>
      <c r="I784" s="0" t="s">
        <v>34</v>
      </c>
      <c r="J784" s="0" t="n">
        <v>1.73</v>
      </c>
      <c r="K784" s="0" t="s">
        <v>35</v>
      </c>
      <c r="L784" s="0" t="n">
        <f aca="false">INDEX(Summary!$F$2:$F$201,MATCH($B784,Summary!$A$2:$A$201,0))</f>
        <v>20</v>
      </c>
      <c r="M784" s="0" t="n">
        <f aca="false">INDEX(Summary!$I$2:$I$201,MATCH($B784,Summary!$A$2:$A$201,0))</f>
        <v>4</v>
      </c>
      <c r="N784" s="0" t="n">
        <f aca="false">INDEX(Summary!$J$2:$J$201,MATCH($B784,Summary!$A$2:$A$201,0))</f>
        <v>1</v>
      </c>
      <c r="O784" s="2" t="n">
        <f aca="false">INDEX(Summary!$K$2:$K$201,MATCH($B784,Summary!$A$2:$A$201,0))</f>
        <v>8.62</v>
      </c>
      <c r="P784" s="3" t="n">
        <f aca="false">INDEX(Summary!$L$2:$L$201,MATCH($B784,Summary!$A$2:$A$201,0))</f>
        <v>2</v>
      </c>
      <c r="Q784" s="3" t="n">
        <f aca="false">INDEX(Summary!$M$2:$M$201,MATCH($B784,Summary!$A$2:$A$201,0))</f>
        <v>4</v>
      </c>
      <c r="R784" s="2" t="n">
        <f aca="false">INDEX(Summary!$N$2:$N$201,MATCH($B784,Summary!$A$2:$A$201,0))</f>
        <v>10.09</v>
      </c>
      <c r="S784" s="3" t="n">
        <f aca="false">INDEX(Summary!$O$2:$O$201,MATCH($B784,Summary!$A$2:$A$201,0))</f>
        <v>8</v>
      </c>
      <c r="T784" s="3" t="n">
        <f aca="false">INDEX(Summary!$P$2:$P$201,MATCH($B784,Summary!$A$2:$A$201,0))</f>
        <v>1</v>
      </c>
      <c r="U784" s="2" t="n">
        <f aca="false">INDEX(Summary!$Q$2:$Q$201,MATCH($B784,Summary!$A$2:$A$201,0))</f>
        <v>14.5</v>
      </c>
      <c r="V784" s="2" t="n">
        <f aca="false">INDEX(Summary!$R$2:$R$201,MATCH($B784,Summary!$A$2:$A$201,0))</f>
        <v>27.83</v>
      </c>
      <c r="W784" s="0" t="str">
        <f aca="false">INDEX(Summary!$S$2:$S$201,MATCH($B784,Summary!$A$2:$A$201,0))</f>
        <v>Silver</v>
      </c>
      <c r="X784" s="2" t="n">
        <f aca="false">INDEX(Summary!$T$2:$T$201,MATCH($B784,Summary!$A$2:$A$201,0))</f>
        <v>67.88</v>
      </c>
      <c r="Y784" s="0" t="str">
        <f aca="false">INDEX('Reward Model'!$E$18:$E$37,MATCH($E784,'Reward Model'!$A$18:$A$37,0))</f>
        <v>Medium</v>
      </c>
      <c r="Z784" s="4" t="n">
        <f aca="false">ROUND(MIN(1,MAX('Reward Model'!$B$2,INDEX('Reward Model'!$C$12:$C$14,MATCH($K784,'Reward Model'!$A$12:$A$14,0))/$J784)),3)</f>
        <v>0.867</v>
      </c>
      <c r="AA784" s="2" t="n">
        <f aca="false">IF($I784="Correct",ROUND(INDEX('Reward Model'!$B$12:$B$14,MATCH($K784,'Reward Model'!$A$12:$A$14,0))*Z784,2),0)</f>
        <v>0.87</v>
      </c>
      <c r="AB784" s="2" t="n">
        <f aca="false">IF($I784="Correct",ROUND(INDEX('Reward Model'!$B$12:$B$14,MATCH($Y784,'Reward Model'!$A$12:$A$14,0))*Z784,2),0)</f>
        <v>1.73</v>
      </c>
    </row>
    <row r="785" customFormat="false" ht="15" hidden="false" customHeight="false" outlineLevel="0" collapsed="false">
      <c r="A785" s="0" t="s">
        <v>207</v>
      </c>
      <c r="B785" s="0" t="s">
        <v>208</v>
      </c>
      <c r="C785" s="0" t="s">
        <v>30</v>
      </c>
      <c r="D785" s="0" t="s">
        <v>189</v>
      </c>
      <c r="E785" s="0" t="n">
        <v>4</v>
      </c>
      <c r="F785" s="0" t="s">
        <v>43</v>
      </c>
      <c r="G785" s="0" t="s">
        <v>155</v>
      </c>
      <c r="H785" s="0" t="s">
        <v>45</v>
      </c>
      <c r="I785" s="0" t="s">
        <v>39</v>
      </c>
      <c r="J785" s="0" t="n">
        <v>1.64</v>
      </c>
      <c r="K785" s="0" t="s">
        <v>35</v>
      </c>
      <c r="L785" s="0" t="n">
        <f aca="false">INDEX(Summary!$F$2:$F$201,MATCH($B785,Summary!$A$2:$A$201,0))</f>
        <v>20</v>
      </c>
      <c r="M785" s="0" t="n">
        <f aca="false">INDEX(Summary!$I$2:$I$201,MATCH($B785,Summary!$A$2:$A$201,0))</f>
        <v>4</v>
      </c>
      <c r="N785" s="0" t="n">
        <f aca="false">INDEX(Summary!$J$2:$J$201,MATCH($B785,Summary!$A$2:$A$201,0))</f>
        <v>1</v>
      </c>
      <c r="O785" s="2" t="n">
        <f aca="false">INDEX(Summary!$K$2:$K$201,MATCH($B785,Summary!$A$2:$A$201,0))</f>
        <v>8.62</v>
      </c>
      <c r="P785" s="3" t="n">
        <f aca="false">INDEX(Summary!$L$2:$L$201,MATCH($B785,Summary!$A$2:$A$201,0))</f>
        <v>2</v>
      </c>
      <c r="Q785" s="3" t="n">
        <f aca="false">INDEX(Summary!$M$2:$M$201,MATCH($B785,Summary!$A$2:$A$201,0))</f>
        <v>4</v>
      </c>
      <c r="R785" s="2" t="n">
        <f aca="false">INDEX(Summary!$N$2:$N$201,MATCH($B785,Summary!$A$2:$A$201,0))</f>
        <v>10.09</v>
      </c>
      <c r="S785" s="3" t="n">
        <f aca="false">INDEX(Summary!$O$2:$O$201,MATCH($B785,Summary!$A$2:$A$201,0))</f>
        <v>8</v>
      </c>
      <c r="T785" s="3" t="n">
        <f aca="false">INDEX(Summary!$P$2:$P$201,MATCH($B785,Summary!$A$2:$A$201,0))</f>
        <v>1</v>
      </c>
      <c r="U785" s="2" t="n">
        <f aca="false">INDEX(Summary!$Q$2:$Q$201,MATCH($B785,Summary!$A$2:$A$201,0))</f>
        <v>14.5</v>
      </c>
      <c r="V785" s="2" t="n">
        <f aca="false">INDEX(Summary!$R$2:$R$201,MATCH($B785,Summary!$A$2:$A$201,0))</f>
        <v>27.83</v>
      </c>
      <c r="W785" s="0" t="str">
        <f aca="false">INDEX(Summary!$S$2:$S$201,MATCH($B785,Summary!$A$2:$A$201,0))</f>
        <v>Silver</v>
      </c>
      <c r="X785" s="2" t="n">
        <f aca="false">INDEX(Summary!$T$2:$T$201,MATCH($B785,Summary!$A$2:$A$201,0))</f>
        <v>67.88</v>
      </c>
      <c r="Y785" s="0" t="str">
        <f aca="false">INDEX('Reward Model'!$E$18:$E$37,MATCH($E785,'Reward Model'!$A$18:$A$37,0))</f>
        <v>Low</v>
      </c>
      <c r="Z785" s="4" t="n">
        <f aca="false">ROUND(MIN(1,MAX('Reward Model'!$B$2,INDEX('Reward Model'!$C$12:$C$14,MATCH($K785,'Reward Model'!$A$12:$A$14,0))/$J785)),3)</f>
        <v>0.915</v>
      </c>
      <c r="AA785" s="2" t="n">
        <f aca="false">IF($I785="Correct",ROUND(INDEX('Reward Model'!$B$12:$B$14,MATCH($K785,'Reward Model'!$A$12:$A$14,0))*Z785,2),0)</f>
        <v>0</v>
      </c>
      <c r="AB785" s="2" t="n">
        <f aca="false">IF($I785="Correct",ROUND(INDEX('Reward Model'!$B$12:$B$14,MATCH($Y785,'Reward Model'!$A$12:$A$14,0))*Z785,2),0)</f>
        <v>0</v>
      </c>
    </row>
    <row r="786" customFormat="false" ht="15" hidden="false" customHeight="false" outlineLevel="0" collapsed="false">
      <c r="A786" s="0" t="s">
        <v>207</v>
      </c>
      <c r="B786" s="0" t="s">
        <v>208</v>
      </c>
      <c r="C786" s="0" t="s">
        <v>30</v>
      </c>
      <c r="D786" s="0" t="s">
        <v>189</v>
      </c>
      <c r="E786" s="0" t="n">
        <v>5</v>
      </c>
      <c r="F786" s="0" t="s">
        <v>46</v>
      </c>
      <c r="G786" s="0" t="s">
        <v>47</v>
      </c>
      <c r="H786" s="0" t="s">
        <v>47</v>
      </c>
      <c r="I786" s="0" t="s">
        <v>34</v>
      </c>
      <c r="J786" s="0" t="n">
        <v>1.29</v>
      </c>
      <c r="K786" s="0" t="s">
        <v>35</v>
      </c>
      <c r="L786" s="0" t="n">
        <f aca="false">INDEX(Summary!$F$2:$F$201,MATCH($B786,Summary!$A$2:$A$201,0))</f>
        <v>20</v>
      </c>
      <c r="M786" s="0" t="n">
        <f aca="false">INDEX(Summary!$I$2:$I$201,MATCH($B786,Summary!$A$2:$A$201,0))</f>
        <v>4</v>
      </c>
      <c r="N786" s="0" t="n">
        <f aca="false">INDEX(Summary!$J$2:$J$201,MATCH($B786,Summary!$A$2:$A$201,0))</f>
        <v>1</v>
      </c>
      <c r="O786" s="2" t="n">
        <f aca="false">INDEX(Summary!$K$2:$K$201,MATCH($B786,Summary!$A$2:$A$201,0))</f>
        <v>8.62</v>
      </c>
      <c r="P786" s="3" t="n">
        <f aca="false">INDEX(Summary!$L$2:$L$201,MATCH($B786,Summary!$A$2:$A$201,0))</f>
        <v>2</v>
      </c>
      <c r="Q786" s="3" t="n">
        <f aca="false">INDEX(Summary!$M$2:$M$201,MATCH($B786,Summary!$A$2:$A$201,0))</f>
        <v>4</v>
      </c>
      <c r="R786" s="2" t="n">
        <f aca="false">INDEX(Summary!$N$2:$N$201,MATCH($B786,Summary!$A$2:$A$201,0))</f>
        <v>10.09</v>
      </c>
      <c r="S786" s="3" t="n">
        <f aca="false">INDEX(Summary!$O$2:$O$201,MATCH($B786,Summary!$A$2:$A$201,0))</f>
        <v>8</v>
      </c>
      <c r="T786" s="3" t="n">
        <f aca="false">INDEX(Summary!$P$2:$P$201,MATCH($B786,Summary!$A$2:$A$201,0))</f>
        <v>1</v>
      </c>
      <c r="U786" s="2" t="n">
        <f aca="false">INDEX(Summary!$Q$2:$Q$201,MATCH($B786,Summary!$A$2:$A$201,0))</f>
        <v>14.5</v>
      </c>
      <c r="V786" s="2" t="n">
        <f aca="false">INDEX(Summary!$R$2:$R$201,MATCH($B786,Summary!$A$2:$A$201,0))</f>
        <v>27.83</v>
      </c>
      <c r="W786" s="0" t="str">
        <f aca="false">INDEX(Summary!$S$2:$S$201,MATCH($B786,Summary!$A$2:$A$201,0))</f>
        <v>Silver</v>
      </c>
      <c r="X786" s="2" t="n">
        <f aca="false">INDEX(Summary!$T$2:$T$201,MATCH($B786,Summary!$A$2:$A$201,0))</f>
        <v>67.88</v>
      </c>
      <c r="Y786" s="0" t="str">
        <f aca="false">INDEX('Reward Model'!$E$18:$E$37,MATCH($E786,'Reward Model'!$A$18:$A$37,0))</f>
        <v>Low</v>
      </c>
      <c r="Z786" s="4" t="n">
        <f aca="false">ROUND(MIN(1,MAX('Reward Model'!$B$2,INDEX('Reward Model'!$C$12:$C$14,MATCH($K786,'Reward Model'!$A$12:$A$14,0))/$J786)),3)</f>
        <v>1</v>
      </c>
      <c r="AA786" s="2" t="n">
        <f aca="false">IF($I786="Correct",ROUND(INDEX('Reward Model'!$B$12:$B$14,MATCH($K786,'Reward Model'!$A$12:$A$14,0))*Z786,2),0)</f>
        <v>1</v>
      </c>
      <c r="AB786" s="2" t="n">
        <f aca="false">IF($I786="Correct",ROUND(INDEX('Reward Model'!$B$12:$B$14,MATCH($Y786,'Reward Model'!$A$12:$A$14,0))*Z786,2),0)</f>
        <v>1</v>
      </c>
    </row>
    <row r="787" customFormat="false" ht="15" hidden="false" customHeight="false" outlineLevel="0" collapsed="false">
      <c r="A787" s="0" t="s">
        <v>207</v>
      </c>
      <c r="B787" s="0" t="s">
        <v>208</v>
      </c>
      <c r="C787" s="0" t="s">
        <v>30</v>
      </c>
      <c r="D787" s="0" t="s">
        <v>189</v>
      </c>
      <c r="E787" s="0" t="n">
        <v>6</v>
      </c>
      <c r="F787" s="0" t="s">
        <v>48</v>
      </c>
      <c r="G787" s="0" t="s">
        <v>49</v>
      </c>
      <c r="H787" s="0" t="s">
        <v>49</v>
      </c>
      <c r="I787" s="0" t="s">
        <v>34</v>
      </c>
      <c r="J787" s="0" t="n">
        <v>1.53</v>
      </c>
      <c r="K787" s="0" t="s">
        <v>35</v>
      </c>
      <c r="L787" s="0" t="n">
        <f aca="false">INDEX(Summary!$F$2:$F$201,MATCH($B787,Summary!$A$2:$A$201,0))</f>
        <v>20</v>
      </c>
      <c r="M787" s="0" t="n">
        <f aca="false">INDEX(Summary!$I$2:$I$201,MATCH($B787,Summary!$A$2:$A$201,0))</f>
        <v>4</v>
      </c>
      <c r="N787" s="0" t="n">
        <f aca="false">INDEX(Summary!$J$2:$J$201,MATCH($B787,Summary!$A$2:$A$201,0))</f>
        <v>1</v>
      </c>
      <c r="O787" s="2" t="n">
        <f aca="false">INDEX(Summary!$K$2:$K$201,MATCH($B787,Summary!$A$2:$A$201,0))</f>
        <v>8.62</v>
      </c>
      <c r="P787" s="3" t="n">
        <f aca="false">INDEX(Summary!$L$2:$L$201,MATCH($B787,Summary!$A$2:$A$201,0))</f>
        <v>2</v>
      </c>
      <c r="Q787" s="3" t="n">
        <f aca="false">INDEX(Summary!$M$2:$M$201,MATCH($B787,Summary!$A$2:$A$201,0))</f>
        <v>4</v>
      </c>
      <c r="R787" s="2" t="n">
        <f aca="false">INDEX(Summary!$N$2:$N$201,MATCH($B787,Summary!$A$2:$A$201,0))</f>
        <v>10.09</v>
      </c>
      <c r="S787" s="3" t="n">
        <f aca="false">INDEX(Summary!$O$2:$O$201,MATCH($B787,Summary!$A$2:$A$201,0))</f>
        <v>8</v>
      </c>
      <c r="T787" s="3" t="n">
        <f aca="false">INDEX(Summary!$P$2:$P$201,MATCH($B787,Summary!$A$2:$A$201,0))</f>
        <v>1</v>
      </c>
      <c r="U787" s="2" t="n">
        <f aca="false">INDEX(Summary!$Q$2:$Q$201,MATCH($B787,Summary!$A$2:$A$201,0))</f>
        <v>14.5</v>
      </c>
      <c r="V787" s="2" t="n">
        <f aca="false">INDEX(Summary!$R$2:$R$201,MATCH($B787,Summary!$A$2:$A$201,0))</f>
        <v>27.83</v>
      </c>
      <c r="W787" s="0" t="str">
        <f aca="false">INDEX(Summary!$S$2:$S$201,MATCH($B787,Summary!$A$2:$A$201,0))</f>
        <v>Silver</v>
      </c>
      <c r="X787" s="2" t="n">
        <f aca="false">INDEX(Summary!$T$2:$T$201,MATCH($B787,Summary!$A$2:$A$201,0))</f>
        <v>67.88</v>
      </c>
      <c r="Y787" s="0" t="str">
        <f aca="false">INDEX('Reward Model'!$E$18:$E$37,MATCH($E787,'Reward Model'!$A$18:$A$37,0))</f>
        <v>Medium</v>
      </c>
      <c r="Z787" s="4" t="n">
        <f aca="false">ROUND(MIN(1,MAX('Reward Model'!$B$2,INDEX('Reward Model'!$C$12:$C$14,MATCH($K787,'Reward Model'!$A$12:$A$14,0))/$J787)),3)</f>
        <v>0.98</v>
      </c>
      <c r="AA787" s="2" t="n">
        <f aca="false">IF($I787="Correct",ROUND(INDEX('Reward Model'!$B$12:$B$14,MATCH($K787,'Reward Model'!$A$12:$A$14,0))*Z787,2),0)</f>
        <v>0.98</v>
      </c>
      <c r="AB787" s="2" t="n">
        <f aca="false">IF($I787="Correct",ROUND(INDEX('Reward Model'!$B$12:$B$14,MATCH($Y787,'Reward Model'!$A$12:$A$14,0))*Z787,2),0)</f>
        <v>1.96</v>
      </c>
    </row>
    <row r="788" customFormat="false" ht="15" hidden="false" customHeight="false" outlineLevel="0" collapsed="false">
      <c r="A788" s="0" t="s">
        <v>207</v>
      </c>
      <c r="B788" s="0" t="s">
        <v>208</v>
      </c>
      <c r="C788" s="0" t="s">
        <v>30</v>
      </c>
      <c r="D788" s="0" t="s">
        <v>189</v>
      </c>
      <c r="E788" s="0" t="n">
        <v>7</v>
      </c>
      <c r="F788" s="0" t="s">
        <v>50</v>
      </c>
      <c r="G788" s="0" t="s">
        <v>51</v>
      </c>
      <c r="H788" s="0" t="s">
        <v>51</v>
      </c>
      <c r="I788" s="0" t="s">
        <v>34</v>
      </c>
      <c r="J788" s="0" t="n">
        <v>1.72</v>
      </c>
      <c r="K788" s="0" t="s">
        <v>35</v>
      </c>
      <c r="L788" s="0" t="n">
        <f aca="false">INDEX(Summary!$F$2:$F$201,MATCH($B788,Summary!$A$2:$A$201,0))</f>
        <v>20</v>
      </c>
      <c r="M788" s="0" t="n">
        <f aca="false">INDEX(Summary!$I$2:$I$201,MATCH($B788,Summary!$A$2:$A$201,0))</f>
        <v>4</v>
      </c>
      <c r="N788" s="0" t="n">
        <f aca="false">INDEX(Summary!$J$2:$J$201,MATCH($B788,Summary!$A$2:$A$201,0))</f>
        <v>1</v>
      </c>
      <c r="O788" s="2" t="n">
        <f aca="false">INDEX(Summary!$K$2:$K$201,MATCH($B788,Summary!$A$2:$A$201,0))</f>
        <v>8.62</v>
      </c>
      <c r="P788" s="3" t="n">
        <f aca="false">INDEX(Summary!$L$2:$L$201,MATCH($B788,Summary!$A$2:$A$201,0))</f>
        <v>2</v>
      </c>
      <c r="Q788" s="3" t="n">
        <f aca="false">INDEX(Summary!$M$2:$M$201,MATCH($B788,Summary!$A$2:$A$201,0))</f>
        <v>4</v>
      </c>
      <c r="R788" s="2" t="n">
        <f aca="false">INDEX(Summary!$N$2:$N$201,MATCH($B788,Summary!$A$2:$A$201,0))</f>
        <v>10.09</v>
      </c>
      <c r="S788" s="3" t="n">
        <f aca="false">INDEX(Summary!$O$2:$O$201,MATCH($B788,Summary!$A$2:$A$201,0))</f>
        <v>8</v>
      </c>
      <c r="T788" s="3" t="n">
        <f aca="false">INDEX(Summary!$P$2:$P$201,MATCH($B788,Summary!$A$2:$A$201,0))</f>
        <v>1</v>
      </c>
      <c r="U788" s="2" t="n">
        <f aca="false">INDEX(Summary!$Q$2:$Q$201,MATCH($B788,Summary!$A$2:$A$201,0))</f>
        <v>14.5</v>
      </c>
      <c r="V788" s="2" t="n">
        <f aca="false">INDEX(Summary!$R$2:$R$201,MATCH($B788,Summary!$A$2:$A$201,0))</f>
        <v>27.83</v>
      </c>
      <c r="W788" s="0" t="str">
        <f aca="false">INDEX(Summary!$S$2:$S$201,MATCH($B788,Summary!$A$2:$A$201,0))</f>
        <v>Silver</v>
      </c>
      <c r="X788" s="2" t="n">
        <f aca="false">INDEX(Summary!$T$2:$T$201,MATCH($B788,Summary!$A$2:$A$201,0))</f>
        <v>67.88</v>
      </c>
      <c r="Y788" s="0" t="str">
        <f aca="false">INDEX('Reward Model'!$E$18:$E$37,MATCH($E788,'Reward Model'!$A$18:$A$37,0))</f>
        <v>Low</v>
      </c>
      <c r="Z788" s="4" t="n">
        <f aca="false">ROUND(MIN(1,MAX('Reward Model'!$B$2,INDEX('Reward Model'!$C$12:$C$14,MATCH($K788,'Reward Model'!$A$12:$A$14,0))/$J788)),3)</f>
        <v>0.872</v>
      </c>
      <c r="AA788" s="2" t="n">
        <f aca="false">IF($I788="Correct",ROUND(INDEX('Reward Model'!$B$12:$B$14,MATCH($K788,'Reward Model'!$A$12:$A$14,0))*Z788,2),0)</f>
        <v>0.87</v>
      </c>
      <c r="AB788" s="2" t="n">
        <f aca="false">IF($I788="Correct",ROUND(INDEX('Reward Model'!$B$12:$B$14,MATCH($Y788,'Reward Model'!$A$12:$A$14,0))*Z788,2),0)</f>
        <v>0.87</v>
      </c>
    </row>
    <row r="789" customFormat="false" ht="15" hidden="false" customHeight="false" outlineLevel="0" collapsed="false">
      <c r="A789" s="0" t="s">
        <v>207</v>
      </c>
      <c r="B789" s="0" t="s">
        <v>208</v>
      </c>
      <c r="C789" s="0" t="s">
        <v>30</v>
      </c>
      <c r="D789" s="0" t="s">
        <v>189</v>
      </c>
      <c r="E789" s="0" t="n">
        <v>8</v>
      </c>
      <c r="F789" s="0" t="s">
        <v>52</v>
      </c>
      <c r="G789" s="0" t="s">
        <v>54</v>
      </c>
      <c r="H789" s="0" t="s">
        <v>54</v>
      </c>
      <c r="I789" s="0" t="s">
        <v>34</v>
      </c>
      <c r="J789" s="0" t="n">
        <v>1.84</v>
      </c>
      <c r="K789" s="0" t="s">
        <v>35</v>
      </c>
      <c r="L789" s="0" t="n">
        <f aca="false">INDEX(Summary!$F$2:$F$201,MATCH($B789,Summary!$A$2:$A$201,0))</f>
        <v>20</v>
      </c>
      <c r="M789" s="0" t="n">
        <f aca="false">INDEX(Summary!$I$2:$I$201,MATCH($B789,Summary!$A$2:$A$201,0))</f>
        <v>4</v>
      </c>
      <c r="N789" s="0" t="n">
        <f aca="false">INDEX(Summary!$J$2:$J$201,MATCH($B789,Summary!$A$2:$A$201,0))</f>
        <v>1</v>
      </c>
      <c r="O789" s="2" t="n">
        <f aca="false">INDEX(Summary!$K$2:$K$201,MATCH($B789,Summary!$A$2:$A$201,0))</f>
        <v>8.62</v>
      </c>
      <c r="P789" s="3" t="n">
        <f aca="false">INDEX(Summary!$L$2:$L$201,MATCH($B789,Summary!$A$2:$A$201,0))</f>
        <v>2</v>
      </c>
      <c r="Q789" s="3" t="n">
        <f aca="false">INDEX(Summary!$M$2:$M$201,MATCH($B789,Summary!$A$2:$A$201,0))</f>
        <v>4</v>
      </c>
      <c r="R789" s="2" t="n">
        <f aca="false">INDEX(Summary!$N$2:$N$201,MATCH($B789,Summary!$A$2:$A$201,0))</f>
        <v>10.09</v>
      </c>
      <c r="S789" s="3" t="n">
        <f aca="false">INDEX(Summary!$O$2:$O$201,MATCH($B789,Summary!$A$2:$A$201,0))</f>
        <v>8</v>
      </c>
      <c r="T789" s="3" t="n">
        <f aca="false">INDEX(Summary!$P$2:$P$201,MATCH($B789,Summary!$A$2:$A$201,0))</f>
        <v>1</v>
      </c>
      <c r="U789" s="2" t="n">
        <f aca="false">INDEX(Summary!$Q$2:$Q$201,MATCH($B789,Summary!$A$2:$A$201,0))</f>
        <v>14.5</v>
      </c>
      <c r="V789" s="2" t="n">
        <f aca="false">INDEX(Summary!$R$2:$R$201,MATCH($B789,Summary!$A$2:$A$201,0))</f>
        <v>27.83</v>
      </c>
      <c r="W789" s="0" t="str">
        <f aca="false">INDEX(Summary!$S$2:$S$201,MATCH($B789,Summary!$A$2:$A$201,0))</f>
        <v>Silver</v>
      </c>
      <c r="X789" s="2" t="n">
        <f aca="false">INDEX(Summary!$T$2:$T$201,MATCH($B789,Summary!$A$2:$A$201,0))</f>
        <v>67.88</v>
      </c>
      <c r="Y789" s="0" t="str">
        <f aca="false">INDEX('Reward Model'!$E$18:$E$37,MATCH($E789,'Reward Model'!$A$18:$A$37,0))</f>
        <v>Medium</v>
      </c>
      <c r="Z789" s="4" t="n">
        <f aca="false">ROUND(MIN(1,MAX('Reward Model'!$B$2,INDEX('Reward Model'!$C$12:$C$14,MATCH($K789,'Reward Model'!$A$12:$A$14,0))/$J789)),3)</f>
        <v>0.815</v>
      </c>
      <c r="AA789" s="2" t="n">
        <f aca="false">IF($I789="Correct",ROUND(INDEX('Reward Model'!$B$12:$B$14,MATCH($K789,'Reward Model'!$A$12:$A$14,0))*Z789,2),0)</f>
        <v>0.82</v>
      </c>
      <c r="AB789" s="2" t="n">
        <f aca="false">IF($I789="Correct",ROUND(INDEX('Reward Model'!$B$12:$B$14,MATCH($Y789,'Reward Model'!$A$12:$A$14,0))*Z789,2),0)</f>
        <v>1.63</v>
      </c>
    </row>
    <row r="790" customFormat="false" ht="15" hidden="false" customHeight="false" outlineLevel="0" collapsed="false">
      <c r="A790" s="0" t="s">
        <v>207</v>
      </c>
      <c r="B790" s="0" t="s">
        <v>208</v>
      </c>
      <c r="C790" s="0" t="s">
        <v>30</v>
      </c>
      <c r="D790" s="0" t="s">
        <v>189</v>
      </c>
      <c r="E790" s="0" t="n">
        <v>9</v>
      </c>
      <c r="F790" s="0" t="s">
        <v>55</v>
      </c>
      <c r="G790" s="0" t="s">
        <v>57</v>
      </c>
      <c r="H790" s="0" t="s">
        <v>57</v>
      </c>
      <c r="I790" s="0" t="s">
        <v>34</v>
      </c>
      <c r="J790" s="0" t="n">
        <v>1.57</v>
      </c>
      <c r="K790" s="0" t="s">
        <v>35</v>
      </c>
      <c r="L790" s="0" t="n">
        <f aca="false">INDEX(Summary!$F$2:$F$201,MATCH($B790,Summary!$A$2:$A$201,0))</f>
        <v>20</v>
      </c>
      <c r="M790" s="0" t="n">
        <f aca="false">INDEX(Summary!$I$2:$I$201,MATCH($B790,Summary!$A$2:$A$201,0))</f>
        <v>4</v>
      </c>
      <c r="N790" s="0" t="n">
        <f aca="false">INDEX(Summary!$J$2:$J$201,MATCH($B790,Summary!$A$2:$A$201,0))</f>
        <v>1</v>
      </c>
      <c r="O790" s="2" t="n">
        <f aca="false">INDEX(Summary!$K$2:$K$201,MATCH($B790,Summary!$A$2:$A$201,0))</f>
        <v>8.62</v>
      </c>
      <c r="P790" s="3" t="n">
        <f aca="false">INDEX(Summary!$L$2:$L$201,MATCH($B790,Summary!$A$2:$A$201,0))</f>
        <v>2</v>
      </c>
      <c r="Q790" s="3" t="n">
        <f aca="false">INDEX(Summary!$M$2:$M$201,MATCH($B790,Summary!$A$2:$A$201,0))</f>
        <v>4</v>
      </c>
      <c r="R790" s="2" t="n">
        <f aca="false">INDEX(Summary!$N$2:$N$201,MATCH($B790,Summary!$A$2:$A$201,0))</f>
        <v>10.09</v>
      </c>
      <c r="S790" s="3" t="n">
        <f aca="false">INDEX(Summary!$O$2:$O$201,MATCH($B790,Summary!$A$2:$A$201,0))</f>
        <v>8</v>
      </c>
      <c r="T790" s="3" t="n">
        <f aca="false">INDEX(Summary!$P$2:$P$201,MATCH($B790,Summary!$A$2:$A$201,0))</f>
        <v>1</v>
      </c>
      <c r="U790" s="2" t="n">
        <f aca="false">INDEX(Summary!$Q$2:$Q$201,MATCH($B790,Summary!$A$2:$A$201,0))</f>
        <v>14.5</v>
      </c>
      <c r="V790" s="2" t="n">
        <f aca="false">INDEX(Summary!$R$2:$R$201,MATCH($B790,Summary!$A$2:$A$201,0))</f>
        <v>27.83</v>
      </c>
      <c r="W790" s="0" t="str">
        <f aca="false">INDEX(Summary!$S$2:$S$201,MATCH($B790,Summary!$A$2:$A$201,0))</f>
        <v>Silver</v>
      </c>
      <c r="X790" s="2" t="n">
        <f aca="false">INDEX(Summary!$T$2:$T$201,MATCH($B790,Summary!$A$2:$A$201,0))</f>
        <v>67.88</v>
      </c>
      <c r="Y790" s="0" t="str">
        <f aca="false">INDEX('Reward Model'!$E$18:$E$37,MATCH($E790,'Reward Model'!$A$18:$A$37,0))</f>
        <v>Medium</v>
      </c>
      <c r="Z790" s="4" t="n">
        <f aca="false">ROUND(MIN(1,MAX('Reward Model'!$B$2,INDEX('Reward Model'!$C$12:$C$14,MATCH($K790,'Reward Model'!$A$12:$A$14,0))/$J790)),3)</f>
        <v>0.955</v>
      </c>
      <c r="AA790" s="2" t="n">
        <f aca="false">IF($I790="Correct",ROUND(INDEX('Reward Model'!$B$12:$B$14,MATCH($K790,'Reward Model'!$A$12:$A$14,0))*Z790,2),0)</f>
        <v>0.96</v>
      </c>
      <c r="AB790" s="2" t="n">
        <f aca="false">IF($I790="Correct",ROUND(INDEX('Reward Model'!$B$12:$B$14,MATCH($Y790,'Reward Model'!$A$12:$A$14,0))*Z790,2),0)</f>
        <v>1.91</v>
      </c>
    </row>
    <row r="791" customFormat="false" ht="15" hidden="false" customHeight="false" outlineLevel="0" collapsed="false">
      <c r="A791" s="0" t="s">
        <v>207</v>
      </c>
      <c r="B791" s="0" t="s">
        <v>208</v>
      </c>
      <c r="C791" s="0" t="s">
        <v>30</v>
      </c>
      <c r="D791" s="0" t="s">
        <v>189</v>
      </c>
      <c r="E791" s="0" t="n">
        <v>10</v>
      </c>
      <c r="F791" s="0" t="s">
        <v>58</v>
      </c>
      <c r="G791" s="0" t="s">
        <v>174</v>
      </c>
      <c r="H791" s="0" t="s">
        <v>59</v>
      </c>
      <c r="I791" s="0" t="s">
        <v>39</v>
      </c>
      <c r="J791" s="0" t="n">
        <v>2.24</v>
      </c>
      <c r="K791" s="0" t="s">
        <v>60</v>
      </c>
      <c r="L791" s="0" t="n">
        <f aca="false">INDEX(Summary!$F$2:$F$201,MATCH($B791,Summary!$A$2:$A$201,0))</f>
        <v>20</v>
      </c>
      <c r="M791" s="0" t="n">
        <f aca="false">INDEX(Summary!$I$2:$I$201,MATCH($B791,Summary!$A$2:$A$201,0))</f>
        <v>4</v>
      </c>
      <c r="N791" s="0" t="n">
        <f aca="false">INDEX(Summary!$J$2:$J$201,MATCH($B791,Summary!$A$2:$A$201,0))</f>
        <v>1</v>
      </c>
      <c r="O791" s="2" t="n">
        <f aca="false">INDEX(Summary!$K$2:$K$201,MATCH($B791,Summary!$A$2:$A$201,0))</f>
        <v>8.62</v>
      </c>
      <c r="P791" s="3" t="n">
        <f aca="false">INDEX(Summary!$L$2:$L$201,MATCH($B791,Summary!$A$2:$A$201,0))</f>
        <v>2</v>
      </c>
      <c r="Q791" s="3" t="n">
        <f aca="false">INDEX(Summary!$M$2:$M$201,MATCH($B791,Summary!$A$2:$A$201,0))</f>
        <v>4</v>
      </c>
      <c r="R791" s="2" t="n">
        <f aca="false">INDEX(Summary!$N$2:$N$201,MATCH($B791,Summary!$A$2:$A$201,0))</f>
        <v>10.09</v>
      </c>
      <c r="S791" s="3" t="n">
        <f aca="false">INDEX(Summary!$O$2:$O$201,MATCH($B791,Summary!$A$2:$A$201,0))</f>
        <v>8</v>
      </c>
      <c r="T791" s="3" t="n">
        <f aca="false">INDEX(Summary!$P$2:$P$201,MATCH($B791,Summary!$A$2:$A$201,0))</f>
        <v>1</v>
      </c>
      <c r="U791" s="2" t="n">
        <f aca="false">INDEX(Summary!$Q$2:$Q$201,MATCH($B791,Summary!$A$2:$A$201,0))</f>
        <v>14.5</v>
      </c>
      <c r="V791" s="2" t="n">
        <f aca="false">INDEX(Summary!$R$2:$R$201,MATCH($B791,Summary!$A$2:$A$201,0))</f>
        <v>27.83</v>
      </c>
      <c r="W791" s="0" t="str">
        <f aca="false">INDEX(Summary!$S$2:$S$201,MATCH($B791,Summary!$A$2:$A$201,0))</f>
        <v>Silver</v>
      </c>
      <c r="X791" s="2" t="n">
        <f aca="false">INDEX(Summary!$T$2:$T$201,MATCH($B791,Summary!$A$2:$A$201,0))</f>
        <v>67.88</v>
      </c>
      <c r="Y791" s="0" t="str">
        <f aca="false">INDEX('Reward Model'!$E$18:$E$37,MATCH($E791,'Reward Model'!$A$18:$A$37,0))</f>
        <v>Medium</v>
      </c>
      <c r="Z791" s="4" t="n">
        <f aca="false">ROUND(MIN(1,MAX('Reward Model'!$B$2,INDEX('Reward Model'!$C$12:$C$14,MATCH($K791,'Reward Model'!$A$12:$A$14,0))/$J791)),3)</f>
        <v>0.804</v>
      </c>
      <c r="AA791" s="2" t="n">
        <f aca="false">IF($I791="Correct",ROUND(INDEX('Reward Model'!$B$12:$B$14,MATCH($K791,'Reward Model'!$A$12:$A$14,0))*Z791,2),0)</f>
        <v>0</v>
      </c>
      <c r="AB791" s="2" t="n">
        <f aca="false">IF($I791="Correct",ROUND(INDEX('Reward Model'!$B$12:$B$14,MATCH($Y791,'Reward Model'!$A$12:$A$14,0))*Z791,2),0)</f>
        <v>0</v>
      </c>
    </row>
    <row r="792" customFormat="false" ht="15" hidden="false" customHeight="false" outlineLevel="0" collapsed="false">
      <c r="A792" s="0" t="s">
        <v>207</v>
      </c>
      <c r="B792" s="0" t="s">
        <v>208</v>
      </c>
      <c r="C792" s="0" t="s">
        <v>30</v>
      </c>
      <c r="D792" s="0" t="s">
        <v>189</v>
      </c>
      <c r="E792" s="0" t="n">
        <v>11</v>
      </c>
      <c r="F792" s="0" t="s">
        <v>61</v>
      </c>
      <c r="G792" s="0" t="s">
        <v>145</v>
      </c>
      <c r="H792" s="0" t="s">
        <v>63</v>
      </c>
      <c r="I792" s="0" t="s">
        <v>39</v>
      </c>
      <c r="J792" s="0" t="n">
        <v>1.76</v>
      </c>
      <c r="K792" s="0" t="s">
        <v>60</v>
      </c>
      <c r="L792" s="0" t="n">
        <f aca="false">INDEX(Summary!$F$2:$F$201,MATCH($B792,Summary!$A$2:$A$201,0))</f>
        <v>20</v>
      </c>
      <c r="M792" s="0" t="n">
        <f aca="false">INDEX(Summary!$I$2:$I$201,MATCH($B792,Summary!$A$2:$A$201,0))</f>
        <v>4</v>
      </c>
      <c r="N792" s="0" t="n">
        <f aca="false">INDEX(Summary!$J$2:$J$201,MATCH($B792,Summary!$A$2:$A$201,0))</f>
        <v>1</v>
      </c>
      <c r="O792" s="2" t="n">
        <f aca="false">INDEX(Summary!$K$2:$K$201,MATCH($B792,Summary!$A$2:$A$201,0))</f>
        <v>8.62</v>
      </c>
      <c r="P792" s="3" t="n">
        <f aca="false">INDEX(Summary!$L$2:$L$201,MATCH($B792,Summary!$A$2:$A$201,0))</f>
        <v>2</v>
      </c>
      <c r="Q792" s="3" t="n">
        <f aca="false">INDEX(Summary!$M$2:$M$201,MATCH($B792,Summary!$A$2:$A$201,0))</f>
        <v>4</v>
      </c>
      <c r="R792" s="2" t="n">
        <f aca="false">INDEX(Summary!$N$2:$N$201,MATCH($B792,Summary!$A$2:$A$201,0))</f>
        <v>10.09</v>
      </c>
      <c r="S792" s="3" t="n">
        <f aca="false">INDEX(Summary!$O$2:$O$201,MATCH($B792,Summary!$A$2:$A$201,0))</f>
        <v>8</v>
      </c>
      <c r="T792" s="3" t="n">
        <f aca="false">INDEX(Summary!$P$2:$P$201,MATCH($B792,Summary!$A$2:$A$201,0))</f>
        <v>1</v>
      </c>
      <c r="U792" s="2" t="n">
        <f aca="false">INDEX(Summary!$Q$2:$Q$201,MATCH($B792,Summary!$A$2:$A$201,0))</f>
        <v>14.5</v>
      </c>
      <c r="V792" s="2" t="n">
        <f aca="false">INDEX(Summary!$R$2:$R$201,MATCH($B792,Summary!$A$2:$A$201,0))</f>
        <v>27.83</v>
      </c>
      <c r="W792" s="0" t="str">
        <f aca="false">INDEX(Summary!$S$2:$S$201,MATCH($B792,Summary!$A$2:$A$201,0))</f>
        <v>Silver</v>
      </c>
      <c r="X792" s="2" t="n">
        <f aca="false">INDEX(Summary!$T$2:$T$201,MATCH($B792,Summary!$A$2:$A$201,0))</f>
        <v>67.88</v>
      </c>
      <c r="Y792" s="0" t="str">
        <f aca="false">INDEX('Reward Model'!$E$18:$E$37,MATCH($E792,'Reward Model'!$A$18:$A$37,0))</f>
        <v>Medium</v>
      </c>
      <c r="Z792" s="4" t="n">
        <f aca="false">ROUND(MIN(1,MAX('Reward Model'!$B$2,INDEX('Reward Model'!$C$12:$C$14,MATCH($K792,'Reward Model'!$A$12:$A$14,0))/$J792)),3)</f>
        <v>1</v>
      </c>
      <c r="AA792" s="2" t="n">
        <f aca="false">IF($I792="Correct",ROUND(INDEX('Reward Model'!$B$12:$B$14,MATCH($K792,'Reward Model'!$A$12:$A$14,0))*Z792,2),0)</f>
        <v>0</v>
      </c>
      <c r="AB792" s="2" t="n">
        <f aca="false">IF($I792="Correct",ROUND(INDEX('Reward Model'!$B$12:$B$14,MATCH($Y792,'Reward Model'!$A$12:$A$14,0))*Z792,2),0)</f>
        <v>0</v>
      </c>
    </row>
    <row r="793" customFormat="false" ht="15" hidden="false" customHeight="false" outlineLevel="0" collapsed="false">
      <c r="A793" s="0" t="s">
        <v>207</v>
      </c>
      <c r="B793" s="0" t="s">
        <v>208</v>
      </c>
      <c r="C793" s="0" t="s">
        <v>30</v>
      </c>
      <c r="D793" s="0" t="s">
        <v>189</v>
      </c>
      <c r="E793" s="0" t="n">
        <v>12</v>
      </c>
      <c r="F793" s="0" t="s">
        <v>64</v>
      </c>
      <c r="G793" s="0" t="s">
        <v>65</v>
      </c>
      <c r="H793" s="0" t="s">
        <v>65</v>
      </c>
      <c r="I793" s="0" t="s">
        <v>34</v>
      </c>
      <c r="J793" s="0" t="n">
        <v>1.7</v>
      </c>
      <c r="K793" s="0" t="s">
        <v>60</v>
      </c>
      <c r="L793" s="0" t="n">
        <f aca="false">INDEX(Summary!$F$2:$F$201,MATCH($B793,Summary!$A$2:$A$201,0))</f>
        <v>20</v>
      </c>
      <c r="M793" s="0" t="n">
        <f aca="false">INDEX(Summary!$I$2:$I$201,MATCH($B793,Summary!$A$2:$A$201,0))</f>
        <v>4</v>
      </c>
      <c r="N793" s="0" t="n">
        <f aca="false">INDEX(Summary!$J$2:$J$201,MATCH($B793,Summary!$A$2:$A$201,0))</f>
        <v>1</v>
      </c>
      <c r="O793" s="2" t="n">
        <f aca="false">INDEX(Summary!$K$2:$K$201,MATCH($B793,Summary!$A$2:$A$201,0))</f>
        <v>8.62</v>
      </c>
      <c r="P793" s="3" t="n">
        <f aca="false">INDEX(Summary!$L$2:$L$201,MATCH($B793,Summary!$A$2:$A$201,0))</f>
        <v>2</v>
      </c>
      <c r="Q793" s="3" t="n">
        <f aca="false">INDEX(Summary!$M$2:$M$201,MATCH($B793,Summary!$A$2:$A$201,0))</f>
        <v>4</v>
      </c>
      <c r="R793" s="2" t="n">
        <f aca="false">INDEX(Summary!$N$2:$N$201,MATCH($B793,Summary!$A$2:$A$201,0))</f>
        <v>10.09</v>
      </c>
      <c r="S793" s="3" t="n">
        <f aca="false">INDEX(Summary!$O$2:$O$201,MATCH($B793,Summary!$A$2:$A$201,0))</f>
        <v>8</v>
      </c>
      <c r="T793" s="3" t="n">
        <f aca="false">INDEX(Summary!$P$2:$P$201,MATCH($B793,Summary!$A$2:$A$201,0))</f>
        <v>1</v>
      </c>
      <c r="U793" s="2" t="n">
        <f aca="false">INDEX(Summary!$Q$2:$Q$201,MATCH($B793,Summary!$A$2:$A$201,0))</f>
        <v>14.5</v>
      </c>
      <c r="V793" s="2" t="n">
        <f aca="false">INDEX(Summary!$R$2:$R$201,MATCH($B793,Summary!$A$2:$A$201,0))</f>
        <v>27.83</v>
      </c>
      <c r="W793" s="0" t="str">
        <f aca="false">INDEX(Summary!$S$2:$S$201,MATCH($B793,Summary!$A$2:$A$201,0))</f>
        <v>Silver</v>
      </c>
      <c r="X793" s="2" t="n">
        <f aca="false">INDEX(Summary!$T$2:$T$201,MATCH($B793,Summary!$A$2:$A$201,0))</f>
        <v>67.88</v>
      </c>
      <c r="Y793" s="0" t="str">
        <f aca="false">INDEX('Reward Model'!$E$18:$E$37,MATCH($E793,'Reward Model'!$A$18:$A$37,0))</f>
        <v>Medium</v>
      </c>
      <c r="Z793" s="4" t="n">
        <f aca="false">ROUND(MIN(1,MAX('Reward Model'!$B$2,INDEX('Reward Model'!$C$12:$C$14,MATCH($K793,'Reward Model'!$A$12:$A$14,0))/$J793)),3)</f>
        <v>1</v>
      </c>
      <c r="AA793" s="2" t="n">
        <f aca="false">IF($I793="Correct",ROUND(INDEX('Reward Model'!$B$12:$B$14,MATCH($K793,'Reward Model'!$A$12:$A$14,0))*Z793,2),0)</f>
        <v>2</v>
      </c>
      <c r="AB793" s="2" t="n">
        <f aca="false">IF($I793="Correct",ROUND(INDEX('Reward Model'!$B$12:$B$14,MATCH($Y793,'Reward Model'!$A$12:$A$14,0))*Z793,2),0)</f>
        <v>2</v>
      </c>
    </row>
    <row r="794" customFormat="false" ht="15" hidden="false" customHeight="false" outlineLevel="0" collapsed="false">
      <c r="A794" s="0" t="s">
        <v>207</v>
      </c>
      <c r="B794" s="0" t="s">
        <v>208</v>
      </c>
      <c r="C794" s="0" t="s">
        <v>30</v>
      </c>
      <c r="D794" s="0" t="s">
        <v>189</v>
      </c>
      <c r="E794" s="0" t="n">
        <v>13</v>
      </c>
      <c r="F794" s="0" t="s">
        <v>66</v>
      </c>
      <c r="G794" s="0" t="s">
        <v>117</v>
      </c>
      <c r="H794" s="0" t="s">
        <v>67</v>
      </c>
      <c r="I794" s="0" t="s">
        <v>39</v>
      </c>
      <c r="J794" s="0" t="n">
        <v>1.17</v>
      </c>
      <c r="K794" s="0" t="s">
        <v>60</v>
      </c>
      <c r="L794" s="0" t="n">
        <f aca="false">INDEX(Summary!$F$2:$F$201,MATCH($B794,Summary!$A$2:$A$201,0))</f>
        <v>20</v>
      </c>
      <c r="M794" s="0" t="n">
        <f aca="false">INDEX(Summary!$I$2:$I$201,MATCH($B794,Summary!$A$2:$A$201,0))</f>
        <v>4</v>
      </c>
      <c r="N794" s="0" t="n">
        <f aca="false">INDEX(Summary!$J$2:$J$201,MATCH($B794,Summary!$A$2:$A$201,0))</f>
        <v>1</v>
      </c>
      <c r="O794" s="2" t="n">
        <f aca="false">INDEX(Summary!$K$2:$K$201,MATCH($B794,Summary!$A$2:$A$201,0))</f>
        <v>8.62</v>
      </c>
      <c r="P794" s="3" t="n">
        <f aca="false">INDEX(Summary!$L$2:$L$201,MATCH($B794,Summary!$A$2:$A$201,0))</f>
        <v>2</v>
      </c>
      <c r="Q794" s="3" t="n">
        <f aca="false">INDEX(Summary!$M$2:$M$201,MATCH($B794,Summary!$A$2:$A$201,0))</f>
        <v>4</v>
      </c>
      <c r="R794" s="2" t="n">
        <f aca="false">INDEX(Summary!$N$2:$N$201,MATCH($B794,Summary!$A$2:$A$201,0))</f>
        <v>10.09</v>
      </c>
      <c r="S794" s="3" t="n">
        <f aca="false">INDEX(Summary!$O$2:$O$201,MATCH($B794,Summary!$A$2:$A$201,0))</f>
        <v>8</v>
      </c>
      <c r="T794" s="3" t="n">
        <f aca="false">INDEX(Summary!$P$2:$P$201,MATCH($B794,Summary!$A$2:$A$201,0))</f>
        <v>1</v>
      </c>
      <c r="U794" s="2" t="n">
        <f aca="false">INDEX(Summary!$Q$2:$Q$201,MATCH($B794,Summary!$A$2:$A$201,0))</f>
        <v>14.5</v>
      </c>
      <c r="V794" s="2" t="n">
        <f aca="false">INDEX(Summary!$R$2:$R$201,MATCH($B794,Summary!$A$2:$A$201,0))</f>
        <v>27.83</v>
      </c>
      <c r="W794" s="0" t="str">
        <f aca="false">INDEX(Summary!$S$2:$S$201,MATCH($B794,Summary!$A$2:$A$201,0))</f>
        <v>Silver</v>
      </c>
      <c r="X794" s="2" t="n">
        <f aca="false">INDEX(Summary!$T$2:$T$201,MATCH($B794,Summary!$A$2:$A$201,0))</f>
        <v>67.88</v>
      </c>
      <c r="Y794" s="0" t="str">
        <f aca="false">INDEX('Reward Model'!$E$18:$E$37,MATCH($E794,'Reward Model'!$A$18:$A$37,0))</f>
        <v>Medium</v>
      </c>
      <c r="Z794" s="4" t="n">
        <f aca="false">ROUND(MIN(1,MAX('Reward Model'!$B$2,INDEX('Reward Model'!$C$12:$C$14,MATCH($K794,'Reward Model'!$A$12:$A$14,0))/$J794)),3)</f>
        <v>1</v>
      </c>
      <c r="AA794" s="2" t="n">
        <f aca="false">IF($I794="Correct",ROUND(INDEX('Reward Model'!$B$12:$B$14,MATCH($K794,'Reward Model'!$A$12:$A$14,0))*Z794,2),0)</f>
        <v>0</v>
      </c>
      <c r="AB794" s="2" t="n">
        <f aca="false">IF($I794="Correct",ROUND(INDEX('Reward Model'!$B$12:$B$14,MATCH($Y794,'Reward Model'!$A$12:$A$14,0))*Z794,2),0)</f>
        <v>0</v>
      </c>
    </row>
    <row r="795" customFormat="false" ht="15" hidden="false" customHeight="false" outlineLevel="0" collapsed="false">
      <c r="A795" s="0" t="s">
        <v>207</v>
      </c>
      <c r="B795" s="0" t="s">
        <v>208</v>
      </c>
      <c r="C795" s="0" t="s">
        <v>30</v>
      </c>
      <c r="D795" s="0" t="s">
        <v>189</v>
      </c>
      <c r="E795" s="0" t="n">
        <v>14</v>
      </c>
      <c r="F795" s="0" t="s">
        <v>68</v>
      </c>
      <c r="G795" s="0" t="s">
        <v>86</v>
      </c>
      <c r="H795" s="0" t="s">
        <v>51</v>
      </c>
      <c r="I795" s="0" t="s">
        <v>39</v>
      </c>
      <c r="J795" s="0" t="n">
        <v>1.82</v>
      </c>
      <c r="K795" s="0" t="s">
        <v>60</v>
      </c>
      <c r="L795" s="0" t="n">
        <f aca="false">INDEX(Summary!$F$2:$F$201,MATCH($B795,Summary!$A$2:$A$201,0))</f>
        <v>20</v>
      </c>
      <c r="M795" s="0" t="n">
        <f aca="false">INDEX(Summary!$I$2:$I$201,MATCH($B795,Summary!$A$2:$A$201,0))</f>
        <v>4</v>
      </c>
      <c r="N795" s="0" t="n">
        <f aca="false">INDEX(Summary!$J$2:$J$201,MATCH($B795,Summary!$A$2:$A$201,0))</f>
        <v>1</v>
      </c>
      <c r="O795" s="2" t="n">
        <f aca="false">INDEX(Summary!$K$2:$K$201,MATCH($B795,Summary!$A$2:$A$201,0))</f>
        <v>8.62</v>
      </c>
      <c r="P795" s="3" t="n">
        <f aca="false">INDEX(Summary!$L$2:$L$201,MATCH($B795,Summary!$A$2:$A$201,0))</f>
        <v>2</v>
      </c>
      <c r="Q795" s="3" t="n">
        <f aca="false">INDEX(Summary!$M$2:$M$201,MATCH($B795,Summary!$A$2:$A$201,0))</f>
        <v>4</v>
      </c>
      <c r="R795" s="2" t="n">
        <f aca="false">INDEX(Summary!$N$2:$N$201,MATCH($B795,Summary!$A$2:$A$201,0))</f>
        <v>10.09</v>
      </c>
      <c r="S795" s="3" t="n">
        <f aca="false">INDEX(Summary!$O$2:$O$201,MATCH($B795,Summary!$A$2:$A$201,0))</f>
        <v>8</v>
      </c>
      <c r="T795" s="3" t="n">
        <f aca="false">INDEX(Summary!$P$2:$P$201,MATCH($B795,Summary!$A$2:$A$201,0))</f>
        <v>1</v>
      </c>
      <c r="U795" s="2" t="n">
        <f aca="false">INDEX(Summary!$Q$2:$Q$201,MATCH($B795,Summary!$A$2:$A$201,0))</f>
        <v>14.5</v>
      </c>
      <c r="V795" s="2" t="n">
        <f aca="false">INDEX(Summary!$R$2:$R$201,MATCH($B795,Summary!$A$2:$A$201,0))</f>
        <v>27.83</v>
      </c>
      <c r="W795" s="0" t="str">
        <f aca="false">INDEX(Summary!$S$2:$S$201,MATCH($B795,Summary!$A$2:$A$201,0))</f>
        <v>Silver</v>
      </c>
      <c r="X795" s="2" t="n">
        <f aca="false">INDEX(Summary!$T$2:$T$201,MATCH($B795,Summary!$A$2:$A$201,0))</f>
        <v>67.88</v>
      </c>
      <c r="Y795" s="0" t="str">
        <f aca="false">INDEX('Reward Model'!$E$18:$E$37,MATCH($E795,'Reward Model'!$A$18:$A$37,0))</f>
        <v>Medium</v>
      </c>
      <c r="Z795" s="4" t="n">
        <f aca="false">ROUND(MIN(1,MAX('Reward Model'!$B$2,INDEX('Reward Model'!$C$12:$C$14,MATCH($K795,'Reward Model'!$A$12:$A$14,0))/$J795)),3)</f>
        <v>0.989</v>
      </c>
      <c r="AA795" s="2" t="n">
        <f aca="false">IF($I795="Correct",ROUND(INDEX('Reward Model'!$B$12:$B$14,MATCH($K795,'Reward Model'!$A$12:$A$14,0))*Z795,2),0)</f>
        <v>0</v>
      </c>
      <c r="AB795" s="2" t="n">
        <f aca="false">IF($I795="Correct",ROUND(INDEX('Reward Model'!$B$12:$B$14,MATCH($Y795,'Reward Model'!$A$12:$A$14,0))*Z795,2),0)</f>
        <v>0</v>
      </c>
    </row>
    <row r="796" customFormat="false" ht="15" hidden="false" customHeight="false" outlineLevel="0" collapsed="false">
      <c r="A796" s="0" t="s">
        <v>207</v>
      </c>
      <c r="B796" s="0" t="s">
        <v>208</v>
      </c>
      <c r="C796" s="0" t="s">
        <v>30</v>
      </c>
      <c r="D796" s="0" t="s">
        <v>189</v>
      </c>
      <c r="E796" s="0" t="n">
        <v>15</v>
      </c>
      <c r="F796" s="0" t="s">
        <v>69</v>
      </c>
      <c r="G796" s="0" t="s">
        <v>70</v>
      </c>
      <c r="H796" s="0" t="s">
        <v>70</v>
      </c>
      <c r="I796" s="0" t="s">
        <v>34</v>
      </c>
      <c r="J796" s="0" t="n">
        <v>1.4</v>
      </c>
      <c r="K796" s="0" t="s">
        <v>60</v>
      </c>
      <c r="L796" s="0" t="n">
        <f aca="false">INDEX(Summary!$F$2:$F$201,MATCH($B796,Summary!$A$2:$A$201,0))</f>
        <v>20</v>
      </c>
      <c r="M796" s="0" t="n">
        <f aca="false">INDEX(Summary!$I$2:$I$201,MATCH($B796,Summary!$A$2:$A$201,0))</f>
        <v>4</v>
      </c>
      <c r="N796" s="0" t="n">
        <f aca="false">INDEX(Summary!$J$2:$J$201,MATCH($B796,Summary!$A$2:$A$201,0))</f>
        <v>1</v>
      </c>
      <c r="O796" s="2" t="n">
        <f aca="false">INDEX(Summary!$K$2:$K$201,MATCH($B796,Summary!$A$2:$A$201,0))</f>
        <v>8.62</v>
      </c>
      <c r="P796" s="3" t="n">
        <f aca="false">INDEX(Summary!$L$2:$L$201,MATCH($B796,Summary!$A$2:$A$201,0))</f>
        <v>2</v>
      </c>
      <c r="Q796" s="3" t="n">
        <f aca="false">INDEX(Summary!$M$2:$M$201,MATCH($B796,Summary!$A$2:$A$201,0))</f>
        <v>4</v>
      </c>
      <c r="R796" s="2" t="n">
        <f aca="false">INDEX(Summary!$N$2:$N$201,MATCH($B796,Summary!$A$2:$A$201,0))</f>
        <v>10.09</v>
      </c>
      <c r="S796" s="3" t="n">
        <f aca="false">INDEX(Summary!$O$2:$O$201,MATCH($B796,Summary!$A$2:$A$201,0))</f>
        <v>8</v>
      </c>
      <c r="T796" s="3" t="n">
        <f aca="false">INDEX(Summary!$P$2:$P$201,MATCH($B796,Summary!$A$2:$A$201,0))</f>
        <v>1</v>
      </c>
      <c r="U796" s="2" t="n">
        <f aca="false">INDEX(Summary!$Q$2:$Q$201,MATCH($B796,Summary!$A$2:$A$201,0))</f>
        <v>14.5</v>
      </c>
      <c r="V796" s="2" t="n">
        <f aca="false">INDEX(Summary!$R$2:$R$201,MATCH($B796,Summary!$A$2:$A$201,0))</f>
        <v>27.83</v>
      </c>
      <c r="W796" s="0" t="str">
        <f aca="false">INDEX(Summary!$S$2:$S$201,MATCH($B796,Summary!$A$2:$A$201,0))</f>
        <v>Silver</v>
      </c>
      <c r="X796" s="2" t="n">
        <f aca="false">INDEX(Summary!$T$2:$T$201,MATCH($B796,Summary!$A$2:$A$201,0))</f>
        <v>67.88</v>
      </c>
      <c r="Y796" s="0" t="str">
        <f aca="false">INDEX('Reward Model'!$E$18:$E$37,MATCH($E796,'Reward Model'!$A$18:$A$37,0))</f>
        <v>Medium</v>
      </c>
      <c r="Z796" s="4" t="n">
        <f aca="false">ROUND(MIN(1,MAX('Reward Model'!$B$2,INDEX('Reward Model'!$C$12:$C$14,MATCH($K796,'Reward Model'!$A$12:$A$14,0))/$J796)),3)</f>
        <v>1</v>
      </c>
      <c r="AA796" s="2" t="n">
        <f aca="false">IF($I796="Correct",ROUND(INDEX('Reward Model'!$B$12:$B$14,MATCH($K796,'Reward Model'!$A$12:$A$14,0))*Z796,2),0)</f>
        <v>2</v>
      </c>
      <c r="AB796" s="2" t="n">
        <f aca="false">IF($I796="Correct",ROUND(INDEX('Reward Model'!$B$12:$B$14,MATCH($Y796,'Reward Model'!$A$12:$A$14,0))*Z796,2),0)</f>
        <v>2</v>
      </c>
    </row>
    <row r="797" customFormat="false" ht="15" hidden="false" customHeight="false" outlineLevel="0" collapsed="false">
      <c r="A797" s="0" t="s">
        <v>207</v>
      </c>
      <c r="B797" s="0" t="s">
        <v>208</v>
      </c>
      <c r="C797" s="0" t="s">
        <v>30</v>
      </c>
      <c r="D797" s="0" t="s">
        <v>189</v>
      </c>
      <c r="E797" s="0" t="n">
        <v>16</v>
      </c>
      <c r="F797" s="0" t="s">
        <v>71</v>
      </c>
      <c r="G797" s="0" t="s">
        <v>72</v>
      </c>
      <c r="H797" s="0" t="s">
        <v>72</v>
      </c>
      <c r="I797" s="0" t="s">
        <v>34</v>
      </c>
      <c r="J797" s="0" t="n">
        <v>1.31</v>
      </c>
      <c r="K797" s="0" t="s">
        <v>73</v>
      </c>
      <c r="L797" s="0" t="n">
        <f aca="false">INDEX(Summary!$F$2:$F$201,MATCH($B797,Summary!$A$2:$A$201,0))</f>
        <v>20</v>
      </c>
      <c r="M797" s="0" t="n">
        <f aca="false">INDEX(Summary!$I$2:$I$201,MATCH($B797,Summary!$A$2:$A$201,0))</f>
        <v>4</v>
      </c>
      <c r="N797" s="0" t="n">
        <f aca="false">INDEX(Summary!$J$2:$J$201,MATCH($B797,Summary!$A$2:$A$201,0))</f>
        <v>1</v>
      </c>
      <c r="O797" s="2" t="n">
        <f aca="false">INDEX(Summary!$K$2:$K$201,MATCH($B797,Summary!$A$2:$A$201,0))</f>
        <v>8.62</v>
      </c>
      <c r="P797" s="3" t="n">
        <f aca="false">INDEX(Summary!$L$2:$L$201,MATCH($B797,Summary!$A$2:$A$201,0))</f>
        <v>2</v>
      </c>
      <c r="Q797" s="3" t="n">
        <f aca="false">INDEX(Summary!$M$2:$M$201,MATCH($B797,Summary!$A$2:$A$201,0))</f>
        <v>4</v>
      </c>
      <c r="R797" s="2" t="n">
        <f aca="false">INDEX(Summary!$N$2:$N$201,MATCH($B797,Summary!$A$2:$A$201,0))</f>
        <v>10.09</v>
      </c>
      <c r="S797" s="3" t="n">
        <f aca="false">INDEX(Summary!$O$2:$O$201,MATCH($B797,Summary!$A$2:$A$201,0))</f>
        <v>8</v>
      </c>
      <c r="T797" s="3" t="n">
        <f aca="false">INDEX(Summary!$P$2:$P$201,MATCH($B797,Summary!$A$2:$A$201,0))</f>
        <v>1</v>
      </c>
      <c r="U797" s="2" t="n">
        <f aca="false">INDEX(Summary!$Q$2:$Q$201,MATCH($B797,Summary!$A$2:$A$201,0))</f>
        <v>14.5</v>
      </c>
      <c r="V797" s="2" t="n">
        <f aca="false">INDEX(Summary!$R$2:$R$201,MATCH($B797,Summary!$A$2:$A$201,0))</f>
        <v>27.83</v>
      </c>
      <c r="W797" s="0" t="str">
        <f aca="false">INDEX(Summary!$S$2:$S$201,MATCH($B797,Summary!$A$2:$A$201,0))</f>
        <v>Silver</v>
      </c>
      <c r="X797" s="2" t="n">
        <f aca="false">INDEX(Summary!$T$2:$T$201,MATCH($B797,Summary!$A$2:$A$201,0))</f>
        <v>67.88</v>
      </c>
      <c r="Y797" s="0" t="str">
        <f aca="false">INDEX('Reward Model'!$E$18:$E$37,MATCH($E797,'Reward Model'!$A$18:$A$37,0))</f>
        <v>High</v>
      </c>
      <c r="Z797" s="4" t="n">
        <f aca="false">ROUND(MIN(1,MAX('Reward Model'!$B$2,INDEX('Reward Model'!$C$12:$C$14,MATCH($K797,'Reward Model'!$A$12:$A$14,0))/$J797)),3)</f>
        <v>1</v>
      </c>
      <c r="AA797" s="2" t="n">
        <f aca="false">IF($I797="Correct",ROUND(INDEX('Reward Model'!$B$12:$B$14,MATCH($K797,'Reward Model'!$A$12:$A$14,0))*Z797,2),0)</f>
        <v>3</v>
      </c>
      <c r="AB797" s="2" t="n">
        <f aca="false">IF($I797="Correct",ROUND(INDEX('Reward Model'!$B$12:$B$14,MATCH($Y797,'Reward Model'!$A$12:$A$14,0))*Z797,2),0)</f>
        <v>3</v>
      </c>
    </row>
    <row r="798" customFormat="false" ht="15" hidden="false" customHeight="false" outlineLevel="0" collapsed="false">
      <c r="A798" s="0" t="s">
        <v>207</v>
      </c>
      <c r="B798" s="0" t="s">
        <v>208</v>
      </c>
      <c r="C798" s="0" t="s">
        <v>30</v>
      </c>
      <c r="D798" s="0" t="s">
        <v>189</v>
      </c>
      <c r="E798" s="0" t="n">
        <v>17</v>
      </c>
      <c r="F798" s="0" t="s">
        <v>74</v>
      </c>
      <c r="G798" s="0" t="s">
        <v>75</v>
      </c>
      <c r="H798" s="0" t="s">
        <v>75</v>
      </c>
      <c r="I798" s="0" t="s">
        <v>34</v>
      </c>
      <c r="J798" s="0" t="n">
        <v>1.62</v>
      </c>
      <c r="K798" s="0" t="s">
        <v>73</v>
      </c>
      <c r="L798" s="0" t="n">
        <f aca="false">INDEX(Summary!$F$2:$F$201,MATCH($B798,Summary!$A$2:$A$201,0))</f>
        <v>20</v>
      </c>
      <c r="M798" s="0" t="n">
        <f aca="false">INDEX(Summary!$I$2:$I$201,MATCH($B798,Summary!$A$2:$A$201,0))</f>
        <v>4</v>
      </c>
      <c r="N798" s="0" t="n">
        <f aca="false">INDEX(Summary!$J$2:$J$201,MATCH($B798,Summary!$A$2:$A$201,0))</f>
        <v>1</v>
      </c>
      <c r="O798" s="2" t="n">
        <f aca="false">INDEX(Summary!$K$2:$K$201,MATCH($B798,Summary!$A$2:$A$201,0))</f>
        <v>8.62</v>
      </c>
      <c r="P798" s="3" t="n">
        <f aca="false">INDEX(Summary!$L$2:$L$201,MATCH($B798,Summary!$A$2:$A$201,0))</f>
        <v>2</v>
      </c>
      <c r="Q798" s="3" t="n">
        <f aca="false">INDEX(Summary!$M$2:$M$201,MATCH($B798,Summary!$A$2:$A$201,0))</f>
        <v>4</v>
      </c>
      <c r="R798" s="2" t="n">
        <f aca="false">INDEX(Summary!$N$2:$N$201,MATCH($B798,Summary!$A$2:$A$201,0))</f>
        <v>10.09</v>
      </c>
      <c r="S798" s="3" t="n">
        <f aca="false">INDEX(Summary!$O$2:$O$201,MATCH($B798,Summary!$A$2:$A$201,0))</f>
        <v>8</v>
      </c>
      <c r="T798" s="3" t="n">
        <f aca="false">INDEX(Summary!$P$2:$P$201,MATCH($B798,Summary!$A$2:$A$201,0))</f>
        <v>1</v>
      </c>
      <c r="U798" s="2" t="n">
        <f aca="false">INDEX(Summary!$Q$2:$Q$201,MATCH($B798,Summary!$A$2:$A$201,0))</f>
        <v>14.5</v>
      </c>
      <c r="V798" s="2" t="n">
        <f aca="false">INDEX(Summary!$R$2:$R$201,MATCH($B798,Summary!$A$2:$A$201,0))</f>
        <v>27.83</v>
      </c>
      <c r="W798" s="0" t="str">
        <f aca="false">INDEX(Summary!$S$2:$S$201,MATCH($B798,Summary!$A$2:$A$201,0))</f>
        <v>Silver</v>
      </c>
      <c r="X798" s="2" t="n">
        <f aca="false">INDEX(Summary!$T$2:$T$201,MATCH($B798,Summary!$A$2:$A$201,0))</f>
        <v>67.88</v>
      </c>
      <c r="Y798" s="0" t="str">
        <f aca="false">INDEX('Reward Model'!$E$18:$E$37,MATCH($E798,'Reward Model'!$A$18:$A$37,0))</f>
        <v>High</v>
      </c>
      <c r="Z798" s="4" t="n">
        <f aca="false">ROUND(MIN(1,MAX('Reward Model'!$B$2,INDEX('Reward Model'!$C$12:$C$14,MATCH($K798,'Reward Model'!$A$12:$A$14,0))/$J798)),3)</f>
        <v>1</v>
      </c>
      <c r="AA798" s="2" t="n">
        <f aca="false">IF($I798="Correct",ROUND(INDEX('Reward Model'!$B$12:$B$14,MATCH($K798,'Reward Model'!$A$12:$A$14,0))*Z798,2),0)</f>
        <v>3</v>
      </c>
      <c r="AB798" s="2" t="n">
        <f aca="false">IF($I798="Correct",ROUND(INDEX('Reward Model'!$B$12:$B$14,MATCH($Y798,'Reward Model'!$A$12:$A$14,0))*Z798,2),0)</f>
        <v>3</v>
      </c>
    </row>
    <row r="799" customFormat="false" ht="15" hidden="false" customHeight="false" outlineLevel="0" collapsed="false">
      <c r="A799" s="0" t="s">
        <v>207</v>
      </c>
      <c r="B799" s="0" t="s">
        <v>208</v>
      </c>
      <c r="C799" s="0" t="s">
        <v>30</v>
      </c>
      <c r="D799" s="0" t="s">
        <v>189</v>
      </c>
      <c r="E799" s="0" t="n">
        <v>18</v>
      </c>
      <c r="F799" s="0" t="s">
        <v>76</v>
      </c>
      <c r="G799" s="0" t="s">
        <v>77</v>
      </c>
      <c r="H799" s="0" t="s">
        <v>77</v>
      </c>
      <c r="I799" s="0" t="s">
        <v>34</v>
      </c>
      <c r="J799" s="0" t="n">
        <v>1.51</v>
      </c>
      <c r="K799" s="0" t="s">
        <v>73</v>
      </c>
      <c r="L799" s="0" t="n">
        <f aca="false">INDEX(Summary!$F$2:$F$201,MATCH($B799,Summary!$A$2:$A$201,0))</f>
        <v>20</v>
      </c>
      <c r="M799" s="0" t="n">
        <f aca="false">INDEX(Summary!$I$2:$I$201,MATCH($B799,Summary!$A$2:$A$201,0))</f>
        <v>4</v>
      </c>
      <c r="N799" s="0" t="n">
        <f aca="false">INDEX(Summary!$J$2:$J$201,MATCH($B799,Summary!$A$2:$A$201,0))</f>
        <v>1</v>
      </c>
      <c r="O799" s="2" t="n">
        <f aca="false">INDEX(Summary!$K$2:$K$201,MATCH($B799,Summary!$A$2:$A$201,0))</f>
        <v>8.62</v>
      </c>
      <c r="P799" s="3" t="n">
        <f aca="false">INDEX(Summary!$L$2:$L$201,MATCH($B799,Summary!$A$2:$A$201,0))</f>
        <v>2</v>
      </c>
      <c r="Q799" s="3" t="n">
        <f aca="false">INDEX(Summary!$M$2:$M$201,MATCH($B799,Summary!$A$2:$A$201,0))</f>
        <v>4</v>
      </c>
      <c r="R799" s="2" t="n">
        <f aca="false">INDEX(Summary!$N$2:$N$201,MATCH($B799,Summary!$A$2:$A$201,0))</f>
        <v>10.09</v>
      </c>
      <c r="S799" s="3" t="n">
        <f aca="false">INDEX(Summary!$O$2:$O$201,MATCH($B799,Summary!$A$2:$A$201,0))</f>
        <v>8</v>
      </c>
      <c r="T799" s="3" t="n">
        <f aca="false">INDEX(Summary!$P$2:$P$201,MATCH($B799,Summary!$A$2:$A$201,0))</f>
        <v>1</v>
      </c>
      <c r="U799" s="2" t="n">
        <f aca="false">INDEX(Summary!$Q$2:$Q$201,MATCH($B799,Summary!$A$2:$A$201,0))</f>
        <v>14.5</v>
      </c>
      <c r="V799" s="2" t="n">
        <f aca="false">INDEX(Summary!$R$2:$R$201,MATCH($B799,Summary!$A$2:$A$201,0))</f>
        <v>27.83</v>
      </c>
      <c r="W799" s="0" t="str">
        <f aca="false">INDEX(Summary!$S$2:$S$201,MATCH($B799,Summary!$A$2:$A$201,0))</f>
        <v>Silver</v>
      </c>
      <c r="X799" s="2" t="n">
        <f aca="false">INDEX(Summary!$T$2:$T$201,MATCH($B799,Summary!$A$2:$A$201,0))</f>
        <v>67.88</v>
      </c>
      <c r="Y799" s="0" t="str">
        <f aca="false">INDEX('Reward Model'!$E$18:$E$37,MATCH($E799,'Reward Model'!$A$18:$A$37,0))</f>
        <v>High</v>
      </c>
      <c r="Z799" s="4" t="n">
        <f aca="false">ROUND(MIN(1,MAX('Reward Model'!$B$2,INDEX('Reward Model'!$C$12:$C$14,MATCH($K799,'Reward Model'!$A$12:$A$14,0))/$J799)),3)</f>
        <v>1</v>
      </c>
      <c r="AA799" s="2" t="n">
        <f aca="false">IF($I799="Correct",ROUND(INDEX('Reward Model'!$B$12:$B$14,MATCH($K799,'Reward Model'!$A$12:$A$14,0))*Z799,2),0)</f>
        <v>3</v>
      </c>
      <c r="AB799" s="2" t="n">
        <f aca="false">IF($I799="Correct",ROUND(INDEX('Reward Model'!$B$12:$B$14,MATCH($Y799,'Reward Model'!$A$12:$A$14,0))*Z799,2),0)</f>
        <v>3</v>
      </c>
    </row>
    <row r="800" customFormat="false" ht="15" hidden="false" customHeight="false" outlineLevel="0" collapsed="false">
      <c r="A800" s="0" t="s">
        <v>207</v>
      </c>
      <c r="B800" s="0" t="s">
        <v>208</v>
      </c>
      <c r="C800" s="0" t="s">
        <v>30</v>
      </c>
      <c r="D800" s="0" t="s">
        <v>189</v>
      </c>
      <c r="E800" s="0" t="n">
        <v>19</v>
      </c>
      <c r="F800" s="0" t="s">
        <v>78</v>
      </c>
      <c r="G800" s="0" t="s">
        <v>80</v>
      </c>
      <c r="H800" s="0" t="s">
        <v>80</v>
      </c>
      <c r="I800" s="0" t="s">
        <v>34</v>
      </c>
      <c r="J800" s="0" t="n">
        <v>2.08</v>
      </c>
      <c r="K800" s="0" t="s">
        <v>73</v>
      </c>
      <c r="L800" s="0" t="n">
        <f aca="false">INDEX(Summary!$F$2:$F$201,MATCH($B800,Summary!$A$2:$A$201,0))</f>
        <v>20</v>
      </c>
      <c r="M800" s="0" t="n">
        <f aca="false">INDEX(Summary!$I$2:$I$201,MATCH($B800,Summary!$A$2:$A$201,0))</f>
        <v>4</v>
      </c>
      <c r="N800" s="0" t="n">
        <f aca="false">INDEX(Summary!$J$2:$J$201,MATCH($B800,Summary!$A$2:$A$201,0))</f>
        <v>1</v>
      </c>
      <c r="O800" s="2" t="n">
        <f aca="false">INDEX(Summary!$K$2:$K$201,MATCH($B800,Summary!$A$2:$A$201,0))</f>
        <v>8.62</v>
      </c>
      <c r="P800" s="3" t="n">
        <f aca="false">INDEX(Summary!$L$2:$L$201,MATCH($B800,Summary!$A$2:$A$201,0))</f>
        <v>2</v>
      </c>
      <c r="Q800" s="3" t="n">
        <f aca="false">INDEX(Summary!$M$2:$M$201,MATCH($B800,Summary!$A$2:$A$201,0))</f>
        <v>4</v>
      </c>
      <c r="R800" s="2" t="n">
        <f aca="false">INDEX(Summary!$N$2:$N$201,MATCH($B800,Summary!$A$2:$A$201,0))</f>
        <v>10.09</v>
      </c>
      <c r="S800" s="3" t="n">
        <f aca="false">INDEX(Summary!$O$2:$O$201,MATCH($B800,Summary!$A$2:$A$201,0))</f>
        <v>8</v>
      </c>
      <c r="T800" s="3" t="n">
        <f aca="false">INDEX(Summary!$P$2:$P$201,MATCH($B800,Summary!$A$2:$A$201,0))</f>
        <v>1</v>
      </c>
      <c r="U800" s="2" t="n">
        <f aca="false">INDEX(Summary!$Q$2:$Q$201,MATCH($B800,Summary!$A$2:$A$201,0))</f>
        <v>14.5</v>
      </c>
      <c r="V800" s="2" t="n">
        <f aca="false">INDEX(Summary!$R$2:$R$201,MATCH($B800,Summary!$A$2:$A$201,0))</f>
        <v>27.83</v>
      </c>
      <c r="W800" s="0" t="str">
        <f aca="false">INDEX(Summary!$S$2:$S$201,MATCH($B800,Summary!$A$2:$A$201,0))</f>
        <v>Silver</v>
      </c>
      <c r="X800" s="2" t="n">
        <f aca="false">INDEX(Summary!$T$2:$T$201,MATCH($B800,Summary!$A$2:$A$201,0))</f>
        <v>67.88</v>
      </c>
      <c r="Y800" s="0" t="str">
        <f aca="false">INDEX('Reward Model'!$E$18:$E$37,MATCH($E800,'Reward Model'!$A$18:$A$37,0))</f>
        <v>High</v>
      </c>
      <c r="Z800" s="4" t="n">
        <f aca="false">ROUND(MIN(1,MAX('Reward Model'!$B$2,INDEX('Reward Model'!$C$12:$C$14,MATCH($K800,'Reward Model'!$A$12:$A$14,0))/$J800)),3)</f>
        <v>0.962</v>
      </c>
      <c r="AA800" s="2" t="n">
        <f aca="false">IF($I800="Correct",ROUND(INDEX('Reward Model'!$B$12:$B$14,MATCH($K800,'Reward Model'!$A$12:$A$14,0))*Z800,2),0)</f>
        <v>2.89</v>
      </c>
      <c r="AB800" s="2" t="n">
        <f aca="false">IF($I800="Correct",ROUND(INDEX('Reward Model'!$B$12:$B$14,MATCH($Y800,'Reward Model'!$A$12:$A$14,0))*Z800,2),0)</f>
        <v>2.89</v>
      </c>
    </row>
    <row r="801" customFormat="false" ht="15" hidden="false" customHeight="false" outlineLevel="0" collapsed="false">
      <c r="A801" s="0" t="s">
        <v>207</v>
      </c>
      <c r="B801" s="0" t="s">
        <v>208</v>
      </c>
      <c r="C801" s="0" t="s">
        <v>30</v>
      </c>
      <c r="D801" s="0" t="s">
        <v>189</v>
      </c>
      <c r="E801" s="0" t="n">
        <v>20</v>
      </c>
      <c r="F801" s="0" t="s">
        <v>81</v>
      </c>
      <c r="G801" s="0" t="s">
        <v>119</v>
      </c>
      <c r="H801" s="0" t="s">
        <v>83</v>
      </c>
      <c r="I801" s="0" t="s">
        <v>39</v>
      </c>
      <c r="J801" s="0" t="n">
        <v>2.1</v>
      </c>
      <c r="K801" s="0" t="s">
        <v>73</v>
      </c>
      <c r="L801" s="0" t="n">
        <f aca="false">INDEX(Summary!$F$2:$F$201,MATCH($B801,Summary!$A$2:$A$201,0))</f>
        <v>20</v>
      </c>
      <c r="M801" s="0" t="n">
        <f aca="false">INDEX(Summary!$I$2:$I$201,MATCH($B801,Summary!$A$2:$A$201,0))</f>
        <v>4</v>
      </c>
      <c r="N801" s="0" t="n">
        <f aca="false">INDEX(Summary!$J$2:$J$201,MATCH($B801,Summary!$A$2:$A$201,0))</f>
        <v>1</v>
      </c>
      <c r="O801" s="2" t="n">
        <f aca="false">INDEX(Summary!$K$2:$K$201,MATCH($B801,Summary!$A$2:$A$201,0))</f>
        <v>8.62</v>
      </c>
      <c r="P801" s="3" t="n">
        <f aca="false">INDEX(Summary!$L$2:$L$201,MATCH($B801,Summary!$A$2:$A$201,0))</f>
        <v>2</v>
      </c>
      <c r="Q801" s="3" t="n">
        <f aca="false">INDEX(Summary!$M$2:$M$201,MATCH($B801,Summary!$A$2:$A$201,0))</f>
        <v>4</v>
      </c>
      <c r="R801" s="2" t="n">
        <f aca="false">INDEX(Summary!$N$2:$N$201,MATCH($B801,Summary!$A$2:$A$201,0))</f>
        <v>10.09</v>
      </c>
      <c r="S801" s="3" t="n">
        <f aca="false">INDEX(Summary!$O$2:$O$201,MATCH($B801,Summary!$A$2:$A$201,0))</f>
        <v>8</v>
      </c>
      <c r="T801" s="3" t="n">
        <f aca="false">INDEX(Summary!$P$2:$P$201,MATCH($B801,Summary!$A$2:$A$201,0))</f>
        <v>1</v>
      </c>
      <c r="U801" s="2" t="n">
        <f aca="false">INDEX(Summary!$Q$2:$Q$201,MATCH($B801,Summary!$A$2:$A$201,0))</f>
        <v>14.5</v>
      </c>
      <c r="V801" s="2" t="n">
        <f aca="false">INDEX(Summary!$R$2:$R$201,MATCH($B801,Summary!$A$2:$A$201,0))</f>
        <v>27.83</v>
      </c>
      <c r="W801" s="0" t="str">
        <f aca="false">INDEX(Summary!$S$2:$S$201,MATCH($B801,Summary!$A$2:$A$201,0))</f>
        <v>Silver</v>
      </c>
      <c r="X801" s="2" t="n">
        <f aca="false">INDEX(Summary!$T$2:$T$201,MATCH($B801,Summary!$A$2:$A$201,0))</f>
        <v>67.88</v>
      </c>
      <c r="Y801" s="0" t="str">
        <f aca="false">INDEX('Reward Model'!$E$18:$E$37,MATCH($E801,'Reward Model'!$A$18:$A$37,0))</f>
        <v>High</v>
      </c>
      <c r="Z801" s="4" t="n">
        <f aca="false">ROUND(MIN(1,MAX('Reward Model'!$B$2,INDEX('Reward Model'!$C$12:$C$14,MATCH($K801,'Reward Model'!$A$12:$A$14,0))/$J801)),3)</f>
        <v>0.952</v>
      </c>
      <c r="AA801" s="2" t="n">
        <f aca="false">IF($I801="Correct",ROUND(INDEX('Reward Model'!$B$12:$B$14,MATCH($K801,'Reward Model'!$A$12:$A$14,0))*Z801,2),0)</f>
        <v>0</v>
      </c>
      <c r="AB801" s="2" t="n">
        <f aca="false">IF($I801="Correct",ROUND(INDEX('Reward Model'!$B$12:$B$14,MATCH($Y801,'Reward Model'!$A$12:$A$14,0))*Z801,2),0)</f>
        <v>0</v>
      </c>
    </row>
    <row r="802" customFormat="false" ht="15" hidden="false" customHeight="false" outlineLevel="0" collapsed="false">
      <c r="A802" s="0" t="s">
        <v>209</v>
      </c>
      <c r="B802" s="0" t="s">
        <v>210</v>
      </c>
      <c r="C802" s="0" t="s">
        <v>30</v>
      </c>
      <c r="D802" s="0" t="s">
        <v>189</v>
      </c>
      <c r="E802" s="0" t="n">
        <v>1</v>
      </c>
      <c r="F802" s="0" t="s">
        <v>32</v>
      </c>
      <c r="G802" s="0" t="s">
        <v>33</v>
      </c>
      <c r="H802" s="0" t="s">
        <v>33</v>
      </c>
      <c r="I802" s="0" t="s">
        <v>34</v>
      </c>
      <c r="J802" s="0" t="n">
        <v>1.26</v>
      </c>
      <c r="K802" s="0" t="s">
        <v>35</v>
      </c>
      <c r="L802" s="0" t="n">
        <f aca="false">INDEX(Summary!$F$2:$F$201,MATCH($B802,Summary!$A$2:$A$201,0))</f>
        <v>20</v>
      </c>
      <c r="M802" s="0" t="n">
        <f aca="false">INDEX(Summary!$I$2:$I$201,MATCH($B802,Summary!$A$2:$A$201,0))</f>
        <v>1</v>
      </c>
      <c r="N802" s="0" t="n">
        <f aca="false">INDEX(Summary!$J$2:$J$201,MATCH($B802,Summary!$A$2:$A$201,0))</f>
        <v>4</v>
      </c>
      <c r="O802" s="2" t="n">
        <f aca="false">INDEX(Summary!$K$2:$K$201,MATCH($B802,Summary!$A$2:$A$201,0))</f>
        <v>8.92</v>
      </c>
      <c r="P802" s="3" t="n">
        <f aca="false">INDEX(Summary!$L$2:$L$201,MATCH($B802,Summary!$A$2:$A$201,0))</f>
        <v>3</v>
      </c>
      <c r="Q802" s="3" t="n">
        <f aca="false">INDEX(Summary!$M$2:$M$201,MATCH($B802,Summary!$A$2:$A$201,0))</f>
        <v>3</v>
      </c>
      <c r="R802" s="2" t="n">
        <f aca="false">INDEX(Summary!$N$2:$N$201,MATCH($B802,Summary!$A$2:$A$201,0))</f>
        <v>8.99</v>
      </c>
      <c r="S802" s="3" t="n">
        <f aca="false">INDEX(Summary!$O$2:$O$201,MATCH($B802,Summary!$A$2:$A$201,0))</f>
        <v>7</v>
      </c>
      <c r="T802" s="3" t="n">
        <f aca="false">INDEX(Summary!$P$2:$P$201,MATCH($B802,Summary!$A$2:$A$201,0))</f>
        <v>2</v>
      </c>
      <c r="U802" s="2" t="n">
        <f aca="false">INDEX(Summary!$Q$2:$Q$201,MATCH($B802,Summary!$A$2:$A$201,0))</f>
        <v>12.31</v>
      </c>
      <c r="V802" s="2" t="n">
        <f aca="false">INDEX(Summary!$R$2:$R$201,MATCH($B802,Summary!$A$2:$A$201,0))</f>
        <v>20.34</v>
      </c>
      <c r="W802" s="0" t="str">
        <f aca="false">INDEX(Summary!$S$2:$S$201,MATCH($B802,Summary!$A$2:$A$201,0))</f>
        <v>Bronze</v>
      </c>
      <c r="X802" s="2" t="n">
        <f aca="false">INDEX(Summary!$T$2:$T$201,MATCH($B802,Summary!$A$2:$A$201,0))</f>
        <v>49.61</v>
      </c>
      <c r="Y802" s="0" t="str">
        <f aca="false">INDEX('Reward Model'!$E$18:$E$37,MATCH($E802,'Reward Model'!$A$18:$A$37,0))</f>
        <v>Medium</v>
      </c>
      <c r="Z802" s="4" t="n">
        <f aca="false">ROUND(MIN(1,MAX('Reward Model'!$B$2,INDEX('Reward Model'!$C$12:$C$14,MATCH($K802,'Reward Model'!$A$12:$A$14,0))/$J802)),3)</f>
        <v>1</v>
      </c>
      <c r="AA802" s="2" t="n">
        <f aca="false">IF($I802="Correct",ROUND(INDEX('Reward Model'!$B$12:$B$14,MATCH($K802,'Reward Model'!$A$12:$A$14,0))*Z802,2),0)</f>
        <v>1</v>
      </c>
      <c r="AB802" s="2" t="n">
        <f aca="false">IF($I802="Correct",ROUND(INDEX('Reward Model'!$B$12:$B$14,MATCH($Y802,'Reward Model'!$A$12:$A$14,0))*Z802,2),0)</f>
        <v>2</v>
      </c>
    </row>
    <row r="803" customFormat="false" ht="15" hidden="false" customHeight="false" outlineLevel="0" collapsed="false">
      <c r="A803" s="0" t="s">
        <v>209</v>
      </c>
      <c r="B803" s="0" t="s">
        <v>210</v>
      </c>
      <c r="C803" s="0" t="s">
        <v>30</v>
      </c>
      <c r="D803" s="0" t="s">
        <v>189</v>
      </c>
      <c r="E803" s="0" t="n">
        <v>2</v>
      </c>
      <c r="F803" s="0" t="s">
        <v>36</v>
      </c>
      <c r="G803" s="0" t="s">
        <v>190</v>
      </c>
      <c r="H803" s="0" t="s">
        <v>38</v>
      </c>
      <c r="I803" s="0" t="s">
        <v>39</v>
      </c>
      <c r="J803" s="0" t="n">
        <v>1.2</v>
      </c>
      <c r="K803" s="0" t="s">
        <v>35</v>
      </c>
      <c r="L803" s="0" t="n">
        <f aca="false">INDEX(Summary!$F$2:$F$201,MATCH($B803,Summary!$A$2:$A$201,0))</f>
        <v>20</v>
      </c>
      <c r="M803" s="0" t="n">
        <f aca="false">INDEX(Summary!$I$2:$I$201,MATCH($B803,Summary!$A$2:$A$201,0))</f>
        <v>1</v>
      </c>
      <c r="N803" s="0" t="n">
        <f aca="false">INDEX(Summary!$J$2:$J$201,MATCH($B803,Summary!$A$2:$A$201,0))</f>
        <v>4</v>
      </c>
      <c r="O803" s="2" t="n">
        <f aca="false">INDEX(Summary!$K$2:$K$201,MATCH($B803,Summary!$A$2:$A$201,0))</f>
        <v>8.92</v>
      </c>
      <c r="P803" s="3" t="n">
        <f aca="false">INDEX(Summary!$L$2:$L$201,MATCH($B803,Summary!$A$2:$A$201,0))</f>
        <v>3</v>
      </c>
      <c r="Q803" s="3" t="n">
        <f aca="false">INDEX(Summary!$M$2:$M$201,MATCH($B803,Summary!$A$2:$A$201,0))</f>
        <v>3</v>
      </c>
      <c r="R803" s="2" t="n">
        <f aca="false">INDEX(Summary!$N$2:$N$201,MATCH($B803,Summary!$A$2:$A$201,0))</f>
        <v>8.99</v>
      </c>
      <c r="S803" s="3" t="n">
        <f aca="false">INDEX(Summary!$O$2:$O$201,MATCH($B803,Summary!$A$2:$A$201,0))</f>
        <v>7</v>
      </c>
      <c r="T803" s="3" t="n">
        <f aca="false">INDEX(Summary!$P$2:$P$201,MATCH($B803,Summary!$A$2:$A$201,0))</f>
        <v>2</v>
      </c>
      <c r="U803" s="2" t="n">
        <f aca="false">INDEX(Summary!$Q$2:$Q$201,MATCH($B803,Summary!$A$2:$A$201,0))</f>
        <v>12.31</v>
      </c>
      <c r="V803" s="2" t="n">
        <f aca="false">INDEX(Summary!$R$2:$R$201,MATCH($B803,Summary!$A$2:$A$201,0))</f>
        <v>20.34</v>
      </c>
      <c r="W803" s="0" t="str">
        <f aca="false">INDEX(Summary!$S$2:$S$201,MATCH($B803,Summary!$A$2:$A$201,0))</f>
        <v>Bronze</v>
      </c>
      <c r="X803" s="2" t="n">
        <f aca="false">INDEX(Summary!$T$2:$T$201,MATCH($B803,Summary!$A$2:$A$201,0))</f>
        <v>49.61</v>
      </c>
      <c r="Y803" s="0" t="str">
        <f aca="false">INDEX('Reward Model'!$E$18:$E$37,MATCH($E803,'Reward Model'!$A$18:$A$37,0))</f>
        <v>Low</v>
      </c>
      <c r="Z803" s="4" t="n">
        <f aca="false">ROUND(MIN(1,MAX('Reward Model'!$B$2,INDEX('Reward Model'!$C$12:$C$14,MATCH($K803,'Reward Model'!$A$12:$A$14,0))/$J803)),3)</f>
        <v>1</v>
      </c>
      <c r="AA803" s="2" t="n">
        <f aca="false">IF($I803="Correct",ROUND(INDEX('Reward Model'!$B$12:$B$14,MATCH($K803,'Reward Model'!$A$12:$A$14,0))*Z803,2),0)</f>
        <v>0</v>
      </c>
      <c r="AB803" s="2" t="n">
        <f aca="false">IF($I803="Correct",ROUND(INDEX('Reward Model'!$B$12:$B$14,MATCH($Y803,'Reward Model'!$A$12:$A$14,0))*Z803,2),0)</f>
        <v>0</v>
      </c>
    </row>
    <row r="804" customFormat="false" ht="15" hidden="false" customHeight="false" outlineLevel="0" collapsed="false">
      <c r="A804" s="0" t="s">
        <v>209</v>
      </c>
      <c r="B804" s="0" t="s">
        <v>210</v>
      </c>
      <c r="C804" s="0" t="s">
        <v>30</v>
      </c>
      <c r="D804" s="0" t="s">
        <v>189</v>
      </c>
      <c r="E804" s="0" t="n">
        <v>3</v>
      </c>
      <c r="F804" s="0" t="s">
        <v>40</v>
      </c>
      <c r="G804" s="0" t="s">
        <v>42</v>
      </c>
      <c r="H804" s="0" t="s">
        <v>42</v>
      </c>
      <c r="I804" s="0" t="s">
        <v>34</v>
      </c>
      <c r="J804" s="0" t="n">
        <v>1.98</v>
      </c>
      <c r="K804" s="0" t="s">
        <v>35</v>
      </c>
      <c r="L804" s="0" t="n">
        <f aca="false">INDEX(Summary!$F$2:$F$201,MATCH($B804,Summary!$A$2:$A$201,0))</f>
        <v>20</v>
      </c>
      <c r="M804" s="0" t="n">
        <f aca="false">INDEX(Summary!$I$2:$I$201,MATCH($B804,Summary!$A$2:$A$201,0))</f>
        <v>1</v>
      </c>
      <c r="N804" s="0" t="n">
        <f aca="false">INDEX(Summary!$J$2:$J$201,MATCH($B804,Summary!$A$2:$A$201,0))</f>
        <v>4</v>
      </c>
      <c r="O804" s="2" t="n">
        <f aca="false">INDEX(Summary!$K$2:$K$201,MATCH($B804,Summary!$A$2:$A$201,0))</f>
        <v>8.92</v>
      </c>
      <c r="P804" s="3" t="n">
        <f aca="false">INDEX(Summary!$L$2:$L$201,MATCH($B804,Summary!$A$2:$A$201,0))</f>
        <v>3</v>
      </c>
      <c r="Q804" s="3" t="n">
        <f aca="false">INDEX(Summary!$M$2:$M$201,MATCH($B804,Summary!$A$2:$A$201,0))</f>
        <v>3</v>
      </c>
      <c r="R804" s="2" t="n">
        <f aca="false">INDEX(Summary!$N$2:$N$201,MATCH($B804,Summary!$A$2:$A$201,0))</f>
        <v>8.99</v>
      </c>
      <c r="S804" s="3" t="n">
        <f aca="false">INDEX(Summary!$O$2:$O$201,MATCH($B804,Summary!$A$2:$A$201,0))</f>
        <v>7</v>
      </c>
      <c r="T804" s="3" t="n">
        <f aca="false">INDEX(Summary!$P$2:$P$201,MATCH($B804,Summary!$A$2:$A$201,0))</f>
        <v>2</v>
      </c>
      <c r="U804" s="2" t="n">
        <f aca="false">INDEX(Summary!$Q$2:$Q$201,MATCH($B804,Summary!$A$2:$A$201,0))</f>
        <v>12.31</v>
      </c>
      <c r="V804" s="2" t="n">
        <f aca="false">INDEX(Summary!$R$2:$R$201,MATCH($B804,Summary!$A$2:$A$201,0))</f>
        <v>20.34</v>
      </c>
      <c r="W804" s="0" t="str">
        <f aca="false">INDEX(Summary!$S$2:$S$201,MATCH($B804,Summary!$A$2:$A$201,0))</f>
        <v>Bronze</v>
      </c>
      <c r="X804" s="2" t="n">
        <f aca="false">INDEX(Summary!$T$2:$T$201,MATCH($B804,Summary!$A$2:$A$201,0))</f>
        <v>49.61</v>
      </c>
      <c r="Y804" s="0" t="str">
        <f aca="false">INDEX('Reward Model'!$E$18:$E$37,MATCH($E804,'Reward Model'!$A$18:$A$37,0))</f>
        <v>Medium</v>
      </c>
      <c r="Z804" s="4" t="n">
        <f aca="false">ROUND(MIN(1,MAX('Reward Model'!$B$2,INDEX('Reward Model'!$C$12:$C$14,MATCH($K804,'Reward Model'!$A$12:$A$14,0))/$J804)),3)</f>
        <v>0.758</v>
      </c>
      <c r="AA804" s="2" t="n">
        <f aca="false">IF($I804="Correct",ROUND(INDEX('Reward Model'!$B$12:$B$14,MATCH($K804,'Reward Model'!$A$12:$A$14,0))*Z804,2),0)</f>
        <v>0.76</v>
      </c>
      <c r="AB804" s="2" t="n">
        <f aca="false">IF($I804="Correct",ROUND(INDEX('Reward Model'!$B$12:$B$14,MATCH($Y804,'Reward Model'!$A$12:$A$14,0))*Z804,2),0)</f>
        <v>1.52</v>
      </c>
    </row>
    <row r="805" customFormat="false" ht="15" hidden="false" customHeight="false" outlineLevel="0" collapsed="false">
      <c r="A805" s="0" t="s">
        <v>209</v>
      </c>
      <c r="B805" s="0" t="s">
        <v>210</v>
      </c>
      <c r="C805" s="0" t="s">
        <v>30</v>
      </c>
      <c r="D805" s="0" t="s">
        <v>189</v>
      </c>
      <c r="E805" s="0" t="n">
        <v>4</v>
      </c>
      <c r="F805" s="0" t="s">
        <v>43</v>
      </c>
      <c r="G805" s="0" t="s">
        <v>45</v>
      </c>
      <c r="H805" s="0" t="s">
        <v>45</v>
      </c>
      <c r="I805" s="0" t="s">
        <v>34</v>
      </c>
      <c r="J805" s="0" t="n">
        <v>1.38</v>
      </c>
      <c r="K805" s="0" t="s">
        <v>35</v>
      </c>
      <c r="L805" s="0" t="n">
        <f aca="false">INDEX(Summary!$F$2:$F$201,MATCH($B805,Summary!$A$2:$A$201,0))</f>
        <v>20</v>
      </c>
      <c r="M805" s="0" t="n">
        <f aca="false">INDEX(Summary!$I$2:$I$201,MATCH($B805,Summary!$A$2:$A$201,0))</f>
        <v>1</v>
      </c>
      <c r="N805" s="0" t="n">
        <f aca="false">INDEX(Summary!$J$2:$J$201,MATCH($B805,Summary!$A$2:$A$201,0))</f>
        <v>4</v>
      </c>
      <c r="O805" s="2" t="n">
        <f aca="false">INDEX(Summary!$K$2:$K$201,MATCH($B805,Summary!$A$2:$A$201,0))</f>
        <v>8.92</v>
      </c>
      <c r="P805" s="3" t="n">
        <f aca="false">INDEX(Summary!$L$2:$L$201,MATCH($B805,Summary!$A$2:$A$201,0))</f>
        <v>3</v>
      </c>
      <c r="Q805" s="3" t="n">
        <f aca="false">INDEX(Summary!$M$2:$M$201,MATCH($B805,Summary!$A$2:$A$201,0))</f>
        <v>3</v>
      </c>
      <c r="R805" s="2" t="n">
        <f aca="false">INDEX(Summary!$N$2:$N$201,MATCH($B805,Summary!$A$2:$A$201,0))</f>
        <v>8.99</v>
      </c>
      <c r="S805" s="3" t="n">
        <f aca="false">INDEX(Summary!$O$2:$O$201,MATCH($B805,Summary!$A$2:$A$201,0))</f>
        <v>7</v>
      </c>
      <c r="T805" s="3" t="n">
        <f aca="false">INDEX(Summary!$P$2:$P$201,MATCH($B805,Summary!$A$2:$A$201,0))</f>
        <v>2</v>
      </c>
      <c r="U805" s="2" t="n">
        <f aca="false">INDEX(Summary!$Q$2:$Q$201,MATCH($B805,Summary!$A$2:$A$201,0))</f>
        <v>12.31</v>
      </c>
      <c r="V805" s="2" t="n">
        <f aca="false">INDEX(Summary!$R$2:$R$201,MATCH($B805,Summary!$A$2:$A$201,0))</f>
        <v>20.34</v>
      </c>
      <c r="W805" s="0" t="str">
        <f aca="false">INDEX(Summary!$S$2:$S$201,MATCH($B805,Summary!$A$2:$A$201,0))</f>
        <v>Bronze</v>
      </c>
      <c r="X805" s="2" t="n">
        <f aca="false">INDEX(Summary!$T$2:$T$201,MATCH($B805,Summary!$A$2:$A$201,0))</f>
        <v>49.61</v>
      </c>
      <c r="Y805" s="0" t="str">
        <f aca="false">INDEX('Reward Model'!$E$18:$E$37,MATCH($E805,'Reward Model'!$A$18:$A$37,0))</f>
        <v>Low</v>
      </c>
      <c r="Z805" s="4" t="n">
        <f aca="false">ROUND(MIN(1,MAX('Reward Model'!$B$2,INDEX('Reward Model'!$C$12:$C$14,MATCH($K805,'Reward Model'!$A$12:$A$14,0))/$J805)),3)</f>
        <v>1</v>
      </c>
      <c r="AA805" s="2" t="n">
        <f aca="false">IF($I805="Correct",ROUND(INDEX('Reward Model'!$B$12:$B$14,MATCH($K805,'Reward Model'!$A$12:$A$14,0))*Z805,2),0)</f>
        <v>1</v>
      </c>
      <c r="AB805" s="2" t="n">
        <f aca="false">IF($I805="Correct",ROUND(INDEX('Reward Model'!$B$12:$B$14,MATCH($Y805,'Reward Model'!$A$12:$A$14,0))*Z805,2),0)</f>
        <v>1</v>
      </c>
    </row>
    <row r="806" customFormat="false" ht="15" hidden="false" customHeight="false" outlineLevel="0" collapsed="false">
      <c r="A806" s="0" t="s">
        <v>209</v>
      </c>
      <c r="B806" s="0" t="s">
        <v>210</v>
      </c>
      <c r="C806" s="0" t="s">
        <v>30</v>
      </c>
      <c r="D806" s="0" t="s">
        <v>189</v>
      </c>
      <c r="E806" s="0" t="n">
        <v>5</v>
      </c>
      <c r="F806" s="0" t="s">
        <v>46</v>
      </c>
      <c r="G806" s="0" t="s">
        <v>149</v>
      </c>
      <c r="H806" s="0" t="s">
        <v>47</v>
      </c>
      <c r="I806" s="0" t="s">
        <v>39</v>
      </c>
      <c r="J806" s="0" t="n">
        <v>1.78</v>
      </c>
      <c r="K806" s="0" t="s">
        <v>35</v>
      </c>
      <c r="L806" s="0" t="n">
        <f aca="false">INDEX(Summary!$F$2:$F$201,MATCH($B806,Summary!$A$2:$A$201,0))</f>
        <v>20</v>
      </c>
      <c r="M806" s="0" t="n">
        <f aca="false">INDEX(Summary!$I$2:$I$201,MATCH($B806,Summary!$A$2:$A$201,0))</f>
        <v>1</v>
      </c>
      <c r="N806" s="0" t="n">
        <f aca="false">INDEX(Summary!$J$2:$J$201,MATCH($B806,Summary!$A$2:$A$201,0))</f>
        <v>4</v>
      </c>
      <c r="O806" s="2" t="n">
        <f aca="false">INDEX(Summary!$K$2:$K$201,MATCH($B806,Summary!$A$2:$A$201,0))</f>
        <v>8.92</v>
      </c>
      <c r="P806" s="3" t="n">
        <f aca="false">INDEX(Summary!$L$2:$L$201,MATCH($B806,Summary!$A$2:$A$201,0))</f>
        <v>3</v>
      </c>
      <c r="Q806" s="3" t="n">
        <f aca="false">INDEX(Summary!$M$2:$M$201,MATCH($B806,Summary!$A$2:$A$201,0))</f>
        <v>3</v>
      </c>
      <c r="R806" s="2" t="n">
        <f aca="false">INDEX(Summary!$N$2:$N$201,MATCH($B806,Summary!$A$2:$A$201,0))</f>
        <v>8.99</v>
      </c>
      <c r="S806" s="3" t="n">
        <f aca="false">INDEX(Summary!$O$2:$O$201,MATCH($B806,Summary!$A$2:$A$201,0))</f>
        <v>7</v>
      </c>
      <c r="T806" s="3" t="n">
        <f aca="false">INDEX(Summary!$P$2:$P$201,MATCH($B806,Summary!$A$2:$A$201,0))</f>
        <v>2</v>
      </c>
      <c r="U806" s="2" t="n">
        <f aca="false">INDEX(Summary!$Q$2:$Q$201,MATCH($B806,Summary!$A$2:$A$201,0))</f>
        <v>12.31</v>
      </c>
      <c r="V806" s="2" t="n">
        <f aca="false">INDEX(Summary!$R$2:$R$201,MATCH($B806,Summary!$A$2:$A$201,0))</f>
        <v>20.34</v>
      </c>
      <c r="W806" s="0" t="str">
        <f aca="false">INDEX(Summary!$S$2:$S$201,MATCH($B806,Summary!$A$2:$A$201,0))</f>
        <v>Bronze</v>
      </c>
      <c r="X806" s="2" t="n">
        <f aca="false">INDEX(Summary!$T$2:$T$201,MATCH($B806,Summary!$A$2:$A$201,0))</f>
        <v>49.61</v>
      </c>
      <c r="Y806" s="0" t="str">
        <f aca="false">INDEX('Reward Model'!$E$18:$E$37,MATCH($E806,'Reward Model'!$A$18:$A$37,0))</f>
        <v>Low</v>
      </c>
      <c r="Z806" s="4" t="n">
        <f aca="false">ROUND(MIN(1,MAX('Reward Model'!$B$2,INDEX('Reward Model'!$C$12:$C$14,MATCH($K806,'Reward Model'!$A$12:$A$14,0))/$J806)),3)</f>
        <v>0.843</v>
      </c>
      <c r="AA806" s="2" t="n">
        <f aca="false">IF($I806="Correct",ROUND(INDEX('Reward Model'!$B$12:$B$14,MATCH($K806,'Reward Model'!$A$12:$A$14,0))*Z806,2),0)</f>
        <v>0</v>
      </c>
      <c r="AB806" s="2" t="n">
        <f aca="false">IF($I806="Correct",ROUND(INDEX('Reward Model'!$B$12:$B$14,MATCH($Y806,'Reward Model'!$A$12:$A$14,0))*Z806,2),0)</f>
        <v>0</v>
      </c>
    </row>
    <row r="807" customFormat="false" ht="15" hidden="false" customHeight="false" outlineLevel="0" collapsed="false">
      <c r="A807" s="0" t="s">
        <v>209</v>
      </c>
      <c r="B807" s="0" t="s">
        <v>210</v>
      </c>
      <c r="C807" s="0" t="s">
        <v>30</v>
      </c>
      <c r="D807" s="0" t="s">
        <v>189</v>
      </c>
      <c r="E807" s="0" t="n">
        <v>6</v>
      </c>
      <c r="F807" s="0" t="s">
        <v>48</v>
      </c>
      <c r="G807" s="0" t="s">
        <v>49</v>
      </c>
      <c r="H807" s="0" t="s">
        <v>49</v>
      </c>
      <c r="I807" s="0" t="s">
        <v>34</v>
      </c>
      <c r="J807" s="0" t="n">
        <v>1.36</v>
      </c>
      <c r="K807" s="0" t="s">
        <v>35</v>
      </c>
      <c r="L807" s="0" t="n">
        <f aca="false">INDEX(Summary!$F$2:$F$201,MATCH($B807,Summary!$A$2:$A$201,0))</f>
        <v>20</v>
      </c>
      <c r="M807" s="0" t="n">
        <f aca="false">INDEX(Summary!$I$2:$I$201,MATCH($B807,Summary!$A$2:$A$201,0))</f>
        <v>1</v>
      </c>
      <c r="N807" s="0" t="n">
        <f aca="false">INDEX(Summary!$J$2:$J$201,MATCH($B807,Summary!$A$2:$A$201,0))</f>
        <v>4</v>
      </c>
      <c r="O807" s="2" t="n">
        <f aca="false">INDEX(Summary!$K$2:$K$201,MATCH($B807,Summary!$A$2:$A$201,0))</f>
        <v>8.92</v>
      </c>
      <c r="P807" s="3" t="n">
        <f aca="false">INDEX(Summary!$L$2:$L$201,MATCH($B807,Summary!$A$2:$A$201,0))</f>
        <v>3</v>
      </c>
      <c r="Q807" s="3" t="n">
        <f aca="false">INDEX(Summary!$M$2:$M$201,MATCH($B807,Summary!$A$2:$A$201,0))</f>
        <v>3</v>
      </c>
      <c r="R807" s="2" t="n">
        <f aca="false">INDEX(Summary!$N$2:$N$201,MATCH($B807,Summary!$A$2:$A$201,0))</f>
        <v>8.99</v>
      </c>
      <c r="S807" s="3" t="n">
        <f aca="false">INDEX(Summary!$O$2:$O$201,MATCH($B807,Summary!$A$2:$A$201,0))</f>
        <v>7</v>
      </c>
      <c r="T807" s="3" t="n">
        <f aca="false">INDEX(Summary!$P$2:$P$201,MATCH($B807,Summary!$A$2:$A$201,0))</f>
        <v>2</v>
      </c>
      <c r="U807" s="2" t="n">
        <f aca="false">INDEX(Summary!$Q$2:$Q$201,MATCH($B807,Summary!$A$2:$A$201,0))</f>
        <v>12.31</v>
      </c>
      <c r="V807" s="2" t="n">
        <f aca="false">INDEX(Summary!$R$2:$R$201,MATCH($B807,Summary!$A$2:$A$201,0))</f>
        <v>20.34</v>
      </c>
      <c r="W807" s="0" t="str">
        <f aca="false">INDEX(Summary!$S$2:$S$201,MATCH($B807,Summary!$A$2:$A$201,0))</f>
        <v>Bronze</v>
      </c>
      <c r="X807" s="2" t="n">
        <f aca="false">INDEX(Summary!$T$2:$T$201,MATCH($B807,Summary!$A$2:$A$201,0))</f>
        <v>49.61</v>
      </c>
      <c r="Y807" s="0" t="str">
        <f aca="false">INDEX('Reward Model'!$E$18:$E$37,MATCH($E807,'Reward Model'!$A$18:$A$37,0))</f>
        <v>Medium</v>
      </c>
      <c r="Z807" s="4" t="n">
        <f aca="false">ROUND(MIN(1,MAX('Reward Model'!$B$2,INDEX('Reward Model'!$C$12:$C$14,MATCH($K807,'Reward Model'!$A$12:$A$14,0))/$J807)),3)</f>
        <v>1</v>
      </c>
      <c r="AA807" s="2" t="n">
        <f aca="false">IF($I807="Correct",ROUND(INDEX('Reward Model'!$B$12:$B$14,MATCH($K807,'Reward Model'!$A$12:$A$14,0))*Z807,2),0)</f>
        <v>1</v>
      </c>
      <c r="AB807" s="2" t="n">
        <f aca="false">IF($I807="Correct",ROUND(INDEX('Reward Model'!$B$12:$B$14,MATCH($Y807,'Reward Model'!$A$12:$A$14,0))*Z807,2),0)</f>
        <v>2</v>
      </c>
    </row>
    <row r="808" customFormat="false" ht="15" hidden="false" customHeight="false" outlineLevel="0" collapsed="false">
      <c r="A808" s="0" t="s">
        <v>209</v>
      </c>
      <c r="B808" s="0" t="s">
        <v>210</v>
      </c>
      <c r="C808" s="0" t="s">
        <v>30</v>
      </c>
      <c r="D808" s="0" t="s">
        <v>189</v>
      </c>
      <c r="E808" s="0" t="n">
        <v>7</v>
      </c>
      <c r="F808" s="0" t="s">
        <v>50</v>
      </c>
      <c r="G808" s="0" t="s">
        <v>51</v>
      </c>
      <c r="H808" s="0" t="s">
        <v>51</v>
      </c>
      <c r="I808" s="0" t="s">
        <v>34</v>
      </c>
      <c r="J808" s="0" t="n">
        <v>1.14</v>
      </c>
      <c r="K808" s="0" t="s">
        <v>35</v>
      </c>
      <c r="L808" s="0" t="n">
        <f aca="false">INDEX(Summary!$F$2:$F$201,MATCH($B808,Summary!$A$2:$A$201,0))</f>
        <v>20</v>
      </c>
      <c r="M808" s="0" t="n">
        <f aca="false">INDEX(Summary!$I$2:$I$201,MATCH($B808,Summary!$A$2:$A$201,0))</f>
        <v>1</v>
      </c>
      <c r="N808" s="0" t="n">
        <f aca="false">INDEX(Summary!$J$2:$J$201,MATCH($B808,Summary!$A$2:$A$201,0))</f>
        <v>4</v>
      </c>
      <c r="O808" s="2" t="n">
        <f aca="false">INDEX(Summary!$K$2:$K$201,MATCH($B808,Summary!$A$2:$A$201,0))</f>
        <v>8.92</v>
      </c>
      <c r="P808" s="3" t="n">
        <f aca="false">INDEX(Summary!$L$2:$L$201,MATCH($B808,Summary!$A$2:$A$201,0))</f>
        <v>3</v>
      </c>
      <c r="Q808" s="3" t="n">
        <f aca="false">INDEX(Summary!$M$2:$M$201,MATCH($B808,Summary!$A$2:$A$201,0))</f>
        <v>3</v>
      </c>
      <c r="R808" s="2" t="n">
        <f aca="false">INDEX(Summary!$N$2:$N$201,MATCH($B808,Summary!$A$2:$A$201,0))</f>
        <v>8.99</v>
      </c>
      <c r="S808" s="3" t="n">
        <f aca="false">INDEX(Summary!$O$2:$O$201,MATCH($B808,Summary!$A$2:$A$201,0))</f>
        <v>7</v>
      </c>
      <c r="T808" s="3" t="n">
        <f aca="false">INDEX(Summary!$P$2:$P$201,MATCH($B808,Summary!$A$2:$A$201,0))</f>
        <v>2</v>
      </c>
      <c r="U808" s="2" t="n">
        <f aca="false">INDEX(Summary!$Q$2:$Q$201,MATCH($B808,Summary!$A$2:$A$201,0))</f>
        <v>12.31</v>
      </c>
      <c r="V808" s="2" t="n">
        <f aca="false">INDEX(Summary!$R$2:$R$201,MATCH($B808,Summary!$A$2:$A$201,0))</f>
        <v>20.34</v>
      </c>
      <c r="W808" s="0" t="str">
        <f aca="false">INDEX(Summary!$S$2:$S$201,MATCH($B808,Summary!$A$2:$A$201,0))</f>
        <v>Bronze</v>
      </c>
      <c r="X808" s="2" t="n">
        <f aca="false">INDEX(Summary!$T$2:$T$201,MATCH($B808,Summary!$A$2:$A$201,0))</f>
        <v>49.61</v>
      </c>
      <c r="Y808" s="0" t="str">
        <f aca="false">INDEX('Reward Model'!$E$18:$E$37,MATCH($E808,'Reward Model'!$A$18:$A$37,0))</f>
        <v>Low</v>
      </c>
      <c r="Z808" s="4" t="n">
        <f aca="false">ROUND(MIN(1,MAX('Reward Model'!$B$2,INDEX('Reward Model'!$C$12:$C$14,MATCH($K808,'Reward Model'!$A$12:$A$14,0))/$J808)),3)</f>
        <v>1</v>
      </c>
      <c r="AA808" s="2" t="n">
        <f aca="false">IF($I808="Correct",ROUND(INDEX('Reward Model'!$B$12:$B$14,MATCH($K808,'Reward Model'!$A$12:$A$14,0))*Z808,2),0)</f>
        <v>1</v>
      </c>
      <c r="AB808" s="2" t="n">
        <f aca="false">IF($I808="Correct",ROUND(INDEX('Reward Model'!$B$12:$B$14,MATCH($Y808,'Reward Model'!$A$12:$A$14,0))*Z808,2),0)</f>
        <v>1</v>
      </c>
    </row>
    <row r="809" customFormat="false" ht="15" hidden="false" customHeight="false" outlineLevel="0" collapsed="false">
      <c r="A809" s="0" t="s">
        <v>209</v>
      </c>
      <c r="B809" s="0" t="s">
        <v>210</v>
      </c>
      <c r="C809" s="0" t="s">
        <v>30</v>
      </c>
      <c r="D809" s="0" t="s">
        <v>189</v>
      </c>
      <c r="E809" s="0" t="n">
        <v>8</v>
      </c>
      <c r="F809" s="0" t="s">
        <v>52</v>
      </c>
      <c r="G809" s="0" t="s">
        <v>54</v>
      </c>
      <c r="H809" s="0" t="s">
        <v>54</v>
      </c>
      <c r="I809" s="0" t="s">
        <v>34</v>
      </c>
      <c r="J809" s="0" t="n">
        <v>0.93</v>
      </c>
      <c r="K809" s="0" t="s">
        <v>35</v>
      </c>
      <c r="L809" s="0" t="n">
        <f aca="false">INDEX(Summary!$F$2:$F$201,MATCH($B809,Summary!$A$2:$A$201,0))</f>
        <v>20</v>
      </c>
      <c r="M809" s="0" t="n">
        <f aca="false">INDEX(Summary!$I$2:$I$201,MATCH($B809,Summary!$A$2:$A$201,0))</f>
        <v>1</v>
      </c>
      <c r="N809" s="0" t="n">
        <f aca="false">INDEX(Summary!$J$2:$J$201,MATCH($B809,Summary!$A$2:$A$201,0))</f>
        <v>4</v>
      </c>
      <c r="O809" s="2" t="n">
        <f aca="false">INDEX(Summary!$K$2:$K$201,MATCH($B809,Summary!$A$2:$A$201,0))</f>
        <v>8.92</v>
      </c>
      <c r="P809" s="3" t="n">
        <f aca="false">INDEX(Summary!$L$2:$L$201,MATCH($B809,Summary!$A$2:$A$201,0))</f>
        <v>3</v>
      </c>
      <c r="Q809" s="3" t="n">
        <f aca="false">INDEX(Summary!$M$2:$M$201,MATCH($B809,Summary!$A$2:$A$201,0))</f>
        <v>3</v>
      </c>
      <c r="R809" s="2" t="n">
        <f aca="false">INDEX(Summary!$N$2:$N$201,MATCH($B809,Summary!$A$2:$A$201,0))</f>
        <v>8.99</v>
      </c>
      <c r="S809" s="3" t="n">
        <f aca="false">INDEX(Summary!$O$2:$O$201,MATCH($B809,Summary!$A$2:$A$201,0))</f>
        <v>7</v>
      </c>
      <c r="T809" s="3" t="n">
        <f aca="false">INDEX(Summary!$P$2:$P$201,MATCH($B809,Summary!$A$2:$A$201,0))</f>
        <v>2</v>
      </c>
      <c r="U809" s="2" t="n">
        <f aca="false">INDEX(Summary!$Q$2:$Q$201,MATCH($B809,Summary!$A$2:$A$201,0))</f>
        <v>12.31</v>
      </c>
      <c r="V809" s="2" t="n">
        <f aca="false">INDEX(Summary!$R$2:$R$201,MATCH($B809,Summary!$A$2:$A$201,0))</f>
        <v>20.34</v>
      </c>
      <c r="W809" s="0" t="str">
        <f aca="false">INDEX(Summary!$S$2:$S$201,MATCH($B809,Summary!$A$2:$A$201,0))</f>
        <v>Bronze</v>
      </c>
      <c r="X809" s="2" t="n">
        <f aca="false">INDEX(Summary!$T$2:$T$201,MATCH($B809,Summary!$A$2:$A$201,0))</f>
        <v>49.61</v>
      </c>
      <c r="Y809" s="0" t="str">
        <f aca="false">INDEX('Reward Model'!$E$18:$E$37,MATCH($E809,'Reward Model'!$A$18:$A$37,0))</f>
        <v>Medium</v>
      </c>
      <c r="Z809" s="4" t="n">
        <f aca="false">ROUND(MIN(1,MAX('Reward Model'!$B$2,INDEX('Reward Model'!$C$12:$C$14,MATCH($K809,'Reward Model'!$A$12:$A$14,0))/$J809)),3)</f>
        <v>1</v>
      </c>
      <c r="AA809" s="2" t="n">
        <f aca="false">IF($I809="Correct",ROUND(INDEX('Reward Model'!$B$12:$B$14,MATCH($K809,'Reward Model'!$A$12:$A$14,0))*Z809,2),0)</f>
        <v>1</v>
      </c>
      <c r="AB809" s="2" t="n">
        <f aca="false">IF($I809="Correct",ROUND(INDEX('Reward Model'!$B$12:$B$14,MATCH($Y809,'Reward Model'!$A$12:$A$14,0))*Z809,2),0)</f>
        <v>2</v>
      </c>
    </row>
    <row r="810" customFormat="false" ht="15" hidden="false" customHeight="false" outlineLevel="0" collapsed="false">
      <c r="A810" s="0" t="s">
        <v>209</v>
      </c>
      <c r="B810" s="0" t="s">
        <v>210</v>
      </c>
      <c r="C810" s="0" t="s">
        <v>30</v>
      </c>
      <c r="D810" s="0" t="s">
        <v>189</v>
      </c>
      <c r="E810" s="0" t="n">
        <v>9</v>
      </c>
      <c r="F810" s="0" t="s">
        <v>55</v>
      </c>
      <c r="G810" s="0" t="s">
        <v>57</v>
      </c>
      <c r="H810" s="0" t="s">
        <v>57</v>
      </c>
      <c r="I810" s="0" t="s">
        <v>34</v>
      </c>
      <c r="J810" s="0" t="n">
        <v>1.28</v>
      </c>
      <c r="K810" s="0" t="s">
        <v>35</v>
      </c>
      <c r="L810" s="0" t="n">
        <f aca="false">INDEX(Summary!$F$2:$F$201,MATCH($B810,Summary!$A$2:$A$201,0))</f>
        <v>20</v>
      </c>
      <c r="M810" s="0" t="n">
        <f aca="false">INDEX(Summary!$I$2:$I$201,MATCH($B810,Summary!$A$2:$A$201,0))</f>
        <v>1</v>
      </c>
      <c r="N810" s="0" t="n">
        <f aca="false">INDEX(Summary!$J$2:$J$201,MATCH($B810,Summary!$A$2:$A$201,0))</f>
        <v>4</v>
      </c>
      <c r="O810" s="2" t="n">
        <f aca="false">INDEX(Summary!$K$2:$K$201,MATCH($B810,Summary!$A$2:$A$201,0))</f>
        <v>8.92</v>
      </c>
      <c r="P810" s="3" t="n">
        <f aca="false">INDEX(Summary!$L$2:$L$201,MATCH($B810,Summary!$A$2:$A$201,0))</f>
        <v>3</v>
      </c>
      <c r="Q810" s="3" t="n">
        <f aca="false">INDEX(Summary!$M$2:$M$201,MATCH($B810,Summary!$A$2:$A$201,0))</f>
        <v>3</v>
      </c>
      <c r="R810" s="2" t="n">
        <f aca="false">INDEX(Summary!$N$2:$N$201,MATCH($B810,Summary!$A$2:$A$201,0))</f>
        <v>8.99</v>
      </c>
      <c r="S810" s="3" t="n">
        <f aca="false">INDEX(Summary!$O$2:$O$201,MATCH($B810,Summary!$A$2:$A$201,0))</f>
        <v>7</v>
      </c>
      <c r="T810" s="3" t="n">
        <f aca="false">INDEX(Summary!$P$2:$P$201,MATCH($B810,Summary!$A$2:$A$201,0))</f>
        <v>2</v>
      </c>
      <c r="U810" s="2" t="n">
        <f aca="false">INDEX(Summary!$Q$2:$Q$201,MATCH($B810,Summary!$A$2:$A$201,0))</f>
        <v>12.31</v>
      </c>
      <c r="V810" s="2" t="n">
        <f aca="false">INDEX(Summary!$R$2:$R$201,MATCH($B810,Summary!$A$2:$A$201,0))</f>
        <v>20.34</v>
      </c>
      <c r="W810" s="0" t="str">
        <f aca="false">INDEX(Summary!$S$2:$S$201,MATCH($B810,Summary!$A$2:$A$201,0))</f>
        <v>Bronze</v>
      </c>
      <c r="X810" s="2" t="n">
        <f aca="false">INDEX(Summary!$T$2:$T$201,MATCH($B810,Summary!$A$2:$A$201,0))</f>
        <v>49.61</v>
      </c>
      <c r="Y810" s="0" t="str">
        <f aca="false">INDEX('Reward Model'!$E$18:$E$37,MATCH($E810,'Reward Model'!$A$18:$A$37,0))</f>
        <v>Medium</v>
      </c>
      <c r="Z810" s="4" t="n">
        <f aca="false">ROUND(MIN(1,MAX('Reward Model'!$B$2,INDEX('Reward Model'!$C$12:$C$14,MATCH($K810,'Reward Model'!$A$12:$A$14,0))/$J810)),3)</f>
        <v>1</v>
      </c>
      <c r="AA810" s="2" t="n">
        <f aca="false">IF($I810="Correct",ROUND(INDEX('Reward Model'!$B$12:$B$14,MATCH($K810,'Reward Model'!$A$12:$A$14,0))*Z810,2),0)</f>
        <v>1</v>
      </c>
      <c r="AB810" s="2" t="n">
        <f aca="false">IF($I810="Correct",ROUND(INDEX('Reward Model'!$B$12:$B$14,MATCH($Y810,'Reward Model'!$A$12:$A$14,0))*Z810,2),0)</f>
        <v>2</v>
      </c>
    </row>
    <row r="811" customFormat="false" ht="15" hidden="false" customHeight="false" outlineLevel="0" collapsed="false">
      <c r="A811" s="0" t="s">
        <v>209</v>
      </c>
      <c r="B811" s="0" t="s">
        <v>210</v>
      </c>
      <c r="C811" s="0" t="s">
        <v>30</v>
      </c>
      <c r="D811" s="0" t="s">
        <v>189</v>
      </c>
      <c r="E811" s="0" t="n">
        <v>10</v>
      </c>
      <c r="F811" s="0" t="s">
        <v>58</v>
      </c>
      <c r="G811" s="0" t="s">
        <v>59</v>
      </c>
      <c r="H811" s="0" t="s">
        <v>59</v>
      </c>
      <c r="I811" s="0" t="s">
        <v>34</v>
      </c>
      <c r="J811" s="0" t="n">
        <v>1.2</v>
      </c>
      <c r="K811" s="0" t="s">
        <v>60</v>
      </c>
      <c r="L811" s="0" t="n">
        <f aca="false">INDEX(Summary!$F$2:$F$201,MATCH($B811,Summary!$A$2:$A$201,0))</f>
        <v>20</v>
      </c>
      <c r="M811" s="0" t="n">
        <f aca="false">INDEX(Summary!$I$2:$I$201,MATCH($B811,Summary!$A$2:$A$201,0))</f>
        <v>1</v>
      </c>
      <c r="N811" s="0" t="n">
        <f aca="false">INDEX(Summary!$J$2:$J$201,MATCH($B811,Summary!$A$2:$A$201,0))</f>
        <v>4</v>
      </c>
      <c r="O811" s="2" t="n">
        <f aca="false">INDEX(Summary!$K$2:$K$201,MATCH($B811,Summary!$A$2:$A$201,0))</f>
        <v>8.92</v>
      </c>
      <c r="P811" s="3" t="n">
        <f aca="false">INDEX(Summary!$L$2:$L$201,MATCH($B811,Summary!$A$2:$A$201,0))</f>
        <v>3</v>
      </c>
      <c r="Q811" s="3" t="n">
        <f aca="false">INDEX(Summary!$M$2:$M$201,MATCH($B811,Summary!$A$2:$A$201,0))</f>
        <v>3</v>
      </c>
      <c r="R811" s="2" t="n">
        <f aca="false">INDEX(Summary!$N$2:$N$201,MATCH($B811,Summary!$A$2:$A$201,0))</f>
        <v>8.99</v>
      </c>
      <c r="S811" s="3" t="n">
        <f aca="false">INDEX(Summary!$O$2:$O$201,MATCH($B811,Summary!$A$2:$A$201,0))</f>
        <v>7</v>
      </c>
      <c r="T811" s="3" t="n">
        <f aca="false">INDEX(Summary!$P$2:$P$201,MATCH($B811,Summary!$A$2:$A$201,0))</f>
        <v>2</v>
      </c>
      <c r="U811" s="2" t="n">
        <f aca="false">INDEX(Summary!$Q$2:$Q$201,MATCH($B811,Summary!$A$2:$A$201,0))</f>
        <v>12.31</v>
      </c>
      <c r="V811" s="2" t="n">
        <f aca="false">INDEX(Summary!$R$2:$R$201,MATCH($B811,Summary!$A$2:$A$201,0))</f>
        <v>20.34</v>
      </c>
      <c r="W811" s="0" t="str">
        <f aca="false">INDEX(Summary!$S$2:$S$201,MATCH($B811,Summary!$A$2:$A$201,0))</f>
        <v>Bronze</v>
      </c>
      <c r="X811" s="2" t="n">
        <f aca="false">INDEX(Summary!$T$2:$T$201,MATCH($B811,Summary!$A$2:$A$201,0))</f>
        <v>49.61</v>
      </c>
      <c r="Y811" s="0" t="str">
        <f aca="false">INDEX('Reward Model'!$E$18:$E$37,MATCH($E811,'Reward Model'!$A$18:$A$37,0))</f>
        <v>Medium</v>
      </c>
      <c r="Z811" s="4" t="n">
        <f aca="false">ROUND(MIN(1,MAX('Reward Model'!$B$2,INDEX('Reward Model'!$C$12:$C$14,MATCH($K811,'Reward Model'!$A$12:$A$14,0))/$J811)),3)</f>
        <v>1</v>
      </c>
      <c r="AA811" s="2" t="n">
        <f aca="false">IF($I811="Correct",ROUND(INDEX('Reward Model'!$B$12:$B$14,MATCH($K811,'Reward Model'!$A$12:$A$14,0))*Z811,2),0)</f>
        <v>2</v>
      </c>
      <c r="AB811" s="2" t="n">
        <f aca="false">IF($I811="Correct",ROUND(INDEX('Reward Model'!$B$12:$B$14,MATCH($Y811,'Reward Model'!$A$12:$A$14,0))*Z811,2),0)</f>
        <v>2</v>
      </c>
    </row>
    <row r="812" customFormat="false" ht="15" hidden="false" customHeight="false" outlineLevel="0" collapsed="false">
      <c r="A812" s="0" t="s">
        <v>209</v>
      </c>
      <c r="B812" s="0" t="s">
        <v>210</v>
      </c>
      <c r="C812" s="0" t="s">
        <v>30</v>
      </c>
      <c r="D812" s="0" t="s">
        <v>189</v>
      </c>
      <c r="E812" s="0" t="n">
        <v>11</v>
      </c>
      <c r="F812" s="0" t="s">
        <v>61</v>
      </c>
      <c r="G812" s="0" t="s">
        <v>150</v>
      </c>
      <c r="H812" s="0" t="s">
        <v>63</v>
      </c>
      <c r="I812" s="0" t="s">
        <v>39</v>
      </c>
      <c r="J812" s="0" t="n">
        <v>1.69</v>
      </c>
      <c r="K812" s="0" t="s">
        <v>60</v>
      </c>
      <c r="L812" s="0" t="n">
        <f aca="false">INDEX(Summary!$F$2:$F$201,MATCH($B812,Summary!$A$2:$A$201,0))</f>
        <v>20</v>
      </c>
      <c r="M812" s="0" t="n">
        <f aca="false">INDEX(Summary!$I$2:$I$201,MATCH($B812,Summary!$A$2:$A$201,0))</f>
        <v>1</v>
      </c>
      <c r="N812" s="0" t="n">
        <f aca="false">INDEX(Summary!$J$2:$J$201,MATCH($B812,Summary!$A$2:$A$201,0))</f>
        <v>4</v>
      </c>
      <c r="O812" s="2" t="n">
        <f aca="false">INDEX(Summary!$K$2:$K$201,MATCH($B812,Summary!$A$2:$A$201,0))</f>
        <v>8.92</v>
      </c>
      <c r="P812" s="3" t="n">
        <f aca="false">INDEX(Summary!$L$2:$L$201,MATCH($B812,Summary!$A$2:$A$201,0))</f>
        <v>3</v>
      </c>
      <c r="Q812" s="3" t="n">
        <f aca="false">INDEX(Summary!$M$2:$M$201,MATCH($B812,Summary!$A$2:$A$201,0))</f>
        <v>3</v>
      </c>
      <c r="R812" s="2" t="n">
        <f aca="false">INDEX(Summary!$N$2:$N$201,MATCH($B812,Summary!$A$2:$A$201,0))</f>
        <v>8.99</v>
      </c>
      <c r="S812" s="3" t="n">
        <f aca="false">INDEX(Summary!$O$2:$O$201,MATCH($B812,Summary!$A$2:$A$201,0))</f>
        <v>7</v>
      </c>
      <c r="T812" s="3" t="n">
        <f aca="false">INDEX(Summary!$P$2:$P$201,MATCH($B812,Summary!$A$2:$A$201,0))</f>
        <v>2</v>
      </c>
      <c r="U812" s="2" t="n">
        <f aca="false">INDEX(Summary!$Q$2:$Q$201,MATCH($B812,Summary!$A$2:$A$201,0))</f>
        <v>12.31</v>
      </c>
      <c r="V812" s="2" t="n">
        <f aca="false">INDEX(Summary!$R$2:$R$201,MATCH($B812,Summary!$A$2:$A$201,0))</f>
        <v>20.34</v>
      </c>
      <c r="W812" s="0" t="str">
        <f aca="false">INDEX(Summary!$S$2:$S$201,MATCH($B812,Summary!$A$2:$A$201,0))</f>
        <v>Bronze</v>
      </c>
      <c r="X812" s="2" t="n">
        <f aca="false">INDEX(Summary!$T$2:$T$201,MATCH($B812,Summary!$A$2:$A$201,0))</f>
        <v>49.61</v>
      </c>
      <c r="Y812" s="0" t="str">
        <f aca="false">INDEX('Reward Model'!$E$18:$E$37,MATCH($E812,'Reward Model'!$A$18:$A$37,0))</f>
        <v>Medium</v>
      </c>
      <c r="Z812" s="4" t="n">
        <f aca="false">ROUND(MIN(1,MAX('Reward Model'!$B$2,INDEX('Reward Model'!$C$12:$C$14,MATCH($K812,'Reward Model'!$A$12:$A$14,0))/$J812)),3)</f>
        <v>1</v>
      </c>
      <c r="AA812" s="2" t="n">
        <f aca="false">IF($I812="Correct",ROUND(INDEX('Reward Model'!$B$12:$B$14,MATCH($K812,'Reward Model'!$A$12:$A$14,0))*Z812,2),0)</f>
        <v>0</v>
      </c>
      <c r="AB812" s="2" t="n">
        <f aca="false">IF($I812="Correct",ROUND(INDEX('Reward Model'!$B$12:$B$14,MATCH($Y812,'Reward Model'!$A$12:$A$14,0))*Z812,2),0)</f>
        <v>0</v>
      </c>
    </row>
    <row r="813" customFormat="false" ht="15" hidden="false" customHeight="false" outlineLevel="0" collapsed="false">
      <c r="A813" s="0" t="s">
        <v>209</v>
      </c>
      <c r="B813" s="0" t="s">
        <v>210</v>
      </c>
      <c r="C813" s="0" t="s">
        <v>30</v>
      </c>
      <c r="D813" s="0" t="s">
        <v>189</v>
      </c>
      <c r="E813" s="0" t="n">
        <v>12</v>
      </c>
      <c r="F813" s="0" t="s">
        <v>64</v>
      </c>
      <c r="G813" s="0" t="s">
        <v>127</v>
      </c>
      <c r="H813" s="0" t="s">
        <v>65</v>
      </c>
      <c r="I813" s="0" t="s">
        <v>39</v>
      </c>
      <c r="J813" s="0" t="n">
        <v>1.13</v>
      </c>
      <c r="K813" s="0" t="s">
        <v>60</v>
      </c>
      <c r="L813" s="0" t="n">
        <f aca="false">INDEX(Summary!$F$2:$F$201,MATCH($B813,Summary!$A$2:$A$201,0))</f>
        <v>20</v>
      </c>
      <c r="M813" s="0" t="n">
        <f aca="false">INDEX(Summary!$I$2:$I$201,MATCH($B813,Summary!$A$2:$A$201,0))</f>
        <v>1</v>
      </c>
      <c r="N813" s="0" t="n">
        <f aca="false">INDEX(Summary!$J$2:$J$201,MATCH($B813,Summary!$A$2:$A$201,0))</f>
        <v>4</v>
      </c>
      <c r="O813" s="2" t="n">
        <f aca="false">INDEX(Summary!$K$2:$K$201,MATCH($B813,Summary!$A$2:$A$201,0))</f>
        <v>8.92</v>
      </c>
      <c r="P813" s="3" t="n">
        <f aca="false">INDEX(Summary!$L$2:$L$201,MATCH($B813,Summary!$A$2:$A$201,0))</f>
        <v>3</v>
      </c>
      <c r="Q813" s="3" t="n">
        <f aca="false">INDEX(Summary!$M$2:$M$201,MATCH($B813,Summary!$A$2:$A$201,0))</f>
        <v>3</v>
      </c>
      <c r="R813" s="2" t="n">
        <f aca="false">INDEX(Summary!$N$2:$N$201,MATCH($B813,Summary!$A$2:$A$201,0))</f>
        <v>8.99</v>
      </c>
      <c r="S813" s="3" t="n">
        <f aca="false">INDEX(Summary!$O$2:$O$201,MATCH($B813,Summary!$A$2:$A$201,0))</f>
        <v>7</v>
      </c>
      <c r="T813" s="3" t="n">
        <f aca="false">INDEX(Summary!$P$2:$P$201,MATCH($B813,Summary!$A$2:$A$201,0))</f>
        <v>2</v>
      </c>
      <c r="U813" s="2" t="n">
        <f aca="false">INDEX(Summary!$Q$2:$Q$201,MATCH($B813,Summary!$A$2:$A$201,0))</f>
        <v>12.31</v>
      </c>
      <c r="V813" s="2" t="n">
        <f aca="false">INDEX(Summary!$R$2:$R$201,MATCH($B813,Summary!$A$2:$A$201,0))</f>
        <v>20.34</v>
      </c>
      <c r="W813" s="0" t="str">
        <f aca="false">INDEX(Summary!$S$2:$S$201,MATCH($B813,Summary!$A$2:$A$201,0))</f>
        <v>Bronze</v>
      </c>
      <c r="X813" s="2" t="n">
        <f aca="false">INDEX(Summary!$T$2:$T$201,MATCH($B813,Summary!$A$2:$A$201,0))</f>
        <v>49.61</v>
      </c>
      <c r="Y813" s="0" t="str">
        <f aca="false">INDEX('Reward Model'!$E$18:$E$37,MATCH($E813,'Reward Model'!$A$18:$A$37,0))</f>
        <v>Medium</v>
      </c>
      <c r="Z813" s="4" t="n">
        <f aca="false">ROUND(MIN(1,MAX('Reward Model'!$B$2,INDEX('Reward Model'!$C$12:$C$14,MATCH($K813,'Reward Model'!$A$12:$A$14,0))/$J813)),3)</f>
        <v>1</v>
      </c>
      <c r="AA813" s="2" t="n">
        <f aca="false">IF($I813="Correct",ROUND(INDEX('Reward Model'!$B$12:$B$14,MATCH($K813,'Reward Model'!$A$12:$A$14,0))*Z813,2),0)</f>
        <v>0</v>
      </c>
      <c r="AB813" s="2" t="n">
        <f aca="false">IF($I813="Correct",ROUND(INDEX('Reward Model'!$B$12:$B$14,MATCH($Y813,'Reward Model'!$A$12:$A$14,0))*Z813,2),0)</f>
        <v>0</v>
      </c>
    </row>
    <row r="814" customFormat="false" ht="15" hidden="false" customHeight="false" outlineLevel="0" collapsed="false">
      <c r="A814" s="0" t="s">
        <v>209</v>
      </c>
      <c r="B814" s="0" t="s">
        <v>210</v>
      </c>
      <c r="C814" s="0" t="s">
        <v>30</v>
      </c>
      <c r="D814" s="0" t="s">
        <v>189</v>
      </c>
      <c r="E814" s="0" t="n">
        <v>13</v>
      </c>
      <c r="F814" s="0" t="s">
        <v>66</v>
      </c>
      <c r="G814" s="0" t="s">
        <v>67</v>
      </c>
      <c r="H814" s="0" t="s">
        <v>67</v>
      </c>
      <c r="I814" s="0" t="s">
        <v>34</v>
      </c>
      <c r="J814" s="0" t="n">
        <v>1.8</v>
      </c>
      <c r="K814" s="0" t="s">
        <v>60</v>
      </c>
      <c r="L814" s="0" t="n">
        <f aca="false">INDEX(Summary!$F$2:$F$201,MATCH($B814,Summary!$A$2:$A$201,0))</f>
        <v>20</v>
      </c>
      <c r="M814" s="0" t="n">
        <f aca="false">INDEX(Summary!$I$2:$I$201,MATCH($B814,Summary!$A$2:$A$201,0))</f>
        <v>1</v>
      </c>
      <c r="N814" s="0" t="n">
        <f aca="false">INDEX(Summary!$J$2:$J$201,MATCH($B814,Summary!$A$2:$A$201,0))</f>
        <v>4</v>
      </c>
      <c r="O814" s="2" t="n">
        <f aca="false">INDEX(Summary!$K$2:$K$201,MATCH($B814,Summary!$A$2:$A$201,0))</f>
        <v>8.92</v>
      </c>
      <c r="P814" s="3" t="n">
        <f aca="false">INDEX(Summary!$L$2:$L$201,MATCH($B814,Summary!$A$2:$A$201,0))</f>
        <v>3</v>
      </c>
      <c r="Q814" s="3" t="n">
        <f aca="false">INDEX(Summary!$M$2:$M$201,MATCH($B814,Summary!$A$2:$A$201,0))</f>
        <v>3</v>
      </c>
      <c r="R814" s="2" t="n">
        <f aca="false">INDEX(Summary!$N$2:$N$201,MATCH($B814,Summary!$A$2:$A$201,0))</f>
        <v>8.99</v>
      </c>
      <c r="S814" s="3" t="n">
        <f aca="false">INDEX(Summary!$O$2:$O$201,MATCH($B814,Summary!$A$2:$A$201,0))</f>
        <v>7</v>
      </c>
      <c r="T814" s="3" t="n">
        <f aca="false">INDEX(Summary!$P$2:$P$201,MATCH($B814,Summary!$A$2:$A$201,0))</f>
        <v>2</v>
      </c>
      <c r="U814" s="2" t="n">
        <f aca="false">INDEX(Summary!$Q$2:$Q$201,MATCH($B814,Summary!$A$2:$A$201,0))</f>
        <v>12.31</v>
      </c>
      <c r="V814" s="2" t="n">
        <f aca="false">INDEX(Summary!$R$2:$R$201,MATCH($B814,Summary!$A$2:$A$201,0))</f>
        <v>20.34</v>
      </c>
      <c r="W814" s="0" t="str">
        <f aca="false">INDEX(Summary!$S$2:$S$201,MATCH($B814,Summary!$A$2:$A$201,0))</f>
        <v>Bronze</v>
      </c>
      <c r="X814" s="2" t="n">
        <f aca="false">INDEX(Summary!$T$2:$T$201,MATCH($B814,Summary!$A$2:$A$201,0))</f>
        <v>49.61</v>
      </c>
      <c r="Y814" s="0" t="str">
        <f aca="false">INDEX('Reward Model'!$E$18:$E$37,MATCH($E814,'Reward Model'!$A$18:$A$37,0))</f>
        <v>Medium</v>
      </c>
      <c r="Z814" s="4" t="n">
        <f aca="false">ROUND(MIN(1,MAX('Reward Model'!$B$2,INDEX('Reward Model'!$C$12:$C$14,MATCH($K814,'Reward Model'!$A$12:$A$14,0))/$J814)),3)</f>
        <v>1</v>
      </c>
      <c r="AA814" s="2" t="n">
        <f aca="false">IF($I814="Correct",ROUND(INDEX('Reward Model'!$B$12:$B$14,MATCH($K814,'Reward Model'!$A$12:$A$14,0))*Z814,2),0)</f>
        <v>2</v>
      </c>
      <c r="AB814" s="2" t="n">
        <f aca="false">IF($I814="Correct",ROUND(INDEX('Reward Model'!$B$12:$B$14,MATCH($Y814,'Reward Model'!$A$12:$A$14,0))*Z814,2),0)</f>
        <v>2</v>
      </c>
    </row>
    <row r="815" customFormat="false" ht="15" hidden="false" customHeight="false" outlineLevel="0" collapsed="false">
      <c r="A815" s="0" t="s">
        <v>209</v>
      </c>
      <c r="B815" s="0" t="s">
        <v>210</v>
      </c>
      <c r="C815" s="0" t="s">
        <v>30</v>
      </c>
      <c r="D815" s="0" t="s">
        <v>189</v>
      </c>
      <c r="E815" s="0" t="n">
        <v>14</v>
      </c>
      <c r="F815" s="0" t="s">
        <v>68</v>
      </c>
      <c r="G815" s="0" t="s">
        <v>100</v>
      </c>
      <c r="H815" s="0" t="s">
        <v>51</v>
      </c>
      <c r="I815" s="0" t="s">
        <v>39</v>
      </c>
      <c r="J815" s="0" t="n">
        <v>1.29</v>
      </c>
      <c r="K815" s="0" t="s">
        <v>60</v>
      </c>
      <c r="L815" s="0" t="n">
        <f aca="false">INDEX(Summary!$F$2:$F$201,MATCH($B815,Summary!$A$2:$A$201,0))</f>
        <v>20</v>
      </c>
      <c r="M815" s="0" t="n">
        <f aca="false">INDEX(Summary!$I$2:$I$201,MATCH($B815,Summary!$A$2:$A$201,0))</f>
        <v>1</v>
      </c>
      <c r="N815" s="0" t="n">
        <f aca="false">INDEX(Summary!$J$2:$J$201,MATCH($B815,Summary!$A$2:$A$201,0))</f>
        <v>4</v>
      </c>
      <c r="O815" s="2" t="n">
        <f aca="false">INDEX(Summary!$K$2:$K$201,MATCH($B815,Summary!$A$2:$A$201,0))</f>
        <v>8.92</v>
      </c>
      <c r="P815" s="3" t="n">
        <f aca="false">INDEX(Summary!$L$2:$L$201,MATCH($B815,Summary!$A$2:$A$201,0))</f>
        <v>3</v>
      </c>
      <c r="Q815" s="3" t="n">
        <f aca="false">INDEX(Summary!$M$2:$M$201,MATCH($B815,Summary!$A$2:$A$201,0))</f>
        <v>3</v>
      </c>
      <c r="R815" s="2" t="n">
        <f aca="false">INDEX(Summary!$N$2:$N$201,MATCH($B815,Summary!$A$2:$A$201,0))</f>
        <v>8.99</v>
      </c>
      <c r="S815" s="3" t="n">
        <f aca="false">INDEX(Summary!$O$2:$O$201,MATCH($B815,Summary!$A$2:$A$201,0))</f>
        <v>7</v>
      </c>
      <c r="T815" s="3" t="n">
        <f aca="false">INDEX(Summary!$P$2:$P$201,MATCH($B815,Summary!$A$2:$A$201,0))</f>
        <v>2</v>
      </c>
      <c r="U815" s="2" t="n">
        <f aca="false">INDEX(Summary!$Q$2:$Q$201,MATCH($B815,Summary!$A$2:$A$201,0))</f>
        <v>12.31</v>
      </c>
      <c r="V815" s="2" t="n">
        <f aca="false">INDEX(Summary!$R$2:$R$201,MATCH($B815,Summary!$A$2:$A$201,0))</f>
        <v>20.34</v>
      </c>
      <c r="W815" s="0" t="str">
        <f aca="false">INDEX(Summary!$S$2:$S$201,MATCH($B815,Summary!$A$2:$A$201,0))</f>
        <v>Bronze</v>
      </c>
      <c r="X815" s="2" t="n">
        <f aca="false">INDEX(Summary!$T$2:$T$201,MATCH($B815,Summary!$A$2:$A$201,0))</f>
        <v>49.61</v>
      </c>
      <c r="Y815" s="0" t="str">
        <f aca="false">INDEX('Reward Model'!$E$18:$E$37,MATCH($E815,'Reward Model'!$A$18:$A$37,0))</f>
        <v>Medium</v>
      </c>
      <c r="Z815" s="4" t="n">
        <f aca="false">ROUND(MIN(1,MAX('Reward Model'!$B$2,INDEX('Reward Model'!$C$12:$C$14,MATCH($K815,'Reward Model'!$A$12:$A$14,0))/$J815)),3)</f>
        <v>1</v>
      </c>
      <c r="AA815" s="2" t="n">
        <f aca="false">IF($I815="Correct",ROUND(INDEX('Reward Model'!$B$12:$B$14,MATCH($K815,'Reward Model'!$A$12:$A$14,0))*Z815,2),0)</f>
        <v>0</v>
      </c>
      <c r="AB815" s="2" t="n">
        <f aca="false">IF($I815="Correct",ROUND(INDEX('Reward Model'!$B$12:$B$14,MATCH($Y815,'Reward Model'!$A$12:$A$14,0))*Z815,2),0)</f>
        <v>0</v>
      </c>
    </row>
    <row r="816" customFormat="false" ht="15" hidden="false" customHeight="false" outlineLevel="0" collapsed="false">
      <c r="A816" s="0" t="s">
        <v>209</v>
      </c>
      <c r="B816" s="0" t="s">
        <v>210</v>
      </c>
      <c r="C816" s="0" t="s">
        <v>30</v>
      </c>
      <c r="D816" s="0" t="s">
        <v>189</v>
      </c>
      <c r="E816" s="0" t="n">
        <v>15</v>
      </c>
      <c r="F816" s="0" t="s">
        <v>69</v>
      </c>
      <c r="G816" s="0" t="s">
        <v>70</v>
      </c>
      <c r="H816" s="0" t="s">
        <v>70</v>
      </c>
      <c r="I816" s="0" t="s">
        <v>34</v>
      </c>
      <c r="J816" s="0" t="n">
        <v>1.88</v>
      </c>
      <c r="K816" s="0" t="s">
        <v>60</v>
      </c>
      <c r="L816" s="0" t="n">
        <f aca="false">INDEX(Summary!$F$2:$F$201,MATCH($B816,Summary!$A$2:$A$201,0))</f>
        <v>20</v>
      </c>
      <c r="M816" s="0" t="n">
        <f aca="false">INDEX(Summary!$I$2:$I$201,MATCH($B816,Summary!$A$2:$A$201,0))</f>
        <v>1</v>
      </c>
      <c r="N816" s="0" t="n">
        <f aca="false">INDEX(Summary!$J$2:$J$201,MATCH($B816,Summary!$A$2:$A$201,0))</f>
        <v>4</v>
      </c>
      <c r="O816" s="2" t="n">
        <f aca="false">INDEX(Summary!$K$2:$K$201,MATCH($B816,Summary!$A$2:$A$201,0))</f>
        <v>8.92</v>
      </c>
      <c r="P816" s="3" t="n">
        <f aca="false">INDEX(Summary!$L$2:$L$201,MATCH($B816,Summary!$A$2:$A$201,0))</f>
        <v>3</v>
      </c>
      <c r="Q816" s="3" t="n">
        <f aca="false">INDEX(Summary!$M$2:$M$201,MATCH($B816,Summary!$A$2:$A$201,0))</f>
        <v>3</v>
      </c>
      <c r="R816" s="2" t="n">
        <f aca="false">INDEX(Summary!$N$2:$N$201,MATCH($B816,Summary!$A$2:$A$201,0))</f>
        <v>8.99</v>
      </c>
      <c r="S816" s="3" t="n">
        <f aca="false">INDEX(Summary!$O$2:$O$201,MATCH($B816,Summary!$A$2:$A$201,0))</f>
        <v>7</v>
      </c>
      <c r="T816" s="3" t="n">
        <f aca="false">INDEX(Summary!$P$2:$P$201,MATCH($B816,Summary!$A$2:$A$201,0))</f>
        <v>2</v>
      </c>
      <c r="U816" s="2" t="n">
        <f aca="false">INDEX(Summary!$Q$2:$Q$201,MATCH($B816,Summary!$A$2:$A$201,0))</f>
        <v>12.31</v>
      </c>
      <c r="V816" s="2" t="n">
        <f aca="false">INDEX(Summary!$R$2:$R$201,MATCH($B816,Summary!$A$2:$A$201,0))</f>
        <v>20.34</v>
      </c>
      <c r="W816" s="0" t="str">
        <f aca="false">INDEX(Summary!$S$2:$S$201,MATCH($B816,Summary!$A$2:$A$201,0))</f>
        <v>Bronze</v>
      </c>
      <c r="X816" s="2" t="n">
        <f aca="false">INDEX(Summary!$T$2:$T$201,MATCH($B816,Summary!$A$2:$A$201,0))</f>
        <v>49.61</v>
      </c>
      <c r="Y816" s="0" t="str">
        <f aca="false">INDEX('Reward Model'!$E$18:$E$37,MATCH($E816,'Reward Model'!$A$18:$A$37,0))</f>
        <v>Medium</v>
      </c>
      <c r="Z816" s="4" t="n">
        <f aca="false">ROUND(MIN(1,MAX('Reward Model'!$B$2,INDEX('Reward Model'!$C$12:$C$14,MATCH($K816,'Reward Model'!$A$12:$A$14,0))/$J816)),3)</f>
        <v>0.957</v>
      </c>
      <c r="AA816" s="2" t="n">
        <f aca="false">IF($I816="Correct",ROUND(INDEX('Reward Model'!$B$12:$B$14,MATCH($K816,'Reward Model'!$A$12:$A$14,0))*Z816,2),0)</f>
        <v>1.91</v>
      </c>
      <c r="AB816" s="2" t="n">
        <f aca="false">IF($I816="Correct",ROUND(INDEX('Reward Model'!$B$12:$B$14,MATCH($Y816,'Reward Model'!$A$12:$A$14,0))*Z816,2),0)</f>
        <v>1.91</v>
      </c>
    </row>
    <row r="817" customFormat="false" ht="15" hidden="false" customHeight="false" outlineLevel="0" collapsed="false">
      <c r="A817" s="0" t="s">
        <v>209</v>
      </c>
      <c r="B817" s="0" t="s">
        <v>210</v>
      </c>
      <c r="C817" s="0" t="s">
        <v>30</v>
      </c>
      <c r="D817" s="0" t="s">
        <v>189</v>
      </c>
      <c r="E817" s="0" t="n">
        <v>16</v>
      </c>
      <c r="F817" s="0" t="s">
        <v>71</v>
      </c>
      <c r="G817" s="0" t="s">
        <v>104</v>
      </c>
      <c r="H817" s="0" t="s">
        <v>72</v>
      </c>
      <c r="I817" s="0" t="s">
        <v>39</v>
      </c>
      <c r="J817" s="0" t="n">
        <v>2.07</v>
      </c>
      <c r="K817" s="0" t="s">
        <v>73</v>
      </c>
      <c r="L817" s="0" t="n">
        <f aca="false">INDEX(Summary!$F$2:$F$201,MATCH($B817,Summary!$A$2:$A$201,0))</f>
        <v>20</v>
      </c>
      <c r="M817" s="0" t="n">
        <f aca="false">INDEX(Summary!$I$2:$I$201,MATCH($B817,Summary!$A$2:$A$201,0))</f>
        <v>1</v>
      </c>
      <c r="N817" s="0" t="n">
        <f aca="false">INDEX(Summary!$J$2:$J$201,MATCH($B817,Summary!$A$2:$A$201,0))</f>
        <v>4</v>
      </c>
      <c r="O817" s="2" t="n">
        <f aca="false">INDEX(Summary!$K$2:$K$201,MATCH($B817,Summary!$A$2:$A$201,0))</f>
        <v>8.92</v>
      </c>
      <c r="P817" s="3" t="n">
        <f aca="false">INDEX(Summary!$L$2:$L$201,MATCH($B817,Summary!$A$2:$A$201,0))</f>
        <v>3</v>
      </c>
      <c r="Q817" s="3" t="n">
        <f aca="false">INDEX(Summary!$M$2:$M$201,MATCH($B817,Summary!$A$2:$A$201,0))</f>
        <v>3</v>
      </c>
      <c r="R817" s="2" t="n">
        <f aca="false">INDEX(Summary!$N$2:$N$201,MATCH($B817,Summary!$A$2:$A$201,0))</f>
        <v>8.99</v>
      </c>
      <c r="S817" s="3" t="n">
        <f aca="false">INDEX(Summary!$O$2:$O$201,MATCH($B817,Summary!$A$2:$A$201,0))</f>
        <v>7</v>
      </c>
      <c r="T817" s="3" t="n">
        <f aca="false">INDEX(Summary!$P$2:$P$201,MATCH($B817,Summary!$A$2:$A$201,0))</f>
        <v>2</v>
      </c>
      <c r="U817" s="2" t="n">
        <f aca="false">INDEX(Summary!$Q$2:$Q$201,MATCH($B817,Summary!$A$2:$A$201,0))</f>
        <v>12.31</v>
      </c>
      <c r="V817" s="2" t="n">
        <f aca="false">INDEX(Summary!$R$2:$R$201,MATCH($B817,Summary!$A$2:$A$201,0))</f>
        <v>20.34</v>
      </c>
      <c r="W817" s="0" t="str">
        <f aca="false">INDEX(Summary!$S$2:$S$201,MATCH($B817,Summary!$A$2:$A$201,0))</f>
        <v>Bronze</v>
      </c>
      <c r="X817" s="2" t="n">
        <f aca="false">INDEX(Summary!$T$2:$T$201,MATCH($B817,Summary!$A$2:$A$201,0))</f>
        <v>49.61</v>
      </c>
      <c r="Y817" s="0" t="str">
        <f aca="false">INDEX('Reward Model'!$E$18:$E$37,MATCH($E817,'Reward Model'!$A$18:$A$37,0))</f>
        <v>High</v>
      </c>
      <c r="Z817" s="4" t="n">
        <f aca="false">ROUND(MIN(1,MAX('Reward Model'!$B$2,INDEX('Reward Model'!$C$12:$C$14,MATCH($K817,'Reward Model'!$A$12:$A$14,0))/$J817)),3)</f>
        <v>0.966</v>
      </c>
      <c r="AA817" s="2" t="n">
        <f aca="false">IF($I817="Correct",ROUND(INDEX('Reward Model'!$B$12:$B$14,MATCH($K817,'Reward Model'!$A$12:$A$14,0))*Z817,2),0)</f>
        <v>0</v>
      </c>
      <c r="AB817" s="2" t="n">
        <f aca="false">IF($I817="Correct",ROUND(INDEX('Reward Model'!$B$12:$B$14,MATCH($Y817,'Reward Model'!$A$12:$A$14,0))*Z817,2),0)</f>
        <v>0</v>
      </c>
    </row>
    <row r="818" customFormat="false" ht="15" hidden="false" customHeight="false" outlineLevel="0" collapsed="false">
      <c r="A818" s="0" t="s">
        <v>209</v>
      </c>
      <c r="B818" s="0" t="s">
        <v>210</v>
      </c>
      <c r="C818" s="0" t="s">
        <v>30</v>
      </c>
      <c r="D818" s="0" t="s">
        <v>189</v>
      </c>
      <c r="E818" s="0" t="n">
        <v>17</v>
      </c>
      <c r="F818" s="0" t="s">
        <v>74</v>
      </c>
      <c r="G818" s="0" t="s">
        <v>113</v>
      </c>
      <c r="H818" s="0" t="s">
        <v>75</v>
      </c>
      <c r="I818" s="0" t="s">
        <v>39</v>
      </c>
      <c r="J818" s="0" t="n">
        <v>1.37</v>
      </c>
      <c r="K818" s="0" t="s">
        <v>73</v>
      </c>
      <c r="L818" s="0" t="n">
        <f aca="false">INDEX(Summary!$F$2:$F$201,MATCH($B818,Summary!$A$2:$A$201,0))</f>
        <v>20</v>
      </c>
      <c r="M818" s="0" t="n">
        <f aca="false">INDEX(Summary!$I$2:$I$201,MATCH($B818,Summary!$A$2:$A$201,0))</f>
        <v>1</v>
      </c>
      <c r="N818" s="0" t="n">
        <f aca="false">INDEX(Summary!$J$2:$J$201,MATCH($B818,Summary!$A$2:$A$201,0))</f>
        <v>4</v>
      </c>
      <c r="O818" s="2" t="n">
        <f aca="false">INDEX(Summary!$K$2:$K$201,MATCH($B818,Summary!$A$2:$A$201,0))</f>
        <v>8.92</v>
      </c>
      <c r="P818" s="3" t="n">
        <f aca="false">INDEX(Summary!$L$2:$L$201,MATCH($B818,Summary!$A$2:$A$201,0))</f>
        <v>3</v>
      </c>
      <c r="Q818" s="3" t="n">
        <f aca="false">INDEX(Summary!$M$2:$M$201,MATCH($B818,Summary!$A$2:$A$201,0))</f>
        <v>3</v>
      </c>
      <c r="R818" s="2" t="n">
        <f aca="false">INDEX(Summary!$N$2:$N$201,MATCH($B818,Summary!$A$2:$A$201,0))</f>
        <v>8.99</v>
      </c>
      <c r="S818" s="3" t="n">
        <f aca="false">INDEX(Summary!$O$2:$O$201,MATCH($B818,Summary!$A$2:$A$201,0))</f>
        <v>7</v>
      </c>
      <c r="T818" s="3" t="n">
        <f aca="false">INDEX(Summary!$P$2:$P$201,MATCH($B818,Summary!$A$2:$A$201,0))</f>
        <v>2</v>
      </c>
      <c r="U818" s="2" t="n">
        <f aca="false">INDEX(Summary!$Q$2:$Q$201,MATCH($B818,Summary!$A$2:$A$201,0))</f>
        <v>12.31</v>
      </c>
      <c r="V818" s="2" t="n">
        <f aca="false">INDEX(Summary!$R$2:$R$201,MATCH($B818,Summary!$A$2:$A$201,0))</f>
        <v>20.34</v>
      </c>
      <c r="W818" s="0" t="str">
        <f aca="false">INDEX(Summary!$S$2:$S$201,MATCH($B818,Summary!$A$2:$A$201,0))</f>
        <v>Bronze</v>
      </c>
      <c r="X818" s="2" t="n">
        <f aca="false">INDEX(Summary!$T$2:$T$201,MATCH($B818,Summary!$A$2:$A$201,0))</f>
        <v>49.61</v>
      </c>
      <c r="Y818" s="0" t="str">
        <f aca="false">INDEX('Reward Model'!$E$18:$E$37,MATCH($E818,'Reward Model'!$A$18:$A$37,0))</f>
        <v>High</v>
      </c>
      <c r="Z818" s="4" t="n">
        <f aca="false">ROUND(MIN(1,MAX('Reward Model'!$B$2,INDEX('Reward Model'!$C$12:$C$14,MATCH($K818,'Reward Model'!$A$12:$A$14,0))/$J818)),3)</f>
        <v>1</v>
      </c>
      <c r="AA818" s="2" t="n">
        <f aca="false">IF($I818="Correct",ROUND(INDEX('Reward Model'!$B$12:$B$14,MATCH($K818,'Reward Model'!$A$12:$A$14,0))*Z818,2),0)</f>
        <v>0</v>
      </c>
      <c r="AB818" s="2" t="n">
        <f aca="false">IF($I818="Correct",ROUND(INDEX('Reward Model'!$B$12:$B$14,MATCH($Y818,'Reward Model'!$A$12:$A$14,0))*Z818,2),0)</f>
        <v>0</v>
      </c>
    </row>
    <row r="819" customFormat="false" ht="15" hidden="false" customHeight="false" outlineLevel="0" collapsed="false">
      <c r="A819" s="0" t="s">
        <v>209</v>
      </c>
      <c r="B819" s="0" t="s">
        <v>210</v>
      </c>
      <c r="C819" s="0" t="s">
        <v>30</v>
      </c>
      <c r="D819" s="0" t="s">
        <v>189</v>
      </c>
      <c r="E819" s="0" t="n">
        <v>18</v>
      </c>
      <c r="F819" s="0" t="s">
        <v>76</v>
      </c>
      <c r="G819" s="0" t="s">
        <v>128</v>
      </c>
      <c r="H819" s="0" t="s">
        <v>77</v>
      </c>
      <c r="I819" s="0" t="s">
        <v>39</v>
      </c>
      <c r="J819" s="0" t="n">
        <v>2.12</v>
      </c>
      <c r="K819" s="0" t="s">
        <v>73</v>
      </c>
      <c r="L819" s="0" t="n">
        <f aca="false">INDEX(Summary!$F$2:$F$201,MATCH($B819,Summary!$A$2:$A$201,0))</f>
        <v>20</v>
      </c>
      <c r="M819" s="0" t="n">
        <f aca="false">INDEX(Summary!$I$2:$I$201,MATCH($B819,Summary!$A$2:$A$201,0))</f>
        <v>1</v>
      </c>
      <c r="N819" s="0" t="n">
        <f aca="false">INDEX(Summary!$J$2:$J$201,MATCH($B819,Summary!$A$2:$A$201,0))</f>
        <v>4</v>
      </c>
      <c r="O819" s="2" t="n">
        <f aca="false">INDEX(Summary!$K$2:$K$201,MATCH($B819,Summary!$A$2:$A$201,0))</f>
        <v>8.92</v>
      </c>
      <c r="P819" s="3" t="n">
        <f aca="false">INDEX(Summary!$L$2:$L$201,MATCH($B819,Summary!$A$2:$A$201,0))</f>
        <v>3</v>
      </c>
      <c r="Q819" s="3" t="n">
        <f aca="false">INDEX(Summary!$M$2:$M$201,MATCH($B819,Summary!$A$2:$A$201,0))</f>
        <v>3</v>
      </c>
      <c r="R819" s="2" t="n">
        <f aca="false">INDEX(Summary!$N$2:$N$201,MATCH($B819,Summary!$A$2:$A$201,0))</f>
        <v>8.99</v>
      </c>
      <c r="S819" s="3" t="n">
        <f aca="false">INDEX(Summary!$O$2:$O$201,MATCH($B819,Summary!$A$2:$A$201,0))</f>
        <v>7</v>
      </c>
      <c r="T819" s="3" t="n">
        <f aca="false">INDEX(Summary!$P$2:$P$201,MATCH($B819,Summary!$A$2:$A$201,0))</f>
        <v>2</v>
      </c>
      <c r="U819" s="2" t="n">
        <f aca="false">INDEX(Summary!$Q$2:$Q$201,MATCH($B819,Summary!$A$2:$A$201,0))</f>
        <v>12.31</v>
      </c>
      <c r="V819" s="2" t="n">
        <f aca="false">INDEX(Summary!$R$2:$R$201,MATCH($B819,Summary!$A$2:$A$201,0))</f>
        <v>20.34</v>
      </c>
      <c r="W819" s="0" t="str">
        <f aca="false">INDEX(Summary!$S$2:$S$201,MATCH($B819,Summary!$A$2:$A$201,0))</f>
        <v>Bronze</v>
      </c>
      <c r="X819" s="2" t="n">
        <f aca="false">INDEX(Summary!$T$2:$T$201,MATCH($B819,Summary!$A$2:$A$201,0))</f>
        <v>49.61</v>
      </c>
      <c r="Y819" s="0" t="str">
        <f aca="false">INDEX('Reward Model'!$E$18:$E$37,MATCH($E819,'Reward Model'!$A$18:$A$37,0))</f>
        <v>High</v>
      </c>
      <c r="Z819" s="4" t="n">
        <f aca="false">ROUND(MIN(1,MAX('Reward Model'!$B$2,INDEX('Reward Model'!$C$12:$C$14,MATCH($K819,'Reward Model'!$A$12:$A$14,0))/$J819)),3)</f>
        <v>0.943</v>
      </c>
      <c r="AA819" s="2" t="n">
        <f aca="false">IF($I819="Correct",ROUND(INDEX('Reward Model'!$B$12:$B$14,MATCH($K819,'Reward Model'!$A$12:$A$14,0))*Z819,2),0)</f>
        <v>0</v>
      </c>
      <c r="AB819" s="2" t="n">
        <f aca="false">IF($I819="Correct",ROUND(INDEX('Reward Model'!$B$12:$B$14,MATCH($Y819,'Reward Model'!$A$12:$A$14,0))*Z819,2),0)</f>
        <v>0</v>
      </c>
    </row>
    <row r="820" customFormat="false" ht="15" hidden="false" customHeight="false" outlineLevel="0" collapsed="false">
      <c r="A820" s="0" t="s">
        <v>209</v>
      </c>
      <c r="B820" s="0" t="s">
        <v>210</v>
      </c>
      <c r="C820" s="0" t="s">
        <v>30</v>
      </c>
      <c r="D820" s="0" t="s">
        <v>189</v>
      </c>
      <c r="E820" s="0" t="n">
        <v>19</v>
      </c>
      <c r="F820" s="0" t="s">
        <v>78</v>
      </c>
      <c r="G820" s="0" t="s">
        <v>132</v>
      </c>
      <c r="H820" s="0" t="s">
        <v>80</v>
      </c>
      <c r="I820" s="0" t="s">
        <v>39</v>
      </c>
      <c r="J820" s="0" t="n">
        <v>1.3</v>
      </c>
      <c r="K820" s="0" t="s">
        <v>73</v>
      </c>
      <c r="L820" s="0" t="n">
        <f aca="false">INDEX(Summary!$F$2:$F$201,MATCH($B820,Summary!$A$2:$A$201,0))</f>
        <v>20</v>
      </c>
      <c r="M820" s="0" t="n">
        <f aca="false">INDEX(Summary!$I$2:$I$201,MATCH($B820,Summary!$A$2:$A$201,0))</f>
        <v>1</v>
      </c>
      <c r="N820" s="0" t="n">
        <f aca="false">INDEX(Summary!$J$2:$J$201,MATCH($B820,Summary!$A$2:$A$201,0))</f>
        <v>4</v>
      </c>
      <c r="O820" s="2" t="n">
        <f aca="false">INDEX(Summary!$K$2:$K$201,MATCH($B820,Summary!$A$2:$A$201,0))</f>
        <v>8.92</v>
      </c>
      <c r="P820" s="3" t="n">
        <f aca="false">INDEX(Summary!$L$2:$L$201,MATCH($B820,Summary!$A$2:$A$201,0))</f>
        <v>3</v>
      </c>
      <c r="Q820" s="3" t="n">
        <f aca="false">INDEX(Summary!$M$2:$M$201,MATCH($B820,Summary!$A$2:$A$201,0))</f>
        <v>3</v>
      </c>
      <c r="R820" s="2" t="n">
        <f aca="false">INDEX(Summary!$N$2:$N$201,MATCH($B820,Summary!$A$2:$A$201,0))</f>
        <v>8.99</v>
      </c>
      <c r="S820" s="3" t="n">
        <f aca="false">INDEX(Summary!$O$2:$O$201,MATCH($B820,Summary!$A$2:$A$201,0))</f>
        <v>7</v>
      </c>
      <c r="T820" s="3" t="n">
        <f aca="false">INDEX(Summary!$P$2:$P$201,MATCH($B820,Summary!$A$2:$A$201,0))</f>
        <v>2</v>
      </c>
      <c r="U820" s="2" t="n">
        <f aca="false">INDEX(Summary!$Q$2:$Q$201,MATCH($B820,Summary!$A$2:$A$201,0))</f>
        <v>12.31</v>
      </c>
      <c r="V820" s="2" t="n">
        <f aca="false">INDEX(Summary!$R$2:$R$201,MATCH($B820,Summary!$A$2:$A$201,0))</f>
        <v>20.34</v>
      </c>
      <c r="W820" s="0" t="str">
        <f aca="false">INDEX(Summary!$S$2:$S$201,MATCH($B820,Summary!$A$2:$A$201,0))</f>
        <v>Bronze</v>
      </c>
      <c r="X820" s="2" t="n">
        <f aca="false">INDEX(Summary!$T$2:$T$201,MATCH($B820,Summary!$A$2:$A$201,0))</f>
        <v>49.61</v>
      </c>
      <c r="Y820" s="0" t="str">
        <f aca="false">INDEX('Reward Model'!$E$18:$E$37,MATCH($E820,'Reward Model'!$A$18:$A$37,0))</f>
        <v>High</v>
      </c>
      <c r="Z820" s="4" t="n">
        <f aca="false">ROUND(MIN(1,MAX('Reward Model'!$B$2,INDEX('Reward Model'!$C$12:$C$14,MATCH($K820,'Reward Model'!$A$12:$A$14,0))/$J820)),3)</f>
        <v>1</v>
      </c>
      <c r="AA820" s="2" t="n">
        <f aca="false">IF($I820="Correct",ROUND(INDEX('Reward Model'!$B$12:$B$14,MATCH($K820,'Reward Model'!$A$12:$A$14,0))*Z820,2),0)</f>
        <v>0</v>
      </c>
      <c r="AB820" s="2" t="n">
        <f aca="false">IF($I820="Correct",ROUND(INDEX('Reward Model'!$B$12:$B$14,MATCH($Y820,'Reward Model'!$A$12:$A$14,0))*Z820,2),0)</f>
        <v>0</v>
      </c>
    </row>
    <row r="821" customFormat="false" ht="15" hidden="false" customHeight="false" outlineLevel="0" collapsed="false">
      <c r="A821" s="0" t="s">
        <v>209</v>
      </c>
      <c r="B821" s="0" t="s">
        <v>210</v>
      </c>
      <c r="C821" s="0" t="s">
        <v>30</v>
      </c>
      <c r="D821" s="0" t="s">
        <v>189</v>
      </c>
      <c r="E821" s="0" t="n">
        <v>20</v>
      </c>
      <c r="F821" s="0" t="s">
        <v>81</v>
      </c>
      <c r="G821" s="0" t="s">
        <v>83</v>
      </c>
      <c r="H821" s="0" t="s">
        <v>83</v>
      </c>
      <c r="I821" s="0" t="s">
        <v>34</v>
      </c>
      <c r="J821" s="0" t="n">
        <v>2.06</v>
      </c>
      <c r="K821" s="0" t="s">
        <v>73</v>
      </c>
      <c r="L821" s="0" t="n">
        <f aca="false">INDEX(Summary!$F$2:$F$201,MATCH($B821,Summary!$A$2:$A$201,0))</f>
        <v>20</v>
      </c>
      <c r="M821" s="0" t="n">
        <f aca="false">INDEX(Summary!$I$2:$I$201,MATCH($B821,Summary!$A$2:$A$201,0))</f>
        <v>1</v>
      </c>
      <c r="N821" s="0" t="n">
        <f aca="false">INDEX(Summary!$J$2:$J$201,MATCH($B821,Summary!$A$2:$A$201,0))</f>
        <v>4</v>
      </c>
      <c r="O821" s="2" t="n">
        <f aca="false">INDEX(Summary!$K$2:$K$201,MATCH($B821,Summary!$A$2:$A$201,0))</f>
        <v>8.92</v>
      </c>
      <c r="P821" s="3" t="n">
        <f aca="false">INDEX(Summary!$L$2:$L$201,MATCH($B821,Summary!$A$2:$A$201,0))</f>
        <v>3</v>
      </c>
      <c r="Q821" s="3" t="n">
        <f aca="false">INDEX(Summary!$M$2:$M$201,MATCH($B821,Summary!$A$2:$A$201,0))</f>
        <v>3</v>
      </c>
      <c r="R821" s="2" t="n">
        <f aca="false">INDEX(Summary!$N$2:$N$201,MATCH($B821,Summary!$A$2:$A$201,0))</f>
        <v>8.99</v>
      </c>
      <c r="S821" s="3" t="n">
        <f aca="false">INDEX(Summary!$O$2:$O$201,MATCH($B821,Summary!$A$2:$A$201,0))</f>
        <v>7</v>
      </c>
      <c r="T821" s="3" t="n">
        <f aca="false">INDEX(Summary!$P$2:$P$201,MATCH($B821,Summary!$A$2:$A$201,0))</f>
        <v>2</v>
      </c>
      <c r="U821" s="2" t="n">
        <f aca="false">INDEX(Summary!$Q$2:$Q$201,MATCH($B821,Summary!$A$2:$A$201,0))</f>
        <v>12.31</v>
      </c>
      <c r="V821" s="2" t="n">
        <f aca="false">INDEX(Summary!$R$2:$R$201,MATCH($B821,Summary!$A$2:$A$201,0))</f>
        <v>20.34</v>
      </c>
      <c r="W821" s="0" t="str">
        <f aca="false">INDEX(Summary!$S$2:$S$201,MATCH($B821,Summary!$A$2:$A$201,0))</f>
        <v>Bronze</v>
      </c>
      <c r="X821" s="2" t="n">
        <f aca="false">INDEX(Summary!$T$2:$T$201,MATCH($B821,Summary!$A$2:$A$201,0))</f>
        <v>49.61</v>
      </c>
      <c r="Y821" s="0" t="str">
        <f aca="false">INDEX('Reward Model'!$E$18:$E$37,MATCH($E821,'Reward Model'!$A$18:$A$37,0))</f>
        <v>High</v>
      </c>
      <c r="Z821" s="4" t="n">
        <f aca="false">ROUND(MIN(1,MAX('Reward Model'!$B$2,INDEX('Reward Model'!$C$12:$C$14,MATCH($K821,'Reward Model'!$A$12:$A$14,0))/$J821)),3)</f>
        <v>0.971</v>
      </c>
      <c r="AA821" s="2" t="n">
        <f aca="false">IF($I821="Correct",ROUND(INDEX('Reward Model'!$B$12:$B$14,MATCH($K821,'Reward Model'!$A$12:$A$14,0))*Z821,2),0)</f>
        <v>2.91</v>
      </c>
      <c r="AB821" s="2" t="n">
        <f aca="false">IF($I821="Correct",ROUND(INDEX('Reward Model'!$B$12:$B$14,MATCH($Y821,'Reward Model'!$A$12:$A$14,0))*Z821,2),0)</f>
        <v>2.91</v>
      </c>
    </row>
    <row r="822" customFormat="false" ht="15" hidden="false" customHeight="false" outlineLevel="0" collapsed="false">
      <c r="A822" s="0" t="s">
        <v>211</v>
      </c>
      <c r="B822" s="0" t="s">
        <v>212</v>
      </c>
      <c r="C822" s="0" t="s">
        <v>30</v>
      </c>
      <c r="D822" s="0" t="s">
        <v>189</v>
      </c>
      <c r="E822" s="0" t="n">
        <v>1</v>
      </c>
      <c r="F822" s="0" t="s">
        <v>32</v>
      </c>
      <c r="G822" s="0" t="s">
        <v>122</v>
      </c>
      <c r="H822" s="0" t="s">
        <v>33</v>
      </c>
      <c r="I822" s="0" t="s">
        <v>39</v>
      </c>
      <c r="J822" s="0" t="n">
        <v>1.18</v>
      </c>
      <c r="K822" s="0" t="s">
        <v>35</v>
      </c>
      <c r="L822" s="0" t="n">
        <f aca="false">INDEX(Summary!$F$2:$F$201,MATCH($B822,Summary!$A$2:$A$201,0))</f>
        <v>20</v>
      </c>
      <c r="M822" s="0" t="n">
        <f aca="false">INDEX(Summary!$I$2:$I$201,MATCH($B822,Summary!$A$2:$A$201,0))</f>
        <v>2</v>
      </c>
      <c r="N822" s="0" t="n">
        <f aca="false">INDEX(Summary!$J$2:$J$201,MATCH($B822,Summary!$A$2:$A$201,0))</f>
        <v>3</v>
      </c>
      <c r="O822" s="2" t="n">
        <f aca="false">INDEX(Summary!$K$2:$K$201,MATCH($B822,Summary!$A$2:$A$201,0))</f>
        <v>8.43</v>
      </c>
      <c r="P822" s="3" t="n">
        <f aca="false">INDEX(Summary!$L$2:$L$201,MATCH($B822,Summary!$A$2:$A$201,0))</f>
        <v>4</v>
      </c>
      <c r="Q822" s="3" t="n">
        <f aca="false">INDEX(Summary!$M$2:$M$201,MATCH($B822,Summary!$A$2:$A$201,0))</f>
        <v>2</v>
      </c>
      <c r="R822" s="2" t="n">
        <f aca="false">INDEX(Summary!$N$2:$N$201,MATCH($B822,Summary!$A$2:$A$201,0))</f>
        <v>11.58</v>
      </c>
      <c r="S822" s="3" t="n">
        <f aca="false">INDEX(Summary!$O$2:$O$201,MATCH($B822,Summary!$A$2:$A$201,0))</f>
        <v>8</v>
      </c>
      <c r="T822" s="3" t="n">
        <f aca="false">INDEX(Summary!$P$2:$P$201,MATCH($B822,Summary!$A$2:$A$201,0))</f>
        <v>1</v>
      </c>
      <c r="U822" s="2" t="n">
        <f aca="false">INDEX(Summary!$Q$2:$Q$201,MATCH($B822,Summary!$A$2:$A$201,0))</f>
        <v>13.77</v>
      </c>
      <c r="V822" s="2" t="n">
        <f aca="false">INDEX(Summary!$R$2:$R$201,MATCH($B822,Summary!$A$2:$A$201,0))</f>
        <v>23.25</v>
      </c>
      <c r="W822" s="0" t="str">
        <f aca="false">INDEX(Summary!$S$2:$S$201,MATCH($B822,Summary!$A$2:$A$201,0))</f>
        <v>Silver</v>
      </c>
      <c r="X822" s="2" t="n">
        <f aca="false">INDEX(Summary!$T$2:$T$201,MATCH($B822,Summary!$A$2:$A$201,0))</f>
        <v>56.71</v>
      </c>
      <c r="Y822" s="0" t="str">
        <f aca="false">INDEX('Reward Model'!$E$18:$E$37,MATCH($E822,'Reward Model'!$A$18:$A$37,0))</f>
        <v>Medium</v>
      </c>
      <c r="Z822" s="4" t="n">
        <f aca="false">ROUND(MIN(1,MAX('Reward Model'!$B$2,INDEX('Reward Model'!$C$12:$C$14,MATCH($K822,'Reward Model'!$A$12:$A$14,0))/$J822)),3)</f>
        <v>1</v>
      </c>
      <c r="AA822" s="2" t="n">
        <f aca="false">IF($I822="Correct",ROUND(INDEX('Reward Model'!$B$12:$B$14,MATCH($K822,'Reward Model'!$A$12:$A$14,0))*Z822,2),0)</f>
        <v>0</v>
      </c>
      <c r="AB822" s="2" t="n">
        <f aca="false">IF($I822="Correct",ROUND(INDEX('Reward Model'!$B$12:$B$14,MATCH($Y822,'Reward Model'!$A$12:$A$14,0))*Z822,2),0)</f>
        <v>0</v>
      </c>
    </row>
    <row r="823" customFormat="false" ht="15" hidden="false" customHeight="false" outlineLevel="0" collapsed="false">
      <c r="A823" s="0" t="s">
        <v>211</v>
      </c>
      <c r="B823" s="0" t="s">
        <v>212</v>
      </c>
      <c r="C823" s="0" t="s">
        <v>30</v>
      </c>
      <c r="D823" s="0" t="s">
        <v>189</v>
      </c>
      <c r="E823" s="0" t="n">
        <v>2</v>
      </c>
      <c r="F823" s="0" t="s">
        <v>36</v>
      </c>
      <c r="G823" s="0" t="s">
        <v>38</v>
      </c>
      <c r="H823" s="0" t="s">
        <v>38</v>
      </c>
      <c r="I823" s="0" t="s">
        <v>34</v>
      </c>
      <c r="J823" s="0" t="n">
        <v>1.98</v>
      </c>
      <c r="K823" s="0" t="s">
        <v>35</v>
      </c>
      <c r="L823" s="0" t="n">
        <f aca="false">INDEX(Summary!$F$2:$F$201,MATCH($B823,Summary!$A$2:$A$201,0))</f>
        <v>20</v>
      </c>
      <c r="M823" s="0" t="n">
        <f aca="false">INDEX(Summary!$I$2:$I$201,MATCH($B823,Summary!$A$2:$A$201,0))</f>
        <v>2</v>
      </c>
      <c r="N823" s="0" t="n">
        <f aca="false">INDEX(Summary!$J$2:$J$201,MATCH($B823,Summary!$A$2:$A$201,0))</f>
        <v>3</v>
      </c>
      <c r="O823" s="2" t="n">
        <f aca="false">INDEX(Summary!$K$2:$K$201,MATCH($B823,Summary!$A$2:$A$201,0))</f>
        <v>8.43</v>
      </c>
      <c r="P823" s="3" t="n">
        <f aca="false">INDEX(Summary!$L$2:$L$201,MATCH($B823,Summary!$A$2:$A$201,0))</f>
        <v>4</v>
      </c>
      <c r="Q823" s="3" t="n">
        <f aca="false">INDEX(Summary!$M$2:$M$201,MATCH($B823,Summary!$A$2:$A$201,0))</f>
        <v>2</v>
      </c>
      <c r="R823" s="2" t="n">
        <f aca="false">INDEX(Summary!$N$2:$N$201,MATCH($B823,Summary!$A$2:$A$201,0))</f>
        <v>11.58</v>
      </c>
      <c r="S823" s="3" t="n">
        <f aca="false">INDEX(Summary!$O$2:$O$201,MATCH($B823,Summary!$A$2:$A$201,0))</f>
        <v>8</v>
      </c>
      <c r="T823" s="3" t="n">
        <f aca="false">INDEX(Summary!$P$2:$P$201,MATCH($B823,Summary!$A$2:$A$201,0))</f>
        <v>1</v>
      </c>
      <c r="U823" s="2" t="n">
        <f aca="false">INDEX(Summary!$Q$2:$Q$201,MATCH($B823,Summary!$A$2:$A$201,0))</f>
        <v>13.77</v>
      </c>
      <c r="V823" s="2" t="n">
        <f aca="false">INDEX(Summary!$R$2:$R$201,MATCH($B823,Summary!$A$2:$A$201,0))</f>
        <v>23.25</v>
      </c>
      <c r="W823" s="0" t="str">
        <f aca="false">INDEX(Summary!$S$2:$S$201,MATCH($B823,Summary!$A$2:$A$201,0))</f>
        <v>Silver</v>
      </c>
      <c r="X823" s="2" t="n">
        <f aca="false">INDEX(Summary!$T$2:$T$201,MATCH($B823,Summary!$A$2:$A$201,0))</f>
        <v>56.71</v>
      </c>
      <c r="Y823" s="0" t="str">
        <f aca="false">INDEX('Reward Model'!$E$18:$E$37,MATCH($E823,'Reward Model'!$A$18:$A$37,0))</f>
        <v>Low</v>
      </c>
      <c r="Z823" s="4" t="n">
        <f aca="false">ROUND(MIN(1,MAX('Reward Model'!$B$2,INDEX('Reward Model'!$C$12:$C$14,MATCH($K823,'Reward Model'!$A$12:$A$14,0))/$J823)),3)</f>
        <v>0.758</v>
      </c>
      <c r="AA823" s="2" t="n">
        <f aca="false">IF($I823="Correct",ROUND(INDEX('Reward Model'!$B$12:$B$14,MATCH($K823,'Reward Model'!$A$12:$A$14,0))*Z823,2),0)</f>
        <v>0.76</v>
      </c>
      <c r="AB823" s="2" t="n">
        <f aca="false">IF($I823="Correct",ROUND(INDEX('Reward Model'!$B$12:$B$14,MATCH($Y823,'Reward Model'!$A$12:$A$14,0))*Z823,2),0)</f>
        <v>0.76</v>
      </c>
    </row>
    <row r="824" customFormat="false" ht="15" hidden="false" customHeight="false" outlineLevel="0" collapsed="false">
      <c r="A824" s="0" t="s">
        <v>211</v>
      </c>
      <c r="B824" s="0" t="s">
        <v>212</v>
      </c>
      <c r="C824" s="0" t="s">
        <v>30</v>
      </c>
      <c r="D824" s="0" t="s">
        <v>189</v>
      </c>
      <c r="E824" s="0" t="n">
        <v>3</v>
      </c>
      <c r="F824" s="0" t="s">
        <v>40</v>
      </c>
      <c r="G824" s="0" t="s">
        <v>42</v>
      </c>
      <c r="H824" s="0" t="s">
        <v>42</v>
      </c>
      <c r="I824" s="0" t="s">
        <v>34</v>
      </c>
      <c r="J824" s="0" t="n">
        <v>1.82</v>
      </c>
      <c r="K824" s="0" t="s">
        <v>35</v>
      </c>
      <c r="L824" s="0" t="n">
        <f aca="false">INDEX(Summary!$F$2:$F$201,MATCH($B824,Summary!$A$2:$A$201,0))</f>
        <v>20</v>
      </c>
      <c r="M824" s="0" t="n">
        <f aca="false">INDEX(Summary!$I$2:$I$201,MATCH($B824,Summary!$A$2:$A$201,0))</f>
        <v>2</v>
      </c>
      <c r="N824" s="0" t="n">
        <f aca="false">INDEX(Summary!$J$2:$J$201,MATCH($B824,Summary!$A$2:$A$201,0))</f>
        <v>3</v>
      </c>
      <c r="O824" s="2" t="n">
        <f aca="false">INDEX(Summary!$K$2:$K$201,MATCH($B824,Summary!$A$2:$A$201,0))</f>
        <v>8.43</v>
      </c>
      <c r="P824" s="3" t="n">
        <f aca="false">INDEX(Summary!$L$2:$L$201,MATCH($B824,Summary!$A$2:$A$201,0))</f>
        <v>4</v>
      </c>
      <c r="Q824" s="3" t="n">
        <f aca="false">INDEX(Summary!$M$2:$M$201,MATCH($B824,Summary!$A$2:$A$201,0))</f>
        <v>2</v>
      </c>
      <c r="R824" s="2" t="n">
        <f aca="false">INDEX(Summary!$N$2:$N$201,MATCH($B824,Summary!$A$2:$A$201,0))</f>
        <v>11.58</v>
      </c>
      <c r="S824" s="3" t="n">
        <f aca="false">INDEX(Summary!$O$2:$O$201,MATCH($B824,Summary!$A$2:$A$201,0))</f>
        <v>8</v>
      </c>
      <c r="T824" s="3" t="n">
        <f aca="false">INDEX(Summary!$P$2:$P$201,MATCH($B824,Summary!$A$2:$A$201,0))</f>
        <v>1</v>
      </c>
      <c r="U824" s="2" t="n">
        <f aca="false">INDEX(Summary!$Q$2:$Q$201,MATCH($B824,Summary!$A$2:$A$201,0))</f>
        <v>13.77</v>
      </c>
      <c r="V824" s="2" t="n">
        <f aca="false">INDEX(Summary!$R$2:$R$201,MATCH($B824,Summary!$A$2:$A$201,0))</f>
        <v>23.25</v>
      </c>
      <c r="W824" s="0" t="str">
        <f aca="false">INDEX(Summary!$S$2:$S$201,MATCH($B824,Summary!$A$2:$A$201,0))</f>
        <v>Silver</v>
      </c>
      <c r="X824" s="2" t="n">
        <f aca="false">INDEX(Summary!$T$2:$T$201,MATCH($B824,Summary!$A$2:$A$201,0))</f>
        <v>56.71</v>
      </c>
      <c r="Y824" s="0" t="str">
        <f aca="false">INDEX('Reward Model'!$E$18:$E$37,MATCH($E824,'Reward Model'!$A$18:$A$37,0))</f>
        <v>Medium</v>
      </c>
      <c r="Z824" s="4" t="n">
        <f aca="false">ROUND(MIN(1,MAX('Reward Model'!$B$2,INDEX('Reward Model'!$C$12:$C$14,MATCH($K824,'Reward Model'!$A$12:$A$14,0))/$J824)),3)</f>
        <v>0.824</v>
      </c>
      <c r="AA824" s="2" t="n">
        <f aca="false">IF($I824="Correct",ROUND(INDEX('Reward Model'!$B$12:$B$14,MATCH($K824,'Reward Model'!$A$12:$A$14,0))*Z824,2),0)</f>
        <v>0.82</v>
      </c>
      <c r="AB824" s="2" t="n">
        <f aca="false">IF($I824="Correct",ROUND(INDEX('Reward Model'!$B$12:$B$14,MATCH($Y824,'Reward Model'!$A$12:$A$14,0))*Z824,2),0)</f>
        <v>1.65</v>
      </c>
    </row>
    <row r="825" customFormat="false" ht="15" hidden="false" customHeight="false" outlineLevel="0" collapsed="false">
      <c r="A825" s="0" t="s">
        <v>211</v>
      </c>
      <c r="B825" s="0" t="s">
        <v>212</v>
      </c>
      <c r="C825" s="0" t="s">
        <v>30</v>
      </c>
      <c r="D825" s="0" t="s">
        <v>189</v>
      </c>
      <c r="E825" s="0" t="n">
        <v>4</v>
      </c>
      <c r="F825" s="0" t="s">
        <v>43</v>
      </c>
      <c r="G825" s="0" t="s">
        <v>45</v>
      </c>
      <c r="H825" s="0" t="s">
        <v>45</v>
      </c>
      <c r="I825" s="0" t="s">
        <v>34</v>
      </c>
      <c r="J825" s="0" t="n">
        <v>1.58</v>
      </c>
      <c r="K825" s="0" t="s">
        <v>35</v>
      </c>
      <c r="L825" s="0" t="n">
        <f aca="false">INDEX(Summary!$F$2:$F$201,MATCH($B825,Summary!$A$2:$A$201,0))</f>
        <v>20</v>
      </c>
      <c r="M825" s="0" t="n">
        <f aca="false">INDEX(Summary!$I$2:$I$201,MATCH($B825,Summary!$A$2:$A$201,0))</f>
        <v>2</v>
      </c>
      <c r="N825" s="0" t="n">
        <f aca="false">INDEX(Summary!$J$2:$J$201,MATCH($B825,Summary!$A$2:$A$201,0))</f>
        <v>3</v>
      </c>
      <c r="O825" s="2" t="n">
        <f aca="false">INDEX(Summary!$K$2:$K$201,MATCH($B825,Summary!$A$2:$A$201,0))</f>
        <v>8.43</v>
      </c>
      <c r="P825" s="3" t="n">
        <f aca="false">INDEX(Summary!$L$2:$L$201,MATCH($B825,Summary!$A$2:$A$201,0))</f>
        <v>4</v>
      </c>
      <c r="Q825" s="3" t="n">
        <f aca="false">INDEX(Summary!$M$2:$M$201,MATCH($B825,Summary!$A$2:$A$201,0))</f>
        <v>2</v>
      </c>
      <c r="R825" s="2" t="n">
        <f aca="false">INDEX(Summary!$N$2:$N$201,MATCH($B825,Summary!$A$2:$A$201,0))</f>
        <v>11.58</v>
      </c>
      <c r="S825" s="3" t="n">
        <f aca="false">INDEX(Summary!$O$2:$O$201,MATCH($B825,Summary!$A$2:$A$201,0))</f>
        <v>8</v>
      </c>
      <c r="T825" s="3" t="n">
        <f aca="false">INDEX(Summary!$P$2:$P$201,MATCH($B825,Summary!$A$2:$A$201,0))</f>
        <v>1</v>
      </c>
      <c r="U825" s="2" t="n">
        <f aca="false">INDEX(Summary!$Q$2:$Q$201,MATCH($B825,Summary!$A$2:$A$201,0))</f>
        <v>13.77</v>
      </c>
      <c r="V825" s="2" t="n">
        <f aca="false">INDEX(Summary!$R$2:$R$201,MATCH($B825,Summary!$A$2:$A$201,0))</f>
        <v>23.25</v>
      </c>
      <c r="W825" s="0" t="str">
        <f aca="false">INDEX(Summary!$S$2:$S$201,MATCH($B825,Summary!$A$2:$A$201,0))</f>
        <v>Silver</v>
      </c>
      <c r="X825" s="2" t="n">
        <f aca="false">INDEX(Summary!$T$2:$T$201,MATCH($B825,Summary!$A$2:$A$201,0))</f>
        <v>56.71</v>
      </c>
      <c r="Y825" s="0" t="str">
        <f aca="false">INDEX('Reward Model'!$E$18:$E$37,MATCH($E825,'Reward Model'!$A$18:$A$37,0))</f>
        <v>Low</v>
      </c>
      <c r="Z825" s="4" t="n">
        <f aca="false">ROUND(MIN(1,MAX('Reward Model'!$B$2,INDEX('Reward Model'!$C$12:$C$14,MATCH($K825,'Reward Model'!$A$12:$A$14,0))/$J825)),3)</f>
        <v>0.949</v>
      </c>
      <c r="AA825" s="2" t="n">
        <f aca="false">IF($I825="Correct",ROUND(INDEX('Reward Model'!$B$12:$B$14,MATCH($K825,'Reward Model'!$A$12:$A$14,0))*Z825,2),0)</f>
        <v>0.95</v>
      </c>
      <c r="AB825" s="2" t="n">
        <f aca="false">IF($I825="Correct",ROUND(INDEX('Reward Model'!$B$12:$B$14,MATCH($Y825,'Reward Model'!$A$12:$A$14,0))*Z825,2),0)</f>
        <v>0.95</v>
      </c>
    </row>
    <row r="826" customFormat="false" ht="15" hidden="false" customHeight="false" outlineLevel="0" collapsed="false">
      <c r="A826" s="0" t="s">
        <v>211</v>
      </c>
      <c r="B826" s="0" t="s">
        <v>212</v>
      </c>
      <c r="C826" s="0" t="s">
        <v>30</v>
      </c>
      <c r="D826" s="0" t="s">
        <v>189</v>
      </c>
      <c r="E826" s="0" t="n">
        <v>5</v>
      </c>
      <c r="F826" s="0" t="s">
        <v>46</v>
      </c>
      <c r="G826" s="0" t="s">
        <v>47</v>
      </c>
      <c r="H826" s="0" t="s">
        <v>47</v>
      </c>
      <c r="I826" s="0" t="s">
        <v>34</v>
      </c>
      <c r="J826" s="0" t="n">
        <v>1.25</v>
      </c>
      <c r="K826" s="0" t="s">
        <v>35</v>
      </c>
      <c r="L826" s="0" t="n">
        <f aca="false">INDEX(Summary!$F$2:$F$201,MATCH($B826,Summary!$A$2:$A$201,0))</f>
        <v>20</v>
      </c>
      <c r="M826" s="0" t="n">
        <f aca="false">INDEX(Summary!$I$2:$I$201,MATCH($B826,Summary!$A$2:$A$201,0))</f>
        <v>2</v>
      </c>
      <c r="N826" s="0" t="n">
        <f aca="false">INDEX(Summary!$J$2:$J$201,MATCH($B826,Summary!$A$2:$A$201,0))</f>
        <v>3</v>
      </c>
      <c r="O826" s="2" t="n">
        <f aca="false">INDEX(Summary!$K$2:$K$201,MATCH($B826,Summary!$A$2:$A$201,0))</f>
        <v>8.43</v>
      </c>
      <c r="P826" s="3" t="n">
        <f aca="false">INDEX(Summary!$L$2:$L$201,MATCH($B826,Summary!$A$2:$A$201,0))</f>
        <v>4</v>
      </c>
      <c r="Q826" s="3" t="n">
        <f aca="false">INDEX(Summary!$M$2:$M$201,MATCH($B826,Summary!$A$2:$A$201,0))</f>
        <v>2</v>
      </c>
      <c r="R826" s="2" t="n">
        <f aca="false">INDEX(Summary!$N$2:$N$201,MATCH($B826,Summary!$A$2:$A$201,0))</f>
        <v>11.58</v>
      </c>
      <c r="S826" s="3" t="n">
        <f aca="false">INDEX(Summary!$O$2:$O$201,MATCH($B826,Summary!$A$2:$A$201,0))</f>
        <v>8</v>
      </c>
      <c r="T826" s="3" t="n">
        <f aca="false">INDEX(Summary!$P$2:$P$201,MATCH($B826,Summary!$A$2:$A$201,0))</f>
        <v>1</v>
      </c>
      <c r="U826" s="2" t="n">
        <f aca="false">INDEX(Summary!$Q$2:$Q$201,MATCH($B826,Summary!$A$2:$A$201,0))</f>
        <v>13.77</v>
      </c>
      <c r="V826" s="2" t="n">
        <f aca="false">INDEX(Summary!$R$2:$R$201,MATCH($B826,Summary!$A$2:$A$201,0))</f>
        <v>23.25</v>
      </c>
      <c r="W826" s="0" t="str">
        <f aca="false">INDEX(Summary!$S$2:$S$201,MATCH($B826,Summary!$A$2:$A$201,0))</f>
        <v>Silver</v>
      </c>
      <c r="X826" s="2" t="n">
        <f aca="false">INDEX(Summary!$T$2:$T$201,MATCH($B826,Summary!$A$2:$A$201,0))</f>
        <v>56.71</v>
      </c>
      <c r="Y826" s="0" t="str">
        <f aca="false">INDEX('Reward Model'!$E$18:$E$37,MATCH($E826,'Reward Model'!$A$18:$A$37,0))</f>
        <v>Low</v>
      </c>
      <c r="Z826" s="4" t="n">
        <f aca="false">ROUND(MIN(1,MAX('Reward Model'!$B$2,INDEX('Reward Model'!$C$12:$C$14,MATCH($K826,'Reward Model'!$A$12:$A$14,0))/$J826)),3)</f>
        <v>1</v>
      </c>
      <c r="AA826" s="2" t="n">
        <f aca="false">IF($I826="Correct",ROUND(INDEX('Reward Model'!$B$12:$B$14,MATCH($K826,'Reward Model'!$A$12:$A$14,0))*Z826,2),0)</f>
        <v>1</v>
      </c>
      <c r="AB826" s="2" t="n">
        <f aca="false">IF($I826="Correct",ROUND(INDEX('Reward Model'!$B$12:$B$14,MATCH($Y826,'Reward Model'!$A$12:$A$14,0))*Z826,2),0)</f>
        <v>1</v>
      </c>
    </row>
    <row r="827" customFormat="false" ht="15" hidden="false" customHeight="false" outlineLevel="0" collapsed="false">
      <c r="A827" s="0" t="s">
        <v>211</v>
      </c>
      <c r="B827" s="0" t="s">
        <v>212</v>
      </c>
      <c r="C827" s="0" t="s">
        <v>30</v>
      </c>
      <c r="D827" s="0" t="s">
        <v>189</v>
      </c>
      <c r="E827" s="0" t="n">
        <v>6</v>
      </c>
      <c r="F827" s="0" t="s">
        <v>48</v>
      </c>
      <c r="G827" s="0" t="s">
        <v>49</v>
      </c>
      <c r="H827" s="0" t="s">
        <v>49</v>
      </c>
      <c r="I827" s="0" t="s">
        <v>34</v>
      </c>
      <c r="J827" s="0" t="n">
        <v>1.94</v>
      </c>
      <c r="K827" s="0" t="s">
        <v>35</v>
      </c>
      <c r="L827" s="0" t="n">
        <f aca="false">INDEX(Summary!$F$2:$F$201,MATCH($B827,Summary!$A$2:$A$201,0))</f>
        <v>20</v>
      </c>
      <c r="M827" s="0" t="n">
        <f aca="false">INDEX(Summary!$I$2:$I$201,MATCH($B827,Summary!$A$2:$A$201,0))</f>
        <v>2</v>
      </c>
      <c r="N827" s="0" t="n">
        <f aca="false">INDEX(Summary!$J$2:$J$201,MATCH($B827,Summary!$A$2:$A$201,0))</f>
        <v>3</v>
      </c>
      <c r="O827" s="2" t="n">
        <f aca="false">INDEX(Summary!$K$2:$K$201,MATCH($B827,Summary!$A$2:$A$201,0))</f>
        <v>8.43</v>
      </c>
      <c r="P827" s="3" t="n">
        <f aca="false">INDEX(Summary!$L$2:$L$201,MATCH($B827,Summary!$A$2:$A$201,0))</f>
        <v>4</v>
      </c>
      <c r="Q827" s="3" t="n">
        <f aca="false">INDEX(Summary!$M$2:$M$201,MATCH($B827,Summary!$A$2:$A$201,0))</f>
        <v>2</v>
      </c>
      <c r="R827" s="2" t="n">
        <f aca="false">INDEX(Summary!$N$2:$N$201,MATCH($B827,Summary!$A$2:$A$201,0))</f>
        <v>11.58</v>
      </c>
      <c r="S827" s="3" t="n">
        <f aca="false">INDEX(Summary!$O$2:$O$201,MATCH($B827,Summary!$A$2:$A$201,0))</f>
        <v>8</v>
      </c>
      <c r="T827" s="3" t="n">
        <f aca="false">INDEX(Summary!$P$2:$P$201,MATCH($B827,Summary!$A$2:$A$201,0))</f>
        <v>1</v>
      </c>
      <c r="U827" s="2" t="n">
        <f aca="false">INDEX(Summary!$Q$2:$Q$201,MATCH($B827,Summary!$A$2:$A$201,0))</f>
        <v>13.77</v>
      </c>
      <c r="V827" s="2" t="n">
        <f aca="false">INDEX(Summary!$R$2:$R$201,MATCH($B827,Summary!$A$2:$A$201,0))</f>
        <v>23.25</v>
      </c>
      <c r="W827" s="0" t="str">
        <f aca="false">INDEX(Summary!$S$2:$S$201,MATCH($B827,Summary!$A$2:$A$201,0))</f>
        <v>Silver</v>
      </c>
      <c r="X827" s="2" t="n">
        <f aca="false">INDEX(Summary!$T$2:$T$201,MATCH($B827,Summary!$A$2:$A$201,0))</f>
        <v>56.71</v>
      </c>
      <c r="Y827" s="0" t="str">
        <f aca="false">INDEX('Reward Model'!$E$18:$E$37,MATCH($E827,'Reward Model'!$A$18:$A$37,0))</f>
        <v>Medium</v>
      </c>
      <c r="Z827" s="4" t="n">
        <f aca="false">ROUND(MIN(1,MAX('Reward Model'!$B$2,INDEX('Reward Model'!$C$12:$C$14,MATCH($K827,'Reward Model'!$A$12:$A$14,0))/$J827)),3)</f>
        <v>0.773</v>
      </c>
      <c r="AA827" s="2" t="n">
        <f aca="false">IF($I827="Correct",ROUND(INDEX('Reward Model'!$B$12:$B$14,MATCH($K827,'Reward Model'!$A$12:$A$14,0))*Z827,2),0)</f>
        <v>0.77</v>
      </c>
      <c r="AB827" s="2" t="n">
        <f aca="false">IF($I827="Correct",ROUND(INDEX('Reward Model'!$B$12:$B$14,MATCH($Y827,'Reward Model'!$A$12:$A$14,0))*Z827,2),0)</f>
        <v>1.55</v>
      </c>
    </row>
    <row r="828" customFormat="false" ht="15" hidden="false" customHeight="false" outlineLevel="0" collapsed="false">
      <c r="A828" s="0" t="s">
        <v>211</v>
      </c>
      <c r="B828" s="0" t="s">
        <v>212</v>
      </c>
      <c r="C828" s="0" t="s">
        <v>30</v>
      </c>
      <c r="D828" s="0" t="s">
        <v>189</v>
      </c>
      <c r="E828" s="0" t="n">
        <v>7</v>
      </c>
      <c r="F828" s="0" t="s">
        <v>50</v>
      </c>
      <c r="G828" s="0" t="s">
        <v>51</v>
      </c>
      <c r="H828" s="0" t="s">
        <v>51</v>
      </c>
      <c r="I828" s="0" t="s">
        <v>34</v>
      </c>
      <c r="J828" s="0" t="n">
        <v>1.02</v>
      </c>
      <c r="K828" s="0" t="s">
        <v>35</v>
      </c>
      <c r="L828" s="0" t="n">
        <f aca="false">INDEX(Summary!$F$2:$F$201,MATCH($B828,Summary!$A$2:$A$201,0))</f>
        <v>20</v>
      </c>
      <c r="M828" s="0" t="n">
        <f aca="false">INDEX(Summary!$I$2:$I$201,MATCH($B828,Summary!$A$2:$A$201,0))</f>
        <v>2</v>
      </c>
      <c r="N828" s="0" t="n">
        <f aca="false">INDEX(Summary!$J$2:$J$201,MATCH($B828,Summary!$A$2:$A$201,0))</f>
        <v>3</v>
      </c>
      <c r="O828" s="2" t="n">
        <f aca="false">INDEX(Summary!$K$2:$K$201,MATCH($B828,Summary!$A$2:$A$201,0))</f>
        <v>8.43</v>
      </c>
      <c r="P828" s="3" t="n">
        <f aca="false">INDEX(Summary!$L$2:$L$201,MATCH($B828,Summary!$A$2:$A$201,0))</f>
        <v>4</v>
      </c>
      <c r="Q828" s="3" t="n">
        <f aca="false">INDEX(Summary!$M$2:$M$201,MATCH($B828,Summary!$A$2:$A$201,0))</f>
        <v>2</v>
      </c>
      <c r="R828" s="2" t="n">
        <f aca="false">INDEX(Summary!$N$2:$N$201,MATCH($B828,Summary!$A$2:$A$201,0))</f>
        <v>11.58</v>
      </c>
      <c r="S828" s="3" t="n">
        <f aca="false">INDEX(Summary!$O$2:$O$201,MATCH($B828,Summary!$A$2:$A$201,0))</f>
        <v>8</v>
      </c>
      <c r="T828" s="3" t="n">
        <f aca="false">INDEX(Summary!$P$2:$P$201,MATCH($B828,Summary!$A$2:$A$201,0))</f>
        <v>1</v>
      </c>
      <c r="U828" s="2" t="n">
        <f aca="false">INDEX(Summary!$Q$2:$Q$201,MATCH($B828,Summary!$A$2:$A$201,0))</f>
        <v>13.77</v>
      </c>
      <c r="V828" s="2" t="n">
        <f aca="false">INDEX(Summary!$R$2:$R$201,MATCH($B828,Summary!$A$2:$A$201,0))</f>
        <v>23.25</v>
      </c>
      <c r="W828" s="0" t="str">
        <f aca="false">INDEX(Summary!$S$2:$S$201,MATCH($B828,Summary!$A$2:$A$201,0))</f>
        <v>Silver</v>
      </c>
      <c r="X828" s="2" t="n">
        <f aca="false">INDEX(Summary!$T$2:$T$201,MATCH($B828,Summary!$A$2:$A$201,0))</f>
        <v>56.71</v>
      </c>
      <c r="Y828" s="0" t="str">
        <f aca="false">INDEX('Reward Model'!$E$18:$E$37,MATCH($E828,'Reward Model'!$A$18:$A$37,0))</f>
        <v>Low</v>
      </c>
      <c r="Z828" s="4" t="n">
        <f aca="false">ROUND(MIN(1,MAX('Reward Model'!$B$2,INDEX('Reward Model'!$C$12:$C$14,MATCH($K828,'Reward Model'!$A$12:$A$14,0))/$J828)),3)</f>
        <v>1</v>
      </c>
      <c r="AA828" s="2" t="n">
        <f aca="false">IF($I828="Correct",ROUND(INDEX('Reward Model'!$B$12:$B$14,MATCH($K828,'Reward Model'!$A$12:$A$14,0))*Z828,2),0)</f>
        <v>1</v>
      </c>
      <c r="AB828" s="2" t="n">
        <f aca="false">IF($I828="Correct",ROUND(INDEX('Reward Model'!$B$12:$B$14,MATCH($Y828,'Reward Model'!$A$12:$A$14,0))*Z828,2),0)</f>
        <v>1</v>
      </c>
    </row>
    <row r="829" customFormat="false" ht="15" hidden="false" customHeight="false" outlineLevel="0" collapsed="false">
      <c r="A829" s="0" t="s">
        <v>211</v>
      </c>
      <c r="B829" s="0" t="s">
        <v>212</v>
      </c>
      <c r="C829" s="0" t="s">
        <v>30</v>
      </c>
      <c r="D829" s="0" t="s">
        <v>189</v>
      </c>
      <c r="E829" s="0" t="n">
        <v>8</v>
      </c>
      <c r="F829" s="0" t="s">
        <v>52</v>
      </c>
      <c r="G829" s="0" t="s">
        <v>54</v>
      </c>
      <c r="H829" s="0" t="s">
        <v>54</v>
      </c>
      <c r="I829" s="0" t="s">
        <v>34</v>
      </c>
      <c r="J829" s="0" t="n">
        <v>1.2</v>
      </c>
      <c r="K829" s="0" t="s">
        <v>35</v>
      </c>
      <c r="L829" s="0" t="n">
        <f aca="false">INDEX(Summary!$F$2:$F$201,MATCH($B829,Summary!$A$2:$A$201,0))</f>
        <v>20</v>
      </c>
      <c r="M829" s="0" t="n">
        <f aca="false">INDEX(Summary!$I$2:$I$201,MATCH($B829,Summary!$A$2:$A$201,0))</f>
        <v>2</v>
      </c>
      <c r="N829" s="0" t="n">
        <f aca="false">INDEX(Summary!$J$2:$J$201,MATCH($B829,Summary!$A$2:$A$201,0))</f>
        <v>3</v>
      </c>
      <c r="O829" s="2" t="n">
        <f aca="false">INDEX(Summary!$K$2:$K$201,MATCH($B829,Summary!$A$2:$A$201,0))</f>
        <v>8.43</v>
      </c>
      <c r="P829" s="3" t="n">
        <f aca="false">INDEX(Summary!$L$2:$L$201,MATCH($B829,Summary!$A$2:$A$201,0))</f>
        <v>4</v>
      </c>
      <c r="Q829" s="3" t="n">
        <f aca="false">INDEX(Summary!$M$2:$M$201,MATCH($B829,Summary!$A$2:$A$201,0))</f>
        <v>2</v>
      </c>
      <c r="R829" s="2" t="n">
        <f aca="false">INDEX(Summary!$N$2:$N$201,MATCH($B829,Summary!$A$2:$A$201,0))</f>
        <v>11.58</v>
      </c>
      <c r="S829" s="3" t="n">
        <f aca="false">INDEX(Summary!$O$2:$O$201,MATCH($B829,Summary!$A$2:$A$201,0))</f>
        <v>8</v>
      </c>
      <c r="T829" s="3" t="n">
        <f aca="false">INDEX(Summary!$P$2:$P$201,MATCH($B829,Summary!$A$2:$A$201,0))</f>
        <v>1</v>
      </c>
      <c r="U829" s="2" t="n">
        <f aca="false">INDEX(Summary!$Q$2:$Q$201,MATCH($B829,Summary!$A$2:$A$201,0))</f>
        <v>13.77</v>
      </c>
      <c r="V829" s="2" t="n">
        <f aca="false">INDEX(Summary!$R$2:$R$201,MATCH($B829,Summary!$A$2:$A$201,0))</f>
        <v>23.25</v>
      </c>
      <c r="W829" s="0" t="str">
        <f aca="false">INDEX(Summary!$S$2:$S$201,MATCH($B829,Summary!$A$2:$A$201,0))</f>
        <v>Silver</v>
      </c>
      <c r="X829" s="2" t="n">
        <f aca="false">INDEX(Summary!$T$2:$T$201,MATCH($B829,Summary!$A$2:$A$201,0))</f>
        <v>56.71</v>
      </c>
      <c r="Y829" s="0" t="str">
        <f aca="false">INDEX('Reward Model'!$E$18:$E$37,MATCH($E829,'Reward Model'!$A$18:$A$37,0))</f>
        <v>Medium</v>
      </c>
      <c r="Z829" s="4" t="n">
        <f aca="false">ROUND(MIN(1,MAX('Reward Model'!$B$2,INDEX('Reward Model'!$C$12:$C$14,MATCH($K829,'Reward Model'!$A$12:$A$14,0))/$J829)),3)</f>
        <v>1</v>
      </c>
      <c r="AA829" s="2" t="n">
        <f aca="false">IF($I829="Correct",ROUND(INDEX('Reward Model'!$B$12:$B$14,MATCH($K829,'Reward Model'!$A$12:$A$14,0))*Z829,2),0)</f>
        <v>1</v>
      </c>
      <c r="AB829" s="2" t="n">
        <f aca="false">IF($I829="Correct",ROUND(INDEX('Reward Model'!$B$12:$B$14,MATCH($Y829,'Reward Model'!$A$12:$A$14,0))*Z829,2),0)</f>
        <v>2</v>
      </c>
    </row>
    <row r="830" customFormat="false" ht="15" hidden="false" customHeight="false" outlineLevel="0" collapsed="false">
      <c r="A830" s="0" t="s">
        <v>211</v>
      </c>
      <c r="B830" s="0" t="s">
        <v>212</v>
      </c>
      <c r="C830" s="0" t="s">
        <v>30</v>
      </c>
      <c r="D830" s="0" t="s">
        <v>189</v>
      </c>
      <c r="E830" s="0" t="n">
        <v>9</v>
      </c>
      <c r="F830" s="0" t="s">
        <v>55</v>
      </c>
      <c r="G830" s="0" t="s">
        <v>57</v>
      </c>
      <c r="H830" s="0" t="s">
        <v>57</v>
      </c>
      <c r="I830" s="0" t="s">
        <v>34</v>
      </c>
      <c r="J830" s="0" t="n">
        <v>1.8</v>
      </c>
      <c r="K830" s="0" t="s">
        <v>35</v>
      </c>
      <c r="L830" s="0" t="n">
        <f aca="false">INDEX(Summary!$F$2:$F$201,MATCH($B830,Summary!$A$2:$A$201,0))</f>
        <v>20</v>
      </c>
      <c r="M830" s="0" t="n">
        <f aca="false">INDEX(Summary!$I$2:$I$201,MATCH($B830,Summary!$A$2:$A$201,0))</f>
        <v>2</v>
      </c>
      <c r="N830" s="0" t="n">
        <f aca="false">INDEX(Summary!$J$2:$J$201,MATCH($B830,Summary!$A$2:$A$201,0))</f>
        <v>3</v>
      </c>
      <c r="O830" s="2" t="n">
        <f aca="false">INDEX(Summary!$K$2:$K$201,MATCH($B830,Summary!$A$2:$A$201,0))</f>
        <v>8.43</v>
      </c>
      <c r="P830" s="3" t="n">
        <f aca="false">INDEX(Summary!$L$2:$L$201,MATCH($B830,Summary!$A$2:$A$201,0))</f>
        <v>4</v>
      </c>
      <c r="Q830" s="3" t="n">
        <f aca="false">INDEX(Summary!$M$2:$M$201,MATCH($B830,Summary!$A$2:$A$201,0))</f>
        <v>2</v>
      </c>
      <c r="R830" s="2" t="n">
        <f aca="false">INDEX(Summary!$N$2:$N$201,MATCH($B830,Summary!$A$2:$A$201,0))</f>
        <v>11.58</v>
      </c>
      <c r="S830" s="3" t="n">
        <f aca="false">INDEX(Summary!$O$2:$O$201,MATCH($B830,Summary!$A$2:$A$201,0))</f>
        <v>8</v>
      </c>
      <c r="T830" s="3" t="n">
        <f aca="false">INDEX(Summary!$P$2:$P$201,MATCH($B830,Summary!$A$2:$A$201,0))</f>
        <v>1</v>
      </c>
      <c r="U830" s="2" t="n">
        <f aca="false">INDEX(Summary!$Q$2:$Q$201,MATCH($B830,Summary!$A$2:$A$201,0))</f>
        <v>13.77</v>
      </c>
      <c r="V830" s="2" t="n">
        <f aca="false">INDEX(Summary!$R$2:$R$201,MATCH($B830,Summary!$A$2:$A$201,0))</f>
        <v>23.25</v>
      </c>
      <c r="W830" s="0" t="str">
        <f aca="false">INDEX(Summary!$S$2:$S$201,MATCH($B830,Summary!$A$2:$A$201,0))</f>
        <v>Silver</v>
      </c>
      <c r="X830" s="2" t="n">
        <f aca="false">INDEX(Summary!$T$2:$T$201,MATCH($B830,Summary!$A$2:$A$201,0))</f>
        <v>56.71</v>
      </c>
      <c r="Y830" s="0" t="str">
        <f aca="false">INDEX('Reward Model'!$E$18:$E$37,MATCH($E830,'Reward Model'!$A$18:$A$37,0))</f>
        <v>Medium</v>
      </c>
      <c r="Z830" s="4" t="n">
        <f aca="false">ROUND(MIN(1,MAX('Reward Model'!$B$2,INDEX('Reward Model'!$C$12:$C$14,MATCH($K830,'Reward Model'!$A$12:$A$14,0))/$J830)),3)</f>
        <v>0.833</v>
      </c>
      <c r="AA830" s="2" t="n">
        <f aca="false">IF($I830="Correct",ROUND(INDEX('Reward Model'!$B$12:$B$14,MATCH($K830,'Reward Model'!$A$12:$A$14,0))*Z830,2),0)</f>
        <v>0.83</v>
      </c>
      <c r="AB830" s="2" t="n">
        <f aca="false">IF($I830="Correct",ROUND(INDEX('Reward Model'!$B$12:$B$14,MATCH($Y830,'Reward Model'!$A$12:$A$14,0))*Z830,2),0)</f>
        <v>1.67</v>
      </c>
    </row>
    <row r="831" customFormat="false" ht="15" hidden="false" customHeight="false" outlineLevel="0" collapsed="false">
      <c r="A831" s="0" t="s">
        <v>211</v>
      </c>
      <c r="B831" s="0" t="s">
        <v>212</v>
      </c>
      <c r="C831" s="0" t="s">
        <v>30</v>
      </c>
      <c r="D831" s="0" t="s">
        <v>189</v>
      </c>
      <c r="E831" s="0" t="n">
        <v>10</v>
      </c>
      <c r="F831" s="0" t="s">
        <v>58</v>
      </c>
      <c r="G831" s="0" t="s">
        <v>59</v>
      </c>
      <c r="H831" s="0" t="s">
        <v>59</v>
      </c>
      <c r="I831" s="0" t="s">
        <v>34</v>
      </c>
      <c r="J831" s="0" t="n">
        <v>1.92</v>
      </c>
      <c r="K831" s="0" t="s">
        <v>60</v>
      </c>
      <c r="L831" s="0" t="n">
        <f aca="false">INDEX(Summary!$F$2:$F$201,MATCH($B831,Summary!$A$2:$A$201,0))</f>
        <v>20</v>
      </c>
      <c r="M831" s="0" t="n">
        <f aca="false">INDEX(Summary!$I$2:$I$201,MATCH($B831,Summary!$A$2:$A$201,0))</f>
        <v>2</v>
      </c>
      <c r="N831" s="0" t="n">
        <f aca="false">INDEX(Summary!$J$2:$J$201,MATCH($B831,Summary!$A$2:$A$201,0))</f>
        <v>3</v>
      </c>
      <c r="O831" s="2" t="n">
        <f aca="false">INDEX(Summary!$K$2:$K$201,MATCH($B831,Summary!$A$2:$A$201,0))</f>
        <v>8.43</v>
      </c>
      <c r="P831" s="3" t="n">
        <f aca="false">INDEX(Summary!$L$2:$L$201,MATCH($B831,Summary!$A$2:$A$201,0))</f>
        <v>4</v>
      </c>
      <c r="Q831" s="3" t="n">
        <f aca="false">INDEX(Summary!$M$2:$M$201,MATCH($B831,Summary!$A$2:$A$201,0))</f>
        <v>2</v>
      </c>
      <c r="R831" s="2" t="n">
        <f aca="false">INDEX(Summary!$N$2:$N$201,MATCH($B831,Summary!$A$2:$A$201,0))</f>
        <v>11.58</v>
      </c>
      <c r="S831" s="3" t="n">
        <f aca="false">INDEX(Summary!$O$2:$O$201,MATCH($B831,Summary!$A$2:$A$201,0))</f>
        <v>8</v>
      </c>
      <c r="T831" s="3" t="n">
        <f aca="false">INDEX(Summary!$P$2:$P$201,MATCH($B831,Summary!$A$2:$A$201,0))</f>
        <v>1</v>
      </c>
      <c r="U831" s="2" t="n">
        <f aca="false">INDEX(Summary!$Q$2:$Q$201,MATCH($B831,Summary!$A$2:$A$201,0))</f>
        <v>13.77</v>
      </c>
      <c r="V831" s="2" t="n">
        <f aca="false">INDEX(Summary!$R$2:$R$201,MATCH($B831,Summary!$A$2:$A$201,0))</f>
        <v>23.25</v>
      </c>
      <c r="W831" s="0" t="str">
        <f aca="false">INDEX(Summary!$S$2:$S$201,MATCH($B831,Summary!$A$2:$A$201,0))</f>
        <v>Silver</v>
      </c>
      <c r="X831" s="2" t="n">
        <f aca="false">INDEX(Summary!$T$2:$T$201,MATCH($B831,Summary!$A$2:$A$201,0))</f>
        <v>56.71</v>
      </c>
      <c r="Y831" s="0" t="str">
        <f aca="false">INDEX('Reward Model'!$E$18:$E$37,MATCH($E831,'Reward Model'!$A$18:$A$37,0))</f>
        <v>Medium</v>
      </c>
      <c r="Z831" s="4" t="n">
        <f aca="false">ROUND(MIN(1,MAX('Reward Model'!$B$2,INDEX('Reward Model'!$C$12:$C$14,MATCH($K831,'Reward Model'!$A$12:$A$14,0))/$J831)),3)</f>
        <v>0.938</v>
      </c>
      <c r="AA831" s="2" t="n">
        <f aca="false">IF($I831="Correct",ROUND(INDEX('Reward Model'!$B$12:$B$14,MATCH($K831,'Reward Model'!$A$12:$A$14,0))*Z831,2),0)</f>
        <v>1.88</v>
      </c>
      <c r="AB831" s="2" t="n">
        <f aca="false">IF($I831="Correct",ROUND(INDEX('Reward Model'!$B$12:$B$14,MATCH($Y831,'Reward Model'!$A$12:$A$14,0))*Z831,2),0)</f>
        <v>1.88</v>
      </c>
    </row>
    <row r="832" customFormat="false" ht="15" hidden="false" customHeight="false" outlineLevel="0" collapsed="false">
      <c r="A832" s="0" t="s">
        <v>211</v>
      </c>
      <c r="B832" s="0" t="s">
        <v>212</v>
      </c>
      <c r="C832" s="0" t="s">
        <v>30</v>
      </c>
      <c r="D832" s="0" t="s">
        <v>189</v>
      </c>
      <c r="E832" s="0" t="n">
        <v>11</v>
      </c>
      <c r="F832" s="0" t="s">
        <v>61</v>
      </c>
      <c r="G832" s="0" t="s">
        <v>63</v>
      </c>
      <c r="H832" s="0" t="s">
        <v>63</v>
      </c>
      <c r="I832" s="0" t="s">
        <v>34</v>
      </c>
      <c r="J832" s="0" t="n">
        <v>2.09</v>
      </c>
      <c r="K832" s="0" t="s">
        <v>60</v>
      </c>
      <c r="L832" s="0" t="n">
        <f aca="false">INDEX(Summary!$F$2:$F$201,MATCH($B832,Summary!$A$2:$A$201,0))</f>
        <v>20</v>
      </c>
      <c r="M832" s="0" t="n">
        <f aca="false">INDEX(Summary!$I$2:$I$201,MATCH($B832,Summary!$A$2:$A$201,0))</f>
        <v>2</v>
      </c>
      <c r="N832" s="0" t="n">
        <f aca="false">INDEX(Summary!$J$2:$J$201,MATCH($B832,Summary!$A$2:$A$201,0))</f>
        <v>3</v>
      </c>
      <c r="O832" s="2" t="n">
        <f aca="false">INDEX(Summary!$K$2:$K$201,MATCH($B832,Summary!$A$2:$A$201,0))</f>
        <v>8.43</v>
      </c>
      <c r="P832" s="3" t="n">
        <f aca="false">INDEX(Summary!$L$2:$L$201,MATCH($B832,Summary!$A$2:$A$201,0))</f>
        <v>4</v>
      </c>
      <c r="Q832" s="3" t="n">
        <f aca="false">INDEX(Summary!$M$2:$M$201,MATCH($B832,Summary!$A$2:$A$201,0))</f>
        <v>2</v>
      </c>
      <c r="R832" s="2" t="n">
        <f aca="false">INDEX(Summary!$N$2:$N$201,MATCH($B832,Summary!$A$2:$A$201,0))</f>
        <v>11.58</v>
      </c>
      <c r="S832" s="3" t="n">
        <f aca="false">INDEX(Summary!$O$2:$O$201,MATCH($B832,Summary!$A$2:$A$201,0))</f>
        <v>8</v>
      </c>
      <c r="T832" s="3" t="n">
        <f aca="false">INDEX(Summary!$P$2:$P$201,MATCH($B832,Summary!$A$2:$A$201,0))</f>
        <v>1</v>
      </c>
      <c r="U832" s="2" t="n">
        <f aca="false">INDEX(Summary!$Q$2:$Q$201,MATCH($B832,Summary!$A$2:$A$201,0))</f>
        <v>13.77</v>
      </c>
      <c r="V832" s="2" t="n">
        <f aca="false">INDEX(Summary!$R$2:$R$201,MATCH($B832,Summary!$A$2:$A$201,0))</f>
        <v>23.25</v>
      </c>
      <c r="W832" s="0" t="str">
        <f aca="false">INDEX(Summary!$S$2:$S$201,MATCH($B832,Summary!$A$2:$A$201,0))</f>
        <v>Silver</v>
      </c>
      <c r="X832" s="2" t="n">
        <f aca="false">INDEX(Summary!$T$2:$T$201,MATCH($B832,Summary!$A$2:$A$201,0))</f>
        <v>56.71</v>
      </c>
      <c r="Y832" s="0" t="str">
        <f aca="false">INDEX('Reward Model'!$E$18:$E$37,MATCH($E832,'Reward Model'!$A$18:$A$37,0))</f>
        <v>Medium</v>
      </c>
      <c r="Z832" s="4" t="n">
        <f aca="false">ROUND(MIN(1,MAX('Reward Model'!$B$2,INDEX('Reward Model'!$C$12:$C$14,MATCH($K832,'Reward Model'!$A$12:$A$14,0))/$J832)),3)</f>
        <v>0.861</v>
      </c>
      <c r="AA832" s="2" t="n">
        <f aca="false">IF($I832="Correct",ROUND(INDEX('Reward Model'!$B$12:$B$14,MATCH($K832,'Reward Model'!$A$12:$A$14,0))*Z832,2),0)</f>
        <v>1.72</v>
      </c>
      <c r="AB832" s="2" t="n">
        <f aca="false">IF($I832="Correct",ROUND(INDEX('Reward Model'!$B$12:$B$14,MATCH($Y832,'Reward Model'!$A$12:$A$14,0))*Z832,2),0)</f>
        <v>1.72</v>
      </c>
    </row>
    <row r="833" customFormat="false" ht="15" hidden="false" customHeight="false" outlineLevel="0" collapsed="false">
      <c r="A833" s="0" t="s">
        <v>211</v>
      </c>
      <c r="B833" s="0" t="s">
        <v>212</v>
      </c>
      <c r="C833" s="0" t="s">
        <v>30</v>
      </c>
      <c r="D833" s="0" t="s">
        <v>189</v>
      </c>
      <c r="E833" s="0" t="n">
        <v>12</v>
      </c>
      <c r="F833" s="0" t="s">
        <v>64</v>
      </c>
      <c r="G833" s="0" t="s">
        <v>65</v>
      </c>
      <c r="H833" s="0" t="s">
        <v>65</v>
      </c>
      <c r="I833" s="0" t="s">
        <v>34</v>
      </c>
      <c r="J833" s="0" t="n">
        <v>2.24</v>
      </c>
      <c r="K833" s="0" t="s">
        <v>60</v>
      </c>
      <c r="L833" s="0" t="n">
        <f aca="false">INDEX(Summary!$F$2:$F$201,MATCH($B833,Summary!$A$2:$A$201,0))</f>
        <v>20</v>
      </c>
      <c r="M833" s="0" t="n">
        <f aca="false">INDEX(Summary!$I$2:$I$201,MATCH($B833,Summary!$A$2:$A$201,0))</f>
        <v>2</v>
      </c>
      <c r="N833" s="0" t="n">
        <f aca="false">INDEX(Summary!$J$2:$J$201,MATCH($B833,Summary!$A$2:$A$201,0))</f>
        <v>3</v>
      </c>
      <c r="O833" s="2" t="n">
        <f aca="false">INDEX(Summary!$K$2:$K$201,MATCH($B833,Summary!$A$2:$A$201,0))</f>
        <v>8.43</v>
      </c>
      <c r="P833" s="3" t="n">
        <f aca="false">INDEX(Summary!$L$2:$L$201,MATCH($B833,Summary!$A$2:$A$201,0))</f>
        <v>4</v>
      </c>
      <c r="Q833" s="3" t="n">
        <f aca="false">INDEX(Summary!$M$2:$M$201,MATCH($B833,Summary!$A$2:$A$201,0))</f>
        <v>2</v>
      </c>
      <c r="R833" s="2" t="n">
        <f aca="false">INDEX(Summary!$N$2:$N$201,MATCH($B833,Summary!$A$2:$A$201,0))</f>
        <v>11.58</v>
      </c>
      <c r="S833" s="3" t="n">
        <f aca="false">INDEX(Summary!$O$2:$O$201,MATCH($B833,Summary!$A$2:$A$201,0))</f>
        <v>8</v>
      </c>
      <c r="T833" s="3" t="n">
        <f aca="false">INDEX(Summary!$P$2:$P$201,MATCH($B833,Summary!$A$2:$A$201,0))</f>
        <v>1</v>
      </c>
      <c r="U833" s="2" t="n">
        <f aca="false">INDEX(Summary!$Q$2:$Q$201,MATCH($B833,Summary!$A$2:$A$201,0))</f>
        <v>13.77</v>
      </c>
      <c r="V833" s="2" t="n">
        <f aca="false">INDEX(Summary!$R$2:$R$201,MATCH($B833,Summary!$A$2:$A$201,0))</f>
        <v>23.25</v>
      </c>
      <c r="W833" s="0" t="str">
        <f aca="false">INDEX(Summary!$S$2:$S$201,MATCH($B833,Summary!$A$2:$A$201,0))</f>
        <v>Silver</v>
      </c>
      <c r="X833" s="2" t="n">
        <f aca="false">INDEX(Summary!$T$2:$T$201,MATCH($B833,Summary!$A$2:$A$201,0))</f>
        <v>56.71</v>
      </c>
      <c r="Y833" s="0" t="str">
        <f aca="false">INDEX('Reward Model'!$E$18:$E$37,MATCH($E833,'Reward Model'!$A$18:$A$37,0))</f>
        <v>Medium</v>
      </c>
      <c r="Z833" s="4" t="n">
        <f aca="false">ROUND(MIN(1,MAX('Reward Model'!$B$2,INDEX('Reward Model'!$C$12:$C$14,MATCH($K833,'Reward Model'!$A$12:$A$14,0))/$J833)),3)</f>
        <v>0.804</v>
      </c>
      <c r="AA833" s="2" t="n">
        <f aca="false">IF($I833="Correct",ROUND(INDEX('Reward Model'!$B$12:$B$14,MATCH($K833,'Reward Model'!$A$12:$A$14,0))*Z833,2),0)</f>
        <v>1.61</v>
      </c>
      <c r="AB833" s="2" t="n">
        <f aca="false">IF($I833="Correct",ROUND(INDEX('Reward Model'!$B$12:$B$14,MATCH($Y833,'Reward Model'!$A$12:$A$14,0))*Z833,2),0)</f>
        <v>1.61</v>
      </c>
    </row>
    <row r="834" customFormat="false" ht="15" hidden="false" customHeight="false" outlineLevel="0" collapsed="false">
      <c r="A834" s="0" t="s">
        <v>211</v>
      </c>
      <c r="B834" s="0" t="s">
        <v>212</v>
      </c>
      <c r="C834" s="0" t="s">
        <v>30</v>
      </c>
      <c r="D834" s="0" t="s">
        <v>189</v>
      </c>
      <c r="E834" s="0" t="n">
        <v>13</v>
      </c>
      <c r="F834" s="0" t="s">
        <v>66</v>
      </c>
      <c r="G834" s="0" t="s">
        <v>67</v>
      </c>
      <c r="H834" s="0" t="s">
        <v>67</v>
      </c>
      <c r="I834" s="0" t="s">
        <v>34</v>
      </c>
      <c r="J834" s="0" t="n">
        <v>1.98</v>
      </c>
      <c r="K834" s="0" t="s">
        <v>60</v>
      </c>
      <c r="L834" s="0" t="n">
        <f aca="false">INDEX(Summary!$F$2:$F$201,MATCH($B834,Summary!$A$2:$A$201,0))</f>
        <v>20</v>
      </c>
      <c r="M834" s="0" t="n">
        <f aca="false">INDEX(Summary!$I$2:$I$201,MATCH($B834,Summary!$A$2:$A$201,0))</f>
        <v>2</v>
      </c>
      <c r="N834" s="0" t="n">
        <f aca="false">INDEX(Summary!$J$2:$J$201,MATCH($B834,Summary!$A$2:$A$201,0))</f>
        <v>3</v>
      </c>
      <c r="O834" s="2" t="n">
        <f aca="false">INDEX(Summary!$K$2:$K$201,MATCH($B834,Summary!$A$2:$A$201,0))</f>
        <v>8.43</v>
      </c>
      <c r="P834" s="3" t="n">
        <f aca="false">INDEX(Summary!$L$2:$L$201,MATCH($B834,Summary!$A$2:$A$201,0))</f>
        <v>4</v>
      </c>
      <c r="Q834" s="3" t="n">
        <f aca="false">INDEX(Summary!$M$2:$M$201,MATCH($B834,Summary!$A$2:$A$201,0))</f>
        <v>2</v>
      </c>
      <c r="R834" s="2" t="n">
        <f aca="false">INDEX(Summary!$N$2:$N$201,MATCH($B834,Summary!$A$2:$A$201,0))</f>
        <v>11.58</v>
      </c>
      <c r="S834" s="3" t="n">
        <f aca="false">INDEX(Summary!$O$2:$O$201,MATCH($B834,Summary!$A$2:$A$201,0))</f>
        <v>8</v>
      </c>
      <c r="T834" s="3" t="n">
        <f aca="false">INDEX(Summary!$P$2:$P$201,MATCH($B834,Summary!$A$2:$A$201,0))</f>
        <v>1</v>
      </c>
      <c r="U834" s="2" t="n">
        <f aca="false">INDEX(Summary!$Q$2:$Q$201,MATCH($B834,Summary!$A$2:$A$201,0))</f>
        <v>13.77</v>
      </c>
      <c r="V834" s="2" t="n">
        <f aca="false">INDEX(Summary!$R$2:$R$201,MATCH($B834,Summary!$A$2:$A$201,0))</f>
        <v>23.25</v>
      </c>
      <c r="W834" s="0" t="str">
        <f aca="false">INDEX(Summary!$S$2:$S$201,MATCH($B834,Summary!$A$2:$A$201,0))</f>
        <v>Silver</v>
      </c>
      <c r="X834" s="2" t="n">
        <f aca="false">INDEX(Summary!$T$2:$T$201,MATCH($B834,Summary!$A$2:$A$201,0))</f>
        <v>56.71</v>
      </c>
      <c r="Y834" s="0" t="str">
        <f aca="false">INDEX('Reward Model'!$E$18:$E$37,MATCH($E834,'Reward Model'!$A$18:$A$37,0))</f>
        <v>Medium</v>
      </c>
      <c r="Z834" s="4" t="n">
        <f aca="false">ROUND(MIN(1,MAX('Reward Model'!$B$2,INDEX('Reward Model'!$C$12:$C$14,MATCH($K834,'Reward Model'!$A$12:$A$14,0))/$J834)),3)</f>
        <v>0.909</v>
      </c>
      <c r="AA834" s="2" t="n">
        <f aca="false">IF($I834="Correct",ROUND(INDEX('Reward Model'!$B$12:$B$14,MATCH($K834,'Reward Model'!$A$12:$A$14,0))*Z834,2),0)</f>
        <v>1.82</v>
      </c>
      <c r="AB834" s="2" t="n">
        <f aca="false">IF($I834="Correct",ROUND(INDEX('Reward Model'!$B$12:$B$14,MATCH($Y834,'Reward Model'!$A$12:$A$14,0))*Z834,2),0)</f>
        <v>1.82</v>
      </c>
    </row>
    <row r="835" customFormat="false" ht="15" hidden="false" customHeight="false" outlineLevel="0" collapsed="false">
      <c r="A835" s="0" t="s">
        <v>211</v>
      </c>
      <c r="B835" s="0" t="s">
        <v>212</v>
      </c>
      <c r="C835" s="0" t="s">
        <v>30</v>
      </c>
      <c r="D835" s="0" t="s">
        <v>189</v>
      </c>
      <c r="E835" s="0" t="n">
        <v>14</v>
      </c>
      <c r="F835" s="0" t="s">
        <v>68</v>
      </c>
      <c r="G835" s="0" t="s">
        <v>118</v>
      </c>
      <c r="H835" s="0" t="s">
        <v>51</v>
      </c>
      <c r="I835" s="0" t="s">
        <v>39</v>
      </c>
      <c r="J835" s="0" t="n">
        <v>1.71</v>
      </c>
      <c r="K835" s="0" t="s">
        <v>60</v>
      </c>
      <c r="L835" s="0" t="n">
        <f aca="false">INDEX(Summary!$F$2:$F$201,MATCH($B835,Summary!$A$2:$A$201,0))</f>
        <v>20</v>
      </c>
      <c r="M835" s="0" t="n">
        <f aca="false">INDEX(Summary!$I$2:$I$201,MATCH($B835,Summary!$A$2:$A$201,0))</f>
        <v>2</v>
      </c>
      <c r="N835" s="0" t="n">
        <f aca="false">INDEX(Summary!$J$2:$J$201,MATCH($B835,Summary!$A$2:$A$201,0))</f>
        <v>3</v>
      </c>
      <c r="O835" s="2" t="n">
        <f aca="false">INDEX(Summary!$K$2:$K$201,MATCH($B835,Summary!$A$2:$A$201,0))</f>
        <v>8.43</v>
      </c>
      <c r="P835" s="3" t="n">
        <f aca="false">INDEX(Summary!$L$2:$L$201,MATCH($B835,Summary!$A$2:$A$201,0))</f>
        <v>4</v>
      </c>
      <c r="Q835" s="3" t="n">
        <f aca="false">INDEX(Summary!$M$2:$M$201,MATCH($B835,Summary!$A$2:$A$201,0))</f>
        <v>2</v>
      </c>
      <c r="R835" s="2" t="n">
        <f aca="false">INDEX(Summary!$N$2:$N$201,MATCH($B835,Summary!$A$2:$A$201,0))</f>
        <v>11.58</v>
      </c>
      <c r="S835" s="3" t="n">
        <f aca="false">INDEX(Summary!$O$2:$O$201,MATCH($B835,Summary!$A$2:$A$201,0))</f>
        <v>8</v>
      </c>
      <c r="T835" s="3" t="n">
        <f aca="false">INDEX(Summary!$P$2:$P$201,MATCH($B835,Summary!$A$2:$A$201,0))</f>
        <v>1</v>
      </c>
      <c r="U835" s="2" t="n">
        <f aca="false">INDEX(Summary!$Q$2:$Q$201,MATCH($B835,Summary!$A$2:$A$201,0))</f>
        <v>13.77</v>
      </c>
      <c r="V835" s="2" t="n">
        <f aca="false">INDEX(Summary!$R$2:$R$201,MATCH($B835,Summary!$A$2:$A$201,0))</f>
        <v>23.25</v>
      </c>
      <c r="W835" s="0" t="str">
        <f aca="false">INDEX(Summary!$S$2:$S$201,MATCH($B835,Summary!$A$2:$A$201,0))</f>
        <v>Silver</v>
      </c>
      <c r="X835" s="2" t="n">
        <f aca="false">INDEX(Summary!$T$2:$T$201,MATCH($B835,Summary!$A$2:$A$201,0))</f>
        <v>56.71</v>
      </c>
      <c r="Y835" s="0" t="str">
        <f aca="false">INDEX('Reward Model'!$E$18:$E$37,MATCH($E835,'Reward Model'!$A$18:$A$37,0))</f>
        <v>Medium</v>
      </c>
      <c r="Z835" s="4" t="n">
        <f aca="false">ROUND(MIN(1,MAX('Reward Model'!$B$2,INDEX('Reward Model'!$C$12:$C$14,MATCH($K835,'Reward Model'!$A$12:$A$14,0))/$J835)),3)</f>
        <v>1</v>
      </c>
      <c r="AA835" s="2" t="n">
        <f aca="false">IF($I835="Correct",ROUND(INDEX('Reward Model'!$B$12:$B$14,MATCH($K835,'Reward Model'!$A$12:$A$14,0))*Z835,2),0)</f>
        <v>0</v>
      </c>
      <c r="AB835" s="2" t="n">
        <f aca="false">IF($I835="Correct",ROUND(INDEX('Reward Model'!$B$12:$B$14,MATCH($Y835,'Reward Model'!$A$12:$A$14,0))*Z835,2),0)</f>
        <v>0</v>
      </c>
    </row>
    <row r="836" customFormat="false" ht="15" hidden="false" customHeight="false" outlineLevel="0" collapsed="false">
      <c r="A836" s="0" t="s">
        <v>211</v>
      </c>
      <c r="B836" s="0" t="s">
        <v>212</v>
      </c>
      <c r="C836" s="0" t="s">
        <v>30</v>
      </c>
      <c r="D836" s="0" t="s">
        <v>189</v>
      </c>
      <c r="E836" s="0" t="n">
        <v>15</v>
      </c>
      <c r="F836" s="0" t="s">
        <v>69</v>
      </c>
      <c r="G836" s="0" t="s">
        <v>139</v>
      </c>
      <c r="H836" s="0" t="s">
        <v>70</v>
      </c>
      <c r="I836" s="0" t="s">
        <v>39</v>
      </c>
      <c r="J836" s="0" t="n">
        <v>1.64</v>
      </c>
      <c r="K836" s="0" t="s">
        <v>60</v>
      </c>
      <c r="L836" s="0" t="n">
        <f aca="false">INDEX(Summary!$F$2:$F$201,MATCH($B836,Summary!$A$2:$A$201,0))</f>
        <v>20</v>
      </c>
      <c r="M836" s="0" t="n">
        <f aca="false">INDEX(Summary!$I$2:$I$201,MATCH($B836,Summary!$A$2:$A$201,0))</f>
        <v>2</v>
      </c>
      <c r="N836" s="0" t="n">
        <f aca="false">INDEX(Summary!$J$2:$J$201,MATCH($B836,Summary!$A$2:$A$201,0))</f>
        <v>3</v>
      </c>
      <c r="O836" s="2" t="n">
        <f aca="false">INDEX(Summary!$K$2:$K$201,MATCH($B836,Summary!$A$2:$A$201,0))</f>
        <v>8.43</v>
      </c>
      <c r="P836" s="3" t="n">
        <f aca="false">INDEX(Summary!$L$2:$L$201,MATCH($B836,Summary!$A$2:$A$201,0))</f>
        <v>4</v>
      </c>
      <c r="Q836" s="3" t="n">
        <f aca="false">INDEX(Summary!$M$2:$M$201,MATCH($B836,Summary!$A$2:$A$201,0))</f>
        <v>2</v>
      </c>
      <c r="R836" s="2" t="n">
        <f aca="false">INDEX(Summary!$N$2:$N$201,MATCH($B836,Summary!$A$2:$A$201,0))</f>
        <v>11.58</v>
      </c>
      <c r="S836" s="3" t="n">
        <f aca="false">INDEX(Summary!$O$2:$O$201,MATCH($B836,Summary!$A$2:$A$201,0))</f>
        <v>8</v>
      </c>
      <c r="T836" s="3" t="n">
        <f aca="false">INDEX(Summary!$P$2:$P$201,MATCH($B836,Summary!$A$2:$A$201,0))</f>
        <v>1</v>
      </c>
      <c r="U836" s="2" t="n">
        <f aca="false">INDEX(Summary!$Q$2:$Q$201,MATCH($B836,Summary!$A$2:$A$201,0))</f>
        <v>13.77</v>
      </c>
      <c r="V836" s="2" t="n">
        <f aca="false">INDEX(Summary!$R$2:$R$201,MATCH($B836,Summary!$A$2:$A$201,0))</f>
        <v>23.25</v>
      </c>
      <c r="W836" s="0" t="str">
        <f aca="false">INDEX(Summary!$S$2:$S$201,MATCH($B836,Summary!$A$2:$A$201,0))</f>
        <v>Silver</v>
      </c>
      <c r="X836" s="2" t="n">
        <f aca="false">INDEX(Summary!$T$2:$T$201,MATCH($B836,Summary!$A$2:$A$201,0))</f>
        <v>56.71</v>
      </c>
      <c r="Y836" s="0" t="str">
        <f aca="false">INDEX('Reward Model'!$E$18:$E$37,MATCH($E836,'Reward Model'!$A$18:$A$37,0))</f>
        <v>Medium</v>
      </c>
      <c r="Z836" s="4" t="n">
        <f aca="false">ROUND(MIN(1,MAX('Reward Model'!$B$2,INDEX('Reward Model'!$C$12:$C$14,MATCH($K836,'Reward Model'!$A$12:$A$14,0))/$J836)),3)</f>
        <v>1</v>
      </c>
      <c r="AA836" s="2" t="n">
        <f aca="false">IF($I836="Correct",ROUND(INDEX('Reward Model'!$B$12:$B$14,MATCH($K836,'Reward Model'!$A$12:$A$14,0))*Z836,2),0)</f>
        <v>0</v>
      </c>
      <c r="AB836" s="2" t="n">
        <f aca="false">IF($I836="Correct",ROUND(INDEX('Reward Model'!$B$12:$B$14,MATCH($Y836,'Reward Model'!$A$12:$A$14,0))*Z836,2),0)</f>
        <v>0</v>
      </c>
    </row>
    <row r="837" customFormat="false" ht="15" hidden="false" customHeight="false" outlineLevel="0" collapsed="false">
      <c r="A837" s="0" t="s">
        <v>211</v>
      </c>
      <c r="B837" s="0" t="s">
        <v>212</v>
      </c>
      <c r="C837" s="0" t="s">
        <v>30</v>
      </c>
      <c r="D837" s="0" t="s">
        <v>189</v>
      </c>
      <c r="E837" s="0" t="n">
        <v>16</v>
      </c>
      <c r="F837" s="0" t="s">
        <v>71</v>
      </c>
      <c r="G837" s="0" t="s">
        <v>72</v>
      </c>
      <c r="H837" s="0" t="s">
        <v>72</v>
      </c>
      <c r="I837" s="0" t="s">
        <v>34</v>
      </c>
      <c r="J837" s="0" t="n">
        <v>2.27</v>
      </c>
      <c r="K837" s="0" t="s">
        <v>73</v>
      </c>
      <c r="L837" s="0" t="n">
        <f aca="false">INDEX(Summary!$F$2:$F$201,MATCH($B837,Summary!$A$2:$A$201,0))</f>
        <v>20</v>
      </c>
      <c r="M837" s="0" t="n">
        <f aca="false">INDEX(Summary!$I$2:$I$201,MATCH($B837,Summary!$A$2:$A$201,0))</f>
        <v>2</v>
      </c>
      <c r="N837" s="0" t="n">
        <f aca="false">INDEX(Summary!$J$2:$J$201,MATCH($B837,Summary!$A$2:$A$201,0))</f>
        <v>3</v>
      </c>
      <c r="O837" s="2" t="n">
        <f aca="false">INDEX(Summary!$K$2:$K$201,MATCH($B837,Summary!$A$2:$A$201,0))</f>
        <v>8.43</v>
      </c>
      <c r="P837" s="3" t="n">
        <f aca="false">INDEX(Summary!$L$2:$L$201,MATCH($B837,Summary!$A$2:$A$201,0))</f>
        <v>4</v>
      </c>
      <c r="Q837" s="3" t="n">
        <f aca="false">INDEX(Summary!$M$2:$M$201,MATCH($B837,Summary!$A$2:$A$201,0))</f>
        <v>2</v>
      </c>
      <c r="R837" s="2" t="n">
        <f aca="false">INDEX(Summary!$N$2:$N$201,MATCH($B837,Summary!$A$2:$A$201,0))</f>
        <v>11.58</v>
      </c>
      <c r="S837" s="3" t="n">
        <f aca="false">INDEX(Summary!$O$2:$O$201,MATCH($B837,Summary!$A$2:$A$201,0))</f>
        <v>8</v>
      </c>
      <c r="T837" s="3" t="n">
        <f aca="false">INDEX(Summary!$P$2:$P$201,MATCH($B837,Summary!$A$2:$A$201,0))</f>
        <v>1</v>
      </c>
      <c r="U837" s="2" t="n">
        <f aca="false">INDEX(Summary!$Q$2:$Q$201,MATCH($B837,Summary!$A$2:$A$201,0))</f>
        <v>13.77</v>
      </c>
      <c r="V837" s="2" t="n">
        <f aca="false">INDEX(Summary!$R$2:$R$201,MATCH($B837,Summary!$A$2:$A$201,0))</f>
        <v>23.25</v>
      </c>
      <c r="W837" s="0" t="str">
        <f aca="false">INDEX(Summary!$S$2:$S$201,MATCH($B837,Summary!$A$2:$A$201,0))</f>
        <v>Silver</v>
      </c>
      <c r="X837" s="2" t="n">
        <f aca="false">INDEX(Summary!$T$2:$T$201,MATCH($B837,Summary!$A$2:$A$201,0))</f>
        <v>56.71</v>
      </c>
      <c r="Y837" s="0" t="str">
        <f aca="false">INDEX('Reward Model'!$E$18:$E$37,MATCH($E837,'Reward Model'!$A$18:$A$37,0))</f>
        <v>High</v>
      </c>
      <c r="Z837" s="4" t="n">
        <f aca="false">ROUND(MIN(1,MAX('Reward Model'!$B$2,INDEX('Reward Model'!$C$12:$C$14,MATCH($K837,'Reward Model'!$A$12:$A$14,0))/$J837)),3)</f>
        <v>0.881</v>
      </c>
      <c r="AA837" s="2" t="n">
        <f aca="false">IF($I837="Correct",ROUND(INDEX('Reward Model'!$B$12:$B$14,MATCH($K837,'Reward Model'!$A$12:$A$14,0))*Z837,2),0)</f>
        <v>2.64</v>
      </c>
      <c r="AB837" s="2" t="n">
        <f aca="false">IF($I837="Correct",ROUND(INDEX('Reward Model'!$B$12:$B$14,MATCH($Y837,'Reward Model'!$A$12:$A$14,0))*Z837,2),0)</f>
        <v>2.64</v>
      </c>
    </row>
    <row r="838" customFormat="false" ht="15" hidden="false" customHeight="false" outlineLevel="0" collapsed="false">
      <c r="A838" s="0" t="s">
        <v>211</v>
      </c>
      <c r="B838" s="0" t="s">
        <v>212</v>
      </c>
      <c r="C838" s="0" t="s">
        <v>30</v>
      </c>
      <c r="D838" s="0" t="s">
        <v>189</v>
      </c>
      <c r="E838" s="0" t="n">
        <v>17</v>
      </c>
      <c r="F838" s="0" t="s">
        <v>74</v>
      </c>
      <c r="G838" s="0" t="s">
        <v>105</v>
      </c>
      <c r="H838" s="0" t="s">
        <v>75</v>
      </c>
      <c r="I838" s="0" t="s">
        <v>39</v>
      </c>
      <c r="J838" s="0" t="n">
        <v>1.81</v>
      </c>
      <c r="K838" s="0" t="s">
        <v>73</v>
      </c>
      <c r="L838" s="0" t="n">
        <f aca="false">INDEX(Summary!$F$2:$F$201,MATCH($B838,Summary!$A$2:$A$201,0))</f>
        <v>20</v>
      </c>
      <c r="M838" s="0" t="n">
        <f aca="false">INDEX(Summary!$I$2:$I$201,MATCH($B838,Summary!$A$2:$A$201,0))</f>
        <v>2</v>
      </c>
      <c r="N838" s="0" t="n">
        <f aca="false">INDEX(Summary!$J$2:$J$201,MATCH($B838,Summary!$A$2:$A$201,0))</f>
        <v>3</v>
      </c>
      <c r="O838" s="2" t="n">
        <f aca="false">INDEX(Summary!$K$2:$K$201,MATCH($B838,Summary!$A$2:$A$201,0))</f>
        <v>8.43</v>
      </c>
      <c r="P838" s="3" t="n">
        <f aca="false">INDEX(Summary!$L$2:$L$201,MATCH($B838,Summary!$A$2:$A$201,0))</f>
        <v>4</v>
      </c>
      <c r="Q838" s="3" t="n">
        <f aca="false">INDEX(Summary!$M$2:$M$201,MATCH($B838,Summary!$A$2:$A$201,0))</f>
        <v>2</v>
      </c>
      <c r="R838" s="2" t="n">
        <f aca="false">INDEX(Summary!$N$2:$N$201,MATCH($B838,Summary!$A$2:$A$201,0))</f>
        <v>11.58</v>
      </c>
      <c r="S838" s="3" t="n">
        <f aca="false">INDEX(Summary!$O$2:$O$201,MATCH($B838,Summary!$A$2:$A$201,0))</f>
        <v>8</v>
      </c>
      <c r="T838" s="3" t="n">
        <f aca="false">INDEX(Summary!$P$2:$P$201,MATCH($B838,Summary!$A$2:$A$201,0))</f>
        <v>1</v>
      </c>
      <c r="U838" s="2" t="n">
        <f aca="false">INDEX(Summary!$Q$2:$Q$201,MATCH($B838,Summary!$A$2:$A$201,0))</f>
        <v>13.77</v>
      </c>
      <c r="V838" s="2" t="n">
        <f aca="false">INDEX(Summary!$R$2:$R$201,MATCH($B838,Summary!$A$2:$A$201,0))</f>
        <v>23.25</v>
      </c>
      <c r="W838" s="0" t="str">
        <f aca="false">INDEX(Summary!$S$2:$S$201,MATCH($B838,Summary!$A$2:$A$201,0))</f>
        <v>Silver</v>
      </c>
      <c r="X838" s="2" t="n">
        <f aca="false">INDEX(Summary!$T$2:$T$201,MATCH($B838,Summary!$A$2:$A$201,0))</f>
        <v>56.71</v>
      </c>
      <c r="Y838" s="0" t="str">
        <f aca="false">INDEX('Reward Model'!$E$18:$E$37,MATCH($E838,'Reward Model'!$A$18:$A$37,0))</f>
        <v>High</v>
      </c>
      <c r="Z838" s="4" t="n">
        <f aca="false">ROUND(MIN(1,MAX('Reward Model'!$B$2,INDEX('Reward Model'!$C$12:$C$14,MATCH($K838,'Reward Model'!$A$12:$A$14,0))/$J838)),3)</f>
        <v>1</v>
      </c>
      <c r="AA838" s="2" t="n">
        <f aca="false">IF($I838="Correct",ROUND(INDEX('Reward Model'!$B$12:$B$14,MATCH($K838,'Reward Model'!$A$12:$A$14,0))*Z838,2),0)</f>
        <v>0</v>
      </c>
      <c r="AB838" s="2" t="n">
        <f aca="false">IF($I838="Correct",ROUND(INDEX('Reward Model'!$B$12:$B$14,MATCH($Y838,'Reward Model'!$A$12:$A$14,0))*Z838,2),0)</f>
        <v>0</v>
      </c>
    </row>
    <row r="839" customFormat="false" ht="15" hidden="false" customHeight="false" outlineLevel="0" collapsed="false">
      <c r="A839" s="0" t="s">
        <v>211</v>
      </c>
      <c r="B839" s="0" t="s">
        <v>212</v>
      </c>
      <c r="C839" s="0" t="s">
        <v>30</v>
      </c>
      <c r="D839" s="0" t="s">
        <v>189</v>
      </c>
      <c r="E839" s="0" t="n">
        <v>18</v>
      </c>
      <c r="F839" s="0" t="s">
        <v>76</v>
      </c>
      <c r="G839" s="0" t="s">
        <v>77</v>
      </c>
      <c r="H839" s="0" t="s">
        <v>77</v>
      </c>
      <c r="I839" s="0" t="s">
        <v>34</v>
      </c>
      <c r="J839" s="0" t="n">
        <v>1.36</v>
      </c>
      <c r="K839" s="0" t="s">
        <v>73</v>
      </c>
      <c r="L839" s="0" t="n">
        <f aca="false">INDEX(Summary!$F$2:$F$201,MATCH($B839,Summary!$A$2:$A$201,0))</f>
        <v>20</v>
      </c>
      <c r="M839" s="0" t="n">
        <f aca="false">INDEX(Summary!$I$2:$I$201,MATCH($B839,Summary!$A$2:$A$201,0))</f>
        <v>2</v>
      </c>
      <c r="N839" s="0" t="n">
        <f aca="false">INDEX(Summary!$J$2:$J$201,MATCH($B839,Summary!$A$2:$A$201,0))</f>
        <v>3</v>
      </c>
      <c r="O839" s="2" t="n">
        <f aca="false">INDEX(Summary!$K$2:$K$201,MATCH($B839,Summary!$A$2:$A$201,0))</f>
        <v>8.43</v>
      </c>
      <c r="P839" s="3" t="n">
        <f aca="false">INDEX(Summary!$L$2:$L$201,MATCH($B839,Summary!$A$2:$A$201,0))</f>
        <v>4</v>
      </c>
      <c r="Q839" s="3" t="n">
        <f aca="false">INDEX(Summary!$M$2:$M$201,MATCH($B839,Summary!$A$2:$A$201,0))</f>
        <v>2</v>
      </c>
      <c r="R839" s="2" t="n">
        <f aca="false">INDEX(Summary!$N$2:$N$201,MATCH($B839,Summary!$A$2:$A$201,0))</f>
        <v>11.58</v>
      </c>
      <c r="S839" s="3" t="n">
        <f aca="false">INDEX(Summary!$O$2:$O$201,MATCH($B839,Summary!$A$2:$A$201,0))</f>
        <v>8</v>
      </c>
      <c r="T839" s="3" t="n">
        <f aca="false">INDEX(Summary!$P$2:$P$201,MATCH($B839,Summary!$A$2:$A$201,0))</f>
        <v>1</v>
      </c>
      <c r="U839" s="2" t="n">
        <f aca="false">INDEX(Summary!$Q$2:$Q$201,MATCH($B839,Summary!$A$2:$A$201,0))</f>
        <v>13.77</v>
      </c>
      <c r="V839" s="2" t="n">
        <f aca="false">INDEX(Summary!$R$2:$R$201,MATCH($B839,Summary!$A$2:$A$201,0))</f>
        <v>23.25</v>
      </c>
      <c r="W839" s="0" t="str">
        <f aca="false">INDEX(Summary!$S$2:$S$201,MATCH($B839,Summary!$A$2:$A$201,0))</f>
        <v>Silver</v>
      </c>
      <c r="X839" s="2" t="n">
        <f aca="false">INDEX(Summary!$T$2:$T$201,MATCH($B839,Summary!$A$2:$A$201,0))</f>
        <v>56.71</v>
      </c>
      <c r="Y839" s="0" t="str">
        <f aca="false">INDEX('Reward Model'!$E$18:$E$37,MATCH($E839,'Reward Model'!$A$18:$A$37,0))</f>
        <v>High</v>
      </c>
      <c r="Z839" s="4" t="n">
        <f aca="false">ROUND(MIN(1,MAX('Reward Model'!$B$2,INDEX('Reward Model'!$C$12:$C$14,MATCH($K839,'Reward Model'!$A$12:$A$14,0))/$J839)),3)</f>
        <v>1</v>
      </c>
      <c r="AA839" s="2" t="n">
        <f aca="false">IF($I839="Correct",ROUND(INDEX('Reward Model'!$B$12:$B$14,MATCH($K839,'Reward Model'!$A$12:$A$14,0))*Z839,2),0)</f>
        <v>3</v>
      </c>
      <c r="AB839" s="2" t="n">
        <f aca="false">IF($I839="Correct",ROUND(INDEX('Reward Model'!$B$12:$B$14,MATCH($Y839,'Reward Model'!$A$12:$A$14,0))*Z839,2),0)</f>
        <v>3</v>
      </c>
    </row>
    <row r="840" customFormat="false" ht="15" hidden="false" customHeight="false" outlineLevel="0" collapsed="false">
      <c r="A840" s="0" t="s">
        <v>211</v>
      </c>
      <c r="B840" s="0" t="s">
        <v>212</v>
      </c>
      <c r="C840" s="0" t="s">
        <v>30</v>
      </c>
      <c r="D840" s="0" t="s">
        <v>189</v>
      </c>
      <c r="E840" s="0" t="n">
        <v>19</v>
      </c>
      <c r="F840" s="0" t="s">
        <v>78</v>
      </c>
      <c r="G840" s="0" t="s">
        <v>51</v>
      </c>
      <c r="H840" s="0" t="s">
        <v>80</v>
      </c>
      <c r="I840" s="0" t="s">
        <v>39</v>
      </c>
      <c r="J840" s="0" t="n">
        <v>1.4</v>
      </c>
      <c r="K840" s="0" t="s">
        <v>73</v>
      </c>
      <c r="L840" s="0" t="n">
        <f aca="false">INDEX(Summary!$F$2:$F$201,MATCH($B840,Summary!$A$2:$A$201,0))</f>
        <v>20</v>
      </c>
      <c r="M840" s="0" t="n">
        <f aca="false">INDEX(Summary!$I$2:$I$201,MATCH($B840,Summary!$A$2:$A$201,0))</f>
        <v>2</v>
      </c>
      <c r="N840" s="0" t="n">
        <f aca="false">INDEX(Summary!$J$2:$J$201,MATCH($B840,Summary!$A$2:$A$201,0))</f>
        <v>3</v>
      </c>
      <c r="O840" s="2" t="n">
        <f aca="false">INDEX(Summary!$K$2:$K$201,MATCH($B840,Summary!$A$2:$A$201,0))</f>
        <v>8.43</v>
      </c>
      <c r="P840" s="3" t="n">
        <f aca="false">INDEX(Summary!$L$2:$L$201,MATCH($B840,Summary!$A$2:$A$201,0))</f>
        <v>4</v>
      </c>
      <c r="Q840" s="3" t="n">
        <f aca="false">INDEX(Summary!$M$2:$M$201,MATCH($B840,Summary!$A$2:$A$201,0))</f>
        <v>2</v>
      </c>
      <c r="R840" s="2" t="n">
        <f aca="false">INDEX(Summary!$N$2:$N$201,MATCH($B840,Summary!$A$2:$A$201,0))</f>
        <v>11.58</v>
      </c>
      <c r="S840" s="3" t="n">
        <f aca="false">INDEX(Summary!$O$2:$O$201,MATCH($B840,Summary!$A$2:$A$201,0))</f>
        <v>8</v>
      </c>
      <c r="T840" s="3" t="n">
        <f aca="false">INDEX(Summary!$P$2:$P$201,MATCH($B840,Summary!$A$2:$A$201,0))</f>
        <v>1</v>
      </c>
      <c r="U840" s="2" t="n">
        <f aca="false">INDEX(Summary!$Q$2:$Q$201,MATCH($B840,Summary!$A$2:$A$201,0))</f>
        <v>13.77</v>
      </c>
      <c r="V840" s="2" t="n">
        <f aca="false">INDEX(Summary!$R$2:$R$201,MATCH($B840,Summary!$A$2:$A$201,0))</f>
        <v>23.25</v>
      </c>
      <c r="W840" s="0" t="str">
        <f aca="false">INDEX(Summary!$S$2:$S$201,MATCH($B840,Summary!$A$2:$A$201,0))</f>
        <v>Silver</v>
      </c>
      <c r="X840" s="2" t="n">
        <f aca="false">INDEX(Summary!$T$2:$T$201,MATCH($B840,Summary!$A$2:$A$201,0))</f>
        <v>56.71</v>
      </c>
      <c r="Y840" s="0" t="str">
        <f aca="false">INDEX('Reward Model'!$E$18:$E$37,MATCH($E840,'Reward Model'!$A$18:$A$37,0))</f>
        <v>High</v>
      </c>
      <c r="Z840" s="4" t="n">
        <f aca="false">ROUND(MIN(1,MAX('Reward Model'!$B$2,INDEX('Reward Model'!$C$12:$C$14,MATCH($K840,'Reward Model'!$A$12:$A$14,0))/$J840)),3)</f>
        <v>1</v>
      </c>
      <c r="AA840" s="2" t="n">
        <f aca="false">IF($I840="Correct",ROUND(INDEX('Reward Model'!$B$12:$B$14,MATCH($K840,'Reward Model'!$A$12:$A$14,0))*Z840,2),0)</f>
        <v>0</v>
      </c>
      <c r="AB840" s="2" t="n">
        <f aca="false">IF($I840="Correct",ROUND(INDEX('Reward Model'!$B$12:$B$14,MATCH($Y840,'Reward Model'!$A$12:$A$14,0))*Z840,2),0)</f>
        <v>0</v>
      </c>
    </row>
    <row r="841" customFormat="false" ht="15" hidden="false" customHeight="false" outlineLevel="0" collapsed="false">
      <c r="A841" s="0" t="s">
        <v>211</v>
      </c>
      <c r="B841" s="0" t="s">
        <v>212</v>
      </c>
      <c r="C841" s="0" t="s">
        <v>30</v>
      </c>
      <c r="D841" s="0" t="s">
        <v>189</v>
      </c>
      <c r="E841" s="0" t="n">
        <v>20</v>
      </c>
      <c r="F841" s="0" t="s">
        <v>81</v>
      </c>
      <c r="G841" s="0" t="s">
        <v>166</v>
      </c>
      <c r="H841" s="0" t="s">
        <v>83</v>
      </c>
      <c r="I841" s="0" t="s">
        <v>39</v>
      </c>
      <c r="J841" s="0" t="n">
        <v>1.59</v>
      </c>
      <c r="K841" s="0" t="s">
        <v>73</v>
      </c>
      <c r="L841" s="0" t="n">
        <f aca="false">INDEX(Summary!$F$2:$F$201,MATCH($B841,Summary!$A$2:$A$201,0))</f>
        <v>20</v>
      </c>
      <c r="M841" s="0" t="n">
        <f aca="false">INDEX(Summary!$I$2:$I$201,MATCH($B841,Summary!$A$2:$A$201,0))</f>
        <v>2</v>
      </c>
      <c r="N841" s="0" t="n">
        <f aca="false">INDEX(Summary!$J$2:$J$201,MATCH($B841,Summary!$A$2:$A$201,0))</f>
        <v>3</v>
      </c>
      <c r="O841" s="2" t="n">
        <f aca="false">INDEX(Summary!$K$2:$K$201,MATCH($B841,Summary!$A$2:$A$201,0))</f>
        <v>8.43</v>
      </c>
      <c r="P841" s="3" t="n">
        <f aca="false">INDEX(Summary!$L$2:$L$201,MATCH($B841,Summary!$A$2:$A$201,0))</f>
        <v>4</v>
      </c>
      <c r="Q841" s="3" t="n">
        <f aca="false">INDEX(Summary!$M$2:$M$201,MATCH($B841,Summary!$A$2:$A$201,0))</f>
        <v>2</v>
      </c>
      <c r="R841" s="2" t="n">
        <f aca="false">INDEX(Summary!$N$2:$N$201,MATCH($B841,Summary!$A$2:$A$201,0))</f>
        <v>11.58</v>
      </c>
      <c r="S841" s="3" t="n">
        <f aca="false">INDEX(Summary!$O$2:$O$201,MATCH($B841,Summary!$A$2:$A$201,0))</f>
        <v>8</v>
      </c>
      <c r="T841" s="3" t="n">
        <f aca="false">INDEX(Summary!$P$2:$P$201,MATCH($B841,Summary!$A$2:$A$201,0))</f>
        <v>1</v>
      </c>
      <c r="U841" s="2" t="n">
        <f aca="false">INDEX(Summary!$Q$2:$Q$201,MATCH($B841,Summary!$A$2:$A$201,0))</f>
        <v>13.77</v>
      </c>
      <c r="V841" s="2" t="n">
        <f aca="false">INDEX(Summary!$R$2:$R$201,MATCH($B841,Summary!$A$2:$A$201,0))</f>
        <v>23.25</v>
      </c>
      <c r="W841" s="0" t="str">
        <f aca="false">INDEX(Summary!$S$2:$S$201,MATCH($B841,Summary!$A$2:$A$201,0))</f>
        <v>Silver</v>
      </c>
      <c r="X841" s="2" t="n">
        <f aca="false">INDEX(Summary!$T$2:$T$201,MATCH($B841,Summary!$A$2:$A$201,0))</f>
        <v>56.71</v>
      </c>
      <c r="Y841" s="0" t="str">
        <f aca="false">INDEX('Reward Model'!$E$18:$E$37,MATCH($E841,'Reward Model'!$A$18:$A$37,0))</f>
        <v>High</v>
      </c>
      <c r="Z841" s="4" t="n">
        <f aca="false">ROUND(MIN(1,MAX('Reward Model'!$B$2,INDEX('Reward Model'!$C$12:$C$14,MATCH($K841,'Reward Model'!$A$12:$A$14,0))/$J841)),3)</f>
        <v>1</v>
      </c>
      <c r="AA841" s="2" t="n">
        <f aca="false">IF($I841="Correct",ROUND(INDEX('Reward Model'!$B$12:$B$14,MATCH($K841,'Reward Model'!$A$12:$A$14,0))*Z841,2),0)</f>
        <v>0</v>
      </c>
      <c r="AB841" s="2" t="n">
        <f aca="false">IF($I841="Correct",ROUND(INDEX('Reward Model'!$B$12:$B$14,MATCH($Y841,'Reward Model'!$A$12:$A$14,0))*Z841,2),0)</f>
        <v>0</v>
      </c>
    </row>
    <row r="842" customFormat="false" ht="15" hidden="false" customHeight="false" outlineLevel="0" collapsed="false">
      <c r="A842" s="0" t="s">
        <v>213</v>
      </c>
      <c r="B842" s="0" t="s">
        <v>214</v>
      </c>
      <c r="C842" s="0" t="s">
        <v>30</v>
      </c>
      <c r="D842" s="0" t="s">
        <v>189</v>
      </c>
      <c r="E842" s="0" t="n">
        <v>1</v>
      </c>
      <c r="F842" s="0" t="s">
        <v>32</v>
      </c>
      <c r="G842" s="0" t="s">
        <v>122</v>
      </c>
      <c r="H842" s="0" t="s">
        <v>33</v>
      </c>
      <c r="I842" s="0" t="s">
        <v>39</v>
      </c>
      <c r="J842" s="0" t="n">
        <v>1.18</v>
      </c>
      <c r="K842" s="0" t="s">
        <v>35</v>
      </c>
      <c r="L842" s="0" t="n">
        <f aca="false">INDEX(Summary!$F$2:$F$201,MATCH($B842,Summary!$A$2:$A$201,0))</f>
        <v>20</v>
      </c>
      <c r="M842" s="0" t="n">
        <f aca="false">INDEX(Summary!$I$2:$I$201,MATCH($B842,Summary!$A$2:$A$201,0))</f>
        <v>1</v>
      </c>
      <c r="N842" s="0" t="n">
        <f aca="false">INDEX(Summary!$J$2:$J$201,MATCH($B842,Summary!$A$2:$A$201,0))</f>
        <v>4</v>
      </c>
      <c r="O842" s="2" t="n">
        <f aca="false">INDEX(Summary!$K$2:$K$201,MATCH($B842,Summary!$A$2:$A$201,0))</f>
        <v>9.65</v>
      </c>
      <c r="P842" s="3" t="n">
        <f aca="false">INDEX(Summary!$L$2:$L$201,MATCH($B842,Summary!$A$2:$A$201,0))</f>
        <v>2</v>
      </c>
      <c r="Q842" s="3" t="n">
        <f aca="false">INDEX(Summary!$M$2:$M$201,MATCH($B842,Summary!$A$2:$A$201,0))</f>
        <v>4</v>
      </c>
      <c r="R842" s="2" t="n">
        <f aca="false">INDEX(Summary!$N$2:$N$201,MATCH($B842,Summary!$A$2:$A$201,0))</f>
        <v>11.22</v>
      </c>
      <c r="S842" s="3" t="n">
        <f aca="false">INDEX(Summary!$O$2:$O$201,MATCH($B842,Summary!$A$2:$A$201,0))</f>
        <v>6</v>
      </c>
      <c r="T842" s="3" t="n">
        <f aca="false">INDEX(Summary!$P$2:$P$201,MATCH($B842,Summary!$A$2:$A$201,0))</f>
        <v>3</v>
      </c>
      <c r="U842" s="2" t="n">
        <f aca="false">INDEX(Summary!$Q$2:$Q$201,MATCH($B842,Summary!$A$2:$A$201,0))</f>
        <v>13.17</v>
      </c>
      <c r="V842" s="2" t="n">
        <f aca="false">INDEX(Summary!$R$2:$R$201,MATCH($B842,Summary!$A$2:$A$201,0))</f>
        <v>15.76</v>
      </c>
      <c r="W842" s="0" t="str">
        <f aca="false">INDEX(Summary!$S$2:$S$201,MATCH($B842,Summary!$A$2:$A$201,0))</f>
        <v>Bronze</v>
      </c>
      <c r="X842" s="2" t="n">
        <f aca="false">INDEX(Summary!$T$2:$T$201,MATCH($B842,Summary!$A$2:$A$201,0))</f>
        <v>38.44</v>
      </c>
      <c r="Y842" s="0" t="str">
        <f aca="false">INDEX('Reward Model'!$E$18:$E$37,MATCH($E842,'Reward Model'!$A$18:$A$37,0))</f>
        <v>Medium</v>
      </c>
      <c r="Z842" s="4" t="n">
        <f aca="false">ROUND(MIN(1,MAX('Reward Model'!$B$2,INDEX('Reward Model'!$C$12:$C$14,MATCH($K842,'Reward Model'!$A$12:$A$14,0))/$J842)),3)</f>
        <v>1</v>
      </c>
      <c r="AA842" s="2" t="n">
        <f aca="false">IF($I842="Correct",ROUND(INDEX('Reward Model'!$B$12:$B$14,MATCH($K842,'Reward Model'!$A$12:$A$14,0))*Z842,2),0)</f>
        <v>0</v>
      </c>
      <c r="AB842" s="2" t="n">
        <f aca="false">IF($I842="Correct",ROUND(INDEX('Reward Model'!$B$12:$B$14,MATCH($Y842,'Reward Model'!$A$12:$A$14,0))*Z842,2),0)</f>
        <v>0</v>
      </c>
    </row>
    <row r="843" customFormat="false" ht="15" hidden="false" customHeight="false" outlineLevel="0" collapsed="false">
      <c r="A843" s="0" t="s">
        <v>213</v>
      </c>
      <c r="B843" s="0" t="s">
        <v>214</v>
      </c>
      <c r="C843" s="0" t="s">
        <v>30</v>
      </c>
      <c r="D843" s="0" t="s">
        <v>189</v>
      </c>
      <c r="E843" s="0" t="n">
        <v>2</v>
      </c>
      <c r="F843" s="0" t="s">
        <v>36</v>
      </c>
      <c r="G843" s="0" t="s">
        <v>190</v>
      </c>
      <c r="H843" s="0" t="s">
        <v>38</v>
      </c>
      <c r="I843" s="0" t="s">
        <v>39</v>
      </c>
      <c r="J843" s="0" t="n">
        <v>1.55</v>
      </c>
      <c r="K843" s="0" t="s">
        <v>35</v>
      </c>
      <c r="L843" s="0" t="n">
        <f aca="false">INDEX(Summary!$F$2:$F$201,MATCH($B843,Summary!$A$2:$A$201,0))</f>
        <v>20</v>
      </c>
      <c r="M843" s="0" t="n">
        <f aca="false">INDEX(Summary!$I$2:$I$201,MATCH($B843,Summary!$A$2:$A$201,0))</f>
        <v>1</v>
      </c>
      <c r="N843" s="0" t="n">
        <f aca="false">INDEX(Summary!$J$2:$J$201,MATCH($B843,Summary!$A$2:$A$201,0))</f>
        <v>4</v>
      </c>
      <c r="O843" s="2" t="n">
        <f aca="false">INDEX(Summary!$K$2:$K$201,MATCH($B843,Summary!$A$2:$A$201,0))</f>
        <v>9.65</v>
      </c>
      <c r="P843" s="3" t="n">
        <f aca="false">INDEX(Summary!$L$2:$L$201,MATCH($B843,Summary!$A$2:$A$201,0))</f>
        <v>2</v>
      </c>
      <c r="Q843" s="3" t="n">
        <f aca="false">INDEX(Summary!$M$2:$M$201,MATCH($B843,Summary!$A$2:$A$201,0))</f>
        <v>4</v>
      </c>
      <c r="R843" s="2" t="n">
        <f aca="false">INDEX(Summary!$N$2:$N$201,MATCH($B843,Summary!$A$2:$A$201,0))</f>
        <v>11.22</v>
      </c>
      <c r="S843" s="3" t="n">
        <f aca="false">INDEX(Summary!$O$2:$O$201,MATCH($B843,Summary!$A$2:$A$201,0))</f>
        <v>6</v>
      </c>
      <c r="T843" s="3" t="n">
        <f aca="false">INDEX(Summary!$P$2:$P$201,MATCH($B843,Summary!$A$2:$A$201,0))</f>
        <v>3</v>
      </c>
      <c r="U843" s="2" t="n">
        <f aca="false">INDEX(Summary!$Q$2:$Q$201,MATCH($B843,Summary!$A$2:$A$201,0))</f>
        <v>13.17</v>
      </c>
      <c r="V843" s="2" t="n">
        <f aca="false">INDEX(Summary!$R$2:$R$201,MATCH($B843,Summary!$A$2:$A$201,0))</f>
        <v>15.76</v>
      </c>
      <c r="W843" s="0" t="str">
        <f aca="false">INDEX(Summary!$S$2:$S$201,MATCH($B843,Summary!$A$2:$A$201,0))</f>
        <v>Bronze</v>
      </c>
      <c r="X843" s="2" t="n">
        <f aca="false">INDEX(Summary!$T$2:$T$201,MATCH($B843,Summary!$A$2:$A$201,0))</f>
        <v>38.44</v>
      </c>
      <c r="Y843" s="0" t="str">
        <f aca="false">INDEX('Reward Model'!$E$18:$E$37,MATCH($E843,'Reward Model'!$A$18:$A$37,0))</f>
        <v>Low</v>
      </c>
      <c r="Z843" s="4" t="n">
        <f aca="false">ROUND(MIN(1,MAX('Reward Model'!$B$2,INDEX('Reward Model'!$C$12:$C$14,MATCH($K843,'Reward Model'!$A$12:$A$14,0))/$J843)),3)</f>
        <v>0.968</v>
      </c>
      <c r="AA843" s="2" t="n">
        <f aca="false">IF($I843="Correct",ROUND(INDEX('Reward Model'!$B$12:$B$14,MATCH($K843,'Reward Model'!$A$12:$A$14,0))*Z843,2),0)</f>
        <v>0</v>
      </c>
      <c r="AB843" s="2" t="n">
        <f aca="false">IF($I843="Correct",ROUND(INDEX('Reward Model'!$B$12:$B$14,MATCH($Y843,'Reward Model'!$A$12:$A$14,0))*Z843,2),0)</f>
        <v>0</v>
      </c>
    </row>
    <row r="844" customFormat="false" ht="15" hidden="false" customHeight="false" outlineLevel="0" collapsed="false">
      <c r="A844" s="0" t="s">
        <v>213</v>
      </c>
      <c r="B844" s="0" t="s">
        <v>214</v>
      </c>
      <c r="C844" s="0" t="s">
        <v>30</v>
      </c>
      <c r="D844" s="0" t="s">
        <v>189</v>
      </c>
      <c r="E844" s="0" t="n">
        <v>3</v>
      </c>
      <c r="F844" s="0" t="s">
        <v>40</v>
      </c>
      <c r="G844" s="0" t="s">
        <v>41</v>
      </c>
      <c r="H844" s="0" t="s">
        <v>42</v>
      </c>
      <c r="I844" s="0" t="s">
        <v>39</v>
      </c>
      <c r="J844" s="0" t="n">
        <v>1.75</v>
      </c>
      <c r="K844" s="0" t="s">
        <v>35</v>
      </c>
      <c r="L844" s="0" t="n">
        <f aca="false">INDEX(Summary!$F$2:$F$201,MATCH($B844,Summary!$A$2:$A$201,0))</f>
        <v>20</v>
      </c>
      <c r="M844" s="0" t="n">
        <f aca="false">INDEX(Summary!$I$2:$I$201,MATCH($B844,Summary!$A$2:$A$201,0))</f>
        <v>1</v>
      </c>
      <c r="N844" s="0" t="n">
        <f aca="false">INDEX(Summary!$J$2:$J$201,MATCH($B844,Summary!$A$2:$A$201,0))</f>
        <v>4</v>
      </c>
      <c r="O844" s="2" t="n">
        <f aca="false">INDEX(Summary!$K$2:$K$201,MATCH($B844,Summary!$A$2:$A$201,0))</f>
        <v>9.65</v>
      </c>
      <c r="P844" s="3" t="n">
        <f aca="false">INDEX(Summary!$L$2:$L$201,MATCH($B844,Summary!$A$2:$A$201,0))</f>
        <v>2</v>
      </c>
      <c r="Q844" s="3" t="n">
        <f aca="false">INDEX(Summary!$M$2:$M$201,MATCH($B844,Summary!$A$2:$A$201,0))</f>
        <v>4</v>
      </c>
      <c r="R844" s="2" t="n">
        <f aca="false">INDEX(Summary!$N$2:$N$201,MATCH($B844,Summary!$A$2:$A$201,0))</f>
        <v>11.22</v>
      </c>
      <c r="S844" s="3" t="n">
        <f aca="false">INDEX(Summary!$O$2:$O$201,MATCH($B844,Summary!$A$2:$A$201,0))</f>
        <v>6</v>
      </c>
      <c r="T844" s="3" t="n">
        <f aca="false">INDEX(Summary!$P$2:$P$201,MATCH($B844,Summary!$A$2:$A$201,0))</f>
        <v>3</v>
      </c>
      <c r="U844" s="2" t="n">
        <f aca="false">INDEX(Summary!$Q$2:$Q$201,MATCH($B844,Summary!$A$2:$A$201,0))</f>
        <v>13.17</v>
      </c>
      <c r="V844" s="2" t="n">
        <f aca="false">INDEX(Summary!$R$2:$R$201,MATCH($B844,Summary!$A$2:$A$201,0))</f>
        <v>15.76</v>
      </c>
      <c r="W844" s="0" t="str">
        <f aca="false">INDEX(Summary!$S$2:$S$201,MATCH($B844,Summary!$A$2:$A$201,0))</f>
        <v>Bronze</v>
      </c>
      <c r="X844" s="2" t="n">
        <f aca="false">INDEX(Summary!$T$2:$T$201,MATCH($B844,Summary!$A$2:$A$201,0))</f>
        <v>38.44</v>
      </c>
      <c r="Y844" s="0" t="str">
        <f aca="false">INDEX('Reward Model'!$E$18:$E$37,MATCH($E844,'Reward Model'!$A$18:$A$37,0))</f>
        <v>Medium</v>
      </c>
      <c r="Z844" s="4" t="n">
        <f aca="false">ROUND(MIN(1,MAX('Reward Model'!$B$2,INDEX('Reward Model'!$C$12:$C$14,MATCH($K844,'Reward Model'!$A$12:$A$14,0))/$J844)),3)</f>
        <v>0.857</v>
      </c>
      <c r="AA844" s="2" t="n">
        <f aca="false">IF($I844="Correct",ROUND(INDEX('Reward Model'!$B$12:$B$14,MATCH($K844,'Reward Model'!$A$12:$A$14,0))*Z844,2),0)</f>
        <v>0</v>
      </c>
      <c r="AB844" s="2" t="n">
        <f aca="false">IF($I844="Correct",ROUND(INDEX('Reward Model'!$B$12:$B$14,MATCH($Y844,'Reward Model'!$A$12:$A$14,0))*Z844,2),0)</f>
        <v>0</v>
      </c>
    </row>
    <row r="845" customFormat="false" ht="15" hidden="false" customHeight="false" outlineLevel="0" collapsed="false">
      <c r="A845" s="0" t="s">
        <v>213</v>
      </c>
      <c r="B845" s="0" t="s">
        <v>214</v>
      </c>
      <c r="C845" s="0" t="s">
        <v>30</v>
      </c>
      <c r="D845" s="0" t="s">
        <v>189</v>
      </c>
      <c r="E845" s="0" t="n">
        <v>4</v>
      </c>
      <c r="F845" s="0" t="s">
        <v>43</v>
      </c>
      <c r="G845" s="0" t="s">
        <v>45</v>
      </c>
      <c r="H845" s="0" t="s">
        <v>45</v>
      </c>
      <c r="I845" s="0" t="s">
        <v>34</v>
      </c>
      <c r="J845" s="0" t="n">
        <v>1.03</v>
      </c>
      <c r="K845" s="0" t="s">
        <v>35</v>
      </c>
      <c r="L845" s="0" t="n">
        <f aca="false">INDEX(Summary!$F$2:$F$201,MATCH($B845,Summary!$A$2:$A$201,0))</f>
        <v>20</v>
      </c>
      <c r="M845" s="0" t="n">
        <f aca="false">INDEX(Summary!$I$2:$I$201,MATCH($B845,Summary!$A$2:$A$201,0))</f>
        <v>1</v>
      </c>
      <c r="N845" s="0" t="n">
        <f aca="false">INDEX(Summary!$J$2:$J$201,MATCH($B845,Summary!$A$2:$A$201,0))</f>
        <v>4</v>
      </c>
      <c r="O845" s="2" t="n">
        <f aca="false">INDEX(Summary!$K$2:$K$201,MATCH($B845,Summary!$A$2:$A$201,0))</f>
        <v>9.65</v>
      </c>
      <c r="P845" s="3" t="n">
        <f aca="false">INDEX(Summary!$L$2:$L$201,MATCH($B845,Summary!$A$2:$A$201,0))</f>
        <v>2</v>
      </c>
      <c r="Q845" s="3" t="n">
        <f aca="false">INDEX(Summary!$M$2:$M$201,MATCH($B845,Summary!$A$2:$A$201,0))</f>
        <v>4</v>
      </c>
      <c r="R845" s="2" t="n">
        <f aca="false">INDEX(Summary!$N$2:$N$201,MATCH($B845,Summary!$A$2:$A$201,0))</f>
        <v>11.22</v>
      </c>
      <c r="S845" s="3" t="n">
        <f aca="false">INDEX(Summary!$O$2:$O$201,MATCH($B845,Summary!$A$2:$A$201,0))</f>
        <v>6</v>
      </c>
      <c r="T845" s="3" t="n">
        <f aca="false">INDEX(Summary!$P$2:$P$201,MATCH($B845,Summary!$A$2:$A$201,0))</f>
        <v>3</v>
      </c>
      <c r="U845" s="2" t="n">
        <f aca="false">INDEX(Summary!$Q$2:$Q$201,MATCH($B845,Summary!$A$2:$A$201,0))</f>
        <v>13.17</v>
      </c>
      <c r="V845" s="2" t="n">
        <f aca="false">INDEX(Summary!$R$2:$R$201,MATCH($B845,Summary!$A$2:$A$201,0))</f>
        <v>15.76</v>
      </c>
      <c r="W845" s="0" t="str">
        <f aca="false">INDEX(Summary!$S$2:$S$201,MATCH($B845,Summary!$A$2:$A$201,0))</f>
        <v>Bronze</v>
      </c>
      <c r="X845" s="2" t="n">
        <f aca="false">INDEX(Summary!$T$2:$T$201,MATCH($B845,Summary!$A$2:$A$201,0))</f>
        <v>38.44</v>
      </c>
      <c r="Y845" s="0" t="str">
        <f aca="false">INDEX('Reward Model'!$E$18:$E$37,MATCH($E845,'Reward Model'!$A$18:$A$37,0))</f>
        <v>Low</v>
      </c>
      <c r="Z845" s="4" t="n">
        <f aca="false">ROUND(MIN(1,MAX('Reward Model'!$B$2,INDEX('Reward Model'!$C$12:$C$14,MATCH($K845,'Reward Model'!$A$12:$A$14,0))/$J845)),3)</f>
        <v>1</v>
      </c>
      <c r="AA845" s="2" t="n">
        <f aca="false">IF($I845="Correct",ROUND(INDEX('Reward Model'!$B$12:$B$14,MATCH($K845,'Reward Model'!$A$12:$A$14,0))*Z845,2),0)</f>
        <v>1</v>
      </c>
      <c r="AB845" s="2" t="n">
        <f aca="false">IF($I845="Correct",ROUND(INDEX('Reward Model'!$B$12:$B$14,MATCH($Y845,'Reward Model'!$A$12:$A$14,0))*Z845,2),0)</f>
        <v>1</v>
      </c>
    </row>
    <row r="846" customFormat="false" ht="15" hidden="false" customHeight="false" outlineLevel="0" collapsed="false">
      <c r="A846" s="0" t="s">
        <v>213</v>
      </c>
      <c r="B846" s="0" t="s">
        <v>214</v>
      </c>
      <c r="C846" s="0" t="s">
        <v>30</v>
      </c>
      <c r="D846" s="0" t="s">
        <v>189</v>
      </c>
      <c r="E846" s="0" t="n">
        <v>5</v>
      </c>
      <c r="F846" s="0" t="s">
        <v>46</v>
      </c>
      <c r="G846" s="0" t="s">
        <v>47</v>
      </c>
      <c r="H846" s="0" t="s">
        <v>47</v>
      </c>
      <c r="I846" s="0" t="s">
        <v>34</v>
      </c>
      <c r="J846" s="0" t="n">
        <v>1.55</v>
      </c>
      <c r="K846" s="0" t="s">
        <v>35</v>
      </c>
      <c r="L846" s="0" t="n">
        <f aca="false">INDEX(Summary!$F$2:$F$201,MATCH($B846,Summary!$A$2:$A$201,0))</f>
        <v>20</v>
      </c>
      <c r="M846" s="0" t="n">
        <f aca="false">INDEX(Summary!$I$2:$I$201,MATCH($B846,Summary!$A$2:$A$201,0))</f>
        <v>1</v>
      </c>
      <c r="N846" s="0" t="n">
        <f aca="false">INDEX(Summary!$J$2:$J$201,MATCH($B846,Summary!$A$2:$A$201,0))</f>
        <v>4</v>
      </c>
      <c r="O846" s="2" t="n">
        <f aca="false">INDEX(Summary!$K$2:$K$201,MATCH($B846,Summary!$A$2:$A$201,0))</f>
        <v>9.65</v>
      </c>
      <c r="P846" s="3" t="n">
        <f aca="false">INDEX(Summary!$L$2:$L$201,MATCH($B846,Summary!$A$2:$A$201,0))</f>
        <v>2</v>
      </c>
      <c r="Q846" s="3" t="n">
        <f aca="false">INDEX(Summary!$M$2:$M$201,MATCH($B846,Summary!$A$2:$A$201,0))</f>
        <v>4</v>
      </c>
      <c r="R846" s="2" t="n">
        <f aca="false">INDEX(Summary!$N$2:$N$201,MATCH($B846,Summary!$A$2:$A$201,0))</f>
        <v>11.22</v>
      </c>
      <c r="S846" s="3" t="n">
        <f aca="false">INDEX(Summary!$O$2:$O$201,MATCH($B846,Summary!$A$2:$A$201,0))</f>
        <v>6</v>
      </c>
      <c r="T846" s="3" t="n">
        <f aca="false">INDEX(Summary!$P$2:$P$201,MATCH($B846,Summary!$A$2:$A$201,0))</f>
        <v>3</v>
      </c>
      <c r="U846" s="2" t="n">
        <f aca="false">INDEX(Summary!$Q$2:$Q$201,MATCH($B846,Summary!$A$2:$A$201,0))</f>
        <v>13.17</v>
      </c>
      <c r="V846" s="2" t="n">
        <f aca="false">INDEX(Summary!$R$2:$R$201,MATCH($B846,Summary!$A$2:$A$201,0))</f>
        <v>15.76</v>
      </c>
      <c r="W846" s="0" t="str">
        <f aca="false">INDEX(Summary!$S$2:$S$201,MATCH($B846,Summary!$A$2:$A$201,0))</f>
        <v>Bronze</v>
      </c>
      <c r="X846" s="2" t="n">
        <f aca="false">INDEX(Summary!$T$2:$T$201,MATCH($B846,Summary!$A$2:$A$201,0))</f>
        <v>38.44</v>
      </c>
      <c r="Y846" s="0" t="str">
        <f aca="false">INDEX('Reward Model'!$E$18:$E$37,MATCH($E846,'Reward Model'!$A$18:$A$37,0))</f>
        <v>Low</v>
      </c>
      <c r="Z846" s="4" t="n">
        <f aca="false">ROUND(MIN(1,MAX('Reward Model'!$B$2,INDEX('Reward Model'!$C$12:$C$14,MATCH($K846,'Reward Model'!$A$12:$A$14,0))/$J846)),3)</f>
        <v>0.968</v>
      </c>
      <c r="AA846" s="2" t="n">
        <f aca="false">IF($I846="Correct",ROUND(INDEX('Reward Model'!$B$12:$B$14,MATCH($K846,'Reward Model'!$A$12:$A$14,0))*Z846,2),0)</f>
        <v>0.97</v>
      </c>
      <c r="AB846" s="2" t="n">
        <f aca="false">IF($I846="Correct",ROUND(INDEX('Reward Model'!$B$12:$B$14,MATCH($Y846,'Reward Model'!$A$12:$A$14,0))*Z846,2),0)</f>
        <v>0.97</v>
      </c>
    </row>
    <row r="847" customFormat="false" ht="15" hidden="false" customHeight="false" outlineLevel="0" collapsed="false">
      <c r="A847" s="0" t="s">
        <v>213</v>
      </c>
      <c r="B847" s="0" t="s">
        <v>214</v>
      </c>
      <c r="C847" s="0" t="s">
        <v>30</v>
      </c>
      <c r="D847" s="0" t="s">
        <v>189</v>
      </c>
      <c r="E847" s="0" t="n">
        <v>6</v>
      </c>
      <c r="F847" s="0" t="s">
        <v>48</v>
      </c>
      <c r="G847" s="0" t="s">
        <v>49</v>
      </c>
      <c r="H847" s="0" t="s">
        <v>49</v>
      </c>
      <c r="I847" s="0" t="s">
        <v>34</v>
      </c>
      <c r="J847" s="0" t="n">
        <v>1.5</v>
      </c>
      <c r="K847" s="0" t="s">
        <v>35</v>
      </c>
      <c r="L847" s="0" t="n">
        <f aca="false">INDEX(Summary!$F$2:$F$201,MATCH($B847,Summary!$A$2:$A$201,0))</f>
        <v>20</v>
      </c>
      <c r="M847" s="0" t="n">
        <f aca="false">INDEX(Summary!$I$2:$I$201,MATCH($B847,Summary!$A$2:$A$201,0))</f>
        <v>1</v>
      </c>
      <c r="N847" s="0" t="n">
        <f aca="false">INDEX(Summary!$J$2:$J$201,MATCH($B847,Summary!$A$2:$A$201,0))</f>
        <v>4</v>
      </c>
      <c r="O847" s="2" t="n">
        <f aca="false">INDEX(Summary!$K$2:$K$201,MATCH($B847,Summary!$A$2:$A$201,0))</f>
        <v>9.65</v>
      </c>
      <c r="P847" s="3" t="n">
        <f aca="false">INDEX(Summary!$L$2:$L$201,MATCH($B847,Summary!$A$2:$A$201,0))</f>
        <v>2</v>
      </c>
      <c r="Q847" s="3" t="n">
        <f aca="false">INDEX(Summary!$M$2:$M$201,MATCH($B847,Summary!$A$2:$A$201,0))</f>
        <v>4</v>
      </c>
      <c r="R847" s="2" t="n">
        <f aca="false">INDEX(Summary!$N$2:$N$201,MATCH($B847,Summary!$A$2:$A$201,0))</f>
        <v>11.22</v>
      </c>
      <c r="S847" s="3" t="n">
        <f aca="false">INDEX(Summary!$O$2:$O$201,MATCH($B847,Summary!$A$2:$A$201,0))</f>
        <v>6</v>
      </c>
      <c r="T847" s="3" t="n">
        <f aca="false">INDEX(Summary!$P$2:$P$201,MATCH($B847,Summary!$A$2:$A$201,0))</f>
        <v>3</v>
      </c>
      <c r="U847" s="2" t="n">
        <f aca="false">INDEX(Summary!$Q$2:$Q$201,MATCH($B847,Summary!$A$2:$A$201,0))</f>
        <v>13.17</v>
      </c>
      <c r="V847" s="2" t="n">
        <f aca="false">INDEX(Summary!$R$2:$R$201,MATCH($B847,Summary!$A$2:$A$201,0))</f>
        <v>15.76</v>
      </c>
      <c r="W847" s="0" t="str">
        <f aca="false">INDEX(Summary!$S$2:$S$201,MATCH($B847,Summary!$A$2:$A$201,0))</f>
        <v>Bronze</v>
      </c>
      <c r="X847" s="2" t="n">
        <f aca="false">INDEX(Summary!$T$2:$T$201,MATCH($B847,Summary!$A$2:$A$201,0))</f>
        <v>38.44</v>
      </c>
      <c r="Y847" s="0" t="str">
        <f aca="false">INDEX('Reward Model'!$E$18:$E$37,MATCH($E847,'Reward Model'!$A$18:$A$37,0))</f>
        <v>Medium</v>
      </c>
      <c r="Z847" s="4" t="n">
        <f aca="false">ROUND(MIN(1,MAX('Reward Model'!$B$2,INDEX('Reward Model'!$C$12:$C$14,MATCH($K847,'Reward Model'!$A$12:$A$14,0))/$J847)),3)</f>
        <v>1</v>
      </c>
      <c r="AA847" s="2" t="n">
        <f aca="false">IF($I847="Correct",ROUND(INDEX('Reward Model'!$B$12:$B$14,MATCH($K847,'Reward Model'!$A$12:$A$14,0))*Z847,2),0)</f>
        <v>1</v>
      </c>
      <c r="AB847" s="2" t="n">
        <f aca="false">IF($I847="Correct",ROUND(INDEX('Reward Model'!$B$12:$B$14,MATCH($Y847,'Reward Model'!$A$12:$A$14,0))*Z847,2),0)</f>
        <v>2</v>
      </c>
    </row>
    <row r="848" customFormat="false" ht="15" hidden="false" customHeight="false" outlineLevel="0" collapsed="false">
      <c r="A848" s="0" t="s">
        <v>213</v>
      </c>
      <c r="B848" s="0" t="s">
        <v>214</v>
      </c>
      <c r="C848" s="0" t="s">
        <v>30</v>
      </c>
      <c r="D848" s="0" t="s">
        <v>189</v>
      </c>
      <c r="E848" s="0" t="n">
        <v>7</v>
      </c>
      <c r="F848" s="0" t="s">
        <v>50</v>
      </c>
      <c r="G848" s="0" t="s">
        <v>51</v>
      </c>
      <c r="H848" s="0" t="s">
        <v>51</v>
      </c>
      <c r="I848" s="0" t="s">
        <v>34</v>
      </c>
      <c r="J848" s="0" t="n">
        <v>1.89</v>
      </c>
      <c r="K848" s="0" t="s">
        <v>35</v>
      </c>
      <c r="L848" s="0" t="n">
        <f aca="false">INDEX(Summary!$F$2:$F$201,MATCH($B848,Summary!$A$2:$A$201,0))</f>
        <v>20</v>
      </c>
      <c r="M848" s="0" t="n">
        <f aca="false">INDEX(Summary!$I$2:$I$201,MATCH($B848,Summary!$A$2:$A$201,0))</f>
        <v>1</v>
      </c>
      <c r="N848" s="0" t="n">
        <f aca="false">INDEX(Summary!$J$2:$J$201,MATCH($B848,Summary!$A$2:$A$201,0))</f>
        <v>4</v>
      </c>
      <c r="O848" s="2" t="n">
        <f aca="false">INDEX(Summary!$K$2:$K$201,MATCH($B848,Summary!$A$2:$A$201,0))</f>
        <v>9.65</v>
      </c>
      <c r="P848" s="3" t="n">
        <f aca="false">INDEX(Summary!$L$2:$L$201,MATCH($B848,Summary!$A$2:$A$201,0))</f>
        <v>2</v>
      </c>
      <c r="Q848" s="3" t="n">
        <f aca="false">INDEX(Summary!$M$2:$M$201,MATCH($B848,Summary!$A$2:$A$201,0))</f>
        <v>4</v>
      </c>
      <c r="R848" s="2" t="n">
        <f aca="false">INDEX(Summary!$N$2:$N$201,MATCH($B848,Summary!$A$2:$A$201,0))</f>
        <v>11.22</v>
      </c>
      <c r="S848" s="3" t="n">
        <f aca="false">INDEX(Summary!$O$2:$O$201,MATCH($B848,Summary!$A$2:$A$201,0))</f>
        <v>6</v>
      </c>
      <c r="T848" s="3" t="n">
        <f aca="false">INDEX(Summary!$P$2:$P$201,MATCH($B848,Summary!$A$2:$A$201,0))</f>
        <v>3</v>
      </c>
      <c r="U848" s="2" t="n">
        <f aca="false">INDEX(Summary!$Q$2:$Q$201,MATCH($B848,Summary!$A$2:$A$201,0))</f>
        <v>13.17</v>
      </c>
      <c r="V848" s="2" t="n">
        <f aca="false">INDEX(Summary!$R$2:$R$201,MATCH($B848,Summary!$A$2:$A$201,0))</f>
        <v>15.76</v>
      </c>
      <c r="W848" s="0" t="str">
        <f aca="false">INDEX(Summary!$S$2:$S$201,MATCH($B848,Summary!$A$2:$A$201,0))</f>
        <v>Bronze</v>
      </c>
      <c r="X848" s="2" t="n">
        <f aca="false">INDEX(Summary!$T$2:$T$201,MATCH($B848,Summary!$A$2:$A$201,0))</f>
        <v>38.44</v>
      </c>
      <c r="Y848" s="0" t="str">
        <f aca="false">INDEX('Reward Model'!$E$18:$E$37,MATCH($E848,'Reward Model'!$A$18:$A$37,0))</f>
        <v>Low</v>
      </c>
      <c r="Z848" s="4" t="n">
        <f aca="false">ROUND(MIN(1,MAX('Reward Model'!$B$2,INDEX('Reward Model'!$C$12:$C$14,MATCH($K848,'Reward Model'!$A$12:$A$14,0))/$J848)),3)</f>
        <v>0.794</v>
      </c>
      <c r="AA848" s="2" t="n">
        <f aca="false">IF($I848="Correct",ROUND(INDEX('Reward Model'!$B$12:$B$14,MATCH($K848,'Reward Model'!$A$12:$A$14,0))*Z848,2),0)</f>
        <v>0.79</v>
      </c>
      <c r="AB848" s="2" t="n">
        <f aca="false">IF($I848="Correct",ROUND(INDEX('Reward Model'!$B$12:$B$14,MATCH($Y848,'Reward Model'!$A$12:$A$14,0))*Z848,2),0)</f>
        <v>0.79</v>
      </c>
    </row>
    <row r="849" customFormat="false" ht="15" hidden="false" customHeight="false" outlineLevel="0" collapsed="false">
      <c r="A849" s="0" t="s">
        <v>213</v>
      </c>
      <c r="B849" s="0" t="s">
        <v>214</v>
      </c>
      <c r="C849" s="0" t="s">
        <v>30</v>
      </c>
      <c r="D849" s="0" t="s">
        <v>189</v>
      </c>
      <c r="E849" s="0" t="n">
        <v>8</v>
      </c>
      <c r="F849" s="0" t="s">
        <v>52</v>
      </c>
      <c r="G849" s="0" t="s">
        <v>54</v>
      </c>
      <c r="H849" s="0" t="s">
        <v>54</v>
      </c>
      <c r="I849" s="0" t="s">
        <v>34</v>
      </c>
      <c r="J849" s="0" t="n">
        <v>1.28</v>
      </c>
      <c r="K849" s="0" t="s">
        <v>35</v>
      </c>
      <c r="L849" s="0" t="n">
        <f aca="false">INDEX(Summary!$F$2:$F$201,MATCH($B849,Summary!$A$2:$A$201,0))</f>
        <v>20</v>
      </c>
      <c r="M849" s="0" t="n">
        <f aca="false">INDEX(Summary!$I$2:$I$201,MATCH($B849,Summary!$A$2:$A$201,0))</f>
        <v>1</v>
      </c>
      <c r="N849" s="0" t="n">
        <f aca="false">INDEX(Summary!$J$2:$J$201,MATCH($B849,Summary!$A$2:$A$201,0))</f>
        <v>4</v>
      </c>
      <c r="O849" s="2" t="n">
        <f aca="false">INDEX(Summary!$K$2:$K$201,MATCH($B849,Summary!$A$2:$A$201,0))</f>
        <v>9.65</v>
      </c>
      <c r="P849" s="3" t="n">
        <f aca="false">INDEX(Summary!$L$2:$L$201,MATCH($B849,Summary!$A$2:$A$201,0))</f>
        <v>2</v>
      </c>
      <c r="Q849" s="3" t="n">
        <f aca="false">INDEX(Summary!$M$2:$M$201,MATCH($B849,Summary!$A$2:$A$201,0))</f>
        <v>4</v>
      </c>
      <c r="R849" s="2" t="n">
        <f aca="false">INDEX(Summary!$N$2:$N$201,MATCH($B849,Summary!$A$2:$A$201,0))</f>
        <v>11.22</v>
      </c>
      <c r="S849" s="3" t="n">
        <f aca="false">INDEX(Summary!$O$2:$O$201,MATCH($B849,Summary!$A$2:$A$201,0))</f>
        <v>6</v>
      </c>
      <c r="T849" s="3" t="n">
        <f aca="false">INDEX(Summary!$P$2:$P$201,MATCH($B849,Summary!$A$2:$A$201,0))</f>
        <v>3</v>
      </c>
      <c r="U849" s="2" t="n">
        <f aca="false">INDEX(Summary!$Q$2:$Q$201,MATCH($B849,Summary!$A$2:$A$201,0))</f>
        <v>13.17</v>
      </c>
      <c r="V849" s="2" t="n">
        <f aca="false">INDEX(Summary!$R$2:$R$201,MATCH($B849,Summary!$A$2:$A$201,0))</f>
        <v>15.76</v>
      </c>
      <c r="W849" s="0" t="str">
        <f aca="false">INDEX(Summary!$S$2:$S$201,MATCH($B849,Summary!$A$2:$A$201,0))</f>
        <v>Bronze</v>
      </c>
      <c r="X849" s="2" t="n">
        <f aca="false">INDEX(Summary!$T$2:$T$201,MATCH($B849,Summary!$A$2:$A$201,0))</f>
        <v>38.44</v>
      </c>
      <c r="Y849" s="0" t="str">
        <f aca="false">INDEX('Reward Model'!$E$18:$E$37,MATCH($E849,'Reward Model'!$A$18:$A$37,0))</f>
        <v>Medium</v>
      </c>
      <c r="Z849" s="4" t="n">
        <f aca="false">ROUND(MIN(1,MAX('Reward Model'!$B$2,INDEX('Reward Model'!$C$12:$C$14,MATCH($K849,'Reward Model'!$A$12:$A$14,0))/$J849)),3)</f>
        <v>1</v>
      </c>
      <c r="AA849" s="2" t="n">
        <f aca="false">IF($I849="Correct",ROUND(INDEX('Reward Model'!$B$12:$B$14,MATCH($K849,'Reward Model'!$A$12:$A$14,0))*Z849,2),0)</f>
        <v>1</v>
      </c>
      <c r="AB849" s="2" t="n">
        <f aca="false">IF($I849="Correct",ROUND(INDEX('Reward Model'!$B$12:$B$14,MATCH($Y849,'Reward Model'!$A$12:$A$14,0))*Z849,2),0)</f>
        <v>2</v>
      </c>
    </row>
    <row r="850" customFormat="false" ht="15" hidden="false" customHeight="false" outlineLevel="0" collapsed="false">
      <c r="A850" s="0" t="s">
        <v>213</v>
      </c>
      <c r="B850" s="0" t="s">
        <v>214</v>
      </c>
      <c r="C850" s="0" t="s">
        <v>30</v>
      </c>
      <c r="D850" s="0" t="s">
        <v>189</v>
      </c>
      <c r="E850" s="0" t="n">
        <v>9</v>
      </c>
      <c r="F850" s="0" t="s">
        <v>55</v>
      </c>
      <c r="G850" s="0" t="s">
        <v>57</v>
      </c>
      <c r="H850" s="0" t="s">
        <v>57</v>
      </c>
      <c r="I850" s="0" t="s">
        <v>34</v>
      </c>
      <c r="J850" s="0" t="n">
        <v>1.44</v>
      </c>
      <c r="K850" s="0" t="s">
        <v>35</v>
      </c>
      <c r="L850" s="0" t="n">
        <f aca="false">INDEX(Summary!$F$2:$F$201,MATCH($B850,Summary!$A$2:$A$201,0))</f>
        <v>20</v>
      </c>
      <c r="M850" s="0" t="n">
        <f aca="false">INDEX(Summary!$I$2:$I$201,MATCH($B850,Summary!$A$2:$A$201,0))</f>
        <v>1</v>
      </c>
      <c r="N850" s="0" t="n">
        <f aca="false">INDEX(Summary!$J$2:$J$201,MATCH($B850,Summary!$A$2:$A$201,0))</f>
        <v>4</v>
      </c>
      <c r="O850" s="2" t="n">
        <f aca="false">INDEX(Summary!$K$2:$K$201,MATCH($B850,Summary!$A$2:$A$201,0))</f>
        <v>9.65</v>
      </c>
      <c r="P850" s="3" t="n">
        <f aca="false">INDEX(Summary!$L$2:$L$201,MATCH($B850,Summary!$A$2:$A$201,0))</f>
        <v>2</v>
      </c>
      <c r="Q850" s="3" t="n">
        <f aca="false">INDEX(Summary!$M$2:$M$201,MATCH($B850,Summary!$A$2:$A$201,0))</f>
        <v>4</v>
      </c>
      <c r="R850" s="2" t="n">
        <f aca="false">INDEX(Summary!$N$2:$N$201,MATCH($B850,Summary!$A$2:$A$201,0))</f>
        <v>11.22</v>
      </c>
      <c r="S850" s="3" t="n">
        <f aca="false">INDEX(Summary!$O$2:$O$201,MATCH($B850,Summary!$A$2:$A$201,0))</f>
        <v>6</v>
      </c>
      <c r="T850" s="3" t="n">
        <f aca="false">INDEX(Summary!$P$2:$P$201,MATCH($B850,Summary!$A$2:$A$201,0))</f>
        <v>3</v>
      </c>
      <c r="U850" s="2" t="n">
        <f aca="false">INDEX(Summary!$Q$2:$Q$201,MATCH($B850,Summary!$A$2:$A$201,0))</f>
        <v>13.17</v>
      </c>
      <c r="V850" s="2" t="n">
        <f aca="false">INDEX(Summary!$R$2:$R$201,MATCH($B850,Summary!$A$2:$A$201,0))</f>
        <v>15.76</v>
      </c>
      <c r="W850" s="0" t="str">
        <f aca="false">INDEX(Summary!$S$2:$S$201,MATCH($B850,Summary!$A$2:$A$201,0))</f>
        <v>Bronze</v>
      </c>
      <c r="X850" s="2" t="n">
        <f aca="false">INDEX(Summary!$T$2:$T$201,MATCH($B850,Summary!$A$2:$A$201,0))</f>
        <v>38.44</v>
      </c>
      <c r="Y850" s="0" t="str">
        <f aca="false">INDEX('Reward Model'!$E$18:$E$37,MATCH($E850,'Reward Model'!$A$18:$A$37,0))</f>
        <v>Medium</v>
      </c>
      <c r="Z850" s="4" t="n">
        <f aca="false">ROUND(MIN(1,MAX('Reward Model'!$B$2,INDEX('Reward Model'!$C$12:$C$14,MATCH($K850,'Reward Model'!$A$12:$A$14,0))/$J850)),3)</f>
        <v>1</v>
      </c>
      <c r="AA850" s="2" t="n">
        <f aca="false">IF($I850="Correct",ROUND(INDEX('Reward Model'!$B$12:$B$14,MATCH($K850,'Reward Model'!$A$12:$A$14,0))*Z850,2),0)</f>
        <v>1</v>
      </c>
      <c r="AB850" s="2" t="n">
        <f aca="false">IF($I850="Correct",ROUND(INDEX('Reward Model'!$B$12:$B$14,MATCH($Y850,'Reward Model'!$A$12:$A$14,0))*Z850,2),0)</f>
        <v>2</v>
      </c>
    </row>
    <row r="851" customFormat="false" ht="15" hidden="false" customHeight="false" outlineLevel="0" collapsed="false">
      <c r="A851" s="0" t="s">
        <v>213</v>
      </c>
      <c r="B851" s="0" t="s">
        <v>214</v>
      </c>
      <c r="C851" s="0" t="s">
        <v>30</v>
      </c>
      <c r="D851" s="0" t="s">
        <v>189</v>
      </c>
      <c r="E851" s="0" t="n">
        <v>10</v>
      </c>
      <c r="F851" s="0" t="s">
        <v>58</v>
      </c>
      <c r="G851" s="0" t="s">
        <v>59</v>
      </c>
      <c r="H851" s="0" t="s">
        <v>59</v>
      </c>
      <c r="I851" s="0" t="s">
        <v>34</v>
      </c>
      <c r="J851" s="0" t="n">
        <v>1.59</v>
      </c>
      <c r="K851" s="0" t="s">
        <v>60</v>
      </c>
      <c r="L851" s="0" t="n">
        <f aca="false">INDEX(Summary!$F$2:$F$201,MATCH($B851,Summary!$A$2:$A$201,0))</f>
        <v>20</v>
      </c>
      <c r="M851" s="0" t="n">
        <f aca="false">INDEX(Summary!$I$2:$I$201,MATCH($B851,Summary!$A$2:$A$201,0))</f>
        <v>1</v>
      </c>
      <c r="N851" s="0" t="n">
        <f aca="false">INDEX(Summary!$J$2:$J$201,MATCH($B851,Summary!$A$2:$A$201,0))</f>
        <v>4</v>
      </c>
      <c r="O851" s="2" t="n">
        <f aca="false">INDEX(Summary!$K$2:$K$201,MATCH($B851,Summary!$A$2:$A$201,0))</f>
        <v>9.65</v>
      </c>
      <c r="P851" s="3" t="n">
        <f aca="false">INDEX(Summary!$L$2:$L$201,MATCH($B851,Summary!$A$2:$A$201,0))</f>
        <v>2</v>
      </c>
      <c r="Q851" s="3" t="n">
        <f aca="false">INDEX(Summary!$M$2:$M$201,MATCH($B851,Summary!$A$2:$A$201,0))</f>
        <v>4</v>
      </c>
      <c r="R851" s="2" t="n">
        <f aca="false">INDEX(Summary!$N$2:$N$201,MATCH($B851,Summary!$A$2:$A$201,0))</f>
        <v>11.22</v>
      </c>
      <c r="S851" s="3" t="n">
        <f aca="false">INDEX(Summary!$O$2:$O$201,MATCH($B851,Summary!$A$2:$A$201,0))</f>
        <v>6</v>
      </c>
      <c r="T851" s="3" t="n">
        <f aca="false">INDEX(Summary!$P$2:$P$201,MATCH($B851,Summary!$A$2:$A$201,0))</f>
        <v>3</v>
      </c>
      <c r="U851" s="2" t="n">
        <f aca="false">INDEX(Summary!$Q$2:$Q$201,MATCH($B851,Summary!$A$2:$A$201,0))</f>
        <v>13.17</v>
      </c>
      <c r="V851" s="2" t="n">
        <f aca="false">INDEX(Summary!$R$2:$R$201,MATCH($B851,Summary!$A$2:$A$201,0))</f>
        <v>15.76</v>
      </c>
      <c r="W851" s="0" t="str">
        <f aca="false">INDEX(Summary!$S$2:$S$201,MATCH($B851,Summary!$A$2:$A$201,0))</f>
        <v>Bronze</v>
      </c>
      <c r="X851" s="2" t="n">
        <f aca="false">INDEX(Summary!$T$2:$T$201,MATCH($B851,Summary!$A$2:$A$201,0))</f>
        <v>38.44</v>
      </c>
      <c r="Y851" s="0" t="str">
        <f aca="false">INDEX('Reward Model'!$E$18:$E$37,MATCH($E851,'Reward Model'!$A$18:$A$37,0))</f>
        <v>Medium</v>
      </c>
      <c r="Z851" s="4" t="n">
        <f aca="false">ROUND(MIN(1,MAX('Reward Model'!$B$2,INDEX('Reward Model'!$C$12:$C$14,MATCH($K851,'Reward Model'!$A$12:$A$14,0))/$J851)),3)</f>
        <v>1</v>
      </c>
      <c r="AA851" s="2" t="n">
        <f aca="false">IF($I851="Correct",ROUND(INDEX('Reward Model'!$B$12:$B$14,MATCH($K851,'Reward Model'!$A$12:$A$14,0))*Z851,2),0)</f>
        <v>2</v>
      </c>
      <c r="AB851" s="2" t="n">
        <f aca="false">IF($I851="Correct",ROUND(INDEX('Reward Model'!$B$12:$B$14,MATCH($Y851,'Reward Model'!$A$12:$A$14,0))*Z851,2),0)</f>
        <v>2</v>
      </c>
    </row>
    <row r="852" customFormat="false" ht="15" hidden="false" customHeight="false" outlineLevel="0" collapsed="false">
      <c r="A852" s="0" t="s">
        <v>213</v>
      </c>
      <c r="B852" s="0" t="s">
        <v>214</v>
      </c>
      <c r="C852" s="0" t="s">
        <v>30</v>
      </c>
      <c r="D852" s="0" t="s">
        <v>189</v>
      </c>
      <c r="E852" s="0" t="n">
        <v>11</v>
      </c>
      <c r="F852" s="0" t="s">
        <v>61</v>
      </c>
      <c r="G852" s="0" t="s">
        <v>145</v>
      </c>
      <c r="H852" s="0" t="s">
        <v>63</v>
      </c>
      <c r="I852" s="0" t="s">
        <v>39</v>
      </c>
      <c r="J852" s="0" t="n">
        <v>2</v>
      </c>
      <c r="K852" s="0" t="s">
        <v>60</v>
      </c>
      <c r="L852" s="0" t="n">
        <f aca="false">INDEX(Summary!$F$2:$F$201,MATCH($B852,Summary!$A$2:$A$201,0))</f>
        <v>20</v>
      </c>
      <c r="M852" s="0" t="n">
        <f aca="false">INDEX(Summary!$I$2:$I$201,MATCH($B852,Summary!$A$2:$A$201,0))</f>
        <v>1</v>
      </c>
      <c r="N852" s="0" t="n">
        <f aca="false">INDEX(Summary!$J$2:$J$201,MATCH($B852,Summary!$A$2:$A$201,0))</f>
        <v>4</v>
      </c>
      <c r="O852" s="2" t="n">
        <f aca="false">INDEX(Summary!$K$2:$K$201,MATCH($B852,Summary!$A$2:$A$201,0))</f>
        <v>9.65</v>
      </c>
      <c r="P852" s="3" t="n">
        <f aca="false">INDEX(Summary!$L$2:$L$201,MATCH($B852,Summary!$A$2:$A$201,0))</f>
        <v>2</v>
      </c>
      <c r="Q852" s="3" t="n">
        <f aca="false">INDEX(Summary!$M$2:$M$201,MATCH($B852,Summary!$A$2:$A$201,0))</f>
        <v>4</v>
      </c>
      <c r="R852" s="2" t="n">
        <f aca="false">INDEX(Summary!$N$2:$N$201,MATCH($B852,Summary!$A$2:$A$201,0))</f>
        <v>11.22</v>
      </c>
      <c r="S852" s="3" t="n">
        <f aca="false">INDEX(Summary!$O$2:$O$201,MATCH($B852,Summary!$A$2:$A$201,0))</f>
        <v>6</v>
      </c>
      <c r="T852" s="3" t="n">
        <f aca="false">INDEX(Summary!$P$2:$P$201,MATCH($B852,Summary!$A$2:$A$201,0))</f>
        <v>3</v>
      </c>
      <c r="U852" s="2" t="n">
        <f aca="false">INDEX(Summary!$Q$2:$Q$201,MATCH($B852,Summary!$A$2:$A$201,0))</f>
        <v>13.17</v>
      </c>
      <c r="V852" s="2" t="n">
        <f aca="false">INDEX(Summary!$R$2:$R$201,MATCH($B852,Summary!$A$2:$A$201,0))</f>
        <v>15.76</v>
      </c>
      <c r="W852" s="0" t="str">
        <f aca="false">INDEX(Summary!$S$2:$S$201,MATCH($B852,Summary!$A$2:$A$201,0))</f>
        <v>Bronze</v>
      </c>
      <c r="X852" s="2" t="n">
        <f aca="false">INDEX(Summary!$T$2:$T$201,MATCH($B852,Summary!$A$2:$A$201,0))</f>
        <v>38.44</v>
      </c>
      <c r="Y852" s="0" t="str">
        <f aca="false">INDEX('Reward Model'!$E$18:$E$37,MATCH($E852,'Reward Model'!$A$18:$A$37,0))</f>
        <v>Medium</v>
      </c>
      <c r="Z852" s="4" t="n">
        <f aca="false">ROUND(MIN(1,MAX('Reward Model'!$B$2,INDEX('Reward Model'!$C$12:$C$14,MATCH($K852,'Reward Model'!$A$12:$A$14,0))/$J852)),3)</f>
        <v>0.9</v>
      </c>
      <c r="AA852" s="2" t="n">
        <f aca="false">IF($I852="Correct",ROUND(INDEX('Reward Model'!$B$12:$B$14,MATCH($K852,'Reward Model'!$A$12:$A$14,0))*Z852,2),0)</f>
        <v>0</v>
      </c>
      <c r="AB852" s="2" t="n">
        <f aca="false">IF($I852="Correct",ROUND(INDEX('Reward Model'!$B$12:$B$14,MATCH($Y852,'Reward Model'!$A$12:$A$14,0))*Z852,2),0)</f>
        <v>0</v>
      </c>
    </row>
    <row r="853" customFormat="false" ht="15" hidden="false" customHeight="false" outlineLevel="0" collapsed="false">
      <c r="A853" s="0" t="s">
        <v>213</v>
      </c>
      <c r="B853" s="0" t="s">
        <v>214</v>
      </c>
      <c r="C853" s="0" t="s">
        <v>30</v>
      </c>
      <c r="D853" s="0" t="s">
        <v>189</v>
      </c>
      <c r="E853" s="0" t="n">
        <v>12</v>
      </c>
      <c r="F853" s="0" t="s">
        <v>64</v>
      </c>
      <c r="G853" s="0" t="s">
        <v>127</v>
      </c>
      <c r="H853" s="0" t="s">
        <v>65</v>
      </c>
      <c r="I853" s="0" t="s">
        <v>39</v>
      </c>
      <c r="J853" s="0" t="n">
        <v>2.26</v>
      </c>
      <c r="K853" s="0" t="s">
        <v>60</v>
      </c>
      <c r="L853" s="0" t="n">
        <f aca="false">INDEX(Summary!$F$2:$F$201,MATCH($B853,Summary!$A$2:$A$201,0))</f>
        <v>20</v>
      </c>
      <c r="M853" s="0" t="n">
        <f aca="false">INDEX(Summary!$I$2:$I$201,MATCH($B853,Summary!$A$2:$A$201,0))</f>
        <v>1</v>
      </c>
      <c r="N853" s="0" t="n">
        <f aca="false">INDEX(Summary!$J$2:$J$201,MATCH($B853,Summary!$A$2:$A$201,0))</f>
        <v>4</v>
      </c>
      <c r="O853" s="2" t="n">
        <f aca="false">INDEX(Summary!$K$2:$K$201,MATCH($B853,Summary!$A$2:$A$201,0))</f>
        <v>9.65</v>
      </c>
      <c r="P853" s="3" t="n">
        <f aca="false">INDEX(Summary!$L$2:$L$201,MATCH($B853,Summary!$A$2:$A$201,0))</f>
        <v>2</v>
      </c>
      <c r="Q853" s="3" t="n">
        <f aca="false">INDEX(Summary!$M$2:$M$201,MATCH($B853,Summary!$A$2:$A$201,0))</f>
        <v>4</v>
      </c>
      <c r="R853" s="2" t="n">
        <f aca="false">INDEX(Summary!$N$2:$N$201,MATCH($B853,Summary!$A$2:$A$201,0))</f>
        <v>11.22</v>
      </c>
      <c r="S853" s="3" t="n">
        <f aca="false">INDEX(Summary!$O$2:$O$201,MATCH($B853,Summary!$A$2:$A$201,0))</f>
        <v>6</v>
      </c>
      <c r="T853" s="3" t="n">
        <f aca="false">INDEX(Summary!$P$2:$P$201,MATCH($B853,Summary!$A$2:$A$201,0))</f>
        <v>3</v>
      </c>
      <c r="U853" s="2" t="n">
        <f aca="false">INDEX(Summary!$Q$2:$Q$201,MATCH($B853,Summary!$A$2:$A$201,0))</f>
        <v>13.17</v>
      </c>
      <c r="V853" s="2" t="n">
        <f aca="false">INDEX(Summary!$R$2:$R$201,MATCH($B853,Summary!$A$2:$A$201,0))</f>
        <v>15.76</v>
      </c>
      <c r="W853" s="0" t="str">
        <f aca="false">INDEX(Summary!$S$2:$S$201,MATCH($B853,Summary!$A$2:$A$201,0))</f>
        <v>Bronze</v>
      </c>
      <c r="X853" s="2" t="n">
        <f aca="false">INDEX(Summary!$T$2:$T$201,MATCH($B853,Summary!$A$2:$A$201,0))</f>
        <v>38.44</v>
      </c>
      <c r="Y853" s="0" t="str">
        <f aca="false">INDEX('Reward Model'!$E$18:$E$37,MATCH($E853,'Reward Model'!$A$18:$A$37,0))</f>
        <v>Medium</v>
      </c>
      <c r="Z853" s="4" t="n">
        <f aca="false">ROUND(MIN(1,MAX('Reward Model'!$B$2,INDEX('Reward Model'!$C$12:$C$14,MATCH($K853,'Reward Model'!$A$12:$A$14,0))/$J853)),3)</f>
        <v>0.796</v>
      </c>
      <c r="AA853" s="2" t="n">
        <f aca="false">IF($I853="Correct",ROUND(INDEX('Reward Model'!$B$12:$B$14,MATCH($K853,'Reward Model'!$A$12:$A$14,0))*Z853,2),0)</f>
        <v>0</v>
      </c>
      <c r="AB853" s="2" t="n">
        <f aca="false">IF($I853="Correct",ROUND(INDEX('Reward Model'!$B$12:$B$14,MATCH($Y853,'Reward Model'!$A$12:$A$14,0))*Z853,2),0)</f>
        <v>0</v>
      </c>
    </row>
    <row r="854" customFormat="false" ht="15" hidden="false" customHeight="false" outlineLevel="0" collapsed="false">
      <c r="A854" s="0" t="s">
        <v>213</v>
      </c>
      <c r="B854" s="0" t="s">
        <v>214</v>
      </c>
      <c r="C854" s="0" t="s">
        <v>30</v>
      </c>
      <c r="D854" s="0" t="s">
        <v>189</v>
      </c>
      <c r="E854" s="0" t="n">
        <v>13</v>
      </c>
      <c r="F854" s="0" t="s">
        <v>66</v>
      </c>
      <c r="G854" s="0" t="s">
        <v>165</v>
      </c>
      <c r="H854" s="0" t="s">
        <v>67</v>
      </c>
      <c r="I854" s="0" t="s">
        <v>39</v>
      </c>
      <c r="J854" s="0" t="n">
        <v>1.87</v>
      </c>
      <c r="K854" s="0" t="s">
        <v>60</v>
      </c>
      <c r="L854" s="0" t="n">
        <f aca="false">INDEX(Summary!$F$2:$F$201,MATCH($B854,Summary!$A$2:$A$201,0))</f>
        <v>20</v>
      </c>
      <c r="M854" s="0" t="n">
        <f aca="false">INDEX(Summary!$I$2:$I$201,MATCH($B854,Summary!$A$2:$A$201,0))</f>
        <v>1</v>
      </c>
      <c r="N854" s="0" t="n">
        <f aca="false">INDEX(Summary!$J$2:$J$201,MATCH($B854,Summary!$A$2:$A$201,0))</f>
        <v>4</v>
      </c>
      <c r="O854" s="2" t="n">
        <f aca="false">INDEX(Summary!$K$2:$K$201,MATCH($B854,Summary!$A$2:$A$201,0))</f>
        <v>9.65</v>
      </c>
      <c r="P854" s="3" t="n">
        <f aca="false">INDEX(Summary!$L$2:$L$201,MATCH($B854,Summary!$A$2:$A$201,0))</f>
        <v>2</v>
      </c>
      <c r="Q854" s="3" t="n">
        <f aca="false">INDEX(Summary!$M$2:$M$201,MATCH($B854,Summary!$A$2:$A$201,0))</f>
        <v>4</v>
      </c>
      <c r="R854" s="2" t="n">
        <f aca="false">INDEX(Summary!$N$2:$N$201,MATCH($B854,Summary!$A$2:$A$201,0))</f>
        <v>11.22</v>
      </c>
      <c r="S854" s="3" t="n">
        <f aca="false">INDEX(Summary!$O$2:$O$201,MATCH($B854,Summary!$A$2:$A$201,0))</f>
        <v>6</v>
      </c>
      <c r="T854" s="3" t="n">
        <f aca="false">INDEX(Summary!$P$2:$P$201,MATCH($B854,Summary!$A$2:$A$201,0))</f>
        <v>3</v>
      </c>
      <c r="U854" s="2" t="n">
        <f aca="false">INDEX(Summary!$Q$2:$Q$201,MATCH($B854,Summary!$A$2:$A$201,0))</f>
        <v>13.17</v>
      </c>
      <c r="V854" s="2" t="n">
        <f aca="false">INDEX(Summary!$R$2:$R$201,MATCH($B854,Summary!$A$2:$A$201,0))</f>
        <v>15.76</v>
      </c>
      <c r="W854" s="0" t="str">
        <f aca="false">INDEX(Summary!$S$2:$S$201,MATCH($B854,Summary!$A$2:$A$201,0))</f>
        <v>Bronze</v>
      </c>
      <c r="X854" s="2" t="n">
        <f aca="false">INDEX(Summary!$T$2:$T$201,MATCH($B854,Summary!$A$2:$A$201,0))</f>
        <v>38.44</v>
      </c>
      <c r="Y854" s="0" t="str">
        <f aca="false">INDEX('Reward Model'!$E$18:$E$37,MATCH($E854,'Reward Model'!$A$18:$A$37,0))</f>
        <v>Medium</v>
      </c>
      <c r="Z854" s="4" t="n">
        <f aca="false">ROUND(MIN(1,MAX('Reward Model'!$B$2,INDEX('Reward Model'!$C$12:$C$14,MATCH($K854,'Reward Model'!$A$12:$A$14,0))/$J854)),3)</f>
        <v>0.963</v>
      </c>
      <c r="AA854" s="2" t="n">
        <f aca="false">IF($I854="Correct",ROUND(INDEX('Reward Model'!$B$12:$B$14,MATCH($K854,'Reward Model'!$A$12:$A$14,0))*Z854,2),0)</f>
        <v>0</v>
      </c>
      <c r="AB854" s="2" t="n">
        <f aca="false">IF($I854="Correct",ROUND(INDEX('Reward Model'!$B$12:$B$14,MATCH($Y854,'Reward Model'!$A$12:$A$14,0))*Z854,2),0)</f>
        <v>0</v>
      </c>
    </row>
    <row r="855" customFormat="false" ht="15" hidden="false" customHeight="false" outlineLevel="0" collapsed="false">
      <c r="A855" s="0" t="s">
        <v>213</v>
      </c>
      <c r="B855" s="0" t="s">
        <v>214</v>
      </c>
      <c r="C855" s="0" t="s">
        <v>30</v>
      </c>
      <c r="D855" s="0" t="s">
        <v>189</v>
      </c>
      <c r="E855" s="0" t="n">
        <v>14</v>
      </c>
      <c r="F855" s="0" t="s">
        <v>68</v>
      </c>
      <c r="G855" s="0" t="s">
        <v>51</v>
      </c>
      <c r="H855" s="0" t="s">
        <v>51</v>
      </c>
      <c r="I855" s="0" t="s">
        <v>34</v>
      </c>
      <c r="J855" s="0" t="n">
        <v>1.33</v>
      </c>
      <c r="K855" s="0" t="s">
        <v>60</v>
      </c>
      <c r="L855" s="0" t="n">
        <f aca="false">INDEX(Summary!$F$2:$F$201,MATCH($B855,Summary!$A$2:$A$201,0))</f>
        <v>20</v>
      </c>
      <c r="M855" s="0" t="n">
        <f aca="false">INDEX(Summary!$I$2:$I$201,MATCH($B855,Summary!$A$2:$A$201,0))</f>
        <v>1</v>
      </c>
      <c r="N855" s="0" t="n">
        <f aca="false">INDEX(Summary!$J$2:$J$201,MATCH($B855,Summary!$A$2:$A$201,0))</f>
        <v>4</v>
      </c>
      <c r="O855" s="2" t="n">
        <f aca="false">INDEX(Summary!$K$2:$K$201,MATCH($B855,Summary!$A$2:$A$201,0))</f>
        <v>9.65</v>
      </c>
      <c r="P855" s="3" t="n">
        <f aca="false">INDEX(Summary!$L$2:$L$201,MATCH($B855,Summary!$A$2:$A$201,0))</f>
        <v>2</v>
      </c>
      <c r="Q855" s="3" t="n">
        <f aca="false">INDEX(Summary!$M$2:$M$201,MATCH($B855,Summary!$A$2:$A$201,0))</f>
        <v>4</v>
      </c>
      <c r="R855" s="2" t="n">
        <f aca="false">INDEX(Summary!$N$2:$N$201,MATCH($B855,Summary!$A$2:$A$201,0))</f>
        <v>11.22</v>
      </c>
      <c r="S855" s="3" t="n">
        <f aca="false">INDEX(Summary!$O$2:$O$201,MATCH($B855,Summary!$A$2:$A$201,0))</f>
        <v>6</v>
      </c>
      <c r="T855" s="3" t="n">
        <f aca="false">INDEX(Summary!$P$2:$P$201,MATCH($B855,Summary!$A$2:$A$201,0))</f>
        <v>3</v>
      </c>
      <c r="U855" s="2" t="n">
        <f aca="false">INDEX(Summary!$Q$2:$Q$201,MATCH($B855,Summary!$A$2:$A$201,0))</f>
        <v>13.17</v>
      </c>
      <c r="V855" s="2" t="n">
        <f aca="false">INDEX(Summary!$R$2:$R$201,MATCH($B855,Summary!$A$2:$A$201,0))</f>
        <v>15.76</v>
      </c>
      <c r="W855" s="0" t="str">
        <f aca="false">INDEX(Summary!$S$2:$S$201,MATCH($B855,Summary!$A$2:$A$201,0))</f>
        <v>Bronze</v>
      </c>
      <c r="X855" s="2" t="n">
        <f aca="false">INDEX(Summary!$T$2:$T$201,MATCH($B855,Summary!$A$2:$A$201,0))</f>
        <v>38.44</v>
      </c>
      <c r="Y855" s="0" t="str">
        <f aca="false">INDEX('Reward Model'!$E$18:$E$37,MATCH($E855,'Reward Model'!$A$18:$A$37,0))</f>
        <v>Medium</v>
      </c>
      <c r="Z855" s="4" t="n">
        <f aca="false">ROUND(MIN(1,MAX('Reward Model'!$B$2,INDEX('Reward Model'!$C$12:$C$14,MATCH($K855,'Reward Model'!$A$12:$A$14,0))/$J855)),3)</f>
        <v>1</v>
      </c>
      <c r="AA855" s="2" t="n">
        <f aca="false">IF($I855="Correct",ROUND(INDEX('Reward Model'!$B$12:$B$14,MATCH($K855,'Reward Model'!$A$12:$A$14,0))*Z855,2),0)</f>
        <v>2</v>
      </c>
      <c r="AB855" s="2" t="n">
        <f aca="false">IF($I855="Correct",ROUND(INDEX('Reward Model'!$B$12:$B$14,MATCH($Y855,'Reward Model'!$A$12:$A$14,0))*Z855,2),0)</f>
        <v>2</v>
      </c>
    </row>
    <row r="856" customFormat="false" ht="15" hidden="false" customHeight="false" outlineLevel="0" collapsed="false">
      <c r="A856" s="0" t="s">
        <v>213</v>
      </c>
      <c r="B856" s="0" t="s">
        <v>214</v>
      </c>
      <c r="C856" s="0" t="s">
        <v>30</v>
      </c>
      <c r="D856" s="0" t="s">
        <v>189</v>
      </c>
      <c r="E856" s="0" t="n">
        <v>15</v>
      </c>
      <c r="F856" s="0" t="s">
        <v>69</v>
      </c>
      <c r="G856" s="0" t="s">
        <v>139</v>
      </c>
      <c r="H856" s="0" t="s">
        <v>70</v>
      </c>
      <c r="I856" s="0" t="s">
        <v>39</v>
      </c>
      <c r="J856" s="0" t="n">
        <v>2.17</v>
      </c>
      <c r="K856" s="0" t="s">
        <v>60</v>
      </c>
      <c r="L856" s="0" t="n">
        <f aca="false">INDEX(Summary!$F$2:$F$201,MATCH($B856,Summary!$A$2:$A$201,0))</f>
        <v>20</v>
      </c>
      <c r="M856" s="0" t="n">
        <f aca="false">INDEX(Summary!$I$2:$I$201,MATCH($B856,Summary!$A$2:$A$201,0))</f>
        <v>1</v>
      </c>
      <c r="N856" s="0" t="n">
        <f aca="false">INDEX(Summary!$J$2:$J$201,MATCH($B856,Summary!$A$2:$A$201,0))</f>
        <v>4</v>
      </c>
      <c r="O856" s="2" t="n">
        <f aca="false">INDEX(Summary!$K$2:$K$201,MATCH($B856,Summary!$A$2:$A$201,0))</f>
        <v>9.65</v>
      </c>
      <c r="P856" s="3" t="n">
        <f aca="false">INDEX(Summary!$L$2:$L$201,MATCH($B856,Summary!$A$2:$A$201,0))</f>
        <v>2</v>
      </c>
      <c r="Q856" s="3" t="n">
        <f aca="false">INDEX(Summary!$M$2:$M$201,MATCH($B856,Summary!$A$2:$A$201,0))</f>
        <v>4</v>
      </c>
      <c r="R856" s="2" t="n">
        <f aca="false">INDEX(Summary!$N$2:$N$201,MATCH($B856,Summary!$A$2:$A$201,0))</f>
        <v>11.22</v>
      </c>
      <c r="S856" s="3" t="n">
        <f aca="false">INDEX(Summary!$O$2:$O$201,MATCH($B856,Summary!$A$2:$A$201,0))</f>
        <v>6</v>
      </c>
      <c r="T856" s="3" t="n">
        <f aca="false">INDEX(Summary!$P$2:$P$201,MATCH($B856,Summary!$A$2:$A$201,0))</f>
        <v>3</v>
      </c>
      <c r="U856" s="2" t="n">
        <f aca="false">INDEX(Summary!$Q$2:$Q$201,MATCH($B856,Summary!$A$2:$A$201,0))</f>
        <v>13.17</v>
      </c>
      <c r="V856" s="2" t="n">
        <f aca="false">INDEX(Summary!$R$2:$R$201,MATCH($B856,Summary!$A$2:$A$201,0))</f>
        <v>15.76</v>
      </c>
      <c r="W856" s="0" t="str">
        <f aca="false">INDEX(Summary!$S$2:$S$201,MATCH($B856,Summary!$A$2:$A$201,0))</f>
        <v>Bronze</v>
      </c>
      <c r="X856" s="2" t="n">
        <f aca="false">INDEX(Summary!$T$2:$T$201,MATCH($B856,Summary!$A$2:$A$201,0))</f>
        <v>38.44</v>
      </c>
      <c r="Y856" s="0" t="str">
        <f aca="false">INDEX('Reward Model'!$E$18:$E$37,MATCH($E856,'Reward Model'!$A$18:$A$37,0))</f>
        <v>Medium</v>
      </c>
      <c r="Z856" s="4" t="n">
        <f aca="false">ROUND(MIN(1,MAX('Reward Model'!$B$2,INDEX('Reward Model'!$C$12:$C$14,MATCH($K856,'Reward Model'!$A$12:$A$14,0))/$J856)),3)</f>
        <v>0.829</v>
      </c>
      <c r="AA856" s="2" t="n">
        <f aca="false">IF($I856="Correct",ROUND(INDEX('Reward Model'!$B$12:$B$14,MATCH($K856,'Reward Model'!$A$12:$A$14,0))*Z856,2),0)</f>
        <v>0</v>
      </c>
      <c r="AB856" s="2" t="n">
        <f aca="false">IF($I856="Correct",ROUND(INDEX('Reward Model'!$B$12:$B$14,MATCH($Y856,'Reward Model'!$A$12:$A$14,0))*Z856,2),0)</f>
        <v>0</v>
      </c>
    </row>
    <row r="857" customFormat="false" ht="15" hidden="false" customHeight="false" outlineLevel="0" collapsed="false">
      <c r="A857" s="0" t="s">
        <v>213</v>
      </c>
      <c r="B857" s="0" t="s">
        <v>214</v>
      </c>
      <c r="C857" s="0" t="s">
        <v>30</v>
      </c>
      <c r="D857" s="0" t="s">
        <v>189</v>
      </c>
      <c r="E857" s="0" t="n">
        <v>16</v>
      </c>
      <c r="F857" s="0" t="s">
        <v>71</v>
      </c>
      <c r="G857" s="0" t="s">
        <v>104</v>
      </c>
      <c r="H857" s="0" t="s">
        <v>72</v>
      </c>
      <c r="I857" s="0" t="s">
        <v>39</v>
      </c>
      <c r="J857" s="0" t="n">
        <v>2.15</v>
      </c>
      <c r="K857" s="0" t="s">
        <v>73</v>
      </c>
      <c r="L857" s="0" t="n">
        <f aca="false">INDEX(Summary!$F$2:$F$201,MATCH($B857,Summary!$A$2:$A$201,0))</f>
        <v>20</v>
      </c>
      <c r="M857" s="0" t="n">
        <f aca="false">INDEX(Summary!$I$2:$I$201,MATCH($B857,Summary!$A$2:$A$201,0))</f>
        <v>1</v>
      </c>
      <c r="N857" s="0" t="n">
        <f aca="false">INDEX(Summary!$J$2:$J$201,MATCH($B857,Summary!$A$2:$A$201,0))</f>
        <v>4</v>
      </c>
      <c r="O857" s="2" t="n">
        <f aca="false">INDEX(Summary!$K$2:$K$201,MATCH($B857,Summary!$A$2:$A$201,0))</f>
        <v>9.65</v>
      </c>
      <c r="P857" s="3" t="n">
        <f aca="false">INDEX(Summary!$L$2:$L$201,MATCH($B857,Summary!$A$2:$A$201,0))</f>
        <v>2</v>
      </c>
      <c r="Q857" s="3" t="n">
        <f aca="false">INDEX(Summary!$M$2:$M$201,MATCH($B857,Summary!$A$2:$A$201,0))</f>
        <v>4</v>
      </c>
      <c r="R857" s="2" t="n">
        <f aca="false">INDEX(Summary!$N$2:$N$201,MATCH($B857,Summary!$A$2:$A$201,0))</f>
        <v>11.22</v>
      </c>
      <c r="S857" s="3" t="n">
        <f aca="false">INDEX(Summary!$O$2:$O$201,MATCH($B857,Summary!$A$2:$A$201,0))</f>
        <v>6</v>
      </c>
      <c r="T857" s="3" t="n">
        <f aca="false">INDEX(Summary!$P$2:$P$201,MATCH($B857,Summary!$A$2:$A$201,0))</f>
        <v>3</v>
      </c>
      <c r="U857" s="2" t="n">
        <f aca="false">INDEX(Summary!$Q$2:$Q$201,MATCH($B857,Summary!$A$2:$A$201,0))</f>
        <v>13.17</v>
      </c>
      <c r="V857" s="2" t="n">
        <f aca="false">INDEX(Summary!$R$2:$R$201,MATCH($B857,Summary!$A$2:$A$201,0))</f>
        <v>15.76</v>
      </c>
      <c r="W857" s="0" t="str">
        <f aca="false">INDEX(Summary!$S$2:$S$201,MATCH($B857,Summary!$A$2:$A$201,0))</f>
        <v>Bronze</v>
      </c>
      <c r="X857" s="2" t="n">
        <f aca="false">INDEX(Summary!$T$2:$T$201,MATCH($B857,Summary!$A$2:$A$201,0))</f>
        <v>38.44</v>
      </c>
      <c r="Y857" s="0" t="str">
        <f aca="false">INDEX('Reward Model'!$E$18:$E$37,MATCH($E857,'Reward Model'!$A$18:$A$37,0))</f>
        <v>High</v>
      </c>
      <c r="Z857" s="4" t="n">
        <f aca="false">ROUND(MIN(1,MAX('Reward Model'!$B$2,INDEX('Reward Model'!$C$12:$C$14,MATCH($K857,'Reward Model'!$A$12:$A$14,0))/$J857)),3)</f>
        <v>0.93</v>
      </c>
      <c r="AA857" s="2" t="n">
        <f aca="false">IF($I857="Correct",ROUND(INDEX('Reward Model'!$B$12:$B$14,MATCH($K857,'Reward Model'!$A$12:$A$14,0))*Z857,2),0)</f>
        <v>0</v>
      </c>
      <c r="AB857" s="2" t="n">
        <f aca="false">IF($I857="Correct",ROUND(INDEX('Reward Model'!$B$12:$B$14,MATCH($Y857,'Reward Model'!$A$12:$A$14,0))*Z857,2),0)</f>
        <v>0</v>
      </c>
    </row>
    <row r="858" customFormat="false" ht="15" hidden="false" customHeight="false" outlineLevel="0" collapsed="false">
      <c r="A858" s="0" t="s">
        <v>213</v>
      </c>
      <c r="B858" s="0" t="s">
        <v>214</v>
      </c>
      <c r="C858" s="0" t="s">
        <v>30</v>
      </c>
      <c r="D858" s="0" t="s">
        <v>189</v>
      </c>
      <c r="E858" s="0" t="n">
        <v>17</v>
      </c>
      <c r="F858" s="0" t="s">
        <v>74</v>
      </c>
      <c r="G858" s="0" t="s">
        <v>113</v>
      </c>
      <c r="H858" s="0" t="s">
        <v>75</v>
      </c>
      <c r="I858" s="0" t="s">
        <v>39</v>
      </c>
      <c r="J858" s="0" t="n">
        <v>2.23</v>
      </c>
      <c r="K858" s="0" t="s">
        <v>73</v>
      </c>
      <c r="L858" s="0" t="n">
        <f aca="false">INDEX(Summary!$F$2:$F$201,MATCH($B858,Summary!$A$2:$A$201,0))</f>
        <v>20</v>
      </c>
      <c r="M858" s="0" t="n">
        <f aca="false">INDEX(Summary!$I$2:$I$201,MATCH($B858,Summary!$A$2:$A$201,0))</f>
        <v>1</v>
      </c>
      <c r="N858" s="0" t="n">
        <f aca="false">INDEX(Summary!$J$2:$J$201,MATCH($B858,Summary!$A$2:$A$201,0))</f>
        <v>4</v>
      </c>
      <c r="O858" s="2" t="n">
        <f aca="false">INDEX(Summary!$K$2:$K$201,MATCH($B858,Summary!$A$2:$A$201,0))</f>
        <v>9.65</v>
      </c>
      <c r="P858" s="3" t="n">
        <f aca="false">INDEX(Summary!$L$2:$L$201,MATCH($B858,Summary!$A$2:$A$201,0))</f>
        <v>2</v>
      </c>
      <c r="Q858" s="3" t="n">
        <f aca="false">INDEX(Summary!$M$2:$M$201,MATCH($B858,Summary!$A$2:$A$201,0))</f>
        <v>4</v>
      </c>
      <c r="R858" s="2" t="n">
        <f aca="false">INDEX(Summary!$N$2:$N$201,MATCH($B858,Summary!$A$2:$A$201,0))</f>
        <v>11.22</v>
      </c>
      <c r="S858" s="3" t="n">
        <f aca="false">INDEX(Summary!$O$2:$O$201,MATCH($B858,Summary!$A$2:$A$201,0))</f>
        <v>6</v>
      </c>
      <c r="T858" s="3" t="n">
        <f aca="false">INDEX(Summary!$P$2:$P$201,MATCH($B858,Summary!$A$2:$A$201,0))</f>
        <v>3</v>
      </c>
      <c r="U858" s="2" t="n">
        <f aca="false">INDEX(Summary!$Q$2:$Q$201,MATCH($B858,Summary!$A$2:$A$201,0))</f>
        <v>13.17</v>
      </c>
      <c r="V858" s="2" t="n">
        <f aca="false">INDEX(Summary!$R$2:$R$201,MATCH($B858,Summary!$A$2:$A$201,0))</f>
        <v>15.76</v>
      </c>
      <c r="W858" s="0" t="str">
        <f aca="false">INDEX(Summary!$S$2:$S$201,MATCH($B858,Summary!$A$2:$A$201,0))</f>
        <v>Bronze</v>
      </c>
      <c r="X858" s="2" t="n">
        <f aca="false">INDEX(Summary!$T$2:$T$201,MATCH($B858,Summary!$A$2:$A$201,0))</f>
        <v>38.44</v>
      </c>
      <c r="Y858" s="0" t="str">
        <f aca="false">INDEX('Reward Model'!$E$18:$E$37,MATCH($E858,'Reward Model'!$A$18:$A$37,0))</f>
        <v>High</v>
      </c>
      <c r="Z858" s="4" t="n">
        <f aca="false">ROUND(MIN(1,MAX('Reward Model'!$B$2,INDEX('Reward Model'!$C$12:$C$14,MATCH($K858,'Reward Model'!$A$12:$A$14,0))/$J858)),3)</f>
        <v>0.897</v>
      </c>
      <c r="AA858" s="2" t="n">
        <f aca="false">IF($I858="Correct",ROUND(INDEX('Reward Model'!$B$12:$B$14,MATCH($K858,'Reward Model'!$A$12:$A$14,0))*Z858,2),0)</f>
        <v>0</v>
      </c>
      <c r="AB858" s="2" t="n">
        <f aca="false">IF($I858="Correct",ROUND(INDEX('Reward Model'!$B$12:$B$14,MATCH($Y858,'Reward Model'!$A$12:$A$14,0))*Z858,2),0)</f>
        <v>0</v>
      </c>
    </row>
    <row r="859" customFormat="false" ht="15" hidden="false" customHeight="false" outlineLevel="0" collapsed="false">
      <c r="A859" s="0" t="s">
        <v>213</v>
      </c>
      <c r="B859" s="0" t="s">
        <v>214</v>
      </c>
      <c r="C859" s="0" t="s">
        <v>30</v>
      </c>
      <c r="D859" s="0" t="s">
        <v>189</v>
      </c>
      <c r="E859" s="0" t="n">
        <v>18</v>
      </c>
      <c r="F859" s="0" t="s">
        <v>76</v>
      </c>
      <c r="G859" s="0" t="s">
        <v>88</v>
      </c>
      <c r="H859" s="0" t="s">
        <v>77</v>
      </c>
      <c r="I859" s="0" t="s">
        <v>39</v>
      </c>
      <c r="J859" s="0" t="n">
        <v>1.78</v>
      </c>
      <c r="K859" s="0" t="s">
        <v>73</v>
      </c>
      <c r="L859" s="0" t="n">
        <f aca="false">INDEX(Summary!$F$2:$F$201,MATCH($B859,Summary!$A$2:$A$201,0))</f>
        <v>20</v>
      </c>
      <c r="M859" s="0" t="n">
        <f aca="false">INDEX(Summary!$I$2:$I$201,MATCH($B859,Summary!$A$2:$A$201,0))</f>
        <v>1</v>
      </c>
      <c r="N859" s="0" t="n">
        <f aca="false">INDEX(Summary!$J$2:$J$201,MATCH($B859,Summary!$A$2:$A$201,0))</f>
        <v>4</v>
      </c>
      <c r="O859" s="2" t="n">
        <f aca="false">INDEX(Summary!$K$2:$K$201,MATCH($B859,Summary!$A$2:$A$201,0))</f>
        <v>9.65</v>
      </c>
      <c r="P859" s="3" t="n">
        <f aca="false">INDEX(Summary!$L$2:$L$201,MATCH($B859,Summary!$A$2:$A$201,0))</f>
        <v>2</v>
      </c>
      <c r="Q859" s="3" t="n">
        <f aca="false">INDEX(Summary!$M$2:$M$201,MATCH($B859,Summary!$A$2:$A$201,0))</f>
        <v>4</v>
      </c>
      <c r="R859" s="2" t="n">
        <f aca="false">INDEX(Summary!$N$2:$N$201,MATCH($B859,Summary!$A$2:$A$201,0))</f>
        <v>11.22</v>
      </c>
      <c r="S859" s="3" t="n">
        <f aca="false">INDEX(Summary!$O$2:$O$201,MATCH($B859,Summary!$A$2:$A$201,0))</f>
        <v>6</v>
      </c>
      <c r="T859" s="3" t="n">
        <f aca="false">INDEX(Summary!$P$2:$P$201,MATCH($B859,Summary!$A$2:$A$201,0))</f>
        <v>3</v>
      </c>
      <c r="U859" s="2" t="n">
        <f aca="false">INDEX(Summary!$Q$2:$Q$201,MATCH($B859,Summary!$A$2:$A$201,0))</f>
        <v>13.17</v>
      </c>
      <c r="V859" s="2" t="n">
        <f aca="false">INDEX(Summary!$R$2:$R$201,MATCH($B859,Summary!$A$2:$A$201,0))</f>
        <v>15.76</v>
      </c>
      <c r="W859" s="0" t="str">
        <f aca="false">INDEX(Summary!$S$2:$S$201,MATCH($B859,Summary!$A$2:$A$201,0))</f>
        <v>Bronze</v>
      </c>
      <c r="X859" s="2" t="n">
        <f aca="false">INDEX(Summary!$T$2:$T$201,MATCH($B859,Summary!$A$2:$A$201,0))</f>
        <v>38.44</v>
      </c>
      <c r="Y859" s="0" t="str">
        <f aca="false">INDEX('Reward Model'!$E$18:$E$37,MATCH($E859,'Reward Model'!$A$18:$A$37,0))</f>
        <v>High</v>
      </c>
      <c r="Z859" s="4" t="n">
        <f aca="false">ROUND(MIN(1,MAX('Reward Model'!$B$2,INDEX('Reward Model'!$C$12:$C$14,MATCH($K859,'Reward Model'!$A$12:$A$14,0))/$J859)),3)</f>
        <v>1</v>
      </c>
      <c r="AA859" s="2" t="n">
        <f aca="false">IF($I859="Correct",ROUND(INDEX('Reward Model'!$B$12:$B$14,MATCH($K859,'Reward Model'!$A$12:$A$14,0))*Z859,2),0)</f>
        <v>0</v>
      </c>
      <c r="AB859" s="2" t="n">
        <f aca="false">IF($I859="Correct",ROUND(INDEX('Reward Model'!$B$12:$B$14,MATCH($Y859,'Reward Model'!$A$12:$A$14,0))*Z859,2),0)</f>
        <v>0</v>
      </c>
    </row>
    <row r="860" customFormat="false" ht="15" hidden="false" customHeight="false" outlineLevel="0" collapsed="false">
      <c r="A860" s="0" t="s">
        <v>213</v>
      </c>
      <c r="B860" s="0" t="s">
        <v>214</v>
      </c>
      <c r="C860" s="0" t="s">
        <v>30</v>
      </c>
      <c r="D860" s="0" t="s">
        <v>189</v>
      </c>
      <c r="E860" s="0" t="n">
        <v>19</v>
      </c>
      <c r="F860" s="0" t="s">
        <v>78</v>
      </c>
      <c r="G860" s="0" t="s">
        <v>80</v>
      </c>
      <c r="H860" s="0" t="s">
        <v>80</v>
      </c>
      <c r="I860" s="0" t="s">
        <v>34</v>
      </c>
      <c r="J860" s="0" t="n">
        <v>1.28</v>
      </c>
      <c r="K860" s="0" t="s">
        <v>73</v>
      </c>
      <c r="L860" s="0" t="n">
        <f aca="false">INDEX(Summary!$F$2:$F$201,MATCH($B860,Summary!$A$2:$A$201,0))</f>
        <v>20</v>
      </c>
      <c r="M860" s="0" t="n">
        <f aca="false">INDEX(Summary!$I$2:$I$201,MATCH($B860,Summary!$A$2:$A$201,0))</f>
        <v>1</v>
      </c>
      <c r="N860" s="0" t="n">
        <f aca="false">INDEX(Summary!$J$2:$J$201,MATCH($B860,Summary!$A$2:$A$201,0))</f>
        <v>4</v>
      </c>
      <c r="O860" s="2" t="n">
        <f aca="false">INDEX(Summary!$K$2:$K$201,MATCH($B860,Summary!$A$2:$A$201,0))</f>
        <v>9.65</v>
      </c>
      <c r="P860" s="3" t="n">
        <f aca="false">INDEX(Summary!$L$2:$L$201,MATCH($B860,Summary!$A$2:$A$201,0))</f>
        <v>2</v>
      </c>
      <c r="Q860" s="3" t="n">
        <f aca="false">INDEX(Summary!$M$2:$M$201,MATCH($B860,Summary!$A$2:$A$201,0))</f>
        <v>4</v>
      </c>
      <c r="R860" s="2" t="n">
        <f aca="false">INDEX(Summary!$N$2:$N$201,MATCH($B860,Summary!$A$2:$A$201,0))</f>
        <v>11.22</v>
      </c>
      <c r="S860" s="3" t="n">
        <f aca="false">INDEX(Summary!$O$2:$O$201,MATCH($B860,Summary!$A$2:$A$201,0))</f>
        <v>6</v>
      </c>
      <c r="T860" s="3" t="n">
        <f aca="false">INDEX(Summary!$P$2:$P$201,MATCH($B860,Summary!$A$2:$A$201,0))</f>
        <v>3</v>
      </c>
      <c r="U860" s="2" t="n">
        <f aca="false">INDEX(Summary!$Q$2:$Q$201,MATCH($B860,Summary!$A$2:$A$201,0))</f>
        <v>13.17</v>
      </c>
      <c r="V860" s="2" t="n">
        <f aca="false">INDEX(Summary!$R$2:$R$201,MATCH($B860,Summary!$A$2:$A$201,0))</f>
        <v>15.76</v>
      </c>
      <c r="W860" s="0" t="str">
        <f aca="false">INDEX(Summary!$S$2:$S$201,MATCH($B860,Summary!$A$2:$A$201,0))</f>
        <v>Bronze</v>
      </c>
      <c r="X860" s="2" t="n">
        <f aca="false">INDEX(Summary!$T$2:$T$201,MATCH($B860,Summary!$A$2:$A$201,0))</f>
        <v>38.44</v>
      </c>
      <c r="Y860" s="0" t="str">
        <f aca="false">INDEX('Reward Model'!$E$18:$E$37,MATCH($E860,'Reward Model'!$A$18:$A$37,0))</f>
        <v>High</v>
      </c>
      <c r="Z860" s="4" t="n">
        <f aca="false">ROUND(MIN(1,MAX('Reward Model'!$B$2,INDEX('Reward Model'!$C$12:$C$14,MATCH($K860,'Reward Model'!$A$12:$A$14,0))/$J860)),3)</f>
        <v>1</v>
      </c>
      <c r="AA860" s="2" t="n">
        <f aca="false">IF($I860="Correct",ROUND(INDEX('Reward Model'!$B$12:$B$14,MATCH($K860,'Reward Model'!$A$12:$A$14,0))*Z860,2),0)</f>
        <v>3</v>
      </c>
      <c r="AB860" s="2" t="n">
        <f aca="false">IF($I860="Correct",ROUND(INDEX('Reward Model'!$B$12:$B$14,MATCH($Y860,'Reward Model'!$A$12:$A$14,0))*Z860,2),0)</f>
        <v>3</v>
      </c>
    </row>
    <row r="861" customFormat="false" ht="15" hidden="false" customHeight="false" outlineLevel="0" collapsed="false">
      <c r="A861" s="0" t="s">
        <v>213</v>
      </c>
      <c r="B861" s="0" t="s">
        <v>214</v>
      </c>
      <c r="C861" s="0" t="s">
        <v>30</v>
      </c>
      <c r="D861" s="0" t="s">
        <v>189</v>
      </c>
      <c r="E861" s="0" t="n">
        <v>20</v>
      </c>
      <c r="F861" s="0" t="s">
        <v>81</v>
      </c>
      <c r="G861" s="0" t="s">
        <v>166</v>
      </c>
      <c r="H861" s="0" t="s">
        <v>83</v>
      </c>
      <c r="I861" s="0" t="s">
        <v>39</v>
      </c>
      <c r="J861" s="0" t="n">
        <v>2.21</v>
      </c>
      <c r="K861" s="0" t="s">
        <v>73</v>
      </c>
      <c r="L861" s="0" t="n">
        <f aca="false">INDEX(Summary!$F$2:$F$201,MATCH($B861,Summary!$A$2:$A$201,0))</f>
        <v>20</v>
      </c>
      <c r="M861" s="0" t="n">
        <f aca="false">INDEX(Summary!$I$2:$I$201,MATCH($B861,Summary!$A$2:$A$201,0))</f>
        <v>1</v>
      </c>
      <c r="N861" s="0" t="n">
        <f aca="false">INDEX(Summary!$J$2:$J$201,MATCH($B861,Summary!$A$2:$A$201,0))</f>
        <v>4</v>
      </c>
      <c r="O861" s="2" t="n">
        <f aca="false">INDEX(Summary!$K$2:$K$201,MATCH($B861,Summary!$A$2:$A$201,0))</f>
        <v>9.65</v>
      </c>
      <c r="P861" s="3" t="n">
        <f aca="false">INDEX(Summary!$L$2:$L$201,MATCH($B861,Summary!$A$2:$A$201,0))</f>
        <v>2</v>
      </c>
      <c r="Q861" s="3" t="n">
        <f aca="false">INDEX(Summary!$M$2:$M$201,MATCH($B861,Summary!$A$2:$A$201,0))</f>
        <v>4</v>
      </c>
      <c r="R861" s="2" t="n">
        <f aca="false">INDEX(Summary!$N$2:$N$201,MATCH($B861,Summary!$A$2:$A$201,0))</f>
        <v>11.22</v>
      </c>
      <c r="S861" s="3" t="n">
        <f aca="false">INDEX(Summary!$O$2:$O$201,MATCH($B861,Summary!$A$2:$A$201,0))</f>
        <v>6</v>
      </c>
      <c r="T861" s="3" t="n">
        <f aca="false">INDEX(Summary!$P$2:$P$201,MATCH($B861,Summary!$A$2:$A$201,0))</f>
        <v>3</v>
      </c>
      <c r="U861" s="2" t="n">
        <f aca="false">INDEX(Summary!$Q$2:$Q$201,MATCH($B861,Summary!$A$2:$A$201,0))</f>
        <v>13.17</v>
      </c>
      <c r="V861" s="2" t="n">
        <f aca="false">INDEX(Summary!$R$2:$R$201,MATCH($B861,Summary!$A$2:$A$201,0))</f>
        <v>15.76</v>
      </c>
      <c r="W861" s="0" t="str">
        <f aca="false">INDEX(Summary!$S$2:$S$201,MATCH($B861,Summary!$A$2:$A$201,0))</f>
        <v>Bronze</v>
      </c>
      <c r="X861" s="2" t="n">
        <f aca="false">INDEX(Summary!$T$2:$T$201,MATCH($B861,Summary!$A$2:$A$201,0))</f>
        <v>38.44</v>
      </c>
      <c r="Y861" s="0" t="str">
        <f aca="false">INDEX('Reward Model'!$E$18:$E$37,MATCH($E861,'Reward Model'!$A$18:$A$37,0))</f>
        <v>High</v>
      </c>
      <c r="Z861" s="4" t="n">
        <f aca="false">ROUND(MIN(1,MAX('Reward Model'!$B$2,INDEX('Reward Model'!$C$12:$C$14,MATCH($K861,'Reward Model'!$A$12:$A$14,0))/$J861)),3)</f>
        <v>0.905</v>
      </c>
      <c r="AA861" s="2" t="n">
        <f aca="false">IF($I861="Correct",ROUND(INDEX('Reward Model'!$B$12:$B$14,MATCH($K861,'Reward Model'!$A$12:$A$14,0))*Z861,2),0)</f>
        <v>0</v>
      </c>
      <c r="AB861" s="2" t="n">
        <f aca="false">IF($I861="Correct",ROUND(INDEX('Reward Model'!$B$12:$B$14,MATCH($Y861,'Reward Model'!$A$12:$A$14,0))*Z861,2),0)</f>
        <v>0</v>
      </c>
    </row>
    <row r="862" customFormat="false" ht="15" hidden="false" customHeight="false" outlineLevel="0" collapsed="false">
      <c r="A862" s="0" t="s">
        <v>215</v>
      </c>
      <c r="B862" s="0" t="s">
        <v>216</v>
      </c>
      <c r="C862" s="0" t="s">
        <v>30</v>
      </c>
      <c r="D862" s="0" t="s">
        <v>189</v>
      </c>
      <c r="E862" s="0" t="n">
        <v>1</v>
      </c>
      <c r="F862" s="0" t="s">
        <v>32</v>
      </c>
      <c r="G862" s="0" t="s">
        <v>33</v>
      </c>
      <c r="H862" s="0" t="s">
        <v>33</v>
      </c>
      <c r="I862" s="0" t="s">
        <v>34</v>
      </c>
      <c r="J862" s="0" t="n">
        <v>1.4</v>
      </c>
      <c r="K862" s="0" t="s">
        <v>35</v>
      </c>
      <c r="L862" s="0" t="n">
        <f aca="false">INDEX(Summary!$F$2:$F$201,MATCH($B862,Summary!$A$2:$A$201,0))</f>
        <v>20</v>
      </c>
      <c r="M862" s="0" t="n">
        <f aca="false">INDEX(Summary!$I$2:$I$201,MATCH($B862,Summary!$A$2:$A$201,0))</f>
        <v>4</v>
      </c>
      <c r="N862" s="0" t="n">
        <f aca="false">INDEX(Summary!$J$2:$J$201,MATCH($B862,Summary!$A$2:$A$201,0))</f>
        <v>1</v>
      </c>
      <c r="O862" s="2" t="n">
        <f aca="false">INDEX(Summary!$K$2:$K$201,MATCH($B862,Summary!$A$2:$A$201,0))</f>
        <v>9.61</v>
      </c>
      <c r="P862" s="3" t="n">
        <f aca="false">INDEX(Summary!$L$2:$L$201,MATCH($B862,Summary!$A$2:$A$201,0))</f>
        <v>4</v>
      </c>
      <c r="Q862" s="3" t="n">
        <f aca="false">INDEX(Summary!$M$2:$M$201,MATCH($B862,Summary!$A$2:$A$201,0))</f>
        <v>2</v>
      </c>
      <c r="R862" s="2" t="n">
        <f aca="false">INDEX(Summary!$N$2:$N$201,MATCH($B862,Summary!$A$2:$A$201,0))</f>
        <v>10.45</v>
      </c>
      <c r="S862" s="3" t="n">
        <f aca="false">INDEX(Summary!$O$2:$O$201,MATCH($B862,Summary!$A$2:$A$201,0))</f>
        <v>8</v>
      </c>
      <c r="T862" s="3" t="n">
        <f aca="false">INDEX(Summary!$P$2:$P$201,MATCH($B862,Summary!$A$2:$A$201,0))</f>
        <v>1</v>
      </c>
      <c r="U862" s="2" t="n">
        <f aca="false">INDEX(Summary!$Q$2:$Q$201,MATCH($B862,Summary!$A$2:$A$201,0))</f>
        <v>13.19</v>
      </c>
      <c r="V862" s="2" t="n">
        <f aca="false">INDEX(Summary!$R$2:$R$201,MATCH($B862,Summary!$A$2:$A$201,0))</f>
        <v>29.94</v>
      </c>
      <c r="W862" s="0" t="str">
        <f aca="false">INDEX(Summary!$S$2:$S$201,MATCH($B862,Summary!$A$2:$A$201,0))</f>
        <v>Gold</v>
      </c>
      <c r="X862" s="2" t="n">
        <f aca="false">INDEX(Summary!$T$2:$T$201,MATCH($B862,Summary!$A$2:$A$201,0))</f>
        <v>73.02</v>
      </c>
      <c r="Y862" s="0" t="str">
        <f aca="false">INDEX('Reward Model'!$E$18:$E$37,MATCH($E862,'Reward Model'!$A$18:$A$37,0))</f>
        <v>Medium</v>
      </c>
      <c r="Z862" s="4" t="n">
        <f aca="false">ROUND(MIN(1,MAX('Reward Model'!$B$2,INDEX('Reward Model'!$C$12:$C$14,MATCH($K862,'Reward Model'!$A$12:$A$14,0))/$J862)),3)</f>
        <v>1</v>
      </c>
      <c r="AA862" s="2" t="n">
        <f aca="false">IF($I862="Correct",ROUND(INDEX('Reward Model'!$B$12:$B$14,MATCH($K862,'Reward Model'!$A$12:$A$14,0))*Z862,2),0)</f>
        <v>1</v>
      </c>
      <c r="AB862" s="2" t="n">
        <f aca="false">IF($I862="Correct",ROUND(INDEX('Reward Model'!$B$12:$B$14,MATCH($Y862,'Reward Model'!$A$12:$A$14,0))*Z862,2),0)</f>
        <v>2</v>
      </c>
    </row>
    <row r="863" customFormat="false" ht="15" hidden="false" customHeight="false" outlineLevel="0" collapsed="false">
      <c r="A863" s="0" t="s">
        <v>215</v>
      </c>
      <c r="B863" s="0" t="s">
        <v>216</v>
      </c>
      <c r="C863" s="0" t="s">
        <v>30</v>
      </c>
      <c r="D863" s="0" t="s">
        <v>189</v>
      </c>
      <c r="E863" s="0" t="n">
        <v>2</v>
      </c>
      <c r="F863" s="0" t="s">
        <v>36</v>
      </c>
      <c r="G863" s="0" t="s">
        <v>38</v>
      </c>
      <c r="H863" s="0" t="s">
        <v>38</v>
      </c>
      <c r="I863" s="0" t="s">
        <v>34</v>
      </c>
      <c r="J863" s="0" t="n">
        <v>0.93</v>
      </c>
      <c r="K863" s="0" t="s">
        <v>35</v>
      </c>
      <c r="L863" s="0" t="n">
        <f aca="false">INDEX(Summary!$F$2:$F$201,MATCH($B863,Summary!$A$2:$A$201,0))</f>
        <v>20</v>
      </c>
      <c r="M863" s="0" t="n">
        <f aca="false">INDEX(Summary!$I$2:$I$201,MATCH($B863,Summary!$A$2:$A$201,0))</f>
        <v>4</v>
      </c>
      <c r="N863" s="0" t="n">
        <f aca="false">INDEX(Summary!$J$2:$J$201,MATCH($B863,Summary!$A$2:$A$201,0))</f>
        <v>1</v>
      </c>
      <c r="O863" s="2" t="n">
        <f aca="false">INDEX(Summary!$K$2:$K$201,MATCH($B863,Summary!$A$2:$A$201,0))</f>
        <v>9.61</v>
      </c>
      <c r="P863" s="3" t="n">
        <f aca="false">INDEX(Summary!$L$2:$L$201,MATCH($B863,Summary!$A$2:$A$201,0))</f>
        <v>4</v>
      </c>
      <c r="Q863" s="3" t="n">
        <f aca="false">INDEX(Summary!$M$2:$M$201,MATCH($B863,Summary!$A$2:$A$201,0))</f>
        <v>2</v>
      </c>
      <c r="R863" s="2" t="n">
        <f aca="false">INDEX(Summary!$N$2:$N$201,MATCH($B863,Summary!$A$2:$A$201,0))</f>
        <v>10.45</v>
      </c>
      <c r="S863" s="3" t="n">
        <f aca="false">INDEX(Summary!$O$2:$O$201,MATCH($B863,Summary!$A$2:$A$201,0))</f>
        <v>8</v>
      </c>
      <c r="T863" s="3" t="n">
        <f aca="false">INDEX(Summary!$P$2:$P$201,MATCH($B863,Summary!$A$2:$A$201,0))</f>
        <v>1</v>
      </c>
      <c r="U863" s="2" t="n">
        <f aca="false">INDEX(Summary!$Q$2:$Q$201,MATCH($B863,Summary!$A$2:$A$201,0))</f>
        <v>13.19</v>
      </c>
      <c r="V863" s="2" t="n">
        <f aca="false">INDEX(Summary!$R$2:$R$201,MATCH($B863,Summary!$A$2:$A$201,0))</f>
        <v>29.94</v>
      </c>
      <c r="W863" s="0" t="str">
        <f aca="false">INDEX(Summary!$S$2:$S$201,MATCH($B863,Summary!$A$2:$A$201,0))</f>
        <v>Gold</v>
      </c>
      <c r="X863" s="2" t="n">
        <f aca="false">INDEX(Summary!$T$2:$T$201,MATCH($B863,Summary!$A$2:$A$201,0))</f>
        <v>73.02</v>
      </c>
      <c r="Y863" s="0" t="str">
        <f aca="false">INDEX('Reward Model'!$E$18:$E$37,MATCH($E863,'Reward Model'!$A$18:$A$37,0))</f>
        <v>Low</v>
      </c>
      <c r="Z863" s="4" t="n">
        <f aca="false">ROUND(MIN(1,MAX('Reward Model'!$B$2,INDEX('Reward Model'!$C$12:$C$14,MATCH($K863,'Reward Model'!$A$12:$A$14,0))/$J863)),3)</f>
        <v>1</v>
      </c>
      <c r="AA863" s="2" t="n">
        <f aca="false">IF($I863="Correct",ROUND(INDEX('Reward Model'!$B$12:$B$14,MATCH($K863,'Reward Model'!$A$12:$A$14,0))*Z863,2),0)</f>
        <v>1</v>
      </c>
      <c r="AB863" s="2" t="n">
        <f aca="false">IF($I863="Correct",ROUND(INDEX('Reward Model'!$B$12:$B$14,MATCH($Y863,'Reward Model'!$A$12:$A$14,0))*Z863,2),0)</f>
        <v>1</v>
      </c>
    </row>
    <row r="864" customFormat="false" ht="15" hidden="false" customHeight="false" outlineLevel="0" collapsed="false">
      <c r="A864" s="0" t="s">
        <v>215</v>
      </c>
      <c r="B864" s="0" t="s">
        <v>216</v>
      </c>
      <c r="C864" s="0" t="s">
        <v>30</v>
      </c>
      <c r="D864" s="0" t="s">
        <v>189</v>
      </c>
      <c r="E864" s="0" t="n">
        <v>3</v>
      </c>
      <c r="F864" s="0" t="s">
        <v>40</v>
      </c>
      <c r="G864" s="0" t="s">
        <v>123</v>
      </c>
      <c r="H864" s="0" t="s">
        <v>42</v>
      </c>
      <c r="I864" s="0" t="s">
        <v>39</v>
      </c>
      <c r="J864" s="0" t="n">
        <v>0.95</v>
      </c>
      <c r="K864" s="0" t="s">
        <v>35</v>
      </c>
      <c r="L864" s="0" t="n">
        <f aca="false">INDEX(Summary!$F$2:$F$201,MATCH($B864,Summary!$A$2:$A$201,0))</f>
        <v>20</v>
      </c>
      <c r="M864" s="0" t="n">
        <f aca="false">INDEX(Summary!$I$2:$I$201,MATCH($B864,Summary!$A$2:$A$201,0))</f>
        <v>4</v>
      </c>
      <c r="N864" s="0" t="n">
        <f aca="false">INDEX(Summary!$J$2:$J$201,MATCH($B864,Summary!$A$2:$A$201,0))</f>
        <v>1</v>
      </c>
      <c r="O864" s="2" t="n">
        <f aca="false">INDEX(Summary!$K$2:$K$201,MATCH($B864,Summary!$A$2:$A$201,0))</f>
        <v>9.61</v>
      </c>
      <c r="P864" s="3" t="n">
        <f aca="false">INDEX(Summary!$L$2:$L$201,MATCH($B864,Summary!$A$2:$A$201,0))</f>
        <v>4</v>
      </c>
      <c r="Q864" s="3" t="n">
        <f aca="false">INDEX(Summary!$M$2:$M$201,MATCH($B864,Summary!$A$2:$A$201,0))</f>
        <v>2</v>
      </c>
      <c r="R864" s="2" t="n">
        <f aca="false">INDEX(Summary!$N$2:$N$201,MATCH($B864,Summary!$A$2:$A$201,0))</f>
        <v>10.45</v>
      </c>
      <c r="S864" s="3" t="n">
        <f aca="false">INDEX(Summary!$O$2:$O$201,MATCH($B864,Summary!$A$2:$A$201,0))</f>
        <v>8</v>
      </c>
      <c r="T864" s="3" t="n">
        <f aca="false">INDEX(Summary!$P$2:$P$201,MATCH($B864,Summary!$A$2:$A$201,0))</f>
        <v>1</v>
      </c>
      <c r="U864" s="2" t="n">
        <f aca="false">INDEX(Summary!$Q$2:$Q$201,MATCH($B864,Summary!$A$2:$A$201,0))</f>
        <v>13.19</v>
      </c>
      <c r="V864" s="2" t="n">
        <f aca="false">INDEX(Summary!$R$2:$R$201,MATCH($B864,Summary!$A$2:$A$201,0))</f>
        <v>29.94</v>
      </c>
      <c r="W864" s="0" t="str">
        <f aca="false">INDEX(Summary!$S$2:$S$201,MATCH($B864,Summary!$A$2:$A$201,0))</f>
        <v>Gold</v>
      </c>
      <c r="X864" s="2" t="n">
        <f aca="false">INDEX(Summary!$T$2:$T$201,MATCH($B864,Summary!$A$2:$A$201,0))</f>
        <v>73.02</v>
      </c>
      <c r="Y864" s="0" t="str">
        <f aca="false">INDEX('Reward Model'!$E$18:$E$37,MATCH($E864,'Reward Model'!$A$18:$A$37,0))</f>
        <v>Medium</v>
      </c>
      <c r="Z864" s="4" t="n">
        <f aca="false">ROUND(MIN(1,MAX('Reward Model'!$B$2,INDEX('Reward Model'!$C$12:$C$14,MATCH($K864,'Reward Model'!$A$12:$A$14,0))/$J864)),3)</f>
        <v>1</v>
      </c>
      <c r="AA864" s="2" t="n">
        <f aca="false">IF($I864="Correct",ROUND(INDEX('Reward Model'!$B$12:$B$14,MATCH($K864,'Reward Model'!$A$12:$A$14,0))*Z864,2),0)</f>
        <v>0</v>
      </c>
      <c r="AB864" s="2" t="n">
        <f aca="false">IF($I864="Correct",ROUND(INDEX('Reward Model'!$B$12:$B$14,MATCH($Y864,'Reward Model'!$A$12:$A$14,0))*Z864,2),0)</f>
        <v>0</v>
      </c>
    </row>
    <row r="865" customFormat="false" ht="15" hidden="false" customHeight="false" outlineLevel="0" collapsed="false">
      <c r="A865" s="0" t="s">
        <v>215</v>
      </c>
      <c r="B865" s="0" t="s">
        <v>216</v>
      </c>
      <c r="C865" s="0" t="s">
        <v>30</v>
      </c>
      <c r="D865" s="0" t="s">
        <v>189</v>
      </c>
      <c r="E865" s="0" t="n">
        <v>4</v>
      </c>
      <c r="F865" s="0" t="s">
        <v>43</v>
      </c>
      <c r="G865" s="0" t="s">
        <v>45</v>
      </c>
      <c r="H865" s="0" t="s">
        <v>45</v>
      </c>
      <c r="I865" s="0" t="s">
        <v>34</v>
      </c>
      <c r="J865" s="0" t="n">
        <v>1.8</v>
      </c>
      <c r="K865" s="0" t="s">
        <v>35</v>
      </c>
      <c r="L865" s="0" t="n">
        <f aca="false">INDEX(Summary!$F$2:$F$201,MATCH($B865,Summary!$A$2:$A$201,0))</f>
        <v>20</v>
      </c>
      <c r="M865" s="0" t="n">
        <f aca="false">INDEX(Summary!$I$2:$I$201,MATCH($B865,Summary!$A$2:$A$201,0))</f>
        <v>4</v>
      </c>
      <c r="N865" s="0" t="n">
        <f aca="false">INDEX(Summary!$J$2:$J$201,MATCH($B865,Summary!$A$2:$A$201,0))</f>
        <v>1</v>
      </c>
      <c r="O865" s="2" t="n">
        <f aca="false">INDEX(Summary!$K$2:$K$201,MATCH($B865,Summary!$A$2:$A$201,0))</f>
        <v>9.61</v>
      </c>
      <c r="P865" s="3" t="n">
        <f aca="false">INDEX(Summary!$L$2:$L$201,MATCH($B865,Summary!$A$2:$A$201,0))</f>
        <v>4</v>
      </c>
      <c r="Q865" s="3" t="n">
        <f aca="false">INDEX(Summary!$M$2:$M$201,MATCH($B865,Summary!$A$2:$A$201,0))</f>
        <v>2</v>
      </c>
      <c r="R865" s="2" t="n">
        <f aca="false">INDEX(Summary!$N$2:$N$201,MATCH($B865,Summary!$A$2:$A$201,0))</f>
        <v>10.45</v>
      </c>
      <c r="S865" s="3" t="n">
        <f aca="false">INDEX(Summary!$O$2:$O$201,MATCH($B865,Summary!$A$2:$A$201,0))</f>
        <v>8</v>
      </c>
      <c r="T865" s="3" t="n">
        <f aca="false">INDEX(Summary!$P$2:$P$201,MATCH($B865,Summary!$A$2:$A$201,0))</f>
        <v>1</v>
      </c>
      <c r="U865" s="2" t="n">
        <f aca="false">INDEX(Summary!$Q$2:$Q$201,MATCH($B865,Summary!$A$2:$A$201,0))</f>
        <v>13.19</v>
      </c>
      <c r="V865" s="2" t="n">
        <f aca="false">INDEX(Summary!$R$2:$R$201,MATCH($B865,Summary!$A$2:$A$201,0))</f>
        <v>29.94</v>
      </c>
      <c r="W865" s="0" t="str">
        <f aca="false">INDEX(Summary!$S$2:$S$201,MATCH($B865,Summary!$A$2:$A$201,0))</f>
        <v>Gold</v>
      </c>
      <c r="X865" s="2" t="n">
        <f aca="false">INDEX(Summary!$T$2:$T$201,MATCH($B865,Summary!$A$2:$A$201,0))</f>
        <v>73.02</v>
      </c>
      <c r="Y865" s="0" t="str">
        <f aca="false">INDEX('Reward Model'!$E$18:$E$37,MATCH($E865,'Reward Model'!$A$18:$A$37,0))</f>
        <v>Low</v>
      </c>
      <c r="Z865" s="4" t="n">
        <f aca="false">ROUND(MIN(1,MAX('Reward Model'!$B$2,INDEX('Reward Model'!$C$12:$C$14,MATCH($K865,'Reward Model'!$A$12:$A$14,0))/$J865)),3)</f>
        <v>0.833</v>
      </c>
      <c r="AA865" s="2" t="n">
        <f aca="false">IF($I865="Correct",ROUND(INDEX('Reward Model'!$B$12:$B$14,MATCH($K865,'Reward Model'!$A$12:$A$14,0))*Z865,2),0)</f>
        <v>0.83</v>
      </c>
      <c r="AB865" s="2" t="n">
        <f aca="false">IF($I865="Correct",ROUND(INDEX('Reward Model'!$B$12:$B$14,MATCH($Y865,'Reward Model'!$A$12:$A$14,0))*Z865,2),0)</f>
        <v>0.83</v>
      </c>
    </row>
    <row r="866" customFormat="false" ht="15" hidden="false" customHeight="false" outlineLevel="0" collapsed="false">
      <c r="A866" s="0" t="s">
        <v>215</v>
      </c>
      <c r="B866" s="0" t="s">
        <v>216</v>
      </c>
      <c r="C866" s="0" t="s">
        <v>30</v>
      </c>
      <c r="D866" s="0" t="s">
        <v>189</v>
      </c>
      <c r="E866" s="0" t="n">
        <v>5</v>
      </c>
      <c r="F866" s="0" t="s">
        <v>46</v>
      </c>
      <c r="G866" s="0" t="s">
        <v>47</v>
      </c>
      <c r="H866" s="0" t="s">
        <v>47</v>
      </c>
      <c r="I866" s="0" t="s">
        <v>34</v>
      </c>
      <c r="J866" s="0" t="n">
        <v>1.41</v>
      </c>
      <c r="K866" s="0" t="s">
        <v>35</v>
      </c>
      <c r="L866" s="0" t="n">
        <f aca="false">INDEX(Summary!$F$2:$F$201,MATCH($B866,Summary!$A$2:$A$201,0))</f>
        <v>20</v>
      </c>
      <c r="M866" s="0" t="n">
        <f aca="false">INDEX(Summary!$I$2:$I$201,MATCH($B866,Summary!$A$2:$A$201,0))</f>
        <v>4</v>
      </c>
      <c r="N866" s="0" t="n">
        <f aca="false">INDEX(Summary!$J$2:$J$201,MATCH($B866,Summary!$A$2:$A$201,0))</f>
        <v>1</v>
      </c>
      <c r="O866" s="2" t="n">
        <f aca="false">INDEX(Summary!$K$2:$K$201,MATCH($B866,Summary!$A$2:$A$201,0))</f>
        <v>9.61</v>
      </c>
      <c r="P866" s="3" t="n">
        <f aca="false">INDEX(Summary!$L$2:$L$201,MATCH($B866,Summary!$A$2:$A$201,0))</f>
        <v>4</v>
      </c>
      <c r="Q866" s="3" t="n">
        <f aca="false">INDEX(Summary!$M$2:$M$201,MATCH($B866,Summary!$A$2:$A$201,0))</f>
        <v>2</v>
      </c>
      <c r="R866" s="2" t="n">
        <f aca="false">INDEX(Summary!$N$2:$N$201,MATCH($B866,Summary!$A$2:$A$201,0))</f>
        <v>10.45</v>
      </c>
      <c r="S866" s="3" t="n">
        <f aca="false">INDEX(Summary!$O$2:$O$201,MATCH($B866,Summary!$A$2:$A$201,0))</f>
        <v>8</v>
      </c>
      <c r="T866" s="3" t="n">
        <f aca="false">INDEX(Summary!$P$2:$P$201,MATCH($B866,Summary!$A$2:$A$201,0))</f>
        <v>1</v>
      </c>
      <c r="U866" s="2" t="n">
        <f aca="false">INDEX(Summary!$Q$2:$Q$201,MATCH($B866,Summary!$A$2:$A$201,0))</f>
        <v>13.19</v>
      </c>
      <c r="V866" s="2" t="n">
        <f aca="false">INDEX(Summary!$R$2:$R$201,MATCH($B866,Summary!$A$2:$A$201,0))</f>
        <v>29.94</v>
      </c>
      <c r="W866" s="0" t="str">
        <f aca="false">INDEX(Summary!$S$2:$S$201,MATCH($B866,Summary!$A$2:$A$201,0))</f>
        <v>Gold</v>
      </c>
      <c r="X866" s="2" t="n">
        <f aca="false">INDEX(Summary!$T$2:$T$201,MATCH($B866,Summary!$A$2:$A$201,0))</f>
        <v>73.02</v>
      </c>
      <c r="Y866" s="0" t="str">
        <f aca="false">INDEX('Reward Model'!$E$18:$E$37,MATCH($E866,'Reward Model'!$A$18:$A$37,0))</f>
        <v>Low</v>
      </c>
      <c r="Z866" s="4" t="n">
        <f aca="false">ROUND(MIN(1,MAX('Reward Model'!$B$2,INDEX('Reward Model'!$C$12:$C$14,MATCH($K866,'Reward Model'!$A$12:$A$14,0))/$J866)),3)</f>
        <v>1</v>
      </c>
      <c r="AA866" s="2" t="n">
        <f aca="false">IF($I866="Correct",ROUND(INDEX('Reward Model'!$B$12:$B$14,MATCH($K866,'Reward Model'!$A$12:$A$14,0))*Z866,2),0)</f>
        <v>1</v>
      </c>
      <c r="AB866" s="2" t="n">
        <f aca="false">IF($I866="Correct",ROUND(INDEX('Reward Model'!$B$12:$B$14,MATCH($Y866,'Reward Model'!$A$12:$A$14,0))*Z866,2),0)</f>
        <v>1</v>
      </c>
    </row>
    <row r="867" customFormat="false" ht="15" hidden="false" customHeight="false" outlineLevel="0" collapsed="false">
      <c r="A867" s="0" t="s">
        <v>215</v>
      </c>
      <c r="B867" s="0" t="s">
        <v>216</v>
      </c>
      <c r="C867" s="0" t="s">
        <v>30</v>
      </c>
      <c r="D867" s="0" t="s">
        <v>189</v>
      </c>
      <c r="E867" s="0" t="n">
        <v>6</v>
      </c>
      <c r="F867" s="0" t="s">
        <v>48</v>
      </c>
      <c r="G867" s="0" t="s">
        <v>49</v>
      </c>
      <c r="H867" s="0" t="s">
        <v>49</v>
      </c>
      <c r="I867" s="0" t="s">
        <v>34</v>
      </c>
      <c r="J867" s="0" t="n">
        <v>1.97</v>
      </c>
      <c r="K867" s="0" t="s">
        <v>35</v>
      </c>
      <c r="L867" s="0" t="n">
        <f aca="false">INDEX(Summary!$F$2:$F$201,MATCH($B867,Summary!$A$2:$A$201,0))</f>
        <v>20</v>
      </c>
      <c r="M867" s="0" t="n">
        <f aca="false">INDEX(Summary!$I$2:$I$201,MATCH($B867,Summary!$A$2:$A$201,0))</f>
        <v>4</v>
      </c>
      <c r="N867" s="0" t="n">
        <f aca="false">INDEX(Summary!$J$2:$J$201,MATCH($B867,Summary!$A$2:$A$201,0))</f>
        <v>1</v>
      </c>
      <c r="O867" s="2" t="n">
        <f aca="false">INDEX(Summary!$K$2:$K$201,MATCH($B867,Summary!$A$2:$A$201,0))</f>
        <v>9.61</v>
      </c>
      <c r="P867" s="3" t="n">
        <f aca="false">INDEX(Summary!$L$2:$L$201,MATCH($B867,Summary!$A$2:$A$201,0))</f>
        <v>4</v>
      </c>
      <c r="Q867" s="3" t="n">
        <f aca="false">INDEX(Summary!$M$2:$M$201,MATCH($B867,Summary!$A$2:$A$201,0))</f>
        <v>2</v>
      </c>
      <c r="R867" s="2" t="n">
        <f aca="false">INDEX(Summary!$N$2:$N$201,MATCH($B867,Summary!$A$2:$A$201,0))</f>
        <v>10.45</v>
      </c>
      <c r="S867" s="3" t="n">
        <f aca="false">INDEX(Summary!$O$2:$O$201,MATCH($B867,Summary!$A$2:$A$201,0))</f>
        <v>8</v>
      </c>
      <c r="T867" s="3" t="n">
        <f aca="false">INDEX(Summary!$P$2:$P$201,MATCH($B867,Summary!$A$2:$A$201,0))</f>
        <v>1</v>
      </c>
      <c r="U867" s="2" t="n">
        <f aca="false">INDEX(Summary!$Q$2:$Q$201,MATCH($B867,Summary!$A$2:$A$201,0))</f>
        <v>13.19</v>
      </c>
      <c r="V867" s="2" t="n">
        <f aca="false">INDEX(Summary!$R$2:$R$201,MATCH($B867,Summary!$A$2:$A$201,0))</f>
        <v>29.94</v>
      </c>
      <c r="W867" s="0" t="str">
        <f aca="false">INDEX(Summary!$S$2:$S$201,MATCH($B867,Summary!$A$2:$A$201,0))</f>
        <v>Gold</v>
      </c>
      <c r="X867" s="2" t="n">
        <f aca="false">INDEX(Summary!$T$2:$T$201,MATCH($B867,Summary!$A$2:$A$201,0))</f>
        <v>73.02</v>
      </c>
      <c r="Y867" s="0" t="str">
        <f aca="false">INDEX('Reward Model'!$E$18:$E$37,MATCH($E867,'Reward Model'!$A$18:$A$37,0))</f>
        <v>Medium</v>
      </c>
      <c r="Z867" s="4" t="n">
        <f aca="false">ROUND(MIN(1,MAX('Reward Model'!$B$2,INDEX('Reward Model'!$C$12:$C$14,MATCH($K867,'Reward Model'!$A$12:$A$14,0))/$J867)),3)</f>
        <v>0.761</v>
      </c>
      <c r="AA867" s="2" t="n">
        <f aca="false">IF($I867="Correct",ROUND(INDEX('Reward Model'!$B$12:$B$14,MATCH($K867,'Reward Model'!$A$12:$A$14,0))*Z867,2),0)</f>
        <v>0.76</v>
      </c>
      <c r="AB867" s="2" t="n">
        <f aca="false">IF($I867="Correct",ROUND(INDEX('Reward Model'!$B$12:$B$14,MATCH($Y867,'Reward Model'!$A$12:$A$14,0))*Z867,2),0)</f>
        <v>1.52</v>
      </c>
    </row>
    <row r="868" customFormat="false" ht="15" hidden="false" customHeight="false" outlineLevel="0" collapsed="false">
      <c r="A868" s="0" t="s">
        <v>215</v>
      </c>
      <c r="B868" s="0" t="s">
        <v>216</v>
      </c>
      <c r="C868" s="0" t="s">
        <v>30</v>
      </c>
      <c r="D868" s="0" t="s">
        <v>189</v>
      </c>
      <c r="E868" s="0" t="n">
        <v>7</v>
      </c>
      <c r="F868" s="0" t="s">
        <v>50</v>
      </c>
      <c r="G868" s="0" t="s">
        <v>51</v>
      </c>
      <c r="H868" s="0" t="s">
        <v>51</v>
      </c>
      <c r="I868" s="0" t="s">
        <v>34</v>
      </c>
      <c r="J868" s="0" t="n">
        <v>1.78</v>
      </c>
      <c r="K868" s="0" t="s">
        <v>35</v>
      </c>
      <c r="L868" s="0" t="n">
        <f aca="false">INDEX(Summary!$F$2:$F$201,MATCH($B868,Summary!$A$2:$A$201,0))</f>
        <v>20</v>
      </c>
      <c r="M868" s="0" t="n">
        <f aca="false">INDEX(Summary!$I$2:$I$201,MATCH($B868,Summary!$A$2:$A$201,0))</f>
        <v>4</v>
      </c>
      <c r="N868" s="0" t="n">
        <f aca="false">INDEX(Summary!$J$2:$J$201,MATCH($B868,Summary!$A$2:$A$201,0))</f>
        <v>1</v>
      </c>
      <c r="O868" s="2" t="n">
        <f aca="false">INDEX(Summary!$K$2:$K$201,MATCH($B868,Summary!$A$2:$A$201,0))</f>
        <v>9.61</v>
      </c>
      <c r="P868" s="3" t="n">
        <f aca="false">INDEX(Summary!$L$2:$L$201,MATCH($B868,Summary!$A$2:$A$201,0))</f>
        <v>4</v>
      </c>
      <c r="Q868" s="3" t="n">
        <f aca="false">INDEX(Summary!$M$2:$M$201,MATCH($B868,Summary!$A$2:$A$201,0))</f>
        <v>2</v>
      </c>
      <c r="R868" s="2" t="n">
        <f aca="false">INDEX(Summary!$N$2:$N$201,MATCH($B868,Summary!$A$2:$A$201,0))</f>
        <v>10.45</v>
      </c>
      <c r="S868" s="3" t="n">
        <f aca="false">INDEX(Summary!$O$2:$O$201,MATCH($B868,Summary!$A$2:$A$201,0))</f>
        <v>8</v>
      </c>
      <c r="T868" s="3" t="n">
        <f aca="false">INDEX(Summary!$P$2:$P$201,MATCH($B868,Summary!$A$2:$A$201,0))</f>
        <v>1</v>
      </c>
      <c r="U868" s="2" t="n">
        <f aca="false">INDEX(Summary!$Q$2:$Q$201,MATCH($B868,Summary!$A$2:$A$201,0))</f>
        <v>13.19</v>
      </c>
      <c r="V868" s="2" t="n">
        <f aca="false">INDEX(Summary!$R$2:$R$201,MATCH($B868,Summary!$A$2:$A$201,0))</f>
        <v>29.94</v>
      </c>
      <c r="W868" s="0" t="str">
        <f aca="false">INDEX(Summary!$S$2:$S$201,MATCH($B868,Summary!$A$2:$A$201,0))</f>
        <v>Gold</v>
      </c>
      <c r="X868" s="2" t="n">
        <f aca="false">INDEX(Summary!$T$2:$T$201,MATCH($B868,Summary!$A$2:$A$201,0))</f>
        <v>73.02</v>
      </c>
      <c r="Y868" s="0" t="str">
        <f aca="false">INDEX('Reward Model'!$E$18:$E$37,MATCH($E868,'Reward Model'!$A$18:$A$37,0))</f>
        <v>Low</v>
      </c>
      <c r="Z868" s="4" t="n">
        <f aca="false">ROUND(MIN(1,MAX('Reward Model'!$B$2,INDEX('Reward Model'!$C$12:$C$14,MATCH($K868,'Reward Model'!$A$12:$A$14,0))/$J868)),3)</f>
        <v>0.843</v>
      </c>
      <c r="AA868" s="2" t="n">
        <f aca="false">IF($I868="Correct",ROUND(INDEX('Reward Model'!$B$12:$B$14,MATCH($K868,'Reward Model'!$A$12:$A$14,0))*Z868,2),0)</f>
        <v>0.84</v>
      </c>
      <c r="AB868" s="2" t="n">
        <f aca="false">IF($I868="Correct",ROUND(INDEX('Reward Model'!$B$12:$B$14,MATCH($Y868,'Reward Model'!$A$12:$A$14,0))*Z868,2),0)</f>
        <v>0.84</v>
      </c>
    </row>
    <row r="869" customFormat="false" ht="15" hidden="false" customHeight="false" outlineLevel="0" collapsed="false">
      <c r="A869" s="0" t="s">
        <v>215</v>
      </c>
      <c r="B869" s="0" t="s">
        <v>216</v>
      </c>
      <c r="C869" s="0" t="s">
        <v>30</v>
      </c>
      <c r="D869" s="0" t="s">
        <v>189</v>
      </c>
      <c r="E869" s="0" t="n">
        <v>8</v>
      </c>
      <c r="F869" s="0" t="s">
        <v>52</v>
      </c>
      <c r="G869" s="0" t="s">
        <v>54</v>
      </c>
      <c r="H869" s="0" t="s">
        <v>54</v>
      </c>
      <c r="I869" s="0" t="s">
        <v>34</v>
      </c>
      <c r="J869" s="0" t="n">
        <v>1.66</v>
      </c>
      <c r="K869" s="0" t="s">
        <v>35</v>
      </c>
      <c r="L869" s="0" t="n">
        <f aca="false">INDEX(Summary!$F$2:$F$201,MATCH($B869,Summary!$A$2:$A$201,0))</f>
        <v>20</v>
      </c>
      <c r="M869" s="0" t="n">
        <f aca="false">INDEX(Summary!$I$2:$I$201,MATCH($B869,Summary!$A$2:$A$201,0))</f>
        <v>4</v>
      </c>
      <c r="N869" s="0" t="n">
        <f aca="false">INDEX(Summary!$J$2:$J$201,MATCH($B869,Summary!$A$2:$A$201,0))</f>
        <v>1</v>
      </c>
      <c r="O869" s="2" t="n">
        <f aca="false">INDEX(Summary!$K$2:$K$201,MATCH($B869,Summary!$A$2:$A$201,0))</f>
        <v>9.61</v>
      </c>
      <c r="P869" s="3" t="n">
        <f aca="false">INDEX(Summary!$L$2:$L$201,MATCH($B869,Summary!$A$2:$A$201,0))</f>
        <v>4</v>
      </c>
      <c r="Q869" s="3" t="n">
        <f aca="false">INDEX(Summary!$M$2:$M$201,MATCH($B869,Summary!$A$2:$A$201,0))</f>
        <v>2</v>
      </c>
      <c r="R869" s="2" t="n">
        <f aca="false">INDEX(Summary!$N$2:$N$201,MATCH($B869,Summary!$A$2:$A$201,0))</f>
        <v>10.45</v>
      </c>
      <c r="S869" s="3" t="n">
        <f aca="false">INDEX(Summary!$O$2:$O$201,MATCH($B869,Summary!$A$2:$A$201,0))</f>
        <v>8</v>
      </c>
      <c r="T869" s="3" t="n">
        <f aca="false">INDEX(Summary!$P$2:$P$201,MATCH($B869,Summary!$A$2:$A$201,0))</f>
        <v>1</v>
      </c>
      <c r="U869" s="2" t="n">
        <f aca="false">INDEX(Summary!$Q$2:$Q$201,MATCH($B869,Summary!$A$2:$A$201,0))</f>
        <v>13.19</v>
      </c>
      <c r="V869" s="2" t="n">
        <f aca="false">INDEX(Summary!$R$2:$R$201,MATCH($B869,Summary!$A$2:$A$201,0))</f>
        <v>29.94</v>
      </c>
      <c r="W869" s="0" t="str">
        <f aca="false">INDEX(Summary!$S$2:$S$201,MATCH($B869,Summary!$A$2:$A$201,0))</f>
        <v>Gold</v>
      </c>
      <c r="X869" s="2" t="n">
        <f aca="false">INDEX(Summary!$T$2:$T$201,MATCH($B869,Summary!$A$2:$A$201,0))</f>
        <v>73.02</v>
      </c>
      <c r="Y869" s="0" t="str">
        <f aca="false">INDEX('Reward Model'!$E$18:$E$37,MATCH($E869,'Reward Model'!$A$18:$A$37,0))</f>
        <v>Medium</v>
      </c>
      <c r="Z869" s="4" t="n">
        <f aca="false">ROUND(MIN(1,MAX('Reward Model'!$B$2,INDEX('Reward Model'!$C$12:$C$14,MATCH($K869,'Reward Model'!$A$12:$A$14,0))/$J869)),3)</f>
        <v>0.904</v>
      </c>
      <c r="AA869" s="2" t="n">
        <f aca="false">IF($I869="Correct",ROUND(INDEX('Reward Model'!$B$12:$B$14,MATCH($K869,'Reward Model'!$A$12:$A$14,0))*Z869,2),0)</f>
        <v>0.9</v>
      </c>
      <c r="AB869" s="2" t="n">
        <f aca="false">IF($I869="Correct",ROUND(INDEX('Reward Model'!$B$12:$B$14,MATCH($Y869,'Reward Model'!$A$12:$A$14,0))*Z869,2),0)</f>
        <v>1.81</v>
      </c>
    </row>
    <row r="870" customFormat="false" ht="15" hidden="false" customHeight="false" outlineLevel="0" collapsed="false">
      <c r="A870" s="0" t="s">
        <v>215</v>
      </c>
      <c r="B870" s="0" t="s">
        <v>216</v>
      </c>
      <c r="C870" s="0" t="s">
        <v>30</v>
      </c>
      <c r="D870" s="0" t="s">
        <v>189</v>
      </c>
      <c r="E870" s="0" t="n">
        <v>9</v>
      </c>
      <c r="F870" s="0" t="s">
        <v>55</v>
      </c>
      <c r="G870" s="0" t="s">
        <v>57</v>
      </c>
      <c r="H870" s="0" t="s">
        <v>57</v>
      </c>
      <c r="I870" s="0" t="s">
        <v>34</v>
      </c>
      <c r="J870" s="0" t="n">
        <v>1.29</v>
      </c>
      <c r="K870" s="0" t="s">
        <v>35</v>
      </c>
      <c r="L870" s="0" t="n">
        <f aca="false">INDEX(Summary!$F$2:$F$201,MATCH($B870,Summary!$A$2:$A$201,0))</f>
        <v>20</v>
      </c>
      <c r="M870" s="0" t="n">
        <f aca="false">INDEX(Summary!$I$2:$I$201,MATCH($B870,Summary!$A$2:$A$201,0))</f>
        <v>4</v>
      </c>
      <c r="N870" s="0" t="n">
        <f aca="false">INDEX(Summary!$J$2:$J$201,MATCH($B870,Summary!$A$2:$A$201,0))</f>
        <v>1</v>
      </c>
      <c r="O870" s="2" t="n">
        <f aca="false">INDEX(Summary!$K$2:$K$201,MATCH($B870,Summary!$A$2:$A$201,0))</f>
        <v>9.61</v>
      </c>
      <c r="P870" s="3" t="n">
        <f aca="false">INDEX(Summary!$L$2:$L$201,MATCH($B870,Summary!$A$2:$A$201,0))</f>
        <v>4</v>
      </c>
      <c r="Q870" s="3" t="n">
        <f aca="false">INDEX(Summary!$M$2:$M$201,MATCH($B870,Summary!$A$2:$A$201,0))</f>
        <v>2</v>
      </c>
      <c r="R870" s="2" t="n">
        <f aca="false">INDEX(Summary!$N$2:$N$201,MATCH($B870,Summary!$A$2:$A$201,0))</f>
        <v>10.45</v>
      </c>
      <c r="S870" s="3" t="n">
        <f aca="false">INDEX(Summary!$O$2:$O$201,MATCH($B870,Summary!$A$2:$A$201,0))</f>
        <v>8</v>
      </c>
      <c r="T870" s="3" t="n">
        <f aca="false">INDEX(Summary!$P$2:$P$201,MATCH($B870,Summary!$A$2:$A$201,0))</f>
        <v>1</v>
      </c>
      <c r="U870" s="2" t="n">
        <f aca="false">INDEX(Summary!$Q$2:$Q$201,MATCH($B870,Summary!$A$2:$A$201,0))</f>
        <v>13.19</v>
      </c>
      <c r="V870" s="2" t="n">
        <f aca="false">INDEX(Summary!$R$2:$R$201,MATCH($B870,Summary!$A$2:$A$201,0))</f>
        <v>29.94</v>
      </c>
      <c r="W870" s="0" t="str">
        <f aca="false">INDEX(Summary!$S$2:$S$201,MATCH($B870,Summary!$A$2:$A$201,0))</f>
        <v>Gold</v>
      </c>
      <c r="X870" s="2" t="n">
        <f aca="false">INDEX(Summary!$T$2:$T$201,MATCH($B870,Summary!$A$2:$A$201,0))</f>
        <v>73.02</v>
      </c>
      <c r="Y870" s="0" t="str">
        <f aca="false">INDEX('Reward Model'!$E$18:$E$37,MATCH($E870,'Reward Model'!$A$18:$A$37,0))</f>
        <v>Medium</v>
      </c>
      <c r="Z870" s="4" t="n">
        <f aca="false">ROUND(MIN(1,MAX('Reward Model'!$B$2,INDEX('Reward Model'!$C$12:$C$14,MATCH($K870,'Reward Model'!$A$12:$A$14,0))/$J870)),3)</f>
        <v>1</v>
      </c>
      <c r="AA870" s="2" t="n">
        <f aca="false">IF($I870="Correct",ROUND(INDEX('Reward Model'!$B$12:$B$14,MATCH($K870,'Reward Model'!$A$12:$A$14,0))*Z870,2),0)</f>
        <v>1</v>
      </c>
      <c r="AB870" s="2" t="n">
        <f aca="false">IF($I870="Correct",ROUND(INDEX('Reward Model'!$B$12:$B$14,MATCH($Y870,'Reward Model'!$A$12:$A$14,0))*Z870,2),0)</f>
        <v>2</v>
      </c>
    </row>
    <row r="871" customFormat="false" ht="15" hidden="false" customHeight="false" outlineLevel="0" collapsed="false">
      <c r="A871" s="0" t="s">
        <v>215</v>
      </c>
      <c r="B871" s="0" t="s">
        <v>216</v>
      </c>
      <c r="C871" s="0" t="s">
        <v>30</v>
      </c>
      <c r="D871" s="0" t="s">
        <v>189</v>
      </c>
      <c r="E871" s="0" t="n">
        <v>10</v>
      </c>
      <c r="F871" s="0" t="s">
        <v>58</v>
      </c>
      <c r="G871" s="0" t="s">
        <v>99</v>
      </c>
      <c r="H871" s="0" t="s">
        <v>59</v>
      </c>
      <c r="I871" s="0" t="s">
        <v>39</v>
      </c>
      <c r="J871" s="0" t="n">
        <v>1.2</v>
      </c>
      <c r="K871" s="0" t="s">
        <v>60</v>
      </c>
      <c r="L871" s="0" t="n">
        <f aca="false">INDEX(Summary!$F$2:$F$201,MATCH($B871,Summary!$A$2:$A$201,0))</f>
        <v>20</v>
      </c>
      <c r="M871" s="0" t="n">
        <f aca="false">INDEX(Summary!$I$2:$I$201,MATCH($B871,Summary!$A$2:$A$201,0))</f>
        <v>4</v>
      </c>
      <c r="N871" s="0" t="n">
        <f aca="false">INDEX(Summary!$J$2:$J$201,MATCH($B871,Summary!$A$2:$A$201,0))</f>
        <v>1</v>
      </c>
      <c r="O871" s="2" t="n">
        <f aca="false">INDEX(Summary!$K$2:$K$201,MATCH($B871,Summary!$A$2:$A$201,0))</f>
        <v>9.61</v>
      </c>
      <c r="P871" s="3" t="n">
        <f aca="false">INDEX(Summary!$L$2:$L$201,MATCH($B871,Summary!$A$2:$A$201,0))</f>
        <v>4</v>
      </c>
      <c r="Q871" s="3" t="n">
        <f aca="false">INDEX(Summary!$M$2:$M$201,MATCH($B871,Summary!$A$2:$A$201,0))</f>
        <v>2</v>
      </c>
      <c r="R871" s="2" t="n">
        <f aca="false">INDEX(Summary!$N$2:$N$201,MATCH($B871,Summary!$A$2:$A$201,0))</f>
        <v>10.45</v>
      </c>
      <c r="S871" s="3" t="n">
        <f aca="false">INDEX(Summary!$O$2:$O$201,MATCH($B871,Summary!$A$2:$A$201,0))</f>
        <v>8</v>
      </c>
      <c r="T871" s="3" t="n">
        <f aca="false">INDEX(Summary!$P$2:$P$201,MATCH($B871,Summary!$A$2:$A$201,0))</f>
        <v>1</v>
      </c>
      <c r="U871" s="2" t="n">
        <f aca="false">INDEX(Summary!$Q$2:$Q$201,MATCH($B871,Summary!$A$2:$A$201,0))</f>
        <v>13.19</v>
      </c>
      <c r="V871" s="2" t="n">
        <f aca="false">INDEX(Summary!$R$2:$R$201,MATCH($B871,Summary!$A$2:$A$201,0))</f>
        <v>29.94</v>
      </c>
      <c r="W871" s="0" t="str">
        <f aca="false">INDEX(Summary!$S$2:$S$201,MATCH($B871,Summary!$A$2:$A$201,0))</f>
        <v>Gold</v>
      </c>
      <c r="X871" s="2" t="n">
        <f aca="false">INDEX(Summary!$T$2:$T$201,MATCH($B871,Summary!$A$2:$A$201,0))</f>
        <v>73.02</v>
      </c>
      <c r="Y871" s="0" t="str">
        <f aca="false">INDEX('Reward Model'!$E$18:$E$37,MATCH($E871,'Reward Model'!$A$18:$A$37,0))</f>
        <v>Medium</v>
      </c>
      <c r="Z871" s="4" t="n">
        <f aca="false">ROUND(MIN(1,MAX('Reward Model'!$B$2,INDEX('Reward Model'!$C$12:$C$14,MATCH($K871,'Reward Model'!$A$12:$A$14,0))/$J871)),3)</f>
        <v>1</v>
      </c>
      <c r="AA871" s="2" t="n">
        <f aca="false">IF($I871="Correct",ROUND(INDEX('Reward Model'!$B$12:$B$14,MATCH($K871,'Reward Model'!$A$12:$A$14,0))*Z871,2),0)</f>
        <v>0</v>
      </c>
      <c r="AB871" s="2" t="n">
        <f aca="false">IF($I871="Correct",ROUND(INDEX('Reward Model'!$B$12:$B$14,MATCH($Y871,'Reward Model'!$A$12:$A$14,0))*Z871,2),0)</f>
        <v>0</v>
      </c>
    </row>
    <row r="872" customFormat="false" ht="15" hidden="false" customHeight="false" outlineLevel="0" collapsed="false">
      <c r="A872" s="0" t="s">
        <v>215</v>
      </c>
      <c r="B872" s="0" t="s">
        <v>216</v>
      </c>
      <c r="C872" s="0" t="s">
        <v>30</v>
      </c>
      <c r="D872" s="0" t="s">
        <v>189</v>
      </c>
      <c r="E872" s="0" t="n">
        <v>11</v>
      </c>
      <c r="F872" s="0" t="s">
        <v>61</v>
      </c>
      <c r="G872" s="0" t="s">
        <v>63</v>
      </c>
      <c r="H872" s="0" t="s">
        <v>63</v>
      </c>
      <c r="I872" s="0" t="s">
        <v>34</v>
      </c>
      <c r="J872" s="0" t="n">
        <v>1.23</v>
      </c>
      <c r="K872" s="0" t="s">
        <v>60</v>
      </c>
      <c r="L872" s="0" t="n">
        <f aca="false">INDEX(Summary!$F$2:$F$201,MATCH($B872,Summary!$A$2:$A$201,0))</f>
        <v>20</v>
      </c>
      <c r="M872" s="0" t="n">
        <f aca="false">INDEX(Summary!$I$2:$I$201,MATCH($B872,Summary!$A$2:$A$201,0))</f>
        <v>4</v>
      </c>
      <c r="N872" s="0" t="n">
        <f aca="false">INDEX(Summary!$J$2:$J$201,MATCH($B872,Summary!$A$2:$A$201,0))</f>
        <v>1</v>
      </c>
      <c r="O872" s="2" t="n">
        <f aca="false">INDEX(Summary!$K$2:$K$201,MATCH($B872,Summary!$A$2:$A$201,0))</f>
        <v>9.61</v>
      </c>
      <c r="P872" s="3" t="n">
        <f aca="false">INDEX(Summary!$L$2:$L$201,MATCH($B872,Summary!$A$2:$A$201,0))</f>
        <v>4</v>
      </c>
      <c r="Q872" s="3" t="n">
        <f aca="false">INDEX(Summary!$M$2:$M$201,MATCH($B872,Summary!$A$2:$A$201,0))</f>
        <v>2</v>
      </c>
      <c r="R872" s="2" t="n">
        <f aca="false">INDEX(Summary!$N$2:$N$201,MATCH($B872,Summary!$A$2:$A$201,0))</f>
        <v>10.45</v>
      </c>
      <c r="S872" s="3" t="n">
        <f aca="false">INDEX(Summary!$O$2:$O$201,MATCH($B872,Summary!$A$2:$A$201,0))</f>
        <v>8</v>
      </c>
      <c r="T872" s="3" t="n">
        <f aca="false">INDEX(Summary!$P$2:$P$201,MATCH($B872,Summary!$A$2:$A$201,0))</f>
        <v>1</v>
      </c>
      <c r="U872" s="2" t="n">
        <f aca="false">INDEX(Summary!$Q$2:$Q$201,MATCH($B872,Summary!$A$2:$A$201,0))</f>
        <v>13.19</v>
      </c>
      <c r="V872" s="2" t="n">
        <f aca="false">INDEX(Summary!$R$2:$R$201,MATCH($B872,Summary!$A$2:$A$201,0))</f>
        <v>29.94</v>
      </c>
      <c r="W872" s="0" t="str">
        <f aca="false">INDEX(Summary!$S$2:$S$201,MATCH($B872,Summary!$A$2:$A$201,0))</f>
        <v>Gold</v>
      </c>
      <c r="X872" s="2" t="n">
        <f aca="false">INDEX(Summary!$T$2:$T$201,MATCH($B872,Summary!$A$2:$A$201,0))</f>
        <v>73.02</v>
      </c>
      <c r="Y872" s="0" t="str">
        <f aca="false">INDEX('Reward Model'!$E$18:$E$37,MATCH($E872,'Reward Model'!$A$18:$A$37,0))</f>
        <v>Medium</v>
      </c>
      <c r="Z872" s="4" t="n">
        <f aca="false">ROUND(MIN(1,MAX('Reward Model'!$B$2,INDEX('Reward Model'!$C$12:$C$14,MATCH($K872,'Reward Model'!$A$12:$A$14,0))/$J872)),3)</f>
        <v>1</v>
      </c>
      <c r="AA872" s="2" t="n">
        <f aca="false">IF($I872="Correct",ROUND(INDEX('Reward Model'!$B$12:$B$14,MATCH($K872,'Reward Model'!$A$12:$A$14,0))*Z872,2),0)</f>
        <v>2</v>
      </c>
      <c r="AB872" s="2" t="n">
        <f aca="false">IF($I872="Correct",ROUND(INDEX('Reward Model'!$B$12:$B$14,MATCH($Y872,'Reward Model'!$A$12:$A$14,0))*Z872,2),0)</f>
        <v>2</v>
      </c>
    </row>
    <row r="873" customFormat="false" ht="15" hidden="false" customHeight="false" outlineLevel="0" collapsed="false">
      <c r="A873" s="0" t="s">
        <v>215</v>
      </c>
      <c r="B873" s="0" t="s">
        <v>216</v>
      </c>
      <c r="C873" s="0" t="s">
        <v>30</v>
      </c>
      <c r="D873" s="0" t="s">
        <v>189</v>
      </c>
      <c r="E873" s="0" t="n">
        <v>12</v>
      </c>
      <c r="F873" s="0" t="s">
        <v>64</v>
      </c>
      <c r="G873" s="0" t="s">
        <v>65</v>
      </c>
      <c r="H873" s="0" t="s">
        <v>65</v>
      </c>
      <c r="I873" s="0" t="s">
        <v>34</v>
      </c>
      <c r="J873" s="0" t="n">
        <v>2.23</v>
      </c>
      <c r="K873" s="0" t="s">
        <v>60</v>
      </c>
      <c r="L873" s="0" t="n">
        <f aca="false">INDEX(Summary!$F$2:$F$201,MATCH($B873,Summary!$A$2:$A$201,0))</f>
        <v>20</v>
      </c>
      <c r="M873" s="0" t="n">
        <f aca="false">INDEX(Summary!$I$2:$I$201,MATCH($B873,Summary!$A$2:$A$201,0))</f>
        <v>4</v>
      </c>
      <c r="N873" s="0" t="n">
        <f aca="false">INDEX(Summary!$J$2:$J$201,MATCH($B873,Summary!$A$2:$A$201,0))</f>
        <v>1</v>
      </c>
      <c r="O873" s="2" t="n">
        <f aca="false">INDEX(Summary!$K$2:$K$201,MATCH($B873,Summary!$A$2:$A$201,0))</f>
        <v>9.61</v>
      </c>
      <c r="P873" s="3" t="n">
        <f aca="false">INDEX(Summary!$L$2:$L$201,MATCH($B873,Summary!$A$2:$A$201,0))</f>
        <v>4</v>
      </c>
      <c r="Q873" s="3" t="n">
        <f aca="false">INDEX(Summary!$M$2:$M$201,MATCH($B873,Summary!$A$2:$A$201,0))</f>
        <v>2</v>
      </c>
      <c r="R873" s="2" t="n">
        <f aca="false">INDEX(Summary!$N$2:$N$201,MATCH($B873,Summary!$A$2:$A$201,0))</f>
        <v>10.45</v>
      </c>
      <c r="S873" s="3" t="n">
        <f aca="false">INDEX(Summary!$O$2:$O$201,MATCH($B873,Summary!$A$2:$A$201,0))</f>
        <v>8</v>
      </c>
      <c r="T873" s="3" t="n">
        <f aca="false">INDEX(Summary!$P$2:$P$201,MATCH($B873,Summary!$A$2:$A$201,0))</f>
        <v>1</v>
      </c>
      <c r="U873" s="2" t="n">
        <f aca="false">INDEX(Summary!$Q$2:$Q$201,MATCH($B873,Summary!$A$2:$A$201,0))</f>
        <v>13.19</v>
      </c>
      <c r="V873" s="2" t="n">
        <f aca="false">INDEX(Summary!$R$2:$R$201,MATCH($B873,Summary!$A$2:$A$201,0))</f>
        <v>29.94</v>
      </c>
      <c r="W873" s="0" t="str">
        <f aca="false">INDEX(Summary!$S$2:$S$201,MATCH($B873,Summary!$A$2:$A$201,0))</f>
        <v>Gold</v>
      </c>
      <c r="X873" s="2" t="n">
        <f aca="false">INDEX(Summary!$T$2:$T$201,MATCH($B873,Summary!$A$2:$A$201,0))</f>
        <v>73.02</v>
      </c>
      <c r="Y873" s="0" t="str">
        <f aca="false">INDEX('Reward Model'!$E$18:$E$37,MATCH($E873,'Reward Model'!$A$18:$A$37,0))</f>
        <v>Medium</v>
      </c>
      <c r="Z873" s="4" t="n">
        <f aca="false">ROUND(MIN(1,MAX('Reward Model'!$B$2,INDEX('Reward Model'!$C$12:$C$14,MATCH($K873,'Reward Model'!$A$12:$A$14,0))/$J873)),3)</f>
        <v>0.807</v>
      </c>
      <c r="AA873" s="2" t="n">
        <f aca="false">IF($I873="Correct",ROUND(INDEX('Reward Model'!$B$12:$B$14,MATCH($K873,'Reward Model'!$A$12:$A$14,0))*Z873,2),0)</f>
        <v>1.61</v>
      </c>
      <c r="AB873" s="2" t="n">
        <f aca="false">IF($I873="Correct",ROUND(INDEX('Reward Model'!$B$12:$B$14,MATCH($Y873,'Reward Model'!$A$12:$A$14,0))*Z873,2),0)</f>
        <v>1.61</v>
      </c>
    </row>
    <row r="874" customFormat="false" ht="15" hidden="false" customHeight="false" outlineLevel="0" collapsed="false">
      <c r="A874" s="0" t="s">
        <v>215</v>
      </c>
      <c r="B874" s="0" t="s">
        <v>216</v>
      </c>
      <c r="C874" s="0" t="s">
        <v>30</v>
      </c>
      <c r="D874" s="0" t="s">
        <v>189</v>
      </c>
      <c r="E874" s="0" t="n">
        <v>13</v>
      </c>
      <c r="F874" s="0" t="s">
        <v>66</v>
      </c>
      <c r="G874" s="0" t="s">
        <v>165</v>
      </c>
      <c r="H874" s="0" t="s">
        <v>67</v>
      </c>
      <c r="I874" s="0" t="s">
        <v>39</v>
      </c>
      <c r="J874" s="0" t="n">
        <v>1.8</v>
      </c>
      <c r="K874" s="0" t="s">
        <v>60</v>
      </c>
      <c r="L874" s="0" t="n">
        <f aca="false">INDEX(Summary!$F$2:$F$201,MATCH($B874,Summary!$A$2:$A$201,0))</f>
        <v>20</v>
      </c>
      <c r="M874" s="0" t="n">
        <f aca="false">INDEX(Summary!$I$2:$I$201,MATCH($B874,Summary!$A$2:$A$201,0))</f>
        <v>4</v>
      </c>
      <c r="N874" s="0" t="n">
        <f aca="false">INDEX(Summary!$J$2:$J$201,MATCH($B874,Summary!$A$2:$A$201,0))</f>
        <v>1</v>
      </c>
      <c r="O874" s="2" t="n">
        <f aca="false">INDEX(Summary!$K$2:$K$201,MATCH($B874,Summary!$A$2:$A$201,0))</f>
        <v>9.61</v>
      </c>
      <c r="P874" s="3" t="n">
        <f aca="false">INDEX(Summary!$L$2:$L$201,MATCH($B874,Summary!$A$2:$A$201,0))</f>
        <v>4</v>
      </c>
      <c r="Q874" s="3" t="n">
        <f aca="false">INDEX(Summary!$M$2:$M$201,MATCH($B874,Summary!$A$2:$A$201,0))</f>
        <v>2</v>
      </c>
      <c r="R874" s="2" t="n">
        <f aca="false">INDEX(Summary!$N$2:$N$201,MATCH($B874,Summary!$A$2:$A$201,0))</f>
        <v>10.45</v>
      </c>
      <c r="S874" s="3" t="n">
        <f aca="false">INDEX(Summary!$O$2:$O$201,MATCH($B874,Summary!$A$2:$A$201,0))</f>
        <v>8</v>
      </c>
      <c r="T874" s="3" t="n">
        <f aca="false">INDEX(Summary!$P$2:$P$201,MATCH($B874,Summary!$A$2:$A$201,0))</f>
        <v>1</v>
      </c>
      <c r="U874" s="2" t="n">
        <f aca="false">INDEX(Summary!$Q$2:$Q$201,MATCH($B874,Summary!$A$2:$A$201,0))</f>
        <v>13.19</v>
      </c>
      <c r="V874" s="2" t="n">
        <f aca="false">INDEX(Summary!$R$2:$R$201,MATCH($B874,Summary!$A$2:$A$201,0))</f>
        <v>29.94</v>
      </c>
      <c r="W874" s="0" t="str">
        <f aca="false">INDEX(Summary!$S$2:$S$201,MATCH($B874,Summary!$A$2:$A$201,0))</f>
        <v>Gold</v>
      </c>
      <c r="X874" s="2" t="n">
        <f aca="false">INDEX(Summary!$T$2:$T$201,MATCH($B874,Summary!$A$2:$A$201,0))</f>
        <v>73.02</v>
      </c>
      <c r="Y874" s="0" t="str">
        <f aca="false">INDEX('Reward Model'!$E$18:$E$37,MATCH($E874,'Reward Model'!$A$18:$A$37,0))</f>
        <v>Medium</v>
      </c>
      <c r="Z874" s="4" t="n">
        <f aca="false">ROUND(MIN(1,MAX('Reward Model'!$B$2,INDEX('Reward Model'!$C$12:$C$14,MATCH($K874,'Reward Model'!$A$12:$A$14,0))/$J874)),3)</f>
        <v>1</v>
      </c>
      <c r="AA874" s="2" t="n">
        <f aca="false">IF($I874="Correct",ROUND(INDEX('Reward Model'!$B$12:$B$14,MATCH($K874,'Reward Model'!$A$12:$A$14,0))*Z874,2),0)</f>
        <v>0</v>
      </c>
      <c r="AB874" s="2" t="n">
        <f aca="false">IF($I874="Correct",ROUND(INDEX('Reward Model'!$B$12:$B$14,MATCH($Y874,'Reward Model'!$A$12:$A$14,0))*Z874,2),0)</f>
        <v>0</v>
      </c>
    </row>
    <row r="875" customFormat="false" ht="15" hidden="false" customHeight="false" outlineLevel="0" collapsed="false">
      <c r="A875" s="0" t="s">
        <v>215</v>
      </c>
      <c r="B875" s="0" t="s">
        <v>216</v>
      </c>
      <c r="C875" s="0" t="s">
        <v>30</v>
      </c>
      <c r="D875" s="0" t="s">
        <v>189</v>
      </c>
      <c r="E875" s="0" t="n">
        <v>14</v>
      </c>
      <c r="F875" s="0" t="s">
        <v>68</v>
      </c>
      <c r="G875" s="0" t="s">
        <v>51</v>
      </c>
      <c r="H875" s="0" t="s">
        <v>51</v>
      </c>
      <c r="I875" s="0" t="s">
        <v>34</v>
      </c>
      <c r="J875" s="0" t="n">
        <v>1.79</v>
      </c>
      <c r="K875" s="0" t="s">
        <v>60</v>
      </c>
      <c r="L875" s="0" t="n">
        <f aca="false">INDEX(Summary!$F$2:$F$201,MATCH($B875,Summary!$A$2:$A$201,0))</f>
        <v>20</v>
      </c>
      <c r="M875" s="0" t="n">
        <f aca="false">INDEX(Summary!$I$2:$I$201,MATCH($B875,Summary!$A$2:$A$201,0))</f>
        <v>4</v>
      </c>
      <c r="N875" s="0" t="n">
        <f aca="false">INDEX(Summary!$J$2:$J$201,MATCH($B875,Summary!$A$2:$A$201,0))</f>
        <v>1</v>
      </c>
      <c r="O875" s="2" t="n">
        <f aca="false">INDEX(Summary!$K$2:$K$201,MATCH($B875,Summary!$A$2:$A$201,0))</f>
        <v>9.61</v>
      </c>
      <c r="P875" s="3" t="n">
        <f aca="false">INDEX(Summary!$L$2:$L$201,MATCH($B875,Summary!$A$2:$A$201,0))</f>
        <v>4</v>
      </c>
      <c r="Q875" s="3" t="n">
        <f aca="false">INDEX(Summary!$M$2:$M$201,MATCH($B875,Summary!$A$2:$A$201,0))</f>
        <v>2</v>
      </c>
      <c r="R875" s="2" t="n">
        <f aca="false">INDEX(Summary!$N$2:$N$201,MATCH($B875,Summary!$A$2:$A$201,0))</f>
        <v>10.45</v>
      </c>
      <c r="S875" s="3" t="n">
        <f aca="false">INDEX(Summary!$O$2:$O$201,MATCH($B875,Summary!$A$2:$A$201,0))</f>
        <v>8</v>
      </c>
      <c r="T875" s="3" t="n">
        <f aca="false">INDEX(Summary!$P$2:$P$201,MATCH($B875,Summary!$A$2:$A$201,0))</f>
        <v>1</v>
      </c>
      <c r="U875" s="2" t="n">
        <f aca="false">INDEX(Summary!$Q$2:$Q$201,MATCH($B875,Summary!$A$2:$A$201,0))</f>
        <v>13.19</v>
      </c>
      <c r="V875" s="2" t="n">
        <f aca="false">INDEX(Summary!$R$2:$R$201,MATCH($B875,Summary!$A$2:$A$201,0))</f>
        <v>29.94</v>
      </c>
      <c r="W875" s="0" t="str">
        <f aca="false">INDEX(Summary!$S$2:$S$201,MATCH($B875,Summary!$A$2:$A$201,0))</f>
        <v>Gold</v>
      </c>
      <c r="X875" s="2" t="n">
        <f aca="false">INDEX(Summary!$T$2:$T$201,MATCH($B875,Summary!$A$2:$A$201,0))</f>
        <v>73.02</v>
      </c>
      <c r="Y875" s="0" t="str">
        <f aca="false">INDEX('Reward Model'!$E$18:$E$37,MATCH($E875,'Reward Model'!$A$18:$A$37,0))</f>
        <v>Medium</v>
      </c>
      <c r="Z875" s="4" t="n">
        <f aca="false">ROUND(MIN(1,MAX('Reward Model'!$B$2,INDEX('Reward Model'!$C$12:$C$14,MATCH($K875,'Reward Model'!$A$12:$A$14,0))/$J875)),3)</f>
        <v>1</v>
      </c>
      <c r="AA875" s="2" t="n">
        <f aca="false">IF($I875="Correct",ROUND(INDEX('Reward Model'!$B$12:$B$14,MATCH($K875,'Reward Model'!$A$12:$A$14,0))*Z875,2),0)</f>
        <v>2</v>
      </c>
      <c r="AB875" s="2" t="n">
        <f aca="false">IF($I875="Correct",ROUND(INDEX('Reward Model'!$B$12:$B$14,MATCH($Y875,'Reward Model'!$A$12:$A$14,0))*Z875,2),0)</f>
        <v>2</v>
      </c>
    </row>
    <row r="876" customFormat="false" ht="15" hidden="false" customHeight="false" outlineLevel="0" collapsed="false">
      <c r="A876" s="0" t="s">
        <v>215</v>
      </c>
      <c r="B876" s="0" t="s">
        <v>216</v>
      </c>
      <c r="C876" s="0" t="s">
        <v>30</v>
      </c>
      <c r="D876" s="0" t="s">
        <v>189</v>
      </c>
      <c r="E876" s="0" t="n">
        <v>15</v>
      </c>
      <c r="F876" s="0" t="s">
        <v>69</v>
      </c>
      <c r="G876" s="0" t="s">
        <v>70</v>
      </c>
      <c r="H876" s="0" t="s">
        <v>70</v>
      </c>
      <c r="I876" s="0" t="s">
        <v>34</v>
      </c>
      <c r="J876" s="0" t="n">
        <v>2.2</v>
      </c>
      <c r="K876" s="0" t="s">
        <v>60</v>
      </c>
      <c r="L876" s="0" t="n">
        <f aca="false">INDEX(Summary!$F$2:$F$201,MATCH($B876,Summary!$A$2:$A$201,0))</f>
        <v>20</v>
      </c>
      <c r="M876" s="0" t="n">
        <f aca="false">INDEX(Summary!$I$2:$I$201,MATCH($B876,Summary!$A$2:$A$201,0))</f>
        <v>4</v>
      </c>
      <c r="N876" s="0" t="n">
        <f aca="false">INDEX(Summary!$J$2:$J$201,MATCH($B876,Summary!$A$2:$A$201,0))</f>
        <v>1</v>
      </c>
      <c r="O876" s="2" t="n">
        <f aca="false">INDEX(Summary!$K$2:$K$201,MATCH($B876,Summary!$A$2:$A$201,0))</f>
        <v>9.61</v>
      </c>
      <c r="P876" s="3" t="n">
        <f aca="false">INDEX(Summary!$L$2:$L$201,MATCH($B876,Summary!$A$2:$A$201,0))</f>
        <v>4</v>
      </c>
      <c r="Q876" s="3" t="n">
        <f aca="false">INDEX(Summary!$M$2:$M$201,MATCH($B876,Summary!$A$2:$A$201,0))</f>
        <v>2</v>
      </c>
      <c r="R876" s="2" t="n">
        <f aca="false">INDEX(Summary!$N$2:$N$201,MATCH($B876,Summary!$A$2:$A$201,0))</f>
        <v>10.45</v>
      </c>
      <c r="S876" s="3" t="n">
        <f aca="false">INDEX(Summary!$O$2:$O$201,MATCH($B876,Summary!$A$2:$A$201,0))</f>
        <v>8</v>
      </c>
      <c r="T876" s="3" t="n">
        <f aca="false">INDEX(Summary!$P$2:$P$201,MATCH($B876,Summary!$A$2:$A$201,0))</f>
        <v>1</v>
      </c>
      <c r="U876" s="2" t="n">
        <f aca="false">INDEX(Summary!$Q$2:$Q$201,MATCH($B876,Summary!$A$2:$A$201,0))</f>
        <v>13.19</v>
      </c>
      <c r="V876" s="2" t="n">
        <f aca="false">INDEX(Summary!$R$2:$R$201,MATCH($B876,Summary!$A$2:$A$201,0))</f>
        <v>29.94</v>
      </c>
      <c r="W876" s="0" t="str">
        <f aca="false">INDEX(Summary!$S$2:$S$201,MATCH($B876,Summary!$A$2:$A$201,0))</f>
        <v>Gold</v>
      </c>
      <c r="X876" s="2" t="n">
        <f aca="false">INDEX(Summary!$T$2:$T$201,MATCH($B876,Summary!$A$2:$A$201,0))</f>
        <v>73.02</v>
      </c>
      <c r="Y876" s="0" t="str">
        <f aca="false">INDEX('Reward Model'!$E$18:$E$37,MATCH($E876,'Reward Model'!$A$18:$A$37,0))</f>
        <v>Medium</v>
      </c>
      <c r="Z876" s="4" t="n">
        <f aca="false">ROUND(MIN(1,MAX('Reward Model'!$B$2,INDEX('Reward Model'!$C$12:$C$14,MATCH($K876,'Reward Model'!$A$12:$A$14,0))/$J876)),3)</f>
        <v>0.818</v>
      </c>
      <c r="AA876" s="2" t="n">
        <f aca="false">IF($I876="Correct",ROUND(INDEX('Reward Model'!$B$12:$B$14,MATCH($K876,'Reward Model'!$A$12:$A$14,0))*Z876,2),0)</f>
        <v>1.64</v>
      </c>
      <c r="AB876" s="2" t="n">
        <f aca="false">IF($I876="Correct",ROUND(INDEX('Reward Model'!$B$12:$B$14,MATCH($Y876,'Reward Model'!$A$12:$A$14,0))*Z876,2),0)</f>
        <v>1.64</v>
      </c>
    </row>
    <row r="877" customFormat="false" ht="15" hidden="false" customHeight="false" outlineLevel="0" collapsed="false">
      <c r="A877" s="0" t="s">
        <v>215</v>
      </c>
      <c r="B877" s="0" t="s">
        <v>216</v>
      </c>
      <c r="C877" s="0" t="s">
        <v>30</v>
      </c>
      <c r="D877" s="0" t="s">
        <v>189</v>
      </c>
      <c r="E877" s="0" t="n">
        <v>16</v>
      </c>
      <c r="F877" s="0" t="s">
        <v>71</v>
      </c>
      <c r="G877" s="0" t="s">
        <v>72</v>
      </c>
      <c r="H877" s="0" t="s">
        <v>72</v>
      </c>
      <c r="I877" s="0" t="s">
        <v>34</v>
      </c>
      <c r="J877" s="0" t="n">
        <v>1.5</v>
      </c>
      <c r="K877" s="0" t="s">
        <v>73</v>
      </c>
      <c r="L877" s="0" t="n">
        <f aca="false">INDEX(Summary!$F$2:$F$201,MATCH($B877,Summary!$A$2:$A$201,0))</f>
        <v>20</v>
      </c>
      <c r="M877" s="0" t="n">
        <f aca="false">INDEX(Summary!$I$2:$I$201,MATCH($B877,Summary!$A$2:$A$201,0))</f>
        <v>4</v>
      </c>
      <c r="N877" s="0" t="n">
        <f aca="false">INDEX(Summary!$J$2:$J$201,MATCH($B877,Summary!$A$2:$A$201,0))</f>
        <v>1</v>
      </c>
      <c r="O877" s="2" t="n">
        <f aca="false">INDEX(Summary!$K$2:$K$201,MATCH($B877,Summary!$A$2:$A$201,0))</f>
        <v>9.61</v>
      </c>
      <c r="P877" s="3" t="n">
        <f aca="false">INDEX(Summary!$L$2:$L$201,MATCH($B877,Summary!$A$2:$A$201,0))</f>
        <v>4</v>
      </c>
      <c r="Q877" s="3" t="n">
        <f aca="false">INDEX(Summary!$M$2:$M$201,MATCH($B877,Summary!$A$2:$A$201,0))</f>
        <v>2</v>
      </c>
      <c r="R877" s="2" t="n">
        <f aca="false">INDEX(Summary!$N$2:$N$201,MATCH($B877,Summary!$A$2:$A$201,0))</f>
        <v>10.45</v>
      </c>
      <c r="S877" s="3" t="n">
        <f aca="false">INDEX(Summary!$O$2:$O$201,MATCH($B877,Summary!$A$2:$A$201,0))</f>
        <v>8</v>
      </c>
      <c r="T877" s="3" t="n">
        <f aca="false">INDEX(Summary!$P$2:$P$201,MATCH($B877,Summary!$A$2:$A$201,0))</f>
        <v>1</v>
      </c>
      <c r="U877" s="2" t="n">
        <f aca="false">INDEX(Summary!$Q$2:$Q$201,MATCH($B877,Summary!$A$2:$A$201,0))</f>
        <v>13.19</v>
      </c>
      <c r="V877" s="2" t="n">
        <f aca="false">INDEX(Summary!$R$2:$R$201,MATCH($B877,Summary!$A$2:$A$201,0))</f>
        <v>29.94</v>
      </c>
      <c r="W877" s="0" t="str">
        <f aca="false">INDEX(Summary!$S$2:$S$201,MATCH($B877,Summary!$A$2:$A$201,0))</f>
        <v>Gold</v>
      </c>
      <c r="X877" s="2" t="n">
        <f aca="false">INDEX(Summary!$T$2:$T$201,MATCH($B877,Summary!$A$2:$A$201,0))</f>
        <v>73.02</v>
      </c>
      <c r="Y877" s="0" t="str">
        <f aca="false">INDEX('Reward Model'!$E$18:$E$37,MATCH($E877,'Reward Model'!$A$18:$A$37,0))</f>
        <v>High</v>
      </c>
      <c r="Z877" s="4" t="n">
        <f aca="false">ROUND(MIN(1,MAX('Reward Model'!$B$2,INDEX('Reward Model'!$C$12:$C$14,MATCH($K877,'Reward Model'!$A$12:$A$14,0))/$J877)),3)</f>
        <v>1</v>
      </c>
      <c r="AA877" s="2" t="n">
        <f aca="false">IF($I877="Correct",ROUND(INDEX('Reward Model'!$B$12:$B$14,MATCH($K877,'Reward Model'!$A$12:$A$14,0))*Z877,2),0)</f>
        <v>3</v>
      </c>
      <c r="AB877" s="2" t="n">
        <f aca="false">IF($I877="Correct",ROUND(INDEX('Reward Model'!$B$12:$B$14,MATCH($Y877,'Reward Model'!$A$12:$A$14,0))*Z877,2),0)</f>
        <v>3</v>
      </c>
    </row>
    <row r="878" customFormat="false" ht="15" hidden="false" customHeight="false" outlineLevel="0" collapsed="false">
      <c r="A878" s="0" t="s">
        <v>215</v>
      </c>
      <c r="B878" s="0" t="s">
        <v>216</v>
      </c>
      <c r="C878" s="0" t="s">
        <v>30</v>
      </c>
      <c r="D878" s="0" t="s">
        <v>189</v>
      </c>
      <c r="E878" s="0" t="n">
        <v>17</v>
      </c>
      <c r="F878" s="0" t="s">
        <v>74</v>
      </c>
      <c r="G878" s="0" t="s">
        <v>75</v>
      </c>
      <c r="H878" s="0" t="s">
        <v>75</v>
      </c>
      <c r="I878" s="0" t="s">
        <v>34</v>
      </c>
      <c r="J878" s="0" t="n">
        <v>2.23</v>
      </c>
      <c r="K878" s="0" t="s">
        <v>73</v>
      </c>
      <c r="L878" s="0" t="n">
        <f aca="false">INDEX(Summary!$F$2:$F$201,MATCH($B878,Summary!$A$2:$A$201,0))</f>
        <v>20</v>
      </c>
      <c r="M878" s="0" t="n">
        <f aca="false">INDEX(Summary!$I$2:$I$201,MATCH($B878,Summary!$A$2:$A$201,0))</f>
        <v>4</v>
      </c>
      <c r="N878" s="0" t="n">
        <f aca="false">INDEX(Summary!$J$2:$J$201,MATCH($B878,Summary!$A$2:$A$201,0))</f>
        <v>1</v>
      </c>
      <c r="O878" s="2" t="n">
        <f aca="false">INDEX(Summary!$K$2:$K$201,MATCH($B878,Summary!$A$2:$A$201,0))</f>
        <v>9.61</v>
      </c>
      <c r="P878" s="3" t="n">
        <f aca="false">INDEX(Summary!$L$2:$L$201,MATCH($B878,Summary!$A$2:$A$201,0))</f>
        <v>4</v>
      </c>
      <c r="Q878" s="3" t="n">
        <f aca="false">INDEX(Summary!$M$2:$M$201,MATCH($B878,Summary!$A$2:$A$201,0))</f>
        <v>2</v>
      </c>
      <c r="R878" s="2" t="n">
        <f aca="false">INDEX(Summary!$N$2:$N$201,MATCH($B878,Summary!$A$2:$A$201,0))</f>
        <v>10.45</v>
      </c>
      <c r="S878" s="3" t="n">
        <f aca="false">INDEX(Summary!$O$2:$O$201,MATCH($B878,Summary!$A$2:$A$201,0))</f>
        <v>8</v>
      </c>
      <c r="T878" s="3" t="n">
        <f aca="false">INDEX(Summary!$P$2:$P$201,MATCH($B878,Summary!$A$2:$A$201,0))</f>
        <v>1</v>
      </c>
      <c r="U878" s="2" t="n">
        <f aca="false">INDEX(Summary!$Q$2:$Q$201,MATCH($B878,Summary!$A$2:$A$201,0))</f>
        <v>13.19</v>
      </c>
      <c r="V878" s="2" t="n">
        <f aca="false">INDEX(Summary!$R$2:$R$201,MATCH($B878,Summary!$A$2:$A$201,0))</f>
        <v>29.94</v>
      </c>
      <c r="W878" s="0" t="str">
        <f aca="false">INDEX(Summary!$S$2:$S$201,MATCH($B878,Summary!$A$2:$A$201,0))</f>
        <v>Gold</v>
      </c>
      <c r="X878" s="2" t="n">
        <f aca="false">INDEX(Summary!$T$2:$T$201,MATCH($B878,Summary!$A$2:$A$201,0))</f>
        <v>73.02</v>
      </c>
      <c r="Y878" s="0" t="str">
        <f aca="false">INDEX('Reward Model'!$E$18:$E$37,MATCH($E878,'Reward Model'!$A$18:$A$37,0))</f>
        <v>High</v>
      </c>
      <c r="Z878" s="4" t="n">
        <f aca="false">ROUND(MIN(1,MAX('Reward Model'!$B$2,INDEX('Reward Model'!$C$12:$C$14,MATCH($K878,'Reward Model'!$A$12:$A$14,0))/$J878)),3)</f>
        <v>0.897</v>
      </c>
      <c r="AA878" s="2" t="n">
        <f aca="false">IF($I878="Correct",ROUND(INDEX('Reward Model'!$B$12:$B$14,MATCH($K878,'Reward Model'!$A$12:$A$14,0))*Z878,2),0)</f>
        <v>2.69</v>
      </c>
      <c r="AB878" s="2" t="n">
        <f aca="false">IF($I878="Correct",ROUND(INDEX('Reward Model'!$B$12:$B$14,MATCH($Y878,'Reward Model'!$A$12:$A$14,0))*Z878,2),0)</f>
        <v>2.69</v>
      </c>
    </row>
    <row r="879" customFormat="false" ht="15" hidden="false" customHeight="false" outlineLevel="0" collapsed="false">
      <c r="A879" s="0" t="s">
        <v>215</v>
      </c>
      <c r="B879" s="0" t="s">
        <v>216</v>
      </c>
      <c r="C879" s="0" t="s">
        <v>30</v>
      </c>
      <c r="D879" s="0" t="s">
        <v>189</v>
      </c>
      <c r="E879" s="0" t="n">
        <v>18</v>
      </c>
      <c r="F879" s="0" t="s">
        <v>76</v>
      </c>
      <c r="G879" s="0" t="s">
        <v>77</v>
      </c>
      <c r="H879" s="0" t="s">
        <v>77</v>
      </c>
      <c r="I879" s="0" t="s">
        <v>34</v>
      </c>
      <c r="J879" s="0" t="n">
        <v>1.94</v>
      </c>
      <c r="K879" s="0" t="s">
        <v>73</v>
      </c>
      <c r="L879" s="0" t="n">
        <f aca="false">INDEX(Summary!$F$2:$F$201,MATCH($B879,Summary!$A$2:$A$201,0))</f>
        <v>20</v>
      </c>
      <c r="M879" s="0" t="n">
        <f aca="false">INDEX(Summary!$I$2:$I$201,MATCH($B879,Summary!$A$2:$A$201,0))</f>
        <v>4</v>
      </c>
      <c r="N879" s="0" t="n">
        <f aca="false">INDEX(Summary!$J$2:$J$201,MATCH($B879,Summary!$A$2:$A$201,0))</f>
        <v>1</v>
      </c>
      <c r="O879" s="2" t="n">
        <f aca="false">INDEX(Summary!$K$2:$K$201,MATCH($B879,Summary!$A$2:$A$201,0))</f>
        <v>9.61</v>
      </c>
      <c r="P879" s="3" t="n">
        <f aca="false">INDEX(Summary!$L$2:$L$201,MATCH($B879,Summary!$A$2:$A$201,0))</f>
        <v>4</v>
      </c>
      <c r="Q879" s="3" t="n">
        <f aca="false">INDEX(Summary!$M$2:$M$201,MATCH($B879,Summary!$A$2:$A$201,0))</f>
        <v>2</v>
      </c>
      <c r="R879" s="2" t="n">
        <f aca="false">INDEX(Summary!$N$2:$N$201,MATCH($B879,Summary!$A$2:$A$201,0))</f>
        <v>10.45</v>
      </c>
      <c r="S879" s="3" t="n">
        <f aca="false">INDEX(Summary!$O$2:$O$201,MATCH($B879,Summary!$A$2:$A$201,0))</f>
        <v>8</v>
      </c>
      <c r="T879" s="3" t="n">
        <f aca="false">INDEX(Summary!$P$2:$P$201,MATCH($B879,Summary!$A$2:$A$201,0))</f>
        <v>1</v>
      </c>
      <c r="U879" s="2" t="n">
        <f aca="false">INDEX(Summary!$Q$2:$Q$201,MATCH($B879,Summary!$A$2:$A$201,0))</f>
        <v>13.19</v>
      </c>
      <c r="V879" s="2" t="n">
        <f aca="false">INDEX(Summary!$R$2:$R$201,MATCH($B879,Summary!$A$2:$A$201,0))</f>
        <v>29.94</v>
      </c>
      <c r="W879" s="0" t="str">
        <f aca="false">INDEX(Summary!$S$2:$S$201,MATCH($B879,Summary!$A$2:$A$201,0))</f>
        <v>Gold</v>
      </c>
      <c r="X879" s="2" t="n">
        <f aca="false">INDEX(Summary!$T$2:$T$201,MATCH($B879,Summary!$A$2:$A$201,0))</f>
        <v>73.02</v>
      </c>
      <c r="Y879" s="0" t="str">
        <f aca="false">INDEX('Reward Model'!$E$18:$E$37,MATCH($E879,'Reward Model'!$A$18:$A$37,0))</f>
        <v>High</v>
      </c>
      <c r="Z879" s="4" t="n">
        <f aca="false">ROUND(MIN(1,MAX('Reward Model'!$B$2,INDEX('Reward Model'!$C$12:$C$14,MATCH($K879,'Reward Model'!$A$12:$A$14,0))/$J879)),3)</f>
        <v>1</v>
      </c>
      <c r="AA879" s="2" t="n">
        <f aca="false">IF($I879="Correct",ROUND(INDEX('Reward Model'!$B$12:$B$14,MATCH($K879,'Reward Model'!$A$12:$A$14,0))*Z879,2),0)</f>
        <v>3</v>
      </c>
      <c r="AB879" s="2" t="n">
        <f aca="false">IF($I879="Correct",ROUND(INDEX('Reward Model'!$B$12:$B$14,MATCH($Y879,'Reward Model'!$A$12:$A$14,0))*Z879,2),0)</f>
        <v>3</v>
      </c>
    </row>
    <row r="880" customFormat="false" ht="15" hidden="false" customHeight="false" outlineLevel="0" collapsed="false">
      <c r="A880" s="0" t="s">
        <v>215</v>
      </c>
      <c r="B880" s="0" t="s">
        <v>216</v>
      </c>
      <c r="C880" s="0" t="s">
        <v>30</v>
      </c>
      <c r="D880" s="0" t="s">
        <v>189</v>
      </c>
      <c r="E880" s="0" t="n">
        <v>19</v>
      </c>
      <c r="F880" s="0" t="s">
        <v>78</v>
      </c>
      <c r="G880" s="0" t="s">
        <v>80</v>
      </c>
      <c r="H880" s="0" t="s">
        <v>80</v>
      </c>
      <c r="I880" s="0" t="s">
        <v>34</v>
      </c>
      <c r="J880" s="0" t="n">
        <v>1.4</v>
      </c>
      <c r="K880" s="0" t="s">
        <v>73</v>
      </c>
      <c r="L880" s="0" t="n">
        <f aca="false">INDEX(Summary!$F$2:$F$201,MATCH($B880,Summary!$A$2:$A$201,0))</f>
        <v>20</v>
      </c>
      <c r="M880" s="0" t="n">
        <f aca="false">INDEX(Summary!$I$2:$I$201,MATCH($B880,Summary!$A$2:$A$201,0))</f>
        <v>4</v>
      </c>
      <c r="N880" s="0" t="n">
        <f aca="false">INDEX(Summary!$J$2:$J$201,MATCH($B880,Summary!$A$2:$A$201,0))</f>
        <v>1</v>
      </c>
      <c r="O880" s="2" t="n">
        <f aca="false">INDEX(Summary!$K$2:$K$201,MATCH($B880,Summary!$A$2:$A$201,0))</f>
        <v>9.61</v>
      </c>
      <c r="P880" s="3" t="n">
        <f aca="false">INDEX(Summary!$L$2:$L$201,MATCH($B880,Summary!$A$2:$A$201,0))</f>
        <v>4</v>
      </c>
      <c r="Q880" s="3" t="n">
        <f aca="false">INDEX(Summary!$M$2:$M$201,MATCH($B880,Summary!$A$2:$A$201,0))</f>
        <v>2</v>
      </c>
      <c r="R880" s="2" t="n">
        <f aca="false">INDEX(Summary!$N$2:$N$201,MATCH($B880,Summary!$A$2:$A$201,0))</f>
        <v>10.45</v>
      </c>
      <c r="S880" s="3" t="n">
        <f aca="false">INDEX(Summary!$O$2:$O$201,MATCH($B880,Summary!$A$2:$A$201,0))</f>
        <v>8</v>
      </c>
      <c r="T880" s="3" t="n">
        <f aca="false">INDEX(Summary!$P$2:$P$201,MATCH($B880,Summary!$A$2:$A$201,0))</f>
        <v>1</v>
      </c>
      <c r="U880" s="2" t="n">
        <f aca="false">INDEX(Summary!$Q$2:$Q$201,MATCH($B880,Summary!$A$2:$A$201,0))</f>
        <v>13.19</v>
      </c>
      <c r="V880" s="2" t="n">
        <f aca="false">INDEX(Summary!$R$2:$R$201,MATCH($B880,Summary!$A$2:$A$201,0))</f>
        <v>29.94</v>
      </c>
      <c r="W880" s="0" t="str">
        <f aca="false">INDEX(Summary!$S$2:$S$201,MATCH($B880,Summary!$A$2:$A$201,0))</f>
        <v>Gold</v>
      </c>
      <c r="X880" s="2" t="n">
        <f aca="false">INDEX(Summary!$T$2:$T$201,MATCH($B880,Summary!$A$2:$A$201,0))</f>
        <v>73.02</v>
      </c>
      <c r="Y880" s="0" t="str">
        <f aca="false">INDEX('Reward Model'!$E$18:$E$37,MATCH($E880,'Reward Model'!$A$18:$A$37,0))</f>
        <v>High</v>
      </c>
      <c r="Z880" s="4" t="n">
        <f aca="false">ROUND(MIN(1,MAX('Reward Model'!$B$2,INDEX('Reward Model'!$C$12:$C$14,MATCH($K880,'Reward Model'!$A$12:$A$14,0))/$J880)),3)</f>
        <v>1</v>
      </c>
      <c r="AA880" s="2" t="n">
        <f aca="false">IF($I880="Correct",ROUND(INDEX('Reward Model'!$B$12:$B$14,MATCH($K880,'Reward Model'!$A$12:$A$14,0))*Z880,2),0)</f>
        <v>3</v>
      </c>
      <c r="AB880" s="2" t="n">
        <f aca="false">IF($I880="Correct",ROUND(INDEX('Reward Model'!$B$12:$B$14,MATCH($Y880,'Reward Model'!$A$12:$A$14,0))*Z880,2),0)</f>
        <v>3</v>
      </c>
    </row>
    <row r="881" customFormat="false" ht="15" hidden="false" customHeight="false" outlineLevel="0" collapsed="false">
      <c r="A881" s="0" t="s">
        <v>215</v>
      </c>
      <c r="B881" s="0" t="s">
        <v>216</v>
      </c>
      <c r="C881" s="0" t="s">
        <v>30</v>
      </c>
      <c r="D881" s="0" t="s">
        <v>189</v>
      </c>
      <c r="E881" s="0" t="n">
        <v>20</v>
      </c>
      <c r="F881" s="0" t="s">
        <v>81</v>
      </c>
      <c r="G881" s="0" t="s">
        <v>119</v>
      </c>
      <c r="H881" s="0" t="s">
        <v>83</v>
      </c>
      <c r="I881" s="0" t="s">
        <v>39</v>
      </c>
      <c r="J881" s="0" t="n">
        <v>2.54</v>
      </c>
      <c r="K881" s="0" t="s">
        <v>73</v>
      </c>
      <c r="L881" s="0" t="n">
        <f aca="false">INDEX(Summary!$F$2:$F$201,MATCH($B881,Summary!$A$2:$A$201,0))</f>
        <v>20</v>
      </c>
      <c r="M881" s="0" t="n">
        <f aca="false">INDEX(Summary!$I$2:$I$201,MATCH($B881,Summary!$A$2:$A$201,0))</f>
        <v>4</v>
      </c>
      <c r="N881" s="0" t="n">
        <f aca="false">INDEX(Summary!$J$2:$J$201,MATCH($B881,Summary!$A$2:$A$201,0))</f>
        <v>1</v>
      </c>
      <c r="O881" s="2" t="n">
        <f aca="false">INDEX(Summary!$K$2:$K$201,MATCH($B881,Summary!$A$2:$A$201,0))</f>
        <v>9.61</v>
      </c>
      <c r="P881" s="3" t="n">
        <f aca="false">INDEX(Summary!$L$2:$L$201,MATCH($B881,Summary!$A$2:$A$201,0))</f>
        <v>4</v>
      </c>
      <c r="Q881" s="3" t="n">
        <f aca="false">INDEX(Summary!$M$2:$M$201,MATCH($B881,Summary!$A$2:$A$201,0))</f>
        <v>2</v>
      </c>
      <c r="R881" s="2" t="n">
        <f aca="false">INDEX(Summary!$N$2:$N$201,MATCH($B881,Summary!$A$2:$A$201,0))</f>
        <v>10.45</v>
      </c>
      <c r="S881" s="3" t="n">
        <f aca="false">INDEX(Summary!$O$2:$O$201,MATCH($B881,Summary!$A$2:$A$201,0))</f>
        <v>8</v>
      </c>
      <c r="T881" s="3" t="n">
        <f aca="false">INDEX(Summary!$P$2:$P$201,MATCH($B881,Summary!$A$2:$A$201,0))</f>
        <v>1</v>
      </c>
      <c r="U881" s="2" t="n">
        <f aca="false">INDEX(Summary!$Q$2:$Q$201,MATCH($B881,Summary!$A$2:$A$201,0))</f>
        <v>13.19</v>
      </c>
      <c r="V881" s="2" t="n">
        <f aca="false">INDEX(Summary!$R$2:$R$201,MATCH($B881,Summary!$A$2:$A$201,0))</f>
        <v>29.94</v>
      </c>
      <c r="W881" s="0" t="str">
        <f aca="false">INDEX(Summary!$S$2:$S$201,MATCH($B881,Summary!$A$2:$A$201,0))</f>
        <v>Gold</v>
      </c>
      <c r="X881" s="2" t="n">
        <f aca="false">INDEX(Summary!$T$2:$T$201,MATCH($B881,Summary!$A$2:$A$201,0))</f>
        <v>73.02</v>
      </c>
      <c r="Y881" s="0" t="str">
        <f aca="false">INDEX('Reward Model'!$E$18:$E$37,MATCH($E881,'Reward Model'!$A$18:$A$37,0))</f>
        <v>High</v>
      </c>
      <c r="Z881" s="4" t="n">
        <f aca="false">ROUND(MIN(1,MAX('Reward Model'!$B$2,INDEX('Reward Model'!$C$12:$C$14,MATCH($K881,'Reward Model'!$A$12:$A$14,0))/$J881)),3)</f>
        <v>0.787</v>
      </c>
      <c r="AA881" s="2" t="n">
        <f aca="false">IF($I881="Correct",ROUND(INDEX('Reward Model'!$B$12:$B$14,MATCH($K881,'Reward Model'!$A$12:$A$14,0))*Z881,2),0)</f>
        <v>0</v>
      </c>
      <c r="AB881" s="2" t="n">
        <f aca="false">IF($I881="Correct",ROUND(INDEX('Reward Model'!$B$12:$B$14,MATCH($Y881,'Reward Model'!$A$12:$A$14,0))*Z881,2),0)</f>
        <v>0</v>
      </c>
    </row>
    <row r="882" customFormat="false" ht="15" hidden="false" customHeight="false" outlineLevel="0" collapsed="false">
      <c r="A882" s="0" t="s">
        <v>217</v>
      </c>
      <c r="B882" s="0" t="s">
        <v>218</v>
      </c>
      <c r="C882" s="0" t="s">
        <v>30</v>
      </c>
      <c r="D882" s="0" t="s">
        <v>189</v>
      </c>
      <c r="E882" s="0" t="n">
        <v>1</v>
      </c>
      <c r="F882" s="0" t="s">
        <v>32</v>
      </c>
      <c r="G882" s="0" t="s">
        <v>33</v>
      </c>
      <c r="H882" s="0" t="s">
        <v>33</v>
      </c>
      <c r="I882" s="0" t="s">
        <v>34</v>
      </c>
      <c r="J882" s="0" t="n">
        <v>1.98</v>
      </c>
      <c r="K882" s="0" t="s">
        <v>35</v>
      </c>
      <c r="L882" s="0" t="n">
        <f aca="false">INDEX(Summary!$F$2:$F$201,MATCH($B882,Summary!$A$2:$A$201,0))</f>
        <v>20</v>
      </c>
      <c r="M882" s="0" t="n">
        <f aca="false">INDEX(Summary!$I$2:$I$201,MATCH($B882,Summary!$A$2:$A$201,0))</f>
        <v>4</v>
      </c>
      <c r="N882" s="0" t="n">
        <f aca="false">INDEX(Summary!$J$2:$J$201,MATCH($B882,Summary!$A$2:$A$201,0))</f>
        <v>1</v>
      </c>
      <c r="O882" s="2" t="n">
        <f aca="false">INDEX(Summary!$K$2:$K$201,MATCH($B882,Summary!$A$2:$A$201,0))</f>
        <v>10.57</v>
      </c>
      <c r="P882" s="3" t="n">
        <f aca="false">INDEX(Summary!$L$2:$L$201,MATCH($B882,Summary!$A$2:$A$201,0))</f>
        <v>3</v>
      </c>
      <c r="Q882" s="3" t="n">
        <f aca="false">INDEX(Summary!$M$2:$M$201,MATCH($B882,Summary!$A$2:$A$201,0))</f>
        <v>3</v>
      </c>
      <c r="R882" s="2" t="n">
        <f aca="false">INDEX(Summary!$N$2:$N$201,MATCH($B882,Summary!$A$2:$A$201,0))</f>
        <v>10.08</v>
      </c>
      <c r="S882" s="3" t="n">
        <f aca="false">INDEX(Summary!$O$2:$O$201,MATCH($B882,Summary!$A$2:$A$201,0))</f>
        <v>8</v>
      </c>
      <c r="T882" s="3" t="n">
        <f aca="false">INDEX(Summary!$P$2:$P$201,MATCH($B882,Summary!$A$2:$A$201,0))</f>
        <v>1</v>
      </c>
      <c r="U882" s="2" t="n">
        <f aca="false">INDEX(Summary!$Q$2:$Q$201,MATCH($B882,Summary!$A$2:$A$201,0))</f>
        <v>13.58</v>
      </c>
      <c r="V882" s="2" t="n">
        <f aca="false">INDEX(Summary!$R$2:$R$201,MATCH($B882,Summary!$A$2:$A$201,0))</f>
        <v>27.69</v>
      </c>
      <c r="W882" s="0" t="str">
        <f aca="false">INDEX(Summary!$S$2:$S$201,MATCH($B882,Summary!$A$2:$A$201,0))</f>
        <v>Silver</v>
      </c>
      <c r="X882" s="2" t="n">
        <f aca="false">INDEX(Summary!$T$2:$T$201,MATCH($B882,Summary!$A$2:$A$201,0))</f>
        <v>67.54</v>
      </c>
      <c r="Y882" s="0" t="str">
        <f aca="false">INDEX('Reward Model'!$E$18:$E$37,MATCH($E882,'Reward Model'!$A$18:$A$37,0))</f>
        <v>Medium</v>
      </c>
      <c r="Z882" s="4" t="n">
        <f aca="false">ROUND(MIN(1,MAX('Reward Model'!$B$2,INDEX('Reward Model'!$C$12:$C$14,MATCH($K882,'Reward Model'!$A$12:$A$14,0))/$J882)),3)</f>
        <v>0.758</v>
      </c>
      <c r="AA882" s="2" t="n">
        <f aca="false">IF($I882="Correct",ROUND(INDEX('Reward Model'!$B$12:$B$14,MATCH($K882,'Reward Model'!$A$12:$A$14,0))*Z882,2),0)</f>
        <v>0.76</v>
      </c>
      <c r="AB882" s="2" t="n">
        <f aca="false">IF($I882="Correct",ROUND(INDEX('Reward Model'!$B$12:$B$14,MATCH($Y882,'Reward Model'!$A$12:$A$14,0))*Z882,2),0)</f>
        <v>1.52</v>
      </c>
    </row>
    <row r="883" customFormat="false" ht="15" hidden="false" customHeight="false" outlineLevel="0" collapsed="false">
      <c r="A883" s="0" t="s">
        <v>217</v>
      </c>
      <c r="B883" s="0" t="s">
        <v>218</v>
      </c>
      <c r="C883" s="0" t="s">
        <v>30</v>
      </c>
      <c r="D883" s="0" t="s">
        <v>189</v>
      </c>
      <c r="E883" s="0" t="n">
        <v>2</v>
      </c>
      <c r="F883" s="0" t="s">
        <v>36</v>
      </c>
      <c r="G883" s="0" t="s">
        <v>38</v>
      </c>
      <c r="H883" s="0" t="s">
        <v>38</v>
      </c>
      <c r="I883" s="0" t="s">
        <v>34</v>
      </c>
      <c r="J883" s="0" t="n">
        <v>1.74</v>
      </c>
      <c r="K883" s="0" t="s">
        <v>35</v>
      </c>
      <c r="L883" s="0" t="n">
        <f aca="false">INDEX(Summary!$F$2:$F$201,MATCH($B883,Summary!$A$2:$A$201,0))</f>
        <v>20</v>
      </c>
      <c r="M883" s="0" t="n">
        <f aca="false">INDEX(Summary!$I$2:$I$201,MATCH($B883,Summary!$A$2:$A$201,0))</f>
        <v>4</v>
      </c>
      <c r="N883" s="0" t="n">
        <f aca="false">INDEX(Summary!$J$2:$J$201,MATCH($B883,Summary!$A$2:$A$201,0))</f>
        <v>1</v>
      </c>
      <c r="O883" s="2" t="n">
        <f aca="false">INDEX(Summary!$K$2:$K$201,MATCH($B883,Summary!$A$2:$A$201,0))</f>
        <v>10.57</v>
      </c>
      <c r="P883" s="3" t="n">
        <f aca="false">INDEX(Summary!$L$2:$L$201,MATCH($B883,Summary!$A$2:$A$201,0))</f>
        <v>3</v>
      </c>
      <c r="Q883" s="3" t="n">
        <f aca="false">INDEX(Summary!$M$2:$M$201,MATCH($B883,Summary!$A$2:$A$201,0))</f>
        <v>3</v>
      </c>
      <c r="R883" s="2" t="n">
        <f aca="false">INDEX(Summary!$N$2:$N$201,MATCH($B883,Summary!$A$2:$A$201,0))</f>
        <v>10.08</v>
      </c>
      <c r="S883" s="3" t="n">
        <f aca="false">INDEX(Summary!$O$2:$O$201,MATCH($B883,Summary!$A$2:$A$201,0))</f>
        <v>8</v>
      </c>
      <c r="T883" s="3" t="n">
        <f aca="false">INDEX(Summary!$P$2:$P$201,MATCH($B883,Summary!$A$2:$A$201,0))</f>
        <v>1</v>
      </c>
      <c r="U883" s="2" t="n">
        <f aca="false">INDEX(Summary!$Q$2:$Q$201,MATCH($B883,Summary!$A$2:$A$201,0))</f>
        <v>13.58</v>
      </c>
      <c r="V883" s="2" t="n">
        <f aca="false">INDEX(Summary!$R$2:$R$201,MATCH($B883,Summary!$A$2:$A$201,0))</f>
        <v>27.69</v>
      </c>
      <c r="W883" s="0" t="str">
        <f aca="false">INDEX(Summary!$S$2:$S$201,MATCH($B883,Summary!$A$2:$A$201,0))</f>
        <v>Silver</v>
      </c>
      <c r="X883" s="2" t="n">
        <f aca="false">INDEX(Summary!$T$2:$T$201,MATCH($B883,Summary!$A$2:$A$201,0))</f>
        <v>67.54</v>
      </c>
      <c r="Y883" s="0" t="str">
        <f aca="false">INDEX('Reward Model'!$E$18:$E$37,MATCH($E883,'Reward Model'!$A$18:$A$37,0))</f>
        <v>Low</v>
      </c>
      <c r="Z883" s="4" t="n">
        <f aca="false">ROUND(MIN(1,MAX('Reward Model'!$B$2,INDEX('Reward Model'!$C$12:$C$14,MATCH($K883,'Reward Model'!$A$12:$A$14,0))/$J883)),3)</f>
        <v>0.862</v>
      </c>
      <c r="AA883" s="2" t="n">
        <f aca="false">IF($I883="Correct",ROUND(INDEX('Reward Model'!$B$12:$B$14,MATCH($K883,'Reward Model'!$A$12:$A$14,0))*Z883,2),0)</f>
        <v>0.86</v>
      </c>
      <c r="AB883" s="2" t="n">
        <f aca="false">IF($I883="Correct",ROUND(INDEX('Reward Model'!$B$12:$B$14,MATCH($Y883,'Reward Model'!$A$12:$A$14,0))*Z883,2),0)</f>
        <v>0.86</v>
      </c>
    </row>
    <row r="884" customFormat="false" ht="15" hidden="false" customHeight="false" outlineLevel="0" collapsed="false">
      <c r="A884" s="0" t="s">
        <v>217</v>
      </c>
      <c r="B884" s="0" t="s">
        <v>218</v>
      </c>
      <c r="C884" s="0" t="s">
        <v>30</v>
      </c>
      <c r="D884" s="0" t="s">
        <v>189</v>
      </c>
      <c r="E884" s="0" t="n">
        <v>3</v>
      </c>
      <c r="F884" s="0" t="s">
        <v>40</v>
      </c>
      <c r="G884" s="0" t="s">
        <v>123</v>
      </c>
      <c r="H884" s="0" t="s">
        <v>42</v>
      </c>
      <c r="I884" s="0" t="s">
        <v>39</v>
      </c>
      <c r="J884" s="0" t="n">
        <v>1.88</v>
      </c>
      <c r="K884" s="0" t="s">
        <v>35</v>
      </c>
      <c r="L884" s="0" t="n">
        <f aca="false">INDEX(Summary!$F$2:$F$201,MATCH($B884,Summary!$A$2:$A$201,0))</f>
        <v>20</v>
      </c>
      <c r="M884" s="0" t="n">
        <f aca="false">INDEX(Summary!$I$2:$I$201,MATCH($B884,Summary!$A$2:$A$201,0))</f>
        <v>4</v>
      </c>
      <c r="N884" s="0" t="n">
        <f aca="false">INDEX(Summary!$J$2:$J$201,MATCH($B884,Summary!$A$2:$A$201,0))</f>
        <v>1</v>
      </c>
      <c r="O884" s="2" t="n">
        <f aca="false">INDEX(Summary!$K$2:$K$201,MATCH($B884,Summary!$A$2:$A$201,0))</f>
        <v>10.57</v>
      </c>
      <c r="P884" s="3" t="n">
        <f aca="false">INDEX(Summary!$L$2:$L$201,MATCH($B884,Summary!$A$2:$A$201,0))</f>
        <v>3</v>
      </c>
      <c r="Q884" s="3" t="n">
        <f aca="false">INDEX(Summary!$M$2:$M$201,MATCH($B884,Summary!$A$2:$A$201,0))</f>
        <v>3</v>
      </c>
      <c r="R884" s="2" t="n">
        <f aca="false">INDEX(Summary!$N$2:$N$201,MATCH($B884,Summary!$A$2:$A$201,0))</f>
        <v>10.08</v>
      </c>
      <c r="S884" s="3" t="n">
        <f aca="false">INDEX(Summary!$O$2:$O$201,MATCH($B884,Summary!$A$2:$A$201,0))</f>
        <v>8</v>
      </c>
      <c r="T884" s="3" t="n">
        <f aca="false">INDEX(Summary!$P$2:$P$201,MATCH($B884,Summary!$A$2:$A$201,0))</f>
        <v>1</v>
      </c>
      <c r="U884" s="2" t="n">
        <f aca="false">INDEX(Summary!$Q$2:$Q$201,MATCH($B884,Summary!$A$2:$A$201,0))</f>
        <v>13.58</v>
      </c>
      <c r="V884" s="2" t="n">
        <f aca="false">INDEX(Summary!$R$2:$R$201,MATCH($B884,Summary!$A$2:$A$201,0))</f>
        <v>27.69</v>
      </c>
      <c r="W884" s="0" t="str">
        <f aca="false">INDEX(Summary!$S$2:$S$201,MATCH($B884,Summary!$A$2:$A$201,0))</f>
        <v>Silver</v>
      </c>
      <c r="X884" s="2" t="n">
        <f aca="false">INDEX(Summary!$T$2:$T$201,MATCH($B884,Summary!$A$2:$A$201,0))</f>
        <v>67.54</v>
      </c>
      <c r="Y884" s="0" t="str">
        <f aca="false">INDEX('Reward Model'!$E$18:$E$37,MATCH($E884,'Reward Model'!$A$18:$A$37,0))</f>
        <v>Medium</v>
      </c>
      <c r="Z884" s="4" t="n">
        <f aca="false">ROUND(MIN(1,MAX('Reward Model'!$B$2,INDEX('Reward Model'!$C$12:$C$14,MATCH($K884,'Reward Model'!$A$12:$A$14,0))/$J884)),3)</f>
        <v>0.798</v>
      </c>
      <c r="AA884" s="2" t="n">
        <f aca="false">IF($I884="Correct",ROUND(INDEX('Reward Model'!$B$12:$B$14,MATCH($K884,'Reward Model'!$A$12:$A$14,0))*Z884,2),0)</f>
        <v>0</v>
      </c>
      <c r="AB884" s="2" t="n">
        <f aca="false">IF($I884="Correct",ROUND(INDEX('Reward Model'!$B$12:$B$14,MATCH($Y884,'Reward Model'!$A$12:$A$14,0))*Z884,2),0)</f>
        <v>0</v>
      </c>
    </row>
    <row r="885" customFormat="false" ht="15" hidden="false" customHeight="false" outlineLevel="0" collapsed="false">
      <c r="A885" s="0" t="s">
        <v>217</v>
      </c>
      <c r="B885" s="0" t="s">
        <v>218</v>
      </c>
      <c r="C885" s="0" t="s">
        <v>30</v>
      </c>
      <c r="D885" s="0" t="s">
        <v>189</v>
      </c>
      <c r="E885" s="0" t="n">
        <v>4</v>
      </c>
      <c r="F885" s="0" t="s">
        <v>43</v>
      </c>
      <c r="G885" s="0" t="s">
        <v>45</v>
      </c>
      <c r="H885" s="0" t="s">
        <v>45</v>
      </c>
      <c r="I885" s="0" t="s">
        <v>34</v>
      </c>
      <c r="J885" s="0" t="n">
        <v>1.44</v>
      </c>
      <c r="K885" s="0" t="s">
        <v>35</v>
      </c>
      <c r="L885" s="0" t="n">
        <f aca="false">INDEX(Summary!$F$2:$F$201,MATCH($B885,Summary!$A$2:$A$201,0))</f>
        <v>20</v>
      </c>
      <c r="M885" s="0" t="n">
        <f aca="false">INDEX(Summary!$I$2:$I$201,MATCH($B885,Summary!$A$2:$A$201,0))</f>
        <v>4</v>
      </c>
      <c r="N885" s="0" t="n">
        <f aca="false">INDEX(Summary!$J$2:$J$201,MATCH($B885,Summary!$A$2:$A$201,0))</f>
        <v>1</v>
      </c>
      <c r="O885" s="2" t="n">
        <f aca="false">INDEX(Summary!$K$2:$K$201,MATCH($B885,Summary!$A$2:$A$201,0))</f>
        <v>10.57</v>
      </c>
      <c r="P885" s="3" t="n">
        <f aca="false">INDEX(Summary!$L$2:$L$201,MATCH($B885,Summary!$A$2:$A$201,0))</f>
        <v>3</v>
      </c>
      <c r="Q885" s="3" t="n">
        <f aca="false">INDEX(Summary!$M$2:$M$201,MATCH($B885,Summary!$A$2:$A$201,0))</f>
        <v>3</v>
      </c>
      <c r="R885" s="2" t="n">
        <f aca="false">INDEX(Summary!$N$2:$N$201,MATCH($B885,Summary!$A$2:$A$201,0))</f>
        <v>10.08</v>
      </c>
      <c r="S885" s="3" t="n">
        <f aca="false">INDEX(Summary!$O$2:$O$201,MATCH($B885,Summary!$A$2:$A$201,0))</f>
        <v>8</v>
      </c>
      <c r="T885" s="3" t="n">
        <f aca="false">INDEX(Summary!$P$2:$P$201,MATCH($B885,Summary!$A$2:$A$201,0))</f>
        <v>1</v>
      </c>
      <c r="U885" s="2" t="n">
        <f aca="false">INDEX(Summary!$Q$2:$Q$201,MATCH($B885,Summary!$A$2:$A$201,0))</f>
        <v>13.58</v>
      </c>
      <c r="V885" s="2" t="n">
        <f aca="false">INDEX(Summary!$R$2:$R$201,MATCH($B885,Summary!$A$2:$A$201,0))</f>
        <v>27.69</v>
      </c>
      <c r="W885" s="0" t="str">
        <f aca="false">INDEX(Summary!$S$2:$S$201,MATCH($B885,Summary!$A$2:$A$201,0))</f>
        <v>Silver</v>
      </c>
      <c r="X885" s="2" t="n">
        <f aca="false">INDEX(Summary!$T$2:$T$201,MATCH($B885,Summary!$A$2:$A$201,0))</f>
        <v>67.54</v>
      </c>
      <c r="Y885" s="0" t="str">
        <f aca="false">INDEX('Reward Model'!$E$18:$E$37,MATCH($E885,'Reward Model'!$A$18:$A$37,0))</f>
        <v>Low</v>
      </c>
      <c r="Z885" s="4" t="n">
        <f aca="false">ROUND(MIN(1,MAX('Reward Model'!$B$2,INDEX('Reward Model'!$C$12:$C$14,MATCH($K885,'Reward Model'!$A$12:$A$14,0))/$J885)),3)</f>
        <v>1</v>
      </c>
      <c r="AA885" s="2" t="n">
        <f aca="false">IF($I885="Correct",ROUND(INDEX('Reward Model'!$B$12:$B$14,MATCH($K885,'Reward Model'!$A$12:$A$14,0))*Z885,2),0)</f>
        <v>1</v>
      </c>
      <c r="AB885" s="2" t="n">
        <f aca="false">IF($I885="Correct",ROUND(INDEX('Reward Model'!$B$12:$B$14,MATCH($Y885,'Reward Model'!$A$12:$A$14,0))*Z885,2),0)</f>
        <v>1</v>
      </c>
    </row>
    <row r="886" customFormat="false" ht="15" hidden="false" customHeight="false" outlineLevel="0" collapsed="false">
      <c r="A886" s="0" t="s">
        <v>217</v>
      </c>
      <c r="B886" s="0" t="s">
        <v>218</v>
      </c>
      <c r="C886" s="0" t="s">
        <v>30</v>
      </c>
      <c r="D886" s="0" t="s">
        <v>189</v>
      </c>
      <c r="E886" s="0" t="n">
        <v>5</v>
      </c>
      <c r="F886" s="0" t="s">
        <v>46</v>
      </c>
      <c r="G886" s="0" t="s">
        <v>47</v>
      </c>
      <c r="H886" s="0" t="s">
        <v>47</v>
      </c>
      <c r="I886" s="0" t="s">
        <v>34</v>
      </c>
      <c r="J886" s="0" t="n">
        <v>1.03</v>
      </c>
      <c r="K886" s="0" t="s">
        <v>35</v>
      </c>
      <c r="L886" s="0" t="n">
        <f aca="false">INDEX(Summary!$F$2:$F$201,MATCH($B886,Summary!$A$2:$A$201,0))</f>
        <v>20</v>
      </c>
      <c r="M886" s="0" t="n">
        <f aca="false">INDEX(Summary!$I$2:$I$201,MATCH($B886,Summary!$A$2:$A$201,0))</f>
        <v>4</v>
      </c>
      <c r="N886" s="0" t="n">
        <f aca="false">INDEX(Summary!$J$2:$J$201,MATCH($B886,Summary!$A$2:$A$201,0))</f>
        <v>1</v>
      </c>
      <c r="O886" s="2" t="n">
        <f aca="false">INDEX(Summary!$K$2:$K$201,MATCH($B886,Summary!$A$2:$A$201,0))</f>
        <v>10.57</v>
      </c>
      <c r="P886" s="3" t="n">
        <f aca="false">INDEX(Summary!$L$2:$L$201,MATCH($B886,Summary!$A$2:$A$201,0))</f>
        <v>3</v>
      </c>
      <c r="Q886" s="3" t="n">
        <f aca="false">INDEX(Summary!$M$2:$M$201,MATCH($B886,Summary!$A$2:$A$201,0))</f>
        <v>3</v>
      </c>
      <c r="R886" s="2" t="n">
        <f aca="false">INDEX(Summary!$N$2:$N$201,MATCH($B886,Summary!$A$2:$A$201,0))</f>
        <v>10.08</v>
      </c>
      <c r="S886" s="3" t="n">
        <f aca="false">INDEX(Summary!$O$2:$O$201,MATCH($B886,Summary!$A$2:$A$201,0))</f>
        <v>8</v>
      </c>
      <c r="T886" s="3" t="n">
        <f aca="false">INDEX(Summary!$P$2:$P$201,MATCH($B886,Summary!$A$2:$A$201,0))</f>
        <v>1</v>
      </c>
      <c r="U886" s="2" t="n">
        <f aca="false">INDEX(Summary!$Q$2:$Q$201,MATCH($B886,Summary!$A$2:$A$201,0))</f>
        <v>13.58</v>
      </c>
      <c r="V886" s="2" t="n">
        <f aca="false">INDEX(Summary!$R$2:$R$201,MATCH($B886,Summary!$A$2:$A$201,0))</f>
        <v>27.69</v>
      </c>
      <c r="W886" s="0" t="str">
        <f aca="false">INDEX(Summary!$S$2:$S$201,MATCH($B886,Summary!$A$2:$A$201,0))</f>
        <v>Silver</v>
      </c>
      <c r="X886" s="2" t="n">
        <f aca="false">INDEX(Summary!$T$2:$T$201,MATCH($B886,Summary!$A$2:$A$201,0))</f>
        <v>67.54</v>
      </c>
      <c r="Y886" s="0" t="str">
        <f aca="false">INDEX('Reward Model'!$E$18:$E$37,MATCH($E886,'Reward Model'!$A$18:$A$37,0))</f>
        <v>Low</v>
      </c>
      <c r="Z886" s="4" t="n">
        <f aca="false">ROUND(MIN(1,MAX('Reward Model'!$B$2,INDEX('Reward Model'!$C$12:$C$14,MATCH($K886,'Reward Model'!$A$12:$A$14,0))/$J886)),3)</f>
        <v>1</v>
      </c>
      <c r="AA886" s="2" t="n">
        <f aca="false">IF($I886="Correct",ROUND(INDEX('Reward Model'!$B$12:$B$14,MATCH($K886,'Reward Model'!$A$12:$A$14,0))*Z886,2),0)</f>
        <v>1</v>
      </c>
      <c r="AB886" s="2" t="n">
        <f aca="false">IF($I886="Correct",ROUND(INDEX('Reward Model'!$B$12:$B$14,MATCH($Y886,'Reward Model'!$A$12:$A$14,0))*Z886,2),0)</f>
        <v>1</v>
      </c>
    </row>
    <row r="887" customFormat="false" ht="15" hidden="false" customHeight="false" outlineLevel="0" collapsed="false">
      <c r="A887" s="0" t="s">
        <v>217</v>
      </c>
      <c r="B887" s="0" t="s">
        <v>218</v>
      </c>
      <c r="C887" s="0" t="s">
        <v>30</v>
      </c>
      <c r="D887" s="0" t="s">
        <v>189</v>
      </c>
      <c r="E887" s="0" t="n">
        <v>6</v>
      </c>
      <c r="F887" s="0" t="s">
        <v>48</v>
      </c>
      <c r="G887" s="0" t="s">
        <v>49</v>
      </c>
      <c r="H887" s="0" t="s">
        <v>49</v>
      </c>
      <c r="I887" s="0" t="s">
        <v>34</v>
      </c>
      <c r="J887" s="0" t="n">
        <v>1.09</v>
      </c>
      <c r="K887" s="0" t="s">
        <v>35</v>
      </c>
      <c r="L887" s="0" t="n">
        <f aca="false">INDEX(Summary!$F$2:$F$201,MATCH($B887,Summary!$A$2:$A$201,0))</f>
        <v>20</v>
      </c>
      <c r="M887" s="0" t="n">
        <f aca="false">INDEX(Summary!$I$2:$I$201,MATCH($B887,Summary!$A$2:$A$201,0))</f>
        <v>4</v>
      </c>
      <c r="N887" s="0" t="n">
        <f aca="false">INDEX(Summary!$J$2:$J$201,MATCH($B887,Summary!$A$2:$A$201,0))</f>
        <v>1</v>
      </c>
      <c r="O887" s="2" t="n">
        <f aca="false">INDEX(Summary!$K$2:$K$201,MATCH($B887,Summary!$A$2:$A$201,0))</f>
        <v>10.57</v>
      </c>
      <c r="P887" s="3" t="n">
        <f aca="false">INDEX(Summary!$L$2:$L$201,MATCH($B887,Summary!$A$2:$A$201,0))</f>
        <v>3</v>
      </c>
      <c r="Q887" s="3" t="n">
        <f aca="false">INDEX(Summary!$M$2:$M$201,MATCH($B887,Summary!$A$2:$A$201,0))</f>
        <v>3</v>
      </c>
      <c r="R887" s="2" t="n">
        <f aca="false">INDEX(Summary!$N$2:$N$201,MATCH($B887,Summary!$A$2:$A$201,0))</f>
        <v>10.08</v>
      </c>
      <c r="S887" s="3" t="n">
        <f aca="false">INDEX(Summary!$O$2:$O$201,MATCH($B887,Summary!$A$2:$A$201,0))</f>
        <v>8</v>
      </c>
      <c r="T887" s="3" t="n">
        <f aca="false">INDEX(Summary!$P$2:$P$201,MATCH($B887,Summary!$A$2:$A$201,0))</f>
        <v>1</v>
      </c>
      <c r="U887" s="2" t="n">
        <f aca="false">INDEX(Summary!$Q$2:$Q$201,MATCH($B887,Summary!$A$2:$A$201,0))</f>
        <v>13.58</v>
      </c>
      <c r="V887" s="2" t="n">
        <f aca="false">INDEX(Summary!$R$2:$R$201,MATCH($B887,Summary!$A$2:$A$201,0))</f>
        <v>27.69</v>
      </c>
      <c r="W887" s="0" t="str">
        <f aca="false">INDEX(Summary!$S$2:$S$201,MATCH($B887,Summary!$A$2:$A$201,0))</f>
        <v>Silver</v>
      </c>
      <c r="X887" s="2" t="n">
        <f aca="false">INDEX(Summary!$T$2:$T$201,MATCH($B887,Summary!$A$2:$A$201,0))</f>
        <v>67.54</v>
      </c>
      <c r="Y887" s="0" t="str">
        <f aca="false">INDEX('Reward Model'!$E$18:$E$37,MATCH($E887,'Reward Model'!$A$18:$A$37,0))</f>
        <v>Medium</v>
      </c>
      <c r="Z887" s="4" t="n">
        <f aca="false">ROUND(MIN(1,MAX('Reward Model'!$B$2,INDEX('Reward Model'!$C$12:$C$14,MATCH($K887,'Reward Model'!$A$12:$A$14,0))/$J887)),3)</f>
        <v>1</v>
      </c>
      <c r="AA887" s="2" t="n">
        <f aca="false">IF($I887="Correct",ROUND(INDEX('Reward Model'!$B$12:$B$14,MATCH($K887,'Reward Model'!$A$12:$A$14,0))*Z887,2),0)</f>
        <v>1</v>
      </c>
      <c r="AB887" s="2" t="n">
        <f aca="false">IF($I887="Correct",ROUND(INDEX('Reward Model'!$B$12:$B$14,MATCH($Y887,'Reward Model'!$A$12:$A$14,0))*Z887,2),0)</f>
        <v>2</v>
      </c>
    </row>
    <row r="888" customFormat="false" ht="15" hidden="false" customHeight="false" outlineLevel="0" collapsed="false">
      <c r="A888" s="0" t="s">
        <v>217</v>
      </c>
      <c r="B888" s="0" t="s">
        <v>218</v>
      </c>
      <c r="C888" s="0" t="s">
        <v>30</v>
      </c>
      <c r="D888" s="0" t="s">
        <v>189</v>
      </c>
      <c r="E888" s="0" t="n">
        <v>7</v>
      </c>
      <c r="F888" s="0" t="s">
        <v>50</v>
      </c>
      <c r="G888" s="0" t="s">
        <v>51</v>
      </c>
      <c r="H888" s="0" t="s">
        <v>51</v>
      </c>
      <c r="I888" s="0" t="s">
        <v>34</v>
      </c>
      <c r="J888" s="0" t="n">
        <v>1.39</v>
      </c>
      <c r="K888" s="0" t="s">
        <v>35</v>
      </c>
      <c r="L888" s="0" t="n">
        <f aca="false">INDEX(Summary!$F$2:$F$201,MATCH($B888,Summary!$A$2:$A$201,0))</f>
        <v>20</v>
      </c>
      <c r="M888" s="0" t="n">
        <f aca="false">INDEX(Summary!$I$2:$I$201,MATCH($B888,Summary!$A$2:$A$201,0))</f>
        <v>4</v>
      </c>
      <c r="N888" s="0" t="n">
        <f aca="false">INDEX(Summary!$J$2:$J$201,MATCH($B888,Summary!$A$2:$A$201,0))</f>
        <v>1</v>
      </c>
      <c r="O888" s="2" t="n">
        <f aca="false">INDEX(Summary!$K$2:$K$201,MATCH($B888,Summary!$A$2:$A$201,0))</f>
        <v>10.57</v>
      </c>
      <c r="P888" s="3" t="n">
        <f aca="false">INDEX(Summary!$L$2:$L$201,MATCH($B888,Summary!$A$2:$A$201,0))</f>
        <v>3</v>
      </c>
      <c r="Q888" s="3" t="n">
        <f aca="false">INDEX(Summary!$M$2:$M$201,MATCH($B888,Summary!$A$2:$A$201,0))</f>
        <v>3</v>
      </c>
      <c r="R888" s="2" t="n">
        <f aca="false">INDEX(Summary!$N$2:$N$201,MATCH($B888,Summary!$A$2:$A$201,0))</f>
        <v>10.08</v>
      </c>
      <c r="S888" s="3" t="n">
        <f aca="false">INDEX(Summary!$O$2:$O$201,MATCH($B888,Summary!$A$2:$A$201,0))</f>
        <v>8</v>
      </c>
      <c r="T888" s="3" t="n">
        <f aca="false">INDEX(Summary!$P$2:$P$201,MATCH($B888,Summary!$A$2:$A$201,0))</f>
        <v>1</v>
      </c>
      <c r="U888" s="2" t="n">
        <f aca="false">INDEX(Summary!$Q$2:$Q$201,MATCH($B888,Summary!$A$2:$A$201,0))</f>
        <v>13.58</v>
      </c>
      <c r="V888" s="2" t="n">
        <f aca="false">INDEX(Summary!$R$2:$R$201,MATCH($B888,Summary!$A$2:$A$201,0))</f>
        <v>27.69</v>
      </c>
      <c r="W888" s="0" t="str">
        <f aca="false">INDEX(Summary!$S$2:$S$201,MATCH($B888,Summary!$A$2:$A$201,0))</f>
        <v>Silver</v>
      </c>
      <c r="X888" s="2" t="n">
        <f aca="false">INDEX(Summary!$T$2:$T$201,MATCH($B888,Summary!$A$2:$A$201,0))</f>
        <v>67.54</v>
      </c>
      <c r="Y888" s="0" t="str">
        <f aca="false">INDEX('Reward Model'!$E$18:$E$37,MATCH($E888,'Reward Model'!$A$18:$A$37,0))</f>
        <v>Low</v>
      </c>
      <c r="Z888" s="4" t="n">
        <f aca="false">ROUND(MIN(1,MAX('Reward Model'!$B$2,INDEX('Reward Model'!$C$12:$C$14,MATCH($K888,'Reward Model'!$A$12:$A$14,0))/$J888)),3)</f>
        <v>1</v>
      </c>
      <c r="AA888" s="2" t="n">
        <f aca="false">IF($I888="Correct",ROUND(INDEX('Reward Model'!$B$12:$B$14,MATCH($K888,'Reward Model'!$A$12:$A$14,0))*Z888,2),0)</f>
        <v>1</v>
      </c>
      <c r="AB888" s="2" t="n">
        <f aca="false">IF($I888="Correct",ROUND(INDEX('Reward Model'!$B$12:$B$14,MATCH($Y888,'Reward Model'!$A$12:$A$14,0))*Z888,2),0)</f>
        <v>1</v>
      </c>
    </row>
    <row r="889" customFormat="false" ht="15" hidden="false" customHeight="false" outlineLevel="0" collapsed="false">
      <c r="A889" s="0" t="s">
        <v>217</v>
      </c>
      <c r="B889" s="0" t="s">
        <v>218</v>
      </c>
      <c r="C889" s="0" t="s">
        <v>30</v>
      </c>
      <c r="D889" s="0" t="s">
        <v>189</v>
      </c>
      <c r="E889" s="0" t="n">
        <v>8</v>
      </c>
      <c r="F889" s="0" t="s">
        <v>52</v>
      </c>
      <c r="G889" s="0" t="s">
        <v>54</v>
      </c>
      <c r="H889" s="0" t="s">
        <v>54</v>
      </c>
      <c r="I889" s="0" t="s">
        <v>34</v>
      </c>
      <c r="J889" s="0" t="n">
        <v>1.18</v>
      </c>
      <c r="K889" s="0" t="s">
        <v>35</v>
      </c>
      <c r="L889" s="0" t="n">
        <f aca="false">INDEX(Summary!$F$2:$F$201,MATCH($B889,Summary!$A$2:$A$201,0))</f>
        <v>20</v>
      </c>
      <c r="M889" s="0" t="n">
        <f aca="false">INDEX(Summary!$I$2:$I$201,MATCH($B889,Summary!$A$2:$A$201,0))</f>
        <v>4</v>
      </c>
      <c r="N889" s="0" t="n">
        <f aca="false">INDEX(Summary!$J$2:$J$201,MATCH($B889,Summary!$A$2:$A$201,0))</f>
        <v>1</v>
      </c>
      <c r="O889" s="2" t="n">
        <f aca="false">INDEX(Summary!$K$2:$K$201,MATCH($B889,Summary!$A$2:$A$201,0))</f>
        <v>10.57</v>
      </c>
      <c r="P889" s="3" t="n">
        <f aca="false">INDEX(Summary!$L$2:$L$201,MATCH($B889,Summary!$A$2:$A$201,0))</f>
        <v>3</v>
      </c>
      <c r="Q889" s="3" t="n">
        <f aca="false">INDEX(Summary!$M$2:$M$201,MATCH($B889,Summary!$A$2:$A$201,0))</f>
        <v>3</v>
      </c>
      <c r="R889" s="2" t="n">
        <f aca="false">INDEX(Summary!$N$2:$N$201,MATCH($B889,Summary!$A$2:$A$201,0))</f>
        <v>10.08</v>
      </c>
      <c r="S889" s="3" t="n">
        <f aca="false">INDEX(Summary!$O$2:$O$201,MATCH($B889,Summary!$A$2:$A$201,0))</f>
        <v>8</v>
      </c>
      <c r="T889" s="3" t="n">
        <f aca="false">INDEX(Summary!$P$2:$P$201,MATCH($B889,Summary!$A$2:$A$201,0))</f>
        <v>1</v>
      </c>
      <c r="U889" s="2" t="n">
        <f aca="false">INDEX(Summary!$Q$2:$Q$201,MATCH($B889,Summary!$A$2:$A$201,0))</f>
        <v>13.58</v>
      </c>
      <c r="V889" s="2" t="n">
        <f aca="false">INDEX(Summary!$R$2:$R$201,MATCH($B889,Summary!$A$2:$A$201,0))</f>
        <v>27.69</v>
      </c>
      <c r="W889" s="0" t="str">
        <f aca="false">INDEX(Summary!$S$2:$S$201,MATCH($B889,Summary!$A$2:$A$201,0))</f>
        <v>Silver</v>
      </c>
      <c r="X889" s="2" t="n">
        <f aca="false">INDEX(Summary!$T$2:$T$201,MATCH($B889,Summary!$A$2:$A$201,0))</f>
        <v>67.54</v>
      </c>
      <c r="Y889" s="0" t="str">
        <f aca="false">INDEX('Reward Model'!$E$18:$E$37,MATCH($E889,'Reward Model'!$A$18:$A$37,0))</f>
        <v>Medium</v>
      </c>
      <c r="Z889" s="4" t="n">
        <f aca="false">ROUND(MIN(1,MAX('Reward Model'!$B$2,INDEX('Reward Model'!$C$12:$C$14,MATCH($K889,'Reward Model'!$A$12:$A$14,0))/$J889)),3)</f>
        <v>1</v>
      </c>
      <c r="AA889" s="2" t="n">
        <f aca="false">IF($I889="Correct",ROUND(INDEX('Reward Model'!$B$12:$B$14,MATCH($K889,'Reward Model'!$A$12:$A$14,0))*Z889,2),0)</f>
        <v>1</v>
      </c>
      <c r="AB889" s="2" t="n">
        <f aca="false">IF($I889="Correct",ROUND(INDEX('Reward Model'!$B$12:$B$14,MATCH($Y889,'Reward Model'!$A$12:$A$14,0))*Z889,2),0)</f>
        <v>2</v>
      </c>
    </row>
    <row r="890" customFormat="false" ht="15" hidden="false" customHeight="false" outlineLevel="0" collapsed="false">
      <c r="A890" s="0" t="s">
        <v>217</v>
      </c>
      <c r="B890" s="0" t="s">
        <v>218</v>
      </c>
      <c r="C890" s="0" t="s">
        <v>30</v>
      </c>
      <c r="D890" s="0" t="s">
        <v>189</v>
      </c>
      <c r="E890" s="0" t="n">
        <v>9</v>
      </c>
      <c r="F890" s="0" t="s">
        <v>55</v>
      </c>
      <c r="G890" s="0" t="s">
        <v>57</v>
      </c>
      <c r="H890" s="0" t="s">
        <v>57</v>
      </c>
      <c r="I890" s="0" t="s">
        <v>34</v>
      </c>
      <c r="J890" s="0" t="n">
        <v>1.85</v>
      </c>
      <c r="K890" s="0" t="s">
        <v>35</v>
      </c>
      <c r="L890" s="0" t="n">
        <f aca="false">INDEX(Summary!$F$2:$F$201,MATCH($B890,Summary!$A$2:$A$201,0))</f>
        <v>20</v>
      </c>
      <c r="M890" s="0" t="n">
        <f aca="false">INDEX(Summary!$I$2:$I$201,MATCH($B890,Summary!$A$2:$A$201,0))</f>
        <v>4</v>
      </c>
      <c r="N890" s="0" t="n">
        <f aca="false">INDEX(Summary!$J$2:$J$201,MATCH($B890,Summary!$A$2:$A$201,0))</f>
        <v>1</v>
      </c>
      <c r="O890" s="2" t="n">
        <f aca="false">INDEX(Summary!$K$2:$K$201,MATCH($B890,Summary!$A$2:$A$201,0))</f>
        <v>10.57</v>
      </c>
      <c r="P890" s="3" t="n">
        <f aca="false">INDEX(Summary!$L$2:$L$201,MATCH($B890,Summary!$A$2:$A$201,0))</f>
        <v>3</v>
      </c>
      <c r="Q890" s="3" t="n">
        <f aca="false">INDEX(Summary!$M$2:$M$201,MATCH($B890,Summary!$A$2:$A$201,0))</f>
        <v>3</v>
      </c>
      <c r="R890" s="2" t="n">
        <f aca="false">INDEX(Summary!$N$2:$N$201,MATCH($B890,Summary!$A$2:$A$201,0))</f>
        <v>10.08</v>
      </c>
      <c r="S890" s="3" t="n">
        <f aca="false">INDEX(Summary!$O$2:$O$201,MATCH($B890,Summary!$A$2:$A$201,0))</f>
        <v>8</v>
      </c>
      <c r="T890" s="3" t="n">
        <f aca="false">INDEX(Summary!$P$2:$P$201,MATCH($B890,Summary!$A$2:$A$201,0))</f>
        <v>1</v>
      </c>
      <c r="U890" s="2" t="n">
        <f aca="false">INDEX(Summary!$Q$2:$Q$201,MATCH($B890,Summary!$A$2:$A$201,0))</f>
        <v>13.58</v>
      </c>
      <c r="V890" s="2" t="n">
        <f aca="false">INDEX(Summary!$R$2:$R$201,MATCH($B890,Summary!$A$2:$A$201,0))</f>
        <v>27.69</v>
      </c>
      <c r="W890" s="0" t="str">
        <f aca="false">INDEX(Summary!$S$2:$S$201,MATCH($B890,Summary!$A$2:$A$201,0))</f>
        <v>Silver</v>
      </c>
      <c r="X890" s="2" t="n">
        <f aca="false">INDEX(Summary!$T$2:$T$201,MATCH($B890,Summary!$A$2:$A$201,0))</f>
        <v>67.54</v>
      </c>
      <c r="Y890" s="0" t="str">
        <f aca="false">INDEX('Reward Model'!$E$18:$E$37,MATCH($E890,'Reward Model'!$A$18:$A$37,0))</f>
        <v>Medium</v>
      </c>
      <c r="Z890" s="4" t="n">
        <f aca="false">ROUND(MIN(1,MAX('Reward Model'!$B$2,INDEX('Reward Model'!$C$12:$C$14,MATCH($K890,'Reward Model'!$A$12:$A$14,0))/$J890)),3)</f>
        <v>0.811</v>
      </c>
      <c r="AA890" s="2" t="n">
        <f aca="false">IF($I890="Correct",ROUND(INDEX('Reward Model'!$B$12:$B$14,MATCH($K890,'Reward Model'!$A$12:$A$14,0))*Z890,2),0)</f>
        <v>0.81</v>
      </c>
      <c r="AB890" s="2" t="n">
        <f aca="false">IF($I890="Correct",ROUND(INDEX('Reward Model'!$B$12:$B$14,MATCH($Y890,'Reward Model'!$A$12:$A$14,0))*Z890,2),0)</f>
        <v>1.62</v>
      </c>
    </row>
    <row r="891" customFormat="false" ht="15" hidden="false" customHeight="false" outlineLevel="0" collapsed="false">
      <c r="A891" s="0" t="s">
        <v>217</v>
      </c>
      <c r="B891" s="0" t="s">
        <v>218</v>
      </c>
      <c r="C891" s="0" t="s">
        <v>30</v>
      </c>
      <c r="D891" s="0" t="s">
        <v>189</v>
      </c>
      <c r="E891" s="0" t="n">
        <v>10</v>
      </c>
      <c r="F891" s="0" t="s">
        <v>58</v>
      </c>
      <c r="G891" s="0" t="s">
        <v>174</v>
      </c>
      <c r="H891" s="0" t="s">
        <v>59</v>
      </c>
      <c r="I891" s="0" t="s">
        <v>39</v>
      </c>
      <c r="J891" s="0" t="n">
        <v>1.45</v>
      </c>
      <c r="K891" s="0" t="s">
        <v>60</v>
      </c>
      <c r="L891" s="0" t="n">
        <f aca="false">INDEX(Summary!$F$2:$F$201,MATCH($B891,Summary!$A$2:$A$201,0))</f>
        <v>20</v>
      </c>
      <c r="M891" s="0" t="n">
        <f aca="false">INDEX(Summary!$I$2:$I$201,MATCH($B891,Summary!$A$2:$A$201,0))</f>
        <v>4</v>
      </c>
      <c r="N891" s="0" t="n">
        <f aca="false">INDEX(Summary!$J$2:$J$201,MATCH($B891,Summary!$A$2:$A$201,0))</f>
        <v>1</v>
      </c>
      <c r="O891" s="2" t="n">
        <f aca="false">INDEX(Summary!$K$2:$K$201,MATCH($B891,Summary!$A$2:$A$201,0))</f>
        <v>10.57</v>
      </c>
      <c r="P891" s="3" t="n">
        <f aca="false">INDEX(Summary!$L$2:$L$201,MATCH($B891,Summary!$A$2:$A$201,0))</f>
        <v>3</v>
      </c>
      <c r="Q891" s="3" t="n">
        <f aca="false">INDEX(Summary!$M$2:$M$201,MATCH($B891,Summary!$A$2:$A$201,0))</f>
        <v>3</v>
      </c>
      <c r="R891" s="2" t="n">
        <f aca="false">INDEX(Summary!$N$2:$N$201,MATCH($B891,Summary!$A$2:$A$201,0))</f>
        <v>10.08</v>
      </c>
      <c r="S891" s="3" t="n">
        <f aca="false">INDEX(Summary!$O$2:$O$201,MATCH($B891,Summary!$A$2:$A$201,0))</f>
        <v>8</v>
      </c>
      <c r="T891" s="3" t="n">
        <f aca="false">INDEX(Summary!$P$2:$P$201,MATCH($B891,Summary!$A$2:$A$201,0))</f>
        <v>1</v>
      </c>
      <c r="U891" s="2" t="n">
        <f aca="false">INDEX(Summary!$Q$2:$Q$201,MATCH($B891,Summary!$A$2:$A$201,0))</f>
        <v>13.58</v>
      </c>
      <c r="V891" s="2" t="n">
        <f aca="false">INDEX(Summary!$R$2:$R$201,MATCH($B891,Summary!$A$2:$A$201,0))</f>
        <v>27.69</v>
      </c>
      <c r="W891" s="0" t="str">
        <f aca="false">INDEX(Summary!$S$2:$S$201,MATCH($B891,Summary!$A$2:$A$201,0))</f>
        <v>Silver</v>
      </c>
      <c r="X891" s="2" t="n">
        <f aca="false">INDEX(Summary!$T$2:$T$201,MATCH($B891,Summary!$A$2:$A$201,0))</f>
        <v>67.54</v>
      </c>
      <c r="Y891" s="0" t="str">
        <f aca="false">INDEX('Reward Model'!$E$18:$E$37,MATCH($E891,'Reward Model'!$A$18:$A$37,0))</f>
        <v>Medium</v>
      </c>
      <c r="Z891" s="4" t="n">
        <f aca="false">ROUND(MIN(1,MAX('Reward Model'!$B$2,INDEX('Reward Model'!$C$12:$C$14,MATCH($K891,'Reward Model'!$A$12:$A$14,0))/$J891)),3)</f>
        <v>1</v>
      </c>
      <c r="AA891" s="2" t="n">
        <f aca="false">IF($I891="Correct",ROUND(INDEX('Reward Model'!$B$12:$B$14,MATCH($K891,'Reward Model'!$A$12:$A$14,0))*Z891,2),0)</f>
        <v>0</v>
      </c>
      <c r="AB891" s="2" t="n">
        <f aca="false">IF($I891="Correct",ROUND(INDEX('Reward Model'!$B$12:$B$14,MATCH($Y891,'Reward Model'!$A$12:$A$14,0))*Z891,2),0)</f>
        <v>0</v>
      </c>
    </row>
    <row r="892" customFormat="false" ht="15" hidden="false" customHeight="false" outlineLevel="0" collapsed="false">
      <c r="A892" s="0" t="s">
        <v>217</v>
      </c>
      <c r="B892" s="0" t="s">
        <v>218</v>
      </c>
      <c r="C892" s="0" t="s">
        <v>30</v>
      </c>
      <c r="D892" s="0" t="s">
        <v>189</v>
      </c>
      <c r="E892" s="0" t="n">
        <v>11</v>
      </c>
      <c r="F892" s="0" t="s">
        <v>61</v>
      </c>
      <c r="G892" s="0" t="s">
        <v>145</v>
      </c>
      <c r="H892" s="0" t="s">
        <v>63</v>
      </c>
      <c r="I892" s="0" t="s">
        <v>39</v>
      </c>
      <c r="J892" s="0" t="n">
        <v>1.79</v>
      </c>
      <c r="K892" s="0" t="s">
        <v>60</v>
      </c>
      <c r="L892" s="0" t="n">
        <f aca="false">INDEX(Summary!$F$2:$F$201,MATCH($B892,Summary!$A$2:$A$201,0))</f>
        <v>20</v>
      </c>
      <c r="M892" s="0" t="n">
        <f aca="false">INDEX(Summary!$I$2:$I$201,MATCH($B892,Summary!$A$2:$A$201,0))</f>
        <v>4</v>
      </c>
      <c r="N892" s="0" t="n">
        <f aca="false">INDEX(Summary!$J$2:$J$201,MATCH($B892,Summary!$A$2:$A$201,0))</f>
        <v>1</v>
      </c>
      <c r="O892" s="2" t="n">
        <f aca="false">INDEX(Summary!$K$2:$K$201,MATCH($B892,Summary!$A$2:$A$201,0))</f>
        <v>10.57</v>
      </c>
      <c r="P892" s="3" t="n">
        <f aca="false">INDEX(Summary!$L$2:$L$201,MATCH($B892,Summary!$A$2:$A$201,0))</f>
        <v>3</v>
      </c>
      <c r="Q892" s="3" t="n">
        <f aca="false">INDEX(Summary!$M$2:$M$201,MATCH($B892,Summary!$A$2:$A$201,0))</f>
        <v>3</v>
      </c>
      <c r="R892" s="2" t="n">
        <f aca="false">INDEX(Summary!$N$2:$N$201,MATCH($B892,Summary!$A$2:$A$201,0))</f>
        <v>10.08</v>
      </c>
      <c r="S892" s="3" t="n">
        <f aca="false">INDEX(Summary!$O$2:$O$201,MATCH($B892,Summary!$A$2:$A$201,0))</f>
        <v>8</v>
      </c>
      <c r="T892" s="3" t="n">
        <f aca="false">INDEX(Summary!$P$2:$P$201,MATCH($B892,Summary!$A$2:$A$201,0))</f>
        <v>1</v>
      </c>
      <c r="U892" s="2" t="n">
        <f aca="false">INDEX(Summary!$Q$2:$Q$201,MATCH($B892,Summary!$A$2:$A$201,0))</f>
        <v>13.58</v>
      </c>
      <c r="V892" s="2" t="n">
        <f aca="false">INDEX(Summary!$R$2:$R$201,MATCH($B892,Summary!$A$2:$A$201,0))</f>
        <v>27.69</v>
      </c>
      <c r="W892" s="0" t="str">
        <f aca="false">INDEX(Summary!$S$2:$S$201,MATCH($B892,Summary!$A$2:$A$201,0))</f>
        <v>Silver</v>
      </c>
      <c r="X892" s="2" t="n">
        <f aca="false">INDEX(Summary!$T$2:$T$201,MATCH($B892,Summary!$A$2:$A$201,0))</f>
        <v>67.54</v>
      </c>
      <c r="Y892" s="0" t="str">
        <f aca="false">INDEX('Reward Model'!$E$18:$E$37,MATCH($E892,'Reward Model'!$A$18:$A$37,0))</f>
        <v>Medium</v>
      </c>
      <c r="Z892" s="4" t="n">
        <f aca="false">ROUND(MIN(1,MAX('Reward Model'!$B$2,INDEX('Reward Model'!$C$12:$C$14,MATCH($K892,'Reward Model'!$A$12:$A$14,0))/$J892)),3)</f>
        <v>1</v>
      </c>
      <c r="AA892" s="2" t="n">
        <f aca="false">IF($I892="Correct",ROUND(INDEX('Reward Model'!$B$12:$B$14,MATCH($K892,'Reward Model'!$A$12:$A$14,0))*Z892,2),0)</f>
        <v>0</v>
      </c>
      <c r="AB892" s="2" t="n">
        <f aca="false">IF($I892="Correct",ROUND(INDEX('Reward Model'!$B$12:$B$14,MATCH($Y892,'Reward Model'!$A$12:$A$14,0))*Z892,2),0)</f>
        <v>0</v>
      </c>
    </row>
    <row r="893" customFormat="false" ht="15" hidden="false" customHeight="false" outlineLevel="0" collapsed="false">
      <c r="A893" s="0" t="s">
        <v>217</v>
      </c>
      <c r="B893" s="0" t="s">
        <v>218</v>
      </c>
      <c r="C893" s="0" t="s">
        <v>30</v>
      </c>
      <c r="D893" s="0" t="s">
        <v>189</v>
      </c>
      <c r="E893" s="0" t="n">
        <v>12</v>
      </c>
      <c r="F893" s="0" t="s">
        <v>64</v>
      </c>
      <c r="G893" s="0" t="s">
        <v>127</v>
      </c>
      <c r="H893" s="0" t="s">
        <v>65</v>
      </c>
      <c r="I893" s="0" t="s">
        <v>39</v>
      </c>
      <c r="J893" s="0" t="n">
        <v>1.43</v>
      </c>
      <c r="K893" s="0" t="s">
        <v>60</v>
      </c>
      <c r="L893" s="0" t="n">
        <f aca="false">INDEX(Summary!$F$2:$F$201,MATCH($B893,Summary!$A$2:$A$201,0))</f>
        <v>20</v>
      </c>
      <c r="M893" s="0" t="n">
        <f aca="false">INDEX(Summary!$I$2:$I$201,MATCH($B893,Summary!$A$2:$A$201,0))</f>
        <v>4</v>
      </c>
      <c r="N893" s="0" t="n">
        <f aca="false">INDEX(Summary!$J$2:$J$201,MATCH($B893,Summary!$A$2:$A$201,0))</f>
        <v>1</v>
      </c>
      <c r="O893" s="2" t="n">
        <f aca="false">INDEX(Summary!$K$2:$K$201,MATCH($B893,Summary!$A$2:$A$201,0))</f>
        <v>10.57</v>
      </c>
      <c r="P893" s="3" t="n">
        <f aca="false">INDEX(Summary!$L$2:$L$201,MATCH($B893,Summary!$A$2:$A$201,0))</f>
        <v>3</v>
      </c>
      <c r="Q893" s="3" t="n">
        <f aca="false">INDEX(Summary!$M$2:$M$201,MATCH($B893,Summary!$A$2:$A$201,0))</f>
        <v>3</v>
      </c>
      <c r="R893" s="2" t="n">
        <f aca="false">INDEX(Summary!$N$2:$N$201,MATCH($B893,Summary!$A$2:$A$201,0))</f>
        <v>10.08</v>
      </c>
      <c r="S893" s="3" t="n">
        <f aca="false">INDEX(Summary!$O$2:$O$201,MATCH($B893,Summary!$A$2:$A$201,0))</f>
        <v>8</v>
      </c>
      <c r="T893" s="3" t="n">
        <f aca="false">INDEX(Summary!$P$2:$P$201,MATCH($B893,Summary!$A$2:$A$201,0))</f>
        <v>1</v>
      </c>
      <c r="U893" s="2" t="n">
        <f aca="false">INDEX(Summary!$Q$2:$Q$201,MATCH($B893,Summary!$A$2:$A$201,0))</f>
        <v>13.58</v>
      </c>
      <c r="V893" s="2" t="n">
        <f aca="false">INDEX(Summary!$R$2:$R$201,MATCH($B893,Summary!$A$2:$A$201,0))</f>
        <v>27.69</v>
      </c>
      <c r="W893" s="0" t="str">
        <f aca="false">INDEX(Summary!$S$2:$S$201,MATCH($B893,Summary!$A$2:$A$201,0))</f>
        <v>Silver</v>
      </c>
      <c r="X893" s="2" t="n">
        <f aca="false">INDEX(Summary!$T$2:$T$201,MATCH($B893,Summary!$A$2:$A$201,0))</f>
        <v>67.54</v>
      </c>
      <c r="Y893" s="0" t="str">
        <f aca="false">INDEX('Reward Model'!$E$18:$E$37,MATCH($E893,'Reward Model'!$A$18:$A$37,0))</f>
        <v>Medium</v>
      </c>
      <c r="Z893" s="4" t="n">
        <f aca="false">ROUND(MIN(1,MAX('Reward Model'!$B$2,INDEX('Reward Model'!$C$12:$C$14,MATCH($K893,'Reward Model'!$A$12:$A$14,0))/$J893)),3)</f>
        <v>1</v>
      </c>
      <c r="AA893" s="2" t="n">
        <f aca="false">IF($I893="Correct",ROUND(INDEX('Reward Model'!$B$12:$B$14,MATCH($K893,'Reward Model'!$A$12:$A$14,0))*Z893,2),0)</f>
        <v>0</v>
      </c>
      <c r="AB893" s="2" t="n">
        <f aca="false">IF($I893="Correct",ROUND(INDEX('Reward Model'!$B$12:$B$14,MATCH($Y893,'Reward Model'!$A$12:$A$14,0))*Z893,2),0)</f>
        <v>0</v>
      </c>
    </row>
    <row r="894" customFormat="false" ht="15" hidden="false" customHeight="false" outlineLevel="0" collapsed="false">
      <c r="A894" s="0" t="s">
        <v>217</v>
      </c>
      <c r="B894" s="0" t="s">
        <v>218</v>
      </c>
      <c r="C894" s="0" t="s">
        <v>30</v>
      </c>
      <c r="D894" s="0" t="s">
        <v>189</v>
      </c>
      <c r="E894" s="0" t="n">
        <v>13</v>
      </c>
      <c r="F894" s="0" t="s">
        <v>66</v>
      </c>
      <c r="G894" s="0" t="s">
        <v>67</v>
      </c>
      <c r="H894" s="0" t="s">
        <v>67</v>
      </c>
      <c r="I894" s="0" t="s">
        <v>34</v>
      </c>
      <c r="J894" s="0" t="n">
        <v>1.72</v>
      </c>
      <c r="K894" s="0" t="s">
        <v>60</v>
      </c>
      <c r="L894" s="0" t="n">
        <f aca="false">INDEX(Summary!$F$2:$F$201,MATCH($B894,Summary!$A$2:$A$201,0))</f>
        <v>20</v>
      </c>
      <c r="M894" s="0" t="n">
        <f aca="false">INDEX(Summary!$I$2:$I$201,MATCH($B894,Summary!$A$2:$A$201,0))</f>
        <v>4</v>
      </c>
      <c r="N894" s="0" t="n">
        <f aca="false">INDEX(Summary!$J$2:$J$201,MATCH($B894,Summary!$A$2:$A$201,0))</f>
        <v>1</v>
      </c>
      <c r="O894" s="2" t="n">
        <f aca="false">INDEX(Summary!$K$2:$K$201,MATCH($B894,Summary!$A$2:$A$201,0))</f>
        <v>10.57</v>
      </c>
      <c r="P894" s="3" t="n">
        <f aca="false">INDEX(Summary!$L$2:$L$201,MATCH($B894,Summary!$A$2:$A$201,0))</f>
        <v>3</v>
      </c>
      <c r="Q894" s="3" t="n">
        <f aca="false">INDEX(Summary!$M$2:$M$201,MATCH($B894,Summary!$A$2:$A$201,0))</f>
        <v>3</v>
      </c>
      <c r="R894" s="2" t="n">
        <f aca="false">INDEX(Summary!$N$2:$N$201,MATCH($B894,Summary!$A$2:$A$201,0))</f>
        <v>10.08</v>
      </c>
      <c r="S894" s="3" t="n">
        <f aca="false">INDEX(Summary!$O$2:$O$201,MATCH($B894,Summary!$A$2:$A$201,0))</f>
        <v>8</v>
      </c>
      <c r="T894" s="3" t="n">
        <f aca="false">INDEX(Summary!$P$2:$P$201,MATCH($B894,Summary!$A$2:$A$201,0))</f>
        <v>1</v>
      </c>
      <c r="U894" s="2" t="n">
        <f aca="false">INDEX(Summary!$Q$2:$Q$201,MATCH($B894,Summary!$A$2:$A$201,0))</f>
        <v>13.58</v>
      </c>
      <c r="V894" s="2" t="n">
        <f aca="false">INDEX(Summary!$R$2:$R$201,MATCH($B894,Summary!$A$2:$A$201,0))</f>
        <v>27.69</v>
      </c>
      <c r="W894" s="0" t="str">
        <f aca="false">INDEX(Summary!$S$2:$S$201,MATCH($B894,Summary!$A$2:$A$201,0))</f>
        <v>Silver</v>
      </c>
      <c r="X894" s="2" t="n">
        <f aca="false">INDEX(Summary!$T$2:$T$201,MATCH($B894,Summary!$A$2:$A$201,0))</f>
        <v>67.54</v>
      </c>
      <c r="Y894" s="0" t="str">
        <f aca="false">INDEX('Reward Model'!$E$18:$E$37,MATCH($E894,'Reward Model'!$A$18:$A$37,0))</f>
        <v>Medium</v>
      </c>
      <c r="Z894" s="4" t="n">
        <f aca="false">ROUND(MIN(1,MAX('Reward Model'!$B$2,INDEX('Reward Model'!$C$12:$C$14,MATCH($K894,'Reward Model'!$A$12:$A$14,0))/$J894)),3)</f>
        <v>1</v>
      </c>
      <c r="AA894" s="2" t="n">
        <f aca="false">IF($I894="Correct",ROUND(INDEX('Reward Model'!$B$12:$B$14,MATCH($K894,'Reward Model'!$A$12:$A$14,0))*Z894,2),0)</f>
        <v>2</v>
      </c>
      <c r="AB894" s="2" t="n">
        <f aca="false">IF($I894="Correct",ROUND(INDEX('Reward Model'!$B$12:$B$14,MATCH($Y894,'Reward Model'!$A$12:$A$14,0))*Z894,2),0)</f>
        <v>2</v>
      </c>
    </row>
    <row r="895" customFormat="false" ht="15" hidden="false" customHeight="false" outlineLevel="0" collapsed="false">
      <c r="A895" s="0" t="s">
        <v>217</v>
      </c>
      <c r="B895" s="0" t="s">
        <v>218</v>
      </c>
      <c r="C895" s="0" t="s">
        <v>30</v>
      </c>
      <c r="D895" s="0" t="s">
        <v>189</v>
      </c>
      <c r="E895" s="0" t="n">
        <v>14</v>
      </c>
      <c r="F895" s="0" t="s">
        <v>68</v>
      </c>
      <c r="G895" s="0" t="s">
        <v>51</v>
      </c>
      <c r="H895" s="0" t="s">
        <v>51</v>
      </c>
      <c r="I895" s="0" t="s">
        <v>34</v>
      </c>
      <c r="J895" s="0" t="n">
        <v>1.47</v>
      </c>
      <c r="K895" s="0" t="s">
        <v>60</v>
      </c>
      <c r="L895" s="0" t="n">
        <f aca="false">INDEX(Summary!$F$2:$F$201,MATCH($B895,Summary!$A$2:$A$201,0))</f>
        <v>20</v>
      </c>
      <c r="M895" s="0" t="n">
        <f aca="false">INDEX(Summary!$I$2:$I$201,MATCH($B895,Summary!$A$2:$A$201,0))</f>
        <v>4</v>
      </c>
      <c r="N895" s="0" t="n">
        <f aca="false">INDEX(Summary!$J$2:$J$201,MATCH($B895,Summary!$A$2:$A$201,0))</f>
        <v>1</v>
      </c>
      <c r="O895" s="2" t="n">
        <f aca="false">INDEX(Summary!$K$2:$K$201,MATCH($B895,Summary!$A$2:$A$201,0))</f>
        <v>10.57</v>
      </c>
      <c r="P895" s="3" t="n">
        <f aca="false">INDEX(Summary!$L$2:$L$201,MATCH($B895,Summary!$A$2:$A$201,0))</f>
        <v>3</v>
      </c>
      <c r="Q895" s="3" t="n">
        <f aca="false">INDEX(Summary!$M$2:$M$201,MATCH($B895,Summary!$A$2:$A$201,0))</f>
        <v>3</v>
      </c>
      <c r="R895" s="2" t="n">
        <f aca="false">INDEX(Summary!$N$2:$N$201,MATCH($B895,Summary!$A$2:$A$201,0))</f>
        <v>10.08</v>
      </c>
      <c r="S895" s="3" t="n">
        <f aca="false">INDEX(Summary!$O$2:$O$201,MATCH($B895,Summary!$A$2:$A$201,0))</f>
        <v>8</v>
      </c>
      <c r="T895" s="3" t="n">
        <f aca="false">INDEX(Summary!$P$2:$P$201,MATCH($B895,Summary!$A$2:$A$201,0))</f>
        <v>1</v>
      </c>
      <c r="U895" s="2" t="n">
        <f aca="false">INDEX(Summary!$Q$2:$Q$201,MATCH($B895,Summary!$A$2:$A$201,0))</f>
        <v>13.58</v>
      </c>
      <c r="V895" s="2" t="n">
        <f aca="false">INDEX(Summary!$R$2:$R$201,MATCH($B895,Summary!$A$2:$A$201,0))</f>
        <v>27.69</v>
      </c>
      <c r="W895" s="0" t="str">
        <f aca="false">INDEX(Summary!$S$2:$S$201,MATCH($B895,Summary!$A$2:$A$201,0))</f>
        <v>Silver</v>
      </c>
      <c r="X895" s="2" t="n">
        <f aca="false">INDEX(Summary!$T$2:$T$201,MATCH($B895,Summary!$A$2:$A$201,0))</f>
        <v>67.54</v>
      </c>
      <c r="Y895" s="0" t="str">
        <f aca="false">INDEX('Reward Model'!$E$18:$E$37,MATCH($E895,'Reward Model'!$A$18:$A$37,0))</f>
        <v>Medium</v>
      </c>
      <c r="Z895" s="4" t="n">
        <f aca="false">ROUND(MIN(1,MAX('Reward Model'!$B$2,INDEX('Reward Model'!$C$12:$C$14,MATCH($K895,'Reward Model'!$A$12:$A$14,0))/$J895)),3)</f>
        <v>1</v>
      </c>
      <c r="AA895" s="2" t="n">
        <f aca="false">IF($I895="Correct",ROUND(INDEX('Reward Model'!$B$12:$B$14,MATCH($K895,'Reward Model'!$A$12:$A$14,0))*Z895,2),0)</f>
        <v>2</v>
      </c>
      <c r="AB895" s="2" t="n">
        <f aca="false">IF($I895="Correct",ROUND(INDEX('Reward Model'!$B$12:$B$14,MATCH($Y895,'Reward Model'!$A$12:$A$14,0))*Z895,2),0)</f>
        <v>2</v>
      </c>
    </row>
    <row r="896" customFormat="false" ht="15" hidden="false" customHeight="false" outlineLevel="0" collapsed="false">
      <c r="A896" s="0" t="s">
        <v>217</v>
      </c>
      <c r="B896" s="0" t="s">
        <v>218</v>
      </c>
      <c r="C896" s="0" t="s">
        <v>30</v>
      </c>
      <c r="D896" s="0" t="s">
        <v>189</v>
      </c>
      <c r="E896" s="0" t="n">
        <v>15</v>
      </c>
      <c r="F896" s="0" t="s">
        <v>69</v>
      </c>
      <c r="G896" s="0" t="s">
        <v>70</v>
      </c>
      <c r="H896" s="0" t="s">
        <v>70</v>
      </c>
      <c r="I896" s="0" t="s">
        <v>34</v>
      </c>
      <c r="J896" s="0" t="n">
        <v>2.22</v>
      </c>
      <c r="K896" s="0" t="s">
        <v>60</v>
      </c>
      <c r="L896" s="0" t="n">
        <f aca="false">INDEX(Summary!$F$2:$F$201,MATCH($B896,Summary!$A$2:$A$201,0))</f>
        <v>20</v>
      </c>
      <c r="M896" s="0" t="n">
        <f aca="false">INDEX(Summary!$I$2:$I$201,MATCH($B896,Summary!$A$2:$A$201,0))</f>
        <v>4</v>
      </c>
      <c r="N896" s="0" t="n">
        <f aca="false">INDEX(Summary!$J$2:$J$201,MATCH($B896,Summary!$A$2:$A$201,0))</f>
        <v>1</v>
      </c>
      <c r="O896" s="2" t="n">
        <f aca="false">INDEX(Summary!$K$2:$K$201,MATCH($B896,Summary!$A$2:$A$201,0))</f>
        <v>10.57</v>
      </c>
      <c r="P896" s="3" t="n">
        <f aca="false">INDEX(Summary!$L$2:$L$201,MATCH($B896,Summary!$A$2:$A$201,0))</f>
        <v>3</v>
      </c>
      <c r="Q896" s="3" t="n">
        <f aca="false">INDEX(Summary!$M$2:$M$201,MATCH($B896,Summary!$A$2:$A$201,0))</f>
        <v>3</v>
      </c>
      <c r="R896" s="2" t="n">
        <f aca="false">INDEX(Summary!$N$2:$N$201,MATCH($B896,Summary!$A$2:$A$201,0))</f>
        <v>10.08</v>
      </c>
      <c r="S896" s="3" t="n">
        <f aca="false">INDEX(Summary!$O$2:$O$201,MATCH($B896,Summary!$A$2:$A$201,0))</f>
        <v>8</v>
      </c>
      <c r="T896" s="3" t="n">
        <f aca="false">INDEX(Summary!$P$2:$P$201,MATCH($B896,Summary!$A$2:$A$201,0))</f>
        <v>1</v>
      </c>
      <c r="U896" s="2" t="n">
        <f aca="false">INDEX(Summary!$Q$2:$Q$201,MATCH($B896,Summary!$A$2:$A$201,0))</f>
        <v>13.58</v>
      </c>
      <c r="V896" s="2" t="n">
        <f aca="false">INDEX(Summary!$R$2:$R$201,MATCH($B896,Summary!$A$2:$A$201,0))</f>
        <v>27.69</v>
      </c>
      <c r="W896" s="0" t="str">
        <f aca="false">INDEX(Summary!$S$2:$S$201,MATCH($B896,Summary!$A$2:$A$201,0))</f>
        <v>Silver</v>
      </c>
      <c r="X896" s="2" t="n">
        <f aca="false">INDEX(Summary!$T$2:$T$201,MATCH($B896,Summary!$A$2:$A$201,0))</f>
        <v>67.54</v>
      </c>
      <c r="Y896" s="0" t="str">
        <f aca="false">INDEX('Reward Model'!$E$18:$E$37,MATCH($E896,'Reward Model'!$A$18:$A$37,0))</f>
        <v>Medium</v>
      </c>
      <c r="Z896" s="4" t="n">
        <f aca="false">ROUND(MIN(1,MAX('Reward Model'!$B$2,INDEX('Reward Model'!$C$12:$C$14,MATCH($K896,'Reward Model'!$A$12:$A$14,0))/$J896)),3)</f>
        <v>0.811</v>
      </c>
      <c r="AA896" s="2" t="n">
        <f aca="false">IF($I896="Correct",ROUND(INDEX('Reward Model'!$B$12:$B$14,MATCH($K896,'Reward Model'!$A$12:$A$14,0))*Z896,2),0)</f>
        <v>1.62</v>
      </c>
      <c r="AB896" s="2" t="n">
        <f aca="false">IF($I896="Correct",ROUND(INDEX('Reward Model'!$B$12:$B$14,MATCH($Y896,'Reward Model'!$A$12:$A$14,0))*Z896,2),0)</f>
        <v>1.62</v>
      </c>
    </row>
    <row r="897" customFormat="false" ht="15" hidden="false" customHeight="false" outlineLevel="0" collapsed="false">
      <c r="A897" s="0" t="s">
        <v>217</v>
      </c>
      <c r="B897" s="0" t="s">
        <v>218</v>
      </c>
      <c r="C897" s="0" t="s">
        <v>30</v>
      </c>
      <c r="D897" s="0" t="s">
        <v>189</v>
      </c>
      <c r="E897" s="0" t="n">
        <v>16</v>
      </c>
      <c r="F897" s="0" t="s">
        <v>71</v>
      </c>
      <c r="G897" s="0" t="s">
        <v>72</v>
      </c>
      <c r="H897" s="0" t="s">
        <v>72</v>
      </c>
      <c r="I897" s="0" t="s">
        <v>34</v>
      </c>
      <c r="J897" s="0" t="n">
        <v>2.36</v>
      </c>
      <c r="K897" s="0" t="s">
        <v>73</v>
      </c>
      <c r="L897" s="0" t="n">
        <f aca="false">INDEX(Summary!$F$2:$F$201,MATCH($B897,Summary!$A$2:$A$201,0))</f>
        <v>20</v>
      </c>
      <c r="M897" s="0" t="n">
        <f aca="false">INDEX(Summary!$I$2:$I$201,MATCH($B897,Summary!$A$2:$A$201,0))</f>
        <v>4</v>
      </c>
      <c r="N897" s="0" t="n">
        <f aca="false">INDEX(Summary!$J$2:$J$201,MATCH($B897,Summary!$A$2:$A$201,0))</f>
        <v>1</v>
      </c>
      <c r="O897" s="2" t="n">
        <f aca="false">INDEX(Summary!$K$2:$K$201,MATCH($B897,Summary!$A$2:$A$201,0))</f>
        <v>10.57</v>
      </c>
      <c r="P897" s="3" t="n">
        <f aca="false">INDEX(Summary!$L$2:$L$201,MATCH($B897,Summary!$A$2:$A$201,0))</f>
        <v>3</v>
      </c>
      <c r="Q897" s="3" t="n">
        <f aca="false">INDEX(Summary!$M$2:$M$201,MATCH($B897,Summary!$A$2:$A$201,0))</f>
        <v>3</v>
      </c>
      <c r="R897" s="2" t="n">
        <f aca="false">INDEX(Summary!$N$2:$N$201,MATCH($B897,Summary!$A$2:$A$201,0))</f>
        <v>10.08</v>
      </c>
      <c r="S897" s="3" t="n">
        <f aca="false">INDEX(Summary!$O$2:$O$201,MATCH($B897,Summary!$A$2:$A$201,0))</f>
        <v>8</v>
      </c>
      <c r="T897" s="3" t="n">
        <f aca="false">INDEX(Summary!$P$2:$P$201,MATCH($B897,Summary!$A$2:$A$201,0))</f>
        <v>1</v>
      </c>
      <c r="U897" s="2" t="n">
        <f aca="false">INDEX(Summary!$Q$2:$Q$201,MATCH($B897,Summary!$A$2:$A$201,0))</f>
        <v>13.58</v>
      </c>
      <c r="V897" s="2" t="n">
        <f aca="false">INDEX(Summary!$R$2:$R$201,MATCH($B897,Summary!$A$2:$A$201,0))</f>
        <v>27.69</v>
      </c>
      <c r="W897" s="0" t="str">
        <f aca="false">INDEX(Summary!$S$2:$S$201,MATCH($B897,Summary!$A$2:$A$201,0))</f>
        <v>Silver</v>
      </c>
      <c r="X897" s="2" t="n">
        <f aca="false">INDEX(Summary!$T$2:$T$201,MATCH($B897,Summary!$A$2:$A$201,0))</f>
        <v>67.54</v>
      </c>
      <c r="Y897" s="0" t="str">
        <f aca="false">INDEX('Reward Model'!$E$18:$E$37,MATCH($E897,'Reward Model'!$A$18:$A$37,0))</f>
        <v>High</v>
      </c>
      <c r="Z897" s="4" t="n">
        <f aca="false">ROUND(MIN(1,MAX('Reward Model'!$B$2,INDEX('Reward Model'!$C$12:$C$14,MATCH($K897,'Reward Model'!$A$12:$A$14,0))/$J897)),3)</f>
        <v>0.847</v>
      </c>
      <c r="AA897" s="2" t="n">
        <f aca="false">IF($I897="Correct",ROUND(INDEX('Reward Model'!$B$12:$B$14,MATCH($K897,'Reward Model'!$A$12:$A$14,0))*Z897,2),0)</f>
        <v>2.54</v>
      </c>
      <c r="AB897" s="2" t="n">
        <f aca="false">IF($I897="Correct",ROUND(INDEX('Reward Model'!$B$12:$B$14,MATCH($Y897,'Reward Model'!$A$12:$A$14,0))*Z897,2),0)</f>
        <v>2.54</v>
      </c>
    </row>
    <row r="898" customFormat="false" ht="15" hidden="false" customHeight="false" outlineLevel="0" collapsed="false">
      <c r="A898" s="0" t="s">
        <v>217</v>
      </c>
      <c r="B898" s="0" t="s">
        <v>218</v>
      </c>
      <c r="C898" s="0" t="s">
        <v>30</v>
      </c>
      <c r="D898" s="0" t="s">
        <v>189</v>
      </c>
      <c r="E898" s="0" t="n">
        <v>17</v>
      </c>
      <c r="F898" s="0" t="s">
        <v>74</v>
      </c>
      <c r="G898" s="0" t="s">
        <v>75</v>
      </c>
      <c r="H898" s="0" t="s">
        <v>75</v>
      </c>
      <c r="I898" s="0" t="s">
        <v>34</v>
      </c>
      <c r="J898" s="0" t="n">
        <v>2.36</v>
      </c>
      <c r="K898" s="0" t="s">
        <v>73</v>
      </c>
      <c r="L898" s="0" t="n">
        <f aca="false">INDEX(Summary!$F$2:$F$201,MATCH($B898,Summary!$A$2:$A$201,0))</f>
        <v>20</v>
      </c>
      <c r="M898" s="0" t="n">
        <f aca="false">INDEX(Summary!$I$2:$I$201,MATCH($B898,Summary!$A$2:$A$201,0))</f>
        <v>4</v>
      </c>
      <c r="N898" s="0" t="n">
        <f aca="false">INDEX(Summary!$J$2:$J$201,MATCH($B898,Summary!$A$2:$A$201,0))</f>
        <v>1</v>
      </c>
      <c r="O898" s="2" t="n">
        <f aca="false">INDEX(Summary!$K$2:$K$201,MATCH($B898,Summary!$A$2:$A$201,0))</f>
        <v>10.57</v>
      </c>
      <c r="P898" s="3" t="n">
        <f aca="false">INDEX(Summary!$L$2:$L$201,MATCH($B898,Summary!$A$2:$A$201,0))</f>
        <v>3</v>
      </c>
      <c r="Q898" s="3" t="n">
        <f aca="false">INDEX(Summary!$M$2:$M$201,MATCH($B898,Summary!$A$2:$A$201,0))</f>
        <v>3</v>
      </c>
      <c r="R898" s="2" t="n">
        <f aca="false">INDEX(Summary!$N$2:$N$201,MATCH($B898,Summary!$A$2:$A$201,0))</f>
        <v>10.08</v>
      </c>
      <c r="S898" s="3" t="n">
        <f aca="false">INDEX(Summary!$O$2:$O$201,MATCH($B898,Summary!$A$2:$A$201,0))</f>
        <v>8</v>
      </c>
      <c r="T898" s="3" t="n">
        <f aca="false">INDEX(Summary!$P$2:$P$201,MATCH($B898,Summary!$A$2:$A$201,0))</f>
        <v>1</v>
      </c>
      <c r="U898" s="2" t="n">
        <f aca="false">INDEX(Summary!$Q$2:$Q$201,MATCH($B898,Summary!$A$2:$A$201,0))</f>
        <v>13.58</v>
      </c>
      <c r="V898" s="2" t="n">
        <f aca="false">INDEX(Summary!$R$2:$R$201,MATCH($B898,Summary!$A$2:$A$201,0))</f>
        <v>27.69</v>
      </c>
      <c r="W898" s="0" t="str">
        <f aca="false">INDEX(Summary!$S$2:$S$201,MATCH($B898,Summary!$A$2:$A$201,0))</f>
        <v>Silver</v>
      </c>
      <c r="X898" s="2" t="n">
        <f aca="false">INDEX(Summary!$T$2:$T$201,MATCH($B898,Summary!$A$2:$A$201,0))</f>
        <v>67.54</v>
      </c>
      <c r="Y898" s="0" t="str">
        <f aca="false">INDEX('Reward Model'!$E$18:$E$37,MATCH($E898,'Reward Model'!$A$18:$A$37,0))</f>
        <v>High</v>
      </c>
      <c r="Z898" s="4" t="n">
        <f aca="false">ROUND(MIN(1,MAX('Reward Model'!$B$2,INDEX('Reward Model'!$C$12:$C$14,MATCH($K898,'Reward Model'!$A$12:$A$14,0))/$J898)),3)</f>
        <v>0.847</v>
      </c>
      <c r="AA898" s="2" t="n">
        <f aca="false">IF($I898="Correct",ROUND(INDEX('Reward Model'!$B$12:$B$14,MATCH($K898,'Reward Model'!$A$12:$A$14,0))*Z898,2),0)</f>
        <v>2.54</v>
      </c>
      <c r="AB898" s="2" t="n">
        <f aca="false">IF($I898="Correct",ROUND(INDEX('Reward Model'!$B$12:$B$14,MATCH($Y898,'Reward Model'!$A$12:$A$14,0))*Z898,2),0)</f>
        <v>2.54</v>
      </c>
    </row>
    <row r="899" customFormat="false" ht="15" hidden="false" customHeight="false" outlineLevel="0" collapsed="false">
      <c r="A899" s="0" t="s">
        <v>217</v>
      </c>
      <c r="B899" s="0" t="s">
        <v>218</v>
      </c>
      <c r="C899" s="0" t="s">
        <v>30</v>
      </c>
      <c r="D899" s="0" t="s">
        <v>189</v>
      </c>
      <c r="E899" s="0" t="n">
        <v>18</v>
      </c>
      <c r="F899" s="0" t="s">
        <v>76</v>
      </c>
      <c r="G899" s="0" t="s">
        <v>128</v>
      </c>
      <c r="H899" s="0" t="s">
        <v>77</v>
      </c>
      <c r="I899" s="0" t="s">
        <v>39</v>
      </c>
      <c r="J899" s="0" t="n">
        <v>2.36</v>
      </c>
      <c r="K899" s="0" t="s">
        <v>73</v>
      </c>
      <c r="L899" s="0" t="n">
        <f aca="false">INDEX(Summary!$F$2:$F$201,MATCH($B899,Summary!$A$2:$A$201,0))</f>
        <v>20</v>
      </c>
      <c r="M899" s="0" t="n">
        <f aca="false">INDEX(Summary!$I$2:$I$201,MATCH($B899,Summary!$A$2:$A$201,0))</f>
        <v>4</v>
      </c>
      <c r="N899" s="0" t="n">
        <f aca="false">INDEX(Summary!$J$2:$J$201,MATCH($B899,Summary!$A$2:$A$201,0))</f>
        <v>1</v>
      </c>
      <c r="O899" s="2" t="n">
        <f aca="false">INDEX(Summary!$K$2:$K$201,MATCH($B899,Summary!$A$2:$A$201,0))</f>
        <v>10.57</v>
      </c>
      <c r="P899" s="3" t="n">
        <f aca="false">INDEX(Summary!$L$2:$L$201,MATCH($B899,Summary!$A$2:$A$201,0))</f>
        <v>3</v>
      </c>
      <c r="Q899" s="3" t="n">
        <f aca="false">INDEX(Summary!$M$2:$M$201,MATCH($B899,Summary!$A$2:$A$201,0))</f>
        <v>3</v>
      </c>
      <c r="R899" s="2" t="n">
        <f aca="false">INDEX(Summary!$N$2:$N$201,MATCH($B899,Summary!$A$2:$A$201,0))</f>
        <v>10.08</v>
      </c>
      <c r="S899" s="3" t="n">
        <f aca="false">INDEX(Summary!$O$2:$O$201,MATCH($B899,Summary!$A$2:$A$201,0))</f>
        <v>8</v>
      </c>
      <c r="T899" s="3" t="n">
        <f aca="false">INDEX(Summary!$P$2:$P$201,MATCH($B899,Summary!$A$2:$A$201,0))</f>
        <v>1</v>
      </c>
      <c r="U899" s="2" t="n">
        <f aca="false">INDEX(Summary!$Q$2:$Q$201,MATCH($B899,Summary!$A$2:$A$201,0))</f>
        <v>13.58</v>
      </c>
      <c r="V899" s="2" t="n">
        <f aca="false">INDEX(Summary!$R$2:$R$201,MATCH($B899,Summary!$A$2:$A$201,0))</f>
        <v>27.69</v>
      </c>
      <c r="W899" s="0" t="str">
        <f aca="false">INDEX(Summary!$S$2:$S$201,MATCH($B899,Summary!$A$2:$A$201,0))</f>
        <v>Silver</v>
      </c>
      <c r="X899" s="2" t="n">
        <f aca="false">INDEX(Summary!$T$2:$T$201,MATCH($B899,Summary!$A$2:$A$201,0))</f>
        <v>67.54</v>
      </c>
      <c r="Y899" s="0" t="str">
        <f aca="false">INDEX('Reward Model'!$E$18:$E$37,MATCH($E899,'Reward Model'!$A$18:$A$37,0))</f>
        <v>High</v>
      </c>
      <c r="Z899" s="4" t="n">
        <f aca="false">ROUND(MIN(1,MAX('Reward Model'!$B$2,INDEX('Reward Model'!$C$12:$C$14,MATCH($K899,'Reward Model'!$A$12:$A$14,0))/$J899)),3)</f>
        <v>0.847</v>
      </c>
      <c r="AA899" s="2" t="n">
        <f aca="false">IF($I899="Correct",ROUND(INDEX('Reward Model'!$B$12:$B$14,MATCH($K899,'Reward Model'!$A$12:$A$14,0))*Z899,2),0)</f>
        <v>0</v>
      </c>
      <c r="AB899" s="2" t="n">
        <f aca="false">IF($I899="Correct",ROUND(INDEX('Reward Model'!$B$12:$B$14,MATCH($Y899,'Reward Model'!$A$12:$A$14,0))*Z899,2),0)</f>
        <v>0</v>
      </c>
    </row>
    <row r="900" customFormat="false" ht="15" hidden="false" customHeight="false" outlineLevel="0" collapsed="false">
      <c r="A900" s="0" t="s">
        <v>217</v>
      </c>
      <c r="B900" s="0" t="s">
        <v>218</v>
      </c>
      <c r="C900" s="0" t="s">
        <v>30</v>
      </c>
      <c r="D900" s="0" t="s">
        <v>189</v>
      </c>
      <c r="E900" s="0" t="n">
        <v>19</v>
      </c>
      <c r="F900" s="0" t="s">
        <v>78</v>
      </c>
      <c r="G900" s="0" t="s">
        <v>80</v>
      </c>
      <c r="H900" s="0" t="s">
        <v>80</v>
      </c>
      <c r="I900" s="0" t="s">
        <v>34</v>
      </c>
      <c r="J900" s="0" t="n">
        <v>1.48</v>
      </c>
      <c r="K900" s="0" t="s">
        <v>73</v>
      </c>
      <c r="L900" s="0" t="n">
        <f aca="false">INDEX(Summary!$F$2:$F$201,MATCH($B900,Summary!$A$2:$A$201,0))</f>
        <v>20</v>
      </c>
      <c r="M900" s="0" t="n">
        <f aca="false">INDEX(Summary!$I$2:$I$201,MATCH($B900,Summary!$A$2:$A$201,0))</f>
        <v>4</v>
      </c>
      <c r="N900" s="0" t="n">
        <f aca="false">INDEX(Summary!$J$2:$J$201,MATCH($B900,Summary!$A$2:$A$201,0))</f>
        <v>1</v>
      </c>
      <c r="O900" s="2" t="n">
        <f aca="false">INDEX(Summary!$K$2:$K$201,MATCH($B900,Summary!$A$2:$A$201,0))</f>
        <v>10.57</v>
      </c>
      <c r="P900" s="3" t="n">
        <f aca="false">INDEX(Summary!$L$2:$L$201,MATCH($B900,Summary!$A$2:$A$201,0))</f>
        <v>3</v>
      </c>
      <c r="Q900" s="3" t="n">
        <f aca="false">INDEX(Summary!$M$2:$M$201,MATCH($B900,Summary!$A$2:$A$201,0))</f>
        <v>3</v>
      </c>
      <c r="R900" s="2" t="n">
        <f aca="false">INDEX(Summary!$N$2:$N$201,MATCH($B900,Summary!$A$2:$A$201,0))</f>
        <v>10.08</v>
      </c>
      <c r="S900" s="3" t="n">
        <f aca="false">INDEX(Summary!$O$2:$O$201,MATCH($B900,Summary!$A$2:$A$201,0))</f>
        <v>8</v>
      </c>
      <c r="T900" s="3" t="n">
        <f aca="false">INDEX(Summary!$P$2:$P$201,MATCH($B900,Summary!$A$2:$A$201,0))</f>
        <v>1</v>
      </c>
      <c r="U900" s="2" t="n">
        <f aca="false">INDEX(Summary!$Q$2:$Q$201,MATCH($B900,Summary!$A$2:$A$201,0))</f>
        <v>13.58</v>
      </c>
      <c r="V900" s="2" t="n">
        <f aca="false">INDEX(Summary!$R$2:$R$201,MATCH($B900,Summary!$A$2:$A$201,0))</f>
        <v>27.69</v>
      </c>
      <c r="W900" s="0" t="str">
        <f aca="false">INDEX(Summary!$S$2:$S$201,MATCH($B900,Summary!$A$2:$A$201,0))</f>
        <v>Silver</v>
      </c>
      <c r="X900" s="2" t="n">
        <f aca="false">INDEX(Summary!$T$2:$T$201,MATCH($B900,Summary!$A$2:$A$201,0))</f>
        <v>67.54</v>
      </c>
      <c r="Y900" s="0" t="str">
        <f aca="false">INDEX('Reward Model'!$E$18:$E$37,MATCH($E900,'Reward Model'!$A$18:$A$37,0))</f>
        <v>High</v>
      </c>
      <c r="Z900" s="4" t="n">
        <f aca="false">ROUND(MIN(1,MAX('Reward Model'!$B$2,INDEX('Reward Model'!$C$12:$C$14,MATCH($K900,'Reward Model'!$A$12:$A$14,0))/$J900)),3)</f>
        <v>1</v>
      </c>
      <c r="AA900" s="2" t="n">
        <f aca="false">IF($I900="Correct",ROUND(INDEX('Reward Model'!$B$12:$B$14,MATCH($K900,'Reward Model'!$A$12:$A$14,0))*Z900,2),0)</f>
        <v>3</v>
      </c>
      <c r="AB900" s="2" t="n">
        <f aca="false">IF($I900="Correct",ROUND(INDEX('Reward Model'!$B$12:$B$14,MATCH($Y900,'Reward Model'!$A$12:$A$14,0))*Z900,2),0)</f>
        <v>3</v>
      </c>
    </row>
    <row r="901" customFormat="false" ht="15" hidden="false" customHeight="false" outlineLevel="0" collapsed="false">
      <c r="A901" s="0" t="s">
        <v>217</v>
      </c>
      <c r="B901" s="0" t="s">
        <v>218</v>
      </c>
      <c r="C901" s="0" t="s">
        <v>30</v>
      </c>
      <c r="D901" s="0" t="s">
        <v>189</v>
      </c>
      <c r="E901" s="0" t="n">
        <v>20</v>
      </c>
      <c r="F901" s="0" t="s">
        <v>81</v>
      </c>
      <c r="G901" s="0" t="s">
        <v>83</v>
      </c>
      <c r="H901" s="0" t="s">
        <v>83</v>
      </c>
      <c r="I901" s="0" t="s">
        <v>34</v>
      </c>
      <c r="J901" s="0" t="n">
        <v>2.01</v>
      </c>
      <c r="K901" s="0" t="s">
        <v>73</v>
      </c>
      <c r="L901" s="0" t="n">
        <f aca="false">INDEX(Summary!$F$2:$F$201,MATCH($B901,Summary!$A$2:$A$201,0))</f>
        <v>20</v>
      </c>
      <c r="M901" s="0" t="n">
        <f aca="false">INDEX(Summary!$I$2:$I$201,MATCH($B901,Summary!$A$2:$A$201,0))</f>
        <v>4</v>
      </c>
      <c r="N901" s="0" t="n">
        <f aca="false">INDEX(Summary!$J$2:$J$201,MATCH($B901,Summary!$A$2:$A$201,0))</f>
        <v>1</v>
      </c>
      <c r="O901" s="2" t="n">
        <f aca="false">INDEX(Summary!$K$2:$K$201,MATCH($B901,Summary!$A$2:$A$201,0))</f>
        <v>10.57</v>
      </c>
      <c r="P901" s="3" t="n">
        <f aca="false">INDEX(Summary!$L$2:$L$201,MATCH($B901,Summary!$A$2:$A$201,0))</f>
        <v>3</v>
      </c>
      <c r="Q901" s="3" t="n">
        <f aca="false">INDEX(Summary!$M$2:$M$201,MATCH($B901,Summary!$A$2:$A$201,0))</f>
        <v>3</v>
      </c>
      <c r="R901" s="2" t="n">
        <f aca="false">INDEX(Summary!$N$2:$N$201,MATCH($B901,Summary!$A$2:$A$201,0))</f>
        <v>10.08</v>
      </c>
      <c r="S901" s="3" t="n">
        <f aca="false">INDEX(Summary!$O$2:$O$201,MATCH($B901,Summary!$A$2:$A$201,0))</f>
        <v>8</v>
      </c>
      <c r="T901" s="3" t="n">
        <f aca="false">INDEX(Summary!$P$2:$P$201,MATCH($B901,Summary!$A$2:$A$201,0))</f>
        <v>1</v>
      </c>
      <c r="U901" s="2" t="n">
        <f aca="false">INDEX(Summary!$Q$2:$Q$201,MATCH($B901,Summary!$A$2:$A$201,0))</f>
        <v>13.58</v>
      </c>
      <c r="V901" s="2" t="n">
        <f aca="false">INDEX(Summary!$R$2:$R$201,MATCH($B901,Summary!$A$2:$A$201,0))</f>
        <v>27.69</v>
      </c>
      <c r="W901" s="0" t="str">
        <f aca="false">INDEX(Summary!$S$2:$S$201,MATCH($B901,Summary!$A$2:$A$201,0))</f>
        <v>Silver</v>
      </c>
      <c r="X901" s="2" t="n">
        <f aca="false">INDEX(Summary!$T$2:$T$201,MATCH($B901,Summary!$A$2:$A$201,0))</f>
        <v>67.54</v>
      </c>
      <c r="Y901" s="0" t="str">
        <f aca="false">INDEX('Reward Model'!$E$18:$E$37,MATCH($E901,'Reward Model'!$A$18:$A$37,0))</f>
        <v>High</v>
      </c>
      <c r="Z901" s="4" t="n">
        <f aca="false">ROUND(MIN(1,MAX('Reward Model'!$B$2,INDEX('Reward Model'!$C$12:$C$14,MATCH($K901,'Reward Model'!$A$12:$A$14,0))/$J901)),3)</f>
        <v>0.995</v>
      </c>
      <c r="AA901" s="2" t="n">
        <f aca="false">IF($I901="Correct",ROUND(INDEX('Reward Model'!$B$12:$B$14,MATCH($K901,'Reward Model'!$A$12:$A$14,0))*Z901,2),0)</f>
        <v>2.99</v>
      </c>
      <c r="AB901" s="2" t="n">
        <f aca="false">IF($I901="Correct",ROUND(INDEX('Reward Model'!$B$12:$B$14,MATCH($Y901,'Reward Model'!$A$12:$A$14,0))*Z901,2),0)</f>
        <v>2.99</v>
      </c>
    </row>
    <row r="902" customFormat="false" ht="15" hidden="false" customHeight="false" outlineLevel="0" collapsed="false">
      <c r="A902" s="0" t="s">
        <v>219</v>
      </c>
      <c r="B902" s="0" t="s">
        <v>220</v>
      </c>
      <c r="C902" s="0" t="s">
        <v>30</v>
      </c>
      <c r="D902" s="0" t="s">
        <v>189</v>
      </c>
      <c r="E902" s="0" t="n">
        <v>1</v>
      </c>
      <c r="F902" s="0" t="s">
        <v>32</v>
      </c>
      <c r="G902" s="0" t="s">
        <v>122</v>
      </c>
      <c r="H902" s="0" t="s">
        <v>33</v>
      </c>
      <c r="I902" s="0" t="s">
        <v>39</v>
      </c>
      <c r="J902" s="0" t="n">
        <v>1.68</v>
      </c>
      <c r="K902" s="0" t="s">
        <v>35</v>
      </c>
      <c r="L902" s="0" t="n">
        <f aca="false">INDEX(Summary!$F$2:$F$201,MATCH($B902,Summary!$A$2:$A$201,0))</f>
        <v>20</v>
      </c>
      <c r="M902" s="0" t="n">
        <f aca="false">INDEX(Summary!$I$2:$I$201,MATCH($B902,Summary!$A$2:$A$201,0))</f>
        <v>3</v>
      </c>
      <c r="N902" s="0" t="n">
        <f aca="false">INDEX(Summary!$J$2:$J$201,MATCH($B902,Summary!$A$2:$A$201,0))</f>
        <v>2</v>
      </c>
      <c r="O902" s="2" t="n">
        <f aca="false">INDEX(Summary!$K$2:$K$201,MATCH($B902,Summary!$A$2:$A$201,0))</f>
        <v>10.77</v>
      </c>
      <c r="P902" s="3" t="n">
        <f aca="false">INDEX(Summary!$L$2:$L$201,MATCH($B902,Summary!$A$2:$A$201,0))</f>
        <v>4</v>
      </c>
      <c r="Q902" s="3" t="n">
        <f aca="false">INDEX(Summary!$M$2:$M$201,MATCH($B902,Summary!$A$2:$A$201,0))</f>
        <v>2</v>
      </c>
      <c r="R902" s="2" t="n">
        <f aca="false">INDEX(Summary!$N$2:$N$201,MATCH($B902,Summary!$A$2:$A$201,0))</f>
        <v>10.72</v>
      </c>
      <c r="S902" s="3" t="n">
        <f aca="false">INDEX(Summary!$O$2:$O$201,MATCH($B902,Summary!$A$2:$A$201,0))</f>
        <v>7</v>
      </c>
      <c r="T902" s="3" t="n">
        <f aca="false">INDEX(Summary!$P$2:$P$201,MATCH($B902,Summary!$A$2:$A$201,0))</f>
        <v>2</v>
      </c>
      <c r="U902" s="2" t="n">
        <f aca="false">INDEX(Summary!$Q$2:$Q$201,MATCH($B902,Summary!$A$2:$A$201,0))</f>
        <v>13.66</v>
      </c>
      <c r="V902" s="2" t="n">
        <f aca="false">INDEX(Summary!$R$2:$R$201,MATCH($B902,Summary!$A$2:$A$201,0))</f>
        <v>25.43</v>
      </c>
      <c r="W902" s="0" t="str">
        <f aca="false">INDEX(Summary!$S$2:$S$201,MATCH($B902,Summary!$A$2:$A$201,0))</f>
        <v>Silver</v>
      </c>
      <c r="X902" s="2" t="n">
        <f aca="false">INDEX(Summary!$T$2:$T$201,MATCH($B902,Summary!$A$2:$A$201,0))</f>
        <v>62.02</v>
      </c>
      <c r="Y902" s="0" t="str">
        <f aca="false">INDEX('Reward Model'!$E$18:$E$37,MATCH($E902,'Reward Model'!$A$18:$A$37,0))</f>
        <v>Medium</v>
      </c>
      <c r="Z902" s="4" t="n">
        <f aca="false">ROUND(MIN(1,MAX('Reward Model'!$B$2,INDEX('Reward Model'!$C$12:$C$14,MATCH($K902,'Reward Model'!$A$12:$A$14,0))/$J902)),3)</f>
        <v>0.893</v>
      </c>
      <c r="AA902" s="2" t="n">
        <f aca="false">IF($I902="Correct",ROUND(INDEX('Reward Model'!$B$12:$B$14,MATCH($K902,'Reward Model'!$A$12:$A$14,0))*Z902,2),0)</f>
        <v>0</v>
      </c>
      <c r="AB902" s="2" t="n">
        <f aca="false">IF($I902="Correct",ROUND(INDEX('Reward Model'!$B$12:$B$14,MATCH($Y902,'Reward Model'!$A$12:$A$14,0))*Z902,2),0)</f>
        <v>0</v>
      </c>
    </row>
    <row r="903" customFormat="false" ht="15" hidden="false" customHeight="false" outlineLevel="0" collapsed="false">
      <c r="A903" s="0" t="s">
        <v>219</v>
      </c>
      <c r="B903" s="0" t="s">
        <v>220</v>
      </c>
      <c r="C903" s="0" t="s">
        <v>30</v>
      </c>
      <c r="D903" s="0" t="s">
        <v>189</v>
      </c>
      <c r="E903" s="0" t="n">
        <v>2</v>
      </c>
      <c r="F903" s="0" t="s">
        <v>36</v>
      </c>
      <c r="G903" s="0" t="s">
        <v>38</v>
      </c>
      <c r="H903" s="0" t="s">
        <v>38</v>
      </c>
      <c r="I903" s="0" t="s">
        <v>34</v>
      </c>
      <c r="J903" s="0" t="n">
        <v>1.6</v>
      </c>
      <c r="K903" s="0" t="s">
        <v>35</v>
      </c>
      <c r="L903" s="0" t="n">
        <f aca="false">INDEX(Summary!$F$2:$F$201,MATCH($B903,Summary!$A$2:$A$201,0))</f>
        <v>20</v>
      </c>
      <c r="M903" s="0" t="n">
        <f aca="false">INDEX(Summary!$I$2:$I$201,MATCH($B903,Summary!$A$2:$A$201,0))</f>
        <v>3</v>
      </c>
      <c r="N903" s="0" t="n">
        <f aca="false">INDEX(Summary!$J$2:$J$201,MATCH($B903,Summary!$A$2:$A$201,0))</f>
        <v>2</v>
      </c>
      <c r="O903" s="2" t="n">
        <f aca="false">INDEX(Summary!$K$2:$K$201,MATCH($B903,Summary!$A$2:$A$201,0))</f>
        <v>10.77</v>
      </c>
      <c r="P903" s="3" t="n">
        <f aca="false">INDEX(Summary!$L$2:$L$201,MATCH($B903,Summary!$A$2:$A$201,0))</f>
        <v>4</v>
      </c>
      <c r="Q903" s="3" t="n">
        <f aca="false">INDEX(Summary!$M$2:$M$201,MATCH($B903,Summary!$A$2:$A$201,0))</f>
        <v>2</v>
      </c>
      <c r="R903" s="2" t="n">
        <f aca="false">INDEX(Summary!$N$2:$N$201,MATCH($B903,Summary!$A$2:$A$201,0))</f>
        <v>10.72</v>
      </c>
      <c r="S903" s="3" t="n">
        <f aca="false">INDEX(Summary!$O$2:$O$201,MATCH($B903,Summary!$A$2:$A$201,0))</f>
        <v>7</v>
      </c>
      <c r="T903" s="3" t="n">
        <f aca="false">INDEX(Summary!$P$2:$P$201,MATCH($B903,Summary!$A$2:$A$201,0))</f>
        <v>2</v>
      </c>
      <c r="U903" s="2" t="n">
        <f aca="false">INDEX(Summary!$Q$2:$Q$201,MATCH($B903,Summary!$A$2:$A$201,0))</f>
        <v>13.66</v>
      </c>
      <c r="V903" s="2" t="n">
        <f aca="false">INDEX(Summary!$R$2:$R$201,MATCH($B903,Summary!$A$2:$A$201,0))</f>
        <v>25.43</v>
      </c>
      <c r="W903" s="0" t="str">
        <f aca="false">INDEX(Summary!$S$2:$S$201,MATCH($B903,Summary!$A$2:$A$201,0))</f>
        <v>Silver</v>
      </c>
      <c r="X903" s="2" t="n">
        <f aca="false">INDEX(Summary!$T$2:$T$201,MATCH($B903,Summary!$A$2:$A$201,0))</f>
        <v>62.02</v>
      </c>
      <c r="Y903" s="0" t="str">
        <f aca="false">INDEX('Reward Model'!$E$18:$E$37,MATCH($E903,'Reward Model'!$A$18:$A$37,0))</f>
        <v>Low</v>
      </c>
      <c r="Z903" s="4" t="n">
        <f aca="false">ROUND(MIN(1,MAX('Reward Model'!$B$2,INDEX('Reward Model'!$C$12:$C$14,MATCH($K903,'Reward Model'!$A$12:$A$14,0))/$J903)),3)</f>
        <v>0.938</v>
      </c>
      <c r="AA903" s="2" t="n">
        <f aca="false">IF($I903="Correct",ROUND(INDEX('Reward Model'!$B$12:$B$14,MATCH($K903,'Reward Model'!$A$12:$A$14,0))*Z903,2),0)</f>
        <v>0.94</v>
      </c>
      <c r="AB903" s="2" t="n">
        <f aca="false">IF($I903="Correct",ROUND(INDEX('Reward Model'!$B$12:$B$14,MATCH($Y903,'Reward Model'!$A$12:$A$14,0))*Z903,2),0)</f>
        <v>0.94</v>
      </c>
    </row>
    <row r="904" customFormat="false" ht="15" hidden="false" customHeight="false" outlineLevel="0" collapsed="false">
      <c r="A904" s="0" t="s">
        <v>219</v>
      </c>
      <c r="B904" s="0" t="s">
        <v>220</v>
      </c>
      <c r="C904" s="0" t="s">
        <v>30</v>
      </c>
      <c r="D904" s="0" t="s">
        <v>189</v>
      </c>
      <c r="E904" s="0" t="n">
        <v>3</v>
      </c>
      <c r="F904" s="0" t="s">
        <v>40</v>
      </c>
      <c r="G904" s="0" t="s">
        <v>42</v>
      </c>
      <c r="H904" s="0" t="s">
        <v>42</v>
      </c>
      <c r="I904" s="0" t="s">
        <v>34</v>
      </c>
      <c r="J904" s="0" t="n">
        <v>1.33</v>
      </c>
      <c r="K904" s="0" t="s">
        <v>35</v>
      </c>
      <c r="L904" s="0" t="n">
        <f aca="false">INDEX(Summary!$F$2:$F$201,MATCH($B904,Summary!$A$2:$A$201,0))</f>
        <v>20</v>
      </c>
      <c r="M904" s="0" t="n">
        <f aca="false">INDEX(Summary!$I$2:$I$201,MATCH($B904,Summary!$A$2:$A$201,0))</f>
        <v>3</v>
      </c>
      <c r="N904" s="0" t="n">
        <f aca="false">INDEX(Summary!$J$2:$J$201,MATCH($B904,Summary!$A$2:$A$201,0))</f>
        <v>2</v>
      </c>
      <c r="O904" s="2" t="n">
        <f aca="false">INDEX(Summary!$K$2:$K$201,MATCH($B904,Summary!$A$2:$A$201,0))</f>
        <v>10.77</v>
      </c>
      <c r="P904" s="3" t="n">
        <f aca="false">INDEX(Summary!$L$2:$L$201,MATCH($B904,Summary!$A$2:$A$201,0))</f>
        <v>4</v>
      </c>
      <c r="Q904" s="3" t="n">
        <f aca="false">INDEX(Summary!$M$2:$M$201,MATCH($B904,Summary!$A$2:$A$201,0))</f>
        <v>2</v>
      </c>
      <c r="R904" s="2" t="n">
        <f aca="false">INDEX(Summary!$N$2:$N$201,MATCH($B904,Summary!$A$2:$A$201,0))</f>
        <v>10.72</v>
      </c>
      <c r="S904" s="3" t="n">
        <f aca="false">INDEX(Summary!$O$2:$O$201,MATCH($B904,Summary!$A$2:$A$201,0))</f>
        <v>7</v>
      </c>
      <c r="T904" s="3" t="n">
        <f aca="false">INDEX(Summary!$P$2:$P$201,MATCH($B904,Summary!$A$2:$A$201,0))</f>
        <v>2</v>
      </c>
      <c r="U904" s="2" t="n">
        <f aca="false">INDEX(Summary!$Q$2:$Q$201,MATCH($B904,Summary!$A$2:$A$201,0))</f>
        <v>13.66</v>
      </c>
      <c r="V904" s="2" t="n">
        <f aca="false">INDEX(Summary!$R$2:$R$201,MATCH($B904,Summary!$A$2:$A$201,0))</f>
        <v>25.43</v>
      </c>
      <c r="W904" s="0" t="str">
        <f aca="false">INDEX(Summary!$S$2:$S$201,MATCH($B904,Summary!$A$2:$A$201,0))</f>
        <v>Silver</v>
      </c>
      <c r="X904" s="2" t="n">
        <f aca="false">INDEX(Summary!$T$2:$T$201,MATCH($B904,Summary!$A$2:$A$201,0))</f>
        <v>62.02</v>
      </c>
      <c r="Y904" s="0" t="str">
        <f aca="false">INDEX('Reward Model'!$E$18:$E$37,MATCH($E904,'Reward Model'!$A$18:$A$37,0))</f>
        <v>Medium</v>
      </c>
      <c r="Z904" s="4" t="n">
        <f aca="false">ROUND(MIN(1,MAX('Reward Model'!$B$2,INDEX('Reward Model'!$C$12:$C$14,MATCH($K904,'Reward Model'!$A$12:$A$14,0))/$J904)),3)</f>
        <v>1</v>
      </c>
      <c r="AA904" s="2" t="n">
        <f aca="false">IF($I904="Correct",ROUND(INDEX('Reward Model'!$B$12:$B$14,MATCH($K904,'Reward Model'!$A$12:$A$14,0))*Z904,2),0)</f>
        <v>1</v>
      </c>
      <c r="AB904" s="2" t="n">
        <f aca="false">IF($I904="Correct",ROUND(INDEX('Reward Model'!$B$12:$B$14,MATCH($Y904,'Reward Model'!$A$12:$A$14,0))*Z904,2),0)</f>
        <v>2</v>
      </c>
    </row>
    <row r="905" customFormat="false" ht="15" hidden="false" customHeight="false" outlineLevel="0" collapsed="false">
      <c r="A905" s="0" t="s">
        <v>219</v>
      </c>
      <c r="B905" s="0" t="s">
        <v>220</v>
      </c>
      <c r="C905" s="0" t="s">
        <v>30</v>
      </c>
      <c r="D905" s="0" t="s">
        <v>189</v>
      </c>
      <c r="E905" s="0" t="n">
        <v>4</v>
      </c>
      <c r="F905" s="0" t="s">
        <v>43</v>
      </c>
      <c r="G905" s="0" t="s">
        <v>45</v>
      </c>
      <c r="H905" s="0" t="s">
        <v>45</v>
      </c>
      <c r="I905" s="0" t="s">
        <v>34</v>
      </c>
      <c r="J905" s="0" t="n">
        <v>1.88</v>
      </c>
      <c r="K905" s="0" t="s">
        <v>35</v>
      </c>
      <c r="L905" s="0" t="n">
        <f aca="false">INDEX(Summary!$F$2:$F$201,MATCH($B905,Summary!$A$2:$A$201,0))</f>
        <v>20</v>
      </c>
      <c r="M905" s="0" t="n">
        <f aca="false">INDEX(Summary!$I$2:$I$201,MATCH($B905,Summary!$A$2:$A$201,0))</f>
        <v>3</v>
      </c>
      <c r="N905" s="0" t="n">
        <f aca="false">INDEX(Summary!$J$2:$J$201,MATCH($B905,Summary!$A$2:$A$201,0))</f>
        <v>2</v>
      </c>
      <c r="O905" s="2" t="n">
        <f aca="false">INDEX(Summary!$K$2:$K$201,MATCH($B905,Summary!$A$2:$A$201,0))</f>
        <v>10.77</v>
      </c>
      <c r="P905" s="3" t="n">
        <f aca="false">INDEX(Summary!$L$2:$L$201,MATCH($B905,Summary!$A$2:$A$201,0))</f>
        <v>4</v>
      </c>
      <c r="Q905" s="3" t="n">
        <f aca="false">INDEX(Summary!$M$2:$M$201,MATCH($B905,Summary!$A$2:$A$201,0))</f>
        <v>2</v>
      </c>
      <c r="R905" s="2" t="n">
        <f aca="false">INDEX(Summary!$N$2:$N$201,MATCH($B905,Summary!$A$2:$A$201,0))</f>
        <v>10.72</v>
      </c>
      <c r="S905" s="3" t="n">
        <f aca="false">INDEX(Summary!$O$2:$O$201,MATCH($B905,Summary!$A$2:$A$201,0))</f>
        <v>7</v>
      </c>
      <c r="T905" s="3" t="n">
        <f aca="false">INDEX(Summary!$P$2:$P$201,MATCH($B905,Summary!$A$2:$A$201,0))</f>
        <v>2</v>
      </c>
      <c r="U905" s="2" t="n">
        <f aca="false">INDEX(Summary!$Q$2:$Q$201,MATCH($B905,Summary!$A$2:$A$201,0))</f>
        <v>13.66</v>
      </c>
      <c r="V905" s="2" t="n">
        <f aca="false">INDEX(Summary!$R$2:$R$201,MATCH($B905,Summary!$A$2:$A$201,0))</f>
        <v>25.43</v>
      </c>
      <c r="W905" s="0" t="str">
        <f aca="false">INDEX(Summary!$S$2:$S$201,MATCH($B905,Summary!$A$2:$A$201,0))</f>
        <v>Silver</v>
      </c>
      <c r="X905" s="2" t="n">
        <f aca="false">INDEX(Summary!$T$2:$T$201,MATCH($B905,Summary!$A$2:$A$201,0))</f>
        <v>62.02</v>
      </c>
      <c r="Y905" s="0" t="str">
        <f aca="false">INDEX('Reward Model'!$E$18:$E$37,MATCH($E905,'Reward Model'!$A$18:$A$37,0))</f>
        <v>Low</v>
      </c>
      <c r="Z905" s="4" t="n">
        <f aca="false">ROUND(MIN(1,MAX('Reward Model'!$B$2,INDEX('Reward Model'!$C$12:$C$14,MATCH($K905,'Reward Model'!$A$12:$A$14,0))/$J905)),3)</f>
        <v>0.798</v>
      </c>
      <c r="AA905" s="2" t="n">
        <f aca="false">IF($I905="Correct",ROUND(INDEX('Reward Model'!$B$12:$B$14,MATCH($K905,'Reward Model'!$A$12:$A$14,0))*Z905,2),0)</f>
        <v>0.8</v>
      </c>
      <c r="AB905" s="2" t="n">
        <f aca="false">IF($I905="Correct",ROUND(INDEX('Reward Model'!$B$12:$B$14,MATCH($Y905,'Reward Model'!$A$12:$A$14,0))*Z905,2),0)</f>
        <v>0.8</v>
      </c>
    </row>
    <row r="906" customFormat="false" ht="15" hidden="false" customHeight="false" outlineLevel="0" collapsed="false">
      <c r="A906" s="0" t="s">
        <v>219</v>
      </c>
      <c r="B906" s="0" t="s">
        <v>220</v>
      </c>
      <c r="C906" s="0" t="s">
        <v>30</v>
      </c>
      <c r="D906" s="0" t="s">
        <v>189</v>
      </c>
      <c r="E906" s="0" t="n">
        <v>5</v>
      </c>
      <c r="F906" s="0" t="s">
        <v>46</v>
      </c>
      <c r="G906" s="0" t="s">
        <v>47</v>
      </c>
      <c r="H906" s="0" t="s">
        <v>47</v>
      </c>
      <c r="I906" s="0" t="s">
        <v>34</v>
      </c>
      <c r="J906" s="0" t="n">
        <v>0.99</v>
      </c>
      <c r="K906" s="0" t="s">
        <v>35</v>
      </c>
      <c r="L906" s="0" t="n">
        <f aca="false">INDEX(Summary!$F$2:$F$201,MATCH($B906,Summary!$A$2:$A$201,0))</f>
        <v>20</v>
      </c>
      <c r="M906" s="0" t="n">
        <f aca="false">INDEX(Summary!$I$2:$I$201,MATCH($B906,Summary!$A$2:$A$201,0))</f>
        <v>3</v>
      </c>
      <c r="N906" s="0" t="n">
        <f aca="false">INDEX(Summary!$J$2:$J$201,MATCH($B906,Summary!$A$2:$A$201,0))</f>
        <v>2</v>
      </c>
      <c r="O906" s="2" t="n">
        <f aca="false">INDEX(Summary!$K$2:$K$201,MATCH($B906,Summary!$A$2:$A$201,0))</f>
        <v>10.77</v>
      </c>
      <c r="P906" s="3" t="n">
        <f aca="false">INDEX(Summary!$L$2:$L$201,MATCH($B906,Summary!$A$2:$A$201,0))</f>
        <v>4</v>
      </c>
      <c r="Q906" s="3" t="n">
        <f aca="false">INDEX(Summary!$M$2:$M$201,MATCH($B906,Summary!$A$2:$A$201,0))</f>
        <v>2</v>
      </c>
      <c r="R906" s="2" t="n">
        <f aca="false">INDEX(Summary!$N$2:$N$201,MATCH($B906,Summary!$A$2:$A$201,0))</f>
        <v>10.72</v>
      </c>
      <c r="S906" s="3" t="n">
        <f aca="false">INDEX(Summary!$O$2:$O$201,MATCH($B906,Summary!$A$2:$A$201,0))</f>
        <v>7</v>
      </c>
      <c r="T906" s="3" t="n">
        <f aca="false">INDEX(Summary!$P$2:$P$201,MATCH($B906,Summary!$A$2:$A$201,0))</f>
        <v>2</v>
      </c>
      <c r="U906" s="2" t="n">
        <f aca="false">INDEX(Summary!$Q$2:$Q$201,MATCH($B906,Summary!$A$2:$A$201,0))</f>
        <v>13.66</v>
      </c>
      <c r="V906" s="2" t="n">
        <f aca="false">INDEX(Summary!$R$2:$R$201,MATCH($B906,Summary!$A$2:$A$201,0))</f>
        <v>25.43</v>
      </c>
      <c r="W906" s="0" t="str">
        <f aca="false">INDEX(Summary!$S$2:$S$201,MATCH($B906,Summary!$A$2:$A$201,0))</f>
        <v>Silver</v>
      </c>
      <c r="X906" s="2" t="n">
        <f aca="false">INDEX(Summary!$T$2:$T$201,MATCH($B906,Summary!$A$2:$A$201,0))</f>
        <v>62.02</v>
      </c>
      <c r="Y906" s="0" t="str">
        <f aca="false">INDEX('Reward Model'!$E$18:$E$37,MATCH($E906,'Reward Model'!$A$18:$A$37,0))</f>
        <v>Low</v>
      </c>
      <c r="Z906" s="4" t="n">
        <f aca="false">ROUND(MIN(1,MAX('Reward Model'!$B$2,INDEX('Reward Model'!$C$12:$C$14,MATCH($K906,'Reward Model'!$A$12:$A$14,0))/$J906)),3)</f>
        <v>1</v>
      </c>
      <c r="AA906" s="2" t="n">
        <f aca="false">IF($I906="Correct",ROUND(INDEX('Reward Model'!$B$12:$B$14,MATCH($K906,'Reward Model'!$A$12:$A$14,0))*Z906,2),0)</f>
        <v>1</v>
      </c>
      <c r="AB906" s="2" t="n">
        <f aca="false">IF($I906="Correct",ROUND(INDEX('Reward Model'!$B$12:$B$14,MATCH($Y906,'Reward Model'!$A$12:$A$14,0))*Z906,2),0)</f>
        <v>1</v>
      </c>
    </row>
    <row r="907" customFormat="false" ht="15" hidden="false" customHeight="false" outlineLevel="0" collapsed="false">
      <c r="A907" s="0" t="s">
        <v>219</v>
      </c>
      <c r="B907" s="0" t="s">
        <v>220</v>
      </c>
      <c r="C907" s="0" t="s">
        <v>30</v>
      </c>
      <c r="D907" s="0" t="s">
        <v>189</v>
      </c>
      <c r="E907" s="0" t="n">
        <v>6</v>
      </c>
      <c r="F907" s="0" t="s">
        <v>48</v>
      </c>
      <c r="G907" s="0" t="s">
        <v>116</v>
      </c>
      <c r="H907" s="0" t="s">
        <v>49</v>
      </c>
      <c r="I907" s="0" t="s">
        <v>39</v>
      </c>
      <c r="J907" s="0" t="n">
        <v>1.65</v>
      </c>
      <c r="K907" s="0" t="s">
        <v>35</v>
      </c>
      <c r="L907" s="0" t="n">
        <f aca="false">INDEX(Summary!$F$2:$F$201,MATCH($B907,Summary!$A$2:$A$201,0))</f>
        <v>20</v>
      </c>
      <c r="M907" s="0" t="n">
        <f aca="false">INDEX(Summary!$I$2:$I$201,MATCH($B907,Summary!$A$2:$A$201,0))</f>
        <v>3</v>
      </c>
      <c r="N907" s="0" t="n">
        <f aca="false">INDEX(Summary!$J$2:$J$201,MATCH($B907,Summary!$A$2:$A$201,0))</f>
        <v>2</v>
      </c>
      <c r="O907" s="2" t="n">
        <f aca="false">INDEX(Summary!$K$2:$K$201,MATCH($B907,Summary!$A$2:$A$201,0))</f>
        <v>10.77</v>
      </c>
      <c r="P907" s="3" t="n">
        <f aca="false">INDEX(Summary!$L$2:$L$201,MATCH($B907,Summary!$A$2:$A$201,0))</f>
        <v>4</v>
      </c>
      <c r="Q907" s="3" t="n">
        <f aca="false">INDEX(Summary!$M$2:$M$201,MATCH($B907,Summary!$A$2:$A$201,0))</f>
        <v>2</v>
      </c>
      <c r="R907" s="2" t="n">
        <f aca="false">INDEX(Summary!$N$2:$N$201,MATCH($B907,Summary!$A$2:$A$201,0))</f>
        <v>10.72</v>
      </c>
      <c r="S907" s="3" t="n">
        <f aca="false">INDEX(Summary!$O$2:$O$201,MATCH($B907,Summary!$A$2:$A$201,0))</f>
        <v>7</v>
      </c>
      <c r="T907" s="3" t="n">
        <f aca="false">INDEX(Summary!$P$2:$P$201,MATCH($B907,Summary!$A$2:$A$201,0))</f>
        <v>2</v>
      </c>
      <c r="U907" s="2" t="n">
        <f aca="false">INDEX(Summary!$Q$2:$Q$201,MATCH($B907,Summary!$A$2:$A$201,0))</f>
        <v>13.66</v>
      </c>
      <c r="V907" s="2" t="n">
        <f aca="false">INDEX(Summary!$R$2:$R$201,MATCH($B907,Summary!$A$2:$A$201,0))</f>
        <v>25.43</v>
      </c>
      <c r="W907" s="0" t="str">
        <f aca="false">INDEX(Summary!$S$2:$S$201,MATCH($B907,Summary!$A$2:$A$201,0))</f>
        <v>Silver</v>
      </c>
      <c r="X907" s="2" t="n">
        <f aca="false">INDEX(Summary!$T$2:$T$201,MATCH($B907,Summary!$A$2:$A$201,0))</f>
        <v>62.02</v>
      </c>
      <c r="Y907" s="0" t="str">
        <f aca="false">INDEX('Reward Model'!$E$18:$E$37,MATCH($E907,'Reward Model'!$A$18:$A$37,0))</f>
        <v>Medium</v>
      </c>
      <c r="Z907" s="4" t="n">
        <f aca="false">ROUND(MIN(1,MAX('Reward Model'!$B$2,INDEX('Reward Model'!$C$12:$C$14,MATCH($K907,'Reward Model'!$A$12:$A$14,0))/$J907)),3)</f>
        <v>0.909</v>
      </c>
      <c r="AA907" s="2" t="n">
        <f aca="false">IF($I907="Correct",ROUND(INDEX('Reward Model'!$B$12:$B$14,MATCH($K907,'Reward Model'!$A$12:$A$14,0))*Z907,2),0)</f>
        <v>0</v>
      </c>
      <c r="AB907" s="2" t="n">
        <f aca="false">IF($I907="Correct",ROUND(INDEX('Reward Model'!$B$12:$B$14,MATCH($Y907,'Reward Model'!$A$12:$A$14,0))*Z907,2),0)</f>
        <v>0</v>
      </c>
    </row>
    <row r="908" customFormat="false" ht="15" hidden="false" customHeight="false" outlineLevel="0" collapsed="false">
      <c r="A908" s="0" t="s">
        <v>219</v>
      </c>
      <c r="B908" s="0" t="s">
        <v>220</v>
      </c>
      <c r="C908" s="0" t="s">
        <v>30</v>
      </c>
      <c r="D908" s="0" t="s">
        <v>189</v>
      </c>
      <c r="E908" s="0" t="n">
        <v>7</v>
      </c>
      <c r="F908" s="0" t="s">
        <v>50</v>
      </c>
      <c r="G908" s="0" t="s">
        <v>51</v>
      </c>
      <c r="H908" s="0" t="s">
        <v>51</v>
      </c>
      <c r="I908" s="0" t="s">
        <v>34</v>
      </c>
      <c r="J908" s="0" t="n">
        <v>1.87</v>
      </c>
      <c r="K908" s="0" t="s">
        <v>35</v>
      </c>
      <c r="L908" s="0" t="n">
        <f aca="false">INDEX(Summary!$F$2:$F$201,MATCH($B908,Summary!$A$2:$A$201,0))</f>
        <v>20</v>
      </c>
      <c r="M908" s="0" t="n">
        <f aca="false">INDEX(Summary!$I$2:$I$201,MATCH($B908,Summary!$A$2:$A$201,0))</f>
        <v>3</v>
      </c>
      <c r="N908" s="0" t="n">
        <f aca="false">INDEX(Summary!$J$2:$J$201,MATCH($B908,Summary!$A$2:$A$201,0))</f>
        <v>2</v>
      </c>
      <c r="O908" s="2" t="n">
        <f aca="false">INDEX(Summary!$K$2:$K$201,MATCH($B908,Summary!$A$2:$A$201,0))</f>
        <v>10.77</v>
      </c>
      <c r="P908" s="3" t="n">
        <f aca="false">INDEX(Summary!$L$2:$L$201,MATCH($B908,Summary!$A$2:$A$201,0))</f>
        <v>4</v>
      </c>
      <c r="Q908" s="3" t="n">
        <f aca="false">INDEX(Summary!$M$2:$M$201,MATCH($B908,Summary!$A$2:$A$201,0))</f>
        <v>2</v>
      </c>
      <c r="R908" s="2" t="n">
        <f aca="false">INDEX(Summary!$N$2:$N$201,MATCH($B908,Summary!$A$2:$A$201,0))</f>
        <v>10.72</v>
      </c>
      <c r="S908" s="3" t="n">
        <f aca="false">INDEX(Summary!$O$2:$O$201,MATCH($B908,Summary!$A$2:$A$201,0))</f>
        <v>7</v>
      </c>
      <c r="T908" s="3" t="n">
        <f aca="false">INDEX(Summary!$P$2:$P$201,MATCH($B908,Summary!$A$2:$A$201,0))</f>
        <v>2</v>
      </c>
      <c r="U908" s="2" t="n">
        <f aca="false">INDEX(Summary!$Q$2:$Q$201,MATCH($B908,Summary!$A$2:$A$201,0))</f>
        <v>13.66</v>
      </c>
      <c r="V908" s="2" t="n">
        <f aca="false">INDEX(Summary!$R$2:$R$201,MATCH($B908,Summary!$A$2:$A$201,0))</f>
        <v>25.43</v>
      </c>
      <c r="W908" s="0" t="str">
        <f aca="false">INDEX(Summary!$S$2:$S$201,MATCH($B908,Summary!$A$2:$A$201,0))</f>
        <v>Silver</v>
      </c>
      <c r="X908" s="2" t="n">
        <f aca="false">INDEX(Summary!$T$2:$T$201,MATCH($B908,Summary!$A$2:$A$201,0))</f>
        <v>62.02</v>
      </c>
      <c r="Y908" s="0" t="str">
        <f aca="false">INDEX('Reward Model'!$E$18:$E$37,MATCH($E908,'Reward Model'!$A$18:$A$37,0))</f>
        <v>Low</v>
      </c>
      <c r="Z908" s="4" t="n">
        <f aca="false">ROUND(MIN(1,MAX('Reward Model'!$B$2,INDEX('Reward Model'!$C$12:$C$14,MATCH($K908,'Reward Model'!$A$12:$A$14,0))/$J908)),3)</f>
        <v>0.802</v>
      </c>
      <c r="AA908" s="2" t="n">
        <f aca="false">IF($I908="Correct",ROUND(INDEX('Reward Model'!$B$12:$B$14,MATCH($K908,'Reward Model'!$A$12:$A$14,0))*Z908,2),0)</f>
        <v>0.8</v>
      </c>
      <c r="AB908" s="2" t="n">
        <f aca="false">IF($I908="Correct",ROUND(INDEX('Reward Model'!$B$12:$B$14,MATCH($Y908,'Reward Model'!$A$12:$A$14,0))*Z908,2),0)</f>
        <v>0.8</v>
      </c>
    </row>
    <row r="909" customFormat="false" ht="15" hidden="false" customHeight="false" outlineLevel="0" collapsed="false">
      <c r="A909" s="0" t="s">
        <v>219</v>
      </c>
      <c r="B909" s="0" t="s">
        <v>220</v>
      </c>
      <c r="C909" s="0" t="s">
        <v>30</v>
      </c>
      <c r="D909" s="0" t="s">
        <v>189</v>
      </c>
      <c r="E909" s="0" t="n">
        <v>8</v>
      </c>
      <c r="F909" s="0" t="s">
        <v>52</v>
      </c>
      <c r="G909" s="0" t="s">
        <v>54</v>
      </c>
      <c r="H909" s="0" t="s">
        <v>54</v>
      </c>
      <c r="I909" s="0" t="s">
        <v>34</v>
      </c>
      <c r="J909" s="0" t="n">
        <v>1.33</v>
      </c>
      <c r="K909" s="0" t="s">
        <v>35</v>
      </c>
      <c r="L909" s="0" t="n">
        <f aca="false">INDEX(Summary!$F$2:$F$201,MATCH($B909,Summary!$A$2:$A$201,0))</f>
        <v>20</v>
      </c>
      <c r="M909" s="0" t="n">
        <f aca="false">INDEX(Summary!$I$2:$I$201,MATCH($B909,Summary!$A$2:$A$201,0))</f>
        <v>3</v>
      </c>
      <c r="N909" s="0" t="n">
        <f aca="false">INDEX(Summary!$J$2:$J$201,MATCH($B909,Summary!$A$2:$A$201,0))</f>
        <v>2</v>
      </c>
      <c r="O909" s="2" t="n">
        <f aca="false">INDEX(Summary!$K$2:$K$201,MATCH($B909,Summary!$A$2:$A$201,0))</f>
        <v>10.77</v>
      </c>
      <c r="P909" s="3" t="n">
        <f aca="false">INDEX(Summary!$L$2:$L$201,MATCH($B909,Summary!$A$2:$A$201,0))</f>
        <v>4</v>
      </c>
      <c r="Q909" s="3" t="n">
        <f aca="false">INDEX(Summary!$M$2:$M$201,MATCH($B909,Summary!$A$2:$A$201,0))</f>
        <v>2</v>
      </c>
      <c r="R909" s="2" t="n">
        <f aca="false">INDEX(Summary!$N$2:$N$201,MATCH($B909,Summary!$A$2:$A$201,0))</f>
        <v>10.72</v>
      </c>
      <c r="S909" s="3" t="n">
        <f aca="false">INDEX(Summary!$O$2:$O$201,MATCH($B909,Summary!$A$2:$A$201,0))</f>
        <v>7</v>
      </c>
      <c r="T909" s="3" t="n">
        <f aca="false">INDEX(Summary!$P$2:$P$201,MATCH($B909,Summary!$A$2:$A$201,0))</f>
        <v>2</v>
      </c>
      <c r="U909" s="2" t="n">
        <f aca="false">INDEX(Summary!$Q$2:$Q$201,MATCH($B909,Summary!$A$2:$A$201,0))</f>
        <v>13.66</v>
      </c>
      <c r="V909" s="2" t="n">
        <f aca="false">INDEX(Summary!$R$2:$R$201,MATCH($B909,Summary!$A$2:$A$201,0))</f>
        <v>25.43</v>
      </c>
      <c r="W909" s="0" t="str">
        <f aca="false">INDEX(Summary!$S$2:$S$201,MATCH($B909,Summary!$A$2:$A$201,0))</f>
        <v>Silver</v>
      </c>
      <c r="X909" s="2" t="n">
        <f aca="false">INDEX(Summary!$T$2:$T$201,MATCH($B909,Summary!$A$2:$A$201,0))</f>
        <v>62.02</v>
      </c>
      <c r="Y909" s="0" t="str">
        <f aca="false">INDEX('Reward Model'!$E$18:$E$37,MATCH($E909,'Reward Model'!$A$18:$A$37,0))</f>
        <v>Medium</v>
      </c>
      <c r="Z909" s="4" t="n">
        <f aca="false">ROUND(MIN(1,MAX('Reward Model'!$B$2,INDEX('Reward Model'!$C$12:$C$14,MATCH($K909,'Reward Model'!$A$12:$A$14,0))/$J909)),3)</f>
        <v>1</v>
      </c>
      <c r="AA909" s="2" t="n">
        <f aca="false">IF($I909="Correct",ROUND(INDEX('Reward Model'!$B$12:$B$14,MATCH($K909,'Reward Model'!$A$12:$A$14,0))*Z909,2),0)</f>
        <v>1</v>
      </c>
      <c r="AB909" s="2" t="n">
        <f aca="false">IF($I909="Correct",ROUND(INDEX('Reward Model'!$B$12:$B$14,MATCH($Y909,'Reward Model'!$A$12:$A$14,0))*Z909,2),0)</f>
        <v>2</v>
      </c>
    </row>
    <row r="910" customFormat="false" ht="15" hidden="false" customHeight="false" outlineLevel="0" collapsed="false">
      <c r="A910" s="0" t="s">
        <v>219</v>
      </c>
      <c r="B910" s="0" t="s">
        <v>220</v>
      </c>
      <c r="C910" s="0" t="s">
        <v>30</v>
      </c>
      <c r="D910" s="0" t="s">
        <v>189</v>
      </c>
      <c r="E910" s="0" t="n">
        <v>9</v>
      </c>
      <c r="F910" s="0" t="s">
        <v>55</v>
      </c>
      <c r="G910" s="0" t="s">
        <v>57</v>
      </c>
      <c r="H910" s="0" t="s">
        <v>57</v>
      </c>
      <c r="I910" s="0" t="s">
        <v>34</v>
      </c>
      <c r="J910" s="0" t="n">
        <v>1.33</v>
      </c>
      <c r="K910" s="0" t="s">
        <v>35</v>
      </c>
      <c r="L910" s="0" t="n">
        <f aca="false">INDEX(Summary!$F$2:$F$201,MATCH($B910,Summary!$A$2:$A$201,0))</f>
        <v>20</v>
      </c>
      <c r="M910" s="0" t="n">
        <f aca="false">INDEX(Summary!$I$2:$I$201,MATCH($B910,Summary!$A$2:$A$201,0))</f>
        <v>3</v>
      </c>
      <c r="N910" s="0" t="n">
        <f aca="false">INDEX(Summary!$J$2:$J$201,MATCH($B910,Summary!$A$2:$A$201,0))</f>
        <v>2</v>
      </c>
      <c r="O910" s="2" t="n">
        <f aca="false">INDEX(Summary!$K$2:$K$201,MATCH($B910,Summary!$A$2:$A$201,0))</f>
        <v>10.77</v>
      </c>
      <c r="P910" s="3" t="n">
        <f aca="false">INDEX(Summary!$L$2:$L$201,MATCH($B910,Summary!$A$2:$A$201,0))</f>
        <v>4</v>
      </c>
      <c r="Q910" s="3" t="n">
        <f aca="false">INDEX(Summary!$M$2:$M$201,MATCH($B910,Summary!$A$2:$A$201,0))</f>
        <v>2</v>
      </c>
      <c r="R910" s="2" t="n">
        <f aca="false">INDEX(Summary!$N$2:$N$201,MATCH($B910,Summary!$A$2:$A$201,0))</f>
        <v>10.72</v>
      </c>
      <c r="S910" s="3" t="n">
        <f aca="false">INDEX(Summary!$O$2:$O$201,MATCH($B910,Summary!$A$2:$A$201,0))</f>
        <v>7</v>
      </c>
      <c r="T910" s="3" t="n">
        <f aca="false">INDEX(Summary!$P$2:$P$201,MATCH($B910,Summary!$A$2:$A$201,0))</f>
        <v>2</v>
      </c>
      <c r="U910" s="2" t="n">
        <f aca="false">INDEX(Summary!$Q$2:$Q$201,MATCH($B910,Summary!$A$2:$A$201,0))</f>
        <v>13.66</v>
      </c>
      <c r="V910" s="2" t="n">
        <f aca="false">INDEX(Summary!$R$2:$R$201,MATCH($B910,Summary!$A$2:$A$201,0))</f>
        <v>25.43</v>
      </c>
      <c r="W910" s="0" t="str">
        <f aca="false">INDEX(Summary!$S$2:$S$201,MATCH($B910,Summary!$A$2:$A$201,0))</f>
        <v>Silver</v>
      </c>
      <c r="X910" s="2" t="n">
        <f aca="false">INDEX(Summary!$T$2:$T$201,MATCH($B910,Summary!$A$2:$A$201,0))</f>
        <v>62.02</v>
      </c>
      <c r="Y910" s="0" t="str">
        <f aca="false">INDEX('Reward Model'!$E$18:$E$37,MATCH($E910,'Reward Model'!$A$18:$A$37,0))</f>
        <v>Medium</v>
      </c>
      <c r="Z910" s="4" t="n">
        <f aca="false">ROUND(MIN(1,MAX('Reward Model'!$B$2,INDEX('Reward Model'!$C$12:$C$14,MATCH($K910,'Reward Model'!$A$12:$A$14,0))/$J910)),3)</f>
        <v>1</v>
      </c>
      <c r="AA910" s="2" t="n">
        <f aca="false">IF($I910="Correct",ROUND(INDEX('Reward Model'!$B$12:$B$14,MATCH($K910,'Reward Model'!$A$12:$A$14,0))*Z910,2),0)</f>
        <v>1</v>
      </c>
      <c r="AB910" s="2" t="n">
        <f aca="false">IF($I910="Correct",ROUND(INDEX('Reward Model'!$B$12:$B$14,MATCH($Y910,'Reward Model'!$A$12:$A$14,0))*Z910,2),0)</f>
        <v>2</v>
      </c>
    </row>
    <row r="911" customFormat="false" ht="15" hidden="false" customHeight="false" outlineLevel="0" collapsed="false">
      <c r="A911" s="0" t="s">
        <v>219</v>
      </c>
      <c r="B911" s="0" t="s">
        <v>220</v>
      </c>
      <c r="C911" s="0" t="s">
        <v>30</v>
      </c>
      <c r="D911" s="0" t="s">
        <v>189</v>
      </c>
      <c r="E911" s="0" t="n">
        <v>10</v>
      </c>
      <c r="F911" s="0" t="s">
        <v>58</v>
      </c>
      <c r="G911" s="0" t="s">
        <v>59</v>
      </c>
      <c r="H911" s="0" t="s">
        <v>59</v>
      </c>
      <c r="I911" s="0" t="s">
        <v>34</v>
      </c>
      <c r="J911" s="0" t="n">
        <v>2.08</v>
      </c>
      <c r="K911" s="0" t="s">
        <v>60</v>
      </c>
      <c r="L911" s="0" t="n">
        <f aca="false">INDEX(Summary!$F$2:$F$201,MATCH($B911,Summary!$A$2:$A$201,0))</f>
        <v>20</v>
      </c>
      <c r="M911" s="0" t="n">
        <f aca="false">INDEX(Summary!$I$2:$I$201,MATCH($B911,Summary!$A$2:$A$201,0))</f>
        <v>3</v>
      </c>
      <c r="N911" s="0" t="n">
        <f aca="false">INDEX(Summary!$J$2:$J$201,MATCH($B911,Summary!$A$2:$A$201,0))</f>
        <v>2</v>
      </c>
      <c r="O911" s="2" t="n">
        <f aca="false">INDEX(Summary!$K$2:$K$201,MATCH($B911,Summary!$A$2:$A$201,0))</f>
        <v>10.77</v>
      </c>
      <c r="P911" s="3" t="n">
        <f aca="false">INDEX(Summary!$L$2:$L$201,MATCH($B911,Summary!$A$2:$A$201,0))</f>
        <v>4</v>
      </c>
      <c r="Q911" s="3" t="n">
        <f aca="false">INDEX(Summary!$M$2:$M$201,MATCH($B911,Summary!$A$2:$A$201,0))</f>
        <v>2</v>
      </c>
      <c r="R911" s="2" t="n">
        <f aca="false">INDEX(Summary!$N$2:$N$201,MATCH($B911,Summary!$A$2:$A$201,0))</f>
        <v>10.72</v>
      </c>
      <c r="S911" s="3" t="n">
        <f aca="false">INDEX(Summary!$O$2:$O$201,MATCH($B911,Summary!$A$2:$A$201,0))</f>
        <v>7</v>
      </c>
      <c r="T911" s="3" t="n">
        <f aca="false">INDEX(Summary!$P$2:$P$201,MATCH($B911,Summary!$A$2:$A$201,0))</f>
        <v>2</v>
      </c>
      <c r="U911" s="2" t="n">
        <f aca="false">INDEX(Summary!$Q$2:$Q$201,MATCH($B911,Summary!$A$2:$A$201,0))</f>
        <v>13.66</v>
      </c>
      <c r="V911" s="2" t="n">
        <f aca="false">INDEX(Summary!$R$2:$R$201,MATCH($B911,Summary!$A$2:$A$201,0))</f>
        <v>25.43</v>
      </c>
      <c r="W911" s="0" t="str">
        <f aca="false">INDEX(Summary!$S$2:$S$201,MATCH($B911,Summary!$A$2:$A$201,0))</f>
        <v>Silver</v>
      </c>
      <c r="X911" s="2" t="n">
        <f aca="false">INDEX(Summary!$T$2:$T$201,MATCH($B911,Summary!$A$2:$A$201,0))</f>
        <v>62.02</v>
      </c>
      <c r="Y911" s="0" t="str">
        <f aca="false">INDEX('Reward Model'!$E$18:$E$37,MATCH($E911,'Reward Model'!$A$18:$A$37,0))</f>
        <v>Medium</v>
      </c>
      <c r="Z911" s="4" t="n">
        <f aca="false">ROUND(MIN(1,MAX('Reward Model'!$B$2,INDEX('Reward Model'!$C$12:$C$14,MATCH($K911,'Reward Model'!$A$12:$A$14,0))/$J911)),3)</f>
        <v>0.865</v>
      </c>
      <c r="AA911" s="2" t="n">
        <f aca="false">IF($I911="Correct",ROUND(INDEX('Reward Model'!$B$12:$B$14,MATCH($K911,'Reward Model'!$A$12:$A$14,0))*Z911,2),0)</f>
        <v>1.73</v>
      </c>
      <c r="AB911" s="2" t="n">
        <f aca="false">IF($I911="Correct",ROUND(INDEX('Reward Model'!$B$12:$B$14,MATCH($Y911,'Reward Model'!$A$12:$A$14,0))*Z911,2),0)</f>
        <v>1.73</v>
      </c>
    </row>
    <row r="912" customFormat="false" ht="15" hidden="false" customHeight="false" outlineLevel="0" collapsed="false">
      <c r="A912" s="0" t="s">
        <v>219</v>
      </c>
      <c r="B912" s="0" t="s">
        <v>220</v>
      </c>
      <c r="C912" s="0" t="s">
        <v>30</v>
      </c>
      <c r="D912" s="0" t="s">
        <v>189</v>
      </c>
      <c r="E912" s="0" t="n">
        <v>11</v>
      </c>
      <c r="F912" s="0" t="s">
        <v>61</v>
      </c>
      <c r="G912" s="0" t="s">
        <v>150</v>
      </c>
      <c r="H912" s="0" t="s">
        <v>63</v>
      </c>
      <c r="I912" s="0" t="s">
        <v>39</v>
      </c>
      <c r="J912" s="0" t="n">
        <v>1.75</v>
      </c>
      <c r="K912" s="0" t="s">
        <v>60</v>
      </c>
      <c r="L912" s="0" t="n">
        <f aca="false">INDEX(Summary!$F$2:$F$201,MATCH($B912,Summary!$A$2:$A$201,0))</f>
        <v>20</v>
      </c>
      <c r="M912" s="0" t="n">
        <f aca="false">INDEX(Summary!$I$2:$I$201,MATCH($B912,Summary!$A$2:$A$201,0))</f>
        <v>3</v>
      </c>
      <c r="N912" s="0" t="n">
        <f aca="false">INDEX(Summary!$J$2:$J$201,MATCH($B912,Summary!$A$2:$A$201,0))</f>
        <v>2</v>
      </c>
      <c r="O912" s="2" t="n">
        <f aca="false">INDEX(Summary!$K$2:$K$201,MATCH($B912,Summary!$A$2:$A$201,0))</f>
        <v>10.77</v>
      </c>
      <c r="P912" s="3" t="n">
        <f aca="false">INDEX(Summary!$L$2:$L$201,MATCH($B912,Summary!$A$2:$A$201,0))</f>
        <v>4</v>
      </c>
      <c r="Q912" s="3" t="n">
        <f aca="false">INDEX(Summary!$M$2:$M$201,MATCH($B912,Summary!$A$2:$A$201,0))</f>
        <v>2</v>
      </c>
      <c r="R912" s="2" t="n">
        <f aca="false">INDEX(Summary!$N$2:$N$201,MATCH($B912,Summary!$A$2:$A$201,0))</f>
        <v>10.72</v>
      </c>
      <c r="S912" s="3" t="n">
        <f aca="false">INDEX(Summary!$O$2:$O$201,MATCH($B912,Summary!$A$2:$A$201,0))</f>
        <v>7</v>
      </c>
      <c r="T912" s="3" t="n">
        <f aca="false">INDEX(Summary!$P$2:$P$201,MATCH($B912,Summary!$A$2:$A$201,0))</f>
        <v>2</v>
      </c>
      <c r="U912" s="2" t="n">
        <f aca="false">INDEX(Summary!$Q$2:$Q$201,MATCH($B912,Summary!$A$2:$A$201,0))</f>
        <v>13.66</v>
      </c>
      <c r="V912" s="2" t="n">
        <f aca="false">INDEX(Summary!$R$2:$R$201,MATCH($B912,Summary!$A$2:$A$201,0))</f>
        <v>25.43</v>
      </c>
      <c r="W912" s="0" t="str">
        <f aca="false">INDEX(Summary!$S$2:$S$201,MATCH($B912,Summary!$A$2:$A$201,0))</f>
        <v>Silver</v>
      </c>
      <c r="X912" s="2" t="n">
        <f aca="false">INDEX(Summary!$T$2:$T$201,MATCH($B912,Summary!$A$2:$A$201,0))</f>
        <v>62.02</v>
      </c>
      <c r="Y912" s="0" t="str">
        <f aca="false">INDEX('Reward Model'!$E$18:$E$37,MATCH($E912,'Reward Model'!$A$18:$A$37,0))</f>
        <v>Medium</v>
      </c>
      <c r="Z912" s="4" t="n">
        <f aca="false">ROUND(MIN(1,MAX('Reward Model'!$B$2,INDEX('Reward Model'!$C$12:$C$14,MATCH($K912,'Reward Model'!$A$12:$A$14,0))/$J912)),3)</f>
        <v>1</v>
      </c>
      <c r="AA912" s="2" t="n">
        <f aca="false">IF($I912="Correct",ROUND(INDEX('Reward Model'!$B$12:$B$14,MATCH($K912,'Reward Model'!$A$12:$A$14,0))*Z912,2),0)</f>
        <v>0</v>
      </c>
      <c r="AB912" s="2" t="n">
        <f aca="false">IF($I912="Correct",ROUND(INDEX('Reward Model'!$B$12:$B$14,MATCH($Y912,'Reward Model'!$A$12:$A$14,0))*Z912,2),0)</f>
        <v>0</v>
      </c>
    </row>
    <row r="913" customFormat="false" ht="15" hidden="false" customHeight="false" outlineLevel="0" collapsed="false">
      <c r="A913" s="0" t="s">
        <v>219</v>
      </c>
      <c r="B913" s="0" t="s">
        <v>220</v>
      </c>
      <c r="C913" s="0" t="s">
        <v>30</v>
      </c>
      <c r="D913" s="0" t="s">
        <v>189</v>
      </c>
      <c r="E913" s="0" t="n">
        <v>12</v>
      </c>
      <c r="F913" s="0" t="s">
        <v>64</v>
      </c>
      <c r="G913" s="0" t="s">
        <v>65</v>
      </c>
      <c r="H913" s="0" t="s">
        <v>65</v>
      </c>
      <c r="I913" s="0" t="s">
        <v>34</v>
      </c>
      <c r="J913" s="0" t="n">
        <v>1.53</v>
      </c>
      <c r="K913" s="0" t="s">
        <v>60</v>
      </c>
      <c r="L913" s="0" t="n">
        <f aca="false">INDEX(Summary!$F$2:$F$201,MATCH($B913,Summary!$A$2:$A$201,0))</f>
        <v>20</v>
      </c>
      <c r="M913" s="0" t="n">
        <f aca="false">INDEX(Summary!$I$2:$I$201,MATCH($B913,Summary!$A$2:$A$201,0))</f>
        <v>3</v>
      </c>
      <c r="N913" s="0" t="n">
        <f aca="false">INDEX(Summary!$J$2:$J$201,MATCH($B913,Summary!$A$2:$A$201,0))</f>
        <v>2</v>
      </c>
      <c r="O913" s="2" t="n">
        <f aca="false">INDEX(Summary!$K$2:$K$201,MATCH($B913,Summary!$A$2:$A$201,0))</f>
        <v>10.77</v>
      </c>
      <c r="P913" s="3" t="n">
        <f aca="false">INDEX(Summary!$L$2:$L$201,MATCH($B913,Summary!$A$2:$A$201,0))</f>
        <v>4</v>
      </c>
      <c r="Q913" s="3" t="n">
        <f aca="false">INDEX(Summary!$M$2:$M$201,MATCH($B913,Summary!$A$2:$A$201,0))</f>
        <v>2</v>
      </c>
      <c r="R913" s="2" t="n">
        <f aca="false">INDEX(Summary!$N$2:$N$201,MATCH($B913,Summary!$A$2:$A$201,0))</f>
        <v>10.72</v>
      </c>
      <c r="S913" s="3" t="n">
        <f aca="false">INDEX(Summary!$O$2:$O$201,MATCH($B913,Summary!$A$2:$A$201,0))</f>
        <v>7</v>
      </c>
      <c r="T913" s="3" t="n">
        <f aca="false">INDEX(Summary!$P$2:$P$201,MATCH($B913,Summary!$A$2:$A$201,0))</f>
        <v>2</v>
      </c>
      <c r="U913" s="2" t="n">
        <f aca="false">INDEX(Summary!$Q$2:$Q$201,MATCH($B913,Summary!$A$2:$A$201,0))</f>
        <v>13.66</v>
      </c>
      <c r="V913" s="2" t="n">
        <f aca="false">INDEX(Summary!$R$2:$R$201,MATCH($B913,Summary!$A$2:$A$201,0))</f>
        <v>25.43</v>
      </c>
      <c r="W913" s="0" t="str">
        <f aca="false">INDEX(Summary!$S$2:$S$201,MATCH($B913,Summary!$A$2:$A$201,0))</f>
        <v>Silver</v>
      </c>
      <c r="X913" s="2" t="n">
        <f aca="false">INDEX(Summary!$T$2:$T$201,MATCH($B913,Summary!$A$2:$A$201,0))</f>
        <v>62.02</v>
      </c>
      <c r="Y913" s="0" t="str">
        <f aca="false">INDEX('Reward Model'!$E$18:$E$37,MATCH($E913,'Reward Model'!$A$18:$A$37,0))</f>
        <v>Medium</v>
      </c>
      <c r="Z913" s="4" t="n">
        <f aca="false">ROUND(MIN(1,MAX('Reward Model'!$B$2,INDEX('Reward Model'!$C$12:$C$14,MATCH($K913,'Reward Model'!$A$12:$A$14,0))/$J913)),3)</f>
        <v>1</v>
      </c>
      <c r="AA913" s="2" t="n">
        <f aca="false">IF($I913="Correct",ROUND(INDEX('Reward Model'!$B$12:$B$14,MATCH($K913,'Reward Model'!$A$12:$A$14,0))*Z913,2),0)</f>
        <v>2</v>
      </c>
      <c r="AB913" s="2" t="n">
        <f aca="false">IF($I913="Correct",ROUND(INDEX('Reward Model'!$B$12:$B$14,MATCH($Y913,'Reward Model'!$A$12:$A$14,0))*Z913,2),0)</f>
        <v>2</v>
      </c>
    </row>
    <row r="914" customFormat="false" ht="15" hidden="false" customHeight="false" outlineLevel="0" collapsed="false">
      <c r="A914" s="0" t="s">
        <v>219</v>
      </c>
      <c r="B914" s="0" t="s">
        <v>220</v>
      </c>
      <c r="C914" s="0" t="s">
        <v>30</v>
      </c>
      <c r="D914" s="0" t="s">
        <v>189</v>
      </c>
      <c r="E914" s="0" t="n">
        <v>13</v>
      </c>
      <c r="F914" s="0" t="s">
        <v>66</v>
      </c>
      <c r="G914" s="0" t="s">
        <v>67</v>
      </c>
      <c r="H914" s="0" t="s">
        <v>67</v>
      </c>
      <c r="I914" s="0" t="s">
        <v>34</v>
      </c>
      <c r="J914" s="0" t="n">
        <v>2.22</v>
      </c>
      <c r="K914" s="0" t="s">
        <v>60</v>
      </c>
      <c r="L914" s="0" t="n">
        <f aca="false">INDEX(Summary!$F$2:$F$201,MATCH($B914,Summary!$A$2:$A$201,0))</f>
        <v>20</v>
      </c>
      <c r="M914" s="0" t="n">
        <f aca="false">INDEX(Summary!$I$2:$I$201,MATCH($B914,Summary!$A$2:$A$201,0))</f>
        <v>3</v>
      </c>
      <c r="N914" s="0" t="n">
        <f aca="false">INDEX(Summary!$J$2:$J$201,MATCH($B914,Summary!$A$2:$A$201,0))</f>
        <v>2</v>
      </c>
      <c r="O914" s="2" t="n">
        <f aca="false">INDEX(Summary!$K$2:$K$201,MATCH($B914,Summary!$A$2:$A$201,0))</f>
        <v>10.77</v>
      </c>
      <c r="P914" s="3" t="n">
        <f aca="false">INDEX(Summary!$L$2:$L$201,MATCH($B914,Summary!$A$2:$A$201,0))</f>
        <v>4</v>
      </c>
      <c r="Q914" s="3" t="n">
        <f aca="false">INDEX(Summary!$M$2:$M$201,MATCH($B914,Summary!$A$2:$A$201,0))</f>
        <v>2</v>
      </c>
      <c r="R914" s="2" t="n">
        <f aca="false">INDEX(Summary!$N$2:$N$201,MATCH($B914,Summary!$A$2:$A$201,0))</f>
        <v>10.72</v>
      </c>
      <c r="S914" s="3" t="n">
        <f aca="false">INDEX(Summary!$O$2:$O$201,MATCH($B914,Summary!$A$2:$A$201,0))</f>
        <v>7</v>
      </c>
      <c r="T914" s="3" t="n">
        <f aca="false">INDEX(Summary!$P$2:$P$201,MATCH($B914,Summary!$A$2:$A$201,0))</f>
        <v>2</v>
      </c>
      <c r="U914" s="2" t="n">
        <f aca="false">INDEX(Summary!$Q$2:$Q$201,MATCH($B914,Summary!$A$2:$A$201,0))</f>
        <v>13.66</v>
      </c>
      <c r="V914" s="2" t="n">
        <f aca="false">INDEX(Summary!$R$2:$R$201,MATCH($B914,Summary!$A$2:$A$201,0))</f>
        <v>25.43</v>
      </c>
      <c r="W914" s="0" t="str">
        <f aca="false">INDEX(Summary!$S$2:$S$201,MATCH($B914,Summary!$A$2:$A$201,0))</f>
        <v>Silver</v>
      </c>
      <c r="X914" s="2" t="n">
        <f aca="false">INDEX(Summary!$T$2:$T$201,MATCH($B914,Summary!$A$2:$A$201,0))</f>
        <v>62.02</v>
      </c>
      <c r="Y914" s="0" t="str">
        <f aca="false">INDEX('Reward Model'!$E$18:$E$37,MATCH($E914,'Reward Model'!$A$18:$A$37,0))</f>
        <v>Medium</v>
      </c>
      <c r="Z914" s="4" t="n">
        <f aca="false">ROUND(MIN(1,MAX('Reward Model'!$B$2,INDEX('Reward Model'!$C$12:$C$14,MATCH($K914,'Reward Model'!$A$12:$A$14,0))/$J914)),3)</f>
        <v>0.811</v>
      </c>
      <c r="AA914" s="2" t="n">
        <f aca="false">IF($I914="Correct",ROUND(INDEX('Reward Model'!$B$12:$B$14,MATCH($K914,'Reward Model'!$A$12:$A$14,0))*Z914,2),0)</f>
        <v>1.62</v>
      </c>
      <c r="AB914" s="2" t="n">
        <f aca="false">IF($I914="Correct",ROUND(INDEX('Reward Model'!$B$12:$B$14,MATCH($Y914,'Reward Model'!$A$12:$A$14,0))*Z914,2),0)</f>
        <v>1.62</v>
      </c>
    </row>
    <row r="915" customFormat="false" ht="15" hidden="false" customHeight="false" outlineLevel="0" collapsed="false">
      <c r="A915" s="0" t="s">
        <v>219</v>
      </c>
      <c r="B915" s="0" t="s">
        <v>220</v>
      </c>
      <c r="C915" s="0" t="s">
        <v>30</v>
      </c>
      <c r="D915" s="0" t="s">
        <v>189</v>
      </c>
      <c r="E915" s="0" t="n">
        <v>14</v>
      </c>
      <c r="F915" s="0" t="s">
        <v>68</v>
      </c>
      <c r="G915" s="0" t="s">
        <v>51</v>
      </c>
      <c r="H915" s="0" t="s">
        <v>51</v>
      </c>
      <c r="I915" s="0" t="s">
        <v>34</v>
      </c>
      <c r="J915" s="0" t="n">
        <v>1.83</v>
      </c>
      <c r="K915" s="0" t="s">
        <v>60</v>
      </c>
      <c r="L915" s="0" t="n">
        <f aca="false">INDEX(Summary!$F$2:$F$201,MATCH($B915,Summary!$A$2:$A$201,0))</f>
        <v>20</v>
      </c>
      <c r="M915" s="0" t="n">
        <f aca="false">INDEX(Summary!$I$2:$I$201,MATCH($B915,Summary!$A$2:$A$201,0))</f>
        <v>3</v>
      </c>
      <c r="N915" s="0" t="n">
        <f aca="false">INDEX(Summary!$J$2:$J$201,MATCH($B915,Summary!$A$2:$A$201,0))</f>
        <v>2</v>
      </c>
      <c r="O915" s="2" t="n">
        <f aca="false">INDEX(Summary!$K$2:$K$201,MATCH($B915,Summary!$A$2:$A$201,0))</f>
        <v>10.77</v>
      </c>
      <c r="P915" s="3" t="n">
        <f aca="false">INDEX(Summary!$L$2:$L$201,MATCH($B915,Summary!$A$2:$A$201,0))</f>
        <v>4</v>
      </c>
      <c r="Q915" s="3" t="n">
        <f aca="false">INDEX(Summary!$M$2:$M$201,MATCH($B915,Summary!$A$2:$A$201,0))</f>
        <v>2</v>
      </c>
      <c r="R915" s="2" t="n">
        <f aca="false">INDEX(Summary!$N$2:$N$201,MATCH($B915,Summary!$A$2:$A$201,0))</f>
        <v>10.72</v>
      </c>
      <c r="S915" s="3" t="n">
        <f aca="false">INDEX(Summary!$O$2:$O$201,MATCH($B915,Summary!$A$2:$A$201,0))</f>
        <v>7</v>
      </c>
      <c r="T915" s="3" t="n">
        <f aca="false">INDEX(Summary!$P$2:$P$201,MATCH($B915,Summary!$A$2:$A$201,0))</f>
        <v>2</v>
      </c>
      <c r="U915" s="2" t="n">
        <f aca="false">INDEX(Summary!$Q$2:$Q$201,MATCH($B915,Summary!$A$2:$A$201,0))</f>
        <v>13.66</v>
      </c>
      <c r="V915" s="2" t="n">
        <f aca="false">INDEX(Summary!$R$2:$R$201,MATCH($B915,Summary!$A$2:$A$201,0))</f>
        <v>25.43</v>
      </c>
      <c r="W915" s="0" t="str">
        <f aca="false">INDEX(Summary!$S$2:$S$201,MATCH($B915,Summary!$A$2:$A$201,0))</f>
        <v>Silver</v>
      </c>
      <c r="X915" s="2" t="n">
        <f aca="false">INDEX(Summary!$T$2:$T$201,MATCH($B915,Summary!$A$2:$A$201,0))</f>
        <v>62.02</v>
      </c>
      <c r="Y915" s="0" t="str">
        <f aca="false">INDEX('Reward Model'!$E$18:$E$37,MATCH($E915,'Reward Model'!$A$18:$A$37,0))</f>
        <v>Medium</v>
      </c>
      <c r="Z915" s="4" t="n">
        <f aca="false">ROUND(MIN(1,MAX('Reward Model'!$B$2,INDEX('Reward Model'!$C$12:$C$14,MATCH($K915,'Reward Model'!$A$12:$A$14,0))/$J915)),3)</f>
        <v>0.984</v>
      </c>
      <c r="AA915" s="2" t="n">
        <f aca="false">IF($I915="Correct",ROUND(INDEX('Reward Model'!$B$12:$B$14,MATCH($K915,'Reward Model'!$A$12:$A$14,0))*Z915,2),0)</f>
        <v>1.97</v>
      </c>
      <c r="AB915" s="2" t="n">
        <f aca="false">IF($I915="Correct",ROUND(INDEX('Reward Model'!$B$12:$B$14,MATCH($Y915,'Reward Model'!$A$12:$A$14,0))*Z915,2),0)</f>
        <v>1.97</v>
      </c>
    </row>
    <row r="916" customFormat="false" ht="15" hidden="false" customHeight="false" outlineLevel="0" collapsed="false">
      <c r="A916" s="0" t="s">
        <v>219</v>
      </c>
      <c r="B916" s="0" t="s">
        <v>220</v>
      </c>
      <c r="C916" s="0" t="s">
        <v>30</v>
      </c>
      <c r="D916" s="0" t="s">
        <v>189</v>
      </c>
      <c r="E916" s="0" t="n">
        <v>15</v>
      </c>
      <c r="F916" s="0" t="s">
        <v>69</v>
      </c>
      <c r="G916" s="0" t="s">
        <v>94</v>
      </c>
      <c r="H916" s="0" t="s">
        <v>70</v>
      </c>
      <c r="I916" s="0" t="s">
        <v>39</v>
      </c>
      <c r="J916" s="0" t="n">
        <v>1.31</v>
      </c>
      <c r="K916" s="0" t="s">
        <v>60</v>
      </c>
      <c r="L916" s="0" t="n">
        <f aca="false">INDEX(Summary!$F$2:$F$201,MATCH($B916,Summary!$A$2:$A$201,0))</f>
        <v>20</v>
      </c>
      <c r="M916" s="0" t="n">
        <f aca="false">INDEX(Summary!$I$2:$I$201,MATCH($B916,Summary!$A$2:$A$201,0))</f>
        <v>3</v>
      </c>
      <c r="N916" s="0" t="n">
        <f aca="false">INDEX(Summary!$J$2:$J$201,MATCH($B916,Summary!$A$2:$A$201,0))</f>
        <v>2</v>
      </c>
      <c r="O916" s="2" t="n">
        <f aca="false">INDEX(Summary!$K$2:$K$201,MATCH($B916,Summary!$A$2:$A$201,0))</f>
        <v>10.77</v>
      </c>
      <c r="P916" s="3" t="n">
        <f aca="false">INDEX(Summary!$L$2:$L$201,MATCH($B916,Summary!$A$2:$A$201,0))</f>
        <v>4</v>
      </c>
      <c r="Q916" s="3" t="n">
        <f aca="false">INDEX(Summary!$M$2:$M$201,MATCH($B916,Summary!$A$2:$A$201,0))</f>
        <v>2</v>
      </c>
      <c r="R916" s="2" t="n">
        <f aca="false">INDEX(Summary!$N$2:$N$201,MATCH($B916,Summary!$A$2:$A$201,0))</f>
        <v>10.72</v>
      </c>
      <c r="S916" s="3" t="n">
        <f aca="false">INDEX(Summary!$O$2:$O$201,MATCH($B916,Summary!$A$2:$A$201,0))</f>
        <v>7</v>
      </c>
      <c r="T916" s="3" t="n">
        <f aca="false">INDEX(Summary!$P$2:$P$201,MATCH($B916,Summary!$A$2:$A$201,0))</f>
        <v>2</v>
      </c>
      <c r="U916" s="2" t="n">
        <f aca="false">INDEX(Summary!$Q$2:$Q$201,MATCH($B916,Summary!$A$2:$A$201,0))</f>
        <v>13.66</v>
      </c>
      <c r="V916" s="2" t="n">
        <f aca="false">INDEX(Summary!$R$2:$R$201,MATCH($B916,Summary!$A$2:$A$201,0))</f>
        <v>25.43</v>
      </c>
      <c r="W916" s="0" t="str">
        <f aca="false">INDEX(Summary!$S$2:$S$201,MATCH($B916,Summary!$A$2:$A$201,0))</f>
        <v>Silver</v>
      </c>
      <c r="X916" s="2" t="n">
        <f aca="false">INDEX(Summary!$T$2:$T$201,MATCH($B916,Summary!$A$2:$A$201,0))</f>
        <v>62.02</v>
      </c>
      <c r="Y916" s="0" t="str">
        <f aca="false">INDEX('Reward Model'!$E$18:$E$37,MATCH($E916,'Reward Model'!$A$18:$A$37,0))</f>
        <v>Medium</v>
      </c>
      <c r="Z916" s="4" t="n">
        <f aca="false">ROUND(MIN(1,MAX('Reward Model'!$B$2,INDEX('Reward Model'!$C$12:$C$14,MATCH($K916,'Reward Model'!$A$12:$A$14,0))/$J916)),3)</f>
        <v>1</v>
      </c>
      <c r="AA916" s="2" t="n">
        <f aca="false">IF($I916="Correct",ROUND(INDEX('Reward Model'!$B$12:$B$14,MATCH($K916,'Reward Model'!$A$12:$A$14,0))*Z916,2),0)</f>
        <v>0</v>
      </c>
      <c r="AB916" s="2" t="n">
        <f aca="false">IF($I916="Correct",ROUND(INDEX('Reward Model'!$B$12:$B$14,MATCH($Y916,'Reward Model'!$A$12:$A$14,0))*Z916,2),0)</f>
        <v>0</v>
      </c>
    </row>
    <row r="917" customFormat="false" ht="15" hidden="false" customHeight="false" outlineLevel="0" collapsed="false">
      <c r="A917" s="0" t="s">
        <v>219</v>
      </c>
      <c r="B917" s="0" t="s">
        <v>220</v>
      </c>
      <c r="C917" s="0" t="s">
        <v>30</v>
      </c>
      <c r="D917" s="0" t="s">
        <v>189</v>
      </c>
      <c r="E917" s="0" t="n">
        <v>16</v>
      </c>
      <c r="F917" s="0" t="s">
        <v>71</v>
      </c>
      <c r="G917" s="0" t="s">
        <v>72</v>
      </c>
      <c r="H917" s="0" t="s">
        <v>72</v>
      </c>
      <c r="I917" s="0" t="s">
        <v>34</v>
      </c>
      <c r="J917" s="0" t="n">
        <v>2.33</v>
      </c>
      <c r="K917" s="0" t="s">
        <v>73</v>
      </c>
      <c r="L917" s="0" t="n">
        <f aca="false">INDEX(Summary!$F$2:$F$201,MATCH($B917,Summary!$A$2:$A$201,0))</f>
        <v>20</v>
      </c>
      <c r="M917" s="0" t="n">
        <f aca="false">INDEX(Summary!$I$2:$I$201,MATCH($B917,Summary!$A$2:$A$201,0))</f>
        <v>3</v>
      </c>
      <c r="N917" s="0" t="n">
        <f aca="false">INDEX(Summary!$J$2:$J$201,MATCH($B917,Summary!$A$2:$A$201,0))</f>
        <v>2</v>
      </c>
      <c r="O917" s="2" t="n">
        <f aca="false">INDEX(Summary!$K$2:$K$201,MATCH($B917,Summary!$A$2:$A$201,0))</f>
        <v>10.77</v>
      </c>
      <c r="P917" s="3" t="n">
        <f aca="false">INDEX(Summary!$L$2:$L$201,MATCH($B917,Summary!$A$2:$A$201,0))</f>
        <v>4</v>
      </c>
      <c r="Q917" s="3" t="n">
        <f aca="false">INDEX(Summary!$M$2:$M$201,MATCH($B917,Summary!$A$2:$A$201,0))</f>
        <v>2</v>
      </c>
      <c r="R917" s="2" t="n">
        <f aca="false">INDEX(Summary!$N$2:$N$201,MATCH($B917,Summary!$A$2:$A$201,0))</f>
        <v>10.72</v>
      </c>
      <c r="S917" s="3" t="n">
        <f aca="false">INDEX(Summary!$O$2:$O$201,MATCH($B917,Summary!$A$2:$A$201,0))</f>
        <v>7</v>
      </c>
      <c r="T917" s="3" t="n">
        <f aca="false">INDEX(Summary!$P$2:$P$201,MATCH($B917,Summary!$A$2:$A$201,0))</f>
        <v>2</v>
      </c>
      <c r="U917" s="2" t="n">
        <f aca="false">INDEX(Summary!$Q$2:$Q$201,MATCH($B917,Summary!$A$2:$A$201,0))</f>
        <v>13.66</v>
      </c>
      <c r="V917" s="2" t="n">
        <f aca="false">INDEX(Summary!$R$2:$R$201,MATCH($B917,Summary!$A$2:$A$201,0))</f>
        <v>25.43</v>
      </c>
      <c r="W917" s="0" t="str">
        <f aca="false">INDEX(Summary!$S$2:$S$201,MATCH($B917,Summary!$A$2:$A$201,0))</f>
        <v>Silver</v>
      </c>
      <c r="X917" s="2" t="n">
        <f aca="false">INDEX(Summary!$T$2:$T$201,MATCH($B917,Summary!$A$2:$A$201,0))</f>
        <v>62.02</v>
      </c>
      <c r="Y917" s="0" t="str">
        <f aca="false">INDEX('Reward Model'!$E$18:$E$37,MATCH($E917,'Reward Model'!$A$18:$A$37,0))</f>
        <v>High</v>
      </c>
      <c r="Z917" s="4" t="n">
        <f aca="false">ROUND(MIN(1,MAX('Reward Model'!$B$2,INDEX('Reward Model'!$C$12:$C$14,MATCH($K917,'Reward Model'!$A$12:$A$14,0))/$J917)),3)</f>
        <v>0.858</v>
      </c>
      <c r="AA917" s="2" t="n">
        <f aca="false">IF($I917="Correct",ROUND(INDEX('Reward Model'!$B$12:$B$14,MATCH($K917,'Reward Model'!$A$12:$A$14,0))*Z917,2),0)</f>
        <v>2.57</v>
      </c>
      <c r="AB917" s="2" t="n">
        <f aca="false">IF($I917="Correct",ROUND(INDEX('Reward Model'!$B$12:$B$14,MATCH($Y917,'Reward Model'!$A$12:$A$14,0))*Z917,2),0)</f>
        <v>2.57</v>
      </c>
    </row>
    <row r="918" customFormat="false" ht="15" hidden="false" customHeight="false" outlineLevel="0" collapsed="false">
      <c r="A918" s="0" t="s">
        <v>219</v>
      </c>
      <c r="B918" s="0" t="s">
        <v>220</v>
      </c>
      <c r="C918" s="0" t="s">
        <v>30</v>
      </c>
      <c r="D918" s="0" t="s">
        <v>189</v>
      </c>
      <c r="E918" s="0" t="n">
        <v>17</v>
      </c>
      <c r="F918" s="0" t="s">
        <v>74</v>
      </c>
      <c r="G918" s="0" t="s">
        <v>91</v>
      </c>
      <c r="H918" s="0" t="s">
        <v>75</v>
      </c>
      <c r="I918" s="0" t="s">
        <v>39</v>
      </c>
      <c r="J918" s="0" t="n">
        <v>2.59</v>
      </c>
      <c r="K918" s="0" t="s">
        <v>73</v>
      </c>
      <c r="L918" s="0" t="n">
        <f aca="false">INDEX(Summary!$F$2:$F$201,MATCH($B918,Summary!$A$2:$A$201,0))</f>
        <v>20</v>
      </c>
      <c r="M918" s="0" t="n">
        <f aca="false">INDEX(Summary!$I$2:$I$201,MATCH($B918,Summary!$A$2:$A$201,0))</f>
        <v>3</v>
      </c>
      <c r="N918" s="0" t="n">
        <f aca="false">INDEX(Summary!$J$2:$J$201,MATCH($B918,Summary!$A$2:$A$201,0))</f>
        <v>2</v>
      </c>
      <c r="O918" s="2" t="n">
        <f aca="false">INDEX(Summary!$K$2:$K$201,MATCH($B918,Summary!$A$2:$A$201,0))</f>
        <v>10.77</v>
      </c>
      <c r="P918" s="3" t="n">
        <f aca="false">INDEX(Summary!$L$2:$L$201,MATCH($B918,Summary!$A$2:$A$201,0))</f>
        <v>4</v>
      </c>
      <c r="Q918" s="3" t="n">
        <f aca="false">INDEX(Summary!$M$2:$M$201,MATCH($B918,Summary!$A$2:$A$201,0))</f>
        <v>2</v>
      </c>
      <c r="R918" s="2" t="n">
        <f aca="false">INDEX(Summary!$N$2:$N$201,MATCH($B918,Summary!$A$2:$A$201,0))</f>
        <v>10.72</v>
      </c>
      <c r="S918" s="3" t="n">
        <f aca="false">INDEX(Summary!$O$2:$O$201,MATCH($B918,Summary!$A$2:$A$201,0))</f>
        <v>7</v>
      </c>
      <c r="T918" s="3" t="n">
        <f aca="false">INDEX(Summary!$P$2:$P$201,MATCH($B918,Summary!$A$2:$A$201,0))</f>
        <v>2</v>
      </c>
      <c r="U918" s="2" t="n">
        <f aca="false">INDEX(Summary!$Q$2:$Q$201,MATCH($B918,Summary!$A$2:$A$201,0))</f>
        <v>13.66</v>
      </c>
      <c r="V918" s="2" t="n">
        <f aca="false">INDEX(Summary!$R$2:$R$201,MATCH($B918,Summary!$A$2:$A$201,0))</f>
        <v>25.43</v>
      </c>
      <c r="W918" s="0" t="str">
        <f aca="false">INDEX(Summary!$S$2:$S$201,MATCH($B918,Summary!$A$2:$A$201,0))</f>
        <v>Silver</v>
      </c>
      <c r="X918" s="2" t="n">
        <f aca="false">INDEX(Summary!$T$2:$T$201,MATCH($B918,Summary!$A$2:$A$201,0))</f>
        <v>62.02</v>
      </c>
      <c r="Y918" s="0" t="str">
        <f aca="false">INDEX('Reward Model'!$E$18:$E$37,MATCH($E918,'Reward Model'!$A$18:$A$37,0))</f>
        <v>High</v>
      </c>
      <c r="Z918" s="4" t="n">
        <f aca="false">ROUND(MIN(1,MAX('Reward Model'!$B$2,INDEX('Reward Model'!$C$12:$C$14,MATCH($K918,'Reward Model'!$A$12:$A$14,0))/$J918)),3)</f>
        <v>0.772</v>
      </c>
      <c r="AA918" s="2" t="n">
        <f aca="false">IF($I918="Correct",ROUND(INDEX('Reward Model'!$B$12:$B$14,MATCH($K918,'Reward Model'!$A$12:$A$14,0))*Z918,2),0)</f>
        <v>0</v>
      </c>
      <c r="AB918" s="2" t="n">
        <f aca="false">IF($I918="Correct",ROUND(INDEX('Reward Model'!$B$12:$B$14,MATCH($Y918,'Reward Model'!$A$12:$A$14,0))*Z918,2),0)</f>
        <v>0</v>
      </c>
    </row>
    <row r="919" customFormat="false" ht="15" hidden="false" customHeight="false" outlineLevel="0" collapsed="false">
      <c r="A919" s="0" t="s">
        <v>219</v>
      </c>
      <c r="B919" s="0" t="s">
        <v>220</v>
      </c>
      <c r="C919" s="0" t="s">
        <v>30</v>
      </c>
      <c r="D919" s="0" t="s">
        <v>189</v>
      </c>
      <c r="E919" s="0" t="n">
        <v>18</v>
      </c>
      <c r="F919" s="0" t="s">
        <v>76</v>
      </c>
      <c r="G919" s="0" t="s">
        <v>77</v>
      </c>
      <c r="H919" s="0" t="s">
        <v>77</v>
      </c>
      <c r="I919" s="0" t="s">
        <v>34</v>
      </c>
      <c r="J919" s="0" t="n">
        <v>1.71</v>
      </c>
      <c r="K919" s="0" t="s">
        <v>73</v>
      </c>
      <c r="L919" s="0" t="n">
        <f aca="false">INDEX(Summary!$F$2:$F$201,MATCH($B919,Summary!$A$2:$A$201,0))</f>
        <v>20</v>
      </c>
      <c r="M919" s="0" t="n">
        <f aca="false">INDEX(Summary!$I$2:$I$201,MATCH($B919,Summary!$A$2:$A$201,0))</f>
        <v>3</v>
      </c>
      <c r="N919" s="0" t="n">
        <f aca="false">INDEX(Summary!$J$2:$J$201,MATCH($B919,Summary!$A$2:$A$201,0))</f>
        <v>2</v>
      </c>
      <c r="O919" s="2" t="n">
        <f aca="false">INDEX(Summary!$K$2:$K$201,MATCH($B919,Summary!$A$2:$A$201,0))</f>
        <v>10.77</v>
      </c>
      <c r="P919" s="3" t="n">
        <f aca="false">INDEX(Summary!$L$2:$L$201,MATCH($B919,Summary!$A$2:$A$201,0))</f>
        <v>4</v>
      </c>
      <c r="Q919" s="3" t="n">
        <f aca="false">INDEX(Summary!$M$2:$M$201,MATCH($B919,Summary!$A$2:$A$201,0))</f>
        <v>2</v>
      </c>
      <c r="R919" s="2" t="n">
        <f aca="false">INDEX(Summary!$N$2:$N$201,MATCH($B919,Summary!$A$2:$A$201,0))</f>
        <v>10.72</v>
      </c>
      <c r="S919" s="3" t="n">
        <f aca="false">INDEX(Summary!$O$2:$O$201,MATCH($B919,Summary!$A$2:$A$201,0))</f>
        <v>7</v>
      </c>
      <c r="T919" s="3" t="n">
        <f aca="false">INDEX(Summary!$P$2:$P$201,MATCH($B919,Summary!$A$2:$A$201,0))</f>
        <v>2</v>
      </c>
      <c r="U919" s="2" t="n">
        <f aca="false">INDEX(Summary!$Q$2:$Q$201,MATCH($B919,Summary!$A$2:$A$201,0))</f>
        <v>13.66</v>
      </c>
      <c r="V919" s="2" t="n">
        <f aca="false">INDEX(Summary!$R$2:$R$201,MATCH($B919,Summary!$A$2:$A$201,0))</f>
        <v>25.43</v>
      </c>
      <c r="W919" s="0" t="str">
        <f aca="false">INDEX(Summary!$S$2:$S$201,MATCH($B919,Summary!$A$2:$A$201,0))</f>
        <v>Silver</v>
      </c>
      <c r="X919" s="2" t="n">
        <f aca="false">INDEX(Summary!$T$2:$T$201,MATCH($B919,Summary!$A$2:$A$201,0))</f>
        <v>62.02</v>
      </c>
      <c r="Y919" s="0" t="str">
        <f aca="false">INDEX('Reward Model'!$E$18:$E$37,MATCH($E919,'Reward Model'!$A$18:$A$37,0))</f>
        <v>High</v>
      </c>
      <c r="Z919" s="4" t="n">
        <f aca="false">ROUND(MIN(1,MAX('Reward Model'!$B$2,INDEX('Reward Model'!$C$12:$C$14,MATCH($K919,'Reward Model'!$A$12:$A$14,0))/$J919)),3)</f>
        <v>1</v>
      </c>
      <c r="AA919" s="2" t="n">
        <f aca="false">IF($I919="Correct",ROUND(INDEX('Reward Model'!$B$12:$B$14,MATCH($K919,'Reward Model'!$A$12:$A$14,0))*Z919,2),0)</f>
        <v>3</v>
      </c>
      <c r="AB919" s="2" t="n">
        <f aca="false">IF($I919="Correct",ROUND(INDEX('Reward Model'!$B$12:$B$14,MATCH($Y919,'Reward Model'!$A$12:$A$14,0))*Z919,2),0)</f>
        <v>3</v>
      </c>
    </row>
    <row r="920" customFormat="false" ht="15" hidden="false" customHeight="false" outlineLevel="0" collapsed="false">
      <c r="A920" s="0" t="s">
        <v>219</v>
      </c>
      <c r="B920" s="0" t="s">
        <v>220</v>
      </c>
      <c r="C920" s="0" t="s">
        <v>30</v>
      </c>
      <c r="D920" s="0" t="s">
        <v>189</v>
      </c>
      <c r="E920" s="0" t="n">
        <v>19</v>
      </c>
      <c r="F920" s="0" t="s">
        <v>78</v>
      </c>
      <c r="G920" s="0" t="s">
        <v>79</v>
      </c>
      <c r="H920" s="0" t="s">
        <v>80</v>
      </c>
      <c r="I920" s="0" t="s">
        <v>39</v>
      </c>
      <c r="J920" s="0" t="n">
        <v>2.38</v>
      </c>
      <c r="K920" s="0" t="s">
        <v>73</v>
      </c>
      <c r="L920" s="0" t="n">
        <f aca="false">INDEX(Summary!$F$2:$F$201,MATCH($B920,Summary!$A$2:$A$201,0))</f>
        <v>20</v>
      </c>
      <c r="M920" s="0" t="n">
        <f aca="false">INDEX(Summary!$I$2:$I$201,MATCH($B920,Summary!$A$2:$A$201,0))</f>
        <v>3</v>
      </c>
      <c r="N920" s="0" t="n">
        <f aca="false">INDEX(Summary!$J$2:$J$201,MATCH($B920,Summary!$A$2:$A$201,0))</f>
        <v>2</v>
      </c>
      <c r="O920" s="2" t="n">
        <f aca="false">INDEX(Summary!$K$2:$K$201,MATCH($B920,Summary!$A$2:$A$201,0))</f>
        <v>10.77</v>
      </c>
      <c r="P920" s="3" t="n">
        <f aca="false">INDEX(Summary!$L$2:$L$201,MATCH($B920,Summary!$A$2:$A$201,0))</f>
        <v>4</v>
      </c>
      <c r="Q920" s="3" t="n">
        <f aca="false">INDEX(Summary!$M$2:$M$201,MATCH($B920,Summary!$A$2:$A$201,0))</f>
        <v>2</v>
      </c>
      <c r="R920" s="2" t="n">
        <f aca="false">INDEX(Summary!$N$2:$N$201,MATCH($B920,Summary!$A$2:$A$201,0))</f>
        <v>10.72</v>
      </c>
      <c r="S920" s="3" t="n">
        <f aca="false">INDEX(Summary!$O$2:$O$201,MATCH($B920,Summary!$A$2:$A$201,0))</f>
        <v>7</v>
      </c>
      <c r="T920" s="3" t="n">
        <f aca="false">INDEX(Summary!$P$2:$P$201,MATCH($B920,Summary!$A$2:$A$201,0))</f>
        <v>2</v>
      </c>
      <c r="U920" s="2" t="n">
        <f aca="false">INDEX(Summary!$Q$2:$Q$201,MATCH($B920,Summary!$A$2:$A$201,0))</f>
        <v>13.66</v>
      </c>
      <c r="V920" s="2" t="n">
        <f aca="false">INDEX(Summary!$R$2:$R$201,MATCH($B920,Summary!$A$2:$A$201,0))</f>
        <v>25.43</v>
      </c>
      <c r="W920" s="0" t="str">
        <f aca="false">INDEX(Summary!$S$2:$S$201,MATCH($B920,Summary!$A$2:$A$201,0))</f>
        <v>Silver</v>
      </c>
      <c r="X920" s="2" t="n">
        <f aca="false">INDEX(Summary!$T$2:$T$201,MATCH($B920,Summary!$A$2:$A$201,0))</f>
        <v>62.02</v>
      </c>
      <c r="Y920" s="0" t="str">
        <f aca="false">INDEX('Reward Model'!$E$18:$E$37,MATCH($E920,'Reward Model'!$A$18:$A$37,0))</f>
        <v>High</v>
      </c>
      <c r="Z920" s="4" t="n">
        <f aca="false">ROUND(MIN(1,MAX('Reward Model'!$B$2,INDEX('Reward Model'!$C$12:$C$14,MATCH($K920,'Reward Model'!$A$12:$A$14,0))/$J920)),3)</f>
        <v>0.84</v>
      </c>
      <c r="AA920" s="2" t="n">
        <f aca="false">IF($I920="Correct",ROUND(INDEX('Reward Model'!$B$12:$B$14,MATCH($K920,'Reward Model'!$A$12:$A$14,0))*Z920,2),0)</f>
        <v>0</v>
      </c>
      <c r="AB920" s="2" t="n">
        <f aca="false">IF($I920="Correct",ROUND(INDEX('Reward Model'!$B$12:$B$14,MATCH($Y920,'Reward Model'!$A$12:$A$14,0))*Z920,2),0)</f>
        <v>0</v>
      </c>
    </row>
    <row r="921" customFormat="false" ht="15" hidden="false" customHeight="false" outlineLevel="0" collapsed="false">
      <c r="A921" s="0" t="s">
        <v>219</v>
      </c>
      <c r="B921" s="0" t="s">
        <v>220</v>
      </c>
      <c r="C921" s="0" t="s">
        <v>30</v>
      </c>
      <c r="D921" s="0" t="s">
        <v>189</v>
      </c>
      <c r="E921" s="0" t="n">
        <v>20</v>
      </c>
      <c r="F921" s="0" t="s">
        <v>81</v>
      </c>
      <c r="G921" s="0" t="s">
        <v>83</v>
      </c>
      <c r="H921" s="0" t="s">
        <v>83</v>
      </c>
      <c r="I921" s="0" t="s">
        <v>34</v>
      </c>
      <c r="J921" s="0" t="n">
        <v>1.76</v>
      </c>
      <c r="K921" s="0" t="s">
        <v>73</v>
      </c>
      <c r="L921" s="0" t="n">
        <f aca="false">INDEX(Summary!$F$2:$F$201,MATCH($B921,Summary!$A$2:$A$201,0))</f>
        <v>20</v>
      </c>
      <c r="M921" s="0" t="n">
        <f aca="false">INDEX(Summary!$I$2:$I$201,MATCH($B921,Summary!$A$2:$A$201,0))</f>
        <v>3</v>
      </c>
      <c r="N921" s="0" t="n">
        <f aca="false">INDEX(Summary!$J$2:$J$201,MATCH($B921,Summary!$A$2:$A$201,0))</f>
        <v>2</v>
      </c>
      <c r="O921" s="2" t="n">
        <f aca="false">INDEX(Summary!$K$2:$K$201,MATCH($B921,Summary!$A$2:$A$201,0))</f>
        <v>10.77</v>
      </c>
      <c r="P921" s="3" t="n">
        <f aca="false">INDEX(Summary!$L$2:$L$201,MATCH($B921,Summary!$A$2:$A$201,0))</f>
        <v>4</v>
      </c>
      <c r="Q921" s="3" t="n">
        <f aca="false">INDEX(Summary!$M$2:$M$201,MATCH($B921,Summary!$A$2:$A$201,0))</f>
        <v>2</v>
      </c>
      <c r="R921" s="2" t="n">
        <f aca="false">INDEX(Summary!$N$2:$N$201,MATCH($B921,Summary!$A$2:$A$201,0))</f>
        <v>10.72</v>
      </c>
      <c r="S921" s="3" t="n">
        <f aca="false">INDEX(Summary!$O$2:$O$201,MATCH($B921,Summary!$A$2:$A$201,0))</f>
        <v>7</v>
      </c>
      <c r="T921" s="3" t="n">
        <f aca="false">INDEX(Summary!$P$2:$P$201,MATCH($B921,Summary!$A$2:$A$201,0))</f>
        <v>2</v>
      </c>
      <c r="U921" s="2" t="n">
        <f aca="false">INDEX(Summary!$Q$2:$Q$201,MATCH($B921,Summary!$A$2:$A$201,0))</f>
        <v>13.66</v>
      </c>
      <c r="V921" s="2" t="n">
        <f aca="false">INDEX(Summary!$R$2:$R$201,MATCH($B921,Summary!$A$2:$A$201,0))</f>
        <v>25.43</v>
      </c>
      <c r="W921" s="0" t="str">
        <f aca="false">INDEX(Summary!$S$2:$S$201,MATCH($B921,Summary!$A$2:$A$201,0))</f>
        <v>Silver</v>
      </c>
      <c r="X921" s="2" t="n">
        <f aca="false">INDEX(Summary!$T$2:$T$201,MATCH($B921,Summary!$A$2:$A$201,0))</f>
        <v>62.02</v>
      </c>
      <c r="Y921" s="0" t="str">
        <f aca="false">INDEX('Reward Model'!$E$18:$E$37,MATCH($E921,'Reward Model'!$A$18:$A$37,0))</f>
        <v>High</v>
      </c>
      <c r="Z921" s="4" t="n">
        <f aca="false">ROUND(MIN(1,MAX('Reward Model'!$B$2,INDEX('Reward Model'!$C$12:$C$14,MATCH($K921,'Reward Model'!$A$12:$A$14,0))/$J921)),3)</f>
        <v>1</v>
      </c>
      <c r="AA921" s="2" t="n">
        <f aca="false">IF($I921="Correct",ROUND(INDEX('Reward Model'!$B$12:$B$14,MATCH($K921,'Reward Model'!$A$12:$A$14,0))*Z921,2),0)</f>
        <v>3</v>
      </c>
      <c r="AB921" s="2" t="n">
        <f aca="false">IF($I921="Correct",ROUND(INDEX('Reward Model'!$B$12:$B$14,MATCH($Y921,'Reward Model'!$A$12:$A$14,0))*Z921,2),0)</f>
        <v>3</v>
      </c>
    </row>
    <row r="922" customFormat="false" ht="15" hidden="false" customHeight="false" outlineLevel="0" collapsed="false">
      <c r="A922" s="0" t="s">
        <v>221</v>
      </c>
      <c r="B922" s="0" t="s">
        <v>222</v>
      </c>
      <c r="C922" s="0" t="s">
        <v>30</v>
      </c>
      <c r="D922" s="0" t="s">
        <v>189</v>
      </c>
      <c r="E922" s="0" t="n">
        <v>1</v>
      </c>
      <c r="F922" s="0" t="s">
        <v>32</v>
      </c>
      <c r="G922" s="0" t="s">
        <v>33</v>
      </c>
      <c r="H922" s="0" t="s">
        <v>33</v>
      </c>
      <c r="I922" s="0" t="s">
        <v>34</v>
      </c>
      <c r="J922" s="0" t="n">
        <v>1.06</v>
      </c>
      <c r="K922" s="0" t="s">
        <v>35</v>
      </c>
      <c r="L922" s="0" t="n">
        <f aca="false">INDEX(Summary!$F$2:$F$201,MATCH($B922,Summary!$A$2:$A$201,0))</f>
        <v>20</v>
      </c>
      <c r="M922" s="0" t="n">
        <f aca="false">INDEX(Summary!$I$2:$I$201,MATCH($B922,Summary!$A$2:$A$201,0))</f>
        <v>2</v>
      </c>
      <c r="N922" s="0" t="n">
        <f aca="false">INDEX(Summary!$J$2:$J$201,MATCH($B922,Summary!$A$2:$A$201,0))</f>
        <v>3</v>
      </c>
      <c r="O922" s="2" t="n">
        <f aca="false">INDEX(Summary!$K$2:$K$201,MATCH($B922,Summary!$A$2:$A$201,0))</f>
        <v>9.6</v>
      </c>
      <c r="P922" s="3" t="n">
        <f aca="false">INDEX(Summary!$L$2:$L$201,MATCH($B922,Summary!$A$2:$A$201,0))</f>
        <v>4</v>
      </c>
      <c r="Q922" s="3" t="n">
        <f aca="false">INDEX(Summary!$M$2:$M$201,MATCH($B922,Summary!$A$2:$A$201,0))</f>
        <v>2</v>
      </c>
      <c r="R922" s="2" t="n">
        <f aca="false">INDEX(Summary!$N$2:$N$201,MATCH($B922,Summary!$A$2:$A$201,0))</f>
        <v>11.58</v>
      </c>
      <c r="S922" s="3" t="n">
        <f aca="false">INDEX(Summary!$O$2:$O$201,MATCH($B922,Summary!$A$2:$A$201,0))</f>
        <v>7</v>
      </c>
      <c r="T922" s="3" t="n">
        <f aca="false">INDEX(Summary!$P$2:$P$201,MATCH($B922,Summary!$A$2:$A$201,0))</f>
        <v>2</v>
      </c>
      <c r="U922" s="2" t="n">
        <f aca="false">INDEX(Summary!$Q$2:$Q$201,MATCH($B922,Summary!$A$2:$A$201,0))</f>
        <v>11.08</v>
      </c>
      <c r="V922" s="2" t="n">
        <f aca="false">INDEX(Summary!$R$2:$R$201,MATCH($B922,Summary!$A$2:$A$201,0))</f>
        <v>23.25</v>
      </c>
      <c r="W922" s="0" t="str">
        <f aca="false">INDEX(Summary!$S$2:$S$201,MATCH($B922,Summary!$A$2:$A$201,0))</f>
        <v>Silver</v>
      </c>
      <c r="X922" s="2" t="n">
        <f aca="false">INDEX(Summary!$T$2:$T$201,MATCH($B922,Summary!$A$2:$A$201,0))</f>
        <v>56.71</v>
      </c>
      <c r="Y922" s="0" t="str">
        <f aca="false">INDEX('Reward Model'!$E$18:$E$37,MATCH($E922,'Reward Model'!$A$18:$A$37,0))</f>
        <v>Medium</v>
      </c>
      <c r="Z922" s="4" t="n">
        <f aca="false">ROUND(MIN(1,MAX('Reward Model'!$B$2,INDEX('Reward Model'!$C$12:$C$14,MATCH($K922,'Reward Model'!$A$12:$A$14,0))/$J922)),3)</f>
        <v>1</v>
      </c>
      <c r="AA922" s="2" t="n">
        <f aca="false">IF($I922="Correct",ROUND(INDEX('Reward Model'!$B$12:$B$14,MATCH($K922,'Reward Model'!$A$12:$A$14,0))*Z922,2),0)</f>
        <v>1</v>
      </c>
      <c r="AB922" s="2" t="n">
        <f aca="false">IF($I922="Correct",ROUND(INDEX('Reward Model'!$B$12:$B$14,MATCH($Y922,'Reward Model'!$A$12:$A$14,0))*Z922,2),0)</f>
        <v>2</v>
      </c>
    </row>
    <row r="923" customFormat="false" ht="15" hidden="false" customHeight="false" outlineLevel="0" collapsed="false">
      <c r="A923" s="0" t="s">
        <v>221</v>
      </c>
      <c r="B923" s="0" t="s">
        <v>222</v>
      </c>
      <c r="C923" s="0" t="s">
        <v>30</v>
      </c>
      <c r="D923" s="0" t="s">
        <v>189</v>
      </c>
      <c r="E923" s="0" t="n">
        <v>2</v>
      </c>
      <c r="F923" s="0" t="s">
        <v>36</v>
      </c>
      <c r="G923" s="0" t="s">
        <v>190</v>
      </c>
      <c r="H923" s="0" t="s">
        <v>38</v>
      </c>
      <c r="I923" s="0" t="s">
        <v>39</v>
      </c>
      <c r="J923" s="0" t="n">
        <v>1.28</v>
      </c>
      <c r="K923" s="0" t="s">
        <v>35</v>
      </c>
      <c r="L923" s="0" t="n">
        <f aca="false">INDEX(Summary!$F$2:$F$201,MATCH($B923,Summary!$A$2:$A$201,0))</f>
        <v>20</v>
      </c>
      <c r="M923" s="0" t="n">
        <f aca="false">INDEX(Summary!$I$2:$I$201,MATCH($B923,Summary!$A$2:$A$201,0))</f>
        <v>2</v>
      </c>
      <c r="N923" s="0" t="n">
        <f aca="false">INDEX(Summary!$J$2:$J$201,MATCH($B923,Summary!$A$2:$A$201,0))</f>
        <v>3</v>
      </c>
      <c r="O923" s="2" t="n">
        <f aca="false">INDEX(Summary!$K$2:$K$201,MATCH($B923,Summary!$A$2:$A$201,0))</f>
        <v>9.6</v>
      </c>
      <c r="P923" s="3" t="n">
        <f aca="false">INDEX(Summary!$L$2:$L$201,MATCH($B923,Summary!$A$2:$A$201,0))</f>
        <v>4</v>
      </c>
      <c r="Q923" s="3" t="n">
        <f aca="false">INDEX(Summary!$M$2:$M$201,MATCH($B923,Summary!$A$2:$A$201,0))</f>
        <v>2</v>
      </c>
      <c r="R923" s="2" t="n">
        <f aca="false">INDEX(Summary!$N$2:$N$201,MATCH($B923,Summary!$A$2:$A$201,0))</f>
        <v>11.58</v>
      </c>
      <c r="S923" s="3" t="n">
        <f aca="false">INDEX(Summary!$O$2:$O$201,MATCH($B923,Summary!$A$2:$A$201,0))</f>
        <v>7</v>
      </c>
      <c r="T923" s="3" t="n">
        <f aca="false">INDEX(Summary!$P$2:$P$201,MATCH($B923,Summary!$A$2:$A$201,0))</f>
        <v>2</v>
      </c>
      <c r="U923" s="2" t="n">
        <f aca="false">INDEX(Summary!$Q$2:$Q$201,MATCH($B923,Summary!$A$2:$A$201,0))</f>
        <v>11.08</v>
      </c>
      <c r="V923" s="2" t="n">
        <f aca="false">INDEX(Summary!$R$2:$R$201,MATCH($B923,Summary!$A$2:$A$201,0))</f>
        <v>23.25</v>
      </c>
      <c r="W923" s="0" t="str">
        <f aca="false">INDEX(Summary!$S$2:$S$201,MATCH($B923,Summary!$A$2:$A$201,0))</f>
        <v>Silver</v>
      </c>
      <c r="X923" s="2" t="n">
        <f aca="false">INDEX(Summary!$T$2:$T$201,MATCH($B923,Summary!$A$2:$A$201,0))</f>
        <v>56.71</v>
      </c>
      <c r="Y923" s="0" t="str">
        <f aca="false">INDEX('Reward Model'!$E$18:$E$37,MATCH($E923,'Reward Model'!$A$18:$A$37,0))</f>
        <v>Low</v>
      </c>
      <c r="Z923" s="4" t="n">
        <f aca="false">ROUND(MIN(1,MAX('Reward Model'!$B$2,INDEX('Reward Model'!$C$12:$C$14,MATCH($K923,'Reward Model'!$A$12:$A$14,0))/$J923)),3)</f>
        <v>1</v>
      </c>
      <c r="AA923" s="2" t="n">
        <f aca="false">IF($I923="Correct",ROUND(INDEX('Reward Model'!$B$12:$B$14,MATCH($K923,'Reward Model'!$A$12:$A$14,0))*Z923,2),0)</f>
        <v>0</v>
      </c>
      <c r="AB923" s="2" t="n">
        <f aca="false">IF($I923="Correct",ROUND(INDEX('Reward Model'!$B$12:$B$14,MATCH($Y923,'Reward Model'!$A$12:$A$14,0))*Z923,2),0)</f>
        <v>0</v>
      </c>
    </row>
    <row r="924" customFormat="false" ht="15" hidden="false" customHeight="false" outlineLevel="0" collapsed="false">
      <c r="A924" s="0" t="s">
        <v>221</v>
      </c>
      <c r="B924" s="0" t="s">
        <v>222</v>
      </c>
      <c r="C924" s="0" t="s">
        <v>30</v>
      </c>
      <c r="D924" s="0" t="s">
        <v>189</v>
      </c>
      <c r="E924" s="0" t="n">
        <v>3</v>
      </c>
      <c r="F924" s="0" t="s">
        <v>40</v>
      </c>
      <c r="G924" s="0" t="s">
        <v>42</v>
      </c>
      <c r="H924" s="0" t="s">
        <v>42</v>
      </c>
      <c r="I924" s="0" t="s">
        <v>34</v>
      </c>
      <c r="J924" s="0" t="n">
        <v>1.57</v>
      </c>
      <c r="K924" s="0" t="s">
        <v>35</v>
      </c>
      <c r="L924" s="0" t="n">
        <f aca="false">INDEX(Summary!$F$2:$F$201,MATCH($B924,Summary!$A$2:$A$201,0))</f>
        <v>20</v>
      </c>
      <c r="M924" s="0" t="n">
        <f aca="false">INDEX(Summary!$I$2:$I$201,MATCH($B924,Summary!$A$2:$A$201,0))</f>
        <v>2</v>
      </c>
      <c r="N924" s="0" t="n">
        <f aca="false">INDEX(Summary!$J$2:$J$201,MATCH($B924,Summary!$A$2:$A$201,0))</f>
        <v>3</v>
      </c>
      <c r="O924" s="2" t="n">
        <f aca="false">INDEX(Summary!$K$2:$K$201,MATCH($B924,Summary!$A$2:$A$201,0))</f>
        <v>9.6</v>
      </c>
      <c r="P924" s="3" t="n">
        <f aca="false">INDEX(Summary!$L$2:$L$201,MATCH($B924,Summary!$A$2:$A$201,0))</f>
        <v>4</v>
      </c>
      <c r="Q924" s="3" t="n">
        <f aca="false">INDEX(Summary!$M$2:$M$201,MATCH($B924,Summary!$A$2:$A$201,0))</f>
        <v>2</v>
      </c>
      <c r="R924" s="2" t="n">
        <f aca="false">INDEX(Summary!$N$2:$N$201,MATCH($B924,Summary!$A$2:$A$201,0))</f>
        <v>11.58</v>
      </c>
      <c r="S924" s="3" t="n">
        <f aca="false">INDEX(Summary!$O$2:$O$201,MATCH($B924,Summary!$A$2:$A$201,0))</f>
        <v>7</v>
      </c>
      <c r="T924" s="3" t="n">
        <f aca="false">INDEX(Summary!$P$2:$P$201,MATCH($B924,Summary!$A$2:$A$201,0))</f>
        <v>2</v>
      </c>
      <c r="U924" s="2" t="n">
        <f aca="false">INDEX(Summary!$Q$2:$Q$201,MATCH($B924,Summary!$A$2:$A$201,0))</f>
        <v>11.08</v>
      </c>
      <c r="V924" s="2" t="n">
        <f aca="false">INDEX(Summary!$R$2:$R$201,MATCH($B924,Summary!$A$2:$A$201,0))</f>
        <v>23.25</v>
      </c>
      <c r="W924" s="0" t="str">
        <f aca="false">INDEX(Summary!$S$2:$S$201,MATCH($B924,Summary!$A$2:$A$201,0))</f>
        <v>Silver</v>
      </c>
      <c r="X924" s="2" t="n">
        <f aca="false">INDEX(Summary!$T$2:$T$201,MATCH($B924,Summary!$A$2:$A$201,0))</f>
        <v>56.71</v>
      </c>
      <c r="Y924" s="0" t="str">
        <f aca="false">INDEX('Reward Model'!$E$18:$E$37,MATCH($E924,'Reward Model'!$A$18:$A$37,0))</f>
        <v>Medium</v>
      </c>
      <c r="Z924" s="4" t="n">
        <f aca="false">ROUND(MIN(1,MAX('Reward Model'!$B$2,INDEX('Reward Model'!$C$12:$C$14,MATCH($K924,'Reward Model'!$A$12:$A$14,0))/$J924)),3)</f>
        <v>0.955</v>
      </c>
      <c r="AA924" s="2" t="n">
        <f aca="false">IF($I924="Correct",ROUND(INDEX('Reward Model'!$B$12:$B$14,MATCH($K924,'Reward Model'!$A$12:$A$14,0))*Z924,2),0)</f>
        <v>0.96</v>
      </c>
      <c r="AB924" s="2" t="n">
        <f aca="false">IF($I924="Correct",ROUND(INDEX('Reward Model'!$B$12:$B$14,MATCH($Y924,'Reward Model'!$A$12:$A$14,0))*Z924,2),0)</f>
        <v>1.91</v>
      </c>
    </row>
    <row r="925" customFormat="false" ht="15" hidden="false" customHeight="false" outlineLevel="0" collapsed="false">
      <c r="A925" s="0" t="s">
        <v>221</v>
      </c>
      <c r="B925" s="0" t="s">
        <v>222</v>
      </c>
      <c r="C925" s="0" t="s">
        <v>30</v>
      </c>
      <c r="D925" s="0" t="s">
        <v>189</v>
      </c>
      <c r="E925" s="0" t="n">
        <v>4</v>
      </c>
      <c r="F925" s="0" t="s">
        <v>43</v>
      </c>
      <c r="G925" s="0" t="s">
        <v>45</v>
      </c>
      <c r="H925" s="0" t="s">
        <v>45</v>
      </c>
      <c r="I925" s="0" t="s">
        <v>34</v>
      </c>
      <c r="J925" s="0" t="n">
        <v>0.94</v>
      </c>
      <c r="K925" s="0" t="s">
        <v>35</v>
      </c>
      <c r="L925" s="0" t="n">
        <f aca="false">INDEX(Summary!$F$2:$F$201,MATCH($B925,Summary!$A$2:$A$201,0))</f>
        <v>20</v>
      </c>
      <c r="M925" s="0" t="n">
        <f aca="false">INDEX(Summary!$I$2:$I$201,MATCH($B925,Summary!$A$2:$A$201,0))</f>
        <v>2</v>
      </c>
      <c r="N925" s="0" t="n">
        <f aca="false">INDEX(Summary!$J$2:$J$201,MATCH($B925,Summary!$A$2:$A$201,0))</f>
        <v>3</v>
      </c>
      <c r="O925" s="2" t="n">
        <f aca="false">INDEX(Summary!$K$2:$K$201,MATCH($B925,Summary!$A$2:$A$201,0))</f>
        <v>9.6</v>
      </c>
      <c r="P925" s="3" t="n">
        <f aca="false">INDEX(Summary!$L$2:$L$201,MATCH($B925,Summary!$A$2:$A$201,0))</f>
        <v>4</v>
      </c>
      <c r="Q925" s="3" t="n">
        <f aca="false">INDEX(Summary!$M$2:$M$201,MATCH($B925,Summary!$A$2:$A$201,0))</f>
        <v>2</v>
      </c>
      <c r="R925" s="2" t="n">
        <f aca="false">INDEX(Summary!$N$2:$N$201,MATCH($B925,Summary!$A$2:$A$201,0))</f>
        <v>11.58</v>
      </c>
      <c r="S925" s="3" t="n">
        <f aca="false">INDEX(Summary!$O$2:$O$201,MATCH($B925,Summary!$A$2:$A$201,0))</f>
        <v>7</v>
      </c>
      <c r="T925" s="3" t="n">
        <f aca="false">INDEX(Summary!$P$2:$P$201,MATCH($B925,Summary!$A$2:$A$201,0))</f>
        <v>2</v>
      </c>
      <c r="U925" s="2" t="n">
        <f aca="false">INDEX(Summary!$Q$2:$Q$201,MATCH($B925,Summary!$A$2:$A$201,0))</f>
        <v>11.08</v>
      </c>
      <c r="V925" s="2" t="n">
        <f aca="false">INDEX(Summary!$R$2:$R$201,MATCH($B925,Summary!$A$2:$A$201,0))</f>
        <v>23.25</v>
      </c>
      <c r="W925" s="0" t="str">
        <f aca="false">INDEX(Summary!$S$2:$S$201,MATCH($B925,Summary!$A$2:$A$201,0))</f>
        <v>Silver</v>
      </c>
      <c r="X925" s="2" t="n">
        <f aca="false">INDEX(Summary!$T$2:$T$201,MATCH($B925,Summary!$A$2:$A$201,0))</f>
        <v>56.71</v>
      </c>
      <c r="Y925" s="0" t="str">
        <f aca="false">INDEX('Reward Model'!$E$18:$E$37,MATCH($E925,'Reward Model'!$A$18:$A$37,0))</f>
        <v>Low</v>
      </c>
      <c r="Z925" s="4" t="n">
        <f aca="false">ROUND(MIN(1,MAX('Reward Model'!$B$2,INDEX('Reward Model'!$C$12:$C$14,MATCH($K925,'Reward Model'!$A$12:$A$14,0))/$J925)),3)</f>
        <v>1</v>
      </c>
      <c r="AA925" s="2" t="n">
        <f aca="false">IF($I925="Correct",ROUND(INDEX('Reward Model'!$B$12:$B$14,MATCH($K925,'Reward Model'!$A$12:$A$14,0))*Z925,2),0)</f>
        <v>1</v>
      </c>
      <c r="AB925" s="2" t="n">
        <f aca="false">IF($I925="Correct",ROUND(INDEX('Reward Model'!$B$12:$B$14,MATCH($Y925,'Reward Model'!$A$12:$A$14,0))*Z925,2),0)</f>
        <v>1</v>
      </c>
    </row>
    <row r="926" customFormat="false" ht="15" hidden="false" customHeight="false" outlineLevel="0" collapsed="false">
      <c r="A926" s="0" t="s">
        <v>221</v>
      </c>
      <c r="B926" s="0" t="s">
        <v>222</v>
      </c>
      <c r="C926" s="0" t="s">
        <v>30</v>
      </c>
      <c r="D926" s="0" t="s">
        <v>189</v>
      </c>
      <c r="E926" s="0" t="n">
        <v>5</v>
      </c>
      <c r="F926" s="0" t="s">
        <v>46</v>
      </c>
      <c r="G926" s="0" t="s">
        <v>47</v>
      </c>
      <c r="H926" s="0" t="s">
        <v>47</v>
      </c>
      <c r="I926" s="0" t="s">
        <v>34</v>
      </c>
      <c r="J926" s="0" t="n">
        <v>1.55</v>
      </c>
      <c r="K926" s="0" t="s">
        <v>35</v>
      </c>
      <c r="L926" s="0" t="n">
        <f aca="false">INDEX(Summary!$F$2:$F$201,MATCH($B926,Summary!$A$2:$A$201,0))</f>
        <v>20</v>
      </c>
      <c r="M926" s="0" t="n">
        <f aca="false">INDEX(Summary!$I$2:$I$201,MATCH($B926,Summary!$A$2:$A$201,0))</f>
        <v>2</v>
      </c>
      <c r="N926" s="0" t="n">
        <f aca="false">INDEX(Summary!$J$2:$J$201,MATCH($B926,Summary!$A$2:$A$201,0))</f>
        <v>3</v>
      </c>
      <c r="O926" s="2" t="n">
        <f aca="false">INDEX(Summary!$K$2:$K$201,MATCH($B926,Summary!$A$2:$A$201,0))</f>
        <v>9.6</v>
      </c>
      <c r="P926" s="3" t="n">
        <f aca="false">INDEX(Summary!$L$2:$L$201,MATCH($B926,Summary!$A$2:$A$201,0))</f>
        <v>4</v>
      </c>
      <c r="Q926" s="3" t="n">
        <f aca="false">INDEX(Summary!$M$2:$M$201,MATCH($B926,Summary!$A$2:$A$201,0))</f>
        <v>2</v>
      </c>
      <c r="R926" s="2" t="n">
        <f aca="false">INDEX(Summary!$N$2:$N$201,MATCH($B926,Summary!$A$2:$A$201,0))</f>
        <v>11.58</v>
      </c>
      <c r="S926" s="3" t="n">
        <f aca="false">INDEX(Summary!$O$2:$O$201,MATCH($B926,Summary!$A$2:$A$201,0))</f>
        <v>7</v>
      </c>
      <c r="T926" s="3" t="n">
        <f aca="false">INDEX(Summary!$P$2:$P$201,MATCH($B926,Summary!$A$2:$A$201,0))</f>
        <v>2</v>
      </c>
      <c r="U926" s="2" t="n">
        <f aca="false">INDEX(Summary!$Q$2:$Q$201,MATCH($B926,Summary!$A$2:$A$201,0))</f>
        <v>11.08</v>
      </c>
      <c r="V926" s="2" t="n">
        <f aca="false">INDEX(Summary!$R$2:$R$201,MATCH($B926,Summary!$A$2:$A$201,0))</f>
        <v>23.25</v>
      </c>
      <c r="W926" s="0" t="str">
        <f aca="false">INDEX(Summary!$S$2:$S$201,MATCH($B926,Summary!$A$2:$A$201,0))</f>
        <v>Silver</v>
      </c>
      <c r="X926" s="2" t="n">
        <f aca="false">INDEX(Summary!$T$2:$T$201,MATCH($B926,Summary!$A$2:$A$201,0))</f>
        <v>56.71</v>
      </c>
      <c r="Y926" s="0" t="str">
        <f aca="false">INDEX('Reward Model'!$E$18:$E$37,MATCH($E926,'Reward Model'!$A$18:$A$37,0))</f>
        <v>Low</v>
      </c>
      <c r="Z926" s="4" t="n">
        <f aca="false">ROUND(MIN(1,MAX('Reward Model'!$B$2,INDEX('Reward Model'!$C$12:$C$14,MATCH($K926,'Reward Model'!$A$12:$A$14,0))/$J926)),3)</f>
        <v>0.968</v>
      </c>
      <c r="AA926" s="2" t="n">
        <f aca="false">IF($I926="Correct",ROUND(INDEX('Reward Model'!$B$12:$B$14,MATCH($K926,'Reward Model'!$A$12:$A$14,0))*Z926,2),0)</f>
        <v>0.97</v>
      </c>
      <c r="AB926" s="2" t="n">
        <f aca="false">IF($I926="Correct",ROUND(INDEX('Reward Model'!$B$12:$B$14,MATCH($Y926,'Reward Model'!$A$12:$A$14,0))*Z926,2),0)</f>
        <v>0.97</v>
      </c>
    </row>
    <row r="927" customFormat="false" ht="15" hidden="false" customHeight="false" outlineLevel="0" collapsed="false">
      <c r="A927" s="0" t="s">
        <v>221</v>
      </c>
      <c r="B927" s="0" t="s">
        <v>222</v>
      </c>
      <c r="C927" s="0" t="s">
        <v>30</v>
      </c>
      <c r="D927" s="0" t="s">
        <v>189</v>
      </c>
      <c r="E927" s="0" t="n">
        <v>6</v>
      </c>
      <c r="F927" s="0" t="s">
        <v>48</v>
      </c>
      <c r="G927" s="0" t="s">
        <v>169</v>
      </c>
      <c r="H927" s="0" t="s">
        <v>49</v>
      </c>
      <c r="I927" s="0" t="s">
        <v>39</v>
      </c>
      <c r="J927" s="0" t="n">
        <v>1.14</v>
      </c>
      <c r="K927" s="0" t="s">
        <v>35</v>
      </c>
      <c r="L927" s="0" t="n">
        <f aca="false">INDEX(Summary!$F$2:$F$201,MATCH($B927,Summary!$A$2:$A$201,0))</f>
        <v>20</v>
      </c>
      <c r="M927" s="0" t="n">
        <f aca="false">INDEX(Summary!$I$2:$I$201,MATCH($B927,Summary!$A$2:$A$201,0))</f>
        <v>2</v>
      </c>
      <c r="N927" s="0" t="n">
        <f aca="false">INDEX(Summary!$J$2:$J$201,MATCH($B927,Summary!$A$2:$A$201,0))</f>
        <v>3</v>
      </c>
      <c r="O927" s="2" t="n">
        <f aca="false">INDEX(Summary!$K$2:$K$201,MATCH($B927,Summary!$A$2:$A$201,0))</f>
        <v>9.6</v>
      </c>
      <c r="P927" s="3" t="n">
        <f aca="false">INDEX(Summary!$L$2:$L$201,MATCH($B927,Summary!$A$2:$A$201,0))</f>
        <v>4</v>
      </c>
      <c r="Q927" s="3" t="n">
        <f aca="false">INDEX(Summary!$M$2:$M$201,MATCH($B927,Summary!$A$2:$A$201,0))</f>
        <v>2</v>
      </c>
      <c r="R927" s="2" t="n">
        <f aca="false">INDEX(Summary!$N$2:$N$201,MATCH($B927,Summary!$A$2:$A$201,0))</f>
        <v>11.58</v>
      </c>
      <c r="S927" s="3" t="n">
        <f aca="false">INDEX(Summary!$O$2:$O$201,MATCH($B927,Summary!$A$2:$A$201,0))</f>
        <v>7</v>
      </c>
      <c r="T927" s="3" t="n">
        <f aca="false">INDEX(Summary!$P$2:$P$201,MATCH($B927,Summary!$A$2:$A$201,0))</f>
        <v>2</v>
      </c>
      <c r="U927" s="2" t="n">
        <f aca="false">INDEX(Summary!$Q$2:$Q$201,MATCH($B927,Summary!$A$2:$A$201,0))</f>
        <v>11.08</v>
      </c>
      <c r="V927" s="2" t="n">
        <f aca="false">INDEX(Summary!$R$2:$R$201,MATCH($B927,Summary!$A$2:$A$201,0))</f>
        <v>23.25</v>
      </c>
      <c r="W927" s="0" t="str">
        <f aca="false">INDEX(Summary!$S$2:$S$201,MATCH($B927,Summary!$A$2:$A$201,0))</f>
        <v>Silver</v>
      </c>
      <c r="X927" s="2" t="n">
        <f aca="false">INDEX(Summary!$T$2:$T$201,MATCH($B927,Summary!$A$2:$A$201,0))</f>
        <v>56.71</v>
      </c>
      <c r="Y927" s="0" t="str">
        <f aca="false">INDEX('Reward Model'!$E$18:$E$37,MATCH($E927,'Reward Model'!$A$18:$A$37,0))</f>
        <v>Medium</v>
      </c>
      <c r="Z927" s="4" t="n">
        <f aca="false">ROUND(MIN(1,MAX('Reward Model'!$B$2,INDEX('Reward Model'!$C$12:$C$14,MATCH($K927,'Reward Model'!$A$12:$A$14,0))/$J927)),3)</f>
        <v>1</v>
      </c>
      <c r="AA927" s="2" t="n">
        <f aca="false">IF($I927="Correct",ROUND(INDEX('Reward Model'!$B$12:$B$14,MATCH($K927,'Reward Model'!$A$12:$A$14,0))*Z927,2),0)</f>
        <v>0</v>
      </c>
      <c r="AB927" s="2" t="n">
        <f aca="false">IF($I927="Correct",ROUND(INDEX('Reward Model'!$B$12:$B$14,MATCH($Y927,'Reward Model'!$A$12:$A$14,0))*Z927,2),0)</f>
        <v>0</v>
      </c>
    </row>
    <row r="928" customFormat="false" ht="15" hidden="false" customHeight="false" outlineLevel="0" collapsed="false">
      <c r="A928" s="0" t="s">
        <v>221</v>
      </c>
      <c r="B928" s="0" t="s">
        <v>222</v>
      </c>
      <c r="C928" s="0" t="s">
        <v>30</v>
      </c>
      <c r="D928" s="0" t="s">
        <v>189</v>
      </c>
      <c r="E928" s="0" t="n">
        <v>7</v>
      </c>
      <c r="F928" s="0" t="s">
        <v>50</v>
      </c>
      <c r="G928" s="0" t="s">
        <v>51</v>
      </c>
      <c r="H928" s="0" t="s">
        <v>51</v>
      </c>
      <c r="I928" s="0" t="s">
        <v>34</v>
      </c>
      <c r="J928" s="0" t="n">
        <v>1.45</v>
      </c>
      <c r="K928" s="0" t="s">
        <v>35</v>
      </c>
      <c r="L928" s="0" t="n">
        <f aca="false">INDEX(Summary!$F$2:$F$201,MATCH($B928,Summary!$A$2:$A$201,0))</f>
        <v>20</v>
      </c>
      <c r="M928" s="0" t="n">
        <f aca="false">INDEX(Summary!$I$2:$I$201,MATCH($B928,Summary!$A$2:$A$201,0))</f>
        <v>2</v>
      </c>
      <c r="N928" s="0" t="n">
        <f aca="false">INDEX(Summary!$J$2:$J$201,MATCH($B928,Summary!$A$2:$A$201,0))</f>
        <v>3</v>
      </c>
      <c r="O928" s="2" t="n">
        <f aca="false">INDEX(Summary!$K$2:$K$201,MATCH($B928,Summary!$A$2:$A$201,0))</f>
        <v>9.6</v>
      </c>
      <c r="P928" s="3" t="n">
        <f aca="false">INDEX(Summary!$L$2:$L$201,MATCH($B928,Summary!$A$2:$A$201,0))</f>
        <v>4</v>
      </c>
      <c r="Q928" s="3" t="n">
        <f aca="false">INDEX(Summary!$M$2:$M$201,MATCH($B928,Summary!$A$2:$A$201,0))</f>
        <v>2</v>
      </c>
      <c r="R928" s="2" t="n">
        <f aca="false">INDEX(Summary!$N$2:$N$201,MATCH($B928,Summary!$A$2:$A$201,0))</f>
        <v>11.58</v>
      </c>
      <c r="S928" s="3" t="n">
        <f aca="false">INDEX(Summary!$O$2:$O$201,MATCH($B928,Summary!$A$2:$A$201,0))</f>
        <v>7</v>
      </c>
      <c r="T928" s="3" t="n">
        <f aca="false">INDEX(Summary!$P$2:$P$201,MATCH($B928,Summary!$A$2:$A$201,0))</f>
        <v>2</v>
      </c>
      <c r="U928" s="2" t="n">
        <f aca="false">INDEX(Summary!$Q$2:$Q$201,MATCH($B928,Summary!$A$2:$A$201,0))</f>
        <v>11.08</v>
      </c>
      <c r="V928" s="2" t="n">
        <f aca="false">INDEX(Summary!$R$2:$R$201,MATCH($B928,Summary!$A$2:$A$201,0))</f>
        <v>23.25</v>
      </c>
      <c r="W928" s="0" t="str">
        <f aca="false">INDEX(Summary!$S$2:$S$201,MATCH($B928,Summary!$A$2:$A$201,0))</f>
        <v>Silver</v>
      </c>
      <c r="X928" s="2" t="n">
        <f aca="false">INDEX(Summary!$T$2:$T$201,MATCH($B928,Summary!$A$2:$A$201,0))</f>
        <v>56.71</v>
      </c>
      <c r="Y928" s="0" t="str">
        <f aca="false">INDEX('Reward Model'!$E$18:$E$37,MATCH($E928,'Reward Model'!$A$18:$A$37,0))</f>
        <v>Low</v>
      </c>
      <c r="Z928" s="4" t="n">
        <f aca="false">ROUND(MIN(1,MAX('Reward Model'!$B$2,INDEX('Reward Model'!$C$12:$C$14,MATCH($K928,'Reward Model'!$A$12:$A$14,0))/$J928)),3)</f>
        <v>1</v>
      </c>
      <c r="AA928" s="2" t="n">
        <f aca="false">IF($I928="Correct",ROUND(INDEX('Reward Model'!$B$12:$B$14,MATCH($K928,'Reward Model'!$A$12:$A$14,0))*Z928,2),0)</f>
        <v>1</v>
      </c>
      <c r="AB928" s="2" t="n">
        <f aca="false">IF($I928="Correct",ROUND(INDEX('Reward Model'!$B$12:$B$14,MATCH($Y928,'Reward Model'!$A$12:$A$14,0))*Z928,2),0)</f>
        <v>1</v>
      </c>
    </row>
    <row r="929" customFormat="false" ht="15" hidden="false" customHeight="false" outlineLevel="0" collapsed="false">
      <c r="A929" s="0" t="s">
        <v>221</v>
      </c>
      <c r="B929" s="0" t="s">
        <v>222</v>
      </c>
      <c r="C929" s="0" t="s">
        <v>30</v>
      </c>
      <c r="D929" s="0" t="s">
        <v>189</v>
      </c>
      <c r="E929" s="0" t="n">
        <v>8</v>
      </c>
      <c r="F929" s="0" t="s">
        <v>52</v>
      </c>
      <c r="G929" s="0" t="s">
        <v>54</v>
      </c>
      <c r="H929" s="0" t="s">
        <v>54</v>
      </c>
      <c r="I929" s="0" t="s">
        <v>34</v>
      </c>
      <c r="J929" s="0" t="n">
        <v>1.19</v>
      </c>
      <c r="K929" s="0" t="s">
        <v>35</v>
      </c>
      <c r="L929" s="0" t="n">
        <f aca="false">INDEX(Summary!$F$2:$F$201,MATCH($B929,Summary!$A$2:$A$201,0))</f>
        <v>20</v>
      </c>
      <c r="M929" s="0" t="n">
        <f aca="false">INDEX(Summary!$I$2:$I$201,MATCH($B929,Summary!$A$2:$A$201,0))</f>
        <v>2</v>
      </c>
      <c r="N929" s="0" t="n">
        <f aca="false">INDEX(Summary!$J$2:$J$201,MATCH($B929,Summary!$A$2:$A$201,0))</f>
        <v>3</v>
      </c>
      <c r="O929" s="2" t="n">
        <f aca="false">INDEX(Summary!$K$2:$K$201,MATCH($B929,Summary!$A$2:$A$201,0))</f>
        <v>9.6</v>
      </c>
      <c r="P929" s="3" t="n">
        <f aca="false">INDEX(Summary!$L$2:$L$201,MATCH($B929,Summary!$A$2:$A$201,0))</f>
        <v>4</v>
      </c>
      <c r="Q929" s="3" t="n">
        <f aca="false">INDEX(Summary!$M$2:$M$201,MATCH($B929,Summary!$A$2:$A$201,0))</f>
        <v>2</v>
      </c>
      <c r="R929" s="2" t="n">
        <f aca="false">INDEX(Summary!$N$2:$N$201,MATCH($B929,Summary!$A$2:$A$201,0))</f>
        <v>11.58</v>
      </c>
      <c r="S929" s="3" t="n">
        <f aca="false">INDEX(Summary!$O$2:$O$201,MATCH($B929,Summary!$A$2:$A$201,0))</f>
        <v>7</v>
      </c>
      <c r="T929" s="3" t="n">
        <f aca="false">INDEX(Summary!$P$2:$P$201,MATCH($B929,Summary!$A$2:$A$201,0))</f>
        <v>2</v>
      </c>
      <c r="U929" s="2" t="n">
        <f aca="false">INDEX(Summary!$Q$2:$Q$201,MATCH($B929,Summary!$A$2:$A$201,0))</f>
        <v>11.08</v>
      </c>
      <c r="V929" s="2" t="n">
        <f aca="false">INDEX(Summary!$R$2:$R$201,MATCH($B929,Summary!$A$2:$A$201,0))</f>
        <v>23.25</v>
      </c>
      <c r="W929" s="0" t="str">
        <f aca="false">INDEX(Summary!$S$2:$S$201,MATCH($B929,Summary!$A$2:$A$201,0))</f>
        <v>Silver</v>
      </c>
      <c r="X929" s="2" t="n">
        <f aca="false">INDEX(Summary!$T$2:$T$201,MATCH($B929,Summary!$A$2:$A$201,0))</f>
        <v>56.71</v>
      </c>
      <c r="Y929" s="0" t="str">
        <f aca="false">INDEX('Reward Model'!$E$18:$E$37,MATCH($E929,'Reward Model'!$A$18:$A$37,0))</f>
        <v>Medium</v>
      </c>
      <c r="Z929" s="4" t="n">
        <f aca="false">ROUND(MIN(1,MAX('Reward Model'!$B$2,INDEX('Reward Model'!$C$12:$C$14,MATCH($K929,'Reward Model'!$A$12:$A$14,0))/$J929)),3)</f>
        <v>1</v>
      </c>
      <c r="AA929" s="2" t="n">
        <f aca="false">IF($I929="Correct",ROUND(INDEX('Reward Model'!$B$12:$B$14,MATCH($K929,'Reward Model'!$A$12:$A$14,0))*Z929,2),0)</f>
        <v>1</v>
      </c>
      <c r="AB929" s="2" t="n">
        <f aca="false">IF($I929="Correct",ROUND(INDEX('Reward Model'!$B$12:$B$14,MATCH($Y929,'Reward Model'!$A$12:$A$14,0))*Z929,2),0)</f>
        <v>2</v>
      </c>
    </row>
    <row r="930" customFormat="false" ht="15" hidden="false" customHeight="false" outlineLevel="0" collapsed="false">
      <c r="A930" s="0" t="s">
        <v>221</v>
      </c>
      <c r="B930" s="0" t="s">
        <v>222</v>
      </c>
      <c r="C930" s="0" t="s">
        <v>30</v>
      </c>
      <c r="D930" s="0" t="s">
        <v>189</v>
      </c>
      <c r="E930" s="0" t="n">
        <v>9</v>
      </c>
      <c r="F930" s="0" t="s">
        <v>55</v>
      </c>
      <c r="G930" s="0" t="s">
        <v>57</v>
      </c>
      <c r="H930" s="0" t="s">
        <v>57</v>
      </c>
      <c r="I930" s="0" t="s">
        <v>34</v>
      </c>
      <c r="J930" s="0" t="n">
        <v>0.9</v>
      </c>
      <c r="K930" s="0" t="s">
        <v>35</v>
      </c>
      <c r="L930" s="0" t="n">
        <f aca="false">INDEX(Summary!$F$2:$F$201,MATCH($B930,Summary!$A$2:$A$201,0))</f>
        <v>20</v>
      </c>
      <c r="M930" s="0" t="n">
        <f aca="false">INDEX(Summary!$I$2:$I$201,MATCH($B930,Summary!$A$2:$A$201,0))</f>
        <v>2</v>
      </c>
      <c r="N930" s="0" t="n">
        <f aca="false">INDEX(Summary!$J$2:$J$201,MATCH($B930,Summary!$A$2:$A$201,0))</f>
        <v>3</v>
      </c>
      <c r="O930" s="2" t="n">
        <f aca="false">INDEX(Summary!$K$2:$K$201,MATCH($B930,Summary!$A$2:$A$201,0))</f>
        <v>9.6</v>
      </c>
      <c r="P930" s="3" t="n">
        <f aca="false">INDEX(Summary!$L$2:$L$201,MATCH($B930,Summary!$A$2:$A$201,0))</f>
        <v>4</v>
      </c>
      <c r="Q930" s="3" t="n">
        <f aca="false">INDEX(Summary!$M$2:$M$201,MATCH($B930,Summary!$A$2:$A$201,0))</f>
        <v>2</v>
      </c>
      <c r="R930" s="2" t="n">
        <f aca="false">INDEX(Summary!$N$2:$N$201,MATCH($B930,Summary!$A$2:$A$201,0))</f>
        <v>11.58</v>
      </c>
      <c r="S930" s="3" t="n">
        <f aca="false">INDEX(Summary!$O$2:$O$201,MATCH($B930,Summary!$A$2:$A$201,0))</f>
        <v>7</v>
      </c>
      <c r="T930" s="3" t="n">
        <f aca="false">INDEX(Summary!$P$2:$P$201,MATCH($B930,Summary!$A$2:$A$201,0))</f>
        <v>2</v>
      </c>
      <c r="U930" s="2" t="n">
        <f aca="false">INDEX(Summary!$Q$2:$Q$201,MATCH($B930,Summary!$A$2:$A$201,0))</f>
        <v>11.08</v>
      </c>
      <c r="V930" s="2" t="n">
        <f aca="false">INDEX(Summary!$R$2:$R$201,MATCH($B930,Summary!$A$2:$A$201,0))</f>
        <v>23.25</v>
      </c>
      <c r="W930" s="0" t="str">
        <f aca="false">INDEX(Summary!$S$2:$S$201,MATCH($B930,Summary!$A$2:$A$201,0))</f>
        <v>Silver</v>
      </c>
      <c r="X930" s="2" t="n">
        <f aca="false">INDEX(Summary!$T$2:$T$201,MATCH($B930,Summary!$A$2:$A$201,0))</f>
        <v>56.71</v>
      </c>
      <c r="Y930" s="0" t="str">
        <f aca="false">INDEX('Reward Model'!$E$18:$E$37,MATCH($E930,'Reward Model'!$A$18:$A$37,0))</f>
        <v>Medium</v>
      </c>
      <c r="Z930" s="4" t="n">
        <f aca="false">ROUND(MIN(1,MAX('Reward Model'!$B$2,INDEX('Reward Model'!$C$12:$C$14,MATCH($K930,'Reward Model'!$A$12:$A$14,0))/$J930)),3)</f>
        <v>1</v>
      </c>
      <c r="AA930" s="2" t="n">
        <f aca="false">IF($I930="Correct",ROUND(INDEX('Reward Model'!$B$12:$B$14,MATCH($K930,'Reward Model'!$A$12:$A$14,0))*Z930,2),0)</f>
        <v>1</v>
      </c>
      <c r="AB930" s="2" t="n">
        <f aca="false">IF($I930="Correct",ROUND(INDEX('Reward Model'!$B$12:$B$14,MATCH($Y930,'Reward Model'!$A$12:$A$14,0))*Z930,2),0)</f>
        <v>2</v>
      </c>
    </row>
    <row r="931" customFormat="false" ht="15" hidden="false" customHeight="false" outlineLevel="0" collapsed="false">
      <c r="A931" s="0" t="s">
        <v>221</v>
      </c>
      <c r="B931" s="0" t="s">
        <v>222</v>
      </c>
      <c r="C931" s="0" t="s">
        <v>30</v>
      </c>
      <c r="D931" s="0" t="s">
        <v>189</v>
      </c>
      <c r="E931" s="0" t="n">
        <v>10</v>
      </c>
      <c r="F931" s="0" t="s">
        <v>58</v>
      </c>
      <c r="G931" s="0" t="s">
        <v>59</v>
      </c>
      <c r="H931" s="0" t="s">
        <v>59</v>
      </c>
      <c r="I931" s="0" t="s">
        <v>34</v>
      </c>
      <c r="J931" s="0" t="n">
        <v>2.29</v>
      </c>
      <c r="K931" s="0" t="s">
        <v>60</v>
      </c>
      <c r="L931" s="0" t="n">
        <f aca="false">INDEX(Summary!$F$2:$F$201,MATCH($B931,Summary!$A$2:$A$201,0))</f>
        <v>20</v>
      </c>
      <c r="M931" s="0" t="n">
        <f aca="false">INDEX(Summary!$I$2:$I$201,MATCH($B931,Summary!$A$2:$A$201,0))</f>
        <v>2</v>
      </c>
      <c r="N931" s="0" t="n">
        <f aca="false">INDEX(Summary!$J$2:$J$201,MATCH($B931,Summary!$A$2:$A$201,0))</f>
        <v>3</v>
      </c>
      <c r="O931" s="2" t="n">
        <f aca="false">INDEX(Summary!$K$2:$K$201,MATCH($B931,Summary!$A$2:$A$201,0))</f>
        <v>9.6</v>
      </c>
      <c r="P931" s="3" t="n">
        <f aca="false">INDEX(Summary!$L$2:$L$201,MATCH($B931,Summary!$A$2:$A$201,0))</f>
        <v>4</v>
      </c>
      <c r="Q931" s="3" t="n">
        <f aca="false">INDEX(Summary!$M$2:$M$201,MATCH($B931,Summary!$A$2:$A$201,0))</f>
        <v>2</v>
      </c>
      <c r="R931" s="2" t="n">
        <f aca="false">INDEX(Summary!$N$2:$N$201,MATCH($B931,Summary!$A$2:$A$201,0))</f>
        <v>11.58</v>
      </c>
      <c r="S931" s="3" t="n">
        <f aca="false">INDEX(Summary!$O$2:$O$201,MATCH($B931,Summary!$A$2:$A$201,0))</f>
        <v>7</v>
      </c>
      <c r="T931" s="3" t="n">
        <f aca="false">INDEX(Summary!$P$2:$P$201,MATCH($B931,Summary!$A$2:$A$201,0))</f>
        <v>2</v>
      </c>
      <c r="U931" s="2" t="n">
        <f aca="false">INDEX(Summary!$Q$2:$Q$201,MATCH($B931,Summary!$A$2:$A$201,0))</f>
        <v>11.08</v>
      </c>
      <c r="V931" s="2" t="n">
        <f aca="false">INDEX(Summary!$R$2:$R$201,MATCH($B931,Summary!$A$2:$A$201,0))</f>
        <v>23.25</v>
      </c>
      <c r="W931" s="0" t="str">
        <f aca="false">INDEX(Summary!$S$2:$S$201,MATCH($B931,Summary!$A$2:$A$201,0))</f>
        <v>Silver</v>
      </c>
      <c r="X931" s="2" t="n">
        <f aca="false">INDEX(Summary!$T$2:$T$201,MATCH($B931,Summary!$A$2:$A$201,0))</f>
        <v>56.71</v>
      </c>
      <c r="Y931" s="0" t="str">
        <f aca="false">INDEX('Reward Model'!$E$18:$E$37,MATCH($E931,'Reward Model'!$A$18:$A$37,0))</f>
        <v>Medium</v>
      </c>
      <c r="Z931" s="4" t="n">
        <f aca="false">ROUND(MIN(1,MAX('Reward Model'!$B$2,INDEX('Reward Model'!$C$12:$C$14,MATCH($K931,'Reward Model'!$A$12:$A$14,0))/$J931)),3)</f>
        <v>0.786</v>
      </c>
      <c r="AA931" s="2" t="n">
        <f aca="false">IF($I931="Correct",ROUND(INDEX('Reward Model'!$B$12:$B$14,MATCH($K931,'Reward Model'!$A$12:$A$14,0))*Z931,2),0)</f>
        <v>1.57</v>
      </c>
      <c r="AB931" s="2" t="n">
        <f aca="false">IF($I931="Correct",ROUND(INDEX('Reward Model'!$B$12:$B$14,MATCH($Y931,'Reward Model'!$A$12:$A$14,0))*Z931,2),0)</f>
        <v>1.57</v>
      </c>
    </row>
    <row r="932" customFormat="false" ht="15" hidden="false" customHeight="false" outlineLevel="0" collapsed="false">
      <c r="A932" s="0" t="s">
        <v>221</v>
      </c>
      <c r="B932" s="0" t="s">
        <v>222</v>
      </c>
      <c r="C932" s="0" t="s">
        <v>30</v>
      </c>
      <c r="D932" s="0" t="s">
        <v>189</v>
      </c>
      <c r="E932" s="0" t="n">
        <v>11</v>
      </c>
      <c r="F932" s="0" t="s">
        <v>61</v>
      </c>
      <c r="G932" s="0" t="s">
        <v>63</v>
      </c>
      <c r="H932" s="0" t="s">
        <v>63</v>
      </c>
      <c r="I932" s="0" t="s">
        <v>34</v>
      </c>
      <c r="J932" s="0" t="n">
        <v>2.11</v>
      </c>
      <c r="K932" s="0" t="s">
        <v>60</v>
      </c>
      <c r="L932" s="0" t="n">
        <f aca="false">INDEX(Summary!$F$2:$F$201,MATCH($B932,Summary!$A$2:$A$201,0))</f>
        <v>20</v>
      </c>
      <c r="M932" s="0" t="n">
        <f aca="false">INDEX(Summary!$I$2:$I$201,MATCH($B932,Summary!$A$2:$A$201,0))</f>
        <v>2</v>
      </c>
      <c r="N932" s="0" t="n">
        <f aca="false">INDEX(Summary!$J$2:$J$201,MATCH($B932,Summary!$A$2:$A$201,0))</f>
        <v>3</v>
      </c>
      <c r="O932" s="2" t="n">
        <f aca="false">INDEX(Summary!$K$2:$K$201,MATCH($B932,Summary!$A$2:$A$201,0))</f>
        <v>9.6</v>
      </c>
      <c r="P932" s="3" t="n">
        <f aca="false">INDEX(Summary!$L$2:$L$201,MATCH($B932,Summary!$A$2:$A$201,0))</f>
        <v>4</v>
      </c>
      <c r="Q932" s="3" t="n">
        <f aca="false">INDEX(Summary!$M$2:$M$201,MATCH($B932,Summary!$A$2:$A$201,0))</f>
        <v>2</v>
      </c>
      <c r="R932" s="2" t="n">
        <f aca="false">INDEX(Summary!$N$2:$N$201,MATCH($B932,Summary!$A$2:$A$201,0))</f>
        <v>11.58</v>
      </c>
      <c r="S932" s="3" t="n">
        <f aca="false">INDEX(Summary!$O$2:$O$201,MATCH($B932,Summary!$A$2:$A$201,0))</f>
        <v>7</v>
      </c>
      <c r="T932" s="3" t="n">
        <f aca="false">INDEX(Summary!$P$2:$P$201,MATCH($B932,Summary!$A$2:$A$201,0))</f>
        <v>2</v>
      </c>
      <c r="U932" s="2" t="n">
        <f aca="false">INDEX(Summary!$Q$2:$Q$201,MATCH($B932,Summary!$A$2:$A$201,0))</f>
        <v>11.08</v>
      </c>
      <c r="V932" s="2" t="n">
        <f aca="false">INDEX(Summary!$R$2:$R$201,MATCH($B932,Summary!$A$2:$A$201,0))</f>
        <v>23.25</v>
      </c>
      <c r="W932" s="0" t="str">
        <f aca="false">INDEX(Summary!$S$2:$S$201,MATCH($B932,Summary!$A$2:$A$201,0))</f>
        <v>Silver</v>
      </c>
      <c r="X932" s="2" t="n">
        <f aca="false">INDEX(Summary!$T$2:$T$201,MATCH($B932,Summary!$A$2:$A$201,0))</f>
        <v>56.71</v>
      </c>
      <c r="Y932" s="0" t="str">
        <f aca="false">INDEX('Reward Model'!$E$18:$E$37,MATCH($E932,'Reward Model'!$A$18:$A$37,0))</f>
        <v>Medium</v>
      </c>
      <c r="Z932" s="4" t="n">
        <f aca="false">ROUND(MIN(1,MAX('Reward Model'!$B$2,INDEX('Reward Model'!$C$12:$C$14,MATCH($K932,'Reward Model'!$A$12:$A$14,0))/$J932)),3)</f>
        <v>0.853</v>
      </c>
      <c r="AA932" s="2" t="n">
        <f aca="false">IF($I932="Correct",ROUND(INDEX('Reward Model'!$B$12:$B$14,MATCH($K932,'Reward Model'!$A$12:$A$14,0))*Z932,2),0)</f>
        <v>1.71</v>
      </c>
      <c r="AB932" s="2" t="n">
        <f aca="false">IF($I932="Correct",ROUND(INDEX('Reward Model'!$B$12:$B$14,MATCH($Y932,'Reward Model'!$A$12:$A$14,0))*Z932,2),0)</f>
        <v>1.71</v>
      </c>
    </row>
    <row r="933" customFormat="false" ht="15" hidden="false" customHeight="false" outlineLevel="0" collapsed="false">
      <c r="A933" s="0" t="s">
        <v>221</v>
      </c>
      <c r="B933" s="0" t="s">
        <v>222</v>
      </c>
      <c r="C933" s="0" t="s">
        <v>30</v>
      </c>
      <c r="D933" s="0" t="s">
        <v>189</v>
      </c>
      <c r="E933" s="0" t="n">
        <v>12</v>
      </c>
      <c r="F933" s="0" t="s">
        <v>64</v>
      </c>
      <c r="G933" s="0" t="s">
        <v>65</v>
      </c>
      <c r="H933" s="0" t="s">
        <v>65</v>
      </c>
      <c r="I933" s="0" t="s">
        <v>34</v>
      </c>
      <c r="J933" s="0" t="n">
        <v>1.81</v>
      </c>
      <c r="K933" s="0" t="s">
        <v>60</v>
      </c>
      <c r="L933" s="0" t="n">
        <f aca="false">INDEX(Summary!$F$2:$F$201,MATCH($B933,Summary!$A$2:$A$201,0))</f>
        <v>20</v>
      </c>
      <c r="M933" s="0" t="n">
        <f aca="false">INDEX(Summary!$I$2:$I$201,MATCH($B933,Summary!$A$2:$A$201,0))</f>
        <v>2</v>
      </c>
      <c r="N933" s="0" t="n">
        <f aca="false">INDEX(Summary!$J$2:$J$201,MATCH($B933,Summary!$A$2:$A$201,0))</f>
        <v>3</v>
      </c>
      <c r="O933" s="2" t="n">
        <f aca="false">INDEX(Summary!$K$2:$K$201,MATCH($B933,Summary!$A$2:$A$201,0))</f>
        <v>9.6</v>
      </c>
      <c r="P933" s="3" t="n">
        <f aca="false">INDEX(Summary!$L$2:$L$201,MATCH($B933,Summary!$A$2:$A$201,0))</f>
        <v>4</v>
      </c>
      <c r="Q933" s="3" t="n">
        <f aca="false">INDEX(Summary!$M$2:$M$201,MATCH($B933,Summary!$A$2:$A$201,0))</f>
        <v>2</v>
      </c>
      <c r="R933" s="2" t="n">
        <f aca="false">INDEX(Summary!$N$2:$N$201,MATCH($B933,Summary!$A$2:$A$201,0))</f>
        <v>11.58</v>
      </c>
      <c r="S933" s="3" t="n">
        <f aca="false">INDEX(Summary!$O$2:$O$201,MATCH($B933,Summary!$A$2:$A$201,0))</f>
        <v>7</v>
      </c>
      <c r="T933" s="3" t="n">
        <f aca="false">INDEX(Summary!$P$2:$P$201,MATCH($B933,Summary!$A$2:$A$201,0))</f>
        <v>2</v>
      </c>
      <c r="U933" s="2" t="n">
        <f aca="false">INDEX(Summary!$Q$2:$Q$201,MATCH($B933,Summary!$A$2:$A$201,0))</f>
        <v>11.08</v>
      </c>
      <c r="V933" s="2" t="n">
        <f aca="false">INDEX(Summary!$R$2:$R$201,MATCH($B933,Summary!$A$2:$A$201,0))</f>
        <v>23.25</v>
      </c>
      <c r="W933" s="0" t="str">
        <f aca="false">INDEX(Summary!$S$2:$S$201,MATCH($B933,Summary!$A$2:$A$201,0))</f>
        <v>Silver</v>
      </c>
      <c r="X933" s="2" t="n">
        <f aca="false">INDEX(Summary!$T$2:$T$201,MATCH($B933,Summary!$A$2:$A$201,0))</f>
        <v>56.71</v>
      </c>
      <c r="Y933" s="0" t="str">
        <f aca="false">INDEX('Reward Model'!$E$18:$E$37,MATCH($E933,'Reward Model'!$A$18:$A$37,0))</f>
        <v>Medium</v>
      </c>
      <c r="Z933" s="4" t="n">
        <f aca="false">ROUND(MIN(1,MAX('Reward Model'!$B$2,INDEX('Reward Model'!$C$12:$C$14,MATCH($K933,'Reward Model'!$A$12:$A$14,0))/$J933)),3)</f>
        <v>0.994</v>
      </c>
      <c r="AA933" s="2" t="n">
        <f aca="false">IF($I933="Correct",ROUND(INDEX('Reward Model'!$B$12:$B$14,MATCH($K933,'Reward Model'!$A$12:$A$14,0))*Z933,2),0)</f>
        <v>1.99</v>
      </c>
      <c r="AB933" s="2" t="n">
        <f aca="false">IF($I933="Correct",ROUND(INDEX('Reward Model'!$B$12:$B$14,MATCH($Y933,'Reward Model'!$A$12:$A$14,0))*Z933,2),0)</f>
        <v>1.99</v>
      </c>
    </row>
    <row r="934" customFormat="false" ht="15" hidden="false" customHeight="false" outlineLevel="0" collapsed="false">
      <c r="A934" s="0" t="s">
        <v>221</v>
      </c>
      <c r="B934" s="0" t="s">
        <v>222</v>
      </c>
      <c r="C934" s="0" t="s">
        <v>30</v>
      </c>
      <c r="D934" s="0" t="s">
        <v>189</v>
      </c>
      <c r="E934" s="0" t="n">
        <v>13</v>
      </c>
      <c r="F934" s="0" t="s">
        <v>66</v>
      </c>
      <c r="G934" s="0" t="s">
        <v>124</v>
      </c>
      <c r="H934" s="0" t="s">
        <v>67</v>
      </c>
      <c r="I934" s="0" t="s">
        <v>39</v>
      </c>
      <c r="J934" s="0" t="n">
        <v>1.93</v>
      </c>
      <c r="K934" s="0" t="s">
        <v>60</v>
      </c>
      <c r="L934" s="0" t="n">
        <f aca="false">INDEX(Summary!$F$2:$F$201,MATCH($B934,Summary!$A$2:$A$201,0))</f>
        <v>20</v>
      </c>
      <c r="M934" s="0" t="n">
        <f aca="false">INDEX(Summary!$I$2:$I$201,MATCH($B934,Summary!$A$2:$A$201,0))</f>
        <v>2</v>
      </c>
      <c r="N934" s="0" t="n">
        <f aca="false">INDEX(Summary!$J$2:$J$201,MATCH($B934,Summary!$A$2:$A$201,0))</f>
        <v>3</v>
      </c>
      <c r="O934" s="2" t="n">
        <f aca="false">INDEX(Summary!$K$2:$K$201,MATCH($B934,Summary!$A$2:$A$201,0))</f>
        <v>9.6</v>
      </c>
      <c r="P934" s="3" t="n">
        <f aca="false">INDEX(Summary!$L$2:$L$201,MATCH($B934,Summary!$A$2:$A$201,0))</f>
        <v>4</v>
      </c>
      <c r="Q934" s="3" t="n">
        <f aca="false">INDEX(Summary!$M$2:$M$201,MATCH($B934,Summary!$A$2:$A$201,0))</f>
        <v>2</v>
      </c>
      <c r="R934" s="2" t="n">
        <f aca="false">INDEX(Summary!$N$2:$N$201,MATCH($B934,Summary!$A$2:$A$201,0))</f>
        <v>11.58</v>
      </c>
      <c r="S934" s="3" t="n">
        <f aca="false">INDEX(Summary!$O$2:$O$201,MATCH($B934,Summary!$A$2:$A$201,0))</f>
        <v>7</v>
      </c>
      <c r="T934" s="3" t="n">
        <f aca="false">INDEX(Summary!$P$2:$P$201,MATCH($B934,Summary!$A$2:$A$201,0))</f>
        <v>2</v>
      </c>
      <c r="U934" s="2" t="n">
        <f aca="false">INDEX(Summary!$Q$2:$Q$201,MATCH($B934,Summary!$A$2:$A$201,0))</f>
        <v>11.08</v>
      </c>
      <c r="V934" s="2" t="n">
        <f aca="false">INDEX(Summary!$R$2:$R$201,MATCH($B934,Summary!$A$2:$A$201,0))</f>
        <v>23.25</v>
      </c>
      <c r="W934" s="0" t="str">
        <f aca="false">INDEX(Summary!$S$2:$S$201,MATCH($B934,Summary!$A$2:$A$201,0))</f>
        <v>Silver</v>
      </c>
      <c r="X934" s="2" t="n">
        <f aca="false">INDEX(Summary!$T$2:$T$201,MATCH($B934,Summary!$A$2:$A$201,0))</f>
        <v>56.71</v>
      </c>
      <c r="Y934" s="0" t="str">
        <f aca="false">INDEX('Reward Model'!$E$18:$E$37,MATCH($E934,'Reward Model'!$A$18:$A$37,0))</f>
        <v>Medium</v>
      </c>
      <c r="Z934" s="4" t="n">
        <f aca="false">ROUND(MIN(1,MAX('Reward Model'!$B$2,INDEX('Reward Model'!$C$12:$C$14,MATCH($K934,'Reward Model'!$A$12:$A$14,0))/$J934)),3)</f>
        <v>0.933</v>
      </c>
      <c r="AA934" s="2" t="n">
        <f aca="false">IF($I934="Correct",ROUND(INDEX('Reward Model'!$B$12:$B$14,MATCH($K934,'Reward Model'!$A$12:$A$14,0))*Z934,2),0)</f>
        <v>0</v>
      </c>
      <c r="AB934" s="2" t="n">
        <f aca="false">IF($I934="Correct",ROUND(INDEX('Reward Model'!$B$12:$B$14,MATCH($Y934,'Reward Model'!$A$12:$A$14,0))*Z934,2),0)</f>
        <v>0</v>
      </c>
    </row>
    <row r="935" customFormat="false" ht="15" hidden="false" customHeight="false" outlineLevel="0" collapsed="false">
      <c r="A935" s="0" t="s">
        <v>221</v>
      </c>
      <c r="B935" s="0" t="s">
        <v>222</v>
      </c>
      <c r="C935" s="0" t="s">
        <v>30</v>
      </c>
      <c r="D935" s="0" t="s">
        <v>189</v>
      </c>
      <c r="E935" s="0" t="n">
        <v>14</v>
      </c>
      <c r="F935" s="0" t="s">
        <v>68</v>
      </c>
      <c r="G935" s="0" t="s">
        <v>118</v>
      </c>
      <c r="H935" s="0" t="s">
        <v>51</v>
      </c>
      <c r="I935" s="0" t="s">
        <v>39</v>
      </c>
      <c r="J935" s="0" t="n">
        <v>2.19</v>
      </c>
      <c r="K935" s="0" t="s">
        <v>60</v>
      </c>
      <c r="L935" s="0" t="n">
        <f aca="false">INDEX(Summary!$F$2:$F$201,MATCH($B935,Summary!$A$2:$A$201,0))</f>
        <v>20</v>
      </c>
      <c r="M935" s="0" t="n">
        <f aca="false">INDEX(Summary!$I$2:$I$201,MATCH($B935,Summary!$A$2:$A$201,0))</f>
        <v>2</v>
      </c>
      <c r="N935" s="0" t="n">
        <f aca="false">INDEX(Summary!$J$2:$J$201,MATCH($B935,Summary!$A$2:$A$201,0))</f>
        <v>3</v>
      </c>
      <c r="O935" s="2" t="n">
        <f aca="false">INDEX(Summary!$K$2:$K$201,MATCH($B935,Summary!$A$2:$A$201,0))</f>
        <v>9.6</v>
      </c>
      <c r="P935" s="3" t="n">
        <f aca="false">INDEX(Summary!$L$2:$L$201,MATCH($B935,Summary!$A$2:$A$201,0))</f>
        <v>4</v>
      </c>
      <c r="Q935" s="3" t="n">
        <f aca="false">INDEX(Summary!$M$2:$M$201,MATCH($B935,Summary!$A$2:$A$201,0))</f>
        <v>2</v>
      </c>
      <c r="R935" s="2" t="n">
        <f aca="false">INDEX(Summary!$N$2:$N$201,MATCH($B935,Summary!$A$2:$A$201,0))</f>
        <v>11.58</v>
      </c>
      <c r="S935" s="3" t="n">
        <f aca="false">INDEX(Summary!$O$2:$O$201,MATCH($B935,Summary!$A$2:$A$201,0))</f>
        <v>7</v>
      </c>
      <c r="T935" s="3" t="n">
        <f aca="false">INDEX(Summary!$P$2:$P$201,MATCH($B935,Summary!$A$2:$A$201,0))</f>
        <v>2</v>
      </c>
      <c r="U935" s="2" t="n">
        <f aca="false">INDEX(Summary!$Q$2:$Q$201,MATCH($B935,Summary!$A$2:$A$201,0))</f>
        <v>11.08</v>
      </c>
      <c r="V935" s="2" t="n">
        <f aca="false">INDEX(Summary!$R$2:$R$201,MATCH($B935,Summary!$A$2:$A$201,0))</f>
        <v>23.25</v>
      </c>
      <c r="W935" s="0" t="str">
        <f aca="false">INDEX(Summary!$S$2:$S$201,MATCH($B935,Summary!$A$2:$A$201,0))</f>
        <v>Silver</v>
      </c>
      <c r="X935" s="2" t="n">
        <f aca="false">INDEX(Summary!$T$2:$T$201,MATCH($B935,Summary!$A$2:$A$201,0))</f>
        <v>56.71</v>
      </c>
      <c r="Y935" s="0" t="str">
        <f aca="false">INDEX('Reward Model'!$E$18:$E$37,MATCH($E935,'Reward Model'!$A$18:$A$37,0))</f>
        <v>Medium</v>
      </c>
      <c r="Z935" s="4" t="n">
        <f aca="false">ROUND(MIN(1,MAX('Reward Model'!$B$2,INDEX('Reward Model'!$C$12:$C$14,MATCH($K935,'Reward Model'!$A$12:$A$14,0))/$J935)),3)</f>
        <v>0.822</v>
      </c>
      <c r="AA935" s="2" t="n">
        <f aca="false">IF($I935="Correct",ROUND(INDEX('Reward Model'!$B$12:$B$14,MATCH($K935,'Reward Model'!$A$12:$A$14,0))*Z935,2),0)</f>
        <v>0</v>
      </c>
      <c r="AB935" s="2" t="n">
        <f aca="false">IF($I935="Correct",ROUND(INDEX('Reward Model'!$B$12:$B$14,MATCH($Y935,'Reward Model'!$A$12:$A$14,0))*Z935,2),0)</f>
        <v>0</v>
      </c>
    </row>
    <row r="936" customFormat="false" ht="15" hidden="false" customHeight="false" outlineLevel="0" collapsed="false">
      <c r="A936" s="0" t="s">
        <v>221</v>
      </c>
      <c r="B936" s="0" t="s">
        <v>222</v>
      </c>
      <c r="C936" s="0" t="s">
        <v>30</v>
      </c>
      <c r="D936" s="0" t="s">
        <v>189</v>
      </c>
      <c r="E936" s="0" t="n">
        <v>15</v>
      </c>
      <c r="F936" s="0" t="s">
        <v>69</v>
      </c>
      <c r="G936" s="0" t="s">
        <v>70</v>
      </c>
      <c r="H936" s="0" t="s">
        <v>70</v>
      </c>
      <c r="I936" s="0" t="s">
        <v>34</v>
      </c>
      <c r="J936" s="0" t="n">
        <v>1.25</v>
      </c>
      <c r="K936" s="0" t="s">
        <v>60</v>
      </c>
      <c r="L936" s="0" t="n">
        <f aca="false">INDEX(Summary!$F$2:$F$201,MATCH($B936,Summary!$A$2:$A$201,0))</f>
        <v>20</v>
      </c>
      <c r="M936" s="0" t="n">
        <f aca="false">INDEX(Summary!$I$2:$I$201,MATCH($B936,Summary!$A$2:$A$201,0))</f>
        <v>2</v>
      </c>
      <c r="N936" s="0" t="n">
        <f aca="false">INDEX(Summary!$J$2:$J$201,MATCH($B936,Summary!$A$2:$A$201,0))</f>
        <v>3</v>
      </c>
      <c r="O936" s="2" t="n">
        <f aca="false">INDEX(Summary!$K$2:$K$201,MATCH($B936,Summary!$A$2:$A$201,0))</f>
        <v>9.6</v>
      </c>
      <c r="P936" s="3" t="n">
        <f aca="false">INDEX(Summary!$L$2:$L$201,MATCH($B936,Summary!$A$2:$A$201,0))</f>
        <v>4</v>
      </c>
      <c r="Q936" s="3" t="n">
        <f aca="false">INDEX(Summary!$M$2:$M$201,MATCH($B936,Summary!$A$2:$A$201,0))</f>
        <v>2</v>
      </c>
      <c r="R936" s="2" t="n">
        <f aca="false">INDEX(Summary!$N$2:$N$201,MATCH($B936,Summary!$A$2:$A$201,0))</f>
        <v>11.58</v>
      </c>
      <c r="S936" s="3" t="n">
        <f aca="false">INDEX(Summary!$O$2:$O$201,MATCH($B936,Summary!$A$2:$A$201,0))</f>
        <v>7</v>
      </c>
      <c r="T936" s="3" t="n">
        <f aca="false">INDEX(Summary!$P$2:$P$201,MATCH($B936,Summary!$A$2:$A$201,0))</f>
        <v>2</v>
      </c>
      <c r="U936" s="2" t="n">
        <f aca="false">INDEX(Summary!$Q$2:$Q$201,MATCH($B936,Summary!$A$2:$A$201,0))</f>
        <v>11.08</v>
      </c>
      <c r="V936" s="2" t="n">
        <f aca="false">INDEX(Summary!$R$2:$R$201,MATCH($B936,Summary!$A$2:$A$201,0))</f>
        <v>23.25</v>
      </c>
      <c r="W936" s="0" t="str">
        <f aca="false">INDEX(Summary!$S$2:$S$201,MATCH($B936,Summary!$A$2:$A$201,0))</f>
        <v>Silver</v>
      </c>
      <c r="X936" s="2" t="n">
        <f aca="false">INDEX(Summary!$T$2:$T$201,MATCH($B936,Summary!$A$2:$A$201,0))</f>
        <v>56.71</v>
      </c>
      <c r="Y936" s="0" t="str">
        <f aca="false">INDEX('Reward Model'!$E$18:$E$37,MATCH($E936,'Reward Model'!$A$18:$A$37,0))</f>
        <v>Medium</v>
      </c>
      <c r="Z936" s="4" t="n">
        <f aca="false">ROUND(MIN(1,MAX('Reward Model'!$B$2,INDEX('Reward Model'!$C$12:$C$14,MATCH($K936,'Reward Model'!$A$12:$A$14,0))/$J936)),3)</f>
        <v>1</v>
      </c>
      <c r="AA936" s="2" t="n">
        <f aca="false">IF($I936="Correct",ROUND(INDEX('Reward Model'!$B$12:$B$14,MATCH($K936,'Reward Model'!$A$12:$A$14,0))*Z936,2),0)</f>
        <v>2</v>
      </c>
      <c r="AB936" s="2" t="n">
        <f aca="false">IF($I936="Correct",ROUND(INDEX('Reward Model'!$B$12:$B$14,MATCH($Y936,'Reward Model'!$A$12:$A$14,0))*Z936,2),0)</f>
        <v>2</v>
      </c>
    </row>
    <row r="937" customFormat="false" ht="15" hidden="false" customHeight="false" outlineLevel="0" collapsed="false">
      <c r="A937" s="0" t="s">
        <v>221</v>
      </c>
      <c r="B937" s="0" t="s">
        <v>222</v>
      </c>
      <c r="C937" s="0" t="s">
        <v>30</v>
      </c>
      <c r="D937" s="0" t="s">
        <v>189</v>
      </c>
      <c r="E937" s="0" t="n">
        <v>16</v>
      </c>
      <c r="F937" s="0" t="s">
        <v>71</v>
      </c>
      <c r="G937" s="0" t="s">
        <v>72</v>
      </c>
      <c r="H937" s="0" t="s">
        <v>72</v>
      </c>
      <c r="I937" s="0" t="s">
        <v>34</v>
      </c>
      <c r="J937" s="0" t="n">
        <v>2.33</v>
      </c>
      <c r="K937" s="0" t="s">
        <v>73</v>
      </c>
      <c r="L937" s="0" t="n">
        <f aca="false">INDEX(Summary!$F$2:$F$201,MATCH($B937,Summary!$A$2:$A$201,0))</f>
        <v>20</v>
      </c>
      <c r="M937" s="0" t="n">
        <f aca="false">INDEX(Summary!$I$2:$I$201,MATCH($B937,Summary!$A$2:$A$201,0))</f>
        <v>2</v>
      </c>
      <c r="N937" s="0" t="n">
        <f aca="false">INDEX(Summary!$J$2:$J$201,MATCH($B937,Summary!$A$2:$A$201,0))</f>
        <v>3</v>
      </c>
      <c r="O937" s="2" t="n">
        <f aca="false">INDEX(Summary!$K$2:$K$201,MATCH($B937,Summary!$A$2:$A$201,0))</f>
        <v>9.6</v>
      </c>
      <c r="P937" s="3" t="n">
        <f aca="false">INDEX(Summary!$L$2:$L$201,MATCH($B937,Summary!$A$2:$A$201,0))</f>
        <v>4</v>
      </c>
      <c r="Q937" s="3" t="n">
        <f aca="false">INDEX(Summary!$M$2:$M$201,MATCH($B937,Summary!$A$2:$A$201,0))</f>
        <v>2</v>
      </c>
      <c r="R937" s="2" t="n">
        <f aca="false">INDEX(Summary!$N$2:$N$201,MATCH($B937,Summary!$A$2:$A$201,0))</f>
        <v>11.58</v>
      </c>
      <c r="S937" s="3" t="n">
        <f aca="false">INDEX(Summary!$O$2:$O$201,MATCH($B937,Summary!$A$2:$A$201,0))</f>
        <v>7</v>
      </c>
      <c r="T937" s="3" t="n">
        <f aca="false">INDEX(Summary!$P$2:$P$201,MATCH($B937,Summary!$A$2:$A$201,0))</f>
        <v>2</v>
      </c>
      <c r="U937" s="2" t="n">
        <f aca="false">INDEX(Summary!$Q$2:$Q$201,MATCH($B937,Summary!$A$2:$A$201,0))</f>
        <v>11.08</v>
      </c>
      <c r="V937" s="2" t="n">
        <f aca="false">INDEX(Summary!$R$2:$R$201,MATCH($B937,Summary!$A$2:$A$201,0))</f>
        <v>23.25</v>
      </c>
      <c r="W937" s="0" t="str">
        <f aca="false">INDEX(Summary!$S$2:$S$201,MATCH($B937,Summary!$A$2:$A$201,0))</f>
        <v>Silver</v>
      </c>
      <c r="X937" s="2" t="n">
        <f aca="false">INDEX(Summary!$T$2:$T$201,MATCH($B937,Summary!$A$2:$A$201,0))</f>
        <v>56.71</v>
      </c>
      <c r="Y937" s="0" t="str">
        <f aca="false">INDEX('Reward Model'!$E$18:$E$37,MATCH($E937,'Reward Model'!$A$18:$A$37,0))</f>
        <v>High</v>
      </c>
      <c r="Z937" s="4" t="n">
        <f aca="false">ROUND(MIN(1,MAX('Reward Model'!$B$2,INDEX('Reward Model'!$C$12:$C$14,MATCH($K937,'Reward Model'!$A$12:$A$14,0))/$J937)),3)</f>
        <v>0.858</v>
      </c>
      <c r="AA937" s="2" t="n">
        <f aca="false">IF($I937="Correct",ROUND(INDEX('Reward Model'!$B$12:$B$14,MATCH($K937,'Reward Model'!$A$12:$A$14,0))*Z937,2),0)</f>
        <v>2.57</v>
      </c>
      <c r="AB937" s="2" t="n">
        <f aca="false">IF($I937="Correct",ROUND(INDEX('Reward Model'!$B$12:$B$14,MATCH($Y937,'Reward Model'!$A$12:$A$14,0))*Z937,2),0)</f>
        <v>2.57</v>
      </c>
    </row>
    <row r="938" customFormat="false" ht="15" hidden="false" customHeight="false" outlineLevel="0" collapsed="false">
      <c r="A938" s="0" t="s">
        <v>221</v>
      </c>
      <c r="B938" s="0" t="s">
        <v>222</v>
      </c>
      <c r="C938" s="0" t="s">
        <v>30</v>
      </c>
      <c r="D938" s="0" t="s">
        <v>189</v>
      </c>
      <c r="E938" s="0" t="n">
        <v>17</v>
      </c>
      <c r="F938" s="0" t="s">
        <v>74</v>
      </c>
      <c r="G938" s="0" t="s">
        <v>105</v>
      </c>
      <c r="H938" s="0" t="s">
        <v>75</v>
      </c>
      <c r="I938" s="0" t="s">
        <v>39</v>
      </c>
      <c r="J938" s="0" t="n">
        <v>1.66</v>
      </c>
      <c r="K938" s="0" t="s">
        <v>73</v>
      </c>
      <c r="L938" s="0" t="n">
        <f aca="false">INDEX(Summary!$F$2:$F$201,MATCH($B938,Summary!$A$2:$A$201,0))</f>
        <v>20</v>
      </c>
      <c r="M938" s="0" t="n">
        <f aca="false">INDEX(Summary!$I$2:$I$201,MATCH($B938,Summary!$A$2:$A$201,0))</f>
        <v>2</v>
      </c>
      <c r="N938" s="0" t="n">
        <f aca="false">INDEX(Summary!$J$2:$J$201,MATCH($B938,Summary!$A$2:$A$201,0))</f>
        <v>3</v>
      </c>
      <c r="O938" s="2" t="n">
        <f aca="false">INDEX(Summary!$K$2:$K$201,MATCH($B938,Summary!$A$2:$A$201,0))</f>
        <v>9.6</v>
      </c>
      <c r="P938" s="3" t="n">
        <f aca="false">INDEX(Summary!$L$2:$L$201,MATCH($B938,Summary!$A$2:$A$201,0))</f>
        <v>4</v>
      </c>
      <c r="Q938" s="3" t="n">
        <f aca="false">INDEX(Summary!$M$2:$M$201,MATCH($B938,Summary!$A$2:$A$201,0))</f>
        <v>2</v>
      </c>
      <c r="R938" s="2" t="n">
        <f aca="false">INDEX(Summary!$N$2:$N$201,MATCH($B938,Summary!$A$2:$A$201,0))</f>
        <v>11.58</v>
      </c>
      <c r="S938" s="3" t="n">
        <f aca="false">INDEX(Summary!$O$2:$O$201,MATCH($B938,Summary!$A$2:$A$201,0))</f>
        <v>7</v>
      </c>
      <c r="T938" s="3" t="n">
        <f aca="false">INDEX(Summary!$P$2:$P$201,MATCH($B938,Summary!$A$2:$A$201,0))</f>
        <v>2</v>
      </c>
      <c r="U938" s="2" t="n">
        <f aca="false">INDEX(Summary!$Q$2:$Q$201,MATCH($B938,Summary!$A$2:$A$201,0))</f>
        <v>11.08</v>
      </c>
      <c r="V938" s="2" t="n">
        <f aca="false">INDEX(Summary!$R$2:$R$201,MATCH($B938,Summary!$A$2:$A$201,0))</f>
        <v>23.25</v>
      </c>
      <c r="W938" s="0" t="str">
        <f aca="false">INDEX(Summary!$S$2:$S$201,MATCH($B938,Summary!$A$2:$A$201,0))</f>
        <v>Silver</v>
      </c>
      <c r="X938" s="2" t="n">
        <f aca="false">INDEX(Summary!$T$2:$T$201,MATCH($B938,Summary!$A$2:$A$201,0))</f>
        <v>56.71</v>
      </c>
      <c r="Y938" s="0" t="str">
        <f aca="false">INDEX('Reward Model'!$E$18:$E$37,MATCH($E938,'Reward Model'!$A$18:$A$37,0))</f>
        <v>High</v>
      </c>
      <c r="Z938" s="4" t="n">
        <f aca="false">ROUND(MIN(1,MAX('Reward Model'!$B$2,INDEX('Reward Model'!$C$12:$C$14,MATCH($K938,'Reward Model'!$A$12:$A$14,0))/$J938)),3)</f>
        <v>1</v>
      </c>
      <c r="AA938" s="2" t="n">
        <f aca="false">IF($I938="Correct",ROUND(INDEX('Reward Model'!$B$12:$B$14,MATCH($K938,'Reward Model'!$A$12:$A$14,0))*Z938,2),0)</f>
        <v>0</v>
      </c>
      <c r="AB938" s="2" t="n">
        <f aca="false">IF($I938="Correct",ROUND(INDEX('Reward Model'!$B$12:$B$14,MATCH($Y938,'Reward Model'!$A$12:$A$14,0))*Z938,2),0)</f>
        <v>0</v>
      </c>
    </row>
    <row r="939" customFormat="false" ht="15" hidden="false" customHeight="false" outlineLevel="0" collapsed="false">
      <c r="A939" s="0" t="s">
        <v>221</v>
      </c>
      <c r="B939" s="0" t="s">
        <v>222</v>
      </c>
      <c r="C939" s="0" t="s">
        <v>30</v>
      </c>
      <c r="D939" s="0" t="s">
        <v>189</v>
      </c>
      <c r="E939" s="0" t="n">
        <v>18</v>
      </c>
      <c r="F939" s="0" t="s">
        <v>76</v>
      </c>
      <c r="G939" s="0" t="s">
        <v>128</v>
      </c>
      <c r="H939" s="0" t="s">
        <v>77</v>
      </c>
      <c r="I939" s="0" t="s">
        <v>39</v>
      </c>
      <c r="J939" s="0" t="n">
        <v>1.64</v>
      </c>
      <c r="K939" s="0" t="s">
        <v>73</v>
      </c>
      <c r="L939" s="0" t="n">
        <f aca="false">INDEX(Summary!$F$2:$F$201,MATCH($B939,Summary!$A$2:$A$201,0))</f>
        <v>20</v>
      </c>
      <c r="M939" s="0" t="n">
        <f aca="false">INDEX(Summary!$I$2:$I$201,MATCH($B939,Summary!$A$2:$A$201,0))</f>
        <v>2</v>
      </c>
      <c r="N939" s="0" t="n">
        <f aca="false">INDEX(Summary!$J$2:$J$201,MATCH($B939,Summary!$A$2:$A$201,0))</f>
        <v>3</v>
      </c>
      <c r="O939" s="2" t="n">
        <f aca="false">INDEX(Summary!$K$2:$K$201,MATCH($B939,Summary!$A$2:$A$201,0))</f>
        <v>9.6</v>
      </c>
      <c r="P939" s="3" t="n">
        <f aca="false">INDEX(Summary!$L$2:$L$201,MATCH($B939,Summary!$A$2:$A$201,0))</f>
        <v>4</v>
      </c>
      <c r="Q939" s="3" t="n">
        <f aca="false">INDEX(Summary!$M$2:$M$201,MATCH($B939,Summary!$A$2:$A$201,0))</f>
        <v>2</v>
      </c>
      <c r="R939" s="2" t="n">
        <f aca="false">INDEX(Summary!$N$2:$N$201,MATCH($B939,Summary!$A$2:$A$201,0))</f>
        <v>11.58</v>
      </c>
      <c r="S939" s="3" t="n">
        <f aca="false">INDEX(Summary!$O$2:$O$201,MATCH($B939,Summary!$A$2:$A$201,0))</f>
        <v>7</v>
      </c>
      <c r="T939" s="3" t="n">
        <f aca="false">INDEX(Summary!$P$2:$P$201,MATCH($B939,Summary!$A$2:$A$201,0))</f>
        <v>2</v>
      </c>
      <c r="U939" s="2" t="n">
        <f aca="false">INDEX(Summary!$Q$2:$Q$201,MATCH($B939,Summary!$A$2:$A$201,0))</f>
        <v>11.08</v>
      </c>
      <c r="V939" s="2" t="n">
        <f aca="false">INDEX(Summary!$R$2:$R$201,MATCH($B939,Summary!$A$2:$A$201,0))</f>
        <v>23.25</v>
      </c>
      <c r="W939" s="0" t="str">
        <f aca="false">INDEX(Summary!$S$2:$S$201,MATCH($B939,Summary!$A$2:$A$201,0))</f>
        <v>Silver</v>
      </c>
      <c r="X939" s="2" t="n">
        <f aca="false">INDEX(Summary!$T$2:$T$201,MATCH($B939,Summary!$A$2:$A$201,0))</f>
        <v>56.71</v>
      </c>
      <c r="Y939" s="0" t="str">
        <f aca="false">INDEX('Reward Model'!$E$18:$E$37,MATCH($E939,'Reward Model'!$A$18:$A$37,0))</f>
        <v>High</v>
      </c>
      <c r="Z939" s="4" t="n">
        <f aca="false">ROUND(MIN(1,MAX('Reward Model'!$B$2,INDEX('Reward Model'!$C$12:$C$14,MATCH($K939,'Reward Model'!$A$12:$A$14,0))/$J939)),3)</f>
        <v>1</v>
      </c>
      <c r="AA939" s="2" t="n">
        <f aca="false">IF($I939="Correct",ROUND(INDEX('Reward Model'!$B$12:$B$14,MATCH($K939,'Reward Model'!$A$12:$A$14,0))*Z939,2),0)</f>
        <v>0</v>
      </c>
      <c r="AB939" s="2" t="n">
        <f aca="false">IF($I939="Correct",ROUND(INDEX('Reward Model'!$B$12:$B$14,MATCH($Y939,'Reward Model'!$A$12:$A$14,0))*Z939,2),0)</f>
        <v>0</v>
      </c>
    </row>
    <row r="940" customFormat="false" ht="15" hidden="false" customHeight="false" outlineLevel="0" collapsed="false">
      <c r="A940" s="0" t="s">
        <v>221</v>
      </c>
      <c r="B940" s="0" t="s">
        <v>222</v>
      </c>
      <c r="C940" s="0" t="s">
        <v>30</v>
      </c>
      <c r="D940" s="0" t="s">
        <v>189</v>
      </c>
      <c r="E940" s="0" t="n">
        <v>19</v>
      </c>
      <c r="F940" s="0" t="s">
        <v>78</v>
      </c>
      <c r="G940" s="0" t="s">
        <v>80</v>
      </c>
      <c r="H940" s="0" t="s">
        <v>80</v>
      </c>
      <c r="I940" s="0" t="s">
        <v>34</v>
      </c>
      <c r="J940" s="0" t="n">
        <v>2.37</v>
      </c>
      <c r="K940" s="0" t="s">
        <v>73</v>
      </c>
      <c r="L940" s="0" t="n">
        <f aca="false">INDEX(Summary!$F$2:$F$201,MATCH($B940,Summary!$A$2:$A$201,0))</f>
        <v>20</v>
      </c>
      <c r="M940" s="0" t="n">
        <f aca="false">INDEX(Summary!$I$2:$I$201,MATCH($B940,Summary!$A$2:$A$201,0))</f>
        <v>2</v>
      </c>
      <c r="N940" s="0" t="n">
        <f aca="false">INDEX(Summary!$J$2:$J$201,MATCH($B940,Summary!$A$2:$A$201,0))</f>
        <v>3</v>
      </c>
      <c r="O940" s="2" t="n">
        <f aca="false">INDEX(Summary!$K$2:$K$201,MATCH($B940,Summary!$A$2:$A$201,0))</f>
        <v>9.6</v>
      </c>
      <c r="P940" s="3" t="n">
        <f aca="false">INDEX(Summary!$L$2:$L$201,MATCH($B940,Summary!$A$2:$A$201,0))</f>
        <v>4</v>
      </c>
      <c r="Q940" s="3" t="n">
        <f aca="false">INDEX(Summary!$M$2:$M$201,MATCH($B940,Summary!$A$2:$A$201,0))</f>
        <v>2</v>
      </c>
      <c r="R940" s="2" t="n">
        <f aca="false">INDEX(Summary!$N$2:$N$201,MATCH($B940,Summary!$A$2:$A$201,0))</f>
        <v>11.58</v>
      </c>
      <c r="S940" s="3" t="n">
        <f aca="false">INDEX(Summary!$O$2:$O$201,MATCH($B940,Summary!$A$2:$A$201,0))</f>
        <v>7</v>
      </c>
      <c r="T940" s="3" t="n">
        <f aca="false">INDEX(Summary!$P$2:$P$201,MATCH($B940,Summary!$A$2:$A$201,0))</f>
        <v>2</v>
      </c>
      <c r="U940" s="2" t="n">
        <f aca="false">INDEX(Summary!$Q$2:$Q$201,MATCH($B940,Summary!$A$2:$A$201,0))</f>
        <v>11.08</v>
      </c>
      <c r="V940" s="2" t="n">
        <f aca="false">INDEX(Summary!$R$2:$R$201,MATCH($B940,Summary!$A$2:$A$201,0))</f>
        <v>23.25</v>
      </c>
      <c r="W940" s="0" t="str">
        <f aca="false">INDEX(Summary!$S$2:$S$201,MATCH($B940,Summary!$A$2:$A$201,0))</f>
        <v>Silver</v>
      </c>
      <c r="X940" s="2" t="n">
        <f aca="false">INDEX(Summary!$T$2:$T$201,MATCH($B940,Summary!$A$2:$A$201,0))</f>
        <v>56.71</v>
      </c>
      <c r="Y940" s="0" t="str">
        <f aca="false">INDEX('Reward Model'!$E$18:$E$37,MATCH($E940,'Reward Model'!$A$18:$A$37,0))</f>
        <v>High</v>
      </c>
      <c r="Z940" s="4" t="n">
        <f aca="false">ROUND(MIN(1,MAX('Reward Model'!$B$2,INDEX('Reward Model'!$C$12:$C$14,MATCH($K940,'Reward Model'!$A$12:$A$14,0))/$J940)),3)</f>
        <v>0.844</v>
      </c>
      <c r="AA940" s="2" t="n">
        <f aca="false">IF($I940="Correct",ROUND(INDEX('Reward Model'!$B$12:$B$14,MATCH($K940,'Reward Model'!$A$12:$A$14,0))*Z940,2),0)</f>
        <v>2.53</v>
      </c>
      <c r="AB940" s="2" t="n">
        <f aca="false">IF($I940="Correct",ROUND(INDEX('Reward Model'!$B$12:$B$14,MATCH($Y940,'Reward Model'!$A$12:$A$14,0))*Z940,2),0)</f>
        <v>2.53</v>
      </c>
    </row>
    <row r="941" customFormat="false" ht="15" hidden="false" customHeight="false" outlineLevel="0" collapsed="false">
      <c r="A941" s="0" t="s">
        <v>221</v>
      </c>
      <c r="B941" s="0" t="s">
        <v>222</v>
      </c>
      <c r="C941" s="0" t="s">
        <v>30</v>
      </c>
      <c r="D941" s="0" t="s">
        <v>189</v>
      </c>
      <c r="E941" s="0" t="n">
        <v>20</v>
      </c>
      <c r="F941" s="0" t="s">
        <v>81</v>
      </c>
      <c r="G941" s="0" t="s">
        <v>82</v>
      </c>
      <c r="H941" s="0" t="s">
        <v>83</v>
      </c>
      <c r="I941" s="0" t="s">
        <v>39</v>
      </c>
      <c r="J941" s="0" t="n">
        <v>1.6</v>
      </c>
      <c r="K941" s="0" t="s">
        <v>73</v>
      </c>
      <c r="L941" s="0" t="n">
        <f aca="false">INDEX(Summary!$F$2:$F$201,MATCH($B941,Summary!$A$2:$A$201,0))</f>
        <v>20</v>
      </c>
      <c r="M941" s="0" t="n">
        <f aca="false">INDEX(Summary!$I$2:$I$201,MATCH($B941,Summary!$A$2:$A$201,0))</f>
        <v>2</v>
      </c>
      <c r="N941" s="0" t="n">
        <f aca="false">INDEX(Summary!$J$2:$J$201,MATCH($B941,Summary!$A$2:$A$201,0))</f>
        <v>3</v>
      </c>
      <c r="O941" s="2" t="n">
        <f aca="false">INDEX(Summary!$K$2:$K$201,MATCH($B941,Summary!$A$2:$A$201,0))</f>
        <v>9.6</v>
      </c>
      <c r="P941" s="3" t="n">
        <f aca="false">INDEX(Summary!$L$2:$L$201,MATCH($B941,Summary!$A$2:$A$201,0))</f>
        <v>4</v>
      </c>
      <c r="Q941" s="3" t="n">
        <f aca="false">INDEX(Summary!$M$2:$M$201,MATCH($B941,Summary!$A$2:$A$201,0))</f>
        <v>2</v>
      </c>
      <c r="R941" s="2" t="n">
        <f aca="false">INDEX(Summary!$N$2:$N$201,MATCH($B941,Summary!$A$2:$A$201,0))</f>
        <v>11.58</v>
      </c>
      <c r="S941" s="3" t="n">
        <f aca="false">INDEX(Summary!$O$2:$O$201,MATCH($B941,Summary!$A$2:$A$201,0))</f>
        <v>7</v>
      </c>
      <c r="T941" s="3" t="n">
        <f aca="false">INDEX(Summary!$P$2:$P$201,MATCH($B941,Summary!$A$2:$A$201,0))</f>
        <v>2</v>
      </c>
      <c r="U941" s="2" t="n">
        <f aca="false">INDEX(Summary!$Q$2:$Q$201,MATCH($B941,Summary!$A$2:$A$201,0))</f>
        <v>11.08</v>
      </c>
      <c r="V941" s="2" t="n">
        <f aca="false">INDEX(Summary!$R$2:$R$201,MATCH($B941,Summary!$A$2:$A$201,0))</f>
        <v>23.25</v>
      </c>
      <c r="W941" s="0" t="str">
        <f aca="false">INDEX(Summary!$S$2:$S$201,MATCH($B941,Summary!$A$2:$A$201,0))</f>
        <v>Silver</v>
      </c>
      <c r="X941" s="2" t="n">
        <f aca="false">INDEX(Summary!$T$2:$T$201,MATCH($B941,Summary!$A$2:$A$201,0))</f>
        <v>56.71</v>
      </c>
      <c r="Y941" s="0" t="str">
        <f aca="false">INDEX('Reward Model'!$E$18:$E$37,MATCH($E941,'Reward Model'!$A$18:$A$37,0))</f>
        <v>High</v>
      </c>
      <c r="Z941" s="4" t="n">
        <f aca="false">ROUND(MIN(1,MAX('Reward Model'!$B$2,INDEX('Reward Model'!$C$12:$C$14,MATCH($K941,'Reward Model'!$A$12:$A$14,0))/$J941)),3)</f>
        <v>1</v>
      </c>
      <c r="AA941" s="2" t="n">
        <f aca="false">IF($I941="Correct",ROUND(INDEX('Reward Model'!$B$12:$B$14,MATCH($K941,'Reward Model'!$A$12:$A$14,0))*Z941,2),0)</f>
        <v>0</v>
      </c>
      <c r="AB941" s="2" t="n">
        <f aca="false">IF($I941="Correct",ROUND(INDEX('Reward Model'!$B$12:$B$14,MATCH($Y941,'Reward Model'!$A$12:$A$14,0))*Z941,2),0)</f>
        <v>0</v>
      </c>
    </row>
    <row r="942" customFormat="false" ht="15" hidden="false" customHeight="false" outlineLevel="0" collapsed="false">
      <c r="A942" s="0" t="s">
        <v>223</v>
      </c>
      <c r="B942" s="0" t="s">
        <v>224</v>
      </c>
      <c r="C942" s="0" t="s">
        <v>30</v>
      </c>
      <c r="D942" s="0" t="s">
        <v>189</v>
      </c>
      <c r="E942" s="0" t="n">
        <v>1</v>
      </c>
      <c r="F942" s="0" t="s">
        <v>32</v>
      </c>
      <c r="G942" s="0" t="s">
        <v>33</v>
      </c>
      <c r="H942" s="0" t="s">
        <v>33</v>
      </c>
      <c r="I942" s="0" t="s">
        <v>34</v>
      </c>
      <c r="J942" s="0" t="n">
        <v>1.39</v>
      </c>
      <c r="K942" s="0" t="s">
        <v>35</v>
      </c>
      <c r="L942" s="0" t="n">
        <f aca="false">INDEX(Summary!$F$2:$F$201,MATCH($B942,Summary!$A$2:$A$201,0))</f>
        <v>20</v>
      </c>
      <c r="M942" s="0" t="n">
        <f aca="false">INDEX(Summary!$I$2:$I$201,MATCH($B942,Summary!$A$2:$A$201,0))</f>
        <v>2</v>
      </c>
      <c r="N942" s="0" t="n">
        <f aca="false">INDEX(Summary!$J$2:$J$201,MATCH($B942,Summary!$A$2:$A$201,0))</f>
        <v>3</v>
      </c>
      <c r="O942" s="2" t="n">
        <f aca="false">INDEX(Summary!$K$2:$K$201,MATCH($B942,Summary!$A$2:$A$201,0))</f>
        <v>9.51</v>
      </c>
      <c r="P942" s="3" t="n">
        <f aca="false">INDEX(Summary!$L$2:$L$201,MATCH($B942,Summary!$A$2:$A$201,0))</f>
        <v>3</v>
      </c>
      <c r="Q942" s="3" t="n">
        <f aca="false">INDEX(Summary!$M$2:$M$201,MATCH($B942,Summary!$A$2:$A$201,0))</f>
        <v>3</v>
      </c>
      <c r="R942" s="2" t="n">
        <f aca="false">INDEX(Summary!$N$2:$N$201,MATCH($B942,Summary!$A$2:$A$201,0))</f>
        <v>10.89</v>
      </c>
      <c r="S942" s="3" t="n">
        <f aca="false">INDEX(Summary!$O$2:$O$201,MATCH($B942,Summary!$A$2:$A$201,0))</f>
        <v>7</v>
      </c>
      <c r="T942" s="3" t="n">
        <f aca="false">INDEX(Summary!$P$2:$P$201,MATCH($B942,Summary!$A$2:$A$201,0))</f>
        <v>2</v>
      </c>
      <c r="U942" s="2" t="n">
        <f aca="false">INDEX(Summary!$Q$2:$Q$201,MATCH($B942,Summary!$A$2:$A$201,0))</f>
        <v>11.48</v>
      </c>
      <c r="V942" s="2" t="n">
        <f aca="false">INDEX(Summary!$R$2:$R$201,MATCH($B942,Summary!$A$2:$A$201,0))</f>
        <v>21.65</v>
      </c>
      <c r="W942" s="0" t="str">
        <f aca="false">INDEX(Summary!$S$2:$S$201,MATCH($B942,Summary!$A$2:$A$201,0))</f>
        <v>Silver</v>
      </c>
      <c r="X942" s="2" t="n">
        <f aca="false">INDEX(Summary!$T$2:$T$201,MATCH($B942,Summary!$A$2:$A$201,0))</f>
        <v>52.8</v>
      </c>
      <c r="Y942" s="0" t="str">
        <f aca="false">INDEX('Reward Model'!$E$18:$E$37,MATCH($E942,'Reward Model'!$A$18:$A$37,0))</f>
        <v>Medium</v>
      </c>
      <c r="Z942" s="4" t="n">
        <f aca="false">ROUND(MIN(1,MAX('Reward Model'!$B$2,INDEX('Reward Model'!$C$12:$C$14,MATCH($K942,'Reward Model'!$A$12:$A$14,0))/$J942)),3)</f>
        <v>1</v>
      </c>
      <c r="AA942" s="2" t="n">
        <f aca="false">IF($I942="Correct",ROUND(INDEX('Reward Model'!$B$12:$B$14,MATCH($K942,'Reward Model'!$A$12:$A$14,0))*Z942,2),0)</f>
        <v>1</v>
      </c>
      <c r="AB942" s="2" t="n">
        <f aca="false">IF($I942="Correct",ROUND(INDEX('Reward Model'!$B$12:$B$14,MATCH($Y942,'Reward Model'!$A$12:$A$14,0))*Z942,2),0)</f>
        <v>2</v>
      </c>
    </row>
    <row r="943" customFormat="false" ht="15" hidden="false" customHeight="false" outlineLevel="0" collapsed="false">
      <c r="A943" s="0" t="s">
        <v>223</v>
      </c>
      <c r="B943" s="0" t="s">
        <v>224</v>
      </c>
      <c r="C943" s="0" t="s">
        <v>30</v>
      </c>
      <c r="D943" s="0" t="s">
        <v>189</v>
      </c>
      <c r="E943" s="0" t="n">
        <v>2</v>
      </c>
      <c r="F943" s="0" t="s">
        <v>36</v>
      </c>
      <c r="G943" s="0" t="s">
        <v>38</v>
      </c>
      <c r="H943" s="0" t="s">
        <v>38</v>
      </c>
      <c r="I943" s="0" t="s">
        <v>34</v>
      </c>
      <c r="J943" s="0" t="n">
        <v>0.91</v>
      </c>
      <c r="K943" s="0" t="s">
        <v>35</v>
      </c>
      <c r="L943" s="0" t="n">
        <f aca="false">INDEX(Summary!$F$2:$F$201,MATCH($B943,Summary!$A$2:$A$201,0))</f>
        <v>20</v>
      </c>
      <c r="M943" s="0" t="n">
        <f aca="false">INDEX(Summary!$I$2:$I$201,MATCH($B943,Summary!$A$2:$A$201,0))</f>
        <v>2</v>
      </c>
      <c r="N943" s="0" t="n">
        <f aca="false">INDEX(Summary!$J$2:$J$201,MATCH($B943,Summary!$A$2:$A$201,0))</f>
        <v>3</v>
      </c>
      <c r="O943" s="2" t="n">
        <f aca="false">INDEX(Summary!$K$2:$K$201,MATCH($B943,Summary!$A$2:$A$201,0))</f>
        <v>9.51</v>
      </c>
      <c r="P943" s="3" t="n">
        <f aca="false">INDEX(Summary!$L$2:$L$201,MATCH($B943,Summary!$A$2:$A$201,0))</f>
        <v>3</v>
      </c>
      <c r="Q943" s="3" t="n">
        <f aca="false">INDEX(Summary!$M$2:$M$201,MATCH($B943,Summary!$A$2:$A$201,0))</f>
        <v>3</v>
      </c>
      <c r="R943" s="2" t="n">
        <f aca="false">INDEX(Summary!$N$2:$N$201,MATCH($B943,Summary!$A$2:$A$201,0))</f>
        <v>10.89</v>
      </c>
      <c r="S943" s="3" t="n">
        <f aca="false">INDEX(Summary!$O$2:$O$201,MATCH($B943,Summary!$A$2:$A$201,0))</f>
        <v>7</v>
      </c>
      <c r="T943" s="3" t="n">
        <f aca="false">INDEX(Summary!$P$2:$P$201,MATCH($B943,Summary!$A$2:$A$201,0))</f>
        <v>2</v>
      </c>
      <c r="U943" s="2" t="n">
        <f aca="false">INDEX(Summary!$Q$2:$Q$201,MATCH($B943,Summary!$A$2:$A$201,0))</f>
        <v>11.48</v>
      </c>
      <c r="V943" s="2" t="n">
        <f aca="false">INDEX(Summary!$R$2:$R$201,MATCH($B943,Summary!$A$2:$A$201,0))</f>
        <v>21.65</v>
      </c>
      <c r="W943" s="0" t="str">
        <f aca="false">INDEX(Summary!$S$2:$S$201,MATCH($B943,Summary!$A$2:$A$201,0))</f>
        <v>Silver</v>
      </c>
      <c r="X943" s="2" t="n">
        <f aca="false">INDEX(Summary!$T$2:$T$201,MATCH($B943,Summary!$A$2:$A$201,0))</f>
        <v>52.8</v>
      </c>
      <c r="Y943" s="0" t="str">
        <f aca="false">INDEX('Reward Model'!$E$18:$E$37,MATCH($E943,'Reward Model'!$A$18:$A$37,0))</f>
        <v>Low</v>
      </c>
      <c r="Z943" s="4" t="n">
        <f aca="false">ROUND(MIN(1,MAX('Reward Model'!$B$2,INDEX('Reward Model'!$C$12:$C$14,MATCH($K943,'Reward Model'!$A$12:$A$14,0))/$J943)),3)</f>
        <v>1</v>
      </c>
      <c r="AA943" s="2" t="n">
        <f aca="false">IF($I943="Correct",ROUND(INDEX('Reward Model'!$B$12:$B$14,MATCH($K943,'Reward Model'!$A$12:$A$14,0))*Z943,2),0)</f>
        <v>1</v>
      </c>
      <c r="AB943" s="2" t="n">
        <f aca="false">IF($I943="Correct",ROUND(INDEX('Reward Model'!$B$12:$B$14,MATCH($Y943,'Reward Model'!$A$12:$A$14,0))*Z943,2),0)</f>
        <v>1</v>
      </c>
    </row>
    <row r="944" customFormat="false" ht="15" hidden="false" customHeight="false" outlineLevel="0" collapsed="false">
      <c r="A944" s="0" t="s">
        <v>223</v>
      </c>
      <c r="B944" s="0" t="s">
        <v>224</v>
      </c>
      <c r="C944" s="0" t="s">
        <v>30</v>
      </c>
      <c r="D944" s="0" t="s">
        <v>189</v>
      </c>
      <c r="E944" s="0" t="n">
        <v>3</v>
      </c>
      <c r="F944" s="0" t="s">
        <v>40</v>
      </c>
      <c r="G944" s="0" t="s">
        <v>42</v>
      </c>
      <c r="H944" s="0" t="s">
        <v>42</v>
      </c>
      <c r="I944" s="0" t="s">
        <v>34</v>
      </c>
      <c r="J944" s="0" t="n">
        <v>1.17</v>
      </c>
      <c r="K944" s="0" t="s">
        <v>35</v>
      </c>
      <c r="L944" s="0" t="n">
        <f aca="false">INDEX(Summary!$F$2:$F$201,MATCH($B944,Summary!$A$2:$A$201,0))</f>
        <v>20</v>
      </c>
      <c r="M944" s="0" t="n">
        <f aca="false">INDEX(Summary!$I$2:$I$201,MATCH($B944,Summary!$A$2:$A$201,0))</f>
        <v>2</v>
      </c>
      <c r="N944" s="0" t="n">
        <f aca="false">INDEX(Summary!$J$2:$J$201,MATCH($B944,Summary!$A$2:$A$201,0))</f>
        <v>3</v>
      </c>
      <c r="O944" s="2" t="n">
        <f aca="false">INDEX(Summary!$K$2:$K$201,MATCH($B944,Summary!$A$2:$A$201,0))</f>
        <v>9.51</v>
      </c>
      <c r="P944" s="3" t="n">
        <f aca="false">INDEX(Summary!$L$2:$L$201,MATCH($B944,Summary!$A$2:$A$201,0))</f>
        <v>3</v>
      </c>
      <c r="Q944" s="3" t="n">
        <f aca="false">INDEX(Summary!$M$2:$M$201,MATCH($B944,Summary!$A$2:$A$201,0))</f>
        <v>3</v>
      </c>
      <c r="R944" s="2" t="n">
        <f aca="false">INDEX(Summary!$N$2:$N$201,MATCH($B944,Summary!$A$2:$A$201,0))</f>
        <v>10.89</v>
      </c>
      <c r="S944" s="3" t="n">
        <f aca="false">INDEX(Summary!$O$2:$O$201,MATCH($B944,Summary!$A$2:$A$201,0))</f>
        <v>7</v>
      </c>
      <c r="T944" s="3" t="n">
        <f aca="false">INDEX(Summary!$P$2:$P$201,MATCH($B944,Summary!$A$2:$A$201,0))</f>
        <v>2</v>
      </c>
      <c r="U944" s="2" t="n">
        <f aca="false">INDEX(Summary!$Q$2:$Q$201,MATCH($B944,Summary!$A$2:$A$201,0))</f>
        <v>11.48</v>
      </c>
      <c r="V944" s="2" t="n">
        <f aca="false">INDEX(Summary!$R$2:$R$201,MATCH($B944,Summary!$A$2:$A$201,0))</f>
        <v>21.65</v>
      </c>
      <c r="W944" s="0" t="str">
        <f aca="false">INDEX(Summary!$S$2:$S$201,MATCH($B944,Summary!$A$2:$A$201,0))</f>
        <v>Silver</v>
      </c>
      <c r="X944" s="2" t="n">
        <f aca="false">INDEX(Summary!$T$2:$T$201,MATCH($B944,Summary!$A$2:$A$201,0))</f>
        <v>52.8</v>
      </c>
      <c r="Y944" s="0" t="str">
        <f aca="false">INDEX('Reward Model'!$E$18:$E$37,MATCH($E944,'Reward Model'!$A$18:$A$37,0))</f>
        <v>Medium</v>
      </c>
      <c r="Z944" s="4" t="n">
        <f aca="false">ROUND(MIN(1,MAX('Reward Model'!$B$2,INDEX('Reward Model'!$C$12:$C$14,MATCH($K944,'Reward Model'!$A$12:$A$14,0))/$J944)),3)</f>
        <v>1</v>
      </c>
      <c r="AA944" s="2" t="n">
        <f aca="false">IF($I944="Correct",ROUND(INDEX('Reward Model'!$B$12:$B$14,MATCH($K944,'Reward Model'!$A$12:$A$14,0))*Z944,2),0)</f>
        <v>1</v>
      </c>
      <c r="AB944" s="2" t="n">
        <f aca="false">IF($I944="Correct",ROUND(INDEX('Reward Model'!$B$12:$B$14,MATCH($Y944,'Reward Model'!$A$12:$A$14,0))*Z944,2),0)</f>
        <v>2</v>
      </c>
    </row>
    <row r="945" customFormat="false" ht="15" hidden="false" customHeight="false" outlineLevel="0" collapsed="false">
      <c r="A945" s="0" t="s">
        <v>223</v>
      </c>
      <c r="B945" s="0" t="s">
        <v>224</v>
      </c>
      <c r="C945" s="0" t="s">
        <v>30</v>
      </c>
      <c r="D945" s="0" t="s">
        <v>189</v>
      </c>
      <c r="E945" s="0" t="n">
        <v>4</v>
      </c>
      <c r="F945" s="0" t="s">
        <v>43</v>
      </c>
      <c r="G945" s="0" t="s">
        <v>111</v>
      </c>
      <c r="H945" s="0" t="s">
        <v>45</v>
      </c>
      <c r="I945" s="0" t="s">
        <v>39</v>
      </c>
      <c r="J945" s="0" t="n">
        <v>1.06</v>
      </c>
      <c r="K945" s="0" t="s">
        <v>35</v>
      </c>
      <c r="L945" s="0" t="n">
        <f aca="false">INDEX(Summary!$F$2:$F$201,MATCH($B945,Summary!$A$2:$A$201,0))</f>
        <v>20</v>
      </c>
      <c r="M945" s="0" t="n">
        <f aca="false">INDEX(Summary!$I$2:$I$201,MATCH($B945,Summary!$A$2:$A$201,0))</f>
        <v>2</v>
      </c>
      <c r="N945" s="0" t="n">
        <f aca="false">INDEX(Summary!$J$2:$J$201,MATCH($B945,Summary!$A$2:$A$201,0))</f>
        <v>3</v>
      </c>
      <c r="O945" s="2" t="n">
        <f aca="false">INDEX(Summary!$K$2:$K$201,MATCH($B945,Summary!$A$2:$A$201,0))</f>
        <v>9.51</v>
      </c>
      <c r="P945" s="3" t="n">
        <f aca="false">INDEX(Summary!$L$2:$L$201,MATCH($B945,Summary!$A$2:$A$201,0))</f>
        <v>3</v>
      </c>
      <c r="Q945" s="3" t="n">
        <f aca="false">INDEX(Summary!$M$2:$M$201,MATCH($B945,Summary!$A$2:$A$201,0))</f>
        <v>3</v>
      </c>
      <c r="R945" s="2" t="n">
        <f aca="false">INDEX(Summary!$N$2:$N$201,MATCH($B945,Summary!$A$2:$A$201,0))</f>
        <v>10.89</v>
      </c>
      <c r="S945" s="3" t="n">
        <f aca="false">INDEX(Summary!$O$2:$O$201,MATCH($B945,Summary!$A$2:$A$201,0))</f>
        <v>7</v>
      </c>
      <c r="T945" s="3" t="n">
        <f aca="false">INDEX(Summary!$P$2:$P$201,MATCH($B945,Summary!$A$2:$A$201,0))</f>
        <v>2</v>
      </c>
      <c r="U945" s="2" t="n">
        <f aca="false">INDEX(Summary!$Q$2:$Q$201,MATCH($B945,Summary!$A$2:$A$201,0))</f>
        <v>11.48</v>
      </c>
      <c r="V945" s="2" t="n">
        <f aca="false">INDEX(Summary!$R$2:$R$201,MATCH($B945,Summary!$A$2:$A$201,0))</f>
        <v>21.65</v>
      </c>
      <c r="W945" s="0" t="str">
        <f aca="false">INDEX(Summary!$S$2:$S$201,MATCH($B945,Summary!$A$2:$A$201,0))</f>
        <v>Silver</v>
      </c>
      <c r="X945" s="2" t="n">
        <f aca="false">INDEX(Summary!$T$2:$T$201,MATCH($B945,Summary!$A$2:$A$201,0))</f>
        <v>52.8</v>
      </c>
      <c r="Y945" s="0" t="str">
        <f aca="false">INDEX('Reward Model'!$E$18:$E$37,MATCH($E945,'Reward Model'!$A$18:$A$37,0))</f>
        <v>Low</v>
      </c>
      <c r="Z945" s="4" t="n">
        <f aca="false">ROUND(MIN(1,MAX('Reward Model'!$B$2,INDEX('Reward Model'!$C$12:$C$14,MATCH($K945,'Reward Model'!$A$12:$A$14,0))/$J945)),3)</f>
        <v>1</v>
      </c>
      <c r="AA945" s="2" t="n">
        <f aca="false">IF($I945="Correct",ROUND(INDEX('Reward Model'!$B$12:$B$14,MATCH($K945,'Reward Model'!$A$12:$A$14,0))*Z945,2),0)</f>
        <v>0</v>
      </c>
      <c r="AB945" s="2" t="n">
        <f aca="false">IF($I945="Correct",ROUND(INDEX('Reward Model'!$B$12:$B$14,MATCH($Y945,'Reward Model'!$A$12:$A$14,0))*Z945,2),0)</f>
        <v>0</v>
      </c>
    </row>
    <row r="946" customFormat="false" ht="15" hidden="false" customHeight="false" outlineLevel="0" collapsed="false">
      <c r="A946" s="0" t="s">
        <v>223</v>
      </c>
      <c r="B946" s="0" t="s">
        <v>224</v>
      </c>
      <c r="C946" s="0" t="s">
        <v>30</v>
      </c>
      <c r="D946" s="0" t="s">
        <v>189</v>
      </c>
      <c r="E946" s="0" t="n">
        <v>5</v>
      </c>
      <c r="F946" s="0" t="s">
        <v>46</v>
      </c>
      <c r="G946" s="0" t="s">
        <v>47</v>
      </c>
      <c r="H946" s="0" t="s">
        <v>47</v>
      </c>
      <c r="I946" s="0" t="s">
        <v>34</v>
      </c>
      <c r="J946" s="0" t="n">
        <v>1.9</v>
      </c>
      <c r="K946" s="0" t="s">
        <v>35</v>
      </c>
      <c r="L946" s="0" t="n">
        <f aca="false">INDEX(Summary!$F$2:$F$201,MATCH($B946,Summary!$A$2:$A$201,0))</f>
        <v>20</v>
      </c>
      <c r="M946" s="0" t="n">
        <f aca="false">INDEX(Summary!$I$2:$I$201,MATCH($B946,Summary!$A$2:$A$201,0))</f>
        <v>2</v>
      </c>
      <c r="N946" s="0" t="n">
        <f aca="false">INDEX(Summary!$J$2:$J$201,MATCH($B946,Summary!$A$2:$A$201,0))</f>
        <v>3</v>
      </c>
      <c r="O946" s="2" t="n">
        <f aca="false">INDEX(Summary!$K$2:$K$201,MATCH($B946,Summary!$A$2:$A$201,0))</f>
        <v>9.51</v>
      </c>
      <c r="P946" s="3" t="n">
        <f aca="false">INDEX(Summary!$L$2:$L$201,MATCH($B946,Summary!$A$2:$A$201,0))</f>
        <v>3</v>
      </c>
      <c r="Q946" s="3" t="n">
        <f aca="false">INDEX(Summary!$M$2:$M$201,MATCH($B946,Summary!$A$2:$A$201,0))</f>
        <v>3</v>
      </c>
      <c r="R946" s="2" t="n">
        <f aca="false">INDEX(Summary!$N$2:$N$201,MATCH($B946,Summary!$A$2:$A$201,0))</f>
        <v>10.89</v>
      </c>
      <c r="S946" s="3" t="n">
        <f aca="false">INDEX(Summary!$O$2:$O$201,MATCH($B946,Summary!$A$2:$A$201,0))</f>
        <v>7</v>
      </c>
      <c r="T946" s="3" t="n">
        <f aca="false">INDEX(Summary!$P$2:$P$201,MATCH($B946,Summary!$A$2:$A$201,0))</f>
        <v>2</v>
      </c>
      <c r="U946" s="2" t="n">
        <f aca="false">INDEX(Summary!$Q$2:$Q$201,MATCH($B946,Summary!$A$2:$A$201,0))</f>
        <v>11.48</v>
      </c>
      <c r="V946" s="2" t="n">
        <f aca="false">INDEX(Summary!$R$2:$R$201,MATCH($B946,Summary!$A$2:$A$201,0))</f>
        <v>21.65</v>
      </c>
      <c r="W946" s="0" t="str">
        <f aca="false">INDEX(Summary!$S$2:$S$201,MATCH($B946,Summary!$A$2:$A$201,0))</f>
        <v>Silver</v>
      </c>
      <c r="X946" s="2" t="n">
        <f aca="false">INDEX(Summary!$T$2:$T$201,MATCH($B946,Summary!$A$2:$A$201,0))</f>
        <v>52.8</v>
      </c>
      <c r="Y946" s="0" t="str">
        <f aca="false">INDEX('Reward Model'!$E$18:$E$37,MATCH($E946,'Reward Model'!$A$18:$A$37,0))</f>
        <v>Low</v>
      </c>
      <c r="Z946" s="4" t="n">
        <f aca="false">ROUND(MIN(1,MAX('Reward Model'!$B$2,INDEX('Reward Model'!$C$12:$C$14,MATCH($K946,'Reward Model'!$A$12:$A$14,0))/$J946)),3)</f>
        <v>0.789</v>
      </c>
      <c r="AA946" s="2" t="n">
        <f aca="false">IF($I946="Correct",ROUND(INDEX('Reward Model'!$B$12:$B$14,MATCH($K946,'Reward Model'!$A$12:$A$14,0))*Z946,2),0)</f>
        <v>0.79</v>
      </c>
      <c r="AB946" s="2" t="n">
        <f aca="false">IF($I946="Correct",ROUND(INDEX('Reward Model'!$B$12:$B$14,MATCH($Y946,'Reward Model'!$A$12:$A$14,0))*Z946,2),0)</f>
        <v>0.79</v>
      </c>
    </row>
    <row r="947" customFormat="false" ht="15" hidden="false" customHeight="false" outlineLevel="0" collapsed="false">
      <c r="A947" s="0" t="s">
        <v>223</v>
      </c>
      <c r="B947" s="0" t="s">
        <v>224</v>
      </c>
      <c r="C947" s="0" t="s">
        <v>30</v>
      </c>
      <c r="D947" s="0" t="s">
        <v>189</v>
      </c>
      <c r="E947" s="0" t="n">
        <v>6</v>
      </c>
      <c r="F947" s="0" t="s">
        <v>48</v>
      </c>
      <c r="G947" s="0" t="s">
        <v>116</v>
      </c>
      <c r="H947" s="0" t="s">
        <v>49</v>
      </c>
      <c r="I947" s="0" t="s">
        <v>39</v>
      </c>
      <c r="J947" s="0" t="n">
        <v>0.91</v>
      </c>
      <c r="K947" s="0" t="s">
        <v>35</v>
      </c>
      <c r="L947" s="0" t="n">
        <f aca="false">INDEX(Summary!$F$2:$F$201,MATCH($B947,Summary!$A$2:$A$201,0))</f>
        <v>20</v>
      </c>
      <c r="M947" s="0" t="n">
        <f aca="false">INDEX(Summary!$I$2:$I$201,MATCH($B947,Summary!$A$2:$A$201,0))</f>
        <v>2</v>
      </c>
      <c r="N947" s="0" t="n">
        <f aca="false">INDEX(Summary!$J$2:$J$201,MATCH($B947,Summary!$A$2:$A$201,0))</f>
        <v>3</v>
      </c>
      <c r="O947" s="2" t="n">
        <f aca="false">INDEX(Summary!$K$2:$K$201,MATCH($B947,Summary!$A$2:$A$201,0))</f>
        <v>9.51</v>
      </c>
      <c r="P947" s="3" t="n">
        <f aca="false">INDEX(Summary!$L$2:$L$201,MATCH($B947,Summary!$A$2:$A$201,0))</f>
        <v>3</v>
      </c>
      <c r="Q947" s="3" t="n">
        <f aca="false">INDEX(Summary!$M$2:$M$201,MATCH($B947,Summary!$A$2:$A$201,0))</f>
        <v>3</v>
      </c>
      <c r="R947" s="2" t="n">
        <f aca="false">INDEX(Summary!$N$2:$N$201,MATCH($B947,Summary!$A$2:$A$201,0))</f>
        <v>10.89</v>
      </c>
      <c r="S947" s="3" t="n">
        <f aca="false">INDEX(Summary!$O$2:$O$201,MATCH($B947,Summary!$A$2:$A$201,0))</f>
        <v>7</v>
      </c>
      <c r="T947" s="3" t="n">
        <f aca="false">INDEX(Summary!$P$2:$P$201,MATCH($B947,Summary!$A$2:$A$201,0))</f>
        <v>2</v>
      </c>
      <c r="U947" s="2" t="n">
        <f aca="false">INDEX(Summary!$Q$2:$Q$201,MATCH($B947,Summary!$A$2:$A$201,0))</f>
        <v>11.48</v>
      </c>
      <c r="V947" s="2" t="n">
        <f aca="false">INDEX(Summary!$R$2:$R$201,MATCH($B947,Summary!$A$2:$A$201,0))</f>
        <v>21.65</v>
      </c>
      <c r="W947" s="0" t="str">
        <f aca="false">INDEX(Summary!$S$2:$S$201,MATCH($B947,Summary!$A$2:$A$201,0))</f>
        <v>Silver</v>
      </c>
      <c r="X947" s="2" t="n">
        <f aca="false">INDEX(Summary!$T$2:$T$201,MATCH($B947,Summary!$A$2:$A$201,0))</f>
        <v>52.8</v>
      </c>
      <c r="Y947" s="0" t="str">
        <f aca="false">INDEX('Reward Model'!$E$18:$E$37,MATCH($E947,'Reward Model'!$A$18:$A$37,0))</f>
        <v>Medium</v>
      </c>
      <c r="Z947" s="4" t="n">
        <f aca="false">ROUND(MIN(1,MAX('Reward Model'!$B$2,INDEX('Reward Model'!$C$12:$C$14,MATCH($K947,'Reward Model'!$A$12:$A$14,0))/$J947)),3)</f>
        <v>1</v>
      </c>
      <c r="AA947" s="2" t="n">
        <f aca="false">IF($I947="Correct",ROUND(INDEX('Reward Model'!$B$12:$B$14,MATCH($K947,'Reward Model'!$A$12:$A$14,0))*Z947,2),0)</f>
        <v>0</v>
      </c>
      <c r="AB947" s="2" t="n">
        <f aca="false">IF($I947="Correct",ROUND(INDEX('Reward Model'!$B$12:$B$14,MATCH($Y947,'Reward Model'!$A$12:$A$14,0))*Z947,2),0)</f>
        <v>0</v>
      </c>
    </row>
    <row r="948" customFormat="false" ht="15" hidden="false" customHeight="false" outlineLevel="0" collapsed="false">
      <c r="A948" s="0" t="s">
        <v>223</v>
      </c>
      <c r="B948" s="0" t="s">
        <v>224</v>
      </c>
      <c r="C948" s="0" t="s">
        <v>30</v>
      </c>
      <c r="D948" s="0" t="s">
        <v>189</v>
      </c>
      <c r="E948" s="0" t="n">
        <v>7</v>
      </c>
      <c r="F948" s="0" t="s">
        <v>50</v>
      </c>
      <c r="G948" s="0" t="s">
        <v>51</v>
      </c>
      <c r="H948" s="0" t="s">
        <v>51</v>
      </c>
      <c r="I948" s="0" t="s">
        <v>34</v>
      </c>
      <c r="J948" s="0" t="n">
        <v>1.44</v>
      </c>
      <c r="K948" s="0" t="s">
        <v>35</v>
      </c>
      <c r="L948" s="0" t="n">
        <f aca="false">INDEX(Summary!$F$2:$F$201,MATCH($B948,Summary!$A$2:$A$201,0))</f>
        <v>20</v>
      </c>
      <c r="M948" s="0" t="n">
        <f aca="false">INDEX(Summary!$I$2:$I$201,MATCH($B948,Summary!$A$2:$A$201,0))</f>
        <v>2</v>
      </c>
      <c r="N948" s="0" t="n">
        <f aca="false">INDEX(Summary!$J$2:$J$201,MATCH($B948,Summary!$A$2:$A$201,0))</f>
        <v>3</v>
      </c>
      <c r="O948" s="2" t="n">
        <f aca="false">INDEX(Summary!$K$2:$K$201,MATCH($B948,Summary!$A$2:$A$201,0))</f>
        <v>9.51</v>
      </c>
      <c r="P948" s="3" t="n">
        <f aca="false">INDEX(Summary!$L$2:$L$201,MATCH($B948,Summary!$A$2:$A$201,0))</f>
        <v>3</v>
      </c>
      <c r="Q948" s="3" t="n">
        <f aca="false">INDEX(Summary!$M$2:$M$201,MATCH($B948,Summary!$A$2:$A$201,0))</f>
        <v>3</v>
      </c>
      <c r="R948" s="2" t="n">
        <f aca="false">INDEX(Summary!$N$2:$N$201,MATCH($B948,Summary!$A$2:$A$201,0))</f>
        <v>10.89</v>
      </c>
      <c r="S948" s="3" t="n">
        <f aca="false">INDEX(Summary!$O$2:$O$201,MATCH($B948,Summary!$A$2:$A$201,0))</f>
        <v>7</v>
      </c>
      <c r="T948" s="3" t="n">
        <f aca="false">INDEX(Summary!$P$2:$P$201,MATCH($B948,Summary!$A$2:$A$201,0))</f>
        <v>2</v>
      </c>
      <c r="U948" s="2" t="n">
        <f aca="false">INDEX(Summary!$Q$2:$Q$201,MATCH($B948,Summary!$A$2:$A$201,0))</f>
        <v>11.48</v>
      </c>
      <c r="V948" s="2" t="n">
        <f aca="false">INDEX(Summary!$R$2:$R$201,MATCH($B948,Summary!$A$2:$A$201,0))</f>
        <v>21.65</v>
      </c>
      <c r="W948" s="0" t="str">
        <f aca="false">INDEX(Summary!$S$2:$S$201,MATCH($B948,Summary!$A$2:$A$201,0))</f>
        <v>Silver</v>
      </c>
      <c r="X948" s="2" t="n">
        <f aca="false">INDEX(Summary!$T$2:$T$201,MATCH($B948,Summary!$A$2:$A$201,0))</f>
        <v>52.8</v>
      </c>
      <c r="Y948" s="0" t="str">
        <f aca="false">INDEX('Reward Model'!$E$18:$E$37,MATCH($E948,'Reward Model'!$A$18:$A$37,0))</f>
        <v>Low</v>
      </c>
      <c r="Z948" s="4" t="n">
        <f aca="false">ROUND(MIN(1,MAX('Reward Model'!$B$2,INDEX('Reward Model'!$C$12:$C$14,MATCH($K948,'Reward Model'!$A$12:$A$14,0))/$J948)),3)</f>
        <v>1</v>
      </c>
      <c r="AA948" s="2" t="n">
        <f aca="false">IF($I948="Correct",ROUND(INDEX('Reward Model'!$B$12:$B$14,MATCH($K948,'Reward Model'!$A$12:$A$14,0))*Z948,2),0)</f>
        <v>1</v>
      </c>
      <c r="AB948" s="2" t="n">
        <f aca="false">IF($I948="Correct",ROUND(INDEX('Reward Model'!$B$12:$B$14,MATCH($Y948,'Reward Model'!$A$12:$A$14,0))*Z948,2),0)</f>
        <v>1</v>
      </c>
    </row>
    <row r="949" customFormat="false" ht="15" hidden="false" customHeight="false" outlineLevel="0" collapsed="false">
      <c r="A949" s="0" t="s">
        <v>223</v>
      </c>
      <c r="B949" s="0" t="s">
        <v>224</v>
      </c>
      <c r="C949" s="0" t="s">
        <v>30</v>
      </c>
      <c r="D949" s="0" t="s">
        <v>189</v>
      </c>
      <c r="E949" s="0" t="n">
        <v>8</v>
      </c>
      <c r="F949" s="0" t="s">
        <v>52</v>
      </c>
      <c r="G949" s="0" t="s">
        <v>54</v>
      </c>
      <c r="H949" s="0" t="s">
        <v>54</v>
      </c>
      <c r="I949" s="0" t="s">
        <v>34</v>
      </c>
      <c r="J949" s="0" t="n">
        <v>1.74</v>
      </c>
      <c r="K949" s="0" t="s">
        <v>35</v>
      </c>
      <c r="L949" s="0" t="n">
        <f aca="false">INDEX(Summary!$F$2:$F$201,MATCH($B949,Summary!$A$2:$A$201,0))</f>
        <v>20</v>
      </c>
      <c r="M949" s="0" t="n">
        <f aca="false">INDEX(Summary!$I$2:$I$201,MATCH($B949,Summary!$A$2:$A$201,0))</f>
        <v>2</v>
      </c>
      <c r="N949" s="0" t="n">
        <f aca="false">INDEX(Summary!$J$2:$J$201,MATCH($B949,Summary!$A$2:$A$201,0))</f>
        <v>3</v>
      </c>
      <c r="O949" s="2" t="n">
        <f aca="false">INDEX(Summary!$K$2:$K$201,MATCH($B949,Summary!$A$2:$A$201,0))</f>
        <v>9.51</v>
      </c>
      <c r="P949" s="3" t="n">
        <f aca="false">INDEX(Summary!$L$2:$L$201,MATCH($B949,Summary!$A$2:$A$201,0))</f>
        <v>3</v>
      </c>
      <c r="Q949" s="3" t="n">
        <f aca="false">INDEX(Summary!$M$2:$M$201,MATCH($B949,Summary!$A$2:$A$201,0))</f>
        <v>3</v>
      </c>
      <c r="R949" s="2" t="n">
        <f aca="false">INDEX(Summary!$N$2:$N$201,MATCH($B949,Summary!$A$2:$A$201,0))</f>
        <v>10.89</v>
      </c>
      <c r="S949" s="3" t="n">
        <f aca="false">INDEX(Summary!$O$2:$O$201,MATCH($B949,Summary!$A$2:$A$201,0))</f>
        <v>7</v>
      </c>
      <c r="T949" s="3" t="n">
        <f aca="false">INDEX(Summary!$P$2:$P$201,MATCH($B949,Summary!$A$2:$A$201,0))</f>
        <v>2</v>
      </c>
      <c r="U949" s="2" t="n">
        <f aca="false">INDEX(Summary!$Q$2:$Q$201,MATCH($B949,Summary!$A$2:$A$201,0))</f>
        <v>11.48</v>
      </c>
      <c r="V949" s="2" t="n">
        <f aca="false">INDEX(Summary!$R$2:$R$201,MATCH($B949,Summary!$A$2:$A$201,0))</f>
        <v>21.65</v>
      </c>
      <c r="W949" s="0" t="str">
        <f aca="false">INDEX(Summary!$S$2:$S$201,MATCH($B949,Summary!$A$2:$A$201,0))</f>
        <v>Silver</v>
      </c>
      <c r="X949" s="2" t="n">
        <f aca="false">INDEX(Summary!$T$2:$T$201,MATCH($B949,Summary!$A$2:$A$201,0))</f>
        <v>52.8</v>
      </c>
      <c r="Y949" s="0" t="str">
        <f aca="false">INDEX('Reward Model'!$E$18:$E$37,MATCH($E949,'Reward Model'!$A$18:$A$37,0))</f>
        <v>Medium</v>
      </c>
      <c r="Z949" s="4" t="n">
        <f aca="false">ROUND(MIN(1,MAX('Reward Model'!$B$2,INDEX('Reward Model'!$C$12:$C$14,MATCH($K949,'Reward Model'!$A$12:$A$14,0))/$J949)),3)</f>
        <v>0.862</v>
      </c>
      <c r="AA949" s="2" t="n">
        <f aca="false">IF($I949="Correct",ROUND(INDEX('Reward Model'!$B$12:$B$14,MATCH($K949,'Reward Model'!$A$12:$A$14,0))*Z949,2),0)</f>
        <v>0.86</v>
      </c>
      <c r="AB949" s="2" t="n">
        <f aca="false">IF($I949="Correct",ROUND(INDEX('Reward Model'!$B$12:$B$14,MATCH($Y949,'Reward Model'!$A$12:$A$14,0))*Z949,2),0)</f>
        <v>1.72</v>
      </c>
    </row>
    <row r="950" customFormat="false" ht="15" hidden="false" customHeight="false" outlineLevel="0" collapsed="false">
      <c r="A950" s="0" t="s">
        <v>223</v>
      </c>
      <c r="B950" s="0" t="s">
        <v>224</v>
      </c>
      <c r="C950" s="0" t="s">
        <v>30</v>
      </c>
      <c r="D950" s="0" t="s">
        <v>189</v>
      </c>
      <c r="E950" s="0" t="n">
        <v>9</v>
      </c>
      <c r="F950" s="0" t="s">
        <v>55</v>
      </c>
      <c r="G950" s="0" t="s">
        <v>57</v>
      </c>
      <c r="H950" s="0" t="s">
        <v>57</v>
      </c>
      <c r="I950" s="0" t="s">
        <v>34</v>
      </c>
      <c r="J950" s="0" t="n">
        <v>0.96</v>
      </c>
      <c r="K950" s="0" t="s">
        <v>35</v>
      </c>
      <c r="L950" s="0" t="n">
        <f aca="false">INDEX(Summary!$F$2:$F$201,MATCH($B950,Summary!$A$2:$A$201,0))</f>
        <v>20</v>
      </c>
      <c r="M950" s="0" t="n">
        <f aca="false">INDEX(Summary!$I$2:$I$201,MATCH($B950,Summary!$A$2:$A$201,0))</f>
        <v>2</v>
      </c>
      <c r="N950" s="0" t="n">
        <f aca="false">INDEX(Summary!$J$2:$J$201,MATCH($B950,Summary!$A$2:$A$201,0))</f>
        <v>3</v>
      </c>
      <c r="O950" s="2" t="n">
        <f aca="false">INDEX(Summary!$K$2:$K$201,MATCH($B950,Summary!$A$2:$A$201,0))</f>
        <v>9.51</v>
      </c>
      <c r="P950" s="3" t="n">
        <f aca="false">INDEX(Summary!$L$2:$L$201,MATCH($B950,Summary!$A$2:$A$201,0))</f>
        <v>3</v>
      </c>
      <c r="Q950" s="3" t="n">
        <f aca="false">INDEX(Summary!$M$2:$M$201,MATCH($B950,Summary!$A$2:$A$201,0))</f>
        <v>3</v>
      </c>
      <c r="R950" s="2" t="n">
        <f aca="false">INDEX(Summary!$N$2:$N$201,MATCH($B950,Summary!$A$2:$A$201,0))</f>
        <v>10.89</v>
      </c>
      <c r="S950" s="3" t="n">
        <f aca="false">INDEX(Summary!$O$2:$O$201,MATCH($B950,Summary!$A$2:$A$201,0))</f>
        <v>7</v>
      </c>
      <c r="T950" s="3" t="n">
        <f aca="false">INDEX(Summary!$P$2:$P$201,MATCH($B950,Summary!$A$2:$A$201,0))</f>
        <v>2</v>
      </c>
      <c r="U950" s="2" t="n">
        <f aca="false">INDEX(Summary!$Q$2:$Q$201,MATCH($B950,Summary!$A$2:$A$201,0))</f>
        <v>11.48</v>
      </c>
      <c r="V950" s="2" t="n">
        <f aca="false">INDEX(Summary!$R$2:$R$201,MATCH($B950,Summary!$A$2:$A$201,0))</f>
        <v>21.65</v>
      </c>
      <c r="W950" s="0" t="str">
        <f aca="false">INDEX(Summary!$S$2:$S$201,MATCH($B950,Summary!$A$2:$A$201,0))</f>
        <v>Silver</v>
      </c>
      <c r="X950" s="2" t="n">
        <f aca="false">INDEX(Summary!$T$2:$T$201,MATCH($B950,Summary!$A$2:$A$201,0))</f>
        <v>52.8</v>
      </c>
      <c r="Y950" s="0" t="str">
        <f aca="false">INDEX('Reward Model'!$E$18:$E$37,MATCH($E950,'Reward Model'!$A$18:$A$37,0))</f>
        <v>Medium</v>
      </c>
      <c r="Z950" s="4" t="n">
        <f aca="false">ROUND(MIN(1,MAX('Reward Model'!$B$2,INDEX('Reward Model'!$C$12:$C$14,MATCH($K950,'Reward Model'!$A$12:$A$14,0))/$J950)),3)</f>
        <v>1</v>
      </c>
      <c r="AA950" s="2" t="n">
        <f aca="false">IF($I950="Correct",ROUND(INDEX('Reward Model'!$B$12:$B$14,MATCH($K950,'Reward Model'!$A$12:$A$14,0))*Z950,2),0)</f>
        <v>1</v>
      </c>
      <c r="AB950" s="2" t="n">
        <f aca="false">IF($I950="Correct",ROUND(INDEX('Reward Model'!$B$12:$B$14,MATCH($Y950,'Reward Model'!$A$12:$A$14,0))*Z950,2),0)</f>
        <v>2</v>
      </c>
    </row>
    <row r="951" customFormat="false" ht="15" hidden="false" customHeight="false" outlineLevel="0" collapsed="false">
      <c r="A951" s="0" t="s">
        <v>223</v>
      </c>
      <c r="B951" s="0" t="s">
        <v>224</v>
      </c>
      <c r="C951" s="0" t="s">
        <v>30</v>
      </c>
      <c r="D951" s="0" t="s">
        <v>189</v>
      </c>
      <c r="E951" s="0" t="n">
        <v>10</v>
      </c>
      <c r="F951" s="0" t="s">
        <v>58</v>
      </c>
      <c r="G951" s="0" t="s">
        <v>99</v>
      </c>
      <c r="H951" s="0" t="s">
        <v>59</v>
      </c>
      <c r="I951" s="0" t="s">
        <v>39</v>
      </c>
      <c r="J951" s="0" t="n">
        <v>2.01</v>
      </c>
      <c r="K951" s="0" t="s">
        <v>60</v>
      </c>
      <c r="L951" s="0" t="n">
        <f aca="false">INDEX(Summary!$F$2:$F$201,MATCH($B951,Summary!$A$2:$A$201,0))</f>
        <v>20</v>
      </c>
      <c r="M951" s="0" t="n">
        <f aca="false">INDEX(Summary!$I$2:$I$201,MATCH($B951,Summary!$A$2:$A$201,0))</f>
        <v>2</v>
      </c>
      <c r="N951" s="0" t="n">
        <f aca="false">INDEX(Summary!$J$2:$J$201,MATCH($B951,Summary!$A$2:$A$201,0))</f>
        <v>3</v>
      </c>
      <c r="O951" s="2" t="n">
        <f aca="false">INDEX(Summary!$K$2:$K$201,MATCH($B951,Summary!$A$2:$A$201,0))</f>
        <v>9.51</v>
      </c>
      <c r="P951" s="3" t="n">
        <f aca="false">INDEX(Summary!$L$2:$L$201,MATCH($B951,Summary!$A$2:$A$201,0))</f>
        <v>3</v>
      </c>
      <c r="Q951" s="3" t="n">
        <f aca="false">INDEX(Summary!$M$2:$M$201,MATCH($B951,Summary!$A$2:$A$201,0))</f>
        <v>3</v>
      </c>
      <c r="R951" s="2" t="n">
        <f aca="false">INDEX(Summary!$N$2:$N$201,MATCH($B951,Summary!$A$2:$A$201,0))</f>
        <v>10.89</v>
      </c>
      <c r="S951" s="3" t="n">
        <f aca="false">INDEX(Summary!$O$2:$O$201,MATCH($B951,Summary!$A$2:$A$201,0))</f>
        <v>7</v>
      </c>
      <c r="T951" s="3" t="n">
        <f aca="false">INDEX(Summary!$P$2:$P$201,MATCH($B951,Summary!$A$2:$A$201,0))</f>
        <v>2</v>
      </c>
      <c r="U951" s="2" t="n">
        <f aca="false">INDEX(Summary!$Q$2:$Q$201,MATCH($B951,Summary!$A$2:$A$201,0))</f>
        <v>11.48</v>
      </c>
      <c r="V951" s="2" t="n">
        <f aca="false">INDEX(Summary!$R$2:$R$201,MATCH($B951,Summary!$A$2:$A$201,0))</f>
        <v>21.65</v>
      </c>
      <c r="W951" s="0" t="str">
        <f aca="false">INDEX(Summary!$S$2:$S$201,MATCH($B951,Summary!$A$2:$A$201,0))</f>
        <v>Silver</v>
      </c>
      <c r="X951" s="2" t="n">
        <f aca="false">INDEX(Summary!$T$2:$T$201,MATCH($B951,Summary!$A$2:$A$201,0))</f>
        <v>52.8</v>
      </c>
      <c r="Y951" s="0" t="str">
        <f aca="false">INDEX('Reward Model'!$E$18:$E$37,MATCH($E951,'Reward Model'!$A$18:$A$37,0))</f>
        <v>Medium</v>
      </c>
      <c r="Z951" s="4" t="n">
        <f aca="false">ROUND(MIN(1,MAX('Reward Model'!$B$2,INDEX('Reward Model'!$C$12:$C$14,MATCH($K951,'Reward Model'!$A$12:$A$14,0))/$J951)),3)</f>
        <v>0.896</v>
      </c>
      <c r="AA951" s="2" t="n">
        <f aca="false">IF($I951="Correct",ROUND(INDEX('Reward Model'!$B$12:$B$14,MATCH($K951,'Reward Model'!$A$12:$A$14,0))*Z951,2),0)</f>
        <v>0</v>
      </c>
      <c r="AB951" s="2" t="n">
        <f aca="false">IF($I951="Correct",ROUND(INDEX('Reward Model'!$B$12:$B$14,MATCH($Y951,'Reward Model'!$A$12:$A$14,0))*Z951,2),0)</f>
        <v>0</v>
      </c>
    </row>
    <row r="952" customFormat="false" ht="15" hidden="false" customHeight="false" outlineLevel="0" collapsed="false">
      <c r="A952" s="0" t="s">
        <v>223</v>
      </c>
      <c r="B952" s="0" t="s">
        <v>224</v>
      </c>
      <c r="C952" s="0" t="s">
        <v>30</v>
      </c>
      <c r="D952" s="0" t="s">
        <v>189</v>
      </c>
      <c r="E952" s="0" t="n">
        <v>11</v>
      </c>
      <c r="F952" s="0" t="s">
        <v>61</v>
      </c>
      <c r="G952" s="0" t="s">
        <v>62</v>
      </c>
      <c r="H952" s="0" t="s">
        <v>63</v>
      </c>
      <c r="I952" s="0" t="s">
        <v>39</v>
      </c>
      <c r="J952" s="0" t="n">
        <v>2.07</v>
      </c>
      <c r="K952" s="0" t="s">
        <v>60</v>
      </c>
      <c r="L952" s="0" t="n">
        <f aca="false">INDEX(Summary!$F$2:$F$201,MATCH($B952,Summary!$A$2:$A$201,0))</f>
        <v>20</v>
      </c>
      <c r="M952" s="0" t="n">
        <f aca="false">INDEX(Summary!$I$2:$I$201,MATCH($B952,Summary!$A$2:$A$201,0))</f>
        <v>2</v>
      </c>
      <c r="N952" s="0" t="n">
        <f aca="false">INDEX(Summary!$J$2:$J$201,MATCH($B952,Summary!$A$2:$A$201,0))</f>
        <v>3</v>
      </c>
      <c r="O952" s="2" t="n">
        <f aca="false">INDEX(Summary!$K$2:$K$201,MATCH($B952,Summary!$A$2:$A$201,0))</f>
        <v>9.51</v>
      </c>
      <c r="P952" s="3" t="n">
        <f aca="false">INDEX(Summary!$L$2:$L$201,MATCH($B952,Summary!$A$2:$A$201,0))</f>
        <v>3</v>
      </c>
      <c r="Q952" s="3" t="n">
        <f aca="false">INDEX(Summary!$M$2:$M$201,MATCH($B952,Summary!$A$2:$A$201,0))</f>
        <v>3</v>
      </c>
      <c r="R952" s="2" t="n">
        <f aca="false">INDEX(Summary!$N$2:$N$201,MATCH($B952,Summary!$A$2:$A$201,0))</f>
        <v>10.89</v>
      </c>
      <c r="S952" s="3" t="n">
        <f aca="false">INDEX(Summary!$O$2:$O$201,MATCH($B952,Summary!$A$2:$A$201,0))</f>
        <v>7</v>
      </c>
      <c r="T952" s="3" t="n">
        <f aca="false">INDEX(Summary!$P$2:$P$201,MATCH($B952,Summary!$A$2:$A$201,0))</f>
        <v>2</v>
      </c>
      <c r="U952" s="2" t="n">
        <f aca="false">INDEX(Summary!$Q$2:$Q$201,MATCH($B952,Summary!$A$2:$A$201,0))</f>
        <v>11.48</v>
      </c>
      <c r="V952" s="2" t="n">
        <f aca="false">INDEX(Summary!$R$2:$R$201,MATCH($B952,Summary!$A$2:$A$201,0))</f>
        <v>21.65</v>
      </c>
      <c r="W952" s="0" t="str">
        <f aca="false">INDEX(Summary!$S$2:$S$201,MATCH($B952,Summary!$A$2:$A$201,0))</f>
        <v>Silver</v>
      </c>
      <c r="X952" s="2" t="n">
        <f aca="false">INDEX(Summary!$T$2:$T$201,MATCH($B952,Summary!$A$2:$A$201,0))</f>
        <v>52.8</v>
      </c>
      <c r="Y952" s="0" t="str">
        <f aca="false">INDEX('Reward Model'!$E$18:$E$37,MATCH($E952,'Reward Model'!$A$18:$A$37,0))</f>
        <v>Medium</v>
      </c>
      <c r="Z952" s="4" t="n">
        <f aca="false">ROUND(MIN(1,MAX('Reward Model'!$B$2,INDEX('Reward Model'!$C$12:$C$14,MATCH($K952,'Reward Model'!$A$12:$A$14,0))/$J952)),3)</f>
        <v>0.87</v>
      </c>
      <c r="AA952" s="2" t="n">
        <f aca="false">IF($I952="Correct",ROUND(INDEX('Reward Model'!$B$12:$B$14,MATCH($K952,'Reward Model'!$A$12:$A$14,0))*Z952,2),0)</f>
        <v>0</v>
      </c>
      <c r="AB952" s="2" t="n">
        <f aca="false">IF($I952="Correct",ROUND(INDEX('Reward Model'!$B$12:$B$14,MATCH($Y952,'Reward Model'!$A$12:$A$14,0))*Z952,2),0)</f>
        <v>0</v>
      </c>
    </row>
    <row r="953" customFormat="false" ht="15" hidden="false" customHeight="false" outlineLevel="0" collapsed="false">
      <c r="A953" s="0" t="s">
        <v>223</v>
      </c>
      <c r="B953" s="0" t="s">
        <v>224</v>
      </c>
      <c r="C953" s="0" t="s">
        <v>30</v>
      </c>
      <c r="D953" s="0" t="s">
        <v>189</v>
      </c>
      <c r="E953" s="0" t="n">
        <v>12</v>
      </c>
      <c r="F953" s="0" t="s">
        <v>64</v>
      </c>
      <c r="G953" s="0" t="s">
        <v>65</v>
      </c>
      <c r="H953" s="0" t="s">
        <v>65</v>
      </c>
      <c r="I953" s="0" t="s">
        <v>34</v>
      </c>
      <c r="J953" s="0" t="n">
        <v>1.77</v>
      </c>
      <c r="K953" s="0" t="s">
        <v>60</v>
      </c>
      <c r="L953" s="0" t="n">
        <f aca="false">INDEX(Summary!$F$2:$F$201,MATCH($B953,Summary!$A$2:$A$201,0))</f>
        <v>20</v>
      </c>
      <c r="M953" s="0" t="n">
        <f aca="false">INDEX(Summary!$I$2:$I$201,MATCH($B953,Summary!$A$2:$A$201,0))</f>
        <v>2</v>
      </c>
      <c r="N953" s="0" t="n">
        <f aca="false">INDEX(Summary!$J$2:$J$201,MATCH($B953,Summary!$A$2:$A$201,0))</f>
        <v>3</v>
      </c>
      <c r="O953" s="2" t="n">
        <f aca="false">INDEX(Summary!$K$2:$K$201,MATCH($B953,Summary!$A$2:$A$201,0))</f>
        <v>9.51</v>
      </c>
      <c r="P953" s="3" t="n">
        <f aca="false">INDEX(Summary!$L$2:$L$201,MATCH($B953,Summary!$A$2:$A$201,0))</f>
        <v>3</v>
      </c>
      <c r="Q953" s="3" t="n">
        <f aca="false">INDEX(Summary!$M$2:$M$201,MATCH($B953,Summary!$A$2:$A$201,0))</f>
        <v>3</v>
      </c>
      <c r="R953" s="2" t="n">
        <f aca="false">INDEX(Summary!$N$2:$N$201,MATCH($B953,Summary!$A$2:$A$201,0))</f>
        <v>10.89</v>
      </c>
      <c r="S953" s="3" t="n">
        <f aca="false">INDEX(Summary!$O$2:$O$201,MATCH($B953,Summary!$A$2:$A$201,0))</f>
        <v>7</v>
      </c>
      <c r="T953" s="3" t="n">
        <f aca="false">INDEX(Summary!$P$2:$P$201,MATCH($B953,Summary!$A$2:$A$201,0))</f>
        <v>2</v>
      </c>
      <c r="U953" s="2" t="n">
        <f aca="false">INDEX(Summary!$Q$2:$Q$201,MATCH($B953,Summary!$A$2:$A$201,0))</f>
        <v>11.48</v>
      </c>
      <c r="V953" s="2" t="n">
        <f aca="false">INDEX(Summary!$R$2:$R$201,MATCH($B953,Summary!$A$2:$A$201,0))</f>
        <v>21.65</v>
      </c>
      <c r="W953" s="0" t="str">
        <f aca="false">INDEX(Summary!$S$2:$S$201,MATCH($B953,Summary!$A$2:$A$201,0))</f>
        <v>Silver</v>
      </c>
      <c r="X953" s="2" t="n">
        <f aca="false">INDEX(Summary!$T$2:$T$201,MATCH($B953,Summary!$A$2:$A$201,0))</f>
        <v>52.8</v>
      </c>
      <c r="Y953" s="0" t="str">
        <f aca="false">INDEX('Reward Model'!$E$18:$E$37,MATCH($E953,'Reward Model'!$A$18:$A$37,0))</f>
        <v>Medium</v>
      </c>
      <c r="Z953" s="4" t="n">
        <f aca="false">ROUND(MIN(1,MAX('Reward Model'!$B$2,INDEX('Reward Model'!$C$12:$C$14,MATCH($K953,'Reward Model'!$A$12:$A$14,0))/$J953)),3)</f>
        <v>1</v>
      </c>
      <c r="AA953" s="2" t="n">
        <f aca="false">IF($I953="Correct",ROUND(INDEX('Reward Model'!$B$12:$B$14,MATCH($K953,'Reward Model'!$A$12:$A$14,0))*Z953,2),0)</f>
        <v>2</v>
      </c>
      <c r="AB953" s="2" t="n">
        <f aca="false">IF($I953="Correct",ROUND(INDEX('Reward Model'!$B$12:$B$14,MATCH($Y953,'Reward Model'!$A$12:$A$14,0))*Z953,2),0)</f>
        <v>2</v>
      </c>
    </row>
    <row r="954" customFormat="false" ht="15" hidden="false" customHeight="false" outlineLevel="0" collapsed="false">
      <c r="A954" s="0" t="s">
        <v>223</v>
      </c>
      <c r="B954" s="0" t="s">
        <v>224</v>
      </c>
      <c r="C954" s="0" t="s">
        <v>30</v>
      </c>
      <c r="D954" s="0" t="s">
        <v>189</v>
      </c>
      <c r="E954" s="0" t="n">
        <v>13</v>
      </c>
      <c r="F954" s="0" t="s">
        <v>66</v>
      </c>
      <c r="G954" s="0" t="s">
        <v>117</v>
      </c>
      <c r="H954" s="0" t="s">
        <v>67</v>
      </c>
      <c r="I954" s="0" t="s">
        <v>39</v>
      </c>
      <c r="J954" s="0" t="n">
        <v>2.13</v>
      </c>
      <c r="K954" s="0" t="s">
        <v>60</v>
      </c>
      <c r="L954" s="0" t="n">
        <f aca="false">INDEX(Summary!$F$2:$F$201,MATCH($B954,Summary!$A$2:$A$201,0))</f>
        <v>20</v>
      </c>
      <c r="M954" s="0" t="n">
        <f aca="false">INDEX(Summary!$I$2:$I$201,MATCH($B954,Summary!$A$2:$A$201,0))</f>
        <v>2</v>
      </c>
      <c r="N954" s="0" t="n">
        <f aca="false">INDEX(Summary!$J$2:$J$201,MATCH($B954,Summary!$A$2:$A$201,0))</f>
        <v>3</v>
      </c>
      <c r="O954" s="2" t="n">
        <f aca="false">INDEX(Summary!$K$2:$K$201,MATCH($B954,Summary!$A$2:$A$201,0))</f>
        <v>9.51</v>
      </c>
      <c r="P954" s="3" t="n">
        <f aca="false">INDEX(Summary!$L$2:$L$201,MATCH($B954,Summary!$A$2:$A$201,0))</f>
        <v>3</v>
      </c>
      <c r="Q954" s="3" t="n">
        <f aca="false">INDEX(Summary!$M$2:$M$201,MATCH($B954,Summary!$A$2:$A$201,0))</f>
        <v>3</v>
      </c>
      <c r="R954" s="2" t="n">
        <f aca="false">INDEX(Summary!$N$2:$N$201,MATCH($B954,Summary!$A$2:$A$201,0))</f>
        <v>10.89</v>
      </c>
      <c r="S954" s="3" t="n">
        <f aca="false">INDEX(Summary!$O$2:$O$201,MATCH($B954,Summary!$A$2:$A$201,0))</f>
        <v>7</v>
      </c>
      <c r="T954" s="3" t="n">
        <f aca="false">INDEX(Summary!$P$2:$P$201,MATCH($B954,Summary!$A$2:$A$201,0))</f>
        <v>2</v>
      </c>
      <c r="U954" s="2" t="n">
        <f aca="false">INDEX(Summary!$Q$2:$Q$201,MATCH($B954,Summary!$A$2:$A$201,0))</f>
        <v>11.48</v>
      </c>
      <c r="V954" s="2" t="n">
        <f aca="false">INDEX(Summary!$R$2:$R$201,MATCH($B954,Summary!$A$2:$A$201,0))</f>
        <v>21.65</v>
      </c>
      <c r="W954" s="0" t="str">
        <f aca="false">INDEX(Summary!$S$2:$S$201,MATCH($B954,Summary!$A$2:$A$201,0))</f>
        <v>Silver</v>
      </c>
      <c r="X954" s="2" t="n">
        <f aca="false">INDEX(Summary!$T$2:$T$201,MATCH($B954,Summary!$A$2:$A$201,0))</f>
        <v>52.8</v>
      </c>
      <c r="Y954" s="0" t="str">
        <f aca="false">INDEX('Reward Model'!$E$18:$E$37,MATCH($E954,'Reward Model'!$A$18:$A$37,0))</f>
        <v>Medium</v>
      </c>
      <c r="Z954" s="4" t="n">
        <f aca="false">ROUND(MIN(1,MAX('Reward Model'!$B$2,INDEX('Reward Model'!$C$12:$C$14,MATCH($K954,'Reward Model'!$A$12:$A$14,0))/$J954)),3)</f>
        <v>0.845</v>
      </c>
      <c r="AA954" s="2" t="n">
        <f aca="false">IF($I954="Correct",ROUND(INDEX('Reward Model'!$B$12:$B$14,MATCH($K954,'Reward Model'!$A$12:$A$14,0))*Z954,2),0)</f>
        <v>0</v>
      </c>
      <c r="AB954" s="2" t="n">
        <f aca="false">IF($I954="Correct",ROUND(INDEX('Reward Model'!$B$12:$B$14,MATCH($Y954,'Reward Model'!$A$12:$A$14,0))*Z954,2),0)</f>
        <v>0</v>
      </c>
    </row>
    <row r="955" customFormat="false" ht="15" hidden="false" customHeight="false" outlineLevel="0" collapsed="false">
      <c r="A955" s="0" t="s">
        <v>223</v>
      </c>
      <c r="B955" s="0" t="s">
        <v>224</v>
      </c>
      <c r="C955" s="0" t="s">
        <v>30</v>
      </c>
      <c r="D955" s="0" t="s">
        <v>189</v>
      </c>
      <c r="E955" s="0" t="n">
        <v>14</v>
      </c>
      <c r="F955" s="0" t="s">
        <v>68</v>
      </c>
      <c r="G955" s="0" t="s">
        <v>51</v>
      </c>
      <c r="H955" s="0" t="s">
        <v>51</v>
      </c>
      <c r="I955" s="0" t="s">
        <v>34</v>
      </c>
      <c r="J955" s="0" t="n">
        <v>1.67</v>
      </c>
      <c r="K955" s="0" t="s">
        <v>60</v>
      </c>
      <c r="L955" s="0" t="n">
        <f aca="false">INDEX(Summary!$F$2:$F$201,MATCH($B955,Summary!$A$2:$A$201,0))</f>
        <v>20</v>
      </c>
      <c r="M955" s="0" t="n">
        <f aca="false">INDEX(Summary!$I$2:$I$201,MATCH($B955,Summary!$A$2:$A$201,0))</f>
        <v>2</v>
      </c>
      <c r="N955" s="0" t="n">
        <f aca="false">INDEX(Summary!$J$2:$J$201,MATCH($B955,Summary!$A$2:$A$201,0))</f>
        <v>3</v>
      </c>
      <c r="O955" s="2" t="n">
        <f aca="false">INDEX(Summary!$K$2:$K$201,MATCH($B955,Summary!$A$2:$A$201,0))</f>
        <v>9.51</v>
      </c>
      <c r="P955" s="3" t="n">
        <f aca="false">INDEX(Summary!$L$2:$L$201,MATCH($B955,Summary!$A$2:$A$201,0))</f>
        <v>3</v>
      </c>
      <c r="Q955" s="3" t="n">
        <f aca="false">INDEX(Summary!$M$2:$M$201,MATCH($B955,Summary!$A$2:$A$201,0))</f>
        <v>3</v>
      </c>
      <c r="R955" s="2" t="n">
        <f aca="false">INDEX(Summary!$N$2:$N$201,MATCH($B955,Summary!$A$2:$A$201,0))</f>
        <v>10.89</v>
      </c>
      <c r="S955" s="3" t="n">
        <f aca="false">INDEX(Summary!$O$2:$O$201,MATCH($B955,Summary!$A$2:$A$201,0))</f>
        <v>7</v>
      </c>
      <c r="T955" s="3" t="n">
        <f aca="false">INDEX(Summary!$P$2:$P$201,MATCH($B955,Summary!$A$2:$A$201,0))</f>
        <v>2</v>
      </c>
      <c r="U955" s="2" t="n">
        <f aca="false">INDEX(Summary!$Q$2:$Q$201,MATCH($B955,Summary!$A$2:$A$201,0))</f>
        <v>11.48</v>
      </c>
      <c r="V955" s="2" t="n">
        <f aca="false">INDEX(Summary!$R$2:$R$201,MATCH($B955,Summary!$A$2:$A$201,0))</f>
        <v>21.65</v>
      </c>
      <c r="W955" s="0" t="str">
        <f aca="false">INDEX(Summary!$S$2:$S$201,MATCH($B955,Summary!$A$2:$A$201,0))</f>
        <v>Silver</v>
      </c>
      <c r="X955" s="2" t="n">
        <f aca="false">INDEX(Summary!$T$2:$T$201,MATCH($B955,Summary!$A$2:$A$201,0))</f>
        <v>52.8</v>
      </c>
      <c r="Y955" s="0" t="str">
        <f aca="false">INDEX('Reward Model'!$E$18:$E$37,MATCH($E955,'Reward Model'!$A$18:$A$37,0))</f>
        <v>Medium</v>
      </c>
      <c r="Z955" s="4" t="n">
        <f aca="false">ROUND(MIN(1,MAX('Reward Model'!$B$2,INDEX('Reward Model'!$C$12:$C$14,MATCH($K955,'Reward Model'!$A$12:$A$14,0))/$J955)),3)</f>
        <v>1</v>
      </c>
      <c r="AA955" s="2" t="n">
        <f aca="false">IF($I955="Correct",ROUND(INDEX('Reward Model'!$B$12:$B$14,MATCH($K955,'Reward Model'!$A$12:$A$14,0))*Z955,2),0)</f>
        <v>2</v>
      </c>
      <c r="AB955" s="2" t="n">
        <f aca="false">IF($I955="Correct",ROUND(INDEX('Reward Model'!$B$12:$B$14,MATCH($Y955,'Reward Model'!$A$12:$A$14,0))*Z955,2),0)</f>
        <v>2</v>
      </c>
    </row>
    <row r="956" customFormat="false" ht="15" hidden="false" customHeight="false" outlineLevel="0" collapsed="false">
      <c r="A956" s="0" t="s">
        <v>223</v>
      </c>
      <c r="B956" s="0" t="s">
        <v>224</v>
      </c>
      <c r="C956" s="0" t="s">
        <v>30</v>
      </c>
      <c r="D956" s="0" t="s">
        <v>189</v>
      </c>
      <c r="E956" s="0" t="n">
        <v>15</v>
      </c>
      <c r="F956" s="0" t="s">
        <v>69</v>
      </c>
      <c r="G956" s="0" t="s">
        <v>70</v>
      </c>
      <c r="H956" s="0" t="s">
        <v>70</v>
      </c>
      <c r="I956" s="0" t="s">
        <v>34</v>
      </c>
      <c r="J956" s="0" t="n">
        <v>1.24</v>
      </c>
      <c r="K956" s="0" t="s">
        <v>60</v>
      </c>
      <c r="L956" s="0" t="n">
        <f aca="false">INDEX(Summary!$F$2:$F$201,MATCH($B956,Summary!$A$2:$A$201,0))</f>
        <v>20</v>
      </c>
      <c r="M956" s="0" t="n">
        <f aca="false">INDEX(Summary!$I$2:$I$201,MATCH($B956,Summary!$A$2:$A$201,0))</f>
        <v>2</v>
      </c>
      <c r="N956" s="0" t="n">
        <f aca="false">INDEX(Summary!$J$2:$J$201,MATCH($B956,Summary!$A$2:$A$201,0))</f>
        <v>3</v>
      </c>
      <c r="O956" s="2" t="n">
        <f aca="false">INDEX(Summary!$K$2:$K$201,MATCH($B956,Summary!$A$2:$A$201,0))</f>
        <v>9.51</v>
      </c>
      <c r="P956" s="3" t="n">
        <f aca="false">INDEX(Summary!$L$2:$L$201,MATCH($B956,Summary!$A$2:$A$201,0))</f>
        <v>3</v>
      </c>
      <c r="Q956" s="3" t="n">
        <f aca="false">INDEX(Summary!$M$2:$M$201,MATCH($B956,Summary!$A$2:$A$201,0))</f>
        <v>3</v>
      </c>
      <c r="R956" s="2" t="n">
        <f aca="false">INDEX(Summary!$N$2:$N$201,MATCH($B956,Summary!$A$2:$A$201,0))</f>
        <v>10.89</v>
      </c>
      <c r="S956" s="3" t="n">
        <f aca="false">INDEX(Summary!$O$2:$O$201,MATCH($B956,Summary!$A$2:$A$201,0))</f>
        <v>7</v>
      </c>
      <c r="T956" s="3" t="n">
        <f aca="false">INDEX(Summary!$P$2:$P$201,MATCH($B956,Summary!$A$2:$A$201,0))</f>
        <v>2</v>
      </c>
      <c r="U956" s="2" t="n">
        <f aca="false">INDEX(Summary!$Q$2:$Q$201,MATCH($B956,Summary!$A$2:$A$201,0))</f>
        <v>11.48</v>
      </c>
      <c r="V956" s="2" t="n">
        <f aca="false">INDEX(Summary!$R$2:$R$201,MATCH($B956,Summary!$A$2:$A$201,0))</f>
        <v>21.65</v>
      </c>
      <c r="W956" s="0" t="str">
        <f aca="false">INDEX(Summary!$S$2:$S$201,MATCH($B956,Summary!$A$2:$A$201,0))</f>
        <v>Silver</v>
      </c>
      <c r="X956" s="2" t="n">
        <f aca="false">INDEX(Summary!$T$2:$T$201,MATCH($B956,Summary!$A$2:$A$201,0))</f>
        <v>52.8</v>
      </c>
      <c r="Y956" s="0" t="str">
        <f aca="false">INDEX('Reward Model'!$E$18:$E$37,MATCH($E956,'Reward Model'!$A$18:$A$37,0))</f>
        <v>Medium</v>
      </c>
      <c r="Z956" s="4" t="n">
        <f aca="false">ROUND(MIN(1,MAX('Reward Model'!$B$2,INDEX('Reward Model'!$C$12:$C$14,MATCH($K956,'Reward Model'!$A$12:$A$14,0))/$J956)),3)</f>
        <v>1</v>
      </c>
      <c r="AA956" s="2" t="n">
        <f aca="false">IF($I956="Correct",ROUND(INDEX('Reward Model'!$B$12:$B$14,MATCH($K956,'Reward Model'!$A$12:$A$14,0))*Z956,2),0)</f>
        <v>2</v>
      </c>
      <c r="AB956" s="2" t="n">
        <f aca="false">IF($I956="Correct",ROUND(INDEX('Reward Model'!$B$12:$B$14,MATCH($Y956,'Reward Model'!$A$12:$A$14,0))*Z956,2),0)</f>
        <v>2</v>
      </c>
    </row>
    <row r="957" customFormat="false" ht="15" hidden="false" customHeight="false" outlineLevel="0" collapsed="false">
      <c r="A957" s="0" t="s">
        <v>223</v>
      </c>
      <c r="B957" s="0" t="s">
        <v>224</v>
      </c>
      <c r="C957" s="0" t="s">
        <v>30</v>
      </c>
      <c r="D957" s="0" t="s">
        <v>189</v>
      </c>
      <c r="E957" s="0" t="n">
        <v>16</v>
      </c>
      <c r="F957" s="0" t="s">
        <v>71</v>
      </c>
      <c r="G957" s="0" t="s">
        <v>101</v>
      </c>
      <c r="H957" s="0" t="s">
        <v>72</v>
      </c>
      <c r="I957" s="0" t="s">
        <v>39</v>
      </c>
      <c r="J957" s="0" t="n">
        <v>1.53</v>
      </c>
      <c r="K957" s="0" t="s">
        <v>73</v>
      </c>
      <c r="L957" s="0" t="n">
        <f aca="false">INDEX(Summary!$F$2:$F$201,MATCH($B957,Summary!$A$2:$A$201,0))</f>
        <v>20</v>
      </c>
      <c r="M957" s="0" t="n">
        <f aca="false">INDEX(Summary!$I$2:$I$201,MATCH($B957,Summary!$A$2:$A$201,0))</f>
        <v>2</v>
      </c>
      <c r="N957" s="0" t="n">
        <f aca="false">INDEX(Summary!$J$2:$J$201,MATCH($B957,Summary!$A$2:$A$201,0))</f>
        <v>3</v>
      </c>
      <c r="O957" s="2" t="n">
        <f aca="false">INDEX(Summary!$K$2:$K$201,MATCH($B957,Summary!$A$2:$A$201,0))</f>
        <v>9.51</v>
      </c>
      <c r="P957" s="3" t="n">
        <f aca="false">INDEX(Summary!$L$2:$L$201,MATCH($B957,Summary!$A$2:$A$201,0))</f>
        <v>3</v>
      </c>
      <c r="Q957" s="3" t="n">
        <f aca="false">INDEX(Summary!$M$2:$M$201,MATCH($B957,Summary!$A$2:$A$201,0))</f>
        <v>3</v>
      </c>
      <c r="R957" s="2" t="n">
        <f aca="false">INDEX(Summary!$N$2:$N$201,MATCH($B957,Summary!$A$2:$A$201,0))</f>
        <v>10.89</v>
      </c>
      <c r="S957" s="3" t="n">
        <f aca="false">INDEX(Summary!$O$2:$O$201,MATCH($B957,Summary!$A$2:$A$201,0))</f>
        <v>7</v>
      </c>
      <c r="T957" s="3" t="n">
        <f aca="false">INDEX(Summary!$P$2:$P$201,MATCH($B957,Summary!$A$2:$A$201,0))</f>
        <v>2</v>
      </c>
      <c r="U957" s="2" t="n">
        <f aca="false">INDEX(Summary!$Q$2:$Q$201,MATCH($B957,Summary!$A$2:$A$201,0))</f>
        <v>11.48</v>
      </c>
      <c r="V957" s="2" t="n">
        <f aca="false">INDEX(Summary!$R$2:$R$201,MATCH($B957,Summary!$A$2:$A$201,0))</f>
        <v>21.65</v>
      </c>
      <c r="W957" s="0" t="str">
        <f aca="false">INDEX(Summary!$S$2:$S$201,MATCH($B957,Summary!$A$2:$A$201,0))</f>
        <v>Silver</v>
      </c>
      <c r="X957" s="2" t="n">
        <f aca="false">INDEX(Summary!$T$2:$T$201,MATCH($B957,Summary!$A$2:$A$201,0))</f>
        <v>52.8</v>
      </c>
      <c r="Y957" s="0" t="str">
        <f aca="false">INDEX('Reward Model'!$E$18:$E$37,MATCH($E957,'Reward Model'!$A$18:$A$37,0))</f>
        <v>High</v>
      </c>
      <c r="Z957" s="4" t="n">
        <f aca="false">ROUND(MIN(1,MAX('Reward Model'!$B$2,INDEX('Reward Model'!$C$12:$C$14,MATCH($K957,'Reward Model'!$A$12:$A$14,0))/$J957)),3)</f>
        <v>1</v>
      </c>
      <c r="AA957" s="2" t="n">
        <f aca="false">IF($I957="Correct",ROUND(INDEX('Reward Model'!$B$12:$B$14,MATCH($K957,'Reward Model'!$A$12:$A$14,0))*Z957,2),0)</f>
        <v>0</v>
      </c>
      <c r="AB957" s="2" t="n">
        <f aca="false">IF($I957="Correct",ROUND(INDEX('Reward Model'!$B$12:$B$14,MATCH($Y957,'Reward Model'!$A$12:$A$14,0))*Z957,2),0)</f>
        <v>0</v>
      </c>
    </row>
    <row r="958" customFormat="false" ht="15" hidden="false" customHeight="false" outlineLevel="0" collapsed="false">
      <c r="A958" s="0" t="s">
        <v>223</v>
      </c>
      <c r="B958" s="0" t="s">
        <v>224</v>
      </c>
      <c r="C958" s="0" t="s">
        <v>30</v>
      </c>
      <c r="D958" s="0" t="s">
        <v>189</v>
      </c>
      <c r="E958" s="0" t="n">
        <v>17</v>
      </c>
      <c r="F958" s="0" t="s">
        <v>74</v>
      </c>
      <c r="G958" s="0" t="s">
        <v>75</v>
      </c>
      <c r="H958" s="0" t="s">
        <v>75</v>
      </c>
      <c r="I958" s="0" t="s">
        <v>34</v>
      </c>
      <c r="J958" s="0" t="n">
        <v>2.33</v>
      </c>
      <c r="K958" s="0" t="s">
        <v>73</v>
      </c>
      <c r="L958" s="0" t="n">
        <f aca="false">INDEX(Summary!$F$2:$F$201,MATCH($B958,Summary!$A$2:$A$201,0))</f>
        <v>20</v>
      </c>
      <c r="M958" s="0" t="n">
        <f aca="false">INDEX(Summary!$I$2:$I$201,MATCH($B958,Summary!$A$2:$A$201,0))</f>
        <v>2</v>
      </c>
      <c r="N958" s="0" t="n">
        <f aca="false">INDEX(Summary!$J$2:$J$201,MATCH($B958,Summary!$A$2:$A$201,0))</f>
        <v>3</v>
      </c>
      <c r="O958" s="2" t="n">
        <f aca="false">INDEX(Summary!$K$2:$K$201,MATCH($B958,Summary!$A$2:$A$201,0))</f>
        <v>9.51</v>
      </c>
      <c r="P958" s="3" t="n">
        <f aca="false">INDEX(Summary!$L$2:$L$201,MATCH($B958,Summary!$A$2:$A$201,0))</f>
        <v>3</v>
      </c>
      <c r="Q958" s="3" t="n">
        <f aca="false">INDEX(Summary!$M$2:$M$201,MATCH($B958,Summary!$A$2:$A$201,0))</f>
        <v>3</v>
      </c>
      <c r="R958" s="2" t="n">
        <f aca="false">INDEX(Summary!$N$2:$N$201,MATCH($B958,Summary!$A$2:$A$201,0))</f>
        <v>10.89</v>
      </c>
      <c r="S958" s="3" t="n">
        <f aca="false">INDEX(Summary!$O$2:$O$201,MATCH($B958,Summary!$A$2:$A$201,0))</f>
        <v>7</v>
      </c>
      <c r="T958" s="3" t="n">
        <f aca="false">INDEX(Summary!$P$2:$P$201,MATCH($B958,Summary!$A$2:$A$201,0))</f>
        <v>2</v>
      </c>
      <c r="U958" s="2" t="n">
        <f aca="false">INDEX(Summary!$Q$2:$Q$201,MATCH($B958,Summary!$A$2:$A$201,0))</f>
        <v>11.48</v>
      </c>
      <c r="V958" s="2" t="n">
        <f aca="false">INDEX(Summary!$R$2:$R$201,MATCH($B958,Summary!$A$2:$A$201,0))</f>
        <v>21.65</v>
      </c>
      <c r="W958" s="0" t="str">
        <f aca="false">INDEX(Summary!$S$2:$S$201,MATCH($B958,Summary!$A$2:$A$201,0))</f>
        <v>Silver</v>
      </c>
      <c r="X958" s="2" t="n">
        <f aca="false">INDEX(Summary!$T$2:$T$201,MATCH($B958,Summary!$A$2:$A$201,0))</f>
        <v>52.8</v>
      </c>
      <c r="Y958" s="0" t="str">
        <f aca="false">INDEX('Reward Model'!$E$18:$E$37,MATCH($E958,'Reward Model'!$A$18:$A$37,0))</f>
        <v>High</v>
      </c>
      <c r="Z958" s="4" t="n">
        <f aca="false">ROUND(MIN(1,MAX('Reward Model'!$B$2,INDEX('Reward Model'!$C$12:$C$14,MATCH($K958,'Reward Model'!$A$12:$A$14,0))/$J958)),3)</f>
        <v>0.858</v>
      </c>
      <c r="AA958" s="2" t="n">
        <f aca="false">IF($I958="Correct",ROUND(INDEX('Reward Model'!$B$12:$B$14,MATCH($K958,'Reward Model'!$A$12:$A$14,0))*Z958,2),0)</f>
        <v>2.57</v>
      </c>
      <c r="AB958" s="2" t="n">
        <f aca="false">IF($I958="Correct",ROUND(INDEX('Reward Model'!$B$12:$B$14,MATCH($Y958,'Reward Model'!$A$12:$A$14,0))*Z958,2),0)</f>
        <v>2.57</v>
      </c>
    </row>
    <row r="959" customFormat="false" ht="15" hidden="false" customHeight="false" outlineLevel="0" collapsed="false">
      <c r="A959" s="0" t="s">
        <v>223</v>
      </c>
      <c r="B959" s="0" t="s">
        <v>224</v>
      </c>
      <c r="C959" s="0" t="s">
        <v>30</v>
      </c>
      <c r="D959" s="0" t="s">
        <v>189</v>
      </c>
      <c r="E959" s="0" t="n">
        <v>18</v>
      </c>
      <c r="F959" s="0" t="s">
        <v>76</v>
      </c>
      <c r="G959" s="0" t="s">
        <v>77</v>
      </c>
      <c r="H959" s="0" t="s">
        <v>77</v>
      </c>
      <c r="I959" s="0" t="s">
        <v>34</v>
      </c>
      <c r="J959" s="0" t="n">
        <v>2.33</v>
      </c>
      <c r="K959" s="0" t="s">
        <v>73</v>
      </c>
      <c r="L959" s="0" t="n">
        <f aca="false">INDEX(Summary!$F$2:$F$201,MATCH($B959,Summary!$A$2:$A$201,0))</f>
        <v>20</v>
      </c>
      <c r="M959" s="0" t="n">
        <f aca="false">INDEX(Summary!$I$2:$I$201,MATCH($B959,Summary!$A$2:$A$201,0))</f>
        <v>2</v>
      </c>
      <c r="N959" s="0" t="n">
        <f aca="false">INDEX(Summary!$J$2:$J$201,MATCH($B959,Summary!$A$2:$A$201,0))</f>
        <v>3</v>
      </c>
      <c r="O959" s="2" t="n">
        <f aca="false">INDEX(Summary!$K$2:$K$201,MATCH($B959,Summary!$A$2:$A$201,0))</f>
        <v>9.51</v>
      </c>
      <c r="P959" s="3" t="n">
        <f aca="false">INDEX(Summary!$L$2:$L$201,MATCH($B959,Summary!$A$2:$A$201,0))</f>
        <v>3</v>
      </c>
      <c r="Q959" s="3" t="n">
        <f aca="false">INDEX(Summary!$M$2:$M$201,MATCH($B959,Summary!$A$2:$A$201,0))</f>
        <v>3</v>
      </c>
      <c r="R959" s="2" t="n">
        <f aca="false">INDEX(Summary!$N$2:$N$201,MATCH($B959,Summary!$A$2:$A$201,0))</f>
        <v>10.89</v>
      </c>
      <c r="S959" s="3" t="n">
        <f aca="false">INDEX(Summary!$O$2:$O$201,MATCH($B959,Summary!$A$2:$A$201,0))</f>
        <v>7</v>
      </c>
      <c r="T959" s="3" t="n">
        <f aca="false">INDEX(Summary!$P$2:$P$201,MATCH($B959,Summary!$A$2:$A$201,0))</f>
        <v>2</v>
      </c>
      <c r="U959" s="2" t="n">
        <f aca="false">INDEX(Summary!$Q$2:$Q$201,MATCH($B959,Summary!$A$2:$A$201,0))</f>
        <v>11.48</v>
      </c>
      <c r="V959" s="2" t="n">
        <f aca="false">INDEX(Summary!$R$2:$R$201,MATCH($B959,Summary!$A$2:$A$201,0))</f>
        <v>21.65</v>
      </c>
      <c r="W959" s="0" t="str">
        <f aca="false">INDEX(Summary!$S$2:$S$201,MATCH($B959,Summary!$A$2:$A$201,0))</f>
        <v>Silver</v>
      </c>
      <c r="X959" s="2" t="n">
        <f aca="false">INDEX(Summary!$T$2:$T$201,MATCH($B959,Summary!$A$2:$A$201,0))</f>
        <v>52.8</v>
      </c>
      <c r="Y959" s="0" t="str">
        <f aca="false">INDEX('Reward Model'!$E$18:$E$37,MATCH($E959,'Reward Model'!$A$18:$A$37,0))</f>
        <v>High</v>
      </c>
      <c r="Z959" s="4" t="n">
        <f aca="false">ROUND(MIN(1,MAX('Reward Model'!$B$2,INDEX('Reward Model'!$C$12:$C$14,MATCH($K959,'Reward Model'!$A$12:$A$14,0))/$J959)),3)</f>
        <v>0.858</v>
      </c>
      <c r="AA959" s="2" t="n">
        <f aca="false">IF($I959="Correct",ROUND(INDEX('Reward Model'!$B$12:$B$14,MATCH($K959,'Reward Model'!$A$12:$A$14,0))*Z959,2),0)</f>
        <v>2.57</v>
      </c>
      <c r="AB959" s="2" t="n">
        <f aca="false">IF($I959="Correct",ROUND(INDEX('Reward Model'!$B$12:$B$14,MATCH($Y959,'Reward Model'!$A$12:$A$14,0))*Z959,2),0)</f>
        <v>2.57</v>
      </c>
    </row>
    <row r="960" customFormat="false" ht="15" hidden="false" customHeight="false" outlineLevel="0" collapsed="false">
      <c r="A960" s="0" t="s">
        <v>223</v>
      </c>
      <c r="B960" s="0" t="s">
        <v>224</v>
      </c>
      <c r="C960" s="0" t="s">
        <v>30</v>
      </c>
      <c r="D960" s="0" t="s">
        <v>189</v>
      </c>
      <c r="E960" s="0" t="n">
        <v>19</v>
      </c>
      <c r="F960" s="0" t="s">
        <v>78</v>
      </c>
      <c r="G960" s="0" t="s">
        <v>79</v>
      </c>
      <c r="H960" s="0" t="s">
        <v>80</v>
      </c>
      <c r="I960" s="0" t="s">
        <v>39</v>
      </c>
      <c r="J960" s="0" t="n">
        <v>1.46</v>
      </c>
      <c r="K960" s="0" t="s">
        <v>73</v>
      </c>
      <c r="L960" s="0" t="n">
        <f aca="false">INDEX(Summary!$F$2:$F$201,MATCH($B960,Summary!$A$2:$A$201,0))</f>
        <v>20</v>
      </c>
      <c r="M960" s="0" t="n">
        <f aca="false">INDEX(Summary!$I$2:$I$201,MATCH($B960,Summary!$A$2:$A$201,0))</f>
        <v>2</v>
      </c>
      <c r="N960" s="0" t="n">
        <f aca="false">INDEX(Summary!$J$2:$J$201,MATCH($B960,Summary!$A$2:$A$201,0))</f>
        <v>3</v>
      </c>
      <c r="O960" s="2" t="n">
        <f aca="false">INDEX(Summary!$K$2:$K$201,MATCH($B960,Summary!$A$2:$A$201,0))</f>
        <v>9.51</v>
      </c>
      <c r="P960" s="3" t="n">
        <f aca="false">INDEX(Summary!$L$2:$L$201,MATCH($B960,Summary!$A$2:$A$201,0))</f>
        <v>3</v>
      </c>
      <c r="Q960" s="3" t="n">
        <f aca="false">INDEX(Summary!$M$2:$M$201,MATCH($B960,Summary!$A$2:$A$201,0))</f>
        <v>3</v>
      </c>
      <c r="R960" s="2" t="n">
        <f aca="false">INDEX(Summary!$N$2:$N$201,MATCH($B960,Summary!$A$2:$A$201,0))</f>
        <v>10.89</v>
      </c>
      <c r="S960" s="3" t="n">
        <f aca="false">INDEX(Summary!$O$2:$O$201,MATCH($B960,Summary!$A$2:$A$201,0))</f>
        <v>7</v>
      </c>
      <c r="T960" s="3" t="n">
        <f aca="false">INDEX(Summary!$P$2:$P$201,MATCH($B960,Summary!$A$2:$A$201,0))</f>
        <v>2</v>
      </c>
      <c r="U960" s="2" t="n">
        <f aca="false">INDEX(Summary!$Q$2:$Q$201,MATCH($B960,Summary!$A$2:$A$201,0))</f>
        <v>11.48</v>
      </c>
      <c r="V960" s="2" t="n">
        <f aca="false">INDEX(Summary!$R$2:$R$201,MATCH($B960,Summary!$A$2:$A$201,0))</f>
        <v>21.65</v>
      </c>
      <c r="W960" s="0" t="str">
        <f aca="false">INDEX(Summary!$S$2:$S$201,MATCH($B960,Summary!$A$2:$A$201,0))</f>
        <v>Silver</v>
      </c>
      <c r="X960" s="2" t="n">
        <f aca="false">INDEX(Summary!$T$2:$T$201,MATCH($B960,Summary!$A$2:$A$201,0))</f>
        <v>52.8</v>
      </c>
      <c r="Y960" s="0" t="str">
        <f aca="false">INDEX('Reward Model'!$E$18:$E$37,MATCH($E960,'Reward Model'!$A$18:$A$37,0))</f>
        <v>High</v>
      </c>
      <c r="Z960" s="4" t="n">
        <f aca="false">ROUND(MIN(1,MAX('Reward Model'!$B$2,INDEX('Reward Model'!$C$12:$C$14,MATCH($K960,'Reward Model'!$A$12:$A$14,0))/$J960)),3)</f>
        <v>1</v>
      </c>
      <c r="AA960" s="2" t="n">
        <f aca="false">IF($I960="Correct",ROUND(INDEX('Reward Model'!$B$12:$B$14,MATCH($K960,'Reward Model'!$A$12:$A$14,0))*Z960,2),0)</f>
        <v>0</v>
      </c>
      <c r="AB960" s="2" t="n">
        <f aca="false">IF($I960="Correct",ROUND(INDEX('Reward Model'!$B$12:$B$14,MATCH($Y960,'Reward Model'!$A$12:$A$14,0))*Z960,2),0)</f>
        <v>0</v>
      </c>
    </row>
    <row r="961" customFormat="false" ht="15" hidden="false" customHeight="false" outlineLevel="0" collapsed="false">
      <c r="A961" s="0" t="s">
        <v>223</v>
      </c>
      <c r="B961" s="0" t="s">
        <v>224</v>
      </c>
      <c r="C961" s="0" t="s">
        <v>30</v>
      </c>
      <c r="D961" s="0" t="s">
        <v>189</v>
      </c>
      <c r="E961" s="0" t="n">
        <v>20</v>
      </c>
      <c r="F961" s="0" t="s">
        <v>81</v>
      </c>
      <c r="G961" s="0" t="s">
        <v>82</v>
      </c>
      <c r="H961" s="0" t="s">
        <v>83</v>
      </c>
      <c r="I961" s="0" t="s">
        <v>39</v>
      </c>
      <c r="J961" s="0" t="n">
        <v>1.86</v>
      </c>
      <c r="K961" s="0" t="s">
        <v>73</v>
      </c>
      <c r="L961" s="0" t="n">
        <f aca="false">INDEX(Summary!$F$2:$F$201,MATCH($B961,Summary!$A$2:$A$201,0))</f>
        <v>20</v>
      </c>
      <c r="M961" s="0" t="n">
        <f aca="false">INDEX(Summary!$I$2:$I$201,MATCH($B961,Summary!$A$2:$A$201,0))</f>
        <v>2</v>
      </c>
      <c r="N961" s="0" t="n">
        <f aca="false">INDEX(Summary!$J$2:$J$201,MATCH($B961,Summary!$A$2:$A$201,0))</f>
        <v>3</v>
      </c>
      <c r="O961" s="2" t="n">
        <f aca="false">INDEX(Summary!$K$2:$K$201,MATCH($B961,Summary!$A$2:$A$201,0))</f>
        <v>9.51</v>
      </c>
      <c r="P961" s="3" t="n">
        <f aca="false">INDEX(Summary!$L$2:$L$201,MATCH($B961,Summary!$A$2:$A$201,0))</f>
        <v>3</v>
      </c>
      <c r="Q961" s="3" t="n">
        <f aca="false">INDEX(Summary!$M$2:$M$201,MATCH($B961,Summary!$A$2:$A$201,0))</f>
        <v>3</v>
      </c>
      <c r="R961" s="2" t="n">
        <f aca="false">INDEX(Summary!$N$2:$N$201,MATCH($B961,Summary!$A$2:$A$201,0))</f>
        <v>10.89</v>
      </c>
      <c r="S961" s="3" t="n">
        <f aca="false">INDEX(Summary!$O$2:$O$201,MATCH($B961,Summary!$A$2:$A$201,0))</f>
        <v>7</v>
      </c>
      <c r="T961" s="3" t="n">
        <f aca="false">INDEX(Summary!$P$2:$P$201,MATCH($B961,Summary!$A$2:$A$201,0))</f>
        <v>2</v>
      </c>
      <c r="U961" s="2" t="n">
        <f aca="false">INDEX(Summary!$Q$2:$Q$201,MATCH($B961,Summary!$A$2:$A$201,0))</f>
        <v>11.48</v>
      </c>
      <c r="V961" s="2" t="n">
        <f aca="false">INDEX(Summary!$R$2:$R$201,MATCH($B961,Summary!$A$2:$A$201,0))</f>
        <v>21.65</v>
      </c>
      <c r="W961" s="0" t="str">
        <f aca="false">INDEX(Summary!$S$2:$S$201,MATCH($B961,Summary!$A$2:$A$201,0))</f>
        <v>Silver</v>
      </c>
      <c r="X961" s="2" t="n">
        <f aca="false">INDEX(Summary!$T$2:$T$201,MATCH($B961,Summary!$A$2:$A$201,0))</f>
        <v>52.8</v>
      </c>
      <c r="Y961" s="0" t="str">
        <f aca="false">INDEX('Reward Model'!$E$18:$E$37,MATCH($E961,'Reward Model'!$A$18:$A$37,0))</f>
        <v>High</v>
      </c>
      <c r="Z961" s="4" t="n">
        <f aca="false">ROUND(MIN(1,MAX('Reward Model'!$B$2,INDEX('Reward Model'!$C$12:$C$14,MATCH($K961,'Reward Model'!$A$12:$A$14,0))/$J961)),3)</f>
        <v>1</v>
      </c>
      <c r="AA961" s="2" t="n">
        <f aca="false">IF($I961="Correct",ROUND(INDEX('Reward Model'!$B$12:$B$14,MATCH($K961,'Reward Model'!$A$12:$A$14,0))*Z961,2),0)</f>
        <v>0</v>
      </c>
      <c r="AB961" s="2" t="n">
        <f aca="false">IF($I961="Correct",ROUND(INDEX('Reward Model'!$B$12:$B$14,MATCH($Y961,'Reward Model'!$A$12:$A$14,0))*Z961,2),0)</f>
        <v>0</v>
      </c>
    </row>
    <row r="962" customFormat="false" ht="15" hidden="false" customHeight="false" outlineLevel="0" collapsed="false">
      <c r="A962" s="0" t="s">
        <v>225</v>
      </c>
      <c r="B962" s="0" t="s">
        <v>226</v>
      </c>
      <c r="C962" s="0" t="s">
        <v>30</v>
      </c>
      <c r="D962" s="0" t="s">
        <v>189</v>
      </c>
      <c r="E962" s="0" t="n">
        <v>1</v>
      </c>
      <c r="F962" s="0" t="s">
        <v>32</v>
      </c>
      <c r="G962" s="0" t="s">
        <v>33</v>
      </c>
      <c r="H962" s="0" t="s">
        <v>33</v>
      </c>
      <c r="I962" s="0" t="s">
        <v>34</v>
      </c>
      <c r="J962" s="0" t="n">
        <v>1.07</v>
      </c>
      <c r="K962" s="0" t="s">
        <v>35</v>
      </c>
      <c r="L962" s="0" t="n">
        <f aca="false">INDEX(Summary!$F$2:$F$201,MATCH($B962,Summary!$A$2:$A$201,0))</f>
        <v>20</v>
      </c>
      <c r="M962" s="0" t="n">
        <f aca="false">INDEX(Summary!$I$2:$I$201,MATCH($B962,Summary!$A$2:$A$201,0))</f>
        <v>4</v>
      </c>
      <c r="N962" s="0" t="n">
        <f aca="false">INDEX(Summary!$J$2:$J$201,MATCH($B962,Summary!$A$2:$A$201,0))</f>
        <v>1</v>
      </c>
      <c r="O962" s="2" t="n">
        <f aca="false">INDEX(Summary!$K$2:$K$201,MATCH($B962,Summary!$A$2:$A$201,0))</f>
        <v>10.81</v>
      </c>
      <c r="P962" s="3" t="n">
        <f aca="false">INDEX(Summary!$L$2:$L$201,MATCH($B962,Summary!$A$2:$A$201,0))</f>
        <v>4</v>
      </c>
      <c r="Q962" s="3" t="n">
        <f aca="false">INDEX(Summary!$M$2:$M$201,MATCH($B962,Summary!$A$2:$A$201,0))</f>
        <v>2</v>
      </c>
      <c r="R962" s="2" t="n">
        <f aca="false">INDEX(Summary!$N$2:$N$201,MATCH($B962,Summary!$A$2:$A$201,0))</f>
        <v>10.5</v>
      </c>
      <c r="S962" s="3" t="n">
        <f aca="false">INDEX(Summary!$O$2:$O$201,MATCH($B962,Summary!$A$2:$A$201,0))</f>
        <v>8</v>
      </c>
      <c r="T962" s="3" t="n">
        <f aca="false">INDEX(Summary!$P$2:$P$201,MATCH($B962,Summary!$A$2:$A$201,0))</f>
        <v>1</v>
      </c>
      <c r="U962" s="2" t="n">
        <f aca="false">INDEX(Summary!$Q$2:$Q$201,MATCH($B962,Summary!$A$2:$A$201,0))</f>
        <v>12.04</v>
      </c>
      <c r="V962" s="2" t="n">
        <f aca="false">INDEX(Summary!$R$2:$R$201,MATCH($B962,Summary!$A$2:$A$201,0))</f>
        <v>30.29</v>
      </c>
      <c r="W962" s="0" t="str">
        <f aca="false">INDEX(Summary!$S$2:$S$201,MATCH($B962,Summary!$A$2:$A$201,0))</f>
        <v>Gold</v>
      </c>
      <c r="X962" s="2" t="n">
        <f aca="false">INDEX(Summary!$T$2:$T$201,MATCH($B962,Summary!$A$2:$A$201,0))</f>
        <v>73.88</v>
      </c>
      <c r="Y962" s="0" t="str">
        <f aca="false">INDEX('Reward Model'!$E$18:$E$37,MATCH($E962,'Reward Model'!$A$18:$A$37,0))</f>
        <v>Medium</v>
      </c>
      <c r="Z962" s="4" t="n">
        <f aca="false">ROUND(MIN(1,MAX('Reward Model'!$B$2,INDEX('Reward Model'!$C$12:$C$14,MATCH($K962,'Reward Model'!$A$12:$A$14,0))/$J962)),3)</f>
        <v>1</v>
      </c>
      <c r="AA962" s="2" t="n">
        <f aca="false">IF($I962="Correct",ROUND(INDEX('Reward Model'!$B$12:$B$14,MATCH($K962,'Reward Model'!$A$12:$A$14,0))*Z962,2),0)</f>
        <v>1</v>
      </c>
      <c r="AB962" s="2" t="n">
        <f aca="false">IF($I962="Correct",ROUND(INDEX('Reward Model'!$B$12:$B$14,MATCH($Y962,'Reward Model'!$A$12:$A$14,0))*Z962,2),0)</f>
        <v>2</v>
      </c>
    </row>
    <row r="963" customFormat="false" ht="15" hidden="false" customHeight="false" outlineLevel="0" collapsed="false">
      <c r="A963" s="0" t="s">
        <v>225</v>
      </c>
      <c r="B963" s="0" t="s">
        <v>226</v>
      </c>
      <c r="C963" s="0" t="s">
        <v>30</v>
      </c>
      <c r="D963" s="0" t="s">
        <v>189</v>
      </c>
      <c r="E963" s="0" t="n">
        <v>2</v>
      </c>
      <c r="F963" s="0" t="s">
        <v>36</v>
      </c>
      <c r="G963" s="0" t="s">
        <v>38</v>
      </c>
      <c r="H963" s="0" t="s">
        <v>38</v>
      </c>
      <c r="I963" s="0" t="s">
        <v>34</v>
      </c>
      <c r="J963" s="0" t="n">
        <v>1</v>
      </c>
      <c r="K963" s="0" t="s">
        <v>35</v>
      </c>
      <c r="L963" s="0" t="n">
        <f aca="false">INDEX(Summary!$F$2:$F$201,MATCH($B963,Summary!$A$2:$A$201,0))</f>
        <v>20</v>
      </c>
      <c r="M963" s="0" t="n">
        <f aca="false">INDEX(Summary!$I$2:$I$201,MATCH($B963,Summary!$A$2:$A$201,0))</f>
        <v>4</v>
      </c>
      <c r="N963" s="0" t="n">
        <f aca="false">INDEX(Summary!$J$2:$J$201,MATCH($B963,Summary!$A$2:$A$201,0))</f>
        <v>1</v>
      </c>
      <c r="O963" s="2" t="n">
        <f aca="false">INDEX(Summary!$K$2:$K$201,MATCH($B963,Summary!$A$2:$A$201,0))</f>
        <v>10.81</v>
      </c>
      <c r="P963" s="3" t="n">
        <f aca="false">INDEX(Summary!$L$2:$L$201,MATCH($B963,Summary!$A$2:$A$201,0))</f>
        <v>4</v>
      </c>
      <c r="Q963" s="3" t="n">
        <f aca="false">INDEX(Summary!$M$2:$M$201,MATCH($B963,Summary!$A$2:$A$201,0))</f>
        <v>2</v>
      </c>
      <c r="R963" s="2" t="n">
        <f aca="false">INDEX(Summary!$N$2:$N$201,MATCH($B963,Summary!$A$2:$A$201,0))</f>
        <v>10.5</v>
      </c>
      <c r="S963" s="3" t="n">
        <f aca="false">INDEX(Summary!$O$2:$O$201,MATCH($B963,Summary!$A$2:$A$201,0))</f>
        <v>8</v>
      </c>
      <c r="T963" s="3" t="n">
        <f aca="false">INDEX(Summary!$P$2:$P$201,MATCH($B963,Summary!$A$2:$A$201,0))</f>
        <v>1</v>
      </c>
      <c r="U963" s="2" t="n">
        <f aca="false">INDEX(Summary!$Q$2:$Q$201,MATCH($B963,Summary!$A$2:$A$201,0))</f>
        <v>12.04</v>
      </c>
      <c r="V963" s="2" t="n">
        <f aca="false">INDEX(Summary!$R$2:$R$201,MATCH($B963,Summary!$A$2:$A$201,0))</f>
        <v>30.29</v>
      </c>
      <c r="W963" s="0" t="str">
        <f aca="false">INDEX(Summary!$S$2:$S$201,MATCH($B963,Summary!$A$2:$A$201,0))</f>
        <v>Gold</v>
      </c>
      <c r="X963" s="2" t="n">
        <f aca="false">INDEX(Summary!$T$2:$T$201,MATCH($B963,Summary!$A$2:$A$201,0))</f>
        <v>73.88</v>
      </c>
      <c r="Y963" s="0" t="str">
        <f aca="false">INDEX('Reward Model'!$E$18:$E$37,MATCH($E963,'Reward Model'!$A$18:$A$37,0))</f>
        <v>Low</v>
      </c>
      <c r="Z963" s="4" t="n">
        <f aca="false">ROUND(MIN(1,MAX('Reward Model'!$B$2,INDEX('Reward Model'!$C$12:$C$14,MATCH($K963,'Reward Model'!$A$12:$A$14,0))/$J963)),3)</f>
        <v>1</v>
      </c>
      <c r="AA963" s="2" t="n">
        <f aca="false">IF($I963="Correct",ROUND(INDEX('Reward Model'!$B$12:$B$14,MATCH($K963,'Reward Model'!$A$12:$A$14,0))*Z963,2),0)</f>
        <v>1</v>
      </c>
      <c r="AB963" s="2" t="n">
        <f aca="false">IF($I963="Correct",ROUND(INDEX('Reward Model'!$B$12:$B$14,MATCH($Y963,'Reward Model'!$A$12:$A$14,0))*Z963,2),0)</f>
        <v>1</v>
      </c>
    </row>
    <row r="964" customFormat="false" ht="15" hidden="false" customHeight="false" outlineLevel="0" collapsed="false">
      <c r="A964" s="0" t="s">
        <v>225</v>
      </c>
      <c r="B964" s="0" t="s">
        <v>226</v>
      </c>
      <c r="C964" s="0" t="s">
        <v>30</v>
      </c>
      <c r="D964" s="0" t="s">
        <v>189</v>
      </c>
      <c r="E964" s="0" t="n">
        <v>3</v>
      </c>
      <c r="F964" s="0" t="s">
        <v>40</v>
      </c>
      <c r="G964" s="0" t="s">
        <v>42</v>
      </c>
      <c r="H964" s="0" t="s">
        <v>42</v>
      </c>
      <c r="I964" s="0" t="s">
        <v>34</v>
      </c>
      <c r="J964" s="0" t="n">
        <v>1.65</v>
      </c>
      <c r="K964" s="0" t="s">
        <v>35</v>
      </c>
      <c r="L964" s="0" t="n">
        <f aca="false">INDEX(Summary!$F$2:$F$201,MATCH($B964,Summary!$A$2:$A$201,0))</f>
        <v>20</v>
      </c>
      <c r="M964" s="0" t="n">
        <f aca="false">INDEX(Summary!$I$2:$I$201,MATCH($B964,Summary!$A$2:$A$201,0))</f>
        <v>4</v>
      </c>
      <c r="N964" s="0" t="n">
        <f aca="false">INDEX(Summary!$J$2:$J$201,MATCH($B964,Summary!$A$2:$A$201,0))</f>
        <v>1</v>
      </c>
      <c r="O964" s="2" t="n">
        <f aca="false">INDEX(Summary!$K$2:$K$201,MATCH($B964,Summary!$A$2:$A$201,0))</f>
        <v>10.81</v>
      </c>
      <c r="P964" s="3" t="n">
        <f aca="false">INDEX(Summary!$L$2:$L$201,MATCH($B964,Summary!$A$2:$A$201,0))</f>
        <v>4</v>
      </c>
      <c r="Q964" s="3" t="n">
        <f aca="false">INDEX(Summary!$M$2:$M$201,MATCH($B964,Summary!$A$2:$A$201,0))</f>
        <v>2</v>
      </c>
      <c r="R964" s="2" t="n">
        <f aca="false">INDEX(Summary!$N$2:$N$201,MATCH($B964,Summary!$A$2:$A$201,0))</f>
        <v>10.5</v>
      </c>
      <c r="S964" s="3" t="n">
        <f aca="false">INDEX(Summary!$O$2:$O$201,MATCH($B964,Summary!$A$2:$A$201,0))</f>
        <v>8</v>
      </c>
      <c r="T964" s="3" t="n">
        <f aca="false">INDEX(Summary!$P$2:$P$201,MATCH($B964,Summary!$A$2:$A$201,0))</f>
        <v>1</v>
      </c>
      <c r="U964" s="2" t="n">
        <f aca="false">INDEX(Summary!$Q$2:$Q$201,MATCH($B964,Summary!$A$2:$A$201,0))</f>
        <v>12.04</v>
      </c>
      <c r="V964" s="2" t="n">
        <f aca="false">INDEX(Summary!$R$2:$R$201,MATCH($B964,Summary!$A$2:$A$201,0))</f>
        <v>30.29</v>
      </c>
      <c r="W964" s="0" t="str">
        <f aca="false">INDEX(Summary!$S$2:$S$201,MATCH($B964,Summary!$A$2:$A$201,0))</f>
        <v>Gold</v>
      </c>
      <c r="X964" s="2" t="n">
        <f aca="false">INDEX(Summary!$T$2:$T$201,MATCH($B964,Summary!$A$2:$A$201,0))</f>
        <v>73.88</v>
      </c>
      <c r="Y964" s="0" t="str">
        <f aca="false">INDEX('Reward Model'!$E$18:$E$37,MATCH($E964,'Reward Model'!$A$18:$A$37,0))</f>
        <v>Medium</v>
      </c>
      <c r="Z964" s="4" t="n">
        <f aca="false">ROUND(MIN(1,MAX('Reward Model'!$B$2,INDEX('Reward Model'!$C$12:$C$14,MATCH($K964,'Reward Model'!$A$12:$A$14,0))/$J964)),3)</f>
        <v>0.909</v>
      </c>
      <c r="AA964" s="2" t="n">
        <f aca="false">IF($I964="Correct",ROUND(INDEX('Reward Model'!$B$12:$B$14,MATCH($K964,'Reward Model'!$A$12:$A$14,0))*Z964,2),0)</f>
        <v>0.91</v>
      </c>
      <c r="AB964" s="2" t="n">
        <f aca="false">IF($I964="Correct",ROUND(INDEX('Reward Model'!$B$12:$B$14,MATCH($Y964,'Reward Model'!$A$12:$A$14,0))*Z964,2),0)</f>
        <v>1.82</v>
      </c>
    </row>
    <row r="965" customFormat="false" ht="15" hidden="false" customHeight="false" outlineLevel="0" collapsed="false">
      <c r="A965" s="0" t="s">
        <v>225</v>
      </c>
      <c r="B965" s="0" t="s">
        <v>226</v>
      </c>
      <c r="C965" s="0" t="s">
        <v>30</v>
      </c>
      <c r="D965" s="0" t="s">
        <v>189</v>
      </c>
      <c r="E965" s="0" t="n">
        <v>4</v>
      </c>
      <c r="F965" s="0" t="s">
        <v>43</v>
      </c>
      <c r="G965" s="0" t="s">
        <v>45</v>
      </c>
      <c r="H965" s="0" t="s">
        <v>45</v>
      </c>
      <c r="I965" s="0" t="s">
        <v>34</v>
      </c>
      <c r="J965" s="0" t="n">
        <v>1.05</v>
      </c>
      <c r="K965" s="0" t="s">
        <v>35</v>
      </c>
      <c r="L965" s="0" t="n">
        <f aca="false">INDEX(Summary!$F$2:$F$201,MATCH($B965,Summary!$A$2:$A$201,0))</f>
        <v>20</v>
      </c>
      <c r="M965" s="0" t="n">
        <f aca="false">INDEX(Summary!$I$2:$I$201,MATCH($B965,Summary!$A$2:$A$201,0))</f>
        <v>4</v>
      </c>
      <c r="N965" s="0" t="n">
        <f aca="false">INDEX(Summary!$J$2:$J$201,MATCH($B965,Summary!$A$2:$A$201,0))</f>
        <v>1</v>
      </c>
      <c r="O965" s="2" t="n">
        <f aca="false">INDEX(Summary!$K$2:$K$201,MATCH($B965,Summary!$A$2:$A$201,0))</f>
        <v>10.81</v>
      </c>
      <c r="P965" s="3" t="n">
        <f aca="false">INDEX(Summary!$L$2:$L$201,MATCH($B965,Summary!$A$2:$A$201,0))</f>
        <v>4</v>
      </c>
      <c r="Q965" s="3" t="n">
        <f aca="false">INDEX(Summary!$M$2:$M$201,MATCH($B965,Summary!$A$2:$A$201,0))</f>
        <v>2</v>
      </c>
      <c r="R965" s="2" t="n">
        <f aca="false">INDEX(Summary!$N$2:$N$201,MATCH($B965,Summary!$A$2:$A$201,0))</f>
        <v>10.5</v>
      </c>
      <c r="S965" s="3" t="n">
        <f aca="false">INDEX(Summary!$O$2:$O$201,MATCH($B965,Summary!$A$2:$A$201,0))</f>
        <v>8</v>
      </c>
      <c r="T965" s="3" t="n">
        <f aca="false">INDEX(Summary!$P$2:$P$201,MATCH($B965,Summary!$A$2:$A$201,0))</f>
        <v>1</v>
      </c>
      <c r="U965" s="2" t="n">
        <f aca="false">INDEX(Summary!$Q$2:$Q$201,MATCH($B965,Summary!$A$2:$A$201,0))</f>
        <v>12.04</v>
      </c>
      <c r="V965" s="2" t="n">
        <f aca="false">INDEX(Summary!$R$2:$R$201,MATCH($B965,Summary!$A$2:$A$201,0))</f>
        <v>30.29</v>
      </c>
      <c r="W965" s="0" t="str">
        <f aca="false">INDEX(Summary!$S$2:$S$201,MATCH($B965,Summary!$A$2:$A$201,0))</f>
        <v>Gold</v>
      </c>
      <c r="X965" s="2" t="n">
        <f aca="false">INDEX(Summary!$T$2:$T$201,MATCH($B965,Summary!$A$2:$A$201,0))</f>
        <v>73.88</v>
      </c>
      <c r="Y965" s="0" t="str">
        <f aca="false">INDEX('Reward Model'!$E$18:$E$37,MATCH($E965,'Reward Model'!$A$18:$A$37,0))</f>
        <v>Low</v>
      </c>
      <c r="Z965" s="4" t="n">
        <f aca="false">ROUND(MIN(1,MAX('Reward Model'!$B$2,INDEX('Reward Model'!$C$12:$C$14,MATCH($K965,'Reward Model'!$A$12:$A$14,0))/$J965)),3)</f>
        <v>1</v>
      </c>
      <c r="AA965" s="2" t="n">
        <f aca="false">IF($I965="Correct",ROUND(INDEX('Reward Model'!$B$12:$B$14,MATCH($K965,'Reward Model'!$A$12:$A$14,0))*Z965,2),0)</f>
        <v>1</v>
      </c>
      <c r="AB965" s="2" t="n">
        <f aca="false">IF($I965="Correct",ROUND(INDEX('Reward Model'!$B$12:$B$14,MATCH($Y965,'Reward Model'!$A$12:$A$14,0))*Z965,2),0)</f>
        <v>1</v>
      </c>
    </row>
    <row r="966" customFormat="false" ht="15" hidden="false" customHeight="false" outlineLevel="0" collapsed="false">
      <c r="A966" s="0" t="s">
        <v>225</v>
      </c>
      <c r="B966" s="0" t="s">
        <v>226</v>
      </c>
      <c r="C966" s="0" t="s">
        <v>30</v>
      </c>
      <c r="D966" s="0" t="s">
        <v>189</v>
      </c>
      <c r="E966" s="0" t="n">
        <v>5</v>
      </c>
      <c r="F966" s="0" t="s">
        <v>46</v>
      </c>
      <c r="G966" s="0" t="s">
        <v>47</v>
      </c>
      <c r="H966" s="0" t="s">
        <v>47</v>
      </c>
      <c r="I966" s="0" t="s">
        <v>34</v>
      </c>
      <c r="J966" s="0" t="n">
        <v>1.27</v>
      </c>
      <c r="K966" s="0" t="s">
        <v>35</v>
      </c>
      <c r="L966" s="0" t="n">
        <f aca="false">INDEX(Summary!$F$2:$F$201,MATCH($B966,Summary!$A$2:$A$201,0))</f>
        <v>20</v>
      </c>
      <c r="M966" s="0" t="n">
        <f aca="false">INDEX(Summary!$I$2:$I$201,MATCH($B966,Summary!$A$2:$A$201,0))</f>
        <v>4</v>
      </c>
      <c r="N966" s="0" t="n">
        <f aca="false">INDEX(Summary!$J$2:$J$201,MATCH($B966,Summary!$A$2:$A$201,0))</f>
        <v>1</v>
      </c>
      <c r="O966" s="2" t="n">
        <f aca="false">INDEX(Summary!$K$2:$K$201,MATCH($B966,Summary!$A$2:$A$201,0))</f>
        <v>10.81</v>
      </c>
      <c r="P966" s="3" t="n">
        <f aca="false">INDEX(Summary!$L$2:$L$201,MATCH($B966,Summary!$A$2:$A$201,0))</f>
        <v>4</v>
      </c>
      <c r="Q966" s="3" t="n">
        <f aca="false">INDEX(Summary!$M$2:$M$201,MATCH($B966,Summary!$A$2:$A$201,0))</f>
        <v>2</v>
      </c>
      <c r="R966" s="2" t="n">
        <f aca="false">INDEX(Summary!$N$2:$N$201,MATCH($B966,Summary!$A$2:$A$201,0))</f>
        <v>10.5</v>
      </c>
      <c r="S966" s="3" t="n">
        <f aca="false">INDEX(Summary!$O$2:$O$201,MATCH($B966,Summary!$A$2:$A$201,0))</f>
        <v>8</v>
      </c>
      <c r="T966" s="3" t="n">
        <f aca="false">INDEX(Summary!$P$2:$P$201,MATCH($B966,Summary!$A$2:$A$201,0))</f>
        <v>1</v>
      </c>
      <c r="U966" s="2" t="n">
        <f aca="false">INDEX(Summary!$Q$2:$Q$201,MATCH($B966,Summary!$A$2:$A$201,0))</f>
        <v>12.04</v>
      </c>
      <c r="V966" s="2" t="n">
        <f aca="false">INDEX(Summary!$R$2:$R$201,MATCH($B966,Summary!$A$2:$A$201,0))</f>
        <v>30.29</v>
      </c>
      <c r="W966" s="0" t="str">
        <f aca="false">INDEX(Summary!$S$2:$S$201,MATCH($B966,Summary!$A$2:$A$201,0))</f>
        <v>Gold</v>
      </c>
      <c r="X966" s="2" t="n">
        <f aca="false">INDEX(Summary!$T$2:$T$201,MATCH($B966,Summary!$A$2:$A$201,0))</f>
        <v>73.88</v>
      </c>
      <c r="Y966" s="0" t="str">
        <f aca="false">INDEX('Reward Model'!$E$18:$E$37,MATCH($E966,'Reward Model'!$A$18:$A$37,0))</f>
        <v>Low</v>
      </c>
      <c r="Z966" s="4" t="n">
        <f aca="false">ROUND(MIN(1,MAX('Reward Model'!$B$2,INDEX('Reward Model'!$C$12:$C$14,MATCH($K966,'Reward Model'!$A$12:$A$14,0))/$J966)),3)</f>
        <v>1</v>
      </c>
      <c r="AA966" s="2" t="n">
        <f aca="false">IF($I966="Correct",ROUND(INDEX('Reward Model'!$B$12:$B$14,MATCH($K966,'Reward Model'!$A$12:$A$14,0))*Z966,2),0)</f>
        <v>1</v>
      </c>
      <c r="AB966" s="2" t="n">
        <f aca="false">IF($I966="Correct",ROUND(INDEX('Reward Model'!$B$12:$B$14,MATCH($Y966,'Reward Model'!$A$12:$A$14,0))*Z966,2),0)</f>
        <v>1</v>
      </c>
    </row>
    <row r="967" customFormat="false" ht="15" hidden="false" customHeight="false" outlineLevel="0" collapsed="false">
      <c r="A967" s="0" t="s">
        <v>225</v>
      </c>
      <c r="B967" s="0" t="s">
        <v>226</v>
      </c>
      <c r="C967" s="0" t="s">
        <v>30</v>
      </c>
      <c r="D967" s="0" t="s">
        <v>189</v>
      </c>
      <c r="E967" s="0" t="n">
        <v>6</v>
      </c>
      <c r="F967" s="0" t="s">
        <v>48</v>
      </c>
      <c r="G967" s="0" t="s">
        <v>169</v>
      </c>
      <c r="H967" s="0" t="s">
        <v>49</v>
      </c>
      <c r="I967" s="0" t="s">
        <v>39</v>
      </c>
      <c r="J967" s="0" t="n">
        <v>1.96</v>
      </c>
      <c r="K967" s="0" t="s">
        <v>35</v>
      </c>
      <c r="L967" s="0" t="n">
        <f aca="false">INDEX(Summary!$F$2:$F$201,MATCH($B967,Summary!$A$2:$A$201,0))</f>
        <v>20</v>
      </c>
      <c r="M967" s="0" t="n">
        <f aca="false">INDEX(Summary!$I$2:$I$201,MATCH($B967,Summary!$A$2:$A$201,0))</f>
        <v>4</v>
      </c>
      <c r="N967" s="0" t="n">
        <f aca="false">INDEX(Summary!$J$2:$J$201,MATCH($B967,Summary!$A$2:$A$201,0))</f>
        <v>1</v>
      </c>
      <c r="O967" s="2" t="n">
        <f aca="false">INDEX(Summary!$K$2:$K$201,MATCH($B967,Summary!$A$2:$A$201,0))</f>
        <v>10.81</v>
      </c>
      <c r="P967" s="3" t="n">
        <f aca="false">INDEX(Summary!$L$2:$L$201,MATCH($B967,Summary!$A$2:$A$201,0))</f>
        <v>4</v>
      </c>
      <c r="Q967" s="3" t="n">
        <f aca="false">INDEX(Summary!$M$2:$M$201,MATCH($B967,Summary!$A$2:$A$201,0))</f>
        <v>2</v>
      </c>
      <c r="R967" s="2" t="n">
        <f aca="false">INDEX(Summary!$N$2:$N$201,MATCH($B967,Summary!$A$2:$A$201,0))</f>
        <v>10.5</v>
      </c>
      <c r="S967" s="3" t="n">
        <f aca="false">INDEX(Summary!$O$2:$O$201,MATCH($B967,Summary!$A$2:$A$201,0))</f>
        <v>8</v>
      </c>
      <c r="T967" s="3" t="n">
        <f aca="false">INDEX(Summary!$P$2:$P$201,MATCH($B967,Summary!$A$2:$A$201,0))</f>
        <v>1</v>
      </c>
      <c r="U967" s="2" t="n">
        <f aca="false">INDEX(Summary!$Q$2:$Q$201,MATCH($B967,Summary!$A$2:$A$201,0))</f>
        <v>12.04</v>
      </c>
      <c r="V967" s="2" t="n">
        <f aca="false">INDEX(Summary!$R$2:$R$201,MATCH($B967,Summary!$A$2:$A$201,0))</f>
        <v>30.29</v>
      </c>
      <c r="W967" s="0" t="str">
        <f aca="false">INDEX(Summary!$S$2:$S$201,MATCH($B967,Summary!$A$2:$A$201,0))</f>
        <v>Gold</v>
      </c>
      <c r="X967" s="2" t="n">
        <f aca="false">INDEX(Summary!$T$2:$T$201,MATCH($B967,Summary!$A$2:$A$201,0))</f>
        <v>73.88</v>
      </c>
      <c r="Y967" s="0" t="str">
        <f aca="false">INDEX('Reward Model'!$E$18:$E$37,MATCH($E967,'Reward Model'!$A$18:$A$37,0))</f>
        <v>Medium</v>
      </c>
      <c r="Z967" s="4" t="n">
        <f aca="false">ROUND(MIN(1,MAX('Reward Model'!$B$2,INDEX('Reward Model'!$C$12:$C$14,MATCH($K967,'Reward Model'!$A$12:$A$14,0))/$J967)),3)</f>
        <v>0.765</v>
      </c>
      <c r="AA967" s="2" t="n">
        <f aca="false">IF($I967="Correct",ROUND(INDEX('Reward Model'!$B$12:$B$14,MATCH($K967,'Reward Model'!$A$12:$A$14,0))*Z967,2),0)</f>
        <v>0</v>
      </c>
      <c r="AB967" s="2" t="n">
        <f aca="false">IF($I967="Correct",ROUND(INDEX('Reward Model'!$B$12:$B$14,MATCH($Y967,'Reward Model'!$A$12:$A$14,0))*Z967,2),0)</f>
        <v>0</v>
      </c>
    </row>
    <row r="968" customFormat="false" ht="15" hidden="false" customHeight="false" outlineLevel="0" collapsed="false">
      <c r="A968" s="0" t="s">
        <v>225</v>
      </c>
      <c r="B968" s="0" t="s">
        <v>226</v>
      </c>
      <c r="C968" s="0" t="s">
        <v>30</v>
      </c>
      <c r="D968" s="0" t="s">
        <v>189</v>
      </c>
      <c r="E968" s="0" t="n">
        <v>7</v>
      </c>
      <c r="F968" s="0" t="s">
        <v>50</v>
      </c>
      <c r="G968" s="0" t="s">
        <v>51</v>
      </c>
      <c r="H968" s="0" t="s">
        <v>51</v>
      </c>
      <c r="I968" s="0" t="s">
        <v>34</v>
      </c>
      <c r="J968" s="0" t="n">
        <v>1.07</v>
      </c>
      <c r="K968" s="0" t="s">
        <v>35</v>
      </c>
      <c r="L968" s="0" t="n">
        <f aca="false">INDEX(Summary!$F$2:$F$201,MATCH($B968,Summary!$A$2:$A$201,0))</f>
        <v>20</v>
      </c>
      <c r="M968" s="0" t="n">
        <f aca="false">INDEX(Summary!$I$2:$I$201,MATCH($B968,Summary!$A$2:$A$201,0))</f>
        <v>4</v>
      </c>
      <c r="N968" s="0" t="n">
        <f aca="false">INDEX(Summary!$J$2:$J$201,MATCH($B968,Summary!$A$2:$A$201,0))</f>
        <v>1</v>
      </c>
      <c r="O968" s="2" t="n">
        <f aca="false">INDEX(Summary!$K$2:$K$201,MATCH($B968,Summary!$A$2:$A$201,0))</f>
        <v>10.81</v>
      </c>
      <c r="P968" s="3" t="n">
        <f aca="false">INDEX(Summary!$L$2:$L$201,MATCH($B968,Summary!$A$2:$A$201,0))</f>
        <v>4</v>
      </c>
      <c r="Q968" s="3" t="n">
        <f aca="false">INDEX(Summary!$M$2:$M$201,MATCH($B968,Summary!$A$2:$A$201,0))</f>
        <v>2</v>
      </c>
      <c r="R968" s="2" t="n">
        <f aca="false">INDEX(Summary!$N$2:$N$201,MATCH($B968,Summary!$A$2:$A$201,0))</f>
        <v>10.5</v>
      </c>
      <c r="S968" s="3" t="n">
        <f aca="false">INDEX(Summary!$O$2:$O$201,MATCH($B968,Summary!$A$2:$A$201,0))</f>
        <v>8</v>
      </c>
      <c r="T968" s="3" t="n">
        <f aca="false">INDEX(Summary!$P$2:$P$201,MATCH($B968,Summary!$A$2:$A$201,0))</f>
        <v>1</v>
      </c>
      <c r="U968" s="2" t="n">
        <f aca="false">INDEX(Summary!$Q$2:$Q$201,MATCH($B968,Summary!$A$2:$A$201,0))</f>
        <v>12.04</v>
      </c>
      <c r="V968" s="2" t="n">
        <f aca="false">INDEX(Summary!$R$2:$R$201,MATCH($B968,Summary!$A$2:$A$201,0))</f>
        <v>30.29</v>
      </c>
      <c r="W968" s="0" t="str">
        <f aca="false">INDEX(Summary!$S$2:$S$201,MATCH($B968,Summary!$A$2:$A$201,0))</f>
        <v>Gold</v>
      </c>
      <c r="X968" s="2" t="n">
        <f aca="false">INDEX(Summary!$T$2:$T$201,MATCH($B968,Summary!$A$2:$A$201,0))</f>
        <v>73.88</v>
      </c>
      <c r="Y968" s="0" t="str">
        <f aca="false">INDEX('Reward Model'!$E$18:$E$37,MATCH($E968,'Reward Model'!$A$18:$A$37,0))</f>
        <v>Low</v>
      </c>
      <c r="Z968" s="4" t="n">
        <f aca="false">ROUND(MIN(1,MAX('Reward Model'!$B$2,INDEX('Reward Model'!$C$12:$C$14,MATCH($K968,'Reward Model'!$A$12:$A$14,0))/$J968)),3)</f>
        <v>1</v>
      </c>
      <c r="AA968" s="2" t="n">
        <f aca="false">IF($I968="Correct",ROUND(INDEX('Reward Model'!$B$12:$B$14,MATCH($K968,'Reward Model'!$A$12:$A$14,0))*Z968,2),0)</f>
        <v>1</v>
      </c>
      <c r="AB968" s="2" t="n">
        <f aca="false">IF($I968="Correct",ROUND(INDEX('Reward Model'!$B$12:$B$14,MATCH($Y968,'Reward Model'!$A$12:$A$14,0))*Z968,2),0)</f>
        <v>1</v>
      </c>
    </row>
    <row r="969" customFormat="false" ht="15" hidden="false" customHeight="false" outlineLevel="0" collapsed="false">
      <c r="A969" s="0" t="s">
        <v>225</v>
      </c>
      <c r="B969" s="0" t="s">
        <v>226</v>
      </c>
      <c r="C969" s="0" t="s">
        <v>30</v>
      </c>
      <c r="D969" s="0" t="s">
        <v>189</v>
      </c>
      <c r="E969" s="0" t="n">
        <v>8</v>
      </c>
      <c r="F969" s="0" t="s">
        <v>52</v>
      </c>
      <c r="G969" s="0" t="s">
        <v>54</v>
      </c>
      <c r="H969" s="0" t="s">
        <v>54</v>
      </c>
      <c r="I969" s="0" t="s">
        <v>34</v>
      </c>
      <c r="J969" s="0" t="n">
        <v>0.98</v>
      </c>
      <c r="K969" s="0" t="s">
        <v>35</v>
      </c>
      <c r="L969" s="0" t="n">
        <f aca="false">INDEX(Summary!$F$2:$F$201,MATCH($B969,Summary!$A$2:$A$201,0))</f>
        <v>20</v>
      </c>
      <c r="M969" s="0" t="n">
        <f aca="false">INDEX(Summary!$I$2:$I$201,MATCH($B969,Summary!$A$2:$A$201,0))</f>
        <v>4</v>
      </c>
      <c r="N969" s="0" t="n">
        <f aca="false">INDEX(Summary!$J$2:$J$201,MATCH($B969,Summary!$A$2:$A$201,0))</f>
        <v>1</v>
      </c>
      <c r="O969" s="2" t="n">
        <f aca="false">INDEX(Summary!$K$2:$K$201,MATCH($B969,Summary!$A$2:$A$201,0))</f>
        <v>10.81</v>
      </c>
      <c r="P969" s="3" t="n">
        <f aca="false">INDEX(Summary!$L$2:$L$201,MATCH($B969,Summary!$A$2:$A$201,0))</f>
        <v>4</v>
      </c>
      <c r="Q969" s="3" t="n">
        <f aca="false">INDEX(Summary!$M$2:$M$201,MATCH($B969,Summary!$A$2:$A$201,0))</f>
        <v>2</v>
      </c>
      <c r="R969" s="2" t="n">
        <f aca="false">INDEX(Summary!$N$2:$N$201,MATCH($B969,Summary!$A$2:$A$201,0))</f>
        <v>10.5</v>
      </c>
      <c r="S969" s="3" t="n">
        <f aca="false">INDEX(Summary!$O$2:$O$201,MATCH($B969,Summary!$A$2:$A$201,0))</f>
        <v>8</v>
      </c>
      <c r="T969" s="3" t="n">
        <f aca="false">INDEX(Summary!$P$2:$P$201,MATCH($B969,Summary!$A$2:$A$201,0))</f>
        <v>1</v>
      </c>
      <c r="U969" s="2" t="n">
        <f aca="false">INDEX(Summary!$Q$2:$Q$201,MATCH($B969,Summary!$A$2:$A$201,0))</f>
        <v>12.04</v>
      </c>
      <c r="V969" s="2" t="n">
        <f aca="false">INDEX(Summary!$R$2:$R$201,MATCH($B969,Summary!$A$2:$A$201,0))</f>
        <v>30.29</v>
      </c>
      <c r="W969" s="0" t="str">
        <f aca="false">INDEX(Summary!$S$2:$S$201,MATCH($B969,Summary!$A$2:$A$201,0))</f>
        <v>Gold</v>
      </c>
      <c r="X969" s="2" t="n">
        <f aca="false">INDEX(Summary!$T$2:$T$201,MATCH($B969,Summary!$A$2:$A$201,0))</f>
        <v>73.88</v>
      </c>
      <c r="Y969" s="0" t="str">
        <f aca="false">INDEX('Reward Model'!$E$18:$E$37,MATCH($E969,'Reward Model'!$A$18:$A$37,0))</f>
        <v>Medium</v>
      </c>
      <c r="Z969" s="4" t="n">
        <f aca="false">ROUND(MIN(1,MAX('Reward Model'!$B$2,INDEX('Reward Model'!$C$12:$C$14,MATCH($K969,'Reward Model'!$A$12:$A$14,0))/$J969)),3)</f>
        <v>1</v>
      </c>
      <c r="AA969" s="2" t="n">
        <f aca="false">IF($I969="Correct",ROUND(INDEX('Reward Model'!$B$12:$B$14,MATCH($K969,'Reward Model'!$A$12:$A$14,0))*Z969,2),0)</f>
        <v>1</v>
      </c>
      <c r="AB969" s="2" t="n">
        <f aca="false">IF($I969="Correct",ROUND(INDEX('Reward Model'!$B$12:$B$14,MATCH($Y969,'Reward Model'!$A$12:$A$14,0))*Z969,2),0)</f>
        <v>2</v>
      </c>
    </row>
    <row r="970" customFormat="false" ht="15" hidden="false" customHeight="false" outlineLevel="0" collapsed="false">
      <c r="A970" s="0" t="s">
        <v>225</v>
      </c>
      <c r="B970" s="0" t="s">
        <v>226</v>
      </c>
      <c r="C970" s="0" t="s">
        <v>30</v>
      </c>
      <c r="D970" s="0" t="s">
        <v>189</v>
      </c>
      <c r="E970" s="0" t="n">
        <v>9</v>
      </c>
      <c r="F970" s="0" t="s">
        <v>55</v>
      </c>
      <c r="G970" s="0" t="s">
        <v>57</v>
      </c>
      <c r="H970" s="0" t="s">
        <v>57</v>
      </c>
      <c r="I970" s="0" t="s">
        <v>34</v>
      </c>
      <c r="J970" s="0" t="n">
        <v>1.99</v>
      </c>
      <c r="K970" s="0" t="s">
        <v>35</v>
      </c>
      <c r="L970" s="0" t="n">
        <f aca="false">INDEX(Summary!$F$2:$F$201,MATCH($B970,Summary!$A$2:$A$201,0))</f>
        <v>20</v>
      </c>
      <c r="M970" s="0" t="n">
        <f aca="false">INDEX(Summary!$I$2:$I$201,MATCH($B970,Summary!$A$2:$A$201,0))</f>
        <v>4</v>
      </c>
      <c r="N970" s="0" t="n">
        <f aca="false">INDEX(Summary!$J$2:$J$201,MATCH($B970,Summary!$A$2:$A$201,0))</f>
        <v>1</v>
      </c>
      <c r="O970" s="2" t="n">
        <f aca="false">INDEX(Summary!$K$2:$K$201,MATCH($B970,Summary!$A$2:$A$201,0))</f>
        <v>10.81</v>
      </c>
      <c r="P970" s="3" t="n">
        <f aca="false">INDEX(Summary!$L$2:$L$201,MATCH($B970,Summary!$A$2:$A$201,0))</f>
        <v>4</v>
      </c>
      <c r="Q970" s="3" t="n">
        <f aca="false">INDEX(Summary!$M$2:$M$201,MATCH($B970,Summary!$A$2:$A$201,0))</f>
        <v>2</v>
      </c>
      <c r="R970" s="2" t="n">
        <f aca="false">INDEX(Summary!$N$2:$N$201,MATCH($B970,Summary!$A$2:$A$201,0))</f>
        <v>10.5</v>
      </c>
      <c r="S970" s="3" t="n">
        <f aca="false">INDEX(Summary!$O$2:$O$201,MATCH($B970,Summary!$A$2:$A$201,0))</f>
        <v>8</v>
      </c>
      <c r="T970" s="3" t="n">
        <f aca="false">INDEX(Summary!$P$2:$P$201,MATCH($B970,Summary!$A$2:$A$201,0))</f>
        <v>1</v>
      </c>
      <c r="U970" s="2" t="n">
        <f aca="false">INDEX(Summary!$Q$2:$Q$201,MATCH($B970,Summary!$A$2:$A$201,0))</f>
        <v>12.04</v>
      </c>
      <c r="V970" s="2" t="n">
        <f aca="false">INDEX(Summary!$R$2:$R$201,MATCH($B970,Summary!$A$2:$A$201,0))</f>
        <v>30.29</v>
      </c>
      <c r="W970" s="0" t="str">
        <f aca="false">INDEX(Summary!$S$2:$S$201,MATCH($B970,Summary!$A$2:$A$201,0))</f>
        <v>Gold</v>
      </c>
      <c r="X970" s="2" t="n">
        <f aca="false">INDEX(Summary!$T$2:$T$201,MATCH($B970,Summary!$A$2:$A$201,0))</f>
        <v>73.88</v>
      </c>
      <c r="Y970" s="0" t="str">
        <f aca="false">INDEX('Reward Model'!$E$18:$E$37,MATCH($E970,'Reward Model'!$A$18:$A$37,0))</f>
        <v>Medium</v>
      </c>
      <c r="Z970" s="4" t="n">
        <f aca="false">ROUND(MIN(1,MAX('Reward Model'!$B$2,INDEX('Reward Model'!$C$12:$C$14,MATCH($K970,'Reward Model'!$A$12:$A$14,0))/$J970)),3)</f>
        <v>0.754</v>
      </c>
      <c r="AA970" s="2" t="n">
        <f aca="false">IF($I970="Correct",ROUND(INDEX('Reward Model'!$B$12:$B$14,MATCH($K970,'Reward Model'!$A$12:$A$14,0))*Z970,2),0)</f>
        <v>0.75</v>
      </c>
      <c r="AB970" s="2" t="n">
        <f aca="false">IF($I970="Correct",ROUND(INDEX('Reward Model'!$B$12:$B$14,MATCH($Y970,'Reward Model'!$A$12:$A$14,0))*Z970,2),0)</f>
        <v>1.51</v>
      </c>
    </row>
    <row r="971" customFormat="false" ht="15" hidden="false" customHeight="false" outlineLevel="0" collapsed="false">
      <c r="A971" s="0" t="s">
        <v>225</v>
      </c>
      <c r="B971" s="0" t="s">
        <v>226</v>
      </c>
      <c r="C971" s="0" t="s">
        <v>30</v>
      </c>
      <c r="D971" s="0" t="s">
        <v>189</v>
      </c>
      <c r="E971" s="0" t="n">
        <v>10</v>
      </c>
      <c r="F971" s="0" t="s">
        <v>58</v>
      </c>
      <c r="G971" s="0" t="s">
        <v>138</v>
      </c>
      <c r="H971" s="0" t="s">
        <v>59</v>
      </c>
      <c r="I971" s="0" t="s">
        <v>39</v>
      </c>
      <c r="J971" s="0" t="n">
        <v>1.68</v>
      </c>
      <c r="K971" s="0" t="s">
        <v>60</v>
      </c>
      <c r="L971" s="0" t="n">
        <f aca="false">INDEX(Summary!$F$2:$F$201,MATCH($B971,Summary!$A$2:$A$201,0))</f>
        <v>20</v>
      </c>
      <c r="M971" s="0" t="n">
        <f aca="false">INDEX(Summary!$I$2:$I$201,MATCH($B971,Summary!$A$2:$A$201,0))</f>
        <v>4</v>
      </c>
      <c r="N971" s="0" t="n">
        <f aca="false">INDEX(Summary!$J$2:$J$201,MATCH($B971,Summary!$A$2:$A$201,0))</f>
        <v>1</v>
      </c>
      <c r="O971" s="2" t="n">
        <f aca="false">INDEX(Summary!$K$2:$K$201,MATCH($B971,Summary!$A$2:$A$201,0))</f>
        <v>10.81</v>
      </c>
      <c r="P971" s="3" t="n">
        <f aca="false">INDEX(Summary!$L$2:$L$201,MATCH($B971,Summary!$A$2:$A$201,0))</f>
        <v>4</v>
      </c>
      <c r="Q971" s="3" t="n">
        <f aca="false">INDEX(Summary!$M$2:$M$201,MATCH($B971,Summary!$A$2:$A$201,0))</f>
        <v>2</v>
      </c>
      <c r="R971" s="2" t="n">
        <f aca="false">INDEX(Summary!$N$2:$N$201,MATCH($B971,Summary!$A$2:$A$201,0))</f>
        <v>10.5</v>
      </c>
      <c r="S971" s="3" t="n">
        <f aca="false">INDEX(Summary!$O$2:$O$201,MATCH($B971,Summary!$A$2:$A$201,0))</f>
        <v>8</v>
      </c>
      <c r="T971" s="3" t="n">
        <f aca="false">INDEX(Summary!$P$2:$P$201,MATCH($B971,Summary!$A$2:$A$201,0))</f>
        <v>1</v>
      </c>
      <c r="U971" s="2" t="n">
        <f aca="false">INDEX(Summary!$Q$2:$Q$201,MATCH($B971,Summary!$A$2:$A$201,0))</f>
        <v>12.04</v>
      </c>
      <c r="V971" s="2" t="n">
        <f aca="false">INDEX(Summary!$R$2:$R$201,MATCH($B971,Summary!$A$2:$A$201,0))</f>
        <v>30.29</v>
      </c>
      <c r="W971" s="0" t="str">
        <f aca="false">INDEX(Summary!$S$2:$S$201,MATCH($B971,Summary!$A$2:$A$201,0))</f>
        <v>Gold</v>
      </c>
      <c r="X971" s="2" t="n">
        <f aca="false">INDEX(Summary!$T$2:$T$201,MATCH($B971,Summary!$A$2:$A$201,0))</f>
        <v>73.88</v>
      </c>
      <c r="Y971" s="0" t="str">
        <f aca="false">INDEX('Reward Model'!$E$18:$E$37,MATCH($E971,'Reward Model'!$A$18:$A$37,0))</f>
        <v>Medium</v>
      </c>
      <c r="Z971" s="4" t="n">
        <f aca="false">ROUND(MIN(1,MAX('Reward Model'!$B$2,INDEX('Reward Model'!$C$12:$C$14,MATCH($K971,'Reward Model'!$A$12:$A$14,0))/$J971)),3)</f>
        <v>1</v>
      </c>
      <c r="AA971" s="2" t="n">
        <f aca="false">IF($I971="Correct",ROUND(INDEX('Reward Model'!$B$12:$B$14,MATCH($K971,'Reward Model'!$A$12:$A$14,0))*Z971,2),0)</f>
        <v>0</v>
      </c>
      <c r="AB971" s="2" t="n">
        <f aca="false">IF($I971="Correct",ROUND(INDEX('Reward Model'!$B$12:$B$14,MATCH($Y971,'Reward Model'!$A$12:$A$14,0))*Z971,2),0)</f>
        <v>0</v>
      </c>
    </row>
    <row r="972" customFormat="false" ht="15" hidden="false" customHeight="false" outlineLevel="0" collapsed="false">
      <c r="A972" s="0" t="s">
        <v>225</v>
      </c>
      <c r="B972" s="0" t="s">
        <v>226</v>
      </c>
      <c r="C972" s="0" t="s">
        <v>30</v>
      </c>
      <c r="D972" s="0" t="s">
        <v>189</v>
      </c>
      <c r="E972" s="0" t="n">
        <v>11</v>
      </c>
      <c r="F972" s="0" t="s">
        <v>61</v>
      </c>
      <c r="G972" s="0" t="s">
        <v>63</v>
      </c>
      <c r="H972" s="0" t="s">
        <v>63</v>
      </c>
      <c r="I972" s="0" t="s">
        <v>34</v>
      </c>
      <c r="J972" s="0" t="n">
        <v>1.64</v>
      </c>
      <c r="K972" s="0" t="s">
        <v>60</v>
      </c>
      <c r="L972" s="0" t="n">
        <f aca="false">INDEX(Summary!$F$2:$F$201,MATCH($B972,Summary!$A$2:$A$201,0))</f>
        <v>20</v>
      </c>
      <c r="M972" s="0" t="n">
        <f aca="false">INDEX(Summary!$I$2:$I$201,MATCH($B972,Summary!$A$2:$A$201,0))</f>
        <v>4</v>
      </c>
      <c r="N972" s="0" t="n">
        <f aca="false">INDEX(Summary!$J$2:$J$201,MATCH($B972,Summary!$A$2:$A$201,0))</f>
        <v>1</v>
      </c>
      <c r="O972" s="2" t="n">
        <f aca="false">INDEX(Summary!$K$2:$K$201,MATCH($B972,Summary!$A$2:$A$201,0))</f>
        <v>10.81</v>
      </c>
      <c r="P972" s="3" t="n">
        <f aca="false">INDEX(Summary!$L$2:$L$201,MATCH($B972,Summary!$A$2:$A$201,0))</f>
        <v>4</v>
      </c>
      <c r="Q972" s="3" t="n">
        <f aca="false">INDEX(Summary!$M$2:$M$201,MATCH($B972,Summary!$A$2:$A$201,0))</f>
        <v>2</v>
      </c>
      <c r="R972" s="2" t="n">
        <f aca="false">INDEX(Summary!$N$2:$N$201,MATCH($B972,Summary!$A$2:$A$201,0))</f>
        <v>10.5</v>
      </c>
      <c r="S972" s="3" t="n">
        <f aca="false">INDEX(Summary!$O$2:$O$201,MATCH($B972,Summary!$A$2:$A$201,0))</f>
        <v>8</v>
      </c>
      <c r="T972" s="3" t="n">
        <f aca="false">INDEX(Summary!$P$2:$P$201,MATCH($B972,Summary!$A$2:$A$201,0))</f>
        <v>1</v>
      </c>
      <c r="U972" s="2" t="n">
        <f aca="false">INDEX(Summary!$Q$2:$Q$201,MATCH($B972,Summary!$A$2:$A$201,0))</f>
        <v>12.04</v>
      </c>
      <c r="V972" s="2" t="n">
        <f aca="false">INDEX(Summary!$R$2:$R$201,MATCH($B972,Summary!$A$2:$A$201,0))</f>
        <v>30.29</v>
      </c>
      <c r="W972" s="0" t="str">
        <f aca="false">INDEX(Summary!$S$2:$S$201,MATCH($B972,Summary!$A$2:$A$201,0))</f>
        <v>Gold</v>
      </c>
      <c r="X972" s="2" t="n">
        <f aca="false">INDEX(Summary!$T$2:$T$201,MATCH($B972,Summary!$A$2:$A$201,0))</f>
        <v>73.88</v>
      </c>
      <c r="Y972" s="0" t="str">
        <f aca="false">INDEX('Reward Model'!$E$18:$E$37,MATCH($E972,'Reward Model'!$A$18:$A$37,0))</f>
        <v>Medium</v>
      </c>
      <c r="Z972" s="4" t="n">
        <f aca="false">ROUND(MIN(1,MAX('Reward Model'!$B$2,INDEX('Reward Model'!$C$12:$C$14,MATCH($K972,'Reward Model'!$A$12:$A$14,0))/$J972)),3)</f>
        <v>1</v>
      </c>
      <c r="AA972" s="2" t="n">
        <f aca="false">IF($I972="Correct",ROUND(INDEX('Reward Model'!$B$12:$B$14,MATCH($K972,'Reward Model'!$A$12:$A$14,0))*Z972,2),0)</f>
        <v>2</v>
      </c>
      <c r="AB972" s="2" t="n">
        <f aca="false">IF($I972="Correct",ROUND(INDEX('Reward Model'!$B$12:$B$14,MATCH($Y972,'Reward Model'!$A$12:$A$14,0))*Z972,2),0)</f>
        <v>2</v>
      </c>
    </row>
    <row r="973" customFormat="false" ht="15" hidden="false" customHeight="false" outlineLevel="0" collapsed="false">
      <c r="A973" s="0" t="s">
        <v>225</v>
      </c>
      <c r="B973" s="0" t="s">
        <v>226</v>
      </c>
      <c r="C973" s="0" t="s">
        <v>30</v>
      </c>
      <c r="D973" s="0" t="s">
        <v>189</v>
      </c>
      <c r="E973" s="0" t="n">
        <v>12</v>
      </c>
      <c r="F973" s="0" t="s">
        <v>64</v>
      </c>
      <c r="G973" s="0" t="s">
        <v>65</v>
      </c>
      <c r="H973" s="0" t="s">
        <v>65</v>
      </c>
      <c r="I973" s="0" t="s">
        <v>34</v>
      </c>
      <c r="J973" s="0" t="n">
        <v>2.05</v>
      </c>
      <c r="K973" s="0" t="s">
        <v>60</v>
      </c>
      <c r="L973" s="0" t="n">
        <f aca="false">INDEX(Summary!$F$2:$F$201,MATCH($B973,Summary!$A$2:$A$201,0))</f>
        <v>20</v>
      </c>
      <c r="M973" s="0" t="n">
        <f aca="false">INDEX(Summary!$I$2:$I$201,MATCH($B973,Summary!$A$2:$A$201,0))</f>
        <v>4</v>
      </c>
      <c r="N973" s="0" t="n">
        <f aca="false">INDEX(Summary!$J$2:$J$201,MATCH($B973,Summary!$A$2:$A$201,0))</f>
        <v>1</v>
      </c>
      <c r="O973" s="2" t="n">
        <f aca="false">INDEX(Summary!$K$2:$K$201,MATCH($B973,Summary!$A$2:$A$201,0))</f>
        <v>10.81</v>
      </c>
      <c r="P973" s="3" t="n">
        <f aca="false">INDEX(Summary!$L$2:$L$201,MATCH($B973,Summary!$A$2:$A$201,0))</f>
        <v>4</v>
      </c>
      <c r="Q973" s="3" t="n">
        <f aca="false">INDEX(Summary!$M$2:$M$201,MATCH($B973,Summary!$A$2:$A$201,0))</f>
        <v>2</v>
      </c>
      <c r="R973" s="2" t="n">
        <f aca="false">INDEX(Summary!$N$2:$N$201,MATCH($B973,Summary!$A$2:$A$201,0))</f>
        <v>10.5</v>
      </c>
      <c r="S973" s="3" t="n">
        <f aca="false">INDEX(Summary!$O$2:$O$201,MATCH($B973,Summary!$A$2:$A$201,0))</f>
        <v>8</v>
      </c>
      <c r="T973" s="3" t="n">
        <f aca="false">INDEX(Summary!$P$2:$P$201,MATCH($B973,Summary!$A$2:$A$201,0))</f>
        <v>1</v>
      </c>
      <c r="U973" s="2" t="n">
        <f aca="false">INDEX(Summary!$Q$2:$Q$201,MATCH($B973,Summary!$A$2:$A$201,0))</f>
        <v>12.04</v>
      </c>
      <c r="V973" s="2" t="n">
        <f aca="false">INDEX(Summary!$R$2:$R$201,MATCH($B973,Summary!$A$2:$A$201,0))</f>
        <v>30.29</v>
      </c>
      <c r="W973" s="0" t="str">
        <f aca="false">INDEX(Summary!$S$2:$S$201,MATCH($B973,Summary!$A$2:$A$201,0))</f>
        <v>Gold</v>
      </c>
      <c r="X973" s="2" t="n">
        <f aca="false">INDEX(Summary!$T$2:$T$201,MATCH($B973,Summary!$A$2:$A$201,0))</f>
        <v>73.88</v>
      </c>
      <c r="Y973" s="0" t="str">
        <f aca="false">INDEX('Reward Model'!$E$18:$E$37,MATCH($E973,'Reward Model'!$A$18:$A$37,0))</f>
        <v>Medium</v>
      </c>
      <c r="Z973" s="4" t="n">
        <f aca="false">ROUND(MIN(1,MAX('Reward Model'!$B$2,INDEX('Reward Model'!$C$12:$C$14,MATCH($K973,'Reward Model'!$A$12:$A$14,0))/$J973)),3)</f>
        <v>0.878</v>
      </c>
      <c r="AA973" s="2" t="n">
        <f aca="false">IF($I973="Correct",ROUND(INDEX('Reward Model'!$B$12:$B$14,MATCH($K973,'Reward Model'!$A$12:$A$14,0))*Z973,2),0)</f>
        <v>1.76</v>
      </c>
      <c r="AB973" s="2" t="n">
        <f aca="false">IF($I973="Correct",ROUND(INDEX('Reward Model'!$B$12:$B$14,MATCH($Y973,'Reward Model'!$A$12:$A$14,0))*Z973,2),0)</f>
        <v>1.76</v>
      </c>
    </row>
    <row r="974" customFormat="false" ht="15" hidden="false" customHeight="false" outlineLevel="0" collapsed="false">
      <c r="A974" s="0" t="s">
        <v>225</v>
      </c>
      <c r="B974" s="0" t="s">
        <v>226</v>
      </c>
      <c r="C974" s="0" t="s">
        <v>30</v>
      </c>
      <c r="D974" s="0" t="s">
        <v>189</v>
      </c>
      <c r="E974" s="0" t="n">
        <v>13</v>
      </c>
      <c r="F974" s="0" t="s">
        <v>66</v>
      </c>
      <c r="G974" s="0" t="s">
        <v>117</v>
      </c>
      <c r="H974" s="0" t="s">
        <v>67</v>
      </c>
      <c r="I974" s="0" t="s">
        <v>39</v>
      </c>
      <c r="J974" s="0" t="n">
        <v>2.26</v>
      </c>
      <c r="K974" s="0" t="s">
        <v>60</v>
      </c>
      <c r="L974" s="0" t="n">
        <f aca="false">INDEX(Summary!$F$2:$F$201,MATCH($B974,Summary!$A$2:$A$201,0))</f>
        <v>20</v>
      </c>
      <c r="M974" s="0" t="n">
        <f aca="false">INDEX(Summary!$I$2:$I$201,MATCH($B974,Summary!$A$2:$A$201,0))</f>
        <v>4</v>
      </c>
      <c r="N974" s="0" t="n">
        <f aca="false">INDEX(Summary!$J$2:$J$201,MATCH($B974,Summary!$A$2:$A$201,0))</f>
        <v>1</v>
      </c>
      <c r="O974" s="2" t="n">
        <f aca="false">INDEX(Summary!$K$2:$K$201,MATCH($B974,Summary!$A$2:$A$201,0))</f>
        <v>10.81</v>
      </c>
      <c r="P974" s="3" t="n">
        <f aca="false">INDEX(Summary!$L$2:$L$201,MATCH($B974,Summary!$A$2:$A$201,0))</f>
        <v>4</v>
      </c>
      <c r="Q974" s="3" t="n">
        <f aca="false">INDEX(Summary!$M$2:$M$201,MATCH($B974,Summary!$A$2:$A$201,0))</f>
        <v>2</v>
      </c>
      <c r="R974" s="2" t="n">
        <f aca="false">INDEX(Summary!$N$2:$N$201,MATCH($B974,Summary!$A$2:$A$201,0))</f>
        <v>10.5</v>
      </c>
      <c r="S974" s="3" t="n">
        <f aca="false">INDEX(Summary!$O$2:$O$201,MATCH($B974,Summary!$A$2:$A$201,0))</f>
        <v>8</v>
      </c>
      <c r="T974" s="3" t="n">
        <f aca="false">INDEX(Summary!$P$2:$P$201,MATCH($B974,Summary!$A$2:$A$201,0))</f>
        <v>1</v>
      </c>
      <c r="U974" s="2" t="n">
        <f aca="false">INDEX(Summary!$Q$2:$Q$201,MATCH($B974,Summary!$A$2:$A$201,0))</f>
        <v>12.04</v>
      </c>
      <c r="V974" s="2" t="n">
        <f aca="false">INDEX(Summary!$R$2:$R$201,MATCH($B974,Summary!$A$2:$A$201,0))</f>
        <v>30.29</v>
      </c>
      <c r="W974" s="0" t="str">
        <f aca="false">INDEX(Summary!$S$2:$S$201,MATCH($B974,Summary!$A$2:$A$201,0))</f>
        <v>Gold</v>
      </c>
      <c r="X974" s="2" t="n">
        <f aca="false">INDEX(Summary!$T$2:$T$201,MATCH($B974,Summary!$A$2:$A$201,0))</f>
        <v>73.88</v>
      </c>
      <c r="Y974" s="0" t="str">
        <f aca="false">INDEX('Reward Model'!$E$18:$E$37,MATCH($E974,'Reward Model'!$A$18:$A$37,0))</f>
        <v>Medium</v>
      </c>
      <c r="Z974" s="4" t="n">
        <f aca="false">ROUND(MIN(1,MAX('Reward Model'!$B$2,INDEX('Reward Model'!$C$12:$C$14,MATCH($K974,'Reward Model'!$A$12:$A$14,0))/$J974)),3)</f>
        <v>0.796</v>
      </c>
      <c r="AA974" s="2" t="n">
        <f aca="false">IF($I974="Correct",ROUND(INDEX('Reward Model'!$B$12:$B$14,MATCH($K974,'Reward Model'!$A$12:$A$14,0))*Z974,2),0)</f>
        <v>0</v>
      </c>
      <c r="AB974" s="2" t="n">
        <f aca="false">IF($I974="Correct",ROUND(INDEX('Reward Model'!$B$12:$B$14,MATCH($Y974,'Reward Model'!$A$12:$A$14,0))*Z974,2),0)</f>
        <v>0</v>
      </c>
    </row>
    <row r="975" customFormat="false" ht="15" hidden="false" customHeight="false" outlineLevel="0" collapsed="false">
      <c r="A975" s="0" t="s">
        <v>225</v>
      </c>
      <c r="B975" s="0" t="s">
        <v>226</v>
      </c>
      <c r="C975" s="0" t="s">
        <v>30</v>
      </c>
      <c r="D975" s="0" t="s">
        <v>189</v>
      </c>
      <c r="E975" s="0" t="n">
        <v>14</v>
      </c>
      <c r="F975" s="0" t="s">
        <v>68</v>
      </c>
      <c r="G975" s="0" t="s">
        <v>51</v>
      </c>
      <c r="H975" s="0" t="s">
        <v>51</v>
      </c>
      <c r="I975" s="0" t="s">
        <v>34</v>
      </c>
      <c r="J975" s="0" t="n">
        <v>1.28</v>
      </c>
      <c r="K975" s="0" t="s">
        <v>60</v>
      </c>
      <c r="L975" s="0" t="n">
        <f aca="false">INDEX(Summary!$F$2:$F$201,MATCH($B975,Summary!$A$2:$A$201,0))</f>
        <v>20</v>
      </c>
      <c r="M975" s="0" t="n">
        <f aca="false">INDEX(Summary!$I$2:$I$201,MATCH($B975,Summary!$A$2:$A$201,0))</f>
        <v>4</v>
      </c>
      <c r="N975" s="0" t="n">
        <f aca="false">INDEX(Summary!$J$2:$J$201,MATCH($B975,Summary!$A$2:$A$201,0))</f>
        <v>1</v>
      </c>
      <c r="O975" s="2" t="n">
        <f aca="false">INDEX(Summary!$K$2:$K$201,MATCH($B975,Summary!$A$2:$A$201,0))</f>
        <v>10.81</v>
      </c>
      <c r="P975" s="3" t="n">
        <f aca="false">INDEX(Summary!$L$2:$L$201,MATCH($B975,Summary!$A$2:$A$201,0))</f>
        <v>4</v>
      </c>
      <c r="Q975" s="3" t="n">
        <f aca="false">INDEX(Summary!$M$2:$M$201,MATCH($B975,Summary!$A$2:$A$201,0))</f>
        <v>2</v>
      </c>
      <c r="R975" s="2" t="n">
        <f aca="false">INDEX(Summary!$N$2:$N$201,MATCH($B975,Summary!$A$2:$A$201,0))</f>
        <v>10.5</v>
      </c>
      <c r="S975" s="3" t="n">
        <f aca="false">INDEX(Summary!$O$2:$O$201,MATCH($B975,Summary!$A$2:$A$201,0))</f>
        <v>8</v>
      </c>
      <c r="T975" s="3" t="n">
        <f aca="false">INDEX(Summary!$P$2:$P$201,MATCH($B975,Summary!$A$2:$A$201,0))</f>
        <v>1</v>
      </c>
      <c r="U975" s="2" t="n">
        <f aca="false">INDEX(Summary!$Q$2:$Q$201,MATCH($B975,Summary!$A$2:$A$201,0))</f>
        <v>12.04</v>
      </c>
      <c r="V975" s="2" t="n">
        <f aca="false">INDEX(Summary!$R$2:$R$201,MATCH($B975,Summary!$A$2:$A$201,0))</f>
        <v>30.29</v>
      </c>
      <c r="W975" s="0" t="str">
        <f aca="false">INDEX(Summary!$S$2:$S$201,MATCH($B975,Summary!$A$2:$A$201,0))</f>
        <v>Gold</v>
      </c>
      <c r="X975" s="2" t="n">
        <f aca="false">INDEX(Summary!$T$2:$T$201,MATCH($B975,Summary!$A$2:$A$201,0))</f>
        <v>73.88</v>
      </c>
      <c r="Y975" s="0" t="str">
        <f aca="false">INDEX('Reward Model'!$E$18:$E$37,MATCH($E975,'Reward Model'!$A$18:$A$37,0))</f>
        <v>Medium</v>
      </c>
      <c r="Z975" s="4" t="n">
        <f aca="false">ROUND(MIN(1,MAX('Reward Model'!$B$2,INDEX('Reward Model'!$C$12:$C$14,MATCH($K975,'Reward Model'!$A$12:$A$14,0))/$J975)),3)</f>
        <v>1</v>
      </c>
      <c r="AA975" s="2" t="n">
        <f aca="false">IF($I975="Correct",ROUND(INDEX('Reward Model'!$B$12:$B$14,MATCH($K975,'Reward Model'!$A$12:$A$14,0))*Z975,2),0)</f>
        <v>2</v>
      </c>
      <c r="AB975" s="2" t="n">
        <f aca="false">IF($I975="Correct",ROUND(INDEX('Reward Model'!$B$12:$B$14,MATCH($Y975,'Reward Model'!$A$12:$A$14,0))*Z975,2),0)</f>
        <v>2</v>
      </c>
    </row>
    <row r="976" customFormat="false" ht="15" hidden="false" customHeight="false" outlineLevel="0" collapsed="false">
      <c r="A976" s="0" t="s">
        <v>225</v>
      </c>
      <c r="B976" s="0" t="s">
        <v>226</v>
      </c>
      <c r="C976" s="0" t="s">
        <v>30</v>
      </c>
      <c r="D976" s="0" t="s">
        <v>189</v>
      </c>
      <c r="E976" s="0" t="n">
        <v>15</v>
      </c>
      <c r="F976" s="0" t="s">
        <v>69</v>
      </c>
      <c r="G976" s="0" t="s">
        <v>70</v>
      </c>
      <c r="H976" s="0" t="s">
        <v>70</v>
      </c>
      <c r="I976" s="0" t="s">
        <v>34</v>
      </c>
      <c r="J976" s="0" t="n">
        <v>1.59</v>
      </c>
      <c r="K976" s="0" t="s">
        <v>60</v>
      </c>
      <c r="L976" s="0" t="n">
        <f aca="false">INDEX(Summary!$F$2:$F$201,MATCH($B976,Summary!$A$2:$A$201,0))</f>
        <v>20</v>
      </c>
      <c r="M976" s="0" t="n">
        <f aca="false">INDEX(Summary!$I$2:$I$201,MATCH($B976,Summary!$A$2:$A$201,0))</f>
        <v>4</v>
      </c>
      <c r="N976" s="0" t="n">
        <f aca="false">INDEX(Summary!$J$2:$J$201,MATCH($B976,Summary!$A$2:$A$201,0))</f>
        <v>1</v>
      </c>
      <c r="O976" s="2" t="n">
        <f aca="false">INDEX(Summary!$K$2:$K$201,MATCH($B976,Summary!$A$2:$A$201,0))</f>
        <v>10.81</v>
      </c>
      <c r="P976" s="3" t="n">
        <f aca="false">INDEX(Summary!$L$2:$L$201,MATCH($B976,Summary!$A$2:$A$201,0))</f>
        <v>4</v>
      </c>
      <c r="Q976" s="3" t="n">
        <f aca="false">INDEX(Summary!$M$2:$M$201,MATCH($B976,Summary!$A$2:$A$201,0))</f>
        <v>2</v>
      </c>
      <c r="R976" s="2" t="n">
        <f aca="false">INDEX(Summary!$N$2:$N$201,MATCH($B976,Summary!$A$2:$A$201,0))</f>
        <v>10.5</v>
      </c>
      <c r="S976" s="3" t="n">
        <f aca="false">INDEX(Summary!$O$2:$O$201,MATCH($B976,Summary!$A$2:$A$201,0))</f>
        <v>8</v>
      </c>
      <c r="T976" s="3" t="n">
        <f aca="false">INDEX(Summary!$P$2:$P$201,MATCH($B976,Summary!$A$2:$A$201,0))</f>
        <v>1</v>
      </c>
      <c r="U976" s="2" t="n">
        <f aca="false">INDEX(Summary!$Q$2:$Q$201,MATCH($B976,Summary!$A$2:$A$201,0))</f>
        <v>12.04</v>
      </c>
      <c r="V976" s="2" t="n">
        <f aca="false">INDEX(Summary!$R$2:$R$201,MATCH($B976,Summary!$A$2:$A$201,0))</f>
        <v>30.29</v>
      </c>
      <c r="W976" s="0" t="str">
        <f aca="false">INDEX(Summary!$S$2:$S$201,MATCH($B976,Summary!$A$2:$A$201,0))</f>
        <v>Gold</v>
      </c>
      <c r="X976" s="2" t="n">
        <f aca="false">INDEX(Summary!$T$2:$T$201,MATCH($B976,Summary!$A$2:$A$201,0))</f>
        <v>73.88</v>
      </c>
      <c r="Y976" s="0" t="str">
        <f aca="false">INDEX('Reward Model'!$E$18:$E$37,MATCH($E976,'Reward Model'!$A$18:$A$37,0))</f>
        <v>Medium</v>
      </c>
      <c r="Z976" s="4" t="n">
        <f aca="false">ROUND(MIN(1,MAX('Reward Model'!$B$2,INDEX('Reward Model'!$C$12:$C$14,MATCH($K976,'Reward Model'!$A$12:$A$14,0))/$J976)),3)</f>
        <v>1</v>
      </c>
      <c r="AA976" s="2" t="n">
        <f aca="false">IF($I976="Correct",ROUND(INDEX('Reward Model'!$B$12:$B$14,MATCH($K976,'Reward Model'!$A$12:$A$14,0))*Z976,2),0)</f>
        <v>2</v>
      </c>
      <c r="AB976" s="2" t="n">
        <f aca="false">IF($I976="Correct",ROUND(INDEX('Reward Model'!$B$12:$B$14,MATCH($Y976,'Reward Model'!$A$12:$A$14,0))*Z976,2),0)</f>
        <v>2</v>
      </c>
    </row>
    <row r="977" customFormat="false" ht="15" hidden="false" customHeight="false" outlineLevel="0" collapsed="false">
      <c r="A977" s="0" t="s">
        <v>225</v>
      </c>
      <c r="B977" s="0" t="s">
        <v>226</v>
      </c>
      <c r="C977" s="0" t="s">
        <v>30</v>
      </c>
      <c r="D977" s="0" t="s">
        <v>189</v>
      </c>
      <c r="E977" s="0" t="n">
        <v>16</v>
      </c>
      <c r="F977" s="0" t="s">
        <v>71</v>
      </c>
      <c r="G977" s="0" t="s">
        <v>72</v>
      </c>
      <c r="H977" s="0" t="s">
        <v>72</v>
      </c>
      <c r="I977" s="0" t="s">
        <v>34</v>
      </c>
      <c r="J977" s="0" t="n">
        <v>1.71</v>
      </c>
      <c r="K977" s="0" t="s">
        <v>73</v>
      </c>
      <c r="L977" s="0" t="n">
        <f aca="false">INDEX(Summary!$F$2:$F$201,MATCH($B977,Summary!$A$2:$A$201,0))</f>
        <v>20</v>
      </c>
      <c r="M977" s="0" t="n">
        <f aca="false">INDEX(Summary!$I$2:$I$201,MATCH($B977,Summary!$A$2:$A$201,0))</f>
        <v>4</v>
      </c>
      <c r="N977" s="0" t="n">
        <f aca="false">INDEX(Summary!$J$2:$J$201,MATCH($B977,Summary!$A$2:$A$201,0))</f>
        <v>1</v>
      </c>
      <c r="O977" s="2" t="n">
        <f aca="false">INDEX(Summary!$K$2:$K$201,MATCH($B977,Summary!$A$2:$A$201,0))</f>
        <v>10.81</v>
      </c>
      <c r="P977" s="3" t="n">
        <f aca="false">INDEX(Summary!$L$2:$L$201,MATCH($B977,Summary!$A$2:$A$201,0))</f>
        <v>4</v>
      </c>
      <c r="Q977" s="3" t="n">
        <f aca="false">INDEX(Summary!$M$2:$M$201,MATCH($B977,Summary!$A$2:$A$201,0))</f>
        <v>2</v>
      </c>
      <c r="R977" s="2" t="n">
        <f aca="false">INDEX(Summary!$N$2:$N$201,MATCH($B977,Summary!$A$2:$A$201,0))</f>
        <v>10.5</v>
      </c>
      <c r="S977" s="3" t="n">
        <f aca="false">INDEX(Summary!$O$2:$O$201,MATCH($B977,Summary!$A$2:$A$201,0))</f>
        <v>8</v>
      </c>
      <c r="T977" s="3" t="n">
        <f aca="false">INDEX(Summary!$P$2:$P$201,MATCH($B977,Summary!$A$2:$A$201,0))</f>
        <v>1</v>
      </c>
      <c r="U977" s="2" t="n">
        <f aca="false">INDEX(Summary!$Q$2:$Q$201,MATCH($B977,Summary!$A$2:$A$201,0))</f>
        <v>12.04</v>
      </c>
      <c r="V977" s="2" t="n">
        <f aca="false">INDEX(Summary!$R$2:$R$201,MATCH($B977,Summary!$A$2:$A$201,0))</f>
        <v>30.29</v>
      </c>
      <c r="W977" s="0" t="str">
        <f aca="false">INDEX(Summary!$S$2:$S$201,MATCH($B977,Summary!$A$2:$A$201,0))</f>
        <v>Gold</v>
      </c>
      <c r="X977" s="2" t="n">
        <f aca="false">INDEX(Summary!$T$2:$T$201,MATCH($B977,Summary!$A$2:$A$201,0))</f>
        <v>73.88</v>
      </c>
      <c r="Y977" s="0" t="str">
        <f aca="false">INDEX('Reward Model'!$E$18:$E$37,MATCH($E977,'Reward Model'!$A$18:$A$37,0))</f>
        <v>High</v>
      </c>
      <c r="Z977" s="4" t="n">
        <f aca="false">ROUND(MIN(1,MAX('Reward Model'!$B$2,INDEX('Reward Model'!$C$12:$C$14,MATCH($K977,'Reward Model'!$A$12:$A$14,0))/$J977)),3)</f>
        <v>1</v>
      </c>
      <c r="AA977" s="2" t="n">
        <f aca="false">IF($I977="Correct",ROUND(INDEX('Reward Model'!$B$12:$B$14,MATCH($K977,'Reward Model'!$A$12:$A$14,0))*Z977,2),0)</f>
        <v>3</v>
      </c>
      <c r="AB977" s="2" t="n">
        <f aca="false">IF($I977="Correct",ROUND(INDEX('Reward Model'!$B$12:$B$14,MATCH($Y977,'Reward Model'!$A$12:$A$14,0))*Z977,2),0)</f>
        <v>3</v>
      </c>
    </row>
    <row r="978" customFormat="false" ht="15" hidden="false" customHeight="false" outlineLevel="0" collapsed="false">
      <c r="A978" s="0" t="s">
        <v>225</v>
      </c>
      <c r="B978" s="0" t="s">
        <v>226</v>
      </c>
      <c r="C978" s="0" t="s">
        <v>30</v>
      </c>
      <c r="D978" s="0" t="s">
        <v>189</v>
      </c>
      <c r="E978" s="0" t="n">
        <v>17</v>
      </c>
      <c r="F978" s="0" t="s">
        <v>74</v>
      </c>
      <c r="G978" s="0" t="s">
        <v>75</v>
      </c>
      <c r="H978" s="0" t="s">
        <v>75</v>
      </c>
      <c r="I978" s="0" t="s">
        <v>34</v>
      </c>
      <c r="J978" s="0" t="n">
        <v>2.15</v>
      </c>
      <c r="K978" s="0" t="s">
        <v>73</v>
      </c>
      <c r="L978" s="0" t="n">
        <f aca="false">INDEX(Summary!$F$2:$F$201,MATCH($B978,Summary!$A$2:$A$201,0))</f>
        <v>20</v>
      </c>
      <c r="M978" s="0" t="n">
        <f aca="false">INDEX(Summary!$I$2:$I$201,MATCH($B978,Summary!$A$2:$A$201,0))</f>
        <v>4</v>
      </c>
      <c r="N978" s="0" t="n">
        <f aca="false">INDEX(Summary!$J$2:$J$201,MATCH($B978,Summary!$A$2:$A$201,0))</f>
        <v>1</v>
      </c>
      <c r="O978" s="2" t="n">
        <f aca="false">INDEX(Summary!$K$2:$K$201,MATCH($B978,Summary!$A$2:$A$201,0))</f>
        <v>10.81</v>
      </c>
      <c r="P978" s="3" t="n">
        <f aca="false">INDEX(Summary!$L$2:$L$201,MATCH($B978,Summary!$A$2:$A$201,0))</f>
        <v>4</v>
      </c>
      <c r="Q978" s="3" t="n">
        <f aca="false">INDEX(Summary!$M$2:$M$201,MATCH($B978,Summary!$A$2:$A$201,0))</f>
        <v>2</v>
      </c>
      <c r="R978" s="2" t="n">
        <f aca="false">INDEX(Summary!$N$2:$N$201,MATCH($B978,Summary!$A$2:$A$201,0))</f>
        <v>10.5</v>
      </c>
      <c r="S978" s="3" t="n">
        <f aca="false">INDEX(Summary!$O$2:$O$201,MATCH($B978,Summary!$A$2:$A$201,0))</f>
        <v>8</v>
      </c>
      <c r="T978" s="3" t="n">
        <f aca="false">INDEX(Summary!$P$2:$P$201,MATCH($B978,Summary!$A$2:$A$201,0))</f>
        <v>1</v>
      </c>
      <c r="U978" s="2" t="n">
        <f aca="false">INDEX(Summary!$Q$2:$Q$201,MATCH($B978,Summary!$A$2:$A$201,0))</f>
        <v>12.04</v>
      </c>
      <c r="V978" s="2" t="n">
        <f aca="false">INDEX(Summary!$R$2:$R$201,MATCH($B978,Summary!$A$2:$A$201,0))</f>
        <v>30.29</v>
      </c>
      <c r="W978" s="0" t="str">
        <f aca="false">INDEX(Summary!$S$2:$S$201,MATCH($B978,Summary!$A$2:$A$201,0))</f>
        <v>Gold</v>
      </c>
      <c r="X978" s="2" t="n">
        <f aca="false">INDEX(Summary!$T$2:$T$201,MATCH($B978,Summary!$A$2:$A$201,0))</f>
        <v>73.88</v>
      </c>
      <c r="Y978" s="0" t="str">
        <f aca="false">INDEX('Reward Model'!$E$18:$E$37,MATCH($E978,'Reward Model'!$A$18:$A$37,0))</f>
        <v>High</v>
      </c>
      <c r="Z978" s="4" t="n">
        <f aca="false">ROUND(MIN(1,MAX('Reward Model'!$B$2,INDEX('Reward Model'!$C$12:$C$14,MATCH($K978,'Reward Model'!$A$12:$A$14,0))/$J978)),3)</f>
        <v>0.93</v>
      </c>
      <c r="AA978" s="2" t="n">
        <f aca="false">IF($I978="Correct",ROUND(INDEX('Reward Model'!$B$12:$B$14,MATCH($K978,'Reward Model'!$A$12:$A$14,0))*Z978,2),0)</f>
        <v>2.79</v>
      </c>
      <c r="AB978" s="2" t="n">
        <f aca="false">IF($I978="Correct",ROUND(INDEX('Reward Model'!$B$12:$B$14,MATCH($Y978,'Reward Model'!$A$12:$A$14,0))*Z978,2),0)</f>
        <v>2.79</v>
      </c>
    </row>
    <row r="979" customFormat="false" ht="15" hidden="false" customHeight="false" outlineLevel="0" collapsed="false">
      <c r="A979" s="0" t="s">
        <v>225</v>
      </c>
      <c r="B979" s="0" t="s">
        <v>226</v>
      </c>
      <c r="C979" s="0" t="s">
        <v>30</v>
      </c>
      <c r="D979" s="0" t="s">
        <v>189</v>
      </c>
      <c r="E979" s="0" t="n">
        <v>18</v>
      </c>
      <c r="F979" s="0" t="s">
        <v>76</v>
      </c>
      <c r="G979" s="0" t="s">
        <v>77</v>
      </c>
      <c r="H979" s="0" t="s">
        <v>77</v>
      </c>
      <c r="I979" s="0" t="s">
        <v>34</v>
      </c>
      <c r="J979" s="0" t="n">
        <v>2.2</v>
      </c>
      <c r="K979" s="0" t="s">
        <v>73</v>
      </c>
      <c r="L979" s="0" t="n">
        <f aca="false">INDEX(Summary!$F$2:$F$201,MATCH($B979,Summary!$A$2:$A$201,0))</f>
        <v>20</v>
      </c>
      <c r="M979" s="0" t="n">
        <f aca="false">INDEX(Summary!$I$2:$I$201,MATCH($B979,Summary!$A$2:$A$201,0))</f>
        <v>4</v>
      </c>
      <c r="N979" s="0" t="n">
        <f aca="false">INDEX(Summary!$J$2:$J$201,MATCH($B979,Summary!$A$2:$A$201,0))</f>
        <v>1</v>
      </c>
      <c r="O979" s="2" t="n">
        <f aca="false">INDEX(Summary!$K$2:$K$201,MATCH($B979,Summary!$A$2:$A$201,0))</f>
        <v>10.81</v>
      </c>
      <c r="P979" s="3" t="n">
        <f aca="false">INDEX(Summary!$L$2:$L$201,MATCH($B979,Summary!$A$2:$A$201,0))</f>
        <v>4</v>
      </c>
      <c r="Q979" s="3" t="n">
        <f aca="false">INDEX(Summary!$M$2:$M$201,MATCH($B979,Summary!$A$2:$A$201,0))</f>
        <v>2</v>
      </c>
      <c r="R979" s="2" t="n">
        <f aca="false">INDEX(Summary!$N$2:$N$201,MATCH($B979,Summary!$A$2:$A$201,0))</f>
        <v>10.5</v>
      </c>
      <c r="S979" s="3" t="n">
        <f aca="false">INDEX(Summary!$O$2:$O$201,MATCH($B979,Summary!$A$2:$A$201,0))</f>
        <v>8</v>
      </c>
      <c r="T979" s="3" t="n">
        <f aca="false">INDEX(Summary!$P$2:$P$201,MATCH($B979,Summary!$A$2:$A$201,0))</f>
        <v>1</v>
      </c>
      <c r="U979" s="2" t="n">
        <f aca="false">INDEX(Summary!$Q$2:$Q$201,MATCH($B979,Summary!$A$2:$A$201,0))</f>
        <v>12.04</v>
      </c>
      <c r="V979" s="2" t="n">
        <f aca="false">INDEX(Summary!$R$2:$R$201,MATCH($B979,Summary!$A$2:$A$201,0))</f>
        <v>30.29</v>
      </c>
      <c r="W979" s="0" t="str">
        <f aca="false">INDEX(Summary!$S$2:$S$201,MATCH($B979,Summary!$A$2:$A$201,0))</f>
        <v>Gold</v>
      </c>
      <c r="X979" s="2" t="n">
        <f aca="false">INDEX(Summary!$T$2:$T$201,MATCH($B979,Summary!$A$2:$A$201,0))</f>
        <v>73.88</v>
      </c>
      <c r="Y979" s="0" t="str">
        <f aca="false">INDEX('Reward Model'!$E$18:$E$37,MATCH($E979,'Reward Model'!$A$18:$A$37,0))</f>
        <v>High</v>
      </c>
      <c r="Z979" s="4" t="n">
        <f aca="false">ROUND(MIN(1,MAX('Reward Model'!$B$2,INDEX('Reward Model'!$C$12:$C$14,MATCH($K979,'Reward Model'!$A$12:$A$14,0))/$J979)),3)</f>
        <v>0.909</v>
      </c>
      <c r="AA979" s="2" t="n">
        <f aca="false">IF($I979="Correct",ROUND(INDEX('Reward Model'!$B$12:$B$14,MATCH($K979,'Reward Model'!$A$12:$A$14,0))*Z979,2),0)</f>
        <v>2.73</v>
      </c>
      <c r="AB979" s="2" t="n">
        <f aca="false">IF($I979="Correct",ROUND(INDEX('Reward Model'!$B$12:$B$14,MATCH($Y979,'Reward Model'!$A$12:$A$14,0))*Z979,2),0)</f>
        <v>2.73</v>
      </c>
    </row>
    <row r="980" customFormat="false" ht="15" hidden="false" customHeight="false" outlineLevel="0" collapsed="false">
      <c r="A980" s="0" t="s">
        <v>225</v>
      </c>
      <c r="B980" s="0" t="s">
        <v>226</v>
      </c>
      <c r="C980" s="0" t="s">
        <v>30</v>
      </c>
      <c r="D980" s="0" t="s">
        <v>189</v>
      </c>
      <c r="E980" s="0" t="n">
        <v>19</v>
      </c>
      <c r="F980" s="0" t="s">
        <v>78</v>
      </c>
      <c r="G980" s="0" t="s">
        <v>79</v>
      </c>
      <c r="H980" s="0" t="s">
        <v>80</v>
      </c>
      <c r="I980" s="0" t="s">
        <v>39</v>
      </c>
      <c r="J980" s="0" t="n">
        <v>2.51</v>
      </c>
      <c r="K980" s="0" t="s">
        <v>73</v>
      </c>
      <c r="L980" s="0" t="n">
        <f aca="false">INDEX(Summary!$F$2:$F$201,MATCH($B980,Summary!$A$2:$A$201,0))</f>
        <v>20</v>
      </c>
      <c r="M980" s="0" t="n">
        <f aca="false">INDEX(Summary!$I$2:$I$201,MATCH($B980,Summary!$A$2:$A$201,0))</f>
        <v>4</v>
      </c>
      <c r="N980" s="0" t="n">
        <f aca="false">INDEX(Summary!$J$2:$J$201,MATCH($B980,Summary!$A$2:$A$201,0))</f>
        <v>1</v>
      </c>
      <c r="O980" s="2" t="n">
        <f aca="false">INDEX(Summary!$K$2:$K$201,MATCH($B980,Summary!$A$2:$A$201,0))</f>
        <v>10.81</v>
      </c>
      <c r="P980" s="3" t="n">
        <f aca="false">INDEX(Summary!$L$2:$L$201,MATCH($B980,Summary!$A$2:$A$201,0))</f>
        <v>4</v>
      </c>
      <c r="Q980" s="3" t="n">
        <f aca="false">INDEX(Summary!$M$2:$M$201,MATCH($B980,Summary!$A$2:$A$201,0))</f>
        <v>2</v>
      </c>
      <c r="R980" s="2" t="n">
        <f aca="false">INDEX(Summary!$N$2:$N$201,MATCH($B980,Summary!$A$2:$A$201,0))</f>
        <v>10.5</v>
      </c>
      <c r="S980" s="3" t="n">
        <f aca="false">INDEX(Summary!$O$2:$O$201,MATCH($B980,Summary!$A$2:$A$201,0))</f>
        <v>8</v>
      </c>
      <c r="T980" s="3" t="n">
        <f aca="false">INDEX(Summary!$P$2:$P$201,MATCH($B980,Summary!$A$2:$A$201,0))</f>
        <v>1</v>
      </c>
      <c r="U980" s="2" t="n">
        <f aca="false">INDEX(Summary!$Q$2:$Q$201,MATCH($B980,Summary!$A$2:$A$201,0))</f>
        <v>12.04</v>
      </c>
      <c r="V980" s="2" t="n">
        <f aca="false">INDEX(Summary!$R$2:$R$201,MATCH($B980,Summary!$A$2:$A$201,0))</f>
        <v>30.29</v>
      </c>
      <c r="W980" s="0" t="str">
        <f aca="false">INDEX(Summary!$S$2:$S$201,MATCH($B980,Summary!$A$2:$A$201,0))</f>
        <v>Gold</v>
      </c>
      <c r="X980" s="2" t="n">
        <f aca="false">INDEX(Summary!$T$2:$T$201,MATCH($B980,Summary!$A$2:$A$201,0))</f>
        <v>73.88</v>
      </c>
      <c r="Y980" s="0" t="str">
        <f aca="false">INDEX('Reward Model'!$E$18:$E$37,MATCH($E980,'Reward Model'!$A$18:$A$37,0))</f>
        <v>High</v>
      </c>
      <c r="Z980" s="4" t="n">
        <f aca="false">ROUND(MIN(1,MAX('Reward Model'!$B$2,INDEX('Reward Model'!$C$12:$C$14,MATCH($K980,'Reward Model'!$A$12:$A$14,0))/$J980)),3)</f>
        <v>0.797</v>
      </c>
      <c r="AA980" s="2" t="n">
        <f aca="false">IF($I980="Correct",ROUND(INDEX('Reward Model'!$B$12:$B$14,MATCH($K980,'Reward Model'!$A$12:$A$14,0))*Z980,2),0)</f>
        <v>0</v>
      </c>
      <c r="AB980" s="2" t="n">
        <f aca="false">IF($I980="Correct",ROUND(INDEX('Reward Model'!$B$12:$B$14,MATCH($Y980,'Reward Model'!$A$12:$A$14,0))*Z980,2),0)</f>
        <v>0</v>
      </c>
    </row>
    <row r="981" customFormat="false" ht="15" hidden="false" customHeight="false" outlineLevel="0" collapsed="false">
      <c r="A981" s="0" t="s">
        <v>225</v>
      </c>
      <c r="B981" s="0" t="s">
        <v>226</v>
      </c>
      <c r="C981" s="0" t="s">
        <v>30</v>
      </c>
      <c r="D981" s="0" t="s">
        <v>189</v>
      </c>
      <c r="E981" s="0" t="n">
        <v>20</v>
      </c>
      <c r="F981" s="0" t="s">
        <v>81</v>
      </c>
      <c r="G981" s="0" t="s">
        <v>83</v>
      </c>
      <c r="H981" s="0" t="s">
        <v>83</v>
      </c>
      <c r="I981" s="0" t="s">
        <v>34</v>
      </c>
      <c r="J981" s="0" t="n">
        <v>2.24</v>
      </c>
      <c r="K981" s="0" t="s">
        <v>73</v>
      </c>
      <c r="L981" s="0" t="n">
        <f aca="false">INDEX(Summary!$F$2:$F$201,MATCH($B981,Summary!$A$2:$A$201,0))</f>
        <v>20</v>
      </c>
      <c r="M981" s="0" t="n">
        <f aca="false">INDEX(Summary!$I$2:$I$201,MATCH($B981,Summary!$A$2:$A$201,0))</f>
        <v>4</v>
      </c>
      <c r="N981" s="0" t="n">
        <f aca="false">INDEX(Summary!$J$2:$J$201,MATCH($B981,Summary!$A$2:$A$201,0))</f>
        <v>1</v>
      </c>
      <c r="O981" s="2" t="n">
        <f aca="false">INDEX(Summary!$K$2:$K$201,MATCH($B981,Summary!$A$2:$A$201,0))</f>
        <v>10.81</v>
      </c>
      <c r="P981" s="3" t="n">
        <f aca="false">INDEX(Summary!$L$2:$L$201,MATCH($B981,Summary!$A$2:$A$201,0))</f>
        <v>4</v>
      </c>
      <c r="Q981" s="3" t="n">
        <f aca="false">INDEX(Summary!$M$2:$M$201,MATCH($B981,Summary!$A$2:$A$201,0))</f>
        <v>2</v>
      </c>
      <c r="R981" s="2" t="n">
        <f aca="false">INDEX(Summary!$N$2:$N$201,MATCH($B981,Summary!$A$2:$A$201,0))</f>
        <v>10.5</v>
      </c>
      <c r="S981" s="3" t="n">
        <f aca="false">INDEX(Summary!$O$2:$O$201,MATCH($B981,Summary!$A$2:$A$201,0))</f>
        <v>8</v>
      </c>
      <c r="T981" s="3" t="n">
        <f aca="false">INDEX(Summary!$P$2:$P$201,MATCH($B981,Summary!$A$2:$A$201,0))</f>
        <v>1</v>
      </c>
      <c r="U981" s="2" t="n">
        <f aca="false">INDEX(Summary!$Q$2:$Q$201,MATCH($B981,Summary!$A$2:$A$201,0))</f>
        <v>12.04</v>
      </c>
      <c r="V981" s="2" t="n">
        <f aca="false">INDEX(Summary!$R$2:$R$201,MATCH($B981,Summary!$A$2:$A$201,0))</f>
        <v>30.29</v>
      </c>
      <c r="W981" s="0" t="str">
        <f aca="false">INDEX(Summary!$S$2:$S$201,MATCH($B981,Summary!$A$2:$A$201,0))</f>
        <v>Gold</v>
      </c>
      <c r="X981" s="2" t="n">
        <f aca="false">INDEX(Summary!$T$2:$T$201,MATCH($B981,Summary!$A$2:$A$201,0))</f>
        <v>73.88</v>
      </c>
      <c r="Y981" s="0" t="str">
        <f aca="false">INDEX('Reward Model'!$E$18:$E$37,MATCH($E981,'Reward Model'!$A$18:$A$37,0))</f>
        <v>High</v>
      </c>
      <c r="Z981" s="4" t="n">
        <f aca="false">ROUND(MIN(1,MAX('Reward Model'!$B$2,INDEX('Reward Model'!$C$12:$C$14,MATCH($K981,'Reward Model'!$A$12:$A$14,0))/$J981)),3)</f>
        <v>0.893</v>
      </c>
      <c r="AA981" s="2" t="n">
        <f aca="false">IF($I981="Correct",ROUND(INDEX('Reward Model'!$B$12:$B$14,MATCH($K981,'Reward Model'!$A$12:$A$14,0))*Z981,2),0)</f>
        <v>2.68</v>
      </c>
      <c r="AB981" s="2" t="n">
        <f aca="false">IF($I981="Correct",ROUND(INDEX('Reward Model'!$B$12:$B$14,MATCH($Y981,'Reward Model'!$A$12:$A$14,0))*Z981,2),0)</f>
        <v>2.68</v>
      </c>
    </row>
    <row r="982" customFormat="false" ht="15" hidden="false" customHeight="false" outlineLevel="0" collapsed="false">
      <c r="A982" s="0" t="s">
        <v>227</v>
      </c>
      <c r="B982" s="0" t="s">
        <v>228</v>
      </c>
      <c r="C982" s="0" t="s">
        <v>30</v>
      </c>
      <c r="D982" s="0" t="s">
        <v>189</v>
      </c>
      <c r="E982" s="0" t="n">
        <v>1</v>
      </c>
      <c r="F982" s="0" t="s">
        <v>32</v>
      </c>
      <c r="G982" s="0" t="s">
        <v>33</v>
      </c>
      <c r="H982" s="0" t="s">
        <v>33</v>
      </c>
      <c r="I982" s="0" t="s">
        <v>34</v>
      </c>
      <c r="J982" s="0" t="n">
        <v>1.9</v>
      </c>
      <c r="K982" s="0" t="s">
        <v>35</v>
      </c>
      <c r="L982" s="0" t="n">
        <f aca="false">INDEX(Summary!$F$2:$F$201,MATCH($B982,Summary!$A$2:$A$201,0))</f>
        <v>20</v>
      </c>
      <c r="M982" s="0" t="n">
        <f aca="false">INDEX(Summary!$I$2:$I$201,MATCH($B982,Summary!$A$2:$A$201,0))</f>
        <v>4</v>
      </c>
      <c r="N982" s="0" t="n">
        <f aca="false">INDEX(Summary!$J$2:$J$201,MATCH($B982,Summary!$A$2:$A$201,0))</f>
        <v>1</v>
      </c>
      <c r="O982" s="2" t="n">
        <f aca="false">INDEX(Summary!$K$2:$K$201,MATCH($B982,Summary!$A$2:$A$201,0))</f>
        <v>10.06</v>
      </c>
      <c r="P982" s="3" t="n">
        <f aca="false">INDEX(Summary!$L$2:$L$201,MATCH($B982,Summary!$A$2:$A$201,0))</f>
        <v>3</v>
      </c>
      <c r="Q982" s="3" t="n">
        <f aca="false">INDEX(Summary!$M$2:$M$201,MATCH($B982,Summary!$A$2:$A$201,0))</f>
        <v>3</v>
      </c>
      <c r="R982" s="2" t="n">
        <f aca="false">INDEX(Summary!$N$2:$N$201,MATCH($B982,Summary!$A$2:$A$201,0))</f>
        <v>9.98</v>
      </c>
      <c r="S982" s="3" t="n">
        <f aca="false">INDEX(Summary!$O$2:$O$201,MATCH($B982,Summary!$A$2:$A$201,0))</f>
        <v>8</v>
      </c>
      <c r="T982" s="3" t="n">
        <f aca="false">INDEX(Summary!$P$2:$P$201,MATCH($B982,Summary!$A$2:$A$201,0))</f>
        <v>1</v>
      </c>
      <c r="U982" s="2" t="n">
        <f aca="false">INDEX(Summary!$Q$2:$Q$201,MATCH($B982,Summary!$A$2:$A$201,0))</f>
        <v>14.79</v>
      </c>
      <c r="V982" s="2" t="n">
        <f aca="false">INDEX(Summary!$R$2:$R$201,MATCH($B982,Summary!$A$2:$A$201,0))</f>
        <v>28.99</v>
      </c>
      <c r="W982" s="0" t="str">
        <f aca="false">INDEX(Summary!$S$2:$S$201,MATCH($B982,Summary!$A$2:$A$201,0))</f>
        <v>Gold</v>
      </c>
      <c r="X982" s="2" t="n">
        <f aca="false">INDEX(Summary!$T$2:$T$201,MATCH($B982,Summary!$A$2:$A$201,0))</f>
        <v>70.71</v>
      </c>
      <c r="Y982" s="0" t="str">
        <f aca="false">INDEX('Reward Model'!$E$18:$E$37,MATCH($E982,'Reward Model'!$A$18:$A$37,0))</f>
        <v>Medium</v>
      </c>
      <c r="Z982" s="4" t="n">
        <f aca="false">ROUND(MIN(1,MAX('Reward Model'!$B$2,INDEX('Reward Model'!$C$12:$C$14,MATCH($K982,'Reward Model'!$A$12:$A$14,0))/$J982)),3)</f>
        <v>0.789</v>
      </c>
      <c r="AA982" s="2" t="n">
        <f aca="false">IF($I982="Correct",ROUND(INDEX('Reward Model'!$B$12:$B$14,MATCH($K982,'Reward Model'!$A$12:$A$14,0))*Z982,2),0)</f>
        <v>0.79</v>
      </c>
      <c r="AB982" s="2" t="n">
        <f aca="false">IF($I982="Correct",ROUND(INDEX('Reward Model'!$B$12:$B$14,MATCH($Y982,'Reward Model'!$A$12:$A$14,0))*Z982,2),0)</f>
        <v>1.58</v>
      </c>
    </row>
    <row r="983" customFormat="false" ht="15" hidden="false" customHeight="false" outlineLevel="0" collapsed="false">
      <c r="A983" s="0" t="s">
        <v>227</v>
      </c>
      <c r="B983" s="0" t="s">
        <v>228</v>
      </c>
      <c r="C983" s="0" t="s">
        <v>30</v>
      </c>
      <c r="D983" s="0" t="s">
        <v>189</v>
      </c>
      <c r="E983" s="0" t="n">
        <v>2</v>
      </c>
      <c r="F983" s="0" t="s">
        <v>36</v>
      </c>
      <c r="G983" s="0" t="s">
        <v>38</v>
      </c>
      <c r="H983" s="0" t="s">
        <v>38</v>
      </c>
      <c r="I983" s="0" t="s">
        <v>34</v>
      </c>
      <c r="J983" s="0" t="n">
        <v>1.92</v>
      </c>
      <c r="K983" s="0" t="s">
        <v>35</v>
      </c>
      <c r="L983" s="0" t="n">
        <f aca="false">INDEX(Summary!$F$2:$F$201,MATCH($B983,Summary!$A$2:$A$201,0))</f>
        <v>20</v>
      </c>
      <c r="M983" s="0" t="n">
        <f aca="false">INDEX(Summary!$I$2:$I$201,MATCH($B983,Summary!$A$2:$A$201,0))</f>
        <v>4</v>
      </c>
      <c r="N983" s="0" t="n">
        <f aca="false">INDEX(Summary!$J$2:$J$201,MATCH($B983,Summary!$A$2:$A$201,0))</f>
        <v>1</v>
      </c>
      <c r="O983" s="2" t="n">
        <f aca="false">INDEX(Summary!$K$2:$K$201,MATCH($B983,Summary!$A$2:$A$201,0))</f>
        <v>10.06</v>
      </c>
      <c r="P983" s="3" t="n">
        <f aca="false">INDEX(Summary!$L$2:$L$201,MATCH($B983,Summary!$A$2:$A$201,0))</f>
        <v>3</v>
      </c>
      <c r="Q983" s="3" t="n">
        <f aca="false">INDEX(Summary!$M$2:$M$201,MATCH($B983,Summary!$A$2:$A$201,0))</f>
        <v>3</v>
      </c>
      <c r="R983" s="2" t="n">
        <f aca="false">INDEX(Summary!$N$2:$N$201,MATCH($B983,Summary!$A$2:$A$201,0))</f>
        <v>9.98</v>
      </c>
      <c r="S983" s="3" t="n">
        <f aca="false">INDEX(Summary!$O$2:$O$201,MATCH($B983,Summary!$A$2:$A$201,0))</f>
        <v>8</v>
      </c>
      <c r="T983" s="3" t="n">
        <f aca="false">INDEX(Summary!$P$2:$P$201,MATCH($B983,Summary!$A$2:$A$201,0))</f>
        <v>1</v>
      </c>
      <c r="U983" s="2" t="n">
        <f aca="false">INDEX(Summary!$Q$2:$Q$201,MATCH($B983,Summary!$A$2:$A$201,0))</f>
        <v>14.79</v>
      </c>
      <c r="V983" s="2" t="n">
        <f aca="false">INDEX(Summary!$R$2:$R$201,MATCH($B983,Summary!$A$2:$A$201,0))</f>
        <v>28.99</v>
      </c>
      <c r="W983" s="0" t="str">
        <f aca="false">INDEX(Summary!$S$2:$S$201,MATCH($B983,Summary!$A$2:$A$201,0))</f>
        <v>Gold</v>
      </c>
      <c r="X983" s="2" t="n">
        <f aca="false">INDEX(Summary!$T$2:$T$201,MATCH($B983,Summary!$A$2:$A$201,0))</f>
        <v>70.71</v>
      </c>
      <c r="Y983" s="0" t="str">
        <f aca="false">INDEX('Reward Model'!$E$18:$E$37,MATCH($E983,'Reward Model'!$A$18:$A$37,0))</f>
        <v>Low</v>
      </c>
      <c r="Z983" s="4" t="n">
        <f aca="false">ROUND(MIN(1,MAX('Reward Model'!$B$2,INDEX('Reward Model'!$C$12:$C$14,MATCH($K983,'Reward Model'!$A$12:$A$14,0))/$J983)),3)</f>
        <v>0.781</v>
      </c>
      <c r="AA983" s="2" t="n">
        <f aca="false">IF($I983="Correct",ROUND(INDEX('Reward Model'!$B$12:$B$14,MATCH($K983,'Reward Model'!$A$12:$A$14,0))*Z983,2),0)</f>
        <v>0.78</v>
      </c>
      <c r="AB983" s="2" t="n">
        <f aca="false">IF($I983="Correct",ROUND(INDEX('Reward Model'!$B$12:$B$14,MATCH($Y983,'Reward Model'!$A$12:$A$14,0))*Z983,2),0)</f>
        <v>0.78</v>
      </c>
    </row>
    <row r="984" customFormat="false" ht="15" hidden="false" customHeight="false" outlineLevel="0" collapsed="false">
      <c r="A984" s="0" t="s">
        <v>227</v>
      </c>
      <c r="B984" s="0" t="s">
        <v>228</v>
      </c>
      <c r="C984" s="0" t="s">
        <v>30</v>
      </c>
      <c r="D984" s="0" t="s">
        <v>189</v>
      </c>
      <c r="E984" s="0" t="n">
        <v>3</v>
      </c>
      <c r="F984" s="0" t="s">
        <v>40</v>
      </c>
      <c r="G984" s="0" t="s">
        <v>42</v>
      </c>
      <c r="H984" s="0" t="s">
        <v>42</v>
      </c>
      <c r="I984" s="0" t="s">
        <v>34</v>
      </c>
      <c r="J984" s="0" t="n">
        <v>1.55</v>
      </c>
      <c r="K984" s="0" t="s">
        <v>35</v>
      </c>
      <c r="L984" s="0" t="n">
        <f aca="false">INDEX(Summary!$F$2:$F$201,MATCH($B984,Summary!$A$2:$A$201,0))</f>
        <v>20</v>
      </c>
      <c r="M984" s="0" t="n">
        <f aca="false">INDEX(Summary!$I$2:$I$201,MATCH($B984,Summary!$A$2:$A$201,0))</f>
        <v>4</v>
      </c>
      <c r="N984" s="0" t="n">
        <f aca="false">INDEX(Summary!$J$2:$J$201,MATCH($B984,Summary!$A$2:$A$201,0))</f>
        <v>1</v>
      </c>
      <c r="O984" s="2" t="n">
        <f aca="false">INDEX(Summary!$K$2:$K$201,MATCH($B984,Summary!$A$2:$A$201,0))</f>
        <v>10.06</v>
      </c>
      <c r="P984" s="3" t="n">
        <f aca="false">INDEX(Summary!$L$2:$L$201,MATCH($B984,Summary!$A$2:$A$201,0))</f>
        <v>3</v>
      </c>
      <c r="Q984" s="3" t="n">
        <f aca="false">INDEX(Summary!$M$2:$M$201,MATCH($B984,Summary!$A$2:$A$201,0))</f>
        <v>3</v>
      </c>
      <c r="R984" s="2" t="n">
        <f aca="false">INDEX(Summary!$N$2:$N$201,MATCH($B984,Summary!$A$2:$A$201,0))</f>
        <v>9.98</v>
      </c>
      <c r="S984" s="3" t="n">
        <f aca="false">INDEX(Summary!$O$2:$O$201,MATCH($B984,Summary!$A$2:$A$201,0))</f>
        <v>8</v>
      </c>
      <c r="T984" s="3" t="n">
        <f aca="false">INDEX(Summary!$P$2:$P$201,MATCH($B984,Summary!$A$2:$A$201,0))</f>
        <v>1</v>
      </c>
      <c r="U984" s="2" t="n">
        <f aca="false">INDEX(Summary!$Q$2:$Q$201,MATCH($B984,Summary!$A$2:$A$201,0))</f>
        <v>14.79</v>
      </c>
      <c r="V984" s="2" t="n">
        <f aca="false">INDEX(Summary!$R$2:$R$201,MATCH($B984,Summary!$A$2:$A$201,0))</f>
        <v>28.99</v>
      </c>
      <c r="W984" s="0" t="str">
        <f aca="false">INDEX(Summary!$S$2:$S$201,MATCH($B984,Summary!$A$2:$A$201,0))</f>
        <v>Gold</v>
      </c>
      <c r="X984" s="2" t="n">
        <f aca="false">INDEX(Summary!$T$2:$T$201,MATCH($B984,Summary!$A$2:$A$201,0))</f>
        <v>70.71</v>
      </c>
      <c r="Y984" s="0" t="str">
        <f aca="false">INDEX('Reward Model'!$E$18:$E$37,MATCH($E984,'Reward Model'!$A$18:$A$37,0))</f>
        <v>Medium</v>
      </c>
      <c r="Z984" s="4" t="n">
        <f aca="false">ROUND(MIN(1,MAX('Reward Model'!$B$2,INDEX('Reward Model'!$C$12:$C$14,MATCH($K984,'Reward Model'!$A$12:$A$14,0))/$J984)),3)</f>
        <v>0.968</v>
      </c>
      <c r="AA984" s="2" t="n">
        <f aca="false">IF($I984="Correct",ROUND(INDEX('Reward Model'!$B$12:$B$14,MATCH($K984,'Reward Model'!$A$12:$A$14,0))*Z984,2),0)</f>
        <v>0.97</v>
      </c>
      <c r="AB984" s="2" t="n">
        <f aca="false">IF($I984="Correct",ROUND(INDEX('Reward Model'!$B$12:$B$14,MATCH($Y984,'Reward Model'!$A$12:$A$14,0))*Z984,2),0)</f>
        <v>1.94</v>
      </c>
    </row>
    <row r="985" customFormat="false" ht="15" hidden="false" customHeight="false" outlineLevel="0" collapsed="false">
      <c r="A985" s="0" t="s">
        <v>227</v>
      </c>
      <c r="B985" s="0" t="s">
        <v>228</v>
      </c>
      <c r="C985" s="0" t="s">
        <v>30</v>
      </c>
      <c r="D985" s="0" t="s">
        <v>189</v>
      </c>
      <c r="E985" s="0" t="n">
        <v>4</v>
      </c>
      <c r="F985" s="0" t="s">
        <v>43</v>
      </c>
      <c r="G985" s="0" t="s">
        <v>45</v>
      </c>
      <c r="H985" s="0" t="s">
        <v>45</v>
      </c>
      <c r="I985" s="0" t="s">
        <v>34</v>
      </c>
      <c r="J985" s="0" t="n">
        <v>1.93</v>
      </c>
      <c r="K985" s="0" t="s">
        <v>35</v>
      </c>
      <c r="L985" s="0" t="n">
        <f aca="false">INDEX(Summary!$F$2:$F$201,MATCH($B985,Summary!$A$2:$A$201,0))</f>
        <v>20</v>
      </c>
      <c r="M985" s="0" t="n">
        <f aca="false">INDEX(Summary!$I$2:$I$201,MATCH($B985,Summary!$A$2:$A$201,0))</f>
        <v>4</v>
      </c>
      <c r="N985" s="0" t="n">
        <f aca="false">INDEX(Summary!$J$2:$J$201,MATCH($B985,Summary!$A$2:$A$201,0))</f>
        <v>1</v>
      </c>
      <c r="O985" s="2" t="n">
        <f aca="false">INDEX(Summary!$K$2:$K$201,MATCH($B985,Summary!$A$2:$A$201,0))</f>
        <v>10.06</v>
      </c>
      <c r="P985" s="3" t="n">
        <f aca="false">INDEX(Summary!$L$2:$L$201,MATCH($B985,Summary!$A$2:$A$201,0))</f>
        <v>3</v>
      </c>
      <c r="Q985" s="3" t="n">
        <f aca="false">INDEX(Summary!$M$2:$M$201,MATCH($B985,Summary!$A$2:$A$201,0))</f>
        <v>3</v>
      </c>
      <c r="R985" s="2" t="n">
        <f aca="false">INDEX(Summary!$N$2:$N$201,MATCH($B985,Summary!$A$2:$A$201,0))</f>
        <v>9.98</v>
      </c>
      <c r="S985" s="3" t="n">
        <f aca="false">INDEX(Summary!$O$2:$O$201,MATCH($B985,Summary!$A$2:$A$201,0))</f>
        <v>8</v>
      </c>
      <c r="T985" s="3" t="n">
        <f aca="false">INDEX(Summary!$P$2:$P$201,MATCH($B985,Summary!$A$2:$A$201,0))</f>
        <v>1</v>
      </c>
      <c r="U985" s="2" t="n">
        <f aca="false">INDEX(Summary!$Q$2:$Q$201,MATCH($B985,Summary!$A$2:$A$201,0))</f>
        <v>14.79</v>
      </c>
      <c r="V985" s="2" t="n">
        <f aca="false">INDEX(Summary!$R$2:$R$201,MATCH($B985,Summary!$A$2:$A$201,0))</f>
        <v>28.99</v>
      </c>
      <c r="W985" s="0" t="str">
        <f aca="false">INDEX(Summary!$S$2:$S$201,MATCH($B985,Summary!$A$2:$A$201,0))</f>
        <v>Gold</v>
      </c>
      <c r="X985" s="2" t="n">
        <f aca="false">INDEX(Summary!$T$2:$T$201,MATCH($B985,Summary!$A$2:$A$201,0))</f>
        <v>70.71</v>
      </c>
      <c r="Y985" s="0" t="str">
        <f aca="false">INDEX('Reward Model'!$E$18:$E$37,MATCH($E985,'Reward Model'!$A$18:$A$37,0))</f>
        <v>Low</v>
      </c>
      <c r="Z985" s="4" t="n">
        <f aca="false">ROUND(MIN(1,MAX('Reward Model'!$B$2,INDEX('Reward Model'!$C$12:$C$14,MATCH($K985,'Reward Model'!$A$12:$A$14,0))/$J985)),3)</f>
        <v>0.777</v>
      </c>
      <c r="AA985" s="2" t="n">
        <f aca="false">IF($I985="Correct",ROUND(INDEX('Reward Model'!$B$12:$B$14,MATCH($K985,'Reward Model'!$A$12:$A$14,0))*Z985,2),0)</f>
        <v>0.78</v>
      </c>
      <c r="AB985" s="2" t="n">
        <f aca="false">IF($I985="Correct",ROUND(INDEX('Reward Model'!$B$12:$B$14,MATCH($Y985,'Reward Model'!$A$12:$A$14,0))*Z985,2),0)</f>
        <v>0.78</v>
      </c>
    </row>
    <row r="986" customFormat="false" ht="15" hidden="false" customHeight="false" outlineLevel="0" collapsed="false">
      <c r="A986" s="0" t="s">
        <v>227</v>
      </c>
      <c r="B986" s="0" t="s">
        <v>228</v>
      </c>
      <c r="C986" s="0" t="s">
        <v>30</v>
      </c>
      <c r="D986" s="0" t="s">
        <v>189</v>
      </c>
      <c r="E986" s="0" t="n">
        <v>5</v>
      </c>
      <c r="F986" s="0" t="s">
        <v>46</v>
      </c>
      <c r="G986" s="0" t="s">
        <v>47</v>
      </c>
      <c r="H986" s="0" t="s">
        <v>47</v>
      </c>
      <c r="I986" s="0" t="s">
        <v>34</v>
      </c>
      <c r="J986" s="0" t="n">
        <v>1.16</v>
      </c>
      <c r="K986" s="0" t="s">
        <v>35</v>
      </c>
      <c r="L986" s="0" t="n">
        <f aca="false">INDEX(Summary!$F$2:$F$201,MATCH($B986,Summary!$A$2:$A$201,0))</f>
        <v>20</v>
      </c>
      <c r="M986" s="0" t="n">
        <f aca="false">INDEX(Summary!$I$2:$I$201,MATCH($B986,Summary!$A$2:$A$201,0))</f>
        <v>4</v>
      </c>
      <c r="N986" s="0" t="n">
        <f aca="false">INDEX(Summary!$J$2:$J$201,MATCH($B986,Summary!$A$2:$A$201,0))</f>
        <v>1</v>
      </c>
      <c r="O986" s="2" t="n">
        <f aca="false">INDEX(Summary!$K$2:$K$201,MATCH($B986,Summary!$A$2:$A$201,0))</f>
        <v>10.06</v>
      </c>
      <c r="P986" s="3" t="n">
        <f aca="false">INDEX(Summary!$L$2:$L$201,MATCH($B986,Summary!$A$2:$A$201,0))</f>
        <v>3</v>
      </c>
      <c r="Q986" s="3" t="n">
        <f aca="false">INDEX(Summary!$M$2:$M$201,MATCH($B986,Summary!$A$2:$A$201,0))</f>
        <v>3</v>
      </c>
      <c r="R986" s="2" t="n">
        <f aca="false">INDEX(Summary!$N$2:$N$201,MATCH($B986,Summary!$A$2:$A$201,0))</f>
        <v>9.98</v>
      </c>
      <c r="S986" s="3" t="n">
        <f aca="false">INDEX(Summary!$O$2:$O$201,MATCH($B986,Summary!$A$2:$A$201,0))</f>
        <v>8</v>
      </c>
      <c r="T986" s="3" t="n">
        <f aca="false">INDEX(Summary!$P$2:$P$201,MATCH($B986,Summary!$A$2:$A$201,0))</f>
        <v>1</v>
      </c>
      <c r="U986" s="2" t="n">
        <f aca="false">INDEX(Summary!$Q$2:$Q$201,MATCH($B986,Summary!$A$2:$A$201,0))</f>
        <v>14.79</v>
      </c>
      <c r="V986" s="2" t="n">
        <f aca="false">INDEX(Summary!$R$2:$R$201,MATCH($B986,Summary!$A$2:$A$201,0))</f>
        <v>28.99</v>
      </c>
      <c r="W986" s="0" t="str">
        <f aca="false">INDEX(Summary!$S$2:$S$201,MATCH($B986,Summary!$A$2:$A$201,0))</f>
        <v>Gold</v>
      </c>
      <c r="X986" s="2" t="n">
        <f aca="false">INDEX(Summary!$T$2:$T$201,MATCH($B986,Summary!$A$2:$A$201,0))</f>
        <v>70.71</v>
      </c>
      <c r="Y986" s="0" t="str">
        <f aca="false">INDEX('Reward Model'!$E$18:$E$37,MATCH($E986,'Reward Model'!$A$18:$A$37,0))</f>
        <v>Low</v>
      </c>
      <c r="Z986" s="4" t="n">
        <f aca="false">ROUND(MIN(1,MAX('Reward Model'!$B$2,INDEX('Reward Model'!$C$12:$C$14,MATCH($K986,'Reward Model'!$A$12:$A$14,0))/$J986)),3)</f>
        <v>1</v>
      </c>
      <c r="AA986" s="2" t="n">
        <f aca="false">IF($I986="Correct",ROUND(INDEX('Reward Model'!$B$12:$B$14,MATCH($K986,'Reward Model'!$A$12:$A$14,0))*Z986,2),0)</f>
        <v>1</v>
      </c>
      <c r="AB986" s="2" t="n">
        <f aca="false">IF($I986="Correct",ROUND(INDEX('Reward Model'!$B$12:$B$14,MATCH($Y986,'Reward Model'!$A$12:$A$14,0))*Z986,2),0)</f>
        <v>1</v>
      </c>
    </row>
    <row r="987" customFormat="false" ht="15" hidden="false" customHeight="false" outlineLevel="0" collapsed="false">
      <c r="A987" s="0" t="s">
        <v>227</v>
      </c>
      <c r="B987" s="0" t="s">
        <v>228</v>
      </c>
      <c r="C987" s="0" t="s">
        <v>30</v>
      </c>
      <c r="D987" s="0" t="s">
        <v>189</v>
      </c>
      <c r="E987" s="0" t="n">
        <v>6</v>
      </c>
      <c r="F987" s="0" t="s">
        <v>48</v>
      </c>
      <c r="G987" s="0" t="s">
        <v>49</v>
      </c>
      <c r="H987" s="0" t="s">
        <v>49</v>
      </c>
      <c r="I987" s="0" t="s">
        <v>34</v>
      </c>
      <c r="J987" s="0" t="n">
        <v>1.37</v>
      </c>
      <c r="K987" s="0" t="s">
        <v>35</v>
      </c>
      <c r="L987" s="0" t="n">
        <f aca="false">INDEX(Summary!$F$2:$F$201,MATCH($B987,Summary!$A$2:$A$201,0))</f>
        <v>20</v>
      </c>
      <c r="M987" s="0" t="n">
        <f aca="false">INDEX(Summary!$I$2:$I$201,MATCH($B987,Summary!$A$2:$A$201,0))</f>
        <v>4</v>
      </c>
      <c r="N987" s="0" t="n">
        <f aca="false">INDEX(Summary!$J$2:$J$201,MATCH($B987,Summary!$A$2:$A$201,0))</f>
        <v>1</v>
      </c>
      <c r="O987" s="2" t="n">
        <f aca="false">INDEX(Summary!$K$2:$K$201,MATCH($B987,Summary!$A$2:$A$201,0))</f>
        <v>10.06</v>
      </c>
      <c r="P987" s="3" t="n">
        <f aca="false">INDEX(Summary!$L$2:$L$201,MATCH($B987,Summary!$A$2:$A$201,0))</f>
        <v>3</v>
      </c>
      <c r="Q987" s="3" t="n">
        <f aca="false">INDEX(Summary!$M$2:$M$201,MATCH($B987,Summary!$A$2:$A$201,0))</f>
        <v>3</v>
      </c>
      <c r="R987" s="2" t="n">
        <f aca="false">INDEX(Summary!$N$2:$N$201,MATCH($B987,Summary!$A$2:$A$201,0))</f>
        <v>9.98</v>
      </c>
      <c r="S987" s="3" t="n">
        <f aca="false">INDEX(Summary!$O$2:$O$201,MATCH($B987,Summary!$A$2:$A$201,0))</f>
        <v>8</v>
      </c>
      <c r="T987" s="3" t="n">
        <f aca="false">INDEX(Summary!$P$2:$P$201,MATCH($B987,Summary!$A$2:$A$201,0))</f>
        <v>1</v>
      </c>
      <c r="U987" s="2" t="n">
        <f aca="false">INDEX(Summary!$Q$2:$Q$201,MATCH($B987,Summary!$A$2:$A$201,0))</f>
        <v>14.79</v>
      </c>
      <c r="V987" s="2" t="n">
        <f aca="false">INDEX(Summary!$R$2:$R$201,MATCH($B987,Summary!$A$2:$A$201,0))</f>
        <v>28.99</v>
      </c>
      <c r="W987" s="0" t="str">
        <f aca="false">INDEX(Summary!$S$2:$S$201,MATCH($B987,Summary!$A$2:$A$201,0))</f>
        <v>Gold</v>
      </c>
      <c r="X987" s="2" t="n">
        <f aca="false">INDEX(Summary!$T$2:$T$201,MATCH($B987,Summary!$A$2:$A$201,0))</f>
        <v>70.71</v>
      </c>
      <c r="Y987" s="0" t="str">
        <f aca="false">INDEX('Reward Model'!$E$18:$E$37,MATCH($E987,'Reward Model'!$A$18:$A$37,0))</f>
        <v>Medium</v>
      </c>
      <c r="Z987" s="4" t="n">
        <f aca="false">ROUND(MIN(1,MAX('Reward Model'!$B$2,INDEX('Reward Model'!$C$12:$C$14,MATCH($K987,'Reward Model'!$A$12:$A$14,0))/$J987)),3)</f>
        <v>1</v>
      </c>
      <c r="AA987" s="2" t="n">
        <f aca="false">IF($I987="Correct",ROUND(INDEX('Reward Model'!$B$12:$B$14,MATCH($K987,'Reward Model'!$A$12:$A$14,0))*Z987,2),0)</f>
        <v>1</v>
      </c>
      <c r="AB987" s="2" t="n">
        <f aca="false">IF($I987="Correct",ROUND(INDEX('Reward Model'!$B$12:$B$14,MATCH($Y987,'Reward Model'!$A$12:$A$14,0))*Z987,2),0)</f>
        <v>2</v>
      </c>
    </row>
    <row r="988" customFormat="false" ht="15" hidden="false" customHeight="false" outlineLevel="0" collapsed="false">
      <c r="A988" s="0" t="s">
        <v>227</v>
      </c>
      <c r="B988" s="0" t="s">
        <v>228</v>
      </c>
      <c r="C988" s="0" t="s">
        <v>30</v>
      </c>
      <c r="D988" s="0" t="s">
        <v>189</v>
      </c>
      <c r="E988" s="0" t="n">
        <v>7</v>
      </c>
      <c r="F988" s="0" t="s">
        <v>50</v>
      </c>
      <c r="G988" s="0" t="s">
        <v>92</v>
      </c>
      <c r="H988" s="0" t="s">
        <v>51</v>
      </c>
      <c r="I988" s="0" t="s">
        <v>39</v>
      </c>
      <c r="J988" s="0" t="n">
        <v>1.63</v>
      </c>
      <c r="K988" s="0" t="s">
        <v>35</v>
      </c>
      <c r="L988" s="0" t="n">
        <f aca="false">INDEX(Summary!$F$2:$F$201,MATCH($B988,Summary!$A$2:$A$201,0))</f>
        <v>20</v>
      </c>
      <c r="M988" s="0" t="n">
        <f aca="false">INDEX(Summary!$I$2:$I$201,MATCH($B988,Summary!$A$2:$A$201,0))</f>
        <v>4</v>
      </c>
      <c r="N988" s="0" t="n">
        <f aca="false">INDEX(Summary!$J$2:$J$201,MATCH($B988,Summary!$A$2:$A$201,0))</f>
        <v>1</v>
      </c>
      <c r="O988" s="2" t="n">
        <f aca="false">INDEX(Summary!$K$2:$K$201,MATCH($B988,Summary!$A$2:$A$201,0))</f>
        <v>10.06</v>
      </c>
      <c r="P988" s="3" t="n">
        <f aca="false">INDEX(Summary!$L$2:$L$201,MATCH($B988,Summary!$A$2:$A$201,0))</f>
        <v>3</v>
      </c>
      <c r="Q988" s="3" t="n">
        <f aca="false">INDEX(Summary!$M$2:$M$201,MATCH($B988,Summary!$A$2:$A$201,0))</f>
        <v>3</v>
      </c>
      <c r="R988" s="2" t="n">
        <f aca="false">INDEX(Summary!$N$2:$N$201,MATCH($B988,Summary!$A$2:$A$201,0))</f>
        <v>9.98</v>
      </c>
      <c r="S988" s="3" t="n">
        <f aca="false">INDEX(Summary!$O$2:$O$201,MATCH($B988,Summary!$A$2:$A$201,0))</f>
        <v>8</v>
      </c>
      <c r="T988" s="3" t="n">
        <f aca="false">INDEX(Summary!$P$2:$P$201,MATCH($B988,Summary!$A$2:$A$201,0))</f>
        <v>1</v>
      </c>
      <c r="U988" s="2" t="n">
        <f aca="false">INDEX(Summary!$Q$2:$Q$201,MATCH($B988,Summary!$A$2:$A$201,0))</f>
        <v>14.79</v>
      </c>
      <c r="V988" s="2" t="n">
        <f aca="false">INDEX(Summary!$R$2:$R$201,MATCH($B988,Summary!$A$2:$A$201,0))</f>
        <v>28.99</v>
      </c>
      <c r="W988" s="0" t="str">
        <f aca="false">INDEX(Summary!$S$2:$S$201,MATCH($B988,Summary!$A$2:$A$201,0))</f>
        <v>Gold</v>
      </c>
      <c r="X988" s="2" t="n">
        <f aca="false">INDEX(Summary!$T$2:$T$201,MATCH($B988,Summary!$A$2:$A$201,0))</f>
        <v>70.71</v>
      </c>
      <c r="Y988" s="0" t="str">
        <f aca="false">INDEX('Reward Model'!$E$18:$E$37,MATCH($E988,'Reward Model'!$A$18:$A$37,0))</f>
        <v>Low</v>
      </c>
      <c r="Z988" s="4" t="n">
        <f aca="false">ROUND(MIN(1,MAX('Reward Model'!$B$2,INDEX('Reward Model'!$C$12:$C$14,MATCH($K988,'Reward Model'!$A$12:$A$14,0))/$J988)),3)</f>
        <v>0.92</v>
      </c>
      <c r="AA988" s="2" t="n">
        <f aca="false">IF($I988="Correct",ROUND(INDEX('Reward Model'!$B$12:$B$14,MATCH($K988,'Reward Model'!$A$12:$A$14,0))*Z988,2),0)</f>
        <v>0</v>
      </c>
      <c r="AB988" s="2" t="n">
        <f aca="false">IF($I988="Correct",ROUND(INDEX('Reward Model'!$B$12:$B$14,MATCH($Y988,'Reward Model'!$A$12:$A$14,0))*Z988,2),0)</f>
        <v>0</v>
      </c>
    </row>
    <row r="989" customFormat="false" ht="15" hidden="false" customHeight="false" outlineLevel="0" collapsed="false">
      <c r="A989" s="0" t="s">
        <v>227</v>
      </c>
      <c r="B989" s="0" t="s">
        <v>228</v>
      </c>
      <c r="C989" s="0" t="s">
        <v>30</v>
      </c>
      <c r="D989" s="0" t="s">
        <v>189</v>
      </c>
      <c r="E989" s="0" t="n">
        <v>8</v>
      </c>
      <c r="F989" s="0" t="s">
        <v>52</v>
      </c>
      <c r="G989" s="0" t="s">
        <v>54</v>
      </c>
      <c r="H989" s="0" t="s">
        <v>54</v>
      </c>
      <c r="I989" s="0" t="s">
        <v>34</v>
      </c>
      <c r="J989" s="0" t="n">
        <v>1.92</v>
      </c>
      <c r="K989" s="0" t="s">
        <v>35</v>
      </c>
      <c r="L989" s="0" t="n">
        <f aca="false">INDEX(Summary!$F$2:$F$201,MATCH($B989,Summary!$A$2:$A$201,0))</f>
        <v>20</v>
      </c>
      <c r="M989" s="0" t="n">
        <f aca="false">INDEX(Summary!$I$2:$I$201,MATCH($B989,Summary!$A$2:$A$201,0))</f>
        <v>4</v>
      </c>
      <c r="N989" s="0" t="n">
        <f aca="false">INDEX(Summary!$J$2:$J$201,MATCH($B989,Summary!$A$2:$A$201,0))</f>
        <v>1</v>
      </c>
      <c r="O989" s="2" t="n">
        <f aca="false">INDEX(Summary!$K$2:$K$201,MATCH($B989,Summary!$A$2:$A$201,0))</f>
        <v>10.06</v>
      </c>
      <c r="P989" s="3" t="n">
        <f aca="false">INDEX(Summary!$L$2:$L$201,MATCH($B989,Summary!$A$2:$A$201,0))</f>
        <v>3</v>
      </c>
      <c r="Q989" s="3" t="n">
        <f aca="false">INDEX(Summary!$M$2:$M$201,MATCH($B989,Summary!$A$2:$A$201,0))</f>
        <v>3</v>
      </c>
      <c r="R989" s="2" t="n">
        <f aca="false">INDEX(Summary!$N$2:$N$201,MATCH($B989,Summary!$A$2:$A$201,0))</f>
        <v>9.98</v>
      </c>
      <c r="S989" s="3" t="n">
        <f aca="false">INDEX(Summary!$O$2:$O$201,MATCH($B989,Summary!$A$2:$A$201,0))</f>
        <v>8</v>
      </c>
      <c r="T989" s="3" t="n">
        <f aca="false">INDEX(Summary!$P$2:$P$201,MATCH($B989,Summary!$A$2:$A$201,0))</f>
        <v>1</v>
      </c>
      <c r="U989" s="2" t="n">
        <f aca="false">INDEX(Summary!$Q$2:$Q$201,MATCH($B989,Summary!$A$2:$A$201,0))</f>
        <v>14.79</v>
      </c>
      <c r="V989" s="2" t="n">
        <f aca="false">INDEX(Summary!$R$2:$R$201,MATCH($B989,Summary!$A$2:$A$201,0))</f>
        <v>28.99</v>
      </c>
      <c r="W989" s="0" t="str">
        <f aca="false">INDEX(Summary!$S$2:$S$201,MATCH($B989,Summary!$A$2:$A$201,0))</f>
        <v>Gold</v>
      </c>
      <c r="X989" s="2" t="n">
        <f aca="false">INDEX(Summary!$T$2:$T$201,MATCH($B989,Summary!$A$2:$A$201,0))</f>
        <v>70.71</v>
      </c>
      <c r="Y989" s="0" t="str">
        <f aca="false">INDEX('Reward Model'!$E$18:$E$37,MATCH($E989,'Reward Model'!$A$18:$A$37,0))</f>
        <v>Medium</v>
      </c>
      <c r="Z989" s="4" t="n">
        <f aca="false">ROUND(MIN(1,MAX('Reward Model'!$B$2,INDEX('Reward Model'!$C$12:$C$14,MATCH($K989,'Reward Model'!$A$12:$A$14,0))/$J989)),3)</f>
        <v>0.781</v>
      </c>
      <c r="AA989" s="2" t="n">
        <f aca="false">IF($I989="Correct",ROUND(INDEX('Reward Model'!$B$12:$B$14,MATCH($K989,'Reward Model'!$A$12:$A$14,0))*Z989,2),0)</f>
        <v>0.78</v>
      </c>
      <c r="AB989" s="2" t="n">
        <f aca="false">IF($I989="Correct",ROUND(INDEX('Reward Model'!$B$12:$B$14,MATCH($Y989,'Reward Model'!$A$12:$A$14,0))*Z989,2),0)</f>
        <v>1.56</v>
      </c>
    </row>
    <row r="990" customFormat="false" ht="15" hidden="false" customHeight="false" outlineLevel="0" collapsed="false">
      <c r="A990" s="0" t="s">
        <v>227</v>
      </c>
      <c r="B990" s="0" t="s">
        <v>228</v>
      </c>
      <c r="C990" s="0" t="s">
        <v>30</v>
      </c>
      <c r="D990" s="0" t="s">
        <v>189</v>
      </c>
      <c r="E990" s="0" t="n">
        <v>9</v>
      </c>
      <c r="F990" s="0" t="s">
        <v>55</v>
      </c>
      <c r="G990" s="0" t="s">
        <v>57</v>
      </c>
      <c r="H990" s="0" t="s">
        <v>57</v>
      </c>
      <c r="I990" s="0" t="s">
        <v>34</v>
      </c>
      <c r="J990" s="0" t="n">
        <v>1.41</v>
      </c>
      <c r="K990" s="0" t="s">
        <v>35</v>
      </c>
      <c r="L990" s="0" t="n">
        <f aca="false">INDEX(Summary!$F$2:$F$201,MATCH($B990,Summary!$A$2:$A$201,0))</f>
        <v>20</v>
      </c>
      <c r="M990" s="0" t="n">
        <f aca="false">INDEX(Summary!$I$2:$I$201,MATCH($B990,Summary!$A$2:$A$201,0))</f>
        <v>4</v>
      </c>
      <c r="N990" s="0" t="n">
        <f aca="false">INDEX(Summary!$J$2:$J$201,MATCH($B990,Summary!$A$2:$A$201,0))</f>
        <v>1</v>
      </c>
      <c r="O990" s="2" t="n">
        <f aca="false">INDEX(Summary!$K$2:$K$201,MATCH($B990,Summary!$A$2:$A$201,0))</f>
        <v>10.06</v>
      </c>
      <c r="P990" s="3" t="n">
        <f aca="false">INDEX(Summary!$L$2:$L$201,MATCH($B990,Summary!$A$2:$A$201,0))</f>
        <v>3</v>
      </c>
      <c r="Q990" s="3" t="n">
        <f aca="false">INDEX(Summary!$M$2:$M$201,MATCH($B990,Summary!$A$2:$A$201,0))</f>
        <v>3</v>
      </c>
      <c r="R990" s="2" t="n">
        <f aca="false">INDEX(Summary!$N$2:$N$201,MATCH($B990,Summary!$A$2:$A$201,0))</f>
        <v>9.98</v>
      </c>
      <c r="S990" s="3" t="n">
        <f aca="false">INDEX(Summary!$O$2:$O$201,MATCH($B990,Summary!$A$2:$A$201,0))</f>
        <v>8</v>
      </c>
      <c r="T990" s="3" t="n">
        <f aca="false">INDEX(Summary!$P$2:$P$201,MATCH($B990,Summary!$A$2:$A$201,0))</f>
        <v>1</v>
      </c>
      <c r="U990" s="2" t="n">
        <f aca="false">INDEX(Summary!$Q$2:$Q$201,MATCH($B990,Summary!$A$2:$A$201,0))</f>
        <v>14.79</v>
      </c>
      <c r="V990" s="2" t="n">
        <f aca="false">INDEX(Summary!$R$2:$R$201,MATCH($B990,Summary!$A$2:$A$201,0))</f>
        <v>28.99</v>
      </c>
      <c r="W990" s="0" t="str">
        <f aca="false">INDEX(Summary!$S$2:$S$201,MATCH($B990,Summary!$A$2:$A$201,0))</f>
        <v>Gold</v>
      </c>
      <c r="X990" s="2" t="n">
        <f aca="false">INDEX(Summary!$T$2:$T$201,MATCH($B990,Summary!$A$2:$A$201,0))</f>
        <v>70.71</v>
      </c>
      <c r="Y990" s="0" t="str">
        <f aca="false">INDEX('Reward Model'!$E$18:$E$37,MATCH($E990,'Reward Model'!$A$18:$A$37,0))</f>
        <v>Medium</v>
      </c>
      <c r="Z990" s="4" t="n">
        <f aca="false">ROUND(MIN(1,MAX('Reward Model'!$B$2,INDEX('Reward Model'!$C$12:$C$14,MATCH($K990,'Reward Model'!$A$12:$A$14,0))/$J990)),3)</f>
        <v>1</v>
      </c>
      <c r="AA990" s="2" t="n">
        <f aca="false">IF($I990="Correct",ROUND(INDEX('Reward Model'!$B$12:$B$14,MATCH($K990,'Reward Model'!$A$12:$A$14,0))*Z990,2),0)</f>
        <v>1</v>
      </c>
      <c r="AB990" s="2" t="n">
        <f aca="false">IF($I990="Correct",ROUND(INDEX('Reward Model'!$B$12:$B$14,MATCH($Y990,'Reward Model'!$A$12:$A$14,0))*Z990,2),0)</f>
        <v>2</v>
      </c>
    </row>
    <row r="991" customFormat="false" ht="15" hidden="false" customHeight="false" outlineLevel="0" collapsed="false">
      <c r="A991" s="0" t="s">
        <v>227</v>
      </c>
      <c r="B991" s="0" t="s">
        <v>228</v>
      </c>
      <c r="C991" s="0" t="s">
        <v>30</v>
      </c>
      <c r="D991" s="0" t="s">
        <v>189</v>
      </c>
      <c r="E991" s="0" t="n">
        <v>10</v>
      </c>
      <c r="F991" s="0" t="s">
        <v>58</v>
      </c>
      <c r="G991" s="0" t="s">
        <v>59</v>
      </c>
      <c r="H991" s="0" t="s">
        <v>59</v>
      </c>
      <c r="I991" s="0" t="s">
        <v>34</v>
      </c>
      <c r="J991" s="0" t="n">
        <v>1.65</v>
      </c>
      <c r="K991" s="0" t="s">
        <v>60</v>
      </c>
      <c r="L991" s="0" t="n">
        <f aca="false">INDEX(Summary!$F$2:$F$201,MATCH($B991,Summary!$A$2:$A$201,0))</f>
        <v>20</v>
      </c>
      <c r="M991" s="0" t="n">
        <f aca="false">INDEX(Summary!$I$2:$I$201,MATCH($B991,Summary!$A$2:$A$201,0))</f>
        <v>4</v>
      </c>
      <c r="N991" s="0" t="n">
        <f aca="false">INDEX(Summary!$J$2:$J$201,MATCH($B991,Summary!$A$2:$A$201,0))</f>
        <v>1</v>
      </c>
      <c r="O991" s="2" t="n">
        <f aca="false">INDEX(Summary!$K$2:$K$201,MATCH($B991,Summary!$A$2:$A$201,0))</f>
        <v>10.06</v>
      </c>
      <c r="P991" s="3" t="n">
        <f aca="false">INDEX(Summary!$L$2:$L$201,MATCH($B991,Summary!$A$2:$A$201,0))</f>
        <v>3</v>
      </c>
      <c r="Q991" s="3" t="n">
        <f aca="false">INDEX(Summary!$M$2:$M$201,MATCH($B991,Summary!$A$2:$A$201,0))</f>
        <v>3</v>
      </c>
      <c r="R991" s="2" t="n">
        <f aca="false">INDEX(Summary!$N$2:$N$201,MATCH($B991,Summary!$A$2:$A$201,0))</f>
        <v>9.98</v>
      </c>
      <c r="S991" s="3" t="n">
        <f aca="false">INDEX(Summary!$O$2:$O$201,MATCH($B991,Summary!$A$2:$A$201,0))</f>
        <v>8</v>
      </c>
      <c r="T991" s="3" t="n">
        <f aca="false">INDEX(Summary!$P$2:$P$201,MATCH($B991,Summary!$A$2:$A$201,0))</f>
        <v>1</v>
      </c>
      <c r="U991" s="2" t="n">
        <f aca="false">INDEX(Summary!$Q$2:$Q$201,MATCH($B991,Summary!$A$2:$A$201,0))</f>
        <v>14.79</v>
      </c>
      <c r="V991" s="2" t="n">
        <f aca="false">INDEX(Summary!$R$2:$R$201,MATCH($B991,Summary!$A$2:$A$201,0))</f>
        <v>28.99</v>
      </c>
      <c r="W991" s="0" t="str">
        <f aca="false">INDEX(Summary!$S$2:$S$201,MATCH($B991,Summary!$A$2:$A$201,0))</f>
        <v>Gold</v>
      </c>
      <c r="X991" s="2" t="n">
        <f aca="false">INDEX(Summary!$T$2:$T$201,MATCH($B991,Summary!$A$2:$A$201,0))</f>
        <v>70.71</v>
      </c>
      <c r="Y991" s="0" t="str">
        <f aca="false">INDEX('Reward Model'!$E$18:$E$37,MATCH($E991,'Reward Model'!$A$18:$A$37,0))</f>
        <v>Medium</v>
      </c>
      <c r="Z991" s="4" t="n">
        <f aca="false">ROUND(MIN(1,MAX('Reward Model'!$B$2,INDEX('Reward Model'!$C$12:$C$14,MATCH($K991,'Reward Model'!$A$12:$A$14,0))/$J991)),3)</f>
        <v>1</v>
      </c>
      <c r="AA991" s="2" t="n">
        <f aca="false">IF($I991="Correct",ROUND(INDEX('Reward Model'!$B$12:$B$14,MATCH($K991,'Reward Model'!$A$12:$A$14,0))*Z991,2),0)</f>
        <v>2</v>
      </c>
      <c r="AB991" s="2" t="n">
        <f aca="false">IF($I991="Correct",ROUND(INDEX('Reward Model'!$B$12:$B$14,MATCH($Y991,'Reward Model'!$A$12:$A$14,0))*Z991,2),0)</f>
        <v>2</v>
      </c>
    </row>
    <row r="992" customFormat="false" ht="15" hidden="false" customHeight="false" outlineLevel="0" collapsed="false">
      <c r="A992" s="0" t="s">
        <v>227</v>
      </c>
      <c r="B992" s="0" t="s">
        <v>228</v>
      </c>
      <c r="C992" s="0" t="s">
        <v>30</v>
      </c>
      <c r="D992" s="0" t="s">
        <v>189</v>
      </c>
      <c r="E992" s="0" t="n">
        <v>11</v>
      </c>
      <c r="F992" s="0" t="s">
        <v>61</v>
      </c>
      <c r="G992" s="0" t="s">
        <v>150</v>
      </c>
      <c r="H992" s="0" t="s">
        <v>63</v>
      </c>
      <c r="I992" s="0" t="s">
        <v>39</v>
      </c>
      <c r="J992" s="0" t="n">
        <v>1.94</v>
      </c>
      <c r="K992" s="0" t="s">
        <v>60</v>
      </c>
      <c r="L992" s="0" t="n">
        <f aca="false">INDEX(Summary!$F$2:$F$201,MATCH($B992,Summary!$A$2:$A$201,0))</f>
        <v>20</v>
      </c>
      <c r="M992" s="0" t="n">
        <f aca="false">INDEX(Summary!$I$2:$I$201,MATCH($B992,Summary!$A$2:$A$201,0))</f>
        <v>4</v>
      </c>
      <c r="N992" s="0" t="n">
        <f aca="false">INDEX(Summary!$J$2:$J$201,MATCH($B992,Summary!$A$2:$A$201,0))</f>
        <v>1</v>
      </c>
      <c r="O992" s="2" t="n">
        <f aca="false">INDEX(Summary!$K$2:$K$201,MATCH($B992,Summary!$A$2:$A$201,0))</f>
        <v>10.06</v>
      </c>
      <c r="P992" s="3" t="n">
        <f aca="false">INDEX(Summary!$L$2:$L$201,MATCH($B992,Summary!$A$2:$A$201,0))</f>
        <v>3</v>
      </c>
      <c r="Q992" s="3" t="n">
        <f aca="false">INDEX(Summary!$M$2:$M$201,MATCH($B992,Summary!$A$2:$A$201,0))</f>
        <v>3</v>
      </c>
      <c r="R992" s="2" t="n">
        <f aca="false">INDEX(Summary!$N$2:$N$201,MATCH($B992,Summary!$A$2:$A$201,0))</f>
        <v>9.98</v>
      </c>
      <c r="S992" s="3" t="n">
        <f aca="false">INDEX(Summary!$O$2:$O$201,MATCH($B992,Summary!$A$2:$A$201,0))</f>
        <v>8</v>
      </c>
      <c r="T992" s="3" t="n">
        <f aca="false">INDEX(Summary!$P$2:$P$201,MATCH($B992,Summary!$A$2:$A$201,0))</f>
        <v>1</v>
      </c>
      <c r="U992" s="2" t="n">
        <f aca="false">INDEX(Summary!$Q$2:$Q$201,MATCH($B992,Summary!$A$2:$A$201,0))</f>
        <v>14.79</v>
      </c>
      <c r="V992" s="2" t="n">
        <f aca="false">INDEX(Summary!$R$2:$R$201,MATCH($B992,Summary!$A$2:$A$201,0))</f>
        <v>28.99</v>
      </c>
      <c r="W992" s="0" t="str">
        <f aca="false">INDEX(Summary!$S$2:$S$201,MATCH($B992,Summary!$A$2:$A$201,0))</f>
        <v>Gold</v>
      </c>
      <c r="X992" s="2" t="n">
        <f aca="false">INDEX(Summary!$T$2:$T$201,MATCH($B992,Summary!$A$2:$A$201,0))</f>
        <v>70.71</v>
      </c>
      <c r="Y992" s="0" t="str">
        <f aca="false">INDEX('Reward Model'!$E$18:$E$37,MATCH($E992,'Reward Model'!$A$18:$A$37,0))</f>
        <v>Medium</v>
      </c>
      <c r="Z992" s="4" t="n">
        <f aca="false">ROUND(MIN(1,MAX('Reward Model'!$B$2,INDEX('Reward Model'!$C$12:$C$14,MATCH($K992,'Reward Model'!$A$12:$A$14,0))/$J992)),3)</f>
        <v>0.928</v>
      </c>
      <c r="AA992" s="2" t="n">
        <f aca="false">IF($I992="Correct",ROUND(INDEX('Reward Model'!$B$12:$B$14,MATCH($K992,'Reward Model'!$A$12:$A$14,0))*Z992,2),0)</f>
        <v>0</v>
      </c>
      <c r="AB992" s="2" t="n">
        <f aca="false">IF($I992="Correct",ROUND(INDEX('Reward Model'!$B$12:$B$14,MATCH($Y992,'Reward Model'!$A$12:$A$14,0))*Z992,2),0)</f>
        <v>0</v>
      </c>
    </row>
    <row r="993" customFormat="false" ht="15" hidden="false" customHeight="false" outlineLevel="0" collapsed="false">
      <c r="A993" s="0" t="s">
        <v>227</v>
      </c>
      <c r="B993" s="0" t="s">
        <v>228</v>
      </c>
      <c r="C993" s="0" t="s">
        <v>30</v>
      </c>
      <c r="D993" s="0" t="s">
        <v>189</v>
      </c>
      <c r="E993" s="0" t="n">
        <v>12</v>
      </c>
      <c r="F993" s="0" t="s">
        <v>64</v>
      </c>
      <c r="G993" s="0" t="s">
        <v>65</v>
      </c>
      <c r="H993" s="0" t="s">
        <v>65</v>
      </c>
      <c r="I993" s="0" t="s">
        <v>34</v>
      </c>
      <c r="J993" s="0" t="n">
        <v>1.33</v>
      </c>
      <c r="K993" s="0" t="s">
        <v>60</v>
      </c>
      <c r="L993" s="0" t="n">
        <f aca="false">INDEX(Summary!$F$2:$F$201,MATCH($B993,Summary!$A$2:$A$201,0))</f>
        <v>20</v>
      </c>
      <c r="M993" s="0" t="n">
        <f aca="false">INDEX(Summary!$I$2:$I$201,MATCH($B993,Summary!$A$2:$A$201,0))</f>
        <v>4</v>
      </c>
      <c r="N993" s="0" t="n">
        <f aca="false">INDEX(Summary!$J$2:$J$201,MATCH($B993,Summary!$A$2:$A$201,0))</f>
        <v>1</v>
      </c>
      <c r="O993" s="2" t="n">
        <f aca="false">INDEX(Summary!$K$2:$K$201,MATCH($B993,Summary!$A$2:$A$201,0))</f>
        <v>10.06</v>
      </c>
      <c r="P993" s="3" t="n">
        <f aca="false">INDEX(Summary!$L$2:$L$201,MATCH($B993,Summary!$A$2:$A$201,0))</f>
        <v>3</v>
      </c>
      <c r="Q993" s="3" t="n">
        <f aca="false">INDEX(Summary!$M$2:$M$201,MATCH($B993,Summary!$A$2:$A$201,0))</f>
        <v>3</v>
      </c>
      <c r="R993" s="2" t="n">
        <f aca="false">INDEX(Summary!$N$2:$N$201,MATCH($B993,Summary!$A$2:$A$201,0))</f>
        <v>9.98</v>
      </c>
      <c r="S993" s="3" t="n">
        <f aca="false">INDEX(Summary!$O$2:$O$201,MATCH($B993,Summary!$A$2:$A$201,0))</f>
        <v>8</v>
      </c>
      <c r="T993" s="3" t="n">
        <f aca="false">INDEX(Summary!$P$2:$P$201,MATCH($B993,Summary!$A$2:$A$201,0))</f>
        <v>1</v>
      </c>
      <c r="U993" s="2" t="n">
        <f aca="false">INDEX(Summary!$Q$2:$Q$201,MATCH($B993,Summary!$A$2:$A$201,0))</f>
        <v>14.79</v>
      </c>
      <c r="V993" s="2" t="n">
        <f aca="false">INDEX(Summary!$R$2:$R$201,MATCH($B993,Summary!$A$2:$A$201,0))</f>
        <v>28.99</v>
      </c>
      <c r="W993" s="0" t="str">
        <f aca="false">INDEX(Summary!$S$2:$S$201,MATCH($B993,Summary!$A$2:$A$201,0))</f>
        <v>Gold</v>
      </c>
      <c r="X993" s="2" t="n">
        <f aca="false">INDEX(Summary!$T$2:$T$201,MATCH($B993,Summary!$A$2:$A$201,0))</f>
        <v>70.71</v>
      </c>
      <c r="Y993" s="0" t="str">
        <f aca="false">INDEX('Reward Model'!$E$18:$E$37,MATCH($E993,'Reward Model'!$A$18:$A$37,0))</f>
        <v>Medium</v>
      </c>
      <c r="Z993" s="4" t="n">
        <f aca="false">ROUND(MIN(1,MAX('Reward Model'!$B$2,INDEX('Reward Model'!$C$12:$C$14,MATCH($K993,'Reward Model'!$A$12:$A$14,0))/$J993)),3)</f>
        <v>1</v>
      </c>
      <c r="AA993" s="2" t="n">
        <f aca="false">IF($I993="Correct",ROUND(INDEX('Reward Model'!$B$12:$B$14,MATCH($K993,'Reward Model'!$A$12:$A$14,0))*Z993,2),0)</f>
        <v>2</v>
      </c>
      <c r="AB993" s="2" t="n">
        <f aca="false">IF($I993="Correct",ROUND(INDEX('Reward Model'!$B$12:$B$14,MATCH($Y993,'Reward Model'!$A$12:$A$14,0))*Z993,2),0)</f>
        <v>2</v>
      </c>
    </row>
    <row r="994" customFormat="false" ht="15" hidden="false" customHeight="false" outlineLevel="0" collapsed="false">
      <c r="A994" s="0" t="s">
        <v>227</v>
      </c>
      <c r="B994" s="0" t="s">
        <v>228</v>
      </c>
      <c r="C994" s="0" t="s">
        <v>30</v>
      </c>
      <c r="D994" s="0" t="s">
        <v>189</v>
      </c>
      <c r="E994" s="0" t="n">
        <v>13</v>
      </c>
      <c r="F994" s="0" t="s">
        <v>66</v>
      </c>
      <c r="G994" s="0" t="s">
        <v>67</v>
      </c>
      <c r="H994" s="0" t="s">
        <v>67</v>
      </c>
      <c r="I994" s="0" t="s">
        <v>34</v>
      </c>
      <c r="J994" s="0" t="n">
        <v>1.45</v>
      </c>
      <c r="K994" s="0" t="s">
        <v>60</v>
      </c>
      <c r="L994" s="0" t="n">
        <f aca="false">INDEX(Summary!$F$2:$F$201,MATCH($B994,Summary!$A$2:$A$201,0))</f>
        <v>20</v>
      </c>
      <c r="M994" s="0" t="n">
        <f aca="false">INDEX(Summary!$I$2:$I$201,MATCH($B994,Summary!$A$2:$A$201,0))</f>
        <v>4</v>
      </c>
      <c r="N994" s="0" t="n">
        <f aca="false">INDEX(Summary!$J$2:$J$201,MATCH($B994,Summary!$A$2:$A$201,0))</f>
        <v>1</v>
      </c>
      <c r="O994" s="2" t="n">
        <f aca="false">INDEX(Summary!$K$2:$K$201,MATCH($B994,Summary!$A$2:$A$201,0))</f>
        <v>10.06</v>
      </c>
      <c r="P994" s="3" t="n">
        <f aca="false">INDEX(Summary!$L$2:$L$201,MATCH($B994,Summary!$A$2:$A$201,0))</f>
        <v>3</v>
      </c>
      <c r="Q994" s="3" t="n">
        <f aca="false">INDEX(Summary!$M$2:$M$201,MATCH($B994,Summary!$A$2:$A$201,0))</f>
        <v>3</v>
      </c>
      <c r="R994" s="2" t="n">
        <f aca="false">INDEX(Summary!$N$2:$N$201,MATCH($B994,Summary!$A$2:$A$201,0))</f>
        <v>9.98</v>
      </c>
      <c r="S994" s="3" t="n">
        <f aca="false">INDEX(Summary!$O$2:$O$201,MATCH($B994,Summary!$A$2:$A$201,0))</f>
        <v>8</v>
      </c>
      <c r="T994" s="3" t="n">
        <f aca="false">INDEX(Summary!$P$2:$P$201,MATCH($B994,Summary!$A$2:$A$201,0))</f>
        <v>1</v>
      </c>
      <c r="U994" s="2" t="n">
        <f aca="false">INDEX(Summary!$Q$2:$Q$201,MATCH($B994,Summary!$A$2:$A$201,0))</f>
        <v>14.79</v>
      </c>
      <c r="V994" s="2" t="n">
        <f aca="false">INDEX(Summary!$R$2:$R$201,MATCH($B994,Summary!$A$2:$A$201,0))</f>
        <v>28.99</v>
      </c>
      <c r="W994" s="0" t="str">
        <f aca="false">INDEX(Summary!$S$2:$S$201,MATCH($B994,Summary!$A$2:$A$201,0))</f>
        <v>Gold</v>
      </c>
      <c r="X994" s="2" t="n">
        <f aca="false">INDEX(Summary!$T$2:$T$201,MATCH($B994,Summary!$A$2:$A$201,0))</f>
        <v>70.71</v>
      </c>
      <c r="Y994" s="0" t="str">
        <f aca="false">INDEX('Reward Model'!$E$18:$E$37,MATCH($E994,'Reward Model'!$A$18:$A$37,0))</f>
        <v>Medium</v>
      </c>
      <c r="Z994" s="4" t="n">
        <f aca="false">ROUND(MIN(1,MAX('Reward Model'!$B$2,INDEX('Reward Model'!$C$12:$C$14,MATCH($K994,'Reward Model'!$A$12:$A$14,0))/$J994)),3)</f>
        <v>1</v>
      </c>
      <c r="AA994" s="2" t="n">
        <f aca="false">IF($I994="Correct",ROUND(INDEX('Reward Model'!$B$12:$B$14,MATCH($K994,'Reward Model'!$A$12:$A$14,0))*Z994,2),0)</f>
        <v>2</v>
      </c>
      <c r="AB994" s="2" t="n">
        <f aca="false">IF($I994="Correct",ROUND(INDEX('Reward Model'!$B$12:$B$14,MATCH($Y994,'Reward Model'!$A$12:$A$14,0))*Z994,2),0)</f>
        <v>2</v>
      </c>
    </row>
    <row r="995" customFormat="false" ht="15" hidden="false" customHeight="false" outlineLevel="0" collapsed="false">
      <c r="A995" s="0" t="s">
        <v>227</v>
      </c>
      <c r="B995" s="0" t="s">
        <v>228</v>
      </c>
      <c r="C995" s="0" t="s">
        <v>30</v>
      </c>
      <c r="D995" s="0" t="s">
        <v>189</v>
      </c>
      <c r="E995" s="0" t="n">
        <v>14</v>
      </c>
      <c r="F995" s="0" t="s">
        <v>68</v>
      </c>
      <c r="G995" s="0" t="s">
        <v>118</v>
      </c>
      <c r="H995" s="0" t="s">
        <v>51</v>
      </c>
      <c r="I995" s="0" t="s">
        <v>39</v>
      </c>
      <c r="J995" s="0" t="n">
        <v>1.33</v>
      </c>
      <c r="K995" s="0" t="s">
        <v>60</v>
      </c>
      <c r="L995" s="0" t="n">
        <f aca="false">INDEX(Summary!$F$2:$F$201,MATCH($B995,Summary!$A$2:$A$201,0))</f>
        <v>20</v>
      </c>
      <c r="M995" s="0" t="n">
        <f aca="false">INDEX(Summary!$I$2:$I$201,MATCH($B995,Summary!$A$2:$A$201,0))</f>
        <v>4</v>
      </c>
      <c r="N995" s="0" t="n">
        <f aca="false">INDEX(Summary!$J$2:$J$201,MATCH($B995,Summary!$A$2:$A$201,0))</f>
        <v>1</v>
      </c>
      <c r="O995" s="2" t="n">
        <f aca="false">INDEX(Summary!$K$2:$K$201,MATCH($B995,Summary!$A$2:$A$201,0))</f>
        <v>10.06</v>
      </c>
      <c r="P995" s="3" t="n">
        <f aca="false">INDEX(Summary!$L$2:$L$201,MATCH($B995,Summary!$A$2:$A$201,0))</f>
        <v>3</v>
      </c>
      <c r="Q995" s="3" t="n">
        <f aca="false">INDEX(Summary!$M$2:$M$201,MATCH($B995,Summary!$A$2:$A$201,0))</f>
        <v>3</v>
      </c>
      <c r="R995" s="2" t="n">
        <f aca="false">INDEX(Summary!$N$2:$N$201,MATCH($B995,Summary!$A$2:$A$201,0))</f>
        <v>9.98</v>
      </c>
      <c r="S995" s="3" t="n">
        <f aca="false">INDEX(Summary!$O$2:$O$201,MATCH($B995,Summary!$A$2:$A$201,0))</f>
        <v>8</v>
      </c>
      <c r="T995" s="3" t="n">
        <f aca="false">INDEX(Summary!$P$2:$P$201,MATCH($B995,Summary!$A$2:$A$201,0))</f>
        <v>1</v>
      </c>
      <c r="U995" s="2" t="n">
        <f aca="false">INDEX(Summary!$Q$2:$Q$201,MATCH($B995,Summary!$A$2:$A$201,0))</f>
        <v>14.79</v>
      </c>
      <c r="V995" s="2" t="n">
        <f aca="false">INDEX(Summary!$R$2:$R$201,MATCH($B995,Summary!$A$2:$A$201,0))</f>
        <v>28.99</v>
      </c>
      <c r="W995" s="0" t="str">
        <f aca="false">INDEX(Summary!$S$2:$S$201,MATCH($B995,Summary!$A$2:$A$201,0))</f>
        <v>Gold</v>
      </c>
      <c r="X995" s="2" t="n">
        <f aca="false">INDEX(Summary!$T$2:$T$201,MATCH($B995,Summary!$A$2:$A$201,0))</f>
        <v>70.71</v>
      </c>
      <c r="Y995" s="0" t="str">
        <f aca="false">INDEX('Reward Model'!$E$18:$E$37,MATCH($E995,'Reward Model'!$A$18:$A$37,0))</f>
        <v>Medium</v>
      </c>
      <c r="Z995" s="4" t="n">
        <f aca="false">ROUND(MIN(1,MAX('Reward Model'!$B$2,INDEX('Reward Model'!$C$12:$C$14,MATCH($K995,'Reward Model'!$A$12:$A$14,0))/$J995)),3)</f>
        <v>1</v>
      </c>
      <c r="AA995" s="2" t="n">
        <f aca="false">IF($I995="Correct",ROUND(INDEX('Reward Model'!$B$12:$B$14,MATCH($K995,'Reward Model'!$A$12:$A$14,0))*Z995,2),0)</f>
        <v>0</v>
      </c>
      <c r="AB995" s="2" t="n">
        <f aca="false">IF($I995="Correct",ROUND(INDEX('Reward Model'!$B$12:$B$14,MATCH($Y995,'Reward Model'!$A$12:$A$14,0))*Z995,2),0)</f>
        <v>0</v>
      </c>
    </row>
    <row r="996" customFormat="false" ht="15" hidden="false" customHeight="false" outlineLevel="0" collapsed="false">
      <c r="A996" s="0" t="s">
        <v>227</v>
      </c>
      <c r="B996" s="0" t="s">
        <v>228</v>
      </c>
      <c r="C996" s="0" t="s">
        <v>30</v>
      </c>
      <c r="D996" s="0" t="s">
        <v>189</v>
      </c>
      <c r="E996" s="0" t="n">
        <v>15</v>
      </c>
      <c r="F996" s="0" t="s">
        <v>69</v>
      </c>
      <c r="G996" s="0" t="s">
        <v>131</v>
      </c>
      <c r="H996" s="0" t="s">
        <v>70</v>
      </c>
      <c r="I996" s="0" t="s">
        <v>39</v>
      </c>
      <c r="J996" s="0" t="n">
        <v>2.28</v>
      </c>
      <c r="K996" s="0" t="s">
        <v>60</v>
      </c>
      <c r="L996" s="0" t="n">
        <f aca="false">INDEX(Summary!$F$2:$F$201,MATCH($B996,Summary!$A$2:$A$201,0))</f>
        <v>20</v>
      </c>
      <c r="M996" s="0" t="n">
        <f aca="false">INDEX(Summary!$I$2:$I$201,MATCH($B996,Summary!$A$2:$A$201,0))</f>
        <v>4</v>
      </c>
      <c r="N996" s="0" t="n">
        <f aca="false">INDEX(Summary!$J$2:$J$201,MATCH($B996,Summary!$A$2:$A$201,0))</f>
        <v>1</v>
      </c>
      <c r="O996" s="2" t="n">
        <f aca="false">INDEX(Summary!$K$2:$K$201,MATCH($B996,Summary!$A$2:$A$201,0))</f>
        <v>10.06</v>
      </c>
      <c r="P996" s="3" t="n">
        <f aca="false">INDEX(Summary!$L$2:$L$201,MATCH($B996,Summary!$A$2:$A$201,0))</f>
        <v>3</v>
      </c>
      <c r="Q996" s="3" t="n">
        <f aca="false">INDEX(Summary!$M$2:$M$201,MATCH($B996,Summary!$A$2:$A$201,0))</f>
        <v>3</v>
      </c>
      <c r="R996" s="2" t="n">
        <f aca="false">INDEX(Summary!$N$2:$N$201,MATCH($B996,Summary!$A$2:$A$201,0))</f>
        <v>9.98</v>
      </c>
      <c r="S996" s="3" t="n">
        <f aca="false">INDEX(Summary!$O$2:$O$201,MATCH($B996,Summary!$A$2:$A$201,0))</f>
        <v>8</v>
      </c>
      <c r="T996" s="3" t="n">
        <f aca="false">INDEX(Summary!$P$2:$P$201,MATCH($B996,Summary!$A$2:$A$201,0))</f>
        <v>1</v>
      </c>
      <c r="U996" s="2" t="n">
        <f aca="false">INDEX(Summary!$Q$2:$Q$201,MATCH($B996,Summary!$A$2:$A$201,0))</f>
        <v>14.79</v>
      </c>
      <c r="V996" s="2" t="n">
        <f aca="false">INDEX(Summary!$R$2:$R$201,MATCH($B996,Summary!$A$2:$A$201,0))</f>
        <v>28.99</v>
      </c>
      <c r="W996" s="0" t="str">
        <f aca="false">INDEX(Summary!$S$2:$S$201,MATCH($B996,Summary!$A$2:$A$201,0))</f>
        <v>Gold</v>
      </c>
      <c r="X996" s="2" t="n">
        <f aca="false">INDEX(Summary!$T$2:$T$201,MATCH($B996,Summary!$A$2:$A$201,0))</f>
        <v>70.71</v>
      </c>
      <c r="Y996" s="0" t="str">
        <f aca="false">INDEX('Reward Model'!$E$18:$E$37,MATCH($E996,'Reward Model'!$A$18:$A$37,0))</f>
        <v>Medium</v>
      </c>
      <c r="Z996" s="4" t="n">
        <f aca="false">ROUND(MIN(1,MAX('Reward Model'!$B$2,INDEX('Reward Model'!$C$12:$C$14,MATCH($K996,'Reward Model'!$A$12:$A$14,0))/$J996)),3)</f>
        <v>0.789</v>
      </c>
      <c r="AA996" s="2" t="n">
        <f aca="false">IF($I996="Correct",ROUND(INDEX('Reward Model'!$B$12:$B$14,MATCH($K996,'Reward Model'!$A$12:$A$14,0))*Z996,2),0)</f>
        <v>0</v>
      </c>
      <c r="AB996" s="2" t="n">
        <f aca="false">IF($I996="Correct",ROUND(INDEX('Reward Model'!$B$12:$B$14,MATCH($Y996,'Reward Model'!$A$12:$A$14,0))*Z996,2),0)</f>
        <v>0</v>
      </c>
    </row>
    <row r="997" customFormat="false" ht="15" hidden="false" customHeight="false" outlineLevel="0" collapsed="false">
      <c r="A997" s="0" t="s">
        <v>227</v>
      </c>
      <c r="B997" s="0" t="s">
        <v>228</v>
      </c>
      <c r="C997" s="0" t="s">
        <v>30</v>
      </c>
      <c r="D997" s="0" t="s">
        <v>189</v>
      </c>
      <c r="E997" s="0" t="n">
        <v>16</v>
      </c>
      <c r="F997" s="0" t="s">
        <v>71</v>
      </c>
      <c r="G997" s="0" t="s">
        <v>72</v>
      </c>
      <c r="H997" s="0" t="s">
        <v>72</v>
      </c>
      <c r="I997" s="0" t="s">
        <v>34</v>
      </c>
      <c r="J997" s="0" t="n">
        <v>2.01</v>
      </c>
      <c r="K997" s="0" t="s">
        <v>73</v>
      </c>
      <c r="L997" s="0" t="n">
        <f aca="false">INDEX(Summary!$F$2:$F$201,MATCH($B997,Summary!$A$2:$A$201,0))</f>
        <v>20</v>
      </c>
      <c r="M997" s="0" t="n">
        <f aca="false">INDEX(Summary!$I$2:$I$201,MATCH($B997,Summary!$A$2:$A$201,0))</f>
        <v>4</v>
      </c>
      <c r="N997" s="0" t="n">
        <f aca="false">INDEX(Summary!$J$2:$J$201,MATCH($B997,Summary!$A$2:$A$201,0))</f>
        <v>1</v>
      </c>
      <c r="O997" s="2" t="n">
        <f aca="false">INDEX(Summary!$K$2:$K$201,MATCH($B997,Summary!$A$2:$A$201,0))</f>
        <v>10.06</v>
      </c>
      <c r="P997" s="3" t="n">
        <f aca="false">INDEX(Summary!$L$2:$L$201,MATCH($B997,Summary!$A$2:$A$201,0))</f>
        <v>3</v>
      </c>
      <c r="Q997" s="3" t="n">
        <f aca="false">INDEX(Summary!$M$2:$M$201,MATCH($B997,Summary!$A$2:$A$201,0))</f>
        <v>3</v>
      </c>
      <c r="R997" s="2" t="n">
        <f aca="false">INDEX(Summary!$N$2:$N$201,MATCH($B997,Summary!$A$2:$A$201,0))</f>
        <v>9.98</v>
      </c>
      <c r="S997" s="3" t="n">
        <f aca="false">INDEX(Summary!$O$2:$O$201,MATCH($B997,Summary!$A$2:$A$201,0))</f>
        <v>8</v>
      </c>
      <c r="T997" s="3" t="n">
        <f aca="false">INDEX(Summary!$P$2:$P$201,MATCH($B997,Summary!$A$2:$A$201,0))</f>
        <v>1</v>
      </c>
      <c r="U997" s="2" t="n">
        <f aca="false">INDEX(Summary!$Q$2:$Q$201,MATCH($B997,Summary!$A$2:$A$201,0))</f>
        <v>14.79</v>
      </c>
      <c r="V997" s="2" t="n">
        <f aca="false">INDEX(Summary!$R$2:$R$201,MATCH($B997,Summary!$A$2:$A$201,0))</f>
        <v>28.99</v>
      </c>
      <c r="W997" s="0" t="str">
        <f aca="false">INDEX(Summary!$S$2:$S$201,MATCH($B997,Summary!$A$2:$A$201,0))</f>
        <v>Gold</v>
      </c>
      <c r="X997" s="2" t="n">
        <f aca="false">INDEX(Summary!$T$2:$T$201,MATCH($B997,Summary!$A$2:$A$201,0))</f>
        <v>70.71</v>
      </c>
      <c r="Y997" s="0" t="str">
        <f aca="false">INDEX('Reward Model'!$E$18:$E$37,MATCH($E997,'Reward Model'!$A$18:$A$37,0))</f>
        <v>High</v>
      </c>
      <c r="Z997" s="4" t="n">
        <f aca="false">ROUND(MIN(1,MAX('Reward Model'!$B$2,INDEX('Reward Model'!$C$12:$C$14,MATCH($K997,'Reward Model'!$A$12:$A$14,0))/$J997)),3)</f>
        <v>0.995</v>
      </c>
      <c r="AA997" s="2" t="n">
        <f aca="false">IF($I997="Correct",ROUND(INDEX('Reward Model'!$B$12:$B$14,MATCH($K997,'Reward Model'!$A$12:$A$14,0))*Z997,2),0)</f>
        <v>2.99</v>
      </c>
      <c r="AB997" s="2" t="n">
        <f aca="false">IF($I997="Correct",ROUND(INDEX('Reward Model'!$B$12:$B$14,MATCH($Y997,'Reward Model'!$A$12:$A$14,0))*Z997,2),0)</f>
        <v>2.99</v>
      </c>
    </row>
    <row r="998" customFormat="false" ht="15" hidden="false" customHeight="false" outlineLevel="0" collapsed="false">
      <c r="A998" s="0" t="s">
        <v>227</v>
      </c>
      <c r="B998" s="0" t="s">
        <v>228</v>
      </c>
      <c r="C998" s="0" t="s">
        <v>30</v>
      </c>
      <c r="D998" s="0" t="s">
        <v>189</v>
      </c>
      <c r="E998" s="0" t="n">
        <v>17</v>
      </c>
      <c r="F998" s="0" t="s">
        <v>74</v>
      </c>
      <c r="G998" s="0" t="s">
        <v>75</v>
      </c>
      <c r="H998" s="0" t="s">
        <v>75</v>
      </c>
      <c r="I998" s="0" t="s">
        <v>34</v>
      </c>
      <c r="J998" s="0" t="n">
        <v>2.54</v>
      </c>
      <c r="K998" s="0" t="s">
        <v>73</v>
      </c>
      <c r="L998" s="0" t="n">
        <f aca="false">INDEX(Summary!$F$2:$F$201,MATCH($B998,Summary!$A$2:$A$201,0))</f>
        <v>20</v>
      </c>
      <c r="M998" s="0" t="n">
        <f aca="false">INDEX(Summary!$I$2:$I$201,MATCH($B998,Summary!$A$2:$A$201,0))</f>
        <v>4</v>
      </c>
      <c r="N998" s="0" t="n">
        <f aca="false">INDEX(Summary!$J$2:$J$201,MATCH($B998,Summary!$A$2:$A$201,0))</f>
        <v>1</v>
      </c>
      <c r="O998" s="2" t="n">
        <f aca="false">INDEX(Summary!$K$2:$K$201,MATCH($B998,Summary!$A$2:$A$201,0))</f>
        <v>10.06</v>
      </c>
      <c r="P998" s="3" t="n">
        <f aca="false">INDEX(Summary!$L$2:$L$201,MATCH($B998,Summary!$A$2:$A$201,0))</f>
        <v>3</v>
      </c>
      <c r="Q998" s="3" t="n">
        <f aca="false">INDEX(Summary!$M$2:$M$201,MATCH($B998,Summary!$A$2:$A$201,0))</f>
        <v>3</v>
      </c>
      <c r="R998" s="2" t="n">
        <f aca="false">INDEX(Summary!$N$2:$N$201,MATCH($B998,Summary!$A$2:$A$201,0))</f>
        <v>9.98</v>
      </c>
      <c r="S998" s="3" t="n">
        <f aca="false">INDEX(Summary!$O$2:$O$201,MATCH($B998,Summary!$A$2:$A$201,0))</f>
        <v>8</v>
      </c>
      <c r="T998" s="3" t="n">
        <f aca="false">INDEX(Summary!$P$2:$P$201,MATCH($B998,Summary!$A$2:$A$201,0))</f>
        <v>1</v>
      </c>
      <c r="U998" s="2" t="n">
        <f aca="false">INDEX(Summary!$Q$2:$Q$201,MATCH($B998,Summary!$A$2:$A$201,0))</f>
        <v>14.79</v>
      </c>
      <c r="V998" s="2" t="n">
        <f aca="false">INDEX(Summary!$R$2:$R$201,MATCH($B998,Summary!$A$2:$A$201,0))</f>
        <v>28.99</v>
      </c>
      <c r="W998" s="0" t="str">
        <f aca="false">INDEX(Summary!$S$2:$S$201,MATCH($B998,Summary!$A$2:$A$201,0))</f>
        <v>Gold</v>
      </c>
      <c r="X998" s="2" t="n">
        <f aca="false">INDEX(Summary!$T$2:$T$201,MATCH($B998,Summary!$A$2:$A$201,0))</f>
        <v>70.71</v>
      </c>
      <c r="Y998" s="0" t="str">
        <f aca="false">INDEX('Reward Model'!$E$18:$E$37,MATCH($E998,'Reward Model'!$A$18:$A$37,0))</f>
        <v>High</v>
      </c>
      <c r="Z998" s="4" t="n">
        <f aca="false">ROUND(MIN(1,MAX('Reward Model'!$B$2,INDEX('Reward Model'!$C$12:$C$14,MATCH($K998,'Reward Model'!$A$12:$A$14,0))/$J998)),3)</f>
        <v>0.787</v>
      </c>
      <c r="AA998" s="2" t="n">
        <f aca="false">IF($I998="Correct",ROUND(INDEX('Reward Model'!$B$12:$B$14,MATCH($K998,'Reward Model'!$A$12:$A$14,0))*Z998,2),0)</f>
        <v>2.36</v>
      </c>
      <c r="AB998" s="2" t="n">
        <f aca="false">IF($I998="Correct",ROUND(INDEX('Reward Model'!$B$12:$B$14,MATCH($Y998,'Reward Model'!$A$12:$A$14,0))*Z998,2),0)</f>
        <v>2.36</v>
      </c>
    </row>
    <row r="999" customFormat="false" ht="15" hidden="false" customHeight="false" outlineLevel="0" collapsed="false">
      <c r="A999" s="0" t="s">
        <v>227</v>
      </c>
      <c r="B999" s="0" t="s">
        <v>228</v>
      </c>
      <c r="C999" s="0" t="s">
        <v>30</v>
      </c>
      <c r="D999" s="0" t="s">
        <v>189</v>
      </c>
      <c r="E999" s="0" t="n">
        <v>18</v>
      </c>
      <c r="F999" s="0" t="s">
        <v>76</v>
      </c>
      <c r="G999" s="0" t="s">
        <v>77</v>
      </c>
      <c r="H999" s="0" t="s">
        <v>77</v>
      </c>
      <c r="I999" s="0" t="s">
        <v>34</v>
      </c>
      <c r="J999" s="0" t="n">
        <v>1.73</v>
      </c>
      <c r="K999" s="0" t="s">
        <v>73</v>
      </c>
      <c r="L999" s="0" t="n">
        <f aca="false">INDEX(Summary!$F$2:$F$201,MATCH($B999,Summary!$A$2:$A$201,0))</f>
        <v>20</v>
      </c>
      <c r="M999" s="0" t="n">
        <f aca="false">INDEX(Summary!$I$2:$I$201,MATCH($B999,Summary!$A$2:$A$201,0))</f>
        <v>4</v>
      </c>
      <c r="N999" s="0" t="n">
        <f aca="false">INDEX(Summary!$J$2:$J$201,MATCH($B999,Summary!$A$2:$A$201,0))</f>
        <v>1</v>
      </c>
      <c r="O999" s="2" t="n">
        <f aca="false">INDEX(Summary!$K$2:$K$201,MATCH($B999,Summary!$A$2:$A$201,0))</f>
        <v>10.06</v>
      </c>
      <c r="P999" s="3" t="n">
        <f aca="false">INDEX(Summary!$L$2:$L$201,MATCH($B999,Summary!$A$2:$A$201,0))</f>
        <v>3</v>
      </c>
      <c r="Q999" s="3" t="n">
        <f aca="false">INDEX(Summary!$M$2:$M$201,MATCH($B999,Summary!$A$2:$A$201,0))</f>
        <v>3</v>
      </c>
      <c r="R999" s="2" t="n">
        <f aca="false">INDEX(Summary!$N$2:$N$201,MATCH($B999,Summary!$A$2:$A$201,0))</f>
        <v>9.98</v>
      </c>
      <c r="S999" s="3" t="n">
        <f aca="false">INDEX(Summary!$O$2:$O$201,MATCH($B999,Summary!$A$2:$A$201,0))</f>
        <v>8</v>
      </c>
      <c r="T999" s="3" t="n">
        <f aca="false">INDEX(Summary!$P$2:$P$201,MATCH($B999,Summary!$A$2:$A$201,0))</f>
        <v>1</v>
      </c>
      <c r="U999" s="2" t="n">
        <f aca="false">INDEX(Summary!$Q$2:$Q$201,MATCH($B999,Summary!$A$2:$A$201,0))</f>
        <v>14.79</v>
      </c>
      <c r="V999" s="2" t="n">
        <f aca="false">INDEX(Summary!$R$2:$R$201,MATCH($B999,Summary!$A$2:$A$201,0))</f>
        <v>28.99</v>
      </c>
      <c r="W999" s="0" t="str">
        <f aca="false">INDEX(Summary!$S$2:$S$201,MATCH($B999,Summary!$A$2:$A$201,0))</f>
        <v>Gold</v>
      </c>
      <c r="X999" s="2" t="n">
        <f aca="false">INDEX(Summary!$T$2:$T$201,MATCH($B999,Summary!$A$2:$A$201,0))</f>
        <v>70.71</v>
      </c>
      <c r="Y999" s="0" t="str">
        <f aca="false">INDEX('Reward Model'!$E$18:$E$37,MATCH($E999,'Reward Model'!$A$18:$A$37,0))</f>
        <v>High</v>
      </c>
      <c r="Z999" s="4" t="n">
        <f aca="false">ROUND(MIN(1,MAX('Reward Model'!$B$2,INDEX('Reward Model'!$C$12:$C$14,MATCH($K999,'Reward Model'!$A$12:$A$14,0))/$J999)),3)</f>
        <v>1</v>
      </c>
      <c r="AA999" s="2" t="n">
        <f aca="false">IF($I999="Correct",ROUND(INDEX('Reward Model'!$B$12:$B$14,MATCH($K999,'Reward Model'!$A$12:$A$14,0))*Z999,2),0)</f>
        <v>3</v>
      </c>
      <c r="AB999" s="2" t="n">
        <f aca="false">IF($I999="Correct",ROUND(INDEX('Reward Model'!$B$12:$B$14,MATCH($Y999,'Reward Model'!$A$12:$A$14,0))*Z999,2),0)</f>
        <v>3</v>
      </c>
    </row>
    <row r="1000" customFormat="false" ht="15" hidden="false" customHeight="false" outlineLevel="0" collapsed="false">
      <c r="A1000" s="0" t="s">
        <v>227</v>
      </c>
      <c r="B1000" s="0" t="s">
        <v>228</v>
      </c>
      <c r="C1000" s="0" t="s">
        <v>30</v>
      </c>
      <c r="D1000" s="0" t="s">
        <v>189</v>
      </c>
      <c r="E1000" s="0" t="n">
        <v>19</v>
      </c>
      <c r="F1000" s="0" t="s">
        <v>78</v>
      </c>
      <c r="G1000" s="0" t="s">
        <v>132</v>
      </c>
      <c r="H1000" s="0" t="s">
        <v>80</v>
      </c>
      <c r="I1000" s="0" t="s">
        <v>39</v>
      </c>
      <c r="J1000" s="0" t="n">
        <v>1.81</v>
      </c>
      <c r="K1000" s="0" t="s">
        <v>73</v>
      </c>
      <c r="L1000" s="0" t="n">
        <f aca="false">INDEX(Summary!$F$2:$F$201,MATCH($B1000,Summary!$A$2:$A$201,0))</f>
        <v>20</v>
      </c>
      <c r="M1000" s="0" t="n">
        <f aca="false">INDEX(Summary!$I$2:$I$201,MATCH($B1000,Summary!$A$2:$A$201,0))</f>
        <v>4</v>
      </c>
      <c r="N1000" s="0" t="n">
        <f aca="false">INDEX(Summary!$J$2:$J$201,MATCH($B1000,Summary!$A$2:$A$201,0))</f>
        <v>1</v>
      </c>
      <c r="O1000" s="2" t="n">
        <f aca="false">INDEX(Summary!$K$2:$K$201,MATCH($B1000,Summary!$A$2:$A$201,0))</f>
        <v>10.06</v>
      </c>
      <c r="P1000" s="3" t="n">
        <f aca="false">INDEX(Summary!$L$2:$L$201,MATCH($B1000,Summary!$A$2:$A$201,0))</f>
        <v>3</v>
      </c>
      <c r="Q1000" s="3" t="n">
        <f aca="false">INDEX(Summary!$M$2:$M$201,MATCH($B1000,Summary!$A$2:$A$201,0))</f>
        <v>3</v>
      </c>
      <c r="R1000" s="2" t="n">
        <f aca="false">INDEX(Summary!$N$2:$N$201,MATCH($B1000,Summary!$A$2:$A$201,0))</f>
        <v>9.98</v>
      </c>
      <c r="S1000" s="3" t="n">
        <f aca="false">INDEX(Summary!$O$2:$O$201,MATCH($B1000,Summary!$A$2:$A$201,0))</f>
        <v>8</v>
      </c>
      <c r="T1000" s="3" t="n">
        <f aca="false">INDEX(Summary!$P$2:$P$201,MATCH($B1000,Summary!$A$2:$A$201,0))</f>
        <v>1</v>
      </c>
      <c r="U1000" s="2" t="n">
        <f aca="false">INDEX(Summary!$Q$2:$Q$201,MATCH($B1000,Summary!$A$2:$A$201,0))</f>
        <v>14.79</v>
      </c>
      <c r="V1000" s="2" t="n">
        <f aca="false">INDEX(Summary!$R$2:$R$201,MATCH($B1000,Summary!$A$2:$A$201,0))</f>
        <v>28.99</v>
      </c>
      <c r="W1000" s="0" t="str">
        <f aca="false">INDEX(Summary!$S$2:$S$201,MATCH($B1000,Summary!$A$2:$A$201,0))</f>
        <v>Gold</v>
      </c>
      <c r="X1000" s="2" t="n">
        <f aca="false">INDEX(Summary!$T$2:$T$201,MATCH($B1000,Summary!$A$2:$A$201,0))</f>
        <v>70.71</v>
      </c>
      <c r="Y1000" s="0" t="str">
        <f aca="false">INDEX('Reward Model'!$E$18:$E$37,MATCH($E1000,'Reward Model'!$A$18:$A$37,0))</f>
        <v>High</v>
      </c>
      <c r="Z1000" s="4" t="n">
        <f aca="false">ROUND(MIN(1,MAX('Reward Model'!$B$2,INDEX('Reward Model'!$C$12:$C$14,MATCH($K1000,'Reward Model'!$A$12:$A$14,0))/$J1000)),3)</f>
        <v>1</v>
      </c>
      <c r="AA1000" s="2" t="n">
        <f aca="false">IF($I1000="Correct",ROUND(INDEX('Reward Model'!$B$12:$B$14,MATCH($K1000,'Reward Model'!$A$12:$A$14,0))*Z1000,2),0)</f>
        <v>0</v>
      </c>
      <c r="AB1000" s="2" t="n">
        <f aca="false">IF($I1000="Correct",ROUND(INDEX('Reward Model'!$B$12:$B$14,MATCH($Y1000,'Reward Model'!$A$12:$A$14,0))*Z1000,2),0)</f>
        <v>0</v>
      </c>
    </row>
    <row r="1001" customFormat="false" ht="15" hidden="false" customHeight="false" outlineLevel="0" collapsed="false">
      <c r="A1001" s="0" t="s">
        <v>227</v>
      </c>
      <c r="B1001" s="0" t="s">
        <v>228</v>
      </c>
      <c r="C1001" s="0" t="s">
        <v>30</v>
      </c>
      <c r="D1001" s="0" t="s">
        <v>189</v>
      </c>
      <c r="E1001" s="0" t="n">
        <v>20</v>
      </c>
      <c r="F1001" s="0" t="s">
        <v>81</v>
      </c>
      <c r="G1001" s="0" t="s">
        <v>83</v>
      </c>
      <c r="H1001" s="0" t="s">
        <v>83</v>
      </c>
      <c r="I1001" s="0" t="s">
        <v>34</v>
      </c>
      <c r="J1001" s="0" t="n">
        <v>1.97</v>
      </c>
      <c r="K1001" s="0" t="s">
        <v>73</v>
      </c>
      <c r="L1001" s="0" t="n">
        <f aca="false">INDEX(Summary!$F$2:$F$201,MATCH($B1001,Summary!$A$2:$A$201,0))</f>
        <v>20</v>
      </c>
      <c r="M1001" s="0" t="n">
        <f aca="false">INDEX(Summary!$I$2:$I$201,MATCH($B1001,Summary!$A$2:$A$201,0))</f>
        <v>4</v>
      </c>
      <c r="N1001" s="0" t="n">
        <f aca="false">INDEX(Summary!$J$2:$J$201,MATCH($B1001,Summary!$A$2:$A$201,0))</f>
        <v>1</v>
      </c>
      <c r="O1001" s="2" t="n">
        <f aca="false">INDEX(Summary!$K$2:$K$201,MATCH($B1001,Summary!$A$2:$A$201,0))</f>
        <v>10.06</v>
      </c>
      <c r="P1001" s="3" t="n">
        <f aca="false">INDEX(Summary!$L$2:$L$201,MATCH($B1001,Summary!$A$2:$A$201,0))</f>
        <v>3</v>
      </c>
      <c r="Q1001" s="3" t="n">
        <f aca="false">INDEX(Summary!$M$2:$M$201,MATCH($B1001,Summary!$A$2:$A$201,0))</f>
        <v>3</v>
      </c>
      <c r="R1001" s="2" t="n">
        <f aca="false">INDEX(Summary!$N$2:$N$201,MATCH($B1001,Summary!$A$2:$A$201,0))</f>
        <v>9.98</v>
      </c>
      <c r="S1001" s="3" t="n">
        <f aca="false">INDEX(Summary!$O$2:$O$201,MATCH($B1001,Summary!$A$2:$A$201,0))</f>
        <v>8</v>
      </c>
      <c r="T1001" s="3" t="n">
        <f aca="false">INDEX(Summary!$P$2:$P$201,MATCH($B1001,Summary!$A$2:$A$201,0))</f>
        <v>1</v>
      </c>
      <c r="U1001" s="2" t="n">
        <f aca="false">INDEX(Summary!$Q$2:$Q$201,MATCH($B1001,Summary!$A$2:$A$201,0))</f>
        <v>14.79</v>
      </c>
      <c r="V1001" s="2" t="n">
        <f aca="false">INDEX(Summary!$R$2:$R$201,MATCH($B1001,Summary!$A$2:$A$201,0))</f>
        <v>28.99</v>
      </c>
      <c r="W1001" s="0" t="str">
        <f aca="false">INDEX(Summary!$S$2:$S$201,MATCH($B1001,Summary!$A$2:$A$201,0))</f>
        <v>Gold</v>
      </c>
      <c r="X1001" s="2" t="n">
        <f aca="false">INDEX(Summary!$T$2:$T$201,MATCH($B1001,Summary!$A$2:$A$201,0))</f>
        <v>70.71</v>
      </c>
      <c r="Y1001" s="0" t="str">
        <f aca="false">INDEX('Reward Model'!$E$18:$E$37,MATCH($E1001,'Reward Model'!$A$18:$A$37,0))</f>
        <v>High</v>
      </c>
      <c r="Z1001" s="4" t="n">
        <f aca="false">ROUND(MIN(1,MAX('Reward Model'!$B$2,INDEX('Reward Model'!$C$12:$C$14,MATCH($K1001,'Reward Model'!$A$12:$A$14,0))/$J1001)),3)</f>
        <v>1</v>
      </c>
      <c r="AA1001" s="2" t="n">
        <f aca="false">IF($I1001="Correct",ROUND(INDEX('Reward Model'!$B$12:$B$14,MATCH($K1001,'Reward Model'!$A$12:$A$14,0))*Z1001,2),0)</f>
        <v>3</v>
      </c>
      <c r="AB1001" s="2" t="n">
        <f aca="false">IF($I1001="Correct",ROUND(INDEX('Reward Model'!$B$12:$B$14,MATCH($Y1001,'Reward Model'!$A$12:$A$14,0))*Z1001,2),0)</f>
        <v>3</v>
      </c>
    </row>
    <row r="1002" customFormat="false" ht="15" hidden="false" customHeight="false" outlineLevel="0" collapsed="false">
      <c r="A1002" s="0" t="s">
        <v>229</v>
      </c>
      <c r="B1002" s="0" t="s">
        <v>230</v>
      </c>
      <c r="C1002" s="0" t="s">
        <v>30</v>
      </c>
      <c r="D1002" s="0" t="s">
        <v>189</v>
      </c>
      <c r="E1002" s="0" t="n">
        <v>1</v>
      </c>
      <c r="F1002" s="0" t="s">
        <v>32</v>
      </c>
      <c r="G1002" s="0" t="s">
        <v>33</v>
      </c>
      <c r="H1002" s="0" t="s">
        <v>33</v>
      </c>
      <c r="I1002" s="0" t="s">
        <v>34</v>
      </c>
      <c r="J1002" s="0" t="n">
        <v>1.81</v>
      </c>
      <c r="K1002" s="0" t="s">
        <v>35</v>
      </c>
      <c r="L1002" s="0" t="n">
        <f aca="false">INDEX(Summary!$F$2:$F$201,MATCH($B1002,Summary!$A$2:$A$201,0))</f>
        <v>20</v>
      </c>
      <c r="M1002" s="0" t="n">
        <f aca="false">INDEX(Summary!$I$2:$I$201,MATCH($B1002,Summary!$A$2:$A$201,0))</f>
        <v>3</v>
      </c>
      <c r="N1002" s="0" t="n">
        <f aca="false">INDEX(Summary!$J$2:$J$201,MATCH($B1002,Summary!$A$2:$A$201,0))</f>
        <v>2</v>
      </c>
      <c r="O1002" s="2" t="n">
        <f aca="false">INDEX(Summary!$K$2:$K$201,MATCH($B1002,Summary!$A$2:$A$201,0))</f>
        <v>9.68</v>
      </c>
      <c r="P1002" s="3" t="n">
        <f aca="false">INDEX(Summary!$L$2:$L$201,MATCH($B1002,Summary!$A$2:$A$201,0))</f>
        <v>2</v>
      </c>
      <c r="Q1002" s="3" t="n">
        <f aca="false">INDEX(Summary!$M$2:$M$201,MATCH($B1002,Summary!$A$2:$A$201,0))</f>
        <v>4</v>
      </c>
      <c r="R1002" s="2" t="n">
        <f aca="false">INDEX(Summary!$N$2:$N$201,MATCH($B1002,Summary!$A$2:$A$201,0))</f>
        <v>8.8</v>
      </c>
      <c r="S1002" s="3" t="n">
        <f aca="false">INDEX(Summary!$O$2:$O$201,MATCH($B1002,Summary!$A$2:$A$201,0))</f>
        <v>7</v>
      </c>
      <c r="T1002" s="3" t="n">
        <f aca="false">INDEX(Summary!$P$2:$P$201,MATCH($B1002,Summary!$A$2:$A$201,0))</f>
        <v>2</v>
      </c>
      <c r="U1002" s="2" t="n">
        <f aca="false">INDEX(Summary!$Q$2:$Q$201,MATCH($B1002,Summary!$A$2:$A$201,0))</f>
        <v>11.84</v>
      </c>
      <c r="V1002" s="2" t="n">
        <f aca="false">INDEX(Summary!$R$2:$R$201,MATCH($B1002,Summary!$A$2:$A$201,0))</f>
        <v>21.5</v>
      </c>
      <c r="W1002" s="0" t="str">
        <f aca="false">INDEX(Summary!$S$2:$S$201,MATCH($B1002,Summary!$A$2:$A$201,0))</f>
        <v>Silver</v>
      </c>
      <c r="X1002" s="2" t="n">
        <f aca="false">INDEX(Summary!$T$2:$T$201,MATCH($B1002,Summary!$A$2:$A$201,0))</f>
        <v>52.44</v>
      </c>
      <c r="Y1002" s="0" t="str">
        <f aca="false">INDEX('Reward Model'!$E$18:$E$37,MATCH($E1002,'Reward Model'!$A$18:$A$37,0))</f>
        <v>Medium</v>
      </c>
      <c r="Z1002" s="4" t="n">
        <f aca="false">ROUND(MIN(1,MAX('Reward Model'!$B$2,INDEX('Reward Model'!$C$12:$C$14,MATCH($K1002,'Reward Model'!$A$12:$A$14,0))/$J1002)),3)</f>
        <v>0.829</v>
      </c>
      <c r="AA1002" s="2" t="n">
        <f aca="false">IF($I1002="Correct",ROUND(INDEX('Reward Model'!$B$12:$B$14,MATCH($K1002,'Reward Model'!$A$12:$A$14,0))*Z1002,2),0)</f>
        <v>0.83</v>
      </c>
      <c r="AB1002" s="2" t="n">
        <f aca="false">IF($I1002="Correct",ROUND(INDEX('Reward Model'!$B$12:$B$14,MATCH($Y1002,'Reward Model'!$A$12:$A$14,0))*Z1002,2),0)</f>
        <v>1.66</v>
      </c>
    </row>
    <row r="1003" customFormat="false" ht="15" hidden="false" customHeight="false" outlineLevel="0" collapsed="false">
      <c r="A1003" s="0" t="s">
        <v>229</v>
      </c>
      <c r="B1003" s="0" t="s">
        <v>230</v>
      </c>
      <c r="C1003" s="0" t="s">
        <v>30</v>
      </c>
      <c r="D1003" s="0" t="s">
        <v>189</v>
      </c>
      <c r="E1003" s="0" t="n">
        <v>2</v>
      </c>
      <c r="F1003" s="0" t="s">
        <v>36</v>
      </c>
      <c r="G1003" s="0" t="s">
        <v>38</v>
      </c>
      <c r="H1003" s="0" t="s">
        <v>38</v>
      </c>
      <c r="I1003" s="0" t="s">
        <v>34</v>
      </c>
      <c r="J1003" s="0" t="n">
        <v>1.13</v>
      </c>
      <c r="K1003" s="0" t="s">
        <v>35</v>
      </c>
      <c r="L1003" s="0" t="n">
        <f aca="false">INDEX(Summary!$F$2:$F$201,MATCH($B1003,Summary!$A$2:$A$201,0))</f>
        <v>20</v>
      </c>
      <c r="M1003" s="0" t="n">
        <f aca="false">INDEX(Summary!$I$2:$I$201,MATCH($B1003,Summary!$A$2:$A$201,0))</f>
        <v>3</v>
      </c>
      <c r="N1003" s="0" t="n">
        <f aca="false">INDEX(Summary!$J$2:$J$201,MATCH($B1003,Summary!$A$2:$A$201,0))</f>
        <v>2</v>
      </c>
      <c r="O1003" s="2" t="n">
        <f aca="false">INDEX(Summary!$K$2:$K$201,MATCH($B1003,Summary!$A$2:$A$201,0))</f>
        <v>9.68</v>
      </c>
      <c r="P1003" s="3" t="n">
        <f aca="false">INDEX(Summary!$L$2:$L$201,MATCH($B1003,Summary!$A$2:$A$201,0))</f>
        <v>2</v>
      </c>
      <c r="Q1003" s="3" t="n">
        <f aca="false">INDEX(Summary!$M$2:$M$201,MATCH($B1003,Summary!$A$2:$A$201,0))</f>
        <v>4</v>
      </c>
      <c r="R1003" s="2" t="n">
        <f aca="false">INDEX(Summary!$N$2:$N$201,MATCH($B1003,Summary!$A$2:$A$201,0))</f>
        <v>8.8</v>
      </c>
      <c r="S1003" s="3" t="n">
        <f aca="false">INDEX(Summary!$O$2:$O$201,MATCH($B1003,Summary!$A$2:$A$201,0))</f>
        <v>7</v>
      </c>
      <c r="T1003" s="3" t="n">
        <f aca="false">INDEX(Summary!$P$2:$P$201,MATCH($B1003,Summary!$A$2:$A$201,0))</f>
        <v>2</v>
      </c>
      <c r="U1003" s="2" t="n">
        <f aca="false">INDEX(Summary!$Q$2:$Q$201,MATCH($B1003,Summary!$A$2:$A$201,0))</f>
        <v>11.84</v>
      </c>
      <c r="V1003" s="2" t="n">
        <f aca="false">INDEX(Summary!$R$2:$R$201,MATCH($B1003,Summary!$A$2:$A$201,0))</f>
        <v>21.5</v>
      </c>
      <c r="W1003" s="0" t="str">
        <f aca="false">INDEX(Summary!$S$2:$S$201,MATCH($B1003,Summary!$A$2:$A$201,0))</f>
        <v>Silver</v>
      </c>
      <c r="X1003" s="2" t="n">
        <f aca="false">INDEX(Summary!$T$2:$T$201,MATCH($B1003,Summary!$A$2:$A$201,0))</f>
        <v>52.44</v>
      </c>
      <c r="Y1003" s="0" t="str">
        <f aca="false">INDEX('Reward Model'!$E$18:$E$37,MATCH($E1003,'Reward Model'!$A$18:$A$37,0))</f>
        <v>Low</v>
      </c>
      <c r="Z1003" s="4" t="n">
        <f aca="false">ROUND(MIN(1,MAX('Reward Model'!$B$2,INDEX('Reward Model'!$C$12:$C$14,MATCH($K1003,'Reward Model'!$A$12:$A$14,0))/$J1003)),3)</f>
        <v>1</v>
      </c>
      <c r="AA1003" s="2" t="n">
        <f aca="false">IF($I1003="Correct",ROUND(INDEX('Reward Model'!$B$12:$B$14,MATCH($K1003,'Reward Model'!$A$12:$A$14,0))*Z1003,2),0)</f>
        <v>1</v>
      </c>
      <c r="AB1003" s="2" t="n">
        <f aca="false">IF($I1003="Correct",ROUND(INDEX('Reward Model'!$B$12:$B$14,MATCH($Y1003,'Reward Model'!$A$12:$A$14,0))*Z1003,2),0)</f>
        <v>1</v>
      </c>
    </row>
    <row r="1004" customFormat="false" ht="15" hidden="false" customHeight="false" outlineLevel="0" collapsed="false">
      <c r="A1004" s="0" t="s">
        <v>229</v>
      </c>
      <c r="B1004" s="0" t="s">
        <v>230</v>
      </c>
      <c r="C1004" s="0" t="s">
        <v>30</v>
      </c>
      <c r="D1004" s="0" t="s">
        <v>189</v>
      </c>
      <c r="E1004" s="0" t="n">
        <v>3</v>
      </c>
      <c r="F1004" s="0" t="s">
        <v>40</v>
      </c>
      <c r="G1004" s="0" t="s">
        <v>42</v>
      </c>
      <c r="H1004" s="0" t="s">
        <v>42</v>
      </c>
      <c r="I1004" s="0" t="s">
        <v>34</v>
      </c>
      <c r="J1004" s="0" t="n">
        <v>1.42</v>
      </c>
      <c r="K1004" s="0" t="s">
        <v>35</v>
      </c>
      <c r="L1004" s="0" t="n">
        <f aca="false">INDEX(Summary!$F$2:$F$201,MATCH($B1004,Summary!$A$2:$A$201,0))</f>
        <v>20</v>
      </c>
      <c r="M1004" s="0" t="n">
        <f aca="false">INDEX(Summary!$I$2:$I$201,MATCH($B1004,Summary!$A$2:$A$201,0))</f>
        <v>3</v>
      </c>
      <c r="N1004" s="0" t="n">
        <f aca="false">INDEX(Summary!$J$2:$J$201,MATCH($B1004,Summary!$A$2:$A$201,0))</f>
        <v>2</v>
      </c>
      <c r="O1004" s="2" t="n">
        <f aca="false">INDEX(Summary!$K$2:$K$201,MATCH($B1004,Summary!$A$2:$A$201,0))</f>
        <v>9.68</v>
      </c>
      <c r="P1004" s="3" t="n">
        <f aca="false">INDEX(Summary!$L$2:$L$201,MATCH($B1004,Summary!$A$2:$A$201,0))</f>
        <v>2</v>
      </c>
      <c r="Q1004" s="3" t="n">
        <f aca="false">INDEX(Summary!$M$2:$M$201,MATCH($B1004,Summary!$A$2:$A$201,0))</f>
        <v>4</v>
      </c>
      <c r="R1004" s="2" t="n">
        <f aca="false">INDEX(Summary!$N$2:$N$201,MATCH($B1004,Summary!$A$2:$A$201,0))</f>
        <v>8.8</v>
      </c>
      <c r="S1004" s="3" t="n">
        <f aca="false">INDEX(Summary!$O$2:$O$201,MATCH($B1004,Summary!$A$2:$A$201,0))</f>
        <v>7</v>
      </c>
      <c r="T1004" s="3" t="n">
        <f aca="false">INDEX(Summary!$P$2:$P$201,MATCH($B1004,Summary!$A$2:$A$201,0))</f>
        <v>2</v>
      </c>
      <c r="U1004" s="2" t="n">
        <f aca="false">INDEX(Summary!$Q$2:$Q$201,MATCH($B1004,Summary!$A$2:$A$201,0))</f>
        <v>11.84</v>
      </c>
      <c r="V1004" s="2" t="n">
        <f aca="false">INDEX(Summary!$R$2:$R$201,MATCH($B1004,Summary!$A$2:$A$201,0))</f>
        <v>21.5</v>
      </c>
      <c r="W1004" s="0" t="str">
        <f aca="false">INDEX(Summary!$S$2:$S$201,MATCH($B1004,Summary!$A$2:$A$201,0))</f>
        <v>Silver</v>
      </c>
      <c r="X1004" s="2" t="n">
        <f aca="false">INDEX(Summary!$T$2:$T$201,MATCH($B1004,Summary!$A$2:$A$201,0))</f>
        <v>52.44</v>
      </c>
      <c r="Y1004" s="0" t="str">
        <f aca="false">INDEX('Reward Model'!$E$18:$E$37,MATCH($E1004,'Reward Model'!$A$18:$A$37,0))</f>
        <v>Medium</v>
      </c>
      <c r="Z1004" s="4" t="n">
        <f aca="false">ROUND(MIN(1,MAX('Reward Model'!$B$2,INDEX('Reward Model'!$C$12:$C$14,MATCH($K1004,'Reward Model'!$A$12:$A$14,0))/$J1004)),3)</f>
        <v>1</v>
      </c>
      <c r="AA1004" s="2" t="n">
        <f aca="false">IF($I1004="Correct",ROUND(INDEX('Reward Model'!$B$12:$B$14,MATCH($K1004,'Reward Model'!$A$12:$A$14,0))*Z1004,2),0)</f>
        <v>1</v>
      </c>
      <c r="AB1004" s="2" t="n">
        <f aca="false">IF($I1004="Correct",ROUND(INDEX('Reward Model'!$B$12:$B$14,MATCH($Y1004,'Reward Model'!$A$12:$A$14,0))*Z1004,2),0)</f>
        <v>2</v>
      </c>
    </row>
    <row r="1005" customFormat="false" ht="15" hidden="false" customHeight="false" outlineLevel="0" collapsed="false">
      <c r="A1005" s="0" t="s">
        <v>229</v>
      </c>
      <c r="B1005" s="0" t="s">
        <v>230</v>
      </c>
      <c r="C1005" s="0" t="s">
        <v>30</v>
      </c>
      <c r="D1005" s="0" t="s">
        <v>189</v>
      </c>
      <c r="E1005" s="0" t="n">
        <v>4</v>
      </c>
      <c r="F1005" s="0" t="s">
        <v>43</v>
      </c>
      <c r="G1005" s="0" t="s">
        <v>45</v>
      </c>
      <c r="H1005" s="0" t="s">
        <v>45</v>
      </c>
      <c r="I1005" s="0" t="s">
        <v>34</v>
      </c>
      <c r="J1005" s="0" t="n">
        <v>1.1</v>
      </c>
      <c r="K1005" s="0" t="s">
        <v>35</v>
      </c>
      <c r="L1005" s="0" t="n">
        <f aca="false">INDEX(Summary!$F$2:$F$201,MATCH($B1005,Summary!$A$2:$A$201,0))</f>
        <v>20</v>
      </c>
      <c r="M1005" s="0" t="n">
        <f aca="false">INDEX(Summary!$I$2:$I$201,MATCH($B1005,Summary!$A$2:$A$201,0))</f>
        <v>3</v>
      </c>
      <c r="N1005" s="0" t="n">
        <f aca="false">INDEX(Summary!$J$2:$J$201,MATCH($B1005,Summary!$A$2:$A$201,0))</f>
        <v>2</v>
      </c>
      <c r="O1005" s="2" t="n">
        <f aca="false">INDEX(Summary!$K$2:$K$201,MATCH($B1005,Summary!$A$2:$A$201,0))</f>
        <v>9.68</v>
      </c>
      <c r="P1005" s="3" t="n">
        <f aca="false">INDEX(Summary!$L$2:$L$201,MATCH($B1005,Summary!$A$2:$A$201,0))</f>
        <v>2</v>
      </c>
      <c r="Q1005" s="3" t="n">
        <f aca="false">INDEX(Summary!$M$2:$M$201,MATCH($B1005,Summary!$A$2:$A$201,0))</f>
        <v>4</v>
      </c>
      <c r="R1005" s="2" t="n">
        <f aca="false">INDEX(Summary!$N$2:$N$201,MATCH($B1005,Summary!$A$2:$A$201,0))</f>
        <v>8.8</v>
      </c>
      <c r="S1005" s="3" t="n">
        <f aca="false">INDEX(Summary!$O$2:$O$201,MATCH($B1005,Summary!$A$2:$A$201,0))</f>
        <v>7</v>
      </c>
      <c r="T1005" s="3" t="n">
        <f aca="false">INDEX(Summary!$P$2:$P$201,MATCH($B1005,Summary!$A$2:$A$201,0))</f>
        <v>2</v>
      </c>
      <c r="U1005" s="2" t="n">
        <f aca="false">INDEX(Summary!$Q$2:$Q$201,MATCH($B1005,Summary!$A$2:$A$201,0))</f>
        <v>11.84</v>
      </c>
      <c r="V1005" s="2" t="n">
        <f aca="false">INDEX(Summary!$R$2:$R$201,MATCH($B1005,Summary!$A$2:$A$201,0))</f>
        <v>21.5</v>
      </c>
      <c r="W1005" s="0" t="str">
        <f aca="false">INDEX(Summary!$S$2:$S$201,MATCH($B1005,Summary!$A$2:$A$201,0))</f>
        <v>Silver</v>
      </c>
      <c r="X1005" s="2" t="n">
        <f aca="false">INDEX(Summary!$T$2:$T$201,MATCH($B1005,Summary!$A$2:$A$201,0))</f>
        <v>52.44</v>
      </c>
      <c r="Y1005" s="0" t="str">
        <f aca="false">INDEX('Reward Model'!$E$18:$E$37,MATCH($E1005,'Reward Model'!$A$18:$A$37,0))</f>
        <v>Low</v>
      </c>
      <c r="Z1005" s="4" t="n">
        <f aca="false">ROUND(MIN(1,MAX('Reward Model'!$B$2,INDEX('Reward Model'!$C$12:$C$14,MATCH($K1005,'Reward Model'!$A$12:$A$14,0))/$J1005)),3)</f>
        <v>1</v>
      </c>
      <c r="AA1005" s="2" t="n">
        <f aca="false">IF($I1005="Correct",ROUND(INDEX('Reward Model'!$B$12:$B$14,MATCH($K1005,'Reward Model'!$A$12:$A$14,0))*Z1005,2),0)</f>
        <v>1</v>
      </c>
      <c r="AB1005" s="2" t="n">
        <f aca="false">IF($I1005="Correct",ROUND(INDEX('Reward Model'!$B$12:$B$14,MATCH($Y1005,'Reward Model'!$A$12:$A$14,0))*Z1005,2),0)</f>
        <v>1</v>
      </c>
    </row>
    <row r="1006" customFormat="false" ht="15" hidden="false" customHeight="false" outlineLevel="0" collapsed="false">
      <c r="A1006" s="0" t="s">
        <v>229</v>
      </c>
      <c r="B1006" s="0" t="s">
        <v>230</v>
      </c>
      <c r="C1006" s="0" t="s">
        <v>30</v>
      </c>
      <c r="D1006" s="0" t="s">
        <v>189</v>
      </c>
      <c r="E1006" s="0" t="n">
        <v>5</v>
      </c>
      <c r="F1006" s="0" t="s">
        <v>46</v>
      </c>
      <c r="G1006" s="0" t="s">
        <v>47</v>
      </c>
      <c r="H1006" s="0" t="s">
        <v>47</v>
      </c>
      <c r="I1006" s="0" t="s">
        <v>34</v>
      </c>
      <c r="J1006" s="0" t="n">
        <v>0.96</v>
      </c>
      <c r="K1006" s="0" t="s">
        <v>35</v>
      </c>
      <c r="L1006" s="0" t="n">
        <f aca="false">INDEX(Summary!$F$2:$F$201,MATCH($B1006,Summary!$A$2:$A$201,0))</f>
        <v>20</v>
      </c>
      <c r="M1006" s="0" t="n">
        <f aca="false">INDEX(Summary!$I$2:$I$201,MATCH($B1006,Summary!$A$2:$A$201,0))</f>
        <v>3</v>
      </c>
      <c r="N1006" s="0" t="n">
        <f aca="false">INDEX(Summary!$J$2:$J$201,MATCH($B1006,Summary!$A$2:$A$201,0))</f>
        <v>2</v>
      </c>
      <c r="O1006" s="2" t="n">
        <f aca="false">INDEX(Summary!$K$2:$K$201,MATCH($B1006,Summary!$A$2:$A$201,0))</f>
        <v>9.68</v>
      </c>
      <c r="P1006" s="3" t="n">
        <f aca="false">INDEX(Summary!$L$2:$L$201,MATCH($B1006,Summary!$A$2:$A$201,0))</f>
        <v>2</v>
      </c>
      <c r="Q1006" s="3" t="n">
        <f aca="false">INDEX(Summary!$M$2:$M$201,MATCH($B1006,Summary!$A$2:$A$201,0))</f>
        <v>4</v>
      </c>
      <c r="R1006" s="2" t="n">
        <f aca="false">INDEX(Summary!$N$2:$N$201,MATCH($B1006,Summary!$A$2:$A$201,0))</f>
        <v>8.8</v>
      </c>
      <c r="S1006" s="3" t="n">
        <f aca="false">INDEX(Summary!$O$2:$O$201,MATCH($B1006,Summary!$A$2:$A$201,0))</f>
        <v>7</v>
      </c>
      <c r="T1006" s="3" t="n">
        <f aca="false">INDEX(Summary!$P$2:$P$201,MATCH($B1006,Summary!$A$2:$A$201,0))</f>
        <v>2</v>
      </c>
      <c r="U1006" s="2" t="n">
        <f aca="false">INDEX(Summary!$Q$2:$Q$201,MATCH($B1006,Summary!$A$2:$A$201,0))</f>
        <v>11.84</v>
      </c>
      <c r="V1006" s="2" t="n">
        <f aca="false">INDEX(Summary!$R$2:$R$201,MATCH($B1006,Summary!$A$2:$A$201,0))</f>
        <v>21.5</v>
      </c>
      <c r="W1006" s="0" t="str">
        <f aca="false">INDEX(Summary!$S$2:$S$201,MATCH($B1006,Summary!$A$2:$A$201,0))</f>
        <v>Silver</v>
      </c>
      <c r="X1006" s="2" t="n">
        <f aca="false">INDEX(Summary!$T$2:$T$201,MATCH($B1006,Summary!$A$2:$A$201,0))</f>
        <v>52.44</v>
      </c>
      <c r="Y1006" s="0" t="str">
        <f aca="false">INDEX('Reward Model'!$E$18:$E$37,MATCH($E1006,'Reward Model'!$A$18:$A$37,0))</f>
        <v>Low</v>
      </c>
      <c r="Z1006" s="4" t="n">
        <f aca="false">ROUND(MIN(1,MAX('Reward Model'!$B$2,INDEX('Reward Model'!$C$12:$C$14,MATCH($K1006,'Reward Model'!$A$12:$A$14,0))/$J1006)),3)</f>
        <v>1</v>
      </c>
      <c r="AA1006" s="2" t="n">
        <f aca="false">IF($I1006="Correct",ROUND(INDEX('Reward Model'!$B$12:$B$14,MATCH($K1006,'Reward Model'!$A$12:$A$14,0))*Z1006,2),0)</f>
        <v>1</v>
      </c>
      <c r="AB1006" s="2" t="n">
        <f aca="false">IF($I1006="Correct",ROUND(INDEX('Reward Model'!$B$12:$B$14,MATCH($Y1006,'Reward Model'!$A$12:$A$14,0))*Z1006,2),0)</f>
        <v>1</v>
      </c>
    </row>
    <row r="1007" customFormat="false" ht="15" hidden="false" customHeight="false" outlineLevel="0" collapsed="false">
      <c r="A1007" s="0" t="s">
        <v>229</v>
      </c>
      <c r="B1007" s="0" t="s">
        <v>230</v>
      </c>
      <c r="C1007" s="0" t="s">
        <v>30</v>
      </c>
      <c r="D1007" s="0" t="s">
        <v>189</v>
      </c>
      <c r="E1007" s="0" t="n">
        <v>6</v>
      </c>
      <c r="F1007" s="0" t="s">
        <v>48</v>
      </c>
      <c r="G1007" s="0" t="s">
        <v>49</v>
      </c>
      <c r="H1007" s="0" t="s">
        <v>49</v>
      </c>
      <c r="I1007" s="0" t="s">
        <v>34</v>
      </c>
      <c r="J1007" s="0" t="n">
        <v>1.24</v>
      </c>
      <c r="K1007" s="0" t="s">
        <v>35</v>
      </c>
      <c r="L1007" s="0" t="n">
        <f aca="false">INDEX(Summary!$F$2:$F$201,MATCH($B1007,Summary!$A$2:$A$201,0))</f>
        <v>20</v>
      </c>
      <c r="M1007" s="0" t="n">
        <f aca="false">INDEX(Summary!$I$2:$I$201,MATCH($B1007,Summary!$A$2:$A$201,0))</f>
        <v>3</v>
      </c>
      <c r="N1007" s="0" t="n">
        <f aca="false">INDEX(Summary!$J$2:$J$201,MATCH($B1007,Summary!$A$2:$A$201,0))</f>
        <v>2</v>
      </c>
      <c r="O1007" s="2" t="n">
        <f aca="false">INDEX(Summary!$K$2:$K$201,MATCH($B1007,Summary!$A$2:$A$201,0))</f>
        <v>9.68</v>
      </c>
      <c r="P1007" s="3" t="n">
        <f aca="false">INDEX(Summary!$L$2:$L$201,MATCH($B1007,Summary!$A$2:$A$201,0))</f>
        <v>2</v>
      </c>
      <c r="Q1007" s="3" t="n">
        <f aca="false">INDEX(Summary!$M$2:$M$201,MATCH($B1007,Summary!$A$2:$A$201,0))</f>
        <v>4</v>
      </c>
      <c r="R1007" s="2" t="n">
        <f aca="false">INDEX(Summary!$N$2:$N$201,MATCH($B1007,Summary!$A$2:$A$201,0))</f>
        <v>8.8</v>
      </c>
      <c r="S1007" s="3" t="n">
        <f aca="false">INDEX(Summary!$O$2:$O$201,MATCH($B1007,Summary!$A$2:$A$201,0))</f>
        <v>7</v>
      </c>
      <c r="T1007" s="3" t="n">
        <f aca="false">INDEX(Summary!$P$2:$P$201,MATCH($B1007,Summary!$A$2:$A$201,0))</f>
        <v>2</v>
      </c>
      <c r="U1007" s="2" t="n">
        <f aca="false">INDEX(Summary!$Q$2:$Q$201,MATCH($B1007,Summary!$A$2:$A$201,0))</f>
        <v>11.84</v>
      </c>
      <c r="V1007" s="2" t="n">
        <f aca="false">INDEX(Summary!$R$2:$R$201,MATCH($B1007,Summary!$A$2:$A$201,0))</f>
        <v>21.5</v>
      </c>
      <c r="W1007" s="0" t="str">
        <f aca="false">INDEX(Summary!$S$2:$S$201,MATCH($B1007,Summary!$A$2:$A$201,0))</f>
        <v>Silver</v>
      </c>
      <c r="X1007" s="2" t="n">
        <f aca="false">INDEX(Summary!$T$2:$T$201,MATCH($B1007,Summary!$A$2:$A$201,0))</f>
        <v>52.44</v>
      </c>
      <c r="Y1007" s="0" t="str">
        <f aca="false">INDEX('Reward Model'!$E$18:$E$37,MATCH($E1007,'Reward Model'!$A$18:$A$37,0))</f>
        <v>Medium</v>
      </c>
      <c r="Z1007" s="4" t="n">
        <f aca="false">ROUND(MIN(1,MAX('Reward Model'!$B$2,INDEX('Reward Model'!$C$12:$C$14,MATCH($K1007,'Reward Model'!$A$12:$A$14,0))/$J1007)),3)</f>
        <v>1</v>
      </c>
      <c r="AA1007" s="2" t="n">
        <f aca="false">IF($I1007="Correct",ROUND(INDEX('Reward Model'!$B$12:$B$14,MATCH($K1007,'Reward Model'!$A$12:$A$14,0))*Z1007,2),0)</f>
        <v>1</v>
      </c>
      <c r="AB1007" s="2" t="n">
        <f aca="false">IF($I1007="Correct",ROUND(INDEX('Reward Model'!$B$12:$B$14,MATCH($Y1007,'Reward Model'!$A$12:$A$14,0))*Z1007,2),0)</f>
        <v>2</v>
      </c>
    </row>
    <row r="1008" customFormat="false" ht="15" hidden="false" customHeight="false" outlineLevel="0" collapsed="false">
      <c r="A1008" s="0" t="s">
        <v>229</v>
      </c>
      <c r="B1008" s="0" t="s">
        <v>230</v>
      </c>
      <c r="C1008" s="0" t="s">
        <v>30</v>
      </c>
      <c r="D1008" s="0" t="s">
        <v>189</v>
      </c>
      <c r="E1008" s="0" t="n">
        <v>7</v>
      </c>
      <c r="F1008" s="0" t="s">
        <v>50</v>
      </c>
      <c r="G1008" s="0" t="s">
        <v>51</v>
      </c>
      <c r="H1008" s="0" t="s">
        <v>51</v>
      </c>
      <c r="I1008" s="0" t="s">
        <v>34</v>
      </c>
      <c r="J1008" s="0" t="n">
        <v>1.63</v>
      </c>
      <c r="K1008" s="0" t="s">
        <v>35</v>
      </c>
      <c r="L1008" s="0" t="n">
        <f aca="false">INDEX(Summary!$F$2:$F$201,MATCH($B1008,Summary!$A$2:$A$201,0))</f>
        <v>20</v>
      </c>
      <c r="M1008" s="0" t="n">
        <f aca="false">INDEX(Summary!$I$2:$I$201,MATCH($B1008,Summary!$A$2:$A$201,0))</f>
        <v>3</v>
      </c>
      <c r="N1008" s="0" t="n">
        <f aca="false">INDEX(Summary!$J$2:$J$201,MATCH($B1008,Summary!$A$2:$A$201,0))</f>
        <v>2</v>
      </c>
      <c r="O1008" s="2" t="n">
        <f aca="false">INDEX(Summary!$K$2:$K$201,MATCH($B1008,Summary!$A$2:$A$201,0))</f>
        <v>9.68</v>
      </c>
      <c r="P1008" s="3" t="n">
        <f aca="false">INDEX(Summary!$L$2:$L$201,MATCH($B1008,Summary!$A$2:$A$201,0))</f>
        <v>2</v>
      </c>
      <c r="Q1008" s="3" t="n">
        <f aca="false">INDEX(Summary!$M$2:$M$201,MATCH($B1008,Summary!$A$2:$A$201,0))</f>
        <v>4</v>
      </c>
      <c r="R1008" s="2" t="n">
        <f aca="false">INDEX(Summary!$N$2:$N$201,MATCH($B1008,Summary!$A$2:$A$201,0))</f>
        <v>8.8</v>
      </c>
      <c r="S1008" s="3" t="n">
        <f aca="false">INDEX(Summary!$O$2:$O$201,MATCH($B1008,Summary!$A$2:$A$201,0))</f>
        <v>7</v>
      </c>
      <c r="T1008" s="3" t="n">
        <f aca="false">INDEX(Summary!$P$2:$P$201,MATCH($B1008,Summary!$A$2:$A$201,0))</f>
        <v>2</v>
      </c>
      <c r="U1008" s="2" t="n">
        <f aca="false">INDEX(Summary!$Q$2:$Q$201,MATCH($B1008,Summary!$A$2:$A$201,0))</f>
        <v>11.84</v>
      </c>
      <c r="V1008" s="2" t="n">
        <f aca="false">INDEX(Summary!$R$2:$R$201,MATCH($B1008,Summary!$A$2:$A$201,0))</f>
        <v>21.5</v>
      </c>
      <c r="W1008" s="0" t="str">
        <f aca="false">INDEX(Summary!$S$2:$S$201,MATCH($B1008,Summary!$A$2:$A$201,0))</f>
        <v>Silver</v>
      </c>
      <c r="X1008" s="2" t="n">
        <f aca="false">INDEX(Summary!$T$2:$T$201,MATCH($B1008,Summary!$A$2:$A$201,0))</f>
        <v>52.44</v>
      </c>
      <c r="Y1008" s="0" t="str">
        <f aca="false">INDEX('Reward Model'!$E$18:$E$37,MATCH($E1008,'Reward Model'!$A$18:$A$37,0))</f>
        <v>Low</v>
      </c>
      <c r="Z1008" s="4" t="n">
        <f aca="false">ROUND(MIN(1,MAX('Reward Model'!$B$2,INDEX('Reward Model'!$C$12:$C$14,MATCH($K1008,'Reward Model'!$A$12:$A$14,0))/$J1008)),3)</f>
        <v>0.92</v>
      </c>
      <c r="AA1008" s="2" t="n">
        <f aca="false">IF($I1008="Correct",ROUND(INDEX('Reward Model'!$B$12:$B$14,MATCH($K1008,'Reward Model'!$A$12:$A$14,0))*Z1008,2),0)</f>
        <v>0.92</v>
      </c>
      <c r="AB1008" s="2" t="n">
        <f aca="false">IF($I1008="Correct",ROUND(INDEX('Reward Model'!$B$12:$B$14,MATCH($Y1008,'Reward Model'!$A$12:$A$14,0))*Z1008,2),0)</f>
        <v>0.92</v>
      </c>
    </row>
    <row r="1009" customFormat="false" ht="15" hidden="false" customHeight="false" outlineLevel="0" collapsed="false">
      <c r="A1009" s="0" t="s">
        <v>229</v>
      </c>
      <c r="B1009" s="0" t="s">
        <v>230</v>
      </c>
      <c r="C1009" s="0" t="s">
        <v>30</v>
      </c>
      <c r="D1009" s="0" t="s">
        <v>189</v>
      </c>
      <c r="E1009" s="0" t="n">
        <v>8</v>
      </c>
      <c r="F1009" s="0" t="s">
        <v>52</v>
      </c>
      <c r="G1009" s="0" t="s">
        <v>137</v>
      </c>
      <c r="H1009" s="0" t="s">
        <v>54</v>
      </c>
      <c r="I1009" s="0" t="s">
        <v>39</v>
      </c>
      <c r="J1009" s="0" t="n">
        <v>1.24</v>
      </c>
      <c r="K1009" s="0" t="s">
        <v>35</v>
      </c>
      <c r="L1009" s="0" t="n">
        <f aca="false">INDEX(Summary!$F$2:$F$201,MATCH($B1009,Summary!$A$2:$A$201,0))</f>
        <v>20</v>
      </c>
      <c r="M1009" s="0" t="n">
        <f aca="false">INDEX(Summary!$I$2:$I$201,MATCH($B1009,Summary!$A$2:$A$201,0))</f>
        <v>3</v>
      </c>
      <c r="N1009" s="0" t="n">
        <f aca="false">INDEX(Summary!$J$2:$J$201,MATCH($B1009,Summary!$A$2:$A$201,0))</f>
        <v>2</v>
      </c>
      <c r="O1009" s="2" t="n">
        <f aca="false">INDEX(Summary!$K$2:$K$201,MATCH($B1009,Summary!$A$2:$A$201,0))</f>
        <v>9.68</v>
      </c>
      <c r="P1009" s="3" t="n">
        <f aca="false">INDEX(Summary!$L$2:$L$201,MATCH($B1009,Summary!$A$2:$A$201,0))</f>
        <v>2</v>
      </c>
      <c r="Q1009" s="3" t="n">
        <f aca="false">INDEX(Summary!$M$2:$M$201,MATCH($B1009,Summary!$A$2:$A$201,0))</f>
        <v>4</v>
      </c>
      <c r="R1009" s="2" t="n">
        <f aca="false">INDEX(Summary!$N$2:$N$201,MATCH($B1009,Summary!$A$2:$A$201,0))</f>
        <v>8.8</v>
      </c>
      <c r="S1009" s="3" t="n">
        <f aca="false">INDEX(Summary!$O$2:$O$201,MATCH($B1009,Summary!$A$2:$A$201,0))</f>
        <v>7</v>
      </c>
      <c r="T1009" s="3" t="n">
        <f aca="false">INDEX(Summary!$P$2:$P$201,MATCH($B1009,Summary!$A$2:$A$201,0))</f>
        <v>2</v>
      </c>
      <c r="U1009" s="2" t="n">
        <f aca="false">INDEX(Summary!$Q$2:$Q$201,MATCH($B1009,Summary!$A$2:$A$201,0))</f>
        <v>11.84</v>
      </c>
      <c r="V1009" s="2" t="n">
        <f aca="false">INDEX(Summary!$R$2:$R$201,MATCH($B1009,Summary!$A$2:$A$201,0))</f>
        <v>21.5</v>
      </c>
      <c r="W1009" s="0" t="str">
        <f aca="false">INDEX(Summary!$S$2:$S$201,MATCH($B1009,Summary!$A$2:$A$201,0))</f>
        <v>Silver</v>
      </c>
      <c r="X1009" s="2" t="n">
        <f aca="false">INDEX(Summary!$T$2:$T$201,MATCH($B1009,Summary!$A$2:$A$201,0))</f>
        <v>52.44</v>
      </c>
      <c r="Y1009" s="0" t="str">
        <f aca="false">INDEX('Reward Model'!$E$18:$E$37,MATCH($E1009,'Reward Model'!$A$18:$A$37,0))</f>
        <v>Medium</v>
      </c>
      <c r="Z1009" s="4" t="n">
        <f aca="false">ROUND(MIN(1,MAX('Reward Model'!$B$2,INDEX('Reward Model'!$C$12:$C$14,MATCH($K1009,'Reward Model'!$A$12:$A$14,0))/$J1009)),3)</f>
        <v>1</v>
      </c>
      <c r="AA1009" s="2" t="n">
        <f aca="false">IF($I1009="Correct",ROUND(INDEX('Reward Model'!$B$12:$B$14,MATCH($K1009,'Reward Model'!$A$12:$A$14,0))*Z1009,2),0)</f>
        <v>0</v>
      </c>
      <c r="AB1009" s="2" t="n">
        <f aca="false">IF($I1009="Correct",ROUND(INDEX('Reward Model'!$B$12:$B$14,MATCH($Y1009,'Reward Model'!$A$12:$A$14,0))*Z1009,2),0)</f>
        <v>0</v>
      </c>
    </row>
    <row r="1010" customFormat="false" ht="15" hidden="false" customHeight="false" outlineLevel="0" collapsed="false">
      <c r="A1010" s="0" t="s">
        <v>229</v>
      </c>
      <c r="B1010" s="0" t="s">
        <v>230</v>
      </c>
      <c r="C1010" s="0" t="s">
        <v>30</v>
      </c>
      <c r="D1010" s="0" t="s">
        <v>189</v>
      </c>
      <c r="E1010" s="0" t="n">
        <v>9</v>
      </c>
      <c r="F1010" s="0" t="s">
        <v>55</v>
      </c>
      <c r="G1010" s="0" t="s">
        <v>56</v>
      </c>
      <c r="H1010" s="0" t="s">
        <v>57</v>
      </c>
      <c r="I1010" s="0" t="s">
        <v>39</v>
      </c>
      <c r="J1010" s="0" t="n">
        <v>1.31</v>
      </c>
      <c r="K1010" s="0" t="s">
        <v>35</v>
      </c>
      <c r="L1010" s="0" t="n">
        <f aca="false">INDEX(Summary!$F$2:$F$201,MATCH($B1010,Summary!$A$2:$A$201,0))</f>
        <v>20</v>
      </c>
      <c r="M1010" s="0" t="n">
        <f aca="false">INDEX(Summary!$I$2:$I$201,MATCH($B1010,Summary!$A$2:$A$201,0))</f>
        <v>3</v>
      </c>
      <c r="N1010" s="0" t="n">
        <f aca="false">INDEX(Summary!$J$2:$J$201,MATCH($B1010,Summary!$A$2:$A$201,0))</f>
        <v>2</v>
      </c>
      <c r="O1010" s="2" t="n">
        <f aca="false">INDEX(Summary!$K$2:$K$201,MATCH($B1010,Summary!$A$2:$A$201,0))</f>
        <v>9.68</v>
      </c>
      <c r="P1010" s="3" t="n">
        <f aca="false">INDEX(Summary!$L$2:$L$201,MATCH($B1010,Summary!$A$2:$A$201,0))</f>
        <v>2</v>
      </c>
      <c r="Q1010" s="3" t="n">
        <f aca="false">INDEX(Summary!$M$2:$M$201,MATCH($B1010,Summary!$A$2:$A$201,0))</f>
        <v>4</v>
      </c>
      <c r="R1010" s="2" t="n">
        <f aca="false">INDEX(Summary!$N$2:$N$201,MATCH($B1010,Summary!$A$2:$A$201,0))</f>
        <v>8.8</v>
      </c>
      <c r="S1010" s="3" t="n">
        <f aca="false">INDEX(Summary!$O$2:$O$201,MATCH($B1010,Summary!$A$2:$A$201,0))</f>
        <v>7</v>
      </c>
      <c r="T1010" s="3" t="n">
        <f aca="false">INDEX(Summary!$P$2:$P$201,MATCH($B1010,Summary!$A$2:$A$201,0))</f>
        <v>2</v>
      </c>
      <c r="U1010" s="2" t="n">
        <f aca="false">INDEX(Summary!$Q$2:$Q$201,MATCH($B1010,Summary!$A$2:$A$201,0))</f>
        <v>11.84</v>
      </c>
      <c r="V1010" s="2" t="n">
        <f aca="false">INDEX(Summary!$R$2:$R$201,MATCH($B1010,Summary!$A$2:$A$201,0))</f>
        <v>21.5</v>
      </c>
      <c r="W1010" s="0" t="str">
        <f aca="false">INDEX(Summary!$S$2:$S$201,MATCH($B1010,Summary!$A$2:$A$201,0))</f>
        <v>Silver</v>
      </c>
      <c r="X1010" s="2" t="n">
        <f aca="false">INDEX(Summary!$T$2:$T$201,MATCH($B1010,Summary!$A$2:$A$201,0))</f>
        <v>52.44</v>
      </c>
      <c r="Y1010" s="0" t="str">
        <f aca="false">INDEX('Reward Model'!$E$18:$E$37,MATCH($E1010,'Reward Model'!$A$18:$A$37,0))</f>
        <v>Medium</v>
      </c>
      <c r="Z1010" s="4" t="n">
        <f aca="false">ROUND(MIN(1,MAX('Reward Model'!$B$2,INDEX('Reward Model'!$C$12:$C$14,MATCH($K1010,'Reward Model'!$A$12:$A$14,0))/$J1010)),3)</f>
        <v>1</v>
      </c>
      <c r="AA1010" s="2" t="n">
        <f aca="false">IF($I1010="Correct",ROUND(INDEX('Reward Model'!$B$12:$B$14,MATCH($K1010,'Reward Model'!$A$12:$A$14,0))*Z1010,2),0)</f>
        <v>0</v>
      </c>
      <c r="AB1010" s="2" t="n">
        <f aca="false">IF($I1010="Correct",ROUND(INDEX('Reward Model'!$B$12:$B$14,MATCH($Y1010,'Reward Model'!$A$12:$A$14,0))*Z1010,2),0)</f>
        <v>0</v>
      </c>
    </row>
    <row r="1011" customFormat="false" ht="15" hidden="false" customHeight="false" outlineLevel="0" collapsed="false">
      <c r="A1011" s="0" t="s">
        <v>229</v>
      </c>
      <c r="B1011" s="0" t="s">
        <v>230</v>
      </c>
      <c r="C1011" s="0" t="s">
        <v>30</v>
      </c>
      <c r="D1011" s="0" t="s">
        <v>189</v>
      </c>
      <c r="E1011" s="0" t="n">
        <v>10</v>
      </c>
      <c r="F1011" s="0" t="s">
        <v>58</v>
      </c>
      <c r="G1011" s="0" t="s">
        <v>59</v>
      </c>
      <c r="H1011" s="0" t="s">
        <v>59</v>
      </c>
      <c r="I1011" s="0" t="s">
        <v>34</v>
      </c>
      <c r="J1011" s="0" t="n">
        <v>1.32</v>
      </c>
      <c r="K1011" s="0" t="s">
        <v>60</v>
      </c>
      <c r="L1011" s="0" t="n">
        <f aca="false">INDEX(Summary!$F$2:$F$201,MATCH($B1011,Summary!$A$2:$A$201,0))</f>
        <v>20</v>
      </c>
      <c r="M1011" s="0" t="n">
        <f aca="false">INDEX(Summary!$I$2:$I$201,MATCH($B1011,Summary!$A$2:$A$201,0))</f>
        <v>3</v>
      </c>
      <c r="N1011" s="0" t="n">
        <f aca="false">INDEX(Summary!$J$2:$J$201,MATCH($B1011,Summary!$A$2:$A$201,0))</f>
        <v>2</v>
      </c>
      <c r="O1011" s="2" t="n">
        <f aca="false">INDEX(Summary!$K$2:$K$201,MATCH($B1011,Summary!$A$2:$A$201,0))</f>
        <v>9.68</v>
      </c>
      <c r="P1011" s="3" t="n">
        <f aca="false">INDEX(Summary!$L$2:$L$201,MATCH($B1011,Summary!$A$2:$A$201,0))</f>
        <v>2</v>
      </c>
      <c r="Q1011" s="3" t="n">
        <f aca="false">INDEX(Summary!$M$2:$M$201,MATCH($B1011,Summary!$A$2:$A$201,0))</f>
        <v>4</v>
      </c>
      <c r="R1011" s="2" t="n">
        <f aca="false">INDEX(Summary!$N$2:$N$201,MATCH($B1011,Summary!$A$2:$A$201,0))</f>
        <v>8.8</v>
      </c>
      <c r="S1011" s="3" t="n">
        <f aca="false">INDEX(Summary!$O$2:$O$201,MATCH($B1011,Summary!$A$2:$A$201,0))</f>
        <v>7</v>
      </c>
      <c r="T1011" s="3" t="n">
        <f aca="false">INDEX(Summary!$P$2:$P$201,MATCH($B1011,Summary!$A$2:$A$201,0))</f>
        <v>2</v>
      </c>
      <c r="U1011" s="2" t="n">
        <f aca="false">INDEX(Summary!$Q$2:$Q$201,MATCH($B1011,Summary!$A$2:$A$201,0))</f>
        <v>11.84</v>
      </c>
      <c r="V1011" s="2" t="n">
        <f aca="false">INDEX(Summary!$R$2:$R$201,MATCH($B1011,Summary!$A$2:$A$201,0))</f>
        <v>21.5</v>
      </c>
      <c r="W1011" s="0" t="str">
        <f aca="false">INDEX(Summary!$S$2:$S$201,MATCH($B1011,Summary!$A$2:$A$201,0))</f>
        <v>Silver</v>
      </c>
      <c r="X1011" s="2" t="n">
        <f aca="false">INDEX(Summary!$T$2:$T$201,MATCH($B1011,Summary!$A$2:$A$201,0))</f>
        <v>52.44</v>
      </c>
      <c r="Y1011" s="0" t="str">
        <f aca="false">INDEX('Reward Model'!$E$18:$E$37,MATCH($E1011,'Reward Model'!$A$18:$A$37,0))</f>
        <v>Medium</v>
      </c>
      <c r="Z1011" s="4" t="n">
        <f aca="false">ROUND(MIN(1,MAX('Reward Model'!$B$2,INDEX('Reward Model'!$C$12:$C$14,MATCH($K1011,'Reward Model'!$A$12:$A$14,0))/$J1011)),3)</f>
        <v>1</v>
      </c>
      <c r="AA1011" s="2" t="n">
        <f aca="false">IF($I1011="Correct",ROUND(INDEX('Reward Model'!$B$12:$B$14,MATCH($K1011,'Reward Model'!$A$12:$A$14,0))*Z1011,2),0)</f>
        <v>2</v>
      </c>
      <c r="AB1011" s="2" t="n">
        <f aca="false">IF($I1011="Correct",ROUND(INDEX('Reward Model'!$B$12:$B$14,MATCH($Y1011,'Reward Model'!$A$12:$A$14,0))*Z1011,2),0)</f>
        <v>2</v>
      </c>
    </row>
    <row r="1012" customFormat="false" ht="15" hidden="false" customHeight="false" outlineLevel="0" collapsed="false">
      <c r="A1012" s="0" t="s">
        <v>229</v>
      </c>
      <c r="B1012" s="0" t="s">
        <v>230</v>
      </c>
      <c r="C1012" s="0" t="s">
        <v>30</v>
      </c>
      <c r="D1012" s="0" t="s">
        <v>189</v>
      </c>
      <c r="E1012" s="0" t="n">
        <v>11</v>
      </c>
      <c r="F1012" s="0" t="s">
        <v>61</v>
      </c>
      <c r="G1012" s="0" t="s">
        <v>150</v>
      </c>
      <c r="H1012" s="0" t="s">
        <v>63</v>
      </c>
      <c r="I1012" s="0" t="s">
        <v>39</v>
      </c>
      <c r="J1012" s="0" t="n">
        <v>1.9</v>
      </c>
      <c r="K1012" s="0" t="s">
        <v>60</v>
      </c>
      <c r="L1012" s="0" t="n">
        <f aca="false">INDEX(Summary!$F$2:$F$201,MATCH($B1012,Summary!$A$2:$A$201,0))</f>
        <v>20</v>
      </c>
      <c r="M1012" s="0" t="n">
        <f aca="false">INDEX(Summary!$I$2:$I$201,MATCH($B1012,Summary!$A$2:$A$201,0))</f>
        <v>3</v>
      </c>
      <c r="N1012" s="0" t="n">
        <f aca="false">INDEX(Summary!$J$2:$J$201,MATCH($B1012,Summary!$A$2:$A$201,0))</f>
        <v>2</v>
      </c>
      <c r="O1012" s="2" t="n">
        <f aca="false">INDEX(Summary!$K$2:$K$201,MATCH($B1012,Summary!$A$2:$A$201,0))</f>
        <v>9.68</v>
      </c>
      <c r="P1012" s="3" t="n">
        <f aca="false">INDEX(Summary!$L$2:$L$201,MATCH($B1012,Summary!$A$2:$A$201,0))</f>
        <v>2</v>
      </c>
      <c r="Q1012" s="3" t="n">
        <f aca="false">INDEX(Summary!$M$2:$M$201,MATCH($B1012,Summary!$A$2:$A$201,0))</f>
        <v>4</v>
      </c>
      <c r="R1012" s="2" t="n">
        <f aca="false">INDEX(Summary!$N$2:$N$201,MATCH($B1012,Summary!$A$2:$A$201,0))</f>
        <v>8.8</v>
      </c>
      <c r="S1012" s="3" t="n">
        <f aca="false">INDEX(Summary!$O$2:$O$201,MATCH($B1012,Summary!$A$2:$A$201,0))</f>
        <v>7</v>
      </c>
      <c r="T1012" s="3" t="n">
        <f aca="false">INDEX(Summary!$P$2:$P$201,MATCH($B1012,Summary!$A$2:$A$201,0))</f>
        <v>2</v>
      </c>
      <c r="U1012" s="2" t="n">
        <f aca="false">INDEX(Summary!$Q$2:$Q$201,MATCH($B1012,Summary!$A$2:$A$201,0))</f>
        <v>11.84</v>
      </c>
      <c r="V1012" s="2" t="n">
        <f aca="false">INDEX(Summary!$R$2:$R$201,MATCH($B1012,Summary!$A$2:$A$201,0))</f>
        <v>21.5</v>
      </c>
      <c r="W1012" s="0" t="str">
        <f aca="false">INDEX(Summary!$S$2:$S$201,MATCH($B1012,Summary!$A$2:$A$201,0))</f>
        <v>Silver</v>
      </c>
      <c r="X1012" s="2" t="n">
        <f aca="false">INDEX(Summary!$T$2:$T$201,MATCH($B1012,Summary!$A$2:$A$201,0))</f>
        <v>52.44</v>
      </c>
      <c r="Y1012" s="0" t="str">
        <f aca="false">INDEX('Reward Model'!$E$18:$E$37,MATCH($E1012,'Reward Model'!$A$18:$A$37,0))</f>
        <v>Medium</v>
      </c>
      <c r="Z1012" s="4" t="n">
        <f aca="false">ROUND(MIN(1,MAX('Reward Model'!$B$2,INDEX('Reward Model'!$C$12:$C$14,MATCH($K1012,'Reward Model'!$A$12:$A$14,0))/$J1012)),3)</f>
        <v>0.947</v>
      </c>
      <c r="AA1012" s="2" t="n">
        <f aca="false">IF($I1012="Correct",ROUND(INDEX('Reward Model'!$B$12:$B$14,MATCH($K1012,'Reward Model'!$A$12:$A$14,0))*Z1012,2),0)</f>
        <v>0</v>
      </c>
      <c r="AB1012" s="2" t="n">
        <f aca="false">IF($I1012="Correct",ROUND(INDEX('Reward Model'!$B$12:$B$14,MATCH($Y1012,'Reward Model'!$A$12:$A$14,0))*Z1012,2),0)</f>
        <v>0</v>
      </c>
    </row>
    <row r="1013" customFormat="false" ht="15" hidden="false" customHeight="false" outlineLevel="0" collapsed="false">
      <c r="A1013" s="0" t="s">
        <v>229</v>
      </c>
      <c r="B1013" s="0" t="s">
        <v>230</v>
      </c>
      <c r="C1013" s="0" t="s">
        <v>30</v>
      </c>
      <c r="D1013" s="0" t="s">
        <v>189</v>
      </c>
      <c r="E1013" s="0" t="n">
        <v>12</v>
      </c>
      <c r="F1013" s="0" t="s">
        <v>64</v>
      </c>
      <c r="G1013" s="0" t="s">
        <v>127</v>
      </c>
      <c r="H1013" s="0" t="s">
        <v>65</v>
      </c>
      <c r="I1013" s="0" t="s">
        <v>39</v>
      </c>
      <c r="J1013" s="0" t="n">
        <v>1.13</v>
      </c>
      <c r="K1013" s="0" t="s">
        <v>60</v>
      </c>
      <c r="L1013" s="0" t="n">
        <f aca="false">INDEX(Summary!$F$2:$F$201,MATCH($B1013,Summary!$A$2:$A$201,0))</f>
        <v>20</v>
      </c>
      <c r="M1013" s="0" t="n">
        <f aca="false">INDEX(Summary!$I$2:$I$201,MATCH($B1013,Summary!$A$2:$A$201,0))</f>
        <v>3</v>
      </c>
      <c r="N1013" s="0" t="n">
        <f aca="false">INDEX(Summary!$J$2:$J$201,MATCH($B1013,Summary!$A$2:$A$201,0))</f>
        <v>2</v>
      </c>
      <c r="O1013" s="2" t="n">
        <f aca="false">INDEX(Summary!$K$2:$K$201,MATCH($B1013,Summary!$A$2:$A$201,0))</f>
        <v>9.68</v>
      </c>
      <c r="P1013" s="3" t="n">
        <f aca="false">INDEX(Summary!$L$2:$L$201,MATCH($B1013,Summary!$A$2:$A$201,0))</f>
        <v>2</v>
      </c>
      <c r="Q1013" s="3" t="n">
        <f aca="false">INDEX(Summary!$M$2:$M$201,MATCH($B1013,Summary!$A$2:$A$201,0))</f>
        <v>4</v>
      </c>
      <c r="R1013" s="2" t="n">
        <f aca="false">INDEX(Summary!$N$2:$N$201,MATCH($B1013,Summary!$A$2:$A$201,0))</f>
        <v>8.8</v>
      </c>
      <c r="S1013" s="3" t="n">
        <f aca="false">INDEX(Summary!$O$2:$O$201,MATCH($B1013,Summary!$A$2:$A$201,0))</f>
        <v>7</v>
      </c>
      <c r="T1013" s="3" t="n">
        <f aca="false">INDEX(Summary!$P$2:$P$201,MATCH($B1013,Summary!$A$2:$A$201,0))</f>
        <v>2</v>
      </c>
      <c r="U1013" s="2" t="n">
        <f aca="false">INDEX(Summary!$Q$2:$Q$201,MATCH($B1013,Summary!$A$2:$A$201,0))</f>
        <v>11.84</v>
      </c>
      <c r="V1013" s="2" t="n">
        <f aca="false">INDEX(Summary!$R$2:$R$201,MATCH($B1013,Summary!$A$2:$A$201,0))</f>
        <v>21.5</v>
      </c>
      <c r="W1013" s="0" t="str">
        <f aca="false">INDEX(Summary!$S$2:$S$201,MATCH($B1013,Summary!$A$2:$A$201,0))</f>
        <v>Silver</v>
      </c>
      <c r="X1013" s="2" t="n">
        <f aca="false">INDEX(Summary!$T$2:$T$201,MATCH($B1013,Summary!$A$2:$A$201,0))</f>
        <v>52.44</v>
      </c>
      <c r="Y1013" s="0" t="str">
        <f aca="false">INDEX('Reward Model'!$E$18:$E$37,MATCH($E1013,'Reward Model'!$A$18:$A$37,0))</f>
        <v>Medium</v>
      </c>
      <c r="Z1013" s="4" t="n">
        <f aca="false">ROUND(MIN(1,MAX('Reward Model'!$B$2,INDEX('Reward Model'!$C$12:$C$14,MATCH($K1013,'Reward Model'!$A$12:$A$14,0))/$J1013)),3)</f>
        <v>1</v>
      </c>
      <c r="AA1013" s="2" t="n">
        <f aca="false">IF($I1013="Correct",ROUND(INDEX('Reward Model'!$B$12:$B$14,MATCH($K1013,'Reward Model'!$A$12:$A$14,0))*Z1013,2),0)</f>
        <v>0</v>
      </c>
      <c r="AB1013" s="2" t="n">
        <f aca="false">IF($I1013="Correct",ROUND(INDEX('Reward Model'!$B$12:$B$14,MATCH($Y1013,'Reward Model'!$A$12:$A$14,0))*Z1013,2),0)</f>
        <v>0</v>
      </c>
    </row>
    <row r="1014" customFormat="false" ht="15" hidden="false" customHeight="false" outlineLevel="0" collapsed="false">
      <c r="A1014" s="0" t="s">
        <v>229</v>
      </c>
      <c r="B1014" s="0" t="s">
        <v>230</v>
      </c>
      <c r="C1014" s="0" t="s">
        <v>30</v>
      </c>
      <c r="D1014" s="0" t="s">
        <v>189</v>
      </c>
      <c r="E1014" s="0" t="n">
        <v>13</v>
      </c>
      <c r="F1014" s="0" t="s">
        <v>66</v>
      </c>
      <c r="G1014" s="0" t="s">
        <v>67</v>
      </c>
      <c r="H1014" s="0" t="s">
        <v>67</v>
      </c>
      <c r="I1014" s="0" t="s">
        <v>34</v>
      </c>
      <c r="J1014" s="0" t="n">
        <v>1.7</v>
      </c>
      <c r="K1014" s="0" t="s">
        <v>60</v>
      </c>
      <c r="L1014" s="0" t="n">
        <f aca="false">INDEX(Summary!$F$2:$F$201,MATCH($B1014,Summary!$A$2:$A$201,0))</f>
        <v>20</v>
      </c>
      <c r="M1014" s="0" t="n">
        <f aca="false">INDEX(Summary!$I$2:$I$201,MATCH($B1014,Summary!$A$2:$A$201,0))</f>
        <v>3</v>
      </c>
      <c r="N1014" s="0" t="n">
        <f aca="false">INDEX(Summary!$J$2:$J$201,MATCH($B1014,Summary!$A$2:$A$201,0))</f>
        <v>2</v>
      </c>
      <c r="O1014" s="2" t="n">
        <f aca="false">INDEX(Summary!$K$2:$K$201,MATCH($B1014,Summary!$A$2:$A$201,0))</f>
        <v>9.68</v>
      </c>
      <c r="P1014" s="3" t="n">
        <f aca="false">INDEX(Summary!$L$2:$L$201,MATCH($B1014,Summary!$A$2:$A$201,0))</f>
        <v>2</v>
      </c>
      <c r="Q1014" s="3" t="n">
        <f aca="false">INDEX(Summary!$M$2:$M$201,MATCH($B1014,Summary!$A$2:$A$201,0))</f>
        <v>4</v>
      </c>
      <c r="R1014" s="2" t="n">
        <f aca="false">INDEX(Summary!$N$2:$N$201,MATCH($B1014,Summary!$A$2:$A$201,0))</f>
        <v>8.8</v>
      </c>
      <c r="S1014" s="3" t="n">
        <f aca="false">INDEX(Summary!$O$2:$O$201,MATCH($B1014,Summary!$A$2:$A$201,0))</f>
        <v>7</v>
      </c>
      <c r="T1014" s="3" t="n">
        <f aca="false">INDEX(Summary!$P$2:$P$201,MATCH($B1014,Summary!$A$2:$A$201,0))</f>
        <v>2</v>
      </c>
      <c r="U1014" s="2" t="n">
        <f aca="false">INDEX(Summary!$Q$2:$Q$201,MATCH($B1014,Summary!$A$2:$A$201,0))</f>
        <v>11.84</v>
      </c>
      <c r="V1014" s="2" t="n">
        <f aca="false">INDEX(Summary!$R$2:$R$201,MATCH($B1014,Summary!$A$2:$A$201,0))</f>
        <v>21.5</v>
      </c>
      <c r="W1014" s="0" t="str">
        <f aca="false">INDEX(Summary!$S$2:$S$201,MATCH($B1014,Summary!$A$2:$A$201,0))</f>
        <v>Silver</v>
      </c>
      <c r="X1014" s="2" t="n">
        <f aca="false">INDEX(Summary!$T$2:$T$201,MATCH($B1014,Summary!$A$2:$A$201,0))</f>
        <v>52.44</v>
      </c>
      <c r="Y1014" s="0" t="str">
        <f aca="false">INDEX('Reward Model'!$E$18:$E$37,MATCH($E1014,'Reward Model'!$A$18:$A$37,0))</f>
        <v>Medium</v>
      </c>
      <c r="Z1014" s="4" t="n">
        <f aca="false">ROUND(MIN(1,MAX('Reward Model'!$B$2,INDEX('Reward Model'!$C$12:$C$14,MATCH($K1014,'Reward Model'!$A$12:$A$14,0))/$J1014)),3)</f>
        <v>1</v>
      </c>
      <c r="AA1014" s="2" t="n">
        <f aca="false">IF($I1014="Correct",ROUND(INDEX('Reward Model'!$B$12:$B$14,MATCH($K1014,'Reward Model'!$A$12:$A$14,0))*Z1014,2),0)</f>
        <v>2</v>
      </c>
      <c r="AB1014" s="2" t="n">
        <f aca="false">IF($I1014="Correct",ROUND(INDEX('Reward Model'!$B$12:$B$14,MATCH($Y1014,'Reward Model'!$A$12:$A$14,0))*Z1014,2),0)</f>
        <v>2</v>
      </c>
    </row>
    <row r="1015" customFormat="false" ht="15" hidden="false" customHeight="false" outlineLevel="0" collapsed="false">
      <c r="A1015" s="0" t="s">
        <v>229</v>
      </c>
      <c r="B1015" s="0" t="s">
        <v>230</v>
      </c>
      <c r="C1015" s="0" t="s">
        <v>30</v>
      </c>
      <c r="D1015" s="0" t="s">
        <v>189</v>
      </c>
      <c r="E1015" s="0" t="n">
        <v>14</v>
      </c>
      <c r="F1015" s="0" t="s">
        <v>68</v>
      </c>
      <c r="G1015" s="0" t="s">
        <v>100</v>
      </c>
      <c r="H1015" s="0" t="s">
        <v>51</v>
      </c>
      <c r="I1015" s="0" t="s">
        <v>39</v>
      </c>
      <c r="J1015" s="0" t="n">
        <v>1.41</v>
      </c>
      <c r="K1015" s="0" t="s">
        <v>60</v>
      </c>
      <c r="L1015" s="0" t="n">
        <f aca="false">INDEX(Summary!$F$2:$F$201,MATCH($B1015,Summary!$A$2:$A$201,0))</f>
        <v>20</v>
      </c>
      <c r="M1015" s="0" t="n">
        <f aca="false">INDEX(Summary!$I$2:$I$201,MATCH($B1015,Summary!$A$2:$A$201,0))</f>
        <v>3</v>
      </c>
      <c r="N1015" s="0" t="n">
        <f aca="false">INDEX(Summary!$J$2:$J$201,MATCH($B1015,Summary!$A$2:$A$201,0))</f>
        <v>2</v>
      </c>
      <c r="O1015" s="2" t="n">
        <f aca="false">INDEX(Summary!$K$2:$K$201,MATCH($B1015,Summary!$A$2:$A$201,0))</f>
        <v>9.68</v>
      </c>
      <c r="P1015" s="3" t="n">
        <f aca="false">INDEX(Summary!$L$2:$L$201,MATCH($B1015,Summary!$A$2:$A$201,0))</f>
        <v>2</v>
      </c>
      <c r="Q1015" s="3" t="n">
        <f aca="false">INDEX(Summary!$M$2:$M$201,MATCH($B1015,Summary!$A$2:$A$201,0))</f>
        <v>4</v>
      </c>
      <c r="R1015" s="2" t="n">
        <f aca="false">INDEX(Summary!$N$2:$N$201,MATCH($B1015,Summary!$A$2:$A$201,0))</f>
        <v>8.8</v>
      </c>
      <c r="S1015" s="3" t="n">
        <f aca="false">INDEX(Summary!$O$2:$O$201,MATCH($B1015,Summary!$A$2:$A$201,0))</f>
        <v>7</v>
      </c>
      <c r="T1015" s="3" t="n">
        <f aca="false">INDEX(Summary!$P$2:$P$201,MATCH($B1015,Summary!$A$2:$A$201,0))</f>
        <v>2</v>
      </c>
      <c r="U1015" s="2" t="n">
        <f aca="false">INDEX(Summary!$Q$2:$Q$201,MATCH($B1015,Summary!$A$2:$A$201,0))</f>
        <v>11.84</v>
      </c>
      <c r="V1015" s="2" t="n">
        <f aca="false">INDEX(Summary!$R$2:$R$201,MATCH($B1015,Summary!$A$2:$A$201,0))</f>
        <v>21.5</v>
      </c>
      <c r="W1015" s="0" t="str">
        <f aca="false">INDEX(Summary!$S$2:$S$201,MATCH($B1015,Summary!$A$2:$A$201,0))</f>
        <v>Silver</v>
      </c>
      <c r="X1015" s="2" t="n">
        <f aca="false">INDEX(Summary!$T$2:$T$201,MATCH($B1015,Summary!$A$2:$A$201,0))</f>
        <v>52.44</v>
      </c>
      <c r="Y1015" s="0" t="str">
        <f aca="false">INDEX('Reward Model'!$E$18:$E$37,MATCH($E1015,'Reward Model'!$A$18:$A$37,0))</f>
        <v>Medium</v>
      </c>
      <c r="Z1015" s="4" t="n">
        <f aca="false">ROUND(MIN(1,MAX('Reward Model'!$B$2,INDEX('Reward Model'!$C$12:$C$14,MATCH($K1015,'Reward Model'!$A$12:$A$14,0))/$J1015)),3)</f>
        <v>1</v>
      </c>
      <c r="AA1015" s="2" t="n">
        <f aca="false">IF($I1015="Correct",ROUND(INDEX('Reward Model'!$B$12:$B$14,MATCH($K1015,'Reward Model'!$A$12:$A$14,0))*Z1015,2),0)</f>
        <v>0</v>
      </c>
      <c r="AB1015" s="2" t="n">
        <f aca="false">IF($I1015="Correct",ROUND(INDEX('Reward Model'!$B$12:$B$14,MATCH($Y1015,'Reward Model'!$A$12:$A$14,0))*Z1015,2),0)</f>
        <v>0</v>
      </c>
    </row>
    <row r="1016" customFormat="false" ht="15" hidden="false" customHeight="false" outlineLevel="0" collapsed="false">
      <c r="A1016" s="0" t="s">
        <v>229</v>
      </c>
      <c r="B1016" s="0" t="s">
        <v>230</v>
      </c>
      <c r="C1016" s="0" t="s">
        <v>30</v>
      </c>
      <c r="D1016" s="0" t="s">
        <v>189</v>
      </c>
      <c r="E1016" s="0" t="n">
        <v>15</v>
      </c>
      <c r="F1016" s="0" t="s">
        <v>69</v>
      </c>
      <c r="G1016" s="0" t="s">
        <v>139</v>
      </c>
      <c r="H1016" s="0" t="s">
        <v>70</v>
      </c>
      <c r="I1016" s="0" t="s">
        <v>39</v>
      </c>
      <c r="J1016" s="0" t="n">
        <v>1.34</v>
      </c>
      <c r="K1016" s="0" t="s">
        <v>60</v>
      </c>
      <c r="L1016" s="0" t="n">
        <f aca="false">INDEX(Summary!$F$2:$F$201,MATCH($B1016,Summary!$A$2:$A$201,0))</f>
        <v>20</v>
      </c>
      <c r="M1016" s="0" t="n">
        <f aca="false">INDEX(Summary!$I$2:$I$201,MATCH($B1016,Summary!$A$2:$A$201,0))</f>
        <v>3</v>
      </c>
      <c r="N1016" s="0" t="n">
        <f aca="false">INDEX(Summary!$J$2:$J$201,MATCH($B1016,Summary!$A$2:$A$201,0))</f>
        <v>2</v>
      </c>
      <c r="O1016" s="2" t="n">
        <f aca="false">INDEX(Summary!$K$2:$K$201,MATCH($B1016,Summary!$A$2:$A$201,0))</f>
        <v>9.68</v>
      </c>
      <c r="P1016" s="3" t="n">
        <f aca="false">INDEX(Summary!$L$2:$L$201,MATCH($B1016,Summary!$A$2:$A$201,0))</f>
        <v>2</v>
      </c>
      <c r="Q1016" s="3" t="n">
        <f aca="false">INDEX(Summary!$M$2:$M$201,MATCH($B1016,Summary!$A$2:$A$201,0))</f>
        <v>4</v>
      </c>
      <c r="R1016" s="2" t="n">
        <f aca="false">INDEX(Summary!$N$2:$N$201,MATCH($B1016,Summary!$A$2:$A$201,0))</f>
        <v>8.8</v>
      </c>
      <c r="S1016" s="3" t="n">
        <f aca="false">INDEX(Summary!$O$2:$O$201,MATCH($B1016,Summary!$A$2:$A$201,0))</f>
        <v>7</v>
      </c>
      <c r="T1016" s="3" t="n">
        <f aca="false">INDEX(Summary!$P$2:$P$201,MATCH($B1016,Summary!$A$2:$A$201,0))</f>
        <v>2</v>
      </c>
      <c r="U1016" s="2" t="n">
        <f aca="false">INDEX(Summary!$Q$2:$Q$201,MATCH($B1016,Summary!$A$2:$A$201,0))</f>
        <v>11.84</v>
      </c>
      <c r="V1016" s="2" t="n">
        <f aca="false">INDEX(Summary!$R$2:$R$201,MATCH($B1016,Summary!$A$2:$A$201,0))</f>
        <v>21.5</v>
      </c>
      <c r="W1016" s="0" t="str">
        <f aca="false">INDEX(Summary!$S$2:$S$201,MATCH($B1016,Summary!$A$2:$A$201,0))</f>
        <v>Silver</v>
      </c>
      <c r="X1016" s="2" t="n">
        <f aca="false">INDEX(Summary!$T$2:$T$201,MATCH($B1016,Summary!$A$2:$A$201,0))</f>
        <v>52.44</v>
      </c>
      <c r="Y1016" s="0" t="str">
        <f aca="false">INDEX('Reward Model'!$E$18:$E$37,MATCH($E1016,'Reward Model'!$A$18:$A$37,0))</f>
        <v>Medium</v>
      </c>
      <c r="Z1016" s="4" t="n">
        <f aca="false">ROUND(MIN(1,MAX('Reward Model'!$B$2,INDEX('Reward Model'!$C$12:$C$14,MATCH($K1016,'Reward Model'!$A$12:$A$14,0))/$J1016)),3)</f>
        <v>1</v>
      </c>
      <c r="AA1016" s="2" t="n">
        <f aca="false">IF($I1016="Correct",ROUND(INDEX('Reward Model'!$B$12:$B$14,MATCH($K1016,'Reward Model'!$A$12:$A$14,0))*Z1016,2),0)</f>
        <v>0</v>
      </c>
      <c r="AB1016" s="2" t="n">
        <f aca="false">IF($I1016="Correct",ROUND(INDEX('Reward Model'!$B$12:$B$14,MATCH($Y1016,'Reward Model'!$A$12:$A$14,0))*Z1016,2),0)</f>
        <v>0</v>
      </c>
    </row>
    <row r="1017" customFormat="false" ht="15" hidden="false" customHeight="false" outlineLevel="0" collapsed="false">
      <c r="A1017" s="0" t="s">
        <v>229</v>
      </c>
      <c r="B1017" s="0" t="s">
        <v>230</v>
      </c>
      <c r="C1017" s="0" t="s">
        <v>30</v>
      </c>
      <c r="D1017" s="0" t="s">
        <v>189</v>
      </c>
      <c r="E1017" s="0" t="n">
        <v>16</v>
      </c>
      <c r="F1017" s="0" t="s">
        <v>71</v>
      </c>
      <c r="G1017" s="0" t="s">
        <v>72</v>
      </c>
      <c r="H1017" s="0" t="s">
        <v>72</v>
      </c>
      <c r="I1017" s="0" t="s">
        <v>34</v>
      </c>
      <c r="J1017" s="0" t="n">
        <v>2.34</v>
      </c>
      <c r="K1017" s="0" t="s">
        <v>73</v>
      </c>
      <c r="L1017" s="0" t="n">
        <f aca="false">INDEX(Summary!$F$2:$F$201,MATCH($B1017,Summary!$A$2:$A$201,0))</f>
        <v>20</v>
      </c>
      <c r="M1017" s="0" t="n">
        <f aca="false">INDEX(Summary!$I$2:$I$201,MATCH($B1017,Summary!$A$2:$A$201,0))</f>
        <v>3</v>
      </c>
      <c r="N1017" s="0" t="n">
        <f aca="false">INDEX(Summary!$J$2:$J$201,MATCH($B1017,Summary!$A$2:$A$201,0))</f>
        <v>2</v>
      </c>
      <c r="O1017" s="2" t="n">
        <f aca="false">INDEX(Summary!$K$2:$K$201,MATCH($B1017,Summary!$A$2:$A$201,0))</f>
        <v>9.68</v>
      </c>
      <c r="P1017" s="3" t="n">
        <f aca="false">INDEX(Summary!$L$2:$L$201,MATCH($B1017,Summary!$A$2:$A$201,0))</f>
        <v>2</v>
      </c>
      <c r="Q1017" s="3" t="n">
        <f aca="false">INDEX(Summary!$M$2:$M$201,MATCH($B1017,Summary!$A$2:$A$201,0))</f>
        <v>4</v>
      </c>
      <c r="R1017" s="2" t="n">
        <f aca="false">INDEX(Summary!$N$2:$N$201,MATCH($B1017,Summary!$A$2:$A$201,0))</f>
        <v>8.8</v>
      </c>
      <c r="S1017" s="3" t="n">
        <f aca="false">INDEX(Summary!$O$2:$O$201,MATCH($B1017,Summary!$A$2:$A$201,0))</f>
        <v>7</v>
      </c>
      <c r="T1017" s="3" t="n">
        <f aca="false">INDEX(Summary!$P$2:$P$201,MATCH($B1017,Summary!$A$2:$A$201,0))</f>
        <v>2</v>
      </c>
      <c r="U1017" s="2" t="n">
        <f aca="false">INDEX(Summary!$Q$2:$Q$201,MATCH($B1017,Summary!$A$2:$A$201,0))</f>
        <v>11.84</v>
      </c>
      <c r="V1017" s="2" t="n">
        <f aca="false">INDEX(Summary!$R$2:$R$201,MATCH($B1017,Summary!$A$2:$A$201,0))</f>
        <v>21.5</v>
      </c>
      <c r="W1017" s="0" t="str">
        <f aca="false">INDEX(Summary!$S$2:$S$201,MATCH($B1017,Summary!$A$2:$A$201,0))</f>
        <v>Silver</v>
      </c>
      <c r="X1017" s="2" t="n">
        <f aca="false">INDEX(Summary!$T$2:$T$201,MATCH($B1017,Summary!$A$2:$A$201,0))</f>
        <v>52.44</v>
      </c>
      <c r="Y1017" s="0" t="str">
        <f aca="false">INDEX('Reward Model'!$E$18:$E$37,MATCH($E1017,'Reward Model'!$A$18:$A$37,0))</f>
        <v>High</v>
      </c>
      <c r="Z1017" s="4" t="n">
        <f aca="false">ROUND(MIN(1,MAX('Reward Model'!$B$2,INDEX('Reward Model'!$C$12:$C$14,MATCH($K1017,'Reward Model'!$A$12:$A$14,0))/$J1017)),3)</f>
        <v>0.855</v>
      </c>
      <c r="AA1017" s="2" t="n">
        <f aca="false">IF($I1017="Correct",ROUND(INDEX('Reward Model'!$B$12:$B$14,MATCH($K1017,'Reward Model'!$A$12:$A$14,0))*Z1017,2),0)</f>
        <v>2.57</v>
      </c>
      <c r="AB1017" s="2" t="n">
        <f aca="false">IF($I1017="Correct",ROUND(INDEX('Reward Model'!$B$12:$B$14,MATCH($Y1017,'Reward Model'!$A$12:$A$14,0))*Z1017,2),0)</f>
        <v>2.57</v>
      </c>
    </row>
    <row r="1018" customFormat="false" ht="15" hidden="false" customHeight="false" outlineLevel="0" collapsed="false">
      <c r="A1018" s="0" t="s">
        <v>229</v>
      </c>
      <c r="B1018" s="0" t="s">
        <v>230</v>
      </c>
      <c r="C1018" s="0" t="s">
        <v>30</v>
      </c>
      <c r="D1018" s="0" t="s">
        <v>189</v>
      </c>
      <c r="E1018" s="0" t="n">
        <v>17</v>
      </c>
      <c r="F1018" s="0" t="s">
        <v>74</v>
      </c>
      <c r="G1018" s="0" t="s">
        <v>75</v>
      </c>
      <c r="H1018" s="0" t="s">
        <v>75</v>
      </c>
      <c r="I1018" s="0" t="s">
        <v>34</v>
      </c>
      <c r="J1018" s="0" t="n">
        <v>2.23</v>
      </c>
      <c r="K1018" s="0" t="s">
        <v>73</v>
      </c>
      <c r="L1018" s="0" t="n">
        <f aca="false">INDEX(Summary!$F$2:$F$201,MATCH($B1018,Summary!$A$2:$A$201,0))</f>
        <v>20</v>
      </c>
      <c r="M1018" s="0" t="n">
        <f aca="false">INDEX(Summary!$I$2:$I$201,MATCH($B1018,Summary!$A$2:$A$201,0))</f>
        <v>3</v>
      </c>
      <c r="N1018" s="0" t="n">
        <f aca="false">INDEX(Summary!$J$2:$J$201,MATCH($B1018,Summary!$A$2:$A$201,0))</f>
        <v>2</v>
      </c>
      <c r="O1018" s="2" t="n">
        <f aca="false">INDEX(Summary!$K$2:$K$201,MATCH($B1018,Summary!$A$2:$A$201,0))</f>
        <v>9.68</v>
      </c>
      <c r="P1018" s="3" t="n">
        <f aca="false">INDEX(Summary!$L$2:$L$201,MATCH($B1018,Summary!$A$2:$A$201,0))</f>
        <v>2</v>
      </c>
      <c r="Q1018" s="3" t="n">
        <f aca="false">INDEX(Summary!$M$2:$M$201,MATCH($B1018,Summary!$A$2:$A$201,0))</f>
        <v>4</v>
      </c>
      <c r="R1018" s="2" t="n">
        <f aca="false">INDEX(Summary!$N$2:$N$201,MATCH($B1018,Summary!$A$2:$A$201,0))</f>
        <v>8.8</v>
      </c>
      <c r="S1018" s="3" t="n">
        <f aca="false">INDEX(Summary!$O$2:$O$201,MATCH($B1018,Summary!$A$2:$A$201,0))</f>
        <v>7</v>
      </c>
      <c r="T1018" s="3" t="n">
        <f aca="false">INDEX(Summary!$P$2:$P$201,MATCH($B1018,Summary!$A$2:$A$201,0))</f>
        <v>2</v>
      </c>
      <c r="U1018" s="2" t="n">
        <f aca="false">INDEX(Summary!$Q$2:$Q$201,MATCH($B1018,Summary!$A$2:$A$201,0))</f>
        <v>11.84</v>
      </c>
      <c r="V1018" s="2" t="n">
        <f aca="false">INDEX(Summary!$R$2:$R$201,MATCH($B1018,Summary!$A$2:$A$201,0))</f>
        <v>21.5</v>
      </c>
      <c r="W1018" s="0" t="str">
        <f aca="false">INDEX(Summary!$S$2:$S$201,MATCH($B1018,Summary!$A$2:$A$201,0))</f>
        <v>Silver</v>
      </c>
      <c r="X1018" s="2" t="n">
        <f aca="false">INDEX(Summary!$T$2:$T$201,MATCH($B1018,Summary!$A$2:$A$201,0))</f>
        <v>52.44</v>
      </c>
      <c r="Y1018" s="0" t="str">
        <f aca="false">INDEX('Reward Model'!$E$18:$E$37,MATCH($E1018,'Reward Model'!$A$18:$A$37,0))</f>
        <v>High</v>
      </c>
      <c r="Z1018" s="4" t="n">
        <f aca="false">ROUND(MIN(1,MAX('Reward Model'!$B$2,INDEX('Reward Model'!$C$12:$C$14,MATCH($K1018,'Reward Model'!$A$12:$A$14,0))/$J1018)),3)</f>
        <v>0.897</v>
      </c>
      <c r="AA1018" s="2" t="n">
        <f aca="false">IF($I1018="Correct",ROUND(INDEX('Reward Model'!$B$12:$B$14,MATCH($K1018,'Reward Model'!$A$12:$A$14,0))*Z1018,2),0)</f>
        <v>2.69</v>
      </c>
      <c r="AB1018" s="2" t="n">
        <f aca="false">IF($I1018="Correct",ROUND(INDEX('Reward Model'!$B$12:$B$14,MATCH($Y1018,'Reward Model'!$A$12:$A$14,0))*Z1018,2),0)</f>
        <v>2.69</v>
      </c>
    </row>
    <row r="1019" customFormat="false" ht="15" hidden="false" customHeight="false" outlineLevel="0" collapsed="false">
      <c r="A1019" s="0" t="s">
        <v>229</v>
      </c>
      <c r="B1019" s="0" t="s">
        <v>230</v>
      </c>
      <c r="C1019" s="0" t="s">
        <v>30</v>
      </c>
      <c r="D1019" s="0" t="s">
        <v>189</v>
      </c>
      <c r="E1019" s="0" t="n">
        <v>18</v>
      </c>
      <c r="F1019" s="0" t="s">
        <v>76</v>
      </c>
      <c r="G1019" s="0" t="s">
        <v>128</v>
      </c>
      <c r="H1019" s="0" t="s">
        <v>77</v>
      </c>
      <c r="I1019" s="0" t="s">
        <v>39</v>
      </c>
      <c r="J1019" s="0" t="n">
        <v>1.52</v>
      </c>
      <c r="K1019" s="0" t="s">
        <v>73</v>
      </c>
      <c r="L1019" s="0" t="n">
        <f aca="false">INDEX(Summary!$F$2:$F$201,MATCH($B1019,Summary!$A$2:$A$201,0))</f>
        <v>20</v>
      </c>
      <c r="M1019" s="0" t="n">
        <f aca="false">INDEX(Summary!$I$2:$I$201,MATCH($B1019,Summary!$A$2:$A$201,0))</f>
        <v>3</v>
      </c>
      <c r="N1019" s="0" t="n">
        <f aca="false">INDEX(Summary!$J$2:$J$201,MATCH($B1019,Summary!$A$2:$A$201,0))</f>
        <v>2</v>
      </c>
      <c r="O1019" s="2" t="n">
        <f aca="false">INDEX(Summary!$K$2:$K$201,MATCH($B1019,Summary!$A$2:$A$201,0))</f>
        <v>9.68</v>
      </c>
      <c r="P1019" s="3" t="n">
        <f aca="false">INDEX(Summary!$L$2:$L$201,MATCH($B1019,Summary!$A$2:$A$201,0))</f>
        <v>2</v>
      </c>
      <c r="Q1019" s="3" t="n">
        <f aca="false">INDEX(Summary!$M$2:$M$201,MATCH($B1019,Summary!$A$2:$A$201,0))</f>
        <v>4</v>
      </c>
      <c r="R1019" s="2" t="n">
        <f aca="false">INDEX(Summary!$N$2:$N$201,MATCH($B1019,Summary!$A$2:$A$201,0))</f>
        <v>8.8</v>
      </c>
      <c r="S1019" s="3" t="n">
        <f aca="false">INDEX(Summary!$O$2:$O$201,MATCH($B1019,Summary!$A$2:$A$201,0))</f>
        <v>7</v>
      </c>
      <c r="T1019" s="3" t="n">
        <f aca="false">INDEX(Summary!$P$2:$P$201,MATCH($B1019,Summary!$A$2:$A$201,0))</f>
        <v>2</v>
      </c>
      <c r="U1019" s="2" t="n">
        <f aca="false">INDEX(Summary!$Q$2:$Q$201,MATCH($B1019,Summary!$A$2:$A$201,0))</f>
        <v>11.84</v>
      </c>
      <c r="V1019" s="2" t="n">
        <f aca="false">INDEX(Summary!$R$2:$R$201,MATCH($B1019,Summary!$A$2:$A$201,0))</f>
        <v>21.5</v>
      </c>
      <c r="W1019" s="0" t="str">
        <f aca="false">INDEX(Summary!$S$2:$S$201,MATCH($B1019,Summary!$A$2:$A$201,0))</f>
        <v>Silver</v>
      </c>
      <c r="X1019" s="2" t="n">
        <f aca="false">INDEX(Summary!$T$2:$T$201,MATCH($B1019,Summary!$A$2:$A$201,0))</f>
        <v>52.44</v>
      </c>
      <c r="Y1019" s="0" t="str">
        <f aca="false">INDEX('Reward Model'!$E$18:$E$37,MATCH($E1019,'Reward Model'!$A$18:$A$37,0))</f>
        <v>High</v>
      </c>
      <c r="Z1019" s="4" t="n">
        <f aca="false">ROUND(MIN(1,MAX('Reward Model'!$B$2,INDEX('Reward Model'!$C$12:$C$14,MATCH($K1019,'Reward Model'!$A$12:$A$14,0))/$J1019)),3)</f>
        <v>1</v>
      </c>
      <c r="AA1019" s="2" t="n">
        <f aca="false">IF($I1019="Correct",ROUND(INDEX('Reward Model'!$B$12:$B$14,MATCH($K1019,'Reward Model'!$A$12:$A$14,0))*Z1019,2),0)</f>
        <v>0</v>
      </c>
      <c r="AB1019" s="2" t="n">
        <f aca="false">IF($I1019="Correct",ROUND(INDEX('Reward Model'!$B$12:$B$14,MATCH($Y1019,'Reward Model'!$A$12:$A$14,0))*Z1019,2),0)</f>
        <v>0</v>
      </c>
    </row>
    <row r="1020" customFormat="false" ht="15" hidden="false" customHeight="false" outlineLevel="0" collapsed="false">
      <c r="A1020" s="0" t="s">
        <v>229</v>
      </c>
      <c r="B1020" s="0" t="s">
        <v>230</v>
      </c>
      <c r="C1020" s="0" t="s">
        <v>30</v>
      </c>
      <c r="D1020" s="0" t="s">
        <v>189</v>
      </c>
      <c r="E1020" s="0" t="n">
        <v>19</v>
      </c>
      <c r="F1020" s="0" t="s">
        <v>78</v>
      </c>
      <c r="G1020" s="0" t="s">
        <v>80</v>
      </c>
      <c r="H1020" s="0" t="s">
        <v>80</v>
      </c>
      <c r="I1020" s="0" t="s">
        <v>34</v>
      </c>
      <c r="J1020" s="0" t="n">
        <v>2.26</v>
      </c>
      <c r="K1020" s="0" t="s">
        <v>73</v>
      </c>
      <c r="L1020" s="0" t="n">
        <f aca="false">INDEX(Summary!$F$2:$F$201,MATCH($B1020,Summary!$A$2:$A$201,0))</f>
        <v>20</v>
      </c>
      <c r="M1020" s="0" t="n">
        <f aca="false">INDEX(Summary!$I$2:$I$201,MATCH($B1020,Summary!$A$2:$A$201,0))</f>
        <v>3</v>
      </c>
      <c r="N1020" s="0" t="n">
        <f aca="false">INDEX(Summary!$J$2:$J$201,MATCH($B1020,Summary!$A$2:$A$201,0))</f>
        <v>2</v>
      </c>
      <c r="O1020" s="2" t="n">
        <f aca="false">INDEX(Summary!$K$2:$K$201,MATCH($B1020,Summary!$A$2:$A$201,0))</f>
        <v>9.68</v>
      </c>
      <c r="P1020" s="3" t="n">
        <f aca="false">INDEX(Summary!$L$2:$L$201,MATCH($B1020,Summary!$A$2:$A$201,0))</f>
        <v>2</v>
      </c>
      <c r="Q1020" s="3" t="n">
        <f aca="false">INDEX(Summary!$M$2:$M$201,MATCH($B1020,Summary!$A$2:$A$201,0))</f>
        <v>4</v>
      </c>
      <c r="R1020" s="2" t="n">
        <f aca="false">INDEX(Summary!$N$2:$N$201,MATCH($B1020,Summary!$A$2:$A$201,0))</f>
        <v>8.8</v>
      </c>
      <c r="S1020" s="3" t="n">
        <f aca="false">INDEX(Summary!$O$2:$O$201,MATCH($B1020,Summary!$A$2:$A$201,0))</f>
        <v>7</v>
      </c>
      <c r="T1020" s="3" t="n">
        <f aca="false">INDEX(Summary!$P$2:$P$201,MATCH($B1020,Summary!$A$2:$A$201,0))</f>
        <v>2</v>
      </c>
      <c r="U1020" s="2" t="n">
        <f aca="false">INDEX(Summary!$Q$2:$Q$201,MATCH($B1020,Summary!$A$2:$A$201,0))</f>
        <v>11.84</v>
      </c>
      <c r="V1020" s="2" t="n">
        <f aca="false">INDEX(Summary!$R$2:$R$201,MATCH($B1020,Summary!$A$2:$A$201,0))</f>
        <v>21.5</v>
      </c>
      <c r="W1020" s="0" t="str">
        <f aca="false">INDEX(Summary!$S$2:$S$201,MATCH($B1020,Summary!$A$2:$A$201,0))</f>
        <v>Silver</v>
      </c>
      <c r="X1020" s="2" t="n">
        <f aca="false">INDEX(Summary!$T$2:$T$201,MATCH($B1020,Summary!$A$2:$A$201,0))</f>
        <v>52.44</v>
      </c>
      <c r="Y1020" s="0" t="str">
        <f aca="false">INDEX('Reward Model'!$E$18:$E$37,MATCH($E1020,'Reward Model'!$A$18:$A$37,0))</f>
        <v>High</v>
      </c>
      <c r="Z1020" s="4" t="n">
        <f aca="false">ROUND(MIN(1,MAX('Reward Model'!$B$2,INDEX('Reward Model'!$C$12:$C$14,MATCH($K1020,'Reward Model'!$A$12:$A$14,0))/$J1020)),3)</f>
        <v>0.885</v>
      </c>
      <c r="AA1020" s="2" t="n">
        <f aca="false">IF($I1020="Correct",ROUND(INDEX('Reward Model'!$B$12:$B$14,MATCH($K1020,'Reward Model'!$A$12:$A$14,0))*Z1020,2),0)</f>
        <v>2.66</v>
      </c>
      <c r="AB1020" s="2" t="n">
        <f aca="false">IF($I1020="Correct",ROUND(INDEX('Reward Model'!$B$12:$B$14,MATCH($Y1020,'Reward Model'!$A$12:$A$14,0))*Z1020,2),0)</f>
        <v>2.66</v>
      </c>
    </row>
    <row r="1021" customFormat="false" ht="15" hidden="false" customHeight="false" outlineLevel="0" collapsed="false">
      <c r="A1021" s="0" t="s">
        <v>229</v>
      </c>
      <c r="B1021" s="0" t="s">
        <v>230</v>
      </c>
      <c r="C1021" s="0" t="s">
        <v>30</v>
      </c>
      <c r="D1021" s="0" t="s">
        <v>189</v>
      </c>
      <c r="E1021" s="0" t="n">
        <v>20</v>
      </c>
      <c r="F1021" s="0" t="s">
        <v>81</v>
      </c>
      <c r="G1021" s="0" t="s">
        <v>82</v>
      </c>
      <c r="H1021" s="0" t="s">
        <v>83</v>
      </c>
      <c r="I1021" s="0" t="s">
        <v>39</v>
      </c>
      <c r="J1021" s="0" t="n">
        <v>1.33</v>
      </c>
      <c r="K1021" s="0" t="s">
        <v>73</v>
      </c>
      <c r="L1021" s="0" t="n">
        <f aca="false">INDEX(Summary!$F$2:$F$201,MATCH($B1021,Summary!$A$2:$A$201,0))</f>
        <v>20</v>
      </c>
      <c r="M1021" s="0" t="n">
        <f aca="false">INDEX(Summary!$I$2:$I$201,MATCH($B1021,Summary!$A$2:$A$201,0))</f>
        <v>3</v>
      </c>
      <c r="N1021" s="0" t="n">
        <f aca="false">INDEX(Summary!$J$2:$J$201,MATCH($B1021,Summary!$A$2:$A$201,0))</f>
        <v>2</v>
      </c>
      <c r="O1021" s="2" t="n">
        <f aca="false">INDEX(Summary!$K$2:$K$201,MATCH($B1021,Summary!$A$2:$A$201,0))</f>
        <v>9.68</v>
      </c>
      <c r="P1021" s="3" t="n">
        <f aca="false">INDEX(Summary!$L$2:$L$201,MATCH($B1021,Summary!$A$2:$A$201,0))</f>
        <v>2</v>
      </c>
      <c r="Q1021" s="3" t="n">
        <f aca="false">INDEX(Summary!$M$2:$M$201,MATCH($B1021,Summary!$A$2:$A$201,0))</f>
        <v>4</v>
      </c>
      <c r="R1021" s="2" t="n">
        <f aca="false">INDEX(Summary!$N$2:$N$201,MATCH($B1021,Summary!$A$2:$A$201,0))</f>
        <v>8.8</v>
      </c>
      <c r="S1021" s="3" t="n">
        <f aca="false">INDEX(Summary!$O$2:$O$201,MATCH($B1021,Summary!$A$2:$A$201,0))</f>
        <v>7</v>
      </c>
      <c r="T1021" s="3" t="n">
        <f aca="false">INDEX(Summary!$P$2:$P$201,MATCH($B1021,Summary!$A$2:$A$201,0))</f>
        <v>2</v>
      </c>
      <c r="U1021" s="2" t="n">
        <f aca="false">INDEX(Summary!$Q$2:$Q$201,MATCH($B1021,Summary!$A$2:$A$201,0))</f>
        <v>11.84</v>
      </c>
      <c r="V1021" s="2" t="n">
        <f aca="false">INDEX(Summary!$R$2:$R$201,MATCH($B1021,Summary!$A$2:$A$201,0))</f>
        <v>21.5</v>
      </c>
      <c r="W1021" s="0" t="str">
        <f aca="false">INDEX(Summary!$S$2:$S$201,MATCH($B1021,Summary!$A$2:$A$201,0))</f>
        <v>Silver</v>
      </c>
      <c r="X1021" s="2" t="n">
        <f aca="false">INDEX(Summary!$T$2:$T$201,MATCH($B1021,Summary!$A$2:$A$201,0))</f>
        <v>52.44</v>
      </c>
      <c r="Y1021" s="0" t="str">
        <f aca="false">INDEX('Reward Model'!$E$18:$E$37,MATCH($E1021,'Reward Model'!$A$18:$A$37,0))</f>
        <v>High</v>
      </c>
      <c r="Z1021" s="4" t="n">
        <f aca="false">ROUND(MIN(1,MAX('Reward Model'!$B$2,INDEX('Reward Model'!$C$12:$C$14,MATCH($K1021,'Reward Model'!$A$12:$A$14,0))/$J1021)),3)</f>
        <v>1</v>
      </c>
      <c r="AA1021" s="2" t="n">
        <f aca="false">IF($I1021="Correct",ROUND(INDEX('Reward Model'!$B$12:$B$14,MATCH($K1021,'Reward Model'!$A$12:$A$14,0))*Z1021,2),0)</f>
        <v>0</v>
      </c>
      <c r="AB1021" s="2" t="n">
        <f aca="false">IF($I1021="Correct",ROUND(INDEX('Reward Model'!$B$12:$B$14,MATCH($Y1021,'Reward Model'!$A$12:$A$14,0))*Z1021,2),0)</f>
        <v>0</v>
      </c>
    </row>
    <row r="1022" customFormat="false" ht="15" hidden="false" customHeight="false" outlineLevel="0" collapsed="false">
      <c r="A1022" s="0" t="s">
        <v>231</v>
      </c>
      <c r="B1022" s="0" t="s">
        <v>232</v>
      </c>
      <c r="C1022" s="0" t="s">
        <v>30</v>
      </c>
      <c r="D1022" s="0" t="s">
        <v>189</v>
      </c>
      <c r="E1022" s="0" t="n">
        <v>1</v>
      </c>
      <c r="F1022" s="0" t="s">
        <v>32</v>
      </c>
      <c r="G1022" s="0" t="s">
        <v>33</v>
      </c>
      <c r="H1022" s="0" t="s">
        <v>33</v>
      </c>
      <c r="I1022" s="0" t="s">
        <v>34</v>
      </c>
      <c r="J1022" s="0" t="n">
        <v>1.36</v>
      </c>
      <c r="K1022" s="0" t="s">
        <v>35</v>
      </c>
      <c r="L1022" s="0" t="n">
        <f aca="false">INDEX(Summary!$F$2:$F$201,MATCH($B1022,Summary!$A$2:$A$201,0))</f>
        <v>20</v>
      </c>
      <c r="M1022" s="0" t="n">
        <f aca="false">INDEX(Summary!$I$2:$I$201,MATCH($B1022,Summary!$A$2:$A$201,0))</f>
        <v>3</v>
      </c>
      <c r="N1022" s="0" t="n">
        <f aca="false">INDEX(Summary!$J$2:$J$201,MATCH($B1022,Summary!$A$2:$A$201,0))</f>
        <v>2</v>
      </c>
      <c r="O1022" s="2" t="n">
        <f aca="false">INDEX(Summary!$K$2:$K$201,MATCH($B1022,Summary!$A$2:$A$201,0))</f>
        <v>9.63</v>
      </c>
      <c r="P1022" s="3" t="n">
        <f aca="false">INDEX(Summary!$L$2:$L$201,MATCH($B1022,Summary!$A$2:$A$201,0))</f>
        <v>5</v>
      </c>
      <c r="Q1022" s="3" t="n">
        <f aca="false">INDEX(Summary!$M$2:$M$201,MATCH($B1022,Summary!$A$2:$A$201,0))</f>
        <v>1</v>
      </c>
      <c r="R1022" s="2" t="n">
        <f aca="false">INDEX(Summary!$N$2:$N$201,MATCH($B1022,Summary!$A$2:$A$201,0))</f>
        <v>9.57</v>
      </c>
      <c r="S1022" s="3" t="n">
        <f aca="false">INDEX(Summary!$O$2:$O$201,MATCH($B1022,Summary!$A$2:$A$201,0))</f>
        <v>8</v>
      </c>
      <c r="T1022" s="3" t="n">
        <f aca="false">INDEX(Summary!$P$2:$P$201,MATCH($B1022,Summary!$A$2:$A$201,0))</f>
        <v>1</v>
      </c>
      <c r="U1022" s="2" t="n">
        <f aca="false">INDEX(Summary!$Q$2:$Q$201,MATCH($B1022,Summary!$A$2:$A$201,0))</f>
        <v>12.52</v>
      </c>
      <c r="V1022" s="2" t="n">
        <f aca="false">INDEX(Summary!$R$2:$R$201,MATCH($B1022,Summary!$A$2:$A$201,0))</f>
        <v>30.88</v>
      </c>
      <c r="W1022" s="0" t="str">
        <f aca="false">INDEX(Summary!$S$2:$S$201,MATCH($B1022,Summary!$A$2:$A$201,0))</f>
        <v>Gold</v>
      </c>
      <c r="X1022" s="2" t="n">
        <f aca="false">INDEX(Summary!$T$2:$T$201,MATCH($B1022,Summary!$A$2:$A$201,0))</f>
        <v>75.32</v>
      </c>
      <c r="Y1022" s="0" t="str">
        <f aca="false">INDEX('Reward Model'!$E$18:$E$37,MATCH($E1022,'Reward Model'!$A$18:$A$37,0))</f>
        <v>Medium</v>
      </c>
      <c r="Z1022" s="4" t="n">
        <f aca="false">ROUND(MIN(1,MAX('Reward Model'!$B$2,INDEX('Reward Model'!$C$12:$C$14,MATCH($K1022,'Reward Model'!$A$12:$A$14,0))/$J1022)),3)</f>
        <v>1</v>
      </c>
      <c r="AA1022" s="2" t="n">
        <f aca="false">IF($I1022="Correct",ROUND(INDEX('Reward Model'!$B$12:$B$14,MATCH($K1022,'Reward Model'!$A$12:$A$14,0))*Z1022,2),0)</f>
        <v>1</v>
      </c>
      <c r="AB1022" s="2" t="n">
        <f aca="false">IF($I1022="Correct",ROUND(INDEX('Reward Model'!$B$12:$B$14,MATCH($Y1022,'Reward Model'!$A$12:$A$14,0))*Z1022,2),0)</f>
        <v>2</v>
      </c>
    </row>
    <row r="1023" customFormat="false" ht="15" hidden="false" customHeight="false" outlineLevel="0" collapsed="false">
      <c r="A1023" s="0" t="s">
        <v>231</v>
      </c>
      <c r="B1023" s="0" t="s">
        <v>232</v>
      </c>
      <c r="C1023" s="0" t="s">
        <v>30</v>
      </c>
      <c r="D1023" s="0" t="s">
        <v>189</v>
      </c>
      <c r="E1023" s="0" t="n">
        <v>2</v>
      </c>
      <c r="F1023" s="0" t="s">
        <v>36</v>
      </c>
      <c r="G1023" s="0" t="s">
        <v>38</v>
      </c>
      <c r="H1023" s="0" t="s">
        <v>38</v>
      </c>
      <c r="I1023" s="0" t="s">
        <v>34</v>
      </c>
      <c r="J1023" s="0" t="n">
        <v>1.62</v>
      </c>
      <c r="K1023" s="0" t="s">
        <v>35</v>
      </c>
      <c r="L1023" s="0" t="n">
        <f aca="false">INDEX(Summary!$F$2:$F$201,MATCH($B1023,Summary!$A$2:$A$201,0))</f>
        <v>20</v>
      </c>
      <c r="M1023" s="0" t="n">
        <f aca="false">INDEX(Summary!$I$2:$I$201,MATCH($B1023,Summary!$A$2:$A$201,0))</f>
        <v>3</v>
      </c>
      <c r="N1023" s="0" t="n">
        <f aca="false">INDEX(Summary!$J$2:$J$201,MATCH($B1023,Summary!$A$2:$A$201,0))</f>
        <v>2</v>
      </c>
      <c r="O1023" s="2" t="n">
        <f aca="false">INDEX(Summary!$K$2:$K$201,MATCH($B1023,Summary!$A$2:$A$201,0))</f>
        <v>9.63</v>
      </c>
      <c r="P1023" s="3" t="n">
        <f aca="false">INDEX(Summary!$L$2:$L$201,MATCH($B1023,Summary!$A$2:$A$201,0))</f>
        <v>5</v>
      </c>
      <c r="Q1023" s="3" t="n">
        <f aca="false">INDEX(Summary!$M$2:$M$201,MATCH($B1023,Summary!$A$2:$A$201,0))</f>
        <v>1</v>
      </c>
      <c r="R1023" s="2" t="n">
        <f aca="false">INDEX(Summary!$N$2:$N$201,MATCH($B1023,Summary!$A$2:$A$201,0))</f>
        <v>9.57</v>
      </c>
      <c r="S1023" s="3" t="n">
        <f aca="false">INDEX(Summary!$O$2:$O$201,MATCH($B1023,Summary!$A$2:$A$201,0))</f>
        <v>8</v>
      </c>
      <c r="T1023" s="3" t="n">
        <f aca="false">INDEX(Summary!$P$2:$P$201,MATCH($B1023,Summary!$A$2:$A$201,0))</f>
        <v>1</v>
      </c>
      <c r="U1023" s="2" t="n">
        <f aca="false">INDEX(Summary!$Q$2:$Q$201,MATCH($B1023,Summary!$A$2:$A$201,0))</f>
        <v>12.52</v>
      </c>
      <c r="V1023" s="2" t="n">
        <f aca="false">INDEX(Summary!$R$2:$R$201,MATCH($B1023,Summary!$A$2:$A$201,0))</f>
        <v>30.88</v>
      </c>
      <c r="W1023" s="0" t="str">
        <f aca="false">INDEX(Summary!$S$2:$S$201,MATCH($B1023,Summary!$A$2:$A$201,0))</f>
        <v>Gold</v>
      </c>
      <c r="X1023" s="2" t="n">
        <f aca="false">INDEX(Summary!$T$2:$T$201,MATCH($B1023,Summary!$A$2:$A$201,0))</f>
        <v>75.32</v>
      </c>
      <c r="Y1023" s="0" t="str">
        <f aca="false">INDEX('Reward Model'!$E$18:$E$37,MATCH($E1023,'Reward Model'!$A$18:$A$37,0))</f>
        <v>Low</v>
      </c>
      <c r="Z1023" s="4" t="n">
        <f aca="false">ROUND(MIN(1,MAX('Reward Model'!$B$2,INDEX('Reward Model'!$C$12:$C$14,MATCH($K1023,'Reward Model'!$A$12:$A$14,0))/$J1023)),3)</f>
        <v>0.926</v>
      </c>
      <c r="AA1023" s="2" t="n">
        <f aca="false">IF($I1023="Correct",ROUND(INDEX('Reward Model'!$B$12:$B$14,MATCH($K1023,'Reward Model'!$A$12:$A$14,0))*Z1023,2),0)</f>
        <v>0.93</v>
      </c>
      <c r="AB1023" s="2" t="n">
        <f aca="false">IF($I1023="Correct",ROUND(INDEX('Reward Model'!$B$12:$B$14,MATCH($Y1023,'Reward Model'!$A$12:$A$14,0))*Z1023,2),0)</f>
        <v>0.93</v>
      </c>
    </row>
    <row r="1024" customFormat="false" ht="15" hidden="false" customHeight="false" outlineLevel="0" collapsed="false">
      <c r="A1024" s="0" t="s">
        <v>231</v>
      </c>
      <c r="B1024" s="0" t="s">
        <v>232</v>
      </c>
      <c r="C1024" s="0" t="s">
        <v>30</v>
      </c>
      <c r="D1024" s="0" t="s">
        <v>189</v>
      </c>
      <c r="E1024" s="0" t="n">
        <v>3</v>
      </c>
      <c r="F1024" s="0" t="s">
        <v>40</v>
      </c>
      <c r="G1024" s="0" t="s">
        <v>42</v>
      </c>
      <c r="H1024" s="0" t="s">
        <v>42</v>
      </c>
      <c r="I1024" s="0" t="s">
        <v>34</v>
      </c>
      <c r="J1024" s="0" t="n">
        <v>1.33</v>
      </c>
      <c r="K1024" s="0" t="s">
        <v>35</v>
      </c>
      <c r="L1024" s="0" t="n">
        <f aca="false">INDEX(Summary!$F$2:$F$201,MATCH($B1024,Summary!$A$2:$A$201,0))</f>
        <v>20</v>
      </c>
      <c r="M1024" s="0" t="n">
        <f aca="false">INDEX(Summary!$I$2:$I$201,MATCH($B1024,Summary!$A$2:$A$201,0))</f>
        <v>3</v>
      </c>
      <c r="N1024" s="0" t="n">
        <f aca="false">INDEX(Summary!$J$2:$J$201,MATCH($B1024,Summary!$A$2:$A$201,0))</f>
        <v>2</v>
      </c>
      <c r="O1024" s="2" t="n">
        <f aca="false">INDEX(Summary!$K$2:$K$201,MATCH($B1024,Summary!$A$2:$A$201,0))</f>
        <v>9.63</v>
      </c>
      <c r="P1024" s="3" t="n">
        <f aca="false">INDEX(Summary!$L$2:$L$201,MATCH($B1024,Summary!$A$2:$A$201,0))</f>
        <v>5</v>
      </c>
      <c r="Q1024" s="3" t="n">
        <f aca="false">INDEX(Summary!$M$2:$M$201,MATCH($B1024,Summary!$A$2:$A$201,0))</f>
        <v>1</v>
      </c>
      <c r="R1024" s="2" t="n">
        <f aca="false">INDEX(Summary!$N$2:$N$201,MATCH($B1024,Summary!$A$2:$A$201,0))</f>
        <v>9.57</v>
      </c>
      <c r="S1024" s="3" t="n">
        <f aca="false">INDEX(Summary!$O$2:$O$201,MATCH($B1024,Summary!$A$2:$A$201,0))</f>
        <v>8</v>
      </c>
      <c r="T1024" s="3" t="n">
        <f aca="false">INDEX(Summary!$P$2:$P$201,MATCH($B1024,Summary!$A$2:$A$201,0))</f>
        <v>1</v>
      </c>
      <c r="U1024" s="2" t="n">
        <f aca="false">INDEX(Summary!$Q$2:$Q$201,MATCH($B1024,Summary!$A$2:$A$201,0))</f>
        <v>12.52</v>
      </c>
      <c r="V1024" s="2" t="n">
        <f aca="false">INDEX(Summary!$R$2:$R$201,MATCH($B1024,Summary!$A$2:$A$201,0))</f>
        <v>30.88</v>
      </c>
      <c r="W1024" s="0" t="str">
        <f aca="false">INDEX(Summary!$S$2:$S$201,MATCH($B1024,Summary!$A$2:$A$201,0))</f>
        <v>Gold</v>
      </c>
      <c r="X1024" s="2" t="n">
        <f aca="false">INDEX(Summary!$T$2:$T$201,MATCH($B1024,Summary!$A$2:$A$201,0))</f>
        <v>75.32</v>
      </c>
      <c r="Y1024" s="0" t="str">
        <f aca="false">INDEX('Reward Model'!$E$18:$E$37,MATCH($E1024,'Reward Model'!$A$18:$A$37,0))</f>
        <v>Medium</v>
      </c>
      <c r="Z1024" s="4" t="n">
        <f aca="false">ROUND(MIN(1,MAX('Reward Model'!$B$2,INDEX('Reward Model'!$C$12:$C$14,MATCH($K1024,'Reward Model'!$A$12:$A$14,0))/$J1024)),3)</f>
        <v>1</v>
      </c>
      <c r="AA1024" s="2" t="n">
        <f aca="false">IF($I1024="Correct",ROUND(INDEX('Reward Model'!$B$12:$B$14,MATCH($K1024,'Reward Model'!$A$12:$A$14,0))*Z1024,2),0)</f>
        <v>1</v>
      </c>
      <c r="AB1024" s="2" t="n">
        <f aca="false">IF($I1024="Correct",ROUND(INDEX('Reward Model'!$B$12:$B$14,MATCH($Y1024,'Reward Model'!$A$12:$A$14,0))*Z1024,2),0)</f>
        <v>2</v>
      </c>
    </row>
    <row r="1025" customFormat="false" ht="15" hidden="false" customHeight="false" outlineLevel="0" collapsed="false">
      <c r="A1025" s="0" t="s">
        <v>231</v>
      </c>
      <c r="B1025" s="0" t="s">
        <v>232</v>
      </c>
      <c r="C1025" s="0" t="s">
        <v>30</v>
      </c>
      <c r="D1025" s="0" t="s">
        <v>189</v>
      </c>
      <c r="E1025" s="0" t="n">
        <v>4</v>
      </c>
      <c r="F1025" s="0" t="s">
        <v>43</v>
      </c>
      <c r="G1025" s="0" t="s">
        <v>111</v>
      </c>
      <c r="H1025" s="0" t="s">
        <v>45</v>
      </c>
      <c r="I1025" s="0" t="s">
        <v>39</v>
      </c>
      <c r="J1025" s="0" t="n">
        <v>1.57</v>
      </c>
      <c r="K1025" s="0" t="s">
        <v>35</v>
      </c>
      <c r="L1025" s="0" t="n">
        <f aca="false">INDEX(Summary!$F$2:$F$201,MATCH($B1025,Summary!$A$2:$A$201,0))</f>
        <v>20</v>
      </c>
      <c r="M1025" s="0" t="n">
        <f aca="false">INDEX(Summary!$I$2:$I$201,MATCH($B1025,Summary!$A$2:$A$201,0))</f>
        <v>3</v>
      </c>
      <c r="N1025" s="0" t="n">
        <f aca="false">INDEX(Summary!$J$2:$J$201,MATCH($B1025,Summary!$A$2:$A$201,0))</f>
        <v>2</v>
      </c>
      <c r="O1025" s="2" t="n">
        <f aca="false">INDEX(Summary!$K$2:$K$201,MATCH($B1025,Summary!$A$2:$A$201,0))</f>
        <v>9.63</v>
      </c>
      <c r="P1025" s="3" t="n">
        <f aca="false">INDEX(Summary!$L$2:$L$201,MATCH($B1025,Summary!$A$2:$A$201,0))</f>
        <v>5</v>
      </c>
      <c r="Q1025" s="3" t="n">
        <f aca="false">INDEX(Summary!$M$2:$M$201,MATCH($B1025,Summary!$A$2:$A$201,0))</f>
        <v>1</v>
      </c>
      <c r="R1025" s="2" t="n">
        <f aca="false">INDEX(Summary!$N$2:$N$201,MATCH($B1025,Summary!$A$2:$A$201,0))</f>
        <v>9.57</v>
      </c>
      <c r="S1025" s="3" t="n">
        <f aca="false">INDEX(Summary!$O$2:$O$201,MATCH($B1025,Summary!$A$2:$A$201,0))</f>
        <v>8</v>
      </c>
      <c r="T1025" s="3" t="n">
        <f aca="false">INDEX(Summary!$P$2:$P$201,MATCH($B1025,Summary!$A$2:$A$201,0))</f>
        <v>1</v>
      </c>
      <c r="U1025" s="2" t="n">
        <f aca="false">INDEX(Summary!$Q$2:$Q$201,MATCH($B1025,Summary!$A$2:$A$201,0))</f>
        <v>12.52</v>
      </c>
      <c r="V1025" s="2" t="n">
        <f aca="false">INDEX(Summary!$R$2:$R$201,MATCH($B1025,Summary!$A$2:$A$201,0))</f>
        <v>30.88</v>
      </c>
      <c r="W1025" s="0" t="str">
        <f aca="false">INDEX(Summary!$S$2:$S$201,MATCH($B1025,Summary!$A$2:$A$201,0))</f>
        <v>Gold</v>
      </c>
      <c r="X1025" s="2" t="n">
        <f aca="false">INDEX(Summary!$T$2:$T$201,MATCH($B1025,Summary!$A$2:$A$201,0))</f>
        <v>75.32</v>
      </c>
      <c r="Y1025" s="0" t="str">
        <f aca="false">INDEX('Reward Model'!$E$18:$E$37,MATCH($E1025,'Reward Model'!$A$18:$A$37,0))</f>
        <v>Low</v>
      </c>
      <c r="Z1025" s="4" t="n">
        <f aca="false">ROUND(MIN(1,MAX('Reward Model'!$B$2,INDEX('Reward Model'!$C$12:$C$14,MATCH($K1025,'Reward Model'!$A$12:$A$14,0))/$J1025)),3)</f>
        <v>0.955</v>
      </c>
      <c r="AA1025" s="2" t="n">
        <f aca="false">IF($I1025="Correct",ROUND(INDEX('Reward Model'!$B$12:$B$14,MATCH($K1025,'Reward Model'!$A$12:$A$14,0))*Z1025,2),0)</f>
        <v>0</v>
      </c>
      <c r="AB1025" s="2" t="n">
        <f aca="false">IF($I1025="Correct",ROUND(INDEX('Reward Model'!$B$12:$B$14,MATCH($Y1025,'Reward Model'!$A$12:$A$14,0))*Z1025,2),0)</f>
        <v>0</v>
      </c>
    </row>
    <row r="1026" customFormat="false" ht="15" hidden="false" customHeight="false" outlineLevel="0" collapsed="false">
      <c r="A1026" s="0" t="s">
        <v>231</v>
      </c>
      <c r="B1026" s="0" t="s">
        <v>232</v>
      </c>
      <c r="C1026" s="0" t="s">
        <v>30</v>
      </c>
      <c r="D1026" s="0" t="s">
        <v>189</v>
      </c>
      <c r="E1026" s="0" t="n">
        <v>5</v>
      </c>
      <c r="F1026" s="0" t="s">
        <v>46</v>
      </c>
      <c r="G1026" s="0" t="s">
        <v>47</v>
      </c>
      <c r="H1026" s="0" t="s">
        <v>47</v>
      </c>
      <c r="I1026" s="0" t="s">
        <v>34</v>
      </c>
      <c r="J1026" s="0" t="n">
        <v>0.98</v>
      </c>
      <c r="K1026" s="0" t="s">
        <v>35</v>
      </c>
      <c r="L1026" s="0" t="n">
        <f aca="false">INDEX(Summary!$F$2:$F$201,MATCH($B1026,Summary!$A$2:$A$201,0))</f>
        <v>20</v>
      </c>
      <c r="M1026" s="0" t="n">
        <f aca="false">INDEX(Summary!$I$2:$I$201,MATCH($B1026,Summary!$A$2:$A$201,0))</f>
        <v>3</v>
      </c>
      <c r="N1026" s="0" t="n">
        <f aca="false">INDEX(Summary!$J$2:$J$201,MATCH($B1026,Summary!$A$2:$A$201,0))</f>
        <v>2</v>
      </c>
      <c r="O1026" s="2" t="n">
        <f aca="false">INDEX(Summary!$K$2:$K$201,MATCH($B1026,Summary!$A$2:$A$201,0))</f>
        <v>9.63</v>
      </c>
      <c r="P1026" s="3" t="n">
        <f aca="false">INDEX(Summary!$L$2:$L$201,MATCH($B1026,Summary!$A$2:$A$201,0))</f>
        <v>5</v>
      </c>
      <c r="Q1026" s="3" t="n">
        <f aca="false">INDEX(Summary!$M$2:$M$201,MATCH($B1026,Summary!$A$2:$A$201,0))</f>
        <v>1</v>
      </c>
      <c r="R1026" s="2" t="n">
        <f aca="false">INDEX(Summary!$N$2:$N$201,MATCH($B1026,Summary!$A$2:$A$201,0))</f>
        <v>9.57</v>
      </c>
      <c r="S1026" s="3" t="n">
        <f aca="false">INDEX(Summary!$O$2:$O$201,MATCH($B1026,Summary!$A$2:$A$201,0))</f>
        <v>8</v>
      </c>
      <c r="T1026" s="3" t="n">
        <f aca="false">INDEX(Summary!$P$2:$P$201,MATCH($B1026,Summary!$A$2:$A$201,0))</f>
        <v>1</v>
      </c>
      <c r="U1026" s="2" t="n">
        <f aca="false">INDEX(Summary!$Q$2:$Q$201,MATCH($B1026,Summary!$A$2:$A$201,0))</f>
        <v>12.52</v>
      </c>
      <c r="V1026" s="2" t="n">
        <f aca="false">INDEX(Summary!$R$2:$R$201,MATCH($B1026,Summary!$A$2:$A$201,0))</f>
        <v>30.88</v>
      </c>
      <c r="W1026" s="0" t="str">
        <f aca="false">INDEX(Summary!$S$2:$S$201,MATCH($B1026,Summary!$A$2:$A$201,0))</f>
        <v>Gold</v>
      </c>
      <c r="X1026" s="2" t="n">
        <f aca="false">INDEX(Summary!$T$2:$T$201,MATCH($B1026,Summary!$A$2:$A$201,0))</f>
        <v>75.32</v>
      </c>
      <c r="Y1026" s="0" t="str">
        <f aca="false">INDEX('Reward Model'!$E$18:$E$37,MATCH($E1026,'Reward Model'!$A$18:$A$37,0))</f>
        <v>Low</v>
      </c>
      <c r="Z1026" s="4" t="n">
        <f aca="false">ROUND(MIN(1,MAX('Reward Model'!$B$2,INDEX('Reward Model'!$C$12:$C$14,MATCH($K1026,'Reward Model'!$A$12:$A$14,0))/$J1026)),3)</f>
        <v>1</v>
      </c>
      <c r="AA1026" s="2" t="n">
        <f aca="false">IF($I1026="Correct",ROUND(INDEX('Reward Model'!$B$12:$B$14,MATCH($K1026,'Reward Model'!$A$12:$A$14,0))*Z1026,2),0)</f>
        <v>1</v>
      </c>
      <c r="AB1026" s="2" t="n">
        <f aca="false">IF($I1026="Correct",ROUND(INDEX('Reward Model'!$B$12:$B$14,MATCH($Y1026,'Reward Model'!$A$12:$A$14,0))*Z1026,2),0)</f>
        <v>1</v>
      </c>
    </row>
    <row r="1027" customFormat="false" ht="15" hidden="false" customHeight="false" outlineLevel="0" collapsed="false">
      <c r="A1027" s="0" t="s">
        <v>231</v>
      </c>
      <c r="B1027" s="0" t="s">
        <v>232</v>
      </c>
      <c r="C1027" s="0" t="s">
        <v>30</v>
      </c>
      <c r="D1027" s="0" t="s">
        <v>189</v>
      </c>
      <c r="E1027" s="0" t="n">
        <v>6</v>
      </c>
      <c r="F1027" s="0" t="s">
        <v>48</v>
      </c>
      <c r="G1027" s="0" t="s">
        <v>49</v>
      </c>
      <c r="H1027" s="0" t="s">
        <v>49</v>
      </c>
      <c r="I1027" s="0" t="s">
        <v>34</v>
      </c>
      <c r="J1027" s="0" t="n">
        <v>1.32</v>
      </c>
      <c r="K1027" s="0" t="s">
        <v>35</v>
      </c>
      <c r="L1027" s="0" t="n">
        <f aca="false">INDEX(Summary!$F$2:$F$201,MATCH($B1027,Summary!$A$2:$A$201,0))</f>
        <v>20</v>
      </c>
      <c r="M1027" s="0" t="n">
        <f aca="false">INDEX(Summary!$I$2:$I$201,MATCH($B1027,Summary!$A$2:$A$201,0))</f>
        <v>3</v>
      </c>
      <c r="N1027" s="0" t="n">
        <f aca="false">INDEX(Summary!$J$2:$J$201,MATCH($B1027,Summary!$A$2:$A$201,0))</f>
        <v>2</v>
      </c>
      <c r="O1027" s="2" t="n">
        <f aca="false">INDEX(Summary!$K$2:$K$201,MATCH($B1027,Summary!$A$2:$A$201,0))</f>
        <v>9.63</v>
      </c>
      <c r="P1027" s="3" t="n">
        <f aca="false">INDEX(Summary!$L$2:$L$201,MATCH($B1027,Summary!$A$2:$A$201,0))</f>
        <v>5</v>
      </c>
      <c r="Q1027" s="3" t="n">
        <f aca="false">INDEX(Summary!$M$2:$M$201,MATCH($B1027,Summary!$A$2:$A$201,0))</f>
        <v>1</v>
      </c>
      <c r="R1027" s="2" t="n">
        <f aca="false">INDEX(Summary!$N$2:$N$201,MATCH($B1027,Summary!$A$2:$A$201,0))</f>
        <v>9.57</v>
      </c>
      <c r="S1027" s="3" t="n">
        <f aca="false">INDEX(Summary!$O$2:$O$201,MATCH($B1027,Summary!$A$2:$A$201,0))</f>
        <v>8</v>
      </c>
      <c r="T1027" s="3" t="n">
        <f aca="false">INDEX(Summary!$P$2:$P$201,MATCH($B1027,Summary!$A$2:$A$201,0))</f>
        <v>1</v>
      </c>
      <c r="U1027" s="2" t="n">
        <f aca="false">INDEX(Summary!$Q$2:$Q$201,MATCH($B1027,Summary!$A$2:$A$201,0))</f>
        <v>12.52</v>
      </c>
      <c r="V1027" s="2" t="n">
        <f aca="false">INDEX(Summary!$R$2:$R$201,MATCH($B1027,Summary!$A$2:$A$201,0))</f>
        <v>30.88</v>
      </c>
      <c r="W1027" s="0" t="str">
        <f aca="false">INDEX(Summary!$S$2:$S$201,MATCH($B1027,Summary!$A$2:$A$201,0))</f>
        <v>Gold</v>
      </c>
      <c r="X1027" s="2" t="n">
        <f aca="false">INDEX(Summary!$T$2:$T$201,MATCH($B1027,Summary!$A$2:$A$201,0))</f>
        <v>75.32</v>
      </c>
      <c r="Y1027" s="0" t="str">
        <f aca="false">INDEX('Reward Model'!$E$18:$E$37,MATCH($E1027,'Reward Model'!$A$18:$A$37,0))</f>
        <v>Medium</v>
      </c>
      <c r="Z1027" s="4" t="n">
        <f aca="false">ROUND(MIN(1,MAX('Reward Model'!$B$2,INDEX('Reward Model'!$C$12:$C$14,MATCH($K1027,'Reward Model'!$A$12:$A$14,0))/$J1027)),3)</f>
        <v>1</v>
      </c>
      <c r="AA1027" s="2" t="n">
        <f aca="false">IF($I1027="Correct",ROUND(INDEX('Reward Model'!$B$12:$B$14,MATCH($K1027,'Reward Model'!$A$12:$A$14,0))*Z1027,2),0)</f>
        <v>1</v>
      </c>
      <c r="AB1027" s="2" t="n">
        <f aca="false">IF($I1027="Correct",ROUND(INDEX('Reward Model'!$B$12:$B$14,MATCH($Y1027,'Reward Model'!$A$12:$A$14,0))*Z1027,2),0)</f>
        <v>2</v>
      </c>
    </row>
    <row r="1028" customFormat="false" ht="15" hidden="false" customHeight="false" outlineLevel="0" collapsed="false">
      <c r="A1028" s="0" t="s">
        <v>231</v>
      </c>
      <c r="B1028" s="0" t="s">
        <v>232</v>
      </c>
      <c r="C1028" s="0" t="s">
        <v>30</v>
      </c>
      <c r="D1028" s="0" t="s">
        <v>189</v>
      </c>
      <c r="E1028" s="0" t="n">
        <v>7</v>
      </c>
      <c r="F1028" s="0" t="s">
        <v>50</v>
      </c>
      <c r="G1028" s="0" t="s">
        <v>51</v>
      </c>
      <c r="H1028" s="0" t="s">
        <v>51</v>
      </c>
      <c r="I1028" s="0" t="s">
        <v>34</v>
      </c>
      <c r="J1028" s="0" t="n">
        <v>1.62</v>
      </c>
      <c r="K1028" s="0" t="s">
        <v>35</v>
      </c>
      <c r="L1028" s="0" t="n">
        <f aca="false">INDEX(Summary!$F$2:$F$201,MATCH($B1028,Summary!$A$2:$A$201,0))</f>
        <v>20</v>
      </c>
      <c r="M1028" s="0" t="n">
        <f aca="false">INDEX(Summary!$I$2:$I$201,MATCH($B1028,Summary!$A$2:$A$201,0))</f>
        <v>3</v>
      </c>
      <c r="N1028" s="0" t="n">
        <f aca="false">INDEX(Summary!$J$2:$J$201,MATCH($B1028,Summary!$A$2:$A$201,0))</f>
        <v>2</v>
      </c>
      <c r="O1028" s="2" t="n">
        <f aca="false">INDEX(Summary!$K$2:$K$201,MATCH($B1028,Summary!$A$2:$A$201,0))</f>
        <v>9.63</v>
      </c>
      <c r="P1028" s="3" t="n">
        <f aca="false">INDEX(Summary!$L$2:$L$201,MATCH($B1028,Summary!$A$2:$A$201,0))</f>
        <v>5</v>
      </c>
      <c r="Q1028" s="3" t="n">
        <f aca="false">INDEX(Summary!$M$2:$M$201,MATCH($B1028,Summary!$A$2:$A$201,0))</f>
        <v>1</v>
      </c>
      <c r="R1028" s="2" t="n">
        <f aca="false">INDEX(Summary!$N$2:$N$201,MATCH($B1028,Summary!$A$2:$A$201,0))</f>
        <v>9.57</v>
      </c>
      <c r="S1028" s="3" t="n">
        <f aca="false">INDEX(Summary!$O$2:$O$201,MATCH($B1028,Summary!$A$2:$A$201,0))</f>
        <v>8</v>
      </c>
      <c r="T1028" s="3" t="n">
        <f aca="false">INDEX(Summary!$P$2:$P$201,MATCH($B1028,Summary!$A$2:$A$201,0))</f>
        <v>1</v>
      </c>
      <c r="U1028" s="2" t="n">
        <f aca="false">INDEX(Summary!$Q$2:$Q$201,MATCH($B1028,Summary!$A$2:$A$201,0))</f>
        <v>12.52</v>
      </c>
      <c r="V1028" s="2" t="n">
        <f aca="false">INDEX(Summary!$R$2:$R$201,MATCH($B1028,Summary!$A$2:$A$201,0))</f>
        <v>30.88</v>
      </c>
      <c r="W1028" s="0" t="str">
        <f aca="false">INDEX(Summary!$S$2:$S$201,MATCH($B1028,Summary!$A$2:$A$201,0))</f>
        <v>Gold</v>
      </c>
      <c r="X1028" s="2" t="n">
        <f aca="false">INDEX(Summary!$T$2:$T$201,MATCH($B1028,Summary!$A$2:$A$201,0))</f>
        <v>75.32</v>
      </c>
      <c r="Y1028" s="0" t="str">
        <f aca="false">INDEX('Reward Model'!$E$18:$E$37,MATCH($E1028,'Reward Model'!$A$18:$A$37,0))</f>
        <v>Low</v>
      </c>
      <c r="Z1028" s="4" t="n">
        <f aca="false">ROUND(MIN(1,MAX('Reward Model'!$B$2,INDEX('Reward Model'!$C$12:$C$14,MATCH($K1028,'Reward Model'!$A$12:$A$14,0))/$J1028)),3)</f>
        <v>0.926</v>
      </c>
      <c r="AA1028" s="2" t="n">
        <f aca="false">IF($I1028="Correct",ROUND(INDEX('Reward Model'!$B$12:$B$14,MATCH($K1028,'Reward Model'!$A$12:$A$14,0))*Z1028,2),0)</f>
        <v>0.93</v>
      </c>
      <c r="AB1028" s="2" t="n">
        <f aca="false">IF($I1028="Correct",ROUND(INDEX('Reward Model'!$B$12:$B$14,MATCH($Y1028,'Reward Model'!$A$12:$A$14,0))*Z1028,2),0)</f>
        <v>0.93</v>
      </c>
    </row>
    <row r="1029" customFormat="false" ht="15" hidden="false" customHeight="false" outlineLevel="0" collapsed="false">
      <c r="A1029" s="0" t="s">
        <v>231</v>
      </c>
      <c r="B1029" s="0" t="s">
        <v>232</v>
      </c>
      <c r="C1029" s="0" t="s">
        <v>30</v>
      </c>
      <c r="D1029" s="0" t="s">
        <v>189</v>
      </c>
      <c r="E1029" s="0" t="n">
        <v>8</v>
      </c>
      <c r="F1029" s="0" t="s">
        <v>52</v>
      </c>
      <c r="G1029" s="0" t="s">
        <v>54</v>
      </c>
      <c r="H1029" s="0" t="s">
        <v>54</v>
      </c>
      <c r="I1029" s="0" t="s">
        <v>34</v>
      </c>
      <c r="J1029" s="0" t="n">
        <v>1.74</v>
      </c>
      <c r="K1029" s="0" t="s">
        <v>35</v>
      </c>
      <c r="L1029" s="0" t="n">
        <f aca="false">INDEX(Summary!$F$2:$F$201,MATCH($B1029,Summary!$A$2:$A$201,0))</f>
        <v>20</v>
      </c>
      <c r="M1029" s="0" t="n">
        <f aca="false">INDEX(Summary!$I$2:$I$201,MATCH($B1029,Summary!$A$2:$A$201,0))</f>
        <v>3</v>
      </c>
      <c r="N1029" s="0" t="n">
        <f aca="false">INDEX(Summary!$J$2:$J$201,MATCH($B1029,Summary!$A$2:$A$201,0))</f>
        <v>2</v>
      </c>
      <c r="O1029" s="2" t="n">
        <f aca="false">INDEX(Summary!$K$2:$K$201,MATCH($B1029,Summary!$A$2:$A$201,0))</f>
        <v>9.63</v>
      </c>
      <c r="P1029" s="3" t="n">
        <f aca="false">INDEX(Summary!$L$2:$L$201,MATCH($B1029,Summary!$A$2:$A$201,0))</f>
        <v>5</v>
      </c>
      <c r="Q1029" s="3" t="n">
        <f aca="false">INDEX(Summary!$M$2:$M$201,MATCH($B1029,Summary!$A$2:$A$201,0))</f>
        <v>1</v>
      </c>
      <c r="R1029" s="2" t="n">
        <f aca="false">INDEX(Summary!$N$2:$N$201,MATCH($B1029,Summary!$A$2:$A$201,0))</f>
        <v>9.57</v>
      </c>
      <c r="S1029" s="3" t="n">
        <f aca="false">INDEX(Summary!$O$2:$O$201,MATCH($B1029,Summary!$A$2:$A$201,0))</f>
        <v>8</v>
      </c>
      <c r="T1029" s="3" t="n">
        <f aca="false">INDEX(Summary!$P$2:$P$201,MATCH($B1029,Summary!$A$2:$A$201,0))</f>
        <v>1</v>
      </c>
      <c r="U1029" s="2" t="n">
        <f aca="false">INDEX(Summary!$Q$2:$Q$201,MATCH($B1029,Summary!$A$2:$A$201,0))</f>
        <v>12.52</v>
      </c>
      <c r="V1029" s="2" t="n">
        <f aca="false">INDEX(Summary!$R$2:$R$201,MATCH($B1029,Summary!$A$2:$A$201,0))</f>
        <v>30.88</v>
      </c>
      <c r="W1029" s="0" t="str">
        <f aca="false">INDEX(Summary!$S$2:$S$201,MATCH($B1029,Summary!$A$2:$A$201,0))</f>
        <v>Gold</v>
      </c>
      <c r="X1029" s="2" t="n">
        <f aca="false">INDEX(Summary!$T$2:$T$201,MATCH($B1029,Summary!$A$2:$A$201,0))</f>
        <v>75.32</v>
      </c>
      <c r="Y1029" s="0" t="str">
        <f aca="false">INDEX('Reward Model'!$E$18:$E$37,MATCH($E1029,'Reward Model'!$A$18:$A$37,0))</f>
        <v>Medium</v>
      </c>
      <c r="Z1029" s="4" t="n">
        <f aca="false">ROUND(MIN(1,MAX('Reward Model'!$B$2,INDEX('Reward Model'!$C$12:$C$14,MATCH($K1029,'Reward Model'!$A$12:$A$14,0))/$J1029)),3)</f>
        <v>0.862</v>
      </c>
      <c r="AA1029" s="2" t="n">
        <f aca="false">IF($I1029="Correct",ROUND(INDEX('Reward Model'!$B$12:$B$14,MATCH($K1029,'Reward Model'!$A$12:$A$14,0))*Z1029,2),0)</f>
        <v>0.86</v>
      </c>
      <c r="AB1029" s="2" t="n">
        <f aca="false">IF($I1029="Correct",ROUND(INDEX('Reward Model'!$B$12:$B$14,MATCH($Y1029,'Reward Model'!$A$12:$A$14,0))*Z1029,2),0)</f>
        <v>1.72</v>
      </c>
    </row>
    <row r="1030" customFormat="false" ht="15" hidden="false" customHeight="false" outlineLevel="0" collapsed="false">
      <c r="A1030" s="0" t="s">
        <v>231</v>
      </c>
      <c r="B1030" s="0" t="s">
        <v>232</v>
      </c>
      <c r="C1030" s="0" t="s">
        <v>30</v>
      </c>
      <c r="D1030" s="0" t="s">
        <v>189</v>
      </c>
      <c r="E1030" s="0" t="n">
        <v>9</v>
      </c>
      <c r="F1030" s="0" t="s">
        <v>55</v>
      </c>
      <c r="G1030" s="0" t="s">
        <v>57</v>
      </c>
      <c r="H1030" s="0" t="s">
        <v>57</v>
      </c>
      <c r="I1030" s="0" t="s">
        <v>34</v>
      </c>
      <c r="J1030" s="0" t="n">
        <v>0.98</v>
      </c>
      <c r="K1030" s="0" t="s">
        <v>35</v>
      </c>
      <c r="L1030" s="0" t="n">
        <f aca="false">INDEX(Summary!$F$2:$F$201,MATCH($B1030,Summary!$A$2:$A$201,0))</f>
        <v>20</v>
      </c>
      <c r="M1030" s="0" t="n">
        <f aca="false">INDEX(Summary!$I$2:$I$201,MATCH($B1030,Summary!$A$2:$A$201,0))</f>
        <v>3</v>
      </c>
      <c r="N1030" s="0" t="n">
        <f aca="false">INDEX(Summary!$J$2:$J$201,MATCH($B1030,Summary!$A$2:$A$201,0))</f>
        <v>2</v>
      </c>
      <c r="O1030" s="2" t="n">
        <f aca="false">INDEX(Summary!$K$2:$K$201,MATCH($B1030,Summary!$A$2:$A$201,0))</f>
        <v>9.63</v>
      </c>
      <c r="P1030" s="3" t="n">
        <f aca="false">INDEX(Summary!$L$2:$L$201,MATCH($B1030,Summary!$A$2:$A$201,0))</f>
        <v>5</v>
      </c>
      <c r="Q1030" s="3" t="n">
        <f aca="false">INDEX(Summary!$M$2:$M$201,MATCH($B1030,Summary!$A$2:$A$201,0))</f>
        <v>1</v>
      </c>
      <c r="R1030" s="2" t="n">
        <f aca="false">INDEX(Summary!$N$2:$N$201,MATCH($B1030,Summary!$A$2:$A$201,0))</f>
        <v>9.57</v>
      </c>
      <c r="S1030" s="3" t="n">
        <f aca="false">INDEX(Summary!$O$2:$O$201,MATCH($B1030,Summary!$A$2:$A$201,0))</f>
        <v>8</v>
      </c>
      <c r="T1030" s="3" t="n">
        <f aca="false">INDEX(Summary!$P$2:$P$201,MATCH($B1030,Summary!$A$2:$A$201,0))</f>
        <v>1</v>
      </c>
      <c r="U1030" s="2" t="n">
        <f aca="false">INDEX(Summary!$Q$2:$Q$201,MATCH($B1030,Summary!$A$2:$A$201,0))</f>
        <v>12.52</v>
      </c>
      <c r="V1030" s="2" t="n">
        <f aca="false">INDEX(Summary!$R$2:$R$201,MATCH($B1030,Summary!$A$2:$A$201,0))</f>
        <v>30.88</v>
      </c>
      <c r="W1030" s="0" t="str">
        <f aca="false">INDEX(Summary!$S$2:$S$201,MATCH($B1030,Summary!$A$2:$A$201,0))</f>
        <v>Gold</v>
      </c>
      <c r="X1030" s="2" t="n">
        <f aca="false">INDEX(Summary!$T$2:$T$201,MATCH($B1030,Summary!$A$2:$A$201,0))</f>
        <v>75.32</v>
      </c>
      <c r="Y1030" s="0" t="str">
        <f aca="false">INDEX('Reward Model'!$E$18:$E$37,MATCH($E1030,'Reward Model'!$A$18:$A$37,0))</f>
        <v>Medium</v>
      </c>
      <c r="Z1030" s="4" t="n">
        <f aca="false">ROUND(MIN(1,MAX('Reward Model'!$B$2,INDEX('Reward Model'!$C$12:$C$14,MATCH($K1030,'Reward Model'!$A$12:$A$14,0))/$J1030)),3)</f>
        <v>1</v>
      </c>
      <c r="AA1030" s="2" t="n">
        <f aca="false">IF($I1030="Correct",ROUND(INDEX('Reward Model'!$B$12:$B$14,MATCH($K1030,'Reward Model'!$A$12:$A$14,0))*Z1030,2),0)</f>
        <v>1</v>
      </c>
      <c r="AB1030" s="2" t="n">
        <f aca="false">IF($I1030="Correct",ROUND(INDEX('Reward Model'!$B$12:$B$14,MATCH($Y1030,'Reward Model'!$A$12:$A$14,0))*Z1030,2),0)</f>
        <v>2</v>
      </c>
    </row>
    <row r="1031" customFormat="false" ht="15" hidden="false" customHeight="false" outlineLevel="0" collapsed="false">
      <c r="A1031" s="0" t="s">
        <v>231</v>
      </c>
      <c r="B1031" s="0" t="s">
        <v>232</v>
      </c>
      <c r="C1031" s="0" t="s">
        <v>30</v>
      </c>
      <c r="D1031" s="0" t="s">
        <v>189</v>
      </c>
      <c r="E1031" s="0" t="n">
        <v>10</v>
      </c>
      <c r="F1031" s="0" t="s">
        <v>58</v>
      </c>
      <c r="G1031" s="0" t="s">
        <v>59</v>
      </c>
      <c r="H1031" s="0" t="s">
        <v>59</v>
      </c>
      <c r="I1031" s="0" t="s">
        <v>34</v>
      </c>
      <c r="J1031" s="0" t="n">
        <v>1.43</v>
      </c>
      <c r="K1031" s="0" t="s">
        <v>60</v>
      </c>
      <c r="L1031" s="0" t="n">
        <f aca="false">INDEX(Summary!$F$2:$F$201,MATCH($B1031,Summary!$A$2:$A$201,0))</f>
        <v>20</v>
      </c>
      <c r="M1031" s="0" t="n">
        <f aca="false">INDEX(Summary!$I$2:$I$201,MATCH($B1031,Summary!$A$2:$A$201,0))</f>
        <v>3</v>
      </c>
      <c r="N1031" s="0" t="n">
        <f aca="false">INDEX(Summary!$J$2:$J$201,MATCH($B1031,Summary!$A$2:$A$201,0))</f>
        <v>2</v>
      </c>
      <c r="O1031" s="2" t="n">
        <f aca="false">INDEX(Summary!$K$2:$K$201,MATCH($B1031,Summary!$A$2:$A$201,0))</f>
        <v>9.63</v>
      </c>
      <c r="P1031" s="3" t="n">
        <f aca="false">INDEX(Summary!$L$2:$L$201,MATCH($B1031,Summary!$A$2:$A$201,0))</f>
        <v>5</v>
      </c>
      <c r="Q1031" s="3" t="n">
        <f aca="false">INDEX(Summary!$M$2:$M$201,MATCH($B1031,Summary!$A$2:$A$201,0))</f>
        <v>1</v>
      </c>
      <c r="R1031" s="2" t="n">
        <f aca="false">INDEX(Summary!$N$2:$N$201,MATCH($B1031,Summary!$A$2:$A$201,0))</f>
        <v>9.57</v>
      </c>
      <c r="S1031" s="3" t="n">
        <f aca="false">INDEX(Summary!$O$2:$O$201,MATCH($B1031,Summary!$A$2:$A$201,0))</f>
        <v>8</v>
      </c>
      <c r="T1031" s="3" t="n">
        <f aca="false">INDEX(Summary!$P$2:$P$201,MATCH($B1031,Summary!$A$2:$A$201,0))</f>
        <v>1</v>
      </c>
      <c r="U1031" s="2" t="n">
        <f aca="false">INDEX(Summary!$Q$2:$Q$201,MATCH($B1031,Summary!$A$2:$A$201,0))</f>
        <v>12.52</v>
      </c>
      <c r="V1031" s="2" t="n">
        <f aca="false">INDEX(Summary!$R$2:$R$201,MATCH($B1031,Summary!$A$2:$A$201,0))</f>
        <v>30.88</v>
      </c>
      <c r="W1031" s="0" t="str">
        <f aca="false">INDEX(Summary!$S$2:$S$201,MATCH($B1031,Summary!$A$2:$A$201,0))</f>
        <v>Gold</v>
      </c>
      <c r="X1031" s="2" t="n">
        <f aca="false">INDEX(Summary!$T$2:$T$201,MATCH($B1031,Summary!$A$2:$A$201,0))</f>
        <v>75.32</v>
      </c>
      <c r="Y1031" s="0" t="str">
        <f aca="false">INDEX('Reward Model'!$E$18:$E$37,MATCH($E1031,'Reward Model'!$A$18:$A$37,0))</f>
        <v>Medium</v>
      </c>
      <c r="Z1031" s="4" t="n">
        <f aca="false">ROUND(MIN(1,MAX('Reward Model'!$B$2,INDEX('Reward Model'!$C$12:$C$14,MATCH($K1031,'Reward Model'!$A$12:$A$14,0))/$J1031)),3)</f>
        <v>1</v>
      </c>
      <c r="AA1031" s="2" t="n">
        <f aca="false">IF($I1031="Correct",ROUND(INDEX('Reward Model'!$B$12:$B$14,MATCH($K1031,'Reward Model'!$A$12:$A$14,0))*Z1031,2),0)</f>
        <v>2</v>
      </c>
      <c r="AB1031" s="2" t="n">
        <f aca="false">IF($I1031="Correct",ROUND(INDEX('Reward Model'!$B$12:$B$14,MATCH($Y1031,'Reward Model'!$A$12:$A$14,0))*Z1031,2),0)</f>
        <v>2</v>
      </c>
    </row>
    <row r="1032" customFormat="false" ht="15" hidden="false" customHeight="false" outlineLevel="0" collapsed="false">
      <c r="A1032" s="0" t="s">
        <v>231</v>
      </c>
      <c r="B1032" s="0" t="s">
        <v>232</v>
      </c>
      <c r="C1032" s="0" t="s">
        <v>30</v>
      </c>
      <c r="D1032" s="0" t="s">
        <v>189</v>
      </c>
      <c r="E1032" s="0" t="n">
        <v>11</v>
      </c>
      <c r="F1032" s="0" t="s">
        <v>61</v>
      </c>
      <c r="G1032" s="0" t="s">
        <v>63</v>
      </c>
      <c r="H1032" s="0" t="s">
        <v>63</v>
      </c>
      <c r="I1032" s="0" t="s">
        <v>34</v>
      </c>
      <c r="J1032" s="0" t="n">
        <v>1.78</v>
      </c>
      <c r="K1032" s="0" t="s">
        <v>60</v>
      </c>
      <c r="L1032" s="0" t="n">
        <f aca="false">INDEX(Summary!$F$2:$F$201,MATCH($B1032,Summary!$A$2:$A$201,0))</f>
        <v>20</v>
      </c>
      <c r="M1032" s="0" t="n">
        <f aca="false">INDEX(Summary!$I$2:$I$201,MATCH($B1032,Summary!$A$2:$A$201,0))</f>
        <v>3</v>
      </c>
      <c r="N1032" s="0" t="n">
        <f aca="false">INDEX(Summary!$J$2:$J$201,MATCH($B1032,Summary!$A$2:$A$201,0))</f>
        <v>2</v>
      </c>
      <c r="O1032" s="2" t="n">
        <f aca="false">INDEX(Summary!$K$2:$K$201,MATCH($B1032,Summary!$A$2:$A$201,0))</f>
        <v>9.63</v>
      </c>
      <c r="P1032" s="3" t="n">
        <f aca="false">INDEX(Summary!$L$2:$L$201,MATCH($B1032,Summary!$A$2:$A$201,0))</f>
        <v>5</v>
      </c>
      <c r="Q1032" s="3" t="n">
        <f aca="false">INDEX(Summary!$M$2:$M$201,MATCH($B1032,Summary!$A$2:$A$201,0))</f>
        <v>1</v>
      </c>
      <c r="R1032" s="2" t="n">
        <f aca="false">INDEX(Summary!$N$2:$N$201,MATCH($B1032,Summary!$A$2:$A$201,0))</f>
        <v>9.57</v>
      </c>
      <c r="S1032" s="3" t="n">
        <f aca="false">INDEX(Summary!$O$2:$O$201,MATCH($B1032,Summary!$A$2:$A$201,0))</f>
        <v>8</v>
      </c>
      <c r="T1032" s="3" t="n">
        <f aca="false">INDEX(Summary!$P$2:$P$201,MATCH($B1032,Summary!$A$2:$A$201,0))</f>
        <v>1</v>
      </c>
      <c r="U1032" s="2" t="n">
        <f aca="false">INDEX(Summary!$Q$2:$Q$201,MATCH($B1032,Summary!$A$2:$A$201,0))</f>
        <v>12.52</v>
      </c>
      <c r="V1032" s="2" t="n">
        <f aca="false">INDEX(Summary!$R$2:$R$201,MATCH($B1032,Summary!$A$2:$A$201,0))</f>
        <v>30.88</v>
      </c>
      <c r="W1032" s="0" t="str">
        <f aca="false">INDEX(Summary!$S$2:$S$201,MATCH($B1032,Summary!$A$2:$A$201,0))</f>
        <v>Gold</v>
      </c>
      <c r="X1032" s="2" t="n">
        <f aca="false">INDEX(Summary!$T$2:$T$201,MATCH($B1032,Summary!$A$2:$A$201,0))</f>
        <v>75.32</v>
      </c>
      <c r="Y1032" s="0" t="str">
        <f aca="false">INDEX('Reward Model'!$E$18:$E$37,MATCH($E1032,'Reward Model'!$A$18:$A$37,0))</f>
        <v>Medium</v>
      </c>
      <c r="Z1032" s="4" t="n">
        <f aca="false">ROUND(MIN(1,MAX('Reward Model'!$B$2,INDEX('Reward Model'!$C$12:$C$14,MATCH($K1032,'Reward Model'!$A$12:$A$14,0))/$J1032)),3)</f>
        <v>1</v>
      </c>
      <c r="AA1032" s="2" t="n">
        <f aca="false">IF($I1032="Correct",ROUND(INDEX('Reward Model'!$B$12:$B$14,MATCH($K1032,'Reward Model'!$A$12:$A$14,0))*Z1032,2),0)</f>
        <v>2</v>
      </c>
      <c r="AB1032" s="2" t="n">
        <f aca="false">IF($I1032="Correct",ROUND(INDEX('Reward Model'!$B$12:$B$14,MATCH($Y1032,'Reward Model'!$A$12:$A$14,0))*Z1032,2),0)</f>
        <v>2</v>
      </c>
    </row>
    <row r="1033" customFormat="false" ht="15" hidden="false" customHeight="false" outlineLevel="0" collapsed="false">
      <c r="A1033" s="0" t="s">
        <v>231</v>
      </c>
      <c r="B1033" s="0" t="s">
        <v>232</v>
      </c>
      <c r="C1033" s="0" t="s">
        <v>30</v>
      </c>
      <c r="D1033" s="0" t="s">
        <v>189</v>
      </c>
      <c r="E1033" s="0" t="n">
        <v>12</v>
      </c>
      <c r="F1033" s="0" t="s">
        <v>64</v>
      </c>
      <c r="G1033" s="0" t="s">
        <v>65</v>
      </c>
      <c r="H1033" s="0" t="s">
        <v>65</v>
      </c>
      <c r="I1033" s="0" t="s">
        <v>34</v>
      </c>
      <c r="J1033" s="0" t="n">
        <v>1.22</v>
      </c>
      <c r="K1033" s="0" t="s">
        <v>60</v>
      </c>
      <c r="L1033" s="0" t="n">
        <f aca="false">INDEX(Summary!$F$2:$F$201,MATCH($B1033,Summary!$A$2:$A$201,0))</f>
        <v>20</v>
      </c>
      <c r="M1033" s="0" t="n">
        <f aca="false">INDEX(Summary!$I$2:$I$201,MATCH($B1033,Summary!$A$2:$A$201,0))</f>
        <v>3</v>
      </c>
      <c r="N1033" s="0" t="n">
        <f aca="false">INDEX(Summary!$J$2:$J$201,MATCH($B1033,Summary!$A$2:$A$201,0))</f>
        <v>2</v>
      </c>
      <c r="O1033" s="2" t="n">
        <f aca="false">INDEX(Summary!$K$2:$K$201,MATCH($B1033,Summary!$A$2:$A$201,0))</f>
        <v>9.63</v>
      </c>
      <c r="P1033" s="3" t="n">
        <f aca="false">INDEX(Summary!$L$2:$L$201,MATCH($B1033,Summary!$A$2:$A$201,0))</f>
        <v>5</v>
      </c>
      <c r="Q1033" s="3" t="n">
        <f aca="false">INDEX(Summary!$M$2:$M$201,MATCH($B1033,Summary!$A$2:$A$201,0))</f>
        <v>1</v>
      </c>
      <c r="R1033" s="2" t="n">
        <f aca="false">INDEX(Summary!$N$2:$N$201,MATCH($B1033,Summary!$A$2:$A$201,0))</f>
        <v>9.57</v>
      </c>
      <c r="S1033" s="3" t="n">
        <f aca="false">INDEX(Summary!$O$2:$O$201,MATCH($B1033,Summary!$A$2:$A$201,0))</f>
        <v>8</v>
      </c>
      <c r="T1033" s="3" t="n">
        <f aca="false">INDEX(Summary!$P$2:$P$201,MATCH($B1033,Summary!$A$2:$A$201,0))</f>
        <v>1</v>
      </c>
      <c r="U1033" s="2" t="n">
        <f aca="false">INDEX(Summary!$Q$2:$Q$201,MATCH($B1033,Summary!$A$2:$A$201,0))</f>
        <v>12.52</v>
      </c>
      <c r="V1033" s="2" t="n">
        <f aca="false">INDEX(Summary!$R$2:$R$201,MATCH($B1033,Summary!$A$2:$A$201,0))</f>
        <v>30.88</v>
      </c>
      <c r="W1033" s="0" t="str">
        <f aca="false">INDEX(Summary!$S$2:$S$201,MATCH($B1033,Summary!$A$2:$A$201,0))</f>
        <v>Gold</v>
      </c>
      <c r="X1033" s="2" t="n">
        <f aca="false">INDEX(Summary!$T$2:$T$201,MATCH($B1033,Summary!$A$2:$A$201,0))</f>
        <v>75.32</v>
      </c>
      <c r="Y1033" s="0" t="str">
        <f aca="false">INDEX('Reward Model'!$E$18:$E$37,MATCH($E1033,'Reward Model'!$A$18:$A$37,0))</f>
        <v>Medium</v>
      </c>
      <c r="Z1033" s="4" t="n">
        <f aca="false">ROUND(MIN(1,MAX('Reward Model'!$B$2,INDEX('Reward Model'!$C$12:$C$14,MATCH($K1033,'Reward Model'!$A$12:$A$14,0))/$J1033)),3)</f>
        <v>1</v>
      </c>
      <c r="AA1033" s="2" t="n">
        <f aca="false">IF($I1033="Correct",ROUND(INDEX('Reward Model'!$B$12:$B$14,MATCH($K1033,'Reward Model'!$A$12:$A$14,0))*Z1033,2),0)</f>
        <v>2</v>
      </c>
      <c r="AB1033" s="2" t="n">
        <f aca="false">IF($I1033="Correct",ROUND(INDEX('Reward Model'!$B$12:$B$14,MATCH($Y1033,'Reward Model'!$A$12:$A$14,0))*Z1033,2),0)</f>
        <v>2</v>
      </c>
    </row>
    <row r="1034" customFormat="false" ht="15" hidden="false" customHeight="false" outlineLevel="0" collapsed="false">
      <c r="A1034" s="0" t="s">
        <v>231</v>
      </c>
      <c r="B1034" s="0" t="s">
        <v>232</v>
      </c>
      <c r="C1034" s="0" t="s">
        <v>30</v>
      </c>
      <c r="D1034" s="0" t="s">
        <v>189</v>
      </c>
      <c r="E1034" s="0" t="n">
        <v>13</v>
      </c>
      <c r="F1034" s="0" t="s">
        <v>66</v>
      </c>
      <c r="G1034" s="0" t="s">
        <v>67</v>
      </c>
      <c r="H1034" s="0" t="s">
        <v>67</v>
      </c>
      <c r="I1034" s="0" t="s">
        <v>34</v>
      </c>
      <c r="J1034" s="0" t="n">
        <v>1.71</v>
      </c>
      <c r="K1034" s="0" t="s">
        <v>60</v>
      </c>
      <c r="L1034" s="0" t="n">
        <f aca="false">INDEX(Summary!$F$2:$F$201,MATCH($B1034,Summary!$A$2:$A$201,0))</f>
        <v>20</v>
      </c>
      <c r="M1034" s="0" t="n">
        <f aca="false">INDEX(Summary!$I$2:$I$201,MATCH($B1034,Summary!$A$2:$A$201,0))</f>
        <v>3</v>
      </c>
      <c r="N1034" s="0" t="n">
        <f aca="false">INDEX(Summary!$J$2:$J$201,MATCH($B1034,Summary!$A$2:$A$201,0))</f>
        <v>2</v>
      </c>
      <c r="O1034" s="2" t="n">
        <f aca="false">INDEX(Summary!$K$2:$K$201,MATCH($B1034,Summary!$A$2:$A$201,0))</f>
        <v>9.63</v>
      </c>
      <c r="P1034" s="3" t="n">
        <f aca="false">INDEX(Summary!$L$2:$L$201,MATCH($B1034,Summary!$A$2:$A$201,0))</f>
        <v>5</v>
      </c>
      <c r="Q1034" s="3" t="n">
        <f aca="false">INDEX(Summary!$M$2:$M$201,MATCH($B1034,Summary!$A$2:$A$201,0))</f>
        <v>1</v>
      </c>
      <c r="R1034" s="2" t="n">
        <f aca="false">INDEX(Summary!$N$2:$N$201,MATCH($B1034,Summary!$A$2:$A$201,0))</f>
        <v>9.57</v>
      </c>
      <c r="S1034" s="3" t="n">
        <f aca="false">INDEX(Summary!$O$2:$O$201,MATCH($B1034,Summary!$A$2:$A$201,0))</f>
        <v>8</v>
      </c>
      <c r="T1034" s="3" t="n">
        <f aca="false">INDEX(Summary!$P$2:$P$201,MATCH($B1034,Summary!$A$2:$A$201,0))</f>
        <v>1</v>
      </c>
      <c r="U1034" s="2" t="n">
        <f aca="false">INDEX(Summary!$Q$2:$Q$201,MATCH($B1034,Summary!$A$2:$A$201,0))</f>
        <v>12.52</v>
      </c>
      <c r="V1034" s="2" t="n">
        <f aca="false">INDEX(Summary!$R$2:$R$201,MATCH($B1034,Summary!$A$2:$A$201,0))</f>
        <v>30.88</v>
      </c>
      <c r="W1034" s="0" t="str">
        <f aca="false">INDEX(Summary!$S$2:$S$201,MATCH($B1034,Summary!$A$2:$A$201,0))</f>
        <v>Gold</v>
      </c>
      <c r="X1034" s="2" t="n">
        <f aca="false">INDEX(Summary!$T$2:$T$201,MATCH($B1034,Summary!$A$2:$A$201,0))</f>
        <v>75.32</v>
      </c>
      <c r="Y1034" s="0" t="str">
        <f aca="false">INDEX('Reward Model'!$E$18:$E$37,MATCH($E1034,'Reward Model'!$A$18:$A$37,0))</f>
        <v>Medium</v>
      </c>
      <c r="Z1034" s="4" t="n">
        <f aca="false">ROUND(MIN(1,MAX('Reward Model'!$B$2,INDEX('Reward Model'!$C$12:$C$14,MATCH($K1034,'Reward Model'!$A$12:$A$14,0))/$J1034)),3)</f>
        <v>1</v>
      </c>
      <c r="AA1034" s="2" t="n">
        <f aca="false">IF($I1034="Correct",ROUND(INDEX('Reward Model'!$B$12:$B$14,MATCH($K1034,'Reward Model'!$A$12:$A$14,0))*Z1034,2),0)</f>
        <v>2</v>
      </c>
      <c r="AB1034" s="2" t="n">
        <f aca="false">IF($I1034="Correct",ROUND(INDEX('Reward Model'!$B$12:$B$14,MATCH($Y1034,'Reward Model'!$A$12:$A$14,0))*Z1034,2),0)</f>
        <v>2</v>
      </c>
    </row>
    <row r="1035" customFormat="false" ht="15" hidden="false" customHeight="false" outlineLevel="0" collapsed="false">
      <c r="A1035" s="0" t="s">
        <v>231</v>
      </c>
      <c r="B1035" s="0" t="s">
        <v>232</v>
      </c>
      <c r="C1035" s="0" t="s">
        <v>30</v>
      </c>
      <c r="D1035" s="0" t="s">
        <v>189</v>
      </c>
      <c r="E1035" s="0" t="n">
        <v>14</v>
      </c>
      <c r="F1035" s="0" t="s">
        <v>68</v>
      </c>
      <c r="G1035" s="0" t="s">
        <v>100</v>
      </c>
      <c r="H1035" s="0" t="s">
        <v>51</v>
      </c>
      <c r="I1035" s="0" t="s">
        <v>39</v>
      </c>
      <c r="J1035" s="0" t="n">
        <v>2.29</v>
      </c>
      <c r="K1035" s="0" t="s">
        <v>60</v>
      </c>
      <c r="L1035" s="0" t="n">
        <f aca="false">INDEX(Summary!$F$2:$F$201,MATCH($B1035,Summary!$A$2:$A$201,0))</f>
        <v>20</v>
      </c>
      <c r="M1035" s="0" t="n">
        <f aca="false">INDEX(Summary!$I$2:$I$201,MATCH($B1035,Summary!$A$2:$A$201,0))</f>
        <v>3</v>
      </c>
      <c r="N1035" s="0" t="n">
        <f aca="false">INDEX(Summary!$J$2:$J$201,MATCH($B1035,Summary!$A$2:$A$201,0))</f>
        <v>2</v>
      </c>
      <c r="O1035" s="2" t="n">
        <f aca="false">INDEX(Summary!$K$2:$K$201,MATCH($B1035,Summary!$A$2:$A$201,0))</f>
        <v>9.63</v>
      </c>
      <c r="P1035" s="3" t="n">
        <f aca="false">INDEX(Summary!$L$2:$L$201,MATCH($B1035,Summary!$A$2:$A$201,0))</f>
        <v>5</v>
      </c>
      <c r="Q1035" s="3" t="n">
        <f aca="false">INDEX(Summary!$M$2:$M$201,MATCH($B1035,Summary!$A$2:$A$201,0))</f>
        <v>1</v>
      </c>
      <c r="R1035" s="2" t="n">
        <f aca="false">INDEX(Summary!$N$2:$N$201,MATCH($B1035,Summary!$A$2:$A$201,0))</f>
        <v>9.57</v>
      </c>
      <c r="S1035" s="3" t="n">
        <f aca="false">INDEX(Summary!$O$2:$O$201,MATCH($B1035,Summary!$A$2:$A$201,0))</f>
        <v>8</v>
      </c>
      <c r="T1035" s="3" t="n">
        <f aca="false">INDEX(Summary!$P$2:$P$201,MATCH($B1035,Summary!$A$2:$A$201,0))</f>
        <v>1</v>
      </c>
      <c r="U1035" s="2" t="n">
        <f aca="false">INDEX(Summary!$Q$2:$Q$201,MATCH($B1035,Summary!$A$2:$A$201,0))</f>
        <v>12.52</v>
      </c>
      <c r="V1035" s="2" t="n">
        <f aca="false">INDEX(Summary!$R$2:$R$201,MATCH($B1035,Summary!$A$2:$A$201,0))</f>
        <v>30.88</v>
      </c>
      <c r="W1035" s="0" t="str">
        <f aca="false">INDEX(Summary!$S$2:$S$201,MATCH($B1035,Summary!$A$2:$A$201,0))</f>
        <v>Gold</v>
      </c>
      <c r="X1035" s="2" t="n">
        <f aca="false">INDEX(Summary!$T$2:$T$201,MATCH($B1035,Summary!$A$2:$A$201,0))</f>
        <v>75.32</v>
      </c>
      <c r="Y1035" s="0" t="str">
        <f aca="false">INDEX('Reward Model'!$E$18:$E$37,MATCH($E1035,'Reward Model'!$A$18:$A$37,0))</f>
        <v>Medium</v>
      </c>
      <c r="Z1035" s="4" t="n">
        <f aca="false">ROUND(MIN(1,MAX('Reward Model'!$B$2,INDEX('Reward Model'!$C$12:$C$14,MATCH($K1035,'Reward Model'!$A$12:$A$14,0))/$J1035)),3)</f>
        <v>0.786</v>
      </c>
      <c r="AA1035" s="2" t="n">
        <f aca="false">IF($I1035="Correct",ROUND(INDEX('Reward Model'!$B$12:$B$14,MATCH($K1035,'Reward Model'!$A$12:$A$14,0))*Z1035,2),0)</f>
        <v>0</v>
      </c>
      <c r="AB1035" s="2" t="n">
        <f aca="false">IF($I1035="Correct",ROUND(INDEX('Reward Model'!$B$12:$B$14,MATCH($Y1035,'Reward Model'!$A$12:$A$14,0))*Z1035,2),0)</f>
        <v>0</v>
      </c>
    </row>
    <row r="1036" customFormat="false" ht="15" hidden="false" customHeight="false" outlineLevel="0" collapsed="false">
      <c r="A1036" s="0" t="s">
        <v>231</v>
      </c>
      <c r="B1036" s="0" t="s">
        <v>232</v>
      </c>
      <c r="C1036" s="0" t="s">
        <v>30</v>
      </c>
      <c r="D1036" s="0" t="s">
        <v>189</v>
      </c>
      <c r="E1036" s="0" t="n">
        <v>15</v>
      </c>
      <c r="F1036" s="0" t="s">
        <v>69</v>
      </c>
      <c r="G1036" s="0" t="s">
        <v>70</v>
      </c>
      <c r="H1036" s="0" t="s">
        <v>70</v>
      </c>
      <c r="I1036" s="0" t="s">
        <v>34</v>
      </c>
      <c r="J1036" s="0" t="n">
        <v>1.14</v>
      </c>
      <c r="K1036" s="0" t="s">
        <v>60</v>
      </c>
      <c r="L1036" s="0" t="n">
        <f aca="false">INDEX(Summary!$F$2:$F$201,MATCH($B1036,Summary!$A$2:$A$201,0))</f>
        <v>20</v>
      </c>
      <c r="M1036" s="0" t="n">
        <f aca="false">INDEX(Summary!$I$2:$I$201,MATCH($B1036,Summary!$A$2:$A$201,0))</f>
        <v>3</v>
      </c>
      <c r="N1036" s="0" t="n">
        <f aca="false">INDEX(Summary!$J$2:$J$201,MATCH($B1036,Summary!$A$2:$A$201,0))</f>
        <v>2</v>
      </c>
      <c r="O1036" s="2" t="n">
        <f aca="false">INDEX(Summary!$K$2:$K$201,MATCH($B1036,Summary!$A$2:$A$201,0))</f>
        <v>9.63</v>
      </c>
      <c r="P1036" s="3" t="n">
        <f aca="false">INDEX(Summary!$L$2:$L$201,MATCH($B1036,Summary!$A$2:$A$201,0))</f>
        <v>5</v>
      </c>
      <c r="Q1036" s="3" t="n">
        <f aca="false">INDEX(Summary!$M$2:$M$201,MATCH($B1036,Summary!$A$2:$A$201,0))</f>
        <v>1</v>
      </c>
      <c r="R1036" s="2" t="n">
        <f aca="false">INDEX(Summary!$N$2:$N$201,MATCH($B1036,Summary!$A$2:$A$201,0))</f>
        <v>9.57</v>
      </c>
      <c r="S1036" s="3" t="n">
        <f aca="false">INDEX(Summary!$O$2:$O$201,MATCH($B1036,Summary!$A$2:$A$201,0))</f>
        <v>8</v>
      </c>
      <c r="T1036" s="3" t="n">
        <f aca="false">INDEX(Summary!$P$2:$P$201,MATCH($B1036,Summary!$A$2:$A$201,0))</f>
        <v>1</v>
      </c>
      <c r="U1036" s="2" t="n">
        <f aca="false">INDEX(Summary!$Q$2:$Q$201,MATCH($B1036,Summary!$A$2:$A$201,0))</f>
        <v>12.52</v>
      </c>
      <c r="V1036" s="2" t="n">
        <f aca="false">INDEX(Summary!$R$2:$R$201,MATCH($B1036,Summary!$A$2:$A$201,0))</f>
        <v>30.88</v>
      </c>
      <c r="W1036" s="0" t="str">
        <f aca="false">INDEX(Summary!$S$2:$S$201,MATCH($B1036,Summary!$A$2:$A$201,0))</f>
        <v>Gold</v>
      </c>
      <c r="X1036" s="2" t="n">
        <f aca="false">INDEX(Summary!$T$2:$T$201,MATCH($B1036,Summary!$A$2:$A$201,0))</f>
        <v>75.32</v>
      </c>
      <c r="Y1036" s="0" t="str">
        <f aca="false">INDEX('Reward Model'!$E$18:$E$37,MATCH($E1036,'Reward Model'!$A$18:$A$37,0))</f>
        <v>Medium</v>
      </c>
      <c r="Z1036" s="4" t="n">
        <f aca="false">ROUND(MIN(1,MAX('Reward Model'!$B$2,INDEX('Reward Model'!$C$12:$C$14,MATCH($K1036,'Reward Model'!$A$12:$A$14,0))/$J1036)),3)</f>
        <v>1</v>
      </c>
      <c r="AA1036" s="2" t="n">
        <f aca="false">IF($I1036="Correct",ROUND(INDEX('Reward Model'!$B$12:$B$14,MATCH($K1036,'Reward Model'!$A$12:$A$14,0))*Z1036,2),0)</f>
        <v>2</v>
      </c>
      <c r="AB1036" s="2" t="n">
        <f aca="false">IF($I1036="Correct",ROUND(INDEX('Reward Model'!$B$12:$B$14,MATCH($Y1036,'Reward Model'!$A$12:$A$14,0))*Z1036,2),0)</f>
        <v>2</v>
      </c>
    </row>
    <row r="1037" customFormat="false" ht="15" hidden="false" customHeight="false" outlineLevel="0" collapsed="false">
      <c r="A1037" s="0" t="s">
        <v>231</v>
      </c>
      <c r="B1037" s="0" t="s">
        <v>232</v>
      </c>
      <c r="C1037" s="0" t="s">
        <v>30</v>
      </c>
      <c r="D1037" s="0" t="s">
        <v>189</v>
      </c>
      <c r="E1037" s="0" t="n">
        <v>16</v>
      </c>
      <c r="F1037" s="0" t="s">
        <v>71</v>
      </c>
      <c r="G1037" s="0" t="s">
        <v>104</v>
      </c>
      <c r="H1037" s="0" t="s">
        <v>72</v>
      </c>
      <c r="I1037" s="0" t="s">
        <v>39</v>
      </c>
      <c r="J1037" s="0" t="n">
        <v>1.5</v>
      </c>
      <c r="K1037" s="0" t="s">
        <v>73</v>
      </c>
      <c r="L1037" s="0" t="n">
        <f aca="false">INDEX(Summary!$F$2:$F$201,MATCH($B1037,Summary!$A$2:$A$201,0))</f>
        <v>20</v>
      </c>
      <c r="M1037" s="0" t="n">
        <f aca="false">INDEX(Summary!$I$2:$I$201,MATCH($B1037,Summary!$A$2:$A$201,0))</f>
        <v>3</v>
      </c>
      <c r="N1037" s="0" t="n">
        <f aca="false">INDEX(Summary!$J$2:$J$201,MATCH($B1037,Summary!$A$2:$A$201,0))</f>
        <v>2</v>
      </c>
      <c r="O1037" s="2" t="n">
        <f aca="false">INDEX(Summary!$K$2:$K$201,MATCH($B1037,Summary!$A$2:$A$201,0))</f>
        <v>9.63</v>
      </c>
      <c r="P1037" s="3" t="n">
        <f aca="false">INDEX(Summary!$L$2:$L$201,MATCH($B1037,Summary!$A$2:$A$201,0))</f>
        <v>5</v>
      </c>
      <c r="Q1037" s="3" t="n">
        <f aca="false">INDEX(Summary!$M$2:$M$201,MATCH($B1037,Summary!$A$2:$A$201,0))</f>
        <v>1</v>
      </c>
      <c r="R1037" s="2" t="n">
        <f aca="false">INDEX(Summary!$N$2:$N$201,MATCH($B1037,Summary!$A$2:$A$201,0))</f>
        <v>9.57</v>
      </c>
      <c r="S1037" s="3" t="n">
        <f aca="false">INDEX(Summary!$O$2:$O$201,MATCH($B1037,Summary!$A$2:$A$201,0))</f>
        <v>8</v>
      </c>
      <c r="T1037" s="3" t="n">
        <f aca="false">INDEX(Summary!$P$2:$P$201,MATCH($B1037,Summary!$A$2:$A$201,0))</f>
        <v>1</v>
      </c>
      <c r="U1037" s="2" t="n">
        <f aca="false">INDEX(Summary!$Q$2:$Q$201,MATCH($B1037,Summary!$A$2:$A$201,0))</f>
        <v>12.52</v>
      </c>
      <c r="V1037" s="2" t="n">
        <f aca="false">INDEX(Summary!$R$2:$R$201,MATCH($B1037,Summary!$A$2:$A$201,0))</f>
        <v>30.88</v>
      </c>
      <c r="W1037" s="0" t="str">
        <f aca="false">INDEX(Summary!$S$2:$S$201,MATCH($B1037,Summary!$A$2:$A$201,0))</f>
        <v>Gold</v>
      </c>
      <c r="X1037" s="2" t="n">
        <f aca="false">INDEX(Summary!$T$2:$T$201,MATCH($B1037,Summary!$A$2:$A$201,0))</f>
        <v>75.32</v>
      </c>
      <c r="Y1037" s="0" t="str">
        <f aca="false">INDEX('Reward Model'!$E$18:$E$37,MATCH($E1037,'Reward Model'!$A$18:$A$37,0))</f>
        <v>High</v>
      </c>
      <c r="Z1037" s="4" t="n">
        <f aca="false">ROUND(MIN(1,MAX('Reward Model'!$B$2,INDEX('Reward Model'!$C$12:$C$14,MATCH($K1037,'Reward Model'!$A$12:$A$14,0))/$J1037)),3)</f>
        <v>1</v>
      </c>
      <c r="AA1037" s="2" t="n">
        <f aca="false">IF($I1037="Correct",ROUND(INDEX('Reward Model'!$B$12:$B$14,MATCH($K1037,'Reward Model'!$A$12:$A$14,0))*Z1037,2),0)</f>
        <v>0</v>
      </c>
      <c r="AB1037" s="2" t="n">
        <f aca="false">IF($I1037="Correct",ROUND(INDEX('Reward Model'!$B$12:$B$14,MATCH($Y1037,'Reward Model'!$A$12:$A$14,0))*Z1037,2),0)</f>
        <v>0</v>
      </c>
    </row>
    <row r="1038" customFormat="false" ht="15" hidden="false" customHeight="false" outlineLevel="0" collapsed="false">
      <c r="A1038" s="0" t="s">
        <v>231</v>
      </c>
      <c r="B1038" s="0" t="s">
        <v>232</v>
      </c>
      <c r="C1038" s="0" t="s">
        <v>30</v>
      </c>
      <c r="D1038" s="0" t="s">
        <v>189</v>
      </c>
      <c r="E1038" s="0" t="n">
        <v>17</v>
      </c>
      <c r="F1038" s="0" t="s">
        <v>74</v>
      </c>
      <c r="G1038" s="0" t="s">
        <v>75</v>
      </c>
      <c r="H1038" s="0" t="s">
        <v>75</v>
      </c>
      <c r="I1038" s="0" t="s">
        <v>34</v>
      </c>
      <c r="J1038" s="0" t="n">
        <v>2.24</v>
      </c>
      <c r="K1038" s="0" t="s">
        <v>73</v>
      </c>
      <c r="L1038" s="0" t="n">
        <f aca="false">INDEX(Summary!$F$2:$F$201,MATCH($B1038,Summary!$A$2:$A$201,0))</f>
        <v>20</v>
      </c>
      <c r="M1038" s="0" t="n">
        <f aca="false">INDEX(Summary!$I$2:$I$201,MATCH($B1038,Summary!$A$2:$A$201,0))</f>
        <v>3</v>
      </c>
      <c r="N1038" s="0" t="n">
        <f aca="false">INDEX(Summary!$J$2:$J$201,MATCH($B1038,Summary!$A$2:$A$201,0))</f>
        <v>2</v>
      </c>
      <c r="O1038" s="2" t="n">
        <f aca="false">INDEX(Summary!$K$2:$K$201,MATCH($B1038,Summary!$A$2:$A$201,0))</f>
        <v>9.63</v>
      </c>
      <c r="P1038" s="3" t="n">
        <f aca="false">INDEX(Summary!$L$2:$L$201,MATCH($B1038,Summary!$A$2:$A$201,0))</f>
        <v>5</v>
      </c>
      <c r="Q1038" s="3" t="n">
        <f aca="false">INDEX(Summary!$M$2:$M$201,MATCH($B1038,Summary!$A$2:$A$201,0))</f>
        <v>1</v>
      </c>
      <c r="R1038" s="2" t="n">
        <f aca="false">INDEX(Summary!$N$2:$N$201,MATCH($B1038,Summary!$A$2:$A$201,0))</f>
        <v>9.57</v>
      </c>
      <c r="S1038" s="3" t="n">
        <f aca="false">INDEX(Summary!$O$2:$O$201,MATCH($B1038,Summary!$A$2:$A$201,0))</f>
        <v>8</v>
      </c>
      <c r="T1038" s="3" t="n">
        <f aca="false">INDEX(Summary!$P$2:$P$201,MATCH($B1038,Summary!$A$2:$A$201,0))</f>
        <v>1</v>
      </c>
      <c r="U1038" s="2" t="n">
        <f aca="false">INDEX(Summary!$Q$2:$Q$201,MATCH($B1038,Summary!$A$2:$A$201,0))</f>
        <v>12.52</v>
      </c>
      <c r="V1038" s="2" t="n">
        <f aca="false">INDEX(Summary!$R$2:$R$201,MATCH($B1038,Summary!$A$2:$A$201,0))</f>
        <v>30.88</v>
      </c>
      <c r="W1038" s="0" t="str">
        <f aca="false">INDEX(Summary!$S$2:$S$201,MATCH($B1038,Summary!$A$2:$A$201,0))</f>
        <v>Gold</v>
      </c>
      <c r="X1038" s="2" t="n">
        <f aca="false">INDEX(Summary!$T$2:$T$201,MATCH($B1038,Summary!$A$2:$A$201,0))</f>
        <v>75.32</v>
      </c>
      <c r="Y1038" s="0" t="str">
        <f aca="false">INDEX('Reward Model'!$E$18:$E$37,MATCH($E1038,'Reward Model'!$A$18:$A$37,0))</f>
        <v>High</v>
      </c>
      <c r="Z1038" s="4" t="n">
        <f aca="false">ROUND(MIN(1,MAX('Reward Model'!$B$2,INDEX('Reward Model'!$C$12:$C$14,MATCH($K1038,'Reward Model'!$A$12:$A$14,0))/$J1038)),3)</f>
        <v>0.893</v>
      </c>
      <c r="AA1038" s="2" t="n">
        <f aca="false">IF($I1038="Correct",ROUND(INDEX('Reward Model'!$B$12:$B$14,MATCH($K1038,'Reward Model'!$A$12:$A$14,0))*Z1038,2),0)</f>
        <v>2.68</v>
      </c>
      <c r="AB1038" s="2" t="n">
        <f aca="false">IF($I1038="Correct",ROUND(INDEX('Reward Model'!$B$12:$B$14,MATCH($Y1038,'Reward Model'!$A$12:$A$14,0))*Z1038,2),0)</f>
        <v>2.68</v>
      </c>
    </row>
    <row r="1039" customFormat="false" ht="15" hidden="false" customHeight="false" outlineLevel="0" collapsed="false">
      <c r="A1039" s="0" t="s">
        <v>231</v>
      </c>
      <c r="B1039" s="0" t="s">
        <v>232</v>
      </c>
      <c r="C1039" s="0" t="s">
        <v>30</v>
      </c>
      <c r="D1039" s="0" t="s">
        <v>189</v>
      </c>
      <c r="E1039" s="0" t="n">
        <v>18</v>
      </c>
      <c r="F1039" s="0" t="s">
        <v>76</v>
      </c>
      <c r="G1039" s="0" t="s">
        <v>77</v>
      </c>
      <c r="H1039" s="0" t="s">
        <v>77</v>
      </c>
      <c r="I1039" s="0" t="s">
        <v>34</v>
      </c>
      <c r="J1039" s="0" t="n">
        <v>2.29</v>
      </c>
      <c r="K1039" s="0" t="s">
        <v>73</v>
      </c>
      <c r="L1039" s="0" t="n">
        <f aca="false">INDEX(Summary!$F$2:$F$201,MATCH($B1039,Summary!$A$2:$A$201,0))</f>
        <v>20</v>
      </c>
      <c r="M1039" s="0" t="n">
        <f aca="false">INDEX(Summary!$I$2:$I$201,MATCH($B1039,Summary!$A$2:$A$201,0))</f>
        <v>3</v>
      </c>
      <c r="N1039" s="0" t="n">
        <f aca="false">INDEX(Summary!$J$2:$J$201,MATCH($B1039,Summary!$A$2:$A$201,0))</f>
        <v>2</v>
      </c>
      <c r="O1039" s="2" t="n">
        <f aca="false">INDEX(Summary!$K$2:$K$201,MATCH($B1039,Summary!$A$2:$A$201,0))</f>
        <v>9.63</v>
      </c>
      <c r="P1039" s="3" t="n">
        <f aca="false">INDEX(Summary!$L$2:$L$201,MATCH($B1039,Summary!$A$2:$A$201,0))</f>
        <v>5</v>
      </c>
      <c r="Q1039" s="3" t="n">
        <f aca="false">INDEX(Summary!$M$2:$M$201,MATCH($B1039,Summary!$A$2:$A$201,0))</f>
        <v>1</v>
      </c>
      <c r="R1039" s="2" t="n">
        <f aca="false">INDEX(Summary!$N$2:$N$201,MATCH($B1039,Summary!$A$2:$A$201,0))</f>
        <v>9.57</v>
      </c>
      <c r="S1039" s="3" t="n">
        <f aca="false">INDEX(Summary!$O$2:$O$201,MATCH($B1039,Summary!$A$2:$A$201,0))</f>
        <v>8</v>
      </c>
      <c r="T1039" s="3" t="n">
        <f aca="false">INDEX(Summary!$P$2:$P$201,MATCH($B1039,Summary!$A$2:$A$201,0))</f>
        <v>1</v>
      </c>
      <c r="U1039" s="2" t="n">
        <f aca="false">INDEX(Summary!$Q$2:$Q$201,MATCH($B1039,Summary!$A$2:$A$201,0))</f>
        <v>12.52</v>
      </c>
      <c r="V1039" s="2" t="n">
        <f aca="false">INDEX(Summary!$R$2:$R$201,MATCH($B1039,Summary!$A$2:$A$201,0))</f>
        <v>30.88</v>
      </c>
      <c r="W1039" s="0" t="str">
        <f aca="false">INDEX(Summary!$S$2:$S$201,MATCH($B1039,Summary!$A$2:$A$201,0))</f>
        <v>Gold</v>
      </c>
      <c r="X1039" s="2" t="n">
        <f aca="false">INDEX(Summary!$T$2:$T$201,MATCH($B1039,Summary!$A$2:$A$201,0))</f>
        <v>75.32</v>
      </c>
      <c r="Y1039" s="0" t="str">
        <f aca="false">INDEX('Reward Model'!$E$18:$E$37,MATCH($E1039,'Reward Model'!$A$18:$A$37,0))</f>
        <v>High</v>
      </c>
      <c r="Z1039" s="4" t="n">
        <f aca="false">ROUND(MIN(1,MAX('Reward Model'!$B$2,INDEX('Reward Model'!$C$12:$C$14,MATCH($K1039,'Reward Model'!$A$12:$A$14,0))/$J1039)),3)</f>
        <v>0.873</v>
      </c>
      <c r="AA1039" s="2" t="n">
        <f aca="false">IF($I1039="Correct",ROUND(INDEX('Reward Model'!$B$12:$B$14,MATCH($K1039,'Reward Model'!$A$12:$A$14,0))*Z1039,2),0)</f>
        <v>2.62</v>
      </c>
      <c r="AB1039" s="2" t="n">
        <f aca="false">IF($I1039="Correct",ROUND(INDEX('Reward Model'!$B$12:$B$14,MATCH($Y1039,'Reward Model'!$A$12:$A$14,0))*Z1039,2),0)</f>
        <v>2.62</v>
      </c>
    </row>
    <row r="1040" customFormat="false" ht="15" hidden="false" customHeight="false" outlineLevel="0" collapsed="false">
      <c r="A1040" s="0" t="s">
        <v>231</v>
      </c>
      <c r="B1040" s="0" t="s">
        <v>232</v>
      </c>
      <c r="C1040" s="0" t="s">
        <v>30</v>
      </c>
      <c r="D1040" s="0" t="s">
        <v>189</v>
      </c>
      <c r="E1040" s="0" t="n">
        <v>19</v>
      </c>
      <c r="F1040" s="0" t="s">
        <v>78</v>
      </c>
      <c r="G1040" s="0" t="s">
        <v>80</v>
      </c>
      <c r="H1040" s="0" t="s">
        <v>80</v>
      </c>
      <c r="I1040" s="0" t="s">
        <v>34</v>
      </c>
      <c r="J1040" s="0" t="n">
        <v>1.99</v>
      </c>
      <c r="K1040" s="0" t="s">
        <v>73</v>
      </c>
      <c r="L1040" s="0" t="n">
        <f aca="false">INDEX(Summary!$F$2:$F$201,MATCH($B1040,Summary!$A$2:$A$201,0))</f>
        <v>20</v>
      </c>
      <c r="M1040" s="0" t="n">
        <f aca="false">INDEX(Summary!$I$2:$I$201,MATCH($B1040,Summary!$A$2:$A$201,0))</f>
        <v>3</v>
      </c>
      <c r="N1040" s="0" t="n">
        <f aca="false">INDEX(Summary!$J$2:$J$201,MATCH($B1040,Summary!$A$2:$A$201,0))</f>
        <v>2</v>
      </c>
      <c r="O1040" s="2" t="n">
        <f aca="false">INDEX(Summary!$K$2:$K$201,MATCH($B1040,Summary!$A$2:$A$201,0))</f>
        <v>9.63</v>
      </c>
      <c r="P1040" s="3" t="n">
        <f aca="false">INDEX(Summary!$L$2:$L$201,MATCH($B1040,Summary!$A$2:$A$201,0))</f>
        <v>5</v>
      </c>
      <c r="Q1040" s="3" t="n">
        <f aca="false">INDEX(Summary!$M$2:$M$201,MATCH($B1040,Summary!$A$2:$A$201,0))</f>
        <v>1</v>
      </c>
      <c r="R1040" s="2" t="n">
        <f aca="false">INDEX(Summary!$N$2:$N$201,MATCH($B1040,Summary!$A$2:$A$201,0))</f>
        <v>9.57</v>
      </c>
      <c r="S1040" s="3" t="n">
        <f aca="false">INDEX(Summary!$O$2:$O$201,MATCH($B1040,Summary!$A$2:$A$201,0))</f>
        <v>8</v>
      </c>
      <c r="T1040" s="3" t="n">
        <f aca="false">INDEX(Summary!$P$2:$P$201,MATCH($B1040,Summary!$A$2:$A$201,0))</f>
        <v>1</v>
      </c>
      <c r="U1040" s="2" t="n">
        <f aca="false">INDEX(Summary!$Q$2:$Q$201,MATCH($B1040,Summary!$A$2:$A$201,0))</f>
        <v>12.52</v>
      </c>
      <c r="V1040" s="2" t="n">
        <f aca="false">INDEX(Summary!$R$2:$R$201,MATCH($B1040,Summary!$A$2:$A$201,0))</f>
        <v>30.88</v>
      </c>
      <c r="W1040" s="0" t="str">
        <f aca="false">INDEX(Summary!$S$2:$S$201,MATCH($B1040,Summary!$A$2:$A$201,0))</f>
        <v>Gold</v>
      </c>
      <c r="X1040" s="2" t="n">
        <f aca="false">INDEX(Summary!$T$2:$T$201,MATCH($B1040,Summary!$A$2:$A$201,0))</f>
        <v>75.32</v>
      </c>
      <c r="Y1040" s="0" t="str">
        <f aca="false">INDEX('Reward Model'!$E$18:$E$37,MATCH($E1040,'Reward Model'!$A$18:$A$37,0))</f>
        <v>High</v>
      </c>
      <c r="Z1040" s="4" t="n">
        <f aca="false">ROUND(MIN(1,MAX('Reward Model'!$B$2,INDEX('Reward Model'!$C$12:$C$14,MATCH($K1040,'Reward Model'!$A$12:$A$14,0))/$J1040)),3)</f>
        <v>1</v>
      </c>
      <c r="AA1040" s="2" t="n">
        <f aca="false">IF($I1040="Correct",ROUND(INDEX('Reward Model'!$B$12:$B$14,MATCH($K1040,'Reward Model'!$A$12:$A$14,0))*Z1040,2),0)</f>
        <v>3</v>
      </c>
      <c r="AB1040" s="2" t="n">
        <f aca="false">IF($I1040="Correct",ROUND(INDEX('Reward Model'!$B$12:$B$14,MATCH($Y1040,'Reward Model'!$A$12:$A$14,0))*Z1040,2),0)</f>
        <v>3</v>
      </c>
    </row>
    <row r="1041" customFormat="false" ht="15" hidden="false" customHeight="false" outlineLevel="0" collapsed="false">
      <c r="A1041" s="0" t="s">
        <v>231</v>
      </c>
      <c r="B1041" s="0" t="s">
        <v>232</v>
      </c>
      <c r="C1041" s="0" t="s">
        <v>30</v>
      </c>
      <c r="D1041" s="0" t="s">
        <v>189</v>
      </c>
      <c r="E1041" s="0" t="n">
        <v>20</v>
      </c>
      <c r="F1041" s="0" t="s">
        <v>81</v>
      </c>
      <c r="G1041" s="0" t="s">
        <v>82</v>
      </c>
      <c r="H1041" s="0" t="s">
        <v>83</v>
      </c>
      <c r="I1041" s="0" t="s">
        <v>39</v>
      </c>
      <c r="J1041" s="0" t="n">
        <v>1.61</v>
      </c>
      <c r="K1041" s="0" t="s">
        <v>73</v>
      </c>
      <c r="L1041" s="0" t="n">
        <f aca="false">INDEX(Summary!$F$2:$F$201,MATCH($B1041,Summary!$A$2:$A$201,0))</f>
        <v>20</v>
      </c>
      <c r="M1041" s="0" t="n">
        <f aca="false">INDEX(Summary!$I$2:$I$201,MATCH($B1041,Summary!$A$2:$A$201,0))</f>
        <v>3</v>
      </c>
      <c r="N1041" s="0" t="n">
        <f aca="false">INDEX(Summary!$J$2:$J$201,MATCH($B1041,Summary!$A$2:$A$201,0))</f>
        <v>2</v>
      </c>
      <c r="O1041" s="2" t="n">
        <f aca="false">INDEX(Summary!$K$2:$K$201,MATCH($B1041,Summary!$A$2:$A$201,0))</f>
        <v>9.63</v>
      </c>
      <c r="P1041" s="3" t="n">
        <f aca="false">INDEX(Summary!$L$2:$L$201,MATCH($B1041,Summary!$A$2:$A$201,0))</f>
        <v>5</v>
      </c>
      <c r="Q1041" s="3" t="n">
        <f aca="false">INDEX(Summary!$M$2:$M$201,MATCH($B1041,Summary!$A$2:$A$201,0))</f>
        <v>1</v>
      </c>
      <c r="R1041" s="2" t="n">
        <f aca="false">INDEX(Summary!$N$2:$N$201,MATCH($B1041,Summary!$A$2:$A$201,0))</f>
        <v>9.57</v>
      </c>
      <c r="S1041" s="3" t="n">
        <f aca="false">INDEX(Summary!$O$2:$O$201,MATCH($B1041,Summary!$A$2:$A$201,0))</f>
        <v>8</v>
      </c>
      <c r="T1041" s="3" t="n">
        <f aca="false">INDEX(Summary!$P$2:$P$201,MATCH($B1041,Summary!$A$2:$A$201,0))</f>
        <v>1</v>
      </c>
      <c r="U1041" s="2" t="n">
        <f aca="false">INDEX(Summary!$Q$2:$Q$201,MATCH($B1041,Summary!$A$2:$A$201,0))</f>
        <v>12.52</v>
      </c>
      <c r="V1041" s="2" t="n">
        <f aca="false">INDEX(Summary!$R$2:$R$201,MATCH($B1041,Summary!$A$2:$A$201,0))</f>
        <v>30.88</v>
      </c>
      <c r="W1041" s="0" t="str">
        <f aca="false">INDEX(Summary!$S$2:$S$201,MATCH($B1041,Summary!$A$2:$A$201,0))</f>
        <v>Gold</v>
      </c>
      <c r="X1041" s="2" t="n">
        <f aca="false">INDEX(Summary!$T$2:$T$201,MATCH($B1041,Summary!$A$2:$A$201,0))</f>
        <v>75.32</v>
      </c>
      <c r="Y1041" s="0" t="str">
        <f aca="false">INDEX('Reward Model'!$E$18:$E$37,MATCH($E1041,'Reward Model'!$A$18:$A$37,0))</f>
        <v>High</v>
      </c>
      <c r="Z1041" s="4" t="n">
        <f aca="false">ROUND(MIN(1,MAX('Reward Model'!$B$2,INDEX('Reward Model'!$C$12:$C$14,MATCH($K1041,'Reward Model'!$A$12:$A$14,0))/$J1041)),3)</f>
        <v>1</v>
      </c>
      <c r="AA1041" s="2" t="n">
        <f aca="false">IF($I1041="Correct",ROUND(INDEX('Reward Model'!$B$12:$B$14,MATCH($K1041,'Reward Model'!$A$12:$A$14,0))*Z1041,2),0)</f>
        <v>0</v>
      </c>
      <c r="AB1041" s="2" t="n">
        <f aca="false">IF($I1041="Correct",ROUND(INDEX('Reward Model'!$B$12:$B$14,MATCH($Y1041,'Reward Model'!$A$12:$A$14,0))*Z1041,2),0)</f>
        <v>0</v>
      </c>
    </row>
    <row r="1042" customFormat="false" ht="15" hidden="false" customHeight="false" outlineLevel="0" collapsed="false">
      <c r="A1042" s="0" t="s">
        <v>233</v>
      </c>
      <c r="B1042" s="0" t="s">
        <v>234</v>
      </c>
      <c r="C1042" s="0" t="s">
        <v>30</v>
      </c>
      <c r="D1042" s="0" t="s">
        <v>189</v>
      </c>
      <c r="E1042" s="0" t="n">
        <v>1</v>
      </c>
      <c r="F1042" s="0" t="s">
        <v>32</v>
      </c>
      <c r="G1042" s="0" t="s">
        <v>33</v>
      </c>
      <c r="H1042" s="0" t="s">
        <v>33</v>
      </c>
      <c r="I1042" s="0" t="s">
        <v>34</v>
      </c>
      <c r="J1042" s="0" t="n">
        <v>1.85</v>
      </c>
      <c r="K1042" s="0" t="s">
        <v>35</v>
      </c>
      <c r="L1042" s="0" t="n">
        <f aca="false">INDEX(Summary!$F$2:$F$201,MATCH($B1042,Summary!$A$2:$A$201,0))</f>
        <v>20</v>
      </c>
      <c r="M1042" s="0" t="n">
        <f aca="false">INDEX(Summary!$I$2:$I$201,MATCH($B1042,Summary!$A$2:$A$201,0))</f>
        <v>1</v>
      </c>
      <c r="N1042" s="0" t="n">
        <f aca="false">INDEX(Summary!$J$2:$J$201,MATCH($B1042,Summary!$A$2:$A$201,0))</f>
        <v>4</v>
      </c>
      <c r="O1042" s="2" t="n">
        <f aca="false">INDEX(Summary!$K$2:$K$201,MATCH($B1042,Summary!$A$2:$A$201,0))</f>
        <v>9.94</v>
      </c>
      <c r="P1042" s="3" t="n">
        <f aca="false">INDEX(Summary!$L$2:$L$201,MATCH($B1042,Summary!$A$2:$A$201,0))</f>
        <v>3</v>
      </c>
      <c r="Q1042" s="3" t="n">
        <f aca="false">INDEX(Summary!$M$2:$M$201,MATCH($B1042,Summary!$A$2:$A$201,0))</f>
        <v>3</v>
      </c>
      <c r="R1042" s="2" t="n">
        <f aca="false">INDEX(Summary!$N$2:$N$201,MATCH($B1042,Summary!$A$2:$A$201,0))</f>
        <v>9.4</v>
      </c>
      <c r="S1042" s="3" t="n">
        <f aca="false">INDEX(Summary!$O$2:$O$201,MATCH($B1042,Summary!$A$2:$A$201,0))</f>
        <v>8</v>
      </c>
      <c r="T1042" s="3" t="n">
        <f aca="false">INDEX(Summary!$P$2:$P$201,MATCH($B1042,Summary!$A$2:$A$201,0))</f>
        <v>1</v>
      </c>
      <c r="U1042" s="2" t="n">
        <f aca="false">INDEX(Summary!$Q$2:$Q$201,MATCH($B1042,Summary!$A$2:$A$201,0))</f>
        <v>13.95</v>
      </c>
      <c r="V1042" s="2" t="n">
        <f aca="false">INDEX(Summary!$R$2:$R$201,MATCH($B1042,Summary!$A$2:$A$201,0))</f>
        <v>19.7</v>
      </c>
      <c r="W1042" s="0" t="str">
        <f aca="false">INDEX(Summary!$S$2:$S$201,MATCH($B1042,Summary!$A$2:$A$201,0))</f>
        <v>Bronze</v>
      </c>
      <c r="X1042" s="2" t="n">
        <f aca="false">INDEX(Summary!$T$2:$T$201,MATCH($B1042,Summary!$A$2:$A$201,0))</f>
        <v>48.05</v>
      </c>
      <c r="Y1042" s="0" t="str">
        <f aca="false">INDEX('Reward Model'!$E$18:$E$37,MATCH($E1042,'Reward Model'!$A$18:$A$37,0))</f>
        <v>Medium</v>
      </c>
      <c r="Z1042" s="4" t="n">
        <f aca="false">ROUND(MIN(1,MAX('Reward Model'!$B$2,INDEX('Reward Model'!$C$12:$C$14,MATCH($K1042,'Reward Model'!$A$12:$A$14,0))/$J1042)),3)</f>
        <v>0.811</v>
      </c>
      <c r="AA1042" s="2" t="n">
        <f aca="false">IF($I1042="Correct",ROUND(INDEX('Reward Model'!$B$12:$B$14,MATCH($K1042,'Reward Model'!$A$12:$A$14,0))*Z1042,2),0)</f>
        <v>0.81</v>
      </c>
      <c r="AB1042" s="2" t="n">
        <f aca="false">IF($I1042="Correct",ROUND(INDEX('Reward Model'!$B$12:$B$14,MATCH($Y1042,'Reward Model'!$A$12:$A$14,0))*Z1042,2),0)</f>
        <v>1.62</v>
      </c>
    </row>
    <row r="1043" customFormat="false" ht="15" hidden="false" customHeight="false" outlineLevel="0" collapsed="false">
      <c r="A1043" s="0" t="s">
        <v>233</v>
      </c>
      <c r="B1043" s="0" t="s">
        <v>234</v>
      </c>
      <c r="C1043" s="0" t="s">
        <v>30</v>
      </c>
      <c r="D1043" s="0" t="s">
        <v>189</v>
      </c>
      <c r="E1043" s="0" t="n">
        <v>2</v>
      </c>
      <c r="F1043" s="0" t="s">
        <v>36</v>
      </c>
      <c r="G1043" s="0" t="s">
        <v>38</v>
      </c>
      <c r="H1043" s="0" t="s">
        <v>38</v>
      </c>
      <c r="I1043" s="0" t="s">
        <v>34</v>
      </c>
      <c r="J1043" s="0" t="n">
        <v>1.23</v>
      </c>
      <c r="K1043" s="0" t="s">
        <v>35</v>
      </c>
      <c r="L1043" s="0" t="n">
        <f aca="false">INDEX(Summary!$F$2:$F$201,MATCH($B1043,Summary!$A$2:$A$201,0))</f>
        <v>20</v>
      </c>
      <c r="M1043" s="0" t="n">
        <f aca="false">INDEX(Summary!$I$2:$I$201,MATCH($B1043,Summary!$A$2:$A$201,0))</f>
        <v>1</v>
      </c>
      <c r="N1043" s="0" t="n">
        <f aca="false">INDEX(Summary!$J$2:$J$201,MATCH($B1043,Summary!$A$2:$A$201,0))</f>
        <v>4</v>
      </c>
      <c r="O1043" s="2" t="n">
        <f aca="false">INDEX(Summary!$K$2:$K$201,MATCH($B1043,Summary!$A$2:$A$201,0))</f>
        <v>9.94</v>
      </c>
      <c r="P1043" s="3" t="n">
        <f aca="false">INDEX(Summary!$L$2:$L$201,MATCH($B1043,Summary!$A$2:$A$201,0))</f>
        <v>3</v>
      </c>
      <c r="Q1043" s="3" t="n">
        <f aca="false">INDEX(Summary!$M$2:$M$201,MATCH($B1043,Summary!$A$2:$A$201,0))</f>
        <v>3</v>
      </c>
      <c r="R1043" s="2" t="n">
        <f aca="false">INDEX(Summary!$N$2:$N$201,MATCH($B1043,Summary!$A$2:$A$201,0))</f>
        <v>9.4</v>
      </c>
      <c r="S1043" s="3" t="n">
        <f aca="false">INDEX(Summary!$O$2:$O$201,MATCH($B1043,Summary!$A$2:$A$201,0))</f>
        <v>8</v>
      </c>
      <c r="T1043" s="3" t="n">
        <f aca="false">INDEX(Summary!$P$2:$P$201,MATCH($B1043,Summary!$A$2:$A$201,0))</f>
        <v>1</v>
      </c>
      <c r="U1043" s="2" t="n">
        <f aca="false">INDEX(Summary!$Q$2:$Q$201,MATCH($B1043,Summary!$A$2:$A$201,0))</f>
        <v>13.95</v>
      </c>
      <c r="V1043" s="2" t="n">
        <f aca="false">INDEX(Summary!$R$2:$R$201,MATCH($B1043,Summary!$A$2:$A$201,0))</f>
        <v>19.7</v>
      </c>
      <c r="W1043" s="0" t="str">
        <f aca="false">INDEX(Summary!$S$2:$S$201,MATCH($B1043,Summary!$A$2:$A$201,0))</f>
        <v>Bronze</v>
      </c>
      <c r="X1043" s="2" t="n">
        <f aca="false">INDEX(Summary!$T$2:$T$201,MATCH($B1043,Summary!$A$2:$A$201,0))</f>
        <v>48.05</v>
      </c>
      <c r="Y1043" s="0" t="str">
        <f aca="false">INDEX('Reward Model'!$E$18:$E$37,MATCH($E1043,'Reward Model'!$A$18:$A$37,0))</f>
        <v>Low</v>
      </c>
      <c r="Z1043" s="4" t="n">
        <f aca="false">ROUND(MIN(1,MAX('Reward Model'!$B$2,INDEX('Reward Model'!$C$12:$C$14,MATCH($K1043,'Reward Model'!$A$12:$A$14,0))/$J1043)),3)</f>
        <v>1</v>
      </c>
      <c r="AA1043" s="2" t="n">
        <f aca="false">IF($I1043="Correct",ROUND(INDEX('Reward Model'!$B$12:$B$14,MATCH($K1043,'Reward Model'!$A$12:$A$14,0))*Z1043,2),0)</f>
        <v>1</v>
      </c>
      <c r="AB1043" s="2" t="n">
        <f aca="false">IF($I1043="Correct",ROUND(INDEX('Reward Model'!$B$12:$B$14,MATCH($Y1043,'Reward Model'!$A$12:$A$14,0))*Z1043,2),0)</f>
        <v>1</v>
      </c>
    </row>
    <row r="1044" customFormat="false" ht="15" hidden="false" customHeight="false" outlineLevel="0" collapsed="false">
      <c r="A1044" s="0" t="s">
        <v>233</v>
      </c>
      <c r="B1044" s="0" t="s">
        <v>234</v>
      </c>
      <c r="C1044" s="0" t="s">
        <v>30</v>
      </c>
      <c r="D1044" s="0" t="s">
        <v>189</v>
      </c>
      <c r="E1044" s="0" t="n">
        <v>3</v>
      </c>
      <c r="F1044" s="0" t="s">
        <v>40</v>
      </c>
      <c r="G1044" s="0" t="s">
        <v>42</v>
      </c>
      <c r="H1044" s="0" t="s">
        <v>42</v>
      </c>
      <c r="I1044" s="0" t="s">
        <v>34</v>
      </c>
      <c r="J1044" s="0" t="n">
        <v>1.95</v>
      </c>
      <c r="K1044" s="0" t="s">
        <v>35</v>
      </c>
      <c r="L1044" s="0" t="n">
        <f aca="false">INDEX(Summary!$F$2:$F$201,MATCH($B1044,Summary!$A$2:$A$201,0))</f>
        <v>20</v>
      </c>
      <c r="M1044" s="0" t="n">
        <f aca="false">INDEX(Summary!$I$2:$I$201,MATCH($B1044,Summary!$A$2:$A$201,0))</f>
        <v>1</v>
      </c>
      <c r="N1044" s="0" t="n">
        <f aca="false">INDEX(Summary!$J$2:$J$201,MATCH($B1044,Summary!$A$2:$A$201,0))</f>
        <v>4</v>
      </c>
      <c r="O1044" s="2" t="n">
        <f aca="false">INDEX(Summary!$K$2:$K$201,MATCH($B1044,Summary!$A$2:$A$201,0))</f>
        <v>9.94</v>
      </c>
      <c r="P1044" s="3" t="n">
        <f aca="false">INDEX(Summary!$L$2:$L$201,MATCH($B1044,Summary!$A$2:$A$201,0))</f>
        <v>3</v>
      </c>
      <c r="Q1044" s="3" t="n">
        <f aca="false">INDEX(Summary!$M$2:$M$201,MATCH($B1044,Summary!$A$2:$A$201,0))</f>
        <v>3</v>
      </c>
      <c r="R1044" s="2" t="n">
        <f aca="false">INDEX(Summary!$N$2:$N$201,MATCH($B1044,Summary!$A$2:$A$201,0))</f>
        <v>9.4</v>
      </c>
      <c r="S1044" s="3" t="n">
        <f aca="false">INDEX(Summary!$O$2:$O$201,MATCH($B1044,Summary!$A$2:$A$201,0))</f>
        <v>8</v>
      </c>
      <c r="T1044" s="3" t="n">
        <f aca="false">INDEX(Summary!$P$2:$P$201,MATCH($B1044,Summary!$A$2:$A$201,0))</f>
        <v>1</v>
      </c>
      <c r="U1044" s="2" t="n">
        <f aca="false">INDEX(Summary!$Q$2:$Q$201,MATCH($B1044,Summary!$A$2:$A$201,0))</f>
        <v>13.95</v>
      </c>
      <c r="V1044" s="2" t="n">
        <f aca="false">INDEX(Summary!$R$2:$R$201,MATCH($B1044,Summary!$A$2:$A$201,0))</f>
        <v>19.7</v>
      </c>
      <c r="W1044" s="0" t="str">
        <f aca="false">INDEX(Summary!$S$2:$S$201,MATCH($B1044,Summary!$A$2:$A$201,0))</f>
        <v>Bronze</v>
      </c>
      <c r="X1044" s="2" t="n">
        <f aca="false">INDEX(Summary!$T$2:$T$201,MATCH($B1044,Summary!$A$2:$A$201,0))</f>
        <v>48.05</v>
      </c>
      <c r="Y1044" s="0" t="str">
        <f aca="false">INDEX('Reward Model'!$E$18:$E$37,MATCH($E1044,'Reward Model'!$A$18:$A$37,0))</f>
        <v>Medium</v>
      </c>
      <c r="Z1044" s="4" t="n">
        <f aca="false">ROUND(MIN(1,MAX('Reward Model'!$B$2,INDEX('Reward Model'!$C$12:$C$14,MATCH($K1044,'Reward Model'!$A$12:$A$14,0))/$J1044)),3)</f>
        <v>0.769</v>
      </c>
      <c r="AA1044" s="2" t="n">
        <f aca="false">IF($I1044="Correct",ROUND(INDEX('Reward Model'!$B$12:$B$14,MATCH($K1044,'Reward Model'!$A$12:$A$14,0))*Z1044,2),0)</f>
        <v>0.77</v>
      </c>
      <c r="AB1044" s="2" t="n">
        <f aca="false">IF($I1044="Correct",ROUND(INDEX('Reward Model'!$B$12:$B$14,MATCH($Y1044,'Reward Model'!$A$12:$A$14,0))*Z1044,2),0)</f>
        <v>1.54</v>
      </c>
    </row>
    <row r="1045" customFormat="false" ht="15" hidden="false" customHeight="false" outlineLevel="0" collapsed="false">
      <c r="A1045" s="0" t="s">
        <v>233</v>
      </c>
      <c r="B1045" s="0" t="s">
        <v>234</v>
      </c>
      <c r="C1045" s="0" t="s">
        <v>30</v>
      </c>
      <c r="D1045" s="0" t="s">
        <v>189</v>
      </c>
      <c r="E1045" s="0" t="n">
        <v>4</v>
      </c>
      <c r="F1045" s="0" t="s">
        <v>43</v>
      </c>
      <c r="G1045" s="0" t="s">
        <v>45</v>
      </c>
      <c r="H1045" s="0" t="s">
        <v>45</v>
      </c>
      <c r="I1045" s="0" t="s">
        <v>34</v>
      </c>
      <c r="J1045" s="0" t="n">
        <v>1.28</v>
      </c>
      <c r="K1045" s="0" t="s">
        <v>35</v>
      </c>
      <c r="L1045" s="0" t="n">
        <f aca="false">INDEX(Summary!$F$2:$F$201,MATCH($B1045,Summary!$A$2:$A$201,0))</f>
        <v>20</v>
      </c>
      <c r="M1045" s="0" t="n">
        <f aca="false">INDEX(Summary!$I$2:$I$201,MATCH($B1045,Summary!$A$2:$A$201,0))</f>
        <v>1</v>
      </c>
      <c r="N1045" s="0" t="n">
        <f aca="false">INDEX(Summary!$J$2:$J$201,MATCH($B1045,Summary!$A$2:$A$201,0))</f>
        <v>4</v>
      </c>
      <c r="O1045" s="2" t="n">
        <f aca="false">INDEX(Summary!$K$2:$K$201,MATCH($B1045,Summary!$A$2:$A$201,0))</f>
        <v>9.94</v>
      </c>
      <c r="P1045" s="3" t="n">
        <f aca="false">INDEX(Summary!$L$2:$L$201,MATCH($B1045,Summary!$A$2:$A$201,0))</f>
        <v>3</v>
      </c>
      <c r="Q1045" s="3" t="n">
        <f aca="false">INDEX(Summary!$M$2:$M$201,MATCH($B1045,Summary!$A$2:$A$201,0))</f>
        <v>3</v>
      </c>
      <c r="R1045" s="2" t="n">
        <f aca="false">INDEX(Summary!$N$2:$N$201,MATCH($B1045,Summary!$A$2:$A$201,0))</f>
        <v>9.4</v>
      </c>
      <c r="S1045" s="3" t="n">
        <f aca="false">INDEX(Summary!$O$2:$O$201,MATCH($B1045,Summary!$A$2:$A$201,0))</f>
        <v>8</v>
      </c>
      <c r="T1045" s="3" t="n">
        <f aca="false">INDEX(Summary!$P$2:$P$201,MATCH($B1045,Summary!$A$2:$A$201,0))</f>
        <v>1</v>
      </c>
      <c r="U1045" s="2" t="n">
        <f aca="false">INDEX(Summary!$Q$2:$Q$201,MATCH($B1045,Summary!$A$2:$A$201,0))</f>
        <v>13.95</v>
      </c>
      <c r="V1045" s="2" t="n">
        <f aca="false">INDEX(Summary!$R$2:$R$201,MATCH($B1045,Summary!$A$2:$A$201,0))</f>
        <v>19.7</v>
      </c>
      <c r="W1045" s="0" t="str">
        <f aca="false">INDEX(Summary!$S$2:$S$201,MATCH($B1045,Summary!$A$2:$A$201,0))</f>
        <v>Bronze</v>
      </c>
      <c r="X1045" s="2" t="n">
        <f aca="false">INDEX(Summary!$T$2:$T$201,MATCH($B1045,Summary!$A$2:$A$201,0))</f>
        <v>48.05</v>
      </c>
      <c r="Y1045" s="0" t="str">
        <f aca="false">INDEX('Reward Model'!$E$18:$E$37,MATCH($E1045,'Reward Model'!$A$18:$A$37,0))</f>
        <v>Low</v>
      </c>
      <c r="Z1045" s="4" t="n">
        <f aca="false">ROUND(MIN(1,MAX('Reward Model'!$B$2,INDEX('Reward Model'!$C$12:$C$14,MATCH($K1045,'Reward Model'!$A$12:$A$14,0))/$J1045)),3)</f>
        <v>1</v>
      </c>
      <c r="AA1045" s="2" t="n">
        <f aca="false">IF($I1045="Correct",ROUND(INDEX('Reward Model'!$B$12:$B$14,MATCH($K1045,'Reward Model'!$A$12:$A$14,0))*Z1045,2),0)</f>
        <v>1</v>
      </c>
      <c r="AB1045" s="2" t="n">
        <f aca="false">IF($I1045="Correct",ROUND(INDEX('Reward Model'!$B$12:$B$14,MATCH($Y1045,'Reward Model'!$A$12:$A$14,0))*Z1045,2),0)</f>
        <v>1</v>
      </c>
    </row>
    <row r="1046" customFormat="false" ht="15" hidden="false" customHeight="false" outlineLevel="0" collapsed="false">
      <c r="A1046" s="0" t="s">
        <v>233</v>
      </c>
      <c r="B1046" s="0" t="s">
        <v>234</v>
      </c>
      <c r="C1046" s="0" t="s">
        <v>30</v>
      </c>
      <c r="D1046" s="0" t="s">
        <v>189</v>
      </c>
      <c r="E1046" s="0" t="n">
        <v>5</v>
      </c>
      <c r="F1046" s="0" t="s">
        <v>46</v>
      </c>
      <c r="G1046" s="0" t="s">
        <v>47</v>
      </c>
      <c r="H1046" s="0" t="s">
        <v>47</v>
      </c>
      <c r="I1046" s="0" t="s">
        <v>34</v>
      </c>
      <c r="J1046" s="0" t="n">
        <v>1.01</v>
      </c>
      <c r="K1046" s="0" t="s">
        <v>35</v>
      </c>
      <c r="L1046" s="0" t="n">
        <f aca="false">INDEX(Summary!$F$2:$F$201,MATCH($B1046,Summary!$A$2:$A$201,0))</f>
        <v>20</v>
      </c>
      <c r="M1046" s="0" t="n">
        <f aca="false">INDEX(Summary!$I$2:$I$201,MATCH($B1046,Summary!$A$2:$A$201,0))</f>
        <v>1</v>
      </c>
      <c r="N1046" s="0" t="n">
        <f aca="false">INDEX(Summary!$J$2:$J$201,MATCH($B1046,Summary!$A$2:$A$201,0))</f>
        <v>4</v>
      </c>
      <c r="O1046" s="2" t="n">
        <f aca="false">INDEX(Summary!$K$2:$K$201,MATCH($B1046,Summary!$A$2:$A$201,0))</f>
        <v>9.94</v>
      </c>
      <c r="P1046" s="3" t="n">
        <f aca="false">INDEX(Summary!$L$2:$L$201,MATCH($B1046,Summary!$A$2:$A$201,0))</f>
        <v>3</v>
      </c>
      <c r="Q1046" s="3" t="n">
        <f aca="false">INDEX(Summary!$M$2:$M$201,MATCH($B1046,Summary!$A$2:$A$201,0))</f>
        <v>3</v>
      </c>
      <c r="R1046" s="2" t="n">
        <f aca="false">INDEX(Summary!$N$2:$N$201,MATCH($B1046,Summary!$A$2:$A$201,0))</f>
        <v>9.4</v>
      </c>
      <c r="S1046" s="3" t="n">
        <f aca="false">INDEX(Summary!$O$2:$O$201,MATCH($B1046,Summary!$A$2:$A$201,0))</f>
        <v>8</v>
      </c>
      <c r="T1046" s="3" t="n">
        <f aca="false">INDEX(Summary!$P$2:$P$201,MATCH($B1046,Summary!$A$2:$A$201,0))</f>
        <v>1</v>
      </c>
      <c r="U1046" s="2" t="n">
        <f aca="false">INDEX(Summary!$Q$2:$Q$201,MATCH($B1046,Summary!$A$2:$A$201,0))</f>
        <v>13.95</v>
      </c>
      <c r="V1046" s="2" t="n">
        <f aca="false">INDEX(Summary!$R$2:$R$201,MATCH($B1046,Summary!$A$2:$A$201,0))</f>
        <v>19.7</v>
      </c>
      <c r="W1046" s="0" t="str">
        <f aca="false">INDEX(Summary!$S$2:$S$201,MATCH($B1046,Summary!$A$2:$A$201,0))</f>
        <v>Bronze</v>
      </c>
      <c r="X1046" s="2" t="n">
        <f aca="false">INDEX(Summary!$T$2:$T$201,MATCH($B1046,Summary!$A$2:$A$201,0))</f>
        <v>48.05</v>
      </c>
      <c r="Y1046" s="0" t="str">
        <f aca="false">INDEX('Reward Model'!$E$18:$E$37,MATCH($E1046,'Reward Model'!$A$18:$A$37,0))</f>
        <v>Low</v>
      </c>
      <c r="Z1046" s="4" t="n">
        <f aca="false">ROUND(MIN(1,MAX('Reward Model'!$B$2,INDEX('Reward Model'!$C$12:$C$14,MATCH($K1046,'Reward Model'!$A$12:$A$14,0))/$J1046)),3)</f>
        <v>1</v>
      </c>
      <c r="AA1046" s="2" t="n">
        <f aca="false">IF($I1046="Correct",ROUND(INDEX('Reward Model'!$B$12:$B$14,MATCH($K1046,'Reward Model'!$A$12:$A$14,0))*Z1046,2),0)</f>
        <v>1</v>
      </c>
      <c r="AB1046" s="2" t="n">
        <f aca="false">IF($I1046="Correct",ROUND(INDEX('Reward Model'!$B$12:$B$14,MATCH($Y1046,'Reward Model'!$A$12:$A$14,0))*Z1046,2),0)</f>
        <v>1</v>
      </c>
    </row>
    <row r="1047" customFormat="false" ht="15" hidden="false" customHeight="false" outlineLevel="0" collapsed="false">
      <c r="A1047" s="0" t="s">
        <v>233</v>
      </c>
      <c r="B1047" s="0" t="s">
        <v>234</v>
      </c>
      <c r="C1047" s="0" t="s">
        <v>30</v>
      </c>
      <c r="D1047" s="0" t="s">
        <v>189</v>
      </c>
      <c r="E1047" s="0" t="n">
        <v>6</v>
      </c>
      <c r="F1047" s="0" t="s">
        <v>48</v>
      </c>
      <c r="G1047" s="0" t="s">
        <v>49</v>
      </c>
      <c r="H1047" s="0" t="s">
        <v>49</v>
      </c>
      <c r="I1047" s="0" t="s">
        <v>34</v>
      </c>
      <c r="J1047" s="0" t="n">
        <v>1.37</v>
      </c>
      <c r="K1047" s="0" t="s">
        <v>35</v>
      </c>
      <c r="L1047" s="0" t="n">
        <f aca="false">INDEX(Summary!$F$2:$F$201,MATCH($B1047,Summary!$A$2:$A$201,0))</f>
        <v>20</v>
      </c>
      <c r="M1047" s="0" t="n">
        <f aca="false">INDEX(Summary!$I$2:$I$201,MATCH($B1047,Summary!$A$2:$A$201,0))</f>
        <v>1</v>
      </c>
      <c r="N1047" s="0" t="n">
        <f aca="false">INDEX(Summary!$J$2:$J$201,MATCH($B1047,Summary!$A$2:$A$201,0))</f>
        <v>4</v>
      </c>
      <c r="O1047" s="2" t="n">
        <f aca="false">INDEX(Summary!$K$2:$K$201,MATCH($B1047,Summary!$A$2:$A$201,0))</f>
        <v>9.94</v>
      </c>
      <c r="P1047" s="3" t="n">
        <f aca="false">INDEX(Summary!$L$2:$L$201,MATCH($B1047,Summary!$A$2:$A$201,0))</f>
        <v>3</v>
      </c>
      <c r="Q1047" s="3" t="n">
        <f aca="false">INDEX(Summary!$M$2:$M$201,MATCH($B1047,Summary!$A$2:$A$201,0))</f>
        <v>3</v>
      </c>
      <c r="R1047" s="2" t="n">
        <f aca="false">INDEX(Summary!$N$2:$N$201,MATCH($B1047,Summary!$A$2:$A$201,0))</f>
        <v>9.4</v>
      </c>
      <c r="S1047" s="3" t="n">
        <f aca="false">INDEX(Summary!$O$2:$O$201,MATCH($B1047,Summary!$A$2:$A$201,0))</f>
        <v>8</v>
      </c>
      <c r="T1047" s="3" t="n">
        <f aca="false">INDEX(Summary!$P$2:$P$201,MATCH($B1047,Summary!$A$2:$A$201,0))</f>
        <v>1</v>
      </c>
      <c r="U1047" s="2" t="n">
        <f aca="false">INDEX(Summary!$Q$2:$Q$201,MATCH($B1047,Summary!$A$2:$A$201,0))</f>
        <v>13.95</v>
      </c>
      <c r="V1047" s="2" t="n">
        <f aca="false">INDEX(Summary!$R$2:$R$201,MATCH($B1047,Summary!$A$2:$A$201,0))</f>
        <v>19.7</v>
      </c>
      <c r="W1047" s="0" t="str">
        <f aca="false">INDEX(Summary!$S$2:$S$201,MATCH($B1047,Summary!$A$2:$A$201,0))</f>
        <v>Bronze</v>
      </c>
      <c r="X1047" s="2" t="n">
        <f aca="false">INDEX(Summary!$T$2:$T$201,MATCH($B1047,Summary!$A$2:$A$201,0))</f>
        <v>48.05</v>
      </c>
      <c r="Y1047" s="0" t="str">
        <f aca="false">INDEX('Reward Model'!$E$18:$E$37,MATCH($E1047,'Reward Model'!$A$18:$A$37,0))</f>
        <v>Medium</v>
      </c>
      <c r="Z1047" s="4" t="n">
        <f aca="false">ROUND(MIN(1,MAX('Reward Model'!$B$2,INDEX('Reward Model'!$C$12:$C$14,MATCH($K1047,'Reward Model'!$A$12:$A$14,0))/$J1047)),3)</f>
        <v>1</v>
      </c>
      <c r="AA1047" s="2" t="n">
        <f aca="false">IF($I1047="Correct",ROUND(INDEX('Reward Model'!$B$12:$B$14,MATCH($K1047,'Reward Model'!$A$12:$A$14,0))*Z1047,2),0)</f>
        <v>1</v>
      </c>
      <c r="AB1047" s="2" t="n">
        <f aca="false">IF($I1047="Correct",ROUND(INDEX('Reward Model'!$B$12:$B$14,MATCH($Y1047,'Reward Model'!$A$12:$A$14,0))*Z1047,2),0)</f>
        <v>2</v>
      </c>
    </row>
    <row r="1048" customFormat="false" ht="15" hidden="false" customHeight="false" outlineLevel="0" collapsed="false">
      <c r="A1048" s="0" t="s">
        <v>233</v>
      </c>
      <c r="B1048" s="0" t="s">
        <v>234</v>
      </c>
      <c r="C1048" s="0" t="s">
        <v>30</v>
      </c>
      <c r="D1048" s="0" t="s">
        <v>189</v>
      </c>
      <c r="E1048" s="0" t="n">
        <v>7</v>
      </c>
      <c r="F1048" s="0" t="s">
        <v>50</v>
      </c>
      <c r="G1048" s="0" t="s">
        <v>51</v>
      </c>
      <c r="H1048" s="0" t="s">
        <v>51</v>
      </c>
      <c r="I1048" s="0" t="s">
        <v>34</v>
      </c>
      <c r="J1048" s="0" t="n">
        <v>1.43</v>
      </c>
      <c r="K1048" s="0" t="s">
        <v>35</v>
      </c>
      <c r="L1048" s="0" t="n">
        <f aca="false">INDEX(Summary!$F$2:$F$201,MATCH($B1048,Summary!$A$2:$A$201,0))</f>
        <v>20</v>
      </c>
      <c r="M1048" s="0" t="n">
        <f aca="false">INDEX(Summary!$I$2:$I$201,MATCH($B1048,Summary!$A$2:$A$201,0))</f>
        <v>1</v>
      </c>
      <c r="N1048" s="0" t="n">
        <f aca="false">INDEX(Summary!$J$2:$J$201,MATCH($B1048,Summary!$A$2:$A$201,0))</f>
        <v>4</v>
      </c>
      <c r="O1048" s="2" t="n">
        <f aca="false">INDEX(Summary!$K$2:$K$201,MATCH($B1048,Summary!$A$2:$A$201,0))</f>
        <v>9.94</v>
      </c>
      <c r="P1048" s="3" t="n">
        <f aca="false">INDEX(Summary!$L$2:$L$201,MATCH($B1048,Summary!$A$2:$A$201,0))</f>
        <v>3</v>
      </c>
      <c r="Q1048" s="3" t="n">
        <f aca="false">INDEX(Summary!$M$2:$M$201,MATCH($B1048,Summary!$A$2:$A$201,0))</f>
        <v>3</v>
      </c>
      <c r="R1048" s="2" t="n">
        <f aca="false">INDEX(Summary!$N$2:$N$201,MATCH($B1048,Summary!$A$2:$A$201,0))</f>
        <v>9.4</v>
      </c>
      <c r="S1048" s="3" t="n">
        <f aca="false">INDEX(Summary!$O$2:$O$201,MATCH($B1048,Summary!$A$2:$A$201,0))</f>
        <v>8</v>
      </c>
      <c r="T1048" s="3" t="n">
        <f aca="false">INDEX(Summary!$P$2:$P$201,MATCH($B1048,Summary!$A$2:$A$201,0))</f>
        <v>1</v>
      </c>
      <c r="U1048" s="2" t="n">
        <f aca="false">INDEX(Summary!$Q$2:$Q$201,MATCH($B1048,Summary!$A$2:$A$201,0))</f>
        <v>13.95</v>
      </c>
      <c r="V1048" s="2" t="n">
        <f aca="false">INDEX(Summary!$R$2:$R$201,MATCH($B1048,Summary!$A$2:$A$201,0))</f>
        <v>19.7</v>
      </c>
      <c r="W1048" s="0" t="str">
        <f aca="false">INDEX(Summary!$S$2:$S$201,MATCH($B1048,Summary!$A$2:$A$201,0))</f>
        <v>Bronze</v>
      </c>
      <c r="X1048" s="2" t="n">
        <f aca="false">INDEX(Summary!$T$2:$T$201,MATCH($B1048,Summary!$A$2:$A$201,0))</f>
        <v>48.05</v>
      </c>
      <c r="Y1048" s="0" t="str">
        <f aca="false">INDEX('Reward Model'!$E$18:$E$37,MATCH($E1048,'Reward Model'!$A$18:$A$37,0))</f>
        <v>Low</v>
      </c>
      <c r="Z1048" s="4" t="n">
        <f aca="false">ROUND(MIN(1,MAX('Reward Model'!$B$2,INDEX('Reward Model'!$C$12:$C$14,MATCH($K1048,'Reward Model'!$A$12:$A$14,0))/$J1048)),3)</f>
        <v>1</v>
      </c>
      <c r="AA1048" s="2" t="n">
        <f aca="false">IF($I1048="Correct",ROUND(INDEX('Reward Model'!$B$12:$B$14,MATCH($K1048,'Reward Model'!$A$12:$A$14,0))*Z1048,2),0)</f>
        <v>1</v>
      </c>
      <c r="AB1048" s="2" t="n">
        <f aca="false">IF($I1048="Correct",ROUND(INDEX('Reward Model'!$B$12:$B$14,MATCH($Y1048,'Reward Model'!$A$12:$A$14,0))*Z1048,2),0)</f>
        <v>1</v>
      </c>
    </row>
    <row r="1049" customFormat="false" ht="15" hidden="false" customHeight="false" outlineLevel="0" collapsed="false">
      <c r="A1049" s="0" t="s">
        <v>233</v>
      </c>
      <c r="B1049" s="0" t="s">
        <v>234</v>
      </c>
      <c r="C1049" s="0" t="s">
        <v>30</v>
      </c>
      <c r="D1049" s="0" t="s">
        <v>189</v>
      </c>
      <c r="E1049" s="0" t="n">
        <v>8</v>
      </c>
      <c r="F1049" s="0" t="s">
        <v>52</v>
      </c>
      <c r="G1049" s="0" t="s">
        <v>54</v>
      </c>
      <c r="H1049" s="0" t="s">
        <v>54</v>
      </c>
      <c r="I1049" s="0" t="s">
        <v>34</v>
      </c>
      <c r="J1049" s="0" t="n">
        <v>1.93</v>
      </c>
      <c r="K1049" s="0" t="s">
        <v>35</v>
      </c>
      <c r="L1049" s="0" t="n">
        <f aca="false">INDEX(Summary!$F$2:$F$201,MATCH($B1049,Summary!$A$2:$A$201,0))</f>
        <v>20</v>
      </c>
      <c r="M1049" s="0" t="n">
        <f aca="false">INDEX(Summary!$I$2:$I$201,MATCH($B1049,Summary!$A$2:$A$201,0))</f>
        <v>1</v>
      </c>
      <c r="N1049" s="0" t="n">
        <f aca="false">INDEX(Summary!$J$2:$J$201,MATCH($B1049,Summary!$A$2:$A$201,0))</f>
        <v>4</v>
      </c>
      <c r="O1049" s="2" t="n">
        <f aca="false">INDEX(Summary!$K$2:$K$201,MATCH($B1049,Summary!$A$2:$A$201,0))</f>
        <v>9.94</v>
      </c>
      <c r="P1049" s="3" t="n">
        <f aca="false">INDEX(Summary!$L$2:$L$201,MATCH($B1049,Summary!$A$2:$A$201,0))</f>
        <v>3</v>
      </c>
      <c r="Q1049" s="3" t="n">
        <f aca="false">INDEX(Summary!$M$2:$M$201,MATCH($B1049,Summary!$A$2:$A$201,0))</f>
        <v>3</v>
      </c>
      <c r="R1049" s="2" t="n">
        <f aca="false">INDEX(Summary!$N$2:$N$201,MATCH($B1049,Summary!$A$2:$A$201,0))</f>
        <v>9.4</v>
      </c>
      <c r="S1049" s="3" t="n">
        <f aca="false">INDEX(Summary!$O$2:$O$201,MATCH($B1049,Summary!$A$2:$A$201,0))</f>
        <v>8</v>
      </c>
      <c r="T1049" s="3" t="n">
        <f aca="false">INDEX(Summary!$P$2:$P$201,MATCH($B1049,Summary!$A$2:$A$201,0))</f>
        <v>1</v>
      </c>
      <c r="U1049" s="2" t="n">
        <f aca="false">INDEX(Summary!$Q$2:$Q$201,MATCH($B1049,Summary!$A$2:$A$201,0))</f>
        <v>13.95</v>
      </c>
      <c r="V1049" s="2" t="n">
        <f aca="false">INDEX(Summary!$R$2:$R$201,MATCH($B1049,Summary!$A$2:$A$201,0))</f>
        <v>19.7</v>
      </c>
      <c r="W1049" s="0" t="str">
        <f aca="false">INDEX(Summary!$S$2:$S$201,MATCH($B1049,Summary!$A$2:$A$201,0))</f>
        <v>Bronze</v>
      </c>
      <c r="X1049" s="2" t="n">
        <f aca="false">INDEX(Summary!$T$2:$T$201,MATCH($B1049,Summary!$A$2:$A$201,0))</f>
        <v>48.05</v>
      </c>
      <c r="Y1049" s="0" t="str">
        <f aca="false">INDEX('Reward Model'!$E$18:$E$37,MATCH($E1049,'Reward Model'!$A$18:$A$37,0))</f>
        <v>Medium</v>
      </c>
      <c r="Z1049" s="4" t="n">
        <f aca="false">ROUND(MIN(1,MAX('Reward Model'!$B$2,INDEX('Reward Model'!$C$12:$C$14,MATCH($K1049,'Reward Model'!$A$12:$A$14,0))/$J1049)),3)</f>
        <v>0.777</v>
      </c>
      <c r="AA1049" s="2" t="n">
        <f aca="false">IF($I1049="Correct",ROUND(INDEX('Reward Model'!$B$12:$B$14,MATCH($K1049,'Reward Model'!$A$12:$A$14,0))*Z1049,2),0)</f>
        <v>0.78</v>
      </c>
      <c r="AB1049" s="2" t="n">
        <f aca="false">IF($I1049="Correct",ROUND(INDEX('Reward Model'!$B$12:$B$14,MATCH($Y1049,'Reward Model'!$A$12:$A$14,0))*Z1049,2),0)</f>
        <v>1.55</v>
      </c>
    </row>
    <row r="1050" customFormat="false" ht="15" hidden="false" customHeight="false" outlineLevel="0" collapsed="false">
      <c r="A1050" s="0" t="s">
        <v>233</v>
      </c>
      <c r="B1050" s="0" t="s">
        <v>234</v>
      </c>
      <c r="C1050" s="0" t="s">
        <v>30</v>
      </c>
      <c r="D1050" s="0" t="s">
        <v>189</v>
      </c>
      <c r="E1050" s="0" t="n">
        <v>9</v>
      </c>
      <c r="F1050" s="0" t="s">
        <v>55</v>
      </c>
      <c r="G1050" s="0" t="s">
        <v>108</v>
      </c>
      <c r="H1050" s="0" t="s">
        <v>57</v>
      </c>
      <c r="I1050" s="0" t="s">
        <v>39</v>
      </c>
      <c r="J1050" s="0" t="n">
        <v>1.9</v>
      </c>
      <c r="K1050" s="0" t="s">
        <v>35</v>
      </c>
      <c r="L1050" s="0" t="n">
        <f aca="false">INDEX(Summary!$F$2:$F$201,MATCH($B1050,Summary!$A$2:$A$201,0))</f>
        <v>20</v>
      </c>
      <c r="M1050" s="0" t="n">
        <f aca="false">INDEX(Summary!$I$2:$I$201,MATCH($B1050,Summary!$A$2:$A$201,0))</f>
        <v>1</v>
      </c>
      <c r="N1050" s="0" t="n">
        <f aca="false">INDEX(Summary!$J$2:$J$201,MATCH($B1050,Summary!$A$2:$A$201,0))</f>
        <v>4</v>
      </c>
      <c r="O1050" s="2" t="n">
        <f aca="false">INDEX(Summary!$K$2:$K$201,MATCH($B1050,Summary!$A$2:$A$201,0))</f>
        <v>9.94</v>
      </c>
      <c r="P1050" s="3" t="n">
        <f aca="false">INDEX(Summary!$L$2:$L$201,MATCH($B1050,Summary!$A$2:$A$201,0))</f>
        <v>3</v>
      </c>
      <c r="Q1050" s="3" t="n">
        <f aca="false">INDEX(Summary!$M$2:$M$201,MATCH($B1050,Summary!$A$2:$A$201,0))</f>
        <v>3</v>
      </c>
      <c r="R1050" s="2" t="n">
        <f aca="false">INDEX(Summary!$N$2:$N$201,MATCH($B1050,Summary!$A$2:$A$201,0))</f>
        <v>9.4</v>
      </c>
      <c r="S1050" s="3" t="n">
        <f aca="false">INDEX(Summary!$O$2:$O$201,MATCH($B1050,Summary!$A$2:$A$201,0))</f>
        <v>8</v>
      </c>
      <c r="T1050" s="3" t="n">
        <f aca="false">INDEX(Summary!$P$2:$P$201,MATCH($B1050,Summary!$A$2:$A$201,0))</f>
        <v>1</v>
      </c>
      <c r="U1050" s="2" t="n">
        <f aca="false">INDEX(Summary!$Q$2:$Q$201,MATCH($B1050,Summary!$A$2:$A$201,0))</f>
        <v>13.95</v>
      </c>
      <c r="V1050" s="2" t="n">
        <f aca="false">INDEX(Summary!$R$2:$R$201,MATCH($B1050,Summary!$A$2:$A$201,0))</f>
        <v>19.7</v>
      </c>
      <c r="W1050" s="0" t="str">
        <f aca="false">INDEX(Summary!$S$2:$S$201,MATCH($B1050,Summary!$A$2:$A$201,0))</f>
        <v>Bronze</v>
      </c>
      <c r="X1050" s="2" t="n">
        <f aca="false">INDEX(Summary!$T$2:$T$201,MATCH($B1050,Summary!$A$2:$A$201,0))</f>
        <v>48.05</v>
      </c>
      <c r="Y1050" s="0" t="str">
        <f aca="false">INDEX('Reward Model'!$E$18:$E$37,MATCH($E1050,'Reward Model'!$A$18:$A$37,0))</f>
        <v>Medium</v>
      </c>
      <c r="Z1050" s="4" t="n">
        <f aca="false">ROUND(MIN(1,MAX('Reward Model'!$B$2,INDEX('Reward Model'!$C$12:$C$14,MATCH($K1050,'Reward Model'!$A$12:$A$14,0))/$J1050)),3)</f>
        <v>0.789</v>
      </c>
      <c r="AA1050" s="2" t="n">
        <f aca="false">IF($I1050="Correct",ROUND(INDEX('Reward Model'!$B$12:$B$14,MATCH($K1050,'Reward Model'!$A$12:$A$14,0))*Z1050,2),0)</f>
        <v>0</v>
      </c>
      <c r="AB1050" s="2" t="n">
        <f aca="false">IF($I1050="Correct",ROUND(INDEX('Reward Model'!$B$12:$B$14,MATCH($Y1050,'Reward Model'!$A$12:$A$14,0))*Z1050,2),0)</f>
        <v>0</v>
      </c>
    </row>
    <row r="1051" customFormat="false" ht="15" hidden="false" customHeight="false" outlineLevel="0" collapsed="false">
      <c r="A1051" s="0" t="s">
        <v>233</v>
      </c>
      <c r="B1051" s="0" t="s">
        <v>234</v>
      </c>
      <c r="C1051" s="0" t="s">
        <v>30</v>
      </c>
      <c r="D1051" s="0" t="s">
        <v>189</v>
      </c>
      <c r="E1051" s="0" t="n">
        <v>10</v>
      </c>
      <c r="F1051" s="0" t="s">
        <v>58</v>
      </c>
      <c r="G1051" s="0" t="s">
        <v>59</v>
      </c>
      <c r="H1051" s="0" t="s">
        <v>59</v>
      </c>
      <c r="I1051" s="0" t="s">
        <v>34</v>
      </c>
      <c r="J1051" s="0" t="n">
        <v>1.48</v>
      </c>
      <c r="K1051" s="0" t="s">
        <v>60</v>
      </c>
      <c r="L1051" s="0" t="n">
        <f aca="false">INDEX(Summary!$F$2:$F$201,MATCH($B1051,Summary!$A$2:$A$201,0))</f>
        <v>20</v>
      </c>
      <c r="M1051" s="0" t="n">
        <f aca="false">INDEX(Summary!$I$2:$I$201,MATCH($B1051,Summary!$A$2:$A$201,0))</f>
        <v>1</v>
      </c>
      <c r="N1051" s="0" t="n">
        <f aca="false">INDEX(Summary!$J$2:$J$201,MATCH($B1051,Summary!$A$2:$A$201,0))</f>
        <v>4</v>
      </c>
      <c r="O1051" s="2" t="n">
        <f aca="false">INDEX(Summary!$K$2:$K$201,MATCH($B1051,Summary!$A$2:$A$201,0))</f>
        <v>9.94</v>
      </c>
      <c r="P1051" s="3" t="n">
        <f aca="false">INDEX(Summary!$L$2:$L$201,MATCH($B1051,Summary!$A$2:$A$201,0))</f>
        <v>3</v>
      </c>
      <c r="Q1051" s="3" t="n">
        <f aca="false">INDEX(Summary!$M$2:$M$201,MATCH($B1051,Summary!$A$2:$A$201,0))</f>
        <v>3</v>
      </c>
      <c r="R1051" s="2" t="n">
        <f aca="false">INDEX(Summary!$N$2:$N$201,MATCH($B1051,Summary!$A$2:$A$201,0))</f>
        <v>9.4</v>
      </c>
      <c r="S1051" s="3" t="n">
        <f aca="false">INDEX(Summary!$O$2:$O$201,MATCH($B1051,Summary!$A$2:$A$201,0))</f>
        <v>8</v>
      </c>
      <c r="T1051" s="3" t="n">
        <f aca="false">INDEX(Summary!$P$2:$P$201,MATCH($B1051,Summary!$A$2:$A$201,0))</f>
        <v>1</v>
      </c>
      <c r="U1051" s="2" t="n">
        <f aca="false">INDEX(Summary!$Q$2:$Q$201,MATCH($B1051,Summary!$A$2:$A$201,0))</f>
        <v>13.95</v>
      </c>
      <c r="V1051" s="2" t="n">
        <f aca="false">INDEX(Summary!$R$2:$R$201,MATCH($B1051,Summary!$A$2:$A$201,0))</f>
        <v>19.7</v>
      </c>
      <c r="W1051" s="0" t="str">
        <f aca="false">INDEX(Summary!$S$2:$S$201,MATCH($B1051,Summary!$A$2:$A$201,0))</f>
        <v>Bronze</v>
      </c>
      <c r="X1051" s="2" t="n">
        <f aca="false">INDEX(Summary!$T$2:$T$201,MATCH($B1051,Summary!$A$2:$A$201,0))</f>
        <v>48.05</v>
      </c>
      <c r="Y1051" s="0" t="str">
        <f aca="false">INDEX('Reward Model'!$E$18:$E$37,MATCH($E1051,'Reward Model'!$A$18:$A$37,0))</f>
        <v>Medium</v>
      </c>
      <c r="Z1051" s="4" t="n">
        <f aca="false">ROUND(MIN(1,MAX('Reward Model'!$B$2,INDEX('Reward Model'!$C$12:$C$14,MATCH($K1051,'Reward Model'!$A$12:$A$14,0))/$J1051)),3)</f>
        <v>1</v>
      </c>
      <c r="AA1051" s="2" t="n">
        <f aca="false">IF($I1051="Correct",ROUND(INDEX('Reward Model'!$B$12:$B$14,MATCH($K1051,'Reward Model'!$A$12:$A$14,0))*Z1051,2),0)</f>
        <v>2</v>
      </c>
      <c r="AB1051" s="2" t="n">
        <f aca="false">IF($I1051="Correct",ROUND(INDEX('Reward Model'!$B$12:$B$14,MATCH($Y1051,'Reward Model'!$A$12:$A$14,0))*Z1051,2),0)</f>
        <v>2</v>
      </c>
    </row>
    <row r="1052" customFormat="false" ht="15" hidden="false" customHeight="false" outlineLevel="0" collapsed="false">
      <c r="A1052" s="0" t="s">
        <v>233</v>
      </c>
      <c r="B1052" s="0" t="s">
        <v>234</v>
      </c>
      <c r="C1052" s="0" t="s">
        <v>30</v>
      </c>
      <c r="D1052" s="0" t="s">
        <v>189</v>
      </c>
      <c r="E1052" s="0" t="n">
        <v>11</v>
      </c>
      <c r="F1052" s="0" t="s">
        <v>61</v>
      </c>
      <c r="G1052" s="0" t="s">
        <v>150</v>
      </c>
      <c r="H1052" s="0" t="s">
        <v>63</v>
      </c>
      <c r="I1052" s="0" t="s">
        <v>39</v>
      </c>
      <c r="J1052" s="0" t="n">
        <v>1.23</v>
      </c>
      <c r="K1052" s="0" t="s">
        <v>60</v>
      </c>
      <c r="L1052" s="0" t="n">
        <f aca="false">INDEX(Summary!$F$2:$F$201,MATCH($B1052,Summary!$A$2:$A$201,0))</f>
        <v>20</v>
      </c>
      <c r="M1052" s="0" t="n">
        <f aca="false">INDEX(Summary!$I$2:$I$201,MATCH($B1052,Summary!$A$2:$A$201,0))</f>
        <v>1</v>
      </c>
      <c r="N1052" s="0" t="n">
        <f aca="false">INDEX(Summary!$J$2:$J$201,MATCH($B1052,Summary!$A$2:$A$201,0))</f>
        <v>4</v>
      </c>
      <c r="O1052" s="2" t="n">
        <f aca="false">INDEX(Summary!$K$2:$K$201,MATCH($B1052,Summary!$A$2:$A$201,0))</f>
        <v>9.94</v>
      </c>
      <c r="P1052" s="3" t="n">
        <f aca="false">INDEX(Summary!$L$2:$L$201,MATCH($B1052,Summary!$A$2:$A$201,0))</f>
        <v>3</v>
      </c>
      <c r="Q1052" s="3" t="n">
        <f aca="false">INDEX(Summary!$M$2:$M$201,MATCH($B1052,Summary!$A$2:$A$201,0))</f>
        <v>3</v>
      </c>
      <c r="R1052" s="2" t="n">
        <f aca="false">INDEX(Summary!$N$2:$N$201,MATCH($B1052,Summary!$A$2:$A$201,0))</f>
        <v>9.4</v>
      </c>
      <c r="S1052" s="3" t="n">
        <f aca="false">INDEX(Summary!$O$2:$O$201,MATCH($B1052,Summary!$A$2:$A$201,0))</f>
        <v>8</v>
      </c>
      <c r="T1052" s="3" t="n">
        <f aca="false">INDEX(Summary!$P$2:$P$201,MATCH($B1052,Summary!$A$2:$A$201,0))</f>
        <v>1</v>
      </c>
      <c r="U1052" s="2" t="n">
        <f aca="false">INDEX(Summary!$Q$2:$Q$201,MATCH($B1052,Summary!$A$2:$A$201,0))</f>
        <v>13.95</v>
      </c>
      <c r="V1052" s="2" t="n">
        <f aca="false">INDEX(Summary!$R$2:$R$201,MATCH($B1052,Summary!$A$2:$A$201,0))</f>
        <v>19.7</v>
      </c>
      <c r="W1052" s="0" t="str">
        <f aca="false">INDEX(Summary!$S$2:$S$201,MATCH($B1052,Summary!$A$2:$A$201,0))</f>
        <v>Bronze</v>
      </c>
      <c r="X1052" s="2" t="n">
        <f aca="false">INDEX(Summary!$T$2:$T$201,MATCH($B1052,Summary!$A$2:$A$201,0))</f>
        <v>48.05</v>
      </c>
      <c r="Y1052" s="0" t="str">
        <f aca="false">INDEX('Reward Model'!$E$18:$E$37,MATCH($E1052,'Reward Model'!$A$18:$A$37,0))</f>
        <v>Medium</v>
      </c>
      <c r="Z1052" s="4" t="n">
        <f aca="false">ROUND(MIN(1,MAX('Reward Model'!$B$2,INDEX('Reward Model'!$C$12:$C$14,MATCH($K1052,'Reward Model'!$A$12:$A$14,0))/$J1052)),3)</f>
        <v>1</v>
      </c>
      <c r="AA1052" s="2" t="n">
        <f aca="false">IF($I1052="Correct",ROUND(INDEX('Reward Model'!$B$12:$B$14,MATCH($K1052,'Reward Model'!$A$12:$A$14,0))*Z1052,2),0)</f>
        <v>0</v>
      </c>
      <c r="AB1052" s="2" t="n">
        <f aca="false">IF($I1052="Correct",ROUND(INDEX('Reward Model'!$B$12:$B$14,MATCH($Y1052,'Reward Model'!$A$12:$A$14,0))*Z1052,2),0)</f>
        <v>0</v>
      </c>
    </row>
    <row r="1053" customFormat="false" ht="15" hidden="false" customHeight="false" outlineLevel="0" collapsed="false">
      <c r="A1053" s="0" t="s">
        <v>233</v>
      </c>
      <c r="B1053" s="0" t="s">
        <v>234</v>
      </c>
      <c r="C1053" s="0" t="s">
        <v>30</v>
      </c>
      <c r="D1053" s="0" t="s">
        <v>189</v>
      </c>
      <c r="E1053" s="0" t="n">
        <v>12</v>
      </c>
      <c r="F1053" s="0" t="s">
        <v>64</v>
      </c>
      <c r="G1053" s="0" t="s">
        <v>65</v>
      </c>
      <c r="H1053" s="0" t="s">
        <v>65</v>
      </c>
      <c r="I1053" s="0" t="s">
        <v>34</v>
      </c>
      <c r="J1053" s="0" t="n">
        <v>1.81</v>
      </c>
      <c r="K1053" s="0" t="s">
        <v>60</v>
      </c>
      <c r="L1053" s="0" t="n">
        <f aca="false">INDEX(Summary!$F$2:$F$201,MATCH($B1053,Summary!$A$2:$A$201,0))</f>
        <v>20</v>
      </c>
      <c r="M1053" s="0" t="n">
        <f aca="false">INDEX(Summary!$I$2:$I$201,MATCH($B1053,Summary!$A$2:$A$201,0))</f>
        <v>1</v>
      </c>
      <c r="N1053" s="0" t="n">
        <f aca="false">INDEX(Summary!$J$2:$J$201,MATCH($B1053,Summary!$A$2:$A$201,0))</f>
        <v>4</v>
      </c>
      <c r="O1053" s="2" t="n">
        <f aca="false">INDEX(Summary!$K$2:$K$201,MATCH($B1053,Summary!$A$2:$A$201,0))</f>
        <v>9.94</v>
      </c>
      <c r="P1053" s="3" t="n">
        <f aca="false">INDEX(Summary!$L$2:$L$201,MATCH($B1053,Summary!$A$2:$A$201,0))</f>
        <v>3</v>
      </c>
      <c r="Q1053" s="3" t="n">
        <f aca="false">INDEX(Summary!$M$2:$M$201,MATCH($B1053,Summary!$A$2:$A$201,0))</f>
        <v>3</v>
      </c>
      <c r="R1053" s="2" t="n">
        <f aca="false">INDEX(Summary!$N$2:$N$201,MATCH($B1053,Summary!$A$2:$A$201,0))</f>
        <v>9.4</v>
      </c>
      <c r="S1053" s="3" t="n">
        <f aca="false">INDEX(Summary!$O$2:$O$201,MATCH($B1053,Summary!$A$2:$A$201,0))</f>
        <v>8</v>
      </c>
      <c r="T1053" s="3" t="n">
        <f aca="false">INDEX(Summary!$P$2:$P$201,MATCH($B1053,Summary!$A$2:$A$201,0))</f>
        <v>1</v>
      </c>
      <c r="U1053" s="2" t="n">
        <f aca="false">INDEX(Summary!$Q$2:$Q$201,MATCH($B1053,Summary!$A$2:$A$201,0))</f>
        <v>13.95</v>
      </c>
      <c r="V1053" s="2" t="n">
        <f aca="false">INDEX(Summary!$R$2:$R$201,MATCH($B1053,Summary!$A$2:$A$201,0))</f>
        <v>19.7</v>
      </c>
      <c r="W1053" s="0" t="str">
        <f aca="false">INDEX(Summary!$S$2:$S$201,MATCH($B1053,Summary!$A$2:$A$201,0))</f>
        <v>Bronze</v>
      </c>
      <c r="X1053" s="2" t="n">
        <f aca="false">INDEX(Summary!$T$2:$T$201,MATCH($B1053,Summary!$A$2:$A$201,0))</f>
        <v>48.05</v>
      </c>
      <c r="Y1053" s="0" t="str">
        <f aca="false">INDEX('Reward Model'!$E$18:$E$37,MATCH($E1053,'Reward Model'!$A$18:$A$37,0))</f>
        <v>Medium</v>
      </c>
      <c r="Z1053" s="4" t="n">
        <f aca="false">ROUND(MIN(1,MAX('Reward Model'!$B$2,INDEX('Reward Model'!$C$12:$C$14,MATCH($K1053,'Reward Model'!$A$12:$A$14,0))/$J1053)),3)</f>
        <v>0.994</v>
      </c>
      <c r="AA1053" s="2" t="n">
        <f aca="false">IF($I1053="Correct",ROUND(INDEX('Reward Model'!$B$12:$B$14,MATCH($K1053,'Reward Model'!$A$12:$A$14,0))*Z1053,2),0)</f>
        <v>1.99</v>
      </c>
      <c r="AB1053" s="2" t="n">
        <f aca="false">IF($I1053="Correct",ROUND(INDEX('Reward Model'!$B$12:$B$14,MATCH($Y1053,'Reward Model'!$A$12:$A$14,0))*Z1053,2),0)</f>
        <v>1.99</v>
      </c>
    </row>
    <row r="1054" customFormat="false" ht="15" hidden="false" customHeight="false" outlineLevel="0" collapsed="false">
      <c r="A1054" s="0" t="s">
        <v>233</v>
      </c>
      <c r="B1054" s="0" t="s">
        <v>234</v>
      </c>
      <c r="C1054" s="0" t="s">
        <v>30</v>
      </c>
      <c r="D1054" s="0" t="s">
        <v>189</v>
      </c>
      <c r="E1054" s="0" t="n">
        <v>13</v>
      </c>
      <c r="F1054" s="0" t="s">
        <v>66</v>
      </c>
      <c r="G1054" s="0" t="s">
        <v>124</v>
      </c>
      <c r="H1054" s="0" t="s">
        <v>67</v>
      </c>
      <c r="I1054" s="0" t="s">
        <v>39</v>
      </c>
      <c r="J1054" s="0" t="n">
        <v>1.45</v>
      </c>
      <c r="K1054" s="0" t="s">
        <v>60</v>
      </c>
      <c r="L1054" s="0" t="n">
        <f aca="false">INDEX(Summary!$F$2:$F$201,MATCH($B1054,Summary!$A$2:$A$201,0))</f>
        <v>20</v>
      </c>
      <c r="M1054" s="0" t="n">
        <f aca="false">INDEX(Summary!$I$2:$I$201,MATCH($B1054,Summary!$A$2:$A$201,0))</f>
        <v>1</v>
      </c>
      <c r="N1054" s="0" t="n">
        <f aca="false">INDEX(Summary!$J$2:$J$201,MATCH($B1054,Summary!$A$2:$A$201,0))</f>
        <v>4</v>
      </c>
      <c r="O1054" s="2" t="n">
        <f aca="false">INDEX(Summary!$K$2:$K$201,MATCH($B1054,Summary!$A$2:$A$201,0))</f>
        <v>9.94</v>
      </c>
      <c r="P1054" s="3" t="n">
        <f aca="false">INDEX(Summary!$L$2:$L$201,MATCH($B1054,Summary!$A$2:$A$201,0))</f>
        <v>3</v>
      </c>
      <c r="Q1054" s="3" t="n">
        <f aca="false">INDEX(Summary!$M$2:$M$201,MATCH($B1054,Summary!$A$2:$A$201,0))</f>
        <v>3</v>
      </c>
      <c r="R1054" s="2" t="n">
        <f aca="false">INDEX(Summary!$N$2:$N$201,MATCH($B1054,Summary!$A$2:$A$201,0))</f>
        <v>9.4</v>
      </c>
      <c r="S1054" s="3" t="n">
        <f aca="false">INDEX(Summary!$O$2:$O$201,MATCH($B1054,Summary!$A$2:$A$201,0))</f>
        <v>8</v>
      </c>
      <c r="T1054" s="3" t="n">
        <f aca="false">INDEX(Summary!$P$2:$P$201,MATCH($B1054,Summary!$A$2:$A$201,0))</f>
        <v>1</v>
      </c>
      <c r="U1054" s="2" t="n">
        <f aca="false">INDEX(Summary!$Q$2:$Q$201,MATCH($B1054,Summary!$A$2:$A$201,0))</f>
        <v>13.95</v>
      </c>
      <c r="V1054" s="2" t="n">
        <f aca="false">INDEX(Summary!$R$2:$R$201,MATCH($B1054,Summary!$A$2:$A$201,0))</f>
        <v>19.7</v>
      </c>
      <c r="W1054" s="0" t="str">
        <f aca="false">INDEX(Summary!$S$2:$S$201,MATCH($B1054,Summary!$A$2:$A$201,0))</f>
        <v>Bronze</v>
      </c>
      <c r="X1054" s="2" t="n">
        <f aca="false">INDEX(Summary!$T$2:$T$201,MATCH($B1054,Summary!$A$2:$A$201,0))</f>
        <v>48.05</v>
      </c>
      <c r="Y1054" s="0" t="str">
        <f aca="false">INDEX('Reward Model'!$E$18:$E$37,MATCH($E1054,'Reward Model'!$A$18:$A$37,0))</f>
        <v>Medium</v>
      </c>
      <c r="Z1054" s="4" t="n">
        <f aca="false">ROUND(MIN(1,MAX('Reward Model'!$B$2,INDEX('Reward Model'!$C$12:$C$14,MATCH($K1054,'Reward Model'!$A$12:$A$14,0))/$J1054)),3)</f>
        <v>1</v>
      </c>
      <c r="AA1054" s="2" t="n">
        <f aca="false">IF($I1054="Correct",ROUND(INDEX('Reward Model'!$B$12:$B$14,MATCH($K1054,'Reward Model'!$A$12:$A$14,0))*Z1054,2),0)</f>
        <v>0</v>
      </c>
      <c r="AB1054" s="2" t="n">
        <f aca="false">IF($I1054="Correct",ROUND(INDEX('Reward Model'!$B$12:$B$14,MATCH($Y1054,'Reward Model'!$A$12:$A$14,0))*Z1054,2),0)</f>
        <v>0</v>
      </c>
    </row>
    <row r="1055" customFormat="false" ht="15" hidden="false" customHeight="false" outlineLevel="0" collapsed="false">
      <c r="A1055" s="0" t="s">
        <v>233</v>
      </c>
      <c r="B1055" s="0" t="s">
        <v>234</v>
      </c>
      <c r="C1055" s="0" t="s">
        <v>30</v>
      </c>
      <c r="D1055" s="0" t="s">
        <v>189</v>
      </c>
      <c r="E1055" s="0" t="n">
        <v>14</v>
      </c>
      <c r="F1055" s="0" t="s">
        <v>68</v>
      </c>
      <c r="G1055" s="0" t="s">
        <v>51</v>
      </c>
      <c r="H1055" s="0" t="s">
        <v>51</v>
      </c>
      <c r="I1055" s="0" t="s">
        <v>34</v>
      </c>
      <c r="J1055" s="0" t="n">
        <v>1.16</v>
      </c>
      <c r="K1055" s="0" t="s">
        <v>60</v>
      </c>
      <c r="L1055" s="0" t="n">
        <f aca="false">INDEX(Summary!$F$2:$F$201,MATCH($B1055,Summary!$A$2:$A$201,0))</f>
        <v>20</v>
      </c>
      <c r="M1055" s="0" t="n">
        <f aca="false">INDEX(Summary!$I$2:$I$201,MATCH($B1055,Summary!$A$2:$A$201,0))</f>
        <v>1</v>
      </c>
      <c r="N1055" s="0" t="n">
        <f aca="false">INDEX(Summary!$J$2:$J$201,MATCH($B1055,Summary!$A$2:$A$201,0))</f>
        <v>4</v>
      </c>
      <c r="O1055" s="2" t="n">
        <f aca="false">INDEX(Summary!$K$2:$K$201,MATCH($B1055,Summary!$A$2:$A$201,0))</f>
        <v>9.94</v>
      </c>
      <c r="P1055" s="3" t="n">
        <f aca="false">INDEX(Summary!$L$2:$L$201,MATCH($B1055,Summary!$A$2:$A$201,0))</f>
        <v>3</v>
      </c>
      <c r="Q1055" s="3" t="n">
        <f aca="false">INDEX(Summary!$M$2:$M$201,MATCH($B1055,Summary!$A$2:$A$201,0))</f>
        <v>3</v>
      </c>
      <c r="R1055" s="2" t="n">
        <f aca="false">INDEX(Summary!$N$2:$N$201,MATCH($B1055,Summary!$A$2:$A$201,0))</f>
        <v>9.4</v>
      </c>
      <c r="S1055" s="3" t="n">
        <f aca="false">INDEX(Summary!$O$2:$O$201,MATCH($B1055,Summary!$A$2:$A$201,0))</f>
        <v>8</v>
      </c>
      <c r="T1055" s="3" t="n">
        <f aca="false">INDEX(Summary!$P$2:$P$201,MATCH($B1055,Summary!$A$2:$A$201,0))</f>
        <v>1</v>
      </c>
      <c r="U1055" s="2" t="n">
        <f aca="false">INDEX(Summary!$Q$2:$Q$201,MATCH($B1055,Summary!$A$2:$A$201,0))</f>
        <v>13.95</v>
      </c>
      <c r="V1055" s="2" t="n">
        <f aca="false">INDEX(Summary!$R$2:$R$201,MATCH($B1055,Summary!$A$2:$A$201,0))</f>
        <v>19.7</v>
      </c>
      <c r="W1055" s="0" t="str">
        <f aca="false">INDEX(Summary!$S$2:$S$201,MATCH($B1055,Summary!$A$2:$A$201,0))</f>
        <v>Bronze</v>
      </c>
      <c r="X1055" s="2" t="n">
        <f aca="false">INDEX(Summary!$T$2:$T$201,MATCH($B1055,Summary!$A$2:$A$201,0))</f>
        <v>48.05</v>
      </c>
      <c r="Y1055" s="0" t="str">
        <f aca="false">INDEX('Reward Model'!$E$18:$E$37,MATCH($E1055,'Reward Model'!$A$18:$A$37,0))</f>
        <v>Medium</v>
      </c>
      <c r="Z1055" s="4" t="n">
        <f aca="false">ROUND(MIN(1,MAX('Reward Model'!$B$2,INDEX('Reward Model'!$C$12:$C$14,MATCH($K1055,'Reward Model'!$A$12:$A$14,0))/$J1055)),3)</f>
        <v>1</v>
      </c>
      <c r="AA1055" s="2" t="n">
        <f aca="false">IF($I1055="Correct",ROUND(INDEX('Reward Model'!$B$12:$B$14,MATCH($K1055,'Reward Model'!$A$12:$A$14,0))*Z1055,2),0)</f>
        <v>2</v>
      </c>
      <c r="AB1055" s="2" t="n">
        <f aca="false">IF($I1055="Correct",ROUND(INDEX('Reward Model'!$B$12:$B$14,MATCH($Y1055,'Reward Model'!$A$12:$A$14,0))*Z1055,2),0)</f>
        <v>2</v>
      </c>
    </row>
    <row r="1056" customFormat="false" ht="15" hidden="false" customHeight="false" outlineLevel="0" collapsed="false">
      <c r="A1056" s="0" t="s">
        <v>233</v>
      </c>
      <c r="B1056" s="0" t="s">
        <v>234</v>
      </c>
      <c r="C1056" s="0" t="s">
        <v>30</v>
      </c>
      <c r="D1056" s="0" t="s">
        <v>189</v>
      </c>
      <c r="E1056" s="0" t="n">
        <v>15</v>
      </c>
      <c r="F1056" s="0" t="s">
        <v>69</v>
      </c>
      <c r="G1056" s="0" t="s">
        <v>131</v>
      </c>
      <c r="H1056" s="0" t="s">
        <v>70</v>
      </c>
      <c r="I1056" s="0" t="s">
        <v>39</v>
      </c>
      <c r="J1056" s="0" t="n">
        <v>2.27</v>
      </c>
      <c r="K1056" s="0" t="s">
        <v>60</v>
      </c>
      <c r="L1056" s="0" t="n">
        <f aca="false">INDEX(Summary!$F$2:$F$201,MATCH($B1056,Summary!$A$2:$A$201,0))</f>
        <v>20</v>
      </c>
      <c r="M1056" s="0" t="n">
        <f aca="false">INDEX(Summary!$I$2:$I$201,MATCH($B1056,Summary!$A$2:$A$201,0))</f>
        <v>1</v>
      </c>
      <c r="N1056" s="0" t="n">
        <f aca="false">INDEX(Summary!$J$2:$J$201,MATCH($B1056,Summary!$A$2:$A$201,0))</f>
        <v>4</v>
      </c>
      <c r="O1056" s="2" t="n">
        <f aca="false">INDEX(Summary!$K$2:$K$201,MATCH($B1056,Summary!$A$2:$A$201,0))</f>
        <v>9.94</v>
      </c>
      <c r="P1056" s="3" t="n">
        <f aca="false">INDEX(Summary!$L$2:$L$201,MATCH($B1056,Summary!$A$2:$A$201,0))</f>
        <v>3</v>
      </c>
      <c r="Q1056" s="3" t="n">
        <f aca="false">INDEX(Summary!$M$2:$M$201,MATCH($B1056,Summary!$A$2:$A$201,0))</f>
        <v>3</v>
      </c>
      <c r="R1056" s="2" t="n">
        <f aca="false">INDEX(Summary!$N$2:$N$201,MATCH($B1056,Summary!$A$2:$A$201,0))</f>
        <v>9.4</v>
      </c>
      <c r="S1056" s="3" t="n">
        <f aca="false">INDEX(Summary!$O$2:$O$201,MATCH($B1056,Summary!$A$2:$A$201,0))</f>
        <v>8</v>
      </c>
      <c r="T1056" s="3" t="n">
        <f aca="false">INDEX(Summary!$P$2:$P$201,MATCH($B1056,Summary!$A$2:$A$201,0))</f>
        <v>1</v>
      </c>
      <c r="U1056" s="2" t="n">
        <f aca="false">INDEX(Summary!$Q$2:$Q$201,MATCH($B1056,Summary!$A$2:$A$201,0))</f>
        <v>13.95</v>
      </c>
      <c r="V1056" s="2" t="n">
        <f aca="false">INDEX(Summary!$R$2:$R$201,MATCH($B1056,Summary!$A$2:$A$201,0))</f>
        <v>19.7</v>
      </c>
      <c r="W1056" s="0" t="str">
        <f aca="false">INDEX(Summary!$S$2:$S$201,MATCH($B1056,Summary!$A$2:$A$201,0))</f>
        <v>Bronze</v>
      </c>
      <c r="X1056" s="2" t="n">
        <f aca="false">INDEX(Summary!$T$2:$T$201,MATCH($B1056,Summary!$A$2:$A$201,0))</f>
        <v>48.05</v>
      </c>
      <c r="Y1056" s="0" t="str">
        <f aca="false">INDEX('Reward Model'!$E$18:$E$37,MATCH($E1056,'Reward Model'!$A$18:$A$37,0))</f>
        <v>Medium</v>
      </c>
      <c r="Z1056" s="4" t="n">
        <f aca="false">ROUND(MIN(1,MAX('Reward Model'!$B$2,INDEX('Reward Model'!$C$12:$C$14,MATCH($K1056,'Reward Model'!$A$12:$A$14,0))/$J1056)),3)</f>
        <v>0.793</v>
      </c>
      <c r="AA1056" s="2" t="n">
        <f aca="false">IF($I1056="Correct",ROUND(INDEX('Reward Model'!$B$12:$B$14,MATCH($K1056,'Reward Model'!$A$12:$A$14,0))*Z1056,2),0)</f>
        <v>0</v>
      </c>
      <c r="AB1056" s="2" t="n">
        <f aca="false">IF($I1056="Correct",ROUND(INDEX('Reward Model'!$B$12:$B$14,MATCH($Y1056,'Reward Model'!$A$12:$A$14,0))*Z1056,2),0)</f>
        <v>0</v>
      </c>
    </row>
    <row r="1057" customFormat="false" ht="15" hidden="false" customHeight="false" outlineLevel="0" collapsed="false">
      <c r="A1057" s="0" t="s">
        <v>233</v>
      </c>
      <c r="B1057" s="0" t="s">
        <v>234</v>
      </c>
      <c r="C1057" s="0" t="s">
        <v>30</v>
      </c>
      <c r="D1057" s="0" t="s">
        <v>189</v>
      </c>
      <c r="E1057" s="0" t="n">
        <v>16</v>
      </c>
      <c r="F1057" s="0" t="s">
        <v>71</v>
      </c>
      <c r="G1057" s="0" t="s">
        <v>87</v>
      </c>
      <c r="H1057" s="0" t="s">
        <v>72</v>
      </c>
      <c r="I1057" s="0" t="s">
        <v>39</v>
      </c>
      <c r="J1057" s="0" t="n">
        <v>2.21</v>
      </c>
      <c r="K1057" s="0" t="s">
        <v>73</v>
      </c>
      <c r="L1057" s="0" t="n">
        <f aca="false">INDEX(Summary!$F$2:$F$201,MATCH($B1057,Summary!$A$2:$A$201,0))</f>
        <v>20</v>
      </c>
      <c r="M1057" s="0" t="n">
        <f aca="false">INDEX(Summary!$I$2:$I$201,MATCH($B1057,Summary!$A$2:$A$201,0))</f>
        <v>1</v>
      </c>
      <c r="N1057" s="0" t="n">
        <f aca="false">INDEX(Summary!$J$2:$J$201,MATCH($B1057,Summary!$A$2:$A$201,0))</f>
        <v>4</v>
      </c>
      <c r="O1057" s="2" t="n">
        <f aca="false">INDEX(Summary!$K$2:$K$201,MATCH($B1057,Summary!$A$2:$A$201,0))</f>
        <v>9.94</v>
      </c>
      <c r="P1057" s="3" t="n">
        <f aca="false">INDEX(Summary!$L$2:$L$201,MATCH($B1057,Summary!$A$2:$A$201,0))</f>
        <v>3</v>
      </c>
      <c r="Q1057" s="3" t="n">
        <f aca="false">INDEX(Summary!$M$2:$M$201,MATCH($B1057,Summary!$A$2:$A$201,0))</f>
        <v>3</v>
      </c>
      <c r="R1057" s="2" t="n">
        <f aca="false">INDEX(Summary!$N$2:$N$201,MATCH($B1057,Summary!$A$2:$A$201,0))</f>
        <v>9.4</v>
      </c>
      <c r="S1057" s="3" t="n">
        <f aca="false">INDEX(Summary!$O$2:$O$201,MATCH($B1057,Summary!$A$2:$A$201,0))</f>
        <v>8</v>
      </c>
      <c r="T1057" s="3" t="n">
        <f aca="false">INDEX(Summary!$P$2:$P$201,MATCH($B1057,Summary!$A$2:$A$201,0))</f>
        <v>1</v>
      </c>
      <c r="U1057" s="2" t="n">
        <f aca="false">INDEX(Summary!$Q$2:$Q$201,MATCH($B1057,Summary!$A$2:$A$201,0))</f>
        <v>13.95</v>
      </c>
      <c r="V1057" s="2" t="n">
        <f aca="false">INDEX(Summary!$R$2:$R$201,MATCH($B1057,Summary!$A$2:$A$201,0))</f>
        <v>19.7</v>
      </c>
      <c r="W1057" s="0" t="str">
        <f aca="false">INDEX(Summary!$S$2:$S$201,MATCH($B1057,Summary!$A$2:$A$201,0))</f>
        <v>Bronze</v>
      </c>
      <c r="X1057" s="2" t="n">
        <f aca="false">INDEX(Summary!$T$2:$T$201,MATCH($B1057,Summary!$A$2:$A$201,0))</f>
        <v>48.05</v>
      </c>
      <c r="Y1057" s="0" t="str">
        <f aca="false">INDEX('Reward Model'!$E$18:$E$37,MATCH($E1057,'Reward Model'!$A$18:$A$37,0))</f>
        <v>High</v>
      </c>
      <c r="Z1057" s="4" t="n">
        <f aca="false">ROUND(MIN(1,MAX('Reward Model'!$B$2,INDEX('Reward Model'!$C$12:$C$14,MATCH($K1057,'Reward Model'!$A$12:$A$14,0))/$J1057)),3)</f>
        <v>0.905</v>
      </c>
      <c r="AA1057" s="2" t="n">
        <f aca="false">IF($I1057="Correct",ROUND(INDEX('Reward Model'!$B$12:$B$14,MATCH($K1057,'Reward Model'!$A$12:$A$14,0))*Z1057,2),0)</f>
        <v>0</v>
      </c>
      <c r="AB1057" s="2" t="n">
        <f aca="false">IF($I1057="Correct",ROUND(INDEX('Reward Model'!$B$12:$B$14,MATCH($Y1057,'Reward Model'!$A$12:$A$14,0))*Z1057,2),0)</f>
        <v>0</v>
      </c>
    </row>
    <row r="1058" customFormat="false" ht="15" hidden="false" customHeight="false" outlineLevel="0" collapsed="false">
      <c r="A1058" s="0" t="s">
        <v>233</v>
      </c>
      <c r="B1058" s="0" t="s">
        <v>234</v>
      </c>
      <c r="C1058" s="0" t="s">
        <v>30</v>
      </c>
      <c r="D1058" s="0" t="s">
        <v>189</v>
      </c>
      <c r="E1058" s="0" t="n">
        <v>17</v>
      </c>
      <c r="F1058" s="0" t="s">
        <v>74</v>
      </c>
      <c r="G1058" s="0" t="s">
        <v>75</v>
      </c>
      <c r="H1058" s="0" t="s">
        <v>75</v>
      </c>
      <c r="I1058" s="0" t="s">
        <v>34</v>
      </c>
      <c r="J1058" s="0" t="n">
        <v>1.87</v>
      </c>
      <c r="K1058" s="0" t="s">
        <v>73</v>
      </c>
      <c r="L1058" s="0" t="n">
        <f aca="false">INDEX(Summary!$F$2:$F$201,MATCH($B1058,Summary!$A$2:$A$201,0))</f>
        <v>20</v>
      </c>
      <c r="M1058" s="0" t="n">
        <f aca="false">INDEX(Summary!$I$2:$I$201,MATCH($B1058,Summary!$A$2:$A$201,0))</f>
        <v>1</v>
      </c>
      <c r="N1058" s="0" t="n">
        <f aca="false">INDEX(Summary!$J$2:$J$201,MATCH($B1058,Summary!$A$2:$A$201,0))</f>
        <v>4</v>
      </c>
      <c r="O1058" s="2" t="n">
        <f aca="false">INDEX(Summary!$K$2:$K$201,MATCH($B1058,Summary!$A$2:$A$201,0))</f>
        <v>9.94</v>
      </c>
      <c r="P1058" s="3" t="n">
        <f aca="false">INDEX(Summary!$L$2:$L$201,MATCH($B1058,Summary!$A$2:$A$201,0))</f>
        <v>3</v>
      </c>
      <c r="Q1058" s="3" t="n">
        <f aca="false">INDEX(Summary!$M$2:$M$201,MATCH($B1058,Summary!$A$2:$A$201,0))</f>
        <v>3</v>
      </c>
      <c r="R1058" s="2" t="n">
        <f aca="false">INDEX(Summary!$N$2:$N$201,MATCH($B1058,Summary!$A$2:$A$201,0))</f>
        <v>9.4</v>
      </c>
      <c r="S1058" s="3" t="n">
        <f aca="false">INDEX(Summary!$O$2:$O$201,MATCH($B1058,Summary!$A$2:$A$201,0))</f>
        <v>8</v>
      </c>
      <c r="T1058" s="3" t="n">
        <f aca="false">INDEX(Summary!$P$2:$P$201,MATCH($B1058,Summary!$A$2:$A$201,0))</f>
        <v>1</v>
      </c>
      <c r="U1058" s="2" t="n">
        <f aca="false">INDEX(Summary!$Q$2:$Q$201,MATCH($B1058,Summary!$A$2:$A$201,0))</f>
        <v>13.95</v>
      </c>
      <c r="V1058" s="2" t="n">
        <f aca="false">INDEX(Summary!$R$2:$R$201,MATCH($B1058,Summary!$A$2:$A$201,0))</f>
        <v>19.7</v>
      </c>
      <c r="W1058" s="0" t="str">
        <f aca="false">INDEX(Summary!$S$2:$S$201,MATCH($B1058,Summary!$A$2:$A$201,0))</f>
        <v>Bronze</v>
      </c>
      <c r="X1058" s="2" t="n">
        <f aca="false">INDEX(Summary!$T$2:$T$201,MATCH($B1058,Summary!$A$2:$A$201,0))</f>
        <v>48.05</v>
      </c>
      <c r="Y1058" s="0" t="str">
        <f aca="false">INDEX('Reward Model'!$E$18:$E$37,MATCH($E1058,'Reward Model'!$A$18:$A$37,0))</f>
        <v>High</v>
      </c>
      <c r="Z1058" s="4" t="n">
        <f aca="false">ROUND(MIN(1,MAX('Reward Model'!$B$2,INDEX('Reward Model'!$C$12:$C$14,MATCH($K1058,'Reward Model'!$A$12:$A$14,0))/$J1058)),3)</f>
        <v>1</v>
      </c>
      <c r="AA1058" s="2" t="n">
        <f aca="false">IF($I1058="Correct",ROUND(INDEX('Reward Model'!$B$12:$B$14,MATCH($K1058,'Reward Model'!$A$12:$A$14,0))*Z1058,2),0)</f>
        <v>3</v>
      </c>
      <c r="AB1058" s="2" t="n">
        <f aca="false">IF($I1058="Correct",ROUND(INDEX('Reward Model'!$B$12:$B$14,MATCH($Y1058,'Reward Model'!$A$12:$A$14,0))*Z1058,2),0)</f>
        <v>3</v>
      </c>
    </row>
    <row r="1059" customFormat="false" ht="15" hidden="false" customHeight="false" outlineLevel="0" collapsed="false">
      <c r="A1059" s="0" t="s">
        <v>233</v>
      </c>
      <c r="B1059" s="0" t="s">
        <v>234</v>
      </c>
      <c r="C1059" s="0" t="s">
        <v>30</v>
      </c>
      <c r="D1059" s="0" t="s">
        <v>189</v>
      </c>
      <c r="E1059" s="0" t="n">
        <v>18</v>
      </c>
      <c r="F1059" s="0" t="s">
        <v>76</v>
      </c>
      <c r="G1059" s="0" t="s">
        <v>56</v>
      </c>
      <c r="H1059" s="0" t="s">
        <v>77</v>
      </c>
      <c r="I1059" s="0" t="s">
        <v>39</v>
      </c>
      <c r="J1059" s="0" t="n">
        <v>1.55</v>
      </c>
      <c r="K1059" s="0" t="s">
        <v>73</v>
      </c>
      <c r="L1059" s="0" t="n">
        <f aca="false">INDEX(Summary!$F$2:$F$201,MATCH($B1059,Summary!$A$2:$A$201,0))</f>
        <v>20</v>
      </c>
      <c r="M1059" s="0" t="n">
        <f aca="false">INDEX(Summary!$I$2:$I$201,MATCH($B1059,Summary!$A$2:$A$201,0))</f>
        <v>1</v>
      </c>
      <c r="N1059" s="0" t="n">
        <f aca="false">INDEX(Summary!$J$2:$J$201,MATCH($B1059,Summary!$A$2:$A$201,0))</f>
        <v>4</v>
      </c>
      <c r="O1059" s="2" t="n">
        <f aca="false">INDEX(Summary!$K$2:$K$201,MATCH($B1059,Summary!$A$2:$A$201,0))</f>
        <v>9.94</v>
      </c>
      <c r="P1059" s="3" t="n">
        <f aca="false">INDEX(Summary!$L$2:$L$201,MATCH($B1059,Summary!$A$2:$A$201,0))</f>
        <v>3</v>
      </c>
      <c r="Q1059" s="3" t="n">
        <f aca="false">INDEX(Summary!$M$2:$M$201,MATCH($B1059,Summary!$A$2:$A$201,0))</f>
        <v>3</v>
      </c>
      <c r="R1059" s="2" t="n">
        <f aca="false">INDEX(Summary!$N$2:$N$201,MATCH($B1059,Summary!$A$2:$A$201,0))</f>
        <v>9.4</v>
      </c>
      <c r="S1059" s="3" t="n">
        <f aca="false">INDEX(Summary!$O$2:$O$201,MATCH($B1059,Summary!$A$2:$A$201,0))</f>
        <v>8</v>
      </c>
      <c r="T1059" s="3" t="n">
        <f aca="false">INDEX(Summary!$P$2:$P$201,MATCH($B1059,Summary!$A$2:$A$201,0))</f>
        <v>1</v>
      </c>
      <c r="U1059" s="2" t="n">
        <f aca="false">INDEX(Summary!$Q$2:$Q$201,MATCH($B1059,Summary!$A$2:$A$201,0))</f>
        <v>13.95</v>
      </c>
      <c r="V1059" s="2" t="n">
        <f aca="false">INDEX(Summary!$R$2:$R$201,MATCH($B1059,Summary!$A$2:$A$201,0))</f>
        <v>19.7</v>
      </c>
      <c r="W1059" s="0" t="str">
        <f aca="false">INDEX(Summary!$S$2:$S$201,MATCH($B1059,Summary!$A$2:$A$201,0))</f>
        <v>Bronze</v>
      </c>
      <c r="X1059" s="2" t="n">
        <f aca="false">INDEX(Summary!$T$2:$T$201,MATCH($B1059,Summary!$A$2:$A$201,0))</f>
        <v>48.05</v>
      </c>
      <c r="Y1059" s="0" t="str">
        <f aca="false">INDEX('Reward Model'!$E$18:$E$37,MATCH($E1059,'Reward Model'!$A$18:$A$37,0))</f>
        <v>High</v>
      </c>
      <c r="Z1059" s="4" t="n">
        <f aca="false">ROUND(MIN(1,MAX('Reward Model'!$B$2,INDEX('Reward Model'!$C$12:$C$14,MATCH($K1059,'Reward Model'!$A$12:$A$14,0))/$J1059)),3)</f>
        <v>1</v>
      </c>
      <c r="AA1059" s="2" t="n">
        <f aca="false">IF($I1059="Correct",ROUND(INDEX('Reward Model'!$B$12:$B$14,MATCH($K1059,'Reward Model'!$A$12:$A$14,0))*Z1059,2),0)</f>
        <v>0</v>
      </c>
      <c r="AB1059" s="2" t="n">
        <f aca="false">IF($I1059="Correct",ROUND(INDEX('Reward Model'!$B$12:$B$14,MATCH($Y1059,'Reward Model'!$A$12:$A$14,0))*Z1059,2),0)</f>
        <v>0</v>
      </c>
    </row>
    <row r="1060" customFormat="false" ht="15" hidden="false" customHeight="false" outlineLevel="0" collapsed="false">
      <c r="A1060" s="0" t="s">
        <v>233</v>
      </c>
      <c r="B1060" s="0" t="s">
        <v>234</v>
      </c>
      <c r="C1060" s="0" t="s">
        <v>30</v>
      </c>
      <c r="D1060" s="0" t="s">
        <v>189</v>
      </c>
      <c r="E1060" s="0" t="n">
        <v>19</v>
      </c>
      <c r="F1060" s="0" t="s">
        <v>78</v>
      </c>
      <c r="G1060" s="0" t="s">
        <v>79</v>
      </c>
      <c r="H1060" s="0" t="s">
        <v>80</v>
      </c>
      <c r="I1060" s="0" t="s">
        <v>39</v>
      </c>
      <c r="J1060" s="0" t="n">
        <v>2.14</v>
      </c>
      <c r="K1060" s="0" t="s">
        <v>73</v>
      </c>
      <c r="L1060" s="0" t="n">
        <f aca="false">INDEX(Summary!$F$2:$F$201,MATCH($B1060,Summary!$A$2:$A$201,0))</f>
        <v>20</v>
      </c>
      <c r="M1060" s="0" t="n">
        <f aca="false">INDEX(Summary!$I$2:$I$201,MATCH($B1060,Summary!$A$2:$A$201,0))</f>
        <v>1</v>
      </c>
      <c r="N1060" s="0" t="n">
        <f aca="false">INDEX(Summary!$J$2:$J$201,MATCH($B1060,Summary!$A$2:$A$201,0))</f>
        <v>4</v>
      </c>
      <c r="O1060" s="2" t="n">
        <f aca="false">INDEX(Summary!$K$2:$K$201,MATCH($B1060,Summary!$A$2:$A$201,0))</f>
        <v>9.94</v>
      </c>
      <c r="P1060" s="3" t="n">
        <f aca="false">INDEX(Summary!$L$2:$L$201,MATCH($B1060,Summary!$A$2:$A$201,0))</f>
        <v>3</v>
      </c>
      <c r="Q1060" s="3" t="n">
        <f aca="false">INDEX(Summary!$M$2:$M$201,MATCH($B1060,Summary!$A$2:$A$201,0))</f>
        <v>3</v>
      </c>
      <c r="R1060" s="2" t="n">
        <f aca="false">INDEX(Summary!$N$2:$N$201,MATCH($B1060,Summary!$A$2:$A$201,0))</f>
        <v>9.4</v>
      </c>
      <c r="S1060" s="3" t="n">
        <f aca="false">INDEX(Summary!$O$2:$O$201,MATCH($B1060,Summary!$A$2:$A$201,0))</f>
        <v>8</v>
      </c>
      <c r="T1060" s="3" t="n">
        <f aca="false">INDEX(Summary!$P$2:$P$201,MATCH($B1060,Summary!$A$2:$A$201,0))</f>
        <v>1</v>
      </c>
      <c r="U1060" s="2" t="n">
        <f aca="false">INDEX(Summary!$Q$2:$Q$201,MATCH($B1060,Summary!$A$2:$A$201,0))</f>
        <v>13.95</v>
      </c>
      <c r="V1060" s="2" t="n">
        <f aca="false">INDEX(Summary!$R$2:$R$201,MATCH($B1060,Summary!$A$2:$A$201,0))</f>
        <v>19.7</v>
      </c>
      <c r="W1060" s="0" t="str">
        <f aca="false">INDEX(Summary!$S$2:$S$201,MATCH($B1060,Summary!$A$2:$A$201,0))</f>
        <v>Bronze</v>
      </c>
      <c r="X1060" s="2" t="n">
        <f aca="false">INDEX(Summary!$T$2:$T$201,MATCH($B1060,Summary!$A$2:$A$201,0))</f>
        <v>48.05</v>
      </c>
      <c r="Y1060" s="0" t="str">
        <f aca="false">INDEX('Reward Model'!$E$18:$E$37,MATCH($E1060,'Reward Model'!$A$18:$A$37,0))</f>
        <v>High</v>
      </c>
      <c r="Z1060" s="4" t="n">
        <f aca="false">ROUND(MIN(1,MAX('Reward Model'!$B$2,INDEX('Reward Model'!$C$12:$C$14,MATCH($K1060,'Reward Model'!$A$12:$A$14,0))/$J1060)),3)</f>
        <v>0.935</v>
      </c>
      <c r="AA1060" s="2" t="n">
        <f aca="false">IF($I1060="Correct",ROUND(INDEX('Reward Model'!$B$12:$B$14,MATCH($K1060,'Reward Model'!$A$12:$A$14,0))*Z1060,2),0)</f>
        <v>0</v>
      </c>
      <c r="AB1060" s="2" t="n">
        <f aca="false">IF($I1060="Correct",ROUND(INDEX('Reward Model'!$B$12:$B$14,MATCH($Y1060,'Reward Model'!$A$12:$A$14,0))*Z1060,2),0)</f>
        <v>0</v>
      </c>
    </row>
    <row r="1061" customFormat="false" ht="15" hidden="false" customHeight="false" outlineLevel="0" collapsed="false">
      <c r="A1061" s="0" t="s">
        <v>233</v>
      </c>
      <c r="B1061" s="0" t="s">
        <v>234</v>
      </c>
      <c r="C1061" s="0" t="s">
        <v>30</v>
      </c>
      <c r="D1061" s="0" t="s">
        <v>189</v>
      </c>
      <c r="E1061" s="0" t="n">
        <v>20</v>
      </c>
      <c r="F1061" s="0" t="s">
        <v>81</v>
      </c>
      <c r="G1061" s="0" t="s">
        <v>82</v>
      </c>
      <c r="H1061" s="0" t="s">
        <v>83</v>
      </c>
      <c r="I1061" s="0" t="s">
        <v>39</v>
      </c>
      <c r="J1061" s="0" t="n">
        <v>2.17</v>
      </c>
      <c r="K1061" s="0" t="s">
        <v>73</v>
      </c>
      <c r="L1061" s="0" t="n">
        <f aca="false">INDEX(Summary!$F$2:$F$201,MATCH($B1061,Summary!$A$2:$A$201,0))</f>
        <v>20</v>
      </c>
      <c r="M1061" s="0" t="n">
        <f aca="false">INDEX(Summary!$I$2:$I$201,MATCH($B1061,Summary!$A$2:$A$201,0))</f>
        <v>1</v>
      </c>
      <c r="N1061" s="0" t="n">
        <f aca="false">INDEX(Summary!$J$2:$J$201,MATCH($B1061,Summary!$A$2:$A$201,0))</f>
        <v>4</v>
      </c>
      <c r="O1061" s="2" t="n">
        <f aca="false">INDEX(Summary!$K$2:$K$201,MATCH($B1061,Summary!$A$2:$A$201,0))</f>
        <v>9.94</v>
      </c>
      <c r="P1061" s="3" t="n">
        <f aca="false">INDEX(Summary!$L$2:$L$201,MATCH($B1061,Summary!$A$2:$A$201,0))</f>
        <v>3</v>
      </c>
      <c r="Q1061" s="3" t="n">
        <f aca="false">INDEX(Summary!$M$2:$M$201,MATCH($B1061,Summary!$A$2:$A$201,0))</f>
        <v>3</v>
      </c>
      <c r="R1061" s="2" t="n">
        <f aca="false">INDEX(Summary!$N$2:$N$201,MATCH($B1061,Summary!$A$2:$A$201,0))</f>
        <v>9.4</v>
      </c>
      <c r="S1061" s="3" t="n">
        <f aca="false">INDEX(Summary!$O$2:$O$201,MATCH($B1061,Summary!$A$2:$A$201,0))</f>
        <v>8</v>
      </c>
      <c r="T1061" s="3" t="n">
        <f aca="false">INDEX(Summary!$P$2:$P$201,MATCH($B1061,Summary!$A$2:$A$201,0))</f>
        <v>1</v>
      </c>
      <c r="U1061" s="2" t="n">
        <f aca="false">INDEX(Summary!$Q$2:$Q$201,MATCH($B1061,Summary!$A$2:$A$201,0))</f>
        <v>13.95</v>
      </c>
      <c r="V1061" s="2" t="n">
        <f aca="false">INDEX(Summary!$R$2:$R$201,MATCH($B1061,Summary!$A$2:$A$201,0))</f>
        <v>19.7</v>
      </c>
      <c r="W1061" s="0" t="str">
        <f aca="false">INDEX(Summary!$S$2:$S$201,MATCH($B1061,Summary!$A$2:$A$201,0))</f>
        <v>Bronze</v>
      </c>
      <c r="X1061" s="2" t="n">
        <f aca="false">INDEX(Summary!$T$2:$T$201,MATCH($B1061,Summary!$A$2:$A$201,0))</f>
        <v>48.05</v>
      </c>
      <c r="Y1061" s="0" t="str">
        <f aca="false">INDEX('Reward Model'!$E$18:$E$37,MATCH($E1061,'Reward Model'!$A$18:$A$37,0))</f>
        <v>High</v>
      </c>
      <c r="Z1061" s="4" t="n">
        <f aca="false">ROUND(MIN(1,MAX('Reward Model'!$B$2,INDEX('Reward Model'!$C$12:$C$14,MATCH($K1061,'Reward Model'!$A$12:$A$14,0))/$J1061)),3)</f>
        <v>0.922</v>
      </c>
      <c r="AA1061" s="2" t="n">
        <f aca="false">IF($I1061="Correct",ROUND(INDEX('Reward Model'!$B$12:$B$14,MATCH($K1061,'Reward Model'!$A$12:$A$14,0))*Z1061,2),0)</f>
        <v>0</v>
      </c>
      <c r="AB1061" s="2" t="n">
        <f aca="false">IF($I1061="Correct",ROUND(INDEX('Reward Model'!$B$12:$B$14,MATCH($Y1061,'Reward Model'!$A$12:$A$14,0))*Z1061,2),0)</f>
        <v>0</v>
      </c>
    </row>
    <row r="1062" customFormat="false" ht="15" hidden="false" customHeight="false" outlineLevel="0" collapsed="false">
      <c r="A1062" s="0" t="s">
        <v>235</v>
      </c>
      <c r="B1062" s="0" t="s">
        <v>236</v>
      </c>
      <c r="C1062" s="0" t="s">
        <v>30</v>
      </c>
      <c r="D1062" s="0" t="s">
        <v>189</v>
      </c>
      <c r="E1062" s="0" t="n">
        <v>1</v>
      </c>
      <c r="F1062" s="0" t="s">
        <v>32</v>
      </c>
      <c r="G1062" s="0" t="s">
        <v>33</v>
      </c>
      <c r="H1062" s="0" t="s">
        <v>33</v>
      </c>
      <c r="I1062" s="0" t="s">
        <v>34</v>
      </c>
      <c r="J1062" s="0" t="n">
        <v>1.66</v>
      </c>
      <c r="K1062" s="0" t="s">
        <v>35</v>
      </c>
      <c r="L1062" s="0" t="n">
        <f aca="false">INDEX(Summary!$F$2:$F$201,MATCH($B1062,Summary!$A$2:$A$201,0))</f>
        <v>20</v>
      </c>
      <c r="M1062" s="0" t="n">
        <f aca="false">INDEX(Summary!$I$2:$I$201,MATCH($B1062,Summary!$A$2:$A$201,0))</f>
        <v>1</v>
      </c>
      <c r="N1062" s="0" t="n">
        <f aca="false">INDEX(Summary!$J$2:$J$201,MATCH($B1062,Summary!$A$2:$A$201,0))</f>
        <v>4</v>
      </c>
      <c r="O1062" s="2" t="n">
        <f aca="false">INDEX(Summary!$K$2:$K$201,MATCH($B1062,Summary!$A$2:$A$201,0))</f>
        <v>9.77</v>
      </c>
      <c r="P1062" s="3" t="n">
        <f aca="false">INDEX(Summary!$L$2:$L$201,MATCH($B1062,Summary!$A$2:$A$201,0))</f>
        <v>5</v>
      </c>
      <c r="Q1062" s="3" t="n">
        <f aca="false">INDEX(Summary!$M$2:$M$201,MATCH($B1062,Summary!$A$2:$A$201,0))</f>
        <v>1</v>
      </c>
      <c r="R1062" s="2" t="n">
        <f aca="false">INDEX(Summary!$N$2:$N$201,MATCH($B1062,Summary!$A$2:$A$201,0))</f>
        <v>10.1</v>
      </c>
      <c r="S1062" s="3" t="n">
        <f aca="false">INDEX(Summary!$O$2:$O$201,MATCH($B1062,Summary!$A$2:$A$201,0))</f>
        <v>8</v>
      </c>
      <c r="T1062" s="3" t="n">
        <f aca="false">INDEX(Summary!$P$2:$P$201,MATCH($B1062,Summary!$A$2:$A$201,0))</f>
        <v>1</v>
      </c>
      <c r="U1062" s="2" t="n">
        <f aca="false">INDEX(Summary!$Q$2:$Q$201,MATCH($B1062,Summary!$A$2:$A$201,0))</f>
        <v>11.49</v>
      </c>
      <c r="V1062" s="2" t="n">
        <f aca="false">INDEX(Summary!$R$2:$R$201,MATCH($B1062,Summary!$A$2:$A$201,0))</f>
        <v>25.13</v>
      </c>
      <c r="W1062" s="0" t="str">
        <f aca="false">INDEX(Summary!$S$2:$S$201,MATCH($B1062,Summary!$A$2:$A$201,0))</f>
        <v>Silver</v>
      </c>
      <c r="X1062" s="2" t="n">
        <f aca="false">INDEX(Summary!$T$2:$T$201,MATCH($B1062,Summary!$A$2:$A$201,0))</f>
        <v>61.29</v>
      </c>
      <c r="Y1062" s="0" t="str">
        <f aca="false">INDEX('Reward Model'!$E$18:$E$37,MATCH($E1062,'Reward Model'!$A$18:$A$37,0))</f>
        <v>Medium</v>
      </c>
      <c r="Z1062" s="4" t="n">
        <f aca="false">ROUND(MIN(1,MAX('Reward Model'!$B$2,INDEX('Reward Model'!$C$12:$C$14,MATCH($K1062,'Reward Model'!$A$12:$A$14,0))/$J1062)),3)</f>
        <v>0.904</v>
      </c>
      <c r="AA1062" s="2" t="n">
        <f aca="false">IF($I1062="Correct",ROUND(INDEX('Reward Model'!$B$12:$B$14,MATCH($K1062,'Reward Model'!$A$12:$A$14,0))*Z1062,2),0)</f>
        <v>0.9</v>
      </c>
      <c r="AB1062" s="2" t="n">
        <f aca="false">IF($I1062="Correct",ROUND(INDEX('Reward Model'!$B$12:$B$14,MATCH($Y1062,'Reward Model'!$A$12:$A$14,0))*Z1062,2),0)</f>
        <v>1.81</v>
      </c>
    </row>
    <row r="1063" customFormat="false" ht="15" hidden="false" customHeight="false" outlineLevel="0" collapsed="false">
      <c r="A1063" s="0" t="s">
        <v>235</v>
      </c>
      <c r="B1063" s="0" t="s">
        <v>236</v>
      </c>
      <c r="C1063" s="0" t="s">
        <v>30</v>
      </c>
      <c r="D1063" s="0" t="s">
        <v>189</v>
      </c>
      <c r="E1063" s="0" t="n">
        <v>2</v>
      </c>
      <c r="F1063" s="0" t="s">
        <v>36</v>
      </c>
      <c r="G1063" s="0" t="s">
        <v>38</v>
      </c>
      <c r="H1063" s="0" t="s">
        <v>38</v>
      </c>
      <c r="I1063" s="0" t="s">
        <v>34</v>
      </c>
      <c r="J1063" s="0" t="n">
        <v>1.04</v>
      </c>
      <c r="K1063" s="0" t="s">
        <v>35</v>
      </c>
      <c r="L1063" s="0" t="n">
        <f aca="false">INDEX(Summary!$F$2:$F$201,MATCH($B1063,Summary!$A$2:$A$201,0))</f>
        <v>20</v>
      </c>
      <c r="M1063" s="0" t="n">
        <f aca="false">INDEX(Summary!$I$2:$I$201,MATCH($B1063,Summary!$A$2:$A$201,0))</f>
        <v>1</v>
      </c>
      <c r="N1063" s="0" t="n">
        <f aca="false">INDEX(Summary!$J$2:$J$201,MATCH($B1063,Summary!$A$2:$A$201,0))</f>
        <v>4</v>
      </c>
      <c r="O1063" s="2" t="n">
        <f aca="false">INDEX(Summary!$K$2:$K$201,MATCH($B1063,Summary!$A$2:$A$201,0))</f>
        <v>9.77</v>
      </c>
      <c r="P1063" s="3" t="n">
        <f aca="false">INDEX(Summary!$L$2:$L$201,MATCH($B1063,Summary!$A$2:$A$201,0))</f>
        <v>5</v>
      </c>
      <c r="Q1063" s="3" t="n">
        <f aca="false">INDEX(Summary!$M$2:$M$201,MATCH($B1063,Summary!$A$2:$A$201,0))</f>
        <v>1</v>
      </c>
      <c r="R1063" s="2" t="n">
        <f aca="false">INDEX(Summary!$N$2:$N$201,MATCH($B1063,Summary!$A$2:$A$201,0))</f>
        <v>10.1</v>
      </c>
      <c r="S1063" s="3" t="n">
        <f aca="false">INDEX(Summary!$O$2:$O$201,MATCH($B1063,Summary!$A$2:$A$201,0))</f>
        <v>8</v>
      </c>
      <c r="T1063" s="3" t="n">
        <f aca="false">INDEX(Summary!$P$2:$P$201,MATCH($B1063,Summary!$A$2:$A$201,0))</f>
        <v>1</v>
      </c>
      <c r="U1063" s="2" t="n">
        <f aca="false">INDEX(Summary!$Q$2:$Q$201,MATCH($B1063,Summary!$A$2:$A$201,0))</f>
        <v>11.49</v>
      </c>
      <c r="V1063" s="2" t="n">
        <f aca="false">INDEX(Summary!$R$2:$R$201,MATCH($B1063,Summary!$A$2:$A$201,0))</f>
        <v>25.13</v>
      </c>
      <c r="W1063" s="0" t="str">
        <f aca="false">INDEX(Summary!$S$2:$S$201,MATCH($B1063,Summary!$A$2:$A$201,0))</f>
        <v>Silver</v>
      </c>
      <c r="X1063" s="2" t="n">
        <f aca="false">INDEX(Summary!$T$2:$T$201,MATCH($B1063,Summary!$A$2:$A$201,0))</f>
        <v>61.29</v>
      </c>
      <c r="Y1063" s="0" t="str">
        <f aca="false">INDEX('Reward Model'!$E$18:$E$37,MATCH($E1063,'Reward Model'!$A$18:$A$37,0))</f>
        <v>Low</v>
      </c>
      <c r="Z1063" s="4" t="n">
        <f aca="false">ROUND(MIN(1,MAX('Reward Model'!$B$2,INDEX('Reward Model'!$C$12:$C$14,MATCH($K1063,'Reward Model'!$A$12:$A$14,0))/$J1063)),3)</f>
        <v>1</v>
      </c>
      <c r="AA1063" s="2" t="n">
        <f aca="false">IF($I1063="Correct",ROUND(INDEX('Reward Model'!$B$12:$B$14,MATCH($K1063,'Reward Model'!$A$12:$A$14,0))*Z1063,2),0)</f>
        <v>1</v>
      </c>
      <c r="AB1063" s="2" t="n">
        <f aca="false">IF($I1063="Correct",ROUND(INDEX('Reward Model'!$B$12:$B$14,MATCH($Y1063,'Reward Model'!$A$12:$A$14,0))*Z1063,2),0)</f>
        <v>1</v>
      </c>
    </row>
    <row r="1064" customFormat="false" ht="15" hidden="false" customHeight="false" outlineLevel="0" collapsed="false">
      <c r="A1064" s="0" t="s">
        <v>235</v>
      </c>
      <c r="B1064" s="0" t="s">
        <v>236</v>
      </c>
      <c r="C1064" s="0" t="s">
        <v>30</v>
      </c>
      <c r="D1064" s="0" t="s">
        <v>189</v>
      </c>
      <c r="E1064" s="0" t="n">
        <v>3</v>
      </c>
      <c r="F1064" s="0" t="s">
        <v>40</v>
      </c>
      <c r="G1064" s="0" t="s">
        <v>42</v>
      </c>
      <c r="H1064" s="0" t="s">
        <v>42</v>
      </c>
      <c r="I1064" s="0" t="s">
        <v>34</v>
      </c>
      <c r="J1064" s="0" t="n">
        <v>1.08</v>
      </c>
      <c r="K1064" s="0" t="s">
        <v>35</v>
      </c>
      <c r="L1064" s="0" t="n">
        <f aca="false">INDEX(Summary!$F$2:$F$201,MATCH($B1064,Summary!$A$2:$A$201,0))</f>
        <v>20</v>
      </c>
      <c r="M1064" s="0" t="n">
        <f aca="false">INDEX(Summary!$I$2:$I$201,MATCH($B1064,Summary!$A$2:$A$201,0))</f>
        <v>1</v>
      </c>
      <c r="N1064" s="0" t="n">
        <f aca="false">INDEX(Summary!$J$2:$J$201,MATCH($B1064,Summary!$A$2:$A$201,0))</f>
        <v>4</v>
      </c>
      <c r="O1064" s="2" t="n">
        <f aca="false">INDEX(Summary!$K$2:$K$201,MATCH($B1064,Summary!$A$2:$A$201,0))</f>
        <v>9.77</v>
      </c>
      <c r="P1064" s="3" t="n">
        <f aca="false">INDEX(Summary!$L$2:$L$201,MATCH($B1064,Summary!$A$2:$A$201,0))</f>
        <v>5</v>
      </c>
      <c r="Q1064" s="3" t="n">
        <f aca="false">INDEX(Summary!$M$2:$M$201,MATCH($B1064,Summary!$A$2:$A$201,0))</f>
        <v>1</v>
      </c>
      <c r="R1064" s="2" t="n">
        <f aca="false">INDEX(Summary!$N$2:$N$201,MATCH($B1064,Summary!$A$2:$A$201,0))</f>
        <v>10.1</v>
      </c>
      <c r="S1064" s="3" t="n">
        <f aca="false">INDEX(Summary!$O$2:$O$201,MATCH($B1064,Summary!$A$2:$A$201,0))</f>
        <v>8</v>
      </c>
      <c r="T1064" s="3" t="n">
        <f aca="false">INDEX(Summary!$P$2:$P$201,MATCH($B1064,Summary!$A$2:$A$201,0))</f>
        <v>1</v>
      </c>
      <c r="U1064" s="2" t="n">
        <f aca="false">INDEX(Summary!$Q$2:$Q$201,MATCH($B1064,Summary!$A$2:$A$201,0))</f>
        <v>11.49</v>
      </c>
      <c r="V1064" s="2" t="n">
        <f aca="false">INDEX(Summary!$R$2:$R$201,MATCH($B1064,Summary!$A$2:$A$201,0))</f>
        <v>25.13</v>
      </c>
      <c r="W1064" s="0" t="str">
        <f aca="false">INDEX(Summary!$S$2:$S$201,MATCH($B1064,Summary!$A$2:$A$201,0))</f>
        <v>Silver</v>
      </c>
      <c r="X1064" s="2" t="n">
        <f aca="false">INDEX(Summary!$T$2:$T$201,MATCH($B1064,Summary!$A$2:$A$201,0))</f>
        <v>61.29</v>
      </c>
      <c r="Y1064" s="0" t="str">
        <f aca="false">INDEX('Reward Model'!$E$18:$E$37,MATCH($E1064,'Reward Model'!$A$18:$A$37,0))</f>
        <v>Medium</v>
      </c>
      <c r="Z1064" s="4" t="n">
        <f aca="false">ROUND(MIN(1,MAX('Reward Model'!$B$2,INDEX('Reward Model'!$C$12:$C$14,MATCH($K1064,'Reward Model'!$A$12:$A$14,0))/$J1064)),3)</f>
        <v>1</v>
      </c>
      <c r="AA1064" s="2" t="n">
        <f aca="false">IF($I1064="Correct",ROUND(INDEX('Reward Model'!$B$12:$B$14,MATCH($K1064,'Reward Model'!$A$12:$A$14,0))*Z1064,2),0)</f>
        <v>1</v>
      </c>
      <c r="AB1064" s="2" t="n">
        <f aca="false">IF($I1064="Correct",ROUND(INDEX('Reward Model'!$B$12:$B$14,MATCH($Y1064,'Reward Model'!$A$12:$A$14,0))*Z1064,2),0)</f>
        <v>2</v>
      </c>
    </row>
    <row r="1065" customFormat="false" ht="15" hidden="false" customHeight="false" outlineLevel="0" collapsed="false">
      <c r="A1065" s="0" t="s">
        <v>235</v>
      </c>
      <c r="B1065" s="0" t="s">
        <v>236</v>
      </c>
      <c r="C1065" s="0" t="s">
        <v>30</v>
      </c>
      <c r="D1065" s="0" t="s">
        <v>189</v>
      </c>
      <c r="E1065" s="0" t="n">
        <v>4</v>
      </c>
      <c r="F1065" s="0" t="s">
        <v>43</v>
      </c>
      <c r="G1065" s="0" t="s">
        <v>44</v>
      </c>
      <c r="H1065" s="0" t="s">
        <v>45</v>
      </c>
      <c r="I1065" s="0" t="s">
        <v>39</v>
      </c>
      <c r="J1065" s="0" t="n">
        <v>1.28</v>
      </c>
      <c r="K1065" s="0" t="s">
        <v>35</v>
      </c>
      <c r="L1065" s="0" t="n">
        <f aca="false">INDEX(Summary!$F$2:$F$201,MATCH($B1065,Summary!$A$2:$A$201,0))</f>
        <v>20</v>
      </c>
      <c r="M1065" s="0" t="n">
        <f aca="false">INDEX(Summary!$I$2:$I$201,MATCH($B1065,Summary!$A$2:$A$201,0))</f>
        <v>1</v>
      </c>
      <c r="N1065" s="0" t="n">
        <f aca="false">INDEX(Summary!$J$2:$J$201,MATCH($B1065,Summary!$A$2:$A$201,0))</f>
        <v>4</v>
      </c>
      <c r="O1065" s="2" t="n">
        <f aca="false">INDEX(Summary!$K$2:$K$201,MATCH($B1065,Summary!$A$2:$A$201,0))</f>
        <v>9.77</v>
      </c>
      <c r="P1065" s="3" t="n">
        <f aca="false">INDEX(Summary!$L$2:$L$201,MATCH($B1065,Summary!$A$2:$A$201,0))</f>
        <v>5</v>
      </c>
      <c r="Q1065" s="3" t="n">
        <f aca="false">INDEX(Summary!$M$2:$M$201,MATCH($B1065,Summary!$A$2:$A$201,0))</f>
        <v>1</v>
      </c>
      <c r="R1065" s="2" t="n">
        <f aca="false">INDEX(Summary!$N$2:$N$201,MATCH($B1065,Summary!$A$2:$A$201,0))</f>
        <v>10.1</v>
      </c>
      <c r="S1065" s="3" t="n">
        <f aca="false">INDEX(Summary!$O$2:$O$201,MATCH($B1065,Summary!$A$2:$A$201,0))</f>
        <v>8</v>
      </c>
      <c r="T1065" s="3" t="n">
        <f aca="false">INDEX(Summary!$P$2:$P$201,MATCH($B1065,Summary!$A$2:$A$201,0))</f>
        <v>1</v>
      </c>
      <c r="U1065" s="2" t="n">
        <f aca="false">INDEX(Summary!$Q$2:$Q$201,MATCH($B1065,Summary!$A$2:$A$201,0))</f>
        <v>11.49</v>
      </c>
      <c r="V1065" s="2" t="n">
        <f aca="false">INDEX(Summary!$R$2:$R$201,MATCH($B1065,Summary!$A$2:$A$201,0))</f>
        <v>25.13</v>
      </c>
      <c r="W1065" s="0" t="str">
        <f aca="false">INDEX(Summary!$S$2:$S$201,MATCH($B1065,Summary!$A$2:$A$201,0))</f>
        <v>Silver</v>
      </c>
      <c r="X1065" s="2" t="n">
        <f aca="false">INDEX(Summary!$T$2:$T$201,MATCH($B1065,Summary!$A$2:$A$201,0))</f>
        <v>61.29</v>
      </c>
      <c r="Y1065" s="0" t="str">
        <f aca="false">INDEX('Reward Model'!$E$18:$E$37,MATCH($E1065,'Reward Model'!$A$18:$A$37,0))</f>
        <v>Low</v>
      </c>
      <c r="Z1065" s="4" t="n">
        <f aca="false">ROUND(MIN(1,MAX('Reward Model'!$B$2,INDEX('Reward Model'!$C$12:$C$14,MATCH($K1065,'Reward Model'!$A$12:$A$14,0))/$J1065)),3)</f>
        <v>1</v>
      </c>
      <c r="AA1065" s="2" t="n">
        <f aca="false">IF($I1065="Correct",ROUND(INDEX('Reward Model'!$B$12:$B$14,MATCH($K1065,'Reward Model'!$A$12:$A$14,0))*Z1065,2),0)</f>
        <v>0</v>
      </c>
      <c r="AB1065" s="2" t="n">
        <f aca="false">IF($I1065="Correct",ROUND(INDEX('Reward Model'!$B$12:$B$14,MATCH($Y1065,'Reward Model'!$A$12:$A$14,0))*Z1065,2),0)</f>
        <v>0</v>
      </c>
    </row>
    <row r="1066" customFormat="false" ht="15" hidden="false" customHeight="false" outlineLevel="0" collapsed="false">
      <c r="A1066" s="0" t="s">
        <v>235</v>
      </c>
      <c r="B1066" s="0" t="s">
        <v>236</v>
      </c>
      <c r="C1066" s="0" t="s">
        <v>30</v>
      </c>
      <c r="D1066" s="0" t="s">
        <v>189</v>
      </c>
      <c r="E1066" s="0" t="n">
        <v>5</v>
      </c>
      <c r="F1066" s="0" t="s">
        <v>46</v>
      </c>
      <c r="G1066" s="0" t="s">
        <v>47</v>
      </c>
      <c r="H1066" s="0" t="s">
        <v>47</v>
      </c>
      <c r="I1066" s="0" t="s">
        <v>34</v>
      </c>
      <c r="J1066" s="0" t="n">
        <v>0.93</v>
      </c>
      <c r="K1066" s="0" t="s">
        <v>35</v>
      </c>
      <c r="L1066" s="0" t="n">
        <f aca="false">INDEX(Summary!$F$2:$F$201,MATCH($B1066,Summary!$A$2:$A$201,0))</f>
        <v>20</v>
      </c>
      <c r="M1066" s="0" t="n">
        <f aca="false">INDEX(Summary!$I$2:$I$201,MATCH($B1066,Summary!$A$2:$A$201,0))</f>
        <v>1</v>
      </c>
      <c r="N1066" s="0" t="n">
        <f aca="false">INDEX(Summary!$J$2:$J$201,MATCH($B1066,Summary!$A$2:$A$201,0))</f>
        <v>4</v>
      </c>
      <c r="O1066" s="2" t="n">
        <f aca="false">INDEX(Summary!$K$2:$K$201,MATCH($B1066,Summary!$A$2:$A$201,0))</f>
        <v>9.77</v>
      </c>
      <c r="P1066" s="3" t="n">
        <f aca="false">INDEX(Summary!$L$2:$L$201,MATCH($B1066,Summary!$A$2:$A$201,0))</f>
        <v>5</v>
      </c>
      <c r="Q1066" s="3" t="n">
        <f aca="false">INDEX(Summary!$M$2:$M$201,MATCH($B1066,Summary!$A$2:$A$201,0))</f>
        <v>1</v>
      </c>
      <c r="R1066" s="2" t="n">
        <f aca="false">INDEX(Summary!$N$2:$N$201,MATCH($B1066,Summary!$A$2:$A$201,0))</f>
        <v>10.1</v>
      </c>
      <c r="S1066" s="3" t="n">
        <f aca="false">INDEX(Summary!$O$2:$O$201,MATCH($B1066,Summary!$A$2:$A$201,0))</f>
        <v>8</v>
      </c>
      <c r="T1066" s="3" t="n">
        <f aca="false">INDEX(Summary!$P$2:$P$201,MATCH($B1066,Summary!$A$2:$A$201,0))</f>
        <v>1</v>
      </c>
      <c r="U1066" s="2" t="n">
        <f aca="false">INDEX(Summary!$Q$2:$Q$201,MATCH($B1066,Summary!$A$2:$A$201,0))</f>
        <v>11.49</v>
      </c>
      <c r="V1066" s="2" t="n">
        <f aca="false">INDEX(Summary!$R$2:$R$201,MATCH($B1066,Summary!$A$2:$A$201,0))</f>
        <v>25.13</v>
      </c>
      <c r="W1066" s="0" t="str">
        <f aca="false">INDEX(Summary!$S$2:$S$201,MATCH($B1066,Summary!$A$2:$A$201,0))</f>
        <v>Silver</v>
      </c>
      <c r="X1066" s="2" t="n">
        <f aca="false">INDEX(Summary!$T$2:$T$201,MATCH($B1066,Summary!$A$2:$A$201,0))</f>
        <v>61.29</v>
      </c>
      <c r="Y1066" s="0" t="str">
        <f aca="false">INDEX('Reward Model'!$E$18:$E$37,MATCH($E1066,'Reward Model'!$A$18:$A$37,0))</f>
        <v>Low</v>
      </c>
      <c r="Z1066" s="4" t="n">
        <f aca="false">ROUND(MIN(1,MAX('Reward Model'!$B$2,INDEX('Reward Model'!$C$12:$C$14,MATCH($K1066,'Reward Model'!$A$12:$A$14,0))/$J1066)),3)</f>
        <v>1</v>
      </c>
      <c r="AA1066" s="2" t="n">
        <f aca="false">IF($I1066="Correct",ROUND(INDEX('Reward Model'!$B$12:$B$14,MATCH($K1066,'Reward Model'!$A$12:$A$14,0))*Z1066,2),0)</f>
        <v>1</v>
      </c>
      <c r="AB1066" s="2" t="n">
        <f aca="false">IF($I1066="Correct",ROUND(INDEX('Reward Model'!$B$12:$B$14,MATCH($Y1066,'Reward Model'!$A$12:$A$14,0))*Z1066,2),0)</f>
        <v>1</v>
      </c>
    </row>
    <row r="1067" customFormat="false" ht="15" hidden="false" customHeight="false" outlineLevel="0" collapsed="false">
      <c r="A1067" s="0" t="s">
        <v>235</v>
      </c>
      <c r="B1067" s="0" t="s">
        <v>236</v>
      </c>
      <c r="C1067" s="0" t="s">
        <v>30</v>
      </c>
      <c r="D1067" s="0" t="s">
        <v>189</v>
      </c>
      <c r="E1067" s="0" t="n">
        <v>6</v>
      </c>
      <c r="F1067" s="0" t="s">
        <v>48</v>
      </c>
      <c r="G1067" s="0" t="s">
        <v>49</v>
      </c>
      <c r="H1067" s="0" t="s">
        <v>49</v>
      </c>
      <c r="I1067" s="0" t="s">
        <v>34</v>
      </c>
      <c r="J1067" s="0" t="n">
        <v>1.18</v>
      </c>
      <c r="K1067" s="0" t="s">
        <v>35</v>
      </c>
      <c r="L1067" s="0" t="n">
        <f aca="false">INDEX(Summary!$F$2:$F$201,MATCH($B1067,Summary!$A$2:$A$201,0))</f>
        <v>20</v>
      </c>
      <c r="M1067" s="0" t="n">
        <f aca="false">INDEX(Summary!$I$2:$I$201,MATCH($B1067,Summary!$A$2:$A$201,0))</f>
        <v>1</v>
      </c>
      <c r="N1067" s="0" t="n">
        <f aca="false">INDEX(Summary!$J$2:$J$201,MATCH($B1067,Summary!$A$2:$A$201,0))</f>
        <v>4</v>
      </c>
      <c r="O1067" s="2" t="n">
        <f aca="false">INDEX(Summary!$K$2:$K$201,MATCH($B1067,Summary!$A$2:$A$201,0))</f>
        <v>9.77</v>
      </c>
      <c r="P1067" s="3" t="n">
        <f aca="false">INDEX(Summary!$L$2:$L$201,MATCH($B1067,Summary!$A$2:$A$201,0))</f>
        <v>5</v>
      </c>
      <c r="Q1067" s="3" t="n">
        <f aca="false">INDEX(Summary!$M$2:$M$201,MATCH($B1067,Summary!$A$2:$A$201,0))</f>
        <v>1</v>
      </c>
      <c r="R1067" s="2" t="n">
        <f aca="false">INDEX(Summary!$N$2:$N$201,MATCH($B1067,Summary!$A$2:$A$201,0))</f>
        <v>10.1</v>
      </c>
      <c r="S1067" s="3" t="n">
        <f aca="false">INDEX(Summary!$O$2:$O$201,MATCH($B1067,Summary!$A$2:$A$201,0))</f>
        <v>8</v>
      </c>
      <c r="T1067" s="3" t="n">
        <f aca="false">INDEX(Summary!$P$2:$P$201,MATCH($B1067,Summary!$A$2:$A$201,0))</f>
        <v>1</v>
      </c>
      <c r="U1067" s="2" t="n">
        <f aca="false">INDEX(Summary!$Q$2:$Q$201,MATCH($B1067,Summary!$A$2:$A$201,0))</f>
        <v>11.49</v>
      </c>
      <c r="V1067" s="2" t="n">
        <f aca="false">INDEX(Summary!$R$2:$R$201,MATCH($B1067,Summary!$A$2:$A$201,0))</f>
        <v>25.13</v>
      </c>
      <c r="W1067" s="0" t="str">
        <f aca="false">INDEX(Summary!$S$2:$S$201,MATCH($B1067,Summary!$A$2:$A$201,0))</f>
        <v>Silver</v>
      </c>
      <c r="X1067" s="2" t="n">
        <f aca="false">INDEX(Summary!$T$2:$T$201,MATCH($B1067,Summary!$A$2:$A$201,0))</f>
        <v>61.29</v>
      </c>
      <c r="Y1067" s="0" t="str">
        <f aca="false">INDEX('Reward Model'!$E$18:$E$37,MATCH($E1067,'Reward Model'!$A$18:$A$37,0))</f>
        <v>Medium</v>
      </c>
      <c r="Z1067" s="4" t="n">
        <f aca="false">ROUND(MIN(1,MAX('Reward Model'!$B$2,INDEX('Reward Model'!$C$12:$C$14,MATCH($K1067,'Reward Model'!$A$12:$A$14,0))/$J1067)),3)</f>
        <v>1</v>
      </c>
      <c r="AA1067" s="2" t="n">
        <f aca="false">IF($I1067="Correct",ROUND(INDEX('Reward Model'!$B$12:$B$14,MATCH($K1067,'Reward Model'!$A$12:$A$14,0))*Z1067,2),0)</f>
        <v>1</v>
      </c>
      <c r="AB1067" s="2" t="n">
        <f aca="false">IF($I1067="Correct",ROUND(INDEX('Reward Model'!$B$12:$B$14,MATCH($Y1067,'Reward Model'!$A$12:$A$14,0))*Z1067,2),0)</f>
        <v>2</v>
      </c>
    </row>
    <row r="1068" customFormat="false" ht="15" hidden="false" customHeight="false" outlineLevel="0" collapsed="false">
      <c r="A1068" s="0" t="s">
        <v>235</v>
      </c>
      <c r="B1068" s="0" t="s">
        <v>236</v>
      </c>
      <c r="C1068" s="0" t="s">
        <v>30</v>
      </c>
      <c r="D1068" s="0" t="s">
        <v>189</v>
      </c>
      <c r="E1068" s="0" t="n">
        <v>7</v>
      </c>
      <c r="F1068" s="0" t="s">
        <v>50</v>
      </c>
      <c r="G1068" s="0" t="s">
        <v>51</v>
      </c>
      <c r="H1068" s="0" t="s">
        <v>51</v>
      </c>
      <c r="I1068" s="0" t="s">
        <v>34</v>
      </c>
      <c r="J1068" s="0" t="n">
        <v>1.16</v>
      </c>
      <c r="K1068" s="0" t="s">
        <v>35</v>
      </c>
      <c r="L1068" s="0" t="n">
        <f aca="false">INDEX(Summary!$F$2:$F$201,MATCH($B1068,Summary!$A$2:$A$201,0))</f>
        <v>20</v>
      </c>
      <c r="M1068" s="0" t="n">
        <f aca="false">INDEX(Summary!$I$2:$I$201,MATCH($B1068,Summary!$A$2:$A$201,0))</f>
        <v>1</v>
      </c>
      <c r="N1068" s="0" t="n">
        <f aca="false">INDEX(Summary!$J$2:$J$201,MATCH($B1068,Summary!$A$2:$A$201,0))</f>
        <v>4</v>
      </c>
      <c r="O1068" s="2" t="n">
        <f aca="false">INDEX(Summary!$K$2:$K$201,MATCH($B1068,Summary!$A$2:$A$201,0))</f>
        <v>9.77</v>
      </c>
      <c r="P1068" s="3" t="n">
        <f aca="false">INDEX(Summary!$L$2:$L$201,MATCH($B1068,Summary!$A$2:$A$201,0))</f>
        <v>5</v>
      </c>
      <c r="Q1068" s="3" t="n">
        <f aca="false">INDEX(Summary!$M$2:$M$201,MATCH($B1068,Summary!$A$2:$A$201,0))</f>
        <v>1</v>
      </c>
      <c r="R1068" s="2" t="n">
        <f aca="false">INDEX(Summary!$N$2:$N$201,MATCH($B1068,Summary!$A$2:$A$201,0))</f>
        <v>10.1</v>
      </c>
      <c r="S1068" s="3" t="n">
        <f aca="false">INDEX(Summary!$O$2:$O$201,MATCH($B1068,Summary!$A$2:$A$201,0))</f>
        <v>8</v>
      </c>
      <c r="T1068" s="3" t="n">
        <f aca="false">INDEX(Summary!$P$2:$P$201,MATCH($B1068,Summary!$A$2:$A$201,0))</f>
        <v>1</v>
      </c>
      <c r="U1068" s="2" t="n">
        <f aca="false">INDEX(Summary!$Q$2:$Q$201,MATCH($B1068,Summary!$A$2:$A$201,0))</f>
        <v>11.49</v>
      </c>
      <c r="V1068" s="2" t="n">
        <f aca="false">INDEX(Summary!$R$2:$R$201,MATCH($B1068,Summary!$A$2:$A$201,0))</f>
        <v>25.13</v>
      </c>
      <c r="W1068" s="0" t="str">
        <f aca="false">INDEX(Summary!$S$2:$S$201,MATCH($B1068,Summary!$A$2:$A$201,0))</f>
        <v>Silver</v>
      </c>
      <c r="X1068" s="2" t="n">
        <f aca="false">INDEX(Summary!$T$2:$T$201,MATCH($B1068,Summary!$A$2:$A$201,0))</f>
        <v>61.29</v>
      </c>
      <c r="Y1068" s="0" t="str">
        <f aca="false">INDEX('Reward Model'!$E$18:$E$37,MATCH($E1068,'Reward Model'!$A$18:$A$37,0))</f>
        <v>Low</v>
      </c>
      <c r="Z1068" s="4" t="n">
        <f aca="false">ROUND(MIN(1,MAX('Reward Model'!$B$2,INDEX('Reward Model'!$C$12:$C$14,MATCH($K1068,'Reward Model'!$A$12:$A$14,0))/$J1068)),3)</f>
        <v>1</v>
      </c>
      <c r="AA1068" s="2" t="n">
        <f aca="false">IF($I1068="Correct",ROUND(INDEX('Reward Model'!$B$12:$B$14,MATCH($K1068,'Reward Model'!$A$12:$A$14,0))*Z1068,2),0)</f>
        <v>1</v>
      </c>
      <c r="AB1068" s="2" t="n">
        <f aca="false">IF($I1068="Correct",ROUND(INDEX('Reward Model'!$B$12:$B$14,MATCH($Y1068,'Reward Model'!$A$12:$A$14,0))*Z1068,2),0)</f>
        <v>1</v>
      </c>
    </row>
    <row r="1069" customFormat="false" ht="15" hidden="false" customHeight="false" outlineLevel="0" collapsed="false">
      <c r="A1069" s="0" t="s">
        <v>235</v>
      </c>
      <c r="B1069" s="0" t="s">
        <v>236</v>
      </c>
      <c r="C1069" s="0" t="s">
        <v>30</v>
      </c>
      <c r="D1069" s="0" t="s">
        <v>189</v>
      </c>
      <c r="E1069" s="0" t="n">
        <v>8</v>
      </c>
      <c r="F1069" s="0" t="s">
        <v>52</v>
      </c>
      <c r="G1069" s="0" t="s">
        <v>54</v>
      </c>
      <c r="H1069" s="0" t="s">
        <v>54</v>
      </c>
      <c r="I1069" s="0" t="s">
        <v>34</v>
      </c>
      <c r="J1069" s="0" t="n">
        <v>1.26</v>
      </c>
      <c r="K1069" s="0" t="s">
        <v>35</v>
      </c>
      <c r="L1069" s="0" t="n">
        <f aca="false">INDEX(Summary!$F$2:$F$201,MATCH($B1069,Summary!$A$2:$A$201,0))</f>
        <v>20</v>
      </c>
      <c r="M1069" s="0" t="n">
        <f aca="false">INDEX(Summary!$I$2:$I$201,MATCH($B1069,Summary!$A$2:$A$201,0))</f>
        <v>1</v>
      </c>
      <c r="N1069" s="0" t="n">
        <f aca="false">INDEX(Summary!$J$2:$J$201,MATCH($B1069,Summary!$A$2:$A$201,0))</f>
        <v>4</v>
      </c>
      <c r="O1069" s="2" t="n">
        <f aca="false">INDEX(Summary!$K$2:$K$201,MATCH($B1069,Summary!$A$2:$A$201,0))</f>
        <v>9.77</v>
      </c>
      <c r="P1069" s="3" t="n">
        <f aca="false">INDEX(Summary!$L$2:$L$201,MATCH($B1069,Summary!$A$2:$A$201,0))</f>
        <v>5</v>
      </c>
      <c r="Q1069" s="3" t="n">
        <f aca="false">INDEX(Summary!$M$2:$M$201,MATCH($B1069,Summary!$A$2:$A$201,0))</f>
        <v>1</v>
      </c>
      <c r="R1069" s="2" t="n">
        <f aca="false">INDEX(Summary!$N$2:$N$201,MATCH($B1069,Summary!$A$2:$A$201,0))</f>
        <v>10.1</v>
      </c>
      <c r="S1069" s="3" t="n">
        <f aca="false">INDEX(Summary!$O$2:$O$201,MATCH($B1069,Summary!$A$2:$A$201,0))</f>
        <v>8</v>
      </c>
      <c r="T1069" s="3" t="n">
        <f aca="false">INDEX(Summary!$P$2:$P$201,MATCH($B1069,Summary!$A$2:$A$201,0))</f>
        <v>1</v>
      </c>
      <c r="U1069" s="2" t="n">
        <f aca="false">INDEX(Summary!$Q$2:$Q$201,MATCH($B1069,Summary!$A$2:$A$201,0))</f>
        <v>11.49</v>
      </c>
      <c r="V1069" s="2" t="n">
        <f aca="false">INDEX(Summary!$R$2:$R$201,MATCH($B1069,Summary!$A$2:$A$201,0))</f>
        <v>25.13</v>
      </c>
      <c r="W1069" s="0" t="str">
        <f aca="false">INDEX(Summary!$S$2:$S$201,MATCH($B1069,Summary!$A$2:$A$201,0))</f>
        <v>Silver</v>
      </c>
      <c r="X1069" s="2" t="n">
        <f aca="false">INDEX(Summary!$T$2:$T$201,MATCH($B1069,Summary!$A$2:$A$201,0))</f>
        <v>61.29</v>
      </c>
      <c r="Y1069" s="0" t="str">
        <f aca="false">INDEX('Reward Model'!$E$18:$E$37,MATCH($E1069,'Reward Model'!$A$18:$A$37,0))</f>
        <v>Medium</v>
      </c>
      <c r="Z1069" s="4" t="n">
        <f aca="false">ROUND(MIN(1,MAX('Reward Model'!$B$2,INDEX('Reward Model'!$C$12:$C$14,MATCH($K1069,'Reward Model'!$A$12:$A$14,0))/$J1069)),3)</f>
        <v>1</v>
      </c>
      <c r="AA1069" s="2" t="n">
        <f aca="false">IF($I1069="Correct",ROUND(INDEX('Reward Model'!$B$12:$B$14,MATCH($K1069,'Reward Model'!$A$12:$A$14,0))*Z1069,2),0)</f>
        <v>1</v>
      </c>
      <c r="AB1069" s="2" t="n">
        <f aca="false">IF($I1069="Correct",ROUND(INDEX('Reward Model'!$B$12:$B$14,MATCH($Y1069,'Reward Model'!$A$12:$A$14,0))*Z1069,2),0)</f>
        <v>2</v>
      </c>
    </row>
    <row r="1070" customFormat="false" ht="15" hidden="false" customHeight="false" outlineLevel="0" collapsed="false">
      <c r="A1070" s="0" t="s">
        <v>235</v>
      </c>
      <c r="B1070" s="0" t="s">
        <v>236</v>
      </c>
      <c r="C1070" s="0" t="s">
        <v>30</v>
      </c>
      <c r="D1070" s="0" t="s">
        <v>189</v>
      </c>
      <c r="E1070" s="0" t="n">
        <v>9</v>
      </c>
      <c r="F1070" s="0" t="s">
        <v>55</v>
      </c>
      <c r="G1070" s="0" t="s">
        <v>57</v>
      </c>
      <c r="H1070" s="0" t="s">
        <v>57</v>
      </c>
      <c r="I1070" s="0" t="s">
        <v>34</v>
      </c>
      <c r="J1070" s="0" t="n">
        <v>1.9</v>
      </c>
      <c r="K1070" s="0" t="s">
        <v>35</v>
      </c>
      <c r="L1070" s="0" t="n">
        <f aca="false">INDEX(Summary!$F$2:$F$201,MATCH($B1070,Summary!$A$2:$A$201,0))</f>
        <v>20</v>
      </c>
      <c r="M1070" s="0" t="n">
        <f aca="false">INDEX(Summary!$I$2:$I$201,MATCH($B1070,Summary!$A$2:$A$201,0))</f>
        <v>1</v>
      </c>
      <c r="N1070" s="0" t="n">
        <f aca="false">INDEX(Summary!$J$2:$J$201,MATCH($B1070,Summary!$A$2:$A$201,0))</f>
        <v>4</v>
      </c>
      <c r="O1070" s="2" t="n">
        <f aca="false">INDEX(Summary!$K$2:$K$201,MATCH($B1070,Summary!$A$2:$A$201,0))</f>
        <v>9.77</v>
      </c>
      <c r="P1070" s="3" t="n">
        <f aca="false">INDEX(Summary!$L$2:$L$201,MATCH($B1070,Summary!$A$2:$A$201,0))</f>
        <v>5</v>
      </c>
      <c r="Q1070" s="3" t="n">
        <f aca="false">INDEX(Summary!$M$2:$M$201,MATCH($B1070,Summary!$A$2:$A$201,0))</f>
        <v>1</v>
      </c>
      <c r="R1070" s="2" t="n">
        <f aca="false">INDEX(Summary!$N$2:$N$201,MATCH($B1070,Summary!$A$2:$A$201,0))</f>
        <v>10.1</v>
      </c>
      <c r="S1070" s="3" t="n">
        <f aca="false">INDEX(Summary!$O$2:$O$201,MATCH($B1070,Summary!$A$2:$A$201,0))</f>
        <v>8</v>
      </c>
      <c r="T1070" s="3" t="n">
        <f aca="false">INDEX(Summary!$P$2:$P$201,MATCH($B1070,Summary!$A$2:$A$201,0))</f>
        <v>1</v>
      </c>
      <c r="U1070" s="2" t="n">
        <f aca="false">INDEX(Summary!$Q$2:$Q$201,MATCH($B1070,Summary!$A$2:$A$201,0))</f>
        <v>11.49</v>
      </c>
      <c r="V1070" s="2" t="n">
        <f aca="false">INDEX(Summary!$R$2:$R$201,MATCH($B1070,Summary!$A$2:$A$201,0))</f>
        <v>25.13</v>
      </c>
      <c r="W1070" s="0" t="str">
        <f aca="false">INDEX(Summary!$S$2:$S$201,MATCH($B1070,Summary!$A$2:$A$201,0))</f>
        <v>Silver</v>
      </c>
      <c r="X1070" s="2" t="n">
        <f aca="false">INDEX(Summary!$T$2:$T$201,MATCH($B1070,Summary!$A$2:$A$201,0))</f>
        <v>61.29</v>
      </c>
      <c r="Y1070" s="0" t="str">
        <f aca="false">INDEX('Reward Model'!$E$18:$E$37,MATCH($E1070,'Reward Model'!$A$18:$A$37,0))</f>
        <v>Medium</v>
      </c>
      <c r="Z1070" s="4" t="n">
        <f aca="false">ROUND(MIN(1,MAX('Reward Model'!$B$2,INDEX('Reward Model'!$C$12:$C$14,MATCH($K1070,'Reward Model'!$A$12:$A$14,0))/$J1070)),3)</f>
        <v>0.789</v>
      </c>
      <c r="AA1070" s="2" t="n">
        <f aca="false">IF($I1070="Correct",ROUND(INDEX('Reward Model'!$B$12:$B$14,MATCH($K1070,'Reward Model'!$A$12:$A$14,0))*Z1070,2),0)</f>
        <v>0.79</v>
      </c>
      <c r="AB1070" s="2" t="n">
        <f aca="false">IF($I1070="Correct",ROUND(INDEX('Reward Model'!$B$12:$B$14,MATCH($Y1070,'Reward Model'!$A$12:$A$14,0))*Z1070,2),0)</f>
        <v>1.58</v>
      </c>
    </row>
    <row r="1071" customFormat="false" ht="15" hidden="false" customHeight="false" outlineLevel="0" collapsed="false">
      <c r="A1071" s="0" t="s">
        <v>235</v>
      </c>
      <c r="B1071" s="0" t="s">
        <v>236</v>
      </c>
      <c r="C1071" s="0" t="s">
        <v>30</v>
      </c>
      <c r="D1071" s="0" t="s">
        <v>189</v>
      </c>
      <c r="E1071" s="0" t="n">
        <v>10</v>
      </c>
      <c r="F1071" s="0" t="s">
        <v>58</v>
      </c>
      <c r="G1071" s="0" t="s">
        <v>59</v>
      </c>
      <c r="H1071" s="0" t="s">
        <v>59</v>
      </c>
      <c r="I1071" s="0" t="s">
        <v>34</v>
      </c>
      <c r="J1071" s="0" t="n">
        <v>1.79</v>
      </c>
      <c r="K1071" s="0" t="s">
        <v>60</v>
      </c>
      <c r="L1071" s="0" t="n">
        <f aca="false">INDEX(Summary!$F$2:$F$201,MATCH($B1071,Summary!$A$2:$A$201,0))</f>
        <v>20</v>
      </c>
      <c r="M1071" s="0" t="n">
        <f aca="false">INDEX(Summary!$I$2:$I$201,MATCH($B1071,Summary!$A$2:$A$201,0))</f>
        <v>1</v>
      </c>
      <c r="N1071" s="0" t="n">
        <f aca="false">INDEX(Summary!$J$2:$J$201,MATCH($B1071,Summary!$A$2:$A$201,0))</f>
        <v>4</v>
      </c>
      <c r="O1071" s="2" t="n">
        <f aca="false">INDEX(Summary!$K$2:$K$201,MATCH($B1071,Summary!$A$2:$A$201,0))</f>
        <v>9.77</v>
      </c>
      <c r="P1071" s="3" t="n">
        <f aca="false">INDEX(Summary!$L$2:$L$201,MATCH($B1071,Summary!$A$2:$A$201,0))</f>
        <v>5</v>
      </c>
      <c r="Q1071" s="3" t="n">
        <f aca="false">INDEX(Summary!$M$2:$M$201,MATCH($B1071,Summary!$A$2:$A$201,0))</f>
        <v>1</v>
      </c>
      <c r="R1071" s="2" t="n">
        <f aca="false">INDEX(Summary!$N$2:$N$201,MATCH($B1071,Summary!$A$2:$A$201,0))</f>
        <v>10.1</v>
      </c>
      <c r="S1071" s="3" t="n">
        <f aca="false">INDEX(Summary!$O$2:$O$201,MATCH($B1071,Summary!$A$2:$A$201,0))</f>
        <v>8</v>
      </c>
      <c r="T1071" s="3" t="n">
        <f aca="false">INDEX(Summary!$P$2:$P$201,MATCH($B1071,Summary!$A$2:$A$201,0))</f>
        <v>1</v>
      </c>
      <c r="U1071" s="2" t="n">
        <f aca="false">INDEX(Summary!$Q$2:$Q$201,MATCH($B1071,Summary!$A$2:$A$201,0))</f>
        <v>11.49</v>
      </c>
      <c r="V1071" s="2" t="n">
        <f aca="false">INDEX(Summary!$R$2:$R$201,MATCH($B1071,Summary!$A$2:$A$201,0))</f>
        <v>25.13</v>
      </c>
      <c r="W1071" s="0" t="str">
        <f aca="false">INDEX(Summary!$S$2:$S$201,MATCH($B1071,Summary!$A$2:$A$201,0))</f>
        <v>Silver</v>
      </c>
      <c r="X1071" s="2" t="n">
        <f aca="false">INDEX(Summary!$T$2:$T$201,MATCH($B1071,Summary!$A$2:$A$201,0))</f>
        <v>61.29</v>
      </c>
      <c r="Y1071" s="0" t="str">
        <f aca="false">INDEX('Reward Model'!$E$18:$E$37,MATCH($E1071,'Reward Model'!$A$18:$A$37,0))</f>
        <v>Medium</v>
      </c>
      <c r="Z1071" s="4" t="n">
        <f aca="false">ROUND(MIN(1,MAX('Reward Model'!$B$2,INDEX('Reward Model'!$C$12:$C$14,MATCH($K1071,'Reward Model'!$A$12:$A$14,0))/$J1071)),3)</f>
        <v>1</v>
      </c>
      <c r="AA1071" s="2" t="n">
        <f aca="false">IF($I1071="Correct",ROUND(INDEX('Reward Model'!$B$12:$B$14,MATCH($K1071,'Reward Model'!$A$12:$A$14,0))*Z1071,2),0)</f>
        <v>2</v>
      </c>
      <c r="AB1071" s="2" t="n">
        <f aca="false">IF($I1071="Correct",ROUND(INDEX('Reward Model'!$B$12:$B$14,MATCH($Y1071,'Reward Model'!$A$12:$A$14,0))*Z1071,2),0)</f>
        <v>2</v>
      </c>
    </row>
    <row r="1072" customFormat="false" ht="15" hidden="false" customHeight="false" outlineLevel="0" collapsed="false">
      <c r="A1072" s="0" t="s">
        <v>235</v>
      </c>
      <c r="B1072" s="0" t="s">
        <v>236</v>
      </c>
      <c r="C1072" s="0" t="s">
        <v>30</v>
      </c>
      <c r="D1072" s="0" t="s">
        <v>189</v>
      </c>
      <c r="E1072" s="0" t="n">
        <v>11</v>
      </c>
      <c r="F1072" s="0" t="s">
        <v>61</v>
      </c>
      <c r="G1072" s="0" t="s">
        <v>63</v>
      </c>
      <c r="H1072" s="0" t="s">
        <v>63</v>
      </c>
      <c r="I1072" s="0" t="s">
        <v>34</v>
      </c>
      <c r="J1072" s="0" t="n">
        <v>1.61</v>
      </c>
      <c r="K1072" s="0" t="s">
        <v>60</v>
      </c>
      <c r="L1072" s="0" t="n">
        <f aca="false">INDEX(Summary!$F$2:$F$201,MATCH($B1072,Summary!$A$2:$A$201,0))</f>
        <v>20</v>
      </c>
      <c r="M1072" s="0" t="n">
        <f aca="false">INDEX(Summary!$I$2:$I$201,MATCH($B1072,Summary!$A$2:$A$201,0))</f>
        <v>1</v>
      </c>
      <c r="N1072" s="0" t="n">
        <f aca="false">INDEX(Summary!$J$2:$J$201,MATCH($B1072,Summary!$A$2:$A$201,0))</f>
        <v>4</v>
      </c>
      <c r="O1072" s="2" t="n">
        <f aca="false">INDEX(Summary!$K$2:$K$201,MATCH($B1072,Summary!$A$2:$A$201,0))</f>
        <v>9.77</v>
      </c>
      <c r="P1072" s="3" t="n">
        <f aca="false">INDEX(Summary!$L$2:$L$201,MATCH($B1072,Summary!$A$2:$A$201,0))</f>
        <v>5</v>
      </c>
      <c r="Q1072" s="3" t="n">
        <f aca="false">INDEX(Summary!$M$2:$M$201,MATCH($B1072,Summary!$A$2:$A$201,0))</f>
        <v>1</v>
      </c>
      <c r="R1072" s="2" t="n">
        <f aca="false">INDEX(Summary!$N$2:$N$201,MATCH($B1072,Summary!$A$2:$A$201,0))</f>
        <v>10.1</v>
      </c>
      <c r="S1072" s="3" t="n">
        <f aca="false">INDEX(Summary!$O$2:$O$201,MATCH($B1072,Summary!$A$2:$A$201,0))</f>
        <v>8</v>
      </c>
      <c r="T1072" s="3" t="n">
        <f aca="false">INDEX(Summary!$P$2:$P$201,MATCH($B1072,Summary!$A$2:$A$201,0))</f>
        <v>1</v>
      </c>
      <c r="U1072" s="2" t="n">
        <f aca="false">INDEX(Summary!$Q$2:$Q$201,MATCH($B1072,Summary!$A$2:$A$201,0))</f>
        <v>11.49</v>
      </c>
      <c r="V1072" s="2" t="n">
        <f aca="false">INDEX(Summary!$R$2:$R$201,MATCH($B1072,Summary!$A$2:$A$201,0))</f>
        <v>25.13</v>
      </c>
      <c r="W1072" s="0" t="str">
        <f aca="false">INDEX(Summary!$S$2:$S$201,MATCH($B1072,Summary!$A$2:$A$201,0))</f>
        <v>Silver</v>
      </c>
      <c r="X1072" s="2" t="n">
        <f aca="false">INDEX(Summary!$T$2:$T$201,MATCH($B1072,Summary!$A$2:$A$201,0))</f>
        <v>61.29</v>
      </c>
      <c r="Y1072" s="0" t="str">
        <f aca="false">INDEX('Reward Model'!$E$18:$E$37,MATCH($E1072,'Reward Model'!$A$18:$A$37,0))</f>
        <v>Medium</v>
      </c>
      <c r="Z1072" s="4" t="n">
        <f aca="false">ROUND(MIN(1,MAX('Reward Model'!$B$2,INDEX('Reward Model'!$C$12:$C$14,MATCH($K1072,'Reward Model'!$A$12:$A$14,0))/$J1072)),3)</f>
        <v>1</v>
      </c>
      <c r="AA1072" s="2" t="n">
        <f aca="false">IF($I1072="Correct",ROUND(INDEX('Reward Model'!$B$12:$B$14,MATCH($K1072,'Reward Model'!$A$12:$A$14,0))*Z1072,2),0)</f>
        <v>2</v>
      </c>
      <c r="AB1072" s="2" t="n">
        <f aca="false">IF($I1072="Correct",ROUND(INDEX('Reward Model'!$B$12:$B$14,MATCH($Y1072,'Reward Model'!$A$12:$A$14,0))*Z1072,2),0)</f>
        <v>2</v>
      </c>
    </row>
    <row r="1073" customFormat="false" ht="15" hidden="false" customHeight="false" outlineLevel="0" collapsed="false">
      <c r="A1073" s="0" t="s">
        <v>235</v>
      </c>
      <c r="B1073" s="0" t="s">
        <v>236</v>
      </c>
      <c r="C1073" s="0" t="s">
        <v>30</v>
      </c>
      <c r="D1073" s="0" t="s">
        <v>189</v>
      </c>
      <c r="E1073" s="0" t="n">
        <v>12</v>
      </c>
      <c r="F1073" s="0" t="s">
        <v>64</v>
      </c>
      <c r="G1073" s="0" t="s">
        <v>112</v>
      </c>
      <c r="H1073" s="0" t="s">
        <v>65</v>
      </c>
      <c r="I1073" s="0" t="s">
        <v>39</v>
      </c>
      <c r="J1073" s="0" t="n">
        <v>1.43</v>
      </c>
      <c r="K1073" s="0" t="s">
        <v>60</v>
      </c>
      <c r="L1073" s="0" t="n">
        <f aca="false">INDEX(Summary!$F$2:$F$201,MATCH($B1073,Summary!$A$2:$A$201,0))</f>
        <v>20</v>
      </c>
      <c r="M1073" s="0" t="n">
        <f aca="false">INDEX(Summary!$I$2:$I$201,MATCH($B1073,Summary!$A$2:$A$201,0))</f>
        <v>1</v>
      </c>
      <c r="N1073" s="0" t="n">
        <f aca="false">INDEX(Summary!$J$2:$J$201,MATCH($B1073,Summary!$A$2:$A$201,0))</f>
        <v>4</v>
      </c>
      <c r="O1073" s="2" t="n">
        <f aca="false">INDEX(Summary!$K$2:$K$201,MATCH($B1073,Summary!$A$2:$A$201,0))</f>
        <v>9.77</v>
      </c>
      <c r="P1073" s="3" t="n">
        <f aca="false">INDEX(Summary!$L$2:$L$201,MATCH($B1073,Summary!$A$2:$A$201,0))</f>
        <v>5</v>
      </c>
      <c r="Q1073" s="3" t="n">
        <f aca="false">INDEX(Summary!$M$2:$M$201,MATCH($B1073,Summary!$A$2:$A$201,0))</f>
        <v>1</v>
      </c>
      <c r="R1073" s="2" t="n">
        <f aca="false">INDEX(Summary!$N$2:$N$201,MATCH($B1073,Summary!$A$2:$A$201,0))</f>
        <v>10.1</v>
      </c>
      <c r="S1073" s="3" t="n">
        <f aca="false">INDEX(Summary!$O$2:$O$201,MATCH($B1073,Summary!$A$2:$A$201,0))</f>
        <v>8</v>
      </c>
      <c r="T1073" s="3" t="n">
        <f aca="false">INDEX(Summary!$P$2:$P$201,MATCH($B1073,Summary!$A$2:$A$201,0))</f>
        <v>1</v>
      </c>
      <c r="U1073" s="2" t="n">
        <f aca="false">INDEX(Summary!$Q$2:$Q$201,MATCH($B1073,Summary!$A$2:$A$201,0))</f>
        <v>11.49</v>
      </c>
      <c r="V1073" s="2" t="n">
        <f aca="false">INDEX(Summary!$R$2:$R$201,MATCH($B1073,Summary!$A$2:$A$201,0))</f>
        <v>25.13</v>
      </c>
      <c r="W1073" s="0" t="str">
        <f aca="false">INDEX(Summary!$S$2:$S$201,MATCH($B1073,Summary!$A$2:$A$201,0))</f>
        <v>Silver</v>
      </c>
      <c r="X1073" s="2" t="n">
        <f aca="false">INDEX(Summary!$T$2:$T$201,MATCH($B1073,Summary!$A$2:$A$201,0))</f>
        <v>61.29</v>
      </c>
      <c r="Y1073" s="0" t="str">
        <f aca="false">INDEX('Reward Model'!$E$18:$E$37,MATCH($E1073,'Reward Model'!$A$18:$A$37,0))</f>
        <v>Medium</v>
      </c>
      <c r="Z1073" s="4" t="n">
        <f aca="false">ROUND(MIN(1,MAX('Reward Model'!$B$2,INDEX('Reward Model'!$C$12:$C$14,MATCH($K1073,'Reward Model'!$A$12:$A$14,0))/$J1073)),3)</f>
        <v>1</v>
      </c>
      <c r="AA1073" s="2" t="n">
        <f aca="false">IF($I1073="Correct",ROUND(INDEX('Reward Model'!$B$12:$B$14,MATCH($K1073,'Reward Model'!$A$12:$A$14,0))*Z1073,2),0)</f>
        <v>0</v>
      </c>
      <c r="AB1073" s="2" t="n">
        <f aca="false">IF($I1073="Correct",ROUND(INDEX('Reward Model'!$B$12:$B$14,MATCH($Y1073,'Reward Model'!$A$12:$A$14,0))*Z1073,2),0)</f>
        <v>0</v>
      </c>
    </row>
    <row r="1074" customFormat="false" ht="15" hidden="false" customHeight="false" outlineLevel="0" collapsed="false">
      <c r="A1074" s="0" t="s">
        <v>235</v>
      </c>
      <c r="B1074" s="0" t="s">
        <v>236</v>
      </c>
      <c r="C1074" s="0" t="s">
        <v>30</v>
      </c>
      <c r="D1074" s="0" t="s">
        <v>189</v>
      </c>
      <c r="E1074" s="0" t="n">
        <v>13</v>
      </c>
      <c r="F1074" s="0" t="s">
        <v>66</v>
      </c>
      <c r="G1074" s="0" t="s">
        <v>67</v>
      </c>
      <c r="H1074" s="0" t="s">
        <v>67</v>
      </c>
      <c r="I1074" s="0" t="s">
        <v>34</v>
      </c>
      <c r="J1074" s="0" t="n">
        <v>1.44</v>
      </c>
      <c r="K1074" s="0" t="s">
        <v>60</v>
      </c>
      <c r="L1074" s="0" t="n">
        <f aca="false">INDEX(Summary!$F$2:$F$201,MATCH($B1074,Summary!$A$2:$A$201,0))</f>
        <v>20</v>
      </c>
      <c r="M1074" s="0" t="n">
        <f aca="false">INDEX(Summary!$I$2:$I$201,MATCH($B1074,Summary!$A$2:$A$201,0))</f>
        <v>1</v>
      </c>
      <c r="N1074" s="0" t="n">
        <f aca="false">INDEX(Summary!$J$2:$J$201,MATCH($B1074,Summary!$A$2:$A$201,0))</f>
        <v>4</v>
      </c>
      <c r="O1074" s="2" t="n">
        <f aca="false">INDEX(Summary!$K$2:$K$201,MATCH($B1074,Summary!$A$2:$A$201,0))</f>
        <v>9.77</v>
      </c>
      <c r="P1074" s="3" t="n">
        <f aca="false">INDEX(Summary!$L$2:$L$201,MATCH($B1074,Summary!$A$2:$A$201,0))</f>
        <v>5</v>
      </c>
      <c r="Q1074" s="3" t="n">
        <f aca="false">INDEX(Summary!$M$2:$M$201,MATCH($B1074,Summary!$A$2:$A$201,0))</f>
        <v>1</v>
      </c>
      <c r="R1074" s="2" t="n">
        <f aca="false">INDEX(Summary!$N$2:$N$201,MATCH($B1074,Summary!$A$2:$A$201,0))</f>
        <v>10.1</v>
      </c>
      <c r="S1074" s="3" t="n">
        <f aca="false">INDEX(Summary!$O$2:$O$201,MATCH($B1074,Summary!$A$2:$A$201,0))</f>
        <v>8</v>
      </c>
      <c r="T1074" s="3" t="n">
        <f aca="false">INDEX(Summary!$P$2:$P$201,MATCH($B1074,Summary!$A$2:$A$201,0))</f>
        <v>1</v>
      </c>
      <c r="U1074" s="2" t="n">
        <f aca="false">INDEX(Summary!$Q$2:$Q$201,MATCH($B1074,Summary!$A$2:$A$201,0))</f>
        <v>11.49</v>
      </c>
      <c r="V1074" s="2" t="n">
        <f aca="false">INDEX(Summary!$R$2:$R$201,MATCH($B1074,Summary!$A$2:$A$201,0))</f>
        <v>25.13</v>
      </c>
      <c r="W1074" s="0" t="str">
        <f aca="false">INDEX(Summary!$S$2:$S$201,MATCH($B1074,Summary!$A$2:$A$201,0))</f>
        <v>Silver</v>
      </c>
      <c r="X1074" s="2" t="n">
        <f aca="false">INDEX(Summary!$T$2:$T$201,MATCH($B1074,Summary!$A$2:$A$201,0))</f>
        <v>61.29</v>
      </c>
      <c r="Y1074" s="0" t="str">
        <f aca="false">INDEX('Reward Model'!$E$18:$E$37,MATCH($E1074,'Reward Model'!$A$18:$A$37,0))</f>
        <v>Medium</v>
      </c>
      <c r="Z1074" s="4" t="n">
        <f aca="false">ROUND(MIN(1,MAX('Reward Model'!$B$2,INDEX('Reward Model'!$C$12:$C$14,MATCH($K1074,'Reward Model'!$A$12:$A$14,0))/$J1074)),3)</f>
        <v>1</v>
      </c>
      <c r="AA1074" s="2" t="n">
        <f aca="false">IF($I1074="Correct",ROUND(INDEX('Reward Model'!$B$12:$B$14,MATCH($K1074,'Reward Model'!$A$12:$A$14,0))*Z1074,2),0)</f>
        <v>2</v>
      </c>
      <c r="AB1074" s="2" t="n">
        <f aca="false">IF($I1074="Correct",ROUND(INDEX('Reward Model'!$B$12:$B$14,MATCH($Y1074,'Reward Model'!$A$12:$A$14,0))*Z1074,2),0)</f>
        <v>2</v>
      </c>
    </row>
    <row r="1075" customFormat="false" ht="15" hidden="false" customHeight="false" outlineLevel="0" collapsed="false">
      <c r="A1075" s="0" t="s">
        <v>235</v>
      </c>
      <c r="B1075" s="0" t="s">
        <v>236</v>
      </c>
      <c r="C1075" s="0" t="s">
        <v>30</v>
      </c>
      <c r="D1075" s="0" t="s">
        <v>189</v>
      </c>
      <c r="E1075" s="0" t="n">
        <v>14</v>
      </c>
      <c r="F1075" s="0" t="s">
        <v>68</v>
      </c>
      <c r="G1075" s="0" t="s">
        <v>51</v>
      </c>
      <c r="H1075" s="0" t="s">
        <v>51</v>
      </c>
      <c r="I1075" s="0" t="s">
        <v>34</v>
      </c>
      <c r="J1075" s="0" t="n">
        <v>1.76</v>
      </c>
      <c r="K1075" s="0" t="s">
        <v>60</v>
      </c>
      <c r="L1075" s="0" t="n">
        <f aca="false">INDEX(Summary!$F$2:$F$201,MATCH($B1075,Summary!$A$2:$A$201,0))</f>
        <v>20</v>
      </c>
      <c r="M1075" s="0" t="n">
        <f aca="false">INDEX(Summary!$I$2:$I$201,MATCH($B1075,Summary!$A$2:$A$201,0))</f>
        <v>1</v>
      </c>
      <c r="N1075" s="0" t="n">
        <f aca="false">INDEX(Summary!$J$2:$J$201,MATCH($B1075,Summary!$A$2:$A$201,0))</f>
        <v>4</v>
      </c>
      <c r="O1075" s="2" t="n">
        <f aca="false">INDEX(Summary!$K$2:$K$201,MATCH($B1075,Summary!$A$2:$A$201,0))</f>
        <v>9.77</v>
      </c>
      <c r="P1075" s="3" t="n">
        <f aca="false">INDEX(Summary!$L$2:$L$201,MATCH($B1075,Summary!$A$2:$A$201,0))</f>
        <v>5</v>
      </c>
      <c r="Q1075" s="3" t="n">
        <f aca="false">INDEX(Summary!$M$2:$M$201,MATCH($B1075,Summary!$A$2:$A$201,0))</f>
        <v>1</v>
      </c>
      <c r="R1075" s="2" t="n">
        <f aca="false">INDEX(Summary!$N$2:$N$201,MATCH($B1075,Summary!$A$2:$A$201,0))</f>
        <v>10.1</v>
      </c>
      <c r="S1075" s="3" t="n">
        <f aca="false">INDEX(Summary!$O$2:$O$201,MATCH($B1075,Summary!$A$2:$A$201,0))</f>
        <v>8</v>
      </c>
      <c r="T1075" s="3" t="n">
        <f aca="false">INDEX(Summary!$P$2:$P$201,MATCH($B1075,Summary!$A$2:$A$201,0))</f>
        <v>1</v>
      </c>
      <c r="U1075" s="2" t="n">
        <f aca="false">INDEX(Summary!$Q$2:$Q$201,MATCH($B1075,Summary!$A$2:$A$201,0))</f>
        <v>11.49</v>
      </c>
      <c r="V1075" s="2" t="n">
        <f aca="false">INDEX(Summary!$R$2:$R$201,MATCH($B1075,Summary!$A$2:$A$201,0))</f>
        <v>25.13</v>
      </c>
      <c r="W1075" s="0" t="str">
        <f aca="false">INDEX(Summary!$S$2:$S$201,MATCH($B1075,Summary!$A$2:$A$201,0))</f>
        <v>Silver</v>
      </c>
      <c r="X1075" s="2" t="n">
        <f aca="false">INDEX(Summary!$T$2:$T$201,MATCH($B1075,Summary!$A$2:$A$201,0))</f>
        <v>61.29</v>
      </c>
      <c r="Y1075" s="0" t="str">
        <f aca="false">INDEX('Reward Model'!$E$18:$E$37,MATCH($E1075,'Reward Model'!$A$18:$A$37,0))</f>
        <v>Medium</v>
      </c>
      <c r="Z1075" s="4" t="n">
        <f aca="false">ROUND(MIN(1,MAX('Reward Model'!$B$2,INDEX('Reward Model'!$C$12:$C$14,MATCH($K1075,'Reward Model'!$A$12:$A$14,0))/$J1075)),3)</f>
        <v>1</v>
      </c>
      <c r="AA1075" s="2" t="n">
        <f aca="false">IF($I1075="Correct",ROUND(INDEX('Reward Model'!$B$12:$B$14,MATCH($K1075,'Reward Model'!$A$12:$A$14,0))*Z1075,2),0)</f>
        <v>2</v>
      </c>
      <c r="AB1075" s="2" t="n">
        <f aca="false">IF($I1075="Correct",ROUND(INDEX('Reward Model'!$B$12:$B$14,MATCH($Y1075,'Reward Model'!$A$12:$A$14,0))*Z1075,2),0)</f>
        <v>2</v>
      </c>
    </row>
    <row r="1076" customFormat="false" ht="15" hidden="false" customHeight="false" outlineLevel="0" collapsed="false">
      <c r="A1076" s="0" t="s">
        <v>235</v>
      </c>
      <c r="B1076" s="0" t="s">
        <v>236</v>
      </c>
      <c r="C1076" s="0" t="s">
        <v>30</v>
      </c>
      <c r="D1076" s="0" t="s">
        <v>189</v>
      </c>
      <c r="E1076" s="0" t="n">
        <v>15</v>
      </c>
      <c r="F1076" s="0" t="s">
        <v>69</v>
      </c>
      <c r="G1076" s="0" t="s">
        <v>70</v>
      </c>
      <c r="H1076" s="0" t="s">
        <v>70</v>
      </c>
      <c r="I1076" s="0" t="s">
        <v>34</v>
      </c>
      <c r="J1076" s="0" t="n">
        <v>2.07</v>
      </c>
      <c r="K1076" s="0" t="s">
        <v>60</v>
      </c>
      <c r="L1076" s="0" t="n">
        <f aca="false">INDEX(Summary!$F$2:$F$201,MATCH($B1076,Summary!$A$2:$A$201,0))</f>
        <v>20</v>
      </c>
      <c r="M1076" s="0" t="n">
        <f aca="false">INDEX(Summary!$I$2:$I$201,MATCH($B1076,Summary!$A$2:$A$201,0))</f>
        <v>1</v>
      </c>
      <c r="N1076" s="0" t="n">
        <f aca="false">INDEX(Summary!$J$2:$J$201,MATCH($B1076,Summary!$A$2:$A$201,0))</f>
        <v>4</v>
      </c>
      <c r="O1076" s="2" t="n">
        <f aca="false">INDEX(Summary!$K$2:$K$201,MATCH($B1076,Summary!$A$2:$A$201,0))</f>
        <v>9.77</v>
      </c>
      <c r="P1076" s="3" t="n">
        <f aca="false">INDEX(Summary!$L$2:$L$201,MATCH($B1076,Summary!$A$2:$A$201,0))</f>
        <v>5</v>
      </c>
      <c r="Q1076" s="3" t="n">
        <f aca="false">INDEX(Summary!$M$2:$M$201,MATCH($B1076,Summary!$A$2:$A$201,0))</f>
        <v>1</v>
      </c>
      <c r="R1076" s="2" t="n">
        <f aca="false">INDEX(Summary!$N$2:$N$201,MATCH($B1076,Summary!$A$2:$A$201,0))</f>
        <v>10.1</v>
      </c>
      <c r="S1076" s="3" t="n">
        <f aca="false">INDEX(Summary!$O$2:$O$201,MATCH($B1076,Summary!$A$2:$A$201,0))</f>
        <v>8</v>
      </c>
      <c r="T1076" s="3" t="n">
        <f aca="false">INDEX(Summary!$P$2:$P$201,MATCH($B1076,Summary!$A$2:$A$201,0))</f>
        <v>1</v>
      </c>
      <c r="U1076" s="2" t="n">
        <f aca="false">INDEX(Summary!$Q$2:$Q$201,MATCH($B1076,Summary!$A$2:$A$201,0))</f>
        <v>11.49</v>
      </c>
      <c r="V1076" s="2" t="n">
        <f aca="false">INDEX(Summary!$R$2:$R$201,MATCH($B1076,Summary!$A$2:$A$201,0))</f>
        <v>25.13</v>
      </c>
      <c r="W1076" s="0" t="str">
        <f aca="false">INDEX(Summary!$S$2:$S$201,MATCH($B1076,Summary!$A$2:$A$201,0))</f>
        <v>Silver</v>
      </c>
      <c r="X1076" s="2" t="n">
        <f aca="false">INDEX(Summary!$T$2:$T$201,MATCH($B1076,Summary!$A$2:$A$201,0))</f>
        <v>61.29</v>
      </c>
      <c r="Y1076" s="0" t="str">
        <f aca="false">INDEX('Reward Model'!$E$18:$E$37,MATCH($E1076,'Reward Model'!$A$18:$A$37,0))</f>
        <v>Medium</v>
      </c>
      <c r="Z1076" s="4" t="n">
        <f aca="false">ROUND(MIN(1,MAX('Reward Model'!$B$2,INDEX('Reward Model'!$C$12:$C$14,MATCH($K1076,'Reward Model'!$A$12:$A$14,0))/$J1076)),3)</f>
        <v>0.87</v>
      </c>
      <c r="AA1076" s="2" t="n">
        <f aca="false">IF($I1076="Correct",ROUND(INDEX('Reward Model'!$B$12:$B$14,MATCH($K1076,'Reward Model'!$A$12:$A$14,0))*Z1076,2),0)</f>
        <v>1.74</v>
      </c>
      <c r="AB1076" s="2" t="n">
        <f aca="false">IF($I1076="Correct",ROUND(INDEX('Reward Model'!$B$12:$B$14,MATCH($Y1076,'Reward Model'!$A$12:$A$14,0))*Z1076,2),0)</f>
        <v>1.74</v>
      </c>
    </row>
    <row r="1077" customFormat="false" ht="15" hidden="false" customHeight="false" outlineLevel="0" collapsed="false">
      <c r="A1077" s="0" t="s">
        <v>235</v>
      </c>
      <c r="B1077" s="0" t="s">
        <v>236</v>
      </c>
      <c r="C1077" s="0" t="s">
        <v>30</v>
      </c>
      <c r="D1077" s="0" t="s">
        <v>189</v>
      </c>
      <c r="E1077" s="0" t="n">
        <v>16</v>
      </c>
      <c r="F1077" s="0" t="s">
        <v>71</v>
      </c>
      <c r="G1077" s="0" t="s">
        <v>87</v>
      </c>
      <c r="H1077" s="0" t="s">
        <v>72</v>
      </c>
      <c r="I1077" s="0" t="s">
        <v>39</v>
      </c>
      <c r="J1077" s="0" t="n">
        <v>2.31</v>
      </c>
      <c r="K1077" s="0" t="s">
        <v>73</v>
      </c>
      <c r="L1077" s="0" t="n">
        <f aca="false">INDEX(Summary!$F$2:$F$201,MATCH($B1077,Summary!$A$2:$A$201,0))</f>
        <v>20</v>
      </c>
      <c r="M1077" s="0" t="n">
        <f aca="false">INDEX(Summary!$I$2:$I$201,MATCH($B1077,Summary!$A$2:$A$201,0))</f>
        <v>1</v>
      </c>
      <c r="N1077" s="0" t="n">
        <f aca="false">INDEX(Summary!$J$2:$J$201,MATCH($B1077,Summary!$A$2:$A$201,0))</f>
        <v>4</v>
      </c>
      <c r="O1077" s="2" t="n">
        <f aca="false">INDEX(Summary!$K$2:$K$201,MATCH($B1077,Summary!$A$2:$A$201,0))</f>
        <v>9.77</v>
      </c>
      <c r="P1077" s="3" t="n">
        <f aca="false">INDEX(Summary!$L$2:$L$201,MATCH($B1077,Summary!$A$2:$A$201,0))</f>
        <v>5</v>
      </c>
      <c r="Q1077" s="3" t="n">
        <f aca="false">INDEX(Summary!$M$2:$M$201,MATCH($B1077,Summary!$A$2:$A$201,0))</f>
        <v>1</v>
      </c>
      <c r="R1077" s="2" t="n">
        <f aca="false">INDEX(Summary!$N$2:$N$201,MATCH($B1077,Summary!$A$2:$A$201,0))</f>
        <v>10.1</v>
      </c>
      <c r="S1077" s="3" t="n">
        <f aca="false">INDEX(Summary!$O$2:$O$201,MATCH($B1077,Summary!$A$2:$A$201,0))</f>
        <v>8</v>
      </c>
      <c r="T1077" s="3" t="n">
        <f aca="false">INDEX(Summary!$P$2:$P$201,MATCH($B1077,Summary!$A$2:$A$201,0))</f>
        <v>1</v>
      </c>
      <c r="U1077" s="2" t="n">
        <f aca="false">INDEX(Summary!$Q$2:$Q$201,MATCH($B1077,Summary!$A$2:$A$201,0))</f>
        <v>11.49</v>
      </c>
      <c r="V1077" s="2" t="n">
        <f aca="false">INDEX(Summary!$R$2:$R$201,MATCH($B1077,Summary!$A$2:$A$201,0))</f>
        <v>25.13</v>
      </c>
      <c r="W1077" s="0" t="str">
        <f aca="false">INDEX(Summary!$S$2:$S$201,MATCH($B1077,Summary!$A$2:$A$201,0))</f>
        <v>Silver</v>
      </c>
      <c r="X1077" s="2" t="n">
        <f aca="false">INDEX(Summary!$T$2:$T$201,MATCH($B1077,Summary!$A$2:$A$201,0))</f>
        <v>61.29</v>
      </c>
      <c r="Y1077" s="0" t="str">
        <f aca="false">INDEX('Reward Model'!$E$18:$E$37,MATCH($E1077,'Reward Model'!$A$18:$A$37,0))</f>
        <v>High</v>
      </c>
      <c r="Z1077" s="4" t="n">
        <f aca="false">ROUND(MIN(1,MAX('Reward Model'!$B$2,INDEX('Reward Model'!$C$12:$C$14,MATCH($K1077,'Reward Model'!$A$12:$A$14,0))/$J1077)),3)</f>
        <v>0.866</v>
      </c>
      <c r="AA1077" s="2" t="n">
        <f aca="false">IF($I1077="Correct",ROUND(INDEX('Reward Model'!$B$12:$B$14,MATCH($K1077,'Reward Model'!$A$12:$A$14,0))*Z1077,2),0)</f>
        <v>0</v>
      </c>
      <c r="AB1077" s="2" t="n">
        <f aca="false">IF($I1077="Correct",ROUND(INDEX('Reward Model'!$B$12:$B$14,MATCH($Y1077,'Reward Model'!$A$12:$A$14,0))*Z1077,2),0)</f>
        <v>0</v>
      </c>
    </row>
    <row r="1078" customFormat="false" ht="15" hidden="false" customHeight="false" outlineLevel="0" collapsed="false">
      <c r="A1078" s="0" t="s">
        <v>235</v>
      </c>
      <c r="B1078" s="0" t="s">
        <v>236</v>
      </c>
      <c r="C1078" s="0" t="s">
        <v>30</v>
      </c>
      <c r="D1078" s="0" t="s">
        <v>189</v>
      </c>
      <c r="E1078" s="0" t="n">
        <v>17</v>
      </c>
      <c r="F1078" s="0" t="s">
        <v>74</v>
      </c>
      <c r="G1078" s="0" t="s">
        <v>75</v>
      </c>
      <c r="H1078" s="0" t="s">
        <v>75</v>
      </c>
      <c r="I1078" s="0" t="s">
        <v>34</v>
      </c>
      <c r="J1078" s="0" t="n">
        <v>1.77</v>
      </c>
      <c r="K1078" s="0" t="s">
        <v>73</v>
      </c>
      <c r="L1078" s="0" t="n">
        <f aca="false">INDEX(Summary!$F$2:$F$201,MATCH($B1078,Summary!$A$2:$A$201,0))</f>
        <v>20</v>
      </c>
      <c r="M1078" s="0" t="n">
        <f aca="false">INDEX(Summary!$I$2:$I$201,MATCH($B1078,Summary!$A$2:$A$201,0))</f>
        <v>1</v>
      </c>
      <c r="N1078" s="0" t="n">
        <f aca="false">INDEX(Summary!$J$2:$J$201,MATCH($B1078,Summary!$A$2:$A$201,0))</f>
        <v>4</v>
      </c>
      <c r="O1078" s="2" t="n">
        <f aca="false">INDEX(Summary!$K$2:$K$201,MATCH($B1078,Summary!$A$2:$A$201,0))</f>
        <v>9.77</v>
      </c>
      <c r="P1078" s="3" t="n">
        <f aca="false">INDEX(Summary!$L$2:$L$201,MATCH($B1078,Summary!$A$2:$A$201,0))</f>
        <v>5</v>
      </c>
      <c r="Q1078" s="3" t="n">
        <f aca="false">INDEX(Summary!$M$2:$M$201,MATCH($B1078,Summary!$A$2:$A$201,0))</f>
        <v>1</v>
      </c>
      <c r="R1078" s="2" t="n">
        <f aca="false">INDEX(Summary!$N$2:$N$201,MATCH($B1078,Summary!$A$2:$A$201,0))</f>
        <v>10.1</v>
      </c>
      <c r="S1078" s="3" t="n">
        <f aca="false">INDEX(Summary!$O$2:$O$201,MATCH($B1078,Summary!$A$2:$A$201,0))</f>
        <v>8</v>
      </c>
      <c r="T1078" s="3" t="n">
        <f aca="false">INDEX(Summary!$P$2:$P$201,MATCH($B1078,Summary!$A$2:$A$201,0))</f>
        <v>1</v>
      </c>
      <c r="U1078" s="2" t="n">
        <f aca="false">INDEX(Summary!$Q$2:$Q$201,MATCH($B1078,Summary!$A$2:$A$201,0))</f>
        <v>11.49</v>
      </c>
      <c r="V1078" s="2" t="n">
        <f aca="false">INDEX(Summary!$R$2:$R$201,MATCH($B1078,Summary!$A$2:$A$201,0))</f>
        <v>25.13</v>
      </c>
      <c r="W1078" s="0" t="str">
        <f aca="false">INDEX(Summary!$S$2:$S$201,MATCH($B1078,Summary!$A$2:$A$201,0))</f>
        <v>Silver</v>
      </c>
      <c r="X1078" s="2" t="n">
        <f aca="false">INDEX(Summary!$T$2:$T$201,MATCH($B1078,Summary!$A$2:$A$201,0))</f>
        <v>61.29</v>
      </c>
      <c r="Y1078" s="0" t="str">
        <f aca="false">INDEX('Reward Model'!$E$18:$E$37,MATCH($E1078,'Reward Model'!$A$18:$A$37,0))</f>
        <v>High</v>
      </c>
      <c r="Z1078" s="4" t="n">
        <f aca="false">ROUND(MIN(1,MAX('Reward Model'!$B$2,INDEX('Reward Model'!$C$12:$C$14,MATCH($K1078,'Reward Model'!$A$12:$A$14,0))/$J1078)),3)</f>
        <v>1</v>
      </c>
      <c r="AA1078" s="2" t="n">
        <f aca="false">IF($I1078="Correct",ROUND(INDEX('Reward Model'!$B$12:$B$14,MATCH($K1078,'Reward Model'!$A$12:$A$14,0))*Z1078,2),0)</f>
        <v>3</v>
      </c>
      <c r="AB1078" s="2" t="n">
        <f aca="false">IF($I1078="Correct",ROUND(INDEX('Reward Model'!$B$12:$B$14,MATCH($Y1078,'Reward Model'!$A$12:$A$14,0))*Z1078,2),0)</f>
        <v>3</v>
      </c>
    </row>
    <row r="1079" customFormat="false" ht="15" hidden="false" customHeight="false" outlineLevel="0" collapsed="false">
      <c r="A1079" s="0" t="s">
        <v>235</v>
      </c>
      <c r="B1079" s="0" t="s">
        <v>236</v>
      </c>
      <c r="C1079" s="0" t="s">
        <v>30</v>
      </c>
      <c r="D1079" s="0" t="s">
        <v>189</v>
      </c>
      <c r="E1079" s="0" t="n">
        <v>18</v>
      </c>
      <c r="F1079" s="0" t="s">
        <v>76</v>
      </c>
      <c r="G1079" s="0" t="s">
        <v>88</v>
      </c>
      <c r="H1079" s="0" t="s">
        <v>77</v>
      </c>
      <c r="I1079" s="0" t="s">
        <v>39</v>
      </c>
      <c r="J1079" s="0" t="n">
        <v>1.47</v>
      </c>
      <c r="K1079" s="0" t="s">
        <v>73</v>
      </c>
      <c r="L1079" s="0" t="n">
        <f aca="false">INDEX(Summary!$F$2:$F$201,MATCH($B1079,Summary!$A$2:$A$201,0))</f>
        <v>20</v>
      </c>
      <c r="M1079" s="0" t="n">
        <f aca="false">INDEX(Summary!$I$2:$I$201,MATCH($B1079,Summary!$A$2:$A$201,0))</f>
        <v>1</v>
      </c>
      <c r="N1079" s="0" t="n">
        <f aca="false">INDEX(Summary!$J$2:$J$201,MATCH($B1079,Summary!$A$2:$A$201,0))</f>
        <v>4</v>
      </c>
      <c r="O1079" s="2" t="n">
        <f aca="false">INDEX(Summary!$K$2:$K$201,MATCH($B1079,Summary!$A$2:$A$201,0))</f>
        <v>9.77</v>
      </c>
      <c r="P1079" s="3" t="n">
        <f aca="false">INDEX(Summary!$L$2:$L$201,MATCH($B1079,Summary!$A$2:$A$201,0))</f>
        <v>5</v>
      </c>
      <c r="Q1079" s="3" t="n">
        <f aca="false">INDEX(Summary!$M$2:$M$201,MATCH($B1079,Summary!$A$2:$A$201,0))</f>
        <v>1</v>
      </c>
      <c r="R1079" s="2" t="n">
        <f aca="false">INDEX(Summary!$N$2:$N$201,MATCH($B1079,Summary!$A$2:$A$201,0))</f>
        <v>10.1</v>
      </c>
      <c r="S1079" s="3" t="n">
        <f aca="false">INDEX(Summary!$O$2:$O$201,MATCH($B1079,Summary!$A$2:$A$201,0))</f>
        <v>8</v>
      </c>
      <c r="T1079" s="3" t="n">
        <f aca="false">INDEX(Summary!$P$2:$P$201,MATCH($B1079,Summary!$A$2:$A$201,0))</f>
        <v>1</v>
      </c>
      <c r="U1079" s="2" t="n">
        <f aca="false">INDEX(Summary!$Q$2:$Q$201,MATCH($B1079,Summary!$A$2:$A$201,0))</f>
        <v>11.49</v>
      </c>
      <c r="V1079" s="2" t="n">
        <f aca="false">INDEX(Summary!$R$2:$R$201,MATCH($B1079,Summary!$A$2:$A$201,0))</f>
        <v>25.13</v>
      </c>
      <c r="W1079" s="0" t="str">
        <f aca="false">INDEX(Summary!$S$2:$S$201,MATCH($B1079,Summary!$A$2:$A$201,0))</f>
        <v>Silver</v>
      </c>
      <c r="X1079" s="2" t="n">
        <f aca="false">INDEX(Summary!$T$2:$T$201,MATCH($B1079,Summary!$A$2:$A$201,0))</f>
        <v>61.29</v>
      </c>
      <c r="Y1079" s="0" t="str">
        <f aca="false">INDEX('Reward Model'!$E$18:$E$37,MATCH($E1079,'Reward Model'!$A$18:$A$37,0))</f>
        <v>High</v>
      </c>
      <c r="Z1079" s="4" t="n">
        <f aca="false">ROUND(MIN(1,MAX('Reward Model'!$B$2,INDEX('Reward Model'!$C$12:$C$14,MATCH($K1079,'Reward Model'!$A$12:$A$14,0))/$J1079)),3)</f>
        <v>1</v>
      </c>
      <c r="AA1079" s="2" t="n">
        <f aca="false">IF($I1079="Correct",ROUND(INDEX('Reward Model'!$B$12:$B$14,MATCH($K1079,'Reward Model'!$A$12:$A$14,0))*Z1079,2),0)</f>
        <v>0</v>
      </c>
      <c r="AB1079" s="2" t="n">
        <f aca="false">IF($I1079="Correct",ROUND(INDEX('Reward Model'!$B$12:$B$14,MATCH($Y1079,'Reward Model'!$A$12:$A$14,0))*Z1079,2),0)</f>
        <v>0</v>
      </c>
    </row>
    <row r="1080" customFormat="false" ht="15" hidden="false" customHeight="false" outlineLevel="0" collapsed="false">
      <c r="A1080" s="0" t="s">
        <v>235</v>
      </c>
      <c r="B1080" s="0" t="s">
        <v>236</v>
      </c>
      <c r="C1080" s="0" t="s">
        <v>30</v>
      </c>
      <c r="D1080" s="0" t="s">
        <v>189</v>
      </c>
      <c r="E1080" s="0" t="n">
        <v>19</v>
      </c>
      <c r="F1080" s="0" t="s">
        <v>78</v>
      </c>
      <c r="G1080" s="0" t="s">
        <v>79</v>
      </c>
      <c r="H1080" s="0" t="s">
        <v>80</v>
      </c>
      <c r="I1080" s="0" t="s">
        <v>39</v>
      </c>
      <c r="J1080" s="0" t="n">
        <v>2.3</v>
      </c>
      <c r="K1080" s="0" t="s">
        <v>73</v>
      </c>
      <c r="L1080" s="0" t="n">
        <f aca="false">INDEX(Summary!$F$2:$F$201,MATCH($B1080,Summary!$A$2:$A$201,0))</f>
        <v>20</v>
      </c>
      <c r="M1080" s="0" t="n">
        <f aca="false">INDEX(Summary!$I$2:$I$201,MATCH($B1080,Summary!$A$2:$A$201,0))</f>
        <v>1</v>
      </c>
      <c r="N1080" s="0" t="n">
        <f aca="false">INDEX(Summary!$J$2:$J$201,MATCH($B1080,Summary!$A$2:$A$201,0))</f>
        <v>4</v>
      </c>
      <c r="O1080" s="2" t="n">
        <f aca="false">INDEX(Summary!$K$2:$K$201,MATCH($B1080,Summary!$A$2:$A$201,0))</f>
        <v>9.77</v>
      </c>
      <c r="P1080" s="3" t="n">
        <f aca="false">INDEX(Summary!$L$2:$L$201,MATCH($B1080,Summary!$A$2:$A$201,0))</f>
        <v>5</v>
      </c>
      <c r="Q1080" s="3" t="n">
        <f aca="false">INDEX(Summary!$M$2:$M$201,MATCH($B1080,Summary!$A$2:$A$201,0))</f>
        <v>1</v>
      </c>
      <c r="R1080" s="2" t="n">
        <f aca="false">INDEX(Summary!$N$2:$N$201,MATCH($B1080,Summary!$A$2:$A$201,0))</f>
        <v>10.1</v>
      </c>
      <c r="S1080" s="3" t="n">
        <f aca="false">INDEX(Summary!$O$2:$O$201,MATCH($B1080,Summary!$A$2:$A$201,0))</f>
        <v>8</v>
      </c>
      <c r="T1080" s="3" t="n">
        <f aca="false">INDEX(Summary!$P$2:$P$201,MATCH($B1080,Summary!$A$2:$A$201,0))</f>
        <v>1</v>
      </c>
      <c r="U1080" s="2" t="n">
        <f aca="false">INDEX(Summary!$Q$2:$Q$201,MATCH($B1080,Summary!$A$2:$A$201,0))</f>
        <v>11.49</v>
      </c>
      <c r="V1080" s="2" t="n">
        <f aca="false">INDEX(Summary!$R$2:$R$201,MATCH($B1080,Summary!$A$2:$A$201,0))</f>
        <v>25.13</v>
      </c>
      <c r="W1080" s="0" t="str">
        <f aca="false">INDEX(Summary!$S$2:$S$201,MATCH($B1080,Summary!$A$2:$A$201,0))</f>
        <v>Silver</v>
      </c>
      <c r="X1080" s="2" t="n">
        <f aca="false">INDEX(Summary!$T$2:$T$201,MATCH($B1080,Summary!$A$2:$A$201,0))</f>
        <v>61.29</v>
      </c>
      <c r="Y1080" s="0" t="str">
        <f aca="false">INDEX('Reward Model'!$E$18:$E$37,MATCH($E1080,'Reward Model'!$A$18:$A$37,0))</f>
        <v>High</v>
      </c>
      <c r="Z1080" s="4" t="n">
        <f aca="false">ROUND(MIN(1,MAX('Reward Model'!$B$2,INDEX('Reward Model'!$C$12:$C$14,MATCH($K1080,'Reward Model'!$A$12:$A$14,0))/$J1080)),3)</f>
        <v>0.87</v>
      </c>
      <c r="AA1080" s="2" t="n">
        <f aca="false">IF($I1080="Correct",ROUND(INDEX('Reward Model'!$B$12:$B$14,MATCH($K1080,'Reward Model'!$A$12:$A$14,0))*Z1080,2),0)</f>
        <v>0</v>
      </c>
      <c r="AB1080" s="2" t="n">
        <f aca="false">IF($I1080="Correct",ROUND(INDEX('Reward Model'!$B$12:$B$14,MATCH($Y1080,'Reward Model'!$A$12:$A$14,0))*Z1080,2),0)</f>
        <v>0</v>
      </c>
    </row>
    <row r="1081" customFormat="false" ht="15" hidden="false" customHeight="false" outlineLevel="0" collapsed="false">
      <c r="A1081" s="0" t="s">
        <v>235</v>
      </c>
      <c r="B1081" s="0" t="s">
        <v>236</v>
      </c>
      <c r="C1081" s="0" t="s">
        <v>30</v>
      </c>
      <c r="D1081" s="0" t="s">
        <v>189</v>
      </c>
      <c r="E1081" s="0" t="n">
        <v>20</v>
      </c>
      <c r="F1081" s="0" t="s">
        <v>81</v>
      </c>
      <c r="G1081" s="0" t="s">
        <v>82</v>
      </c>
      <c r="H1081" s="0" t="s">
        <v>83</v>
      </c>
      <c r="I1081" s="0" t="s">
        <v>39</v>
      </c>
      <c r="J1081" s="0" t="n">
        <v>1.92</v>
      </c>
      <c r="K1081" s="0" t="s">
        <v>73</v>
      </c>
      <c r="L1081" s="0" t="n">
        <f aca="false">INDEX(Summary!$F$2:$F$201,MATCH($B1081,Summary!$A$2:$A$201,0))</f>
        <v>20</v>
      </c>
      <c r="M1081" s="0" t="n">
        <f aca="false">INDEX(Summary!$I$2:$I$201,MATCH($B1081,Summary!$A$2:$A$201,0))</f>
        <v>1</v>
      </c>
      <c r="N1081" s="0" t="n">
        <f aca="false">INDEX(Summary!$J$2:$J$201,MATCH($B1081,Summary!$A$2:$A$201,0))</f>
        <v>4</v>
      </c>
      <c r="O1081" s="2" t="n">
        <f aca="false">INDEX(Summary!$K$2:$K$201,MATCH($B1081,Summary!$A$2:$A$201,0))</f>
        <v>9.77</v>
      </c>
      <c r="P1081" s="3" t="n">
        <f aca="false">INDEX(Summary!$L$2:$L$201,MATCH($B1081,Summary!$A$2:$A$201,0))</f>
        <v>5</v>
      </c>
      <c r="Q1081" s="3" t="n">
        <f aca="false">INDEX(Summary!$M$2:$M$201,MATCH($B1081,Summary!$A$2:$A$201,0))</f>
        <v>1</v>
      </c>
      <c r="R1081" s="2" t="n">
        <f aca="false">INDEX(Summary!$N$2:$N$201,MATCH($B1081,Summary!$A$2:$A$201,0))</f>
        <v>10.1</v>
      </c>
      <c r="S1081" s="3" t="n">
        <f aca="false">INDEX(Summary!$O$2:$O$201,MATCH($B1081,Summary!$A$2:$A$201,0))</f>
        <v>8</v>
      </c>
      <c r="T1081" s="3" t="n">
        <f aca="false">INDEX(Summary!$P$2:$P$201,MATCH($B1081,Summary!$A$2:$A$201,0))</f>
        <v>1</v>
      </c>
      <c r="U1081" s="2" t="n">
        <f aca="false">INDEX(Summary!$Q$2:$Q$201,MATCH($B1081,Summary!$A$2:$A$201,0))</f>
        <v>11.49</v>
      </c>
      <c r="V1081" s="2" t="n">
        <f aca="false">INDEX(Summary!$R$2:$R$201,MATCH($B1081,Summary!$A$2:$A$201,0))</f>
        <v>25.13</v>
      </c>
      <c r="W1081" s="0" t="str">
        <f aca="false">INDEX(Summary!$S$2:$S$201,MATCH($B1081,Summary!$A$2:$A$201,0))</f>
        <v>Silver</v>
      </c>
      <c r="X1081" s="2" t="n">
        <f aca="false">INDEX(Summary!$T$2:$T$201,MATCH($B1081,Summary!$A$2:$A$201,0))</f>
        <v>61.29</v>
      </c>
      <c r="Y1081" s="0" t="str">
        <f aca="false">INDEX('Reward Model'!$E$18:$E$37,MATCH($E1081,'Reward Model'!$A$18:$A$37,0))</f>
        <v>High</v>
      </c>
      <c r="Z1081" s="4" t="n">
        <f aca="false">ROUND(MIN(1,MAX('Reward Model'!$B$2,INDEX('Reward Model'!$C$12:$C$14,MATCH($K1081,'Reward Model'!$A$12:$A$14,0))/$J1081)),3)</f>
        <v>1</v>
      </c>
      <c r="AA1081" s="2" t="n">
        <f aca="false">IF($I1081="Correct",ROUND(INDEX('Reward Model'!$B$12:$B$14,MATCH($K1081,'Reward Model'!$A$12:$A$14,0))*Z1081,2),0)</f>
        <v>0</v>
      </c>
      <c r="AB1081" s="2" t="n">
        <f aca="false">IF($I1081="Correct",ROUND(INDEX('Reward Model'!$B$12:$B$14,MATCH($Y1081,'Reward Model'!$A$12:$A$14,0))*Z1081,2),0)</f>
        <v>0</v>
      </c>
    </row>
    <row r="1082" customFormat="false" ht="15" hidden="false" customHeight="false" outlineLevel="0" collapsed="false">
      <c r="A1082" s="0" t="s">
        <v>237</v>
      </c>
      <c r="B1082" s="0" t="s">
        <v>238</v>
      </c>
      <c r="C1082" s="0" t="s">
        <v>30</v>
      </c>
      <c r="D1082" s="0" t="s">
        <v>189</v>
      </c>
      <c r="E1082" s="0" t="n">
        <v>1</v>
      </c>
      <c r="F1082" s="0" t="s">
        <v>32</v>
      </c>
      <c r="G1082" s="0" t="s">
        <v>122</v>
      </c>
      <c r="H1082" s="0" t="s">
        <v>33</v>
      </c>
      <c r="I1082" s="0" t="s">
        <v>39</v>
      </c>
      <c r="J1082" s="0" t="n">
        <v>1.43</v>
      </c>
      <c r="K1082" s="0" t="s">
        <v>35</v>
      </c>
      <c r="L1082" s="0" t="n">
        <f aca="false">INDEX(Summary!$F$2:$F$201,MATCH($B1082,Summary!$A$2:$A$201,0))</f>
        <v>20</v>
      </c>
      <c r="M1082" s="0" t="n">
        <f aca="false">INDEX(Summary!$I$2:$I$201,MATCH($B1082,Summary!$A$2:$A$201,0))</f>
        <v>1</v>
      </c>
      <c r="N1082" s="0" t="n">
        <f aca="false">INDEX(Summary!$J$2:$J$201,MATCH($B1082,Summary!$A$2:$A$201,0))</f>
        <v>4</v>
      </c>
      <c r="O1082" s="2" t="n">
        <f aca="false">INDEX(Summary!$K$2:$K$201,MATCH($B1082,Summary!$A$2:$A$201,0))</f>
        <v>10.85</v>
      </c>
      <c r="P1082" s="3" t="n">
        <f aca="false">INDEX(Summary!$L$2:$L$201,MATCH($B1082,Summary!$A$2:$A$201,0))</f>
        <v>5</v>
      </c>
      <c r="Q1082" s="3" t="n">
        <f aca="false">INDEX(Summary!$M$2:$M$201,MATCH($B1082,Summary!$A$2:$A$201,0))</f>
        <v>1</v>
      </c>
      <c r="R1082" s="2" t="n">
        <f aca="false">INDEX(Summary!$N$2:$N$201,MATCH($B1082,Summary!$A$2:$A$201,0))</f>
        <v>9.72</v>
      </c>
      <c r="S1082" s="3" t="n">
        <f aca="false">INDEX(Summary!$O$2:$O$201,MATCH($B1082,Summary!$A$2:$A$201,0))</f>
        <v>7</v>
      </c>
      <c r="T1082" s="3" t="n">
        <f aca="false">INDEX(Summary!$P$2:$P$201,MATCH($B1082,Summary!$A$2:$A$201,0))</f>
        <v>2</v>
      </c>
      <c r="U1082" s="2" t="n">
        <f aca="false">INDEX(Summary!$Q$2:$Q$201,MATCH($B1082,Summary!$A$2:$A$201,0))</f>
        <v>12.29</v>
      </c>
      <c r="V1082" s="2" t="n">
        <f aca="false">INDEX(Summary!$R$2:$R$201,MATCH($B1082,Summary!$A$2:$A$201,0))</f>
        <v>21.77</v>
      </c>
      <c r="W1082" s="0" t="str">
        <f aca="false">INDEX(Summary!$S$2:$S$201,MATCH($B1082,Summary!$A$2:$A$201,0))</f>
        <v>Silver</v>
      </c>
      <c r="X1082" s="2" t="n">
        <f aca="false">INDEX(Summary!$T$2:$T$201,MATCH($B1082,Summary!$A$2:$A$201,0))</f>
        <v>53.1</v>
      </c>
      <c r="Y1082" s="0" t="str">
        <f aca="false">INDEX('Reward Model'!$E$18:$E$37,MATCH($E1082,'Reward Model'!$A$18:$A$37,0))</f>
        <v>Medium</v>
      </c>
      <c r="Z1082" s="4" t="n">
        <f aca="false">ROUND(MIN(1,MAX('Reward Model'!$B$2,INDEX('Reward Model'!$C$12:$C$14,MATCH($K1082,'Reward Model'!$A$12:$A$14,0))/$J1082)),3)</f>
        <v>1</v>
      </c>
      <c r="AA1082" s="2" t="n">
        <f aca="false">IF($I1082="Correct",ROUND(INDEX('Reward Model'!$B$12:$B$14,MATCH($K1082,'Reward Model'!$A$12:$A$14,0))*Z1082,2),0)</f>
        <v>0</v>
      </c>
      <c r="AB1082" s="2" t="n">
        <f aca="false">IF($I1082="Correct",ROUND(INDEX('Reward Model'!$B$12:$B$14,MATCH($Y1082,'Reward Model'!$A$12:$A$14,0))*Z1082,2),0)</f>
        <v>0</v>
      </c>
    </row>
    <row r="1083" customFormat="false" ht="15" hidden="false" customHeight="false" outlineLevel="0" collapsed="false">
      <c r="A1083" s="0" t="s">
        <v>237</v>
      </c>
      <c r="B1083" s="0" t="s">
        <v>238</v>
      </c>
      <c r="C1083" s="0" t="s">
        <v>30</v>
      </c>
      <c r="D1083" s="0" t="s">
        <v>189</v>
      </c>
      <c r="E1083" s="0" t="n">
        <v>2</v>
      </c>
      <c r="F1083" s="0" t="s">
        <v>36</v>
      </c>
      <c r="G1083" s="0" t="s">
        <v>38</v>
      </c>
      <c r="H1083" s="0" t="s">
        <v>38</v>
      </c>
      <c r="I1083" s="0" t="s">
        <v>34</v>
      </c>
      <c r="J1083" s="0" t="n">
        <v>0.99</v>
      </c>
      <c r="K1083" s="0" t="s">
        <v>35</v>
      </c>
      <c r="L1083" s="0" t="n">
        <f aca="false">INDEX(Summary!$F$2:$F$201,MATCH($B1083,Summary!$A$2:$A$201,0))</f>
        <v>20</v>
      </c>
      <c r="M1083" s="0" t="n">
        <f aca="false">INDEX(Summary!$I$2:$I$201,MATCH($B1083,Summary!$A$2:$A$201,0))</f>
        <v>1</v>
      </c>
      <c r="N1083" s="0" t="n">
        <f aca="false">INDEX(Summary!$J$2:$J$201,MATCH($B1083,Summary!$A$2:$A$201,0))</f>
        <v>4</v>
      </c>
      <c r="O1083" s="2" t="n">
        <f aca="false">INDEX(Summary!$K$2:$K$201,MATCH($B1083,Summary!$A$2:$A$201,0))</f>
        <v>10.85</v>
      </c>
      <c r="P1083" s="3" t="n">
        <f aca="false">INDEX(Summary!$L$2:$L$201,MATCH($B1083,Summary!$A$2:$A$201,0))</f>
        <v>5</v>
      </c>
      <c r="Q1083" s="3" t="n">
        <f aca="false">INDEX(Summary!$M$2:$M$201,MATCH($B1083,Summary!$A$2:$A$201,0))</f>
        <v>1</v>
      </c>
      <c r="R1083" s="2" t="n">
        <f aca="false">INDEX(Summary!$N$2:$N$201,MATCH($B1083,Summary!$A$2:$A$201,0))</f>
        <v>9.72</v>
      </c>
      <c r="S1083" s="3" t="n">
        <f aca="false">INDEX(Summary!$O$2:$O$201,MATCH($B1083,Summary!$A$2:$A$201,0))</f>
        <v>7</v>
      </c>
      <c r="T1083" s="3" t="n">
        <f aca="false">INDEX(Summary!$P$2:$P$201,MATCH($B1083,Summary!$A$2:$A$201,0))</f>
        <v>2</v>
      </c>
      <c r="U1083" s="2" t="n">
        <f aca="false">INDEX(Summary!$Q$2:$Q$201,MATCH($B1083,Summary!$A$2:$A$201,0))</f>
        <v>12.29</v>
      </c>
      <c r="V1083" s="2" t="n">
        <f aca="false">INDEX(Summary!$R$2:$R$201,MATCH($B1083,Summary!$A$2:$A$201,0))</f>
        <v>21.77</v>
      </c>
      <c r="W1083" s="0" t="str">
        <f aca="false">INDEX(Summary!$S$2:$S$201,MATCH($B1083,Summary!$A$2:$A$201,0))</f>
        <v>Silver</v>
      </c>
      <c r="X1083" s="2" t="n">
        <f aca="false">INDEX(Summary!$T$2:$T$201,MATCH($B1083,Summary!$A$2:$A$201,0))</f>
        <v>53.1</v>
      </c>
      <c r="Y1083" s="0" t="str">
        <f aca="false">INDEX('Reward Model'!$E$18:$E$37,MATCH($E1083,'Reward Model'!$A$18:$A$37,0))</f>
        <v>Low</v>
      </c>
      <c r="Z1083" s="4" t="n">
        <f aca="false">ROUND(MIN(1,MAX('Reward Model'!$B$2,INDEX('Reward Model'!$C$12:$C$14,MATCH($K1083,'Reward Model'!$A$12:$A$14,0))/$J1083)),3)</f>
        <v>1</v>
      </c>
      <c r="AA1083" s="2" t="n">
        <f aca="false">IF($I1083="Correct",ROUND(INDEX('Reward Model'!$B$12:$B$14,MATCH($K1083,'Reward Model'!$A$12:$A$14,0))*Z1083,2),0)</f>
        <v>1</v>
      </c>
      <c r="AB1083" s="2" t="n">
        <f aca="false">IF($I1083="Correct",ROUND(INDEX('Reward Model'!$B$12:$B$14,MATCH($Y1083,'Reward Model'!$A$12:$A$14,0))*Z1083,2),0)</f>
        <v>1</v>
      </c>
    </row>
    <row r="1084" customFormat="false" ht="15" hidden="false" customHeight="false" outlineLevel="0" collapsed="false">
      <c r="A1084" s="0" t="s">
        <v>237</v>
      </c>
      <c r="B1084" s="0" t="s">
        <v>238</v>
      </c>
      <c r="C1084" s="0" t="s">
        <v>30</v>
      </c>
      <c r="D1084" s="0" t="s">
        <v>189</v>
      </c>
      <c r="E1084" s="0" t="n">
        <v>3</v>
      </c>
      <c r="F1084" s="0" t="s">
        <v>40</v>
      </c>
      <c r="G1084" s="0" t="s">
        <v>42</v>
      </c>
      <c r="H1084" s="0" t="s">
        <v>42</v>
      </c>
      <c r="I1084" s="0" t="s">
        <v>34</v>
      </c>
      <c r="J1084" s="0" t="n">
        <v>1.66</v>
      </c>
      <c r="K1084" s="0" t="s">
        <v>35</v>
      </c>
      <c r="L1084" s="0" t="n">
        <f aca="false">INDEX(Summary!$F$2:$F$201,MATCH($B1084,Summary!$A$2:$A$201,0))</f>
        <v>20</v>
      </c>
      <c r="M1084" s="0" t="n">
        <f aca="false">INDEX(Summary!$I$2:$I$201,MATCH($B1084,Summary!$A$2:$A$201,0))</f>
        <v>1</v>
      </c>
      <c r="N1084" s="0" t="n">
        <f aca="false">INDEX(Summary!$J$2:$J$201,MATCH($B1084,Summary!$A$2:$A$201,0))</f>
        <v>4</v>
      </c>
      <c r="O1084" s="2" t="n">
        <f aca="false">INDEX(Summary!$K$2:$K$201,MATCH($B1084,Summary!$A$2:$A$201,0))</f>
        <v>10.85</v>
      </c>
      <c r="P1084" s="3" t="n">
        <f aca="false">INDEX(Summary!$L$2:$L$201,MATCH($B1084,Summary!$A$2:$A$201,0))</f>
        <v>5</v>
      </c>
      <c r="Q1084" s="3" t="n">
        <f aca="false">INDEX(Summary!$M$2:$M$201,MATCH($B1084,Summary!$A$2:$A$201,0))</f>
        <v>1</v>
      </c>
      <c r="R1084" s="2" t="n">
        <f aca="false">INDEX(Summary!$N$2:$N$201,MATCH($B1084,Summary!$A$2:$A$201,0))</f>
        <v>9.72</v>
      </c>
      <c r="S1084" s="3" t="n">
        <f aca="false">INDEX(Summary!$O$2:$O$201,MATCH($B1084,Summary!$A$2:$A$201,0))</f>
        <v>7</v>
      </c>
      <c r="T1084" s="3" t="n">
        <f aca="false">INDEX(Summary!$P$2:$P$201,MATCH($B1084,Summary!$A$2:$A$201,0))</f>
        <v>2</v>
      </c>
      <c r="U1084" s="2" t="n">
        <f aca="false">INDEX(Summary!$Q$2:$Q$201,MATCH($B1084,Summary!$A$2:$A$201,0))</f>
        <v>12.29</v>
      </c>
      <c r="V1084" s="2" t="n">
        <f aca="false">INDEX(Summary!$R$2:$R$201,MATCH($B1084,Summary!$A$2:$A$201,0))</f>
        <v>21.77</v>
      </c>
      <c r="W1084" s="0" t="str">
        <f aca="false">INDEX(Summary!$S$2:$S$201,MATCH($B1084,Summary!$A$2:$A$201,0))</f>
        <v>Silver</v>
      </c>
      <c r="X1084" s="2" t="n">
        <f aca="false">INDEX(Summary!$T$2:$T$201,MATCH($B1084,Summary!$A$2:$A$201,0))</f>
        <v>53.1</v>
      </c>
      <c r="Y1084" s="0" t="str">
        <f aca="false">INDEX('Reward Model'!$E$18:$E$37,MATCH($E1084,'Reward Model'!$A$18:$A$37,0))</f>
        <v>Medium</v>
      </c>
      <c r="Z1084" s="4" t="n">
        <f aca="false">ROUND(MIN(1,MAX('Reward Model'!$B$2,INDEX('Reward Model'!$C$12:$C$14,MATCH($K1084,'Reward Model'!$A$12:$A$14,0))/$J1084)),3)</f>
        <v>0.904</v>
      </c>
      <c r="AA1084" s="2" t="n">
        <f aca="false">IF($I1084="Correct",ROUND(INDEX('Reward Model'!$B$12:$B$14,MATCH($K1084,'Reward Model'!$A$12:$A$14,0))*Z1084,2),0)</f>
        <v>0.9</v>
      </c>
      <c r="AB1084" s="2" t="n">
        <f aca="false">IF($I1084="Correct",ROUND(INDEX('Reward Model'!$B$12:$B$14,MATCH($Y1084,'Reward Model'!$A$12:$A$14,0))*Z1084,2),0)</f>
        <v>1.81</v>
      </c>
    </row>
    <row r="1085" customFormat="false" ht="15" hidden="false" customHeight="false" outlineLevel="0" collapsed="false">
      <c r="A1085" s="0" t="s">
        <v>237</v>
      </c>
      <c r="B1085" s="0" t="s">
        <v>238</v>
      </c>
      <c r="C1085" s="0" t="s">
        <v>30</v>
      </c>
      <c r="D1085" s="0" t="s">
        <v>189</v>
      </c>
      <c r="E1085" s="0" t="n">
        <v>4</v>
      </c>
      <c r="F1085" s="0" t="s">
        <v>43</v>
      </c>
      <c r="G1085" s="0" t="s">
        <v>45</v>
      </c>
      <c r="H1085" s="0" t="s">
        <v>45</v>
      </c>
      <c r="I1085" s="0" t="s">
        <v>34</v>
      </c>
      <c r="J1085" s="0" t="n">
        <v>0.91</v>
      </c>
      <c r="K1085" s="0" t="s">
        <v>35</v>
      </c>
      <c r="L1085" s="0" t="n">
        <f aca="false">INDEX(Summary!$F$2:$F$201,MATCH($B1085,Summary!$A$2:$A$201,0))</f>
        <v>20</v>
      </c>
      <c r="M1085" s="0" t="n">
        <f aca="false">INDEX(Summary!$I$2:$I$201,MATCH($B1085,Summary!$A$2:$A$201,0))</f>
        <v>1</v>
      </c>
      <c r="N1085" s="0" t="n">
        <f aca="false">INDEX(Summary!$J$2:$J$201,MATCH($B1085,Summary!$A$2:$A$201,0))</f>
        <v>4</v>
      </c>
      <c r="O1085" s="2" t="n">
        <f aca="false">INDEX(Summary!$K$2:$K$201,MATCH($B1085,Summary!$A$2:$A$201,0))</f>
        <v>10.85</v>
      </c>
      <c r="P1085" s="3" t="n">
        <f aca="false">INDEX(Summary!$L$2:$L$201,MATCH($B1085,Summary!$A$2:$A$201,0))</f>
        <v>5</v>
      </c>
      <c r="Q1085" s="3" t="n">
        <f aca="false">INDEX(Summary!$M$2:$M$201,MATCH($B1085,Summary!$A$2:$A$201,0))</f>
        <v>1</v>
      </c>
      <c r="R1085" s="2" t="n">
        <f aca="false">INDEX(Summary!$N$2:$N$201,MATCH($B1085,Summary!$A$2:$A$201,0))</f>
        <v>9.72</v>
      </c>
      <c r="S1085" s="3" t="n">
        <f aca="false">INDEX(Summary!$O$2:$O$201,MATCH($B1085,Summary!$A$2:$A$201,0))</f>
        <v>7</v>
      </c>
      <c r="T1085" s="3" t="n">
        <f aca="false">INDEX(Summary!$P$2:$P$201,MATCH($B1085,Summary!$A$2:$A$201,0))</f>
        <v>2</v>
      </c>
      <c r="U1085" s="2" t="n">
        <f aca="false">INDEX(Summary!$Q$2:$Q$201,MATCH($B1085,Summary!$A$2:$A$201,0))</f>
        <v>12.29</v>
      </c>
      <c r="V1085" s="2" t="n">
        <f aca="false">INDEX(Summary!$R$2:$R$201,MATCH($B1085,Summary!$A$2:$A$201,0))</f>
        <v>21.77</v>
      </c>
      <c r="W1085" s="0" t="str">
        <f aca="false">INDEX(Summary!$S$2:$S$201,MATCH($B1085,Summary!$A$2:$A$201,0))</f>
        <v>Silver</v>
      </c>
      <c r="X1085" s="2" t="n">
        <f aca="false">INDEX(Summary!$T$2:$T$201,MATCH($B1085,Summary!$A$2:$A$201,0))</f>
        <v>53.1</v>
      </c>
      <c r="Y1085" s="0" t="str">
        <f aca="false">INDEX('Reward Model'!$E$18:$E$37,MATCH($E1085,'Reward Model'!$A$18:$A$37,0))</f>
        <v>Low</v>
      </c>
      <c r="Z1085" s="4" t="n">
        <f aca="false">ROUND(MIN(1,MAX('Reward Model'!$B$2,INDEX('Reward Model'!$C$12:$C$14,MATCH($K1085,'Reward Model'!$A$12:$A$14,0))/$J1085)),3)</f>
        <v>1</v>
      </c>
      <c r="AA1085" s="2" t="n">
        <f aca="false">IF($I1085="Correct",ROUND(INDEX('Reward Model'!$B$12:$B$14,MATCH($K1085,'Reward Model'!$A$12:$A$14,0))*Z1085,2),0)</f>
        <v>1</v>
      </c>
      <c r="AB1085" s="2" t="n">
        <f aca="false">IF($I1085="Correct",ROUND(INDEX('Reward Model'!$B$12:$B$14,MATCH($Y1085,'Reward Model'!$A$12:$A$14,0))*Z1085,2),0)</f>
        <v>1</v>
      </c>
    </row>
    <row r="1086" customFormat="false" ht="15" hidden="false" customHeight="false" outlineLevel="0" collapsed="false">
      <c r="A1086" s="0" t="s">
        <v>237</v>
      </c>
      <c r="B1086" s="0" t="s">
        <v>238</v>
      </c>
      <c r="C1086" s="0" t="s">
        <v>30</v>
      </c>
      <c r="D1086" s="0" t="s">
        <v>189</v>
      </c>
      <c r="E1086" s="0" t="n">
        <v>5</v>
      </c>
      <c r="F1086" s="0" t="s">
        <v>46</v>
      </c>
      <c r="G1086" s="0" t="s">
        <v>47</v>
      </c>
      <c r="H1086" s="0" t="s">
        <v>47</v>
      </c>
      <c r="I1086" s="0" t="s">
        <v>34</v>
      </c>
      <c r="J1086" s="0" t="n">
        <v>1.01</v>
      </c>
      <c r="K1086" s="0" t="s">
        <v>35</v>
      </c>
      <c r="L1086" s="0" t="n">
        <f aca="false">INDEX(Summary!$F$2:$F$201,MATCH($B1086,Summary!$A$2:$A$201,0))</f>
        <v>20</v>
      </c>
      <c r="M1086" s="0" t="n">
        <f aca="false">INDEX(Summary!$I$2:$I$201,MATCH($B1086,Summary!$A$2:$A$201,0))</f>
        <v>1</v>
      </c>
      <c r="N1086" s="0" t="n">
        <f aca="false">INDEX(Summary!$J$2:$J$201,MATCH($B1086,Summary!$A$2:$A$201,0))</f>
        <v>4</v>
      </c>
      <c r="O1086" s="2" t="n">
        <f aca="false">INDEX(Summary!$K$2:$K$201,MATCH($B1086,Summary!$A$2:$A$201,0))</f>
        <v>10.85</v>
      </c>
      <c r="P1086" s="3" t="n">
        <f aca="false">INDEX(Summary!$L$2:$L$201,MATCH($B1086,Summary!$A$2:$A$201,0))</f>
        <v>5</v>
      </c>
      <c r="Q1086" s="3" t="n">
        <f aca="false">INDEX(Summary!$M$2:$M$201,MATCH($B1086,Summary!$A$2:$A$201,0))</f>
        <v>1</v>
      </c>
      <c r="R1086" s="2" t="n">
        <f aca="false">INDEX(Summary!$N$2:$N$201,MATCH($B1086,Summary!$A$2:$A$201,0))</f>
        <v>9.72</v>
      </c>
      <c r="S1086" s="3" t="n">
        <f aca="false">INDEX(Summary!$O$2:$O$201,MATCH($B1086,Summary!$A$2:$A$201,0))</f>
        <v>7</v>
      </c>
      <c r="T1086" s="3" t="n">
        <f aca="false">INDEX(Summary!$P$2:$P$201,MATCH($B1086,Summary!$A$2:$A$201,0))</f>
        <v>2</v>
      </c>
      <c r="U1086" s="2" t="n">
        <f aca="false">INDEX(Summary!$Q$2:$Q$201,MATCH($B1086,Summary!$A$2:$A$201,0))</f>
        <v>12.29</v>
      </c>
      <c r="V1086" s="2" t="n">
        <f aca="false">INDEX(Summary!$R$2:$R$201,MATCH($B1086,Summary!$A$2:$A$201,0))</f>
        <v>21.77</v>
      </c>
      <c r="W1086" s="0" t="str">
        <f aca="false">INDEX(Summary!$S$2:$S$201,MATCH($B1086,Summary!$A$2:$A$201,0))</f>
        <v>Silver</v>
      </c>
      <c r="X1086" s="2" t="n">
        <f aca="false">INDEX(Summary!$T$2:$T$201,MATCH($B1086,Summary!$A$2:$A$201,0))</f>
        <v>53.1</v>
      </c>
      <c r="Y1086" s="0" t="str">
        <f aca="false">INDEX('Reward Model'!$E$18:$E$37,MATCH($E1086,'Reward Model'!$A$18:$A$37,0))</f>
        <v>Low</v>
      </c>
      <c r="Z1086" s="4" t="n">
        <f aca="false">ROUND(MIN(1,MAX('Reward Model'!$B$2,INDEX('Reward Model'!$C$12:$C$14,MATCH($K1086,'Reward Model'!$A$12:$A$14,0))/$J1086)),3)</f>
        <v>1</v>
      </c>
      <c r="AA1086" s="2" t="n">
        <f aca="false">IF($I1086="Correct",ROUND(INDEX('Reward Model'!$B$12:$B$14,MATCH($K1086,'Reward Model'!$A$12:$A$14,0))*Z1086,2),0)</f>
        <v>1</v>
      </c>
      <c r="AB1086" s="2" t="n">
        <f aca="false">IF($I1086="Correct",ROUND(INDEX('Reward Model'!$B$12:$B$14,MATCH($Y1086,'Reward Model'!$A$12:$A$14,0))*Z1086,2),0)</f>
        <v>1</v>
      </c>
    </row>
    <row r="1087" customFormat="false" ht="15" hidden="false" customHeight="false" outlineLevel="0" collapsed="false">
      <c r="A1087" s="0" t="s">
        <v>237</v>
      </c>
      <c r="B1087" s="0" t="s">
        <v>238</v>
      </c>
      <c r="C1087" s="0" t="s">
        <v>30</v>
      </c>
      <c r="D1087" s="0" t="s">
        <v>189</v>
      </c>
      <c r="E1087" s="0" t="n">
        <v>6</v>
      </c>
      <c r="F1087" s="0" t="s">
        <v>48</v>
      </c>
      <c r="G1087" s="0" t="s">
        <v>169</v>
      </c>
      <c r="H1087" s="0" t="s">
        <v>49</v>
      </c>
      <c r="I1087" s="0" t="s">
        <v>39</v>
      </c>
      <c r="J1087" s="0" t="n">
        <v>1.97</v>
      </c>
      <c r="K1087" s="0" t="s">
        <v>35</v>
      </c>
      <c r="L1087" s="0" t="n">
        <f aca="false">INDEX(Summary!$F$2:$F$201,MATCH($B1087,Summary!$A$2:$A$201,0))</f>
        <v>20</v>
      </c>
      <c r="M1087" s="0" t="n">
        <f aca="false">INDEX(Summary!$I$2:$I$201,MATCH($B1087,Summary!$A$2:$A$201,0))</f>
        <v>1</v>
      </c>
      <c r="N1087" s="0" t="n">
        <f aca="false">INDEX(Summary!$J$2:$J$201,MATCH($B1087,Summary!$A$2:$A$201,0))</f>
        <v>4</v>
      </c>
      <c r="O1087" s="2" t="n">
        <f aca="false">INDEX(Summary!$K$2:$K$201,MATCH($B1087,Summary!$A$2:$A$201,0))</f>
        <v>10.85</v>
      </c>
      <c r="P1087" s="3" t="n">
        <f aca="false">INDEX(Summary!$L$2:$L$201,MATCH($B1087,Summary!$A$2:$A$201,0))</f>
        <v>5</v>
      </c>
      <c r="Q1087" s="3" t="n">
        <f aca="false">INDEX(Summary!$M$2:$M$201,MATCH($B1087,Summary!$A$2:$A$201,0))</f>
        <v>1</v>
      </c>
      <c r="R1087" s="2" t="n">
        <f aca="false">INDEX(Summary!$N$2:$N$201,MATCH($B1087,Summary!$A$2:$A$201,0))</f>
        <v>9.72</v>
      </c>
      <c r="S1087" s="3" t="n">
        <f aca="false">INDEX(Summary!$O$2:$O$201,MATCH($B1087,Summary!$A$2:$A$201,0))</f>
        <v>7</v>
      </c>
      <c r="T1087" s="3" t="n">
        <f aca="false">INDEX(Summary!$P$2:$P$201,MATCH($B1087,Summary!$A$2:$A$201,0))</f>
        <v>2</v>
      </c>
      <c r="U1087" s="2" t="n">
        <f aca="false">INDEX(Summary!$Q$2:$Q$201,MATCH($B1087,Summary!$A$2:$A$201,0))</f>
        <v>12.29</v>
      </c>
      <c r="V1087" s="2" t="n">
        <f aca="false">INDEX(Summary!$R$2:$R$201,MATCH($B1087,Summary!$A$2:$A$201,0))</f>
        <v>21.77</v>
      </c>
      <c r="W1087" s="0" t="str">
        <f aca="false">INDEX(Summary!$S$2:$S$201,MATCH($B1087,Summary!$A$2:$A$201,0))</f>
        <v>Silver</v>
      </c>
      <c r="X1087" s="2" t="n">
        <f aca="false">INDEX(Summary!$T$2:$T$201,MATCH($B1087,Summary!$A$2:$A$201,0))</f>
        <v>53.1</v>
      </c>
      <c r="Y1087" s="0" t="str">
        <f aca="false">INDEX('Reward Model'!$E$18:$E$37,MATCH($E1087,'Reward Model'!$A$18:$A$37,0))</f>
        <v>Medium</v>
      </c>
      <c r="Z1087" s="4" t="n">
        <f aca="false">ROUND(MIN(1,MAX('Reward Model'!$B$2,INDEX('Reward Model'!$C$12:$C$14,MATCH($K1087,'Reward Model'!$A$12:$A$14,0))/$J1087)),3)</f>
        <v>0.761</v>
      </c>
      <c r="AA1087" s="2" t="n">
        <f aca="false">IF($I1087="Correct",ROUND(INDEX('Reward Model'!$B$12:$B$14,MATCH($K1087,'Reward Model'!$A$12:$A$14,0))*Z1087,2),0)</f>
        <v>0</v>
      </c>
      <c r="AB1087" s="2" t="n">
        <f aca="false">IF($I1087="Correct",ROUND(INDEX('Reward Model'!$B$12:$B$14,MATCH($Y1087,'Reward Model'!$A$12:$A$14,0))*Z1087,2),0)</f>
        <v>0</v>
      </c>
    </row>
    <row r="1088" customFormat="false" ht="15" hidden="false" customHeight="false" outlineLevel="0" collapsed="false">
      <c r="A1088" s="0" t="s">
        <v>237</v>
      </c>
      <c r="B1088" s="0" t="s">
        <v>238</v>
      </c>
      <c r="C1088" s="0" t="s">
        <v>30</v>
      </c>
      <c r="D1088" s="0" t="s">
        <v>189</v>
      </c>
      <c r="E1088" s="0" t="n">
        <v>7</v>
      </c>
      <c r="F1088" s="0" t="s">
        <v>50</v>
      </c>
      <c r="G1088" s="0" t="s">
        <v>51</v>
      </c>
      <c r="H1088" s="0" t="s">
        <v>51</v>
      </c>
      <c r="I1088" s="0" t="s">
        <v>34</v>
      </c>
      <c r="J1088" s="0" t="n">
        <v>1.05</v>
      </c>
      <c r="K1088" s="0" t="s">
        <v>35</v>
      </c>
      <c r="L1088" s="0" t="n">
        <f aca="false">INDEX(Summary!$F$2:$F$201,MATCH($B1088,Summary!$A$2:$A$201,0))</f>
        <v>20</v>
      </c>
      <c r="M1088" s="0" t="n">
        <f aca="false">INDEX(Summary!$I$2:$I$201,MATCH($B1088,Summary!$A$2:$A$201,0))</f>
        <v>1</v>
      </c>
      <c r="N1088" s="0" t="n">
        <f aca="false">INDEX(Summary!$J$2:$J$201,MATCH($B1088,Summary!$A$2:$A$201,0))</f>
        <v>4</v>
      </c>
      <c r="O1088" s="2" t="n">
        <f aca="false">INDEX(Summary!$K$2:$K$201,MATCH($B1088,Summary!$A$2:$A$201,0))</f>
        <v>10.85</v>
      </c>
      <c r="P1088" s="3" t="n">
        <f aca="false">INDEX(Summary!$L$2:$L$201,MATCH($B1088,Summary!$A$2:$A$201,0))</f>
        <v>5</v>
      </c>
      <c r="Q1088" s="3" t="n">
        <f aca="false">INDEX(Summary!$M$2:$M$201,MATCH($B1088,Summary!$A$2:$A$201,0))</f>
        <v>1</v>
      </c>
      <c r="R1088" s="2" t="n">
        <f aca="false">INDEX(Summary!$N$2:$N$201,MATCH($B1088,Summary!$A$2:$A$201,0))</f>
        <v>9.72</v>
      </c>
      <c r="S1088" s="3" t="n">
        <f aca="false">INDEX(Summary!$O$2:$O$201,MATCH($B1088,Summary!$A$2:$A$201,0))</f>
        <v>7</v>
      </c>
      <c r="T1088" s="3" t="n">
        <f aca="false">INDEX(Summary!$P$2:$P$201,MATCH($B1088,Summary!$A$2:$A$201,0))</f>
        <v>2</v>
      </c>
      <c r="U1088" s="2" t="n">
        <f aca="false">INDEX(Summary!$Q$2:$Q$201,MATCH($B1088,Summary!$A$2:$A$201,0))</f>
        <v>12.29</v>
      </c>
      <c r="V1088" s="2" t="n">
        <f aca="false">INDEX(Summary!$R$2:$R$201,MATCH($B1088,Summary!$A$2:$A$201,0))</f>
        <v>21.77</v>
      </c>
      <c r="W1088" s="0" t="str">
        <f aca="false">INDEX(Summary!$S$2:$S$201,MATCH($B1088,Summary!$A$2:$A$201,0))</f>
        <v>Silver</v>
      </c>
      <c r="X1088" s="2" t="n">
        <f aca="false">INDEX(Summary!$T$2:$T$201,MATCH($B1088,Summary!$A$2:$A$201,0))</f>
        <v>53.1</v>
      </c>
      <c r="Y1088" s="0" t="str">
        <f aca="false">INDEX('Reward Model'!$E$18:$E$37,MATCH($E1088,'Reward Model'!$A$18:$A$37,0))</f>
        <v>Low</v>
      </c>
      <c r="Z1088" s="4" t="n">
        <f aca="false">ROUND(MIN(1,MAX('Reward Model'!$B$2,INDEX('Reward Model'!$C$12:$C$14,MATCH($K1088,'Reward Model'!$A$12:$A$14,0))/$J1088)),3)</f>
        <v>1</v>
      </c>
      <c r="AA1088" s="2" t="n">
        <f aca="false">IF($I1088="Correct",ROUND(INDEX('Reward Model'!$B$12:$B$14,MATCH($K1088,'Reward Model'!$A$12:$A$14,0))*Z1088,2),0)</f>
        <v>1</v>
      </c>
      <c r="AB1088" s="2" t="n">
        <f aca="false">IF($I1088="Correct",ROUND(INDEX('Reward Model'!$B$12:$B$14,MATCH($Y1088,'Reward Model'!$A$12:$A$14,0))*Z1088,2),0)</f>
        <v>1</v>
      </c>
    </row>
    <row r="1089" customFormat="false" ht="15" hidden="false" customHeight="false" outlineLevel="0" collapsed="false">
      <c r="A1089" s="0" t="s">
        <v>237</v>
      </c>
      <c r="B1089" s="0" t="s">
        <v>238</v>
      </c>
      <c r="C1089" s="0" t="s">
        <v>30</v>
      </c>
      <c r="D1089" s="0" t="s">
        <v>189</v>
      </c>
      <c r="E1089" s="0" t="n">
        <v>8</v>
      </c>
      <c r="F1089" s="0" t="s">
        <v>52</v>
      </c>
      <c r="G1089" s="0" t="s">
        <v>54</v>
      </c>
      <c r="H1089" s="0" t="s">
        <v>54</v>
      </c>
      <c r="I1089" s="0" t="s">
        <v>34</v>
      </c>
      <c r="J1089" s="0" t="n">
        <v>1.57</v>
      </c>
      <c r="K1089" s="0" t="s">
        <v>35</v>
      </c>
      <c r="L1089" s="0" t="n">
        <f aca="false">INDEX(Summary!$F$2:$F$201,MATCH($B1089,Summary!$A$2:$A$201,0))</f>
        <v>20</v>
      </c>
      <c r="M1089" s="0" t="n">
        <f aca="false">INDEX(Summary!$I$2:$I$201,MATCH($B1089,Summary!$A$2:$A$201,0))</f>
        <v>1</v>
      </c>
      <c r="N1089" s="0" t="n">
        <f aca="false">INDEX(Summary!$J$2:$J$201,MATCH($B1089,Summary!$A$2:$A$201,0))</f>
        <v>4</v>
      </c>
      <c r="O1089" s="2" t="n">
        <f aca="false">INDEX(Summary!$K$2:$K$201,MATCH($B1089,Summary!$A$2:$A$201,0))</f>
        <v>10.85</v>
      </c>
      <c r="P1089" s="3" t="n">
        <f aca="false">INDEX(Summary!$L$2:$L$201,MATCH($B1089,Summary!$A$2:$A$201,0))</f>
        <v>5</v>
      </c>
      <c r="Q1089" s="3" t="n">
        <f aca="false">INDEX(Summary!$M$2:$M$201,MATCH($B1089,Summary!$A$2:$A$201,0))</f>
        <v>1</v>
      </c>
      <c r="R1089" s="2" t="n">
        <f aca="false">INDEX(Summary!$N$2:$N$201,MATCH($B1089,Summary!$A$2:$A$201,0))</f>
        <v>9.72</v>
      </c>
      <c r="S1089" s="3" t="n">
        <f aca="false">INDEX(Summary!$O$2:$O$201,MATCH($B1089,Summary!$A$2:$A$201,0))</f>
        <v>7</v>
      </c>
      <c r="T1089" s="3" t="n">
        <f aca="false">INDEX(Summary!$P$2:$P$201,MATCH($B1089,Summary!$A$2:$A$201,0))</f>
        <v>2</v>
      </c>
      <c r="U1089" s="2" t="n">
        <f aca="false">INDEX(Summary!$Q$2:$Q$201,MATCH($B1089,Summary!$A$2:$A$201,0))</f>
        <v>12.29</v>
      </c>
      <c r="V1089" s="2" t="n">
        <f aca="false">INDEX(Summary!$R$2:$R$201,MATCH($B1089,Summary!$A$2:$A$201,0))</f>
        <v>21.77</v>
      </c>
      <c r="W1089" s="0" t="str">
        <f aca="false">INDEX(Summary!$S$2:$S$201,MATCH($B1089,Summary!$A$2:$A$201,0))</f>
        <v>Silver</v>
      </c>
      <c r="X1089" s="2" t="n">
        <f aca="false">INDEX(Summary!$T$2:$T$201,MATCH($B1089,Summary!$A$2:$A$201,0))</f>
        <v>53.1</v>
      </c>
      <c r="Y1089" s="0" t="str">
        <f aca="false">INDEX('Reward Model'!$E$18:$E$37,MATCH($E1089,'Reward Model'!$A$18:$A$37,0))</f>
        <v>Medium</v>
      </c>
      <c r="Z1089" s="4" t="n">
        <f aca="false">ROUND(MIN(1,MAX('Reward Model'!$B$2,INDEX('Reward Model'!$C$12:$C$14,MATCH($K1089,'Reward Model'!$A$12:$A$14,0))/$J1089)),3)</f>
        <v>0.955</v>
      </c>
      <c r="AA1089" s="2" t="n">
        <f aca="false">IF($I1089="Correct",ROUND(INDEX('Reward Model'!$B$12:$B$14,MATCH($K1089,'Reward Model'!$A$12:$A$14,0))*Z1089,2),0)</f>
        <v>0.96</v>
      </c>
      <c r="AB1089" s="2" t="n">
        <f aca="false">IF($I1089="Correct",ROUND(INDEX('Reward Model'!$B$12:$B$14,MATCH($Y1089,'Reward Model'!$A$12:$A$14,0))*Z1089,2),0)</f>
        <v>1.91</v>
      </c>
    </row>
    <row r="1090" customFormat="false" ht="15" hidden="false" customHeight="false" outlineLevel="0" collapsed="false">
      <c r="A1090" s="0" t="s">
        <v>237</v>
      </c>
      <c r="B1090" s="0" t="s">
        <v>238</v>
      </c>
      <c r="C1090" s="0" t="s">
        <v>30</v>
      </c>
      <c r="D1090" s="0" t="s">
        <v>189</v>
      </c>
      <c r="E1090" s="0" t="n">
        <v>9</v>
      </c>
      <c r="F1090" s="0" t="s">
        <v>55</v>
      </c>
      <c r="G1090" s="0" t="s">
        <v>57</v>
      </c>
      <c r="H1090" s="0" t="s">
        <v>57</v>
      </c>
      <c r="I1090" s="0" t="s">
        <v>34</v>
      </c>
      <c r="J1090" s="0" t="n">
        <v>1.7</v>
      </c>
      <c r="K1090" s="0" t="s">
        <v>35</v>
      </c>
      <c r="L1090" s="0" t="n">
        <f aca="false">INDEX(Summary!$F$2:$F$201,MATCH($B1090,Summary!$A$2:$A$201,0))</f>
        <v>20</v>
      </c>
      <c r="M1090" s="0" t="n">
        <f aca="false">INDEX(Summary!$I$2:$I$201,MATCH($B1090,Summary!$A$2:$A$201,0))</f>
        <v>1</v>
      </c>
      <c r="N1090" s="0" t="n">
        <f aca="false">INDEX(Summary!$J$2:$J$201,MATCH($B1090,Summary!$A$2:$A$201,0))</f>
        <v>4</v>
      </c>
      <c r="O1090" s="2" t="n">
        <f aca="false">INDEX(Summary!$K$2:$K$201,MATCH($B1090,Summary!$A$2:$A$201,0))</f>
        <v>10.85</v>
      </c>
      <c r="P1090" s="3" t="n">
        <f aca="false">INDEX(Summary!$L$2:$L$201,MATCH($B1090,Summary!$A$2:$A$201,0))</f>
        <v>5</v>
      </c>
      <c r="Q1090" s="3" t="n">
        <f aca="false">INDEX(Summary!$M$2:$M$201,MATCH($B1090,Summary!$A$2:$A$201,0))</f>
        <v>1</v>
      </c>
      <c r="R1090" s="2" t="n">
        <f aca="false">INDEX(Summary!$N$2:$N$201,MATCH($B1090,Summary!$A$2:$A$201,0))</f>
        <v>9.72</v>
      </c>
      <c r="S1090" s="3" t="n">
        <f aca="false">INDEX(Summary!$O$2:$O$201,MATCH($B1090,Summary!$A$2:$A$201,0))</f>
        <v>7</v>
      </c>
      <c r="T1090" s="3" t="n">
        <f aca="false">INDEX(Summary!$P$2:$P$201,MATCH($B1090,Summary!$A$2:$A$201,0))</f>
        <v>2</v>
      </c>
      <c r="U1090" s="2" t="n">
        <f aca="false">INDEX(Summary!$Q$2:$Q$201,MATCH($B1090,Summary!$A$2:$A$201,0))</f>
        <v>12.29</v>
      </c>
      <c r="V1090" s="2" t="n">
        <f aca="false">INDEX(Summary!$R$2:$R$201,MATCH($B1090,Summary!$A$2:$A$201,0))</f>
        <v>21.77</v>
      </c>
      <c r="W1090" s="0" t="str">
        <f aca="false">INDEX(Summary!$S$2:$S$201,MATCH($B1090,Summary!$A$2:$A$201,0))</f>
        <v>Silver</v>
      </c>
      <c r="X1090" s="2" t="n">
        <f aca="false">INDEX(Summary!$T$2:$T$201,MATCH($B1090,Summary!$A$2:$A$201,0))</f>
        <v>53.1</v>
      </c>
      <c r="Y1090" s="0" t="str">
        <f aca="false">INDEX('Reward Model'!$E$18:$E$37,MATCH($E1090,'Reward Model'!$A$18:$A$37,0))</f>
        <v>Medium</v>
      </c>
      <c r="Z1090" s="4" t="n">
        <f aca="false">ROUND(MIN(1,MAX('Reward Model'!$B$2,INDEX('Reward Model'!$C$12:$C$14,MATCH($K1090,'Reward Model'!$A$12:$A$14,0))/$J1090)),3)</f>
        <v>0.882</v>
      </c>
      <c r="AA1090" s="2" t="n">
        <f aca="false">IF($I1090="Correct",ROUND(INDEX('Reward Model'!$B$12:$B$14,MATCH($K1090,'Reward Model'!$A$12:$A$14,0))*Z1090,2),0)</f>
        <v>0.88</v>
      </c>
      <c r="AB1090" s="2" t="n">
        <f aca="false">IF($I1090="Correct",ROUND(INDEX('Reward Model'!$B$12:$B$14,MATCH($Y1090,'Reward Model'!$A$12:$A$14,0))*Z1090,2),0)</f>
        <v>1.76</v>
      </c>
    </row>
    <row r="1091" customFormat="false" ht="15" hidden="false" customHeight="false" outlineLevel="0" collapsed="false">
      <c r="A1091" s="0" t="s">
        <v>237</v>
      </c>
      <c r="B1091" s="0" t="s">
        <v>238</v>
      </c>
      <c r="C1091" s="0" t="s">
        <v>30</v>
      </c>
      <c r="D1091" s="0" t="s">
        <v>189</v>
      </c>
      <c r="E1091" s="0" t="n">
        <v>10</v>
      </c>
      <c r="F1091" s="0" t="s">
        <v>58</v>
      </c>
      <c r="G1091" s="0" t="s">
        <v>59</v>
      </c>
      <c r="H1091" s="0" t="s">
        <v>59</v>
      </c>
      <c r="I1091" s="0" t="s">
        <v>34</v>
      </c>
      <c r="J1091" s="0" t="n">
        <v>1.17</v>
      </c>
      <c r="K1091" s="0" t="s">
        <v>60</v>
      </c>
      <c r="L1091" s="0" t="n">
        <f aca="false">INDEX(Summary!$F$2:$F$201,MATCH($B1091,Summary!$A$2:$A$201,0))</f>
        <v>20</v>
      </c>
      <c r="M1091" s="0" t="n">
        <f aca="false">INDEX(Summary!$I$2:$I$201,MATCH($B1091,Summary!$A$2:$A$201,0))</f>
        <v>1</v>
      </c>
      <c r="N1091" s="0" t="n">
        <f aca="false">INDEX(Summary!$J$2:$J$201,MATCH($B1091,Summary!$A$2:$A$201,0))</f>
        <v>4</v>
      </c>
      <c r="O1091" s="2" t="n">
        <f aca="false">INDEX(Summary!$K$2:$K$201,MATCH($B1091,Summary!$A$2:$A$201,0))</f>
        <v>10.85</v>
      </c>
      <c r="P1091" s="3" t="n">
        <f aca="false">INDEX(Summary!$L$2:$L$201,MATCH($B1091,Summary!$A$2:$A$201,0))</f>
        <v>5</v>
      </c>
      <c r="Q1091" s="3" t="n">
        <f aca="false">INDEX(Summary!$M$2:$M$201,MATCH($B1091,Summary!$A$2:$A$201,0))</f>
        <v>1</v>
      </c>
      <c r="R1091" s="2" t="n">
        <f aca="false">INDEX(Summary!$N$2:$N$201,MATCH($B1091,Summary!$A$2:$A$201,0))</f>
        <v>9.72</v>
      </c>
      <c r="S1091" s="3" t="n">
        <f aca="false">INDEX(Summary!$O$2:$O$201,MATCH($B1091,Summary!$A$2:$A$201,0))</f>
        <v>7</v>
      </c>
      <c r="T1091" s="3" t="n">
        <f aca="false">INDEX(Summary!$P$2:$P$201,MATCH($B1091,Summary!$A$2:$A$201,0))</f>
        <v>2</v>
      </c>
      <c r="U1091" s="2" t="n">
        <f aca="false">INDEX(Summary!$Q$2:$Q$201,MATCH($B1091,Summary!$A$2:$A$201,0))</f>
        <v>12.29</v>
      </c>
      <c r="V1091" s="2" t="n">
        <f aca="false">INDEX(Summary!$R$2:$R$201,MATCH($B1091,Summary!$A$2:$A$201,0))</f>
        <v>21.77</v>
      </c>
      <c r="W1091" s="0" t="str">
        <f aca="false">INDEX(Summary!$S$2:$S$201,MATCH($B1091,Summary!$A$2:$A$201,0))</f>
        <v>Silver</v>
      </c>
      <c r="X1091" s="2" t="n">
        <f aca="false">INDEX(Summary!$T$2:$T$201,MATCH($B1091,Summary!$A$2:$A$201,0))</f>
        <v>53.1</v>
      </c>
      <c r="Y1091" s="0" t="str">
        <f aca="false">INDEX('Reward Model'!$E$18:$E$37,MATCH($E1091,'Reward Model'!$A$18:$A$37,0))</f>
        <v>Medium</v>
      </c>
      <c r="Z1091" s="4" t="n">
        <f aca="false">ROUND(MIN(1,MAX('Reward Model'!$B$2,INDEX('Reward Model'!$C$12:$C$14,MATCH($K1091,'Reward Model'!$A$12:$A$14,0))/$J1091)),3)</f>
        <v>1</v>
      </c>
      <c r="AA1091" s="2" t="n">
        <f aca="false">IF($I1091="Correct",ROUND(INDEX('Reward Model'!$B$12:$B$14,MATCH($K1091,'Reward Model'!$A$12:$A$14,0))*Z1091,2),0)</f>
        <v>2</v>
      </c>
      <c r="AB1091" s="2" t="n">
        <f aca="false">IF($I1091="Correct",ROUND(INDEX('Reward Model'!$B$12:$B$14,MATCH($Y1091,'Reward Model'!$A$12:$A$14,0))*Z1091,2),0)</f>
        <v>2</v>
      </c>
    </row>
    <row r="1092" customFormat="false" ht="15" hidden="false" customHeight="false" outlineLevel="0" collapsed="false">
      <c r="A1092" s="0" t="s">
        <v>237</v>
      </c>
      <c r="B1092" s="0" t="s">
        <v>238</v>
      </c>
      <c r="C1092" s="0" t="s">
        <v>30</v>
      </c>
      <c r="D1092" s="0" t="s">
        <v>189</v>
      </c>
      <c r="E1092" s="0" t="n">
        <v>11</v>
      </c>
      <c r="F1092" s="0" t="s">
        <v>61</v>
      </c>
      <c r="G1092" s="0" t="s">
        <v>63</v>
      </c>
      <c r="H1092" s="0" t="s">
        <v>63</v>
      </c>
      <c r="I1092" s="0" t="s">
        <v>34</v>
      </c>
      <c r="J1092" s="0" t="n">
        <v>1.55</v>
      </c>
      <c r="K1092" s="0" t="s">
        <v>60</v>
      </c>
      <c r="L1092" s="0" t="n">
        <f aca="false">INDEX(Summary!$F$2:$F$201,MATCH($B1092,Summary!$A$2:$A$201,0))</f>
        <v>20</v>
      </c>
      <c r="M1092" s="0" t="n">
        <f aca="false">INDEX(Summary!$I$2:$I$201,MATCH($B1092,Summary!$A$2:$A$201,0))</f>
        <v>1</v>
      </c>
      <c r="N1092" s="0" t="n">
        <f aca="false">INDEX(Summary!$J$2:$J$201,MATCH($B1092,Summary!$A$2:$A$201,0))</f>
        <v>4</v>
      </c>
      <c r="O1092" s="2" t="n">
        <f aca="false">INDEX(Summary!$K$2:$K$201,MATCH($B1092,Summary!$A$2:$A$201,0))</f>
        <v>10.85</v>
      </c>
      <c r="P1092" s="3" t="n">
        <f aca="false">INDEX(Summary!$L$2:$L$201,MATCH($B1092,Summary!$A$2:$A$201,0))</f>
        <v>5</v>
      </c>
      <c r="Q1092" s="3" t="n">
        <f aca="false">INDEX(Summary!$M$2:$M$201,MATCH($B1092,Summary!$A$2:$A$201,0))</f>
        <v>1</v>
      </c>
      <c r="R1092" s="2" t="n">
        <f aca="false">INDEX(Summary!$N$2:$N$201,MATCH($B1092,Summary!$A$2:$A$201,0))</f>
        <v>9.72</v>
      </c>
      <c r="S1092" s="3" t="n">
        <f aca="false">INDEX(Summary!$O$2:$O$201,MATCH($B1092,Summary!$A$2:$A$201,0))</f>
        <v>7</v>
      </c>
      <c r="T1092" s="3" t="n">
        <f aca="false">INDEX(Summary!$P$2:$P$201,MATCH($B1092,Summary!$A$2:$A$201,0))</f>
        <v>2</v>
      </c>
      <c r="U1092" s="2" t="n">
        <f aca="false">INDEX(Summary!$Q$2:$Q$201,MATCH($B1092,Summary!$A$2:$A$201,0))</f>
        <v>12.29</v>
      </c>
      <c r="V1092" s="2" t="n">
        <f aca="false">INDEX(Summary!$R$2:$R$201,MATCH($B1092,Summary!$A$2:$A$201,0))</f>
        <v>21.77</v>
      </c>
      <c r="W1092" s="0" t="str">
        <f aca="false">INDEX(Summary!$S$2:$S$201,MATCH($B1092,Summary!$A$2:$A$201,0))</f>
        <v>Silver</v>
      </c>
      <c r="X1092" s="2" t="n">
        <f aca="false">INDEX(Summary!$T$2:$T$201,MATCH($B1092,Summary!$A$2:$A$201,0))</f>
        <v>53.1</v>
      </c>
      <c r="Y1092" s="0" t="str">
        <f aca="false">INDEX('Reward Model'!$E$18:$E$37,MATCH($E1092,'Reward Model'!$A$18:$A$37,0))</f>
        <v>Medium</v>
      </c>
      <c r="Z1092" s="4" t="n">
        <f aca="false">ROUND(MIN(1,MAX('Reward Model'!$B$2,INDEX('Reward Model'!$C$12:$C$14,MATCH($K1092,'Reward Model'!$A$12:$A$14,0))/$J1092)),3)</f>
        <v>1</v>
      </c>
      <c r="AA1092" s="2" t="n">
        <f aca="false">IF($I1092="Correct",ROUND(INDEX('Reward Model'!$B$12:$B$14,MATCH($K1092,'Reward Model'!$A$12:$A$14,0))*Z1092,2),0)</f>
        <v>2</v>
      </c>
      <c r="AB1092" s="2" t="n">
        <f aca="false">IF($I1092="Correct",ROUND(INDEX('Reward Model'!$B$12:$B$14,MATCH($Y1092,'Reward Model'!$A$12:$A$14,0))*Z1092,2),0)</f>
        <v>2</v>
      </c>
    </row>
    <row r="1093" customFormat="false" ht="15" hidden="false" customHeight="false" outlineLevel="0" collapsed="false">
      <c r="A1093" s="0" t="s">
        <v>237</v>
      </c>
      <c r="B1093" s="0" t="s">
        <v>238</v>
      </c>
      <c r="C1093" s="0" t="s">
        <v>30</v>
      </c>
      <c r="D1093" s="0" t="s">
        <v>189</v>
      </c>
      <c r="E1093" s="0" t="n">
        <v>12</v>
      </c>
      <c r="F1093" s="0" t="s">
        <v>64</v>
      </c>
      <c r="G1093" s="0" t="s">
        <v>65</v>
      </c>
      <c r="H1093" s="0" t="s">
        <v>65</v>
      </c>
      <c r="I1093" s="0" t="s">
        <v>34</v>
      </c>
      <c r="J1093" s="0" t="n">
        <v>1.42</v>
      </c>
      <c r="K1093" s="0" t="s">
        <v>60</v>
      </c>
      <c r="L1093" s="0" t="n">
        <f aca="false">INDEX(Summary!$F$2:$F$201,MATCH($B1093,Summary!$A$2:$A$201,0))</f>
        <v>20</v>
      </c>
      <c r="M1093" s="0" t="n">
        <f aca="false">INDEX(Summary!$I$2:$I$201,MATCH($B1093,Summary!$A$2:$A$201,0))</f>
        <v>1</v>
      </c>
      <c r="N1093" s="0" t="n">
        <f aca="false">INDEX(Summary!$J$2:$J$201,MATCH($B1093,Summary!$A$2:$A$201,0))</f>
        <v>4</v>
      </c>
      <c r="O1093" s="2" t="n">
        <f aca="false">INDEX(Summary!$K$2:$K$201,MATCH($B1093,Summary!$A$2:$A$201,0))</f>
        <v>10.85</v>
      </c>
      <c r="P1093" s="3" t="n">
        <f aca="false">INDEX(Summary!$L$2:$L$201,MATCH($B1093,Summary!$A$2:$A$201,0))</f>
        <v>5</v>
      </c>
      <c r="Q1093" s="3" t="n">
        <f aca="false">INDEX(Summary!$M$2:$M$201,MATCH($B1093,Summary!$A$2:$A$201,0))</f>
        <v>1</v>
      </c>
      <c r="R1093" s="2" t="n">
        <f aca="false">INDEX(Summary!$N$2:$N$201,MATCH($B1093,Summary!$A$2:$A$201,0))</f>
        <v>9.72</v>
      </c>
      <c r="S1093" s="3" t="n">
        <f aca="false">INDEX(Summary!$O$2:$O$201,MATCH($B1093,Summary!$A$2:$A$201,0))</f>
        <v>7</v>
      </c>
      <c r="T1093" s="3" t="n">
        <f aca="false">INDEX(Summary!$P$2:$P$201,MATCH($B1093,Summary!$A$2:$A$201,0))</f>
        <v>2</v>
      </c>
      <c r="U1093" s="2" t="n">
        <f aca="false">INDEX(Summary!$Q$2:$Q$201,MATCH($B1093,Summary!$A$2:$A$201,0))</f>
        <v>12.29</v>
      </c>
      <c r="V1093" s="2" t="n">
        <f aca="false">INDEX(Summary!$R$2:$R$201,MATCH($B1093,Summary!$A$2:$A$201,0))</f>
        <v>21.77</v>
      </c>
      <c r="W1093" s="0" t="str">
        <f aca="false">INDEX(Summary!$S$2:$S$201,MATCH($B1093,Summary!$A$2:$A$201,0))</f>
        <v>Silver</v>
      </c>
      <c r="X1093" s="2" t="n">
        <f aca="false">INDEX(Summary!$T$2:$T$201,MATCH($B1093,Summary!$A$2:$A$201,0))</f>
        <v>53.1</v>
      </c>
      <c r="Y1093" s="0" t="str">
        <f aca="false">INDEX('Reward Model'!$E$18:$E$37,MATCH($E1093,'Reward Model'!$A$18:$A$37,0))</f>
        <v>Medium</v>
      </c>
      <c r="Z1093" s="4" t="n">
        <f aca="false">ROUND(MIN(1,MAX('Reward Model'!$B$2,INDEX('Reward Model'!$C$12:$C$14,MATCH($K1093,'Reward Model'!$A$12:$A$14,0))/$J1093)),3)</f>
        <v>1</v>
      </c>
      <c r="AA1093" s="2" t="n">
        <f aca="false">IF($I1093="Correct",ROUND(INDEX('Reward Model'!$B$12:$B$14,MATCH($K1093,'Reward Model'!$A$12:$A$14,0))*Z1093,2),0)</f>
        <v>2</v>
      </c>
      <c r="AB1093" s="2" t="n">
        <f aca="false">IF($I1093="Correct",ROUND(INDEX('Reward Model'!$B$12:$B$14,MATCH($Y1093,'Reward Model'!$A$12:$A$14,0))*Z1093,2),0)</f>
        <v>2</v>
      </c>
    </row>
    <row r="1094" customFormat="false" ht="15" hidden="false" customHeight="false" outlineLevel="0" collapsed="false">
      <c r="A1094" s="0" t="s">
        <v>237</v>
      </c>
      <c r="B1094" s="0" t="s">
        <v>238</v>
      </c>
      <c r="C1094" s="0" t="s">
        <v>30</v>
      </c>
      <c r="D1094" s="0" t="s">
        <v>189</v>
      </c>
      <c r="E1094" s="0" t="n">
        <v>13</v>
      </c>
      <c r="F1094" s="0" t="s">
        <v>66</v>
      </c>
      <c r="G1094" s="0" t="s">
        <v>67</v>
      </c>
      <c r="H1094" s="0" t="s">
        <v>67</v>
      </c>
      <c r="I1094" s="0" t="s">
        <v>34</v>
      </c>
      <c r="J1094" s="0" t="n">
        <v>2.21</v>
      </c>
      <c r="K1094" s="0" t="s">
        <v>60</v>
      </c>
      <c r="L1094" s="0" t="n">
        <f aca="false">INDEX(Summary!$F$2:$F$201,MATCH($B1094,Summary!$A$2:$A$201,0))</f>
        <v>20</v>
      </c>
      <c r="M1094" s="0" t="n">
        <f aca="false">INDEX(Summary!$I$2:$I$201,MATCH($B1094,Summary!$A$2:$A$201,0))</f>
        <v>1</v>
      </c>
      <c r="N1094" s="0" t="n">
        <f aca="false">INDEX(Summary!$J$2:$J$201,MATCH($B1094,Summary!$A$2:$A$201,0))</f>
        <v>4</v>
      </c>
      <c r="O1094" s="2" t="n">
        <f aca="false">INDEX(Summary!$K$2:$K$201,MATCH($B1094,Summary!$A$2:$A$201,0))</f>
        <v>10.85</v>
      </c>
      <c r="P1094" s="3" t="n">
        <f aca="false">INDEX(Summary!$L$2:$L$201,MATCH($B1094,Summary!$A$2:$A$201,0))</f>
        <v>5</v>
      </c>
      <c r="Q1094" s="3" t="n">
        <f aca="false">INDEX(Summary!$M$2:$M$201,MATCH($B1094,Summary!$A$2:$A$201,0))</f>
        <v>1</v>
      </c>
      <c r="R1094" s="2" t="n">
        <f aca="false">INDEX(Summary!$N$2:$N$201,MATCH($B1094,Summary!$A$2:$A$201,0))</f>
        <v>9.72</v>
      </c>
      <c r="S1094" s="3" t="n">
        <f aca="false">INDEX(Summary!$O$2:$O$201,MATCH($B1094,Summary!$A$2:$A$201,0))</f>
        <v>7</v>
      </c>
      <c r="T1094" s="3" t="n">
        <f aca="false">INDEX(Summary!$P$2:$P$201,MATCH($B1094,Summary!$A$2:$A$201,0))</f>
        <v>2</v>
      </c>
      <c r="U1094" s="2" t="n">
        <f aca="false">INDEX(Summary!$Q$2:$Q$201,MATCH($B1094,Summary!$A$2:$A$201,0))</f>
        <v>12.29</v>
      </c>
      <c r="V1094" s="2" t="n">
        <f aca="false">INDEX(Summary!$R$2:$R$201,MATCH($B1094,Summary!$A$2:$A$201,0))</f>
        <v>21.77</v>
      </c>
      <c r="W1094" s="0" t="str">
        <f aca="false">INDEX(Summary!$S$2:$S$201,MATCH($B1094,Summary!$A$2:$A$201,0))</f>
        <v>Silver</v>
      </c>
      <c r="X1094" s="2" t="n">
        <f aca="false">INDEX(Summary!$T$2:$T$201,MATCH($B1094,Summary!$A$2:$A$201,0))</f>
        <v>53.1</v>
      </c>
      <c r="Y1094" s="0" t="str">
        <f aca="false">INDEX('Reward Model'!$E$18:$E$37,MATCH($E1094,'Reward Model'!$A$18:$A$37,0))</f>
        <v>Medium</v>
      </c>
      <c r="Z1094" s="4" t="n">
        <f aca="false">ROUND(MIN(1,MAX('Reward Model'!$B$2,INDEX('Reward Model'!$C$12:$C$14,MATCH($K1094,'Reward Model'!$A$12:$A$14,0))/$J1094)),3)</f>
        <v>0.814</v>
      </c>
      <c r="AA1094" s="2" t="n">
        <f aca="false">IF($I1094="Correct",ROUND(INDEX('Reward Model'!$B$12:$B$14,MATCH($K1094,'Reward Model'!$A$12:$A$14,0))*Z1094,2),0)</f>
        <v>1.63</v>
      </c>
      <c r="AB1094" s="2" t="n">
        <f aca="false">IF($I1094="Correct",ROUND(INDEX('Reward Model'!$B$12:$B$14,MATCH($Y1094,'Reward Model'!$A$12:$A$14,0))*Z1094,2),0)</f>
        <v>1.63</v>
      </c>
    </row>
    <row r="1095" customFormat="false" ht="15" hidden="false" customHeight="false" outlineLevel="0" collapsed="false">
      <c r="A1095" s="0" t="s">
        <v>237</v>
      </c>
      <c r="B1095" s="0" t="s">
        <v>238</v>
      </c>
      <c r="C1095" s="0" t="s">
        <v>30</v>
      </c>
      <c r="D1095" s="0" t="s">
        <v>189</v>
      </c>
      <c r="E1095" s="0" t="n">
        <v>14</v>
      </c>
      <c r="F1095" s="0" t="s">
        <v>68</v>
      </c>
      <c r="G1095" s="0" t="s">
        <v>100</v>
      </c>
      <c r="H1095" s="0" t="s">
        <v>51</v>
      </c>
      <c r="I1095" s="0" t="s">
        <v>39</v>
      </c>
      <c r="J1095" s="0" t="n">
        <v>1.2</v>
      </c>
      <c r="K1095" s="0" t="s">
        <v>60</v>
      </c>
      <c r="L1095" s="0" t="n">
        <f aca="false">INDEX(Summary!$F$2:$F$201,MATCH($B1095,Summary!$A$2:$A$201,0))</f>
        <v>20</v>
      </c>
      <c r="M1095" s="0" t="n">
        <f aca="false">INDEX(Summary!$I$2:$I$201,MATCH($B1095,Summary!$A$2:$A$201,0))</f>
        <v>1</v>
      </c>
      <c r="N1095" s="0" t="n">
        <f aca="false">INDEX(Summary!$J$2:$J$201,MATCH($B1095,Summary!$A$2:$A$201,0))</f>
        <v>4</v>
      </c>
      <c r="O1095" s="2" t="n">
        <f aca="false">INDEX(Summary!$K$2:$K$201,MATCH($B1095,Summary!$A$2:$A$201,0))</f>
        <v>10.85</v>
      </c>
      <c r="P1095" s="3" t="n">
        <f aca="false">INDEX(Summary!$L$2:$L$201,MATCH($B1095,Summary!$A$2:$A$201,0))</f>
        <v>5</v>
      </c>
      <c r="Q1095" s="3" t="n">
        <f aca="false">INDEX(Summary!$M$2:$M$201,MATCH($B1095,Summary!$A$2:$A$201,0))</f>
        <v>1</v>
      </c>
      <c r="R1095" s="2" t="n">
        <f aca="false">INDEX(Summary!$N$2:$N$201,MATCH($B1095,Summary!$A$2:$A$201,0))</f>
        <v>9.72</v>
      </c>
      <c r="S1095" s="3" t="n">
        <f aca="false">INDEX(Summary!$O$2:$O$201,MATCH($B1095,Summary!$A$2:$A$201,0))</f>
        <v>7</v>
      </c>
      <c r="T1095" s="3" t="n">
        <f aca="false">INDEX(Summary!$P$2:$P$201,MATCH($B1095,Summary!$A$2:$A$201,0))</f>
        <v>2</v>
      </c>
      <c r="U1095" s="2" t="n">
        <f aca="false">INDEX(Summary!$Q$2:$Q$201,MATCH($B1095,Summary!$A$2:$A$201,0))</f>
        <v>12.29</v>
      </c>
      <c r="V1095" s="2" t="n">
        <f aca="false">INDEX(Summary!$R$2:$R$201,MATCH($B1095,Summary!$A$2:$A$201,0))</f>
        <v>21.77</v>
      </c>
      <c r="W1095" s="0" t="str">
        <f aca="false">INDEX(Summary!$S$2:$S$201,MATCH($B1095,Summary!$A$2:$A$201,0))</f>
        <v>Silver</v>
      </c>
      <c r="X1095" s="2" t="n">
        <f aca="false">INDEX(Summary!$T$2:$T$201,MATCH($B1095,Summary!$A$2:$A$201,0))</f>
        <v>53.1</v>
      </c>
      <c r="Y1095" s="0" t="str">
        <f aca="false">INDEX('Reward Model'!$E$18:$E$37,MATCH($E1095,'Reward Model'!$A$18:$A$37,0))</f>
        <v>Medium</v>
      </c>
      <c r="Z1095" s="4" t="n">
        <f aca="false">ROUND(MIN(1,MAX('Reward Model'!$B$2,INDEX('Reward Model'!$C$12:$C$14,MATCH($K1095,'Reward Model'!$A$12:$A$14,0))/$J1095)),3)</f>
        <v>1</v>
      </c>
      <c r="AA1095" s="2" t="n">
        <f aca="false">IF($I1095="Correct",ROUND(INDEX('Reward Model'!$B$12:$B$14,MATCH($K1095,'Reward Model'!$A$12:$A$14,0))*Z1095,2),0)</f>
        <v>0</v>
      </c>
      <c r="AB1095" s="2" t="n">
        <f aca="false">IF($I1095="Correct",ROUND(INDEX('Reward Model'!$B$12:$B$14,MATCH($Y1095,'Reward Model'!$A$12:$A$14,0))*Z1095,2),0)</f>
        <v>0</v>
      </c>
    </row>
    <row r="1096" customFormat="false" ht="15" hidden="false" customHeight="false" outlineLevel="0" collapsed="false">
      <c r="A1096" s="0" t="s">
        <v>237</v>
      </c>
      <c r="B1096" s="0" t="s">
        <v>238</v>
      </c>
      <c r="C1096" s="0" t="s">
        <v>30</v>
      </c>
      <c r="D1096" s="0" t="s">
        <v>189</v>
      </c>
      <c r="E1096" s="0" t="n">
        <v>15</v>
      </c>
      <c r="F1096" s="0" t="s">
        <v>69</v>
      </c>
      <c r="G1096" s="0" t="s">
        <v>70</v>
      </c>
      <c r="H1096" s="0" t="s">
        <v>70</v>
      </c>
      <c r="I1096" s="0" t="s">
        <v>34</v>
      </c>
      <c r="J1096" s="0" t="n">
        <v>2.17</v>
      </c>
      <c r="K1096" s="0" t="s">
        <v>60</v>
      </c>
      <c r="L1096" s="0" t="n">
        <f aca="false">INDEX(Summary!$F$2:$F$201,MATCH($B1096,Summary!$A$2:$A$201,0))</f>
        <v>20</v>
      </c>
      <c r="M1096" s="0" t="n">
        <f aca="false">INDEX(Summary!$I$2:$I$201,MATCH($B1096,Summary!$A$2:$A$201,0))</f>
        <v>1</v>
      </c>
      <c r="N1096" s="0" t="n">
        <f aca="false">INDEX(Summary!$J$2:$J$201,MATCH($B1096,Summary!$A$2:$A$201,0))</f>
        <v>4</v>
      </c>
      <c r="O1096" s="2" t="n">
        <f aca="false">INDEX(Summary!$K$2:$K$201,MATCH($B1096,Summary!$A$2:$A$201,0))</f>
        <v>10.85</v>
      </c>
      <c r="P1096" s="3" t="n">
        <f aca="false">INDEX(Summary!$L$2:$L$201,MATCH($B1096,Summary!$A$2:$A$201,0))</f>
        <v>5</v>
      </c>
      <c r="Q1096" s="3" t="n">
        <f aca="false">INDEX(Summary!$M$2:$M$201,MATCH($B1096,Summary!$A$2:$A$201,0))</f>
        <v>1</v>
      </c>
      <c r="R1096" s="2" t="n">
        <f aca="false">INDEX(Summary!$N$2:$N$201,MATCH($B1096,Summary!$A$2:$A$201,0))</f>
        <v>9.72</v>
      </c>
      <c r="S1096" s="3" t="n">
        <f aca="false">INDEX(Summary!$O$2:$O$201,MATCH($B1096,Summary!$A$2:$A$201,0))</f>
        <v>7</v>
      </c>
      <c r="T1096" s="3" t="n">
        <f aca="false">INDEX(Summary!$P$2:$P$201,MATCH($B1096,Summary!$A$2:$A$201,0))</f>
        <v>2</v>
      </c>
      <c r="U1096" s="2" t="n">
        <f aca="false">INDEX(Summary!$Q$2:$Q$201,MATCH($B1096,Summary!$A$2:$A$201,0))</f>
        <v>12.29</v>
      </c>
      <c r="V1096" s="2" t="n">
        <f aca="false">INDEX(Summary!$R$2:$R$201,MATCH($B1096,Summary!$A$2:$A$201,0))</f>
        <v>21.77</v>
      </c>
      <c r="W1096" s="0" t="str">
        <f aca="false">INDEX(Summary!$S$2:$S$201,MATCH($B1096,Summary!$A$2:$A$201,0))</f>
        <v>Silver</v>
      </c>
      <c r="X1096" s="2" t="n">
        <f aca="false">INDEX(Summary!$T$2:$T$201,MATCH($B1096,Summary!$A$2:$A$201,0))</f>
        <v>53.1</v>
      </c>
      <c r="Y1096" s="0" t="str">
        <f aca="false">INDEX('Reward Model'!$E$18:$E$37,MATCH($E1096,'Reward Model'!$A$18:$A$37,0))</f>
        <v>Medium</v>
      </c>
      <c r="Z1096" s="4" t="n">
        <f aca="false">ROUND(MIN(1,MAX('Reward Model'!$B$2,INDEX('Reward Model'!$C$12:$C$14,MATCH($K1096,'Reward Model'!$A$12:$A$14,0))/$J1096)),3)</f>
        <v>0.829</v>
      </c>
      <c r="AA1096" s="2" t="n">
        <f aca="false">IF($I1096="Correct",ROUND(INDEX('Reward Model'!$B$12:$B$14,MATCH($K1096,'Reward Model'!$A$12:$A$14,0))*Z1096,2),0)</f>
        <v>1.66</v>
      </c>
      <c r="AB1096" s="2" t="n">
        <f aca="false">IF($I1096="Correct",ROUND(INDEX('Reward Model'!$B$12:$B$14,MATCH($Y1096,'Reward Model'!$A$12:$A$14,0))*Z1096,2),0)</f>
        <v>1.66</v>
      </c>
    </row>
    <row r="1097" customFormat="false" ht="15" hidden="false" customHeight="false" outlineLevel="0" collapsed="false">
      <c r="A1097" s="0" t="s">
        <v>237</v>
      </c>
      <c r="B1097" s="0" t="s">
        <v>238</v>
      </c>
      <c r="C1097" s="0" t="s">
        <v>30</v>
      </c>
      <c r="D1097" s="0" t="s">
        <v>189</v>
      </c>
      <c r="E1097" s="0" t="n">
        <v>16</v>
      </c>
      <c r="F1097" s="0" t="s">
        <v>71</v>
      </c>
      <c r="G1097" s="0" t="s">
        <v>101</v>
      </c>
      <c r="H1097" s="0" t="s">
        <v>72</v>
      </c>
      <c r="I1097" s="0" t="s">
        <v>39</v>
      </c>
      <c r="J1097" s="0" t="n">
        <v>2.29</v>
      </c>
      <c r="K1097" s="0" t="s">
        <v>73</v>
      </c>
      <c r="L1097" s="0" t="n">
        <f aca="false">INDEX(Summary!$F$2:$F$201,MATCH($B1097,Summary!$A$2:$A$201,0))</f>
        <v>20</v>
      </c>
      <c r="M1097" s="0" t="n">
        <f aca="false">INDEX(Summary!$I$2:$I$201,MATCH($B1097,Summary!$A$2:$A$201,0))</f>
        <v>1</v>
      </c>
      <c r="N1097" s="0" t="n">
        <f aca="false">INDEX(Summary!$J$2:$J$201,MATCH($B1097,Summary!$A$2:$A$201,0))</f>
        <v>4</v>
      </c>
      <c r="O1097" s="2" t="n">
        <f aca="false">INDEX(Summary!$K$2:$K$201,MATCH($B1097,Summary!$A$2:$A$201,0))</f>
        <v>10.85</v>
      </c>
      <c r="P1097" s="3" t="n">
        <f aca="false">INDEX(Summary!$L$2:$L$201,MATCH($B1097,Summary!$A$2:$A$201,0))</f>
        <v>5</v>
      </c>
      <c r="Q1097" s="3" t="n">
        <f aca="false">INDEX(Summary!$M$2:$M$201,MATCH($B1097,Summary!$A$2:$A$201,0))</f>
        <v>1</v>
      </c>
      <c r="R1097" s="2" t="n">
        <f aca="false">INDEX(Summary!$N$2:$N$201,MATCH($B1097,Summary!$A$2:$A$201,0))</f>
        <v>9.72</v>
      </c>
      <c r="S1097" s="3" t="n">
        <f aca="false">INDEX(Summary!$O$2:$O$201,MATCH($B1097,Summary!$A$2:$A$201,0))</f>
        <v>7</v>
      </c>
      <c r="T1097" s="3" t="n">
        <f aca="false">INDEX(Summary!$P$2:$P$201,MATCH($B1097,Summary!$A$2:$A$201,0))</f>
        <v>2</v>
      </c>
      <c r="U1097" s="2" t="n">
        <f aca="false">INDEX(Summary!$Q$2:$Q$201,MATCH($B1097,Summary!$A$2:$A$201,0))</f>
        <v>12.29</v>
      </c>
      <c r="V1097" s="2" t="n">
        <f aca="false">INDEX(Summary!$R$2:$R$201,MATCH($B1097,Summary!$A$2:$A$201,0))</f>
        <v>21.77</v>
      </c>
      <c r="W1097" s="0" t="str">
        <f aca="false">INDEX(Summary!$S$2:$S$201,MATCH($B1097,Summary!$A$2:$A$201,0))</f>
        <v>Silver</v>
      </c>
      <c r="X1097" s="2" t="n">
        <f aca="false">INDEX(Summary!$T$2:$T$201,MATCH($B1097,Summary!$A$2:$A$201,0))</f>
        <v>53.1</v>
      </c>
      <c r="Y1097" s="0" t="str">
        <f aca="false">INDEX('Reward Model'!$E$18:$E$37,MATCH($E1097,'Reward Model'!$A$18:$A$37,0))</f>
        <v>High</v>
      </c>
      <c r="Z1097" s="4" t="n">
        <f aca="false">ROUND(MIN(1,MAX('Reward Model'!$B$2,INDEX('Reward Model'!$C$12:$C$14,MATCH($K1097,'Reward Model'!$A$12:$A$14,0))/$J1097)),3)</f>
        <v>0.873</v>
      </c>
      <c r="AA1097" s="2" t="n">
        <f aca="false">IF($I1097="Correct",ROUND(INDEX('Reward Model'!$B$12:$B$14,MATCH($K1097,'Reward Model'!$A$12:$A$14,0))*Z1097,2),0)</f>
        <v>0</v>
      </c>
      <c r="AB1097" s="2" t="n">
        <f aca="false">IF($I1097="Correct",ROUND(INDEX('Reward Model'!$B$12:$B$14,MATCH($Y1097,'Reward Model'!$A$12:$A$14,0))*Z1097,2),0)</f>
        <v>0</v>
      </c>
    </row>
    <row r="1098" customFormat="false" ht="15" hidden="false" customHeight="false" outlineLevel="0" collapsed="false">
      <c r="A1098" s="0" t="s">
        <v>237</v>
      </c>
      <c r="B1098" s="0" t="s">
        <v>238</v>
      </c>
      <c r="C1098" s="0" t="s">
        <v>30</v>
      </c>
      <c r="D1098" s="0" t="s">
        <v>189</v>
      </c>
      <c r="E1098" s="0" t="n">
        <v>17</v>
      </c>
      <c r="F1098" s="0" t="s">
        <v>74</v>
      </c>
      <c r="G1098" s="0" t="s">
        <v>91</v>
      </c>
      <c r="H1098" s="0" t="s">
        <v>75</v>
      </c>
      <c r="I1098" s="0" t="s">
        <v>39</v>
      </c>
      <c r="J1098" s="0" t="n">
        <v>2.43</v>
      </c>
      <c r="K1098" s="0" t="s">
        <v>73</v>
      </c>
      <c r="L1098" s="0" t="n">
        <f aca="false">INDEX(Summary!$F$2:$F$201,MATCH($B1098,Summary!$A$2:$A$201,0))</f>
        <v>20</v>
      </c>
      <c r="M1098" s="0" t="n">
        <f aca="false">INDEX(Summary!$I$2:$I$201,MATCH($B1098,Summary!$A$2:$A$201,0))</f>
        <v>1</v>
      </c>
      <c r="N1098" s="0" t="n">
        <f aca="false">INDEX(Summary!$J$2:$J$201,MATCH($B1098,Summary!$A$2:$A$201,0))</f>
        <v>4</v>
      </c>
      <c r="O1098" s="2" t="n">
        <f aca="false">INDEX(Summary!$K$2:$K$201,MATCH($B1098,Summary!$A$2:$A$201,0))</f>
        <v>10.85</v>
      </c>
      <c r="P1098" s="3" t="n">
        <f aca="false">INDEX(Summary!$L$2:$L$201,MATCH($B1098,Summary!$A$2:$A$201,0))</f>
        <v>5</v>
      </c>
      <c r="Q1098" s="3" t="n">
        <f aca="false">INDEX(Summary!$M$2:$M$201,MATCH($B1098,Summary!$A$2:$A$201,0))</f>
        <v>1</v>
      </c>
      <c r="R1098" s="2" t="n">
        <f aca="false">INDEX(Summary!$N$2:$N$201,MATCH($B1098,Summary!$A$2:$A$201,0))</f>
        <v>9.72</v>
      </c>
      <c r="S1098" s="3" t="n">
        <f aca="false">INDEX(Summary!$O$2:$O$201,MATCH($B1098,Summary!$A$2:$A$201,0))</f>
        <v>7</v>
      </c>
      <c r="T1098" s="3" t="n">
        <f aca="false">INDEX(Summary!$P$2:$P$201,MATCH($B1098,Summary!$A$2:$A$201,0))</f>
        <v>2</v>
      </c>
      <c r="U1098" s="2" t="n">
        <f aca="false">INDEX(Summary!$Q$2:$Q$201,MATCH($B1098,Summary!$A$2:$A$201,0))</f>
        <v>12.29</v>
      </c>
      <c r="V1098" s="2" t="n">
        <f aca="false">INDEX(Summary!$R$2:$R$201,MATCH($B1098,Summary!$A$2:$A$201,0))</f>
        <v>21.77</v>
      </c>
      <c r="W1098" s="0" t="str">
        <f aca="false">INDEX(Summary!$S$2:$S$201,MATCH($B1098,Summary!$A$2:$A$201,0))</f>
        <v>Silver</v>
      </c>
      <c r="X1098" s="2" t="n">
        <f aca="false">INDEX(Summary!$T$2:$T$201,MATCH($B1098,Summary!$A$2:$A$201,0))</f>
        <v>53.1</v>
      </c>
      <c r="Y1098" s="0" t="str">
        <f aca="false">INDEX('Reward Model'!$E$18:$E$37,MATCH($E1098,'Reward Model'!$A$18:$A$37,0))</f>
        <v>High</v>
      </c>
      <c r="Z1098" s="4" t="n">
        <f aca="false">ROUND(MIN(1,MAX('Reward Model'!$B$2,INDEX('Reward Model'!$C$12:$C$14,MATCH($K1098,'Reward Model'!$A$12:$A$14,0))/$J1098)),3)</f>
        <v>0.823</v>
      </c>
      <c r="AA1098" s="2" t="n">
        <f aca="false">IF($I1098="Correct",ROUND(INDEX('Reward Model'!$B$12:$B$14,MATCH($K1098,'Reward Model'!$A$12:$A$14,0))*Z1098,2),0)</f>
        <v>0</v>
      </c>
      <c r="AB1098" s="2" t="n">
        <f aca="false">IF($I1098="Correct",ROUND(INDEX('Reward Model'!$B$12:$B$14,MATCH($Y1098,'Reward Model'!$A$12:$A$14,0))*Z1098,2),0)</f>
        <v>0</v>
      </c>
    </row>
    <row r="1099" customFormat="false" ht="15" hidden="false" customHeight="false" outlineLevel="0" collapsed="false">
      <c r="A1099" s="0" t="s">
        <v>237</v>
      </c>
      <c r="B1099" s="0" t="s">
        <v>238</v>
      </c>
      <c r="C1099" s="0" t="s">
        <v>30</v>
      </c>
      <c r="D1099" s="0" t="s">
        <v>189</v>
      </c>
      <c r="E1099" s="0" t="n">
        <v>18</v>
      </c>
      <c r="F1099" s="0" t="s">
        <v>76</v>
      </c>
      <c r="G1099" s="0" t="s">
        <v>88</v>
      </c>
      <c r="H1099" s="0" t="s">
        <v>77</v>
      </c>
      <c r="I1099" s="0" t="s">
        <v>39</v>
      </c>
      <c r="J1099" s="0" t="n">
        <v>2.19</v>
      </c>
      <c r="K1099" s="0" t="s">
        <v>73</v>
      </c>
      <c r="L1099" s="0" t="n">
        <f aca="false">INDEX(Summary!$F$2:$F$201,MATCH($B1099,Summary!$A$2:$A$201,0))</f>
        <v>20</v>
      </c>
      <c r="M1099" s="0" t="n">
        <f aca="false">INDEX(Summary!$I$2:$I$201,MATCH($B1099,Summary!$A$2:$A$201,0))</f>
        <v>1</v>
      </c>
      <c r="N1099" s="0" t="n">
        <f aca="false">INDEX(Summary!$J$2:$J$201,MATCH($B1099,Summary!$A$2:$A$201,0))</f>
        <v>4</v>
      </c>
      <c r="O1099" s="2" t="n">
        <f aca="false">INDEX(Summary!$K$2:$K$201,MATCH($B1099,Summary!$A$2:$A$201,0))</f>
        <v>10.85</v>
      </c>
      <c r="P1099" s="3" t="n">
        <f aca="false">INDEX(Summary!$L$2:$L$201,MATCH($B1099,Summary!$A$2:$A$201,0))</f>
        <v>5</v>
      </c>
      <c r="Q1099" s="3" t="n">
        <f aca="false">INDEX(Summary!$M$2:$M$201,MATCH($B1099,Summary!$A$2:$A$201,0))</f>
        <v>1</v>
      </c>
      <c r="R1099" s="2" t="n">
        <f aca="false">INDEX(Summary!$N$2:$N$201,MATCH($B1099,Summary!$A$2:$A$201,0))</f>
        <v>9.72</v>
      </c>
      <c r="S1099" s="3" t="n">
        <f aca="false">INDEX(Summary!$O$2:$O$201,MATCH($B1099,Summary!$A$2:$A$201,0))</f>
        <v>7</v>
      </c>
      <c r="T1099" s="3" t="n">
        <f aca="false">INDEX(Summary!$P$2:$P$201,MATCH($B1099,Summary!$A$2:$A$201,0))</f>
        <v>2</v>
      </c>
      <c r="U1099" s="2" t="n">
        <f aca="false">INDEX(Summary!$Q$2:$Q$201,MATCH($B1099,Summary!$A$2:$A$201,0))</f>
        <v>12.29</v>
      </c>
      <c r="V1099" s="2" t="n">
        <f aca="false">INDEX(Summary!$R$2:$R$201,MATCH($B1099,Summary!$A$2:$A$201,0))</f>
        <v>21.77</v>
      </c>
      <c r="W1099" s="0" t="str">
        <f aca="false">INDEX(Summary!$S$2:$S$201,MATCH($B1099,Summary!$A$2:$A$201,0))</f>
        <v>Silver</v>
      </c>
      <c r="X1099" s="2" t="n">
        <f aca="false">INDEX(Summary!$T$2:$T$201,MATCH($B1099,Summary!$A$2:$A$201,0))</f>
        <v>53.1</v>
      </c>
      <c r="Y1099" s="0" t="str">
        <f aca="false">INDEX('Reward Model'!$E$18:$E$37,MATCH($E1099,'Reward Model'!$A$18:$A$37,0))</f>
        <v>High</v>
      </c>
      <c r="Z1099" s="4" t="n">
        <f aca="false">ROUND(MIN(1,MAX('Reward Model'!$B$2,INDEX('Reward Model'!$C$12:$C$14,MATCH($K1099,'Reward Model'!$A$12:$A$14,0))/$J1099)),3)</f>
        <v>0.913</v>
      </c>
      <c r="AA1099" s="2" t="n">
        <f aca="false">IF($I1099="Correct",ROUND(INDEX('Reward Model'!$B$12:$B$14,MATCH($K1099,'Reward Model'!$A$12:$A$14,0))*Z1099,2),0)</f>
        <v>0</v>
      </c>
      <c r="AB1099" s="2" t="n">
        <f aca="false">IF($I1099="Correct",ROUND(INDEX('Reward Model'!$B$12:$B$14,MATCH($Y1099,'Reward Model'!$A$12:$A$14,0))*Z1099,2),0)</f>
        <v>0</v>
      </c>
    </row>
    <row r="1100" customFormat="false" ht="15" hidden="false" customHeight="false" outlineLevel="0" collapsed="false">
      <c r="A1100" s="0" t="s">
        <v>237</v>
      </c>
      <c r="B1100" s="0" t="s">
        <v>238</v>
      </c>
      <c r="C1100" s="0" t="s">
        <v>30</v>
      </c>
      <c r="D1100" s="0" t="s">
        <v>189</v>
      </c>
      <c r="E1100" s="0" t="n">
        <v>19</v>
      </c>
      <c r="F1100" s="0" t="s">
        <v>78</v>
      </c>
      <c r="G1100" s="0" t="s">
        <v>79</v>
      </c>
      <c r="H1100" s="0" t="s">
        <v>80</v>
      </c>
      <c r="I1100" s="0" t="s">
        <v>39</v>
      </c>
      <c r="J1100" s="0" t="n">
        <v>2.5</v>
      </c>
      <c r="K1100" s="0" t="s">
        <v>73</v>
      </c>
      <c r="L1100" s="0" t="n">
        <f aca="false">INDEX(Summary!$F$2:$F$201,MATCH($B1100,Summary!$A$2:$A$201,0))</f>
        <v>20</v>
      </c>
      <c r="M1100" s="0" t="n">
        <f aca="false">INDEX(Summary!$I$2:$I$201,MATCH($B1100,Summary!$A$2:$A$201,0))</f>
        <v>1</v>
      </c>
      <c r="N1100" s="0" t="n">
        <f aca="false">INDEX(Summary!$J$2:$J$201,MATCH($B1100,Summary!$A$2:$A$201,0))</f>
        <v>4</v>
      </c>
      <c r="O1100" s="2" t="n">
        <f aca="false">INDEX(Summary!$K$2:$K$201,MATCH($B1100,Summary!$A$2:$A$201,0))</f>
        <v>10.85</v>
      </c>
      <c r="P1100" s="3" t="n">
        <f aca="false">INDEX(Summary!$L$2:$L$201,MATCH($B1100,Summary!$A$2:$A$201,0))</f>
        <v>5</v>
      </c>
      <c r="Q1100" s="3" t="n">
        <f aca="false">INDEX(Summary!$M$2:$M$201,MATCH($B1100,Summary!$A$2:$A$201,0))</f>
        <v>1</v>
      </c>
      <c r="R1100" s="2" t="n">
        <f aca="false">INDEX(Summary!$N$2:$N$201,MATCH($B1100,Summary!$A$2:$A$201,0))</f>
        <v>9.72</v>
      </c>
      <c r="S1100" s="3" t="n">
        <f aca="false">INDEX(Summary!$O$2:$O$201,MATCH($B1100,Summary!$A$2:$A$201,0))</f>
        <v>7</v>
      </c>
      <c r="T1100" s="3" t="n">
        <f aca="false">INDEX(Summary!$P$2:$P$201,MATCH($B1100,Summary!$A$2:$A$201,0))</f>
        <v>2</v>
      </c>
      <c r="U1100" s="2" t="n">
        <f aca="false">INDEX(Summary!$Q$2:$Q$201,MATCH($B1100,Summary!$A$2:$A$201,0))</f>
        <v>12.29</v>
      </c>
      <c r="V1100" s="2" t="n">
        <f aca="false">INDEX(Summary!$R$2:$R$201,MATCH($B1100,Summary!$A$2:$A$201,0))</f>
        <v>21.77</v>
      </c>
      <c r="W1100" s="0" t="str">
        <f aca="false">INDEX(Summary!$S$2:$S$201,MATCH($B1100,Summary!$A$2:$A$201,0))</f>
        <v>Silver</v>
      </c>
      <c r="X1100" s="2" t="n">
        <f aca="false">INDEX(Summary!$T$2:$T$201,MATCH($B1100,Summary!$A$2:$A$201,0))</f>
        <v>53.1</v>
      </c>
      <c r="Y1100" s="0" t="str">
        <f aca="false">INDEX('Reward Model'!$E$18:$E$37,MATCH($E1100,'Reward Model'!$A$18:$A$37,0))</f>
        <v>High</v>
      </c>
      <c r="Z1100" s="4" t="n">
        <f aca="false">ROUND(MIN(1,MAX('Reward Model'!$B$2,INDEX('Reward Model'!$C$12:$C$14,MATCH($K1100,'Reward Model'!$A$12:$A$14,0))/$J1100)),3)</f>
        <v>0.8</v>
      </c>
      <c r="AA1100" s="2" t="n">
        <f aca="false">IF($I1100="Correct",ROUND(INDEX('Reward Model'!$B$12:$B$14,MATCH($K1100,'Reward Model'!$A$12:$A$14,0))*Z1100,2),0)</f>
        <v>0</v>
      </c>
      <c r="AB1100" s="2" t="n">
        <f aca="false">IF($I1100="Correct",ROUND(INDEX('Reward Model'!$B$12:$B$14,MATCH($Y1100,'Reward Model'!$A$12:$A$14,0))*Z1100,2),0)</f>
        <v>0</v>
      </c>
    </row>
    <row r="1101" customFormat="false" ht="15" hidden="false" customHeight="false" outlineLevel="0" collapsed="false">
      <c r="A1101" s="0" t="s">
        <v>237</v>
      </c>
      <c r="B1101" s="0" t="s">
        <v>238</v>
      </c>
      <c r="C1101" s="0" t="s">
        <v>30</v>
      </c>
      <c r="D1101" s="0" t="s">
        <v>189</v>
      </c>
      <c r="E1101" s="0" t="n">
        <v>20</v>
      </c>
      <c r="F1101" s="0" t="s">
        <v>81</v>
      </c>
      <c r="G1101" s="0" t="s">
        <v>83</v>
      </c>
      <c r="H1101" s="0" t="s">
        <v>83</v>
      </c>
      <c r="I1101" s="0" t="s">
        <v>34</v>
      </c>
      <c r="J1101" s="0" t="n">
        <v>1.44</v>
      </c>
      <c r="K1101" s="0" t="s">
        <v>73</v>
      </c>
      <c r="L1101" s="0" t="n">
        <f aca="false">INDEX(Summary!$F$2:$F$201,MATCH($B1101,Summary!$A$2:$A$201,0))</f>
        <v>20</v>
      </c>
      <c r="M1101" s="0" t="n">
        <f aca="false">INDEX(Summary!$I$2:$I$201,MATCH($B1101,Summary!$A$2:$A$201,0))</f>
        <v>1</v>
      </c>
      <c r="N1101" s="0" t="n">
        <f aca="false">INDEX(Summary!$J$2:$J$201,MATCH($B1101,Summary!$A$2:$A$201,0))</f>
        <v>4</v>
      </c>
      <c r="O1101" s="2" t="n">
        <f aca="false">INDEX(Summary!$K$2:$K$201,MATCH($B1101,Summary!$A$2:$A$201,0))</f>
        <v>10.85</v>
      </c>
      <c r="P1101" s="3" t="n">
        <f aca="false">INDEX(Summary!$L$2:$L$201,MATCH($B1101,Summary!$A$2:$A$201,0))</f>
        <v>5</v>
      </c>
      <c r="Q1101" s="3" t="n">
        <f aca="false">INDEX(Summary!$M$2:$M$201,MATCH($B1101,Summary!$A$2:$A$201,0))</f>
        <v>1</v>
      </c>
      <c r="R1101" s="2" t="n">
        <f aca="false">INDEX(Summary!$N$2:$N$201,MATCH($B1101,Summary!$A$2:$A$201,0))</f>
        <v>9.72</v>
      </c>
      <c r="S1101" s="3" t="n">
        <f aca="false">INDEX(Summary!$O$2:$O$201,MATCH($B1101,Summary!$A$2:$A$201,0))</f>
        <v>7</v>
      </c>
      <c r="T1101" s="3" t="n">
        <f aca="false">INDEX(Summary!$P$2:$P$201,MATCH($B1101,Summary!$A$2:$A$201,0))</f>
        <v>2</v>
      </c>
      <c r="U1101" s="2" t="n">
        <f aca="false">INDEX(Summary!$Q$2:$Q$201,MATCH($B1101,Summary!$A$2:$A$201,0))</f>
        <v>12.29</v>
      </c>
      <c r="V1101" s="2" t="n">
        <f aca="false">INDEX(Summary!$R$2:$R$201,MATCH($B1101,Summary!$A$2:$A$201,0))</f>
        <v>21.77</v>
      </c>
      <c r="W1101" s="0" t="str">
        <f aca="false">INDEX(Summary!$S$2:$S$201,MATCH($B1101,Summary!$A$2:$A$201,0))</f>
        <v>Silver</v>
      </c>
      <c r="X1101" s="2" t="n">
        <f aca="false">INDEX(Summary!$T$2:$T$201,MATCH($B1101,Summary!$A$2:$A$201,0))</f>
        <v>53.1</v>
      </c>
      <c r="Y1101" s="0" t="str">
        <f aca="false">INDEX('Reward Model'!$E$18:$E$37,MATCH($E1101,'Reward Model'!$A$18:$A$37,0))</f>
        <v>High</v>
      </c>
      <c r="Z1101" s="4" t="n">
        <f aca="false">ROUND(MIN(1,MAX('Reward Model'!$B$2,INDEX('Reward Model'!$C$12:$C$14,MATCH($K1101,'Reward Model'!$A$12:$A$14,0))/$J1101)),3)</f>
        <v>1</v>
      </c>
      <c r="AA1101" s="2" t="n">
        <f aca="false">IF($I1101="Correct",ROUND(INDEX('Reward Model'!$B$12:$B$14,MATCH($K1101,'Reward Model'!$A$12:$A$14,0))*Z1101,2),0)</f>
        <v>3</v>
      </c>
      <c r="AB1101" s="2" t="n">
        <f aca="false">IF($I1101="Correct",ROUND(INDEX('Reward Model'!$B$12:$B$14,MATCH($Y1101,'Reward Model'!$A$12:$A$14,0))*Z1101,2),0)</f>
        <v>3</v>
      </c>
    </row>
    <row r="1102" customFormat="false" ht="15" hidden="false" customHeight="false" outlineLevel="0" collapsed="false">
      <c r="A1102" s="0" t="s">
        <v>239</v>
      </c>
      <c r="B1102" s="0" t="s">
        <v>240</v>
      </c>
      <c r="C1102" s="0" t="s">
        <v>30</v>
      </c>
      <c r="D1102" s="0" t="s">
        <v>189</v>
      </c>
      <c r="E1102" s="0" t="n">
        <v>1</v>
      </c>
      <c r="F1102" s="0" t="s">
        <v>32</v>
      </c>
      <c r="G1102" s="0" t="s">
        <v>33</v>
      </c>
      <c r="H1102" s="0" t="s">
        <v>33</v>
      </c>
      <c r="I1102" s="0" t="s">
        <v>34</v>
      </c>
      <c r="J1102" s="0" t="n">
        <v>1.03</v>
      </c>
      <c r="K1102" s="0" t="s">
        <v>35</v>
      </c>
      <c r="L1102" s="0" t="n">
        <f aca="false">INDEX(Summary!$F$2:$F$201,MATCH($B1102,Summary!$A$2:$A$201,0))</f>
        <v>20</v>
      </c>
      <c r="M1102" s="0" t="n">
        <f aca="false">INDEX(Summary!$I$2:$I$201,MATCH($B1102,Summary!$A$2:$A$201,0))</f>
        <v>1</v>
      </c>
      <c r="N1102" s="0" t="n">
        <f aca="false">INDEX(Summary!$J$2:$J$201,MATCH($B1102,Summary!$A$2:$A$201,0))</f>
        <v>4</v>
      </c>
      <c r="O1102" s="2" t="n">
        <f aca="false">INDEX(Summary!$K$2:$K$201,MATCH($B1102,Summary!$A$2:$A$201,0))</f>
        <v>8.38</v>
      </c>
      <c r="P1102" s="3" t="n">
        <f aca="false">INDEX(Summary!$L$2:$L$201,MATCH($B1102,Summary!$A$2:$A$201,0))</f>
        <v>3</v>
      </c>
      <c r="Q1102" s="3" t="n">
        <f aca="false">INDEX(Summary!$M$2:$M$201,MATCH($B1102,Summary!$A$2:$A$201,0))</f>
        <v>3</v>
      </c>
      <c r="R1102" s="2" t="n">
        <f aca="false">INDEX(Summary!$N$2:$N$201,MATCH($B1102,Summary!$A$2:$A$201,0))</f>
        <v>9.83</v>
      </c>
      <c r="S1102" s="3" t="n">
        <f aca="false">INDEX(Summary!$O$2:$O$201,MATCH($B1102,Summary!$A$2:$A$201,0))</f>
        <v>5</v>
      </c>
      <c r="T1102" s="3" t="n">
        <f aca="false">INDEX(Summary!$P$2:$P$201,MATCH($B1102,Summary!$A$2:$A$201,0))</f>
        <v>4</v>
      </c>
      <c r="U1102" s="2" t="n">
        <f aca="false">INDEX(Summary!$Q$2:$Q$201,MATCH($B1102,Summary!$A$2:$A$201,0))</f>
        <v>14.18</v>
      </c>
      <c r="V1102" s="2" t="n">
        <f aca="false">INDEX(Summary!$R$2:$R$201,MATCH($B1102,Summary!$A$2:$A$201,0))</f>
        <v>16.25</v>
      </c>
      <c r="W1102" s="0" t="str">
        <f aca="false">INDEX(Summary!$S$2:$S$201,MATCH($B1102,Summary!$A$2:$A$201,0))</f>
        <v>Bronze</v>
      </c>
      <c r="X1102" s="2" t="n">
        <f aca="false">INDEX(Summary!$T$2:$T$201,MATCH($B1102,Summary!$A$2:$A$201,0))</f>
        <v>39.63</v>
      </c>
      <c r="Y1102" s="0" t="str">
        <f aca="false">INDEX('Reward Model'!$E$18:$E$37,MATCH($E1102,'Reward Model'!$A$18:$A$37,0))</f>
        <v>Medium</v>
      </c>
      <c r="Z1102" s="4" t="n">
        <f aca="false">ROUND(MIN(1,MAX('Reward Model'!$B$2,INDEX('Reward Model'!$C$12:$C$14,MATCH($K1102,'Reward Model'!$A$12:$A$14,0))/$J1102)),3)</f>
        <v>1</v>
      </c>
      <c r="AA1102" s="2" t="n">
        <f aca="false">IF($I1102="Correct",ROUND(INDEX('Reward Model'!$B$12:$B$14,MATCH($K1102,'Reward Model'!$A$12:$A$14,0))*Z1102,2),0)</f>
        <v>1</v>
      </c>
      <c r="AB1102" s="2" t="n">
        <f aca="false">IF($I1102="Correct",ROUND(INDEX('Reward Model'!$B$12:$B$14,MATCH($Y1102,'Reward Model'!$A$12:$A$14,0))*Z1102,2),0)</f>
        <v>2</v>
      </c>
    </row>
    <row r="1103" customFormat="false" ht="15" hidden="false" customHeight="false" outlineLevel="0" collapsed="false">
      <c r="A1103" s="0" t="s">
        <v>239</v>
      </c>
      <c r="B1103" s="0" t="s">
        <v>240</v>
      </c>
      <c r="C1103" s="0" t="s">
        <v>30</v>
      </c>
      <c r="D1103" s="0" t="s">
        <v>189</v>
      </c>
      <c r="E1103" s="0" t="n">
        <v>2</v>
      </c>
      <c r="F1103" s="0" t="s">
        <v>36</v>
      </c>
      <c r="G1103" s="0" t="s">
        <v>94</v>
      </c>
      <c r="H1103" s="0" t="s">
        <v>38</v>
      </c>
      <c r="I1103" s="0" t="s">
        <v>39</v>
      </c>
      <c r="J1103" s="0" t="n">
        <v>1.61</v>
      </c>
      <c r="K1103" s="0" t="s">
        <v>35</v>
      </c>
      <c r="L1103" s="0" t="n">
        <f aca="false">INDEX(Summary!$F$2:$F$201,MATCH($B1103,Summary!$A$2:$A$201,0))</f>
        <v>20</v>
      </c>
      <c r="M1103" s="0" t="n">
        <f aca="false">INDEX(Summary!$I$2:$I$201,MATCH($B1103,Summary!$A$2:$A$201,0))</f>
        <v>1</v>
      </c>
      <c r="N1103" s="0" t="n">
        <f aca="false">INDEX(Summary!$J$2:$J$201,MATCH($B1103,Summary!$A$2:$A$201,0))</f>
        <v>4</v>
      </c>
      <c r="O1103" s="2" t="n">
        <f aca="false">INDEX(Summary!$K$2:$K$201,MATCH($B1103,Summary!$A$2:$A$201,0))</f>
        <v>8.38</v>
      </c>
      <c r="P1103" s="3" t="n">
        <f aca="false">INDEX(Summary!$L$2:$L$201,MATCH($B1103,Summary!$A$2:$A$201,0))</f>
        <v>3</v>
      </c>
      <c r="Q1103" s="3" t="n">
        <f aca="false">INDEX(Summary!$M$2:$M$201,MATCH($B1103,Summary!$A$2:$A$201,0))</f>
        <v>3</v>
      </c>
      <c r="R1103" s="2" t="n">
        <f aca="false">INDEX(Summary!$N$2:$N$201,MATCH($B1103,Summary!$A$2:$A$201,0))</f>
        <v>9.83</v>
      </c>
      <c r="S1103" s="3" t="n">
        <f aca="false">INDEX(Summary!$O$2:$O$201,MATCH($B1103,Summary!$A$2:$A$201,0))</f>
        <v>5</v>
      </c>
      <c r="T1103" s="3" t="n">
        <f aca="false">INDEX(Summary!$P$2:$P$201,MATCH($B1103,Summary!$A$2:$A$201,0))</f>
        <v>4</v>
      </c>
      <c r="U1103" s="2" t="n">
        <f aca="false">INDEX(Summary!$Q$2:$Q$201,MATCH($B1103,Summary!$A$2:$A$201,0))</f>
        <v>14.18</v>
      </c>
      <c r="V1103" s="2" t="n">
        <f aca="false">INDEX(Summary!$R$2:$R$201,MATCH($B1103,Summary!$A$2:$A$201,0))</f>
        <v>16.25</v>
      </c>
      <c r="W1103" s="0" t="str">
        <f aca="false">INDEX(Summary!$S$2:$S$201,MATCH($B1103,Summary!$A$2:$A$201,0))</f>
        <v>Bronze</v>
      </c>
      <c r="X1103" s="2" t="n">
        <f aca="false">INDEX(Summary!$T$2:$T$201,MATCH($B1103,Summary!$A$2:$A$201,0))</f>
        <v>39.63</v>
      </c>
      <c r="Y1103" s="0" t="str">
        <f aca="false">INDEX('Reward Model'!$E$18:$E$37,MATCH($E1103,'Reward Model'!$A$18:$A$37,0))</f>
        <v>Low</v>
      </c>
      <c r="Z1103" s="4" t="n">
        <f aca="false">ROUND(MIN(1,MAX('Reward Model'!$B$2,INDEX('Reward Model'!$C$12:$C$14,MATCH($K1103,'Reward Model'!$A$12:$A$14,0))/$J1103)),3)</f>
        <v>0.932</v>
      </c>
      <c r="AA1103" s="2" t="n">
        <f aca="false">IF($I1103="Correct",ROUND(INDEX('Reward Model'!$B$12:$B$14,MATCH($K1103,'Reward Model'!$A$12:$A$14,0))*Z1103,2),0)</f>
        <v>0</v>
      </c>
      <c r="AB1103" s="2" t="n">
        <f aca="false">IF($I1103="Correct",ROUND(INDEX('Reward Model'!$B$12:$B$14,MATCH($Y1103,'Reward Model'!$A$12:$A$14,0))*Z1103,2),0)</f>
        <v>0</v>
      </c>
    </row>
    <row r="1104" customFormat="false" ht="15" hidden="false" customHeight="false" outlineLevel="0" collapsed="false">
      <c r="A1104" s="0" t="s">
        <v>239</v>
      </c>
      <c r="B1104" s="0" t="s">
        <v>240</v>
      </c>
      <c r="C1104" s="0" t="s">
        <v>30</v>
      </c>
      <c r="D1104" s="0" t="s">
        <v>189</v>
      </c>
      <c r="E1104" s="0" t="n">
        <v>3</v>
      </c>
      <c r="F1104" s="0" t="s">
        <v>40</v>
      </c>
      <c r="G1104" s="0" t="s">
        <v>42</v>
      </c>
      <c r="H1104" s="0" t="s">
        <v>42</v>
      </c>
      <c r="I1104" s="0" t="s">
        <v>34</v>
      </c>
      <c r="J1104" s="0" t="n">
        <v>1.99</v>
      </c>
      <c r="K1104" s="0" t="s">
        <v>35</v>
      </c>
      <c r="L1104" s="0" t="n">
        <f aca="false">INDEX(Summary!$F$2:$F$201,MATCH($B1104,Summary!$A$2:$A$201,0))</f>
        <v>20</v>
      </c>
      <c r="M1104" s="0" t="n">
        <f aca="false">INDEX(Summary!$I$2:$I$201,MATCH($B1104,Summary!$A$2:$A$201,0))</f>
        <v>1</v>
      </c>
      <c r="N1104" s="0" t="n">
        <f aca="false">INDEX(Summary!$J$2:$J$201,MATCH($B1104,Summary!$A$2:$A$201,0))</f>
        <v>4</v>
      </c>
      <c r="O1104" s="2" t="n">
        <f aca="false">INDEX(Summary!$K$2:$K$201,MATCH($B1104,Summary!$A$2:$A$201,0))</f>
        <v>8.38</v>
      </c>
      <c r="P1104" s="3" t="n">
        <f aca="false">INDEX(Summary!$L$2:$L$201,MATCH($B1104,Summary!$A$2:$A$201,0))</f>
        <v>3</v>
      </c>
      <c r="Q1104" s="3" t="n">
        <f aca="false">INDEX(Summary!$M$2:$M$201,MATCH($B1104,Summary!$A$2:$A$201,0))</f>
        <v>3</v>
      </c>
      <c r="R1104" s="2" t="n">
        <f aca="false">INDEX(Summary!$N$2:$N$201,MATCH($B1104,Summary!$A$2:$A$201,0))</f>
        <v>9.83</v>
      </c>
      <c r="S1104" s="3" t="n">
        <f aca="false">INDEX(Summary!$O$2:$O$201,MATCH($B1104,Summary!$A$2:$A$201,0))</f>
        <v>5</v>
      </c>
      <c r="T1104" s="3" t="n">
        <f aca="false">INDEX(Summary!$P$2:$P$201,MATCH($B1104,Summary!$A$2:$A$201,0))</f>
        <v>4</v>
      </c>
      <c r="U1104" s="2" t="n">
        <f aca="false">INDEX(Summary!$Q$2:$Q$201,MATCH($B1104,Summary!$A$2:$A$201,0))</f>
        <v>14.18</v>
      </c>
      <c r="V1104" s="2" t="n">
        <f aca="false">INDEX(Summary!$R$2:$R$201,MATCH($B1104,Summary!$A$2:$A$201,0))</f>
        <v>16.25</v>
      </c>
      <c r="W1104" s="0" t="str">
        <f aca="false">INDEX(Summary!$S$2:$S$201,MATCH($B1104,Summary!$A$2:$A$201,0))</f>
        <v>Bronze</v>
      </c>
      <c r="X1104" s="2" t="n">
        <f aca="false">INDEX(Summary!$T$2:$T$201,MATCH($B1104,Summary!$A$2:$A$201,0))</f>
        <v>39.63</v>
      </c>
      <c r="Y1104" s="0" t="str">
        <f aca="false">INDEX('Reward Model'!$E$18:$E$37,MATCH($E1104,'Reward Model'!$A$18:$A$37,0))</f>
        <v>Medium</v>
      </c>
      <c r="Z1104" s="4" t="n">
        <f aca="false">ROUND(MIN(1,MAX('Reward Model'!$B$2,INDEX('Reward Model'!$C$12:$C$14,MATCH($K1104,'Reward Model'!$A$12:$A$14,0))/$J1104)),3)</f>
        <v>0.754</v>
      </c>
      <c r="AA1104" s="2" t="n">
        <f aca="false">IF($I1104="Correct",ROUND(INDEX('Reward Model'!$B$12:$B$14,MATCH($K1104,'Reward Model'!$A$12:$A$14,0))*Z1104,2),0)</f>
        <v>0.75</v>
      </c>
      <c r="AB1104" s="2" t="n">
        <f aca="false">IF($I1104="Correct",ROUND(INDEX('Reward Model'!$B$12:$B$14,MATCH($Y1104,'Reward Model'!$A$12:$A$14,0))*Z1104,2),0)</f>
        <v>1.51</v>
      </c>
    </row>
    <row r="1105" customFormat="false" ht="15" hidden="false" customHeight="false" outlineLevel="0" collapsed="false">
      <c r="A1105" s="0" t="s">
        <v>239</v>
      </c>
      <c r="B1105" s="0" t="s">
        <v>240</v>
      </c>
      <c r="C1105" s="0" t="s">
        <v>30</v>
      </c>
      <c r="D1105" s="0" t="s">
        <v>189</v>
      </c>
      <c r="E1105" s="0" t="n">
        <v>4</v>
      </c>
      <c r="F1105" s="0" t="s">
        <v>43</v>
      </c>
      <c r="G1105" s="0" t="s">
        <v>44</v>
      </c>
      <c r="H1105" s="0" t="s">
        <v>45</v>
      </c>
      <c r="I1105" s="0" t="s">
        <v>39</v>
      </c>
      <c r="J1105" s="0" t="n">
        <v>1.6</v>
      </c>
      <c r="K1105" s="0" t="s">
        <v>35</v>
      </c>
      <c r="L1105" s="0" t="n">
        <f aca="false">INDEX(Summary!$F$2:$F$201,MATCH($B1105,Summary!$A$2:$A$201,0))</f>
        <v>20</v>
      </c>
      <c r="M1105" s="0" t="n">
        <f aca="false">INDEX(Summary!$I$2:$I$201,MATCH($B1105,Summary!$A$2:$A$201,0))</f>
        <v>1</v>
      </c>
      <c r="N1105" s="0" t="n">
        <f aca="false">INDEX(Summary!$J$2:$J$201,MATCH($B1105,Summary!$A$2:$A$201,0))</f>
        <v>4</v>
      </c>
      <c r="O1105" s="2" t="n">
        <f aca="false">INDEX(Summary!$K$2:$K$201,MATCH($B1105,Summary!$A$2:$A$201,0))</f>
        <v>8.38</v>
      </c>
      <c r="P1105" s="3" t="n">
        <f aca="false">INDEX(Summary!$L$2:$L$201,MATCH($B1105,Summary!$A$2:$A$201,0))</f>
        <v>3</v>
      </c>
      <c r="Q1105" s="3" t="n">
        <f aca="false">INDEX(Summary!$M$2:$M$201,MATCH($B1105,Summary!$A$2:$A$201,0))</f>
        <v>3</v>
      </c>
      <c r="R1105" s="2" t="n">
        <f aca="false">INDEX(Summary!$N$2:$N$201,MATCH($B1105,Summary!$A$2:$A$201,0))</f>
        <v>9.83</v>
      </c>
      <c r="S1105" s="3" t="n">
        <f aca="false">INDEX(Summary!$O$2:$O$201,MATCH($B1105,Summary!$A$2:$A$201,0))</f>
        <v>5</v>
      </c>
      <c r="T1105" s="3" t="n">
        <f aca="false">INDEX(Summary!$P$2:$P$201,MATCH($B1105,Summary!$A$2:$A$201,0))</f>
        <v>4</v>
      </c>
      <c r="U1105" s="2" t="n">
        <f aca="false">INDEX(Summary!$Q$2:$Q$201,MATCH($B1105,Summary!$A$2:$A$201,0))</f>
        <v>14.18</v>
      </c>
      <c r="V1105" s="2" t="n">
        <f aca="false">INDEX(Summary!$R$2:$R$201,MATCH($B1105,Summary!$A$2:$A$201,0))</f>
        <v>16.25</v>
      </c>
      <c r="W1105" s="0" t="str">
        <f aca="false">INDEX(Summary!$S$2:$S$201,MATCH($B1105,Summary!$A$2:$A$201,0))</f>
        <v>Bronze</v>
      </c>
      <c r="X1105" s="2" t="n">
        <f aca="false">INDEX(Summary!$T$2:$T$201,MATCH($B1105,Summary!$A$2:$A$201,0))</f>
        <v>39.63</v>
      </c>
      <c r="Y1105" s="0" t="str">
        <f aca="false">INDEX('Reward Model'!$E$18:$E$37,MATCH($E1105,'Reward Model'!$A$18:$A$37,0))</f>
        <v>Low</v>
      </c>
      <c r="Z1105" s="4" t="n">
        <f aca="false">ROUND(MIN(1,MAX('Reward Model'!$B$2,INDEX('Reward Model'!$C$12:$C$14,MATCH($K1105,'Reward Model'!$A$12:$A$14,0))/$J1105)),3)</f>
        <v>0.938</v>
      </c>
      <c r="AA1105" s="2" t="n">
        <f aca="false">IF($I1105="Correct",ROUND(INDEX('Reward Model'!$B$12:$B$14,MATCH($K1105,'Reward Model'!$A$12:$A$14,0))*Z1105,2),0)</f>
        <v>0</v>
      </c>
      <c r="AB1105" s="2" t="n">
        <f aca="false">IF($I1105="Correct",ROUND(INDEX('Reward Model'!$B$12:$B$14,MATCH($Y1105,'Reward Model'!$A$12:$A$14,0))*Z1105,2),0)</f>
        <v>0</v>
      </c>
    </row>
    <row r="1106" customFormat="false" ht="15" hidden="false" customHeight="false" outlineLevel="0" collapsed="false">
      <c r="A1106" s="0" t="s">
        <v>239</v>
      </c>
      <c r="B1106" s="0" t="s">
        <v>240</v>
      </c>
      <c r="C1106" s="0" t="s">
        <v>30</v>
      </c>
      <c r="D1106" s="0" t="s">
        <v>189</v>
      </c>
      <c r="E1106" s="0" t="n">
        <v>5</v>
      </c>
      <c r="F1106" s="0" t="s">
        <v>46</v>
      </c>
      <c r="G1106" s="0" t="s">
        <v>47</v>
      </c>
      <c r="H1106" s="0" t="s">
        <v>47</v>
      </c>
      <c r="I1106" s="0" t="s">
        <v>34</v>
      </c>
      <c r="J1106" s="0" t="n">
        <v>1.81</v>
      </c>
      <c r="K1106" s="0" t="s">
        <v>35</v>
      </c>
      <c r="L1106" s="0" t="n">
        <f aca="false">INDEX(Summary!$F$2:$F$201,MATCH($B1106,Summary!$A$2:$A$201,0))</f>
        <v>20</v>
      </c>
      <c r="M1106" s="0" t="n">
        <f aca="false">INDEX(Summary!$I$2:$I$201,MATCH($B1106,Summary!$A$2:$A$201,0))</f>
        <v>1</v>
      </c>
      <c r="N1106" s="0" t="n">
        <f aca="false">INDEX(Summary!$J$2:$J$201,MATCH($B1106,Summary!$A$2:$A$201,0))</f>
        <v>4</v>
      </c>
      <c r="O1106" s="2" t="n">
        <f aca="false">INDEX(Summary!$K$2:$K$201,MATCH($B1106,Summary!$A$2:$A$201,0))</f>
        <v>8.38</v>
      </c>
      <c r="P1106" s="3" t="n">
        <f aca="false">INDEX(Summary!$L$2:$L$201,MATCH($B1106,Summary!$A$2:$A$201,0))</f>
        <v>3</v>
      </c>
      <c r="Q1106" s="3" t="n">
        <f aca="false">INDEX(Summary!$M$2:$M$201,MATCH($B1106,Summary!$A$2:$A$201,0))</f>
        <v>3</v>
      </c>
      <c r="R1106" s="2" t="n">
        <f aca="false">INDEX(Summary!$N$2:$N$201,MATCH($B1106,Summary!$A$2:$A$201,0))</f>
        <v>9.83</v>
      </c>
      <c r="S1106" s="3" t="n">
        <f aca="false">INDEX(Summary!$O$2:$O$201,MATCH($B1106,Summary!$A$2:$A$201,0))</f>
        <v>5</v>
      </c>
      <c r="T1106" s="3" t="n">
        <f aca="false">INDEX(Summary!$P$2:$P$201,MATCH($B1106,Summary!$A$2:$A$201,0))</f>
        <v>4</v>
      </c>
      <c r="U1106" s="2" t="n">
        <f aca="false">INDEX(Summary!$Q$2:$Q$201,MATCH($B1106,Summary!$A$2:$A$201,0))</f>
        <v>14.18</v>
      </c>
      <c r="V1106" s="2" t="n">
        <f aca="false">INDEX(Summary!$R$2:$R$201,MATCH($B1106,Summary!$A$2:$A$201,0))</f>
        <v>16.25</v>
      </c>
      <c r="W1106" s="0" t="str">
        <f aca="false">INDEX(Summary!$S$2:$S$201,MATCH($B1106,Summary!$A$2:$A$201,0))</f>
        <v>Bronze</v>
      </c>
      <c r="X1106" s="2" t="n">
        <f aca="false">INDEX(Summary!$T$2:$T$201,MATCH($B1106,Summary!$A$2:$A$201,0))</f>
        <v>39.63</v>
      </c>
      <c r="Y1106" s="0" t="str">
        <f aca="false">INDEX('Reward Model'!$E$18:$E$37,MATCH($E1106,'Reward Model'!$A$18:$A$37,0))</f>
        <v>Low</v>
      </c>
      <c r="Z1106" s="4" t="n">
        <f aca="false">ROUND(MIN(1,MAX('Reward Model'!$B$2,INDEX('Reward Model'!$C$12:$C$14,MATCH($K1106,'Reward Model'!$A$12:$A$14,0))/$J1106)),3)</f>
        <v>0.829</v>
      </c>
      <c r="AA1106" s="2" t="n">
        <f aca="false">IF($I1106="Correct",ROUND(INDEX('Reward Model'!$B$12:$B$14,MATCH($K1106,'Reward Model'!$A$12:$A$14,0))*Z1106,2),0)</f>
        <v>0.83</v>
      </c>
      <c r="AB1106" s="2" t="n">
        <f aca="false">IF($I1106="Correct",ROUND(INDEX('Reward Model'!$B$12:$B$14,MATCH($Y1106,'Reward Model'!$A$12:$A$14,0))*Z1106,2),0)</f>
        <v>0.83</v>
      </c>
    </row>
    <row r="1107" customFormat="false" ht="15" hidden="false" customHeight="false" outlineLevel="0" collapsed="false">
      <c r="A1107" s="0" t="s">
        <v>239</v>
      </c>
      <c r="B1107" s="0" t="s">
        <v>240</v>
      </c>
      <c r="C1107" s="0" t="s">
        <v>30</v>
      </c>
      <c r="D1107" s="0" t="s">
        <v>189</v>
      </c>
      <c r="E1107" s="0" t="n">
        <v>6</v>
      </c>
      <c r="F1107" s="0" t="s">
        <v>48</v>
      </c>
      <c r="G1107" s="0" t="s">
        <v>49</v>
      </c>
      <c r="H1107" s="0" t="s">
        <v>49</v>
      </c>
      <c r="I1107" s="0" t="s">
        <v>34</v>
      </c>
      <c r="J1107" s="0" t="n">
        <v>1.68</v>
      </c>
      <c r="K1107" s="0" t="s">
        <v>35</v>
      </c>
      <c r="L1107" s="0" t="n">
        <f aca="false">INDEX(Summary!$F$2:$F$201,MATCH($B1107,Summary!$A$2:$A$201,0))</f>
        <v>20</v>
      </c>
      <c r="M1107" s="0" t="n">
        <f aca="false">INDEX(Summary!$I$2:$I$201,MATCH($B1107,Summary!$A$2:$A$201,0))</f>
        <v>1</v>
      </c>
      <c r="N1107" s="0" t="n">
        <f aca="false">INDEX(Summary!$J$2:$J$201,MATCH($B1107,Summary!$A$2:$A$201,0))</f>
        <v>4</v>
      </c>
      <c r="O1107" s="2" t="n">
        <f aca="false">INDEX(Summary!$K$2:$K$201,MATCH($B1107,Summary!$A$2:$A$201,0))</f>
        <v>8.38</v>
      </c>
      <c r="P1107" s="3" t="n">
        <f aca="false">INDEX(Summary!$L$2:$L$201,MATCH($B1107,Summary!$A$2:$A$201,0))</f>
        <v>3</v>
      </c>
      <c r="Q1107" s="3" t="n">
        <f aca="false">INDEX(Summary!$M$2:$M$201,MATCH($B1107,Summary!$A$2:$A$201,0))</f>
        <v>3</v>
      </c>
      <c r="R1107" s="2" t="n">
        <f aca="false">INDEX(Summary!$N$2:$N$201,MATCH($B1107,Summary!$A$2:$A$201,0))</f>
        <v>9.83</v>
      </c>
      <c r="S1107" s="3" t="n">
        <f aca="false">INDEX(Summary!$O$2:$O$201,MATCH($B1107,Summary!$A$2:$A$201,0))</f>
        <v>5</v>
      </c>
      <c r="T1107" s="3" t="n">
        <f aca="false">INDEX(Summary!$P$2:$P$201,MATCH($B1107,Summary!$A$2:$A$201,0))</f>
        <v>4</v>
      </c>
      <c r="U1107" s="2" t="n">
        <f aca="false">INDEX(Summary!$Q$2:$Q$201,MATCH($B1107,Summary!$A$2:$A$201,0))</f>
        <v>14.18</v>
      </c>
      <c r="V1107" s="2" t="n">
        <f aca="false">INDEX(Summary!$R$2:$R$201,MATCH($B1107,Summary!$A$2:$A$201,0))</f>
        <v>16.25</v>
      </c>
      <c r="W1107" s="0" t="str">
        <f aca="false">INDEX(Summary!$S$2:$S$201,MATCH($B1107,Summary!$A$2:$A$201,0))</f>
        <v>Bronze</v>
      </c>
      <c r="X1107" s="2" t="n">
        <f aca="false">INDEX(Summary!$T$2:$T$201,MATCH($B1107,Summary!$A$2:$A$201,0))</f>
        <v>39.63</v>
      </c>
      <c r="Y1107" s="0" t="str">
        <f aca="false">INDEX('Reward Model'!$E$18:$E$37,MATCH($E1107,'Reward Model'!$A$18:$A$37,0))</f>
        <v>Medium</v>
      </c>
      <c r="Z1107" s="4" t="n">
        <f aca="false">ROUND(MIN(1,MAX('Reward Model'!$B$2,INDEX('Reward Model'!$C$12:$C$14,MATCH($K1107,'Reward Model'!$A$12:$A$14,0))/$J1107)),3)</f>
        <v>0.893</v>
      </c>
      <c r="AA1107" s="2" t="n">
        <f aca="false">IF($I1107="Correct",ROUND(INDEX('Reward Model'!$B$12:$B$14,MATCH($K1107,'Reward Model'!$A$12:$A$14,0))*Z1107,2),0)</f>
        <v>0.89</v>
      </c>
      <c r="AB1107" s="2" t="n">
        <f aca="false">IF($I1107="Correct",ROUND(INDEX('Reward Model'!$B$12:$B$14,MATCH($Y1107,'Reward Model'!$A$12:$A$14,0))*Z1107,2),0)</f>
        <v>1.79</v>
      </c>
    </row>
    <row r="1108" customFormat="false" ht="15" hidden="false" customHeight="false" outlineLevel="0" collapsed="false">
      <c r="A1108" s="0" t="s">
        <v>239</v>
      </c>
      <c r="B1108" s="0" t="s">
        <v>240</v>
      </c>
      <c r="C1108" s="0" t="s">
        <v>30</v>
      </c>
      <c r="D1108" s="0" t="s">
        <v>189</v>
      </c>
      <c r="E1108" s="0" t="n">
        <v>7</v>
      </c>
      <c r="F1108" s="0" t="s">
        <v>50</v>
      </c>
      <c r="G1108" s="0" t="s">
        <v>92</v>
      </c>
      <c r="H1108" s="0" t="s">
        <v>51</v>
      </c>
      <c r="I1108" s="0" t="s">
        <v>39</v>
      </c>
      <c r="J1108" s="0" t="n">
        <v>1.04</v>
      </c>
      <c r="K1108" s="0" t="s">
        <v>35</v>
      </c>
      <c r="L1108" s="0" t="n">
        <f aca="false">INDEX(Summary!$F$2:$F$201,MATCH($B1108,Summary!$A$2:$A$201,0))</f>
        <v>20</v>
      </c>
      <c r="M1108" s="0" t="n">
        <f aca="false">INDEX(Summary!$I$2:$I$201,MATCH($B1108,Summary!$A$2:$A$201,0))</f>
        <v>1</v>
      </c>
      <c r="N1108" s="0" t="n">
        <f aca="false">INDEX(Summary!$J$2:$J$201,MATCH($B1108,Summary!$A$2:$A$201,0))</f>
        <v>4</v>
      </c>
      <c r="O1108" s="2" t="n">
        <f aca="false">INDEX(Summary!$K$2:$K$201,MATCH($B1108,Summary!$A$2:$A$201,0))</f>
        <v>8.38</v>
      </c>
      <c r="P1108" s="3" t="n">
        <f aca="false">INDEX(Summary!$L$2:$L$201,MATCH($B1108,Summary!$A$2:$A$201,0))</f>
        <v>3</v>
      </c>
      <c r="Q1108" s="3" t="n">
        <f aca="false">INDEX(Summary!$M$2:$M$201,MATCH($B1108,Summary!$A$2:$A$201,0))</f>
        <v>3</v>
      </c>
      <c r="R1108" s="2" t="n">
        <f aca="false">INDEX(Summary!$N$2:$N$201,MATCH($B1108,Summary!$A$2:$A$201,0))</f>
        <v>9.83</v>
      </c>
      <c r="S1108" s="3" t="n">
        <f aca="false">INDEX(Summary!$O$2:$O$201,MATCH($B1108,Summary!$A$2:$A$201,0))</f>
        <v>5</v>
      </c>
      <c r="T1108" s="3" t="n">
        <f aca="false">INDEX(Summary!$P$2:$P$201,MATCH($B1108,Summary!$A$2:$A$201,0))</f>
        <v>4</v>
      </c>
      <c r="U1108" s="2" t="n">
        <f aca="false">INDEX(Summary!$Q$2:$Q$201,MATCH($B1108,Summary!$A$2:$A$201,0))</f>
        <v>14.18</v>
      </c>
      <c r="V1108" s="2" t="n">
        <f aca="false">INDEX(Summary!$R$2:$R$201,MATCH($B1108,Summary!$A$2:$A$201,0))</f>
        <v>16.25</v>
      </c>
      <c r="W1108" s="0" t="str">
        <f aca="false">INDEX(Summary!$S$2:$S$201,MATCH($B1108,Summary!$A$2:$A$201,0))</f>
        <v>Bronze</v>
      </c>
      <c r="X1108" s="2" t="n">
        <f aca="false">INDEX(Summary!$T$2:$T$201,MATCH($B1108,Summary!$A$2:$A$201,0))</f>
        <v>39.63</v>
      </c>
      <c r="Y1108" s="0" t="str">
        <f aca="false">INDEX('Reward Model'!$E$18:$E$37,MATCH($E1108,'Reward Model'!$A$18:$A$37,0))</f>
        <v>Low</v>
      </c>
      <c r="Z1108" s="4" t="n">
        <f aca="false">ROUND(MIN(1,MAX('Reward Model'!$B$2,INDEX('Reward Model'!$C$12:$C$14,MATCH($K1108,'Reward Model'!$A$12:$A$14,0))/$J1108)),3)</f>
        <v>1</v>
      </c>
      <c r="AA1108" s="2" t="n">
        <f aca="false">IF($I1108="Correct",ROUND(INDEX('Reward Model'!$B$12:$B$14,MATCH($K1108,'Reward Model'!$A$12:$A$14,0))*Z1108,2),0)</f>
        <v>0</v>
      </c>
      <c r="AB1108" s="2" t="n">
        <f aca="false">IF($I1108="Correct",ROUND(INDEX('Reward Model'!$B$12:$B$14,MATCH($Y1108,'Reward Model'!$A$12:$A$14,0))*Z1108,2),0)</f>
        <v>0</v>
      </c>
    </row>
    <row r="1109" customFormat="false" ht="15" hidden="false" customHeight="false" outlineLevel="0" collapsed="false">
      <c r="A1109" s="0" t="s">
        <v>239</v>
      </c>
      <c r="B1109" s="0" t="s">
        <v>240</v>
      </c>
      <c r="C1109" s="0" t="s">
        <v>30</v>
      </c>
      <c r="D1109" s="0" t="s">
        <v>189</v>
      </c>
      <c r="E1109" s="0" t="n">
        <v>8</v>
      </c>
      <c r="F1109" s="0" t="s">
        <v>52</v>
      </c>
      <c r="G1109" s="0" t="s">
        <v>54</v>
      </c>
      <c r="H1109" s="0" t="s">
        <v>54</v>
      </c>
      <c r="I1109" s="0" t="s">
        <v>34</v>
      </c>
      <c r="J1109" s="0" t="n">
        <v>1.98</v>
      </c>
      <c r="K1109" s="0" t="s">
        <v>35</v>
      </c>
      <c r="L1109" s="0" t="n">
        <f aca="false">INDEX(Summary!$F$2:$F$201,MATCH($B1109,Summary!$A$2:$A$201,0))</f>
        <v>20</v>
      </c>
      <c r="M1109" s="0" t="n">
        <f aca="false">INDEX(Summary!$I$2:$I$201,MATCH($B1109,Summary!$A$2:$A$201,0))</f>
        <v>1</v>
      </c>
      <c r="N1109" s="0" t="n">
        <f aca="false">INDEX(Summary!$J$2:$J$201,MATCH($B1109,Summary!$A$2:$A$201,0))</f>
        <v>4</v>
      </c>
      <c r="O1109" s="2" t="n">
        <f aca="false">INDEX(Summary!$K$2:$K$201,MATCH($B1109,Summary!$A$2:$A$201,0))</f>
        <v>8.38</v>
      </c>
      <c r="P1109" s="3" t="n">
        <f aca="false">INDEX(Summary!$L$2:$L$201,MATCH($B1109,Summary!$A$2:$A$201,0))</f>
        <v>3</v>
      </c>
      <c r="Q1109" s="3" t="n">
        <f aca="false">INDEX(Summary!$M$2:$M$201,MATCH($B1109,Summary!$A$2:$A$201,0))</f>
        <v>3</v>
      </c>
      <c r="R1109" s="2" t="n">
        <f aca="false">INDEX(Summary!$N$2:$N$201,MATCH($B1109,Summary!$A$2:$A$201,0))</f>
        <v>9.83</v>
      </c>
      <c r="S1109" s="3" t="n">
        <f aca="false">INDEX(Summary!$O$2:$O$201,MATCH($B1109,Summary!$A$2:$A$201,0))</f>
        <v>5</v>
      </c>
      <c r="T1109" s="3" t="n">
        <f aca="false">INDEX(Summary!$P$2:$P$201,MATCH($B1109,Summary!$A$2:$A$201,0))</f>
        <v>4</v>
      </c>
      <c r="U1109" s="2" t="n">
        <f aca="false">INDEX(Summary!$Q$2:$Q$201,MATCH($B1109,Summary!$A$2:$A$201,0))</f>
        <v>14.18</v>
      </c>
      <c r="V1109" s="2" t="n">
        <f aca="false">INDEX(Summary!$R$2:$R$201,MATCH($B1109,Summary!$A$2:$A$201,0))</f>
        <v>16.25</v>
      </c>
      <c r="W1109" s="0" t="str">
        <f aca="false">INDEX(Summary!$S$2:$S$201,MATCH($B1109,Summary!$A$2:$A$201,0))</f>
        <v>Bronze</v>
      </c>
      <c r="X1109" s="2" t="n">
        <f aca="false">INDEX(Summary!$T$2:$T$201,MATCH($B1109,Summary!$A$2:$A$201,0))</f>
        <v>39.63</v>
      </c>
      <c r="Y1109" s="0" t="str">
        <f aca="false">INDEX('Reward Model'!$E$18:$E$37,MATCH($E1109,'Reward Model'!$A$18:$A$37,0))</f>
        <v>Medium</v>
      </c>
      <c r="Z1109" s="4" t="n">
        <f aca="false">ROUND(MIN(1,MAX('Reward Model'!$B$2,INDEX('Reward Model'!$C$12:$C$14,MATCH($K1109,'Reward Model'!$A$12:$A$14,0))/$J1109)),3)</f>
        <v>0.758</v>
      </c>
      <c r="AA1109" s="2" t="n">
        <f aca="false">IF($I1109="Correct",ROUND(INDEX('Reward Model'!$B$12:$B$14,MATCH($K1109,'Reward Model'!$A$12:$A$14,0))*Z1109,2),0)</f>
        <v>0.76</v>
      </c>
      <c r="AB1109" s="2" t="n">
        <f aca="false">IF($I1109="Correct",ROUND(INDEX('Reward Model'!$B$12:$B$14,MATCH($Y1109,'Reward Model'!$A$12:$A$14,0))*Z1109,2),0)</f>
        <v>1.52</v>
      </c>
    </row>
    <row r="1110" customFormat="false" ht="15" hidden="false" customHeight="false" outlineLevel="0" collapsed="false">
      <c r="A1110" s="0" t="s">
        <v>239</v>
      </c>
      <c r="B1110" s="0" t="s">
        <v>240</v>
      </c>
      <c r="C1110" s="0" t="s">
        <v>30</v>
      </c>
      <c r="D1110" s="0" t="s">
        <v>189</v>
      </c>
      <c r="E1110" s="0" t="n">
        <v>9</v>
      </c>
      <c r="F1110" s="0" t="s">
        <v>55</v>
      </c>
      <c r="G1110" s="0" t="s">
        <v>56</v>
      </c>
      <c r="H1110" s="0" t="s">
        <v>57</v>
      </c>
      <c r="I1110" s="0" t="s">
        <v>39</v>
      </c>
      <c r="J1110" s="0" t="n">
        <v>1.44</v>
      </c>
      <c r="K1110" s="0" t="s">
        <v>35</v>
      </c>
      <c r="L1110" s="0" t="n">
        <f aca="false">INDEX(Summary!$F$2:$F$201,MATCH($B1110,Summary!$A$2:$A$201,0))</f>
        <v>20</v>
      </c>
      <c r="M1110" s="0" t="n">
        <f aca="false">INDEX(Summary!$I$2:$I$201,MATCH($B1110,Summary!$A$2:$A$201,0))</f>
        <v>1</v>
      </c>
      <c r="N1110" s="0" t="n">
        <f aca="false">INDEX(Summary!$J$2:$J$201,MATCH($B1110,Summary!$A$2:$A$201,0))</f>
        <v>4</v>
      </c>
      <c r="O1110" s="2" t="n">
        <f aca="false">INDEX(Summary!$K$2:$K$201,MATCH($B1110,Summary!$A$2:$A$201,0))</f>
        <v>8.38</v>
      </c>
      <c r="P1110" s="3" t="n">
        <f aca="false">INDEX(Summary!$L$2:$L$201,MATCH($B1110,Summary!$A$2:$A$201,0))</f>
        <v>3</v>
      </c>
      <c r="Q1110" s="3" t="n">
        <f aca="false">INDEX(Summary!$M$2:$M$201,MATCH($B1110,Summary!$A$2:$A$201,0))</f>
        <v>3</v>
      </c>
      <c r="R1110" s="2" t="n">
        <f aca="false">INDEX(Summary!$N$2:$N$201,MATCH($B1110,Summary!$A$2:$A$201,0))</f>
        <v>9.83</v>
      </c>
      <c r="S1110" s="3" t="n">
        <f aca="false">INDEX(Summary!$O$2:$O$201,MATCH($B1110,Summary!$A$2:$A$201,0))</f>
        <v>5</v>
      </c>
      <c r="T1110" s="3" t="n">
        <f aca="false">INDEX(Summary!$P$2:$P$201,MATCH($B1110,Summary!$A$2:$A$201,0))</f>
        <v>4</v>
      </c>
      <c r="U1110" s="2" t="n">
        <f aca="false">INDEX(Summary!$Q$2:$Q$201,MATCH($B1110,Summary!$A$2:$A$201,0))</f>
        <v>14.18</v>
      </c>
      <c r="V1110" s="2" t="n">
        <f aca="false">INDEX(Summary!$R$2:$R$201,MATCH($B1110,Summary!$A$2:$A$201,0))</f>
        <v>16.25</v>
      </c>
      <c r="W1110" s="0" t="str">
        <f aca="false">INDEX(Summary!$S$2:$S$201,MATCH($B1110,Summary!$A$2:$A$201,0))</f>
        <v>Bronze</v>
      </c>
      <c r="X1110" s="2" t="n">
        <f aca="false">INDEX(Summary!$T$2:$T$201,MATCH($B1110,Summary!$A$2:$A$201,0))</f>
        <v>39.63</v>
      </c>
      <c r="Y1110" s="0" t="str">
        <f aca="false">INDEX('Reward Model'!$E$18:$E$37,MATCH($E1110,'Reward Model'!$A$18:$A$37,0))</f>
        <v>Medium</v>
      </c>
      <c r="Z1110" s="4" t="n">
        <f aca="false">ROUND(MIN(1,MAX('Reward Model'!$B$2,INDEX('Reward Model'!$C$12:$C$14,MATCH($K1110,'Reward Model'!$A$12:$A$14,0))/$J1110)),3)</f>
        <v>1</v>
      </c>
      <c r="AA1110" s="2" t="n">
        <f aca="false">IF($I1110="Correct",ROUND(INDEX('Reward Model'!$B$12:$B$14,MATCH($K1110,'Reward Model'!$A$12:$A$14,0))*Z1110,2),0)</f>
        <v>0</v>
      </c>
      <c r="AB1110" s="2" t="n">
        <f aca="false">IF($I1110="Correct",ROUND(INDEX('Reward Model'!$B$12:$B$14,MATCH($Y1110,'Reward Model'!$A$12:$A$14,0))*Z1110,2),0)</f>
        <v>0</v>
      </c>
    </row>
    <row r="1111" customFormat="false" ht="15" hidden="false" customHeight="false" outlineLevel="0" collapsed="false">
      <c r="A1111" s="0" t="s">
        <v>239</v>
      </c>
      <c r="B1111" s="0" t="s">
        <v>240</v>
      </c>
      <c r="C1111" s="0" t="s">
        <v>30</v>
      </c>
      <c r="D1111" s="0" t="s">
        <v>189</v>
      </c>
      <c r="E1111" s="0" t="n">
        <v>10</v>
      </c>
      <c r="F1111" s="0" t="s">
        <v>58</v>
      </c>
      <c r="G1111" s="0" t="s">
        <v>99</v>
      </c>
      <c r="H1111" s="0" t="s">
        <v>59</v>
      </c>
      <c r="I1111" s="0" t="s">
        <v>39</v>
      </c>
      <c r="J1111" s="0" t="n">
        <v>2.04</v>
      </c>
      <c r="K1111" s="0" t="s">
        <v>60</v>
      </c>
      <c r="L1111" s="0" t="n">
        <f aca="false">INDEX(Summary!$F$2:$F$201,MATCH($B1111,Summary!$A$2:$A$201,0))</f>
        <v>20</v>
      </c>
      <c r="M1111" s="0" t="n">
        <f aca="false">INDEX(Summary!$I$2:$I$201,MATCH($B1111,Summary!$A$2:$A$201,0))</f>
        <v>1</v>
      </c>
      <c r="N1111" s="0" t="n">
        <f aca="false">INDEX(Summary!$J$2:$J$201,MATCH($B1111,Summary!$A$2:$A$201,0))</f>
        <v>4</v>
      </c>
      <c r="O1111" s="2" t="n">
        <f aca="false">INDEX(Summary!$K$2:$K$201,MATCH($B1111,Summary!$A$2:$A$201,0))</f>
        <v>8.38</v>
      </c>
      <c r="P1111" s="3" t="n">
        <f aca="false">INDEX(Summary!$L$2:$L$201,MATCH($B1111,Summary!$A$2:$A$201,0))</f>
        <v>3</v>
      </c>
      <c r="Q1111" s="3" t="n">
        <f aca="false">INDEX(Summary!$M$2:$M$201,MATCH($B1111,Summary!$A$2:$A$201,0))</f>
        <v>3</v>
      </c>
      <c r="R1111" s="2" t="n">
        <f aca="false">INDEX(Summary!$N$2:$N$201,MATCH($B1111,Summary!$A$2:$A$201,0))</f>
        <v>9.83</v>
      </c>
      <c r="S1111" s="3" t="n">
        <f aca="false">INDEX(Summary!$O$2:$O$201,MATCH($B1111,Summary!$A$2:$A$201,0))</f>
        <v>5</v>
      </c>
      <c r="T1111" s="3" t="n">
        <f aca="false">INDEX(Summary!$P$2:$P$201,MATCH($B1111,Summary!$A$2:$A$201,0))</f>
        <v>4</v>
      </c>
      <c r="U1111" s="2" t="n">
        <f aca="false">INDEX(Summary!$Q$2:$Q$201,MATCH($B1111,Summary!$A$2:$A$201,0))</f>
        <v>14.18</v>
      </c>
      <c r="V1111" s="2" t="n">
        <f aca="false">INDEX(Summary!$R$2:$R$201,MATCH($B1111,Summary!$A$2:$A$201,0))</f>
        <v>16.25</v>
      </c>
      <c r="W1111" s="0" t="str">
        <f aca="false">INDEX(Summary!$S$2:$S$201,MATCH($B1111,Summary!$A$2:$A$201,0))</f>
        <v>Bronze</v>
      </c>
      <c r="X1111" s="2" t="n">
        <f aca="false">INDEX(Summary!$T$2:$T$201,MATCH($B1111,Summary!$A$2:$A$201,0))</f>
        <v>39.63</v>
      </c>
      <c r="Y1111" s="0" t="str">
        <f aca="false">INDEX('Reward Model'!$E$18:$E$37,MATCH($E1111,'Reward Model'!$A$18:$A$37,0))</f>
        <v>Medium</v>
      </c>
      <c r="Z1111" s="4" t="n">
        <f aca="false">ROUND(MIN(1,MAX('Reward Model'!$B$2,INDEX('Reward Model'!$C$12:$C$14,MATCH($K1111,'Reward Model'!$A$12:$A$14,0))/$J1111)),3)</f>
        <v>0.882</v>
      </c>
      <c r="AA1111" s="2" t="n">
        <f aca="false">IF($I1111="Correct",ROUND(INDEX('Reward Model'!$B$12:$B$14,MATCH($K1111,'Reward Model'!$A$12:$A$14,0))*Z1111,2),0)</f>
        <v>0</v>
      </c>
      <c r="AB1111" s="2" t="n">
        <f aca="false">IF($I1111="Correct",ROUND(INDEX('Reward Model'!$B$12:$B$14,MATCH($Y1111,'Reward Model'!$A$12:$A$14,0))*Z1111,2),0)</f>
        <v>0</v>
      </c>
    </row>
    <row r="1112" customFormat="false" ht="15" hidden="false" customHeight="false" outlineLevel="0" collapsed="false">
      <c r="A1112" s="0" t="s">
        <v>239</v>
      </c>
      <c r="B1112" s="0" t="s">
        <v>240</v>
      </c>
      <c r="C1112" s="0" t="s">
        <v>30</v>
      </c>
      <c r="D1112" s="0" t="s">
        <v>189</v>
      </c>
      <c r="E1112" s="0" t="n">
        <v>11</v>
      </c>
      <c r="F1112" s="0" t="s">
        <v>61</v>
      </c>
      <c r="G1112" s="0" t="s">
        <v>63</v>
      </c>
      <c r="H1112" s="0" t="s">
        <v>63</v>
      </c>
      <c r="I1112" s="0" t="s">
        <v>34</v>
      </c>
      <c r="J1112" s="0" t="n">
        <v>1.21</v>
      </c>
      <c r="K1112" s="0" t="s">
        <v>60</v>
      </c>
      <c r="L1112" s="0" t="n">
        <f aca="false">INDEX(Summary!$F$2:$F$201,MATCH($B1112,Summary!$A$2:$A$201,0))</f>
        <v>20</v>
      </c>
      <c r="M1112" s="0" t="n">
        <f aca="false">INDEX(Summary!$I$2:$I$201,MATCH($B1112,Summary!$A$2:$A$201,0))</f>
        <v>1</v>
      </c>
      <c r="N1112" s="0" t="n">
        <f aca="false">INDEX(Summary!$J$2:$J$201,MATCH($B1112,Summary!$A$2:$A$201,0))</f>
        <v>4</v>
      </c>
      <c r="O1112" s="2" t="n">
        <f aca="false">INDEX(Summary!$K$2:$K$201,MATCH($B1112,Summary!$A$2:$A$201,0))</f>
        <v>8.38</v>
      </c>
      <c r="P1112" s="3" t="n">
        <f aca="false">INDEX(Summary!$L$2:$L$201,MATCH($B1112,Summary!$A$2:$A$201,0))</f>
        <v>3</v>
      </c>
      <c r="Q1112" s="3" t="n">
        <f aca="false">INDEX(Summary!$M$2:$M$201,MATCH($B1112,Summary!$A$2:$A$201,0))</f>
        <v>3</v>
      </c>
      <c r="R1112" s="2" t="n">
        <f aca="false">INDEX(Summary!$N$2:$N$201,MATCH($B1112,Summary!$A$2:$A$201,0))</f>
        <v>9.83</v>
      </c>
      <c r="S1112" s="3" t="n">
        <f aca="false">INDEX(Summary!$O$2:$O$201,MATCH($B1112,Summary!$A$2:$A$201,0))</f>
        <v>5</v>
      </c>
      <c r="T1112" s="3" t="n">
        <f aca="false">INDEX(Summary!$P$2:$P$201,MATCH($B1112,Summary!$A$2:$A$201,0))</f>
        <v>4</v>
      </c>
      <c r="U1112" s="2" t="n">
        <f aca="false">INDEX(Summary!$Q$2:$Q$201,MATCH($B1112,Summary!$A$2:$A$201,0))</f>
        <v>14.18</v>
      </c>
      <c r="V1112" s="2" t="n">
        <f aca="false">INDEX(Summary!$R$2:$R$201,MATCH($B1112,Summary!$A$2:$A$201,0))</f>
        <v>16.25</v>
      </c>
      <c r="W1112" s="0" t="str">
        <f aca="false">INDEX(Summary!$S$2:$S$201,MATCH($B1112,Summary!$A$2:$A$201,0))</f>
        <v>Bronze</v>
      </c>
      <c r="X1112" s="2" t="n">
        <f aca="false">INDEX(Summary!$T$2:$T$201,MATCH($B1112,Summary!$A$2:$A$201,0))</f>
        <v>39.63</v>
      </c>
      <c r="Y1112" s="0" t="str">
        <f aca="false">INDEX('Reward Model'!$E$18:$E$37,MATCH($E1112,'Reward Model'!$A$18:$A$37,0))</f>
        <v>Medium</v>
      </c>
      <c r="Z1112" s="4" t="n">
        <f aca="false">ROUND(MIN(1,MAX('Reward Model'!$B$2,INDEX('Reward Model'!$C$12:$C$14,MATCH($K1112,'Reward Model'!$A$12:$A$14,0))/$J1112)),3)</f>
        <v>1</v>
      </c>
      <c r="AA1112" s="2" t="n">
        <f aca="false">IF($I1112="Correct",ROUND(INDEX('Reward Model'!$B$12:$B$14,MATCH($K1112,'Reward Model'!$A$12:$A$14,0))*Z1112,2),0)</f>
        <v>2</v>
      </c>
      <c r="AB1112" s="2" t="n">
        <f aca="false">IF($I1112="Correct",ROUND(INDEX('Reward Model'!$B$12:$B$14,MATCH($Y1112,'Reward Model'!$A$12:$A$14,0))*Z1112,2),0)</f>
        <v>2</v>
      </c>
    </row>
    <row r="1113" customFormat="false" ht="15" hidden="false" customHeight="false" outlineLevel="0" collapsed="false">
      <c r="A1113" s="0" t="s">
        <v>239</v>
      </c>
      <c r="B1113" s="0" t="s">
        <v>240</v>
      </c>
      <c r="C1113" s="0" t="s">
        <v>30</v>
      </c>
      <c r="D1113" s="0" t="s">
        <v>189</v>
      </c>
      <c r="E1113" s="0" t="n">
        <v>12</v>
      </c>
      <c r="F1113" s="0" t="s">
        <v>64</v>
      </c>
      <c r="G1113" s="0" t="s">
        <v>127</v>
      </c>
      <c r="H1113" s="0" t="s">
        <v>65</v>
      </c>
      <c r="I1113" s="0" t="s">
        <v>39</v>
      </c>
      <c r="J1113" s="0" t="n">
        <v>1.54</v>
      </c>
      <c r="K1113" s="0" t="s">
        <v>60</v>
      </c>
      <c r="L1113" s="0" t="n">
        <f aca="false">INDEX(Summary!$F$2:$F$201,MATCH($B1113,Summary!$A$2:$A$201,0))</f>
        <v>20</v>
      </c>
      <c r="M1113" s="0" t="n">
        <f aca="false">INDEX(Summary!$I$2:$I$201,MATCH($B1113,Summary!$A$2:$A$201,0))</f>
        <v>1</v>
      </c>
      <c r="N1113" s="0" t="n">
        <f aca="false">INDEX(Summary!$J$2:$J$201,MATCH($B1113,Summary!$A$2:$A$201,0))</f>
        <v>4</v>
      </c>
      <c r="O1113" s="2" t="n">
        <f aca="false">INDEX(Summary!$K$2:$K$201,MATCH($B1113,Summary!$A$2:$A$201,0))</f>
        <v>8.38</v>
      </c>
      <c r="P1113" s="3" t="n">
        <f aca="false">INDEX(Summary!$L$2:$L$201,MATCH($B1113,Summary!$A$2:$A$201,0))</f>
        <v>3</v>
      </c>
      <c r="Q1113" s="3" t="n">
        <f aca="false">INDEX(Summary!$M$2:$M$201,MATCH($B1113,Summary!$A$2:$A$201,0))</f>
        <v>3</v>
      </c>
      <c r="R1113" s="2" t="n">
        <f aca="false">INDEX(Summary!$N$2:$N$201,MATCH($B1113,Summary!$A$2:$A$201,0))</f>
        <v>9.83</v>
      </c>
      <c r="S1113" s="3" t="n">
        <f aca="false">INDEX(Summary!$O$2:$O$201,MATCH($B1113,Summary!$A$2:$A$201,0))</f>
        <v>5</v>
      </c>
      <c r="T1113" s="3" t="n">
        <f aca="false">INDEX(Summary!$P$2:$P$201,MATCH($B1113,Summary!$A$2:$A$201,0))</f>
        <v>4</v>
      </c>
      <c r="U1113" s="2" t="n">
        <f aca="false">INDEX(Summary!$Q$2:$Q$201,MATCH($B1113,Summary!$A$2:$A$201,0))</f>
        <v>14.18</v>
      </c>
      <c r="V1113" s="2" t="n">
        <f aca="false">INDEX(Summary!$R$2:$R$201,MATCH($B1113,Summary!$A$2:$A$201,0))</f>
        <v>16.25</v>
      </c>
      <c r="W1113" s="0" t="str">
        <f aca="false">INDEX(Summary!$S$2:$S$201,MATCH($B1113,Summary!$A$2:$A$201,0))</f>
        <v>Bronze</v>
      </c>
      <c r="X1113" s="2" t="n">
        <f aca="false">INDEX(Summary!$T$2:$T$201,MATCH($B1113,Summary!$A$2:$A$201,0))</f>
        <v>39.63</v>
      </c>
      <c r="Y1113" s="0" t="str">
        <f aca="false">INDEX('Reward Model'!$E$18:$E$37,MATCH($E1113,'Reward Model'!$A$18:$A$37,0))</f>
        <v>Medium</v>
      </c>
      <c r="Z1113" s="4" t="n">
        <f aca="false">ROUND(MIN(1,MAX('Reward Model'!$B$2,INDEX('Reward Model'!$C$12:$C$14,MATCH($K1113,'Reward Model'!$A$12:$A$14,0))/$J1113)),3)</f>
        <v>1</v>
      </c>
      <c r="AA1113" s="2" t="n">
        <f aca="false">IF($I1113="Correct",ROUND(INDEX('Reward Model'!$B$12:$B$14,MATCH($K1113,'Reward Model'!$A$12:$A$14,0))*Z1113,2),0)</f>
        <v>0</v>
      </c>
      <c r="AB1113" s="2" t="n">
        <f aca="false">IF($I1113="Correct",ROUND(INDEX('Reward Model'!$B$12:$B$14,MATCH($Y1113,'Reward Model'!$A$12:$A$14,0))*Z1113,2),0)</f>
        <v>0</v>
      </c>
    </row>
    <row r="1114" customFormat="false" ht="15" hidden="false" customHeight="false" outlineLevel="0" collapsed="false">
      <c r="A1114" s="0" t="s">
        <v>239</v>
      </c>
      <c r="B1114" s="0" t="s">
        <v>240</v>
      </c>
      <c r="C1114" s="0" t="s">
        <v>30</v>
      </c>
      <c r="D1114" s="0" t="s">
        <v>189</v>
      </c>
      <c r="E1114" s="0" t="n">
        <v>13</v>
      </c>
      <c r="F1114" s="0" t="s">
        <v>66</v>
      </c>
      <c r="G1114" s="0" t="s">
        <v>165</v>
      </c>
      <c r="H1114" s="0" t="s">
        <v>67</v>
      </c>
      <c r="I1114" s="0" t="s">
        <v>39</v>
      </c>
      <c r="J1114" s="0" t="n">
        <v>1.18</v>
      </c>
      <c r="K1114" s="0" t="s">
        <v>60</v>
      </c>
      <c r="L1114" s="0" t="n">
        <f aca="false">INDEX(Summary!$F$2:$F$201,MATCH($B1114,Summary!$A$2:$A$201,0))</f>
        <v>20</v>
      </c>
      <c r="M1114" s="0" t="n">
        <f aca="false">INDEX(Summary!$I$2:$I$201,MATCH($B1114,Summary!$A$2:$A$201,0))</f>
        <v>1</v>
      </c>
      <c r="N1114" s="0" t="n">
        <f aca="false">INDEX(Summary!$J$2:$J$201,MATCH($B1114,Summary!$A$2:$A$201,0))</f>
        <v>4</v>
      </c>
      <c r="O1114" s="2" t="n">
        <f aca="false">INDEX(Summary!$K$2:$K$201,MATCH($B1114,Summary!$A$2:$A$201,0))</f>
        <v>8.38</v>
      </c>
      <c r="P1114" s="3" t="n">
        <f aca="false">INDEX(Summary!$L$2:$L$201,MATCH($B1114,Summary!$A$2:$A$201,0))</f>
        <v>3</v>
      </c>
      <c r="Q1114" s="3" t="n">
        <f aca="false">INDEX(Summary!$M$2:$M$201,MATCH($B1114,Summary!$A$2:$A$201,0))</f>
        <v>3</v>
      </c>
      <c r="R1114" s="2" t="n">
        <f aca="false">INDEX(Summary!$N$2:$N$201,MATCH($B1114,Summary!$A$2:$A$201,0))</f>
        <v>9.83</v>
      </c>
      <c r="S1114" s="3" t="n">
        <f aca="false">INDEX(Summary!$O$2:$O$201,MATCH($B1114,Summary!$A$2:$A$201,0))</f>
        <v>5</v>
      </c>
      <c r="T1114" s="3" t="n">
        <f aca="false">INDEX(Summary!$P$2:$P$201,MATCH($B1114,Summary!$A$2:$A$201,0))</f>
        <v>4</v>
      </c>
      <c r="U1114" s="2" t="n">
        <f aca="false">INDEX(Summary!$Q$2:$Q$201,MATCH($B1114,Summary!$A$2:$A$201,0))</f>
        <v>14.18</v>
      </c>
      <c r="V1114" s="2" t="n">
        <f aca="false">INDEX(Summary!$R$2:$R$201,MATCH($B1114,Summary!$A$2:$A$201,0))</f>
        <v>16.25</v>
      </c>
      <c r="W1114" s="0" t="str">
        <f aca="false">INDEX(Summary!$S$2:$S$201,MATCH($B1114,Summary!$A$2:$A$201,0))</f>
        <v>Bronze</v>
      </c>
      <c r="X1114" s="2" t="n">
        <f aca="false">INDEX(Summary!$T$2:$T$201,MATCH($B1114,Summary!$A$2:$A$201,0))</f>
        <v>39.63</v>
      </c>
      <c r="Y1114" s="0" t="str">
        <f aca="false">INDEX('Reward Model'!$E$18:$E$37,MATCH($E1114,'Reward Model'!$A$18:$A$37,0))</f>
        <v>Medium</v>
      </c>
      <c r="Z1114" s="4" t="n">
        <f aca="false">ROUND(MIN(1,MAX('Reward Model'!$B$2,INDEX('Reward Model'!$C$12:$C$14,MATCH($K1114,'Reward Model'!$A$12:$A$14,0))/$J1114)),3)</f>
        <v>1</v>
      </c>
      <c r="AA1114" s="2" t="n">
        <f aca="false">IF($I1114="Correct",ROUND(INDEX('Reward Model'!$B$12:$B$14,MATCH($K1114,'Reward Model'!$A$12:$A$14,0))*Z1114,2),0)</f>
        <v>0</v>
      </c>
      <c r="AB1114" s="2" t="n">
        <f aca="false">IF($I1114="Correct",ROUND(INDEX('Reward Model'!$B$12:$B$14,MATCH($Y1114,'Reward Model'!$A$12:$A$14,0))*Z1114,2),0)</f>
        <v>0</v>
      </c>
    </row>
    <row r="1115" customFormat="false" ht="15" hidden="false" customHeight="false" outlineLevel="0" collapsed="false">
      <c r="A1115" s="0" t="s">
        <v>239</v>
      </c>
      <c r="B1115" s="0" t="s">
        <v>240</v>
      </c>
      <c r="C1115" s="0" t="s">
        <v>30</v>
      </c>
      <c r="D1115" s="0" t="s">
        <v>189</v>
      </c>
      <c r="E1115" s="0" t="n">
        <v>14</v>
      </c>
      <c r="F1115" s="0" t="s">
        <v>68</v>
      </c>
      <c r="G1115" s="0" t="s">
        <v>51</v>
      </c>
      <c r="H1115" s="0" t="s">
        <v>51</v>
      </c>
      <c r="I1115" s="0" t="s">
        <v>34</v>
      </c>
      <c r="J1115" s="0" t="n">
        <v>2.25</v>
      </c>
      <c r="K1115" s="0" t="s">
        <v>60</v>
      </c>
      <c r="L1115" s="0" t="n">
        <f aca="false">INDEX(Summary!$F$2:$F$201,MATCH($B1115,Summary!$A$2:$A$201,0))</f>
        <v>20</v>
      </c>
      <c r="M1115" s="0" t="n">
        <f aca="false">INDEX(Summary!$I$2:$I$201,MATCH($B1115,Summary!$A$2:$A$201,0))</f>
        <v>1</v>
      </c>
      <c r="N1115" s="0" t="n">
        <f aca="false">INDEX(Summary!$J$2:$J$201,MATCH($B1115,Summary!$A$2:$A$201,0))</f>
        <v>4</v>
      </c>
      <c r="O1115" s="2" t="n">
        <f aca="false">INDEX(Summary!$K$2:$K$201,MATCH($B1115,Summary!$A$2:$A$201,0))</f>
        <v>8.38</v>
      </c>
      <c r="P1115" s="3" t="n">
        <f aca="false">INDEX(Summary!$L$2:$L$201,MATCH($B1115,Summary!$A$2:$A$201,0))</f>
        <v>3</v>
      </c>
      <c r="Q1115" s="3" t="n">
        <f aca="false">INDEX(Summary!$M$2:$M$201,MATCH($B1115,Summary!$A$2:$A$201,0))</f>
        <v>3</v>
      </c>
      <c r="R1115" s="2" t="n">
        <f aca="false">INDEX(Summary!$N$2:$N$201,MATCH($B1115,Summary!$A$2:$A$201,0))</f>
        <v>9.83</v>
      </c>
      <c r="S1115" s="3" t="n">
        <f aca="false">INDEX(Summary!$O$2:$O$201,MATCH($B1115,Summary!$A$2:$A$201,0))</f>
        <v>5</v>
      </c>
      <c r="T1115" s="3" t="n">
        <f aca="false">INDEX(Summary!$P$2:$P$201,MATCH($B1115,Summary!$A$2:$A$201,0))</f>
        <v>4</v>
      </c>
      <c r="U1115" s="2" t="n">
        <f aca="false">INDEX(Summary!$Q$2:$Q$201,MATCH($B1115,Summary!$A$2:$A$201,0))</f>
        <v>14.18</v>
      </c>
      <c r="V1115" s="2" t="n">
        <f aca="false">INDEX(Summary!$R$2:$R$201,MATCH($B1115,Summary!$A$2:$A$201,0))</f>
        <v>16.25</v>
      </c>
      <c r="W1115" s="0" t="str">
        <f aca="false">INDEX(Summary!$S$2:$S$201,MATCH($B1115,Summary!$A$2:$A$201,0))</f>
        <v>Bronze</v>
      </c>
      <c r="X1115" s="2" t="n">
        <f aca="false">INDEX(Summary!$T$2:$T$201,MATCH($B1115,Summary!$A$2:$A$201,0))</f>
        <v>39.63</v>
      </c>
      <c r="Y1115" s="0" t="str">
        <f aca="false">INDEX('Reward Model'!$E$18:$E$37,MATCH($E1115,'Reward Model'!$A$18:$A$37,0))</f>
        <v>Medium</v>
      </c>
      <c r="Z1115" s="4" t="n">
        <f aca="false">ROUND(MIN(1,MAX('Reward Model'!$B$2,INDEX('Reward Model'!$C$12:$C$14,MATCH($K1115,'Reward Model'!$A$12:$A$14,0))/$J1115)),3)</f>
        <v>0.8</v>
      </c>
      <c r="AA1115" s="2" t="n">
        <f aca="false">IF($I1115="Correct",ROUND(INDEX('Reward Model'!$B$12:$B$14,MATCH($K1115,'Reward Model'!$A$12:$A$14,0))*Z1115,2),0)</f>
        <v>1.6</v>
      </c>
      <c r="AB1115" s="2" t="n">
        <f aca="false">IF($I1115="Correct",ROUND(INDEX('Reward Model'!$B$12:$B$14,MATCH($Y1115,'Reward Model'!$A$12:$A$14,0))*Z1115,2),0)</f>
        <v>1.6</v>
      </c>
    </row>
    <row r="1116" customFormat="false" ht="15" hidden="false" customHeight="false" outlineLevel="0" collapsed="false">
      <c r="A1116" s="0" t="s">
        <v>239</v>
      </c>
      <c r="B1116" s="0" t="s">
        <v>240</v>
      </c>
      <c r="C1116" s="0" t="s">
        <v>30</v>
      </c>
      <c r="D1116" s="0" t="s">
        <v>189</v>
      </c>
      <c r="E1116" s="0" t="n">
        <v>15</v>
      </c>
      <c r="F1116" s="0" t="s">
        <v>69</v>
      </c>
      <c r="G1116" s="0" t="s">
        <v>70</v>
      </c>
      <c r="H1116" s="0" t="s">
        <v>70</v>
      </c>
      <c r="I1116" s="0" t="s">
        <v>34</v>
      </c>
      <c r="J1116" s="0" t="n">
        <v>1.61</v>
      </c>
      <c r="K1116" s="0" t="s">
        <v>60</v>
      </c>
      <c r="L1116" s="0" t="n">
        <f aca="false">INDEX(Summary!$F$2:$F$201,MATCH($B1116,Summary!$A$2:$A$201,0))</f>
        <v>20</v>
      </c>
      <c r="M1116" s="0" t="n">
        <f aca="false">INDEX(Summary!$I$2:$I$201,MATCH($B1116,Summary!$A$2:$A$201,0))</f>
        <v>1</v>
      </c>
      <c r="N1116" s="0" t="n">
        <f aca="false">INDEX(Summary!$J$2:$J$201,MATCH($B1116,Summary!$A$2:$A$201,0))</f>
        <v>4</v>
      </c>
      <c r="O1116" s="2" t="n">
        <f aca="false">INDEX(Summary!$K$2:$K$201,MATCH($B1116,Summary!$A$2:$A$201,0))</f>
        <v>8.38</v>
      </c>
      <c r="P1116" s="3" t="n">
        <f aca="false">INDEX(Summary!$L$2:$L$201,MATCH($B1116,Summary!$A$2:$A$201,0))</f>
        <v>3</v>
      </c>
      <c r="Q1116" s="3" t="n">
        <f aca="false">INDEX(Summary!$M$2:$M$201,MATCH($B1116,Summary!$A$2:$A$201,0))</f>
        <v>3</v>
      </c>
      <c r="R1116" s="2" t="n">
        <f aca="false">INDEX(Summary!$N$2:$N$201,MATCH($B1116,Summary!$A$2:$A$201,0))</f>
        <v>9.83</v>
      </c>
      <c r="S1116" s="3" t="n">
        <f aca="false">INDEX(Summary!$O$2:$O$201,MATCH($B1116,Summary!$A$2:$A$201,0))</f>
        <v>5</v>
      </c>
      <c r="T1116" s="3" t="n">
        <f aca="false">INDEX(Summary!$P$2:$P$201,MATCH($B1116,Summary!$A$2:$A$201,0))</f>
        <v>4</v>
      </c>
      <c r="U1116" s="2" t="n">
        <f aca="false">INDEX(Summary!$Q$2:$Q$201,MATCH($B1116,Summary!$A$2:$A$201,0))</f>
        <v>14.18</v>
      </c>
      <c r="V1116" s="2" t="n">
        <f aca="false">INDEX(Summary!$R$2:$R$201,MATCH($B1116,Summary!$A$2:$A$201,0))</f>
        <v>16.25</v>
      </c>
      <c r="W1116" s="0" t="str">
        <f aca="false">INDEX(Summary!$S$2:$S$201,MATCH($B1116,Summary!$A$2:$A$201,0))</f>
        <v>Bronze</v>
      </c>
      <c r="X1116" s="2" t="n">
        <f aca="false">INDEX(Summary!$T$2:$T$201,MATCH($B1116,Summary!$A$2:$A$201,0))</f>
        <v>39.63</v>
      </c>
      <c r="Y1116" s="0" t="str">
        <f aca="false">INDEX('Reward Model'!$E$18:$E$37,MATCH($E1116,'Reward Model'!$A$18:$A$37,0))</f>
        <v>Medium</v>
      </c>
      <c r="Z1116" s="4" t="n">
        <f aca="false">ROUND(MIN(1,MAX('Reward Model'!$B$2,INDEX('Reward Model'!$C$12:$C$14,MATCH($K1116,'Reward Model'!$A$12:$A$14,0))/$J1116)),3)</f>
        <v>1</v>
      </c>
      <c r="AA1116" s="2" t="n">
        <f aca="false">IF($I1116="Correct",ROUND(INDEX('Reward Model'!$B$12:$B$14,MATCH($K1116,'Reward Model'!$A$12:$A$14,0))*Z1116,2),0)</f>
        <v>2</v>
      </c>
      <c r="AB1116" s="2" t="n">
        <f aca="false">IF($I1116="Correct",ROUND(INDEX('Reward Model'!$B$12:$B$14,MATCH($Y1116,'Reward Model'!$A$12:$A$14,0))*Z1116,2),0)</f>
        <v>2</v>
      </c>
    </row>
    <row r="1117" customFormat="false" ht="15" hidden="false" customHeight="false" outlineLevel="0" collapsed="false">
      <c r="A1117" s="0" t="s">
        <v>239</v>
      </c>
      <c r="B1117" s="0" t="s">
        <v>240</v>
      </c>
      <c r="C1117" s="0" t="s">
        <v>30</v>
      </c>
      <c r="D1117" s="0" t="s">
        <v>189</v>
      </c>
      <c r="E1117" s="0" t="n">
        <v>16</v>
      </c>
      <c r="F1117" s="0" t="s">
        <v>71</v>
      </c>
      <c r="G1117" s="0" t="s">
        <v>104</v>
      </c>
      <c r="H1117" s="0" t="s">
        <v>72</v>
      </c>
      <c r="I1117" s="0" t="s">
        <v>39</v>
      </c>
      <c r="J1117" s="0" t="n">
        <v>1.39</v>
      </c>
      <c r="K1117" s="0" t="s">
        <v>73</v>
      </c>
      <c r="L1117" s="0" t="n">
        <f aca="false">INDEX(Summary!$F$2:$F$201,MATCH($B1117,Summary!$A$2:$A$201,0))</f>
        <v>20</v>
      </c>
      <c r="M1117" s="0" t="n">
        <f aca="false">INDEX(Summary!$I$2:$I$201,MATCH($B1117,Summary!$A$2:$A$201,0))</f>
        <v>1</v>
      </c>
      <c r="N1117" s="0" t="n">
        <f aca="false">INDEX(Summary!$J$2:$J$201,MATCH($B1117,Summary!$A$2:$A$201,0))</f>
        <v>4</v>
      </c>
      <c r="O1117" s="2" t="n">
        <f aca="false">INDEX(Summary!$K$2:$K$201,MATCH($B1117,Summary!$A$2:$A$201,0))</f>
        <v>8.38</v>
      </c>
      <c r="P1117" s="3" t="n">
        <f aca="false">INDEX(Summary!$L$2:$L$201,MATCH($B1117,Summary!$A$2:$A$201,0))</f>
        <v>3</v>
      </c>
      <c r="Q1117" s="3" t="n">
        <f aca="false">INDEX(Summary!$M$2:$M$201,MATCH($B1117,Summary!$A$2:$A$201,0))</f>
        <v>3</v>
      </c>
      <c r="R1117" s="2" t="n">
        <f aca="false">INDEX(Summary!$N$2:$N$201,MATCH($B1117,Summary!$A$2:$A$201,0))</f>
        <v>9.83</v>
      </c>
      <c r="S1117" s="3" t="n">
        <f aca="false">INDEX(Summary!$O$2:$O$201,MATCH($B1117,Summary!$A$2:$A$201,0))</f>
        <v>5</v>
      </c>
      <c r="T1117" s="3" t="n">
        <f aca="false">INDEX(Summary!$P$2:$P$201,MATCH($B1117,Summary!$A$2:$A$201,0))</f>
        <v>4</v>
      </c>
      <c r="U1117" s="2" t="n">
        <f aca="false">INDEX(Summary!$Q$2:$Q$201,MATCH($B1117,Summary!$A$2:$A$201,0))</f>
        <v>14.18</v>
      </c>
      <c r="V1117" s="2" t="n">
        <f aca="false">INDEX(Summary!$R$2:$R$201,MATCH($B1117,Summary!$A$2:$A$201,0))</f>
        <v>16.25</v>
      </c>
      <c r="W1117" s="0" t="str">
        <f aca="false">INDEX(Summary!$S$2:$S$201,MATCH($B1117,Summary!$A$2:$A$201,0))</f>
        <v>Bronze</v>
      </c>
      <c r="X1117" s="2" t="n">
        <f aca="false">INDEX(Summary!$T$2:$T$201,MATCH($B1117,Summary!$A$2:$A$201,0))</f>
        <v>39.63</v>
      </c>
      <c r="Y1117" s="0" t="str">
        <f aca="false">INDEX('Reward Model'!$E$18:$E$37,MATCH($E1117,'Reward Model'!$A$18:$A$37,0))</f>
        <v>High</v>
      </c>
      <c r="Z1117" s="4" t="n">
        <f aca="false">ROUND(MIN(1,MAX('Reward Model'!$B$2,INDEX('Reward Model'!$C$12:$C$14,MATCH($K1117,'Reward Model'!$A$12:$A$14,0))/$J1117)),3)</f>
        <v>1</v>
      </c>
      <c r="AA1117" s="2" t="n">
        <f aca="false">IF($I1117="Correct",ROUND(INDEX('Reward Model'!$B$12:$B$14,MATCH($K1117,'Reward Model'!$A$12:$A$14,0))*Z1117,2),0)</f>
        <v>0</v>
      </c>
      <c r="AB1117" s="2" t="n">
        <f aca="false">IF($I1117="Correct",ROUND(INDEX('Reward Model'!$B$12:$B$14,MATCH($Y1117,'Reward Model'!$A$12:$A$14,0))*Z1117,2),0)</f>
        <v>0</v>
      </c>
    </row>
    <row r="1118" customFormat="false" ht="15" hidden="false" customHeight="false" outlineLevel="0" collapsed="false">
      <c r="A1118" s="0" t="s">
        <v>239</v>
      </c>
      <c r="B1118" s="0" t="s">
        <v>240</v>
      </c>
      <c r="C1118" s="0" t="s">
        <v>30</v>
      </c>
      <c r="D1118" s="0" t="s">
        <v>189</v>
      </c>
      <c r="E1118" s="0" t="n">
        <v>17</v>
      </c>
      <c r="F1118" s="0" t="s">
        <v>74</v>
      </c>
      <c r="G1118" s="0" t="s">
        <v>113</v>
      </c>
      <c r="H1118" s="0" t="s">
        <v>75</v>
      </c>
      <c r="I1118" s="0" t="s">
        <v>39</v>
      </c>
      <c r="J1118" s="0" t="n">
        <v>1.33</v>
      </c>
      <c r="K1118" s="0" t="s">
        <v>73</v>
      </c>
      <c r="L1118" s="0" t="n">
        <f aca="false">INDEX(Summary!$F$2:$F$201,MATCH($B1118,Summary!$A$2:$A$201,0))</f>
        <v>20</v>
      </c>
      <c r="M1118" s="0" t="n">
        <f aca="false">INDEX(Summary!$I$2:$I$201,MATCH($B1118,Summary!$A$2:$A$201,0))</f>
        <v>1</v>
      </c>
      <c r="N1118" s="0" t="n">
        <f aca="false">INDEX(Summary!$J$2:$J$201,MATCH($B1118,Summary!$A$2:$A$201,0))</f>
        <v>4</v>
      </c>
      <c r="O1118" s="2" t="n">
        <f aca="false">INDEX(Summary!$K$2:$K$201,MATCH($B1118,Summary!$A$2:$A$201,0))</f>
        <v>8.38</v>
      </c>
      <c r="P1118" s="3" t="n">
        <f aca="false">INDEX(Summary!$L$2:$L$201,MATCH($B1118,Summary!$A$2:$A$201,0))</f>
        <v>3</v>
      </c>
      <c r="Q1118" s="3" t="n">
        <f aca="false">INDEX(Summary!$M$2:$M$201,MATCH($B1118,Summary!$A$2:$A$201,0))</f>
        <v>3</v>
      </c>
      <c r="R1118" s="2" t="n">
        <f aca="false">INDEX(Summary!$N$2:$N$201,MATCH($B1118,Summary!$A$2:$A$201,0))</f>
        <v>9.83</v>
      </c>
      <c r="S1118" s="3" t="n">
        <f aca="false">INDEX(Summary!$O$2:$O$201,MATCH($B1118,Summary!$A$2:$A$201,0))</f>
        <v>5</v>
      </c>
      <c r="T1118" s="3" t="n">
        <f aca="false">INDEX(Summary!$P$2:$P$201,MATCH($B1118,Summary!$A$2:$A$201,0))</f>
        <v>4</v>
      </c>
      <c r="U1118" s="2" t="n">
        <f aca="false">INDEX(Summary!$Q$2:$Q$201,MATCH($B1118,Summary!$A$2:$A$201,0))</f>
        <v>14.18</v>
      </c>
      <c r="V1118" s="2" t="n">
        <f aca="false">INDEX(Summary!$R$2:$R$201,MATCH($B1118,Summary!$A$2:$A$201,0))</f>
        <v>16.25</v>
      </c>
      <c r="W1118" s="0" t="str">
        <f aca="false">INDEX(Summary!$S$2:$S$201,MATCH($B1118,Summary!$A$2:$A$201,0))</f>
        <v>Bronze</v>
      </c>
      <c r="X1118" s="2" t="n">
        <f aca="false">INDEX(Summary!$T$2:$T$201,MATCH($B1118,Summary!$A$2:$A$201,0))</f>
        <v>39.63</v>
      </c>
      <c r="Y1118" s="0" t="str">
        <f aca="false">INDEX('Reward Model'!$E$18:$E$37,MATCH($E1118,'Reward Model'!$A$18:$A$37,0))</f>
        <v>High</v>
      </c>
      <c r="Z1118" s="4" t="n">
        <f aca="false">ROUND(MIN(1,MAX('Reward Model'!$B$2,INDEX('Reward Model'!$C$12:$C$14,MATCH($K1118,'Reward Model'!$A$12:$A$14,0))/$J1118)),3)</f>
        <v>1</v>
      </c>
      <c r="AA1118" s="2" t="n">
        <f aca="false">IF($I1118="Correct",ROUND(INDEX('Reward Model'!$B$12:$B$14,MATCH($K1118,'Reward Model'!$A$12:$A$14,0))*Z1118,2),0)</f>
        <v>0</v>
      </c>
      <c r="AB1118" s="2" t="n">
        <f aca="false">IF($I1118="Correct",ROUND(INDEX('Reward Model'!$B$12:$B$14,MATCH($Y1118,'Reward Model'!$A$12:$A$14,0))*Z1118,2),0)</f>
        <v>0</v>
      </c>
    </row>
    <row r="1119" customFormat="false" ht="15" hidden="false" customHeight="false" outlineLevel="0" collapsed="false">
      <c r="A1119" s="0" t="s">
        <v>239</v>
      </c>
      <c r="B1119" s="0" t="s">
        <v>240</v>
      </c>
      <c r="C1119" s="0" t="s">
        <v>30</v>
      </c>
      <c r="D1119" s="0" t="s">
        <v>189</v>
      </c>
      <c r="E1119" s="0" t="n">
        <v>18</v>
      </c>
      <c r="F1119" s="0" t="s">
        <v>76</v>
      </c>
      <c r="G1119" s="0" t="s">
        <v>88</v>
      </c>
      <c r="H1119" s="0" t="s">
        <v>77</v>
      </c>
      <c r="I1119" s="0" t="s">
        <v>39</v>
      </c>
      <c r="J1119" s="0" t="n">
        <v>2.11</v>
      </c>
      <c r="K1119" s="0" t="s">
        <v>73</v>
      </c>
      <c r="L1119" s="0" t="n">
        <f aca="false">INDEX(Summary!$F$2:$F$201,MATCH($B1119,Summary!$A$2:$A$201,0))</f>
        <v>20</v>
      </c>
      <c r="M1119" s="0" t="n">
        <f aca="false">INDEX(Summary!$I$2:$I$201,MATCH($B1119,Summary!$A$2:$A$201,0))</f>
        <v>1</v>
      </c>
      <c r="N1119" s="0" t="n">
        <f aca="false">INDEX(Summary!$J$2:$J$201,MATCH($B1119,Summary!$A$2:$A$201,0))</f>
        <v>4</v>
      </c>
      <c r="O1119" s="2" t="n">
        <f aca="false">INDEX(Summary!$K$2:$K$201,MATCH($B1119,Summary!$A$2:$A$201,0))</f>
        <v>8.38</v>
      </c>
      <c r="P1119" s="3" t="n">
        <f aca="false">INDEX(Summary!$L$2:$L$201,MATCH($B1119,Summary!$A$2:$A$201,0))</f>
        <v>3</v>
      </c>
      <c r="Q1119" s="3" t="n">
        <f aca="false">INDEX(Summary!$M$2:$M$201,MATCH($B1119,Summary!$A$2:$A$201,0))</f>
        <v>3</v>
      </c>
      <c r="R1119" s="2" t="n">
        <f aca="false">INDEX(Summary!$N$2:$N$201,MATCH($B1119,Summary!$A$2:$A$201,0))</f>
        <v>9.83</v>
      </c>
      <c r="S1119" s="3" t="n">
        <f aca="false">INDEX(Summary!$O$2:$O$201,MATCH($B1119,Summary!$A$2:$A$201,0))</f>
        <v>5</v>
      </c>
      <c r="T1119" s="3" t="n">
        <f aca="false">INDEX(Summary!$P$2:$P$201,MATCH($B1119,Summary!$A$2:$A$201,0))</f>
        <v>4</v>
      </c>
      <c r="U1119" s="2" t="n">
        <f aca="false">INDEX(Summary!$Q$2:$Q$201,MATCH($B1119,Summary!$A$2:$A$201,0))</f>
        <v>14.18</v>
      </c>
      <c r="V1119" s="2" t="n">
        <f aca="false">INDEX(Summary!$R$2:$R$201,MATCH($B1119,Summary!$A$2:$A$201,0))</f>
        <v>16.25</v>
      </c>
      <c r="W1119" s="0" t="str">
        <f aca="false">INDEX(Summary!$S$2:$S$201,MATCH($B1119,Summary!$A$2:$A$201,0))</f>
        <v>Bronze</v>
      </c>
      <c r="X1119" s="2" t="n">
        <f aca="false">INDEX(Summary!$T$2:$T$201,MATCH($B1119,Summary!$A$2:$A$201,0))</f>
        <v>39.63</v>
      </c>
      <c r="Y1119" s="0" t="str">
        <f aca="false">INDEX('Reward Model'!$E$18:$E$37,MATCH($E1119,'Reward Model'!$A$18:$A$37,0))</f>
        <v>High</v>
      </c>
      <c r="Z1119" s="4" t="n">
        <f aca="false">ROUND(MIN(1,MAX('Reward Model'!$B$2,INDEX('Reward Model'!$C$12:$C$14,MATCH($K1119,'Reward Model'!$A$12:$A$14,0))/$J1119)),3)</f>
        <v>0.948</v>
      </c>
      <c r="AA1119" s="2" t="n">
        <f aca="false">IF($I1119="Correct",ROUND(INDEX('Reward Model'!$B$12:$B$14,MATCH($K1119,'Reward Model'!$A$12:$A$14,0))*Z1119,2),0)</f>
        <v>0</v>
      </c>
      <c r="AB1119" s="2" t="n">
        <f aca="false">IF($I1119="Correct",ROUND(INDEX('Reward Model'!$B$12:$B$14,MATCH($Y1119,'Reward Model'!$A$12:$A$14,0))*Z1119,2),0)</f>
        <v>0</v>
      </c>
    </row>
    <row r="1120" customFormat="false" ht="15" hidden="false" customHeight="false" outlineLevel="0" collapsed="false">
      <c r="A1120" s="0" t="s">
        <v>239</v>
      </c>
      <c r="B1120" s="0" t="s">
        <v>240</v>
      </c>
      <c r="C1120" s="0" t="s">
        <v>30</v>
      </c>
      <c r="D1120" s="0" t="s">
        <v>189</v>
      </c>
      <c r="E1120" s="0" t="n">
        <v>19</v>
      </c>
      <c r="F1120" s="0" t="s">
        <v>78</v>
      </c>
      <c r="G1120" s="0" t="s">
        <v>80</v>
      </c>
      <c r="H1120" s="0" t="s">
        <v>80</v>
      </c>
      <c r="I1120" s="0" t="s">
        <v>34</v>
      </c>
      <c r="J1120" s="0" t="n">
        <v>1.34</v>
      </c>
      <c r="K1120" s="0" t="s">
        <v>73</v>
      </c>
      <c r="L1120" s="0" t="n">
        <f aca="false">INDEX(Summary!$F$2:$F$201,MATCH($B1120,Summary!$A$2:$A$201,0))</f>
        <v>20</v>
      </c>
      <c r="M1120" s="0" t="n">
        <f aca="false">INDEX(Summary!$I$2:$I$201,MATCH($B1120,Summary!$A$2:$A$201,0))</f>
        <v>1</v>
      </c>
      <c r="N1120" s="0" t="n">
        <f aca="false">INDEX(Summary!$J$2:$J$201,MATCH($B1120,Summary!$A$2:$A$201,0))</f>
        <v>4</v>
      </c>
      <c r="O1120" s="2" t="n">
        <f aca="false">INDEX(Summary!$K$2:$K$201,MATCH($B1120,Summary!$A$2:$A$201,0))</f>
        <v>8.38</v>
      </c>
      <c r="P1120" s="3" t="n">
        <f aca="false">INDEX(Summary!$L$2:$L$201,MATCH($B1120,Summary!$A$2:$A$201,0))</f>
        <v>3</v>
      </c>
      <c r="Q1120" s="3" t="n">
        <f aca="false">INDEX(Summary!$M$2:$M$201,MATCH($B1120,Summary!$A$2:$A$201,0))</f>
        <v>3</v>
      </c>
      <c r="R1120" s="2" t="n">
        <f aca="false">INDEX(Summary!$N$2:$N$201,MATCH($B1120,Summary!$A$2:$A$201,0))</f>
        <v>9.83</v>
      </c>
      <c r="S1120" s="3" t="n">
        <f aca="false">INDEX(Summary!$O$2:$O$201,MATCH($B1120,Summary!$A$2:$A$201,0))</f>
        <v>5</v>
      </c>
      <c r="T1120" s="3" t="n">
        <f aca="false">INDEX(Summary!$P$2:$P$201,MATCH($B1120,Summary!$A$2:$A$201,0))</f>
        <v>4</v>
      </c>
      <c r="U1120" s="2" t="n">
        <f aca="false">INDEX(Summary!$Q$2:$Q$201,MATCH($B1120,Summary!$A$2:$A$201,0))</f>
        <v>14.18</v>
      </c>
      <c r="V1120" s="2" t="n">
        <f aca="false">INDEX(Summary!$R$2:$R$201,MATCH($B1120,Summary!$A$2:$A$201,0))</f>
        <v>16.25</v>
      </c>
      <c r="W1120" s="0" t="str">
        <f aca="false">INDEX(Summary!$S$2:$S$201,MATCH($B1120,Summary!$A$2:$A$201,0))</f>
        <v>Bronze</v>
      </c>
      <c r="X1120" s="2" t="n">
        <f aca="false">INDEX(Summary!$T$2:$T$201,MATCH($B1120,Summary!$A$2:$A$201,0))</f>
        <v>39.63</v>
      </c>
      <c r="Y1120" s="0" t="str">
        <f aca="false">INDEX('Reward Model'!$E$18:$E$37,MATCH($E1120,'Reward Model'!$A$18:$A$37,0))</f>
        <v>High</v>
      </c>
      <c r="Z1120" s="4" t="n">
        <f aca="false">ROUND(MIN(1,MAX('Reward Model'!$B$2,INDEX('Reward Model'!$C$12:$C$14,MATCH($K1120,'Reward Model'!$A$12:$A$14,0))/$J1120)),3)</f>
        <v>1</v>
      </c>
      <c r="AA1120" s="2" t="n">
        <f aca="false">IF($I1120="Correct",ROUND(INDEX('Reward Model'!$B$12:$B$14,MATCH($K1120,'Reward Model'!$A$12:$A$14,0))*Z1120,2),0)</f>
        <v>3</v>
      </c>
      <c r="AB1120" s="2" t="n">
        <f aca="false">IF($I1120="Correct",ROUND(INDEX('Reward Model'!$B$12:$B$14,MATCH($Y1120,'Reward Model'!$A$12:$A$14,0))*Z1120,2),0)</f>
        <v>3</v>
      </c>
    </row>
    <row r="1121" customFormat="false" ht="15" hidden="false" customHeight="false" outlineLevel="0" collapsed="false">
      <c r="A1121" s="0" t="s">
        <v>239</v>
      </c>
      <c r="B1121" s="0" t="s">
        <v>240</v>
      </c>
      <c r="C1121" s="0" t="s">
        <v>30</v>
      </c>
      <c r="D1121" s="0" t="s">
        <v>189</v>
      </c>
      <c r="E1121" s="0" t="n">
        <v>20</v>
      </c>
      <c r="F1121" s="0" t="s">
        <v>81</v>
      </c>
      <c r="G1121" s="0" t="s">
        <v>82</v>
      </c>
      <c r="H1121" s="0" t="s">
        <v>83</v>
      </c>
      <c r="I1121" s="0" t="s">
        <v>39</v>
      </c>
      <c r="J1121" s="0" t="n">
        <v>2.21</v>
      </c>
      <c r="K1121" s="0" t="s">
        <v>73</v>
      </c>
      <c r="L1121" s="0" t="n">
        <f aca="false">INDEX(Summary!$F$2:$F$201,MATCH($B1121,Summary!$A$2:$A$201,0))</f>
        <v>20</v>
      </c>
      <c r="M1121" s="0" t="n">
        <f aca="false">INDEX(Summary!$I$2:$I$201,MATCH($B1121,Summary!$A$2:$A$201,0))</f>
        <v>1</v>
      </c>
      <c r="N1121" s="0" t="n">
        <f aca="false">INDEX(Summary!$J$2:$J$201,MATCH($B1121,Summary!$A$2:$A$201,0))</f>
        <v>4</v>
      </c>
      <c r="O1121" s="2" t="n">
        <f aca="false">INDEX(Summary!$K$2:$K$201,MATCH($B1121,Summary!$A$2:$A$201,0))</f>
        <v>8.38</v>
      </c>
      <c r="P1121" s="3" t="n">
        <f aca="false">INDEX(Summary!$L$2:$L$201,MATCH($B1121,Summary!$A$2:$A$201,0))</f>
        <v>3</v>
      </c>
      <c r="Q1121" s="3" t="n">
        <f aca="false">INDEX(Summary!$M$2:$M$201,MATCH($B1121,Summary!$A$2:$A$201,0))</f>
        <v>3</v>
      </c>
      <c r="R1121" s="2" t="n">
        <f aca="false">INDEX(Summary!$N$2:$N$201,MATCH($B1121,Summary!$A$2:$A$201,0))</f>
        <v>9.83</v>
      </c>
      <c r="S1121" s="3" t="n">
        <f aca="false">INDEX(Summary!$O$2:$O$201,MATCH($B1121,Summary!$A$2:$A$201,0))</f>
        <v>5</v>
      </c>
      <c r="T1121" s="3" t="n">
        <f aca="false">INDEX(Summary!$P$2:$P$201,MATCH($B1121,Summary!$A$2:$A$201,0))</f>
        <v>4</v>
      </c>
      <c r="U1121" s="2" t="n">
        <f aca="false">INDEX(Summary!$Q$2:$Q$201,MATCH($B1121,Summary!$A$2:$A$201,0))</f>
        <v>14.18</v>
      </c>
      <c r="V1121" s="2" t="n">
        <f aca="false">INDEX(Summary!$R$2:$R$201,MATCH($B1121,Summary!$A$2:$A$201,0))</f>
        <v>16.25</v>
      </c>
      <c r="W1121" s="0" t="str">
        <f aca="false">INDEX(Summary!$S$2:$S$201,MATCH($B1121,Summary!$A$2:$A$201,0))</f>
        <v>Bronze</v>
      </c>
      <c r="X1121" s="2" t="n">
        <f aca="false">INDEX(Summary!$T$2:$T$201,MATCH($B1121,Summary!$A$2:$A$201,0))</f>
        <v>39.63</v>
      </c>
      <c r="Y1121" s="0" t="str">
        <f aca="false">INDEX('Reward Model'!$E$18:$E$37,MATCH($E1121,'Reward Model'!$A$18:$A$37,0))</f>
        <v>High</v>
      </c>
      <c r="Z1121" s="4" t="n">
        <f aca="false">ROUND(MIN(1,MAX('Reward Model'!$B$2,INDEX('Reward Model'!$C$12:$C$14,MATCH($K1121,'Reward Model'!$A$12:$A$14,0))/$J1121)),3)</f>
        <v>0.905</v>
      </c>
      <c r="AA1121" s="2" t="n">
        <f aca="false">IF($I1121="Correct",ROUND(INDEX('Reward Model'!$B$12:$B$14,MATCH($K1121,'Reward Model'!$A$12:$A$14,0))*Z1121,2),0)</f>
        <v>0</v>
      </c>
      <c r="AB1121" s="2" t="n">
        <f aca="false">IF($I1121="Correct",ROUND(INDEX('Reward Model'!$B$12:$B$14,MATCH($Y1121,'Reward Model'!$A$12:$A$14,0))*Z1121,2),0)</f>
        <v>0</v>
      </c>
    </row>
    <row r="1122" customFormat="false" ht="15" hidden="false" customHeight="false" outlineLevel="0" collapsed="false">
      <c r="A1122" s="0" t="s">
        <v>241</v>
      </c>
      <c r="B1122" s="0" t="s">
        <v>242</v>
      </c>
      <c r="C1122" s="0" t="s">
        <v>30</v>
      </c>
      <c r="D1122" s="0" t="s">
        <v>189</v>
      </c>
      <c r="E1122" s="0" t="n">
        <v>1</v>
      </c>
      <c r="F1122" s="0" t="s">
        <v>32</v>
      </c>
      <c r="G1122" s="0" t="s">
        <v>91</v>
      </c>
      <c r="H1122" s="0" t="s">
        <v>33</v>
      </c>
      <c r="I1122" s="0" t="s">
        <v>39</v>
      </c>
      <c r="J1122" s="0" t="n">
        <v>2</v>
      </c>
      <c r="K1122" s="0" t="s">
        <v>35</v>
      </c>
      <c r="L1122" s="0" t="n">
        <f aca="false">INDEX(Summary!$F$2:$F$201,MATCH($B1122,Summary!$A$2:$A$201,0))</f>
        <v>20</v>
      </c>
      <c r="M1122" s="0" t="n">
        <f aca="false">INDEX(Summary!$I$2:$I$201,MATCH($B1122,Summary!$A$2:$A$201,0))</f>
        <v>2</v>
      </c>
      <c r="N1122" s="0" t="n">
        <f aca="false">INDEX(Summary!$J$2:$J$201,MATCH($B1122,Summary!$A$2:$A$201,0))</f>
        <v>3</v>
      </c>
      <c r="O1122" s="2" t="n">
        <f aca="false">INDEX(Summary!$K$2:$K$201,MATCH($B1122,Summary!$A$2:$A$201,0))</f>
        <v>10.35</v>
      </c>
      <c r="P1122" s="3" t="n">
        <f aca="false">INDEX(Summary!$L$2:$L$201,MATCH($B1122,Summary!$A$2:$A$201,0))</f>
        <v>3</v>
      </c>
      <c r="Q1122" s="3" t="n">
        <f aca="false">INDEX(Summary!$M$2:$M$201,MATCH($B1122,Summary!$A$2:$A$201,0))</f>
        <v>3</v>
      </c>
      <c r="R1122" s="2" t="n">
        <f aca="false">INDEX(Summary!$N$2:$N$201,MATCH($B1122,Summary!$A$2:$A$201,0))</f>
        <v>11.84</v>
      </c>
      <c r="S1122" s="3" t="n">
        <f aca="false">INDEX(Summary!$O$2:$O$201,MATCH($B1122,Summary!$A$2:$A$201,0))</f>
        <v>4</v>
      </c>
      <c r="T1122" s="3" t="n">
        <f aca="false">INDEX(Summary!$P$2:$P$201,MATCH($B1122,Summary!$A$2:$A$201,0))</f>
        <v>5</v>
      </c>
      <c r="U1122" s="2" t="n">
        <f aca="false">INDEX(Summary!$Q$2:$Q$201,MATCH($B1122,Summary!$A$2:$A$201,0))</f>
        <v>13.79</v>
      </c>
      <c r="V1122" s="2" t="n">
        <f aca="false">INDEX(Summary!$R$2:$R$201,MATCH($B1122,Summary!$A$2:$A$201,0))</f>
        <v>16.98</v>
      </c>
      <c r="W1122" s="0" t="str">
        <f aca="false">INDEX(Summary!$S$2:$S$201,MATCH($B1122,Summary!$A$2:$A$201,0))</f>
        <v>Bronze</v>
      </c>
      <c r="X1122" s="2" t="n">
        <f aca="false">INDEX(Summary!$T$2:$T$201,MATCH($B1122,Summary!$A$2:$A$201,0))</f>
        <v>41.41</v>
      </c>
      <c r="Y1122" s="0" t="str">
        <f aca="false">INDEX('Reward Model'!$E$18:$E$37,MATCH($E1122,'Reward Model'!$A$18:$A$37,0))</f>
        <v>Medium</v>
      </c>
      <c r="Z1122" s="4" t="n">
        <f aca="false">ROUND(MIN(1,MAX('Reward Model'!$B$2,INDEX('Reward Model'!$C$12:$C$14,MATCH($K1122,'Reward Model'!$A$12:$A$14,0))/$J1122)),3)</f>
        <v>0.75</v>
      </c>
      <c r="AA1122" s="2" t="n">
        <f aca="false">IF($I1122="Correct",ROUND(INDEX('Reward Model'!$B$12:$B$14,MATCH($K1122,'Reward Model'!$A$12:$A$14,0))*Z1122,2),0)</f>
        <v>0</v>
      </c>
      <c r="AB1122" s="2" t="n">
        <f aca="false">IF($I1122="Correct",ROUND(INDEX('Reward Model'!$B$12:$B$14,MATCH($Y1122,'Reward Model'!$A$12:$A$14,0))*Z1122,2),0)</f>
        <v>0</v>
      </c>
    </row>
    <row r="1123" customFormat="false" ht="15" hidden="false" customHeight="false" outlineLevel="0" collapsed="false">
      <c r="A1123" s="0" t="s">
        <v>241</v>
      </c>
      <c r="B1123" s="0" t="s">
        <v>242</v>
      </c>
      <c r="C1123" s="0" t="s">
        <v>30</v>
      </c>
      <c r="D1123" s="0" t="s">
        <v>189</v>
      </c>
      <c r="E1123" s="0" t="n">
        <v>2</v>
      </c>
      <c r="F1123" s="0" t="s">
        <v>36</v>
      </c>
      <c r="G1123" s="0" t="s">
        <v>38</v>
      </c>
      <c r="H1123" s="0" t="s">
        <v>38</v>
      </c>
      <c r="I1123" s="0" t="s">
        <v>34</v>
      </c>
      <c r="J1123" s="0" t="n">
        <v>1.23</v>
      </c>
      <c r="K1123" s="0" t="s">
        <v>35</v>
      </c>
      <c r="L1123" s="0" t="n">
        <f aca="false">INDEX(Summary!$F$2:$F$201,MATCH($B1123,Summary!$A$2:$A$201,0))</f>
        <v>20</v>
      </c>
      <c r="M1123" s="0" t="n">
        <f aca="false">INDEX(Summary!$I$2:$I$201,MATCH($B1123,Summary!$A$2:$A$201,0))</f>
        <v>2</v>
      </c>
      <c r="N1123" s="0" t="n">
        <f aca="false">INDEX(Summary!$J$2:$J$201,MATCH($B1123,Summary!$A$2:$A$201,0))</f>
        <v>3</v>
      </c>
      <c r="O1123" s="2" t="n">
        <f aca="false">INDEX(Summary!$K$2:$K$201,MATCH($B1123,Summary!$A$2:$A$201,0))</f>
        <v>10.35</v>
      </c>
      <c r="P1123" s="3" t="n">
        <f aca="false">INDEX(Summary!$L$2:$L$201,MATCH($B1123,Summary!$A$2:$A$201,0))</f>
        <v>3</v>
      </c>
      <c r="Q1123" s="3" t="n">
        <f aca="false">INDEX(Summary!$M$2:$M$201,MATCH($B1123,Summary!$A$2:$A$201,0))</f>
        <v>3</v>
      </c>
      <c r="R1123" s="2" t="n">
        <f aca="false">INDEX(Summary!$N$2:$N$201,MATCH($B1123,Summary!$A$2:$A$201,0))</f>
        <v>11.84</v>
      </c>
      <c r="S1123" s="3" t="n">
        <f aca="false">INDEX(Summary!$O$2:$O$201,MATCH($B1123,Summary!$A$2:$A$201,0))</f>
        <v>4</v>
      </c>
      <c r="T1123" s="3" t="n">
        <f aca="false">INDEX(Summary!$P$2:$P$201,MATCH($B1123,Summary!$A$2:$A$201,0))</f>
        <v>5</v>
      </c>
      <c r="U1123" s="2" t="n">
        <f aca="false">INDEX(Summary!$Q$2:$Q$201,MATCH($B1123,Summary!$A$2:$A$201,0))</f>
        <v>13.79</v>
      </c>
      <c r="V1123" s="2" t="n">
        <f aca="false">INDEX(Summary!$R$2:$R$201,MATCH($B1123,Summary!$A$2:$A$201,0))</f>
        <v>16.98</v>
      </c>
      <c r="W1123" s="0" t="str">
        <f aca="false">INDEX(Summary!$S$2:$S$201,MATCH($B1123,Summary!$A$2:$A$201,0))</f>
        <v>Bronze</v>
      </c>
      <c r="X1123" s="2" t="n">
        <f aca="false">INDEX(Summary!$T$2:$T$201,MATCH($B1123,Summary!$A$2:$A$201,0))</f>
        <v>41.41</v>
      </c>
      <c r="Y1123" s="0" t="str">
        <f aca="false">INDEX('Reward Model'!$E$18:$E$37,MATCH($E1123,'Reward Model'!$A$18:$A$37,0))</f>
        <v>Low</v>
      </c>
      <c r="Z1123" s="4" t="n">
        <f aca="false">ROUND(MIN(1,MAX('Reward Model'!$B$2,INDEX('Reward Model'!$C$12:$C$14,MATCH($K1123,'Reward Model'!$A$12:$A$14,0))/$J1123)),3)</f>
        <v>1</v>
      </c>
      <c r="AA1123" s="2" t="n">
        <f aca="false">IF($I1123="Correct",ROUND(INDEX('Reward Model'!$B$12:$B$14,MATCH($K1123,'Reward Model'!$A$12:$A$14,0))*Z1123,2),0)</f>
        <v>1</v>
      </c>
      <c r="AB1123" s="2" t="n">
        <f aca="false">IF($I1123="Correct",ROUND(INDEX('Reward Model'!$B$12:$B$14,MATCH($Y1123,'Reward Model'!$A$12:$A$14,0))*Z1123,2),0)</f>
        <v>1</v>
      </c>
    </row>
    <row r="1124" customFormat="false" ht="15" hidden="false" customHeight="false" outlineLevel="0" collapsed="false">
      <c r="A1124" s="0" t="s">
        <v>241</v>
      </c>
      <c r="B1124" s="0" t="s">
        <v>242</v>
      </c>
      <c r="C1124" s="0" t="s">
        <v>30</v>
      </c>
      <c r="D1124" s="0" t="s">
        <v>189</v>
      </c>
      <c r="E1124" s="0" t="n">
        <v>3</v>
      </c>
      <c r="F1124" s="0" t="s">
        <v>40</v>
      </c>
      <c r="G1124" s="0" t="s">
        <v>42</v>
      </c>
      <c r="H1124" s="0" t="s">
        <v>42</v>
      </c>
      <c r="I1124" s="0" t="s">
        <v>34</v>
      </c>
      <c r="J1124" s="0" t="n">
        <v>1.99</v>
      </c>
      <c r="K1124" s="0" t="s">
        <v>35</v>
      </c>
      <c r="L1124" s="0" t="n">
        <f aca="false">INDEX(Summary!$F$2:$F$201,MATCH($B1124,Summary!$A$2:$A$201,0))</f>
        <v>20</v>
      </c>
      <c r="M1124" s="0" t="n">
        <f aca="false">INDEX(Summary!$I$2:$I$201,MATCH($B1124,Summary!$A$2:$A$201,0))</f>
        <v>2</v>
      </c>
      <c r="N1124" s="0" t="n">
        <f aca="false">INDEX(Summary!$J$2:$J$201,MATCH($B1124,Summary!$A$2:$A$201,0))</f>
        <v>3</v>
      </c>
      <c r="O1124" s="2" t="n">
        <f aca="false">INDEX(Summary!$K$2:$K$201,MATCH($B1124,Summary!$A$2:$A$201,0))</f>
        <v>10.35</v>
      </c>
      <c r="P1124" s="3" t="n">
        <f aca="false">INDEX(Summary!$L$2:$L$201,MATCH($B1124,Summary!$A$2:$A$201,0))</f>
        <v>3</v>
      </c>
      <c r="Q1124" s="3" t="n">
        <f aca="false">INDEX(Summary!$M$2:$M$201,MATCH($B1124,Summary!$A$2:$A$201,0))</f>
        <v>3</v>
      </c>
      <c r="R1124" s="2" t="n">
        <f aca="false">INDEX(Summary!$N$2:$N$201,MATCH($B1124,Summary!$A$2:$A$201,0))</f>
        <v>11.84</v>
      </c>
      <c r="S1124" s="3" t="n">
        <f aca="false">INDEX(Summary!$O$2:$O$201,MATCH($B1124,Summary!$A$2:$A$201,0))</f>
        <v>4</v>
      </c>
      <c r="T1124" s="3" t="n">
        <f aca="false">INDEX(Summary!$P$2:$P$201,MATCH($B1124,Summary!$A$2:$A$201,0))</f>
        <v>5</v>
      </c>
      <c r="U1124" s="2" t="n">
        <f aca="false">INDEX(Summary!$Q$2:$Q$201,MATCH($B1124,Summary!$A$2:$A$201,0))</f>
        <v>13.79</v>
      </c>
      <c r="V1124" s="2" t="n">
        <f aca="false">INDEX(Summary!$R$2:$R$201,MATCH($B1124,Summary!$A$2:$A$201,0))</f>
        <v>16.98</v>
      </c>
      <c r="W1124" s="0" t="str">
        <f aca="false">INDEX(Summary!$S$2:$S$201,MATCH($B1124,Summary!$A$2:$A$201,0))</f>
        <v>Bronze</v>
      </c>
      <c r="X1124" s="2" t="n">
        <f aca="false">INDEX(Summary!$T$2:$T$201,MATCH($B1124,Summary!$A$2:$A$201,0))</f>
        <v>41.41</v>
      </c>
      <c r="Y1124" s="0" t="str">
        <f aca="false">INDEX('Reward Model'!$E$18:$E$37,MATCH($E1124,'Reward Model'!$A$18:$A$37,0))</f>
        <v>Medium</v>
      </c>
      <c r="Z1124" s="4" t="n">
        <f aca="false">ROUND(MIN(1,MAX('Reward Model'!$B$2,INDEX('Reward Model'!$C$12:$C$14,MATCH($K1124,'Reward Model'!$A$12:$A$14,0))/$J1124)),3)</f>
        <v>0.754</v>
      </c>
      <c r="AA1124" s="2" t="n">
        <f aca="false">IF($I1124="Correct",ROUND(INDEX('Reward Model'!$B$12:$B$14,MATCH($K1124,'Reward Model'!$A$12:$A$14,0))*Z1124,2),0)</f>
        <v>0.75</v>
      </c>
      <c r="AB1124" s="2" t="n">
        <f aca="false">IF($I1124="Correct",ROUND(INDEX('Reward Model'!$B$12:$B$14,MATCH($Y1124,'Reward Model'!$A$12:$A$14,0))*Z1124,2),0)</f>
        <v>1.51</v>
      </c>
    </row>
    <row r="1125" customFormat="false" ht="15" hidden="false" customHeight="false" outlineLevel="0" collapsed="false">
      <c r="A1125" s="0" t="s">
        <v>241</v>
      </c>
      <c r="B1125" s="0" t="s">
        <v>242</v>
      </c>
      <c r="C1125" s="0" t="s">
        <v>30</v>
      </c>
      <c r="D1125" s="0" t="s">
        <v>189</v>
      </c>
      <c r="E1125" s="0" t="n">
        <v>4</v>
      </c>
      <c r="F1125" s="0" t="s">
        <v>43</v>
      </c>
      <c r="G1125" s="0" t="s">
        <v>111</v>
      </c>
      <c r="H1125" s="0" t="s">
        <v>45</v>
      </c>
      <c r="I1125" s="0" t="s">
        <v>39</v>
      </c>
      <c r="J1125" s="0" t="n">
        <v>1.17</v>
      </c>
      <c r="K1125" s="0" t="s">
        <v>35</v>
      </c>
      <c r="L1125" s="0" t="n">
        <f aca="false">INDEX(Summary!$F$2:$F$201,MATCH($B1125,Summary!$A$2:$A$201,0))</f>
        <v>20</v>
      </c>
      <c r="M1125" s="0" t="n">
        <f aca="false">INDEX(Summary!$I$2:$I$201,MATCH($B1125,Summary!$A$2:$A$201,0))</f>
        <v>2</v>
      </c>
      <c r="N1125" s="0" t="n">
        <f aca="false">INDEX(Summary!$J$2:$J$201,MATCH($B1125,Summary!$A$2:$A$201,0))</f>
        <v>3</v>
      </c>
      <c r="O1125" s="2" t="n">
        <f aca="false">INDEX(Summary!$K$2:$K$201,MATCH($B1125,Summary!$A$2:$A$201,0))</f>
        <v>10.35</v>
      </c>
      <c r="P1125" s="3" t="n">
        <f aca="false">INDEX(Summary!$L$2:$L$201,MATCH($B1125,Summary!$A$2:$A$201,0))</f>
        <v>3</v>
      </c>
      <c r="Q1125" s="3" t="n">
        <f aca="false">INDEX(Summary!$M$2:$M$201,MATCH($B1125,Summary!$A$2:$A$201,0))</f>
        <v>3</v>
      </c>
      <c r="R1125" s="2" t="n">
        <f aca="false">INDEX(Summary!$N$2:$N$201,MATCH($B1125,Summary!$A$2:$A$201,0))</f>
        <v>11.84</v>
      </c>
      <c r="S1125" s="3" t="n">
        <f aca="false">INDEX(Summary!$O$2:$O$201,MATCH($B1125,Summary!$A$2:$A$201,0))</f>
        <v>4</v>
      </c>
      <c r="T1125" s="3" t="n">
        <f aca="false">INDEX(Summary!$P$2:$P$201,MATCH($B1125,Summary!$A$2:$A$201,0))</f>
        <v>5</v>
      </c>
      <c r="U1125" s="2" t="n">
        <f aca="false">INDEX(Summary!$Q$2:$Q$201,MATCH($B1125,Summary!$A$2:$A$201,0))</f>
        <v>13.79</v>
      </c>
      <c r="V1125" s="2" t="n">
        <f aca="false">INDEX(Summary!$R$2:$R$201,MATCH($B1125,Summary!$A$2:$A$201,0))</f>
        <v>16.98</v>
      </c>
      <c r="W1125" s="0" t="str">
        <f aca="false">INDEX(Summary!$S$2:$S$201,MATCH($B1125,Summary!$A$2:$A$201,0))</f>
        <v>Bronze</v>
      </c>
      <c r="X1125" s="2" t="n">
        <f aca="false">INDEX(Summary!$T$2:$T$201,MATCH($B1125,Summary!$A$2:$A$201,0))</f>
        <v>41.41</v>
      </c>
      <c r="Y1125" s="0" t="str">
        <f aca="false">INDEX('Reward Model'!$E$18:$E$37,MATCH($E1125,'Reward Model'!$A$18:$A$37,0))</f>
        <v>Low</v>
      </c>
      <c r="Z1125" s="4" t="n">
        <f aca="false">ROUND(MIN(1,MAX('Reward Model'!$B$2,INDEX('Reward Model'!$C$12:$C$14,MATCH($K1125,'Reward Model'!$A$12:$A$14,0))/$J1125)),3)</f>
        <v>1</v>
      </c>
      <c r="AA1125" s="2" t="n">
        <f aca="false">IF($I1125="Correct",ROUND(INDEX('Reward Model'!$B$12:$B$14,MATCH($K1125,'Reward Model'!$A$12:$A$14,0))*Z1125,2),0)</f>
        <v>0</v>
      </c>
      <c r="AB1125" s="2" t="n">
        <f aca="false">IF($I1125="Correct",ROUND(INDEX('Reward Model'!$B$12:$B$14,MATCH($Y1125,'Reward Model'!$A$12:$A$14,0))*Z1125,2),0)</f>
        <v>0</v>
      </c>
    </row>
    <row r="1126" customFormat="false" ht="15" hidden="false" customHeight="false" outlineLevel="0" collapsed="false">
      <c r="A1126" s="0" t="s">
        <v>241</v>
      </c>
      <c r="B1126" s="0" t="s">
        <v>242</v>
      </c>
      <c r="C1126" s="0" t="s">
        <v>30</v>
      </c>
      <c r="D1126" s="0" t="s">
        <v>189</v>
      </c>
      <c r="E1126" s="0" t="n">
        <v>5</v>
      </c>
      <c r="F1126" s="0" t="s">
        <v>46</v>
      </c>
      <c r="G1126" s="0" t="s">
        <v>164</v>
      </c>
      <c r="H1126" s="0" t="s">
        <v>47</v>
      </c>
      <c r="I1126" s="0" t="s">
        <v>39</v>
      </c>
      <c r="J1126" s="0" t="n">
        <v>1.25</v>
      </c>
      <c r="K1126" s="0" t="s">
        <v>35</v>
      </c>
      <c r="L1126" s="0" t="n">
        <f aca="false">INDEX(Summary!$F$2:$F$201,MATCH($B1126,Summary!$A$2:$A$201,0))</f>
        <v>20</v>
      </c>
      <c r="M1126" s="0" t="n">
        <f aca="false">INDEX(Summary!$I$2:$I$201,MATCH($B1126,Summary!$A$2:$A$201,0))</f>
        <v>2</v>
      </c>
      <c r="N1126" s="0" t="n">
        <f aca="false">INDEX(Summary!$J$2:$J$201,MATCH($B1126,Summary!$A$2:$A$201,0))</f>
        <v>3</v>
      </c>
      <c r="O1126" s="2" t="n">
        <f aca="false">INDEX(Summary!$K$2:$K$201,MATCH($B1126,Summary!$A$2:$A$201,0))</f>
        <v>10.35</v>
      </c>
      <c r="P1126" s="3" t="n">
        <f aca="false">INDEX(Summary!$L$2:$L$201,MATCH($B1126,Summary!$A$2:$A$201,0))</f>
        <v>3</v>
      </c>
      <c r="Q1126" s="3" t="n">
        <f aca="false">INDEX(Summary!$M$2:$M$201,MATCH($B1126,Summary!$A$2:$A$201,0))</f>
        <v>3</v>
      </c>
      <c r="R1126" s="2" t="n">
        <f aca="false">INDEX(Summary!$N$2:$N$201,MATCH($B1126,Summary!$A$2:$A$201,0))</f>
        <v>11.84</v>
      </c>
      <c r="S1126" s="3" t="n">
        <f aca="false">INDEX(Summary!$O$2:$O$201,MATCH($B1126,Summary!$A$2:$A$201,0))</f>
        <v>4</v>
      </c>
      <c r="T1126" s="3" t="n">
        <f aca="false">INDEX(Summary!$P$2:$P$201,MATCH($B1126,Summary!$A$2:$A$201,0))</f>
        <v>5</v>
      </c>
      <c r="U1126" s="2" t="n">
        <f aca="false">INDEX(Summary!$Q$2:$Q$201,MATCH($B1126,Summary!$A$2:$A$201,0))</f>
        <v>13.79</v>
      </c>
      <c r="V1126" s="2" t="n">
        <f aca="false">INDEX(Summary!$R$2:$R$201,MATCH($B1126,Summary!$A$2:$A$201,0))</f>
        <v>16.98</v>
      </c>
      <c r="W1126" s="0" t="str">
        <f aca="false">INDEX(Summary!$S$2:$S$201,MATCH($B1126,Summary!$A$2:$A$201,0))</f>
        <v>Bronze</v>
      </c>
      <c r="X1126" s="2" t="n">
        <f aca="false">INDEX(Summary!$T$2:$T$201,MATCH($B1126,Summary!$A$2:$A$201,0))</f>
        <v>41.41</v>
      </c>
      <c r="Y1126" s="0" t="str">
        <f aca="false">INDEX('Reward Model'!$E$18:$E$37,MATCH($E1126,'Reward Model'!$A$18:$A$37,0))</f>
        <v>Low</v>
      </c>
      <c r="Z1126" s="4" t="n">
        <f aca="false">ROUND(MIN(1,MAX('Reward Model'!$B$2,INDEX('Reward Model'!$C$12:$C$14,MATCH($K1126,'Reward Model'!$A$12:$A$14,0))/$J1126)),3)</f>
        <v>1</v>
      </c>
      <c r="AA1126" s="2" t="n">
        <f aca="false">IF($I1126="Correct",ROUND(INDEX('Reward Model'!$B$12:$B$14,MATCH($K1126,'Reward Model'!$A$12:$A$14,0))*Z1126,2),0)</f>
        <v>0</v>
      </c>
      <c r="AB1126" s="2" t="n">
        <f aca="false">IF($I1126="Correct",ROUND(INDEX('Reward Model'!$B$12:$B$14,MATCH($Y1126,'Reward Model'!$A$12:$A$14,0))*Z1126,2),0)</f>
        <v>0</v>
      </c>
    </row>
    <row r="1127" customFormat="false" ht="15" hidden="false" customHeight="false" outlineLevel="0" collapsed="false">
      <c r="A1127" s="0" t="s">
        <v>241</v>
      </c>
      <c r="B1127" s="0" t="s">
        <v>242</v>
      </c>
      <c r="C1127" s="0" t="s">
        <v>30</v>
      </c>
      <c r="D1127" s="0" t="s">
        <v>189</v>
      </c>
      <c r="E1127" s="0" t="n">
        <v>6</v>
      </c>
      <c r="F1127" s="0" t="s">
        <v>48</v>
      </c>
      <c r="G1127" s="0" t="s">
        <v>143</v>
      </c>
      <c r="H1127" s="0" t="s">
        <v>49</v>
      </c>
      <c r="I1127" s="0" t="s">
        <v>39</v>
      </c>
      <c r="J1127" s="0" t="n">
        <v>1.7</v>
      </c>
      <c r="K1127" s="0" t="s">
        <v>35</v>
      </c>
      <c r="L1127" s="0" t="n">
        <f aca="false">INDEX(Summary!$F$2:$F$201,MATCH($B1127,Summary!$A$2:$A$201,0))</f>
        <v>20</v>
      </c>
      <c r="M1127" s="0" t="n">
        <f aca="false">INDEX(Summary!$I$2:$I$201,MATCH($B1127,Summary!$A$2:$A$201,0))</f>
        <v>2</v>
      </c>
      <c r="N1127" s="0" t="n">
        <f aca="false">INDEX(Summary!$J$2:$J$201,MATCH($B1127,Summary!$A$2:$A$201,0))</f>
        <v>3</v>
      </c>
      <c r="O1127" s="2" t="n">
        <f aca="false">INDEX(Summary!$K$2:$K$201,MATCH($B1127,Summary!$A$2:$A$201,0))</f>
        <v>10.35</v>
      </c>
      <c r="P1127" s="3" t="n">
        <f aca="false">INDEX(Summary!$L$2:$L$201,MATCH($B1127,Summary!$A$2:$A$201,0))</f>
        <v>3</v>
      </c>
      <c r="Q1127" s="3" t="n">
        <f aca="false">INDEX(Summary!$M$2:$M$201,MATCH($B1127,Summary!$A$2:$A$201,0))</f>
        <v>3</v>
      </c>
      <c r="R1127" s="2" t="n">
        <f aca="false">INDEX(Summary!$N$2:$N$201,MATCH($B1127,Summary!$A$2:$A$201,0))</f>
        <v>11.84</v>
      </c>
      <c r="S1127" s="3" t="n">
        <f aca="false">INDEX(Summary!$O$2:$O$201,MATCH($B1127,Summary!$A$2:$A$201,0))</f>
        <v>4</v>
      </c>
      <c r="T1127" s="3" t="n">
        <f aca="false">INDEX(Summary!$P$2:$P$201,MATCH($B1127,Summary!$A$2:$A$201,0))</f>
        <v>5</v>
      </c>
      <c r="U1127" s="2" t="n">
        <f aca="false">INDEX(Summary!$Q$2:$Q$201,MATCH($B1127,Summary!$A$2:$A$201,0))</f>
        <v>13.79</v>
      </c>
      <c r="V1127" s="2" t="n">
        <f aca="false">INDEX(Summary!$R$2:$R$201,MATCH($B1127,Summary!$A$2:$A$201,0))</f>
        <v>16.98</v>
      </c>
      <c r="W1127" s="0" t="str">
        <f aca="false">INDEX(Summary!$S$2:$S$201,MATCH($B1127,Summary!$A$2:$A$201,0))</f>
        <v>Bronze</v>
      </c>
      <c r="X1127" s="2" t="n">
        <f aca="false">INDEX(Summary!$T$2:$T$201,MATCH($B1127,Summary!$A$2:$A$201,0))</f>
        <v>41.41</v>
      </c>
      <c r="Y1127" s="0" t="str">
        <f aca="false">INDEX('Reward Model'!$E$18:$E$37,MATCH($E1127,'Reward Model'!$A$18:$A$37,0))</f>
        <v>Medium</v>
      </c>
      <c r="Z1127" s="4" t="n">
        <f aca="false">ROUND(MIN(1,MAX('Reward Model'!$B$2,INDEX('Reward Model'!$C$12:$C$14,MATCH($K1127,'Reward Model'!$A$12:$A$14,0))/$J1127)),3)</f>
        <v>0.882</v>
      </c>
      <c r="AA1127" s="2" t="n">
        <f aca="false">IF($I1127="Correct",ROUND(INDEX('Reward Model'!$B$12:$B$14,MATCH($K1127,'Reward Model'!$A$12:$A$14,0))*Z1127,2),0)</f>
        <v>0</v>
      </c>
      <c r="AB1127" s="2" t="n">
        <f aca="false">IF($I1127="Correct",ROUND(INDEX('Reward Model'!$B$12:$B$14,MATCH($Y1127,'Reward Model'!$A$12:$A$14,0))*Z1127,2),0)</f>
        <v>0</v>
      </c>
    </row>
    <row r="1128" customFormat="false" ht="15" hidden="false" customHeight="false" outlineLevel="0" collapsed="false">
      <c r="A1128" s="0" t="s">
        <v>241</v>
      </c>
      <c r="B1128" s="0" t="s">
        <v>242</v>
      </c>
      <c r="C1128" s="0" t="s">
        <v>30</v>
      </c>
      <c r="D1128" s="0" t="s">
        <v>189</v>
      </c>
      <c r="E1128" s="0" t="n">
        <v>7</v>
      </c>
      <c r="F1128" s="0" t="s">
        <v>50</v>
      </c>
      <c r="G1128" s="0" t="s">
        <v>144</v>
      </c>
      <c r="H1128" s="0" t="s">
        <v>51</v>
      </c>
      <c r="I1128" s="0" t="s">
        <v>39</v>
      </c>
      <c r="J1128" s="0" t="n">
        <v>1.01</v>
      </c>
      <c r="K1128" s="0" t="s">
        <v>35</v>
      </c>
      <c r="L1128" s="0" t="n">
        <f aca="false">INDEX(Summary!$F$2:$F$201,MATCH($B1128,Summary!$A$2:$A$201,0))</f>
        <v>20</v>
      </c>
      <c r="M1128" s="0" t="n">
        <f aca="false">INDEX(Summary!$I$2:$I$201,MATCH($B1128,Summary!$A$2:$A$201,0))</f>
        <v>2</v>
      </c>
      <c r="N1128" s="0" t="n">
        <f aca="false">INDEX(Summary!$J$2:$J$201,MATCH($B1128,Summary!$A$2:$A$201,0))</f>
        <v>3</v>
      </c>
      <c r="O1128" s="2" t="n">
        <f aca="false">INDEX(Summary!$K$2:$K$201,MATCH($B1128,Summary!$A$2:$A$201,0))</f>
        <v>10.35</v>
      </c>
      <c r="P1128" s="3" t="n">
        <f aca="false">INDEX(Summary!$L$2:$L$201,MATCH($B1128,Summary!$A$2:$A$201,0))</f>
        <v>3</v>
      </c>
      <c r="Q1128" s="3" t="n">
        <f aca="false">INDEX(Summary!$M$2:$M$201,MATCH($B1128,Summary!$A$2:$A$201,0))</f>
        <v>3</v>
      </c>
      <c r="R1128" s="2" t="n">
        <f aca="false">INDEX(Summary!$N$2:$N$201,MATCH($B1128,Summary!$A$2:$A$201,0))</f>
        <v>11.84</v>
      </c>
      <c r="S1128" s="3" t="n">
        <f aca="false">INDEX(Summary!$O$2:$O$201,MATCH($B1128,Summary!$A$2:$A$201,0))</f>
        <v>4</v>
      </c>
      <c r="T1128" s="3" t="n">
        <f aca="false">INDEX(Summary!$P$2:$P$201,MATCH($B1128,Summary!$A$2:$A$201,0))</f>
        <v>5</v>
      </c>
      <c r="U1128" s="2" t="n">
        <f aca="false">INDEX(Summary!$Q$2:$Q$201,MATCH($B1128,Summary!$A$2:$A$201,0))</f>
        <v>13.79</v>
      </c>
      <c r="V1128" s="2" t="n">
        <f aca="false">INDEX(Summary!$R$2:$R$201,MATCH($B1128,Summary!$A$2:$A$201,0))</f>
        <v>16.98</v>
      </c>
      <c r="W1128" s="0" t="str">
        <f aca="false">INDEX(Summary!$S$2:$S$201,MATCH($B1128,Summary!$A$2:$A$201,0))</f>
        <v>Bronze</v>
      </c>
      <c r="X1128" s="2" t="n">
        <f aca="false">INDEX(Summary!$T$2:$T$201,MATCH($B1128,Summary!$A$2:$A$201,0))</f>
        <v>41.41</v>
      </c>
      <c r="Y1128" s="0" t="str">
        <f aca="false">INDEX('Reward Model'!$E$18:$E$37,MATCH($E1128,'Reward Model'!$A$18:$A$37,0))</f>
        <v>Low</v>
      </c>
      <c r="Z1128" s="4" t="n">
        <f aca="false">ROUND(MIN(1,MAX('Reward Model'!$B$2,INDEX('Reward Model'!$C$12:$C$14,MATCH($K1128,'Reward Model'!$A$12:$A$14,0))/$J1128)),3)</f>
        <v>1</v>
      </c>
      <c r="AA1128" s="2" t="n">
        <f aca="false">IF($I1128="Correct",ROUND(INDEX('Reward Model'!$B$12:$B$14,MATCH($K1128,'Reward Model'!$A$12:$A$14,0))*Z1128,2),0)</f>
        <v>0</v>
      </c>
      <c r="AB1128" s="2" t="n">
        <f aca="false">IF($I1128="Correct",ROUND(INDEX('Reward Model'!$B$12:$B$14,MATCH($Y1128,'Reward Model'!$A$12:$A$14,0))*Z1128,2),0)</f>
        <v>0</v>
      </c>
    </row>
    <row r="1129" customFormat="false" ht="15" hidden="false" customHeight="false" outlineLevel="0" collapsed="false">
      <c r="A1129" s="0" t="s">
        <v>241</v>
      </c>
      <c r="B1129" s="0" t="s">
        <v>242</v>
      </c>
      <c r="C1129" s="0" t="s">
        <v>30</v>
      </c>
      <c r="D1129" s="0" t="s">
        <v>189</v>
      </c>
      <c r="E1129" s="0" t="n">
        <v>8</v>
      </c>
      <c r="F1129" s="0" t="s">
        <v>52</v>
      </c>
      <c r="G1129" s="0" t="s">
        <v>54</v>
      </c>
      <c r="H1129" s="0" t="s">
        <v>54</v>
      </c>
      <c r="I1129" s="0" t="s">
        <v>34</v>
      </c>
      <c r="J1129" s="0" t="n">
        <v>1.94</v>
      </c>
      <c r="K1129" s="0" t="s">
        <v>35</v>
      </c>
      <c r="L1129" s="0" t="n">
        <f aca="false">INDEX(Summary!$F$2:$F$201,MATCH($B1129,Summary!$A$2:$A$201,0))</f>
        <v>20</v>
      </c>
      <c r="M1129" s="0" t="n">
        <f aca="false">INDEX(Summary!$I$2:$I$201,MATCH($B1129,Summary!$A$2:$A$201,0))</f>
        <v>2</v>
      </c>
      <c r="N1129" s="0" t="n">
        <f aca="false">INDEX(Summary!$J$2:$J$201,MATCH($B1129,Summary!$A$2:$A$201,0))</f>
        <v>3</v>
      </c>
      <c r="O1129" s="2" t="n">
        <f aca="false">INDEX(Summary!$K$2:$K$201,MATCH($B1129,Summary!$A$2:$A$201,0))</f>
        <v>10.35</v>
      </c>
      <c r="P1129" s="3" t="n">
        <f aca="false">INDEX(Summary!$L$2:$L$201,MATCH($B1129,Summary!$A$2:$A$201,0))</f>
        <v>3</v>
      </c>
      <c r="Q1129" s="3" t="n">
        <f aca="false">INDEX(Summary!$M$2:$M$201,MATCH($B1129,Summary!$A$2:$A$201,0))</f>
        <v>3</v>
      </c>
      <c r="R1129" s="2" t="n">
        <f aca="false">INDEX(Summary!$N$2:$N$201,MATCH($B1129,Summary!$A$2:$A$201,0))</f>
        <v>11.84</v>
      </c>
      <c r="S1129" s="3" t="n">
        <f aca="false">INDEX(Summary!$O$2:$O$201,MATCH($B1129,Summary!$A$2:$A$201,0))</f>
        <v>4</v>
      </c>
      <c r="T1129" s="3" t="n">
        <f aca="false">INDEX(Summary!$P$2:$P$201,MATCH($B1129,Summary!$A$2:$A$201,0))</f>
        <v>5</v>
      </c>
      <c r="U1129" s="2" t="n">
        <f aca="false">INDEX(Summary!$Q$2:$Q$201,MATCH($B1129,Summary!$A$2:$A$201,0))</f>
        <v>13.79</v>
      </c>
      <c r="V1129" s="2" t="n">
        <f aca="false">INDEX(Summary!$R$2:$R$201,MATCH($B1129,Summary!$A$2:$A$201,0))</f>
        <v>16.98</v>
      </c>
      <c r="W1129" s="0" t="str">
        <f aca="false">INDEX(Summary!$S$2:$S$201,MATCH($B1129,Summary!$A$2:$A$201,0))</f>
        <v>Bronze</v>
      </c>
      <c r="X1129" s="2" t="n">
        <f aca="false">INDEX(Summary!$T$2:$T$201,MATCH($B1129,Summary!$A$2:$A$201,0))</f>
        <v>41.41</v>
      </c>
      <c r="Y1129" s="0" t="str">
        <f aca="false">INDEX('Reward Model'!$E$18:$E$37,MATCH($E1129,'Reward Model'!$A$18:$A$37,0))</f>
        <v>Medium</v>
      </c>
      <c r="Z1129" s="4" t="n">
        <f aca="false">ROUND(MIN(1,MAX('Reward Model'!$B$2,INDEX('Reward Model'!$C$12:$C$14,MATCH($K1129,'Reward Model'!$A$12:$A$14,0))/$J1129)),3)</f>
        <v>0.773</v>
      </c>
      <c r="AA1129" s="2" t="n">
        <f aca="false">IF($I1129="Correct",ROUND(INDEX('Reward Model'!$B$12:$B$14,MATCH($K1129,'Reward Model'!$A$12:$A$14,0))*Z1129,2),0)</f>
        <v>0.77</v>
      </c>
      <c r="AB1129" s="2" t="n">
        <f aca="false">IF($I1129="Correct",ROUND(INDEX('Reward Model'!$B$12:$B$14,MATCH($Y1129,'Reward Model'!$A$12:$A$14,0))*Z1129,2),0)</f>
        <v>1.55</v>
      </c>
    </row>
    <row r="1130" customFormat="false" ht="15" hidden="false" customHeight="false" outlineLevel="0" collapsed="false">
      <c r="A1130" s="0" t="s">
        <v>241</v>
      </c>
      <c r="B1130" s="0" t="s">
        <v>242</v>
      </c>
      <c r="C1130" s="0" t="s">
        <v>30</v>
      </c>
      <c r="D1130" s="0" t="s">
        <v>189</v>
      </c>
      <c r="E1130" s="0" t="n">
        <v>9</v>
      </c>
      <c r="F1130" s="0" t="s">
        <v>55</v>
      </c>
      <c r="G1130" s="0" t="s">
        <v>57</v>
      </c>
      <c r="H1130" s="0" t="s">
        <v>57</v>
      </c>
      <c r="I1130" s="0" t="s">
        <v>34</v>
      </c>
      <c r="J1130" s="0" t="n">
        <v>1.5</v>
      </c>
      <c r="K1130" s="0" t="s">
        <v>35</v>
      </c>
      <c r="L1130" s="0" t="n">
        <f aca="false">INDEX(Summary!$F$2:$F$201,MATCH($B1130,Summary!$A$2:$A$201,0))</f>
        <v>20</v>
      </c>
      <c r="M1130" s="0" t="n">
        <f aca="false">INDEX(Summary!$I$2:$I$201,MATCH($B1130,Summary!$A$2:$A$201,0))</f>
        <v>2</v>
      </c>
      <c r="N1130" s="0" t="n">
        <f aca="false">INDEX(Summary!$J$2:$J$201,MATCH($B1130,Summary!$A$2:$A$201,0))</f>
        <v>3</v>
      </c>
      <c r="O1130" s="2" t="n">
        <f aca="false">INDEX(Summary!$K$2:$K$201,MATCH($B1130,Summary!$A$2:$A$201,0))</f>
        <v>10.35</v>
      </c>
      <c r="P1130" s="3" t="n">
        <f aca="false">INDEX(Summary!$L$2:$L$201,MATCH($B1130,Summary!$A$2:$A$201,0))</f>
        <v>3</v>
      </c>
      <c r="Q1130" s="3" t="n">
        <f aca="false">INDEX(Summary!$M$2:$M$201,MATCH($B1130,Summary!$A$2:$A$201,0))</f>
        <v>3</v>
      </c>
      <c r="R1130" s="2" t="n">
        <f aca="false">INDEX(Summary!$N$2:$N$201,MATCH($B1130,Summary!$A$2:$A$201,0))</f>
        <v>11.84</v>
      </c>
      <c r="S1130" s="3" t="n">
        <f aca="false">INDEX(Summary!$O$2:$O$201,MATCH($B1130,Summary!$A$2:$A$201,0))</f>
        <v>4</v>
      </c>
      <c r="T1130" s="3" t="n">
        <f aca="false">INDEX(Summary!$P$2:$P$201,MATCH($B1130,Summary!$A$2:$A$201,0))</f>
        <v>5</v>
      </c>
      <c r="U1130" s="2" t="n">
        <f aca="false">INDEX(Summary!$Q$2:$Q$201,MATCH($B1130,Summary!$A$2:$A$201,0))</f>
        <v>13.79</v>
      </c>
      <c r="V1130" s="2" t="n">
        <f aca="false">INDEX(Summary!$R$2:$R$201,MATCH($B1130,Summary!$A$2:$A$201,0))</f>
        <v>16.98</v>
      </c>
      <c r="W1130" s="0" t="str">
        <f aca="false">INDEX(Summary!$S$2:$S$201,MATCH($B1130,Summary!$A$2:$A$201,0))</f>
        <v>Bronze</v>
      </c>
      <c r="X1130" s="2" t="n">
        <f aca="false">INDEX(Summary!$T$2:$T$201,MATCH($B1130,Summary!$A$2:$A$201,0))</f>
        <v>41.41</v>
      </c>
      <c r="Y1130" s="0" t="str">
        <f aca="false">INDEX('Reward Model'!$E$18:$E$37,MATCH($E1130,'Reward Model'!$A$18:$A$37,0))</f>
        <v>Medium</v>
      </c>
      <c r="Z1130" s="4" t="n">
        <f aca="false">ROUND(MIN(1,MAX('Reward Model'!$B$2,INDEX('Reward Model'!$C$12:$C$14,MATCH($K1130,'Reward Model'!$A$12:$A$14,0))/$J1130)),3)</f>
        <v>1</v>
      </c>
      <c r="AA1130" s="2" t="n">
        <f aca="false">IF($I1130="Correct",ROUND(INDEX('Reward Model'!$B$12:$B$14,MATCH($K1130,'Reward Model'!$A$12:$A$14,0))*Z1130,2),0)</f>
        <v>1</v>
      </c>
      <c r="AB1130" s="2" t="n">
        <f aca="false">IF($I1130="Correct",ROUND(INDEX('Reward Model'!$B$12:$B$14,MATCH($Y1130,'Reward Model'!$A$12:$A$14,0))*Z1130,2),0)</f>
        <v>2</v>
      </c>
    </row>
    <row r="1131" customFormat="false" ht="15" hidden="false" customHeight="false" outlineLevel="0" collapsed="false">
      <c r="A1131" s="0" t="s">
        <v>241</v>
      </c>
      <c r="B1131" s="0" t="s">
        <v>242</v>
      </c>
      <c r="C1131" s="0" t="s">
        <v>30</v>
      </c>
      <c r="D1131" s="0" t="s">
        <v>189</v>
      </c>
      <c r="E1131" s="0" t="n">
        <v>10</v>
      </c>
      <c r="F1131" s="0" t="s">
        <v>58</v>
      </c>
      <c r="G1131" s="0" t="s">
        <v>59</v>
      </c>
      <c r="H1131" s="0" t="s">
        <v>59</v>
      </c>
      <c r="I1131" s="0" t="s">
        <v>34</v>
      </c>
      <c r="J1131" s="0" t="n">
        <v>2.08</v>
      </c>
      <c r="K1131" s="0" t="s">
        <v>60</v>
      </c>
      <c r="L1131" s="0" t="n">
        <f aca="false">INDEX(Summary!$F$2:$F$201,MATCH($B1131,Summary!$A$2:$A$201,0))</f>
        <v>20</v>
      </c>
      <c r="M1131" s="0" t="n">
        <f aca="false">INDEX(Summary!$I$2:$I$201,MATCH($B1131,Summary!$A$2:$A$201,0))</f>
        <v>2</v>
      </c>
      <c r="N1131" s="0" t="n">
        <f aca="false">INDEX(Summary!$J$2:$J$201,MATCH($B1131,Summary!$A$2:$A$201,0))</f>
        <v>3</v>
      </c>
      <c r="O1131" s="2" t="n">
        <f aca="false">INDEX(Summary!$K$2:$K$201,MATCH($B1131,Summary!$A$2:$A$201,0))</f>
        <v>10.35</v>
      </c>
      <c r="P1131" s="3" t="n">
        <f aca="false">INDEX(Summary!$L$2:$L$201,MATCH($B1131,Summary!$A$2:$A$201,0))</f>
        <v>3</v>
      </c>
      <c r="Q1131" s="3" t="n">
        <f aca="false">INDEX(Summary!$M$2:$M$201,MATCH($B1131,Summary!$A$2:$A$201,0))</f>
        <v>3</v>
      </c>
      <c r="R1131" s="2" t="n">
        <f aca="false">INDEX(Summary!$N$2:$N$201,MATCH($B1131,Summary!$A$2:$A$201,0))</f>
        <v>11.84</v>
      </c>
      <c r="S1131" s="3" t="n">
        <f aca="false">INDEX(Summary!$O$2:$O$201,MATCH($B1131,Summary!$A$2:$A$201,0))</f>
        <v>4</v>
      </c>
      <c r="T1131" s="3" t="n">
        <f aca="false">INDEX(Summary!$P$2:$P$201,MATCH($B1131,Summary!$A$2:$A$201,0))</f>
        <v>5</v>
      </c>
      <c r="U1131" s="2" t="n">
        <f aca="false">INDEX(Summary!$Q$2:$Q$201,MATCH($B1131,Summary!$A$2:$A$201,0))</f>
        <v>13.79</v>
      </c>
      <c r="V1131" s="2" t="n">
        <f aca="false">INDEX(Summary!$R$2:$R$201,MATCH($B1131,Summary!$A$2:$A$201,0))</f>
        <v>16.98</v>
      </c>
      <c r="W1131" s="0" t="str">
        <f aca="false">INDEX(Summary!$S$2:$S$201,MATCH($B1131,Summary!$A$2:$A$201,0))</f>
        <v>Bronze</v>
      </c>
      <c r="X1131" s="2" t="n">
        <f aca="false">INDEX(Summary!$T$2:$T$201,MATCH($B1131,Summary!$A$2:$A$201,0))</f>
        <v>41.41</v>
      </c>
      <c r="Y1131" s="0" t="str">
        <f aca="false">INDEX('Reward Model'!$E$18:$E$37,MATCH($E1131,'Reward Model'!$A$18:$A$37,0))</f>
        <v>Medium</v>
      </c>
      <c r="Z1131" s="4" t="n">
        <f aca="false">ROUND(MIN(1,MAX('Reward Model'!$B$2,INDEX('Reward Model'!$C$12:$C$14,MATCH($K1131,'Reward Model'!$A$12:$A$14,0))/$J1131)),3)</f>
        <v>0.865</v>
      </c>
      <c r="AA1131" s="2" t="n">
        <f aca="false">IF($I1131="Correct",ROUND(INDEX('Reward Model'!$B$12:$B$14,MATCH($K1131,'Reward Model'!$A$12:$A$14,0))*Z1131,2),0)</f>
        <v>1.73</v>
      </c>
      <c r="AB1131" s="2" t="n">
        <f aca="false">IF($I1131="Correct",ROUND(INDEX('Reward Model'!$B$12:$B$14,MATCH($Y1131,'Reward Model'!$A$12:$A$14,0))*Z1131,2),0)</f>
        <v>1.73</v>
      </c>
    </row>
    <row r="1132" customFormat="false" ht="15" hidden="false" customHeight="false" outlineLevel="0" collapsed="false">
      <c r="A1132" s="0" t="s">
        <v>241</v>
      </c>
      <c r="B1132" s="0" t="s">
        <v>242</v>
      </c>
      <c r="C1132" s="0" t="s">
        <v>30</v>
      </c>
      <c r="D1132" s="0" t="s">
        <v>189</v>
      </c>
      <c r="E1132" s="0" t="n">
        <v>11</v>
      </c>
      <c r="F1132" s="0" t="s">
        <v>61</v>
      </c>
      <c r="G1132" s="0" t="s">
        <v>62</v>
      </c>
      <c r="H1132" s="0" t="s">
        <v>63</v>
      </c>
      <c r="I1132" s="0" t="s">
        <v>39</v>
      </c>
      <c r="J1132" s="0" t="n">
        <v>2.04</v>
      </c>
      <c r="K1132" s="0" t="s">
        <v>60</v>
      </c>
      <c r="L1132" s="0" t="n">
        <f aca="false">INDEX(Summary!$F$2:$F$201,MATCH($B1132,Summary!$A$2:$A$201,0))</f>
        <v>20</v>
      </c>
      <c r="M1132" s="0" t="n">
        <f aca="false">INDEX(Summary!$I$2:$I$201,MATCH($B1132,Summary!$A$2:$A$201,0))</f>
        <v>2</v>
      </c>
      <c r="N1132" s="0" t="n">
        <f aca="false">INDEX(Summary!$J$2:$J$201,MATCH($B1132,Summary!$A$2:$A$201,0))</f>
        <v>3</v>
      </c>
      <c r="O1132" s="2" t="n">
        <f aca="false">INDEX(Summary!$K$2:$K$201,MATCH($B1132,Summary!$A$2:$A$201,0))</f>
        <v>10.35</v>
      </c>
      <c r="P1132" s="3" t="n">
        <f aca="false">INDEX(Summary!$L$2:$L$201,MATCH($B1132,Summary!$A$2:$A$201,0))</f>
        <v>3</v>
      </c>
      <c r="Q1132" s="3" t="n">
        <f aca="false">INDEX(Summary!$M$2:$M$201,MATCH($B1132,Summary!$A$2:$A$201,0))</f>
        <v>3</v>
      </c>
      <c r="R1132" s="2" t="n">
        <f aca="false">INDEX(Summary!$N$2:$N$201,MATCH($B1132,Summary!$A$2:$A$201,0))</f>
        <v>11.84</v>
      </c>
      <c r="S1132" s="3" t="n">
        <f aca="false">INDEX(Summary!$O$2:$O$201,MATCH($B1132,Summary!$A$2:$A$201,0))</f>
        <v>4</v>
      </c>
      <c r="T1132" s="3" t="n">
        <f aca="false">INDEX(Summary!$P$2:$P$201,MATCH($B1132,Summary!$A$2:$A$201,0))</f>
        <v>5</v>
      </c>
      <c r="U1132" s="2" t="n">
        <f aca="false">INDEX(Summary!$Q$2:$Q$201,MATCH($B1132,Summary!$A$2:$A$201,0))</f>
        <v>13.79</v>
      </c>
      <c r="V1132" s="2" t="n">
        <f aca="false">INDEX(Summary!$R$2:$R$201,MATCH($B1132,Summary!$A$2:$A$201,0))</f>
        <v>16.98</v>
      </c>
      <c r="W1132" s="0" t="str">
        <f aca="false">INDEX(Summary!$S$2:$S$201,MATCH($B1132,Summary!$A$2:$A$201,0))</f>
        <v>Bronze</v>
      </c>
      <c r="X1132" s="2" t="n">
        <f aca="false">INDEX(Summary!$T$2:$T$201,MATCH($B1132,Summary!$A$2:$A$201,0))</f>
        <v>41.41</v>
      </c>
      <c r="Y1132" s="0" t="str">
        <f aca="false">INDEX('Reward Model'!$E$18:$E$37,MATCH($E1132,'Reward Model'!$A$18:$A$37,0))</f>
        <v>Medium</v>
      </c>
      <c r="Z1132" s="4" t="n">
        <f aca="false">ROUND(MIN(1,MAX('Reward Model'!$B$2,INDEX('Reward Model'!$C$12:$C$14,MATCH($K1132,'Reward Model'!$A$12:$A$14,0))/$J1132)),3)</f>
        <v>0.882</v>
      </c>
      <c r="AA1132" s="2" t="n">
        <f aca="false">IF($I1132="Correct",ROUND(INDEX('Reward Model'!$B$12:$B$14,MATCH($K1132,'Reward Model'!$A$12:$A$14,0))*Z1132,2),0)</f>
        <v>0</v>
      </c>
      <c r="AB1132" s="2" t="n">
        <f aca="false">IF($I1132="Correct",ROUND(INDEX('Reward Model'!$B$12:$B$14,MATCH($Y1132,'Reward Model'!$A$12:$A$14,0))*Z1132,2),0)</f>
        <v>0</v>
      </c>
    </row>
    <row r="1133" customFormat="false" ht="15" hidden="false" customHeight="false" outlineLevel="0" collapsed="false">
      <c r="A1133" s="0" t="s">
        <v>241</v>
      </c>
      <c r="B1133" s="0" t="s">
        <v>242</v>
      </c>
      <c r="C1133" s="0" t="s">
        <v>30</v>
      </c>
      <c r="D1133" s="0" t="s">
        <v>189</v>
      </c>
      <c r="E1133" s="0" t="n">
        <v>12</v>
      </c>
      <c r="F1133" s="0" t="s">
        <v>64</v>
      </c>
      <c r="G1133" s="0" t="s">
        <v>127</v>
      </c>
      <c r="H1133" s="0" t="s">
        <v>65</v>
      </c>
      <c r="I1133" s="0" t="s">
        <v>39</v>
      </c>
      <c r="J1133" s="0" t="n">
        <v>1.99</v>
      </c>
      <c r="K1133" s="0" t="s">
        <v>60</v>
      </c>
      <c r="L1133" s="0" t="n">
        <f aca="false">INDEX(Summary!$F$2:$F$201,MATCH($B1133,Summary!$A$2:$A$201,0))</f>
        <v>20</v>
      </c>
      <c r="M1133" s="0" t="n">
        <f aca="false">INDEX(Summary!$I$2:$I$201,MATCH($B1133,Summary!$A$2:$A$201,0))</f>
        <v>2</v>
      </c>
      <c r="N1133" s="0" t="n">
        <f aca="false">INDEX(Summary!$J$2:$J$201,MATCH($B1133,Summary!$A$2:$A$201,0))</f>
        <v>3</v>
      </c>
      <c r="O1133" s="2" t="n">
        <f aca="false">INDEX(Summary!$K$2:$K$201,MATCH($B1133,Summary!$A$2:$A$201,0))</f>
        <v>10.35</v>
      </c>
      <c r="P1133" s="3" t="n">
        <f aca="false">INDEX(Summary!$L$2:$L$201,MATCH($B1133,Summary!$A$2:$A$201,0))</f>
        <v>3</v>
      </c>
      <c r="Q1133" s="3" t="n">
        <f aca="false">INDEX(Summary!$M$2:$M$201,MATCH($B1133,Summary!$A$2:$A$201,0))</f>
        <v>3</v>
      </c>
      <c r="R1133" s="2" t="n">
        <f aca="false">INDEX(Summary!$N$2:$N$201,MATCH($B1133,Summary!$A$2:$A$201,0))</f>
        <v>11.84</v>
      </c>
      <c r="S1133" s="3" t="n">
        <f aca="false">INDEX(Summary!$O$2:$O$201,MATCH($B1133,Summary!$A$2:$A$201,0))</f>
        <v>4</v>
      </c>
      <c r="T1133" s="3" t="n">
        <f aca="false">INDEX(Summary!$P$2:$P$201,MATCH($B1133,Summary!$A$2:$A$201,0))</f>
        <v>5</v>
      </c>
      <c r="U1133" s="2" t="n">
        <f aca="false">INDEX(Summary!$Q$2:$Q$201,MATCH($B1133,Summary!$A$2:$A$201,0))</f>
        <v>13.79</v>
      </c>
      <c r="V1133" s="2" t="n">
        <f aca="false">INDEX(Summary!$R$2:$R$201,MATCH($B1133,Summary!$A$2:$A$201,0))</f>
        <v>16.98</v>
      </c>
      <c r="W1133" s="0" t="str">
        <f aca="false">INDEX(Summary!$S$2:$S$201,MATCH($B1133,Summary!$A$2:$A$201,0))</f>
        <v>Bronze</v>
      </c>
      <c r="X1133" s="2" t="n">
        <f aca="false">INDEX(Summary!$T$2:$T$201,MATCH($B1133,Summary!$A$2:$A$201,0))</f>
        <v>41.41</v>
      </c>
      <c r="Y1133" s="0" t="str">
        <f aca="false">INDEX('Reward Model'!$E$18:$E$37,MATCH($E1133,'Reward Model'!$A$18:$A$37,0))</f>
        <v>Medium</v>
      </c>
      <c r="Z1133" s="4" t="n">
        <f aca="false">ROUND(MIN(1,MAX('Reward Model'!$B$2,INDEX('Reward Model'!$C$12:$C$14,MATCH($K1133,'Reward Model'!$A$12:$A$14,0))/$J1133)),3)</f>
        <v>0.905</v>
      </c>
      <c r="AA1133" s="2" t="n">
        <f aca="false">IF($I1133="Correct",ROUND(INDEX('Reward Model'!$B$12:$B$14,MATCH($K1133,'Reward Model'!$A$12:$A$14,0))*Z1133,2),0)</f>
        <v>0</v>
      </c>
      <c r="AB1133" s="2" t="n">
        <f aca="false">IF($I1133="Correct",ROUND(INDEX('Reward Model'!$B$12:$B$14,MATCH($Y1133,'Reward Model'!$A$12:$A$14,0))*Z1133,2),0)</f>
        <v>0</v>
      </c>
    </row>
    <row r="1134" customFormat="false" ht="15" hidden="false" customHeight="false" outlineLevel="0" collapsed="false">
      <c r="A1134" s="0" t="s">
        <v>241</v>
      </c>
      <c r="B1134" s="0" t="s">
        <v>242</v>
      </c>
      <c r="C1134" s="0" t="s">
        <v>30</v>
      </c>
      <c r="D1134" s="0" t="s">
        <v>189</v>
      </c>
      <c r="E1134" s="0" t="n">
        <v>13</v>
      </c>
      <c r="F1134" s="0" t="s">
        <v>66</v>
      </c>
      <c r="G1134" s="0" t="s">
        <v>67</v>
      </c>
      <c r="H1134" s="0" t="s">
        <v>67</v>
      </c>
      <c r="I1134" s="0" t="s">
        <v>34</v>
      </c>
      <c r="J1134" s="0" t="n">
        <v>1.78</v>
      </c>
      <c r="K1134" s="0" t="s">
        <v>60</v>
      </c>
      <c r="L1134" s="0" t="n">
        <f aca="false">INDEX(Summary!$F$2:$F$201,MATCH($B1134,Summary!$A$2:$A$201,0))</f>
        <v>20</v>
      </c>
      <c r="M1134" s="0" t="n">
        <f aca="false">INDEX(Summary!$I$2:$I$201,MATCH($B1134,Summary!$A$2:$A$201,0))</f>
        <v>2</v>
      </c>
      <c r="N1134" s="0" t="n">
        <f aca="false">INDEX(Summary!$J$2:$J$201,MATCH($B1134,Summary!$A$2:$A$201,0))</f>
        <v>3</v>
      </c>
      <c r="O1134" s="2" t="n">
        <f aca="false">INDEX(Summary!$K$2:$K$201,MATCH($B1134,Summary!$A$2:$A$201,0))</f>
        <v>10.35</v>
      </c>
      <c r="P1134" s="3" t="n">
        <f aca="false">INDEX(Summary!$L$2:$L$201,MATCH($B1134,Summary!$A$2:$A$201,0))</f>
        <v>3</v>
      </c>
      <c r="Q1134" s="3" t="n">
        <f aca="false">INDEX(Summary!$M$2:$M$201,MATCH($B1134,Summary!$A$2:$A$201,0))</f>
        <v>3</v>
      </c>
      <c r="R1134" s="2" t="n">
        <f aca="false">INDEX(Summary!$N$2:$N$201,MATCH($B1134,Summary!$A$2:$A$201,0))</f>
        <v>11.84</v>
      </c>
      <c r="S1134" s="3" t="n">
        <f aca="false">INDEX(Summary!$O$2:$O$201,MATCH($B1134,Summary!$A$2:$A$201,0))</f>
        <v>4</v>
      </c>
      <c r="T1134" s="3" t="n">
        <f aca="false">INDEX(Summary!$P$2:$P$201,MATCH($B1134,Summary!$A$2:$A$201,0))</f>
        <v>5</v>
      </c>
      <c r="U1134" s="2" t="n">
        <f aca="false">INDEX(Summary!$Q$2:$Q$201,MATCH($B1134,Summary!$A$2:$A$201,0))</f>
        <v>13.79</v>
      </c>
      <c r="V1134" s="2" t="n">
        <f aca="false">INDEX(Summary!$R$2:$R$201,MATCH($B1134,Summary!$A$2:$A$201,0))</f>
        <v>16.98</v>
      </c>
      <c r="W1134" s="0" t="str">
        <f aca="false">INDEX(Summary!$S$2:$S$201,MATCH($B1134,Summary!$A$2:$A$201,0))</f>
        <v>Bronze</v>
      </c>
      <c r="X1134" s="2" t="n">
        <f aca="false">INDEX(Summary!$T$2:$T$201,MATCH($B1134,Summary!$A$2:$A$201,0))</f>
        <v>41.41</v>
      </c>
      <c r="Y1134" s="0" t="str">
        <f aca="false">INDEX('Reward Model'!$E$18:$E$37,MATCH($E1134,'Reward Model'!$A$18:$A$37,0))</f>
        <v>Medium</v>
      </c>
      <c r="Z1134" s="4" t="n">
        <f aca="false">ROUND(MIN(1,MAX('Reward Model'!$B$2,INDEX('Reward Model'!$C$12:$C$14,MATCH($K1134,'Reward Model'!$A$12:$A$14,0))/$J1134)),3)</f>
        <v>1</v>
      </c>
      <c r="AA1134" s="2" t="n">
        <f aca="false">IF($I1134="Correct",ROUND(INDEX('Reward Model'!$B$12:$B$14,MATCH($K1134,'Reward Model'!$A$12:$A$14,0))*Z1134,2),0)</f>
        <v>2</v>
      </c>
      <c r="AB1134" s="2" t="n">
        <f aca="false">IF($I1134="Correct",ROUND(INDEX('Reward Model'!$B$12:$B$14,MATCH($Y1134,'Reward Model'!$A$12:$A$14,0))*Z1134,2),0)</f>
        <v>2</v>
      </c>
    </row>
    <row r="1135" customFormat="false" ht="15" hidden="false" customHeight="false" outlineLevel="0" collapsed="false">
      <c r="A1135" s="0" t="s">
        <v>241</v>
      </c>
      <c r="B1135" s="0" t="s">
        <v>242</v>
      </c>
      <c r="C1135" s="0" t="s">
        <v>30</v>
      </c>
      <c r="D1135" s="0" t="s">
        <v>189</v>
      </c>
      <c r="E1135" s="0" t="n">
        <v>14</v>
      </c>
      <c r="F1135" s="0" t="s">
        <v>68</v>
      </c>
      <c r="G1135" s="0" t="s">
        <v>86</v>
      </c>
      <c r="H1135" s="0" t="s">
        <v>51</v>
      </c>
      <c r="I1135" s="0" t="s">
        <v>39</v>
      </c>
      <c r="J1135" s="0" t="n">
        <v>1.81</v>
      </c>
      <c r="K1135" s="0" t="s">
        <v>60</v>
      </c>
      <c r="L1135" s="0" t="n">
        <f aca="false">INDEX(Summary!$F$2:$F$201,MATCH($B1135,Summary!$A$2:$A$201,0))</f>
        <v>20</v>
      </c>
      <c r="M1135" s="0" t="n">
        <f aca="false">INDEX(Summary!$I$2:$I$201,MATCH($B1135,Summary!$A$2:$A$201,0))</f>
        <v>2</v>
      </c>
      <c r="N1135" s="0" t="n">
        <f aca="false">INDEX(Summary!$J$2:$J$201,MATCH($B1135,Summary!$A$2:$A$201,0))</f>
        <v>3</v>
      </c>
      <c r="O1135" s="2" t="n">
        <f aca="false">INDEX(Summary!$K$2:$K$201,MATCH($B1135,Summary!$A$2:$A$201,0))</f>
        <v>10.35</v>
      </c>
      <c r="P1135" s="3" t="n">
        <f aca="false">INDEX(Summary!$L$2:$L$201,MATCH($B1135,Summary!$A$2:$A$201,0))</f>
        <v>3</v>
      </c>
      <c r="Q1135" s="3" t="n">
        <f aca="false">INDEX(Summary!$M$2:$M$201,MATCH($B1135,Summary!$A$2:$A$201,0))</f>
        <v>3</v>
      </c>
      <c r="R1135" s="2" t="n">
        <f aca="false">INDEX(Summary!$N$2:$N$201,MATCH($B1135,Summary!$A$2:$A$201,0))</f>
        <v>11.84</v>
      </c>
      <c r="S1135" s="3" t="n">
        <f aca="false">INDEX(Summary!$O$2:$O$201,MATCH($B1135,Summary!$A$2:$A$201,0))</f>
        <v>4</v>
      </c>
      <c r="T1135" s="3" t="n">
        <f aca="false">INDEX(Summary!$P$2:$P$201,MATCH($B1135,Summary!$A$2:$A$201,0))</f>
        <v>5</v>
      </c>
      <c r="U1135" s="2" t="n">
        <f aca="false">INDEX(Summary!$Q$2:$Q$201,MATCH($B1135,Summary!$A$2:$A$201,0))</f>
        <v>13.79</v>
      </c>
      <c r="V1135" s="2" t="n">
        <f aca="false">INDEX(Summary!$R$2:$R$201,MATCH($B1135,Summary!$A$2:$A$201,0))</f>
        <v>16.98</v>
      </c>
      <c r="W1135" s="0" t="str">
        <f aca="false">INDEX(Summary!$S$2:$S$201,MATCH($B1135,Summary!$A$2:$A$201,0))</f>
        <v>Bronze</v>
      </c>
      <c r="X1135" s="2" t="n">
        <f aca="false">INDEX(Summary!$T$2:$T$201,MATCH($B1135,Summary!$A$2:$A$201,0))</f>
        <v>41.41</v>
      </c>
      <c r="Y1135" s="0" t="str">
        <f aca="false">INDEX('Reward Model'!$E$18:$E$37,MATCH($E1135,'Reward Model'!$A$18:$A$37,0))</f>
        <v>Medium</v>
      </c>
      <c r="Z1135" s="4" t="n">
        <f aca="false">ROUND(MIN(1,MAX('Reward Model'!$B$2,INDEX('Reward Model'!$C$12:$C$14,MATCH($K1135,'Reward Model'!$A$12:$A$14,0))/$J1135)),3)</f>
        <v>0.994</v>
      </c>
      <c r="AA1135" s="2" t="n">
        <f aca="false">IF($I1135="Correct",ROUND(INDEX('Reward Model'!$B$12:$B$14,MATCH($K1135,'Reward Model'!$A$12:$A$14,0))*Z1135,2),0)</f>
        <v>0</v>
      </c>
      <c r="AB1135" s="2" t="n">
        <f aca="false">IF($I1135="Correct",ROUND(INDEX('Reward Model'!$B$12:$B$14,MATCH($Y1135,'Reward Model'!$A$12:$A$14,0))*Z1135,2),0)</f>
        <v>0</v>
      </c>
    </row>
    <row r="1136" customFormat="false" ht="15" hidden="false" customHeight="false" outlineLevel="0" collapsed="false">
      <c r="A1136" s="0" t="s">
        <v>241</v>
      </c>
      <c r="B1136" s="0" t="s">
        <v>242</v>
      </c>
      <c r="C1136" s="0" t="s">
        <v>30</v>
      </c>
      <c r="D1136" s="0" t="s">
        <v>189</v>
      </c>
      <c r="E1136" s="0" t="n">
        <v>15</v>
      </c>
      <c r="F1136" s="0" t="s">
        <v>69</v>
      </c>
      <c r="G1136" s="0" t="s">
        <v>70</v>
      </c>
      <c r="H1136" s="0" t="s">
        <v>70</v>
      </c>
      <c r="I1136" s="0" t="s">
        <v>34</v>
      </c>
      <c r="J1136" s="0" t="n">
        <v>2.14</v>
      </c>
      <c r="K1136" s="0" t="s">
        <v>60</v>
      </c>
      <c r="L1136" s="0" t="n">
        <f aca="false">INDEX(Summary!$F$2:$F$201,MATCH($B1136,Summary!$A$2:$A$201,0))</f>
        <v>20</v>
      </c>
      <c r="M1136" s="0" t="n">
        <f aca="false">INDEX(Summary!$I$2:$I$201,MATCH($B1136,Summary!$A$2:$A$201,0))</f>
        <v>2</v>
      </c>
      <c r="N1136" s="0" t="n">
        <f aca="false">INDEX(Summary!$J$2:$J$201,MATCH($B1136,Summary!$A$2:$A$201,0))</f>
        <v>3</v>
      </c>
      <c r="O1136" s="2" t="n">
        <f aca="false">INDEX(Summary!$K$2:$K$201,MATCH($B1136,Summary!$A$2:$A$201,0))</f>
        <v>10.35</v>
      </c>
      <c r="P1136" s="3" t="n">
        <f aca="false">INDEX(Summary!$L$2:$L$201,MATCH($B1136,Summary!$A$2:$A$201,0))</f>
        <v>3</v>
      </c>
      <c r="Q1136" s="3" t="n">
        <f aca="false">INDEX(Summary!$M$2:$M$201,MATCH($B1136,Summary!$A$2:$A$201,0))</f>
        <v>3</v>
      </c>
      <c r="R1136" s="2" t="n">
        <f aca="false">INDEX(Summary!$N$2:$N$201,MATCH($B1136,Summary!$A$2:$A$201,0))</f>
        <v>11.84</v>
      </c>
      <c r="S1136" s="3" t="n">
        <f aca="false">INDEX(Summary!$O$2:$O$201,MATCH($B1136,Summary!$A$2:$A$201,0))</f>
        <v>4</v>
      </c>
      <c r="T1136" s="3" t="n">
        <f aca="false">INDEX(Summary!$P$2:$P$201,MATCH($B1136,Summary!$A$2:$A$201,0))</f>
        <v>5</v>
      </c>
      <c r="U1136" s="2" t="n">
        <f aca="false">INDEX(Summary!$Q$2:$Q$201,MATCH($B1136,Summary!$A$2:$A$201,0))</f>
        <v>13.79</v>
      </c>
      <c r="V1136" s="2" t="n">
        <f aca="false">INDEX(Summary!$R$2:$R$201,MATCH($B1136,Summary!$A$2:$A$201,0))</f>
        <v>16.98</v>
      </c>
      <c r="W1136" s="0" t="str">
        <f aca="false">INDEX(Summary!$S$2:$S$201,MATCH($B1136,Summary!$A$2:$A$201,0))</f>
        <v>Bronze</v>
      </c>
      <c r="X1136" s="2" t="n">
        <f aca="false">INDEX(Summary!$T$2:$T$201,MATCH($B1136,Summary!$A$2:$A$201,0))</f>
        <v>41.41</v>
      </c>
      <c r="Y1136" s="0" t="str">
        <f aca="false">INDEX('Reward Model'!$E$18:$E$37,MATCH($E1136,'Reward Model'!$A$18:$A$37,0))</f>
        <v>Medium</v>
      </c>
      <c r="Z1136" s="4" t="n">
        <f aca="false">ROUND(MIN(1,MAX('Reward Model'!$B$2,INDEX('Reward Model'!$C$12:$C$14,MATCH($K1136,'Reward Model'!$A$12:$A$14,0))/$J1136)),3)</f>
        <v>0.841</v>
      </c>
      <c r="AA1136" s="2" t="n">
        <f aca="false">IF($I1136="Correct",ROUND(INDEX('Reward Model'!$B$12:$B$14,MATCH($K1136,'Reward Model'!$A$12:$A$14,0))*Z1136,2),0)</f>
        <v>1.68</v>
      </c>
      <c r="AB1136" s="2" t="n">
        <f aca="false">IF($I1136="Correct",ROUND(INDEX('Reward Model'!$B$12:$B$14,MATCH($Y1136,'Reward Model'!$A$12:$A$14,0))*Z1136,2),0)</f>
        <v>1.68</v>
      </c>
    </row>
    <row r="1137" customFormat="false" ht="15" hidden="false" customHeight="false" outlineLevel="0" collapsed="false">
      <c r="A1137" s="0" t="s">
        <v>241</v>
      </c>
      <c r="B1137" s="0" t="s">
        <v>242</v>
      </c>
      <c r="C1137" s="0" t="s">
        <v>30</v>
      </c>
      <c r="D1137" s="0" t="s">
        <v>189</v>
      </c>
      <c r="E1137" s="0" t="n">
        <v>16</v>
      </c>
      <c r="F1137" s="0" t="s">
        <v>71</v>
      </c>
      <c r="G1137" s="0" t="s">
        <v>87</v>
      </c>
      <c r="H1137" s="0" t="s">
        <v>72</v>
      </c>
      <c r="I1137" s="0" t="s">
        <v>39</v>
      </c>
      <c r="J1137" s="0" t="n">
        <v>2.56</v>
      </c>
      <c r="K1137" s="0" t="s">
        <v>73</v>
      </c>
      <c r="L1137" s="0" t="n">
        <f aca="false">INDEX(Summary!$F$2:$F$201,MATCH($B1137,Summary!$A$2:$A$201,0))</f>
        <v>20</v>
      </c>
      <c r="M1137" s="0" t="n">
        <f aca="false">INDEX(Summary!$I$2:$I$201,MATCH($B1137,Summary!$A$2:$A$201,0))</f>
        <v>2</v>
      </c>
      <c r="N1137" s="0" t="n">
        <f aca="false">INDEX(Summary!$J$2:$J$201,MATCH($B1137,Summary!$A$2:$A$201,0))</f>
        <v>3</v>
      </c>
      <c r="O1137" s="2" t="n">
        <f aca="false">INDEX(Summary!$K$2:$K$201,MATCH($B1137,Summary!$A$2:$A$201,0))</f>
        <v>10.35</v>
      </c>
      <c r="P1137" s="3" t="n">
        <f aca="false">INDEX(Summary!$L$2:$L$201,MATCH($B1137,Summary!$A$2:$A$201,0))</f>
        <v>3</v>
      </c>
      <c r="Q1137" s="3" t="n">
        <f aca="false">INDEX(Summary!$M$2:$M$201,MATCH($B1137,Summary!$A$2:$A$201,0))</f>
        <v>3</v>
      </c>
      <c r="R1137" s="2" t="n">
        <f aca="false">INDEX(Summary!$N$2:$N$201,MATCH($B1137,Summary!$A$2:$A$201,0))</f>
        <v>11.84</v>
      </c>
      <c r="S1137" s="3" t="n">
        <f aca="false">INDEX(Summary!$O$2:$O$201,MATCH($B1137,Summary!$A$2:$A$201,0))</f>
        <v>4</v>
      </c>
      <c r="T1137" s="3" t="n">
        <f aca="false">INDEX(Summary!$P$2:$P$201,MATCH($B1137,Summary!$A$2:$A$201,0))</f>
        <v>5</v>
      </c>
      <c r="U1137" s="2" t="n">
        <f aca="false">INDEX(Summary!$Q$2:$Q$201,MATCH($B1137,Summary!$A$2:$A$201,0))</f>
        <v>13.79</v>
      </c>
      <c r="V1137" s="2" t="n">
        <f aca="false">INDEX(Summary!$R$2:$R$201,MATCH($B1137,Summary!$A$2:$A$201,0))</f>
        <v>16.98</v>
      </c>
      <c r="W1137" s="0" t="str">
        <f aca="false">INDEX(Summary!$S$2:$S$201,MATCH($B1137,Summary!$A$2:$A$201,0))</f>
        <v>Bronze</v>
      </c>
      <c r="X1137" s="2" t="n">
        <f aca="false">INDEX(Summary!$T$2:$T$201,MATCH($B1137,Summary!$A$2:$A$201,0))</f>
        <v>41.41</v>
      </c>
      <c r="Y1137" s="0" t="str">
        <f aca="false">INDEX('Reward Model'!$E$18:$E$37,MATCH($E1137,'Reward Model'!$A$18:$A$37,0))</f>
        <v>High</v>
      </c>
      <c r="Z1137" s="4" t="n">
        <f aca="false">ROUND(MIN(1,MAX('Reward Model'!$B$2,INDEX('Reward Model'!$C$12:$C$14,MATCH($K1137,'Reward Model'!$A$12:$A$14,0))/$J1137)),3)</f>
        <v>0.781</v>
      </c>
      <c r="AA1137" s="2" t="n">
        <f aca="false">IF($I1137="Correct",ROUND(INDEX('Reward Model'!$B$12:$B$14,MATCH($K1137,'Reward Model'!$A$12:$A$14,0))*Z1137,2),0)</f>
        <v>0</v>
      </c>
      <c r="AB1137" s="2" t="n">
        <f aca="false">IF($I1137="Correct",ROUND(INDEX('Reward Model'!$B$12:$B$14,MATCH($Y1137,'Reward Model'!$A$12:$A$14,0))*Z1137,2),0)</f>
        <v>0</v>
      </c>
    </row>
    <row r="1138" customFormat="false" ht="15" hidden="false" customHeight="false" outlineLevel="0" collapsed="false">
      <c r="A1138" s="0" t="s">
        <v>241</v>
      </c>
      <c r="B1138" s="0" t="s">
        <v>242</v>
      </c>
      <c r="C1138" s="0" t="s">
        <v>30</v>
      </c>
      <c r="D1138" s="0" t="s">
        <v>189</v>
      </c>
      <c r="E1138" s="0" t="n">
        <v>17</v>
      </c>
      <c r="F1138" s="0" t="s">
        <v>74</v>
      </c>
      <c r="G1138" s="0" t="s">
        <v>75</v>
      </c>
      <c r="H1138" s="0" t="s">
        <v>75</v>
      </c>
      <c r="I1138" s="0" t="s">
        <v>34</v>
      </c>
      <c r="J1138" s="0" t="n">
        <v>2.39</v>
      </c>
      <c r="K1138" s="0" t="s">
        <v>73</v>
      </c>
      <c r="L1138" s="0" t="n">
        <f aca="false">INDEX(Summary!$F$2:$F$201,MATCH($B1138,Summary!$A$2:$A$201,0))</f>
        <v>20</v>
      </c>
      <c r="M1138" s="0" t="n">
        <f aca="false">INDEX(Summary!$I$2:$I$201,MATCH($B1138,Summary!$A$2:$A$201,0))</f>
        <v>2</v>
      </c>
      <c r="N1138" s="0" t="n">
        <f aca="false">INDEX(Summary!$J$2:$J$201,MATCH($B1138,Summary!$A$2:$A$201,0))</f>
        <v>3</v>
      </c>
      <c r="O1138" s="2" t="n">
        <f aca="false">INDEX(Summary!$K$2:$K$201,MATCH($B1138,Summary!$A$2:$A$201,0))</f>
        <v>10.35</v>
      </c>
      <c r="P1138" s="3" t="n">
        <f aca="false">INDEX(Summary!$L$2:$L$201,MATCH($B1138,Summary!$A$2:$A$201,0))</f>
        <v>3</v>
      </c>
      <c r="Q1138" s="3" t="n">
        <f aca="false">INDEX(Summary!$M$2:$M$201,MATCH($B1138,Summary!$A$2:$A$201,0))</f>
        <v>3</v>
      </c>
      <c r="R1138" s="2" t="n">
        <f aca="false">INDEX(Summary!$N$2:$N$201,MATCH($B1138,Summary!$A$2:$A$201,0))</f>
        <v>11.84</v>
      </c>
      <c r="S1138" s="3" t="n">
        <f aca="false">INDEX(Summary!$O$2:$O$201,MATCH($B1138,Summary!$A$2:$A$201,0))</f>
        <v>4</v>
      </c>
      <c r="T1138" s="3" t="n">
        <f aca="false">INDEX(Summary!$P$2:$P$201,MATCH($B1138,Summary!$A$2:$A$201,0))</f>
        <v>5</v>
      </c>
      <c r="U1138" s="2" t="n">
        <f aca="false">INDEX(Summary!$Q$2:$Q$201,MATCH($B1138,Summary!$A$2:$A$201,0))</f>
        <v>13.79</v>
      </c>
      <c r="V1138" s="2" t="n">
        <f aca="false">INDEX(Summary!$R$2:$R$201,MATCH($B1138,Summary!$A$2:$A$201,0))</f>
        <v>16.98</v>
      </c>
      <c r="W1138" s="0" t="str">
        <f aca="false">INDEX(Summary!$S$2:$S$201,MATCH($B1138,Summary!$A$2:$A$201,0))</f>
        <v>Bronze</v>
      </c>
      <c r="X1138" s="2" t="n">
        <f aca="false">INDEX(Summary!$T$2:$T$201,MATCH($B1138,Summary!$A$2:$A$201,0))</f>
        <v>41.41</v>
      </c>
      <c r="Y1138" s="0" t="str">
        <f aca="false">INDEX('Reward Model'!$E$18:$E$37,MATCH($E1138,'Reward Model'!$A$18:$A$37,0))</f>
        <v>High</v>
      </c>
      <c r="Z1138" s="4" t="n">
        <f aca="false">ROUND(MIN(1,MAX('Reward Model'!$B$2,INDEX('Reward Model'!$C$12:$C$14,MATCH($K1138,'Reward Model'!$A$12:$A$14,0))/$J1138)),3)</f>
        <v>0.837</v>
      </c>
      <c r="AA1138" s="2" t="n">
        <f aca="false">IF($I1138="Correct",ROUND(INDEX('Reward Model'!$B$12:$B$14,MATCH($K1138,'Reward Model'!$A$12:$A$14,0))*Z1138,2),0)</f>
        <v>2.51</v>
      </c>
      <c r="AB1138" s="2" t="n">
        <f aca="false">IF($I1138="Correct",ROUND(INDEX('Reward Model'!$B$12:$B$14,MATCH($Y1138,'Reward Model'!$A$12:$A$14,0))*Z1138,2),0)</f>
        <v>2.51</v>
      </c>
    </row>
    <row r="1139" customFormat="false" ht="15" hidden="false" customHeight="false" outlineLevel="0" collapsed="false">
      <c r="A1139" s="0" t="s">
        <v>241</v>
      </c>
      <c r="B1139" s="0" t="s">
        <v>242</v>
      </c>
      <c r="C1139" s="0" t="s">
        <v>30</v>
      </c>
      <c r="D1139" s="0" t="s">
        <v>189</v>
      </c>
      <c r="E1139" s="0" t="n">
        <v>18</v>
      </c>
      <c r="F1139" s="0" t="s">
        <v>76</v>
      </c>
      <c r="G1139" s="0" t="s">
        <v>77</v>
      </c>
      <c r="H1139" s="0" t="s">
        <v>77</v>
      </c>
      <c r="I1139" s="0" t="s">
        <v>34</v>
      </c>
      <c r="J1139" s="0" t="n">
        <v>1.65</v>
      </c>
      <c r="K1139" s="0" t="s">
        <v>73</v>
      </c>
      <c r="L1139" s="0" t="n">
        <f aca="false">INDEX(Summary!$F$2:$F$201,MATCH($B1139,Summary!$A$2:$A$201,0))</f>
        <v>20</v>
      </c>
      <c r="M1139" s="0" t="n">
        <f aca="false">INDEX(Summary!$I$2:$I$201,MATCH($B1139,Summary!$A$2:$A$201,0))</f>
        <v>2</v>
      </c>
      <c r="N1139" s="0" t="n">
        <f aca="false">INDEX(Summary!$J$2:$J$201,MATCH($B1139,Summary!$A$2:$A$201,0))</f>
        <v>3</v>
      </c>
      <c r="O1139" s="2" t="n">
        <f aca="false">INDEX(Summary!$K$2:$K$201,MATCH($B1139,Summary!$A$2:$A$201,0))</f>
        <v>10.35</v>
      </c>
      <c r="P1139" s="3" t="n">
        <f aca="false">INDEX(Summary!$L$2:$L$201,MATCH($B1139,Summary!$A$2:$A$201,0))</f>
        <v>3</v>
      </c>
      <c r="Q1139" s="3" t="n">
        <f aca="false">INDEX(Summary!$M$2:$M$201,MATCH($B1139,Summary!$A$2:$A$201,0))</f>
        <v>3</v>
      </c>
      <c r="R1139" s="2" t="n">
        <f aca="false">INDEX(Summary!$N$2:$N$201,MATCH($B1139,Summary!$A$2:$A$201,0))</f>
        <v>11.84</v>
      </c>
      <c r="S1139" s="3" t="n">
        <f aca="false">INDEX(Summary!$O$2:$O$201,MATCH($B1139,Summary!$A$2:$A$201,0))</f>
        <v>4</v>
      </c>
      <c r="T1139" s="3" t="n">
        <f aca="false">INDEX(Summary!$P$2:$P$201,MATCH($B1139,Summary!$A$2:$A$201,0))</f>
        <v>5</v>
      </c>
      <c r="U1139" s="2" t="n">
        <f aca="false">INDEX(Summary!$Q$2:$Q$201,MATCH($B1139,Summary!$A$2:$A$201,0))</f>
        <v>13.79</v>
      </c>
      <c r="V1139" s="2" t="n">
        <f aca="false">INDEX(Summary!$R$2:$R$201,MATCH($B1139,Summary!$A$2:$A$201,0))</f>
        <v>16.98</v>
      </c>
      <c r="W1139" s="0" t="str">
        <f aca="false">INDEX(Summary!$S$2:$S$201,MATCH($B1139,Summary!$A$2:$A$201,0))</f>
        <v>Bronze</v>
      </c>
      <c r="X1139" s="2" t="n">
        <f aca="false">INDEX(Summary!$T$2:$T$201,MATCH($B1139,Summary!$A$2:$A$201,0))</f>
        <v>41.41</v>
      </c>
      <c r="Y1139" s="0" t="str">
        <f aca="false">INDEX('Reward Model'!$E$18:$E$37,MATCH($E1139,'Reward Model'!$A$18:$A$37,0))</f>
        <v>High</v>
      </c>
      <c r="Z1139" s="4" t="n">
        <f aca="false">ROUND(MIN(1,MAX('Reward Model'!$B$2,INDEX('Reward Model'!$C$12:$C$14,MATCH($K1139,'Reward Model'!$A$12:$A$14,0))/$J1139)),3)</f>
        <v>1</v>
      </c>
      <c r="AA1139" s="2" t="n">
        <f aca="false">IF($I1139="Correct",ROUND(INDEX('Reward Model'!$B$12:$B$14,MATCH($K1139,'Reward Model'!$A$12:$A$14,0))*Z1139,2),0)</f>
        <v>3</v>
      </c>
      <c r="AB1139" s="2" t="n">
        <f aca="false">IF($I1139="Correct",ROUND(INDEX('Reward Model'!$B$12:$B$14,MATCH($Y1139,'Reward Model'!$A$12:$A$14,0))*Z1139,2),0)</f>
        <v>3</v>
      </c>
    </row>
    <row r="1140" customFormat="false" ht="15" hidden="false" customHeight="false" outlineLevel="0" collapsed="false">
      <c r="A1140" s="0" t="s">
        <v>241</v>
      </c>
      <c r="B1140" s="0" t="s">
        <v>242</v>
      </c>
      <c r="C1140" s="0" t="s">
        <v>30</v>
      </c>
      <c r="D1140" s="0" t="s">
        <v>189</v>
      </c>
      <c r="E1140" s="0" t="n">
        <v>19</v>
      </c>
      <c r="F1140" s="0" t="s">
        <v>78</v>
      </c>
      <c r="G1140" s="0" t="s">
        <v>132</v>
      </c>
      <c r="H1140" s="0" t="s">
        <v>80</v>
      </c>
      <c r="I1140" s="0" t="s">
        <v>39</v>
      </c>
      <c r="J1140" s="0" t="n">
        <v>2.04</v>
      </c>
      <c r="K1140" s="0" t="s">
        <v>73</v>
      </c>
      <c r="L1140" s="0" t="n">
        <f aca="false">INDEX(Summary!$F$2:$F$201,MATCH($B1140,Summary!$A$2:$A$201,0))</f>
        <v>20</v>
      </c>
      <c r="M1140" s="0" t="n">
        <f aca="false">INDEX(Summary!$I$2:$I$201,MATCH($B1140,Summary!$A$2:$A$201,0))</f>
        <v>2</v>
      </c>
      <c r="N1140" s="0" t="n">
        <f aca="false">INDEX(Summary!$J$2:$J$201,MATCH($B1140,Summary!$A$2:$A$201,0))</f>
        <v>3</v>
      </c>
      <c r="O1140" s="2" t="n">
        <f aca="false">INDEX(Summary!$K$2:$K$201,MATCH($B1140,Summary!$A$2:$A$201,0))</f>
        <v>10.35</v>
      </c>
      <c r="P1140" s="3" t="n">
        <f aca="false">INDEX(Summary!$L$2:$L$201,MATCH($B1140,Summary!$A$2:$A$201,0))</f>
        <v>3</v>
      </c>
      <c r="Q1140" s="3" t="n">
        <f aca="false">INDEX(Summary!$M$2:$M$201,MATCH($B1140,Summary!$A$2:$A$201,0))</f>
        <v>3</v>
      </c>
      <c r="R1140" s="2" t="n">
        <f aca="false">INDEX(Summary!$N$2:$N$201,MATCH($B1140,Summary!$A$2:$A$201,0))</f>
        <v>11.84</v>
      </c>
      <c r="S1140" s="3" t="n">
        <f aca="false">INDEX(Summary!$O$2:$O$201,MATCH($B1140,Summary!$A$2:$A$201,0))</f>
        <v>4</v>
      </c>
      <c r="T1140" s="3" t="n">
        <f aca="false">INDEX(Summary!$P$2:$P$201,MATCH($B1140,Summary!$A$2:$A$201,0))</f>
        <v>5</v>
      </c>
      <c r="U1140" s="2" t="n">
        <f aca="false">INDEX(Summary!$Q$2:$Q$201,MATCH($B1140,Summary!$A$2:$A$201,0))</f>
        <v>13.79</v>
      </c>
      <c r="V1140" s="2" t="n">
        <f aca="false">INDEX(Summary!$R$2:$R$201,MATCH($B1140,Summary!$A$2:$A$201,0))</f>
        <v>16.98</v>
      </c>
      <c r="W1140" s="0" t="str">
        <f aca="false">INDEX(Summary!$S$2:$S$201,MATCH($B1140,Summary!$A$2:$A$201,0))</f>
        <v>Bronze</v>
      </c>
      <c r="X1140" s="2" t="n">
        <f aca="false">INDEX(Summary!$T$2:$T$201,MATCH($B1140,Summary!$A$2:$A$201,0))</f>
        <v>41.41</v>
      </c>
      <c r="Y1140" s="0" t="str">
        <f aca="false">INDEX('Reward Model'!$E$18:$E$37,MATCH($E1140,'Reward Model'!$A$18:$A$37,0))</f>
        <v>High</v>
      </c>
      <c r="Z1140" s="4" t="n">
        <f aca="false">ROUND(MIN(1,MAX('Reward Model'!$B$2,INDEX('Reward Model'!$C$12:$C$14,MATCH($K1140,'Reward Model'!$A$12:$A$14,0))/$J1140)),3)</f>
        <v>0.98</v>
      </c>
      <c r="AA1140" s="2" t="n">
        <f aca="false">IF($I1140="Correct",ROUND(INDEX('Reward Model'!$B$12:$B$14,MATCH($K1140,'Reward Model'!$A$12:$A$14,0))*Z1140,2),0)</f>
        <v>0</v>
      </c>
      <c r="AB1140" s="2" t="n">
        <f aca="false">IF($I1140="Correct",ROUND(INDEX('Reward Model'!$B$12:$B$14,MATCH($Y1140,'Reward Model'!$A$12:$A$14,0))*Z1140,2),0)</f>
        <v>0</v>
      </c>
    </row>
    <row r="1141" customFormat="false" ht="15" hidden="false" customHeight="false" outlineLevel="0" collapsed="false">
      <c r="A1141" s="0" t="s">
        <v>241</v>
      </c>
      <c r="B1141" s="0" t="s">
        <v>242</v>
      </c>
      <c r="C1141" s="0" t="s">
        <v>30</v>
      </c>
      <c r="D1141" s="0" t="s">
        <v>189</v>
      </c>
      <c r="E1141" s="0" t="n">
        <v>20</v>
      </c>
      <c r="F1141" s="0" t="s">
        <v>81</v>
      </c>
      <c r="G1141" s="0" t="s">
        <v>82</v>
      </c>
      <c r="H1141" s="0" t="s">
        <v>83</v>
      </c>
      <c r="I1141" s="0" t="s">
        <v>39</v>
      </c>
      <c r="J1141" s="0" t="n">
        <v>1.71</v>
      </c>
      <c r="K1141" s="0" t="s">
        <v>73</v>
      </c>
      <c r="L1141" s="0" t="n">
        <f aca="false">INDEX(Summary!$F$2:$F$201,MATCH($B1141,Summary!$A$2:$A$201,0))</f>
        <v>20</v>
      </c>
      <c r="M1141" s="0" t="n">
        <f aca="false">INDEX(Summary!$I$2:$I$201,MATCH($B1141,Summary!$A$2:$A$201,0))</f>
        <v>2</v>
      </c>
      <c r="N1141" s="0" t="n">
        <f aca="false">INDEX(Summary!$J$2:$J$201,MATCH($B1141,Summary!$A$2:$A$201,0))</f>
        <v>3</v>
      </c>
      <c r="O1141" s="2" t="n">
        <f aca="false">INDEX(Summary!$K$2:$K$201,MATCH($B1141,Summary!$A$2:$A$201,0))</f>
        <v>10.35</v>
      </c>
      <c r="P1141" s="3" t="n">
        <f aca="false">INDEX(Summary!$L$2:$L$201,MATCH($B1141,Summary!$A$2:$A$201,0))</f>
        <v>3</v>
      </c>
      <c r="Q1141" s="3" t="n">
        <f aca="false">INDEX(Summary!$M$2:$M$201,MATCH($B1141,Summary!$A$2:$A$201,0))</f>
        <v>3</v>
      </c>
      <c r="R1141" s="2" t="n">
        <f aca="false">INDEX(Summary!$N$2:$N$201,MATCH($B1141,Summary!$A$2:$A$201,0))</f>
        <v>11.84</v>
      </c>
      <c r="S1141" s="3" t="n">
        <f aca="false">INDEX(Summary!$O$2:$O$201,MATCH($B1141,Summary!$A$2:$A$201,0))</f>
        <v>4</v>
      </c>
      <c r="T1141" s="3" t="n">
        <f aca="false">INDEX(Summary!$P$2:$P$201,MATCH($B1141,Summary!$A$2:$A$201,0))</f>
        <v>5</v>
      </c>
      <c r="U1141" s="2" t="n">
        <f aca="false">INDEX(Summary!$Q$2:$Q$201,MATCH($B1141,Summary!$A$2:$A$201,0))</f>
        <v>13.79</v>
      </c>
      <c r="V1141" s="2" t="n">
        <f aca="false">INDEX(Summary!$R$2:$R$201,MATCH($B1141,Summary!$A$2:$A$201,0))</f>
        <v>16.98</v>
      </c>
      <c r="W1141" s="0" t="str">
        <f aca="false">INDEX(Summary!$S$2:$S$201,MATCH($B1141,Summary!$A$2:$A$201,0))</f>
        <v>Bronze</v>
      </c>
      <c r="X1141" s="2" t="n">
        <f aca="false">INDEX(Summary!$T$2:$T$201,MATCH($B1141,Summary!$A$2:$A$201,0))</f>
        <v>41.41</v>
      </c>
      <c r="Y1141" s="0" t="str">
        <f aca="false">INDEX('Reward Model'!$E$18:$E$37,MATCH($E1141,'Reward Model'!$A$18:$A$37,0))</f>
        <v>High</v>
      </c>
      <c r="Z1141" s="4" t="n">
        <f aca="false">ROUND(MIN(1,MAX('Reward Model'!$B$2,INDEX('Reward Model'!$C$12:$C$14,MATCH($K1141,'Reward Model'!$A$12:$A$14,0))/$J1141)),3)</f>
        <v>1</v>
      </c>
      <c r="AA1141" s="2" t="n">
        <f aca="false">IF($I1141="Correct",ROUND(INDEX('Reward Model'!$B$12:$B$14,MATCH($K1141,'Reward Model'!$A$12:$A$14,0))*Z1141,2),0)</f>
        <v>0</v>
      </c>
      <c r="AB1141" s="2" t="n">
        <f aca="false">IF($I1141="Correct",ROUND(INDEX('Reward Model'!$B$12:$B$14,MATCH($Y1141,'Reward Model'!$A$12:$A$14,0))*Z1141,2),0)</f>
        <v>0</v>
      </c>
    </row>
    <row r="1142" customFormat="false" ht="15" hidden="false" customHeight="false" outlineLevel="0" collapsed="false">
      <c r="A1142" s="0" t="s">
        <v>243</v>
      </c>
      <c r="B1142" s="0" t="s">
        <v>244</v>
      </c>
      <c r="C1142" s="0" t="s">
        <v>30</v>
      </c>
      <c r="D1142" s="0" t="s">
        <v>189</v>
      </c>
      <c r="E1142" s="0" t="n">
        <v>1</v>
      </c>
      <c r="F1142" s="0" t="s">
        <v>32</v>
      </c>
      <c r="G1142" s="0" t="s">
        <v>33</v>
      </c>
      <c r="H1142" s="0" t="s">
        <v>33</v>
      </c>
      <c r="I1142" s="0" t="s">
        <v>34</v>
      </c>
      <c r="J1142" s="0" t="n">
        <v>1.51</v>
      </c>
      <c r="K1142" s="0" t="s">
        <v>35</v>
      </c>
      <c r="L1142" s="0" t="n">
        <f aca="false">INDEX(Summary!$F$2:$F$201,MATCH($B1142,Summary!$A$2:$A$201,0))</f>
        <v>20</v>
      </c>
      <c r="M1142" s="0" t="n">
        <f aca="false">INDEX(Summary!$I$2:$I$201,MATCH($B1142,Summary!$A$2:$A$201,0))</f>
        <v>4</v>
      </c>
      <c r="N1142" s="0" t="n">
        <f aca="false">INDEX(Summary!$J$2:$J$201,MATCH($B1142,Summary!$A$2:$A$201,0))</f>
        <v>1</v>
      </c>
      <c r="O1142" s="2" t="n">
        <f aca="false">INDEX(Summary!$K$2:$K$201,MATCH($B1142,Summary!$A$2:$A$201,0))</f>
        <v>10.79</v>
      </c>
      <c r="P1142" s="3" t="n">
        <f aca="false">INDEX(Summary!$L$2:$L$201,MATCH($B1142,Summary!$A$2:$A$201,0))</f>
        <v>4</v>
      </c>
      <c r="Q1142" s="3" t="n">
        <f aca="false">INDEX(Summary!$M$2:$M$201,MATCH($B1142,Summary!$A$2:$A$201,0))</f>
        <v>2</v>
      </c>
      <c r="R1142" s="2" t="n">
        <f aca="false">INDEX(Summary!$N$2:$N$201,MATCH($B1142,Summary!$A$2:$A$201,0))</f>
        <v>10.23</v>
      </c>
      <c r="S1142" s="3" t="n">
        <f aca="false">INDEX(Summary!$O$2:$O$201,MATCH($B1142,Summary!$A$2:$A$201,0))</f>
        <v>8</v>
      </c>
      <c r="T1142" s="3" t="n">
        <f aca="false">INDEX(Summary!$P$2:$P$201,MATCH($B1142,Summary!$A$2:$A$201,0))</f>
        <v>1</v>
      </c>
      <c r="U1142" s="2" t="n">
        <f aca="false">INDEX(Summary!$Q$2:$Q$201,MATCH($B1142,Summary!$A$2:$A$201,0))</f>
        <v>12.94</v>
      </c>
      <c r="V1142" s="2" t="n">
        <f aca="false">INDEX(Summary!$R$2:$R$201,MATCH($B1142,Summary!$A$2:$A$201,0))</f>
        <v>31.33</v>
      </c>
      <c r="W1142" s="0" t="str">
        <f aca="false">INDEX(Summary!$S$2:$S$201,MATCH($B1142,Summary!$A$2:$A$201,0))</f>
        <v>Gold</v>
      </c>
      <c r="X1142" s="2" t="n">
        <f aca="false">INDEX(Summary!$T$2:$T$201,MATCH($B1142,Summary!$A$2:$A$201,0))</f>
        <v>76.41</v>
      </c>
      <c r="Y1142" s="0" t="str">
        <f aca="false">INDEX('Reward Model'!$E$18:$E$37,MATCH($E1142,'Reward Model'!$A$18:$A$37,0))</f>
        <v>Medium</v>
      </c>
      <c r="Z1142" s="4" t="n">
        <f aca="false">ROUND(MIN(1,MAX('Reward Model'!$B$2,INDEX('Reward Model'!$C$12:$C$14,MATCH($K1142,'Reward Model'!$A$12:$A$14,0))/$J1142)),3)</f>
        <v>0.993</v>
      </c>
      <c r="AA1142" s="2" t="n">
        <f aca="false">IF($I1142="Correct",ROUND(INDEX('Reward Model'!$B$12:$B$14,MATCH($K1142,'Reward Model'!$A$12:$A$14,0))*Z1142,2),0)</f>
        <v>0.99</v>
      </c>
      <c r="AB1142" s="2" t="n">
        <f aca="false">IF($I1142="Correct",ROUND(INDEX('Reward Model'!$B$12:$B$14,MATCH($Y1142,'Reward Model'!$A$12:$A$14,0))*Z1142,2),0)</f>
        <v>1.99</v>
      </c>
    </row>
    <row r="1143" customFormat="false" ht="15" hidden="false" customHeight="false" outlineLevel="0" collapsed="false">
      <c r="A1143" s="0" t="s">
        <v>243</v>
      </c>
      <c r="B1143" s="0" t="s">
        <v>244</v>
      </c>
      <c r="C1143" s="0" t="s">
        <v>30</v>
      </c>
      <c r="D1143" s="0" t="s">
        <v>189</v>
      </c>
      <c r="E1143" s="0" t="n">
        <v>2</v>
      </c>
      <c r="F1143" s="0" t="s">
        <v>36</v>
      </c>
      <c r="G1143" s="0" t="s">
        <v>38</v>
      </c>
      <c r="H1143" s="0" t="s">
        <v>38</v>
      </c>
      <c r="I1143" s="0" t="s">
        <v>34</v>
      </c>
      <c r="J1143" s="0" t="n">
        <v>1.21</v>
      </c>
      <c r="K1143" s="0" t="s">
        <v>35</v>
      </c>
      <c r="L1143" s="0" t="n">
        <f aca="false">INDEX(Summary!$F$2:$F$201,MATCH($B1143,Summary!$A$2:$A$201,0))</f>
        <v>20</v>
      </c>
      <c r="M1143" s="0" t="n">
        <f aca="false">INDEX(Summary!$I$2:$I$201,MATCH($B1143,Summary!$A$2:$A$201,0))</f>
        <v>4</v>
      </c>
      <c r="N1143" s="0" t="n">
        <f aca="false">INDEX(Summary!$J$2:$J$201,MATCH($B1143,Summary!$A$2:$A$201,0))</f>
        <v>1</v>
      </c>
      <c r="O1143" s="2" t="n">
        <f aca="false">INDEX(Summary!$K$2:$K$201,MATCH($B1143,Summary!$A$2:$A$201,0))</f>
        <v>10.79</v>
      </c>
      <c r="P1143" s="3" t="n">
        <f aca="false">INDEX(Summary!$L$2:$L$201,MATCH($B1143,Summary!$A$2:$A$201,0))</f>
        <v>4</v>
      </c>
      <c r="Q1143" s="3" t="n">
        <f aca="false">INDEX(Summary!$M$2:$M$201,MATCH($B1143,Summary!$A$2:$A$201,0))</f>
        <v>2</v>
      </c>
      <c r="R1143" s="2" t="n">
        <f aca="false">INDEX(Summary!$N$2:$N$201,MATCH($B1143,Summary!$A$2:$A$201,0))</f>
        <v>10.23</v>
      </c>
      <c r="S1143" s="3" t="n">
        <f aca="false">INDEX(Summary!$O$2:$O$201,MATCH($B1143,Summary!$A$2:$A$201,0))</f>
        <v>8</v>
      </c>
      <c r="T1143" s="3" t="n">
        <f aca="false">INDEX(Summary!$P$2:$P$201,MATCH($B1143,Summary!$A$2:$A$201,0))</f>
        <v>1</v>
      </c>
      <c r="U1143" s="2" t="n">
        <f aca="false">INDEX(Summary!$Q$2:$Q$201,MATCH($B1143,Summary!$A$2:$A$201,0))</f>
        <v>12.94</v>
      </c>
      <c r="V1143" s="2" t="n">
        <f aca="false">INDEX(Summary!$R$2:$R$201,MATCH($B1143,Summary!$A$2:$A$201,0))</f>
        <v>31.33</v>
      </c>
      <c r="W1143" s="0" t="str">
        <f aca="false">INDEX(Summary!$S$2:$S$201,MATCH($B1143,Summary!$A$2:$A$201,0))</f>
        <v>Gold</v>
      </c>
      <c r="X1143" s="2" t="n">
        <f aca="false">INDEX(Summary!$T$2:$T$201,MATCH($B1143,Summary!$A$2:$A$201,0))</f>
        <v>76.41</v>
      </c>
      <c r="Y1143" s="0" t="str">
        <f aca="false">INDEX('Reward Model'!$E$18:$E$37,MATCH($E1143,'Reward Model'!$A$18:$A$37,0))</f>
        <v>Low</v>
      </c>
      <c r="Z1143" s="4" t="n">
        <f aca="false">ROUND(MIN(1,MAX('Reward Model'!$B$2,INDEX('Reward Model'!$C$12:$C$14,MATCH($K1143,'Reward Model'!$A$12:$A$14,0))/$J1143)),3)</f>
        <v>1</v>
      </c>
      <c r="AA1143" s="2" t="n">
        <f aca="false">IF($I1143="Correct",ROUND(INDEX('Reward Model'!$B$12:$B$14,MATCH($K1143,'Reward Model'!$A$12:$A$14,0))*Z1143,2),0)</f>
        <v>1</v>
      </c>
      <c r="AB1143" s="2" t="n">
        <f aca="false">IF($I1143="Correct",ROUND(INDEX('Reward Model'!$B$12:$B$14,MATCH($Y1143,'Reward Model'!$A$12:$A$14,0))*Z1143,2),0)</f>
        <v>1</v>
      </c>
    </row>
    <row r="1144" customFormat="false" ht="15" hidden="false" customHeight="false" outlineLevel="0" collapsed="false">
      <c r="A1144" s="0" t="s">
        <v>243</v>
      </c>
      <c r="B1144" s="0" t="s">
        <v>244</v>
      </c>
      <c r="C1144" s="0" t="s">
        <v>30</v>
      </c>
      <c r="D1144" s="0" t="s">
        <v>189</v>
      </c>
      <c r="E1144" s="0" t="n">
        <v>3</v>
      </c>
      <c r="F1144" s="0" t="s">
        <v>40</v>
      </c>
      <c r="G1144" s="0" t="s">
        <v>42</v>
      </c>
      <c r="H1144" s="0" t="s">
        <v>42</v>
      </c>
      <c r="I1144" s="0" t="s">
        <v>34</v>
      </c>
      <c r="J1144" s="0" t="n">
        <v>1.28</v>
      </c>
      <c r="K1144" s="0" t="s">
        <v>35</v>
      </c>
      <c r="L1144" s="0" t="n">
        <f aca="false">INDEX(Summary!$F$2:$F$201,MATCH($B1144,Summary!$A$2:$A$201,0))</f>
        <v>20</v>
      </c>
      <c r="M1144" s="0" t="n">
        <f aca="false">INDEX(Summary!$I$2:$I$201,MATCH($B1144,Summary!$A$2:$A$201,0))</f>
        <v>4</v>
      </c>
      <c r="N1144" s="0" t="n">
        <f aca="false">INDEX(Summary!$J$2:$J$201,MATCH($B1144,Summary!$A$2:$A$201,0))</f>
        <v>1</v>
      </c>
      <c r="O1144" s="2" t="n">
        <f aca="false">INDEX(Summary!$K$2:$K$201,MATCH($B1144,Summary!$A$2:$A$201,0))</f>
        <v>10.79</v>
      </c>
      <c r="P1144" s="3" t="n">
        <f aca="false">INDEX(Summary!$L$2:$L$201,MATCH($B1144,Summary!$A$2:$A$201,0))</f>
        <v>4</v>
      </c>
      <c r="Q1144" s="3" t="n">
        <f aca="false">INDEX(Summary!$M$2:$M$201,MATCH($B1144,Summary!$A$2:$A$201,0))</f>
        <v>2</v>
      </c>
      <c r="R1144" s="2" t="n">
        <f aca="false">INDEX(Summary!$N$2:$N$201,MATCH($B1144,Summary!$A$2:$A$201,0))</f>
        <v>10.23</v>
      </c>
      <c r="S1144" s="3" t="n">
        <f aca="false">INDEX(Summary!$O$2:$O$201,MATCH($B1144,Summary!$A$2:$A$201,0))</f>
        <v>8</v>
      </c>
      <c r="T1144" s="3" t="n">
        <f aca="false">INDEX(Summary!$P$2:$P$201,MATCH($B1144,Summary!$A$2:$A$201,0))</f>
        <v>1</v>
      </c>
      <c r="U1144" s="2" t="n">
        <f aca="false">INDEX(Summary!$Q$2:$Q$201,MATCH($B1144,Summary!$A$2:$A$201,0))</f>
        <v>12.94</v>
      </c>
      <c r="V1144" s="2" t="n">
        <f aca="false">INDEX(Summary!$R$2:$R$201,MATCH($B1144,Summary!$A$2:$A$201,0))</f>
        <v>31.33</v>
      </c>
      <c r="W1144" s="0" t="str">
        <f aca="false">INDEX(Summary!$S$2:$S$201,MATCH($B1144,Summary!$A$2:$A$201,0))</f>
        <v>Gold</v>
      </c>
      <c r="X1144" s="2" t="n">
        <f aca="false">INDEX(Summary!$T$2:$T$201,MATCH($B1144,Summary!$A$2:$A$201,0))</f>
        <v>76.41</v>
      </c>
      <c r="Y1144" s="0" t="str">
        <f aca="false">INDEX('Reward Model'!$E$18:$E$37,MATCH($E1144,'Reward Model'!$A$18:$A$37,0))</f>
        <v>Medium</v>
      </c>
      <c r="Z1144" s="4" t="n">
        <f aca="false">ROUND(MIN(1,MAX('Reward Model'!$B$2,INDEX('Reward Model'!$C$12:$C$14,MATCH($K1144,'Reward Model'!$A$12:$A$14,0))/$J1144)),3)</f>
        <v>1</v>
      </c>
      <c r="AA1144" s="2" t="n">
        <f aca="false">IF($I1144="Correct",ROUND(INDEX('Reward Model'!$B$12:$B$14,MATCH($K1144,'Reward Model'!$A$12:$A$14,0))*Z1144,2),0)</f>
        <v>1</v>
      </c>
      <c r="AB1144" s="2" t="n">
        <f aca="false">IF($I1144="Correct",ROUND(INDEX('Reward Model'!$B$12:$B$14,MATCH($Y1144,'Reward Model'!$A$12:$A$14,0))*Z1144,2),0)</f>
        <v>2</v>
      </c>
    </row>
    <row r="1145" customFormat="false" ht="15" hidden="false" customHeight="false" outlineLevel="0" collapsed="false">
      <c r="A1145" s="0" t="s">
        <v>243</v>
      </c>
      <c r="B1145" s="0" t="s">
        <v>244</v>
      </c>
      <c r="C1145" s="0" t="s">
        <v>30</v>
      </c>
      <c r="D1145" s="0" t="s">
        <v>189</v>
      </c>
      <c r="E1145" s="0" t="n">
        <v>4</v>
      </c>
      <c r="F1145" s="0" t="s">
        <v>43</v>
      </c>
      <c r="G1145" s="0" t="s">
        <v>45</v>
      </c>
      <c r="H1145" s="0" t="s">
        <v>45</v>
      </c>
      <c r="I1145" s="0" t="s">
        <v>34</v>
      </c>
      <c r="J1145" s="0" t="n">
        <v>1.59</v>
      </c>
      <c r="K1145" s="0" t="s">
        <v>35</v>
      </c>
      <c r="L1145" s="0" t="n">
        <f aca="false">INDEX(Summary!$F$2:$F$201,MATCH($B1145,Summary!$A$2:$A$201,0))</f>
        <v>20</v>
      </c>
      <c r="M1145" s="0" t="n">
        <f aca="false">INDEX(Summary!$I$2:$I$201,MATCH($B1145,Summary!$A$2:$A$201,0))</f>
        <v>4</v>
      </c>
      <c r="N1145" s="0" t="n">
        <f aca="false">INDEX(Summary!$J$2:$J$201,MATCH($B1145,Summary!$A$2:$A$201,0))</f>
        <v>1</v>
      </c>
      <c r="O1145" s="2" t="n">
        <f aca="false">INDEX(Summary!$K$2:$K$201,MATCH($B1145,Summary!$A$2:$A$201,0))</f>
        <v>10.79</v>
      </c>
      <c r="P1145" s="3" t="n">
        <f aca="false">INDEX(Summary!$L$2:$L$201,MATCH($B1145,Summary!$A$2:$A$201,0))</f>
        <v>4</v>
      </c>
      <c r="Q1145" s="3" t="n">
        <f aca="false">INDEX(Summary!$M$2:$M$201,MATCH($B1145,Summary!$A$2:$A$201,0))</f>
        <v>2</v>
      </c>
      <c r="R1145" s="2" t="n">
        <f aca="false">INDEX(Summary!$N$2:$N$201,MATCH($B1145,Summary!$A$2:$A$201,0))</f>
        <v>10.23</v>
      </c>
      <c r="S1145" s="3" t="n">
        <f aca="false">INDEX(Summary!$O$2:$O$201,MATCH($B1145,Summary!$A$2:$A$201,0))</f>
        <v>8</v>
      </c>
      <c r="T1145" s="3" t="n">
        <f aca="false">INDEX(Summary!$P$2:$P$201,MATCH($B1145,Summary!$A$2:$A$201,0))</f>
        <v>1</v>
      </c>
      <c r="U1145" s="2" t="n">
        <f aca="false">INDEX(Summary!$Q$2:$Q$201,MATCH($B1145,Summary!$A$2:$A$201,0))</f>
        <v>12.94</v>
      </c>
      <c r="V1145" s="2" t="n">
        <f aca="false">INDEX(Summary!$R$2:$R$201,MATCH($B1145,Summary!$A$2:$A$201,0))</f>
        <v>31.33</v>
      </c>
      <c r="W1145" s="0" t="str">
        <f aca="false">INDEX(Summary!$S$2:$S$201,MATCH($B1145,Summary!$A$2:$A$201,0))</f>
        <v>Gold</v>
      </c>
      <c r="X1145" s="2" t="n">
        <f aca="false">INDEX(Summary!$T$2:$T$201,MATCH($B1145,Summary!$A$2:$A$201,0))</f>
        <v>76.41</v>
      </c>
      <c r="Y1145" s="0" t="str">
        <f aca="false">INDEX('Reward Model'!$E$18:$E$37,MATCH($E1145,'Reward Model'!$A$18:$A$37,0))</f>
        <v>Low</v>
      </c>
      <c r="Z1145" s="4" t="n">
        <f aca="false">ROUND(MIN(1,MAX('Reward Model'!$B$2,INDEX('Reward Model'!$C$12:$C$14,MATCH($K1145,'Reward Model'!$A$12:$A$14,0))/$J1145)),3)</f>
        <v>0.943</v>
      </c>
      <c r="AA1145" s="2" t="n">
        <f aca="false">IF($I1145="Correct",ROUND(INDEX('Reward Model'!$B$12:$B$14,MATCH($K1145,'Reward Model'!$A$12:$A$14,0))*Z1145,2),0)</f>
        <v>0.94</v>
      </c>
      <c r="AB1145" s="2" t="n">
        <f aca="false">IF($I1145="Correct",ROUND(INDEX('Reward Model'!$B$12:$B$14,MATCH($Y1145,'Reward Model'!$A$12:$A$14,0))*Z1145,2),0)</f>
        <v>0.94</v>
      </c>
    </row>
    <row r="1146" customFormat="false" ht="15" hidden="false" customHeight="false" outlineLevel="0" collapsed="false">
      <c r="A1146" s="0" t="s">
        <v>243</v>
      </c>
      <c r="B1146" s="0" t="s">
        <v>244</v>
      </c>
      <c r="C1146" s="0" t="s">
        <v>30</v>
      </c>
      <c r="D1146" s="0" t="s">
        <v>189</v>
      </c>
      <c r="E1146" s="0" t="n">
        <v>5</v>
      </c>
      <c r="F1146" s="0" t="s">
        <v>46</v>
      </c>
      <c r="G1146" s="0" t="s">
        <v>47</v>
      </c>
      <c r="H1146" s="0" t="s">
        <v>47</v>
      </c>
      <c r="I1146" s="0" t="s">
        <v>34</v>
      </c>
      <c r="J1146" s="0" t="n">
        <v>1.67</v>
      </c>
      <c r="K1146" s="0" t="s">
        <v>35</v>
      </c>
      <c r="L1146" s="0" t="n">
        <f aca="false">INDEX(Summary!$F$2:$F$201,MATCH($B1146,Summary!$A$2:$A$201,0))</f>
        <v>20</v>
      </c>
      <c r="M1146" s="0" t="n">
        <f aca="false">INDEX(Summary!$I$2:$I$201,MATCH($B1146,Summary!$A$2:$A$201,0))</f>
        <v>4</v>
      </c>
      <c r="N1146" s="0" t="n">
        <f aca="false">INDEX(Summary!$J$2:$J$201,MATCH($B1146,Summary!$A$2:$A$201,0))</f>
        <v>1</v>
      </c>
      <c r="O1146" s="2" t="n">
        <f aca="false">INDEX(Summary!$K$2:$K$201,MATCH($B1146,Summary!$A$2:$A$201,0))</f>
        <v>10.79</v>
      </c>
      <c r="P1146" s="3" t="n">
        <f aca="false">INDEX(Summary!$L$2:$L$201,MATCH($B1146,Summary!$A$2:$A$201,0))</f>
        <v>4</v>
      </c>
      <c r="Q1146" s="3" t="n">
        <f aca="false">INDEX(Summary!$M$2:$M$201,MATCH($B1146,Summary!$A$2:$A$201,0))</f>
        <v>2</v>
      </c>
      <c r="R1146" s="2" t="n">
        <f aca="false">INDEX(Summary!$N$2:$N$201,MATCH($B1146,Summary!$A$2:$A$201,0))</f>
        <v>10.23</v>
      </c>
      <c r="S1146" s="3" t="n">
        <f aca="false">INDEX(Summary!$O$2:$O$201,MATCH($B1146,Summary!$A$2:$A$201,0))</f>
        <v>8</v>
      </c>
      <c r="T1146" s="3" t="n">
        <f aca="false">INDEX(Summary!$P$2:$P$201,MATCH($B1146,Summary!$A$2:$A$201,0))</f>
        <v>1</v>
      </c>
      <c r="U1146" s="2" t="n">
        <f aca="false">INDEX(Summary!$Q$2:$Q$201,MATCH($B1146,Summary!$A$2:$A$201,0))</f>
        <v>12.94</v>
      </c>
      <c r="V1146" s="2" t="n">
        <f aca="false">INDEX(Summary!$R$2:$R$201,MATCH($B1146,Summary!$A$2:$A$201,0))</f>
        <v>31.33</v>
      </c>
      <c r="W1146" s="0" t="str">
        <f aca="false">INDEX(Summary!$S$2:$S$201,MATCH($B1146,Summary!$A$2:$A$201,0))</f>
        <v>Gold</v>
      </c>
      <c r="X1146" s="2" t="n">
        <f aca="false">INDEX(Summary!$T$2:$T$201,MATCH($B1146,Summary!$A$2:$A$201,0))</f>
        <v>76.41</v>
      </c>
      <c r="Y1146" s="0" t="str">
        <f aca="false">INDEX('Reward Model'!$E$18:$E$37,MATCH($E1146,'Reward Model'!$A$18:$A$37,0))</f>
        <v>Low</v>
      </c>
      <c r="Z1146" s="4" t="n">
        <f aca="false">ROUND(MIN(1,MAX('Reward Model'!$B$2,INDEX('Reward Model'!$C$12:$C$14,MATCH($K1146,'Reward Model'!$A$12:$A$14,0))/$J1146)),3)</f>
        <v>0.898</v>
      </c>
      <c r="AA1146" s="2" t="n">
        <f aca="false">IF($I1146="Correct",ROUND(INDEX('Reward Model'!$B$12:$B$14,MATCH($K1146,'Reward Model'!$A$12:$A$14,0))*Z1146,2),0)</f>
        <v>0.9</v>
      </c>
      <c r="AB1146" s="2" t="n">
        <f aca="false">IF($I1146="Correct",ROUND(INDEX('Reward Model'!$B$12:$B$14,MATCH($Y1146,'Reward Model'!$A$12:$A$14,0))*Z1146,2),0)</f>
        <v>0.9</v>
      </c>
    </row>
    <row r="1147" customFormat="false" ht="15" hidden="false" customHeight="false" outlineLevel="0" collapsed="false">
      <c r="A1147" s="0" t="s">
        <v>243</v>
      </c>
      <c r="B1147" s="0" t="s">
        <v>244</v>
      </c>
      <c r="C1147" s="0" t="s">
        <v>30</v>
      </c>
      <c r="D1147" s="0" t="s">
        <v>189</v>
      </c>
      <c r="E1147" s="0" t="n">
        <v>6</v>
      </c>
      <c r="F1147" s="0" t="s">
        <v>48</v>
      </c>
      <c r="G1147" s="0" t="s">
        <v>49</v>
      </c>
      <c r="H1147" s="0" t="s">
        <v>49</v>
      </c>
      <c r="I1147" s="0" t="s">
        <v>34</v>
      </c>
      <c r="J1147" s="0" t="n">
        <v>1.18</v>
      </c>
      <c r="K1147" s="0" t="s">
        <v>35</v>
      </c>
      <c r="L1147" s="0" t="n">
        <f aca="false">INDEX(Summary!$F$2:$F$201,MATCH($B1147,Summary!$A$2:$A$201,0))</f>
        <v>20</v>
      </c>
      <c r="M1147" s="0" t="n">
        <f aca="false">INDEX(Summary!$I$2:$I$201,MATCH($B1147,Summary!$A$2:$A$201,0))</f>
        <v>4</v>
      </c>
      <c r="N1147" s="0" t="n">
        <f aca="false">INDEX(Summary!$J$2:$J$201,MATCH($B1147,Summary!$A$2:$A$201,0))</f>
        <v>1</v>
      </c>
      <c r="O1147" s="2" t="n">
        <f aca="false">INDEX(Summary!$K$2:$K$201,MATCH($B1147,Summary!$A$2:$A$201,0))</f>
        <v>10.79</v>
      </c>
      <c r="P1147" s="3" t="n">
        <f aca="false">INDEX(Summary!$L$2:$L$201,MATCH($B1147,Summary!$A$2:$A$201,0))</f>
        <v>4</v>
      </c>
      <c r="Q1147" s="3" t="n">
        <f aca="false">INDEX(Summary!$M$2:$M$201,MATCH($B1147,Summary!$A$2:$A$201,0))</f>
        <v>2</v>
      </c>
      <c r="R1147" s="2" t="n">
        <f aca="false">INDEX(Summary!$N$2:$N$201,MATCH($B1147,Summary!$A$2:$A$201,0))</f>
        <v>10.23</v>
      </c>
      <c r="S1147" s="3" t="n">
        <f aca="false">INDEX(Summary!$O$2:$O$201,MATCH($B1147,Summary!$A$2:$A$201,0))</f>
        <v>8</v>
      </c>
      <c r="T1147" s="3" t="n">
        <f aca="false">INDEX(Summary!$P$2:$P$201,MATCH($B1147,Summary!$A$2:$A$201,0))</f>
        <v>1</v>
      </c>
      <c r="U1147" s="2" t="n">
        <f aca="false">INDEX(Summary!$Q$2:$Q$201,MATCH($B1147,Summary!$A$2:$A$201,0))</f>
        <v>12.94</v>
      </c>
      <c r="V1147" s="2" t="n">
        <f aca="false">INDEX(Summary!$R$2:$R$201,MATCH($B1147,Summary!$A$2:$A$201,0))</f>
        <v>31.33</v>
      </c>
      <c r="W1147" s="0" t="str">
        <f aca="false">INDEX(Summary!$S$2:$S$201,MATCH($B1147,Summary!$A$2:$A$201,0))</f>
        <v>Gold</v>
      </c>
      <c r="X1147" s="2" t="n">
        <f aca="false">INDEX(Summary!$T$2:$T$201,MATCH($B1147,Summary!$A$2:$A$201,0))</f>
        <v>76.41</v>
      </c>
      <c r="Y1147" s="0" t="str">
        <f aca="false">INDEX('Reward Model'!$E$18:$E$37,MATCH($E1147,'Reward Model'!$A$18:$A$37,0))</f>
        <v>Medium</v>
      </c>
      <c r="Z1147" s="4" t="n">
        <f aca="false">ROUND(MIN(1,MAX('Reward Model'!$B$2,INDEX('Reward Model'!$C$12:$C$14,MATCH($K1147,'Reward Model'!$A$12:$A$14,0))/$J1147)),3)</f>
        <v>1</v>
      </c>
      <c r="AA1147" s="2" t="n">
        <f aca="false">IF($I1147="Correct",ROUND(INDEX('Reward Model'!$B$12:$B$14,MATCH($K1147,'Reward Model'!$A$12:$A$14,0))*Z1147,2),0)</f>
        <v>1</v>
      </c>
      <c r="AB1147" s="2" t="n">
        <f aca="false">IF($I1147="Correct",ROUND(INDEX('Reward Model'!$B$12:$B$14,MATCH($Y1147,'Reward Model'!$A$12:$A$14,0))*Z1147,2),0)</f>
        <v>2</v>
      </c>
    </row>
    <row r="1148" customFormat="false" ht="15" hidden="false" customHeight="false" outlineLevel="0" collapsed="false">
      <c r="A1148" s="0" t="s">
        <v>243</v>
      </c>
      <c r="B1148" s="0" t="s">
        <v>244</v>
      </c>
      <c r="C1148" s="0" t="s">
        <v>30</v>
      </c>
      <c r="D1148" s="0" t="s">
        <v>189</v>
      </c>
      <c r="E1148" s="0" t="n">
        <v>7</v>
      </c>
      <c r="F1148" s="0" t="s">
        <v>50</v>
      </c>
      <c r="G1148" s="0" t="s">
        <v>144</v>
      </c>
      <c r="H1148" s="0" t="s">
        <v>51</v>
      </c>
      <c r="I1148" s="0" t="s">
        <v>39</v>
      </c>
      <c r="J1148" s="0" t="n">
        <v>1.59</v>
      </c>
      <c r="K1148" s="0" t="s">
        <v>35</v>
      </c>
      <c r="L1148" s="0" t="n">
        <f aca="false">INDEX(Summary!$F$2:$F$201,MATCH($B1148,Summary!$A$2:$A$201,0))</f>
        <v>20</v>
      </c>
      <c r="M1148" s="0" t="n">
        <f aca="false">INDEX(Summary!$I$2:$I$201,MATCH($B1148,Summary!$A$2:$A$201,0))</f>
        <v>4</v>
      </c>
      <c r="N1148" s="0" t="n">
        <f aca="false">INDEX(Summary!$J$2:$J$201,MATCH($B1148,Summary!$A$2:$A$201,0))</f>
        <v>1</v>
      </c>
      <c r="O1148" s="2" t="n">
        <f aca="false">INDEX(Summary!$K$2:$K$201,MATCH($B1148,Summary!$A$2:$A$201,0))</f>
        <v>10.79</v>
      </c>
      <c r="P1148" s="3" t="n">
        <f aca="false">INDEX(Summary!$L$2:$L$201,MATCH($B1148,Summary!$A$2:$A$201,0))</f>
        <v>4</v>
      </c>
      <c r="Q1148" s="3" t="n">
        <f aca="false">INDEX(Summary!$M$2:$M$201,MATCH($B1148,Summary!$A$2:$A$201,0))</f>
        <v>2</v>
      </c>
      <c r="R1148" s="2" t="n">
        <f aca="false">INDEX(Summary!$N$2:$N$201,MATCH($B1148,Summary!$A$2:$A$201,0))</f>
        <v>10.23</v>
      </c>
      <c r="S1148" s="3" t="n">
        <f aca="false">INDEX(Summary!$O$2:$O$201,MATCH($B1148,Summary!$A$2:$A$201,0))</f>
        <v>8</v>
      </c>
      <c r="T1148" s="3" t="n">
        <f aca="false">INDEX(Summary!$P$2:$P$201,MATCH($B1148,Summary!$A$2:$A$201,0))</f>
        <v>1</v>
      </c>
      <c r="U1148" s="2" t="n">
        <f aca="false">INDEX(Summary!$Q$2:$Q$201,MATCH($B1148,Summary!$A$2:$A$201,0))</f>
        <v>12.94</v>
      </c>
      <c r="V1148" s="2" t="n">
        <f aca="false">INDEX(Summary!$R$2:$R$201,MATCH($B1148,Summary!$A$2:$A$201,0))</f>
        <v>31.33</v>
      </c>
      <c r="W1148" s="0" t="str">
        <f aca="false">INDEX(Summary!$S$2:$S$201,MATCH($B1148,Summary!$A$2:$A$201,0))</f>
        <v>Gold</v>
      </c>
      <c r="X1148" s="2" t="n">
        <f aca="false">INDEX(Summary!$T$2:$T$201,MATCH($B1148,Summary!$A$2:$A$201,0))</f>
        <v>76.41</v>
      </c>
      <c r="Y1148" s="0" t="str">
        <f aca="false">INDEX('Reward Model'!$E$18:$E$37,MATCH($E1148,'Reward Model'!$A$18:$A$37,0))</f>
        <v>Low</v>
      </c>
      <c r="Z1148" s="4" t="n">
        <f aca="false">ROUND(MIN(1,MAX('Reward Model'!$B$2,INDEX('Reward Model'!$C$12:$C$14,MATCH($K1148,'Reward Model'!$A$12:$A$14,0))/$J1148)),3)</f>
        <v>0.943</v>
      </c>
      <c r="AA1148" s="2" t="n">
        <f aca="false">IF($I1148="Correct",ROUND(INDEX('Reward Model'!$B$12:$B$14,MATCH($K1148,'Reward Model'!$A$12:$A$14,0))*Z1148,2),0)</f>
        <v>0</v>
      </c>
      <c r="AB1148" s="2" t="n">
        <f aca="false">IF($I1148="Correct",ROUND(INDEX('Reward Model'!$B$12:$B$14,MATCH($Y1148,'Reward Model'!$A$12:$A$14,0))*Z1148,2),0)</f>
        <v>0</v>
      </c>
    </row>
    <row r="1149" customFormat="false" ht="15" hidden="false" customHeight="false" outlineLevel="0" collapsed="false">
      <c r="A1149" s="0" t="s">
        <v>243</v>
      </c>
      <c r="B1149" s="0" t="s">
        <v>244</v>
      </c>
      <c r="C1149" s="0" t="s">
        <v>30</v>
      </c>
      <c r="D1149" s="0" t="s">
        <v>189</v>
      </c>
      <c r="E1149" s="0" t="n">
        <v>8</v>
      </c>
      <c r="F1149" s="0" t="s">
        <v>52</v>
      </c>
      <c r="G1149" s="0" t="s">
        <v>54</v>
      </c>
      <c r="H1149" s="0" t="s">
        <v>54</v>
      </c>
      <c r="I1149" s="0" t="s">
        <v>34</v>
      </c>
      <c r="J1149" s="0" t="n">
        <v>1.44</v>
      </c>
      <c r="K1149" s="0" t="s">
        <v>35</v>
      </c>
      <c r="L1149" s="0" t="n">
        <f aca="false">INDEX(Summary!$F$2:$F$201,MATCH($B1149,Summary!$A$2:$A$201,0))</f>
        <v>20</v>
      </c>
      <c r="M1149" s="0" t="n">
        <f aca="false">INDEX(Summary!$I$2:$I$201,MATCH($B1149,Summary!$A$2:$A$201,0))</f>
        <v>4</v>
      </c>
      <c r="N1149" s="0" t="n">
        <f aca="false">INDEX(Summary!$J$2:$J$201,MATCH($B1149,Summary!$A$2:$A$201,0))</f>
        <v>1</v>
      </c>
      <c r="O1149" s="2" t="n">
        <f aca="false">INDEX(Summary!$K$2:$K$201,MATCH($B1149,Summary!$A$2:$A$201,0))</f>
        <v>10.79</v>
      </c>
      <c r="P1149" s="3" t="n">
        <f aca="false">INDEX(Summary!$L$2:$L$201,MATCH($B1149,Summary!$A$2:$A$201,0))</f>
        <v>4</v>
      </c>
      <c r="Q1149" s="3" t="n">
        <f aca="false">INDEX(Summary!$M$2:$M$201,MATCH($B1149,Summary!$A$2:$A$201,0))</f>
        <v>2</v>
      </c>
      <c r="R1149" s="2" t="n">
        <f aca="false">INDEX(Summary!$N$2:$N$201,MATCH($B1149,Summary!$A$2:$A$201,0))</f>
        <v>10.23</v>
      </c>
      <c r="S1149" s="3" t="n">
        <f aca="false">INDEX(Summary!$O$2:$O$201,MATCH($B1149,Summary!$A$2:$A$201,0))</f>
        <v>8</v>
      </c>
      <c r="T1149" s="3" t="n">
        <f aca="false">INDEX(Summary!$P$2:$P$201,MATCH($B1149,Summary!$A$2:$A$201,0))</f>
        <v>1</v>
      </c>
      <c r="U1149" s="2" t="n">
        <f aca="false">INDEX(Summary!$Q$2:$Q$201,MATCH($B1149,Summary!$A$2:$A$201,0))</f>
        <v>12.94</v>
      </c>
      <c r="V1149" s="2" t="n">
        <f aca="false">INDEX(Summary!$R$2:$R$201,MATCH($B1149,Summary!$A$2:$A$201,0))</f>
        <v>31.33</v>
      </c>
      <c r="W1149" s="0" t="str">
        <f aca="false">INDEX(Summary!$S$2:$S$201,MATCH($B1149,Summary!$A$2:$A$201,0))</f>
        <v>Gold</v>
      </c>
      <c r="X1149" s="2" t="n">
        <f aca="false">INDEX(Summary!$T$2:$T$201,MATCH($B1149,Summary!$A$2:$A$201,0))</f>
        <v>76.41</v>
      </c>
      <c r="Y1149" s="0" t="str">
        <f aca="false">INDEX('Reward Model'!$E$18:$E$37,MATCH($E1149,'Reward Model'!$A$18:$A$37,0))</f>
        <v>Medium</v>
      </c>
      <c r="Z1149" s="4" t="n">
        <f aca="false">ROUND(MIN(1,MAX('Reward Model'!$B$2,INDEX('Reward Model'!$C$12:$C$14,MATCH($K1149,'Reward Model'!$A$12:$A$14,0))/$J1149)),3)</f>
        <v>1</v>
      </c>
      <c r="AA1149" s="2" t="n">
        <f aca="false">IF($I1149="Correct",ROUND(INDEX('Reward Model'!$B$12:$B$14,MATCH($K1149,'Reward Model'!$A$12:$A$14,0))*Z1149,2),0)</f>
        <v>1</v>
      </c>
      <c r="AB1149" s="2" t="n">
        <f aca="false">IF($I1149="Correct",ROUND(INDEX('Reward Model'!$B$12:$B$14,MATCH($Y1149,'Reward Model'!$A$12:$A$14,0))*Z1149,2),0)</f>
        <v>2</v>
      </c>
    </row>
    <row r="1150" customFormat="false" ht="15" hidden="false" customHeight="false" outlineLevel="0" collapsed="false">
      <c r="A1150" s="0" t="s">
        <v>243</v>
      </c>
      <c r="B1150" s="0" t="s">
        <v>244</v>
      </c>
      <c r="C1150" s="0" t="s">
        <v>30</v>
      </c>
      <c r="D1150" s="0" t="s">
        <v>189</v>
      </c>
      <c r="E1150" s="0" t="n">
        <v>9</v>
      </c>
      <c r="F1150" s="0" t="s">
        <v>55</v>
      </c>
      <c r="G1150" s="0" t="s">
        <v>57</v>
      </c>
      <c r="H1150" s="0" t="s">
        <v>57</v>
      </c>
      <c r="I1150" s="0" t="s">
        <v>34</v>
      </c>
      <c r="J1150" s="0" t="n">
        <v>1.47</v>
      </c>
      <c r="K1150" s="0" t="s">
        <v>35</v>
      </c>
      <c r="L1150" s="0" t="n">
        <f aca="false">INDEX(Summary!$F$2:$F$201,MATCH($B1150,Summary!$A$2:$A$201,0))</f>
        <v>20</v>
      </c>
      <c r="M1150" s="0" t="n">
        <f aca="false">INDEX(Summary!$I$2:$I$201,MATCH($B1150,Summary!$A$2:$A$201,0))</f>
        <v>4</v>
      </c>
      <c r="N1150" s="0" t="n">
        <f aca="false">INDEX(Summary!$J$2:$J$201,MATCH($B1150,Summary!$A$2:$A$201,0))</f>
        <v>1</v>
      </c>
      <c r="O1150" s="2" t="n">
        <f aca="false">INDEX(Summary!$K$2:$K$201,MATCH($B1150,Summary!$A$2:$A$201,0))</f>
        <v>10.79</v>
      </c>
      <c r="P1150" s="3" t="n">
        <f aca="false">INDEX(Summary!$L$2:$L$201,MATCH($B1150,Summary!$A$2:$A$201,0))</f>
        <v>4</v>
      </c>
      <c r="Q1150" s="3" t="n">
        <f aca="false">INDEX(Summary!$M$2:$M$201,MATCH($B1150,Summary!$A$2:$A$201,0))</f>
        <v>2</v>
      </c>
      <c r="R1150" s="2" t="n">
        <f aca="false">INDEX(Summary!$N$2:$N$201,MATCH($B1150,Summary!$A$2:$A$201,0))</f>
        <v>10.23</v>
      </c>
      <c r="S1150" s="3" t="n">
        <f aca="false">INDEX(Summary!$O$2:$O$201,MATCH($B1150,Summary!$A$2:$A$201,0))</f>
        <v>8</v>
      </c>
      <c r="T1150" s="3" t="n">
        <f aca="false">INDEX(Summary!$P$2:$P$201,MATCH($B1150,Summary!$A$2:$A$201,0))</f>
        <v>1</v>
      </c>
      <c r="U1150" s="2" t="n">
        <f aca="false">INDEX(Summary!$Q$2:$Q$201,MATCH($B1150,Summary!$A$2:$A$201,0))</f>
        <v>12.94</v>
      </c>
      <c r="V1150" s="2" t="n">
        <f aca="false">INDEX(Summary!$R$2:$R$201,MATCH($B1150,Summary!$A$2:$A$201,0))</f>
        <v>31.33</v>
      </c>
      <c r="W1150" s="0" t="str">
        <f aca="false">INDEX(Summary!$S$2:$S$201,MATCH($B1150,Summary!$A$2:$A$201,0))</f>
        <v>Gold</v>
      </c>
      <c r="X1150" s="2" t="n">
        <f aca="false">INDEX(Summary!$T$2:$T$201,MATCH($B1150,Summary!$A$2:$A$201,0))</f>
        <v>76.41</v>
      </c>
      <c r="Y1150" s="0" t="str">
        <f aca="false">INDEX('Reward Model'!$E$18:$E$37,MATCH($E1150,'Reward Model'!$A$18:$A$37,0))</f>
        <v>Medium</v>
      </c>
      <c r="Z1150" s="4" t="n">
        <f aca="false">ROUND(MIN(1,MAX('Reward Model'!$B$2,INDEX('Reward Model'!$C$12:$C$14,MATCH($K1150,'Reward Model'!$A$12:$A$14,0))/$J1150)),3)</f>
        <v>1</v>
      </c>
      <c r="AA1150" s="2" t="n">
        <f aca="false">IF($I1150="Correct",ROUND(INDEX('Reward Model'!$B$12:$B$14,MATCH($K1150,'Reward Model'!$A$12:$A$14,0))*Z1150,2),0)</f>
        <v>1</v>
      </c>
      <c r="AB1150" s="2" t="n">
        <f aca="false">IF($I1150="Correct",ROUND(INDEX('Reward Model'!$B$12:$B$14,MATCH($Y1150,'Reward Model'!$A$12:$A$14,0))*Z1150,2),0)</f>
        <v>2</v>
      </c>
    </row>
    <row r="1151" customFormat="false" ht="15" hidden="false" customHeight="false" outlineLevel="0" collapsed="false">
      <c r="A1151" s="0" t="s">
        <v>243</v>
      </c>
      <c r="B1151" s="0" t="s">
        <v>244</v>
      </c>
      <c r="C1151" s="0" t="s">
        <v>30</v>
      </c>
      <c r="D1151" s="0" t="s">
        <v>189</v>
      </c>
      <c r="E1151" s="0" t="n">
        <v>10</v>
      </c>
      <c r="F1151" s="0" t="s">
        <v>58</v>
      </c>
      <c r="G1151" s="0" t="s">
        <v>59</v>
      </c>
      <c r="H1151" s="0" t="s">
        <v>59</v>
      </c>
      <c r="I1151" s="0" t="s">
        <v>34</v>
      </c>
      <c r="J1151" s="0" t="n">
        <v>1.33</v>
      </c>
      <c r="K1151" s="0" t="s">
        <v>60</v>
      </c>
      <c r="L1151" s="0" t="n">
        <f aca="false">INDEX(Summary!$F$2:$F$201,MATCH($B1151,Summary!$A$2:$A$201,0))</f>
        <v>20</v>
      </c>
      <c r="M1151" s="0" t="n">
        <f aca="false">INDEX(Summary!$I$2:$I$201,MATCH($B1151,Summary!$A$2:$A$201,0))</f>
        <v>4</v>
      </c>
      <c r="N1151" s="0" t="n">
        <f aca="false">INDEX(Summary!$J$2:$J$201,MATCH($B1151,Summary!$A$2:$A$201,0))</f>
        <v>1</v>
      </c>
      <c r="O1151" s="2" t="n">
        <f aca="false">INDEX(Summary!$K$2:$K$201,MATCH($B1151,Summary!$A$2:$A$201,0))</f>
        <v>10.79</v>
      </c>
      <c r="P1151" s="3" t="n">
        <f aca="false">INDEX(Summary!$L$2:$L$201,MATCH($B1151,Summary!$A$2:$A$201,0))</f>
        <v>4</v>
      </c>
      <c r="Q1151" s="3" t="n">
        <f aca="false">INDEX(Summary!$M$2:$M$201,MATCH($B1151,Summary!$A$2:$A$201,0))</f>
        <v>2</v>
      </c>
      <c r="R1151" s="2" t="n">
        <f aca="false">INDEX(Summary!$N$2:$N$201,MATCH($B1151,Summary!$A$2:$A$201,0))</f>
        <v>10.23</v>
      </c>
      <c r="S1151" s="3" t="n">
        <f aca="false">INDEX(Summary!$O$2:$O$201,MATCH($B1151,Summary!$A$2:$A$201,0))</f>
        <v>8</v>
      </c>
      <c r="T1151" s="3" t="n">
        <f aca="false">INDEX(Summary!$P$2:$P$201,MATCH($B1151,Summary!$A$2:$A$201,0))</f>
        <v>1</v>
      </c>
      <c r="U1151" s="2" t="n">
        <f aca="false">INDEX(Summary!$Q$2:$Q$201,MATCH($B1151,Summary!$A$2:$A$201,0))</f>
        <v>12.94</v>
      </c>
      <c r="V1151" s="2" t="n">
        <f aca="false">INDEX(Summary!$R$2:$R$201,MATCH($B1151,Summary!$A$2:$A$201,0))</f>
        <v>31.33</v>
      </c>
      <c r="W1151" s="0" t="str">
        <f aca="false">INDEX(Summary!$S$2:$S$201,MATCH($B1151,Summary!$A$2:$A$201,0))</f>
        <v>Gold</v>
      </c>
      <c r="X1151" s="2" t="n">
        <f aca="false">INDEX(Summary!$T$2:$T$201,MATCH($B1151,Summary!$A$2:$A$201,0))</f>
        <v>76.41</v>
      </c>
      <c r="Y1151" s="0" t="str">
        <f aca="false">INDEX('Reward Model'!$E$18:$E$37,MATCH($E1151,'Reward Model'!$A$18:$A$37,0))</f>
        <v>Medium</v>
      </c>
      <c r="Z1151" s="4" t="n">
        <f aca="false">ROUND(MIN(1,MAX('Reward Model'!$B$2,INDEX('Reward Model'!$C$12:$C$14,MATCH($K1151,'Reward Model'!$A$12:$A$14,0))/$J1151)),3)</f>
        <v>1</v>
      </c>
      <c r="AA1151" s="2" t="n">
        <f aca="false">IF($I1151="Correct",ROUND(INDEX('Reward Model'!$B$12:$B$14,MATCH($K1151,'Reward Model'!$A$12:$A$14,0))*Z1151,2),0)</f>
        <v>2</v>
      </c>
      <c r="AB1151" s="2" t="n">
        <f aca="false">IF($I1151="Correct",ROUND(INDEX('Reward Model'!$B$12:$B$14,MATCH($Y1151,'Reward Model'!$A$12:$A$14,0))*Z1151,2),0)</f>
        <v>2</v>
      </c>
    </row>
    <row r="1152" customFormat="false" ht="15" hidden="false" customHeight="false" outlineLevel="0" collapsed="false">
      <c r="A1152" s="0" t="s">
        <v>243</v>
      </c>
      <c r="B1152" s="0" t="s">
        <v>244</v>
      </c>
      <c r="C1152" s="0" t="s">
        <v>30</v>
      </c>
      <c r="D1152" s="0" t="s">
        <v>189</v>
      </c>
      <c r="E1152" s="0" t="n">
        <v>11</v>
      </c>
      <c r="F1152" s="0" t="s">
        <v>61</v>
      </c>
      <c r="G1152" s="0" t="s">
        <v>145</v>
      </c>
      <c r="H1152" s="0" t="s">
        <v>63</v>
      </c>
      <c r="I1152" s="0" t="s">
        <v>39</v>
      </c>
      <c r="J1152" s="0" t="n">
        <v>1.84</v>
      </c>
      <c r="K1152" s="0" t="s">
        <v>60</v>
      </c>
      <c r="L1152" s="0" t="n">
        <f aca="false">INDEX(Summary!$F$2:$F$201,MATCH($B1152,Summary!$A$2:$A$201,0))</f>
        <v>20</v>
      </c>
      <c r="M1152" s="0" t="n">
        <f aca="false">INDEX(Summary!$I$2:$I$201,MATCH($B1152,Summary!$A$2:$A$201,0))</f>
        <v>4</v>
      </c>
      <c r="N1152" s="0" t="n">
        <f aca="false">INDEX(Summary!$J$2:$J$201,MATCH($B1152,Summary!$A$2:$A$201,0))</f>
        <v>1</v>
      </c>
      <c r="O1152" s="2" t="n">
        <f aca="false">INDEX(Summary!$K$2:$K$201,MATCH($B1152,Summary!$A$2:$A$201,0))</f>
        <v>10.79</v>
      </c>
      <c r="P1152" s="3" t="n">
        <f aca="false">INDEX(Summary!$L$2:$L$201,MATCH($B1152,Summary!$A$2:$A$201,0))</f>
        <v>4</v>
      </c>
      <c r="Q1152" s="3" t="n">
        <f aca="false">INDEX(Summary!$M$2:$M$201,MATCH($B1152,Summary!$A$2:$A$201,0))</f>
        <v>2</v>
      </c>
      <c r="R1152" s="2" t="n">
        <f aca="false">INDEX(Summary!$N$2:$N$201,MATCH($B1152,Summary!$A$2:$A$201,0))</f>
        <v>10.23</v>
      </c>
      <c r="S1152" s="3" t="n">
        <f aca="false">INDEX(Summary!$O$2:$O$201,MATCH($B1152,Summary!$A$2:$A$201,0))</f>
        <v>8</v>
      </c>
      <c r="T1152" s="3" t="n">
        <f aca="false">INDEX(Summary!$P$2:$P$201,MATCH($B1152,Summary!$A$2:$A$201,0))</f>
        <v>1</v>
      </c>
      <c r="U1152" s="2" t="n">
        <f aca="false">INDEX(Summary!$Q$2:$Q$201,MATCH($B1152,Summary!$A$2:$A$201,0))</f>
        <v>12.94</v>
      </c>
      <c r="V1152" s="2" t="n">
        <f aca="false">INDEX(Summary!$R$2:$R$201,MATCH($B1152,Summary!$A$2:$A$201,0))</f>
        <v>31.33</v>
      </c>
      <c r="W1152" s="0" t="str">
        <f aca="false">INDEX(Summary!$S$2:$S$201,MATCH($B1152,Summary!$A$2:$A$201,0))</f>
        <v>Gold</v>
      </c>
      <c r="X1152" s="2" t="n">
        <f aca="false">INDEX(Summary!$T$2:$T$201,MATCH($B1152,Summary!$A$2:$A$201,0))</f>
        <v>76.41</v>
      </c>
      <c r="Y1152" s="0" t="str">
        <f aca="false">INDEX('Reward Model'!$E$18:$E$37,MATCH($E1152,'Reward Model'!$A$18:$A$37,0))</f>
        <v>Medium</v>
      </c>
      <c r="Z1152" s="4" t="n">
        <f aca="false">ROUND(MIN(1,MAX('Reward Model'!$B$2,INDEX('Reward Model'!$C$12:$C$14,MATCH($K1152,'Reward Model'!$A$12:$A$14,0))/$J1152)),3)</f>
        <v>0.978</v>
      </c>
      <c r="AA1152" s="2" t="n">
        <f aca="false">IF($I1152="Correct",ROUND(INDEX('Reward Model'!$B$12:$B$14,MATCH($K1152,'Reward Model'!$A$12:$A$14,0))*Z1152,2),0)</f>
        <v>0</v>
      </c>
      <c r="AB1152" s="2" t="n">
        <f aca="false">IF($I1152="Correct",ROUND(INDEX('Reward Model'!$B$12:$B$14,MATCH($Y1152,'Reward Model'!$A$12:$A$14,0))*Z1152,2),0)</f>
        <v>0</v>
      </c>
    </row>
    <row r="1153" customFormat="false" ht="15" hidden="false" customHeight="false" outlineLevel="0" collapsed="false">
      <c r="A1153" s="0" t="s">
        <v>243</v>
      </c>
      <c r="B1153" s="0" t="s">
        <v>244</v>
      </c>
      <c r="C1153" s="0" t="s">
        <v>30</v>
      </c>
      <c r="D1153" s="0" t="s">
        <v>189</v>
      </c>
      <c r="E1153" s="0" t="n">
        <v>12</v>
      </c>
      <c r="F1153" s="0" t="s">
        <v>64</v>
      </c>
      <c r="G1153" s="0" t="s">
        <v>65</v>
      </c>
      <c r="H1153" s="0" t="s">
        <v>65</v>
      </c>
      <c r="I1153" s="0" t="s">
        <v>34</v>
      </c>
      <c r="J1153" s="0" t="n">
        <v>1.36</v>
      </c>
      <c r="K1153" s="0" t="s">
        <v>60</v>
      </c>
      <c r="L1153" s="0" t="n">
        <f aca="false">INDEX(Summary!$F$2:$F$201,MATCH($B1153,Summary!$A$2:$A$201,0))</f>
        <v>20</v>
      </c>
      <c r="M1153" s="0" t="n">
        <f aca="false">INDEX(Summary!$I$2:$I$201,MATCH($B1153,Summary!$A$2:$A$201,0))</f>
        <v>4</v>
      </c>
      <c r="N1153" s="0" t="n">
        <f aca="false">INDEX(Summary!$J$2:$J$201,MATCH($B1153,Summary!$A$2:$A$201,0))</f>
        <v>1</v>
      </c>
      <c r="O1153" s="2" t="n">
        <f aca="false">INDEX(Summary!$K$2:$K$201,MATCH($B1153,Summary!$A$2:$A$201,0))</f>
        <v>10.79</v>
      </c>
      <c r="P1153" s="3" t="n">
        <f aca="false">INDEX(Summary!$L$2:$L$201,MATCH($B1153,Summary!$A$2:$A$201,0))</f>
        <v>4</v>
      </c>
      <c r="Q1153" s="3" t="n">
        <f aca="false">INDEX(Summary!$M$2:$M$201,MATCH($B1153,Summary!$A$2:$A$201,0))</f>
        <v>2</v>
      </c>
      <c r="R1153" s="2" t="n">
        <f aca="false">INDEX(Summary!$N$2:$N$201,MATCH($B1153,Summary!$A$2:$A$201,0))</f>
        <v>10.23</v>
      </c>
      <c r="S1153" s="3" t="n">
        <f aca="false">INDEX(Summary!$O$2:$O$201,MATCH($B1153,Summary!$A$2:$A$201,0))</f>
        <v>8</v>
      </c>
      <c r="T1153" s="3" t="n">
        <f aca="false">INDEX(Summary!$P$2:$P$201,MATCH($B1153,Summary!$A$2:$A$201,0))</f>
        <v>1</v>
      </c>
      <c r="U1153" s="2" t="n">
        <f aca="false">INDEX(Summary!$Q$2:$Q$201,MATCH($B1153,Summary!$A$2:$A$201,0))</f>
        <v>12.94</v>
      </c>
      <c r="V1153" s="2" t="n">
        <f aca="false">INDEX(Summary!$R$2:$R$201,MATCH($B1153,Summary!$A$2:$A$201,0))</f>
        <v>31.33</v>
      </c>
      <c r="W1153" s="0" t="str">
        <f aca="false">INDEX(Summary!$S$2:$S$201,MATCH($B1153,Summary!$A$2:$A$201,0))</f>
        <v>Gold</v>
      </c>
      <c r="X1153" s="2" t="n">
        <f aca="false">INDEX(Summary!$T$2:$T$201,MATCH($B1153,Summary!$A$2:$A$201,0))</f>
        <v>76.41</v>
      </c>
      <c r="Y1153" s="0" t="str">
        <f aca="false">INDEX('Reward Model'!$E$18:$E$37,MATCH($E1153,'Reward Model'!$A$18:$A$37,0))</f>
        <v>Medium</v>
      </c>
      <c r="Z1153" s="4" t="n">
        <f aca="false">ROUND(MIN(1,MAX('Reward Model'!$B$2,INDEX('Reward Model'!$C$12:$C$14,MATCH($K1153,'Reward Model'!$A$12:$A$14,0))/$J1153)),3)</f>
        <v>1</v>
      </c>
      <c r="AA1153" s="2" t="n">
        <f aca="false">IF($I1153="Correct",ROUND(INDEX('Reward Model'!$B$12:$B$14,MATCH($K1153,'Reward Model'!$A$12:$A$14,0))*Z1153,2),0)</f>
        <v>2</v>
      </c>
      <c r="AB1153" s="2" t="n">
        <f aca="false">IF($I1153="Correct",ROUND(INDEX('Reward Model'!$B$12:$B$14,MATCH($Y1153,'Reward Model'!$A$12:$A$14,0))*Z1153,2),0)</f>
        <v>2</v>
      </c>
    </row>
    <row r="1154" customFormat="false" ht="15" hidden="false" customHeight="false" outlineLevel="0" collapsed="false">
      <c r="A1154" s="0" t="s">
        <v>243</v>
      </c>
      <c r="B1154" s="0" t="s">
        <v>244</v>
      </c>
      <c r="C1154" s="0" t="s">
        <v>30</v>
      </c>
      <c r="D1154" s="0" t="s">
        <v>189</v>
      </c>
      <c r="E1154" s="0" t="n">
        <v>13</v>
      </c>
      <c r="F1154" s="0" t="s">
        <v>66</v>
      </c>
      <c r="G1154" s="0" t="s">
        <v>67</v>
      </c>
      <c r="H1154" s="0" t="s">
        <v>67</v>
      </c>
      <c r="I1154" s="0" t="s">
        <v>34</v>
      </c>
      <c r="J1154" s="0" t="n">
        <v>2.2</v>
      </c>
      <c r="K1154" s="0" t="s">
        <v>60</v>
      </c>
      <c r="L1154" s="0" t="n">
        <f aca="false">INDEX(Summary!$F$2:$F$201,MATCH($B1154,Summary!$A$2:$A$201,0))</f>
        <v>20</v>
      </c>
      <c r="M1154" s="0" t="n">
        <f aca="false">INDEX(Summary!$I$2:$I$201,MATCH($B1154,Summary!$A$2:$A$201,0))</f>
        <v>4</v>
      </c>
      <c r="N1154" s="0" t="n">
        <f aca="false">INDEX(Summary!$J$2:$J$201,MATCH($B1154,Summary!$A$2:$A$201,0))</f>
        <v>1</v>
      </c>
      <c r="O1154" s="2" t="n">
        <f aca="false">INDEX(Summary!$K$2:$K$201,MATCH($B1154,Summary!$A$2:$A$201,0))</f>
        <v>10.79</v>
      </c>
      <c r="P1154" s="3" t="n">
        <f aca="false">INDEX(Summary!$L$2:$L$201,MATCH($B1154,Summary!$A$2:$A$201,0))</f>
        <v>4</v>
      </c>
      <c r="Q1154" s="3" t="n">
        <f aca="false">INDEX(Summary!$M$2:$M$201,MATCH($B1154,Summary!$A$2:$A$201,0))</f>
        <v>2</v>
      </c>
      <c r="R1154" s="2" t="n">
        <f aca="false">INDEX(Summary!$N$2:$N$201,MATCH($B1154,Summary!$A$2:$A$201,0))</f>
        <v>10.23</v>
      </c>
      <c r="S1154" s="3" t="n">
        <f aca="false">INDEX(Summary!$O$2:$O$201,MATCH($B1154,Summary!$A$2:$A$201,0))</f>
        <v>8</v>
      </c>
      <c r="T1154" s="3" t="n">
        <f aca="false">INDEX(Summary!$P$2:$P$201,MATCH($B1154,Summary!$A$2:$A$201,0))</f>
        <v>1</v>
      </c>
      <c r="U1154" s="2" t="n">
        <f aca="false">INDEX(Summary!$Q$2:$Q$201,MATCH($B1154,Summary!$A$2:$A$201,0))</f>
        <v>12.94</v>
      </c>
      <c r="V1154" s="2" t="n">
        <f aca="false">INDEX(Summary!$R$2:$R$201,MATCH($B1154,Summary!$A$2:$A$201,0))</f>
        <v>31.33</v>
      </c>
      <c r="W1154" s="0" t="str">
        <f aca="false">INDEX(Summary!$S$2:$S$201,MATCH($B1154,Summary!$A$2:$A$201,0))</f>
        <v>Gold</v>
      </c>
      <c r="X1154" s="2" t="n">
        <f aca="false">INDEX(Summary!$T$2:$T$201,MATCH($B1154,Summary!$A$2:$A$201,0))</f>
        <v>76.41</v>
      </c>
      <c r="Y1154" s="0" t="str">
        <f aca="false">INDEX('Reward Model'!$E$18:$E$37,MATCH($E1154,'Reward Model'!$A$18:$A$37,0))</f>
        <v>Medium</v>
      </c>
      <c r="Z1154" s="4" t="n">
        <f aca="false">ROUND(MIN(1,MAX('Reward Model'!$B$2,INDEX('Reward Model'!$C$12:$C$14,MATCH($K1154,'Reward Model'!$A$12:$A$14,0))/$J1154)),3)</f>
        <v>0.818</v>
      </c>
      <c r="AA1154" s="2" t="n">
        <f aca="false">IF($I1154="Correct",ROUND(INDEX('Reward Model'!$B$12:$B$14,MATCH($K1154,'Reward Model'!$A$12:$A$14,0))*Z1154,2),0)</f>
        <v>1.64</v>
      </c>
      <c r="AB1154" s="2" t="n">
        <f aca="false">IF($I1154="Correct",ROUND(INDEX('Reward Model'!$B$12:$B$14,MATCH($Y1154,'Reward Model'!$A$12:$A$14,0))*Z1154,2),0)</f>
        <v>1.64</v>
      </c>
    </row>
    <row r="1155" customFormat="false" ht="15" hidden="false" customHeight="false" outlineLevel="0" collapsed="false">
      <c r="A1155" s="0" t="s">
        <v>243</v>
      </c>
      <c r="B1155" s="0" t="s">
        <v>244</v>
      </c>
      <c r="C1155" s="0" t="s">
        <v>30</v>
      </c>
      <c r="D1155" s="0" t="s">
        <v>189</v>
      </c>
      <c r="E1155" s="0" t="n">
        <v>14</v>
      </c>
      <c r="F1155" s="0" t="s">
        <v>68</v>
      </c>
      <c r="G1155" s="0" t="s">
        <v>51</v>
      </c>
      <c r="H1155" s="0" t="s">
        <v>51</v>
      </c>
      <c r="I1155" s="0" t="s">
        <v>34</v>
      </c>
      <c r="J1155" s="0" t="n">
        <v>2.14</v>
      </c>
      <c r="K1155" s="0" t="s">
        <v>60</v>
      </c>
      <c r="L1155" s="0" t="n">
        <f aca="false">INDEX(Summary!$F$2:$F$201,MATCH($B1155,Summary!$A$2:$A$201,0))</f>
        <v>20</v>
      </c>
      <c r="M1155" s="0" t="n">
        <f aca="false">INDEX(Summary!$I$2:$I$201,MATCH($B1155,Summary!$A$2:$A$201,0))</f>
        <v>4</v>
      </c>
      <c r="N1155" s="0" t="n">
        <f aca="false">INDEX(Summary!$J$2:$J$201,MATCH($B1155,Summary!$A$2:$A$201,0))</f>
        <v>1</v>
      </c>
      <c r="O1155" s="2" t="n">
        <f aca="false">INDEX(Summary!$K$2:$K$201,MATCH($B1155,Summary!$A$2:$A$201,0))</f>
        <v>10.79</v>
      </c>
      <c r="P1155" s="3" t="n">
        <f aca="false">INDEX(Summary!$L$2:$L$201,MATCH($B1155,Summary!$A$2:$A$201,0))</f>
        <v>4</v>
      </c>
      <c r="Q1155" s="3" t="n">
        <f aca="false">INDEX(Summary!$M$2:$M$201,MATCH($B1155,Summary!$A$2:$A$201,0))</f>
        <v>2</v>
      </c>
      <c r="R1155" s="2" t="n">
        <f aca="false">INDEX(Summary!$N$2:$N$201,MATCH($B1155,Summary!$A$2:$A$201,0))</f>
        <v>10.23</v>
      </c>
      <c r="S1155" s="3" t="n">
        <f aca="false">INDEX(Summary!$O$2:$O$201,MATCH($B1155,Summary!$A$2:$A$201,0))</f>
        <v>8</v>
      </c>
      <c r="T1155" s="3" t="n">
        <f aca="false">INDEX(Summary!$P$2:$P$201,MATCH($B1155,Summary!$A$2:$A$201,0))</f>
        <v>1</v>
      </c>
      <c r="U1155" s="2" t="n">
        <f aca="false">INDEX(Summary!$Q$2:$Q$201,MATCH($B1155,Summary!$A$2:$A$201,0))</f>
        <v>12.94</v>
      </c>
      <c r="V1155" s="2" t="n">
        <f aca="false">INDEX(Summary!$R$2:$R$201,MATCH($B1155,Summary!$A$2:$A$201,0))</f>
        <v>31.33</v>
      </c>
      <c r="W1155" s="0" t="str">
        <f aca="false">INDEX(Summary!$S$2:$S$201,MATCH($B1155,Summary!$A$2:$A$201,0))</f>
        <v>Gold</v>
      </c>
      <c r="X1155" s="2" t="n">
        <f aca="false">INDEX(Summary!$T$2:$T$201,MATCH($B1155,Summary!$A$2:$A$201,0))</f>
        <v>76.41</v>
      </c>
      <c r="Y1155" s="0" t="str">
        <f aca="false">INDEX('Reward Model'!$E$18:$E$37,MATCH($E1155,'Reward Model'!$A$18:$A$37,0))</f>
        <v>Medium</v>
      </c>
      <c r="Z1155" s="4" t="n">
        <f aca="false">ROUND(MIN(1,MAX('Reward Model'!$B$2,INDEX('Reward Model'!$C$12:$C$14,MATCH($K1155,'Reward Model'!$A$12:$A$14,0))/$J1155)),3)</f>
        <v>0.841</v>
      </c>
      <c r="AA1155" s="2" t="n">
        <f aca="false">IF($I1155="Correct",ROUND(INDEX('Reward Model'!$B$12:$B$14,MATCH($K1155,'Reward Model'!$A$12:$A$14,0))*Z1155,2),0)</f>
        <v>1.68</v>
      </c>
      <c r="AB1155" s="2" t="n">
        <f aca="false">IF($I1155="Correct",ROUND(INDEX('Reward Model'!$B$12:$B$14,MATCH($Y1155,'Reward Model'!$A$12:$A$14,0))*Z1155,2),0)</f>
        <v>1.68</v>
      </c>
    </row>
    <row r="1156" customFormat="false" ht="15" hidden="false" customHeight="false" outlineLevel="0" collapsed="false">
      <c r="A1156" s="0" t="s">
        <v>243</v>
      </c>
      <c r="B1156" s="0" t="s">
        <v>244</v>
      </c>
      <c r="C1156" s="0" t="s">
        <v>30</v>
      </c>
      <c r="D1156" s="0" t="s">
        <v>189</v>
      </c>
      <c r="E1156" s="0" t="n">
        <v>15</v>
      </c>
      <c r="F1156" s="0" t="s">
        <v>69</v>
      </c>
      <c r="G1156" s="0" t="s">
        <v>131</v>
      </c>
      <c r="H1156" s="0" t="s">
        <v>70</v>
      </c>
      <c r="I1156" s="0" t="s">
        <v>39</v>
      </c>
      <c r="J1156" s="0" t="n">
        <v>1.36</v>
      </c>
      <c r="K1156" s="0" t="s">
        <v>60</v>
      </c>
      <c r="L1156" s="0" t="n">
        <f aca="false">INDEX(Summary!$F$2:$F$201,MATCH($B1156,Summary!$A$2:$A$201,0))</f>
        <v>20</v>
      </c>
      <c r="M1156" s="0" t="n">
        <f aca="false">INDEX(Summary!$I$2:$I$201,MATCH($B1156,Summary!$A$2:$A$201,0))</f>
        <v>4</v>
      </c>
      <c r="N1156" s="0" t="n">
        <f aca="false">INDEX(Summary!$J$2:$J$201,MATCH($B1156,Summary!$A$2:$A$201,0))</f>
        <v>1</v>
      </c>
      <c r="O1156" s="2" t="n">
        <f aca="false">INDEX(Summary!$K$2:$K$201,MATCH($B1156,Summary!$A$2:$A$201,0))</f>
        <v>10.79</v>
      </c>
      <c r="P1156" s="3" t="n">
        <f aca="false">INDEX(Summary!$L$2:$L$201,MATCH($B1156,Summary!$A$2:$A$201,0))</f>
        <v>4</v>
      </c>
      <c r="Q1156" s="3" t="n">
        <f aca="false">INDEX(Summary!$M$2:$M$201,MATCH($B1156,Summary!$A$2:$A$201,0))</f>
        <v>2</v>
      </c>
      <c r="R1156" s="2" t="n">
        <f aca="false">INDEX(Summary!$N$2:$N$201,MATCH($B1156,Summary!$A$2:$A$201,0))</f>
        <v>10.23</v>
      </c>
      <c r="S1156" s="3" t="n">
        <f aca="false">INDEX(Summary!$O$2:$O$201,MATCH($B1156,Summary!$A$2:$A$201,0))</f>
        <v>8</v>
      </c>
      <c r="T1156" s="3" t="n">
        <f aca="false">INDEX(Summary!$P$2:$P$201,MATCH($B1156,Summary!$A$2:$A$201,0))</f>
        <v>1</v>
      </c>
      <c r="U1156" s="2" t="n">
        <f aca="false">INDEX(Summary!$Q$2:$Q$201,MATCH($B1156,Summary!$A$2:$A$201,0))</f>
        <v>12.94</v>
      </c>
      <c r="V1156" s="2" t="n">
        <f aca="false">INDEX(Summary!$R$2:$R$201,MATCH($B1156,Summary!$A$2:$A$201,0))</f>
        <v>31.33</v>
      </c>
      <c r="W1156" s="0" t="str">
        <f aca="false">INDEX(Summary!$S$2:$S$201,MATCH($B1156,Summary!$A$2:$A$201,0))</f>
        <v>Gold</v>
      </c>
      <c r="X1156" s="2" t="n">
        <f aca="false">INDEX(Summary!$T$2:$T$201,MATCH($B1156,Summary!$A$2:$A$201,0))</f>
        <v>76.41</v>
      </c>
      <c r="Y1156" s="0" t="str">
        <f aca="false">INDEX('Reward Model'!$E$18:$E$37,MATCH($E1156,'Reward Model'!$A$18:$A$37,0))</f>
        <v>Medium</v>
      </c>
      <c r="Z1156" s="4" t="n">
        <f aca="false">ROUND(MIN(1,MAX('Reward Model'!$B$2,INDEX('Reward Model'!$C$12:$C$14,MATCH($K1156,'Reward Model'!$A$12:$A$14,0))/$J1156)),3)</f>
        <v>1</v>
      </c>
      <c r="AA1156" s="2" t="n">
        <f aca="false">IF($I1156="Correct",ROUND(INDEX('Reward Model'!$B$12:$B$14,MATCH($K1156,'Reward Model'!$A$12:$A$14,0))*Z1156,2),0)</f>
        <v>0</v>
      </c>
      <c r="AB1156" s="2" t="n">
        <f aca="false">IF($I1156="Correct",ROUND(INDEX('Reward Model'!$B$12:$B$14,MATCH($Y1156,'Reward Model'!$A$12:$A$14,0))*Z1156,2),0)</f>
        <v>0</v>
      </c>
    </row>
    <row r="1157" customFormat="false" ht="15" hidden="false" customHeight="false" outlineLevel="0" collapsed="false">
      <c r="A1157" s="0" t="s">
        <v>243</v>
      </c>
      <c r="B1157" s="0" t="s">
        <v>244</v>
      </c>
      <c r="C1157" s="0" t="s">
        <v>30</v>
      </c>
      <c r="D1157" s="0" t="s">
        <v>189</v>
      </c>
      <c r="E1157" s="0" t="n">
        <v>16</v>
      </c>
      <c r="F1157" s="0" t="s">
        <v>71</v>
      </c>
      <c r="G1157" s="0" t="s">
        <v>72</v>
      </c>
      <c r="H1157" s="0" t="s">
        <v>72</v>
      </c>
      <c r="I1157" s="0" t="s">
        <v>34</v>
      </c>
      <c r="J1157" s="0" t="n">
        <v>2.59</v>
      </c>
      <c r="K1157" s="0" t="s">
        <v>73</v>
      </c>
      <c r="L1157" s="0" t="n">
        <f aca="false">INDEX(Summary!$F$2:$F$201,MATCH($B1157,Summary!$A$2:$A$201,0))</f>
        <v>20</v>
      </c>
      <c r="M1157" s="0" t="n">
        <f aca="false">INDEX(Summary!$I$2:$I$201,MATCH($B1157,Summary!$A$2:$A$201,0))</f>
        <v>4</v>
      </c>
      <c r="N1157" s="0" t="n">
        <f aca="false">INDEX(Summary!$J$2:$J$201,MATCH($B1157,Summary!$A$2:$A$201,0))</f>
        <v>1</v>
      </c>
      <c r="O1157" s="2" t="n">
        <f aca="false">INDEX(Summary!$K$2:$K$201,MATCH($B1157,Summary!$A$2:$A$201,0))</f>
        <v>10.79</v>
      </c>
      <c r="P1157" s="3" t="n">
        <f aca="false">INDEX(Summary!$L$2:$L$201,MATCH($B1157,Summary!$A$2:$A$201,0))</f>
        <v>4</v>
      </c>
      <c r="Q1157" s="3" t="n">
        <f aca="false">INDEX(Summary!$M$2:$M$201,MATCH($B1157,Summary!$A$2:$A$201,0))</f>
        <v>2</v>
      </c>
      <c r="R1157" s="2" t="n">
        <f aca="false">INDEX(Summary!$N$2:$N$201,MATCH($B1157,Summary!$A$2:$A$201,0))</f>
        <v>10.23</v>
      </c>
      <c r="S1157" s="3" t="n">
        <f aca="false">INDEX(Summary!$O$2:$O$201,MATCH($B1157,Summary!$A$2:$A$201,0))</f>
        <v>8</v>
      </c>
      <c r="T1157" s="3" t="n">
        <f aca="false">INDEX(Summary!$P$2:$P$201,MATCH($B1157,Summary!$A$2:$A$201,0))</f>
        <v>1</v>
      </c>
      <c r="U1157" s="2" t="n">
        <f aca="false">INDEX(Summary!$Q$2:$Q$201,MATCH($B1157,Summary!$A$2:$A$201,0))</f>
        <v>12.94</v>
      </c>
      <c r="V1157" s="2" t="n">
        <f aca="false">INDEX(Summary!$R$2:$R$201,MATCH($B1157,Summary!$A$2:$A$201,0))</f>
        <v>31.33</v>
      </c>
      <c r="W1157" s="0" t="str">
        <f aca="false">INDEX(Summary!$S$2:$S$201,MATCH($B1157,Summary!$A$2:$A$201,0))</f>
        <v>Gold</v>
      </c>
      <c r="X1157" s="2" t="n">
        <f aca="false">INDEX(Summary!$T$2:$T$201,MATCH($B1157,Summary!$A$2:$A$201,0))</f>
        <v>76.41</v>
      </c>
      <c r="Y1157" s="0" t="str">
        <f aca="false">INDEX('Reward Model'!$E$18:$E$37,MATCH($E1157,'Reward Model'!$A$18:$A$37,0))</f>
        <v>High</v>
      </c>
      <c r="Z1157" s="4" t="n">
        <f aca="false">ROUND(MIN(1,MAX('Reward Model'!$B$2,INDEX('Reward Model'!$C$12:$C$14,MATCH($K1157,'Reward Model'!$A$12:$A$14,0))/$J1157)),3)</f>
        <v>0.772</v>
      </c>
      <c r="AA1157" s="2" t="n">
        <f aca="false">IF($I1157="Correct",ROUND(INDEX('Reward Model'!$B$12:$B$14,MATCH($K1157,'Reward Model'!$A$12:$A$14,0))*Z1157,2),0)</f>
        <v>2.32</v>
      </c>
      <c r="AB1157" s="2" t="n">
        <f aca="false">IF($I1157="Correct",ROUND(INDEX('Reward Model'!$B$12:$B$14,MATCH($Y1157,'Reward Model'!$A$12:$A$14,0))*Z1157,2),0)</f>
        <v>2.32</v>
      </c>
    </row>
    <row r="1158" customFormat="false" ht="15" hidden="false" customHeight="false" outlineLevel="0" collapsed="false">
      <c r="A1158" s="0" t="s">
        <v>243</v>
      </c>
      <c r="B1158" s="0" t="s">
        <v>244</v>
      </c>
      <c r="C1158" s="0" t="s">
        <v>30</v>
      </c>
      <c r="D1158" s="0" t="s">
        <v>189</v>
      </c>
      <c r="E1158" s="0" t="n">
        <v>17</v>
      </c>
      <c r="F1158" s="0" t="s">
        <v>74</v>
      </c>
      <c r="G1158" s="0" t="s">
        <v>75</v>
      </c>
      <c r="H1158" s="0" t="s">
        <v>75</v>
      </c>
      <c r="I1158" s="0" t="s">
        <v>34</v>
      </c>
      <c r="J1158" s="0" t="n">
        <v>1.63</v>
      </c>
      <c r="K1158" s="0" t="s">
        <v>73</v>
      </c>
      <c r="L1158" s="0" t="n">
        <f aca="false">INDEX(Summary!$F$2:$F$201,MATCH($B1158,Summary!$A$2:$A$201,0))</f>
        <v>20</v>
      </c>
      <c r="M1158" s="0" t="n">
        <f aca="false">INDEX(Summary!$I$2:$I$201,MATCH($B1158,Summary!$A$2:$A$201,0))</f>
        <v>4</v>
      </c>
      <c r="N1158" s="0" t="n">
        <f aca="false">INDEX(Summary!$J$2:$J$201,MATCH($B1158,Summary!$A$2:$A$201,0))</f>
        <v>1</v>
      </c>
      <c r="O1158" s="2" t="n">
        <f aca="false">INDEX(Summary!$K$2:$K$201,MATCH($B1158,Summary!$A$2:$A$201,0))</f>
        <v>10.79</v>
      </c>
      <c r="P1158" s="3" t="n">
        <f aca="false">INDEX(Summary!$L$2:$L$201,MATCH($B1158,Summary!$A$2:$A$201,0))</f>
        <v>4</v>
      </c>
      <c r="Q1158" s="3" t="n">
        <f aca="false">INDEX(Summary!$M$2:$M$201,MATCH($B1158,Summary!$A$2:$A$201,0))</f>
        <v>2</v>
      </c>
      <c r="R1158" s="2" t="n">
        <f aca="false">INDEX(Summary!$N$2:$N$201,MATCH($B1158,Summary!$A$2:$A$201,0))</f>
        <v>10.23</v>
      </c>
      <c r="S1158" s="3" t="n">
        <f aca="false">INDEX(Summary!$O$2:$O$201,MATCH($B1158,Summary!$A$2:$A$201,0))</f>
        <v>8</v>
      </c>
      <c r="T1158" s="3" t="n">
        <f aca="false">INDEX(Summary!$P$2:$P$201,MATCH($B1158,Summary!$A$2:$A$201,0))</f>
        <v>1</v>
      </c>
      <c r="U1158" s="2" t="n">
        <f aca="false">INDEX(Summary!$Q$2:$Q$201,MATCH($B1158,Summary!$A$2:$A$201,0))</f>
        <v>12.94</v>
      </c>
      <c r="V1158" s="2" t="n">
        <f aca="false">INDEX(Summary!$R$2:$R$201,MATCH($B1158,Summary!$A$2:$A$201,0))</f>
        <v>31.33</v>
      </c>
      <c r="W1158" s="0" t="str">
        <f aca="false">INDEX(Summary!$S$2:$S$201,MATCH($B1158,Summary!$A$2:$A$201,0))</f>
        <v>Gold</v>
      </c>
      <c r="X1158" s="2" t="n">
        <f aca="false">INDEX(Summary!$T$2:$T$201,MATCH($B1158,Summary!$A$2:$A$201,0))</f>
        <v>76.41</v>
      </c>
      <c r="Y1158" s="0" t="str">
        <f aca="false">INDEX('Reward Model'!$E$18:$E$37,MATCH($E1158,'Reward Model'!$A$18:$A$37,0))</f>
        <v>High</v>
      </c>
      <c r="Z1158" s="4" t="n">
        <f aca="false">ROUND(MIN(1,MAX('Reward Model'!$B$2,INDEX('Reward Model'!$C$12:$C$14,MATCH($K1158,'Reward Model'!$A$12:$A$14,0))/$J1158)),3)</f>
        <v>1</v>
      </c>
      <c r="AA1158" s="2" t="n">
        <f aca="false">IF($I1158="Correct",ROUND(INDEX('Reward Model'!$B$12:$B$14,MATCH($K1158,'Reward Model'!$A$12:$A$14,0))*Z1158,2),0)</f>
        <v>3</v>
      </c>
      <c r="AB1158" s="2" t="n">
        <f aca="false">IF($I1158="Correct",ROUND(INDEX('Reward Model'!$B$12:$B$14,MATCH($Y1158,'Reward Model'!$A$12:$A$14,0))*Z1158,2),0)</f>
        <v>3</v>
      </c>
    </row>
    <row r="1159" customFormat="false" ht="15" hidden="false" customHeight="false" outlineLevel="0" collapsed="false">
      <c r="A1159" s="0" t="s">
        <v>243</v>
      </c>
      <c r="B1159" s="0" t="s">
        <v>244</v>
      </c>
      <c r="C1159" s="0" t="s">
        <v>30</v>
      </c>
      <c r="D1159" s="0" t="s">
        <v>189</v>
      </c>
      <c r="E1159" s="0" t="n">
        <v>18</v>
      </c>
      <c r="F1159" s="0" t="s">
        <v>76</v>
      </c>
      <c r="G1159" s="0" t="s">
        <v>77</v>
      </c>
      <c r="H1159" s="0" t="s">
        <v>77</v>
      </c>
      <c r="I1159" s="0" t="s">
        <v>34</v>
      </c>
      <c r="J1159" s="0" t="n">
        <v>2.07</v>
      </c>
      <c r="K1159" s="0" t="s">
        <v>73</v>
      </c>
      <c r="L1159" s="0" t="n">
        <f aca="false">INDEX(Summary!$F$2:$F$201,MATCH($B1159,Summary!$A$2:$A$201,0))</f>
        <v>20</v>
      </c>
      <c r="M1159" s="0" t="n">
        <f aca="false">INDEX(Summary!$I$2:$I$201,MATCH($B1159,Summary!$A$2:$A$201,0))</f>
        <v>4</v>
      </c>
      <c r="N1159" s="0" t="n">
        <f aca="false">INDEX(Summary!$J$2:$J$201,MATCH($B1159,Summary!$A$2:$A$201,0))</f>
        <v>1</v>
      </c>
      <c r="O1159" s="2" t="n">
        <f aca="false">INDEX(Summary!$K$2:$K$201,MATCH($B1159,Summary!$A$2:$A$201,0))</f>
        <v>10.79</v>
      </c>
      <c r="P1159" s="3" t="n">
        <f aca="false">INDEX(Summary!$L$2:$L$201,MATCH($B1159,Summary!$A$2:$A$201,0))</f>
        <v>4</v>
      </c>
      <c r="Q1159" s="3" t="n">
        <f aca="false">INDEX(Summary!$M$2:$M$201,MATCH($B1159,Summary!$A$2:$A$201,0))</f>
        <v>2</v>
      </c>
      <c r="R1159" s="2" t="n">
        <f aca="false">INDEX(Summary!$N$2:$N$201,MATCH($B1159,Summary!$A$2:$A$201,0))</f>
        <v>10.23</v>
      </c>
      <c r="S1159" s="3" t="n">
        <f aca="false">INDEX(Summary!$O$2:$O$201,MATCH($B1159,Summary!$A$2:$A$201,0))</f>
        <v>8</v>
      </c>
      <c r="T1159" s="3" t="n">
        <f aca="false">INDEX(Summary!$P$2:$P$201,MATCH($B1159,Summary!$A$2:$A$201,0))</f>
        <v>1</v>
      </c>
      <c r="U1159" s="2" t="n">
        <f aca="false">INDEX(Summary!$Q$2:$Q$201,MATCH($B1159,Summary!$A$2:$A$201,0))</f>
        <v>12.94</v>
      </c>
      <c r="V1159" s="2" t="n">
        <f aca="false">INDEX(Summary!$R$2:$R$201,MATCH($B1159,Summary!$A$2:$A$201,0))</f>
        <v>31.33</v>
      </c>
      <c r="W1159" s="0" t="str">
        <f aca="false">INDEX(Summary!$S$2:$S$201,MATCH($B1159,Summary!$A$2:$A$201,0))</f>
        <v>Gold</v>
      </c>
      <c r="X1159" s="2" t="n">
        <f aca="false">INDEX(Summary!$T$2:$T$201,MATCH($B1159,Summary!$A$2:$A$201,0))</f>
        <v>76.41</v>
      </c>
      <c r="Y1159" s="0" t="str">
        <f aca="false">INDEX('Reward Model'!$E$18:$E$37,MATCH($E1159,'Reward Model'!$A$18:$A$37,0))</f>
        <v>High</v>
      </c>
      <c r="Z1159" s="4" t="n">
        <f aca="false">ROUND(MIN(1,MAX('Reward Model'!$B$2,INDEX('Reward Model'!$C$12:$C$14,MATCH($K1159,'Reward Model'!$A$12:$A$14,0))/$J1159)),3)</f>
        <v>0.966</v>
      </c>
      <c r="AA1159" s="2" t="n">
        <f aca="false">IF($I1159="Correct",ROUND(INDEX('Reward Model'!$B$12:$B$14,MATCH($K1159,'Reward Model'!$A$12:$A$14,0))*Z1159,2),0)</f>
        <v>2.9</v>
      </c>
      <c r="AB1159" s="2" t="n">
        <f aca="false">IF($I1159="Correct",ROUND(INDEX('Reward Model'!$B$12:$B$14,MATCH($Y1159,'Reward Model'!$A$12:$A$14,0))*Z1159,2),0)</f>
        <v>2.9</v>
      </c>
    </row>
    <row r="1160" customFormat="false" ht="15" hidden="false" customHeight="false" outlineLevel="0" collapsed="false">
      <c r="A1160" s="0" t="s">
        <v>243</v>
      </c>
      <c r="B1160" s="0" t="s">
        <v>244</v>
      </c>
      <c r="C1160" s="0" t="s">
        <v>30</v>
      </c>
      <c r="D1160" s="0" t="s">
        <v>189</v>
      </c>
      <c r="E1160" s="0" t="n">
        <v>19</v>
      </c>
      <c r="F1160" s="0" t="s">
        <v>78</v>
      </c>
      <c r="G1160" s="0" t="s">
        <v>79</v>
      </c>
      <c r="H1160" s="0" t="s">
        <v>80</v>
      </c>
      <c r="I1160" s="0" t="s">
        <v>39</v>
      </c>
      <c r="J1160" s="0" t="n">
        <v>2.47</v>
      </c>
      <c r="K1160" s="0" t="s">
        <v>73</v>
      </c>
      <c r="L1160" s="0" t="n">
        <f aca="false">INDEX(Summary!$F$2:$F$201,MATCH($B1160,Summary!$A$2:$A$201,0))</f>
        <v>20</v>
      </c>
      <c r="M1160" s="0" t="n">
        <f aca="false">INDEX(Summary!$I$2:$I$201,MATCH($B1160,Summary!$A$2:$A$201,0))</f>
        <v>4</v>
      </c>
      <c r="N1160" s="0" t="n">
        <f aca="false">INDEX(Summary!$J$2:$J$201,MATCH($B1160,Summary!$A$2:$A$201,0))</f>
        <v>1</v>
      </c>
      <c r="O1160" s="2" t="n">
        <f aca="false">INDEX(Summary!$K$2:$K$201,MATCH($B1160,Summary!$A$2:$A$201,0))</f>
        <v>10.79</v>
      </c>
      <c r="P1160" s="3" t="n">
        <f aca="false">INDEX(Summary!$L$2:$L$201,MATCH($B1160,Summary!$A$2:$A$201,0))</f>
        <v>4</v>
      </c>
      <c r="Q1160" s="3" t="n">
        <f aca="false">INDEX(Summary!$M$2:$M$201,MATCH($B1160,Summary!$A$2:$A$201,0))</f>
        <v>2</v>
      </c>
      <c r="R1160" s="2" t="n">
        <f aca="false">INDEX(Summary!$N$2:$N$201,MATCH($B1160,Summary!$A$2:$A$201,0))</f>
        <v>10.23</v>
      </c>
      <c r="S1160" s="3" t="n">
        <f aca="false">INDEX(Summary!$O$2:$O$201,MATCH($B1160,Summary!$A$2:$A$201,0))</f>
        <v>8</v>
      </c>
      <c r="T1160" s="3" t="n">
        <f aca="false">INDEX(Summary!$P$2:$P$201,MATCH($B1160,Summary!$A$2:$A$201,0))</f>
        <v>1</v>
      </c>
      <c r="U1160" s="2" t="n">
        <f aca="false">INDEX(Summary!$Q$2:$Q$201,MATCH($B1160,Summary!$A$2:$A$201,0))</f>
        <v>12.94</v>
      </c>
      <c r="V1160" s="2" t="n">
        <f aca="false">INDEX(Summary!$R$2:$R$201,MATCH($B1160,Summary!$A$2:$A$201,0))</f>
        <v>31.33</v>
      </c>
      <c r="W1160" s="0" t="str">
        <f aca="false">INDEX(Summary!$S$2:$S$201,MATCH($B1160,Summary!$A$2:$A$201,0))</f>
        <v>Gold</v>
      </c>
      <c r="X1160" s="2" t="n">
        <f aca="false">INDEX(Summary!$T$2:$T$201,MATCH($B1160,Summary!$A$2:$A$201,0))</f>
        <v>76.41</v>
      </c>
      <c r="Y1160" s="0" t="str">
        <f aca="false">INDEX('Reward Model'!$E$18:$E$37,MATCH($E1160,'Reward Model'!$A$18:$A$37,0))</f>
        <v>High</v>
      </c>
      <c r="Z1160" s="4" t="n">
        <f aca="false">ROUND(MIN(1,MAX('Reward Model'!$B$2,INDEX('Reward Model'!$C$12:$C$14,MATCH($K1160,'Reward Model'!$A$12:$A$14,0))/$J1160)),3)</f>
        <v>0.81</v>
      </c>
      <c r="AA1160" s="2" t="n">
        <f aca="false">IF($I1160="Correct",ROUND(INDEX('Reward Model'!$B$12:$B$14,MATCH($K1160,'Reward Model'!$A$12:$A$14,0))*Z1160,2),0)</f>
        <v>0</v>
      </c>
      <c r="AB1160" s="2" t="n">
        <f aca="false">IF($I1160="Correct",ROUND(INDEX('Reward Model'!$B$12:$B$14,MATCH($Y1160,'Reward Model'!$A$12:$A$14,0))*Z1160,2),0)</f>
        <v>0</v>
      </c>
    </row>
    <row r="1161" customFormat="false" ht="15" hidden="false" customHeight="false" outlineLevel="0" collapsed="false">
      <c r="A1161" s="0" t="s">
        <v>243</v>
      </c>
      <c r="B1161" s="0" t="s">
        <v>244</v>
      </c>
      <c r="C1161" s="0" t="s">
        <v>30</v>
      </c>
      <c r="D1161" s="0" t="s">
        <v>189</v>
      </c>
      <c r="E1161" s="0" t="n">
        <v>20</v>
      </c>
      <c r="F1161" s="0" t="s">
        <v>81</v>
      </c>
      <c r="G1161" s="0" t="s">
        <v>83</v>
      </c>
      <c r="H1161" s="0" t="s">
        <v>83</v>
      </c>
      <c r="I1161" s="0" t="s">
        <v>34</v>
      </c>
      <c r="J1161" s="0" t="n">
        <v>2.03</v>
      </c>
      <c r="K1161" s="0" t="s">
        <v>73</v>
      </c>
      <c r="L1161" s="0" t="n">
        <f aca="false">INDEX(Summary!$F$2:$F$201,MATCH($B1161,Summary!$A$2:$A$201,0))</f>
        <v>20</v>
      </c>
      <c r="M1161" s="0" t="n">
        <f aca="false">INDEX(Summary!$I$2:$I$201,MATCH($B1161,Summary!$A$2:$A$201,0))</f>
        <v>4</v>
      </c>
      <c r="N1161" s="0" t="n">
        <f aca="false">INDEX(Summary!$J$2:$J$201,MATCH($B1161,Summary!$A$2:$A$201,0))</f>
        <v>1</v>
      </c>
      <c r="O1161" s="2" t="n">
        <f aca="false">INDEX(Summary!$K$2:$K$201,MATCH($B1161,Summary!$A$2:$A$201,0))</f>
        <v>10.79</v>
      </c>
      <c r="P1161" s="3" t="n">
        <f aca="false">INDEX(Summary!$L$2:$L$201,MATCH($B1161,Summary!$A$2:$A$201,0))</f>
        <v>4</v>
      </c>
      <c r="Q1161" s="3" t="n">
        <f aca="false">INDEX(Summary!$M$2:$M$201,MATCH($B1161,Summary!$A$2:$A$201,0))</f>
        <v>2</v>
      </c>
      <c r="R1161" s="2" t="n">
        <f aca="false">INDEX(Summary!$N$2:$N$201,MATCH($B1161,Summary!$A$2:$A$201,0))</f>
        <v>10.23</v>
      </c>
      <c r="S1161" s="3" t="n">
        <f aca="false">INDEX(Summary!$O$2:$O$201,MATCH($B1161,Summary!$A$2:$A$201,0))</f>
        <v>8</v>
      </c>
      <c r="T1161" s="3" t="n">
        <f aca="false">INDEX(Summary!$P$2:$P$201,MATCH($B1161,Summary!$A$2:$A$201,0))</f>
        <v>1</v>
      </c>
      <c r="U1161" s="2" t="n">
        <f aca="false">INDEX(Summary!$Q$2:$Q$201,MATCH($B1161,Summary!$A$2:$A$201,0))</f>
        <v>12.94</v>
      </c>
      <c r="V1161" s="2" t="n">
        <f aca="false">INDEX(Summary!$R$2:$R$201,MATCH($B1161,Summary!$A$2:$A$201,0))</f>
        <v>31.33</v>
      </c>
      <c r="W1161" s="0" t="str">
        <f aca="false">INDEX(Summary!$S$2:$S$201,MATCH($B1161,Summary!$A$2:$A$201,0))</f>
        <v>Gold</v>
      </c>
      <c r="X1161" s="2" t="n">
        <f aca="false">INDEX(Summary!$T$2:$T$201,MATCH($B1161,Summary!$A$2:$A$201,0))</f>
        <v>76.41</v>
      </c>
      <c r="Y1161" s="0" t="str">
        <f aca="false">INDEX('Reward Model'!$E$18:$E$37,MATCH($E1161,'Reward Model'!$A$18:$A$37,0))</f>
        <v>High</v>
      </c>
      <c r="Z1161" s="4" t="n">
        <f aca="false">ROUND(MIN(1,MAX('Reward Model'!$B$2,INDEX('Reward Model'!$C$12:$C$14,MATCH($K1161,'Reward Model'!$A$12:$A$14,0))/$J1161)),3)</f>
        <v>0.985</v>
      </c>
      <c r="AA1161" s="2" t="n">
        <f aca="false">IF($I1161="Correct",ROUND(INDEX('Reward Model'!$B$12:$B$14,MATCH($K1161,'Reward Model'!$A$12:$A$14,0))*Z1161,2),0)</f>
        <v>2.96</v>
      </c>
      <c r="AB1161" s="2" t="n">
        <f aca="false">IF($I1161="Correct",ROUND(INDEX('Reward Model'!$B$12:$B$14,MATCH($Y1161,'Reward Model'!$A$12:$A$14,0))*Z1161,2),0)</f>
        <v>2.96</v>
      </c>
    </row>
    <row r="1162" customFormat="false" ht="15" hidden="false" customHeight="false" outlineLevel="0" collapsed="false">
      <c r="A1162" s="0" t="s">
        <v>245</v>
      </c>
      <c r="B1162" s="0" t="s">
        <v>246</v>
      </c>
      <c r="C1162" s="0" t="s">
        <v>30</v>
      </c>
      <c r="D1162" s="0" t="s">
        <v>189</v>
      </c>
      <c r="E1162" s="0" t="n">
        <v>1</v>
      </c>
      <c r="F1162" s="0" t="s">
        <v>32</v>
      </c>
      <c r="G1162" s="0" t="s">
        <v>33</v>
      </c>
      <c r="H1162" s="0" t="s">
        <v>33</v>
      </c>
      <c r="I1162" s="0" t="s">
        <v>34</v>
      </c>
      <c r="J1162" s="0" t="n">
        <v>0.96</v>
      </c>
      <c r="K1162" s="0" t="s">
        <v>35</v>
      </c>
      <c r="L1162" s="0" t="n">
        <f aca="false">INDEX(Summary!$F$2:$F$201,MATCH($B1162,Summary!$A$2:$A$201,0))</f>
        <v>20</v>
      </c>
      <c r="M1162" s="0" t="n">
        <f aca="false">INDEX(Summary!$I$2:$I$201,MATCH($B1162,Summary!$A$2:$A$201,0))</f>
        <v>4</v>
      </c>
      <c r="N1162" s="0" t="n">
        <f aca="false">INDEX(Summary!$J$2:$J$201,MATCH($B1162,Summary!$A$2:$A$201,0))</f>
        <v>1</v>
      </c>
      <c r="O1162" s="2" t="n">
        <f aca="false">INDEX(Summary!$K$2:$K$201,MATCH($B1162,Summary!$A$2:$A$201,0))</f>
        <v>9.61</v>
      </c>
      <c r="P1162" s="3" t="n">
        <f aca="false">INDEX(Summary!$L$2:$L$201,MATCH($B1162,Summary!$A$2:$A$201,0))</f>
        <v>5</v>
      </c>
      <c r="Q1162" s="3" t="n">
        <f aca="false">INDEX(Summary!$M$2:$M$201,MATCH($B1162,Summary!$A$2:$A$201,0))</f>
        <v>1</v>
      </c>
      <c r="R1162" s="2" t="n">
        <f aca="false">INDEX(Summary!$N$2:$N$201,MATCH($B1162,Summary!$A$2:$A$201,0))</f>
        <v>9.25</v>
      </c>
      <c r="S1162" s="3" t="n">
        <f aca="false">INDEX(Summary!$O$2:$O$201,MATCH($B1162,Summary!$A$2:$A$201,0))</f>
        <v>8</v>
      </c>
      <c r="T1162" s="3" t="n">
        <f aca="false">INDEX(Summary!$P$2:$P$201,MATCH($B1162,Summary!$A$2:$A$201,0))</f>
        <v>1</v>
      </c>
      <c r="U1162" s="2" t="n">
        <f aca="false">INDEX(Summary!$Q$2:$Q$201,MATCH($B1162,Summary!$A$2:$A$201,0))</f>
        <v>10.25</v>
      </c>
      <c r="V1162" s="2" t="n">
        <f aca="false">INDEX(Summary!$R$2:$R$201,MATCH($B1162,Summary!$A$2:$A$201,0))</f>
        <v>32.85</v>
      </c>
      <c r="W1162" s="0" t="str">
        <f aca="false">INDEX(Summary!$S$2:$S$201,MATCH($B1162,Summary!$A$2:$A$201,0))</f>
        <v>Gold</v>
      </c>
      <c r="X1162" s="2" t="n">
        <f aca="false">INDEX(Summary!$T$2:$T$201,MATCH($B1162,Summary!$A$2:$A$201,0))</f>
        <v>80.12</v>
      </c>
      <c r="Y1162" s="0" t="str">
        <f aca="false">INDEX('Reward Model'!$E$18:$E$37,MATCH($E1162,'Reward Model'!$A$18:$A$37,0))</f>
        <v>Medium</v>
      </c>
      <c r="Z1162" s="4" t="n">
        <f aca="false">ROUND(MIN(1,MAX('Reward Model'!$B$2,INDEX('Reward Model'!$C$12:$C$14,MATCH($K1162,'Reward Model'!$A$12:$A$14,0))/$J1162)),3)</f>
        <v>1</v>
      </c>
      <c r="AA1162" s="2" t="n">
        <f aca="false">IF($I1162="Correct",ROUND(INDEX('Reward Model'!$B$12:$B$14,MATCH($K1162,'Reward Model'!$A$12:$A$14,0))*Z1162,2),0)</f>
        <v>1</v>
      </c>
      <c r="AB1162" s="2" t="n">
        <f aca="false">IF($I1162="Correct",ROUND(INDEX('Reward Model'!$B$12:$B$14,MATCH($Y1162,'Reward Model'!$A$12:$A$14,0))*Z1162,2),0)</f>
        <v>2</v>
      </c>
    </row>
    <row r="1163" customFormat="false" ht="15" hidden="false" customHeight="false" outlineLevel="0" collapsed="false">
      <c r="A1163" s="0" t="s">
        <v>245</v>
      </c>
      <c r="B1163" s="0" t="s">
        <v>246</v>
      </c>
      <c r="C1163" s="0" t="s">
        <v>30</v>
      </c>
      <c r="D1163" s="0" t="s">
        <v>189</v>
      </c>
      <c r="E1163" s="0" t="n">
        <v>2</v>
      </c>
      <c r="F1163" s="0" t="s">
        <v>36</v>
      </c>
      <c r="G1163" s="0" t="s">
        <v>38</v>
      </c>
      <c r="H1163" s="0" t="s">
        <v>38</v>
      </c>
      <c r="I1163" s="0" t="s">
        <v>34</v>
      </c>
      <c r="J1163" s="0" t="n">
        <v>1.17</v>
      </c>
      <c r="K1163" s="0" t="s">
        <v>35</v>
      </c>
      <c r="L1163" s="0" t="n">
        <f aca="false">INDEX(Summary!$F$2:$F$201,MATCH($B1163,Summary!$A$2:$A$201,0))</f>
        <v>20</v>
      </c>
      <c r="M1163" s="0" t="n">
        <f aca="false">INDEX(Summary!$I$2:$I$201,MATCH($B1163,Summary!$A$2:$A$201,0))</f>
        <v>4</v>
      </c>
      <c r="N1163" s="0" t="n">
        <f aca="false">INDEX(Summary!$J$2:$J$201,MATCH($B1163,Summary!$A$2:$A$201,0))</f>
        <v>1</v>
      </c>
      <c r="O1163" s="2" t="n">
        <f aca="false">INDEX(Summary!$K$2:$K$201,MATCH($B1163,Summary!$A$2:$A$201,0))</f>
        <v>9.61</v>
      </c>
      <c r="P1163" s="3" t="n">
        <f aca="false">INDEX(Summary!$L$2:$L$201,MATCH($B1163,Summary!$A$2:$A$201,0))</f>
        <v>5</v>
      </c>
      <c r="Q1163" s="3" t="n">
        <f aca="false">INDEX(Summary!$M$2:$M$201,MATCH($B1163,Summary!$A$2:$A$201,0))</f>
        <v>1</v>
      </c>
      <c r="R1163" s="2" t="n">
        <f aca="false">INDEX(Summary!$N$2:$N$201,MATCH($B1163,Summary!$A$2:$A$201,0))</f>
        <v>9.25</v>
      </c>
      <c r="S1163" s="3" t="n">
        <f aca="false">INDEX(Summary!$O$2:$O$201,MATCH($B1163,Summary!$A$2:$A$201,0))</f>
        <v>8</v>
      </c>
      <c r="T1163" s="3" t="n">
        <f aca="false">INDEX(Summary!$P$2:$P$201,MATCH($B1163,Summary!$A$2:$A$201,0))</f>
        <v>1</v>
      </c>
      <c r="U1163" s="2" t="n">
        <f aca="false">INDEX(Summary!$Q$2:$Q$201,MATCH($B1163,Summary!$A$2:$A$201,0))</f>
        <v>10.25</v>
      </c>
      <c r="V1163" s="2" t="n">
        <f aca="false">INDEX(Summary!$R$2:$R$201,MATCH($B1163,Summary!$A$2:$A$201,0))</f>
        <v>32.85</v>
      </c>
      <c r="W1163" s="0" t="str">
        <f aca="false">INDEX(Summary!$S$2:$S$201,MATCH($B1163,Summary!$A$2:$A$201,0))</f>
        <v>Gold</v>
      </c>
      <c r="X1163" s="2" t="n">
        <f aca="false">INDEX(Summary!$T$2:$T$201,MATCH($B1163,Summary!$A$2:$A$201,0))</f>
        <v>80.12</v>
      </c>
      <c r="Y1163" s="0" t="str">
        <f aca="false">INDEX('Reward Model'!$E$18:$E$37,MATCH($E1163,'Reward Model'!$A$18:$A$37,0))</f>
        <v>Low</v>
      </c>
      <c r="Z1163" s="4" t="n">
        <f aca="false">ROUND(MIN(1,MAX('Reward Model'!$B$2,INDEX('Reward Model'!$C$12:$C$14,MATCH($K1163,'Reward Model'!$A$12:$A$14,0))/$J1163)),3)</f>
        <v>1</v>
      </c>
      <c r="AA1163" s="2" t="n">
        <f aca="false">IF($I1163="Correct",ROUND(INDEX('Reward Model'!$B$12:$B$14,MATCH($K1163,'Reward Model'!$A$12:$A$14,0))*Z1163,2),0)</f>
        <v>1</v>
      </c>
      <c r="AB1163" s="2" t="n">
        <f aca="false">IF($I1163="Correct",ROUND(INDEX('Reward Model'!$B$12:$B$14,MATCH($Y1163,'Reward Model'!$A$12:$A$14,0))*Z1163,2),0)</f>
        <v>1</v>
      </c>
    </row>
    <row r="1164" customFormat="false" ht="15" hidden="false" customHeight="false" outlineLevel="0" collapsed="false">
      <c r="A1164" s="0" t="s">
        <v>245</v>
      </c>
      <c r="B1164" s="0" t="s">
        <v>246</v>
      </c>
      <c r="C1164" s="0" t="s">
        <v>30</v>
      </c>
      <c r="D1164" s="0" t="s">
        <v>189</v>
      </c>
      <c r="E1164" s="0" t="n">
        <v>3</v>
      </c>
      <c r="F1164" s="0" t="s">
        <v>40</v>
      </c>
      <c r="G1164" s="0" t="s">
        <v>41</v>
      </c>
      <c r="H1164" s="0" t="s">
        <v>42</v>
      </c>
      <c r="I1164" s="0" t="s">
        <v>39</v>
      </c>
      <c r="J1164" s="0" t="n">
        <v>1.34</v>
      </c>
      <c r="K1164" s="0" t="s">
        <v>35</v>
      </c>
      <c r="L1164" s="0" t="n">
        <f aca="false">INDEX(Summary!$F$2:$F$201,MATCH($B1164,Summary!$A$2:$A$201,0))</f>
        <v>20</v>
      </c>
      <c r="M1164" s="0" t="n">
        <f aca="false">INDEX(Summary!$I$2:$I$201,MATCH($B1164,Summary!$A$2:$A$201,0))</f>
        <v>4</v>
      </c>
      <c r="N1164" s="0" t="n">
        <f aca="false">INDEX(Summary!$J$2:$J$201,MATCH($B1164,Summary!$A$2:$A$201,0))</f>
        <v>1</v>
      </c>
      <c r="O1164" s="2" t="n">
        <f aca="false">INDEX(Summary!$K$2:$K$201,MATCH($B1164,Summary!$A$2:$A$201,0))</f>
        <v>9.61</v>
      </c>
      <c r="P1164" s="3" t="n">
        <f aca="false">INDEX(Summary!$L$2:$L$201,MATCH($B1164,Summary!$A$2:$A$201,0))</f>
        <v>5</v>
      </c>
      <c r="Q1164" s="3" t="n">
        <f aca="false">INDEX(Summary!$M$2:$M$201,MATCH($B1164,Summary!$A$2:$A$201,0))</f>
        <v>1</v>
      </c>
      <c r="R1164" s="2" t="n">
        <f aca="false">INDEX(Summary!$N$2:$N$201,MATCH($B1164,Summary!$A$2:$A$201,0))</f>
        <v>9.25</v>
      </c>
      <c r="S1164" s="3" t="n">
        <f aca="false">INDEX(Summary!$O$2:$O$201,MATCH($B1164,Summary!$A$2:$A$201,0))</f>
        <v>8</v>
      </c>
      <c r="T1164" s="3" t="n">
        <f aca="false">INDEX(Summary!$P$2:$P$201,MATCH($B1164,Summary!$A$2:$A$201,0))</f>
        <v>1</v>
      </c>
      <c r="U1164" s="2" t="n">
        <f aca="false">INDEX(Summary!$Q$2:$Q$201,MATCH($B1164,Summary!$A$2:$A$201,0))</f>
        <v>10.25</v>
      </c>
      <c r="V1164" s="2" t="n">
        <f aca="false">INDEX(Summary!$R$2:$R$201,MATCH($B1164,Summary!$A$2:$A$201,0))</f>
        <v>32.85</v>
      </c>
      <c r="W1164" s="0" t="str">
        <f aca="false">INDEX(Summary!$S$2:$S$201,MATCH($B1164,Summary!$A$2:$A$201,0))</f>
        <v>Gold</v>
      </c>
      <c r="X1164" s="2" t="n">
        <f aca="false">INDEX(Summary!$T$2:$T$201,MATCH($B1164,Summary!$A$2:$A$201,0))</f>
        <v>80.12</v>
      </c>
      <c r="Y1164" s="0" t="str">
        <f aca="false">INDEX('Reward Model'!$E$18:$E$37,MATCH($E1164,'Reward Model'!$A$18:$A$37,0))</f>
        <v>Medium</v>
      </c>
      <c r="Z1164" s="4" t="n">
        <f aca="false">ROUND(MIN(1,MAX('Reward Model'!$B$2,INDEX('Reward Model'!$C$12:$C$14,MATCH($K1164,'Reward Model'!$A$12:$A$14,0))/$J1164)),3)</f>
        <v>1</v>
      </c>
      <c r="AA1164" s="2" t="n">
        <f aca="false">IF($I1164="Correct",ROUND(INDEX('Reward Model'!$B$12:$B$14,MATCH($K1164,'Reward Model'!$A$12:$A$14,0))*Z1164,2),0)</f>
        <v>0</v>
      </c>
      <c r="AB1164" s="2" t="n">
        <f aca="false">IF($I1164="Correct",ROUND(INDEX('Reward Model'!$B$12:$B$14,MATCH($Y1164,'Reward Model'!$A$12:$A$14,0))*Z1164,2),0)</f>
        <v>0</v>
      </c>
    </row>
    <row r="1165" customFormat="false" ht="15" hidden="false" customHeight="false" outlineLevel="0" collapsed="false">
      <c r="A1165" s="0" t="s">
        <v>245</v>
      </c>
      <c r="B1165" s="0" t="s">
        <v>246</v>
      </c>
      <c r="C1165" s="0" t="s">
        <v>30</v>
      </c>
      <c r="D1165" s="0" t="s">
        <v>189</v>
      </c>
      <c r="E1165" s="0" t="n">
        <v>4</v>
      </c>
      <c r="F1165" s="0" t="s">
        <v>43</v>
      </c>
      <c r="G1165" s="0" t="s">
        <v>45</v>
      </c>
      <c r="H1165" s="0" t="s">
        <v>45</v>
      </c>
      <c r="I1165" s="0" t="s">
        <v>34</v>
      </c>
      <c r="J1165" s="0" t="n">
        <v>1.2</v>
      </c>
      <c r="K1165" s="0" t="s">
        <v>35</v>
      </c>
      <c r="L1165" s="0" t="n">
        <f aca="false">INDEX(Summary!$F$2:$F$201,MATCH($B1165,Summary!$A$2:$A$201,0))</f>
        <v>20</v>
      </c>
      <c r="M1165" s="0" t="n">
        <f aca="false">INDEX(Summary!$I$2:$I$201,MATCH($B1165,Summary!$A$2:$A$201,0))</f>
        <v>4</v>
      </c>
      <c r="N1165" s="0" t="n">
        <f aca="false">INDEX(Summary!$J$2:$J$201,MATCH($B1165,Summary!$A$2:$A$201,0))</f>
        <v>1</v>
      </c>
      <c r="O1165" s="2" t="n">
        <f aca="false">INDEX(Summary!$K$2:$K$201,MATCH($B1165,Summary!$A$2:$A$201,0))</f>
        <v>9.61</v>
      </c>
      <c r="P1165" s="3" t="n">
        <f aca="false">INDEX(Summary!$L$2:$L$201,MATCH($B1165,Summary!$A$2:$A$201,0))</f>
        <v>5</v>
      </c>
      <c r="Q1165" s="3" t="n">
        <f aca="false">INDEX(Summary!$M$2:$M$201,MATCH($B1165,Summary!$A$2:$A$201,0))</f>
        <v>1</v>
      </c>
      <c r="R1165" s="2" t="n">
        <f aca="false">INDEX(Summary!$N$2:$N$201,MATCH($B1165,Summary!$A$2:$A$201,0))</f>
        <v>9.25</v>
      </c>
      <c r="S1165" s="3" t="n">
        <f aca="false">INDEX(Summary!$O$2:$O$201,MATCH($B1165,Summary!$A$2:$A$201,0))</f>
        <v>8</v>
      </c>
      <c r="T1165" s="3" t="n">
        <f aca="false">INDEX(Summary!$P$2:$P$201,MATCH($B1165,Summary!$A$2:$A$201,0))</f>
        <v>1</v>
      </c>
      <c r="U1165" s="2" t="n">
        <f aca="false">INDEX(Summary!$Q$2:$Q$201,MATCH($B1165,Summary!$A$2:$A$201,0))</f>
        <v>10.25</v>
      </c>
      <c r="V1165" s="2" t="n">
        <f aca="false">INDEX(Summary!$R$2:$R$201,MATCH($B1165,Summary!$A$2:$A$201,0))</f>
        <v>32.85</v>
      </c>
      <c r="W1165" s="0" t="str">
        <f aca="false">INDEX(Summary!$S$2:$S$201,MATCH($B1165,Summary!$A$2:$A$201,0))</f>
        <v>Gold</v>
      </c>
      <c r="X1165" s="2" t="n">
        <f aca="false">INDEX(Summary!$T$2:$T$201,MATCH($B1165,Summary!$A$2:$A$201,0))</f>
        <v>80.12</v>
      </c>
      <c r="Y1165" s="0" t="str">
        <f aca="false">INDEX('Reward Model'!$E$18:$E$37,MATCH($E1165,'Reward Model'!$A$18:$A$37,0))</f>
        <v>Low</v>
      </c>
      <c r="Z1165" s="4" t="n">
        <f aca="false">ROUND(MIN(1,MAX('Reward Model'!$B$2,INDEX('Reward Model'!$C$12:$C$14,MATCH($K1165,'Reward Model'!$A$12:$A$14,0))/$J1165)),3)</f>
        <v>1</v>
      </c>
      <c r="AA1165" s="2" t="n">
        <f aca="false">IF($I1165="Correct",ROUND(INDEX('Reward Model'!$B$12:$B$14,MATCH($K1165,'Reward Model'!$A$12:$A$14,0))*Z1165,2),0)</f>
        <v>1</v>
      </c>
      <c r="AB1165" s="2" t="n">
        <f aca="false">IF($I1165="Correct",ROUND(INDEX('Reward Model'!$B$12:$B$14,MATCH($Y1165,'Reward Model'!$A$12:$A$14,0))*Z1165,2),0)</f>
        <v>1</v>
      </c>
    </row>
    <row r="1166" customFormat="false" ht="15" hidden="false" customHeight="false" outlineLevel="0" collapsed="false">
      <c r="A1166" s="0" t="s">
        <v>245</v>
      </c>
      <c r="B1166" s="0" t="s">
        <v>246</v>
      </c>
      <c r="C1166" s="0" t="s">
        <v>30</v>
      </c>
      <c r="D1166" s="0" t="s">
        <v>189</v>
      </c>
      <c r="E1166" s="0" t="n">
        <v>5</v>
      </c>
      <c r="F1166" s="0" t="s">
        <v>46</v>
      </c>
      <c r="G1166" s="0" t="s">
        <v>47</v>
      </c>
      <c r="H1166" s="0" t="s">
        <v>47</v>
      </c>
      <c r="I1166" s="0" t="s">
        <v>34</v>
      </c>
      <c r="J1166" s="0" t="n">
        <v>0.9</v>
      </c>
      <c r="K1166" s="0" t="s">
        <v>35</v>
      </c>
      <c r="L1166" s="0" t="n">
        <f aca="false">INDEX(Summary!$F$2:$F$201,MATCH($B1166,Summary!$A$2:$A$201,0))</f>
        <v>20</v>
      </c>
      <c r="M1166" s="0" t="n">
        <f aca="false">INDEX(Summary!$I$2:$I$201,MATCH($B1166,Summary!$A$2:$A$201,0))</f>
        <v>4</v>
      </c>
      <c r="N1166" s="0" t="n">
        <f aca="false">INDEX(Summary!$J$2:$J$201,MATCH($B1166,Summary!$A$2:$A$201,0))</f>
        <v>1</v>
      </c>
      <c r="O1166" s="2" t="n">
        <f aca="false">INDEX(Summary!$K$2:$K$201,MATCH($B1166,Summary!$A$2:$A$201,0))</f>
        <v>9.61</v>
      </c>
      <c r="P1166" s="3" t="n">
        <f aca="false">INDEX(Summary!$L$2:$L$201,MATCH($B1166,Summary!$A$2:$A$201,0))</f>
        <v>5</v>
      </c>
      <c r="Q1166" s="3" t="n">
        <f aca="false">INDEX(Summary!$M$2:$M$201,MATCH($B1166,Summary!$A$2:$A$201,0))</f>
        <v>1</v>
      </c>
      <c r="R1166" s="2" t="n">
        <f aca="false">INDEX(Summary!$N$2:$N$201,MATCH($B1166,Summary!$A$2:$A$201,0))</f>
        <v>9.25</v>
      </c>
      <c r="S1166" s="3" t="n">
        <f aca="false">INDEX(Summary!$O$2:$O$201,MATCH($B1166,Summary!$A$2:$A$201,0))</f>
        <v>8</v>
      </c>
      <c r="T1166" s="3" t="n">
        <f aca="false">INDEX(Summary!$P$2:$P$201,MATCH($B1166,Summary!$A$2:$A$201,0))</f>
        <v>1</v>
      </c>
      <c r="U1166" s="2" t="n">
        <f aca="false">INDEX(Summary!$Q$2:$Q$201,MATCH($B1166,Summary!$A$2:$A$201,0))</f>
        <v>10.25</v>
      </c>
      <c r="V1166" s="2" t="n">
        <f aca="false">INDEX(Summary!$R$2:$R$201,MATCH($B1166,Summary!$A$2:$A$201,0))</f>
        <v>32.85</v>
      </c>
      <c r="W1166" s="0" t="str">
        <f aca="false">INDEX(Summary!$S$2:$S$201,MATCH($B1166,Summary!$A$2:$A$201,0))</f>
        <v>Gold</v>
      </c>
      <c r="X1166" s="2" t="n">
        <f aca="false">INDEX(Summary!$T$2:$T$201,MATCH($B1166,Summary!$A$2:$A$201,0))</f>
        <v>80.12</v>
      </c>
      <c r="Y1166" s="0" t="str">
        <f aca="false">INDEX('Reward Model'!$E$18:$E$37,MATCH($E1166,'Reward Model'!$A$18:$A$37,0))</f>
        <v>Low</v>
      </c>
      <c r="Z1166" s="4" t="n">
        <f aca="false">ROUND(MIN(1,MAX('Reward Model'!$B$2,INDEX('Reward Model'!$C$12:$C$14,MATCH($K1166,'Reward Model'!$A$12:$A$14,0))/$J1166)),3)</f>
        <v>1</v>
      </c>
      <c r="AA1166" s="2" t="n">
        <f aca="false">IF($I1166="Correct",ROUND(INDEX('Reward Model'!$B$12:$B$14,MATCH($K1166,'Reward Model'!$A$12:$A$14,0))*Z1166,2),0)</f>
        <v>1</v>
      </c>
      <c r="AB1166" s="2" t="n">
        <f aca="false">IF($I1166="Correct",ROUND(INDEX('Reward Model'!$B$12:$B$14,MATCH($Y1166,'Reward Model'!$A$12:$A$14,0))*Z1166,2),0)</f>
        <v>1</v>
      </c>
    </row>
    <row r="1167" customFormat="false" ht="15" hidden="false" customHeight="false" outlineLevel="0" collapsed="false">
      <c r="A1167" s="0" t="s">
        <v>245</v>
      </c>
      <c r="B1167" s="0" t="s">
        <v>246</v>
      </c>
      <c r="C1167" s="0" t="s">
        <v>30</v>
      </c>
      <c r="D1167" s="0" t="s">
        <v>189</v>
      </c>
      <c r="E1167" s="0" t="n">
        <v>6</v>
      </c>
      <c r="F1167" s="0" t="s">
        <v>48</v>
      </c>
      <c r="G1167" s="0" t="s">
        <v>49</v>
      </c>
      <c r="H1167" s="0" t="s">
        <v>49</v>
      </c>
      <c r="I1167" s="0" t="s">
        <v>34</v>
      </c>
      <c r="J1167" s="0" t="n">
        <v>1.12</v>
      </c>
      <c r="K1167" s="0" t="s">
        <v>35</v>
      </c>
      <c r="L1167" s="0" t="n">
        <f aca="false">INDEX(Summary!$F$2:$F$201,MATCH($B1167,Summary!$A$2:$A$201,0))</f>
        <v>20</v>
      </c>
      <c r="M1167" s="0" t="n">
        <f aca="false">INDEX(Summary!$I$2:$I$201,MATCH($B1167,Summary!$A$2:$A$201,0))</f>
        <v>4</v>
      </c>
      <c r="N1167" s="0" t="n">
        <f aca="false">INDEX(Summary!$J$2:$J$201,MATCH($B1167,Summary!$A$2:$A$201,0))</f>
        <v>1</v>
      </c>
      <c r="O1167" s="2" t="n">
        <f aca="false">INDEX(Summary!$K$2:$K$201,MATCH($B1167,Summary!$A$2:$A$201,0))</f>
        <v>9.61</v>
      </c>
      <c r="P1167" s="3" t="n">
        <f aca="false">INDEX(Summary!$L$2:$L$201,MATCH($B1167,Summary!$A$2:$A$201,0))</f>
        <v>5</v>
      </c>
      <c r="Q1167" s="3" t="n">
        <f aca="false">INDEX(Summary!$M$2:$M$201,MATCH($B1167,Summary!$A$2:$A$201,0))</f>
        <v>1</v>
      </c>
      <c r="R1167" s="2" t="n">
        <f aca="false">INDEX(Summary!$N$2:$N$201,MATCH($B1167,Summary!$A$2:$A$201,0))</f>
        <v>9.25</v>
      </c>
      <c r="S1167" s="3" t="n">
        <f aca="false">INDEX(Summary!$O$2:$O$201,MATCH($B1167,Summary!$A$2:$A$201,0))</f>
        <v>8</v>
      </c>
      <c r="T1167" s="3" t="n">
        <f aca="false">INDEX(Summary!$P$2:$P$201,MATCH($B1167,Summary!$A$2:$A$201,0))</f>
        <v>1</v>
      </c>
      <c r="U1167" s="2" t="n">
        <f aca="false">INDEX(Summary!$Q$2:$Q$201,MATCH($B1167,Summary!$A$2:$A$201,0))</f>
        <v>10.25</v>
      </c>
      <c r="V1167" s="2" t="n">
        <f aca="false">INDEX(Summary!$R$2:$R$201,MATCH($B1167,Summary!$A$2:$A$201,0))</f>
        <v>32.85</v>
      </c>
      <c r="W1167" s="0" t="str">
        <f aca="false">INDEX(Summary!$S$2:$S$201,MATCH($B1167,Summary!$A$2:$A$201,0))</f>
        <v>Gold</v>
      </c>
      <c r="X1167" s="2" t="n">
        <f aca="false">INDEX(Summary!$T$2:$T$201,MATCH($B1167,Summary!$A$2:$A$201,0))</f>
        <v>80.12</v>
      </c>
      <c r="Y1167" s="0" t="str">
        <f aca="false">INDEX('Reward Model'!$E$18:$E$37,MATCH($E1167,'Reward Model'!$A$18:$A$37,0))</f>
        <v>Medium</v>
      </c>
      <c r="Z1167" s="4" t="n">
        <f aca="false">ROUND(MIN(1,MAX('Reward Model'!$B$2,INDEX('Reward Model'!$C$12:$C$14,MATCH($K1167,'Reward Model'!$A$12:$A$14,0))/$J1167)),3)</f>
        <v>1</v>
      </c>
      <c r="AA1167" s="2" t="n">
        <f aca="false">IF($I1167="Correct",ROUND(INDEX('Reward Model'!$B$12:$B$14,MATCH($K1167,'Reward Model'!$A$12:$A$14,0))*Z1167,2),0)</f>
        <v>1</v>
      </c>
      <c r="AB1167" s="2" t="n">
        <f aca="false">IF($I1167="Correct",ROUND(INDEX('Reward Model'!$B$12:$B$14,MATCH($Y1167,'Reward Model'!$A$12:$A$14,0))*Z1167,2),0)</f>
        <v>2</v>
      </c>
    </row>
    <row r="1168" customFormat="false" ht="15" hidden="false" customHeight="false" outlineLevel="0" collapsed="false">
      <c r="A1168" s="0" t="s">
        <v>245</v>
      </c>
      <c r="B1168" s="0" t="s">
        <v>246</v>
      </c>
      <c r="C1168" s="0" t="s">
        <v>30</v>
      </c>
      <c r="D1168" s="0" t="s">
        <v>189</v>
      </c>
      <c r="E1168" s="0" t="n">
        <v>7</v>
      </c>
      <c r="F1168" s="0" t="s">
        <v>50</v>
      </c>
      <c r="G1168" s="0" t="s">
        <v>51</v>
      </c>
      <c r="H1168" s="0" t="s">
        <v>51</v>
      </c>
      <c r="I1168" s="0" t="s">
        <v>34</v>
      </c>
      <c r="J1168" s="0" t="n">
        <v>0.94</v>
      </c>
      <c r="K1168" s="0" t="s">
        <v>35</v>
      </c>
      <c r="L1168" s="0" t="n">
        <f aca="false">INDEX(Summary!$F$2:$F$201,MATCH($B1168,Summary!$A$2:$A$201,0))</f>
        <v>20</v>
      </c>
      <c r="M1168" s="0" t="n">
        <f aca="false">INDEX(Summary!$I$2:$I$201,MATCH($B1168,Summary!$A$2:$A$201,0))</f>
        <v>4</v>
      </c>
      <c r="N1168" s="0" t="n">
        <f aca="false">INDEX(Summary!$J$2:$J$201,MATCH($B1168,Summary!$A$2:$A$201,0))</f>
        <v>1</v>
      </c>
      <c r="O1168" s="2" t="n">
        <f aca="false">INDEX(Summary!$K$2:$K$201,MATCH($B1168,Summary!$A$2:$A$201,0))</f>
        <v>9.61</v>
      </c>
      <c r="P1168" s="3" t="n">
        <f aca="false">INDEX(Summary!$L$2:$L$201,MATCH($B1168,Summary!$A$2:$A$201,0))</f>
        <v>5</v>
      </c>
      <c r="Q1168" s="3" t="n">
        <f aca="false">INDEX(Summary!$M$2:$M$201,MATCH($B1168,Summary!$A$2:$A$201,0))</f>
        <v>1</v>
      </c>
      <c r="R1168" s="2" t="n">
        <f aca="false">INDEX(Summary!$N$2:$N$201,MATCH($B1168,Summary!$A$2:$A$201,0))</f>
        <v>9.25</v>
      </c>
      <c r="S1168" s="3" t="n">
        <f aca="false">INDEX(Summary!$O$2:$O$201,MATCH($B1168,Summary!$A$2:$A$201,0))</f>
        <v>8</v>
      </c>
      <c r="T1168" s="3" t="n">
        <f aca="false">INDEX(Summary!$P$2:$P$201,MATCH($B1168,Summary!$A$2:$A$201,0))</f>
        <v>1</v>
      </c>
      <c r="U1168" s="2" t="n">
        <f aca="false">INDEX(Summary!$Q$2:$Q$201,MATCH($B1168,Summary!$A$2:$A$201,0))</f>
        <v>10.25</v>
      </c>
      <c r="V1168" s="2" t="n">
        <f aca="false">INDEX(Summary!$R$2:$R$201,MATCH($B1168,Summary!$A$2:$A$201,0))</f>
        <v>32.85</v>
      </c>
      <c r="W1168" s="0" t="str">
        <f aca="false">INDEX(Summary!$S$2:$S$201,MATCH($B1168,Summary!$A$2:$A$201,0))</f>
        <v>Gold</v>
      </c>
      <c r="X1168" s="2" t="n">
        <f aca="false">INDEX(Summary!$T$2:$T$201,MATCH($B1168,Summary!$A$2:$A$201,0))</f>
        <v>80.12</v>
      </c>
      <c r="Y1168" s="0" t="str">
        <f aca="false">INDEX('Reward Model'!$E$18:$E$37,MATCH($E1168,'Reward Model'!$A$18:$A$37,0))</f>
        <v>Low</v>
      </c>
      <c r="Z1168" s="4" t="n">
        <f aca="false">ROUND(MIN(1,MAX('Reward Model'!$B$2,INDEX('Reward Model'!$C$12:$C$14,MATCH($K1168,'Reward Model'!$A$12:$A$14,0))/$J1168)),3)</f>
        <v>1</v>
      </c>
      <c r="AA1168" s="2" t="n">
        <f aca="false">IF($I1168="Correct",ROUND(INDEX('Reward Model'!$B$12:$B$14,MATCH($K1168,'Reward Model'!$A$12:$A$14,0))*Z1168,2),0)</f>
        <v>1</v>
      </c>
      <c r="AB1168" s="2" t="n">
        <f aca="false">IF($I1168="Correct",ROUND(INDEX('Reward Model'!$B$12:$B$14,MATCH($Y1168,'Reward Model'!$A$12:$A$14,0))*Z1168,2),0)</f>
        <v>1</v>
      </c>
    </row>
    <row r="1169" customFormat="false" ht="15" hidden="false" customHeight="false" outlineLevel="0" collapsed="false">
      <c r="A1169" s="0" t="s">
        <v>245</v>
      </c>
      <c r="B1169" s="0" t="s">
        <v>246</v>
      </c>
      <c r="C1169" s="0" t="s">
        <v>30</v>
      </c>
      <c r="D1169" s="0" t="s">
        <v>189</v>
      </c>
      <c r="E1169" s="0" t="n">
        <v>8</v>
      </c>
      <c r="F1169" s="0" t="s">
        <v>52</v>
      </c>
      <c r="G1169" s="0" t="s">
        <v>54</v>
      </c>
      <c r="H1169" s="0" t="s">
        <v>54</v>
      </c>
      <c r="I1169" s="0" t="s">
        <v>34</v>
      </c>
      <c r="J1169" s="0" t="n">
        <v>1.41</v>
      </c>
      <c r="K1169" s="0" t="s">
        <v>35</v>
      </c>
      <c r="L1169" s="0" t="n">
        <f aca="false">INDEX(Summary!$F$2:$F$201,MATCH($B1169,Summary!$A$2:$A$201,0))</f>
        <v>20</v>
      </c>
      <c r="M1169" s="0" t="n">
        <f aca="false">INDEX(Summary!$I$2:$I$201,MATCH($B1169,Summary!$A$2:$A$201,0))</f>
        <v>4</v>
      </c>
      <c r="N1169" s="0" t="n">
        <f aca="false">INDEX(Summary!$J$2:$J$201,MATCH($B1169,Summary!$A$2:$A$201,0))</f>
        <v>1</v>
      </c>
      <c r="O1169" s="2" t="n">
        <f aca="false">INDEX(Summary!$K$2:$K$201,MATCH($B1169,Summary!$A$2:$A$201,0))</f>
        <v>9.61</v>
      </c>
      <c r="P1169" s="3" t="n">
        <f aca="false">INDEX(Summary!$L$2:$L$201,MATCH($B1169,Summary!$A$2:$A$201,0))</f>
        <v>5</v>
      </c>
      <c r="Q1169" s="3" t="n">
        <f aca="false">INDEX(Summary!$M$2:$M$201,MATCH($B1169,Summary!$A$2:$A$201,0))</f>
        <v>1</v>
      </c>
      <c r="R1169" s="2" t="n">
        <f aca="false">INDEX(Summary!$N$2:$N$201,MATCH($B1169,Summary!$A$2:$A$201,0))</f>
        <v>9.25</v>
      </c>
      <c r="S1169" s="3" t="n">
        <f aca="false">INDEX(Summary!$O$2:$O$201,MATCH($B1169,Summary!$A$2:$A$201,0))</f>
        <v>8</v>
      </c>
      <c r="T1169" s="3" t="n">
        <f aca="false">INDEX(Summary!$P$2:$P$201,MATCH($B1169,Summary!$A$2:$A$201,0))</f>
        <v>1</v>
      </c>
      <c r="U1169" s="2" t="n">
        <f aca="false">INDEX(Summary!$Q$2:$Q$201,MATCH($B1169,Summary!$A$2:$A$201,0))</f>
        <v>10.25</v>
      </c>
      <c r="V1169" s="2" t="n">
        <f aca="false">INDEX(Summary!$R$2:$R$201,MATCH($B1169,Summary!$A$2:$A$201,0))</f>
        <v>32.85</v>
      </c>
      <c r="W1169" s="0" t="str">
        <f aca="false">INDEX(Summary!$S$2:$S$201,MATCH($B1169,Summary!$A$2:$A$201,0))</f>
        <v>Gold</v>
      </c>
      <c r="X1169" s="2" t="n">
        <f aca="false">INDEX(Summary!$T$2:$T$201,MATCH($B1169,Summary!$A$2:$A$201,0))</f>
        <v>80.12</v>
      </c>
      <c r="Y1169" s="0" t="str">
        <f aca="false">INDEX('Reward Model'!$E$18:$E$37,MATCH($E1169,'Reward Model'!$A$18:$A$37,0))</f>
        <v>Medium</v>
      </c>
      <c r="Z1169" s="4" t="n">
        <f aca="false">ROUND(MIN(1,MAX('Reward Model'!$B$2,INDEX('Reward Model'!$C$12:$C$14,MATCH($K1169,'Reward Model'!$A$12:$A$14,0))/$J1169)),3)</f>
        <v>1</v>
      </c>
      <c r="AA1169" s="2" t="n">
        <f aca="false">IF($I1169="Correct",ROUND(INDEX('Reward Model'!$B$12:$B$14,MATCH($K1169,'Reward Model'!$A$12:$A$14,0))*Z1169,2),0)</f>
        <v>1</v>
      </c>
      <c r="AB1169" s="2" t="n">
        <f aca="false">IF($I1169="Correct",ROUND(INDEX('Reward Model'!$B$12:$B$14,MATCH($Y1169,'Reward Model'!$A$12:$A$14,0))*Z1169,2),0)</f>
        <v>2</v>
      </c>
    </row>
    <row r="1170" customFormat="false" ht="15" hidden="false" customHeight="false" outlineLevel="0" collapsed="false">
      <c r="A1170" s="0" t="s">
        <v>245</v>
      </c>
      <c r="B1170" s="0" t="s">
        <v>246</v>
      </c>
      <c r="C1170" s="0" t="s">
        <v>30</v>
      </c>
      <c r="D1170" s="0" t="s">
        <v>189</v>
      </c>
      <c r="E1170" s="0" t="n">
        <v>9</v>
      </c>
      <c r="F1170" s="0" t="s">
        <v>55</v>
      </c>
      <c r="G1170" s="0" t="s">
        <v>57</v>
      </c>
      <c r="H1170" s="0" t="s">
        <v>57</v>
      </c>
      <c r="I1170" s="0" t="s">
        <v>34</v>
      </c>
      <c r="J1170" s="0" t="n">
        <v>1.21</v>
      </c>
      <c r="K1170" s="0" t="s">
        <v>35</v>
      </c>
      <c r="L1170" s="0" t="n">
        <f aca="false">INDEX(Summary!$F$2:$F$201,MATCH($B1170,Summary!$A$2:$A$201,0))</f>
        <v>20</v>
      </c>
      <c r="M1170" s="0" t="n">
        <f aca="false">INDEX(Summary!$I$2:$I$201,MATCH($B1170,Summary!$A$2:$A$201,0))</f>
        <v>4</v>
      </c>
      <c r="N1170" s="0" t="n">
        <f aca="false">INDEX(Summary!$J$2:$J$201,MATCH($B1170,Summary!$A$2:$A$201,0))</f>
        <v>1</v>
      </c>
      <c r="O1170" s="2" t="n">
        <f aca="false">INDEX(Summary!$K$2:$K$201,MATCH($B1170,Summary!$A$2:$A$201,0))</f>
        <v>9.61</v>
      </c>
      <c r="P1170" s="3" t="n">
        <f aca="false">INDEX(Summary!$L$2:$L$201,MATCH($B1170,Summary!$A$2:$A$201,0))</f>
        <v>5</v>
      </c>
      <c r="Q1170" s="3" t="n">
        <f aca="false">INDEX(Summary!$M$2:$M$201,MATCH($B1170,Summary!$A$2:$A$201,0))</f>
        <v>1</v>
      </c>
      <c r="R1170" s="2" t="n">
        <f aca="false">INDEX(Summary!$N$2:$N$201,MATCH($B1170,Summary!$A$2:$A$201,0))</f>
        <v>9.25</v>
      </c>
      <c r="S1170" s="3" t="n">
        <f aca="false">INDEX(Summary!$O$2:$O$201,MATCH($B1170,Summary!$A$2:$A$201,0))</f>
        <v>8</v>
      </c>
      <c r="T1170" s="3" t="n">
        <f aca="false">INDEX(Summary!$P$2:$P$201,MATCH($B1170,Summary!$A$2:$A$201,0))</f>
        <v>1</v>
      </c>
      <c r="U1170" s="2" t="n">
        <f aca="false">INDEX(Summary!$Q$2:$Q$201,MATCH($B1170,Summary!$A$2:$A$201,0))</f>
        <v>10.25</v>
      </c>
      <c r="V1170" s="2" t="n">
        <f aca="false">INDEX(Summary!$R$2:$R$201,MATCH($B1170,Summary!$A$2:$A$201,0))</f>
        <v>32.85</v>
      </c>
      <c r="W1170" s="0" t="str">
        <f aca="false">INDEX(Summary!$S$2:$S$201,MATCH($B1170,Summary!$A$2:$A$201,0))</f>
        <v>Gold</v>
      </c>
      <c r="X1170" s="2" t="n">
        <f aca="false">INDEX(Summary!$T$2:$T$201,MATCH($B1170,Summary!$A$2:$A$201,0))</f>
        <v>80.12</v>
      </c>
      <c r="Y1170" s="0" t="str">
        <f aca="false">INDEX('Reward Model'!$E$18:$E$37,MATCH($E1170,'Reward Model'!$A$18:$A$37,0))</f>
        <v>Medium</v>
      </c>
      <c r="Z1170" s="4" t="n">
        <f aca="false">ROUND(MIN(1,MAX('Reward Model'!$B$2,INDEX('Reward Model'!$C$12:$C$14,MATCH($K1170,'Reward Model'!$A$12:$A$14,0))/$J1170)),3)</f>
        <v>1</v>
      </c>
      <c r="AA1170" s="2" t="n">
        <f aca="false">IF($I1170="Correct",ROUND(INDEX('Reward Model'!$B$12:$B$14,MATCH($K1170,'Reward Model'!$A$12:$A$14,0))*Z1170,2),0)</f>
        <v>1</v>
      </c>
      <c r="AB1170" s="2" t="n">
        <f aca="false">IF($I1170="Correct",ROUND(INDEX('Reward Model'!$B$12:$B$14,MATCH($Y1170,'Reward Model'!$A$12:$A$14,0))*Z1170,2),0)</f>
        <v>2</v>
      </c>
    </row>
    <row r="1171" customFormat="false" ht="15" hidden="false" customHeight="false" outlineLevel="0" collapsed="false">
      <c r="A1171" s="0" t="s">
        <v>245</v>
      </c>
      <c r="B1171" s="0" t="s">
        <v>246</v>
      </c>
      <c r="C1171" s="0" t="s">
        <v>30</v>
      </c>
      <c r="D1171" s="0" t="s">
        <v>189</v>
      </c>
      <c r="E1171" s="0" t="n">
        <v>10</v>
      </c>
      <c r="F1171" s="0" t="s">
        <v>58</v>
      </c>
      <c r="G1171" s="0" t="s">
        <v>59</v>
      </c>
      <c r="H1171" s="0" t="s">
        <v>59</v>
      </c>
      <c r="I1171" s="0" t="s">
        <v>34</v>
      </c>
      <c r="J1171" s="0" t="n">
        <v>1.54</v>
      </c>
      <c r="K1171" s="0" t="s">
        <v>60</v>
      </c>
      <c r="L1171" s="0" t="n">
        <f aca="false">INDEX(Summary!$F$2:$F$201,MATCH($B1171,Summary!$A$2:$A$201,0))</f>
        <v>20</v>
      </c>
      <c r="M1171" s="0" t="n">
        <f aca="false">INDEX(Summary!$I$2:$I$201,MATCH($B1171,Summary!$A$2:$A$201,0))</f>
        <v>4</v>
      </c>
      <c r="N1171" s="0" t="n">
        <f aca="false">INDEX(Summary!$J$2:$J$201,MATCH($B1171,Summary!$A$2:$A$201,0))</f>
        <v>1</v>
      </c>
      <c r="O1171" s="2" t="n">
        <f aca="false">INDEX(Summary!$K$2:$K$201,MATCH($B1171,Summary!$A$2:$A$201,0))</f>
        <v>9.61</v>
      </c>
      <c r="P1171" s="3" t="n">
        <f aca="false">INDEX(Summary!$L$2:$L$201,MATCH($B1171,Summary!$A$2:$A$201,0))</f>
        <v>5</v>
      </c>
      <c r="Q1171" s="3" t="n">
        <f aca="false">INDEX(Summary!$M$2:$M$201,MATCH($B1171,Summary!$A$2:$A$201,0))</f>
        <v>1</v>
      </c>
      <c r="R1171" s="2" t="n">
        <f aca="false">INDEX(Summary!$N$2:$N$201,MATCH($B1171,Summary!$A$2:$A$201,0))</f>
        <v>9.25</v>
      </c>
      <c r="S1171" s="3" t="n">
        <f aca="false">INDEX(Summary!$O$2:$O$201,MATCH($B1171,Summary!$A$2:$A$201,0))</f>
        <v>8</v>
      </c>
      <c r="T1171" s="3" t="n">
        <f aca="false">INDEX(Summary!$P$2:$P$201,MATCH($B1171,Summary!$A$2:$A$201,0))</f>
        <v>1</v>
      </c>
      <c r="U1171" s="2" t="n">
        <f aca="false">INDEX(Summary!$Q$2:$Q$201,MATCH($B1171,Summary!$A$2:$A$201,0))</f>
        <v>10.25</v>
      </c>
      <c r="V1171" s="2" t="n">
        <f aca="false">INDEX(Summary!$R$2:$R$201,MATCH($B1171,Summary!$A$2:$A$201,0))</f>
        <v>32.85</v>
      </c>
      <c r="W1171" s="0" t="str">
        <f aca="false">INDEX(Summary!$S$2:$S$201,MATCH($B1171,Summary!$A$2:$A$201,0))</f>
        <v>Gold</v>
      </c>
      <c r="X1171" s="2" t="n">
        <f aca="false">INDEX(Summary!$T$2:$T$201,MATCH($B1171,Summary!$A$2:$A$201,0))</f>
        <v>80.12</v>
      </c>
      <c r="Y1171" s="0" t="str">
        <f aca="false">INDEX('Reward Model'!$E$18:$E$37,MATCH($E1171,'Reward Model'!$A$18:$A$37,0))</f>
        <v>Medium</v>
      </c>
      <c r="Z1171" s="4" t="n">
        <f aca="false">ROUND(MIN(1,MAX('Reward Model'!$B$2,INDEX('Reward Model'!$C$12:$C$14,MATCH($K1171,'Reward Model'!$A$12:$A$14,0))/$J1171)),3)</f>
        <v>1</v>
      </c>
      <c r="AA1171" s="2" t="n">
        <f aca="false">IF($I1171="Correct",ROUND(INDEX('Reward Model'!$B$12:$B$14,MATCH($K1171,'Reward Model'!$A$12:$A$14,0))*Z1171,2),0)</f>
        <v>2</v>
      </c>
      <c r="AB1171" s="2" t="n">
        <f aca="false">IF($I1171="Correct",ROUND(INDEX('Reward Model'!$B$12:$B$14,MATCH($Y1171,'Reward Model'!$A$12:$A$14,0))*Z1171,2),0)</f>
        <v>2</v>
      </c>
    </row>
    <row r="1172" customFormat="false" ht="15" hidden="false" customHeight="false" outlineLevel="0" collapsed="false">
      <c r="A1172" s="0" t="s">
        <v>245</v>
      </c>
      <c r="B1172" s="0" t="s">
        <v>246</v>
      </c>
      <c r="C1172" s="0" t="s">
        <v>30</v>
      </c>
      <c r="D1172" s="0" t="s">
        <v>189</v>
      </c>
      <c r="E1172" s="0" t="n">
        <v>11</v>
      </c>
      <c r="F1172" s="0" t="s">
        <v>61</v>
      </c>
      <c r="G1172" s="0" t="s">
        <v>63</v>
      </c>
      <c r="H1172" s="0" t="s">
        <v>63</v>
      </c>
      <c r="I1172" s="0" t="s">
        <v>34</v>
      </c>
      <c r="J1172" s="0" t="n">
        <v>1.46</v>
      </c>
      <c r="K1172" s="0" t="s">
        <v>60</v>
      </c>
      <c r="L1172" s="0" t="n">
        <f aca="false">INDEX(Summary!$F$2:$F$201,MATCH($B1172,Summary!$A$2:$A$201,0))</f>
        <v>20</v>
      </c>
      <c r="M1172" s="0" t="n">
        <f aca="false">INDEX(Summary!$I$2:$I$201,MATCH($B1172,Summary!$A$2:$A$201,0))</f>
        <v>4</v>
      </c>
      <c r="N1172" s="0" t="n">
        <f aca="false">INDEX(Summary!$J$2:$J$201,MATCH($B1172,Summary!$A$2:$A$201,0))</f>
        <v>1</v>
      </c>
      <c r="O1172" s="2" t="n">
        <f aca="false">INDEX(Summary!$K$2:$K$201,MATCH($B1172,Summary!$A$2:$A$201,0))</f>
        <v>9.61</v>
      </c>
      <c r="P1172" s="3" t="n">
        <f aca="false">INDEX(Summary!$L$2:$L$201,MATCH($B1172,Summary!$A$2:$A$201,0))</f>
        <v>5</v>
      </c>
      <c r="Q1172" s="3" t="n">
        <f aca="false">INDEX(Summary!$M$2:$M$201,MATCH($B1172,Summary!$A$2:$A$201,0))</f>
        <v>1</v>
      </c>
      <c r="R1172" s="2" t="n">
        <f aca="false">INDEX(Summary!$N$2:$N$201,MATCH($B1172,Summary!$A$2:$A$201,0))</f>
        <v>9.25</v>
      </c>
      <c r="S1172" s="3" t="n">
        <f aca="false">INDEX(Summary!$O$2:$O$201,MATCH($B1172,Summary!$A$2:$A$201,0))</f>
        <v>8</v>
      </c>
      <c r="T1172" s="3" t="n">
        <f aca="false">INDEX(Summary!$P$2:$P$201,MATCH($B1172,Summary!$A$2:$A$201,0))</f>
        <v>1</v>
      </c>
      <c r="U1172" s="2" t="n">
        <f aca="false">INDEX(Summary!$Q$2:$Q$201,MATCH($B1172,Summary!$A$2:$A$201,0))</f>
        <v>10.25</v>
      </c>
      <c r="V1172" s="2" t="n">
        <f aca="false">INDEX(Summary!$R$2:$R$201,MATCH($B1172,Summary!$A$2:$A$201,0))</f>
        <v>32.85</v>
      </c>
      <c r="W1172" s="0" t="str">
        <f aca="false">INDEX(Summary!$S$2:$S$201,MATCH($B1172,Summary!$A$2:$A$201,0))</f>
        <v>Gold</v>
      </c>
      <c r="X1172" s="2" t="n">
        <f aca="false">INDEX(Summary!$T$2:$T$201,MATCH($B1172,Summary!$A$2:$A$201,0))</f>
        <v>80.12</v>
      </c>
      <c r="Y1172" s="0" t="str">
        <f aca="false">INDEX('Reward Model'!$E$18:$E$37,MATCH($E1172,'Reward Model'!$A$18:$A$37,0))</f>
        <v>Medium</v>
      </c>
      <c r="Z1172" s="4" t="n">
        <f aca="false">ROUND(MIN(1,MAX('Reward Model'!$B$2,INDEX('Reward Model'!$C$12:$C$14,MATCH($K1172,'Reward Model'!$A$12:$A$14,0))/$J1172)),3)</f>
        <v>1</v>
      </c>
      <c r="AA1172" s="2" t="n">
        <f aca="false">IF($I1172="Correct",ROUND(INDEX('Reward Model'!$B$12:$B$14,MATCH($K1172,'Reward Model'!$A$12:$A$14,0))*Z1172,2),0)</f>
        <v>2</v>
      </c>
      <c r="AB1172" s="2" t="n">
        <f aca="false">IF($I1172="Correct",ROUND(INDEX('Reward Model'!$B$12:$B$14,MATCH($Y1172,'Reward Model'!$A$12:$A$14,0))*Z1172,2),0)</f>
        <v>2</v>
      </c>
    </row>
    <row r="1173" customFormat="false" ht="15" hidden="false" customHeight="false" outlineLevel="0" collapsed="false">
      <c r="A1173" s="0" t="s">
        <v>245</v>
      </c>
      <c r="B1173" s="0" t="s">
        <v>246</v>
      </c>
      <c r="C1173" s="0" t="s">
        <v>30</v>
      </c>
      <c r="D1173" s="0" t="s">
        <v>189</v>
      </c>
      <c r="E1173" s="0" t="n">
        <v>12</v>
      </c>
      <c r="F1173" s="0" t="s">
        <v>64</v>
      </c>
      <c r="G1173" s="0" t="s">
        <v>65</v>
      </c>
      <c r="H1173" s="0" t="s">
        <v>65</v>
      </c>
      <c r="I1173" s="0" t="s">
        <v>34</v>
      </c>
      <c r="J1173" s="0" t="n">
        <v>1.67</v>
      </c>
      <c r="K1173" s="0" t="s">
        <v>60</v>
      </c>
      <c r="L1173" s="0" t="n">
        <f aca="false">INDEX(Summary!$F$2:$F$201,MATCH($B1173,Summary!$A$2:$A$201,0))</f>
        <v>20</v>
      </c>
      <c r="M1173" s="0" t="n">
        <f aca="false">INDEX(Summary!$I$2:$I$201,MATCH($B1173,Summary!$A$2:$A$201,0))</f>
        <v>4</v>
      </c>
      <c r="N1173" s="0" t="n">
        <f aca="false">INDEX(Summary!$J$2:$J$201,MATCH($B1173,Summary!$A$2:$A$201,0))</f>
        <v>1</v>
      </c>
      <c r="O1173" s="2" t="n">
        <f aca="false">INDEX(Summary!$K$2:$K$201,MATCH($B1173,Summary!$A$2:$A$201,0))</f>
        <v>9.61</v>
      </c>
      <c r="P1173" s="3" t="n">
        <f aca="false">INDEX(Summary!$L$2:$L$201,MATCH($B1173,Summary!$A$2:$A$201,0))</f>
        <v>5</v>
      </c>
      <c r="Q1173" s="3" t="n">
        <f aca="false">INDEX(Summary!$M$2:$M$201,MATCH($B1173,Summary!$A$2:$A$201,0))</f>
        <v>1</v>
      </c>
      <c r="R1173" s="2" t="n">
        <f aca="false">INDEX(Summary!$N$2:$N$201,MATCH($B1173,Summary!$A$2:$A$201,0))</f>
        <v>9.25</v>
      </c>
      <c r="S1173" s="3" t="n">
        <f aca="false">INDEX(Summary!$O$2:$O$201,MATCH($B1173,Summary!$A$2:$A$201,0))</f>
        <v>8</v>
      </c>
      <c r="T1173" s="3" t="n">
        <f aca="false">INDEX(Summary!$P$2:$P$201,MATCH($B1173,Summary!$A$2:$A$201,0))</f>
        <v>1</v>
      </c>
      <c r="U1173" s="2" t="n">
        <f aca="false">INDEX(Summary!$Q$2:$Q$201,MATCH($B1173,Summary!$A$2:$A$201,0))</f>
        <v>10.25</v>
      </c>
      <c r="V1173" s="2" t="n">
        <f aca="false">INDEX(Summary!$R$2:$R$201,MATCH($B1173,Summary!$A$2:$A$201,0))</f>
        <v>32.85</v>
      </c>
      <c r="W1173" s="0" t="str">
        <f aca="false">INDEX(Summary!$S$2:$S$201,MATCH($B1173,Summary!$A$2:$A$201,0))</f>
        <v>Gold</v>
      </c>
      <c r="X1173" s="2" t="n">
        <f aca="false">INDEX(Summary!$T$2:$T$201,MATCH($B1173,Summary!$A$2:$A$201,0))</f>
        <v>80.12</v>
      </c>
      <c r="Y1173" s="0" t="str">
        <f aca="false">INDEX('Reward Model'!$E$18:$E$37,MATCH($E1173,'Reward Model'!$A$18:$A$37,0))</f>
        <v>Medium</v>
      </c>
      <c r="Z1173" s="4" t="n">
        <f aca="false">ROUND(MIN(1,MAX('Reward Model'!$B$2,INDEX('Reward Model'!$C$12:$C$14,MATCH($K1173,'Reward Model'!$A$12:$A$14,0))/$J1173)),3)</f>
        <v>1</v>
      </c>
      <c r="AA1173" s="2" t="n">
        <f aca="false">IF($I1173="Correct",ROUND(INDEX('Reward Model'!$B$12:$B$14,MATCH($K1173,'Reward Model'!$A$12:$A$14,0))*Z1173,2),0)</f>
        <v>2</v>
      </c>
      <c r="AB1173" s="2" t="n">
        <f aca="false">IF($I1173="Correct",ROUND(INDEX('Reward Model'!$B$12:$B$14,MATCH($Y1173,'Reward Model'!$A$12:$A$14,0))*Z1173,2),0)</f>
        <v>2</v>
      </c>
    </row>
    <row r="1174" customFormat="false" ht="15" hidden="false" customHeight="false" outlineLevel="0" collapsed="false">
      <c r="A1174" s="0" t="s">
        <v>245</v>
      </c>
      <c r="B1174" s="0" t="s">
        <v>246</v>
      </c>
      <c r="C1174" s="0" t="s">
        <v>30</v>
      </c>
      <c r="D1174" s="0" t="s">
        <v>189</v>
      </c>
      <c r="E1174" s="0" t="n">
        <v>13</v>
      </c>
      <c r="F1174" s="0" t="s">
        <v>66</v>
      </c>
      <c r="G1174" s="0" t="s">
        <v>67</v>
      </c>
      <c r="H1174" s="0" t="s">
        <v>67</v>
      </c>
      <c r="I1174" s="0" t="s">
        <v>34</v>
      </c>
      <c r="J1174" s="0" t="n">
        <v>1.64</v>
      </c>
      <c r="K1174" s="0" t="s">
        <v>60</v>
      </c>
      <c r="L1174" s="0" t="n">
        <f aca="false">INDEX(Summary!$F$2:$F$201,MATCH($B1174,Summary!$A$2:$A$201,0))</f>
        <v>20</v>
      </c>
      <c r="M1174" s="0" t="n">
        <f aca="false">INDEX(Summary!$I$2:$I$201,MATCH($B1174,Summary!$A$2:$A$201,0))</f>
        <v>4</v>
      </c>
      <c r="N1174" s="0" t="n">
        <f aca="false">INDEX(Summary!$J$2:$J$201,MATCH($B1174,Summary!$A$2:$A$201,0))</f>
        <v>1</v>
      </c>
      <c r="O1174" s="2" t="n">
        <f aca="false">INDEX(Summary!$K$2:$K$201,MATCH($B1174,Summary!$A$2:$A$201,0))</f>
        <v>9.61</v>
      </c>
      <c r="P1174" s="3" t="n">
        <f aca="false">INDEX(Summary!$L$2:$L$201,MATCH($B1174,Summary!$A$2:$A$201,0))</f>
        <v>5</v>
      </c>
      <c r="Q1174" s="3" t="n">
        <f aca="false">INDEX(Summary!$M$2:$M$201,MATCH($B1174,Summary!$A$2:$A$201,0))</f>
        <v>1</v>
      </c>
      <c r="R1174" s="2" t="n">
        <f aca="false">INDEX(Summary!$N$2:$N$201,MATCH($B1174,Summary!$A$2:$A$201,0))</f>
        <v>9.25</v>
      </c>
      <c r="S1174" s="3" t="n">
        <f aca="false">INDEX(Summary!$O$2:$O$201,MATCH($B1174,Summary!$A$2:$A$201,0))</f>
        <v>8</v>
      </c>
      <c r="T1174" s="3" t="n">
        <f aca="false">INDEX(Summary!$P$2:$P$201,MATCH($B1174,Summary!$A$2:$A$201,0))</f>
        <v>1</v>
      </c>
      <c r="U1174" s="2" t="n">
        <f aca="false">INDEX(Summary!$Q$2:$Q$201,MATCH($B1174,Summary!$A$2:$A$201,0))</f>
        <v>10.25</v>
      </c>
      <c r="V1174" s="2" t="n">
        <f aca="false">INDEX(Summary!$R$2:$R$201,MATCH($B1174,Summary!$A$2:$A$201,0))</f>
        <v>32.85</v>
      </c>
      <c r="W1174" s="0" t="str">
        <f aca="false">INDEX(Summary!$S$2:$S$201,MATCH($B1174,Summary!$A$2:$A$201,0))</f>
        <v>Gold</v>
      </c>
      <c r="X1174" s="2" t="n">
        <f aca="false">INDEX(Summary!$T$2:$T$201,MATCH($B1174,Summary!$A$2:$A$201,0))</f>
        <v>80.12</v>
      </c>
      <c r="Y1174" s="0" t="str">
        <f aca="false">INDEX('Reward Model'!$E$18:$E$37,MATCH($E1174,'Reward Model'!$A$18:$A$37,0))</f>
        <v>Medium</v>
      </c>
      <c r="Z1174" s="4" t="n">
        <f aca="false">ROUND(MIN(1,MAX('Reward Model'!$B$2,INDEX('Reward Model'!$C$12:$C$14,MATCH($K1174,'Reward Model'!$A$12:$A$14,0))/$J1174)),3)</f>
        <v>1</v>
      </c>
      <c r="AA1174" s="2" t="n">
        <f aca="false">IF($I1174="Correct",ROUND(INDEX('Reward Model'!$B$12:$B$14,MATCH($K1174,'Reward Model'!$A$12:$A$14,0))*Z1174,2),0)</f>
        <v>2</v>
      </c>
      <c r="AB1174" s="2" t="n">
        <f aca="false">IF($I1174="Correct",ROUND(INDEX('Reward Model'!$B$12:$B$14,MATCH($Y1174,'Reward Model'!$A$12:$A$14,0))*Z1174,2),0)</f>
        <v>2</v>
      </c>
    </row>
    <row r="1175" customFormat="false" ht="15" hidden="false" customHeight="false" outlineLevel="0" collapsed="false">
      <c r="A1175" s="0" t="s">
        <v>245</v>
      </c>
      <c r="B1175" s="0" t="s">
        <v>246</v>
      </c>
      <c r="C1175" s="0" t="s">
        <v>30</v>
      </c>
      <c r="D1175" s="0" t="s">
        <v>189</v>
      </c>
      <c r="E1175" s="0" t="n">
        <v>14</v>
      </c>
      <c r="F1175" s="0" t="s">
        <v>68</v>
      </c>
      <c r="G1175" s="0" t="s">
        <v>100</v>
      </c>
      <c r="H1175" s="0" t="s">
        <v>51</v>
      </c>
      <c r="I1175" s="0" t="s">
        <v>39</v>
      </c>
      <c r="J1175" s="0" t="n">
        <v>1.38</v>
      </c>
      <c r="K1175" s="0" t="s">
        <v>60</v>
      </c>
      <c r="L1175" s="0" t="n">
        <f aca="false">INDEX(Summary!$F$2:$F$201,MATCH($B1175,Summary!$A$2:$A$201,0))</f>
        <v>20</v>
      </c>
      <c r="M1175" s="0" t="n">
        <f aca="false">INDEX(Summary!$I$2:$I$201,MATCH($B1175,Summary!$A$2:$A$201,0))</f>
        <v>4</v>
      </c>
      <c r="N1175" s="0" t="n">
        <f aca="false">INDEX(Summary!$J$2:$J$201,MATCH($B1175,Summary!$A$2:$A$201,0))</f>
        <v>1</v>
      </c>
      <c r="O1175" s="2" t="n">
        <f aca="false">INDEX(Summary!$K$2:$K$201,MATCH($B1175,Summary!$A$2:$A$201,0))</f>
        <v>9.61</v>
      </c>
      <c r="P1175" s="3" t="n">
        <f aca="false">INDEX(Summary!$L$2:$L$201,MATCH($B1175,Summary!$A$2:$A$201,0))</f>
        <v>5</v>
      </c>
      <c r="Q1175" s="3" t="n">
        <f aca="false">INDEX(Summary!$M$2:$M$201,MATCH($B1175,Summary!$A$2:$A$201,0))</f>
        <v>1</v>
      </c>
      <c r="R1175" s="2" t="n">
        <f aca="false">INDEX(Summary!$N$2:$N$201,MATCH($B1175,Summary!$A$2:$A$201,0))</f>
        <v>9.25</v>
      </c>
      <c r="S1175" s="3" t="n">
        <f aca="false">INDEX(Summary!$O$2:$O$201,MATCH($B1175,Summary!$A$2:$A$201,0))</f>
        <v>8</v>
      </c>
      <c r="T1175" s="3" t="n">
        <f aca="false">INDEX(Summary!$P$2:$P$201,MATCH($B1175,Summary!$A$2:$A$201,0))</f>
        <v>1</v>
      </c>
      <c r="U1175" s="2" t="n">
        <f aca="false">INDEX(Summary!$Q$2:$Q$201,MATCH($B1175,Summary!$A$2:$A$201,0))</f>
        <v>10.25</v>
      </c>
      <c r="V1175" s="2" t="n">
        <f aca="false">INDEX(Summary!$R$2:$R$201,MATCH($B1175,Summary!$A$2:$A$201,0))</f>
        <v>32.85</v>
      </c>
      <c r="W1175" s="0" t="str">
        <f aca="false">INDEX(Summary!$S$2:$S$201,MATCH($B1175,Summary!$A$2:$A$201,0))</f>
        <v>Gold</v>
      </c>
      <c r="X1175" s="2" t="n">
        <f aca="false">INDEX(Summary!$T$2:$T$201,MATCH($B1175,Summary!$A$2:$A$201,0))</f>
        <v>80.12</v>
      </c>
      <c r="Y1175" s="0" t="str">
        <f aca="false">INDEX('Reward Model'!$E$18:$E$37,MATCH($E1175,'Reward Model'!$A$18:$A$37,0))</f>
        <v>Medium</v>
      </c>
      <c r="Z1175" s="4" t="n">
        <f aca="false">ROUND(MIN(1,MAX('Reward Model'!$B$2,INDEX('Reward Model'!$C$12:$C$14,MATCH($K1175,'Reward Model'!$A$12:$A$14,0))/$J1175)),3)</f>
        <v>1</v>
      </c>
      <c r="AA1175" s="2" t="n">
        <f aca="false">IF($I1175="Correct",ROUND(INDEX('Reward Model'!$B$12:$B$14,MATCH($K1175,'Reward Model'!$A$12:$A$14,0))*Z1175,2),0)</f>
        <v>0</v>
      </c>
      <c r="AB1175" s="2" t="n">
        <f aca="false">IF($I1175="Correct",ROUND(INDEX('Reward Model'!$B$12:$B$14,MATCH($Y1175,'Reward Model'!$A$12:$A$14,0))*Z1175,2),0)</f>
        <v>0</v>
      </c>
    </row>
    <row r="1176" customFormat="false" ht="15" hidden="false" customHeight="false" outlineLevel="0" collapsed="false">
      <c r="A1176" s="0" t="s">
        <v>245</v>
      </c>
      <c r="B1176" s="0" t="s">
        <v>246</v>
      </c>
      <c r="C1176" s="0" t="s">
        <v>30</v>
      </c>
      <c r="D1176" s="0" t="s">
        <v>189</v>
      </c>
      <c r="E1176" s="0" t="n">
        <v>15</v>
      </c>
      <c r="F1176" s="0" t="s">
        <v>69</v>
      </c>
      <c r="G1176" s="0" t="s">
        <v>70</v>
      </c>
      <c r="H1176" s="0" t="s">
        <v>70</v>
      </c>
      <c r="I1176" s="0" t="s">
        <v>34</v>
      </c>
      <c r="J1176" s="0" t="n">
        <v>1.56</v>
      </c>
      <c r="K1176" s="0" t="s">
        <v>60</v>
      </c>
      <c r="L1176" s="0" t="n">
        <f aca="false">INDEX(Summary!$F$2:$F$201,MATCH($B1176,Summary!$A$2:$A$201,0))</f>
        <v>20</v>
      </c>
      <c r="M1176" s="0" t="n">
        <f aca="false">INDEX(Summary!$I$2:$I$201,MATCH($B1176,Summary!$A$2:$A$201,0))</f>
        <v>4</v>
      </c>
      <c r="N1176" s="0" t="n">
        <f aca="false">INDEX(Summary!$J$2:$J$201,MATCH($B1176,Summary!$A$2:$A$201,0))</f>
        <v>1</v>
      </c>
      <c r="O1176" s="2" t="n">
        <f aca="false">INDEX(Summary!$K$2:$K$201,MATCH($B1176,Summary!$A$2:$A$201,0))</f>
        <v>9.61</v>
      </c>
      <c r="P1176" s="3" t="n">
        <f aca="false">INDEX(Summary!$L$2:$L$201,MATCH($B1176,Summary!$A$2:$A$201,0))</f>
        <v>5</v>
      </c>
      <c r="Q1176" s="3" t="n">
        <f aca="false">INDEX(Summary!$M$2:$M$201,MATCH($B1176,Summary!$A$2:$A$201,0))</f>
        <v>1</v>
      </c>
      <c r="R1176" s="2" t="n">
        <f aca="false">INDEX(Summary!$N$2:$N$201,MATCH($B1176,Summary!$A$2:$A$201,0))</f>
        <v>9.25</v>
      </c>
      <c r="S1176" s="3" t="n">
        <f aca="false">INDEX(Summary!$O$2:$O$201,MATCH($B1176,Summary!$A$2:$A$201,0))</f>
        <v>8</v>
      </c>
      <c r="T1176" s="3" t="n">
        <f aca="false">INDEX(Summary!$P$2:$P$201,MATCH($B1176,Summary!$A$2:$A$201,0))</f>
        <v>1</v>
      </c>
      <c r="U1176" s="2" t="n">
        <f aca="false">INDEX(Summary!$Q$2:$Q$201,MATCH($B1176,Summary!$A$2:$A$201,0))</f>
        <v>10.25</v>
      </c>
      <c r="V1176" s="2" t="n">
        <f aca="false">INDEX(Summary!$R$2:$R$201,MATCH($B1176,Summary!$A$2:$A$201,0))</f>
        <v>32.85</v>
      </c>
      <c r="W1176" s="0" t="str">
        <f aca="false">INDEX(Summary!$S$2:$S$201,MATCH($B1176,Summary!$A$2:$A$201,0))</f>
        <v>Gold</v>
      </c>
      <c r="X1176" s="2" t="n">
        <f aca="false">INDEX(Summary!$T$2:$T$201,MATCH($B1176,Summary!$A$2:$A$201,0))</f>
        <v>80.12</v>
      </c>
      <c r="Y1176" s="0" t="str">
        <f aca="false">INDEX('Reward Model'!$E$18:$E$37,MATCH($E1176,'Reward Model'!$A$18:$A$37,0))</f>
        <v>Medium</v>
      </c>
      <c r="Z1176" s="4" t="n">
        <f aca="false">ROUND(MIN(1,MAX('Reward Model'!$B$2,INDEX('Reward Model'!$C$12:$C$14,MATCH($K1176,'Reward Model'!$A$12:$A$14,0))/$J1176)),3)</f>
        <v>1</v>
      </c>
      <c r="AA1176" s="2" t="n">
        <f aca="false">IF($I1176="Correct",ROUND(INDEX('Reward Model'!$B$12:$B$14,MATCH($K1176,'Reward Model'!$A$12:$A$14,0))*Z1176,2),0)</f>
        <v>2</v>
      </c>
      <c r="AB1176" s="2" t="n">
        <f aca="false">IF($I1176="Correct",ROUND(INDEX('Reward Model'!$B$12:$B$14,MATCH($Y1176,'Reward Model'!$A$12:$A$14,0))*Z1176,2),0)</f>
        <v>2</v>
      </c>
    </row>
    <row r="1177" customFormat="false" ht="15" hidden="false" customHeight="false" outlineLevel="0" collapsed="false">
      <c r="A1177" s="0" t="s">
        <v>245</v>
      </c>
      <c r="B1177" s="0" t="s">
        <v>246</v>
      </c>
      <c r="C1177" s="0" t="s">
        <v>30</v>
      </c>
      <c r="D1177" s="0" t="s">
        <v>189</v>
      </c>
      <c r="E1177" s="0" t="n">
        <v>16</v>
      </c>
      <c r="F1177" s="0" t="s">
        <v>71</v>
      </c>
      <c r="G1177" s="0" t="s">
        <v>101</v>
      </c>
      <c r="H1177" s="0" t="s">
        <v>72</v>
      </c>
      <c r="I1177" s="0" t="s">
        <v>39</v>
      </c>
      <c r="J1177" s="0" t="n">
        <v>1.4</v>
      </c>
      <c r="K1177" s="0" t="s">
        <v>73</v>
      </c>
      <c r="L1177" s="0" t="n">
        <f aca="false">INDEX(Summary!$F$2:$F$201,MATCH($B1177,Summary!$A$2:$A$201,0))</f>
        <v>20</v>
      </c>
      <c r="M1177" s="0" t="n">
        <f aca="false">INDEX(Summary!$I$2:$I$201,MATCH($B1177,Summary!$A$2:$A$201,0))</f>
        <v>4</v>
      </c>
      <c r="N1177" s="0" t="n">
        <f aca="false">INDEX(Summary!$J$2:$J$201,MATCH($B1177,Summary!$A$2:$A$201,0))</f>
        <v>1</v>
      </c>
      <c r="O1177" s="2" t="n">
        <f aca="false">INDEX(Summary!$K$2:$K$201,MATCH($B1177,Summary!$A$2:$A$201,0))</f>
        <v>9.61</v>
      </c>
      <c r="P1177" s="3" t="n">
        <f aca="false">INDEX(Summary!$L$2:$L$201,MATCH($B1177,Summary!$A$2:$A$201,0))</f>
        <v>5</v>
      </c>
      <c r="Q1177" s="3" t="n">
        <f aca="false">INDEX(Summary!$M$2:$M$201,MATCH($B1177,Summary!$A$2:$A$201,0))</f>
        <v>1</v>
      </c>
      <c r="R1177" s="2" t="n">
        <f aca="false">INDEX(Summary!$N$2:$N$201,MATCH($B1177,Summary!$A$2:$A$201,0))</f>
        <v>9.25</v>
      </c>
      <c r="S1177" s="3" t="n">
        <f aca="false">INDEX(Summary!$O$2:$O$201,MATCH($B1177,Summary!$A$2:$A$201,0))</f>
        <v>8</v>
      </c>
      <c r="T1177" s="3" t="n">
        <f aca="false">INDEX(Summary!$P$2:$P$201,MATCH($B1177,Summary!$A$2:$A$201,0))</f>
        <v>1</v>
      </c>
      <c r="U1177" s="2" t="n">
        <f aca="false">INDEX(Summary!$Q$2:$Q$201,MATCH($B1177,Summary!$A$2:$A$201,0))</f>
        <v>10.25</v>
      </c>
      <c r="V1177" s="2" t="n">
        <f aca="false">INDEX(Summary!$R$2:$R$201,MATCH($B1177,Summary!$A$2:$A$201,0))</f>
        <v>32.85</v>
      </c>
      <c r="W1177" s="0" t="str">
        <f aca="false">INDEX(Summary!$S$2:$S$201,MATCH($B1177,Summary!$A$2:$A$201,0))</f>
        <v>Gold</v>
      </c>
      <c r="X1177" s="2" t="n">
        <f aca="false">INDEX(Summary!$T$2:$T$201,MATCH($B1177,Summary!$A$2:$A$201,0))</f>
        <v>80.12</v>
      </c>
      <c r="Y1177" s="0" t="str">
        <f aca="false">INDEX('Reward Model'!$E$18:$E$37,MATCH($E1177,'Reward Model'!$A$18:$A$37,0))</f>
        <v>High</v>
      </c>
      <c r="Z1177" s="4" t="n">
        <f aca="false">ROUND(MIN(1,MAX('Reward Model'!$B$2,INDEX('Reward Model'!$C$12:$C$14,MATCH($K1177,'Reward Model'!$A$12:$A$14,0))/$J1177)),3)</f>
        <v>1</v>
      </c>
      <c r="AA1177" s="2" t="n">
        <f aca="false">IF($I1177="Correct",ROUND(INDEX('Reward Model'!$B$12:$B$14,MATCH($K1177,'Reward Model'!$A$12:$A$14,0))*Z1177,2),0)</f>
        <v>0</v>
      </c>
      <c r="AB1177" s="2" t="n">
        <f aca="false">IF($I1177="Correct",ROUND(INDEX('Reward Model'!$B$12:$B$14,MATCH($Y1177,'Reward Model'!$A$12:$A$14,0))*Z1177,2),0)</f>
        <v>0</v>
      </c>
    </row>
    <row r="1178" customFormat="false" ht="15" hidden="false" customHeight="false" outlineLevel="0" collapsed="false">
      <c r="A1178" s="0" t="s">
        <v>245</v>
      </c>
      <c r="B1178" s="0" t="s">
        <v>246</v>
      </c>
      <c r="C1178" s="0" t="s">
        <v>30</v>
      </c>
      <c r="D1178" s="0" t="s">
        <v>189</v>
      </c>
      <c r="E1178" s="0" t="n">
        <v>17</v>
      </c>
      <c r="F1178" s="0" t="s">
        <v>74</v>
      </c>
      <c r="G1178" s="0" t="s">
        <v>75</v>
      </c>
      <c r="H1178" s="0" t="s">
        <v>75</v>
      </c>
      <c r="I1178" s="0" t="s">
        <v>34</v>
      </c>
      <c r="J1178" s="0" t="n">
        <v>2.15</v>
      </c>
      <c r="K1178" s="0" t="s">
        <v>73</v>
      </c>
      <c r="L1178" s="0" t="n">
        <f aca="false">INDEX(Summary!$F$2:$F$201,MATCH($B1178,Summary!$A$2:$A$201,0))</f>
        <v>20</v>
      </c>
      <c r="M1178" s="0" t="n">
        <f aca="false">INDEX(Summary!$I$2:$I$201,MATCH($B1178,Summary!$A$2:$A$201,0))</f>
        <v>4</v>
      </c>
      <c r="N1178" s="0" t="n">
        <f aca="false">INDEX(Summary!$J$2:$J$201,MATCH($B1178,Summary!$A$2:$A$201,0))</f>
        <v>1</v>
      </c>
      <c r="O1178" s="2" t="n">
        <f aca="false">INDEX(Summary!$K$2:$K$201,MATCH($B1178,Summary!$A$2:$A$201,0))</f>
        <v>9.61</v>
      </c>
      <c r="P1178" s="3" t="n">
        <f aca="false">INDEX(Summary!$L$2:$L$201,MATCH($B1178,Summary!$A$2:$A$201,0))</f>
        <v>5</v>
      </c>
      <c r="Q1178" s="3" t="n">
        <f aca="false">INDEX(Summary!$M$2:$M$201,MATCH($B1178,Summary!$A$2:$A$201,0))</f>
        <v>1</v>
      </c>
      <c r="R1178" s="2" t="n">
        <f aca="false">INDEX(Summary!$N$2:$N$201,MATCH($B1178,Summary!$A$2:$A$201,0))</f>
        <v>9.25</v>
      </c>
      <c r="S1178" s="3" t="n">
        <f aca="false">INDEX(Summary!$O$2:$O$201,MATCH($B1178,Summary!$A$2:$A$201,0))</f>
        <v>8</v>
      </c>
      <c r="T1178" s="3" t="n">
        <f aca="false">INDEX(Summary!$P$2:$P$201,MATCH($B1178,Summary!$A$2:$A$201,0))</f>
        <v>1</v>
      </c>
      <c r="U1178" s="2" t="n">
        <f aca="false">INDEX(Summary!$Q$2:$Q$201,MATCH($B1178,Summary!$A$2:$A$201,0))</f>
        <v>10.25</v>
      </c>
      <c r="V1178" s="2" t="n">
        <f aca="false">INDEX(Summary!$R$2:$R$201,MATCH($B1178,Summary!$A$2:$A$201,0))</f>
        <v>32.85</v>
      </c>
      <c r="W1178" s="0" t="str">
        <f aca="false">INDEX(Summary!$S$2:$S$201,MATCH($B1178,Summary!$A$2:$A$201,0))</f>
        <v>Gold</v>
      </c>
      <c r="X1178" s="2" t="n">
        <f aca="false">INDEX(Summary!$T$2:$T$201,MATCH($B1178,Summary!$A$2:$A$201,0))</f>
        <v>80.12</v>
      </c>
      <c r="Y1178" s="0" t="str">
        <f aca="false">INDEX('Reward Model'!$E$18:$E$37,MATCH($E1178,'Reward Model'!$A$18:$A$37,0))</f>
        <v>High</v>
      </c>
      <c r="Z1178" s="4" t="n">
        <f aca="false">ROUND(MIN(1,MAX('Reward Model'!$B$2,INDEX('Reward Model'!$C$12:$C$14,MATCH($K1178,'Reward Model'!$A$12:$A$14,0))/$J1178)),3)</f>
        <v>0.93</v>
      </c>
      <c r="AA1178" s="2" t="n">
        <f aca="false">IF($I1178="Correct",ROUND(INDEX('Reward Model'!$B$12:$B$14,MATCH($K1178,'Reward Model'!$A$12:$A$14,0))*Z1178,2),0)</f>
        <v>2.79</v>
      </c>
      <c r="AB1178" s="2" t="n">
        <f aca="false">IF($I1178="Correct",ROUND(INDEX('Reward Model'!$B$12:$B$14,MATCH($Y1178,'Reward Model'!$A$12:$A$14,0))*Z1178,2),0)</f>
        <v>2.79</v>
      </c>
    </row>
    <row r="1179" customFormat="false" ht="15" hidden="false" customHeight="false" outlineLevel="0" collapsed="false">
      <c r="A1179" s="0" t="s">
        <v>245</v>
      </c>
      <c r="B1179" s="0" t="s">
        <v>246</v>
      </c>
      <c r="C1179" s="0" t="s">
        <v>30</v>
      </c>
      <c r="D1179" s="0" t="s">
        <v>189</v>
      </c>
      <c r="E1179" s="0" t="n">
        <v>18</v>
      </c>
      <c r="F1179" s="0" t="s">
        <v>76</v>
      </c>
      <c r="G1179" s="0" t="s">
        <v>77</v>
      </c>
      <c r="H1179" s="0" t="s">
        <v>77</v>
      </c>
      <c r="I1179" s="0" t="s">
        <v>34</v>
      </c>
      <c r="J1179" s="0" t="n">
        <v>2.19</v>
      </c>
      <c r="K1179" s="0" t="s">
        <v>73</v>
      </c>
      <c r="L1179" s="0" t="n">
        <f aca="false">INDEX(Summary!$F$2:$F$201,MATCH($B1179,Summary!$A$2:$A$201,0))</f>
        <v>20</v>
      </c>
      <c r="M1179" s="0" t="n">
        <f aca="false">INDEX(Summary!$I$2:$I$201,MATCH($B1179,Summary!$A$2:$A$201,0))</f>
        <v>4</v>
      </c>
      <c r="N1179" s="0" t="n">
        <f aca="false">INDEX(Summary!$J$2:$J$201,MATCH($B1179,Summary!$A$2:$A$201,0))</f>
        <v>1</v>
      </c>
      <c r="O1179" s="2" t="n">
        <f aca="false">INDEX(Summary!$K$2:$K$201,MATCH($B1179,Summary!$A$2:$A$201,0))</f>
        <v>9.61</v>
      </c>
      <c r="P1179" s="3" t="n">
        <f aca="false">INDEX(Summary!$L$2:$L$201,MATCH($B1179,Summary!$A$2:$A$201,0))</f>
        <v>5</v>
      </c>
      <c r="Q1179" s="3" t="n">
        <f aca="false">INDEX(Summary!$M$2:$M$201,MATCH($B1179,Summary!$A$2:$A$201,0))</f>
        <v>1</v>
      </c>
      <c r="R1179" s="2" t="n">
        <f aca="false">INDEX(Summary!$N$2:$N$201,MATCH($B1179,Summary!$A$2:$A$201,0))</f>
        <v>9.25</v>
      </c>
      <c r="S1179" s="3" t="n">
        <f aca="false">INDEX(Summary!$O$2:$O$201,MATCH($B1179,Summary!$A$2:$A$201,0))</f>
        <v>8</v>
      </c>
      <c r="T1179" s="3" t="n">
        <f aca="false">INDEX(Summary!$P$2:$P$201,MATCH($B1179,Summary!$A$2:$A$201,0))</f>
        <v>1</v>
      </c>
      <c r="U1179" s="2" t="n">
        <f aca="false">INDEX(Summary!$Q$2:$Q$201,MATCH($B1179,Summary!$A$2:$A$201,0))</f>
        <v>10.25</v>
      </c>
      <c r="V1179" s="2" t="n">
        <f aca="false">INDEX(Summary!$R$2:$R$201,MATCH($B1179,Summary!$A$2:$A$201,0))</f>
        <v>32.85</v>
      </c>
      <c r="W1179" s="0" t="str">
        <f aca="false">INDEX(Summary!$S$2:$S$201,MATCH($B1179,Summary!$A$2:$A$201,0))</f>
        <v>Gold</v>
      </c>
      <c r="X1179" s="2" t="n">
        <f aca="false">INDEX(Summary!$T$2:$T$201,MATCH($B1179,Summary!$A$2:$A$201,0))</f>
        <v>80.12</v>
      </c>
      <c r="Y1179" s="0" t="str">
        <f aca="false">INDEX('Reward Model'!$E$18:$E$37,MATCH($E1179,'Reward Model'!$A$18:$A$37,0))</f>
        <v>High</v>
      </c>
      <c r="Z1179" s="4" t="n">
        <f aca="false">ROUND(MIN(1,MAX('Reward Model'!$B$2,INDEX('Reward Model'!$C$12:$C$14,MATCH($K1179,'Reward Model'!$A$12:$A$14,0))/$J1179)),3)</f>
        <v>0.913</v>
      </c>
      <c r="AA1179" s="2" t="n">
        <f aca="false">IF($I1179="Correct",ROUND(INDEX('Reward Model'!$B$12:$B$14,MATCH($K1179,'Reward Model'!$A$12:$A$14,0))*Z1179,2),0)</f>
        <v>2.74</v>
      </c>
      <c r="AB1179" s="2" t="n">
        <f aca="false">IF($I1179="Correct",ROUND(INDEX('Reward Model'!$B$12:$B$14,MATCH($Y1179,'Reward Model'!$A$12:$A$14,0))*Z1179,2),0)</f>
        <v>2.74</v>
      </c>
    </row>
    <row r="1180" customFormat="false" ht="15" hidden="false" customHeight="false" outlineLevel="0" collapsed="false">
      <c r="A1180" s="0" t="s">
        <v>245</v>
      </c>
      <c r="B1180" s="0" t="s">
        <v>246</v>
      </c>
      <c r="C1180" s="0" t="s">
        <v>30</v>
      </c>
      <c r="D1180" s="0" t="s">
        <v>189</v>
      </c>
      <c r="E1180" s="0" t="n">
        <v>19</v>
      </c>
      <c r="F1180" s="0" t="s">
        <v>78</v>
      </c>
      <c r="G1180" s="0" t="s">
        <v>80</v>
      </c>
      <c r="H1180" s="0" t="s">
        <v>80</v>
      </c>
      <c r="I1180" s="0" t="s">
        <v>34</v>
      </c>
      <c r="J1180" s="0" t="n">
        <v>1.28</v>
      </c>
      <c r="K1180" s="0" t="s">
        <v>73</v>
      </c>
      <c r="L1180" s="0" t="n">
        <f aca="false">INDEX(Summary!$F$2:$F$201,MATCH($B1180,Summary!$A$2:$A$201,0))</f>
        <v>20</v>
      </c>
      <c r="M1180" s="0" t="n">
        <f aca="false">INDEX(Summary!$I$2:$I$201,MATCH($B1180,Summary!$A$2:$A$201,0))</f>
        <v>4</v>
      </c>
      <c r="N1180" s="0" t="n">
        <f aca="false">INDEX(Summary!$J$2:$J$201,MATCH($B1180,Summary!$A$2:$A$201,0))</f>
        <v>1</v>
      </c>
      <c r="O1180" s="2" t="n">
        <f aca="false">INDEX(Summary!$K$2:$K$201,MATCH($B1180,Summary!$A$2:$A$201,0))</f>
        <v>9.61</v>
      </c>
      <c r="P1180" s="3" t="n">
        <f aca="false">INDEX(Summary!$L$2:$L$201,MATCH($B1180,Summary!$A$2:$A$201,0))</f>
        <v>5</v>
      </c>
      <c r="Q1180" s="3" t="n">
        <f aca="false">INDEX(Summary!$M$2:$M$201,MATCH($B1180,Summary!$A$2:$A$201,0))</f>
        <v>1</v>
      </c>
      <c r="R1180" s="2" t="n">
        <f aca="false">INDEX(Summary!$N$2:$N$201,MATCH($B1180,Summary!$A$2:$A$201,0))</f>
        <v>9.25</v>
      </c>
      <c r="S1180" s="3" t="n">
        <f aca="false">INDEX(Summary!$O$2:$O$201,MATCH($B1180,Summary!$A$2:$A$201,0))</f>
        <v>8</v>
      </c>
      <c r="T1180" s="3" t="n">
        <f aca="false">INDEX(Summary!$P$2:$P$201,MATCH($B1180,Summary!$A$2:$A$201,0))</f>
        <v>1</v>
      </c>
      <c r="U1180" s="2" t="n">
        <f aca="false">INDEX(Summary!$Q$2:$Q$201,MATCH($B1180,Summary!$A$2:$A$201,0))</f>
        <v>10.25</v>
      </c>
      <c r="V1180" s="2" t="n">
        <f aca="false">INDEX(Summary!$R$2:$R$201,MATCH($B1180,Summary!$A$2:$A$201,0))</f>
        <v>32.85</v>
      </c>
      <c r="W1180" s="0" t="str">
        <f aca="false">INDEX(Summary!$S$2:$S$201,MATCH($B1180,Summary!$A$2:$A$201,0))</f>
        <v>Gold</v>
      </c>
      <c r="X1180" s="2" t="n">
        <f aca="false">INDEX(Summary!$T$2:$T$201,MATCH($B1180,Summary!$A$2:$A$201,0))</f>
        <v>80.12</v>
      </c>
      <c r="Y1180" s="0" t="str">
        <f aca="false">INDEX('Reward Model'!$E$18:$E$37,MATCH($E1180,'Reward Model'!$A$18:$A$37,0))</f>
        <v>High</v>
      </c>
      <c r="Z1180" s="4" t="n">
        <f aca="false">ROUND(MIN(1,MAX('Reward Model'!$B$2,INDEX('Reward Model'!$C$12:$C$14,MATCH($K1180,'Reward Model'!$A$12:$A$14,0))/$J1180)),3)</f>
        <v>1</v>
      </c>
      <c r="AA1180" s="2" t="n">
        <f aca="false">IF($I1180="Correct",ROUND(INDEX('Reward Model'!$B$12:$B$14,MATCH($K1180,'Reward Model'!$A$12:$A$14,0))*Z1180,2),0)</f>
        <v>3</v>
      </c>
      <c r="AB1180" s="2" t="n">
        <f aca="false">IF($I1180="Correct",ROUND(INDEX('Reward Model'!$B$12:$B$14,MATCH($Y1180,'Reward Model'!$A$12:$A$14,0))*Z1180,2),0)</f>
        <v>3</v>
      </c>
    </row>
    <row r="1181" customFormat="false" ht="15" hidden="false" customHeight="false" outlineLevel="0" collapsed="false">
      <c r="A1181" s="0" t="s">
        <v>245</v>
      </c>
      <c r="B1181" s="0" t="s">
        <v>246</v>
      </c>
      <c r="C1181" s="0" t="s">
        <v>30</v>
      </c>
      <c r="D1181" s="0" t="s">
        <v>189</v>
      </c>
      <c r="E1181" s="0" t="n">
        <v>20</v>
      </c>
      <c r="F1181" s="0" t="s">
        <v>81</v>
      </c>
      <c r="G1181" s="0" t="s">
        <v>83</v>
      </c>
      <c r="H1181" s="0" t="s">
        <v>83</v>
      </c>
      <c r="I1181" s="0" t="s">
        <v>34</v>
      </c>
      <c r="J1181" s="0" t="n">
        <v>2.59</v>
      </c>
      <c r="K1181" s="0" t="s">
        <v>73</v>
      </c>
      <c r="L1181" s="0" t="n">
        <f aca="false">INDEX(Summary!$F$2:$F$201,MATCH($B1181,Summary!$A$2:$A$201,0))</f>
        <v>20</v>
      </c>
      <c r="M1181" s="0" t="n">
        <f aca="false">INDEX(Summary!$I$2:$I$201,MATCH($B1181,Summary!$A$2:$A$201,0))</f>
        <v>4</v>
      </c>
      <c r="N1181" s="0" t="n">
        <f aca="false">INDEX(Summary!$J$2:$J$201,MATCH($B1181,Summary!$A$2:$A$201,0))</f>
        <v>1</v>
      </c>
      <c r="O1181" s="2" t="n">
        <f aca="false">INDEX(Summary!$K$2:$K$201,MATCH($B1181,Summary!$A$2:$A$201,0))</f>
        <v>9.61</v>
      </c>
      <c r="P1181" s="3" t="n">
        <f aca="false">INDEX(Summary!$L$2:$L$201,MATCH($B1181,Summary!$A$2:$A$201,0))</f>
        <v>5</v>
      </c>
      <c r="Q1181" s="3" t="n">
        <f aca="false">INDEX(Summary!$M$2:$M$201,MATCH($B1181,Summary!$A$2:$A$201,0))</f>
        <v>1</v>
      </c>
      <c r="R1181" s="2" t="n">
        <f aca="false">INDEX(Summary!$N$2:$N$201,MATCH($B1181,Summary!$A$2:$A$201,0))</f>
        <v>9.25</v>
      </c>
      <c r="S1181" s="3" t="n">
        <f aca="false">INDEX(Summary!$O$2:$O$201,MATCH($B1181,Summary!$A$2:$A$201,0))</f>
        <v>8</v>
      </c>
      <c r="T1181" s="3" t="n">
        <f aca="false">INDEX(Summary!$P$2:$P$201,MATCH($B1181,Summary!$A$2:$A$201,0))</f>
        <v>1</v>
      </c>
      <c r="U1181" s="2" t="n">
        <f aca="false">INDEX(Summary!$Q$2:$Q$201,MATCH($B1181,Summary!$A$2:$A$201,0))</f>
        <v>10.25</v>
      </c>
      <c r="V1181" s="2" t="n">
        <f aca="false">INDEX(Summary!$R$2:$R$201,MATCH($B1181,Summary!$A$2:$A$201,0))</f>
        <v>32.85</v>
      </c>
      <c r="W1181" s="0" t="str">
        <f aca="false">INDEX(Summary!$S$2:$S$201,MATCH($B1181,Summary!$A$2:$A$201,0))</f>
        <v>Gold</v>
      </c>
      <c r="X1181" s="2" t="n">
        <f aca="false">INDEX(Summary!$T$2:$T$201,MATCH($B1181,Summary!$A$2:$A$201,0))</f>
        <v>80.12</v>
      </c>
      <c r="Y1181" s="0" t="str">
        <f aca="false">INDEX('Reward Model'!$E$18:$E$37,MATCH($E1181,'Reward Model'!$A$18:$A$37,0))</f>
        <v>High</v>
      </c>
      <c r="Z1181" s="4" t="n">
        <f aca="false">ROUND(MIN(1,MAX('Reward Model'!$B$2,INDEX('Reward Model'!$C$12:$C$14,MATCH($K1181,'Reward Model'!$A$12:$A$14,0))/$J1181)),3)</f>
        <v>0.772</v>
      </c>
      <c r="AA1181" s="2" t="n">
        <f aca="false">IF($I1181="Correct",ROUND(INDEX('Reward Model'!$B$12:$B$14,MATCH($K1181,'Reward Model'!$A$12:$A$14,0))*Z1181,2),0)</f>
        <v>2.32</v>
      </c>
      <c r="AB1181" s="2" t="n">
        <f aca="false">IF($I1181="Correct",ROUND(INDEX('Reward Model'!$B$12:$B$14,MATCH($Y1181,'Reward Model'!$A$12:$A$14,0))*Z1181,2),0)</f>
        <v>2.32</v>
      </c>
    </row>
    <row r="1182" customFormat="false" ht="15" hidden="false" customHeight="false" outlineLevel="0" collapsed="false">
      <c r="A1182" s="0" t="s">
        <v>247</v>
      </c>
      <c r="B1182" s="0" t="s">
        <v>248</v>
      </c>
      <c r="C1182" s="0" t="s">
        <v>30</v>
      </c>
      <c r="D1182" s="0" t="s">
        <v>189</v>
      </c>
      <c r="E1182" s="0" t="n">
        <v>1</v>
      </c>
      <c r="F1182" s="0" t="s">
        <v>32</v>
      </c>
      <c r="G1182" s="0" t="s">
        <v>33</v>
      </c>
      <c r="H1182" s="0" t="s">
        <v>33</v>
      </c>
      <c r="I1182" s="0" t="s">
        <v>34</v>
      </c>
      <c r="J1182" s="0" t="n">
        <v>1.25</v>
      </c>
      <c r="K1182" s="0" t="s">
        <v>35</v>
      </c>
      <c r="L1182" s="0" t="n">
        <f aca="false">INDEX(Summary!$F$2:$F$201,MATCH($B1182,Summary!$A$2:$A$201,0))</f>
        <v>20</v>
      </c>
      <c r="M1182" s="0" t="n">
        <f aca="false">INDEX(Summary!$I$2:$I$201,MATCH($B1182,Summary!$A$2:$A$201,0))</f>
        <v>3</v>
      </c>
      <c r="N1182" s="0" t="n">
        <f aca="false">INDEX(Summary!$J$2:$J$201,MATCH($B1182,Summary!$A$2:$A$201,0))</f>
        <v>2</v>
      </c>
      <c r="O1182" s="2" t="n">
        <f aca="false">INDEX(Summary!$K$2:$K$201,MATCH($B1182,Summary!$A$2:$A$201,0))</f>
        <v>8.51</v>
      </c>
      <c r="P1182" s="3" t="n">
        <f aca="false">INDEX(Summary!$L$2:$L$201,MATCH($B1182,Summary!$A$2:$A$201,0))</f>
        <v>5</v>
      </c>
      <c r="Q1182" s="3" t="n">
        <f aca="false">INDEX(Summary!$M$2:$M$201,MATCH($B1182,Summary!$A$2:$A$201,0))</f>
        <v>1</v>
      </c>
      <c r="R1182" s="2" t="n">
        <f aca="false">INDEX(Summary!$N$2:$N$201,MATCH($B1182,Summary!$A$2:$A$201,0))</f>
        <v>8.72</v>
      </c>
      <c r="S1182" s="3" t="n">
        <f aca="false">INDEX(Summary!$O$2:$O$201,MATCH($B1182,Summary!$A$2:$A$201,0))</f>
        <v>7</v>
      </c>
      <c r="T1182" s="3" t="n">
        <f aca="false">INDEX(Summary!$P$2:$P$201,MATCH($B1182,Summary!$A$2:$A$201,0))</f>
        <v>2</v>
      </c>
      <c r="U1182" s="2" t="n">
        <f aca="false">INDEX(Summary!$Q$2:$Q$201,MATCH($B1182,Summary!$A$2:$A$201,0))</f>
        <v>13.2</v>
      </c>
      <c r="V1182" s="2" t="n">
        <f aca="false">INDEX(Summary!$R$2:$R$201,MATCH($B1182,Summary!$A$2:$A$201,0))</f>
        <v>29.22</v>
      </c>
      <c r="W1182" s="0" t="str">
        <f aca="false">INDEX(Summary!$S$2:$S$201,MATCH($B1182,Summary!$A$2:$A$201,0))</f>
        <v>Gold</v>
      </c>
      <c r="X1182" s="2" t="n">
        <f aca="false">INDEX(Summary!$T$2:$T$201,MATCH($B1182,Summary!$A$2:$A$201,0))</f>
        <v>71.27</v>
      </c>
      <c r="Y1182" s="0" t="str">
        <f aca="false">INDEX('Reward Model'!$E$18:$E$37,MATCH($E1182,'Reward Model'!$A$18:$A$37,0))</f>
        <v>Medium</v>
      </c>
      <c r="Z1182" s="4" t="n">
        <f aca="false">ROUND(MIN(1,MAX('Reward Model'!$B$2,INDEX('Reward Model'!$C$12:$C$14,MATCH($K1182,'Reward Model'!$A$12:$A$14,0))/$J1182)),3)</f>
        <v>1</v>
      </c>
      <c r="AA1182" s="2" t="n">
        <f aca="false">IF($I1182="Correct",ROUND(INDEX('Reward Model'!$B$12:$B$14,MATCH($K1182,'Reward Model'!$A$12:$A$14,0))*Z1182,2),0)</f>
        <v>1</v>
      </c>
      <c r="AB1182" s="2" t="n">
        <f aca="false">IF($I1182="Correct",ROUND(INDEX('Reward Model'!$B$12:$B$14,MATCH($Y1182,'Reward Model'!$A$12:$A$14,0))*Z1182,2),0)</f>
        <v>2</v>
      </c>
    </row>
    <row r="1183" customFormat="false" ht="15" hidden="false" customHeight="false" outlineLevel="0" collapsed="false">
      <c r="A1183" s="0" t="s">
        <v>247</v>
      </c>
      <c r="B1183" s="0" t="s">
        <v>248</v>
      </c>
      <c r="C1183" s="0" t="s">
        <v>30</v>
      </c>
      <c r="D1183" s="0" t="s">
        <v>189</v>
      </c>
      <c r="E1183" s="0" t="n">
        <v>2</v>
      </c>
      <c r="F1183" s="0" t="s">
        <v>36</v>
      </c>
      <c r="G1183" s="0" t="s">
        <v>38</v>
      </c>
      <c r="H1183" s="0" t="s">
        <v>38</v>
      </c>
      <c r="I1183" s="0" t="s">
        <v>34</v>
      </c>
      <c r="J1183" s="0" t="n">
        <v>1.54</v>
      </c>
      <c r="K1183" s="0" t="s">
        <v>35</v>
      </c>
      <c r="L1183" s="0" t="n">
        <f aca="false">INDEX(Summary!$F$2:$F$201,MATCH($B1183,Summary!$A$2:$A$201,0))</f>
        <v>20</v>
      </c>
      <c r="M1183" s="0" t="n">
        <f aca="false">INDEX(Summary!$I$2:$I$201,MATCH($B1183,Summary!$A$2:$A$201,0))</f>
        <v>3</v>
      </c>
      <c r="N1183" s="0" t="n">
        <f aca="false">INDEX(Summary!$J$2:$J$201,MATCH($B1183,Summary!$A$2:$A$201,0))</f>
        <v>2</v>
      </c>
      <c r="O1183" s="2" t="n">
        <f aca="false">INDEX(Summary!$K$2:$K$201,MATCH($B1183,Summary!$A$2:$A$201,0))</f>
        <v>8.51</v>
      </c>
      <c r="P1183" s="3" t="n">
        <f aca="false">INDEX(Summary!$L$2:$L$201,MATCH($B1183,Summary!$A$2:$A$201,0))</f>
        <v>5</v>
      </c>
      <c r="Q1183" s="3" t="n">
        <f aca="false">INDEX(Summary!$M$2:$M$201,MATCH($B1183,Summary!$A$2:$A$201,0))</f>
        <v>1</v>
      </c>
      <c r="R1183" s="2" t="n">
        <f aca="false">INDEX(Summary!$N$2:$N$201,MATCH($B1183,Summary!$A$2:$A$201,0))</f>
        <v>8.72</v>
      </c>
      <c r="S1183" s="3" t="n">
        <f aca="false">INDEX(Summary!$O$2:$O$201,MATCH($B1183,Summary!$A$2:$A$201,0))</f>
        <v>7</v>
      </c>
      <c r="T1183" s="3" t="n">
        <f aca="false">INDEX(Summary!$P$2:$P$201,MATCH($B1183,Summary!$A$2:$A$201,0))</f>
        <v>2</v>
      </c>
      <c r="U1183" s="2" t="n">
        <f aca="false">INDEX(Summary!$Q$2:$Q$201,MATCH($B1183,Summary!$A$2:$A$201,0))</f>
        <v>13.2</v>
      </c>
      <c r="V1183" s="2" t="n">
        <f aca="false">INDEX(Summary!$R$2:$R$201,MATCH($B1183,Summary!$A$2:$A$201,0))</f>
        <v>29.22</v>
      </c>
      <c r="W1183" s="0" t="str">
        <f aca="false">INDEX(Summary!$S$2:$S$201,MATCH($B1183,Summary!$A$2:$A$201,0))</f>
        <v>Gold</v>
      </c>
      <c r="X1183" s="2" t="n">
        <f aca="false">INDEX(Summary!$T$2:$T$201,MATCH($B1183,Summary!$A$2:$A$201,0))</f>
        <v>71.27</v>
      </c>
      <c r="Y1183" s="0" t="str">
        <f aca="false">INDEX('Reward Model'!$E$18:$E$37,MATCH($E1183,'Reward Model'!$A$18:$A$37,0))</f>
        <v>Low</v>
      </c>
      <c r="Z1183" s="4" t="n">
        <f aca="false">ROUND(MIN(1,MAX('Reward Model'!$B$2,INDEX('Reward Model'!$C$12:$C$14,MATCH($K1183,'Reward Model'!$A$12:$A$14,0))/$J1183)),3)</f>
        <v>0.974</v>
      </c>
      <c r="AA1183" s="2" t="n">
        <f aca="false">IF($I1183="Correct",ROUND(INDEX('Reward Model'!$B$12:$B$14,MATCH($K1183,'Reward Model'!$A$12:$A$14,0))*Z1183,2),0)</f>
        <v>0.97</v>
      </c>
      <c r="AB1183" s="2" t="n">
        <f aca="false">IF($I1183="Correct",ROUND(INDEX('Reward Model'!$B$12:$B$14,MATCH($Y1183,'Reward Model'!$A$12:$A$14,0))*Z1183,2),0)</f>
        <v>0.97</v>
      </c>
    </row>
    <row r="1184" customFormat="false" ht="15" hidden="false" customHeight="false" outlineLevel="0" collapsed="false">
      <c r="A1184" s="0" t="s">
        <v>247</v>
      </c>
      <c r="B1184" s="0" t="s">
        <v>248</v>
      </c>
      <c r="C1184" s="0" t="s">
        <v>30</v>
      </c>
      <c r="D1184" s="0" t="s">
        <v>189</v>
      </c>
      <c r="E1184" s="0" t="n">
        <v>3</v>
      </c>
      <c r="F1184" s="0" t="s">
        <v>40</v>
      </c>
      <c r="G1184" s="0" t="s">
        <v>123</v>
      </c>
      <c r="H1184" s="0" t="s">
        <v>42</v>
      </c>
      <c r="I1184" s="0" t="s">
        <v>39</v>
      </c>
      <c r="J1184" s="0" t="n">
        <v>1.21</v>
      </c>
      <c r="K1184" s="0" t="s">
        <v>35</v>
      </c>
      <c r="L1184" s="0" t="n">
        <f aca="false">INDEX(Summary!$F$2:$F$201,MATCH($B1184,Summary!$A$2:$A$201,0))</f>
        <v>20</v>
      </c>
      <c r="M1184" s="0" t="n">
        <f aca="false">INDEX(Summary!$I$2:$I$201,MATCH($B1184,Summary!$A$2:$A$201,0))</f>
        <v>3</v>
      </c>
      <c r="N1184" s="0" t="n">
        <f aca="false">INDEX(Summary!$J$2:$J$201,MATCH($B1184,Summary!$A$2:$A$201,0))</f>
        <v>2</v>
      </c>
      <c r="O1184" s="2" t="n">
        <f aca="false">INDEX(Summary!$K$2:$K$201,MATCH($B1184,Summary!$A$2:$A$201,0))</f>
        <v>8.51</v>
      </c>
      <c r="P1184" s="3" t="n">
        <f aca="false">INDEX(Summary!$L$2:$L$201,MATCH($B1184,Summary!$A$2:$A$201,0))</f>
        <v>5</v>
      </c>
      <c r="Q1184" s="3" t="n">
        <f aca="false">INDEX(Summary!$M$2:$M$201,MATCH($B1184,Summary!$A$2:$A$201,0))</f>
        <v>1</v>
      </c>
      <c r="R1184" s="2" t="n">
        <f aca="false">INDEX(Summary!$N$2:$N$201,MATCH($B1184,Summary!$A$2:$A$201,0))</f>
        <v>8.72</v>
      </c>
      <c r="S1184" s="3" t="n">
        <f aca="false">INDEX(Summary!$O$2:$O$201,MATCH($B1184,Summary!$A$2:$A$201,0))</f>
        <v>7</v>
      </c>
      <c r="T1184" s="3" t="n">
        <f aca="false">INDEX(Summary!$P$2:$P$201,MATCH($B1184,Summary!$A$2:$A$201,0))</f>
        <v>2</v>
      </c>
      <c r="U1184" s="2" t="n">
        <f aca="false">INDEX(Summary!$Q$2:$Q$201,MATCH($B1184,Summary!$A$2:$A$201,0))</f>
        <v>13.2</v>
      </c>
      <c r="V1184" s="2" t="n">
        <f aca="false">INDEX(Summary!$R$2:$R$201,MATCH($B1184,Summary!$A$2:$A$201,0))</f>
        <v>29.22</v>
      </c>
      <c r="W1184" s="0" t="str">
        <f aca="false">INDEX(Summary!$S$2:$S$201,MATCH($B1184,Summary!$A$2:$A$201,0))</f>
        <v>Gold</v>
      </c>
      <c r="X1184" s="2" t="n">
        <f aca="false">INDEX(Summary!$T$2:$T$201,MATCH($B1184,Summary!$A$2:$A$201,0))</f>
        <v>71.27</v>
      </c>
      <c r="Y1184" s="0" t="str">
        <f aca="false">INDEX('Reward Model'!$E$18:$E$37,MATCH($E1184,'Reward Model'!$A$18:$A$37,0))</f>
        <v>Medium</v>
      </c>
      <c r="Z1184" s="4" t="n">
        <f aca="false">ROUND(MIN(1,MAX('Reward Model'!$B$2,INDEX('Reward Model'!$C$12:$C$14,MATCH($K1184,'Reward Model'!$A$12:$A$14,0))/$J1184)),3)</f>
        <v>1</v>
      </c>
      <c r="AA1184" s="2" t="n">
        <f aca="false">IF($I1184="Correct",ROUND(INDEX('Reward Model'!$B$12:$B$14,MATCH($K1184,'Reward Model'!$A$12:$A$14,0))*Z1184,2),0)</f>
        <v>0</v>
      </c>
      <c r="AB1184" s="2" t="n">
        <f aca="false">IF($I1184="Correct",ROUND(INDEX('Reward Model'!$B$12:$B$14,MATCH($Y1184,'Reward Model'!$A$12:$A$14,0))*Z1184,2),0)</f>
        <v>0</v>
      </c>
    </row>
    <row r="1185" customFormat="false" ht="15" hidden="false" customHeight="false" outlineLevel="0" collapsed="false">
      <c r="A1185" s="0" t="s">
        <v>247</v>
      </c>
      <c r="B1185" s="0" t="s">
        <v>248</v>
      </c>
      <c r="C1185" s="0" t="s">
        <v>30</v>
      </c>
      <c r="D1185" s="0" t="s">
        <v>189</v>
      </c>
      <c r="E1185" s="0" t="n">
        <v>4</v>
      </c>
      <c r="F1185" s="0" t="s">
        <v>43</v>
      </c>
      <c r="G1185" s="0" t="s">
        <v>45</v>
      </c>
      <c r="H1185" s="0" t="s">
        <v>45</v>
      </c>
      <c r="I1185" s="0" t="s">
        <v>34</v>
      </c>
      <c r="J1185" s="0" t="n">
        <v>1.86</v>
      </c>
      <c r="K1185" s="0" t="s">
        <v>35</v>
      </c>
      <c r="L1185" s="0" t="n">
        <f aca="false">INDEX(Summary!$F$2:$F$201,MATCH($B1185,Summary!$A$2:$A$201,0))</f>
        <v>20</v>
      </c>
      <c r="M1185" s="0" t="n">
        <f aca="false">INDEX(Summary!$I$2:$I$201,MATCH($B1185,Summary!$A$2:$A$201,0))</f>
        <v>3</v>
      </c>
      <c r="N1185" s="0" t="n">
        <f aca="false">INDEX(Summary!$J$2:$J$201,MATCH($B1185,Summary!$A$2:$A$201,0))</f>
        <v>2</v>
      </c>
      <c r="O1185" s="2" t="n">
        <f aca="false">INDEX(Summary!$K$2:$K$201,MATCH($B1185,Summary!$A$2:$A$201,0))</f>
        <v>8.51</v>
      </c>
      <c r="P1185" s="3" t="n">
        <f aca="false">INDEX(Summary!$L$2:$L$201,MATCH($B1185,Summary!$A$2:$A$201,0))</f>
        <v>5</v>
      </c>
      <c r="Q1185" s="3" t="n">
        <f aca="false">INDEX(Summary!$M$2:$M$201,MATCH($B1185,Summary!$A$2:$A$201,0))</f>
        <v>1</v>
      </c>
      <c r="R1185" s="2" t="n">
        <f aca="false">INDEX(Summary!$N$2:$N$201,MATCH($B1185,Summary!$A$2:$A$201,0))</f>
        <v>8.72</v>
      </c>
      <c r="S1185" s="3" t="n">
        <f aca="false">INDEX(Summary!$O$2:$O$201,MATCH($B1185,Summary!$A$2:$A$201,0))</f>
        <v>7</v>
      </c>
      <c r="T1185" s="3" t="n">
        <f aca="false">INDEX(Summary!$P$2:$P$201,MATCH($B1185,Summary!$A$2:$A$201,0))</f>
        <v>2</v>
      </c>
      <c r="U1185" s="2" t="n">
        <f aca="false">INDEX(Summary!$Q$2:$Q$201,MATCH($B1185,Summary!$A$2:$A$201,0))</f>
        <v>13.2</v>
      </c>
      <c r="V1185" s="2" t="n">
        <f aca="false">INDEX(Summary!$R$2:$R$201,MATCH($B1185,Summary!$A$2:$A$201,0))</f>
        <v>29.22</v>
      </c>
      <c r="W1185" s="0" t="str">
        <f aca="false">INDEX(Summary!$S$2:$S$201,MATCH($B1185,Summary!$A$2:$A$201,0))</f>
        <v>Gold</v>
      </c>
      <c r="X1185" s="2" t="n">
        <f aca="false">INDEX(Summary!$T$2:$T$201,MATCH($B1185,Summary!$A$2:$A$201,0))</f>
        <v>71.27</v>
      </c>
      <c r="Y1185" s="0" t="str">
        <f aca="false">INDEX('Reward Model'!$E$18:$E$37,MATCH($E1185,'Reward Model'!$A$18:$A$37,0))</f>
        <v>Low</v>
      </c>
      <c r="Z1185" s="4" t="n">
        <f aca="false">ROUND(MIN(1,MAX('Reward Model'!$B$2,INDEX('Reward Model'!$C$12:$C$14,MATCH($K1185,'Reward Model'!$A$12:$A$14,0))/$J1185)),3)</f>
        <v>0.806</v>
      </c>
      <c r="AA1185" s="2" t="n">
        <f aca="false">IF($I1185="Correct",ROUND(INDEX('Reward Model'!$B$12:$B$14,MATCH($K1185,'Reward Model'!$A$12:$A$14,0))*Z1185,2),0)</f>
        <v>0.81</v>
      </c>
      <c r="AB1185" s="2" t="n">
        <f aca="false">IF($I1185="Correct",ROUND(INDEX('Reward Model'!$B$12:$B$14,MATCH($Y1185,'Reward Model'!$A$12:$A$14,0))*Z1185,2),0)</f>
        <v>0.81</v>
      </c>
    </row>
    <row r="1186" customFormat="false" ht="15" hidden="false" customHeight="false" outlineLevel="0" collapsed="false">
      <c r="A1186" s="0" t="s">
        <v>247</v>
      </c>
      <c r="B1186" s="0" t="s">
        <v>248</v>
      </c>
      <c r="C1186" s="0" t="s">
        <v>30</v>
      </c>
      <c r="D1186" s="0" t="s">
        <v>189</v>
      </c>
      <c r="E1186" s="0" t="n">
        <v>5</v>
      </c>
      <c r="F1186" s="0" t="s">
        <v>46</v>
      </c>
      <c r="G1186" s="0" t="s">
        <v>164</v>
      </c>
      <c r="H1186" s="0" t="s">
        <v>47</v>
      </c>
      <c r="I1186" s="0" t="s">
        <v>39</v>
      </c>
      <c r="J1186" s="0" t="n">
        <v>1.21</v>
      </c>
      <c r="K1186" s="0" t="s">
        <v>35</v>
      </c>
      <c r="L1186" s="0" t="n">
        <f aca="false">INDEX(Summary!$F$2:$F$201,MATCH($B1186,Summary!$A$2:$A$201,0))</f>
        <v>20</v>
      </c>
      <c r="M1186" s="0" t="n">
        <f aca="false">INDEX(Summary!$I$2:$I$201,MATCH($B1186,Summary!$A$2:$A$201,0))</f>
        <v>3</v>
      </c>
      <c r="N1186" s="0" t="n">
        <f aca="false">INDEX(Summary!$J$2:$J$201,MATCH($B1186,Summary!$A$2:$A$201,0))</f>
        <v>2</v>
      </c>
      <c r="O1186" s="2" t="n">
        <f aca="false">INDEX(Summary!$K$2:$K$201,MATCH($B1186,Summary!$A$2:$A$201,0))</f>
        <v>8.51</v>
      </c>
      <c r="P1186" s="3" t="n">
        <f aca="false">INDEX(Summary!$L$2:$L$201,MATCH($B1186,Summary!$A$2:$A$201,0))</f>
        <v>5</v>
      </c>
      <c r="Q1186" s="3" t="n">
        <f aca="false">INDEX(Summary!$M$2:$M$201,MATCH($B1186,Summary!$A$2:$A$201,0))</f>
        <v>1</v>
      </c>
      <c r="R1186" s="2" t="n">
        <f aca="false">INDEX(Summary!$N$2:$N$201,MATCH($B1186,Summary!$A$2:$A$201,0))</f>
        <v>8.72</v>
      </c>
      <c r="S1186" s="3" t="n">
        <f aca="false">INDEX(Summary!$O$2:$O$201,MATCH($B1186,Summary!$A$2:$A$201,0))</f>
        <v>7</v>
      </c>
      <c r="T1186" s="3" t="n">
        <f aca="false">INDEX(Summary!$P$2:$P$201,MATCH($B1186,Summary!$A$2:$A$201,0))</f>
        <v>2</v>
      </c>
      <c r="U1186" s="2" t="n">
        <f aca="false">INDEX(Summary!$Q$2:$Q$201,MATCH($B1186,Summary!$A$2:$A$201,0))</f>
        <v>13.2</v>
      </c>
      <c r="V1186" s="2" t="n">
        <f aca="false">INDEX(Summary!$R$2:$R$201,MATCH($B1186,Summary!$A$2:$A$201,0))</f>
        <v>29.22</v>
      </c>
      <c r="W1186" s="0" t="str">
        <f aca="false">INDEX(Summary!$S$2:$S$201,MATCH($B1186,Summary!$A$2:$A$201,0))</f>
        <v>Gold</v>
      </c>
      <c r="X1186" s="2" t="n">
        <f aca="false">INDEX(Summary!$T$2:$T$201,MATCH($B1186,Summary!$A$2:$A$201,0))</f>
        <v>71.27</v>
      </c>
      <c r="Y1186" s="0" t="str">
        <f aca="false">INDEX('Reward Model'!$E$18:$E$37,MATCH($E1186,'Reward Model'!$A$18:$A$37,0))</f>
        <v>Low</v>
      </c>
      <c r="Z1186" s="4" t="n">
        <f aca="false">ROUND(MIN(1,MAX('Reward Model'!$B$2,INDEX('Reward Model'!$C$12:$C$14,MATCH($K1186,'Reward Model'!$A$12:$A$14,0))/$J1186)),3)</f>
        <v>1</v>
      </c>
      <c r="AA1186" s="2" t="n">
        <f aca="false">IF($I1186="Correct",ROUND(INDEX('Reward Model'!$B$12:$B$14,MATCH($K1186,'Reward Model'!$A$12:$A$14,0))*Z1186,2),0)</f>
        <v>0</v>
      </c>
      <c r="AB1186" s="2" t="n">
        <f aca="false">IF($I1186="Correct",ROUND(INDEX('Reward Model'!$B$12:$B$14,MATCH($Y1186,'Reward Model'!$A$12:$A$14,0))*Z1186,2),0)</f>
        <v>0</v>
      </c>
    </row>
    <row r="1187" customFormat="false" ht="15" hidden="false" customHeight="false" outlineLevel="0" collapsed="false">
      <c r="A1187" s="0" t="s">
        <v>247</v>
      </c>
      <c r="B1187" s="0" t="s">
        <v>248</v>
      </c>
      <c r="C1187" s="0" t="s">
        <v>30</v>
      </c>
      <c r="D1187" s="0" t="s">
        <v>189</v>
      </c>
      <c r="E1187" s="0" t="n">
        <v>6</v>
      </c>
      <c r="F1187" s="0" t="s">
        <v>48</v>
      </c>
      <c r="G1187" s="0" t="s">
        <v>49</v>
      </c>
      <c r="H1187" s="0" t="s">
        <v>49</v>
      </c>
      <c r="I1187" s="0" t="s">
        <v>34</v>
      </c>
      <c r="J1187" s="0" t="n">
        <v>1.06</v>
      </c>
      <c r="K1187" s="0" t="s">
        <v>35</v>
      </c>
      <c r="L1187" s="0" t="n">
        <f aca="false">INDEX(Summary!$F$2:$F$201,MATCH($B1187,Summary!$A$2:$A$201,0))</f>
        <v>20</v>
      </c>
      <c r="M1187" s="0" t="n">
        <f aca="false">INDEX(Summary!$I$2:$I$201,MATCH($B1187,Summary!$A$2:$A$201,0))</f>
        <v>3</v>
      </c>
      <c r="N1187" s="0" t="n">
        <f aca="false">INDEX(Summary!$J$2:$J$201,MATCH($B1187,Summary!$A$2:$A$201,0))</f>
        <v>2</v>
      </c>
      <c r="O1187" s="2" t="n">
        <f aca="false">INDEX(Summary!$K$2:$K$201,MATCH($B1187,Summary!$A$2:$A$201,0))</f>
        <v>8.51</v>
      </c>
      <c r="P1187" s="3" t="n">
        <f aca="false">INDEX(Summary!$L$2:$L$201,MATCH($B1187,Summary!$A$2:$A$201,0))</f>
        <v>5</v>
      </c>
      <c r="Q1187" s="3" t="n">
        <f aca="false">INDEX(Summary!$M$2:$M$201,MATCH($B1187,Summary!$A$2:$A$201,0))</f>
        <v>1</v>
      </c>
      <c r="R1187" s="2" t="n">
        <f aca="false">INDEX(Summary!$N$2:$N$201,MATCH($B1187,Summary!$A$2:$A$201,0))</f>
        <v>8.72</v>
      </c>
      <c r="S1187" s="3" t="n">
        <f aca="false">INDEX(Summary!$O$2:$O$201,MATCH($B1187,Summary!$A$2:$A$201,0))</f>
        <v>7</v>
      </c>
      <c r="T1187" s="3" t="n">
        <f aca="false">INDEX(Summary!$P$2:$P$201,MATCH($B1187,Summary!$A$2:$A$201,0))</f>
        <v>2</v>
      </c>
      <c r="U1187" s="2" t="n">
        <f aca="false">INDEX(Summary!$Q$2:$Q$201,MATCH($B1187,Summary!$A$2:$A$201,0))</f>
        <v>13.2</v>
      </c>
      <c r="V1187" s="2" t="n">
        <f aca="false">INDEX(Summary!$R$2:$R$201,MATCH($B1187,Summary!$A$2:$A$201,0))</f>
        <v>29.22</v>
      </c>
      <c r="W1187" s="0" t="str">
        <f aca="false">INDEX(Summary!$S$2:$S$201,MATCH($B1187,Summary!$A$2:$A$201,0))</f>
        <v>Gold</v>
      </c>
      <c r="X1187" s="2" t="n">
        <f aca="false">INDEX(Summary!$T$2:$T$201,MATCH($B1187,Summary!$A$2:$A$201,0))</f>
        <v>71.27</v>
      </c>
      <c r="Y1187" s="0" t="str">
        <f aca="false">INDEX('Reward Model'!$E$18:$E$37,MATCH($E1187,'Reward Model'!$A$18:$A$37,0))</f>
        <v>Medium</v>
      </c>
      <c r="Z1187" s="4" t="n">
        <f aca="false">ROUND(MIN(1,MAX('Reward Model'!$B$2,INDEX('Reward Model'!$C$12:$C$14,MATCH($K1187,'Reward Model'!$A$12:$A$14,0))/$J1187)),3)</f>
        <v>1</v>
      </c>
      <c r="AA1187" s="2" t="n">
        <f aca="false">IF($I1187="Correct",ROUND(INDEX('Reward Model'!$B$12:$B$14,MATCH($K1187,'Reward Model'!$A$12:$A$14,0))*Z1187,2),0)</f>
        <v>1</v>
      </c>
      <c r="AB1187" s="2" t="n">
        <f aca="false">IF($I1187="Correct",ROUND(INDEX('Reward Model'!$B$12:$B$14,MATCH($Y1187,'Reward Model'!$A$12:$A$14,0))*Z1187,2),0)</f>
        <v>2</v>
      </c>
    </row>
    <row r="1188" customFormat="false" ht="15" hidden="false" customHeight="false" outlineLevel="0" collapsed="false">
      <c r="A1188" s="0" t="s">
        <v>247</v>
      </c>
      <c r="B1188" s="0" t="s">
        <v>248</v>
      </c>
      <c r="C1188" s="0" t="s">
        <v>30</v>
      </c>
      <c r="D1188" s="0" t="s">
        <v>189</v>
      </c>
      <c r="E1188" s="0" t="n">
        <v>7</v>
      </c>
      <c r="F1188" s="0" t="s">
        <v>50</v>
      </c>
      <c r="G1188" s="0" t="s">
        <v>51</v>
      </c>
      <c r="H1188" s="0" t="s">
        <v>51</v>
      </c>
      <c r="I1188" s="0" t="s">
        <v>34</v>
      </c>
      <c r="J1188" s="0" t="n">
        <v>1.69</v>
      </c>
      <c r="K1188" s="0" t="s">
        <v>35</v>
      </c>
      <c r="L1188" s="0" t="n">
        <f aca="false">INDEX(Summary!$F$2:$F$201,MATCH($B1188,Summary!$A$2:$A$201,0))</f>
        <v>20</v>
      </c>
      <c r="M1188" s="0" t="n">
        <f aca="false">INDEX(Summary!$I$2:$I$201,MATCH($B1188,Summary!$A$2:$A$201,0))</f>
        <v>3</v>
      </c>
      <c r="N1188" s="0" t="n">
        <f aca="false">INDEX(Summary!$J$2:$J$201,MATCH($B1188,Summary!$A$2:$A$201,0))</f>
        <v>2</v>
      </c>
      <c r="O1188" s="2" t="n">
        <f aca="false">INDEX(Summary!$K$2:$K$201,MATCH($B1188,Summary!$A$2:$A$201,0))</f>
        <v>8.51</v>
      </c>
      <c r="P1188" s="3" t="n">
        <f aca="false">INDEX(Summary!$L$2:$L$201,MATCH($B1188,Summary!$A$2:$A$201,0))</f>
        <v>5</v>
      </c>
      <c r="Q1188" s="3" t="n">
        <f aca="false">INDEX(Summary!$M$2:$M$201,MATCH($B1188,Summary!$A$2:$A$201,0))</f>
        <v>1</v>
      </c>
      <c r="R1188" s="2" t="n">
        <f aca="false">INDEX(Summary!$N$2:$N$201,MATCH($B1188,Summary!$A$2:$A$201,0))</f>
        <v>8.72</v>
      </c>
      <c r="S1188" s="3" t="n">
        <f aca="false">INDEX(Summary!$O$2:$O$201,MATCH($B1188,Summary!$A$2:$A$201,0))</f>
        <v>7</v>
      </c>
      <c r="T1188" s="3" t="n">
        <f aca="false">INDEX(Summary!$P$2:$P$201,MATCH($B1188,Summary!$A$2:$A$201,0))</f>
        <v>2</v>
      </c>
      <c r="U1188" s="2" t="n">
        <f aca="false">INDEX(Summary!$Q$2:$Q$201,MATCH($B1188,Summary!$A$2:$A$201,0))</f>
        <v>13.2</v>
      </c>
      <c r="V1188" s="2" t="n">
        <f aca="false">INDEX(Summary!$R$2:$R$201,MATCH($B1188,Summary!$A$2:$A$201,0))</f>
        <v>29.22</v>
      </c>
      <c r="W1188" s="0" t="str">
        <f aca="false">INDEX(Summary!$S$2:$S$201,MATCH($B1188,Summary!$A$2:$A$201,0))</f>
        <v>Gold</v>
      </c>
      <c r="X1188" s="2" t="n">
        <f aca="false">INDEX(Summary!$T$2:$T$201,MATCH($B1188,Summary!$A$2:$A$201,0))</f>
        <v>71.27</v>
      </c>
      <c r="Y1188" s="0" t="str">
        <f aca="false">INDEX('Reward Model'!$E$18:$E$37,MATCH($E1188,'Reward Model'!$A$18:$A$37,0))</f>
        <v>Low</v>
      </c>
      <c r="Z1188" s="4" t="n">
        <f aca="false">ROUND(MIN(1,MAX('Reward Model'!$B$2,INDEX('Reward Model'!$C$12:$C$14,MATCH($K1188,'Reward Model'!$A$12:$A$14,0))/$J1188)),3)</f>
        <v>0.888</v>
      </c>
      <c r="AA1188" s="2" t="n">
        <f aca="false">IF($I1188="Correct",ROUND(INDEX('Reward Model'!$B$12:$B$14,MATCH($K1188,'Reward Model'!$A$12:$A$14,0))*Z1188,2),0)</f>
        <v>0.89</v>
      </c>
      <c r="AB1188" s="2" t="n">
        <f aca="false">IF($I1188="Correct",ROUND(INDEX('Reward Model'!$B$12:$B$14,MATCH($Y1188,'Reward Model'!$A$12:$A$14,0))*Z1188,2),0)</f>
        <v>0.89</v>
      </c>
    </row>
    <row r="1189" customFormat="false" ht="15" hidden="false" customHeight="false" outlineLevel="0" collapsed="false">
      <c r="A1189" s="0" t="s">
        <v>247</v>
      </c>
      <c r="B1189" s="0" t="s">
        <v>248</v>
      </c>
      <c r="C1189" s="0" t="s">
        <v>30</v>
      </c>
      <c r="D1189" s="0" t="s">
        <v>189</v>
      </c>
      <c r="E1189" s="0" t="n">
        <v>8</v>
      </c>
      <c r="F1189" s="0" t="s">
        <v>52</v>
      </c>
      <c r="G1189" s="0" t="s">
        <v>54</v>
      </c>
      <c r="H1189" s="0" t="s">
        <v>54</v>
      </c>
      <c r="I1189" s="0" t="s">
        <v>34</v>
      </c>
      <c r="J1189" s="0" t="n">
        <v>1.62</v>
      </c>
      <c r="K1189" s="0" t="s">
        <v>35</v>
      </c>
      <c r="L1189" s="0" t="n">
        <f aca="false">INDEX(Summary!$F$2:$F$201,MATCH($B1189,Summary!$A$2:$A$201,0))</f>
        <v>20</v>
      </c>
      <c r="M1189" s="0" t="n">
        <f aca="false">INDEX(Summary!$I$2:$I$201,MATCH($B1189,Summary!$A$2:$A$201,0))</f>
        <v>3</v>
      </c>
      <c r="N1189" s="0" t="n">
        <f aca="false">INDEX(Summary!$J$2:$J$201,MATCH($B1189,Summary!$A$2:$A$201,0))</f>
        <v>2</v>
      </c>
      <c r="O1189" s="2" t="n">
        <f aca="false">INDEX(Summary!$K$2:$K$201,MATCH($B1189,Summary!$A$2:$A$201,0))</f>
        <v>8.51</v>
      </c>
      <c r="P1189" s="3" t="n">
        <f aca="false">INDEX(Summary!$L$2:$L$201,MATCH($B1189,Summary!$A$2:$A$201,0))</f>
        <v>5</v>
      </c>
      <c r="Q1189" s="3" t="n">
        <f aca="false">INDEX(Summary!$M$2:$M$201,MATCH($B1189,Summary!$A$2:$A$201,0))</f>
        <v>1</v>
      </c>
      <c r="R1189" s="2" t="n">
        <f aca="false">INDEX(Summary!$N$2:$N$201,MATCH($B1189,Summary!$A$2:$A$201,0))</f>
        <v>8.72</v>
      </c>
      <c r="S1189" s="3" t="n">
        <f aca="false">INDEX(Summary!$O$2:$O$201,MATCH($B1189,Summary!$A$2:$A$201,0))</f>
        <v>7</v>
      </c>
      <c r="T1189" s="3" t="n">
        <f aca="false">INDEX(Summary!$P$2:$P$201,MATCH($B1189,Summary!$A$2:$A$201,0))</f>
        <v>2</v>
      </c>
      <c r="U1189" s="2" t="n">
        <f aca="false">INDEX(Summary!$Q$2:$Q$201,MATCH($B1189,Summary!$A$2:$A$201,0))</f>
        <v>13.2</v>
      </c>
      <c r="V1189" s="2" t="n">
        <f aca="false">INDEX(Summary!$R$2:$R$201,MATCH($B1189,Summary!$A$2:$A$201,0))</f>
        <v>29.22</v>
      </c>
      <c r="W1189" s="0" t="str">
        <f aca="false">INDEX(Summary!$S$2:$S$201,MATCH($B1189,Summary!$A$2:$A$201,0))</f>
        <v>Gold</v>
      </c>
      <c r="X1189" s="2" t="n">
        <f aca="false">INDEX(Summary!$T$2:$T$201,MATCH($B1189,Summary!$A$2:$A$201,0))</f>
        <v>71.27</v>
      </c>
      <c r="Y1189" s="0" t="str">
        <f aca="false">INDEX('Reward Model'!$E$18:$E$37,MATCH($E1189,'Reward Model'!$A$18:$A$37,0))</f>
        <v>Medium</v>
      </c>
      <c r="Z1189" s="4" t="n">
        <f aca="false">ROUND(MIN(1,MAX('Reward Model'!$B$2,INDEX('Reward Model'!$C$12:$C$14,MATCH($K1189,'Reward Model'!$A$12:$A$14,0))/$J1189)),3)</f>
        <v>0.926</v>
      </c>
      <c r="AA1189" s="2" t="n">
        <f aca="false">IF($I1189="Correct",ROUND(INDEX('Reward Model'!$B$12:$B$14,MATCH($K1189,'Reward Model'!$A$12:$A$14,0))*Z1189,2),0)</f>
        <v>0.93</v>
      </c>
      <c r="AB1189" s="2" t="n">
        <f aca="false">IF($I1189="Correct",ROUND(INDEX('Reward Model'!$B$12:$B$14,MATCH($Y1189,'Reward Model'!$A$12:$A$14,0))*Z1189,2),0)</f>
        <v>1.85</v>
      </c>
    </row>
    <row r="1190" customFormat="false" ht="15" hidden="false" customHeight="false" outlineLevel="0" collapsed="false">
      <c r="A1190" s="0" t="s">
        <v>247</v>
      </c>
      <c r="B1190" s="0" t="s">
        <v>248</v>
      </c>
      <c r="C1190" s="0" t="s">
        <v>30</v>
      </c>
      <c r="D1190" s="0" t="s">
        <v>189</v>
      </c>
      <c r="E1190" s="0" t="n">
        <v>9</v>
      </c>
      <c r="F1190" s="0" t="s">
        <v>55</v>
      </c>
      <c r="G1190" s="0" t="s">
        <v>57</v>
      </c>
      <c r="H1190" s="0" t="s">
        <v>57</v>
      </c>
      <c r="I1190" s="0" t="s">
        <v>34</v>
      </c>
      <c r="J1190" s="0" t="n">
        <v>1.76</v>
      </c>
      <c r="K1190" s="0" t="s">
        <v>35</v>
      </c>
      <c r="L1190" s="0" t="n">
        <f aca="false">INDEX(Summary!$F$2:$F$201,MATCH($B1190,Summary!$A$2:$A$201,0))</f>
        <v>20</v>
      </c>
      <c r="M1190" s="0" t="n">
        <f aca="false">INDEX(Summary!$I$2:$I$201,MATCH($B1190,Summary!$A$2:$A$201,0))</f>
        <v>3</v>
      </c>
      <c r="N1190" s="0" t="n">
        <f aca="false">INDEX(Summary!$J$2:$J$201,MATCH($B1190,Summary!$A$2:$A$201,0))</f>
        <v>2</v>
      </c>
      <c r="O1190" s="2" t="n">
        <f aca="false">INDEX(Summary!$K$2:$K$201,MATCH($B1190,Summary!$A$2:$A$201,0))</f>
        <v>8.51</v>
      </c>
      <c r="P1190" s="3" t="n">
        <f aca="false">INDEX(Summary!$L$2:$L$201,MATCH($B1190,Summary!$A$2:$A$201,0))</f>
        <v>5</v>
      </c>
      <c r="Q1190" s="3" t="n">
        <f aca="false">INDEX(Summary!$M$2:$M$201,MATCH($B1190,Summary!$A$2:$A$201,0))</f>
        <v>1</v>
      </c>
      <c r="R1190" s="2" t="n">
        <f aca="false">INDEX(Summary!$N$2:$N$201,MATCH($B1190,Summary!$A$2:$A$201,0))</f>
        <v>8.72</v>
      </c>
      <c r="S1190" s="3" t="n">
        <f aca="false">INDEX(Summary!$O$2:$O$201,MATCH($B1190,Summary!$A$2:$A$201,0))</f>
        <v>7</v>
      </c>
      <c r="T1190" s="3" t="n">
        <f aca="false">INDEX(Summary!$P$2:$P$201,MATCH($B1190,Summary!$A$2:$A$201,0))</f>
        <v>2</v>
      </c>
      <c r="U1190" s="2" t="n">
        <f aca="false">INDEX(Summary!$Q$2:$Q$201,MATCH($B1190,Summary!$A$2:$A$201,0))</f>
        <v>13.2</v>
      </c>
      <c r="V1190" s="2" t="n">
        <f aca="false">INDEX(Summary!$R$2:$R$201,MATCH($B1190,Summary!$A$2:$A$201,0))</f>
        <v>29.22</v>
      </c>
      <c r="W1190" s="0" t="str">
        <f aca="false">INDEX(Summary!$S$2:$S$201,MATCH($B1190,Summary!$A$2:$A$201,0))</f>
        <v>Gold</v>
      </c>
      <c r="X1190" s="2" t="n">
        <f aca="false">INDEX(Summary!$T$2:$T$201,MATCH($B1190,Summary!$A$2:$A$201,0))</f>
        <v>71.27</v>
      </c>
      <c r="Y1190" s="0" t="str">
        <f aca="false">INDEX('Reward Model'!$E$18:$E$37,MATCH($E1190,'Reward Model'!$A$18:$A$37,0))</f>
        <v>Medium</v>
      </c>
      <c r="Z1190" s="4" t="n">
        <f aca="false">ROUND(MIN(1,MAX('Reward Model'!$B$2,INDEX('Reward Model'!$C$12:$C$14,MATCH($K1190,'Reward Model'!$A$12:$A$14,0))/$J1190)),3)</f>
        <v>0.852</v>
      </c>
      <c r="AA1190" s="2" t="n">
        <f aca="false">IF($I1190="Correct",ROUND(INDEX('Reward Model'!$B$12:$B$14,MATCH($K1190,'Reward Model'!$A$12:$A$14,0))*Z1190,2),0)</f>
        <v>0.85</v>
      </c>
      <c r="AB1190" s="2" t="n">
        <f aca="false">IF($I1190="Correct",ROUND(INDEX('Reward Model'!$B$12:$B$14,MATCH($Y1190,'Reward Model'!$A$12:$A$14,0))*Z1190,2),0)</f>
        <v>1.7</v>
      </c>
    </row>
    <row r="1191" customFormat="false" ht="15" hidden="false" customHeight="false" outlineLevel="0" collapsed="false">
      <c r="A1191" s="0" t="s">
        <v>247</v>
      </c>
      <c r="B1191" s="0" t="s">
        <v>248</v>
      </c>
      <c r="C1191" s="0" t="s">
        <v>30</v>
      </c>
      <c r="D1191" s="0" t="s">
        <v>189</v>
      </c>
      <c r="E1191" s="0" t="n">
        <v>10</v>
      </c>
      <c r="F1191" s="0" t="s">
        <v>58</v>
      </c>
      <c r="G1191" s="0" t="s">
        <v>59</v>
      </c>
      <c r="H1191" s="0" t="s">
        <v>59</v>
      </c>
      <c r="I1191" s="0" t="s">
        <v>34</v>
      </c>
      <c r="J1191" s="0" t="n">
        <v>1.21</v>
      </c>
      <c r="K1191" s="0" t="s">
        <v>60</v>
      </c>
      <c r="L1191" s="0" t="n">
        <f aca="false">INDEX(Summary!$F$2:$F$201,MATCH($B1191,Summary!$A$2:$A$201,0))</f>
        <v>20</v>
      </c>
      <c r="M1191" s="0" t="n">
        <f aca="false">INDEX(Summary!$I$2:$I$201,MATCH($B1191,Summary!$A$2:$A$201,0))</f>
        <v>3</v>
      </c>
      <c r="N1191" s="0" t="n">
        <f aca="false">INDEX(Summary!$J$2:$J$201,MATCH($B1191,Summary!$A$2:$A$201,0))</f>
        <v>2</v>
      </c>
      <c r="O1191" s="2" t="n">
        <f aca="false">INDEX(Summary!$K$2:$K$201,MATCH($B1191,Summary!$A$2:$A$201,0))</f>
        <v>8.51</v>
      </c>
      <c r="P1191" s="3" t="n">
        <f aca="false">INDEX(Summary!$L$2:$L$201,MATCH($B1191,Summary!$A$2:$A$201,0))</f>
        <v>5</v>
      </c>
      <c r="Q1191" s="3" t="n">
        <f aca="false">INDEX(Summary!$M$2:$M$201,MATCH($B1191,Summary!$A$2:$A$201,0))</f>
        <v>1</v>
      </c>
      <c r="R1191" s="2" t="n">
        <f aca="false">INDEX(Summary!$N$2:$N$201,MATCH($B1191,Summary!$A$2:$A$201,0))</f>
        <v>8.72</v>
      </c>
      <c r="S1191" s="3" t="n">
        <f aca="false">INDEX(Summary!$O$2:$O$201,MATCH($B1191,Summary!$A$2:$A$201,0))</f>
        <v>7</v>
      </c>
      <c r="T1191" s="3" t="n">
        <f aca="false">INDEX(Summary!$P$2:$P$201,MATCH($B1191,Summary!$A$2:$A$201,0))</f>
        <v>2</v>
      </c>
      <c r="U1191" s="2" t="n">
        <f aca="false">INDEX(Summary!$Q$2:$Q$201,MATCH($B1191,Summary!$A$2:$A$201,0))</f>
        <v>13.2</v>
      </c>
      <c r="V1191" s="2" t="n">
        <f aca="false">INDEX(Summary!$R$2:$R$201,MATCH($B1191,Summary!$A$2:$A$201,0))</f>
        <v>29.22</v>
      </c>
      <c r="W1191" s="0" t="str">
        <f aca="false">INDEX(Summary!$S$2:$S$201,MATCH($B1191,Summary!$A$2:$A$201,0))</f>
        <v>Gold</v>
      </c>
      <c r="X1191" s="2" t="n">
        <f aca="false">INDEX(Summary!$T$2:$T$201,MATCH($B1191,Summary!$A$2:$A$201,0))</f>
        <v>71.27</v>
      </c>
      <c r="Y1191" s="0" t="str">
        <f aca="false">INDEX('Reward Model'!$E$18:$E$37,MATCH($E1191,'Reward Model'!$A$18:$A$37,0))</f>
        <v>Medium</v>
      </c>
      <c r="Z1191" s="4" t="n">
        <f aca="false">ROUND(MIN(1,MAX('Reward Model'!$B$2,INDEX('Reward Model'!$C$12:$C$14,MATCH($K1191,'Reward Model'!$A$12:$A$14,0))/$J1191)),3)</f>
        <v>1</v>
      </c>
      <c r="AA1191" s="2" t="n">
        <f aca="false">IF($I1191="Correct",ROUND(INDEX('Reward Model'!$B$12:$B$14,MATCH($K1191,'Reward Model'!$A$12:$A$14,0))*Z1191,2),0)</f>
        <v>2</v>
      </c>
      <c r="AB1191" s="2" t="n">
        <f aca="false">IF($I1191="Correct",ROUND(INDEX('Reward Model'!$B$12:$B$14,MATCH($Y1191,'Reward Model'!$A$12:$A$14,0))*Z1191,2),0)</f>
        <v>2</v>
      </c>
    </row>
    <row r="1192" customFormat="false" ht="15" hidden="false" customHeight="false" outlineLevel="0" collapsed="false">
      <c r="A1192" s="0" t="s">
        <v>247</v>
      </c>
      <c r="B1192" s="0" t="s">
        <v>248</v>
      </c>
      <c r="C1192" s="0" t="s">
        <v>30</v>
      </c>
      <c r="D1192" s="0" t="s">
        <v>189</v>
      </c>
      <c r="E1192" s="0" t="n">
        <v>11</v>
      </c>
      <c r="F1192" s="0" t="s">
        <v>61</v>
      </c>
      <c r="G1192" s="0" t="s">
        <v>63</v>
      </c>
      <c r="H1192" s="0" t="s">
        <v>63</v>
      </c>
      <c r="I1192" s="0" t="s">
        <v>34</v>
      </c>
      <c r="J1192" s="0" t="n">
        <v>1.79</v>
      </c>
      <c r="K1192" s="0" t="s">
        <v>60</v>
      </c>
      <c r="L1192" s="0" t="n">
        <f aca="false">INDEX(Summary!$F$2:$F$201,MATCH($B1192,Summary!$A$2:$A$201,0))</f>
        <v>20</v>
      </c>
      <c r="M1192" s="0" t="n">
        <f aca="false">INDEX(Summary!$I$2:$I$201,MATCH($B1192,Summary!$A$2:$A$201,0))</f>
        <v>3</v>
      </c>
      <c r="N1192" s="0" t="n">
        <f aca="false">INDEX(Summary!$J$2:$J$201,MATCH($B1192,Summary!$A$2:$A$201,0))</f>
        <v>2</v>
      </c>
      <c r="O1192" s="2" t="n">
        <f aca="false">INDEX(Summary!$K$2:$K$201,MATCH($B1192,Summary!$A$2:$A$201,0))</f>
        <v>8.51</v>
      </c>
      <c r="P1192" s="3" t="n">
        <f aca="false">INDEX(Summary!$L$2:$L$201,MATCH($B1192,Summary!$A$2:$A$201,0))</f>
        <v>5</v>
      </c>
      <c r="Q1192" s="3" t="n">
        <f aca="false">INDEX(Summary!$M$2:$M$201,MATCH($B1192,Summary!$A$2:$A$201,0))</f>
        <v>1</v>
      </c>
      <c r="R1192" s="2" t="n">
        <f aca="false">INDEX(Summary!$N$2:$N$201,MATCH($B1192,Summary!$A$2:$A$201,0))</f>
        <v>8.72</v>
      </c>
      <c r="S1192" s="3" t="n">
        <f aca="false">INDEX(Summary!$O$2:$O$201,MATCH($B1192,Summary!$A$2:$A$201,0))</f>
        <v>7</v>
      </c>
      <c r="T1192" s="3" t="n">
        <f aca="false">INDEX(Summary!$P$2:$P$201,MATCH($B1192,Summary!$A$2:$A$201,0))</f>
        <v>2</v>
      </c>
      <c r="U1192" s="2" t="n">
        <f aca="false">INDEX(Summary!$Q$2:$Q$201,MATCH($B1192,Summary!$A$2:$A$201,0))</f>
        <v>13.2</v>
      </c>
      <c r="V1192" s="2" t="n">
        <f aca="false">INDEX(Summary!$R$2:$R$201,MATCH($B1192,Summary!$A$2:$A$201,0))</f>
        <v>29.22</v>
      </c>
      <c r="W1192" s="0" t="str">
        <f aca="false">INDEX(Summary!$S$2:$S$201,MATCH($B1192,Summary!$A$2:$A$201,0))</f>
        <v>Gold</v>
      </c>
      <c r="X1192" s="2" t="n">
        <f aca="false">INDEX(Summary!$T$2:$T$201,MATCH($B1192,Summary!$A$2:$A$201,0))</f>
        <v>71.27</v>
      </c>
      <c r="Y1192" s="0" t="str">
        <f aca="false">INDEX('Reward Model'!$E$18:$E$37,MATCH($E1192,'Reward Model'!$A$18:$A$37,0))</f>
        <v>Medium</v>
      </c>
      <c r="Z1192" s="4" t="n">
        <f aca="false">ROUND(MIN(1,MAX('Reward Model'!$B$2,INDEX('Reward Model'!$C$12:$C$14,MATCH($K1192,'Reward Model'!$A$12:$A$14,0))/$J1192)),3)</f>
        <v>1</v>
      </c>
      <c r="AA1192" s="2" t="n">
        <f aca="false">IF($I1192="Correct",ROUND(INDEX('Reward Model'!$B$12:$B$14,MATCH($K1192,'Reward Model'!$A$12:$A$14,0))*Z1192,2),0)</f>
        <v>2</v>
      </c>
      <c r="AB1192" s="2" t="n">
        <f aca="false">IF($I1192="Correct",ROUND(INDEX('Reward Model'!$B$12:$B$14,MATCH($Y1192,'Reward Model'!$A$12:$A$14,0))*Z1192,2),0)</f>
        <v>2</v>
      </c>
    </row>
    <row r="1193" customFormat="false" ht="15" hidden="false" customHeight="false" outlineLevel="0" collapsed="false">
      <c r="A1193" s="0" t="s">
        <v>247</v>
      </c>
      <c r="B1193" s="0" t="s">
        <v>248</v>
      </c>
      <c r="C1193" s="0" t="s">
        <v>30</v>
      </c>
      <c r="D1193" s="0" t="s">
        <v>189</v>
      </c>
      <c r="E1193" s="0" t="n">
        <v>12</v>
      </c>
      <c r="F1193" s="0" t="s">
        <v>64</v>
      </c>
      <c r="G1193" s="0" t="s">
        <v>65</v>
      </c>
      <c r="H1193" s="0" t="s">
        <v>65</v>
      </c>
      <c r="I1193" s="0" t="s">
        <v>34</v>
      </c>
      <c r="J1193" s="0" t="n">
        <v>1.14</v>
      </c>
      <c r="K1193" s="0" t="s">
        <v>60</v>
      </c>
      <c r="L1193" s="0" t="n">
        <f aca="false">INDEX(Summary!$F$2:$F$201,MATCH($B1193,Summary!$A$2:$A$201,0))</f>
        <v>20</v>
      </c>
      <c r="M1193" s="0" t="n">
        <f aca="false">INDEX(Summary!$I$2:$I$201,MATCH($B1193,Summary!$A$2:$A$201,0))</f>
        <v>3</v>
      </c>
      <c r="N1193" s="0" t="n">
        <f aca="false">INDEX(Summary!$J$2:$J$201,MATCH($B1193,Summary!$A$2:$A$201,0))</f>
        <v>2</v>
      </c>
      <c r="O1193" s="2" t="n">
        <f aca="false">INDEX(Summary!$K$2:$K$201,MATCH($B1193,Summary!$A$2:$A$201,0))</f>
        <v>8.51</v>
      </c>
      <c r="P1193" s="3" t="n">
        <f aca="false">INDEX(Summary!$L$2:$L$201,MATCH($B1193,Summary!$A$2:$A$201,0))</f>
        <v>5</v>
      </c>
      <c r="Q1193" s="3" t="n">
        <f aca="false">INDEX(Summary!$M$2:$M$201,MATCH($B1193,Summary!$A$2:$A$201,0))</f>
        <v>1</v>
      </c>
      <c r="R1193" s="2" t="n">
        <f aca="false">INDEX(Summary!$N$2:$N$201,MATCH($B1193,Summary!$A$2:$A$201,0))</f>
        <v>8.72</v>
      </c>
      <c r="S1193" s="3" t="n">
        <f aca="false">INDEX(Summary!$O$2:$O$201,MATCH($B1193,Summary!$A$2:$A$201,0))</f>
        <v>7</v>
      </c>
      <c r="T1193" s="3" t="n">
        <f aca="false">INDEX(Summary!$P$2:$P$201,MATCH($B1193,Summary!$A$2:$A$201,0))</f>
        <v>2</v>
      </c>
      <c r="U1193" s="2" t="n">
        <f aca="false">INDEX(Summary!$Q$2:$Q$201,MATCH($B1193,Summary!$A$2:$A$201,0))</f>
        <v>13.2</v>
      </c>
      <c r="V1193" s="2" t="n">
        <f aca="false">INDEX(Summary!$R$2:$R$201,MATCH($B1193,Summary!$A$2:$A$201,0))</f>
        <v>29.22</v>
      </c>
      <c r="W1193" s="0" t="str">
        <f aca="false">INDEX(Summary!$S$2:$S$201,MATCH($B1193,Summary!$A$2:$A$201,0))</f>
        <v>Gold</v>
      </c>
      <c r="X1193" s="2" t="n">
        <f aca="false">INDEX(Summary!$T$2:$T$201,MATCH($B1193,Summary!$A$2:$A$201,0))</f>
        <v>71.27</v>
      </c>
      <c r="Y1193" s="0" t="str">
        <f aca="false">INDEX('Reward Model'!$E$18:$E$37,MATCH($E1193,'Reward Model'!$A$18:$A$37,0))</f>
        <v>Medium</v>
      </c>
      <c r="Z1193" s="4" t="n">
        <f aca="false">ROUND(MIN(1,MAX('Reward Model'!$B$2,INDEX('Reward Model'!$C$12:$C$14,MATCH($K1193,'Reward Model'!$A$12:$A$14,0))/$J1193)),3)</f>
        <v>1</v>
      </c>
      <c r="AA1193" s="2" t="n">
        <f aca="false">IF($I1193="Correct",ROUND(INDEX('Reward Model'!$B$12:$B$14,MATCH($K1193,'Reward Model'!$A$12:$A$14,0))*Z1193,2),0)</f>
        <v>2</v>
      </c>
      <c r="AB1193" s="2" t="n">
        <f aca="false">IF($I1193="Correct",ROUND(INDEX('Reward Model'!$B$12:$B$14,MATCH($Y1193,'Reward Model'!$A$12:$A$14,0))*Z1193,2),0)</f>
        <v>2</v>
      </c>
    </row>
    <row r="1194" customFormat="false" ht="15" hidden="false" customHeight="false" outlineLevel="0" collapsed="false">
      <c r="A1194" s="0" t="s">
        <v>247</v>
      </c>
      <c r="B1194" s="0" t="s">
        <v>248</v>
      </c>
      <c r="C1194" s="0" t="s">
        <v>30</v>
      </c>
      <c r="D1194" s="0" t="s">
        <v>189</v>
      </c>
      <c r="E1194" s="0" t="n">
        <v>13</v>
      </c>
      <c r="F1194" s="0" t="s">
        <v>66</v>
      </c>
      <c r="G1194" s="0" t="s">
        <v>117</v>
      </c>
      <c r="H1194" s="0" t="s">
        <v>67</v>
      </c>
      <c r="I1194" s="0" t="s">
        <v>39</v>
      </c>
      <c r="J1194" s="0" t="n">
        <v>1.87</v>
      </c>
      <c r="K1194" s="0" t="s">
        <v>60</v>
      </c>
      <c r="L1194" s="0" t="n">
        <f aca="false">INDEX(Summary!$F$2:$F$201,MATCH($B1194,Summary!$A$2:$A$201,0))</f>
        <v>20</v>
      </c>
      <c r="M1194" s="0" t="n">
        <f aca="false">INDEX(Summary!$I$2:$I$201,MATCH($B1194,Summary!$A$2:$A$201,0))</f>
        <v>3</v>
      </c>
      <c r="N1194" s="0" t="n">
        <f aca="false">INDEX(Summary!$J$2:$J$201,MATCH($B1194,Summary!$A$2:$A$201,0))</f>
        <v>2</v>
      </c>
      <c r="O1194" s="2" t="n">
        <f aca="false">INDEX(Summary!$K$2:$K$201,MATCH($B1194,Summary!$A$2:$A$201,0))</f>
        <v>8.51</v>
      </c>
      <c r="P1194" s="3" t="n">
        <f aca="false">INDEX(Summary!$L$2:$L$201,MATCH($B1194,Summary!$A$2:$A$201,0))</f>
        <v>5</v>
      </c>
      <c r="Q1194" s="3" t="n">
        <f aca="false">INDEX(Summary!$M$2:$M$201,MATCH($B1194,Summary!$A$2:$A$201,0))</f>
        <v>1</v>
      </c>
      <c r="R1194" s="2" t="n">
        <f aca="false">INDEX(Summary!$N$2:$N$201,MATCH($B1194,Summary!$A$2:$A$201,0))</f>
        <v>8.72</v>
      </c>
      <c r="S1194" s="3" t="n">
        <f aca="false">INDEX(Summary!$O$2:$O$201,MATCH($B1194,Summary!$A$2:$A$201,0))</f>
        <v>7</v>
      </c>
      <c r="T1194" s="3" t="n">
        <f aca="false">INDEX(Summary!$P$2:$P$201,MATCH($B1194,Summary!$A$2:$A$201,0))</f>
        <v>2</v>
      </c>
      <c r="U1194" s="2" t="n">
        <f aca="false">INDEX(Summary!$Q$2:$Q$201,MATCH($B1194,Summary!$A$2:$A$201,0))</f>
        <v>13.2</v>
      </c>
      <c r="V1194" s="2" t="n">
        <f aca="false">INDEX(Summary!$R$2:$R$201,MATCH($B1194,Summary!$A$2:$A$201,0))</f>
        <v>29.22</v>
      </c>
      <c r="W1194" s="0" t="str">
        <f aca="false">INDEX(Summary!$S$2:$S$201,MATCH($B1194,Summary!$A$2:$A$201,0))</f>
        <v>Gold</v>
      </c>
      <c r="X1194" s="2" t="n">
        <f aca="false">INDEX(Summary!$T$2:$T$201,MATCH($B1194,Summary!$A$2:$A$201,0))</f>
        <v>71.27</v>
      </c>
      <c r="Y1194" s="0" t="str">
        <f aca="false">INDEX('Reward Model'!$E$18:$E$37,MATCH($E1194,'Reward Model'!$A$18:$A$37,0))</f>
        <v>Medium</v>
      </c>
      <c r="Z1194" s="4" t="n">
        <f aca="false">ROUND(MIN(1,MAX('Reward Model'!$B$2,INDEX('Reward Model'!$C$12:$C$14,MATCH($K1194,'Reward Model'!$A$12:$A$14,0))/$J1194)),3)</f>
        <v>0.963</v>
      </c>
      <c r="AA1194" s="2" t="n">
        <f aca="false">IF($I1194="Correct",ROUND(INDEX('Reward Model'!$B$12:$B$14,MATCH($K1194,'Reward Model'!$A$12:$A$14,0))*Z1194,2),0)</f>
        <v>0</v>
      </c>
      <c r="AB1194" s="2" t="n">
        <f aca="false">IF($I1194="Correct",ROUND(INDEX('Reward Model'!$B$12:$B$14,MATCH($Y1194,'Reward Model'!$A$12:$A$14,0))*Z1194,2),0)</f>
        <v>0</v>
      </c>
    </row>
    <row r="1195" customFormat="false" ht="15" hidden="false" customHeight="false" outlineLevel="0" collapsed="false">
      <c r="A1195" s="0" t="s">
        <v>247</v>
      </c>
      <c r="B1195" s="0" t="s">
        <v>248</v>
      </c>
      <c r="C1195" s="0" t="s">
        <v>30</v>
      </c>
      <c r="D1195" s="0" t="s">
        <v>189</v>
      </c>
      <c r="E1195" s="0" t="n">
        <v>14</v>
      </c>
      <c r="F1195" s="0" t="s">
        <v>68</v>
      </c>
      <c r="G1195" s="0" t="s">
        <v>51</v>
      </c>
      <c r="H1195" s="0" t="s">
        <v>51</v>
      </c>
      <c r="I1195" s="0" t="s">
        <v>34</v>
      </c>
      <c r="J1195" s="0" t="n">
        <v>1.29</v>
      </c>
      <c r="K1195" s="0" t="s">
        <v>60</v>
      </c>
      <c r="L1195" s="0" t="n">
        <f aca="false">INDEX(Summary!$F$2:$F$201,MATCH($B1195,Summary!$A$2:$A$201,0))</f>
        <v>20</v>
      </c>
      <c r="M1195" s="0" t="n">
        <f aca="false">INDEX(Summary!$I$2:$I$201,MATCH($B1195,Summary!$A$2:$A$201,0))</f>
        <v>3</v>
      </c>
      <c r="N1195" s="0" t="n">
        <f aca="false">INDEX(Summary!$J$2:$J$201,MATCH($B1195,Summary!$A$2:$A$201,0))</f>
        <v>2</v>
      </c>
      <c r="O1195" s="2" t="n">
        <f aca="false">INDEX(Summary!$K$2:$K$201,MATCH($B1195,Summary!$A$2:$A$201,0))</f>
        <v>8.51</v>
      </c>
      <c r="P1195" s="3" t="n">
        <f aca="false">INDEX(Summary!$L$2:$L$201,MATCH($B1195,Summary!$A$2:$A$201,0))</f>
        <v>5</v>
      </c>
      <c r="Q1195" s="3" t="n">
        <f aca="false">INDEX(Summary!$M$2:$M$201,MATCH($B1195,Summary!$A$2:$A$201,0))</f>
        <v>1</v>
      </c>
      <c r="R1195" s="2" t="n">
        <f aca="false">INDEX(Summary!$N$2:$N$201,MATCH($B1195,Summary!$A$2:$A$201,0))</f>
        <v>8.72</v>
      </c>
      <c r="S1195" s="3" t="n">
        <f aca="false">INDEX(Summary!$O$2:$O$201,MATCH($B1195,Summary!$A$2:$A$201,0))</f>
        <v>7</v>
      </c>
      <c r="T1195" s="3" t="n">
        <f aca="false">INDEX(Summary!$P$2:$P$201,MATCH($B1195,Summary!$A$2:$A$201,0))</f>
        <v>2</v>
      </c>
      <c r="U1195" s="2" t="n">
        <f aca="false">INDEX(Summary!$Q$2:$Q$201,MATCH($B1195,Summary!$A$2:$A$201,0))</f>
        <v>13.2</v>
      </c>
      <c r="V1195" s="2" t="n">
        <f aca="false">INDEX(Summary!$R$2:$R$201,MATCH($B1195,Summary!$A$2:$A$201,0))</f>
        <v>29.22</v>
      </c>
      <c r="W1195" s="0" t="str">
        <f aca="false">INDEX(Summary!$S$2:$S$201,MATCH($B1195,Summary!$A$2:$A$201,0))</f>
        <v>Gold</v>
      </c>
      <c r="X1195" s="2" t="n">
        <f aca="false">INDEX(Summary!$T$2:$T$201,MATCH($B1195,Summary!$A$2:$A$201,0))</f>
        <v>71.27</v>
      </c>
      <c r="Y1195" s="0" t="str">
        <f aca="false">INDEX('Reward Model'!$E$18:$E$37,MATCH($E1195,'Reward Model'!$A$18:$A$37,0))</f>
        <v>Medium</v>
      </c>
      <c r="Z1195" s="4" t="n">
        <f aca="false">ROUND(MIN(1,MAX('Reward Model'!$B$2,INDEX('Reward Model'!$C$12:$C$14,MATCH($K1195,'Reward Model'!$A$12:$A$14,0))/$J1195)),3)</f>
        <v>1</v>
      </c>
      <c r="AA1195" s="2" t="n">
        <f aca="false">IF($I1195="Correct",ROUND(INDEX('Reward Model'!$B$12:$B$14,MATCH($K1195,'Reward Model'!$A$12:$A$14,0))*Z1195,2),0)</f>
        <v>2</v>
      </c>
      <c r="AB1195" s="2" t="n">
        <f aca="false">IF($I1195="Correct",ROUND(INDEX('Reward Model'!$B$12:$B$14,MATCH($Y1195,'Reward Model'!$A$12:$A$14,0))*Z1195,2),0)</f>
        <v>2</v>
      </c>
    </row>
    <row r="1196" customFormat="false" ht="15" hidden="false" customHeight="false" outlineLevel="0" collapsed="false">
      <c r="A1196" s="0" t="s">
        <v>247</v>
      </c>
      <c r="B1196" s="0" t="s">
        <v>248</v>
      </c>
      <c r="C1196" s="0" t="s">
        <v>30</v>
      </c>
      <c r="D1196" s="0" t="s">
        <v>189</v>
      </c>
      <c r="E1196" s="0" t="n">
        <v>15</v>
      </c>
      <c r="F1196" s="0" t="s">
        <v>69</v>
      </c>
      <c r="G1196" s="0" t="s">
        <v>70</v>
      </c>
      <c r="H1196" s="0" t="s">
        <v>70</v>
      </c>
      <c r="I1196" s="0" t="s">
        <v>34</v>
      </c>
      <c r="J1196" s="0" t="n">
        <v>1.42</v>
      </c>
      <c r="K1196" s="0" t="s">
        <v>60</v>
      </c>
      <c r="L1196" s="0" t="n">
        <f aca="false">INDEX(Summary!$F$2:$F$201,MATCH($B1196,Summary!$A$2:$A$201,0))</f>
        <v>20</v>
      </c>
      <c r="M1196" s="0" t="n">
        <f aca="false">INDEX(Summary!$I$2:$I$201,MATCH($B1196,Summary!$A$2:$A$201,0))</f>
        <v>3</v>
      </c>
      <c r="N1196" s="0" t="n">
        <f aca="false">INDEX(Summary!$J$2:$J$201,MATCH($B1196,Summary!$A$2:$A$201,0))</f>
        <v>2</v>
      </c>
      <c r="O1196" s="2" t="n">
        <f aca="false">INDEX(Summary!$K$2:$K$201,MATCH($B1196,Summary!$A$2:$A$201,0))</f>
        <v>8.51</v>
      </c>
      <c r="P1196" s="3" t="n">
        <f aca="false">INDEX(Summary!$L$2:$L$201,MATCH($B1196,Summary!$A$2:$A$201,0))</f>
        <v>5</v>
      </c>
      <c r="Q1196" s="3" t="n">
        <f aca="false">INDEX(Summary!$M$2:$M$201,MATCH($B1196,Summary!$A$2:$A$201,0))</f>
        <v>1</v>
      </c>
      <c r="R1196" s="2" t="n">
        <f aca="false">INDEX(Summary!$N$2:$N$201,MATCH($B1196,Summary!$A$2:$A$201,0))</f>
        <v>8.72</v>
      </c>
      <c r="S1196" s="3" t="n">
        <f aca="false">INDEX(Summary!$O$2:$O$201,MATCH($B1196,Summary!$A$2:$A$201,0))</f>
        <v>7</v>
      </c>
      <c r="T1196" s="3" t="n">
        <f aca="false">INDEX(Summary!$P$2:$P$201,MATCH($B1196,Summary!$A$2:$A$201,0))</f>
        <v>2</v>
      </c>
      <c r="U1196" s="2" t="n">
        <f aca="false">INDEX(Summary!$Q$2:$Q$201,MATCH($B1196,Summary!$A$2:$A$201,0))</f>
        <v>13.2</v>
      </c>
      <c r="V1196" s="2" t="n">
        <f aca="false">INDEX(Summary!$R$2:$R$201,MATCH($B1196,Summary!$A$2:$A$201,0))</f>
        <v>29.22</v>
      </c>
      <c r="W1196" s="0" t="str">
        <f aca="false">INDEX(Summary!$S$2:$S$201,MATCH($B1196,Summary!$A$2:$A$201,0))</f>
        <v>Gold</v>
      </c>
      <c r="X1196" s="2" t="n">
        <f aca="false">INDEX(Summary!$T$2:$T$201,MATCH($B1196,Summary!$A$2:$A$201,0))</f>
        <v>71.27</v>
      </c>
      <c r="Y1196" s="0" t="str">
        <f aca="false">INDEX('Reward Model'!$E$18:$E$37,MATCH($E1196,'Reward Model'!$A$18:$A$37,0))</f>
        <v>Medium</v>
      </c>
      <c r="Z1196" s="4" t="n">
        <f aca="false">ROUND(MIN(1,MAX('Reward Model'!$B$2,INDEX('Reward Model'!$C$12:$C$14,MATCH($K1196,'Reward Model'!$A$12:$A$14,0))/$J1196)),3)</f>
        <v>1</v>
      </c>
      <c r="AA1196" s="2" t="n">
        <f aca="false">IF($I1196="Correct",ROUND(INDEX('Reward Model'!$B$12:$B$14,MATCH($K1196,'Reward Model'!$A$12:$A$14,0))*Z1196,2),0)</f>
        <v>2</v>
      </c>
      <c r="AB1196" s="2" t="n">
        <f aca="false">IF($I1196="Correct",ROUND(INDEX('Reward Model'!$B$12:$B$14,MATCH($Y1196,'Reward Model'!$A$12:$A$14,0))*Z1196,2),0)</f>
        <v>2</v>
      </c>
    </row>
    <row r="1197" customFormat="false" ht="15" hidden="false" customHeight="false" outlineLevel="0" collapsed="false">
      <c r="A1197" s="0" t="s">
        <v>247</v>
      </c>
      <c r="B1197" s="0" t="s">
        <v>248</v>
      </c>
      <c r="C1197" s="0" t="s">
        <v>30</v>
      </c>
      <c r="D1197" s="0" t="s">
        <v>189</v>
      </c>
      <c r="E1197" s="0" t="n">
        <v>16</v>
      </c>
      <c r="F1197" s="0" t="s">
        <v>71</v>
      </c>
      <c r="G1197" s="0" t="s">
        <v>72</v>
      </c>
      <c r="H1197" s="0" t="s">
        <v>72</v>
      </c>
      <c r="I1197" s="0" t="s">
        <v>34</v>
      </c>
      <c r="J1197" s="0" t="n">
        <v>1.58</v>
      </c>
      <c r="K1197" s="0" t="s">
        <v>73</v>
      </c>
      <c r="L1197" s="0" t="n">
        <f aca="false">INDEX(Summary!$F$2:$F$201,MATCH($B1197,Summary!$A$2:$A$201,0))</f>
        <v>20</v>
      </c>
      <c r="M1197" s="0" t="n">
        <f aca="false">INDEX(Summary!$I$2:$I$201,MATCH($B1197,Summary!$A$2:$A$201,0))</f>
        <v>3</v>
      </c>
      <c r="N1197" s="0" t="n">
        <f aca="false">INDEX(Summary!$J$2:$J$201,MATCH($B1197,Summary!$A$2:$A$201,0))</f>
        <v>2</v>
      </c>
      <c r="O1197" s="2" t="n">
        <f aca="false">INDEX(Summary!$K$2:$K$201,MATCH($B1197,Summary!$A$2:$A$201,0))</f>
        <v>8.51</v>
      </c>
      <c r="P1197" s="3" t="n">
        <f aca="false">INDEX(Summary!$L$2:$L$201,MATCH($B1197,Summary!$A$2:$A$201,0))</f>
        <v>5</v>
      </c>
      <c r="Q1197" s="3" t="n">
        <f aca="false">INDEX(Summary!$M$2:$M$201,MATCH($B1197,Summary!$A$2:$A$201,0))</f>
        <v>1</v>
      </c>
      <c r="R1197" s="2" t="n">
        <f aca="false">INDEX(Summary!$N$2:$N$201,MATCH($B1197,Summary!$A$2:$A$201,0))</f>
        <v>8.72</v>
      </c>
      <c r="S1197" s="3" t="n">
        <f aca="false">INDEX(Summary!$O$2:$O$201,MATCH($B1197,Summary!$A$2:$A$201,0))</f>
        <v>7</v>
      </c>
      <c r="T1197" s="3" t="n">
        <f aca="false">INDEX(Summary!$P$2:$P$201,MATCH($B1197,Summary!$A$2:$A$201,0))</f>
        <v>2</v>
      </c>
      <c r="U1197" s="2" t="n">
        <f aca="false">INDEX(Summary!$Q$2:$Q$201,MATCH($B1197,Summary!$A$2:$A$201,0))</f>
        <v>13.2</v>
      </c>
      <c r="V1197" s="2" t="n">
        <f aca="false">INDEX(Summary!$R$2:$R$201,MATCH($B1197,Summary!$A$2:$A$201,0))</f>
        <v>29.22</v>
      </c>
      <c r="W1197" s="0" t="str">
        <f aca="false">INDEX(Summary!$S$2:$S$201,MATCH($B1197,Summary!$A$2:$A$201,0))</f>
        <v>Gold</v>
      </c>
      <c r="X1197" s="2" t="n">
        <f aca="false">INDEX(Summary!$T$2:$T$201,MATCH($B1197,Summary!$A$2:$A$201,0))</f>
        <v>71.27</v>
      </c>
      <c r="Y1197" s="0" t="str">
        <f aca="false">INDEX('Reward Model'!$E$18:$E$37,MATCH($E1197,'Reward Model'!$A$18:$A$37,0))</f>
        <v>High</v>
      </c>
      <c r="Z1197" s="4" t="n">
        <f aca="false">ROUND(MIN(1,MAX('Reward Model'!$B$2,INDEX('Reward Model'!$C$12:$C$14,MATCH($K1197,'Reward Model'!$A$12:$A$14,0))/$J1197)),3)</f>
        <v>1</v>
      </c>
      <c r="AA1197" s="2" t="n">
        <f aca="false">IF($I1197="Correct",ROUND(INDEX('Reward Model'!$B$12:$B$14,MATCH($K1197,'Reward Model'!$A$12:$A$14,0))*Z1197,2),0)</f>
        <v>3</v>
      </c>
      <c r="AB1197" s="2" t="n">
        <f aca="false">IF($I1197="Correct",ROUND(INDEX('Reward Model'!$B$12:$B$14,MATCH($Y1197,'Reward Model'!$A$12:$A$14,0))*Z1197,2),0)</f>
        <v>3</v>
      </c>
    </row>
    <row r="1198" customFormat="false" ht="15" hidden="false" customHeight="false" outlineLevel="0" collapsed="false">
      <c r="A1198" s="0" t="s">
        <v>247</v>
      </c>
      <c r="B1198" s="0" t="s">
        <v>248</v>
      </c>
      <c r="C1198" s="0" t="s">
        <v>30</v>
      </c>
      <c r="D1198" s="0" t="s">
        <v>189</v>
      </c>
      <c r="E1198" s="0" t="n">
        <v>17</v>
      </c>
      <c r="F1198" s="0" t="s">
        <v>74</v>
      </c>
      <c r="G1198" s="0" t="s">
        <v>113</v>
      </c>
      <c r="H1198" s="0" t="s">
        <v>75</v>
      </c>
      <c r="I1198" s="0" t="s">
        <v>39</v>
      </c>
      <c r="J1198" s="0" t="n">
        <v>1.99</v>
      </c>
      <c r="K1198" s="0" t="s">
        <v>73</v>
      </c>
      <c r="L1198" s="0" t="n">
        <f aca="false">INDEX(Summary!$F$2:$F$201,MATCH($B1198,Summary!$A$2:$A$201,0))</f>
        <v>20</v>
      </c>
      <c r="M1198" s="0" t="n">
        <f aca="false">INDEX(Summary!$I$2:$I$201,MATCH($B1198,Summary!$A$2:$A$201,0))</f>
        <v>3</v>
      </c>
      <c r="N1198" s="0" t="n">
        <f aca="false">INDEX(Summary!$J$2:$J$201,MATCH($B1198,Summary!$A$2:$A$201,0))</f>
        <v>2</v>
      </c>
      <c r="O1198" s="2" t="n">
        <f aca="false">INDEX(Summary!$K$2:$K$201,MATCH($B1198,Summary!$A$2:$A$201,0))</f>
        <v>8.51</v>
      </c>
      <c r="P1198" s="3" t="n">
        <f aca="false">INDEX(Summary!$L$2:$L$201,MATCH($B1198,Summary!$A$2:$A$201,0))</f>
        <v>5</v>
      </c>
      <c r="Q1198" s="3" t="n">
        <f aca="false">INDEX(Summary!$M$2:$M$201,MATCH($B1198,Summary!$A$2:$A$201,0))</f>
        <v>1</v>
      </c>
      <c r="R1198" s="2" t="n">
        <f aca="false">INDEX(Summary!$N$2:$N$201,MATCH($B1198,Summary!$A$2:$A$201,0))</f>
        <v>8.72</v>
      </c>
      <c r="S1198" s="3" t="n">
        <f aca="false">INDEX(Summary!$O$2:$O$201,MATCH($B1198,Summary!$A$2:$A$201,0))</f>
        <v>7</v>
      </c>
      <c r="T1198" s="3" t="n">
        <f aca="false">INDEX(Summary!$P$2:$P$201,MATCH($B1198,Summary!$A$2:$A$201,0))</f>
        <v>2</v>
      </c>
      <c r="U1198" s="2" t="n">
        <f aca="false">INDEX(Summary!$Q$2:$Q$201,MATCH($B1198,Summary!$A$2:$A$201,0))</f>
        <v>13.2</v>
      </c>
      <c r="V1198" s="2" t="n">
        <f aca="false">INDEX(Summary!$R$2:$R$201,MATCH($B1198,Summary!$A$2:$A$201,0))</f>
        <v>29.22</v>
      </c>
      <c r="W1198" s="0" t="str">
        <f aca="false">INDEX(Summary!$S$2:$S$201,MATCH($B1198,Summary!$A$2:$A$201,0))</f>
        <v>Gold</v>
      </c>
      <c r="X1198" s="2" t="n">
        <f aca="false">INDEX(Summary!$T$2:$T$201,MATCH($B1198,Summary!$A$2:$A$201,0))</f>
        <v>71.27</v>
      </c>
      <c r="Y1198" s="0" t="str">
        <f aca="false">INDEX('Reward Model'!$E$18:$E$37,MATCH($E1198,'Reward Model'!$A$18:$A$37,0))</f>
        <v>High</v>
      </c>
      <c r="Z1198" s="4" t="n">
        <f aca="false">ROUND(MIN(1,MAX('Reward Model'!$B$2,INDEX('Reward Model'!$C$12:$C$14,MATCH($K1198,'Reward Model'!$A$12:$A$14,0))/$J1198)),3)</f>
        <v>1</v>
      </c>
      <c r="AA1198" s="2" t="n">
        <f aca="false">IF($I1198="Correct",ROUND(INDEX('Reward Model'!$B$12:$B$14,MATCH($K1198,'Reward Model'!$A$12:$A$14,0))*Z1198,2),0)</f>
        <v>0</v>
      </c>
      <c r="AB1198" s="2" t="n">
        <f aca="false">IF($I1198="Correct",ROUND(INDEX('Reward Model'!$B$12:$B$14,MATCH($Y1198,'Reward Model'!$A$12:$A$14,0))*Z1198,2),0)</f>
        <v>0</v>
      </c>
    </row>
    <row r="1199" customFormat="false" ht="15" hidden="false" customHeight="false" outlineLevel="0" collapsed="false">
      <c r="A1199" s="0" t="s">
        <v>247</v>
      </c>
      <c r="B1199" s="0" t="s">
        <v>248</v>
      </c>
      <c r="C1199" s="0" t="s">
        <v>30</v>
      </c>
      <c r="D1199" s="0" t="s">
        <v>189</v>
      </c>
      <c r="E1199" s="0" t="n">
        <v>18</v>
      </c>
      <c r="F1199" s="0" t="s">
        <v>76</v>
      </c>
      <c r="G1199" s="0" t="s">
        <v>88</v>
      </c>
      <c r="H1199" s="0" t="s">
        <v>77</v>
      </c>
      <c r="I1199" s="0" t="s">
        <v>39</v>
      </c>
      <c r="J1199" s="0" t="n">
        <v>1.79</v>
      </c>
      <c r="K1199" s="0" t="s">
        <v>73</v>
      </c>
      <c r="L1199" s="0" t="n">
        <f aca="false">INDEX(Summary!$F$2:$F$201,MATCH($B1199,Summary!$A$2:$A$201,0))</f>
        <v>20</v>
      </c>
      <c r="M1199" s="0" t="n">
        <f aca="false">INDEX(Summary!$I$2:$I$201,MATCH($B1199,Summary!$A$2:$A$201,0))</f>
        <v>3</v>
      </c>
      <c r="N1199" s="0" t="n">
        <f aca="false">INDEX(Summary!$J$2:$J$201,MATCH($B1199,Summary!$A$2:$A$201,0))</f>
        <v>2</v>
      </c>
      <c r="O1199" s="2" t="n">
        <f aca="false">INDEX(Summary!$K$2:$K$201,MATCH($B1199,Summary!$A$2:$A$201,0))</f>
        <v>8.51</v>
      </c>
      <c r="P1199" s="3" t="n">
        <f aca="false">INDEX(Summary!$L$2:$L$201,MATCH($B1199,Summary!$A$2:$A$201,0))</f>
        <v>5</v>
      </c>
      <c r="Q1199" s="3" t="n">
        <f aca="false">INDEX(Summary!$M$2:$M$201,MATCH($B1199,Summary!$A$2:$A$201,0))</f>
        <v>1</v>
      </c>
      <c r="R1199" s="2" t="n">
        <f aca="false">INDEX(Summary!$N$2:$N$201,MATCH($B1199,Summary!$A$2:$A$201,0))</f>
        <v>8.72</v>
      </c>
      <c r="S1199" s="3" t="n">
        <f aca="false">INDEX(Summary!$O$2:$O$201,MATCH($B1199,Summary!$A$2:$A$201,0))</f>
        <v>7</v>
      </c>
      <c r="T1199" s="3" t="n">
        <f aca="false">INDEX(Summary!$P$2:$P$201,MATCH($B1199,Summary!$A$2:$A$201,0))</f>
        <v>2</v>
      </c>
      <c r="U1199" s="2" t="n">
        <f aca="false">INDEX(Summary!$Q$2:$Q$201,MATCH($B1199,Summary!$A$2:$A$201,0))</f>
        <v>13.2</v>
      </c>
      <c r="V1199" s="2" t="n">
        <f aca="false">INDEX(Summary!$R$2:$R$201,MATCH($B1199,Summary!$A$2:$A$201,0))</f>
        <v>29.22</v>
      </c>
      <c r="W1199" s="0" t="str">
        <f aca="false">INDEX(Summary!$S$2:$S$201,MATCH($B1199,Summary!$A$2:$A$201,0))</f>
        <v>Gold</v>
      </c>
      <c r="X1199" s="2" t="n">
        <f aca="false">INDEX(Summary!$T$2:$T$201,MATCH($B1199,Summary!$A$2:$A$201,0))</f>
        <v>71.27</v>
      </c>
      <c r="Y1199" s="0" t="str">
        <f aca="false">INDEX('Reward Model'!$E$18:$E$37,MATCH($E1199,'Reward Model'!$A$18:$A$37,0))</f>
        <v>High</v>
      </c>
      <c r="Z1199" s="4" t="n">
        <f aca="false">ROUND(MIN(1,MAX('Reward Model'!$B$2,INDEX('Reward Model'!$C$12:$C$14,MATCH($K1199,'Reward Model'!$A$12:$A$14,0))/$J1199)),3)</f>
        <v>1</v>
      </c>
      <c r="AA1199" s="2" t="n">
        <f aca="false">IF($I1199="Correct",ROUND(INDEX('Reward Model'!$B$12:$B$14,MATCH($K1199,'Reward Model'!$A$12:$A$14,0))*Z1199,2),0)</f>
        <v>0</v>
      </c>
      <c r="AB1199" s="2" t="n">
        <f aca="false">IF($I1199="Correct",ROUND(INDEX('Reward Model'!$B$12:$B$14,MATCH($Y1199,'Reward Model'!$A$12:$A$14,0))*Z1199,2),0)</f>
        <v>0</v>
      </c>
    </row>
    <row r="1200" customFormat="false" ht="15" hidden="false" customHeight="false" outlineLevel="0" collapsed="false">
      <c r="A1200" s="0" t="s">
        <v>247</v>
      </c>
      <c r="B1200" s="0" t="s">
        <v>248</v>
      </c>
      <c r="C1200" s="0" t="s">
        <v>30</v>
      </c>
      <c r="D1200" s="0" t="s">
        <v>189</v>
      </c>
      <c r="E1200" s="0" t="n">
        <v>19</v>
      </c>
      <c r="F1200" s="0" t="s">
        <v>78</v>
      </c>
      <c r="G1200" s="0" t="s">
        <v>80</v>
      </c>
      <c r="H1200" s="0" t="s">
        <v>80</v>
      </c>
      <c r="I1200" s="0" t="s">
        <v>34</v>
      </c>
      <c r="J1200" s="0" t="n">
        <v>1.66</v>
      </c>
      <c r="K1200" s="0" t="s">
        <v>73</v>
      </c>
      <c r="L1200" s="0" t="n">
        <f aca="false">INDEX(Summary!$F$2:$F$201,MATCH($B1200,Summary!$A$2:$A$201,0))</f>
        <v>20</v>
      </c>
      <c r="M1200" s="0" t="n">
        <f aca="false">INDEX(Summary!$I$2:$I$201,MATCH($B1200,Summary!$A$2:$A$201,0))</f>
        <v>3</v>
      </c>
      <c r="N1200" s="0" t="n">
        <f aca="false">INDEX(Summary!$J$2:$J$201,MATCH($B1200,Summary!$A$2:$A$201,0))</f>
        <v>2</v>
      </c>
      <c r="O1200" s="2" t="n">
        <f aca="false">INDEX(Summary!$K$2:$K$201,MATCH($B1200,Summary!$A$2:$A$201,0))</f>
        <v>8.51</v>
      </c>
      <c r="P1200" s="3" t="n">
        <f aca="false">INDEX(Summary!$L$2:$L$201,MATCH($B1200,Summary!$A$2:$A$201,0))</f>
        <v>5</v>
      </c>
      <c r="Q1200" s="3" t="n">
        <f aca="false">INDEX(Summary!$M$2:$M$201,MATCH($B1200,Summary!$A$2:$A$201,0))</f>
        <v>1</v>
      </c>
      <c r="R1200" s="2" t="n">
        <f aca="false">INDEX(Summary!$N$2:$N$201,MATCH($B1200,Summary!$A$2:$A$201,0))</f>
        <v>8.72</v>
      </c>
      <c r="S1200" s="3" t="n">
        <f aca="false">INDEX(Summary!$O$2:$O$201,MATCH($B1200,Summary!$A$2:$A$201,0))</f>
        <v>7</v>
      </c>
      <c r="T1200" s="3" t="n">
        <f aca="false">INDEX(Summary!$P$2:$P$201,MATCH($B1200,Summary!$A$2:$A$201,0))</f>
        <v>2</v>
      </c>
      <c r="U1200" s="2" t="n">
        <f aca="false">INDEX(Summary!$Q$2:$Q$201,MATCH($B1200,Summary!$A$2:$A$201,0))</f>
        <v>13.2</v>
      </c>
      <c r="V1200" s="2" t="n">
        <f aca="false">INDEX(Summary!$R$2:$R$201,MATCH($B1200,Summary!$A$2:$A$201,0))</f>
        <v>29.22</v>
      </c>
      <c r="W1200" s="0" t="str">
        <f aca="false">INDEX(Summary!$S$2:$S$201,MATCH($B1200,Summary!$A$2:$A$201,0))</f>
        <v>Gold</v>
      </c>
      <c r="X1200" s="2" t="n">
        <f aca="false">INDEX(Summary!$T$2:$T$201,MATCH($B1200,Summary!$A$2:$A$201,0))</f>
        <v>71.27</v>
      </c>
      <c r="Y1200" s="0" t="str">
        <f aca="false">INDEX('Reward Model'!$E$18:$E$37,MATCH($E1200,'Reward Model'!$A$18:$A$37,0))</f>
        <v>High</v>
      </c>
      <c r="Z1200" s="4" t="n">
        <f aca="false">ROUND(MIN(1,MAX('Reward Model'!$B$2,INDEX('Reward Model'!$C$12:$C$14,MATCH($K1200,'Reward Model'!$A$12:$A$14,0))/$J1200)),3)</f>
        <v>1</v>
      </c>
      <c r="AA1200" s="2" t="n">
        <f aca="false">IF($I1200="Correct",ROUND(INDEX('Reward Model'!$B$12:$B$14,MATCH($K1200,'Reward Model'!$A$12:$A$14,0))*Z1200,2),0)</f>
        <v>3</v>
      </c>
      <c r="AB1200" s="2" t="n">
        <f aca="false">IF($I1200="Correct",ROUND(INDEX('Reward Model'!$B$12:$B$14,MATCH($Y1200,'Reward Model'!$A$12:$A$14,0))*Z1200,2),0)</f>
        <v>3</v>
      </c>
    </row>
    <row r="1201" customFormat="false" ht="15" hidden="false" customHeight="false" outlineLevel="0" collapsed="false">
      <c r="A1201" s="0" t="s">
        <v>247</v>
      </c>
      <c r="B1201" s="0" t="s">
        <v>248</v>
      </c>
      <c r="C1201" s="0" t="s">
        <v>30</v>
      </c>
      <c r="D1201" s="0" t="s">
        <v>189</v>
      </c>
      <c r="E1201" s="0" t="n">
        <v>20</v>
      </c>
      <c r="F1201" s="0" t="s">
        <v>81</v>
      </c>
      <c r="G1201" s="0" t="s">
        <v>83</v>
      </c>
      <c r="H1201" s="0" t="s">
        <v>83</v>
      </c>
      <c r="I1201" s="0" t="s">
        <v>34</v>
      </c>
      <c r="J1201" s="0" t="n">
        <v>1.49</v>
      </c>
      <c r="K1201" s="0" t="s">
        <v>73</v>
      </c>
      <c r="L1201" s="0" t="n">
        <f aca="false">INDEX(Summary!$F$2:$F$201,MATCH($B1201,Summary!$A$2:$A$201,0))</f>
        <v>20</v>
      </c>
      <c r="M1201" s="0" t="n">
        <f aca="false">INDEX(Summary!$I$2:$I$201,MATCH($B1201,Summary!$A$2:$A$201,0))</f>
        <v>3</v>
      </c>
      <c r="N1201" s="0" t="n">
        <f aca="false">INDEX(Summary!$J$2:$J$201,MATCH($B1201,Summary!$A$2:$A$201,0))</f>
        <v>2</v>
      </c>
      <c r="O1201" s="2" t="n">
        <f aca="false">INDEX(Summary!$K$2:$K$201,MATCH($B1201,Summary!$A$2:$A$201,0))</f>
        <v>8.51</v>
      </c>
      <c r="P1201" s="3" t="n">
        <f aca="false">INDEX(Summary!$L$2:$L$201,MATCH($B1201,Summary!$A$2:$A$201,0))</f>
        <v>5</v>
      </c>
      <c r="Q1201" s="3" t="n">
        <f aca="false">INDEX(Summary!$M$2:$M$201,MATCH($B1201,Summary!$A$2:$A$201,0))</f>
        <v>1</v>
      </c>
      <c r="R1201" s="2" t="n">
        <f aca="false">INDEX(Summary!$N$2:$N$201,MATCH($B1201,Summary!$A$2:$A$201,0))</f>
        <v>8.72</v>
      </c>
      <c r="S1201" s="3" t="n">
        <f aca="false">INDEX(Summary!$O$2:$O$201,MATCH($B1201,Summary!$A$2:$A$201,0))</f>
        <v>7</v>
      </c>
      <c r="T1201" s="3" t="n">
        <f aca="false">INDEX(Summary!$P$2:$P$201,MATCH($B1201,Summary!$A$2:$A$201,0))</f>
        <v>2</v>
      </c>
      <c r="U1201" s="2" t="n">
        <f aca="false">INDEX(Summary!$Q$2:$Q$201,MATCH($B1201,Summary!$A$2:$A$201,0))</f>
        <v>13.2</v>
      </c>
      <c r="V1201" s="2" t="n">
        <f aca="false">INDEX(Summary!$R$2:$R$201,MATCH($B1201,Summary!$A$2:$A$201,0))</f>
        <v>29.22</v>
      </c>
      <c r="W1201" s="0" t="str">
        <f aca="false">INDEX(Summary!$S$2:$S$201,MATCH($B1201,Summary!$A$2:$A$201,0))</f>
        <v>Gold</v>
      </c>
      <c r="X1201" s="2" t="n">
        <f aca="false">INDEX(Summary!$T$2:$T$201,MATCH($B1201,Summary!$A$2:$A$201,0))</f>
        <v>71.27</v>
      </c>
      <c r="Y1201" s="0" t="str">
        <f aca="false">INDEX('Reward Model'!$E$18:$E$37,MATCH($E1201,'Reward Model'!$A$18:$A$37,0))</f>
        <v>High</v>
      </c>
      <c r="Z1201" s="4" t="n">
        <f aca="false">ROUND(MIN(1,MAX('Reward Model'!$B$2,INDEX('Reward Model'!$C$12:$C$14,MATCH($K1201,'Reward Model'!$A$12:$A$14,0))/$J1201)),3)</f>
        <v>1</v>
      </c>
      <c r="AA1201" s="2" t="n">
        <f aca="false">IF($I1201="Correct",ROUND(INDEX('Reward Model'!$B$12:$B$14,MATCH($K1201,'Reward Model'!$A$12:$A$14,0))*Z1201,2),0)</f>
        <v>3</v>
      </c>
      <c r="AB1201" s="2" t="n">
        <f aca="false">IF($I1201="Correct",ROUND(INDEX('Reward Model'!$B$12:$B$14,MATCH($Y1201,'Reward Model'!$A$12:$A$14,0))*Z1201,2),0)</f>
        <v>3</v>
      </c>
    </row>
    <row r="1202" customFormat="false" ht="15" hidden="false" customHeight="false" outlineLevel="0" collapsed="false">
      <c r="A1202" s="0" t="s">
        <v>249</v>
      </c>
      <c r="B1202" s="0" t="s">
        <v>250</v>
      </c>
      <c r="C1202" s="0" t="s">
        <v>30</v>
      </c>
      <c r="D1202" s="0" t="s">
        <v>189</v>
      </c>
      <c r="E1202" s="0" t="n">
        <v>1</v>
      </c>
      <c r="F1202" s="0" t="s">
        <v>32</v>
      </c>
      <c r="G1202" s="0" t="s">
        <v>33</v>
      </c>
      <c r="H1202" s="0" t="s">
        <v>33</v>
      </c>
      <c r="I1202" s="0" t="s">
        <v>34</v>
      </c>
      <c r="J1202" s="0" t="n">
        <v>1.67</v>
      </c>
      <c r="K1202" s="0" t="s">
        <v>35</v>
      </c>
      <c r="L1202" s="0" t="n">
        <f aca="false">INDEX(Summary!$F$2:$F$201,MATCH($B1202,Summary!$A$2:$A$201,0))</f>
        <v>20</v>
      </c>
      <c r="M1202" s="0" t="n">
        <f aca="false">INDEX(Summary!$I$2:$I$201,MATCH($B1202,Summary!$A$2:$A$201,0))</f>
        <v>4</v>
      </c>
      <c r="N1202" s="0" t="n">
        <f aca="false">INDEX(Summary!$J$2:$J$201,MATCH($B1202,Summary!$A$2:$A$201,0))</f>
        <v>1</v>
      </c>
      <c r="O1202" s="2" t="n">
        <f aca="false">INDEX(Summary!$K$2:$K$201,MATCH($B1202,Summary!$A$2:$A$201,0))</f>
        <v>9.82</v>
      </c>
      <c r="P1202" s="3" t="n">
        <f aca="false">INDEX(Summary!$L$2:$L$201,MATCH($B1202,Summary!$A$2:$A$201,0))</f>
        <v>5</v>
      </c>
      <c r="Q1202" s="3" t="n">
        <f aca="false">INDEX(Summary!$M$2:$M$201,MATCH($B1202,Summary!$A$2:$A$201,0))</f>
        <v>1</v>
      </c>
      <c r="R1202" s="2" t="n">
        <f aca="false">INDEX(Summary!$N$2:$N$201,MATCH($B1202,Summary!$A$2:$A$201,0))</f>
        <v>10.7</v>
      </c>
      <c r="S1202" s="3" t="n">
        <f aca="false">INDEX(Summary!$O$2:$O$201,MATCH($B1202,Summary!$A$2:$A$201,0))</f>
        <v>8</v>
      </c>
      <c r="T1202" s="3" t="n">
        <f aca="false">INDEX(Summary!$P$2:$P$201,MATCH($B1202,Summary!$A$2:$A$201,0))</f>
        <v>1</v>
      </c>
      <c r="U1202" s="2" t="n">
        <f aca="false">INDEX(Summary!$Q$2:$Q$201,MATCH($B1202,Summary!$A$2:$A$201,0))</f>
        <v>12.53</v>
      </c>
      <c r="V1202" s="2" t="n">
        <f aca="false">INDEX(Summary!$R$2:$R$201,MATCH($B1202,Summary!$A$2:$A$201,0))</f>
        <v>31.85</v>
      </c>
      <c r="W1202" s="0" t="str">
        <f aca="false">INDEX(Summary!$S$2:$S$201,MATCH($B1202,Summary!$A$2:$A$201,0))</f>
        <v>Gold</v>
      </c>
      <c r="X1202" s="2" t="n">
        <f aca="false">INDEX(Summary!$T$2:$T$201,MATCH($B1202,Summary!$A$2:$A$201,0))</f>
        <v>77.68</v>
      </c>
      <c r="Y1202" s="0" t="str">
        <f aca="false">INDEX('Reward Model'!$E$18:$E$37,MATCH($E1202,'Reward Model'!$A$18:$A$37,0))</f>
        <v>Medium</v>
      </c>
      <c r="Z1202" s="4" t="n">
        <f aca="false">ROUND(MIN(1,MAX('Reward Model'!$B$2,INDEX('Reward Model'!$C$12:$C$14,MATCH($K1202,'Reward Model'!$A$12:$A$14,0))/$J1202)),3)</f>
        <v>0.898</v>
      </c>
      <c r="AA1202" s="2" t="n">
        <f aca="false">IF($I1202="Correct",ROUND(INDEX('Reward Model'!$B$12:$B$14,MATCH($K1202,'Reward Model'!$A$12:$A$14,0))*Z1202,2),0)</f>
        <v>0.9</v>
      </c>
      <c r="AB1202" s="2" t="n">
        <f aca="false">IF($I1202="Correct",ROUND(INDEX('Reward Model'!$B$12:$B$14,MATCH($Y1202,'Reward Model'!$A$12:$A$14,0))*Z1202,2),0)</f>
        <v>1.8</v>
      </c>
    </row>
    <row r="1203" customFormat="false" ht="15" hidden="false" customHeight="false" outlineLevel="0" collapsed="false">
      <c r="A1203" s="0" t="s">
        <v>249</v>
      </c>
      <c r="B1203" s="0" t="s">
        <v>250</v>
      </c>
      <c r="C1203" s="0" t="s">
        <v>30</v>
      </c>
      <c r="D1203" s="0" t="s">
        <v>189</v>
      </c>
      <c r="E1203" s="0" t="n">
        <v>2</v>
      </c>
      <c r="F1203" s="0" t="s">
        <v>36</v>
      </c>
      <c r="G1203" s="0" t="s">
        <v>38</v>
      </c>
      <c r="H1203" s="0" t="s">
        <v>38</v>
      </c>
      <c r="I1203" s="0" t="s">
        <v>34</v>
      </c>
      <c r="J1203" s="0" t="n">
        <v>1.25</v>
      </c>
      <c r="K1203" s="0" t="s">
        <v>35</v>
      </c>
      <c r="L1203" s="0" t="n">
        <f aca="false">INDEX(Summary!$F$2:$F$201,MATCH($B1203,Summary!$A$2:$A$201,0))</f>
        <v>20</v>
      </c>
      <c r="M1203" s="0" t="n">
        <f aca="false">INDEX(Summary!$I$2:$I$201,MATCH($B1203,Summary!$A$2:$A$201,0))</f>
        <v>4</v>
      </c>
      <c r="N1203" s="0" t="n">
        <f aca="false">INDEX(Summary!$J$2:$J$201,MATCH($B1203,Summary!$A$2:$A$201,0))</f>
        <v>1</v>
      </c>
      <c r="O1203" s="2" t="n">
        <f aca="false">INDEX(Summary!$K$2:$K$201,MATCH($B1203,Summary!$A$2:$A$201,0))</f>
        <v>9.82</v>
      </c>
      <c r="P1203" s="3" t="n">
        <f aca="false">INDEX(Summary!$L$2:$L$201,MATCH($B1203,Summary!$A$2:$A$201,0))</f>
        <v>5</v>
      </c>
      <c r="Q1203" s="3" t="n">
        <f aca="false">INDEX(Summary!$M$2:$M$201,MATCH($B1203,Summary!$A$2:$A$201,0))</f>
        <v>1</v>
      </c>
      <c r="R1203" s="2" t="n">
        <f aca="false">INDEX(Summary!$N$2:$N$201,MATCH($B1203,Summary!$A$2:$A$201,0))</f>
        <v>10.7</v>
      </c>
      <c r="S1203" s="3" t="n">
        <f aca="false">INDEX(Summary!$O$2:$O$201,MATCH($B1203,Summary!$A$2:$A$201,0))</f>
        <v>8</v>
      </c>
      <c r="T1203" s="3" t="n">
        <f aca="false">INDEX(Summary!$P$2:$P$201,MATCH($B1203,Summary!$A$2:$A$201,0))</f>
        <v>1</v>
      </c>
      <c r="U1203" s="2" t="n">
        <f aca="false">INDEX(Summary!$Q$2:$Q$201,MATCH($B1203,Summary!$A$2:$A$201,0))</f>
        <v>12.53</v>
      </c>
      <c r="V1203" s="2" t="n">
        <f aca="false">INDEX(Summary!$R$2:$R$201,MATCH($B1203,Summary!$A$2:$A$201,0))</f>
        <v>31.85</v>
      </c>
      <c r="W1203" s="0" t="str">
        <f aca="false">INDEX(Summary!$S$2:$S$201,MATCH($B1203,Summary!$A$2:$A$201,0))</f>
        <v>Gold</v>
      </c>
      <c r="X1203" s="2" t="n">
        <f aca="false">INDEX(Summary!$T$2:$T$201,MATCH($B1203,Summary!$A$2:$A$201,0))</f>
        <v>77.68</v>
      </c>
      <c r="Y1203" s="0" t="str">
        <f aca="false">INDEX('Reward Model'!$E$18:$E$37,MATCH($E1203,'Reward Model'!$A$18:$A$37,0))</f>
        <v>Low</v>
      </c>
      <c r="Z1203" s="4" t="n">
        <f aca="false">ROUND(MIN(1,MAX('Reward Model'!$B$2,INDEX('Reward Model'!$C$12:$C$14,MATCH($K1203,'Reward Model'!$A$12:$A$14,0))/$J1203)),3)</f>
        <v>1</v>
      </c>
      <c r="AA1203" s="2" t="n">
        <f aca="false">IF($I1203="Correct",ROUND(INDEX('Reward Model'!$B$12:$B$14,MATCH($K1203,'Reward Model'!$A$12:$A$14,0))*Z1203,2),0)</f>
        <v>1</v>
      </c>
      <c r="AB1203" s="2" t="n">
        <f aca="false">IF($I1203="Correct",ROUND(INDEX('Reward Model'!$B$12:$B$14,MATCH($Y1203,'Reward Model'!$A$12:$A$14,0))*Z1203,2),0)</f>
        <v>1</v>
      </c>
    </row>
    <row r="1204" customFormat="false" ht="15" hidden="false" customHeight="false" outlineLevel="0" collapsed="false">
      <c r="A1204" s="0" t="s">
        <v>249</v>
      </c>
      <c r="B1204" s="0" t="s">
        <v>250</v>
      </c>
      <c r="C1204" s="0" t="s">
        <v>30</v>
      </c>
      <c r="D1204" s="0" t="s">
        <v>189</v>
      </c>
      <c r="E1204" s="0" t="n">
        <v>3</v>
      </c>
      <c r="F1204" s="0" t="s">
        <v>40</v>
      </c>
      <c r="G1204" s="0" t="s">
        <v>41</v>
      </c>
      <c r="H1204" s="0" t="s">
        <v>42</v>
      </c>
      <c r="I1204" s="0" t="s">
        <v>39</v>
      </c>
      <c r="J1204" s="0" t="n">
        <v>1.26</v>
      </c>
      <c r="K1204" s="0" t="s">
        <v>35</v>
      </c>
      <c r="L1204" s="0" t="n">
        <f aca="false">INDEX(Summary!$F$2:$F$201,MATCH($B1204,Summary!$A$2:$A$201,0))</f>
        <v>20</v>
      </c>
      <c r="M1204" s="0" t="n">
        <f aca="false">INDEX(Summary!$I$2:$I$201,MATCH($B1204,Summary!$A$2:$A$201,0))</f>
        <v>4</v>
      </c>
      <c r="N1204" s="0" t="n">
        <f aca="false">INDEX(Summary!$J$2:$J$201,MATCH($B1204,Summary!$A$2:$A$201,0))</f>
        <v>1</v>
      </c>
      <c r="O1204" s="2" t="n">
        <f aca="false">INDEX(Summary!$K$2:$K$201,MATCH($B1204,Summary!$A$2:$A$201,0))</f>
        <v>9.82</v>
      </c>
      <c r="P1204" s="3" t="n">
        <f aca="false">INDEX(Summary!$L$2:$L$201,MATCH($B1204,Summary!$A$2:$A$201,0))</f>
        <v>5</v>
      </c>
      <c r="Q1204" s="3" t="n">
        <f aca="false">INDEX(Summary!$M$2:$M$201,MATCH($B1204,Summary!$A$2:$A$201,0))</f>
        <v>1</v>
      </c>
      <c r="R1204" s="2" t="n">
        <f aca="false">INDEX(Summary!$N$2:$N$201,MATCH($B1204,Summary!$A$2:$A$201,0))</f>
        <v>10.7</v>
      </c>
      <c r="S1204" s="3" t="n">
        <f aca="false">INDEX(Summary!$O$2:$O$201,MATCH($B1204,Summary!$A$2:$A$201,0))</f>
        <v>8</v>
      </c>
      <c r="T1204" s="3" t="n">
        <f aca="false">INDEX(Summary!$P$2:$P$201,MATCH($B1204,Summary!$A$2:$A$201,0))</f>
        <v>1</v>
      </c>
      <c r="U1204" s="2" t="n">
        <f aca="false">INDEX(Summary!$Q$2:$Q$201,MATCH($B1204,Summary!$A$2:$A$201,0))</f>
        <v>12.53</v>
      </c>
      <c r="V1204" s="2" t="n">
        <f aca="false">INDEX(Summary!$R$2:$R$201,MATCH($B1204,Summary!$A$2:$A$201,0))</f>
        <v>31.85</v>
      </c>
      <c r="W1204" s="0" t="str">
        <f aca="false">INDEX(Summary!$S$2:$S$201,MATCH($B1204,Summary!$A$2:$A$201,0))</f>
        <v>Gold</v>
      </c>
      <c r="X1204" s="2" t="n">
        <f aca="false">INDEX(Summary!$T$2:$T$201,MATCH($B1204,Summary!$A$2:$A$201,0))</f>
        <v>77.68</v>
      </c>
      <c r="Y1204" s="0" t="str">
        <f aca="false">INDEX('Reward Model'!$E$18:$E$37,MATCH($E1204,'Reward Model'!$A$18:$A$37,0))</f>
        <v>Medium</v>
      </c>
      <c r="Z1204" s="4" t="n">
        <f aca="false">ROUND(MIN(1,MAX('Reward Model'!$B$2,INDEX('Reward Model'!$C$12:$C$14,MATCH($K1204,'Reward Model'!$A$12:$A$14,0))/$J1204)),3)</f>
        <v>1</v>
      </c>
      <c r="AA1204" s="2" t="n">
        <f aca="false">IF($I1204="Correct",ROUND(INDEX('Reward Model'!$B$12:$B$14,MATCH($K1204,'Reward Model'!$A$12:$A$14,0))*Z1204,2),0)</f>
        <v>0</v>
      </c>
      <c r="AB1204" s="2" t="n">
        <f aca="false">IF($I1204="Correct",ROUND(INDEX('Reward Model'!$B$12:$B$14,MATCH($Y1204,'Reward Model'!$A$12:$A$14,0))*Z1204,2),0)</f>
        <v>0</v>
      </c>
    </row>
    <row r="1205" customFormat="false" ht="15" hidden="false" customHeight="false" outlineLevel="0" collapsed="false">
      <c r="A1205" s="0" t="s">
        <v>249</v>
      </c>
      <c r="B1205" s="0" t="s">
        <v>250</v>
      </c>
      <c r="C1205" s="0" t="s">
        <v>30</v>
      </c>
      <c r="D1205" s="0" t="s">
        <v>189</v>
      </c>
      <c r="E1205" s="0" t="n">
        <v>4</v>
      </c>
      <c r="F1205" s="0" t="s">
        <v>43</v>
      </c>
      <c r="G1205" s="0" t="s">
        <v>45</v>
      </c>
      <c r="H1205" s="0" t="s">
        <v>45</v>
      </c>
      <c r="I1205" s="0" t="s">
        <v>34</v>
      </c>
      <c r="J1205" s="0" t="n">
        <v>1.3</v>
      </c>
      <c r="K1205" s="0" t="s">
        <v>35</v>
      </c>
      <c r="L1205" s="0" t="n">
        <f aca="false">INDEX(Summary!$F$2:$F$201,MATCH($B1205,Summary!$A$2:$A$201,0))</f>
        <v>20</v>
      </c>
      <c r="M1205" s="0" t="n">
        <f aca="false">INDEX(Summary!$I$2:$I$201,MATCH($B1205,Summary!$A$2:$A$201,0))</f>
        <v>4</v>
      </c>
      <c r="N1205" s="0" t="n">
        <f aca="false">INDEX(Summary!$J$2:$J$201,MATCH($B1205,Summary!$A$2:$A$201,0))</f>
        <v>1</v>
      </c>
      <c r="O1205" s="2" t="n">
        <f aca="false">INDEX(Summary!$K$2:$K$201,MATCH($B1205,Summary!$A$2:$A$201,0))</f>
        <v>9.82</v>
      </c>
      <c r="P1205" s="3" t="n">
        <f aca="false">INDEX(Summary!$L$2:$L$201,MATCH($B1205,Summary!$A$2:$A$201,0))</f>
        <v>5</v>
      </c>
      <c r="Q1205" s="3" t="n">
        <f aca="false">INDEX(Summary!$M$2:$M$201,MATCH($B1205,Summary!$A$2:$A$201,0))</f>
        <v>1</v>
      </c>
      <c r="R1205" s="2" t="n">
        <f aca="false">INDEX(Summary!$N$2:$N$201,MATCH($B1205,Summary!$A$2:$A$201,0))</f>
        <v>10.7</v>
      </c>
      <c r="S1205" s="3" t="n">
        <f aca="false">INDEX(Summary!$O$2:$O$201,MATCH($B1205,Summary!$A$2:$A$201,0))</f>
        <v>8</v>
      </c>
      <c r="T1205" s="3" t="n">
        <f aca="false">INDEX(Summary!$P$2:$P$201,MATCH($B1205,Summary!$A$2:$A$201,0))</f>
        <v>1</v>
      </c>
      <c r="U1205" s="2" t="n">
        <f aca="false">INDEX(Summary!$Q$2:$Q$201,MATCH($B1205,Summary!$A$2:$A$201,0))</f>
        <v>12.53</v>
      </c>
      <c r="V1205" s="2" t="n">
        <f aca="false">INDEX(Summary!$R$2:$R$201,MATCH($B1205,Summary!$A$2:$A$201,0))</f>
        <v>31.85</v>
      </c>
      <c r="W1205" s="0" t="str">
        <f aca="false">INDEX(Summary!$S$2:$S$201,MATCH($B1205,Summary!$A$2:$A$201,0))</f>
        <v>Gold</v>
      </c>
      <c r="X1205" s="2" t="n">
        <f aca="false">INDEX(Summary!$T$2:$T$201,MATCH($B1205,Summary!$A$2:$A$201,0))</f>
        <v>77.68</v>
      </c>
      <c r="Y1205" s="0" t="str">
        <f aca="false">INDEX('Reward Model'!$E$18:$E$37,MATCH($E1205,'Reward Model'!$A$18:$A$37,0))</f>
        <v>Low</v>
      </c>
      <c r="Z1205" s="4" t="n">
        <f aca="false">ROUND(MIN(1,MAX('Reward Model'!$B$2,INDEX('Reward Model'!$C$12:$C$14,MATCH($K1205,'Reward Model'!$A$12:$A$14,0))/$J1205)),3)</f>
        <v>1</v>
      </c>
      <c r="AA1205" s="2" t="n">
        <f aca="false">IF($I1205="Correct",ROUND(INDEX('Reward Model'!$B$12:$B$14,MATCH($K1205,'Reward Model'!$A$12:$A$14,0))*Z1205,2),0)</f>
        <v>1</v>
      </c>
      <c r="AB1205" s="2" t="n">
        <f aca="false">IF($I1205="Correct",ROUND(INDEX('Reward Model'!$B$12:$B$14,MATCH($Y1205,'Reward Model'!$A$12:$A$14,0))*Z1205,2),0)</f>
        <v>1</v>
      </c>
    </row>
    <row r="1206" customFormat="false" ht="15" hidden="false" customHeight="false" outlineLevel="0" collapsed="false">
      <c r="A1206" s="0" t="s">
        <v>249</v>
      </c>
      <c r="B1206" s="0" t="s">
        <v>250</v>
      </c>
      <c r="C1206" s="0" t="s">
        <v>30</v>
      </c>
      <c r="D1206" s="0" t="s">
        <v>189</v>
      </c>
      <c r="E1206" s="0" t="n">
        <v>5</v>
      </c>
      <c r="F1206" s="0" t="s">
        <v>46</v>
      </c>
      <c r="G1206" s="0" t="s">
        <v>47</v>
      </c>
      <c r="H1206" s="0" t="s">
        <v>47</v>
      </c>
      <c r="I1206" s="0" t="s">
        <v>34</v>
      </c>
      <c r="J1206" s="0" t="n">
        <v>1.65</v>
      </c>
      <c r="K1206" s="0" t="s">
        <v>35</v>
      </c>
      <c r="L1206" s="0" t="n">
        <f aca="false">INDEX(Summary!$F$2:$F$201,MATCH($B1206,Summary!$A$2:$A$201,0))</f>
        <v>20</v>
      </c>
      <c r="M1206" s="0" t="n">
        <f aca="false">INDEX(Summary!$I$2:$I$201,MATCH($B1206,Summary!$A$2:$A$201,0))</f>
        <v>4</v>
      </c>
      <c r="N1206" s="0" t="n">
        <f aca="false">INDEX(Summary!$J$2:$J$201,MATCH($B1206,Summary!$A$2:$A$201,0))</f>
        <v>1</v>
      </c>
      <c r="O1206" s="2" t="n">
        <f aca="false">INDEX(Summary!$K$2:$K$201,MATCH($B1206,Summary!$A$2:$A$201,0))</f>
        <v>9.82</v>
      </c>
      <c r="P1206" s="3" t="n">
        <f aca="false">INDEX(Summary!$L$2:$L$201,MATCH($B1206,Summary!$A$2:$A$201,0))</f>
        <v>5</v>
      </c>
      <c r="Q1206" s="3" t="n">
        <f aca="false">INDEX(Summary!$M$2:$M$201,MATCH($B1206,Summary!$A$2:$A$201,0))</f>
        <v>1</v>
      </c>
      <c r="R1206" s="2" t="n">
        <f aca="false">INDEX(Summary!$N$2:$N$201,MATCH($B1206,Summary!$A$2:$A$201,0))</f>
        <v>10.7</v>
      </c>
      <c r="S1206" s="3" t="n">
        <f aca="false">INDEX(Summary!$O$2:$O$201,MATCH($B1206,Summary!$A$2:$A$201,0))</f>
        <v>8</v>
      </c>
      <c r="T1206" s="3" t="n">
        <f aca="false">INDEX(Summary!$P$2:$P$201,MATCH($B1206,Summary!$A$2:$A$201,0))</f>
        <v>1</v>
      </c>
      <c r="U1206" s="2" t="n">
        <f aca="false">INDEX(Summary!$Q$2:$Q$201,MATCH($B1206,Summary!$A$2:$A$201,0))</f>
        <v>12.53</v>
      </c>
      <c r="V1206" s="2" t="n">
        <f aca="false">INDEX(Summary!$R$2:$R$201,MATCH($B1206,Summary!$A$2:$A$201,0))</f>
        <v>31.85</v>
      </c>
      <c r="W1206" s="0" t="str">
        <f aca="false">INDEX(Summary!$S$2:$S$201,MATCH($B1206,Summary!$A$2:$A$201,0))</f>
        <v>Gold</v>
      </c>
      <c r="X1206" s="2" t="n">
        <f aca="false">INDEX(Summary!$T$2:$T$201,MATCH($B1206,Summary!$A$2:$A$201,0))</f>
        <v>77.68</v>
      </c>
      <c r="Y1206" s="0" t="str">
        <f aca="false">INDEX('Reward Model'!$E$18:$E$37,MATCH($E1206,'Reward Model'!$A$18:$A$37,0))</f>
        <v>Low</v>
      </c>
      <c r="Z1206" s="4" t="n">
        <f aca="false">ROUND(MIN(1,MAX('Reward Model'!$B$2,INDEX('Reward Model'!$C$12:$C$14,MATCH($K1206,'Reward Model'!$A$12:$A$14,0))/$J1206)),3)</f>
        <v>0.909</v>
      </c>
      <c r="AA1206" s="2" t="n">
        <f aca="false">IF($I1206="Correct",ROUND(INDEX('Reward Model'!$B$12:$B$14,MATCH($K1206,'Reward Model'!$A$12:$A$14,0))*Z1206,2),0)</f>
        <v>0.91</v>
      </c>
      <c r="AB1206" s="2" t="n">
        <f aca="false">IF($I1206="Correct",ROUND(INDEX('Reward Model'!$B$12:$B$14,MATCH($Y1206,'Reward Model'!$A$12:$A$14,0))*Z1206,2),0)</f>
        <v>0.91</v>
      </c>
    </row>
    <row r="1207" customFormat="false" ht="15" hidden="false" customHeight="false" outlineLevel="0" collapsed="false">
      <c r="A1207" s="0" t="s">
        <v>249</v>
      </c>
      <c r="B1207" s="0" t="s">
        <v>250</v>
      </c>
      <c r="C1207" s="0" t="s">
        <v>30</v>
      </c>
      <c r="D1207" s="0" t="s">
        <v>189</v>
      </c>
      <c r="E1207" s="0" t="n">
        <v>6</v>
      </c>
      <c r="F1207" s="0" t="s">
        <v>48</v>
      </c>
      <c r="G1207" s="0" t="s">
        <v>49</v>
      </c>
      <c r="H1207" s="0" t="s">
        <v>49</v>
      </c>
      <c r="I1207" s="0" t="s">
        <v>34</v>
      </c>
      <c r="J1207" s="0" t="n">
        <v>1.56</v>
      </c>
      <c r="K1207" s="0" t="s">
        <v>35</v>
      </c>
      <c r="L1207" s="0" t="n">
        <f aca="false">INDEX(Summary!$F$2:$F$201,MATCH($B1207,Summary!$A$2:$A$201,0))</f>
        <v>20</v>
      </c>
      <c r="M1207" s="0" t="n">
        <f aca="false">INDEX(Summary!$I$2:$I$201,MATCH($B1207,Summary!$A$2:$A$201,0))</f>
        <v>4</v>
      </c>
      <c r="N1207" s="0" t="n">
        <f aca="false">INDEX(Summary!$J$2:$J$201,MATCH($B1207,Summary!$A$2:$A$201,0))</f>
        <v>1</v>
      </c>
      <c r="O1207" s="2" t="n">
        <f aca="false">INDEX(Summary!$K$2:$K$201,MATCH($B1207,Summary!$A$2:$A$201,0))</f>
        <v>9.82</v>
      </c>
      <c r="P1207" s="3" t="n">
        <f aca="false">INDEX(Summary!$L$2:$L$201,MATCH($B1207,Summary!$A$2:$A$201,0))</f>
        <v>5</v>
      </c>
      <c r="Q1207" s="3" t="n">
        <f aca="false">INDEX(Summary!$M$2:$M$201,MATCH($B1207,Summary!$A$2:$A$201,0))</f>
        <v>1</v>
      </c>
      <c r="R1207" s="2" t="n">
        <f aca="false">INDEX(Summary!$N$2:$N$201,MATCH($B1207,Summary!$A$2:$A$201,0))</f>
        <v>10.7</v>
      </c>
      <c r="S1207" s="3" t="n">
        <f aca="false">INDEX(Summary!$O$2:$O$201,MATCH($B1207,Summary!$A$2:$A$201,0))</f>
        <v>8</v>
      </c>
      <c r="T1207" s="3" t="n">
        <f aca="false">INDEX(Summary!$P$2:$P$201,MATCH($B1207,Summary!$A$2:$A$201,0))</f>
        <v>1</v>
      </c>
      <c r="U1207" s="2" t="n">
        <f aca="false">INDEX(Summary!$Q$2:$Q$201,MATCH($B1207,Summary!$A$2:$A$201,0))</f>
        <v>12.53</v>
      </c>
      <c r="V1207" s="2" t="n">
        <f aca="false">INDEX(Summary!$R$2:$R$201,MATCH($B1207,Summary!$A$2:$A$201,0))</f>
        <v>31.85</v>
      </c>
      <c r="W1207" s="0" t="str">
        <f aca="false">INDEX(Summary!$S$2:$S$201,MATCH($B1207,Summary!$A$2:$A$201,0))</f>
        <v>Gold</v>
      </c>
      <c r="X1207" s="2" t="n">
        <f aca="false">INDEX(Summary!$T$2:$T$201,MATCH($B1207,Summary!$A$2:$A$201,0))</f>
        <v>77.68</v>
      </c>
      <c r="Y1207" s="0" t="str">
        <f aca="false">INDEX('Reward Model'!$E$18:$E$37,MATCH($E1207,'Reward Model'!$A$18:$A$37,0))</f>
        <v>Medium</v>
      </c>
      <c r="Z1207" s="4" t="n">
        <f aca="false">ROUND(MIN(1,MAX('Reward Model'!$B$2,INDEX('Reward Model'!$C$12:$C$14,MATCH($K1207,'Reward Model'!$A$12:$A$14,0))/$J1207)),3)</f>
        <v>0.962</v>
      </c>
      <c r="AA1207" s="2" t="n">
        <f aca="false">IF($I1207="Correct",ROUND(INDEX('Reward Model'!$B$12:$B$14,MATCH($K1207,'Reward Model'!$A$12:$A$14,0))*Z1207,2),0)</f>
        <v>0.96</v>
      </c>
      <c r="AB1207" s="2" t="n">
        <f aca="false">IF($I1207="Correct",ROUND(INDEX('Reward Model'!$B$12:$B$14,MATCH($Y1207,'Reward Model'!$A$12:$A$14,0))*Z1207,2),0)</f>
        <v>1.92</v>
      </c>
    </row>
    <row r="1208" customFormat="false" ht="15" hidden="false" customHeight="false" outlineLevel="0" collapsed="false">
      <c r="A1208" s="0" t="s">
        <v>249</v>
      </c>
      <c r="B1208" s="0" t="s">
        <v>250</v>
      </c>
      <c r="C1208" s="0" t="s">
        <v>30</v>
      </c>
      <c r="D1208" s="0" t="s">
        <v>189</v>
      </c>
      <c r="E1208" s="0" t="n">
        <v>7</v>
      </c>
      <c r="F1208" s="0" t="s">
        <v>50</v>
      </c>
      <c r="G1208" s="0" t="s">
        <v>51</v>
      </c>
      <c r="H1208" s="0" t="s">
        <v>51</v>
      </c>
      <c r="I1208" s="0" t="s">
        <v>34</v>
      </c>
      <c r="J1208" s="0" t="n">
        <v>0.94</v>
      </c>
      <c r="K1208" s="0" t="s">
        <v>35</v>
      </c>
      <c r="L1208" s="0" t="n">
        <f aca="false">INDEX(Summary!$F$2:$F$201,MATCH($B1208,Summary!$A$2:$A$201,0))</f>
        <v>20</v>
      </c>
      <c r="M1208" s="0" t="n">
        <f aca="false">INDEX(Summary!$I$2:$I$201,MATCH($B1208,Summary!$A$2:$A$201,0))</f>
        <v>4</v>
      </c>
      <c r="N1208" s="0" t="n">
        <f aca="false">INDEX(Summary!$J$2:$J$201,MATCH($B1208,Summary!$A$2:$A$201,0))</f>
        <v>1</v>
      </c>
      <c r="O1208" s="2" t="n">
        <f aca="false">INDEX(Summary!$K$2:$K$201,MATCH($B1208,Summary!$A$2:$A$201,0))</f>
        <v>9.82</v>
      </c>
      <c r="P1208" s="3" t="n">
        <f aca="false">INDEX(Summary!$L$2:$L$201,MATCH($B1208,Summary!$A$2:$A$201,0))</f>
        <v>5</v>
      </c>
      <c r="Q1208" s="3" t="n">
        <f aca="false">INDEX(Summary!$M$2:$M$201,MATCH($B1208,Summary!$A$2:$A$201,0))</f>
        <v>1</v>
      </c>
      <c r="R1208" s="2" t="n">
        <f aca="false">INDEX(Summary!$N$2:$N$201,MATCH($B1208,Summary!$A$2:$A$201,0))</f>
        <v>10.7</v>
      </c>
      <c r="S1208" s="3" t="n">
        <f aca="false">INDEX(Summary!$O$2:$O$201,MATCH($B1208,Summary!$A$2:$A$201,0))</f>
        <v>8</v>
      </c>
      <c r="T1208" s="3" t="n">
        <f aca="false">INDEX(Summary!$P$2:$P$201,MATCH($B1208,Summary!$A$2:$A$201,0))</f>
        <v>1</v>
      </c>
      <c r="U1208" s="2" t="n">
        <f aca="false">INDEX(Summary!$Q$2:$Q$201,MATCH($B1208,Summary!$A$2:$A$201,0))</f>
        <v>12.53</v>
      </c>
      <c r="V1208" s="2" t="n">
        <f aca="false">INDEX(Summary!$R$2:$R$201,MATCH($B1208,Summary!$A$2:$A$201,0))</f>
        <v>31.85</v>
      </c>
      <c r="W1208" s="0" t="str">
        <f aca="false">INDEX(Summary!$S$2:$S$201,MATCH($B1208,Summary!$A$2:$A$201,0))</f>
        <v>Gold</v>
      </c>
      <c r="X1208" s="2" t="n">
        <f aca="false">INDEX(Summary!$T$2:$T$201,MATCH($B1208,Summary!$A$2:$A$201,0))</f>
        <v>77.68</v>
      </c>
      <c r="Y1208" s="0" t="str">
        <f aca="false">INDEX('Reward Model'!$E$18:$E$37,MATCH($E1208,'Reward Model'!$A$18:$A$37,0))</f>
        <v>Low</v>
      </c>
      <c r="Z1208" s="4" t="n">
        <f aca="false">ROUND(MIN(1,MAX('Reward Model'!$B$2,INDEX('Reward Model'!$C$12:$C$14,MATCH($K1208,'Reward Model'!$A$12:$A$14,0))/$J1208)),3)</f>
        <v>1</v>
      </c>
      <c r="AA1208" s="2" t="n">
        <f aca="false">IF($I1208="Correct",ROUND(INDEX('Reward Model'!$B$12:$B$14,MATCH($K1208,'Reward Model'!$A$12:$A$14,0))*Z1208,2),0)</f>
        <v>1</v>
      </c>
      <c r="AB1208" s="2" t="n">
        <f aca="false">IF($I1208="Correct",ROUND(INDEX('Reward Model'!$B$12:$B$14,MATCH($Y1208,'Reward Model'!$A$12:$A$14,0))*Z1208,2),0)</f>
        <v>1</v>
      </c>
    </row>
    <row r="1209" customFormat="false" ht="15" hidden="false" customHeight="false" outlineLevel="0" collapsed="false">
      <c r="A1209" s="0" t="s">
        <v>249</v>
      </c>
      <c r="B1209" s="0" t="s">
        <v>250</v>
      </c>
      <c r="C1209" s="0" t="s">
        <v>30</v>
      </c>
      <c r="D1209" s="0" t="s">
        <v>189</v>
      </c>
      <c r="E1209" s="0" t="n">
        <v>8</v>
      </c>
      <c r="F1209" s="0" t="s">
        <v>52</v>
      </c>
      <c r="G1209" s="0" t="s">
        <v>54</v>
      </c>
      <c r="H1209" s="0" t="s">
        <v>54</v>
      </c>
      <c r="I1209" s="0" t="s">
        <v>34</v>
      </c>
      <c r="J1209" s="0" t="n">
        <v>1.73</v>
      </c>
      <c r="K1209" s="0" t="s">
        <v>35</v>
      </c>
      <c r="L1209" s="0" t="n">
        <f aca="false">INDEX(Summary!$F$2:$F$201,MATCH($B1209,Summary!$A$2:$A$201,0))</f>
        <v>20</v>
      </c>
      <c r="M1209" s="0" t="n">
        <f aca="false">INDEX(Summary!$I$2:$I$201,MATCH($B1209,Summary!$A$2:$A$201,0))</f>
        <v>4</v>
      </c>
      <c r="N1209" s="0" t="n">
        <f aca="false">INDEX(Summary!$J$2:$J$201,MATCH($B1209,Summary!$A$2:$A$201,0))</f>
        <v>1</v>
      </c>
      <c r="O1209" s="2" t="n">
        <f aca="false">INDEX(Summary!$K$2:$K$201,MATCH($B1209,Summary!$A$2:$A$201,0))</f>
        <v>9.82</v>
      </c>
      <c r="P1209" s="3" t="n">
        <f aca="false">INDEX(Summary!$L$2:$L$201,MATCH($B1209,Summary!$A$2:$A$201,0))</f>
        <v>5</v>
      </c>
      <c r="Q1209" s="3" t="n">
        <f aca="false">INDEX(Summary!$M$2:$M$201,MATCH($B1209,Summary!$A$2:$A$201,0))</f>
        <v>1</v>
      </c>
      <c r="R1209" s="2" t="n">
        <f aca="false">INDEX(Summary!$N$2:$N$201,MATCH($B1209,Summary!$A$2:$A$201,0))</f>
        <v>10.7</v>
      </c>
      <c r="S1209" s="3" t="n">
        <f aca="false">INDEX(Summary!$O$2:$O$201,MATCH($B1209,Summary!$A$2:$A$201,0))</f>
        <v>8</v>
      </c>
      <c r="T1209" s="3" t="n">
        <f aca="false">INDEX(Summary!$P$2:$P$201,MATCH($B1209,Summary!$A$2:$A$201,0))</f>
        <v>1</v>
      </c>
      <c r="U1209" s="2" t="n">
        <f aca="false">INDEX(Summary!$Q$2:$Q$201,MATCH($B1209,Summary!$A$2:$A$201,0))</f>
        <v>12.53</v>
      </c>
      <c r="V1209" s="2" t="n">
        <f aca="false">INDEX(Summary!$R$2:$R$201,MATCH($B1209,Summary!$A$2:$A$201,0))</f>
        <v>31.85</v>
      </c>
      <c r="W1209" s="0" t="str">
        <f aca="false">INDEX(Summary!$S$2:$S$201,MATCH($B1209,Summary!$A$2:$A$201,0))</f>
        <v>Gold</v>
      </c>
      <c r="X1209" s="2" t="n">
        <f aca="false">INDEX(Summary!$T$2:$T$201,MATCH($B1209,Summary!$A$2:$A$201,0))</f>
        <v>77.68</v>
      </c>
      <c r="Y1209" s="0" t="str">
        <f aca="false">INDEX('Reward Model'!$E$18:$E$37,MATCH($E1209,'Reward Model'!$A$18:$A$37,0))</f>
        <v>Medium</v>
      </c>
      <c r="Z1209" s="4" t="n">
        <f aca="false">ROUND(MIN(1,MAX('Reward Model'!$B$2,INDEX('Reward Model'!$C$12:$C$14,MATCH($K1209,'Reward Model'!$A$12:$A$14,0))/$J1209)),3)</f>
        <v>0.867</v>
      </c>
      <c r="AA1209" s="2" t="n">
        <f aca="false">IF($I1209="Correct",ROUND(INDEX('Reward Model'!$B$12:$B$14,MATCH($K1209,'Reward Model'!$A$12:$A$14,0))*Z1209,2),0)</f>
        <v>0.87</v>
      </c>
      <c r="AB1209" s="2" t="n">
        <f aca="false">IF($I1209="Correct",ROUND(INDEX('Reward Model'!$B$12:$B$14,MATCH($Y1209,'Reward Model'!$A$12:$A$14,0))*Z1209,2),0)</f>
        <v>1.73</v>
      </c>
    </row>
    <row r="1210" customFormat="false" ht="15" hidden="false" customHeight="false" outlineLevel="0" collapsed="false">
      <c r="A1210" s="0" t="s">
        <v>249</v>
      </c>
      <c r="B1210" s="0" t="s">
        <v>250</v>
      </c>
      <c r="C1210" s="0" t="s">
        <v>30</v>
      </c>
      <c r="D1210" s="0" t="s">
        <v>189</v>
      </c>
      <c r="E1210" s="0" t="n">
        <v>9</v>
      </c>
      <c r="F1210" s="0" t="s">
        <v>55</v>
      </c>
      <c r="G1210" s="0" t="s">
        <v>57</v>
      </c>
      <c r="H1210" s="0" t="s">
        <v>57</v>
      </c>
      <c r="I1210" s="0" t="s">
        <v>34</v>
      </c>
      <c r="J1210" s="0" t="n">
        <v>1.17</v>
      </c>
      <c r="K1210" s="0" t="s">
        <v>35</v>
      </c>
      <c r="L1210" s="0" t="n">
        <f aca="false">INDEX(Summary!$F$2:$F$201,MATCH($B1210,Summary!$A$2:$A$201,0))</f>
        <v>20</v>
      </c>
      <c r="M1210" s="0" t="n">
        <f aca="false">INDEX(Summary!$I$2:$I$201,MATCH($B1210,Summary!$A$2:$A$201,0))</f>
        <v>4</v>
      </c>
      <c r="N1210" s="0" t="n">
        <f aca="false">INDEX(Summary!$J$2:$J$201,MATCH($B1210,Summary!$A$2:$A$201,0))</f>
        <v>1</v>
      </c>
      <c r="O1210" s="2" t="n">
        <f aca="false">INDEX(Summary!$K$2:$K$201,MATCH($B1210,Summary!$A$2:$A$201,0))</f>
        <v>9.82</v>
      </c>
      <c r="P1210" s="3" t="n">
        <f aca="false">INDEX(Summary!$L$2:$L$201,MATCH($B1210,Summary!$A$2:$A$201,0))</f>
        <v>5</v>
      </c>
      <c r="Q1210" s="3" t="n">
        <f aca="false">INDEX(Summary!$M$2:$M$201,MATCH($B1210,Summary!$A$2:$A$201,0))</f>
        <v>1</v>
      </c>
      <c r="R1210" s="2" t="n">
        <f aca="false">INDEX(Summary!$N$2:$N$201,MATCH($B1210,Summary!$A$2:$A$201,0))</f>
        <v>10.7</v>
      </c>
      <c r="S1210" s="3" t="n">
        <f aca="false">INDEX(Summary!$O$2:$O$201,MATCH($B1210,Summary!$A$2:$A$201,0))</f>
        <v>8</v>
      </c>
      <c r="T1210" s="3" t="n">
        <f aca="false">INDEX(Summary!$P$2:$P$201,MATCH($B1210,Summary!$A$2:$A$201,0))</f>
        <v>1</v>
      </c>
      <c r="U1210" s="2" t="n">
        <f aca="false">INDEX(Summary!$Q$2:$Q$201,MATCH($B1210,Summary!$A$2:$A$201,0))</f>
        <v>12.53</v>
      </c>
      <c r="V1210" s="2" t="n">
        <f aca="false">INDEX(Summary!$R$2:$R$201,MATCH($B1210,Summary!$A$2:$A$201,0))</f>
        <v>31.85</v>
      </c>
      <c r="W1210" s="0" t="str">
        <f aca="false">INDEX(Summary!$S$2:$S$201,MATCH($B1210,Summary!$A$2:$A$201,0))</f>
        <v>Gold</v>
      </c>
      <c r="X1210" s="2" t="n">
        <f aca="false">INDEX(Summary!$T$2:$T$201,MATCH($B1210,Summary!$A$2:$A$201,0))</f>
        <v>77.68</v>
      </c>
      <c r="Y1210" s="0" t="str">
        <f aca="false">INDEX('Reward Model'!$E$18:$E$37,MATCH($E1210,'Reward Model'!$A$18:$A$37,0))</f>
        <v>Medium</v>
      </c>
      <c r="Z1210" s="4" t="n">
        <f aca="false">ROUND(MIN(1,MAX('Reward Model'!$B$2,INDEX('Reward Model'!$C$12:$C$14,MATCH($K1210,'Reward Model'!$A$12:$A$14,0))/$J1210)),3)</f>
        <v>1</v>
      </c>
      <c r="AA1210" s="2" t="n">
        <f aca="false">IF($I1210="Correct",ROUND(INDEX('Reward Model'!$B$12:$B$14,MATCH($K1210,'Reward Model'!$A$12:$A$14,0))*Z1210,2),0)</f>
        <v>1</v>
      </c>
      <c r="AB1210" s="2" t="n">
        <f aca="false">IF($I1210="Correct",ROUND(INDEX('Reward Model'!$B$12:$B$14,MATCH($Y1210,'Reward Model'!$A$12:$A$14,0))*Z1210,2),0)</f>
        <v>2</v>
      </c>
    </row>
    <row r="1211" customFormat="false" ht="15" hidden="false" customHeight="false" outlineLevel="0" collapsed="false">
      <c r="A1211" s="0" t="s">
        <v>249</v>
      </c>
      <c r="B1211" s="0" t="s">
        <v>250</v>
      </c>
      <c r="C1211" s="0" t="s">
        <v>30</v>
      </c>
      <c r="D1211" s="0" t="s">
        <v>189</v>
      </c>
      <c r="E1211" s="0" t="n">
        <v>10</v>
      </c>
      <c r="F1211" s="0" t="s">
        <v>58</v>
      </c>
      <c r="G1211" s="0" t="s">
        <v>59</v>
      </c>
      <c r="H1211" s="0" t="s">
        <v>59</v>
      </c>
      <c r="I1211" s="0" t="s">
        <v>34</v>
      </c>
      <c r="J1211" s="0" t="n">
        <v>2.22</v>
      </c>
      <c r="K1211" s="0" t="s">
        <v>60</v>
      </c>
      <c r="L1211" s="0" t="n">
        <f aca="false">INDEX(Summary!$F$2:$F$201,MATCH($B1211,Summary!$A$2:$A$201,0))</f>
        <v>20</v>
      </c>
      <c r="M1211" s="0" t="n">
        <f aca="false">INDEX(Summary!$I$2:$I$201,MATCH($B1211,Summary!$A$2:$A$201,0))</f>
        <v>4</v>
      </c>
      <c r="N1211" s="0" t="n">
        <f aca="false">INDEX(Summary!$J$2:$J$201,MATCH($B1211,Summary!$A$2:$A$201,0))</f>
        <v>1</v>
      </c>
      <c r="O1211" s="2" t="n">
        <f aca="false">INDEX(Summary!$K$2:$K$201,MATCH($B1211,Summary!$A$2:$A$201,0))</f>
        <v>9.82</v>
      </c>
      <c r="P1211" s="3" t="n">
        <f aca="false">INDEX(Summary!$L$2:$L$201,MATCH($B1211,Summary!$A$2:$A$201,0))</f>
        <v>5</v>
      </c>
      <c r="Q1211" s="3" t="n">
        <f aca="false">INDEX(Summary!$M$2:$M$201,MATCH($B1211,Summary!$A$2:$A$201,0))</f>
        <v>1</v>
      </c>
      <c r="R1211" s="2" t="n">
        <f aca="false">INDEX(Summary!$N$2:$N$201,MATCH($B1211,Summary!$A$2:$A$201,0))</f>
        <v>10.7</v>
      </c>
      <c r="S1211" s="3" t="n">
        <f aca="false">INDEX(Summary!$O$2:$O$201,MATCH($B1211,Summary!$A$2:$A$201,0))</f>
        <v>8</v>
      </c>
      <c r="T1211" s="3" t="n">
        <f aca="false">INDEX(Summary!$P$2:$P$201,MATCH($B1211,Summary!$A$2:$A$201,0))</f>
        <v>1</v>
      </c>
      <c r="U1211" s="2" t="n">
        <f aca="false">INDEX(Summary!$Q$2:$Q$201,MATCH($B1211,Summary!$A$2:$A$201,0))</f>
        <v>12.53</v>
      </c>
      <c r="V1211" s="2" t="n">
        <f aca="false">INDEX(Summary!$R$2:$R$201,MATCH($B1211,Summary!$A$2:$A$201,0))</f>
        <v>31.85</v>
      </c>
      <c r="W1211" s="0" t="str">
        <f aca="false">INDEX(Summary!$S$2:$S$201,MATCH($B1211,Summary!$A$2:$A$201,0))</f>
        <v>Gold</v>
      </c>
      <c r="X1211" s="2" t="n">
        <f aca="false">INDEX(Summary!$T$2:$T$201,MATCH($B1211,Summary!$A$2:$A$201,0))</f>
        <v>77.68</v>
      </c>
      <c r="Y1211" s="0" t="str">
        <f aca="false">INDEX('Reward Model'!$E$18:$E$37,MATCH($E1211,'Reward Model'!$A$18:$A$37,0))</f>
        <v>Medium</v>
      </c>
      <c r="Z1211" s="4" t="n">
        <f aca="false">ROUND(MIN(1,MAX('Reward Model'!$B$2,INDEX('Reward Model'!$C$12:$C$14,MATCH($K1211,'Reward Model'!$A$12:$A$14,0))/$J1211)),3)</f>
        <v>0.811</v>
      </c>
      <c r="AA1211" s="2" t="n">
        <f aca="false">IF($I1211="Correct",ROUND(INDEX('Reward Model'!$B$12:$B$14,MATCH($K1211,'Reward Model'!$A$12:$A$14,0))*Z1211,2),0)</f>
        <v>1.62</v>
      </c>
      <c r="AB1211" s="2" t="n">
        <f aca="false">IF($I1211="Correct",ROUND(INDEX('Reward Model'!$B$12:$B$14,MATCH($Y1211,'Reward Model'!$A$12:$A$14,0))*Z1211,2),0)</f>
        <v>1.62</v>
      </c>
    </row>
    <row r="1212" customFormat="false" ht="15" hidden="false" customHeight="false" outlineLevel="0" collapsed="false">
      <c r="A1212" s="0" t="s">
        <v>249</v>
      </c>
      <c r="B1212" s="0" t="s">
        <v>250</v>
      </c>
      <c r="C1212" s="0" t="s">
        <v>30</v>
      </c>
      <c r="D1212" s="0" t="s">
        <v>189</v>
      </c>
      <c r="E1212" s="0" t="n">
        <v>11</v>
      </c>
      <c r="F1212" s="0" t="s">
        <v>61</v>
      </c>
      <c r="G1212" s="0" t="s">
        <v>63</v>
      </c>
      <c r="H1212" s="0" t="s">
        <v>63</v>
      </c>
      <c r="I1212" s="0" t="s">
        <v>34</v>
      </c>
      <c r="J1212" s="0" t="n">
        <v>1.45</v>
      </c>
      <c r="K1212" s="0" t="s">
        <v>60</v>
      </c>
      <c r="L1212" s="0" t="n">
        <f aca="false">INDEX(Summary!$F$2:$F$201,MATCH($B1212,Summary!$A$2:$A$201,0))</f>
        <v>20</v>
      </c>
      <c r="M1212" s="0" t="n">
        <f aca="false">INDEX(Summary!$I$2:$I$201,MATCH($B1212,Summary!$A$2:$A$201,0))</f>
        <v>4</v>
      </c>
      <c r="N1212" s="0" t="n">
        <f aca="false">INDEX(Summary!$J$2:$J$201,MATCH($B1212,Summary!$A$2:$A$201,0))</f>
        <v>1</v>
      </c>
      <c r="O1212" s="2" t="n">
        <f aca="false">INDEX(Summary!$K$2:$K$201,MATCH($B1212,Summary!$A$2:$A$201,0))</f>
        <v>9.82</v>
      </c>
      <c r="P1212" s="3" t="n">
        <f aca="false">INDEX(Summary!$L$2:$L$201,MATCH($B1212,Summary!$A$2:$A$201,0))</f>
        <v>5</v>
      </c>
      <c r="Q1212" s="3" t="n">
        <f aca="false">INDEX(Summary!$M$2:$M$201,MATCH($B1212,Summary!$A$2:$A$201,0))</f>
        <v>1</v>
      </c>
      <c r="R1212" s="2" t="n">
        <f aca="false">INDEX(Summary!$N$2:$N$201,MATCH($B1212,Summary!$A$2:$A$201,0))</f>
        <v>10.7</v>
      </c>
      <c r="S1212" s="3" t="n">
        <f aca="false">INDEX(Summary!$O$2:$O$201,MATCH($B1212,Summary!$A$2:$A$201,0))</f>
        <v>8</v>
      </c>
      <c r="T1212" s="3" t="n">
        <f aca="false">INDEX(Summary!$P$2:$P$201,MATCH($B1212,Summary!$A$2:$A$201,0))</f>
        <v>1</v>
      </c>
      <c r="U1212" s="2" t="n">
        <f aca="false">INDEX(Summary!$Q$2:$Q$201,MATCH($B1212,Summary!$A$2:$A$201,0))</f>
        <v>12.53</v>
      </c>
      <c r="V1212" s="2" t="n">
        <f aca="false">INDEX(Summary!$R$2:$R$201,MATCH($B1212,Summary!$A$2:$A$201,0))</f>
        <v>31.85</v>
      </c>
      <c r="W1212" s="0" t="str">
        <f aca="false">INDEX(Summary!$S$2:$S$201,MATCH($B1212,Summary!$A$2:$A$201,0))</f>
        <v>Gold</v>
      </c>
      <c r="X1212" s="2" t="n">
        <f aca="false">INDEX(Summary!$T$2:$T$201,MATCH($B1212,Summary!$A$2:$A$201,0))</f>
        <v>77.68</v>
      </c>
      <c r="Y1212" s="0" t="str">
        <f aca="false">INDEX('Reward Model'!$E$18:$E$37,MATCH($E1212,'Reward Model'!$A$18:$A$37,0))</f>
        <v>Medium</v>
      </c>
      <c r="Z1212" s="4" t="n">
        <f aca="false">ROUND(MIN(1,MAX('Reward Model'!$B$2,INDEX('Reward Model'!$C$12:$C$14,MATCH($K1212,'Reward Model'!$A$12:$A$14,0))/$J1212)),3)</f>
        <v>1</v>
      </c>
      <c r="AA1212" s="2" t="n">
        <f aca="false">IF($I1212="Correct",ROUND(INDEX('Reward Model'!$B$12:$B$14,MATCH($K1212,'Reward Model'!$A$12:$A$14,0))*Z1212,2),0)</f>
        <v>2</v>
      </c>
      <c r="AB1212" s="2" t="n">
        <f aca="false">IF($I1212="Correct",ROUND(INDEX('Reward Model'!$B$12:$B$14,MATCH($Y1212,'Reward Model'!$A$12:$A$14,0))*Z1212,2),0)</f>
        <v>2</v>
      </c>
    </row>
    <row r="1213" customFormat="false" ht="15" hidden="false" customHeight="false" outlineLevel="0" collapsed="false">
      <c r="A1213" s="0" t="s">
        <v>249</v>
      </c>
      <c r="B1213" s="0" t="s">
        <v>250</v>
      </c>
      <c r="C1213" s="0" t="s">
        <v>30</v>
      </c>
      <c r="D1213" s="0" t="s">
        <v>189</v>
      </c>
      <c r="E1213" s="0" t="n">
        <v>12</v>
      </c>
      <c r="F1213" s="0" t="s">
        <v>64</v>
      </c>
      <c r="G1213" s="0" t="s">
        <v>65</v>
      </c>
      <c r="H1213" s="0" t="s">
        <v>65</v>
      </c>
      <c r="I1213" s="0" t="s">
        <v>34</v>
      </c>
      <c r="J1213" s="0" t="n">
        <v>1.43</v>
      </c>
      <c r="K1213" s="0" t="s">
        <v>60</v>
      </c>
      <c r="L1213" s="0" t="n">
        <f aca="false">INDEX(Summary!$F$2:$F$201,MATCH($B1213,Summary!$A$2:$A$201,0))</f>
        <v>20</v>
      </c>
      <c r="M1213" s="0" t="n">
        <f aca="false">INDEX(Summary!$I$2:$I$201,MATCH($B1213,Summary!$A$2:$A$201,0))</f>
        <v>4</v>
      </c>
      <c r="N1213" s="0" t="n">
        <f aca="false">INDEX(Summary!$J$2:$J$201,MATCH($B1213,Summary!$A$2:$A$201,0))</f>
        <v>1</v>
      </c>
      <c r="O1213" s="2" t="n">
        <f aca="false">INDEX(Summary!$K$2:$K$201,MATCH($B1213,Summary!$A$2:$A$201,0))</f>
        <v>9.82</v>
      </c>
      <c r="P1213" s="3" t="n">
        <f aca="false">INDEX(Summary!$L$2:$L$201,MATCH($B1213,Summary!$A$2:$A$201,0))</f>
        <v>5</v>
      </c>
      <c r="Q1213" s="3" t="n">
        <f aca="false">INDEX(Summary!$M$2:$M$201,MATCH($B1213,Summary!$A$2:$A$201,0))</f>
        <v>1</v>
      </c>
      <c r="R1213" s="2" t="n">
        <f aca="false">INDEX(Summary!$N$2:$N$201,MATCH($B1213,Summary!$A$2:$A$201,0))</f>
        <v>10.7</v>
      </c>
      <c r="S1213" s="3" t="n">
        <f aca="false">INDEX(Summary!$O$2:$O$201,MATCH($B1213,Summary!$A$2:$A$201,0))</f>
        <v>8</v>
      </c>
      <c r="T1213" s="3" t="n">
        <f aca="false">INDEX(Summary!$P$2:$P$201,MATCH($B1213,Summary!$A$2:$A$201,0))</f>
        <v>1</v>
      </c>
      <c r="U1213" s="2" t="n">
        <f aca="false">INDEX(Summary!$Q$2:$Q$201,MATCH($B1213,Summary!$A$2:$A$201,0))</f>
        <v>12.53</v>
      </c>
      <c r="V1213" s="2" t="n">
        <f aca="false">INDEX(Summary!$R$2:$R$201,MATCH($B1213,Summary!$A$2:$A$201,0))</f>
        <v>31.85</v>
      </c>
      <c r="W1213" s="0" t="str">
        <f aca="false">INDEX(Summary!$S$2:$S$201,MATCH($B1213,Summary!$A$2:$A$201,0))</f>
        <v>Gold</v>
      </c>
      <c r="X1213" s="2" t="n">
        <f aca="false">INDEX(Summary!$T$2:$T$201,MATCH($B1213,Summary!$A$2:$A$201,0))</f>
        <v>77.68</v>
      </c>
      <c r="Y1213" s="0" t="str">
        <f aca="false">INDEX('Reward Model'!$E$18:$E$37,MATCH($E1213,'Reward Model'!$A$18:$A$37,0))</f>
        <v>Medium</v>
      </c>
      <c r="Z1213" s="4" t="n">
        <f aca="false">ROUND(MIN(1,MAX('Reward Model'!$B$2,INDEX('Reward Model'!$C$12:$C$14,MATCH($K1213,'Reward Model'!$A$12:$A$14,0))/$J1213)),3)</f>
        <v>1</v>
      </c>
      <c r="AA1213" s="2" t="n">
        <f aca="false">IF($I1213="Correct",ROUND(INDEX('Reward Model'!$B$12:$B$14,MATCH($K1213,'Reward Model'!$A$12:$A$14,0))*Z1213,2),0)</f>
        <v>2</v>
      </c>
      <c r="AB1213" s="2" t="n">
        <f aca="false">IF($I1213="Correct",ROUND(INDEX('Reward Model'!$B$12:$B$14,MATCH($Y1213,'Reward Model'!$A$12:$A$14,0))*Z1213,2),0)</f>
        <v>2</v>
      </c>
    </row>
    <row r="1214" customFormat="false" ht="15" hidden="false" customHeight="false" outlineLevel="0" collapsed="false">
      <c r="A1214" s="0" t="s">
        <v>249</v>
      </c>
      <c r="B1214" s="0" t="s">
        <v>250</v>
      </c>
      <c r="C1214" s="0" t="s">
        <v>30</v>
      </c>
      <c r="D1214" s="0" t="s">
        <v>189</v>
      </c>
      <c r="E1214" s="0" t="n">
        <v>13</v>
      </c>
      <c r="F1214" s="0" t="s">
        <v>66</v>
      </c>
      <c r="G1214" s="0" t="s">
        <v>124</v>
      </c>
      <c r="H1214" s="0" t="s">
        <v>67</v>
      </c>
      <c r="I1214" s="0" t="s">
        <v>39</v>
      </c>
      <c r="J1214" s="0" t="n">
        <v>1.5</v>
      </c>
      <c r="K1214" s="0" t="s">
        <v>60</v>
      </c>
      <c r="L1214" s="0" t="n">
        <f aca="false">INDEX(Summary!$F$2:$F$201,MATCH($B1214,Summary!$A$2:$A$201,0))</f>
        <v>20</v>
      </c>
      <c r="M1214" s="0" t="n">
        <f aca="false">INDEX(Summary!$I$2:$I$201,MATCH($B1214,Summary!$A$2:$A$201,0))</f>
        <v>4</v>
      </c>
      <c r="N1214" s="0" t="n">
        <f aca="false">INDEX(Summary!$J$2:$J$201,MATCH($B1214,Summary!$A$2:$A$201,0))</f>
        <v>1</v>
      </c>
      <c r="O1214" s="2" t="n">
        <f aca="false">INDEX(Summary!$K$2:$K$201,MATCH($B1214,Summary!$A$2:$A$201,0))</f>
        <v>9.82</v>
      </c>
      <c r="P1214" s="3" t="n">
        <f aca="false">INDEX(Summary!$L$2:$L$201,MATCH($B1214,Summary!$A$2:$A$201,0))</f>
        <v>5</v>
      </c>
      <c r="Q1214" s="3" t="n">
        <f aca="false">INDEX(Summary!$M$2:$M$201,MATCH($B1214,Summary!$A$2:$A$201,0))</f>
        <v>1</v>
      </c>
      <c r="R1214" s="2" t="n">
        <f aca="false">INDEX(Summary!$N$2:$N$201,MATCH($B1214,Summary!$A$2:$A$201,0))</f>
        <v>10.7</v>
      </c>
      <c r="S1214" s="3" t="n">
        <f aca="false">INDEX(Summary!$O$2:$O$201,MATCH($B1214,Summary!$A$2:$A$201,0))</f>
        <v>8</v>
      </c>
      <c r="T1214" s="3" t="n">
        <f aca="false">INDEX(Summary!$P$2:$P$201,MATCH($B1214,Summary!$A$2:$A$201,0))</f>
        <v>1</v>
      </c>
      <c r="U1214" s="2" t="n">
        <f aca="false">INDEX(Summary!$Q$2:$Q$201,MATCH($B1214,Summary!$A$2:$A$201,0))</f>
        <v>12.53</v>
      </c>
      <c r="V1214" s="2" t="n">
        <f aca="false">INDEX(Summary!$R$2:$R$201,MATCH($B1214,Summary!$A$2:$A$201,0))</f>
        <v>31.85</v>
      </c>
      <c r="W1214" s="0" t="str">
        <f aca="false">INDEX(Summary!$S$2:$S$201,MATCH($B1214,Summary!$A$2:$A$201,0))</f>
        <v>Gold</v>
      </c>
      <c r="X1214" s="2" t="n">
        <f aca="false">INDEX(Summary!$T$2:$T$201,MATCH($B1214,Summary!$A$2:$A$201,0))</f>
        <v>77.68</v>
      </c>
      <c r="Y1214" s="0" t="str">
        <f aca="false">INDEX('Reward Model'!$E$18:$E$37,MATCH($E1214,'Reward Model'!$A$18:$A$37,0))</f>
        <v>Medium</v>
      </c>
      <c r="Z1214" s="4" t="n">
        <f aca="false">ROUND(MIN(1,MAX('Reward Model'!$B$2,INDEX('Reward Model'!$C$12:$C$14,MATCH($K1214,'Reward Model'!$A$12:$A$14,0))/$J1214)),3)</f>
        <v>1</v>
      </c>
      <c r="AA1214" s="2" t="n">
        <f aca="false">IF($I1214="Correct",ROUND(INDEX('Reward Model'!$B$12:$B$14,MATCH($K1214,'Reward Model'!$A$12:$A$14,0))*Z1214,2),0)</f>
        <v>0</v>
      </c>
      <c r="AB1214" s="2" t="n">
        <f aca="false">IF($I1214="Correct",ROUND(INDEX('Reward Model'!$B$12:$B$14,MATCH($Y1214,'Reward Model'!$A$12:$A$14,0))*Z1214,2),0)</f>
        <v>0</v>
      </c>
    </row>
    <row r="1215" customFormat="false" ht="15" hidden="false" customHeight="false" outlineLevel="0" collapsed="false">
      <c r="A1215" s="0" t="s">
        <v>249</v>
      </c>
      <c r="B1215" s="0" t="s">
        <v>250</v>
      </c>
      <c r="C1215" s="0" t="s">
        <v>30</v>
      </c>
      <c r="D1215" s="0" t="s">
        <v>189</v>
      </c>
      <c r="E1215" s="0" t="n">
        <v>14</v>
      </c>
      <c r="F1215" s="0" t="s">
        <v>68</v>
      </c>
      <c r="G1215" s="0" t="s">
        <v>51</v>
      </c>
      <c r="H1215" s="0" t="s">
        <v>51</v>
      </c>
      <c r="I1215" s="0" t="s">
        <v>34</v>
      </c>
      <c r="J1215" s="0" t="n">
        <v>1.84</v>
      </c>
      <c r="K1215" s="0" t="s">
        <v>60</v>
      </c>
      <c r="L1215" s="0" t="n">
        <f aca="false">INDEX(Summary!$F$2:$F$201,MATCH($B1215,Summary!$A$2:$A$201,0))</f>
        <v>20</v>
      </c>
      <c r="M1215" s="0" t="n">
        <f aca="false">INDEX(Summary!$I$2:$I$201,MATCH($B1215,Summary!$A$2:$A$201,0))</f>
        <v>4</v>
      </c>
      <c r="N1215" s="0" t="n">
        <f aca="false">INDEX(Summary!$J$2:$J$201,MATCH($B1215,Summary!$A$2:$A$201,0))</f>
        <v>1</v>
      </c>
      <c r="O1215" s="2" t="n">
        <f aca="false">INDEX(Summary!$K$2:$K$201,MATCH($B1215,Summary!$A$2:$A$201,0))</f>
        <v>9.82</v>
      </c>
      <c r="P1215" s="3" t="n">
        <f aca="false">INDEX(Summary!$L$2:$L$201,MATCH($B1215,Summary!$A$2:$A$201,0))</f>
        <v>5</v>
      </c>
      <c r="Q1215" s="3" t="n">
        <f aca="false">INDEX(Summary!$M$2:$M$201,MATCH($B1215,Summary!$A$2:$A$201,0))</f>
        <v>1</v>
      </c>
      <c r="R1215" s="2" t="n">
        <f aca="false">INDEX(Summary!$N$2:$N$201,MATCH($B1215,Summary!$A$2:$A$201,0))</f>
        <v>10.7</v>
      </c>
      <c r="S1215" s="3" t="n">
        <f aca="false">INDEX(Summary!$O$2:$O$201,MATCH($B1215,Summary!$A$2:$A$201,0))</f>
        <v>8</v>
      </c>
      <c r="T1215" s="3" t="n">
        <f aca="false">INDEX(Summary!$P$2:$P$201,MATCH($B1215,Summary!$A$2:$A$201,0))</f>
        <v>1</v>
      </c>
      <c r="U1215" s="2" t="n">
        <f aca="false">INDEX(Summary!$Q$2:$Q$201,MATCH($B1215,Summary!$A$2:$A$201,0))</f>
        <v>12.53</v>
      </c>
      <c r="V1215" s="2" t="n">
        <f aca="false">INDEX(Summary!$R$2:$R$201,MATCH($B1215,Summary!$A$2:$A$201,0))</f>
        <v>31.85</v>
      </c>
      <c r="W1215" s="0" t="str">
        <f aca="false">INDEX(Summary!$S$2:$S$201,MATCH($B1215,Summary!$A$2:$A$201,0))</f>
        <v>Gold</v>
      </c>
      <c r="X1215" s="2" t="n">
        <f aca="false">INDEX(Summary!$T$2:$T$201,MATCH($B1215,Summary!$A$2:$A$201,0))</f>
        <v>77.68</v>
      </c>
      <c r="Y1215" s="0" t="str">
        <f aca="false">INDEX('Reward Model'!$E$18:$E$37,MATCH($E1215,'Reward Model'!$A$18:$A$37,0))</f>
        <v>Medium</v>
      </c>
      <c r="Z1215" s="4" t="n">
        <f aca="false">ROUND(MIN(1,MAX('Reward Model'!$B$2,INDEX('Reward Model'!$C$12:$C$14,MATCH($K1215,'Reward Model'!$A$12:$A$14,0))/$J1215)),3)</f>
        <v>0.978</v>
      </c>
      <c r="AA1215" s="2" t="n">
        <f aca="false">IF($I1215="Correct",ROUND(INDEX('Reward Model'!$B$12:$B$14,MATCH($K1215,'Reward Model'!$A$12:$A$14,0))*Z1215,2),0)</f>
        <v>1.96</v>
      </c>
      <c r="AB1215" s="2" t="n">
        <f aca="false">IF($I1215="Correct",ROUND(INDEX('Reward Model'!$B$12:$B$14,MATCH($Y1215,'Reward Model'!$A$12:$A$14,0))*Z1215,2),0)</f>
        <v>1.96</v>
      </c>
    </row>
    <row r="1216" customFormat="false" ht="15" hidden="false" customHeight="false" outlineLevel="0" collapsed="false">
      <c r="A1216" s="0" t="s">
        <v>249</v>
      </c>
      <c r="B1216" s="0" t="s">
        <v>250</v>
      </c>
      <c r="C1216" s="0" t="s">
        <v>30</v>
      </c>
      <c r="D1216" s="0" t="s">
        <v>189</v>
      </c>
      <c r="E1216" s="0" t="n">
        <v>15</v>
      </c>
      <c r="F1216" s="0" t="s">
        <v>69</v>
      </c>
      <c r="G1216" s="0" t="s">
        <v>70</v>
      </c>
      <c r="H1216" s="0" t="s">
        <v>70</v>
      </c>
      <c r="I1216" s="0" t="s">
        <v>34</v>
      </c>
      <c r="J1216" s="0" t="n">
        <v>2.26</v>
      </c>
      <c r="K1216" s="0" t="s">
        <v>60</v>
      </c>
      <c r="L1216" s="0" t="n">
        <f aca="false">INDEX(Summary!$F$2:$F$201,MATCH($B1216,Summary!$A$2:$A$201,0))</f>
        <v>20</v>
      </c>
      <c r="M1216" s="0" t="n">
        <f aca="false">INDEX(Summary!$I$2:$I$201,MATCH($B1216,Summary!$A$2:$A$201,0))</f>
        <v>4</v>
      </c>
      <c r="N1216" s="0" t="n">
        <f aca="false">INDEX(Summary!$J$2:$J$201,MATCH($B1216,Summary!$A$2:$A$201,0))</f>
        <v>1</v>
      </c>
      <c r="O1216" s="2" t="n">
        <f aca="false">INDEX(Summary!$K$2:$K$201,MATCH($B1216,Summary!$A$2:$A$201,0))</f>
        <v>9.82</v>
      </c>
      <c r="P1216" s="3" t="n">
        <f aca="false">INDEX(Summary!$L$2:$L$201,MATCH($B1216,Summary!$A$2:$A$201,0))</f>
        <v>5</v>
      </c>
      <c r="Q1216" s="3" t="n">
        <f aca="false">INDEX(Summary!$M$2:$M$201,MATCH($B1216,Summary!$A$2:$A$201,0))</f>
        <v>1</v>
      </c>
      <c r="R1216" s="2" t="n">
        <f aca="false">INDEX(Summary!$N$2:$N$201,MATCH($B1216,Summary!$A$2:$A$201,0))</f>
        <v>10.7</v>
      </c>
      <c r="S1216" s="3" t="n">
        <f aca="false">INDEX(Summary!$O$2:$O$201,MATCH($B1216,Summary!$A$2:$A$201,0))</f>
        <v>8</v>
      </c>
      <c r="T1216" s="3" t="n">
        <f aca="false">INDEX(Summary!$P$2:$P$201,MATCH($B1216,Summary!$A$2:$A$201,0))</f>
        <v>1</v>
      </c>
      <c r="U1216" s="2" t="n">
        <f aca="false">INDEX(Summary!$Q$2:$Q$201,MATCH($B1216,Summary!$A$2:$A$201,0))</f>
        <v>12.53</v>
      </c>
      <c r="V1216" s="2" t="n">
        <f aca="false">INDEX(Summary!$R$2:$R$201,MATCH($B1216,Summary!$A$2:$A$201,0))</f>
        <v>31.85</v>
      </c>
      <c r="W1216" s="0" t="str">
        <f aca="false">INDEX(Summary!$S$2:$S$201,MATCH($B1216,Summary!$A$2:$A$201,0))</f>
        <v>Gold</v>
      </c>
      <c r="X1216" s="2" t="n">
        <f aca="false">INDEX(Summary!$T$2:$T$201,MATCH($B1216,Summary!$A$2:$A$201,0))</f>
        <v>77.68</v>
      </c>
      <c r="Y1216" s="0" t="str">
        <f aca="false">INDEX('Reward Model'!$E$18:$E$37,MATCH($E1216,'Reward Model'!$A$18:$A$37,0))</f>
        <v>Medium</v>
      </c>
      <c r="Z1216" s="4" t="n">
        <f aca="false">ROUND(MIN(1,MAX('Reward Model'!$B$2,INDEX('Reward Model'!$C$12:$C$14,MATCH($K1216,'Reward Model'!$A$12:$A$14,0))/$J1216)),3)</f>
        <v>0.796</v>
      </c>
      <c r="AA1216" s="2" t="n">
        <f aca="false">IF($I1216="Correct",ROUND(INDEX('Reward Model'!$B$12:$B$14,MATCH($K1216,'Reward Model'!$A$12:$A$14,0))*Z1216,2),0)</f>
        <v>1.59</v>
      </c>
      <c r="AB1216" s="2" t="n">
        <f aca="false">IF($I1216="Correct",ROUND(INDEX('Reward Model'!$B$12:$B$14,MATCH($Y1216,'Reward Model'!$A$12:$A$14,0))*Z1216,2),0)</f>
        <v>1.59</v>
      </c>
    </row>
    <row r="1217" customFormat="false" ht="15" hidden="false" customHeight="false" outlineLevel="0" collapsed="false">
      <c r="A1217" s="0" t="s">
        <v>249</v>
      </c>
      <c r="B1217" s="0" t="s">
        <v>250</v>
      </c>
      <c r="C1217" s="0" t="s">
        <v>30</v>
      </c>
      <c r="D1217" s="0" t="s">
        <v>189</v>
      </c>
      <c r="E1217" s="0" t="n">
        <v>16</v>
      </c>
      <c r="F1217" s="0" t="s">
        <v>71</v>
      </c>
      <c r="G1217" s="0" t="s">
        <v>72</v>
      </c>
      <c r="H1217" s="0" t="s">
        <v>72</v>
      </c>
      <c r="I1217" s="0" t="s">
        <v>34</v>
      </c>
      <c r="J1217" s="0" t="n">
        <v>2.59</v>
      </c>
      <c r="K1217" s="0" t="s">
        <v>73</v>
      </c>
      <c r="L1217" s="0" t="n">
        <f aca="false">INDEX(Summary!$F$2:$F$201,MATCH($B1217,Summary!$A$2:$A$201,0))</f>
        <v>20</v>
      </c>
      <c r="M1217" s="0" t="n">
        <f aca="false">INDEX(Summary!$I$2:$I$201,MATCH($B1217,Summary!$A$2:$A$201,0))</f>
        <v>4</v>
      </c>
      <c r="N1217" s="0" t="n">
        <f aca="false">INDEX(Summary!$J$2:$J$201,MATCH($B1217,Summary!$A$2:$A$201,0))</f>
        <v>1</v>
      </c>
      <c r="O1217" s="2" t="n">
        <f aca="false">INDEX(Summary!$K$2:$K$201,MATCH($B1217,Summary!$A$2:$A$201,0))</f>
        <v>9.82</v>
      </c>
      <c r="P1217" s="3" t="n">
        <f aca="false">INDEX(Summary!$L$2:$L$201,MATCH($B1217,Summary!$A$2:$A$201,0))</f>
        <v>5</v>
      </c>
      <c r="Q1217" s="3" t="n">
        <f aca="false">INDEX(Summary!$M$2:$M$201,MATCH($B1217,Summary!$A$2:$A$201,0))</f>
        <v>1</v>
      </c>
      <c r="R1217" s="2" t="n">
        <f aca="false">INDEX(Summary!$N$2:$N$201,MATCH($B1217,Summary!$A$2:$A$201,0))</f>
        <v>10.7</v>
      </c>
      <c r="S1217" s="3" t="n">
        <f aca="false">INDEX(Summary!$O$2:$O$201,MATCH($B1217,Summary!$A$2:$A$201,0))</f>
        <v>8</v>
      </c>
      <c r="T1217" s="3" t="n">
        <f aca="false">INDEX(Summary!$P$2:$P$201,MATCH($B1217,Summary!$A$2:$A$201,0))</f>
        <v>1</v>
      </c>
      <c r="U1217" s="2" t="n">
        <f aca="false">INDEX(Summary!$Q$2:$Q$201,MATCH($B1217,Summary!$A$2:$A$201,0))</f>
        <v>12.53</v>
      </c>
      <c r="V1217" s="2" t="n">
        <f aca="false">INDEX(Summary!$R$2:$R$201,MATCH($B1217,Summary!$A$2:$A$201,0))</f>
        <v>31.85</v>
      </c>
      <c r="W1217" s="0" t="str">
        <f aca="false">INDEX(Summary!$S$2:$S$201,MATCH($B1217,Summary!$A$2:$A$201,0))</f>
        <v>Gold</v>
      </c>
      <c r="X1217" s="2" t="n">
        <f aca="false">INDEX(Summary!$T$2:$T$201,MATCH($B1217,Summary!$A$2:$A$201,0))</f>
        <v>77.68</v>
      </c>
      <c r="Y1217" s="0" t="str">
        <f aca="false">INDEX('Reward Model'!$E$18:$E$37,MATCH($E1217,'Reward Model'!$A$18:$A$37,0))</f>
        <v>High</v>
      </c>
      <c r="Z1217" s="4" t="n">
        <f aca="false">ROUND(MIN(1,MAX('Reward Model'!$B$2,INDEX('Reward Model'!$C$12:$C$14,MATCH($K1217,'Reward Model'!$A$12:$A$14,0))/$J1217)),3)</f>
        <v>0.772</v>
      </c>
      <c r="AA1217" s="2" t="n">
        <f aca="false">IF($I1217="Correct",ROUND(INDEX('Reward Model'!$B$12:$B$14,MATCH($K1217,'Reward Model'!$A$12:$A$14,0))*Z1217,2),0)</f>
        <v>2.32</v>
      </c>
      <c r="AB1217" s="2" t="n">
        <f aca="false">IF($I1217="Correct",ROUND(INDEX('Reward Model'!$B$12:$B$14,MATCH($Y1217,'Reward Model'!$A$12:$A$14,0))*Z1217,2),0)</f>
        <v>2.32</v>
      </c>
    </row>
    <row r="1218" customFormat="false" ht="15" hidden="false" customHeight="false" outlineLevel="0" collapsed="false">
      <c r="A1218" s="0" t="s">
        <v>249</v>
      </c>
      <c r="B1218" s="0" t="s">
        <v>250</v>
      </c>
      <c r="C1218" s="0" t="s">
        <v>30</v>
      </c>
      <c r="D1218" s="0" t="s">
        <v>189</v>
      </c>
      <c r="E1218" s="0" t="n">
        <v>17</v>
      </c>
      <c r="F1218" s="0" t="s">
        <v>74</v>
      </c>
      <c r="G1218" s="0" t="s">
        <v>75</v>
      </c>
      <c r="H1218" s="0" t="s">
        <v>75</v>
      </c>
      <c r="I1218" s="0" t="s">
        <v>34</v>
      </c>
      <c r="J1218" s="0" t="n">
        <v>1.26</v>
      </c>
      <c r="K1218" s="0" t="s">
        <v>73</v>
      </c>
      <c r="L1218" s="0" t="n">
        <f aca="false">INDEX(Summary!$F$2:$F$201,MATCH($B1218,Summary!$A$2:$A$201,0))</f>
        <v>20</v>
      </c>
      <c r="M1218" s="0" t="n">
        <f aca="false">INDEX(Summary!$I$2:$I$201,MATCH($B1218,Summary!$A$2:$A$201,0))</f>
        <v>4</v>
      </c>
      <c r="N1218" s="0" t="n">
        <f aca="false">INDEX(Summary!$J$2:$J$201,MATCH($B1218,Summary!$A$2:$A$201,0))</f>
        <v>1</v>
      </c>
      <c r="O1218" s="2" t="n">
        <f aca="false">INDEX(Summary!$K$2:$K$201,MATCH($B1218,Summary!$A$2:$A$201,0))</f>
        <v>9.82</v>
      </c>
      <c r="P1218" s="3" t="n">
        <f aca="false">INDEX(Summary!$L$2:$L$201,MATCH($B1218,Summary!$A$2:$A$201,0))</f>
        <v>5</v>
      </c>
      <c r="Q1218" s="3" t="n">
        <f aca="false">INDEX(Summary!$M$2:$M$201,MATCH($B1218,Summary!$A$2:$A$201,0))</f>
        <v>1</v>
      </c>
      <c r="R1218" s="2" t="n">
        <f aca="false">INDEX(Summary!$N$2:$N$201,MATCH($B1218,Summary!$A$2:$A$201,0))</f>
        <v>10.7</v>
      </c>
      <c r="S1218" s="3" t="n">
        <f aca="false">INDEX(Summary!$O$2:$O$201,MATCH($B1218,Summary!$A$2:$A$201,0))</f>
        <v>8</v>
      </c>
      <c r="T1218" s="3" t="n">
        <f aca="false">INDEX(Summary!$P$2:$P$201,MATCH($B1218,Summary!$A$2:$A$201,0))</f>
        <v>1</v>
      </c>
      <c r="U1218" s="2" t="n">
        <f aca="false">INDEX(Summary!$Q$2:$Q$201,MATCH($B1218,Summary!$A$2:$A$201,0))</f>
        <v>12.53</v>
      </c>
      <c r="V1218" s="2" t="n">
        <f aca="false">INDEX(Summary!$R$2:$R$201,MATCH($B1218,Summary!$A$2:$A$201,0))</f>
        <v>31.85</v>
      </c>
      <c r="W1218" s="0" t="str">
        <f aca="false">INDEX(Summary!$S$2:$S$201,MATCH($B1218,Summary!$A$2:$A$201,0))</f>
        <v>Gold</v>
      </c>
      <c r="X1218" s="2" t="n">
        <f aca="false">INDEX(Summary!$T$2:$T$201,MATCH($B1218,Summary!$A$2:$A$201,0))</f>
        <v>77.68</v>
      </c>
      <c r="Y1218" s="0" t="str">
        <f aca="false">INDEX('Reward Model'!$E$18:$E$37,MATCH($E1218,'Reward Model'!$A$18:$A$37,0))</f>
        <v>High</v>
      </c>
      <c r="Z1218" s="4" t="n">
        <f aca="false">ROUND(MIN(1,MAX('Reward Model'!$B$2,INDEX('Reward Model'!$C$12:$C$14,MATCH($K1218,'Reward Model'!$A$12:$A$14,0))/$J1218)),3)</f>
        <v>1</v>
      </c>
      <c r="AA1218" s="2" t="n">
        <f aca="false">IF($I1218="Correct",ROUND(INDEX('Reward Model'!$B$12:$B$14,MATCH($K1218,'Reward Model'!$A$12:$A$14,0))*Z1218,2),0)</f>
        <v>3</v>
      </c>
      <c r="AB1218" s="2" t="n">
        <f aca="false">IF($I1218="Correct",ROUND(INDEX('Reward Model'!$B$12:$B$14,MATCH($Y1218,'Reward Model'!$A$12:$A$14,0))*Z1218,2),0)</f>
        <v>3</v>
      </c>
    </row>
    <row r="1219" customFormat="false" ht="15" hidden="false" customHeight="false" outlineLevel="0" collapsed="false">
      <c r="A1219" s="0" t="s">
        <v>249</v>
      </c>
      <c r="B1219" s="0" t="s">
        <v>250</v>
      </c>
      <c r="C1219" s="0" t="s">
        <v>30</v>
      </c>
      <c r="D1219" s="0" t="s">
        <v>189</v>
      </c>
      <c r="E1219" s="0" t="n">
        <v>18</v>
      </c>
      <c r="F1219" s="0" t="s">
        <v>76</v>
      </c>
      <c r="G1219" s="0" t="s">
        <v>77</v>
      </c>
      <c r="H1219" s="0" t="s">
        <v>77</v>
      </c>
      <c r="I1219" s="0" t="s">
        <v>34</v>
      </c>
      <c r="J1219" s="0" t="n">
        <v>1.86</v>
      </c>
      <c r="K1219" s="0" t="s">
        <v>73</v>
      </c>
      <c r="L1219" s="0" t="n">
        <f aca="false">INDEX(Summary!$F$2:$F$201,MATCH($B1219,Summary!$A$2:$A$201,0))</f>
        <v>20</v>
      </c>
      <c r="M1219" s="0" t="n">
        <f aca="false">INDEX(Summary!$I$2:$I$201,MATCH($B1219,Summary!$A$2:$A$201,0))</f>
        <v>4</v>
      </c>
      <c r="N1219" s="0" t="n">
        <f aca="false">INDEX(Summary!$J$2:$J$201,MATCH($B1219,Summary!$A$2:$A$201,0))</f>
        <v>1</v>
      </c>
      <c r="O1219" s="2" t="n">
        <f aca="false">INDEX(Summary!$K$2:$K$201,MATCH($B1219,Summary!$A$2:$A$201,0))</f>
        <v>9.82</v>
      </c>
      <c r="P1219" s="3" t="n">
        <f aca="false">INDEX(Summary!$L$2:$L$201,MATCH($B1219,Summary!$A$2:$A$201,0))</f>
        <v>5</v>
      </c>
      <c r="Q1219" s="3" t="n">
        <f aca="false">INDEX(Summary!$M$2:$M$201,MATCH($B1219,Summary!$A$2:$A$201,0))</f>
        <v>1</v>
      </c>
      <c r="R1219" s="2" t="n">
        <f aca="false">INDEX(Summary!$N$2:$N$201,MATCH($B1219,Summary!$A$2:$A$201,0))</f>
        <v>10.7</v>
      </c>
      <c r="S1219" s="3" t="n">
        <f aca="false">INDEX(Summary!$O$2:$O$201,MATCH($B1219,Summary!$A$2:$A$201,0))</f>
        <v>8</v>
      </c>
      <c r="T1219" s="3" t="n">
        <f aca="false">INDEX(Summary!$P$2:$P$201,MATCH($B1219,Summary!$A$2:$A$201,0))</f>
        <v>1</v>
      </c>
      <c r="U1219" s="2" t="n">
        <f aca="false">INDEX(Summary!$Q$2:$Q$201,MATCH($B1219,Summary!$A$2:$A$201,0))</f>
        <v>12.53</v>
      </c>
      <c r="V1219" s="2" t="n">
        <f aca="false">INDEX(Summary!$R$2:$R$201,MATCH($B1219,Summary!$A$2:$A$201,0))</f>
        <v>31.85</v>
      </c>
      <c r="W1219" s="0" t="str">
        <f aca="false">INDEX(Summary!$S$2:$S$201,MATCH($B1219,Summary!$A$2:$A$201,0))</f>
        <v>Gold</v>
      </c>
      <c r="X1219" s="2" t="n">
        <f aca="false">INDEX(Summary!$T$2:$T$201,MATCH($B1219,Summary!$A$2:$A$201,0))</f>
        <v>77.68</v>
      </c>
      <c r="Y1219" s="0" t="str">
        <f aca="false">INDEX('Reward Model'!$E$18:$E$37,MATCH($E1219,'Reward Model'!$A$18:$A$37,0))</f>
        <v>High</v>
      </c>
      <c r="Z1219" s="4" t="n">
        <f aca="false">ROUND(MIN(1,MAX('Reward Model'!$B$2,INDEX('Reward Model'!$C$12:$C$14,MATCH($K1219,'Reward Model'!$A$12:$A$14,0))/$J1219)),3)</f>
        <v>1</v>
      </c>
      <c r="AA1219" s="2" t="n">
        <f aca="false">IF($I1219="Correct",ROUND(INDEX('Reward Model'!$B$12:$B$14,MATCH($K1219,'Reward Model'!$A$12:$A$14,0))*Z1219,2),0)</f>
        <v>3</v>
      </c>
      <c r="AB1219" s="2" t="n">
        <f aca="false">IF($I1219="Correct",ROUND(INDEX('Reward Model'!$B$12:$B$14,MATCH($Y1219,'Reward Model'!$A$12:$A$14,0))*Z1219,2),0)</f>
        <v>3</v>
      </c>
    </row>
    <row r="1220" customFormat="false" ht="15" hidden="false" customHeight="false" outlineLevel="0" collapsed="false">
      <c r="A1220" s="0" t="s">
        <v>249</v>
      </c>
      <c r="B1220" s="0" t="s">
        <v>250</v>
      </c>
      <c r="C1220" s="0" t="s">
        <v>30</v>
      </c>
      <c r="D1220" s="0" t="s">
        <v>189</v>
      </c>
      <c r="E1220" s="0" t="n">
        <v>19</v>
      </c>
      <c r="F1220" s="0" t="s">
        <v>78</v>
      </c>
      <c r="G1220" s="0" t="s">
        <v>132</v>
      </c>
      <c r="H1220" s="0" t="s">
        <v>80</v>
      </c>
      <c r="I1220" s="0" t="s">
        <v>39</v>
      </c>
      <c r="J1220" s="0" t="n">
        <v>2.53</v>
      </c>
      <c r="K1220" s="0" t="s">
        <v>73</v>
      </c>
      <c r="L1220" s="0" t="n">
        <f aca="false">INDEX(Summary!$F$2:$F$201,MATCH($B1220,Summary!$A$2:$A$201,0))</f>
        <v>20</v>
      </c>
      <c r="M1220" s="0" t="n">
        <f aca="false">INDEX(Summary!$I$2:$I$201,MATCH($B1220,Summary!$A$2:$A$201,0))</f>
        <v>4</v>
      </c>
      <c r="N1220" s="0" t="n">
        <f aca="false">INDEX(Summary!$J$2:$J$201,MATCH($B1220,Summary!$A$2:$A$201,0))</f>
        <v>1</v>
      </c>
      <c r="O1220" s="2" t="n">
        <f aca="false">INDEX(Summary!$K$2:$K$201,MATCH($B1220,Summary!$A$2:$A$201,0))</f>
        <v>9.82</v>
      </c>
      <c r="P1220" s="3" t="n">
        <f aca="false">INDEX(Summary!$L$2:$L$201,MATCH($B1220,Summary!$A$2:$A$201,0))</f>
        <v>5</v>
      </c>
      <c r="Q1220" s="3" t="n">
        <f aca="false">INDEX(Summary!$M$2:$M$201,MATCH($B1220,Summary!$A$2:$A$201,0))</f>
        <v>1</v>
      </c>
      <c r="R1220" s="2" t="n">
        <f aca="false">INDEX(Summary!$N$2:$N$201,MATCH($B1220,Summary!$A$2:$A$201,0))</f>
        <v>10.7</v>
      </c>
      <c r="S1220" s="3" t="n">
        <f aca="false">INDEX(Summary!$O$2:$O$201,MATCH($B1220,Summary!$A$2:$A$201,0))</f>
        <v>8</v>
      </c>
      <c r="T1220" s="3" t="n">
        <f aca="false">INDEX(Summary!$P$2:$P$201,MATCH($B1220,Summary!$A$2:$A$201,0))</f>
        <v>1</v>
      </c>
      <c r="U1220" s="2" t="n">
        <f aca="false">INDEX(Summary!$Q$2:$Q$201,MATCH($B1220,Summary!$A$2:$A$201,0))</f>
        <v>12.53</v>
      </c>
      <c r="V1220" s="2" t="n">
        <f aca="false">INDEX(Summary!$R$2:$R$201,MATCH($B1220,Summary!$A$2:$A$201,0))</f>
        <v>31.85</v>
      </c>
      <c r="W1220" s="0" t="str">
        <f aca="false">INDEX(Summary!$S$2:$S$201,MATCH($B1220,Summary!$A$2:$A$201,0))</f>
        <v>Gold</v>
      </c>
      <c r="X1220" s="2" t="n">
        <f aca="false">INDEX(Summary!$T$2:$T$201,MATCH($B1220,Summary!$A$2:$A$201,0))</f>
        <v>77.68</v>
      </c>
      <c r="Y1220" s="0" t="str">
        <f aca="false">INDEX('Reward Model'!$E$18:$E$37,MATCH($E1220,'Reward Model'!$A$18:$A$37,0))</f>
        <v>High</v>
      </c>
      <c r="Z1220" s="4" t="n">
        <f aca="false">ROUND(MIN(1,MAX('Reward Model'!$B$2,INDEX('Reward Model'!$C$12:$C$14,MATCH($K1220,'Reward Model'!$A$12:$A$14,0))/$J1220)),3)</f>
        <v>0.791</v>
      </c>
      <c r="AA1220" s="2" t="n">
        <f aca="false">IF($I1220="Correct",ROUND(INDEX('Reward Model'!$B$12:$B$14,MATCH($K1220,'Reward Model'!$A$12:$A$14,0))*Z1220,2),0)</f>
        <v>0</v>
      </c>
      <c r="AB1220" s="2" t="n">
        <f aca="false">IF($I1220="Correct",ROUND(INDEX('Reward Model'!$B$12:$B$14,MATCH($Y1220,'Reward Model'!$A$12:$A$14,0))*Z1220,2),0)</f>
        <v>0</v>
      </c>
    </row>
    <row r="1221" customFormat="false" ht="15" hidden="false" customHeight="false" outlineLevel="0" collapsed="false">
      <c r="A1221" s="0" t="s">
        <v>249</v>
      </c>
      <c r="B1221" s="0" t="s">
        <v>250</v>
      </c>
      <c r="C1221" s="0" t="s">
        <v>30</v>
      </c>
      <c r="D1221" s="0" t="s">
        <v>189</v>
      </c>
      <c r="E1221" s="0" t="n">
        <v>20</v>
      </c>
      <c r="F1221" s="0" t="s">
        <v>81</v>
      </c>
      <c r="G1221" s="0" t="s">
        <v>83</v>
      </c>
      <c r="H1221" s="0" t="s">
        <v>83</v>
      </c>
      <c r="I1221" s="0" t="s">
        <v>34</v>
      </c>
      <c r="J1221" s="0" t="n">
        <v>1.58</v>
      </c>
      <c r="K1221" s="0" t="s">
        <v>73</v>
      </c>
      <c r="L1221" s="0" t="n">
        <f aca="false">INDEX(Summary!$F$2:$F$201,MATCH($B1221,Summary!$A$2:$A$201,0))</f>
        <v>20</v>
      </c>
      <c r="M1221" s="0" t="n">
        <f aca="false">INDEX(Summary!$I$2:$I$201,MATCH($B1221,Summary!$A$2:$A$201,0))</f>
        <v>4</v>
      </c>
      <c r="N1221" s="0" t="n">
        <f aca="false">INDEX(Summary!$J$2:$J$201,MATCH($B1221,Summary!$A$2:$A$201,0))</f>
        <v>1</v>
      </c>
      <c r="O1221" s="2" t="n">
        <f aca="false">INDEX(Summary!$K$2:$K$201,MATCH($B1221,Summary!$A$2:$A$201,0))</f>
        <v>9.82</v>
      </c>
      <c r="P1221" s="3" t="n">
        <f aca="false">INDEX(Summary!$L$2:$L$201,MATCH($B1221,Summary!$A$2:$A$201,0))</f>
        <v>5</v>
      </c>
      <c r="Q1221" s="3" t="n">
        <f aca="false">INDEX(Summary!$M$2:$M$201,MATCH($B1221,Summary!$A$2:$A$201,0))</f>
        <v>1</v>
      </c>
      <c r="R1221" s="2" t="n">
        <f aca="false">INDEX(Summary!$N$2:$N$201,MATCH($B1221,Summary!$A$2:$A$201,0))</f>
        <v>10.7</v>
      </c>
      <c r="S1221" s="3" t="n">
        <f aca="false">INDEX(Summary!$O$2:$O$201,MATCH($B1221,Summary!$A$2:$A$201,0))</f>
        <v>8</v>
      </c>
      <c r="T1221" s="3" t="n">
        <f aca="false">INDEX(Summary!$P$2:$P$201,MATCH($B1221,Summary!$A$2:$A$201,0))</f>
        <v>1</v>
      </c>
      <c r="U1221" s="2" t="n">
        <f aca="false">INDEX(Summary!$Q$2:$Q$201,MATCH($B1221,Summary!$A$2:$A$201,0))</f>
        <v>12.53</v>
      </c>
      <c r="V1221" s="2" t="n">
        <f aca="false">INDEX(Summary!$R$2:$R$201,MATCH($B1221,Summary!$A$2:$A$201,0))</f>
        <v>31.85</v>
      </c>
      <c r="W1221" s="0" t="str">
        <f aca="false">INDEX(Summary!$S$2:$S$201,MATCH($B1221,Summary!$A$2:$A$201,0))</f>
        <v>Gold</v>
      </c>
      <c r="X1221" s="2" t="n">
        <f aca="false">INDEX(Summary!$T$2:$T$201,MATCH($B1221,Summary!$A$2:$A$201,0))</f>
        <v>77.68</v>
      </c>
      <c r="Y1221" s="0" t="str">
        <f aca="false">INDEX('Reward Model'!$E$18:$E$37,MATCH($E1221,'Reward Model'!$A$18:$A$37,0))</f>
        <v>High</v>
      </c>
      <c r="Z1221" s="4" t="n">
        <f aca="false">ROUND(MIN(1,MAX('Reward Model'!$B$2,INDEX('Reward Model'!$C$12:$C$14,MATCH($K1221,'Reward Model'!$A$12:$A$14,0))/$J1221)),3)</f>
        <v>1</v>
      </c>
      <c r="AA1221" s="2" t="n">
        <f aca="false">IF($I1221="Correct",ROUND(INDEX('Reward Model'!$B$12:$B$14,MATCH($K1221,'Reward Model'!$A$12:$A$14,0))*Z1221,2),0)</f>
        <v>3</v>
      </c>
      <c r="AB1221" s="2" t="n">
        <f aca="false">IF($I1221="Correct",ROUND(INDEX('Reward Model'!$B$12:$B$14,MATCH($Y1221,'Reward Model'!$A$12:$A$14,0))*Z1221,2),0)</f>
        <v>3</v>
      </c>
    </row>
    <row r="1222" customFormat="false" ht="15" hidden="false" customHeight="false" outlineLevel="0" collapsed="false">
      <c r="A1222" s="0" t="s">
        <v>251</v>
      </c>
      <c r="B1222" s="0" t="s">
        <v>252</v>
      </c>
      <c r="C1222" s="0" t="s">
        <v>30</v>
      </c>
      <c r="D1222" s="0" t="s">
        <v>189</v>
      </c>
      <c r="E1222" s="0" t="n">
        <v>1</v>
      </c>
      <c r="F1222" s="0" t="s">
        <v>32</v>
      </c>
      <c r="G1222" s="0" t="s">
        <v>91</v>
      </c>
      <c r="H1222" s="0" t="s">
        <v>33</v>
      </c>
      <c r="I1222" s="0" t="s">
        <v>39</v>
      </c>
      <c r="J1222" s="0" t="n">
        <v>1.85</v>
      </c>
      <c r="K1222" s="0" t="s">
        <v>35</v>
      </c>
      <c r="L1222" s="0" t="n">
        <f aca="false">INDEX(Summary!$F$2:$F$201,MATCH($B1222,Summary!$A$2:$A$201,0))</f>
        <v>20</v>
      </c>
      <c r="M1222" s="0" t="n">
        <f aca="false">INDEX(Summary!$I$2:$I$201,MATCH($B1222,Summary!$A$2:$A$201,0))</f>
        <v>1</v>
      </c>
      <c r="N1222" s="0" t="n">
        <f aca="false">INDEX(Summary!$J$2:$J$201,MATCH($B1222,Summary!$A$2:$A$201,0))</f>
        <v>4</v>
      </c>
      <c r="O1222" s="2" t="n">
        <f aca="false">INDEX(Summary!$K$2:$K$201,MATCH($B1222,Summary!$A$2:$A$201,0))</f>
        <v>9.18</v>
      </c>
      <c r="P1222" s="3" t="n">
        <f aca="false">INDEX(Summary!$L$2:$L$201,MATCH($B1222,Summary!$A$2:$A$201,0))</f>
        <v>4</v>
      </c>
      <c r="Q1222" s="3" t="n">
        <f aca="false">INDEX(Summary!$M$2:$M$201,MATCH($B1222,Summary!$A$2:$A$201,0))</f>
        <v>2</v>
      </c>
      <c r="R1222" s="2" t="n">
        <f aca="false">INDEX(Summary!$N$2:$N$201,MATCH($B1222,Summary!$A$2:$A$201,0))</f>
        <v>9.54</v>
      </c>
      <c r="S1222" s="3" t="n">
        <f aca="false">INDEX(Summary!$O$2:$O$201,MATCH($B1222,Summary!$A$2:$A$201,0))</f>
        <v>8</v>
      </c>
      <c r="T1222" s="3" t="n">
        <f aca="false">INDEX(Summary!$P$2:$P$201,MATCH($B1222,Summary!$A$2:$A$201,0))</f>
        <v>1</v>
      </c>
      <c r="U1222" s="2" t="n">
        <f aca="false">INDEX(Summary!$Q$2:$Q$201,MATCH($B1222,Summary!$A$2:$A$201,0))</f>
        <v>13.23</v>
      </c>
      <c r="V1222" s="2" t="n">
        <f aca="false">INDEX(Summary!$R$2:$R$201,MATCH($B1222,Summary!$A$2:$A$201,0))</f>
        <v>21.62</v>
      </c>
      <c r="W1222" s="0" t="str">
        <f aca="false">INDEX(Summary!$S$2:$S$201,MATCH($B1222,Summary!$A$2:$A$201,0))</f>
        <v>Silver</v>
      </c>
      <c r="X1222" s="2" t="n">
        <f aca="false">INDEX(Summary!$T$2:$T$201,MATCH($B1222,Summary!$A$2:$A$201,0))</f>
        <v>52.73</v>
      </c>
      <c r="Y1222" s="0" t="str">
        <f aca="false">INDEX('Reward Model'!$E$18:$E$37,MATCH($E1222,'Reward Model'!$A$18:$A$37,0))</f>
        <v>Medium</v>
      </c>
      <c r="Z1222" s="4" t="n">
        <f aca="false">ROUND(MIN(1,MAX('Reward Model'!$B$2,INDEX('Reward Model'!$C$12:$C$14,MATCH($K1222,'Reward Model'!$A$12:$A$14,0))/$J1222)),3)</f>
        <v>0.811</v>
      </c>
      <c r="AA1222" s="2" t="n">
        <f aca="false">IF($I1222="Correct",ROUND(INDEX('Reward Model'!$B$12:$B$14,MATCH($K1222,'Reward Model'!$A$12:$A$14,0))*Z1222,2),0)</f>
        <v>0</v>
      </c>
      <c r="AB1222" s="2" t="n">
        <f aca="false">IF($I1222="Correct",ROUND(INDEX('Reward Model'!$B$12:$B$14,MATCH($Y1222,'Reward Model'!$A$12:$A$14,0))*Z1222,2),0)</f>
        <v>0</v>
      </c>
    </row>
    <row r="1223" customFormat="false" ht="15" hidden="false" customHeight="false" outlineLevel="0" collapsed="false">
      <c r="A1223" s="0" t="s">
        <v>251</v>
      </c>
      <c r="B1223" s="0" t="s">
        <v>252</v>
      </c>
      <c r="C1223" s="0" t="s">
        <v>30</v>
      </c>
      <c r="D1223" s="0" t="s">
        <v>189</v>
      </c>
      <c r="E1223" s="0" t="n">
        <v>2</v>
      </c>
      <c r="F1223" s="0" t="s">
        <v>36</v>
      </c>
      <c r="G1223" s="0" t="s">
        <v>38</v>
      </c>
      <c r="H1223" s="0" t="s">
        <v>38</v>
      </c>
      <c r="I1223" s="0" t="s">
        <v>34</v>
      </c>
      <c r="J1223" s="0" t="n">
        <v>1.85</v>
      </c>
      <c r="K1223" s="0" t="s">
        <v>35</v>
      </c>
      <c r="L1223" s="0" t="n">
        <f aca="false">INDEX(Summary!$F$2:$F$201,MATCH($B1223,Summary!$A$2:$A$201,0))</f>
        <v>20</v>
      </c>
      <c r="M1223" s="0" t="n">
        <f aca="false">INDEX(Summary!$I$2:$I$201,MATCH($B1223,Summary!$A$2:$A$201,0))</f>
        <v>1</v>
      </c>
      <c r="N1223" s="0" t="n">
        <f aca="false">INDEX(Summary!$J$2:$J$201,MATCH($B1223,Summary!$A$2:$A$201,0))</f>
        <v>4</v>
      </c>
      <c r="O1223" s="2" t="n">
        <f aca="false">INDEX(Summary!$K$2:$K$201,MATCH($B1223,Summary!$A$2:$A$201,0))</f>
        <v>9.18</v>
      </c>
      <c r="P1223" s="3" t="n">
        <f aca="false">INDEX(Summary!$L$2:$L$201,MATCH($B1223,Summary!$A$2:$A$201,0))</f>
        <v>4</v>
      </c>
      <c r="Q1223" s="3" t="n">
        <f aca="false">INDEX(Summary!$M$2:$M$201,MATCH($B1223,Summary!$A$2:$A$201,0))</f>
        <v>2</v>
      </c>
      <c r="R1223" s="2" t="n">
        <f aca="false">INDEX(Summary!$N$2:$N$201,MATCH($B1223,Summary!$A$2:$A$201,0))</f>
        <v>9.54</v>
      </c>
      <c r="S1223" s="3" t="n">
        <f aca="false">INDEX(Summary!$O$2:$O$201,MATCH($B1223,Summary!$A$2:$A$201,0))</f>
        <v>8</v>
      </c>
      <c r="T1223" s="3" t="n">
        <f aca="false">INDEX(Summary!$P$2:$P$201,MATCH($B1223,Summary!$A$2:$A$201,0))</f>
        <v>1</v>
      </c>
      <c r="U1223" s="2" t="n">
        <f aca="false">INDEX(Summary!$Q$2:$Q$201,MATCH($B1223,Summary!$A$2:$A$201,0))</f>
        <v>13.23</v>
      </c>
      <c r="V1223" s="2" t="n">
        <f aca="false">INDEX(Summary!$R$2:$R$201,MATCH($B1223,Summary!$A$2:$A$201,0))</f>
        <v>21.62</v>
      </c>
      <c r="W1223" s="0" t="str">
        <f aca="false">INDEX(Summary!$S$2:$S$201,MATCH($B1223,Summary!$A$2:$A$201,0))</f>
        <v>Silver</v>
      </c>
      <c r="X1223" s="2" t="n">
        <f aca="false">INDEX(Summary!$T$2:$T$201,MATCH($B1223,Summary!$A$2:$A$201,0))</f>
        <v>52.73</v>
      </c>
      <c r="Y1223" s="0" t="str">
        <f aca="false">INDEX('Reward Model'!$E$18:$E$37,MATCH($E1223,'Reward Model'!$A$18:$A$37,0))</f>
        <v>Low</v>
      </c>
      <c r="Z1223" s="4" t="n">
        <f aca="false">ROUND(MIN(1,MAX('Reward Model'!$B$2,INDEX('Reward Model'!$C$12:$C$14,MATCH($K1223,'Reward Model'!$A$12:$A$14,0))/$J1223)),3)</f>
        <v>0.811</v>
      </c>
      <c r="AA1223" s="2" t="n">
        <f aca="false">IF($I1223="Correct",ROUND(INDEX('Reward Model'!$B$12:$B$14,MATCH($K1223,'Reward Model'!$A$12:$A$14,0))*Z1223,2),0)</f>
        <v>0.81</v>
      </c>
      <c r="AB1223" s="2" t="n">
        <f aca="false">IF($I1223="Correct",ROUND(INDEX('Reward Model'!$B$12:$B$14,MATCH($Y1223,'Reward Model'!$A$12:$A$14,0))*Z1223,2),0)</f>
        <v>0.81</v>
      </c>
    </row>
    <row r="1224" customFormat="false" ht="15" hidden="false" customHeight="false" outlineLevel="0" collapsed="false">
      <c r="A1224" s="0" t="s">
        <v>251</v>
      </c>
      <c r="B1224" s="0" t="s">
        <v>252</v>
      </c>
      <c r="C1224" s="0" t="s">
        <v>30</v>
      </c>
      <c r="D1224" s="0" t="s">
        <v>189</v>
      </c>
      <c r="E1224" s="0" t="n">
        <v>3</v>
      </c>
      <c r="F1224" s="0" t="s">
        <v>40</v>
      </c>
      <c r="G1224" s="0" t="s">
        <v>42</v>
      </c>
      <c r="H1224" s="0" t="s">
        <v>42</v>
      </c>
      <c r="I1224" s="0" t="s">
        <v>34</v>
      </c>
      <c r="J1224" s="0" t="n">
        <v>1.22</v>
      </c>
      <c r="K1224" s="0" t="s">
        <v>35</v>
      </c>
      <c r="L1224" s="0" t="n">
        <f aca="false">INDEX(Summary!$F$2:$F$201,MATCH($B1224,Summary!$A$2:$A$201,0))</f>
        <v>20</v>
      </c>
      <c r="M1224" s="0" t="n">
        <f aca="false">INDEX(Summary!$I$2:$I$201,MATCH($B1224,Summary!$A$2:$A$201,0))</f>
        <v>1</v>
      </c>
      <c r="N1224" s="0" t="n">
        <f aca="false">INDEX(Summary!$J$2:$J$201,MATCH($B1224,Summary!$A$2:$A$201,0))</f>
        <v>4</v>
      </c>
      <c r="O1224" s="2" t="n">
        <f aca="false">INDEX(Summary!$K$2:$K$201,MATCH($B1224,Summary!$A$2:$A$201,0))</f>
        <v>9.18</v>
      </c>
      <c r="P1224" s="3" t="n">
        <f aca="false">INDEX(Summary!$L$2:$L$201,MATCH($B1224,Summary!$A$2:$A$201,0))</f>
        <v>4</v>
      </c>
      <c r="Q1224" s="3" t="n">
        <f aca="false">INDEX(Summary!$M$2:$M$201,MATCH($B1224,Summary!$A$2:$A$201,0))</f>
        <v>2</v>
      </c>
      <c r="R1224" s="2" t="n">
        <f aca="false">INDEX(Summary!$N$2:$N$201,MATCH($B1224,Summary!$A$2:$A$201,0))</f>
        <v>9.54</v>
      </c>
      <c r="S1224" s="3" t="n">
        <f aca="false">INDEX(Summary!$O$2:$O$201,MATCH($B1224,Summary!$A$2:$A$201,0))</f>
        <v>8</v>
      </c>
      <c r="T1224" s="3" t="n">
        <f aca="false">INDEX(Summary!$P$2:$P$201,MATCH($B1224,Summary!$A$2:$A$201,0))</f>
        <v>1</v>
      </c>
      <c r="U1224" s="2" t="n">
        <f aca="false">INDEX(Summary!$Q$2:$Q$201,MATCH($B1224,Summary!$A$2:$A$201,0))</f>
        <v>13.23</v>
      </c>
      <c r="V1224" s="2" t="n">
        <f aca="false">INDEX(Summary!$R$2:$R$201,MATCH($B1224,Summary!$A$2:$A$201,0))</f>
        <v>21.62</v>
      </c>
      <c r="W1224" s="0" t="str">
        <f aca="false">INDEX(Summary!$S$2:$S$201,MATCH($B1224,Summary!$A$2:$A$201,0))</f>
        <v>Silver</v>
      </c>
      <c r="X1224" s="2" t="n">
        <f aca="false">INDEX(Summary!$T$2:$T$201,MATCH($B1224,Summary!$A$2:$A$201,0))</f>
        <v>52.73</v>
      </c>
      <c r="Y1224" s="0" t="str">
        <f aca="false">INDEX('Reward Model'!$E$18:$E$37,MATCH($E1224,'Reward Model'!$A$18:$A$37,0))</f>
        <v>Medium</v>
      </c>
      <c r="Z1224" s="4" t="n">
        <f aca="false">ROUND(MIN(1,MAX('Reward Model'!$B$2,INDEX('Reward Model'!$C$12:$C$14,MATCH($K1224,'Reward Model'!$A$12:$A$14,0))/$J1224)),3)</f>
        <v>1</v>
      </c>
      <c r="AA1224" s="2" t="n">
        <f aca="false">IF($I1224="Correct",ROUND(INDEX('Reward Model'!$B$12:$B$14,MATCH($K1224,'Reward Model'!$A$12:$A$14,0))*Z1224,2),0)</f>
        <v>1</v>
      </c>
      <c r="AB1224" s="2" t="n">
        <f aca="false">IF($I1224="Correct",ROUND(INDEX('Reward Model'!$B$12:$B$14,MATCH($Y1224,'Reward Model'!$A$12:$A$14,0))*Z1224,2),0)</f>
        <v>2</v>
      </c>
    </row>
    <row r="1225" customFormat="false" ht="15" hidden="false" customHeight="false" outlineLevel="0" collapsed="false">
      <c r="A1225" s="0" t="s">
        <v>251</v>
      </c>
      <c r="B1225" s="0" t="s">
        <v>252</v>
      </c>
      <c r="C1225" s="0" t="s">
        <v>30</v>
      </c>
      <c r="D1225" s="0" t="s">
        <v>189</v>
      </c>
      <c r="E1225" s="0" t="n">
        <v>4</v>
      </c>
      <c r="F1225" s="0" t="s">
        <v>43</v>
      </c>
      <c r="G1225" s="0" t="s">
        <v>45</v>
      </c>
      <c r="H1225" s="0" t="s">
        <v>45</v>
      </c>
      <c r="I1225" s="0" t="s">
        <v>34</v>
      </c>
      <c r="J1225" s="0" t="n">
        <v>1.3</v>
      </c>
      <c r="K1225" s="0" t="s">
        <v>35</v>
      </c>
      <c r="L1225" s="0" t="n">
        <f aca="false">INDEX(Summary!$F$2:$F$201,MATCH($B1225,Summary!$A$2:$A$201,0))</f>
        <v>20</v>
      </c>
      <c r="M1225" s="0" t="n">
        <f aca="false">INDEX(Summary!$I$2:$I$201,MATCH($B1225,Summary!$A$2:$A$201,0))</f>
        <v>1</v>
      </c>
      <c r="N1225" s="0" t="n">
        <f aca="false">INDEX(Summary!$J$2:$J$201,MATCH($B1225,Summary!$A$2:$A$201,0))</f>
        <v>4</v>
      </c>
      <c r="O1225" s="2" t="n">
        <f aca="false">INDEX(Summary!$K$2:$K$201,MATCH($B1225,Summary!$A$2:$A$201,0))</f>
        <v>9.18</v>
      </c>
      <c r="P1225" s="3" t="n">
        <f aca="false">INDEX(Summary!$L$2:$L$201,MATCH($B1225,Summary!$A$2:$A$201,0))</f>
        <v>4</v>
      </c>
      <c r="Q1225" s="3" t="n">
        <f aca="false">INDEX(Summary!$M$2:$M$201,MATCH($B1225,Summary!$A$2:$A$201,0))</f>
        <v>2</v>
      </c>
      <c r="R1225" s="2" t="n">
        <f aca="false">INDEX(Summary!$N$2:$N$201,MATCH($B1225,Summary!$A$2:$A$201,0))</f>
        <v>9.54</v>
      </c>
      <c r="S1225" s="3" t="n">
        <f aca="false">INDEX(Summary!$O$2:$O$201,MATCH($B1225,Summary!$A$2:$A$201,0))</f>
        <v>8</v>
      </c>
      <c r="T1225" s="3" t="n">
        <f aca="false">INDEX(Summary!$P$2:$P$201,MATCH($B1225,Summary!$A$2:$A$201,0))</f>
        <v>1</v>
      </c>
      <c r="U1225" s="2" t="n">
        <f aca="false">INDEX(Summary!$Q$2:$Q$201,MATCH($B1225,Summary!$A$2:$A$201,0))</f>
        <v>13.23</v>
      </c>
      <c r="V1225" s="2" t="n">
        <f aca="false">INDEX(Summary!$R$2:$R$201,MATCH($B1225,Summary!$A$2:$A$201,0))</f>
        <v>21.62</v>
      </c>
      <c r="W1225" s="0" t="str">
        <f aca="false">INDEX(Summary!$S$2:$S$201,MATCH($B1225,Summary!$A$2:$A$201,0))</f>
        <v>Silver</v>
      </c>
      <c r="X1225" s="2" t="n">
        <f aca="false">INDEX(Summary!$T$2:$T$201,MATCH($B1225,Summary!$A$2:$A$201,0))</f>
        <v>52.73</v>
      </c>
      <c r="Y1225" s="0" t="str">
        <f aca="false">INDEX('Reward Model'!$E$18:$E$37,MATCH($E1225,'Reward Model'!$A$18:$A$37,0))</f>
        <v>Low</v>
      </c>
      <c r="Z1225" s="4" t="n">
        <f aca="false">ROUND(MIN(1,MAX('Reward Model'!$B$2,INDEX('Reward Model'!$C$12:$C$14,MATCH($K1225,'Reward Model'!$A$12:$A$14,0))/$J1225)),3)</f>
        <v>1</v>
      </c>
      <c r="AA1225" s="2" t="n">
        <f aca="false">IF($I1225="Correct",ROUND(INDEX('Reward Model'!$B$12:$B$14,MATCH($K1225,'Reward Model'!$A$12:$A$14,0))*Z1225,2),0)</f>
        <v>1</v>
      </c>
      <c r="AB1225" s="2" t="n">
        <f aca="false">IF($I1225="Correct",ROUND(INDEX('Reward Model'!$B$12:$B$14,MATCH($Y1225,'Reward Model'!$A$12:$A$14,0))*Z1225,2),0)</f>
        <v>1</v>
      </c>
    </row>
    <row r="1226" customFormat="false" ht="15" hidden="false" customHeight="false" outlineLevel="0" collapsed="false">
      <c r="A1226" s="0" t="s">
        <v>251</v>
      </c>
      <c r="B1226" s="0" t="s">
        <v>252</v>
      </c>
      <c r="C1226" s="0" t="s">
        <v>30</v>
      </c>
      <c r="D1226" s="0" t="s">
        <v>189</v>
      </c>
      <c r="E1226" s="0" t="n">
        <v>5</v>
      </c>
      <c r="F1226" s="0" t="s">
        <v>46</v>
      </c>
      <c r="G1226" s="0" t="s">
        <v>47</v>
      </c>
      <c r="H1226" s="0" t="s">
        <v>47</v>
      </c>
      <c r="I1226" s="0" t="s">
        <v>34</v>
      </c>
      <c r="J1226" s="0" t="n">
        <v>1.37</v>
      </c>
      <c r="K1226" s="0" t="s">
        <v>35</v>
      </c>
      <c r="L1226" s="0" t="n">
        <f aca="false">INDEX(Summary!$F$2:$F$201,MATCH($B1226,Summary!$A$2:$A$201,0))</f>
        <v>20</v>
      </c>
      <c r="M1226" s="0" t="n">
        <f aca="false">INDEX(Summary!$I$2:$I$201,MATCH($B1226,Summary!$A$2:$A$201,0))</f>
        <v>1</v>
      </c>
      <c r="N1226" s="0" t="n">
        <f aca="false">INDEX(Summary!$J$2:$J$201,MATCH($B1226,Summary!$A$2:$A$201,0))</f>
        <v>4</v>
      </c>
      <c r="O1226" s="2" t="n">
        <f aca="false">INDEX(Summary!$K$2:$K$201,MATCH($B1226,Summary!$A$2:$A$201,0))</f>
        <v>9.18</v>
      </c>
      <c r="P1226" s="3" t="n">
        <f aca="false">INDEX(Summary!$L$2:$L$201,MATCH($B1226,Summary!$A$2:$A$201,0))</f>
        <v>4</v>
      </c>
      <c r="Q1226" s="3" t="n">
        <f aca="false">INDEX(Summary!$M$2:$M$201,MATCH($B1226,Summary!$A$2:$A$201,0))</f>
        <v>2</v>
      </c>
      <c r="R1226" s="2" t="n">
        <f aca="false">INDEX(Summary!$N$2:$N$201,MATCH($B1226,Summary!$A$2:$A$201,0))</f>
        <v>9.54</v>
      </c>
      <c r="S1226" s="3" t="n">
        <f aca="false">INDEX(Summary!$O$2:$O$201,MATCH($B1226,Summary!$A$2:$A$201,0))</f>
        <v>8</v>
      </c>
      <c r="T1226" s="3" t="n">
        <f aca="false">INDEX(Summary!$P$2:$P$201,MATCH($B1226,Summary!$A$2:$A$201,0))</f>
        <v>1</v>
      </c>
      <c r="U1226" s="2" t="n">
        <f aca="false">INDEX(Summary!$Q$2:$Q$201,MATCH($B1226,Summary!$A$2:$A$201,0))</f>
        <v>13.23</v>
      </c>
      <c r="V1226" s="2" t="n">
        <f aca="false">INDEX(Summary!$R$2:$R$201,MATCH($B1226,Summary!$A$2:$A$201,0))</f>
        <v>21.62</v>
      </c>
      <c r="W1226" s="0" t="str">
        <f aca="false">INDEX(Summary!$S$2:$S$201,MATCH($B1226,Summary!$A$2:$A$201,0))</f>
        <v>Silver</v>
      </c>
      <c r="X1226" s="2" t="n">
        <f aca="false">INDEX(Summary!$T$2:$T$201,MATCH($B1226,Summary!$A$2:$A$201,0))</f>
        <v>52.73</v>
      </c>
      <c r="Y1226" s="0" t="str">
        <f aca="false">INDEX('Reward Model'!$E$18:$E$37,MATCH($E1226,'Reward Model'!$A$18:$A$37,0))</f>
        <v>Low</v>
      </c>
      <c r="Z1226" s="4" t="n">
        <f aca="false">ROUND(MIN(1,MAX('Reward Model'!$B$2,INDEX('Reward Model'!$C$12:$C$14,MATCH($K1226,'Reward Model'!$A$12:$A$14,0))/$J1226)),3)</f>
        <v>1</v>
      </c>
      <c r="AA1226" s="2" t="n">
        <f aca="false">IF($I1226="Correct",ROUND(INDEX('Reward Model'!$B$12:$B$14,MATCH($K1226,'Reward Model'!$A$12:$A$14,0))*Z1226,2),0)</f>
        <v>1</v>
      </c>
      <c r="AB1226" s="2" t="n">
        <f aca="false">IF($I1226="Correct",ROUND(INDEX('Reward Model'!$B$12:$B$14,MATCH($Y1226,'Reward Model'!$A$12:$A$14,0))*Z1226,2),0)</f>
        <v>1</v>
      </c>
    </row>
    <row r="1227" customFormat="false" ht="15" hidden="false" customHeight="false" outlineLevel="0" collapsed="false">
      <c r="A1227" s="0" t="s">
        <v>251</v>
      </c>
      <c r="B1227" s="0" t="s">
        <v>252</v>
      </c>
      <c r="C1227" s="0" t="s">
        <v>30</v>
      </c>
      <c r="D1227" s="0" t="s">
        <v>189</v>
      </c>
      <c r="E1227" s="0" t="n">
        <v>6</v>
      </c>
      <c r="F1227" s="0" t="s">
        <v>48</v>
      </c>
      <c r="G1227" s="0" t="s">
        <v>49</v>
      </c>
      <c r="H1227" s="0" t="s">
        <v>49</v>
      </c>
      <c r="I1227" s="0" t="s">
        <v>34</v>
      </c>
      <c r="J1227" s="0" t="n">
        <v>1.07</v>
      </c>
      <c r="K1227" s="0" t="s">
        <v>35</v>
      </c>
      <c r="L1227" s="0" t="n">
        <f aca="false">INDEX(Summary!$F$2:$F$201,MATCH($B1227,Summary!$A$2:$A$201,0))</f>
        <v>20</v>
      </c>
      <c r="M1227" s="0" t="n">
        <f aca="false">INDEX(Summary!$I$2:$I$201,MATCH($B1227,Summary!$A$2:$A$201,0))</f>
        <v>1</v>
      </c>
      <c r="N1227" s="0" t="n">
        <f aca="false">INDEX(Summary!$J$2:$J$201,MATCH($B1227,Summary!$A$2:$A$201,0))</f>
        <v>4</v>
      </c>
      <c r="O1227" s="2" t="n">
        <f aca="false">INDEX(Summary!$K$2:$K$201,MATCH($B1227,Summary!$A$2:$A$201,0))</f>
        <v>9.18</v>
      </c>
      <c r="P1227" s="3" t="n">
        <f aca="false">INDEX(Summary!$L$2:$L$201,MATCH($B1227,Summary!$A$2:$A$201,0))</f>
        <v>4</v>
      </c>
      <c r="Q1227" s="3" t="n">
        <f aca="false">INDEX(Summary!$M$2:$M$201,MATCH($B1227,Summary!$A$2:$A$201,0))</f>
        <v>2</v>
      </c>
      <c r="R1227" s="2" t="n">
        <f aca="false">INDEX(Summary!$N$2:$N$201,MATCH($B1227,Summary!$A$2:$A$201,0))</f>
        <v>9.54</v>
      </c>
      <c r="S1227" s="3" t="n">
        <f aca="false">INDEX(Summary!$O$2:$O$201,MATCH($B1227,Summary!$A$2:$A$201,0))</f>
        <v>8</v>
      </c>
      <c r="T1227" s="3" t="n">
        <f aca="false">INDEX(Summary!$P$2:$P$201,MATCH($B1227,Summary!$A$2:$A$201,0))</f>
        <v>1</v>
      </c>
      <c r="U1227" s="2" t="n">
        <f aca="false">INDEX(Summary!$Q$2:$Q$201,MATCH($B1227,Summary!$A$2:$A$201,0))</f>
        <v>13.23</v>
      </c>
      <c r="V1227" s="2" t="n">
        <f aca="false">INDEX(Summary!$R$2:$R$201,MATCH($B1227,Summary!$A$2:$A$201,0))</f>
        <v>21.62</v>
      </c>
      <c r="W1227" s="0" t="str">
        <f aca="false">INDEX(Summary!$S$2:$S$201,MATCH($B1227,Summary!$A$2:$A$201,0))</f>
        <v>Silver</v>
      </c>
      <c r="X1227" s="2" t="n">
        <f aca="false">INDEX(Summary!$T$2:$T$201,MATCH($B1227,Summary!$A$2:$A$201,0))</f>
        <v>52.73</v>
      </c>
      <c r="Y1227" s="0" t="str">
        <f aca="false">INDEX('Reward Model'!$E$18:$E$37,MATCH($E1227,'Reward Model'!$A$18:$A$37,0))</f>
        <v>Medium</v>
      </c>
      <c r="Z1227" s="4" t="n">
        <f aca="false">ROUND(MIN(1,MAX('Reward Model'!$B$2,INDEX('Reward Model'!$C$12:$C$14,MATCH($K1227,'Reward Model'!$A$12:$A$14,0))/$J1227)),3)</f>
        <v>1</v>
      </c>
      <c r="AA1227" s="2" t="n">
        <f aca="false">IF($I1227="Correct",ROUND(INDEX('Reward Model'!$B$12:$B$14,MATCH($K1227,'Reward Model'!$A$12:$A$14,0))*Z1227,2),0)</f>
        <v>1</v>
      </c>
      <c r="AB1227" s="2" t="n">
        <f aca="false">IF($I1227="Correct",ROUND(INDEX('Reward Model'!$B$12:$B$14,MATCH($Y1227,'Reward Model'!$A$12:$A$14,0))*Z1227,2),0)</f>
        <v>2</v>
      </c>
    </row>
    <row r="1228" customFormat="false" ht="15" hidden="false" customHeight="false" outlineLevel="0" collapsed="false">
      <c r="A1228" s="0" t="s">
        <v>251</v>
      </c>
      <c r="B1228" s="0" t="s">
        <v>252</v>
      </c>
      <c r="C1228" s="0" t="s">
        <v>30</v>
      </c>
      <c r="D1228" s="0" t="s">
        <v>189</v>
      </c>
      <c r="E1228" s="0" t="n">
        <v>7</v>
      </c>
      <c r="F1228" s="0" t="s">
        <v>50</v>
      </c>
      <c r="G1228" s="0" t="s">
        <v>51</v>
      </c>
      <c r="H1228" s="0" t="s">
        <v>51</v>
      </c>
      <c r="I1228" s="0" t="s">
        <v>34</v>
      </c>
      <c r="J1228" s="0" t="n">
        <v>1.35</v>
      </c>
      <c r="K1228" s="0" t="s">
        <v>35</v>
      </c>
      <c r="L1228" s="0" t="n">
        <f aca="false">INDEX(Summary!$F$2:$F$201,MATCH($B1228,Summary!$A$2:$A$201,0))</f>
        <v>20</v>
      </c>
      <c r="M1228" s="0" t="n">
        <f aca="false">INDEX(Summary!$I$2:$I$201,MATCH($B1228,Summary!$A$2:$A$201,0))</f>
        <v>1</v>
      </c>
      <c r="N1228" s="0" t="n">
        <f aca="false">INDEX(Summary!$J$2:$J$201,MATCH($B1228,Summary!$A$2:$A$201,0))</f>
        <v>4</v>
      </c>
      <c r="O1228" s="2" t="n">
        <f aca="false">INDEX(Summary!$K$2:$K$201,MATCH($B1228,Summary!$A$2:$A$201,0))</f>
        <v>9.18</v>
      </c>
      <c r="P1228" s="3" t="n">
        <f aca="false">INDEX(Summary!$L$2:$L$201,MATCH($B1228,Summary!$A$2:$A$201,0))</f>
        <v>4</v>
      </c>
      <c r="Q1228" s="3" t="n">
        <f aca="false">INDEX(Summary!$M$2:$M$201,MATCH($B1228,Summary!$A$2:$A$201,0))</f>
        <v>2</v>
      </c>
      <c r="R1228" s="2" t="n">
        <f aca="false">INDEX(Summary!$N$2:$N$201,MATCH($B1228,Summary!$A$2:$A$201,0))</f>
        <v>9.54</v>
      </c>
      <c r="S1228" s="3" t="n">
        <f aca="false">INDEX(Summary!$O$2:$O$201,MATCH($B1228,Summary!$A$2:$A$201,0))</f>
        <v>8</v>
      </c>
      <c r="T1228" s="3" t="n">
        <f aca="false">INDEX(Summary!$P$2:$P$201,MATCH($B1228,Summary!$A$2:$A$201,0))</f>
        <v>1</v>
      </c>
      <c r="U1228" s="2" t="n">
        <f aca="false">INDEX(Summary!$Q$2:$Q$201,MATCH($B1228,Summary!$A$2:$A$201,0))</f>
        <v>13.23</v>
      </c>
      <c r="V1228" s="2" t="n">
        <f aca="false">INDEX(Summary!$R$2:$R$201,MATCH($B1228,Summary!$A$2:$A$201,0))</f>
        <v>21.62</v>
      </c>
      <c r="W1228" s="0" t="str">
        <f aca="false">INDEX(Summary!$S$2:$S$201,MATCH($B1228,Summary!$A$2:$A$201,0))</f>
        <v>Silver</v>
      </c>
      <c r="X1228" s="2" t="n">
        <f aca="false">INDEX(Summary!$T$2:$T$201,MATCH($B1228,Summary!$A$2:$A$201,0))</f>
        <v>52.73</v>
      </c>
      <c r="Y1228" s="0" t="str">
        <f aca="false">INDEX('Reward Model'!$E$18:$E$37,MATCH($E1228,'Reward Model'!$A$18:$A$37,0))</f>
        <v>Low</v>
      </c>
      <c r="Z1228" s="4" t="n">
        <f aca="false">ROUND(MIN(1,MAX('Reward Model'!$B$2,INDEX('Reward Model'!$C$12:$C$14,MATCH($K1228,'Reward Model'!$A$12:$A$14,0))/$J1228)),3)</f>
        <v>1</v>
      </c>
      <c r="AA1228" s="2" t="n">
        <f aca="false">IF($I1228="Correct",ROUND(INDEX('Reward Model'!$B$12:$B$14,MATCH($K1228,'Reward Model'!$A$12:$A$14,0))*Z1228,2),0)</f>
        <v>1</v>
      </c>
      <c r="AB1228" s="2" t="n">
        <f aca="false">IF($I1228="Correct",ROUND(INDEX('Reward Model'!$B$12:$B$14,MATCH($Y1228,'Reward Model'!$A$12:$A$14,0))*Z1228,2),0)</f>
        <v>1</v>
      </c>
    </row>
    <row r="1229" customFormat="false" ht="15" hidden="false" customHeight="false" outlineLevel="0" collapsed="false">
      <c r="A1229" s="0" t="s">
        <v>251</v>
      </c>
      <c r="B1229" s="0" t="s">
        <v>252</v>
      </c>
      <c r="C1229" s="0" t="s">
        <v>30</v>
      </c>
      <c r="D1229" s="0" t="s">
        <v>189</v>
      </c>
      <c r="E1229" s="0" t="n">
        <v>8</v>
      </c>
      <c r="F1229" s="0" t="s">
        <v>52</v>
      </c>
      <c r="G1229" s="0" t="s">
        <v>54</v>
      </c>
      <c r="H1229" s="0" t="s">
        <v>54</v>
      </c>
      <c r="I1229" s="0" t="s">
        <v>34</v>
      </c>
      <c r="J1229" s="0" t="n">
        <v>1.95</v>
      </c>
      <c r="K1229" s="0" t="s">
        <v>35</v>
      </c>
      <c r="L1229" s="0" t="n">
        <f aca="false">INDEX(Summary!$F$2:$F$201,MATCH($B1229,Summary!$A$2:$A$201,0))</f>
        <v>20</v>
      </c>
      <c r="M1229" s="0" t="n">
        <f aca="false">INDEX(Summary!$I$2:$I$201,MATCH($B1229,Summary!$A$2:$A$201,0))</f>
        <v>1</v>
      </c>
      <c r="N1229" s="0" t="n">
        <f aca="false">INDEX(Summary!$J$2:$J$201,MATCH($B1229,Summary!$A$2:$A$201,0))</f>
        <v>4</v>
      </c>
      <c r="O1229" s="2" t="n">
        <f aca="false">INDEX(Summary!$K$2:$K$201,MATCH($B1229,Summary!$A$2:$A$201,0))</f>
        <v>9.18</v>
      </c>
      <c r="P1229" s="3" t="n">
        <f aca="false">INDEX(Summary!$L$2:$L$201,MATCH($B1229,Summary!$A$2:$A$201,0))</f>
        <v>4</v>
      </c>
      <c r="Q1229" s="3" t="n">
        <f aca="false">INDEX(Summary!$M$2:$M$201,MATCH($B1229,Summary!$A$2:$A$201,0))</f>
        <v>2</v>
      </c>
      <c r="R1229" s="2" t="n">
        <f aca="false">INDEX(Summary!$N$2:$N$201,MATCH($B1229,Summary!$A$2:$A$201,0))</f>
        <v>9.54</v>
      </c>
      <c r="S1229" s="3" t="n">
        <f aca="false">INDEX(Summary!$O$2:$O$201,MATCH($B1229,Summary!$A$2:$A$201,0))</f>
        <v>8</v>
      </c>
      <c r="T1229" s="3" t="n">
        <f aca="false">INDEX(Summary!$P$2:$P$201,MATCH($B1229,Summary!$A$2:$A$201,0))</f>
        <v>1</v>
      </c>
      <c r="U1229" s="2" t="n">
        <f aca="false">INDEX(Summary!$Q$2:$Q$201,MATCH($B1229,Summary!$A$2:$A$201,0))</f>
        <v>13.23</v>
      </c>
      <c r="V1229" s="2" t="n">
        <f aca="false">INDEX(Summary!$R$2:$R$201,MATCH($B1229,Summary!$A$2:$A$201,0))</f>
        <v>21.62</v>
      </c>
      <c r="W1229" s="0" t="str">
        <f aca="false">INDEX(Summary!$S$2:$S$201,MATCH($B1229,Summary!$A$2:$A$201,0))</f>
        <v>Silver</v>
      </c>
      <c r="X1229" s="2" t="n">
        <f aca="false">INDEX(Summary!$T$2:$T$201,MATCH($B1229,Summary!$A$2:$A$201,0))</f>
        <v>52.73</v>
      </c>
      <c r="Y1229" s="0" t="str">
        <f aca="false">INDEX('Reward Model'!$E$18:$E$37,MATCH($E1229,'Reward Model'!$A$18:$A$37,0))</f>
        <v>Medium</v>
      </c>
      <c r="Z1229" s="4" t="n">
        <f aca="false">ROUND(MIN(1,MAX('Reward Model'!$B$2,INDEX('Reward Model'!$C$12:$C$14,MATCH($K1229,'Reward Model'!$A$12:$A$14,0))/$J1229)),3)</f>
        <v>0.769</v>
      </c>
      <c r="AA1229" s="2" t="n">
        <f aca="false">IF($I1229="Correct",ROUND(INDEX('Reward Model'!$B$12:$B$14,MATCH($K1229,'Reward Model'!$A$12:$A$14,0))*Z1229,2),0)</f>
        <v>0.77</v>
      </c>
      <c r="AB1229" s="2" t="n">
        <f aca="false">IF($I1229="Correct",ROUND(INDEX('Reward Model'!$B$12:$B$14,MATCH($Y1229,'Reward Model'!$A$12:$A$14,0))*Z1229,2),0)</f>
        <v>1.54</v>
      </c>
    </row>
    <row r="1230" customFormat="false" ht="15" hidden="false" customHeight="false" outlineLevel="0" collapsed="false">
      <c r="A1230" s="0" t="s">
        <v>251</v>
      </c>
      <c r="B1230" s="0" t="s">
        <v>252</v>
      </c>
      <c r="C1230" s="0" t="s">
        <v>30</v>
      </c>
      <c r="D1230" s="0" t="s">
        <v>189</v>
      </c>
      <c r="E1230" s="0" t="n">
        <v>9</v>
      </c>
      <c r="F1230" s="0" t="s">
        <v>55</v>
      </c>
      <c r="G1230" s="0" t="s">
        <v>57</v>
      </c>
      <c r="H1230" s="0" t="s">
        <v>57</v>
      </c>
      <c r="I1230" s="0" t="s">
        <v>34</v>
      </c>
      <c r="J1230" s="0" t="n">
        <v>1.27</v>
      </c>
      <c r="K1230" s="0" t="s">
        <v>35</v>
      </c>
      <c r="L1230" s="0" t="n">
        <f aca="false">INDEX(Summary!$F$2:$F$201,MATCH($B1230,Summary!$A$2:$A$201,0))</f>
        <v>20</v>
      </c>
      <c r="M1230" s="0" t="n">
        <f aca="false">INDEX(Summary!$I$2:$I$201,MATCH($B1230,Summary!$A$2:$A$201,0))</f>
        <v>1</v>
      </c>
      <c r="N1230" s="0" t="n">
        <f aca="false">INDEX(Summary!$J$2:$J$201,MATCH($B1230,Summary!$A$2:$A$201,0))</f>
        <v>4</v>
      </c>
      <c r="O1230" s="2" t="n">
        <f aca="false">INDEX(Summary!$K$2:$K$201,MATCH($B1230,Summary!$A$2:$A$201,0))</f>
        <v>9.18</v>
      </c>
      <c r="P1230" s="3" t="n">
        <f aca="false">INDEX(Summary!$L$2:$L$201,MATCH($B1230,Summary!$A$2:$A$201,0))</f>
        <v>4</v>
      </c>
      <c r="Q1230" s="3" t="n">
        <f aca="false">INDEX(Summary!$M$2:$M$201,MATCH($B1230,Summary!$A$2:$A$201,0))</f>
        <v>2</v>
      </c>
      <c r="R1230" s="2" t="n">
        <f aca="false">INDEX(Summary!$N$2:$N$201,MATCH($B1230,Summary!$A$2:$A$201,0))</f>
        <v>9.54</v>
      </c>
      <c r="S1230" s="3" t="n">
        <f aca="false">INDEX(Summary!$O$2:$O$201,MATCH($B1230,Summary!$A$2:$A$201,0))</f>
        <v>8</v>
      </c>
      <c r="T1230" s="3" t="n">
        <f aca="false">INDEX(Summary!$P$2:$P$201,MATCH($B1230,Summary!$A$2:$A$201,0))</f>
        <v>1</v>
      </c>
      <c r="U1230" s="2" t="n">
        <f aca="false">INDEX(Summary!$Q$2:$Q$201,MATCH($B1230,Summary!$A$2:$A$201,0))</f>
        <v>13.23</v>
      </c>
      <c r="V1230" s="2" t="n">
        <f aca="false">INDEX(Summary!$R$2:$R$201,MATCH($B1230,Summary!$A$2:$A$201,0))</f>
        <v>21.62</v>
      </c>
      <c r="W1230" s="0" t="str">
        <f aca="false">INDEX(Summary!$S$2:$S$201,MATCH($B1230,Summary!$A$2:$A$201,0))</f>
        <v>Silver</v>
      </c>
      <c r="X1230" s="2" t="n">
        <f aca="false">INDEX(Summary!$T$2:$T$201,MATCH($B1230,Summary!$A$2:$A$201,0))</f>
        <v>52.73</v>
      </c>
      <c r="Y1230" s="0" t="str">
        <f aca="false">INDEX('Reward Model'!$E$18:$E$37,MATCH($E1230,'Reward Model'!$A$18:$A$37,0))</f>
        <v>Medium</v>
      </c>
      <c r="Z1230" s="4" t="n">
        <f aca="false">ROUND(MIN(1,MAX('Reward Model'!$B$2,INDEX('Reward Model'!$C$12:$C$14,MATCH($K1230,'Reward Model'!$A$12:$A$14,0))/$J1230)),3)</f>
        <v>1</v>
      </c>
      <c r="AA1230" s="2" t="n">
        <f aca="false">IF($I1230="Correct",ROUND(INDEX('Reward Model'!$B$12:$B$14,MATCH($K1230,'Reward Model'!$A$12:$A$14,0))*Z1230,2),0)</f>
        <v>1</v>
      </c>
      <c r="AB1230" s="2" t="n">
        <f aca="false">IF($I1230="Correct",ROUND(INDEX('Reward Model'!$B$12:$B$14,MATCH($Y1230,'Reward Model'!$A$12:$A$14,0))*Z1230,2),0)</f>
        <v>2</v>
      </c>
    </row>
    <row r="1231" customFormat="false" ht="15" hidden="false" customHeight="false" outlineLevel="0" collapsed="false">
      <c r="A1231" s="0" t="s">
        <v>251</v>
      </c>
      <c r="B1231" s="0" t="s">
        <v>252</v>
      </c>
      <c r="C1231" s="0" t="s">
        <v>30</v>
      </c>
      <c r="D1231" s="0" t="s">
        <v>189</v>
      </c>
      <c r="E1231" s="0" t="n">
        <v>10</v>
      </c>
      <c r="F1231" s="0" t="s">
        <v>58</v>
      </c>
      <c r="G1231" s="0" t="s">
        <v>59</v>
      </c>
      <c r="H1231" s="0" t="s">
        <v>59</v>
      </c>
      <c r="I1231" s="0" t="s">
        <v>34</v>
      </c>
      <c r="J1231" s="0" t="n">
        <v>2.26</v>
      </c>
      <c r="K1231" s="0" t="s">
        <v>60</v>
      </c>
      <c r="L1231" s="0" t="n">
        <f aca="false">INDEX(Summary!$F$2:$F$201,MATCH($B1231,Summary!$A$2:$A$201,0))</f>
        <v>20</v>
      </c>
      <c r="M1231" s="0" t="n">
        <f aca="false">INDEX(Summary!$I$2:$I$201,MATCH($B1231,Summary!$A$2:$A$201,0))</f>
        <v>1</v>
      </c>
      <c r="N1231" s="0" t="n">
        <f aca="false">INDEX(Summary!$J$2:$J$201,MATCH($B1231,Summary!$A$2:$A$201,0))</f>
        <v>4</v>
      </c>
      <c r="O1231" s="2" t="n">
        <f aca="false">INDEX(Summary!$K$2:$K$201,MATCH($B1231,Summary!$A$2:$A$201,0))</f>
        <v>9.18</v>
      </c>
      <c r="P1231" s="3" t="n">
        <f aca="false">INDEX(Summary!$L$2:$L$201,MATCH($B1231,Summary!$A$2:$A$201,0))</f>
        <v>4</v>
      </c>
      <c r="Q1231" s="3" t="n">
        <f aca="false">INDEX(Summary!$M$2:$M$201,MATCH($B1231,Summary!$A$2:$A$201,0))</f>
        <v>2</v>
      </c>
      <c r="R1231" s="2" t="n">
        <f aca="false">INDEX(Summary!$N$2:$N$201,MATCH($B1231,Summary!$A$2:$A$201,0))</f>
        <v>9.54</v>
      </c>
      <c r="S1231" s="3" t="n">
        <f aca="false">INDEX(Summary!$O$2:$O$201,MATCH($B1231,Summary!$A$2:$A$201,0))</f>
        <v>8</v>
      </c>
      <c r="T1231" s="3" t="n">
        <f aca="false">INDEX(Summary!$P$2:$P$201,MATCH($B1231,Summary!$A$2:$A$201,0))</f>
        <v>1</v>
      </c>
      <c r="U1231" s="2" t="n">
        <f aca="false">INDEX(Summary!$Q$2:$Q$201,MATCH($B1231,Summary!$A$2:$A$201,0))</f>
        <v>13.23</v>
      </c>
      <c r="V1231" s="2" t="n">
        <f aca="false">INDEX(Summary!$R$2:$R$201,MATCH($B1231,Summary!$A$2:$A$201,0))</f>
        <v>21.62</v>
      </c>
      <c r="W1231" s="0" t="str">
        <f aca="false">INDEX(Summary!$S$2:$S$201,MATCH($B1231,Summary!$A$2:$A$201,0))</f>
        <v>Silver</v>
      </c>
      <c r="X1231" s="2" t="n">
        <f aca="false">INDEX(Summary!$T$2:$T$201,MATCH($B1231,Summary!$A$2:$A$201,0))</f>
        <v>52.73</v>
      </c>
      <c r="Y1231" s="0" t="str">
        <f aca="false">INDEX('Reward Model'!$E$18:$E$37,MATCH($E1231,'Reward Model'!$A$18:$A$37,0))</f>
        <v>Medium</v>
      </c>
      <c r="Z1231" s="4" t="n">
        <f aca="false">ROUND(MIN(1,MAX('Reward Model'!$B$2,INDEX('Reward Model'!$C$12:$C$14,MATCH($K1231,'Reward Model'!$A$12:$A$14,0))/$J1231)),3)</f>
        <v>0.796</v>
      </c>
      <c r="AA1231" s="2" t="n">
        <f aca="false">IF($I1231="Correct",ROUND(INDEX('Reward Model'!$B$12:$B$14,MATCH($K1231,'Reward Model'!$A$12:$A$14,0))*Z1231,2),0)</f>
        <v>1.59</v>
      </c>
      <c r="AB1231" s="2" t="n">
        <f aca="false">IF($I1231="Correct",ROUND(INDEX('Reward Model'!$B$12:$B$14,MATCH($Y1231,'Reward Model'!$A$12:$A$14,0))*Z1231,2),0)</f>
        <v>1.59</v>
      </c>
    </row>
    <row r="1232" customFormat="false" ht="15" hidden="false" customHeight="false" outlineLevel="0" collapsed="false">
      <c r="A1232" s="0" t="s">
        <v>251</v>
      </c>
      <c r="B1232" s="0" t="s">
        <v>252</v>
      </c>
      <c r="C1232" s="0" t="s">
        <v>30</v>
      </c>
      <c r="D1232" s="0" t="s">
        <v>189</v>
      </c>
      <c r="E1232" s="0" t="n">
        <v>11</v>
      </c>
      <c r="F1232" s="0" t="s">
        <v>61</v>
      </c>
      <c r="G1232" s="0" t="s">
        <v>62</v>
      </c>
      <c r="H1232" s="0" t="s">
        <v>63</v>
      </c>
      <c r="I1232" s="0" t="s">
        <v>39</v>
      </c>
      <c r="J1232" s="0" t="n">
        <v>1.65</v>
      </c>
      <c r="K1232" s="0" t="s">
        <v>60</v>
      </c>
      <c r="L1232" s="0" t="n">
        <f aca="false">INDEX(Summary!$F$2:$F$201,MATCH($B1232,Summary!$A$2:$A$201,0))</f>
        <v>20</v>
      </c>
      <c r="M1232" s="0" t="n">
        <f aca="false">INDEX(Summary!$I$2:$I$201,MATCH($B1232,Summary!$A$2:$A$201,0))</f>
        <v>1</v>
      </c>
      <c r="N1232" s="0" t="n">
        <f aca="false">INDEX(Summary!$J$2:$J$201,MATCH($B1232,Summary!$A$2:$A$201,0))</f>
        <v>4</v>
      </c>
      <c r="O1232" s="2" t="n">
        <f aca="false">INDEX(Summary!$K$2:$K$201,MATCH($B1232,Summary!$A$2:$A$201,0))</f>
        <v>9.18</v>
      </c>
      <c r="P1232" s="3" t="n">
        <f aca="false">INDEX(Summary!$L$2:$L$201,MATCH($B1232,Summary!$A$2:$A$201,0))</f>
        <v>4</v>
      </c>
      <c r="Q1232" s="3" t="n">
        <f aca="false">INDEX(Summary!$M$2:$M$201,MATCH($B1232,Summary!$A$2:$A$201,0))</f>
        <v>2</v>
      </c>
      <c r="R1232" s="2" t="n">
        <f aca="false">INDEX(Summary!$N$2:$N$201,MATCH($B1232,Summary!$A$2:$A$201,0))</f>
        <v>9.54</v>
      </c>
      <c r="S1232" s="3" t="n">
        <f aca="false">INDEX(Summary!$O$2:$O$201,MATCH($B1232,Summary!$A$2:$A$201,0))</f>
        <v>8</v>
      </c>
      <c r="T1232" s="3" t="n">
        <f aca="false">INDEX(Summary!$P$2:$P$201,MATCH($B1232,Summary!$A$2:$A$201,0))</f>
        <v>1</v>
      </c>
      <c r="U1232" s="2" t="n">
        <f aca="false">INDEX(Summary!$Q$2:$Q$201,MATCH($B1232,Summary!$A$2:$A$201,0))</f>
        <v>13.23</v>
      </c>
      <c r="V1232" s="2" t="n">
        <f aca="false">INDEX(Summary!$R$2:$R$201,MATCH($B1232,Summary!$A$2:$A$201,0))</f>
        <v>21.62</v>
      </c>
      <c r="W1232" s="0" t="str">
        <f aca="false">INDEX(Summary!$S$2:$S$201,MATCH($B1232,Summary!$A$2:$A$201,0))</f>
        <v>Silver</v>
      </c>
      <c r="X1232" s="2" t="n">
        <f aca="false">INDEX(Summary!$T$2:$T$201,MATCH($B1232,Summary!$A$2:$A$201,0))</f>
        <v>52.73</v>
      </c>
      <c r="Y1232" s="0" t="str">
        <f aca="false">INDEX('Reward Model'!$E$18:$E$37,MATCH($E1232,'Reward Model'!$A$18:$A$37,0))</f>
        <v>Medium</v>
      </c>
      <c r="Z1232" s="4" t="n">
        <f aca="false">ROUND(MIN(1,MAX('Reward Model'!$B$2,INDEX('Reward Model'!$C$12:$C$14,MATCH($K1232,'Reward Model'!$A$12:$A$14,0))/$J1232)),3)</f>
        <v>1</v>
      </c>
      <c r="AA1232" s="2" t="n">
        <f aca="false">IF($I1232="Correct",ROUND(INDEX('Reward Model'!$B$12:$B$14,MATCH($K1232,'Reward Model'!$A$12:$A$14,0))*Z1232,2),0)</f>
        <v>0</v>
      </c>
      <c r="AB1232" s="2" t="n">
        <f aca="false">IF($I1232="Correct",ROUND(INDEX('Reward Model'!$B$12:$B$14,MATCH($Y1232,'Reward Model'!$A$12:$A$14,0))*Z1232,2),0)</f>
        <v>0</v>
      </c>
    </row>
    <row r="1233" customFormat="false" ht="15" hidden="false" customHeight="false" outlineLevel="0" collapsed="false">
      <c r="A1233" s="0" t="s">
        <v>251</v>
      </c>
      <c r="B1233" s="0" t="s">
        <v>252</v>
      </c>
      <c r="C1233" s="0" t="s">
        <v>30</v>
      </c>
      <c r="D1233" s="0" t="s">
        <v>189</v>
      </c>
      <c r="E1233" s="0" t="n">
        <v>12</v>
      </c>
      <c r="F1233" s="0" t="s">
        <v>64</v>
      </c>
      <c r="G1233" s="0" t="s">
        <v>65</v>
      </c>
      <c r="H1233" s="0" t="s">
        <v>65</v>
      </c>
      <c r="I1233" s="0" t="s">
        <v>34</v>
      </c>
      <c r="J1233" s="0" t="n">
        <v>1.23</v>
      </c>
      <c r="K1233" s="0" t="s">
        <v>60</v>
      </c>
      <c r="L1233" s="0" t="n">
        <f aca="false">INDEX(Summary!$F$2:$F$201,MATCH($B1233,Summary!$A$2:$A$201,0))</f>
        <v>20</v>
      </c>
      <c r="M1233" s="0" t="n">
        <f aca="false">INDEX(Summary!$I$2:$I$201,MATCH($B1233,Summary!$A$2:$A$201,0))</f>
        <v>1</v>
      </c>
      <c r="N1233" s="0" t="n">
        <f aca="false">INDEX(Summary!$J$2:$J$201,MATCH($B1233,Summary!$A$2:$A$201,0))</f>
        <v>4</v>
      </c>
      <c r="O1233" s="2" t="n">
        <f aca="false">INDEX(Summary!$K$2:$K$201,MATCH($B1233,Summary!$A$2:$A$201,0))</f>
        <v>9.18</v>
      </c>
      <c r="P1233" s="3" t="n">
        <f aca="false">INDEX(Summary!$L$2:$L$201,MATCH($B1233,Summary!$A$2:$A$201,0))</f>
        <v>4</v>
      </c>
      <c r="Q1233" s="3" t="n">
        <f aca="false">INDEX(Summary!$M$2:$M$201,MATCH($B1233,Summary!$A$2:$A$201,0))</f>
        <v>2</v>
      </c>
      <c r="R1233" s="2" t="n">
        <f aca="false">INDEX(Summary!$N$2:$N$201,MATCH($B1233,Summary!$A$2:$A$201,0))</f>
        <v>9.54</v>
      </c>
      <c r="S1233" s="3" t="n">
        <f aca="false">INDEX(Summary!$O$2:$O$201,MATCH($B1233,Summary!$A$2:$A$201,0))</f>
        <v>8</v>
      </c>
      <c r="T1233" s="3" t="n">
        <f aca="false">INDEX(Summary!$P$2:$P$201,MATCH($B1233,Summary!$A$2:$A$201,0))</f>
        <v>1</v>
      </c>
      <c r="U1233" s="2" t="n">
        <f aca="false">INDEX(Summary!$Q$2:$Q$201,MATCH($B1233,Summary!$A$2:$A$201,0))</f>
        <v>13.23</v>
      </c>
      <c r="V1233" s="2" t="n">
        <f aca="false">INDEX(Summary!$R$2:$R$201,MATCH($B1233,Summary!$A$2:$A$201,0))</f>
        <v>21.62</v>
      </c>
      <c r="W1233" s="0" t="str">
        <f aca="false">INDEX(Summary!$S$2:$S$201,MATCH($B1233,Summary!$A$2:$A$201,0))</f>
        <v>Silver</v>
      </c>
      <c r="X1233" s="2" t="n">
        <f aca="false">INDEX(Summary!$T$2:$T$201,MATCH($B1233,Summary!$A$2:$A$201,0))</f>
        <v>52.73</v>
      </c>
      <c r="Y1233" s="0" t="str">
        <f aca="false">INDEX('Reward Model'!$E$18:$E$37,MATCH($E1233,'Reward Model'!$A$18:$A$37,0))</f>
        <v>Medium</v>
      </c>
      <c r="Z1233" s="4" t="n">
        <f aca="false">ROUND(MIN(1,MAX('Reward Model'!$B$2,INDEX('Reward Model'!$C$12:$C$14,MATCH($K1233,'Reward Model'!$A$12:$A$14,0))/$J1233)),3)</f>
        <v>1</v>
      </c>
      <c r="AA1233" s="2" t="n">
        <f aca="false">IF($I1233="Correct",ROUND(INDEX('Reward Model'!$B$12:$B$14,MATCH($K1233,'Reward Model'!$A$12:$A$14,0))*Z1233,2),0)</f>
        <v>2</v>
      </c>
      <c r="AB1233" s="2" t="n">
        <f aca="false">IF($I1233="Correct",ROUND(INDEX('Reward Model'!$B$12:$B$14,MATCH($Y1233,'Reward Model'!$A$12:$A$14,0))*Z1233,2),0)</f>
        <v>2</v>
      </c>
    </row>
    <row r="1234" customFormat="false" ht="15" hidden="false" customHeight="false" outlineLevel="0" collapsed="false">
      <c r="A1234" s="0" t="s">
        <v>251</v>
      </c>
      <c r="B1234" s="0" t="s">
        <v>252</v>
      </c>
      <c r="C1234" s="0" t="s">
        <v>30</v>
      </c>
      <c r="D1234" s="0" t="s">
        <v>189</v>
      </c>
      <c r="E1234" s="0" t="n">
        <v>13</v>
      </c>
      <c r="F1234" s="0" t="s">
        <v>66</v>
      </c>
      <c r="G1234" s="0" t="s">
        <v>67</v>
      </c>
      <c r="H1234" s="0" t="s">
        <v>67</v>
      </c>
      <c r="I1234" s="0" t="s">
        <v>34</v>
      </c>
      <c r="J1234" s="0" t="n">
        <v>1.16</v>
      </c>
      <c r="K1234" s="0" t="s">
        <v>60</v>
      </c>
      <c r="L1234" s="0" t="n">
        <f aca="false">INDEX(Summary!$F$2:$F$201,MATCH($B1234,Summary!$A$2:$A$201,0))</f>
        <v>20</v>
      </c>
      <c r="M1234" s="0" t="n">
        <f aca="false">INDEX(Summary!$I$2:$I$201,MATCH($B1234,Summary!$A$2:$A$201,0))</f>
        <v>1</v>
      </c>
      <c r="N1234" s="0" t="n">
        <f aca="false">INDEX(Summary!$J$2:$J$201,MATCH($B1234,Summary!$A$2:$A$201,0))</f>
        <v>4</v>
      </c>
      <c r="O1234" s="2" t="n">
        <f aca="false">INDEX(Summary!$K$2:$K$201,MATCH($B1234,Summary!$A$2:$A$201,0))</f>
        <v>9.18</v>
      </c>
      <c r="P1234" s="3" t="n">
        <f aca="false">INDEX(Summary!$L$2:$L$201,MATCH($B1234,Summary!$A$2:$A$201,0))</f>
        <v>4</v>
      </c>
      <c r="Q1234" s="3" t="n">
        <f aca="false">INDEX(Summary!$M$2:$M$201,MATCH($B1234,Summary!$A$2:$A$201,0))</f>
        <v>2</v>
      </c>
      <c r="R1234" s="2" t="n">
        <f aca="false">INDEX(Summary!$N$2:$N$201,MATCH($B1234,Summary!$A$2:$A$201,0))</f>
        <v>9.54</v>
      </c>
      <c r="S1234" s="3" t="n">
        <f aca="false">INDEX(Summary!$O$2:$O$201,MATCH($B1234,Summary!$A$2:$A$201,0))</f>
        <v>8</v>
      </c>
      <c r="T1234" s="3" t="n">
        <f aca="false">INDEX(Summary!$P$2:$P$201,MATCH($B1234,Summary!$A$2:$A$201,0))</f>
        <v>1</v>
      </c>
      <c r="U1234" s="2" t="n">
        <f aca="false">INDEX(Summary!$Q$2:$Q$201,MATCH($B1234,Summary!$A$2:$A$201,0))</f>
        <v>13.23</v>
      </c>
      <c r="V1234" s="2" t="n">
        <f aca="false">INDEX(Summary!$R$2:$R$201,MATCH($B1234,Summary!$A$2:$A$201,0))</f>
        <v>21.62</v>
      </c>
      <c r="W1234" s="0" t="str">
        <f aca="false">INDEX(Summary!$S$2:$S$201,MATCH($B1234,Summary!$A$2:$A$201,0))</f>
        <v>Silver</v>
      </c>
      <c r="X1234" s="2" t="n">
        <f aca="false">INDEX(Summary!$T$2:$T$201,MATCH($B1234,Summary!$A$2:$A$201,0))</f>
        <v>52.73</v>
      </c>
      <c r="Y1234" s="0" t="str">
        <f aca="false">INDEX('Reward Model'!$E$18:$E$37,MATCH($E1234,'Reward Model'!$A$18:$A$37,0))</f>
        <v>Medium</v>
      </c>
      <c r="Z1234" s="4" t="n">
        <f aca="false">ROUND(MIN(1,MAX('Reward Model'!$B$2,INDEX('Reward Model'!$C$12:$C$14,MATCH($K1234,'Reward Model'!$A$12:$A$14,0))/$J1234)),3)</f>
        <v>1</v>
      </c>
      <c r="AA1234" s="2" t="n">
        <f aca="false">IF($I1234="Correct",ROUND(INDEX('Reward Model'!$B$12:$B$14,MATCH($K1234,'Reward Model'!$A$12:$A$14,0))*Z1234,2),0)</f>
        <v>2</v>
      </c>
      <c r="AB1234" s="2" t="n">
        <f aca="false">IF($I1234="Correct",ROUND(INDEX('Reward Model'!$B$12:$B$14,MATCH($Y1234,'Reward Model'!$A$12:$A$14,0))*Z1234,2),0)</f>
        <v>2</v>
      </c>
    </row>
    <row r="1235" customFormat="false" ht="15" hidden="false" customHeight="false" outlineLevel="0" collapsed="false">
      <c r="A1235" s="0" t="s">
        <v>251</v>
      </c>
      <c r="B1235" s="0" t="s">
        <v>252</v>
      </c>
      <c r="C1235" s="0" t="s">
        <v>30</v>
      </c>
      <c r="D1235" s="0" t="s">
        <v>189</v>
      </c>
      <c r="E1235" s="0" t="n">
        <v>14</v>
      </c>
      <c r="F1235" s="0" t="s">
        <v>68</v>
      </c>
      <c r="G1235" s="0" t="s">
        <v>51</v>
      </c>
      <c r="H1235" s="0" t="s">
        <v>51</v>
      </c>
      <c r="I1235" s="0" t="s">
        <v>34</v>
      </c>
      <c r="J1235" s="0" t="n">
        <v>1.23</v>
      </c>
      <c r="K1235" s="0" t="s">
        <v>60</v>
      </c>
      <c r="L1235" s="0" t="n">
        <f aca="false">INDEX(Summary!$F$2:$F$201,MATCH($B1235,Summary!$A$2:$A$201,0))</f>
        <v>20</v>
      </c>
      <c r="M1235" s="0" t="n">
        <f aca="false">INDEX(Summary!$I$2:$I$201,MATCH($B1235,Summary!$A$2:$A$201,0))</f>
        <v>1</v>
      </c>
      <c r="N1235" s="0" t="n">
        <f aca="false">INDEX(Summary!$J$2:$J$201,MATCH($B1235,Summary!$A$2:$A$201,0))</f>
        <v>4</v>
      </c>
      <c r="O1235" s="2" t="n">
        <f aca="false">INDEX(Summary!$K$2:$K$201,MATCH($B1235,Summary!$A$2:$A$201,0))</f>
        <v>9.18</v>
      </c>
      <c r="P1235" s="3" t="n">
        <f aca="false">INDEX(Summary!$L$2:$L$201,MATCH($B1235,Summary!$A$2:$A$201,0))</f>
        <v>4</v>
      </c>
      <c r="Q1235" s="3" t="n">
        <f aca="false">INDEX(Summary!$M$2:$M$201,MATCH($B1235,Summary!$A$2:$A$201,0))</f>
        <v>2</v>
      </c>
      <c r="R1235" s="2" t="n">
        <f aca="false">INDEX(Summary!$N$2:$N$201,MATCH($B1235,Summary!$A$2:$A$201,0))</f>
        <v>9.54</v>
      </c>
      <c r="S1235" s="3" t="n">
        <f aca="false">INDEX(Summary!$O$2:$O$201,MATCH($B1235,Summary!$A$2:$A$201,0))</f>
        <v>8</v>
      </c>
      <c r="T1235" s="3" t="n">
        <f aca="false">INDEX(Summary!$P$2:$P$201,MATCH($B1235,Summary!$A$2:$A$201,0))</f>
        <v>1</v>
      </c>
      <c r="U1235" s="2" t="n">
        <f aca="false">INDEX(Summary!$Q$2:$Q$201,MATCH($B1235,Summary!$A$2:$A$201,0))</f>
        <v>13.23</v>
      </c>
      <c r="V1235" s="2" t="n">
        <f aca="false">INDEX(Summary!$R$2:$R$201,MATCH($B1235,Summary!$A$2:$A$201,0))</f>
        <v>21.62</v>
      </c>
      <c r="W1235" s="0" t="str">
        <f aca="false">INDEX(Summary!$S$2:$S$201,MATCH($B1235,Summary!$A$2:$A$201,0))</f>
        <v>Silver</v>
      </c>
      <c r="X1235" s="2" t="n">
        <f aca="false">INDEX(Summary!$T$2:$T$201,MATCH($B1235,Summary!$A$2:$A$201,0))</f>
        <v>52.73</v>
      </c>
      <c r="Y1235" s="0" t="str">
        <f aca="false">INDEX('Reward Model'!$E$18:$E$37,MATCH($E1235,'Reward Model'!$A$18:$A$37,0))</f>
        <v>Medium</v>
      </c>
      <c r="Z1235" s="4" t="n">
        <f aca="false">ROUND(MIN(1,MAX('Reward Model'!$B$2,INDEX('Reward Model'!$C$12:$C$14,MATCH($K1235,'Reward Model'!$A$12:$A$14,0))/$J1235)),3)</f>
        <v>1</v>
      </c>
      <c r="AA1235" s="2" t="n">
        <f aca="false">IF($I1235="Correct",ROUND(INDEX('Reward Model'!$B$12:$B$14,MATCH($K1235,'Reward Model'!$A$12:$A$14,0))*Z1235,2),0)</f>
        <v>2</v>
      </c>
      <c r="AB1235" s="2" t="n">
        <f aca="false">IF($I1235="Correct",ROUND(INDEX('Reward Model'!$B$12:$B$14,MATCH($Y1235,'Reward Model'!$A$12:$A$14,0))*Z1235,2),0)</f>
        <v>2</v>
      </c>
    </row>
    <row r="1236" customFormat="false" ht="15" hidden="false" customHeight="false" outlineLevel="0" collapsed="false">
      <c r="A1236" s="0" t="s">
        <v>251</v>
      </c>
      <c r="B1236" s="0" t="s">
        <v>252</v>
      </c>
      <c r="C1236" s="0" t="s">
        <v>30</v>
      </c>
      <c r="D1236" s="0" t="s">
        <v>189</v>
      </c>
      <c r="E1236" s="0" t="n">
        <v>15</v>
      </c>
      <c r="F1236" s="0" t="s">
        <v>69</v>
      </c>
      <c r="G1236" s="0" t="s">
        <v>139</v>
      </c>
      <c r="H1236" s="0" t="s">
        <v>70</v>
      </c>
      <c r="I1236" s="0" t="s">
        <v>39</v>
      </c>
      <c r="J1236" s="0" t="n">
        <v>2.01</v>
      </c>
      <c r="K1236" s="0" t="s">
        <v>60</v>
      </c>
      <c r="L1236" s="0" t="n">
        <f aca="false">INDEX(Summary!$F$2:$F$201,MATCH($B1236,Summary!$A$2:$A$201,0))</f>
        <v>20</v>
      </c>
      <c r="M1236" s="0" t="n">
        <f aca="false">INDEX(Summary!$I$2:$I$201,MATCH($B1236,Summary!$A$2:$A$201,0))</f>
        <v>1</v>
      </c>
      <c r="N1236" s="0" t="n">
        <f aca="false">INDEX(Summary!$J$2:$J$201,MATCH($B1236,Summary!$A$2:$A$201,0))</f>
        <v>4</v>
      </c>
      <c r="O1236" s="2" t="n">
        <f aca="false">INDEX(Summary!$K$2:$K$201,MATCH($B1236,Summary!$A$2:$A$201,0))</f>
        <v>9.18</v>
      </c>
      <c r="P1236" s="3" t="n">
        <f aca="false">INDEX(Summary!$L$2:$L$201,MATCH($B1236,Summary!$A$2:$A$201,0))</f>
        <v>4</v>
      </c>
      <c r="Q1236" s="3" t="n">
        <f aca="false">INDEX(Summary!$M$2:$M$201,MATCH($B1236,Summary!$A$2:$A$201,0))</f>
        <v>2</v>
      </c>
      <c r="R1236" s="2" t="n">
        <f aca="false">INDEX(Summary!$N$2:$N$201,MATCH($B1236,Summary!$A$2:$A$201,0))</f>
        <v>9.54</v>
      </c>
      <c r="S1236" s="3" t="n">
        <f aca="false">INDEX(Summary!$O$2:$O$201,MATCH($B1236,Summary!$A$2:$A$201,0))</f>
        <v>8</v>
      </c>
      <c r="T1236" s="3" t="n">
        <f aca="false">INDEX(Summary!$P$2:$P$201,MATCH($B1236,Summary!$A$2:$A$201,0))</f>
        <v>1</v>
      </c>
      <c r="U1236" s="2" t="n">
        <f aca="false">INDEX(Summary!$Q$2:$Q$201,MATCH($B1236,Summary!$A$2:$A$201,0))</f>
        <v>13.23</v>
      </c>
      <c r="V1236" s="2" t="n">
        <f aca="false">INDEX(Summary!$R$2:$R$201,MATCH($B1236,Summary!$A$2:$A$201,0))</f>
        <v>21.62</v>
      </c>
      <c r="W1236" s="0" t="str">
        <f aca="false">INDEX(Summary!$S$2:$S$201,MATCH($B1236,Summary!$A$2:$A$201,0))</f>
        <v>Silver</v>
      </c>
      <c r="X1236" s="2" t="n">
        <f aca="false">INDEX(Summary!$T$2:$T$201,MATCH($B1236,Summary!$A$2:$A$201,0))</f>
        <v>52.73</v>
      </c>
      <c r="Y1236" s="0" t="str">
        <f aca="false">INDEX('Reward Model'!$E$18:$E$37,MATCH($E1236,'Reward Model'!$A$18:$A$37,0))</f>
        <v>Medium</v>
      </c>
      <c r="Z1236" s="4" t="n">
        <f aca="false">ROUND(MIN(1,MAX('Reward Model'!$B$2,INDEX('Reward Model'!$C$12:$C$14,MATCH($K1236,'Reward Model'!$A$12:$A$14,0))/$J1236)),3)</f>
        <v>0.896</v>
      </c>
      <c r="AA1236" s="2" t="n">
        <f aca="false">IF($I1236="Correct",ROUND(INDEX('Reward Model'!$B$12:$B$14,MATCH($K1236,'Reward Model'!$A$12:$A$14,0))*Z1236,2),0)</f>
        <v>0</v>
      </c>
      <c r="AB1236" s="2" t="n">
        <f aca="false">IF($I1236="Correct",ROUND(INDEX('Reward Model'!$B$12:$B$14,MATCH($Y1236,'Reward Model'!$A$12:$A$14,0))*Z1236,2),0)</f>
        <v>0</v>
      </c>
    </row>
    <row r="1237" customFormat="false" ht="15" hidden="false" customHeight="false" outlineLevel="0" collapsed="false">
      <c r="A1237" s="0" t="s">
        <v>251</v>
      </c>
      <c r="B1237" s="0" t="s">
        <v>252</v>
      </c>
      <c r="C1237" s="0" t="s">
        <v>30</v>
      </c>
      <c r="D1237" s="0" t="s">
        <v>189</v>
      </c>
      <c r="E1237" s="0" t="n">
        <v>16</v>
      </c>
      <c r="F1237" s="0" t="s">
        <v>71</v>
      </c>
      <c r="G1237" s="0" t="s">
        <v>101</v>
      </c>
      <c r="H1237" s="0" t="s">
        <v>72</v>
      </c>
      <c r="I1237" s="0" t="s">
        <v>39</v>
      </c>
      <c r="J1237" s="0" t="n">
        <v>1.84</v>
      </c>
      <c r="K1237" s="0" t="s">
        <v>73</v>
      </c>
      <c r="L1237" s="0" t="n">
        <f aca="false">INDEX(Summary!$F$2:$F$201,MATCH($B1237,Summary!$A$2:$A$201,0))</f>
        <v>20</v>
      </c>
      <c r="M1237" s="0" t="n">
        <f aca="false">INDEX(Summary!$I$2:$I$201,MATCH($B1237,Summary!$A$2:$A$201,0))</f>
        <v>1</v>
      </c>
      <c r="N1237" s="0" t="n">
        <f aca="false">INDEX(Summary!$J$2:$J$201,MATCH($B1237,Summary!$A$2:$A$201,0))</f>
        <v>4</v>
      </c>
      <c r="O1237" s="2" t="n">
        <f aca="false">INDEX(Summary!$K$2:$K$201,MATCH($B1237,Summary!$A$2:$A$201,0))</f>
        <v>9.18</v>
      </c>
      <c r="P1237" s="3" t="n">
        <f aca="false">INDEX(Summary!$L$2:$L$201,MATCH($B1237,Summary!$A$2:$A$201,0))</f>
        <v>4</v>
      </c>
      <c r="Q1237" s="3" t="n">
        <f aca="false">INDEX(Summary!$M$2:$M$201,MATCH($B1237,Summary!$A$2:$A$201,0))</f>
        <v>2</v>
      </c>
      <c r="R1237" s="2" t="n">
        <f aca="false">INDEX(Summary!$N$2:$N$201,MATCH($B1237,Summary!$A$2:$A$201,0))</f>
        <v>9.54</v>
      </c>
      <c r="S1237" s="3" t="n">
        <f aca="false">INDEX(Summary!$O$2:$O$201,MATCH($B1237,Summary!$A$2:$A$201,0))</f>
        <v>8</v>
      </c>
      <c r="T1237" s="3" t="n">
        <f aca="false">INDEX(Summary!$P$2:$P$201,MATCH($B1237,Summary!$A$2:$A$201,0))</f>
        <v>1</v>
      </c>
      <c r="U1237" s="2" t="n">
        <f aca="false">INDEX(Summary!$Q$2:$Q$201,MATCH($B1237,Summary!$A$2:$A$201,0))</f>
        <v>13.23</v>
      </c>
      <c r="V1237" s="2" t="n">
        <f aca="false">INDEX(Summary!$R$2:$R$201,MATCH($B1237,Summary!$A$2:$A$201,0))</f>
        <v>21.62</v>
      </c>
      <c r="W1237" s="0" t="str">
        <f aca="false">INDEX(Summary!$S$2:$S$201,MATCH($B1237,Summary!$A$2:$A$201,0))</f>
        <v>Silver</v>
      </c>
      <c r="X1237" s="2" t="n">
        <f aca="false">INDEX(Summary!$T$2:$T$201,MATCH($B1237,Summary!$A$2:$A$201,0))</f>
        <v>52.73</v>
      </c>
      <c r="Y1237" s="0" t="str">
        <f aca="false">INDEX('Reward Model'!$E$18:$E$37,MATCH($E1237,'Reward Model'!$A$18:$A$37,0))</f>
        <v>High</v>
      </c>
      <c r="Z1237" s="4" t="n">
        <f aca="false">ROUND(MIN(1,MAX('Reward Model'!$B$2,INDEX('Reward Model'!$C$12:$C$14,MATCH($K1237,'Reward Model'!$A$12:$A$14,0))/$J1237)),3)</f>
        <v>1</v>
      </c>
      <c r="AA1237" s="2" t="n">
        <f aca="false">IF($I1237="Correct",ROUND(INDEX('Reward Model'!$B$12:$B$14,MATCH($K1237,'Reward Model'!$A$12:$A$14,0))*Z1237,2),0)</f>
        <v>0</v>
      </c>
      <c r="AB1237" s="2" t="n">
        <f aca="false">IF($I1237="Correct",ROUND(INDEX('Reward Model'!$B$12:$B$14,MATCH($Y1237,'Reward Model'!$A$12:$A$14,0))*Z1237,2),0)</f>
        <v>0</v>
      </c>
    </row>
    <row r="1238" customFormat="false" ht="15" hidden="false" customHeight="false" outlineLevel="0" collapsed="false">
      <c r="A1238" s="0" t="s">
        <v>251</v>
      </c>
      <c r="B1238" s="0" t="s">
        <v>252</v>
      </c>
      <c r="C1238" s="0" t="s">
        <v>30</v>
      </c>
      <c r="D1238" s="0" t="s">
        <v>189</v>
      </c>
      <c r="E1238" s="0" t="n">
        <v>17</v>
      </c>
      <c r="F1238" s="0" t="s">
        <v>74</v>
      </c>
      <c r="G1238" s="0" t="s">
        <v>105</v>
      </c>
      <c r="H1238" s="0" t="s">
        <v>75</v>
      </c>
      <c r="I1238" s="0" t="s">
        <v>39</v>
      </c>
      <c r="J1238" s="0" t="n">
        <v>1.21</v>
      </c>
      <c r="K1238" s="0" t="s">
        <v>73</v>
      </c>
      <c r="L1238" s="0" t="n">
        <f aca="false">INDEX(Summary!$F$2:$F$201,MATCH($B1238,Summary!$A$2:$A$201,0))</f>
        <v>20</v>
      </c>
      <c r="M1238" s="0" t="n">
        <f aca="false">INDEX(Summary!$I$2:$I$201,MATCH($B1238,Summary!$A$2:$A$201,0))</f>
        <v>1</v>
      </c>
      <c r="N1238" s="0" t="n">
        <f aca="false">INDEX(Summary!$J$2:$J$201,MATCH($B1238,Summary!$A$2:$A$201,0))</f>
        <v>4</v>
      </c>
      <c r="O1238" s="2" t="n">
        <f aca="false">INDEX(Summary!$K$2:$K$201,MATCH($B1238,Summary!$A$2:$A$201,0))</f>
        <v>9.18</v>
      </c>
      <c r="P1238" s="3" t="n">
        <f aca="false">INDEX(Summary!$L$2:$L$201,MATCH($B1238,Summary!$A$2:$A$201,0))</f>
        <v>4</v>
      </c>
      <c r="Q1238" s="3" t="n">
        <f aca="false">INDEX(Summary!$M$2:$M$201,MATCH($B1238,Summary!$A$2:$A$201,0))</f>
        <v>2</v>
      </c>
      <c r="R1238" s="2" t="n">
        <f aca="false">INDEX(Summary!$N$2:$N$201,MATCH($B1238,Summary!$A$2:$A$201,0))</f>
        <v>9.54</v>
      </c>
      <c r="S1238" s="3" t="n">
        <f aca="false">INDEX(Summary!$O$2:$O$201,MATCH($B1238,Summary!$A$2:$A$201,0))</f>
        <v>8</v>
      </c>
      <c r="T1238" s="3" t="n">
        <f aca="false">INDEX(Summary!$P$2:$P$201,MATCH($B1238,Summary!$A$2:$A$201,0))</f>
        <v>1</v>
      </c>
      <c r="U1238" s="2" t="n">
        <f aca="false">INDEX(Summary!$Q$2:$Q$201,MATCH($B1238,Summary!$A$2:$A$201,0))</f>
        <v>13.23</v>
      </c>
      <c r="V1238" s="2" t="n">
        <f aca="false">INDEX(Summary!$R$2:$R$201,MATCH($B1238,Summary!$A$2:$A$201,0))</f>
        <v>21.62</v>
      </c>
      <c r="W1238" s="0" t="str">
        <f aca="false">INDEX(Summary!$S$2:$S$201,MATCH($B1238,Summary!$A$2:$A$201,0))</f>
        <v>Silver</v>
      </c>
      <c r="X1238" s="2" t="n">
        <f aca="false">INDEX(Summary!$T$2:$T$201,MATCH($B1238,Summary!$A$2:$A$201,0))</f>
        <v>52.73</v>
      </c>
      <c r="Y1238" s="0" t="str">
        <f aca="false">INDEX('Reward Model'!$E$18:$E$37,MATCH($E1238,'Reward Model'!$A$18:$A$37,0))</f>
        <v>High</v>
      </c>
      <c r="Z1238" s="4" t="n">
        <f aca="false">ROUND(MIN(1,MAX('Reward Model'!$B$2,INDEX('Reward Model'!$C$12:$C$14,MATCH($K1238,'Reward Model'!$A$12:$A$14,0))/$J1238)),3)</f>
        <v>1</v>
      </c>
      <c r="AA1238" s="2" t="n">
        <f aca="false">IF($I1238="Correct",ROUND(INDEX('Reward Model'!$B$12:$B$14,MATCH($K1238,'Reward Model'!$A$12:$A$14,0))*Z1238,2),0)</f>
        <v>0</v>
      </c>
      <c r="AB1238" s="2" t="n">
        <f aca="false">IF($I1238="Correct",ROUND(INDEX('Reward Model'!$B$12:$B$14,MATCH($Y1238,'Reward Model'!$A$12:$A$14,0))*Z1238,2),0)</f>
        <v>0</v>
      </c>
    </row>
    <row r="1239" customFormat="false" ht="15" hidden="false" customHeight="false" outlineLevel="0" collapsed="false">
      <c r="A1239" s="0" t="s">
        <v>251</v>
      </c>
      <c r="B1239" s="0" t="s">
        <v>252</v>
      </c>
      <c r="C1239" s="0" t="s">
        <v>30</v>
      </c>
      <c r="D1239" s="0" t="s">
        <v>189</v>
      </c>
      <c r="E1239" s="0" t="n">
        <v>18</v>
      </c>
      <c r="F1239" s="0" t="s">
        <v>76</v>
      </c>
      <c r="G1239" s="0" t="s">
        <v>88</v>
      </c>
      <c r="H1239" s="0" t="s">
        <v>77</v>
      </c>
      <c r="I1239" s="0" t="s">
        <v>39</v>
      </c>
      <c r="J1239" s="0" t="n">
        <v>1.4</v>
      </c>
      <c r="K1239" s="0" t="s">
        <v>73</v>
      </c>
      <c r="L1239" s="0" t="n">
        <f aca="false">INDEX(Summary!$F$2:$F$201,MATCH($B1239,Summary!$A$2:$A$201,0))</f>
        <v>20</v>
      </c>
      <c r="M1239" s="0" t="n">
        <f aca="false">INDEX(Summary!$I$2:$I$201,MATCH($B1239,Summary!$A$2:$A$201,0))</f>
        <v>1</v>
      </c>
      <c r="N1239" s="0" t="n">
        <f aca="false">INDEX(Summary!$J$2:$J$201,MATCH($B1239,Summary!$A$2:$A$201,0))</f>
        <v>4</v>
      </c>
      <c r="O1239" s="2" t="n">
        <f aca="false">INDEX(Summary!$K$2:$K$201,MATCH($B1239,Summary!$A$2:$A$201,0))</f>
        <v>9.18</v>
      </c>
      <c r="P1239" s="3" t="n">
        <f aca="false">INDEX(Summary!$L$2:$L$201,MATCH($B1239,Summary!$A$2:$A$201,0))</f>
        <v>4</v>
      </c>
      <c r="Q1239" s="3" t="n">
        <f aca="false">INDEX(Summary!$M$2:$M$201,MATCH($B1239,Summary!$A$2:$A$201,0))</f>
        <v>2</v>
      </c>
      <c r="R1239" s="2" t="n">
        <f aca="false">INDEX(Summary!$N$2:$N$201,MATCH($B1239,Summary!$A$2:$A$201,0))</f>
        <v>9.54</v>
      </c>
      <c r="S1239" s="3" t="n">
        <f aca="false">INDEX(Summary!$O$2:$O$201,MATCH($B1239,Summary!$A$2:$A$201,0))</f>
        <v>8</v>
      </c>
      <c r="T1239" s="3" t="n">
        <f aca="false">INDEX(Summary!$P$2:$P$201,MATCH($B1239,Summary!$A$2:$A$201,0))</f>
        <v>1</v>
      </c>
      <c r="U1239" s="2" t="n">
        <f aca="false">INDEX(Summary!$Q$2:$Q$201,MATCH($B1239,Summary!$A$2:$A$201,0))</f>
        <v>13.23</v>
      </c>
      <c r="V1239" s="2" t="n">
        <f aca="false">INDEX(Summary!$R$2:$R$201,MATCH($B1239,Summary!$A$2:$A$201,0))</f>
        <v>21.62</v>
      </c>
      <c r="W1239" s="0" t="str">
        <f aca="false">INDEX(Summary!$S$2:$S$201,MATCH($B1239,Summary!$A$2:$A$201,0))</f>
        <v>Silver</v>
      </c>
      <c r="X1239" s="2" t="n">
        <f aca="false">INDEX(Summary!$T$2:$T$201,MATCH($B1239,Summary!$A$2:$A$201,0))</f>
        <v>52.73</v>
      </c>
      <c r="Y1239" s="0" t="str">
        <f aca="false">INDEX('Reward Model'!$E$18:$E$37,MATCH($E1239,'Reward Model'!$A$18:$A$37,0))</f>
        <v>High</v>
      </c>
      <c r="Z1239" s="4" t="n">
        <f aca="false">ROUND(MIN(1,MAX('Reward Model'!$B$2,INDEX('Reward Model'!$C$12:$C$14,MATCH($K1239,'Reward Model'!$A$12:$A$14,0))/$J1239)),3)</f>
        <v>1</v>
      </c>
      <c r="AA1239" s="2" t="n">
        <f aca="false">IF($I1239="Correct",ROUND(INDEX('Reward Model'!$B$12:$B$14,MATCH($K1239,'Reward Model'!$A$12:$A$14,0))*Z1239,2),0)</f>
        <v>0</v>
      </c>
      <c r="AB1239" s="2" t="n">
        <f aca="false">IF($I1239="Correct",ROUND(INDEX('Reward Model'!$B$12:$B$14,MATCH($Y1239,'Reward Model'!$A$12:$A$14,0))*Z1239,2),0)</f>
        <v>0</v>
      </c>
    </row>
    <row r="1240" customFormat="false" ht="15" hidden="false" customHeight="false" outlineLevel="0" collapsed="false">
      <c r="A1240" s="0" t="s">
        <v>251</v>
      </c>
      <c r="B1240" s="0" t="s">
        <v>252</v>
      </c>
      <c r="C1240" s="0" t="s">
        <v>30</v>
      </c>
      <c r="D1240" s="0" t="s">
        <v>189</v>
      </c>
      <c r="E1240" s="0" t="n">
        <v>19</v>
      </c>
      <c r="F1240" s="0" t="s">
        <v>78</v>
      </c>
      <c r="G1240" s="0" t="s">
        <v>51</v>
      </c>
      <c r="H1240" s="0" t="s">
        <v>80</v>
      </c>
      <c r="I1240" s="0" t="s">
        <v>39</v>
      </c>
      <c r="J1240" s="0" t="n">
        <v>2.49</v>
      </c>
      <c r="K1240" s="0" t="s">
        <v>73</v>
      </c>
      <c r="L1240" s="0" t="n">
        <f aca="false">INDEX(Summary!$F$2:$F$201,MATCH($B1240,Summary!$A$2:$A$201,0))</f>
        <v>20</v>
      </c>
      <c r="M1240" s="0" t="n">
        <f aca="false">INDEX(Summary!$I$2:$I$201,MATCH($B1240,Summary!$A$2:$A$201,0))</f>
        <v>1</v>
      </c>
      <c r="N1240" s="0" t="n">
        <f aca="false">INDEX(Summary!$J$2:$J$201,MATCH($B1240,Summary!$A$2:$A$201,0))</f>
        <v>4</v>
      </c>
      <c r="O1240" s="2" t="n">
        <f aca="false">INDEX(Summary!$K$2:$K$201,MATCH($B1240,Summary!$A$2:$A$201,0))</f>
        <v>9.18</v>
      </c>
      <c r="P1240" s="3" t="n">
        <f aca="false">INDEX(Summary!$L$2:$L$201,MATCH($B1240,Summary!$A$2:$A$201,0))</f>
        <v>4</v>
      </c>
      <c r="Q1240" s="3" t="n">
        <f aca="false">INDEX(Summary!$M$2:$M$201,MATCH($B1240,Summary!$A$2:$A$201,0))</f>
        <v>2</v>
      </c>
      <c r="R1240" s="2" t="n">
        <f aca="false">INDEX(Summary!$N$2:$N$201,MATCH($B1240,Summary!$A$2:$A$201,0))</f>
        <v>9.54</v>
      </c>
      <c r="S1240" s="3" t="n">
        <f aca="false">INDEX(Summary!$O$2:$O$201,MATCH($B1240,Summary!$A$2:$A$201,0))</f>
        <v>8</v>
      </c>
      <c r="T1240" s="3" t="n">
        <f aca="false">INDEX(Summary!$P$2:$P$201,MATCH($B1240,Summary!$A$2:$A$201,0))</f>
        <v>1</v>
      </c>
      <c r="U1240" s="2" t="n">
        <f aca="false">INDEX(Summary!$Q$2:$Q$201,MATCH($B1240,Summary!$A$2:$A$201,0))</f>
        <v>13.23</v>
      </c>
      <c r="V1240" s="2" t="n">
        <f aca="false">INDEX(Summary!$R$2:$R$201,MATCH($B1240,Summary!$A$2:$A$201,0))</f>
        <v>21.62</v>
      </c>
      <c r="W1240" s="0" t="str">
        <f aca="false">INDEX(Summary!$S$2:$S$201,MATCH($B1240,Summary!$A$2:$A$201,0))</f>
        <v>Silver</v>
      </c>
      <c r="X1240" s="2" t="n">
        <f aca="false">INDEX(Summary!$T$2:$T$201,MATCH($B1240,Summary!$A$2:$A$201,0))</f>
        <v>52.73</v>
      </c>
      <c r="Y1240" s="0" t="str">
        <f aca="false">INDEX('Reward Model'!$E$18:$E$37,MATCH($E1240,'Reward Model'!$A$18:$A$37,0))</f>
        <v>High</v>
      </c>
      <c r="Z1240" s="4" t="n">
        <f aca="false">ROUND(MIN(1,MAX('Reward Model'!$B$2,INDEX('Reward Model'!$C$12:$C$14,MATCH($K1240,'Reward Model'!$A$12:$A$14,0))/$J1240)),3)</f>
        <v>0.803</v>
      </c>
      <c r="AA1240" s="2" t="n">
        <f aca="false">IF($I1240="Correct",ROUND(INDEX('Reward Model'!$B$12:$B$14,MATCH($K1240,'Reward Model'!$A$12:$A$14,0))*Z1240,2),0)</f>
        <v>0</v>
      </c>
      <c r="AB1240" s="2" t="n">
        <f aca="false">IF($I1240="Correct",ROUND(INDEX('Reward Model'!$B$12:$B$14,MATCH($Y1240,'Reward Model'!$A$12:$A$14,0))*Z1240,2),0)</f>
        <v>0</v>
      </c>
    </row>
    <row r="1241" customFormat="false" ht="15" hidden="false" customHeight="false" outlineLevel="0" collapsed="false">
      <c r="A1241" s="0" t="s">
        <v>251</v>
      </c>
      <c r="B1241" s="0" t="s">
        <v>252</v>
      </c>
      <c r="C1241" s="0" t="s">
        <v>30</v>
      </c>
      <c r="D1241" s="0" t="s">
        <v>189</v>
      </c>
      <c r="E1241" s="0" t="n">
        <v>20</v>
      </c>
      <c r="F1241" s="0" t="s">
        <v>81</v>
      </c>
      <c r="G1241" s="0" t="s">
        <v>83</v>
      </c>
      <c r="H1241" s="0" t="s">
        <v>83</v>
      </c>
      <c r="I1241" s="0" t="s">
        <v>34</v>
      </c>
      <c r="J1241" s="0" t="n">
        <v>2.24</v>
      </c>
      <c r="K1241" s="0" t="s">
        <v>73</v>
      </c>
      <c r="L1241" s="0" t="n">
        <f aca="false">INDEX(Summary!$F$2:$F$201,MATCH($B1241,Summary!$A$2:$A$201,0))</f>
        <v>20</v>
      </c>
      <c r="M1241" s="0" t="n">
        <f aca="false">INDEX(Summary!$I$2:$I$201,MATCH($B1241,Summary!$A$2:$A$201,0))</f>
        <v>1</v>
      </c>
      <c r="N1241" s="0" t="n">
        <f aca="false">INDEX(Summary!$J$2:$J$201,MATCH($B1241,Summary!$A$2:$A$201,0))</f>
        <v>4</v>
      </c>
      <c r="O1241" s="2" t="n">
        <f aca="false">INDEX(Summary!$K$2:$K$201,MATCH($B1241,Summary!$A$2:$A$201,0))</f>
        <v>9.18</v>
      </c>
      <c r="P1241" s="3" t="n">
        <f aca="false">INDEX(Summary!$L$2:$L$201,MATCH($B1241,Summary!$A$2:$A$201,0))</f>
        <v>4</v>
      </c>
      <c r="Q1241" s="3" t="n">
        <f aca="false">INDEX(Summary!$M$2:$M$201,MATCH($B1241,Summary!$A$2:$A$201,0))</f>
        <v>2</v>
      </c>
      <c r="R1241" s="2" t="n">
        <f aca="false">INDEX(Summary!$N$2:$N$201,MATCH($B1241,Summary!$A$2:$A$201,0))</f>
        <v>9.54</v>
      </c>
      <c r="S1241" s="3" t="n">
        <f aca="false">INDEX(Summary!$O$2:$O$201,MATCH($B1241,Summary!$A$2:$A$201,0))</f>
        <v>8</v>
      </c>
      <c r="T1241" s="3" t="n">
        <f aca="false">INDEX(Summary!$P$2:$P$201,MATCH($B1241,Summary!$A$2:$A$201,0))</f>
        <v>1</v>
      </c>
      <c r="U1241" s="2" t="n">
        <f aca="false">INDEX(Summary!$Q$2:$Q$201,MATCH($B1241,Summary!$A$2:$A$201,0))</f>
        <v>13.23</v>
      </c>
      <c r="V1241" s="2" t="n">
        <f aca="false">INDEX(Summary!$R$2:$R$201,MATCH($B1241,Summary!$A$2:$A$201,0))</f>
        <v>21.62</v>
      </c>
      <c r="W1241" s="0" t="str">
        <f aca="false">INDEX(Summary!$S$2:$S$201,MATCH($B1241,Summary!$A$2:$A$201,0))</f>
        <v>Silver</v>
      </c>
      <c r="X1241" s="2" t="n">
        <f aca="false">INDEX(Summary!$T$2:$T$201,MATCH($B1241,Summary!$A$2:$A$201,0))</f>
        <v>52.73</v>
      </c>
      <c r="Y1241" s="0" t="str">
        <f aca="false">INDEX('Reward Model'!$E$18:$E$37,MATCH($E1241,'Reward Model'!$A$18:$A$37,0))</f>
        <v>High</v>
      </c>
      <c r="Z1241" s="4" t="n">
        <f aca="false">ROUND(MIN(1,MAX('Reward Model'!$B$2,INDEX('Reward Model'!$C$12:$C$14,MATCH($K1241,'Reward Model'!$A$12:$A$14,0))/$J1241)),3)</f>
        <v>0.893</v>
      </c>
      <c r="AA1241" s="2" t="n">
        <f aca="false">IF($I1241="Correct",ROUND(INDEX('Reward Model'!$B$12:$B$14,MATCH($K1241,'Reward Model'!$A$12:$A$14,0))*Z1241,2),0)</f>
        <v>2.68</v>
      </c>
      <c r="AB1241" s="2" t="n">
        <f aca="false">IF($I1241="Correct",ROUND(INDEX('Reward Model'!$B$12:$B$14,MATCH($Y1241,'Reward Model'!$A$12:$A$14,0))*Z1241,2),0)</f>
        <v>2.68</v>
      </c>
    </row>
    <row r="1242" customFormat="false" ht="15" hidden="false" customHeight="false" outlineLevel="0" collapsed="false">
      <c r="A1242" s="0" t="s">
        <v>253</v>
      </c>
      <c r="B1242" s="0" t="s">
        <v>254</v>
      </c>
      <c r="C1242" s="0" t="s">
        <v>30</v>
      </c>
      <c r="D1242" s="0" t="s">
        <v>189</v>
      </c>
      <c r="E1242" s="0" t="n">
        <v>1</v>
      </c>
      <c r="F1242" s="0" t="s">
        <v>32</v>
      </c>
      <c r="G1242" s="0" t="s">
        <v>33</v>
      </c>
      <c r="H1242" s="0" t="s">
        <v>33</v>
      </c>
      <c r="I1242" s="0" t="s">
        <v>34</v>
      </c>
      <c r="J1242" s="0" t="n">
        <v>1.55</v>
      </c>
      <c r="K1242" s="0" t="s">
        <v>35</v>
      </c>
      <c r="L1242" s="0" t="n">
        <f aca="false">INDEX(Summary!$F$2:$F$201,MATCH($B1242,Summary!$A$2:$A$201,0))</f>
        <v>20</v>
      </c>
      <c r="M1242" s="0" t="n">
        <f aca="false">INDEX(Summary!$I$2:$I$201,MATCH($B1242,Summary!$A$2:$A$201,0))</f>
        <v>2</v>
      </c>
      <c r="N1242" s="0" t="n">
        <f aca="false">INDEX(Summary!$J$2:$J$201,MATCH($B1242,Summary!$A$2:$A$201,0))</f>
        <v>3</v>
      </c>
      <c r="O1242" s="2" t="n">
        <f aca="false">INDEX(Summary!$K$2:$K$201,MATCH($B1242,Summary!$A$2:$A$201,0))</f>
        <v>9.03</v>
      </c>
      <c r="P1242" s="3" t="n">
        <f aca="false">INDEX(Summary!$L$2:$L$201,MATCH($B1242,Summary!$A$2:$A$201,0))</f>
        <v>5</v>
      </c>
      <c r="Q1242" s="3" t="n">
        <f aca="false">INDEX(Summary!$M$2:$M$201,MATCH($B1242,Summary!$A$2:$A$201,0))</f>
        <v>1</v>
      </c>
      <c r="R1242" s="2" t="n">
        <f aca="false">INDEX(Summary!$N$2:$N$201,MATCH($B1242,Summary!$A$2:$A$201,0))</f>
        <v>9.25</v>
      </c>
      <c r="S1242" s="3" t="n">
        <f aca="false">INDEX(Summary!$O$2:$O$201,MATCH($B1242,Summary!$A$2:$A$201,0))</f>
        <v>8</v>
      </c>
      <c r="T1242" s="3" t="n">
        <f aca="false">INDEX(Summary!$P$2:$P$201,MATCH($B1242,Summary!$A$2:$A$201,0))</f>
        <v>1</v>
      </c>
      <c r="U1242" s="2" t="n">
        <f aca="false">INDEX(Summary!$Q$2:$Q$201,MATCH($B1242,Summary!$A$2:$A$201,0))</f>
        <v>14.68</v>
      </c>
      <c r="V1242" s="2" t="n">
        <f aca="false">INDEX(Summary!$R$2:$R$201,MATCH($B1242,Summary!$A$2:$A$201,0))</f>
        <v>27.33</v>
      </c>
      <c r="W1242" s="0" t="str">
        <f aca="false">INDEX(Summary!$S$2:$S$201,MATCH($B1242,Summary!$A$2:$A$201,0))</f>
        <v>Silver</v>
      </c>
      <c r="X1242" s="2" t="n">
        <f aca="false">INDEX(Summary!$T$2:$T$201,MATCH($B1242,Summary!$A$2:$A$201,0))</f>
        <v>66.66</v>
      </c>
      <c r="Y1242" s="0" t="str">
        <f aca="false">INDEX('Reward Model'!$E$18:$E$37,MATCH($E1242,'Reward Model'!$A$18:$A$37,0))</f>
        <v>Medium</v>
      </c>
      <c r="Z1242" s="4" t="n">
        <f aca="false">ROUND(MIN(1,MAX('Reward Model'!$B$2,INDEX('Reward Model'!$C$12:$C$14,MATCH($K1242,'Reward Model'!$A$12:$A$14,0))/$J1242)),3)</f>
        <v>0.968</v>
      </c>
      <c r="AA1242" s="2" t="n">
        <f aca="false">IF($I1242="Correct",ROUND(INDEX('Reward Model'!$B$12:$B$14,MATCH($K1242,'Reward Model'!$A$12:$A$14,0))*Z1242,2),0)</f>
        <v>0.97</v>
      </c>
      <c r="AB1242" s="2" t="n">
        <f aca="false">IF($I1242="Correct",ROUND(INDEX('Reward Model'!$B$12:$B$14,MATCH($Y1242,'Reward Model'!$A$12:$A$14,0))*Z1242,2),0)</f>
        <v>1.94</v>
      </c>
    </row>
    <row r="1243" customFormat="false" ht="15" hidden="false" customHeight="false" outlineLevel="0" collapsed="false">
      <c r="A1243" s="0" t="s">
        <v>253</v>
      </c>
      <c r="B1243" s="0" t="s">
        <v>254</v>
      </c>
      <c r="C1243" s="0" t="s">
        <v>30</v>
      </c>
      <c r="D1243" s="0" t="s">
        <v>189</v>
      </c>
      <c r="E1243" s="0" t="n">
        <v>2</v>
      </c>
      <c r="F1243" s="0" t="s">
        <v>36</v>
      </c>
      <c r="G1243" s="0" t="s">
        <v>38</v>
      </c>
      <c r="H1243" s="0" t="s">
        <v>38</v>
      </c>
      <c r="I1243" s="0" t="s">
        <v>34</v>
      </c>
      <c r="J1243" s="0" t="n">
        <v>1.85</v>
      </c>
      <c r="K1243" s="0" t="s">
        <v>35</v>
      </c>
      <c r="L1243" s="0" t="n">
        <f aca="false">INDEX(Summary!$F$2:$F$201,MATCH($B1243,Summary!$A$2:$A$201,0))</f>
        <v>20</v>
      </c>
      <c r="M1243" s="0" t="n">
        <f aca="false">INDEX(Summary!$I$2:$I$201,MATCH($B1243,Summary!$A$2:$A$201,0))</f>
        <v>2</v>
      </c>
      <c r="N1243" s="0" t="n">
        <f aca="false">INDEX(Summary!$J$2:$J$201,MATCH($B1243,Summary!$A$2:$A$201,0))</f>
        <v>3</v>
      </c>
      <c r="O1243" s="2" t="n">
        <f aca="false">INDEX(Summary!$K$2:$K$201,MATCH($B1243,Summary!$A$2:$A$201,0))</f>
        <v>9.03</v>
      </c>
      <c r="P1243" s="3" t="n">
        <f aca="false">INDEX(Summary!$L$2:$L$201,MATCH($B1243,Summary!$A$2:$A$201,0))</f>
        <v>5</v>
      </c>
      <c r="Q1243" s="3" t="n">
        <f aca="false">INDEX(Summary!$M$2:$M$201,MATCH($B1243,Summary!$A$2:$A$201,0))</f>
        <v>1</v>
      </c>
      <c r="R1243" s="2" t="n">
        <f aca="false">INDEX(Summary!$N$2:$N$201,MATCH($B1243,Summary!$A$2:$A$201,0))</f>
        <v>9.25</v>
      </c>
      <c r="S1243" s="3" t="n">
        <f aca="false">INDEX(Summary!$O$2:$O$201,MATCH($B1243,Summary!$A$2:$A$201,0))</f>
        <v>8</v>
      </c>
      <c r="T1243" s="3" t="n">
        <f aca="false">INDEX(Summary!$P$2:$P$201,MATCH($B1243,Summary!$A$2:$A$201,0))</f>
        <v>1</v>
      </c>
      <c r="U1243" s="2" t="n">
        <f aca="false">INDEX(Summary!$Q$2:$Q$201,MATCH($B1243,Summary!$A$2:$A$201,0))</f>
        <v>14.68</v>
      </c>
      <c r="V1243" s="2" t="n">
        <f aca="false">INDEX(Summary!$R$2:$R$201,MATCH($B1243,Summary!$A$2:$A$201,0))</f>
        <v>27.33</v>
      </c>
      <c r="W1243" s="0" t="str">
        <f aca="false">INDEX(Summary!$S$2:$S$201,MATCH($B1243,Summary!$A$2:$A$201,0))</f>
        <v>Silver</v>
      </c>
      <c r="X1243" s="2" t="n">
        <f aca="false">INDEX(Summary!$T$2:$T$201,MATCH($B1243,Summary!$A$2:$A$201,0))</f>
        <v>66.66</v>
      </c>
      <c r="Y1243" s="0" t="str">
        <f aca="false">INDEX('Reward Model'!$E$18:$E$37,MATCH($E1243,'Reward Model'!$A$18:$A$37,0))</f>
        <v>Low</v>
      </c>
      <c r="Z1243" s="4" t="n">
        <f aca="false">ROUND(MIN(1,MAX('Reward Model'!$B$2,INDEX('Reward Model'!$C$12:$C$14,MATCH($K1243,'Reward Model'!$A$12:$A$14,0))/$J1243)),3)</f>
        <v>0.811</v>
      </c>
      <c r="AA1243" s="2" t="n">
        <f aca="false">IF($I1243="Correct",ROUND(INDEX('Reward Model'!$B$12:$B$14,MATCH($K1243,'Reward Model'!$A$12:$A$14,0))*Z1243,2),0)</f>
        <v>0.81</v>
      </c>
      <c r="AB1243" s="2" t="n">
        <f aca="false">IF($I1243="Correct",ROUND(INDEX('Reward Model'!$B$12:$B$14,MATCH($Y1243,'Reward Model'!$A$12:$A$14,0))*Z1243,2),0)</f>
        <v>0.81</v>
      </c>
    </row>
    <row r="1244" customFormat="false" ht="15" hidden="false" customHeight="false" outlineLevel="0" collapsed="false">
      <c r="A1244" s="0" t="s">
        <v>253</v>
      </c>
      <c r="B1244" s="0" t="s">
        <v>254</v>
      </c>
      <c r="C1244" s="0" t="s">
        <v>30</v>
      </c>
      <c r="D1244" s="0" t="s">
        <v>189</v>
      </c>
      <c r="E1244" s="0" t="n">
        <v>3</v>
      </c>
      <c r="F1244" s="0" t="s">
        <v>40</v>
      </c>
      <c r="G1244" s="0" t="s">
        <v>42</v>
      </c>
      <c r="H1244" s="0" t="s">
        <v>42</v>
      </c>
      <c r="I1244" s="0" t="s">
        <v>34</v>
      </c>
      <c r="J1244" s="0" t="n">
        <v>1.67</v>
      </c>
      <c r="K1244" s="0" t="s">
        <v>35</v>
      </c>
      <c r="L1244" s="0" t="n">
        <f aca="false">INDEX(Summary!$F$2:$F$201,MATCH($B1244,Summary!$A$2:$A$201,0))</f>
        <v>20</v>
      </c>
      <c r="M1244" s="0" t="n">
        <f aca="false">INDEX(Summary!$I$2:$I$201,MATCH($B1244,Summary!$A$2:$A$201,0))</f>
        <v>2</v>
      </c>
      <c r="N1244" s="0" t="n">
        <f aca="false">INDEX(Summary!$J$2:$J$201,MATCH($B1244,Summary!$A$2:$A$201,0))</f>
        <v>3</v>
      </c>
      <c r="O1244" s="2" t="n">
        <f aca="false">INDEX(Summary!$K$2:$K$201,MATCH($B1244,Summary!$A$2:$A$201,0))</f>
        <v>9.03</v>
      </c>
      <c r="P1244" s="3" t="n">
        <f aca="false">INDEX(Summary!$L$2:$L$201,MATCH($B1244,Summary!$A$2:$A$201,0))</f>
        <v>5</v>
      </c>
      <c r="Q1244" s="3" t="n">
        <f aca="false">INDEX(Summary!$M$2:$M$201,MATCH($B1244,Summary!$A$2:$A$201,0))</f>
        <v>1</v>
      </c>
      <c r="R1244" s="2" t="n">
        <f aca="false">INDEX(Summary!$N$2:$N$201,MATCH($B1244,Summary!$A$2:$A$201,0))</f>
        <v>9.25</v>
      </c>
      <c r="S1244" s="3" t="n">
        <f aca="false">INDEX(Summary!$O$2:$O$201,MATCH($B1244,Summary!$A$2:$A$201,0))</f>
        <v>8</v>
      </c>
      <c r="T1244" s="3" t="n">
        <f aca="false">INDEX(Summary!$P$2:$P$201,MATCH($B1244,Summary!$A$2:$A$201,0))</f>
        <v>1</v>
      </c>
      <c r="U1244" s="2" t="n">
        <f aca="false">INDEX(Summary!$Q$2:$Q$201,MATCH($B1244,Summary!$A$2:$A$201,0))</f>
        <v>14.68</v>
      </c>
      <c r="V1244" s="2" t="n">
        <f aca="false">INDEX(Summary!$R$2:$R$201,MATCH($B1244,Summary!$A$2:$A$201,0))</f>
        <v>27.33</v>
      </c>
      <c r="W1244" s="0" t="str">
        <f aca="false">INDEX(Summary!$S$2:$S$201,MATCH($B1244,Summary!$A$2:$A$201,0))</f>
        <v>Silver</v>
      </c>
      <c r="X1244" s="2" t="n">
        <f aca="false">INDEX(Summary!$T$2:$T$201,MATCH($B1244,Summary!$A$2:$A$201,0))</f>
        <v>66.66</v>
      </c>
      <c r="Y1244" s="0" t="str">
        <f aca="false">INDEX('Reward Model'!$E$18:$E$37,MATCH($E1244,'Reward Model'!$A$18:$A$37,0))</f>
        <v>Medium</v>
      </c>
      <c r="Z1244" s="4" t="n">
        <f aca="false">ROUND(MIN(1,MAX('Reward Model'!$B$2,INDEX('Reward Model'!$C$12:$C$14,MATCH($K1244,'Reward Model'!$A$12:$A$14,0))/$J1244)),3)</f>
        <v>0.898</v>
      </c>
      <c r="AA1244" s="2" t="n">
        <f aca="false">IF($I1244="Correct",ROUND(INDEX('Reward Model'!$B$12:$B$14,MATCH($K1244,'Reward Model'!$A$12:$A$14,0))*Z1244,2),0)</f>
        <v>0.9</v>
      </c>
      <c r="AB1244" s="2" t="n">
        <f aca="false">IF($I1244="Correct",ROUND(INDEX('Reward Model'!$B$12:$B$14,MATCH($Y1244,'Reward Model'!$A$12:$A$14,0))*Z1244,2),0)</f>
        <v>1.8</v>
      </c>
    </row>
    <row r="1245" customFormat="false" ht="15" hidden="false" customHeight="false" outlineLevel="0" collapsed="false">
      <c r="A1245" s="0" t="s">
        <v>253</v>
      </c>
      <c r="B1245" s="0" t="s">
        <v>254</v>
      </c>
      <c r="C1245" s="0" t="s">
        <v>30</v>
      </c>
      <c r="D1245" s="0" t="s">
        <v>189</v>
      </c>
      <c r="E1245" s="0" t="n">
        <v>4</v>
      </c>
      <c r="F1245" s="0" t="s">
        <v>43</v>
      </c>
      <c r="G1245" s="0" t="s">
        <v>45</v>
      </c>
      <c r="H1245" s="0" t="s">
        <v>45</v>
      </c>
      <c r="I1245" s="0" t="s">
        <v>34</v>
      </c>
      <c r="J1245" s="0" t="n">
        <v>1.92</v>
      </c>
      <c r="K1245" s="0" t="s">
        <v>35</v>
      </c>
      <c r="L1245" s="0" t="n">
        <f aca="false">INDEX(Summary!$F$2:$F$201,MATCH($B1245,Summary!$A$2:$A$201,0))</f>
        <v>20</v>
      </c>
      <c r="M1245" s="0" t="n">
        <f aca="false">INDEX(Summary!$I$2:$I$201,MATCH($B1245,Summary!$A$2:$A$201,0))</f>
        <v>2</v>
      </c>
      <c r="N1245" s="0" t="n">
        <f aca="false">INDEX(Summary!$J$2:$J$201,MATCH($B1245,Summary!$A$2:$A$201,0))</f>
        <v>3</v>
      </c>
      <c r="O1245" s="2" t="n">
        <f aca="false">INDEX(Summary!$K$2:$K$201,MATCH($B1245,Summary!$A$2:$A$201,0))</f>
        <v>9.03</v>
      </c>
      <c r="P1245" s="3" t="n">
        <f aca="false">INDEX(Summary!$L$2:$L$201,MATCH($B1245,Summary!$A$2:$A$201,0))</f>
        <v>5</v>
      </c>
      <c r="Q1245" s="3" t="n">
        <f aca="false">INDEX(Summary!$M$2:$M$201,MATCH($B1245,Summary!$A$2:$A$201,0))</f>
        <v>1</v>
      </c>
      <c r="R1245" s="2" t="n">
        <f aca="false">INDEX(Summary!$N$2:$N$201,MATCH($B1245,Summary!$A$2:$A$201,0))</f>
        <v>9.25</v>
      </c>
      <c r="S1245" s="3" t="n">
        <f aca="false">INDEX(Summary!$O$2:$O$201,MATCH($B1245,Summary!$A$2:$A$201,0))</f>
        <v>8</v>
      </c>
      <c r="T1245" s="3" t="n">
        <f aca="false">INDEX(Summary!$P$2:$P$201,MATCH($B1245,Summary!$A$2:$A$201,0))</f>
        <v>1</v>
      </c>
      <c r="U1245" s="2" t="n">
        <f aca="false">INDEX(Summary!$Q$2:$Q$201,MATCH($B1245,Summary!$A$2:$A$201,0))</f>
        <v>14.68</v>
      </c>
      <c r="V1245" s="2" t="n">
        <f aca="false">INDEX(Summary!$R$2:$R$201,MATCH($B1245,Summary!$A$2:$A$201,0))</f>
        <v>27.33</v>
      </c>
      <c r="W1245" s="0" t="str">
        <f aca="false">INDEX(Summary!$S$2:$S$201,MATCH($B1245,Summary!$A$2:$A$201,0))</f>
        <v>Silver</v>
      </c>
      <c r="X1245" s="2" t="n">
        <f aca="false">INDEX(Summary!$T$2:$T$201,MATCH($B1245,Summary!$A$2:$A$201,0))</f>
        <v>66.66</v>
      </c>
      <c r="Y1245" s="0" t="str">
        <f aca="false">INDEX('Reward Model'!$E$18:$E$37,MATCH($E1245,'Reward Model'!$A$18:$A$37,0))</f>
        <v>Low</v>
      </c>
      <c r="Z1245" s="4" t="n">
        <f aca="false">ROUND(MIN(1,MAX('Reward Model'!$B$2,INDEX('Reward Model'!$C$12:$C$14,MATCH($K1245,'Reward Model'!$A$12:$A$14,0))/$J1245)),3)</f>
        <v>0.781</v>
      </c>
      <c r="AA1245" s="2" t="n">
        <f aca="false">IF($I1245="Correct",ROUND(INDEX('Reward Model'!$B$12:$B$14,MATCH($K1245,'Reward Model'!$A$12:$A$14,0))*Z1245,2),0)</f>
        <v>0.78</v>
      </c>
      <c r="AB1245" s="2" t="n">
        <f aca="false">IF($I1245="Correct",ROUND(INDEX('Reward Model'!$B$12:$B$14,MATCH($Y1245,'Reward Model'!$A$12:$A$14,0))*Z1245,2),0)</f>
        <v>0.78</v>
      </c>
    </row>
    <row r="1246" customFormat="false" ht="15" hidden="false" customHeight="false" outlineLevel="0" collapsed="false">
      <c r="A1246" s="0" t="s">
        <v>253</v>
      </c>
      <c r="B1246" s="0" t="s">
        <v>254</v>
      </c>
      <c r="C1246" s="0" t="s">
        <v>30</v>
      </c>
      <c r="D1246" s="0" t="s">
        <v>189</v>
      </c>
      <c r="E1246" s="0" t="n">
        <v>5</v>
      </c>
      <c r="F1246" s="0" t="s">
        <v>46</v>
      </c>
      <c r="G1246" s="0" t="s">
        <v>164</v>
      </c>
      <c r="H1246" s="0" t="s">
        <v>47</v>
      </c>
      <c r="I1246" s="0" t="s">
        <v>39</v>
      </c>
      <c r="J1246" s="0" t="n">
        <v>1.13</v>
      </c>
      <c r="K1246" s="0" t="s">
        <v>35</v>
      </c>
      <c r="L1246" s="0" t="n">
        <f aca="false">INDEX(Summary!$F$2:$F$201,MATCH($B1246,Summary!$A$2:$A$201,0))</f>
        <v>20</v>
      </c>
      <c r="M1246" s="0" t="n">
        <f aca="false">INDEX(Summary!$I$2:$I$201,MATCH($B1246,Summary!$A$2:$A$201,0))</f>
        <v>2</v>
      </c>
      <c r="N1246" s="0" t="n">
        <f aca="false">INDEX(Summary!$J$2:$J$201,MATCH($B1246,Summary!$A$2:$A$201,0))</f>
        <v>3</v>
      </c>
      <c r="O1246" s="2" t="n">
        <f aca="false">INDEX(Summary!$K$2:$K$201,MATCH($B1246,Summary!$A$2:$A$201,0))</f>
        <v>9.03</v>
      </c>
      <c r="P1246" s="3" t="n">
        <f aca="false">INDEX(Summary!$L$2:$L$201,MATCH($B1246,Summary!$A$2:$A$201,0))</f>
        <v>5</v>
      </c>
      <c r="Q1246" s="3" t="n">
        <f aca="false">INDEX(Summary!$M$2:$M$201,MATCH($B1246,Summary!$A$2:$A$201,0))</f>
        <v>1</v>
      </c>
      <c r="R1246" s="2" t="n">
        <f aca="false">INDEX(Summary!$N$2:$N$201,MATCH($B1246,Summary!$A$2:$A$201,0))</f>
        <v>9.25</v>
      </c>
      <c r="S1246" s="3" t="n">
        <f aca="false">INDEX(Summary!$O$2:$O$201,MATCH($B1246,Summary!$A$2:$A$201,0))</f>
        <v>8</v>
      </c>
      <c r="T1246" s="3" t="n">
        <f aca="false">INDEX(Summary!$P$2:$P$201,MATCH($B1246,Summary!$A$2:$A$201,0))</f>
        <v>1</v>
      </c>
      <c r="U1246" s="2" t="n">
        <f aca="false">INDEX(Summary!$Q$2:$Q$201,MATCH($B1246,Summary!$A$2:$A$201,0))</f>
        <v>14.68</v>
      </c>
      <c r="V1246" s="2" t="n">
        <f aca="false">INDEX(Summary!$R$2:$R$201,MATCH($B1246,Summary!$A$2:$A$201,0))</f>
        <v>27.33</v>
      </c>
      <c r="W1246" s="0" t="str">
        <f aca="false">INDEX(Summary!$S$2:$S$201,MATCH($B1246,Summary!$A$2:$A$201,0))</f>
        <v>Silver</v>
      </c>
      <c r="X1246" s="2" t="n">
        <f aca="false">INDEX(Summary!$T$2:$T$201,MATCH($B1246,Summary!$A$2:$A$201,0))</f>
        <v>66.66</v>
      </c>
      <c r="Y1246" s="0" t="str">
        <f aca="false">INDEX('Reward Model'!$E$18:$E$37,MATCH($E1246,'Reward Model'!$A$18:$A$37,0))</f>
        <v>Low</v>
      </c>
      <c r="Z1246" s="4" t="n">
        <f aca="false">ROUND(MIN(1,MAX('Reward Model'!$B$2,INDEX('Reward Model'!$C$12:$C$14,MATCH($K1246,'Reward Model'!$A$12:$A$14,0))/$J1246)),3)</f>
        <v>1</v>
      </c>
      <c r="AA1246" s="2" t="n">
        <f aca="false">IF($I1246="Correct",ROUND(INDEX('Reward Model'!$B$12:$B$14,MATCH($K1246,'Reward Model'!$A$12:$A$14,0))*Z1246,2),0)</f>
        <v>0</v>
      </c>
      <c r="AB1246" s="2" t="n">
        <f aca="false">IF($I1246="Correct",ROUND(INDEX('Reward Model'!$B$12:$B$14,MATCH($Y1246,'Reward Model'!$A$12:$A$14,0))*Z1246,2),0)</f>
        <v>0</v>
      </c>
    </row>
    <row r="1247" customFormat="false" ht="15" hidden="false" customHeight="false" outlineLevel="0" collapsed="false">
      <c r="A1247" s="0" t="s">
        <v>253</v>
      </c>
      <c r="B1247" s="0" t="s">
        <v>254</v>
      </c>
      <c r="C1247" s="0" t="s">
        <v>30</v>
      </c>
      <c r="D1247" s="0" t="s">
        <v>189</v>
      </c>
      <c r="E1247" s="0" t="n">
        <v>6</v>
      </c>
      <c r="F1247" s="0" t="s">
        <v>48</v>
      </c>
      <c r="G1247" s="0" t="s">
        <v>49</v>
      </c>
      <c r="H1247" s="0" t="s">
        <v>49</v>
      </c>
      <c r="I1247" s="0" t="s">
        <v>34</v>
      </c>
      <c r="J1247" s="0" t="n">
        <v>1.87</v>
      </c>
      <c r="K1247" s="0" t="s">
        <v>35</v>
      </c>
      <c r="L1247" s="0" t="n">
        <f aca="false">INDEX(Summary!$F$2:$F$201,MATCH($B1247,Summary!$A$2:$A$201,0))</f>
        <v>20</v>
      </c>
      <c r="M1247" s="0" t="n">
        <f aca="false">INDEX(Summary!$I$2:$I$201,MATCH($B1247,Summary!$A$2:$A$201,0))</f>
        <v>2</v>
      </c>
      <c r="N1247" s="0" t="n">
        <f aca="false">INDEX(Summary!$J$2:$J$201,MATCH($B1247,Summary!$A$2:$A$201,0))</f>
        <v>3</v>
      </c>
      <c r="O1247" s="2" t="n">
        <f aca="false">INDEX(Summary!$K$2:$K$201,MATCH($B1247,Summary!$A$2:$A$201,0))</f>
        <v>9.03</v>
      </c>
      <c r="P1247" s="3" t="n">
        <f aca="false">INDEX(Summary!$L$2:$L$201,MATCH($B1247,Summary!$A$2:$A$201,0))</f>
        <v>5</v>
      </c>
      <c r="Q1247" s="3" t="n">
        <f aca="false">INDEX(Summary!$M$2:$M$201,MATCH($B1247,Summary!$A$2:$A$201,0))</f>
        <v>1</v>
      </c>
      <c r="R1247" s="2" t="n">
        <f aca="false">INDEX(Summary!$N$2:$N$201,MATCH($B1247,Summary!$A$2:$A$201,0))</f>
        <v>9.25</v>
      </c>
      <c r="S1247" s="3" t="n">
        <f aca="false">INDEX(Summary!$O$2:$O$201,MATCH($B1247,Summary!$A$2:$A$201,0))</f>
        <v>8</v>
      </c>
      <c r="T1247" s="3" t="n">
        <f aca="false">INDEX(Summary!$P$2:$P$201,MATCH($B1247,Summary!$A$2:$A$201,0))</f>
        <v>1</v>
      </c>
      <c r="U1247" s="2" t="n">
        <f aca="false">INDEX(Summary!$Q$2:$Q$201,MATCH($B1247,Summary!$A$2:$A$201,0))</f>
        <v>14.68</v>
      </c>
      <c r="V1247" s="2" t="n">
        <f aca="false">INDEX(Summary!$R$2:$R$201,MATCH($B1247,Summary!$A$2:$A$201,0))</f>
        <v>27.33</v>
      </c>
      <c r="W1247" s="0" t="str">
        <f aca="false">INDEX(Summary!$S$2:$S$201,MATCH($B1247,Summary!$A$2:$A$201,0))</f>
        <v>Silver</v>
      </c>
      <c r="X1247" s="2" t="n">
        <f aca="false">INDEX(Summary!$T$2:$T$201,MATCH($B1247,Summary!$A$2:$A$201,0))</f>
        <v>66.66</v>
      </c>
      <c r="Y1247" s="0" t="str">
        <f aca="false">INDEX('Reward Model'!$E$18:$E$37,MATCH($E1247,'Reward Model'!$A$18:$A$37,0))</f>
        <v>Medium</v>
      </c>
      <c r="Z1247" s="4" t="n">
        <f aca="false">ROUND(MIN(1,MAX('Reward Model'!$B$2,INDEX('Reward Model'!$C$12:$C$14,MATCH($K1247,'Reward Model'!$A$12:$A$14,0))/$J1247)),3)</f>
        <v>0.802</v>
      </c>
      <c r="AA1247" s="2" t="n">
        <f aca="false">IF($I1247="Correct",ROUND(INDEX('Reward Model'!$B$12:$B$14,MATCH($K1247,'Reward Model'!$A$12:$A$14,0))*Z1247,2),0)</f>
        <v>0.8</v>
      </c>
      <c r="AB1247" s="2" t="n">
        <f aca="false">IF($I1247="Correct",ROUND(INDEX('Reward Model'!$B$12:$B$14,MATCH($Y1247,'Reward Model'!$A$12:$A$14,0))*Z1247,2),0)</f>
        <v>1.6</v>
      </c>
    </row>
    <row r="1248" customFormat="false" ht="15" hidden="false" customHeight="false" outlineLevel="0" collapsed="false">
      <c r="A1248" s="0" t="s">
        <v>253</v>
      </c>
      <c r="B1248" s="0" t="s">
        <v>254</v>
      </c>
      <c r="C1248" s="0" t="s">
        <v>30</v>
      </c>
      <c r="D1248" s="0" t="s">
        <v>189</v>
      </c>
      <c r="E1248" s="0" t="n">
        <v>7</v>
      </c>
      <c r="F1248" s="0" t="s">
        <v>50</v>
      </c>
      <c r="G1248" s="0" t="s">
        <v>51</v>
      </c>
      <c r="H1248" s="0" t="s">
        <v>51</v>
      </c>
      <c r="I1248" s="0" t="s">
        <v>34</v>
      </c>
      <c r="J1248" s="0" t="n">
        <v>1.7</v>
      </c>
      <c r="K1248" s="0" t="s">
        <v>35</v>
      </c>
      <c r="L1248" s="0" t="n">
        <f aca="false">INDEX(Summary!$F$2:$F$201,MATCH($B1248,Summary!$A$2:$A$201,0))</f>
        <v>20</v>
      </c>
      <c r="M1248" s="0" t="n">
        <f aca="false">INDEX(Summary!$I$2:$I$201,MATCH($B1248,Summary!$A$2:$A$201,0))</f>
        <v>2</v>
      </c>
      <c r="N1248" s="0" t="n">
        <f aca="false">INDEX(Summary!$J$2:$J$201,MATCH($B1248,Summary!$A$2:$A$201,0))</f>
        <v>3</v>
      </c>
      <c r="O1248" s="2" t="n">
        <f aca="false">INDEX(Summary!$K$2:$K$201,MATCH($B1248,Summary!$A$2:$A$201,0))</f>
        <v>9.03</v>
      </c>
      <c r="P1248" s="3" t="n">
        <f aca="false">INDEX(Summary!$L$2:$L$201,MATCH($B1248,Summary!$A$2:$A$201,0))</f>
        <v>5</v>
      </c>
      <c r="Q1248" s="3" t="n">
        <f aca="false">INDEX(Summary!$M$2:$M$201,MATCH($B1248,Summary!$A$2:$A$201,0))</f>
        <v>1</v>
      </c>
      <c r="R1248" s="2" t="n">
        <f aca="false">INDEX(Summary!$N$2:$N$201,MATCH($B1248,Summary!$A$2:$A$201,0))</f>
        <v>9.25</v>
      </c>
      <c r="S1248" s="3" t="n">
        <f aca="false">INDEX(Summary!$O$2:$O$201,MATCH($B1248,Summary!$A$2:$A$201,0))</f>
        <v>8</v>
      </c>
      <c r="T1248" s="3" t="n">
        <f aca="false">INDEX(Summary!$P$2:$P$201,MATCH($B1248,Summary!$A$2:$A$201,0))</f>
        <v>1</v>
      </c>
      <c r="U1248" s="2" t="n">
        <f aca="false">INDEX(Summary!$Q$2:$Q$201,MATCH($B1248,Summary!$A$2:$A$201,0))</f>
        <v>14.68</v>
      </c>
      <c r="V1248" s="2" t="n">
        <f aca="false">INDEX(Summary!$R$2:$R$201,MATCH($B1248,Summary!$A$2:$A$201,0))</f>
        <v>27.33</v>
      </c>
      <c r="W1248" s="0" t="str">
        <f aca="false">INDEX(Summary!$S$2:$S$201,MATCH($B1248,Summary!$A$2:$A$201,0))</f>
        <v>Silver</v>
      </c>
      <c r="X1248" s="2" t="n">
        <f aca="false">INDEX(Summary!$T$2:$T$201,MATCH($B1248,Summary!$A$2:$A$201,0))</f>
        <v>66.66</v>
      </c>
      <c r="Y1248" s="0" t="str">
        <f aca="false">INDEX('Reward Model'!$E$18:$E$37,MATCH($E1248,'Reward Model'!$A$18:$A$37,0))</f>
        <v>Low</v>
      </c>
      <c r="Z1248" s="4" t="n">
        <f aca="false">ROUND(MIN(1,MAX('Reward Model'!$B$2,INDEX('Reward Model'!$C$12:$C$14,MATCH($K1248,'Reward Model'!$A$12:$A$14,0))/$J1248)),3)</f>
        <v>0.882</v>
      </c>
      <c r="AA1248" s="2" t="n">
        <f aca="false">IF($I1248="Correct",ROUND(INDEX('Reward Model'!$B$12:$B$14,MATCH($K1248,'Reward Model'!$A$12:$A$14,0))*Z1248,2),0)</f>
        <v>0.88</v>
      </c>
      <c r="AB1248" s="2" t="n">
        <f aca="false">IF($I1248="Correct",ROUND(INDEX('Reward Model'!$B$12:$B$14,MATCH($Y1248,'Reward Model'!$A$12:$A$14,0))*Z1248,2),0)</f>
        <v>0.88</v>
      </c>
    </row>
    <row r="1249" customFormat="false" ht="15" hidden="false" customHeight="false" outlineLevel="0" collapsed="false">
      <c r="A1249" s="0" t="s">
        <v>253</v>
      </c>
      <c r="B1249" s="0" t="s">
        <v>254</v>
      </c>
      <c r="C1249" s="0" t="s">
        <v>30</v>
      </c>
      <c r="D1249" s="0" t="s">
        <v>189</v>
      </c>
      <c r="E1249" s="0" t="n">
        <v>8</v>
      </c>
      <c r="F1249" s="0" t="s">
        <v>52</v>
      </c>
      <c r="G1249" s="0" t="s">
        <v>54</v>
      </c>
      <c r="H1249" s="0" t="s">
        <v>54</v>
      </c>
      <c r="I1249" s="0" t="s">
        <v>34</v>
      </c>
      <c r="J1249" s="0" t="n">
        <v>1.67</v>
      </c>
      <c r="K1249" s="0" t="s">
        <v>35</v>
      </c>
      <c r="L1249" s="0" t="n">
        <f aca="false">INDEX(Summary!$F$2:$F$201,MATCH($B1249,Summary!$A$2:$A$201,0))</f>
        <v>20</v>
      </c>
      <c r="M1249" s="0" t="n">
        <f aca="false">INDEX(Summary!$I$2:$I$201,MATCH($B1249,Summary!$A$2:$A$201,0))</f>
        <v>2</v>
      </c>
      <c r="N1249" s="0" t="n">
        <f aca="false">INDEX(Summary!$J$2:$J$201,MATCH($B1249,Summary!$A$2:$A$201,0))</f>
        <v>3</v>
      </c>
      <c r="O1249" s="2" t="n">
        <f aca="false">INDEX(Summary!$K$2:$K$201,MATCH($B1249,Summary!$A$2:$A$201,0))</f>
        <v>9.03</v>
      </c>
      <c r="P1249" s="3" t="n">
        <f aca="false">INDEX(Summary!$L$2:$L$201,MATCH($B1249,Summary!$A$2:$A$201,0))</f>
        <v>5</v>
      </c>
      <c r="Q1249" s="3" t="n">
        <f aca="false">INDEX(Summary!$M$2:$M$201,MATCH($B1249,Summary!$A$2:$A$201,0))</f>
        <v>1</v>
      </c>
      <c r="R1249" s="2" t="n">
        <f aca="false">INDEX(Summary!$N$2:$N$201,MATCH($B1249,Summary!$A$2:$A$201,0))</f>
        <v>9.25</v>
      </c>
      <c r="S1249" s="3" t="n">
        <f aca="false">INDEX(Summary!$O$2:$O$201,MATCH($B1249,Summary!$A$2:$A$201,0))</f>
        <v>8</v>
      </c>
      <c r="T1249" s="3" t="n">
        <f aca="false">INDEX(Summary!$P$2:$P$201,MATCH($B1249,Summary!$A$2:$A$201,0))</f>
        <v>1</v>
      </c>
      <c r="U1249" s="2" t="n">
        <f aca="false">INDEX(Summary!$Q$2:$Q$201,MATCH($B1249,Summary!$A$2:$A$201,0))</f>
        <v>14.68</v>
      </c>
      <c r="V1249" s="2" t="n">
        <f aca="false">INDEX(Summary!$R$2:$R$201,MATCH($B1249,Summary!$A$2:$A$201,0))</f>
        <v>27.33</v>
      </c>
      <c r="W1249" s="0" t="str">
        <f aca="false">INDEX(Summary!$S$2:$S$201,MATCH($B1249,Summary!$A$2:$A$201,0))</f>
        <v>Silver</v>
      </c>
      <c r="X1249" s="2" t="n">
        <f aca="false">INDEX(Summary!$T$2:$T$201,MATCH($B1249,Summary!$A$2:$A$201,0))</f>
        <v>66.66</v>
      </c>
      <c r="Y1249" s="0" t="str">
        <f aca="false">INDEX('Reward Model'!$E$18:$E$37,MATCH($E1249,'Reward Model'!$A$18:$A$37,0))</f>
        <v>Medium</v>
      </c>
      <c r="Z1249" s="4" t="n">
        <f aca="false">ROUND(MIN(1,MAX('Reward Model'!$B$2,INDEX('Reward Model'!$C$12:$C$14,MATCH($K1249,'Reward Model'!$A$12:$A$14,0))/$J1249)),3)</f>
        <v>0.898</v>
      </c>
      <c r="AA1249" s="2" t="n">
        <f aca="false">IF($I1249="Correct",ROUND(INDEX('Reward Model'!$B$12:$B$14,MATCH($K1249,'Reward Model'!$A$12:$A$14,0))*Z1249,2),0)</f>
        <v>0.9</v>
      </c>
      <c r="AB1249" s="2" t="n">
        <f aca="false">IF($I1249="Correct",ROUND(INDEX('Reward Model'!$B$12:$B$14,MATCH($Y1249,'Reward Model'!$A$12:$A$14,0))*Z1249,2),0)</f>
        <v>1.8</v>
      </c>
    </row>
    <row r="1250" customFormat="false" ht="15" hidden="false" customHeight="false" outlineLevel="0" collapsed="false">
      <c r="A1250" s="0" t="s">
        <v>253</v>
      </c>
      <c r="B1250" s="0" t="s">
        <v>254</v>
      </c>
      <c r="C1250" s="0" t="s">
        <v>30</v>
      </c>
      <c r="D1250" s="0" t="s">
        <v>189</v>
      </c>
      <c r="E1250" s="0" t="n">
        <v>9</v>
      </c>
      <c r="F1250" s="0" t="s">
        <v>55</v>
      </c>
      <c r="G1250" s="0" t="s">
        <v>57</v>
      </c>
      <c r="H1250" s="0" t="s">
        <v>57</v>
      </c>
      <c r="I1250" s="0" t="s">
        <v>34</v>
      </c>
      <c r="J1250" s="0" t="n">
        <v>1.32</v>
      </c>
      <c r="K1250" s="0" t="s">
        <v>35</v>
      </c>
      <c r="L1250" s="0" t="n">
        <f aca="false">INDEX(Summary!$F$2:$F$201,MATCH($B1250,Summary!$A$2:$A$201,0))</f>
        <v>20</v>
      </c>
      <c r="M1250" s="0" t="n">
        <f aca="false">INDEX(Summary!$I$2:$I$201,MATCH($B1250,Summary!$A$2:$A$201,0))</f>
        <v>2</v>
      </c>
      <c r="N1250" s="0" t="n">
        <f aca="false">INDEX(Summary!$J$2:$J$201,MATCH($B1250,Summary!$A$2:$A$201,0))</f>
        <v>3</v>
      </c>
      <c r="O1250" s="2" t="n">
        <f aca="false">INDEX(Summary!$K$2:$K$201,MATCH($B1250,Summary!$A$2:$A$201,0))</f>
        <v>9.03</v>
      </c>
      <c r="P1250" s="3" t="n">
        <f aca="false">INDEX(Summary!$L$2:$L$201,MATCH($B1250,Summary!$A$2:$A$201,0))</f>
        <v>5</v>
      </c>
      <c r="Q1250" s="3" t="n">
        <f aca="false">INDEX(Summary!$M$2:$M$201,MATCH($B1250,Summary!$A$2:$A$201,0))</f>
        <v>1</v>
      </c>
      <c r="R1250" s="2" t="n">
        <f aca="false">INDEX(Summary!$N$2:$N$201,MATCH($B1250,Summary!$A$2:$A$201,0))</f>
        <v>9.25</v>
      </c>
      <c r="S1250" s="3" t="n">
        <f aca="false">INDEX(Summary!$O$2:$O$201,MATCH($B1250,Summary!$A$2:$A$201,0))</f>
        <v>8</v>
      </c>
      <c r="T1250" s="3" t="n">
        <f aca="false">INDEX(Summary!$P$2:$P$201,MATCH($B1250,Summary!$A$2:$A$201,0))</f>
        <v>1</v>
      </c>
      <c r="U1250" s="2" t="n">
        <f aca="false">INDEX(Summary!$Q$2:$Q$201,MATCH($B1250,Summary!$A$2:$A$201,0))</f>
        <v>14.68</v>
      </c>
      <c r="V1250" s="2" t="n">
        <f aca="false">INDEX(Summary!$R$2:$R$201,MATCH($B1250,Summary!$A$2:$A$201,0))</f>
        <v>27.33</v>
      </c>
      <c r="W1250" s="0" t="str">
        <f aca="false">INDEX(Summary!$S$2:$S$201,MATCH($B1250,Summary!$A$2:$A$201,0))</f>
        <v>Silver</v>
      </c>
      <c r="X1250" s="2" t="n">
        <f aca="false">INDEX(Summary!$T$2:$T$201,MATCH($B1250,Summary!$A$2:$A$201,0))</f>
        <v>66.66</v>
      </c>
      <c r="Y1250" s="0" t="str">
        <f aca="false">INDEX('Reward Model'!$E$18:$E$37,MATCH($E1250,'Reward Model'!$A$18:$A$37,0))</f>
        <v>Medium</v>
      </c>
      <c r="Z1250" s="4" t="n">
        <f aca="false">ROUND(MIN(1,MAX('Reward Model'!$B$2,INDEX('Reward Model'!$C$12:$C$14,MATCH($K1250,'Reward Model'!$A$12:$A$14,0))/$J1250)),3)</f>
        <v>1</v>
      </c>
      <c r="AA1250" s="2" t="n">
        <f aca="false">IF($I1250="Correct",ROUND(INDEX('Reward Model'!$B$12:$B$14,MATCH($K1250,'Reward Model'!$A$12:$A$14,0))*Z1250,2),0)</f>
        <v>1</v>
      </c>
      <c r="AB1250" s="2" t="n">
        <f aca="false">IF($I1250="Correct",ROUND(INDEX('Reward Model'!$B$12:$B$14,MATCH($Y1250,'Reward Model'!$A$12:$A$14,0))*Z1250,2),0)</f>
        <v>2</v>
      </c>
    </row>
    <row r="1251" customFormat="false" ht="15" hidden="false" customHeight="false" outlineLevel="0" collapsed="false">
      <c r="A1251" s="0" t="s">
        <v>253</v>
      </c>
      <c r="B1251" s="0" t="s">
        <v>254</v>
      </c>
      <c r="C1251" s="0" t="s">
        <v>30</v>
      </c>
      <c r="D1251" s="0" t="s">
        <v>189</v>
      </c>
      <c r="E1251" s="0" t="n">
        <v>10</v>
      </c>
      <c r="F1251" s="0" t="s">
        <v>58</v>
      </c>
      <c r="G1251" s="0" t="s">
        <v>59</v>
      </c>
      <c r="H1251" s="0" t="s">
        <v>59</v>
      </c>
      <c r="I1251" s="0" t="s">
        <v>34</v>
      </c>
      <c r="J1251" s="0" t="n">
        <v>1.92</v>
      </c>
      <c r="K1251" s="0" t="s">
        <v>60</v>
      </c>
      <c r="L1251" s="0" t="n">
        <f aca="false">INDEX(Summary!$F$2:$F$201,MATCH($B1251,Summary!$A$2:$A$201,0))</f>
        <v>20</v>
      </c>
      <c r="M1251" s="0" t="n">
        <f aca="false">INDEX(Summary!$I$2:$I$201,MATCH($B1251,Summary!$A$2:$A$201,0))</f>
        <v>2</v>
      </c>
      <c r="N1251" s="0" t="n">
        <f aca="false">INDEX(Summary!$J$2:$J$201,MATCH($B1251,Summary!$A$2:$A$201,0))</f>
        <v>3</v>
      </c>
      <c r="O1251" s="2" t="n">
        <f aca="false">INDEX(Summary!$K$2:$K$201,MATCH($B1251,Summary!$A$2:$A$201,0))</f>
        <v>9.03</v>
      </c>
      <c r="P1251" s="3" t="n">
        <f aca="false">INDEX(Summary!$L$2:$L$201,MATCH($B1251,Summary!$A$2:$A$201,0))</f>
        <v>5</v>
      </c>
      <c r="Q1251" s="3" t="n">
        <f aca="false">INDEX(Summary!$M$2:$M$201,MATCH($B1251,Summary!$A$2:$A$201,0))</f>
        <v>1</v>
      </c>
      <c r="R1251" s="2" t="n">
        <f aca="false">INDEX(Summary!$N$2:$N$201,MATCH($B1251,Summary!$A$2:$A$201,0))</f>
        <v>9.25</v>
      </c>
      <c r="S1251" s="3" t="n">
        <f aca="false">INDEX(Summary!$O$2:$O$201,MATCH($B1251,Summary!$A$2:$A$201,0))</f>
        <v>8</v>
      </c>
      <c r="T1251" s="3" t="n">
        <f aca="false">INDEX(Summary!$P$2:$P$201,MATCH($B1251,Summary!$A$2:$A$201,0))</f>
        <v>1</v>
      </c>
      <c r="U1251" s="2" t="n">
        <f aca="false">INDEX(Summary!$Q$2:$Q$201,MATCH($B1251,Summary!$A$2:$A$201,0))</f>
        <v>14.68</v>
      </c>
      <c r="V1251" s="2" t="n">
        <f aca="false">INDEX(Summary!$R$2:$R$201,MATCH($B1251,Summary!$A$2:$A$201,0))</f>
        <v>27.33</v>
      </c>
      <c r="W1251" s="0" t="str">
        <f aca="false">INDEX(Summary!$S$2:$S$201,MATCH($B1251,Summary!$A$2:$A$201,0))</f>
        <v>Silver</v>
      </c>
      <c r="X1251" s="2" t="n">
        <f aca="false">INDEX(Summary!$T$2:$T$201,MATCH($B1251,Summary!$A$2:$A$201,0))</f>
        <v>66.66</v>
      </c>
      <c r="Y1251" s="0" t="str">
        <f aca="false">INDEX('Reward Model'!$E$18:$E$37,MATCH($E1251,'Reward Model'!$A$18:$A$37,0))</f>
        <v>Medium</v>
      </c>
      <c r="Z1251" s="4" t="n">
        <f aca="false">ROUND(MIN(1,MAX('Reward Model'!$B$2,INDEX('Reward Model'!$C$12:$C$14,MATCH($K1251,'Reward Model'!$A$12:$A$14,0))/$J1251)),3)</f>
        <v>0.938</v>
      </c>
      <c r="AA1251" s="2" t="n">
        <f aca="false">IF($I1251="Correct",ROUND(INDEX('Reward Model'!$B$12:$B$14,MATCH($K1251,'Reward Model'!$A$12:$A$14,0))*Z1251,2),0)</f>
        <v>1.88</v>
      </c>
      <c r="AB1251" s="2" t="n">
        <f aca="false">IF($I1251="Correct",ROUND(INDEX('Reward Model'!$B$12:$B$14,MATCH($Y1251,'Reward Model'!$A$12:$A$14,0))*Z1251,2),0)</f>
        <v>1.88</v>
      </c>
    </row>
    <row r="1252" customFormat="false" ht="15" hidden="false" customHeight="false" outlineLevel="0" collapsed="false">
      <c r="A1252" s="0" t="s">
        <v>253</v>
      </c>
      <c r="B1252" s="0" t="s">
        <v>254</v>
      </c>
      <c r="C1252" s="0" t="s">
        <v>30</v>
      </c>
      <c r="D1252" s="0" t="s">
        <v>189</v>
      </c>
      <c r="E1252" s="0" t="n">
        <v>11</v>
      </c>
      <c r="F1252" s="0" t="s">
        <v>61</v>
      </c>
      <c r="G1252" s="0" t="s">
        <v>63</v>
      </c>
      <c r="H1252" s="0" t="s">
        <v>63</v>
      </c>
      <c r="I1252" s="0" t="s">
        <v>34</v>
      </c>
      <c r="J1252" s="0" t="n">
        <v>1.38</v>
      </c>
      <c r="K1252" s="0" t="s">
        <v>60</v>
      </c>
      <c r="L1252" s="0" t="n">
        <f aca="false">INDEX(Summary!$F$2:$F$201,MATCH($B1252,Summary!$A$2:$A$201,0))</f>
        <v>20</v>
      </c>
      <c r="M1252" s="0" t="n">
        <f aca="false">INDEX(Summary!$I$2:$I$201,MATCH($B1252,Summary!$A$2:$A$201,0))</f>
        <v>2</v>
      </c>
      <c r="N1252" s="0" t="n">
        <f aca="false">INDEX(Summary!$J$2:$J$201,MATCH($B1252,Summary!$A$2:$A$201,0))</f>
        <v>3</v>
      </c>
      <c r="O1252" s="2" t="n">
        <f aca="false">INDEX(Summary!$K$2:$K$201,MATCH($B1252,Summary!$A$2:$A$201,0))</f>
        <v>9.03</v>
      </c>
      <c r="P1252" s="3" t="n">
        <f aca="false">INDEX(Summary!$L$2:$L$201,MATCH($B1252,Summary!$A$2:$A$201,0))</f>
        <v>5</v>
      </c>
      <c r="Q1252" s="3" t="n">
        <f aca="false">INDEX(Summary!$M$2:$M$201,MATCH($B1252,Summary!$A$2:$A$201,0))</f>
        <v>1</v>
      </c>
      <c r="R1252" s="2" t="n">
        <f aca="false">INDEX(Summary!$N$2:$N$201,MATCH($B1252,Summary!$A$2:$A$201,0))</f>
        <v>9.25</v>
      </c>
      <c r="S1252" s="3" t="n">
        <f aca="false">INDEX(Summary!$O$2:$O$201,MATCH($B1252,Summary!$A$2:$A$201,0))</f>
        <v>8</v>
      </c>
      <c r="T1252" s="3" t="n">
        <f aca="false">INDEX(Summary!$P$2:$P$201,MATCH($B1252,Summary!$A$2:$A$201,0))</f>
        <v>1</v>
      </c>
      <c r="U1252" s="2" t="n">
        <f aca="false">INDEX(Summary!$Q$2:$Q$201,MATCH($B1252,Summary!$A$2:$A$201,0))</f>
        <v>14.68</v>
      </c>
      <c r="V1252" s="2" t="n">
        <f aca="false">INDEX(Summary!$R$2:$R$201,MATCH($B1252,Summary!$A$2:$A$201,0))</f>
        <v>27.33</v>
      </c>
      <c r="W1252" s="0" t="str">
        <f aca="false">INDEX(Summary!$S$2:$S$201,MATCH($B1252,Summary!$A$2:$A$201,0))</f>
        <v>Silver</v>
      </c>
      <c r="X1252" s="2" t="n">
        <f aca="false">INDEX(Summary!$T$2:$T$201,MATCH($B1252,Summary!$A$2:$A$201,0))</f>
        <v>66.66</v>
      </c>
      <c r="Y1252" s="0" t="str">
        <f aca="false">INDEX('Reward Model'!$E$18:$E$37,MATCH($E1252,'Reward Model'!$A$18:$A$37,0))</f>
        <v>Medium</v>
      </c>
      <c r="Z1252" s="4" t="n">
        <f aca="false">ROUND(MIN(1,MAX('Reward Model'!$B$2,INDEX('Reward Model'!$C$12:$C$14,MATCH($K1252,'Reward Model'!$A$12:$A$14,0))/$J1252)),3)</f>
        <v>1</v>
      </c>
      <c r="AA1252" s="2" t="n">
        <f aca="false">IF($I1252="Correct",ROUND(INDEX('Reward Model'!$B$12:$B$14,MATCH($K1252,'Reward Model'!$A$12:$A$14,0))*Z1252,2),0)</f>
        <v>2</v>
      </c>
      <c r="AB1252" s="2" t="n">
        <f aca="false">IF($I1252="Correct",ROUND(INDEX('Reward Model'!$B$12:$B$14,MATCH($Y1252,'Reward Model'!$A$12:$A$14,0))*Z1252,2),0)</f>
        <v>2</v>
      </c>
    </row>
    <row r="1253" customFormat="false" ht="15" hidden="false" customHeight="false" outlineLevel="0" collapsed="false">
      <c r="A1253" s="0" t="s">
        <v>253</v>
      </c>
      <c r="B1253" s="0" t="s">
        <v>254</v>
      </c>
      <c r="C1253" s="0" t="s">
        <v>30</v>
      </c>
      <c r="D1253" s="0" t="s">
        <v>189</v>
      </c>
      <c r="E1253" s="0" t="n">
        <v>12</v>
      </c>
      <c r="F1253" s="0" t="s">
        <v>64</v>
      </c>
      <c r="G1253" s="0" t="s">
        <v>127</v>
      </c>
      <c r="H1253" s="0" t="s">
        <v>65</v>
      </c>
      <c r="I1253" s="0" t="s">
        <v>39</v>
      </c>
      <c r="J1253" s="0" t="n">
        <v>1.74</v>
      </c>
      <c r="K1253" s="0" t="s">
        <v>60</v>
      </c>
      <c r="L1253" s="0" t="n">
        <f aca="false">INDEX(Summary!$F$2:$F$201,MATCH($B1253,Summary!$A$2:$A$201,0))</f>
        <v>20</v>
      </c>
      <c r="M1253" s="0" t="n">
        <f aca="false">INDEX(Summary!$I$2:$I$201,MATCH($B1253,Summary!$A$2:$A$201,0))</f>
        <v>2</v>
      </c>
      <c r="N1253" s="0" t="n">
        <f aca="false">INDEX(Summary!$J$2:$J$201,MATCH($B1253,Summary!$A$2:$A$201,0))</f>
        <v>3</v>
      </c>
      <c r="O1253" s="2" t="n">
        <f aca="false">INDEX(Summary!$K$2:$K$201,MATCH($B1253,Summary!$A$2:$A$201,0))</f>
        <v>9.03</v>
      </c>
      <c r="P1253" s="3" t="n">
        <f aca="false">INDEX(Summary!$L$2:$L$201,MATCH($B1253,Summary!$A$2:$A$201,0))</f>
        <v>5</v>
      </c>
      <c r="Q1253" s="3" t="n">
        <f aca="false">INDEX(Summary!$M$2:$M$201,MATCH($B1253,Summary!$A$2:$A$201,0))</f>
        <v>1</v>
      </c>
      <c r="R1253" s="2" t="n">
        <f aca="false">INDEX(Summary!$N$2:$N$201,MATCH($B1253,Summary!$A$2:$A$201,0))</f>
        <v>9.25</v>
      </c>
      <c r="S1253" s="3" t="n">
        <f aca="false">INDEX(Summary!$O$2:$O$201,MATCH($B1253,Summary!$A$2:$A$201,0))</f>
        <v>8</v>
      </c>
      <c r="T1253" s="3" t="n">
        <f aca="false">INDEX(Summary!$P$2:$P$201,MATCH($B1253,Summary!$A$2:$A$201,0))</f>
        <v>1</v>
      </c>
      <c r="U1253" s="2" t="n">
        <f aca="false">INDEX(Summary!$Q$2:$Q$201,MATCH($B1253,Summary!$A$2:$A$201,0))</f>
        <v>14.68</v>
      </c>
      <c r="V1253" s="2" t="n">
        <f aca="false">INDEX(Summary!$R$2:$R$201,MATCH($B1253,Summary!$A$2:$A$201,0))</f>
        <v>27.33</v>
      </c>
      <c r="W1253" s="0" t="str">
        <f aca="false">INDEX(Summary!$S$2:$S$201,MATCH($B1253,Summary!$A$2:$A$201,0))</f>
        <v>Silver</v>
      </c>
      <c r="X1253" s="2" t="n">
        <f aca="false">INDEX(Summary!$T$2:$T$201,MATCH($B1253,Summary!$A$2:$A$201,0))</f>
        <v>66.66</v>
      </c>
      <c r="Y1253" s="0" t="str">
        <f aca="false">INDEX('Reward Model'!$E$18:$E$37,MATCH($E1253,'Reward Model'!$A$18:$A$37,0))</f>
        <v>Medium</v>
      </c>
      <c r="Z1253" s="4" t="n">
        <f aca="false">ROUND(MIN(1,MAX('Reward Model'!$B$2,INDEX('Reward Model'!$C$12:$C$14,MATCH($K1253,'Reward Model'!$A$12:$A$14,0))/$J1253)),3)</f>
        <v>1</v>
      </c>
      <c r="AA1253" s="2" t="n">
        <f aca="false">IF($I1253="Correct",ROUND(INDEX('Reward Model'!$B$12:$B$14,MATCH($K1253,'Reward Model'!$A$12:$A$14,0))*Z1253,2),0)</f>
        <v>0</v>
      </c>
      <c r="AB1253" s="2" t="n">
        <f aca="false">IF($I1253="Correct",ROUND(INDEX('Reward Model'!$B$12:$B$14,MATCH($Y1253,'Reward Model'!$A$12:$A$14,0))*Z1253,2),0)</f>
        <v>0</v>
      </c>
    </row>
    <row r="1254" customFormat="false" ht="15" hidden="false" customHeight="false" outlineLevel="0" collapsed="false">
      <c r="A1254" s="0" t="s">
        <v>253</v>
      </c>
      <c r="B1254" s="0" t="s">
        <v>254</v>
      </c>
      <c r="C1254" s="0" t="s">
        <v>30</v>
      </c>
      <c r="D1254" s="0" t="s">
        <v>189</v>
      </c>
      <c r="E1254" s="0" t="n">
        <v>13</v>
      </c>
      <c r="F1254" s="0" t="s">
        <v>66</v>
      </c>
      <c r="G1254" s="0" t="s">
        <v>67</v>
      </c>
      <c r="H1254" s="0" t="s">
        <v>67</v>
      </c>
      <c r="I1254" s="0" t="s">
        <v>34</v>
      </c>
      <c r="J1254" s="0" t="n">
        <v>1.86</v>
      </c>
      <c r="K1254" s="0" t="s">
        <v>60</v>
      </c>
      <c r="L1254" s="0" t="n">
        <f aca="false">INDEX(Summary!$F$2:$F$201,MATCH($B1254,Summary!$A$2:$A$201,0))</f>
        <v>20</v>
      </c>
      <c r="M1254" s="0" t="n">
        <f aca="false">INDEX(Summary!$I$2:$I$201,MATCH($B1254,Summary!$A$2:$A$201,0))</f>
        <v>2</v>
      </c>
      <c r="N1254" s="0" t="n">
        <f aca="false">INDEX(Summary!$J$2:$J$201,MATCH($B1254,Summary!$A$2:$A$201,0))</f>
        <v>3</v>
      </c>
      <c r="O1254" s="2" t="n">
        <f aca="false">INDEX(Summary!$K$2:$K$201,MATCH($B1254,Summary!$A$2:$A$201,0))</f>
        <v>9.03</v>
      </c>
      <c r="P1254" s="3" t="n">
        <f aca="false">INDEX(Summary!$L$2:$L$201,MATCH($B1254,Summary!$A$2:$A$201,0))</f>
        <v>5</v>
      </c>
      <c r="Q1254" s="3" t="n">
        <f aca="false">INDEX(Summary!$M$2:$M$201,MATCH($B1254,Summary!$A$2:$A$201,0))</f>
        <v>1</v>
      </c>
      <c r="R1254" s="2" t="n">
        <f aca="false">INDEX(Summary!$N$2:$N$201,MATCH($B1254,Summary!$A$2:$A$201,0))</f>
        <v>9.25</v>
      </c>
      <c r="S1254" s="3" t="n">
        <f aca="false">INDEX(Summary!$O$2:$O$201,MATCH($B1254,Summary!$A$2:$A$201,0))</f>
        <v>8</v>
      </c>
      <c r="T1254" s="3" t="n">
        <f aca="false">INDEX(Summary!$P$2:$P$201,MATCH($B1254,Summary!$A$2:$A$201,0))</f>
        <v>1</v>
      </c>
      <c r="U1254" s="2" t="n">
        <f aca="false">INDEX(Summary!$Q$2:$Q$201,MATCH($B1254,Summary!$A$2:$A$201,0))</f>
        <v>14.68</v>
      </c>
      <c r="V1254" s="2" t="n">
        <f aca="false">INDEX(Summary!$R$2:$R$201,MATCH($B1254,Summary!$A$2:$A$201,0))</f>
        <v>27.33</v>
      </c>
      <c r="W1254" s="0" t="str">
        <f aca="false">INDEX(Summary!$S$2:$S$201,MATCH($B1254,Summary!$A$2:$A$201,0))</f>
        <v>Silver</v>
      </c>
      <c r="X1254" s="2" t="n">
        <f aca="false">INDEX(Summary!$T$2:$T$201,MATCH($B1254,Summary!$A$2:$A$201,0))</f>
        <v>66.66</v>
      </c>
      <c r="Y1254" s="0" t="str">
        <f aca="false">INDEX('Reward Model'!$E$18:$E$37,MATCH($E1254,'Reward Model'!$A$18:$A$37,0))</f>
        <v>Medium</v>
      </c>
      <c r="Z1254" s="4" t="n">
        <f aca="false">ROUND(MIN(1,MAX('Reward Model'!$B$2,INDEX('Reward Model'!$C$12:$C$14,MATCH($K1254,'Reward Model'!$A$12:$A$14,0))/$J1254)),3)</f>
        <v>0.968</v>
      </c>
      <c r="AA1254" s="2" t="n">
        <f aca="false">IF($I1254="Correct",ROUND(INDEX('Reward Model'!$B$12:$B$14,MATCH($K1254,'Reward Model'!$A$12:$A$14,0))*Z1254,2),0)</f>
        <v>1.94</v>
      </c>
      <c r="AB1254" s="2" t="n">
        <f aca="false">IF($I1254="Correct",ROUND(INDEX('Reward Model'!$B$12:$B$14,MATCH($Y1254,'Reward Model'!$A$12:$A$14,0))*Z1254,2),0)</f>
        <v>1.94</v>
      </c>
    </row>
    <row r="1255" customFormat="false" ht="15" hidden="false" customHeight="false" outlineLevel="0" collapsed="false">
      <c r="A1255" s="0" t="s">
        <v>253</v>
      </c>
      <c r="B1255" s="0" t="s">
        <v>254</v>
      </c>
      <c r="C1255" s="0" t="s">
        <v>30</v>
      </c>
      <c r="D1255" s="0" t="s">
        <v>189</v>
      </c>
      <c r="E1255" s="0" t="n">
        <v>14</v>
      </c>
      <c r="F1255" s="0" t="s">
        <v>68</v>
      </c>
      <c r="G1255" s="0" t="s">
        <v>51</v>
      </c>
      <c r="H1255" s="0" t="s">
        <v>51</v>
      </c>
      <c r="I1255" s="0" t="s">
        <v>34</v>
      </c>
      <c r="J1255" s="0" t="n">
        <v>1.19</v>
      </c>
      <c r="K1255" s="0" t="s">
        <v>60</v>
      </c>
      <c r="L1255" s="0" t="n">
        <f aca="false">INDEX(Summary!$F$2:$F$201,MATCH($B1255,Summary!$A$2:$A$201,0))</f>
        <v>20</v>
      </c>
      <c r="M1255" s="0" t="n">
        <f aca="false">INDEX(Summary!$I$2:$I$201,MATCH($B1255,Summary!$A$2:$A$201,0))</f>
        <v>2</v>
      </c>
      <c r="N1255" s="0" t="n">
        <f aca="false">INDEX(Summary!$J$2:$J$201,MATCH($B1255,Summary!$A$2:$A$201,0))</f>
        <v>3</v>
      </c>
      <c r="O1255" s="2" t="n">
        <f aca="false">INDEX(Summary!$K$2:$K$201,MATCH($B1255,Summary!$A$2:$A$201,0))</f>
        <v>9.03</v>
      </c>
      <c r="P1255" s="3" t="n">
        <f aca="false">INDEX(Summary!$L$2:$L$201,MATCH($B1255,Summary!$A$2:$A$201,0))</f>
        <v>5</v>
      </c>
      <c r="Q1255" s="3" t="n">
        <f aca="false">INDEX(Summary!$M$2:$M$201,MATCH($B1255,Summary!$A$2:$A$201,0))</f>
        <v>1</v>
      </c>
      <c r="R1255" s="2" t="n">
        <f aca="false">INDEX(Summary!$N$2:$N$201,MATCH($B1255,Summary!$A$2:$A$201,0))</f>
        <v>9.25</v>
      </c>
      <c r="S1255" s="3" t="n">
        <f aca="false">INDEX(Summary!$O$2:$O$201,MATCH($B1255,Summary!$A$2:$A$201,0))</f>
        <v>8</v>
      </c>
      <c r="T1255" s="3" t="n">
        <f aca="false">INDEX(Summary!$P$2:$P$201,MATCH($B1255,Summary!$A$2:$A$201,0))</f>
        <v>1</v>
      </c>
      <c r="U1255" s="2" t="n">
        <f aca="false">INDEX(Summary!$Q$2:$Q$201,MATCH($B1255,Summary!$A$2:$A$201,0))</f>
        <v>14.68</v>
      </c>
      <c r="V1255" s="2" t="n">
        <f aca="false">INDEX(Summary!$R$2:$R$201,MATCH($B1255,Summary!$A$2:$A$201,0))</f>
        <v>27.33</v>
      </c>
      <c r="W1255" s="0" t="str">
        <f aca="false">INDEX(Summary!$S$2:$S$201,MATCH($B1255,Summary!$A$2:$A$201,0))</f>
        <v>Silver</v>
      </c>
      <c r="X1255" s="2" t="n">
        <f aca="false">INDEX(Summary!$T$2:$T$201,MATCH($B1255,Summary!$A$2:$A$201,0))</f>
        <v>66.66</v>
      </c>
      <c r="Y1255" s="0" t="str">
        <f aca="false">INDEX('Reward Model'!$E$18:$E$37,MATCH($E1255,'Reward Model'!$A$18:$A$37,0))</f>
        <v>Medium</v>
      </c>
      <c r="Z1255" s="4" t="n">
        <f aca="false">ROUND(MIN(1,MAX('Reward Model'!$B$2,INDEX('Reward Model'!$C$12:$C$14,MATCH($K1255,'Reward Model'!$A$12:$A$14,0))/$J1255)),3)</f>
        <v>1</v>
      </c>
      <c r="AA1255" s="2" t="n">
        <f aca="false">IF($I1255="Correct",ROUND(INDEX('Reward Model'!$B$12:$B$14,MATCH($K1255,'Reward Model'!$A$12:$A$14,0))*Z1255,2),0)</f>
        <v>2</v>
      </c>
      <c r="AB1255" s="2" t="n">
        <f aca="false">IF($I1255="Correct",ROUND(INDEX('Reward Model'!$B$12:$B$14,MATCH($Y1255,'Reward Model'!$A$12:$A$14,0))*Z1255,2),0)</f>
        <v>2</v>
      </c>
    </row>
    <row r="1256" customFormat="false" ht="15" hidden="false" customHeight="false" outlineLevel="0" collapsed="false">
      <c r="A1256" s="0" t="s">
        <v>253</v>
      </c>
      <c r="B1256" s="0" t="s">
        <v>254</v>
      </c>
      <c r="C1256" s="0" t="s">
        <v>30</v>
      </c>
      <c r="D1256" s="0" t="s">
        <v>189</v>
      </c>
      <c r="E1256" s="0" t="n">
        <v>15</v>
      </c>
      <c r="F1256" s="0" t="s">
        <v>69</v>
      </c>
      <c r="G1256" s="0" t="s">
        <v>70</v>
      </c>
      <c r="H1256" s="0" t="s">
        <v>70</v>
      </c>
      <c r="I1256" s="0" t="s">
        <v>34</v>
      </c>
      <c r="J1256" s="0" t="n">
        <v>1.16</v>
      </c>
      <c r="K1256" s="0" t="s">
        <v>60</v>
      </c>
      <c r="L1256" s="0" t="n">
        <f aca="false">INDEX(Summary!$F$2:$F$201,MATCH($B1256,Summary!$A$2:$A$201,0))</f>
        <v>20</v>
      </c>
      <c r="M1256" s="0" t="n">
        <f aca="false">INDEX(Summary!$I$2:$I$201,MATCH($B1256,Summary!$A$2:$A$201,0))</f>
        <v>2</v>
      </c>
      <c r="N1256" s="0" t="n">
        <f aca="false">INDEX(Summary!$J$2:$J$201,MATCH($B1256,Summary!$A$2:$A$201,0))</f>
        <v>3</v>
      </c>
      <c r="O1256" s="2" t="n">
        <f aca="false">INDEX(Summary!$K$2:$K$201,MATCH($B1256,Summary!$A$2:$A$201,0))</f>
        <v>9.03</v>
      </c>
      <c r="P1256" s="3" t="n">
        <f aca="false">INDEX(Summary!$L$2:$L$201,MATCH($B1256,Summary!$A$2:$A$201,0))</f>
        <v>5</v>
      </c>
      <c r="Q1256" s="3" t="n">
        <f aca="false">INDEX(Summary!$M$2:$M$201,MATCH($B1256,Summary!$A$2:$A$201,0))</f>
        <v>1</v>
      </c>
      <c r="R1256" s="2" t="n">
        <f aca="false">INDEX(Summary!$N$2:$N$201,MATCH($B1256,Summary!$A$2:$A$201,0))</f>
        <v>9.25</v>
      </c>
      <c r="S1256" s="3" t="n">
        <f aca="false">INDEX(Summary!$O$2:$O$201,MATCH($B1256,Summary!$A$2:$A$201,0))</f>
        <v>8</v>
      </c>
      <c r="T1256" s="3" t="n">
        <f aca="false">INDEX(Summary!$P$2:$P$201,MATCH($B1256,Summary!$A$2:$A$201,0))</f>
        <v>1</v>
      </c>
      <c r="U1256" s="2" t="n">
        <f aca="false">INDEX(Summary!$Q$2:$Q$201,MATCH($B1256,Summary!$A$2:$A$201,0))</f>
        <v>14.68</v>
      </c>
      <c r="V1256" s="2" t="n">
        <f aca="false">INDEX(Summary!$R$2:$R$201,MATCH($B1256,Summary!$A$2:$A$201,0))</f>
        <v>27.33</v>
      </c>
      <c r="W1256" s="0" t="str">
        <f aca="false">INDEX(Summary!$S$2:$S$201,MATCH($B1256,Summary!$A$2:$A$201,0))</f>
        <v>Silver</v>
      </c>
      <c r="X1256" s="2" t="n">
        <f aca="false">INDEX(Summary!$T$2:$T$201,MATCH($B1256,Summary!$A$2:$A$201,0))</f>
        <v>66.66</v>
      </c>
      <c r="Y1256" s="0" t="str">
        <f aca="false">INDEX('Reward Model'!$E$18:$E$37,MATCH($E1256,'Reward Model'!$A$18:$A$37,0))</f>
        <v>Medium</v>
      </c>
      <c r="Z1256" s="4" t="n">
        <f aca="false">ROUND(MIN(1,MAX('Reward Model'!$B$2,INDEX('Reward Model'!$C$12:$C$14,MATCH($K1256,'Reward Model'!$A$12:$A$14,0))/$J1256)),3)</f>
        <v>1</v>
      </c>
      <c r="AA1256" s="2" t="n">
        <f aca="false">IF($I1256="Correct",ROUND(INDEX('Reward Model'!$B$12:$B$14,MATCH($K1256,'Reward Model'!$A$12:$A$14,0))*Z1256,2),0)</f>
        <v>2</v>
      </c>
      <c r="AB1256" s="2" t="n">
        <f aca="false">IF($I1256="Correct",ROUND(INDEX('Reward Model'!$B$12:$B$14,MATCH($Y1256,'Reward Model'!$A$12:$A$14,0))*Z1256,2),0)</f>
        <v>2</v>
      </c>
    </row>
    <row r="1257" customFormat="false" ht="15" hidden="false" customHeight="false" outlineLevel="0" collapsed="false">
      <c r="A1257" s="0" t="s">
        <v>253</v>
      </c>
      <c r="B1257" s="0" t="s">
        <v>254</v>
      </c>
      <c r="C1257" s="0" t="s">
        <v>30</v>
      </c>
      <c r="D1257" s="0" t="s">
        <v>189</v>
      </c>
      <c r="E1257" s="0" t="n">
        <v>16</v>
      </c>
      <c r="F1257" s="0" t="s">
        <v>71</v>
      </c>
      <c r="G1257" s="0" t="s">
        <v>101</v>
      </c>
      <c r="H1257" s="0" t="s">
        <v>72</v>
      </c>
      <c r="I1257" s="0" t="s">
        <v>39</v>
      </c>
      <c r="J1257" s="0" t="n">
        <v>1.44</v>
      </c>
      <c r="K1257" s="0" t="s">
        <v>73</v>
      </c>
      <c r="L1257" s="0" t="n">
        <f aca="false">INDEX(Summary!$F$2:$F$201,MATCH($B1257,Summary!$A$2:$A$201,0))</f>
        <v>20</v>
      </c>
      <c r="M1257" s="0" t="n">
        <f aca="false">INDEX(Summary!$I$2:$I$201,MATCH($B1257,Summary!$A$2:$A$201,0))</f>
        <v>2</v>
      </c>
      <c r="N1257" s="0" t="n">
        <f aca="false">INDEX(Summary!$J$2:$J$201,MATCH($B1257,Summary!$A$2:$A$201,0))</f>
        <v>3</v>
      </c>
      <c r="O1257" s="2" t="n">
        <f aca="false">INDEX(Summary!$K$2:$K$201,MATCH($B1257,Summary!$A$2:$A$201,0))</f>
        <v>9.03</v>
      </c>
      <c r="P1257" s="3" t="n">
        <f aca="false">INDEX(Summary!$L$2:$L$201,MATCH($B1257,Summary!$A$2:$A$201,0))</f>
        <v>5</v>
      </c>
      <c r="Q1257" s="3" t="n">
        <f aca="false">INDEX(Summary!$M$2:$M$201,MATCH($B1257,Summary!$A$2:$A$201,0))</f>
        <v>1</v>
      </c>
      <c r="R1257" s="2" t="n">
        <f aca="false">INDEX(Summary!$N$2:$N$201,MATCH($B1257,Summary!$A$2:$A$201,0))</f>
        <v>9.25</v>
      </c>
      <c r="S1257" s="3" t="n">
        <f aca="false">INDEX(Summary!$O$2:$O$201,MATCH($B1257,Summary!$A$2:$A$201,0))</f>
        <v>8</v>
      </c>
      <c r="T1257" s="3" t="n">
        <f aca="false">INDEX(Summary!$P$2:$P$201,MATCH($B1257,Summary!$A$2:$A$201,0))</f>
        <v>1</v>
      </c>
      <c r="U1257" s="2" t="n">
        <f aca="false">INDEX(Summary!$Q$2:$Q$201,MATCH($B1257,Summary!$A$2:$A$201,0))</f>
        <v>14.68</v>
      </c>
      <c r="V1257" s="2" t="n">
        <f aca="false">INDEX(Summary!$R$2:$R$201,MATCH($B1257,Summary!$A$2:$A$201,0))</f>
        <v>27.33</v>
      </c>
      <c r="W1257" s="0" t="str">
        <f aca="false">INDEX(Summary!$S$2:$S$201,MATCH($B1257,Summary!$A$2:$A$201,0))</f>
        <v>Silver</v>
      </c>
      <c r="X1257" s="2" t="n">
        <f aca="false">INDEX(Summary!$T$2:$T$201,MATCH($B1257,Summary!$A$2:$A$201,0))</f>
        <v>66.66</v>
      </c>
      <c r="Y1257" s="0" t="str">
        <f aca="false">INDEX('Reward Model'!$E$18:$E$37,MATCH($E1257,'Reward Model'!$A$18:$A$37,0))</f>
        <v>High</v>
      </c>
      <c r="Z1257" s="4" t="n">
        <f aca="false">ROUND(MIN(1,MAX('Reward Model'!$B$2,INDEX('Reward Model'!$C$12:$C$14,MATCH($K1257,'Reward Model'!$A$12:$A$14,0))/$J1257)),3)</f>
        <v>1</v>
      </c>
      <c r="AA1257" s="2" t="n">
        <f aca="false">IF($I1257="Correct",ROUND(INDEX('Reward Model'!$B$12:$B$14,MATCH($K1257,'Reward Model'!$A$12:$A$14,0))*Z1257,2),0)</f>
        <v>0</v>
      </c>
      <c r="AB1257" s="2" t="n">
        <f aca="false">IF($I1257="Correct",ROUND(INDEX('Reward Model'!$B$12:$B$14,MATCH($Y1257,'Reward Model'!$A$12:$A$14,0))*Z1257,2),0)</f>
        <v>0</v>
      </c>
    </row>
    <row r="1258" customFormat="false" ht="15" hidden="false" customHeight="false" outlineLevel="0" collapsed="false">
      <c r="A1258" s="0" t="s">
        <v>253</v>
      </c>
      <c r="B1258" s="0" t="s">
        <v>254</v>
      </c>
      <c r="C1258" s="0" t="s">
        <v>30</v>
      </c>
      <c r="D1258" s="0" t="s">
        <v>189</v>
      </c>
      <c r="E1258" s="0" t="n">
        <v>17</v>
      </c>
      <c r="F1258" s="0" t="s">
        <v>74</v>
      </c>
      <c r="G1258" s="0" t="s">
        <v>75</v>
      </c>
      <c r="H1258" s="0" t="s">
        <v>75</v>
      </c>
      <c r="I1258" s="0" t="s">
        <v>34</v>
      </c>
      <c r="J1258" s="0" t="n">
        <v>2.07</v>
      </c>
      <c r="K1258" s="0" t="s">
        <v>73</v>
      </c>
      <c r="L1258" s="0" t="n">
        <f aca="false">INDEX(Summary!$F$2:$F$201,MATCH($B1258,Summary!$A$2:$A$201,0))</f>
        <v>20</v>
      </c>
      <c r="M1258" s="0" t="n">
        <f aca="false">INDEX(Summary!$I$2:$I$201,MATCH($B1258,Summary!$A$2:$A$201,0))</f>
        <v>2</v>
      </c>
      <c r="N1258" s="0" t="n">
        <f aca="false">INDEX(Summary!$J$2:$J$201,MATCH($B1258,Summary!$A$2:$A$201,0))</f>
        <v>3</v>
      </c>
      <c r="O1258" s="2" t="n">
        <f aca="false">INDEX(Summary!$K$2:$K$201,MATCH($B1258,Summary!$A$2:$A$201,0))</f>
        <v>9.03</v>
      </c>
      <c r="P1258" s="3" t="n">
        <f aca="false">INDEX(Summary!$L$2:$L$201,MATCH($B1258,Summary!$A$2:$A$201,0))</f>
        <v>5</v>
      </c>
      <c r="Q1258" s="3" t="n">
        <f aca="false">INDEX(Summary!$M$2:$M$201,MATCH($B1258,Summary!$A$2:$A$201,0))</f>
        <v>1</v>
      </c>
      <c r="R1258" s="2" t="n">
        <f aca="false">INDEX(Summary!$N$2:$N$201,MATCH($B1258,Summary!$A$2:$A$201,0))</f>
        <v>9.25</v>
      </c>
      <c r="S1258" s="3" t="n">
        <f aca="false">INDEX(Summary!$O$2:$O$201,MATCH($B1258,Summary!$A$2:$A$201,0))</f>
        <v>8</v>
      </c>
      <c r="T1258" s="3" t="n">
        <f aca="false">INDEX(Summary!$P$2:$P$201,MATCH($B1258,Summary!$A$2:$A$201,0))</f>
        <v>1</v>
      </c>
      <c r="U1258" s="2" t="n">
        <f aca="false">INDEX(Summary!$Q$2:$Q$201,MATCH($B1258,Summary!$A$2:$A$201,0))</f>
        <v>14.68</v>
      </c>
      <c r="V1258" s="2" t="n">
        <f aca="false">INDEX(Summary!$R$2:$R$201,MATCH($B1258,Summary!$A$2:$A$201,0))</f>
        <v>27.33</v>
      </c>
      <c r="W1258" s="0" t="str">
        <f aca="false">INDEX(Summary!$S$2:$S$201,MATCH($B1258,Summary!$A$2:$A$201,0))</f>
        <v>Silver</v>
      </c>
      <c r="X1258" s="2" t="n">
        <f aca="false">INDEX(Summary!$T$2:$T$201,MATCH($B1258,Summary!$A$2:$A$201,0))</f>
        <v>66.66</v>
      </c>
      <c r="Y1258" s="0" t="str">
        <f aca="false">INDEX('Reward Model'!$E$18:$E$37,MATCH($E1258,'Reward Model'!$A$18:$A$37,0))</f>
        <v>High</v>
      </c>
      <c r="Z1258" s="4" t="n">
        <f aca="false">ROUND(MIN(1,MAX('Reward Model'!$B$2,INDEX('Reward Model'!$C$12:$C$14,MATCH($K1258,'Reward Model'!$A$12:$A$14,0))/$J1258)),3)</f>
        <v>0.966</v>
      </c>
      <c r="AA1258" s="2" t="n">
        <f aca="false">IF($I1258="Correct",ROUND(INDEX('Reward Model'!$B$12:$B$14,MATCH($K1258,'Reward Model'!$A$12:$A$14,0))*Z1258,2),0)</f>
        <v>2.9</v>
      </c>
      <c r="AB1258" s="2" t="n">
        <f aca="false">IF($I1258="Correct",ROUND(INDEX('Reward Model'!$B$12:$B$14,MATCH($Y1258,'Reward Model'!$A$12:$A$14,0))*Z1258,2),0)</f>
        <v>2.9</v>
      </c>
    </row>
    <row r="1259" customFormat="false" ht="15" hidden="false" customHeight="false" outlineLevel="0" collapsed="false">
      <c r="A1259" s="0" t="s">
        <v>253</v>
      </c>
      <c r="B1259" s="0" t="s">
        <v>254</v>
      </c>
      <c r="C1259" s="0" t="s">
        <v>30</v>
      </c>
      <c r="D1259" s="0" t="s">
        <v>189</v>
      </c>
      <c r="E1259" s="0" t="n">
        <v>18</v>
      </c>
      <c r="F1259" s="0" t="s">
        <v>76</v>
      </c>
      <c r="G1259" s="0" t="s">
        <v>77</v>
      </c>
      <c r="H1259" s="0" t="s">
        <v>77</v>
      </c>
      <c r="I1259" s="0" t="s">
        <v>34</v>
      </c>
      <c r="J1259" s="0" t="n">
        <v>1.97</v>
      </c>
      <c r="K1259" s="0" t="s">
        <v>73</v>
      </c>
      <c r="L1259" s="0" t="n">
        <f aca="false">INDEX(Summary!$F$2:$F$201,MATCH($B1259,Summary!$A$2:$A$201,0))</f>
        <v>20</v>
      </c>
      <c r="M1259" s="0" t="n">
        <f aca="false">INDEX(Summary!$I$2:$I$201,MATCH($B1259,Summary!$A$2:$A$201,0))</f>
        <v>2</v>
      </c>
      <c r="N1259" s="0" t="n">
        <f aca="false">INDEX(Summary!$J$2:$J$201,MATCH($B1259,Summary!$A$2:$A$201,0))</f>
        <v>3</v>
      </c>
      <c r="O1259" s="2" t="n">
        <f aca="false">INDEX(Summary!$K$2:$K$201,MATCH($B1259,Summary!$A$2:$A$201,0))</f>
        <v>9.03</v>
      </c>
      <c r="P1259" s="3" t="n">
        <f aca="false">INDEX(Summary!$L$2:$L$201,MATCH($B1259,Summary!$A$2:$A$201,0))</f>
        <v>5</v>
      </c>
      <c r="Q1259" s="3" t="n">
        <f aca="false">INDEX(Summary!$M$2:$M$201,MATCH($B1259,Summary!$A$2:$A$201,0))</f>
        <v>1</v>
      </c>
      <c r="R1259" s="2" t="n">
        <f aca="false">INDEX(Summary!$N$2:$N$201,MATCH($B1259,Summary!$A$2:$A$201,0))</f>
        <v>9.25</v>
      </c>
      <c r="S1259" s="3" t="n">
        <f aca="false">INDEX(Summary!$O$2:$O$201,MATCH($B1259,Summary!$A$2:$A$201,0))</f>
        <v>8</v>
      </c>
      <c r="T1259" s="3" t="n">
        <f aca="false">INDEX(Summary!$P$2:$P$201,MATCH($B1259,Summary!$A$2:$A$201,0))</f>
        <v>1</v>
      </c>
      <c r="U1259" s="2" t="n">
        <f aca="false">INDEX(Summary!$Q$2:$Q$201,MATCH($B1259,Summary!$A$2:$A$201,0))</f>
        <v>14.68</v>
      </c>
      <c r="V1259" s="2" t="n">
        <f aca="false">INDEX(Summary!$R$2:$R$201,MATCH($B1259,Summary!$A$2:$A$201,0))</f>
        <v>27.33</v>
      </c>
      <c r="W1259" s="0" t="str">
        <f aca="false">INDEX(Summary!$S$2:$S$201,MATCH($B1259,Summary!$A$2:$A$201,0))</f>
        <v>Silver</v>
      </c>
      <c r="X1259" s="2" t="n">
        <f aca="false">INDEX(Summary!$T$2:$T$201,MATCH($B1259,Summary!$A$2:$A$201,0))</f>
        <v>66.66</v>
      </c>
      <c r="Y1259" s="0" t="str">
        <f aca="false">INDEX('Reward Model'!$E$18:$E$37,MATCH($E1259,'Reward Model'!$A$18:$A$37,0))</f>
        <v>High</v>
      </c>
      <c r="Z1259" s="4" t="n">
        <f aca="false">ROUND(MIN(1,MAX('Reward Model'!$B$2,INDEX('Reward Model'!$C$12:$C$14,MATCH($K1259,'Reward Model'!$A$12:$A$14,0))/$J1259)),3)</f>
        <v>1</v>
      </c>
      <c r="AA1259" s="2" t="n">
        <f aca="false">IF($I1259="Correct",ROUND(INDEX('Reward Model'!$B$12:$B$14,MATCH($K1259,'Reward Model'!$A$12:$A$14,0))*Z1259,2),0)</f>
        <v>3</v>
      </c>
      <c r="AB1259" s="2" t="n">
        <f aca="false">IF($I1259="Correct",ROUND(INDEX('Reward Model'!$B$12:$B$14,MATCH($Y1259,'Reward Model'!$A$12:$A$14,0))*Z1259,2),0)</f>
        <v>3</v>
      </c>
    </row>
    <row r="1260" customFormat="false" ht="15" hidden="false" customHeight="false" outlineLevel="0" collapsed="false">
      <c r="A1260" s="0" t="s">
        <v>253</v>
      </c>
      <c r="B1260" s="0" t="s">
        <v>254</v>
      </c>
      <c r="C1260" s="0" t="s">
        <v>30</v>
      </c>
      <c r="D1260" s="0" t="s">
        <v>189</v>
      </c>
      <c r="E1260" s="0" t="n">
        <v>19</v>
      </c>
      <c r="F1260" s="0" t="s">
        <v>78</v>
      </c>
      <c r="G1260" s="0" t="s">
        <v>51</v>
      </c>
      <c r="H1260" s="0" t="s">
        <v>80</v>
      </c>
      <c r="I1260" s="0" t="s">
        <v>39</v>
      </c>
      <c r="J1260" s="0" t="n">
        <v>1.88</v>
      </c>
      <c r="K1260" s="0" t="s">
        <v>73</v>
      </c>
      <c r="L1260" s="0" t="n">
        <f aca="false">INDEX(Summary!$F$2:$F$201,MATCH($B1260,Summary!$A$2:$A$201,0))</f>
        <v>20</v>
      </c>
      <c r="M1260" s="0" t="n">
        <f aca="false">INDEX(Summary!$I$2:$I$201,MATCH($B1260,Summary!$A$2:$A$201,0))</f>
        <v>2</v>
      </c>
      <c r="N1260" s="0" t="n">
        <f aca="false">INDEX(Summary!$J$2:$J$201,MATCH($B1260,Summary!$A$2:$A$201,0))</f>
        <v>3</v>
      </c>
      <c r="O1260" s="2" t="n">
        <f aca="false">INDEX(Summary!$K$2:$K$201,MATCH($B1260,Summary!$A$2:$A$201,0))</f>
        <v>9.03</v>
      </c>
      <c r="P1260" s="3" t="n">
        <f aca="false">INDEX(Summary!$L$2:$L$201,MATCH($B1260,Summary!$A$2:$A$201,0))</f>
        <v>5</v>
      </c>
      <c r="Q1260" s="3" t="n">
        <f aca="false">INDEX(Summary!$M$2:$M$201,MATCH($B1260,Summary!$A$2:$A$201,0))</f>
        <v>1</v>
      </c>
      <c r="R1260" s="2" t="n">
        <f aca="false">INDEX(Summary!$N$2:$N$201,MATCH($B1260,Summary!$A$2:$A$201,0))</f>
        <v>9.25</v>
      </c>
      <c r="S1260" s="3" t="n">
        <f aca="false">INDEX(Summary!$O$2:$O$201,MATCH($B1260,Summary!$A$2:$A$201,0))</f>
        <v>8</v>
      </c>
      <c r="T1260" s="3" t="n">
        <f aca="false">INDEX(Summary!$P$2:$P$201,MATCH($B1260,Summary!$A$2:$A$201,0))</f>
        <v>1</v>
      </c>
      <c r="U1260" s="2" t="n">
        <f aca="false">INDEX(Summary!$Q$2:$Q$201,MATCH($B1260,Summary!$A$2:$A$201,0))</f>
        <v>14.68</v>
      </c>
      <c r="V1260" s="2" t="n">
        <f aca="false">INDEX(Summary!$R$2:$R$201,MATCH($B1260,Summary!$A$2:$A$201,0))</f>
        <v>27.33</v>
      </c>
      <c r="W1260" s="0" t="str">
        <f aca="false">INDEX(Summary!$S$2:$S$201,MATCH($B1260,Summary!$A$2:$A$201,0))</f>
        <v>Silver</v>
      </c>
      <c r="X1260" s="2" t="n">
        <f aca="false">INDEX(Summary!$T$2:$T$201,MATCH($B1260,Summary!$A$2:$A$201,0))</f>
        <v>66.66</v>
      </c>
      <c r="Y1260" s="0" t="str">
        <f aca="false">INDEX('Reward Model'!$E$18:$E$37,MATCH($E1260,'Reward Model'!$A$18:$A$37,0))</f>
        <v>High</v>
      </c>
      <c r="Z1260" s="4" t="n">
        <f aca="false">ROUND(MIN(1,MAX('Reward Model'!$B$2,INDEX('Reward Model'!$C$12:$C$14,MATCH($K1260,'Reward Model'!$A$12:$A$14,0))/$J1260)),3)</f>
        <v>1</v>
      </c>
      <c r="AA1260" s="2" t="n">
        <f aca="false">IF($I1260="Correct",ROUND(INDEX('Reward Model'!$B$12:$B$14,MATCH($K1260,'Reward Model'!$A$12:$A$14,0))*Z1260,2),0)</f>
        <v>0</v>
      </c>
      <c r="AB1260" s="2" t="n">
        <f aca="false">IF($I1260="Correct",ROUND(INDEX('Reward Model'!$B$12:$B$14,MATCH($Y1260,'Reward Model'!$A$12:$A$14,0))*Z1260,2),0)</f>
        <v>0</v>
      </c>
    </row>
    <row r="1261" customFormat="false" ht="15" hidden="false" customHeight="false" outlineLevel="0" collapsed="false">
      <c r="A1261" s="0" t="s">
        <v>253</v>
      </c>
      <c r="B1261" s="0" t="s">
        <v>254</v>
      </c>
      <c r="C1261" s="0" t="s">
        <v>30</v>
      </c>
      <c r="D1261" s="0" t="s">
        <v>189</v>
      </c>
      <c r="E1261" s="0" t="n">
        <v>20</v>
      </c>
      <c r="F1261" s="0" t="s">
        <v>81</v>
      </c>
      <c r="G1261" s="0" t="s">
        <v>82</v>
      </c>
      <c r="H1261" s="0" t="s">
        <v>83</v>
      </c>
      <c r="I1261" s="0" t="s">
        <v>39</v>
      </c>
      <c r="J1261" s="0" t="n">
        <v>1.67</v>
      </c>
      <c r="K1261" s="0" t="s">
        <v>73</v>
      </c>
      <c r="L1261" s="0" t="n">
        <f aca="false">INDEX(Summary!$F$2:$F$201,MATCH($B1261,Summary!$A$2:$A$201,0))</f>
        <v>20</v>
      </c>
      <c r="M1261" s="0" t="n">
        <f aca="false">INDEX(Summary!$I$2:$I$201,MATCH($B1261,Summary!$A$2:$A$201,0))</f>
        <v>2</v>
      </c>
      <c r="N1261" s="0" t="n">
        <f aca="false">INDEX(Summary!$J$2:$J$201,MATCH($B1261,Summary!$A$2:$A$201,0))</f>
        <v>3</v>
      </c>
      <c r="O1261" s="2" t="n">
        <f aca="false">INDEX(Summary!$K$2:$K$201,MATCH($B1261,Summary!$A$2:$A$201,0))</f>
        <v>9.03</v>
      </c>
      <c r="P1261" s="3" t="n">
        <f aca="false">INDEX(Summary!$L$2:$L$201,MATCH($B1261,Summary!$A$2:$A$201,0))</f>
        <v>5</v>
      </c>
      <c r="Q1261" s="3" t="n">
        <f aca="false">INDEX(Summary!$M$2:$M$201,MATCH($B1261,Summary!$A$2:$A$201,0))</f>
        <v>1</v>
      </c>
      <c r="R1261" s="2" t="n">
        <f aca="false">INDEX(Summary!$N$2:$N$201,MATCH($B1261,Summary!$A$2:$A$201,0))</f>
        <v>9.25</v>
      </c>
      <c r="S1261" s="3" t="n">
        <f aca="false">INDEX(Summary!$O$2:$O$201,MATCH($B1261,Summary!$A$2:$A$201,0))</f>
        <v>8</v>
      </c>
      <c r="T1261" s="3" t="n">
        <f aca="false">INDEX(Summary!$P$2:$P$201,MATCH($B1261,Summary!$A$2:$A$201,0))</f>
        <v>1</v>
      </c>
      <c r="U1261" s="2" t="n">
        <f aca="false">INDEX(Summary!$Q$2:$Q$201,MATCH($B1261,Summary!$A$2:$A$201,0))</f>
        <v>14.68</v>
      </c>
      <c r="V1261" s="2" t="n">
        <f aca="false">INDEX(Summary!$R$2:$R$201,MATCH($B1261,Summary!$A$2:$A$201,0))</f>
        <v>27.33</v>
      </c>
      <c r="W1261" s="0" t="str">
        <f aca="false">INDEX(Summary!$S$2:$S$201,MATCH($B1261,Summary!$A$2:$A$201,0))</f>
        <v>Silver</v>
      </c>
      <c r="X1261" s="2" t="n">
        <f aca="false">INDEX(Summary!$T$2:$T$201,MATCH($B1261,Summary!$A$2:$A$201,0))</f>
        <v>66.66</v>
      </c>
      <c r="Y1261" s="0" t="str">
        <f aca="false">INDEX('Reward Model'!$E$18:$E$37,MATCH($E1261,'Reward Model'!$A$18:$A$37,0))</f>
        <v>High</v>
      </c>
      <c r="Z1261" s="4" t="n">
        <f aca="false">ROUND(MIN(1,MAX('Reward Model'!$B$2,INDEX('Reward Model'!$C$12:$C$14,MATCH($K1261,'Reward Model'!$A$12:$A$14,0))/$J1261)),3)</f>
        <v>1</v>
      </c>
      <c r="AA1261" s="2" t="n">
        <f aca="false">IF($I1261="Correct",ROUND(INDEX('Reward Model'!$B$12:$B$14,MATCH($K1261,'Reward Model'!$A$12:$A$14,0))*Z1261,2),0)</f>
        <v>0</v>
      </c>
      <c r="AB1261" s="2" t="n">
        <f aca="false">IF($I1261="Correct",ROUND(INDEX('Reward Model'!$B$12:$B$14,MATCH($Y1261,'Reward Model'!$A$12:$A$14,0))*Z1261,2),0)</f>
        <v>0</v>
      </c>
    </row>
    <row r="1262" customFormat="false" ht="15" hidden="false" customHeight="false" outlineLevel="0" collapsed="false">
      <c r="A1262" s="0" t="s">
        <v>255</v>
      </c>
      <c r="B1262" s="0" t="s">
        <v>256</v>
      </c>
      <c r="C1262" s="0" t="s">
        <v>30</v>
      </c>
      <c r="D1262" s="0" t="s">
        <v>189</v>
      </c>
      <c r="E1262" s="0" t="n">
        <v>1</v>
      </c>
      <c r="F1262" s="0" t="s">
        <v>32</v>
      </c>
      <c r="G1262" s="0" t="s">
        <v>33</v>
      </c>
      <c r="H1262" s="0" t="s">
        <v>33</v>
      </c>
      <c r="I1262" s="0" t="s">
        <v>34</v>
      </c>
      <c r="J1262" s="0" t="n">
        <v>1.99</v>
      </c>
      <c r="K1262" s="0" t="s">
        <v>35</v>
      </c>
      <c r="L1262" s="0" t="n">
        <f aca="false">INDEX(Summary!$F$2:$F$201,MATCH($B1262,Summary!$A$2:$A$201,0))</f>
        <v>20</v>
      </c>
      <c r="M1262" s="0" t="n">
        <f aca="false">INDEX(Summary!$I$2:$I$201,MATCH($B1262,Summary!$A$2:$A$201,0))</f>
        <v>4</v>
      </c>
      <c r="N1262" s="0" t="n">
        <f aca="false">INDEX(Summary!$J$2:$J$201,MATCH($B1262,Summary!$A$2:$A$201,0))</f>
        <v>1</v>
      </c>
      <c r="O1262" s="2" t="n">
        <f aca="false">INDEX(Summary!$K$2:$K$201,MATCH($B1262,Summary!$A$2:$A$201,0))</f>
        <v>10.4</v>
      </c>
      <c r="P1262" s="3" t="n">
        <f aca="false">INDEX(Summary!$L$2:$L$201,MATCH($B1262,Summary!$A$2:$A$201,0))</f>
        <v>5</v>
      </c>
      <c r="Q1262" s="3" t="n">
        <f aca="false">INDEX(Summary!$M$2:$M$201,MATCH($B1262,Summary!$A$2:$A$201,0))</f>
        <v>1</v>
      </c>
      <c r="R1262" s="2" t="n">
        <f aca="false">INDEX(Summary!$N$2:$N$201,MATCH($B1262,Summary!$A$2:$A$201,0))</f>
        <v>10.7</v>
      </c>
      <c r="S1262" s="3" t="n">
        <f aca="false">INDEX(Summary!$O$2:$O$201,MATCH($B1262,Summary!$A$2:$A$201,0))</f>
        <v>8</v>
      </c>
      <c r="T1262" s="3" t="n">
        <f aca="false">INDEX(Summary!$P$2:$P$201,MATCH($B1262,Summary!$A$2:$A$201,0))</f>
        <v>1</v>
      </c>
      <c r="U1262" s="2" t="n">
        <f aca="false">INDEX(Summary!$Q$2:$Q$201,MATCH($B1262,Summary!$A$2:$A$201,0))</f>
        <v>14.99</v>
      </c>
      <c r="V1262" s="2" t="n">
        <f aca="false">INDEX(Summary!$R$2:$R$201,MATCH($B1262,Summary!$A$2:$A$201,0))</f>
        <v>30.96</v>
      </c>
      <c r="W1262" s="0" t="str">
        <f aca="false">INDEX(Summary!$S$2:$S$201,MATCH($B1262,Summary!$A$2:$A$201,0))</f>
        <v>Gold</v>
      </c>
      <c r="X1262" s="2" t="n">
        <f aca="false">INDEX(Summary!$T$2:$T$201,MATCH($B1262,Summary!$A$2:$A$201,0))</f>
        <v>75.51</v>
      </c>
      <c r="Y1262" s="0" t="str">
        <f aca="false">INDEX('Reward Model'!$E$18:$E$37,MATCH($E1262,'Reward Model'!$A$18:$A$37,0))</f>
        <v>Medium</v>
      </c>
      <c r="Z1262" s="4" t="n">
        <f aca="false">ROUND(MIN(1,MAX('Reward Model'!$B$2,INDEX('Reward Model'!$C$12:$C$14,MATCH($K1262,'Reward Model'!$A$12:$A$14,0))/$J1262)),3)</f>
        <v>0.754</v>
      </c>
      <c r="AA1262" s="2" t="n">
        <f aca="false">IF($I1262="Correct",ROUND(INDEX('Reward Model'!$B$12:$B$14,MATCH($K1262,'Reward Model'!$A$12:$A$14,0))*Z1262,2),0)</f>
        <v>0.75</v>
      </c>
      <c r="AB1262" s="2" t="n">
        <f aca="false">IF($I1262="Correct",ROUND(INDEX('Reward Model'!$B$12:$B$14,MATCH($Y1262,'Reward Model'!$A$12:$A$14,0))*Z1262,2),0)</f>
        <v>1.51</v>
      </c>
    </row>
    <row r="1263" customFormat="false" ht="15" hidden="false" customHeight="false" outlineLevel="0" collapsed="false">
      <c r="A1263" s="0" t="s">
        <v>255</v>
      </c>
      <c r="B1263" s="0" t="s">
        <v>256</v>
      </c>
      <c r="C1263" s="0" t="s">
        <v>30</v>
      </c>
      <c r="D1263" s="0" t="s">
        <v>189</v>
      </c>
      <c r="E1263" s="0" t="n">
        <v>2</v>
      </c>
      <c r="F1263" s="0" t="s">
        <v>36</v>
      </c>
      <c r="G1263" s="0" t="s">
        <v>38</v>
      </c>
      <c r="H1263" s="0" t="s">
        <v>38</v>
      </c>
      <c r="I1263" s="0" t="s">
        <v>34</v>
      </c>
      <c r="J1263" s="0" t="n">
        <v>1.69</v>
      </c>
      <c r="K1263" s="0" t="s">
        <v>35</v>
      </c>
      <c r="L1263" s="0" t="n">
        <f aca="false">INDEX(Summary!$F$2:$F$201,MATCH($B1263,Summary!$A$2:$A$201,0))</f>
        <v>20</v>
      </c>
      <c r="M1263" s="0" t="n">
        <f aca="false">INDEX(Summary!$I$2:$I$201,MATCH($B1263,Summary!$A$2:$A$201,0))</f>
        <v>4</v>
      </c>
      <c r="N1263" s="0" t="n">
        <f aca="false">INDEX(Summary!$J$2:$J$201,MATCH($B1263,Summary!$A$2:$A$201,0))</f>
        <v>1</v>
      </c>
      <c r="O1263" s="2" t="n">
        <f aca="false">INDEX(Summary!$K$2:$K$201,MATCH($B1263,Summary!$A$2:$A$201,0))</f>
        <v>10.4</v>
      </c>
      <c r="P1263" s="3" t="n">
        <f aca="false">INDEX(Summary!$L$2:$L$201,MATCH($B1263,Summary!$A$2:$A$201,0))</f>
        <v>5</v>
      </c>
      <c r="Q1263" s="3" t="n">
        <f aca="false">INDEX(Summary!$M$2:$M$201,MATCH($B1263,Summary!$A$2:$A$201,0))</f>
        <v>1</v>
      </c>
      <c r="R1263" s="2" t="n">
        <f aca="false">INDEX(Summary!$N$2:$N$201,MATCH($B1263,Summary!$A$2:$A$201,0))</f>
        <v>10.7</v>
      </c>
      <c r="S1263" s="3" t="n">
        <f aca="false">INDEX(Summary!$O$2:$O$201,MATCH($B1263,Summary!$A$2:$A$201,0))</f>
        <v>8</v>
      </c>
      <c r="T1263" s="3" t="n">
        <f aca="false">INDEX(Summary!$P$2:$P$201,MATCH($B1263,Summary!$A$2:$A$201,0))</f>
        <v>1</v>
      </c>
      <c r="U1263" s="2" t="n">
        <f aca="false">INDEX(Summary!$Q$2:$Q$201,MATCH($B1263,Summary!$A$2:$A$201,0))</f>
        <v>14.99</v>
      </c>
      <c r="V1263" s="2" t="n">
        <f aca="false">INDEX(Summary!$R$2:$R$201,MATCH($B1263,Summary!$A$2:$A$201,0))</f>
        <v>30.96</v>
      </c>
      <c r="W1263" s="0" t="str">
        <f aca="false">INDEX(Summary!$S$2:$S$201,MATCH($B1263,Summary!$A$2:$A$201,0))</f>
        <v>Gold</v>
      </c>
      <c r="X1263" s="2" t="n">
        <f aca="false">INDEX(Summary!$T$2:$T$201,MATCH($B1263,Summary!$A$2:$A$201,0))</f>
        <v>75.51</v>
      </c>
      <c r="Y1263" s="0" t="str">
        <f aca="false">INDEX('Reward Model'!$E$18:$E$37,MATCH($E1263,'Reward Model'!$A$18:$A$37,0))</f>
        <v>Low</v>
      </c>
      <c r="Z1263" s="4" t="n">
        <f aca="false">ROUND(MIN(1,MAX('Reward Model'!$B$2,INDEX('Reward Model'!$C$12:$C$14,MATCH($K1263,'Reward Model'!$A$12:$A$14,0))/$J1263)),3)</f>
        <v>0.888</v>
      </c>
      <c r="AA1263" s="2" t="n">
        <f aca="false">IF($I1263="Correct",ROUND(INDEX('Reward Model'!$B$12:$B$14,MATCH($K1263,'Reward Model'!$A$12:$A$14,0))*Z1263,2),0)</f>
        <v>0.89</v>
      </c>
      <c r="AB1263" s="2" t="n">
        <f aca="false">IF($I1263="Correct",ROUND(INDEX('Reward Model'!$B$12:$B$14,MATCH($Y1263,'Reward Model'!$A$12:$A$14,0))*Z1263,2),0)</f>
        <v>0.89</v>
      </c>
    </row>
    <row r="1264" customFormat="false" ht="15" hidden="false" customHeight="false" outlineLevel="0" collapsed="false">
      <c r="A1264" s="0" t="s">
        <v>255</v>
      </c>
      <c r="B1264" s="0" t="s">
        <v>256</v>
      </c>
      <c r="C1264" s="0" t="s">
        <v>30</v>
      </c>
      <c r="D1264" s="0" t="s">
        <v>189</v>
      </c>
      <c r="E1264" s="0" t="n">
        <v>3</v>
      </c>
      <c r="F1264" s="0" t="s">
        <v>40</v>
      </c>
      <c r="G1264" s="0" t="s">
        <v>42</v>
      </c>
      <c r="H1264" s="0" t="s">
        <v>42</v>
      </c>
      <c r="I1264" s="0" t="s">
        <v>34</v>
      </c>
      <c r="J1264" s="0" t="n">
        <v>1.4</v>
      </c>
      <c r="K1264" s="0" t="s">
        <v>35</v>
      </c>
      <c r="L1264" s="0" t="n">
        <f aca="false">INDEX(Summary!$F$2:$F$201,MATCH($B1264,Summary!$A$2:$A$201,0))</f>
        <v>20</v>
      </c>
      <c r="M1264" s="0" t="n">
        <f aca="false">INDEX(Summary!$I$2:$I$201,MATCH($B1264,Summary!$A$2:$A$201,0))</f>
        <v>4</v>
      </c>
      <c r="N1264" s="0" t="n">
        <f aca="false">INDEX(Summary!$J$2:$J$201,MATCH($B1264,Summary!$A$2:$A$201,0))</f>
        <v>1</v>
      </c>
      <c r="O1264" s="2" t="n">
        <f aca="false">INDEX(Summary!$K$2:$K$201,MATCH($B1264,Summary!$A$2:$A$201,0))</f>
        <v>10.4</v>
      </c>
      <c r="P1264" s="3" t="n">
        <f aca="false">INDEX(Summary!$L$2:$L$201,MATCH($B1264,Summary!$A$2:$A$201,0))</f>
        <v>5</v>
      </c>
      <c r="Q1264" s="3" t="n">
        <f aca="false">INDEX(Summary!$M$2:$M$201,MATCH($B1264,Summary!$A$2:$A$201,0))</f>
        <v>1</v>
      </c>
      <c r="R1264" s="2" t="n">
        <f aca="false">INDEX(Summary!$N$2:$N$201,MATCH($B1264,Summary!$A$2:$A$201,0))</f>
        <v>10.7</v>
      </c>
      <c r="S1264" s="3" t="n">
        <f aca="false">INDEX(Summary!$O$2:$O$201,MATCH($B1264,Summary!$A$2:$A$201,0))</f>
        <v>8</v>
      </c>
      <c r="T1264" s="3" t="n">
        <f aca="false">INDEX(Summary!$P$2:$P$201,MATCH($B1264,Summary!$A$2:$A$201,0))</f>
        <v>1</v>
      </c>
      <c r="U1264" s="2" t="n">
        <f aca="false">INDEX(Summary!$Q$2:$Q$201,MATCH($B1264,Summary!$A$2:$A$201,0))</f>
        <v>14.99</v>
      </c>
      <c r="V1264" s="2" t="n">
        <f aca="false">INDEX(Summary!$R$2:$R$201,MATCH($B1264,Summary!$A$2:$A$201,0))</f>
        <v>30.96</v>
      </c>
      <c r="W1264" s="0" t="str">
        <f aca="false">INDEX(Summary!$S$2:$S$201,MATCH($B1264,Summary!$A$2:$A$201,0))</f>
        <v>Gold</v>
      </c>
      <c r="X1264" s="2" t="n">
        <f aca="false">INDEX(Summary!$T$2:$T$201,MATCH($B1264,Summary!$A$2:$A$201,0))</f>
        <v>75.51</v>
      </c>
      <c r="Y1264" s="0" t="str">
        <f aca="false">INDEX('Reward Model'!$E$18:$E$37,MATCH($E1264,'Reward Model'!$A$18:$A$37,0))</f>
        <v>Medium</v>
      </c>
      <c r="Z1264" s="4" t="n">
        <f aca="false">ROUND(MIN(1,MAX('Reward Model'!$B$2,INDEX('Reward Model'!$C$12:$C$14,MATCH($K1264,'Reward Model'!$A$12:$A$14,0))/$J1264)),3)</f>
        <v>1</v>
      </c>
      <c r="AA1264" s="2" t="n">
        <f aca="false">IF($I1264="Correct",ROUND(INDEX('Reward Model'!$B$12:$B$14,MATCH($K1264,'Reward Model'!$A$12:$A$14,0))*Z1264,2),0)</f>
        <v>1</v>
      </c>
      <c r="AB1264" s="2" t="n">
        <f aca="false">IF($I1264="Correct",ROUND(INDEX('Reward Model'!$B$12:$B$14,MATCH($Y1264,'Reward Model'!$A$12:$A$14,0))*Z1264,2),0)</f>
        <v>2</v>
      </c>
    </row>
    <row r="1265" customFormat="false" ht="15" hidden="false" customHeight="false" outlineLevel="0" collapsed="false">
      <c r="A1265" s="0" t="s">
        <v>255</v>
      </c>
      <c r="B1265" s="0" t="s">
        <v>256</v>
      </c>
      <c r="C1265" s="0" t="s">
        <v>30</v>
      </c>
      <c r="D1265" s="0" t="s">
        <v>189</v>
      </c>
      <c r="E1265" s="0" t="n">
        <v>4</v>
      </c>
      <c r="F1265" s="0" t="s">
        <v>43</v>
      </c>
      <c r="G1265" s="0" t="s">
        <v>45</v>
      </c>
      <c r="H1265" s="0" t="s">
        <v>45</v>
      </c>
      <c r="I1265" s="0" t="s">
        <v>34</v>
      </c>
      <c r="J1265" s="0" t="n">
        <v>1.84</v>
      </c>
      <c r="K1265" s="0" t="s">
        <v>35</v>
      </c>
      <c r="L1265" s="0" t="n">
        <f aca="false">INDEX(Summary!$F$2:$F$201,MATCH($B1265,Summary!$A$2:$A$201,0))</f>
        <v>20</v>
      </c>
      <c r="M1265" s="0" t="n">
        <f aca="false">INDEX(Summary!$I$2:$I$201,MATCH($B1265,Summary!$A$2:$A$201,0))</f>
        <v>4</v>
      </c>
      <c r="N1265" s="0" t="n">
        <f aca="false">INDEX(Summary!$J$2:$J$201,MATCH($B1265,Summary!$A$2:$A$201,0))</f>
        <v>1</v>
      </c>
      <c r="O1265" s="2" t="n">
        <f aca="false">INDEX(Summary!$K$2:$K$201,MATCH($B1265,Summary!$A$2:$A$201,0))</f>
        <v>10.4</v>
      </c>
      <c r="P1265" s="3" t="n">
        <f aca="false">INDEX(Summary!$L$2:$L$201,MATCH($B1265,Summary!$A$2:$A$201,0))</f>
        <v>5</v>
      </c>
      <c r="Q1265" s="3" t="n">
        <f aca="false">INDEX(Summary!$M$2:$M$201,MATCH($B1265,Summary!$A$2:$A$201,0))</f>
        <v>1</v>
      </c>
      <c r="R1265" s="2" t="n">
        <f aca="false">INDEX(Summary!$N$2:$N$201,MATCH($B1265,Summary!$A$2:$A$201,0))</f>
        <v>10.7</v>
      </c>
      <c r="S1265" s="3" t="n">
        <f aca="false">INDEX(Summary!$O$2:$O$201,MATCH($B1265,Summary!$A$2:$A$201,0))</f>
        <v>8</v>
      </c>
      <c r="T1265" s="3" t="n">
        <f aca="false">INDEX(Summary!$P$2:$P$201,MATCH($B1265,Summary!$A$2:$A$201,0))</f>
        <v>1</v>
      </c>
      <c r="U1265" s="2" t="n">
        <f aca="false">INDEX(Summary!$Q$2:$Q$201,MATCH($B1265,Summary!$A$2:$A$201,0))</f>
        <v>14.99</v>
      </c>
      <c r="V1265" s="2" t="n">
        <f aca="false">INDEX(Summary!$R$2:$R$201,MATCH($B1265,Summary!$A$2:$A$201,0))</f>
        <v>30.96</v>
      </c>
      <c r="W1265" s="0" t="str">
        <f aca="false">INDEX(Summary!$S$2:$S$201,MATCH($B1265,Summary!$A$2:$A$201,0))</f>
        <v>Gold</v>
      </c>
      <c r="X1265" s="2" t="n">
        <f aca="false">INDEX(Summary!$T$2:$T$201,MATCH($B1265,Summary!$A$2:$A$201,0))</f>
        <v>75.51</v>
      </c>
      <c r="Y1265" s="0" t="str">
        <f aca="false">INDEX('Reward Model'!$E$18:$E$37,MATCH($E1265,'Reward Model'!$A$18:$A$37,0))</f>
        <v>Low</v>
      </c>
      <c r="Z1265" s="4" t="n">
        <f aca="false">ROUND(MIN(1,MAX('Reward Model'!$B$2,INDEX('Reward Model'!$C$12:$C$14,MATCH($K1265,'Reward Model'!$A$12:$A$14,0))/$J1265)),3)</f>
        <v>0.815</v>
      </c>
      <c r="AA1265" s="2" t="n">
        <f aca="false">IF($I1265="Correct",ROUND(INDEX('Reward Model'!$B$12:$B$14,MATCH($K1265,'Reward Model'!$A$12:$A$14,0))*Z1265,2),0)</f>
        <v>0.82</v>
      </c>
      <c r="AB1265" s="2" t="n">
        <f aca="false">IF($I1265="Correct",ROUND(INDEX('Reward Model'!$B$12:$B$14,MATCH($Y1265,'Reward Model'!$A$12:$A$14,0))*Z1265,2),0)</f>
        <v>0.82</v>
      </c>
    </row>
    <row r="1266" customFormat="false" ht="15" hidden="false" customHeight="false" outlineLevel="0" collapsed="false">
      <c r="A1266" s="0" t="s">
        <v>255</v>
      </c>
      <c r="B1266" s="0" t="s">
        <v>256</v>
      </c>
      <c r="C1266" s="0" t="s">
        <v>30</v>
      </c>
      <c r="D1266" s="0" t="s">
        <v>189</v>
      </c>
      <c r="E1266" s="0" t="n">
        <v>5</v>
      </c>
      <c r="F1266" s="0" t="s">
        <v>46</v>
      </c>
      <c r="G1266" s="0" t="s">
        <v>47</v>
      </c>
      <c r="H1266" s="0" t="s">
        <v>47</v>
      </c>
      <c r="I1266" s="0" t="s">
        <v>34</v>
      </c>
      <c r="J1266" s="0" t="n">
        <v>1.91</v>
      </c>
      <c r="K1266" s="0" t="s">
        <v>35</v>
      </c>
      <c r="L1266" s="0" t="n">
        <f aca="false">INDEX(Summary!$F$2:$F$201,MATCH($B1266,Summary!$A$2:$A$201,0))</f>
        <v>20</v>
      </c>
      <c r="M1266" s="0" t="n">
        <f aca="false">INDEX(Summary!$I$2:$I$201,MATCH($B1266,Summary!$A$2:$A$201,0))</f>
        <v>4</v>
      </c>
      <c r="N1266" s="0" t="n">
        <f aca="false">INDEX(Summary!$J$2:$J$201,MATCH($B1266,Summary!$A$2:$A$201,0))</f>
        <v>1</v>
      </c>
      <c r="O1266" s="2" t="n">
        <f aca="false">INDEX(Summary!$K$2:$K$201,MATCH($B1266,Summary!$A$2:$A$201,0))</f>
        <v>10.4</v>
      </c>
      <c r="P1266" s="3" t="n">
        <f aca="false">INDEX(Summary!$L$2:$L$201,MATCH($B1266,Summary!$A$2:$A$201,0))</f>
        <v>5</v>
      </c>
      <c r="Q1266" s="3" t="n">
        <f aca="false">INDEX(Summary!$M$2:$M$201,MATCH($B1266,Summary!$A$2:$A$201,0))</f>
        <v>1</v>
      </c>
      <c r="R1266" s="2" t="n">
        <f aca="false">INDEX(Summary!$N$2:$N$201,MATCH($B1266,Summary!$A$2:$A$201,0))</f>
        <v>10.7</v>
      </c>
      <c r="S1266" s="3" t="n">
        <f aca="false">INDEX(Summary!$O$2:$O$201,MATCH($B1266,Summary!$A$2:$A$201,0))</f>
        <v>8</v>
      </c>
      <c r="T1266" s="3" t="n">
        <f aca="false">INDEX(Summary!$P$2:$P$201,MATCH($B1266,Summary!$A$2:$A$201,0))</f>
        <v>1</v>
      </c>
      <c r="U1266" s="2" t="n">
        <f aca="false">INDEX(Summary!$Q$2:$Q$201,MATCH($B1266,Summary!$A$2:$A$201,0))</f>
        <v>14.99</v>
      </c>
      <c r="V1266" s="2" t="n">
        <f aca="false">INDEX(Summary!$R$2:$R$201,MATCH($B1266,Summary!$A$2:$A$201,0))</f>
        <v>30.96</v>
      </c>
      <c r="W1266" s="0" t="str">
        <f aca="false">INDEX(Summary!$S$2:$S$201,MATCH($B1266,Summary!$A$2:$A$201,0))</f>
        <v>Gold</v>
      </c>
      <c r="X1266" s="2" t="n">
        <f aca="false">INDEX(Summary!$T$2:$T$201,MATCH($B1266,Summary!$A$2:$A$201,0))</f>
        <v>75.51</v>
      </c>
      <c r="Y1266" s="0" t="str">
        <f aca="false">INDEX('Reward Model'!$E$18:$E$37,MATCH($E1266,'Reward Model'!$A$18:$A$37,0))</f>
        <v>Low</v>
      </c>
      <c r="Z1266" s="4" t="n">
        <f aca="false">ROUND(MIN(1,MAX('Reward Model'!$B$2,INDEX('Reward Model'!$C$12:$C$14,MATCH($K1266,'Reward Model'!$A$12:$A$14,0))/$J1266)),3)</f>
        <v>0.785</v>
      </c>
      <c r="AA1266" s="2" t="n">
        <f aca="false">IF($I1266="Correct",ROUND(INDEX('Reward Model'!$B$12:$B$14,MATCH($K1266,'Reward Model'!$A$12:$A$14,0))*Z1266,2),0)</f>
        <v>0.79</v>
      </c>
      <c r="AB1266" s="2" t="n">
        <f aca="false">IF($I1266="Correct",ROUND(INDEX('Reward Model'!$B$12:$B$14,MATCH($Y1266,'Reward Model'!$A$12:$A$14,0))*Z1266,2),0)</f>
        <v>0.79</v>
      </c>
    </row>
    <row r="1267" customFormat="false" ht="15" hidden="false" customHeight="false" outlineLevel="0" collapsed="false">
      <c r="A1267" s="0" t="s">
        <v>255</v>
      </c>
      <c r="B1267" s="0" t="s">
        <v>256</v>
      </c>
      <c r="C1267" s="0" t="s">
        <v>30</v>
      </c>
      <c r="D1267" s="0" t="s">
        <v>189</v>
      </c>
      <c r="E1267" s="0" t="n">
        <v>6</v>
      </c>
      <c r="F1267" s="0" t="s">
        <v>48</v>
      </c>
      <c r="G1267" s="0" t="s">
        <v>49</v>
      </c>
      <c r="H1267" s="0" t="s">
        <v>49</v>
      </c>
      <c r="I1267" s="0" t="s">
        <v>34</v>
      </c>
      <c r="J1267" s="0" t="n">
        <v>1.06</v>
      </c>
      <c r="K1267" s="0" t="s">
        <v>35</v>
      </c>
      <c r="L1267" s="0" t="n">
        <f aca="false">INDEX(Summary!$F$2:$F$201,MATCH($B1267,Summary!$A$2:$A$201,0))</f>
        <v>20</v>
      </c>
      <c r="M1267" s="0" t="n">
        <f aca="false">INDEX(Summary!$I$2:$I$201,MATCH($B1267,Summary!$A$2:$A$201,0))</f>
        <v>4</v>
      </c>
      <c r="N1267" s="0" t="n">
        <f aca="false">INDEX(Summary!$J$2:$J$201,MATCH($B1267,Summary!$A$2:$A$201,0))</f>
        <v>1</v>
      </c>
      <c r="O1267" s="2" t="n">
        <f aca="false">INDEX(Summary!$K$2:$K$201,MATCH($B1267,Summary!$A$2:$A$201,0))</f>
        <v>10.4</v>
      </c>
      <c r="P1267" s="3" t="n">
        <f aca="false">INDEX(Summary!$L$2:$L$201,MATCH($B1267,Summary!$A$2:$A$201,0))</f>
        <v>5</v>
      </c>
      <c r="Q1267" s="3" t="n">
        <f aca="false">INDEX(Summary!$M$2:$M$201,MATCH($B1267,Summary!$A$2:$A$201,0))</f>
        <v>1</v>
      </c>
      <c r="R1267" s="2" t="n">
        <f aca="false">INDEX(Summary!$N$2:$N$201,MATCH($B1267,Summary!$A$2:$A$201,0))</f>
        <v>10.7</v>
      </c>
      <c r="S1267" s="3" t="n">
        <f aca="false">INDEX(Summary!$O$2:$O$201,MATCH($B1267,Summary!$A$2:$A$201,0))</f>
        <v>8</v>
      </c>
      <c r="T1267" s="3" t="n">
        <f aca="false">INDEX(Summary!$P$2:$P$201,MATCH($B1267,Summary!$A$2:$A$201,0))</f>
        <v>1</v>
      </c>
      <c r="U1267" s="2" t="n">
        <f aca="false">INDEX(Summary!$Q$2:$Q$201,MATCH($B1267,Summary!$A$2:$A$201,0))</f>
        <v>14.99</v>
      </c>
      <c r="V1267" s="2" t="n">
        <f aca="false">INDEX(Summary!$R$2:$R$201,MATCH($B1267,Summary!$A$2:$A$201,0))</f>
        <v>30.96</v>
      </c>
      <c r="W1267" s="0" t="str">
        <f aca="false">INDEX(Summary!$S$2:$S$201,MATCH($B1267,Summary!$A$2:$A$201,0))</f>
        <v>Gold</v>
      </c>
      <c r="X1267" s="2" t="n">
        <f aca="false">INDEX(Summary!$T$2:$T$201,MATCH($B1267,Summary!$A$2:$A$201,0))</f>
        <v>75.51</v>
      </c>
      <c r="Y1267" s="0" t="str">
        <f aca="false">INDEX('Reward Model'!$E$18:$E$37,MATCH($E1267,'Reward Model'!$A$18:$A$37,0))</f>
        <v>Medium</v>
      </c>
      <c r="Z1267" s="4" t="n">
        <f aca="false">ROUND(MIN(1,MAX('Reward Model'!$B$2,INDEX('Reward Model'!$C$12:$C$14,MATCH($K1267,'Reward Model'!$A$12:$A$14,0))/$J1267)),3)</f>
        <v>1</v>
      </c>
      <c r="AA1267" s="2" t="n">
        <f aca="false">IF($I1267="Correct",ROUND(INDEX('Reward Model'!$B$12:$B$14,MATCH($K1267,'Reward Model'!$A$12:$A$14,0))*Z1267,2),0)</f>
        <v>1</v>
      </c>
      <c r="AB1267" s="2" t="n">
        <f aca="false">IF($I1267="Correct",ROUND(INDEX('Reward Model'!$B$12:$B$14,MATCH($Y1267,'Reward Model'!$A$12:$A$14,0))*Z1267,2),0)</f>
        <v>2</v>
      </c>
    </row>
    <row r="1268" customFormat="false" ht="15" hidden="false" customHeight="false" outlineLevel="0" collapsed="false">
      <c r="A1268" s="0" t="s">
        <v>255</v>
      </c>
      <c r="B1268" s="0" t="s">
        <v>256</v>
      </c>
      <c r="C1268" s="0" t="s">
        <v>30</v>
      </c>
      <c r="D1268" s="0" t="s">
        <v>189</v>
      </c>
      <c r="E1268" s="0" t="n">
        <v>7</v>
      </c>
      <c r="F1268" s="0" t="s">
        <v>50</v>
      </c>
      <c r="G1268" s="0" t="s">
        <v>51</v>
      </c>
      <c r="H1268" s="0" t="s">
        <v>51</v>
      </c>
      <c r="I1268" s="0" t="s">
        <v>34</v>
      </c>
      <c r="J1268" s="0" t="n">
        <v>1.9</v>
      </c>
      <c r="K1268" s="0" t="s">
        <v>35</v>
      </c>
      <c r="L1268" s="0" t="n">
        <f aca="false">INDEX(Summary!$F$2:$F$201,MATCH($B1268,Summary!$A$2:$A$201,0))</f>
        <v>20</v>
      </c>
      <c r="M1268" s="0" t="n">
        <f aca="false">INDEX(Summary!$I$2:$I$201,MATCH($B1268,Summary!$A$2:$A$201,0))</f>
        <v>4</v>
      </c>
      <c r="N1268" s="0" t="n">
        <f aca="false">INDEX(Summary!$J$2:$J$201,MATCH($B1268,Summary!$A$2:$A$201,0))</f>
        <v>1</v>
      </c>
      <c r="O1268" s="2" t="n">
        <f aca="false">INDEX(Summary!$K$2:$K$201,MATCH($B1268,Summary!$A$2:$A$201,0))</f>
        <v>10.4</v>
      </c>
      <c r="P1268" s="3" t="n">
        <f aca="false">INDEX(Summary!$L$2:$L$201,MATCH($B1268,Summary!$A$2:$A$201,0))</f>
        <v>5</v>
      </c>
      <c r="Q1268" s="3" t="n">
        <f aca="false">INDEX(Summary!$M$2:$M$201,MATCH($B1268,Summary!$A$2:$A$201,0))</f>
        <v>1</v>
      </c>
      <c r="R1268" s="2" t="n">
        <f aca="false">INDEX(Summary!$N$2:$N$201,MATCH($B1268,Summary!$A$2:$A$201,0))</f>
        <v>10.7</v>
      </c>
      <c r="S1268" s="3" t="n">
        <f aca="false">INDEX(Summary!$O$2:$O$201,MATCH($B1268,Summary!$A$2:$A$201,0))</f>
        <v>8</v>
      </c>
      <c r="T1268" s="3" t="n">
        <f aca="false">INDEX(Summary!$P$2:$P$201,MATCH($B1268,Summary!$A$2:$A$201,0))</f>
        <v>1</v>
      </c>
      <c r="U1268" s="2" t="n">
        <f aca="false">INDEX(Summary!$Q$2:$Q$201,MATCH($B1268,Summary!$A$2:$A$201,0))</f>
        <v>14.99</v>
      </c>
      <c r="V1268" s="2" t="n">
        <f aca="false">INDEX(Summary!$R$2:$R$201,MATCH($B1268,Summary!$A$2:$A$201,0))</f>
        <v>30.96</v>
      </c>
      <c r="W1268" s="0" t="str">
        <f aca="false">INDEX(Summary!$S$2:$S$201,MATCH($B1268,Summary!$A$2:$A$201,0))</f>
        <v>Gold</v>
      </c>
      <c r="X1268" s="2" t="n">
        <f aca="false">INDEX(Summary!$T$2:$T$201,MATCH($B1268,Summary!$A$2:$A$201,0))</f>
        <v>75.51</v>
      </c>
      <c r="Y1268" s="0" t="str">
        <f aca="false">INDEX('Reward Model'!$E$18:$E$37,MATCH($E1268,'Reward Model'!$A$18:$A$37,0))</f>
        <v>Low</v>
      </c>
      <c r="Z1268" s="4" t="n">
        <f aca="false">ROUND(MIN(1,MAX('Reward Model'!$B$2,INDEX('Reward Model'!$C$12:$C$14,MATCH($K1268,'Reward Model'!$A$12:$A$14,0))/$J1268)),3)</f>
        <v>0.789</v>
      </c>
      <c r="AA1268" s="2" t="n">
        <f aca="false">IF($I1268="Correct",ROUND(INDEX('Reward Model'!$B$12:$B$14,MATCH($K1268,'Reward Model'!$A$12:$A$14,0))*Z1268,2),0)</f>
        <v>0.79</v>
      </c>
      <c r="AB1268" s="2" t="n">
        <f aca="false">IF($I1268="Correct",ROUND(INDEX('Reward Model'!$B$12:$B$14,MATCH($Y1268,'Reward Model'!$A$12:$A$14,0))*Z1268,2),0)</f>
        <v>0.79</v>
      </c>
    </row>
    <row r="1269" customFormat="false" ht="15" hidden="false" customHeight="false" outlineLevel="0" collapsed="false">
      <c r="A1269" s="0" t="s">
        <v>255</v>
      </c>
      <c r="B1269" s="0" t="s">
        <v>256</v>
      </c>
      <c r="C1269" s="0" t="s">
        <v>30</v>
      </c>
      <c r="D1269" s="0" t="s">
        <v>189</v>
      </c>
      <c r="E1269" s="0" t="n">
        <v>8</v>
      </c>
      <c r="F1269" s="0" t="s">
        <v>52</v>
      </c>
      <c r="G1269" s="0" t="s">
        <v>54</v>
      </c>
      <c r="H1269" s="0" t="s">
        <v>54</v>
      </c>
      <c r="I1269" s="0" t="s">
        <v>34</v>
      </c>
      <c r="J1269" s="0" t="n">
        <v>2</v>
      </c>
      <c r="K1269" s="0" t="s">
        <v>35</v>
      </c>
      <c r="L1269" s="0" t="n">
        <f aca="false">INDEX(Summary!$F$2:$F$201,MATCH($B1269,Summary!$A$2:$A$201,0))</f>
        <v>20</v>
      </c>
      <c r="M1269" s="0" t="n">
        <f aca="false">INDEX(Summary!$I$2:$I$201,MATCH($B1269,Summary!$A$2:$A$201,0))</f>
        <v>4</v>
      </c>
      <c r="N1269" s="0" t="n">
        <f aca="false">INDEX(Summary!$J$2:$J$201,MATCH($B1269,Summary!$A$2:$A$201,0))</f>
        <v>1</v>
      </c>
      <c r="O1269" s="2" t="n">
        <f aca="false">INDEX(Summary!$K$2:$K$201,MATCH($B1269,Summary!$A$2:$A$201,0))</f>
        <v>10.4</v>
      </c>
      <c r="P1269" s="3" t="n">
        <f aca="false">INDEX(Summary!$L$2:$L$201,MATCH($B1269,Summary!$A$2:$A$201,0))</f>
        <v>5</v>
      </c>
      <c r="Q1269" s="3" t="n">
        <f aca="false">INDEX(Summary!$M$2:$M$201,MATCH($B1269,Summary!$A$2:$A$201,0))</f>
        <v>1</v>
      </c>
      <c r="R1269" s="2" t="n">
        <f aca="false">INDEX(Summary!$N$2:$N$201,MATCH($B1269,Summary!$A$2:$A$201,0))</f>
        <v>10.7</v>
      </c>
      <c r="S1269" s="3" t="n">
        <f aca="false">INDEX(Summary!$O$2:$O$201,MATCH($B1269,Summary!$A$2:$A$201,0))</f>
        <v>8</v>
      </c>
      <c r="T1269" s="3" t="n">
        <f aca="false">INDEX(Summary!$P$2:$P$201,MATCH($B1269,Summary!$A$2:$A$201,0))</f>
        <v>1</v>
      </c>
      <c r="U1269" s="2" t="n">
        <f aca="false">INDEX(Summary!$Q$2:$Q$201,MATCH($B1269,Summary!$A$2:$A$201,0))</f>
        <v>14.99</v>
      </c>
      <c r="V1269" s="2" t="n">
        <f aca="false">INDEX(Summary!$R$2:$R$201,MATCH($B1269,Summary!$A$2:$A$201,0))</f>
        <v>30.96</v>
      </c>
      <c r="W1269" s="0" t="str">
        <f aca="false">INDEX(Summary!$S$2:$S$201,MATCH($B1269,Summary!$A$2:$A$201,0))</f>
        <v>Gold</v>
      </c>
      <c r="X1269" s="2" t="n">
        <f aca="false">INDEX(Summary!$T$2:$T$201,MATCH($B1269,Summary!$A$2:$A$201,0))</f>
        <v>75.51</v>
      </c>
      <c r="Y1269" s="0" t="str">
        <f aca="false">INDEX('Reward Model'!$E$18:$E$37,MATCH($E1269,'Reward Model'!$A$18:$A$37,0))</f>
        <v>Medium</v>
      </c>
      <c r="Z1269" s="4" t="n">
        <f aca="false">ROUND(MIN(1,MAX('Reward Model'!$B$2,INDEX('Reward Model'!$C$12:$C$14,MATCH($K1269,'Reward Model'!$A$12:$A$14,0))/$J1269)),3)</f>
        <v>0.75</v>
      </c>
      <c r="AA1269" s="2" t="n">
        <f aca="false">IF($I1269="Correct",ROUND(INDEX('Reward Model'!$B$12:$B$14,MATCH($K1269,'Reward Model'!$A$12:$A$14,0))*Z1269,2),0)</f>
        <v>0.75</v>
      </c>
      <c r="AB1269" s="2" t="n">
        <f aca="false">IF($I1269="Correct",ROUND(INDEX('Reward Model'!$B$12:$B$14,MATCH($Y1269,'Reward Model'!$A$12:$A$14,0))*Z1269,2),0)</f>
        <v>1.5</v>
      </c>
    </row>
    <row r="1270" customFormat="false" ht="15" hidden="false" customHeight="false" outlineLevel="0" collapsed="false">
      <c r="A1270" s="0" t="s">
        <v>255</v>
      </c>
      <c r="B1270" s="0" t="s">
        <v>256</v>
      </c>
      <c r="C1270" s="0" t="s">
        <v>30</v>
      </c>
      <c r="D1270" s="0" t="s">
        <v>189</v>
      </c>
      <c r="E1270" s="0" t="n">
        <v>9</v>
      </c>
      <c r="F1270" s="0" t="s">
        <v>55</v>
      </c>
      <c r="G1270" s="0" t="s">
        <v>56</v>
      </c>
      <c r="H1270" s="0" t="s">
        <v>57</v>
      </c>
      <c r="I1270" s="0" t="s">
        <v>39</v>
      </c>
      <c r="J1270" s="0" t="n">
        <v>1.2</v>
      </c>
      <c r="K1270" s="0" t="s">
        <v>35</v>
      </c>
      <c r="L1270" s="0" t="n">
        <f aca="false">INDEX(Summary!$F$2:$F$201,MATCH($B1270,Summary!$A$2:$A$201,0))</f>
        <v>20</v>
      </c>
      <c r="M1270" s="0" t="n">
        <f aca="false">INDEX(Summary!$I$2:$I$201,MATCH($B1270,Summary!$A$2:$A$201,0))</f>
        <v>4</v>
      </c>
      <c r="N1270" s="0" t="n">
        <f aca="false">INDEX(Summary!$J$2:$J$201,MATCH($B1270,Summary!$A$2:$A$201,0))</f>
        <v>1</v>
      </c>
      <c r="O1270" s="2" t="n">
        <f aca="false">INDEX(Summary!$K$2:$K$201,MATCH($B1270,Summary!$A$2:$A$201,0))</f>
        <v>10.4</v>
      </c>
      <c r="P1270" s="3" t="n">
        <f aca="false">INDEX(Summary!$L$2:$L$201,MATCH($B1270,Summary!$A$2:$A$201,0))</f>
        <v>5</v>
      </c>
      <c r="Q1270" s="3" t="n">
        <f aca="false">INDEX(Summary!$M$2:$M$201,MATCH($B1270,Summary!$A$2:$A$201,0))</f>
        <v>1</v>
      </c>
      <c r="R1270" s="2" t="n">
        <f aca="false">INDEX(Summary!$N$2:$N$201,MATCH($B1270,Summary!$A$2:$A$201,0))</f>
        <v>10.7</v>
      </c>
      <c r="S1270" s="3" t="n">
        <f aca="false">INDEX(Summary!$O$2:$O$201,MATCH($B1270,Summary!$A$2:$A$201,0))</f>
        <v>8</v>
      </c>
      <c r="T1270" s="3" t="n">
        <f aca="false">INDEX(Summary!$P$2:$P$201,MATCH($B1270,Summary!$A$2:$A$201,0))</f>
        <v>1</v>
      </c>
      <c r="U1270" s="2" t="n">
        <f aca="false">INDEX(Summary!$Q$2:$Q$201,MATCH($B1270,Summary!$A$2:$A$201,0))</f>
        <v>14.99</v>
      </c>
      <c r="V1270" s="2" t="n">
        <f aca="false">INDEX(Summary!$R$2:$R$201,MATCH($B1270,Summary!$A$2:$A$201,0))</f>
        <v>30.96</v>
      </c>
      <c r="W1270" s="0" t="str">
        <f aca="false">INDEX(Summary!$S$2:$S$201,MATCH($B1270,Summary!$A$2:$A$201,0))</f>
        <v>Gold</v>
      </c>
      <c r="X1270" s="2" t="n">
        <f aca="false">INDEX(Summary!$T$2:$T$201,MATCH($B1270,Summary!$A$2:$A$201,0))</f>
        <v>75.51</v>
      </c>
      <c r="Y1270" s="0" t="str">
        <f aca="false">INDEX('Reward Model'!$E$18:$E$37,MATCH($E1270,'Reward Model'!$A$18:$A$37,0))</f>
        <v>Medium</v>
      </c>
      <c r="Z1270" s="4" t="n">
        <f aca="false">ROUND(MIN(1,MAX('Reward Model'!$B$2,INDEX('Reward Model'!$C$12:$C$14,MATCH($K1270,'Reward Model'!$A$12:$A$14,0))/$J1270)),3)</f>
        <v>1</v>
      </c>
      <c r="AA1270" s="2" t="n">
        <f aca="false">IF($I1270="Correct",ROUND(INDEX('Reward Model'!$B$12:$B$14,MATCH($K1270,'Reward Model'!$A$12:$A$14,0))*Z1270,2),0)</f>
        <v>0</v>
      </c>
      <c r="AB1270" s="2" t="n">
        <f aca="false">IF($I1270="Correct",ROUND(INDEX('Reward Model'!$B$12:$B$14,MATCH($Y1270,'Reward Model'!$A$12:$A$14,0))*Z1270,2),0)</f>
        <v>0</v>
      </c>
    </row>
    <row r="1271" customFormat="false" ht="15" hidden="false" customHeight="false" outlineLevel="0" collapsed="false">
      <c r="A1271" s="0" t="s">
        <v>255</v>
      </c>
      <c r="B1271" s="0" t="s">
        <v>256</v>
      </c>
      <c r="C1271" s="0" t="s">
        <v>30</v>
      </c>
      <c r="D1271" s="0" t="s">
        <v>189</v>
      </c>
      <c r="E1271" s="0" t="n">
        <v>10</v>
      </c>
      <c r="F1271" s="0" t="s">
        <v>58</v>
      </c>
      <c r="G1271" s="0" t="s">
        <v>138</v>
      </c>
      <c r="H1271" s="0" t="s">
        <v>59</v>
      </c>
      <c r="I1271" s="0" t="s">
        <v>39</v>
      </c>
      <c r="J1271" s="0" t="n">
        <v>1.97</v>
      </c>
      <c r="K1271" s="0" t="s">
        <v>60</v>
      </c>
      <c r="L1271" s="0" t="n">
        <f aca="false">INDEX(Summary!$F$2:$F$201,MATCH($B1271,Summary!$A$2:$A$201,0))</f>
        <v>20</v>
      </c>
      <c r="M1271" s="0" t="n">
        <f aca="false">INDEX(Summary!$I$2:$I$201,MATCH($B1271,Summary!$A$2:$A$201,0))</f>
        <v>4</v>
      </c>
      <c r="N1271" s="0" t="n">
        <f aca="false">INDEX(Summary!$J$2:$J$201,MATCH($B1271,Summary!$A$2:$A$201,0))</f>
        <v>1</v>
      </c>
      <c r="O1271" s="2" t="n">
        <f aca="false">INDEX(Summary!$K$2:$K$201,MATCH($B1271,Summary!$A$2:$A$201,0))</f>
        <v>10.4</v>
      </c>
      <c r="P1271" s="3" t="n">
        <f aca="false">INDEX(Summary!$L$2:$L$201,MATCH($B1271,Summary!$A$2:$A$201,0))</f>
        <v>5</v>
      </c>
      <c r="Q1271" s="3" t="n">
        <f aca="false">INDEX(Summary!$M$2:$M$201,MATCH($B1271,Summary!$A$2:$A$201,0))</f>
        <v>1</v>
      </c>
      <c r="R1271" s="2" t="n">
        <f aca="false">INDEX(Summary!$N$2:$N$201,MATCH($B1271,Summary!$A$2:$A$201,0))</f>
        <v>10.7</v>
      </c>
      <c r="S1271" s="3" t="n">
        <f aca="false">INDEX(Summary!$O$2:$O$201,MATCH($B1271,Summary!$A$2:$A$201,0))</f>
        <v>8</v>
      </c>
      <c r="T1271" s="3" t="n">
        <f aca="false">INDEX(Summary!$P$2:$P$201,MATCH($B1271,Summary!$A$2:$A$201,0))</f>
        <v>1</v>
      </c>
      <c r="U1271" s="2" t="n">
        <f aca="false">INDEX(Summary!$Q$2:$Q$201,MATCH($B1271,Summary!$A$2:$A$201,0))</f>
        <v>14.99</v>
      </c>
      <c r="V1271" s="2" t="n">
        <f aca="false">INDEX(Summary!$R$2:$R$201,MATCH($B1271,Summary!$A$2:$A$201,0))</f>
        <v>30.96</v>
      </c>
      <c r="W1271" s="0" t="str">
        <f aca="false">INDEX(Summary!$S$2:$S$201,MATCH($B1271,Summary!$A$2:$A$201,0))</f>
        <v>Gold</v>
      </c>
      <c r="X1271" s="2" t="n">
        <f aca="false">INDEX(Summary!$T$2:$T$201,MATCH($B1271,Summary!$A$2:$A$201,0))</f>
        <v>75.51</v>
      </c>
      <c r="Y1271" s="0" t="str">
        <f aca="false">INDEX('Reward Model'!$E$18:$E$37,MATCH($E1271,'Reward Model'!$A$18:$A$37,0))</f>
        <v>Medium</v>
      </c>
      <c r="Z1271" s="4" t="n">
        <f aca="false">ROUND(MIN(1,MAX('Reward Model'!$B$2,INDEX('Reward Model'!$C$12:$C$14,MATCH($K1271,'Reward Model'!$A$12:$A$14,0))/$J1271)),3)</f>
        <v>0.914</v>
      </c>
      <c r="AA1271" s="2" t="n">
        <f aca="false">IF($I1271="Correct",ROUND(INDEX('Reward Model'!$B$12:$B$14,MATCH($K1271,'Reward Model'!$A$12:$A$14,0))*Z1271,2),0)</f>
        <v>0</v>
      </c>
      <c r="AB1271" s="2" t="n">
        <f aca="false">IF($I1271="Correct",ROUND(INDEX('Reward Model'!$B$12:$B$14,MATCH($Y1271,'Reward Model'!$A$12:$A$14,0))*Z1271,2),0)</f>
        <v>0</v>
      </c>
    </row>
    <row r="1272" customFormat="false" ht="15" hidden="false" customHeight="false" outlineLevel="0" collapsed="false">
      <c r="A1272" s="0" t="s">
        <v>255</v>
      </c>
      <c r="B1272" s="0" t="s">
        <v>256</v>
      </c>
      <c r="C1272" s="0" t="s">
        <v>30</v>
      </c>
      <c r="D1272" s="0" t="s">
        <v>189</v>
      </c>
      <c r="E1272" s="0" t="n">
        <v>11</v>
      </c>
      <c r="F1272" s="0" t="s">
        <v>61</v>
      </c>
      <c r="G1272" s="0" t="s">
        <v>63</v>
      </c>
      <c r="H1272" s="0" t="s">
        <v>63</v>
      </c>
      <c r="I1272" s="0" t="s">
        <v>34</v>
      </c>
      <c r="J1272" s="0" t="n">
        <v>1.22</v>
      </c>
      <c r="K1272" s="0" t="s">
        <v>60</v>
      </c>
      <c r="L1272" s="0" t="n">
        <f aca="false">INDEX(Summary!$F$2:$F$201,MATCH($B1272,Summary!$A$2:$A$201,0))</f>
        <v>20</v>
      </c>
      <c r="M1272" s="0" t="n">
        <f aca="false">INDEX(Summary!$I$2:$I$201,MATCH($B1272,Summary!$A$2:$A$201,0))</f>
        <v>4</v>
      </c>
      <c r="N1272" s="0" t="n">
        <f aca="false">INDEX(Summary!$J$2:$J$201,MATCH($B1272,Summary!$A$2:$A$201,0))</f>
        <v>1</v>
      </c>
      <c r="O1272" s="2" t="n">
        <f aca="false">INDEX(Summary!$K$2:$K$201,MATCH($B1272,Summary!$A$2:$A$201,0))</f>
        <v>10.4</v>
      </c>
      <c r="P1272" s="3" t="n">
        <f aca="false">INDEX(Summary!$L$2:$L$201,MATCH($B1272,Summary!$A$2:$A$201,0))</f>
        <v>5</v>
      </c>
      <c r="Q1272" s="3" t="n">
        <f aca="false">INDEX(Summary!$M$2:$M$201,MATCH($B1272,Summary!$A$2:$A$201,0))</f>
        <v>1</v>
      </c>
      <c r="R1272" s="2" t="n">
        <f aca="false">INDEX(Summary!$N$2:$N$201,MATCH($B1272,Summary!$A$2:$A$201,0))</f>
        <v>10.7</v>
      </c>
      <c r="S1272" s="3" t="n">
        <f aca="false">INDEX(Summary!$O$2:$O$201,MATCH($B1272,Summary!$A$2:$A$201,0))</f>
        <v>8</v>
      </c>
      <c r="T1272" s="3" t="n">
        <f aca="false">INDEX(Summary!$P$2:$P$201,MATCH($B1272,Summary!$A$2:$A$201,0))</f>
        <v>1</v>
      </c>
      <c r="U1272" s="2" t="n">
        <f aca="false">INDEX(Summary!$Q$2:$Q$201,MATCH($B1272,Summary!$A$2:$A$201,0))</f>
        <v>14.99</v>
      </c>
      <c r="V1272" s="2" t="n">
        <f aca="false">INDEX(Summary!$R$2:$R$201,MATCH($B1272,Summary!$A$2:$A$201,0))</f>
        <v>30.96</v>
      </c>
      <c r="W1272" s="0" t="str">
        <f aca="false">INDEX(Summary!$S$2:$S$201,MATCH($B1272,Summary!$A$2:$A$201,0))</f>
        <v>Gold</v>
      </c>
      <c r="X1272" s="2" t="n">
        <f aca="false">INDEX(Summary!$T$2:$T$201,MATCH($B1272,Summary!$A$2:$A$201,0))</f>
        <v>75.51</v>
      </c>
      <c r="Y1272" s="0" t="str">
        <f aca="false">INDEX('Reward Model'!$E$18:$E$37,MATCH($E1272,'Reward Model'!$A$18:$A$37,0))</f>
        <v>Medium</v>
      </c>
      <c r="Z1272" s="4" t="n">
        <f aca="false">ROUND(MIN(1,MAX('Reward Model'!$B$2,INDEX('Reward Model'!$C$12:$C$14,MATCH($K1272,'Reward Model'!$A$12:$A$14,0))/$J1272)),3)</f>
        <v>1</v>
      </c>
      <c r="AA1272" s="2" t="n">
        <f aca="false">IF($I1272="Correct",ROUND(INDEX('Reward Model'!$B$12:$B$14,MATCH($K1272,'Reward Model'!$A$12:$A$14,0))*Z1272,2),0)</f>
        <v>2</v>
      </c>
      <c r="AB1272" s="2" t="n">
        <f aca="false">IF($I1272="Correct",ROUND(INDEX('Reward Model'!$B$12:$B$14,MATCH($Y1272,'Reward Model'!$A$12:$A$14,0))*Z1272,2),0)</f>
        <v>2</v>
      </c>
    </row>
    <row r="1273" customFormat="false" ht="15" hidden="false" customHeight="false" outlineLevel="0" collapsed="false">
      <c r="A1273" s="0" t="s">
        <v>255</v>
      </c>
      <c r="B1273" s="0" t="s">
        <v>256</v>
      </c>
      <c r="C1273" s="0" t="s">
        <v>30</v>
      </c>
      <c r="D1273" s="0" t="s">
        <v>189</v>
      </c>
      <c r="E1273" s="0" t="n">
        <v>12</v>
      </c>
      <c r="F1273" s="0" t="s">
        <v>64</v>
      </c>
      <c r="G1273" s="0" t="s">
        <v>65</v>
      </c>
      <c r="H1273" s="0" t="s">
        <v>65</v>
      </c>
      <c r="I1273" s="0" t="s">
        <v>34</v>
      </c>
      <c r="J1273" s="0" t="n">
        <v>1.44</v>
      </c>
      <c r="K1273" s="0" t="s">
        <v>60</v>
      </c>
      <c r="L1273" s="0" t="n">
        <f aca="false">INDEX(Summary!$F$2:$F$201,MATCH($B1273,Summary!$A$2:$A$201,0))</f>
        <v>20</v>
      </c>
      <c r="M1273" s="0" t="n">
        <f aca="false">INDEX(Summary!$I$2:$I$201,MATCH($B1273,Summary!$A$2:$A$201,0))</f>
        <v>4</v>
      </c>
      <c r="N1273" s="0" t="n">
        <f aca="false">INDEX(Summary!$J$2:$J$201,MATCH($B1273,Summary!$A$2:$A$201,0))</f>
        <v>1</v>
      </c>
      <c r="O1273" s="2" t="n">
        <f aca="false">INDEX(Summary!$K$2:$K$201,MATCH($B1273,Summary!$A$2:$A$201,0))</f>
        <v>10.4</v>
      </c>
      <c r="P1273" s="3" t="n">
        <f aca="false">INDEX(Summary!$L$2:$L$201,MATCH($B1273,Summary!$A$2:$A$201,0))</f>
        <v>5</v>
      </c>
      <c r="Q1273" s="3" t="n">
        <f aca="false">INDEX(Summary!$M$2:$M$201,MATCH($B1273,Summary!$A$2:$A$201,0))</f>
        <v>1</v>
      </c>
      <c r="R1273" s="2" t="n">
        <f aca="false">INDEX(Summary!$N$2:$N$201,MATCH($B1273,Summary!$A$2:$A$201,0))</f>
        <v>10.7</v>
      </c>
      <c r="S1273" s="3" t="n">
        <f aca="false">INDEX(Summary!$O$2:$O$201,MATCH($B1273,Summary!$A$2:$A$201,0))</f>
        <v>8</v>
      </c>
      <c r="T1273" s="3" t="n">
        <f aca="false">INDEX(Summary!$P$2:$P$201,MATCH($B1273,Summary!$A$2:$A$201,0))</f>
        <v>1</v>
      </c>
      <c r="U1273" s="2" t="n">
        <f aca="false">INDEX(Summary!$Q$2:$Q$201,MATCH($B1273,Summary!$A$2:$A$201,0))</f>
        <v>14.99</v>
      </c>
      <c r="V1273" s="2" t="n">
        <f aca="false">INDEX(Summary!$R$2:$R$201,MATCH($B1273,Summary!$A$2:$A$201,0))</f>
        <v>30.96</v>
      </c>
      <c r="W1273" s="0" t="str">
        <f aca="false">INDEX(Summary!$S$2:$S$201,MATCH($B1273,Summary!$A$2:$A$201,0))</f>
        <v>Gold</v>
      </c>
      <c r="X1273" s="2" t="n">
        <f aca="false">INDEX(Summary!$T$2:$T$201,MATCH($B1273,Summary!$A$2:$A$201,0))</f>
        <v>75.51</v>
      </c>
      <c r="Y1273" s="0" t="str">
        <f aca="false">INDEX('Reward Model'!$E$18:$E$37,MATCH($E1273,'Reward Model'!$A$18:$A$37,0))</f>
        <v>Medium</v>
      </c>
      <c r="Z1273" s="4" t="n">
        <f aca="false">ROUND(MIN(1,MAX('Reward Model'!$B$2,INDEX('Reward Model'!$C$12:$C$14,MATCH($K1273,'Reward Model'!$A$12:$A$14,0))/$J1273)),3)</f>
        <v>1</v>
      </c>
      <c r="AA1273" s="2" t="n">
        <f aca="false">IF($I1273="Correct",ROUND(INDEX('Reward Model'!$B$12:$B$14,MATCH($K1273,'Reward Model'!$A$12:$A$14,0))*Z1273,2),0)</f>
        <v>2</v>
      </c>
      <c r="AB1273" s="2" t="n">
        <f aca="false">IF($I1273="Correct",ROUND(INDEX('Reward Model'!$B$12:$B$14,MATCH($Y1273,'Reward Model'!$A$12:$A$14,0))*Z1273,2),0)</f>
        <v>2</v>
      </c>
    </row>
    <row r="1274" customFormat="false" ht="15" hidden="false" customHeight="false" outlineLevel="0" collapsed="false">
      <c r="A1274" s="0" t="s">
        <v>255</v>
      </c>
      <c r="B1274" s="0" t="s">
        <v>256</v>
      </c>
      <c r="C1274" s="0" t="s">
        <v>30</v>
      </c>
      <c r="D1274" s="0" t="s">
        <v>189</v>
      </c>
      <c r="E1274" s="0" t="n">
        <v>13</v>
      </c>
      <c r="F1274" s="0" t="s">
        <v>66</v>
      </c>
      <c r="G1274" s="0" t="s">
        <v>67</v>
      </c>
      <c r="H1274" s="0" t="s">
        <v>67</v>
      </c>
      <c r="I1274" s="0" t="s">
        <v>34</v>
      </c>
      <c r="J1274" s="0" t="n">
        <v>2.19</v>
      </c>
      <c r="K1274" s="0" t="s">
        <v>60</v>
      </c>
      <c r="L1274" s="0" t="n">
        <f aca="false">INDEX(Summary!$F$2:$F$201,MATCH($B1274,Summary!$A$2:$A$201,0))</f>
        <v>20</v>
      </c>
      <c r="M1274" s="0" t="n">
        <f aca="false">INDEX(Summary!$I$2:$I$201,MATCH($B1274,Summary!$A$2:$A$201,0))</f>
        <v>4</v>
      </c>
      <c r="N1274" s="0" t="n">
        <f aca="false">INDEX(Summary!$J$2:$J$201,MATCH($B1274,Summary!$A$2:$A$201,0))</f>
        <v>1</v>
      </c>
      <c r="O1274" s="2" t="n">
        <f aca="false">INDEX(Summary!$K$2:$K$201,MATCH($B1274,Summary!$A$2:$A$201,0))</f>
        <v>10.4</v>
      </c>
      <c r="P1274" s="3" t="n">
        <f aca="false">INDEX(Summary!$L$2:$L$201,MATCH($B1274,Summary!$A$2:$A$201,0))</f>
        <v>5</v>
      </c>
      <c r="Q1274" s="3" t="n">
        <f aca="false">INDEX(Summary!$M$2:$M$201,MATCH($B1274,Summary!$A$2:$A$201,0))</f>
        <v>1</v>
      </c>
      <c r="R1274" s="2" t="n">
        <f aca="false">INDEX(Summary!$N$2:$N$201,MATCH($B1274,Summary!$A$2:$A$201,0))</f>
        <v>10.7</v>
      </c>
      <c r="S1274" s="3" t="n">
        <f aca="false">INDEX(Summary!$O$2:$O$201,MATCH($B1274,Summary!$A$2:$A$201,0))</f>
        <v>8</v>
      </c>
      <c r="T1274" s="3" t="n">
        <f aca="false">INDEX(Summary!$P$2:$P$201,MATCH($B1274,Summary!$A$2:$A$201,0))</f>
        <v>1</v>
      </c>
      <c r="U1274" s="2" t="n">
        <f aca="false">INDEX(Summary!$Q$2:$Q$201,MATCH($B1274,Summary!$A$2:$A$201,0))</f>
        <v>14.99</v>
      </c>
      <c r="V1274" s="2" t="n">
        <f aca="false">INDEX(Summary!$R$2:$R$201,MATCH($B1274,Summary!$A$2:$A$201,0))</f>
        <v>30.96</v>
      </c>
      <c r="W1274" s="0" t="str">
        <f aca="false">INDEX(Summary!$S$2:$S$201,MATCH($B1274,Summary!$A$2:$A$201,0))</f>
        <v>Gold</v>
      </c>
      <c r="X1274" s="2" t="n">
        <f aca="false">INDEX(Summary!$T$2:$T$201,MATCH($B1274,Summary!$A$2:$A$201,0))</f>
        <v>75.51</v>
      </c>
      <c r="Y1274" s="0" t="str">
        <f aca="false">INDEX('Reward Model'!$E$18:$E$37,MATCH($E1274,'Reward Model'!$A$18:$A$37,0))</f>
        <v>Medium</v>
      </c>
      <c r="Z1274" s="4" t="n">
        <f aca="false">ROUND(MIN(1,MAX('Reward Model'!$B$2,INDEX('Reward Model'!$C$12:$C$14,MATCH($K1274,'Reward Model'!$A$12:$A$14,0))/$J1274)),3)</f>
        <v>0.822</v>
      </c>
      <c r="AA1274" s="2" t="n">
        <f aca="false">IF($I1274="Correct",ROUND(INDEX('Reward Model'!$B$12:$B$14,MATCH($K1274,'Reward Model'!$A$12:$A$14,0))*Z1274,2),0)</f>
        <v>1.64</v>
      </c>
      <c r="AB1274" s="2" t="n">
        <f aca="false">IF($I1274="Correct",ROUND(INDEX('Reward Model'!$B$12:$B$14,MATCH($Y1274,'Reward Model'!$A$12:$A$14,0))*Z1274,2),0)</f>
        <v>1.64</v>
      </c>
    </row>
    <row r="1275" customFormat="false" ht="15" hidden="false" customHeight="false" outlineLevel="0" collapsed="false">
      <c r="A1275" s="0" t="s">
        <v>255</v>
      </c>
      <c r="B1275" s="0" t="s">
        <v>256</v>
      </c>
      <c r="C1275" s="0" t="s">
        <v>30</v>
      </c>
      <c r="D1275" s="0" t="s">
        <v>189</v>
      </c>
      <c r="E1275" s="0" t="n">
        <v>14</v>
      </c>
      <c r="F1275" s="0" t="s">
        <v>68</v>
      </c>
      <c r="G1275" s="0" t="s">
        <v>51</v>
      </c>
      <c r="H1275" s="0" t="s">
        <v>51</v>
      </c>
      <c r="I1275" s="0" t="s">
        <v>34</v>
      </c>
      <c r="J1275" s="0" t="n">
        <v>1.94</v>
      </c>
      <c r="K1275" s="0" t="s">
        <v>60</v>
      </c>
      <c r="L1275" s="0" t="n">
        <f aca="false">INDEX(Summary!$F$2:$F$201,MATCH($B1275,Summary!$A$2:$A$201,0))</f>
        <v>20</v>
      </c>
      <c r="M1275" s="0" t="n">
        <f aca="false">INDEX(Summary!$I$2:$I$201,MATCH($B1275,Summary!$A$2:$A$201,0))</f>
        <v>4</v>
      </c>
      <c r="N1275" s="0" t="n">
        <f aca="false">INDEX(Summary!$J$2:$J$201,MATCH($B1275,Summary!$A$2:$A$201,0))</f>
        <v>1</v>
      </c>
      <c r="O1275" s="2" t="n">
        <f aca="false">INDEX(Summary!$K$2:$K$201,MATCH($B1275,Summary!$A$2:$A$201,0))</f>
        <v>10.4</v>
      </c>
      <c r="P1275" s="3" t="n">
        <f aca="false">INDEX(Summary!$L$2:$L$201,MATCH($B1275,Summary!$A$2:$A$201,0))</f>
        <v>5</v>
      </c>
      <c r="Q1275" s="3" t="n">
        <f aca="false">INDEX(Summary!$M$2:$M$201,MATCH($B1275,Summary!$A$2:$A$201,0))</f>
        <v>1</v>
      </c>
      <c r="R1275" s="2" t="n">
        <f aca="false">INDEX(Summary!$N$2:$N$201,MATCH($B1275,Summary!$A$2:$A$201,0))</f>
        <v>10.7</v>
      </c>
      <c r="S1275" s="3" t="n">
        <f aca="false">INDEX(Summary!$O$2:$O$201,MATCH($B1275,Summary!$A$2:$A$201,0))</f>
        <v>8</v>
      </c>
      <c r="T1275" s="3" t="n">
        <f aca="false">INDEX(Summary!$P$2:$P$201,MATCH($B1275,Summary!$A$2:$A$201,0))</f>
        <v>1</v>
      </c>
      <c r="U1275" s="2" t="n">
        <f aca="false">INDEX(Summary!$Q$2:$Q$201,MATCH($B1275,Summary!$A$2:$A$201,0))</f>
        <v>14.99</v>
      </c>
      <c r="V1275" s="2" t="n">
        <f aca="false">INDEX(Summary!$R$2:$R$201,MATCH($B1275,Summary!$A$2:$A$201,0))</f>
        <v>30.96</v>
      </c>
      <c r="W1275" s="0" t="str">
        <f aca="false">INDEX(Summary!$S$2:$S$201,MATCH($B1275,Summary!$A$2:$A$201,0))</f>
        <v>Gold</v>
      </c>
      <c r="X1275" s="2" t="n">
        <f aca="false">INDEX(Summary!$T$2:$T$201,MATCH($B1275,Summary!$A$2:$A$201,0))</f>
        <v>75.51</v>
      </c>
      <c r="Y1275" s="0" t="str">
        <f aca="false">INDEX('Reward Model'!$E$18:$E$37,MATCH($E1275,'Reward Model'!$A$18:$A$37,0))</f>
        <v>Medium</v>
      </c>
      <c r="Z1275" s="4" t="n">
        <f aca="false">ROUND(MIN(1,MAX('Reward Model'!$B$2,INDEX('Reward Model'!$C$12:$C$14,MATCH($K1275,'Reward Model'!$A$12:$A$14,0))/$J1275)),3)</f>
        <v>0.928</v>
      </c>
      <c r="AA1275" s="2" t="n">
        <f aca="false">IF($I1275="Correct",ROUND(INDEX('Reward Model'!$B$12:$B$14,MATCH($K1275,'Reward Model'!$A$12:$A$14,0))*Z1275,2),0)</f>
        <v>1.86</v>
      </c>
      <c r="AB1275" s="2" t="n">
        <f aca="false">IF($I1275="Correct",ROUND(INDEX('Reward Model'!$B$12:$B$14,MATCH($Y1275,'Reward Model'!$A$12:$A$14,0))*Z1275,2),0)</f>
        <v>1.86</v>
      </c>
    </row>
    <row r="1276" customFormat="false" ht="15" hidden="false" customHeight="false" outlineLevel="0" collapsed="false">
      <c r="A1276" s="0" t="s">
        <v>255</v>
      </c>
      <c r="B1276" s="0" t="s">
        <v>256</v>
      </c>
      <c r="C1276" s="0" t="s">
        <v>30</v>
      </c>
      <c r="D1276" s="0" t="s">
        <v>189</v>
      </c>
      <c r="E1276" s="0" t="n">
        <v>15</v>
      </c>
      <c r="F1276" s="0" t="s">
        <v>69</v>
      </c>
      <c r="G1276" s="0" t="s">
        <v>70</v>
      </c>
      <c r="H1276" s="0" t="s">
        <v>70</v>
      </c>
      <c r="I1276" s="0" t="s">
        <v>34</v>
      </c>
      <c r="J1276" s="0" t="n">
        <v>1.94</v>
      </c>
      <c r="K1276" s="0" t="s">
        <v>60</v>
      </c>
      <c r="L1276" s="0" t="n">
        <f aca="false">INDEX(Summary!$F$2:$F$201,MATCH($B1276,Summary!$A$2:$A$201,0))</f>
        <v>20</v>
      </c>
      <c r="M1276" s="0" t="n">
        <f aca="false">INDEX(Summary!$I$2:$I$201,MATCH($B1276,Summary!$A$2:$A$201,0))</f>
        <v>4</v>
      </c>
      <c r="N1276" s="0" t="n">
        <f aca="false">INDEX(Summary!$J$2:$J$201,MATCH($B1276,Summary!$A$2:$A$201,0))</f>
        <v>1</v>
      </c>
      <c r="O1276" s="2" t="n">
        <f aca="false">INDEX(Summary!$K$2:$K$201,MATCH($B1276,Summary!$A$2:$A$201,0))</f>
        <v>10.4</v>
      </c>
      <c r="P1276" s="3" t="n">
        <f aca="false">INDEX(Summary!$L$2:$L$201,MATCH($B1276,Summary!$A$2:$A$201,0))</f>
        <v>5</v>
      </c>
      <c r="Q1276" s="3" t="n">
        <f aca="false">INDEX(Summary!$M$2:$M$201,MATCH($B1276,Summary!$A$2:$A$201,0))</f>
        <v>1</v>
      </c>
      <c r="R1276" s="2" t="n">
        <f aca="false">INDEX(Summary!$N$2:$N$201,MATCH($B1276,Summary!$A$2:$A$201,0))</f>
        <v>10.7</v>
      </c>
      <c r="S1276" s="3" t="n">
        <f aca="false">INDEX(Summary!$O$2:$O$201,MATCH($B1276,Summary!$A$2:$A$201,0))</f>
        <v>8</v>
      </c>
      <c r="T1276" s="3" t="n">
        <f aca="false">INDEX(Summary!$P$2:$P$201,MATCH($B1276,Summary!$A$2:$A$201,0))</f>
        <v>1</v>
      </c>
      <c r="U1276" s="2" t="n">
        <f aca="false">INDEX(Summary!$Q$2:$Q$201,MATCH($B1276,Summary!$A$2:$A$201,0))</f>
        <v>14.99</v>
      </c>
      <c r="V1276" s="2" t="n">
        <f aca="false">INDEX(Summary!$R$2:$R$201,MATCH($B1276,Summary!$A$2:$A$201,0))</f>
        <v>30.96</v>
      </c>
      <c r="W1276" s="0" t="str">
        <f aca="false">INDEX(Summary!$S$2:$S$201,MATCH($B1276,Summary!$A$2:$A$201,0))</f>
        <v>Gold</v>
      </c>
      <c r="X1276" s="2" t="n">
        <f aca="false">INDEX(Summary!$T$2:$T$201,MATCH($B1276,Summary!$A$2:$A$201,0))</f>
        <v>75.51</v>
      </c>
      <c r="Y1276" s="0" t="str">
        <f aca="false">INDEX('Reward Model'!$E$18:$E$37,MATCH($E1276,'Reward Model'!$A$18:$A$37,0))</f>
        <v>Medium</v>
      </c>
      <c r="Z1276" s="4" t="n">
        <f aca="false">ROUND(MIN(1,MAX('Reward Model'!$B$2,INDEX('Reward Model'!$C$12:$C$14,MATCH($K1276,'Reward Model'!$A$12:$A$14,0))/$J1276)),3)</f>
        <v>0.928</v>
      </c>
      <c r="AA1276" s="2" t="n">
        <f aca="false">IF($I1276="Correct",ROUND(INDEX('Reward Model'!$B$12:$B$14,MATCH($K1276,'Reward Model'!$A$12:$A$14,0))*Z1276,2),0)</f>
        <v>1.86</v>
      </c>
      <c r="AB1276" s="2" t="n">
        <f aca="false">IF($I1276="Correct",ROUND(INDEX('Reward Model'!$B$12:$B$14,MATCH($Y1276,'Reward Model'!$A$12:$A$14,0))*Z1276,2),0)</f>
        <v>1.86</v>
      </c>
    </row>
    <row r="1277" customFormat="false" ht="15" hidden="false" customHeight="false" outlineLevel="0" collapsed="false">
      <c r="A1277" s="0" t="s">
        <v>255</v>
      </c>
      <c r="B1277" s="0" t="s">
        <v>256</v>
      </c>
      <c r="C1277" s="0" t="s">
        <v>30</v>
      </c>
      <c r="D1277" s="0" t="s">
        <v>189</v>
      </c>
      <c r="E1277" s="0" t="n">
        <v>16</v>
      </c>
      <c r="F1277" s="0" t="s">
        <v>71</v>
      </c>
      <c r="G1277" s="0" t="s">
        <v>72</v>
      </c>
      <c r="H1277" s="0" t="s">
        <v>72</v>
      </c>
      <c r="I1277" s="0" t="s">
        <v>34</v>
      </c>
      <c r="J1277" s="0" t="n">
        <v>2.16</v>
      </c>
      <c r="K1277" s="0" t="s">
        <v>73</v>
      </c>
      <c r="L1277" s="0" t="n">
        <f aca="false">INDEX(Summary!$F$2:$F$201,MATCH($B1277,Summary!$A$2:$A$201,0))</f>
        <v>20</v>
      </c>
      <c r="M1277" s="0" t="n">
        <f aca="false">INDEX(Summary!$I$2:$I$201,MATCH($B1277,Summary!$A$2:$A$201,0))</f>
        <v>4</v>
      </c>
      <c r="N1277" s="0" t="n">
        <f aca="false">INDEX(Summary!$J$2:$J$201,MATCH($B1277,Summary!$A$2:$A$201,0))</f>
        <v>1</v>
      </c>
      <c r="O1277" s="2" t="n">
        <f aca="false">INDEX(Summary!$K$2:$K$201,MATCH($B1277,Summary!$A$2:$A$201,0))</f>
        <v>10.4</v>
      </c>
      <c r="P1277" s="3" t="n">
        <f aca="false">INDEX(Summary!$L$2:$L$201,MATCH($B1277,Summary!$A$2:$A$201,0))</f>
        <v>5</v>
      </c>
      <c r="Q1277" s="3" t="n">
        <f aca="false">INDEX(Summary!$M$2:$M$201,MATCH($B1277,Summary!$A$2:$A$201,0))</f>
        <v>1</v>
      </c>
      <c r="R1277" s="2" t="n">
        <f aca="false">INDEX(Summary!$N$2:$N$201,MATCH($B1277,Summary!$A$2:$A$201,0))</f>
        <v>10.7</v>
      </c>
      <c r="S1277" s="3" t="n">
        <f aca="false">INDEX(Summary!$O$2:$O$201,MATCH($B1277,Summary!$A$2:$A$201,0))</f>
        <v>8</v>
      </c>
      <c r="T1277" s="3" t="n">
        <f aca="false">INDEX(Summary!$P$2:$P$201,MATCH($B1277,Summary!$A$2:$A$201,0))</f>
        <v>1</v>
      </c>
      <c r="U1277" s="2" t="n">
        <f aca="false">INDEX(Summary!$Q$2:$Q$201,MATCH($B1277,Summary!$A$2:$A$201,0))</f>
        <v>14.99</v>
      </c>
      <c r="V1277" s="2" t="n">
        <f aca="false">INDEX(Summary!$R$2:$R$201,MATCH($B1277,Summary!$A$2:$A$201,0))</f>
        <v>30.96</v>
      </c>
      <c r="W1277" s="0" t="str">
        <f aca="false">INDEX(Summary!$S$2:$S$201,MATCH($B1277,Summary!$A$2:$A$201,0))</f>
        <v>Gold</v>
      </c>
      <c r="X1277" s="2" t="n">
        <f aca="false">INDEX(Summary!$T$2:$T$201,MATCH($B1277,Summary!$A$2:$A$201,0))</f>
        <v>75.51</v>
      </c>
      <c r="Y1277" s="0" t="str">
        <f aca="false">INDEX('Reward Model'!$E$18:$E$37,MATCH($E1277,'Reward Model'!$A$18:$A$37,0))</f>
        <v>High</v>
      </c>
      <c r="Z1277" s="4" t="n">
        <f aca="false">ROUND(MIN(1,MAX('Reward Model'!$B$2,INDEX('Reward Model'!$C$12:$C$14,MATCH($K1277,'Reward Model'!$A$12:$A$14,0))/$J1277)),3)</f>
        <v>0.926</v>
      </c>
      <c r="AA1277" s="2" t="n">
        <f aca="false">IF($I1277="Correct",ROUND(INDEX('Reward Model'!$B$12:$B$14,MATCH($K1277,'Reward Model'!$A$12:$A$14,0))*Z1277,2),0)</f>
        <v>2.78</v>
      </c>
      <c r="AB1277" s="2" t="n">
        <f aca="false">IF($I1277="Correct",ROUND(INDEX('Reward Model'!$B$12:$B$14,MATCH($Y1277,'Reward Model'!$A$12:$A$14,0))*Z1277,2),0)</f>
        <v>2.78</v>
      </c>
    </row>
    <row r="1278" customFormat="false" ht="15" hidden="false" customHeight="false" outlineLevel="0" collapsed="false">
      <c r="A1278" s="0" t="s">
        <v>255</v>
      </c>
      <c r="B1278" s="0" t="s">
        <v>256</v>
      </c>
      <c r="C1278" s="0" t="s">
        <v>30</v>
      </c>
      <c r="D1278" s="0" t="s">
        <v>189</v>
      </c>
      <c r="E1278" s="0" t="n">
        <v>17</v>
      </c>
      <c r="F1278" s="0" t="s">
        <v>74</v>
      </c>
      <c r="G1278" s="0" t="s">
        <v>113</v>
      </c>
      <c r="H1278" s="0" t="s">
        <v>75</v>
      </c>
      <c r="I1278" s="0" t="s">
        <v>39</v>
      </c>
      <c r="J1278" s="0" t="n">
        <v>2.22</v>
      </c>
      <c r="K1278" s="0" t="s">
        <v>73</v>
      </c>
      <c r="L1278" s="0" t="n">
        <f aca="false">INDEX(Summary!$F$2:$F$201,MATCH($B1278,Summary!$A$2:$A$201,0))</f>
        <v>20</v>
      </c>
      <c r="M1278" s="0" t="n">
        <f aca="false">INDEX(Summary!$I$2:$I$201,MATCH($B1278,Summary!$A$2:$A$201,0))</f>
        <v>4</v>
      </c>
      <c r="N1278" s="0" t="n">
        <f aca="false">INDEX(Summary!$J$2:$J$201,MATCH($B1278,Summary!$A$2:$A$201,0))</f>
        <v>1</v>
      </c>
      <c r="O1278" s="2" t="n">
        <f aca="false">INDEX(Summary!$K$2:$K$201,MATCH($B1278,Summary!$A$2:$A$201,0))</f>
        <v>10.4</v>
      </c>
      <c r="P1278" s="3" t="n">
        <f aca="false">INDEX(Summary!$L$2:$L$201,MATCH($B1278,Summary!$A$2:$A$201,0))</f>
        <v>5</v>
      </c>
      <c r="Q1278" s="3" t="n">
        <f aca="false">INDEX(Summary!$M$2:$M$201,MATCH($B1278,Summary!$A$2:$A$201,0))</f>
        <v>1</v>
      </c>
      <c r="R1278" s="2" t="n">
        <f aca="false">INDEX(Summary!$N$2:$N$201,MATCH($B1278,Summary!$A$2:$A$201,0))</f>
        <v>10.7</v>
      </c>
      <c r="S1278" s="3" t="n">
        <f aca="false">INDEX(Summary!$O$2:$O$201,MATCH($B1278,Summary!$A$2:$A$201,0))</f>
        <v>8</v>
      </c>
      <c r="T1278" s="3" t="n">
        <f aca="false">INDEX(Summary!$P$2:$P$201,MATCH($B1278,Summary!$A$2:$A$201,0))</f>
        <v>1</v>
      </c>
      <c r="U1278" s="2" t="n">
        <f aca="false">INDEX(Summary!$Q$2:$Q$201,MATCH($B1278,Summary!$A$2:$A$201,0))</f>
        <v>14.99</v>
      </c>
      <c r="V1278" s="2" t="n">
        <f aca="false">INDEX(Summary!$R$2:$R$201,MATCH($B1278,Summary!$A$2:$A$201,0))</f>
        <v>30.96</v>
      </c>
      <c r="W1278" s="0" t="str">
        <f aca="false">INDEX(Summary!$S$2:$S$201,MATCH($B1278,Summary!$A$2:$A$201,0))</f>
        <v>Gold</v>
      </c>
      <c r="X1278" s="2" t="n">
        <f aca="false">INDEX(Summary!$T$2:$T$201,MATCH($B1278,Summary!$A$2:$A$201,0))</f>
        <v>75.51</v>
      </c>
      <c r="Y1278" s="0" t="str">
        <f aca="false">INDEX('Reward Model'!$E$18:$E$37,MATCH($E1278,'Reward Model'!$A$18:$A$37,0))</f>
        <v>High</v>
      </c>
      <c r="Z1278" s="4" t="n">
        <f aca="false">ROUND(MIN(1,MAX('Reward Model'!$B$2,INDEX('Reward Model'!$C$12:$C$14,MATCH($K1278,'Reward Model'!$A$12:$A$14,0))/$J1278)),3)</f>
        <v>0.901</v>
      </c>
      <c r="AA1278" s="2" t="n">
        <f aca="false">IF($I1278="Correct",ROUND(INDEX('Reward Model'!$B$12:$B$14,MATCH($K1278,'Reward Model'!$A$12:$A$14,0))*Z1278,2),0)</f>
        <v>0</v>
      </c>
      <c r="AB1278" s="2" t="n">
        <f aca="false">IF($I1278="Correct",ROUND(INDEX('Reward Model'!$B$12:$B$14,MATCH($Y1278,'Reward Model'!$A$12:$A$14,0))*Z1278,2),0)</f>
        <v>0</v>
      </c>
    </row>
    <row r="1279" customFormat="false" ht="15" hidden="false" customHeight="false" outlineLevel="0" collapsed="false">
      <c r="A1279" s="0" t="s">
        <v>255</v>
      </c>
      <c r="B1279" s="0" t="s">
        <v>256</v>
      </c>
      <c r="C1279" s="0" t="s">
        <v>30</v>
      </c>
      <c r="D1279" s="0" t="s">
        <v>189</v>
      </c>
      <c r="E1279" s="0" t="n">
        <v>18</v>
      </c>
      <c r="F1279" s="0" t="s">
        <v>76</v>
      </c>
      <c r="G1279" s="0" t="s">
        <v>77</v>
      </c>
      <c r="H1279" s="0" t="s">
        <v>77</v>
      </c>
      <c r="I1279" s="0" t="s">
        <v>34</v>
      </c>
      <c r="J1279" s="0" t="n">
        <v>2</v>
      </c>
      <c r="K1279" s="0" t="s">
        <v>73</v>
      </c>
      <c r="L1279" s="0" t="n">
        <f aca="false">INDEX(Summary!$F$2:$F$201,MATCH($B1279,Summary!$A$2:$A$201,0))</f>
        <v>20</v>
      </c>
      <c r="M1279" s="0" t="n">
        <f aca="false">INDEX(Summary!$I$2:$I$201,MATCH($B1279,Summary!$A$2:$A$201,0))</f>
        <v>4</v>
      </c>
      <c r="N1279" s="0" t="n">
        <f aca="false">INDEX(Summary!$J$2:$J$201,MATCH($B1279,Summary!$A$2:$A$201,0))</f>
        <v>1</v>
      </c>
      <c r="O1279" s="2" t="n">
        <f aca="false">INDEX(Summary!$K$2:$K$201,MATCH($B1279,Summary!$A$2:$A$201,0))</f>
        <v>10.4</v>
      </c>
      <c r="P1279" s="3" t="n">
        <f aca="false">INDEX(Summary!$L$2:$L$201,MATCH($B1279,Summary!$A$2:$A$201,0))</f>
        <v>5</v>
      </c>
      <c r="Q1279" s="3" t="n">
        <f aca="false">INDEX(Summary!$M$2:$M$201,MATCH($B1279,Summary!$A$2:$A$201,0))</f>
        <v>1</v>
      </c>
      <c r="R1279" s="2" t="n">
        <f aca="false">INDEX(Summary!$N$2:$N$201,MATCH($B1279,Summary!$A$2:$A$201,0))</f>
        <v>10.7</v>
      </c>
      <c r="S1279" s="3" t="n">
        <f aca="false">INDEX(Summary!$O$2:$O$201,MATCH($B1279,Summary!$A$2:$A$201,0))</f>
        <v>8</v>
      </c>
      <c r="T1279" s="3" t="n">
        <f aca="false">INDEX(Summary!$P$2:$P$201,MATCH($B1279,Summary!$A$2:$A$201,0))</f>
        <v>1</v>
      </c>
      <c r="U1279" s="2" t="n">
        <f aca="false">INDEX(Summary!$Q$2:$Q$201,MATCH($B1279,Summary!$A$2:$A$201,0))</f>
        <v>14.99</v>
      </c>
      <c r="V1279" s="2" t="n">
        <f aca="false">INDEX(Summary!$R$2:$R$201,MATCH($B1279,Summary!$A$2:$A$201,0))</f>
        <v>30.96</v>
      </c>
      <c r="W1279" s="0" t="str">
        <f aca="false">INDEX(Summary!$S$2:$S$201,MATCH($B1279,Summary!$A$2:$A$201,0))</f>
        <v>Gold</v>
      </c>
      <c r="X1279" s="2" t="n">
        <f aca="false">INDEX(Summary!$T$2:$T$201,MATCH($B1279,Summary!$A$2:$A$201,0))</f>
        <v>75.51</v>
      </c>
      <c r="Y1279" s="0" t="str">
        <f aca="false">INDEX('Reward Model'!$E$18:$E$37,MATCH($E1279,'Reward Model'!$A$18:$A$37,0))</f>
        <v>High</v>
      </c>
      <c r="Z1279" s="4" t="n">
        <f aca="false">ROUND(MIN(1,MAX('Reward Model'!$B$2,INDEX('Reward Model'!$C$12:$C$14,MATCH($K1279,'Reward Model'!$A$12:$A$14,0))/$J1279)),3)</f>
        <v>1</v>
      </c>
      <c r="AA1279" s="2" t="n">
        <f aca="false">IF($I1279="Correct",ROUND(INDEX('Reward Model'!$B$12:$B$14,MATCH($K1279,'Reward Model'!$A$12:$A$14,0))*Z1279,2),0)</f>
        <v>3</v>
      </c>
      <c r="AB1279" s="2" t="n">
        <f aca="false">IF($I1279="Correct",ROUND(INDEX('Reward Model'!$B$12:$B$14,MATCH($Y1279,'Reward Model'!$A$12:$A$14,0))*Z1279,2),0)</f>
        <v>3</v>
      </c>
    </row>
    <row r="1280" customFormat="false" ht="15" hidden="false" customHeight="false" outlineLevel="0" collapsed="false">
      <c r="A1280" s="0" t="s">
        <v>255</v>
      </c>
      <c r="B1280" s="0" t="s">
        <v>256</v>
      </c>
      <c r="C1280" s="0" t="s">
        <v>30</v>
      </c>
      <c r="D1280" s="0" t="s">
        <v>189</v>
      </c>
      <c r="E1280" s="0" t="n">
        <v>19</v>
      </c>
      <c r="F1280" s="0" t="s">
        <v>78</v>
      </c>
      <c r="G1280" s="0" t="s">
        <v>80</v>
      </c>
      <c r="H1280" s="0" t="s">
        <v>80</v>
      </c>
      <c r="I1280" s="0" t="s">
        <v>34</v>
      </c>
      <c r="J1280" s="0" t="n">
        <v>2.38</v>
      </c>
      <c r="K1280" s="0" t="s">
        <v>73</v>
      </c>
      <c r="L1280" s="0" t="n">
        <f aca="false">INDEX(Summary!$F$2:$F$201,MATCH($B1280,Summary!$A$2:$A$201,0))</f>
        <v>20</v>
      </c>
      <c r="M1280" s="0" t="n">
        <f aca="false">INDEX(Summary!$I$2:$I$201,MATCH($B1280,Summary!$A$2:$A$201,0))</f>
        <v>4</v>
      </c>
      <c r="N1280" s="0" t="n">
        <f aca="false">INDEX(Summary!$J$2:$J$201,MATCH($B1280,Summary!$A$2:$A$201,0))</f>
        <v>1</v>
      </c>
      <c r="O1280" s="2" t="n">
        <f aca="false">INDEX(Summary!$K$2:$K$201,MATCH($B1280,Summary!$A$2:$A$201,0))</f>
        <v>10.4</v>
      </c>
      <c r="P1280" s="3" t="n">
        <f aca="false">INDEX(Summary!$L$2:$L$201,MATCH($B1280,Summary!$A$2:$A$201,0))</f>
        <v>5</v>
      </c>
      <c r="Q1280" s="3" t="n">
        <f aca="false">INDEX(Summary!$M$2:$M$201,MATCH($B1280,Summary!$A$2:$A$201,0))</f>
        <v>1</v>
      </c>
      <c r="R1280" s="2" t="n">
        <f aca="false">INDEX(Summary!$N$2:$N$201,MATCH($B1280,Summary!$A$2:$A$201,0))</f>
        <v>10.7</v>
      </c>
      <c r="S1280" s="3" t="n">
        <f aca="false">INDEX(Summary!$O$2:$O$201,MATCH($B1280,Summary!$A$2:$A$201,0))</f>
        <v>8</v>
      </c>
      <c r="T1280" s="3" t="n">
        <f aca="false">INDEX(Summary!$P$2:$P$201,MATCH($B1280,Summary!$A$2:$A$201,0))</f>
        <v>1</v>
      </c>
      <c r="U1280" s="2" t="n">
        <f aca="false">INDEX(Summary!$Q$2:$Q$201,MATCH($B1280,Summary!$A$2:$A$201,0))</f>
        <v>14.99</v>
      </c>
      <c r="V1280" s="2" t="n">
        <f aca="false">INDEX(Summary!$R$2:$R$201,MATCH($B1280,Summary!$A$2:$A$201,0))</f>
        <v>30.96</v>
      </c>
      <c r="W1280" s="0" t="str">
        <f aca="false">INDEX(Summary!$S$2:$S$201,MATCH($B1280,Summary!$A$2:$A$201,0))</f>
        <v>Gold</v>
      </c>
      <c r="X1280" s="2" t="n">
        <f aca="false">INDEX(Summary!$T$2:$T$201,MATCH($B1280,Summary!$A$2:$A$201,0))</f>
        <v>75.51</v>
      </c>
      <c r="Y1280" s="0" t="str">
        <f aca="false">INDEX('Reward Model'!$E$18:$E$37,MATCH($E1280,'Reward Model'!$A$18:$A$37,0))</f>
        <v>High</v>
      </c>
      <c r="Z1280" s="4" t="n">
        <f aca="false">ROUND(MIN(1,MAX('Reward Model'!$B$2,INDEX('Reward Model'!$C$12:$C$14,MATCH($K1280,'Reward Model'!$A$12:$A$14,0))/$J1280)),3)</f>
        <v>0.84</v>
      </c>
      <c r="AA1280" s="2" t="n">
        <f aca="false">IF($I1280="Correct",ROUND(INDEX('Reward Model'!$B$12:$B$14,MATCH($K1280,'Reward Model'!$A$12:$A$14,0))*Z1280,2),0)</f>
        <v>2.52</v>
      </c>
      <c r="AB1280" s="2" t="n">
        <f aca="false">IF($I1280="Correct",ROUND(INDEX('Reward Model'!$B$12:$B$14,MATCH($Y1280,'Reward Model'!$A$12:$A$14,0))*Z1280,2),0)</f>
        <v>2.52</v>
      </c>
    </row>
    <row r="1281" customFormat="false" ht="15" hidden="false" customHeight="false" outlineLevel="0" collapsed="false">
      <c r="A1281" s="0" t="s">
        <v>255</v>
      </c>
      <c r="B1281" s="0" t="s">
        <v>256</v>
      </c>
      <c r="C1281" s="0" t="s">
        <v>30</v>
      </c>
      <c r="D1281" s="0" t="s">
        <v>189</v>
      </c>
      <c r="E1281" s="0" t="n">
        <v>20</v>
      </c>
      <c r="F1281" s="0" t="s">
        <v>81</v>
      </c>
      <c r="G1281" s="0" t="s">
        <v>83</v>
      </c>
      <c r="H1281" s="0" t="s">
        <v>83</v>
      </c>
      <c r="I1281" s="0" t="s">
        <v>34</v>
      </c>
      <c r="J1281" s="0" t="n">
        <v>1.64</v>
      </c>
      <c r="K1281" s="0" t="s">
        <v>73</v>
      </c>
      <c r="L1281" s="0" t="n">
        <f aca="false">INDEX(Summary!$F$2:$F$201,MATCH($B1281,Summary!$A$2:$A$201,0))</f>
        <v>20</v>
      </c>
      <c r="M1281" s="0" t="n">
        <f aca="false">INDEX(Summary!$I$2:$I$201,MATCH($B1281,Summary!$A$2:$A$201,0))</f>
        <v>4</v>
      </c>
      <c r="N1281" s="0" t="n">
        <f aca="false">INDEX(Summary!$J$2:$J$201,MATCH($B1281,Summary!$A$2:$A$201,0))</f>
        <v>1</v>
      </c>
      <c r="O1281" s="2" t="n">
        <f aca="false">INDEX(Summary!$K$2:$K$201,MATCH($B1281,Summary!$A$2:$A$201,0))</f>
        <v>10.4</v>
      </c>
      <c r="P1281" s="3" t="n">
        <f aca="false">INDEX(Summary!$L$2:$L$201,MATCH($B1281,Summary!$A$2:$A$201,0))</f>
        <v>5</v>
      </c>
      <c r="Q1281" s="3" t="n">
        <f aca="false">INDEX(Summary!$M$2:$M$201,MATCH($B1281,Summary!$A$2:$A$201,0))</f>
        <v>1</v>
      </c>
      <c r="R1281" s="2" t="n">
        <f aca="false">INDEX(Summary!$N$2:$N$201,MATCH($B1281,Summary!$A$2:$A$201,0))</f>
        <v>10.7</v>
      </c>
      <c r="S1281" s="3" t="n">
        <f aca="false">INDEX(Summary!$O$2:$O$201,MATCH($B1281,Summary!$A$2:$A$201,0))</f>
        <v>8</v>
      </c>
      <c r="T1281" s="3" t="n">
        <f aca="false">INDEX(Summary!$P$2:$P$201,MATCH($B1281,Summary!$A$2:$A$201,0))</f>
        <v>1</v>
      </c>
      <c r="U1281" s="2" t="n">
        <f aca="false">INDEX(Summary!$Q$2:$Q$201,MATCH($B1281,Summary!$A$2:$A$201,0))</f>
        <v>14.99</v>
      </c>
      <c r="V1281" s="2" t="n">
        <f aca="false">INDEX(Summary!$R$2:$R$201,MATCH($B1281,Summary!$A$2:$A$201,0))</f>
        <v>30.96</v>
      </c>
      <c r="W1281" s="0" t="str">
        <f aca="false">INDEX(Summary!$S$2:$S$201,MATCH($B1281,Summary!$A$2:$A$201,0))</f>
        <v>Gold</v>
      </c>
      <c r="X1281" s="2" t="n">
        <f aca="false">INDEX(Summary!$T$2:$T$201,MATCH($B1281,Summary!$A$2:$A$201,0))</f>
        <v>75.51</v>
      </c>
      <c r="Y1281" s="0" t="str">
        <f aca="false">INDEX('Reward Model'!$E$18:$E$37,MATCH($E1281,'Reward Model'!$A$18:$A$37,0))</f>
        <v>High</v>
      </c>
      <c r="Z1281" s="4" t="n">
        <f aca="false">ROUND(MIN(1,MAX('Reward Model'!$B$2,INDEX('Reward Model'!$C$12:$C$14,MATCH($K1281,'Reward Model'!$A$12:$A$14,0))/$J1281)),3)</f>
        <v>1</v>
      </c>
      <c r="AA1281" s="2" t="n">
        <f aca="false">IF($I1281="Correct",ROUND(INDEX('Reward Model'!$B$12:$B$14,MATCH($K1281,'Reward Model'!$A$12:$A$14,0))*Z1281,2),0)</f>
        <v>3</v>
      </c>
      <c r="AB1281" s="2" t="n">
        <f aca="false">IF($I1281="Correct",ROUND(INDEX('Reward Model'!$B$12:$B$14,MATCH($Y1281,'Reward Model'!$A$12:$A$14,0))*Z1281,2),0)</f>
        <v>3</v>
      </c>
    </row>
    <row r="1282" customFormat="false" ht="15" hidden="false" customHeight="false" outlineLevel="0" collapsed="false">
      <c r="A1282" s="0" t="s">
        <v>257</v>
      </c>
      <c r="B1282" s="0" t="s">
        <v>258</v>
      </c>
      <c r="C1282" s="0" t="s">
        <v>30</v>
      </c>
      <c r="D1282" s="0" t="s">
        <v>189</v>
      </c>
      <c r="E1282" s="0" t="n">
        <v>1</v>
      </c>
      <c r="F1282" s="0" t="s">
        <v>32</v>
      </c>
      <c r="G1282" s="0" t="s">
        <v>122</v>
      </c>
      <c r="H1282" s="0" t="s">
        <v>33</v>
      </c>
      <c r="I1282" s="0" t="s">
        <v>39</v>
      </c>
      <c r="J1282" s="0" t="n">
        <v>1.25</v>
      </c>
      <c r="K1282" s="0" t="s">
        <v>35</v>
      </c>
      <c r="L1282" s="0" t="n">
        <f aca="false">INDEX(Summary!$F$2:$F$201,MATCH($B1282,Summary!$A$2:$A$201,0))</f>
        <v>20</v>
      </c>
      <c r="M1282" s="0" t="n">
        <f aca="false">INDEX(Summary!$I$2:$I$201,MATCH($B1282,Summary!$A$2:$A$201,0))</f>
        <v>1</v>
      </c>
      <c r="N1282" s="0" t="n">
        <f aca="false">INDEX(Summary!$J$2:$J$201,MATCH($B1282,Summary!$A$2:$A$201,0))</f>
        <v>4</v>
      </c>
      <c r="O1282" s="2" t="n">
        <f aca="false">INDEX(Summary!$K$2:$K$201,MATCH($B1282,Summary!$A$2:$A$201,0))</f>
        <v>8.79</v>
      </c>
      <c r="P1282" s="3" t="n">
        <f aca="false">INDEX(Summary!$L$2:$L$201,MATCH($B1282,Summary!$A$2:$A$201,0))</f>
        <v>4</v>
      </c>
      <c r="Q1282" s="3" t="n">
        <f aca="false">INDEX(Summary!$M$2:$M$201,MATCH($B1282,Summary!$A$2:$A$201,0))</f>
        <v>2</v>
      </c>
      <c r="R1282" s="2" t="n">
        <f aca="false">INDEX(Summary!$N$2:$N$201,MATCH($B1282,Summary!$A$2:$A$201,0))</f>
        <v>9.99</v>
      </c>
      <c r="S1282" s="3" t="n">
        <f aca="false">INDEX(Summary!$O$2:$O$201,MATCH($B1282,Summary!$A$2:$A$201,0))</f>
        <v>6</v>
      </c>
      <c r="T1282" s="3" t="n">
        <f aca="false">INDEX(Summary!$P$2:$P$201,MATCH($B1282,Summary!$A$2:$A$201,0))</f>
        <v>3</v>
      </c>
      <c r="U1282" s="2" t="n">
        <f aca="false">INDEX(Summary!$Q$2:$Q$201,MATCH($B1282,Summary!$A$2:$A$201,0))</f>
        <v>13.17</v>
      </c>
      <c r="V1282" s="2" t="n">
        <f aca="false">INDEX(Summary!$R$2:$R$201,MATCH($B1282,Summary!$A$2:$A$201,0))</f>
        <v>18.42</v>
      </c>
      <c r="W1282" s="0" t="str">
        <f aca="false">INDEX(Summary!$S$2:$S$201,MATCH($B1282,Summary!$A$2:$A$201,0))</f>
        <v>Bronze</v>
      </c>
      <c r="X1282" s="2" t="n">
        <f aca="false">INDEX(Summary!$T$2:$T$201,MATCH($B1282,Summary!$A$2:$A$201,0))</f>
        <v>44.93</v>
      </c>
      <c r="Y1282" s="0" t="str">
        <f aca="false">INDEX('Reward Model'!$E$18:$E$37,MATCH($E1282,'Reward Model'!$A$18:$A$37,0))</f>
        <v>Medium</v>
      </c>
      <c r="Z1282" s="4" t="n">
        <f aca="false">ROUND(MIN(1,MAX('Reward Model'!$B$2,INDEX('Reward Model'!$C$12:$C$14,MATCH($K1282,'Reward Model'!$A$12:$A$14,0))/$J1282)),3)</f>
        <v>1</v>
      </c>
      <c r="AA1282" s="2" t="n">
        <f aca="false">IF($I1282="Correct",ROUND(INDEX('Reward Model'!$B$12:$B$14,MATCH($K1282,'Reward Model'!$A$12:$A$14,0))*Z1282,2),0)</f>
        <v>0</v>
      </c>
      <c r="AB1282" s="2" t="n">
        <f aca="false">IF($I1282="Correct",ROUND(INDEX('Reward Model'!$B$12:$B$14,MATCH($Y1282,'Reward Model'!$A$12:$A$14,0))*Z1282,2),0)</f>
        <v>0</v>
      </c>
    </row>
    <row r="1283" customFormat="false" ht="15" hidden="false" customHeight="false" outlineLevel="0" collapsed="false">
      <c r="A1283" s="0" t="s">
        <v>257</v>
      </c>
      <c r="B1283" s="0" t="s">
        <v>258</v>
      </c>
      <c r="C1283" s="0" t="s">
        <v>30</v>
      </c>
      <c r="D1283" s="0" t="s">
        <v>189</v>
      </c>
      <c r="E1283" s="0" t="n">
        <v>2</v>
      </c>
      <c r="F1283" s="0" t="s">
        <v>36</v>
      </c>
      <c r="G1283" s="0" t="s">
        <v>38</v>
      </c>
      <c r="H1283" s="0" t="s">
        <v>38</v>
      </c>
      <c r="I1283" s="0" t="s">
        <v>34</v>
      </c>
      <c r="J1283" s="0" t="n">
        <v>0.91</v>
      </c>
      <c r="K1283" s="0" t="s">
        <v>35</v>
      </c>
      <c r="L1283" s="0" t="n">
        <f aca="false">INDEX(Summary!$F$2:$F$201,MATCH($B1283,Summary!$A$2:$A$201,0))</f>
        <v>20</v>
      </c>
      <c r="M1283" s="0" t="n">
        <f aca="false">INDEX(Summary!$I$2:$I$201,MATCH($B1283,Summary!$A$2:$A$201,0))</f>
        <v>1</v>
      </c>
      <c r="N1283" s="0" t="n">
        <f aca="false">INDEX(Summary!$J$2:$J$201,MATCH($B1283,Summary!$A$2:$A$201,0))</f>
        <v>4</v>
      </c>
      <c r="O1283" s="2" t="n">
        <f aca="false">INDEX(Summary!$K$2:$K$201,MATCH($B1283,Summary!$A$2:$A$201,0))</f>
        <v>8.79</v>
      </c>
      <c r="P1283" s="3" t="n">
        <f aca="false">INDEX(Summary!$L$2:$L$201,MATCH($B1283,Summary!$A$2:$A$201,0))</f>
        <v>4</v>
      </c>
      <c r="Q1283" s="3" t="n">
        <f aca="false">INDEX(Summary!$M$2:$M$201,MATCH($B1283,Summary!$A$2:$A$201,0))</f>
        <v>2</v>
      </c>
      <c r="R1283" s="2" t="n">
        <f aca="false">INDEX(Summary!$N$2:$N$201,MATCH($B1283,Summary!$A$2:$A$201,0))</f>
        <v>9.99</v>
      </c>
      <c r="S1283" s="3" t="n">
        <f aca="false">INDEX(Summary!$O$2:$O$201,MATCH($B1283,Summary!$A$2:$A$201,0))</f>
        <v>6</v>
      </c>
      <c r="T1283" s="3" t="n">
        <f aca="false">INDEX(Summary!$P$2:$P$201,MATCH($B1283,Summary!$A$2:$A$201,0))</f>
        <v>3</v>
      </c>
      <c r="U1283" s="2" t="n">
        <f aca="false">INDEX(Summary!$Q$2:$Q$201,MATCH($B1283,Summary!$A$2:$A$201,0))</f>
        <v>13.17</v>
      </c>
      <c r="V1283" s="2" t="n">
        <f aca="false">INDEX(Summary!$R$2:$R$201,MATCH($B1283,Summary!$A$2:$A$201,0))</f>
        <v>18.42</v>
      </c>
      <c r="W1283" s="0" t="str">
        <f aca="false">INDEX(Summary!$S$2:$S$201,MATCH($B1283,Summary!$A$2:$A$201,0))</f>
        <v>Bronze</v>
      </c>
      <c r="X1283" s="2" t="n">
        <f aca="false">INDEX(Summary!$T$2:$T$201,MATCH($B1283,Summary!$A$2:$A$201,0))</f>
        <v>44.93</v>
      </c>
      <c r="Y1283" s="0" t="str">
        <f aca="false">INDEX('Reward Model'!$E$18:$E$37,MATCH($E1283,'Reward Model'!$A$18:$A$37,0))</f>
        <v>Low</v>
      </c>
      <c r="Z1283" s="4" t="n">
        <f aca="false">ROUND(MIN(1,MAX('Reward Model'!$B$2,INDEX('Reward Model'!$C$12:$C$14,MATCH($K1283,'Reward Model'!$A$12:$A$14,0))/$J1283)),3)</f>
        <v>1</v>
      </c>
      <c r="AA1283" s="2" t="n">
        <f aca="false">IF($I1283="Correct",ROUND(INDEX('Reward Model'!$B$12:$B$14,MATCH($K1283,'Reward Model'!$A$12:$A$14,0))*Z1283,2),0)</f>
        <v>1</v>
      </c>
      <c r="AB1283" s="2" t="n">
        <f aca="false">IF($I1283="Correct",ROUND(INDEX('Reward Model'!$B$12:$B$14,MATCH($Y1283,'Reward Model'!$A$12:$A$14,0))*Z1283,2),0)</f>
        <v>1</v>
      </c>
    </row>
    <row r="1284" customFormat="false" ht="15" hidden="false" customHeight="false" outlineLevel="0" collapsed="false">
      <c r="A1284" s="0" t="s">
        <v>257</v>
      </c>
      <c r="B1284" s="0" t="s">
        <v>258</v>
      </c>
      <c r="C1284" s="0" t="s">
        <v>30</v>
      </c>
      <c r="D1284" s="0" t="s">
        <v>189</v>
      </c>
      <c r="E1284" s="0" t="n">
        <v>3</v>
      </c>
      <c r="F1284" s="0" t="s">
        <v>40</v>
      </c>
      <c r="G1284" s="0" t="s">
        <v>41</v>
      </c>
      <c r="H1284" s="0" t="s">
        <v>42</v>
      </c>
      <c r="I1284" s="0" t="s">
        <v>39</v>
      </c>
      <c r="J1284" s="0" t="n">
        <v>1.9</v>
      </c>
      <c r="K1284" s="0" t="s">
        <v>35</v>
      </c>
      <c r="L1284" s="0" t="n">
        <f aca="false">INDEX(Summary!$F$2:$F$201,MATCH($B1284,Summary!$A$2:$A$201,0))</f>
        <v>20</v>
      </c>
      <c r="M1284" s="0" t="n">
        <f aca="false">INDEX(Summary!$I$2:$I$201,MATCH($B1284,Summary!$A$2:$A$201,0))</f>
        <v>1</v>
      </c>
      <c r="N1284" s="0" t="n">
        <f aca="false">INDEX(Summary!$J$2:$J$201,MATCH($B1284,Summary!$A$2:$A$201,0))</f>
        <v>4</v>
      </c>
      <c r="O1284" s="2" t="n">
        <f aca="false">INDEX(Summary!$K$2:$K$201,MATCH($B1284,Summary!$A$2:$A$201,0))</f>
        <v>8.79</v>
      </c>
      <c r="P1284" s="3" t="n">
        <f aca="false">INDEX(Summary!$L$2:$L$201,MATCH($B1284,Summary!$A$2:$A$201,0))</f>
        <v>4</v>
      </c>
      <c r="Q1284" s="3" t="n">
        <f aca="false">INDEX(Summary!$M$2:$M$201,MATCH($B1284,Summary!$A$2:$A$201,0))</f>
        <v>2</v>
      </c>
      <c r="R1284" s="2" t="n">
        <f aca="false">INDEX(Summary!$N$2:$N$201,MATCH($B1284,Summary!$A$2:$A$201,0))</f>
        <v>9.99</v>
      </c>
      <c r="S1284" s="3" t="n">
        <f aca="false">INDEX(Summary!$O$2:$O$201,MATCH($B1284,Summary!$A$2:$A$201,0))</f>
        <v>6</v>
      </c>
      <c r="T1284" s="3" t="n">
        <f aca="false">INDEX(Summary!$P$2:$P$201,MATCH($B1284,Summary!$A$2:$A$201,0))</f>
        <v>3</v>
      </c>
      <c r="U1284" s="2" t="n">
        <f aca="false">INDEX(Summary!$Q$2:$Q$201,MATCH($B1284,Summary!$A$2:$A$201,0))</f>
        <v>13.17</v>
      </c>
      <c r="V1284" s="2" t="n">
        <f aca="false">INDEX(Summary!$R$2:$R$201,MATCH($B1284,Summary!$A$2:$A$201,0))</f>
        <v>18.42</v>
      </c>
      <c r="W1284" s="0" t="str">
        <f aca="false">INDEX(Summary!$S$2:$S$201,MATCH($B1284,Summary!$A$2:$A$201,0))</f>
        <v>Bronze</v>
      </c>
      <c r="X1284" s="2" t="n">
        <f aca="false">INDEX(Summary!$T$2:$T$201,MATCH($B1284,Summary!$A$2:$A$201,0))</f>
        <v>44.93</v>
      </c>
      <c r="Y1284" s="0" t="str">
        <f aca="false">INDEX('Reward Model'!$E$18:$E$37,MATCH($E1284,'Reward Model'!$A$18:$A$37,0))</f>
        <v>Medium</v>
      </c>
      <c r="Z1284" s="4" t="n">
        <f aca="false">ROUND(MIN(1,MAX('Reward Model'!$B$2,INDEX('Reward Model'!$C$12:$C$14,MATCH($K1284,'Reward Model'!$A$12:$A$14,0))/$J1284)),3)</f>
        <v>0.789</v>
      </c>
      <c r="AA1284" s="2" t="n">
        <f aca="false">IF($I1284="Correct",ROUND(INDEX('Reward Model'!$B$12:$B$14,MATCH($K1284,'Reward Model'!$A$12:$A$14,0))*Z1284,2),0)</f>
        <v>0</v>
      </c>
      <c r="AB1284" s="2" t="n">
        <f aca="false">IF($I1284="Correct",ROUND(INDEX('Reward Model'!$B$12:$B$14,MATCH($Y1284,'Reward Model'!$A$12:$A$14,0))*Z1284,2),0)</f>
        <v>0</v>
      </c>
    </row>
    <row r="1285" customFormat="false" ht="15" hidden="false" customHeight="false" outlineLevel="0" collapsed="false">
      <c r="A1285" s="0" t="s">
        <v>257</v>
      </c>
      <c r="B1285" s="0" t="s">
        <v>258</v>
      </c>
      <c r="C1285" s="0" t="s">
        <v>30</v>
      </c>
      <c r="D1285" s="0" t="s">
        <v>189</v>
      </c>
      <c r="E1285" s="0" t="n">
        <v>4</v>
      </c>
      <c r="F1285" s="0" t="s">
        <v>43</v>
      </c>
      <c r="G1285" s="0" t="s">
        <v>45</v>
      </c>
      <c r="H1285" s="0" t="s">
        <v>45</v>
      </c>
      <c r="I1285" s="0" t="s">
        <v>34</v>
      </c>
      <c r="J1285" s="0" t="n">
        <v>1.74</v>
      </c>
      <c r="K1285" s="0" t="s">
        <v>35</v>
      </c>
      <c r="L1285" s="0" t="n">
        <f aca="false">INDEX(Summary!$F$2:$F$201,MATCH($B1285,Summary!$A$2:$A$201,0))</f>
        <v>20</v>
      </c>
      <c r="M1285" s="0" t="n">
        <f aca="false">INDEX(Summary!$I$2:$I$201,MATCH($B1285,Summary!$A$2:$A$201,0))</f>
        <v>1</v>
      </c>
      <c r="N1285" s="0" t="n">
        <f aca="false">INDEX(Summary!$J$2:$J$201,MATCH($B1285,Summary!$A$2:$A$201,0))</f>
        <v>4</v>
      </c>
      <c r="O1285" s="2" t="n">
        <f aca="false">INDEX(Summary!$K$2:$K$201,MATCH($B1285,Summary!$A$2:$A$201,0))</f>
        <v>8.79</v>
      </c>
      <c r="P1285" s="3" t="n">
        <f aca="false">INDEX(Summary!$L$2:$L$201,MATCH($B1285,Summary!$A$2:$A$201,0))</f>
        <v>4</v>
      </c>
      <c r="Q1285" s="3" t="n">
        <f aca="false">INDEX(Summary!$M$2:$M$201,MATCH($B1285,Summary!$A$2:$A$201,0))</f>
        <v>2</v>
      </c>
      <c r="R1285" s="2" t="n">
        <f aca="false">INDEX(Summary!$N$2:$N$201,MATCH($B1285,Summary!$A$2:$A$201,0))</f>
        <v>9.99</v>
      </c>
      <c r="S1285" s="3" t="n">
        <f aca="false">INDEX(Summary!$O$2:$O$201,MATCH($B1285,Summary!$A$2:$A$201,0))</f>
        <v>6</v>
      </c>
      <c r="T1285" s="3" t="n">
        <f aca="false">INDEX(Summary!$P$2:$P$201,MATCH($B1285,Summary!$A$2:$A$201,0))</f>
        <v>3</v>
      </c>
      <c r="U1285" s="2" t="n">
        <f aca="false">INDEX(Summary!$Q$2:$Q$201,MATCH($B1285,Summary!$A$2:$A$201,0))</f>
        <v>13.17</v>
      </c>
      <c r="V1285" s="2" t="n">
        <f aca="false">INDEX(Summary!$R$2:$R$201,MATCH($B1285,Summary!$A$2:$A$201,0))</f>
        <v>18.42</v>
      </c>
      <c r="W1285" s="0" t="str">
        <f aca="false">INDEX(Summary!$S$2:$S$201,MATCH($B1285,Summary!$A$2:$A$201,0))</f>
        <v>Bronze</v>
      </c>
      <c r="X1285" s="2" t="n">
        <f aca="false">INDEX(Summary!$T$2:$T$201,MATCH($B1285,Summary!$A$2:$A$201,0))</f>
        <v>44.93</v>
      </c>
      <c r="Y1285" s="0" t="str">
        <f aca="false">INDEX('Reward Model'!$E$18:$E$37,MATCH($E1285,'Reward Model'!$A$18:$A$37,0))</f>
        <v>Low</v>
      </c>
      <c r="Z1285" s="4" t="n">
        <f aca="false">ROUND(MIN(1,MAX('Reward Model'!$B$2,INDEX('Reward Model'!$C$12:$C$14,MATCH($K1285,'Reward Model'!$A$12:$A$14,0))/$J1285)),3)</f>
        <v>0.862</v>
      </c>
      <c r="AA1285" s="2" t="n">
        <f aca="false">IF($I1285="Correct",ROUND(INDEX('Reward Model'!$B$12:$B$14,MATCH($K1285,'Reward Model'!$A$12:$A$14,0))*Z1285,2),0)</f>
        <v>0.86</v>
      </c>
      <c r="AB1285" s="2" t="n">
        <f aca="false">IF($I1285="Correct",ROUND(INDEX('Reward Model'!$B$12:$B$14,MATCH($Y1285,'Reward Model'!$A$12:$A$14,0))*Z1285,2),0)</f>
        <v>0.86</v>
      </c>
    </row>
    <row r="1286" customFormat="false" ht="15" hidden="false" customHeight="false" outlineLevel="0" collapsed="false">
      <c r="A1286" s="0" t="s">
        <v>257</v>
      </c>
      <c r="B1286" s="0" t="s">
        <v>258</v>
      </c>
      <c r="C1286" s="0" t="s">
        <v>30</v>
      </c>
      <c r="D1286" s="0" t="s">
        <v>189</v>
      </c>
      <c r="E1286" s="0" t="n">
        <v>5</v>
      </c>
      <c r="F1286" s="0" t="s">
        <v>46</v>
      </c>
      <c r="G1286" s="0" t="s">
        <v>47</v>
      </c>
      <c r="H1286" s="0" t="s">
        <v>47</v>
      </c>
      <c r="I1286" s="0" t="s">
        <v>34</v>
      </c>
      <c r="J1286" s="0" t="n">
        <v>1.13</v>
      </c>
      <c r="K1286" s="0" t="s">
        <v>35</v>
      </c>
      <c r="L1286" s="0" t="n">
        <f aca="false">INDEX(Summary!$F$2:$F$201,MATCH($B1286,Summary!$A$2:$A$201,0))</f>
        <v>20</v>
      </c>
      <c r="M1286" s="0" t="n">
        <f aca="false">INDEX(Summary!$I$2:$I$201,MATCH($B1286,Summary!$A$2:$A$201,0))</f>
        <v>1</v>
      </c>
      <c r="N1286" s="0" t="n">
        <f aca="false">INDEX(Summary!$J$2:$J$201,MATCH($B1286,Summary!$A$2:$A$201,0))</f>
        <v>4</v>
      </c>
      <c r="O1286" s="2" t="n">
        <f aca="false">INDEX(Summary!$K$2:$K$201,MATCH($B1286,Summary!$A$2:$A$201,0))</f>
        <v>8.79</v>
      </c>
      <c r="P1286" s="3" t="n">
        <f aca="false">INDEX(Summary!$L$2:$L$201,MATCH($B1286,Summary!$A$2:$A$201,0))</f>
        <v>4</v>
      </c>
      <c r="Q1286" s="3" t="n">
        <f aca="false">INDEX(Summary!$M$2:$M$201,MATCH($B1286,Summary!$A$2:$A$201,0))</f>
        <v>2</v>
      </c>
      <c r="R1286" s="2" t="n">
        <f aca="false">INDEX(Summary!$N$2:$N$201,MATCH($B1286,Summary!$A$2:$A$201,0))</f>
        <v>9.99</v>
      </c>
      <c r="S1286" s="3" t="n">
        <f aca="false">INDEX(Summary!$O$2:$O$201,MATCH($B1286,Summary!$A$2:$A$201,0))</f>
        <v>6</v>
      </c>
      <c r="T1286" s="3" t="n">
        <f aca="false">INDEX(Summary!$P$2:$P$201,MATCH($B1286,Summary!$A$2:$A$201,0))</f>
        <v>3</v>
      </c>
      <c r="U1286" s="2" t="n">
        <f aca="false">INDEX(Summary!$Q$2:$Q$201,MATCH($B1286,Summary!$A$2:$A$201,0))</f>
        <v>13.17</v>
      </c>
      <c r="V1286" s="2" t="n">
        <f aca="false">INDEX(Summary!$R$2:$R$201,MATCH($B1286,Summary!$A$2:$A$201,0))</f>
        <v>18.42</v>
      </c>
      <c r="W1286" s="0" t="str">
        <f aca="false">INDEX(Summary!$S$2:$S$201,MATCH($B1286,Summary!$A$2:$A$201,0))</f>
        <v>Bronze</v>
      </c>
      <c r="X1286" s="2" t="n">
        <f aca="false">INDEX(Summary!$T$2:$T$201,MATCH($B1286,Summary!$A$2:$A$201,0))</f>
        <v>44.93</v>
      </c>
      <c r="Y1286" s="0" t="str">
        <f aca="false">INDEX('Reward Model'!$E$18:$E$37,MATCH($E1286,'Reward Model'!$A$18:$A$37,0))</f>
        <v>Low</v>
      </c>
      <c r="Z1286" s="4" t="n">
        <f aca="false">ROUND(MIN(1,MAX('Reward Model'!$B$2,INDEX('Reward Model'!$C$12:$C$14,MATCH($K1286,'Reward Model'!$A$12:$A$14,0))/$J1286)),3)</f>
        <v>1</v>
      </c>
      <c r="AA1286" s="2" t="n">
        <f aca="false">IF($I1286="Correct",ROUND(INDEX('Reward Model'!$B$12:$B$14,MATCH($K1286,'Reward Model'!$A$12:$A$14,0))*Z1286,2),0)</f>
        <v>1</v>
      </c>
      <c r="AB1286" s="2" t="n">
        <f aca="false">IF($I1286="Correct",ROUND(INDEX('Reward Model'!$B$12:$B$14,MATCH($Y1286,'Reward Model'!$A$12:$A$14,0))*Z1286,2),0)</f>
        <v>1</v>
      </c>
    </row>
    <row r="1287" customFormat="false" ht="15" hidden="false" customHeight="false" outlineLevel="0" collapsed="false">
      <c r="A1287" s="0" t="s">
        <v>257</v>
      </c>
      <c r="B1287" s="0" t="s">
        <v>258</v>
      </c>
      <c r="C1287" s="0" t="s">
        <v>30</v>
      </c>
      <c r="D1287" s="0" t="s">
        <v>189</v>
      </c>
      <c r="E1287" s="0" t="n">
        <v>6</v>
      </c>
      <c r="F1287" s="0" t="s">
        <v>48</v>
      </c>
      <c r="G1287" s="0" t="s">
        <v>49</v>
      </c>
      <c r="H1287" s="0" t="s">
        <v>49</v>
      </c>
      <c r="I1287" s="0" t="s">
        <v>34</v>
      </c>
      <c r="J1287" s="0" t="n">
        <v>1.16</v>
      </c>
      <c r="K1287" s="0" t="s">
        <v>35</v>
      </c>
      <c r="L1287" s="0" t="n">
        <f aca="false">INDEX(Summary!$F$2:$F$201,MATCH($B1287,Summary!$A$2:$A$201,0))</f>
        <v>20</v>
      </c>
      <c r="M1287" s="0" t="n">
        <f aca="false">INDEX(Summary!$I$2:$I$201,MATCH($B1287,Summary!$A$2:$A$201,0))</f>
        <v>1</v>
      </c>
      <c r="N1287" s="0" t="n">
        <f aca="false">INDEX(Summary!$J$2:$J$201,MATCH($B1287,Summary!$A$2:$A$201,0))</f>
        <v>4</v>
      </c>
      <c r="O1287" s="2" t="n">
        <f aca="false">INDEX(Summary!$K$2:$K$201,MATCH($B1287,Summary!$A$2:$A$201,0))</f>
        <v>8.79</v>
      </c>
      <c r="P1287" s="3" t="n">
        <f aca="false">INDEX(Summary!$L$2:$L$201,MATCH($B1287,Summary!$A$2:$A$201,0))</f>
        <v>4</v>
      </c>
      <c r="Q1287" s="3" t="n">
        <f aca="false">INDEX(Summary!$M$2:$M$201,MATCH($B1287,Summary!$A$2:$A$201,0))</f>
        <v>2</v>
      </c>
      <c r="R1287" s="2" t="n">
        <f aca="false">INDEX(Summary!$N$2:$N$201,MATCH($B1287,Summary!$A$2:$A$201,0))</f>
        <v>9.99</v>
      </c>
      <c r="S1287" s="3" t="n">
        <f aca="false">INDEX(Summary!$O$2:$O$201,MATCH($B1287,Summary!$A$2:$A$201,0))</f>
        <v>6</v>
      </c>
      <c r="T1287" s="3" t="n">
        <f aca="false">INDEX(Summary!$P$2:$P$201,MATCH($B1287,Summary!$A$2:$A$201,0))</f>
        <v>3</v>
      </c>
      <c r="U1287" s="2" t="n">
        <f aca="false">INDEX(Summary!$Q$2:$Q$201,MATCH($B1287,Summary!$A$2:$A$201,0))</f>
        <v>13.17</v>
      </c>
      <c r="V1287" s="2" t="n">
        <f aca="false">INDEX(Summary!$R$2:$R$201,MATCH($B1287,Summary!$A$2:$A$201,0))</f>
        <v>18.42</v>
      </c>
      <c r="W1287" s="0" t="str">
        <f aca="false">INDEX(Summary!$S$2:$S$201,MATCH($B1287,Summary!$A$2:$A$201,0))</f>
        <v>Bronze</v>
      </c>
      <c r="X1287" s="2" t="n">
        <f aca="false">INDEX(Summary!$T$2:$T$201,MATCH($B1287,Summary!$A$2:$A$201,0))</f>
        <v>44.93</v>
      </c>
      <c r="Y1287" s="0" t="str">
        <f aca="false">INDEX('Reward Model'!$E$18:$E$37,MATCH($E1287,'Reward Model'!$A$18:$A$37,0))</f>
        <v>Medium</v>
      </c>
      <c r="Z1287" s="4" t="n">
        <f aca="false">ROUND(MIN(1,MAX('Reward Model'!$B$2,INDEX('Reward Model'!$C$12:$C$14,MATCH($K1287,'Reward Model'!$A$12:$A$14,0))/$J1287)),3)</f>
        <v>1</v>
      </c>
      <c r="AA1287" s="2" t="n">
        <f aca="false">IF($I1287="Correct",ROUND(INDEX('Reward Model'!$B$12:$B$14,MATCH($K1287,'Reward Model'!$A$12:$A$14,0))*Z1287,2),0)</f>
        <v>1</v>
      </c>
      <c r="AB1287" s="2" t="n">
        <f aca="false">IF($I1287="Correct",ROUND(INDEX('Reward Model'!$B$12:$B$14,MATCH($Y1287,'Reward Model'!$A$12:$A$14,0))*Z1287,2),0)</f>
        <v>2</v>
      </c>
    </row>
    <row r="1288" customFormat="false" ht="15" hidden="false" customHeight="false" outlineLevel="0" collapsed="false">
      <c r="A1288" s="0" t="s">
        <v>257</v>
      </c>
      <c r="B1288" s="0" t="s">
        <v>258</v>
      </c>
      <c r="C1288" s="0" t="s">
        <v>30</v>
      </c>
      <c r="D1288" s="0" t="s">
        <v>189</v>
      </c>
      <c r="E1288" s="0" t="n">
        <v>7</v>
      </c>
      <c r="F1288" s="0" t="s">
        <v>50</v>
      </c>
      <c r="G1288" s="0" t="s">
        <v>51</v>
      </c>
      <c r="H1288" s="0" t="s">
        <v>51</v>
      </c>
      <c r="I1288" s="0" t="s">
        <v>34</v>
      </c>
      <c r="J1288" s="0" t="n">
        <v>1.99</v>
      </c>
      <c r="K1288" s="0" t="s">
        <v>35</v>
      </c>
      <c r="L1288" s="0" t="n">
        <f aca="false">INDEX(Summary!$F$2:$F$201,MATCH($B1288,Summary!$A$2:$A$201,0))</f>
        <v>20</v>
      </c>
      <c r="M1288" s="0" t="n">
        <f aca="false">INDEX(Summary!$I$2:$I$201,MATCH($B1288,Summary!$A$2:$A$201,0))</f>
        <v>1</v>
      </c>
      <c r="N1288" s="0" t="n">
        <f aca="false">INDEX(Summary!$J$2:$J$201,MATCH($B1288,Summary!$A$2:$A$201,0))</f>
        <v>4</v>
      </c>
      <c r="O1288" s="2" t="n">
        <f aca="false">INDEX(Summary!$K$2:$K$201,MATCH($B1288,Summary!$A$2:$A$201,0))</f>
        <v>8.79</v>
      </c>
      <c r="P1288" s="3" t="n">
        <f aca="false">INDEX(Summary!$L$2:$L$201,MATCH($B1288,Summary!$A$2:$A$201,0))</f>
        <v>4</v>
      </c>
      <c r="Q1288" s="3" t="n">
        <f aca="false">INDEX(Summary!$M$2:$M$201,MATCH($B1288,Summary!$A$2:$A$201,0))</f>
        <v>2</v>
      </c>
      <c r="R1288" s="2" t="n">
        <f aca="false">INDEX(Summary!$N$2:$N$201,MATCH($B1288,Summary!$A$2:$A$201,0))</f>
        <v>9.99</v>
      </c>
      <c r="S1288" s="3" t="n">
        <f aca="false">INDEX(Summary!$O$2:$O$201,MATCH($B1288,Summary!$A$2:$A$201,0))</f>
        <v>6</v>
      </c>
      <c r="T1288" s="3" t="n">
        <f aca="false">INDEX(Summary!$P$2:$P$201,MATCH($B1288,Summary!$A$2:$A$201,0))</f>
        <v>3</v>
      </c>
      <c r="U1288" s="2" t="n">
        <f aca="false">INDEX(Summary!$Q$2:$Q$201,MATCH($B1288,Summary!$A$2:$A$201,0))</f>
        <v>13.17</v>
      </c>
      <c r="V1288" s="2" t="n">
        <f aca="false">INDEX(Summary!$R$2:$R$201,MATCH($B1288,Summary!$A$2:$A$201,0))</f>
        <v>18.42</v>
      </c>
      <c r="W1288" s="0" t="str">
        <f aca="false">INDEX(Summary!$S$2:$S$201,MATCH($B1288,Summary!$A$2:$A$201,0))</f>
        <v>Bronze</v>
      </c>
      <c r="X1288" s="2" t="n">
        <f aca="false">INDEX(Summary!$T$2:$T$201,MATCH($B1288,Summary!$A$2:$A$201,0))</f>
        <v>44.93</v>
      </c>
      <c r="Y1288" s="0" t="str">
        <f aca="false">INDEX('Reward Model'!$E$18:$E$37,MATCH($E1288,'Reward Model'!$A$18:$A$37,0))</f>
        <v>Low</v>
      </c>
      <c r="Z1288" s="4" t="n">
        <f aca="false">ROUND(MIN(1,MAX('Reward Model'!$B$2,INDEX('Reward Model'!$C$12:$C$14,MATCH($K1288,'Reward Model'!$A$12:$A$14,0))/$J1288)),3)</f>
        <v>0.754</v>
      </c>
      <c r="AA1288" s="2" t="n">
        <f aca="false">IF($I1288="Correct",ROUND(INDEX('Reward Model'!$B$12:$B$14,MATCH($K1288,'Reward Model'!$A$12:$A$14,0))*Z1288,2),0)</f>
        <v>0.75</v>
      </c>
      <c r="AB1288" s="2" t="n">
        <f aca="false">IF($I1288="Correct",ROUND(INDEX('Reward Model'!$B$12:$B$14,MATCH($Y1288,'Reward Model'!$A$12:$A$14,0))*Z1288,2),0)</f>
        <v>0.75</v>
      </c>
    </row>
    <row r="1289" customFormat="false" ht="15" hidden="false" customHeight="false" outlineLevel="0" collapsed="false">
      <c r="A1289" s="0" t="s">
        <v>257</v>
      </c>
      <c r="B1289" s="0" t="s">
        <v>258</v>
      </c>
      <c r="C1289" s="0" t="s">
        <v>30</v>
      </c>
      <c r="D1289" s="0" t="s">
        <v>189</v>
      </c>
      <c r="E1289" s="0" t="n">
        <v>8</v>
      </c>
      <c r="F1289" s="0" t="s">
        <v>52</v>
      </c>
      <c r="G1289" s="0" t="s">
        <v>137</v>
      </c>
      <c r="H1289" s="0" t="s">
        <v>54</v>
      </c>
      <c r="I1289" s="0" t="s">
        <v>39</v>
      </c>
      <c r="J1289" s="0" t="n">
        <v>1.76</v>
      </c>
      <c r="K1289" s="0" t="s">
        <v>35</v>
      </c>
      <c r="L1289" s="0" t="n">
        <f aca="false">INDEX(Summary!$F$2:$F$201,MATCH($B1289,Summary!$A$2:$A$201,0))</f>
        <v>20</v>
      </c>
      <c r="M1289" s="0" t="n">
        <f aca="false">INDEX(Summary!$I$2:$I$201,MATCH($B1289,Summary!$A$2:$A$201,0))</f>
        <v>1</v>
      </c>
      <c r="N1289" s="0" t="n">
        <f aca="false">INDEX(Summary!$J$2:$J$201,MATCH($B1289,Summary!$A$2:$A$201,0))</f>
        <v>4</v>
      </c>
      <c r="O1289" s="2" t="n">
        <f aca="false">INDEX(Summary!$K$2:$K$201,MATCH($B1289,Summary!$A$2:$A$201,0))</f>
        <v>8.79</v>
      </c>
      <c r="P1289" s="3" t="n">
        <f aca="false">INDEX(Summary!$L$2:$L$201,MATCH($B1289,Summary!$A$2:$A$201,0))</f>
        <v>4</v>
      </c>
      <c r="Q1289" s="3" t="n">
        <f aca="false">INDEX(Summary!$M$2:$M$201,MATCH($B1289,Summary!$A$2:$A$201,0))</f>
        <v>2</v>
      </c>
      <c r="R1289" s="2" t="n">
        <f aca="false">INDEX(Summary!$N$2:$N$201,MATCH($B1289,Summary!$A$2:$A$201,0))</f>
        <v>9.99</v>
      </c>
      <c r="S1289" s="3" t="n">
        <f aca="false">INDEX(Summary!$O$2:$O$201,MATCH($B1289,Summary!$A$2:$A$201,0))</f>
        <v>6</v>
      </c>
      <c r="T1289" s="3" t="n">
        <f aca="false">INDEX(Summary!$P$2:$P$201,MATCH($B1289,Summary!$A$2:$A$201,0))</f>
        <v>3</v>
      </c>
      <c r="U1289" s="2" t="n">
        <f aca="false">INDEX(Summary!$Q$2:$Q$201,MATCH($B1289,Summary!$A$2:$A$201,0))</f>
        <v>13.17</v>
      </c>
      <c r="V1289" s="2" t="n">
        <f aca="false">INDEX(Summary!$R$2:$R$201,MATCH($B1289,Summary!$A$2:$A$201,0))</f>
        <v>18.42</v>
      </c>
      <c r="W1289" s="0" t="str">
        <f aca="false">INDEX(Summary!$S$2:$S$201,MATCH($B1289,Summary!$A$2:$A$201,0))</f>
        <v>Bronze</v>
      </c>
      <c r="X1289" s="2" t="n">
        <f aca="false">INDEX(Summary!$T$2:$T$201,MATCH($B1289,Summary!$A$2:$A$201,0))</f>
        <v>44.93</v>
      </c>
      <c r="Y1289" s="0" t="str">
        <f aca="false">INDEX('Reward Model'!$E$18:$E$37,MATCH($E1289,'Reward Model'!$A$18:$A$37,0))</f>
        <v>Medium</v>
      </c>
      <c r="Z1289" s="4" t="n">
        <f aca="false">ROUND(MIN(1,MAX('Reward Model'!$B$2,INDEX('Reward Model'!$C$12:$C$14,MATCH($K1289,'Reward Model'!$A$12:$A$14,0))/$J1289)),3)</f>
        <v>0.852</v>
      </c>
      <c r="AA1289" s="2" t="n">
        <f aca="false">IF($I1289="Correct",ROUND(INDEX('Reward Model'!$B$12:$B$14,MATCH($K1289,'Reward Model'!$A$12:$A$14,0))*Z1289,2),0)</f>
        <v>0</v>
      </c>
      <c r="AB1289" s="2" t="n">
        <f aca="false">IF($I1289="Correct",ROUND(INDEX('Reward Model'!$B$12:$B$14,MATCH($Y1289,'Reward Model'!$A$12:$A$14,0))*Z1289,2),0)</f>
        <v>0</v>
      </c>
    </row>
    <row r="1290" customFormat="false" ht="15" hidden="false" customHeight="false" outlineLevel="0" collapsed="false">
      <c r="A1290" s="0" t="s">
        <v>257</v>
      </c>
      <c r="B1290" s="0" t="s">
        <v>258</v>
      </c>
      <c r="C1290" s="0" t="s">
        <v>30</v>
      </c>
      <c r="D1290" s="0" t="s">
        <v>189</v>
      </c>
      <c r="E1290" s="0" t="n">
        <v>9</v>
      </c>
      <c r="F1290" s="0" t="s">
        <v>55</v>
      </c>
      <c r="G1290" s="0" t="s">
        <v>57</v>
      </c>
      <c r="H1290" s="0" t="s">
        <v>57</v>
      </c>
      <c r="I1290" s="0" t="s">
        <v>34</v>
      </c>
      <c r="J1290" s="0" t="n">
        <v>1.33</v>
      </c>
      <c r="K1290" s="0" t="s">
        <v>35</v>
      </c>
      <c r="L1290" s="0" t="n">
        <f aca="false">INDEX(Summary!$F$2:$F$201,MATCH($B1290,Summary!$A$2:$A$201,0))</f>
        <v>20</v>
      </c>
      <c r="M1290" s="0" t="n">
        <f aca="false">INDEX(Summary!$I$2:$I$201,MATCH($B1290,Summary!$A$2:$A$201,0))</f>
        <v>1</v>
      </c>
      <c r="N1290" s="0" t="n">
        <f aca="false">INDEX(Summary!$J$2:$J$201,MATCH($B1290,Summary!$A$2:$A$201,0))</f>
        <v>4</v>
      </c>
      <c r="O1290" s="2" t="n">
        <f aca="false">INDEX(Summary!$K$2:$K$201,MATCH($B1290,Summary!$A$2:$A$201,0))</f>
        <v>8.79</v>
      </c>
      <c r="P1290" s="3" t="n">
        <f aca="false">INDEX(Summary!$L$2:$L$201,MATCH($B1290,Summary!$A$2:$A$201,0))</f>
        <v>4</v>
      </c>
      <c r="Q1290" s="3" t="n">
        <f aca="false">INDEX(Summary!$M$2:$M$201,MATCH($B1290,Summary!$A$2:$A$201,0))</f>
        <v>2</v>
      </c>
      <c r="R1290" s="2" t="n">
        <f aca="false">INDEX(Summary!$N$2:$N$201,MATCH($B1290,Summary!$A$2:$A$201,0))</f>
        <v>9.99</v>
      </c>
      <c r="S1290" s="3" t="n">
        <f aca="false">INDEX(Summary!$O$2:$O$201,MATCH($B1290,Summary!$A$2:$A$201,0))</f>
        <v>6</v>
      </c>
      <c r="T1290" s="3" t="n">
        <f aca="false">INDEX(Summary!$P$2:$P$201,MATCH($B1290,Summary!$A$2:$A$201,0))</f>
        <v>3</v>
      </c>
      <c r="U1290" s="2" t="n">
        <f aca="false">INDEX(Summary!$Q$2:$Q$201,MATCH($B1290,Summary!$A$2:$A$201,0))</f>
        <v>13.17</v>
      </c>
      <c r="V1290" s="2" t="n">
        <f aca="false">INDEX(Summary!$R$2:$R$201,MATCH($B1290,Summary!$A$2:$A$201,0))</f>
        <v>18.42</v>
      </c>
      <c r="W1290" s="0" t="str">
        <f aca="false">INDEX(Summary!$S$2:$S$201,MATCH($B1290,Summary!$A$2:$A$201,0))</f>
        <v>Bronze</v>
      </c>
      <c r="X1290" s="2" t="n">
        <f aca="false">INDEX(Summary!$T$2:$T$201,MATCH($B1290,Summary!$A$2:$A$201,0))</f>
        <v>44.93</v>
      </c>
      <c r="Y1290" s="0" t="str">
        <f aca="false">INDEX('Reward Model'!$E$18:$E$37,MATCH($E1290,'Reward Model'!$A$18:$A$37,0))</f>
        <v>Medium</v>
      </c>
      <c r="Z1290" s="4" t="n">
        <f aca="false">ROUND(MIN(1,MAX('Reward Model'!$B$2,INDEX('Reward Model'!$C$12:$C$14,MATCH($K1290,'Reward Model'!$A$12:$A$14,0))/$J1290)),3)</f>
        <v>1</v>
      </c>
      <c r="AA1290" s="2" t="n">
        <f aca="false">IF($I1290="Correct",ROUND(INDEX('Reward Model'!$B$12:$B$14,MATCH($K1290,'Reward Model'!$A$12:$A$14,0))*Z1290,2),0)</f>
        <v>1</v>
      </c>
      <c r="AB1290" s="2" t="n">
        <f aca="false">IF($I1290="Correct",ROUND(INDEX('Reward Model'!$B$12:$B$14,MATCH($Y1290,'Reward Model'!$A$12:$A$14,0))*Z1290,2),0)</f>
        <v>2</v>
      </c>
    </row>
    <row r="1291" customFormat="false" ht="15" hidden="false" customHeight="false" outlineLevel="0" collapsed="false">
      <c r="A1291" s="0" t="s">
        <v>257</v>
      </c>
      <c r="B1291" s="0" t="s">
        <v>258</v>
      </c>
      <c r="C1291" s="0" t="s">
        <v>30</v>
      </c>
      <c r="D1291" s="0" t="s">
        <v>189</v>
      </c>
      <c r="E1291" s="0" t="n">
        <v>10</v>
      </c>
      <c r="F1291" s="0" t="s">
        <v>58</v>
      </c>
      <c r="G1291" s="0" t="s">
        <v>59</v>
      </c>
      <c r="H1291" s="0" t="s">
        <v>59</v>
      </c>
      <c r="I1291" s="0" t="s">
        <v>34</v>
      </c>
      <c r="J1291" s="0" t="n">
        <v>1.76</v>
      </c>
      <c r="K1291" s="0" t="s">
        <v>60</v>
      </c>
      <c r="L1291" s="0" t="n">
        <f aca="false">INDEX(Summary!$F$2:$F$201,MATCH($B1291,Summary!$A$2:$A$201,0))</f>
        <v>20</v>
      </c>
      <c r="M1291" s="0" t="n">
        <f aca="false">INDEX(Summary!$I$2:$I$201,MATCH($B1291,Summary!$A$2:$A$201,0))</f>
        <v>1</v>
      </c>
      <c r="N1291" s="0" t="n">
        <f aca="false">INDEX(Summary!$J$2:$J$201,MATCH($B1291,Summary!$A$2:$A$201,0))</f>
        <v>4</v>
      </c>
      <c r="O1291" s="2" t="n">
        <f aca="false">INDEX(Summary!$K$2:$K$201,MATCH($B1291,Summary!$A$2:$A$201,0))</f>
        <v>8.79</v>
      </c>
      <c r="P1291" s="3" t="n">
        <f aca="false">INDEX(Summary!$L$2:$L$201,MATCH($B1291,Summary!$A$2:$A$201,0))</f>
        <v>4</v>
      </c>
      <c r="Q1291" s="3" t="n">
        <f aca="false">INDEX(Summary!$M$2:$M$201,MATCH($B1291,Summary!$A$2:$A$201,0))</f>
        <v>2</v>
      </c>
      <c r="R1291" s="2" t="n">
        <f aca="false">INDEX(Summary!$N$2:$N$201,MATCH($B1291,Summary!$A$2:$A$201,0))</f>
        <v>9.99</v>
      </c>
      <c r="S1291" s="3" t="n">
        <f aca="false">INDEX(Summary!$O$2:$O$201,MATCH($B1291,Summary!$A$2:$A$201,0))</f>
        <v>6</v>
      </c>
      <c r="T1291" s="3" t="n">
        <f aca="false">INDEX(Summary!$P$2:$P$201,MATCH($B1291,Summary!$A$2:$A$201,0))</f>
        <v>3</v>
      </c>
      <c r="U1291" s="2" t="n">
        <f aca="false">INDEX(Summary!$Q$2:$Q$201,MATCH($B1291,Summary!$A$2:$A$201,0))</f>
        <v>13.17</v>
      </c>
      <c r="V1291" s="2" t="n">
        <f aca="false">INDEX(Summary!$R$2:$R$201,MATCH($B1291,Summary!$A$2:$A$201,0))</f>
        <v>18.42</v>
      </c>
      <c r="W1291" s="0" t="str">
        <f aca="false">INDEX(Summary!$S$2:$S$201,MATCH($B1291,Summary!$A$2:$A$201,0))</f>
        <v>Bronze</v>
      </c>
      <c r="X1291" s="2" t="n">
        <f aca="false">INDEX(Summary!$T$2:$T$201,MATCH($B1291,Summary!$A$2:$A$201,0))</f>
        <v>44.93</v>
      </c>
      <c r="Y1291" s="0" t="str">
        <f aca="false">INDEX('Reward Model'!$E$18:$E$37,MATCH($E1291,'Reward Model'!$A$18:$A$37,0))</f>
        <v>Medium</v>
      </c>
      <c r="Z1291" s="4" t="n">
        <f aca="false">ROUND(MIN(1,MAX('Reward Model'!$B$2,INDEX('Reward Model'!$C$12:$C$14,MATCH($K1291,'Reward Model'!$A$12:$A$14,0))/$J1291)),3)</f>
        <v>1</v>
      </c>
      <c r="AA1291" s="2" t="n">
        <f aca="false">IF($I1291="Correct",ROUND(INDEX('Reward Model'!$B$12:$B$14,MATCH($K1291,'Reward Model'!$A$12:$A$14,0))*Z1291,2),0)</f>
        <v>2</v>
      </c>
      <c r="AB1291" s="2" t="n">
        <f aca="false">IF($I1291="Correct",ROUND(INDEX('Reward Model'!$B$12:$B$14,MATCH($Y1291,'Reward Model'!$A$12:$A$14,0))*Z1291,2),0)</f>
        <v>2</v>
      </c>
    </row>
    <row r="1292" customFormat="false" ht="15" hidden="false" customHeight="false" outlineLevel="0" collapsed="false">
      <c r="A1292" s="0" t="s">
        <v>257</v>
      </c>
      <c r="B1292" s="0" t="s">
        <v>258</v>
      </c>
      <c r="C1292" s="0" t="s">
        <v>30</v>
      </c>
      <c r="D1292" s="0" t="s">
        <v>189</v>
      </c>
      <c r="E1292" s="0" t="n">
        <v>11</v>
      </c>
      <c r="F1292" s="0" t="s">
        <v>61</v>
      </c>
      <c r="G1292" s="0" t="s">
        <v>63</v>
      </c>
      <c r="H1292" s="0" t="s">
        <v>63</v>
      </c>
      <c r="I1292" s="0" t="s">
        <v>34</v>
      </c>
      <c r="J1292" s="0" t="n">
        <v>1.38</v>
      </c>
      <c r="K1292" s="0" t="s">
        <v>60</v>
      </c>
      <c r="L1292" s="0" t="n">
        <f aca="false">INDEX(Summary!$F$2:$F$201,MATCH($B1292,Summary!$A$2:$A$201,0))</f>
        <v>20</v>
      </c>
      <c r="M1292" s="0" t="n">
        <f aca="false">INDEX(Summary!$I$2:$I$201,MATCH($B1292,Summary!$A$2:$A$201,0))</f>
        <v>1</v>
      </c>
      <c r="N1292" s="0" t="n">
        <f aca="false">INDEX(Summary!$J$2:$J$201,MATCH($B1292,Summary!$A$2:$A$201,0))</f>
        <v>4</v>
      </c>
      <c r="O1292" s="2" t="n">
        <f aca="false">INDEX(Summary!$K$2:$K$201,MATCH($B1292,Summary!$A$2:$A$201,0))</f>
        <v>8.79</v>
      </c>
      <c r="P1292" s="3" t="n">
        <f aca="false">INDEX(Summary!$L$2:$L$201,MATCH($B1292,Summary!$A$2:$A$201,0))</f>
        <v>4</v>
      </c>
      <c r="Q1292" s="3" t="n">
        <f aca="false">INDEX(Summary!$M$2:$M$201,MATCH($B1292,Summary!$A$2:$A$201,0))</f>
        <v>2</v>
      </c>
      <c r="R1292" s="2" t="n">
        <f aca="false">INDEX(Summary!$N$2:$N$201,MATCH($B1292,Summary!$A$2:$A$201,0))</f>
        <v>9.99</v>
      </c>
      <c r="S1292" s="3" t="n">
        <f aca="false">INDEX(Summary!$O$2:$O$201,MATCH($B1292,Summary!$A$2:$A$201,0))</f>
        <v>6</v>
      </c>
      <c r="T1292" s="3" t="n">
        <f aca="false">INDEX(Summary!$P$2:$P$201,MATCH($B1292,Summary!$A$2:$A$201,0))</f>
        <v>3</v>
      </c>
      <c r="U1292" s="2" t="n">
        <f aca="false">INDEX(Summary!$Q$2:$Q$201,MATCH($B1292,Summary!$A$2:$A$201,0))</f>
        <v>13.17</v>
      </c>
      <c r="V1292" s="2" t="n">
        <f aca="false">INDEX(Summary!$R$2:$R$201,MATCH($B1292,Summary!$A$2:$A$201,0))</f>
        <v>18.42</v>
      </c>
      <c r="W1292" s="0" t="str">
        <f aca="false">INDEX(Summary!$S$2:$S$201,MATCH($B1292,Summary!$A$2:$A$201,0))</f>
        <v>Bronze</v>
      </c>
      <c r="X1292" s="2" t="n">
        <f aca="false">INDEX(Summary!$T$2:$T$201,MATCH($B1292,Summary!$A$2:$A$201,0))</f>
        <v>44.93</v>
      </c>
      <c r="Y1292" s="0" t="str">
        <f aca="false">INDEX('Reward Model'!$E$18:$E$37,MATCH($E1292,'Reward Model'!$A$18:$A$37,0))</f>
        <v>Medium</v>
      </c>
      <c r="Z1292" s="4" t="n">
        <f aca="false">ROUND(MIN(1,MAX('Reward Model'!$B$2,INDEX('Reward Model'!$C$12:$C$14,MATCH($K1292,'Reward Model'!$A$12:$A$14,0))/$J1292)),3)</f>
        <v>1</v>
      </c>
      <c r="AA1292" s="2" t="n">
        <f aca="false">IF($I1292="Correct",ROUND(INDEX('Reward Model'!$B$12:$B$14,MATCH($K1292,'Reward Model'!$A$12:$A$14,0))*Z1292,2),0)</f>
        <v>2</v>
      </c>
      <c r="AB1292" s="2" t="n">
        <f aca="false">IF($I1292="Correct",ROUND(INDEX('Reward Model'!$B$12:$B$14,MATCH($Y1292,'Reward Model'!$A$12:$A$14,0))*Z1292,2),0)</f>
        <v>2</v>
      </c>
    </row>
    <row r="1293" customFormat="false" ht="15" hidden="false" customHeight="false" outlineLevel="0" collapsed="false">
      <c r="A1293" s="0" t="s">
        <v>257</v>
      </c>
      <c r="B1293" s="0" t="s">
        <v>258</v>
      </c>
      <c r="C1293" s="0" t="s">
        <v>30</v>
      </c>
      <c r="D1293" s="0" t="s">
        <v>189</v>
      </c>
      <c r="E1293" s="0" t="n">
        <v>12</v>
      </c>
      <c r="F1293" s="0" t="s">
        <v>64</v>
      </c>
      <c r="G1293" s="0" t="s">
        <v>65</v>
      </c>
      <c r="H1293" s="0" t="s">
        <v>65</v>
      </c>
      <c r="I1293" s="0" t="s">
        <v>34</v>
      </c>
      <c r="J1293" s="0" t="n">
        <v>1.99</v>
      </c>
      <c r="K1293" s="0" t="s">
        <v>60</v>
      </c>
      <c r="L1293" s="0" t="n">
        <f aca="false">INDEX(Summary!$F$2:$F$201,MATCH($B1293,Summary!$A$2:$A$201,0))</f>
        <v>20</v>
      </c>
      <c r="M1293" s="0" t="n">
        <f aca="false">INDEX(Summary!$I$2:$I$201,MATCH($B1293,Summary!$A$2:$A$201,0))</f>
        <v>1</v>
      </c>
      <c r="N1293" s="0" t="n">
        <f aca="false">INDEX(Summary!$J$2:$J$201,MATCH($B1293,Summary!$A$2:$A$201,0))</f>
        <v>4</v>
      </c>
      <c r="O1293" s="2" t="n">
        <f aca="false">INDEX(Summary!$K$2:$K$201,MATCH($B1293,Summary!$A$2:$A$201,0))</f>
        <v>8.79</v>
      </c>
      <c r="P1293" s="3" t="n">
        <f aca="false">INDEX(Summary!$L$2:$L$201,MATCH($B1293,Summary!$A$2:$A$201,0))</f>
        <v>4</v>
      </c>
      <c r="Q1293" s="3" t="n">
        <f aca="false">INDEX(Summary!$M$2:$M$201,MATCH($B1293,Summary!$A$2:$A$201,0))</f>
        <v>2</v>
      </c>
      <c r="R1293" s="2" t="n">
        <f aca="false">INDEX(Summary!$N$2:$N$201,MATCH($B1293,Summary!$A$2:$A$201,0))</f>
        <v>9.99</v>
      </c>
      <c r="S1293" s="3" t="n">
        <f aca="false">INDEX(Summary!$O$2:$O$201,MATCH($B1293,Summary!$A$2:$A$201,0))</f>
        <v>6</v>
      </c>
      <c r="T1293" s="3" t="n">
        <f aca="false">INDEX(Summary!$P$2:$P$201,MATCH($B1293,Summary!$A$2:$A$201,0))</f>
        <v>3</v>
      </c>
      <c r="U1293" s="2" t="n">
        <f aca="false">INDEX(Summary!$Q$2:$Q$201,MATCH($B1293,Summary!$A$2:$A$201,0))</f>
        <v>13.17</v>
      </c>
      <c r="V1293" s="2" t="n">
        <f aca="false">INDEX(Summary!$R$2:$R$201,MATCH($B1293,Summary!$A$2:$A$201,0))</f>
        <v>18.42</v>
      </c>
      <c r="W1293" s="0" t="str">
        <f aca="false">INDEX(Summary!$S$2:$S$201,MATCH($B1293,Summary!$A$2:$A$201,0))</f>
        <v>Bronze</v>
      </c>
      <c r="X1293" s="2" t="n">
        <f aca="false">INDEX(Summary!$T$2:$T$201,MATCH($B1293,Summary!$A$2:$A$201,0))</f>
        <v>44.93</v>
      </c>
      <c r="Y1293" s="0" t="str">
        <f aca="false">INDEX('Reward Model'!$E$18:$E$37,MATCH($E1293,'Reward Model'!$A$18:$A$37,0))</f>
        <v>Medium</v>
      </c>
      <c r="Z1293" s="4" t="n">
        <f aca="false">ROUND(MIN(1,MAX('Reward Model'!$B$2,INDEX('Reward Model'!$C$12:$C$14,MATCH($K1293,'Reward Model'!$A$12:$A$14,0))/$J1293)),3)</f>
        <v>0.905</v>
      </c>
      <c r="AA1293" s="2" t="n">
        <f aca="false">IF($I1293="Correct",ROUND(INDEX('Reward Model'!$B$12:$B$14,MATCH($K1293,'Reward Model'!$A$12:$A$14,0))*Z1293,2),0)</f>
        <v>1.81</v>
      </c>
      <c r="AB1293" s="2" t="n">
        <f aca="false">IF($I1293="Correct",ROUND(INDEX('Reward Model'!$B$12:$B$14,MATCH($Y1293,'Reward Model'!$A$12:$A$14,0))*Z1293,2),0)</f>
        <v>1.81</v>
      </c>
    </row>
    <row r="1294" customFormat="false" ht="15" hidden="false" customHeight="false" outlineLevel="0" collapsed="false">
      <c r="A1294" s="0" t="s">
        <v>257</v>
      </c>
      <c r="B1294" s="0" t="s">
        <v>258</v>
      </c>
      <c r="C1294" s="0" t="s">
        <v>30</v>
      </c>
      <c r="D1294" s="0" t="s">
        <v>189</v>
      </c>
      <c r="E1294" s="0" t="n">
        <v>13</v>
      </c>
      <c r="F1294" s="0" t="s">
        <v>66</v>
      </c>
      <c r="G1294" s="0" t="s">
        <v>165</v>
      </c>
      <c r="H1294" s="0" t="s">
        <v>67</v>
      </c>
      <c r="I1294" s="0" t="s">
        <v>39</v>
      </c>
      <c r="J1294" s="0" t="n">
        <v>1.95</v>
      </c>
      <c r="K1294" s="0" t="s">
        <v>60</v>
      </c>
      <c r="L1294" s="0" t="n">
        <f aca="false">INDEX(Summary!$F$2:$F$201,MATCH($B1294,Summary!$A$2:$A$201,0))</f>
        <v>20</v>
      </c>
      <c r="M1294" s="0" t="n">
        <f aca="false">INDEX(Summary!$I$2:$I$201,MATCH($B1294,Summary!$A$2:$A$201,0))</f>
        <v>1</v>
      </c>
      <c r="N1294" s="0" t="n">
        <f aca="false">INDEX(Summary!$J$2:$J$201,MATCH($B1294,Summary!$A$2:$A$201,0))</f>
        <v>4</v>
      </c>
      <c r="O1294" s="2" t="n">
        <f aca="false">INDEX(Summary!$K$2:$K$201,MATCH($B1294,Summary!$A$2:$A$201,0))</f>
        <v>8.79</v>
      </c>
      <c r="P1294" s="3" t="n">
        <f aca="false">INDEX(Summary!$L$2:$L$201,MATCH($B1294,Summary!$A$2:$A$201,0))</f>
        <v>4</v>
      </c>
      <c r="Q1294" s="3" t="n">
        <f aca="false">INDEX(Summary!$M$2:$M$201,MATCH($B1294,Summary!$A$2:$A$201,0))</f>
        <v>2</v>
      </c>
      <c r="R1294" s="2" t="n">
        <f aca="false">INDEX(Summary!$N$2:$N$201,MATCH($B1294,Summary!$A$2:$A$201,0))</f>
        <v>9.99</v>
      </c>
      <c r="S1294" s="3" t="n">
        <f aca="false">INDEX(Summary!$O$2:$O$201,MATCH($B1294,Summary!$A$2:$A$201,0))</f>
        <v>6</v>
      </c>
      <c r="T1294" s="3" t="n">
        <f aca="false">INDEX(Summary!$P$2:$P$201,MATCH($B1294,Summary!$A$2:$A$201,0))</f>
        <v>3</v>
      </c>
      <c r="U1294" s="2" t="n">
        <f aca="false">INDEX(Summary!$Q$2:$Q$201,MATCH($B1294,Summary!$A$2:$A$201,0))</f>
        <v>13.17</v>
      </c>
      <c r="V1294" s="2" t="n">
        <f aca="false">INDEX(Summary!$R$2:$R$201,MATCH($B1294,Summary!$A$2:$A$201,0))</f>
        <v>18.42</v>
      </c>
      <c r="W1294" s="0" t="str">
        <f aca="false">INDEX(Summary!$S$2:$S$201,MATCH($B1294,Summary!$A$2:$A$201,0))</f>
        <v>Bronze</v>
      </c>
      <c r="X1294" s="2" t="n">
        <f aca="false">INDEX(Summary!$T$2:$T$201,MATCH($B1294,Summary!$A$2:$A$201,0))</f>
        <v>44.93</v>
      </c>
      <c r="Y1294" s="0" t="str">
        <f aca="false">INDEX('Reward Model'!$E$18:$E$37,MATCH($E1294,'Reward Model'!$A$18:$A$37,0))</f>
        <v>Medium</v>
      </c>
      <c r="Z1294" s="4" t="n">
        <f aca="false">ROUND(MIN(1,MAX('Reward Model'!$B$2,INDEX('Reward Model'!$C$12:$C$14,MATCH($K1294,'Reward Model'!$A$12:$A$14,0))/$J1294)),3)</f>
        <v>0.923</v>
      </c>
      <c r="AA1294" s="2" t="n">
        <f aca="false">IF($I1294="Correct",ROUND(INDEX('Reward Model'!$B$12:$B$14,MATCH($K1294,'Reward Model'!$A$12:$A$14,0))*Z1294,2),0)</f>
        <v>0</v>
      </c>
      <c r="AB1294" s="2" t="n">
        <f aca="false">IF($I1294="Correct",ROUND(INDEX('Reward Model'!$B$12:$B$14,MATCH($Y1294,'Reward Model'!$A$12:$A$14,0))*Z1294,2),0)</f>
        <v>0</v>
      </c>
    </row>
    <row r="1295" customFormat="false" ht="15" hidden="false" customHeight="false" outlineLevel="0" collapsed="false">
      <c r="A1295" s="0" t="s">
        <v>257</v>
      </c>
      <c r="B1295" s="0" t="s">
        <v>258</v>
      </c>
      <c r="C1295" s="0" t="s">
        <v>30</v>
      </c>
      <c r="D1295" s="0" t="s">
        <v>189</v>
      </c>
      <c r="E1295" s="0" t="n">
        <v>14</v>
      </c>
      <c r="F1295" s="0" t="s">
        <v>68</v>
      </c>
      <c r="G1295" s="0" t="s">
        <v>51</v>
      </c>
      <c r="H1295" s="0" t="s">
        <v>51</v>
      </c>
      <c r="I1295" s="0" t="s">
        <v>34</v>
      </c>
      <c r="J1295" s="0" t="n">
        <v>1.75</v>
      </c>
      <c r="K1295" s="0" t="s">
        <v>60</v>
      </c>
      <c r="L1295" s="0" t="n">
        <f aca="false">INDEX(Summary!$F$2:$F$201,MATCH($B1295,Summary!$A$2:$A$201,0))</f>
        <v>20</v>
      </c>
      <c r="M1295" s="0" t="n">
        <f aca="false">INDEX(Summary!$I$2:$I$201,MATCH($B1295,Summary!$A$2:$A$201,0))</f>
        <v>1</v>
      </c>
      <c r="N1295" s="0" t="n">
        <f aca="false">INDEX(Summary!$J$2:$J$201,MATCH($B1295,Summary!$A$2:$A$201,0))</f>
        <v>4</v>
      </c>
      <c r="O1295" s="2" t="n">
        <f aca="false">INDEX(Summary!$K$2:$K$201,MATCH($B1295,Summary!$A$2:$A$201,0))</f>
        <v>8.79</v>
      </c>
      <c r="P1295" s="3" t="n">
        <f aca="false">INDEX(Summary!$L$2:$L$201,MATCH($B1295,Summary!$A$2:$A$201,0))</f>
        <v>4</v>
      </c>
      <c r="Q1295" s="3" t="n">
        <f aca="false">INDEX(Summary!$M$2:$M$201,MATCH($B1295,Summary!$A$2:$A$201,0))</f>
        <v>2</v>
      </c>
      <c r="R1295" s="2" t="n">
        <f aca="false">INDEX(Summary!$N$2:$N$201,MATCH($B1295,Summary!$A$2:$A$201,0))</f>
        <v>9.99</v>
      </c>
      <c r="S1295" s="3" t="n">
        <f aca="false">INDEX(Summary!$O$2:$O$201,MATCH($B1295,Summary!$A$2:$A$201,0))</f>
        <v>6</v>
      </c>
      <c r="T1295" s="3" t="n">
        <f aca="false">INDEX(Summary!$P$2:$P$201,MATCH($B1295,Summary!$A$2:$A$201,0))</f>
        <v>3</v>
      </c>
      <c r="U1295" s="2" t="n">
        <f aca="false">INDEX(Summary!$Q$2:$Q$201,MATCH($B1295,Summary!$A$2:$A$201,0))</f>
        <v>13.17</v>
      </c>
      <c r="V1295" s="2" t="n">
        <f aca="false">INDEX(Summary!$R$2:$R$201,MATCH($B1295,Summary!$A$2:$A$201,0))</f>
        <v>18.42</v>
      </c>
      <c r="W1295" s="0" t="str">
        <f aca="false">INDEX(Summary!$S$2:$S$201,MATCH($B1295,Summary!$A$2:$A$201,0))</f>
        <v>Bronze</v>
      </c>
      <c r="X1295" s="2" t="n">
        <f aca="false">INDEX(Summary!$T$2:$T$201,MATCH($B1295,Summary!$A$2:$A$201,0))</f>
        <v>44.93</v>
      </c>
      <c r="Y1295" s="0" t="str">
        <f aca="false">INDEX('Reward Model'!$E$18:$E$37,MATCH($E1295,'Reward Model'!$A$18:$A$37,0))</f>
        <v>Medium</v>
      </c>
      <c r="Z1295" s="4" t="n">
        <f aca="false">ROUND(MIN(1,MAX('Reward Model'!$B$2,INDEX('Reward Model'!$C$12:$C$14,MATCH($K1295,'Reward Model'!$A$12:$A$14,0))/$J1295)),3)</f>
        <v>1</v>
      </c>
      <c r="AA1295" s="2" t="n">
        <f aca="false">IF($I1295="Correct",ROUND(INDEX('Reward Model'!$B$12:$B$14,MATCH($K1295,'Reward Model'!$A$12:$A$14,0))*Z1295,2),0)</f>
        <v>2</v>
      </c>
      <c r="AB1295" s="2" t="n">
        <f aca="false">IF($I1295="Correct",ROUND(INDEX('Reward Model'!$B$12:$B$14,MATCH($Y1295,'Reward Model'!$A$12:$A$14,0))*Z1295,2),0)</f>
        <v>2</v>
      </c>
    </row>
    <row r="1296" customFormat="false" ht="15" hidden="false" customHeight="false" outlineLevel="0" collapsed="false">
      <c r="A1296" s="0" t="s">
        <v>257</v>
      </c>
      <c r="B1296" s="0" t="s">
        <v>258</v>
      </c>
      <c r="C1296" s="0" t="s">
        <v>30</v>
      </c>
      <c r="D1296" s="0" t="s">
        <v>189</v>
      </c>
      <c r="E1296" s="0" t="n">
        <v>15</v>
      </c>
      <c r="F1296" s="0" t="s">
        <v>69</v>
      </c>
      <c r="G1296" s="0" t="s">
        <v>94</v>
      </c>
      <c r="H1296" s="0" t="s">
        <v>70</v>
      </c>
      <c r="I1296" s="0" t="s">
        <v>39</v>
      </c>
      <c r="J1296" s="0" t="n">
        <v>1.16</v>
      </c>
      <c r="K1296" s="0" t="s">
        <v>60</v>
      </c>
      <c r="L1296" s="0" t="n">
        <f aca="false">INDEX(Summary!$F$2:$F$201,MATCH($B1296,Summary!$A$2:$A$201,0))</f>
        <v>20</v>
      </c>
      <c r="M1296" s="0" t="n">
        <f aca="false">INDEX(Summary!$I$2:$I$201,MATCH($B1296,Summary!$A$2:$A$201,0))</f>
        <v>1</v>
      </c>
      <c r="N1296" s="0" t="n">
        <f aca="false">INDEX(Summary!$J$2:$J$201,MATCH($B1296,Summary!$A$2:$A$201,0))</f>
        <v>4</v>
      </c>
      <c r="O1296" s="2" t="n">
        <f aca="false">INDEX(Summary!$K$2:$K$201,MATCH($B1296,Summary!$A$2:$A$201,0))</f>
        <v>8.79</v>
      </c>
      <c r="P1296" s="3" t="n">
        <f aca="false">INDEX(Summary!$L$2:$L$201,MATCH($B1296,Summary!$A$2:$A$201,0))</f>
        <v>4</v>
      </c>
      <c r="Q1296" s="3" t="n">
        <f aca="false">INDEX(Summary!$M$2:$M$201,MATCH($B1296,Summary!$A$2:$A$201,0))</f>
        <v>2</v>
      </c>
      <c r="R1296" s="2" t="n">
        <f aca="false">INDEX(Summary!$N$2:$N$201,MATCH($B1296,Summary!$A$2:$A$201,0))</f>
        <v>9.99</v>
      </c>
      <c r="S1296" s="3" t="n">
        <f aca="false">INDEX(Summary!$O$2:$O$201,MATCH($B1296,Summary!$A$2:$A$201,0))</f>
        <v>6</v>
      </c>
      <c r="T1296" s="3" t="n">
        <f aca="false">INDEX(Summary!$P$2:$P$201,MATCH($B1296,Summary!$A$2:$A$201,0))</f>
        <v>3</v>
      </c>
      <c r="U1296" s="2" t="n">
        <f aca="false">INDEX(Summary!$Q$2:$Q$201,MATCH($B1296,Summary!$A$2:$A$201,0))</f>
        <v>13.17</v>
      </c>
      <c r="V1296" s="2" t="n">
        <f aca="false">INDEX(Summary!$R$2:$R$201,MATCH($B1296,Summary!$A$2:$A$201,0))</f>
        <v>18.42</v>
      </c>
      <c r="W1296" s="0" t="str">
        <f aca="false">INDEX(Summary!$S$2:$S$201,MATCH($B1296,Summary!$A$2:$A$201,0))</f>
        <v>Bronze</v>
      </c>
      <c r="X1296" s="2" t="n">
        <f aca="false">INDEX(Summary!$T$2:$T$201,MATCH($B1296,Summary!$A$2:$A$201,0))</f>
        <v>44.93</v>
      </c>
      <c r="Y1296" s="0" t="str">
        <f aca="false">INDEX('Reward Model'!$E$18:$E$37,MATCH($E1296,'Reward Model'!$A$18:$A$37,0))</f>
        <v>Medium</v>
      </c>
      <c r="Z1296" s="4" t="n">
        <f aca="false">ROUND(MIN(1,MAX('Reward Model'!$B$2,INDEX('Reward Model'!$C$12:$C$14,MATCH($K1296,'Reward Model'!$A$12:$A$14,0))/$J1296)),3)</f>
        <v>1</v>
      </c>
      <c r="AA1296" s="2" t="n">
        <f aca="false">IF($I1296="Correct",ROUND(INDEX('Reward Model'!$B$12:$B$14,MATCH($K1296,'Reward Model'!$A$12:$A$14,0))*Z1296,2),0)</f>
        <v>0</v>
      </c>
      <c r="AB1296" s="2" t="n">
        <f aca="false">IF($I1296="Correct",ROUND(INDEX('Reward Model'!$B$12:$B$14,MATCH($Y1296,'Reward Model'!$A$12:$A$14,0))*Z1296,2),0)</f>
        <v>0</v>
      </c>
    </row>
    <row r="1297" customFormat="false" ht="15" hidden="false" customHeight="false" outlineLevel="0" collapsed="false">
      <c r="A1297" s="0" t="s">
        <v>257</v>
      </c>
      <c r="B1297" s="0" t="s">
        <v>258</v>
      </c>
      <c r="C1297" s="0" t="s">
        <v>30</v>
      </c>
      <c r="D1297" s="0" t="s">
        <v>189</v>
      </c>
      <c r="E1297" s="0" t="n">
        <v>16</v>
      </c>
      <c r="F1297" s="0" t="s">
        <v>71</v>
      </c>
      <c r="G1297" s="0" t="s">
        <v>101</v>
      </c>
      <c r="H1297" s="0" t="s">
        <v>72</v>
      </c>
      <c r="I1297" s="0" t="s">
        <v>39</v>
      </c>
      <c r="J1297" s="0" t="n">
        <v>1.37</v>
      </c>
      <c r="K1297" s="0" t="s">
        <v>73</v>
      </c>
      <c r="L1297" s="0" t="n">
        <f aca="false">INDEX(Summary!$F$2:$F$201,MATCH($B1297,Summary!$A$2:$A$201,0))</f>
        <v>20</v>
      </c>
      <c r="M1297" s="0" t="n">
        <f aca="false">INDEX(Summary!$I$2:$I$201,MATCH($B1297,Summary!$A$2:$A$201,0))</f>
        <v>1</v>
      </c>
      <c r="N1297" s="0" t="n">
        <f aca="false">INDEX(Summary!$J$2:$J$201,MATCH($B1297,Summary!$A$2:$A$201,0))</f>
        <v>4</v>
      </c>
      <c r="O1297" s="2" t="n">
        <f aca="false">INDEX(Summary!$K$2:$K$201,MATCH($B1297,Summary!$A$2:$A$201,0))</f>
        <v>8.79</v>
      </c>
      <c r="P1297" s="3" t="n">
        <f aca="false">INDEX(Summary!$L$2:$L$201,MATCH($B1297,Summary!$A$2:$A$201,0))</f>
        <v>4</v>
      </c>
      <c r="Q1297" s="3" t="n">
        <f aca="false">INDEX(Summary!$M$2:$M$201,MATCH($B1297,Summary!$A$2:$A$201,0))</f>
        <v>2</v>
      </c>
      <c r="R1297" s="2" t="n">
        <f aca="false">INDEX(Summary!$N$2:$N$201,MATCH($B1297,Summary!$A$2:$A$201,0))</f>
        <v>9.99</v>
      </c>
      <c r="S1297" s="3" t="n">
        <f aca="false">INDEX(Summary!$O$2:$O$201,MATCH($B1297,Summary!$A$2:$A$201,0))</f>
        <v>6</v>
      </c>
      <c r="T1297" s="3" t="n">
        <f aca="false">INDEX(Summary!$P$2:$P$201,MATCH($B1297,Summary!$A$2:$A$201,0))</f>
        <v>3</v>
      </c>
      <c r="U1297" s="2" t="n">
        <f aca="false">INDEX(Summary!$Q$2:$Q$201,MATCH($B1297,Summary!$A$2:$A$201,0))</f>
        <v>13.17</v>
      </c>
      <c r="V1297" s="2" t="n">
        <f aca="false">INDEX(Summary!$R$2:$R$201,MATCH($B1297,Summary!$A$2:$A$201,0))</f>
        <v>18.42</v>
      </c>
      <c r="W1297" s="0" t="str">
        <f aca="false">INDEX(Summary!$S$2:$S$201,MATCH($B1297,Summary!$A$2:$A$201,0))</f>
        <v>Bronze</v>
      </c>
      <c r="X1297" s="2" t="n">
        <f aca="false">INDEX(Summary!$T$2:$T$201,MATCH($B1297,Summary!$A$2:$A$201,0))</f>
        <v>44.93</v>
      </c>
      <c r="Y1297" s="0" t="str">
        <f aca="false">INDEX('Reward Model'!$E$18:$E$37,MATCH($E1297,'Reward Model'!$A$18:$A$37,0))</f>
        <v>High</v>
      </c>
      <c r="Z1297" s="4" t="n">
        <f aca="false">ROUND(MIN(1,MAX('Reward Model'!$B$2,INDEX('Reward Model'!$C$12:$C$14,MATCH($K1297,'Reward Model'!$A$12:$A$14,0))/$J1297)),3)</f>
        <v>1</v>
      </c>
      <c r="AA1297" s="2" t="n">
        <f aca="false">IF($I1297="Correct",ROUND(INDEX('Reward Model'!$B$12:$B$14,MATCH($K1297,'Reward Model'!$A$12:$A$14,0))*Z1297,2),0)</f>
        <v>0</v>
      </c>
      <c r="AB1297" s="2" t="n">
        <f aca="false">IF($I1297="Correct",ROUND(INDEX('Reward Model'!$B$12:$B$14,MATCH($Y1297,'Reward Model'!$A$12:$A$14,0))*Z1297,2),0)</f>
        <v>0</v>
      </c>
    </row>
    <row r="1298" customFormat="false" ht="15" hidden="false" customHeight="false" outlineLevel="0" collapsed="false">
      <c r="A1298" s="0" t="s">
        <v>257</v>
      </c>
      <c r="B1298" s="0" t="s">
        <v>258</v>
      </c>
      <c r="C1298" s="0" t="s">
        <v>30</v>
      </c>
      <c r="D1298" s="0" t="s">
        <v>189</v>
      </c>
      <c r="E1298" s="0" t="n">
        <v>17</v>
      </c>
      <c r="F1298" s="0" t="s">
        <v>74</v>
      </c>
      <c r="G1298" s="0" t="s">
        <v>91</v>
      </c>
      <c r="H1298" s="0" t="s">
        <v>75</v>
      </c>
      <c r="I1298" s="0" t="s">
        <v>39</v>
      </c>
      <c r="J1298" s="0" t="n">
        <v>2.1</v>
      </c>
      <c r="K1298" s="0" t="s">
        <v>73</v>
      </c>
      <c r="L1298" s="0" t="n">
        <f aca="false">INDEX(Summary!$F$2:$F$201,MATCH($B1298,Summary!$A$2:$A$201,0))</f>
        <v>20</v>
      </c>
      <c r="M1298" s="0" t="n">
        <f aca="false">INDEX(Summary!$I$2:$I$201,MATCH($B1298,Summary!$A$2:$A$201,0))</f>
        <v>1</v>
      </c>
      <c r="N1298" s="0" t="n">
        <f aca="false">INDEX(Summary!$J$2:$J$201,MATCH($B1298,Summary!$A$2:$A$201,0))</f>
        <v>4</v>
      </c>
      <c r="O1298" s="2" t="n">
        <f aca="false">INDEX(Summary!$K$2:$K$201,MATCH($B1298,Summary!$A$2:$A$201,0))</f>
        <v>8.79</v>
      </c>
      <c r="P1298" s="3" t="n">
        <f aca="false">INDEX(Summary!$L$2:$L$201,MATCH($B1298,Summary!$A$2:$A$201,0))</f>
        <v>4</v>
      </c>
      <c r="Q1298" s="3" t="n">
        <f aca="false">INDEX(Summary!$M$2:$M$201,MATCH($B1298,Summary!$A$2:$A$201,0))</f>
        <v>2</v>
      </c>
      <c r="R1298" s="2" t="n">
        <f aca="false">INDEX(Summary!$N$2:$N$201,MATCH($B1298,Summary!$A$2:$A$201,0))</f>
        <v>9.99</v>
      </c>
      <c r="S1298" s="3" t="n">
        <f aca="false">INDEX(Summary!$O$2:$O$201,MATCH($B1298,Summary!$A$2:$A$201,0))</f>
        <v>6</v>
      </c>
      <c r="T1298" s="3" t="n">
        <f aca="false">INDEX(Summary!$P$2:$P$201,MATCH($B1298,Summary!$A$2:$A$201,0))</f>
        <v>3</v>
      </c>
      <c r="U1298" s="2" t="n">
        <f aca="false">INDEX(Summary!$Q$2:$Q$201,MATCH($B1298,Summary!$A$2:$A$201,0))</f>
        <v>13.17</v>
      </c>
      <c r="V1298" s="2" t="n">
        <f aca="false">INDEX(Summary!$R$2:$R$201,MATCH($B1298,Summary!$A$2:$A$201,0))</f>
        <v>18.42</v>
      </c>
      <c r="W1298" s="0" t="str">
        <f aca="false">INDEX(Summary!$S$2:$S$201,MATCH($B1298,Summary!$A$2:$A$201,0))</f>
        <v>Bronze</v>
      </c>
      <c r="X1298" s="2" t="n">
        <f aca="false">INDEX(Summary!$T$2:$T$201,MATCH($B1298,Summary!$A$2:$A$201,0))</f>
        <v>44.93</v>
      </c>
      <c r="Y1298" s="0" t="str">
        <f aca="false">INDEX('Reward Model'!$E$18:$E$37,MATCH($E1298,'Reward Model'!$A$18:$A$37,0))</f>
        <v>High</v>
      </c>
      <c r="Z1298" s="4" t="n">
        <f aca="false">ROUND(MIN(1,MAX('Reward Model'!$B$2,INDEX('Reward Model'!$C$12:$C$14,MATCH($K1298,'Reward Model'!$A$12:$A$14,0))/$J1298)),3)</f>
        <v>0.952</v>
      </c>
      <c r="AA1298" s="2" t="n">
        <f aca="false">IF($I1298="Correct",ROUND(INDEX('Reward Model'!$B$12:$B$14,MATCH($K1298,'Reward Model'!$A$12:$A$14,0))*Z1298,2),0)</f>
        <v>0</v>
      </c>
      <c r="AB1298" s="2" t="n">
        <f aca="false">IF($I1298="Correct",ROUND(INDEX('Reward Model'!$B$12:$B$14,MATCH($Y1298,'Reward Model'!$A$12:$A$14,0))*Z1298,2),0)</f>
        <v>0</v>
      </c>
    </row>
    <row r="1299" customFormat="false" ht="15" hidden="false" customHeight="false" outlineLevel="0" collapsed="false">
      <c r="A1299" s="0" t="s">
        <v>257</v>
      </c>
      <c r="B1299" s="0" t="s">
        <v>258</v>
      </c>
      <c r="C1299" s="0" t="s">
        <v>30</v>
      </c>
      <c r="D1299" s="0" t="s">
        <v>189</v>
      </c>
      <c r="E1299" s="0" t="n">
        <v>18</v>
      </c>
      <c r="F1299" s="0" t="s">
        <v>76</v>
      </c>
      <c r="G1299" s="0" t="s">
        <v>128</v>
      </c>
      <c r="H1299" s="0" t="s">
        <v>77</v>
      </c>
      <c r="I1299" s="0" t="s">
        <v>39</v>
      </c>
      <c r="J1299" s="0" t="n">
        <v>1.99</v>
      </c>
      <c r="K1299" s="0" t="s">
        <v>73</v>
      </c>
      <c r="L1299" s="0" t="n">
        <f aca="false">INDEX(Summary!$F$2:$F$201,MATCH($B1299,Summary!$A$2:$A$201,0))</f>
        <v>20</v>
      </c>
      <c r="M1299" s="0" t="n">
        <f aca="false">INDEX(Summary!$I$2:$I$201,MATCH($B1299,Summary!$A$2:$A$201,0))</f>
        <v>1</v>
      </c>
      <c r="N1299" s="0" t="n">
        <f aca="false">INDEX(Summary!$J$2:$J$201,MATCH($B1299,Summary!$A$2:$A$201,0))</f>
        <v>4</v>
      </c>
      <c r="O1299" s="2" t="n">
        <f aca="false">INDEX(Summary!$K$2:$K$201,MATCH($B1299,Summary!$A$2:$A$201,0))</f>
        <v>8.79</v>
      </c>
      <c r="P1299" s="3" t="n">
        <f aca="false">INDEX(Summary!$L$2:$L$201,MATCH($B1299,Summary!$A$2:$A$201,0))</f>
        <v>4</v>
      </c>
      <c r="Q1299" s="3" t="n">
        <f aca="false">INDEX(Summary!$M$2:$M$201,MATCH($B1299,Summary!$A$2:$A$201,0))</f>
        <v>2</v>
      </c>
      <c r="R1299" s="2" t="n">
        <f aca="false">INDEX(Summary!$N$2:$N$201,MATCH($B1299,Summary!$A$2:$A$201,0))</f>
        <v>9.99</v>
      </c>
      <c r="S1299" s="3" t="n">
        <f aca="false">INDEX(Summary!$O$2:$O$201,MATCH($B1299,Summary!$A$2:$A$201,0))</f>
        <v>6</v>
      </c>
      <c r="T1299" s="3" t="n">
        <f aca="false">INDEX(Summary!$P$2:$P$201,MATCH($B1299,Summary!$A$2:$A$201,0))</f>
        <v>3</v>
      </c>
      <c r="U1299" s="2" t="n">
        <f aca="false">INDEX(Summary!$Q$2:$Q$201,MATCH($B1299,Summary!$A$2:$A$201,0))</f>
        <v>13.17</v>
      </c>
      <c r="V1299" s="2" t="n">
        <f aca="false">INDEX(Summary!$R$2:$R$201,MATCH($B1299,Summary!$A$2:$A$201,0))</f>
        <v>18.42</v>
      </c>
      <c r="W1299" s="0" t="str">
        <f aca="false">INDEX(Summary!$S$2:$S$201,MATCH($B1299,Summary!$A$2:$A$201,0))</f>
        <v>Bronze</v>
      </c>
      <c r="X1299" s="2" t="n">
        <f aca="false">INDEX(Summary!$T$2:$T$201,MATCH($B1299,Summary!$A$2:$A$201,0))</f>
        <v>44.93</v>
      </c>
      <c r="Y1299" s="0" t="str">
        <f aca="false">INDEX('Reward Model'!$E$18:$E$37,MATCH($E1299,'Reward Model'!$A$18:$A$37,0))</f>
        <v>High</v>
      </c>
      <c r="Z1299" s="4" t="n">
        <f aca="false">ROUND(MIN(1,MAX('Reward Model'!$B$2,INDEX('Reward Model'!$C$12:$C$14,MATCH($K1299,'Reward Model'!$A$12:$A$14,0))/$J1299)),3)</f>
        <v>1</v>
      </c>
      <c r="AA1299" s="2" t="n">
        <f aca="false">IF($I1299="Correct",ROUND(INDEX('Reward Model'!$B$12:$B$14,MATCH($K1299,'Reward Model'!$A$12:$A$14,0))*Z1299,2),0)</f>
        <v>0</v>
      </c>
      <c r="AB1299" s="2" t="n">
        <f aca="false">IF($I1299="Correct",ROUND(INDEX('Reward Model'!$B$12:$B$14,MATCH($Y1299,'Reward Model'!$A$12:$A$14,0))*Z1299,2),0)</f>
        <v>0</v>
      </c>
    </row>
    <row r="1300" customFormat="false" ht="15" hidden="false" customHeight="false" outlineLevel="0" collapsed="false">
      <c r="A1300" s="0" t="s">
        <v>257</v>
      </c>
      <c r="B1300" s="0" t="s">
        <v>258</v>
      </c>
      <c r="C1300" s="0" t="s">
        <v>30</v>
      </c>
      <c r="D1300" s="0" t="s">
        <v>189</v>
      </c>
      <c r="E1300" s="0" t="n">
        <v>19</v>
      </c>
      <c r="F1300" s="0" t="s">
        <v>78</v>
      </c>
      <c r="G1300" s="0" t="s">
        <v>51</v>
      </c>
      <c r="H1300" s="0" t="s">
        <v>80</v>
      </c>
      <c r="I1300" s="0" t="s">
        <v>39</v>
      </c>
      <c r="J1300" s="0" t="n">
        <v>1.92</v>
      </c>
      <c r="K1300" s="0" t="s">
        <v>73</v>
      </c>
      <c r="L1300" s="0" t="n">
        <f aca="false">INDEX(Summary!$F$2:$F$201,MATCH($B1300,Summary!$A$2:$A$201,0))</f>
        <v>20</v>
      </c>
      <c r="M1300" s="0" t="n">
        <f aca="false">INDEX(Summary!$I$2:$I$201,MATCH($B1300,Summary!$A$2:$A$201,0))</f>
        <v>1</v>
      </c>
      <c r="N1300" s="0" t="n">
        <f aca="false">INDEX(Summary!$J$2:$J$201,MATCH($B1300,Summary!$A$2:$A$201,0))</f>
        <v>4</v>
      </c>
      <c r="O1300" s="2" t="n">
        <f aca="false">INDEX(Summary!$K$2:$K$201,MATCH($B1300,Summary!$A$2:$A$201,0))</f>
        <v>8.79</v>
      </c>
      <c r="P1300" s="3" t="n">
        <f aca="false">INDEX(Summary!$L$2:$L$201,MATCH($B1300,Summary!$A$2:$A$201,0))</f>
        <v>4</v>
      </c>
      <c r="Q1300" s="3" t="n">
        <f aca="false">INDEX(Summary!$M$2:$M$201,MATCH($B1300,Summary!$A$2:$A$201,0))</f>
        <v>2</v>
      </c>
      <c r="R1300" s="2" t="n">
        <f aca="false">INDEX(Summary!$N$2:$N$201,MATCH($B1300,Summary!$A$2:$A$201,0))</f>
        <v>9.99</v>
      </c>
      <c r="S1300" s="3" t="n">
        <f aca="false">INDEX(Summary!$O$2:$O$201,MATCH($B1300,Summary!$A$2:$A$201,0))</f>
        <v>6</v>
      </c>
      <c r="T1300" s="3" t="n">
        <f aca="false">INDEX(Summary!$P$2:$P$201,MATCH($B1300,Summary!$A$2:$A$201,0))</f>
        <v>3</v>
      </c>
      <c r="U1300" s="2" t="n">
        <f aca="false">INDEX(Summary!$Q$2:$Q$201,MATCH($B1300,Summary!$A$2:$A$201,0))</f>
        <v>13.17</v>
      </c>
      <c r="V1300" s="2" t="n">
        <f aca="false">INDEX(Summary!$R$2:$R$201,MATCH($B1300,Summary!$A$2:$A$201,0))</f>
        <v>18.42</v>
      </c>
      <c r="W1300" s="0" t="str">
        <f aca="false">INDEX(Summary!$S$2:$S$201,MATCH($B1300,Summary!$A$2:$A$201,0))</f>
        <v>Bronze</v>
      </c>
      <c r="X1300" s="2" t="n">
        <f aca="false">INDEX(Summary!$T$2:$T$201,MATCH($B1300,Summary!$A$2:$A$201,0))</f>
        <v>44.93</v>
      </c>
      <c r="Y1300" s="0" t="str">
        <f aca="false">INDEX('Reward Model'!$E$18:$E$37,MATCH($E1300,'Reward Model'!$A$18:$A$37,0))</f>
        <v>High</v>
      </c>
      <c r="Z1300" s="4" t="n">
        <f aca="false">ROUND(MIN(1,MAX('Reward Model'!$B$2,INDEX('Reward Model'!$C$12:$C$14,MATCH($K1300,'Reward Model'!$A$12:$A$14,0))/$J1300)),3)</f>
        <v>1</v>
      </c>
      <c r="AA1300" s="2" t="n">
        <f aca="false">IF($I1300="Correct",ROUND(INDEX('Reward Model'!$B$12:$B$14,MATCH($K1300,'Reward Model'!$A$12:$A$14,0))*Z1300,2),0)</f>
        <v>0</v>
      </c>
      <c r="AB1300" s="2" t="n">
        <f aca="false">IF($I1300="Correct",ROUND(INDEX('Reward Model'!$B$12:$B$14,MATCH($Y1300,'Reward Model'!$A$12:$A$14,0))*Z1300,2),0)</f>
        <v>0</v>
      </c>
    </row>
    <row r="1301" customFormat="false" ht="15" hidden="false" customHeight="false" outlineLevel="0" collapsed="false">
      <c r="A1301" s="0" t="s">
        <v>257</v>
      </c>
      <c r="B1301" s="0" t="s">
        <v>258</v>
      </c>
      <c r="C1301" s="0" t="s">
        <v>30</v>
      </c>
      <c r="D1301" s="0" t="s">
        <v>189</v>
      </c>
      <c r="E1301" s="0" t="n">
        <v>20</v>
      </c>
      <c r="F1301" s="0" t="s">
        <v>81</v>
      </c>
      <c r="G1301" s="0" t="s">
        <v>83</v>
      </c>
      <c r="H1301" s="0" t="s">
        <v>83</v>
      </c>
      <c r="I1301" s="0" t="s">
        <v>34</v>
      </c>
      <c r="J1301" s="0" t="n">
        <v>1.41</v>
      </c>
      <c r="K1301" s="0" t="s">
        <v>73</v>
      </c>
      <c r="L1301" s="0" t="n">
        <f aca="false">INDEX(Summary!$F$2:$F$201,MATCH($B1301,Summary!$A$2:$A$201,0))</f>
        <v>20</v>
      </c>
      <c r="M1301" s="0" t="n">
        <f aca="false">INDEX(Summary!$I$2:$I$201,MATCH($B1301,Summary!$A$2:$A$201,0))</f>
        <v>1</v>
      </c>
      <c r="N1301" s="0" t="n">
        <f aca="false">INDEX(Summary!$J$2:$J$201,MATCH($B1301,Summary!$A$2:$A$201,0))</f>
        <v>4</v>
      </c>
      <c r="O1301" s="2" t="n">
        <f aca="false">INDEX(Summary!$K$2:$K$201,MATCH($B1301,Summary!$A$2:$A$201,0))</f>
        <v>8.79</v>
      </c>
      <c r="P1301" s="3" t="n">
        <f aca="false">INDEX(Summary!$L$2:$L$201,MATCH($B1301,Summary!$A$2:$A$201,0))</f>
        <v>4</v>
      </c>
      <c r="Q1301" s="3" t="n">
        <f aca="false">INDEX(Summary!$M$2:$M$201,MATCH($B1301,Summary!$A$2:$A$201,0))</f>
        <v>2</v>
      </c>
      <c r="R1301" s="2" t="n">
        <f aca="false">INDEX(Summary!$N$2:$N$201,MATCH($B1301,Summary!$A$2:$A$201,0))</f>
        <v>9.99</v>
      </c>
      <c r="S1301" s="3" t="n">
        <f aca="false">INDEX(Summary!$O$2:$O$201,MATCH($B1301,Summary!$A$2:$A$201,0))</f>
        <v>6</v>
      </c>
      <c r="T1301" s="3" t="n">
        <f aca="false">INDEX(Summary!$P$2:$P$201,MATCH($B1301,Summary!$A$2:$A$201,0))</f>
        <v>3</v>
      </c>
      <c r="U1301" s="2" t="n">
        <f aca="false">INDEX(Summary!$Q$2:$Q$201,MATCH($B1301,Summary!$A$2:$A$201,0))</f>
        <v>13.17</v>
      </c>
      <c r="V1301" s="2" t="n">
        <f aca="false">INDEX(Summary!$R$2:$R$201,MATCH($B1301,Summary!$A$2:$A$201,0))</f>
        <v>18.42</v>
      </c>
      <c r="W1301" s="0" t="str">
        <f aca="false">INDEX(Summary!$S$2:$S$201,MATCH($B1301,Summary!$A$2:$A$201,0))</f>
        <v>Bronze</v>
      </c>
      <c r="X1301" s="2" t="n">
        <f aca="false">INDEX(Summary!$T$2:$T$201,MATCH($B1301,Summary!$A$2:$A$201,0))</f>
        <v>44.93</v>
      </c>
      <c r="Y1301" s="0" t="str">
        <f aca="false">INDEX('Reward Model'!$E$18:$E$37,MATCH($E1301,'Reward Model'!$A$18:$A$37,0))</f>
        <v>High</v>
      </c>
      <c r="Z1301" s="4" t="n">
        <f aca="false">ROUND(MIN(1,MAX('Reward Model'!$B$2,INDEX('Reward Model'!$C$12:$C$14,MATCH($K1301,'Reward Model'!$A$12:$A$14,0))/$J1301)),3)</f>
        <v>1</v>
      </c>
      <c r="AA1301" s="2" t="n">
        <f aca="false">IF($I1301="Correct",ROUND(INDEX('Reward Model'!$B$12:$B$14,MATCH($K1301,'Reward Model'!$A$12:$A$14,0))*Z1301,2),0)</f>
        <v>3</v>
      </c>
      <c r="AB1301" s="2" t="n">
        <f aca="false">IF($I1301="Correct",ROUND(INDEX('Reward Model'!$B$12:$B$14,MATCH($Y1301,'Reward Model'!$A$12:$A$14,0))*Z1301,2),0)</f>
        <v>3</v>
      </c>
    </row>
    <row r="1302" customFormat="false" ht="15" hidden="false" customHeight="false" outlineLevel="0" collapsed="false">
      <c r="A1302" s="0" t="s">
        <v>259</v>
      </c>
      <c r="B1302" s="0" t="s">
        <v>260</v>
      </c>
      <c r="C1302" s="0" t="s">
        <v>30</v>
      </c>
      <c r="D1302" s="0" t="s">
        <v>189</v>
      </c>
      <c r="E1302" s="0" t="n">
        <v>1</v>
      </c>
      <c r="F1302" s="0" t="s">
        <v>32</v>
      </c>
      <c r="G1302" s="0" t="s">
        <v>33</v>
      </c>
      <c r="H1302" s="0" t="s">
        <v>33</v>
      </c>
      <c r="I1302" s="0" t="s">
        <v>34</v>
      </c>
      <c r="J1302" s="0" t="n">
        <v>0.93</v>
      </c>
      <c r="K1302" s="0" t="s">
        <v>35</v>
      </c>
      <c r="L1302" s="0" t="n">
        <f aca="false">INDEX(Summary!$F$2:$F$201,MATCH($B1302,Summary!$A$2:$A$201,0))</f>
        <v>20</v>
      </c>
      <c r="M1302" s="0" t="n">
        <f aca="false">INDEX(Summary!$I$2:$I$201,MATCH($B1302,Summary!$A$2:$A$201,0))</f>
        <v>4</v>
      </c>
      <c r="N1302" s="0" t="n">
        <f aca="false">INDEX(Summary!$J$2:$J$201,MATCH($B1302,Summary!$A$2:$A$201,0))</f>
        <v>1</v>
      </c>
      <c r="O1302" s="2" t="n">
        <f aca="false">INDEX(Summary!$K$2:$K$201,MATCH($B1302,Summary!$A$2:$A$201,0))</f>
        <v>9.79</v>
      </c>
      <c r="P1302" s="3" t="n">
        <f aca="false">INDEX(Summary!$L$2:$L$201,MATCH($B1302,Summary!$A$2:$A$201,0))</f>
        <v>5</v>
      </c>
      <c r="Q1302" s="3" t="n">
        <f aca="false">INDEX(Summary!$M$2:$M$201,MATCH($B1302,Summary!$A$2:$A$201,0))</f>
        <v>1</v>
      </c>
      <c r="R1302" s="2" t="n">
        <f aca="false">INDEX(Summary!$N$2:$N$201,MATCH($B1302,Summary!$A$2:$A$201,0))</f>
        <v>11.52</v>
      </c>
      <c r="S1302" s="3" t="n">
        <f aca="false">INDEX(Summary!$O$2:$O$201,MATCH($B1302,Summary!$A$2:$A$201,0))</f>
        <v>8</v>
      </c>
      <c r="T1302" s="3" t="n">
        <f aca="false">INDEX(Summary!$P$2:$P$201,MATCH($B1302,Summary!$A$2:$A$201,0))</f>
        <v>1</v>
      </c>
      <c r="U1302" s="2" t="n">
        <f aca="false">INDEX(Summary!$Q$2:$Q$201,MATCH($B1302,Summary!$A$2:$A$201,0))</f>
        <v>10.96</v>
      </c>
      <c r="V1302" s="2" t="n">
        <f aca="false">INDEX(Summary!$R$2:$R$201,MATCH($B1302,Summary!$A$2:$A$201,0))</f>
        <v>32.87</v>
      </c>
      <c r="W1302" s="0" t="str">
        <f aca="false">INDEX(Summary!$S$2:$S$201,MATCH($B1302,Summary!$A$2:$A$201,0))</f>
        <v>Gold</v>
      </c>
      <c r="X1302" s="2" t="n">
        <f aca="false">INDEX(Summary!$T$2:$T$201,MATCH($B1302,Summary!$A$2:$A$201,0))</f>
        <v>80.17</v>
      </c>
      <c r="Y1302" s="0" t="str">
        <f aca="false">INDEX('Reward Model'!$E$18:$E$37,MATCH($E1302,'Reward Model'!$A$18:$A$37,0))</f>
        <v>Medium</v>
      </c>
      <c r="Z1302" s="4" t="n">
        <f aca="false">ROUND(MIN(1,MAX('Reward Model'!$B$2,INDEX('Reward Model'!$C$12:$C$14,MATCH($K1302,'Reward Model'!$A$12:$A$14,0))/$J1302)),3)</f>
        <v>1</v>
      </c>
      <c r="AA1302" s="2" t="n">
        <f aca="false">IF($I1302="Correct",ROUND(INDEX('Reward Model'!$B$12:$B$14,MATCH($K1302,'Reward Model'!$A$12:$A$14,0))*Z1302,2),0)</f>
        <v>1</v>
      </c>
      <c r="AB1302" s="2" t="n">
        <f aca="false">IF($I1302="Correct",ROUND(INDEX('Reward Model'!$B$12:$B$14,MATCH($Y1302,'Reward Model'!$A$12:$A$14,0))*Z1302,2),0)</f>
        <v>2</v>
      </c>
    </row>
    <row r="1303" customFormat="false" ht="15" hidden="false" customHeight="false" outlineLevel="0" collapsed="false">
      <c r="A1303" s="0" t="s">
        <v>259</v>
      </c>
      <c r="B1303" s="0" t="s">
        <v>260</v>
      </c>
      <c r="C1303" s="0" t="s">
        <v>30</v>
      </c>
      <c r="D1303" s="0" t="s">
        <v>189</v>
      </c>
      <c r="E1303" s="0" t="n">
        <v>2</v>
      </c>
      <c r="F1303" s="0" t="s">
        <v>36</v>
      </c>
      <c r="G1303" s="0" t="s">
        <v>38</v>
      </c>
      <c r="H1303" s="0" t="s">
        <v>38</v>
      </c>
      <c r="I1303" s="0" t="s">
        <v>34</v>
      </c>
      <c r="J1303" s="0" t="n">
        <v>1.52</v>
      </c>
      <c r="K1303" s="0" t="s">
        <v>35</v>
      </c>
      <c r="L1303" s="0" t="n">
        <f aca="false">INDEX(Summary!$F$2:$F$201,MATCH($B1303,Summary!$A$2:$A$201,0))</f>
        <v>20</v>
      </c>
      <c r="M1303" s="0" t="n">
        <f aca="false">INDEX(Summary!$I$2:$I$201,MATCH($B1303,Summary!$A$2:$A$201,0))</f>
        <v>4</v>
      </c>
      <c r="N1303" s="0" t="n">
        <f aca="false">INDEX(Summary!$J$2:$J$201,MATCH($B1303,Summary!$A$2:$A$201,0))</f>
        <v>1</v>
      </c>
      <c r="O1303" s="2" t="n">
        <f aca="false">INDEX(Summary!$K$2:$K$201,MATCH($B1303,Summary!$A$2:$A$201,0))</f>
        <v>9.79</v>
      </c>
      <c r="P1303" s="3" t="n">
        <f aca="false">INDEX(Summary!$L$2:$L$201,MATCH($B1303,Summary!$A$2:$A$201,0))</f>
        <v>5</v>
      </c>
      <c r="Q1303" s="3" t="n">
        <f aca="false">INDEX(Summary!$M$2:$M$201,MATCH($B1303,Summary!$A$2:$A$201,0))</f>
        <v>1</v>
      </c>
      <c r="R1303" s="2" t="n">
        <f aca="false">INDEX(Summary!$N$2:$N$201,MATCH($B1303,Summary!$A$2:$A$201,0))</f>
        <v>11.52</v>
      </c>
      <c r="S1303" s="3" t="n">
        <f aca="false">INDEX(Summary!$O$2:$O$201,MATCH($B1303,Summary!$A$2:$A$201,0))</f>
        <v>8</v>
      </c>
      <c r="T1303" s="3" t="n">
        <f aca="false">INDEX(Summary!$P$2:$P$201,MATCH($B1303,Summary!$A$2:$A$201,0))</f>
        <v>1</v>
      </c>
      <c r="U1303" s="2" t="n">
        <f aca="false">INDEX(Summary!$Q$2:$Q$201,MATCH($B1303,Summary!$A$2:$A$201,0))</f>
        <v>10.96</v>
      </c>
      <c r="V1303" s="2" t="n">
        <f aca="false">INDEX(Summary!$R$2:$R$201,MATCH($B1303,Summary!$A$2:$A$201,0))</f>
        <v>32.87</v>
      </c>
      <c r="W1303" s="0" t="str">
        <f aca="false">INDEX(Summary!$S$2:$S$201,MATCH($B1303,Summary!$A$2:$A$201,0))</f>
        <v>Gold</v>
      </c>
      <c r="X1303" s="2" t="n">
        <f aca="false">INDEX(Summary!$T$2:$T$201,MATCH($B1303,Summary!$A$2:$A$201,0))</f>
        <v>80.17</v>
      </c>
      <c r="Y1303" s="0" t="str">
        <f aca="false">INDEX('Reward Model'!$E$18:$E$37,MATCH($E1303,'Reward Model'!$A$18:$A$37,0))</f>
        <v>Low</v>
      </c>
      <c r="Z1303" s="4" t="n">
        <f aca="false">ROUND(MIN(1,MAX('Reward Model'!$B$2,INDEX('Reward Model'!$C$12:$C$14,MATCH($K1303,'Reward Model'!$A$12:$A$14,0))/$J1303)),3)</f>
        <v>0.987</v>
      </c>
      <c r="AA1303" s="2" t="n">
        <f aca="false">IF($I1303="Correct",ROUND(INDEX('Reward Model'!$B$12:$B$14,MATCH($K1303,'Reward Model'!$A$12:$A$14,0))*Z1303,2),0)</f>
        <v>0.99</v>
      </c>
      <c r="AB1303" s="2" t="n">
        <f aca="false">IF($I1303="Correct",ROUND(INDEX('Reward Model'!$B$12:$B$14,MATCH($Y1303,'Reward Model'!$A$12:$A$14,0))*Z1303,2),0)</f>
        <v>0.99</v>
      </c>
    </row>
    <row r="1304" customFormat="false" ht="15" hidden="false" customHeight="false" outlineLevel="0" collapsed="false">
      <c r="A1304" s="0" t="s">
        <v>259</v>
      </c>
      <c r="B1304" s="0" t="s">
        <v>260</v>
      </c>
      <c r="C1304" s="0" t="s">
        <v>30</v>
      </c>
      <c r="D1304" s="0" t="s">
        <v>189</v>
      </c>
      <c r="E1304" s="0" t="n">
        <v>3</v>
      </c>
      <c r="F1304" s="0" t="s">
        <v>40</v>
      </c>
      <c r="G1304" s="0" t="s">
        <v>42</v>
      </c>
      <c r="H1304" s="0" t="s">
        <v>42</v>
      </c>
      <c r="I1304" s="0" t="s">
        <v>34</v>
      </c>
      <c r="J1304" s="0" t="n">
        <v>1.88</v>
      </c>
      <c r="K1304" s="0" t="s">
        <v>35</v>
      </c>
      <c r="L1304" s="0" t="n">
        <f aca="false">INDEX(Summary!$F$2:$F$201,MATCH($B1304,Summary!$A$2:$A$201,0))</f>
        <v>20</v>
      </c>
      <c r="M1304" s="0" t="n">
        <f aca="false">INDEX(Summary!$I$2:$I$201,MATCH($B1304,Summary!$A$2:$A$201,0))</f>
        <v>4</v>
      </c>
      <c r="N1304" s="0" t="n">
        <f aca="false">INDEX(Summary!$J$2:$J$201,MATCH($B1304,Summary!$A$2:$A$201,0))</f>
        <v>1</v>
      </c>
      <c r="O1304" s="2" t="n">
        <f aca="false">INDEX(Summary!$K$2:$K$201,MATCH($B1304,Summary!$A$2:$A$201,0))</f>
        <v>9.79</v>
      </c>
      <c r="P1304" s="3" t="n">
        <f aca="false">INDEX(Summary!$L$2:$L$201,MATCH($B1304,Summary!$A$2:$A$201,0))</f>
        <v>5</v>
      </c>
      <c r="Q1304" s="3" t="n">
        <f aca="false">INDEX(Summary!$M$2:$M$201,MATCH($B1304,Summary!$A$2:$A$201,0))</f>
        <v>1</v>
      </c>
      <c r="R1304" s="2" t="n">
        <f aca="false">INDEX(Summary!$N$2:$N$201,MATCH($B1304,Summary!$A$2:$A$201,0))</f>
        <v>11.52</v>
      </c>
      <c r="S1304" s="3" t="n">
        <f aca="false">INDEX(Summary!$O$2:$O$201,MATCH($B1304,Summary!$A$2:$A$201,0))</f>
        <v>8</v>
      </c>
      <c r="T1304" s="3" t="n">
        <f aca="false">INDEX(Summary!$P$2:$P$201,MATCH($B1304,Summary!$A$2:$A$201,0))</f>
        <v>1</v>
      </c>
      <c r="U1304" s="2" t="n">
        <f aca="false">INDEX(Summary!$Q$2:$Q$201,MATCH($B1304,Summary!$A$2:$A$201,0))</f>
        <v>10.96</v>
      </c>
      <c r="V1304" s="2" t="n">
        <f aca="false">INDEX(Summary!$R$2:$R$201,MATCH($B1304,Summary!$A$2:$A$201,0))</f>
        <v>32.87</v>
      </c>
      <c r="W1304" s="0" t="str">
        <f aca="false">INDEX(Summary!$S$2:$S$201,MATCH($B1304,Summary!$A$2:$A$201,0))</f>
        <v>Gold</v>
      </c>
      <c r="X1304" s="2" t="n">
        <f aca="false">INDEX(Summary!$T$2:$T$201,MATCH($B1304,Summary!$A$2:$A$201,0))</f>
        <v>80.17</v>
      </c>
      <c r="Y1304" s="0" t="str">
        <f aca="false">INDEX('Reward Model'!$E$18:$E$37,MATCH($E1304,'Reward Model'!$A$18:$A$37,0))</f>
        <v>Medium</v>
      </c>
      <c r="Z1304" s="4" t="n">
        <f aca="false">ROUND(MIN(1,MAX('Reward Model'!$B$2,INDEX('Reward Model'!$C$12:$C$14,MATCH($K1304,'Reward Model'!$A$12:$A$14,0))/$J1304)),3)</f>
        <v>0.798</v>
      </c>
      <c r="AA1304" s="2" t="n">
        <f aca="false">IF($I1304="Correct",ROUND(INDEX('Reward Model'!$B$12:$B$14,MATCH($K1304,'Reward Model'!$A$12:$A$14,0))*Z1304,2),0)</f>
        <v>0.8</v>
      </c>
      <c r="AB1304" s="2" t="n">
        <f aca="false">IF($I1304="Correct",ROUND(INDEX('Reward Model'!$B$12:$B$14,MATCH($Y1304,'Reward Model'!$A$12:$A$14,0))*Z1304,2),0)</f>
        <v>1.6</v>
      </c>
    </row>
    <row r="1305" customFormat="false" ht="15" hidden="false" customHeight="false" outlineLevel="0" collapsed="false">
      <c r="A1305" s="0" t="s">
        <v>259</v>
      </c>
      <c r="B1305" s="0" t="s">
        <v>260</v>
      </c>
      <c r="C1305" s="0" t="s">
        <v>30</v>
      </c>
      <c r="D1305" s="0" t="s">
        <v>189</v>
      </c>
      <c r="E1305" s="0" t="n">
        <v>4</v>
      </c>
      <c r="F1305" s="0" t="s">
        <v>43</v>
      </c>
      <c r="G1305" s="0" t="s">
        <v>155</v>
      </c>
      <c r="H1305" s="0" t="s">
        <v>45</v>
      </c>
      <c r="I1305" s="0" t="s">
        <v>39</v>
      </c>
      <c r="J1305" s="0" t="n">
        <v>0.91</v>
      </c>
      <c r="K1305" s="0" t="s">
        <v>35</v>
      </c>
      <c r="L1305" s="0" t="n">
        <f aca="false">INDEX(Summary!$F$2:$F$201,MATCH($B1305,Summary!$A$2:$A$201,0))</f>
        <v>20</v>
      </c>
      <c r="M1305" s="0" t="n">
        <f aca="false">INDEX(Summary!$I$2:$I$201,MATCH($B1305,Summary!$A$2:$A$201,0))</f>
        <v>4</v>
      </c>
      <c r="N1305" s="0" t="n">
        <f aca="false">INDEX(Summary!$J$2:$J$201,MATCH($B1305,Summary!$A$2:$A$201,0))</f>
        <v>1</v>
      </c>
      <c r="O1305" s="2" t="n">
        <f aca="false">INDEX(Summary!$K$2:$K$201,MATCH($B1305,Summary!$A$2:$A$201,0))</f>
        <v>9.79</v>
      </c>
      <c r="P1305" s="3" t="n">
        <f aca="false">INDEX(Summary!$L$2:$L$201,MATCH($B1305,Summary!$A$2:$A$201,0))</f>
        <v>5</v>
      </c>
      <c r="Q1305" s="3" t="n">
        <f aca="false">INDEX(Summary!$M$2:$M$201,MATCH($B1305,Summary!$A$2:$A$201,0))</f>
        <v>1</v>
      </c>
      <c r="R1305" s="2" t="n">
        <f aca="false">INDEX(Summary!$N$2:$N$201,MATCH($B1305,Summary!$A$2:$A$201,0))</f>
        <v>11.52</v>
      </c>
      <c r="S1305" s="3" t="n">
        <f aca="false">INDEX(Summary!$O$2:$O$201,MATCH($B1305,Summary!$A$2:$A$201,0))</f>
        <v>8</v>
      </c>
      <c r="T1305" s="3" t="n">
        <f aca="false">INDEX(Summary!$P$2:$P$201,MATCH($B1305,Summary!$A$2:$A$201,0))</f>
        <v>1</v>
      </c>
      <c r="U1305" s="2" t="n">
        <f aca="false">INDEX(Summary!$Q$2:$Q$201,MATCH($B1305,Summary!$A$2:$A$201,0))</f>
        <v>10.96</v>
      </c>
      <c r="V1305" s="2" t="n">
        <f aca="false">INDEX(Summary!$R$2:$R$201,MATCH($B1305,Summary!$A$2:$A$201,0))</f>
        <v>32.87</v>
      </c>
      <c r="W1305" s="0" t="str">
        <f aca="false">INDEX(Summary!$S$2:$S$201,MATCH($B1305,Summary!$A$2:$A$201,0))</f>
        <v>Gold</v>
      </c>
      <c r="X1305" s="2" t="n">
        <f aca="false">INDEX(Summary!$T$2:$T$201,MATCH($B1305,Summary!$A$2:$A$201,0))</f>
        <v>80.17</v>
      </c>
      <c r="Y1305" s="0" t="str">
        <f aca="false">INDEX('Reward Model'!$E$18:$E$37,MATCH($E1305,'Reward Model'!$A$18:$A$37,0))</f>
        <v>Low</v>
      </c>
      <c r="Z1305" s="4" t="n">
        <f aca="false">ROUND(MIN(1,MAX('Reward Model'!$B$2,INDEX('Reward Model'!$C$12:$C$14,MATCH($K1305,'Reward Model'!$A$12:$A$14,0))/$J1305)),3)</f>
        <v>1</v>
      </c>
      <c r="AA1305" s="2" t="n">
        <f aca="false">IF($I1305="Correct",ROUND(INDEX('Reward Model'!$B$12:$B$14,MATCH($K1305,'Reward Model'!$A$12:$A$14,0))*Z1305,2),0)</f>
        <v>0</v>
      </c>
      <c r="AB1305" s="2" t="n">
        <f aca="false">IF($I1305="Correct",ROUND(INDEX('Reward Model'!$B$12:$B$14,MATCH($Y1305,'Reward Model'!$A$12:$A$14,0))*Z1305,2),0)</f>
        <v>0</v>
      </c>
    </row>
    <row r="1306" customFormat="false" ht="15" hidden="false" customHeight="false" outlineLevel="0" collapsed="false">
      <c r="A1306" s="0" t="s">
        <v>259</v>
      </c>
      <c r="B1306" s="0" t="s">
        <v>260</v>
      </c>
      <c r="C1306" s="0" t="s">
        <v>30</v>
      </c>
      <c r="D1306" s="0" t="s">
        <v>189</v>
      </c>
      <c r="E1306" s="0" t="n">
        <v>5</v>
      </c>
      <c r="F1306" s="0" t="s">
        <v>46</v>
      </c>
      <c r="G1306" s="0" t="s">
        <v>47</v>
      </c>
      <c r="H1306" s="0" t="s">
        <v>47</v>
      </c>
      <c r="I1306" s="0" t="s">
        <v>34</v>
      </c>
      <c r="J1306" s="0" t="n">
        <v>0.91</v>
      </c>
      <c r="K1306" s="0" t="s">
        <v>35</v>
      </c>
      <c r="L1306" s="0" t="n">
        <f aca="false">INDEX(Summary!$F$2:$F$201,MATCH($B1306,Summary!$A$2:$A$201,0))</f>
        <v>20</v>
      </c>
      <c r="M1306" s="0" t="n">
        <f aca="false">INDEX(Summary!$I$2:$I$201,MATCH($B1306,Summary!$A$2:$A$201,0))</f>
        <v>4</v>
      </c>
      <c r="N1306" s="0" t="n">
        <f aca="false">INDEX(Summary!$J$2:$J$201,MATCH($B1306,Summary!$A$2:$A$201,0))</f>
        <v>1</v>
      </c>
      <c r="O1306" s="2" t="n">
        <f aca="false">INDEX(Summary!$K$2:$K$201,MATCH($B1306,Summary!$A$2:$A$201,0))</f>
        <v>9.79</v>
      </c>
      <c r="P1306" s="3" t="n">
        <f aca="false">INDEX(Summary!$L$2:$L$201,MATCH($B1306,Summary!$A$2:$A$201,0))</f>
        <v>5</v>
      </c>
      <c r="Q1306" s="3" t="n">
        <f aca="false">INDEX(Summary!$M$2:$M$201,MATCH($B1306,Summary!$A$2:$A$201,0))</f>
        <v>1</v>
      </c>
      <c r="R1306" s="2" t="n">
        <f aca="false">INDEX(Summary!$N$2:$N$201,MATCH($B1306,Summary!$A$2:$A$201,0))</f>
        <v>11.52</v>
      </c>
      <c r="S1306" s="3" t="n">
        <f aca="false">INDEX(Summary!$O$2:$O$201,MATCH($B1306,Summary!$A$2:$A$201,0))</f>
        <v>8</v>
      </c>
      <c r="T1306" s="3" t="n">
        <f aca="false">INDEX(Summary!$P$2:$P$201,MATCH($B1306,Summary!$A$2:$A$201,0))</f>
        <v>1</v>
      </c>
      <c r="U1306" s="2" t="n">
        <f aca="false">INDEX(Summary!$Q$2:$Q$201,MATCH($B1306,Summary!$A$2:$A$201,0))</f>
        <v>10.96</v>
      </c>
      <c r="V1306" s="2" t="n">
        <f aca="false">INDEX(Summary!$R$2:$R$201,MATCH($B1306,Summary!$A$2:$A$201,0))</f>
        <v>32.87</v>
      </c>
      <c r="W1306" s="0" t="str">
        <f aca="false">INDEX(Summary!$S$2:$S$201,MATCH($B1306,Summary!$A$2:$A$201,0))</f>
        <v>Gold</v>
      </c>
      <c r="X1306" s="2" t="n">
        <f aca="false">INDEX(Summary!$T$2:$T$201,MATCH($B1306,Summary!$A$2:$A$201,0))</f>
        <v>80.17</v>
      </c>
      <c r="Y1306" s="0" t="str">
        <f aca="false">INDEX('Reward Model'!$E$18:$E$37,MATCH($E1306,'Reward Model'!$A$18:$A$37,0))</f>
        <v>Low</v>
      </c>
      <c r="Z1306" s="4" t="n">
        <f aca="false">ROUND(MIN(1,MAX('Reward Model'!$B$2,INDEX('Reward Model'!$C$12:$C$14,MATCH($K1306,'Reward Model'!$A$12:$A$14,0))/$J1306)),3)</f>
        <v>1</v>
      </c>
      <c r="AA1306" s="2" t="n">
        <f aca="false">IF($I1306="Correct",ROUND(INDEX('Reward Model'!$B$12:$B$14,MATCH($K1306,'Reward Model'!$A$12:$A$14,0))*Z1306,2),0)</f>
        <v>1</v>
      </c>
      <c r="AB1306" s="2" t="n">
        <f aca="false">IF($I1306="Correct",ROUND(INDEX('Reward Model'!$B$12:$B$14,MATCH($Y1306,'Reward Model'!$A$12:$A$14,0))*Z1306,2),0)</f>
        <v>1</v>
      </c>
    </row>
    <row r="1307" customFormat="false" ht="15" hidden="false" customHeight="false" outlineLevel="0" collapsed="false">
      <c r="A1307" s="0" t="s">
        <v>259</v>
      </c>
      <c r="B1307" s="0" t="s">
        <v>260</v>
      </c>
      <c r="C1307" s="0" t="s">
        <v>30</v>
      </c>
      <c r="D1307" s="0" t="s">
        <v>189</v>
      </c>
      <c r="E1307" s="0" t="n">
        <v>6</v>
      </c>
      <c r="F1307" s="0" t="s">
        <v>48</v>
      </c>
      <c r="G1307" s="0" t="s">
        <v>49</v>
      </c>
      <c r="H1307" s="0" t="s">
        <v>49</v>
      </c>
      <c r="I1307" s="0" t="s">
        <v>34</v>
      </c>
      <c r="J1307" s="0" t="n">
        <v>0.95</v>
      </c>
      <c r="K1307" s="0" t="s">
        <v>35</v>
      </c>
      <c r="L1307" s="0" t="n">
        <f aca="false">INDEX(Summary!$F$2:$F$201,MATCH($B1307,Summary!$A$2:$A$201,0))</f>
        <v>20</v>
      </c>
      <c r="M1307" s="0" t="n">
        <f aca="false">INDEX(Summary!$I$2:$I$201,MATCH($B1307,Summary!$A$2:$A$201,0))</f>
        <v>4</v>
      </c>
      <c r="N1307" s="0" t="n">
        <f aca="false">INDEX(Summary!$J$2:$J$201,MATCH($B1307,Summary!$A$2:$A$201,0))</f>
        <v>1</v>
      </c>
      <c r="O1307" s="2" t="n">
        <f aca="false">INDEX(Summary!$K$2:$K$201,MATCH($B1307,Summary!$A$2:$A$201,0))</f>
        <v>9.79</v>
      </c>
      <c r="P1307" s="3" t="n">
        <f aca="false">INDEX(Summary!$L$2:$L$201,MATCH($B1307,Summary!$A$2:$A$201,0))</f>
        <v>5</v>
      </c>
      <c r="Q1307" s="3" t="n">
        <f aca="false">INDEX(Summary!$M$2:$M$201,MATCH($B1307,Summary!$A$2:$A$201,0))</f>
        <v>1</v>
      </c>
      <c r="R1307" s="2" t="n">
        <f aca="false">INDEX(Summary!$N$2:$N$201,MATCH($B1307,Summary!$A$2:$A$201,0))</f>
        <v>11.52</v>
      </c>
      <c r="S1307" s="3" t="n">
        <f aca="false">INDEX(Summary!$O$2:$O$201,MATCH($B1307,Summary!$A$2:$A$201,0))</f>
        <v>8</v>
      </c>
      <c r="T1307" s="3" t="n">
        <f aca="false">INDEX(Summary!$P$2:$P$201,MATCH($B1307,Summary!$A$2:$A$201,0))</f>
        <v>1</v>
      </c>
      <c r="U1307" s="2" t="n">
        <f aca="false">INDEX(Summary!$Q$2:$Q$201,MATCH($B1307,Summary!$A$2:$A$201,0))</f>
        <v>10.96</v>
      </c>
      <c r="V1307" s="2" t="n">
        <f aca="false">INDEX(Summary!$R$2:$R$201,MATCH($B1307,Summary!$A$2:$A$201,0))</f>
        <v>32.87</v>
      </c>
      <c r="W1307" s="0" t="str">
        <f aca="false">INDEX(Summary!$S$2:$S$201,MATCH($B1307,Summary!$A$2:$A$201,0))</f>
        <v>Gold</v>
      </c>
      <c r="X1307" s="2" t="n">
        <f aca="false">INDEX(Summary!$T$2:$T$201,MATCH($B1307,Summary!$A$2:$A$201,0))</f>
        <v>80.17</v>
      </c>
      <c r="Y1307" s="0" t="str">
        <f aca="false">INDEX('Reward Model'!$E$18:$E$37,MATCH($E1307,'Reward Model'!$A$18:$A$37,0))</f>
        <v>Medium</v>
      </c>
      <c r="Z1307" s="4" t="n">
        <f aca="false">ROUND(MIN(1,MAX('Reward Model'!$B$2,INDEX('Reward Model'!$C$12:$C$14,MATCH($K1307,'Reward Model'!$A$12:$A$14,0))/$J1307)),3)</f>
        <v>1</v>
      </c>
      <c r="AA1307" s="2" t="n">
        <f aca="false">IF($I1307="Correct",ROUND(INDEX('Reward Model'!$B$12:$B$14,MATCH($K1307,'Reward Model'!$A$12:$A$14,0))*Z1307,2),0)</f>
        <v>1</v>
      </c>
      <c r="AB1307" s="2" t="n">
        <f aca="false">IF($I1307="Correct",ROUND(INDEX('Reward Model'!$B$12:$B$14,MATCH($Y1307,'Reward Model'!$A$12:$A$14,0))*Z1307,2),0)</f>
        <v>2</v>
      </c>
    </row>
    <row r="1308" customFormat="false" ht="15" hidden="false" customHeight="false" outlineLevel="0" collapsed="false">
      <c r="A1308" s="0" t="s">
        <v>259</v>
      </c>
      <c r="B1308" s="0" t="s">
        <v>260</v>
      </c>
      <c r="C1308" s="0" t="s">
        <v>30</v>
      </c>
      <c r="D1308" s="0" t="s">
        <v>189</v>
      </c>
      <c r="E1308" s="0" t="n">
        <v>7</v>
      </c>
      <c r="F1308" s="0" t="s">
        <v>50</v>
      </c>
      <c r="G1308" s="0" t="s">
        <v>51</v>
      </c>
      <c r="H1308" s="0" t="s">
        <v>51</v>
      </c>
      <c r="I1308" s="0" t="s">
        <v>34</v>
      </c>
      <c r="J1308" s="0" t="n">
        <v>1.44</v>
      </c>
      <c r="K1308" s="0" t="s">
        <v>35</v>
      </c>
      <c r="L1308" s="0" t="n">
        <f aca="false">INDEX(Summary!$F$2:$F$201,MATCH($B1308,Summary!$A$2:$A$201,0))</f>
        <v>20</v>
      </c>
      <c r="M1308" s="0" t="n">
        <f aca="false">INDEX(Summary!$I$2:$I$201,MATCH($B1308,Summary!$A$2:$A$201,0))</f>
        <v>4</v>
      </c>
      <c r="N1308" s="0" t="n">
        <f aca="false">INDEX(Summary!$J$2:$J$201,MATCH($B1308,Summary!$A$2:$A$201,0))</f>
        <v>1</v>
      </c>
      <c r="O1308" s="2" t="n">
        <f aca="false">INDEX(Summary!$K$2:$K$201,MATCH($B1308,Summary!$A$2:$A$201,0))</f>
        <v>9.79</v>
      </c>
      <c r="P1308" s="3" t="n">
        <f aca="false">INDEX(Summary!$L$2:$L$201,MATCH($B1308,Summary!$A$2:$A$201,0))</f>
        <v>5</v>
      </c>
      <c r="Q1308" s="3" t="n">
        <f aca="false">INDEX(Summary!$M$2:$M$201,MATCH($B1308,Summary!$A$2:$A$201,0))</f>
        <v>1</v>
      </c>
      <c r="R1308" s="2" t="n">
        <f aca="false">INDEX(Summary!$N$2:$N$201,MATCH($B1308,Summary!$A$2:$A$201,0))</f>
        <v>11.52</v>
      </c>
      <c r="S1308" s="3" t="n">
        <f aca="false">INDEX(Summary!$O$2:$O$201,MATCH($B1308,Summary!$A$2:$A$201,0))</f>
        <v>8</v>
      </c>
      <c r="T1308" s="3" t="n">
        <f aca="false">INDEX(Summary!$P$2:$P$201,MATCH($B1308,Summary!$A$2:$A$201,0))</f>
        <v>1</v>
      </c>
      <c r="U1308" s="2" t="n">
        <f aca="false">INDEX(Summary!$Q$2:$Q$201,MATCH($B1308,Summary!$A$2:$A$201,0))</f>
        <v>10.96</v>
      </c>
      <c r="V1308" s="2" t="n">
        <f aca="false">INDEX(Summary!$R$2:$R$201,MATCH($B1308,Summary!$A$2:$A$201,0))</f>
        <v>32.87</v>
      </c>
      <c r="W1308" s="0" t="str">
        <f aca="false">INDEX(Summary!$S$2:$S$201,MATCH($B1308,Summary!$A$2:$A$201,0))</f>
        <v>Gold</v>
      </c>
      <c r="X1308" s="2" t="n">
        <f aca="false">INDEX(Summary!$T$2:$T$201,MATCH($B1308,Summary!$A$2:$A$201,0))</f>
        <v>80.17</v>
      </c>
      <c r="Y1308" s="0" t="str">
        <f aca="false">INDEX('Reward Model'!$E$18:$E$37,MATCH($E1308,'Reward Model'!$A$18:$A$37,0))</f>
        <v>Low</v>
      </c>
      <c r="Z1308" s="4" t="n">
        <f aca="false">ROUND(MIN(1,MAX('Reward Model'!$B$2,INDEX('Reward Model'!$C$12:$C$14,MATCH($K1308,'Reward Model'!$A$12:$A$14,0))/$J1308)),3)</f>
        <v>1</v>
      </c>
      <c r="AA1308" s="2" t="n">
        <f aca="false">IF($I1308="Correct",ROUND(INDEX('Reward Model'!$B$12:$B$14,MATCH($K1308,'Reward Model'!$A$12:$A$14,0))*Z1308,2),0)</f>
        <v>1</v>
      </c>
      <c r="AB1308" s="2" t="n">
        <f aca="false">IF($I1308="Correct",ROUND(INDEX('Reward Model'!$B$12:$B$14,MATCH($Y1308,'Reward Model'!$A$12:$A$14,0))*Z1308,2),0)</f>
        <v>1</v>
      </c>
    </row>
    <row r="1309" customFormat="false" ht="15" hidden="false" customHeight="false" outlineLevel="0" collapsed="false">
      <c r="A1309" s="0" t="s">
        <v>259</v>
      </c>
      <c r="B1309" s="0" t="s">
        <v>260</v>
      </c>
      <c r="C1309" s="0" t="s">
        <v>30</v>
      </c>
      <c r="D1309" s="0" t="s">
        <v>189</v>
      </c>
      <c r="E1309" s="0" t="n">
        <v>8</v>
      </c>
      <c r="F1309" s="0" t="s">
        <v>52</v>
      </c>
      <c r="G1309" s="0" t="s">
        <v>54</v>
      </c>
      <c r="H1309" s="0" t="s">
        <v>54</v>
      </c>
      <c r="I1309" s="0" t="s">
        <v>34</v>
      </c>
      <c r="J1309" s="0" t="n">
        <v>1.21</v>
      </c>
      <c r="K1309" s="0" t="s">
        <v>35</v>
      </c>
      <c r="L1309" s="0" t="n">
        <f aca="false">INDEX(Summary!$F$2:$F$201,MATCH($B1309,Summary!$A$2:$A$201,0))</f>
        <v>20</v>
      </c>
      <c r="M1309" s="0" t="n">
        <f aca="false">INDEX(Summary!$I$2:$I$201,MATCH($B1309,Summary!$A$2:$A$201,0))</f>
        <v>4</v>
      </c>
      <c r="N1309" s="0" t="n">
        <f aca="false">INDEX(Summary!$J$2:$J$201,MATCH($B1309,Summary!$A$2:$A$201,0))</f>
        <v>1</v>
      </c>
      <c r="O1309" s="2" t="n">
        <f aca="false">INDEX(Summary!$K$2:$K$201,MATCH($B1309,Summary!$A$2:$A$201,0))</f>
        <v>9.79</v>
      </c>
      <c r="P1309" s="3" t="n">
        <f aca="false">INDEX(Summary!$L$2:$L$201,MATCH($B1309,Summary!$A$2:$A$201,0))</f>
        <v>5</v>
      </c>
      <c r="Q1309" s="3" t="n">
        <f aca="false">INDEX(Summary!$M$2:$M$201,MATCH($B1309,Summary!$A$2:$A$201,0))</f>
        <v>1</v>
      </c>
      <c r="R1309" s="2" t="n">
        <f aca="false">INDEX(Summary!$N$2:$N$201,MATCH($B1309,Summary!$A$2:$A$201,0))</f>
        <v>11.52</v>
      </c>
      <c r="S1309" s="3" t="n">
        <f aca="false">INDEX(Summary!$O$2:$O$201,MATCH($B1309,Summary!$A$2:$A$201,0))</f>
        <v>8</v>
      </c>
      <c r="T1309" s="3" t="n">
        <f aca="false">INDEX(Summary!$P$2:$P$201,MATCH($B1309,Summary!$A$2:$A$201,0))</f>
        <v>1</v>
      </c>
      <c r="U1309" s="2" t="n">
        <f aca="false">INDEX(Summary!$Q$2:$Q$201,MATCH($B1309,Summary!$A$2:$A$201,0))</f>
        <v>10.96</v>
      </c>
      <c r="V1309" s="2" t="n">
        <f aca="false">INDEX(Summary!$R$2:$R$201,MATCH($B1309,Summary!$A$2:$A$201,0))</f>
        <v>32.87</v>
      </c>
      <c r="W1309" s="0" t="str">
        <f aca="false">INDEX(Summary!$S$2:$S$201,MATCH($B1309,Summary!$A$2:$A$201,0))</f>
        <v>Gold</v>
      </c>
      <c r="X1309" s="2" t="n">
        <f aca="false">INDEX(Summary!$T$2:$T$201,MATCH($B1309,Summary!$A$2:$A$201,0))</f>
        <v>80.17</v>
      </c>
      <c r="Y1309" s="0" t="str">
        <f aca="false">INDEX('Reward Model'!$E$18:$E$37,MATCH($E1309,'Reward Model'!$A$18:$A$37,0))</f>
        <v>Medium</v>
      </c>
      <c r="Z1309" s="4" t="n">
        <f aca="false">ROUND(MIN(1,MAX('Reward Model'!$B$2,INDEX('Reward Model'!$C$12:$C$14,MATCH($K1309,'Reward Model'!$A$12:$A$14,0))/$J1309)),3)</f>
        <v>1</v>
      </c>
      <c r="AA1309" s="2" t="n">
        <f aca="false">IF($I1309="Correct",ROUND(INDEX('Reward Model'!$B$12:$B$14,MATCH($K1309,'Reward Model'!$A$12:$A$14,0))*Z1309,2),0)</f>
        <v>1</v>
      </c>
      <c r="AB1309" s="2" t="n">
        <f aca="false">IF($I1309="Correct",ROUND(INDEX('Reward Model'!$B$12:$B$14,MATCH($Y1309,'Reward Model'!$A$12:$A$14,0))*Z1309,2),0)</f>
        <v>2</v>
      </c>
    </row>
    <row r="1310" customFormat="false" ht="15" hidden="false" customHeight="false" outlineLevel="0" collapsed="false">
      <c r="A1310" s="0" t="s">
        <v>259</v>
      </c>
      <c r="B1310" s="0" t="s">
        <v>260</v>
      </c>
      <c r="C1310" s="0" t="s">
        <v>30</v>
      </c>
      <c r="D1310" s="0" t="s">
        <v>189</v>
      </c>
      <c r="E1310" s="0" t="n">
        <v>9</v>
      </c>
      <c r="F1310" s="0" t="s">
        <v>55</v>
      </c>
      <c r="G1310" s="0" t="s">
        <v>57</v>
      </c>
      <c r="H1310" s="0" t="s">
        <v>57</v>
      </c>
      <c r="I1310" s="0" t="s">
        <v>34</v>
      </c>
      <c r="J1310" s="0" t="n">
        <v>1.21</v>
      </c>
      <c r="K1310" s="0" t="s">
        <v>35</v>
      </c>
      <c r="L1310" s="0" t="n">
        <f aca="false">INDEX(Summary!$F$2:$F$201,MATCH($B1310,Summary!$A$2:$A$201,0))</f>
        <v>20</v>
      </c>
      <c r="M1310" s="0" t="n">
        <f aca="false">INDEX(Summary!$I$2:$I$201,MATCH($B1310,Summary!$A$2:$A$201,0))</f>
        <v>4</v>
      </c>
      <c r="N1310" s="0" t="n">
        <f aca="false">INDEX(Summary!$J$2:$J$201,MATCH($B1310,Summary!$A$2:$A$201,0))</f>
        <v>1</v>
      </c>
      <c r="O1310" s="2" t="n">
        <f aca="false">INDEX(Summary!$K$2:$K$201,MATCH($B1310,Summary!$A$2:$A$201,0))</f>
        <v>9.79</v>
      </c>
      <c r="P1310" s="3" t="n">
        <f aca="false">INDEX(Summary!$L$2:$L$201,MATCH($B1310,Summary!$A$2:$A$201,0))</f>
        <v>5</v>
      </c>
      <c r="Q1310" s="3" t="n">
        <f aca="false">INDEX(Summary!$M$2:$M$201,MATCH($B1310,Summary!$A$2:$A$201,0))</f>
        <v>1</v>
      </c>
      <c r="R1310" s="2" t="n">
        <f aca="false">INDEX(Summary!$N$2:$N$201,MATCH($B1310,Summary!$A$2:$A$201,0))</f>
        <v>11.52</v>
      </c>
      <c r="S1310" s="3" t="n">
        <f aca="false">INDEX(Summary!$O$2:$O$201,MATCH($B1310,Summary!$A$2:$A$201,0))</f>
        <v>8</v>
      </c>
      <c r="T1310" s="3" t="n">
        <f aca="false">INDEX(Summary!$P$2:$P$201,MATCH($B1310,Summary!$A$2:$A$201,0))</f>
        <v>1</v>
      </c>
      <c r="U1310" s="2" t="n">
        <f aca="false">INDEX(Summary!$Q$2:$Q$201,MATCH($B1310,Summary!$A$2:$A$201,0))</f>
        <v>10.96</v>
      </c>
      <c r="V1310" s="2" t="n">
        <f aca="false">INDEX(Summary!$R$2:$R$201,MATCH($B1310,Summary!$A$2:$A$201,0))</f>
        <v>32.87</v>
      </c>
      <c r="W1310" s="0" t="str">
        <f aca="false">INDEX(Summary!$S$2:$S$201,MATCH($B1310,Summary!$A$2:$A$201,0))</f>
        <v>Gold</v>
      </c>
      <c r="X1310" s="2" t="n">
        <f aca="false">INDEX(Summary!$T$2:$T$201,MATCH($B1310,Summary!$A$2:$A$201,0))</f>
        <v>80.17</v>
      </c>
      <c r="Y1310" s="0" t="str">
        <f aca="false">INDEX('Reward Model'!$E$18:$E$37,MATCH($E1310,'Reward Model'!$A$18:$A$37,0))</f>
        <v>Medium</v>
      </c>
      <c r="Z1310" s="4" t="n">
        <f aca="false">ROUND(MIN(1,MAX('Reward Model'!$B$2,INDEX('Reward Model'!$C$12:$C$14,MATCH($K1310,'Reward Model'!$A$12:$A$14,0))/$J1310)),3)</f>
        <v>1</v>
      </c>
      <c r="AA1310" s="2" t="n">
        <f aca="false">IF($I1310="Correct",ROUND(INDEX('Reward Model'!$B$12:$B$14,MATCH($K1310,'Reward Model'!$A$12:$A$14,0))*Z1310,2),0)</f>
        <v>1</v>
      </c>
      <c r="AB1310" s="2" t="n">
        <f aca="false">IF($I1310="Correct",ROUND(INDEX('Reward Model'!$B$12:$B$14,MATCH($Y1310,'Reward Model'!$A$12:$A$14,0))*Z1310,2),0)</f>
        <v>2</v>
      </c>
    </row>
    <row r="1311" customFormat="false" ht="15" hidden="false" customHeight="false" outlineLevel="0" collapsed="false">
      <c r="A1311" s="0" t="s">
        <v>259</v>
      </c>
      <c r="B1311" s="0" t="s">
        <v>260</v>
      </c>
      <c r="C1311" s="0" t="s">
        <v>30</v>
      </c>
      <c r="D1311" s="0" t="s">
        <v>189</v>
      </c>
      <c r="E1311" s="0" t="n">
        <v>10</v>
      </c>
      <c r="F1311" s="0" t="s">
        <v>58</v>
      </c>
      <c r="G1311" s="0" t="s">
        <v>99</v>
      </c>
      <c r="H1311" s="0" t="s">
        <v>59</v>
      </c>
      <c r="I1311" s="0" t="s">
        <v>39</v>
      </c>
      <c r="J1311" s="0" t="n">
        <v>2.27</v>
      </c>
      <c r="K1311" s="0" t="s">
        <v>60</v>
      </c>
      <c r="L1311" s="0" t="n">
        <f aca="false">INDEX(Summary!$F$2:$F$201,MATCH($B1311,Summary!$A$2:$A$201,0))</f>
        <v>20</v>
      </c>
      <c r="M1311" s="0" t="n">
        <f aca="false">INDEX(Summary!$I$2:$I$201,MATCH($B1311,Summary!$A$2:$A$201,0))</f>
        <v>4</v>
      </c>
      <c r="N1311" s="0" t="n">
        <f aca="false">INDEX(Summary!$J$2:$J$201,MATCH($B1311,Summary!$A$2:$A$201,0))</f>
        <v>1</v>
      </c>
      <c r="O1311" s="2" t="n">
        <f aca="false">INDEX(Summary!$K$2:$K$201,MATCH($B1311,Summary!$A$2:$A$201,0))</f>
        <v>9.79</v>
      </c>
      <c r="P1311" s="3" t="n">
        <f aca="false">INDEX(Summary!$L$2:$L$201,MATCH($B1311,Summary!$A$2:$A$201,0))</f>
        <v>5</v>
      </c>
      <c r="Q1311" s="3" t="n">
        <f aca="false">INDEX(Summary!$M$2:$M$201,MATCH($B1311,Summary!$A$2:$A$201,0))</f>
        <v>1</v>
      </c>
      <c r="R1311" s="2" t="n">
        <f aca="false">INDEX(Summary!$N$2:$N$201,MATCH($B1311,Summary!$A$2:$A$201,0))</f>
        <v>11.52</v>
      </c>
      <c r="S1311" s="3" t="n">
        <f aca="false">INDEX(Summary!$O$2:$O$201,MATCH($B1311,Summary!$A$2:$A$201,0))</f>
        <v>8</v>
      </c>
      <c r="T1311" s="3" t="n">
        <f aca="false">INDEX(Summary!$P$2:$P$201,MATCH($B1311,Summary!$A$2:$A$201,0))</f>
        <v>1</v>
      </c>
      <c r="U1311" s="2" t="n">
        <f aca="false">INDEX(Summary!$Q$2:$Q$201,MATCH($B1311,Summary!$A$2:$A$201,0))</f>
        <v>10.96</v>
      </c>
      <c r="V1311" s="2" t="n">
        <f aca="false">INDEX(Summary!$R$2:$R$201,MATCH($B1311,Summary!$A$2:$A$201,0))</f>
        <v>32.87</v>
      </c>
      <c r="W1311" s="0" t="str">
        <f aca="false">INDEX(Summary!$S$2:$S$201,MATCH($B1311,Summary!$A$2:$A$201,0))</f>
        <v>Gold</v>
      </c>
      <c r="X1311" s="2" t="n">
        <f aca="false">INDEX(Summary!$T$2:$T$201,MATCH($B1311,Summary!$A$2:$A$201,0))</f>
        <v>80.17</v>
      </c>
      <c r="Y1311" s="0" t="str">
        <f aca="false">INDEX('Reward Model'!$E$18:$E$37,MATCH($E1311,'Reward Model'!$A$18:$A$37,0))</f>
        <v>Medium</v>
      </c>
      <c r="Z1311" s="4" t="n">
        <f aca="false">ROUND(MIN(1,MAX('Reward Model'!$B$2,INDEX('Reward Model'!$C$12:$C$14,MATCH($K1311,'Reward Model'!$A$12:$A$14,0))/$J1311)),3)</f>
        <v>0.793</v>
      </c>
      <c r="AA1311" s="2" t="n">
        <f aca="false">IF($I1311="Correct",ROUND(INDEX('Reward Model'!$B$12:$B$14,MATCH($K1311,'Reward Model'!$A$12:$A$14,0))*Z1311,2),0)</f>
        <v>0</v>
      </c>
      <c r="AB1311" s="2" t="n">
        <f aca="false">IF($I1311="Correct",ROUND(INDEX('Reward Model'!$B$12:$B$14,MATCH($Y1311,'Reward Model'!$A$12:$A$14,0))*Z1311,2),0)</f>
        <v>0</v>
      </c>
    </row>
    <row r="1312" customFormat="false" ht="15" hidden="false" customHeight="false" outlineLevel="0" collapsed="false">
      <c r="A1312" s="0" t="s">
        <v>259</v>
      </c>
      <c r="B1312" s="0" t="s">
        <v>260</v>
      </c>
      <c r="C1312" s="0" t="s">
        <v>30</v>
      </c>
      <c r="D1312" s="0" t="s">
        <v>189</v>
      </c>
      <c r="E1312" s="0" t="n">
        <v>11</v>
      </c>
      <c r="F1312" s="0" t="s">
        <v>61</v>
      </c>
      <c r="G1312" s="0" t="s">
        <v>63</v>
      </c>
      <c r="H1312" s="0" t="s">
        <v>63</v>
      </c>
      <c r="I1312" s="0" t="s">
        <v>34</v>
      </c>
      <c r="J1312" s="0" t="n">
        <v>1.56</v>
      </c>
      <c r="K1312" s="0" t="s">
        <v>60</v>
      </c>
      <c r="L1312" s="0" t="n">
        <f aca="false">INDEX(Summary!$F$2:$F$201,MATCH($B1312,Summary!$A$2:$A$201,0))</f>
        <v>20</v>
      </c>
      <c r="M1312" s="0" t="n">
        <f aca="false">INDEX(Summary!$I$2:$I$201,MATCH($B1312,Summary!$A$2:$A$201,0))</f>
        <v>4</v>
      </c>
      <c r="N1312" s="0" t="n">
        <f aca="false">INDEX(Summary!$J$2:$J$201,MATCH($B1312,Summary!$A$2:$A$201,0))</f>
        <v>1</v>
      </c>
      <c r="O1312" s="2" t="n">
        <f aca="false">INDEX(Summary!$K$2:$K$201,MATCH($B1312,Summary!$A$2:$A$201,0))</f>
        <v>9.79</v>
      </c>
      <c r="P1312" s="3" t="n">
        <f aca="false">INDEX(Summary!$L$2:$L$201,MATCH($B1312,Summary!$A$2:$A$201,0))</f>
        <v>5</v>
      </c>
      <c r="Q1312" s="3" t="n">
        <f aca="false">INDEX(Summary!$M$2:$M$201,MATCH($B1312,Summary!$A$2:$A$201,0))</f>
        <v>1</v>
      </c>
      <c r="R1312" s="2" t="n">
        <f aca="false">INDEX(Summary!$N$2:$N$201,MATCH($B1312,Summary!$A$2:$A$201,0))</f>
        <v>11.52</v>
      </c>
      <c r="S1312" s="3" t="n">
        <f aca="false">INDEX(Summary!$O$2:$O$201,MATCH($B1312,Summary!$A$2:$A$201,0))</f>
        <v>8</v>
      </c>
      <c r="T1312" s="3" t="n">
        <f aca="false">INDEX(Summary!$P$2:$P$201,MATCH($B1312,Summary!$A$2:$A$201,0))</f>
        <v>1</v>
      </c>
      <c r="U1312" s="2" t="n">
        <f aca="false">INDEX(Summary!$Q$2:$Q$201,MATCH($B1312,Summary!$A$2:$A$201,0))</f>
        <v>10.96</v>
      </c>
      <c r="V1312" s="2" t="n">
        <f aca="false">INDEX(Summary!$R$2:$R$201,MATCH($B1312,Summary!$A$2:$A$201,0))</f>
        <v>32.87</v>
      </c>
      <c r="W1312" s="0" t="str">
        <f aca="false">INDEX(Summary!$S$2:$S$201,MATCH($B1312,Summary!$A$2:$A$201,0))</f>
        <v>Gold</v>
      </c>
      <c r="X1312" s="2" t="n">
        <f aca="false">INDEX(Summary!$T$2:$T$201,MATCH($B1312,Summary!$A$2:$A$201,0))</f>
        <v>80.17</v>
      </c>
      <c r="Y1312" s="0" t="str">
        <f aca="false">INDEX('Reward Model'!$E$18:$E$37,MATCH($E1312,'Reward Model'!$A$18:$A$37,0))</f>
        <v>Medium</v>
      </c>
      <c r="Z1312" s="4" t="n">
        <f aca="false">ROUND(MIN(1,MAX('Reward Model'!$B$2,INDEX('Reward Model'!$C$12:$C$14,MATCH($K1312,'Reward Model'!$A$12:$A$14,0))/$J1312)),3)</f>
        <v>1</v>
      </c>
      <c r="AA1312" s="2" t="n">
        <f aca="false">IF($I1312="Correct",ROUND(INDEX('Reward Model'!$B$12:$B$14,MATCH($K1312,'Reward Model'!$A$12:$A$14,0))*Z1312,2),0)</f>
        <v>2</v>
      </c>
      <c r="AB1312" s="2" t="n">
        <f aca="false">IF($I1312="Correct",ROUND(INDEX('Reward Model'!$B$12:$B$14,MATCH($Y1312,'Reward Model'!$A$12:$A$14,0))*Z1312,2),0)</f>
        <v>2</v>
      </c>
    </row>
    <row r="1313" customFormat="false" ht="15" hidden="false" customHeight="false" outlineLevel="0" collapsed="false">
      <c r="A1313" s="0" t="s">
        <v>259</v>
      </c>
      <c r="B1313" s="0" t="s">
        <v>260</v>
      </c>
      <c r="C1313" s="0" t="s">
        <v>30</v>
      </c>
      <c r="D1313" s="0" t="s">
        <v>189</v>
      </c>
      <c r="E1313" s="0" t="n">
        <v>12</v>
      </c>
      <c r="F1313" s="0" t="s">
        <v>64</v>
      </c>
      <c r="G1313" s="0" t="s">
        <v>65</v>
      </c>
      <c r="H1313" s="0" t="s">
        <v>65</v>
      </c>
      <c r="I1313" s="0" t="s">
        <v>34</v>
      </c>
      <c r="J1313" s="0" t="n">
        <v>1.68</v>
      </c>
      <c r="K1313" s="0" t="s">
        <v>60</v>
      </c>
      <c r="L1313" s="0" t="n">
        <f aca="false">INDEX(Summary!$F$2:$F$201,MATCH($B1313,Summary!$A$2:$A$201,0))</f>
        <v>20</v>
      </c>
      <c r="M1313" s="0" t="n">
        <f aca="false">INDEX(Summary!$I$2:$I$201,MATCH($B1313,Summary!$A$2:$A$201,0))</f>
        <v>4</v>
      </c>
      <c r="N1313" s="0" t="n">
        <f aca="false">INDEX(Summary!$J$2:$J$201,MATCH($B1313,Summary!$A$2:$A$201,0))</f>
        <v>1</v>
      </c>
      <c r="O1313" s="2" t="n">
        <f aca="false">INDEX(Summary!$K$2:$K$201,MATCH($B1313,Summary!$A$2:$A$201,0))</f>
        <v>9.79</v>
      </c>
      <c r="P1313" s="3" t="n">
        <f aca="false">INDEX(Summary!$L$2:$L$201,MATCH($B1313,Summary!$A$2:$A$201,0))</f>
        <v>5</v>
      </c>
      <c r="Q1313" s="3" t="n">
        <f aca="false">INDEX(Summary!$M$2:$M$201,MATCH($B1313,Summary!$A$2:$A$201,0))</f>
        <v>1</v>
      </c>
      <c r="R1313" s="2" t="n">
        <f aca="false">INDEX(Summary!$N$2:$N$201,MATCH($B1313,Summary!$A$2:$A$201,0))</f>
        <v>11.52</v>
      </c>
      <c r="S1313" s="3" t="n">
        <f aca="false">INDEX(Summary!$O$2:$O$201,MATCH($B1313,Summary!$A$2:$A$201,0))</f>
        <v>8</v>
      </c>
      <c r="T1313" s="3" t="n">
        <f aca="false">INDEX(Summary!$P$2:$P$201,MATCH($B1313,Summary!$A$2:$A$201,0))</f>
        <v>1</v>
      </c>
      <c r="U1313" s="2" t="n">
        <f aca="false">INDEX(Summary!$Q$2:$Q$201,MATCH($B1313,Summary!$A$2:$A$201,0))</f>
        <v>10.96</v>
      </c>
      <c r="V1313" s="2" t="n">
        <f aca="false">INDEX(Summary!$R$2:$R$201,MATCH($B1313,Summary!$A$2:$A$201,0))</f>
        <v>32.87</v>
      </c>
      <c r="W1313" s="0" t="str">
        <f aca="false">INDEX(Summary!$S$2:$S$201,MATCH($B1313,Summary!$A$2:$A$201,0))</f>
        <v>Gold</v>
      </c>
      <c r="X1313" s="2" t="n">
        <f aca="false">INDEX(Summary!$T$2:$T$201,MATCH($B1313,Summary!$A$2:$A$201,0))</f>
        <v>80.17</v>
      </c>
      <c r="Y1313" s="0" t="str">
        <f aca="false">INDEX('Reward Model'!$E$18:$E$37,MATCH($E1313,'Reward Model'!$A$18:$A$37,0))</f>
        <v>Medium</v>
      </c>
      <c r="Z1313" s="4" t="n">
        <f aca="false">ROUND(MIN(1,MAX('Reward Model'!$B$2,INDEX('Reward Model'!$C$12:$C$14,MATCH($K1313,'Reward Model'!$A$12:$A$14,0))/$J1313)),3)</f>
        <v>1</v>
      </c>
      <c r="AA1313" s="2" t="n">
        <f aca="false">IF($I1313="Correct",ROUND(INDEX('Reward Model'!$B$12:$B$14,MATCH($K1313,'Reward Model'!$A$12:$A$14,0))*Z1313,2),0)</f>
        <v>2</v>
      </c>
      <c r="AB1313" s="2" t="n">
        <f aca="false">IF($I1313="Correct",ROUND(INDEX('Reward Model'!$B$12:$B$14,MATCH($Y1313,'Reward Model'!$A$12:$A$14,0))*Z1313,2),0)</f>
        <v>2</v>
      </c>
    </row>
    <row r="1314" customFormat="false" ht="15" hidden="false" customHeight="false" outlineLevel="0" collapsed="false">
      <c r="A1314" s="0" t="s">
        <v>259</v>
      </c>
      <c r="B1314" s="0" t="s">
        <v>260</v>
      </c>
      <c r="C1314" s="0" t="s">
        <v>30</v>
      </c>
      <c r="D1314" s="0" t="s">
        <v>189</v>
      </c>
      <c r="E1314" s="0" t="n">
        <v>13</v>
      </c>
      <c r="F1314" s="0" t="s">
        <v>66</v>
      </c>
      <c r="G1314" s="0" t="s">
        <v>67</v>
      </c>
      <c r="H1314" s="0" t="s">
        <v>67</v>
      </c>
      <c r="I1314" s="0" t="s">
        <v>34</v>
      </c>
      <c r="J1314" s="0" t="n">
        <v>2.18</v>
      </c>
      <c r="K1314" s="0" t="s">
        <v>60</v>
      </c>
      <c r="L1314" s="0" t="n">
        <f aca="false">INDEX(Summary!$F$2:$F$201,MATCH($B1314,Summary!$A$2:$A$201,0))</f>
        <v>20</v>
      </c>
      <c r="M1314" s="0" t="n">
        <f aca="false">INDEX(Summary!$I$2:$I$201,MATCH($B1314,Summary!$A$2:$A$201,0))</f>
        <v>4</v>
      </c>
      <c r="N1314" s="0" t="n">
        <f aca="false">INDEX(Summary!$J$2:$J$201,MATCH($B1314,Summary!$A$2:$A$201,0))</f>
        <v>1</v>
      </c>
      <c r="O1314" s="2" t="n">
        <f aca="false">INDEX(Summary!$K$2:$K$201,MATCH($B1314,Summary!$A$2:$A$201,0))</f>
        <v>9.79</v>
      </c>
      <c r="P1314" s="3" t="n">
        <f aca="false">INDEX(Summary!$L$2:$L$201,MATCH($B1314,Summary!$A$2:$A$201,0))</f>
        <v>5</v>
      </c>
      <c r="Q1314" s="3" t="n">
        <f aca="false">INDEX(Summary!$M$2:$M$201,MATCH($B1314,Summary!$A$2:$A$201,0))</f>
        <v>1</v>
      </c>
      <c r="R1314" s="2" t="n">
        <f aca="false">INDEX(Summary!$N$2:$N$201,MATCH($B1314,Summary!$A$2:$A$201,0))</f>
        <v>11.52</v>
      </c>
      <c r="S1314" s="3" t="n">
        <f aca="false">INDEX(Summary!$O$2:$O$201,MATCH($B1314,Summary!$A$2:$A$201,0))</f>
        <v>8</v>
      </c>
      <c r="T1314" s="3" t="n">
        <f aca="false">INDEX(Summary!$P$2:$P$201,MATCH($B1314,Summary!$A$2:$A$201,0))</f>
        <v>1</v>
      </c>
      <c r="U1314" s="2" t="n">
        <f aca="false">INDEX(Summary!$Q$2:$Q$201,MATCH($B1314,Summary!$A$2:$A$201,0))</f>
        <v>10.96</v>
      </c>
      <c r="V1314" s="2" t="n">
        <f aca="false">INDEX(Summary!$R$2:$R$201,MATCH($B1314,Summary!$A$2:$A$201,0))</f>
        <v>32.87</v>
      </c>
      <c r="W1314" s="0" t="str">
        <f aca="false">INDEX(Summary!$S$2:$S$201,MATCH($B1314,Summary!$A$2:$A$201,0))</f>
        <v>Gold</v>
      </c>
      <c r="X1314" s="2" t="n">
        <f aca="false">INDEX(Summary!$T$2:$T$201,MATCH($B1314,Summary!$A$2:$A$201,0))</f>
        <v>80.17</v>
      </c>
      <c r="Y1314" s="0" t="str">
        <f aca="false">INDEX('Reward Model'!$E$18:$E$37,MATCH($E1314,'Reward Model'!$A$18:$A$37,0))</f>
        <v>Medium</v>
      </c>
      <c r="Z1314" s="4" t="n">
        <f aca="false">ROUND(MIN(1,MAX('Reward Model'!$B$2,INDEX('Reward Model'!$C$12:$C$14,MATCH($K1314,'Reward Model'!$A$12:$A$14,0))/$J1314)),3)</f>
        <v>0.826</v>
      </c>
      <c r="AA1314" s="2" t="n">
        <f aca="false">IF($I1314="Correct",ROUND(INDEX('Reward Model'!$B$12:$B$14,MATCH($K1314,'Reward Model'!$A$12:$A$14,0))*Z1314,2),0)</f>
        <v>1.65</v>
      </c>
      <c r="AB1314" s="2" t="n">
        <f aca="false">IF($I1314="Correct",ROUND(INDEX('Reward Model'!$B$12:$B$14,MATCH($Y1314,'Reward Model'!$A$12:$A$14,0))*Z1314,2),0)</f>
        <v>1.65</v>
      </c>
    </row>
    <row r="1315" customFormat="false" ht="15" hidden="false" customHeight="false" outlineLevel="0" collapsed="false">
      <c r="A1315" s="0" t="s">
        <v>259</v>
      </c>
      <c r="B1315" s="0" t="s">
        <v>260</v>
      </c>
      <c r="C1315" s="0" t="s">
        <v>30</v>
      </c>
      <c r="D1315" s="0" t="s">
        <v>189</v>
      </c>
      <c r="E1315" s="0" t="n">
        <v>14</v>
      </c>
      <c r="F1315" s="0" t="s">
        <v>68</v>
      </c>
      <c r="G1315" s="0" t="s">
        <v>51</v>
      </c>
      <c r="H1315" s="0" t="s">
        <v>51</v>
      </c>
      <c r="I1315" s="0" t="s">
        <v>34</v>
      </c>
      <c r="J1315" s="0" t="n">
        <v>2.27</v>
      </c>
      <c r="K1315" s="0" t="s">
        <v>60</v>
      </c>
      <c r="L1315" s="0" t="n">
        <f aca="false">INDEX(Summary!$F$2:$F$201,MATCH($B1315,Summary!$A$2:$A$201,0))</f>
        <v>20</v>
      </c>
      <c r="M1315" s="0" t="n">
        <f aca="false">INDEX(Summary!$I$2:$I$201,MATCH($B1315,Summary!$A$2:$A$201,0))</f>
        <v>4</v>
      </c>
      <c r="N1315" s="0" t="n">
        <f aca="false">INDEX(Summary!$J$2:$J$201,MATCH($B1315,Summary!$A$2:$A$201,0))</f>
        <v>1</v>
      </c>
      <c r="O1315" s="2" t="n">
        <f aca="false">INDEX(Summary!$K$2:$K$201,MATCH($B1315,Summary!$A$2:$A$201,0))</f>
        <v>9.79</v>
      </c>
      <c r="P1315" s="3" t="n">
        <f aca="false">INDEX(Summary!$L$2:$L$201,MATCH($B1315,Summary!$A$2:$A$201,0))</f>
        <v>5</v>
      </c>
      <c r="Q1315" s="3" t="n">
        <f aca="false">INDEX(Summary!$M$2:$M$201,MATCH($B1315,Summary!$A$2:$A$201,0))</f>
        <v>1</v>
      </c>
      <c r="R1315" s="2" t="n">
        <f aca="false">INDEX(Summary!$N$2:$N$201,MATCH($B1315,Summary!$A$2:$A$201,0))</f>
        <v>11.52</v>
      </c>
      <c r="S1315" s="3" t="n">
        <f aca="false">INDEX(Summary!$O$2:$O$201,MATCH($B1315,Summary!$A$2:$A$201,0))</f>
        <v>8</v>
      </c>
      <c r="T1315" s="3" t="n">
        <f aca="false">INDEX(Summary!$P$2:$P$201,MATCH($B1315,Summary!$A$2:$A$201,0))</f>
        <v>1</v>
      </c>
      <c r="U1315" s="2" t="n">
        <f aca="false">INDEX(Summary!$Q$2:$Q$201,MATCH($B1315,Summary!$A$2:$A$201,0))</f>
        <v>10.96</v>
      </c>
      <c r="V1315" s="2" t="n">
        <f aca="false">INDEX(Summary!$R$2:$R$201,MATCH($B1315,Summary!$A$2:$A$201,0))</f>
        <v>32.87</v>
      </c>
      <c r="W1315" s="0" t="str">
        <f aca="false">INDEX(Summary!$S$2:$S$201,MATCH($B1315,Summary!$A$2:$A$201,0))</f>
        <v>Gold</v>
      </c>
      <c r="X1315" s="2" t="n">
        <f aca="false">INDEX(Summary!$T$2:$T$201,MATCH($B1315,Summary!$A$2:$A$201,0))</f>
        <v>80.17</v>
      </c>
      <c r="Y1315" s="0" t="str">
        <f aca="false">INDEX('Reward Model'!$E$18:$E$37,MATCH($E1315,'Reward Model'!$A$18:$A$37,0))</f>
        <v>Medium</v>
      </c>
      <c r="Z1315" s="4" t="n">
        <f aca="false">ROUND(MIN(1,MAX('Reward Model'!$B$2,INDEX('Reward Model'!$C$12:$C$14,MATCH($K1315,'Reward Model'!$A$12:$A$14,0))/$J1315)),3)</f>
        <v>0.793</v>
      </c>
      <c r="AA1315" s="2" t="n">
        <f aca="false">IF($I1315="Correct",ROUND(INDEX('Reward Model'!$B$12:$B$14,MATCH($K1315,'Reward Model'!$A$12:$A$14,0))*Z1315,2),0)</f>
        <v>1.59</v>
      </c>
      <c r="AB1315" s="2" t="n">
        <f aca="false">IF($I1315="Correct",ROUND(INDEX('Reward Model'!$B$12:$B$14,MATCH($Y1315,'Reward Model'!$A$12:$A$14,0))*Z1315,2),0)</f>
        <v>1.59</v>
      </c>
    </row>
    <row r="1316" customFormat="false" ht="15" hidden="false" customHeight="false" outlineLevel="0" collapsed="false">
      <c r="A1316" s="0" t="s">
        <v>259</v>
      </c>
      <c r="B1316" s="0" t="s">
        <v>260</v>
      </c>
      <c r="C1316" s="0" t="s">
        <v>30</v>
      </c>
      <c r="D1316" s="0" t="s">
        <v>189</v>
      </c>
      <c r="E1316" s="0" t="n">
        <v>15</v>
      </c>
      <c r="F1316" s="0" t="s">
        <v>69</v>
      </c>
      <c r="G1316" s="0" t="s">
        <v>70</v>
      </c>
      <c r="H1316" s="0" t="s">
        <v>70</v>
      </c>
      <c r="I1316" s="0" t="s">
        <v>34</v>
      </c>
      <c r="J1316" s="0" t="n">
        <v>1.56</v>
      </c>
      <c r="K1316" s="0" t="s">
        <v>60</v>
      </c>
      <c r="L1316" s="0" t="n">
        <f aca="false">INDEX(Summary!$F$2:$F$201,MATCH($B1316,Summary!$A$2:$A$201,0))</f>
        <v>20</v>
      </c>
      <c r="M1316" s="0" t="n">
        <f aca="false">INDEX(Summary!$I$2:$I$201,MATCH($B1316,Summary!$A$2:$A$201,0))</f>
        <v>4</v>
      </c>
      <c r="N1316" s="0" t="n">
        <f aca="false">INDEX(Summary!$J$2:$J$201,MATCH($B1316,Summary!$A$2:$A$201,0))</f>
        <v>1</v>
      </c>
      <c r="O1316" s="2" t="n">
        <f aca="false">INDEX(Summary!$K$2:$K$201,MATCH($B1316,Summary!$A$2:$A$201,0))</f>
        <v>9.79</v>
      </c>
      <c r="P1316" s="3" t="n">
        <f aca="false">INDEX(Summary!$L$2:$L$201,MATCH($B1316,Summary!$A$2:$A$201,0))</f>
        <v>5</v>
      </c>
      <c r="Q1316" s="3" t="n">
        <f aca="false">INDEX(Summary!$M$2:$M$201,MATCH($B1316,Summary!$A$2:$A$201,0))</f>
        <v>1</v>
      </c>
      <c r="R1316" s="2" t="n">
        <f aca="false">INDEX(Summary!$N$2:$N$201,MATCH($B1316,Summary!$A$2:$A$201,0))</f>
        <v>11.52</v>
      </c>
      <c r="S1316" s="3" t="n">
        <f aca="false">INDEX(Summary!$O$2:$O$201,MATCH($B1316,Summary!$A$2:$A$201,0))</f>
        <v>8</v>
      </c>
      <c r="T1316" s="3" t="n">
        <f aca="false">INDEX(Summary!$P$2:$P$201,MATCH($B1316,Summary!$A$2:$A$201,0))</f>
        <v>1</v>
      </c>
      <c r="U1316" s="2" t="n">
        <f aca="false">INDEX(Summary!$Q$2:$Q$201,MATCH($B1316,Summary!$A$2:$A$201,0))</f>
        <v>10.96</v>
      </c>
      <c r="V1316" s="2" t="n">
        <f aca="false">INDEX(Summary!$R$2:$R$201,MATCH($B1316,Summary!$A$2:$A$201,0))</f>
        <v>32.87</v>
      </c>
      <c r="W1316" s="0" t="str">
        <f aca="false">INDEX(Summary!$S$2:$S$201,MATCH($B1316,Summary!$A$2:$A$201,0))</f>
        <v>Gold</v>
      </c>
      <c r="X1316" s="2" t="n">
        <f aca="false">INDEX(Summary!$T$2:$T$201,MATCH($B1316,Summary!$A$2:$A$201,0))</f>
        <v>80.17</v>
      </c>
      <c r="Y1316" s="0" t="str">
        <f aca="false">INDEX('Reward Model'!$E$18:$E$37,MATCH($E1316,'Reward Model'!$A$18:$A$37,0))</f>
        <v>Medium</v>
      </c>
      <c r="Z1316" s="4" t="n">
        <f aca="false">ROUND(MIN(1,MAX('Reward Model'!$B$2,INDEX('Reward Model'!$C$12:$C$14,MATCH($K1316,'Reward Model'!$A$12:$A$14,0))/$J1316)),3)</f>
        <v>1</v>
      </c>
      <c r="AA1316" s="2" t="n">
        <f aca="false">IF($I1316="Correct",ROUND(INDEX('Reward Model'!$B$12:$B$14,MATCH($K1316,'Reward Model'!$A$12:$A$14,0))*Z1316,2),0)</f>
        <v>2</v>
      </c>
      <c r="AB1316" s="2" t="n">
        <f aca="false">IF($I1316="Correct",ROUND(INDEX('Reward Model'!$B$12:$B$14,MATCH($Y1316,'Reward Model'!$A$12:$A$14,0))*Z1316,2),0)</f>
        <v>2</v>
      </c>
    </row>
    <row r="1317" customFormat="false" ht="15" hidden="false" customHeight="false" outlineLevel="0" collapsed="false">
      <c r="A1317" s="0" t="s">
        <v>259</v>
      </c>
      <c r="B1317" s="0" t="s">
        <v>260</v>
      </c>
      <c r="C1317" s="0" t="s">
        <v>30</v>
      </c>
      <c r="D1317" s="0" t="s">
        <v>189</v>
      </c>
      <c r="E1317" s="0" t="n">
        <v>16</v>
      </c>
      <c r="F1317" s="0" t="s">
        <v>71</v>
      </c>
      <c r="G1317" s="0" t="s">
        <v>72</v>
      </c>
      <c r="H1317" s="0" t="s">
        <v>72</v>
      </c>
      <c r="I1317" s="0" t="s">
        <v>34</v>
      </c>
      <c r="J1317" s="0" t="n">
        <v>1.76</v>
      </c>
      <c r="K1317" s="0" t="s">
        <v>73</v>
      </c>
      <c r="L1317" s="0" t="n">
        <f aca="false">INDEX(Summary!$F$2:$F$201,MATCH($B1317,Summary!$A$2:$A$201,0))</f>
        <v>20</v>
      </c>
      <c r="M1317" s="0" t="n">
        <f aca="false">INDEX(Summary!$I$2:$I$201,MATCH($B1317,Summary!$A$2:$A$201,0))</f>
        <v>4</v>
      </c>
      <c r="N1317" s="0" t="n">
        <f aca="false">INDEX(Summary!$J$2:$J$201,MATCH($B1317,Summary!$A$2:$A$201,0))</f>
        <v>1</v>
      </c>
      <c r="O1317" s="2" t="n">
        <f aca="false">INDEX(Summary!$K$2:$K$201,MATCH($B1317,Summary!$A$2:$A$201,0))</f>
        <v>9.79</v>
      </c>
      <c r="P1317" s="3" t="n">
        <f aca="false">INDEX(Summary!$L$2:$L$201,MATCH($B1317,Summary!$A$2:$A$201,0))</f>
        <v>5</v>
      </c>
      <c r="Q1317" s="3" t="n">
        <f aca="false">INDEX(Summary!$M$2:$M$201,MATCH($B1317,Summary!$A$2:$A$201,0))</f>
        <v>1</v>
      </c>
      <c r="R1317" s="2" t="n">
        <f aca="false">INDEX(Summary!$N$2:$N$201,MATCH($B1317,Summary!$A$2:$A$201,0))</f>
        <v>11.52</v>
      </c>
      <c r="S1317" s="3" t="n">
        <f aca="false">INDEX(Summary!$O$2:$O$201,MATCH($B1317,Summary!$A$2:$A$201,0))</f>
        <v>8</v>
      </c>
      <c r="T1317" s="3" t="n">
        <f aca="false">INDEX(Summary!$P$2:$P$201,MATCH($B1317,Summary!$A$2:$A$201,0))</f>
        <v>1</v>
      </c>
      <c r="U1317" s="2" t="n">
        <f aca="false">INDEX(Summary!$Q$2:$Q$201,MATCH($B1317,Summary!$A$2:$A$201,0))</f>
        <v>10.96</v>
      </c>
      <c r="V1317" s="2" t="n">
        <f aca="false">INDEX(Summary!$R$2:$R$201,MATCH($B1317,Summary!$A$2:$A$201,0))</f>
        <v>32.87</v>
      </c>
      <c r="W1317" s="0" t="str">
        <f aca="false">INDEX(Summary!$S$2:$S$201,MATCH($B1317,Summary!$A$2:$A$201,0))</f>
        <v>Gold</v>
      </c>
      <c r="X1317" s="2" t="n">
        <f aca="false">INDEX(Summary!$T$2:$T$201,MATCH($B1317,Summary!$A$2:$A$201,0))</f>
        <v>80.17</v>
      </c>
      <c r="Y1317" s="0" t="str">
        <f aca="false">INDEX('Reward Model'!$E$18:$E$37,MATCH($E1317,'Reward Model'!$A$18:$A$37,0))</f>
        <v>High</v>
      </c>
      <c r="Z1317" s="4" t="n">
        <f aca="false">ROUND(MIN(1,MAX('Reward Model'!$B$2,INDEX('Reward Model'!$C$12:$C$14,MATCH($K1317,'Reward Model'!$A$12:$A$14,0))/$J1317)),3)</f>
        <v>1</v>
      </c>
      <c r="AA1317" s="2" t="n">
        <f aca="false">IF($I1317="Correct",ROUND(INDEX('Reward Model'!$B$12:$B$14,MATCH($K1317,'Reward Model'!$A$12:$A$14,0))*Z1317,2),0)</f>
        <v>3</v>
      </c>
      <c r="AB1317" s="2" t="n">
        <f aca="false">IF($I1317="Correct",ROUND(INDEX('Reward Model'!$B$12:$B$14,MATCH($Y1317,'Reward Model'!$A$12:$A$14,0))*Z1317,2),0)</f>
        <v>3</v>
      </c>
    </row>
    <row r="1318" customFormat="false" ht="15" hidden="false" customHeight="false" outlineLevel="0" collapsed="false">
      <c r="A1318" s="0" t="s">
        <v>259</v>
      </c>
      <c r="B1318" s="0" t="s">
        <v>260</v>
      </c>
      <c r="C1318" s="0" t="s">
        <v>30</v>
      </c>
      <c r="D1318" s="0" t="s">
        <v>189</v>
      </c>
      <c r="E1318" s="0" t="n">
        <v>17</v>
      </c>
      <c r="F1318" s="0" t="s">
        <v>74</v>
      </c>
      <c r="G1318" s="0" t="s">
        <v>75</v>
      </c>
      <c r="H1318" s="0" t="s">
        <v>75</v>
      </c>
      <c r="I1318" s="0" t="s">
        <v>34</v>
      </c>
      <c r="J1318" s="0" t="n">
        <v>2.34</v>
      </c>
      <c r="K1318" s="0" t="s">
        <v>73</v>
      </c>
      <c r="L1318" s="0" t="n">
        <f aca="false">INDEX(Summary!$F$2:$F$201,MATCH($B1318,Summary!$A$2:$A$201,0))</f>
        <v>20</v>
      </c>
      <c r="M1318" s="0" t="n">
        <f aca="false">INDEX(Summary!$I$2:$I$201,MATCH($B1318,Summary!$A$2:$A$201,0))</f>
        <v>4</v>
      </c>
      <c r="N1318" s="0" t="n">
        <f aca="false">INDEX(Summary!$J$2:$J$201,MATCH($B1318,Summary!$A$2:$A$201,0))</f>
        <v>1</v>
      </c>
      <c r="O1318" s="2" t="n">
        <f aca="false">INDEX(Summary!$K$2:$K$201,MATCH($B1318,Summary!$A$2:$A$201,0))</f>
        <v>9.79</v>
      </c>
      <c r="P1318" s="3" t="n">
        <f aca="false">INDEX(Summary!$L$2:$L$201,MATCH($B1318,Summary!$A$2:$A$201,0))</f>
        <v>5</v>
      </c>
      <c r="Q1318" s="3" t="n">
        <f aca="false">INDEX(Summary!$M$2:$M$201,MATCH($B1318,Summary!$A$2:$A$201,0))</f>
        <v>1</v>
      </c>
      <c r="R1318" s="2" t="n">
        <f aca="false">INDEX(Summary!$N$2:$N$201,MATCH($B1318,Summary!$A$2:$A$201,0))</f>
        <v>11.52</v>
      </c>
      <c r="S1318" s="3" t="n">
        <f aca="false">INDEX(Summary!$O$2:$O$201,MATCH($B1318,Summary!$A$2:$A$201,0))</f>
        <v>8</v>
      </c>
      <c r="T1318" s="3" t="n">
        <f aca="false">INDEX(Summary!$P$2:$P$201,MATCH($B1318,Summary!$A$2:$A$201,0))</f>
        <v>1</v>
      </c>
      <c r="U1318" s="2" t="n">
        <f aca="false">INDEX(Summary!$Q$2:$Q$201,MATCH($B1318,Summary!$A$2:$A$201,0))</f>
        <v>10.96</v>
      </c>
      <c r="V1318" s="2" t="n">
        <f aca="false">INDEX(Summary!$R$2:$R$201,MATCH($B1318,Summary!$A$2:$A$201,0))</f>
        <v>32.87</v>
      </c>
      <c r="W1318" s="0" t="str">
        <f aca="false">INDEX(Summary!$S$2:$S$201,MATCH($B1318,Summary!$A$2:$A$201,0))</f>
        <v>Gold</v>
      </c>
      <c r="X1318" s="2" t="n">
        <f aca="false">INDEX(Summary!$T$2:$T$201,MATCH($B1318,Summary!$A$2:$A$201,0))</f>
        <v>80.17</v>
      </c>
      <c r="Y1318" s="0" t="str">
        <f aca="false">INDEX('Reward Model'!$E$18:$E$37,MATCH($E1318,'Reward Model'!$A$18:$A$37,0))</f>
        <v>High</v>
      </c>
      <c r="Z1318" s="4" t="n">
        <f aca="false">ROUND(MIN(1,MAX('Reward Model'!$B$2,INDEX('Reward Model'!$C$12:$C$14,MATCH($K1318,'Reward Model'!$A$12:$A$14,0))/$J1318)),3)</f>
        <v>0.855</v>
      </c>
      <c r="AA1318" s="2" t="n">
        <f aca="false">IF($I1318="Correct",ROUND(INDEX('Reward Model'!$B$12:$B$14,MATCH($K1318,'Reward Model'!$A$12:$A$14,0))*Z1318,2),0)</f>
        <v>2.57</v>
      </c>
      <c r="AB1318" s="2" t="n">
        <f aca="false">IF($I1318="Correct",ROUND(INDEX('Reward Model'!$B$12:$B$14,MATCH($Y1318,'Reward Model'!$A$12:$A$14,0))*Z1318,2),0)</f>
        <v>2.57</v>
      </c>
    </row>
    <row r="1319" customFormat="false" ht="15" hidden="false" customHeight="false" outlineLevel="0" collapsed="false">
      <c r="A1319" s="0" t="s">
        <v>259</v>
      </c>
      <c r="B1319" s="0" t="s">
        <v>260</v>
      </c>
      <c r="C1319" s="0" t="s">
        <v>30</v>
      </c>
      <c r="D1319" s="0" t="s">
        <v>189</v>
      </c>
      <c r="E1319" s="0" t="n">
        <v>18</v>
      </c>
      <c r="F1319" s="0" t="s">
        <v>76</v>
      </c>
      <c r="G1319" s="0" t="s">
        <v>77</v>
      </c>
      <c r="H1319" s="0" t="s">
        <v>77</v>
      </c>
      <c r="I1319" s="0" t="s">
        <v>34</v>
      </c>
      <c r="J1319" s="0" t="n">
        <v>1.91</v>
      </c>
      <c r="K1319" s="0" t="s">
        <v>73</v>
      </c>
      <c r="L1319" s="0" t="n">
        <f aca="false">INDEX(Summary!$F$2:$F$201,MATCH($B1319,Summary!$A$2:$A$201,0))</f>
        <v>20</v>
      </c>
      <c r="M1319" s="0" t="n">
        <f aca="false">INDEX(Summary!$I$2:$I$201,MATCH($B1319,Summary!$A$2:$A$201,0))</f>
        <v>4</v>
      </c>
      <c r="N1319" s="0" t="n">
        <f aca="false">INDEX(Summary!$J$2:$J$201,MATCH($B1319,Summary!$A$2:$A$201,0))</f>
        <v>1</v>
      </c>
      <c r="O1319" s="2" t="n">
        <f aca="false">INDEX(Summary!$K$2:$K$201,MATCH($B1319,Summary!$A$2:$A$201,0))</f>
        <v>9.79</v>
      </c>
      <c r="P1319" s="3" t="n">
        <f aca="false">INDEX(Summary!$L$2:$L$201,MATCH($B1319,Summary!$A$2:$A$201,0))</f>
        <v>5</v>
      </c>
      <c r="Q1319" s="3" t="n">
        <f aca="false">INDEX(Summary!$M$2:$M$201,MATCH($B1319,Summary!$A$2:$A$201,0))</f>
        <v>1</v>
      </c>
      <c r="R1319" s="2" t="n">
        <f aca="false">INDEX(Summary!$N$2:$N$201,MATCH($B1319,Summary!$A$2:$A$201,0))</f>
        <v>11.52</v>
      </c>
      <c r="S1319" s="3" t="n">
        <f aca="false">INDEX(Summary!$O$2:$O$201,MATCH($B1319,Summary!$A$2:$A$201,0))</f>
        <v>8</v>
      </c>
      <c r="T1319" s="3" t="n">
        <f aca="false">INDEX(Summary!$P$2:$P$201,MATCH($B1319,Summary!$A$2:$A$201,0))</f>
        <v>1</v>
      </c>
      <c r="U1319" s="2" t="n">
        <f aca="false">INDEX(Summary!$Q$2:$Q$201,MATCH($B1319,Summary!$A$2:$A$201,0))</f>
        <v>10.96</v>
      </c>
      <c r="V1319" s="2" t="n">
        <f aca="false">INDEX(Summary!$R$2:$R$201,MATCH($B1319,Summary!$A$2:$A$201,0))</f>
        <v>32.87</v>
      </c>
      <c r="W1319" s="0" t="str">
        <f aca="false">INDEX(Summary!$S$2:$S$201,MATCH($B1319,Summary!$A$2:$A$201,0))</f>
        <v>Gold</v>
      </c>
      <c r="X1319" s="2" t="n">
        <f aca="false">INDEX(Summary!$T$2:$T$201,MATCH($B1319,Summary!$A$2:$A$201,0))</f>
        <v>80.17</v>
      </c>
      <c r="Y1319" s="0" t="str">
        <f aca="false">INDEX('Reward Model'!$E$18:$E$37,MATCH($E1319,'Reward Model'!$A$18:$A$37,0))</f>
        <v>High</v>
      </c>
      <c r="Z1319" s="4" t="n">
        <f aca="false">ROUND(MIN(1,MAX('Reward Model'!$B$2,INDEX('Reward Model'!$C$12:$C$14,MATCH($K1319,'Reward Model'!$A$12:$A$14,0))/$J1319)),3)</f>
        <v>1</v>
      </c>
      <c r="AA1319" s="2" t="n">
        <f aca="false">IF($I1319="Correct",ROUND(INDEX('Reward Model'!$B$12:$B$14,MATCH($K1319,'Reward Model'!$A$12:$A$14,0))*Z1319,2),0)</f>
        <v>3</v>
      </c>
      <c r="AB1319" s="2" t="n">
        <f aca="false">IF($I1319="Correct",ROUND(INDEX('Reward Model'!$B$12:$B$14,MATCH($Y1319,'Reward Model'!$A$12:$A$14,0))*Z1319,2),0)</f>
        <v>3</v>
      </c>
    </row>
    <row r="1320" customFormat="false" ht="15" hidden="false" customHeight="false" outlineLevel="0" collapsed="false">
      <c r="A1320" s="0" t="s">
        <v>259</v>
      </c>
      <c r="B1320" s="0" t="s">
        <v>260</v>
      </c>
      <c r="C1320" s="0" t="s">
        <v>30</v>
      </c>
      <c r="D1320" s="0" t="s">
        <v>189</v>
      </c>
      <c r="E1320" s="0" t="n">
        <v>19</v>
      </c>
      <c r="F1320" s="0" t="s">
        <v>78</v>
      </c>
      <c r="G1320" s="0" t="s">
        <v>132</v>
      </c>
      <c r="H1320" s="0" t="s">
        <v>80</v>
      </c>
      <c r="I1320" s="0" t="s">
        <v>39</v>
      </c>
      <c r="J1320" s="0" t="n">
        <v>1.35</v>
      </c>
      <c r="K1320" s="0" t="s">
        <v>73</v>
      </c>
      <c r="L1320" s="0" t="n">
        <f aca="false">INDEX(Summary!$F$2:$F$201,MATCH($B1320,Summary!$A$2:$A$201,0))</f>
        <v>20</v>
      </c>
      <c r="M1320" s="0" t="n">
        <f aca="false">INDEX(Summary!$I$2:$I$201,MATCH($B1320,Summary!$A$2:$A$201,0))</f>
        <v>4</v>
      </c>
      <c r="N1320" s="0" t="n">
        <f aca="false">INDEX(Summary!$J$2:$J$201,MATCH($B1320,Summary!$A$2:$A$201,0))</f>
        <v>1</v>
      </c>
      <c r="O1320" s="2" t="n">
        <f aca="false">INDEX(Summary!$K$2:$K$201,MATCH($B1320,Summary!$A$2:$A$201,0))</f>
        <v>9.79</v>
      </c>
      <c r="P1320" s="3" t="n">
        <f aca="false">INDEX(Summary!$L$2:$L$201,MATCH($B1320,Summary!$A$2:$A$201,0))</f>
        <v>5</v>
      </c>
      <c r="Q1320" s="3" t="n">
        <f aca="false">INDEX(Summary!$M$2:$M$201,MATCH($B1320,Summary!$A$2:$A$201,0))</f>
        <v>1</v>
      </c>
      <c r="R1320" s="2" t="n">
        <f aca="false">INDEX(Summary!$N$2:$N$201,MATCH($B1320,Summary!$A$2:$A$201,0))</f>
        <v>11.52</v>
      </c>
      <c r="S1320" s="3" t="n">
        <f aca="false">INDEX(Summary!$O$2:$O$201,MATCH($B1320,Summary!$A$2:$A$201,0))</f>
        <v>8</v>
      </c>
      <c r="T1320" s="3" t="n">
        <f aca="false">INDEX(Summary!$P$2:$P$201,MATCH($B1320,Summary!$A$2:$A$201,0))</f>
        <v>1</v>
      </c>
      <c r="U1320" s="2" t="n">
        <f aca="false">INDEX(Summary!$Q$2:$Q$201,MATCH($B1320,Summary!$A$2:$A$201,0))</f>
        <v>10.96</v>
      </c>
      <c r="V1320" s="2" t="n">
        <f aca="false">INDEX(Summary!$R$2:$R$201,MATCH($B1320,Summary!$A$2:$A$201,0))</f>
        <v>32.87</v>
      </c>
      <c r="W1320" s="0" t="str">
        <f aca="false">INDEX(Summary!$S$2:$S$201,MATCH($B1320,Summary!$A$2:$A$201,0))</f>
        <v>Gold</v>
      </c>
      <c r="X1320" s="2" t="n">
        <f aca="false">INDEX(Summary!$T$2:$T$201,MATCH($B1320,Summary!$A$2:$A$201,0))</f>
        <v>80.17</v>
      </c>
      <c r="Y1320" s="0" t="str">
        <f aca="false">INDEX('Reward Model'!$E$18:$E$37,MATCH($E1320,'Reward Model'!$A$18:$A$37,0))</f>
        <v>High</v>
      </c>
      <c r="Z1320" s="4" t="n">
        <f aca="false">ROUND(MIN(1,MAX('Reward Model'!$B$2,INDEX('Reward Model'!$C$12:$C$14,MATCH($K1320,'Reward Model'!$A$12:$A$14,0))/$J1320)),3)</f>
        <v>1</v>
      </c>
      <c r="AA1320" s="2" t="n">
        <f aca="false">IF($I1320="Correct",ROUND(INDEX('Reward Model'!$B$12:$B$14,MATCH($K1320,'Reward Model'!$A$12:$A$14,0))*Z1320,2),0)</f>
        <v>0</v>
      </c>
      <c r="AB1320" s="2" t="n">
        <f aca="false">IF($I1320="Correct",ROUND(INDEX('Reward Model'!$B$12:$B$14,MATCH($Y1320,'Reward Model'!$A$12:$A$14,0))*Z1320,2),0)</f>
        <v>0</v>
      </c>
    </row>
    <row r="1321" customFormat="false" ht="15" hidden="false" customHeight="false" outlineLevel="0" collapsed="false">
      <c r="A1321" s="0" t="s">
        <v>259</v>
      </c>
      <c r="B1321" s="0" t="s">
        <v>260</v>
      </c>
      <c r="C1321" s="0" t="s">
        <v>30</v>
      </c>
      <c r="D1321" s="0" t="s">
        <v>189</v>
      </c>
      <c r="E1321" s="0" t="n">
        <v>20</v>
      </c>
      <c r="F1321" s="0" t="s">
        <v>81</v>
      </c>
      <c r="G1321" s="0" t="s">
        <v>83</v>
      </c>
      <c r="H1321" s="0" t="s">
        <v>83</v>
      </c>
      <c r="I1321" s="0" t="s">
        <v>34</v>
      </c>
      <c r="J1321" s="0" t="n">
        <v>2.43</v>
      </c>
      <c r="K1321" s="0" t="s">
        <v>73</v>
      </c>
      <c r="L1321" s="0" t="n">
        <f aca="false">INDEX(Summary!$F$2:$F$201,MATCH($B1321,Summary!$A$2:$A$201,0))</f>
        <v>20</v>
      </c>
      <c r="M1321" s="0" t="n">
        <f aca="false">INDEX(Summary!$I$2:$I$201,MATCH($B1321,Summary!$A$2:$A$201,0))</f>
        <v>4</v>
      </c>
      <c r="N1321" s="0" t="n">
        <f aca="false">INDEX(Summary!$J$2:$J$201,MATCH($B1321,Summary!$A$2:$A$201,0))</f>
        <v>1</v>
      </c>
      <c r="O1321" s="2" t="n">
        <f aca="false">INDEX(Summary!$K$2:$K$201,MATCH($B1321,Summary!$A$2:$A$201,0))</f>
        <v>9.79</v>
      </c>
      <c r="P1321" s="3" t="n">
        <f aca="false">INDEX(Summary!$L$2:$L$201,MATCH($B1321,Summary!$A$2:$A$201,0))</f>
        <v>5</v>
      </c>
      <c r="Q1321" s="3" t="n">
        <f aca="false">INDEX(Summary!$M$2:$M$201,MATCH($B1321,Summary!$A$2:$A$201,0))</f>
        <v>1</v>
      </c>
      <c r="R1321" s="2" t="n">
        <f aca="false">INDEX(Summary!$N$2:$N$201,MATCH($B1321,Summary!$A$2:$A$201,0))</f>
        <v>11.52</v>
      </c>
      <c r="S1321" s="3" t="n">
        <f aca="false">INDEX(Summary!$O$2:$O$201,MATCH($B1321,Summary!$A$2:$A$201,0))</f>
        <v>8</v>
      </c>
      <c r="T1321" s="3" t="n">
        <f aca="false">INDEX(Summary!$P$2:$P$201,MATCH($B1321,Summary!$A$2:$A$201,0))</f>
        <v>1</v>
      </c>
      <c r="U1321" s="2" t="n">
        <f aca="false">INDEX(Summary!$Q$2:$Q$201,MATCH($B1321,Summary!$A$2:$A$201,0))</f>
        <v>10.96</v>
      </c>
      <c r="V1321" s="2" t="n">
        <f aca="false">INDEX(Summary!$R$2:$R$201,MATCH($B1321,Summary!$A$2:$A$201,0))</f>
        <v>32.87</v>
      </c>
      <c r="W1321" s="0" t="str">
        <f aca="false">INDEX(Summary!$S$2:$S$201,MATCH($B1321,Summary!$A$2:$A$201,0))</f>
        <v>Gold</v>
      </c>
      <c r="X1321" s="2" t="n">
        <f aca="false">INDEX(Summary!$T$2:$T$201,MATCH($B1321,Summary!$A$2:$A$201,0))</f>
        <v>80.17</v>
      </c>
      <c r="Y1321" s="0" t="str">
        <f aca="false">INDEX('Reward Model'!$E$18:$E$37,MATCH($E1321,'Reward Model'!$A$18:$A$37,0))</f>
        <v>High</v>
      </c>
      <c r="Z1321" s="4" t="n">
        <f aca="false">ROUND(MIN(1,MAX('Reward Model'!$B$2,INDEX('Reward Model'!$C$12:$C$14,MATCH($K1321,'Reward Model'!$A$12:$A$14,0))/$J1321)),3)</f>
        <v>0.823</v>
      </c>
      <c r="AA1321" s="2" t="n">
        <f aca="false">IF($I1321="Correct",ROUND(INDEX('Reward Model'!$B$12:$B$14,MATCH($K1321,'Reward Model'!$A$12:$A$14,0))*Z1321,2),0)</f>
        <v>2.47</v>
      </c>
      <c r="AB1321" s="2" t="n">
        <f aca="false">IF($I1321="Correct",ROUND(INDEX('Reward Model'!$B$12:$B$14,MATCH($Y1321,'Reward Model'!$A$12:$A$14,0))*Z1321,2),0)</f>
        <v>2.47</v>
      </c>
    </row>
    <row r="1322" customFormat="false" ht="15" hidden="false" customHeight="false" outlineLevel="0" collapsed="false">
      <c r="A1322" s="0" t="s">
        <v>261</v>
      </c>
      <c r="B1322" s="0" t="s">
        <v>262</v>
      </c>
      <c r="C1322" s="0" t="s">
        <v>30</v>
      </c>
      <c r="D1322" s="0" t="s">
        <v>189</v>
      </c>
      <c r="E1322" s="0" t="n">
        <v>1</v>
      </c>
      <c r="F1322" s="0" t="s">
        <v>32</v>
      </c>
      <c r="G1322" s="0" t="s">
        <v>91</v>
      </c>
      <c r="H1322" s="0" t="s">
        <v>33</v>
      </c>
      <c r="I1322" s="0" t="s">
        <v>39</v>
      </c>
      <c r="J1322" s="0" t="n">
        <v>1.72</v>
      </c>
      <c r="K1322" s="0" t="s">
        <v>35</v>
      </c>
      <c r="L1322" s="0" t="n">
        <f aca="false">INDEX(Summary!$F$2:$F$201,MATCH($B1322,Summary!$A$2:$A$201,0))</f>
        <v>20</v>
      </c>
      <c r="M1322" s="0" t="n">
        <f aca="false">INDEX(Summary!$I$2:$I$201,MATCH($B1322,Summary!$A$2:$A$201,0))</f>
        <v>4</v>
      </c>
      <c r="N1322" s="0" t="n">
        <f aca="false">INDEX(Summary!$J$2:$J$201,MATCH($B1322,Summary!$A$2:$A$201,0))</f>
        <v>1</v>
      </c>
      <c r="O1322" s="2" t="n">
        <f aca="false">INDEX(Summary!$K$2:$K$201,MATCH($B1322,Summary!$A$2:$A$201,0))</f>
        <v>10.33</v>
      </c>
      <c r="P1322" s="3" t="n">
        <f aca="false">INDEX(Summary!$L$2:$L$201,MATCH($B1322,Summary!$A$2:$A$201,0))</f>
        <v>5</v>
      </c>
      <c r="Q1322" s="3" t="n">
        <f aca="false">INDEX(Summary!$M$2:$M$201,MATCH($B1322,Summary!$A$2:$A$201,0))</f>
        <v>1</v>
      </c>
      <c r="R1322" s="2" t="n">
        <f aca="false">INDEX(Summary!$N$2:$N$201,MATCH($B1322,Summary!$A$2:$A$201,0))</f>
        <v>10.21</v>
      </c>
      <c r="S1322" s="3" t="n">
        <f aca="false">INDEX(Summary!$O$2:$O$201,MATCH($B1322,Summary!$A$2:$A$201,0))</f>
        <v>8</v>
      </c>
      <c r="T1322" s="3" t="n">
        <f aca="false">INDEX(Summary!$P$2:$P$201,MATCH($B1322,Summary!$A$2:$A$201,0))</f>
        <v>1</v>
      </c>
      <c r="U1322" s="2" t="n">
        <f aca="false">INDEX(Summary!$Q$2:$Q$201,MATCH($B1322,Summary!$A$2:$A$201,0))</f>
        <v>13.91</v>
      </c>
      <c r="V1322" s="2" t="n">
        <f aca="false">INDEX(Summary!$R$2:$R$201,MATCH($B1322,Summary!$A$2:$A$201,0))</f>
        <v>31.64</v>
      </c>
      <c r="W1322" s="0" t="str">
        <f aca="false">INDEX(Summary!$S$2:$S$201,MATCH($B1322,Summary!$A$2:$A$201,0))</f>
        <v>Gold</v>
      </c>
      <c r="X1322" s="2" t="n">
        <f aca="false">INDEX(Summary!$T$2:$T$201,MATCH($B1322,Summary!$A$2:$A$201,0))</f>
        <v>77.17</v>
      </c>
      <c r="Y1322" s="0" t="str">
        <f aca="false">INDEX('Reward Model'!$E$18:$E$37,MATCH($E1322,'Reward Model'!$A$18:$A$37,0))</f>
        <v>Medium</v>
      </c>
      <c r="Z1322" s="4" t="n">
        <f aca="false">ROUND(MIN(1,MAX('Reward Model'!$B$2,INDEX('Reward Model'!$C$12:$C$14,MATCH($K1322,'Reward Model'!$A$12:$A$14,0))/$J1322)),3)</f>
        <v>0.872</v>
      </c>
      <c r="AA1322" s="2" t="n">
        <f aca="false">IF($I1322="Correct",ROUND(INDEX('Reward Model'!$B$12:$B$14,MATCH($K1322,'Reward Model'!$A$12:$A$14,0))*Z1322,2),0)</f>
        <v>0</v>
      </c>
      <c r="AB1322" s="2" t="n">
        <f aca="false">IF($I1322="Correct",ROUND(INDEX('Reward Model'!$B$12:$B$14,MATCH($Y1322,'Reward Model'!$A$12:$A$14,0))*Z1322,2),0)</f>
        <v>0</v>
      </c>
    </row>
    <row r="1323" customFormat="false" ht="15" hidden="false" customHeight="false" outlineLevel="0" collapsed="false">
      <c r="A1323" s="0" t="s">
        <v>261</v>
      </c>
      <c r="B1323" s="0" t="s">
        <v>262</v>
      </c>
      <c r="C1323" s="0" t="s">
        <v>30</v>
      </c>
      <c r="D1323" s="0" t="s">
        <v>189</v>
      </c>
      <c r="E1323" s="0" t="n">
        <v>2</v>
      </c>
      <c r="F1323" s="0" t="s">
        <v>36</v>
      </c>
      <c r="G1323" s="0" t="s">
        <v>38</v>
      </c>
      <c r="H1323" s="0" t="s">
        <v>38</v>
      </c>
      <c r="I1323" s="0" t="s">
        <v>34</v>
      </c>
      <c r="J1323" s="0" t="n">
        <v>1.05</v>
      </c>
      <c r="K1323" s="0" t="s">
        <v>35</v>
      </c>
      <c r="L1323" s="0" t="n">
        <f aca="false">INDEX(Summary!$F$2:$F$201,MATCH($B1323,Summary!$A$2:$A$201,0))</f>
        <v>20</v>
      </c>
      <c r="M1323" s="0" t="n">
        <f aca="false">INDEX(Summary!$I$2:$I$201,MATCH($B1323,Summary!$A$2:$A$201,0))</f>
        <v>4</v>
      </c>
      <c r="N1323" s="0" t="n">
        <f aca="false">INDEX(Summary!$J$2:$J$201,MATCH($B1323,Summary!$A$2:$A$201,0))</f>
        <v>1</v>
      </c>
      <c r="O1323" s="2" t="n">
        <f aca="false">INDEX(Summary!$K$2:$K$201,MATCH($B1323,Summary!$A$2:$A$201,0))</f>
        <v>10.33</v>
      </c>
      <c r="P1323" s="3" t="n">
        <f aca="false">INDEX(Summary!$L$2:$L$201,MATCH($B1323,Summary!$A$2:$A$201,0))</f>
        <v>5</v>
      </c>
      <c r="Q1323" s="3" t="n">
        <f aca="false">INDEX(Summary!$M$2:$M$201,MATCH($B1323,Summary!$A$2:$A$201,0))</f>
        <v>1</v>
      </c>
      <c r="R1323" s="2" t="n">
        <f aca="false">INDEX(Summary!$N$2:$N$201,MATCH($B1323,Summary!$A$2:$A$201,0))</f>
        <v>10.21</v>
      </c>
      <c r="S1323" s="3" t="n">
        <f aca="false">INDEX(Summary!$O$2:$O$201,MATCH($B1323,Summary!$A$2:$A$201,0))</f>
        <v>8</v>
      </c>
      <c r="T1323" s="3" t="n">
        <f aca="false">INDEX(Summary!$P$2:$P$201,MATCH($B1323,Summary!$A$2:$A$201,0))</f>
        <v>1</v>
      </c>
      <c r="U1323" s="2" t="n">
        <f aca="false">INDEX(Summary!$Q$2:$Q$201,MATCH($B1323,Summary!$A$2:$A$201,0))</f>
        <v>13.91</v>
      </c>
      <c r="V1323" s="2" t="n">
        <f aca="false">INDEX(Summary!$R$2:$R$201,MATCH($B1323,Summary!$A$2:$A$201,0))</f>
        <v>31.64</v>
      </c>
      <c r="W1323" s="0" t="str">
        <f aca="false">INDEX(Summary!$S$2:$S$201,MATCH($B1323,Summary!$A$2:$A$201,0))</f>
        <v>Gold</v>
      </c>
      <c r="X1323" s="2" t="n">
        <f aca="false">INDEX(Summary!$T$2:$T$201,MATCH($B1323,Summary!$A$2:$A$201,0))</f>
        <v>77.17</v>
      </c>
      <c r="Y1323" s="0" t="str">
        <f aca="false">INDEX('Reward Model'!$E$18:$E$37,MATCH($E1323,'Reward Model'!$A$18:$A$37,0))</f>
        <v>Low</v>
      </c>
      <c r="Z1323" s="4" t="n">
        <f aca="false">ROUND(MIN(1,MAX('Reward Model'!$B$2,INDEX('Reward Model'!$C$12:$C$14,MATCH($K1323,'Reward Model'!$A$12:$A$14,0))/$J1323)),3)</f>
        <v>1</v>
      </c>
      <c r="AA1323" s="2" t="n">
        <f aca="false">IF($I1323="Correct",ROUND(INDEX('Reward Model'!$B$12:$B$14,MATCH($K1323,'Reward Model'!$A$12:$A$14,0))*Z1323,2),0)</f>
        <v>1</v>
      </c>
      <c r="AB1323" s="2" t="n">
        <f aca="false">IF($I1323="Correct",ROUND(INDEX('Reward Model'!$B$12:$B$14,MATCH($Y1323,'Reward Model'!$A$12:$A$14,0))*Z1323,2),0)</f>
        <v>1</v>
      </c>
    </row>
    <row r="1324" customFormat="false" ht="15" hidden="false" customHeight="false" outlineLevel="0" collapsed="false">
      <c r="A1324" s="0" t="s">
        <v>261</v>
      </c>
      <c r="B1324" s="0" t="s">
        <v>262</v>
      </c>
      <c r="C1324" s="0" t="s">
        <v>30</v>
      </c>
      <c r="D1324" s="0" t="s">
        <v>189</v>
      </c>
      <c r="E1324" s="0" t="n">
        <v>3</v>
      </c>
      <c r="F1324" s="0" t="s">
        <v>40</v>
      </c>
      <c r="G1324" s="0" t="s">
        <v>42</v>
      </c>
      <c r="H1324" s="0" t="s">
        <v>42</v>
      </c>
      <c r="I1324" s="0" t="s">
        <v>34</v>
      </c>
      <c r="J1324" s="0" t="n">
        <v>1.02</v>
      </c>
      <c r="K1324" s="0" t="s">
        <v>35</v>
      </c>
      <c r="L1324" s="0" t="n">
        <f aca="false">INDEX(Summary!$F$2:$F$201,MATCH($B1324,Summary!$A$2:$A$201,0))</f>
        <v>20</v>
      </c>
      <c r="M1324" s="0" t="n">
        <f aca="false">INDEX(Summary!$I$2:$I$201,MATCH($B1324,Summary!$A$2:$A$201,0))</f>
        <v>4</v>
      </c>
      <c r="N1324" s="0" t="n">
        <f aca="false">INDEX(Summary!$J$2:$J$201,MATCH($B1324,Summary!$A$2:$A$201,0))</f>
        <v>1</v>
      </c>
      <c r="O1324" s="2" t="n">
        <f aca="false">INDEX(Summary!$K$2:$K$201,MATCH($B1324,Summary!$A$2:$A$201,0))</f>
        <v>10.33</v>
      </c>
      <c r="P1324" s="3" t="n">
        <f aca="false">INDEX(Summary!$L$2:$L$201,MATCH($B1324,Summary!$A$2:$A$201,0))</f>
        <v>5</v>
      </c>
      <c r="Q1324" s="3" t="n">
        <f aca="false">INDEX(Summary!$M$2:$M$201,MATCH($B1324,Summary!$A$2:$A$201,0))</f>
        <v>1</v>
      </c>
      <c r="R1324" s="2" t="n">
        <f aca="false">INDEX(Summary!$N$2:$N$201,MATCH($B1324,Summary!$A$2:$A$201,0))</f>
        <v>10.21</v>
      </c>
      <c r="S1324" s="3" t="n">
        <f aca="false">INDEX(Summary!$O$2:$O$201,MATCH($B1324,Summary!$A$2:$A$201,0))</f>
        <v>8</v>
      </c>
      <c r="T1324" s="3" t="n">
        <f aca="false">INDEX(Summary!$P$2:$P$201,MATCH($B1324,Summary!$A$2:$A$201,0))</f>
        <v>1</v>
      </c>
      <c r="U1324" s="2" t="n">
        <f aca="false">INDEX(Summary!$Q$2:$Q$201,MATCH($B1324,Summary!$A$2:$A$201,0))</f>
        <v>13.91</v>
      </c>
      <c r="V1324" s="2" t="n">
        <f aca="false">INDEX(Summary!$R$2:$R$201,MATCH($B1324,Summary!$A$2:$A$201,0))</f>
        <v>31.64</v>
      </c>
      <c r="W1324" s="0" t="str">
        <f aca="false">INDEX(Summary!$S$2:$S$201,MATCH($B1324,Summary!$A$2:$A$201,0))</f>
        <v>Gold</v>
      </c>
      <c r="X1324" s="2" t="n">
        <f aca="false">INDEX(Summary!$T$2:$T$201,MATCH($B1324,Summary!$A$2:$A$201,0))</f>
        <v>77.17</v>
      </c>
      <c r="Y1324" s="0" t="str">
        <f aca="false">INDEX('Reward Model'!$E$18:$E$37,MATCH($E1324,'Reward Model'!$A$18:$A$37,0))</f>
        <v>Medium</v>
      </c>
      <c r="Z1324" s="4" t="n">
        <f aca="false">ROUND(MIN(1,MAX('Reward Model'!$B$2,INDEX('Reward Model'!$C$12:$C$14,MATCH($K1324,'Reward Model'!$A$12:$A$14,0))/$J1324)),3)</f>
        <v>1</v>
      </c>
      <c r="AA1324" s="2" t="n">
        <f aca="false">IF($I1324="Correct",ROUND(INDEX('Reward Model'!$B$12:$B$14,MATCH($K1324,'Reward Model'!$A$12:$A$14,0))*Z1324,2),0)</f>
        <v>1</v>
      </c>
      <c r="AB1324" s="2" t="n">
        <f aca="false">IF($I1324="Correct",ROUND(INDEX('Reward Model'!$B$12:$B$14,MATCH($Y1324,'Reward Model'!$A$12:$A$14,0))*Z1324,2),0)</f>
        <v>2</v>
      </c>
    </row>
    <row r="1325" customFormat="false" ht="15" hidden="false" customHeight="false" outlineLevel="0" collapsed="false">
      <c r="A1325" s="0" t="s">
        <v>261</v>
      </c>
      <c r="B1325" s="0" t="s">
        <v>262</v>
      </c>
      <c r="C1325" s="0" t="s">
        <v>30</v>
      </c>
      <c r="D1325" s="0" t="s">
        <v>189</v>
      </c>
      <c r="E1325" s="0" t="n">
        <v>4</v>
      </c>
      <c r="F1325" s="0" t="s">
        <v>43</v>
      </c>
      <c r="G1325" s="0" t="s">
        <v>45</v>
      </c>
      <c r="H1325" s="0" t="s">
        <v>45</v>
      </c>
      <c r="I1325" s="0" t="s">
        <v>34</v>
      </c>
      <c r="J1325" s="0" t="n">
        <v>1.82</v>
      </c>
      <c r="K1325" s="0" t="s">
        <v>35</v>
      </c>
      <c r="L1325" s="0" t="n">
        <f aca="false">INDEX(Summary!$F$2:$F$201,MATCH($B1325,Summary!$A$2:$A$201,0))</f>
        <v>20</v>
      </c>
      <c r="M1325" s="0" t="n">
        <f aca="false">INDEX(Summary!$I$2:$I$201,MATCH($B1325,Summary!$A$2:$A$201,0))</f>
        <v>4</v>
      </c>
      <c r="N1325" s="0" t="n">
        <f aca="false">INDEX(Summary!$J$2:$J$201,MATCH($B1325,Summary!$A$2:$A$201,0))</f>
        <v>1</v>
      </c>
      <c r="O1325" s="2" t="n">
        <f aca="false">INDEX(Summary!$K$2:$K$201,MATCH($B1325,Summary!$A$2:$A$201,0))</f>
        <v>10.33</v>
      </c>
      <c r="P1325" s="3" t="n">
        <f aca="false">INDEX(Summary!$L$2:$L$201,MATCH($B1325,Summary!$A$2:$A$201,0))</f>
        <v>5</v>
      </c>
      <c r="Q1325" s="3" t="n">
        <f aca="false">INDEX(Summary!$M$2:$M$201,MATCH($B1325,Summary!$A$2:$A$201,0))</f>
        <v>1</v>
      </c>
      <c r="R1325" s="2" t="n">
        <f aca="false">INDEX(Summary!$N$2:$N$201,MATCH($B1325,Summary!$A$2:$A$201,0))</f>
        <v>10.21</v>
      </c>
      <c r="S1325" s="3" t="n">
        <f aca="false">INDEX(Summary!$O$2:$O$201,MATCH($B1325,Summary!$A$2:$A$201,0))</f>
        <v>8</v>
      </c>
      <c r="T1325" s="3" t="n">
        <f aca="false">INDEX(Summary!$P$2:$P$201,MATCH($B1325,Summary!$A$2:$A$201,0))</f>
        <v>1</v>
      </c>
      <c r="U1325" s="2" t="n">
        <f aca="false">INDEX(Summary!$Q$2:$Q$201,MATCH($B1325,Summary!$A$2:$A$201,0))</f>
        <v>13.91</v>
      </c>
      <c r="V1325" s="2" t="n">
        <f aca="false">INDEX(Summary!$R$2:$R$201,MATCH($B1325,Summary!$A$2:$A$201,0))</f>
        <v>31.64</v>
      </c>
      <c r="W1325" s="0" t="str">
        <f aca="false">INDEX(Summary!$S$2:$S$201,MATCH($B1325,Summary!$A$2:$A$201,0))</f>
        <v>Gold</v>
      </c>
      <c r="X1325" s="2" t="n">
        <f aca="false">INDEX(Summary!$T$2:$T$201,MATCH($B1325,Summary!$A$2:$A$201,0))</f>
        <v>77.17</v>
      </c>
      <c r="Y1325" s="0" t="str">
        <f aca="false">INDEX('Reward Model'!$E$18:$E$37,MATCH($E1325,'Reward Model'!$A$18:$A$37,0))</f>
        <v>Low</v>
      </c>
      <c r="Z1325" s="4" t="n">
        <f aca="false">ROUND(MIN(1,MAX('Reward Model'!$B$2,INDEX('Reward Model'!$C$12:$C$14,MATCH($K1325,'Reward Model'!$A$12:$A$14,0))/$J1325)),3)</f>
        <v>0.824</v>
      </c>
      <c r="AA1325" s="2" t="n">
        <f aca="false">IF($I1325="Correct",ROUND(INDEX('Reward Model'!$B$12:$B$14,MATCH($K1325,'Reward Model'!$A$12:$A$14,0))*Z1325,2),0)</f>
        <v>0.82</v>
      </c>
      <c r="AB1325" s="2" t="n">
        <f aca="false">IF($I1325="Correct",ROUND(INDEX('Reward Model'!$B$12:$B$14,MATCH($Y1325,'Reward Model'!$A$12:$A$14,0))*Z1325,2),0)</f>
        <v>0.82</v>
      </c>
    </row>
    <row r="1326" customFormat="false" ht="15" hidden="false" customHeight="false" outlineLevel="0" collapsed="false">
      <c r="A1326" s="0" t="s">
        <v>261</v>
      </c>
      <c r="B1326" s="0" t="s">
        <v>262</v>
      </c>
      <c r="C1326" s="0" t="s">
        <v>30</v>
      </c>
      <c r="D1326" s="0" t="s">
        <v>189</v>
      </c>
      <c r="E1326" s="0" t="n">
        <v>5</v>
      </c>
      <c r="F1326" s="0" t="s">
        <v>46</v>
      </c>
      <c r="G1326" s="0" t="s">
        <v>47</v>
      </c>
      <c r="H1326" s="0" t="s">
        <v>47</v>
      </c>
      <c r="I1326" s="0" t="s">
        <v>34</v>
      </c>
      <c r="J1326" s="0" t="n">
        <v>1.43</v>
      </c>
      <c r="K1326" s="0" t="s">
        <v>35</v>
      </c>
      <c r="L1326" s="0" t="n">
        <f aca="false">INDEX(Summary!$F$2:$F$201,MATCH($B1326,Summary!$A$2:$A$201,0))</f>
        <v>20</v>
      </c>
      <c r="M1326" s="0" t="n">
        <f aca="false">INDEX(Summary!$I$2:$I$201,MATCH($B1326,Summary!$A$2:$A$201,0))</f>
        <v>4</v>
      </c>
      <c r="N1326" s="0" t="n">
        <f aca="false">INDEX(Summary!$J$2:$J$201,MATCH($B1326,Summary!$A$2:$A$201,0))</f>
        <v>1</v>
      </c>
      <c r="O1326" s="2" t="n">
        <f aca="false">INDEX(Summary!$K$2:$K$201,MATCH($B1326,Summary!$A$2:$A$201,0))</f>
        <v>10.33</v>
      </c>
      <c r="P1326" s="3" t="n">
        <f aca="false">INDEX(Summary!$L$2:$L$201,MATCH($B1326,Summary!$A$2:$A$201,0))</f>
        <v>5</v>
      </c>
      <c r="Q1326" s="3" t="n">
        <f aca="false">INDEX(Summary!$M$2:$M$201,MATCH($B1326,Summary!$A$2:$A$201,0))</f>
        <v>1</v>
      </c>
      <c r="R1326" s="2" t="n">
        <f aca="false">INDEX(Summary!$N$2:$N$201,MATCH($B1326,Summary!$A$2:$A$201,0))</f>
        <v>10.21</v>
      </c>
      <c r="S1326" s="3" t="n">
        <f aca="false">INDEX(Summary!$O$2:$O$201,MATCH($B1326,Summary!$A$2:$A$201,0))</f>
        <v>8</v>
      </c>
      <c r="T1326" s="3" t="n">
        <f aca="false">INDEX(Summary!$P$2:$P$201,MATCH($B1326,Summary!$A$2:$A$201,0))</f>
        <v>1</v>
      </c>
      <c r="U1326" s="2" t="n">
        <f aca="false">INDEX(Summary!$Q$2:$Q$201,MATCH($B1326,Summary!$A$2:$A$201,0))</f>
        <v>13.91</v>
      </c>
      <c r="V1326" s="2" t="n">
        <f aca="false">INDEX(Summary!$R$2:$R$201,MATCH($B1326,Summary!$A$2:$A$201,0))</f>
        <v>31.64</v>
      </c>
      <c r="W1326" s="0" t="str">
        <f aca="false">INDEX(Summary!$S$2:$S$201,MATCH($B1326,Summary!$A$2:$A$201,0))</f>
        <v>Gold</v>
      </c>
      <c r="X1326" s="2" t="n">
        <f aca="false">INDEX(Summary!$T$2:$T$201,MATCH($B1326,Summary!$A$2:$A$201,0))</f>
        <v>77.17</v>
      </c>
      <c r="Y1326" s="0" t="str">
        <f aca="false">INDEX('Reward Model'!$E$18:$E$37,MATCH($E1326,'Reward Model'!$A$18:$A$37,0))</f>
        <v>Low</v>
      </c>
      <c r="Z1326" s="4" t="n">
        <f aca="false">ROUND(MIN(1,MAX('Reward Model'!$B$2,INDEX('Reward Model'!$C$12:$C$14,MATCH($K1326,'Reward Model'!$A$12:$A$14,0))/$J1326)),3)</f>
        <v>1</v>
      </c>
      <c r="AA1326" s="2" t="n">
        <f aca="false">IF($I1326="Correct",ROUND(INDEX('Reward Model'!$B$12:$B$14,MATCH($K1326,'Reward Model'!$A$12:$A$14,0))*Z1326,2),0)</f>
        <v>1</v>
      </c>
      <c r="AB1326" s="2" t="n">
        <f aca="false">IF($I1326="Correct",ROUND(INDEX('Reward Model'!$B$12:$B$14,MATCH($Y1326,'Reward Model'!$A$12:$A$14,0))*Z1326,2),0)</f>
        <v>1</v>
      </c>
    </row>
    <row r="1327" customFormat="false" ht="15" hidden="false" customHeight="false" outlineLevel="0" collapsed="false">
      <c r="A1327" s="0" t="s">
        <v>261</v>
      </c>
      <c r="B1327" s="0" t="s">
        <v>262</v>
      </c>
      <c r="C1327" s="0" t="s">
        <v>30</v>
      </c>
      <c r="D1327" s="0" t="s">
        <v>189</v>
      </c>
      <c r="E1327" s="0" t="n">
        <v>6</v>
      </c>
      <c r="F1327" s="0" t="s">
        <v>48</v>
      </c>
      <c r="G1327" s="0" t="s">
        <v>49</v>
      </c>
      <c r="H1327" s="0" t="s">
        <v>49</v>
      </c>
      <c r="I1327" s="0" t="s">
        <v>34</v>
      </c>
      <c r="J1327" s="0" t="n">
        <v>1.84</v>
      </c>
      <c r="K1327" s="0" t="s">
        <v>35</v>
      </c>
      <c r="L1327" s="0" t="n">
        <f aca="false">INDEX(Summary!$F$2:$F$201,MATCH($B1327,Summary!$A$2:$A$201,0))</f>
        <v>20</v>
      </c>
      <c r="M1327" s="0" t="n">
        <f aca="false">INDEX(Summary!$I$2:$I$201,MATCH($B1327,Summary!$A$2:$A$201,0))</f>
        <v>4</v>
      </c>
      <c r="N1327" s="0" t="n">
        <f aca="false">INDEX(Summary!$J$2:$J$201,MATCH($B1327,Summary!$A$2:$A$201,0))</f>
        <v>1</v>
      </c>
      <c r="O1327" s="2" t="n">
        <f aca="false">INDEX(Summary!$K$2:$K$201,MATCH($B1327,Summary!$A$2:$A$201,0))</f>
        <v>10.33</v>
      </c>
      <c r="P1327" s="3" t="n">
        <f aca="false">INDEX(Summary!$L$2:$L$201,MATCH($B1327,Summary!$A$2:$A$201,0))</f>
        <v>5</v>
      </c>
      <c r="Q1327" s="3" t="n">
        <f aca="false">INDEX(Summary!$M$2:$M$201,MATCH($B1327,Summary!$A$2:$A$201,0))</f>
        <v>1</v>
      </c>
      <c r="R1327" s="2" t="n">
        <f aca="false">INDEX(Summary!$N$2:$N$201,MATCH($B1327,Summary!$A$2:$A$201,0))</f>
        <v>10.21</v>
      </c>
      <c r="S1327" s="3" t="n">
        <f aca="false">INDEX(Summary!$O$2:$O$201,MATCH($B1327,Summary!$A$2:$A$201,0))</f>
        <v>8</v>
      </c>
      <c r="T1327" s="3" t="n">
        <f aca="false">INDEX(Summary!$P$2:$P$201,MATCH($B1327,Summary!$A$2:$A$201,0))</f>
        <v>1</v>
      </c>
      <c r="U1327" s="2" t="n">
        <f aca="false">INDEX(Summary!$Q$2:$Q$201,MATCH($B1327,Summary!$A$2:$A$201,0))</f>
        <v>13.91</v>
      </c>
      <c r="V1327" s="2" t="n">
        <f aca="false">INDEX(Summary!$R$2:$R$201,MATCH($B1327,Summary!$A$2:$A$201,0))</f>
        <v>31.64</v>
      </c>
      <c r="W1327" s="0" t="str">
        <f aca="false">INDEX(Summary!$S$2:$S$201,MATCH($B1327,Summary!$A$2:$A$201,0))</f>
        <v>Gold</v>
      </c>
      <c r="X1327" s="2" t="n">
        <f aca="false">INDEX(Summary!$T$2:$T$201,MATCH($B1327,Summary!$A$2:$A$201,0))</f>
        <v>77.17</v>
      </c>
      <c r="Y1327" s="0" t="str">
        <f aca="false">INDEX('Reward Model'!$E$18:$E$37,MATCH($E1327,'Reward Model'!$A$18:$A$37,0))</f>
        <v>Medium</v>
      </c>
      <c r="Z1327" s="4" t="n">
        <f aca="false">ROUND(MIN(1,MAX('Reward Model'!$B$2,INDEX('Reward Model'!$C$12:$C$14,MATCH($K1327,'Reward Model'!$A$12:$A$14,0))/$J1327)),3)</f>
        <v>0.815</v>
      </c>
      <c r="AA1327" s="2" t="n">
        <f aca="false">IF($I1327="Correct",ROUND(INDEX('Reward Model'!$B$12:$B$14,MATCH($K1327,'Reward Model'!$A$12:$A$14,0))*Z1327,2),0)</f>
        <v>0.82</v>
      </c>
      <c r="AB1327" s="2" t="n">
        <f aca="false">IF($I1327="Correct",ROUND(INDEX('Reward Model'!$B$12:$B$14,MATCH($Y1327,'Reward Model'!$A$12:$A$14,0))*Z1327,2),0)</f>
        <v>1.63</v>
      </c>
    </row>
    <row r="1328" customFormat="false" ht="15" hidden="false" customHeight="false" outlineLevel="0" collapsed="false">
      <c r="A1328" s="0" t="s">
        <v>261</v>
      </c>
      <c r="B1328" s="0" t="s">
        <v>262</v>
      </c>
      <c r="C1328" s="0" t="s">
        <v>30</v>
      </c>
      <c r="D1328" s="0" t="s">
        <v>189</v>
      </c>
      <c r="E1328" s="0" t="n">
        <v>7</v>
      </c>
      <c r="F1328" s="0" t="s">
        <v>50</v>
      </c>
      <c r="G1328" s="0" t="s">
        <v>51</v>
      </c>
      <c r="H1328" s="0" t="s">
        <v>51</v>
      </c>
      <c r="I1328" s="0" t="s">
        <v>34</v>
      </c>
      <c r="J1328" s="0" t="n">
        <v>1.58</v>
      </c>
      <c r="K1328" s="0" t="s">
        <v>35</v>
      </c>
      <c r="L1328" s="0" t="n">
        <f aca="false">INDEX(Summary!$F$2:$F$201,MATCH($B1328,Summary!$A$2:$A$201,0))</f>
        <v>20</v>
      </c>
      <c r="M1328" s="0" t="n">
        <f aca="false">INDEX(Summary!$I$2:$I$201,MATCH($B1328,Summary!$A$2:$A$201,0))</f>
        <v>4</v>
      </c>
      <c r="N1328" s="0" t="n">
        <f aca="false">INDEX(Summary!$J$2:$J$201,MATCH($B1328,Summary!$A$2:$A$201,0))</f>
        <v>1</v>
      </c>
      <c r="O1328" s="2" t="n">
        <f aca="false">INDEX(Summary!$K$2:$K$201,MATCH($B1328,Summary!$A$2:$A$201,0))</f>
        <v>10.33</v>
      </c>
      <c r="P1328" s="3" t="n">
        <f aca="false">INDEX(Summary!$L$2:$L$201,MATCH($B1328,Summary!$A$2:$A$201,0))</f>
        <v>5</v>
      </c>
      <c r="Q1328" s="3" t="n">
        <f aca="false">INDEX(Summary!$M$2:$M$201,MATCH($B1328,Summary!$A$2:$A$201,0))</f>
        <v>1</v>
      </c>
      <c r="R1328" s="2" t="n">
        <f aca="false">INDEX(Summary!$N$2:$N$201,MATCH($B1328,Summary!$A$2:$A$201,0))</f>
        <v>10.21</v>
      </c>
      <c r="S1328" s="3" t="n">
        <f aca="false">INDEX(Summary!$O$2:$O$201,MATCH($B1328,Summary!$A$2:$A$201,0))</f>
        <v>8</v>
      </c>
      <c r="T1328" s="3" t="n">
        <f aca="false">INDEX(Summary!$P$2:$P$201,MATCH($B1328,Summary!$A$2:$A$201,0))</f>
        <v>1</v>
      </c>
      <c r="U1328" s="2" t="n">
        <f aca="false">INDEX(Summary!$Q$2:$Q$201,MATCH($B1328,Summary!$A$2:$A$201,0))</f>
        <v>13.91</v>
      </c>
      <c r="V1328" s="2" t="n">
        <f aca="false">INDEX(Summary!$R$2:$R$201,MATCH($B1328,Summary!$A$2:$A$201,0))</f>
        <v>31.64</v>
      </c>
      <c r="W1328" s="0" t="str">
        <f aca="false">INDEX(Summary!$S$2:$S$201,MATCH($B1328,Summary!$A$2:$A$201,0))</f>
        <v>Gold</v>
      </c>
      <c r="X1328" s="2" t="n">
        <f aca="false">INDEX(Summary!$T$2:$T$201,MATCH($B1328,Summary!$A$2:$A$201,0))</f>
        <v>77.17</v>
      </c>
      <c r="Y1328" s="0" t="str">
        <f aca="false">INDEX('Reward Model'!$E$18:$E$37,MATCH($E1328,'Reward Model'!$A$18:$A$37,0))</f>
        <v>Low</v>
      </c>
      <c r="Z1328" s="4" t="n">
        <f aca="false">ROUND(MIN(1,MAX('Reward Model'!$B$2,INDEX('Reward Model'!$C$12:$C$14,MATCH($K1328,'Reward Model'!$A$12:$A$14,0))/$J1328)),3)</f>
        <v>0.949</v>
      </c>
      <c r="AA1328" s="2" t="n">
        <f aca="false">IF($I1328="Correct",ROUND(INDEX('Reward Model'!$B$12:$B$14,MATCH($K1328,'Reward Model'!$A$12:$A$14,0))*Z1328,2),0)</f>
        <v>0.95</v>
      </c>
      <c r="AB1328" s="2" t="n">
        <f aca="false">IF($I1328="Correct",ROUND(INDEX('Reward Model'!$B$12:$B$14,MATCH($Y1328,'Reward Model'!$A$12:$A$14,0))*Z1328,2),0)</f>
        <v>0.95</v>
      </c>
    </row>
    <row r="1329" customFormat="false" ht="15" hidden="false" customHeight="false" outlineLevel="0" collapsed="false">
      <c r="A1329" s="0" t="s">
        <v>261</v>
      </c>
      <c r="B1329" s="0" t="s">
        <v>262</v>
      </c>
      <c r="C1329" s="0" t="s">
        <v>30</v>
      </c>
      <c r="D1329" s="0" t="s">
        <v>189</v>
      </c>
      <c r="E1329" s="0" t="n">
        <v>8</v>
      </c>
      <c r="F1329" s="0" t="s">
        <v>52</v>
      </c>
      <c r="G1329" s="0" t="s">
        <v>54</v>
      </c>
      <c r="H1329" s="0" t="s">
        <v>54</v>
      </c>
      <c r="I1329" s="0" t="s">
        <v>34</v>
      </c>
      <c r="J1329" s="0" t="n">
        <v>1.6</v>
      </c>
      <c r="K1329" s="0" t="s">
        <v>35</v>
      </c>
      <c r="L1329" s="0" t="n">
        <f aca="false">INDEX(Summary!$F$2:$F$201,MATCH($B1329,Summary!$A$2:$A$201,0))</f>
        <v>20</v>
      </c>
      <c r="M1329" s="0" t="n">
        <f aca="false">INDEX(Summary!$I$2:$I$201,MATCH($B1329,Summary!$A$2:$A$201,0))</f>
        <v>4</v>
      </c>
      <c r="N1329" s="0" t="n">
        <f aca="false">INDEX(Summary!$J$2:$J$201,MATCH($B1329,Summary!$A$2:$A$201,0))</f>
        <v>1</v>
      </c>
      <c r="O1329" s="2" t="n">
        <f aca="false">INDEX(Summary!$K$2:$K$201,MATCH($B1329,Summary!$A$2:$A$201,0))</f>
        <v>10.33</v>
      </c>
      <c r="P1329" s="3" t="n">
        <f aca="false">INDEX(Summary!$L$2:$L$201,MATCH($B1329,Summary!$A$2:$A$201,0))</f>
        <v>5</v>
      </c>
      <c r="Q1329" s="3" t="n">
        <f aca="false">INDEX(Summary!$M$2:$M$201,MATCH($B1329,Summary!$A$2:$A$201,0))</f>
        <v>1</v>
      </c>
      <c r="R1329" s="2" t="n">
        <f aca="false">INDEX(Summary!$N$2:$N$201,MATCH($B1329,Summary!$A$2:$A$201,0))</f>
        <v>10.21</v>
      </c>
      <c r="S1329" s="3" t="n">
        <f aca="false">INDEX(Summary!$O$2:$O$201,MATCH($B1329,Summary!$A$2:$A$201,0))</f>
        <v>8</v>
      </c>
      <c r="T1329" s="3" t="n">
        <f aca="false">INDEX(Summary!$P$2:$P$201,MATCH($B1329,Summary!$A$2:$A$201,0))</f>
        <v>1</v>
      </c>
      <c r="U1329" s="2" t="n">
        <f aca="false">INDEX(Summary!$Q$2:$Q$201,MATCH($B1329,Summary!$A$2:$A$201,0))</f>
        <v>13.91</v>
      </c>
      <c r="V1329" s="2" t="n">
        <f aca="false">INDEX(Summary!$R$2:$R$201,MATCH($B1329,Summary!$A$2:$A$201,0))</f>
        <v>31.64</v>
      </c>
      <c r="W1329" s="0" t="str">
        <f aca="false">INDEX(Summary!$S$2:$S$201,MATCH($B1329,Summary!$A$2:$A$201,0))</f>
        <v>Gold</v>
      </c>
      <c r="X1329" s="2" t="n">
        <f aca="false">INDEX(Summary!$T$2:$T$201,MATCH($B1329,Summary!$A$2:$A$201,0))</f>
        <v>77.17</v>
      </c>
      <c r="Y1329" s="0" t="str">
        <f aca="false">INDEX('Reward Model'!$E$18:$E$37,MATCH($E1329,'Reward Model'!$A$18:$A$37,0))</f>
        <v>Medium</v>
      </c>
      <c r="Z1329" s="4" t="n">
        <f aca="false">ROUND(MIN(1,MAX('Reward Model'!$B$2,INDEX('Reward Model'!$C$12:$C$14,MATCH($K1329,'Reward Model'!$A$12:$A$14,0))/$J1329)),3)</f>
        <v>0.938</v>
      </c>
      <c r="AA1329" s="2" t="n">
        <f aca="false">IF($I1329="Correct",ROUND(INDEX('Reward Model'!$B$12:$B$14,MATCH($K1329,'Reward Model'!$A$12:$A$14,0))*Z1329,2),0)</f>
        <v>0.94</v>
      </c>
      <c r="AB1329" s="2" t="n">
        <f aca="false">IF($I1329="Correct",ROUND(INDEX('Reward Model'!$B$12:$B$14,MATCH($Y1329,'Reward Model'!$A$12:$A$14,0))*Z1329,2),0)</f>
        <v>1.88</v>
      </c>
    </row>
    <row r="1330" customFormat="false" ht="15" hidden="false" customHeight="false" outlineLevel="0" collapsed="false">
      <c r="A1330" s="0" t="s">
        <v>261</v>
      </c>
      <c r="B1330" s="0" t="s">
        <v>262</v>
      </c>
      <c r="C1330" s="0" t="s">
        <v>30</v>
      </c>
      <c r="D1330" s="0" t="s">
        <v>189</v>
      </c>
      <c r="E1330" s="0" t="n">
        <v>9</v>
      </c>
      <c r="F1330" s="0" t="s">
        <v>55</v>
      </c>
      <c r="G1330" s="0" t="s">
        <v>57</v>
      </c>
      <c r="H1330" s="0" t="s">
        <v>57</v>
      </c>
      <c r="I1330" s="0" t="s">
        <v>34</v>
      </c>
      <c r="J1330" s="0" t="n">
        <v>1.85</v>
      </c>
      <c r="K1330" s="0" t="s">
        <v>35</v>
      </c>
      <c r="L1330" s="0" t="n">
        <f aca="false">INDEX(Summary!$F$2:$F$201,MATCH($B1330,Summary!$A$2:$A$201,0))</f>
        <v>20</v>
      </c>
      <c r="M1330" s="0" t="n">
        <f aca="false">INDEX(Summary!$I$2:$I$201,MATCH($B1330,Summary!$A$2:$A$201,0))</f>
        <v>4</v>
      </c>
      <c r="N1330" s="0" t="n">
        <f aca="false">INDEX(Summary!$J$2:$J$201,MATCH($B1330,Summary!$A$2:$A$201,0))</f>
        <v>1</v>
      </c>
      <c r="O1330" s="2" t="n">
        <f aca="false">INDEX(Summary!$K$2:$K$201,MATCH($B1330,Summary!$A$2:$A$201,0))</f>
        <v>10.33</v>
      </c>
      <c r="P1330" s="3" t="n">
        <f aca="false">INDEX(Summary!$L$2:$L$201,MATCH($B1330,Summary!$A$2:$A$201,0))</f>
        <v>5</v>
      </c>
      <c r="Q1330" s="3" t="n">
        <f aca="false">INDEX(Summary!$M$2:$M$201,MATCH($B1330,Summary!$A$2:$A$201,0))</f>
        <v>1</v>
      </c>
      <c r="R1330" s="2" t="n">
        <f aca="false">INDEX(Summary!$N$2:$N$201,MATCH($B1330,Summary!$A$2:$A$201,0))</f>
        <v>10.21</v>
      </c>
      <c r="S1330" s="3" t="n">
        <f aca="false">INDEX(Summary!$O$2:$O$201,MATCH($B1330,Summary!$A$2:$A$201,0))</f>
        <v>8</v>
      </c>
      <c r="T1330" s="3" t="n">
        <f aca="false">INDEX(Summary!$P$2:$P$201,MATCH($B1330,Summary!$A$2:$A$201,0))</f>
        <v>1</v>
      </c>
      <c r="U1330" s="2" t="n">
        <f aca="false">INDEX(Summary!$Q$2:$Q$201,MATCH($B1330,Summary!$A$2:$A$201,0))</f>
        <v>13.91</v>
      </c>
      <c r="V1330" s="2" t="n">
        <f aca="false">INDEX(Summary!$R$2:$R$201,MATCH($B1330,Summary!$A$2:$A$201,0))</f>
        <v>31.64</v>
      </c>
      <c r="W1330" s="0" t="str">
        <f aca="false">INDEX(Summary!$S$2:$S$201,MATCH($B1330,Summary!$A$2:$A$201,0))</f>
        <v>Gold</v>
      </c>
      <c r="X1330" s="2" t="n">
        <f aca="false">INDEX(Summary!$T$2:$T$201,MATCH($B1330,Summary!$A$2:$A$201,0))</f>
        <v>77.17</v>
      </c>
      <c r="Y1330" s="0" t="str">
        <f aca="false">INDEX('Reward Model'!$E$18:$E$37,MATCH($E1330,'Reward Model'!$A$18:$A$37,0))</f>
        <v>Medium</v>
      </c>
      <c r="Z1330" s="4" t="n">
        <f aca="false">ROUND(MIN(1,MAX('Reward Model'!$B$2,INDEX('Reward Model'!$C$12:$C$14,MATCH($K1330,'Reward Model'!$A$12:$A$14,0))/$J1330)),3)</f>
        <v>0.811</v>
      </c>
      <c r="AA1330" s="2" t="n">
        <f aca="false">IF($I1330="Correct",ROUND(INDEX('Reward Model'!$B$12:$B$14,MATCH($K1330,'Reward Model'!$A$12:$A$14,0))*Z1330,2),0)</f>
        <v>0.81</v>
      </c>
      <c r="AB1330" s="2" t="n">
        <f aca="false">IF($I1330="Correct",ROUND(INDEX('Reward Model'!$B$12:$B$14,MATCH($Y1330,'Reward Model'!$A$12:$A$14,0))*Z1330,2),0)</f>
        <v>1.62</v>
      </c>
    </row>
    <row r="1331" customFormat="false" ht="15" hidden="false" customHeight="false" outlineLevel="0" collapsed="false">
      <c r="A1331" s="0" t="s">
        <v>261</v>
      </c>
      <c r="B1331" s="0" t="s">
        <v>262</v>
      </c>
      <c r="C1331" s="0" t="s">
        <v>30</v>
      </c>
      <c r="D1331" s="0" t="s">
        <v>189</v>
      </c>
      <c r="E1331" s="0" t="n">
        <v>10</v>
      </c>
      <c r="F1331" s="0" t="s">
        <v>58</v>
      </c>
      <c r="G1331" s="0" t="s">
        <v>59</v>
      </c>
      <c r="H1331" s="0" t="s">
        <v>59</v>
      </c>
      <c r="I1331" s="0" t="s">
        <v>34</v>
      </c>
      <c r="J1331" s="0" t="n">
        <v>1.91</v>
      </c>
      <c r="K1331" s="0" t="s">
        <v>60</v>
      </c>
      <c r="L1331" s="0" t="n">
        <f aca="false">INDEX(Summary!$F$2:$F$201,MATCH($B1331,Summary!$A$2:$A$201,0))</f>
        <v>20</v>
      </c>
      <c r="M1331" s="0" t="n">
        <f aca="false">INDEX(Summary!$I$2:$I$201,MATCH($B1331,Summary!$A$2:$A$201,0))</f>
        <v>4</v>
      </c>
      <c r="N1331" s="0" t="n">
        <f aca="false">INDEX(Summary!$J$2:$J$201,MATCH($B1331,Summary!$A$2:$A$201,0))</f>
        <v>1</v>
      </c>
      <c r="O1331" s="2" t="n">
        <f aca="false">INDEX(Summary!$K$2:$K$201,MATCH($B1331,Summary!$A$2:$A$201,0))</f>
        <v>10.33</v>
      </c>
      <c r="P1331" s="3" t="n">
        <f aca="false">INDEX(Summary!$L$2:$L$201,MATCH($B1331,Summary!$A$2:$A$201,0))</f>
        <v>5</v>
      </c>
      <c r="Q1331" s="3" t="n">
        <f aca="false">INDEX(Summary!$M$2:$M$201,MATCH($B1331,Summary!$A$2:$A$201,0))</f>
        <v>1</v>
      </c>
      <c r="R1331" s="2" t="n">
        <f aca="false">INDEX(Summary!$N$2:$N$201,MATCH($B1331,Summary!$A$2:$A$201,0))</f>
        <v>10.21</v>
      </c>
      <c r="S1331" s="3" t="n">
        <f aca="false">INDEX(Summary!$O$2:$O$201,MATCH($B1331,Summary!$A$2:$A$201,0))</f>
        <v>8</v>
      </c>
      <c r="T1331" s="3" t="n">
        <f aca="false">INDEX(Summary!$P$2:$P$201,MATCH($B1331,Summary!$A$2:$A$201,0))</f>
        <v>1</v>
      </c>
      <c r="U1331" s="2" t="n">
        <f aca="false">INDEX(Summary!$Q$2:$Q$201,MATCH($B1331,Summary!$A$2:$A$201,0))</f>
        <v>13.91</v>
      </c>
      <c r="V1331" s="2" t="n">
        <f aca="false">INDEX(Summary!$R$2:$R$201,MATCH($B1331,Summary!$A$2:$A$201,0))</f>
        <v>31.64</v>
      </c>
      <c r="W1331" s="0" t="str">
        <f aca="false">INDEX(Summary!$S$2:$S$201,MATCH($B1331,Summary!$A$2:$A$201,0))</f>
        <v>Gold</v>
      </c>
      <c r="X1331" s="2" t="n">
        <f aca="false">INDEX(Summary!$T$2:$T$201,MATCH($B1331,Summary!$A$2:$A$201,0))</f>
        <v>77.17</v>
      </c>
      <c r="Y1331" s="0" t="str">
        <f aca="false">INDEX('Reward Model'!$E$18:$E$37,MATCH($E1331,'Reward Model'!$A$18:$A$37,0))</f>
        <v>Medium</v>
      </c>
      <c r="Z1331" s="4" t="n">
        <f aca="false">ROUND(MIN(1,MAX('Reward Model'!$B$2,INDEX('Reward Model'!$C$12:$C$14,MATCH($K1331,'Reward Model'!$A$12:$A$14,0))/$J1331)),3)</f>
        <v>0.942</v>
      </c>
      <c r="AA1331" s="2" t="n">
        <f aca="false">IF($I1331="Correct",ROUND(INDEX('Reward Model'!$B$12:$B$14,MATCH($K1331,'Reward Model'!$A$12:$A$14,0))*Z1331,2),0)</f>
        <v>1.88</v>
      </c>
      <c r="AB1331" s="2" t="n">
        <f aca="false">IF($I1331="Correct",ROUND(INDEX('Reward Model'!$B$12:$B$14,MATCH($Y1331,'Reward Model'!$A$12:$A$14,0))*Z1331,2),0)</f>
        <v>1.88</v>
      </c>
    </row>
    <row r="1332" customFormat="false" ht="15" hidden="false" customHeight="false" outlineLevel="0" collapsed="false">
      <c r="A1332" s="0" t="s">
        <v>261</v>
      </c>
      <c r="B1332" s="0" t="s">
        <v>262</v>
      </c>
      <c r="C1332" s="0" t="s">
        <v>30</v>
      </c>
      <c r="D1332" s="0" t="s">
        <v>189</v>
      </c>
      <c r="E1332" s="0" t="n">
        <v>11</v>
      </c>
      <c r="F1332" s="0" t="s">
        <v>61</v>
      </c>
      <c r="G1332" s="0" t="s">
        <v>63</v>
      </c>
      <c r="H1332" s="0" t="s">
        <v>63</v>
      </c>
      <c r="I1332" s="0" t="s">
        <v>34</v>
      </c>
      <c r="J1332" s="0" t="n">
        <v>1.7</v>
      </c>
      <c r="K1332" s="0" t="s">
        <v>60</v>
      </c>
      <c r="L1332" s="0" t="n">
        <f aca="false">INDEX(Summary!$F$2:$F$201,MATCH($B1332,Summary!$A$2:$A$201,0))</f>
        <v>20</v>
      </c>
      <c r="M1332" s="0" t="n">
        <f aca="false">INDEX(Summary!$I$2:$I$201,MATCH($B1332,Summary!$A$2:$A$201,0))</f>
        <v>4</v>
      </c>
      <c r="N1332" s="0" t="n">
        <f aca="false">INDEX(Summary!$J$2:$J$201,MATCH($B1332,Summary!$A$2:$A$201,0))</f>
        <v>1</v>
      </c>
      <c r="O1332" s="2" t="n">
        <f aca="false">INDEX(Summary!$K$2:$K$201,MATCH($B1332,Summary!$A$2:$A$201,0))</f>
        <v>10.33</v>
      </c>
      <c r="P1332" s="3" t="n">
        <f aca="false">INDEX(Summary!$L$2:$L$201,MATCH($B1332,Summary!$A$2:$A$201,0))</f>
        <v>5</v>
      </c>
      <c r="Q1332" s="3" t="n">
        <f aca="false">INDEX(Summary!$M$2:$M$201,MATCH($B1332,Summary!$A$2:$A$201,0))</f>
        <v>1</v>
      </c>
      <c r="R1332" s="2" t="n">
        <f aca="false">INDEX(Summary!$N$2:$N$201,MATCH($B1332,Summary!$A$2:$A$201,0))</f>
        <v>10.21</v>
      </c>
      <c r="S1332" s="3" t="n">
        <f aca="false">INDEX(Summary!$O$2:$O$201,MATCH($B1332,Summary!$A$2:$A$201,0))</f>
        <v>8</v>
      </c>
      <c r="T1332" s="3" t="n">
        <f aca="false">INDEX(Summary!$P$2:$P$201,MATCH($B1332,Summary!$A$2:$A$201,0))</f>
        <v>1</v>
      </c>
      <c r="U1332" s="2" t="n">
        <f aca="false">INDEX(Summary!$Q$2:$Q$201,MATCH($B1332,Summary!$A$2:$A$201,0))</f>
        <v>13.91</v>
      </c>
      <c r="V1332" s="2" t="n">
        <f aca="false">INDEX(Summary!$R$2:$R$201,MATCH($B1332,Summary!$A$2:$A$201,0))</f>
        <v>31.64</v>
      </c>
      <c r="W1332" s="0" t="str">
        <f aca="false">INDEX(Summary!$S$2:$S$201,MATCH($B1332,Summary!$A$2:$A$201,0))</f>
        <v>Gold</v>
      </c>
      <c r="X1332" s="2" t="n">
        <f aca="false">INDEX(Summary!$T$2:$T$201,MATCH($B1332,Summary!$A$2:$A$201,0))</f>
        <v>77.17</v>
      </c>
      <c r="Y1332" s="0" t="str">
        <f aca="false">INDEX('Reward Model'!$E$18:$E$37,MATCH($E1332,'Reward Model'!$A$18:$A$37,0))</f>
        <v>Medium</v>
      </c>
      <c r="Z1332" s="4" t="n">
        <f aca="false">ROUND(MIN(1,MAX('Reward Model'!$B$2,INDEX('Reward Model'!$C$12:$C$14,MATCH($K1332,'Reward Model'!$A$12:$A$14,0))/$J1332)),3)</f>
        <v>1</v>
      </c>
      <c r="AA1332" s="2" t="n">
        <f aca="false">IF($I1332="Correct",ROUND(INDEX('Reward Model'!$B$12:$B$14,MATCH($K1332,'Reward Model'!$A$12:$A$14,0))*Z1332,2),0)</f>
        <v>2</v>
      </c>
      <c r="AB1332" s="2" t="n">
        <f aca="false">IF($I1332="Correct",ROUND(INDEX('Reward Model'!$B$12:$B$14,MATCH($Y1332,'Reward Model'!$A$12:$A$14,0))*Z1332,2),0)</f>
        <v>2</v>
      </c>
    </row>
    <row r="1333" customFormat="false" ht="15" hidden="false" customHeight="false" outlineLevel="0" collapsed="false">
      <c r="A1333" s="0" t="s">
        <v>261</v>
      </c>
      <c r="B1333" s="0" t="s">
        <v>262</v>
      </c>
      <c r="C1333" s="0" t="s">
        <v>30</v>
      </c>
      <c r="D1333" s="0" t="s">
        <v>189</v>
      </c>
      <c r="E1333" s="0" t="n">
        <v>12</v>
      </c>
      <c r="F1333" s="0" t="s">
        <v>64</v>
      </c>
      <c r="G1333" s="0" t="s">
        <v>65</v>
      </c>
      <c r="H1333" s="0" t="s">
        <v>65</v>
      </c>
      <c r="I1333" s="0" t="s">
        <v>34</v>
      </c>
      <c r="J1333" s="0" t="n">
        <v>2</v>
      </c>
      <c r="K1333" s="0" t="s">
        <v>60</v>
      </c>
      <c r="L1333" s="0" t="n">
        <f aca="false">INDEX(Summary!$F$2:$F$201,MATCH($B1333,Summary!$A$2:$A$201,0))</f>
        <v>20</v>
      </c>
      <c r="M1333" s="0" t="n">
        <f aca="false">INDEX(Summary!$I$2:$I$201,MATCH($B1333,Summary!$A$2:$A$201,0))</f>
        <v>4</v>
      </c>
      <c r="N1333" s="0" t="n">
        <f aca="false">INDEX(Summary!$J$2:$J$201,MATCH($B1333,Summary!$A$2:$A$201,0))</f>
        <v>1</v>
      </c>
      <c r="O1333" s="2" t="n">
        <f aca="false">INDEX(Summary!$K$2:$K$201,MATCH($B1333,Summary!$A$2:$A$201,0))</f>
        <v>10.33</v>
      </c>
      <c r="P1333" s="3" t="n">
        <f aca="false">INDEX(Summary!$L$2:$L$201,MATCH($B1333,Summary!$A$2:$A$201,0))</f>
        <v>5</v>
      </c>
      <c r="Q1333" s="3" t="n">
        <f aca="false">INDEX(Summary!$M$2:$M$201,MATCH($B1333,Summary!$A$2:$A$201,0))</f>
        <v>1</v>
      </c>
      <c r="R1333" s="2" t="n">
        <f aca="false">INDEX(Summary!$N$2:$N$201,MATCH($B1333,Summary!$A$2:$A$201,0))</f>
        <v>10.21</v>
      </c>
      <c r="S1333" s="3" t="n">
        <f aca="false">INDEX(Summary!$O$2:$O$201,MATCH($B1333,Summary!$A$2:$A$201,0))</f>
        <v>8</v>
      </c>
      <c r="T1333" s="3" t="n">
        <f aca="false">INDEX(Summary!$P$2:$P$201,MATCH($B1333,Summary!$A$2:$A$201,0))</f>
        <v>1</v>
      </c>
      <c r="U1333" s="2" t="n">
        <f aca="false">INDEX(Summary!$Q$2:$Q$201,MATCH($B1333,Summary!$A$2:$A$201,0))</f>
        <v>13.91</v>
      </c>
      <c r="V1333" s="2" t="n">
        <f aca="false">INDEX(Summary!$R$2:$R$201,MATCH($B1333,Summary!$A$2:$A$201,0))</f>
        <v>31.64</v>
      </c>
      <c r="W1333" s="0" t="str">
        <f aca="false">INDEX(Summary!$S$2:$S$201,MATCH($B1333,Summary!$A$2:$A$201,0))</f>
        <v>Gold</v>
      </c>
      <c r="X1333" s="2" t="n">
        <f aca="false">INDEX(Summary!$T$2:$T$201,MATCH($B1333,Summary!$A$2:$A$201,0))</f>
        <v>77.17</v>
      </c>
      <c r="Y1333" s="0" t="str">
        <f aca="false">INDEX('Reward Model'!$E$18:$E$37,MATCH($E1333,'Reward Model'!$A$18:$A$37,0))</f>
        <v>Medium</v>
      </c>
      <c r="Z1333" s="4" t="n">
        <f aca="false">ROUND(MIN(1,MAX('Reward Model'!$B$2,INDEX('Reward Model'!$C$12:$C$14,MATCH($K1333,'Reward Model'!$A$12:$A$14,0))/$J1333)),3)</f>
        <v>0.9</v>
      </c>
      <c r="AA1333" s="2" t="n">
        <f aca="false">IF($I1333="Correct",ROUND(INDEX('Reward Model'!$B$12:$B$14,MATCH($K1333,'Reward Model'!$A$12:$A$14,0))*Z1333,2),0)</f>
        <v>1.8</v>
      </c>
      <c r="AB1333" s="2" t="n">
        <f aca="false">IF($I1333="Correct",ROUND(INDEX('Reward Model'!$B$12:$B$14,MATCH($Y1333,'Reward Model'!$A$12:$A$14,0))*Z1333,2),0)</f>
        <v>1.8</v>
      </c>
    </row>
    <row r="1334" customFormat="false" ht="15" hidden="false" customHeight="false" outlineLevel="0" collapsed="false">
      <c r="A1334" s="0" t="s">
        <v>261</v>
      </c>
      <c r="B1334" s="0" t="s">
        <v>262</v>
      </c>
      <c r="C1334" s="0" t="s">
        <v>30</v>
      </c>
      <c r="D1334" s="0" t="s">
        <v>189</v>
      </c>
      <c r="E1334" s="0" t="n">
        <v>13</v>
      </c>
      <c r="F1334" s="0" t="s">
        <v>66</v>
      </c>
      <c r="G1334" s="0" t="s">
        <v>67</v>
      </c>
      <c r="H1334" s="0" t="s">
        <v>67</v>
      </c>
      <c r="I1334" s="0" t="s">
        <v>34</v>
      </c>
      <c r="J1334" s="0" t="n">
        <v>1.16</v>
      </c>
      <c r="K1334" s="0" t="s">
        <v>60</v>
      </c>
      <c r="L1334" s="0" t="n">
        <f aca="false">INDEX(Summary!$F$2:$F$201,MATCH($B1334,Summary!$A$2:$A$201,0))</f>
        <v>20</v>
      </c>
      <c r="M1334" s="0" t="n">
        <f aca="false">INDEX(Summary!$I$2:$I$201,MATCH($B1334,Summary!$A$2:$A$201,0))</f>
        <v>4</v>
      </c>
      <c r="N1334" s="0" t="n">
        <f aca="false">INDEX(Summary!$J$2:$J$201,MATCH($B1334,Summary!$A$2:$A$201,0))</f>
        <v>1</v>
      </c>
      <c r="O1334" s="2" t="n">
        <f aca="false">INDEX(Summary!$K$2:$K$201,MATCH($B1334,Summary!$A$2:$A$201,0))</f>
        <v>10.33</v>
      </c>
      <c r="P1334" s="3" t="n">
        <f aca="false">INDEX(Summary!$L$2:$L$201,MATCH($B1334,Summary!$A$2:$A$201,0))</f>
        <v>5</v>
      </c>
      <c r="Q1334" s="3" t="n">
        <f aca="false">INDEX(Summary!$M$2:$M$201,MATCH($B1334,Summary!$A$2:$A$201,0))</f>
        <v>1</v>
      </c>
      <c r="R1334" s="2" t="n">
        <f aca="false">INDEX(Summary!$N$2:$N$201,MATCH($B1334,Summary!$A$2:$A$201,0))</f>
        <v>10.21</v>
      </c>
      <c r="S1334" s="3" t="n">
        <f aca="false">INDEX(Summary!$O$2:$O$201,MATCH($B1334,Summary!$A$2:$A$201,0))</f>
        <v>8</v>
      </c>
      <c r="T1334" s="3" t="n">
        <f aca="false">INDEX(Summary!$P$2:$P$201,MATCH($B1334,Summary!$A$2:$A$201,0))</f>
        <v>1</v>
      </c>
      <c r="U1334" s="2" t="n">
        <f aca="false">INDEX(Summary!$Q$2:$Q$201,MATCH($B1334,Summary!$A$2:$A$201,0))</f>
        <v>13.91</v>
      </c>
      <c r="V1334" s="2" t="n">
        <f aca="false">INDEX(Summary!$R$2:$R$201,MATCH($B1334,Summary!$A$2:$A$201,0))</f>
        <v>31.64</v>
      </c>
      <c r="W1334" s="0" t="str">
        <f aca="false">INDEX(Summary!$S$2:$S$201,MATCH($B1334,Summary!$A$2:$A$201,0))</f>
        <v>Gold</v>
      </c>
      <c r="X1334" s="2" t="n">
        <f aca="false">INDEX(Summary!$T$2:$T$201,MATCH($B1334,Summary!$A$2:$A$201,0))</f>
        <v>77.17</v>
      </c>
      <c r="Y1334" s="0" t="str">
        <f aca="false">INDEX('Reward Model'!$E$18:$E$37,MATCH($E1334,'Reward Model'!$A$18:$A$37,0))</f>
        <v>Medium</v>
      </c>
      <c r="Z1334" s="4" t="n">
        <f aca="false">ROUND(MIN(1,MAX('Reward Model'!$B$2,INDEX('Reward Model'!$C$12:$C$14,MATCH($K1334,'Reward Model'!$A$12:$A$14,0))/$J1334)),3)</f>
        <v>1</v>
      </c>
      <c r="AA1334" s="2" t="n">
        <f aca="false">IF($I1334="Correct",ROUND(INDEX('Reward Model'!$B$12:$B$14,MATCH($K1334,'Reward Model'!$A$12:$A$14,0))*Z1334,2),0)</f>
        <v>2</v>
      </c>
      <c r="AB1334" s="2" t="n">
        <f aca="false">IF($I1334="Correct",ROUND(INDEX('Reward Model'!$B$12:$B$14,MATCH($Y1334,'Reward Model'!$A$12:$A$14,0))*Z1334,2),0)</f>
        <v>2</v>
      </c>
    </row>
    <row r="1335" customFormat="false" ht="15" hidden="false" customHeight="false" outlineLevel="0" collapsed="false">
      <c r="A1335" s="0" t="s">
        <v>261</v>
      </c>
      <c r="B1335" s="0" t="s">
        <v>262</v>
      </c>
      <c r="C1335" s="0" t="s">
        <v>30</v>
      </c>
      <c r="D1335" s="0" t="s">
        <v>189</v>
      </c>
      <c r="E1335" s="0" t="n">
        <v>14</v>
      </c>
      <c r="F1335" s="0" t="s">
        <v>68</v>
      </c>
      <c r="G1335" s="0" t="s">
        <v>100</v>
      </c>
      <c r="H1335" s="0" t="s">
        <v>51</v>
      </c>
      <c r="I1335" s="0" t="s">
        <v>39</v>
      </c>
      <c r="J1335" s="0" t="n">
        <v>1.67</v>
      </c>
      <c r="K1335" s="0" t="s">
        <v>60</v>
      </c>
      <c r="L1335" s="0" t="n">
        <f aca="false">INDEX(Summary!$F$2:$F$201,MATCH($B1335,Summary!$A$2:$A$201,0))</f>
        <v>20</v>
      </c>
      <c r="M1335" s="0" t="n">
        <f aca="false">INDEX(Summary!$I$2:$I$201,MATCH($B1335,Summary!$A$2:$A$201,0))</f>
        <v>4</v>
      </c>
      <c r="N1335" s="0" t="n">
        <f aca="false">INDEX(Summary!$J$2:$J$201,MATCH($B1335,Summary!$A$2:$A$201,0))</f>
        <v>1</v>
      </c>
      <c r="O1335" s="2" t="n">
        <f aca="false">INDEX(Summary!$K$2:$K$201,MATCH($B1335,Summary!$A$2:$A$201,0))</f>
        <v>10.33</v>
      </c>
      <c r="P1335" s="3" t="n">
        <f aca="false">INDEX(Summary!$L$2:$L$201,MATCH($B1335,Summary!$A$2:$A$201,0))</f>
        <v>5</v>
      </c>
      <c r="Q1335" s="3" t="n">
        <f aca="false">INDEX(Summary!$M$2:$M$201,MATCH($B1335,Summary!$A$2:$A$201,0))</f>
        <v>1</v>
      </c>
      <c r="R1335" s="2" t="n">
        <f aca="false">INDEX(Summary!$N$2:$N$201,MATCH($B1335,Summary!$A$2:$A$201,0))</f>
        <v>10.21</v>
      </c>
      <c r="S1335" s="3" t="n">
        <f aca="false">INDEX(Summary!$O$2:$O$201,MATCH($B1335,Summary!$A$2:$A$201,0))</f>
        <v>8</v>
      </c>
      <c r="T1335" s="3" t="n">
        <f aca="false">INDEX(Summary!$P$2:$P$201,MATCH($B1335,Summary!$A$2:$A$201,0))</f>
        <v>1</v>
      </c>
      <c r="U1335" s="2" t="n">
        <f aca="false">INDEX(Summary!$Q$2:$Q$201,MATCH($B1335,Summary!$A$2:$A$201,0))</f>
        <v>13.91</v>
      </c>
      <c r="V1335" s="2" t="n">
        <f aca="false">INDEX(Summary!$R$2:$R$201,MATCH($B1335,Summary!$A$2:$A$201,0))</f>
        <v>31.64</v>
      </c>
      <c r="W1335" s="0" t="str">
        <f aca="false">INDEX(Summary!$S$2:$S$201,MATCH($B1335,Summary!$A$2:$A$201,0))</f>
        <v>Gold</v>
      </c>
      <c r="X1335" s="2" t="n">
        <f aca="false">INDEX(Summary!$T$2:$T$201,MATCH($B1335,Summary!$A$2:$A$201,0))</f>
        <v>77.17</v>
      </c>
      <c r="Y1335" s="0" t="str">
        <f aca="false">INDEX('Reward Model'!$E$18:$E$37,MATCH($E1335,'Reward Model'!$A$18:$A$37,0))</f>
        <v>Medium</v>
      </c>
      <c r="Z1335" s="4" t="n">
        <f aca="false">ROUND(MIN(1,MAX('Reward Model'!$B$2,INDEX('Reward Model'!$C$12:$C$14,MATCH($K1335,'Reward Model'!$A$12:$A$14,0))/$J1335)),3)</f>
        <v>1</v>
      </c>
      <c r="AA1335" s="2" t="n">
        <f aca="false">IF($I1335="Correct",ROUND(INDEX('Reward Model'!$B$12:$B$14,MATCH($K1335,'Reward Model'!$A$12:$A$14,0))*Z1335,2),0)</f>
        <v>0</v>
      </c>
      <c r="AB1335" s="2" t="n">
        <f aca="false">IF($I1335="Correct",ROUND(INDEX('Reward Model'!$B$12:$B$14,MATCH($Y1335,'Reward Model'!$A$12:$A$14,0))*Z1335,2),0)</f>
        <v>0</v>
      </c>
    </row>
    <row r="1336" customFormat="false" ht="15" hidden="false" customHeight="false" outlineLevel="0" collapsed="false">
      <c r="A1336" s="0" t="s">
        <v>261</v>
      </c>
      <c r="B1336" s="0" t="s">
        <v>262</v>
      </c>
      <c r="C1336" s="0" t="s">
        <v>30</v>
      </c>
      <c r="D1336" s="0" t="s">
        <v>189</v>
      </c>
      <c r="E1336" s="0" t="n">
        <v>15</v>
      </c>
      <c r="F1336" s="0" t="s">
        <v>69</v>
      </c>
      <c r="G1336" s="0" t="s">
        <v>70</v>
      </c>
      <c r="H1336" s="0" t="s">
        <v>70</v>
      </c>
      <c r="I1336" s="0" t="s">
        <v>34</v>
      </c>
      <c r="J1336" s="0" t="n">
        <v>1.77</v>
      </c>
      <c r="K1336" s="0" t="s">
        <v>60</v>
      </c>
      <c r="L1336" s="0" t="n">
        <f aca="false">INDEX(Summary!$F$2:$F$201,MATCH($B1336,Summary!$A$2:$A$201,0))</f>
        <v>20</v>
      </c>
      <c r="M1336" s="0" t="n">
        <f aca="false">INDEX(Summary!$I$2:$I$201,MATCH($B1336,Summary!$A$2:$A$201,0))</f>
        <v>4</v>
      </c>
      <c r="N1336" s="0" t="n">
        <f aca="false">INDEX(Summary!$J$2:$J$201,MATCH($B1336,Summary!$A$2:$A$201,0))</f>
        <v>1</v>
      </c>
      <c r="O1336" s="2" t="n">
        <f aca="false">INDEX(Summary!$K$2:$K$201,MATCH($B1336,Summary!$A$2:$A$201,0))</f>
        <v>10.33</v>
      </c>
      <c r="P1336" s="3" t="n">
        <f aca="false">INDEX(Summary!$L$2:$L$201,MATCH($B1336,Summary!$A$2:$A$201,0))</f>
        <v>5</v>
      </c>
      <c r="Q1336" s="3" t="n">
        <f aca="false">INDEX(Summary!$M$2:$M$201,MATCH($B1336,Summary!$A$2:$A$201,0))</f>
        <v>1</v>
      </c>
      <c r="R1336" s="2" t="n">
        <f aca="false">INDEX(Summary!$N$2:$N$201,MATCH($B1336,Summary!$A$2:$A$201,0))</f>
        <v>10.21</v>
      </c>
      <c r="S1336" s="3" t="n">
        <f aca="false">INDEX(Summary!$O$2:$O$201,MATCH($B1336,Summary!$A$2:$A$201,0))</f>
        <v>8</v>
      </c>
      <c r="T1336" s="3" t="n">
        <f aca="false">INDEX(Summary!$P$2:$P$201,MATCH($B1336,Summary!$A$2:$A$201,0))</f>
        <v>1</v>
      </c>
      <c r="U1336" s="2" t="n">
        <f aca="false">INDEX(Summary!$Q$2:$Q$201,MATCH($B1336,Summary!$A$2:$A$201,0))</f>
        <v>13.91</v>
      </c>
      <c r="V1336" s="2" t="n">
        <f aca="false">INDEX(Summary!$R$2:$R$201,MATCH($B1336,Summary!$A$2:$A$201,0))</f>
        <v>31.64</v>
      </c>
      <c r="W1336" s="0" t="str">
        <f aca="false">INDEX(Summary!$S$2:$S$201,MATCH($B1336,Summary!$A$2:$A$201,0))</f>
        <v>Gold</v>
      </c>
      <c r="X1336" s="2" t="n">
        <f aca="false">INDEX(Summary!$T$2:$T$201,MATCH($B1336,Summary!$A$2:$A$201,0))</f>
        <v>77.17</v>
      </c>
      <c r="Y1336" s="0" t="str">
        <f aca="false">INDEX('Reward Model'!$E$18:$E$37,MATCH($E1336,'Reward Model'!$A$18:$A$37,0))</f>
        <v>Medium</v>
      </c>
      <c r="Z1336" s="4" t="n">
        <f aca="false">ROUND(MIN(1,MAX('Reward Model'!$B$2,INDEX('Reward Model'!$C$12:$C$14,MATCH($K1336,'Reward Model'!$A$12:$A$14,0))/$J1336)),3)</f>
        <v>1</v>
      </c>
      <c r="AA1336" s="2" t="n">
        <f aca="false">IF($I1336="Correct",ROUND(INDEX('Reward Model'!$B$12:$B$14,MATCH($K1336,'Reward Model'!$A$12:$A$14,0))*Z1336,2),0)</f>
        <v>2</v>
      </c>
      <c r="AB1336" s="2" t="n">
        <f aca="false">IF($I1336="Correct",ROUND(INDEX('Reward Model'!$B$12:$B$14,MATCH($Y1336,'Reward Model'!$A$12:$A$14,0))*Z1336,2),0)</f>
        <v>2</v>
      </c>
    </row>
    <row r="1337" customFormat="false" ht="15" hidden="false" customHeight="false" outlineLevel="0" collapsed="false">
      <c r="A1337" s="0" t="s">
        <v>261</v>
      </c>
      <c r="B1337" s="0" t="s">
        <v>262</v>
      </c>
      <c r="C1337" s="0" t="s">
        <v>30</v>
      </c>
      <c r="D1337" s="0" t="s">
        <v>189</v>
      </c>
      <c r="E1337" s="0" t="n">
        <v>16</v>
      </c>
      <c r="F1337" s="0" t="s">
        <v>71</v>
      </c>
      <c r="G1337" s="0" t="s">
        <v>72</v>
      </c>
      <c r="H1337" s="0" t="s">
        <v>72</v>
      </c>
      <c r="I1337" s="0" t="s">
        <v>34</v>
      </c>
      <c r="J1337" s="0" t="n">
        <v>2.2</v>
      </c>
      <c r="K1337" s="0" t="s">
        <v>73</v>
      </c>
      <c r="L1337" s="0" t="n">
        <f aca="false">INDEX(Summary!$F$2:$F$201,MATCH($B1337,Summary!$A$2:$A$201,0))</f>
        <v>20</v>
      </c>
      <c r="M1337" s="0" t="n">
        <f aca="false">INDEX(Summary!$I$2:$I$201,MATCH($B1337,Summary!$A$2:$A$201,0))</f>
        <v>4</v>
      </c>
      <c r="N1337" s="0" t="n">
        <f aca="false">INDEX(Summary!$J$2:$J$201,MATCH($B1337,Summary!$A$2:$A$201,0))</f>
        <v>1</v>
      </c>
      <c r="O1337" s="2" t="n">
        <f aca="false">INDEX(Summary!$K$2:$K$201,MATCH($B1337,Summary!$A$2:$A$201,0))</f>
        <v>10.33</v>
      </c>
      <c r="P1337" s="3" t="n">
        <f aca="false">INDEX(Summary!$L$2:$L$201,MATCH($B1337,Summary!$A$2:$A$201,0))</f>
        <v>5</v>
      </c>
      <c r="Q1337" s="3" t="n">
        <f aca="false">INDEX(Summary!$M$2:$M$201,MATCH($B1337,Summary!$A$2:$A$201,0))</f>
        <v>1</v>
      </c>
      <c r="R1337" s="2" t="n">
        <f aca="false">INDEX(Summary!$N$2:$N$201,MATCH($B1337,Summary!$A$2:$A$201,0))</f>
        <v>10.21</v>
      </c>
      <c r="S1337" s="3" t="n">
        <f aca="false">INDEX(Summary!$O$2:$O$201,MATCH($B1337,Summary!$A$2:$A$201,0))</f>
        <v>8</v>
      </c>
      <c r="T1337" s="3" t="n">
        <f aca="false">INDEX(Summary!$P$2:$P$201,MATCH($B1337,Summary!$A$2:$A$201,0))</f>
        <v>1</v>
      </c>
      <c r="U1337" s="2" t="n">
        <f aca="false">INDEX(Summary!$Q$2:$Q$201,MATCH($B1337,Summary!$A$2:$A$201,0))</f>
        <v>13.91</v>
      </c>
      <c r="V1337" s="2" t="n">
        <f aca="false">INDEX(Summary!$R$2:$R$201,MATCH($B1337,Summary!$A$2:$A$201,0))</f>
        <v>31.64</v>
      </c>
      <c r="W1337" s="0" t="str">
        <f aca="false">INDEX(Summary!$S$2:$S$201,MATCH($B1337,Summary!$A$2:$A$201,0))</f>
        <v>Gold</v>
      </c>
      <c r="X1337" s="2" t="n">
        <f aca="false">INDEX(Summary!$T$2:$T$201,MATCH($B1337,Summary!$A$2:$A$201,0))</f>
        <v>77.17</v>
      </c>
      <c r="Y1337" s="0" t="str">
        <f aca="false">INDEX('Reward Model'!$E$18:$E$37,MATCH($E1337,'Reward Model'!$A$18:$A$37,0))</f>
        <v>High</v>
      </c>
      <c r="Z1337" s="4" t="n">
        <f aca="false">ROUND(MIN(1,MAX('Reward Model'!$B$2,INDEX('Reward Model'!$C$12:$C$14,MATCH($K1337,'Reward Model'!$A$12:$A$14,0))/$J1337)),3)</f>
        <v>0.909</v>
      </c>
      <c r="AA1337" s="2" t="n">
        <f aca="false">IF($I1337="Correct",ROUND(INDEX('Reward Model'!$B$12:$B$14,MATCH($K1337,'Reward Model'!$A$12:$A$14,0))*Z1337,2),0)</f>
        <v>2.73</v>
      </c>
      <c r="AB1337" s="2" t="n">
        <f aca="false">IF($I1337="Correct",ROUND(INDEX('Reward Model'!$B$12:$B$14,MATCH($Y1337,'Reward Model'!$A$12:$A$14,0))*Z1337,2),0)</f>
        <v>2.73</v>
      </c>
    </row>
    <row r="1338" customFormat="false" ht="15" hidden="false" customHeight="false" outlineLevel="0" collapsed="false">
      <c r="A1338" s="0" t="s">
        <v>261</v>
      </c>
      <c r="B1338" s="0" t="s">
        <v>262</v>
      </c>
      <c r="C1338" s="0" t="s">
        <v>30</v>
      </c>
      <c r="D1338" s="0" t="s">
        <v>189</v>
      </c>
      <c r="E1338" s="0" t="n">
        <v>17</v>
      </c>
      <c r="F1338" s="0" t="s">
        <v>74</v>
      </c>
      <c r="G1338" s="0" t="s">
        <v>75</v>
      </c>
      <c r="H1338" s="0" t="s">
        <v>75</v>
      </c>
      <c r="I1338" s="0" t="s">
        <v>34</v>
      </c>
      <c r="J1338" s="0" t="n">
        <v>1.78</v>
      </c>
      <c r="K1338" s="0" t="s">
        <v>73</v>
      </c>
      <c r="L1338" s="0" t="n">
        <f aca="false">INDEX(Summary!$F$2:$F$201,MATCH($B1338,Summary!$A$2:$A$201,0))</f>
        <v>20</v>
      </c>
      <c r="M1338" s="0" t="n">
        <f aca="false">INDEX(Summary!$I$2:$I$201,MATCH($B1338,Summary!$A$2:$A$201,0))</f>
        <v>4</v>
      </c>
      <c r="N1338" s="0" t="n">
        <f aca="false">INDEX(Summary!$J$2:$J$201,MATCH($B1338,Summary!$A$2:$A$201,0))</f>
        <v>1</v>
      </c>
      <c r="O1338" s="2" t="n">
        <f aca="false">INDEX(Summary!$K$2:$K$201,MATCH($B1338,Summary!$A$2:$A$201,0))</f>
        <v>10.33</v>
      </c>
      <c r="P1338" s="3" t="n">
        <f aca="false">INDEX(Summary!$L$2:$L$201,MATCH($B1338,Summary!$A$2:$A$201,0))</f>
        <v>5</v>
      </c>
      <c r="Q1338" s="3" t="n">
        <f aca="false">INDEX(Summary!$M$2:$M$201,MATCH($B1338,Summary!$A$2:$A$201,0))</f>
        <v>1</v>
      </c>
      <c r="R1338" s="2" t="n">
        <f aca="false">INDEX(Summary!$N$2:$N$201,MATCH($B1338,Summary!$A$2:$A$201,0))</f>
        <v>10.21</v>
      </c>
      <c r="S1338" s="3" t="n">
        <f aca="false">INDEX(Summary!$O$2:$O$201,MATCH($B1338,Summary!$A$2:$A$201,0))</f>
        <v>8</v>
      </c>
      <c r="T1338" s="3" t="n">
        <f aca="false">INDEX(Summary!$P$2:$P$201,MATCH($B1338,Summary!$A$2:$A$201,0))</f>
        <v>1</v>
      </c>
      <c r="U1338" s="2" t="n">
        <f aca="false">INDEX(Summary!$Q$2:$Q$201,MATCH($B1338,Summary!$A$2:$A$201,0))</f>
        <v>13.91</v>
      </c>
      <c r="V1338" s="2" t="n">
        <f aca="false">INDEX(Summary!$R$2:$R$201,MATCH($B1338,Summary!$A$2:$A$201,0))</f>
        <v>31.64</v>
      </c>
      <c r="W1338" s="0" t="str">
        <f aca="false">INDEX(Summary!$S$2:$S$201,MATCH($B1338,Summary!$A$2:$A$201,0))</f>
        <v>Gold</v>
      </c>
      <c r="X1338" s="2" t="n">
        <f aca="false">INDEX(Summary!$T$2:$T$201,MATCH($B1338,Summary!$A$2:$A$201,0))</f>
        <v>77.17</v>
      </c>
      <c r="Y1338" s="0" t="str">
        <f aca="false">INDEX('Reward Model'!$E$18:$E$37,MATCH($E1338,'Reward Model'!$A$18:$A$37,0))</f>
        <v>High</v>
      </c>
      <c r="Z1338" s="4" t="n">
        <f aca="false">ROUND(MIN(1,MAX('Reward Model'!$B$2,INDEX('Reward Model'!$C$12:$C$14,MATCH($K1338,'Reward Model'!$A$12:$A$14,0))/$J1338)),3)</f>
        <v>1</v>
      </c>
      <c r="AA1338" s="2" t="n">
        <f aca="false">IF($I1338="Correct",ROUND(INDEX('Reward Model'!$B$12:$B$14,MATCH($K1338,'Reward Model'!$A$12:$A$14,0))*Z1338,2),0)</f>
        <v>3</v>
      </c>
      <c r="AB1338" s="2" t="n">
        <f aca="false">IF($I1338="Correct",ROUND(INDEX('Reward Model'!$B$12:$B$14,MATCH($Y1338,'Reward Model'!$A$12:$A$14,0))*Z1338,2),0)</f>
        <v>3</v>
      </c>
    </row>
    <row r="1339" customFormat="false" ht="15" hidden="false" customHeight="false" outlineLevel="0" collapsed="false">
      <c r="A1339" s="0" t="s">
        <v>261</v>
      </c>
      <c r="B1339" s="0" t="s">
        <v>262</v>
      </c>
      <c r="C1339" s="0" t="s">
        <v>30</v>
      </c>
      <c r="D1339" s="0" t="s">
        <v>189</v>
      </c>
      <c r="E1339" s="0" t="n">
        <v>18</v>
      </c>
      <c r="F1339" s="0" t="s">
        <v>76</v>
      </c>
      <c r="G1339" s="0" t="s">
        <v>77</v>
      </c>
      <c r="H1339" s="0" t="s">
        <v>77</v>
      </c>
      <c r="I1339" s="0" t="s">
        <v>34</v>
      </c>
      <c r="J1339" s="0" t="n">
        <v>1.98</v>
      </c>
      <c r="K1339" s="0" t="s">
        <v>73</v>
      </c>
      <c r="L1339" s="0" t="n">
        <f aca="false">INDEX(Summary!$F$2:$F$201,MATCH($B1339,Summary!$A$2:$A$201,0))</f>
        <v>20</v>
      </c>
      <c r="M1339" s="0" t="n">
        <f aca="false">INDEX(Summary!$I$2:$I$201,MATCH($B1339,Summary!$A$2:$A$201,0))</f>
        <v>4</v>
      </c>
      <c r="N1339" s="0" t="n">
        <f aca="false">INDEX(Summary!$J$2:$J$201,MATCH($B1339,Summary!$A$2:$A$201,0))</f>
        <v>1</v>
      </c>
      <c r="O1339" s="2" t="n">
        <f aca="false">INDEX(Summary!$K$2:$K$201,MATCH($B1339,Summary!$A$2:$A$201,0))</f>
        <v>10.33</v>
      </c>
      <c r="P1339" s="3" t="n">
        <f aca="false">INDEX(Summary!$L$2:$L$201,MATCH($B1339,Summary!$A$2:$A$201,0))</f>
        <v>5</v>
      </c>
      <c r="Q1339" s="3" t="n">
        <f aca="false">INDEX(Summary!$M$2:$M$201,MATCH($B1339,Summary!$A$2:$A$201,0))</f>
        <v>1</v>
      </c>
      <c r="R1339" s="2" t="n">
        <f aca="false">INDEX(Summary!$N$2:$N$201,MATCH($B1339,Summary!$A$2:$A$201,0))</f>
        <v>10.21</v>
      </c>
      <c r="S1339" s="3" t="n">
        <f aca="false">INDEX(Summary!$O$2:$O$201,MATCH($B1339,Summary!$A$2:$A$201,0))</f>
        <v>8</v>
      </c>
      <c r="T1339" s="3" t="n">
        <f aca="false">INDEX(Summary!$P$2:$P$201,MATCH($B1339,Summary!$A$2:$A$201,0))</f>
        <v>1</v>
      </c>
      <c r="U1339" s="2" t="n">
        <f aca="false">INDEX(Summary!$Q$2:$Q$201,MATCH($B1339,Summary!$A$2:$A$201,0))</f>
        <v>13.91</v>
      </c>
      <c r="V1339" s="2" t="n">
        <f aca="false">INDEX(Summary!$R$2:$R$201,MATCH($B1339,Summary!$A$2:$A$201,0))</f>
        <v>31.64</v>
      </c>
      <c r="W1339" s="0" t="str">
        <f aca="false">INDEX(Summary!$S$2:$S$201,MATCH($B1339,Summary!$A$2:$A$201,0))</f>
        <v>Gold</v>
      </c>
      <c r="X1339" s="2" t="n">
        <f aca="false">INDEX(Summary!$T$2:$T$201,MATCH($B1339,Summary!$A$2:$A$201,0))</f>
        <v>77.17</v>
      </c>
      <c r="Y1339" s="0" t="str">
        <f aca="false">INDEX('Reward Model'!$E$18:$E$37,MATCH($E1339,'Reward Model'!$A$18:$A$37,0))</f>
        <v>High</v>
      </c>
      <c r="Z1339" s="4" t="n">
        <f aca="false">ROUND(MIN(1,MAX('Reward Model'!$B$2,INDEX('Reward Model'!$C$12:$C$14,MATCH($K1339,'Reward Model'!$A$12:$A$14,0))/$J1339)),3)</f>
        <v>1</v>
      </c>
      <c r="AA1339" s="2" t="n">
        <f aca="false">IF($I1339="Correct",ROUND(INDEX('Reward Model'!$B$12:$B$14,MATCH($K1339,'Reward Model'!$A$12:$A$14,0))*Z1339,2),0)</f>
        <v>3</v>
      </c>
      <c r="AB1339" s="2" t="n">
        <f aca="false">IF($I1339="Correct",ROUND(INDEX('Reward Model'!$B$12:$B$14,MATCH($Y1339,'Reward Model'!$A$12:$A$14,0))*Z1339,2),0)</f>
        <v>3</v>
      </c>
    </row>
    <row r="1340" customFormat="false" ht="15" hidden="false" customHeight="false" outlineLevel="0" collapsed="false">
      <c r="A1340" s="0" t="s">
        <v>261</v>
      </c>
      <c r="B1340" s="0" t="s">
        <v>262</v>
      </c>
      <c r="C1340" s="0" t="s">
        <v>30</v>
      </c>
      <c r="D1340" s="0" t="s">
        <v>189</v>
      </c>
      <c r="E1340" s="0" t="n">
        <v>19</v>
      </c>
      <c r="F1340" s="0" t="s">
        <v>78</v>
      </c>
      <c r="G1340" s="0" t="s">
        <v>80</v>
      </c>
      <c r="H1340" s="0" t="s">
        <v>80</v>
      </c>
      <c r="I1340" s="0" t="s">
        <v>34</v>
      </c>
      <c r="J1340" s="0" t="n">
        <v>2.57</v>
      </c>
      <c r="K1340" s="0" t="s">
        <v>73</v>
      </c>
      <c r="L1340" s="0" t="n">
        <f aca="false">INDEX(Summary!$F$2:$F$201,MATCH($B1340,Summary!$A$2:$A$201,0))</f>
        <v>20</v>
      </c>
      <c r="M1340" s="0" t="n">
        <f aca="false">INDEX(Summary!$I$2:$I$201,MATCH($B1340,Summary!$A$2:$A$201,0))</f>
        <v>4</v>
      </c>
      <c r="N1340" s="0" t="n">
        <f aca="false">INDEX(Summary!$J$2:$J$201,MATCH($B1340,Summary!$A$2:$A$201,0))</f>
        <v>1</v>
      </c>
      <c r="O1340" s="2" t="n">
        <f aca="false">INDEX(Summary!$K$2:$K$201,MATCH($B1340,Summary!$A$2:$A$201,0))</f>
        <v>10.33</v>
      </c>
      <c r="P1340" s="3" t="n">
        <f aca="false">INDEX(Summary!$L$2:$L$201,MATCH($B1340,Summary!$A$2:$A$201,0))</f>
        <v>5</v>
      </c>
      <c r="Q1340" s="3" t="n">
        <f aca="false">INDEX(Summary!$M$2:$M$201,MATCH($B1340,Summary!$A$2:$A$201,0))</f>
        <v>1</v>
      </c>
      <c r="R1340" s="2" t="n">
        <f aca="false">INDEX(Summary!$N$2:$N$201,MATCH($B1340,Summary!$A$2:$A$201,0))</f>
        <v>10.21</v>
      </c>
      <c r="S1340" s="3" t="n">
        <f aca="false">INDEX(Summary!$O$2:$O$201,MATCH($B1340,Summary!$A$2:$A$201,0))</f>
        <v>8</v>
      </c>
      <c r="T1340" s="3" t="n">
        <f aca="false">INDEX(Summary!$P$2:$P$201,MATCH($B1340,Summary!$A$2:$A$201,0))</f>
        <v>1</v>
      </c>
      <c r="U1340" s="2" t="n">
        <f aca="false">INDEX(Summary!$Q$2:$Q$201,MATCH($B1340,Summary!$A$2:$A$201,0))</f>
        <v>13.91</v>
      </c>
      <c r="V1340" s="2" t="n">
        <f aca="false">INDEX(Summary!$R$2:$R$201,MATCH($B1340,Summary!$A$2:$A$201,0))</f>
        <v>31.64</v>
      </c>
      <c r="W1340" s="0" t="str">
        <f aca="false">INDEX(Summary!$S$2:$S$201,MATCH($B1340,Summary!$A$2:$A$201,0))</f>
        <v>Gold</v>
      </c>
      <c r="X1340" s="2" t="n">
        <f aca="false">INDEX(Summary!$T$2:$T$201,MATCH($B1340,Summary!$A$2:$A$201,0))</f>
        <v>77.17</v>
      </c>
      <c r="Y1340" s="0" t="str">
        <f aca="false">INDEX('Reward Model'!$E$18:$E$37,MATCH($E1340,'Reward Model'!$A$18:$A$37,0))</f>
        <v>High</v>
      </c>
      <c r="Z1340" s="4" t="n">
        <f aca="false">ROUND(MIN(1,MAX('Reward Model'!$B$2,INDEX('Reward Model'!$C$12:$C$14,MATCH($K1340,'Reward Model'!$A$12:$A$14,0))/$J1340)),3)</f>
        <v>0.778</v>
      </c>
      <c r="AA1340" s="2" t="n">
        <f aca="false">IF($I1340="Correct",ROUND(INDEX('Reward Model'!$B$12:$B$14,MATCH($K1340,'Reward Model'!$A$12:$A$14,0))*Z1340,2),0)</f>
        <v>2.33</v>
      </c>
      <c r="AB1340" s="2" t="n">
        <f aca="false">IF($I1340="Correct",ROUND(INDEX('Reward Model'!$B$12:$B$14,MATCH($Y1340,'Reward Model'!$A$12:$A$14,0))*Z1340,2),0)</f>
        <v>2.33</v>
      </c>
    </row>
    <row r="1341" customFormat="false" ht="15" hidden="false" customHeight="false" outlineLevel="0" collapsed="false">
      <c r="A1341" s="0" t="s">
        <v>261</v>
      </c>
      <c r="B1341" s="0" t="s">
        <v>262</v>
      </c>
      <c r="C1341" s="0" t="s">
        <v>30</v>
      </c>
      <c r="D1341" s="0" t="s">
        <v>189</v>
      </c>
      <c r="E1341" s="0" t="n">
        <v>20</v>
      </c>
      <c r="F1341" s="0" t="s">
        <v>81</v>
      </c>
      <c r="G1341" s="0" t="s">
        <v>166</v>
      </c>
      <c r="H1341" s="0" t="s">
        <v>83</v>
      </c>
      <c r="I1341" s="0" t="s">
        <v>39</v>
      </c>
      <c r="J1341" s="0" t="n">
        <v>1.8</v>
      </c>
      <c r="K1341" s="0" t="s">
        <v>73</v>
      </c>
      <c r="L1341" s="0" t="n">
        <f aca="false">INDEX(Summary!$F$2:$F$201,MATCH($B1341,Summary!$A$2:$A$201,0))</f>
        <v>20</v>
      </c>
      <c r="M1341" s="0" t="n">
        <f aca="false">INDEX(Summary!$I$2:$I$201,MATCH($B1341,Summary!$A$2:$A$201,0))</f>
        <v>4</v>
      </c>
      <c r="N1341" s="0" t="n">
        <f aca="false">INDEX(Summary!$J$2:$J$201,MATCH($B1341,Summary!$A$2:$A$201,0))</f>
        <v>1</v>
      </c>
      <c r="O1341" s="2" t="n">
        <f aca="false">INDEX(Summary!$K$2:$K$201,MATCH($B1341,Summary!$A$2:$A$201,0))</f>
        <v>10.33</v>
      </c>
      <c r="P1341" s="3" t="n">
        <f aca="false">INDEX(Summary!$L$2:$L$201,MATCH($B1341,Summary!$A$2:$A$201,0))</f>
        <v>5</v>
      </c>
      <c r="Q1341" s="3" t="n">
        <f aca="false">INDEX(Summary!$M$2:$M$201,MATCH($B1341,Summary!$A$2:$A$201,0))</f>
        <v>1</v>
      </c>
      <c r="R1341" s="2" t="n">
        <f aca="false">INDEX(Summary!$N$2:$N$201,MATCH($B1341,Summary!$A$2:$A$201,0))</f>
        <v>10.21</v>
      </c>
      <c r="S1341" s="3" t="n">
        <f aca="false">INDEX(Summary!$O$2:$O$201,MATCH($B1341,Summary!$A$2:$A$201,0))</f>
        <v>8</v>
      </c>
      <c r="T1341" s="3" t="n">
        <f aca="false">INDEX(Summary!$P$2:$P$201,MATCH($B1341,Summary!$A$2:$A$201,0))</f>
        <v>1</v>
      </c>
      <c r="U1341" s="2" t="n">
        <f aca="false">INDEX(Summary!$Q$2:$Q$201,MATCH($B1341,Summary!$A$2:$A$201,0))</f>
        <v>13.91</v>
      </c>
      <c r="V1341" s="2" t="n">
        <f aca="false">INDEX(Summary!$R$2:$R$201,MATCH($B1341,Summary!$A$2:$A$201,0))</f>
        <v>31.64</v>
      </c>
      <c r="W1341" s="0" t="str">
        <f aca="false">INDEX(Summary!$S$2:$S$201,MATCH($B1341,Summary!$A$2:$A$201,0))</f>
        <v>Gold</v>
      </c>
      <c r="X1341" s="2" t="n">
        <f aca="false">INDEX(Summary!$T$2:$T$201,MATCH($B1341,Summary!$A$2:$A$201,0))</f>
        <v>77.17</v>
      </c>
      <c r="Y1341" s="0" t="str">
        <f aca="false">INDEX('Reward Model'!$E$18:$E$37,MATCH($E1341,'Reward Model'!$A$18:$A$37,0))</f>
        <v>High</v>
      </c>
      <c r="Z1341" s="4" t="n">
        <f aca="false">ROUND(MIN(1,MAX('Reward Model'!$B$2,INDEX('Reward Model'!$C$12:$C$14,MATCH($K1341,'Reward Model'!$A$12:$A$14,0))/$J1341)),3)</f>
        <v>1</v>
      </c>
      <c r="AA1341" s="2" t="n">
        <f aca="false">IF($I1341="Correct",ROUND(INDEX('Reward Model'!$B$12:$B$14,MATCH($K1341,'Reward Model'!$A$12:$A$14,0))*Z1341,2),0)</f>
        <v>0</v>
      </c>
      <c r="AB1341" s="2" t="n">
        <f aca="false">IF($I1341="Correct",ROUND(INDEX('Reward Model'!$B$12:$B$14,MATCH($Y1341,'Reward Model'!$A$12:$A$14,0))*Z1341,2),0)</f>
        <v>0</v>
      </c>
    </row>
    <row r="1342" customFormat="false" ht="15" hidden="false" customHeight="false" outlineLevel="0" collapsed="false">
      <c r="A1342" s="0" t="s">
        <v>263</v>
      </c>
      <c r="B1342" s="0" t="s">
        <v>264</v>
      </c>
      <c r="C1342" s="0" t="s">
        <v>30</v>
      </c>
      <c r="D1342" s="0" t="s">
        <v>189</v>
      </c>
      <c r="E1342" s="0" t="n">
        <v>1</v>
      </c>
      <c r="F1342" s="0" t="s">
        <v>32</v>
      </c>
      <c r="G1342" s="0" t="s">
        <v>33</v>
      </c>
      <c r="H1342" s="0" t="s">
        <v>33</v>
      </c>
      <c r="I1342" s="0" t="s">
        <v>34</v>
      </c>
      <c r="J1342" s="0" t="n">
        <v>1.45</v>
      </c>
      <c r="K1342" s="0" t="s">
        <v>35</v>
      </c>
      <c r="L1342" s="0" t="n">
        <f aca="false">INDEX(Summary!$F$2:$F$201,MATCH($B1342,Summary!$A$2:$A$201,0))</f>
        <v>20</v>
      </c>
      <c r="M1342" s="0" t="n">
        <f aca="false">INDEX(Summary!$I$2:$I$201,MATCH($B1342,Summary!$A$2:$A$201,0))</f>
        <v>4</v>
      </c>
      <c r="N1342" s="0" t="n">
        <f aca="false">INDEX(Summary!$J$2:$J$201,MATCH($B1342,Summary!$A$2:$A$201,0))</f>
        <v>1</v>
      </c>
      <c r="O1342" s="2" t="n">
        <f aca="false">INDEX(Summary!$K$2:$K$201,MATCH($B1342,Summary!$A$2:$A$201,0))</f>
        <v>11.34</v>
      </c>
      <c r="P1342" s="3" t="n">
        <f aca="false">INDEX(Summary!$L$2:$L$201,MATCH($B1342,Summary!$A$2:$A$201,0))</f>
        <v>5</v>
      </c>
      <c r="Q1342" s="3" t="n">
        <f aca="false">INDEX(Summary!$M$2:$M$201,MATCH($B1342,Summary!$A$2:$A$201,0))</f>
        <v>1</v>
      </c>
      <c r="R1342" s="2" t="n">
        <f aca="false">INDEX(Summary!$N$2:$N$201,MATCH($B1342,Summary!$A$2:$A$201,0))</f>
        <v>9.81</v>
      </c>
      <c r="S1342" s="3" t="n">
        <f aca="false">INDEX(Summary!$O$2:$O$201,MATCH($B1342,Summary!$A$2:$A$201,0))</f>
        <v>8</v>
      </c>
      <c r="T1342" s="3" t="n">
        <f aca="false">INDEX(Summary!$P$2:$P$201,MATCH($B1342,Summary!$A$2:$A$201,0))</f>
        <v>1</v>
      </c>
      <c r="U1342" s="2" t="n">
        <f aca="false">INDEX(Summary!$Q$2:$Q$201,MATCH($B1342,Summary!$A$2:$A$201,0))</f>
        <v>11.81</v>
      </c>
      <c r="V1342" s="2" t="n">
        <f aca="false">INDEX(Summary!$R$2:$R$201,MATCH($B1342,Summary!$A$2:$A$201,0))</f>
        <v>31.81</v>
      </c>
      <c r="W1342" s="0" t="str">
        <f aca="false">INDEX(Summary!$S$2:$S$201,MATCH($B1342,Summary!$A$2:$A$201,0))</f>
        <v>Gold</v>
      </c>
      <c r="X1342" s="2" t="n">
        <f aca="false">INDEX(Summary!$T$2:$T$201,MATCH($B1342,Summary!$A$2:$A$201,0))</f>
        <v>77.59</v>
      </c>
      <c r="Y1342" s="0" t="str">
        <f aca="false">INDEX('Reward Model'!$E$18:$E$37,MATCH($E1342,'Reward Model'!$A$18:$A$37,0))</f>
        <v>Medium</v>
      </c>
      <c r="Z1342" s="4" t="n">
        <f aca="false">ROUND(MIN(1,MAX('Reward Model'!$B$2,INDEX('Reward Model'!$C$12:$C$14,MATCH($K1342,'Reward Model'!$A$12:$A$14,0))/$J1342)),3)</f>
        <v>1</v>
      </c>
      <c r="AA1342" s="2" t="n">
        <f aca="false">IF($I1342="Correct",ROUND(INDEX('Reward Model'!$B$12:$B$14,MATCH($K1342,'Reward Model'!$A$12:$A$14,0))*Z1342,2),0)</f>
        <v>1</v>
      </c>
      <c r="AB1342" s="2" t="n">
        <f aca="false">IF($I1342="Correct",ROUND(INDEX('Reward Model'!$B$12:$B$14,MATCH($Y1342,'Reward Model'!$A$12:$A$14,0))*Z1342,2),0)</f>
        <v>2</v>
      </c>
    </row>
    <row r="1343" customFormat="false" ht="15" hidden="false" customHeight="false" outlineLevel="0" collapsed="false">
      <c r="A1343" s="0" t="s">
        <v>263</v>
      </c>
      <c r="B1343" s="0" t="s">
        <v>264</v>
      </c>
      <c r="C1343" s="0" t="s">
        <v>30</v>
      </c>
      <c r="D1343" s="0" t="s">
        <v>189</v>
      </c>
      <c r="E1343" s="0" t="n">
        <v>2</v>
      </c>
      <c r="F1343" s="0" t="s">
        <v>36</v>
      </c>
      <c r="G1343" s="0" t="s">
        <v>38</v>
      </c>
      <c r="H1343" s="0" t="s">
        <v>38</v>
      </c>
      <c r="I1343" s="0" t="s">
        <v>34</v>
      </c>
      <c r="J1343" s="0" t="n">
        <v>1.78</v>
      </c>
      <c r="K1343" s="0" t="s">
        <v>35</v>
      </c>
      <c r="L1343" s="0" t="n">
        <f aca="false">INDEX(Summary!$F$2:$F$201,MATCH($B1343,Summary!$A$2:$A$201,0))</f>
        <v>20</v>
      </c>
      <c r="M1343" s="0" t="n">
        <f aca="false">INDEX(Summary!$I$2:$I$201,MATCH($B1343,Summary!$A$2:$A$201,0))</f>
        <v>4</v>
      </c>
      <c r="N1343" s="0" t="n">
        <f aca="false">INDEX(Summary!$J$2:$J$201,MATCH($B1343,Summary!$A$2:$A$201,0))</f>
        <v>1</v>
      </c>
      <c r="O1343" s="2" t="n">
        <f aca="false">INDEX(Summary!$K$2:$K$201,MATCH($B1343,Summary!$A$2:$A$201,0))</f>
        <v>11.34</v>
      </c>
      <c r="P1343" s="3" t="n">
        <f aca="false">INDEX(Summary!$L$2:$L$201,MATCH($B1343,Summary!$A$2:$A$201,0))</f>
        <v>5</v>
      </c>
      <c r="Q1343" s="3" t="n">
        <f aca="false">INDEX(Summary!$M$2:$M$201,MATCH($B1343,Summary!$A$2:$A$201,0))</f>
        <v>1</v>
      </c>
      <c r="R1343" s="2" t="n">
        <f aca="false">INDEX(Summary!$N$2:$N$201,MATCH($B1343,Summary!$A$2:$A$201,0))</f>
        <v>9.81</v>
      </c>
      <c r="S1343" s="3" t="n">
        <f aca="false">INDEX(Summary!$O$2:$O$201,MATCH($B1343,Summary!$A$2:$A$201,0))</f>
        <v>8</v>
      </c>
      <c r="T1343" s="3" t="n">
        <f aca="false">INDEX(Summary!$P$2:$P$201,MATCH($B1343,Summary!$A$2:$A$201,0))</f>
        <v>1</v>
      </c>
      <c r="U1343" s="2" t="n">
        <f aca="false">INDEX(Summary!$Q$2:$Q$201,MATCH($B1343,Summary!$A$2:$A$201,0))</f>
        <v>11.81</v>
      </c>
      <c r="V1343" s="2" t="n">
        <f aca="false">INDEX(Summary!$R$2:$R$201,MATCH($B1343,Summary!$A$2:$A$201,0))</f>
        <v>31.81</v>
      </c>
      <c r="W1343" s="0" t="str">
        <f aca="false">INDEX(Summary!$S$2:$S$201,MATCH($B1343,Summary!$A$2:$A$201,0))</f>
        <v>Gold</v>
      </c>
      <c r="X1343" s="2" t="n">
        <f aca="false">INDEX(Summary!$T$2:$T$201,MATCH($B1343,Summary!$A$2:$A$201,0))</f>
        <v>77.59</v>
      </c>
      <c r="Y1343" s="0" t="str">
        <f aca="false">INDEX('Reward Model'!$E$18:$E$37,MATCH($E1343,'Reward Model'!$A$18:$A$37,0))</f>
        <v>Low</v>
      </c>
      <c r="Z1343" s="4" t="n">
        <f aca="false">ROUND(MIN(1,MAX('Reward Model'!$B$2,INDEX('Reward Model'!$C$12:$C$14,MATCH($K1343,'Reward Model'!$A$12:$A$14,0))/$J1343)),3)</f>
        <v>0.843</v>
      </c>
      <c r="AA1343" s="2" t="n">
        <f aca="false">IF($I1343="Correct",ROUND(INDEX('Reward Model'!$B$12:$B$14,MATCH($K1343,'Reward Model'!$A$12:$A$14,0))*Z1343,2),0)</f>
        <v>0.84</v>
      </c>
      <c r="AB1343" s="2" t="n">
        <f aca="false">IF($I1343="Correct",ROUND(INDEX('Reward Model'!$B$12:$B$14,MATCH($Y1343,'Reward Model'!$A$12:$A$14,0))*Z1343,2),0)</f>
        <v>0.84</v>
      </c>
    </row>
    <row r="1344" customFormat="false" ht="15" hidden="false" customHeight="false" outlineLevel="0" collapsed="false">
      <c r="A1344" s="0" t="s">
        <v>263</v>
      </c>
      <c r="B1344" s="0" t="s">
        <v>264</v>
      </c>
      <c r="C1344" s="0" t="s">
        <v>30</v>
      </c>
      <c r="D1344" s="0" t="s">
        <v>189</v>
      </c>
      <c r="E1344" s="0" t="n">
        <v>3</v>
      </c>
      <c r="F1344" s="0" t="s">
        <v>40</v>
      </c>
      <c r="G1344" s="0" t="s">
        <v>42</v>
      </c>
      <c r="H1344" s="0" t="s">
        <v>42</v>
      </c>
      <c r="I1344" s="0" t="s">
        <v>34</v>
      </c>
      <c r="J1344" s="0" t="n">
        <v>1.47</v>
      </c>
      <c r="K1344" s="0" t="s">
        <v>35</v>
      </c>
      <c r="L1344" s="0" t="n">
        <f aca="false">INDEX(Summary!$F$2:$F$201,MATCH($B1344,Summary!$A$2:$A$201,0))</f>
        <v>20</v>
      </c>
      <c r="M1344" s="0" t="n">
        <f aca="false">INDEX(Summary!$I$2:$I$201,MATCH($B1344,Summary!$A$2:$A$201,0))</f>
        <v>4</v>
      </c>
      <c r="N1344" s="0" t="n">
        <f aca="false">INDEX(Summary!$J$2:$J$201,MATCH($B1344,Summary!$A$2:$A$201,0))</f>
        <v>1</v>
      </c>
      <c r="O1344" s="2" t="n">
        <f aca="false">INDEX(Summary!$K$2:$K$201,MATCH($B1344,Summary!$A$2:$A$201,0))</f>
        <v>11.34</v>
      </c>
      <c r="P1344" s="3" t="n">
        <f aca="false">INDEX(Summary!$L$2:$L$201,MATCH($B1344,Summary!$A$2:$A$201,0))</f>
        <v>5</v>
      </c>
      <c r="Q1344" s="3" t="n">
        <f aca="false">INDEX(Summary!$M$2:$M$201,MATCH($B1344,Summary!$A$2:$A$201,0))</f>
        <v>1</v>
      </c>
      <c r="R1344" s="2" t="n">
        <f aca="false">INDEX(Summary!$N$2:$N$201,MATCH($B1344,Summary!$A$2:$A$201,0))</f>
        <v>9.81</v>
      </c>
      <c r="S1344" s="3" t="n">
        <f aca="false">INDEX(Summary!$O$2:$O$201,MATCH($B1344,Summary!$A$2:$A$201,0))</f>
        <v>8</v>
      </c>
      <c r="T1344" s="3" t="n">
        <f aca="false">INDEX(Summary!$P$2:$P$201,MATCH($B1344,Summary!$A$2:$A$201,0))</f>
        <v>1</v>
      </c>
      <c r="U1344" s="2" t="n">
        <f aca="false">INDEX(Summary!$Q$2:$Q$201,MATCH($B1344,Summary!$A$2:$A$201,0))</f>
        <v>11.81</v>
      </c>
      <c r="V1344" s="2" t="n">
        <f aca="false">INDEX(Summary!$R$2:$R$201,MATCH($B1344,Summary!$A$2:$A$201,0))</f>
        <v>31.81</v>
      </c>
      <c r="W1344" s="0" t="str">
        <f aca="false">INDEX(Summary!$S$2:$S$201,MATCH($B1344,Summary!$A$2:$A$201,0))</f>
        <v>Gold</v>
      </c>
      <c r="X1344" s="2" t="n">
        <f aca="false">INDEX(Summary!$T$2:$T$201,MATCH($B1344,Summary!$A$2:$A$201,0))</f>
        <v>77.59</v>
      </c>
      <c r="Y1344" s="0" t="str">
        <f aca="false">INDEX('Reward Model'!$E$18:$E$37,MATCH($E1344,'Reward Model'!$A$18:$A$37,0))</f>
        <v>Medium</v>
      </c>
      <c r="Z1344" s="4" t="n">
        <f aca="false">ROUND(MIN(1,MAX('Reward Model'!$B$2,INDEX('Reward Model'!$C$12:$C$14,MATCH($K1344,'Reward Model'!$A$12:$A$14,0))/$J1344)),3)</f>
        <v>1</v>
      </c>
      <c r="AA1344" s="2" t="n">
        <f aca="false">IF($I1344="Correct",ROUND(INDEX('Reward Model'!$B$12:$B$14,MATCH($K1344,'Reward Model'!$A$12:$A$14,0))*Z1344,2),0)</f>
        <v>1</v>
      </c>
      <c r="AB1344" s="2" t="n">
        <f aca="false">IF($I1344="Correct",ROUND(INDEX('Reward Model'!$B$12:$B$14,MATCH($Y1344,'Reward Model'!$A$12:$A$14,0))*Z1344,2),0)</f>
        <v>2</v>
      </c>
    </row>
    <row r="1345" customFormat="false" ht="15" hidden="false" customHeight="false" outlineLevel="0" collapsed="false">
      <c r="A1345" s="0" t="s">
        <v>263</v>
      </c>
      <c r="B1345" s="0" t="s">
        <v>264</v>
      </c>
      <c r="C1345" s="0" t="s">
        <v>30</v>
      </c>
      <c r="D1345" s="0" t="s">
        <v>189</v>
      </c>
      <c r="E1345" s="0" t="n">
        <v>4</v>
      </c>
      <c r="F1345" s="0" t="s">
        <v>43</v>
      </c>
      <c r="G1345" s="0" t="s">
        <v>45</v>
      </c>
      <c r="H1345" s="0" t="s">
        <v>45</v>
      </c>
      <c r="I1345" s="0" t="s">
        <v>34</v>
      </c>
      <c r="J1345" s="0" t="n">
        <v>1.12</v>
      </c>
      <c r="K1345" s="0" t="s">
        <v>35</v>
      </c>
      <c r="L1345" s="0" t="n">
        <f aca="false">INDEX(Summary!$F$2:$F$201,MATCH($B1345,Summary!$A$2:$A$201,0))</f>
        <v>20</v>
      </c>
      <c r="M1345" s="0" t="n">
        <f aca="false">INDEX(Summary!$I$2:$I$201,MATCH($B1345,Summary!$A$2:$A$201,0))</f>
        <v>4</v>
      </c>
      <c r="N1345" s="0" t="n">
        <f aca="false">INDEX(Summary!$J$2:$J$201,MATCH($B1345,Summary!$A$2:$A$201,0))</f>
        <v>1</v>
      </c>
      <c r="O1345" s="2" t="n">
        <f aca="false">INDEX(Summary!$K$2:$K$201,MATCH($B1345,Summary!$A$2:$A$201,0))</f>
        <v>11.34</v>
      </c>
      <c r="P1345" s="3" t="n">
        <f aca="false">INDEX(Summary!$L$2:$L$201,MATCH($B1345,Summary!$A$2:$A$201,0))</f>
        <v>5</v>
      </c>
      <c r="Q1345" s="3" t="n">
        <f aca="false">INDEX(Summary!$M$2:$M$201,MATCH($B1345,Summary!$A$2:$A$201,0))</f>
        <v>1</v>
      </c>
      <c r="R1345" s="2" t="n">
        <f aca="false">INDEX(Summary!$N$2:$N$201,MATCH($B1345,Summary!$A$2:$A$201,0))</f>
        <v>9.81</v>
      </c>
      <c r="S1345" s="3" t="n">
        <f aca="false">INDEX(Summary!$O$2:$O$201,MATCH($B1345,Summary!$A$2:$A$201,0))</f>
        <v>8</v>
      </c>
      <c r="T1345" s="3" t="n">
        <f aca="false">INDEX(Summary!$P$2:$P$201,MATCH($B1345,Summary!$A$2:$A$201,0))</f>
        <v>1</v>
      </c>
      <c r="U1345" s="2" t="n">
        <f aca="false">INDEX(Summary!$Q$2:$Q$201,MATCH($B1345,Summary!$A$2:$A$201,0))</f>
        <v>11.81</v>
      </c>
      <c r="V1345" s="2" t="n">
        <f aca="false">INDEX(Summary!$R$2:$R$201,MATCH($B1345,Summary!$A$2:$A$201,0))</f>
        <v>31.81</v>
      </c>
      <c r="W1345" s="0" t="str">
        <f aca="false">INDEX(Summary!$S$2:$S$201,MATCH($B1345,Summary!$A$2:$A$201,0))</f>
        <v>Gold</v>
      </c>
      <c r="X1345" s="2" t="n">
        <f aca="false">INDEX(Summary!$T$2:$T$201,MATCH($B1345,Summary!$A$2:$A$201,0))</f>
        <v>77.59</v>
      </c>
      <c r="Y1345" s="0" t="str">
        <f aca="false">INDEX('Reward Model'!$E$18:$E$37,MATCH($E1345,'Reward Model'!$A$18:$A$37,0))</f>
        <v>Low</v>
      </c>
      <c r="Z1345" s="4" t="n">
        <f aca="false">ROUND(MIN(1,MAX('Reward Model'!$B$2,INDEX('Reward Model'!$C$12:$C$14,MATCH($K1345,'Reward Model'!$A$12:$A$14,0))/$J1345)),3)</f>
        <v>1</v>
      </c>
      <c r="AA1345" s="2" t="n">
        <f aca="false">IF($I1345="Correct",ROUND(INDEX('Reward Model'!$B$12:$B$14,MATCH($K1345,'Reward Model'!$A$12:$A$14,0))*Z1345,2),0)</f>
        <v>1</v>
      </c>
      <c r="AB1345" s="2" t="n">
        <f aca="false">IF($I1345="Correct",ROUND(INDEX('Reward Model'!$B$12:$B$14,MATCH($Y1345,'Reward Model'!$A$12:$A$14,0))*Z1345,2),0)</f>
        <v>1</v>
      </c>
    </row>
    <row r="1346" customFormat="false" ht="15" hidden="false" customHeight="false" outlineLevel="0" collapsed="false">
      <c r="A1346" s="0" t="s">
        <v>263</v>
      </c>
      <c r="B1346" s="0" t="s">
        <v>264</v>
      </c>
      <c r="C1346" s="0" t="s">
        <v>30</v>
      </c>
      <c r="D1346" s="0" t="s">
        <v>189</v>
      </c>
      <c r="E1346" s="0" t="n">
        <v>5</v>
      </c>
      <c r="F1346" s="0" t="s">
        <v>46</v>
      </c>
      <c r="G1346" s="0" t="s">
        <v>47</v>
      </c>
      <c r="H1346" s="0" t="s">
        <v>47</v>
      </c>
      <c r="I1346" s="0" t="s">
        <v>34</v>
      </c>
      <c r="J1346" s="0" t="n">
        <v>1.41</v>
      </c>
      <c r="K1346" s="0" t="s">
        <v>35</v>
      </c>
      <c r="L1346" s="0" t="n">
        <f aca="false">INDEX(Summary!$F$2:$F$201,MATCH($B1346,Summary!$A$2:$A$201,0))</f>
        <v>20</v>
      </c>
      <c r="M1346" s="0" t="n">
        <f aca="false">INDEX(Summary!$I$2:$I$201,MATCH($B1346,Summary!$A$2:$A$201,0))</f>
        <v>4</v>
      </c>
      <c r="N1346" s="0" t="n">
        <f aca="false">INDEX(Summary!$J$2:$J$201,MATCH($B1346,Summary!$A$2:$A$201,0))</f>
        <v>1</v>
      </c>
      <c r="O1346" s="2" t="n">
        <f aca="false">INDEX(Summary!$K$2:$K$201,MATCH($B1346,Summary!$A$2:$A$201,0))</f>
        <v>11.34</v>
      </c>
      <c r="P1346" s="3" t="n">
        <f aca="false">INDEX(Summary!$L$2:$L$201,MATCH($B1346,Summary!$A$2:$A$201,0))</f>
        <v>5</v>
      </c>
      <c r="Q1346" s="3" t="n">
        <f aca="false">INDEX(Summary!$M$2:$M$201,MATCH($B1346,Summary!$A$2:$A$201,0))</f>
        <v>1</v>
      </c>
      <c r="R1346" s="2" t="n">
        <f aca="false">INDEX(Summary!$N$2:$N$201,MATCH($B1346,Summary!$A$2:$A$201,0))</f>
        <v>9.81</v>
      </c>
      <c r="S1346" s="3" t="n">
        <f aca="false">INDEX(Summary!$O$2:$O$201,MATCH($B1346,Summary!$A$2:$A$201,0))</f>
        <v>8</v>
      </c>
      <c r="T1346" s="3" t="n">
        <f aca="false">INDEX(Summary!$P$2:$P$201,MATCH($B1346,Summary!$A$2:$A$201,0))</f>
        <v>1</v>
      </c>
      <c r="U1346" s="2" t="n">
        <f aca="false">INDEX(Summary!$Q$2:$Q$201,MATCH($B1346,Summary!$A$2:$A$201,0))</f>
        <v>11.81</v>
      </c>
      <c r="V1346" s="2" t="n">
        <f aca="false">INDEX(Summary!$R$2:$R$201,MATCH($B1346,Summary!$A$2:$A$201,0))</f>
        <v>31.81</v>
      </c>
      <c r="W1346" s="0" t="str">
        <f aca="false">INDEX(Summary!$S$2:$S$201,MATCH($B1346,Summary!$A$2:$A$201,0))</f>
        <v>Gold</v>
      </c>
      <c r="X1346" s="2" t="n">
        <f aca="false">INDEX(Summary!$T$2:$T$201,MATCH($B1346,Summary!$A$2:$A$201,0))</f>
        <v>77.59</v>
      </c>
      <c r="Y1346" s="0" t="str">
        <f aca="false">INDEX('Reward Model'!$E$18:$E$37,MATCH($E1346,'Reward Model'!$A$18:$A$37,0))</f>
        <v>Low</v>
      </c>
      <c r="Z1346" s="4" t="n">
        <f aca="false">ROUND(MIN(1,MAX('Reward Model'!$B$2,INDEX('Reward Model'!$C$12:$C$14,MATCH($K1346,'Reward Model'!$A$12:$A$14,0))/$J1346)),3)</f>
        <v>1</v>
      </c>
      <c r="AA1346" s="2" t="n">
        <f aca="false">IF($I1346="Correct",ROUND(INDEX('Reward Model'!$B$12:$B$14,MATCH($K1346,'Reward Model'!$A$12:$A$14,0))*Z1346,2),0)</f>
        <v>1</v>
      </c>
      <c r="AB1346" s="2" t="n">
        <f aca="false">IF($I1346="Correct",ROUND(INDEX('Reward Model'!$B$12:$B$14,MATCH($Y1346,'Reward Model'!$A$12:$A$14,0))*Z1346,2),0)</f>
        <v>1</v>
      </c>
    </row>
    <row r="1347" customFormat="false" ht="15" hidden="false" customHeight="false" outlineLevel="0" collapsed="false">
      <c r="A1347" s="0" t="s">
        <v>263</v>
      </c>
      <c r="B1347" s="0" t="s">
        <v>264</v>
      </c>
      <c r="C1347" s="0" t="s">
        <v>30</v>
      </c>
      <c r="D1347" s="0" t="s">
        <v>189</v>
      </c>
      <c r="E1347" s="0" t="n">
        <v>6</v>
      </c>
      <c r="F1347" s="0" t="s">
        <v>48</v>
      </c>
      <c r="G1347" s="0" t="s">
        <v>143</v>
      </c>
      <c r="H1347" s="0" t="s">
        <v>49</v>
      </c>
      <c r="I1347" s="0" t="s">
        <v>39</v>
      </c>
      <c r="J1347" s="0" t="n">
        <v>1.12</v>
      </c>
      <c r="K1347" s="0" t="s">
        <v>35</v>
      </c>
      <c r="L1347" s="0" t="n">
        <f aca="false">INDEX(Summary!$F$2:$F$201,MATCH($B1347,Summary!$A$2:$A$201,0))</f>
        <v>20</v>
      </c>
      <c r="M1347" s="0" t="n">
        <f aca="false">INDEX(Summary!$I$2:$I$201,MATCH($B1347,Summary!$A$2:$A$201,0))</f>
        <v>4</v>
      </c>
      <c r="N1347" s="0" t="n">
        <f aca="false">INDEX(Summary!$J$2:$J$201,MATCH($B1347,Summary!$A$2:$A$201,0))</f>
        <v>1</v>
      </c>
      <c r="O1347" s="2" t="n">
        <f aca="false">INDEX(Summary!$K$2:$K$201,MATCH($B1347,Summary!$A$2:$A$201,0))</f>
        <v>11.34</v>
      </c>
      <c r="P1347" s="3" t="n">
        <f aca="false">INDEX(Summary!$L$2:$L$201,MATCH($B1347,Summary!$A$2:$A$201,0))</f>
        <v>5</v>
      </c>
      <c r="Q1347" s="3" t="n">
        <f aca="false">INDEX(Summary!$M$2:$M$201,MATCH($B1347,Summary!$A$2:$A$201,0))</f>
        <v>1</v>
      </c>
      <c r="R1347" s="2" t="n">
        <f aca="false">INDEX(Summary!$N$2:$N$201,MATCH($B1347,Summary!$A$2:$A$201,0))</f>
        <v>9.81</v>
      </c>
      <c r="S1347" s="3" t="n">
        <f aca="false">INDEX(Summary!$O$2:$O$201,MATCH($B1347,Summary!$A$2:$A$201,0))</f>
        <v>8</v>
      </c>
      <c r="T1347" s="3" t="n">
        <f aca="false">INDEX(Summary!$P$2:$P$201,MATCH($B1347,Summary!$A$2:$A$201,0))</f>
        <v>1</v>
      </c>
      <c r="U1347" s="2" t="n">
        <f aca="false">INDEX(Summary!$Q$2:$Q$201,MATCH($B1347,Summary!$A$2:$A$201,0))</f>
        <v>11.81</v>
      </c>
      <c r="V1347" s="2" t="n">
        <f aca="false">INDEX(Summary!$R$2:$R$201,MATCH($B1347,Summary!$A$2:$A$201,0))</f>
        <v>31.81</v>
      </c>
      <c r="W1347" s="0" t="str">
        <f aca="false">INDEX(Summary!$S$2:$S$201,MATCH($B1347,Summary!$A$2:$A$201,0))</f>
        <v>Gold</v>
      </c>
      <c r="X1347" s="2" t="n">
        <f aca="false">INDEX(Summary!$T$2:$T$201,MATCH($B1347,Summary!$A$2:$A$201,0))</f>
        <v>77.59</v>
      </c>
      <c r="Y1347" s="0" t="str">
        <f aca="false">INDEX('Reward Model'!$E$18:$E$37,MATCH($E1347,'Reward Model'!$A$18:$A$37,0))</f>
        <v>Medium</v>
      </c>
      <c r="Z1347" s="4" t="n">
        <f aca="false">ROUND(MIN(1,MAX('Reward Model'!$B$2,INDEX('Reward Model'!$C$12:$C$14,MATCH($K1347,'Reward Model'!$A$12:$A$14,0))/$J1347)),3)</f>
        <v>1</v>
      </c>
      <c r="AA1347" s="2" t="n">
        <f aca="false">IF($I1347="Correct",ROUND(INDEX('Reward Model'!$B$12:$B$14,MATCH($K1347,'Reward Model'!$A$12:$A$14,0))*Z1347,2),0)</f>
        <v>0</v>
      </c>
      <c r="AB1347" s="2" t="n">
        <f aca="false">IF($I1347="Correct",ROUND(INDEX('Reward Model'!$B$12:$B$14,MATCH($Y1347,'Reward Model'!$A$12:$A$14,0))*Z1347,2),0)</f>
        <v>0</v>
      </c>
    </row>
    <row r="1348" customFormat="false" ht="15" hidden="false" customHeight="false" outlineLevel="0" collapsed="false">
      <c r="A1348" s="0" t="s">
        <v>263</v>
      </c>
      <c r="B1348" s="0" t="s">
        <v>264</v>
      </c>
      <c r="C1348" s="0" t="s">
        <v>30</v>
      </c>
      <c r="D1348" s="0" t="s">
        <v>189</v>
      </c>
      <c r="E1348" s="0" t="n">
        <v>7</v>
      </c>
      <c r="F1348" s="0" t="s">
        <v>50</v>
      </c>
      <c r="G1348" s="0" t="s">
        <v>51</v>
      </c>
      <c r="H1348" s="0" t="s">
        <v>51</v>
      </c>
      <c r="I1348" s="0" t="s">
        <v>34</v>
      </c>
      <c r="J1348" s="0" t="n">
        <v>1.03</v>
      </c>
      <c r="K1348" s="0" t="s">
        <v>35</v>
      </c>
      <c r="L1348" s="0" t="n">
        <f aca="false">INDEX(Summary!$F$2:$F$201,MATCH($B1348,Summary!$A$2:$A$201,0))</f>
        <v>20</v>
      </c>
      <c r="M1348" s="0" t="n">
        <f aca="false">INDEX(Summary!$I$2:$I$201,MATCH($B1348,Summary!$A$2:$A$201,0))</f>
        <v>4</v>
      </c>
      <c r="N1348" s="0" t="n">
        <f aca="false">INDEX(Summary!$J$2:$J$201,MATCH($B1348,Summary!$A$2:$A$201,0))</f>
        <v>1</v>
      </c>
      <c r="O1348" s="2" t="n">
        <f aca="false">INDEX(Summary!$K$2:$K$201,MATCH($B1348,Summary!$A$2:$A$201,0))</f>
        <v>11.34</v>
      </c>
      <c r="P1348" s="3" t="n">
        <f aca="false">INDEX(Summary!$L$2:$L$201,MATCH($B1348,Summary!$A$2:$A$201,0))</f>
        <v>5</v>
      </c>
      <c r="Q1348" s="3" t="n">
        <f aca="false">INDEX(Summary!$M$2:$M$201,MATCH($B1348,Summary!$A$2:$A$201,0))</f>
        <v>1</v>
      </c>
      <c r="R1348" s="2" t="n">
        <f aca="false">INDEX(Summary!$N$2:$N$201,MATCH($B1348,Summary!$A$2:$A$201,0))</f>
        <v>9.81</v>
      </c>
      <c r="S1348" s="3" t="n">
        <f aca="false">INDEX(Summary!$O$2:$O$201,MATCH($B1348,Summary!$A$2:$A$201,0))</f>
        <v>8</v>
      </c>
      <c r="T1348" s="3" t="n">
        <f aca="false">INDEX(Summary!$P$2:$P$201,MATCH($B1348,Summary!$A$2:$A$201,0))</f>
        <v>1</v>
      </c>
      <c r="U1348" s="2" t="n">
        <f aca="false">INDEX(Summary!$Q$2:$Q$201,MATCH($B1348,Summary!$A$2:$A$201,0))</f>
        <v>11.81</v>
      </c>
      <c r="V1348" s="2" t="n">
        <f aca="false">INDEX(Summary!$R$2:$R$201,MATCH($B1348,Summary!$A$2:$A$201,0))</f>
        <v>31.81</v>
      </c>
      <c r="W1348" s="0" t="str">
        <f aca="false">INDEX(Summary!$S$2:$S$201,MATCH($B1348,Summary!$A$2:$A$201,0))</f>
        <v>Gold</v>
      </c>
      <c r="X1348" s="2" t="n">
        <f aca="false">INDEX(Summary!$T$2:$T$201,MATCH($B1348,Summary!$A$2:$A$201,0))</f>
        <v>77.59</v>
      </c>
      <c r="Y1348" s="0" t="str">
        <f aca="false">INDEX('Reward Model'!$E$18:$E$37,MATCH($E1348,'Reward Model'!$A$18:$A$37,0))</f>
        <v>Low</v>
      </c>
      <c r="Z1348" s="4" t="n">
        <f aca="false">ROUND(MIN(1,MAX('Reward Model'!$B$2,INDEX('Reward Model'!$C$12:$C$14,MATCH($K1348,'Reward Model'!$A$12:$A$14,0))/$J1348)),3)</f>
        <v>1</v>
      </c>
      <c r="AA1348" s="2" t="n">
        <f aca="false">IF($I1348="Correct",ROUND(INDEX('Reward Model'!$B$12:$B$14,MATCH($K1348,'Reward Model'!$A$12:$A$14,0))*Z1348,2),0)</f>
        <v>1</v>
      </c>
      <c r="AB1348" s="2" t="n">
        <f aca="false">IF($I1348="Correct",ROUND(INDEX('Reward Model'!$B$12:$B$14,MATCH($Y1348,'Reward Model'!$A$12:$A$14,0))*Z1348,2),0)</f>
        <v>1</v>
      </c>
    </row>
    <row r="1349" customFormat="false" ht="15" hidden="false" customHeight="false" outlineLevel="0" collapsed="false">
      <c r="A1349" s="0" t="s">
        <v>263</v>
      </c>
      <c r="B1349" s="0" t="s">
        <v>264</v>
      </c>
      <c r="C1349" s="0" t="s">
        <v>30</v>
      </c>
      <c r="D1349" s="0" t="s">
        <v>189</v>
      </c>
      <c r="E1349" s="0" t="n">
        <v>8</v>
      </c>
      <c r="F1349" s="0" t="s">
        <v>52</v>
      </c>
      <c r="G1349" s="0" t="s">
        <v>54</v>
      </c>
      <c r="H1349" s="0" t="s">
        <v>54</v>
      </c>
      <c r="I1349" s="0" t="s">
        <v>34</v>
      </c>
      <c r="J1349" s="0" t="n">
        <v>1.08</v>
      </c>
      <c r="K1349" s="0" t="s">
        <v>35</v>
      </c>
      <c r="L1349" s="0" t="n">
        <f aca="false">INDEX(Summary!$F$2:$F$201,MATCH($B1349,Summary!$A$2:$A$201,0))</f>
        <v>20</v>
      </c>
      <c r="M1349" s="0" t="n">
        <f aca="false">INDEX(Summary!$I$2:$I$201,MATCH($B1349,Summary!$A$2:$A$201,0))</f>
        <v>4</v>
      </c>
      <c r="N1349" s="0" t="n">
        <f aca="false">INDEX(Summary!$J$2:$J$201,MATCH($B1349,Summary!$A$2:$A$201,0))</f>
        <v>1</v>
      </c>
      <c r="O1349" s="2" t="n">
        <f aca="false">INDEX(Summary!$K$2:$K$201,MATCH($B1349,Summary!$A$2:$A$201,0))</f>
        <v>11.34</v>
      </c>
      <c r="P1349" s="3" t="n">
        <f aca="false">INDEX(Summary!$L$2:$L$201,MATCH($B1349,Summary!$A$2:$A$201,0))</f>
        <v>5</v>
      </c>
      <c r="Q1349" s="3" t="n">
        <f aca="false">INDEX(Summary!$M$2:$M$201,MATCH($B1349,Summary!$A$2:$A$201,0))</f>
        <v>1</v>
      </c>
      <c r="R1349" s="2" t="n">
        <f aca="false">INDEX(Summary!$N$2:$N$201,MATCH($B1349,Summary!$A$2:$A$201,0))</f>
        <v>9.81</v>
      </c>
      <c r="S1349" s="3" t="n">
        <f aca="false">INDEX(Summary!$O$2:$O$201,MATCH($B1349,Summary!$A$2:$A$201,0))</f>
        <v>8</v>
      </c>
      <c r="T1349" s="3" t="n">
        <f aca="false">INDEX(Summary!$P$2:$P$201,MATCH($B1349,Summary!$A$2:$A$201,0))</f>
        <v>1</v>
      </c>
      <c r="U1349" s="2" t="n">
        <f aca="false">INDEX(Summary!$Q$2:$Q$201,MATCH($B1349,Summary!$A$2:$A$201,0))</f>
        <v>11.81</v>
      </c>
      <c r="V1349" s="2" t="n">
        <f aca="false">INDEX(Summary!$R$2:$R$201,MATCH($B1349,Summary!$A$2:$A$201,0))</f>
        <v>31.81</v>
      </c>
      <c r="W1349" s="0" t="str">
        <f aca="false">INDEX(Summary!$S$2:$S$201,MATCH($B1349,Summary!$A$2:$A$201,0))</f>
        <v>Gold</v>
      </c>
      <c r="X1349" s="2" t="n">
        <f aca="false">INDEX(Summary!$T$2:$T$201,MATCH($B1349,Summary!$A$2:$A$201,0))</f>
        <v>77.59</v>
      </c>
      <c r="Y1349" s="0" t="str">
        <f aca="false">INDEX('Reward Model'!$E$18:$E$37,MATCH($E1349,'Reward Model'!$A$18:$A$37,0))</f>
        <v>Medium</v>
      </c>
      <c r="Z1349" s="4" t="n">
        <f aca="false">ROUND(MIN(1,MAX('Reward Model'!$B$2,INDEX('Reward Model'!$C$12:$C$14,MATCH($K1349,'Reward Model'!$A$12:$A$14,0))/$J1349)),3)</f>
        <v>1</v>
      </c>
      <c r="AA1349" s="2" t="n">
        <f aca="false">IF($I1349="Correct",ROUND(INDEX('Reward Model'!$B$12:$B$14,MATCH($K1349,'Reward Model'!$A$12:$A$14,0))*Z1349,2),0)</f>
        <v>1</v>
      </c>
      <c r="AB1349" s="2" t="n">
        <f aca="false">IF($I1349="Correct",ROUND(INDEX('Reward Model'!$B$12:$B$14,MATCH($Y1349,'Reward Model'!$A$12:$A$14,0))*Z1349,2),0)</f>
        <v>2</v>
      </c>
    </row>
    <row r="1350" customFormat="false" ht="15" hidden="false" customHeight="false" outlineLevel="0" collapsed="false">
      <c r="A1350" s="0" t="s">
        <v>263</v>
      </c>
      <c r="B1350" s="0" t="s">
        <v>264</v>
      </c>
      <c r="C1350" s="0" t="s">
        <v>30</v>
      </c>
      <c r="D1350" s="0" t="s">
        <v>189</v>
      </c>
      <c r="E1350" s="0" t="n">
        <v>9</v>
      </c>
      <c r="F1350" s="0" t="s">
        <v>55</v>
      </c>
      <c r="G1350" s="0" t="s">
        <v>57</v>
      </c>
      <c r="H1350" s="0" t="s">
        <v>57</v>
      </c>
      <c r="I1350" s="0" t="s">
        <v>34</v>
      </c>
      <c r="J1350" s="0" t="n">
        <v>1.35</v>
      </c>
      <c r="K1350" s="0" t="s">
        <v>35</v>
      </c>
      <c r="L1350" s="0" t="n">
        <f aca="false">INDEX(Summary!$F$2:$F$201,MATCH($B1350,Summary!$A$2:$A$201,0))</f>
        <v>20</v>
      </c>
      <c r="M1350" s="0" t="n">
        <f aca="false">INDEX(Summary!$I$2:$I$201,MATCH($B1350,Summary!$A$2:$A$201,0))</f>
        <v>4</v>
      </c>
      <c r="N1350" s="0" t="n">
        <f aca="false">INDEX(Summary!$J$2:$J$201,MATCH($B1350,Summary!$A$2:$A$201,0))</f>
        <v>1</v>
      </c>
      <c r="O1350" s="2" t="n">
        <f aca="false">INDEX(Summary!$K$2:$K$201,MATCH($B1350,Summary!$A$2:$A$201,0))</f>
        <v>11.34</v>
      </c>
      <c r="P1350" s="3" t="n">
        <f aca="false">INDEX(Summary!$L$2:$L$201,MATCH($B1350,Summary!$A$2:$A$201,0))</f>
        <v>5</v>
      </c>
      <c r="Q1350" s="3" t="n">
        <f aca="false">INDEX(Summary!$M$2:$M$201,MATCH($B1350,Summary!$A$2:$A$201,0))</f>
        <v>1</v>
      </c>
      <c r="R1350" s="2" t="n">
        <f aca="false">INDEX(Summary!$N$2:$N$201,MATCH($B1350,Summary!$A$2:$A$201,0))</f>
        <v>9.81</v>
      </c>
      <c r="S1350" s="3" t="n">
        <f aca="false">INDEX(Summary!$O$2:$O$201,MATCH($B1350,Summary!$A$2:$A$201,0))</f>
        <v>8</v>
      </c>
      <c r="T1350" s="3" t="n">
        <f aca="false">INDEX(Summary!$P$2:$P$201,MATCH($B1350,Summary!$A$2:$A$201,0))</f>
        <v>1</v>
      </c>
      <c r="U1350" s="2" t="n">
        <f aca="false">INDEX(Summary!$Q$2:$Q$201,MATCH($B1350,Summary!$A$2:$A$201,0))</f>
        <v>11.81</v>
      </c>
      <c r="V1350" s="2" t="n">
        <f aca="false">INDEX(Summary!$R$2:$R$201,MATCH($B1350,Summary!$A$2:$A$201,0))</f>
        <v>31.81</v>
      </c>
      <c r="W1350" s="0" t="str">
        <f aca="false">INDEX(Summary!$S$2:$S$201,MATCH($B1350,Summary!$A$2:$A$201,0))</f>
        <v>Gold</v>
      </c>
      <c r="X1350" s="2" t="n">
        <f aca="false">INDEX(Summary!$T$2:$T$201,MATCH($B1350,Summary!$A$2:$A$201,0))</f>
        <v>77.59</v>
      </c>
      <c r="Y1350" s="0" t="str">
        <f aca="false">INDEX('Reward Model'!$E$18:$E$37,MATCH($E1350,'Reward Model'!$A$18:$A$37,0))</f>
        <v>Medium</v>
      </c>
      <c r="Z1350" s="4" t="n">
        <f aca="false">ROUND(MIN(1,MAX('Reward Model'!$B$2,INDEX('Reward Model'!$C$12:$C$14,MATCH($K1350,'Reward Model'!$A$12:$A$14,0))/$J1350)),3)</f>
        <v>1</v>
      </c>
      <c r="AA1350" s="2" t="n">
        <f aca="false">IF($I1350="Correct",ROUND(INDEX('Reward Model'!$B$12:$B$14,MATCH($K1350,'Reward Model'!$A$12:$A$14,0))*Z1350,2),0)</f>
        <v>1</v>
      </c>
      <c r="AB1350" s="2" t="n">
        <f aca="false">IF($I1350="Correct",ROUND(INDEX('Reward Model'!$B$12:$B$14,MATCH($Y1350,'Reward Model'!$A$12:$A$14,0))*Z1350,2),0)</f>
        <v>2</v>
      </c>
    </row>
    <row r="1351" customFormat="false" ht="15" hidden="false" customHeight="false" outlineLevel="0" collapsed="false">
      <c r="A1351" s="0" t="s">
        <v>263</v>
      </c>
      <c r="B1351" s="0" t="s">
        <v>264</v>
      </c>
      <c r="C1351" s="0" t="s">
        <v>30</v>
      </c>
      <c r="D1351" s="0" t="s">
        <v>189</v>
      </c>
      <c r="E1351" s="0" t="n">
        <v>10</v>
      </c>
      <c r="F1351" s="0" t="s">
        <v>58</v>
      </c>
      <c r="G1351" s="0" t="s">
        <v>174</v>
      </c>
      <c r="H1351" s="0" t="s">
        <v>59</v>
      </c>
      <c r="I1351" s="0" t="s">
        <v>39</v>
      </c>
      <c r="J1351" s="0" t="n">
        <v>1.42</v>
      </c>
      <c r="K1351" s="0" t="s">
        <v>60</v>
      </c>
      <c r="L1351" s="0" t="n">
        <f aca="false">INDEX(Summary!$F$2:$F$201,MATCH($B1351,Summary!$A$2:$A$201,0))</f>
        <v>20</v>
      </c>
      <c r="M1351" s="0" t="n">
        <f aca="false">INDEX(Summary!$I$2:$I$201,MATCH($B1351,Summary!$A$2:$A$201,0))</f>
        <v>4</v>
      </c>
      <c r="N1351" s="0" t="n">
        <f aca="false">INDEX(Summary!$J$2:$J$201,MATCH($B1351,Summary!$A$2:$A$201,0))</f>
        <v>1</v>
      </c>
      <c r="O1351" s="2" t="n">
        <f aca="false">INDEX(Summary!$K$2:$K$201,MATCH($B1351,Summary!$A$2:$A$201,0))</f>
        <v>11.34</v>
      </c>
      <c r="P1351" s="3" t="n">
        <f aca="false">INDEX(Summary!$L$2:$L$201,MATCH($B1351,Summary!$A$2:$A$201,0))</f>
        <v>5</v>
      </c>
      <c r="Q1351" s="3" t="n">
        <f aca="false">INDEX(Summary!$M$2:$M$201,MATCH($B1351,Summary!$A$2:$A$201,0))</f>
        <v>1</v>
      </c>
      <c r="R1351" s="2" t="n">
        <f aca="false">INDEX(Summary!$N$2:$N$201,MATCH($B1351,Summary!$A$2:$A$201,0))</f>
        <v>9.81</v>
      </c>
      <c r="S1351" s="3" t="n">
        <f aca="false">INDEX(Summary!$O$2:$O$201,MATCH($B1351,Summary!$A$2:$A$201,0))</f>
        <v>8</v>
      </c>
      <c r="T1351" s="3" t="n">
        <f aca="false">INDEX(Summary!$P$2:$P$201,MATCH($B1351,Summary!$A$2:$A$201,0))</f>
        <v>1</v>
      </c>
      <c r="U1351" s="2" t="n">
        <f aca="false">INDEX(Summary!$Q$2:$Q$201,MATCH($B1351,Summary!$A$2:$A$201,0))</f>
        <v>11.81</v>
      </c>
      <c r="V1351" s="2" t="n">
        <f aca="false">INDEX(Summary!$R$2:$R$201,MATCH($B1351,Summary!$A$2:$A$201,0))</f>
        <v>31.81</v>
      </c>
      <c r="W1351" s="0" t="str">
        <f aca="false">INDEX(Summary!$S$2:$S$201,MATCH($B1351,Summary!$A$2:$A$201,0))</f>
        <v>Gold</v>
      </c>
      <c r="X1351" s="2" t="n">
        <f aca="false">INDEX(Summary!$T$2:$T$201,MATCH($B1351,Summary!$A$2:$A$201,0))</f>
        <v>77.59</v>
      </c>
      <c r="Y1351" s="0" t="str">
        <f aca="false">INDEX('Reward Model'!$E$18:$E$37,MATCH($E1351,'Reward Model'!$A$18:$A$37,0))</f>
        <v>Medium</v>
      </c>
      <c r="Z1351" s="4" t="n">
        <f aca="false">ROUND(MIN(1,MAX('Reward Model'!$B$2,INDEX('Reward Model'!$C$12:$C$14,MATCH($K1351,'Reward Model'!$A$12:$A$14,0))/$J1351)),3)</f>
        <v>1</v>
      </c>
      <c r="AA1351" s="2" t="n">
        <f aca="false">IF($I1351="Correct",ROUND(INDEX('Reward Model'!$B$12:$B$14,MATCH($K1351,'Reward Model'!$A$12:$A$14,0))*Z1351,2),0)</f>
        <v>0</v>
      </c>
      <c r="AB1351" s="2" t="n">
        <f aca="false">IF($I1351="Correct",ROUND(INDEX('Reward Model'!$B$12:$B$14,MATCH($Y1351,'Reward Model'!$A$12:$A$14,0))*Z1351,2),0)</f>
        <v>0</v>
      </c>
    </row>
    <row r="1352" customFormat="false" ht="15" hidden="false" customHeight="false" outlineLevel="0" collapsed="false">
      <c r="A1352" s="0" t="s">
        <v>263</v>
      </c>
      <c r="B1352" s="0" t="s">
        <v>264</v>
      </c>
      <c r="C1352" s="0" t="s">
        <v>30</v>
      </c>
      <c r="D1352" s="0" t="s">
        <v>189</v>
      </c>
      <c r="E1352" s="0" t="n">
        <v>11</v>
      </c>
      <c r="F1352" s="0" t="s">
        <v>61</v>
      </c>
      <c r="G1352" s="0" t="s">
        <v>63</v>
      </c>
      <c r="H1352" s="0" t="s">
        <v>63</v>
      </c>
      <c r="I1352" s="0" t="s">
        <v>34</v>
      </c>
      <c r="J1352" s="0" t="n">
        <v>1.59</v>
      </c>
      <c r="K1352" s="0" t="s">
        <v>60</v>
      </c>
      <c r="L1352" s="0" t="n">
        <f aca="false">INDEX(Summary!$F$2:$F$201,MATCH($B1352,Summary!$A$2:$A$201,0))</f>
        <v>20</v>
      </c>
      <c r="M1352" s="0" t="n">
        <f aca="false">INDEX(Summary!$I$2:$I$201,MATCH($B1352,Summary!$A$2:$A$201,0))</f>
        <v>4</v>
      </c>
      <c r="N1352" s="0" t="n">
        <f aca="false">INDEX(Summary!$J$2:$J$201,MATCH($B1352,Summary!$A$2:$A$201,0))</f>
        <v>1</v>
      </c>
      <c r="O1352" s="2" t="n">
        <f aca="false">INDEX(Summary!$K$2:$K$201,MATCH($B1352,Summary!$A$2:$A$201,0))</f>
        <v>11.34</v>
      </c>
      <c r="P1352" s="3" t="n">
        <f aca="false">INDEX(Summary!$L$2:$L$201,MATCH($B1352,Summary!$A$2:$A$201,0))</f>
        <v>5</v>
      </c>
      <c r="Q1352" s="3" t="n">
        <f aca="false">INDEX(Summary!$M$2:$M$201,MATCH($B1352,Summary!$A$2:$A$201,0))</f>
        <v>1</v>
      </c>
      <c r="R1352" s="2" t="n">
        <f aca="false">INDEX(Summary!$N$2:$N$201,MATCH($B1352,Summary!$A$2:$A$201,0))</f>
        <v>9.81</v>
      </c>
      <c r="S1352" s="3" t="n">
        <f aca="false">INDEX(Summary!$O$2:$O$201,MATCH($B1352,Summary!$A$2:$A$201,0))</f>
        <v>8</v>
      </c>
      <c r="T1352" s="3" t="n">
        <f aca="false">INDEX(Summary!$P$2:$P$201,MATCH($B1352,Summary!$A$2:$A$201,0))</f>
        <v>1</v>
      </c>
      <c r="U1352" s="2" t="n">
        <f aca="false">INDEX(Summary!$Q$2:$Q$201,MATCH($B1352,Summary!$A$2:$A$201,0))</f>
        <v>11.81</v>
      </c>
      <c r="V1352" s="2" t="n">
        <f aca="false">INDEX(Summary!$R$2:$R$201,MATCH($B1352,Summary!$A$2:$A$201,0))</f>
        <v>31.81</v>
      </c>
      <c r="W1352" s="0" t="str">
        <f aca="false">INDEX(Summary!$S$2:$S$201,MATCH($B1352,Summary!$A$2:$A$201,0))</f>
        <v>Gold</v>
      </c>
      <c r="X1352" s="2" t="n">
        <f aca="false">INDEX(Summary!$T$2:$T$201,MATCH($B1352,Summary!$A$2:$A$201,0))</f>
        <v>77.59</v>
      </c>
      <c r="Y1352" s="0" t="str">
        <f aca="false">INDEX('Reward Model'!$E$18:$E$37,MATCH($E1352,'Reward Model'!$A$18:$A$37,0))</f>
        <v>Medium</v>
      </c>
      <c r="Z1352" s="4" t="n">
        <f aca="false">ROUND(MIN(1,MAX('Reward Model'!$B$2,INDEX('Reward Model'!$C$12:$C$14,MATCH($K1352,'Reward Model'!$A$12:$A$14,0))/$J1352)),3)</f>
        <v>1</v>
      </c>
      <c r="AA1352" s="2" t="n">
        <f aca="false">IF($I1352="Correct",ROUND(INDEX('Reward Model'!$B$12:$B$14,MATCH($K1352,'Reward Model'!$A$12:$A$14,0))*Z1352,2),0)</f>
        <v>2</v>
      </c>
      <c r="AB1352" s="2" t="n">
        <f aca="false">IF($I1352="Correct",ROUND(INDEX('Reward Model'!$B$12:$B$14,MATCH($Y1352,'Reward Model'!$A$12:$A$14,0))*Z1352,2),0)</f>
        <v>2</v>
      </c>
    </row>
    <row r="1353" customFormat="false" ht="15" hidden="false" customHeight="false" outlineLevel="0" collapsed="false">
      <c r="A1353" s="0" t="s">
        <v>263</v>
      </c>
      <c r="B1353" s="0" t="s">
        <v>264</v>
      </c>
      <c r="C1353" s="0" t="s">
        <v>30</v>
      </c>
      <c r="D1353" s="0" t="s">
        <v>189</v>
      </c>
      <c r="E1353" s="0" t="n">
        <v>12</v>
      </c>
      <c r="F1353" s="0" t="s">
        <v>64</v>
      </c>
      <c r="G1353" s="0" t="s">
        <v>65</v>
      </c>
      <c r="H1353" s="0" t="s">
        <v>65</v>
      </c>
      <c r="I1353" s="0" t="s">
        <v>34</v>
      </c>
      <c r="J1353" s="0" t="n">
        <v>1.85</v>
      </c>
      <c r="K1353" s="0" t="s">
        <v>60</v>
      </c>
      <c r="L1353" s="0" t="n">
        <f aca="false">INDEX(Summary!$F$2:$F$201,MATCH($B1353,Summary!$A$2:$A$201,0))</f>
        <v>20</v>
      </c>
      <c r="M1353" s="0" t="n">
        <f aca="false">INDEX(Summary!$I$2:$I$201,MATCH($B1353,Summary!$A$2:$A$201,0))</f>
        <v>4</v>
      </c>
      <c r="N1353" s="0" t="n">
        <f aca="false">INDEX(Summary!$J$2:$J$201,MATCH($B1353,Summary!$A$2:$A$201,0))</f>
        <v>1</v>
      </c>
      <c r="O1353" s="2" t="n">
        <f aca="false">INDEX(Summary!$K$2:$K$201,MATCH($B1353,Summary!$A$2:$A$201,0))</f>
        <v>11.34</v>
      </c>
      <c r="P1353" s="3" t="n">
        <f aca="false">INDEX(Summary!$L$2:$L$201,MATCH($B1353,Summary!$A$2:$A$201,0))</f>
        <v>5</v>
      </c>
      <c r="Q1353" s="3" t="n">
        <f aca="false">INDEX(Summary!$M$2:$M$201,MATCH($B1353,Summary!$A$2:$A$201,0))</f>
        <v>1</v>
      </c>
      <c r="R1353" s="2" t="n">
        <f aca="false">INDEX(Summary!$N$2:$N$201,MATCH($B1353,Summary!$A$2:$A$201,0))</f>
        <v>9.81</v>
      </c>
      <c r="S1353" s="3" t="n">
        <f aca="false">INDEX(Summary!$O$2:$O$201,MATCH($B1353,Summary!$A$2:$A$201,0))</f>
        <v>8</v>
      </c>
      <c r="T1353" s="3" t="n">
        <f aca="false">INDEX(Summary!$P$2:$P$201,MATCH($B1353,Summary!$A$2:$A$201,0))</f>
        <v>1</v>
      </c>
      <c r="U1353" s="2" t="n">
        <f aca="false">INDEX(Summary!$Q$2:$Q$201,MATCH($B1353,Summary!$A$2:$A$201,0))</f>
        <v>11.81</v>
      </c>
      <c r="V1353" s="2" t="n">
        <f aca="false">INDEX(Summary!$R$2:$R$201,MATCH($B1353,Summary!$A$2:$A$201,0))</f>
        <v>31.81</v>
      </c>
      <c r="W1353" s="0" t="str">
        <f aca="false">INDEX(Summary!$S$2:$S$201,MATCH($B1353,Summary!$A$2:$A$201,0))</f>
        <v>Gold</v>
      </c>
      <c r="X1353" s="2" t="n">
        <f aca="false">INDEX(Summary!$T$2:$T$201,MATCH($B1353,Summary!$A$2:$A$201,0))</f>
        <v>77.59</v>
      </c>
      <c r="Y1353" s="0" t="str">
        <f aca="false">INDEX('Reward Model'!$E$18:$E$37,MATCH($E1353,'Reward Model'!$A$18:$A$37,0))</f>
        <v>Medium</v>
      </c>
      <c r="Z1353" s="4" t="n">
        <f aca="false">ROUND(MIN(1,MAX('Reward Model'!$B$2,INDEX('Reward Model'!$C$12:$C$14,MATCH($K1353,'Reward Model'!$A$12:$A$14,0))/$J1353)),3)</f>
        <v>0.973</v>
      </c>
      <c r="AA1353" s="2" t="n">
        <f aca="false">IF($I1353="Correct",ROUND(INDEX('Reward Model'!$B$12:$B$14,MATCH($K1353,'Reward Model'!$A$12:$A$14,0))*Z1353,2),0)</f>
        <v>1.95</v>
      </c>
      <c r="AB1353" s="2" t="n">
        <f aca="false">IF($I1353="Correct",ROUND(INDEX('Reward Model'!$B$12:$B$14,MATCH($Y1353,'Reward Model'!$A$12:$A$14,0))*Z1353,2),0)</f>
        <v>1.95</v>
      </c>
    </row>
    <row r="1354" customFormat="false" ht="15" hidden="false" customHeight="false" outlineLevel="0" collapsed="false">
      <c r="A1354" s="0" t="s">
        <v>263</v>
      </c>
      <c r="B1354" s="0" t="s">
        <v>264</v>
      </c>
      <c r="C1354" s="0" t="s">
        <v>30</v>
      </c>
      <c r="D1354" s="0" t="s">
        <v>189</v>
      </c>
      <c r="E1354" s="0" t="n">
        <v>13</v>
      </c>
      <c r="F1354" s="0" t="s">
        <v>66</v>
      </c>
      <c r="G1354" s="0" t="s">
        <v>67</v>
      </c>
      <c r="H1354" s="0" t="s">
        <v>67</v>
      </c>
      <c r="I1354" s="0" t="s">
        <v>34</v>
      </c>
      <c r="J1354" s="0" t="n">
        <v>1.56</v>
      </c>
      <c r="K1354" s="0" t="s">
        <v>60</v>
      </c>
      <c r="L1354" s="0" t="n">
        <f aca="false">INDEX(Summary!$F$2:$F$201,MATCH($B1354,Summary!$A$2:$A$201,0))</f>
        <v>20</v>
      </c>
      <c r="M1354" s="0" t="n">
        <f aca="false">INDEX(Summary!$I$2:$I$201,MATCH($B1354,Summary!$A$2:$A$201,0))</f>
        <v>4</v>
      </c>
      <c r="N1354" s="0" t="n">
        <f aca="false">INDEX(Summary!$J$2:$J$201,MATCH($B1354,Summary!$A$2:$A$201,0))</f>
        <v>1</v>
      </c>
      <c r="O1354" s="2" t="n">
        <f aca="false">INDEX(Summary!$K$2:$K$201,MATCH($B1354,Summary!$A$2:$A$201,0))</f>
        <v>11.34</v>
      </c>
      <c r="P1354" s="3" t="n">
        <f aca="false">INDEX(Summary!$L$2:$L$201,MATCH($B1354,Summary!$A$2:$A$201,0))</f>
        <v>5</v>
      </c>
      <c r="Q1354" s="3" t="n">
        <f aca="false">INDEX(Summary!$M$2:$M$201,MATCH($B1354,Summary!$A$2:$A$201,0))</f>
        <v>1</v>
      </c>
      <c r="R1354" s="2" t="n">
        <f aca="false">INDEX(Summary!$N$2:$N$201,MATCH($B1354,Summary!$A$2:$A$201,0))</f>
        <v>9.81</v>
      </c>
      <c r="S1354" s="3" t="n">
        <f aca="false">INDEX(Summary!$O$2:$O$201,MATCH($B1354,Summary!$A$2:$A$201,0))</f>
        <v>8</v>
      </c>
      <c r="T1354" s="3" t="n">
        <f aca="false">INDEX(Summary!$P$2:$P$201,MATCH($B1354,Summary!$A$2:$A$201,0))</f>
        <v>1</v>
      </c>
      <c r="U1354" s="2" t="n">
        <f aca="false">INDEX(Summary!$Q$2:$Q$201,MATCH($B1354,Summary!$A$2:$A$201,0))</f>
        <v>11.81</v>
      </c>
      <c r="V1354" s="2" t="n">
        <f aca="false">INDEX(Summary!$R$2:$R$201,MATCH($B1354,Summary!$A$2:$A$201,0))</f>
        <v>31.81</v>
      </c>
      <c r="W1354" s="0" t="str">
        <f aca="false">INDEX(Summary!$S$2:$S$201,MATCH($B1354,Summary!$A$2:$A$201,0))</f>
        <v>Gold</v>
      </c>
      <c r="X1354" s="2" t="n">
        <f aca="false">INDEX(Summary!$T$2:$T$201,MATCH($B1354,Summary!$A$2:$A$201,0))</f>
        <v>77.59</v>
      </c>
      <c r="Y1354" s="0" t="str">
        <f aca="false">INDEX('Reward Model'!$E$18:$E$37,MATCH($E1354,'Reward Model'!$A$18:$A$37,0))</f>
        <v>Medium</v>
      </c>
      <c r="Z1354" s="4" t="n">
        <f aca="false">ROUND(MIN(1,MAX('Reward Model'!$B$2,INDEX('Reward Model'!$C$12:$C$14,MATCH($K1354,'Reward Model'!$A$12:$A$14,0))/$J1354)),3)</f>
        <v>1</v>
      </c>
      <c r="AA1354" s="2" t="n">
        <f aca="false">IF($I1354="Correct",ROUND(INDEX('Reward Model'!$B$12:$B$14,MATCH($K1354,'Reward Model'!$A$12:$A$14,0))*Z1354,2),0)</f>
        <v>2</v>
      </c>
      <c r="AB1354" s="2" t="n">
        <f aca="false">IF($I1354="Correct",ROUND(INDEX('Reward Model'!$B$12:$B$14,MATCH($Y1354,'Reward Model'!$A$12:$A$14,0))*Z1354,2),0)</f>
        <v>2</v>
      </c>
    </row>
    <row r="1355" customFormat="false" ht="15" hidden="false" customHeight="false" outlineLevel="0" collapsed="false">
      <c r="A1355" s="0" t="s">
        <v>263</v>
      </c>
      <c r="B1355" s="0" t="s">
        <v>264</v>
      </c>
      <c r="C1355" s="0" t="s">
        <v>30</v>
      </c>
      <c r="D1355" s="0" t="s">
        <v>189</v>
      </c>
      <c r="E1355" s="0" t="n">
        <v>14</v>
      </c>
      <c r="F1355" s="0" t="s">
        <v>68</v>
      </c>
      <c r="G1355" s="0" t="s">
        <v>51</v>
      </c>
      <c r="H1355" s="0" t="s">
        <v>51</v>
      </c>
      <c r="I1355" s="0" t="s">
        <v>34</v>
      </c>
      <c r="J1355" s="0" t="n">
        <v>1.43</v>
      </c>
      <c r="K1355" s="0" t="s">
        <v>60</v>
      </c>
      <c r="L1355" s="0" t="n">
        <f aca="false">INDEX(Summary!$F$2:$F$201,MATCH($B1355,Summary!$A$2:$A$201,0))</f>
        <v>20</v>
      </c>
      <c r="M1355" s="0" t="n">
        <f aca="false">INDEX(Summary!$I$2:$I$201,MATCH($B1355,Summary!$A$2:$A$201,0))</f>
        <v>4</v>
      </c>
      <c r="N1355" s="0" t="n">
        <f aca="false">INDEX(Summary!$J$2:$J$201,MATCH($B1355,Summary!$A$2:$A$201,0))</f>
        <v>1</v>
      </c>
      <c r="O1355" s="2" t="n">
        <f aca="false">INDEX(Summary!$K$2:$K$201,MATCH($B1355,Summary!$A$2:$A$201,0))</f>
        <v>11.34</v>
      </c>
      <c r="P1355" s="3" t="n">
        <f aca="false">INDEX(Summary!$L$2:$L$201,MATCH($B1355,Summary!$A$2:$A$201,0))</f>
        <v>5</v>
      </c>
      <c r="Q1355" s="3" t="n">
        <f aca="false">INDEX(Summary!$M$2:$M$201,MATCH($B1355,Summary!$A$2:$A$201,0))</f>
        <v>1</v>
      </c>
      <c r="R1355" s="2" t="n">
        <f aca="false">INDEX(Summary!$N$2:$N$201,MATCH($B1355,Summary!$A$2:$A$201,0))</f>
        <v>9.81</v>
      </c>
      <c r="S1355" s="3" t="n">
        <f aca="false">INDEX(Summary!$O$2:$O$201,MATCH($B1355,Summary!$A$2:$A$201,0))</f>
        <v>8</v>
      </c>
      <c r="T1355" s="3" t="n">
        <f aca="false">INDEX(Summary!$P$2:$P$201,MATCH($B1355,Summary!$A$2:$A$201,0))</f>
        <v>1</v>
      </c>
      <c r="U1355" s="2" t="n">
        <f aca="false">INDEX(Summary!$Q$2:$Q$201,MATCH($B1355,Summary!$A$2:$A$201,0))</f>
        <v>11.81</v>
      </c>
      <c r="V1355" s="2" t="n">
        <f aca="false">INDEX(Summary!$R$2:$R$201,MATCH($B1355,Summary!$A$2:$A$201,0))</f>
        <v>31.81</v>
      </c>
      <c r="W1355" s="0" t="str">
        <f aca="false">INDEX(Summary!$S$2:$S$201,MATCH($B1355,Summary!$A$2:$A$201,0))</f>
        <v>Gold</v>
      </c>
      <c r="X1355" s="2" t="n">
        <f aca="false">INDEX(Summary!$T$2:$T$201,MATCH($B1355,Summary!$A$2:$A$201,0))</f>
        <v>77.59</v>
      </c>
      <c r="Y1355" s="0" t="str">
        <f aca="false">INDEX('Reward Model'!$E$18:$E$37,MATCH($E1355,'Reward Model'!$A$18:$A$37,0))</f>
        <v>Medium</v>
      </c>
      <c r="Z1355" s="4" t="n">
        <f aca="false">ROUND(MIN(1,MAX('Reward Model'!$B$2,INDEX('Reward Model'!$C$12:$C$14,MATCH($K1355,'Reward Model'!$A$12:$A$14,0))/$J1355)),3)</f>
        <v>1</v>
      </c>
      <c r="AA1355" s="2" t="n">
        <f aca="false">IF($I1355="Correct",ROUND(INDEX('Reward Model'!$B$12:$B$14,MATCH($K1355,'Reward Model'!$A$12:$A$14,0))*Z1355,2),0)</f>
        <v>2</v>
      </c>
      <c r="AB1355" s="2" t="n">
        <f aca="false">IF($I1355="Correct",ROUND(INDEX('Reward Model'!$B$12:$B$14,MATCH($Y1355,'Reward Model'!$A$12:$A$14,0))*Z1355,2),0)</f>
        <v>2</v>
      </c>
    </row>
    <row r="1356" customFormat="false" ht="15" hidden="false" customHeight="false" outlineLevel="0" collapsed="false">
      <c r="A1356" s="0" t="s">
        <v>263</v>
      </c>
      <c r="B1356" s="0" t="s">
        <v>264</v>
      </c>
      <c r="C1356" s="0" t="s">
        <v>30</v>
      </c>
      <c r="D1356" s="0" t="s">
        <v>189</v>
      </c>
      <c r="E1356" s="0" t="n">
        <v>15</v>
      </c>
      <c r="F1356" s="0" t="s">
        <v>69</v>
      </c>
      <c r="G1356" s="0" t="s">
        <v>70</v>
      </c>
      <c r="H1356" s="0" t="s">
        <v>70</v>
      </c>
      <c r="I1356" s="0" t="s">
        <v>34</v>
      </c>
      <c r="J1356" s="0" t="n">
        <v>1.96</v>
      </c>
      <c r="K1356" s="0" t="s">
        <v>60</v>
      </c>
      <c r="L1356" s="0" t="n">
        <f aca="false">INDEX(Summary!$F$2:$F$201,MATCH($B1356,Summary!$A$2:$A$201,0))</f>
        <v>20</v>
      </c>
      <c r="M1356" s="0" t="n">
        <f aca="false">INDEX(Summary!$I$2:$I$201,MATCH($B1356,Summary!$A$2:$A$201,0))</f>
        <v>4</v>
      </c>
      <c r="N1356" s="0" t="n">
        <f aca="false">INDEX(Summary!$J$2:$J$201,MATCH($B1356,Summary!$A$2:$A$201,0))</f>
        <v>1</v>
      </c>
      <c r="O1356" s="2" t="n">
        <f aca="false">INDEX(Summary!$K$2:$K$201,MATCH($B1356,Summary!$A$2:$A$201,0))</f>
        <v>11.34</v>
      </c>
      <c r="P1356" s="3" t="n">
        <f aca="false">INDEX(Summary!$L$2:$L$201,MATCH($B1356,Summary!$A$2:$A$201,0))</f>
        <v>5</v>
      </c>
      <c r="Q1356" s="3" t="n">
        <f aca="false">INDEX(Summary!$M$2:$M$201,MATCH($B1356,Summary!$A$2:$A$201,0))</f>
        <v>1</v>
      </c>
      <c r="R1356" s="2" t="n">
        <f aca="false">INDEX(Summary!$N$2:$N$201,MATCH($B1356,Summary!$A$2:$A$201,0))</f>
        <v>9.81</v>
      </c>
      <c r="S1356" s="3" t="n">
        <f aca="false">INDEX(Summary!$O$2:$O$201,MATCH($B1356,Summary!$A$2:$A$201,0))</f>
        <v>8</v>
      </c>
      <c r="T1356" s="3" t="n">
        <f aca="false">INDEX(Summary!$P$2:$P$201,MATCH($B1356,Summary!$A$2:$A$201,0))</f>
        <v>1</v>
      </c>
      <c r="U1356" s="2" t="n">
        <f aca="false">INDEX(Summary!$Q$2:$Q$201,MATCH($B1356,Summary!$A$2:$A$201,0))</f>
        <v>11.81</v>
      </c>
      <c r="V1356" s="2" t="n">
        <f aca="false">INDEX(Summary!$R$2:$R$201,MATCH($B1356,Summary!$A$2:$A$201,0))</f>
        <v>31.81</v>
      </c>
      <c r="W1356" s="0" t="str">
        <f aca="false">INDEX(Summary!$S$2:$S$201,MATCH($B1356,Summary!$A$2:$A$201,0))</f>
        <v>Gold</v>
      </c>
      <c r="X1356" s="2" t="n">
        <f aca="false">INDEX(Summary!$T$2:$T$201,MATCH($B1356,Summary!$A$2:$A$201,0))</f>
        <v>77.59</v>
      </c>
      <c r="Y1356" s="0" t="str">
        <f aca="false">INDEX('Reward Model'!$E$18:$E$37,MATCH($E1356,'Reward Model'!$A$18:$A$37,0))</f>
        <v>Medium</v>
      </c>
      <c r="Z1356" s="4" t="n">
        <f aca="false">ROUND(MIN(1,MAX('Reward Model'!$B$2,INDEX('Reward Model'!$C$12:$C$14,MATCH($K1356,'Reward Model'!$A$12:$A$14,0))/$J1356)),3)</f>
        <v>0.918</v>
      </c>
      <c r="AA1356" s="2" t="n">
        <f aca="false">IF($I1356="Correct",ROUND(INDEX('Reward Model'!$B$12:$B$14,MATCH($K1356,'Reward Model'!$A$12:$A$14,0))*Z1356,2),0)</f>
        <v>1.84</v>
      </c>
      <c r="AB1356" s="2" t="n">
        <f aca="false">IF($I1356="Correct",ROUND(INDEX('Reward Model'!$B$12:$B$14,MATCH($Y1356,'Reward Model'!$A$12:$A$14,0))*Z1356,2),0)</f>
        <v>1.84</v>
      </c>
    </row>
    <row r="1357" customFormat="false" ht="15" hidden="false" customHeight="false" outlineLevel="0" collapsed="false">
      <c r="A1357" s="0" t="s">
        <v>263</v>
      </c>
      <c r="B1357" s="0" t="s">
        <v>264</v>
      </c>
      <c r="C1357" s="0" t="s">
        <v>30</v>
      </c>
      <c r="D1357" s="0" t="s">
        <v>189</v>
      </c>
      <c r="E1357" s="0" t="n">
        <v>16</v>
      </c>
      <c r="F1357" s="0" t="s">
        <v>71</v>
      </c>
      <c r="G1357" s="0" t="s">
        <v>72</v>
      </c>
      <c r="H1357" s="0" t="s">
        <v>72</v>
      </c>
      <c r="I1357" s="0" t="s">
        <v>34</v>
      </c>
      <c r="J1357" s="0" t="n">
        <v>2.51</v>
      </c>
      <c r="K1357" s="0" t="s">
        <v>73</v>
      </c>
      <c r="L1357" s="0" t="n">
        <f aca="false">INDEX(Summary!$F$2:$F$201,MATCH($B1357,Summary!$A$2:$A$201,0))</f>
        <v>20</v>
      </c>
      <c r="M1357" s="0" t="n">
        <f aca="false">INDEX(Summary!$I$2:$I$201,MATCH($B1357,Summary!$A$2:$A$201,0))</f>
        <v>4</v>
      </c>
      <c r="N1357" s="0" t="n">
        <f aca="false">INDEX(Summary!$J$2:$J$201,MATCH($B1357,Summary!$A$2:$A$201,0))</f>
        <v>1</v>
      </c>
      <c r="O1357" s="2" t="n">
        <f aca="false">INDEX(Summary!$K$2:$K$201,MATCH($B1357,Summary!$A$2:$A$201,0))</f>
        <v>11.34</v>
      </c>
      <c r="P1357" s="3" t="n">
        <f aca="false">INDEX(Summary!$L$2:$L$201,MATCH($B1357,Summary!$A$2:$A$201,0))</f>
        <v>5</v>
      </c>
      <c r="Q1357" s="3" t="n">
        <f aca="false">INDEX(Summary!$M$2:$M$201,MATCH($B1357,Summary!$A$2:$A$201,0))</f>
        <v>1</v>
      </c>
      <c r="R1357" s="2" t="n">
        <f aca="false">INDEX(Summary!$N$2:$N$201,MATCH($B1357,Summary!$A$2:$A$201,0))</f>
        <v>9.81</v>
      </c>
      <c r="S1357" s="3" t="n">
        <f aca="false">INDEX(Summary!$O$2:$O$201,MATCH($B1357,Summary!$A$2:$A$201,0))</f>
        <v>8</v>
      </c>
      <c r="T1357" s="3" t="n">
        <f aca="false">INDEX(Summary!$P$2:$P$201,MATCH($B1357,Summary!$A$2:$A$201,0))</f>
        <v>1</v>
      </c>
      <c r="U1357" s="2" t="n">
        <f aca="false">INDEX(Summary!$Q$2:$Q$201,MATCH($B1357,Summary!$A$2:$A$201,0))</f>
        <v>11.81</v>
      </c>
      <c r="V1357" s="2" t="n">
        <f aca="false">INDEX(Summary!$R$2:$R$201,MATCH($B1357,Summary!$A$2:$A$201,0))</f>
        <v>31.81</v>
      </c>
      <c r="W1357" s="0" t="str">
        <f aca="false">INDEX(Summary!$S$2:$S$201,MATCH($B1357,Summary!$A$2:$A$201,0))</f>
        <v>Gold</v>
      </c>
      <c r="X1357" s="2" t="n">
        <f aca="false">INDEX(Summary!$T$2:$T$201,MATCH($B1357,Summary!$A$2:$A$201,0))</f>
        <v>77.59</v>
      </c>
      <c r="Y1357" s="0" t="str">
        <f aca="false">INDEX('Reward Model'!$E$18:$E$37,MATCH($E1357,'Reward Model'!$A$18:$A$37,0))</f>
        <v>High</v>
      </c>
      <c r="Z1357" s="4" t="n">
        <f aca="false">ROUND(MIN(1,MAX('Reward Model'!$B$2,INDEX('Reward Model'!$C$12:$C$14,MATCH($K1357,'Reward Model'!$A$12:$A$14,0))/$J1357)),3)</f>
        <v>0.797</v>
      </c>
      <c r="AA1357" s="2" t="n">
        <f aca="false">IF($I1357="Correct",ROUND(INDEX('Reward Model'!$B$12:$B$14,MATCH($K1357,'Reward Model'!$A$12:$A$14,0))*Z1357,2),0)</f>
        <v>2.39</v>
      </c>
      <c r="AB1357" s="2" t="n">
        <f aca="false">IF($I1357="Correct",ROUND(INDEX('Reward Model'!$B$12:$B$14,MATCH($Y1357,'Reward Model'!$A$12:$A$14,0))*Z1357,2),0)</f>
        <v>2.39</v>
      </c>
    </row>
    <row r="1358" customFormat="false" ht="15" hidden="false" customHeight="false" outlineLevel="0" collapsed="false">
      <c r="A1358" s="0" t="s">
        <v>263</v>
      </c>
      <c r="B1358" s="0" t="s">
        <v>264</v>
      </c>
      <c r="C1358" s="0" t="s">
        <v>30</v>
      </c>
      <c r="D1358" s="0" t="s">
        <v>189</v>
      </c>
      <c r="E1358" s="0" t="n">
        <v>17</v>
      </c>
      <c r="F1358" s="0" t="s">
        <v>74</v>
      </c>
      <c r="G1358" s="0" t="s">
        <v>75</v>
      </c>
      <c r="H1358" s="0" t="s">
        <v>75</v>
      </c>
      <c r="I1358" s="0" t="s">
        <v>34</v>
      </c>
      <c r="J1358" s="0" t="n">
        <v>1.36</v>
      </c>
      <c r="K1358" s="0" t="s">
        <v>73</v>
      </c>
      <c r="L1358" s="0" t="n">
        <f aca="false">INDEX(Summary!$F$2:$F$201,MATCH($B1358,Summary!$A$2:$A$201,0))</f>
        <v>20</v>
      </c>
      <c r="M1358" s="0" t="n">
        <f aca="false">INDEX(Summary!$I$2:$I$201,MATCH($B1358,Summary!$A$2:$A$201,0))</f>
        <v>4</v>
      </c>
      <c r="N1358" s="0" t="n">
        <f aca="false">INDEX(Summary!$J$2:$J$201,MATCH($B1358,Summary!$A$2:$A$201,0))</f>
        <v>1</v>
      </c>
      <c r="O1358" s="2" t="n">
        <f aca="false">INDEX(Summary!$K$2:$K$201,MATCH($B1358,Summary!$A$2:$A$201,0))</f>
        <v>11.34</v>
      </c>
      <c r="P1358" s="3" t="n">
        <f aca="false">INDEX(Summary!$L$2:$L$201,MATCH($B1358,Summary!$A$2:$A$201,0))</f>
        <v>5</v>
      </c>
      <c r="Q1358" s="3" t="n">
        <f aca="false">INDEX(Summary!$M$2:$M$201,MATCH($B1358,Summary!$A$2:$A$201,0))</f>
        <v>1</v>
      </c>
      <c r="R1358" s="2" t="n">
        <f aca="false">INDEX(Summary!$N$2:$N$201,MATCH($B1358,Summary!$A$2:$A$201,0))</f>
        <v>9.81</v>
      </c>
      <c r="S1358" s="3" t="n">
        <f aca="false">INDEX(Summary!$O$2:$O$201,MATCH($B1358,Summary!$A$2:$A$201,0))</f>
        <v>8</v>
      </c>
      <c r="T1358" s="3" t="n">
        <f aca="false">INDEX(Summary!$P$2:$P$201,MATCH($B1358,Summary!$A$2:$A$201,0))</f>
        <v>1</v>
      </c>
      <c r="U1358" s="2" t="n">
        <f aca="false">INDEX(Summary!$Q$2:$Q$201,MATCH($B1358,Summary!$A$2:$A$201,0))</f>
        <v>11.81</v>
      </c>
      <c r="V1358" s="2" t="n">
        <f aca="false">INDEX(Summary!$R$2:$R$201,MATCH($B1358,Summary!$A$2:$A$201,0))</f>
        <v>31.81</v>
      </c>
      <c r="W1358" s="0" t="str">
        <f aca="false">INDEX(Summary!$S$2:$S$201,MATCH($B1358,Summary!$A$2:$A$201,0))</f>
        <v>Gold</v>
      </c>
      <c r="X1358" s="2" t="n">
        <f aca="false">INDEX(Summary!$T$2:$T$201,MATCH($B1358,Summary!$A$2:$A$201,0))</f>
        <v>77.59</v>
      </c>
      <c r="Y1358" s="0" t="str">
        <f aca="false">INDEX('Reward Model'!$E$18:$E$37,MATCH($E1358,'Reward Model'!$A$18:$A$37,0))</f>
        <v>High</v>
      </c>
      <c r="Z1358" s="4" t="n">
        <f aca="false">ROUND(MIN(1,MAX('Reward Model'!$B$2,INDEX('Reward Model'!$C$12:$C$14,MATCH($K1358,'Reward Model'!$A$12:$A$14,0))/$J1358)),3)</f>
        <v>1</v>
      </c>
      <c r="AA1358" s="2" t="n">
        <f aca="false">IF($I1358="Correct",ROUND(INDEX('Reward Model'!$B$12:$B$14,MATCH($K1358,'Reward Model'!$A$12:$A$14,0))*Z1358,2),0)</f>
        <v>3</v>
      </c>
      <c r="AB1358" s="2" t="n">
        <f aca="false">IF($I1358="Correct",ROUND(INDEX('Reward Model'!$B$12:$B$14,MATCH($Y1358,'Reward Model'!$A$12:$A$14,0))*Z1358,2),0)</f>
        <v>3</v>
      </c>
    </row>
    <row r="1359" customFormat="false" ht="15" hidden="false" customHeight="false" outlineLevel="0" collapsed="false">
      <c r="A1359" s="0" t="s">
        <v>263</v>
      </c>
      <c r="B1359" s="0" t="s">
        <v>264</v>
      </c>
      <c r="C1359" s="0" t="s">
        <v>30</v>
      </c>
      <c r="D1359" s="0" t="s">
        <v>189</v>
      </c>
      <c r="E1359" s="0" t="n">
        <v>18</v>
      </c>
      <c r="F1359" s="0" t="s">
        <v>76</v>
      </c>
      <c r="G1359" s="0" t="s">
        <v>77</v>
      </c>
      <c r="H1359" s="0" t="s">
        <v>77</v>
      </c>
      <c r="I1359" s="0" t="s">
        <v>34</v>
      </c>
      <c r="J1359" s="0" t="n">
        <v>2.53</v>
      </c>
      <c r="K1359" s="0" t="s">
        <v>73</v>
      </c>
      <c r="L1359" s="0" t="n">
        <f aca="false">INDEX(Summary!$F$2:$F$201,MATCH($B1359,Summary!$A$2:$A$201,0))</f>
        <v>20</v>
      </c>
      <c r="M1359" s="0" t="n">
        <f aca="false">INDEX(Summary!$I$2:$I$201,MATCH($B1359,Summary!$A$2:$A$201,0))</f>
        <v>4</v>
      </c>
      <c r="N1359" s="0" t="n">
        <f aca="false">INDEX(Summary!$J$2:$J$201,MATCH($B1359,Summary!$A$2:$A$201,0))</f>
        <v>1</v>
      </c>
      <c r="O1359" s="2" t="n">
        <f aca="false">INDEX(Summary!$K$2:$K$201,MATCH($B1359,Summary!$A$2:$A$201,0))</f>
        <v>11.34</v>
      </c>
      <c r="P1359" s="3" t="n">
        <f aca="false">INDEX(Summary!$L$2:$L$201,MATCH($B1359,Summary!$A$2:$A$201,0))</f>
        <v>5</v>
      </c>
      <c r="Q1359" s="3" t="n">
        <f aca="false">INDEX(Summary!$M$2:$M$201,MATCH($B1359,Summary!$A$2:$A$201,0))</f>
        <v>1</v>
      </c>
      <c r="R1359" s="2" t="n">
        <f aca="false">INDEX(Summary!$N$2:$N$201,MATCH($B1359,Summary!$A$2:$A$201,0))</f>
        <v>9.81</v>
      </c>
      <c r="S1359" s="3" t="n">
        <f aca="false">INDEX(Summary!$O$2:$O$201,MATCH($B1359,Summary!$A$2:$A$201,0))</f>
        <v>8</v>
      </c>
      <c r="T1359" s="3" t="n">
        <f aca="false">INDEX(Summary!$P$2:$P$201,MATCH($B1359,Summary!$A$2:$A$201,0))</f>
        <v>1</v>
      </c>
      <c r="U1359" s="2" t="n">
        <f aca="false">INDEX(Summary!$Q$2:$Q$201,MATCH($B1359,Summary!$A$2:$A$201,0))</f>
        <v>11.81</v>
      </c>
      <c r="V1359" s="2" t="n">
        <f aca="false">INDEX(Summary!$R$2:$R$201,MATCH($B1359,Summary!$A$2:$A$201,0))</f>
        <v>31.81</v>
      </c>
      <c r="W1359" s="0" t="str">
        <f aca="false">INDEX(Summary!$S$2:$S$201,MATCH($B1359,Summary!$A$2:$A$201,0))</f>
        <v>Gold</v>
      </c>
      <c r="X1359" s="2" t="n">
        <f aca="false">INDEX(Summary!$T$2:$T$201,MATCH($B1359,Summary!$A$2:$A$201,0))</f>
        <v>77.59</v>
      </c>
      <c r="Y1359" s="0" t="str">
        <f aca="false">INDEX('Reward Model'!$E$18:$E$37,MATCH($E1359,'Reward Model'!$A$18:$A$37,0))</f>
        <v>High</v>
      </c>
      <c r="Z1359" s="4" t="n">
        <f aca="false">ROUND(MIN(1,MAX('Reward Model'!$B$2,INDEX('Reward Model'!$C$12:$C$14,MATCH($K1359,'Reward Model'!$A$12:$A$14,0))/$J1359)),3)</f>
        <v>0.791</v>
      </c>
      <c r="AA1359" s="2" t="n">
        <f aca="false">IF($I1359="Correct",ROUND(INDEX('Reward Model'!$B$12:$B$14,MATCH($K1359,'Reward Model'!$A$12:$A$14,0))*Z1359,2),0)</f>
        <v>2.37</v>
      </c>
      <c r="AB1359" s="2" t="n">
        <f aca="false">IF($I1359="Correct",ROUND(INDEX('Reward Model'!$B$12:$B$14,MATCH($Y1359,'Reward Model'!$A$12:$A$14,0))*Z1359,2),0)</f>
        <v>2.37</v>
      </c>
    </row>
    <row r="1360" customFormat="false" ht="15" hidden="false" customHeight="false" outlineLevel="0" collapsed="false">
      <c r="A1360" s="0" t="s">
        <v>263</v>
      </c>
      <c r="B1360" s="0" t="s">
        <v>264</v>
      </c>
      <c r="C1360" s="0" t="s">
        <v>30</v>
      </c>
      <c r="D1360" s="0" t="s">
        <v>189</v>
      </c>
      <c r="E1360" s="0" t="n">
        <v>19</v>
      </c>
      <c r="F1360" s="0" t="s">
        <v>78</v>
      </c>
      <c r="G1360" s="0" t="s">
        <v>51</v>
      </c>
      <c r="H1360" s="0" t="s">
        <v>80</v>
      </c>
      <c r="I1360" s="0" t="s">
        <v>39</v>
      </c>
      <c r="J1360" s="0" t="n">
        <v>2.46</v>
      </c>
      <c r="K1360" s="0" t="s">
        <v>73</v>
      </c>
      <c r="L1360" s="0" t="n">
        <f aca="false">INDEX(Summary!$F$2:$F$201,MATCH($B1360,Summary!$A$2:$A$201,0))</f>
        <v>20</v>
      </c>
      <c r="M1360" s="0" t="n">
        <f aca="false">INDEX(Summary!$I$2:$I$201,MATCH($B1360,Summary!$A$2:$A$201,0))</f>
        <v>4</v>
      </c>
      <c r="N1360" s="0" t="n">
        <f aca="false">INDEX(Summary!$J$2:$J$201,MATCH($B1360,Summary!$A$2:$A$201,0))</f>
        <v>1</v>
      </c>
      <c r="O1360" s="2" t="n">
        <f aca="false">INDEX(Summary!$K$2:$K$201,MATCH($B1360,Summary!$A$2:$A$201,0))</f>
        <v>11.34</v>
      </c>
      <c r="P1360" s="3" t="n">
        <f aca="false">INDEX(Summary!$L$2:$L$201,MATCH($B1360,Summary!$A$2:$A$201,0))</f>
        <v>5</v>
      </c>
      <c r="Q1360" s="3" t="n">
        <f aca="false">INDEX(Summary!$M$2:$M$201,MATCH($B1360,Summary!$A$2:$A$201,0))</f>
        <v>1</v>
      </c>
      <c r="R1360" s="2" t="n">
        <f aca="false">INDEX(Summary!$N$2:$N$201,MATCH($B1360,Summary!$A$2:$A$201,0))</f>
        <v>9.81</v>
      </c>
      <c r="S1360" s="3" t="n">
        <f aca="false">INDEX(Summary!$O$2:$O$201,MATCH($B1360,Summary!$A$2:$A$201,0))</f>
        <v>8</v>
      </c>
      <c r="T1360" s="3" t="n">
        <f aca="false">INDEX(Summary!$P$2:$P$201,MATCH($B1360,Summary!$A$2:$A$201,0))</f>
        <v>1</v>
      </c>
      <c r="U1360" s="2" t="n">
        <f aca="false">INDEX(Summary!$Q$2:$Q$201,MATCH($B1360,Summary!$A$2:$A$201,0))</f>
        <v>11.81</v>
      </c>
      <c r="V1360" s="2" t="n">
        <f aca="false">INDEX(Summary!$R$2:$R$201,MATCH($B1360,Summary!$A$2:$A$201,0))</f>
        <v>31.81</v>
      </c>
      <c r="W1360" s="0" t="str">
        <f aca="false">INDEX(Summary!$S$2:$S$201,MATCH($B1360,Summary!$A$2:$A$201,0))</f>
        <v>Gold</v>
      </c>
      <c r="X1360" s="2" t="n">
        <f aca="false">INDEX(Summary!$T$2:$T$201,MATCH($B1360,Summary!$A$2:$A$201,0))</f>
        <v>77.59</v>
      </c>
      <c r="Y1360" s="0" t="str">
        <f aca="false">INDEX('Reward Model'!$E$18:$E$37,MATCH($E1360,'Reward Model'!$A$18:$A$37,0))</f>
        <v>High</v>
      </c>
      <c r="Z1360" s="4" t="n">
        <f aca="false">ROUND(MIN(1,MAX('Reward Model'!$B$2,INDEX('Reward Model'!$C$12:$C$14,MATCH($K1360,'Reward Model'!$A$12:$A$14,0))/$J1360)),3)</f>
        <v>0.813</v>
      </c>
      <c r="AA1360" s="2" t="n">
        <f aca="false">IF($I1360="Correct",ROUND(INDEX('Reward Model'!$B$12:$B$14,MATCH($K1360,'Reward Model'!$A$12:$A$14,0))*Z1360,2),0)</f>
        <v>0</v>
      </c>
      <c r="AB1360" s="2" t="n">
        <f aca="false">IF($I1360="Correct",ROUND(INDEX('Reward Model'!$B$12:$B$14,MATCH($Y1360,'Reward Model'!$A$12:$A$14,0))*Z1360,2),0)</f>
        <v>0</v>
      </c>
    </row>
    <row r="1361" customFormat="false" ht="15" hidden="false" customHeight="false" outlineLevel="0" collapsed="false">
      <c r="A1361" s="0" t="s">
        <v>263</v>
      </c>
      <c r="B1361" s="0" t="s">
        <v>264</v>
      </c>
      <c r="C1361" s="0" t="s">
        <v>30</v>
      </c>
      <c r="D1361" s="0" t="s">
        <v>189</v>
      </c>
      <c r="E1361" s="0" t="n">
        <v>20</v>
      </c>
      <c r="F1361" s="0" t="s">
        <v>81</v>
      </c>
      <c r="G1361" s="0" t="s">
        <v>83</v>
      </c>
      <c r="H1361" s="0" t="s">
        <v>83</v>
      </c>
      <c r="I1361" s="0" t="s">
        <v>34</v>
      </c>
      <c r="J1361" s="0" t="n">
        <v>2.48</v>
      </c>
      <c r="K1361" s="0" t="s">
        <v>73</v>
      </c>
      <c r="L1361" s="0" t="n">
        <f aca="false">INDEX(Summary!$F$2:$F$201,MATCH($B1361,Summary!$A$2:$A$201,0))</f>
        <v>20</v>
      </c>
      <c r="M1361" s="0" t="n">
        <f aca="false">INDEX(Summary!$I$2:$I$201,MATCH($B1361,Summary!$A$2:$A$201,0))</f>
        <v>4</v>
      </c>
      <c r="N1361" s="0" t="n">
        <f aca="false">INDEX(Summary!$J$2:$J$201,MATCH($B1361,Summary!$A$2:$A$201,0))</f>
        <v>1</v>
      </c>
      <c r="O1361" s="2" t="n">
        <f aca="false">INDEX(Summary!$K$2:$K$201,MATCH($B1361,Summary!$A$2:$A$201,0))</f>
        <v>11.34</v>
      </c>
      <c r="P1361" s="3" t="n">
        <f aca="false">INDEX(Summary!$L$2:$L$201,MATCH($B1361,Summary!$A$2:$A$201,0))</f>
        <v>5</v>
      </c>
      <c r="Q1361" s="3" t="n">
        <f aca="false">INDEX(Summary!$M$2:$M$201,MATCH($B1361,Summary!$A$2:$A$201,0))</f>
        <v>1</v>
      </c>
      <c r="R1361" s="2" t="n">
        <f aca="false">INDEX(Summary!$N$2:$N$201,MATCH($B1361,Summary!$A$2:$A$201,0))</f>
        <v>9.81</v>
      </c>
      <c r="S1361" s="3" t="n">
        <f aca="false">INDEX(Summary!$O$2:$O$201,MATCH($B1361,Summary!$A$2:$A$201,0))</f>
        <v>8</v>
      </c>
      <c r="T1361" s="3" t="n">
        <f aca="false">INDEX(Summary!$P$2:$P$201,MATCH($B1361,Summary!$A$2:$A$201,0))</f>
        <v>1</v>
      </c>
      <c r="U1361" s="2" t="n">
        <f aca="false">INDEX(Summary!$Q$2:$Q$201,MATCH($B1361,Summary!$A$2:$A$201,0))</f>
        <v>11.81</v>
      </c>
      <c r="V1361" s="2" t="n">
        <f aca="false">INDEX(Summary!$R$2:$R$201,MATCH($B1361,Summary!$A$2:$A$201,0))</f>
        <v>31.81</v>
      </c>
      <c r="W1361" s="0" t="str">
        <f aca="false">INDEX(Summary!$S$2:$S$201,MATCH($B1361,Summary!$A$2:$A$201,0))</f>
        <v>Gold</v>
      </c>
      <c r="X1361" s="2" t="n">
        <f aca="false">INDEX(Summary!$T$2:$T$201,MATCH($B1361,Summary!$A$2:$A$201,0))</f>
        <v>77.59</v>
      </c>
      <c r="Y1361" s="0" t="str">
        <f aca="false">INDEX('Reward Model'!$E$18:$E$37,MATCH($E1361,'Reward Model'!$A$18:$A$37,0))</f>
        <v>High</v>
      </c>
      <c r="Z1361" s="4" t="n">
        <f aca="false">ROUND(MIN(1,MAX('Reward Model'!$B$2,INDEX('Reward Model'!$C$12:$C$14,MATCH($K1361,'Reward Model'!$A$12:$A$14,0))/$J1361)),3)</f>
        <v>0.806</v>
      </c>
      <c r="AA1361" s="2" t="n">
        <f aca="false">IF($I1361="Correct",ROUND(INDEX('Reward Model'!$B$12:$B$14,MATCH($K1361,'Reward Model'!$A$12:$A$14,0))*Z1361,2),0)</f>
        <v>2.42</v>
      </c>
      <c r="AB1361" s="2" t="n">
        <f aca="false">IF($I1361="Correct",ROUND(INDEX('Reward Model'!$B$12:$B$14,MATCH($Y1361,'Reward Model'!$A$12:$A$14,0))*Z1361,2),0)</f>
        <v>2.42</v>
      </c>
    </row>
    <row r="1362" customFormat="false" ht="15" hidden="false" customHeight="false" outlineLevel="0" collapsed="false">
      <c r="A1362" s="0" t="s">
        <v>265</v>
      </c>
      <c r="B1362" s="0" t="s">
        <v>266</v>
      </c>
      <c r="C1362" s="0" t="s">
        <v>30</v>
      </c>
      <c r="D1362" s="0" t="s">
        <v>189</v>
      </c>
      <c r="E1362" s="0" t="n">
        <v>1</v>
      </c>
      <c r="F1362" s="0" t="s">
        <v>32</v>
      </c>
      <c r="G1362" s="0" t="s">
        <v>33</v>
      </c>
      <c r="H1362" s="0" t="s">
        <v>33</v>
      </c>
      <c r="I1362" s="0" t="s">
        <v>34</v>
      </c>
      <c r="J1362" s="0" t="n">
        <v>1.45</v>
      </c>
      <c r="K1362" s="0" t="s">
        <v>35</v>
      </c>
      <c r="L1362" s="0" t="n">
        <f aca="false">INDEX(Summary!$F$2:$F$201,MATCH($B1362,Summary!$A$2:$A$201,0))</f>
        <v>20</v>
      </c>
      <c r="M1362" s="0" t="n">
        <f aca="false">INDEX(Summary!$I$2:$I$201,MATCH($B1362,Summary!$A$2:$A$201,0))</f>
        <v>3</v>
      </c>
      <c r="N1362" s="0" t="n">
        <f aca="false">INDEX(Summary!$J$2:$J$201,MATCH($B1362,Summary!$A$2:$A$201,0))</f>
        <v>2</v>
      </c>
      <c r="O1362" s="2" t="n">
        <f aca="false">INDEX(Summary!$K$2:$K$201,MATCH($B1362,Summary!$A$2:$A$201,0))</f>
        <v>9.01</v>
      </c>
      <c r="P1362" s="3" t="n">
        <f aca="false">INDEX(Summary!$L$2:$L$201,MATCH($B1362,Summary!$A$2:$A$201,0))</f>
        <v>5</v>
      </c>
      <c r="Q1362" s="3" t="n">
        <f aca="false">INDEX(Summary!$M$2:$M$201,MATCH($B1362,Summary!$A$2:$A$201,0))</f>
        <v>1</v>
      </c>
      <c r="R1362" s="2" t="n">
        <f aca="false">INDEX(Summary!$N$2:$N$201,MATCH($B1362,Summary!$A$2:$A$201,0))</f>
        <v>10.67</v>
      </c>
      <c r="S1362" s="3" t="n">
        <f aca="false">INDEX(Summary!$O$2:$O$201,MATCH($B1362,Summary!$A$2:$A$201,0))</f>
        <v>7</v>
      </c>
      <c r="T1362" s="3" t="n">
        <f aca="false">INDEX(Summary!$P$2:$P$201,MATCH($B1362,Summary!$A$2:$A$201,0))</f>
        <v>2</v>
      </c>
      <c r="U1362" s="2" t="n">
        <f aca="false">INDEX(Summary!$Q$2:$Q$201,MATCH($B1362,Summary!$A$2:$A$201,0))</f>
        <v>12.73</v>
      </c>
      <c r="V1362" s="2" t="n">
        <f aca="false">INDEX(Summary!$R$2:$R$201,MATCH($B1362,Summary!$A$2:$A$201,0))</f>
        <v>28.52</v>
      </c>
      <c r="W1362" s="0" t="str">
        <f aca="false">INDEX(Summary!$S$2:$S$201,MATCH($B1362,Summary!$A$2:$A$201,0))</f>
        <v>Silver</v>
      </c>
      <c r="X1362" s="2" t="n">
        <f aca="false">INDEX(Summary!$T$2:$T$201,MATCH($B1362,Summary!$A$2:$A$201,0))</f>
        <v>69.56</v>
      </c>
      <c r="Y1362" s="0" t="str">
        <f aca="false">INDEX('Reward Model'!$E$18:$E$37,MATCH($E1362,'Reward Model'!$A$18:$A$37,0))</f>
        <v>Medium</v>
      </c>
      <c r="Z1362" s="4" t="n">
        <f aca="false">ROUND(MIN(1,MAX('Reward Model'!$B$2,INDEX('Reward Model'!$C$12:$C$14,MATCH($K1362,'Reward Model'!$A$12:$A$14,0))/$J1362)),3)</f>
        <v>1</v>
      </c>
      <c r="AA1362" s="2" t="n">
        <f aca="false">IF($I1362="Correct",ROUND(INDEX('Reward Model'!$B$12:$B$14,MATCH($K1362,'Reward Model'!$A$12:$A$14,0))*Z1362,2),0)</f>
        <v>1</v>
      </c>
      <c r="AB1362" s="2" t="n">
        <f aca="false">IF($I1362="Correct",ROUND(INDEX('Reward Model'!$B$12:$B$14,MATCH($Y1362,'Reward Model'!$A$12:$A$14,0))*Z1362,2),0)</f>
        <v>2</v>
      </c>
    </row>
    <row r="1363" customFormat="false" ht="15" hidden="false" customHeight="false" outlineLevel="0" collapsed="false">
      <c r="A1363" s="0" t="s">
        <v>265</v>
      </c>
      <c r="B1363" s="0" t="s">
        <v>266</v>
      </c>
      <c r="C1363" s="0" t="s">
        <v>30</v>
      </c>
      <c r="D1363" s="0" t="s">
        <v>189</v>
      </c>
      <c r="E1363" s="0" t="n">
        <v>2</v>
      </c>
      <c r="F1363" s="0" t="s">
        <v>36</v>
      </c>
      <c r="G1363" s="0" t="s">
        <v>38</v>
      </c>
      <c r="H1363" s="0" t="s">
        <v>38</v>
      </c>
      <c r="I1363" s="0" t="s">
        <v>34</v>
      </c>
      <c r="J1363" s="0" t="n">
        <v>0.99</v>
      </c>
      <c r="K1363" s="0" t="s">
        <v>35</v>
      </c>
      <c r="L1363" s="0" t="n">
        <f aca="false">INDEX(Summary!$F$2:$F$201,MATCH($B1363,Summary!$A$2:$A$201,0))</f>
        <v>20</v>
      </c>
      <c r="M1363" s="0" t="n">
        <f aca="false">INDEX(Summary!$I$2:$I$201,MATCH($B1363,Summary!$A$2:$A$201,0))</f>
        <v>3</v>
      </c>
      <c r="N1363" s="0" t="n">
        <f aca="false">INDEX(Summary!$J$2:$J$201,MATCH($B1363,Summary!$A$2:$A$201,0))</f>
        <v>2</v>
      </c>
      <c r="O1363" s="2" t="n">
        <f aca="false">INDEX(Summary!$K$2:$K$201,MATCH($B1363,Summary!$A$2:$A$201,0))</f>
        <v>9.01</v>
      </c>
      <c r="P1363" s="3" t="n">
        <f aca="false">INDEX(Summary!$L$2:$L$201,MATCH($B1363,Summary!$A$2:$A$201,0))</f>
        <v>5</v>
      </c>
      <c r="Q1363" s="3" t="n">
        <f aca="false">INDEX(Summary!$M$2:$M$201,MATCH($B1363,Summary!$A$2:$A$201,0))</f>
        <v>1</v>
      </c>
      <c r="R1363" s="2" t="n">
        <f aca="false">INDEX(Summary!$N$2:$N$201,MATCH($B1363,Summary!$A$2:$A$201,0))</f>
        <v>10.67</v>
      </c>
      <c r="S1363" s="3" t="n">
        <f aca="false">INDEX(Summary!$O$2:$O$201,MATCH($B1363,Summary!$A$2:$A$201,0))</f>
        <v>7</v>
      </c>
      <c r="T1363" s="3" t="n">
        <f aca="false">INDEX(Summary!$P$2:$P$201,MATCH($B1363,Summary!$A$2:$A$201,0))</f>
        <v>2</v>
      </c>
      <c r="U1363" s="2" t="n">
        <f aca="false">INDEX(Summary!$Q$2:$Q$201,MATCH($B1363,Summary!$A$2:$A$201,0))</f>
        <v>12.73</v>
      </c>
      <c r="V1363" s="2" t="n">
        <f aca="false">INDEX(Summary!$R$2:$R$201,MATCH($B1363,Summary!$A$2:$A$201,0))</f>
        <v>28.52</v>
      </c>
      <c r="W1363" s="0" t="str">
        <f aca="false">INDEX(Summary!$S$2:$S$201,MATCH($B1363,Summary!$A$2:$A$201,0))</f>
        <v>Silver</v>
      </c>
      <c r="X1363" s="2" t="n">
        <f aca="false">INDEX(Summary!$T$2:$T$201,MATCH($B1363,Summary!$A$2:$A$201,0))</f>
        <v>69.56</v>
      </c>
      <c r="Y1363" s="0" t="str">
        <f aca="false">INDEX('Reward Model'!$E$18:$E$37,MATCH($E1363,'Reward Model'!$A$18:$A$37,0))</f>
        <v>Low</v>
      </c>
      <c r="Z1363" s="4" t="n">
        <f aca="false">ROUND(MIN(1,MAX('Reward Model'!$B$2,INDEX('Reward Model'!$C$12:$C$14,MATCH($K1363,'Reward Model'!$A$12:$A$14,0))/$J1363)),3)</f>
        <v>1</v>
      </c>
      <c r="AA1363" s="2" t="n">
        <f aca="false">IF($I1363="Correct",ROUND(INDEX('Reward Model'!$B$12:$B$14,MATCH($K1363,'Reward Model'!$A$12:$A$14,0))*Z1363,2),0)</f>
        <v>1</v>
      </c>
      <c r="AB1363" s="2" t="n">
        <f aca="false">IF($I1363="Correct",ROUND(INDEX('Reward Model'!$B$12:$B$14,MATCH($Y1363,'Reward Model'!$A$12:$A$14,0))*Z1363,2),0)</f>
        <v>1</v>
      </c>
    </row>
    <row r="1364" customFormat="false" ht="15" hidden="false" customHeight="false" outlineLevel="0" collapsed="false">
      <c r="A1364" s="0" t="s">
        <v>265</v>
      </c>
      <c r="B1364" s="0" t="s">
        <v>266</v>
      </c>
      <c r="C1364" s="0" t="s">
        <v>30</v>
      </c>
      <c r="D1364" s="0" t="s">
        <v>189</v>
      </c>
      <c r="E1364" s="0" t="n">
        <v>3</v>
      </c>
      <c r="F1364" s="0" t="s">
        <v>40</v>
      </c>
      <c r="G1364" s="0" t="s">
        <v>42</v>
      </c>
      <c r="H1364" s="0" t="s">
        <v>42</v>
      </c>
      <c r="I1364" s="0" t="s">
        <v>34</v>
      </c>
      <c r="J1364" s="0" t="n">
        <v>1.06</v>
      </c>
      <c r="K1364" s="0" t="s">
        <v>35</v>
      </c>
      <c r="L1364" s="0" t="n">
        <f aca="false">INDEX(Summary!$F$2:$F$201,MATCH($B1364,Summary!$A$2:$A$201,0))</f>
        <v>20</v>
      </c>
      <c r="M1364" s="0" t="n">
        <f aca="false">INDEX(Summary!$I$2:$I$201,MATCH($B1364,Summary!$A$2:$A$201,0))</f>
        <v>3</v>
      </c>
      <c r="N1364" s="0" t="n">
        <f aca="false">INDEX(Summary!$J$2:$J$201,MATCH($B1364,Summary!$A$2:$A$201,0))</f>
        <v>2</v>
      </c>
      <c r="O1364" s="2" t="n">
        <f aca="false">INDEX(Summary!$K$2:$K$201,MATCH($B1364,Summary!$A$2:$A$201,0))</f>
        <v>9.01</v>
      </c>
      <c r="P1364" s="3" t="n">
        <f aca="false">INDEX(Summary!$L$2:$L$201,MATCH($B1364,Summary!$A$2:$A$201,0))</f>
        <v>5</v>
      </c>
      <c r="Q1364" s="3" t="n">
        <f aca="false">INDEX(Summary!$M$2:$M$201,MATCH($B1364,Summary!$A$2:$A$201,0))</f>
        <v>1</v>
      </c>
      <c r="R1364" s="2" t="n">
        <f aca="false">INDEX(Summary!$N$2:$N$201,MATCH($B1364,Summary!$A$2:$A$201,0))</f>
        <v>10.67</v>
      </c>
      <c r="S1364" s="3" t="n">
        <f aca="false">INDEX(Summary!$O$2:$O$201,MATCH($B1364,Summary!$A$2:$A$201,0))</f>
        <v>7</v>
      </c>
      <c r="T1364" s="3" t="n">
        <f aca="false">INDEX(Summary!$P$2:$P$201,MATCH($B1364,Summary!$A$2:$A$201,0))</f>
        <v>2</v>
      </c>
      <c r="U1364" s="2" t="n">
        <f aca="false">INDEX(Summary!$Q$2:$Q$201,MATCH($B1364,Summary!$A$2:$A$201,0))</f>
        <v>12.73</v>
      </c>
      <c r="V1364" s="2" t="n">
        <f aca="false">INDEX(Summary!$R$2:$R$201,MATCH($B1364,Summary!$A$2:$A$201,0))</f>
        <v>28.52</v>
      </c>
      <c r="W1364" s="0" t="str">
        <f aca="false">INDEX(Summary!$S$2:$S$201,MATCH($B1364,Summary!$A$2:$A$201,0))</f>
        <v>Silver</v>
      </c>
      <c r="X1364" s="2" t="n">
        <f aca="false">INDEX(Summary!$T$2:$T$201,MATCH($B1364,Summary!$A$2:$A$201,0))</f>
        <v>69.56</v>
      </c>
      <c r="Y1364" s="0" t="str">
        <f aca="false">INDEX('Reward Model'!$E$18:$E$37,MATCH($E1364,'Reward Model'!$A$18:$A$37,0))</f>
        <v>Medium</v>
      </c>
      <c r="Z1364" s="4" t="n">
        <f aca="false">ROUND(MIN(1,MAX('Reward Model'!$B$2,INDEX('Reward Model'!$C$12:$C$14,MATCH($K1364,'Reward Model'!$A$12:$A$14,0))/$J1364)),3)</f>
        <v>1</v>
      </c>
      <c r="AA1364" s="2" t="n">
        <f aca="false">IF($I1364="Correct",ROUND(INDEX('Reward Model'!$B$12:$B$14,MATCH($K1364,'Reward Model'!$A$12:$A$14,0))*Z1364,2),0)</f>
        <v>1</v>
      </c>
      <c r="AB1364" s="2" t="n">
        <f aca="false">IF($I1364="Correct",ROUND(INDEX('Reward Model'!$B$12:$B$14,MATCH($Y1364,'Reward Model'!$A$12:$A$14,0))*Z1364,2),0)</f>
        <v>2</v>
      </c>
    </row>
    <row r="1365" customFormat="false" ht="15" hidden="false" customHeight="false" outlineLevel="0" collapsed="false">
      <c r="A1365" s="0" t="s">
        <v>265</v>
      </c>
      <c r="B1365" s="0" t="s">
        <v>266</v>
      </c>
      <c r="C1365" s="0" t="s">
        <v>30</v>
      </c>
      <c r="D1365" s="0" t="s">
        <v>189</v>
      </c>
      <c r="E1365" s="0" t="n">
        <v>4</v>
      </c>
      <c r="F1365" s="0" t="s">
        <v>43</v>
      </c>
      <c r="G1365" s="0" t="s">
        <v>45</v>
      </c>
      <c r="H1365" s="0" t="s">
        <v>45</v>
      </c>
      <c r="I1365" s="0" t="s">
        <v>34</v>
      </c>
      <c r="J1365" s="0" t="n">
        <v>1.08</v>
      </c>
      <c r="K1365" s="0" t="s">
        <v>35</v>
      </c>
      <c r="L1365" s="0" t="n">
        <f aca="false">INDEX(Summary!$F$2:$F$201,MATCH($B1365,Summary!$A$2:$A$201,0))</f>
        <v>20</v>
      </c>
      <c r="M1365" s="0" t="n">
        <f aca="false">INDEX(Summary!$I$2:$I$201,MATCH($B1365,Summary!$A$2:$A$201,0))</f>
        <v>3</v>
      </c>
      <c r="N1365" s="0" t="n">
        <f aca="false">INDEX(Summary!$J$2:$J$201,MATCH($B1365,Summary!$A$2:$A$201,0))</f>
        <v>2</v>
      </c>
      <c r="O1365" s="2" t="n">
        <f aca="false">INDEX(Summary!$K$2:$K$201,MATCH($B1365,Summary!$A$2:$A$201,0))</f>
        <v>9.01</v>
      </c>
      <c r="P1365" s="3" t="n">
        <f aca="false">INDEX(Summary!$L$2:$L$201,MATCH($B1365,Summary!$A$2:$A$201,0))</f>
        <v>5</v>
      </c>
      <c r="Q1365" s="3" t="n">
        <f aca="false">INDEX(Summary!$M$2:$M$201,MATCH($B1365,Summary!$A$2:$A$201,0))</f>
        <v>1</v>
      </c>
      <c r="R1365" s="2" t="n">
        <f aca="false">INDEX(Summary!$N$2:$N$201,MATCH($B1365,Summary!$A$2:$A$201,0))</f>
        <v>10.67</v>
      </c>
      <c r="S1365" s="3" t="n">
        <f aca="false">INDEX(Summary!$O$2:$O$201,MATCH($B1365,Summary!$A$2:$A$201,0))</f>
        <v>7</v>
      </c>
      <c r="T1365" s="3" t="n">
        <f aca="false">INDEX(Summary!$P$2:$P$201,MATCH($B1365,Summary!$A$2:$A$201,0))</f>
        <v>2</v>
      </c>
      <c r="U1365" s="2" t="n">
        <f aca="false">INDEX(Summary!$Q$2:$Q$201,MATCH($B1365,Summary!$A$2:$A$201,0))</f>
        <v>12.73</v>
      </c>
      <c r="V1365" s="2" t="n">
        <f aca="false">INDEX(Summary!$R$2:$R$201,MATCH($B1365,Summary!$A$2:$A$201,0))</f>
        <v>28.52</v>
      </c>
      <c r="W1365" s="0" t="str">
        <f aca="false">INDEX(Summary!$S$2:$S$201,MATCH($B1365,Summary!$A$2:$A$201,0))</f>
        <v>Silver</v>
      </c>
      <c r="X1365" s="2" t="n">
        <f aca="false">INDEX(Summary!$T$2:$T$201,MATCH($B1365,Summary!$A$2:$A$201,0))</f>
        <v>69.56</v>
      </c>
      <c r="Y1365" s="0" t="str">
        <f aca="false">INDEX('Reward Model'!$E$18:$E$37,MATCH($E1365,'Reward Model'!$A$18:$A$37,0))</f>
        <v>Low</v>
      </c>
      <c r="Z1365" s="4" t="n">
        <f aca="false">ROUND(MIN(1,MAX('Reward Model'!$B$2,INDEX('Reward Model'!$C$12:$C$14,MATCH($K1365,'Reward Model'!$A$12:$A$14,0))/$J1365)),3)</f>
        <v>1</v>
      </c>
      <c r="AA1365" s="2" t="n">
        <f aca="false">IF($I1365="Correct",ROUND(INDEX('Reward Model'!$B$12:$B$14,MATCH($K1365,'Reward Model'!$A$12:$A$14,0))*Z1365,2),0)</f>
        <v>1</v>
      </c>
      <c r="AB1365" s="2" t="n">
        <f aca="false">IF($I1365="Correct",ROUND(INDEX('Reward Model'!$B$12:$B$14,MATCH($Y1365,'Reward Model'!$A$12:$A$14,0))*Z1365,2),0)</f>
        <v>1</v>
      </c>
    </row>
    <row r="1366" customFormat="false" ht="15" hidden="false" customHeight="false" outlineLevel="0" collapsed="false">
      <c r="A1366" s="0" t="s">
        <v>265</v>
      </c>
      <c r="B1366" s="0" t="s">
        <v>266</v>
      </c>
      <c r="C1366" s="0" t="s">
        <v>30</v>
      </c>
      <c r="D1366" s="0" t="s">
        <v>189</v>
      </c>
      <c r="E1366" s="0" t="n">
        <v>5</v>
      </c>
      <c r="F1366" s="0" t="s">
        <v>46</v>
      </c>
      <c r="G1366" s="0" t="s">
        <v>98</v>
      </c>
      <c r="H1366" s="0" t="s">
        <v>47</v>
      </c>
      <c r="I1366" s="0" t="s">
        <v>39</v>
      </c>
      <c r="J1366" s="0" t="n">
        <v>1.76</v>
      </c>
      <c r="K1366" s="0" t="s">
        <v>35</v>
      </c>
      <c r="L1366" s="0" t="n">
        <f aca="false">INDEX(Summary!$F$2:$F$201,MATCH($B1366,Summary!$A$2:$A$201,0))</f>
        <v>20</v>
      </c>
      <c r="M1366" s="0" t="n">
        <f aca="false">INDEX(Summary!$I$2:$I$201,MATCH($B1366,Summary!$A$2:$A$201,0))</f>
        <v>3</v>
      </c>
      <c r="N1366" s="0" t="n">
        <f aca="false">INDEX(Summary!$J$2:$J$201,MATCH($B1366,Summary!$A$2:$A$201,0))</f>
        <v>2</v>
      </c>
      <c r="O1366" s="2" t="n">
        <f aca="false">INDEX(Summary!$K$2:$K$201,MATCH($B1366,Summary!$A$2:$A$201,0))</f>
        <v>9.01</v>
      </c>
      <c r="P1366" s="3" t="n">
        <f aca="false">INDEX(Summary!$L$2:$L$201,MATCH($B1366,Summary!$A$2:$A$201,0))</f>
        <v>5</v>
      </c>
      <c r="Q1366" s="3" t="n">
        <f aca="false">INDEX(Summary!$M$2:$M$201,MATCH($B1366,Summary!$A$2:$A$201,0))</f>
        <v>1</v>
      </c>
      <c r="R1366" s="2" t="n">
        <f aca="false">INDEX(Summary!$N$2:$N$201,MATCH($B1366,Summary!$A$2:$A$201,0))</f>
        <v>10.67</v>
      </c>
      <c r="S1366" s="3" t="n">
        <f aca="false">INDEX(Summary!$O$2:$O$201,MATCH($B1366,Summary!$A$2:$A$201,0))</f>
        <v>7</v>
      </c>
      <c r="T1366" s="3" t="n">
        <f aca="false">INDEX(Summary!$P$2:$P$201,MATCH($B1366,Summary!$A$2:$A$201,0))</f>
        <v>2</v>
      </c>
      <c r="U1366" s="2" t="n">
        <f aca="false">INDEX(Summary!$Q$2:$Q$201,MATCH($B1366,Summary!$A$2:$A$201,0))</f>
        <v>12.73</v>
      </c>
      <c r="V1366" s="2" t="n">
        <f aca="false">INDEX(Summary!$R$2:$R$201,MATCH($B1366,Summary!$A$2:$A$201,0))</f>
        <v>28.52</v>
      </c>
      <c r="W1366" s="0" t="str">
        <f aca="false">INDEX(Summary!$S$2:$S$201,MATCH($B1366,Summary!$A$2:$A$201,0))</f>
        <v>Silver</v>
      </c>
      <c r="X1366" s="2" t="n">
        <f aca="false">INDEX(Summary!$T$2:$T$201,MATCH($B1366,Summary!$A$2:$A$201,0))</f>
        <v>69.56</v>
      </c>
      <c r="Y1366" s="0" t="str">
        <f aca="false">INDEX('Reward Model'!$E$18:$E$37,MATCH($E1366,'Reward Model'!$A$18:$A$37,0))</f>
        <v>Low</v>
      </c>
      <c r="Z1366" s="4" t="n">
        <f aca="false">ROUND(MIN(1,MAX('Reward Model'!$B$2,INDEX('Reward Model'!$C$12:$C$14,MATCH($K1366,'Reward Model'!$A$12:$A$14,0))/$J1366)),3)</f>
        <v>0.852</v>
      </c>
      <c r="AA1366" s="2" t="n">
        <f aca="false">IF($I1366="Correct",ROUND(INDEX('Reward Model'!$B$12:$B$14,MATCH($K1366,'Reward Model'!$A$12:$A$14,0))*Z1366,2),0)</f>
        <v>0</v>
      </c>
      <c r="AB1366" s="2" t="n">
        <f aca="false">IF($I1366="Correct",ROUND(INDEX('Reward Model'!$B$12:$B$14,MATCH($Y1366,'Reward Model'!$A$12:$A$14,0))*Z1366,2),0)</f>
        <v>0</v>
      </c>
    </row>
    <row r="1367" customFormat="false" ht="15" hidden="false" customHeight="false" outlineLevel="0" collapsed="false">
      <c r="A1367" s="0" t="s">
        <v>265</v>
      </c>
      <c r="B1367" s="0" t="s">
        <v>266</v>
      </c>
      <c r="C1367" s="0" t="s">
        <v>30</v>
      </c>
      <c r="D1367" s="0" t="s">
        <v>189</v>
      </c>
      <c r="E1367" s="0" t="n">
        <v>6</v>
      </c>
      <c r="F1367" s="0" t="s">
        <v>48</v>
      </c>
      <c r="G1367" s="0" t="s">
        <v>49</v>
      </c>
      <c r="H1367" s="0" t="s">
        <v>49</v>
      </c>
      <c r="I1367" s="0" t="s">
        <v>34</v>
      </c>
      <c r="J1367" s="0" t="n">
        <v>1.83</v>
      </c>
      <c r="K1367" s="0" t="s">
        <v>35</v>
      </c>
      <c r="L1367" s="0" t="n">
        <f aca="false">INDEX(Summary!$F$2:$F$201,MATCH($B1367,Summary!$A$2:$A$201,0))</f>
        <v>20</v>
      </c>
      <c r="M1367" s="0" t="n">
        <f aca="false">INDEX(Summary!$I$2:$I$201,MATCH($B1367,Summary!$A$2:$A$201,0))</f>
        <v>3</v>
      </c>
      <c r="N1367" s="0" t="n">
        <f aca="false">INDEX(Summary!$J$2:$J$201,MATCH($B1367,Summary!$A$2:$A$201,0))</f>
        <v>2</v>
      </c>
      <c r="O1367" s="2" t="n">
        <f aca="false">INDEX(Summary!$K$2:$K$201,MATCH($B1367,Summary!$A$2:$A$201,0))</f>
        <v>9.01</v>
      </c>
      <c r="P1367" s="3" t="n">
        <f aca="false">INDEX(Summary!$L$2:$L$201,MATCH($B1367,Summary!$A$2:$A$201,0))</f>
        <v>5</v>
      </c>
      <c r="Q1367" s="3" t="n">
        <f aca="false">INDEX(Summary!$M$2:$M$201,MATCH($B1367,Summary!$A$2:$A$201,0))</f>
        <v>1</v>
      </c>
      <c r="R1367" s="2" t="n">
        <f aca="false">INDEX(Summary!$N$2:$N$201,MATCH($B1367,Summary!$A$2:$A$201,0))</f>
        <v>10.67</v>
      </c>
      <c r="S1367" s="3" t="n">
        <f aca="false">INDEX(Summary!$O$2:$O$201,MATCH($B1367,Summary!$A$2:$A$201,0))</f>
        <v>7</v>
      </c>
      <c r="T1367" s="3" t="n">
        <f aca="false">INDEX(Summary!$P$2:$P$201,MATCH($B1367,Summary!$A$2:$A$201,0))</f>
        <v>2</v>
      </c>
      <c r="U1367" s="2" t="n">
        <f aca="false">INDEX(Summary!$Q$2:$Q$201,MATCH($B1367,Summary!$A$2:$A$201,0))</f>
        <v>12.73</v>
      </c>
      <c r="V1367" s="2" t="n">
        <f aca="false">INDEX(Summary!$R$2:$R$201,MATCH($B1367,Summary!$A$2:$A$201,0))</f>
        <v>28.52</v>
      </c>
      <c r="W1367" s="0" t="str">
        <f aca="false">INDEX(Summary!$S$2:$S$201,MATCH($B1367,Summary!$A$2:$A$201,0))</f>
        <v>Silver</v>
      </c>
      <c r="X1367" s="2" t="n">
        <f aca="false">INDEX(Summary!$T$2:$T$201,MATCH($B1367,Summary!$A$2:$A$201,0))</f>
        <v>69.56</v>
      </c>
      <c r="Y1367" s="0" t="str">
        <f aca="false">INDEX('Reward Model'!$E$18:$E$37,MATCH($E1367,'Reward Model'!$A$18:$A$37,0))</f>
        <v>Medium</v>
      </c>
      <c r="Z1367" s="4" t="n">
        <f aca="false">ROUND(MIN(1,MAX('Reward Model'!$B$2,INDEX('Reward Model'!$C$12:$C$14,MATCH($K1367,'Reward Model'!$A$12:$A$14,0))/$J1367)),3)</f>
        <v>0.82</v>
      </c>
      <c r="AA1367" s="2" t="n">
        <f aca="false">IF($I1367="Correct",ROUND(INDEX('Reward Model'!$B$12:$B$14,MATCH($K1367,'Reward Model'!$A$12:$A$14,0))*Z1367,2),0)</f>
        <v>0.82</v>
      </c>
      <c r="AB1367" s="2" t="n">
        <f aca="false">IF($I1367="Correct",ROUND(INDEX('Reward Model'!$B$12:$B$14,MATCH($Y1367,'Reward Model'!$A$12:$A$14,0))*Z1367,2),0)</f>
        <v>1.64</v>
      </c>
    </row>
    <row r="1368" customFormat="false" ht="15" hidden="false" customHeight="false" outlineLevel="0" collapsed="false">
      <c r="A1368" s="0" t="s">
        <v>265</v>
      </c>
      <c r="B1368" s="0" t="s">
        <v>266</v>
      </c>
      <c r="C1368" s="0" t="s">
        <v>30</v>
      </c>
      <c r="D1368" s="0" t="s">
        <v>189</v>
      </c>
      <c r="E1368" s="0" t="n">
        <v>7</v>
      </c>
      <c r="F1368" s="0" t="s">
        <v>50</v>
      </c>
      <c r="G1368" s="0" t="s">
        <v>51</v>
      </c>
      <c r="H1368" s="0" t="s">
        <v>51</v>
      </c>
      <c r="I1368" s="0" t="s">
        <v>34</v>
      </c>
      <c r="J1368" s="0" t="n">
        <v>1.09</v>
      </c>
      <c r="K1368" s="0" t="s">
        <v>35</v>
      </c>
      <c r="L1368" s="0" t="n">
        <f aca="false">INDEX(Summary!$F$2:$F$201,MATCH($B1368,Summary!$A$2:$A$201,0))</f>
        <v>20</v>
      </c>
      <c r="M1368" s="0" t="n">
        <f aca="false">INDEX(Summary!$I$2:$I$201,MATCH($B1368,Summary!$A$2:$A$201,0))</f>
        <v>3</v>
      </c>
      <c r="N1368" s="0" t="n">
        <f aca="false">INDEX(Summary!$J$2:$J$201,MATCH($B1368,Summary!$A$2:$A$201,0))</f>
        <v>2</v>
      </c>
      <c r="O1368" s="2" t="n">
        <f aca="false">INDEX(Summary!$K$2:$K$201,MATCH($B1368,Summary!$A$2:$A$201,0))</f>
        <v>9.01</v>
      </c>
      <c r="P1368" s="3" t="n">
        <f aca="false">INDEX(Summary!$L$2:$L$201,MATCH($B1368,Summary!$A$2:$A$201,0))</f>
        <v>5</v>
      </c>
      <c r="Q1368" s="3" t="n">
        <f aca="false">INDEX(Summary!$M$2:$M$201,MATCH($B1368,Summary!$A$2:$A$201,0))</f>
        <v>1</v>
      </c>
      <c r="R1368" s="2" t="n">
        <f aca="false">INDEX(Summary!$N$2:$N$201,MATCH($B1368,Summary!$A$2:$A$201,0))</f>
        <v>10.67</v>
      </c>
      <c r="S1368" s="3" t="n">
        <f aca="false">INDEX(Summary!$O$2:$O$201,MATCH($B1368,Summary!$A$2:$A$201,0))</f>
        <v>7</v>
      </c>
      <c r="T1368" s="3" t="n">
        <f aca="false">INDEX(Summary!$P$2:$P$201,MATCH($B1368,Summary!$A$2:$A$201,0))</f>
        <v>2</v>
      </c>
      <c r="U1368" s="2" t="n">
        <f aca="false">INDEX(Summary!$Q$2:$Q$201,MATCH($B1368,Summary!$A$2:$A$201,0))</f>
        <v>12.73</v>
      </c>
      <c r="V1368" s="2" t="n">
        <f aca="false">INDEX(Summary!$R$2:$R$201,MATCH($B1368,Summary!$A$2:$A$201,0))</f>
        <v>28.52</v>
      </c>
      <c r="W1368" s="0" t="str">
        <f aca="false">INDEX(Summary!$S$2:$S$201,MATCH($B1368,Summary!$A$2:$A$201,0))</f>
        <v>Silver</v>
      </c>
      <c r="X1368" s="2" t="n">
        <f aca="false">INDEX(Summary!$T$2:$T$201,MATCH($B1368,Summary!$A$2:$A$201,0))</f>
        <v>69.56</v>
      </c>
      <c r="Y1368" s="0" t="str">
        <f aca="false">INDEX('Reward Model'!$E$18:$E$37,MATCH($E1368,'Reward Model'!$A$18:$A$37,0))</f>
        <v>Low</v>
      </c>
      <c r="Z1368" s="4" t="n">
        <f aca="false">ROUND(MIN(1,MAX('Reward Model'!$B$2,INDEX('Reward Model'!$C$12:$C$14,MATCH($K1368,'Reward Model'!$A$12:$A$14,0))/$J1368)),3)</f>
        <v>1</v>
      </c>
      <c r="AA1368" s="2" t="n">
        <f aca="false">IF($I1368="Correct",ROUND(INDEX('Reward Model'!$B$12:$B$14,MATCH($K1368,'Reward Model'!$A$12:$A$14,0))*Z1368,2),0)</f>
        <v>1</v>
      </c>
      <c r="AB1368" s="2" t="n">
        <f aca="false">IF($I1368="Correct",ROUND(INDEX('Reward Model'!$B$12:$B$14,MATCH($Y1368,'Reward Model'!$A$12:$A$14,0))*Z1368,2),0)</f>
        <v>1</v>
      </c>
    </row>
    <row r="1369" customFormat="false" ht="15" hidden="false" customHeight="false" outlineLevel="0" collapsed="false">
      <c r="A1369" s="0" t="s">
        <v>265</v>
      </c>
      <c r="B1369" s="0" t="s">
        <v>266</v>
      </c>
      <c r="C1369" s="0" t="s">
        <v>30</v>
      </c>
      <c r="D1369" s="0" t="s">
        <v>189</v>
      </c>
      <c r="E1369" s="0" t="n">
        <v>8</v>
      </c>
      <c r="F1369" s="0" t="s">
        <v>52</v>
      </c>
      <c r="G1369" s="0" t="s">
        <v>137</v>
      </c>
      <c r="H1369" s="0" t="s">
        <v>54</v>
      </c>
      <c r="I1369" s="0" t="s">
        <v>39</v>
      </c>
      <c r="J1369" s="0" t="n">
        <v>1.81</v>
      </c>
      <c r="K1369" s="0" t="s">
        <v>35</v>
      </c>
      <c r="L1369" s="0" t="n">
        <f aca="false">INDEX(Summary!$F$2:$F$201,MATCH($B1369,Summary!$A$2:$A$201,0))</f>
        <v>20</v>
      </c>
      <c r="M1369" s="0" t="n">
        <f aca="false">INDEX(Summary!$I$2:$I$201,MATCH($B1369,Summary!$A$2:$A$201,0))</f>
        <v>3</v>
      </c>
      <c r="N1369" s="0" t="n">
        <f aca="false">INDEX(Summary!$J$2:$J$201,MATCH($B1369,Summary!$A$2:$A$201,0))</f>
        <v>2</v>
      </c>
      <c r="O1369" s="2" t="n">
        <f aca="false">INDEX(Summary!$K$2:$K$201,MATCH($B1369,Summary!$A$2:$A$201,0))</f>
        <v>9.01</v>
      </c>
      <c r="P1369" s="3" t="n">
        <f aca="false">INDEX(Summary!$L$2:$L$201,MATCH($B1369,Summary!$A$2:$A$201,0))</f>
        <v>5</v>
      </c>
      <c r="Q1369" s="3" t="n">
        <f aca="false">INDEX(Summary!$M$2:$M$201,MATCH($B1369,Summary!$A$2:$A$201,0))</f>
        <v>1</v>
      </c>
      <c r="R1369" s="2" t="n">
        <f aca="false">INDEX(Summary!$N$2:$N$201,MATCH($B1369,Summary!$A$2:$A$201,0))</f>
        <v>10.67</v>
      </c>
      <c r="S1369" s="3" t="n">
        <f aca="false">INDEX(Summary!$O$2:$O$201,MATCH($B1369,Summary!$A$2:$A$201,0))</f>
        <v>7</v>
      </c>
      <c r="T1369" s="3" t="n">
        <f aca="false">INDEX(Summary!$P$2:$P$201,MATCH($B1369,Summary!$A$2:$A$201,0))</f>
        <v>2</v>
      </c>
      <c r="U1369" s="2" t="n">
        <f aca="false">INDEX(Summary!$Q$2:$Q$201,MATCH($B1369,Summary!$A$2:$A$201,0))</f>
        <v>12.73</v>
      </c>
      <c r="V1369" s="2" t="n">
        <f aca="false">INDEX(Summary!$R$2:$R$201,MATCH($B1369,Summary!$A$2:$A$201,0))</f>
        <v>28.52</v>
      </c>
      <c r="W1369" s="0" t="str">
        <f aca="false">INDEX(Summary!$S$2:$S$201,MATCH($B1369,Summary!$A$2:$A$201,0))</f>
        <v>Silver</v>
      </c>
      <c r="X1369" s="2" t="n">
        <f aca="false">INDEX(Summary!$T$2:$T$201,MATCH($B1369,Summary!$A$2:$A$201,0))</f>
        <v>69.56</v>
      </c>
      <c r="Y1369" s="0" t="str">
        <f aca="false">INDEX('Reward Model'!$E$18:$E$37,MATCH($E1369,'Reward Model'!$A$18:$A$37,0))</f>
        <v>Medium</v>
      </c>
      <c r="Z1369" s="4" t="n">
        <f aca="false">ROUND(MIN(1,MAX('Reward Model'!$B$2,INDEX('Reward Model'!$C$12:$C$14,MATCH($K1369,'Reward Model'!$A$12:$A$14,0))/$J1369)),3)</f>
        <v>0.829</v>
      </c>
      <c r="AA1369" s="2" t="n">
        <f aca="false">IF($I1369="Correct",ROUND(INDEX('Reward Model'!$B$12:$B$14,MATCH($K1369,'Reward Model'!$A$12:$A$14,0))*Z1369,2),0)</f>
        <v>0</v>
      </c>
      <c r="AB1369" s="2" t="n">
        <f aca="false">IF($I1369="Correct",ROUND(INDEX('Reward Model'!$B$12:$B$14,MATCH($Y1369,'Reward Model'!$A$12:$A$14,0))*Z1369,2),0)</f>
        <v>0</v>
      </c>
    </row>
    <row r="1370" customFormat="false" ht="15" hidden="false" customHeight="false" outlineLevel="0" collapsed="false">
      <c r="A1370" s="0" t="s">
        <v>265</v>
      </c>
      <c r="B1370" s="0" t="s">
        <v>266</v>
      </c>
      <c r="C1370" s="0" t="s">
        <v>30</v>
      </c>
      <c r="D1370" s="0" t="s">
        <v>189</v>
      </c>
      <c r="E1370" s="0" t="n">
        <v>9</v>
      </c>
      <c r="F1370" s="0" t="s">
        <v>55</v>
      </c>
      <c r="G1370" s="0" t="s">
        <v>57</v>
      </c>
      <c r="H1370" s="0" t="s">
        <v>57</v>
      </c>
      <c r="I1370" s="0" t="s">
        <v>34</v>
      </c>
      <c r="J1370" s="0" t="n">
        <v>1.66</v>
      </c>
      <c r="K1370" s="0" t="s">
        <v>35</v>
      </c>
      <c r="L1370" s="0" t="n">
        <f aca="false">INDEX(Summary!$F$2:$F$201,MATCH($B1370,Summary!$A$2:$A$201,0))</f>
        <v>20</v>
      </c>
      <c r="M1370" s="0" t="n">
        <f aca="false">INDEX(Summary!$I$2:$I$201,MATCH($B1370,Summary!$A$2:$A$201,0))</f>
        <v>3</v>
      </c>
      <c r="N1370" s="0" t="n">
        <f aca="false">INDEX(Summary!$J$2:$J$201,MATCH($B1370,Summary!$A$2:$A$201,0))</f>
        <v>2</v>
      </c>
      <c r="O1370" s="2" t="n">
        <f aca="false">INDEX(Summary!$K$2:$K$201,MATCH($B1370,Summary!$A$2:$A$201,0))</f>
        <v>9.01</v>
      </c>
      <c r="P1370" s="3" t="n">
        <f aca="false">INDEX(Summary!$L$2:$L$201,MATCH($B1370,Summary!$A$2:$A$201,0))</f>
        <v>5</v>
      </c>
      <c r="Q1370" s="3" t="n">
        <f aca="false">INDEX(Summary!$M$2:$M$201,MATCH($B1370,Summary!$A$2:$A$201,0))</f>
        <v>1</v>
      </c>
      <c r="R1370" s="2" t="n">
        <f aca="false">INDEX(Summary!$N$2:$N$201,MATCH($B1370,Summary!$A$2:$A$201,0))</f>
        <v>10.67</v>
      </c>
      <c r="S1370" s="3" t="n">
        <f aca="false">INDEX(Summary!$O$2:$O$201,MATCH($B1370,Summary!$A$2:$A$201,0))</f>
        <v>7</v>
      </c>
      <c r="T1370" s="3" t="n">
        <f aca="false">INDEX(Summary!$P$2:$P$201,MATCH($B1370,Summary!$A$2:$A$201,0))</f>
        <v>2</v>
      </c>
      <c r="U1370" s="2" t="n">
        <f aca="false">INDEX(Summary!$Q$2:$Q$201,MATCH($B1370,Summary!$A$2:$A$201,0))</f>
        <v>12.73</v>
      </c>
      <c r="V1370" s="2" t="n">
        <f aca="false">INDEX(Summary!$R$2:$R$201,MATCH($B1370,Summary!$A$2:$A$201,0))</f>
        <v>28.52</v>
      </c>
      <c r="W1370" s="0" t="str">
        <f aca="false">INDEX(Summary!$S$2:$S$201,MATCH($B1370,Summary!$A$2:$A$201,0))</f>
        <v>Silver</v>
      </c>
      <c r="X1370" s="2" t="n">
        <f aca="false">INDEX(Summary!$T$2:$T$201,MATCH($B1370,Summary!$A$2:$A$201,0))</f>
        <v>69.56</v>
      </c>
      <c r="Y1370" s="0" t="str">
        <f aca="false">INDEX('Reward Model'!$E$18:$E$37,MATCH($E1370,'Reward Model'!$A$18:$A$37,0))</f>
        <v>Medium</v>
      </c>
      <c r="Z1370" s="4" t="n">
        <f aca="false">ROUND(MIN(1,MAX('Reward Model'!$B$2,INDEX('Reward Model'!$C$12:$C$14,MATCH($K1370,'Reward Model'!$A$12:$A$14,0))/$J1370)),3)</f>
        <v>0.904</v>
      </c>
      <c r="AA1370" s="2" t="n">
        <f aca="false">IF($I1370="Correct",ROUND(INDEX('Reward Model'!$B$12:$B$14,MATCH($K1370,'Reward Model'!$A$12:$A$14,0))*Z1370,2),0)</f>
        <v>0.9</v>
      </c>
      <c r="AB1370" s="2" t="n">
        <f aca="false">IF($I1370="Correct",ROUND(INDEX('Reward Model'!$B$12:$B$14,MATCH($Y1370,'Reward Model'!$A$12:$A$14,0))*Z1370,2),0)</f>
        <v>1.81</v>
      </c>
    </row>
    <row r="1371" customFormat="false" ht="15" hidden="false" customHeight="false" outlineLevel="0" collapsed="false">
      <c r="A1371" s="0" t="s">
        <v>265</v>
      </c>
      <c r="B1371" s="0" t="s">
        <v>266</v>
      </c>
      <c r="C1371" s="0" t="s">
        <v>30</v>
      </c>
      <c r="D1371" s="0" t="s">
        <v>189</v>
      </c>
      <c r="E1371" s="0" t="n">
        <v>10</v>
      </c>
      <c r="F1371" s="0" t="s">
        <v>58</v>
      </c>
      <c r="G1371" s="0" t="s">
        <v>59</v>
      </c>
      <c r="H1371" s="0" t="s">
        <v>59</v>
      </c>
      <c r="I1371" s="0" t="s">
        <v>34</v>
      </c>
      <c r="J1371" s="0" t="n">
        <v>1.57</v>
      </c>
      <c r="K1371" s="0" t="s">
        <v>60</v>
      </c>
      <c r="L1371" s="0" t="n">
        <f aca="false">INDEX(Summary!$F$2:$F$201,MATCH($B1371,Summary!$A$2:$A$201,0))</f>
        <v>20</v>
      </c>
      <c r="M1371" s="0" t="n">
        <f aca="false">INDEX(Summary!$I$2:$I$201,MATCH($B1371,Summary!$A$2:$A$201,0))</f>
        <v>3</v>
      </c>
      <c r="N1371" s="0" t="n">
        <f aca="false">INDEX(Summary!$J$2:$J$201,MATCH($B1371,Summary!$A$2:$A$201,0))</f>
        <v>2</v>
      </c>
      <c r="O1371" s="2" t="n">
        <f aca="false">INDEX(Summary!$K$2:$K$201,MATCH($B1371,Summary!$A$2:$A$201,0))</f>
        <v>9.01</v>
      </c>
      <c r="P1371" s="3" t="n">
        <f aca="false">INDEX(Summary!$L$2:$L$201,MATCH($B1371,Summary!$A$2:$A$201,0))</f>
        <v>5</v>
      </c>
      <c r="Q1371" s="3" t="n">
        <f aca="false">INDEX(Summary!$M$2:$M$201,MATCH($B1371,Summary!$A$2:$A$201,0))</f>
        <v>1</v>
      </c>
      <c r="R1371" s="2" t="n">
        <f aca="false">INDEX(Summary!$N$2:$N$201,MATCH($B1371,Summary!$A$2:$A$201,0))</f>
        <v>10.67</v>
      </c>
      <c r="S1371" s="3" t="n">
        <f aca="false">INDEX(Summary!$O$2:$O$201,MATCH($B1371,Summary!$A$2:$A$201,0))</f>
        <v>7</v>
      </c>
      <c r="T1371" s="3" t="n">
        <f aca="false">INDEX(Summary!$P$2:$P$201,MATCH($B1371,Summary!$A$2:$A$201,0))</f>
        <v>2</v>
      </c>
      <c r="U1371" s="2" t="n">
        <f aca="false">INDEX(Summary!$Q$2:$Q$201,MATCH($B1371,Summary!$A$2:$A$201,0))</f>
        <v>12.73</v>
      </c>
      <c r="V1371" s="2" t="n">
        <f aca="false">INDEX(Summary!$R$2:$R$201,MATCH($B1371,Summary!$A$2:$A$201,0))</f>
        <v>28.52</v>
      </c>
      <c r="W1371" s="0" t="str">
        <f aca="false">INDEX(Summary!$S$2:$S$201,MATCH($B1371,Summary!$A$2:$A$201,0))</f>
        <v>Silver</v>
      </c>
      <c r="X1371" s="2" t="n">
        <f aca="false">INDEX(Summary!$T$2:$T$201,MATCH($B1371,Summary!$A$2:$A$201,0))</f>
        <v>69.56</v>
      </c>
      <c r="Y1371" s="0" t="str">
        <f aca="false">INDEX('Reward Model'!$E$18:$E$37,MATCH($E1371,'Reward Model'!$A$18:$A$37,0))</f>
        <v>Medium</v>
      </c>
      <c r="Z1371" s="4" t="n">
        <f aca="false">ROUND(MIN(1,MAX('Reward Model'!$B$2,INDEX('Reward Model'!$C$12:$C$14,MATCH($K1371,'Reward Model'!$A$12:$A$14,0))/$J1371)),3)</f>
        <v>1</v>
      </c>
      <c r="AA1371" s="2" t="n">
        <f aca="false">IF($I1371="Correct",ROUND(INDEX('Reward Model'!$B$12:$B$14,MATCH($K1371,'Reward Model'!$A$12:$A$14,0))*Z1371,2),0)</f>
        <v>2</v>
      </c>
      <c r="AB1371" s="2" t="n">
        <f aca="false">IF($I1371="Correct",ROUND(INDEX('Reward Model'!$B$12:$B$14,MATCH($Y1371,'Reward Model'!$A$12:$A$14,0))*Z1371,2),0)</f>
        <v>2</v>
      </c>
    </row>
    <row r="1372" customFormat="false" ht="15" hidden="false" customHeight="false" outlineLevel="0" collapsed="false">
      <c r="A1372" s="0" t="s">
        <v>265</v>
      </c>
      <c r="B1372" s="0" t="s">
        <v>266</v>
      </c>
      <c r="C1372" s="0" t="s">
        <v>30</v>
      </c>
      <c r="D1372" s="0" t="s">
        <v>189</v>
      </c>
      <c r="E1372" s="0" t="n">
        <v>11</v>
      </c>
      <c r="F1372" s="0" t="s">
        <v>61</v>
      </c>
      <c r="G1372" s="0" t="s">
        <v>63</v>
      </c>
      <c r="H1372" s="0" t="s">
        <v>63</v>
      </c>
      <c r="I1372" s="0" t="s">
        <v>34</v>
      </c>
      <c r="J1372" s="0" t="n">
        <v>2.27</v>
      </c>
      <c r="K1372" s="0" t="s">
        <v>60</v>
      </c>
      <c r="L1372" s="0" t="n">
        <f aca="false">INDEX(Summary!$F$2:$F$201,MATCH($B1372,Summary!$A$2:$A$201,0))</f>
        <v>20</v>
      </c>
      <c r="M1372" s="0" t="n">
        <f aca="false">INDEX(Summary!$I$2:$I$201,MATCH($B1372,Summary!$A$2:$A$201,0))</f>
        <v>3</v>
      </c>
      <c r="N1372" s="0" t="n">
        <f aca="false">INDEX(Summary!$J$2:$J$201,MATCH($B1372,Summary!$A$2:$A$201,0))</f>
        <v>2</v>
      </c>
      <c r="O1372" s="2" t="n">
        <f aca="false">INDEX(Summary!$K$2:$K$201,MATCH($B1372,Summary!$A$2:$A$201,0))</f>
        <v>9.01</v>
      </c>
      <c r="P1372" s="3" t="n">
        <f aca="false">INDEX(Summary!$L$2:$L$201,MATCH($B1372,Summary!$A$2:$A$201,0))</f>
        <v>5</v>
      </c>
      <c r="Q1372" s="3" t="n">
        <f aca="false">INDEX(Summary!$M$2:$M$201,MATCH($B1372,Summary!$A$2:$A$201,0))</f>
        <v>1</v>
      </c>
      <c r="R1372" s="2" t="n">
        <f aca="false">INDEX(Summary!$N$2:$N$201,MATCH($B1372,Summary!$A$2:$A$201,0))</f>
        <v>10.67</v>
      </c>
      <c r="S1372" s="3" t="n">
        <f aca="false">INDEX(Summary!$O$2:$O$201,MATCH($B1372,Summary!$A$2:$A$201,0))</f>
        <v>7</v>
      </c>
      <c r="T1372" s="3" t="n">
        <f aca="false">INDEX(Summary!$P$2:$P$201,MATCH($B1372,Summary!$A$2:$A$201,0))</f>
        <v>2</v>
      </c>
      <c r="U1372" s="2" t="n">
        <f aca="false">INDEX(Summary!$Q$2:$Q$201,MATCH($B1372,Summary!$A$2:$A$201,0))</f>
        <v>12.73</v>
      </c>
      <c r="V1372" s="2" t="n">
        <f aca="false">INDEX(Summary!$R$2:$R$201,MATCH($B1372,Summary!$A$2:$A$201,0))</f>
        <v>28.52</v>
      </c>
      <c r="W1372" s="0" t="str">
        <f aca="false">INDEX(Summary!$S$2:$S$201,MATCH($B1372,Summary!$A$2:$A$201,0))</f>
        <v>Silver</v>
      </c>
      <c r="X1372" s="2" t="n">
        <f aca="false">INDEX(Summary!$T$2:$T$201,MATCH($B1372,Summary!$A$2:$A$201,0))</f>
        <v>69.56</v>
      </c>
      <c r="Y1372" s="0" t="str">
        <f aca="false">INDEX('Reward Model'!$E$18:$E$37,MATCH($E1372,'Reward Model'!$A$18:$A$37,0))</f>
        <v>Medium</v>
      </c>
      <c r="Z1372" s="4" t="n">
        <f aca="false">ROUND(MIN(1,MAX('Reward Model'!$B$2,INDEX('Reward Model'!$C$12:$C$14,MATCH($K1372,'Reward Model'!$A$12:$A$14,0))/$J1372)),3)</f>
        <v>0.793</v>
      </c>
      <c r="AA1372" s="2" t="n">
        <f aca="false">IF($I1372="Correct",ROUND(INDEX('Reward Model'!$B$12:$B$14,MATCH($K1372,'Reward Model'!$A$12:$A$14,0))*Z1372,2),0)</f>
        <v>1.59</v>
      </c>
      <c r="AB1372" s="2" t="n">
        <f aca="false">IF($I1372="Correct",ROUND(INDEX('Reward Model'!$B$12:$B$14,MATCH($Y1372,'Reward Model'!$A$12:$A$14,0))*Z1372,2),0)</f>
        <v>1.59</v>
      </c>
    </row>
    <row r="1373" customFormat="false" ht="15" hidden="false" customHeight="false" outlineLevel="0" collapsed="false">
      <c r="A1373" s="0" t="s">
        <v>265</v>
      </c>
      <c r="B1373" s="0" t="s">
        <v>266</v>
      </c>
      <c r="C1373" s="0" t="s">
        <v>30</v>
      </c>
      <c r="D1373" s="0" t="s">
        <v>189</v>
      </c>
      <c r="E1373" s="0" t="n">
        <v>12</v>
      </c>
      <c r="F1373" s="0" t="s">
        <v>64</v>
      </c>
      <c r="G1373" s="0" t="s">
        <v>146</v>
      </c>
      <c r="H1373" s="0" t="s">
        <v>65</v>
      </c>
      <c r="I1373" s="0" t="s">
        <v>39</v>
      </c>
      <c r="J1373" s="0" t="n">
        <v>1.74</v>
      </c>
      <c r="K1373" s="0" t="s">
        <v>60</v>
      </c>
      <c r="L1373" s="0" t="n">
        <f aca="false">INDEX(Summary!$F$2:$F$201,MATCH($B1373,Summary!$A$2:$A$201,0))</f>
        <v>20</v>
      </c>
      <c r="M1373" s="0" t="n">
        <f aca="false">INDEX(Summary!$I$2:$I$201,MATCH($B1373,Summary!$A$2:$A$201,0))</f>
        <v>3</v>
      </c>
      <c r="N1373" s="0" t="n">
        <f aca="false">INDEX(Summary!$J$2:$J$201,MATCH($B1373,Summary!$A$2:$A$201,0))</f>
        <v>2</v>
      </c>
      <c r="O1373" s="2" t="n">
        <f aca="false">INDEX(Summary!$K$2:$K$201,MATCH($B1373,Summary!$A$2:$A$201,0))</f>
        <v>9.01</v>
      </c>
      <c r="P1373" s="3" t="n">
        <f aca="false">INDEX(Summary!$L$2:$L$201,MATCH($B1373,Summary!$A$2:$A$201,0))</f>
        <v>5</v>
      </c>
      <c r="Q1373" s="3" t="n">
        <f aca="false">INDEX(Summary!$M$2:$M$201,MATCH($B1373,Summary!$A$2:$A$201,0))</f>
        <v>1</v>
      </c>
      <c r="R1373" s="2" t="n">
        <f aca="false">INDEX(Summary!$N$2:$N$201,MATCH($B1373,Summary!$A$2:$A$201,0))</f>
        <v>10.67</v>
      </c>
      <c r="S1373" s="3" t="n">
        <f aca="false">INDEX(Summary!$O$2:$O$201,MATCH($B1373,Summary!$A$2:$A$201,0))</f>
        <v>7</v>
      </c>
      <c r="T1373" s="3" t="n">
        <f aca="false">INDEX(Summary!$P$2:$P$201,MATCH($B1373,Summary!$A$2:$A$201,0))</f>
        <v>2</v>
      </c>
      <c r="U1373" s="2" t="n">
        <f aca="false">INDEX(Summary!$Q$2:$Q$201,MATCH($B1373,Summary!$A$2:$A$201,0))</f>
        <v>12.73</v>
      </c>
      <c r="V1373" s="2" t="n">
        <f aca="false">INDEX(Summary!$R$2:$R$201,MATCH($B1373,Summary!$A$2:$A$201,0))</f>
        <v>28.52</v>
      </c>
      <c r="W1373" s="0" t="str">
        <f aca="false">INDEX(Summary!$S$2:$S$201,MATCH($B1373,Summary!$A$2:$A$201,0))</f>
        <v>Silver</v>
      </c>
      <c r="X1373" s="2" t="n">
        <f aca="false">INDEX(Summary!$T$2:$T$201,MATCH($B1373,Summary!$A$2:$A$201,0))</f>
        <v>69.56</v>
      </c>
      <c r="Y1373" s="0" t="str">
        <f aca="false">INDEX('Reward Model'!$E$18:$E$37,MATCH($E1373,'Reward Model'!$A$18:$A$37,0))</f>
        <v>Medium</v>
      </c>
      <c r="Z1373" s="4" t="n">
        <f aca="false">ROUND(MIN(1,MAX('Reward Model'!$B$2,INDEX('Reward Model'!$C$12:$C$14,MATCH($K1373,'Reward Model'!$A$12:$A$14,0))/$J1373)),3)</f>
        <v>1</v>
      </c>
      <c r="AA1373" s="2" t="n">
        <f aca="false">IF($I1373="Correct",ROUND(INDEX('Reward Model'!$B$12:$B$14,MATCH($K1373,'Reward Model'!$A$12:$A$14,0))*Z1373,2),0)</f>
        <v>0</v>
      </c>
      <c r="AB1373" s="2" t="n">
        <f aca="false">IF($I1373="Correct",ROUND(INDEX('Reward Model'!$B$12:$B$14,MATCH($Y1373,'Reward Model'!$A$12:$A$14,0))*Z1373,2),0)</f>
        <v>0</v>
      </c>
    </row>
    <row r="1374" customFormat="false" ht="15" hidden="false" customHeight="false" outlineLevel="0" collapsed="false">
      <c r="A1374" s="0" t="s">
        <v>265</v>
      </c>
      <c r="B1374" s="0" t="s">
        <v>266</v>
      </c>
      <c r="C1374" s="0" t="s">
        <v>30</v>
      </c>
      <c r="D1374" s="0" t="s">
        <v>189</v>
      </c>
      <c r="E1374" s="0" t="n">
        <v>13</v>
      </c>
      <c r="F1374" s="0" t="s">
        <v>66</v>
      </c>
      <c r="G1374" s="0" t="s">
        <v>67</v>
      </c>
      <c r="H1374" s="0" t="s">
        <v>67</v>
      </c>
      <c r="I1374" s="0" t="s">
        <v>34</v>
      </c>
      <c r="J1374" s="0" t="n">
        <v>1.66</v>
      </c>
      <c r="K1374" s="0" t="s">
        <v>60</v>
      </c>
      <c r="L1374" s="0" t="n">
        <f aca="false">INDEX(Summary!$F$2:$F$201,MATCH($B1374,Summary!$A$2:$A$201,0))</f>
        <v>20</v>
      </c>
      <c r="M1374" s="0" t="n">
        <f aca="false">INDEX(Summary!$I$2:$I$201,MATCH($B1374,Summary!$A$2:$A$201,0))</f>
        <v>3</v>
      </c>
      <c r="N1374" s="0" t="n">
        <f aca="false">INDEX(Summary!$J$2:$J$201,MATCH($B1374,Summary!$A$2:$A$201,0))</f>
        <v>2</v>
      </c>
      <c r="O1374" s="2" t="n">
        <f aca="false">INDEX(Summary!$K$2:$K$201,MATCH($B1374,Summary!$A$2:$A$201,0))</f>
        <v>9.01</v>
      </c>
      <c r="P1374" s="3" t="n">
        <f aca="false">INDEX(Summary!$L$2:$L$201,MATCH($B1374,Summary!$A$2:$A$201,0))</f>
        <v>5</v>
      </c>
      <c r="Q1374" s="3" t="n">
        <f aca="false">INDEX(Summary!$M$2:$M$201,MATCH($B1374,Summary!$A$2:$A$201,0))</f>
        <v>1</v>
      </c>
      <c r="R1374" s="2" t="n">
        <f aca="false">INDEX(Summary!$N$2:$N$201,MATCH($B1374,Summary!$A$2:$A$201,0))</f>
        <v>10.67</v>
      </c>
      <c r="S1374" s="3" t="n">
        <f aca="false">INDEX(Summary!$O$2:$O$201,MATCH($B1374,Summary!$A$2:$A$201,0))</f>
        <v>7</v>
      </c>
      <c r="T1374" s="3" t="n">
        <f aca="false">INDEX(Summary!$P$2:$P$201,MATCH($B1374,Summary!$A$2:$A$201,0))</f>
        <v>2</v>
      </c>
      <c r="U1374" s="2" t="n">
        <f aca="false">INDEX(Summary!$Q$2:$Q$201,MATCH($B1374,Summary!$A$2:$A$201,0))</f>
        <v>12.73</v>
      </c>
      <c r="V1374" s="2" t="n">
        <f aca="false">INDEX(Summary!$R$2:$R$201,MATCH($B1374,Summary!$A$2:$A$201,0))</f>
        <v>28.52</v>
      </c>
      <c r="W1374" s="0" t="str">
        <f aca="false">INDEX(Summary!$S$2:$S$201,MATCH($B1374,Summary!$A$2:$A$201,0))</f>
        <v>Silver</v>
      </c>
      <c r="X1374" s="2" t="n">
        <f aca="false">INDEX(Summary!$T$2:$T$201,MATCH($B1374,Summary!$A$2:$A$201,0))</f>
        <v>69.56</v>
      </c>
      <c r="Y1374" s="0" t="str">
        <f aca="false">INDEX('Reward Model'!$E$18:$E$37,MATCH($E1374,'Reward Model'!$A$18:$A$37,0))</f>
        <v>Medium</v>
      </c>
      <c r="Z1374" s="4" t="n">
        <f aca="false">ROUND(MIN(1,MAX('Reward Model'!$B$2,INDEX('Reward Model'!$C$12:$C$14,MATCH($K1374,'Reward Model'!$A$12:$A$14,0))/$J1374)),3)</f>
        <v>1</v>
      </c>
      <c r="AA1374" s="2" t="n">
        <f aca="false">IF($I1374="Correct",ROUND(INDEX('Reward Model'!$B$12:$B$14,MATCH($K1374,'Reward Model'!$A$12:$A$14,0))*Z1374,2),0)</f>
        <v>2</v>
      </c>
      <c r="AB1374" s="2" t="n">
        <f aca="false">IF($I1374="Correct",ROUND(INDEX('Reward Model'!$B$12:$B$14,MATCH($Y1374,'Reward Model'!$A$12:$A$14,0))*Z1374,2),0)</f>
        <v>2</v>
      </c>
    </row>
    <row r="1375" customFormat="false" ht="15" hidden="false" customHeight="false" outlineLevel="0" collapsed="false">
      <c r="A1375" s="0" t="s">
        <v>265</v>
      </c>
      <c r="B1375" s="0" t="s">
        <v>266</v>
      </c>
      <c r="C1375" s="0" t="s">
        <v>30</v>
      </c>
      <c r="D1375" s="0" t="s">
        <v>189</v>
      </c>
      <c r="E1375" s="0" t="n">
        <v>14</v>
      </c>
      <c r="F1375" s="0" t="s">
        <v>68</v>
      </c>
      <c r="G1375" s="0" t="s">
        <v>51</v>
      </c>
      <c r="H1375" s="0" t="s">
        <v>51</v>
      </c>
      <c r="I1375" s="0" t="s">
        <v>34</v>
      </c>
      <c r="J1375" s="0" t="n">
        <v>1.38</v>
      </c>
      <c r="K1375" s="0" t="s">
        <v>60</v>
      </c>
      <c r="L1375" s="0" t="n">
        <f aca="false">INDEX(Summary!$F$2:$F$201,MATCH($B1375,Summary!$A$2:$A$201,0))</f>
        <v>20</v>
      </c>
      <c r="M1375" s="0" t="n">
        <f aca="false">INDEX(Summary!$I$2:$I$201,MATCH($B1375,Summary!$A$2:$A$201,0))</f>
        <v>3</v>
      </c>
      <c r="N1375" s="0" t="n">
        <f aca="false">INDEX(Summary!$J$2:$J$201,MATCH($B1375,Summary!$A$2:$A$201,0))</f>
        <v>2</v>
      </c>
      <c r="O1375" s="2" t="n">
        <f aca="false">INDEX(Summary!$K$2:$K$201,MATCH($B1375,Summary!$A$2:$A$201,0))</f>
        <v>9.01</v>
      </c>
      <c r="P1375" s="3" t="n">
        <f aca="false">INDEX(Summary!$L$2:$L$201,MATCH($B1375,Summary!$A$2:$A$201,0))</f>
        <v>5</v>
      </c>
      <c r="Q1375" s="3" t="n">
        <f aca="false">INDEX(Summary!$M$2:$M$201,MATCH($B1375,Summary!$A$2:$A$201,0))</f>
        <v>1</v>
      </c>
      <c r="R1375" s="2" t="n">
        <f aca="false">INDEX(Summary!$N$2:$N$201,MATCH($B1375,Summary!$A$2:$A$201,0))</f>
        <v>10.67</v>
      </c>
      <c r="S1375" s="3" t="n">
        <f aca="false">INDEX(Summary!$O$2:$O$201,MATCH($B1375,Summary!$A$2:$A$201,0))</f>
        <v>7</v>
      </c>
      <c r="T1375" s="3" t="n">
        <f aca="false">INDEX(Summary!$P$2:$P$201,MATCH($B1375,Summary!$A$2:$A$201,0))</f>
        <v>2</v>
      </c>
      <c r="U1375" s="2" t="n">
        <f aca="false">INDEX(Summary!$Q$2:$Q$201,MATCH($B1375,Summary!$A$2:$A$201,0))</f>
        <v>12.73</v>
      </c>
      <c r="V1375" s="2" t="n">
        <f aca="false">INDEX(Summary!$R$2:$R$201,MATCH($B1375,Summary!$A$2:$A$201,0))</f>
        <v>28.52</v>
      </c>
      <c r="W1375" s="0" t="str">
        <f aca="false">INDEX(Summary!$S$2:$S$201,MATCH($B1375,Summary!$A$2:$A$201,0))</f>
        <v>Silver</v>
      </c>
      <c r="X1375" s="2" t="n">
        <f aca="false">INDEX(Summary!$T$2:$T$201,MATCH($B1375,Summary!$A$2:$A$201,0))</f>
        <v>69.56</v>
      </c>
      <c r="Y1375" s="0" t="str">
        <f aca="false">INDEX('Reward Model'!$E$18:$E$37,MATCH($E1375,'Reward Model'!$A$18:$A$37,0))</f>
        <v>Medium</v>
      </c>
      <c r="Z1375" s="4" t="n">
        <f aca="false">ROUND(MIN(1,MAX('Reward Model'!$B$2,INDEX('Reward Model'!$C$12:$C$14,MATCH($K1375,'Reward Model'!$A$12:$A$14,0))/$J1375)),3)</f>
        <v>1</v>
      </c>
      <c r="AA1375" s="2" t="n">
        <f aca="false">IF($I1375="Correct",ROUND(INDEX('Reward Model'!$B$12:$B$14,MATCH($K1375,'Reward Model'!$A$12:$A$14,0))*Z1375,2),0)</f>
        <v>2</v>
      </c>
      <c r="AB1375" s="2" t="n">
        <f aca="false">IF($I1375="Correct",ROUND(INDEX('Reward Model'!$B$12:$B$14,MATCH($Y1375,'Reward Model'!$A$12:$A$14,0))*Z1375,2),0)</f>
        <v>2</v>
      </c>
    </row>
    <row r="1376" customFormat="false" ht="15" hidden="false" customHeight="false" outlineLevel="0" collapsed="false">
      <c r="A1376" s="0" t="s">
        <v>265</v>
      </c>
      <c r="B1376" s="0" t="s">
        <v>266</v>
      </c>
      <c r="C1376" s="0" t="s">
        <v>30</v>
      </c>
      <c r="D1376" s="0" t="s">
        <v>189</v>
      </c>
      <c r="E1376" s="0" t="n">
        <v>15</v>
      </c>
      <c r="F1376" s="0" t="s">
        <v>69</v>
      </c>
      <c r="G1376" s="0" t="s">
        <v>70</v>
      </c>
      <c r="H1376" s="0" t="s">
        <v>70</v>
      </c>
      <c r="I1376" s="0" t="s">
        <v>34</v>
      </c>
      <c r="J1376" s="0" t="n">
        <v>2.05</v>
      </c>
      <c r="K1376" s="0" t="s">
        <v>60</v>
      </c>
      <c r="L1376" s="0" t="n">
        <f aca="false">INDEX(Summary!$F$2:$F$201,MATCH($B1376,Summary!$A$2:$A$201,0))</f>
        <v>20</v>
      </c>
      <c r="M1376" s="0" t="n">
        <f aca="false">INDEX(Summary!$I$2:$I$201,MATCH($B1376,Summary!$A$2:$A$201,0))</f>
        <v>3</v>
      </c>
      <c r="N1376" s="0" t="n">
        <f aca="false">INDEX(Summary!$J$2:$J$201,MATCH($B1376,Summary!$A$2:$A$201,0))</f>
        <v>2</v>
      </c>
      <c r="O1376" s="2" t="n">
        <f aca="false">INDEX(Summary!$K$2:$K$201,MATCH($B1376,Summary!$A$2:$A$201,0))</f>
        <v>9.01</v>
      </c>
      <c r="P1376" s="3" t="n">
        <f aca="false">INDEX(Summary!$L$2:$L$201,MATCH($B1376,Summary!$A$2:$A$201,0))</f>
        <v>5</v>
      </c>
      <c r="Q1376" s="3" t="n">
        <f aca="false">INDEX(Summary!$M$2:$M$201,MATCH($B1376,Summary!$A$2:$A$201,0))</f>
        <v>1</v>
      </c>
      <c r="R1376" s="2" t="n">
        <f aca="false">INDEX(Summary!$N$2:$N$201,MATCH($B1376,Summary!$A$2:$A$201,0))</f>
        <v>10.67</v>
      </c>
      <c r="S1376" s="3" t="n">
        <f aca="false">INDEX(Summary!$O$2:$O$201,MATCH($B1376,Summary!$A$2:$A$201,0))</f>
        <v>7</v>
      </c>
      <c r="T1376" s="3" t="n">
        <f aca="false">INDEX(Summary!$P$2:$P$201,MATCH($B1376,Summary!$A$2:$A$201,0))</f>
        <v>2</v>
      </c>
      <c r="U1376" s="2" t="n">
        <f aca="false">INDEX(Summary!$Q$2:$Q$201,MATCH($B1376,Summary!$A$2:$A$201,0))</f>
        <v>12.73</v>
      </c>
      <c r="V1376" s="2" t="n">
        <f aca="false">INDEX(Summary!$R$2:$R$201,MATCH($B1376,Summary!$A$2:$A$201,0))</f>
        <v>28.52</v>
      </c>
      <c r="W1376" s="0" t="str">
        <f aca="false">INDEX(Summary!$S$2:$S$201,MATCH($B1376,Summary!$A$2:$A$201,0))</f>
        <v>Silver</v>
      </c>
      <c r="X1376" s="2" t="n">
        <f aca="false">INDEX(Summary!$T$2:$T$201,MATCH($B1376,Summary!$A$2:$A$201,0))</f>
        <v>69.56</v>
      </c>
      <c r="Y1376" s="0" t="str">
        <f aca="false">INDEX('Reward Model'!$E$18:$E$37,MATCH($E1376,'Reward Model'!$A$18:$A$37,0))</f>
        <v>Medium</v>
      </c>
      <c r="Z1376" s="4" t="n">
        <f aca="false">ROUND(MIN(1,MAX('Reward Model'!$B$2,INDEX('Reward Model'!$C$12:$C$14,MATCH($K1376,'Reward Model'!$A$12:$A$14,0))/$J1376)),3)</f>
        <v>0.878</v>
      </c>
      <c r="AA1376" s="2" t="n">
        <f aca="false">IF($I1376="Correct",ROUND(INDEX('Reward Model'!$B$12:$B$14,MATCH($K1376,'Reward Model'!$A$12:$A$14,0))*Z1376,2),0)</f>
        <v>1.76</v>
      </c>
      <c r="AB1376" s="2" t="n">
        <f aca="false">IF($I1376="Correct",ROUND(INDEX('Reward Model'!$B$12:$B$14,MATCH($Y1376,'Reward Model'!$A$12:$A$14,0))*Z1376,2),0)</f>
        <v>1.76</v>
      </c>
    </row>
    <row r="1377" customFormat="false" ht="15" hidden="false" customHeight="false" outlineLevel="0" collapsed="false">
      <c r="A1377" s="0" t="s">
        <v>265</v>
      </c>
      <c r="B1377" s="0" t="s">
        <v>266</v>
      </c>
      <c r="C1377" s="0" t="s">
        <v>30</v>
      </c>
      <c r="D1377" s="0" t="s">
        <v>189</v>
      </c>
      <c r="E1377" s="0" t="n">
        <v>16</v>
      </c>
      <c r="F1377" s="0" t="s">
        <v>71</v>
      </c>
      <c r="G1377" s="0" t="s">
        <v>72</v>
      </c>
      <c r="H1377" s="0" t="s">
        <v>72</v>
      </c>
      <c r="I1377" s="0" t="s">
        <v>34</v>
      </c>
      <c r="J1377" s="0" t="n">
        <v>1.57</v>
      </c>
      <c r="K1377" s="0" t="s">
        <v>73</v>
      </c>
      <c r="L1377" s="0" t="n">
        <f aca="false">INDEX(Summary!$F$2:$F$201,MATCH($B1377,Summary!$A$2:$A$201,0))</f>
        <v>20</v>
      </c>
      <c r="M1377" s="0" t="n">
        <f aca="false">INDEX(Summary!$I$2:$I$201,MATCH($B1377,Summary!$A$2:$A$201,0))</f>
        <v>3</v>
      </c>
      <c r="N1377" s="0" t="n">
        <f aca="false">INDEX(Summary!$J$2:$J$201,MATCH($B1377,Summary!$A$2:$A$201,0))</f>
        <v>2</v>
      </c>
      <c r="O1377" s="2" t="n">
        <f aca="false">INDEX(Summary!$K$2:$K$201,MATCH($B1377,Summary!$A$2:$A$201,0))</f>
        <v>9.01</v>
      </c>
      <c r="P1377" s="3" t="n">
        <f aca="false">INDEX(Summary!$L$2:$L$201,MATCH($B1377,Summary!$A$2:$A$201,0))</f>
        <v>5</v>
      </c>
      <c r="Q1377" s="3" t="n">
        <f aca="false">INDEX(Summary!$M$2:$M$201,MATCH($B1377,Summary!$A$2:$A$201,0))</f>
        <v>1</v>
      </c>
      <c r="R1377" s="2" t="n">
        <f aca="false">INDEX(Summary!$N$2:$N$201,MATCH($B1377,Summary!$A$2:$A$201,0))</f>
        <v>10.67</v>
      </c>
      <c r="S1377" s="3" t="n">
        <f aca="false">INDEX(Summary!$O$2:$O$201,MATCH($B1377,Summary!$A$2:$A$201,0))</f>
        <v>7</v>
      </c>
      <c r="T1377" s="3" t="n">
        <f aca="false">INDEX(Summary!$P$2:$P$201,MATCH($B1377,Summary!$A$2:$A$201,0))</f>
        <v>2</v>
      </c>
      <c r="U1377" s="2" t="n">
        <f aca="false">INDEX(Summary!$Q$2:$Q$201,MATCH($B1377,Summary!$A$2:$A$201,0))</f>
        <v>12.73</v>
      </c>
      <c r="V1377" s="2" t="n">
        <f aca="false">INDEX(Summary!$R$2:$R$201,MATCH($B1377,Summary!$A$2:$A$201,0))</f>
        <v>28.52</v>
      </c>
      <c r="W1377" s="0" t="str">
        <f aca="false">INDEX(Summary!$S$2:$S$201,MATCH($B1377,Summary!$A$2:$A$201,0))</f>
        <v>Silver</v>
      </c>
      <c r="X1377" s="2" t="n">
        <f aca="false">INDEX(Summary!$T$2:$T$201,MATCH($B1377,Summary!$A$2:$A$201,0))</f>
        <v>69.56</v>
      </c>
      <c r="Y1377" s="0" t="str">
        <f aca="false">INDEX('Reward Model'!$E$18:$E$37,MATCH($E1377,'Reward Model'!$A$18:$A$37,0))</f>
        <v>High</v>
      </c>
      <c r="Z1377" s="4" t="n">
        <f aca="false">ROUND(MIN(1,MAX('Reward Model'!$B$2,INDEX('Reward Model'!$C$12:$C$14,MATCH($K1377,'Reward Model'!$A$12:$A$14,0))/$J1377)),3)</f>
        <v>1</v>
      </c>
      <c r="AA1377" s="2" t="n">
        <f aca="false">IF($I1377="Correct",ROUND(INDEX('Reward Model'!$B$12:$B$14,MATCH($K1377,'Reward Model'!$A$12:$A$14,0))*Z1377,2),0)</f>
        <v>3</v>
      </c>
      <c r="AB1377" s="2" t="n">
        <f aca="false">IF($I1377="Correct",ROUND(INDEX('Reward Model'!$B$12:$B$14,MATCH($Y1377,'Reward Model'!$A$12:$A$14,0))*Z1377,2),0)</f>
        <v>3</v>
      </c>
    </row>
    <row r="1378" customFormat="false" ht="15" hidden="false" customHeight="false" outlineLevel="0" collapsed="false">
      <c r="A1378" s="0" t="s">
        <v>265</v>
      </c>
      <c r="B1378" s="0" t="s">
        <v>266</v>
      </c>
      <c r="C1378" s="0" t="s">
        <v>30</v>
      </c>
      <c r="D1378" s="0" t="s">
        <v>189</v>
      </c>
      <c r="E1378" s="0" t="n">
        <v>17</v>
      </c>
      <c r="F1378" s="0" t="s">
        <v>74</v>
      </c>
      <c r="G1378" s="0" t="s">
        <v>75</v>
      </c>
      <c r="H1378" s="0" t="s">
        <v>75</v>
      </c>
      <c r="I1378" s="0" t="s">
        <v>34</v>
      </c>
      <c r="J1378" s="0" t="n">
        <v>2.21</v>
      </c>
      <c r="K1378" s="0" t="s">
        <v>73</v>
      </c>
      <c r="L1378" s="0" t="n">
        <f aca="false">INDEX(Summary!$F$2:$F$201,MATCH($B1378,Summary!$A$2:$A$201,0))</f>
        <v>20</v>
      </c>
      <c r="M1378" s="0" t="n">
        <f aca="false">INDEX(Summary!$I$2:$I$201,MATCH($B1378,Summary!$A$2:$A$201,0))</f>
        <v>3</v>
      </c>
      <c r="N1378" s="0" t="n">
        <f aca="false">INDEX(Summary!$J$2:$J$201,MATCH($B1378,Summary!$A$2:$A$201,0))</f>
        <v>2</v>
      </c>
      <c r="O1378" s="2" t="n">
        <f aca="false">INDEX(Summary!$K$2:$K$201,MATCH($B1378,Summary!$A$2:$A$201,0))</f>
        <v>9.01</v>
      </c>
      <c r="P1378" s="3" t="n">
        <f aca="false">INDEX(Summary!$L$2:$L$201,MATCH($B1378,Summary!$A$2:$A$201,0))</f>
        <v>5</v>
      </c>
      <c r="Q1378" s="3" t="n">
        <f aca="false">INDEX(Summary!$M$2:$M$201,MATCH($B1378,Summary!$A$2:$A$201,0))</f>
        <v>1</v>
      </c>
      <c r="R1378" s="2" t="n">
        <f aca="false">INDEX(Summary!$N$2:$N$201,MATCH($B1378,Summary!$A$2:$A$201,0))</f>
        <v>10.67</v>
      </c>
      <c r="S1378" s="3" t="n">
        <f aca="false">INDEX(Summary!$O$2:$O$201,MATCH($B1378,Summary!$A$2:$A$201,0))</f>
        <v>7</v>
      </c>
      <c r="T1378" s="3" t="n">
        <f aca="false">INDEX(Summary!$P$2:$P$201,MATCH($B1378,Summary!$A$2:$A$201,0))</f>
        <v>2</v>
      </c>
      <c r="U1378" s="2" t="n">
        <f aca="false">INDEX(Summary!$Q$2:$Q$201,MATCH($B1378,Summary!$A$2:$A$201,0))</f>
        <v>12.73</v>
      </c>
      <c r="V1378" s="2" t="n">
        <f aca="false">INDEX(Summary!$R$2:$R$201,MATCH($B1378,Summary!$A$2:$A$201,0))</f>
        <v>28.52</v>
      </c>
      <c r="W1378" s="0" t="str">
        <f aca="false">INDEX(Summary!$S$2:$S$201,MATCH($B1378,Summary!$A$2:$A$201,0))</f>
        <v>Silver</v>
      </c>
      <c r="X1378" s="2" t="n">
        <f aca="false">INDEX(Summary!$T$2:$T$201,MATCH($B1378,Summary!$A$2:$A$201,0))</f>
        <v>69.56</v>
      </c>
      <c r="Y1378" s="0" t="str">
        <f aca="false">INDEX('Reward Model'!$E$18:$E$37,MATCH($E1378,'Reward Model'!$A$18:$A$37,0))</f>
        <v>High</v>
      </c>
      <c r="Z1378" s="4" t="n">
        <f aca="false">ROUND(MIN(1,MAX('Reward Model'!$B$2,INDEX('Reward Model'!$C$12:$C$14,MATCH($K1378,'Reward Model'!$A$12:$A$14,0))/$J1378)),3)</f>
        <v>0.905</v>
      </c>
      <c r="AA1378" s="2" t="n">
        <f aca="false">IF($I1378="Correct",ROUND(INDEX('Reward Model'!$B$12:$B$14,MATCH($K1378,'Reward Model'!$A$12:$A$14,0))*Z1378,2),0)</f>
        <v>2.72</v>
      </c>
      <c r="AB1378" s="2" t="n">
        <f aca="false">IF($I1378="Correct",ROUND(INDEX('Reward Model'!$B$12:$B$14,MATCH($Y1378,'Reward Model'!$A$12:$A$14,0))*Z1378,2),0)</f>
        <v>2.72</v>
      </c>
    </row>
    <row r="1379" customFormat="false" ht="15" hidden="false" customHeight="false" outlineLevel="0" collapsed="false">
      <c r="A1379" s="0" t="s">
        <v>265</v>
      </c>
      <c r="B1379" s="0" t="s">
        <v>266</v>
      </c>
      <c r="C1379" s="0" t="s">
        <v>30</v>
      </c>
      <c r="D1379" s="0" t="s">
        <v>189</v>
      </c>
      <c r="E1379" s="0" t="n">
        <v>18</v>
      </c>
      <c r="F1379" s="0" t="s">
        <v>76</v>
      </c>
      <c r="G1379" s="0" t="s">
        <v>77</v>
      </c>
      <c r="H1379" s="0" t="s">
        <v>77</v>
      </c>
      <c r="I1379" s="0" t="s">
        <v>34</v>
      </c>
      <c r="J1379" s="0" t="n">
        <v>1.25</v>
      </c>
      <c r="K1379" s="0" t="s">
        <v>73</v>
      </c>
      <c r="L1379" s="0" t="n">
        <f aca="false">INDEX(Summary!$F$2:$F$201,MATCH($B1379,Summary!$A$2:$A$201,0))</f>
        <v>20</v>
      </c>
      <c r="M1379" s="0" t="n">
        <f aca="false">INDEX(Summary!$I$2:$I$201,MATCH($B1379,Summary!$A$2:$A$201,0))</f>
        <v>3</v>
      </c>
      <c r="N1379" s="0" t="n">
        <f aca="false">INDEX(Summary!$J$2:$J$201,MATCH($B1379,Summary!$A$2:$A$201,0))</f>
        <v>2</v>
      </c>
      <c r="O1379" s="2" t="n">
        <f aca="false">INDEX(Summary!$K$2:$K$201,MATCH($B1379,Summary!$A$2:$A$201,0))</f>
        <v>9.01</v>
      </c>
      <c r="P1379" s="3" t="n">
        <f aca="false">INDEX(Summary!$L$2:$L$201,MATCH($B1379,Summary!$A$2:$A$201,0))</f>
        <v>5</v>
      </c>
      <c r="Q1379" s="3" t="n">
        <f aca="false">INDEX(Summary!$M$2:$M$201,MATCH($B1379,Summary!$A$2:$A$201,0))</f>
        <v>1</v>
      </c>
      <c r="R1379" s="2" t="n">
        <f aca="false">INDEX(Summary!$N$2:$N$201,MATCH($B1379,Summary!$A$2:$A$201,0))</f>
        <v>10.67</v>
      </c>
      <c r="S1379" s="3" t="n">
        <f aca="false">INDEX(Summary!$O$2:$O$201,MATCH($B1379,Summary!$A$2:$A$201,0))</f>
        <v>7</v>
      </c>
      <c r="T1379" s="3" t="n">
        <f aca="false">INDEX(Summary!$P$2:$P$201,MATCH($B1379,Summary!$A$2:$A$201,0))</f>
        <v>2</v>
      </c>
      <c r="U1379" s="2" t="n">
        <f aca="false">INDEX(Summary!$Q$2:$Q$201,MATCH($B1379,Summary!$A$2:$A$201,0))</f>
        <v>12.73</v>
      </c>
      <c r="V1379" s="2" t="n">
        <f aca="false">INDEX(Summary!$R$2:$R$201,MATCH($B1379,Summary!$A$2:$A$201,0))</f>
        <v>28.52</v>
      </c>
      <c r="W1379" s="0" t="str">
        <f aca="false">INDEX(Summary!$S$2:$S$201,MATCH($B1379,Summary!$A$2:$A$201,0))</f>
        <v>Silver</v>
      </c>
      <c r="X1379" s="2" t="n">
        <f aca="false">INDEX(Summary!$T$2:$T$201,MATCH($B1379,Summary!$A$2:$A$201,0))</f>
        <v>69.56</v>
      </c>
      <c r="Y1379" s="0" t="str">
        <f aca="false">INDEX('Reward Model'!$E$18:$E$37,MATCH($E1379,'Reward Model'!$A$18:$A$37,0))</f>
        <v>High</v>
      </c>
      <c r="Z1379" s="4" t="n">
        <f aca="false">ROUND(MIN(1,MAX('Reward Model'!$B$2,INDEX('Reward Model'!$C$12:$C$14,MATCH($K1379,'Reward Model'!$A$12:$A$14,0))/$J1379)),3)</f>
        <v>1</v>
      </c>
      <c r="AA1379" s="2" t="n">
        <f aca="false">IF($I1379="Correct",ROUND(INDEX('Reward Model'!$B$12:$B$14,MATCH($K1379,'Reward Model'!$A$12:$A$14,0))*Z1379,2),0)</f>
        <v>3</v>
      </c>
      <c r="AB1379" s="2" t="n">
        <f aca="false">IF($I1379="Correct",ROUND(INDEX('Reward Model'!$B$12:$B$14,MATCH($Y1379,'Reward Model'!$A$12:$A$14,0))*Z1379,2),0)</f>
        <v>3</v>
      </c>
    </row>
    <row r="1380" customFormat="false" ht="15" hidden="false" customHeight="false" outlineLevel="0" collapsed="false">
      <c r="A1380" s="0" t="s">
        <v>265</v>
      </c>
      <c r="B1380" s="0" t="s">
        <v>266</v>
      </c>
      <c r="C1380" s="0" t="s">
        <v>30</v>
      </c>
      <c r="D1380" s="0" t="s">
        <v>189</v>
      </c>
      <c r="E1380" s="0" t="n">
        <v>19</v>
      </c>
      <c r="F1380" s="0" t="s">
        <v>78</v>
      </c>
      <c r="G1380" s="0" t="s">
        <v>51</v>
      </c>
      <c r="H1380" s="0" t="s">
        <v>80</v>
      </c>
      <c r="I1380" s="0" t="s">
        <v>39</v>
      </c>
      <c r="J1380" s="0" t="n">
        <v>2.4</v>
      </c>
      <c r="K1380" s="0" t="s">
        <v>73</v>
      </c>
      <c r="L1380" s="0" t="n">
        <f aca="false">INDEX(Summary!$F$2:$F$201,MATCH($B1380,Summary!$A$2:$A$201,0))</f>
        <v>20</v>
      </c>
      <c r="M1380" s="0" t="n">
        <f aca="false">INDEX(Summary!$I$2:$I$201,MATCH($B1380,Summary!$A$2:$A$201,0))</f>
        <v>3</v>
      </c>
      <c r="N1380" s="0" t="n">
        <f aca="false">INDEX(Summary!$J$2:$J$201,MATCH($B1380,Summary!$A$2:$A$201,0))</f>
        <v>2</v>
      </c>
      <c r="O1380" s="2" t="n">
        <f aca="false">INDEX(Summary!$K$2:$K$201,MATCH($B1380,Summary!$A$2:$A$201,0))</f>
        <v>9.01</v>
      </c>
      <c r="P1380" s="3" t="n">
        <f aca="false">INDEX(Summary!$L$2:$L$201,MATCH($B1380,Summary!$A$2:$A$201,0))</f>
        <v>5</v>
      </c>
      <c r="Q1380" s="3" t="n">
        <f aca="false">INDEX(Summary!$M$2:$M$201,MATCH($B1380,Summary!$A$2:$A$201,0))</f>
        <v>1</v>
      </c>
      <c r="R1380" s="2" t="n">
        <f aca="false">INDEX(Summary!$N$2:$N$201,MATCH($B1380,Summary!$A$2:$A$201,0))</f>
        <v>10.67</v>
      </c>
      <c r="S1380" s="3" t="n">
        <f aca="false">INDEX(Summary!$O$2:$O$201,MATCH($B1380,Summary!$A$2:$A$201,0))</f>
        <v>7</v>
      </c>
      <c r="T1380" s="3" t="n">
        <f aca="false">INDEX(Summary!$P$2:$P$201,MATCH($B1380,Summary!$A$2:$A$201,0))</f>
        <v>2</v>
      </c>
      <c r="U1380" s="2" t="n">
        <f aca="false">INDEX(Summary!$Q$2:$Q$201,MATCH($B1380,Summary!$A$2:$A$201,0))</f>
        <v>12.73</v>
      </c>
      <c r="V1380" s="2" t="n">
        <f aca="false">INDEX(Summary!$R$2:$R$201,MATCH($B1380,Summary!$A$2:$A$201,0))</f>
        <v>28.52</v>
      </c>
      <c r="W1380" s="0" t="str">
        <f aca="false">INDEX(Summary!$S$2:$S$201,MATCH($B1380,Summary!$A$2:$A$201,0))</f>
        <v>Silver</v>
      </c>
      <c r="X1380" s="2" t="n">
        <f aca="false">INDEX(Summary!$T$2:$T$201,MATCH($B1380,Summary!$A$2:$A$201,0))</f>
        <v>69.56</v>
      </c>
      <c r="Y1380" s="0" t="str">
        <f aca="false">INDEX('Reward Model'!$E$18:$E$37,MATCH($E1380,'Reward Model'!$A$18:$A$37,0))</f>
        <v>High</v>
      </c>
      <c r="Z1380" s="4" t="n">
        <f aca="false">ROUND(MIN(1,MAX('Reward Model'!$B$2,INDEX('Reward Model'!$C$12:$C$14,MATCH($K1380,'Reward Model'!$A$12:$A$14,0))/$J1380)),3)</f>
        <v>0.833</v>
      </c>
      <c r="AA1380" s="2" t="n">
        <f aca="false">IF($I1380="Correct",ROUND(INDEX('Reward Model'!$B$12:$B$14,MATCH($K1380,'Reward Model'!$A$12:$A$14,0))*Z1380,2),0)</f>
        <v>0</v>
      </c>
      <c r="AB1380" s="2" t="n">
        <f aca="false">IF($I1380="Correct",ROUND(INDEX('Reward Model'!$B$12:$B$14,MATCH($Y1380,'Reward Model'!$A$12:$A$14,0))*Z1380,2),0)</f>
        <v>0</v>
      </c>
    </row>
    <row r="1381" customFormat="false" ht="15" hidden="false" customHeight="false" outlineLevel="0" collapsed="false">
      <c r="A1381" s="0" t="s">
        <v>265</v>
      </c>
      <c r="B1381" s="0" t="s">
        <v>266</v>
      </c>
      <c r="C1381" s="0" t="s">
        <v>30</v>
      </c>
      <c r="D1381" s="0" t="s">
        <v>189</v>
      </c>
      <c r="E1381" s="0" t="n">
        <v>20</v>
      </c>
      <c r="F1381" s="0" t="s">
        <v>81</v>
      </c>
      <c r="G1381" s="0" t="s">
        <v>82</v>
      </c>
      <c r="H1381" s="0" t="s">
        <v>83</v>
      </c>
      <c r="I1381" s="0" t="s">
        <v>39</v>
      </c>
      <c r="J1381" s="0" t="n">
        <v>1.58</v>
      </c>
      <c r="K1381" s="0" t="s">
        <v>73</v>
      </c>
      <c r="L1381" s="0" t="n">
        <f aca="false">INDEX(Summary!$F$2:$F$201,MATCH($B1381,Summary!$A$2:$A$201,0))</f>
        <v>20</v>
      </c>
      <c r="M1381" s="0" t="n">
        <f aca="false">INDEX(Summary!$I$2:$I$201,MATCH($B1381,Summary!$A$2:$A$201,0))</f>
        <v>3</v>
      </c>
      <c r="N1381" s="0" t="n">
        <f aca="false">INDEX(Summary!$J$2:$J$201,MATCH($B1381,Summary!$A$2:$A$201,0))</f>
        <v>2</v>
      </c>
      <c r="O1381" s="2" t="n">
        <f aca="false">INDEX(Summary!$K$2:$K$201,MATCH($B1381,Summary!$A$2:$A$201,0))</f>
        <v>9.01</v>
      </c>
      <c r="P1381" s="3" t="n">
        <f aca="false">INDEX(Summary!$L$2:$L$201,MATCH($B1381,Summary!$A$2:$A$201,0))</f>
        <v>5</v>
      </c>
      <c r="Q1381" s="3" t="n">
        <f aca="false">INDEX(Summary!$M$2:$M$201,MATCH($B1381,Summary!$A$2:$A$201,0))</f>
        <v>1</v>
      </c>
      <c r="R1381" s="2" t="n">
        <f aca="false">INDEX(Summary!$N$2:$N$201,MATCH($B1381,Summary!$A$2:$A$201,0))</f>
        <v>10.67</v>
      </c>
      <c r="S1381" s="3" t="n">
        <f aca="false">INDEX(Summary!$O$2:$O$201,MATCH($B1381,Summary!$A$2:$A$201,0))</f>
        <v>7</v>
      </c>
      <c r="T1381" s="3" t="n">
        <f aca="false">INDEX(Summary!$P$2:$P$201,MATCH($B1381,Summary!$A$2:$A$201,0))</f>
        <v>2</v>
      </c>
      <c r="U1381" s="2" t="n">
        <f aca="false">INDEX(Summary!$Q$2:$Q$201,MATCH($B1381,Summary!$A$2:$A$201,0))</f>
        <v>12.73</v>
      </c>
      <c r="V1381" s="2" t="n">
        <f aca="false">INDEX(Summary!$R$2:$R$201,MATCH($B1381,Summary!$A$2:$A$201,0))</f>
        <v>28.52</v>
      </c>
      <c r="W1381" s="0" t="str">
        <f aca="false">INDEX(Summary!$S$2:$S$201,MATCH($B1381,Summary!$A$2:$A$201,0))</f>
        <v>Silver</v>
      </c>
      <c r="X1381" s="2" t="n">
        <f aca="false">INDEX(Summary!$T$2:$T$201,MATCH($B1381,Summary!$A$2:$A$201,0))</f>
        <v>69.56</v>
      </c>
      <c r="Y1381" s="0" t="str">
        <f aca="false">INDEX('Reward Model'!$E$18:$E$37,MATCH($E1381,'Reward Model'!$A$18:$A$37,0))</f>
        <v>High</v>
      </c>
      <c r="Z1381" s="4" t="n">
        <f aca="false">ROUND(MIN(1,MAX('Reward Model'!$B$2,INDEX('Reward Model'!$C$12:$C$14,MATCH($K1381,'Reward Model'!$A$12:$A$14,0))/$J1381)),3)</f>
        <v>1</v>
      </c>
      <c r="AA1381" s="2" t="n">
        <f aca="false">IF($I1381="Correct",ROUND(INDEX('Reward Model'!$B$12:$B$14,MATCH($K1381,'Reward Model'!$A$12:$A$14,0))*Z1381,2),0)</f>
        <v>0</v>
      </c>
      <c r="AB1381" s="2" t="n">
        <f aca="false">IF($I1381="Correct",ROUND(INDEX('Reward Model'!$B$12:$B$14,MATCH($Y1381,'Reward Model'!$A$12:$A$14,0))*Z1381,2),0)</f>
        <v>0</v>
      </c>
    </row>
    <row r="1382" customFormat="false" ht="15" hidden="false" customHeight="false" outlineLevel="0" collapsed="false">
      <c r="A1382" s="0" t="s">
        <v>267</v>
      </c>
      <c r="B1382" s="0" t="s">
        <v>268</v>
      </c>
      <c r="C1382" s="0" t="s">
        <v>30</v>
      </c>
      <c r="D1382" s="0" t="s">
        <v>189</v>
      </c>
      <c r="E1382" s="0" t="n">
        <v>1</v>
      </c>
      <c r="F1382" s="0" t="s">
        <v>32</v>
      </c>
      <c r="G1382" s="0" t="s">
        <v>33</v>
      </c>
      <c r="H1382" s="0" t="s">
        <v>33</v>
      </c>
      <c r="I1382" s="0" t="s">
        <v>34</v>
      </c>
      <c r="J1382" s="0" t="n">
        <v>1.85</v>
      </c>
      <c r="K1382" s="0" t="s">
        <v>35</v>
      </c>
      <c r="L1382" s="0" t="n">
        <f aca="false">INDEX(Summary!$F$2:$F$201,MATCH($B1382,Summary!$A$2:$A$201,0))</f>
        <v>20</v>
      </c>
      <c r="M1382" s="0" t="n">
        <f aca="false">INDEX(Summary!$I$2:$I$201,MATCH($B1382,Summary!$A$2:$A$201,0))</f>
        <v>1</v>
      </c>
      <c r="N1382" s="0" t="n">
        <f aca="false">INDEX(Summary!$J$2:$J$201,MATCH($B1382,Summary!$A$2:$A$201,0))</f>
        <v>4</v>
      </c>
      <c r="O1382" s="2" t="n">
        <f aca="false">INDEX(Summary!$K$2:$K$201,MATCH($B1382,Summary!$A$2:$A$201,0))</f>
        <v>8</v>
      </c>
      <c r="P1382" s="3" t="n">
        <f aca="false">INDEX(Summary!$L$2:$L$201,MATCH($B1382,Summary!$A$2:$A$201,0))</f>
        <v>4</v>
      </c>
      <c r="Q1382" s="3" t="n">
        <f aca="false">INDEX(Summary!$M$2:$M$201,MATCH($B1382,Summary!$A$2:$A$201,0))</f>
        <v>2</v>
      </c>
      <c r="R1382" s="2" t="n">
        <f aca="false">INDEX(Summary!$N$2:$N$201,MATCH($B1382,Summary!$A$2:$A$201,0))</f>
        <v>8.36</v>
      </c>
      <c r="S1382" s="3" t="n">
        <f aca="false">INDEX(Summary!$O$2:$O$201,MATCH($B1382,Summary!$A$2:$A$201,0))</f>
        <v>4</v>
      </c>
      <c r="T1382" s="3" t="n">
        <f aca="false">INDEX(Summary!$P$2:$P$201,MATCH($B1382,Summary!$A$2:$A$201,0))</f>
        <v>5</v>
      </c>
      <c r="U1382" s="2" t="n">
        <f aca="false">INDEX(Summary!$Q$2:$Q$201,MATCH($B1382,Summary!$A$2:$A$201,0))</f>
        <v>12.91</v>
      </c>
      <c r="V1382" s="2" t="n">
        <f aca="false">INDEX(Summary!$R$2:$R$201,MATCH($B1382,Summary!$A$2:$A$201,0))</f>
        <v>16.39</v>
      </c>
      <c r="W1382" s="0" t="str">
        <f aca="false">INDEX(Summary!$S$2:$S$201,MATCH($B1382,Summary!$A$2:$A$201,0))</f>
        <v>Bronze</v>
      </c>
      <c r="X1382" s="2" t="n">
        <f aca="false">INDEX(Summary!$T$2:$T$201,MATCH($B1382,Summary!$A$2:$A$201,0))</f>
        <v>39.98</v>
      </c>
      <c r="Y1382" s="0" t="str">
        <f aca="false">INDEX('Reward Model'!$E$18:$E$37,MATCH($E1382,'Reward Model'!$A$18:$A$37,0))</f>
        <v>Medium</v>
      </c>
      <c r="Z1382" s="4" t="n">
        <f aca="false">ROUND(MIN(1,MAX('Reward Model'!$B$2,INDEX('Reward Model'!$C$12:$C$14,MATCH($K1382,'Reward Model'!$A$12:$A$14,0))/$J1382)),3)</f>
        <v>0.811</v>
      </c>
      <c r="AA1382" s="2" t="n">
        <f aca="false">IF($I1382="Correct",ROUND(INDEX('Reward Model'!$B$12:$B$14,MATCH($K1382,'Reward Model'!$A$12:$A$14,0))*Z1382,2),0)</f>
        <v>0.81</v>
      </c>
      <c r="AB1382" s="2" t="n">
        <f aca="false">IF($I1382="Correct",ROUND(INDEX('Reward Model'!$B$12:$B$14,MATCH($Y1382,'Reward Model'!$A$12:$A$14,0))*Z1382,2),0)</f>
        <v>1.62</v>
      </c>
    </row>
    <row r="1383" customFormat="false" ht="15" hidden="false" customHeight="false" outlineLevel="0" collapsed="false">
      <c r="A1383" s="0" t="s">
        <v>267</v>
      </c>
      <c r="B1383" s="0" t="s">
        <v>268</v>
      </c>
      <c r="C1383" s="0" t="s">
        <v>30</v>
      </c>
      <c r="D1383" s="0" t="s">
        <v>189</v>
      </c>
      <c r="E1383" s="0" t="n">
        <v>2</v>
      </c>
      <c r="F1383" s="0" t="s">
        <v>36</v>
      </c>
      <c r="G1383" s="0" t="s">
        <v>190</v>
      </c>
      <c r="H1383" s="0" t="s">
        <v>38</v>
      </c>
      <c r="I1383" s="0" t="s">
        <v>39</v>
      </c>
      <c r="J1383" s="0" t="n">
        <v>1.36</v>
      </c>
      <c r="K1383" s="0" t="s">
        <v>35</v>
      </c>
      <c r="L1383" s="0" t="n">
        <f aca="false">INDEX(Summary!$F$2:$F$201,MATCH($B1383,Summary!$A$2:$A$201,0))</f>
        <v>20</v>
      </c>
      <c r="M1383" s="0" t="n">
        <f aca="false">INDEX(Summary!$I$2:$I$201,MATCH($B1383,Summary!$A$2:$A$201,0))</f>
        <v>1</v>
      </c>
      <c r="N1383" s="0" t="n">
        <f aca="false">INDEX(Summary!$J$2:$J$201,MATCH($B1383,Summary!$A$2:$A$201,0))</f>
        <v>4</v>
      </c>
      <c r="O1383" s="2" t="n">
        <f aca="false">INDEX(Summary!$K$2:$K$201,MATCH($B1383,Summary!$A$2:$A$201,0))</f>
        <v>8</v>
      </c>
      <c r="P1383" s="3" t="n">
        <f aca="false">INDEX(Summary!$L$2:$L$201,MATCH($B1383,Summary!$A$2:$A$201,0))</f>
        <v>4</v>
      </c>
      <c r="Q1383" s="3" t="n">
        <f aca="false">INDEX(Summary!$M$2:$M$201,MATCH($B1383,Summary!$A$2:$A$201,0))</f>
        <v>2</v>
      </c>
      <c r="R1383" s="2" t="n">
        <f aca="false">INDEX(Summary!$N$2:$N$201,MATCH($B1383,Summary!$A$2:$A$201,0))</f>
        <v>8.36</v>
      </c>
      <c r="S1383" s="3" t="n">
        <f aca="false">INDEX(Summary!$O$2:$O$201,MATCH($B1383,Summary!$A$2:$A$201,0))</f>
        <v>4</v>
      </c>
      <c r="T1383" s="3" t="n">
        <f aca="false">INDEX(Summary!$P$2:$P$201,MATCH($B1383,Summary!$A$2:$A$201,0))</f>
        <v>5</v>
      </c>
      <c r="U1383" s="2" t="n">
        <f aca="false">INDEX(Summary!$Q$2:$Q$201,MATCH($B1383,Summary!$A$2:$A$201,0))</f>
        <v>12.91</v>
      </c>
      <c r="V1383" s="2" t="n">
        <f aca="false">INDEX(Summary!$R$2:$R$201,MATCH($B1383,Summary!$A$2:$A$201,0))</f>
        <v>16.39</v>
      </c>
      <c r="W1383" s="0" t="str">
        <f aca="false">INDEX(Summary!$S$2:$S$201,MATCH($B1383,Summary!$A$2:$A$201,0))</f>
        <v>Bronze</v>
      </c>
      <c r="X1383" s="2" t="n">
        <f aca="false">INDEX(Summary!$T$2:$T$201,MATCH($B1383,Summary!$A$2:$A$201,0))</f>
        <v>39.98</v>
      </c>
      <c r="Y1383" s="0" t="str">
        <f aca="false">INDEX('Reward Model'!$E$18:$E$37,MATCH($E1383,'Reward Model'!$A$18:$A$37,0))</f>
        <v>Low</v>
      </c>
      <c r="Z1383" s="4" t="n">
        <f aca="false">ROUND(MIN(1,MAX('Reward Model'!$B$2,INDEX('Reward Model'!$C$12:$C$14,MATCH($K1383,'Reward Model'!$A$12:$A$14,0))/$J1383)),3)</f>
        <v>1</v>
      </c>
      <c r="AA1383" s="2" t="n">
        <f aca="false">IF($I1383="Correct",ROUND(INDEX('Reward Model'!$B$12:$B$14,MATCH($K1383,'Reward Model'!$A$12:$A$14,0))*Z1383,2),0)</f>
        <v>0</v>
      </c>
      <c r="AB1383" s="2" t="n">
        <f aca="false">IF($I1383="Correct",ROUND(INDEX('Reward Model'!$B$12:$B$14,MATCH($Y1383,'Reward Model'!$A$12:$A$14,0))*Z1383,2),0)</f>
        <v>0</v>
      </c>
    </row>
    <row r="1384" customFormat="false" ht="15" hidden="false" customHeight="false" outlineLevel="0" collapsed="false">
      <c r="A1384" s="0" t="s">
        <v>267</v>
      </c>
      <c r="B1384" s="0" t="s">
        <v>268</v>
      </c>
      <c r="C1384" s="0" t="s">
        <v>30</v>
      </c>
      <c r="D1384" s="0" t="s">
        <v>189</v>
      </c>
      <c r="E1384" s="0" t="n">
        <v>3</v>
      </c>
      <c r="F1384" s="0" t="s">
        <v>40</v>
      </c>
      <c r="G1384" s="0" t="s">
        <v>41</v>
      </c>
      <c r="H1384" s="0" t="s">
        <v>42</v>
      </c>
      <c r="I1384" s="0" t="s">
        <v>39</v>
      </c>
      <c r="J1384" s="0" t="n">
        <v>1.5</v>
      </c>
      <c r="K1384" s="0" t="s">
        <v>35</v>
      </c>
      <c r="L1384" s="0" t="n">
        <f aca="false">INDEX(Summary!$F$2:$F$201,MATCH($B1384,Summary!$A$2:$A$201,0))</f>
        <v>20</v>
      </c>
      <c r="M1384" s="0" t="n">
        <f aca="false">INDEX(Summary!$I$2:$I$201,MATCH($B1384,Summary!$A$2:$A$201,0))</f>
        <v>1</v>
      </c>
      <c r="N1384" s="0" t="n">
        <f aca="false">INDEX(Summary!$J$2:$J$201,MATCH($B1384,Summary!$A$2:$A$201,0))</f>
        <v>4</v>
      </c>
      <c r="O1384" s="2" t="n">
        <f aca="false">INDEX(Summary!$K$2:$K$201,MATCH($B1384,Summary!$A$2:$A$201,0))</f>
        <v>8</v>
      </c>
      <c r="P1384" s="3" t="n">
        <f aca="false">INDEX(Summary!$L$2:$L$201,MATCH($B1384,Summary!$A$2:$A$201,0))</f>
        <v>4</v>
      </c>
      <c r="Q1384" s="3" t="n">
        <f aca="false">INDEX(Summary!$M$2:$M$201,MATCH($B1384,Summary!$A$2:$A$201,0))</f>
        <v>2</v>
      </c>
      <c r="R1384" s="2" t="n">
        <f aca="false">INDEX(Summary!$N$2:$N$201,MATCH($B1384,Summary!$A$2:$A$201,0))</f>
        <v>8.36</v>
      </c>
      <c r="S1384" s="3" t="n">
        <f aca="false">INDEX(Summary!$O$2:$O$201,MATCH($B1384,Summary!$A$2:$A$201,0))</f>
        <v>4</v>
      </c>
      <c r="T1384" s="3" t="n">
        <f aca="false">INDEX(Summary!$P$2:$P$201,MATCH($B1384,Summary!$A$2:$A$201,0))</f>
        <v>5</v>
      </c>
      <c r="U1384" s="2" t="n">
        <f aca="false">INDEX(Summary!$Q$2:$Q$201,MATCH($B1384,Summary!$A$2:$A$201,0))</f>
        <v>12.91</v>
      </c>
      <c r="V1384" s="2" t="n">
        <f aca="false">INDEX(Summary!$R$2:$R$201,MATCH($B1384,Summary!$A$2:$A$201,0))</f>
        <v>16.39</v>
      </c>
      <c r="W1384" s="0" t="str">
        <f aca="false">INDEX(Summary!$S$2:$S$201,MATCH($B1384,Summary!$A$2:$A$201,0))</f>
        <v>Bronze</v>
      </c>
      <c r="X1384" s="2" t="n">
        <f aca="false">INDEX(Summary!$T$2:$T$201,MATCH($B1384,Summary!$A$2:$A$201,0))</f>
        <v>39.98</v>
      </c>
      <c r="Y1384" s="0" t="str">
        <f aca="false">INDEX('Reward Model'!$E$18:$E$37,MATCH($E1384,'Reward Model'!$A$18:$A$37,0))</f>
        <v>Medium</v>
      </c>
      <c r="Z1384" s="4" t="n">
        <f aca="false">ROUND(MIN(1,MAX('Reward Model'!$B$2,INDEX('Reward Model'!$C$12:$C$14,MATCH($K1384,'Reward Model'!$A$12:$A$14,0))/$J1384)),3)</f>
        <v>1</v>
      </c>
      <c r="AA1384" s="2" t="n">
        <f aca="false">IF($I1384="Correct",ROUND(INDEX('Reward Model'!$B$12:$B$14,MATCH($K1384,'Reward Model'!$A$12:$A$14,0))*Z1384,2),0)</f>
        <v>0</v>
      </c>
      <c r="AB1384" s="2" t="n">
        <f aca="false">IF($I1384="Correct",ROUND(INDEX('Reward Model'!$B$12:$B$14,MATCH($Y1384,'Reward Model'!$A$12:$A$14,0))*Z1384,2),0)</f>
        <v>0</v>
      </c>
    </row>
    <row r="1385" customFormat="false" ht="15" hidden="false" customHeight="false" outlineLevel="0" collapsed="false">
      <c r="A1385" s="0" t="s">
        <v>267</v>
      </c>
      <c r="B1385" s="0" t="s">
        <v>268</v>
      </c>
      <c r="C1385" s="0" t="s">
        <v>30</v>
      </c>
      <c r="D1385" s="0" t="s">
        <v>189</v>
      </c>
      <c r="E1385" s="0" t="n">
        <v>4</v>
      </c>
      <c r="F1385" s="0" t="s">
        <v>43</v>
      </c>
      <c r="G1385" s="0" t="s">
        <v>45</v>
      </c>
      <c r="H1385" s="0" t="s">
        <v>45</v>
      </c>
      <c r="I1385" s="0" t="s">
        <v>34</v>
      </c>
      <c r="J1385" s="0" t="n">
        <v>1.03</v>
      </c>
      <c r="K1385" s="0" t="s">
        <v>35</v>
      </c>
      <c r="L1385" s="0" t="n">
        <f aca="false">INDEX(Summary!$F$2:$F$201,MATCH($B1385,Summary!$A$2:$A$201,0))</f>
        <v>20</v>
      </c>
      <c r="M1385" s="0" t="n">
        <f aca="false">INDEX(Summary!$I$2:$I$201,MATCH($B1385,Summary!$A$2:$A$201,0))</f>
        <v>1</v>
      </c>
      <c r="N1385" s="0" t="n">
        <f aca="false">INDEX(Summary!$J$2:$J$201,MATCH($B1385,Summary!$A$2:$A$201,0))</f>
        <v>4</v>
      </c>
      <c r="O1385" s="2" t="n">
        <f aca="false">INDEX(Summary!$K$2:$K$201,MATCH($B1385,Summary!$A$2:$A$201,0))</f>
        <v>8</v>
      </c>
      <c r="P1385" s="3" t="n">
        <f aca="false">INDEX(Summary!$L$2:$L$201,MATCH($B1385,Summary!$A$2:$A$201,0))</f>
        <v>4</v>
      </c>
      <c r="Q1385" s="3" t="n">
        <f aca="false">INDEX(Summary!$M$2:$M$201,MATCH($B1385,Summary!$A$2:$A$201,0))</f>
        <v>2</v>
      </c>
      <c r="R1385" s="2" t="n">
        <f aca="false">INDEX(Summary!$N$2:$N$201,MATCH($B1385,Summary!$A$2:$A$201,0))</f>
        <v>8.36</v>
      </c>
      <c r="S1385" s="3" t="n">
        <f aca="false">INDEX(Summary!$O$2:$O$201,MATCH($B1385,Summary!$A$2:$A$201,0))</f>
        <v>4</v>
      </c>
      <c r="T1385" s="3" t="n">
        <f aca="false">INDEX(Summary!$P$2:$P$201,MATCH($B1385,Summary!$A$2:$A$201,0))</f>
        <v>5</v>
      </c>
      <c r="U1385" s="2" t="n">
        <f aca="false">INDEX(Summary!$Q$2:$Q$201,MATCH($B1385,Summary!$A$2:$A$201,0))</f>
        <v>12.91</v>
      </c>
      <c r="V1385" s="2" t="n">
        <f aca="false">INDEX(Summary!$R$2:$R$201,MATCH($B1385,Summary!$A$2:$A$201,0))</f>
        <v>16.39</v>
      </c>
      <c r="W1385" s="0" t="str">
        <f aca="false">INDEX(Summary!$S$2:$S$201,MATCH($B1385,Summary!$A$2:$A$201,0))</f>
        <v>Bronze</v>
      </c>
      <c r="X1385" s="2" t="n">
        <f aca="false">INDEX(Summary!$T$2:$T$201,MATCH($B1385,Summary!$A$2:$A$201,0))</f>
        <v>39.98</v>
      </c>
      <c r="Y1385" s="0" t="str">
        <f aca="false">INDEX('Reward Model'!$E$18:$E$37,MATCH($E1385,'Reward Model'!$A$18:$A$37,0))</f>
        <v>Low</v>
      </c>
      <c r="Z1385" s="4" t="n">
        <f aca="false">ROUND(MIN(1,MAX('Reward Model'!$B$2,INDEX('Reward Model'!$C$12:$C$14,MATCH($K1385,'Reward Model'!$A$12:$A$14,0))/$J1385)),3)</f>
        <v>1</v>
      </c>
      <c r="AA1385" s="2" t="n">
        <f aca="false">IF($I1385="Correct",ROUND(INDEX('Reward Model'!$B$12:$B$14,MATCH($K1385,'Reward Model'!$A$12:$A$14,0))*Z1385,2),0)</f>
        <v>1</v>
      </c>
      <c r="AB1385" s="2" t="n">
        <f aca="false">IF($I1385="Correct",ROUND(INDEX('Reward Model'!$B$12:$B$14,MATCH($Y1385,'Reward Model'!$A$12:$A$14,0))*Z1385,2),0)</f>
        <v>1</v>
      </c>
    </row>
    <row r="1386" customFormat="false" ht="15" hidden="false" customHeight="false" outlineLevel="0" collapsed="false">
      <c r="A1386" s="0" t="s">
        <v>267</v>
      </c>
      <c r="B1386" s="0" t="s">
        <v>268</v>
      </c>
      <c r="C1386" s="0" t="s">
        <v>30</v>
      </c>
      <c r="D1386" s="0" t="s">
        <v>189</v>
      </c>
      <c r="E1386" s="0" t="n">
        <v>5</v>
      </c>
      <c r="F1386" s="0" t="s">
        <v>46</v>
      </c>
      <c r="G1386" s="0" t="s">
        <v>47</v>
      </c>
      <c r="H1386" s="0" t="s">
        <v>47</v>
      </c>
      <c r="I1386" s="0" t="s">
        <v>34</v>
      </c>
      <c r="J1386" s="0" t="n">
        <v>1.55</v>
      </c>
      <c r="K1386" s="0" t="s">
        <v>35</v>
      </c>
      <c r="L1386" s="0" t="n">
        <f aca="false">INDEX(Summary!$F$2:$F$201,MATCH($B1386,Summary!$A$2:$A$201,0))</f>
        <v>20</v>
      </c>
      <c r="M1386" s="0" t="n">
        <f aca="false">INDEX(Summary!$I$2:$I$201,MATCH($B1386,Summary!$A$2:$A$201,0))</f>
        <v>1</v>
      </c>
      <c r="N1386" s="0" t="n">
        <f aca="false">INDEX(Summary!$J$2:$J$201,MATCH($B1386,Summary!$A$2:$A$201,0))</f>
        <v>4</v>
      </c>
      <c r="O1386" s="2" t="n">
        <f aca="false">INDEX(Summary!$K$2:$K$201,MATCH($B1386,Summary!$A$2:$A$201,0))</f>
        <v>8</v>
      </c>
      <c r="P1386" s="3" t="n">
        <f aca="false">INDEX(Summary!$L$2:$L$201,MATCH($B1386,Summary!$A$2:$A$201,0))</f>
        <v>4</v>
      </c>
      <c r="Q1386" s="3" t="n">
        <f aca="false">INDEX(Summary!$M$2:$M$201,MATCH($B1386,Summary!$A$2:$A$201,0))</f>
        <v>2</v>
      </c>
      <c r="R1386" s="2" t="n">
        <f aca="false">INDEX(Summary!$N$2:$N$201,MATCH($B1386,Summary!$A$2:$A$201,0))</f>
        <v>8.36</v>
      </c>
      <c r="S1386" s="3" t="n">
        <f aca="false">INDEX(Summary!$O$2:$O$201,MATCH($B1386,Summary!$A$2:$A$201,0))</f>
        <v>4</v>
      </c>
      <c r="T1386" s="3" t="n">
        <f aca="false">INDEX(Summary!$P$2:$P$201,MATCH($B1386,Summary!$A$2:$A$201,0))</f>
        <v>5</v>
      </c>
      <c r="U1386" s="2" t="n">
        <f aca="false">INDEX(Summary!$Q$2:$Q$201,MATCH($B1386,Summary!$A$2:$A$201,0))</f>
        <v>12.91</v>
      </c>
      <c r="V1386" s="2" t="n">
        <f aca="false">INDEX(Summary!$R$2:$R$201,MATCH($B1386,Summary!$A$2:$A$201,0))</f>
        <v>16.39</v>
      </c>
      <c r="W1386" s="0" t="str">
        <f aca="false">INDEX(Summary!$S$2:$S$201,MATCH($B1386,Summary!$A$2:$A$201,0))</f>
        <v>Bronze</v>
      </c>
      <c r="X1386" s="2" t="n">
        <f aca="false">INDEX(Summary!$T$2:$T$201,MATCH($B1386,Summary!$A$2:$A$201,0))</f>
        <v>39.98</v>
      </c>
      <c r="Y1386" s="0" t="str">
        <f aca="false">INDEX('Reward Model'!$E$18:$E$37,MATCH($E1386,'Reward Model'!$A$18:$A$37,0))</f>
        <v>Low</v>
      </c>
      <c r="Z1386" s="4" t="n">
        <f aca="false">ROUND(MIN(1,MAX('Reward Model'!$B$2,INDEX('Reward Model'!$C$12:$C$14,MATCH($K1386,'Reward Model'!$A$12:$A$14,0))/$J1386)),3)</f>
        <v>0.968</v>
      </c>
      <c r="AA1386" s="2" t="n">
        <f aca="false">IF($I1386="Correct",ROUND(INDEX('Reward Model'!$B$12:$B$14,MATCH($K1386,'Reward Model'!$A$12:$A$14,0))*Z1386,2),0)</f>
        <v>0.97</v>
      </c>
      <c r="AB1386" s="2" t="n">
        <f aca="false">IF($I1386="Correct",ROUND(INDEX('Reward Model'!$B$12:$B$14,MATCH($Y1386,'Reward Model'!$A$12:$A$14,0))*Z1386,2),0)</f>
        <v>0.97</v>
      </c>
    </row>
    <row r="1387" customFormat="false" ht="15" hidden="false" customHeight="false" outlineLevel="0" collapsed="false">
      <c r="A1387" s="0" t="s">
        <v>267</v>
      </c>
      <c r="B1387" s="0" t="s">
        <v>268</v>
      </c>
      <c r="C1387" s="0" t="s">
        <v>30</v>
      </c>
      <c r="D1387" s="0" t="s">
        <v>189</v>
      </c>
      <c r="E1387" s="0" t="n">
        <v>6</v>
      </c>
      <c r="F1387" s="0" t="s">
        <v>48</v>
      </c>
      <c r="G1387" s="0" t="s">
        <v>49</v>
      </c>
      <c r="H1387" s="0" t="s">
        <v>49</v>
      </c>
      <c r="I1387" s="0" t="s">
        <v>34</v>
      </c>
      <c r="J1387" s="0" t="n">
        <v>1.67</v>
      </c>
      <c r="K1387" s="0" t="s">
        <v>35</v>
      </c>
      <c r="L1387" s="0" t="n">
        <f aca="false">INDEX(Summary!$F$2:$F$201,MATCH($B1387,Summary!$A$2:$A$201,0))</f>
        <v>20</v>
      </c>
      <c r="M1387" s="0" t="n">
        <f aca="false">INDEX(Summary!$I$2:$I$201,MATCH($B1387,Summary!$A$2:$A$201,0))</f>
        <v>1</v>
      </c>
      <c r="N1387" s="0" t="n">
        <f aca="false">INDEX(Summary!$J$2:$J$201,MATCH($B1387,Summary!$A$2:$A$201,0))</f>
        <v>4</v>
      </c>
      <c r="O1387" s="2" t="n">
        <f aca="false">INDEX(Summary!$K$2:$K$201,MATCH($B1387,Summary!$A$2:$A$201,0))</f>
        <v>8</v>
      </c>
      <c r="P1387" s="3" t="n">
        <f aca="false">INDEX(Summary!$L$2:$L$201,MATCH($B1387,Summary!$A$2:$A$201,0))</f>
        <v>4</v>
      </c>
      <c r="Q1387" s="3" t="n">
        <f aca="false">INDEX(Summary!$M$2:$M$201,MATCH($B1387,Summary!$A$2:$A$201,0))</f>
        <v>2</v>
      </c>
      <c r="R1387" s="2" t="n">
        <f aca="false">INDEX(Summary!$N$2:$N$201,MATCH($B1387,Summary!$A$2:$A$201,0))</f>
        <v>8.36</v>
      </c>
      <c r="S1387" s="3" t="n">
        <f aca="false">INDEX(Summary!$O$2:$O$201,MATCH($B1387,Summary!$A$2:$A$201,0))</f>
        <v>4</v>
      </c>
      <c r="T1387" s="3" t="n">
        <f aca="false">INDEX(Summary!$P$2:$P$201,MATCH($B1387,Summary!$A$2:$A$201,0))</f>
        <v>5</v>
      </c>
      <c r="U1387" s="2" t="n">
        <f aca="false">INDEX(Summary!$Q$2:$Q$201,MATCH($B1387,Summary!$A$2:$A$201,0))</f>
        <v>12.91</v>
      </c>
      <c r="V1387" s="2" t="n">
        <f aca="false">INDEX(Summary!$R$2:$R$201,MATCH($B1387,Summary!$A$2:$A$201,0))</f>
        <v>16.39</v>
      </c>
      <c r="W1387" s="0" t="str">
        <f aca="false">INDEX(Summary!$S$2:$S$201,MATCH($B1387,Summary!$A$2:$A$201,0))</f>
        <v>Bronze</v>
      </c>
      <c r="X1387" s="2" t="n">
        <f aca="false">INDEX(Summary!$T$2:$T$201,MATCH($B1387,Summary!$A$2:$A$201,0))</f>
        <v>39.98</v>
      </c>
      <c r="Y1387" s="0" t="str">
        <f aca="false">INDEX('Reward Model'!$E$18:$E$37,MATCH($E1387,'Reward Model'!$A$18:$A$37,0))</f>
        <v>Medium</v>
      </c>
      <c r="Z1387" s="4" t="n">
        <f aca="false">ROUND(MIN(1,MAX('Reward Model'!$B$2,INDEX('Reward Model'!$C$12:$C$14,MATCH($K1387,'Reward Model'!$A$12:$A$14,0))/$J1387)),3)</f>
        <v>0.898</v>
      </c>
      <c r="AA1387" s="2" t="n">
        <f aca="false">IF($I1387="Correct",ROUND(INDEX('Reward Model'!$B$12:$B$14,MATCH($K1387,'Reward Model'!$A$12:$A$14,0))*Z1387,2),0)</f>
        <v>0.9</v>
      </c>
      <c r="AB1387" s="2" t="n">
        <f aca="false">IF($I1387="Correct",ROUND(INDEX('Reward Model'!$B$12:$B$14,MATCH($Y1387,'Reward Model'!$A$12:$A$14,0))*Z1387,2),0)</f>
        <v>1.8</v>
      </c>
    </row>
    <row r="1388" customFormat="false" ht="15" hidden="false" customHeight="false" outlineLevel="0" collapsed="false">
      <c r="A1388" s="0" t="s">
        <v>267</v>
      </c>
      <c r="B1388" s="0" t="s">
        <v>268</v>
      </c>
      <c r="C1388" s="0" t="s">
        <v>30</v>
      </c>
      <c r="D1388" s="0" t="s">
        <v>189</v>
      </c>
      <c r="E1388" s="0" t="n">
        <v>7</v>
      </c>
      <c r="F1388" s="0" t="s">
        <v>50</v>
      </c>
      <c r="G1388" s="0" t="s">
        <v>100</v>
      </c>
      <c r="H1388" s="0" t="s">
        <v>51</v>
      </c>
      <c r="I1388" s="0" t="s">
        <v>39</v>
      </c>
      <c r="J1388" s="0" t="n">
        <v>0.9</v>
      </c>
      <c r="K1388" s="0" t="s">
        <v>35</v>
      </c>
      <c r="L1388" s="0" t="n">
        <f aca="false">INDEX(Summary!$F$2:$F$201,MATCH($B1388,Summary!$A$2:$A$201,0))</f>
        <v>20</v>
      </c>
      <c r="M1388" s="0" t="n">
        <f aca="false">INDEX(Summary!$I$2:$I$201,MATCH($B1388,Summary!$A$2:$A$201,0))</f>
        <v>1</v>
      </c>
      <c r="N1388" s="0" t="n">
        <f aca="false">INDEX(Summary!$J$2:$J$201,MATCH($B1388,Summary!$A$2:$A$201,0))</f>
        <v>4</v>
      </c>
      <c r="O1388" s="2" t="n">
        <f aca="false">INDEX(Summary!$K$2:$K$201,MATCH($B1388,Summary!$A$2:$A$201,0))</f>
        <v>8</v>
      </c>
      <c r="P1388" s="3" t="n">
        <f aca="false">INDEX(Summary!$L$2:$L$201,MATCH($B1388,Summary!$A$2:$A$201,0))</f>
        <v>4</v>
      </c>
      <c r="Q1388" s="3" t="n">
        <f aca="false">INDEX(Summary!$M$2:$M$201,MATCH($B1388,Summary!$A$2:$A$201,0))</f>
        <v>2</v>
      </c>
      <c r="R1388" s="2" t="n">
        <f aca="false">INDEX(Summary!$N$2:$N$201,MATCH($B1388,Summary!$A$2:$A$201,0))</f>
        <v>8.36</v>
      </c>
      <c r="S1388" s="3" t="n">
        <f aca="false">INDEX(Summary!$O$2:$O$201,MATCH($B1388,Summary!$A$2:$A$201,0))</f>
        <v>4</v>
      </c>
      <c r="T1388" s="3" t="n">
        <f aca="false">INDEX(Summary!$P$2:$P$201,MATCH($B1388,Summary!$A$2:$A$201,0))</f>
        <v>5</v>
      </c>
      <c r="U1388" s="2" t="n">
        <f aca="false">INDEX(Summary!$Q$2:$Q$201,MATCH($B1388,Summary!$A$2:$A$201,0))</f>
        <v>12.91</v>
      </c>
      <c r="V1388" s="2" t="n">
        <f aca="false">INDEX(Summary!$R$2:$R$201,MATCH($B1388,Summary!$A$2:$A$201,0))</f>
        <v>16.39</v>
      </c>
      <c r="W1388" s="0" t="str">
        <f aca="false">INDEX(Summary!$S$2:$S$201,MATCH($B1388,Summary!$A$2:$A$201,0))</f>
        <v>Bronze</v>
      </c>
      <c r="X1388" s="2" t="n">
        <f aca="false">INDEX(Summary!$T$2:$T$201,MATCH($B1388,Summary!$A$2:$A$201,0))</f>
        <v>39.98</v>
      </c>
      <c r="Y1388" s="0" t="str">
        <f aca="false">INDEX('Reward Model'!$E$18:$E$37,MATCH($E1388,'Reward Model'!$A$18:$A$37,0))</f>
        <v>Low</v>
      </c>
      <c r="Z1388" s="4" t="n">
        <f aca="false">ROUND(MIN(1,MAX('Reward Model'!$B$2,INDEX('Reward Model'!$C$12:$C$14,MATCH($K1388,'Reward Model'!$A$12:$A$14,0))/$J1388)),3)</f>
        <v>1</v>
      </c>
      <c r="AA1388" s="2" t="n">
        <f aca="false">IF($I1388="Correct",ROUND(INDEX('Reward Model'!$B$12:$B$14,MATCH($K1388,'Reward Model'!$A$12:$A$14,0))*Z1388,2),0)</f>
        <v>0</v>
      </c>
      <c r="AB1388" s="2" t="n">
        <f aca="false">IF($I1388="Correct",ROUND(INDEX('Reward Model'!$B$12:$B$14,MATCH($Y1388,'Reward Model'!$A$12:$A$14,0))*Z1388,2),0)</f>
        <v>0</v>
      </c>
    </row>
    <row r="1389" customFormat="false" ht="15" hidden="false" customHeight="false" outlineLevel="0" collapsed="false">
      <c r="A1389" s="0" t="s">
        <v>267</v>
      </c>
      <c r="B1389" s="0" t="s">
        <v>268</v>
      </c>
      <c r="C1389" s="0" t="s">
        <v>30</v>
      </c>
      <c r="D1389" s="0" t="s">
        <v>189</v>
      </c>
      <c r="E1389" s="0" t="n">
        <v>8</v>
      </c>
      <c r="F1389" s="0" t="s">
        <v>52</v>
      </c>
      <c r="G1389" s="0" t="s">
        <v>93</v>
      </c>
      <c r="H1389" s="0" t="s">
        <v>54</v>
      </c>
      <c r="I1389" s="0" t="s">
        <v>39</v>
      </c>
      <c r="J1389" s="0" t="n">
        <v>1.18</v>
      </c>
      <c r="K1389" s="0" t="s">
        <v>35</v>
      </c>
      <c r="L1389" s="0" t="n">
        <f aca="false">INDEX(Summary!$F$2:$F$201,MATCH($B1389,Summary!$A$2:$A$201,0))</f>
        <v>20</v>
      </c>
      <c r="M1389" s="0" t="n">
        <f aca="false">INDEX(Summary!$I$2:$I$201,MATCH($B1389,Summary!$A$2:$A$201,0))</f>
        <v>1</v>
      </c>
      <c r="N1389" s="0" t="n">
        <f aca="false">INDEX(Summary!$J$2:$J$201,MATCH($B1389,Summary!$A$2:$A$201,0))</f>
        <v>4</v>
      </c>
      <c r="O1389" s="2" t="n">
        <f aca="false">INDEX(Summary!$K$2:$K$201,MATCH($B1389,Summary!$A$2:$A$201,0))</f>
        <v>8</v>
      </c>
      <c r="P1389" s="3" t="n">
        <f aca="false">INDEX(Summary!$L$2:$L$201,MATCH($B1389,Summary!$A$2:$A$201,0))</f>
        <v>4</v>
      </c>
      <c r="Q1389" s="3" t="n">
        <f aca="false">INDEX(Summary!$M$2:$M$201,MATCH($B1389,Summary!$A$2:$A$201,0))</f>
        <v>2</v>
      </c>
      <c r="R1389" s="2" t="n">
        <f aca="false">INDEX(Summary!$N$2:$N$201,MATCH($B1389,Summary!$A$2:$A$201,0))</f>
        <v>8.36</v>
      </c>
      <c r="S1389" s="3" t="n">
        <f aca="false">INDEX(Summary!$O$2:$O$201,MATCH($B1389,Summary!$A$2:$A$201,0))</f>
        <v>4</v>
      </c>
      <c r="T1389" s="3" t="n">
        <f aca="false">INDEX(Summary!$P$2:$P$201,MATCH($B1389,Summary!$A$2:$A$201,0))</f>
        <v>5</v>
      </c>
      <c r="U1389" s="2" t="n">
        <f aca="false">INDEX(Summary!$Q$2:$Q$201,MATCH($B1389,Summary!$A$2:$A$201,0))</f>
        <v>12.91</v>
      </c>
      <c r="V1389" s="2" t="n">
        <f aca="false">INDEX(Summary!$R$2:$R$201,MATCH($B1389,Summary!$A$2:$A$201,0))</f>
        <v>16.39</v>
      </c>
      <c r="W1389" s="0" t="str">
        <f aca="false">INDEX(Summary!$S$2:$S$201,MATCH($B1389,Summary!$A$2:$A$201,0))</f>
        <v>Bronze</v>
      </c>
      <c r="X1389" s="2" t="n">
        <f aca="false">INDEX(Summary!$T$2:$T$201,MATCH($B1389,Summary!$A$2:$A$201,0))</f>
        <v>39.98</v>
      </c>
      <c r="Y1389" s="0" t="str">
        <f aca="false">INDEX('Reward Model'!$E$18:$E$37,MATCH($E1389,'Reward Model'!$A$18:$A$37,0))</f>
        <v>Medium</v>
      </c>
      <c r="Z1389" s="4" t="n">
        <f aca="false">ROUND(MIN(1,MAX('Reward Model'!$B$2,INDEX('Reward Model'!$C$12:$C$14,MATCH($K1389,'Reward Model'!$A$12:$A$14,0))/$J1389)),3)</f>
        <v>1</v>
      </c>
      <c r="AA1389" s="2" t="n">
        <f aca="false">IF($I1389="Correct",ROUND(INDEX('Reward Model'!$B$12:$B$14,MATCH($K1389,'Reward Model'!$A$12:$A$14,0))*Z1389,2),0)</f>
        <v>0</v>
      </c>
      <c r="AB1389" s="2" t="n">
        <f aca="false">IF($I1389="Correct",ROUND(INDEX('Reward Model'!$B$12:$B$14,MATCH($Y1389,'Reward Model'!$A$12:$A$14,0))*Z1389,2),0)</f>
        <v>0</v>
      </c>
    </row>
    <row r="1390" customFormat="false" ht="15" hidden="false" customHeight="false" outlineLevel="0" collapsed="false">
      <c r="A1390" s="0" t="s">
        <v>267</v>
      </c>
      <c r="B1390" s="0" t="s">
        <v>268</v>
      </c>
      <c r="C1390" s="0" t="s">
        <v>30</v>
      </c>
      <c r="D1390" s="0" t="s">
        <v>189</v>
      </c>
      <c r="E1390" s="0" t="n">
        <v>9</v>
      </c>
      <c r="F1390" s="0" t="s">
        <v>55</v>
      </c>
      <c r="G1390" s="0" t="s">
        <v>56</v>
      </c>
      <c r="H1390" s="0" t="s">
        <v>57</v>
      </c>
      <c r="I1390" s="0" t="s">
        <v>39</v>
      </c>
      <c r="J1390" s="0" t="n">
        <v>1.87</v>
      </c>
      <c r="K1390" s="0" t="s">
        <v>35</v>
      </c>
      <c r="L1390" s="0" t="n">
        <f aca="false">INDEX(Summary!$F$2:$F$201,MATCH($B1390,Summary!$A$2:$A$201,0))</f>
        <v>20</v>
      </c>
      <c r="M1390" s="0" t="n">
        <f aca="false">INDEX(Summary!$I$2:$I$201,MATCH($B1390,Summary!$A$2:$A$201,0))</f>
        <v>1</v>
      </c>
      <c r="N1390" s="0" t="n">
        <f aca="false">INDEX(Summary!$J$2:$J$201,MATCH($B1390,Summary!$A$2:$A$201,0))</f>
        <v>4</v>
      </c>
      <c r="O1390" s="2" t="n">
        <f aca="false">INDEX(Summary!$K$2:$K$201,MATCH($B1390,Summary!$A$2:$A$201,0))</f>
        <v>8</v>
      </c>
      <c r="P1390" s="3" t="n">
        <f aca="false">INDEX(Summary!$L$2:$L$201,MATCH($B1390,Summary!$A$2:$A$201,0))</f>
        <v>4</v>
      </c>
      <c r="Q1390" s="3" t="n">
        <f aca="false">INDEX(Summary!$M$2:$M$201,MATCH($B1390,Summary!$A$2:$A$201,0))</f>
        <v>2</v>
      </c>
      <c r="R1390" s="2" t="n">
        <f aca="false">INDEX(Summary!$N$2:$N$201,MATCH($B1390,Summary!$A$2:$A$201,0))</f>
        <v>8.36</v>
      </c>
      <c r="S1390" s="3" t="n">
        <f aca="false">INDEX(Summary!$O$2:$O$201,MATCH($B1390,Summary!$A$2:$A$201,0))</f>
        <v>4</v>
      </c>
      <c r="T1390" s="3" t="n">
        <f aca="false">INDEX(Summary!$P$2:$P$201,MATCH($B1390,Summary!$A$2:$A$201,0))</f>
        <v>5</v>
      </c>
      <c r="U1390" s="2" t="n">
        <f aca="false">INDEX(Summary!$Q$2:$Q$201,MATCH($B1390,Summary!$A$2:$A$201,0))</f>
        <v>12.91</v>
      </c>
      <c r="V1390" s="2" t="n">
        <f aca="false">INDEX(Summary!$R$2:$R$201,MATCH($B1390,Summary!$A$2:$A$201,0))</f>
        <v>16.39</v>
      </c>
      <c r="W1390" s="0" t="str">
        <f aca="false">INDEX(Summary!$S$2:$S$201,MATCH($B1390,Summary!$A$2:$A$201,0))</f>
        <v>Bronze</v>
      </c>
      <c r="X1390" s="2" t="n">
        <f aca="false">INDEX(Summary!$T$2:$T$201,MATCH($B1390,Summary!$A$2:$A$201,0))</f>
        <v>39.98</v>
      </c>
      <c r="Y1390" s="0" t="str">
        <f aca="false">INDEX('Reward Model'!$E$18:$E$37,MATCH($E1390,'Reward Model'!$A$18:$A$37,0))</f>
        <v>Medium</v>
      </c>
      <c r="Z1390" s="4" t="n">
        <f aca="false">ROUND(MIN(1,MAX('Reward Model'!$B$2,INDEX('Reward Model'!$C$12:$C$14,MATCH($K1390,'Reward Model'!$A$12:$A$14,0))/$J1390)),3)</f>
        <v>0.802</v>
      </c>
      <c r="AA1390" s="2" t="n">
        <f aca="false">IF($I1390="Correct",ROUND(INDEX('Reward Model'!$B$12:$B$14,MATCH($K1390,'Reward Model'!$A$12:$A$14,0))*Z1390,2),0)</f>
        <v>0</v>
      </c>
      <c r="AB1390" s="2" t="n">
        <f aca="false">IF($I1390="Correct",ROUND(INDEX('Reward Model'!$B$12:$B$14,MATCH($Y1390,'Reward Model'!$A$12:$A$14,0))*Z1390,2),0)</f>
        <v>0</v>
      </c>
    </row>
    <row r="1391" customFormat="false" ht="15" hidden="false" customHeight="false" outlineLevel="0" collapsed="false">
      <c r="A1391" s="0" t="s">
        <v>267</v>
      </c>
      <c r="B1391" s="0" t="s">
        <v>268</v>
      </c>
      <c r="C1391" s="0" t="s">
        <v>30</v>
      </c>
      <c r="D1391" s="0" t="s">
        <v>189</v>
      </c>
      <c r="E1391" s="0" t="n">
        <v>10</v>
      </c>
      <c r="F1391" s="0" t="s">
        <v>58</v>
      </c>
      <c r="G1391" s="0" t="s">
        <v>59</v>
      </c>
      <c r="H1391" s="0" t="s">
        <v>59</v>
      </c>
      <c r="I1391" s="0" t="s">
        <v>34</v>
      </c>
      <c r="J1391" s="0" t="n">
        <v>1.13</v>
      </c>
      <c r="K1391" s="0" t="s">
        <v>60</v>
      </c>
      <c r="L1391" s="0" t="n">
        <f aca="false">INDEX(Summary!$F$2:$F$201,MATCH($B1391,Summary!$A$2:$A$201,0))</f>
        <v>20</v>
      </c>
      <c r="M1391" s="0" t="n">
        <f aca="false">INDEX(Summary!$I$2:$I$201,MATCH($B1391,Summary!$A$2:$A$201,0))</f>
        <v>1</v>
      </c>
      <c r="N1391" s="0" t="n">
        <f aca="false">INDEX(Summary!$J$2:$J$201,MATCH($B1391,Summary!$A$2:$A$201,0))</f>
        <v>4</v>
      </c>
      <c r="O1391" s="2" t="n">
        <f aca="false">INDEX(Summary!$K$2:$K$201,MATCH($B1391,Summary!$A$2:$A$201,0))</f>
        <v>8</v>
      </c>
      <c r="P1391" s="3" t="n">
        <f aca="false">INDEX(Summary!$L$2:$L$201,MATCH($B1391,Summary!$A$2:$A$201,0))</f>
        <v>4</v>
      </c>
      <c r="Q1391" s="3" t="n">
        <f aca="false">INDEX(Summary!$M$2:$M$201,MATCH($B1391,Summary!$A$2:$A$201,0))</f>
        <v>2</v>
      </c>
      <c r="R1391" s="2" t="n">
        <f aca="false">INDEX(Summary!$N$2:$N$201,MATCH($B1391,Summary!$A$2:$A$201,0))</f>
        <v>8.36</v>
      </c>
      <c r="S1391" s="3" t="n">
        <f aca="false">INDEX(Summary!$O$2:$O$201,MATCH($B1391,Summary!$A$2:$A$201,0))</f>
        <v>4</v>
      </c>
      <c r="T1391" s="3" t="n">
        <f aca="false">INDEX(Summary!$P$2:$P$201,MATCH($B1391,Summary!$A$2:$A$201,0))</f>
        <v>5</v>
      </c>
      <c r="U1391" s="2" t="n">
        <f aca="false">INDEX(Summary!$Q$2:$Q$201,MATCH($B1391,Summary!$A$2:$A$201,0))</f>
        <v>12.91</v>
      </c>
      <c r="V1391" s="2" t="n">
        <f aca="false">INDEX(Summary!$R$2:$R$201,MATCH($B1391,Summary!$A$2:$A$201,0))</f>
        <v>16.39</v>
      </c>
      <c r="W1391" s="0" t="str">
        <f aca="false">INDEX(Summary!$S$2:$S$201,MATCH($B1391,Summary!$A$2:$A$201,0))</f>
        <v>Bronze</v>
      </c>
      <c r="X1391" s="2" t="n">
        <f aca="false">INDEX(Summary!$T$2:$T$201,MATCH($B1391,Summary!$A$2:$A$201,0))</f>
        <v>39.98</v>
      </c>
      <c r="Y1391" s="0" t="str">
        <f aca="false">INDEX('Reward Model'!$E$18:$E$37,MATCH($E1391,'Reward Model'!$A$18:$A$37,0))</f>
        <v>Medium</v>
      </c>
      <c r="Z1391" s="4" t="n">
        <f aca="false">ROUND(MIN(1,MAX('Reward Model'!$B$2,INDEX('Reward Model'!$C$12:$C$14,MATCH($K1391,'Reward Model'!$A$12:$A$14,0))/$J1391)),3)</f>
        <v>1</v>
      </c>
      <c r="AA1391" s="2" t="n">
        <f aca="false">IF($I1391="Correct",ROUND(INDEX('Reward Model'!$B$12:$B$14,MATCH($K1391,'Reward Model'!$A$12:$A$14,0))*Z1391,2),0)</f>
        <v>2</v>
      </c>
      <c r="AB1391" s="2" t="n">
        <f aca="false">IF($I1391="Correct",ROUND(INDEX('Reward Model'!$B$12:$B$14,MATCH($Y1391,'Reward Model'!$A$12:$A$14,0))*Z1391,2),0)</f>
        <v>2</v>
      </c>
    </row>
    <row r="1392" customFormat="false" ht="15" hidden="false" customHeight="false" outlineLevel="0" collapsed="false">
      <c r="A1392" s="0" t="s">
        <v>267</v>
      </c>
      <c r="B1392" s="0" t="s">
        <v>268</v>
      </c>
      <c r="C1392" s="0" t="s">
        <v>30</v>
      </c>
      <c r="D1392" s="0" t="s">
        <v>189</v>
      </c>
      <c r="E1392" s="0" t="n">
        <v>11</v>
      </c>
      <c r="F1392" s="0" t="s">
        <v>61</v>
      </c>
      <c r="G1392" s="0" t="s">
        <v>63</v>
      </c>
      <c r="H1392" s="0" t="s">
        <v>63</v>
      </c>
      <c r="I1392" s="0" t="s">
        <v>34</v>
      </c>
      <c r="J1392" s="0" t="n">
        <v>1.12</v>
      </c>
      <c r="K1392" s="0" t="s">
        <v>60</v>
      </c>
      <c r="L1392" s="0" t="n">
        <f aca="false">INDEX(Summary!$F$2:$F$201,MATCH($B1392,Summary!$A$2:$A$201,0))</f>
        <v>20</v>
      </c>
      <c r="M1392" s="0" t="n">
        <f aca="false">INDEX(Summary!$I$2:$I$201,MATCH($B1392,Summary!$A$2:$A$201,0))</f>
        <v>1</v>
      </c>
      <c r="N1392" s="0" t="n">
        <f aca="false">INDEX(Summary!$J$2:$J$201,MATCH($B1392,Summary!$A$2:$A$201,0))</f>
        <v>4</v>
      </c>
      <c r="O1392" s="2" t="n">
        <f aca="false">INDEX(Summary!$K$2:$K$201,MATCH($B1392,Summary!$A$2:$A$201,0))</f>
        <v>8</v>
      </c>
      <c r="P1392" s="3" t="n">
        <f aca="false">INDEX(Summary!$L$2:$L$201,MATCH($B1392,Summary!$A$2:$A$201,0))</f>
        <v>4</v>
      </c>
      <c r="Q1392" s="3" t="n">
        <f aca="false">INDEX(Summary!$M$2:$M$201,MATCH($B1392,Summary!$A$2:$A$201,0))</f>
        <v>2</v>
      </c>
      <c r="R1392" s="2" t="n">
        <f aca="false">INDEX(Summary!$N$2:$N$201,MATCH($B1392,Summary!$A$2:$A$201,0))</f>
        <v>8.36</v>
      </c>
      <c r="S1392" s="3" t="n">
        <f aca="false">INDEX(Summary!$O$2:$O$201,MATCH($B1392,Summary!$A$2:$A$201,0))</f>
        <v>4</v>
      </c>
      <c r="T1392" s="3" t="n">
        <f aca="false">INDEX(Summary!$P$2:$P$201,MATCH($B1392,Summary!$A$2:$A$201,0))</f>
        <v>5</v>
      </c>
      <c r="U1392" s="2" t="n">
        <f aca="false">INDEX(Summary!$Q$2:$Q$201,MATCH($B1392,Summary!$A$2:$A$201,0))</f>
        <v>12.91</v>
      </c>
      <c r="V1392" s="2" t="n">
        <f aca="false">INDEX(Summary!$R$2:$R$201,MATCH($B1392,Summary!$A$2:$A$201,0))</f>
        <v>16.39</v>
      </c>
      <c r="W1392" s="0" t="str">
        <f aca="false">INDEX(Summary!$S$2:$S$201,MATCH($B1392,Summary!$A$2:$A$201,0))</f>
        <v>Bronze</v>
      </c>
      <c r="X1392" s="2" t="n">
        <f aca="false">INDEX(Summary!$T$2:$T$201,MATCH($B1392,Summary!$A$2:$A$201,0))</f>
        <v>39.98</v>
      </c>
      <c r="Y1392" s="0" t="str">
        <f aca="false">INDEX('Reward Model'!$E$18:$E$37,MATCH($E1392,'Reward Model'!$A$18:$A$37,0))</f>
        <v>Medium</v>
      </c>
      <c r="Z1392" s="4" t="n">
        <f aca="false">ROUND(MIN(1,MAX('Reward Model'!$B$2,INDEX('Reward Model'!$C$12:$C$14,MATCH($K1392,'Reward Model'!$A$12:$A$14,0))/$J1392)),3)</f>
        <v>1</v>
      </c>
      <c r="AA1392" s="2" t="n">
        <f aca="false">IF($I1392="Correct",ROUND(INDEX('Reward Model'!$B$12:$B$14,MATCH($K1392,'Reward Model'!$A$12:$A$14,0))*Z1392,2),0)</f>
        <v>2</v>
      </c>
      <c r="AB1392" s="2" t="n">
        <f aca="false">IF($I1392="Correct",ROUND(INDEX('Reward Model'!$B$12:$B$14,MATCH($Y1392,'Reward Model'!$A$12:$A$14,0))*Z1392,2),0)</f>
        <v>2</v>
      </c>
    </row>
    <row r="1393" customFormat="false" ht="15" hidden="false" customHeight="false" outlineLevel="0" collapsed="false">
      <c r="A1393" s="0" t="s">
        <v>267</v>
      </c>
      <c r="B1393" s="0" t="s">
        <v>268</v>
      </c>
      <c r="C1393" s="0" t="s">
        <v>30</v>
      </c>
      <c r="D1393" s="0" t="s">
        <v>189</v>
      </c>
      <c r="E1393" s="0" t="n">
        <v>12</v>
      </c>
      <c r="F1393" s="0" t="s">
        <v>64</v>
      </c>
      <c r="G1393" s="0" t="s">
        <v>65</v>
      </c>
      <c r="H1393" s="0" t="s">
        <v>65</v>
      </c>
      <c r="I1393" s="0" t="s">
        <v>34</v>
      </c>
      <c r="J1393" s="0" t="n">
        <v>1.49</v>
      </c>
      <c r="K1393" s="0" t="s">
        <v>60</v>
      </c>
      <c r="L1393" s="0" t="n">
        <f aca="false">INDEX(Summary!$F$2:$F$201,MATCH($B1393,Summary!$A$2:$A$201,0))</f>
        <v>20</v>
      </c>
      <c r="M1393" s="0" t="n">
        <f aca="false">INDEX(Summary!$I$2:$I$201,MATCH($B1393,Summary!$A$2:$A$201,0))</f>
        <v>1</v>
      </c>
      <c r="N1393" s="0" t="n">
        <f aca="false">INDEX(Summary!$J$2:$J$201,MATCH($B1393,Summary!$A$2:$A$201,0))</f>
        <v>4</v>
      </c>
      <c r="O1393" s="2" t="n">
        <f aca="false">INDEX(Summary!$K$2:$K$201,MATCH($B1393,Summary!$A$2:$A$201,0))</f>
        <v>8</v>
      </c>
      <c r="P1393" s="3" t="n">
        <f aca="false">INDEX(Summary!$L$2:$L$201,MATCH($B1393,Summary!$A$2:$A$201,0))</f>
        <v>4</v>
      </c>
      <c r="Q1393" s="3" t="n">
        <f aca="false">INDEX(Summary!$M$2:$M$201,MATCH($B1393,Summary!$A$2:$A$201,0))</f>
        <v>2</v>
      </c>
      <c r="R1393" s="2" t="n">
        <f aca="false">INDEX(Summary!$N$2:$N$201,MATCH($B1393,Summary!$A$2:$A$201,0))</f>
        <v>8.36</v>
      </c>
      <c r="S1393" s="3" t="n">
        <f aca="false">INDEX(Summary!$O$2:$O$201,MATCH($B1393,Summary!$A$2:$A$201,0))</f>
        <v>4</v>
      </c>
      <c r="T1393" s="3" t="n">
        <f aca="false">INDEX(Summary!$P$2:$P$201,MATCH($B1393,Summary!$A$2:$A$201,0))</f>
        <v>5</v>
      </c>
      <c r="U1393" s="2" t="n">
        <f aca="false">INDEX(Summary!$Q$2:$Q$201,MATCH($B1393,Summary!$A$2:$A$201,0))</f>
        <v>12.91</v>
      </c>
      <c r="V1393" s="2" t="n">
        <f aca="false">INDEX(Summary!$R$2:$R$201,MATCH($B1393,Summary!$A$2:$A$201,0))</f>
        <v>16.39</v>
      </c>
      <c r="W1393" s="0" t="str">
        <f aca="false">INDEX(Summary!$S$2:$S$201,MATCH($B1393,Summary!$A$2:$A$201,0))</f>
        <v>Bronze</v>
      </c>
      <c r="X1393" s="2" t="n">
        <f aca="false">INDEX(Summary!$T$2:$T$201,MATCH($B1393,Summary!$A$2:$A$201,0))</f>
        <v>39.98</v>
      </c>
      <c r="Y1393" s="0" t="str">
        <f aca="false">INDEX('Reward Model'!$E$18:$E$37,MATCH($E1393,'Reward Model'!$A$18:$A$37,0))</f>
        <v>Medium</v>
      </c>
      <c r="Z1393" s="4" t="n">
        <f aca="false">ROUND(MIN(1,MAX('Reward Model'!$B$2,INDEX('Reward Model'!$C$12:$C$14,MATCH($K1393,'Reward Model'!$A$12:$A$14,0))/$J1393)),3)</f>
        <v>1</v>
      </c>
      <c r="AA1393" s="2" t="n">
        <f aca="false">IF($I1393="Correct",ROUND(INDEX('Reward Model'!$B$12:$B$14,MATCH($K1393,'Reward Model'!$A$12:$A$14,0))*Z1393,2),0)</f>
        <v>2</v>
      </c>
      <c r="AB1393" s="2" t="n">
        <f aca="false">IF($I1393="Correct",ROUND(INDEX('Reward Model'!$B$12:$B$14,MATCH($Y1393,'Reward Model'!$A$12:$A$14,0))*Z1393,2),0)</f>
        <v>2</v>
      </c>
    </row>
    <row r="1394" customFormat="false" ht="15" hidden="false" customHeight="false" outlineLevel="0" collapsed="false">
      <c r="A1394" s="0" t="s">
        <v>267</v>
      </c>
      <c r="B1394" s="0" t="s">
        <v>268</v>
      </c>
      <c r="C1394" s="0" t="s">
        <v>30</v>
      </c>
      <c r="D1394" s="0" t="s">
        <v>189</v>
      </c>
      <c r="E1394" s="0" t="n">
        <v>13</v>
      </c>
      <c r="F1394" s="0" t="s">
        <v>66</v>
      </c>
      <c r="G1394" s="0" t="s">
        <v>67</v>
      </c>
      <c r="H1394" s="0" t="s">
        <v>67</v>
      </c>
      <c r="I1394" s="0" t="s">
        <v>34</v>
      </c>
      <c r="J1394" s="0" t="n">
        <v>1.18</v>
      </c>
      <c r="K1394" s="0" t="s">
        <v>60</v>
      </c>
      <c r="L1394" s="0" t="n">
        <f aca="false">INDEX(Summary!$F$2:$F$201,MATCH($B1394,Summary!$A$2:$A$201,0))</f>
        <v>20</v>
      </c>
      <c r="M1394" s="0" t="n">
        <f aca="false">INDEX(Summary!$I$2:$I$201,MATCH($B1394,Summary!$A$2:$A$201,0))</f>
        <v>1</v>
      </c>
      <c r="N1394" s="0" t="n">
        <f aca="false">INDEX(Summary!$J$2:$J$201,MATCH($B1394,Summary!$A$2:$A$201,0))</f>
        <v>4</v>
      </c>
      <c r="O1394" s="2" t="n">
        <f aca="false">INDEX(Summary!$K$2:$K$201,MATCH($B1394,Summary!$A$2:$A$201,0))</f>
        <v>8</v>
      </c>
      <c r="P1394" s="3" t="n">
        <f aca="false">INDEX(Summary!$L$2:$L$201,MATCH($B1394,Summary!$A$2:$A$201,0))</f>
        <v>4</v>
      </c>
      <c r="Q1394" s="3" t="n">
        <f aca="false">INDEX(Summary!$M$2:$M$201,MATCH($B1394,Summary!$A$2:$A$201,0))</f>
        <v>2</v>
      </c>
      <c r="R1394" s="2" t="n">
        <f aca="false">INDEX(Summary!$N$2:$N$201,MATCH($B1394,Summary!$A$2:$A$201,0))</f>
        <v>8.36</v>
      </c>
      <c r="S1394" s="3" t="n">
        <f aca="false">INDEX(Summary!$O$2:$O$201,MATCH($B1394,Summary!$A$2:$A$201,0))</f>
        <v>4</v>
      </c>
      <c r="T1394" s="3" t="n">
        <f aca="false">INDEX(Summary!$P$2:$P$201,MATCH($B1394,Summary!$A$2:$A$201,0))</f>
        <v>5</v>
      </c>
      <c r="U1394" s="2" t="n">
        <f aca="false">INDEX(Summary!$Q$2:$Q$201,MATCH($B1394,Summary!$A$2:$A$201,0))</f>
        <v>12.91</v>
      </c>
      <c r="V1394" s="2" t="n">
        <f aca="false">INDEX(Summary!$R$2:$R$201,MATCH($B1394,Summary!$A$2:$A$201,0))</f>
        <v>16.39</v>
      </c>
      <c r="W1394" s="0" t="str">
        <f aca="false">INDEX(Summary!$S$2:$S$201,MATCH($B1394,Summary!$A$2:$A$201,0))</f>
        <v>Bronze</v>
      </c>
      <c r="X1394" s="2" t="n">
        <f aca="false">INDEX(Summary!$T$2:$T$201,MATCH($B1394,Summary!$A$2:$A$201,0))</f>
        <v>39.98</v>
      </c>
      <c r="Y1394" s="0" t="str">
        <f aca="false">INDEX('Reward Model'!$E$18:$E$37,MATCH($E1394,'Reward Model'!$A$18:$A$37,0))</f>
        <v>Medium</v>
      </c>
      <c r="Z1394" s="4" t="n">
        <f aca="false">ROUND(MIN(1,MAX('Reward Model'!$B$2,INDEX('Reward Model'!$C$12:$C$14,MATCH($K1394,'Reward Model'!$A$12:$A$14,0))/$J1394)),3)</f>
        <v>1</v>
      </c>
      <c r="AA1394" s="2" t="n">
        <f aca="false">IF($I1394="Correct",ROUND(INDEX('Reward Model'!$B$12:$B$14,MATCH($K1394,'Reward Model'!$A$12:$A$14,0))*Z1394,2),0)</f>
        <v>2</v>
      </c>
      <c r="AB1394" s="2" t="n">
        <f aca="false">IF($I1394="Correct",ROUND(INDEX('Reward Model'!$B$12:$B$14,MATCH($Y1394,'Reward Model'!$A$12:$A$14,0))*Z1394,2),0)</f>
        <v>2</v>
      </c>
    </row>
    <row r="1395" customFormat="false" ht="15" hidden="false" customHeight="false" outlineLevel="0" collapsed="false">
      <c r="A1395" s="0" t="s">
        <v>267</v>
      </c>
      <c r="B1395" s="0" t="s">
        <v>268</v>
      </c>
      <c r="C1395" s="0" t="s">
        <v>30</v>
      </c>
      <c r="D1395" s="0" t="s">
        <v>189</v>
      </c>
      <c r="E1395" s="0" t="n">
        <v>14</v>
      </c>
      <c r="F1395" s="0" t="s">
        <v>68</v>
      </c>
      <c r="G1395" s="0" t="s">
        <v>100</v>
      </c>
      <c r="H1395" s="0" t="s">
        <v>51</v>
      </c>
      <c r="I1395" s="0" t="s">
        <v>39</v>
      </c>
      <c r="J1395" s="0" t="n">
        <v>1.91</v>
      </c>
      <c r="K1395" s="0" t="s">
        <v>60</v>
      </c>
      <c r="L1395" s="0" t="n">
        <f aca="false">INDEX(Summary!$F$2:$F$201,MATCH($B1395,Summary!$A$2:$A$201,0))</f>
        <v>20</v>
      </c>
      <c r="M1395" s="0" t="n">
        <f aca="false">INDEX(Summary!$I$2:$I$201,MATCH($B1395,Summary!$A$2:$A$201,0))</f>
        <v>1</v>
      </c>
      <c r="N1395" s="0" t="n">
        <f aca="false">INDEX(Summary!$J$2:$J$201,MATCH($B1395,Summary!$A$2:$A$201,0))</f>
        <v>4</v>
      </c>
      <c r="O1395" s="2" t="n">
        <f aca="false">INDEX(Summary!$K$2:$K$201,MATCH($B1395,Summary!$A$2:$A$201,0))</f>
        <v>8</v>
      </c>
      <c r="P1395" s="3" t="n">
        <f aca="false">INDEX(Summary!$L$2:$L$201,MATCH($B1395,Summary!$A$2:$A$201,0))</f>
        <v>4</v>
      </c>
      <c r="Q1395" s="3" t="n">
        <f aca="false">INDEX(Summary!$M$2:$M$201,MATCH($B1395,Summary!$A$2:$A$201,0))</f>
        <v>2</v>
      </c>
      <c r="R1395" s="2" t="n">
        <f aca="false">INDEX(Summary!$N$2:$N$201,MATCH($B1395,Summary!$A$2:$A$201,0))</f>
        <v>8.36</v>
      </c>
      <c r="S1395" s="3" t="n">
        <f aca="false">INDEX(Summary!$O$2:$O$201,MATCH($B1395,Summary!$A$2:$A$201,0))</f>
        <v>4</v>
      </c>
      <c r="T1395" s="3" t="n">
        <f aca="false">INDEX(Summary!$P$2:$P$201,MATCH($B1395,Summary!$A$2:$A$201,0))</f>
        <v>5</v>
      </c>
      <c r="U1395" s="2" t="n">
        <f aca="false">INDEX(Summary!$Q$2:$Q$201,MATCH($B1395,Summary!$A$2:$A$201,0))</f>
        <v>12.91</v>
      </c>
      <c r="V1395" s="2" t="n">
        <f aca="false">INDEX(Summary!$R$2:$R$201,MATCH($B1395,Summary!$A$2:$A$201,0))</f>
        <v>16.39</v>
      </c>
      <c r="W1395" s="0" t="str">
        <f aca="false">INDEX(Summary!$S$2:$S$201,MATCH($B1395,Summary!$A$2:$A$201,0))</f>
        <v>Bronze</v>
      </c>
      <c r="X1395" s="2" t="n">
        <f aca="false">INDEX(Summary!$T$2:$T$201,MATCH($B1395,Summary!$A$2:$A$201,0))</f>
        <v>39.98</v>
      </c>
      <c r="Y1395" s="0" t="str">
        <f aca="false">INDEX('Reward Model'!$E$18:$E$37,MATCH($E1395,'Reward Model'!$A$18:$A$37,0))</f>
        <v>Medium</v>
      </c>
      <c r="Z1395" s="4" t="n">
        <f aca="false">ROUND(MIN(1,MAX('Reward Model'!$B$2,INDEX('Reward Model'!$C$12:$C$14,MATCH($K1395,'Reward Model'!$A$12:$A$14,0))/$J1395)),3)</f>
        <v>0.942</v>
      </c>
      <c r="AA1395" s="2" t="n">
        <f aca="false">IF($I1395="Correct",ROUND(INDEX('Reward Model'!$B$12:$B$14,MATCH($K1395,'Reward Model'!$A$12:$A$14,0))*Z1395,2),0)</f>
        <v>0</v>
      </c>
      <c r="AB1395" s="2" t="n">
        <f aca="false">IF($I1395="Correct",ROUND(INDEX('Reward Model'!$B$12:$B$14,MATCH($Y1395,'Reward Model'!$A$12:$A$14,0))*Z1395,2),0)</f>
        <v>0</v>
      </c>
    </row>
    <row r="1396" customFormat="false" ht="15" hidden="false" customHeight="false" outlineLevel="0" collapsed="false">
      <c r="A1396" s="0" t="s">
        <v>267</v>
      </c>
      <c r="B1396" s="0" t="s">
        <v>268</v>
      </c>
      <c r="C1396" s="0" t="s">
        <v>30</v>
      </c>
      <c r="D1396" s="0" t="s">
        <v>189</v>
      </c>
      <c r="E1396" s="0" t="n">
        <v>15</v>
      </c>
      <c r="F1396" s="0" t="s">
        <v>69</v>
      </c>
      <c r="G1396" s="0" t="s">
        <v>94</v>
      </c>
      <c r="H1396" s="0" t="s">
        <v>70</v>
      </c>
      <c r="I1396" s="0" t="s">
        <v>39</v>
      </c>
      <c r="J1396" s="0" t="n">
        <v>1.53</v>
      </c>
      <c r="K1396" s="0" t="s">
        <v>60</v>
      </c>
      <c r="L1396" s="0" t="n">
        <f aca="false">INDEX(Summary!$F$2:$F$201,MATCH($B1396,Summary!$A$2:$A$201,0))</f>
        <v>20</v>
      </c>
      <c r="M1396" s="0" t="n">
        <f aca="false">INDEX(Summary!$I$2:$I$201,MATCH($B1396,Summary!$A$2:$A$201,0))</f>
        <v>1</v>
      </c>
      <c r="N1396" s="0" t="n">
        <f aca="false">INDEX(Summary!$J$2:$J$201,MATCH($B1396,Summary!$A$2:$A$201,0))</f>
        <v>4</v>
      </c>
      <c r="O1396" s="2" t="n">
        <f aca="false">INDEX(Summary!$K$2:$K$201,MATCH($B1396,Summary!$A$2:$A$201,0))</f>
        <v>8</v>
      </c>
      <c r="P1396" s="3" t="n">
        <f aca="false">INDEX(Summary!$L$2:$L$201,MATCH($B1396,Summary!$A$2:$A$201,0))</f>
        <v>4</v>
      </c>
      <c r="Q1396" s="3" t="n">
        <f aca="false">INDEX(Summary!$M$2:$M$201,MATCH($B1396,Summary!$A$2:$A$201,0))</f>
        <v>2</v>
      </c>
      <c r="R1396" s="2" t="n">
        <f aca="false">INDEX(Summary!$N$2:$N$201,MATCH($B1396,Summary!$A$2:$A$201,0))</f>
        <v>8.36</v>
      </c>
      <c r="S1396" s="3" t="n">
        <f aca="false">INDEX(Summary!$O$2:$O$201,MATCH($B1396,Summary!$A$2:$A$201,0))</f>
        <v>4</v>
      </c>
      <c r="T1396" s="3" t="n">
        <f aca="false">INDEX(Summary!$P$2:$P$201,MATCH($B1396,Summary!$A$2:$A$201,0))</f>
        <v>5</v>
      </c>
      <c r="U1396" s="2" t="n">
        <f aca="false">INDEX(Summary!$Q$2:$Q$201,MATCH($B1396,Summary!$A$2:$A$201,0))</f>
        <v>12.91</v>
      </c>
      <c r="V1396" s="2" t="n">
        <f aca="false">INDEX(Summary!$R$2:$R$201,MATCH($B1396,Summary!$A$2:$A$201,0))</f>
        <v>16.39</v>
      </c>
      <c r="W1396" s="0" t="str">
        <f aca="false">INDEX(Summary!$S$2:$S$201,MATCH($B1396,Summary!$A$2:$A$201,0))</f>
        <v>Bronze</v>
      </c>
      <c r="X1396" s="2" t="n">
        <f aca="false">INDEX(Summary!$T$2:$T$201,MATCH($B1396,Summary!$A$2:$A$201,0))</f>
        <v>39.98</v>
      </c>
      <c r="Y1396" s="0" t="str">
        <f aca="false">INDEX('Reward Model'!$E$18:$E$37,MATCH($E1396,'Reward Model'!$A$18:$A$37,0))</f>
        <v>Medium</v>
      </c>
      <c r="Z1396" s="4" t="n">
        <f aca="false">ROUND(MIN(1,MAX('Reward Model'!$B$2,INDEX('Reward Model'!$C$12:$C$14,MATCH($K1396,'Reward Model'!$A$12:$A$14,0))/$J1396)),3)</f>
        <v>1</v>
      </c>
      <c r="AA1396" s="2" t="n">
        <f aca="false">IF($I1396="Correct",ROUND(INDEX('Reward Model'!$B$12:$B$14,MATCH($K1396,'Reward Model'!$A$12:$A$14,0))*Z1396,2),0)</f>
        <v>0</v>
      </c>
      <c r="AB1396" s="2" t="n">
        <f aca="false">IF($I1396="Correct",ROUND(INDEX('Reward Model'!$B$12:$B$14,MATCH($Y1396,'Reward Model'!$A$12:$A$14,0))*Z1396,2),0)</f>
        <v>0</v>
      </c>
    </row>
    <row r="1397" customFormat="false" ht="15" hidden="false" customHeight="false" outlineLevel="0" collapsed="false">
      <c r="A1397" s="0" t="s">
        <v>267</v>
      </c>
      <c r="B1397" s="0" t="s">
        <v>268</v>
      </c>
      <c r="C1397" s="0" t="s">
        <v>30</v>
      </c>
      <c r="D1397" s="0" t="s">
        <v>189</v>
      </c>
      <c r="E1397" s="0" t="n">
        <v>16</v>
      </c>
      <c r="F1397" s="0" t="s">
        <v>71</v>
      </c>
      <c r="G1397" s="0" t="s">
        <v>87</v>
      </c>
      <c r="H1397" s="0" t="s">
        <v>72</v>
      </c>
      <c r="I1397" s="0" t="s">
        <v>39</v>
      </c>
      <c r="J1397" s="0" t="n">
        <v>1.95</v>
      </c>
      <c r="K1397" s="0" t="s">
        <v>73</v>
      </c>
      <c r="L1397" s="0" t="n">
        <f aca="false">INDEX(Summary!$F$2:$F$201,MATCH($B1397,Summary!$A$2:$A$201,0))</f>
        <v>20</v>
      </c>
      <c r="M1397" s="0" t="n">
        <f aca="false">INDEX(Summary!$I$2:$I$201,MATCH($B1397,Summary!$A$2:$A$201,0))</f>
        <v>1</v>
      </c>
      <c r="N1397" s="0" t="n">
        <f aca="false">INDEX(Summary!$J$2:$J$201,MATCH($B1397,Summary!$A$2:$A$201,0))</f>
        <v>4</v>
      </c>
      <c r="O1397" s="2" t="n">
        <f aca="false">INDEX(Summary!$K$2:$K$201,MATCH($B1397,Summary!$A$2:$A$201,0))</f>
        <v>8</v>
      </c>
      <c r="P1397" s="3" t="n">
        <f aca="false">INDEX(Summary!$L$2:$L$201,MATCH($B1397,Summary!$A$2:$A$201,0))</f>
        <v>4</v>
      </c>
      <c r="Q1397" s="3" t="n">
        <f aca="false">INDEX(Summary!$M$2:$M$201,MATCH($B1397,Summary!$A$2:$A$201,0))</f>
        <v>2</v>
      </c>
      <c r="R1397" s="2" t="n">
        <f aca="false">INDEX(Summary!$N$2:$N$201,MATCH($B1397,Summary!$A$2:$A$201,0))</f>
        <v>8.36</v>
      </c>
      <c r="S1397" s="3" t="n">
        <f aca="false">INDEX(Summary!$O$2:$O$201,MATCH($B1397,Summary!$A$2:$A$201,0))</f>
        <v>4</v>
      </c>
      <c r="T1397" s="3" t="n">
        <f aca="false">INDEX(Summary!$P$2:$P$201,MATCH($B1397,Summary!$A$2:$A$201,0))</f>
        <v>5</v>
      </c>
      <c r="U1397" s="2" t="n">
        <f aca="false">INDEX(Summary!$Q$2:$Q$201,MATCH($B1397,Summary!$A$2:$A$201,0))</f>
        <v>12.91</v>
      </c>
      <c r="V1397" s="2" t="n">
        <f aca="false">INDEX(Summary!$R$2:$R$201,MATCH($B1397,Summary!$A$2:$A$201,0))</f>
        <v>16.39</v>
      </c>
      <c r="W1397" s="0" t="str">
        <f aca="false">INDEX(Summary!$S$2:$S$201,MATCH($B1397,Summary!$A$2:$A$201,0))</f>
        <v>Bronze</v>
      </c>
      <c r="X1397" s="2" t="n">
        <f aca="false">INDEX(Summary!$T$2:$T$201,MATCH($B1397,Summary!$A$2:$A$201,0))</f>
        <v>39.98</v>
      </c>
      <c r="Y1397" s="0" t="str">
        <f aca="false">INDEX('Reward Model'!$E$18:$E$37,MATCH($E1397,'Reward Model'!$A$18:$A$37,0))</f>
        <v>High</v>
      </c>
      <c r="Z1397" s="4" t="n">
        <f aca="false">ROUND(MIN(1,MAX('Reward Model'!$B$2,INDEX('Reward Model'!$C$12:$C$14,MATCH($K1397,'Reward Model'!$A$12:$A$14,0))/$J1397)),3)</f>
        <v>1</v>
      </c>
      <c r="AA1397" s="2" t="n">
        <f aca="false">IF($I1397="Correct",ROUND(INDEX('Reward Model'!$B$12:$B$14,MATCH($K1397,'Reward Model'!$A$12:$A$14,0))*Z1397,2),0)</f>
        <v>0</v>
      </c>
      <c r="AB1397" s="2" t="n">
        <f aca="false">IF($I1397="Correct",ROUND(INDEX('Reward Model'!$B$12:$B$14,MATCH($Y1397,'Reward Model'!$A$12:$A$14,0))*Z1397,2),0)</f>
        <v>0</v>
      </c>
    </row>
    <row r="1398" customFormat="false" ht="15" hidden="false" customHeight="false" outlineLevel="0" collapsed="false">
      <c r="A1398" s="0" t="s">
        <v>267</v>
      </c>
      <c r="B1398" s="0" t="s">
        <v>268</v>
      </c>
      <c r="C1398" s="0" t="s">
        <v>30</v>
      </c>
      <c r="D1398" s="0" t="s">
        <v>189</v>
      </c>
      <c r="E1398" s="0" t="n">
        <v>17</v>
      </c>
      <c r="F1398" s="0" t="s">
        <v>74</v>
      </c>
      <c r="G1398" s="0" t="s">
        <v>113</v>
      </c>
      <c r="H1398" s="0" t="s">
        <v>75</v>
      </c>
      <c r="I1398" s="0" t="s">
        <v>39</v>
      </c>
      <c r="J1398" s="0" t="n">
        <v>1.61</v>
      </c>
      <c r="K1398" s="0" t="s">
        <v>73</v>
      </c>
      <c r="L1398" s="0" t="n">
        <f aca="false">INDEX(Summary!$F$2:$F$201,MATCH($B1398,Summary!$A$2:$A$201,0))</f>
        <v>20</v>
      </c>
      <c r="M1398" s="0" t="n">
        <f aca="false">INDEX(Summary!$I$2:$I$201,MATCH($B1398,Summary!$A$2:$A$201,0))</f>
        <v>1</v>
      </c>
      <c r="N1398" s="0" t="n">
        <f aca="false">INDEX(Summary!$J$2:$J$201,MATCH($B1398,Summary!$A$2:$A$201,0))</f>
        <v>4</v>
      </c>
      <c r="O1398" s="2" t="n">
        <f aca="false">INDEX(Summary!$K$2:$K$201,MATCH($B1398,Summary!$A$2:$A$201,0))</f>
        <v>8</v>
      </c>
      <c r="P1398" s="3" t="n">
        <f aca="false">INDEX(Summary!$L$2:$L$201,MATCH($B1398,Summary!$A$2:$A$201,0))</f>
        <v>4</v>
      </c>
      <c r="Q1398" s="3" t="n">
        <f aca="false">INDEX(Summary!$M$2:$M$201,MATCH($B1398,Summary!$A$2:$A$201,0))</f>
        <v>2</v>
      </c>
      <c r="R1398" s="2" t="n">
        <f aca="false">INDEX(Summary!$N$2:$N$201,MATCH($B1398,Summary!$A$2:$A$201,0))</f>
        <v>8.36</v>
      </c>
      <c r="S1398" s="3" t="n">
        <f aca="false">INDEX(Summary!$O$2:$O$201,MATCH($B1398,Summary!$A$2:$A$201,0))</f>
        <v>4</v>
      </c>
      <c r="T1398" s="3" t="n">
        <f aca="false">INDEX(Summary!$P$2:$P$201,MATCH($B1398,Summary!$A$2:$A$201,0))</f>
        <v>5</v>
      </c>
      <c r="U1398" s="2" t="n">
        <f aca="false">INDEX(Summary!$Q$2:$Q$201,MATCH($B1398,Summary!$A$2:$A$201,0))</f>
        <v>12.91</v>
      </c>
      <c r="V1398" s="2" t="n">
        <f aca="false">INDEX(Summary!$R$2:$R$201,MATCH($B1398,Summary!$A$2:$A$201,0))</f>
        <v>16.39</v>
      </c>
      <c r="W1398" s="0" t="str">
        <f aca="false">INDEX(Summary!$S$2:$S$201,MATCH($B1398,Summary!$A$2:$A$201,0))</f>
        <v>Bronze</v>
      </c>
      <c r="X1398" s="2" t="n">
        <f aca="false">INDEX(Summary!$T$2:$T$201,MATCH($B1398,Summary!$A$2:$A$201,0))</f>
        <v>39.98</v>
      </c>
      <c r="Y1398" s="0" t="str">
        <f aca="false">INDEX('Reward Model'!$E$18:$E$37,MATCH($E1398,'Reward Model'!$A$18:$A$37,0))</f>
        <v>High</v>
      </c>
      <c r="Z1398" s="4" t="n">
        <f aca="false">ROUND(MIN(1,MAX('Reward Model'!$B$2,INDEX('Reward Model'!$C$12:$C$14,MATCH($K1398,'Reward Model'!$A$12:$A$14,0))/$J1398)),3)</f>
        <v>1</v>
      </c>
      <c r="AA1398" s="2" t="n">
        <f aca="false">IF($I1398="Correct",ROUND(INDEX('Reward Model'!$B$12:$B$14,MATCH($K1398,'Reward Model'!$A$12:$A$14,0))*Z1398,2),0)</f>
        <v>0</v>
      </c>
      <c r="AB1398" s="2" t="n">
        <f aca="false">IF($I1398="Correct",ROUND(INDEX('Reward Model'!$B$12:$B$14,MATCH($Y1398,'Reward Model'!$A$12:$A$14,0))*Z1398,2),0)</f>
        <v>0</v>
      </c>
    </row>
    <row r="1399" customFormat="false" ht="15" hidden="false" customHeight="false" outlineLevel="0" collapsed="false">
      <c r="A1399" s="0" t="s">
        <v>267</v>
      </c>
      <c r="B1399" s="0" t="s">
        <v>268</v>
      </c>
      <c r="C1399" s="0" t="s">
        <v>30</v>
      </c>
      <c r="D1399" s="0" t="s">
        <v>189</v>
      </c>
      <c r="E1399" s="0" t="n">
        <v>18</v>
      </c>
      <c r="F1399" s="0" t="s">
        <v>76</v>
      </c>
      <c r="G1399" s="0" t="s">
        <v>56</v>
      </c>
      <c r="H1399" s="0" t="s">
        <v>77</v>
      </c>
      <c r="I1399" s="0" t="s">
        <v>39</v>
      </c>
      <c r="J1399" s="0" t="n">
        <v>1.31</v>
      </c>
      <c r="K1399" s="0" t="s">
        <v>73</v>
      </c>
      <c r="L1399" s="0" t="n">
        <f aca="false">INDEX(Summary!$F$2:$F$201,MATCH($B1399,Summary!$A$2:$A$201,0))</f>
        <v>20</v>
      </c>
      <c r="M1399" s="0" t="n">
        <f aca="false">INDEX(Summary!$I$2:$I$201,MATCH($B1399,Summary!$A$2:$A$201,0))</f>
        <v>1</v>
      </c>
      <c r="N1399" s="0" t="n">
        <f aca="false">INDEX(Summary!$J$2:$J$201,MATCH($B1399,Summary!$A$2:$A$201,0))</f>
        <v>4</v>
      </c>
      <c r="O1399" s="2" t="n">
        <f aca="false">INDEX(Summary!$K$2:$K$201,MATCH($B1399,Summary!$A$2:$A$201,0))</f>
        <v>8</v>
      </c>
      <c r="P1399" s="3" t="n">
        <f aca="false">INDEX(Summary!$L$2:$L$201,MATCH($B1399,Summary!$A$2:$A$201,0))</f>
        <v>4</v>
      </c>
      <c r="Q1399" s="3" t="n">
        <f aca="false">INDEX(Summary!$M$2:$M$201,MATCH($B1399,Summary!$A$2:$A$201,0))</f>
        <v>2</v>
      </c>
      <c r="R1399" s="2" t="n">
        <f aca="false">INDEX(Summary!$N$2:$N$201,MATCH($B1399,Summary!$A$2:$A$201,0))</f>
        <v>8.36</v>
      </c>
      <c r="S1399" s="3" t="n">
        <f aca="false">INDEX(Summary!$O$2:$O$201,MATCH($B1399,Summary!$A$2:$A$201,0))</f>
        <v>4</v>
      </c>
      <c r="T1399" s="3" t="n">
        <f aca="false">INDEX(Summary!$P$2:$P$201,MATCH($B1399,Summary!$A$2:$A$201,0))</f>
        <v>5</v>
      </c>
      <c r="U1399" s="2" t="n">
        <f aca="false">INDEX(Summary!$Q$2:$Q$201,MATCH($B1399,Summary!$A$2:$A$201,0))</f>
        <v>12.91</v>
      </c>
      <c r="V1399" s="2" t="n">
        <f aca="false">INDEX(Summary!$R$2:$R$201,MATCH($B1399,Summary!$A$2:$A$201,0))</f>
        <v>16.39</v>
      </c>
      <c r="W1399" s="0" t="str">
        <f aca="false">INDEX(Summary!$S$2:$S$201,MATCH($B1399,Summary!$A$2:$A$201,0))</f>
        <v>Bronze</v>
      </c>
      <c r="X1399" s="2" t="n">
        <f aca="false">INDEX(Summary!$T$2:$T$201,MATCH($B1399,Summary!$A$2:$A$201,0))</f>
        <v>39.98</v>
      </c>
      <c r="Y1399" s="0" t="str">
        <f aca="false">INDEX('Reward Model'!$E$18:$E$37,MATCH($E1399,'Reward Model'!$A$18:$A$37,0))</f>
        <v>High</v>
      </c>
      <c r="Z1399" s="4" t="n">
        <f aca="false">ROUND(MIN(1,MAX('Reward Model'!$B$2,INDEX('Reward Model'!$C$12:$C$14,MATCH($K1399,'Reward Model'!$A$12:$A$14,0))/$J1399)),3)</f>
        <v>1</v>
      </c>
      <c r="AA1399" s="2" t="n">
        <f aca="false">IF($I1399="Correct",ROUND(INDEX('Reward Model'!$B$12:$B$14,MATCH($K1399,'Reward Model'!$A$12:$A$14,0))*Z1399,2),0)</f>
        <v>0</v>
      </c>
      <c r="AB1399" s="2" t="n">
        <f aca="false">IF($I1399="Correct",ROUND(INDEX('Reward Model'!$B$12:$B$14,MATCH($Y1399,'Reward Model'!$A$12:$A$14,0))*Z1399,2),0)</f>
        <v>0</v>
      </c>
    </row>
    <row r="1400" customFormat="false" ht="15" hidden="false" customHeight="false" outlineLevel="0" collapsed="false">
      <c r="A1400" s="0" t="s">
        <v>267</v>
      </c>
      <c r="B1400" s="0" t="s">
        <v>268</v>
      </c>
      <c r="C1400" s="0" t="s">
        <v>30</v>
      </c>
      <c r="D1400" s="0" t="s">
        <v>189</v>
      </c>
      <c r="E1400" s="0" t="n">
        <v>19</v>
      </c>
      <c r="F1400" s="0" t="s">
        <v>78</v>
      </c>
      <c r="G1400" s="0" t="s">
        <v>80</v>
      </c>
      <c r="H1400" s="0" t="s">
        <v>80</v>
      </c>
      <c r="I1400" s="0" t="s">
        <v>34</v>
      </c>
      <c r="J1400" s="0" t="n">
        <v>1.3</v>
      </c>
      <c r="K1400" s="0" t="s">
        <v>73</v>
      </c>
      <c r="L1400" s="0" t="n">
        <f aca="false">INDEX(Summary!$F$2:$F$201,MATCH($B1400,Summary!$A$2:$A$201,0))</f>
        <v>20</v>
      </c>
      <c r="M1400" s="0" t="n">
        <f aca="false">INDEX(Summary!$I$2:$I$201,MATCH($B1400,Summary!$A$2:$A$201,0))</f>
        <v>1</v>
      </c>
      <c r="N1400" s="0" t="n">
        <f aca="false">INDEX(Summary!$J$2:$J$201,MATCH($B1400,Summary!$A$2:$A$201,0))</f>
        <v>4</v>
      </c>
      <c r="O1400" s="2" t="n">
        <f aca="false">INDEX(Summary!$K$2:$K$201,MATCH($B1400,Summary!$A$2:$A$201,0))</f>
        <v>8</v>
      </c>
      <c r="P1400" s="3" t="n">
        <f aca="false">INDEX(Summary!$L$2:$L$201,MATCH($B1400,Summary!$A$2:$A$201,0))</f>
        <v>4</v>
      </c>
      <c r="Q1400" s="3" t="n">
        <f aca="false">INDEX(Summary!$M$2:$M$201,MATCH($B1400,Summary!$A$2:$A$201,0))</f>
        <v>2</v>
      </c>
      <c r="R1400" s="2" t="n">
        <f aca="false">INDEX(Summary!$N$2:$N$201,MATCH($B1400,Summary!$A$2:$A$201,0))</f>
        <v>8.36</v>
      </c>
      <c r="S1400" s="3" t="n">
        <f aca="false">INDEX(Summary!$O$2:$O$201,MATCH($B1400,Summary!$A$2:$A$201,0))</f>
        <v>4</v>
      </c>
      <c r="T1400" s="3" t="n">
        <f aca="false">INDEX(Summary!$P$2:$P$201,MATCH($B1400,Summary!$A$2:$A$201,0))</f>
        <v>5</v>
      </c>
      <c r="U1400" s="2" t="n">
        <f aca="false">INDEX(Summary!$Q$2:$Q$201,MATCH($B1400,Summary!$A$2:$A$201,0))</f>
        <v>12.91</v>
      </c>
      <c r="V1400" s="2" t="n">
        <f aca="false">INDEX(Summary!$R$2:$R$201,MATCH($B1400,Summary!$A$2:$A$201,0))</f>
        <v>16.39</v>
      </c>
      <c r="W1400" s="0" t="str">
        <f aca="false">INDEX(Summary!$S$2:$S$201,MATCH($B1400,Summary!$A$2:$A$201,0))</f>
        <v>Bronze</v>
      </c>
      <c r="X1400" s="2" t="n">
        <f aca="false">INDEX(Summary!$T$2:$T$201,MATCH($B1400,Summary!$A$2:$A$201,0))</f>
        <v>39.98</v>
      </c>
      <c r="Y1400" s="0" t="str">
        <f aca="false">INDEX('Reward Model'!$E$18:$E$37,MATCH($E1400,'Reward Model'!$A$18:$A$37,0))</f>
        <v>High</v>
      </c>
      <c r="Z1400" s="4" t="n">
        <f aca="false">ROUND(MIN(1,MAX('Reward Model'!$B$2,INDEX('Reward Model'!$C$12:$C$14,MATCH($K1400,'Reward Model'!$A$12:$A$14,0))/$J1400)),3)</f>
        <v>1</v>
      </c>
      <c r="AA1400" s="2" t="n">
        <f aca="false">IF($I1400="Correct",ROUND(INDEX('Reward Model'!$B$12:$B$14,MATCH($K1400,'Reward Model'!$A$12:$A$14,0))*Z1400,2),0)</f>
        <v>3</v>
      </c>
      <c r="AB1400" s="2" t="n">
        <f aca="false">IF($I1400="Correct",ROUND(INDEX('Reward Model'!$B$12:$B$14,MATCH($Y1400,'Reward Model'!$A$12:$A$14,0))*Z1400,2),0)</f>
        <v>3</v>
      </c>
    </row>
    <row r="1401" customFormat="false" ht="15" hidden="false" customHeight="false" outlineLevel="0" collapsed="false">
      <c r="A1401" s="0" t="s">
        <v>267</v>
      </c>
      <c r="B1401" s="0" t="s">
        <v>268</v>
      </c>
      <c r="C1401" s="0" t="s">
        <v>30</v>
      </c>
      <c r="D1401" s="0" t="s">
        <v>189</v>
      </c>
      <c r="E1401" s="0" t="n">
        <v>20</v>
      </c>
      <c r="F1401" s="0" t="s">
        <v>81</v>
      </c>
      <c r="G1401" s="0" t="s">
        <v>119</v>
      </c>
      <c r="H1401" s="0" t="s">
        <v>83</v>
      </c>
      <c r="I1401" s="0" t="s">
        <v>39</v>
      </c>
      <c r="J1401" s="0" t="n">
        <v>1.83</v>
      </c>
      <c r="K1401" s="0" t="s">
        <v>73</v>
      </c>
      <c r="L1401" s="0" t="n">
        <f aca="false">INDEX(Summary!$F$2:$F$201,MATCH($B1401,Summary!$A$2:$A$201,0))</f>
        <v>20</v>
      </c>
      <c r="M1401" s="0" t="n">
        <f aca="false">INDEX(Summary!$I$2:$I$201,MATCH($B1401,Summary!$A$2:$A$201,0))</f>
        <v>1</v>
      </c>
      <c r="N1401" s="0" t="n">
        <f aca="false">INDEX(Summary!$J$2:$J$201,MATCH($B1401,Summary!$A$2:$A$201,0))</f>
        <v>4</v>
      </c>
      <c r="O1401" s="2" t="n">
        <f aca="false">INDEX(Summary!$K$2:$K$201,MATCH($B1401,Summary!$A$2:$A$201,0))</f>
        <v>8</v>
      </c>
      <c r="P1401" s="3" t="n">
        <f aca="false">INDEX(Summary!$L$2:$L$201,MATCH($B1401,Summary!$A$2:$A$201,0))</f>
        <v>4</v>
      </c>
      <c r="Q1401" s="3" t="n">
        <f aca="false">INDEX(Summary!$M$2:$M$201,MATCH($B1401,Summary!$A$2:$A$201,0))</f>
        <v>2</v>
      </c>
      <c r="R1401" s="2" t="n">
        <f aca="false">INDEX(Summary!$N$2:$N$201,MATCH($B1401,Summary!$A$2:$A$201,0))</f>
        <v>8.36</v>
      </c>
      <c r="S1401" s="3" t="n">
        <f aca="false">INDEX(Summary!$O$2:$O$201,MATCH($B1401,Summary!$A$2:$A$201,0))</f>
        <v>4</v>
      </c>
      <c r="T1401" s="3" t="n">
        <f aca="false">INDEX(Summary!$P$2:$P$201,MATCH($B1401,Summary!$A$2:$A$201,0))</f>
        <v>5</v>
      </c>
      <c r="U1401" s="2" t="n">
        <f aca="false">INDEX(Summary!$Q$2:$Q$201,MATCH($B1401,Summary!$A$2:$A$201,0))</f>
        <v>12.91</v>
      </c>
      <c r="V1401" s="2" t="n">
        <f aca="false">INDEX(Summary!$R$2:$R$201,MATCH($B1401,Summary!$A$2:$A$201,0))</f>
        <v>16.39</v>
      </c>
      <c r="W1401" s="0" t="str">
        <f aca="false">INDEX(Summary!$S$2:$S$201,MATCH($B1401,Summary!$A$2:$A$201,0))</f>
        <v>Bronze</v>
      </c>
      <c r="X1401" s="2" t="n">
        <f aca="false">INDEX(Summary!$T$2:$T$201,MATCH($B1401,Summary!$A$2:$A$201,0))</f>
        <v>39.98</v>
      </c>
      <c r="Y1401" s="0" t="str">
        <f aca="false">INDEX('Reward Model'!$E$18:$E$37,MATCH($E1401,'Reward Model'!$A$18:$A$37,0))</f>
        <v>High</v>
      </c>
      <c r="Z1401" s="4" t="n">
        <f aca="false">ROUND(MIN(1,MAX('Reward Model'!$B$2,INDEX('Reward Model'!$C$12:$C$14,MATCH($K1401,'Reward Model'!$A$12:$A$14,0))/$J1401)),3)</f>
        <v>1</v>
      </c>
      <c r="AA1401" s="2" t="n">
        <f aca="false">IF($I1401="Correct",ROUND(INDEX('Reward Model'!$B$12:$B$14,MATCH($K1401,'Reward Model'!$A$12:$A$14,0))*Z1401,2),0)</f>
        <v>0</v>
      </c>
      <c r="AB1401" s="2" t="n">
        <f aca="false">IF($I1401="Correct",ROUND(INDEX('Reward Model'!$B$12:$B$14,MATCH($Y1401,'Reward Model'!$A$12:$A$14,0))*Z1401,2),0)</f>
        <v>0</v>
      </c>
    </row>
    <row r="1402" customFormat="false" ht="15" hidden="false" customHeight="false" outlineLevel="0" collapsed="false">
      <c r="A1402" s="0" t="s">
        <v>269</v>
      </c>
      <c r="B1402" s="0" t="s">
        <v>270</v>
      </c>
      <c r="C1402" s="0" t="s">
        <v>30</v>
      </c>
      <c r="D1402" s="0" t="s">
        <v>189</v>
      </c>
      <c r="E1402" s="0" t="n">
        <v>1</v>
      </c>
      <c r="F1402" s="0" t="s">
        <v>32</v>
      </c>
      <c r="G1402" s="0" t="s">
        <v>33</v>
      </c>
      <c r="H1402" s="0" t="s">
        <v>33</v>
      </c>
      <c r="I1402" s="0" t="s">
        <v>34</v>
      </c>
      <c r="J1402" s="0" t="n">
        <v>1.74</v>
      </c>
      <c r="K1402" s="0" t="s">
        <v>35</v>
      </c>
      <c r="L1402" s="0" t="n">
        <f aca="false">INDEX(Summary!$F$2:$F$201,MATCH($B1402,Summary!$A$2:$A$201,0))</f>
        <v>20</v>
      </c>
      <c r="M1402" s="0" t="n">
        <f aca="false">INDEX(Summary!$I$2:$I$201,MATCH($B1402,Summary!$A$2:$A$201,0))</f>
        <v>4</v>
      </c>
      <c r="N1402" s="0" t="n">
        <f aca="false">INDEX(Summary!$J$2:$J$201,MATCH($B1402,Summary!$A$2:$A$201,0))</f>
        <v>1</v>
      </c>
      <c r="O1402" s="2" t="n">
        <f aca="false">INDEX(Summary!$K$2:$K$201,MATCH($B1402,Summary!$A$2:$A$201,0))</f>
        <v>9.01</v>
      </c>
      <c r="P1402" s="3" t="n">
        <f aca="false">INDEX(Summary!$L$2:$L$201,MATCH($B1402,Summary!$A$2:$A$201,0))</f>
        <v>4</v>
      </c>
      <c r="Q1402" s="3" t="n">
        <f aca="false">INDEX(Summary!$M$2:$M$201,MATCH($B1402,Summary!$A$2:$A$201,0))</f>
        <v>2</v>
      </c>
      <c r="R1402" s="2" t="n">
        <f aca="false">INDEX(Summary!$N$2:$N$201,MATCH($B1402,Summary!$A$2:$A$201,0))</f>
        <v>10.63</v>
      </c>
      <c r="S1402" s="3" t="n">
        <f aca="false">INDEX(Summary!$O$2:$O$201,MATCH($B1402,Summary!$A$2:$A$201,0))</f>
        <v>6</v>
      </c>
      <c r="T1402" s="3" t="n">
        <f aca="false">INDEX(Summary!$P$2:$P$201,MATCH($B1402,Summary!$A$2:$A$201,0))</f>
        <v>3</v>
      </c>
      <c r="U1402" s="2" t="n">
        <f aca="false">INDEX(Summary!$Q$2:$Q$201,MATCH($B1402,Summary!$A$2:$A$201,0))</f>
        <v>14.98</v>
      </c>
      <c r="V1402" s="2" t="n">
        <f aca="false">INDEX(Summary!$R$2:$R$201,MATCH($B1402,Summary!$A$2:$A$201,0))</f>
        <v>26.65</v>
      </c>
      <c r="W1402" s="0" t="str">
        <f aca="false">INDEX(Summary!$S$2:$S$201,MATCH($B1402,Summary!$A$2:$A$201,0))</f>
        <v>Silver</v>
      </c>
      <c r="X1402" s="2" t="n">
        <f aca="false">INDEX(Summary!$T$2:$T$201,MATCH($B1402,Summary!$A$2:$A$201,0))</f>
        <v>65</v>
      </c>
      <c r="Y1402" s="0" t="str">
        <f aca="false">INDEX('Reward Model'!$E$18:$E$37,MATCH($E1402,'Reward Model'!$A$18:$A$37,0))</f>
        <v>Medium</v>
      </c>
      <c r="Z1402" s="4" t="n">
        <f aca="false">ROUND(MIN(1,MAX('Reward Model'!$B$2,INDEX('Reward Model'!$C$12:$C$14,MATCH($K1402,'Reward Model'!$A$12:$A$14,0))/$J1402)),3)</f>
        <v>0.862</v>
      </c>
      <c r="AA1402" s="2" t="n">
        <f aca="false">IF($I1402="Correct",ROUND(INDEX('Reward Model'!$B$12:$B$14,MATCH($K1402,'Reward Model'!$A$12:$A$14,0))*Z1402,2),0)</f>
        <v>0.86</v>
      </c>
      <c r="AB1402" s="2" t="n">
        <f aca="false">IF($I1402="Correct",ROUND(INDEX('Reward Model'!$B$12:$B$14,MATCH($Y1402,'Reward Model'!$A$12:$A$14,0))*Z1402,2),0)</f>
        <v>1.72</v>
      </c>
    </row>
    <row r="1403" customFormat="false" ht="15" hidden="false" customHeight="false" outlineLevel="0" collapsed="false">
      <c r="A1403" s="0" t="s">
        <v>269</v>
      </c>
      <c r="B1403" s="0" t="s">
        <v>270</v>
      </c>
      <c r="C1403" s="0" t="s">
        <v>30</v>
      </c>
      <c r="D1403" s="0" t="s">
        <v>189</v>
      </c>
      <c r="E1403" s="0" t="n">
        <v>2</v>
      </c>
      <c r="F1403" s="0" t="s">
        <v>36</v>
      </c>
      <c r="G1403" s="0" t="s">
        <v>38</v>
      </c>
      <c r="H1403" s="0" t="s">
        <v>38</v>
      </c>
      <c r="I1403" s="0" t="s">
        <v>34</v>
      </c>
      <c r="J1403" s="0" t="n">
        <v>1.96</v>
      </c>
      <c r="K1403" s="0" t="s">
        <v>35</v>
      </c>
      <c r="L1403" s="0" t="n">
        <f aca="false">INDEX(Summary!$F$2:$F$201,MATCH($B1403,Summary!$A$2:$A$201,0))</f>
        <v>20</v>
      </c>
      <c r="M1403" s="0" t="n">
        <f aca="false">INDEX(Summary!$I$2:$I$201,MATCH($B1403,Summary!$A$2:$A$201,0))</f>
        <v>4</v>
      </c>
      <c r="N1403" s="0" t="n">
        <f aca="false">INDEX(Summary!$J$2:$J$201,MATCH($B1403,Summary!$A$2:$A$201,0))</f>
        <v>1</v>
      </c>
      <c r="O1403" s="2" t="n">
        <f aca="false">INDEX(Summary!$K$2:$K$201,MATCH($B1403,Summary!$A$2:$A$201,0))</f>
        <v>9.01</v>
      </c>
      <c r="P1403" s="3" t="n">
        <f aca="false">INDEX(Summary!$L$2:$L$201,MATCH($B1403,Summary!$A$2:$A$201,0))</f>
        <v>4</v>
      </c>
      <c r="Q1403" s="3" t="n">
        <f aca="false">INDEX(Summary!$M$2:$M$201,MATCH($B1403,Summary!$A$2:$A$201,0))</f>
        <v>2</v>
      </c>
      <c r="R1403" s="2" t="n">
        <f aca="false">INDEX(Summary!$N$2:$N$201,MATCH($B1403,Summary!$A$2:$A$201,0))</f>
        <v>10.63</v>
      </c>
      <c r="S1403" s="3" t="n">
        <f aca="false">INDEX(Summary!$O$2:$O$201,MATCH($B1403,Summary!$A$2:$A$201,0))</f>
        <v>6</v>
      </c>
      <c r="T1403" s="3" t="n">
        <f aca="false">INDEX(Summary!$P$2:$P$201,MATCH($B1403,Summary!$A$2:$A$201,0))</f>
        <v>3</v>
      </c>
      <c r="U1403" s="2" t="n">
        <f aca="false">INDEX(Summary!$Q$2:$Q$201,MATCH($B1403,Summary!$A$2:$A$201,0))</f>
        <v>14.98</v>
      </c>
      <c r="V1403" s="2" t="n">
        <f aca="false">INDEX(Summary!$R$2:$R$201,MATCH($B1403,Summary!$A$2:$A$201,0))</f>
        <v>26.65</v>
      </c>
      <c r="W1403" s="0" t="str">
        <f aca="false">INDEX(Summary!$S$2:$S$201,MATCH($B1403,Summary!$A$2:$A$201,0))</f>
        <v>Silver</v>
      </c>
      <c r="X1403" s="2" t="n">
        <f aca="false">INDEX(Summary!$T$2:$T$201,MATCH($B1403,Summary!$A$2:$A$201,0))</f>
        <v>65</v>
      </c>
      <c r="Y1403" s="0" t="str">
        <f aca="false">INDEX('Reward Model'!$E$18:$E$37,MATCH($E1403,'Reward Model'!$A$18:$A$37,0))</f>
        <v>Low</v>
      </c>
      <c r="Z1403" s="4" t="n">
        <f aca="false">ROUND(MIN(1,MAX('Reward Model'!$B$2,INDEX('Reward Model'!$C$12:$C$14,MATCH($K1403,'Reward Model'!$A$12:$A$14,0))/$J1403)),3)</f>
        <v>0.765</v>
      </c>
      <c r="AA1403" s="2" t="n">
        <f aca="false">IF($I1403="Correct",ROUND(INDEX('Reward Model'!$B$12:$B$14,MATCH($K1403,'Reward Model'!$A$12:$A$14,0))*Z1403,2),0)</f>
        <v>0.77</v>
      </c>
      <c r="AB1403" s="2" t="n">
        <f aca="false">IF($I1403="Correct",ROUND(INDEX('Reward Model'!$B$12:$B$14,MATCH($Y1403,'Reward Model'!$A$12:$A$14,0))*Z1403,2),0)</f>
        <v>0.77</v>
      </c>
    </row>
    <row r="1404" customFormat="false" ht="15" hidden="false" customHeight="false" outlineLevel="0" collapsed="false">
      <c r="A1404" s="0" t="s">
        <v>269</v>
      </c>
      <c r="B1404" s="0" t="s">
        <v>270</v>
      </c>
      <c r="C1404" s="0" t="s">
        <v>30</v>
      </c>
      <c r="D1404" s="0" t="s">
        <v>189</v>
      </c>
      <c r="E1404" s="0" t="n">
        <v>3</v>
      </c>
      <c r="F1404" s="0" t="s">
        <v>40</v>
      </c>
      <c r="G1404" s="0" t="s">
        <v>42</v>
      </c>
      <c r="H1404" s="0" t="s">
        <v>42</v>
      </c>
      <c r="I1404" s="0" t="s">
        <v>34</v>
      </c>
      <c r="J1404" s="0" t="n">
        <v>1.28</v>
      </c>
      <c r="K1404" s="0" t="s">
        <v>35</v>
      </c>
      <c r="L1404" s="0" t="n">
        <f aca="false">INDEX(Summary!$F$2:$F$201,MATCH($B1404,Summary!$A$2:$A$201,0))</f>
        <v>20</v>
      </c>
      <c r="M1404" s="0" t="n">
        <f aca="false">INDEX(Summary!$I$2:$I$201,MATCH($B1404,Summary!$A$2:$A$201,0))</f>
        <v>4</v>
      </c>
      <c r="N1404" s="0" t="n">
        <f aca="false">INDEX(Summary!$J$2:$J$201,MATCH($B1404,Summary!$A$2:$A$201,0))</f>
        <v>1</v>
      </c>
      <c r="O1404" s="2" t="n">
        <f aca="false">INDEX(Summary!$K$2:$K$201,MATCH($B1404,Summary!$A$2:$A$201,0))</f>
        <v>9.01</v>
      </c>
      <c r="P1404" s="3" t="n">
        <f aca="false">INDEX(Summary!$L$2:$L$201,MATCH($B1404,Summary!$A$2:$A$201,0))</f>
        <v>4</v>
      </c>
      <c r="Q1404" s="3" t="n">
        <f aca="false">INDEX(Summary!$M$2:$M$201,MATCH($B1404,Summary!$A$2:$A$201,0))</f>
        <v>2</v>
      </c>
      <c r="R1404" s="2" t="n">
        <f aca="false">INDEX(Summary!$N$2:$N$201,MATCH($B1404,Summary!$A$2:$A$201,0))</f>
        <v>10.63</v>
      </c>
      <c r="S1404" s="3" t="n">
        <f aca="false">INDEX(Summary!$O$2:$O$201,MATCH($B1404,Summary!$A$2:$A$201,0))</f>
        <v>6</v>
      </c>
      <c r="T1404" s="3" t="n">
        <f aca="false">INDEX(Summary!$P$2:$P$201,MATCH($B1404,Summary!$A$2:$A$201,0))</f>
        <v>3</v>
      </c>
      <c r="U1404" s="2" t="n">
        <f aca="false">INDEX(Summary!$Q$2:$Q$201,MATCH($B1404,Summary!$A$2:$A$201,0))</f>
        <v>14.98</v>
      </c>
      <c r="V1404" s="2" t="n">
        <f aca="false">INDEX(Summary!$R$2:$R$201,MATCH($B1404,Summary!$A$2:$A$201,0))</f>
        <v>26.65</v>
      </c>
      <c r="W1404" s="0" t="str">
        <f aca="false">INDEX(Summary!$S$2:$S$201,MATCH($B1404,Summary!$A$2:$A$201,0))</f>
        <v>Silver</v>
      </c>
      <c r="X1404" s="2" t="n">
        <f aca="false">INDEX(Summary!$T$2:$T$201,MATCH($B1404,Summary!$A$2:$A$201,0))</f>
        <v>65</v>
      </c>
      <c r="Y1404" s="0" t="str">
        <f aca="false">INDEX('Reward Model'!$E$18:$E$37,MATCH($E1404,'Reward Model'!$A$18:$A$37,0))</f>
        <v>Medium</v>
      </c>
      <c r="Z1404" s="4" t="n">
        <f aca="false">ROUND(MIN(1,MAX('Reward Model'!$B$2,INDEX('Reward Model'!$C$12:$C$14,MATCH($K1404,'Reward Model'!$A$12:$A$14,0))/$J1404)),3)</f>
        <v>1</v>
      </c>
      <c r="AA1404" s="2" t="n">
        <f aca="false">IF($I1404="Correct",ROUND(INDEX('Reward Model'!$B$12:$B$14,MATCH($K1404,'Reward Model'!$A$12:$A$14,0))*Z1404,2),0)</f>
        <v>1</v>
      </c>
      <c r="AB1404" s="2" t="n">
        <f aca="false">IF($I1404="Correct",ROUND(INDEX('Reward Model'!$B$12:$B$14,MATCH($Y1404,'Reward Model'!$A$12:$A$14,0))*Z1404,2),0)</f>
        <v>2</v>
      </c>
    </row>
    <row r="1405" customFormat="false" ht="15" hidden="false" customHeight="false" outlineLevel="0" collapsed="false">
      <c r="A1405" s="0" t="s">
        <v>269</v>
      </c>
      <c r="B1405" s="0" t="s">
        <v>270</v>
      </c>
      <c r="C1405" s="0" t="s">
        <v>30</v>
      </c>
      <c r="D1405" s="0" t="s">
        <v>189</v>
      </c>
      <c r="E1405" s="0" t="n">
        <v>4</v>
      </c>
      <c r="F1405" s="0" t="s">
        <v>43</v>
      </c>
      <c r="G1405" s="0" t="s">
        <v>45</v>
      </c>
      <c r="H1405" s="0" t="s">
        <v>45</v>
      </c>
      <c r="I1405" s="0" t="s">
        <v>34</v>
      </c>
      <c r="J1405" s="0" t="n">
        <v>1.91</v>
      </c>
      <c r="K1405" s="0" t="s">
        <v>35</v>
      </c>
      <c r="L1405" s="0" t="n">
        <f aca="false">INDEX(Summary!$F$2:$F$201,MATCH($B1405,Summary!$A$2:$A$201,0))</f>
        <v>20</v>
      </c>
      <c r="M1405" s="0" t="n">
        <f aca="false">INDEX(Summary!$I$2:$I$201,MATCH($B1405,Summary!$A$2:$A$201,0))</f>
        <v>4</v>
      </c>
      <c r="N1405" s="0" t="n">
        <f aca="false">INDEX(Summary!$J$2:$J$201,MATCH($B1405,Summary!$A$2:$A$201,0))</f>
        <v>1</v>
      </c>
      <c r="O1405" s="2" t="n">
        <f aca="false">INDEX(Summary!$K$2:$K$201,MATCH($B1405,Summary!$A$2:$A$201,0))</f>
        <v>9.01</v>
      </c>
      <c r="P1405" s="3" t="n">
        <f aca="false">INDEX(Summary!$L$2:$L$201,MATCH($B1405,Summary!$A$2:$A$201,0))</f>
        <v>4</v>
      </c>
      <c r="Q1405" s="3" t="n">
        <f aca="false">INDEX(Summary!$M$2:$M$201,MATCH($B1405,Summary!$A$2:$A$201,0))</f>
        <v>2</v>
      </c>
      <c r="R1405" s="2" t="n">
        <f aca="false">INDEX(Summary!$N$2:$N$201,MATCH($B1405,Summary!$A$2:$A$201,0))</f>
        <v>10.63</v>
      </c>
      <c r="S1405" s="3" t="n">
        <f aca="false">INDEX(Summary!$O$2:$O$201,MATCH($B1405,Summary!$A$2:$A$201,0))</f>
        <v>6</v>
      </c>
      <c r="T1405" s="3" t="n">
        <f aca="false">INDEX(Summary!$P$2:$P$201,MATCH($B1405,Summary!$A$2:$A$201,0))</f>
        <v>3</v>
      </c>
      <c r="U1405" s="2" t="n">
        <f aca="false">INDEX(Summary!$Q$2:$Q$201,MATCH($B1405,Summary!$A$2:$A$201,0))</f>
        <v>14.98</v>
      </c>
      <c r="V1405" s="2" t="n">
        <f aca="false">INDEX(Summary!$R$2:$R$201,MATCH($B1405,Summary!$A$2:$A$201,0))</f>
        <v>26.65</v>
      </c>
      <c r="W1405" s="0" t="str">
        <f aca="false">INDEX(Summary!$S$2:$S$201,MATCH($B1405,Summary!$A$2:$A$201,0))</f>
        <v>Silver</v>
      </c>
      <c r="X1405" s="2" t="n">
        <f aca="false">INDEX(Summary!$T$2:$T$201,MATCH($B1405,Summary!$A$2:$A$201,0))</f>
        <v>65</v>
      </c>
      <c r="Y1405" s="0" t="str">
        <f aca="false">INDEX('Reward Model'!$E$18:$E$37,MATCH($E1405,'Reward Model'!$A$18:$A$37,0))</f>
        <v>Low</v>
      </c>
      <c r="Z1405" s="4" t="n">
        <f aca="false">ROUND(MIN(1,MAX('Reward Model'!$B$2,INDEX('Reward Model'!$C$12:$C$14,MATCH($K1405,'Reward Model'!$A$12:$A$14,0))/$J1405)),3)</f>
        <v>0.785</v>
      </c>
      <c r="AA1405" s="2" t="n">
        <f aca="false">IF($I1405="Correct",ROUND(INDEX('Reward Model'!$B$12:$B$14,MATCH($K1405,'Reward Model'!$A$12:$A$14,0))*Z1405,2),0)</f>
        <v>0.79</v>
      </c>
      <c r="AB1405" s="2" t="n">
        <f aca="false">IF($I1405="Correct",ROUND(INDEX('Reward Model'!$B$12:$B$14,MATCH($Y1405,'Reward Model'!$A$12:$A$14,0))*Z1405,2),0)</f>
        <v>0.79</v>
      </c>
    </row>
    <row r="1406" customFormat="false" ht="15" hidden="false" customHeight="false" outlineLevel="0" collapsed="false">
      <c r="A1406" s="0" t="s">
        <v>269</v>
      </c>
      <c r="B1406" s="0" t="s">
        <v>270</v>
      </c>
      <c r="C1406" s="0" t="s">
        <v>30</v>
      </c>
      <c r="D1406" s="0" t="s">
        <v>189</v>
      </c>
      <c r="E1406" s="0" t="n">
        <v>5</v>
      </c>
      <c r="F1406" s="0" t="s">
        <v>46</v>
      </c>
      <c r="G1406" s="0" t="s">
        <v>98</v>
      </c>
      <c r="H1406" s="0" t="s">
        <v>47</v>
      </c>
      <c r="I1406" s="0" t="s">
        <v>39</v>
      </c>
      <c r="J1406" s="0" t="n">
        <v>1.47</v>
      </c>
      <c r="K1406" s="0" t="s">
        <v>35</v>
      </c>
      <c r="L1406" s="0" t="n">
        <f aca="false">INDEX(Summary!$F$2:$F$201,MATCH($B1406,Summary!$A$2:$A$201,0))</f>
        <v>20</v>
      </c>
      <c r="M1406" s="0" t="n">
        <f aca="false">INDEX(Summary!$I$2:$I$201,MATCH($B1406,Summary!$A$2:$A$201,0))</f>
        <v>4</v>
      </c>
      <c r="N1406" s="0" t="n">
        <f aca="false">INDEX(Summary!$J$2:$J$201,MATCH($B1406,Summary!$A$2:$A$201,0))</f>
        <v>1</v>
      </c>
      <c r="O1406" s="2" t="n">
        <f aca="false">INDEX(Summary!$K$2:$K$201,MATCH($B1406,Summary!$A$2:$A$201,0))</f>
        <v>9.01</v>
      </c>
      <c r="P1406" s="3" t="n">
        <f aca="false">INDEX(Summary!$L$2:$L$201,MATCH($B1406,Summary!$A$2:$A$201,0))</f>
        <v>4</v>
      </c>
      <c r="Q1406" s="3" t="n">
        <f aca="false">INDEX(Summary!$M$2:$M$201,MATCH($B1406,Summary!$A$2:$A$201,0))</f>
        <v>2</v>
      </c>
      <c r="R1406" s="2" t="n">
        <f aca="false">INDEX(Summary!$N$2:$N$201,MATCH($B1406,Summary!$A$2:$A$201,0))</f>
        <v>10.63</v>
      </c>
      <c r="S1406" s="3" t="n">
        <f aca="false">INDEX(Summary!$O$2:$O$201,MATCH($B1406,Summary!$A$2:$A$201,0))</f>
        <v>6</v>
      </c>
      <c r="T1406" s="3" t="n">
        <f aca="false">INDEX(Summary!$P$2:$P$201,MATCH($B1406,Summary!$A$2:$A$201,0))</f>
        <v>3</v>
      </c>
      <c r="U1406" s="2" t="n">
        <f aca="false">INDEX(Summary!$Q$2:$Q$201,MATCH($B1406,Summary!$A$2:$A$201,0))</f>
        <v>14.98</v>
      </c>
      <c r="V1406" s="2" t="n">
        <f aca="false">INDEX(Summary!$R$2:$R$201,MATCH($B1406,Summary!$A$2:$A$201,0))</f>
        <v>26.65</v>
      </c>
      <c r="W1406" s="0" t="str">
        <f aca="false">INDEX(Summary!$S$2:$S$201,MATCH($B1406,Summary!$A$2:$A$201,0))</f>
        <v>Silver</v>
      </c>
      <c r="X1406" s="2" t="n">
        <f aca="false">INDEX(Summary!$T$2:$T$201,MATCH($B1406,Summary!$A$2:$A$201,0))</f>
        <v>65</v>
      </c>
      <c r="Y1406" s="0" t="str">
        <f aca="false">INDEX('Reward Model'!$E$18:$E$37,MATCH($E1406,'Reward Model'!$A$18:$A$37,0))</f>
        <v>Low</v>
      </c>
      <c r="Z1406" s="4" t="n">
        <f aca="false">ROUND(MIN(1,MAX('Reward Model'!$B$2,INDEX('Reward Model'!$C$12:$C$14,MATCH($K1406,'Reward Model'!$A$12:$A$14,0))/$J1406)),3)</f>
        <v>1</v>
      </c>
      <c r="AA1406" s="2" t="n">
        <f aca="false">IF($I1406="Correct",ROUND(INDEX('Reward Model'!$B$12:$B$14,MATCH($K1406,'Reward Model'!$A$12:$A$14,0))*Z1406,2),0)</f>
        <v>0</v>
      </c>
      <c r="AB1406" s="2" t="n">
        <f aca="false">IF($I1406="Correct",ROUND(INDEX('Reward Model'!$B$12:$B$14,MATCH($Y1406,'Reward Model'!$A$12:$A$14,0))*Z1406,2),0)</f>
        <v>0</v>
      </c>
    </row>
    <row r="1407" customFormat="false" ht="15" hidden="false" customHeight="false" outlineLevel="0" collapsed="false">
      <c r="A1407" s="0" t="s">
        <v>269</v>
      </c>
      <c r="B1407" s="0" t="s">
        <v>270</v>
      </c>
      <c r="C1407" s="0" t="s">
        <v>30</v>
      </c>
      <c r="D1407" s="0" t="s">
        <v>189</v>
      </c>
      <c r="E1407" s="0" t="n">
        <v>6</v>
      </c>
      <c r="F1407" s="0" t="s">
        <v>48</v>
      </c>
      <c r="G1407" s="0" t="s">
        <v>116</v>
      </c>
      <c r="H1407" s="0" t="s">
        <v>49</v>
      </c>
      <c r="I1407" s="0" t="s">
        <v>39</v>
      </c>
      <c r="J1407" s="0" t="n">
        <v>1.37</v>
      </c>
      <c r="K1407" s="0" t="s">
        <v>35</v>
      </c>
      <c r="L1407" s="0" t="n">
        <f aca="false">INDEX(Summary!$F$2:$F$201,MATCH($B1407,Summary!$A$2:$A$201,0))</f>
        <v>20</v>
      </c>
      <c r="M1407" s="0" t="n">
        <f aca="false">INDEX(Summary!$I$2:$I$201,MATCH($B1407,Summary!$A$2:$A$201,0))</f>
        <v>4</v>
      </c>
      <c r="N1407" s="0" t="n">
        <f aca="false">INDEX(Summary!$J$2:$J$201,MATCH($B1407,Summary!$A$2:$A$201,0))</f>
        <v>1</v>
      </c>
      <c r="O1407" s="2" t="n">
        <f aca="false">INDEX(Summary!$K$2:$K$201,MATCH($B1407,Summary!$A$2:$A$201,0))</f>
        <v>9.01</v>
      </c>
      <c r="P1407" s="3" t="n">
        <f aca="false">INDEX(Summary!$L$2:$L$201,MATCH($B1407,Summary!$A$2:$A$201,0))</f>
        <v>4</v>
      </c>
      <c r="Q1407" s="3" t="n">
        <f aca="false">INDEX(Summary!$M$2:$M$201,MATCH($B1407,Summary!$A$2:$A$201,0))</f>
        <v>2</v>
      </c>
      <c r="R1407" s="2" t="n">
        <f aca="false">INDEX(Summary!$N$2:$N$201,MATCH($B1407,Summary!$A$2:$A$201,0))</f>
        <v>10.63</v>
      </c>
      <c r="S1407" s="3" t="n">
        <f aca="false">INDEX(Summary!$O$2:$O$201,MATCH($B1407,Summary!$A$2:$A$201,0))</f>
        <v>6</v>
      </c>
      <c r="T1407" s="3" t="n">
        <f aca="false">INDEX(Summary!$P$2:$P$201,MATCH($B1407,Summary!$A$2:$A$201,0))</f>
        <v>3</v>
      </c>
      <c r="U1407" s="2" t="n">
        <f aca="false">INDEX(Summary!$Q$2:$Q$201,MATCH($B1407,Summary!$A$2:$A$201,0))</f>
        <v>14.98</v>
      </c>
      <c r="V1407" s="2" t="n">
        <f aca="false">INDEX(Summary!$R$2:$R$201,MATCH($B1407,Summary!$A$2:$A$201,0))</f>
        <v>26.65</v>
      </c>
      <c r="W1407" s="0" t="str">
        <f aca="false">INDEX(Summary!$S$2:$S$201,MATCH($B1407,Summary!$A$2:$A$201,0))</f>
        <v>Silver</v>
      </c>
      <c r="X1407" s="2" t="n">
        <f aca="false">INDEX(Summary!$T$2:$T$201,MATCH($B1407,Summary!$A$2:$A$201,0))</f>
        <v>65</v>
      </c>
      <c r="Y1407" s="0" t="str">
        <f aca="false">INDEX('Reward Model'!$E$18:$E$37,MATCH($E1407,'Reward Model'!$A$18:$A$37,0))</f>
        <v>Medium</v>
      </c>
      <c r="Z1407" s="4" t="n">
        <f aca="false">ROUND(MIN(1,MAX('Reward Model'!$B$2,INDEX('Reward Model'!$C$12:$C$14,MATCH($K1407,'Reward Model'!$A$12:$A$14,0))/$J1407)),3)</f>
        <v>1</v>
      </c>
      <c r="AA1407" s="2" t="n">
        <f aca="false">IF($I1407="Correct",ROUND(INDEX('Reward Model'!$B$12:$B$14,MATCH($K1407,'Reward Model'!$A$12:$A$14,0))*Z1407,2),0)</f>
        <v>0</v>
      </c>
      <c r="AB1407" s="2" t="n">
        <f aca="false">IF($I1407="Correct",ROUND(INDEX('Reward Model'!$B$12:$B$14,MATCH($Y1407,'Reward Model'!$A$12:$A$14,0))*Z1407,2),0)</f>
        <v>0</v>
      </c>
    </row>
    <row r="1408" customFormat="false" ht="15" hidden="false" customHeight="false" outlineLevel="0" collapsed="false">
      <c r="A1408" s="0" t="s">
        <v>269</v>
      </c>
      <c r="B1408" s="0" t="s">
        <v>270</v>
      </c>
      <c r="C1408" s="0" t="s">
        <v>30</v>
      </c>
      <c r="D1408" s="0" t="s">
        <v>189</v>
      </c>
      <c r="E1408" s="0" t="n">
        <v>7</v>
      </c>
      <c r="F1408" s="0" t="s">
        <v>50</v>
      </c>
      <c r="G1408" s="0" t="s">
        <v>51</v>
      </c>
      <c r="H1408" s="0" t="s">
        <v>51</v>
      </c>
      <c r="I1408" s="0" t="s">
        <v>34</v>
      </c>
      <c r="J1408" s="0" t="n">
        <v>1.71</v>
      </c>
      <c r="K1408" s="0" t="s">
        <v>35</v>
      </c>
      <c r="L1408" s="0" t="n">
        <f aca="false">INDEX(Summary!$F$2:$F$201,MATCH($B1408,Summary!$A$2:$A$201,0))</f>
        <v>20</v>
      </c>
      <c r="M1408" s="0" t="n">
        <f aca="false">INDEX(Summary!$I$2:$I$201,MATCH($B1408,Summary!$A$2:$A$201,0))</f>
        <v>4</v>
      </c>
      <c r="N1408" s="0" t="n">
        <f aca="false">INDEX(Summary!$J$2:$J$201,MATCH($B1408,Summary!$A$2:$A$201,0))</f>
        <v>1</v>
      </c>
      <c r="O1408" s="2" t="n">
        <f aca="false">INDEX(Summary!$K$2:$K$201,MATCH($B1408,Summary!$A$2:$A$201,0))</f>
        <v>9.01</v>
      </c>
      <c r="P1408" s="3" t="n">
        <f aca="false">INDEX(Summary!$L$2:$L$201,MATCH($B1408,Summary!$A$2:$A$201,0))</f>
        <v>4</v>
      </c>
      <c r="Q1408" s="3" t="n">
        <f aca="false">INDEX(Summary!$M$2:$M$201,MATCH($B1408,Summary!$A$2:$A$201,0))</f>
        <v>2</v>
      </c>
      <c r="R1408" s="2" t="n">
        <f aca="false">INDEX(Summary!$N$2:$N$201,MATCH($B1408,Summary!$A$2:$A$201,0))</f>
        <v>10.63</v>
      </c>
      <c r="S1408" s="3" t="n">
        <f aca="false">INDEX(Summary!$O$2:$O$201,MATCH($B1408,Summary!$A$2:$A$201,0))</f>
        <v>6</v>
      </c>
      <c r="T1408" s="3" t="n">
        <f aca="false">INDEX(Summary!$P$2:$P$201,MATCH($B1408,Summary!$A$2:$A$201,0))</f>
        <v>3</v>
      </c>
      <c r="U1408" s="2" t="n">
        <f aca="false">INDEX(Summary!$Q$2:$Q$201,MATCH($B1408,Summary!$A$2:$A$201,0))</f>
        <v>14.98</v>
      </c>
      <c r="V1408" s="2" t="n">
        <f aca="false">INDEX(Summary!$R$2:$R$201,MATCH($B1408,Summary!$A$2:$A$201,0))</f>
        <v>26.65</v>
      </c>
      <c r="W1408" s="0" t="str">
        <f aca="false">INDEX(Summary!$S$2:$S$201,MATCH($B1408,Summary!$A$2:$A$201,0))</f>
        <v>Silver</v>
      </c>
      <c r="X1408" s="2" t="n">
        <f aca="false">INDEX(Summary!$T$2:$T$201,MATCH($B1408,Summary!$A$2:$A$201,0))</f>
        <v>65</v>
      </c>
      <c r="Y1408" s="0" t="str">
        <f aca="false">INDEX('Reward Model'!$E$18:$E$37,MATCH($E1408,'Reward Model'!$A$18:$A$37,0))</f>
        <v>Low</v>
      </c>
      <c r="Z1408" s="4" t="n">
        <f aca="false">ROUND(MIN(1,MAX('Reward Model'!$B$2,INDEX('Reward Model'!$C$12:$C$14,MATCH($K1408,'Reward Model'!$A$12:$A$14,0))/$J1408)),3)</f>
        <v>0.877</v>
      </c>
      <c r="AA1408" s="2" t="n">
        <f aca="false">IF($I1408="Correct",ROUND(INDEX('Reward Model'!$B$12:$B$14,MATCH($K1408,'Reward Model'!$A$12:$A$14,0))*Z1408,2),0)</f>
        <v>0.88</v>
      </c>
      <c r="AB1408" s="2" t="n">
        <f aca="false">IF($I1408="Correct",ROUND(INDEX('Reward Model'!$B$12:$B$14,MATCH($Y1408,'Reward Model'!$A$12:$A$14,0))*Z1408,2),0)</f>
        <v>0.88</v>
      </c>
    </row>
    <row r="1409" customFormat="false" ht="15" hidden="false" customHeight="false" outlineLevel="0" collapsed="false">
      <c r="A1409" s="0" t="s">
        <v>269</v>
      </c>
      <c r="B1409" s="0" t="s">
        <v>270</v>
      </c>
      <c r="C1409" s="0" t="s">
        <v>30</v>
      </c>
      <c r="D1409" s="0" t="s">
        <v>189</v>
      </c>
      <c r="E1409" s="0" t="n">
        <v>8</v>
      </c>
      <c r="F1409" s="0" t="s">
        <v>52</v>
      </c>
      <c r="G1409" s="0" t="s">
        <v>93</v>
      </c>
      <c r="H1409" s="0" t="s">
        <v>54</v>
      </c>
      <c r="I1409" s="0" t="s">
        <v>39</v>
      </c>
      <c r="J1409" s="0" t="n">
        <v>1.61</v>
      </c>
      <c r="K1409" s="0" t="s">
        <v>35</v>
      </c>
      <c r="L1409" s="0" t="n">
        <f aca="false">INDEX(Summary!$F$2:$F$201,MATCH($B1409,Summary!$A$2:$A$201,0))</f>
        <v>20</v>
      </c>
      <c r="M1409" s="0" t="n">
        <f aca="false">INDEX(Summary!$I$2:$I$201,MATCH($B1409,Summary!$A$2:$A$201,0))</f>
        <v>4</v>
      </c>
      <c r="N1409" s="0" t="n">
        <f aca="false">INDEX(Summary!$J$2:$J$201,MATCH($B1409,Summary!$A$2:$A$201,0))</f>
        <v>1</v>
      </c>
      <c r="O1409" s="2" t="n">
        <f aca="false">INDEX(Summary!$K$2:$K$201,MATCH($B1409,Summary!$A$2:$A$201,0))</f>
        <v>9.01</v>
      </c>
      <c r="P1409" s="3" t="n">
        <f aca="false">INDEX(Summary!$L$2:$L$201,MATCH($B1409,Summary!$A$2:$A$201,0))</f>
        <v>4</v>
      </c>
      <c r="Q1409" s="3" t="n">
        <f aca="false">INDEX(Summary!$M$2:$M$201,MATCH($B1409,Summary!$A$2:$A$201,0))</f>
        <v>2</v>
      </c>
      <c r="R1409" s="2" t="n">
        <f aca="false">INDEX(Summary!$N$2:$N$201,MATCH($B1409,Summary!$A$2:$A$201,0))</f>
        <v>10.63</v>
      </c>
      <c r="S1409" s="3" t="n">
        <f aca="false">INDEX(Summary!$O$2:$O$201,MATCH($B1409,Summary!$A$2:$A$201,0))</f>
        <v>6</v>
      </c>
      <c r="T1409" s="3" t="n">
        <f aca="false">INDEX(Summary!$P$2:$P$201,MATCH($B1409,Summary!$A$2:$A$201,0))</f>
        <v>3</v>
      </c>
      <c r="U1409" s="2" t="n">
        <f aca="false">INDEX(Summary!$Q$2:$Q$201,MATCH($B1409,Summary!$A$2:$A$201,0))</f>
        <v>14.98</v>
      </c>
      <c r="V1409" s="2" t="n">
        <f aca="false">INDEX(Summary!$R$2:$R$201,MATCH($B1409,Summary!$A$2:$A$201,0))</f>
        <v>26.65</v>
      </c>
      <c r="W1409" s="0" t="str">
        <f aca="false">INDEX(Summary!$S$2:$S$201,MATCH($B1409,Summary!$A$2:$A$201,0))</f>
        <v>Silver</v>
      </c>
      <c r="X1409" s="2" t="n">
        <f aca="false">INDEX(Summary!$T$2:$T$201,MATCH($B1409,Summary!$A$2:$A$201,0))</f>
        <v>65</v>
      </c>
      <c r="Y1409" s="0" t="str">
        <f aca="false">INDEX('Reward Model'!$E$18:$E$37,MATCH($E1409,'Reward Model'!$A$18:$A$37,0))</f>
        <v>Medium</v>
      </c>
      <c r="Z1409" s="4" t="n">
        <f aca="false">ROUND(MIN(1,MAX('Reward Model'!$B$2,INDEX('Reward Model'!$C$12:$C$14,MATCH($K1409,'Reward Model'!$A$12:$A$14,0))/$J1409)),3)</f>
        <v>0.932</v>
      </c>
      <c r="AA1409" s="2" t="n">
        <f aca="false">IF($I1409="Correct",ROUND(INDEX('Reward Model'!$B$12:$B$14,MATCH($K1409,'Reward Model'!$A$12:$A$14,0))*Z1409,2),0)</f>
        <v>0</v>
      </c>
      <c r="AB1409" s="2" t="n">
        <f aca="false">IF($I1409="Correct",ROUND(INDEX('Reward Model'!$B$12:$B$14,MATCH($Y1409,'Reward Model'!$A$12:$A$14,0))*Z1409,2),0)</f>
        <v>0</v>
      </c>
    </row>
    <row r="1410" customFormat="false" ht="15" hidden="false" customHeight="false" outlineLevel="0" collapsed="false">
      <c r="A1410" s="0" t="s">
        <v>269</v>
      </c>
      <c r="B1410" s="0" t="s">
        <v>270</v>
      </c>
      <c r="C1410" s="0" t="s">
        <v>30</v>
      </c>
      <c r="D1410" s="0" t="s">
        <v>189</v>
      </c>
      <c r="E1410" s="0" t="n">
        <v>9</v>
      </c>
      <c r="F1410" s="0" t="s">
        <v>55</v>
      </c>
      <c r="G1410" s="0" t="s">
        <v>57</v>
      </c>
      <c r="H1410" s="0" t="s">
        <v>57</v>
      </c>
      <c r="I1410" s="0" t="s">
        <v>34</v>
      </c>
      <c r="J1410" s="0" t="n">
        <v>1.93</v>
      </c>
      <c r="K1410" s="0" t="s">
        <v>35</v>
      </c>
      <c r="L1410" s="0" t="n">
        <f aca="false">INDEX(Summary!$F$2:$F$201,MATCH($B1410,Summary!$A$2:$A$201,0))</f>
        <v>20</v>
      </c>
      <c r="M1410" s="0" t="n">
        <f aca="false">INDEX(Summary!$I$2:$I$201,MATCH($B1410,Summary!$A$2:$A$201,0))</f>
        <v>4</v>
      </c>
      <c r="N1410" s="0" t="n">
        <f aca="false">INDEX(Summary!$J$2:$J$201,MATCH($B1410,Summary!$A$2:$A$201,0))</f>
        <v>1</v>
      </c>
      <c r="O1410" s="2" t="n">
        <f aca="false">INDEX(Summary!$K$2:$K$201,MATCH($B1410,Summary!$A$2:$A$201,0))</f>
        <v>9.01</v>
      </c>
      <c r="P1410" s="3" t="n">
        <f aca="false">INDEX(Summary!$L$2:$L$201,MATCH($B1410,Summary!$A$2:$A$201,0))</f>
        <v>4</v>
      </c>
      <c r="Q1410" s="3" t="n">
        <f aca="false">INDEX(Summary!$M$2:$M$201,MATCH($B1410,Summary!$A$2:$A$201,0))</f>
        <v>2</v>
      </c>
      <c r="R1410" s="2" t="n">
        <f aca="false">INDEX(Summary!$N$2:$N$201,MATCH($B1410,Summary!$A$2:$A$201,0))</f>
        <v>10.63</v>
      </c>
      <c r="S1410" s="3" t="n">
        <f aca="false">INDEX(Summary!$O$2:$O$201,MATCH($B1410,Summary!$A$2:$A$201,0))</f>
        <v>6</v>
      </c>
      <c r="T1410" s="3" t="n">
        <f aca="false">INDEX(Summary!$P$2:$P$201,MATCH($B1410,Summary!$A$2:$A$201,0))</f>
        <v>3</v>
      </c>
      <c r="U1410" s="2" t="n">
        <f aca="false">INDEX(Summary!$Q$2:$Q$201,MATCH($B1410,Summary!$A$2:$A$201,0))</f>
        <v>14.98</v>
      </c>
      <c r="V1410" s="2" t="n">
        <f aca="false">INDEX(Summary!$R$2:$R$201,MATCH($B1410,Summary!$A$2:$A$201,0))</f>
        <v>26.65</v>
      </c>
      <c r="W1410" s="0" t="str">
        <f aca="false">INDEX(Summary!$S$2:$S$201,MATCH($B1410,Summary!$A$2:$A$201,0))</f>
        <v>Silver</v>
      </c>
      <c r="X1410" s="2" t="n">
        <f aca="false">INDEX(Summary!$T$2:$T$201,MATCH($B1410,Summary!$A$2:$A$201,0))</f>
        <v>65</v>
      </c>
      <c r="Y1410" s="0" t="str">
        <f aca="false">INDEX('Reward Model'!$E$18:$E$37,MATCH($E1410,'Reward Model'!$A$18:$A$37,0))</f>
        <v>Medium</v>
      </c>
      <c r="Z1410" s="4" t="n">
        <f aca="false">ROUND(MIN(1,MAX('Reward Model'!$B$2,INDEX('Reward Model'!$C$12:$C$14,MATCH($K1410,'Reward Model'!$A$12:$A$14,0))/$J1410)),3)</f>
        <v>0.777</v>
      </c>
      <c r="AA1410" s="2" t="n">
        <f aca="false">IF($I1410="Correct",ROUND(INDEX('Reward Model'!$B$12:$B$14,MATCH($K1410,'Reward Model'!$A$12:$A$14,0))*Z1410,2),0)</f>
        <v>0.78</v>
      </c>
      <c r="AB1410" s="2" t="n">
        <f aca="false">IF($I1410="Correct",ROUND(INDEX('Reward Model'!$B$12:$B$14,MATCH($Y1410,'Reward Model'!$A$12:$A$14,0))*Z1410,2),0)</f>
        <v>1.55</v>
      </c>
    </row>
    <row r="1411" customFormat="false" ht="15" hidden="false" customHeight="false" outlineLevel="0" collapsed="false">
      <c r="A1411" s="0" t="s">
        <v>269</v>
      </c>
      <c r="B1411" s="0" t="s">
        <v>270</v>
      </c>
      <c r="C1411" s="0" t="s">
        <v>30</v>
      </c>
      <c r="D1411" s="0" t="s">
        <v>189</v>
      </c>
      <c r="E1411" s="0" t="n">
        <v>10</v>
      </c>
      <c r="F1411" s="0" t="s">
        <v>58</v>
      </c>
      <c r="G1411" s="0" t="s">
        <v>99</v>
      </c>
      <c r="H1411" s="0" t="s">
        <v>59</v>
      </c>
      <c r="I1411" s="0" t="s">
        <v>39</v>
      </c>
      <c r="J1411" s="0" t="n">
        <v>2.17</v>
      </c>
      <c r="K1411" s="0" t="s">
        <v>60</v>
      </c>
      <c r="L1411" s="0" t="n">
        <f aca="false">INDEX(Summary!$F$2:$F$201,MATCH($B1411,Summary!$A$2:$A$201,0))</f>
        <v>20</v>
      </c>
      <c r="M1411" s="0" t="n">
        <f aca="false">INDEX(Summary!$I$2:$I$201,MATCH($B1411,Summary!$A$2:$A$201,0))</f>
        <v>4</v>
      </c>
      <c r="N1411" s="0" t="n">
        <f aca="false">INDEX(Summary!$J$2:$J$201,MATCH($B1411,Summary!$A$2:$A$201,0))</f>
        <v>1</v>
      </c>
      <c r="O1411" s="2" t="n">
        <f aca="false">INDEX(Summary!$K$2:$K$201,MATCH($B1411,Summary!$A$2:$A$201,0))</f>
        <v>9.01</v>
      </c>
      <c r="P1411" s="3" t="n">
        <f aca="false">INDEX(Summary!$L$2:$L$201,MATCH($B1411,Summary!$A$2:$A$201,0))</f>
        <v>4</v>
      </c>
      <c r="Q1411" s="3" t="n">
        <f aca="false">INDEX(Summary!$M$2:$M$201,MATCH($B1411,Summary!$A$2:$A$201,0))</f>
        <v>2</v>
      </c>
      <c r="R1411" s="2" t="n">
        <f aca="false">INDEX(Summary!$N$2:$N$201,MATCH($B1411,Summary!$A$2:$A$201,0))</f>
        <v>10.63</v>
      </c>
      <c r="S1411" s="3" t="n">
        <f aca="false">INDEX(Summary!$O$2:$O$201,MATCH($B1411,Summary!$A$2:$A$201,0))</f>
        <v>6</v>
      </c>
      <c r="T1411" s="3" t="n">
        <f aca="false">INDEX(Summary!$P$2:$P$201,MATCH($B1411,Summary!$A$2:$A$201,0))</f>
        <v>3</v>
      </c>
      <c r="U1411" s="2" t="n">
        <f aca="false">INDEX(Summary!$Q$2:$Q$201,MATCH($B1411,Summary!$A$2:$A$201,0))</f>
        <v>14.98</v>
      </c>
      <c r="V1411" s="2" t="n">
        <f aca="false">INDEX(Summary!$R$2:$R$201,MATCH($B1411,Summary!$A$2:$A$201,0))</f>
        <v>26.65</v>
      </c>
      <c r="W1411" s="0" t="str">
        <f aca="false">INDEX(Summary!$S$2:$S$201,MATCH($B1411,Summary!$A$2:$A$201,0))</f>
        <v>Silver</v>
      </c>
      <c r="X1411" s="2" t="n">
        <f aca="false">INDEX(Summary!$T$2:$T$201,MATCH($B1411,Summary!$A$2:$A$201,0))</f>
        <v>65</v>
      </c>
      <c r="Y1411" s="0" t="str">
        <f aca="false">INDEX('Reward Model'!$E$18:$E$37,MATCH($E1411,'Reward Model'!$A$18:$A$37,0))</f>
        <v>Medium</v>
      </c>
      <c r="Z1411" s="4" t="n">
        <f aca="false">ROUND(MIN(1,MAX('Reward Model'!$B$2,INDEX('Reward Model'!$C$12:$C$14,MATCH($K1411,'Reward Model'!$A$12:$A$14,0))/$J1411)),3)</f>
        <v>0.829</v>
      </c>
      <c r="AA1411" s="2" t="n">
        <f aca="false">IF($I1411="Correct",ROUND(INDEX('Reward Model'!$B$12:$B$14,MATCH($K1411,'Reward Model'!$A$12:$A$14,0))*Z1411,2),0)</f>
        <v>0</v>
      </c>
      <c r="AB1411" s="2" t="n">
        <f aca="false">IF($I1411="Correct",ROUND(INDEX('Reward Model'!$B$12:$B$14,MATCH($Y1411,'Reward Model'!$A$12:$A$14,0))*Z1411,2),0)</f>
        <v>0</v>
      </c>
    </row>
    <row r="1412" customFormat="false" ht="15" hidden="false" customHeight="false" outlineLevel="0" collapsed="false">
      <c r="A1412" s="0" t="s">
        <v>269</v>
      </c>
      <c r="B1412" s="0" t="s">
        <v>270</v>
      </c>
      <c r="C1412" s="0" t="s">
        <v>30</v>
      </c>
      <c r="D1412" s="0" t="s">
        <v>189</v>
      </c>
      <c r="E1412" s="0" t="n">
        <v>11</v>
      </c>
      <c r="F1412" s="0" t="s">
        <v>61</v>
      </c>
      <c r="G1412" s="0" t="s">
        <v>62</v>
      </c>
      <c r="H1412" s="0" t="s">
        <v>63</v>
      </c>
      <c r="I1412" s="0" t="s">
        <v>39</v>
      </c>
      <c r="J1412" s="0" t="n">
        <v>1.31</v>
      </c>
      <c r="K1412" s="0" t="s">
        <v>60</v>
      </c>
      <c r="L1412" s="0" t="n">
        <f aca="false">INDEX(Summary!$F$2:$F$201,MATCH($B1412,Summary!$A$2:$A$201,0))</f>
        <v>20</v>
      </c>
      <c r="M1412" s="0" t="n">
        <f aca="false">INDEX(Summary!$I$2:$I$201,MATCH($B1412,Summary!$A$2:$A$201,0))</f>
        <v>4</v>
      </c>
      <c r="N1412" s="0" t="n">
        <f aca="false">INDEX(Summary!$J$2:$J$201,MATCH($B1412,Summary!$A$2:$A$201,0))</f>
        <v>1</v>
      </c>
      <c r="O1412" s="2" t="n">
        <f aca="false">INDEX(Summary!$K$2:$K$201,MATCH($B1412,Summary!$A$2:$A$201,0))</f>
        <v>9.01</v>
      </c>
      <c r="P1412" s="3" t="n">
        <f aca="false">INDEX(Summary!$L$2:$L$201,MATCH($B1412,Summary!$A$2:$A$201,0))</f>
        <v>4</v>
      </c>
      <c r="Q1412" s="3" t="n">
        <f aca="false">INDEX(Summary!$M$2:$M$201,MATCH($B1412,Summary!$A$2:$A$201,0))</f>
        <v>2</v>
      </c>
      <c r="R1412" s="2" t="n">
        <f aca="false">INDEX(Summary!$N$2:$N$201,MATCH($B1412,Summary!$A$2:$A$201,0))</f>
        <v>10.63</v>
      </c>
      <c r="S1412" s="3" t="n">
        <f aca="false">INDEX(Summary!$O$2:$O$201,MATCH($B1412,Summary!$A$2:$A$201,0))</f>
        <v>6</v>
      </c>
      <c r="T1412" s="3" t="n">
        <f aca="false">INDEX(Summary!$P$2:$P$201,MATCH($B1412,Summary!$A$2:$A$201,0))</f>
        <v>3</v>
      </c>
      <c r="U1412" s="2" t="n">
        <f aca="false">INDEX(Summary!$Q$2:$Q$201,MATCH($B1412,Summary!$A$2:$A$201,0))</f>
        <v>14.98</v>
      </c>
      <c r="V1412" s="2" t="n">
        <f aca="false">INDEX(Summary!$R$2:$R$201,MATCH($B1412,Summary!$A$2:$A$201,0))</f>
        <v>26.65</v>
      </c>
      <c r="W1412" s="0" t="str">
        <f aca="false">INDEX(Summary!$S$2:$S$201,MATCH($B1412,Summary!$A$2:$A$201,0))</f>
        <v>Silver</v>
      </c>
      <c r="X1412" s="2" t="n">
        <f aca="false">INDEX(Summary!$T$2:$T$201,MATCH($B1412,Summary!$A$2:$A$201,0))</f>
        <v>65</v>
      </c>
      <c r="Y1412" s="0" t="str">
        <f aca="false">INDEX('Reward Model'!$E$18:$E$37,MATCH($E1412,'Reward Model'!$A$18:$A$37,0))</f>
        <v>Medium</v>
      </c>
      <c r="Z1412" s="4" t="n">
        <f aca="false">ROUND(MIN(1,MAX('Reward Model'!$B$2,INDEX('Reward Model'!$C$12:$C$14,MATCH($K1412,'Reward Model'!$A$12:$A$14,0))/$J1412)),3)</f>
        <v>1</v>
      </c>
      <c r="AA1412" s="2" t="n">
        <f aca="false">IF($I1412="Correct",ROUND(INDEX('Reward Model'!$B$12:$B$14,MATCH($K1412,'Reward Model'!$A$12:$A$14,0))*Z1412,2),0)</f>
        <v>0</v>
      </c>
      <c r="AB1412" s="2" t="n">
        <f aca="false">IF($I1412="Correct",ROUND(INDEX('Reward Model'!$B$12:$B$14,MATCH($Y1412,'Reward Model'!$A$12:$A$14,0))*Z1412,2),0)</f>
        <v>0</v>
      </c>
    </row>
    <row r="1413" customFormat="false" ht="15" hidden="false" customHeight="false" outlineLevel="0" collapsed="false">
      <c r="A1413" s="0" t="s">
        <v>269</v>
      </c>
      <c r="B1413" s="0" t="s">
        <v>270</v>
      </c>
      <c r="C1413" s="0" t="s">
        <v>30</v>
      </c>
      <c r="D1413" s="0" t="s">
        <v>189</v>
      </c>
      <c r="E1413" s="0" t="n">
        <v>12</v>
      </c>
      <c r="F1413" s="0" t="s">
        <v>64</v>
      </c>
      <c r="G1413" s="0" t="s">
        <v>65</v>
      </c>
      <c r="H1413" s="0" t="s">
        <v>65</v>
      </c>
      <c r="I1413" s="0" t="s">
        <v>34</v>
      </c>
      <c r="J1413" s="0" t="n">
        <v>2.25</v>
      </c>
      <c r="K1413" s="0" t="s">
        <v>60</v>
      </c>
      <c r="L1413" s="0" t="n">
        <f aca="false">INDEX(Summary!$F$2:$F$201,MATCH($B1413,Summary!$A$2:$A$201,0))</f>
        <v>20</v>
      </c>
      <c r="M1413" s="0" t="n">
        <f aca="false">INDEX(Summary!$I$2:$I$201,MATCH($B1413,Summary!$A$2:$A$201,0))</f>
        <v>4</v>
      </c>
      <c r="N1413" s="0" t="n">
        <f aca="false">INDEX(Summary!$J$2:$J$201,MATCH($B1413,Summary!$A$2:$A$201,0))</f>
        <v>1</v>
      </c>
      <c r="O1413" s="2" t="n">
        <f aca="false">INDEX(Summary!$K$2:$K$201,MATCH($B1413,Summary!$A$2:$A$201,0))</f>
        <v>9.01</v>
      </c>
      <c r="P1413" s="3" t="n">
        <f aca="false">INDEX(Summary!$L$2:$L$201,MATCH($B1413,Summary!$A$2:$A$201,0))</f>
        <v>4</v>
      </c>
      <c r="Q1413" s="3" t="n">
        <f aca="false">INDEX(Summary!$M$2:$M$201,MATCH($B1413,Summary!$A$2:$A$201,0))</f>
        <v>2</v>
      </c>
      <c r="R1413" s="2" t="n">
        <f aca="false">INDEX(Summary!$N$2:$N$201,MATCH($B1413,Summary!$A$2:$A$201,0))</f>
        <v>10.63</v>
      </c>
      <c r="S1413" s="3" t="n">
        <f aca="false">INDEX(Summary!$O$2:$O$201,MATCH($B1413,Summary!$A$2:$A$201,0))</f>
        <v>6</v>
      </c>
      <c r="T1413" s="3" t="n">
        <f aca="false">INDEX(Summary!$P$2:$P$201,MATCH($B1413,Summary!$A$2:$A$201,0))</f>
        <v>3</v>
      </c>
      <c r="U1413" s="2" t="n">
        <f aca="false">INDEX(Summary!$Q$2:$Q$201,MATCH($B1413,Summary!$A$2:$A$201,0))</f>
        <v>14.98</v>
      </c>
      <c r="V1413" s="2" t="n">
        <f aca="false">INDEX(Summary!$R$2:$R$201,MATCH($B1413,Summary!$A$2:$A$201,0))</f>
        <v>26.65</v>
      </c>
      <c r="W1413" s="0" t="str">
        <f aca="false">INDEX(Summary!$S$2:$S$201,MATCH($B1413,Summary!$A$2:$A$201,0))</f>
        <v>Silver</v>
      </c>
      <c r="X1413" s="2" t="n">
        <f aca="false">INDEX(Summary!$T$2:$T$201,MATCH($B1413,Summary!$A$2:$A$201,0))</f>
        <v>65</v>
      </c>
      <c r="Y1413" s="0" t="str">
        <f aca="false">INDEX('Reward Model'!$E$18:$E$37,MATCH($E1413,'Reward Model'!$A$18:$A$37,0))</f>
        <v>Medium</v>
      </c>
      <c r="Z1413" s="4" t="n">
        <f aca="false">ROUND(MIN(1,MAX('Reward Model'!$B$2,INDEX('Reward Model'!$C$12:$C$14,MATCH($K1413,'Reward Model'!$A$12:$A$14,0))/$J1413)),3)</f>
        <v>0.8</v>
      </c>
      <c r="AA1413" s="2" t="n">
        <f aca="false">IF($I1413="Correct",ROUND(INDEX('Reward Model'!$B$12:$B$14,MATCH($K1413,'Reward Model'!$A$12:$A$14,0))*Z1413,2),0)</f>
        <v>1.6</v>
      </c>
      <c r="AB1413" s="2" t="n">
        <f aca="false">IF($I1413="Correct",ROUND(INDEX('Reward Model'!$B$12:$B$14,MATCH($Y1413,'Reward Model'!$A$12:$A$14,0))*Z1413,2),0)</f>
        <v>1.6</v>
      </c>
    </row>
    <row r="1414" customFormat="false" ht="15" hidden="false" customHeight="false" outlineLevel="0" collapsed="false">
      <c r="A1414" s="0" t="s">
        <v>269</v>
      </c>
      <c r="B1414" s="0" t="s">
        <v>270</v>
      </c>
      <c r="C1414" s="0" t="s">
        <v>30</v>
      </c>
      <c r="D1414" s="0" t="s">
        <v>189</v>
      </c>
      <c r="E1414" s="0" t="n">
        <v>13</v>
      </c>
      <c r="F1414" s="0" t="s">
        <v>66</v>
      </c>
      <c r="G1414" s="0" t="s">
        <v>67</v>
      </c>
      <c r="H1414" s="0" t="s">
        <v>67</v>
      </c>
      <c r="I1414" s="0" t="s">
        <v>34</v>
      </c>
      <c r="J1414" s="0" t="n">
        <v>2.29</v>
      </c>
      <c r="K1414" s="0" t="s">
        <v>60</v>
      </c>
      <c r="L1414" s="0" t="n">
        <f aca="false">INDEX(Summary!$F$2:$F$201,MATCH($B1414,Summary!$A$2:$A$201,0))</f>
        <v>20</v>
      </c>
      <c r="M1414" s="0" t="n">
        <f aca="false">INDEX(Summary!$I$2:$I$201,MATCH($B1414,Summary!$A$2:$A$201,0))</f>
        <v>4</v>
      </c>
      <c r="N1414" s="0" t="n">
        <f aca="false">INDEX(Summary!$J$2:$J$201,MATCH($B1414,Summary!$A$2:$A$201,0))</f>
        <v>1</v>
      </c>
      <c r="O1414" s="2" t="n">
        <f aca="false">INDEX(Summary!$K$2:$K$201,MATCH($B1414,Summary!$A$2:$A$201,0))</f>
        <v>9.01</v>
      </c>
      <c r="P1414" s="3" t="n">
        <f aca="false">INDEX(Summary!$L$2:$L$201,MATCH($B1414,Summary!$A$2:$A$201,0))</f>
        <v>4</v>
      </c>
      <c r="Q1414" s="3" t="n">
        <f aca="false">INDEX(Summary!$M$2:$M$201,MATCH($B1414,Summary!$A$2:$A$201,0))</f>
        <v>2</v>
      </c>
      <c r="R1414" s="2" t="n">
        <f aca="false">INDEX(Summary!$N$2:$N$201,MATCH($B1414,Summary!$A$2:$A$201,0))</f>
        <v>10.63</v>
      </c>
      <c r="S1414" s="3" t="n">
        <f aca="false">INDEX(Summary!$O$2:$O$201,MATCH($B1414,Summary!$A$2:$A$201,0))</f>
        <v>6</v>
      </c>
      <c r="T1414" s="3" t="n">
        <f aca="false">INDEX(Summary!$P$2:$P$201,MATCH($B1414,Summary!$A$2:$A$201,0))</f>
        <v>3</v>
      </c>
      <c r="U1414" s="2" t="n">
        <f aca="false">INDEX(Summary!$Q$2:$Q$201,MATCH($B1414,Summary!$A$2:$A$201,0))</f>
        <v>14.98</v>
      </c>
      <c r="V1414" s="2" t="n">
        <f aca="false">INDEX(Summary!$R$2:$R$201,MATCH($B1414,Summary!$A$2:$A$201,0))</f>
        <v>26.65</v>
      </c>
      <c r="W1414" s="0" t="str">
        <f aca="false">INDEX(Summary!$S$2:$S$201,MATCH($B1414,Summary!$A$2:$A$201,0))</f>
        <v>Silver</v>
      </c>
      <c r="X1414" s="2" t="n">
        <f aca="false">INDEX(Summary!$T$2:$T$201,MATCH($B1414,Summary!$A$2:$A$201,0))</f>
        <v>65</v>
      </c>
      <c r="Y1414" s="0" t="str">
        <f aca="false">INDEX('Reward Model'!$E$18:$E$37,MATCH($E1414,'Reward Model'!$A$18:$A$37,0))</f>
        <v>Medium</v>
      </c>
      <c r="Z1414" s="4" t="n">
        <f aca="false">ROUND(MIN(1,MAX('Reward Model'!$B$2,INDEX('Reward Model'!$C$12:$C$14,MATCH($K1414,'Reward Model'!$A$12:$A$14,0))/$J1414)),3)</f>
        <v>0.786</v>
      </c>
      <c r="AA1414" s="2" t="n">
        <f aca="false">IF($I1414="Correct",ROUND(INDEX('Reward Model'!$B$12:$B$14,MATCH($K1414,'Reward Model'!$A$12:$A$14,0))*Z1414,2),0)</f>
        <v>1.57</v>
      </c>
      <c r="AB1414" s="2" t="n">
        <f aca="false">IF($I1414="Correct",ROUND(INDEX('Reward Model'!$B$12:$B$14,MATCH($Y1414,'Reward Model'!$A$12:$A$14,0))*Z1414,2),0)</f>
        <v>1.57</v>
      </c>
    </row>
    <row r="1415" customFormat="false" ht="15" hidden="false" customHeight="false" outlineLevel="0" collapsed="false">
      <c r="A1415" s="0" t="s">
        <v>269</v>
      </c>
      <c r="B1415" s="0" t="s">
        <v>270</v>
      </c>
      <c r="C1415" s="0" t="s">
        <v>30</v>
      </c>
      <c r="D1415" s="0" t="s">
        <v>189</v>
      </c>
      <c r="E1415" s="0" t="n">
        <v>14</v>
      </c>
      <c r="F1415" s="0" t="s">
        <v>68</v>
      </c>
      <c r="G1415" s="0" t="s">
        <v>51</v>
      </c>
      <c r="H1415" s="0" t="s">
        <v>51</v>
      </c>
      <c r="I1415" s="0" t="s">
        <v>34</v>
      </c>
      <c r="J1415" s="0" t="n">
        <v>1.29</v>
      </c>
      <c r="K1415" s="0" t="s">
        <v>60</v>
      </c>
      <c r="L1415" s="0" t="n">
        <f aca="false">INDEX(Summary!$F$2:$F$201,MATCH($B1415,Summary!$A$2:$A$201,0))</f>
        <v>20</v>
      </c>
      <c r="M1415" s="0" t="n">
        <f aca="false">INDEX(Summary!$I$2:$I$201,MATCH($B1415,Summary!$A$2:$A$201,0))</f>
        <v>4</v>
      </c>
      <c r="N1415" s="0" t="n">
        <f aca="false">INDEX(Summary!$J$2:$J$201,MATCH($B1415,Summary!$A$2:$A$201,0))</f>
        <v>1</v>
      </c>
      <c r="O1415" s="2" t="n">
        <f aca="false">INDEX(Summary!$K$2:$K$201,MATCH($B1415,Summary!$A$2:$A$201,0))</f>
        <v>9.01</v>
      </c>
      <c r="P1415" s="3" t="n">
        <f aca="false">INDEX(Summary!$L$2:$L$201,MATCH($B1415,Summary!$A$2:$A$201,0))</f>
        <v>4</v>
      </c>
      <c r="Q1415" s="3" t="n">
        <f aca="false">INDEX(Summary!$M$2:$M$201,MATCH($B1415,Summary!$A$2:$A$201,0))</f>
        <v>2</v>
      </c>
      <c r="R1415" s="2" t="n">
        <f aca="false">INDEX(Summary!$N$2:$N$201,MATCH($B1415,Summary!$A$2:$A$201,0))</f>
        <v>10.63</v>
      </c>
      <c r="S1415" s="3" t="n">
        <f aca="false">INDEX(Summary!$O$2:$O$201,MATCH($B1415,Summary!$A$2:$A$201,0))</f>
        <v>6</v>
      </c>
      <c r="T1415" s="3" t="n">
        <f aca="false">INDEX(Summary!$P$2:$P$201,MATCH($B1415,Summary!$A$2:$A$201,0))</f>
        <v>3</v>
      </c>
      <c r="U1415" s="2" t="n">
        <f aca="false">INDEX(Summary!$Q$2:$Q$201,MATCH($B1415,Summary!$A$2:$A$201,0))</f>
        <v>14.98</v>
      </c>
      <c r="V1415" s="2" t="n">
        <f aca="false">INDEX(Summary!$R$2:$R$201,MATCH($B1415,Summary!$A$2:$A$201,0))</f>
        <v>26.65</v>
      </c>
      <c r="W1415" s="0" t="str">
        <f aca="false">INDEX(Summary!$S$2:$S$201,MATCH($B1415,Summary!$A$2:$A$201,0))</f>
        <v>Silver</v>
      </c>
      <c r="X1415" s="2" t="n">
        <f aca="false">INDEX(Summary!$T$2:$T$201,MATCH($B1415,Summary!$A$2:$A$201,0))</f>
        <v>65</v>
      </c>
      <c r="Y1415" s="0" t="str">
        <f aca="false">INDEX('Reward Model'!$E$18:$E$37,MATCH($E1415,'Reward Model'!$A$18:$A$37,0))</f>
        <v>Medium</v>
      </c>
      <c r="Z1415" s="4" t="n">
        <f aca="false">ROUND(MIN(1,MAX('Reward Model'!$B$2,INDEX('Reward Model'!$C$12:$C$14,MATCH($K1415,'Reward Model'!$A$12:$A$14,0))/$J1415)),3)</f>
        <v>1</v>
      </c>
      <c r="AA1415" s="2" t="n">
        <f aca="false">IF($I1415="Correct",ROUND(INDEX('Reward Model'!$B$12:$B$14,MATCH($K1415,'Reward Model'!$A$12:$A$14,0))*Z1415,2),0)</f>
        <v>2</v>
      </c>
      <c r="AB1415" s="2" t="n">
        <f aca="false">IF($I1415="Correct",ROUND(INDEX('Reward Model'!$B$12:$B$14,MATCH($Y1415,'Reward Model'!$A$12:$A$14,0))*Z1415,2),0)</f>
        <v>2</v>
      </c>
    </row>
    <row r="1416" customFormat="false" ht="15" hidden="false" customHeight="false" outlineLevel="0" collapsed="false">
      <c r="A1416" s="0" t="s">
        <v>269</v>
      </c>
      <c r="B1416" s="0" t="s">
        <v>270</v>
      </c>
      <c r="C1416" s="0" t="s">
        <v>30</v>
      </c>
      <c r="D1416" s="0" t="s">
        <v>189</v>
      </c>
      <c r="E1416" s="0" t="n">
        <v>15</v>
      </c>
      <c r="F1416" s="0" t="s">
        <v>69</v>
      </c>
      <c r="G1416" s="0" t="s">
        <v>70</v>
      </c>
      <c r="H1416" s="0" t="s">
        <v>70</v>
      </c>
      <c r="I1416" s="0" t="s">
        <v>34</v>
      </c>
      <c r="J1416" s="0" t="n">
        <v>1.32</v>
      </c>
      <c r="K1416" s="0" t="s">
        <v>60</v>
      </c>
      <c r="L1416" s="0" t="n">
        <f aca="false">INDEX(Summary!$F$2:$F$201,MATCH($B1416,Summary!$A$2:$A$201,0))</f>
        <v>20</v>
      </c>
      <c r="M1416" s="0" t="n">
        <f aca="false">INDEX(Summary!$I$2:$I$201,MATCH($B1416,Summary!$A$2:$A$201,0))</f>
        <v>4</v>
      </c>
      <c r="N1416" s="0" t="n">
        <f aca="false">INDEX(Summary!$J$2:$J$201,MATCH($B1416,Summary!$A$2:$A$201,0))</f>
        <v>1</v>
      </c>
      <c r="O1416" s="2" t="n">
        <f aca="false">INDEX(Summary!$K$2:$K$201,MATCH($B1416,Summary!$A$2:$A$201,0))</f>
        <v>9.01</v>
      </c>
      <c r="P1416" s="3" t="n">
        <f aca="false">INDEX(Summary!$L$2:$L$201,MATCH($B1416,Summary!$A$2:$A$201,0))</f>
        <v>4</v>
      </c>
      <c r="Q1416" s="3" t="n">
        <f aca="false">INDEX(Summary!$M$2:$M$201,MATCH($B1416,Summary!$A$2:$A$201,0))</f>
        <v>2</v>
      </c>
      <c r="R1416" s="2" t="n">
        <f aca="false">INDEX(Summary!$N$2:$N$201,MATCH($B1416,Summary!$A$2:$A$201,0))</f>
        <v>10.63</v>
      </c>
      <c r="S1416" s="3" t="n">
        <f aca="false">INDEX(Summary!$O$2:$O$201,MATCH($B1416,Summary!$A$2:$A$201,0))</f>
        <v>6</v>
      </c>
      <c r="T1416" s="3" t="n">
        <f aca="false">INDEX(Summary!$P$2:$P$201,MATCH($B1416,Summary!$A$2:$A$201,0))</f>
        <v>3</v>
      </c>
      <c r="U1416" s="2" t="n">
        <f aca="false">INDEX(Summary!$Q$2:$Q$201,MATCH($B1416,Summary!$A$2:$A$201,0))</f>
        <v>14.98</v>
      </c>
      <c r="V1416" s="2" t="n">
        <f aca="false">INDEX(Summary!$R$2:$R$201,MATCH($B1416,Summary!$A$2:$A$201,0))</f>
        <v>26.65</v>
      </c>
      <c r="W1416" s="0" t="str">
        <f aca="false">INDEX(Summary!$S$2:$S$201,MATCH($B1416,Summary!$A$2:$A$201,0))</f>
        <v>Silver</v>
      </c>
      <c r="X1416" s="2" t="n">
        <f aca="false">INDEX(Summary!$T$2:$T$201,MATCH($B1416,Summary!$A$2:$A$201,0))</f>
        <v>65</v>
      </c>
      <c r="Y1416" s="0" t="str">
        <f aca="false">INDEX('Reward Model'!$E$18:$E$37,MATCH($E1416,'Reward Model'!$A$18:$A$37,0))</f>
        <v>Medium</v>
      </c>
      <c r="Z1416" s="4" t="n">
        <f aca="false">ROUND(MIN(1,MAX('Reward Model'!$B$2,INDEX('Reward Model'!$C$12:$C$14,MATCH($K1416,'Reward Model'!$A$12:$A$14,0))/$J1416)),3)</f>
        <v>1</v>
      </c>
      <c r="AA1416" s="2" t="n">
        <f aca="false">IF($I1416="Correct",ROUND(INDEX('Reward Model'!$B$12:$B$14,MATCH($K1416,'Reward Model'!$A$12:$A$14,0))*Z1416,2),0)</f>
        <v>2</v>
      </c>
      <c r="AB1416" s="2" t="n">
        <f aca="false">IF($I1416="Correct",ROUND(INDEX('Reward Model'!$B$12:$B$14,MATCH($Y1416,'Reward Model'!$A$12:$A$14,0))*Z1416,2),0)</f>
        <v>2</v>
      </c>
    </row>
    <row r="1417" customFormat="false" ht="15" hidden="false" customHeight="false" outlineLevel="0" collapsed="false">
      <c r="A1417" s="0" t="s">
        <v>269</v>
      </c>
      <c r="B1417" s="0" t="s">
        <v>270</v>
      </c>
      <c r="C1417" s="0" t="s">
        <v>30</v>
      </c>
      <c r="D1417" s="0" t="s">
        <v>189</v>
      </c>
      <c r="E1417" s="0" t="n">
        <v>16</v>
      </c>
      <c r="F1417" s="0" t="s">
        <v>71</v>
      </c>
      <c r="G1417" s="0" t="s">
        <v>72</v>
      </c>
      <c r="H1417" s="0" t="s">
        <v>72</v>
      </c>
      <c r="I1417" s="0" t="s">
        <v>34</v>
      </c>
      <c r="J1417" s="0" t="n">
        <v>2.17</v>
      </c>
      <c r="K1417" s="0" t="s">
        <v>73</v>
      </c>
      <c r="L1417" s="0" t="n">
        <f aca="false">INDEX(Summary!$F$2:$F$201,MATCH($B1417,Summary!$A$2:$A$201,0))</f>
        <v>20</v>
      </c>
      <c r="M1417" s="0" t="n">
        <f aca="false">INDEX(Summary!$I$2:$I$201,MATCH($B1417,Summary!$A$2:$A$201,0))</f>
        <v>4</v>
      </c>
      <c r="N1417" s="0" t="n">
        <f aca="false">INDEX(Summary!$J$2:$J$201,MATCH($B1417,Summary!$A$2:$A$201,0))</f>
        <v>1</v>
      </c>
      <c r="O1417" s="2" t="n">
        <f aca="false">INDEX(Summary!$K$2:$K$201,MATCH($B1417,Summary!$A$2:$A$201,0))</f>
        <v>9.01</v>
      </c>
      <c r="P1417" s="3" t="n">
        <f aca="false">INDEX(Summary!$L$2:$L$201,MATCH($B1417,Summary!$A$2:$A$201,0))</f>
        <v>4</v>
      </c>
      <c r="Q1417" s="3" t="n">
        <f aca="false">INDEX(Summary!$M$2:$M$201,MATCH($B1417,Summary!$A$2:$A$201,0))</f>
        <v>2</v>
      </c>
      <c r="R1417" s="2" t="n">
        <f aca="false">INDEX(Summary!$N$2:$N$201,MATCH($B1417,Summary!$A$2:$A$201,0))</f>
        <v>10.63</v>
      </c>
      <c r="S1417" s="3" t="n">
        <f aca="false">INDEX(Summary!$O$2:$O$201,MATCH($B1417,Summary!$A$2:$A$201,0))</f>
        <v>6</v>
      </c>
      <c r="T1417" s="3" t="n">
        <f aca="false">INDEX(Summary!$P$2:$P$201,MATCH($B1417,Summary!$A$2:$A$201,0))</f>
        <v>3</v>
      </c>
      <c r="U1417" s="2" t="n">
        <f aca="false">INDEX(Summary!$Q$2:$Q$201,MATCH($B1417,Summary!$A$2:$A$201,0))</f>
        <v>14.98</v>
      </c>
      <c r="V1417" s="2" t="n">
        <f aca="false">INDEX(Summary!$R$2:$R$201,MATCH($B1417,Summary!$A$2:$A$201,0))</f>
        <v>26.65</v>
      </c>
      <c r="W1417" s="0" t="str">
        <f aca="false">INDEX(Summary!$S$2:$S$201,MATCH($B1417,Summary!$A$2:$A$201,0))</f>
        <v>Silver</v>
      </c>
      <c r="X1417" s="2" t="n">
        <f aca="false">INDEX(Summary!$T$2:$T$201,MATCH($B1417,Summary!$A$2:$A$201,0))</f>
        <v>65</v>
      </c>
      <c r="Y1417" s="0" t="str">
        <f aca="false">INDEX('Reward Model'!$E$18:$E$37,MATCH($E1417,'Reward Model'!$A$18:$A$37,0))</f>
        <v>High</v>
      </c>
      <c r="Z1417" s="4" t="n">
        <f aca="false">ROUND(MIN(1,MAX('Reward Model'!$B$2,INDEX('Reward Model'!$C$12:$C$14,MATCH($K1417,'Reward Model'!$A$12:$A$14,0))/$J1417)),3)</f>
        <v>0.922</v>
      </c>
      <c r="AA1417" s="2" t="n">
        <f aca="false">IF($I1417="Correct",ROUND(INDEX('Reward Model'!$B$12:$B$14,MATCH($K1417,'Reward Model'!$A$12:$A$14,0))*Z1417,2),0)</f>
        <v>2.77</v>
      </c>
      <c r="AB1417" s="2" t="n">
        <f aca="false">IF($I1417="Correct",ROUND(INDEX('Reward Model'!$B$12:$B$14,MATCH($Y1417,'Reward Model'!$A$12:$A$14,0))*Z1417,2),0)</f>
        <v>2.77</v>
      </c>
    </row>
    <row r="1418" customFormat="false" ht="15" hidden="false" customHeight="false" outlineLevel="0" collapsed="false">
      <c r="A1418" s="0" t="s">
        <v>269</v>
      </c>
      <c r="B1418" s="0" t="s">
        <v>270</v>
      </c>
      <c r="C1418" s="0" t="s">
        <v>30</v>
      </c>
      <c r="D1418" s="0" t="s">
        <v>189</v>
      </c>
      <c r="E1418" s="0" t="n">
        <v>17</v>
      </c>
      <c r="F1418" s="0" t="s">
        <v>74</v>
      </c>
      <c r="G1418" s="0" t="s">
        <v>105</v>
      </c>
      <c r="H1418" s="0" t="s">
        <v>75</v>
      </c>
      <c r="I1418" s="0" t="s">
        <v>39</v>
      </c>
      <c r="J1418" s="0" t="n">
        <v>2.43</v>
      </c>
      <c r="K1418" s="0" t="s">
        <v>73</v>
      </c>
      <c r="L1418" s="0" t="n">
        <f aca="false">INDEX(Summary!$F$2:$F$201,MATCH($B1418,Summary!$A$2:$A$201,0))</f>
        <v>20</v>
      </c>
      <c r="M1418" s="0" t="n">
        <f aca="false">INDEX(Summary!$I$2:$I$201,MATCH($B1418,Summary!$A$2:$A$201,0))</f>
        <v>4</v>
      </c>
      <c r="N1418" s="0" t="n">
        <f aca="false">INDEX(Summary!$J$2:$J$201,MATCH($B1418,Summary!$A$2:$A$201,0))</f>
        <v>1</v>
      </c>
      <c r="O1418" s="2" t="n">
        <f aca="false">INDEX(Summary!$K$2:$K$201,MATCH($B1418,Summary!$A$2:$A$201,0))</f>
        <v>9.01</v>
      </c>
      <c r="P1418" s="3" t="n">
        <f aca="false">INDEX(Summary!$L$2:$L$201,MATCH($B1418,Summary!$A$2:$A$201,0))</f>
        <v>4</v>
      </c>
      <c r="Q1418" s="3" t="n">
        <f aca="false">INDEX(Summary!$M$2:$M$201,MATCH($B1418,Summary!$A$2:$A$201,0))</f>
        <v>2</v>
      </c>
      <c r="R1418" s="2" t="n">
        <f aca="false">INDEX(Summary!$N$2:$N$201,MATCH($B1418,Summary!$A$2:$A$201,0))</f>
        <v>10.63</v>
      </c>
      <c r="S1418" s="3" t="n">
        <f aca="false">INDEX(Summary!$O$2:$O$201,MATCH($B1418,Summary!$A$2:$A$201,0))</f>
        <v>6</v>
      </c>
      <c r="T1418" s="3" t="n">
        <f aca="false">INDEX(Summary!$P$2:$P$201,MATCH($B1418,Summary!$A$2:$A$201,0))</f>
        <v>3</v>
      </c>
      <c r="U1418" s="2" t="n">
        <f aca="false">INDEX(Summary!$Q$2:$Q$201,MATCH($B1418,Summary!$A$2:$A$201,0))</f>
        <v>14.98</v>
      </c>
      <c r="V1418" s="2" t="n">
        <f aca="false">INDEX(Summary!$R$2:$R$201,MATCH($B1418,Summary!$A$2:$A$201,0))</f>
        <v>26.65</v>
      </c>
      <c r="W1418" s="0" t="str">
        <f aca="false">INDEX(Summary!$S$2:$S$201,MATCH($B1418,Summary!$A$2:$A$201,0))</f>
        <v>Silver</v>
      </c>
      <c r="X1418" s="2" t="n">
        <f aca="false">INDEX(Summary!$T$2:$T$201,MATCH($B1418,Summary!$A$2:$A$201,0))</f>
        <v>65</v>
      </c>
      <c r="Y1418" s="0" t="str">
        <f aca="false">INDEX('Reward Model'!$E$18:$E$37,MATCH($E1418,'Reward Model'!$A$18:$A$37,0))</f>
        <v>High</v>
      </c>
      <c r="Z1418" s="4" t="n">
        <f aca="false">ROUND(MIN(1,MAX('Reward Model'!$B$2,INDEX('Reward Model'!$C$12:$C$14,MATCH($K1418,'Reward Model'!$A$12:$A$14,0))/$J1418)),3)</f>
        <v>0.823</v>
      </c>
      <c r="AA1418" s="2" t="n">
        <f aca="false">IF($I1418="Correct",ROUND(INDEX('Reward Model'!$B$12:$B$14,MATCH($K1418,'Reward Model'!$A$12:$A$14,0))*Z1418,2),0)</f>
        <v>0</v>
      </c>
      <c r="AB1418" s="2" t="n">
        <f aca="false">IF($I1418="Correct",ROUND(INDEX('Reward Model'!$B$12:$B$14,MATCH($Y1418,'Reward Model'!$A$12:$A$14,0))*Z1418,2),0)</f>
        <v>0</v>
      </c>
    </row>
    <row r="1419" customFormat="false" ht="15" hidden="false" customHeight="false" outlineLevel="0" collapsed="false">
      <c r="A1419" s="0" t="s">
        <v>269</v>
      </c>
      <c r="B1419" s="0" t="s">
        <v>270</v>
      </c>
      <c r="C1419" s="0" t="s">
        <v>30</v>
      </c>
      <c r="D1419" s="0" t="s">
        <v>189</v>
      </c>
      <c r="E1419" s="0" t="n">
        <v>18</v>
      </c>
      <c r="F1419" s="0" t="s">
        <v>76</v>
      </c>
      <c r="G1419" s="0" t="s">
        <v>77</v>
      </c>
      <c r="H1419" s="0" t="s">
        <v>77</v>
      </c>
      <c r="I1419" s="0" t="s">
        <v>34</v>
      </c>
      <c r="J1419" s="0" t="n">
        <v>1.65</v>
      </c>
      <c r="K1419" s="0" t="s">
        <v>73</v>
      </c>
      <c r="L1419" s="0" t="n">
        <f aca="false">INDEX(Summary!$F$2:$F$201,MATCH($B1419,Summary!$A$2:$A$201,0))</f>
        <v>20</v>
      </c>
      <c r="M1419" s="0" t="n">
        <f aca="false">INDEX(Summary!$I$2:$I$201,MATCH($B1419,Summary!$A$2:$A$201,0))</f>
        <v>4</v>
      </c>
      <c r="N1419" s="0" t="n">
        <f aca="false">INDEX(Summary!$J$2:$J$201,MATCH($B1419,Summary!$A$2:$A$201,0))</f>
        <v>1</v>
      </c>
      <c r="O1419" s="2" t="n">
        <f aca="false">INDEX(Summary!$K$2:$K$201,MATCH($B1419,Summary!$A$2:$A$201,0))</f>
        <v>9.01</v>
      </c>
      <c r="P1419" s="3" t="n">
        <f aca="false">INDEX(Summary!$L$2:$L$201,MATCH($B1419,Summary!$A$2:$A$201,0))</f>
        <v>4</v>
      </c>
      <c r="Q1419" s="3" t="n">
        <f aca="false">INDEX(Summary!$M$2:$M$201,MATCH($B1419,Summary!$A$2:$A$201,0))</f>
        <v>2</v>
      </c>
      <c r="R1419" s="2" t="n">
        <f aca="false">INDEX(Summary!$N$2:$N$201,MATCH($B1419,Summary!$A$2:$A$201,0))</f>
        <v>10.63</v>
      </c>
      <c r="S1419" s="3" t="n">
        <f aca="false">INDEX(Summary!$O$2:$O$201,MATCH($B1419,Summary!$A$2:$A$201,0))</f>
        <v>6</v>
      </c>
      <c r="T1419" s="3" t="n">
        <f aca="false">INDEX(Summary!$P$2:$P$201,MATCH($B1419,Summary!$A$2:$A$201,0))</f>
        <v>3</v>
      </c>
      <c r="U1419" s="2" t="n">
        <f aca="false">INDEX(Summary!$Q$2:$Q$201,MATCH($B1419,Summary!$A$2:$A$201,0))</f>
        <v>14.98</v>
      </c>
      <c r="V1419" s="2" t="n">
        <f aca="false">INDEX(Summary!$R$2:$R$201,MATCH($B1419,Summary!$A$2:$A$201,0))</f>
        <v>26.65</v>
      </c>
      <c r="W1419" s="0" t="str">
        <f aca="false">INDEX(Summary!$S$2:$S$201,MATCH($B1419,Summary!$A$2:$A$201,0))</f>
        <v>Silver</v>
      </c>
      <c r="X1419" s="2" t="n">
        <f aca="false">INDEX(Summary!$T$2:$T$201,MATCH($B1419,Summary!$A$2:$A$201,0))</f>
        <v>65</v>
      </c>
      <c r="Y1419" s="0" t="str">
        <f aca="false">INDEX('Reward Model'!$E$18:$E$37,MATCH($E1419,'Reward Model'!$A$18:$A$37,0))</f>
        <v>High</v>
      </c>
      <c r="Z1419" s="4" t="n">
        <f aca="false">ROUND(MIN(1,MAX('Reward Model'!$B$2,INDEX('Reward Model'!$C$12:$C$14,MATCH($K1419,'Reward Model'!$A$12:$A$14,0))/$J1419)),3)</f>
        <v>1</v>
      </c>
      <c r="AA1419" s="2" t="n">
        <f aca="false">IF($I1419="Correct",ROUND(INDEX('Reward Model'!$B$12:$B$14,MATCH($K1419,'Reward Model'!$A$12:$A$14,0))*Z1419,2),0)</f>
        <v>3</v>
      </c>
      <c r="AB1419" s="2" t="n">
        <f aca="false">IF($I1419="Correct",ROUND(INDEX('Reward Model'!$B$12:$B$14,MATCH($Y1419,'Reward Model'!$A$12:$A$14,0))*Z1419,2),0)</f>
        <v>3</v>
      </c>
    </row>
    <row r="1420" customFormat="false" ht="15" hidden="false" customHeight="false" outlineLevel="0" collapsed="false">
      <c r="A1420" s="0" t="s">
        <v>269</v>
      </c>
      <c r="B1420" s="0" t="s">
        <v>270</v>
      </c>
      <c r="C1420" s="0" t="s">
        <v>30</v>
      </c>
      <c r="D1420" s="0" t="s">
        <v>189</v>
      </c>
      <c r="E1420" s="0" t="n">
        <v>19</v>
      </c>
      <c r="F1420" s="0" t="s">
        <v>78</v>
      </c>
      <c r="G1420" s="0" t="s">
        <v>80</v>
      </c>
      <c r="H1420" s="0" t="s">
        <v>80</v>
      </c>
      <c r="I1420" s="0" t="s">
        <v>34</v>
      </c>
      <c r="J1420" s="0" t="n">
        <v>1.2</v>
      </c>
      <c r="K1420" s="0" t="s">
        <v>73</v>
      </c>
      <c r="L1420" s="0" t="n">
        <f aca="false">INDEX(Summary!$F$2:$F$201,MATCH($B1420,Summary!$A$2:$A$201,0))</f>
        <v>20</v>
      </c>
      <c r="M1420" s="0" t="n">
        <f aca="false">INDEX(Summary!$I$2:$I$201,MATCH($B1420,Summary!$A$2:$A$201,0))</f>
        <v>4</v>
      </c>
      <c r="N1420" s="0" t="n">
        <f aca="false">INDEX(Summary!$J$2:$J$201,MATCH($B1420,Summary!$A$2:$A$201,0))</f>
        <v>1</v>
      </c>
      <c r="O1420" s="2" t="n">
        <f aca="false">INDEX(Summary!$K$2:$K$201,MATCH($B1420,Summary!$A$2:$A$201,0))</f>
        <v>9.01</v>
      </c>
      <c r="P1420" s="3" t="n">
        <f aca="false">INDEX(Summary!$L$2:$L$201,MATCH($B1420,Summary!$A$2:$A$201,0))</f>
        <v>4</v>
      </c>
      <c r="Q1420" s="3" t="n">
        <f aca="false">INDEX(Summary!$M$2:$M$201,MATCH($B1420,Summary!$A$2:$A$201,0))</f>
        <v>2</v>
      </c>
      <c r="R1420" s="2" t="n">
        <f aca="false">INDEX(Summary!$N$2:$N$201,MATCH($B1420,Summary!$A$2:$A$201,0))</f>
        <v>10.63</v>
      </c>
      <c r="S1420" s="3" t="n">
        <f aca="false">INDEX(Summary!$O$2:$O$201,MATCH($B1420,Summary!$A$2:$A$201,0))</f>
        <v>6</v>
      </c>
      <c r="T1420" s="3" t="n">
        <f aca="false">INDEX(Summary!$P$2:$P$201,MATCH($B1420,Summary!$A$2:$A$201,0))</f>
        <v>3</v>
      </c>
      <c r="U1420" s="2" t="n">
        <f aca="false">INDEX(Summary!$Q$2:$Q$201,MATCH($B1420,Summary!$A$2:$A$201,0))</f>
        <v>14.98</v>
      </c>
      <c r="V1420" s="2" t="n">
        <f aca="false">INDEX(Summary!$R$2:$R$201,MATCH($B1420,Summary!$A$2:$A$201,0))</f>
        <v>26.65</v>
      </c>
      <c r="W1420" s="0" t="str">
        <f aca="false">INDEX(Summary!$S$2:$S$201,MATCH($B1420,Summary!$A$2:$A$201,0))</f>
        <v>Silver</v>
      </c>
      <c r="X1420" s="2" t="n">
        <f aca="false">INDEX(Summary!$T$2:$T$201,MATCH($B1420,Summary!$A$2:$A$201,0))</f>
        <v>65</v>
      </c>
      <c r="Y1420" s="0" t="str">
        <f aca="false">INDEX('Reward Model'!$E$18:$E$37,MATCH($E1420,'Reward Model'!$A$18:$A$37,0))</f>
        <v>High</v>
      </c>
      <c r="Z1420" s="4" t="n">
        <f aca="false">ROUND(MIN(1,MAX('Reward Model'!$B$2,INDEX('Reward Model'!$C$12:$C$14,MATCH($K1420,'Reward Model'!$A$12:$A$14,0))/$J1420)),3)</f>
        <v>1</v>
      </c>
      <c r="AA1420" s="2" t="n">
        <f aca="false">IF($I1420="Correct",ROUND(INDEX('Reward Model'!$B$12:$B$14,MATCH($K1420,'Reward Model'!$A$12:$A$14,0))*Z1420,2),0)</f>
        <v>3</v>
      </c>
      <c r="AB1420" s="2" t="n">
        <f aca="false">IF($I1420="Correct",ROUND(INDEX('Reward Model'!$B$12:$B$14,MATCH($Y1420,'Reward Model'!$A$12:$A$14,0))*Z1420,2),0)</f>
        <v>3</v>
      </c>
    </row>
    <row r="1421" customFormat="false" ht="15" hidden="false" customHeight="false" outlineLevel="0" collapsed="false">
      <c r="A1421" s="0" t="s">
        <v>269</v>
      </c>
      <c r="B1421" s="0" t="s">
        <v>270</v>
      </c>
      <c r="C1421" s="0" t="s">
        <v>30</v>
      </c>
      <c r="D1421" s="0" t="s">
        <v>189</v>
      </c>
      <c r="E1421" s="0" t="n">
        <v>20</v>
      </c>
      <c r="F1421" s="0" t="s">
        <v>81</v>
      </c>
      <c r="G1421" s="0" t="s">
        <v>83</v>
      </c>
      <c r="H1421" s="0" t="s">
        <v>83</v>
      </c>
      <c r="I1421" s="0" t="s">
        <v>34</v>
      </c>
      <c r="J1421" s="0" t="n">
        <v>1.56</v>
      </c>
      <c r="K1421" s="0" t="s">
        <v>73</v>
      </c>
      <c r="L1421" s="0" t="n">
        <f aca="false">INDEX(Summary!$F$2:$F$201,MATCH($B1421,Summary!$A$2:$A$201,0))</f>
        <v>20</v>
      </c>
      <c r="M1421" s="0" t="n">
        <f aca="false">INDEX(Summary!$I$2:$I$201,MATCH($B1421,Summary!$A$2:$A$201,0))</f>
        <v>4</v>
      </c>
      <c r="N1421" s="0" t="n">
        <f aca="false">INDEX(Summary!$J$2:$J$201,MATCH($B1421,Summary!$A$2:$A$201,0))</f>
        <v>1</v>
      </c>
      <c r="O1421" s="2" t="n">
        <f aca="false">INDEX(Summary!$K$2:$K$201,MATCH($B1421,Summary!$A$2:$A$201,0))</f>
        <v>9.01</v>
      </c>
      <c r="P1421" s="3" t="n">
        <f aca="false">INDEX(Summary!$L$2:$L$201,MATCH($B1421,Summary!$A$2:$A$201,0))</f>
        <v>4</v>
      </c>
      <c r="Q1421" s="3" t="n">
        <f aca="false">INDEX(Summary!$M$2:$M$201,MATCH($B1421,Summary!$A$2:$A$201,0))</f>
        <v>2</v>
      </c>
      <c r="R1421" s="2" t="n">
        <f aca="false">INDEX(Summary!$N$2:$N$201,MATCH($B1421,Summary!$A$2:$A$201,0))</f>
        <v>10.63</v>
      </c>
      <c r="S1421" s="3" t="n">
        <f aca="false">INDEX(Summary!$O$2:$O$201,MATCH($B1421,Summary!$A$2:$A$201,0))</f>
        <v>6</v>
      </c>
      <c r="T1421" s="3" t="n">
        <f aca="false">INDEX(Summary!$P$2:$P$201,MATCH($B1421,Summary!$A$2:$A$201,0))</f>
        <v>3</v>
      </c>
      <c r="U1421" s="2" t="n">
        <f aca="false">INDEX(Summary!$Q$2:$Q$201,MATCH($B1421,Summary!$A$2:$A$201,0))</f>
        <v>14.98</v>
      </c>
      <c r="V1421" s="2" t="n">
        <f aca="false">INDEX(Summary!$R$2:$R$201,MATCH($B1421,Summary!$A$2:$A$201,0))</f>
        <v>26.65</v>
      </c>
      <c r="W1421" s="0" t="str">
        <f aca="false">INDEX(Summary!$S$2:$S$201,MATCH($B1421,Summary!$A$2:$A$201,0))</f>
        <v>Silver</v>
      </c>
      <c r="X1421" s="2" t="n">
        <f aca="false">INDEX(Summary!$T$2:$T$201,MATCH($B1421,Summary!$A$2:$A$201,0))</f>
        <v>65</v>
      </c>
      <c r="Y1421" s="0" t="str">
        <f aca="false">INDEX('Reward Model'!$E$18:$E$37,MATCH($E1421,'Reward Model'!$A$18:$A$37,0))</f>
        <v>High</v>
      </c>
      <c r="Z1421" s="4" t="n">
        <f aca="false">ROUND(MIN(1,MAX('Reward Model'!$B$2,INDEX('Reward Model'!$C$12:$C$14,MATCH($K1421,'Reward Model'!$A$12:$A$14,0))/$J1421)),3)</f>
        <v>1</v>
      </c>
      <c r="AA1421" s="2" t="n">
        <f aca="false">IF($I1421="Correct",ROUND(INDEX('Reward Model'!$B$12:$B$14,MATCH($K1421,'Reward Model'!$A$12:$A$14,0))*Z1421,2),0)</f>
        <v>3</v>
      </c>
      <c r="AB1421" s="2" t="n">
        <f aca="false">IF($I1421="Correct",ROUND(INDEX('Reward Model'!$B$12:$B$14,MATCH($Y1421,'Reward Model'!$A$12:$A$14,0))*Z1421,2),0)</f>
        <v>3</v>
      </c>
    </row>
    <row r="1422" customFormat="false" ht="15" hidden="false" customHeight="false" outlineLevel="0" collapsed="false">
      <c r="A1422" s="0" t="s">
        <v>271</v>
      </c>
      <c r="B1422" s="0" t="s">
        <v>272</v>
      </c>
      <c r="C1422" s="0" t="s">
        <v>30</v>
      </c>
      <c r="D1422" s="0" t="s">
        <v>189</v>
      </c>
      <c r="E1422" s="0" t="n">
        <v>1</v>
      </c>
      <c r="F1422" s="0" t="s">
        <v>32</v>
      </c>
      <c r="G1422" s="0" t="s">
        <v>33</v>
      </c>
      <c r="H1422" s="0" t="s">
        <v>33</v>
      </c>
      <c r="I1422" s="0" t="s">
        <v>34</v>
      </c>
      <c r="J1422" s="0" t="n">
        <v>1.13</v>
      </c>
      <c r="K1422" s="0" t="s">
        <v>35</v>
      </c>
      <c r="L1422" s="0" t="n">
        <f aca="false">INDEX(Summary!$F$2:$F$201,MATCH($B1422,Summary!$A$2:$A$201,0))</f>
        <v>20</v>
      </c>
      <c r="M1422" s="0" t="n">
        <f aca="false">INDEX(Summary!$I$2:$I$201,MATCH($B1422,Summary!$A$2:$A$201,0))</f>
        <v>2</v>
      </c>
      <c r="N1422" s="0" t="n">
        <f aca="false">INDEX(Summary!$J$2:$J$201,MATCH($B1422,Summary!$A$2:$A$201,0))</f>
        <v>3</v>
      </c>
      <c r="O1422" s="2" t="n">
        <f aca="false">INDEX(Summary!$K$2:$K$201,MATCH($B1422,Summary!$A$2:$A$201,0))</f>
        <v>9.66</v>
      </c>
      <c r="P1422" s="3" t="n">
        <f aca="false">INDEX(Summary!$L$2:$L$201,MATCH($B1422,Summary!$A$2:$A$201,0))</f>
        <v>2</v>
      </c>
      <c r="Q1422" s="3" t="n">
        <f aca="false">INDEX(Summary!$M$2:$M$201,MATCH($B1422,Summary!$A$2:$A$201,0))</f>
        <v>4</v>
      </c>
      <c r="R1422" s="2" t="n">
        <f aca="false">INDEX(Summary!$N$2:$N$201,MATCH($B1422,Summary!$A$2:$A$201,0))</f>
        <v>10.32</v>
      </c>
      <c r="S1422" s="3" t="n">
        <f aca="false">INDEX(Summary!$O$2:$O$201,MATCH($B1422,Summary!$A$2:$A$201,0))</f>
        <v>7</v>
      </c>
      <c r="T1422" s="3" t="n">
        <f aca="false">INDEX(Summary!$P$2:$P$201,MATCH($B1422,Summary!$A$2:$A$201,0))</f>
        <v>2</v>
      </c>
      <c r="U1422" s="2" t="n">
        <f aca="false">INDEX(Summary!$Q$2:$Q$201,MATCH($B1422,Summary!$A$2:$A$201,0))</f>
        <v>12.26</v>
      </c>
      <c r="V1422" s="2" t="n">
        <f aca="false">INDEX(Summary!$R$2:$R$201,MATCH($B1422,Summary!$A$2:$A$201,0))</f>
        <v>20.33</v>
      </c>
      <c r="W1422" s="0" t="str">
        <f aca="false">INDEX(Summary!$S$2:$S$201,MATCH($B1422,Summary!$A$2:$A$201,0))</f>
        <v>Bronze</v>
      </c>
      <c r="X1422" s="2" t="n">
        <f aca="false">INDEX(Summary!$T$2:$T$201,MATCH($B1422,Summary!$A$2:$A$201,0))</f>
        <v>49.59</v>
      </c>
      <c r="Y1422" s="0" t="str">
        <f aca="false">INDEX('Reward Model'!$E$18:$E$37,MATCH($E1422,'Reward Model'!$A$18:$A$37,0))</f>
        <v>Medium</v>
      </c>
      <c r="Z1422" s="4" t="n">
        <f aca="false">ROUND(MIN(1,MAX('Reward Model'!$B$2,INDEX('Reward Model'!$C$12:$C$14,MATCH($K1422,'Reward Model'!$A$12:$A$14,0))/$J1422)),3)</f>
        <v>1</v>
      </c>
      <c r="AA1422" s="2" t="n">
        <f aca="false">IF($I1422="Correct",ROUND(INDEX('Reward Model'!$B$12:$B$14,MATCH($K1422,'Reward Model'!$A$12:$A$14,0))*Z1422,2),0)</f>
        <v>1</v>
      </c>
      <c r="AB1422" s="2" t="n">
        <f aca="false">IF($I1422="Correct",ROUND(INDEX('Reward Model'!$B$12:$B$14,MATCH($Y1422,'Reward Model'!$A$12:$A$14,0))*Z1422,2),0)</f>
        <v>2</v>
      </c>
    </row>
    <row r="1423" customFormat="false" ht="15" hidden="false" customHeight="false" outlineLevel="0" collapsed="false">
      <c r="A1423" s="0" t="s">
        <v>271</v>
      </c>
      <c r="B1423" s="0" t="s">
        <v>272</v>
      </c>
      <c r="C1423" s="0" t="s">
        <v>30</v>
      </c>
      <c r="D1423" s="0" t="s">
        <v>189</v>
      </c>
      <c r="E1423" s="0" t="n">
        <v>2</v>
      </c>
      <c r="F1423" s="0" t="s">
        <v>36</v>
      </c>
      <c r="G1423" s="0" t="s">
        <v>38</v>
      </c>
      <c r="H1423" s="0" t="s">
        <v>38</v>
      </c>
      <c r="I1423" s="0" t="s">
        <v>34</v>
      </c>
      <c r="J1423" s="0" t="n">
        <v>1.71</v>
      </c>
      <c r="K1423" s="0" t="s">
        <v>35</v>
      </c>
      <c r="L1423" s="0" t="n">
        <f aca="false">INDEX(Summary!$F$2:$F$201,MATCH($B1423,Summary!$A$2:$A$201,0))</f>
        <v>20</v>
      </c>
      <c r="M1423" s="0" t="n">
        <f aca="false">INDEX(Summary!$I$2:$I$201,MATCH($B1423,Summary!$A$2:$A$201,0))</f>
        <v>2</v>
      </c>
      <c r="N1423" s="0" t="n">
        <f aca="false">INDEX(Summary!$J$2:$J$201,MATCH($B1423,Summary!$A$2:$A$201,0))</f>
        <v>3</v>
      </c>
      <c r="O1423" s="2" t="n">
        <f aca="false">INDEX(Summary!$K$2:$K$201,MATCH($B1423,Summary!$A$2:$A$201,0))</f>
        <v>9.66</v>
      </c>
      <c r="P1423" s="3" t="n">
        <f aca="false">INDEX(Summary!$L$2:$L$201,MATCH($B1423,Summary!$A$2:$A$201,0))</f>
        <v>2</v>
      </c>
      <c r="Q1423" s="3" t="n">
        <f aca="false">INDEX(Summary!$M$2:$M$201,MATCH($B1423,Summary!$A$2:$A$201,0))</f>
        <v>4</v>
      </c>
      <c r="R1423" s="2" t="n">
        <f aca="false">INDEX(Summary!$N$2:$N$201,MATCH($B1423,Summary!$A$2:$A$201,0))</f>
        <v>10.32</v>
      </c>
      <c r="S1423" s="3" t="n">
        <f aca="false">INDEX(Summary!$O$2:$O$201,MATCH($B1423,Summary!$A$2:$A$201,0))</f>
        <v>7</v>
      </c>
      <c r="T1423" s="3" t="n">
        <f aca="false">INDEX(Summary!$P$2:$P$201,MATCH($B1423,Summary!$A$2:$A$201,0))</f>
        <v>2</v>
      </c>
      <c r="U1423" s="2" t="n">
        <f aca="false">INDEX(Summary!$Q$2:$Q$201,MATCH($B1423,Summary!$A$2:$A$201,0))</f>
        <v>12.26</v>
      </c>
      <c r="V1423" s="2" t="n">
        <f aca="false">INDEX(Summary!$R$2:$R$201,MATCH($B1423,Summary!$A$2:$A$201,0))</f>
        <v>20.33</v>
      </c>
      <c r="W1423" s="0" t="str">
        <f aca="false">INDEX(Summary!$S$2:$S$201,MATCH($B1423,Summary!$A$2:$A$201,0))</f>
        <v>Bronze</v>
      </c>
      <c r="X1423" s="2" t="n">
        <f aca="false">INDEX(Summary!$T$2:$T$201,MATCH($B1423,Summary!$A$2:$A$201,0))</f>
        <v>49.59</v>
      </c>
      <c r="Y1423" s="0" t="str">
        <f aca="false">INDEX('Reward Model'!$E$18:$E$37,MATCH($E1423,'Reward Model'!$A$18:$A$37,0))</f>
        <v>Low</v>
      </c>
      <c r="Z1423" s="4" t="n">
        <f aca="false">ROUND(MIN(1,MAX('Reward Model'!$B$2,INDEX('Reward Model'!$C$12:$C$14,MATCH($K1423,'Reward Model'!$A$12:$A$14,0))/$J1423)),3)</f>
        <v>0.877</v>
      </c>
      <c r="AA1423" s="2" t="n">
        <f aca="false">IF($I1423="Correct",ROUND(INDEX('Reward Model'!$B$12:$B$14,MATCH($K1423,'Reward Model'!$A$12:$A$14,0))*Z1423,2),0)</f>
        <v>0.88</v>
      </c>
      <c r="AB1423" s="2" t="n">
        <f aca="false">IF($I1423="Correct",ROUND(INDEX('Reward Model'!$B$12:$B$14,MATCH($Y1423,'Reward Model'!$A$12:$A$14,0))*Z1423,2),0)</f>
        <v>0.88</v>
      </c>
    </row>
    <row r="1424" customFormat="false" ht="15" hidden="false" customHeight="false" outlineLevel="0" collapsed="false">
      <c r="A1424" s="0" t="s">
        <v>271</v>
      </c>
      <c r="B1424" s="0" t="s">
        <v>272</v>
      </c>
      <c r="C1424" s="0" t="s">
        <v>30</v>
      </c>
      <c r="D1424" s="0" t="s">
        <v>189</v>
      </c>
      <c r="E1424" s="0" t="n">
        <v>3</v>
      </c>
      <c r="F1424" s="0" t="s">
        <v>40</v>
      </c>
      <c r="G1424" s="0" t="s">
        <v>42</v>
      </c>
      <c r="H1424" s="0" t="s">
        <v>42</v>
      </c>
      <c r="I1424" s="0" t="s">
        <v>34</v>
      </c>
      <c r="J1424" s="0" t="n">
        <v>1.08</v>
      </c>
      <c r="K1424" s="0" t="s">
        <v>35</v>
      </c>
      <c r="L1424" s="0" t="n">
        <f aca="false">INDEX(Summary!$F$2:$F$201,MATCH($B1424,Summary!$A$2:$A$201,0))</f>
        <v>20</v>
      </c>
      <c r="M1424" s="0" t="n">
        <f aca="false">INDEX(Summary!$I$2:$I$201,MATCH($B1424,Summary!$A$2:$A$201,0))</f>
        <v>2</v>
      </c>
      <c r="N1424" s="0" t="n">
        <f aca="false">INDEX(Summary!$J$2:$J$201,MATCH($B1424,Summary!$A$2:$A$201,0))</f>
        <v>3</v>
      </c>
      <c r="O1424" s="2" t="n">
        <f aca="false">INDEX(Summary!$K$2:$K$201,MATCH($B1424,Summary!$A$2:$A$201,0))</f>
        <v>9.66</v>
      </c>
      <c r="P1424" s="3" t="n">
        <f aca="false">INDEX(Summary!$L$2:$L$201,MATCH($B1424,Summary!$A$2:$A$201,0))</f>
        <v>2</v>
      </c>
      <c r="Q1424" s="3" t="n">
        <f aca="false">INDEX(Summary!$M$2:$M$201,MATCH($B1424,Summary!$A$2:$A$201,0))</f>
        <v>4</v>
      </c>
      <c r="R1424" s="2" t="n">
        <f aca="false">INDEX(Summary!$N$2:$N$201,MATCH($B1424,Summary!$A$2:$A$201,0))</f>
        <v>10.32</v>
      </c>
      <c r="S1424" s="3" t="n">
        <f aca="false">INDEX(Summary!$O$2:$O$201,MATCH($B1424,Summary!$A$2:$A$201,0))</f>
        <v>7</v>
      </c>
      <c r="T1424" s="3" t="n">
        <f aca="false">INDEX(Summary!$P$2:$P$201,MATCH($B1424,Summary!$A$2:$A$201,0))</f>
        <v>2</v>
      </c>
      <c r="U1424" s="2" t="n">
        <f aca="false">INDEX(Summary!$Q$2:$Q$201,MATCH($B1424,Summary!$A$2:$A$201,0))</f>
        <v>12.26</v>
      </c>
      <c r="V1424" s="2" t="n">
        <f aca="false">INDEX(Summary!$R$2:$R$201,MATCH($B1424,Summary!$A$2:$A$201,0))</f>
        <v>20.33</v>
      </c>
      <c r="W1424" s="0" t="str">
        <f aca="false">INDEX(Summary!$S$2:$S$201,MATCH($B1424,Summary!$A$2:$A$201,0))</f>
        <v>Bronze</v>
      </c>
      <c r="X1424" s="2" t="n">
        <f aca="false">INDEX(Summary!$T$2:$T$201,MATCH($B1424,Summary!$A$2:$A$201,0))</f>
        <v>49.59</v>
      </c>
      <c r="Y1424" s="0" t="str">
        <f aca="false">INDEX('Reward Model'!$E$18:$E$37,MATCH($E1424,'Reward Model'!$A$18:$A$37,0))</f>
        <v>Medium</v>
      </c>
      <c r="Z1424" s="4" t="n">
        <f aca="false">ROUND(MIN(1,MAX('Reward Model'!$B$2,INDEX('Reward Model'!$C$12:$C$14,MATCH($K1424,'Reward Model'!$A$12:$A$14,0))/$J1424)),3)</f>
        <v>1</v>
      </c>
      <c r="AA1424" s="2" t="n">
        <f aca="false">IF($I1424="Correct",ROUND(INDEX('Reward Model'!$B$12:$B$14,MATCH($K1424,'Reward Model'!$A$12:$A$14,0))*Z1424,2),0)</f>
        <v>1</v>
      </c>
      <c r="AB1424" s="2" t="n">
        <f aca="false">IF($I1424="Correct",ROUND(INDEX('Reward Model'!$B$12:$B$14,MATCH($Y1424,'Reward Model'!$A$12:$A$14,0))*Z1424,2),0)</f>
        <v>2</v>
      </c>
    </row>
    <row r="1425" customFormat="false" ht="15" hidden="false" customHeight="false" outlineLevel="0" collapsed="false">
      <c r="A1425" s="0" t="s">
        <v>271</v>
      </c>
      <c r="B1425" s="0" t="s">
        <v>272</v>
      </c>
      <c r="C1425" s="0" t="s">
        <v>30</v>
      </c>
      <c r="D1425" s="0" t="s">
        <v>189</v>
      </c>
      <c r="E1425" s="0" t="n">
        <v>4</v>
      </c>
      <c r="F1425" s="0" t="s">
        <v>43</v>
      </c>
      <c r="G1425" s="0" t="s">
        <v>155</v>
      </c>
      <c r="H1425" s="0" t="s">
        <v>45</v>
      </c>
      <c r="I1425" s="0" t="s">
        <v>39</v>
      </c>
      <c r="J1425" s="0" t="n">
        <v>1.44</v>
      </c>
      <c r="K1425" s="0" t="s">
        <v>35</v>
      </c>
      <c r="L1425" s="0" t="n">
        <f aca="false">INDEX(Summary!$F$2:$F$201,MATCH($B1425,Summary!$A$2:$A$201,0))</f>
        <v>20</v>
      </c>
      <c r="M1425" s="0" t="n">
        <f aca="false">INDEX(Summary!$I$2:$I$201,MATCH($B1425,Summary!$A$2:$A$201,0))</f>
        <v>2</v>
      </c>
      <c r="N1425" s="0" t="n">
        <f aca="false">INDEX(Summary!$J$2:$J$201,MATCH($B1425,Summary!$A$2:$A$201,0))</f>
        <v>3</v>
      </c>
      <c r="O1425" s="2" t="n">
        <f aca="false">INDEX(Summary!$K$2:$K$201,MATCH($B1425,Summary!$A$2:$A$201,0))</f>
        <v>9.66</v>
      </c>
      <c r="P1425" s="3" t="n">
        <f aca="false">INDEX(Summary!$L$2:$L$201,MATCH($B1425,Summary!$A$2:$A$201,0))</f>
        <v>2</v>
      </c>
      <c r="Q1425" s="3" t="n">
        <f aca="false">INDEX(Summary!$M$2:$M$201,MATCH($B1425,Summary!$A$2:$A$201,0))</f>
        <v>4</v>
      </c>
      <c r="R1425" s="2" t="n">
        <f aca="false">INDEX(Summary!$N$2:$N$201,MATCH($B1425,Summary!$A$2:$A$201,0))</f>
        <v>10.32</v>
      </c>
      <c r="S1425" s="3" t="n">
        <f aca="false">INDEX(Summary!$O$2:$O$201,MATCH($B1425,Summary!$A$2:$A$201,0))</f>
        <v>7</v>
      </c>
      <c r="T1425" s="3" t="n">
        <f aca="false">INDEX(Summary!$P$2:$P$201,MATCH($B1425,Summary!$A$2:$A$201,0))</f>
        <v>2</v>
      </c>
      <c r="U1425" s="2" t="n">
        <f aca="false">INDEX(Summary!$Q$2:$Q$201,MATCH($B1425,Summary!$A$2:$A$201,0))</f>
        <v>12.26</v>
      </c>
      <c r="V1425" s="2" t="n">
        <f aca="false">INDEX(Summary!$R$2:$R$201,MATCH($B1425,Summary!$A$2:$A$201,0))</f>
        <v>20.33</v>
      </c>
      <c r="W1425" s="0" t="str">
        <f aca="false">INDEX(Summary!$S$2:$S$201,MATCH($B1425,Summary!$A$2:$A$201,0))</f>
        <v>Bronze</v>
      </c>
      <c r="X1425" s="2" t="n">
        <f aca="false">INDEX(Summary!$T$2:$T$201,MATCH($B1425,Summary!$A$2:$A$201,0))</f>
        <v>49.59</v>
      </c>
      <c r="Y1425" s="0" t="str">
        <f aca="false">INDEX('Reward Model'!$E$18:$E$37,MATCH($E1425,'Reward Model'!$A$18:$A$37,0))</f>
        <v>Low</v>
      </c>
      <c r="Z1425" s="4" t="n">
        <f aca="false">ROUND(MIN(1,MAX('Reward Model'!$B$2,INDEX('Reward Model'!$C$12:$C$14,MATCH($K1425,'Reward Model'!$A$12:$A$14,0))/$J1425)),3)</f>
        <v>1</v>
      </c>
      <c r="AA1425" s="2" t="n">
        <f aca="false">IF($I1425="Correct",ROUND(INDEX('Reward Model'!$B$12:$B$14,MATCH($K1425,'Reward Model'!$A$12:$A$14,0))*Z1425,2),0)</f>
        <v>0</v>
      </c>
      <c r="AB1425" s="2" t="n">
        <f aca="false">IF($I1425="Correct",ROUND(INDEX('Reward Model'!$B$12:$B$14,MATCH($Y1425,'Reward Model'!$A$12:$A$14,0))*Z1425,2),0)</f>
        <v>0</v>
      </c>
    </row>
    <row r="1426" customFormat="false" ht="15" hidden="false" customHeight="false" outlineLevel="0" collapsed="false">
      <c r="A1426" s="0" t="s">
        <v>271</v>
      </c>
      <c r="B1426" s="0" t="s">
        <v>272</v>
      </c>
      <c r="C1426" s="0" t="s">
        <v>30</v>
      </c>
      <c r="D1426" s="0" t="s">
        <v>189</v>
      </c>
      <c r="E1426" s="0" t="n">
        <v>5</v>
      </c>
      <c r="F1426" s="0" t="s">
        <v>46</v>
      </c>
      <c r="G1426" s="0" t="s">
        <v>47</v>
      </c>
      <c r="H1426" s="0" t="s">
        <v>47</v>
      </c>
      <c r="I1426" s="0" t="s">
        <v>34</v>
      </c>
      <c r="J1426" s="0" t="n">
        <v>1.23</v>
      </c>
      <c r="K1426" s="0" t="s">
        <v>35</v>
      </c>
      <c r="L1426" s="0" t="n">
        <f aca="false">INDEX(Summary!$F$2:$F$201,MATCH($B1426,Summary!$A$2:$A$201,0))</f>
        <v>20</v>
      </c>
      <c r="M1426" s="0" t="n">
        <f aca="false">INDEX(Summary!$I$2:$I$201,MATCH($B1426,Summary!$A$2:$A$201,0))</f>
        <v>2</v>
      </c>
      <c r="N1426" s="0" t="n">
        <f aca="false">INDEX(Summary!$J$2:$J$201,MATCH($B1426,Summary!$A$2:$A$201,0))</f>
        <v>3</v>
      </c>
      <c r="O1426" s="2" t="n">
        <f aca="false">INDEX(Summary!$K$2:$K$201,MATCH($B1426,Summary!$A$2:$A$201,0))</f>
        <v>9.66</v>
      </c>
      <c r="P1426" s="3" t="n">
        <f aca="false">INDEX(Summary!$L$2:$L$201,MATCH($B1426,Summary!$A$2:$A$201,0))</f>
        <v>2</v>
      </c>
      <c r="Q1426" s="3" t="n">
        <f aca="false">INDEX(Summary!$M$2:$M$201,MATCH($B1426,Summary!$A$2:$A$201,0))</f>
        <v>4</v>
      </c>
      <c r="R1426" s="2" t="n">
        <f aca="false">INDEX(Summary!$N$2:$N$201,MATCH($B1426,Summary!$A$2:$A$201,0))</f>
        <v>10.32</v>
      </c>
      <c r="S1426" s="3" t="n">
        <f aca="false">INDEX(Summary!$O$2:$O$201,MATCH($B1426,Summary!$A$2:$A$201,0))</f>
        <v>7</v>
      </c>
      <c r="T1426" s="3" t="n">
        <f aca="false">INDEX(Summary!$P$2:$P$201,MATCH($B1426,Summary!$A$2:$A$201,0))</f>
        <v>2</v>
      </c>
      <c r="U1426" s="2" t="n">
        <f aca="false">INDEX(Summary!$Q$2:$Q$201,MATCH($B1426,Summary!$A$2:$A$201,0))</f>
        <v>12.26</v>
      </c>
      <c r="V1426" s="2" t="n">
        <f aca="false">INDEX(Summary!$R$2:$R$201,MATCH($B1426,Summary!$A$2:$A$201,0))</f>
        <v>20.33</v>
      </c>
      <c r="W1426" s="0" t="str">
        <f aca="false">INDEX(Summary!$S$2:$S$201,MATCH($B1426,Summary!$A$2:$A$201,0))</f>
        <v>Bronze</v>
      </c>
      <c r="X1426" s="2" t="n">
        <f aca="false">INDEX(Summary!$T$2:$T$201,MATCH($B1426,Summary!$A$2:$A$201,0))</f>
        <v>49.59</v>
      </c>
      <c r="Y1426" s="0" t="str">
        <f aca="false">INDEX('Reward Model'!$E$18:$E$37,MATCH($E1426,'Reward Model'!$A$18:$A$37,0))</f>
        <v>Low</v>
      </c>
      <c r="Z1426" s="4" t="n">
        <f aca="false">ROUND(MIN(1,MAX('Reward Model'!$B$2,INDEX('Reward Model'!$C$12:$C$14,MATCH($K1426,'Reward Model'!$A$12:$A$14,0))/$J1426)),3)</f>
        <v>1</v>
      </c>
      <c r="AA1426" s="2" t="n">
        <f aca="false">IF($I1426="Correct",ROUND(INDEX('Reward Model'!$B$12:$B$14,MATCH($K1426,'Reward Model'!$A$12:$A$14,0))*Z1426,2),0)</f>
        <v>1</v>
      </c>
      <c r="AB1426" s="2" t="n">
        <f aca="false">IF($I1426="Correct",ROUND(INDEX('Reward Model'!$B$12:$B$14,MATCH($Y1426,'Reward Model'!$A$12:$A$14,0))*Z1426,2),0)</f>
        <v>1</v>
      </c>
    </row>
    <row r="1427" customFormat="false" ht="15" hidden="false" customHeight="false" outlineLevel="0" collapsed="false">
      <c r="A1427" s="0" t="s">
        <v>271</v>
      </c>
      <c r="B1427" s="0" t="s">
        <v>272</v>
      </c>
      <c r="C1427" s="0" t="s">
        <v>30</v>
      </c>
      <c r="D1427" s="0" t="s">
        <v>189</v>
      </c>
      <c r="E1427" s="0" t="n">
        <v>6</v>
      </c>
      <c r="F1427" s="0" t="s">
        <v>48</v>
      </c>
      <c r="G1427" s="0" t="s">
        <v>116</v>
      </c>
      <c r="H1427" s="0" t="s">
        <v>49</v>
      </c>
      <c r="I1427" s="0" t="s">
        <v>39</v>
      </c>
      <c r="J1427" s="0" t="n">
        <v>1.31</v>
      </c>
      <c r="K1427" s="0" t="s">
        <v>35</v>
      </c>
      <c r="L1427" s="0" t="n">
        <f aca="false">INDEX(Summary!$F$2:$F$201,MATCH($B1427,Summary!$A$2:$A$201,0))</f>
        <v>20</v>
      </c>
      <c r="M1427" s="0" t="n">
        <f aca="false">INDEX(Summary!$I$2:$I$201,MATCH($B1427,Summary!$A$2:$A$201,0))</f>
        <v>2</v>
      </c>
      <c r="N1427" s="0" t="n">
        <f aca="false">INDEX(Summary!$J$2:$J$201,MATCH($B1427,Summary!$A$2:$A$201,0))</f>
        <v>3</v>
      </c>
      <c r="O1427" s="2" t="n">
        <f aca="false">INDEX(Summary!$K$2:$K$201,MATCH($B1427,Summary!$A$2:$A$201,0))</f>
        <v>9.66</v>
      </c>
      <c r="P1427" s="3" t="n">
        <f aca="false">INDEX(Summary!$L$2:$L$201,MATCH($B1427,Summary!$A$2:$A$201,0))</f>
        <v>2</v>
      </c>
      <c r="Q1427" s="3" t="n">
        <f aca="false">INDEX(Summary!$M$2:$M$201,MATCH($B1427,Summary!$A$2:$A$201,0))</f>
        <v>4</v>
      </c>
      <c r="R1427" s="2" t="n">
        <f aca="false">INDEX(Summary!$N$2:$N$201,MATCH($B1427,Summary!$A$2:$A$201,0))</f>
        <v>10.32</v>
      </c>
      <c r="S1427" s="3" t="n">
        <f aca="false">INDEX(Summary!$O$2:$O$201,MATCH($B1427,Summary!$A$2:$A$201,0))</f>
        <v>7</v>
      </c>
      <c r="T1427" s="3" t="n">
        <f aca="false">INDEX(Summary!$P$2:$P$201,MATCH($B1427,Summary!$A$2:$A$201,0))</f>
        <v>2</v>
      </c>
      <c r="U1427" s="2" t="n">
        <f aca="false">INDEX(Summary!$Q$2:$Q$201,MATCH($B1427,Summary!$A$2:$A$201,0))</f>
        <v>12.26</v>
      </c>
      <c r="V1427" s="2" t="n">
        <f aca="false">INDEX(Summary!$R$2:$R$201,MATCH($B1427,Summary!$A$2:$A$201,0))</f>
        <v>20.33</v>
      </c>
      <c r="W1427" s="0" t="str">
        <f aca="false">INDEX(Summary!$S$2:$S$201,MATCH($B1427,Summary!$A$2:$A$201,0))</f>
        <v>Bronze</v>
      </c>
      <c r="X1427" s="2" t="n">
        <f aca="false">INDEX(Summary!$T$2:$T$201,MATCH($B1427,Summary!$A$2:$A$201,0))</f>
        <v>49.59</v>
      </c>
      <c r="Y1427" s="0" t="str">
        <f aca="false">INDEX('Reward Model'!$E$18:$E$37,MATCH($E1427,'Reward Model'!$A$18:$A$37,0))</f>
        <v>Medium</v>
      </c>
      <c r="Z1427" s="4" t="n">
        <f aca="false">ROUND(MIN(1,MAX('Reward Model'!$B$2,INDEX('Reward Model'!$C$12:$C$14,MATCH($K1427,'Reward Model'!$A$12:$A$14,0))/$J1427)),3)</f>
        <v>1</v>
      </c>
      <c r="AA1427" s="2" t="n">
        <f aca="false">IF($I1427="Correct",ROUND(INDEX('Reward Model'!$B$12:$B$14,MATCH($K1427,'Reward Model'!$A$12:$A$14,0))*Z1427,2),0)</f>
        <v>0</v>
      </c>
      <c r="AB1427" s="2" t="n">
        <f aca="false">IF($I1427="Correct",ROUND(INDEX('Reward Model'!$B$12:$B$14,MATCH($Y1427,'Reward Model'!$A$12:$A$14,0))*Z1427,2),0)</f>
        <v>0</v>
      </c>
    </row>
    <row r="1428" customFormat="false" ht="15" hidden="false" customHeight="false" outlineLevel="0" collapsed="false">
      <c r="A1428" s="0" t="s">
        <v>271</v>
      </c>
      <c r="B1428" s="0" t="s">
        <v>272</v>
      </c>
      <c r="C1428" s="0" t="s">
        <v>30</v>
      </c>
      <c r="D1428" s="0" t="s">
        <v>189</v>
      </c>
      <c r="E1428" s="0" t="n">
        <v>7</v>
      </c>
      <c r="F1428" s="0" t="s">
        <v>50</v>
      </c>
      <c r="G1428" s="0" t="s">
        <v>51</v>
      </c>
      <c r="H1428" s="0" t="s">
        <v>51</v>
      </c>
      <c r="I1428" s="0" t="s">
        <v>34</v>
      </c>
      <c r="J1428" s="0" t="n">
        <v>1.82</v>
      </c>
      <c r="K1428" s="0" t="s">
        <v>35</v>
      </c>
      <c r="L1428" s="0" t="n">
        <f aca="false">INDEX(Summary!$F$2:$F$201,MATCH($B1428,Summary!$A$2:$A$201,0))</f>
        <v>20</v>
      </c>
      <c r="M1428" s="0" t="n">
        <f aca="false">INDEX(Summary!$I$2:$I$201,MATCH($B1428,Summary!$A$2:$A$201,0))</f>
        <v>2</v>
      </c>
      <c r="N1428" s="0" t="n">
        <f aca="false">INDEX(Summary!$J$2:$J$201,MATCH($B1428,Summary!$A$2:$A$201,0))</f>
        <v>3</v>
      </c>
      <c r="O1428" s="2" t="n">
        <f aca="false">INDEX(Summary!$K$2:$K$201,MATCH($B1428,Summary!$A$2:$A$201,0))</f>
        <v>9.66</v>
      </c>
      <c r="P1428" s="3" t="n">
        <f aca="false">INDEX(Summary!$L$2:$L$201,MATCH($B1428,Summary!$A$2:$A$201,0))</f>
        <v>2</v>
      </c>
      <c r="Q1428" s="3" t="n">
        <f aca="false">INDEX(Summary!$M$2:$M$201,MATCH($B1428,Summary!$A$2:$A$201,0))</f>
        <v>4</v>
      </c>
      <c r="R1428" s="2" t="n">
        <f aca="false">INDEX(Summary!$N$2:$N$201,MATCH($B1428,Summary!$A$2:$A$201,0))</f>
        <v>10.32</v>
      </c>
      <c r="S1428" s="3" t="n">
        <f aca="false">INDEX(Summary!$O$2:$O$201,MATCH($B1428,Summary!$A$2:$A$201,0))</f>
        <v>7</v>
      </c>
      <c r="T1428" s="3" t="n">
        <f aca="false">INDEX(Summary!$P$2:$P$201,MATCH($B1428,Summary!$A$2:$A$201,0))</f>
        <v>2</v>
      </c>
      <c r="U1428" s="2" t="n">
        <f aca="false">INDEX(Summary!$Q$2:$Q$201,MATCH($B1428,Summary!$A$2:$A$201,0))</f>
        <v>12.26</v>
      </c>
      <c r="V1428" s="2" t="n">
        <f aca="false">INDEX(Summary!$R$2:$R$201,MATCH($B1428,Summary!$A$2:$A$201,0))</f>
        <v>20.33</v>
      </c>
      <c r="W1428" s="0" t="str">
        <f aca="false">INDEX(Summary!$S$2:$S$201,MATCH($B1428,Summary!$A$2:$A$201,0))</f>
        <v>Bronze</v>
      </c>
      <c r="X1428" s="2" t="n">
        <f aca="false">INDEX(Summary!$T$2:$T$201,MATCH($B1428,Summary!$A$2:$A$201,0))</f>
        <v>49.59</v>
      </c>
      <c r="Y1428" s="0" t="str">
        <f aca="false">INDEX('Reward Model'!$E$18:$E$37,MATCH($E1428,'Reward Model'!$A$18:$A$37,0))</f>
        <v>Low</v>
      </c>
      <c r="Z1428" s="4" t="n">
        <f aca="false">ROUND(MIN(1,MAX('Reward Model'!$B$2,INDEX('Reward Model'!$C$12:$C$14,MATCH($K1428,'Reward Model'!$A$12:$A$14,0))/$J1428)),3)</f>
        <v>0.824</v>
      </c>
      <c r="AA1428" s="2" t="n">
        <f aca="false">IF($I1428="Correct",ROUND(INDEX('Reward Model'!$B$12:$B$14,MATCH($K1428,'Reward Model'!$A$12:$A$14,0))*Z1428,2),0)</f>
        <v>0.82</v>
      </c>
      <c r="AB1428" s="2" t="n">
        <f aca="false">IF($I1428="Correct",ROUND(INDEX('Reward Model'!$B$12:$B$14,MATCH($Y1428,'Reward Model'!$A$12:$A$14,0))*Z1428,2),0)</f>
        <v>0.82</v>
      </c>
    </row>
    <row r="1429" customFormat="false" ht="15" hidden="false" customHeight="false" outlineLevel="0" collapsed="false">
      <c r="A1429" s="0" t="s">
        <v>271</v>
      </c>
      <c r="B1429" s="0" t="s">
        <v>272</v>
      </c>
      <c r="C1429" s="0" t="s">
        <v>30</v>
      </c>
      <c r="D1429" s="0" t="s">
        <v>189</v>
      </c>
      <c r="E1429" s="0" t="n">
        <v>8</v>
      </c>
      <c r="F1429" s="0" t="s">
        <v>52</v>
      </c>
      <c r="G1429" s="0" t="s">
        <v>54</v>
      </c>
      <c r="H1429" s="0" t="s">
        <v>54</v>
      </c>
      <c r="I1429" s="0" t="s">
        <v>34</v>
      </c>
      <c r="J1429" s="0" t="n">
        <v>1.09</v>
      </c>
      <c r="K1429" s="0" t="s">
        <v>35</v>
      </c>
      <c r="L1429" s="0" t="n">
        <f aca="false">INDEX(Summary!$F$2:$F$201,MATCH($B1429,Summary!$A$2:$A$201,0))</f>
        <v>20</v>
      </c>
      <c r="M1429" s="0" t="n">
        <f aca="false">INDEX(Summary!$I$2:$I$201,MATCH($B1429,Summary!$A$2:$A$201,0))</f>
        <v>2</v>
      </c>
      <c r="N1429" s="0" t="n">
        <f aca="false">INDEX(Summary!$J$2:$J$201,MATCH($B1429,Summary!$A$2:$A$201,0))</f>
        <v>3</v>
      </c>
      <c r="O1429" s="2" t="n">
        <f aca="false">INDEX(Summary!$K$2:$K$201,MATCH($B1429,Summary!$A$2:$A$201,0))</f>
        <v>9.66</v>
      </c>
      <c r="P1429" s="3" t="n">
        <f aca="false">INDEX(Summary!$L$2:$L$201,MATCH($B1429,Summary!$A$2:$A$201,0))</f>
        <v>2</v>
      </c>
      <c r="Q1429" s="3" t="n">
        <f aca="false">INDEX(Summary!$M$2:$M$201,MATCH($B1429,Summary!$A$2:$A$201,0))</f>
        <v>4</v>
      </c>
      <c r="R1429" s="2" t="n">
        <f aca="false">INDEX(Summary!$N$2:$N$201,MATCH($B1429,Summary!$A$2:$A$201,0))</f>
        <v>10.32</v>
      </c>
      <c r="S1429" s="3" t="n">
        <f aca="false">INDEX(Summary!$O$2:$O$201,MATCH($B1429,Summary!$A$2:$A$201,0))</f>
        <v>7</v>
      </c>
      <c r="T1429" s="3" t="n">
        <f aca="false">INDEX(Summary!$P$2:$P$201,MATCH($B1429,Summary!$A$2:$A$201,0))</f>
        <v>2</v>
      </c>
      <c r="U1429" s="2" t="n">
        <f aca="false">INDEX(Summary!$Q$2:$Q$201,MATCH($B1429,Summary!$A$2:$A$201,0))</f>
        <v>12.26</v>
      </c>
      <c r="V1429" s="2" t="n">
        <f aca="false">INDEX(Summary!$R$2:$R$201,MATCH($B1429,Summary!$A$2:$A$201,0))</f>
        <v>20.33</v>
      </c>
      <c r="W1429" s="0" t="str">
        <f aca="false">INDEX(Summary!$S$2:$S$201,MATCH($B1429,Summary!$A$2:$A$201,0))</f>
        <v>Bronze</v>
      </c>
      <c r="X1429" s="2" t="n">
        <f aca="false">INDEX(Summary!$T$2:$T$201,MATCH($B1429,Summary!$A$2:$A$201,0))</f>
        <v>49.59</v>
      </c>
      <c r="Y1429" s="0" t="str">
        <f aca="false">INDEX('Reward Model'!$E$18:$E$37,MATCH($E1429,'Reward Model'!$A$18:$A$37,0))</f>
        <v>Medium</v>
      </c>
      <c r="Z1429" s="4" t="n">
        <f aca="false">ROUND(MIN(1,MAX('Reward Model'!$B$2,INDEX('Reward Model'!$C$12:$C$14,MATCH($K1429,'Reward Model'!$A$12:$A$14,0))/$J1429)),3)</f>
        <v>1</v>
      </c>
      <c r="AA1429" s="2" t="n">
        <f aca="false">IF($I1429="Correct",ROUND(INDEX('Reward Model'!$B$12:$B$14,MATCH($K1429,'Reward Model'!$A$12:$A$14,0))*Z1429,2),0)</f>
        <v>1</v>
      </c>
      <c r="AB1429" s="2" t="n">
        <f aca="false">IF($I1429="Correct",ROUND(INDEX('Reward Model'!$B$12:$B$14,MATCH($Y1429,'Reward Model'!$A$12:$A$14,0))*Z1429,2),0)</f>
        <v>2</v>
      </c>
    </row>
    <row r="1430" customFormat="false" ht="15" hidden="false" customHeight="false" outlineLevel="0" collapsed="false">
      <c r="A1430" s="0" t="s">
        <v>271</v>
      </c>
      <c r="B1430" s="0" t="s">
        <v>272</v>
      </c>
      <c r="C1430" s="0" t="s">
        <v>30</v>
      </c>
      <c r="D1430" s="0" t="s">
        <v>189</v>
      </c>
      <c r="E1430" s="0" t="n">
        <v>9</v>
      </c>
      <c r="F1430" s="0" t="s">
        <v>55</v>
      </c>
      <c r="G1430" s="0" t="s">
        <v>57</v>
      </c>
      <c r="H1430" s="0" t="s">
        <v>57</v>
      </c>
      <c r="I1430" s="0" t="s">
        <v>34</v>
      </c>
      <c r="J1430" s="0" t="n">
        <v>1.45</v>
      </c>
      <c r="K1430" s="0" t="s">
        <v>35</v>
      </c>
      <c r="L1430" s="0" t="n">
        <f aca="false">INDEX(Summary!$F$2:$F$201,MATCH($B1430,Summary!$A$2:$A$201,0))</f>
        <v>20</v>
      </c>
      <c r="M1430" s="0" t="n">
        <f aca="false">INDEX(Summary!$I$2:$I$201,MATCH($B1430,Summary!$A$2:$A$201,0))</f>
        <v>2</v>
      </c>
      <c r="N1430" s="0" t="n">
        <f aca="false">INDEX(Summary!$J$2:$J$201,MATCH($B1430,Summary!$A$2:$A$201,0))</f>
        <v>3</v>
      </c>
      <c r="O1430" s="2" t="n">
        <f aca="false">INDEX(Summary!$K$2:$K$201,MATCH($B1430,Summary!$A$2:$A$201,0))</f>
        <v>9.66</v>
      </c>
      <c r="P1430" s="3" t="n">
        <f aca="false">INDEX(Summary!$L$2:$L$201,MATCH($B1430,Summary!$A$2:$A$201,0))</f>
        <v>2</v>
      </c>
      <c r="Q1430" s="3" t="n">
        <f aca="false">INDEX(Summary!$M$2:$M$201,MATCH($B1430,Summary!$A$2:$A$201,0))</f>
        <v>4</v>
      </c>
      <c r="R1430" s="2" t="n">
        <f aca="false">INDEX(Summary!$N$2:$N$201,MATCH($B1430,Summary!$A$2:$A$201,0))</f>
        <v>10.32</v>
      </c>
      <c r="S1430" s="3" t="n">
        <f aca="false">INDEX(Summary!$O$2:$O$201,MATCH($B1430,Summary!$A$2:$A$201,0))</f>
        <v>7</v>
      </c>
      <c r="T1430" s="3" t="n">
        <f aca="false">INDEX(Summary!$P$2:$P$201,MATCH($B1430,Summary!$A$2:$A$201,0))</f>
        <v>2</v>
      </c>
      <c r="U1430" s="2" t="n">
        <f aca="false">INDEX(Summary!$Q$2:$Q$201,MATCH($B1430,Summary!$A$2:$A$201,0))</f>
        <v>12.26</v>
      </c>
      <c r="V1430" s="2" t="n">
        <f aca="false">INDEX(Summary!$R$2:$R$201,MATCH($B1430,Summary!$A$2:$A$201,0))</f>
        <v>20.33</v>
      </c>
      <c r="W1430" s="0" t="str">
        <f aca="false">INDEX(Summary!$S$2:$S$201,MATCH($B1430,Summary!$A$2:$A$201,0))</f>
        <v>Bronze</v>
      </c>
      <c r="X1430" s="2" t="n">
        <f aca="false">INDEX(Summary!$T$2:$T$201,MATCH($B1430,Summary!$A$2:$A$201,0))</f>
        <v>49.59</v>
      </c>
      <c r="Y1430" s="0" t="str">
        <f aca="false">INDEX('Reward Model'!$E$18:$E$37,MATCH($E1430,'Reward Model'!$A$18:$A$37,0))</f>
        <v>Medium</v>
      </c>
      <c r="Z1430" s="4" t="n">
        <f aca="false">ROUND(MIN(1,MAX('Reward Model'!$B$2,INDEX('Reward Model'!$C$12:$C$14,MATCH($K1430,'Reward Model'!$A$12:$A$14,0))/$J1430)),3)</f>
        <v>1</v>
      </c>
      <c r="AA1430" s="2" t="n">
        <f aca="false">IF($I1430="Correct",ROUND(INDEX('Reward Model'!$B$12:$B$14,MATCH($K1430,'Reward Model'!$A$12:$A$14,0))*Z1430,2),0)</f>
        <v>1</v>
      </c>
      <c r="AB1430" s="2" t="n">
        <f aca="false">IF($I1430="Correct",ROUND(INDEX('Reward Model'!$B$12:$B$14,MATCH($Y1430,'Reward Model'!$A$12:$A$14,0))*Z1430,2),0)</f>
        <v>2</v>
      </c>
    </row>
    <row r="1431" customFormat="false" ht="15" hidden="false" customHeight="false" outlineLevel="0" collapsed="false">
      <c r="A1431" s="0" t="s">
        <v>271</v>
      </c>
      <c r="B1431" s="0" t="s">
        <v>272</v>
      </c>
      <c r="C1431" s="0" t="s">
        <v>30</v>
      </c>
      <c r="D1431" s="0" t="s">
        <v>189</v>
      </c>
      <c r="E1431" s="0" t="n">
        <v>10</v>
      </c>
      <c r="F1431" s="0" t="s">
        <v>58</v>
      </c>
      <c r="G1431" s="0" t="s">
        <v>174</v>
      </c>
      <c r="H1431" s="0" t="s">
        <v>59</v>
      </c>
      <c r="I1431" s="0" t="s">
        <v>39</v>
      </c>
      <c r="J1431" s="0" t="n">
        <v>1.3</v>
      </c>
      <c r="K1431" s="0" t="s">
        <v>60</v>
      </c>
      <c r="L1431" s="0" t="n">
        <f aca="false">INDEX(Summary!$F$2:$F$201,MATCH($B1431,Summary!$A$2:$A$201,0))</f>
        <v>20</v>
      </c>
      <c r="M1431" s="0" t="n">
        <f aca="false">INDEX(Summary!$I$2:$I$201,MATCH($B1431,Summary!$A$2:$A$201,0))</f>
        <v>2</v>
      </c>
      <c r="N1431" s="0" t="n">
        <f aca="false">INDEX(Summary!$J$2:$J$201,MATCH($B1431,Summary!$A$2:$A$201,0))</f>
        <v>3</v>
      </c>
      <c r="O1431" s="2" t="n">
        <f aca="false">INDEX(Summary!$K$2:$K$201,MATCH($B1431,Summary!$A$2:$A$201,0))</f>
        <v>9.66</v>
      </c>
      <c r="P1431" s="3" t="n">
        <f aca="false">INDEX(Summary!$L$2:$L$201,MATCH($B1431,Summary!$A$2:$A$201,0))</f>
        <v>2</v>
      </c>
      <c r="Q1431" s="3" t="n">
        <f aca="false">INDEX(Summary!$M$2:$M$201,MATCH($B1431,Summary!$A$2:$A$201,0))</f>
        <v>4</v>
      </c>
      <c r="R1431" s="2" t="n">
        <f aca="false">INDEX(Summary!$N$2:$N$201,MATCH($B1431,Summary!$A$2:$A$201,0))</f>
        <v>10.32</v>
      </c>
      <c r="S1431" s="3" t="n">
        <f aca="false">INDEX(Summary!$O$2:$O$201,MATCH($B1431,Summary!$A$2:$A$201,0))</f>
        <v>7</v>
      </c>
      <c r="T1431" s="3" t="n">
        <f aca="false">INDEX(Summary!$P$2:$P$201,MATCH($B1431,Summary!$A$2:$A$201,0))</f>
        <v>2</v>
      </c>
      <c r="U1431" s="2" t="n">
        <f aca="false">INDEX(Summary!$Q$2:$Q$201,MATCH($B1431,Summary!$A$2:$A$201,0))</f>
        <v>12.26</v>
      </c>
      <c r="V1431" s="2" t="n">
        <f aca="false">INDEX(Summary!$R$2:$R$201,MATCH($B1431,Summary!$A$2:$A$201,0))</f>
        <v>20.33</v>
      </c>
      <c r="W1431" s="0" t="str">
        <f aca="false">INDEX(Summary!$S$2:$S$201,MATCH($B1431,Summary!$A$2:$A$201,0))</f>
        <v>Bronze</v>
      </c>
      <c r="X1431" s="2" t="n">
        <f aca="false">INDEX(Summary!$T$2:$T$201,MATCH($B1431,Summary!$A$2:$A$201,0))</f>
        <v>49.59</v>
      </c>
      <c r="Y1431" s="0" t="str">
        <f aca="false">INDEX('Reward Model'!$E$18:$E$37,MATCH($E1431,'Reward Model'!$A$18:$A$37,0))</f>
        <v>Medium</v>
      </c>
      <c r="Z1431" s="4" t="n">
        <f aca="false">ROUND(MIN(1,MAX('Reward Model'!$B$2,INDEX('Reward Model'!$C$12:$C$14,MATCH($K1431,'Reward Model'!$A$12:$A$14,0))/$J1431)),3)</f>
        <v>1</v>
      </c>
      <c r="AA1431" s="2" t="n">
        <f aca="false">IF($I1431="Correct",ROUND(INDEX('Reward Model'!$B$12:$B$14,MATCH($K1431,'Reward Model'!$A$12:$A$14,0))*Z1431,2),0)</f>
        <v>0</v>
      </c>
      <c r="AB1431" s="2" t="n">
        <f aca="false">IF($I1431="Correct",ROUND(INDEX('Reward Model'!$B$12:$B$14,MATCH($Y1431,'Reward Model'!$A$12:$A$14,0))*Z1431,2),0)</f>
        <v>0</v>
      </c>
    </row>
    <row r="1432" customFormat="false" ht="15" hidden="false" customHeight="false" outlineLevel="0" collapsed="false">
      <c r="A1432" s="0" t="s">
        <v>271</v>
      </c>
      <c r="B1432" s="0" t="s">
        <v>272</v>
      </c>
      <c r="C1432" s="0" t="s">
        <v>30</v>
      </c>
      <c r="D1432" s="0" t="s">
        <v>189</v>
      </c>
      <c r="E1432" s="0" t="n">
        <v>11</v>
      </c>
      <c r="F1432" s="0" t="s">
        <v>61</v>
      </c>
      <c r="G1432" s="0" t="s">
        <v>63</v>
      </c>
      <c r="H1432" s="0" t="s">
        <v>63</v>
      </c>
      <c r="I1432" s="0" t="s">
        <v>34</v>
      </c>
      <c r="J1432" s="0" t="n">
        <v>1.71</v>
      </c>
      <c r="K1432" s="0" t="s">
        <v>60</v>
      </c>
      <c r="L1432" s="0" t="n">
        <f aca="false">INDEX(Summary!$F$2:$F$201,MATCH($B1432,Summary!$A$2:$A$201,0))</f>
        <v>20</v>
      </c>
      <c r="M1432" s="0" t="n">
        <f aca="false">INDEX(Summary!$I$2:$I$201,MATCH($B1432,Summary!$A$2:$A$201,0))</f>
        <v>2</v>
      </c>
      <c r="N1432" s="0" t="n">
        <f aca="false">INDEX(Summary!$J$2:$J$201,MATCH($B1432,Summary!$A$2:$A$201,0))</f>
        <v>3</v>
      </c>
      <c r="O1432" s="2" t="n">
        <f aca="false">INDEX(Summary!$K$2:$K$201,MATCH($B1432,Summary!$A$2:$A$201,0))</f>
        <v>9.66</v>
      </c>
      <c r="P1432" s="3" t="n">
        <f aca="false">INDEX(Summary!$L$2:$L$201,MATCH($B1432,Summary!$A$2:$A$201,0))</f>
        <v>2</v>
      </c>
      <c r="Q1432" s="3" t="n">
        <f aca="false">INDEX(Summary!$M$2:$M$201,MATCH($B1432,Summary!$A$2:$A$201,0))</f>
        <v>4</v>
      </c>
      <c r="R1432" s="2" t="n">
        <f aca="false">INDEX(Summary!$N$2:$N$201,MATCH($B1432,Summary!$A$2:$A$201,0))</f>
        <v>10.32</v>
      </c>
      <c r="S1432" s="3" t="n">
        <f aca="false">INDEX(Summary!$O$2:$O$201,MATCH($B1432,Summary!$A$2:$A$201,0))</f>
        <v>7</v>
      </c>
      <c r="T1432" s="3" t="n">
        <f aca="false">INDEX(Summary!$P$2:$P$201,MATCH($B1432,Summary!$A$2:$A$201,0))</f>
        <v>2</v>
      </c>
      <c r="U1432" s="2" t="n">
        <f aca="false">INDEX(Summary!$Q$2:$Q$201,MATCH($B1432,Summary!$A$2:$A$201,0))</f>
        <v>12.26</v>
      </c>
      <c r="V1432" s="2" t="n">
        <f aca="false">INDEX(Summary!$R$2:$R$201,MATCH($B1432,Summary!$A$2:$A$201,0))</f>
        <v>20.33</v>
      </c>
      <c r="W1432" s="0" t="str">
        <f aca="false">INDEX(Summary!$S$2:$S$201,MATCH($B1432,Summary!$A$2:$A$201,0))</f>
        <v>Bronze</v>
      </c>
      <c r="X1432" s="2" t="n">
        <f aca="false">INDEX(Summary!$T$2:$T$201,MATCH($B1432,Summary!$A$2:$A$201,0))</f>
        <v>49.59</v>
      </c>
      <c r="Y1432" s="0" t="str">
        <f aca="false">INDEX('Reward Model'!$E$18:$E$37,MATCH($E1432,'Reward Model'!$A$18:$A$37,0))</f>
        <v>Medium</v>
      </c>
      <c r="Z1432" s="4" t="n">
        <f aca="false">ROUND(MIN(1,MAX('Reward Model'!$B$2,INDEX('Reward Model'!$C$12:$C$14,MATCH($K1432,'Reward Model'!$A$12:$A$14,0))/$J1432)),3)</f>
        <v>1</v>
      </c>
      <c r="AA1432" s="2" t="n">
        <f aca="false">IF($I1432="Correct",ROUND(INDEX('Reward Model'!$B$12:$B$14,MATCH($K1432,'Reward Model'!$A$12:$A$14,0))*Z1432,2),0)</f>
        <v>2</v>
      </c>
      <c r="AB1432" s="2" t="n">
        <f aca="false">IF($I1432="Correct",ROUND(INDEX('Reward Model'!$B$12:$B$14,MATCH($Y1432,'Reward Model'!$A$12:$A$14,0))*Z1432,2),0)</f>
        <v>2</v>
      </c>
    </row>
    <row r="1433" customFormat="false" ht="15" hidden="false" customHeight="false" outlineLevel="0" collapsed="false">
      <c r="A1433" s="0" t="s">
        <v>271</v>
      </c>
      <c r="B1433" s="0" t="s">
        <v>272</v>
      </c>
      <c r="C1433" s="0" t="s">
        <v>30</v>
      </c>
      <c r="D1433" s="0" t="s">
        <v>189</v>
      </c>
      <c r="E1433" s="0" t="n">
        <v>12</v>
      </c>
      <c r="F1433" s="0" t="s">
        <v>64</v>
      </c>
      <c r="G1433" s="0" t="s">
        <v>146</v>
      </c>
      <c r="H1433" s="0" t="s">
        <v>65</v>
      </c>
      <c r="I1433" s="0" t="s">
        <v>39</v>
      </c>
      <c r="J1433" s="0" t="n">
        <v>1.76</v>
      </c>
      <c r="K1433" s="0" t="s">
        <v>60</v>
      </c>
      <c r="L1433" s="0" t="n">
        <f aca="false">INDEX(Summary!$F$2:$F$201,MATCH($B1433,Summary!$A$2:$A$201,0))</f>
        <v>20</v>
      </c>
      <c r="M1433" s="0" t="n">
        <f aca="false">INDEX(Summary!$I$2:$I$201,MATCH($B1433,Summary!$A$2:$A$201,0))</f>
        <v>2</v>
      </c>
      <c r="N1433" s="0" t="n">
        <f aca="false">INDEX(Summary!$J$2:$J$201,MATCH($B1433,Summary!$A$2:$A$201,0))</f>
        <v>3</v>
      </c>
      <c r="O1433" s="2" t="n">
        <f aca="false">INDEX(Summary!$K$2:$K$201,MATCH($B1433,Summary!$A$2:$A$201,0))</f>
        <v>9.66</v>
      </c>
      <c r="P1433" s="3" t="n">
        <f aca="false">INDEX(Summary!$L$2:$L$201,MATCH($B1433,Summary!$A$2:$A$201,0))</f>
        <v>2</v>
      </c>
      <c r="Q1433" s="3" t="n">
        <f aca="false">INDEX(Summary!$M$2:$M$201,MATCH($B1433,Summary!$A$2:$A$201,0))</f>
        <v>4</v>
      </c>
      <c r="R1433" s="2" t="n">
        <f aca="false">INDEX(Summary!$N$2:$N$201,MATCH($B1433,Summary!$A$2:$A$201,0))</f>
        <v>10.32</v>
      </c>
      <c r="S1433" s="3" t="n">
        <f aca="false">INDEX(Summary!$O$2:$O$201,MATCH($B1433,Summary!$A$2:$A$201,0))</f>
        <v>7</v>
      </c>
      <c r="T1433" s="3" t="n">
        <f aca="false">INDEX(Summary!$P$2:$P$201,MATCH($B1433,Summary!$A$2:$A$201,0))</f>
        <v>2</v>
      </c>
      <c r="U1433" s="2" t="n">
        <f aca="false">INDEX(Summary!$Q$2:$Q$201,MATCH($B1433,Summary!$A$2:$A$201,0))</f>
        <v>12.26</v>
      </c>
      <c r="V1433" s="2" t="n">
        <f aca="false">INDEX(Summary!$R$2:$R$201,MATCH($B1433,Summary!$A$2:$A$201,0))</f>
        <v>20.33</v>
      </c>
      <c r="W1433" s="0" t="str">
        <f aca="false">INDEX(Summary!$S$2:$S$201,MATCH($B1433,Summary!$A$2:$A$201,0))</f>
        <v>Bronze</v>
      </c>
      <c r="X1433" s="2" t="n">
        <f aca="false">INDEX(Summary!$T$2:$T$201,MATCH($B1433,Summary!$A$2:$A$201,0))</f>
        <v>49.59</v>
      </c>
      <c r="Y1433" s="0" t="str">
        <f aca="false">INDEX('Reward Model'!$E$18:$E$37,MATCH($E1433,'Reward Model'!$A$18:$A$37,0))</f>
        <v>Medium</v>
      </c>
      <c r="Z1433" s="4" t="n">
        <f aca="false">ROUND(MIN(1,MAX('Reward Model'!$B$2,INDEX('Reward Model'!$C$12:$C$14,MATCH($K1433,'Reward Model'!$A$12:$A$14,0))/$J1433)),3)</f>
        <v>1</v>
      </c>
      <c r="AA1433" s="2" t="n">
        <f aca="false">IF($I1433="Correct",ROUND(INDEX('Reward Model'!$B$12:$B$14,MATCH($K1433,'Reward Model'!$A$12:$A$14,0))*Z1433,2),0)</f>
        <v>0</v>
      </c>
      <c r="AB1433" s="2" t="n">
        <f aca="false">IF($I1433="Correct",ROUND(INDEX('Reward Model'!$B$12:$B$14,MATCH($Y1433,'Reward Model'!$A$12:$A$14,0))*Z1433,2),0)</f>
        <v>0</v>
      </c>
    </row>
    <row r="1434" customFormat="false" ht="15" hidden="false" customHeight="false" outlineLevel="0" collapsed="false">
      <c r="A1434" s="0" t="s">
        <v>271</v>
      </c>
      <c r="B1434" s="0" t="s">
        <v>272</v>
      </c>
      <c r="C1434" s="0" t="s">
        <v>30</v>
      </c>
      <c r="D1434" s="0" t="s">
        <v>189</v>
      </c>
      <c r="E1434" s="0" t="n">
        <v>13</v>
      </c>
      <c r="F1434" s="0" t="s">
        <v>66</v>
      </c>
      <c r="G1434" s="0" t="s">
        <v>165</v>
      </c>
      <c r="H1434" s="0" t="s">
        <v>67</v>
      </c>
      <c r="I1434" s="0" t="s">
        <v>39</v>
      </c>
      <c r="J1434" s="0" t="n">
        <v>2.05</v>
      </c>
      <c r="K1434" s="0" t="s">
        <v>60</v>
      </c>
      <c r="L1434" s="0" t="n">
        <f aca="false">INDEX(Summary!$F$2:$F$201,MATCH($B1434,Summary!$A$2:$A$201,0))</f>
        <v>20</v>
      </c>
      <c r="M1434" s="0" t="n">
        <f aca="false">INDEX(Summary!$I$2:$I$201,MATCH($B1434,Summary!$A$2:$A$201,0))</f>
        <v>2</v>
      </c>
      <c r="N1434" s="0" t="n">
        <f aca="false">INDEX(Summary!$J$2:$J$201,MATCH($B1434,Summary!$A$2:$A$201,0))</f>
        <v>3</v>
      </c>
      <c r="O1434" s="2" t="n">
        <f aca="false">INDEX(Summary!$K$2:$K$201,MATCH($B1434,Summary!$A$2:$A$201,0))</f>
        <v>9.66</v>
      </c>
      <c r="P1434" s="3" t="n">
        <f aca="false">INDEX(Summary!$L$2:$L$201,MATCH($B1434,Summary!$A$2:$A$201,0))</f>
        <v>2</v>
      </c>
      <c r="Q1434" s="3" t="n">
        <f aca="false">INDEX(Summary!$M$2:$M$201,MATCH($B1434,Summary!$A$2:$A$201,0))</f>
        <v>4</v>
      </c>
      <c r="R1434" s="2" t="n">
        <f aca="false">INDEX(Summary!$N$2:$N$201,MATCH($B1434,Summary!$A$2:$A$201,0))</f>
        <v>10.32</v>
      </c>
      <c r="S1434" s="3" t="n">
        <f aca="false">INDEX(Summary!$O$2:$O$201,MATCH($B1434,Summary!$A$2:$A$201,0))</f>
        <v>7</v>
      </c>
      <c r="T1434" s="3" t="n">
        <f aca="false">INDEX(Summary!$P$2:$P$201,MATCH($B1434,Summary!$A$2:$A$201,0))</f>
        <v>2</v>
      </c>
      <c r="U1434" s="2" t="n">
        <f aca="false">INDEX(Summary!$Q$2:$Q$201,MATCH($B1434,Summary!$A$2:$A$201,0))</f>
        <v>12.26</v>
      </c>
      <c r="V1434" s="2" t="n">
        <f aca="false">INDEX(Summary!$R$2:$R$201,MATCH($B1434,Summary!$A$2:$A$201,0))</f>
        <v>20.33</v>
      </c>
      <c r="W1434" s="0" t="str">
        <f aca="false">INDEX(Summary!$S$2:$S$201,MATCH($B1434,Summary!$A$2:$A$201,0))</f>
        <v>Bronze</v>
      </c>
      <c r="X1434" s="2" t="n">
        <f aca="false">INDEX(Summary!$T$2:$T$201,MATCH($B1434,Summary!$A$2:$A$201,0))</f>
        <v>49.59</v>
      </c>
      <c r="Y1434" s="0" t="str">
        <f aca="false">INDEX('Reward Model'!$E$18:$E$37,MATCH($E1434,'Reward Model'!$A$18:$A$37,0))</f>
        <v>Medium</v>
      </c>
      <c r="Z1434" s="4" t="n">
        <f aca="false">ROUND(MIN(1,MAX('Reward Model'!$B$2,INDEX('Reward Model'!$C$12:$C$14,MATCH($K1434,'Reward Model'!$A$12:$A$14,0))/$J1434)),3)</f>
        <v>0.878</v>
      </c>
      <c r="AA1434" s="2" t="n">
        <f aca="false">IF($I1434="Correct",ROUND(INDEX('Reward Model'!$B$12:$B$14,MATCH($K1434,'Reward Model'!$A$12:$A$14,0))*Z1434,2),0)</f>
        <v>0</v>
      </c>
      <c r="AB1434" s="2" t="n">
        <f aca="false">IF($I1434="Correct",ROUND(INDEX('Reward Model'!$B$12:$B$14,MATCH($Y1434,'Reward Model'!$A$12:$A$14,0))*Z1434,2),0)</f>
        <v>0</v>
      </c>
    </row>
    <row r="1435" customFormat="false" ht="15" hidden="false" customHeight="false" outlineLevel="0" collapsed="false">
      <c r="A1435" s="0" t="s">
        <v>271</v>
      </c>
      <c r="B1435" s="0" t="s">
        <v>272</v>
      </c>
      <c r="C1435" s="0" t="s">
        <v>30</v>
      </c>
      <c r="D1435" s="0" t="s">
        <v>189</v>
      </c>
      <c r="E1435" s="0" t="n">
        <v>14</v>
      </c>
      <c r="F1435" s="0" t="s">
        <v>68</v>
      </c>
      <c r="G1435" s="0" t="s">
        <v>51</v>
      </c>
      <c r="H1435" s="0" t="s">
        <v>51</v>
      </c>
      <c r="I1435" s="0" t="s">
        <v>34</v>
      </c>
      <c r="J1435" s="0" t="n">
        <v>1.35</v>
      </c>
      <c r="K1435" s="0" t="s">
        <v>60</v>
      </c>
      <c r="L1435" s="0" t="n">
        <f aca="false">INDEX(Summary!$F$2:$F$201,MATCH($B1435,Summary!$A$2:$A$201,0))</f>
        <v>20</v>
      </c>
      <c r="M1435" s="0" t="n">
        <f aca="false">INDEX(Summary!$I$2:$I$201,MATCH($B1435,Summary!$A$2:$A$201,0))</f>
        <v>2</v>
      </c>
      <c r="N1435" s="0" t="n">
        <f aca="false">INDEX(Summary!$J$2:$J$201,MATCH($B1435,Summary!$A$2:$A$201,0))</f>
        <v>3</v>
      </c>
      <c r="O1435" s="2" t="n">
        <f aca="false">INDEX(Summary!$K$2:$K$201,MATCH($B1435,Summary!$A$2:$A$201,0))</f>
        <v>9.66</v>
      </c>
      <c r="P1435" s="3" t="n">
        <f aca="false">INDEX(Summary!$L$2:$L$201,MATCH($B1435,Summary!$A$2:$A$201,0))</f>
        <v>2</v>
      </c>
      <c r="Q1435" s="3" t="n">
        <f aca="false">INDEX(Summary!$M$2:$M$201,MATCH($B1435,Summary!$A$2:$A$201,0))</f>
        <v>4</v>
      </c>
      <c r="R1435" s="2" t="n">
        <f aca="false">INDEX(Summary!$N$2:$N$201,MATCH($B1435,Summary!$A$2:$A$201,0))</f>
        <v>10.32</v>
      </c>
      <c r="S1435" s="3" t="n">
        <f aca="false">INDEX(Summary!$O$2:$O$201,MATCH($B1435,Summary!$A$2:$A$201,0))</f>
        <v>7</v>
      </c>
      <c r="T1435" s="3" t="n">
        <f aca="false">INDEX(Summary!$P$2:$P$201,MATCH($B1435,Summary!$A$2:$A$201,0))</f>
        <v>2</v>
      </c>
      <c r="U1435" s="2" t="n">
        <f aca="false">INDEX(Summary!$Q$2:$Q$201,MATCH($B1435,Summary!$A$2:$A$201,0))</f>
        <v>12.26</v>
      </c>
      <c r="V1435" s="2" t="n">
        <f aca="false">INDEX(Summary!$R$2:$R$201,MATCH($B1435,Summary!$A$2:$A$201,0))</f>
        <v>20.33</v>
      </c>
      <c r="W1435" s="0" t="str">
        <f aca="false">INDEX(Summary!$S$2:$S$201,MATCH($B1435,Summary!$A$2:$A$201,0))</f>
        <v>Bronze</v>
      </c>
      <c r="X1435" s="2" t="n">
        <f aca="false">INDEX(Summary!$T$2:$T$201,MATCH($B1435,Summary!$A$2:$A$201,0))</f>
        <v>49.59</v>
      </c>
      <c r="Y1435" s="0" t="str">
        <f aca="false">INDEX('Reward Model'!$E$18:$E$37,MATCH($E1435,'Reward Model'!$A$18:$A$37,0))</f>
        <v>Medium</v>
      </c>
      <c r="Z1435" s="4" t="n">
        <f aca="false">ROUND(MIN(1,MAX('Reward Model'!$B$2,INDEX('Reward Model'!$C$12:$C$14,MATCH($K1435,'Reward Model'!$A$12:$A$14,0))/$J1435)),3)</f>
        <v>1</v>
      </c>
      <c r="AA1435" s="2" t="n">
        <f aca="false">IF($I1435="Correct",ROUND(INDEX('Reward Model'!$B$12:$B$14,MATCH($K1435,'Reward Model'!$A$12:$A$14,0))*Z1435,2),0)</f>
        <v>2</v>
      </c>
      <c r="AB1435" s="2" t="n">
        <f aca="false">IF($I1435="Correct",ROUND(INDEX('Reward Model'!$B$12:$B$14,MATCH($Y1435,'Reward Model'!$A$12:$A$14,0))*Z1435,2),0)</f>
        <v>2</v>
      </c>
    </row>
    <row r="1436" customFormat="false" ht="15" hidden="false" customHeight="false" outlineLevel="0" collapsed="false">
      <c r="A1436" s="0" t="s">
        <v>271</v>
      </c>
      <c r="B1436" s="0" t="s">
        <v>272</v>
      </c>
      <c r="C1436" s="0" t="s">
        <v>30</v>
      </c>
      <c r="D1436" s="0" t="s">
        <v>189</v>
      </c>
      <c r="E1436" s="0" t="n">
        <v>15</v>
      </c>
      <c r="F1436" s="0" t="s">
        <v>69</v>
      </c>
      <c r="G1436" s="0" t="s">
        <v>131</v>
      </c>
      <c r="H1436" s="0" t="s">
        <v>70</v>
      </c>
      <c r="I1436" s="0" t="s">
        <v>39</v>
      </c>
      <c r="J1436" s="0" t="n">
        <v>2.15</v>
      </c>
      <c r="K1436" s="0" t="s">
        <v>60</v>
      </c>
      <c r="L1436" s="0" t="n">
        <f aca="false">INDEX(Summary!$F$2:$F$201,MATCH($B1436,Summary!$A$2:$A$201,0))</f>
        <v>20</v>
      </c>
      <c r="M1436" s="0" t="n">
        <f aca="false">INDEX(Summary!$I$2:$I$201,MATCH($B1436,Summary!$A$2:$A$201,0))</f>
        <v>2</v>
      </c>
      <c r="N1436" s="0" t="n">
        <f aca="false">INDEX(Summary!$J$2:$J$201,MATCH($B1436,Summary!$A$2:$A$201,0))</f>
        <v>3</v>
      </c>
      <c r="O1436" s="2" t="n">
        <f aca="false">INDEX(Summary!$K$2:$K$201,MATCH($B1436,Summary!$A$2:$A$201,0))</f>
        <v>9.66</v>
      </c>
      <c r="P1436" s="3" t="n">
        <f aca="false">INDEX(Summary!$L$2:$L$201,MATCH($B1436,Summary!$A$2:$A$201,0))</f>
        <v>2</v>
      </c>
      <c r="Q1436" s="3" t="n">
        <f aca="false">INDEX(Summary!$M$2:$M$201,MATCH($B1436,Summary!$A$2:$A$201,0))</f>
        <v>4</v>
      </c>
      <c r="R1436" s="2" t="n">
        <f aca="false">INDEX(Summary!$N$2:$N$201,MATCH($B1436,Summary!$A$2:$A$201,0))</f>
        <v>10.32</v>
      </c>
      <c r="S1436" s="3" t="n">
        <f aca="false">INDEX(Summary!$O$2:$O$201,MATCH($B1436,Summary!$A$2:$A$201,0))</f>
        <v>7</v>
      </c>
      <c r="T1436" s="3" t="n">
        <f aca="false">INDEX(Summary!$P$2:$P$201,MATCH($B1436,Summary!$A$2:$A$201,0))</f>
        <v>2</v>
      </c>
      <c r="U1436" s="2" t="n">
        <f aca="false">INDEX(Summary!$Q$2:$Q$201,MATCH($B1436,Summary!$A$2:$A$201,0))</f>
        <v>12.26</v>
      </c>
      <c r="V1436" s="2" t="n">
        <f aca="false">INDEX(Summary!$R$2:$R$201,MATCH($B1436,Summary!$A$2:$A$201,0))</f>
        <v>20.33</v>
      </c>
      <c r="W1436" s="0" t="str">
        <f aca="false">INDEX(Summary!$S$2:$S$201,MATCH($B1436,Summary!$A$2:$A$201,0))</f>
        <v>Bronze</v>
      </c>
      <c r="X1436" s="2" t="n">
        <f aca="false">INDEX(Summary!$T$2:$T$201,MATCH($B1436,Summary!$A$2:$A$201,0))</f>
        <v>49.59</v>
      </c>
      <c r="Y1436" s="0" t="str">
        <f aca="false">INDEX('Reward Model'!$E$18:$E$37,MATCH($E1436,'Reward Model'!$A$18:$A$37,0))</f>
        <v>Medium</v>
      </c>
      <c r="Z1436" s="4" t="n">
        <f aca="false">ROUND(MIN(1,MAX('Reward Model'!$B$2,INDEX('Reward Model'!$C$12:$C$14,MATCH($K1436,'Reward Model'!$A$12:$A$14,0))/$J1436)),3)</f>
        <v>0.837</v>
      </c>
      <c r="AA1436" s="2" t="n">
        <f aca="false">IF($I1436="Correct",ROUND(INDEX('Reward Model'!$B$12:$B$14,MATCH($K1436,'Reward Model'!$A$12:$A$14,0))*Z1436,2),0)</f>
        <v>0</v>
      </c>
      <c r="AB1436" s="2" t="n">
        <f aca="false">IF($I1436="Correct",ROUND(INDEX('Reward Model'!$B$12:$B$14,MATCH($Y1436,'Reward Model'!$A$12:$A$14,0))*Z1436,2),0)</f>
        <v>0</v>
      </c>
    </row>
    <row r="1437" customFormat="false" ht="15" hidden="false" customHeight="false" outlineLevel="0" collapsed="false">
      <c r="A1437" s="0" t="s">
        <v>271</v>
      </c>
      <c r="B1437" s="0" t="s">
        <v>272</v>
      </c>
      <c r="C1437" s="0" t="s">
        <v>30</v>
      </c>
      <c r="D1437" s="0" t="s">
        <v>189</v>
      </c>
      <c r="E1437" s="0" t="n">
        <v>16</v>
      </c>
      <c r="F1437" s="0" t="s">
        <v>71</v>
      </c>
      <c r="G1437" s="0" t="s">
        <v>72</v>
      </c>
      <c r="H1437" s="0" t="s">
        <v>72</v>
      </c>
      <c r="I1437" s="0" t="s">
        <v>34</v>
      </c>
      <c r="J1437" s="0" t="n">
        <v>2.27</v>
      </c>
      <c r="K1437" s="0" t="s">
        <v>73</v>
      </c>
      <c r="L1437" s="0" t="n">
        <f aca="false">INDEX(Summary!$F$2:$F$201,MATCH($B1437,Summary!$A$2:$A$201,0))</f>
        <v>20</v>
      </c>
      <c r="M1437" s="0" t="n">
        <f aca="false">INDEX(Summary!$I$2:$I$201,MATCH($B1437,Summary!$A$2:$A$201,0))</f>
        <v>2</v>
      </c>
      <c r="N1437" s="0" t="n">
        <f aca="false">INDEX(Summary!$J$2:$J$201,MATCH($B1437,Summary!$A$2:$A$201,0))</f>
        <v>3</v>
      </c>
      <c r="O1437" s="2" t="n">
        <f aca="false">INDEX(Summary!$K$2:$K$201,MATCH($B1437,Summary!$A$2:$A$201,0))</f>
        <v>9.66</v>
      </c>
      <c r="P1437" s="3" t="n">
        <f aca="false">INDEX(Summary!$L$2:$L$201,MATCH($B1437,Summary!$A$2:$A$201,0))</f>
        <v>2</v>
      </c>
      <c r="Q1437" s="3" t="n">
        <f aca="false">INDEX(Summary!$M$2:$M$201,MATCH($B1437,Summary!$A$2:$A$201,0))</f>
        <v>4</v>
      </c>
      <c r="R1437" s="2" t="n">
        <f aca="false">INDEX(Summary!$N$2:$N$201,MATCH($B1437,Summary!$A$2:$A$201,0))</f>
        <v>10.32</v>
      </c>
      <c r="S1437" s="3" t="n">
        <f aca="false">INDEX(Summary!$O$2:$O$201,MATCH($B1437,Summary!$A$2:$A$201,0))</f>
        <v>7</v>
      </c>
      <c r="T1437" s="3" t="n">
        <f aca="false">INDEX(Summary!$P$2:$P$201,MATCH($B1437,Summary!$A$2:$A$201,0))</f>
        <v>2</v>
      </c>
      <c r="U1437" s="2" t="n">
        <f aca="false">INDEX(Summary!$Q$2:$Q$201,MATCH($B1437,Summary!$A$2:$A$201,0))</f>
        <v>12.26</v>
      </c>
      <c r="V1437" s="2" t="n">
        <f aca="false">INDEX(Summary!$R$2:$R$201,MATCH($B1437,Summary!$A$2:$A$201,0))</f>
        <v>20.33</v>
      </c>
      <c r="W1437" s="0" t="str">
        <f aca="false">INDEX(Summary!$S$2:$S$201,MATCH($B1437,Summary!$A$2:$A$201,0))</f>
        <v>Bronze</v>
      </c>
      <c r="X1437" s="2" t="n">
        <f aca="false">INDEX(Summary!$T$2:$T$201,MATCH($B1437,Summary!$A$2:$A$201,0))</f>
        <v>49.59</v>
      </c>
      <c r="Y1437" s="0" t="str">
        <f aca="false">INDEX('Reward Model'!$E$18:$E$37,MATCH($E1437,'Reward Model'!$A$18:$A$37,0))</f>
        <v>High</v>
      </c>
      <c r="Z1437" s="4" t="n">
        <f aca="false">ROUND(MIN(1,MAX('Reward Model'!$B$2,INDEX('Reward Model'!$C$12:$C$14,MATCH($K1437,'Reward Model'!$A$12:$A$14,0))/$J1437)),3)</f>
        <v>0.881</v>
      </c>
      <c r="AA1437" s="2" t="n">
        <f aca="false">IF($I1437="Correct",ROUND(INDEX('Reward Model'!$B$12:$B$14,MATCH($K1437,'Reward Model'!$A$12:$A$14,0))*Z1437,2),0)</f>
        <v>2.64</v>
      </c>
      <c r="AB1437" s="2" t="n">
        <f aca="false">IF($I1437="Correct",ROUND(INDEX('Reward Model'!$B$12:$B$14,MATCH($Y1437,'Reward Model'!$A$12:$A$14,0))*Z1437,2),0)</f>
        <v>2.64</v>
      </c>
    </row>
    <row r="1438" customFormat="false" ht="15" hidden="false" customHeight="false" outlineLevel="0" collapsed="false">
      <c r="A1438" s="0" t="s">
        <v>271</v>
      </c>
      <c r="B1438" s="0" t="s">
        <v>272</v>
      </c>
      <c r="C1438" s="0" t="s">
        <v>30</v>
      </c>
      <c r="D1438" s="0" t="s">
        <v>189</v>
      </c>
      <c r="E1438" s="0" t="n">
        <v>17</v>
      </c>
      <c r="F1438" s="0" t="s">
        <v>74</v>
      </c>
      <c r="G1438" s="0" t="s">
        <v>105</v>
      </c>
      <c r="H1438" s="0" t="s">
        <v>75</v>
      </c>
      <c r="I1438" s="0" t="s">
        <v>39</v>
      </c>
      <c r="J1438" s="0" t="n">
        <v>1.43</v>
      </c>
      <c r="K1438" s="0" t="s">
        <v>73</v>
      </c>
      <c r="L1438" s="0" t="n">
        <f aca="false">INDEX(Summary!$F$2:$F$201,MATCH($B1438,Summary!$A$2:$A$201,0))</f>
        <v>20</v>
      </c>
      <c r="M1438" s="0" t="n">
        <f aca="false">INDEX(Summary!$I$2:$I$201,MATCH($B1438,Summary!$A$2:$A$201,0))</f>
        <v>2</v>
      </c>
      <c r="N1438" s="0" t="n">
        <f aca="false">INDEX(Summary!$J$2:$J$201,MATCH($B1438,Summary!$A$2:$A$201,0))</f>
        <v>3</v>
      </c>
      <c r="O1438" s="2" t="n">
        <f aca="false">INDEX(Summary!$K$2:$K$201,MATCH($B1438,Summary!$A$2:$A$201,0))</f>
        <v>9.66</v>
      </c>
      <c r="P1438" s="3" t="n">
        <f aca="false">INDEX(Summary!$L$2:$L$201,MATCH($B1438,Summary!$A$2:$A$201,0))</f>
        <v>2</v>
      </c>
      <c r="Q1438" s="3" t="n">
        <f aca="false">INDEX(Summary!$M$2:$M$201,MATCH($B1438,Summary!$A$2:$A$201,0))</f>
        <v>4</v>
      </c>
      <c r="R1438" s="2" t="n">
        <f aca="false">INDEX(Summary!$N$2:$N$201,MATCH($B1438,Summary!$A$2:$A$201,0))</f>
        <v>10.32</v>
      </c>
      <c r="S1438" s="3" t="n">
        <f aca="false">INDEX(Summary!$O$2:$O$201,MATCH($B1438,Summary!$A$2:$A$201,0))</f>
        <v>7</v>
      </c>
      <c r="T1438" s="3" t="n">
        <f aca="false">INDEX(Summary!$P$2:$P$201,MATCH($B1438,Summary!$A$2:$A$201,0))</f>
        <v>2</v>
      </c>
      <c r="U1438" s="2" t="n">
        <f aca="false">INDEX(Summary!$Q$2:$Q$201,MATCH($B1438,Summary!$A$2:$A$201,0))</f>
        <v>12.26</v>
      </c>
      <c r="V1438" s="2" t="n">
        <f aca="false">INDEX(Summary!$R$2:$R$201,MATCH($B1438,Summary!$A$2:$A$201,0))</f>
        <v>20.33</v>
      </c>
      <c r="W1438" s="0" t="str">
        <f aca="false">INDEX(Summary!$S$2:$S$201,MATCH($B1438,Summary!$A$2:$A$201,0))</f>
        <v>Bronze</v>
      </c>
      <c r="X1438" s="2" t="n">
        <f aca="false">INDEX(Summary!$T$2:$T$201,MATCH($B1438,Summary!$A$2:$A$201,0))</f>
        <v>49.59</v>
      </c>
      <c r="Y1438" s="0" t="str">
        <f aca="false">INDEX('Reward Model'!$E$18:$E$37,MATCH($E1438,'Reward Model'!$A$18:$A$37,0))</f>
        <v>High</v>
      </c>
      <c r="Z1438" s="4" t="n">
        <f aca="false">ROUND(MIN(1,MAX('Reward Model'!$B$2,INDEX('Reward Model'!$C$12:$C$14,MATCH($K1438,'Reward Model'!$A$12:$A$14,0))/$J1438)),3)</f>
        <v>1</v>
      </c>
      <c r="AA1438" s="2" t="n">
        <f aca="false">IF($I1438="Correct",ROUND(INDEX('Reward Model'!$B$12:$B$14,MATCH($K1438,'Reward Model'!$A$12:$A$14,0))*Z1438,2),0)</f>
        <v>0</v>
      </c>
      <c r="AB1438" s="2" t="n">
        <f aca="false">IF($I1438="Correct",ROUND(INDEX('Reward Model'!$B$12:$B$14,MATCH($Y1438,'Reward Model'!$A$12:$A$14,0))*Z1438,2),0)</f>
        <v>0</v>
      </c>
    </row>
    <row r="1439" customFormat="false" ht="15" hidden="false" customHeight="false" outlineLevel="0" collapsed="false">
      <c r="A1439" s="0" t="s">
        <v>271</v>
      </c>
      <c r="B1439" s="0" t="s">
        <v>272</v>
      </c>
      <c r="C1439" s="0" t="s">
        <v>30</v>
      </c>
      <c r="D1439" s="0" t="s">
        <v>189</v>
      </c>
      <c r="E1439" s="0" t="n">
        <v>18</v>
      </c>
      <c r="F1439" s="0" t="s">
        <v>76</v>
      </c>
      <c r="G1439" s="0" t="s">
        <v>77</v>
      </c>
      <c r="H1439" s="0" t="s">
        <v>77</v>
      </c>
      <c r="I1439" s="0" t="s">
        <v>34</v>
      </c>
      <c r="J1439" s="0" t="n">
        <v>2.01</v>
      </c>
      <c r="K1439" s="0" t="s">
        <v>73</v>
      </c>
      <c r="L1439" s="0" t="n">
        <f aca="false">INDEX(Summary!$F$2:$F$201,MATCH($B1439,Summary!$A$2:$A$201,0))</f>
        <v>20</v>
      </c>
      <c r="M1439" s="0" t="n">
        <f aca="false">INDEX(Summary!$I$2:$I$201,MATCH($B1439,Summary!$A$2:$A$201,0))</f>
        <v>2</v>
      </c>
      <c r="N1439" s="0" t="n">
        <f aca="false">INDEX(Summary!$J$2:$J$201,MATCH($B1439,Summary!$A$2:$A$201,0))</f>
        <v>3</v>
      </c>
      <c r="O1439" s="2" t="n">
        <f aca="false">INDEX(Summary!$K$2:$K$201,MATCH($B1439,Summary!$A$2:$A$201,0))</f>
        <v>9.66</v>
      </c>
      <c r="P1439" s="3" t="n">
        <f aca="false">INDEX(Summary!$L$2:$L$201,MATCH($B1439,Summary!$A$2:$A$201,0))</f>
        <v>2</v>
      </c>
      <c r="Q1439" s="3" t="n">
        <f aca="false">INDEX(Summary!$M$2:$M$201,MATCH($B1439,Summary!$A$2:$A$201,0))</f>
        <v>4</v>
      </c>
      <c r="R1439" s="2" t="n">
        <f aca="false">INDEX(Summary!$N$2:$N$201,MATCH($B1439,Summary!$A$2:$A$201,0))</f>
        <v>10.32</v>
      </c>
      <c r="S1439" s="3" t="n">
        <f aca="false">INDEX(Summary!$O$2:$O$201,MATCH($B1439,Summary!$A$2:$A$201,0))</f>
        <v>7</v>
      </c>
      <c r="T1439" s="3" t="n">
        <f aca="false">INDEX(Summary!$P$2:$P$201,MATCH($B1439,Summary!$A$2:$A$201,0))</f>
        <v>2</v>
      </c>
      <c r="U1439" s="2" t="n">
        <f aca="false">INDEX(Summary!$Q$2:$Q$201,MATCH($B1439,Summary!$A$2:$A$201,0))</f>
        <v>12.26</v>
      </c>
      <c r="V1439" s="2" t="n">
        <f aca="false">INDEX(Summary!$R$2:$R$201,MATCH($B1439,Summary!$A$2:$A$201,0))</f>
        <v>20.33</v>
      </c>
      <c r="W1439" s="0" t="str">
        <f aca="false">INDEX(Summary!$S$2:$S$201,MATCH($B1439,Summary!$A$2:$A$201,0))</f>
        <v>Bronze</v>
      </c>
      <c r="X1439" s="2" t="n">
        <f aca="false">INDEX(Summary!$T$2:$T$201,MATCH($B1439,Summary!$A$2:$A$201,0))</f>
        <v>49.59</v>
      </c>
      <c r="Y1439" s="0" t="str">
        <f aca="false">INDEX('Reward Model'!$E$18:$E$37,MATCH($E1439,'Reward Model'!$A$18:$A$37,0))</f>
        <v>High</v>
      </c>
      <c r="Z1439" s="4" t="n">
        <f aca="false">ROUND(MIN(1,MAX('Reward Model'!$B$2,INDEX('Reward Model'!$C$12:$C$14,MATCH($K1439,'Reward Model'!$A$12:$A$14,0))/$J1439)),3)</f>
        <v>0.995</v>
      </c>
      <c r="AA1439" s="2" t="n">
        <f aca="false">IF($I1439="Correct",ROUND(INDEX('Reward Model'!$B$12:$B$14,MATCH($K1439,'Reward Model'!$A$12:$A$14,0))*Z1439,2),0)</f>
        <v>2.99</v>
      </c>
      <c r="AB1439" s="2" t="n">
        <f aca="false">IF($I1439="Correct",ROUND(INDEX('Reward Model'!$B$12:$B$14,MATCH($Y1439,'Reward Model'!$A$12:$A$14,0))*Z1439,2),0)</f>
        <v>2.99</v>
      </c>
    </row>
    <row r="1440" customFormat="false" ht="15" hidden="false" customHeight="false" outlineLevel="0" collapsed="false">
      <c r="A1440" s="0" t="s">
        <v>271</v>
      </c>
      <c r="B1440" s="0" t="s">
        <v>272</v>
      </c>
      <c r="C1440" s="0" t="s">
        <v>30</v>
      </c>
      <c r="D1440" s="0" t="s">
        <v>189</v>
      </c>
      <c r="E1440" s="0" t="n">
        <v>19</v>
      </c>
      <c r="F1440" s="0" t="s">
        <v>78</v>
      </c>
      <c r="G1440" s="0" t="s">
        <v>132</v>
      </c>
      <c r="H1440" s="0" t="s">
        <v>80</v>
      </c>
      <c r="I1440" s="0" t="s">
        <v>39</v>
      </c>
      <c r="J1440" s="0" t="n">
        <v>1.68</v>
      </c>
      <c r="K1440" s="0" t="s">
        <v>73</v>
      </c>
      <c r="L1440" s="0" t="n">
        <f aca="false">INDEX(Summary!$F$2:$F$201,MATCH($B1440,Summary!$A$2:$A$201,0))</f>
        <v>20</v>
      </c>
      <c r="M1440" s="0" t="n">
        <f aca="false">INDEX(Summary!$I$2:$I$201,MATCH($B1440,Summary!$A$2:$A$201,0))</f>
        <v>2</v>
      </c>
      <c r="N1440" s="0" t="n">
        <f aca="false">INDEX(Summary!$J$2:$J$201,MATCH($B1440,Summary!$A$2:$A$201,0))</f>
        <v>3</v>
      </c>
      <c r="O1440" s="2" t="n">
        <f aca="false">INDEX(Summary!$K$2:$K$201,MATCH($B1440,Summary!$A$2:$A$201,0))</f>
        <v>9.66</v>
      </c>
      <c r="P1440" s="3" t="n">
        <f aca="false">INDEX(Summary!$L$2:$L$201,MATCH($B1440,Summary!$A$2:$A$201,0))</f>
        <v>2</v>
      </c>
      <c r="Q1440" s="3" t="n">
        <f aca="false">INDEX(Summary!$M$2:$M$201,MATCH($B1440,Summary!$A$2:$A$201,0))</f>
        <v>4</v>
      </c>
      <c r="R1440" s="2" t="n">
        <f aca="false">INDEX(Summary!$N$2:$N$201,MATCH($B1440,Summary!$A$2:$A$201,0))</f>
        <v>10.32</v>
      </c>
      <c r="S1440" s="3" t="n">
        <f aca="false">INDEX(Summary!$O$2:$O$201,MATCH($B1440,Summary!$A$2:$A$201,0))</f>
        <v>7</v>
      </c>
      <c r="T1440" s="3" t="n">
        <f aca="false">INDEX(Summary!$P$2:$P$201,MATCH($B1440,Summary!$A$2:$A$201,0))</f>
        <v>2</v>
      </c>
      <c r="U1440" s="2" t="n">
        <f aca="false">INDEX(Summary!$Q$2:$Q$201,MATCH($B1440,Summary!$A$2:$A$201,0))</f>
        <v>12.26</v>
      </c>
      <c r="V1440" s="2" t="n">
        <f aca="false">INDEX(Summary!$R$2:$R$201,MATCH($B1440,Summary!$A$2:$A$201,0))</f>
        <v>20.33</v>
      </c>
      <c r="W1440" s="0" t="str">
        <f aca="false">INDEX(Summary!$S$2:$S$201,MATCH($B1440,Summary!$A$2:$A$201,0))</f>
        <v>Bronze</v>
      </c>
      <c r="X1440" s="2" t="n">
        <f aca="false">INDEX(Summary!$T$2:$T$201,MATCH($B1440,Summary!$A$2:$A$201,0))</f>
        <v>49.59</v>
      </c>
      <c r="Y1440" s="0" t="str">
        <f aca="false">INDEX('Reward Model'!$E$18:$E$37,MATCH($E1440,'Reward Model'!$A$18:$A$37,0))</f>
        <v>High</v>
      </c>
      <c r="Z1440" s="4" t="n">
        <f aca="false">ROUND(MIN(1,MAX('Reward Model'!$B$2,INDEX('Reward Model'!$C$12:$C$14,MATCH($K1440,'Reward Model'!$A$12:$A$14,0))/$J1440)),3)</f>
        <v>1</v>
      </c>
      <c r="AA1440" s="2" t="n">
        <f aca="false">IF($I1440="Correct",ROUND(INDEX('Reward Model'!$B$12:$B$14,MATCH($K1440,'Reward Model'!$A$12:$A$14,0))*Z1440,2),0)</f>
        <v>0</v>
      </c>
      <c r="AB1440" s="2" t="n">
        <f aca="false">IF($I1440="Correct",ROUND(INDEX('Reward Model'!$B$12:$B$14,MATCH($Y1440,'Reward Model'!$A$12:$A$14,0))*Z1440,2),0)</f>
        <v>0</v>
      </c>
    </row>
    <row r="1441" customFormat="false" ht="15" hidden="false" customHeight="false" outlineLevel="0" collapsed="false">
      <c r="A1441" s="0" t="s">
        <v>271</v>
      </c>
      <c r="B1441" s="0" t="s">
        <v>272</v>
      </c>
      <c r="C1441" s="0" t="s">
        <v>30</v>
      </c>
      <c r="D1441" s="0" t="s">
        <v>189</v>
      </c>
      <c r="E1441" s="0" t="n">
        <v>20</v>
      </c>
      <c r="F1441" s="0" t="s">
        <v>81</v>
      </c>
      <c r="G1441" s="0" t="s">
        <v>119</v>
      </c>
      <c r="H1441" s="0" t="s">
        <v>83</v>
      </c>
      <c r="I1441" s="0" t="s">
        <v>39</v>
      </c>
      <c r="J1441" s="0" t="n">
        <v>2.27</v>
      </c>
      <c r="K1441" s="0" t="s">
        <v>73</v>
      </c>
      <c r="L1441" s="0" t="n">
        <f aca="false">INDEX(Summary!$F$2:$F$201,MATCH($B1441,Summary!$A$2:$A$201,0))</f>
        <v>20</v>
      </c>
      <c r="M1441" s="0" t="n">
        <f aca="false">INDEX(Summary!$I$2:$I$201,MATCH($B1441,Summary!$A$2:$A$201,0))</f>
        <v>2</v>
      </c>
      <c r="N1441" s="0" t="n">
        <f aca="false">INDEX(Summary!$J$2:$J$201,MATCH($B1441,Summary!$A$2:$A$201,0))</f>
        <v>3</v>
      </c>
      <c r="O1441" s="2" t="n">
        <f aca="false">INDEX(Summary!$K$2:$K$201,MATCH($B1441,Summary!$A$2:$A$201,0))</f>
        <v>9.66</v>
      </c>
      <c r="P1441" s="3" t="n">
        <f aca="false">INDEX(Summary!$L$2:$L$201,MATCH($B1441,Summary!$A$2:$A$201,0))</f>
        <v>2</v>
      </c>
      <c r="Q1441" s="3" t="n">
        <f aca="false">INDEX(Summary!$M$2:$M$201,MATCH($B1441,Summary!$A$2:$A$201,0))</f>
        <v>4</v>
      </c>
      <c r="R1441" s="2" t="n">
        <f aca="false">INDEX(Summary!$N$2:$N$201,MATCH($B1441,Summary!$A$2:$A$201,0))</f>
        <v>10.32</v>
      </c>
      <c r="S1441" s="3" t="n">
        <f aca="false">INDEX(Summary!$O$2:$O$201,MATCH($B1441,Summary!$A$2:$A$201,0))</f>
        <v>7</v>
      </c>
      <c r="T1441" s="3" t="n">
        <f aca="false">INDEX(Summary!$P$2:$P$201,MATCH($B1441,Summary!$A$2:$A$201,0))</f>
        <v>2</v>
      </c>
      <c r="U1441" s="2" t="n">
        <f aca="false">INDEX(Summary!$Q$2:$Q$201,MATCH($B1441,Summary!$A$2:$A$201,0))</f>
        <v>12.26</v>
      </c>
      <c r="V1441" s="2" t="n">
        <f aca="false">INDEX(Summary!$R$2:$R$201,MATCH($B1441,Summary!$A$2:$A$201,0))</f>
        <v>20.33</v>
      </c>
      <c r="W1441" s="0" t="str">
        <f aca="false">INDEX(Summary!$S$2:$S$201,MATCH($B1441,Summary!$A$2:$A$201,0))</f>
        <v>Bronze</v>
      </c>
      <c r="X1441" s="2" t="n">
        <f aca="false">INDEX(Summary!$T$2:$T$201,MATCH($B1441,Summary!$A$2:$A$201,0))</f>
        <v>49.59</v>
      </c>
      <c r="Y1441" s="0" t="str">
        <f aca="false">INDEX('Reward Model'!$E$18:$E$37,MATCH($E1441,'Reward Model'!$A$18:$A$37,0))</f>
        <v>High</v>
      </c>
      <c r="Z1441" s="4" t="n">
        <f aca="false">ROUND(MIN(1,MAX('Reward Model'!$B$2,INDEX('Reward Model'!$C$12:$C$14,MATCH($K1441,'Reward Model'!$A$12:$A$14,0))/$J1441)),3)</f>
        <v>0.881</v>
      </c>
      <c r="AA1441" s="2" t="n">
        <f aca="false">IF($I1441="Correct",ROUND(INDEX('Reward Model'!$B$12:$B$14,MATCH($K1441,'Reward Model'!$A$12:$A$14,0))*Z1441,2),0)</f>
        <v>0</v>
      </c>
      <c r="AB1441" s="2" t="n">
        <f aca="false">IF($I1441="Correct",ROUND(INDEX('Reward Model'!$B$12:$B$14,MATCH($Y1441,'Reward Model'!$A$12:$A$14,0))*Z1441,2),0)</f>
        <v>0</v>
      </c>
    </row>
    <row r="1442" customFormat="false" ht="15" hidden="false" customHeight="false" outlineLevel="0" collapsed="false">
      <c r="A1442" s="0" t="s">
        <v>273</v>
      </c>
      <c r="B1442" s="0" t="s">
        <v>274</v>
      </c>
      <c r="C1442" s="0" t="s">
        <v>30</v>
      </c>
      <c r="D1442" s="0" t="s">
        <v>275</v>
      </c>
      <c r="E1442" s="0" t="n">
        <v>1</v>
      </c>
      <c r="F1442" s="0" t="s">
        <v>32</v>
      </c>
      <c r="G1442" s="0" t="s">
        <v>33</v>
      </c>
      <c r="H1442" s="0" t="s">
        <v>33</v>
      </c>
      <c r="I1442" s="0" t="s">
        <v>34</v>
      </c>
      <c r="J1442" s="0" t="n">
        <v>1.33</v>
      </c>
      <c r="K1442" s="0" t="s">
        <v>35</v>
      </c>
      <c r="L1442" s="0" t="n">
        <f aca="false">INDEX(Summary!$F$2:$F$201,MATCH($B1442,Summary!$A$2:$A$201,0))</f>
        <v>20</v>
      </c>
      <c r="M1442" s="0" t="n">
        <f aca="false">INDEX(Summary!$I$2:$I$201,MATCH($B1442,Summary!$A$2:$A$201,0))</f>
        <v>4</v>
      </c>
      <c r="N1442" s="0" t="n">
        <f aca="false">INDEX(Summary!$J$2:$J$201,MATCH($B1442,Summary!$A$2:$A$201,0))</f>
        <v>1</v>
      </c>
      <c r="O1442" s="2" t="n">
        <f aca="false">INDEX(Summary!$K$2:$K$201,MATCH($B1442,Summary!$A$2:$A$201,0))</f>
        <v>9.96</v>
      </c>
      <c r="P1442" s="3" t="n">
        <f aca="false">INDEX(Summary!$L$2:$L$201,MATCH($B1442,Summary!$A$2:$A$201,0))</f>
        <v>3</v>
      </c>
      <c r="Q1442" s="3" t="n">
        <f aca="false">INDEX(Summary!$M$2:$M$201,MATCH($B1442,Summary!$A$2:$A$201,0))</f>
        <v>3</v>
      </c>
      <c r="R1442" s="2" t="n">
        <f aca="false">INDEX(Summary!$N$2:$N$201,MATCH($B1442,Summary!$A$2:$A$201,0))</f>
        <v>10.69</v>
      </c>
      <c r="S1442" s="3" t="n">
        <f aca="false">INDEX(Summary!$O$2:$O$201,MATCH($B1442,Summary!$A$2:$A$201,0))</f>
        <v>8</v>
      </c>
      <c r="T1442" s="3" t="n">
        <f aca="false">INDEX(Summary!$P$2:$P$201,MATCH($B1442,Summary!$A$2:$A$201,0))</f>
        <v>1</v>
      </c>
      <c r="U1442" s="2" t="n">
        <f aca="false">INDEX(Summary!$Q$2:$Q$201,MATCH($B1442,Summary!$A$2:$A$201,0))</f>
        <v>13.47</v>
      </c>
      <c r="V1442" s="2" t="n">
        <f aca="false">INDEX(Summary!$R$2:$R$201,MATCH($B1442,Summary!$A$2:$A$201,0))</f>
        <v>28.54</v>
      </c>
      <c r="W1442" s="0" t="str">
        <f aca="false">INDEX(Summary!$S$2:$S$201,MATCH($B1442,Summary!$A$2:$A$201,0))</f>
        <v>Silver</v>
      </c>
      <c r="X1442" s="2" t="n">
        <f aca="false">INDEX(Summary!$T$2:$T$201,MATCH($B1442,Summary!$A$2:$A$201,0))</f>
        <v>69.61</v>
      </c>
      <c r="Y1442" s="0" t="str">
        <f aca="false">INDEX('Reward Model'!$E$18:$E$37,MATCH($E1442,'Reward Model'!$A$18:$A$37,0))</f>
        <v>Medium</v>
      </c>
      <c r="Z1442" s="4" t="n">
        <f aca="false">ROUND(MIN(1,MAX('Reward Model'!$B$2,INDEX('Reward Model'!$C$12:$C$14,MATCH($K1442,'Reward Model'!$A$12:$A$14,0))/$J1442)),3)</f>
        <v>1</v>
      </c>
      <c r="AA1442" s="2" t="n">
        <f aca="false">IF($I1442="Correct",ROUND(INDEX('Reward Model'!$B$12:$B$14,MATCH($K1442,'Reward Model'!$A$12:$A$14,0))*Z1442,2),0)</f>
        <v>1</v>
      </c>
      <c r="AB1442" s="2" t="n">
        <f aca="false">IF($I1442="Correct",ROUND(INDEX('Reward Model'!$B$12:$B$14,MATCH($Y1442,'Reward Model'!$A$12:$A$14,0))*Z1442,2),0)</f>
        <v>2</v>
      </c>
    </row>
    <row r="1443" customFormat="false" ht="15" hidden="false" customHeight="false" outlineLevel="0" collapsed="false">
      <c r="A1443" s="0" t="s">
        <v>273</v>
      </c>
      <c r="B1443" s="0" t="s">
        <v>274</v>
      </c>
      <c r="C1443" s="0" t="s">
        <v>30</v>
      </c>
      <c r="D1443" s="0" t="s">
        <v>275</v>
      </c>
      <c r="E1443" s="0" t="n">
        <v>2</v>
      </c>
      <c r="F1443" s="0" t="s">
        <v>36</v>
      </c>
      <c r="G1443" s="0" t="s">
        <v>38</v>
      </c>
      <c r="H1443" s="0" t="s">
        <v>38</v>
      </c>
      <c r="I1443" s="0" t="s">
        <v>34</v>
      </c>
      <c r="J1443" s="0" t="n">
        <v>1.23</v>
      </c>
      <c r="K1443" s="0" t="s">
        <v>35</v>
      </c>
      <c r="L1443" s="0" t="n">
        <f aca="false">INDEX(Summary!$F$2:$F$201,MATCH($B1443,Summary!$A$2:$A$201,0))</f>
        <v>20</v>
      </c>
      <c r="M1443" s="0" t="n">
        <f aca="false">INDEX(Summary!$I$2:$I$201,MATCH($B1443,Summary!$A$2:$A$201,0))</f>
        <v>4</v>
      </c>
      <c r="N1443" s="0" t="n">
        <f aca="false">INDEX(Summary!$J$2:$J$201,MATCH($B1443,Summary!$A$2:$A$201,0))</f>
        <v>1</v>
      </c>
      <c r="O1443" s="2" t="n">
        <f aca="false">INDEX(Summary!$K$2:$K$201,MATCH($B1443,Summary!$A$2:$A$201,0))</f>
        <v>9.96</v>
      </c>
      <c r="P1443" s="3" t="n">
        <f aca="false">INDEX(Summary!$L$2:$L$201,MATCH($B1443,Summary!$A$2:$A$201,0))</f>
        <v>3</v>
      </c>
      <c r="Q1443" s="3" t="n">
        <f aca="false">INDEX(Summary!$M$2:$M$201,MATCH($B1443,Summary!$A$2:$A$201,0))</f>
        <v>3</v>
      </c>
      <c r="R1443" s="2" t="n">
        <f aca="false">INDEX(Summary!$N$2:$N$201,MATCH($B1443,Summary!$A$2:$A$201,0))</f>
        <v>10.69</v>
      </c>
      <c r="S1443" s="3" t="n">
        <f aca="false">INDEX(Summary!$O$2:$O$201,MATCH($B1443,Summary!$A$2:$A$201,0))</f>
        <v>8</v>
      </c>
      <c r="T1443" s="3" t="n">
        <f aca="false">INDEX(Summary!$P$2:$P$201,MATCH($B1443,Summary!$A$2:$A$201,0))</f>
        <v>1</v>
      </c>
      <c r="U1443" s="2" t="n">
        <f aca="false">INDEX(Summary!$Q$2:$Q$201,MATCH($B1443,Summary!$A$2:$A$201,0))</f>
        <v>13.47</v>
      </c>
      <c r="V1443" s="2" t="n">
        <f aca="false">INDEX(Summary!$R$2:$R$201,MATCH($B1443,Summary!$A$2:$A$201,0))</f>
        <v>28.54</v>
      </c>
      <c r="W1443" s="0" t="str">
        <f aca="false">INDEX(Summary!$S$2:$S$201,MATCH($B1443,Summary!$A$2:$A$201,0))</f>
        <v>Silver</v>
      </c>
      <c r="X1443" s="2" t="n">
        <f aca="false">INDEX(Summary!$T$2:$T$201,MATCH($B1443,Summary!$A$2:$A$201,0))</f>
        <v>69.61</v>
      </c>
      <c r="Y1443" s="0" t="str">
        <f aca="false">INDEX('Reward Model'!$E$18:$E$37,MATCH($E1443,'Reward Model'!$A$18:$A$37,0))</f>
        <v>Low</v>
      </c>
      <c r="Z1443" s="4" t="n">
        <f aca="false">ROUND(MIN(1,MAX('Reward Model'!$B$2,INDEX('Reward Model'!$C$12:$C$14,MATCH($K1443,'Reward Model'!$A$12:$A$14,0))/$J1443)),3)</f>
        <v>1</v>
      </c>
      <c r="AA1443" s="2" t="n">
        <f aca="false">IF($I1443="Correct",ROUND(INDEX('Reward Model'!$B$12:$B$14,MATCH($K1443,'Reward Model'!$A$12:$A$14,0))*Z1443,2),0)</f>
        <v>1</v>
      </c>
      <c r="AB1443" s="2" t="n">
        <f aca="false">IF($I1443="Correct",ROUND(INDEX('Reward Model'!$B$12:$B$14,MATCH($Y1443,'Reward Model'!$A$12:$A$14,0))*Z1443,2),0)</f>
        <v>1</v>
      </c>
    </row>
    <row r="1444" customFormat="false" ht="15" hidden="false" customHeight="false" outlineLevel="0" collapsed="false">
      <c r="A1444" s="0" t="s">
        <v>273</v>
      </c>
      <c r="B1444" s="0" t="s">
        <v>274</v>
      </c>
      <c r="C1444" s="0" t="s">
        <v>30</v>
      </c>
      <c r="D1444" s="0" t="s">
        <v>275</v>
      </c>
      <c r="E1444" s="0" t="n">
        <v>3</v>
      </c>
      <c r="F1444" s="0" t="s">
        <v>40</v>
      </c>
      <c r="G1444" s="0" t="s">
        <v>42</v>
      </c>
      <c r="H1444" s="0" t="s">
        <v>42</v>
      </c>
      <c r="I1444" s="0" t="s">
        <v>34</v>
      </c>
      <c r="J1444" s="0" t="n">
        <v>1.47</v>
      </c>
      <c r="K1444" s="0" t="s">
        <v>35</v>
      </c>
      <c r="L1444" s="0" t="n">
        <f aca="false">INDEX(Summary!$F$2:$F$201,MATCH($B1444,Summary!$A$2:$A$201,0))</f>
        <v>20</v>
      </c>
      <c r="M1444" s="0" t="n">
        <f aca="false">INDEX(Summary!$I$2:$I$201,MATCH($B1444,Summary!$A$2:$A$201,0))</f>
        <v>4</v>
      </c>
      <c r="N1444" s="0" t="n">
        <f aca="false">INDEX(Summary!$J$2:$J$201,MATCH($B1444,Summary!$A$2:$A$201,0))</f>
        <v>1</v>
      </c>
      <c r="O1444" s="2" t="n">
        <f aca="false">INDEX(Summary!$K$2:$K$201,MATCH($B1444,Summary!$A$2:$A$201,0))</f>
        <v>9.96</v>
      </c>
      <c r="P1444" s="3" t="n">
        <f aca="false">INDEX(Summary!$L$2:$L$201,MATCH($B1444,Summary!$A$2:$A$201,0))</f>
        <v>3</v>
      </c>
      <c r="Q1444" s="3" t="n">
        <f aca="false">INDEX(Summary!$M$2:$M$201,MATCH($B1444,Summary!$A$2:$A$201,0))</f>
        <v>3</v>
      </c>
      <c r="R1444" s="2" t="n">
        <f aca="false">INDEX(Summary!$N$2:$N$201,MATCH($B1444,Summary!$A$2:$A$201,0))</f>
        <v>10.69</v>
      </c>
      <c r="S1444" s="3" t="n">
        <f aca="false">INDEX(Summary!$O$2:$O$201,MATCH($B1444,Summary!$A$2:$A$201,0))</f>
        <v>8</v>
      </c>
      <c r="T1444" s="3" t="n">
        <f aca="false">INDEX(Summary!$P$2:$P$201,MATCH($B1444,Summary!$A$2:$A$201,0))</f>
        <v>1</v>
      </c>
      <c r="U1444" s="2" t="n">
        <f aca="false">INDEX(Summary!$Q$2:$Q$201,MATCH($B1444,Summary!$A$2:$A$201,0))</f>
        <v>13.47</v>
      </c>
      <c r="V1444" s="2" t="n">
        <f aca="false">INDEX(Summary!$R$2:$R$201,MATCH($B1444,Summary!$A$2:$A$201,0))</f>
        <v>28.54</v>
      </c>
      <c r="W1444" s="0" t="str">
        <f aca="false">INDEX(Summary!$S$2:$S$201,MATCH($B1444,Summary!$A$2:$A$201,0))</f>
        <v>Silver</v>
      </c>
      <c r="X1444" s="2" t="n">
        <f aca="false">INDEX(Summary!$T$2:$T$201,MATCH($B1444,Summary!$A$2:$A$201,0))</f>
        <v>69.61</v>
      </c>
      <c r="Y1444" s="0" t="str">
        <f aca="false">INDEX('Reward Model'!$E$18:$E$37,MATCH($E1444,'Reward Model'!$A$18:$A$37,0))</f>
        <v>Medium</v>
      </c>
      <c r="Z1444" s="4" t="n">
        <f aca="false">ROUND(MIN(1,MAX('Reward Model'!$B$2,INDEX('Reward Model'!$C$12:$C$14,MATCH($K1444,'Reward Model'!$A$12:$A$14,0))/$J1444)),3)</f>
        <v>1</v>
      </c>
      <c r="AA1444" s="2" t="n">
        <f aca="false">IF($I1444="Correct",ROUND(INDEX('Reward Model'!$B$12:$B$14,MATCH($K1444,'Reward Model'!$A$12:$A$14,0))*Z1444,2),0)</f>
        <v>1</v>
      </c>
      <c r="AB1444" s="2" t="n">
        <f aca="false">IF($I1444="Correct",ROUND(INDEX('Reward Model'!$B$12:$B$14,MATCH($Y1444,'Reward Model'!$A$12:$A$14,0))*Z1444,2),0)</f>
        <v>2</v>
      </c>
    </row>
    <row r="1445" customFormat="false" ht="15" hidden="false" customHeight="false" outlineLevel="0" collapsed="false">
      <c r="A1445" s="0" t="s">
        <v>273</v>
      </c>
      <c r="B1445" s="0" t="s">
        <v>274</v>
      </c>
      <c r="C1445" s="0" t="s">
        <v>30</v>
      </c>
      <c r="D1445" s="0" t="s">
        <v>275</v>
      </c>
      <c r="E1445" s="0" t="n">
        <v>4</v>
      </c>
      <c r="F1445" s="0" t="s">
        <v>43</v>
      </c>
      <c r="G1445" s="0" t="s">
        <v>45</v>
      </c>
      <c r="H1445" s="0" t="s">
        <v>45</v>
      </c>
      <c r="I1445" s="0" t="s">
        <v>34</v>
      </c>
      <c r="J1445" s="0" t="n">
        <v>1.67</v>
      </c>
      <c r="K1445" s="0" t="s">
        <v>35</v>
      </c>
      <c r="L1445" s="0" t="n">
        <f aca="false">INDEX(Summary!$F$2:$F$201,MATCH($B1445,Summary!$A$2:$A$201,0))</f>
        <v>20</v>
      </c>
      <c r="M1445" s="0" t="n">
        <f aca="false">INDEX(Summary!$I$2:$I$201,MATCH($B1445,Summary!$A$2:$A$201,0))</f>
        <v>4</v>
      </c>
      <c r="N1445" s="0" t="n">
        <f aca="false">INDEX(Summary!$J$2:$J$201,MATCH($B1445,Summary!$A$2:$A$201,0))</f>
        <v>1</v>
      </c>
      <c r="O1445" s="2" t="n">
        <f aca="false">INDEX(Summary!$K$2:$K$201,MATCH($B1445,Summary!$A$2:$A$201,0))</f>
        <v>9.96</v>
      </c>
      <c r="P1445" s="3" t="n">
        <f aca="false">INDEX(Summary!$L$2:$L$201,MATCH($B1445,Summary!$A$2:$A$201,0))</f>
        <v>3</v>
      </c>
      <c r="Q1445" s="3" t="n">
        <f aca="false">INDEX(Summary!$M$2:$M$201,MATCH($B1445,Summary!$A$2:$A$201,0))</f>
        <v>3</v>
      </c>
      <c r="R1445" s="2" t="n">
        <f aca="false">INDEX(Summary!$N$2:$N$201,MATCH($B1445,Summary!$A$2:$A$201,0))</f>
        <v>10.69</v>
      </c>
      <c r="S1445" s="3" t="n">
        <f aca="false">INDEX(Summary!$O$2:$O$201,MATCH($B1445,Summary!$A$2:$A$201,0))</f>
        <v>8</v>
      </c>
      <c r="T1445" s="3" t="n">
        <f aca="false">INDEX(Summary!$P$2:$P$201,MATCH($B1445,Summary!$A$2:$A$201,0))</f>
        <v>1</v>
      </c>
      <c r="U1445" s="2" t="n">
        <f aca="false">INDEX(Summary!$Q$2:$Q$201,MATCH($B1445,Summary!$A$2:$A$201,0))</f>
        <v>13.47</v>
      </c>
      <c r="V1445" s="2" t="n">
        <f aca="false">INDEX(Summary!$R$2:$R$201,MATCH($B1445,Summary!$A$2:$A$201,0))</f>
        <v>28.54</v>
      </c>
      <c r="W1445" s="0" t="str">
        <f aca="false">INDEX(Summary!$S$2:$S$201,MATCH($B1445,Summary!$A$2:$A$201,0))</f>
        <v>Silver</v>
      </c>
      <c r="X1445" s="2" t="n">
        <f aca="false">INDEX(Summary!$T$2:$T$201,MATCH($B1445,Summary!$A$2:$A$201,0))</f>
        <v>69.61</v>
      </c>
      <c r="Y1445" s="0" t="str">
        <f aca="false">INDEX('Reward Model'!$E$18:$E$37,MATCH($E1445,'Reward Model'!$A$18:$A$37,0))</f>
        <v>Low</v>
      </c>
      <c r="Z1445" s="4" t="n">
        <f aca="false">ROUND(MIN(1,MAX('Reward Model'!$B$2,INDEX('Reward Model'!$C$12:$C$14,MATCH($K1445,'Reward Model'!$A$12:$A$14,0))/$J1445)),3)</f>
        <v>0.898</v>
      </c>
      <c r="AA1445" s="2" t="n">
        <f aca="false">IF($I1445="Correct",ROUND(INDEX('Reward Model'!$B$12:$B$14,MATCH($K1445,'Reward Model'!$A$12:$A$14,0))*Z1445,2),0)</f>
        <v>0.9</v>
      </c>
      <c r="AB1445" s="2" t="n">
        <f aca="false">IF($I1445="Correct",ROUND(INDEX('Reward Model'!$B$12:$B$14,MATCH($Y1445,'Reward Model'!$A$12:$A$14,0))*Z1445,2),0)</f>
        <v>0.9</v>
      </c>
    </row>
    <row r="1446" customFormat="false" ht="15" hidden="false" customHeight="false" outlineLevel="0" collapsed="false">
      <c r="A1446" s="0" t="s">
        <v>273</v>
      </c>
      <c r="B1446" s="0" t="s">
        <v>274</v>
      </c>
      <c r="C1446" s="0" t="s">
        <v>30</v>
      </c>
      <c r="D1446" s="0" t="s">
        <v>275</v>
      </c>
      <c r="E1446" s="0" t="n">
        <v>5</v>
      </c>
      <c r="F1446" s="0" t="s">
        <v>46</v>
      </c>
      <c r="G1446" s="0" t="s">
        <v>164</v>
      </c>
      <c r="H1446" s="0" t="s">
        <v>47</v>
      </c>
      <c r="I1446" s="0" t="s">
        <v>39</v>
      </c>
      <c r="J1446" s="0" t="n">
        <v>1.43</v>
      </c>
      <c r="K1446" s="0" t="s">
        <v>35</v>
      </c>
      <c r="L1446" s="0" t="n">
        <f aca="false">INDEX(Summary!$F$2:$F$201,MATCH($B1446,Summary!$A$2:$A$201,0))</f>
        <v>20</v>
      </c>
      <c r="M1446" s="0" t="n">
        <f aca="false">INDEX(Summary!$I$2:$I$201,MATCH($B1446,Summary!$A$2:$A$201,0))</f>
        <v>4</v>
      </c>
      <c r="N1446" s="0" t="n">
        <f aca="false">INDEX(Summary!$J$2:$J$201,MATCH($B1446,Summary!$A$2:$A$201,0))</f>
        <v>1</v>
      </c>
      <c r="O1446" s="2" t="n">
        <f aca="false">INDEX(Summary!$K$2:$K$201,MATCH($B1446,Summary!$A$2:$A$201,0))</f>
        <v>9.96</v>
      </c>
      <c r="P1446" s="3" t="n">
        <f aca="false">INDEX(Summary!$L$2:$L$201,MATCH($B1446,Summary!$A$2:$A$201,0))</f>
        <v>3</v>
      </c>
      <c r="Q1446" s="3" t="n">
        <f aca="false">INDEX(Summary!$M$2:$M$201,MATCH($B1446,Summary!$A$2:$A$201,0))</f>
        <v>3</v>
      </c>
      <c r="R1446" s="2" t="n">
        <f aca="false">INDEX(Summary!$N$2:$N$201,MATCH($B1446,Summary!$A$2:$A$201,0))</f>
        <v>10.69</v>
      </c>
      <c r="S1446" s="3" t="n">
        <f aca="false">INDEX(Summary!$O$2:$O$201,MATCH($B1446,Summary!$A$2:$A$201,0))</f>
        <v>8</v>
      </c>
      <c r="T1446" s="3" t="n">
        <f aca="false">INDEX(Summary!$P$2:$P$201,MATCH($B1446,Summary!$A$2:$A$201,0))</f>
        <v>1</v>
      </c>
      <c r="U1446" s="2" t="n">
        <f aca="false">INDEX(Summary!$Q$2:$Q$201,MATCH($B1446,Summary!$A$2:$A$201,0))</f>
        <v>13.47</v>
      </c>
      <c r="V1446" s="2" t="n">
        <f aca="false">INDEX(Summary!$R$2:$R$201,MATCH($B1446,Summary!$A$2:$A$201,0))</f>
        <v>28.54</v>
      </c>
      <c r="W1446" s="0" t="str">
        <f aca="false">INDEX(Summary!$S$2:$S$201,MATCH($B1446,Summary!$A$2:$A$201,0))</f>
        <v>Silver</v>
      </c>
      <c r="X1446" s="2" t="n">
        <f aca="false">INDEX(Summary!$T$2:$T$201,MATCH($B1446,Summary!$A$2:$A$201,0))</f>
        <v>69.61</v>
      </c>
      <c r="Y1446" s="0" t="str">
        <f aca="false">INDEX('Reward Model'!$E$18:$E$37,MATCH($E1446,'Reward Model'!$A$18:$A$37,0))</f>
        <v>Low</v>
      </c>
      <c r="Z1446" s="4" t="n">
        <f aca="false">ROUND(MIN(1,MAX('Reward Model'!$B$2,INDEX('Reward Model'!$C$12:$C$14,MATCH($K1446,'Reward Model'!$A$12:$A$14,0))/$J1446)),3)</f>
        <v>1</v>
      </c>
      <c r="AA1446" s="2" t="n">
        <f aca="false">IF($I1446="Correct",ROUND(INDEX('Reward Model'!$B$12:$B$14,MATCH($K1446,'Reward Model'!$A$12:$A$14,0))*Z1446,2),0)</f>
        <v>0</v>
      </c>
      <c r="AB1446" s="2" t="n">
        <f aca="false">IF($I1446="Correct",ROUND(INDEX('Reward Model'!$B$12:$B$14,MATCH($Y1446,'Reward Model'!$A$12:$A$14,0))*Z1446,2),0)</f>
        <v>0</v>
      </c>
    </row>
    <row r="1447" customFormat="false" ht="15" hidden="false" customHeight="false" outlineLevel="0" collapsed="false">
      <c r="A1447" s="0" t="s">
        <v>273</v>
      </c>
      <c r="B1447" s="0" t="s">
        <v>274</v>
      </c>
      <c r="C1447" s="0" t="s">
        <v>30</v>
      </c>
      <c r="D1447" s="0" t="s">
        <v>275</v>
      </c>
      <c r="E1447" s="0" t="n">
        <v>6</v>
      </c>
      <c r="F1447" s="0" t="s">
        <v>48</v>
      </c>
      <c r="G1447" s="0" t="s">
        <v>49</v>
      </c>
      <c r="H1447" s="0" t="s">
        <v>49</v>
      </c>
      <c r="I1447" s="0" t="s">
        <v>34</v>
      </c>
      <c r="J1447" s="0" t="n">
        <v>1.51</v>
      </c>
      <c r="K1447" s="0" t="s">
        <v>35</v>
      </c>
      <c r="L1447" s="0" t="n">
        <f aca="false">INDEX(Summary!$F$2:$F$201,MATCH($B1447,Summary!$A$2:$A$201,0))</f>
        <v>20</v>
      </c>
      <c r="M1447" s="0" t="n">
        <f aca="false">INDEX(Summary!$I$2:$I$201,MATCH($B1447,Summary!$A$2:$A$201,0))</f>
        <v>4</v>
      </c>
      <c r="N1447" s="0" t="n">
        <f aca="false">INDEX(Summary!$J$2:$J$201,MATCH($B1447,Summary!$A$2:$A$201,0))</f>
        <v>1</v>
      </c>
      <c r="O1447" s="2" t="n">
        <f aca="false">INDEX(Summary!$K$2:$K$201,MATCH($B1447,Summary!$A$2:$A$201,0))</f>
        <v>9.96</v>
      </c>
      <c r="P1447" s="3" t="n">
        <f aca="false">INDEX(Summary!$L$2:$L$201,MATCH($B1447,Summary!$A$2:$A$201,0))</f>
        <v>3</v>
      </c>
      <c r="Q1447" s="3" t="n">
        <f aca="false">INDEX(Summary!$M$2:$M$201,MATCH($B1447,Summary!$A$2:$A$201,0))</f>
        <v>3</v>
      </c>
      <c r="R1447" s="2" t="n">
        <f aca="false">INDEX(Summary!$N$2:$N$201,MATCH($B1447,Summary!$A$2:$A$201,0))</f>
        <v>10.69</v>
      </c>
      <c r="S1447" s="3" t="n">
        <f aca="false">INDEX(Summary!$O$2:$O$201,MATCH($B1447,Summary!$A$2:$A$201,0))</f>
        <v>8</v>
      </c>
      <c r="T1447" s="3" t="n">
        <f aca="false">INDEX(Summary!$P$2:$P$201,MATCH($B1447,Summary!$A$2:$A$201,0))</f>
        <v>1</v>
      </c>
      <c r="U1447" s="2" t="n">
        <f aca="false">INDEX(Summary!$Q$2:$Q$201,MATCH($B1447,Summary!$A$2:$A$201,0))</f>
        <v>13.47</v>
      </c>
      <c r="V1447" s="2" t="n">
        <f aca="false">INDEX(Summary!$R$2:$R$201,MATCH($B1447,Summary!$A$2:$A$201,0))</f>
        <v>28.54</v>
      </c>
      <c r="W1447" s="0" t="str">
        <f aca="false">INDEX(Summary!$S$2:$S$201,MATCH($B1447,Summary!$A$2:$A$201,0))</f>
        <v>Silver</v>
      </c>
      <c r="X1447" s="2" t="n">
        <f aca="false">INDEX(Summary!$T$2:$T$201,MATCH($B1447,Summary!$A$2:$A$201,0))</f>
        <v>69.61</v>
      </c>
      <c r="Y1447" s="0" t="str">
        <f aca="false">INDEX('Reward Model'!$E$18:$E$37,MATCH($E1447,'Reward Model'!$A$18:$A$37,0))</f>
        <v>Medium</v>
      </c>
      <c r="Z1447" s="4" t="n">
        <f aca="false">ROUND(MIN(1,MAX('Reward Model'!$B$2,INDEX('Reward Model'!$C$12:$C$14,MATCH($K1447,'Reward Model'!$A$12:$A$14,0))/$J1447)),3)</f>
        <v>0.993</v>
      </c>
      <c r="AA1447" s="2" t="n">
        <f aca="false">IF($I1447="Correct",ROUND(INDEX('Reward Model'!$B$12:$B$14,MATCH($K1447,'Reward Model'!$A$12:$A$14,0))*Z1447,2),0)</f>
        <v>0.99</v>
      </c>
      <c r="AB1447" s="2" t="n">
        <f aca="false">IF($I1447="Correct",ROUND(INDEX('Reward Model'!$B$12:$B$14,MATCH($Y1447,'Reward Model'!$A$12:$A$14,0))*Z1447,2),0)</f>
        <v>1.99</v>
      </c>
    </row>
    <row r="1448" customFormat="false" ht="15" hidden="false" customHeight="false" outlineLevel="0" collapsed="false">
      <c r="A1448" s="0" t="s">
        <v>273</v>
      </c>
      <c r="B1448" s="0" t="s">
        <v>274</v>
      </c>
      <c r="C1448" s="0" t="s">
        <v>30</v>
      </c>
      <c r="D1448" s="0" t="s">
        <v>275</v>
      </c>
      <c r="E1448" s="0" t="n">
        <v>7</v>
      </c>
      <c r="F1448" s="0" t="s">
        <v>50</v>
      </c>
      <c r="G1448" s="0" t="s">
        <v>51</v>
      </c>
      <c r="H1448" s="0" t="s">
        <v>51</v>
      </c>
      <c r="I1448" s="0" t="s">
        <v>34</v>
      </c>
      <c r="J1448" s="0" t="n">
        <v>0.94</v>
      </c>
      <c r="K1448" s="0" t="s">
        <v>35</v>
      </c>
      <c r="L1448" s="0" t="n">
        <f aca="false">INDEX(Summary!$F$2:$F$201,MATCH($B1448,Summary!$A$2:$A$201,0))</f>
        <v>20</v>
      </c>
      <c r="M1448" s="0" t="n">
        <f aca="false">INDEX(Summary!$I$2:$I$201,MATCH($B1448,Summary!$A$2:$A$201,0))</f>
        <v>4</v>
      </c>
      <c r="N1448" s="0" t="n">
        <f aca="false">INDEX(Summary!$J$2:$J$201,MATCH($B1448,Summary!$A$2:$A$201,0))</f>
        <v>1</v>
      </c>
      <c r="O1448" s="2" t="n">
        <f aca="false">INDEX(Summary!$K$2:$K$201,MATCH($B1448,Summary!$A$2:$A$201,0))</f>
        <v>9.96</v>
      </c>
      <c r="P1448" s="3" t="n">
        <f aca="false">INDEX(Summary!$L$2:$L$201,MATCH($B1448,Summary!$A$2:$A$201,0))</f>
        <v>3</v>
      </c>
      <c r="Q1448" s="3" t="n">
        <f aca="false">INDEX(Summary!$M$2:$M$201,MATCH($B1448,Summary!$A$2:$A$201,0))</f>
        <v>3</v>
      </c>
      <c r="R1448" s="2" t="n">
        <f aca="false">INDEX(Summary!$N$2:$N$201,MATCH($B1448,Summary!$A$2:$A$201,0))</f>
        <v>10.69</v>
      </c>
      <c r="S1448" s="3" t="n">
        <f aca="false">INDEX(Summary!$O$2:$O$201,MATCH($B1448,Summary!$A$2:$A$201,0))</f>
        <v>8</v>
      </c>
      <c r="T1448" s="3" t="n">
        <f aca="false">INDEX(Summary!$P$2:$P$201,MATCH($B1448,Summary!$A$2:$A$201,0))</f>
        <v>1</v>
      </c>
      <c r="U1448" s="2" t="n">
        <f aca="false">INDEX(Summary!$Q$2:$Q$201,MATCH($B1448,Summary!$A$2:$A$201,0))</f>
        <v>13.47</v>
      </c>
      <c r="V1448" s="2" t="n">
        <f aca="false">INDEX(Summary!$R$2:$R$201,MATCH($B1448,Summary!$A$2:$A$201,0))</f>
        <v>28.54</v>
      </c>
      <c r="W1448" s="0" t="str">
        <f aca="false">INDEX(Summary!$S$2:$S$201,MATCH($B1448,Summary!$A$2:$A$201,0))</f>
        <v>Silver</v>
      </c>
      <c r="X1448" s="2" t="n">
        <f aca="false">INDEX(Summary!$T$2:$T$201,MATCH($B1448,Summary!$A$2:$A$201,0))</f>
        <v>69.61</v>
      </c>
      <c r="Y1448" s="0" t="str">
        <f aca="false">INDEX('Reward Model'!$E$18:$E$37,MATCH($E1448,'Reward Model'!$A$18:$A$37,0))</f>
        <v>Low</v>
      </c>
      <c r="Z1448" s="4" t="n">
        <f aca="false">ROUND(MIN(1,MAX('Reward Model'!$B$2,INDEX('Reward Model'!$C$12:$C$14,MATCH($K1448,'Reward Model'!$A$12:$A$14,0))/$J1448)),3)</f>
        <v>1</v>
      </c>
      <c r="AA1448" s="2" t="n">
        <f aca="false">IF($I1448="Correct",ROUND(INDEX('Reward Model'!$B$12:$B$14,MATCH($K1448,'Reward Model'!$A$12:$A$14,0))*Z1448,2),0)</f>
        <v>1</v>
      </c>
      <c r="AB1448" s="2" t="n">
        <f aca="false">IF($I1448="Correct",ROUND(INDEX('Reward Model'!$B$12:$B$14,MATCH($Y1448,'Reward Model'!$A$12:$A$14,0))*Z1448,2),0)</f>
        <v>1</v>
      </c>
    </row>
    <row r="1449" customFormat="false" ht="15" hidden="false" customHeight="false" outlineLevel="0" collapsed="false">
      <c r="A1449" s="0" t="s">
        <v>273</v>
      </c>
      <c r="B1449" s="0" t="s">
        <v>274</v>
      </c>
      <c r="C1449" s="0" t="s">
        <v>30</v>
      </c>
      <c r="D1449" s="0" t="s">
        <v>275</v>
      </c>
      <c r="E1449" s="0" t="n">
        <v>8</v>
      </c>
      <c r="F1449" s="0" t="s">
        <v>52</v>
      </c>
      <c r="G1449" s="0" t="s">
        <v>54</v>
      </c>
      <c r="H1449" s="0" t="s">
        <v>54</v>
      </c>
      <c r="I1449" s="0" t="s">
        <v>34</v>
      </c>
      <c r="J1449" s="0" t="n">
        <v>2</v>
      </c>
      <c r="K1449" s="0" t="s">
        <v>35</v>
      </c>
      <c r="L1449" s="0" t="n">
        <f aca="false">INDEX(Summary!$F$2:$F$201,MATCH($B1449,Summary!$A$2:$A$201,0))</f>
        <v>20</v>
      </c>
      <c r="M1449" s="0" t="n">
        <f aca="false">INDEX(Summary!$I$2:$I$201,MATCH($B1449,Summary!$A$2:$A$201,0))</f>
        <v>4</v>
      </c>
      <c r="N1449" s="0" t="n">
        <f aca="false">INDEX(Summary!$J$2:$J$201,MATCH($B1449,Summary!$A$2:$A$201,0))</f>
        <v>1</v>
      </c>
      <c r="O1449" s="2" t="n">
        <f aca="false">INDEX(Summary!$K$2:$K$201,MATCH($B1449,Summary!$A$2:$A$201,0))</f>
        <v>9.96</v>
      </c>
      <c r="P1449" s="3" t="n">
        <f aca="false">INDEX(Summary!$L$2:$L$201,MATCH($B1449,Summary!$A$2:$A$201,0))</f>
        <v>3</v>
      </c>
      <c r="Q1449" s="3" t="n">
        <f aca="false">INDEX(Summary!$M$2:$M$201,MATCH($B1449,Summary!$A$2:$A$201,0))</f>
        <v>3</v>
      </c>
      <c r="R1449" s="2" t="n">
        <f aca="false">INDEX(Summary!$N$2:$N$201,MATCH($B1449,Summary!$A$2:$A$201,0))</f>
        <v>10.69</v>
      </c>
      <c r="S1449" s="3" t="n">
        <f aca="false">INDEX(Summary!$O$2:$O$201,MATCH($B1449,Summary!$A$2:$A$201,0))</f>
        <v>8</v>
      </c>
      <c r="T1449" s="3" t="n">
        <f aca="false">INDEX(Summary!$P$2:$P$201,MATCH($B1449,Summary!$A$2:$A$201,0))</f>
        <v>1</v>
      </c>
      <c r="U1449" s="2" t="n">
        <f aca="false">INDEX(Summary!$Q$2:$Q$201,MATCH($B1449,Summary!$A$2:$A$201,0))</f>
        <v>13.47</v>
      </c>
      <c r="V1449" s="2" t="n">
        <f aca="false">INDEX(Summary!$R$2:$R$201,MATCH($B1449,Summary!$A$2:$A$201,0))</f>
        <v>28.54</v>
      </c>
      <c r="W1449" s="0" t="str">
        <f aca="false">INDEX(Summary!$S$2:$S$201,MATCH($B1449,Summary!$A$2:$A$201,0))</f>
        <v>Silver</v>
      </c>
      <c r="X1449" s="2" t="n">
        <f aca="false">INDEX(Summary!$T$2:$T$201,MATCH($B1449,Summary!$A$2:$A$201,0))</f>
        <v>69.61</v>
      </c>
      <c r="Y1449" s="0" t="str">
        <f aca="false">INDEX('Reward Model'!$E$18:$E$37,MATCH($E1449,'Reward Model'!$A$18:$A$37,0))</f>
        <v>Medium</v>
      </c>
      <c r="Z1449" s="4" t="n">
        <f aca="false">ROUND(MIN(1,MAX('Reward Model'!$B$2,INDEX('Reward Model'!$C$12:$C$14,MATCH($K1449,'Reward Model'!$A$12:$A$14,0))/$J1449)),3)</f>
        <v>0.75</v>
      </c>
      <c r="AA1449" s="2" t="n">
        <f aca="false">IF($I1449="Correct",ROUND(INDEX('Reward Model'!$B$12:$B$14,MATCH($K1449,'Reward Model'!$A$12:$A$14,0))*Z1449,2),0)</f>
        <v>0.75</v>
      </c>
      <c r="AB1449" s="2" t="n">
        <f aca="false">IF($I1449="Correct",ROUND(INDEX('Reward Model'!$B$12:$B$14,MATCH($Y1449,'Reward Model'!$A$12:$A$14,0))*Z1449,2),0)</f>
        <v>1.5</v>
      </c>
    </row>
    <row r="1450" customFormat="false" ht="15" hidden="false" customHeight="false" outlineLevel="0" collapsed="false">
      <c r="A1450" s="0" t="s">
        <v>273</v>
      </c>
      <c r="B1450" s="0" t="s">
        <v>274</v>
      </c>
      <c r="C1450" s="0" t="s">
        <v>30</v>
      </c>
      <c r="D1450" s="0" t="s">
        <v>275</v>
      </c>
      <c r="E1450" s="0" t="n">
        <v>9</v>
      </c>
      <c r="F1450" s="0" t="s">
        <v>55</v>
      </c>
      <c r="G1450" s="0" t="s">
        <v>57</v>
      </c>
      <c r="H1450" s="0" t="s">
        <v>57</v>
      </c>
      <c r="I1450" s="0" t="s">
        <v>34</v>
      </c>
      <c r="J1450" s="0" t="n">
        <v>1.89</v>
      </c>
      <c r="K1450" s="0" t="s">
        <v>35</v>
      </c>
      <c r="L1450" s="0" t="n">
        <f aca="false">INDEX(Summary!$F$2:$F$201,MATCH($B1450,Summary!$A$2:$A$201,0))</f>
        <v>20</v>
      </c>
      <c r="M1450" s="0" t="n">
        <f aca="false">INDEX(Summary!$I$2:$I$201,MATCH($B1450,Summary!$A$2:$A$201,0))</f>
        <v>4</v>
      </c>
      <c r="N1450" s="0" t="n">
        <f aca="false">INDEX(Summary!$J$2:$J$201,MATCH($B1450,Summary!$A$2:$A$201,0))</f>
        <v>1</v>
      </c>
      <c r="O1450" s="2" t="n">
        <f aca="false">INDEX(Summary!$K$2:$K$201,MATCH($B1450,Summary!$A$2:$A$201,0))</f>
        <v>9.96</v>
      </c>
      <c r="P1450" s="3" t="n">
        <f aca="false">INDEX(Summary!$L$2:$L$201,MATCH($B1450,Summary!$A$2:$A$201,0))</f>
        <v>3</v>
      </c>
      <c r="Q1450" s="3" t="n">
        <f aca="false">INDEX(Summary!$M$2:$M$201,MATCH($B1450,Summary!$A$2:$A$201,0))</f>
        <v>3</v>
      </c>
      <c r="R1450" s="2" t="n">
        <f aca="false">INDEX(Summary!$N$2:$N$201,MATCH($B1450,Summary!$A$2:$A$201,0))</f>
        <v>10.69</v>
      </c>
      <c r="S1450" s="3" t="n">
        <f aca="false">INDEX(Summary!$O$2:$O$201,MATCH($B1450,Summary!$A$2:$A$201,0))</f>
        <v>8</v>
      </c>
      <c r="T1450" s="3" t="n">
        <f aca="false">INDEX(Summary!$P$2:$P$201,MATCH($B1450,Summary!$A$2:$A$201,0))</f>
        <v>1</v>
      </c>
      <c r="U1450" s="2" t="n">
        <f aca="false">INDEX(Summary!$Q$2:$Q$201,MATCH($B1450,Summary!$A$2:$A$201,0))</f>
        <v>13.47</v>
      </c>
      <c r="V1450" s="2" t="n">
        <f aca="false">INDEX(Summary!$R$2:$R$201,MATCH($B1450,Summary!$A$2:$A$201,0))</f>
        <v>28.54</v>
      </c>
      <c r="W1450" s="0" t="str">
        <f aca="false">INDEX(Summary!$S$2:$S$201,MATCH($B1450,Summary!$A$2:$A$201,0))</f>
        <v>Silver</v>
      </c>
      <c r="X1450" s="2" t="n">
        <f aca="false">INDEX(Summary!$T$2:$T$201,MATCH($B1450,Summary!$A$2:$A$201,0))</f>
        <v>69.61</v>
      </c>
      <c r="Y1450" s="0" t="str">
        <f aca="false">INDEX('Reward Model'!$E$18:$E$37,MATCH($E1450,'Reward Model'!$A$18:$A$37,0))</f>
        <v>Medium</v>
      </c>
      <c r="Z1450" s="4" t="n">
        <f aca="false">ROUND(MIN(1,MAX('Reward Model'!$B$2,INDEX('Reward Model'!$C$12:$C$14,MATCH($K1450,'Reward Model'!$A$12:$A$14,0))/$J1450)),3)</f>
        <v>0.794</v>
      </c>
      <c r="AA1450" s="2" t="n">
        <f aca="false">IF($I1450="Correct",ROUND(INDEX('Reward Model'!$B$12:$B$14,MATCH($K1450,'Reward Model'!$A$12:$A$14,0))*Z1450,2),0)</f>
        <v>0.79</v>
      </c>
      <c r="AB1450" s="2" t="n">
        <f aca="false">IF($I1450="Correct",ROUND(INDEX('Reward Model'!$B$12:$B$14,MATCH($Y1450,'Reward Model'!$A$12:$A$14,0))*Z1450,2),0)</f>
        <v>1.59</v>
      </c>
    </row>
    <row r="1451" customFormat="false" ht="15" hidden="false" customHeight="false" outlineLevel="0" collapsed="false">
      <c r="A1451" s="0" t="s">
        <v>273</v>
      </c>
      <c r="B1451" s="0" t="s">
        <v>274</v>
      </c>
      <c r="C1451" s="0" t="s">
        <v>30</v>
      </c>
      <c r="D1451" s="0" t="s">
        <v>275</v>
      </c>
      <c r="E1451" s="0" t="n">
        <v>10</v>
      </c>
      <c r="F1451" s="0" t="s">
        <v>58</v>
      </c>
      <c r="G1451" s="0" t="s">
        <v>59</v>
      </c>
      <c r="H1451" s="0" t="s">
        <v>59</v>
      </c>
      <c r="I1451" s="0" t="s">
        <v>34</v>
      </c>
      <c r="J1451" s="0" t="n">
        <v>1.84</v>
      </c>
      <c r="K1451" s="0" t="s">
        <v>60</v>
      </c>
      <c r="L1451" s="0" t="n">
        <f aca="false">INDEX(Summary!$F$2:$F$201,MATCH($B1451,Summary!$A$2:$A$201,0))</f>
        <v>20</v>
      </c>
      <c r="M1451" s="0" t="n">
        <f aca="false">INDEX(Summary!$I$2:$I$201,MATCH($B1451,Summary!$A$2:$A$201,0))</f>
        <v>4</v>
      </c>
      <c r="N1451" s="0" t="n">
        <f aca="false">INDEX(Summary!$J$2:$J$201,MATCH($B1451,Summary!$A$2:$A$201,0))</f>
        <v>1</v>
      </c>
      <c r="O1451" s="2" t="n">
        <f aca="false">INDEX(Summary!$K$2:$K$201,MATCH($B1451,Summary!$A$2:$A$201,0))</f>
        <v>9.96</v>
      </c>
      <c r="P1451" s="3" t="n">
        <f aca="false">INDEX(Summary!$L$2:$L$201,MATCH($B1451,Summary!$A$2:$A$201,0))</f>
        <v>3</v>
      </c>
      <c r="Q1451" s="3" t="n">
        <f aca="false">INDEX(Summary!$M$2:$M$201,MATCH($B1451,Summary!$A$2:$A$201,0))</f>
        <v>3</v>
      </c>
      <c r="R1451" s="2" t="n">
        <f aca="false">INDEX(Summary!$N$2:$N$201,MATCH($B1451,Summary!$A$2:$A$201,0))</f>
        <v>10.69</v>
      </c>
      <c r="S1451" s="3" t="n">
        <f aca="false">INDEX(Summary!$O$2:$O$201,MATCH($B1451,Summary!$A$2:$A$201,0))</f>
        <v>8</v>
      </c>
      <c r="T1451" s="3" t="n">
        <f aca="false">INDEX(Summary!$P$2:$P$201,MATCH($B1451,Summary!$A$2:$A$201,0))</f>
        <v>1</v>
      </c>
      <c r="U1451" s="2" t="n">
        <f aca="false">INDEX(Summary!$Q$2:$Q$201,MATCH($B1451,Summary!$A$2:$A$201,0))</f>
        <v>13.47</v>
      </c>
      <c r="V1451" s="2" t="n">
        <f aca="false">INDEX(Summary!$R$2:$R$201,MATCH($B1451,Summary!$A$2:$A$201,0))</f>
        <v>28.54</v>
      </c>
      <c r="W1451" s="0" t="str">
        <f aca="false">INDEX(Summary!$S$2:$S$201,MATCH($B1451,Summary!$A$2:$A$201,0))</f>
        <v>Silver</v>
      </c>
      <c r="X1451" s="2" t="n">
        <f aca="false">INDEX(Summary!$T$2:$T$201,MATCH($B1451,Summary!$A$2:$A$201,0))</f>
        <v>69.61</v>
      </c>
      <c r="Y1451" s="0" t="str">
        <f aca="false">INDEX('Reward Model'!$E$18:$E$37,MATCH($E1451,'Reward Model'!$A$18:$A$37,0))</f>
        <v>Medium</v>
      </c>
      <c r="Z1451" s="4" t="n">
        <f aca="false">ROUND(MIN(1,MAX('Reward Model'!$B$2,INDEX('Reward Model'!$C$12:$C$14,MATCH($K1451,'Reward Model'!$A$12:$A$14,0))/$J1451)),3)</f>
        <v>0.978</v>
      </c>
      <c r="AA1451" s="2" t="n">
        <f aca="false">IF($I1451="Correct",ROUND(INDEX('Reward Model'!$B$12:$B$14,MATCH($K1451,'Reward Model'!$A$12:$A$14,0))*Z1451,2),0)</f>
        <v>1.96</v>
      </c>
      <c r="AB1451" s="2" t="n">
        <f aca="false">IF($I1451="Correct",ROUND(INDEX('Reward Model'!$B$12:$B$14,MATCH($Y1451,'Reward Model'!$A$12:$A$14,0))*Z1451,2),0)</f>
        <v>1.96</v>
      </c>
    </row>
    <row r="1452" customFormat="false" ht="15" hidden="false" customHeight="false" outlineLevel="0" collapsed="false">
      <c r="A1452" s="0" t="s">
        <v>273</v>
      </c>
      <c r="B1452" s="0" t="s">
        <v>274</v>
      </c>
      <c r="C1452" s="0" t="s">
        <v>30</v>
      </c>
      <c r="D1452" s="0" t="s">
        <v>275</v>
      </c>
      <c r="E1452" s="0" t="n">
        <v>11</v>
      </c>
      <c r="F1452" s="0" t="s">
        <v>61</v>
      </c>
      <c r="G1452" s="0" t="s">
        <v>150</v>
      </c>
      <c r="H1452" s="0" t="s">
        <v>63</v>
      </c>
      <c r="I1452" s="0" t="s">
        <v>39</v>
      </c>
      <c r="J1452" s="0" t="n">
        <v>1.56</v>
      </c>
      <c r="K1452" s="0" t="s">
        <v>60</v>
      </c>
      <c r="L1452" s="0" t="n">
        <f aca="false">INDEX(Summary!$F$2:$F$201,MATCH($B1452,Summary!$A$2:$A$201,0))</f>
        <v>20</v>
      </c>
      <c r="M1452" s="0" t="n">
        <f aca="false">INDEX(Summary!$I$2:$I$201,MATCH($B1452,Summary!$A$2:$A$201,0))</f>
        <v>4</v>
      </c>
      <c r="N1452" s="0" t="n">
        <f aca="false">INDEX(Summary!$J$2:$J$201,MATCH($B1452,Summary!$A$2:$A$201,0))</f>
        <v>1</v>
      </c>
      <c r="O1452" s="2" t="n">
        <f aca="false">INDEX(Summary!$K$2:$K$201,MATCH($B1452,Summary!$A$2:$A$201,0))</f>
        <v>9.96</v>
      </c>
      <c r="P1452" s="3" t="n">
        <f aca="false">INDEX(Summary!$L$2:$L$201,MATCH($B1452,Summary!$A$2:$A$201,0))</f>
        <v>3</v>
      </c>
      <c r="Q1452" s="3" t="n">
        <f aca="false">INDEX(Summary!$M$2:$M$201,MATCH($B1452,Summary!$A$2:$A$201,0))</f>
        <v>3</v>
      </c>
      <c r="R1452" s="2" t="n">
        <f aca="false">INDEX(Summary!$N$2:$N$201,MATCH($B1452,Summary!$A$2:$A$201,0))</f>
        <v>10.69</v>
      </c>
      <c r="S1452" s="3" t="n">
        <f aca="false">INDEX(Summary!$O$2:$O$201,MATCH($B1452,Summary!$A$2:$A$201,0))</f>
        <v>8</v>
      </c>
      <c r="T1452" s="3" t="n">
        <f aca="false">INDEX(Summary!$P$2:$P$201,MATCH($B1452,Summary!$A$2:$A$201,0))</f>
        <v>1</v>
      </c>
      <c r="U1452" s="2" t="n">
        <f aca="false">INDEX(Summary!$Q$2:$Q$201,MATCH($B1452,Summary!$A$2:$A$201,0))</f>
        <v>13.47</v>
      </c>
      <c r="V1452" s="2" t="n">
        <f aca="false">INDEX(Summary!$R$2:$R$201,MATCH($B1452,Summary!$A$2:$A$201,0))</f>
        <v>28.54</v>
      </c>
      <c r="W1452" s="0" t="str">
        <f aca="false">INDEX(Summary!$S$2:$S$201,MATCH($B1452,Summary!$A$2:$A$201,0))</f>
        <v>Silver</v>
      </c>
      <c r="X1452" s="2" t="n">
        <f aca="false">INDEX(Summary!$T$2:$T$201,MATCH($B1452,Summary!$A$2:$A$201,0))</f>
        <v>69.61</v>
      </c>
      <c r="Y1452" s="0" t="str">
        <f aca="false">INDEX('Reward Model'!$E$18:$E$37,MATCH($E1452,'Reward Model'!$A$18:$A$37,0))</f>
        <v>Medium</v>
      </c>
      <c r="Z1452" s="4" t="n">
        <f aca="false">ROUND(MIN(1,MAX('Reward Model'!$B$2,INDEX('Reward Model'!$C$12:$C$14,MATCH($K1452,'Reward Model'!$A$12:$A$14,0))/$J1452)),3)</f>
        <v>1</v>
      </c>
      <c r="AA1452" s="2" t="n">
        <f aca="false">IF($I1452="Correct",ROUND(INDEX('Reward Model'!$B$12:$B$14,MATCH($K1452,'Reward Model'!$A$12:$A$14,0))*Z1452,2),0)</f>
        <v>0</v>
      </c>
      <c r="AB1452" s="2" t="n">
        <f aca="false">IF($I1452="Correct",ROUND(INDEX('Reward Model'!$B$12:$B$14,MATCH($Y1452,'Reward Model'!$A$12:$A$14,0))*Z1452,2),0)</f>
        <v>0</v>
      </c>
    </row>
    <row r="1453" customFormat="false" ht="15" hidden="false" customHeight="false" outlineLevel="0" collapsed="false">
      <c r="A1453" s="0" t="s">
        <v>273</v>
      </c>
      <c r="B1453" s="0" t="s">
        <v>274</v>
      </c>
      <c r="C1453" s="0" t="s">
        <v>30</v>
      </c>
      <c r="D1453" s="0" t="s">
        <v>275</v>
      </c>
      <c r="E1453" s="0" t="n">
        <v>12</v>
      </c>
      <c r="F1453" s="0" t="s">
        <v>64</v>
      </c>
      <c r="G1453" s="0" t="s">
        <v>65</v>
      </c>
      <c r="H1453" s="0" t="s">
        <v>65</v>
      </c>
      <c r="I1453" s="0" t="s">
        <v>34</v>
      </c>
      <c r="J1453" s="0" t="n">
        <v>2.21</v>
      </c>
      <c r="K1453" s="0" t="s">
        <v>60</v>
      </c>
      <c r="L1453" s="0" t="n">
        <f aca="false">INDEX(Summary!$F$2:$F$201,MATCH($B1453,Summary!$A$2:$A$201,0))</f>
        <v>20</v>
      </c>
      <c r="M1453" s="0" t="n">
        <f aca="false">INDEX(Summary!$I$2:$I$201,MATCH($B1453,Summary!$A$2:$A$201,0))</f>
        <v>4</v>
      </c>
      <c r="N1453" s="0" t="n">
        <f aca="false">INDEX(Summary!$J$2:$J$201,MATCH($B1453,Summary!$A$2:$A$201,0))</f>
        <v>1</v>
      </c>
      <c r="O1453" s="2" t="n">
        <f aca="false">INDEX(Summary!$K$2:$K$201,MATCH($B1453,Summary!$A$2:$A$201,0))</f>
        <v>9.96</v>
      </c>
      <c r="P1453" s="3" t="n">
        <f aca="false">INDEX(Summary!$L$2:$L$201,MATCH($B1453,Summary!$A$2:$A$201,0))</f>
        <v>3</v>
      </c>
      <c r="Q1453" s="3" t="n">
        <f aca="false">INDEX(Summary!$M$2:$M$201,MATCH($B1453,Summary!$A$2:$A$201,0))</f>
        <v>3</v>
      </c>
      <c r="R1453" s="2" t="n">
        <f aca="false">INDEX(Summary!$N$2:$N$201,MATCH($B1453,Summary!$A$2:$A$201,0))</f>
        <v>10.69</v>
      </c>
      <c r="S1453" s="3" t="n">
        <f aca="false">INDEX(Summary!$O$2:$O$201,MATCH($B1453,Summary!$A$2:$A$201,0))</f>
        <v>8</v>
      </c>
      <c r="T1453" s="3" t="n">
        <f aca="false">INDEX(Summary!$P$2:$P$201,MATCH($B1453,Summary!$A$2:$A$201,0))</f>
        <v>1</v>
      </c>
      <c r="U1453" s="2" t="n">
        <f aca="false">INDEX(Summary!$Q$2:$Q$201,MATCH($B1453,Summary!$A$2:$A$201,0))</f>
        <v>13.47</v>
      </c>
      <c r="V1453" s="2" t="n">
        <f aca="false">INDEX(Summary!$R$2:$R$201,MATCH($B1453,Summary!$A$2:$A$201,0))</f>
        <v>28.54</v>
      </c>
      <c r="W1453" s="0" t="str">
        <f aca="false">INDEX(Summary!$S$2:$S$201,MATCH($B1453,Summary!$A$2:$A$201,0))</f>
        <v>Silver</v>
      </c>
      <c r="X1453" s="2" t="n">
        <f aca="false">INDEX(Summary!$T$2:$T$201,MATCH($B1453,Summary!$A$2:$A$201,0))</f>
        <v>69.61</v>
      </c>
      <c r="Y1453" s="0" t="str">
        <f aca="false">INDEX('Reward Model'!$E$18:$E$37,MATCH($E1453,'Reward Model'!$A$18:$A$37,0))</f>
        <v>Medium</v>
      </c>
      <c r="Z1453" s="4" t="n">
        <f aca="false">ROUND(MIN(1,MAX('Reward Model'!$B$2,INDEX('Reward Model'!$C$12:$C$14,MATCH($K1453,'Reward Model'!$A$12:$A$14,0))/$J1453)),3)</f>
        <v>0.814</v>
      </c>
      <c r="AA1453" s="2" t="n">
        <f aca="false">IF($I1453="Correct",ROUND(INDEX('Reward Model'!$B$12:$B$14,MATCH($K1453,'Reward Model'!$A$12:$A$14,0))*Z1453,2),0)</f>
        <v>1.63</v>
      </c>
      <c r="AB1453" s="2" t="n">
        <f aca="false">IF($I1453="Correct",ROUND(INDEX('Reward Model'!$B$12:$B$14,MATCH($Y1453,'Reward Model'!$A$12:$A$14,0))*Z1453,2),0)</f>
        <v>1.63</v>
      </c>
    </row>
    <row r="1454" customFormat="false" ht="15" hidden="false" customHeight="false" outlineLevel="0" collapsed="false">
      <c r="A1454" s="0" t="s">
        <v>273</v>
      </c>
      <c r="B1454" s="0" t="s">
        <v>274</v>
      </c>
      <c r="C1454" s="0" t="s">
        <v>30</v>
      </c>
      <c r="D1454" s="0" t="s">
        <v>275</v>
      </c>
      <c r="E1454" s="0" t="n">
        <v>13</v>
      </c>
      <c r="F1454" s="0" t="s">
        <v>66</v>
      </c>
      <c r="G1454" s="0" t="s">
        <v>165</v>
      </c>
      <c r="H1454" s="0" t="s">
        <v>67</v>
      </c>
      <c r="I1454" s="0" t="s">
        <v>39</v>
      </c>
      <c r="J1454" s="0" t="n">
        <v>1.43</v>
      </c>
      <c r="K1454" s="0" t="s">
        <v>60</v>
      </c>
      <c r="L1454" s="0" t="n">
        <f aca="false">INDEX(Summary!$F$2:$F$201,MATCH($B1454,Summary!$A$2:$A$201,0))</f>
        <v>20</v>
      </c>
      <c r="M1454" s="0" t="n">
        <f aca="false">INDEX(Summary!$I$2:$I$201,MATCH($B1454,Summary!$A$2:$A$201,0))</f>
        <v>4</v>
      </c>
      <c r="N1454" s="0" t="n">
        <f aca="false">INDEX(Summary!$J$2:$J$201,MATCH($B1454,Summary!$A$2:$A$201,0))</f>
        <v>1</v>
      </c>
      <c r="O1454" s="2" t="n">
        <f aca="false">INDEX(Summary!$K$2:$K$201,MATCH($B1454,Summary!$A$2:$A$201,0))</f>
        <v>9.96</v>
      </c>
      <c r="P1454" s="3" t="n">
        <f aca="false">INDEX(Summary!$L$2:$L$201,MATCH($B1454,Summary!$A$2:$A$201,0))</f>
        <v>3</v>
      </c>
      <c r="Q1454" s="3" t="n">
        <f aca="false">INDEX(Summary!$M$2:$M$201,MATCH($B1454,Summary!$A$2:$A$201,0))</f>
        <v>3</v>
      </c>
      <c r="R1454" s="2" t="n">
        <f aca="false">INDEX(Summary!$N$2:$N$201,MATCH($B1454,Summary!$A$2:$A$201,0))</f>
        <v>10.69</v>
      </c>
      <c r="S1454" s="3" t="n">
        <f aca="false">INDEX(Summary!$O$2:$O$201,MATCH($B1454,Summary!$A$2:$A$201,0))</f>
        <v>8</v>
      </c>
      <c r="T1454" s="3" t="n">
        <f aca="false">INDEX(Summary!$P$2:$P$201,MATCH($B1454,Summary!$A$2:$A$201,0))</f>
        <v>1</v>
      </c>
      <c r="U1454" s="2" t="n">
        <f aca="false">INDEX(Summary!$Q$2:$Q$201,MATCH($B1454,Summary!$A$2:$A$201,0))</f>
        <v>13.47</v>
      </c>
      <c r="V1454" s="2" t="n">
        <f aca="false">INDEX(Summary!$R$2:$R$201,MATCH($B1454,Summary!$A$2:$A$201,0))</f>
        <v>28.54</v>
      </c>
      <c r="W1454" s="0" t="str">
        <f aca="false">INDEX(Summary!$S$2:$S$201,MATCH($B1454,Summary!$A$2:$A$201,0))</f>
        <v>Silver</v>
      </c>
      <c r="X1454" s="2" t="n">
        <f aca="false">INDEX(Summary!$T$2:$T$201,MATCH($B1454,Summary!$A$2:$A$201,0))</f>
        <v>69.61</v>
      </c>
      <c r="Y1454" s="0" t="str">
        <f aca="false">INDEX('Reward Model'!$E$18:$E$37,MATCH($E1454,'Reward Model'!$A$18:$A$37,0))</f>
        <v>Medium</v>
      </c>
      <c r="Z1454" s="4" t="n">
        <f aca="false">ROUND(MIN(1,MAX('Reward Model'!$B$2,INDEX('Reward Model'!$C$12:$C$14,MATCH($K1454,'Reward Model'!$A$12:$A$14,0))/$J1454)),3)</f>
        <v>1</v>
      </c>
      <c r="AA1454" s="2" t="n">
        <f aca="false">IF($I1454="Correct",ROUND(INDEX('Reward Model'!$B$12:$B$14,MATCH($K1454,'Reward Model'!$A$12:$A$14,0))*Z1454,2),0)</f>
        <v>0</v>
      </c>
      <c r="AB1454" s="2" t="n">
        <f aca="false">IF($I1454="Correct",ROUND(INDEX('Reward Model'!$B$12:$B$14,MATCH($Y1454,'Reward Model'!$A$12:$A$14,0))*Z1454,2),0)</f>
        <v>0</v>
      </c>
    </row>
    <row r="1455" customFormat="false" ht="15" hidden="false" customHeight="false" outlineLevel="0" collapsed="false">
      <c r="A1455" s="0" t="s">
        <v>273</v>
      </c>
      <c r="B1455" s="0" t="s">
        <v>274</v>
      </c>
      <c r="C1455" s="0" t="s">
        <v>30</v>
      </c>
      <c r="D1455" s="0" t="s">
        <v>275</v>
      </c>
      <c r="E1455" s="0" t="n">
        <v>14</v>
      </c>
      <c r="F1455" s="0" t="s">
        <v>68</v>
      </c>
      <c r="G1455" s="0" t="s">
        <v>100</v>
      </c>
      <c r="H1455" s="0" t="s">
        <v>51</v>
      </c>
      <c r="I1455" s="0" t="s">
        <v>39</v>
      </c>
      <c r="J1455" s="0" t="n">
        <v>1.7</v>
      </c>
      <c r="K1455" s="0" t="s">
        <v>60</v>
      </c>
      <c r="L1455" s="0" t="n">
        <f aca="false">INDEX(Summary!$F$2:$F$201,MATCH($B1455,Summary!$A$2:$A$201,0))</f>
        <v>20</v>
      </c>
      <c r="M1455" s="0" t="n">
        <f aca="false">INDEX(Summary!$I$2:$I$201,MATCH($B1455,Summary!$A$2:$A$201,0))</f>
        <v>4</v>
      </c>
      <c r="N1455" s="0" t="n">
        <f aca="false">INDEX(Summary!$J$2:$J$201,MATCH($B1455,Summary!$A$2:$A$201,0))</f>
        <v>1</v>
      </c>
      <c r="O1455" s="2" t="n">
        <f aca="false">INDEX(Summary!$K$2:$K$201,MATCH($B1455,Summary!$A$2:$A$201,0))</f>
        <v>9.96</v>
      </c>
      <c r="P1455" s="3" t="n">
        <f aca="false">INDEX(Summary!$L$2:$L$201,MATCH($B1455,Summary!$A$2:$A$201,0))</f>
        <v>3</v>
      </c>
      <c r="Q1455" s="3" t="n">
        <f aca="false">INDEX(Summary!$M$2:$M$201,MATCH($B1455,Summary!$A$2:$A$201,0))</f>
        <v>3</v>
      </c>
      <c r="R1455" s="2" t="n">
        <f aca="false">INDEX(Summary!$N$2:$N$201,MATCH($B1455,Summary!$A$2:$A$201,0))</f>
        <v>10.69</v>
      </c>
      <c r="S1455" s="3" t="n">
        <f aca="false">INDEX(Summary!$O$2:$O$201,MATCH($B1455,Summary!$A$2:$A$201,0))</f>
        <v>8</v>
      </c>
      <c r="T1455" s="3" t="n">
        <f aca="false">INDEX(Summary!$P$2:$P$201,MATCH($B1455,Summary!$A$2:$A$201,0))</f>
        <v>1</v>
      </c>
      <c r="U1455" s="2" t="n">
        <f aca="false">INDEX(Summary!$Q$2:$Q$201,MATCH($B1455,Summary!$A$2:$A$201,0))</f>
        <v>13.47</v>
      </c>
      <c r="V1455" s="2" t="n">
        <f aca="false">INDEX(Summary!$R$2:$R$201,MATCH($B1455,Summary!$A$2:$A$201,0))</f>
        <v>28.54</v>
      </c>
      <c r="W1455" s="0" t="str">
        <f aca="false">INDEX(Summary!$S$2:$S$201,MATCH($B1455,Summary!$A$2:$A$201,0))</f>
        <v>Silver</v>
      </c>
      <c r="X1455" s="2" t="n">
        <f aca="false">INDEX(Summary!$T$2:$T$201,MATCH($B1455,Summary!$A$2:$A$201,0))</f>
        <v>69.61</v>
      </c>
      <c r="Y1455" s="0" t="str">
        <f aca="false">INDEX('Reward Model'!$E$18:$E$37,MATCH($E1455,'Reward Model'!$A$18:$A$37,0))</f>
        <v>Medium</v>
      </c>
      <c r="Z1455" s="4" t="n">
        <f aca="false">ROUND(MIN(1,MAX('Reward Model'!$B$2,INDEX('Reward Model'!$C$12:$C$14,MATCH($K1455,'Reward Model'!$A$12:$A$14,0))/$J1455)),3)</f>
        <v>1</v>
      </c>
      <c r="AA1455" s="2" t="n">
        <f aca="false">IF($I1455="Correct",ROUND(INDEX('Reward Model'!$B$12:$B$14,MATCH($K1455,'Reward Model'!$A$12:$A$14,0))*Z1455,2),0)</f>
        <v>0</v>
      </c>
      <c r="AB1455" s="2" t="n">
        <f aca="false">IF($I1455="Correct",ROUND(INDEX('Reward Model'!$B$12:$B$14,MATCH($Y1455,'Reward Model'!$A$12:$A$14,0))*Z1455,2),0)</f>
        <v>0</v>
      </c>
    </row>
    <row r="1456" customFormat="false" ht="15" hidden="false" customHeight="false" outlineLevel="0" collapsed="false">
      <c r="A1456" s="0" t="s">
        <v>273</v>
      </c>
      <c r="B1456" s="0" t="s">
        <v>274</v>
      </c>
      <c r="C1456" s="0" t="s">
        <v>30</v>
      </c>
      <c r="D1456" s="0" t="s">
        <v>275</v>
      </c>
      <c r="E1456" s="0" t="n">
        <v>15</v>
      </c>
      <c r="F1456" s="0" t="s">
        <v>69</v>
      </c>
      <c r="G1456" s="0" t="s">
        <v>70</v>
      </c>
      <c r="H1456" s="0" t="s">
        <v>70</v>
      </c>
      <c r="I1456" s="0" t="s">
        <v>34</v>
      </c>
      <c r="J1456" s="0" t="n">
        <v>1.95</v>
      </c>
      <c r="K1456" s="0" t="s">
        <v>60</v>
      </c>
      <c r="L1456" s="0" t="n">
        <f aca="false">INDEX(Summary!$F$2:$F$201,MATCH($B1456,Summary!$A$2:$A$201,0))</f>
        <v>20</v>
      </c>
      <c r="M1456" s="0" t="n">
        <f aca="false">INDEX(Summary!$I$2:$I$201,MATCH($B1456,Summary!$A$2:$A$201,0))</f>
        <v>4</v>
      </c>
      <c r="N1456" s="0" t="n">
        <f aca="false">INDEX(Summary!$J$2:$J$201,MATCH($B1456,Summary!$A$2:$A$201,0))</f>
        <v>1</v>
      </c>
      <c r="O1456" s="2" t="n">
        <f aca="false">INDEX(Summary!$K$2:$K$201,MATCH($B1456,Summary!$A$2:$A$201,0))</f>
        <v>9.96</v>
      </c>
      <c r="P1456" s="3" t="n">
        <f aca="false">INDEX(Summary!$L$2:$L$201,MATCH($B1456,Summary!$A$2:$A$201,0))</f>
        <v>3</v>
      </c>
      <c r="Q1456" s="3" t="n">
        <f aca="false">INDEX(Summary!$M$2:$M$201,MATCH($B1456,Summary!$A$2:$A$201,0))</f>
        <v>3</v>
      </c>
      <c r="R1456" s="2" t="n">
        <f aca="false">INDEX(Summary!$N$2:$N$201,MATCH($B1456,Summary!$A$2:$A$201,0))</f>
        <v>10.69</v>
      </c>
      <c r="S1456" s="3" t="n">
        <f aca="false">INDEX(Summary!$O$2:$O$201,MATCH($B1456,Summary!$A$2:$A$201,0))</f>
        <v>8</v>
      </c>
      <c r="T1456" s="3" t="n">
        <f aca="false">INDEX(Summary!$P$2:$P$201,MATCH($B1456,Summary!$A$2:$A$201,0))</f>
        <v>1</v>
      </c>
      <c r="U1456" s="2" t="n">
        <f aca="false">INDEX(Summary!$Q$2:$Q$201,MATCH($B1456,Summary!$A$2:$A$201,0))</f>
        <v>13.47</v>
      </c>
      <c r="V1456" s="2" t="n">
        <f aca="false">INDEX(Summary!$R$2:$R$201,MATCH($B1456,Summary!$A$2:$A$201,0))</f>
        <v>28.54</v>
      </c>
      <c r="W1456" s="0" t="str">
        <f aca="false">INDEX(Summary!$S$2:$S$201,MATCH($B1456,Summary!$A$2:$A$201,0))</f>
        <v>Silver</v>
      </c>
      <c r="X1456" s="2" t="n">
        <f aca="false">INDEX(Summary!$T$2:$T$201,MATCH($B1456,Summary!$A$2:$A$201,0))</f>
        <v>69.61</v>
      </c>
      <c r="Y1456" s="0" t="str">
        <f aca="false">INDEX('Reward Model'!$E$18:$E$37,MATCH($E1456,'Reward Model'!$A$18:$A$37,0))</f>
        <v>Medium</v>
      </c>
      <c r="Z1456" s="4" t="n">
        <f aca="false">ROUND(MIN(1,MAX('Reward Model'!$B$2,INDEX('Reward Model'!$C$12:$C$14,MATCH($K1456,'Reward Model'!$A$12:$A$14,0))/$J1456)),3)</f>
        <v>0.923</v>
      </c>
      <c r="AA1456" s="2" t="n">
        <f aca="false">IF($I1456="Correct",ROUND(INDEX('Reward Model'!$B$12:$B$14,MATCH($K1456,'Reward Model'!$A$12:$A$14,0))*Z1456,2),0)</f>
        <v>1.85</v>
      </c>
      <c r="AB1456" s="2" t="n">
        <f aca="false">IF($I1456="Correct",ROUND(INDEX('Reward Model'!$B$12:$B$14,MATCH($Y1456,'Reward Model'!$A$12:$A$14,0))*Z1456,2),0)</f>
        <v>1.85</v>
      </c>
    </row>
    <row r="1457" customFormat="false" ht="15" hidden="false" customHeight="false" outlineLevel="0" collapsed="false">
      <c r="A1457" s="0" t="s">
        <v>273</v>
      </c>
      <c r="B1457" s="0" t="s">
        <v>274</v>
      </c>
      <c r="C1457" s="0" t="s">
        <v>30</v>
      </c>
      <c r="D1457" s="0" t="s">
        <v>275</v>
      </c>
      <c r="E1457" s="0" t="n">
        <v>16</v>
      </c>
      <c r="F1457" s="0" t="s">
        <v>71</v>
      </c>
      <c r="G1457" s="0" t="s">
        <v>72</v>
      </c>
      <c r="H1457" s="0" t="s">
        <v>72</v>
      </c>
      <c r="I1457" s="0" t="s">
        <v>34</v>
      </c>
      <c r="J1457" s="0" t="n">
        <v>1.47</v>
      </c>
      <c r="K1457" s="0" t="s">
        <v>73</v>
      </c>
      <c r="L1457" s="0" t="n">
        <f aca="false">INDEX(Summary!$F$2:$F$201,MATCH($B1457,Summary!$A$2:$A$201,0))</f>
        <v>20</v>
      </c>
      <c r="M1457" s="0" t="n">
        <f aca="false">INDEX(Summary!$I$2:$I$201,MATCH($B1457,Summary!$A$2:$A$201,0))</f>
        <v>4</v>
      </c>
      <c r="N1457" s="0" t="n">
        <f aca="false">INDEX(Summary!$J$2:$J$201,MATCH($B1457,Summary!$A$2:$A$201,0))</f>
        <v>1</v>
      </c>
      <c r="O1457" s="2" t="n">
        <f aca="false">INDEX(Summary!$K$2:$K$201,MATCH($B1457,Summary!$A$2:$A$201,0))</f>
        <v>9.96</v>
      </c>
      <c r="P1457" s="3" t="n">
        <f aca="false">INDEX(Summary!$L$2:$L$201,MATCH($B1457,Summary!$A$2:$A$201,0))</f>
        <v>3</v>
      </c>
      <c r="Q1457" s="3" t="n">
        <f aca="false">INDEX(Summary!$M$2:$M$201,MATCH($B1457,Summary!$A$2:$A$201,0))</f>
        <v>3</v>
      </c>
      <c r="R1457" s="2" t="n">
        <f aca="false">INDEX(Summary!$N$2:$N$201,MATCH($B1457,Summary!$A$2:$A$201,0))</f>
        <v>10.69</v>
      </c>
      <c r="S1457" s="3" t="n">
        <f aca="false">INDEX(Summary!$O$2:$O$201,MATCH($B1457,Summary!$A$2:$A$201,0))</f>
        <v>8</v>
      </c>
      <c r="T1457" s="3" t="n">
        <f aca="false">INDEX(Summary!$P$2:$P$201,MATCH($B1457,Summary!$A$2:$A$201,0))</f>
        <v>1</v>
      </c>
      <c r="U1457" s="2" t="n">
        <f aca="false">INDEX(Summary!$Q$2:$Q$201,MATCH($B1457,Summary!$A$2:$A$201,0))</f>
        <v>13.47</v>
      </c>
      <c r="V1457" s="2" t="n">
        <f aca="false">INDEX(Summary!$R$2:$R$201,MATCH($B1457,Summary!$A$2:$A$201,0))</f>
        <v>28.54</v>
      </c>
      <c r="W1457" s="0" t="str">
        <f aca="false">INDEX(Summary!$S$2:$S$201,MATCH($B1457,Summary!$A$2:$A$201,0))</f>
        <v>Silver</v>
      </c>
      <c r="X1457" s="2" t="n">
        <f aca="false">INDEX(Summary!$T$2:$T$201,MATCH($B1457,Summary!$A$2:$A$201,0))</f>
        <v>69.61</v>
      </c>
      <c r="Y1457" s="0" t="str">
        <f aca="false">INDEX('Reward Model'!$E$18:$E$37,MATCH($E1457,'Reward Model'!$A$18:$A$37,0))</f>
        <v>High</v>
      </c>
      <c r="Z1457" s="4" t="n">
        <f aca="false">ROUND(MIN(1,MAX('Reward Model'!$B$2,INDEX('Reward Model'!$C$12:$C$14,MATCH($K1457,'Reward Model'!$A$12:$A$14,0))/$J1457)),3)</f>
        <v>1</v>
      </c>
      <c r="AA1457" s="2" t="n">
        <f aca="false">IF($I1457="Correct",ROUND(INDEX('Reward Model'!$B$12:$B$14,MATCH($K1457,'Reward Model'!$A$12:$A$14,0))*Z1457,2),0)</f>
        <v>3</v>
      </c>
      <c r="AB1457" s="2" t="n">
        <f aca="false">IF($I1457="Correct",ROUND(INDEX('Reward Model'!$B$12:$B$14,MATCH($Y1457,'Reward Model'!$A$12:$A$14,0))*Z1457,2),0)</f>
        <v>3</v>
      </c>
    </row>
    <row r="1458" customFormat="false" ht="15" hidden="false" customHeight="false" outlineLevel="0" collapsed="false">
      <c r="A1458" s="0" t="s">
        <v>273</v>
      </c>
      <c r="B1458" s="0" t="s">
        <v>274</v>
      </c>
      <c r="C1458" s="0" t="s">
        <v>30</v>
      </c>
      <c r="D1458" s="0" t="s">
        <v>275</v>
      </c>
      <c r="E1458" s="0" t="n">
        <v>17</v>
      </c>
      <c r="F1458" s="0" t="s">
        <v>74</v>
      </c>
      <c r="G1458" s="0" t="s">
        <v>75</v>
      </c>
      <c r="H1458" s="0" t="s">
        <v>75</v>
      </c>
      <c r="I1458" s="0" t="s">
        <v>34</v>
      </c>
      <c r="J1458" s="0" t="n">
        <v>1.54</v>
      </c>
      <c r="K1458" s="0" t="s">
        <v>73</v>
      </c>
      <c r="L1458" s="0" t="n">
        <f aca="false">INDEX(Summary!$F$2:$F$201,MATCH($B1458,Summary!$A$2:$A$201,0))</f>
        <v>20</v>
      </c>
      <c r="M1458" s="0" t="n">
        <f aca="false">INDEX(Summary!$I$2:$I$201,MATCH($B1458,Summary!$A$2:$A$201,0))</f>
        <v>4</v>
      </c>
      <c r="N1458" s="0" t="n">
        <f aca="false">INDEX(Summary!$J$2:$J$201,MATCH($B1458,Summary!$A$2:$A$201,0))</f>
        <v>1</v>
      </c>
      <c r="O1458" s="2" t="n">
        <f aca="false">INDEX(Summary!$K$2:$K$201,MATCH($B1458,Summary!$A$2:$A$201,0))</f>
        <v>9.96</v>
      </c>
      <c r="P1458" s="3" t="n">
        <f aca="false">INDEX(Summary!$L$2:$L$201,MATCH($B1458,Summary!$A$2:$A$201,0))</f>
        <v>3</v>
      </c>
      <c r="Q1458" s="3" t="n">
        <f aca="false">INDEX(Summary!$M$2:$M$201,MATCH($B1458,Summary!$A$2:$A$201,0))</f>
        <v>3</v>
      </c>
      <c r="R1458" s="2" t="n">
        <f aca="false">INDEX(Summary!$N$2:$N$201,MATCH($B1458,Summary!$A$2:$A$201,0))</f>
        <v>10.69</v>
      </c>
      <c r="S1458" s="3" t="n">
        <f aca="false">INDEX(Summary!$O$2:$O$201,MATCH($B1458,Summary!$A$2:$A$201,0))</f>
        <v>8</v>
      </c>
      <c r="T1458" s="3" t="n">
        <f aca="false">INDEX(Summary!$P$2:$P$201,MATCH($B1458,Summary!$A$2:$A$201,0))</f>
        <v>1</v>
      </c>
      <c r="U1458" s="2" t="n">
        <f aca="false">INDEX(Summary!$Q$2:$Q$201,MATCH($B1458,Summary!$A$2:$A$201,0))</f>
        <v>13.47</v>
      </c>
      <c r="V1458" s="2" t="n">
        <f aca="false">INDEX(Summary!$R$2:$R$201,MATCH($B1458,Summary!$A$2:$A$201,0))</f>
        <v>28.54</v>
      </c>
      <c r="W1458" s="0" t="str">
        <f aca="false">INDEX(Summary!$S$2:$S$201,MATCH($B1458,Summary!$A$2:$A$201,0))</f>
        <v>Silver</v>
      </c>
      <c r="X1458" s="2" t="n">
        <f aca="false">INDEX(Summary!$T$2:$T$201,MATCH($B1458,Summary!$A$2:$A$201,0))</f>
        <v>69.61</v>
      </c>
      <c r="Y1458" s="0" t="str">
        <f aca="false">INDEX('Reward Model'!$E$18:$E$37,MATCH($E1458,'Reward Model'!$A$18:$A$37,0))</f>
        <v>High</v>
      </c>
      <c r="Z1458" s="4" t="n">
        <f aca="false">ROUND(MIN(1,MAX('Reward Model'!$B$2,INDEX('Reward Model'!$C$12:$C$14,MATCH($K1458,'Reward Model'!$A$12:$A$14,0))/$J1458)),3)</f>
        <v>1</v>
      </c>
      <c r="AA1458" s="2" t="n">
        <f aca="false">IF($I1458="Correct",ROUND(INDEX('Reward Model'!$B$12:$B$14,MATCH($K1458,'Reward Model'!$A$12:$A$14,0))*Z1458,2),0)</f>
        <v>3</v>
      </c>
      <c r="AB1458" s="2" t="n">
        <f aca="false">IF($I1458="Correct",ROUND(INDEX('Reward Model'!$B$12:$B$14,MATCH($Y1458,'Reward Model'!$A$12:$A$14,0))*Z1458,2),0)</f>
        <v>3</v>
      </c>
    </row>
    <row r="1459" customFormat="false" ht="15" hidden="false" customHeight="false" outlineLevel="0" collapsed="false">
      <c r="A1459" s="0" t="s">
        <v>273</v>
      </c>
      <c r="B1459" s="0" t="s">
        <v>274</v>
      </c>
      <c r="C1459" s="0" t="s">
        <v>30</v>
      </c>
      <c r="D1459" s="0" t="s">
        <v>275</v>
      </c>
      <c r="E1459" s="0" t="n">
        <v>18</v>
      </c>
      <c r="F1459" s="0" t="s">
        <v>76</v>
      </c>
      <c r="G1459" s="0" t="s">
        <v>128</v>
      </c>
      <c r="H1459" s="0" t="s">
        <v>77</v>
      </c>
      <c r="I1459" s="0" t="s">
        <v>39</v>
      </c>
      <c r="J1459" s="0" t="n">
        <v>2.25</v>
      </c>
      <c r="K1459" s="0" t="s">
        <v>73</v>
      </c>
      <c r="L1459" s="0" t="n">
        <f aca="false">INDEX(Summary!$F$2:$F$201,MATCH($B1459,Summary!$A$2:$A$201,0))</f>
        <v>20</v>
      </c>
      <c r="M1459" s="0" t="n">
        <f aca="false">INDEX(Summary!$I$2:$I$201,MATCH($B1459,Summary!$A$2:$A$201,0))</f>
        <v>4</v>
      </c>
      <c r="N1459" s="0" t="n">
        <f aca="false">INDEX(Summary!$J$2:$J$201,MATCH($B1459,Summary!$A$2:$A$201,0))</f>
        <v>1</v>
      </c>
      <c r="O1459" s="2" t="n">
        <f aca="false">INDEX(Summary!$K$2:$K$201,MATCH($B1459,Summary!$A$2:$A$201,0))</f>
        <v>9.96</v>
      </c>
      <c r="P1459" s="3" t="n">
        <f aca="false">INDEX(Summary!$L$2:$L$201,MATCH($B1459,Summary!$A$2:$A$201,0))</f>
        <v>3</v>
      </c>
      <c r="Q1459" s="3" t="n">
        <f aca="false">INDEX(Summary!$M$2:$M$201,MATCH($B1459,Summary!$A$2:$A$201,0))</f>
        <v>3</v>
      </c>
      <c r="R1459" s="2" t="n">
        <f aca="false">INDEX(Summary!$N$2:$N$201,MATCH($B1459,Summary!$A$2:$A$201,0))</f>
        <v>10.69</v>
      </c>
      <c r="S1459" s="3" t="n">
        <f aca="false">INDEX(Summary!$O$2:$O$201,MATCH($B1459,Summary!$A$2:$A$201,0))</f>
        <v>8</v>
      </c>
      <c r="T1459" s="3" t="n">
        <f aca="false">INDEX(Summary!$P$2:$P$201,MATCH($B1459,Summary!$A$2:$A$201,0))</f>
        <v>1</v>
      </c>
      <c r="U1459" s="2" t="n">
        <f aca="false">INDEX(Summary!$Q$2:$Q$201,MATCH($B1459,Summary!$A$2:$A$201,0))</f>
        <v>13.47</v>
      </c>
      <c r="V1459" s="2" t="n">
        <f aca="false">INDEX(Summary!$R$2:$R$201,MATCH($B1459,Summary!$A$2:$A$201,0))</f>
        <v>28.54</v>
      </c>
      <c r="W1459" s="0" t="str">
        <f aca="false">INDEX(Summary!$S$2:$S$201,MATCH($B1459,Summary!$A$2:$A$201,0))</f>
        <v>Silver</v>
      </c>
      <c r="X1459" s="2" t="n">
        <f aca="false">INDEX(Summary!$T$2:$T$201,MATCH($B1459,Summary!$A$2:$A$201,0))</f>
        <v>69.61</v>
      </c>
      <c r="Y1459" s="0" t="str">
        <f aca="false">INDEX('Reward Model'!$E$18:$E$37,MATCH($E1459,'Reward Model'!$A$18:$A$37,0))</f>
        <v>High</v>
      </c>
      <c r="Z1459" s="4" t="n">
        <f aca="false">ROUND(MIN(1,MAX('Reward Model'!$B$2,INDEX('Reward Model'!$C$12:$C$14,MATCH($K1459,'Reward Model'!$A$12:$A$14,0))/$J1459)),3)</f>
        <v>0.889</v>
      </c>
      <c r="AA1459" s="2" t="n">
        <f aca="false">IF($I1459="Correct",ROUND(INDEX('Reward Model'!$B$12:$B$14,MATCH($K1459,'Reward Model'!$A$12:$A$14,0))*Z1459,2),0)</f>
        <v>0</v>
      </c>
      <c r="AB1459" s="2" t="n">
        <f aca="false">IF($I1459="Correct",ROUND(INDEX('Reward Model'!$B$12:$B$14,MATCH($Y1459,'Reward Model'!$A$12:$A$14,0))*Z1459,2),0)</f>
        <v>0</v>
      </c>
    </row>
    <row r="1460" customFormat="false" ht="15" hidden="false" customHeight="false" outlineLevel="0" collapsed="false">
      <c r="A1460" s="0" t="s">
        <v>273</v>
      </c>
      <c r="B1460" s="0" t="s">
        <v>274</v>
      </c>
      <c r="C1460" s="0" t="s">
        <v>30</v>
      </c>
      <c r="D1460" s="0" t="s">
        <v>275</v>
      </c>
      <c r="E1460" s="0" t="n">
        <v>19</v>
      </c>
      <c r="F1460" s="0" t="s">
        <v>78</v>
      </c>
      <c r="G1460" s="0" t="s">
        <v>80</v>
      </c>
      <c r="H1460" s="0" t="s">
        <v>80</v>
      </c>
      <c r="I1460" s="0" t="s">
        <v>34</v>
      </c>
      <c r="J1460" s="0" t="n">
        <v>2.25</v>
      </c>
      <c r="K1460" s="0" t="s">
        <v>73</v>
      </c>
      <c r="L1460" s="0" t="n">
        <f aca="false">INDEX(Summary!$F$2:$F$201,MATCH($B1460,Summary!$A$2:$A$201,0))</f>
        <v>20</v>
      </c>
      <c r="M1460" s="0" t="n">
        <f aca="false">INDEX(Summary!$I$2:$I$201,MATCH($B1460,Summary!$A$2:$A$201,0))</f>
        <v>4</v>
      </c>
      <c r="N1460" s="0" t="n">
        <f aca="false">INDEX(Summary!$J$2:$J$201,MATCH($B1460,Summary!$A$2:$A$201,0))</f>
        <v>1</v>
      </c>
      <c r="O1460" s="2" t="n">
        <f aca="false">INDEX(Summary!$K$2:$K$201,MATCH($B1460,Summary!$A$2:$A$201,0))</f>
        <v>9.96</v>
      </c>
      <c r="P1460" s="3" t="n">
        <f aca="false">INDEX(Summary!$L$2:$L$201,MATCH($B1460,Summary!$A$2:$A$201,0))</f>
        <v>3</v>
      </c>
      <c r="Q1460" s="3" t="n">
        <f aca="false">INDEX(Summary!$M$2:$M$201,MATCH($B1460,Summary!$A$2:$A$201,0))</f>
        <v>3</v>
      </c>
      <c r="R1460" s="2" t="n">
        <f aca="false">INDEX(Summary!$N$2:$N$201,MATCH($B1460,Summary!$A$2:$A$201,0))</f>
        <v>10.69</v>
      </c>
      <c r="S1460" s="3" t="n">
        <f aca="false">INDEX(Summary!$O$2:$O$201,MATCH($B1460,Summary!$A$2:$A$201,0))</f>
        <v>8</v>
      </c>
      <c r="T1460" s="3" t="n">
        <f aca="false">INDEX(Summary!$P$2:$P$201,MATCH($B1460,Summary!$A$2:$A$201,0))</f>
        <v>1</v>
      </c>
      <c r="U1460" s="2" t="n">
        <f aca="false">INDEX(Summary!$Q$2:$Q$201,MATCH($B1460,Summary!$A$2:$A$201,0))</f>
        <v>13.47</v>
      </c>
      <c r="V1460" s="2" t="n">
        <f aca="false">INDEX(Summary!$R$2:$R$201,MATCH($B1460,Summary!$A$2:$A$201,0))</f>
        <v>28.54</v>
      </c>
      <c r="W1460" s="0" t="str">
        <f aca="false">INDEX(Summary!$S$2:$S$201,MATCH($B1460,Summary!$A$2:$A$201,0))</f>
        <v>Silver</v>
      </c>
      <c r="X1460" s="2" t="n">
        <f aca="false">INDEX(Summary!$T$2:$T$201,MATCH($B1460,Summary!$A$2:$A$201,0))</f>
        <v>69.61</v>
      </c>
      <c r="Y1460" s="0" t="str">
        <f aca="false">INDEX('Reward Model'!$E$18:$E$37,MATCH($E1460,'Reward Model'!$A$18:$A$37,0))</f>
        <v>High</v>
      </c>
      <c r="Z1460" s="4" t="n">
        <f aca="false">ROUND(MIN(1,MAX('Reward Model'!$B$2,INDEX('Reward Model'!$C$12:$C$14,MATCH($K1460,'Reward Model'!$A$12:$A$14,0))/$J1460)),3)</f>
        <v>0.889</v>
      </c>
      <c r="AA1460" s="2" t="n">
        <f aca="false">IF($I1460="Correct",ROUND(INDEX('Reward Model'!$B$12:$B$14,MATCH($K1460,'Reward Model'!$A$12:$A$14,0))*Z1460,2),0)</f>
        <v>2.67</v>
      </c>
      <c r="AB1460" s="2" t="n">
        <f aca="false">IF($I1460="Correct",ROUND(INDEX('Reward Model'!$B$12:$B$14,MATCH($Y1460,'Reward Model'!$A$12:$A$14,0))*Z1460,2),0)</f>
        <v>2.67</v>
      </c>
    </row>
    <row r="1461" customFormat="false" ht="15" hidden="false" customHeight="false" outlineLevel="0" collapsed="false">
      <c r="A1461" s="0" t="s">
        <v>273</v>
      </c>
      <c r="B1461" s="0" t="s">
        <v>274</v>
      </c>
      <c r="C1461" s="0" t="s">
        <v>30</v>
      </c>
      <c r="D1461" s="0" t="s">
        <v>275</v>
      </c>
      <c r="E1461" s="0" t="n">
        <v>20</v>
      </c>
      <c r="F1461" s="0" t="s">
        <v>81</v>
      </c>
      <c r="G1461" s="0" t="s">
        <v>83</v>
      </c>
      <c r="H1461" s="0" t="s">
        <v>83</v>
      </c>
      <c r="I1461" s="0" t="s">
        <v>34</v>
      </c>
      <c r="J1461" s="0" t="n">
        <v>2.45</v>
      </c>
      <c r="K1461" s="0" t="s">
        <v>73</v>
      </c>
      <c r="L1461" s="0" t="n">
        <f aca="false">INDEX(Summary!$F$2:$F$201,MATCH($B1461,Summary!$A$2:$A$201,0))</f>
        <v>20</v>
      </c>
      <c r="M1461" s="0" t="n">
        <f aca="false">INDEX(Summary!$I$2:$I$201,MATCH($B1461,Summary!$A$2:$A$201,0))</f>
        <v>4</v>
      </c>
      <c r="N1461" s="0" t="n">
        <f aca="false">INDEX(Summary!$J$2:$J$201,MATCH($B1461,Summary!$A$2:$A$201,0))</f>
        <v>1</v>
      </c>
      <c r="O1461" s="2" t="n">
        <f aca="false">INDEX(Summary!$K$2:$K$201,MATCH($B1461,Summary!$A$2:$A$201,0))</f>
        <v>9.96</v>
      </c>
      <c r="P1461" s="3" t="n">
        <f aca="false">INDEX(Summary!$L$2:$L$201,MATCH($B1461,Summary!$A$2:$A$201,0))</f>
        <v>3</v>
      </c>
      <c r="Q1461" s="3" t="n">
        <f aca="false">INDEX(Summary!$M$2:$M$201,MATCH($B1461,Summary!$A$2:$A$201,0))</f>
        <v>3</v>
      </c>
      <c r="R1461" s="2" t="n">
        <f aca="false">INDEX(Summary!$N$2:$N$201,MATCH($B1461,Summary!$A$2:$A$201,0))</f>
        <v>10.69</v>
      </c>
      <c r="S1461" s="3" t="n">
        <f aca="false">INDEX(Summary!$O$2:$O$201,MATCH($B1461,Summary!$A$2:$A$201,0))</f>
        <v>8</v>
      </c>
      <c r="T1461" s="3" t="n">
        <f aca="false">INDEX(Summary!$P$2:$P$201,MATCH($B1461,Summary!$A$2:$A$201,0))</f>
        <v>1</v>
      </c>
      <c r="U1461" s="2" t="n">
        <f aca="false">INDEX(Summary!$Q$2:$Q$201,MATCH($B1461,Summary!$A$2:$A$201,0))</f>
        <v>13.47</v>
      </c>
      <c r="V1461" s="2" t="n">
        <f aca="false">INDEX(Summary!$R$2:$R$201,MATCH($B1461,Summary!$A$2:$A$201,0))</f>
        <v>28.54</v>
      </c>
      <c r="W1461" s="0" t="str">
        <f aca="false">INDEX(Summary!$S$2:$S$201,MATCH($B1461,Summary!$A$2:$A$201,0))</f>
        <v>Silver</v>
      </c>
      <c r="X1461" s="2" t="n">
        <f aca="false">INDEX(Summary!$T$2:$T$201,MATCH($B1461,Summary!$A$2:$A$201,0))</f>
        <v>69.61</v>
      </c>
      <c r="Y1461" s="0" t="str">
        <f aca="false">INDEX('Reward Model'!$E$18:$E$37,MATCH($E1461,'Reward Model'!$A$18:$A$37,0))</f>
        <v>High</v>
      </c>
      <c r="Z1461" s="4" t="n">
        <f aca="false">ROUND(MIN(1,MAX('Reward Model'!$B$2,INDEX('Reward Model'!$C$12:$C$14,MATCH($K1461,'Reward Model'!$A$12:$A$14,0))/$J1461)),3)</f>
        <v>0.816</v>
      </c>
      <c r="AA1461" s="2" t="n">
        <f aca="false">IF($I1461="Correct",ROUND(INDEX('Reward Model'!$B$12:$B$14,MATCH($K1461,'Reward Model'!$A$12:$A$14,0))*Z1461,2),0)</f>
        <v>2.45</v>
      </c>
      <c r="AB1461" s="2" t="n">
        <f aca="false">IF($I1461="Correct",ROUND(INDEX('Reward Model'!$B$12:$B$14,MATCH($Y1461,'Reward Model'!$A$12:$A$14,0))*Z1461,2),0)</f>
        <v>2.45</v>
      </c>
    </row>
    <row r="1462" customFormat="false" ht="15" hidden="false" customHeight="false" outlineLevel="0" collapsed="false">
      <c r="A1462" s="0" t="s">
        <v>276</v>
      </c>
      <c r="B1462" s="0" t="s">
        <v>277</v>
      </c>
      <c r="C1462" s="0" t="s">
        <v>30</v>
      </c>
      <c r="D1462" s="0" t="s">
        <v>275</v>
      </c>
      <c r="E1462" s="0" t="n">
        <v>1</v>
      </c>
      <c r="F1462" s="0" t="s">
        <v>32</v>
      </c>
      <c r="G1462" s="0" t="s">
        <v>33</v>
      </c>
      <c r="H1462" s="0" t="s">
        <v>33</v>
      </c>
      <c r="I1462" s="0" t="s">
        <v>34</v>
      </c>
      <c r="J1462" s="0" t="n">
        <v>1.97</v>
      </c>
      <c r="K1462" s="0" t="s">
        <v>35</v>
      </c>
      <c r="L1462" s="0" t="n">
        <f aca="false">INDEX(Summary!$F$2:$F$201,MATCH($B1462,Summary!$A$2:$A$201,0))</f>
        <v>20</v>
      </c>
      <c r="M1462" s="0" t="n">
        <f aca="false">INDEX(Summary!$I$2:$I$201,MATCH($B1462,Summary!$A$2:$A$201,0))</f>
        <v>3</v>
      </c>
      <c r="N1462" s="0" t="n">
        <f aca="false">INDEX(Summary!$J$2:$J$201,MATCH($B1462,Summary!$A$2:$A$201,0))</f>
        <v>2</v>
      </c>
      <c r="O1462" s="2" t="n">
        <f aca="false">INDEX(Summary!$K$2:$K$201,MATCH($B1462,Summary!$A$2:$A$201,0))</f>
        <v>8.64</v>
      </c>
      <c r="P1462" s="3" t="n">
        <f aca="false">INDEX(Summary!$L$2:$L$201,MATCH($B1462,Summary!$A$2:$A$201,0))</f>
        <v>3</v>
      </c>
      <c r="Q1462" s="3" t="n">
        <f aca="false">INDEX(Summary!$M$2:$M$201,MATCH($B1462,Summary!$A$2:$A$201,0))</f>
        <v>3</v>
      </c>
      <c r="R1462" s="2" t="n">
        <f aca="false">INDEX(Summary!$N$2:$N$201,MATCH($B1462,Summary!$A$2:$A$201,0))</f>
        <v>10.16</v>
      </c>
      <c r="S1462" s="3" t="n">
        <f aca="false">INDEX(Summary!$O$2:$O$201,MATCH($B1462,Summary!$A$2:$A$201,0))</f>
        <v>8</v>
      </c>
      <c r="T1462" s="3" t="n">
        <f aca="false">INDEX(Summary!$P$2:$P$201,MATCH($B1462,Summary!$A$2:$A$201,0))</f>
        <v>1</v>
      </c>
      <c r="U1462" s="2" t="n">
        <f aca="false">INDEX(Summary!$Q$2:$Q$201,MATCH($B1462,Summary!$A$2:$A$201,0))</f>
        <v>12.29</v>
      </c>
      <c r="V1462" s="2" t="n">
        <f aca="false">INDEX(Summary!$R$2:$R$201,MATCH($B1462,Summary!$A$2:$A$201,0))</f>
        <v>26.8</v>
      </c>
      <c r="W1462" s="0" t="str">
        <f aca="false">INDEX(Summary!$S$2:$S$201,MATCH($B1462,Summary!$A$2:$A$201,0))</f>
        <v>Silver</v>
      </c>
      <c r="X1462" s="2" t="n">
        <f aca="false">INDEX(Summary!$T$2:$T$201,MATCH($B1462,Summary!$A$2:$A$201,0))</f>
        <v>65.37</v>
      </c>
      <c r="Y1462" s="0" t="str">
        <f aca="false">INDEX('Reward Model'!$E$18:$E$37,MATCH($E1462,'Reward Model'!$A$18:$A$37,0))</f>
        <v>Medium</v>
      </c>
      <c r="Z1462" s="4" t="n">
        <f aca="false">ROUND(MIN(1,MAX('Reward Model'!$B$2,INDEX('Reward Model'!$C$12:$C$14,MATCH($K1462,'Reward Model'!$A$12:$A$14,0))/$J1462)),3)</f>
        <v>0.761</v>
      </c>
      <c r="AA1462" s="2" t="n">
        <f aca="false">IF($I1462="Correct",ROUND(INDEX('Reward Model'!$B$12:$B$14,MATCH($K1462,'Reward Model'!$A$12:$A$14,0))*Z1462,2),0)</f>
        <v>0.76</v>
      </c>
      <c r="AB1462" s="2" t="n">
        <f aca="false">IF($I1462="Correct",ROUND(INDEX('Reward Model'!$B$12:$B$14,MATCH($Y1462,'Reward Model'!$A$12:$A$14,0))*Z1462,2),0)</f>
        <v>1.52</v>
      </c>
    </row>
    <row r="1463" customFormat="false" ht="15" hidden="false" customHeight="false" outlineLevel="0" collapsed="false">
      <c r="A1463" s="0" t="s">
        <v>276</v>
      </c>
      <c r="B1463" s="0" t="s">
        <v>277</v>
      </c>
      <c r="C1463" s="0" t="s">
        <v>30</v>
      </c>
      <c r="D1463" s="0" t="s">
        <v>275</v>
      </c>
      <c r="E1463" s="0" t="n">
        <v>2</v>
      </c>
      <c r="F1463" s="0" t="s">
        <v>36</v>
      </c>
      <c r="G1463" s="0" t="s">
        <v>94</v>
      </c>
      <c r="H1463" s="0" t="s">
        <v>38</v>
      </c>
      <c r="I1463" s="0" t="s">
        <v>39</v>
      </c>
      <c r="J1463" s="0" t="n">
        <v>0.91</v>
      </c>
      <c r="K1463" s="0" t="s">
        <v>35</v>
      </c>
      <c r="L1463" s="0" t="n">
        <f aca="false">INDEX(Summary!$F$2:$F$201,MATCH($B1463,Summary!$A$2:$A$201,0))</f>
        <v>20</v>
      </c>
      <c r="M1463" s="0" t="n">
        <f aca="false">INDEX(Summary!$I$2:$I$201,MATCH($B1463,Summary!$A$2:$A$201,0))</f>
        <v>3</v>
      </c>
      <c r="N1463" s="0" t="n">
        <f aca="false">INDEX(Summary!$J$2:$J$201,MATCH($B1463,Summary!$A$2:$A$201,0))</f>
        <v>2</v>
      </c>
      <c r="O1463" s="2" t="n">
        <f aca="false">INDEX(Summary!$K$2:$K$201,MATCH($B1463,Summary!$A$2:$A$201,0))</f>
        <v>8.64</v>
      </c>
      <c r="P1463" s="3" t="n">
        <f aca="false">INDEX(Summary!$L$2:$L$201,MATCH($B1463,Summary!$A$2:$A$201,0))</f>
        <v>3</v>
      </c>
      <c r="Q1463" s="3" t="n">
        <f aca="false">INDEX(Summary!$M$2:$M$201,MATCH($B1463,Summary!$A$2:$A$201,0))</f>
        <v>3</v>
      </c>
      <c r="R1463" s="2" t="n">
        <f aca="false">INDEX(Summary!$N$2:$N$201,MATCH($B1463,Summary!$A$2:$A$201,0))</f>
        <v>10.16</v>
      </c>
      <c r="S1463" s="3" t="n">
        <f aca="false">INDEX(Summary!$O$2:$O$201,MATCH($B1463,Summary!$A$2:$A$201,0))</f>
        <v>8</v>
      </c>
      <c r="T1463" s="3" t="n">
        <f aca="false">INDEX(Summary!$P$2:$P$201,MATCH($B1463,Summary!$A$2:$A$201,0))</f>
        <v>1</v>
      </c>
      <c r="U1463" s="2" t="n">
        <f aca="false">INDEX(Summary!$Q$2:$Q$201,MATCH($B1463,Summary!$A$2:$A$201,0))</f>
        <v>12.29</v>
      </c>
      <c r="V1463" s="2" t="n">
        <f aca="false">INDEX(Summary!$R$2:$R$201,MATCH($B1463,Summary!$A$2:$A$201,0))</f>
        <v>26.8</v>
      </c>
      <c r="W1463" s="0" t="str">
        <f aca="false">INDEX(Summary!$S$2:$S$201,MATCH($B1463,Summary!$A$2:$A$201,0))</f>
        <v>Silver</v>
      </c>
      <c r="X1463" s="2" t="n">
        <f aca="false">INDEX(Summary!$T$2:$T$201,MATCH($B1463,Summary!$A$2:$A$201,0))</f>
        <v>65.37</v>
      </c>
      <c r="Y1463" s="0" t="str">
        <f aca="false">INDEX('Reward Model'!$E$18:$E$37,MATCH($E1463,'Reward Model'!$A$18:$A$37,0))</f>
        <v>Low</v>
      </c>
      <c r="Z1463" s="4" t="n">
        <f aca="false">ROUND(MIN(1,MAX('Reward Model'!$B$2,INDEX('Reward Model'!$C$12:$C$14,MATCH($K1463,'Reward Model'!$A$12:$A$14,0))/$J1463)),3)</f>
        <v>1</v>
      </c>
      <c r="AA1463" s="2" t="n">
        <f aca="false">IF($I1463="Correct",ROUND(INDEX('Reward Model'!$B$12:$B$14,MATCH($K1463,'Reward Model'!$A$12:$A$14,0))*Z1463,2),0)</f>
        <v>0</v>
      </c>
      <c r="AB1463" s="2" t="n">
        <f aca="false">IF($I1463="Correct",ROUND(INDEX('Reward Model'!$B$12:$B$14,MATCH($Y1463,'Reward Model'!$A$12:$A$14,0))*Z1463,2),0)</f>
        <v>0</v>
      </c>
    </row>
    <row r="1464" customFormat="false" ht="15" hidden="false" customHeight="false" outlineLevel="0" collapsed="false">
      <c r="A1464" s="0" t="s">
        <v>276</v>
      </c>
      <c r="B1464" s="0" t="s">
        <v>277</v>
      </c>
      <c r="C1464" s="0" t="s">
        <v>30</v>
      </c>
      <c r="D1464" s="0" t="s">
        <v>275</v>
      </c>
      <c r="E1464" s="0" t="n">
        <v>3</v>
      </c>
      <c r="F1464" s="0" t="s">
        <v>40</v>
      </c>
      <c r="G1464" s="0" t="s">
        <v>42</v>
      </c>
      <c r="H1464" s="0" t="s">
        <v>42</v>
      </c>
      <c r="I1464" s="0" t="s">
        <v>34</v>
      </c>
      <c r="J1464" s="0" t="n">
        <v>1.51</v>
      </c>
      <c r="K1464" s="0" t="s">
        <v>35</v>
      </c>
      <c r="L1464" s="0" t="n">
        <f aca="false">INDEX(Summary!$F$2:$F$201,MATCH($B1464,Summary!$A$2:$A$201,0))</f>
        <v>20</v>
      </c>
      <c r="M1464" s="0" t="n">
        <f aca="false">INDEX(Summary!$I$2:$I$201,MATCH($B1464,Summary!$A$2:$A$201,0))</f>
        <v>3</v>
      </c>
      <c r="N1464" s="0" t="n">
        <f aca="false">INDEX(Summary!$J$2:$J$201,MATCH($B1464,Summary!$A$2:$A$201,0))</f>
        <v>2</v>
      </c>
      <c r="O1464" s="2" t="n">
        <f aca="false">INDEX(Summary!$K$2:$K$201,MATCH($B1464,Summary!$A$2:$A$201,0))</f>
        <v>8.64</v>
      </c>
      <c r="P1464" s="3" t="n">
        <f aca="false">INDEX(Summary!$L$2:$L$201,MATCH($B1464,Summary!$A$2:$A$201,0))</f>
        <v>3</v>
      </c>
      <c r="Q1464" s="3" t="n">
        <f aca="false">INDEX(Summary!$M$2:$M$201,MATCH($B1464,Summary!$A$2:$A$201,0))</f>
        <v>3</v>
      </c>
      <c r="R1464" s="2" t="n">
        <f aca="false">INDEX(Summary!$N$2:$N$201,MATCH($B1464,Summary!$A$2:$A$201,0))</f>
        <v>10.16</v>
      </c>
      <c r="S1464" s="3" t="n">
        <f aca="false">INDEX(Summary!$O$2:$O$201,MATCH($B1464,Summary!$A$2:$A$201,0))</f>
        <v>8</v>
      </c>
      <c r="T1464" s="3" t="n">
        <f aca="false">INDEX(Summary!$P$2:$P$201,MATCH($B1464,Summary!$A$2:$A$201,0))</f>
        <v>1</v>
      </c>
      <c r="U1464" s="2" t="n">
        <f aca="false">INDEX(Summary!$Q$2:$Q$201,MATCH($B1464,Summary!$A$2:$A$201,0))</f>
        <v>12.29</v>
      </c>
      <c r="V1464" s="2" t="n">
        <f aca="false">INDEX(Summary!$R$2:$R$201,MATCH($B1464,Summary!$A$2:$A$201,0))</f>
        <v>26.8</v>
      </c>
      <c r="W1464" s="0" t="str">
        <f aca="false">INDEX(Summary!$S$2:$S$201,MATCH($B1464,Summary!$A$2:$A$201,0))</f>
        <v>Silver</v>
      </c>
      <c r="X1464" s="2" t="n">
        <f aca="false">INDEX(Summary!$T$2:$T$201,MATCH($B1464,Summary!$A$2:$A$201,0))</f>
        <v>65.37</v>
      </c>
      <c r="Y1464" s="0" t="str">
        <f aca="false">INDEX('Reward Model'!$E$18:$E$37,MATCH($E1464,'Reward Model'!$A$18:$A$37,0))</f>
        <v>Medium</v>
      </c>
      <c r="Z1464" s="4" t="n">
        <f aca="false">ROUND(MIN(1,MAX('Reward Model'!$B$2,INDEX('Reward Model'!$C$12:$C$14,MATCH($K1464,'Reward Model'!$A$12:$A$14,0))/$J1464)),3)</f>
        <v>0.993</v>
      </c>
      <c r="AA1464" s="2" t="n">
        <f aca="false">IF($I1464="Correct",ROUND(INDEX('Reward Model'!$B$12:$B$14,MATCH($K1464,'Reward Model'!$A$12:$A$14,0))*Z1464,2),0)</f>
        <v>0.99</v>
      </c>
      <c r="AB1464" s="2" t="n">
        <f aca="false">IF($I1464="Correct",ROUND(INDEX('Reward Model'!$B$12:$B$14,MATCH($Y1464,'Reward Model'!$A$12:$A$14,0))*Z1464,2),0)</f>
        <v>1.99</v>
      </c>
    </row>
    <row r="1465" customFormat="false" ht="15" hidden="false" customHeight="false" outlineLevel="0" collapsed="false">
      <c r="A1465" s="0" t="s">
        <v>276</v>
      </c>
      <c r="B1465" s="0" t="s">
        <v>277</v>
      </c>
      <c r="C1465" s="0" t="s">
        <v>30</v>
      </c>
      <c r="D1465" s="0" t="s">
        <v>275</v>
      </c>
      <c r="E1465" s="0" t="n">
        <v>4</v>
      </c>
      <c r="F1465" s="0" t="s">
        <v>43</v>
      </c>
      <c r="G1465" s="0" t="s">
        <v>45</v>
      </c>
      <c r="H1465" s="0" t="s">
        <v>45</v>
      </c>
      <c r="I1465" s="0" t="s">
        <v>34</v>
      </c>
      <c r="J1465" s="0" t="n">
        <v>1.57</v>
      </c>
      <c r="K1465" s="0" t="s">
        <v>35</v>
      </c>
      <c r="L1465" s="0" t="n">
        <f aca="false">INDEX(Summary!$F$2:$F$201,MATCH($B1465,Summary!$A$2:$A$201,0))</f>
        <v>20</v>
      </c>
      <c r="M1465" s="0" t="n">
        <f aca="false">INDEX(Summary!$I$2:$I$201,MATCH($B1465,Summary!$A$2:$A$201,0))</f>
        <v>3</v>
      </c>
      <c r="N1465" s="0" t="n">
        <f aca="false">INDEX(Summary!$J$2:$J$201,MATCH($B1465,Summary!$A$2:$A$201,0))</f>
        <v>2</v>
      </c>
      <c r="O1465" s="2" t="n">
        <f aca="false">INDEX(Summary!$K$2:$K$201,MATCH($B1465,Summary!$A$2:$A$201,0))</f>
        <v>8.64</v>
      </c>
      <c r="P1465" s="3" t="n">
        <f aca="false">INDEX(Summary!$L$2:$L$201,MATCH($B1465,Summary!$A$2:$A$201,0))</f>
        <v>3</v>
      </c>
      <c r="Q1465" s="3" t="n">
        <f aca="false">INDEX(Summary!$M$2:$M$201,MATCH($B1465,Summary!$A$2:$A$201,0))</f>
        <v>3</v>
      </c>
      <c r="R1465" s="2" t="n">
        <f aca="false">INDEX(Summary!$N$2:$N$201,MATCH($B1465,Summary!$A$2:$A$201,0))</f>
        <v>10.16</v>
      </c>
      <c r="S1465" s="3" t="n">
        <f aca="false">INDEX(Summary!$O$2:$O$201,MATCH($B1465,Summary!$A$2:$A$201,0))</f>
        <v>8</v>
      </c>
      <c r="T1465" s="3" t="n">
        <f aca="false">INDEX(Summary!$P$2:$P$201,MATCH($B1465,Summary!$A$2:$A$201,0))</f>
        <v>1</v>
      </c>
      <c r="U1465" s="2" t="n">
        <f aca="false">INDEX(Summary!$Q$2:$Q$201,MATCH($B1465,Summary!$A$2:$A$201,0))</f>
        <v>12.29</v>
      </c>
      <c r="V1465" s="2" t="n">
        <f aca="false">INDEX(Summary!$R$2:$R$201,MATCH($B1465,Summary!$A$2:$A$201,0))</f>
        <v>26.8</v>
      </c>
      <c r="W1465" s="0" t="str">
        <f aca="false">INDEX(Summary!$S$2:$S$201,MATCH($B1465,Summary!$A$2:$A$201,0))</f>
        <v>Silver</v>
      </c>
      <c r="X1465" s="2" t="n">
        <f aca="false">INDEX(Summary!$T$2:$T$201,MATCH($B1465,Summary!$A$2:$A$201,0))</f>
        <v>65.37</v>
      </c>
      <c r="Y1465" s="0" t="str">
        <f aca="false">INDEX('Reward Model'!$E$18:$E$37,MATCH($E1465,'Reward Model'!$A$18:$A$37,0))</f>
        <v>Low</v>
      </c>
      <c r="Z1465" s="4" t="n">
        <f aca="false">ROUND(MIN(1,MAX('Reward Model'!$B$2,INDEX('Reward Model'!$C$12:$C$14,MATCH($K1465,'Reward Model'!$A$12:$A$14,0))/$J1465)),3)</f>
        <v>0.955</v>
      </c>
      <c r="AA1465" s="2" t="n">
        <f aca="false">IF($I1465="Correct",ROUND(INDEX('Reward Model'!$B$12:$B$14,MATCH($K1465,'Reward Model'!$A$12:$A$14,0))*Z1465,2),0)</f>
        <v>0.96</v>
      </c>
      <c r="AB1465" s="2" t="n">
        <f aca="false">IF($I1465="Correct",ROUND(INDEX('Reward Model'!$B$12:$B$14,MATCH($Y1465,'Reward Model'!$A$12:$A$14,0))*Z1465,2),0)</f>
        <v>0.96</v>
      </c>
    </row>
    <row r="1466" customFormat="false" ht="15" hidden="false" customHeight="false" outlineLevel="0" collapsed="false">
      <c r="A1466" s="0" t="s">
        <v>276</v>
      </c>
      <c r="B1466" s="0" t="s">
        <v>277</v>
      </c>
      <c r="C1466" s="0" t="s">
        <v>30</v>
      </c>
      <c r="D1466" s="0" t="s">
        <v>275</v>
      </c>
      <c r="E1466" s="0" t="n">
        <v>5</v>
      </c>
      <c r="F1466" s="0" t="s">
        <v>46</v>
      </c>
      <c r="G1466" s="0" t="s">
        <v>47</v>
      </c>
      <c r="H1466" s="0" t="s">
        <v>47</v>
      </c>
      <c r="I1466" s="0" t="s">
        <v>34</v>
      </c>
      <c r="J1466" s="0" t="n">
        <v>1.18</v>
      </c>
      <c r="K1466" s="0" t="s">
        <v>35</v>
      </c>
      <c r="L1466" s="0" t="n">
        <f aca="false">INDEX(Summary!$F$2:$F$201,MATCH($B1466,Summary!$A$2:$A$201,0))</f>
        <v>20</v>
      </c>
      <c r="M1466" s="0" t="n">
        <f aca="false">INDEX(Summary!$I$2:$I$201,MATCH($B1466,Summary!$A$2:$A$201,0))</f>
        <v>3</v>
      </c>
      <c r="N1466" s="0" t="n">
        <f aca="false">INDEX(Summary!$J$2:$J$201,MATCH($B1466,Summary!$A$2:$A$201,0))</f>
        <v>2</v>
      </c>
      <c r="O1466" s="2" t="n">
        <f aca="false">INDEX(Summary!$K$2:$K$201,MATCH($B1466,Summary!$A$2:$A$201,0))</f>
        <v>8.64</v>
      </c>
      <c r="P1466" s="3" t="n">
        <f aca="false">INDEX(Summary!$L$2:$L$201,MATCH($B1466,Summary!$A$2:$A$201,0))</f>
        <v>3</v>
      </c>
      <c r="Q1466" s="3" t="n">
        <f aca="false">INDEX(Summary!$M$2:$M$201,MATCH($B1466,Summary!$A$2:$A$201,0))</f>
        <v>3</v>
      </c>
      <c r="R1466" s="2" t="n">
        <f aca="false">INDEX(Summary!$N$2:$N$201,MATCH($B1466,Summary!$A$2:$A$201,0))</f>
        <v>10.16</v>
      </c>
      <c r="S1466" s="3" t="n">
        <f aca="false">INDEX(Summary!$O$2:$O$201,MATCH($B1466,Summary!$A$2:$A$201,0))</f>
        <v>8</v>
      </c>
      <c r="T1466" s="3" t="n">
        <f aca="false">INDEX(Summary!$P$2:$P$201,MATCH($B1466,Summary!$A$2:$A$201,0))</f>
        <v>1</v>
      </c>
      <c r="U1466" s="2" t="n">
        <f aca="false">INDEX(Summary!$Q$2:$Q$201,MATCH($B1466,Summary!$A$2:$A$201,0))</f>
        <v>12.29</v>
      </c>
      <c r="V1466" s="2" t="n">
        <f aca="false">INDEX(Summary!$R$2:$R$201,MATCH($B1466,Summary!$A$2:$A$201,0))</f>
        <v>26.8</v>
      </c>
      <c r="W1466" s="0" t="str">
        <f aca="false">INDEX(Summary!$S$2:$S$201,MATCH($B1466,Summary!$A$2:$A$201,0))</f>
        <v>Silver</v>
      </c>
      <c r="X1466" s="2" t="n">
        <f aca="false">INDEX(Summary!$T$2:$T$201,MATCH($B1466,Summary!$A$2:$A$201,0))</f>
        <v>65.37</v>
      </c>
      <c r="Y1466" s="0" t="str">
        <f aca="false">INDEX('Reward Model'!$E$18:$E$37,MATCH($E1466,'Reward Model'!$A$18:$A$37,0))</f>
        <v>Low</v>
      </c>
      <c r="Z1466" s="4" t="n">
        <f aca="false">ROUND(MIN(1,MAX('Reward Model'!$B$2,INDEX('Reward Model'!$C$12:$C$14,MATCH($K1466,'Reward Model'!$A$12:$A$14,0))/$J1466)),3)</f>
        <v>1</v>
      </c>
      <c r="AA1466" s="2" t="n">
        <f aca="false">IF($I1466="Correct",ROUND(INDEX('Reward Model'!$B$12:$B$14,MATCH($K1466,'Reward Model'!$A$12:$A$14,0))*Z1466,2),0)</f>
        <v>1</v>
      </c>
      <c r="AB1466" s="2" t="n">
        <f aca="false">IF($I1466="Correct",ROUND(INDEX('Reward Model'!$B$12:$B$14,MATCH($Y1466,'Reward Model'!$A$12:$A$14,0))*Z1466,2),0)</f>
        <v>1</v>
      </c>
    </row>
    <row r="1467" customFormat="false" ht="15" hidden="false" customHeight="false" outlineLevel="0" collapsed="false">
      <c r="A1467" s="0" t="s">
        <v>276</v>
      </c>
      <c r="B1467" s="0" t="s">
        <v>277</v>
      </c>
      <c r="C1467" s="0" t="s">
        <v>30</v>
      </c>
      <c r="D1467" s="0" t="s">
        <v>275</v>
      </c>
      <c r="E1467" s="0" t="n">
        <v>6</v>
      </c>
      <c r="F1467" s="0" t="s">
        <v>48</v>
      </c>
      <c r="G1467" s="0" t="s">
        <v>49</v>
      </c>
      <c r="H1467" s="0" t="s">
        <v>49</v>
      </c>
      <c r="I1467" s="0" t="s">
        <v>34</v>
      </c>
      <c r="J1467" s="0" t="n">
        <v>1.08</v>
      </c>
      <c r="K1467" s="0" t="s">
        <v>35</v>
      </c>
      <c r="L1467" s="0" t="n">
        <f aca="false">INDEX(Summary!$F$2:$F$201,MATCH($B1467,Summary!$A$2:$A$201,0))</f>
        <v>20</v>
      </c>
      <c r="M1467" s="0" t="n">
        <f aca="false">INDEX(Summary!$I$2:$I$201,MATCH($B1467,Summary!$A$2:$A$201,0))</f>
        <v>3</v>
      </c>
      <c r="N1467" s="0" t="n">
        <f aca="false">INDEX(Summary!$J$2:$J$201,MATCH($B1467,Summary!$A$2:$A$201,0))</f>
        <v>2</v>
      </c>
      <c r="O1467" s="2" t="n">
        <f aca="false">INDEX(Summary!$K$2:$K$201,MATCH($B1467,Summary!$A$2:$A$201,0))</f>
        <v>8.64</v>
      </c>
      <c r="P1467" s="3" t="n">
        <f aca="false">INDEX(Summary!$L$2:$L$201,MATCH($B1467,Summary!$A$2:$A$201,0))</f>
        <v>3</v>
      </c>
      <c r="Q1467" s="3" t="n">
        <f aca="false">INDEX(Summary!$M$2:$M$201,MATCH($B1467,Summary!$A$2:$A$201,0))</f>
        <v>3</v>
      </c>
      <c r="R1467" s="2" t="n">
        <f aca="false">INDEX(Summary!$N$2:$N$201,MATCH($B1467,Summary!$A$2:$A$201,0))</f>
        <v>10.16</v>
      </c>
      <c r="S1467" s="3" t="n">
        <f aca="false">INDEX(Summary!$O$2:$O$201,MATCH($B1467,Summary!$A$2:$A$201,0))</f>
        <v>8</v>
      </c>
      <c r="T1467" s="3" t="n">
        <f aca="false">INDEX(Summary!$P$2:$P$201,MATCH($B1467,Summary!$A$2:$A$201,0))</f>
        <v>1</v>
      </c>
      <c r="U1467" s="2" t="n">
        <f aca="false">INDEX(Summary!$Q$2:$Q$201,MATCH($B1467,Summary!$A$2:$A$201,0))</f>
        <v>12.29</v>
      </c>
      <c r="V1467" s="2" t="n">
        <f aca="false">INDEX(Summary!$R$2:$R$201,MATCH($B1467,Summary!$A$2:$A$201,0))</f>
        <v>26.8</v>
      </c>
      <c r="W1467" s="0" t="str">
        <f aca="false">INDEX(Summary!$S$2:$S$201,MATCH($B1467,Summary!$A$2:$A$201,0))</f>
        <v>Silver</v>
      </c>
      <c r="X1467" s="2" t="n">
        <f aca="false">INDEX(Summary!$T$2:$T$201,MATCH($B1467,Summary!$A$2:$A$201,0))</f>
        <v>65.37</v>
      </c>
      <c r="Y1467" s="0" t="str">
        <f aca="false">INDEX('Reward Model'!$E$18:$E$37,MATCH($E1467,'Reward Model'!$A$18:$A$37,0))</f>
        <v>Medium</v>
      </c>
      <c r="Z1467" s="4" t="n">
        <f aca="false">ROUND(MIN(1,MAX('Reward Model'!$B$2,INDEX('Reward Model'!$C$12:$C$14,MATCH($K1467,'Reward Model'!$A$12:$A$14,0))/$J1467)),3)</f>
        <v>1</v>
      </c>
      <c r="AA1467" s="2" t="n">
        <f aca="false">IF($I1467="Correct",ROUND(INDEX('Reward Model'!$B$12:$B$14,MATCH($K1467,'Reward Model'!$A$12:$A$14,0))*Z1467,2),0)</f>
        <v>1</v>
      </c>
      <c r="AB1467" s="2" t="n">
        <f aca="false">IF($I1467="Correct",ROUND(INDEX('Reward Model'!$B$12:$B$14,MATCH($Y1467,'Reward Model'!$A$12:$A$14,0))*Z1467,2),0)</f>
        <v>2</v>
      </c>
    </row>
    <row r="1468" customFormat="false" ht="15" hidden="false" customHeight="false" outlineLevel="0" collapsed="false">
      <c r="A1468" s="0" t="s">
        <v>276</v>
      </c>
      <c r="B1468" s="0" t="s">
        <v>277</v>
      </c>
      <c r="C1468" s="0" t="s">
        <v>30</v>
      </c>
      <c r="D1468" s="0" t="s">
        <v>275</v>
      </c>
      <c r="E1468" s="0" t="n">
        <v>7</v>
      </c>
      <c r="F1468" s="0" t="s">
        <v>50</v>
      </c>
      <c r="G1468" s="0" t="s">
        <v>51</v>
      </c>
      <c r="H1468" s="0" t="s">
        <v>51</v>
      </c>
      <c r="I1468" s="0" t="s">
        <v>34</v>
      </c>
      <c r="J1468" s="0" t="n">
        <v>1.67</v>
      </c>
      <c r="K1468" s="0" t="s">
        <v>35</v>
      </c>
      <c r="L1468" s="0" t="n">
        <f aca="false">INDEX(Summary!$F$2:$F$201,MATCH($B1468,Summary!$A$2:$A$201,0))</f>
        <v>20</v>
      </c>
      <c r="M1468" s="0" t="n">
        <f aca="false">INDEX(Summary!$I$2:$I$201,MATCH($B1468,Summary!$A$2:$A$201,0))</f>
        <v>3</v>
      </c>
      <c r="N1468" s="0" t="n">
        <f aca="false">INDEX(Summary!$J$2:$J$201,MATCH($B1468,Summary!$A$2:$A$201,0))</f>
        <v>2</v>
      </c>
      <c r="O1468" s="2" t="n">
        <f aca="false">INDEX(Summary!$K$2:$K$201,MATCH($B1468,Summary!$A$2:$A$201,0))</f>
        <v>8.64</v>
      </c>
      <c r="P1468" s="3" t="n">
        <f aca="false">INDEX(Summary!$L$2:$L$201,MATCH($B1468,Summary!$A$2:$A$201,0))</f>
        <v>3</v>
      </c>
      <c r="Q1468" s="3" t="n">
        <f aca="false">INDEX(Summary!$M$2:$M$201,MATCH($B1468,Summary!$A$2:$A$201,0))</f>
        <v>3</v>
      </c>
      <c r="R1468" s="2" t="n">
        <f aca="false">INDEX(Summary!$N$2:$N$201,MATCH($B1468,Summary!$A$2:$A$201,0))</f>
        <v>10.16</v>
      </c>
      <c r="S1468" s="3" t="n">
        <f aca="false">INDEX(Summary!$O$2:$O$201,MATCH($B1468,Summary!$A$2:$A$201,0))</f>
        <v>8</v>
      </c>
      <c r="T1468" s="3" t="n">
        <f aca="false">INDEX(Summary!$P$2:$P$201,MATCH($B1468,Summary!$A$2:$A$201,0))</f>
        <v>1</v>
      </c>
      <c r="U1468" s="2" t="n">
        <f aca="false">INDEX(Summary!$Q$2:$Q$201,MATCH($B1468,Summary!$A$2:$A$201,0))</f>
        <v>12.29</v>
      </c>
      <c r="V1468" s="2" t="n">
        <f aca="false">INDEX(Summary!$R$2:$R$201,MATCH($B1468,Summary!$A$2:$A$201,0))</f>
        <v>26.8</v>
      </c>
      <c r="W1468" s="0" t="str">
        <f aca="false">INDEX(Summary!$S$2:$S$201,MATCH($B1468,Summary!$A$2:$A$201,0))</f>
        <v>Silver</v>
      </c>
      <c r="X1468" s="2" t="n">
        <f aca="false">INDEX(Summary!$T$2:$T$201,MATCH($B1468,Summary!$A$2:$A$201,0))</f>
        <v>65.37</v>
      </c>
      <c r="Y1468" s="0" t="str">
        <f aca="false">INDEX('Reward Model'!$E$18:$E$37,MATCH($E1468,'Reward Model'!$A$18:$A$37,0))</f>
        <v>Low</v>
      </c>
      <c r="Z1468" s="4" t="n">
        <f aca="false">ROUND(MIN(1,MAX('Reward Model'!$B$2,INDEX('Reward Model'!$C$12:$C$14,MATCH($K1468,'Reward Model'!$A$12:$A$14,0))/$J1468)),3)</f>
        <v>0.898</v>
      </c>
      <c r="AA1468" s="2" t="n">
        <f aca="false">IF($I1468="Correct",ROUND(INDEX('Reward Model'!$B$12:$B$14,MATCH($K1468,'Reward Model'!$A$12:$A$14,0))*Z1468,2),0)</f>
        <v>0.9</v>
      </c>
      <c r="AB1468" s="2" t="n">
        <f aca="false">IF($I1468="Correct",ROUND(INDEX('Reward Model'!$B$12:$B$14,MATCH($Y1468,'Reward Model'!$A$12:$A$14,0))*Z1468,2),0)</f>
        <v>0.9</v>
      </c>
    </row>
    <row r="1469" customFormat="false" ht="15" hidden="false" customHeight="false" outlineLevel="0" collapsed="false">
      <c r="A1469" s="0" t="s">
        <v>276</v>
      </c>
      <c r="B1469" s="0" t="s">
        <v>277</v>
      </c>
      <c r="C1469" s="0" t="s">
        <v>30</v>
      </c>
      <c r="D1469" s="0" t="s">
        <v>275</v>
      </c>
      <c r="E1469" s="0" t="n">
        <v>8</v>
      </c>
      <c r="F1469" s="0" t="s">
        <v>52</v>
      </c>
      <c r="G1469" s="0" t="s">
        <v>54</v>
      </c>
      <c r="H1469" s="0" t="s">
        <v>54</v>
      </c>
      <c r="I1469" s="0" t="s">
        <v>34</v>
      </c>
      <c r="J1469" s="0" t="n">
        <v>1.22</v>
      </c>
      <c r="K1469" s="0" t="s">
        <v>35</v>
      </c>
      <c r="L1469" s="0" t="n">
        <f aca="false">INDEX(Summary!$F$2:$F$201,MATCH($B1469,Summary!$A$2:$A$201,0))</f>
        <v>20</v>
      </c>
      <c r="M1469" s="0" t="n">
        <f aca="false">INDEX(Summary!$I$2:$I$201,MATCH($B1469,Summary!$A$2:$A$201,0))</f>
        <v>3</v>
      </c>
      <c r="N1469" s="0" t="n">
        <f aca="false">INDEX(Summary!$J$2:$J$201,MATCH($B1469,Summary!$A$2:$A$201,0))</f>
        <v>2</v>
      </c>
      <c r="O1469" s="2" t="n">
        <f aca="false">INDEX(Summary!$K$2:$K$201,MATCH($B1469,Summary!$A$2:$A$201,0))</f>
        <v>8.64</v>
      </c>
      <c r="P1469" s="3" t="n">
        <f aca="false">INDEX(Summary!$L$2:$L$201,MATCH($B1469,Summary!$A$2:$A$201,0))</f>
        <v>3</v>
      </c>
      <c r="Q1469" s="3" t="n">
        <f aca="false">INDEX(Summary!$M$2:$M$201,MATCH($B1469,Summary!$A$2:$A$201,0))</f>
        <v>3</v>
      </c>
      <c r="R1469" s="2" t="n">
        <f aca="false">INDEX(Summary!$N$2:$N$201,MATCH($B1469,Summary!$A$2:$A$201,0))</f>
        <v>10.16</v>
      </c>
      <c r="S1469" s="3" t="n">
        <f aca="false">INDEX(Summary!$O$2:$O$201,MATCH($B1469,Summary!$A$2:$A$201,0))</f>
        <v>8</v>
      </c>
      <c r="T1469" s="3" t="n">
        <f aca="false">INDEX(Summary!$P$2:$P$201,MATCH($B1469,Summary!$A$2:$A$201,0))</f>
        <v>1</v>
      </c>
      <c r="U1469" s="2" t="n">
        <f aca="false">INDEX(Summary!$Q$2:$Q$201,MATCH($B1469,Summary!$A$2:$A$201,0))</f>
        <v>12.29</v>
      </c>
      <c r="V1469" s="2" t="n">
        <f aca="false">INDEX(Summary!$R$2:$R$201,MATCH($B1469,Summary!$A$2:$A$201,0))</f>
        <v>26.8</v>
      </c>
      <c r="W1469" s="0" t="str">
        <f aca="false">INDEX(Summary!$S$2:$S$201,MATCH($B1469,Summary!$A$2:$A$201,0))</f>
        <v>Silver</v>
      </c>
      <c r="X1469" s="2" t="n">
        <f aca="false">INDEX(Summary!$T$2:$T$201,MATCH($B1469,Summary!$A$2:$A$201,0))</f>
        <v>65.37</v>
      </c>
      <c r="Y1469" s="0" t="str">
        <f aca="false">INDEX('Reward Model'!$E$18:$E$37,MATCH($E1469,'Reward Model'!$A$18:$A$37,0))</f>
        <v>Medium</v>
      </c>
      <c r="Z1469" s="4" t="n">
        <f aca="false">ROUND(MIN(1,MAX('Reward Model'!$B$2,INDEX('Reward Model'!$C$12:$C$14,MATCH($K1469,'Reward Model'!$A$12:$A$14,0))/$J1469)),3)</f>
        <v>1</v>
      </c>
      <c r="AA1469" s="2" t="n">
        <f aca="false">IF($I1469="Correct",ROUND(INDEX('Reward Model'!$B$12:$B$14,MATCH($K1469,'Reward Model'!$A$12:$A$14,0))*Z1469,2),0)</f>
        <v>1</v>
      </c>
      <c r="AB1469" s="2" t="n">
        <f aca="false">IF($I1469="Correct",ROUND(INDEX('Reward Model'!$B$12:$B$14,MATCH($Y1469,'Reward Model'!$A$12:$A$14,0))*Z1469,2),0)</f>
        <v>2</v>
      </c>
    </row>
    <row r="1470" customFormat="false" ht="15" hidden="false" customHeight="false" outlineLevel="0" collapsed="false">
      <c r="A1470" s="0" t="s">
        <v>276</v>
      </c>
      <c r="B1470" s="0" t="s">
        <v>277</v>
      </c>
      <c r="C1470" s="0" t="s">
        <v>30</v>
      </c>
      <c r="D1470" s="0" t="s">
        <v>275</v>
      </c>
      <c r="E1470" s="0" t="n">
        <v>9</v>
      </c>
      <c r="F1470" s="0" t="s">
        <v>55</v>
      </c>
      <c r="G1470" s="0" t="s">
        <v>57</v>
      </c>
      <c r="H1470" s="0" t="s">
        <v>57</v>
      </c>
      <c r="I1470" s="0" t="s">
        <v>34</v>
      </c>
      <c r="J1470" s="0" t="n">
        <v>1.18</v>
      </c>
      <c r="K1470" s="0" t="s">
        <v>35</v>
      </c>
      <c r="L1470" s="0" t="n">
        <f aca="false">INDEX(Summary!$F$2:$F$201,MATCH($B1470,Summary!$A$2:$A$201,0))</f>
        <v>20</v>
      </c>
      <c r="M1470" s="0" t="n">
        <f aca="false">INDEX(Summary!$I$2:$I$201,MATCH($B1470,Summary!$A$2:$A$201,0))</f>
        <v>3</v>
      </c>
      <c r="N1470" s="0" t="n">
        <f aca="false">INDEX(Summary!$J$2:$J$201,MATCH($B1470,Summary!$A$2:$A$201,0))</f>
        <v>2</v>
      </c>
      <c r="O1470" s="2" t="n">
        <f aca="false">INDEX(Summary!$K$2:$K$201,MATCH($B1470,Summary!$A$2:$A$201,0))</f>
        <v>8.64</v>
      </c>
      <c r="P1470" s="3" t="n">
        <f aca="false">INDEX(Summary!$L$2:$L$201,MATCH($B1470,Summary!$A$2:$A$201,0))</f>
        <v>3</v>
      </c>
      <c r="Q1470" s="3" t="n">
        <f aca="false">INDEX(Summary!$M$2:$M$201,MATCH($B1470,Summary!$A$2:$A$201,0))</f>
        <v>3</v>
      </c>
      <c r="R1470" s="2" t="n">
        <f aca="false">INDEX(Summary!$N$2:$N$201,MATCH($B1470,Summary!$A$2:$A$201,0))</f>
        <v>10.16</v>
      </c>
      <c r="S1470" s="3" t="n">
        <f aca="false">INDEX(Summary!$O$2:$O$201,MATCH($B1470,Summary!$A$2:$A$201,0))</f>
        <v>8</v>
      </c>
      <c r="T1470" s="3" t="n">
        <f aca="false">INDEX(Summary!$P$2:$P$201,MATCH($B1470,Summary!$A$2:$A$201,0))</f>
        <v>1</v>
      </c>
      <c r="U1470" s="2" t="n">
        <f aca="false">INDEX(Summary!$Q$2:$Q$201,MATCH($B1470,Summary!$A$2:$A$201,0))</f>
        <v>12.29</v>
      </c>
      <c r="V1470" s="2" t="n">
        <f aca="false">INDEX(Summary!$R$2:$R$201,MATCH($B1470,Summary!$A$2:$A$201,0))</f>
        <v>26.8</v>
      </c>
      <c r="W1470" s="0" t="str">
        <f aca="false">INDEX(Summary!$S$2:$S$201,MATCH($B1470,Summary!$A$2:$A$201,0))</f>
        <v>Silver</v>
      </c>
      <c r="X1470" s="2" t="n">
        <f aca="false">INDEX(Summary!$T$2:$T$201,MATCH($B1470,Summary!$A$2:$A$201,0))</f>
        <v>65.37</v>
      </c>
      <c r="Y1470" s="0" t="str">
        <f aca="false">INDEX('Reward Model'!$E$18:$E$37,MATCH($E1470,'Reward Model'!$A$18:$A$37,0))</f>
        <v>Medium</v>
      </c>
      <c r="Z1470" s="4" t="n">
        <f aca="false">ROUND(MIN(1,MAX('Reward Model'!$B$2,INDEX('Reward Model'!$C$12:$C$14,MATCH($K1470,'Reward Model'!$A$12:$A$14,0))/$J1470)),3)</f>
        <v>1</v>
      </c>
      <c r="AA1470" s="2" t="n">
        <f aca="false">IF($I1470="Correct",ROUND(INDEX('Reward Model'!$B$12:$B$14,MATCH($K1470,'Reward Model'!$A$12:$A$14,0))*Z1470,2),0)</f>
        <v>1</v>
      </c>
      <c r="AB1470" s="2" t="n">
        <f aca="false">IF($I1470="Correct",ROUND(INDEX('Reward Model'!$B$12:$B$14,MATCH($Y1470,'Reward Model'!$A$12:$A$14,0))*Z1470,2),0)</f>
        <v>2</v>
      </c>
    </row>
    <row r="1471" customFormat="false" ht="15" hidden="false" customHeight="false" outlineLevel="0" collapsed="false">
      <c r="A1471" s="0" t="s">
        <v>276</v>
      </c>
      <c r="B1471" s="0" t="s">
        <v>277</v>
      </c>
      <c r="C1471" s="0" t="s">
        <v>30</v>
      </c>
      <c r="D1471" s="0" t="s">
        <v>275</v>
      </c>
      <c r="E1471" s="0" t="n">
        <v>10</v>
      </c>
      <c r="F1471" s="0" t="s">
        <v>58</v>
      </c>
      <c r="G1471" s="0" t="s">
        <v>59</v>
      </c>
      <c r="H1471" s="0" t="s">
        <v>59</v>
      </c>
      <c r="I1471" s="0" t="s">
        <v>34</v>
      </c>
      <c r="J1471" s="0" t="n">
        <v>1.5</v>
      </c>
      <c r="K1471" s="0" t="s">
        <v>60</v>
      </c>
      <c r="L1471" s="0" t="n">
        <f aca="false">INDEX(Summary!$F$2:$F$201,MATCH($B1471,Summary!$A$2:$A$201,0))</f>
        <v>20</v>
      </c>
      <c r="M1471" s="0" t="n">
        <f aca="false">INDEX(Summary!$I$2:$I$201,MATCH($B1471,Summary!$A$2:$A$201,0))</f>
        <v>3</v>
      </c>
      <c r="N1471" s="0" t="n">
        <f aca="false">INDEX(Summary!$J$2:$J$201,MATCH($B1471,Summary!$A$2:$A$201,0))</f>
        <v>2</v>
      </c>
      <c r="O1471" s="2" t="n">
        <f aca="false">INDEX(Summary!$K$2:$K$201,MATCH($B1471,Summary!$A$2:$A$201,0))</f>
        <v>8.64</v>
      </c>
      <c r="P1471" s="3" t="n">
        <f aca="false">INDEX(Summary!$L$2:$L$201,MATCH($B1471,Summary!$A$2:$A$201,0))</f>
        <v>3</v>
      </c>
      <c r="Q1471" s="3" t="n">
        <f aca="false">INDEX(Summary!$M$2:$M$201,MATCH($B1471,Summary!$A$2:$A$201,0))</f>
        <v>3</v>
      </c>
      <c r="R1471" s="2" t="n">
        <f aca="false">INDEX(Summary!$N$2:$N$201,MATCH($B1471,Summary!$A$2:$A$201,0))</f>
        <v>10.16</v>
      </c>
      <c r="S1471" s="3" t="n">
        <f aca="false">INDEX(Summary!$O$2:$O$201,MATCH($B1471,Summary!$A$2:$A$201,0))</f>
        <v>8</v>
      </c>
      <c r="T1471" s="3" t="n">
        <f aca="false">INDEX(Summary!$P$2:$P$201,MATCH($B1471,Summary!$A$2:$A$201,0))</f>
        <v>1</v>
      </c>
      <c r="U1471" s="2" t="n">
        <f aca="false">INDEX(Summary!$Q$2:$Q$201,MATCH($B1471,Summary!$A$2:$A$201,0))</f>
        <v>12.29</v>
      </c>
      <c r="V1471" s="2" t="n">
        <f aca="false">INDEX(Summary!$R$2:$R$201,MATCH($B1471,Summary!$A$2:$A$201,0))</f>
        <v>26.8</v>
      </c>
      <c r="W1471" s="0" t="str">
        <f aca="false">INDEX(Summary!$S$2:$S$201,MATCH($B1471,Summary!$A$2:$A$201,0))</f>
        <v>Silver</v>
      </c>
      <c r="X1471" s="2" t="n">
        <f aca="false">INDEX(Summary!$T$2:$T$201,MATCH($B1471,Summary!$A$2:$A$201,0))</f>
        <v>65.37</v>
      </c>
      <c r="Y1471" s="0" t="str">
        <f aca="false">INDEX('Reward Model'!$E$18:$E$37,MATCH($E1471,'Reward Model'!$A$18:$A$37,0))</f>
        <v>Medium</v>
      </c>
      <c r="Z1471" s="4" t="n">
        <f aca="false">ROUND(MIN(1,MAX('Reward Model'!$B$2,INDEX('Reward Model'!$C$12:$C$14,MATCH($K1471,'Reward Model'!$A$12:$A$14,0))/$J1471)),3)</f>
        <v>1</v>
      </c>
      <c r="AA1471" s="2" t="n">
        <f aca="false">IF($I1471="Correct",ROUND(INDEX('Reward Model'!$B$12:$B$14,MATCH($K1471,'Reward Model'!$A$12:$A$14,0))*Z1471,2),0)</f>
        <v>2</v>
      </c>
      <c r="AB1471" s="2" t="n">
        <f aca="false">IF($I1471="Correct",ROUND(INDEX('Reward Model'!$B$12:$B$14,MATCH($Y1471,'Reward Model'!$A$12:$A$14,0))*Z1471,2),0)</f>
        <v>2</v>
      </c>
    </row>
    <row r="1472" customFormat="false" ht="15" hidden="false" customHeight="false" outlineLevel="0" collapsed="false">
      <c r="A1472" s="0" t="s">
        <v>276</v>
      </c>
      <c r="B1472" s="0" t="s">
        <v>277</v>
      </c>
      <c r="C1472" s="0" t="s">
        <v>30</v>
      </c>
      <c r="D1472" s="0" t="s">
        <v>275</v>
      </c>
      <c r="E1472" s="0" t="n">
        <v>11</v>
      </c>
      <c r="F1472" s="0" t="s">
        <v>61</v>
      </c>
      <c r="G1472" s="0" t="s">
        <v>63</v>
      </c>
      <c r="H1472" s="0" t="s">
        <v>63</v>
      </c>
      <c r="I1472" s="0" t="s">
        <v>34</v>
      </c>
      <c r="J1472" s="0" t="n">
        <v>2.3</v>
      </c>
      <c r="K1472" s="0" t="s">
        <v>60</v>
      </c>
      <c r="L1472" s="0" t="n">
        <f aca="false">INDEX(Summary!$F$2:$F$201,MATCH($B1472,Summary!$A$2:$A$201,0))</f>
        <v>20</v>
      </c>
      <c r="M1472" s="0" t="n">
        <f aca="false">INDEX(Summary!$I$2:$I$201,MATCH($B1472,Summary!$A$2:$A$201,0))</f>
        <v>3</v>
      </c>
      <c r="N1472" s="0" t="n">
        <f aca="false">INDEX(Summary!$J$2:$J$201,MATCH($B1472,Summary!$A$2:$A$201,0))</f>
        <v>2</v>
      </c>
      <c r="O1472" s="2" t="n">
        <f aca="false">INDEX(Summary!$K$2:$K$201,MATCH($B1472,Summary!$A$2:$A$201,0))</f>
        <v>8.64</v>
      </c>
      <c r="P1472" s="3" t="n">
        <f aca="false">INDEX(Summary!$L$2:$L$201,MATCH($B1472,Summary!$A$2:$A$201,0))</f>
        <v>3</v>
      </c>
      <c r="Q1472" s="3" t="n">
        <f aca="false">INDEX(Summary!$M$2:$M$201,MATCH($B1472,Summary!$A$2:$A$201,0))</f>
        <v>3</v>
      </c>
      <c r="R1472" s="2" t="n">
        <f aca="false">INDEX(Summary!$N$2:$N$201,MATCH($B1472,Summary!$A$2:$A$201,0))</f>
        <v>10.16</v>
      </c>
      <c r="S1472" s="3" t="n">
        <f aca="false">INDEX(Summary!$O$2:$O$201,MATCH($B1472,Summary!$A$2:$A$201,0))</f>
        <v>8</v>
      </c>
      <c r="T1472" s="3" t="n">
        <f aca="false">INDEX(Summary!$P$2:$P$201,MATCH($B1472,Summary!$A$2:$A$201,0))</f>
        <v>1</v>
      </c>
      <c r="U1472" s="2" t="n">
        <f aca="false">INDEX(Summary!$Q$2:$Q$201,MATCH($B1472,Summary!$A$2:$A$201,0))</f>
        <v>12.29</v>
      </c>
      <c r="V1472" s="2" t="n">
        <f aca="false">INDEX(Summary!$R$2:$R$201,MATCH($B1472,Summary!$A$2:$A$201,0))</f>
        <v>26.8</v>
      </c>
      <c r="W1472" s="0" t="str">
        <f aca="false">INDEX(Summary!$S$2:$S$201,MATCH($B1472,Summary!$A$2:$A$201,0))</f>
        <v>Silver</v>
      </c>
      <c r="X1472" s="2" t="n">
        <f aca="false">INDEX(Summary!$T$2:$T$201,MATCH($B1472,Summary!$A$2:$A$201,0))</f>
        <v>65.37</v>
      </c>
      <c r="Y1472" s="0" t="str">
        <f aca="false">INDEX('Reward Model'!$E$18:$E$37,MATCH($E1472,'Reward Model'!$A$18:$A$37,0))</f>
        <v>Medium</v>
      </c>
      <c r="Z1472" s="4" t="n">
        <f aca="false">ROUND(MIN(1,MAX('Reward Model'!$B$2,INDEX('Reward Model'!$C$12:$C$14,MATCH($K1472,'Reward Model'!$A$12:$A$14,0))/$J1472)),3)</f>
        <v>0.783</v>
      </c>
      <c r="AA1472" s="2" t="n">
        <f aca="false">IF($I1472="Correct",ROUND(INDEX('Reward Model'!$B$12:$B$14,MATCH($K1472,'Reward Model'!$A$12:$A$14,0))*Z1472,2),0)</f>
        <v>1.57</v>
      </c>
      <c r="AB1472" s="2" t="n">
        <f aca="false">IF($I1472="Correct",ROUND(INDEX('Reward Model'!$B$12:$B$14,MATCH($Y1472,'Reward Model'!$A$12:$A$14,0))*Z1472,2),0)</f>
        <v>1.57</v>
      </c>
    </row>
    <row r="1473" customFormat="false" ht="15" hidden="false" customHeight="false" outlineLevel="0" collapsed="false">
      <c r="A1473" s="0" t="s">
        <v>276</v>
      </c>
      <c r="B1473" s="0" t="s">
        <v>277</v>
      </c>
      <c r="C1473" s="0" t="s">
        <v>30</v>
      </c>
      <c r="D1473" s="0" t="s">
        <v>275</v>
      </c>
      <c r="E1473" s="0" t="n">
        <v>12</v>
      </c>
      <c r="F1473" s="0" t="s">
        <v>64</v>
      </c>
      <c r="G1473" s="0" t="s">
        <v>65</v>
      </c>
      <c r="H1473" s="0" t="s">
        <v>65</v>
      </c>
      <c r="I1473" s="0" t="s">
        <v>34</v>
      </c>
      <c r="J1473" s="0" t="n">
        <v>1.68</v>
      </c>
      <c r="K1473" s="0" t="s">
        <v>60</v>
      </c>
      <c r="L1473" s="0" t="n">
        <f aca="false">INDEX(Summary!$F$2:$F$201,MATCH($B1473,Summary!$A$2:$A$201,0))</f>
        <v>20</v>
      </c>
      <c r="M1473" s="0" t="n">
        <f aca="false">INDEX(Summary!$I$2:$I$201,MATCH($B1473,Summary!$A$2:$A$201,0))</f>
        <v>3</v>
      </c>
      <c r="N1473" s="0" t="n">
        <f aca="false">INDEX(Summary!$J$2:$J$201,MATCH($B1473,Summary!$A$2:$A$201,0))</f>
        <v>2</v>
      </c>
      <c r="O1473" s="2" t="n">
        <f aca="false">INDEX(Summary!$K$2:$K$201,MATCH($B1473,Summary!$A$2:$A$201,0))</f>
        <v>8.64</v>
      </c>
      <c r="P1473" s="3" t="n">
        <f aca="false">INDEX(Summary!$L$2:$L$201,MATCH($B1473,Summary!$A$2:$A$201,0))</f>
        <v>3</v>
      </c>
      <c r="Q1473" s="3" t="n">
        <f aca="false">INDEX(Summary!$M$2:$M$201,MATCH($B1473,Summary!$A$2:$A$201,0))</f>
        <v>3</v>
      </c>
      <c r="R1473" s="2" t="n">
        <f aca="false">INDEX(Summary!$N$2:$N$201,MATCH($B1473,Summary!$A$2:$A$201,0))</f>
        <v>10.16</v>
      </c>
      <c r="S1473" s="3" t="n">
        <f aca="false">INDEX(Summary!$O$2:$O$201,MATCH($B1473,Summary!$A$2:$A$201,0))</f>
        <v>8</v>
      </c>
      <c r="T1473" s="3" t="n">
        <f aca="false">INDEX(Summary!$P$2:$P$201,MATCH($B1473,Summary!$A$2:$A$201,0))</f>
        <v>1</v>
      </c>
      <c r="U1473" s="2" t="n">
        <f aca="false">INDEX(Summary!$Q$2:$Q$201,MATCH($B1473,Summary!$A$2:$A$201,0))</f>
        <v>12.29</v>
      </c>
      <c r="V1473" s="2" t="n">
        <f aca="false">INDEX(Summary!$R$2:$R$201,MATCH($B1473,Summary!$A$2:$A$201,0))</f>
        <v>26.8</v>
      </c>
      <c r="W1473" s="0" t="str">
        <f aca="false">INDEX(Summary!$S$2:$S$201,MATCH($B1473,Summary!$A$2:$A$201,0))</f>
        <v>Silver</v>
      </c>
      <c r="X1473" s="2" t="n">
        <f aca="false">INDEX(Summary!$T$2:$T$201,MATCH($B1473,Summary!$A$2:$A$201,0))</f>
        <v>65.37</v>
      </c>
      <c r="Y1473" s="0" t="str">
        <f aca="false">INDEX('Reward Model'!$E$18:$E$37,MATCH($E1473,'Reward Model'!$A$18:$A$37,0))</f>
        <v>Medium</v>
      </c>
      <c r="Z1473" s="4" t="n">
        <f aca="false">ROUND(MIN(1,MAX('Reward Model'!$B$2,INDEX('Reward Model'!$C$12:$C$14,MATCH($K1473,'Reward Model'!$A$12:$A$14,0))/$J1473)),3)</f>
        <v>1</v>
      </c>
      <c r="AA1473" s="2" t="n">
        <f aca="false">IF($I1473="Correct",ROUND(INDEX('Reward Model'!$B$12:$B$14,MATCH($K1473,'Reward Model'!$A$12:$A$14,0))*Z1473,2),0)</f>
        <v>2</v>
      </c>
      <c r="AB1473" s="2" t="n">
        <f aca="false">IF($I1473="Correct",ROUND(INDEX('Reward Model'!$B$12:$B$14,MATCH($Y1473,'Reward Model'!$A$12:$A$14,0))*Z1473,2),0)</f>
        <v>2</v>
      </c>
    </row>
    <row r="1474" customFormat="false" ht="15" hidden="false" customHeight="false" outlineLevel="0" collapsed="false">
      <c r="A1474" s="0" t="s">
        <v>276</v>
      </c>
      <c r="B1474" s="0" t="s">
        <v>277</v>
      </c>
      <c r="C1474" s="0" t="s">
        <v>30</v>
      </c>
      <c r="D1474" s="0" t="s">
        <v>275</v>
      </c>
      <c r="E1474" s="0" t="n">
        <v>13</v>
      </c>
      <c r="F1474" s="0" t="s">
        <v>66</v>
      </c>
      <c r="G1474" s="0" t="s">
        <v>165</v>
      </c>
      <c r="H1474" s="0" t="s">
        <v>67</v>
      </c>
      <c r="I1474" s="0" t="s">
        <v>39</v>
      </c>
      <c r="J1474" s="0" t="n">
        <v>1.11</v>
      </c>
      <c r="K1474" s="0" t="s">
        <v>60</v>
      </c>
      <c r="L1474" s="0" t="n">
        <f aca="false">INDEX(Summary!$F$2:$F$201,MATCH($B1474,Summary!$A$2:$A$201,0))</f>
        <v>20</v>
      </c>
      <c r="M1474" s="0" t="n">
        <f aca="false">INDEX(Summary!$I$2:$I$201,MATCH($B1474,Summary!$A$2:$A$201,0))</f>
        <v>3</v>
      </c>
      <c r="N1474" s="0" t="n">
        <f aca="false">INDEX(Summary!$J$2:$J$201,MATCH($B1474,Summary!$A$2:$A$201,0))</f>
        <v>2</v>
      </c>
      <c r="O1474" s="2" t="n">
        <f aca="false">INDEX(Summary!$K$2:$K$201,MATCH($B1474,Summary!$A$2:$A$201,0))</f>
        <v>8.64</v>
      </c>
      <c r="P1474" s="3" t="n">
        <f aca="false">INDEX(Summary!$L$2:$L$201,MATCH($B1474,Summary!$A$2:$A$201,0))</f>
        <v>3</v>
      </c>
      <c r="Q1474" s="3" t="n">
        <f aca="false">INDEX(Summary!$M$2:$M$201,MATCH($B1474,Summary!$A$2:$A$201,0))</f>
        <v>3</v>
      </c>
      <c r="R1474" s="2" t="n">
        <f aca="false">INDEX(Summary!$N$2:$N$201,MATCH($B1474,Summary!$A$2:$A$201,0))</f>
        <v>10.16</v>
      </c>
      <c r="S1474" s="3" t="n">
        <f aca="false">INDEX(Summary!$O$2:$O$201,MATCH($B1474,Summary!$A$2:$A$201,0))</f>
        <v>8</v>
      </c>
      <c r="T1474" s="3" t="n">
        <f aca="false">INDEX(Summary!$P$2:$P$201,MATCH($B1474,Summary!$A$2:$A$201,0))</f>
        <v>1</v>
      </c>
      <c r="U1474" s="2" t="n">
        <f aca="false">INDEX(Summary!$Q$2:$Q$201,MATCH($B1474,Summary!$A$2:$A$201,0))</f>
        <v>12.29</v>
      </c>
      <c r="V1474" s="2" t="n">
        <f aca="false">INDEX(Summary!$R$2:$R$201,MATCH($B1474,Summary!$A$2:$A$201,0))</f>
        <v>26.8</v>
      </c>
      <c r="W1474" s="0" t="str">
        <f aca="false">INDEX(Summary!$S$2:$S$201,MATCH($B1474,Summary!$A$2:$A$201,0))</f>
        <v>Silver</v>
      </c>
      <c r="X1474" s="2" t="n">
        <f aca="false">INDEX(Summary!$T$2:$T$201,MATCH($B1474,Summary!$A$2:$A$201,0))</f>
        <v>65.37</v>
      </c>
      <c r="Y1474" s="0" t="str">
        <f aca="false">INDEX('Reward Model'!$E$18:$E$37,MATCH($E1474,'Reward Model'!$A$18:$A$37,0))</f>
        <v>Medium</v>
      </c>
      <c r="Z1474" s="4" t="n">
        <f aca="false">ROUND(MIN(1,MAX('Reward Model'!$B$2,INDEX('Reward Model'!$C$12:$C$14,MATCH($K1474,'Reward Model'!$A$12:$A$14,0))/$J1474)),3)</f>
        <v>1</v>
      </c>
      <c r="AA1474" s="2" t="n">
        <f aca="false">IF($I1474="Correct",ROUND(INDEX('Reward Model'!$B$12:$B$14,MATCH($K1474,'Reward Model'!$A$12:$A$14,0))*Z1474,2),0)</f>
        <v>0</v>
      </c>
      <c r="AB1474" s="2" t="n">
        <f aca="false">IF($I1474="Correct",ROUND(INDEX('Reward Model'!$B$12:$B$14,MATCH($Y1474,'Reward Model'!$A$12:$A$14,0))*Z1474,2),0)</f>
        <v>0</v>
      </c>
    </row>
    <row r="1475" customFormat="false" ht="15" hidden="false" customHeight="false" outlineLevel="0" collapsed="false">
      <c r="A1475" s="0" t="s">
        <v>276</v>
      </c>
      <c r="B1475" s="0" t="s">
        <v>277</v>
      </c>
      <c r="C1475" s="0" t="s">
        <v>30</v>
      </c>
      <c r="D1475" s="0" t="s">
        <v>275</v>
      </c>
      <c r="E1475" s="0" t="n">
        <v>14</v>
      </c>
      <c r="F1475" s="0" t="s">
        <v>68</v>
      </c>
      <c r="G1475" s="0" t="s">
        <v>100</v>
      </c>
      <c r="H1475" s="0" t="s">
        <v>51</v>
      </c>
      <c r="I1475" s="0" t="s">
        <v>39</v>
      </c>
      <c r="J1475" s="0" t="n">
        <v>1.28</v>
      </c>
      <c r="K1475" s="0" t="s">
        <v>60</v>
      </c>
      <c r="L1475" s="0" t="n">
        <f aca="false">INDEX(Summary!$F$2:$F$201,MATCH($B1475,Summary!$A$2:$A$201,0))</f>
        <v>20</v>
      </c>
      <c r="M1475" s="0" t="n">
        <f aca="false">INDEX(Summary!$I$2:$I$201,MATCH($B1475,Summary!$A$2:$A$201,0))</f>
        <v>3</v>
      </c>
      <c r="N1475" s="0" t="n">
        <f aca="false">INDEX(Summary!$J$2:$J$201,MATCH($B1475,Summary!$A$2:$A$201,0))</f>
        <v>2</v>
      </c>
      <c r="O1475" s="2" t="n">
        <f aca="false">INDEX(Summary!$K$2:$K$201,MATCH($B1475,Summary!$A$2:$A$201,0))</f>
        <v>8.64</v>
      </c>
      <c r="P1475" s="3" t="n">
        <f aca="false">INDEX(Summary!$L$2:$L$201,MATCH($B1475,Summary!$A$2:$A$201,0))</f>
        <v>3</v>
      </c>
      <c r="Q1475" s="3" t="n">
        <f aca="false">INDEX(Summary!$M$2:$M$201,MATCH($B1475,Summary!$A$2:$A$201,0))</f>
        <v>3</v>
      </c>
      <c r="R1475" s="2" t="n">
        <f aca="false">INDEX(Summary!$N$2:$N$201,MATCH($B1475,Summary!$A$2:$A$201,0))</f>
        <v>10.16</v>
      </c>
      <c r="S1475" s="3" t="n">
        <f aca="false">INDEX(Summary!$O$2:$O$201,MATCH($B1475,Summary!$A$2:$A$201,0))</f>
        <v>8</v>
      </c>
      <c r="T1475" s="3" t="n">
        <f aca="false">INDEX(Summary!$P$2:$P$201,MATCH($B1475,Summary!$A$2:$A$201,0))</f>
        <v>1</v>
      </c>
      <c r="U1475" s="2" t="n">
        <f aca="false">INDEX(Summary!$Q$2:$Q$201,MATCH($B1475,Summary!$A$2:$A$201,0))</f>
        <v>12.29</v>
      </c>
      <c r="V1475" s="2" t="n">
        <f aca="false">INDEX(Summary!$R$2:$R$201,MATCH($B1475,Summary!$A$2:$A$201,0))</f>
        <v>26.8</v>
      </c>
      <c r="W1475" s="0" t="str">
        <f aca="false">INDEX(Summary!$S$2:$S$201,MATCH($B1475,Summary!$A$2:$A$201,0))</f>
        <v>Silver</v>
      </c>
      <c r="X1475" s="2" t="n">
        <f aca="false">INDEX(Summary!$T$2:$T$201,MATCH($B1475,Summary!$A$2:$A$201,0))</f>
        <v>65.37</v>
      </c>
      <c r="Y1475" s="0" t="str">
        <f aca="false">INDEX('Reward Model'!$E$18:$E$37,MATCH($E1475,'Reward Model'!$A$18:$A$37,0))</f>
        <v>Medium</v>
      </c>
      <c r="Z1475" s="4" t="n">
        <f aca="false">ROUND(MIN(1,MAX('Reward Model'!$B$2,INDEX('Reward Model'!$C$12:$C$14,MATCH($K1475,'Reward Model'!$A$12:$A$14,0))/$J1475)),3)</f>
        <v>1</v>
      </c>
      <c r="AA1475" s="2" t="n">
        <f aca="false">IF($I1475="Correct",ROUND(INDEX('Reward Model'!$B$12:$B$14,MATCH($K1475,'Reward Model'!$A$12:$A$14,0))*Z1475,2),0)</f>
        <v>0</v>
      </c>
      <c r="AB1475" s="2" t="n">
        <f aca="false">IF($I1475="Correct",ROUND(INDEX('Reward Model'!$B$12:$B$14,MATCH($Y1475,'Reward Model'!$A$12:$A$14,0))*Z1475,2),0)</f>
        <v>0</v>
      </c>
    </row>
    <row r="1476" customFormat="false" ht="15" hidden="false" customHeight="false" outlineLevel="0" collapsed="false">
      <c r="A1476" s="0" t="s">
        <v>276</v>
      </c>
      <c r="B1476" s="0" t="s">
        <v>277</v>
      </c>
      <c r="C1476" s="0" t="s">
        <v>30</v>
      </c>
      <c r="D1476" s="0" t="s">
        <v>275</v>
      </c>
      <c r="E1476" s="0" t="n">
        <v>15</v>
      </c>
      <c r="F1476" s="0" t="s">
        <v>69</v>
      </c>
      <c r="G1476" s="0" t="s">
        <v>94</v>
      </c>
      <c r="H1476" s="0" t="s">
        <v>70</v>
      </c>
      <c r="I1476" s="0" t="s">
        <v>39</v>
      </c>
      <c r="J1476" s="0" t="n">
        <v>2.29</v>
      </c>
      <c r="K1476" s="0" t="s">
        <v>60</v>
      </c>
      <c r="L1476" s="0" t="n">
        <f aca="false">INDEX(Summary!$F$2:$F$201,MATCH($B1476,Summary!$A$2:$A$201,0))</f>
        <v>20</v>
      </c>
      <c r="M1476" s="0" t="n">
        <f aca="false">INDEX(Summary!$I$2:$I$201,MATCH($B1476,Summary!$A$2:$A$201,0))</f>
        <v>3</v>
      </c>
      <c r="N1476" s="0" t="n">
        <f aca="false">INDEX(Summary!$J$2:$J$201,MATCH($B1476,Summary!$A$2:$A$201,0))</f>
        <v>2</v>
      </c>
      <c r="O1476" s="2" t="n">
        <f aca="false">INDEX(Summary!$K$2:$K$201,MATCH($B1476,Summary!$A$2:$A$201,0))</f>
        <v>8.64</v>
      </c>
      <c r="P1476" s="3" t="n">
        <f aca="false">INDEX(Summary!$L$2:$L$201,MATCH($B1476,Summary!$A$2:$A$201,0))</f>
        <v>3</v>
      </c>
      <c r="Q1476" s="3" t="n">
        <f aca="false">INDEX(Summary!$M$2:$M$201,MATCH($B1476,Summary!$A$2:$A$201,0))</f>
        <v>3</v>
      </c>
      <c r="R1476" s="2" t="n">
        <f aca="false">INDEX(Summary!$N$2:$N$201,MATCH($B1476,Summary!$A$2:$A$201,0))</f>
        <v>10.16</v>
      </c>
      <c r="S1476" s="3" t="n">
        <f aca="false">INDEX(Summary!$O$2:$O$201,MATCH($B1476,Summary!$A$2:$A$201,0))</f>
        <v>8</v>
      </c>
      <c r="T1476" s="3" t="n">
        <f aca="false">INDEX(Summary!$P$2:$P$201,MATCH($B1476,Summary!$A$2:$A$201,0))</f>
        <v>1</v>
      </c>
      <c r="U1476" s="2" t="n">
        <f aca="false">INDEX(Summary!$Q$2:$Q$201,MATCH($B1476,Summary!$A$2:$A$201,0))</f>
        <v>12.29</v>
      </c>
      <c r="V1476" s="2" t="n">
        <f aca="false">INDEX(Summary!$R$2:$R$201,MATCH($B1476,Summary!$A$2:$A$201,0))</f>
        <v>26.8</v>
      </c>
      <c r="W1476" s="0" t="str">
        <f aca="false">INDEX(Summary!$S$2:$S$201,MATCH($B1476,Summary!$A$2:$A$201,0))</f>
        <v>Silver</v>
      </c>
      <c r="X1476" s="2" t="n">
        <f aca="false">INDEX(Summary!$T$2:$T$201,MATCH($B1476,Summary!$A$2:$A$201,0))</f>
        <v>65.37</v>
      </c>
      <c r="Y1476" s="0" t="str">
        <f aca="false">INDEX('Reward Model'!$E$18:$E$37,MATCH($E1476,'Reward Model'!$A$18:$A$37,0))</f>
        <v>Medium</v>
      </c>
      <c r="Z1476" s="4" t="n">
        <f aca="false">ROUND(MIN(1,MAX('Reward Model'!$B$2,INDEX('Reward Model'!$C$12:$C$14,MATCH($K1476,'Reward Model'!$A$12:$A$14,0))/$J1476)),3)</f>
        <v>0.786</v>
      </c>
      <c r="AA1476" s="2" t="n">
        <f aca="false">IF($I1476="Correct",ROUND(INDEX('Reward Model'!$B$12:$B$14,MATCH($K1476,'Reward Model'!$A$12:$A$14,0))*Z1476,2),0)</f>
        <v>0</v>
      </c>
      <c r="AB1476" s="2" t="n">
        <f aca="false">IF($I1476="Correct",ROUND(INDEX('Reward Model'!$B$12:$B$14,MATCH($Y1476,'Reward Model'!$A$12:$A$14,0))*Z1476,2),0)</f>
        <v>0</v>
      </c>
    </row>
    <row r="1477" customFormat="false" ht="15" hidden="false" customHeight="false" outlineLevel="0" collapsed="false">
      <c r="A1477" s="0" t="s">
        <v>276</v>
      </c>
      <c r="B1477" s="0" t="s">
        <v>277</v>
      </c>
      <c r="C1477" s="0" t="s">
        <v>30</v>
      </c>
      <c r="D1477" s="0" t="s">
        <v>275</v>
      </c>
      <c r="E1477" s="0" t="n">
        <v>16</v>
      </c>
      <c r="F1477" s="0" t="s">
        <v>71</v>
      </c>
      <c r="G1477" s="0" t="s">
        <v>87</v>
      </c>
      <c r="H1477" s="0" t="s">
        <v>72</v>
      </c>
      <c r="I1477" s="0" t="s">
        <v>39</v>
      </c>
      <c r="J1477" s="0" t="n">
        <v>1.99</v>
      </c>
      <c r="K1477" s="0" t="s">
        <v>73</v>
      </c>
      <c r="L1477" s="0" t="n">
        <f aca="false">INDEX(Summary!$F$2:$F$201,MATCH($B1477,Summary!$A$2:$A$201,0))</f>
        <v>20</v>
      </c>
      <c r="M1477" s="0" t="n">
        <f aca="false">INDEX(Summary!$I$2:$I$201,MATCH($B1477,Summary!$A$2:$A$201,0))</f>
        <v>3</v>
      </c>
      <c r="N1477" s="0" t="n">
        <f aca="false">INDEX(Summary!$J$2:$J$201,MATCH($B1477,Summary!$A$2:$A$201,0))</f>
        <v>2</v>
      </c>
      <c r="O1477" s="2" t="n">
        <f aca="false">INDEX(Summary!$K$2:$K$201,MATCH($B1477,Summary!$A$2:$A$201,0))</f>
        <v>8.64</v>
      </c>
      <c r="P1477" s="3" t="n">
        <f aca="false">INDEX(Summary!$L$2:$L$201,MATCH($B1477,Summary!$A$2:$A$201,0))</f>
        <v>3</v>
      </c>
      <c r="Q1477" s="3" t="n">
        <f aca="false">INDEX(Summary!$M$2:$M$201,MATCH($B1477,Summary!$A$2:$A$201,0))</f>
        <v>3</v>
      </c>
      <c r="R1477" s="2" t="n">
        <f aca="false">INDEX(Summary!$N$2:$N$201,MATCH($B1477,Summary!$A$2:$A$201,0))</f>
        <v>10.16</v>
      </c>
      <c r="S1477" s="3" t="n">
        <f aca="false">INDEX(Summary!$O$2:$O$201,MATCH($B1477,Summary!$A$2:$A$201,0))</f>
        <v>8</v>
      </c>
      <c r="T1477" s="3" t="n">
        <f aca="false">INDEX(Summary!$P$2:$P$201,MATCH($B1477,Summary!$A$2:$A$201,0))</f>
        <v>1</v>
      </c>
      <c r="U1477" s="2" t="n">
        <f aca="false">INDEX(Summary!$Q$2:$Q$201,MATCH($B1477,Summary!$A$2:$A$201,0))</f>
        <v>12.29</v>
      </c>
      <c r="V1477" s="2" t="n">
        <f aca="false">INDEX(Summary!$R$2:$R$201,MATCH($B1477,Summary!$A$2:$A$201,0))</f>
        <v>26.8</v>
      </c>
      <c r="W1477" s="0" t="str">
        <f aca="false">INDEX(Summary!$S$2:$S$201,MATCH($B1477,Summary!$A$2:$A$201,0))</f>
        <v>Silver</v>
      </c>
      <c r="X1477" s="2" t="n">
        <f aca="false">INDEX(Summary!$T$2:$T$201,MATCH($B1477,Summary!$A$2:$A$201,0))</f>
        <v>65.37</v>
      </c>
      <c r="Y1477" s="0" t="str">
        <f aca="false">INDEX('Reward Model'!$E$18:$E$37,MATCH($E1477,'Reward Model'!$A$18:$A$37,0))</f>
        <v>High</v>
      </c>
      <c r="Z1477" s="4" t="n">
        <f aca="false">ROUND(MIN(1,MAX('Reward Model'!$B$2,INDEX('Reward Model'!$C$12:$C$14,MATCH($K1477,'Reward Model'!$A$12:$A$14,0))/$J1477)),3)</f>
        <v>1</v>
      </c>
      <c r="AA1477" s="2" t="n">
        <f aca="false">IF($I1477="Correct",ROUND(INDEX('Reward Model'!$B$12:$B$14,MATCH($K1477,'Reward Model'!$A$12:$A$14,0))*Z1477,2),0)</f>
        <v>0</v>
      </c>
      <c r="AB1477" s="2" t="n">
        <f aca="false">IF($I1477="Correct",ROUND(INDEX('Reward Model'!$B$12:$B$14,MATCH($Y1477,'Reward Model'!$A$12:$A$14,0))*Z1477,2),0)</f>
        <v>0</v>
      </c>
    </row>
    <row r="1478" customFormat="false" ht="15" hidden="false" customHeight="false" outlineLevel="0" collapsed="false">
      <c r="A1478" s="0" t="s">
        <v>276</v>
      </c>
      <c r="B1478" s="0" t="s">
        <v>277</v>
      </c>
      <c r="C1478" s="0" t="s">
        <v>30</v>
      </c>
      <c r="D1478" s="0" t="s">
        <v>275</v>
      </c>
      <c r="E1478" s="0" t="n">
        <v>17</v>
      </c>
      <c r="F1478" s="0" t="s">
        <v>74</v>
      </c>
      <c r="G1478" s="0" t="s">
        <v>91</v>
      </c>
      <c r="H1478" s="0" t="s">
        <v>75</v>
      </c>
      <c r="I1478" s="0" t="s">
        <v>39</v>
      </c>
      <c r="J1478" s="0" t="n">
        <v>1.63</v>
      </c>
      <c r="K1478" s="0" t="s">
        <v>73</v>
      </c>
      <c r="L1478" s="0" t="n">
        <f aca="false">INDEX(Summary!$F$2:$F$201,MATCH($B1478,Summary!$A$2:$A$201,0))</f>
        <v>20</v>
      </c>
      <c r="M1478" s="0" t="n">
        <f aca="false">INDEX(Summary!$I$2:$I$201,MATCH($B1478,Summary!$A$2:$A$201,0))</f>
        <v>3</v>
      </c>
      <c r="N1478" s="0" t="n">
        <f aca="false">INDEX(Summary!$J$2:$J$201,MATCH($B1478,Summary!$A$2:$A$201,0))</f>
        <v>2</v>
      </c>
      <c r="O1478" s="2" t="n">
        <f aca="false">INDEX(Summary!$K$2:$K$201,MATCH($B1478,Summary!$A$2:$A$201,0))</f>
        <v>8.64</v>
      </c>
      <c r="P1478" s="3" t="n">
        <f aca="false">INDEX(Summary!$L$2:$L$201,MATCH($B1478,Summary!$A$2:$A$201,0))</f>
        <v>3</v>
      </c>
      <c r="Q1478" s="3" t="n">
        <f aca="false">INDEX(Summary!$M$2:$M$201,MATCH($B1478,Summary!$A$2:$A$201,0))</f>
        <v>3</v>
      </c>
      <c r="R1478" s="2" t="n">
        <f aca="false">INDEX(Summary!$N$2:$N$201,MATCH($B1478,Summary!$A$2:$A$201,0))</f>
        <v>10.16</v>
      </c>
      <c r="S1478" s="3" t="n">
        <f aca="false">INDEX(Summary!$O$2:$O$201,MATCH($B1478,Summary!$A$2:$A$201,0))</f>
        <v>8</v>
      </c>
      <c r="T1478" s="3" t="n">
        <f aca="false">INDEX(Summary!$P$2:$P$201,MATCH($B1478,Summary!$A$2:$A$201,0))</f>
        <v>1</v>
      </c>
      <c r="U1478" s="2" t="n">
        <f aca="false">INDEX(Summary!$Q$2:$Q$201,MATCH($B1478,Summary!$A$2:$A$201,0))</f>
        <v>12.29</v>
      </c>
      <c r="V1478" s="2" t="n">
        <f aca="false">INDEX(Summary!$R$2:$R$201,MATCH($B1478,Summary!$A$2:$A$201,0))</f>
        <v>26.8</v>
      </c>
      <c r="W1478" s="0" t="str">
        <f aca="false">INDEX(Summary!$S$2:$S$201,MATCH($B1478,Summary!$A$2:$A$201,0))</f>
        <v>Silver</v>
      </c>
      <c r="X1478" s="2" t="n">
        <f aca="false">INDEX(Summary!$T$2:$T$201,MATCH($B1478,Summary!$A$2:$A$201,0))</f>
        <v>65.37</v>
      </c>
      <c r="Y1478" s="0" t="str">
        <f aca="false">INDEX('Reward Model'!$E$18:$E$37,MATCH($E1478,'Reward Model'!$A$18:$A$37,0))</f>
        <v>High</v>
      </c>
      <c r="Z1478" s="4" t="n">
        <f aca="false">ROUND(MIN(1,MAX('Reward Model'!$B$2,INDEX('Reward Model'!$C$12:$C$14,MATCH($K1478,'Reward Model'!$A$12:$A$14,0))/$J1478)),3)</f>
        <v>1</v>
      </c>
      <c r="AA1478" s="2" t="n">
        <f aca="false">IF($I1478="Correct",ROUND(INDEX('Reward Model'!$B$12:$B$14,MATCH($K1478,'Reward Model'!$A$12:$A$14,0))*Z1478,2),0)</f>
        <v>0</v>
      </c>
      <c r="AB1478" s="2" t="n">
        <f aca="false">IF($I1478="Correct",ROUND(INDEX('Reward Model'!$B$12:$B$14,MATCH($Y1478,'Reward Model'!$A$12:$A$14,0))*Z1478,2),0)</f>
        <v>0</v>
      </c>
    </row>
    <row r="1479" customFormat="false" ht="15" hidden="false" customHeight="false" outlineLevel="0" collapsed="false">
      <c r="A1479" s="0" t="s">
        <v>276</v>
      </c>
      <c r="B1479" s="0" t="s">
        <v>277</v>
      </c>
      <c r="C1479" s="0" t="s">
        <v>30</v>
      </c>
      <c r="D1479" s="0" t="s">
        <v>275</v>
      </c>
      <c r="E1479" s="0" t="n">
        <v>18</v>
      </c>
      <c r="F1479" s="0" t="s">
        <v>76</v>
      </c>
      <c r="G1479" s="0" t="s">
        <v>77</v>
      </c>
      <c r="H1479" s="0" t="s">
        <v>77</v>
      </c>
      <c r="I1479" s="0" t="s">
        <v>34</v>
      </c>
      <c r="J1479" s="0" t="n">
        <v>1.38</v>
      </c>
      <c r="K1479" s="0" t="s">
        <v>73</v>
      </c>
      <c r="L1479" s="0" t="n">
        <f aca="false">INDEX(Summary!$F$2:$F$201,MATCH($B1479,Summary!$A$2:$A$201,0))</f>
        <v>20</v>
      </c>
      <c r="M1479" s="0" t="n">
        <f aca="false">INDEX(Summary!$I$2:$I$201,MATCH($B1479,Summary!$A$2:$A$201,0))</f>
        <v>3</v>
      </c>
      <c r="N1479" s="0" t="n">
        <f aca="false">INDEX(Summary!$J$2:$J$201,MATCH($B1479,Summary!$A$2:$A$201,0))</f>
        <v>2</v>
      </c>
      <c r="O1479" s="2" t="n">
        <f aca="false">INDEX(Summary!$K$2:$K$201,MATCH($B1479,Summary!$A$2:$A$201,0))</f>
        <v>8.64</v>
      </c>
      <c r="P1479" s="3" t="n">
        <f aca="false">INDEX(Summary!$L$2:$L$201,MATCH($B1479,Summary!$A$2:$A$201,0))</f>
        <v>3</v>
      </c>
      <c r="Q1479" s="3" t="n">
        <f aca="false">INDEX(Summary!$M$2:$M$201,MATCH($B1479,Summary!$A$2:$A$201,0))</f>
        <v>3</v>
      </c>
      <c r="R1479" s="2" t="n">
        <f aca="false">INDEX(Summary!$N$2:$N$201,MATCH($B1479,Summary!$A$2:$A$201,0))</f>
        <v>10.16</v>
      </c>
      <c r="S1479" s="3" t="n">
        <f aca="false">INDEX(Summary!$O$2:$O$201,MATCH($B1479,Summary!$A$2:$A$201,0))</f>
        <v>8</v>
      </c>
      <c r="T1479" s="3" t="n">
        <f aca="false">INDEX(Summary!$P$2:$P$201,MATCH($B1479,Summary!$A$2:$A$201,0))</f>
        <v>1</v>
      </c>
      <c r="U1479" s="2" t="n">
        <f aca="false">INDEX(Summary!$Q$2:$Q$201,MATCH($B1479,Summary!$A$2:$A$201,0))</f>
        <v>12.29</v>
      </c>
      <c r="V1479" s="2" t="n">
        <f aca="false">INDEX(Summary!$R$2:$R$201,MATCH($B1479,Summary!$A$2:$A$201,0))</f>
        <v>26.8</v>
      </c>
      <c r="W1479" s="0" t="str">
        <f aca="false">INDEX(Summary!$S$2:$S$201,MATCH($B1479,Summary!$A$2:$A$201,0))</f>
        <v>Silver</v>
      </c>
      <c r="X1479" s="2" t="n">
        <f aca="false">INDEX(Summary!$T$2:$T$201,MATCH($B1479,Summary!$A$2:$A$201,0))</f>
        <v>65.37</v>
      </c>
      <c r="Y1479" s="0" t="str">
        <f aca="false">INDEX('Reward Model'!$E$18:$E$37,MATCH($E1479,'Reward Model'!$A$18:$A$37,0))</f>
        <v>High</v>
      </c>
      <c r="Z1479" s="4" t="n">
        <f aca="false">ROUND(MIN(1,MAX('Reward Model'!$B$2,INDEX('Reward Model'!$C$12:$C$14,MATCH($K1479,'Reward Model'!$A$12:$A$14,0))/$J1479)),3)</f>
        <v>1</v>
      </c>
      <c r="AA1479" s="2" t="n">
        <f aca="false">IF($I1479="Correct",ROUND(INDEX('Reward Model'!$B$12:$B$14,MATCH($K1479,'Reward Model'!$A$12:$A$14,0))*Z1479,2),0)</f>
        <v>3</v>
      </c>
      <c r="AB1479" s="2" t="n">
        <f aca="false">IF($I1479="Correct",ROUND(INDEX('Reward Model'!$B$12:$B$14,MATCH($Y1479,'Reward Model'!$A$12:$A$14,0))*Z1479,2),0)</f>
        <v>3</v>
      </c>
    </row>
    <row r="1480" customFormat="false" ht="15" hidden="false" customHeight="false" outlineLevel="0" collapsed="false">
      <c r="A1480" s="0" t="s">
        <v>276</v>
      </c>
      <c r="B1480" s="0" t="s">
        <v>277</v>
      </c>
      <c r="C1480" s="0" t="s">
        <v>30</v>
      </c>
      <c r="D1480" s="0" t="s">
        <v>275</v>
      </c>
      <c r="E1480" s="0" t="n">
        <v>19</v>
      </c>
      <c r="F1480" s="0" t="s">
        <v>78</v>
      </c>
      <c r="G1480" s="0" t="s">
        <v>80</v>
      </c>
      <c r="H1480" s="0" t="s">
        <v>80</v>
      </c>
      <c r="I1480" s="0" t="s">
        <v>34</v>
      </c>
      <c r="J1480" s="0" t="n">
        <v>1.54</v>
      </c>
      <c r="K1480" s="0" t="s">
        <v>73</v>
      </c>
      <c r="L1480" s="0" t="n">
        <f aca="false">INDEX(Summary!$F$2:$F$201,MATCH($B1480,Summary!$A$2:$A$201,0))</f>
        <v>20</v>
      </c>
      <c r="M1480" s="0" t="n">
        <f aca="false">INDEX(Summary!$I$2:$I$201,MATCH($B1480,Summary!$A$2:$A$201,0))</f>
        <v>3</v>
      </c>
      <c r="N1480" s="0" t="n">
        <f aca="false">INDEX(Summary!$J$2:$J$201,MATCH($B1480,Summary!$A$2:$A$201,0))</f>
        <v>2</v>
      </c>
      <c r="O1480" s="2" t="n">
        <f aca="false">INDEX(Summary!$K$2:$K$201,MATCH($B1480,Summary!$A$2:$A$201,0))</f>
        <v>8.64</v>
      </c>
      <c r="P1480" s="3" t="n">
        <f aca="false">INDEX(Summary!$L$2:$L$201,MATCH($B1480,Summary!$A$2:$A$201,0))</f>
        <v>3</v>
      </c>
      <c r="Q1480" s="3" t="n">
        <f aca="false">INDEX(Summary!$M$2:$M$201,MATCH($B1480,Summary!$A$2:$A$201,0))</f>
        <v>3</v>
      </c>
      <c r="R1480" s="2" t="n">
        <f aca="false">INDEX(Summary!$N$2:$N$201,MATCH($B1480,Summary!$A$2:$A$201,0))</f>
        <v>10.16</v>
      </c>
      <c r="S1480" s="3" t="n">
        <f aca="false">INDEX(Summary!$O$2:$O$201,MATCH($B1480,Summary!$A$2:$A$201,0))</f>
        <v>8</v>
      </c>
      <c r="T1480" s="3" t="n">
        <f aca="false">INDEX(Summary!$P$2:$P$201,MATCH($B1480,Summary!$A$2:$A$201,0))</f>
        <v>1</v>
      </c>
      <c r="U1480" s="2" t="n">
        <f aca="false">INDEX(Summary!$Q$2:$Q$201,MATCH($B1480,Summary!$A$2:$A$201,0))</f>
        <v>12.29</v>
      </c>
      <c r="V1480" s="2" t="n">
        <f aca="false">INDEX(Summary!$R$2:$R$201,MATCH($B1480,Summary!$A$2:$A$201,0))</f>
        <v>26.8</v>
      </c>
      <c r="W1480" s="0" t="str">
        <f aca="false">INDEX(Summary!$S$2:$S$201,MATCH($B1480,Summary!$A$2:$A$201,0))</f>
        <v>Silver</v>
      </c>
      <c r="X1480" s="2" t="n">
        <f aca="false">INDEX(Summary!$T$2:$T$201,MATCH($B1480,Summary!$A$2:$A$201,0))</f>
        <v>65.37</v>
      </c>
      <c r="Y1480" s="0" t="str">
        <f aca="false">INDEX('Reward Model'!$E$18:$E$37,MATCH($E1480,'Reward Model'!$A$18:$A$37,0))</f>
        <v>High</v>
      </c>
      <c r="Z1480" s="4" t="n">
        <f aca="false">ROUND(MIN(1,MAX('Reward Model'!$B$2,INDEX('Reward Model'!$C$12:$C$14,MATCH($K1480,'Reward Model'!$A$12:$A$14,0))/$J1480)),3)</f>
        <v>1</v>
      </c>
      <c r="AA1480" s="2" t="n">
        <f aca="false">IF($I1480="Correct",ROUND(INDEX('Reward Model'!$B$12:$B$14,MATCH($K1480,'Reward Model'!$A$12:$A$14,0))*Z1480,2),0)</f>
        <v>3</v>
      </c>
      <c r="AB1480" s="2" t="n">
        <f aca="false">IF($I1480="Correct",ROUND(INDEX('Reward Model'!$B$12:$B$14,MATCH($Y1480,'Reward Model'!$A$12:$A$14,0))*Z1480,2),0)</f>
        <v>3</v>
      </c>
    </row>
    <row r="1481" customFormat="false" ht="15" hidden="false" customHeight="false" outlineLevel="0" collapsed="false">
      <c r="A1481" s="0" t="s">
        <v>276</v>
      </c>
      <c r="B1481" s="0" t="s">
        <v>277</v>
      </c>
      <c r="C1481" s="0" t="s">
        <v>30</v>
      </c>
      <c r="D1481" s="0" t="s">
        <v>275</v>
      </c>
      <c r="E1481" s="0" t="n">
        <v>20</v>
      </c>
      <c r="F1481" s="0" t="s">
        <v>81</v>
      </c>
      <c r="G1481" s="0" t="s">
        <v>83</v>
      </c>
      <c r="H1481" s="0" t="s">
        <v>83</v>
      </c>
      <c r="I1481" s="0" t="s">
        <v>34</v>
      </c>
      <c r="J1481" s="0" t="n">
        <v>2.1</v>
      </c>
      <c r="K1481" s="0" t="s">
        <v>73</v>
      </c>
      <c r="L1481" s="0" t="n">
        <f aca="false">INDEX(Summary!$F$2:$F$201,MATCH($B1481,Summary!$A$2:$A$201,0))</f>
        <v>20</v>
      </c>
      <c r="M1481" s="0" t="n">
        <f aca="false">INDEX(Summary!$I$2:$I$201,MATCH($B1481,Summary!$A$2:$A$201,0))</f>
        <v>3</v>
      </c>
      <c r="N1481" s="0" t="n">
        <f aca="false">INDEX(Summary!$J$2:$J$201,MATCH($B1481,Summary!$A$2:$A$201,0))</f>
        <v>2</v>
      </c>
      <c r="O1481" s="2" t="n">
        <f aca="false">INDEX(Summary!$K$2:$K$201,MATCH($B1481,Summary!$A$2:$A$201,0))</f>
        <v>8.64</v>
      </c>
      <c r="P1481" s="3" t="n">
        <f aca="false">INDEX(Summary!$L$2:$L$201,MATCH($B1481,Summary!$A$2:$A$201,0))</f>
        <v>3</v>
      </c>
      <c r="Q1481" s="3" t="n">
        <f aca="false">INDEX(Summary!$M$2:$M$201,MATCH($B1481,Summary!$A$2:$A$201,0))</f>
        <v>3</v>
      </c>
      <c r="R1481" s="2" t="n">
        <f aca="false">INDEX(Summary!$N$2:$N$201,MATCH($B1481,Summary!$A$2:$A$201,0))</f>
        <v>10.16</v>
      </c>
      <c r="S1481" s="3" t="n">
        <f aca="false">INDEX(Summary!$O$2:$O$201,MATCH($B1481,Summary!$A$2:$A$201,0))</f>
        <v>8</v>
      </c>
      <c r="T1481" s="3" t="n">
        <f aca="false">INDEX(Summary!$P$2:$P$201,MATCH($B1481,Summary!$A$2:$A$201,0))</f>
        <v>1</v>
      </c>
      <c r="U1481" s="2" t="n">
        <f aca="false">INDEX(Summary!$Q$2:$Q$201,MATCH($B1481,Summary!$A$2:$A$201,0))</f>
        <v>12.29</v>
      </c>
      <c r="V1481" s="2" t="n">
        <f aca="false">INDEX(Summary!$R$2:$R$201,MATCH($B1481,Summary!$A$2:$A$201,0))</f>
        <v>26.8</v>
      </c>
      <c r="W1481" s="0" t="str">
        <f aca="false">INDEX(Summary!$S$2:$S$201,MATCH($B1481,Summary!$A$2:$A$201,0))</f>
        <v>Silver</v>
      </c>
      <c r="X1481" s="2" t="n">
        <f aca="false">INDEX(Summary!$T$2:$T$201,MATCH($B1481,Summary!$A$2:$A$201,0))</f>
        <v>65.37</v>
      </c>
      <c r="Y1481" s="0" t="str">
        <f aca="false">INDEX('Reward Model'!$E$18:$E$37,MATCH($E1481,'Reward Model'!$A$18:$A$37,0))</f>
        <v>High</v>
      </c>
      <c r="Z1481" s="4" t="n">
        <f aca="false">ROUND(MIN(1,MAX('Reward Model'!$B$2,INDEX('Reward Model'!$C$12:$C$14,MATCH($K1481,'Reward Model'!$A$12:$A$14,0))/$J1481)),3)</f>
        <v>0.952</v>
      </c>
      <c r="AA1481" s="2" t="n">
        <f aca="false">IF($I1481="Correct",ROUND(INDEX('Reward Model'!$B$12:$B$14,MATCH($K1481,'Reward Model'!$A$12:$A$14,0))*Z1481,2),0)</f>
        <v>2.86</v>
      </c>
      <c r="AB1481" s="2" t="n">
        <f aca="false">IF($I1481="Correct",ROUND(INDEX('Reward Model'!$B$12:$B$14,MATCH($Y1481,'Reward Model'!$A$12:$A$14,0))*Z1481,2),0)</f>
        <v>2.86</v>
      </c>
    </row>
    <row r="1482" customFormat="false" ht="15" hidden="false" customHeight="false" outlineLevel="0" collapsed="false">
      <c r="A1482" s="0" t="s">
        <v>278</v>
      </c>
      <c r="B1482" s="0" t="s">
        <v>279</v>
      </c>
      <c r="C1482" s="0" t="s">
        <v>30</v>
      </c>
      <c r="D1482" s="0" t="s">
        <v>275</v>
      </c>
      <c r="E1482" s="0" t="n">
        <v>1</v>
      </c>
      <c r="F1482" s="0" t="s">
        <v>32</v>
      </c>
      <c r="G1482" s="0" t="s">
        <v>122</v>
      </c>
      <c r="H1482" s="0" t="s">
        <v>33</v>
      </c>
      <c r="I1482" s="0" t="s">
        <v>39</v>
      </c>
      <c r="J1482" s="0" t="n">
        <v>0.98</v>
      </c>
      <c r="K1482" s="0" t="s">
        <v>35</v>
      </c>
      <c r="L1482" s="0" t="n">
        <f aca="false">INDEX(Summary!$F$2:$F$201,MATCH($B1482,Summary!$A$2:$A$201,0))</f>
        <v>20</v>
      </c>
      <c r="M1482" s="0" t="n">
        <f aca="false">INDEX(Summary!$I$2:$I$201,MATCH($B1482,Summary!$A$2:$A$201,0))</f>
        <v>2</v>
      </c>
      <c r="N1482" s="0" t="n">
        <f aca="false">INDEX(Summary!$J$2:$J$201,MATCH($B1482,Summary!$A$2:$A$201,0))</f>
        <v>3</v>
      </c>
      <c r="O1482" s="2" t="n">
        <f aca="false">INDEX(Summary!$K$2:$K$201,MATCH($B1482,Summary!$A$2:$A$201,0))</f>
        <v>8.92</v>
      </c>
      <c r="P1482" s="3" t="n">
        <f aca="false">INDEX(Summary!$L$2:$L$201,MATCH($B1482,Summary!$A$2:$A$201,0))</f>
        <v>5</v>
      </c>
      <c r="Q1482" s="3" t="n">
        <f aca="false">INDEX(Summary!$M$2:$M$201,MATCH($B1482,Summary!$A$2:$A$201,0))</f>
        <v>1</v>
      </c>
      <c r="R1482" s="2" t="n">
        <f aca="false">INDEX(Summary!$N$2:$N$201,MATCH($B1482,Summary!$A$2:$A$201,0))</f>
        <v>9.72</v>
      </c>
      <c r="S1482" s="3" t="n">
        <f aca="false">INDEX(Summary!$O$2:$O$201,MATCH($B1482,Summary!$A$2:$A$201,0))</f>
        <v>7</v>
      </c>
      <c r="T1482" s="3" t="n">
        <f aca="false">INDEX(Summary!$P$2:$P$201,MATCH($B1482,Summary!$A$2:$A$201,0))</f>
        <v>2</v>
      </c>
      <c r="U1482" s="2" t="n">
        <f aca="false">INDEX(Summary!$Q$2:$Q$201,MATCH($B1482,Summary!$A$2:$A$201,0))</f>
        <v>12.18</v>
      </c>
      <c r="V1482" s="2" t="n">
        <f aca="false">INDEX(Summary!$R$2:$R$201,MATCH($B1482,Summary!$A$2:$A$201,0))</f>
        <v>26.24</v>
      </c>
      <c r="W1482" s="0" t="str">
        <f aca="false">INDEX(Summary!$S$2:$S$201,MATCH($B1482,Summary!$A$2:$A$201,0))</f>
        <v>Silver</v>
      </c>
      <c r="X1482" s="2" t="n">
        <f aca="false">INDEX(Summary!$T$2:$T$201,MATCH($B1482,Summary!$A$2:$A$201,0))</f>
        <v>64</v>
      </c>
      <c r="Y1482" s="0" t="str">
        <f aca="false">INDEX('Reward Model'!$E$18:$E$37,MATCH($E1482,'Reward Model'!$A$18:$A$37,0))</f>
        <v>Medium</v>
      </c>
      <c r="Z1482" s="4" t="n">
        <f aca="false">ROUND(MIN(1,MAX('Reward Model'!$B$2,INDEX('Reward Model'!$C$12:$C$14,MATCH($K1482,'Reward Model'!$A$12:$A$14,0))/$J1482)),3)</f>
        <v>1</v>
      </c>
      <c r="AA1482" s="2" t="n">
        <f aca="false">IF($I1482="Correct",ROUND(INDEX('Reward Model'!$B$12:$B$14,MATCH($K1482,'Reward Model'!$A$12:$A$14,0))*Z1482,2),0)</f>
        <v>0</v>
      </c>
      <c r="AB1482" s="2" t="n">
        <f aca="false">IF($I1482="Correct",ROUND(INDEX('Reward Model'!$B$12:$B$14,MATCH($Y1482,'Reward Model'!$A$12:$A$14,0))*Z1482,2),0)</f>
        <v>0</v>
      </c>
    </row>
    <row r="1483" customFormat="false" ht="15" hidden="false" customHeight="false" outlineLevel="0" collapsed="false">
      <c r="A1483" s="0" t="s">
        <v>278</v>
      </c>
      <c r="B1483" s="0" t="s">
        <v>279</v>
      </c>
      <c r="C1483" s="0" t="s">
        <v>30</v>
      </c>
      <c r="D1483" s="0" t="s">
        <v>275</v>
      </c>
      <c r="E1483" s="0" t="n">
        <v>2</v>
      </c>
      <c r="F1483" s="0" t="s">
        <v>36</v>
      </c>
      <c r="G1483" s="0" t="s">
        <v>37</v>
      </c>
      <c r="H1483" s="0" t="s">
        <v>38</v>
      </c>
      <c r="I1483" s="0" t="s">
        <v>39</v>
      </c>
      <c r="J1483" s="0" t="n">
        <v>1.07</v>
      </c>
      <c r="K1483" s="0" t="s">
        <v>35</v>
      </c>
      <c r="L1483" s="0" t="n">
        <f aca="false">INDEX(Summary!$F$2:$F$201,MATCH($B1483,Summary!$A$2:$A$201,0))</f>
        <v>20</v>
      </c>
      <c r="M1483" s="0" t="n">
        <f aca="false">INDEX(Summary!$I$2:$I$201,MATCH($B1483,Summary!$A$2:$A$201,0))</f>
        <v>2</v>
      </c>
      <c r="N1483" s="0" t="n">
        <f aca="false">INDEX(Summary!$J$2:$J$201,MATCH($B1483,Summary!$A$2:$A$201,0))</f>
        <v>3</v>
      </c>
      <c r="O1483" s="2" t="n">
        <f aca="false">INDEX(Summary!$K$2:$K$201,MATCH($B1483,Summary!$A$2:$A$201,0))</f>
        <v>8.92</v>
      </c>
      <c r="P1483" s="3" t="n">
        <f aca="false">INDEX(Summary!$L$2:$L$201,MATCH($B1483,Summary!$A$2:$A$201,0))</f>
        <v>5</v>
      </c>
      <c r="Q1483" s="3" t="n">
        <f aca="false">INDEX(Summary!$M$2:$M$201,MATCH($B1483,Summary!$A$2:$A$201,0))</f>
        <v>1</v>
      </c>
      <c r="R1483" s="2" t="n">
        <f aca="false">INDEX(Summary!$N$2:$N$201,MATCH($B1483,Summary!$A$2:$A$201,0))</f>
        <v>9.72</v>
      </c>
      <c r="S1483" s="3" t="n">
        <f aca="false">INDEX(Summary!$O$2:$O$201,MATCH($B1483,Summary!$A$2:$A$201,0))</f>
        <v>7</v>
      </c>
      <c r="T1483" s="3" t="n">
        <f aca="false">INDEX(Summary!$P$2:$P$201,MATCH($B1483,Summary!$A$2:$A$201,0))</f>
        <v>2</v>
      </c>
      <c r="U1483" s="2" t="n">
        <f aca="false">INDEX(Summary!$Q$2:$Q$201,MATCH($B1483,Summary!$A$2:$A$201,0))</f>
        <v>12.18</v>
      </c>
      <c r="V1483" s="2" t="n">
        <f aca="false">INDEX(Summary!$R$2:$R$201,MATCH($B1483,Summary!$A$2:$A$201,0))</f>
        <v>26.24</v>
      </c>
      <c r="W1483" s="0" t="str">
        <f aca="false">INDEX(Summary!$S$2:$S$201,MATCH($B1483,Summary!$A$2:$A$201,0))</f>
        <v>Silver</v>
      </c>
      <c r="X1483" s="2" t="n">
        <f aca="false">INDEX(Summary!$T$2:$T$201,MATCH($B1483,Summary!$A$2:$A$201,0))</f>
        <v>64</v>
      </c>
      <c r="Y1483" s="0" t="str">
        <f aca="false">INDEX('Reward Model'!$E$18:$E$37,MATCH($E1483,'Reward Model'!$A$18:$A$37,0))</f>
        <v>Low</v>
      </c>
      <c r="Z1483" s="4" t="n">
        <f aca="false">ROUND(MIN(1,MAX('Reward Model'!$B$2,INDEX('Reward Model'!$C$12:$C$14,MATCH($K1483,'Reward Model'!$A$12:$A$14,0))/$J1483)),3)</f>
        <v>1</v>
      </c>
      <c r="AA1483" s="2" t="n">
        <f aca="false">IF($I1483="Correct",ROUND(INDEX('Reward Model'!$B$12:$B$14,MATCH($K1483,'Reward Model'!$A$12:$A$14,0))*Z1483,2),0)</f>
        <v>0</v>
      </c>
      <c r="AB1483" s="2" t="n">
        <f aca="false">IF($I1483="Correct",ROUND(INDEX('Reward Model'!$B$12:$B$14,MATCH($Y1483,'Reward Model'!$A$12:$A$14,0))*Z1483,2),0)</f>
        <v>0</v>
      </c>
    </row>
    <row r="1484" customFormat="false" ht="15" hidden="false" customHeight="false" outlineLevel="0" collapsed="false">
      <c r="A1484" s="0" t="s">
        <v>278</v>
      </c>
      <c r="B1484" s="0" t="s">
        <v>279</v>
      </c>
      <c r="C1484" s="0" t="s">
        <v>30</v>
      </c>
      <c r="D1484" s="0" t="s">
        <v>275</v>
      </c>
      <c r="E1484" s="0" t="n">
        <v>3</v>
      </c>
      <c r="F1484" s="0" t="s">
        <v>40</v>
      </c>
      <c r="G1484" s="0" t="s">
        <v>42</v>
      </c>
      <c r="H1484" s="0" t="s">
        <v>42</v>
      </c>
      <c r="I1484" s="0" t="s">
        <v>34</v>
      </c>
      <c r="J1484" s="0" t="n">
        <v>1.45</v>
      </c>
      <c r="K1484" s="0" t="s">
        <v>35</v>
      </c>
      <c r="L1484" s="0" t="n">
        <f aca="false">INDEX(Summary!$F$2:$F$201,MATCH($B1484,Summary!$A$2:$A$201,0))</f>
        <v>20</v>
      </c>
      <c r="M1484" s="0" t="n">
        <f aca="false">INDEX(Summary!$I$2:$I$201,MATCH($B1484,Summary!$A$2:$A$201,0))</f>
        <v>2</v>
      </c>
      <c r="N1484" s="0" t="n">
        <f aca="false">INDEX(Summary!$J$2:$J$201,MATCH($B1484,Summary!$A$2:$A$201,0))</f>
        <v>3</v>
      </c>
      <c r="O1484" s="2" t="n">
        <f aca="false">INDEX(Summary!$K$2:$K$201,MATCH($B1484,Summary!$A$2:$A$201,0))</f>
        <v>8.92</v>
      </c>
      <c r="P1484" s="3" t="n">
        <f aca="false">INDEX(Summary!$L$2:$L$201,MATCH($B1484,Summary!$A$2:$A$201,0))</f>
        <v>5</v>
      </c>
      <c r="Q1484" s="3" t="n">
        <f aca="false">INDEX(Summary!$M$2:$M$201,MATCH($B1484,Summary!$A$2:$A$201,0))</f>
        <v>1</v>
      </c>
      <c r="R1484" s="2" t="n">
        <f aca="false">INDEX(Summary!$N$2:$N$201,MATCH($B1484,Summary!$A$2:$A$201,0))</f>
        <v>9.72</v>
      </c>
      <c r="S1484" s="3" t="n">
        <f aca="false">INDEX(Summary!$O$2:$O$201,MATCH($B1484,Summary!$A$2:$A$201,0))</f>
        <v>7</v>
      </c>
      <c r="T1484" s="3" t="n">
        <f aca="false">INDEX(Summary!$P$2:$P$201,MATCH($B1484,Summary!$A$2:$A$201,0))</f>
        <v>2</v>
      </c>
      <c r="U1484" s="2" t="n">
        <f aca="false">INDEX(Summary!$Q$2:$Q$201,MATCH($B1484,Summary!$A$2:$A$201,0))</f>
        <v>12.18</v>
      </c>
      <c r="V1484" s="2" t="n">
        <f aca="false">INDEX(Summary!$R$2:$R$201,MATCH($B1484,Summary!$A$2:$A$201,0))</f>
        <v>26.24</v>
      </c>
      <c r="W1484" s="0" t="str">
        <f aca="false">INDEX(Summary!$S$2:$S$201,MATCH($B1484,Summary!$A$2:$A$201,0))</f>
        <v>Silver</v>
      </c>
      <c r="X1484" s="2" t="n">
        <f aca="false">INDEX(Summary!$T$2:$T$201,MATCH($B1484,Summary!$A$2:$A$201,0))</f>
        <v>64</v>
      </c>
      <c r="Y1484" s="0" t="str">
        <f aca="false">INDEX('Reward Model'!$E$18:$E$37,MATCH($E1484,'Reward Model'!$A$18:$A$37,0))</f>
        <v>Medium</v>
      </c>
      <c r="Z1484" s="4" t="n">
        <f aca="false">ROUND(MIN(1,MAX('Reward Model'!$B$2,INDEX('Reward Model'!$C$12:$C$14,MATCH($K1484,'Reward Model'!$A$12:$A$14,0))/$J1484)),3)</f>
        <v>1</v>
      </c>
      <c r="AA1484" s="2" t="n">
        <f aca="false">IF($I1484="Correct",ROUND(INDEX('Reward Model'!$B$12:$B$14,MATCH($K1484,'Reward Model'!$A$12:$A$14,0))*Z1484,2),0)</f>
        <v>1</v>
      </c>
      <c r="AB1484" s="2" t="n">
        <f aca="false">IF($I1484="Correct",ROUND(INDEX('Reward Model'!$B$12:$B$14,MATCH($Y1484,'Reward Model'!$A$12:$A$14,0))*Z1484,2),0)</f>
        <v>2</v>
      </c>
    </row>
    <row r="1485" customFormat="false" ht="15" hidden="false" customHeight="false" outlineLevel="0" collapsed="false">
      <c r="A1485" s="0" t="s">
        <v>278</v>
      </c>
      <c r="B1485" s="0" t="s">
        <v>279</v>
      </c>
      <c r="C1485" s="0" t="s">
        <v>30</v>
      </c>
      <c r="D1485" s="0" t="s">
        <v>275</v>
      </c>
      <c r="E1485" s="0" t="n">
        <v>4</v>
      </c>
      <c r="F1485" s="0" t="s">
        <v>43</v>
      </c>
      <c r="G1485" s="0" t="s">
        <v>45</v>
      </c>
      <c r="H1485" s="0" t="s">
        <v>45</v>
      </c>
      <c r="I1485" s="0" t="s">
        <v>34</v>
      </c>
      <c r="J1485" s="0" t="n">
        <v>1.38</v>
      </c>
      <c r="K1485" s="0" t="s">
        <v>35</v>
      </c>
      <c r="L1485" s="0" t="n">
        <f aca="false">INDEX(Summary!$F$2:$F$201,MATCH($B1485,Summary!$A$2:$A$201,0))</f>
        <v>20</v>
      </c>
      <c r="M1485" s="0" t="n">
        <f aca="false">INDEX(Summary!$I$2:$I$201,MATCH($B1485,Summary!$A$2:$A$201,0))</f>
        <v>2</v>
      </c>
      <c r="N1485" s="0" t="n">
        <f aca="false">INDEX(Summary!$J$2:$J$201,MATCH($B1485,Summary!$A$2:$A$201,0))</f>
        <v>3</v>
      </c>
      <c r="O1485" s="2" t="n">
        <f aca="false">INDEX(Summary!$K$2:$K$201,MATCH($B1485,Summary!$A$2:$A$201,0))</f>
        <v>8.92</v>
      </c>
      <c r="P1485" s="3" t="n">
        <f aca="false">INDEX(Summary!$L$2:$L$201,MATCH($B1485,Summary!$A$2:$A$201,0))</f>
        <v>5</v>
      </c>
      <c r="Q1485" s="3" t="n">
        <f aca="false">INDEX(Summary!$M$2:$M$201,MATCH($B1485,Summary!$A$2:$A$201,0))</f>
        <v>1</v>
      </c>
      <c r="R1485" s="2" t="n">
        <f aca="false">INDEX(Summary!$N$2:$N$201,MATCH($B1485,Summary!$A$2:$A$201,0))</f>
        <v>9.72</v>
      </c>
      <c r="S1485" s="3" t="n">
        <f aca="false">INDEX(Summary!$O$2:$O$201,MATCH($B1485,Summary!$A$2:$A$201,0))</f>
        <v>7</v>
      </c>
      <c r="T1485" s="3" t="n">
        <f aca="false">INDEX(Summary!$P$2:$P$201,MATCH($B1485,Summary!$A$2:$A$201,0))</f>
        <v>2</v>
      </c>
      <c r="U1485" s="2" t="n">
        <f aca="false">INDEX(Summary!$Q$2:$Q$201,MATCH($B1485,Summary!$A$2:$A$201,0))</f>
        <v>12.18</v>
      </c>
      <c r="V1485" s="2" t="n">
        <f aca="false">INDEX(Summary!$R$2:$R$201,MATCH($B1485,Summary!$A$2:$A$201,0))</f>
        <v>26.24</v>
      </c>
      <c r="W1485" s="0" t="str">
        <f aca="false">INDEX(Summary!$S$2:$S$201,MATCH($B1485,Summary!$A$2:$A$201,0))</f>
        <v>Silver</v>
      </c>
      <c r="X1485" s="2" t="n">
        <f aca="false">INDEX(Summary!$T$2:$T$201,MATCH($B1485,Summary!$A$2:$A$201,0))</f>
        <v>64</v>
      </c>
      <c r="Y1485" s="0" t="str">
        <f aca="false">INDEX('Reward Model'!$E$18:$E$37,MATCH($E1485,'Reward Model'!$A$18:$A$37,0))</f>
        <v>Low</v>
      </c>
      <c r="Z1485" s="4" t="n">
        <f aca="false">ROUND(MIN(1,MAX('Reward Model'!$B$2,INDEX('Reward Model'!$C$12:$C$14,MATCH($K1485,'Reward Model'!$A$12:$A$14,0))/$J1485)),3)</f>
        <v>1</v>
      </c>
      <c r="AA1485" s="2" t="n">
        <f aca="false">IF($I1485="Correct",ROUND(INDEX('Reward Model'!$B$12:$B$14,MATCH($K1485,'Reward Model'!$A$12:$A$14,0))*Z1485,2),0)</f>
        <v>1</v>
      </c>
      <c r="AB1485" s="2" t="n">
        <f aca="false">IF($I1485="Correct",ROUND(INDEX('Reward Model'!$B$12:$B$14,MATCH($Y1485,'Reward Model'!$A$12:$A$14,0))*Z1485,2),0)</f>
        <v>1</v>
      </c>
    </row>
    <row r="1486" customFormat="false" ht="15" hidden="false" customHeight="false" outlineLevel="0" collapsed="false">
      <c r="A1486" s="0" t="s">
        <v>278</v>
      </c>
      <c r="B1486" s="0" t="s">
        <v>279</v>
      </c>
      <c r="C1486" s="0" t="s">
        <v>30</v>
      </c>
      <c r="D1486" s="0" t="s">
        <v>275</v>
      </c>
      <c r="E1486" s="0" t="n">
        <v>5</v>
      </c>
      <c r="F1486" s="0" t="s">
        <v>46</v>
      </c>
      <c r="G1486" s="0" t="s">
        <v>47</v>
      </c>
      <c r="H1486" s="0" t="s">
        <v>47</v>
      </c>
      <c r="I1486" s="0" t="s">
        <v>34</v>
      </c>
      <c r="J1486" s="0" t="n">
        <v>1.62</v>
      </c>
      <c r="K1486" s="0" t="s">
        <v>35</v>
      </c>
      <c r="L1486" s="0" t="n">
        <f aca="false">INDEX(Summary!$F$2:$F$201,MATCH($B1486,Summary!$A$2:$A$201,0))</f>
        <v>20</v>
      </c>
      <c r="M1486" s="0" t="n">
        <f aca="false">INDEX(Summary!$I$2:$I$201,MATCH($B1486,Summary!$A$2:$A$201,0))</f>
        <v>2</v>
      </c>
      <c r="N1486" s="0" t="n">
        <f aca="false">INDEX(Summary!$J$2:$J$201,MATCH($B1486,Summary!$A$2:$A$201,0))</f>
        <v>3</v>
      </c>
      <c r="O1486" s="2" t="n">
        <f aca="false">INDEX(Summary!$K$2:$K$201,MATCH($B1486,Summary!$A$2:$A$201,0))</f>
        <v>8.92</v>
      </c>
      <c r="P1486" s="3" t="n">
        <f aca="false">INDEX(Summary!$L$2:$L$201,MATCH($B1486,Summary!$A$2:$A$201,0))</f>
        <v>5</v>
      </c>
      <c r="Q1486" s="3" t="n">
        <f aca="false">INDEX(Summary!$M$2:$M$201,MATCH($B1486,Summary!$A$2:$A$201,0))</f>
        <v>1</v>
      </c>
      <c r="R1486" s="2" t="n">
        <f aca="false">INDEX(Summary!$N$2:$N$201,MATCH($B1486,Summary!$A$2:$A$201,0))</f>
        <v>9.72</v>
      </c>
      <c r="S1486" s="3" t="n">
        <f aca="false">INDEX(Summary!$O$2:$O$201,MATCH($B1486,Summary!$A$2:$A$201,0))</f>
        <v>7</v>
      </c>
      <c r="T1486" s="3" t="n">
        <f aca="false">INDEX(Summary!$P$2:$P$201,MATCH($B1486,Summary!$A$2:$A$201,0))</f>
        <v>2</v>
      </c>
      <c r="U1486" s="2" t="n">
        <f aca="false">INDEX(Summary!$Q$2:$Q$201,MATCH($B1486,Summary!$A$2:$A$201,0))</f>
        <v>12.18</v>
      </c>
      <c r="V1486" s="2" t="n">
        <f aca="false">INDEX(Summary!$R$2:$R$201,MATCH($B1486,Summary!$A$2:$A$201,0))</f>
        <v>26.24</v>
      </c>
      <c r="W1486" s="0" t="str">
        <f aca="false">INDEX(Summary!$S$2:$S$201,MATCH($B1486,Summary!$A$2:$A$201,0))</f>
        <v>Silver</v>
      </c>
      <c r="X1486" s="2" t="n">
        <f aca="false">INDEX(Summary!$T$2:$T$201,MATCH($B1486,Summary!$A$2:$A$201,0))</f>
        <v>64</v>
      </c>
      <c r="Y1486" s="0" t="str">
        <f aca="false">INDEX('Reward Model'!$E$18:$E$37,MATCH($E1486,'Reward Model'!$A$18:$A$37,0))</f>
        <v>Low</v>
      </c>
      <c r="Z1486" s="4" t="n">
        <f aca="false">ROUND(MIN(1,MAX('Reward Model'!$B$2,INDEX('Reward Model'!$C$12:$C$14,MATCH($K1486,'Reward Model'!$A$12:$A$14,0))/$J1486)),3)</f>
        <v>0.926</v>
      </c>
      <c r="AA1486" s="2" t="n">
        <f aca="false">IF($I1486="Correct",ROUND(INDEX('Reward Model'!$B$12:$B$14,MATCH($K1486,'Reward Model'!$A$12:$A$14,0))*Z1486,2),0)</f>
        <v>0.93</v>
      </c>
      <c r="AB1486" s="2" t="n">
        <f aca="false">IF($I1486="Correct",ROUND(INDEX('Reward Model'!$B$12:$B$14,MATCH($Y1486,'Reward Model'!$A$12:$A$14,0))*Z1486,2),0)</f>
        <v>0.93</v>
      </c>
    </row>
    <row r="1487" customFormat="false" ht="15" hidden="false" customHeight="false" outlineLevel="0" collapsed="false">
      <c r="A1487" s="0" t="s">
        <v>278</v>
      </c>
      <c r="B1487" s="0" t="s">
        <v>279</v>
      </c>
      <c r="C1487" s="0" t="s">
        <v>30</v>
      </c>
      <c r="D1487" s="0" t="s">
        <v>275</v>
      </c>
      <c r="E1487" s="0" t="n">
        <v>6</v>
      </c>
      <c r="F1487" s="0" t="s">
        <v>48</v>
      </c>
      <c r="G1487" s="0" t="s">
        <v>49</v>
      </c>
      <c r="H1487" s="0" t="s">
        <v>49</v>
      </c>
      <c r="I1487" s="0" t="s">
        <v>34</v>
      </c>
      <c r="J1487" s="0" t="n">
        <v>1.79</v>
      </c>
      <c r="K1487" s="0" t="s">
        <v>35</v>
      </c>
      <c r="L1487" s="0" t="n">
        <f aca="false">INDEX(Summary!$F$2:$F$201,MATCH($B1487,Summary!$A$2:$A$201,0))</f>
        <v>20</v>
      </c>
      <c r="M1487" s="0" t="n">
        <f aca="false">INDEX(Summary!$I$2:$I$201,MATCH($B1487,Summary!$A$2:$A$201,0))</f>
        <v>2</v>
      </c>
      <c r="N1487" s="0" t="n">
        <f aca="false">INDEX(Summary!$J$2:$J$201,MATCH($B1487,Summary!$A$2:$A$201,0))</f>
        <v>3</v>
      </c>
      <c r="O1487" s="2" t="n">
        <f aca="false">INDEX(Summary!$K$2:$K$201,MATCH($B1487,Summary!$A$2:$A$201,0))</f>
        <v>8.92</v>
      </c>
      <c r="P1487" s="3" t="n">
        <f aca="false">INDEX(Summary!$L$2:$L$201,MATCH($B1487,Summary!$A$2:$A$201,0))</f>
        <v>5</v>
      </c>
      <c r="Q1487" s="3" t="n">
        <f aca="false">INDEX(Summary!$M$2:$M$201,MATCH($B1487,Summary!$A$2:$A$201,0))</f>
        <v>1</v>
      </c>
      <c r="R1487" s="2" t="n">
        <f aca="false">INDEX(Summary!$N$2:$N$201,MATCH($B1487,Summary!$A$2:$A$201,0))</f>
        <v>9.72</v>
      </c>
      <c r="S1487" s="3" t="n">
        <f aca="false">INDEX(Summary!$O$2:$O$201,MATCH($B1487,Summary!$A$2:$A$201,0))</f>
        <v>7</v>
      </c>
      <c r="T1487" s="3" t="n">
        <f aca="false">INDEX(Summary!$P$2:$P$201,MATCH($B1487,Summary!$A$2:$A$201,0))</f>
        <v>2</v>
      </c>
      <c r="U1487" s="2" t="n">
        <f aca="false">INDEX(Summary!$Q$2:$Q$201,MATCH($B1487,Summary!$A$2:$A$201,0))</f>
        <v>12.18</v>
      </c>
      <c r="V1487" s="2" t="n">
        <f aca="false">INDEX(Summary!$R$2:$R$201,MATCH($B1487,Summary!$A$2:$A$201,0))</f>
        <v>26.24</v>
      </c>
      <c r="W1487" s="0" t="str">
        <f aca="false">INDEX(Summary!$S$2:$S$201,MATCH($B1487,Summary!$A$2:$A$201,0))</f>
        <v>Silver</v>
      </c>
      <c r="X1487" s="2" t="n">
        <f aca="false">INDEX(Summary!$T$2:$T$201,MATCH($B1487,Summary!$A$2:$A$201,0))</f>
        <v>64</v>
      </c>
      <c r="Y1487" s="0" t="str">
        <f aca="false">INDEX('Reward Model'!$E$18:$E$37,MATCH($E1487,'Reward Model'!$A$18:$A$37,0))</f>
        <v>Medium</v>
      </c>
      <c r="Z1487" s="4" t="n">
        <f aca="false">ROUND(MIN(1,MAX('Reward Model'!$B$2,INDEX('Reward Model'!$C$12:$C$14,MATCH($K1487,'Reward Model'!$A$12:$A$14,0))/$J1487)),3)</f>
        <v>0.838</v>
      </c>
      <c r="AA1487" s="2" t="n">
        <f aca="false">IF($I1487="Correct",ROUND(INDEX('Reward Model'!$B$12:$B$14,MATCH($K1487,'Reward Model'!$A$12:$A$14,0))*Z1487,2),0)</f>
        <v>0.84</v>
      </c>
      <c r="AB1487" s="2" t="n">
        <f aca="false">IF($I1487="Correct",ROUND(INDEX('Reward Model'!$B$12:$B$14,MATCH($Y1487,'Reward Model'!$A$12:$A$14,0))*Z1487,2),0)</f>
        <v>1.68</v>
      </c>
    </row>
    <row r="1488" customFormat="false" ht="15" hidden="false" customHeight="false" outlineLevel="0" collapsed="false">
      <c r="A1488" s="0" t="s">
        <v>278</v>
      </c>
      <c r="B1488" s="0" t="s">
        <v>279</v>
      </c>
      <c r="C1488" s="0" t="s">
        <v>30</v>
      </c>
      <c r="D1488" s="0" t="s">
        <v>275</v>
      </c>
      <c r="E1488" s="0" t="n">
        <v>7</v>
      </c>
      <c r="F1488" s="0" t="s">
        <v>50</v>
      </c>
      <c r="G1488" s="0" t="s">
        <v>51</v>
      </c>
      <c r="H1488" s="0" t="s">
        <v>51</v>
      </c>
      <c r="I1488" s="0" t="s">
        <v>34</v>
      </c>
      <c r="J1488" s="0" t="n">
        <v>1.54</v>
      </c>
      <c r="K1488" s="0" t="s">
        <v>35</v>
      </c>
      <c r="L1488" s="0" t="n">
        <f aca="false">INDEX(Summary!$F$2:$F$201,MATCH($B1488,Summary!$A$2:$A$201,0))</f>
        <v>20</v>
      </c>
      <c r="M1488" s="0" t="n">
        <f aca="false">INDEX(Summary!$I$2:$I$201,MATCH($B1488,Summary!$A$2:$A$201,0))</f>
        <v>2</v>
      </c>
      <c r="N1488" s="0" t="n">
        <f aca="false">INDEX(Summary!$J$2:$J$201,MATCH($B1488,Summary!$A$2:$A$201,0))</f>
        <v>3</v>
      </c>
      <c r="O1488" s="2" t="n">
        <f aca="false">INDEX(Summary!$K$2:$K$201,MATCH($B1488,Summary!$A$2:$A$201,0))</f>
        <v>8.92</v>
      </c>
      <c r="P1488" s="3" t="n">
        <f aca="false">INDEX(Summary!$L$2:$L$201,MATCH($B1488,Summary!$A$2:$A$201,0))</f>
        <v>5</v>
      </c>
      <c r="Q1488" s="3" t="n">
        <f aca="false">INDEX(Summary!$M$2:$M$201,MATCH($B1488,Summary!$A$2:$A$201,0))</f>
        <v>1</v>
      </c>
      <c r="R1488" s="2" t="n">
        <f aca="false">INDEX(Summary!$N$2:$N$201,MATCH($B1488,Summary!$A$2:$A$201,0))</f>
        <v>9.72</v>
      </c>
      <c r="S1488" s="3" t="n">
        <f aca="false">INDEX(Summary!$O$2:$O$201,MATCH($B1488,Summary!$A$2:$A$201,0))</f>
        <v>7</v>
      </c>
      <c r="T1488" s="3" t="n">
        <f aca="false">INDEX(Summary!$P$2:$P$201,MATCH($B1488,Summary!$A$2:$A$201,0))</f>
        <v>2</v>
      </c>
      <c r="U1488" s="2" t="n">
        <f aca="false">INDEX(Summary!$Q$2:$Q$201,MATCH($B1488,Summary!$A$2:$A$201,0))</f>
        <v>12.18</v>
      </c>
      <c r="V1488" s="2" t="n">
        <f aca="false">INDEX(Summary!$R$2:$R$201,MATCH($B1488,Summary!$A$2:$A$201,0))</f>
        <v>26.24</v>
      </c>
      <c r="W1488" s="0" t="str">
        <f aca="false">INDEX(Summary!$S$2:$S$201,MATCH($B1488,Summary!$A$2:$A$201,0))</f>
        <v>Silver</v>
      </c>
      <c r="X1488" s="2" t="n">
        <f aca="false">INDEX(Summary!$T$2:$T$201,MATCH($B1488,Summary!$A$2:$A$201,0))</f>
        <v>64</v>
      </c>
      <c r="Y1488" s="0" t="str">
        <f aca="false">INDEX('Reward Model'!$E$18:$E$37,MATCH($E1488,'Reward Model'!$A$18:$A$37,0))</f>
        <v>Low</v>
      </c>
      <c r="Z1488" s="4" t="n">
        <f aca="false">ROUND(MIN(1,MAX('Reward Model'!$B$2,INDEX('Reward Model'!$C$12:$C$14,MATCH($K1488,'Reward Model'!$A$12:$A$14,0))/$J1488)),3)</f>
        <v>0.974</v>
      </c>
      <c r="AA1488" s="2" t="n">
        <f aca="false">IF($I1488="Correct",ROUND(INDEX('Reward Model'!$B$12:$B$14,MATCH($K1488,'Reward Model'!$A$12:$A$14,0))*Z1488,2),0)</f>
        <v>0.97</v>
      </c>
      <c r="AB1488" s="2" t="n">
        <f aca="false">IF($I1488="Correct",ROUND(INDEX('Reward Model'!$B$12:$B$14,MATCH($Y1488,'Reward Model'!$A$12:$A$14,0))*Z1488,2),0)</f>
        <v>0.97</v>
      </c>
    </row>
    <row r="1489" customFormat="false" ht="15" hidden="false" customHeight="false" outlineLevel="0" collapsed="false">
      <c r="A1489" s="0" t="s">
        <v>278</v>
      </c>
      <c r="B1489" s="0" t="s">
        <v>279</v>
      </c>
      <c r="C1489" s="0" t="s">
        <v>30</v>
      </c>
      <c r="D1489" s="0" t="s">
        <v>275</v>
      </c>
      <c r="E1489" s="0" t="n">
        <v>8</v>
      </c>
      <c r="F1489" s="0" t="s">
        <v>52</v>
      </c>
      <c r="G1489" s="0" t="s">
        <v>54</v>
      </c>
      <c r="H1489" s="0" t="s">
        <v>54</v>
      </c>
      <c r="I1489" s="0" t="s">
        <v>34</v>
      </c>
      <c r="J1489" s="0" t="n">
        <v>1.04</v>
      </c>
      <c r="K1489" s="0" t="s">
        <v>35</v>
      </c>
      <c r="L1489" s="0" t="n">
        <f aca="false">INDEX(Summary!$F$2:$F$201,MATCH($B1489,Summary!$A$2:$A$201,0))</f>
        <v>20</v>
      </c>
      <c r="M1489" s="0" t="n">
        <f aca="false">INDEX(Summary!$I$2:$I$201,MATCH($B1489,Summary!$A$2:$A$201,0))</f>
        <v>2</v>
      </c>
      <c r="N1489" s="0" t="n">
        <f aca="false">INDEX(Summary!$J$2:$J$201,MATCH($B1489,Summary!$A$2:$A$201,0))</f>
        <v>3</v>
      </c>
      <c r="O1489" s="2" t="n">
        <f aca="false">INDEX(Summary!$K$2:$K$201,MATCH($B1489,Summary!$A$2:$A$201,0))</f>
        <v>8.92</v>
      </c>
      <c r="P1489" s="3" t="n">
        <f aca="false">INDEX(Summary!$L$2:$L$201,MATCH($B1489,Summary!$A$2:$A$201,0))</f>
        <v>5</v>
      </c>
      <c r="Q1489" s="3" t="n">
        <f aca="false">INDEX(Summary!$M$2:$M$201,MATCH($B1489,Summary!$A$2:$A$201,0))</f>
        <v>1</v>
      </c>
      <c r="R1489" s="2" t="n">
        <f aca="false">INDEX(Summary!$N$2:$N$201,MATCH($B1489,Summary!$A$2:$A$201,0))</f>
        <v>9.72</v>
      </c>
      <c r="S1489" s="3" t="n">
        <f aca="false">INDEX(Summary!$O$2:$O$201,MATCH($B1489,Summary!$A$2:$A$201,0))</f>
        <v>7</v>
      </c>
      <c r="T1489" s="3" t="n">
        <f aca="false">INDEX(Summary!$P$2:$P$201,MATCH($B1489,Summary!$A$2:$A$201,0))</f>
        <v>2</v>
      </c>
      <c r="U1489" s="2" t="n">
        <f aca="false">INDEX(Summary!$Q$2:$Q$201,MATCH($B1489,Summary!$A$2:$A$201,0))</f>
        <v>12.18</v>
      </c>
      <c r="V1489" s="2" t="n">
        <f aca="false">INDEX(Summary!$R$2:$R$201,MATCH($B1489,Summary!$A$2:$A$201,0))</f>
        <v>26.24</v>
      </c>
      <c r="W1489" s="0" t="str">
        <f aca="false">INDEX(Summary!$S$2:$S$201,MATCH($B1489,Summary!$A$2:$A$201,0))</f>
        <v>Silver</v>
      </c>
      <c r="X1489" s="2" t="n">
        <f aca="false">INDEX(Summary!$T$2:$T$201,MATCH($B1489,Summary!$A$2:$A$201,0))</f>
        <v>64</v>
      </c>
      <c r="Y1489" s="0" t="str">
        <f aca="false">INDEX('Reward Model'!$E$18:$E$37,MATCH($E1489,'Reward Model'!$A$18:$A$37,0))</f>
        <v>Medium</v>
      </c>
      <c r="Z1489" s="4" t="n">
        <f aca="false">ROUND(MIN(1,MAX('Reward Model'!$B$2,INDEX('Reward Model'!$C$12:$C$14,MATCH($K1489,'Reward Model'!$A$12:$A$14,0))/$J1489)),3)</f>
        <v>1</v>
      </c>
      <c r="AA1489" s="2" t="n">
        <f aca="false">IF($I1489="Correct",ROUND(INDEX('Reward Model'!$B$12:$B$14,MATCH($K1489,'Reward Model'!$A$12:$A$14,0))*Z1489,2),0)</f>
        <v>1</v>
      </c>
      <c r="AB1489" s="2" t="n">
        <f aca="false">IF($I1489="Correct",ROUND(INDEX('Reward Model'!$B$12:$B$14,MATCH($Y1489,'Reward Model'!$A$12:$A$14,0))*Z1489,2),0)</f>
        <v>2</v>
      </c>
    </row>
    <row r="1490" customFormat="false" ht="15" hidden="false" customHeight="false" outlineLevel="0" collapsed="false">
      <c r="A1490" s="0" t="s">
        <v>278</v>
      </c>
      <c r="B1490" s="0" t="s">
        <v>279</v>
      </c>
      <c r="C1490" s="0" t="s">
        <v>30</v>
      </c>
      <c r="D1490" s="0" t="s">
        <v>275</v>
      </c>
      <c r="E1490" s="0" t="n">
        <v>9</v>
      </c>
      <c r="F1490" s="0" t="s">
        <v>55</v>
      </c>
      <c r="G1490" s="0" t="s">
        <v>57</v>
      </c>
      <c r="H1490" s="0" t="s">
        <v>57</v>
      </c>
      <c r="I1490" s="0" t="s">
        <v>34</v>
      </c>
      <c r="J1490" s="0" t="n">
        <v>1.31</v>
      </c>
      <c r="K1490" s="0" t="s">
        <v>35</v>
      </c>
      <c r="L1490" s="0" t="n">
        <f aca="false">INDEX(Summary!$F$2:$F$201,MATCH($B1490,Summary!$A$2:$A$201,0))</f>
        <v>20</v>
      </c>
      <c r="M1490" s="0" t="n">
        <f aca="false">INDEX(Summary!$I$2:$I$201,MATCH($B1490,Summary!$A$2:$A$201,0))</f>
        <v>2</v>
      </c>
      <c r="N1490" s="0" t="n">
        <f aca="false">INDEX(Summary!$J$2:$J$201,MATCH($B1490,Summary!$A$2:$A$201,0))</f>
        <v>3</v>
      </c>
      <c r="O1490" s="2" t="n">
        <f aca="false">INDEX(Summary!$K$2:$K$201,MATCH($B1490,Summary!$A$2:$A$201,0))</f>
        <v>8.92</v>
      </c>
      <c r="P1490" s="3" t="n">
        <f aca="false">INDEX(Summary!$L$2:$L$201,MATCH($B1490,Summary!$A$2:$A$201,0))</f>
        <v>5</v>
      </c>
      <c r="Q1490" s="3" t="n">
        <f aca="false">INDEX(Summary!$M$2:$M$201,MATCH($B1490,Summary!$A$2:$A$201,0))</f>
        <v>1</v>
      </c>
      <c r="R1490" s="2" t="n">
        <f aca="false">INDEX(Summary!$N$2:$N$201,MATCH($B1490,Summary!$A$2:$A$201,0))</f>
        <v>9.72</v>
      </c>
      <c r="S1490" s="3" t="n">
        <f aca="false">INDEX(Summary!$O$2:$O$201,MATCH($B1490,Summary!$A$2:$A$201,0))</f>
        <v>7</v>
      </c>
      <c r="T1490" s="3" t="n">
        <f aca="false">INDEX(Summary!$P$2:$P$201,MATCH($B1490,Summary!$A$2:$A$201,0))</f>
        <v>2</v>
      </c>
      <c r="U1490" s="2" t="n">
        <f aca="false">INDEX(Summary!$Q$2:$Q$201,MATCH($B1490,Summary!$A$2:$A$201,0))</f>
        <v>12.18</v>
      </c>
      <c r="V1490" s="2" t="n">
        <f aca="false">INDEX(Summary!$R$2:$R$201,MATCH($B1490,Summary!$A$2:$A$201,0))</f>
        <v>26.24</v>
      </c>
      <c r="W1490" s="0" t="str">
        <f aca="false">INDEX(Summary!$S$2:$S$201,MATCH($B1490,Summary!$A$2:$A$201,0))</f>
        <v>Silver</v>
      </c>
      <c r="X1490" s="2" t="n">
        <f aca="false">INDEX(Summary!$T$2:$T$201,MATCH($B1490,Summary!$A$2:$A$201,0))</f>
        <v>64</v>
      </c>
      <c r="Y1490" s="0" t="str">
        <f aca="false">INDEX('Reward Model'!$E$18:$E$37,MATCH($E1490,'Reward Model'!$A$18:$A$37,0))</f>
        <v>Medium</v>
      </c>
      <c r="Z1490" s="4" t="n">
        <f aca="false">ROUND(MIN(1,MAX('Reward Model'!$B$2,INDEX('Reward Model'!$C$12:$C$14,MATCH($K1490,'Reward Model'!$A$12:$A$14,0))/$J1490)),3)</f>
        <v>1</v>
      </c>
      <c r="AA1490" s="2" t="n">
        <f aca="false">IF($I1490="Correct",ROUND(INDEX('Reward Model'!$B$12:$B$14,MATCH($K1490,'Reward Model'!$A$12:$A$14,0))*Z1490,2),0)</f>
        <v>1</v>
      </c>
      <c r="AB1490" s="2" t="n">
        <f aca="false">IF($I1490="Correct",ROUND(INDEX('Reward Model'!$B$12:$B$14,MATCH($Y1490,'Reward Model'!$A$12:$A$14,0))*Z1490,2),0)</f>
        <v>2</v>
      </c>
    </row>
    <row r="1491" customFormat="false" ht="15" hidden="false" customHeight="false" outlineLevel="0" collapsed="false">
      <c r="A1491" s="0" t="s">
        <v>278</v>
      </c>
      <c r="B1491" s="0" t="s">
        <v>279</v>
      </c>
      <c r="C1491" s="0" t="s">
        <v>30</v>
      </c>
      <c r="D1491" s="0" t="s">
        <v>275</v>
      </c>
      <c r="E1491" s="0" t="n">
        <v>10</v>
      </c>
      <c r="F1491" s="0" t="s">
        <v>58</v>
      </c>
      <c r="G1491" s="0" t="s">
        <v>59</v>
      </c>
      <c r="H1491" s="0" t="s">
        <v>59</v>
      </c>
      <c r="I1491" s="0" t="s">
        <v>34</v>
      </c>
      <c r="J1491" s="0" t="n">
        <v>1.48</v>
      </c>
      <c r="K1491" s="0" t="s">
        <v>60</v>
      </c>
      <c r="L1491" s="0" t="n">
        <f aca="false">INDEX(Summary!$F$2:$F$201,MATCH($B1491,Summary!$A$2:$A$201,0))</f>
        <v>20</v>
      </c>
      <c r="M1491" s="0" t="n">
        <f aca="false">INDEX(Summary!$I$2:$I$201,MATCH($B1491,Summary!$A$2:$A$201,0))</f>
        <v>2</v>
      </c>
      <c r="N1491" s="0" t="n">
        <f aca="false">INDEX(Summary!$J$2:$J$201,MATCH($B1491,Summary!$A$2:$A$201,0))</f>
        <v>3</v>
      </c>
      <c r="O1491" s="2" t="n">
        <f aca="false">INDEX(Summary!$K$2:$K$201,MATCH($B1491,Summary!$A$2:$A$201,0))</f>
        <v>8.92</v>
      </c>
      <c r="P1491" s="3" t="n">
        <f aca="false">INDEX(Summary!$L$2:$L$201,MATCH($B1491,Summary!$A$2:$A$201,0))</f>
        <v>5</v>
      </c>
      <c r="Q1491" s="3" t="n">
        <f aca="false">INDEX(Summary!$M$2:$M$201,MATCH($B1491,Summary!$A$2:$A$201,0))</f>
        <v>1</v>
      </c>
      <c r="R1491" s="2" t="n">
        <f aca="false">INDEX(Summary!$N$2:$N$201,MATCH($B1491,Summary!$A$2:$A$201,0))</f>
        <v>9.72</v>
      </c>
      <c r="S1491" s="3" t="n">
        <f aca="false">INDEX(Summary!$O$2:$O$201,MATCH($B1491,Summary!$A$2:$A$201,0))</f>
        <v>7</v>
      </c>
      <c r="T1491" s="3" t="n">
        <f aca="false">INDEX(Summary!$P$2:$P$201,MATCH($B1491,Summary!$A$2:$A$201,0))</f>
        <v>2</v>
      </c>
      <c r="U1491" s="2" t="n">
        <f aca="false">INDEX(Summary!$Q$2:$Q$201,MATCH($B1491,Summary!$A$2:$A$201,0))</f>
        <v>12.18</v>
      </c>
      <c r="V1491" s="2" t="n">
        <f aca="false">INDEX(Summary!$R$2:$R$201,MATCH($B1491,Summary!$A$2:$A$201,0))</f>
        <v>26.24</v>
      </c>
      <c r="W1491" s="0" t="str">
        <f aca="false">INDEX(Summary!$S$2:$S$201,MATCH($B1491,Summary!$A$2:$A$201,0))</f>
        <v>Silver</v>
      </c>
      <c r="X1491" s="2" t="n">
        <f aca="false">INDEX(Summary!$T$2:$T$201,MATCH($B1491,Summary!$A$2:$A$201,0))</f>
        <v>64</v>
      </c>
      <c r="Y1491" s="0" t="str">
        <f aca="false">INDEX('Reward Model'!$E$18:$E$37,MATCH($E1491,'Reward Model'!$A$18:$A$37,0))</f>
        <v>Medium</v>
      </c>
      <c r="Z1491" s="4" t="n">
        <f aca="false">ROUND(MIN(1,MAX('Reward Model'!$B$2,INDEX('Reward Model'!$C$12:$C$14,MATCH($K1491,'Reward Model'!$A$12:$A$14,0))/$J1491)),3)</f>
        <v>1</v>
      </c>
      <c r="AA1491" s="2" t="n">
        <f aca="false">IF($I1491="Correct",ROUND(INDEX('Reward Model'!$B$12:$B$14,MATCH($K1491,'Reward Model'!$A$12:$A$14,0))*Z1491,2),0)</f>
        <v>2</v>
      </c>
      <c r="AB1491" s="2" t="n">
        <f aca="false">IF($I1491="Correct",ROUND(INDEX('Reward Model'!$B$12:$B$14,MATCH($Y1491,'Reward Model'!$A$12:$A$14,0))*Z1491,2),0)</f>
        <v>2</v>
      </c>
    </row>
    <row r="1492" customFormat="false" ht="15" hidden="false" customHeight="false" outlineLevel="0" collapsed="false">
      <c r="A1492" s="0" t="s">
        <v>278</v>
      </c>
      <c r="B1492" s="0" t="s">
        <v>279</v>
      </c>
      <c r="C1492" s="0" t="s">
        <v>30</v>
      </c>
      <c r="D1492" s="0" t="s">
        <v>275</v>
      </c>
      <c r="E1492" s="0" t="n">
        <v>11</v>
      </c>
      <c r="F1492" s="0" t="s">
        <v>61</v>
      </c>
      <c r="G1492" s="0" t="s">
        <v>63</v>
      </c>
      <c r="H1492" s="0" t="s">
        <v>63</v>
      </c>
      <c r="I1492" s="0" t="s">
        <v>34</v>
      </c>
      <c r="J1492" s="0" t="n">
        <v>1.26</v>
      </c>
      <c r="K1492" s="0" t="s">
        <v>60</v>
      </c>
      <c r="L1492" s="0" t="n">
        <f aca="false">INDEX(Summary!$F$2:$F$201,MATCH($B1492,Summary!$A$2:$A$201,0))</f>
        <v>20</v>
      </c>
      <c r="M1492" s="0" t="n">
        <f aca="false">INDEX(Summary!$I$2:$I$201,MATCH($B1492,Summary!$A$2:$A$201,0))</f>
        <v>2</v>
      </c>
      <c r="N1492" s="0" t="n">
        <f aca="false">INDEX(Summary!$J$2:$J$201,MATCH($B1492,Summary!$A$2:$A$201,0))</f>
        <v>3</v>
      </c>
      <c r="O1492" s="2" t="n">
        <f aca="false">INDEX(Summary!$K$2:$K$201,MATCH($B1492,Summary!$A$2:$A$201,0))</f>
        <v>8.92</v>
      </c>
      <c r="P1492" s="3" t="n">
        <f aca="false">INDEX(Summary!$L$2:$L$201,MATCH($B1492,Summary!$A$2:$A$201,0))</f>
        <v>5</v>
      </c>
      <c r="Q1492" s="3" t="n">
        <f aca="false">INDEX(Summary!$M$2:$M$201,MATCH($B1492,Summary!$A$2:$A$201,0))</f>
        <v>1</v>
      </c>
      <c r="R1492" s="2" t="n">
        <f aca="false">INDEX(Summary!$N$2:$N$201,MATCH($B1492,Summary!$A$2:$A$201,0))</f>
        <v>9.72</v>
      </c>
      <c r="S1492" s="3" t="n">
        <f aca="false">INDEX(Summary!$O$2:$O$201,MATCH($B1492,Summary!$A$2:$A$201,0))</f>
        <v>7</v>
      </c>
      <c r="T1492" s="3" t="n">
        <f aca="false">INDEX(Summary!$P$2:$P$201,MATCH($B1492,Summary!$A$2:$A$201,0))</f>
        <v>2</v>
      </c>
      <c r="U1492" s="2" t="n">
        <f aca="false">INDEX(Summary!$Q$2:$Q$201,MATCH($B1492,Summary!$A$2:$A$201,0))</f>
        <v>12.18</v>
      </c>
      <c r="V1492" s="2" t="n">
        <f aca="false">INDEX(Summary!$R$2:$R$201,MATCH($B1492,Summary!$A$2:$A$201,0))</f>
        <v>26.24</v>
      </c>
      <c r="W1492" s="0" t="str">
        <f aca="false">INDEX(Summary!$S$2:$S$201,MATCH($B1492,Summary!$A$2:$A$201,0))</f>
        <v>Silver</v>
      </c>
      <c r="X1492" s="2" t="n">
        <f aca="false">INDEX(Summary!$T$2:$T$201,MATCH($B1492,Summary!$A$2:$A$201,0))</f>
        <v>64</v>
      </c>
      <c r="Y1492" s="0" t="str">
        <f aca="false">INDEX('Reward Model'!$E$18:$E$37,MATCH($E1492,'Reward Model'!$A$18:$A$37,0))</f>
        <v>Medium</v>
      </c>
      <c r="Z1492" s="4" t="n">
        <f aca="false">ROUND(MIN(1,MAX('Reward Model'!$B$2,INDEX('Reward Model'!$C$12:$C$14,MATCH($K1492,'Reward Model'!$A$12:$A$14,0))/$J1492)),3)</f>
        <v>1</v>
      </c>
      <c r="AA1492" s="2" t="n">
        <f aca="false">IF($I1492="Correct",ROUND(INDEX('Reward Model'!$B$12:$B$14,MATCH($K1492,'Reward Model'!$A$12:$A$14,0))*Z1492,2),0)</f>
        <v>2</v>
      </c>
      <c r="AB1492" s="2" t="n">
        <f aca="false">IF($I1492="Correct",ROUND(INDEX('Reward Model'!$B$12:$B$14,MATCH($Y1492,'Reward Model'!$A$12:$A$14,0))*Z1492,2),0)</f>
        <v>2</v>
      </c>
    </row>
    <row r="1493" customFormat="false" ht="15" hidden="false" customHeight="false" outlineLevel="0" collapsed="false">
      <c r="A1493" s="0" t="s">
        <v>278</v>
      </c>
      <c r="B1493" s="0" t="s">
        <v>279</v>
      </c>
      <c r="C1493" s="0" t="s">
        <v>30</v>
      </c>
      <c r="D1493" s="0" t="s">
        <v>275</v>
      </c>
      <c r="E1493" s="0" t="n">
        <v>12</v>
      </c>
      <c r="F1493" s="0" t="s">
        <v>64</v>
      </c>
      <c r="G1493" s="0" t="s">
        <v>65</v>
      </c>
      <c r="H1493" s="0" t="s">
        <v>65</v>
      </c>
      <c r="I1493" s="0" t="s">
        <v>34</v>
      </c>
      <c r="J1493" s="0" t="n">
        <v>1.52</v>
      </c>
      <c r="K1493" s="0" t="s">
        <v>60</v>
      </c>
      <c r="L1493" s="0" t="n">
        <f aca="false">INDEX(Summary!$F$2:$F$201,MATCH($B1493,Summary!$A$2:$A$201,0))</f>
        <v>20</v>
      </c>
      <c r="M1493" s="0" t="n">
        <f aca="false">INDEX(Summary!$I$2:$I$201,MATCH($B1493,Summary!$A$2:$A$201,0))</f>
        <v>2</v>
      </c>
      <c r="N1493" s="0" t="n">
        <f aca="false">INDEX(Summary!$J$2:$J$201,MATCH($B1493,Summary!$A$2:$A$201,0))</f>
        <v>3</v>
      </c>
      <c r="O1493" s="2" t="n">
        <f aca="false">INDEX(Summary!$K$2:$K$201,MATCH($B1493,Summary!$A$2:$A$201,0))</f>
        <v>8.92</v>
      </c>
      <c r="P1493" s="3" t="n">
        <f aca="false">INDEX(Summary!$L$2:$L$201,MATCH($B1493,Summary!$A$2:$A$201,0))</f>
        <v>5</v>
      </c>
      <c r="Q1493" s="3" t="n">
        <f aca="false">INDEX(Summary!$M$2:$M$201,MATCH($B1493,Summary!$A$2:$A$201,0))</f>
        <v>1</v>
      </c>
      <c r="R1493" s="2" t="n">
        <f aca="false">INDEX(Summary!$N$2:$N$201,MATCH($B1493,Summary!$A$2:$A$201,0))</f>
        <v>9.72</v>
      </c>
      <c r="S1493" s="3" t="n">
        <f aca="false">INDEX(Summary!$O$2:$O$201,MATCH($B1493,Summary!$A$2:$A$201,0))</f>
        <v>7</v>
      </c>
      <c r="T1493" s="3" t="n">
        <f aca="false">INDEX(Summary!$P$2:$P$201,MATCH($B1493,Summary!$A$2:$A$201,0))</f>
        <v>2</v>
      </c>
      <c r="U1493" s="2" t="n">
        <f aca="false">INDEX(Summary!$Q$2:$Q$201,MATCH($B1493,Summary!$A$2:$A$201,0))</f>
        <v>12.18</v>
      </c>
      <c r="V1493" s="2" t="n">
        <f aca="false">INDEX(Summary!$R$2:$R$201,MATCH($B1493,Summary!$A$2:$A$201,0))</f>
        <v>26.24</v>
      </c>
      <c r="W1493" s="0" t="str">
        <f aca="false">INDEX(Summary!$S$2:$S$201,MATCH($B1493,Summary!$A$2:$A$201,0))</f>
        <v>Silver</v>
      </c>
      <c r="X1493" s="2" t="n">
        <f aca="false">INDEX(Summary!$T$2:$T$201,MATCH($B1493,Summary!$A$2:$A$201,0))</f>
        <v>64</v>
      </c>
      <c r="Y1493" s="0" t="str">
        <f aca="false">INDEX('Reward Model'!$E$18:$E$37,MATCH($E1493,'Reward Model'!$A$18:$A$37,0))</f>
        <v>Medium</v>
      </c>
      <c r="Z1493" s="4" t="n">
        <f aca="false">ROUND(MIN(1,MAX('Reward Model'!$B$2,INDEX('Reward Model'!$C$12:$C$14,MATCH($K1493,'Reward Model'!$A$12:$A$14,0))/$J1493)),3)</f>
        <v>1</v>
      </c>
      <c r="AA1493" s="2" t="n">
        <f aca="false">IF($I1493="Correct",ROUND(INDEX('Reward Model'!$B$12:$B$14,MATCH($K1493,'Reward Model'!$A$12:$A$14,0))*Z1493,2),0)</f>
        <v>2</v>
      </c>
      <c r="AB1493" s="2" t="n">
        <f aca="false">IF($I1493="Correct",ROUND(INDEX('Reward Model'!$B$12:$B$14,MATCH($Y1493,'Reward Model'!$A$12:$A$14,0))*Z1493,2),0)</f>
        <v>2</v>
      </c>
    </row>
    <row r="1494" customFormat="false" ht="15" hidden="false" customHeight="false" outlineLevel="0" collapsed="false">
      <c r="A1494" s="0" t="s">
        <v>278</v>
      </c>
      <c r="B1494" s="0" t="s">
        <v>279</v>
      </c>
      <c r="C1494" s="0" t="s">
        <v>30</v>
      </c>
      <c r="D1494" s="0" t="s">
        <v>275</v>
      </c>
      <c r="E1494" s="0" t="n">
        <v>13</v>
      </c>
      <c r="F1494" s="0" t="s">
        <v>66</v>
      </c>
      <c r="G1494" s="0" t="s">
        <v>165</v>
      </c>
      <c r="H1494" s="0" t="s">
        <v>67</v>
      </c>
      <c r="I1494" s="0" t="s">
        <v>39</v>
      </c>
      <c r="J1494" s="0" t="n">
        <v>1.67</v>
      </c>
      <c r="K1494" s="0" t="s">
        <v>60</v>
      </c>
      <c r="L1494" s="0" t="n">
        <f aca="false">INDEX(Summary!$F$2:$F$201,MATCH($B1494,Summary!$A$2:$A$201,0))</f>
        <v>20</v>
      </c>
      <c r="M1494" s="0" t="n">
        <f aca="false">INDEX(Summary!$I$2:$I$201,MATCH($B1494,Summary!$A$2:$A$201,0))</f>
        <v>2</v>
      </c>
      <c r="N1494" s="0" t="n">
        <f aca="false">INDEX(Summary!$J$2:$J$201,MATCH($B1494,Summary!$A$2:$A$201,0))</f>
        <v>3</v>
      </c>
      <c r="O1494" s="2" t="n">
        <f aca="false">INDEX(Summary!$K$2:$K$201,MATCH($B1494,Summary!$A$2:$A$201,0))</f>
        <v>8.92</v>
      </c>
      <c r="P1494" s="3" t="n">
        <f aca="false">INDEX(Summary!$L$2:$L$201,MATCH($B1494,Summary!$A$2:$A$201,0))</f>
        <v>5</v>
      </c>
      <c r="Q1494" s="3" t="n">
        <f aca="false">INDEX(Summary!$M$2:$M$201,MATCH($B1494,Summary!$A$2:$A$201,0))</f>
        <v>1</v>
      </c>
      <c r="R1494" s="2" t="n">
        <f aca="false">INDEX(Summary!$N$2:$N$201,MATCH($B1494,Summary!$A$2:$A$201,0))</f>
        <v>9.72</v>
      </c>
      <c r="S1494" s="3" t="n">
        <f aca="false">INDEX(Summary!$O$2:$O$201,MATCH($B1494,Summary!$A$2:$A$201,0))</f>
        <v>7</v>
      </c>
      <c r="T1494" s="3" t="n">
        <f aca="false">INDEX(Summary!$P$2:$P$201,MATCH($B1494,Summary!$A$2:$A$201,0))</f>
        <v>2</v>
      </c>
      <c r="U1494" s="2" t="n">
        <f aca="false">INDEX(Summary!$Q$2:$Q$201,MATCH($B1494,Summary!$A$2:$A$201,0))</f>
        <v>12.18</v>
      </c>
      <c r="V1494" s="2" t="n">
        <f aca="false">INDEX(Summary!$R$2:$R$201,MATCH($B1494,Summary!$A$2:$A$201,0))</f>
        <v>26.24</v>
      </c>
      <c r="W1494" s="0" t="str">
        <f aca="false">INDEX(Summary!$S$2:$S$201,MATCH($B1494,Summary!$A$2:$A$201,0))</f>
        <v>Silver</v>
      </c>
      <c r="X1494" s="2" t="n">
        <f aca="false">INDEX(Summary!$T$2:$T$201,MATCH($B1494,Summary!$A$2:$A$201,0))</f>
        <v>64</v>
      </c>
      <c r="Y1494" s="0" t="str">
        <f aca="false">INDEX('Reward Model'!$E$18:$E$37,MATCH($E1494,'Reward Model'!$A$18:$A$37,0))</f>
        <v>Medium</v>
      </c>
      <c r="Z1494" s="4" t="n">
        <f aca="false">ROUND(MIN(1,MAX('Reward Model'!$B$2,INDEX('Reward Model'!$C$12:$C$14,MATCH($K1494,'Reward Model'!$A$12:$A$14,0))/$J1494)),3)</f>
        <v>1</v>
      </c>
      <c r="AA1494" s="2" t="n">
        <f aca="false">IF($I1494="Correct",ROUND(INDEX('Reward Model'!$B$12:$B$14,MATCH($K1494,'Reward Model'!$A$12:$A$14,0))*Z1494,2),0)</f>
        <v>0</v>
      </c>
      <c r="AB1494" s="2" t="n">
        <f aca="false">IF($I1494="Correct",ROUND(INDEX('Reward Model'!$B$12:$B$14,MATCH($Y1494,'Reward Model'!$A$12:$A$14,0))*Z1494,2),0)</f>
        <v>0</v>
      </c>
    </row>
    <row r="1495" customFormat="false" ht="15" hidden="false" customHeight="false" outlineLevel="0" collapsed="false">
      <c r="A1495" s="0" t="s">
        <v>278</v>
      </c>
      <c r="B1495" s="0" t="s">
        <v>279</v>
      </c>
      <c r="C1495" s="0" t="s">
        <v>30</v>
      </c>
      <c r="D1495" s="0" t="s">
        <v>275</v>
      </c>
      <c r="E1495" s="0" t="n">
        <v>14</v>
      </c>
      <c r="F1495" s="0" t="s">
        <v>68</v>
      </c>
      <c r="G1495" s="0" t="s">
        <v>51</v>
      </c>
      <c r="H1495" s="0" t="s">
        <v>51</v>
      </c>
      <c r="I1495" s="0" t="s">
        <v>34</v>
      </c>
      <c r="J1495" s="0" t="n">
        <v>2.17</v>
      </c>
      <c r="K1495" s="0" t="s">
        <v>60</v>
      </c>
      <c r="L1495" s="0" t="n">
        <f aca="false">INDEX(Summary!$F$2:$F$201,MATCH($B1495,Summary!$A$2:$A$201,0))</f>
        <v>20</v>
      </c>
      <c r="M1495" s="0" t="n">
        <f aca="false">INDEX(Summary!$I$2:$I$201,MATCH($B1495,Summary!$A$2:$A$201,0))</f>
        <v>2</v>
      </c>
      <c r="N1495" s="0" t="n">
        <f aca="false">INDEX(Summary!$J$2:$J$201,MATCH($B1495,Summary!$A$2:$A$201,0))</f>
        <v>3</v>
      </c>
      <c r="O1495" s="2" t="n">
        <f aca="false">INDEX(Summary!$K$2:$K$201,MATCH($B1495,Summary!$A$2:$A$201,0))</f>
        <v>8.92</v>
      </c>
      <c r="P1495" s="3" t="n">
        <f aca="false">INDEX(Summary!$L$2:$L$201,MATCH($B1495,Summary!$A$2:$A$201,0))</f>
        <v>5</v>
      </c>
      <c r="Q1495" s="3" t="n">
        <f aca="false">INDEX(Summary!$M$2:$M$201,MATCH($B1495,Summary!$A$2:$A$201,0))</f>
        <v>1</v>
      </c>
      <c r="R1495" s="2" t="n">
        <f aca="false">INDEX(Summary!$N$2:$N$201,MATCH($B1495,Summary!$A$2:$A$201,0))</f>
        <v>9.72</v>
      </c>
      <c r="S1495" s="3" t="n">
        <f aca="false">INDEX(Summary!$O$2:$O$201,MATCH($B1495,Summary!$A$2:$A$201,0))</f>
        <v>7</v>
      </c>
      <c r="T1495" s="3" t="n">
        <f aca="false">INDEX(Summary!$P$2:$P$201,MATCH($B1495,Summary!$A$2:$A$201,0))</f>
        <v>2</v>
      </c>
      <c r="U1495" s="2" t="n">
        <f aca="false">INDEX(Summary!$Q$2:$Q$201,MATCH($B1495,Summary!$A$2:$A$201,0))</f>
        <v>12.18</v>
      </c>
      <c r="V1495" s="2" t="n">
        <f aca="false">INDEX(Summary!$R$2:$R$201,MATCH($B1495,Summary!$A$2:$A$201,0))</f>
        <v>26.24</v>
      </c>
      <c r="W1495" s="0" t="str">
        <f aca="false">INDEX(Summary!$S$2:$S$201,MATCH($B1495,Summary!$A$2:$A$201,0))</f>
        <v>Silver</v>
      </c>
      <c r="X1495" s="2" t="n">
        <f aca="false">INDEX(Summary!$T$2:$T$201,MATCH($B1495,Summary!$A$2:$A$201,0))</f>
        <v>64</v>
      </c>
      <c r="Y1495" s="0" t="str">
        <f aca="false">INDEX('Reward Model'!$E$18:$E$37,MATCH($E1495,'Reward Model'!$A$18:$A$37,0))</f>
        <v>Medium</v>
      </c>
      <c r="Z1495" s="4" t="n">
        <f aca="false">ROUND(MIN(1,MAX('Reward Model'!$B$2,INDEX('Reward Model'!$C$12:$C$14,MATCH($K1495,'Reward Model'!$A$12:$A$14,0))/$J1495)),3)</f>
        <v>0.829</v>
      </c>
      <c r="AA1495" s="2" t="n">
        <f aca="false">IF($I1495="Correct",ROUND(INDEX('Reward Model'!$B$12:$B$14,MATCH($K1495,'Reward Model'!$A$12:$A$14,0))*Z1495,2),0)</f>
        <v>1.66</v>
      </c>
      <c r="AB1495" s="2" t="n">
        <f aca="false">IF($I1495="Correct",ROUND(INDEX('Reward Model'!$B$12:$B$14,MATCH($Y1495,'Reward Model'!$A$12:$A$14,0))*Z1495,2),0)</f>
        <v>1.66</v>
      </c>
    </row>
    <row r="1496" customFormat="false" ht="15" hidden="false" customHeight="false" outlineLevel="0" collapsed="false">
      <c r="A1496" s="0" t="s">
        <v>278</v>
      </c>
      <c r="B1496" s="0" t="s">
        <v>279</v>
      </c>
      <c r="C1496" s="0" t="s">
        <v>30</v>
      </c>
      <c r="D1496" s="0" t="s">
        <v>275</v>
      </c>
      <c r="E1496" s="0" t="n">
        <v>15</v>
      </c>
      <c r="F1496" s="0" t="s">
        <v>69</v>
      </c>
      <c r="G1496" s="0" t="s">
        <v>70</v>
      </c>
      <c r="H1496" s="0" t="s">
        <v>70</v>
      </c>
      <c r="I1496" s="0" t="s">
        <v>34</v>
      </c>
      <c r="J1496" s="0" t="n">
        <v>1.62</v>
      </c>
      <c r="K1496" s="0" t="s">
        <v>60</v>
      </c>
      <c r="L1496" s="0" t="n">
        <f aca="false">INDEX(Summary!$F$2:$F$201,MATCH($B1496,Summary!$A$2:$A$201,0))</f>
        <v>20</v>
      </c>
      <c r="M1496" s="0" t="n">
        <f aca="false">INDEX(Summary!$I$2:$I$201,MATCH($B1496,Summary!$A$2:$A$201,0))</f>
        <v>2</v>
      </c>
      <c r="N1496" s="0" t="n">
        <f aca="false">INDEX(Summary!$J$2:$J$201,MATCH($B1496,Summary!$A$2:$A$201,0))</f>
        <v>3</v>
      </c>
      <c r="O1496" s="2" t="n">
        <f aca="false">INDEX(Summary!$K$2:$K$201,MATCH($B1496,Summary!$A$2:$A$201,0))</f>
        <v>8.92</v>
      </c>
      <c r="P1496" s="3" t="n">
        <f aca="false">INDEX(Summary!$L$2:$L$201,MATCH($B1496,Summary!$A$2:$A$201,0))</f>
        <v>5</v>
      </c>
      <c r="Q1496" s="3" t="n">
        <f aca="false">INDEX(Summary!$M$2:$M$201,MATCH($B1496,Summary!$A$2:$A$201,0))</f>
        <v>1</v>
      </c>
      <c r="R1496" s="2" t="n">
        <f aca="false">INDEX(Summary!$N$2:$N$201,MATCH($B1496,Summary!$A$2:$A$201,0))</f>
        <v>9.72</v>
      </c>
      <c r="S1496" s="3" t="n">
        <f aca="false">INDEX(Summary!$O$2:$O$201,MATCH($B1496,Summary!$A$2:$A$201,0))</f>
        <v>7</v>
      </c>
      <c r="T1496" s="3" t="n">
        <f aca="false">INDEX(Summary!$P$2:$P$201,MATCH($B1496,Summary!$A$2:$A$201,0))</f>
        <v>2</v>
      </c>
      <c r="U1496" s="2" t="n">
        <f aca="false">INDEX(Summary!$Q$2:$Q$201,MATCH($B1496,Summary!$A$2:$A$201,0))</f>
        <v>12.18</v>
      </c>
      <c r="V1496" s="2" t="n">
        <f aca="false">INDEX(Summary!$R$2:$R$201,MATCH($B1496,Summary!$A$2:$A$201,0))</f>
        <v>26.24</v>
      </c>
      <c r="W1496" s="0" t="str">
        <f aca="false">INDEX(Summary!$S$2:$S$201,MATCH($B1496,Summary!$A$2:$A$201,0))</f>
        <v>Silver</v>
      </c>
      <c r="X1496" s="2" t="n">
        <f aca="false">INDEX(Summary!$T$2:$T$201,MATCH($B1496,Summary!$A$2:$A$201,0))</f>
        <v>64</v>
      </c>
      <c r="Y1496" s="0" t="str">
        <f aca="false">INDEX('Reward Model'!$E$18:$E$37,MATCH($E1496,'Reward Model'!$A$18:$A$37,0))</f>
        <v>Medium</v>
      </c>
      <c r="Z1496" s="4" t="n">
        <f aca="false">ROUND(MIN(1,MAX('Reward Model'!$B$2,INDEX('Reward Model'!$C$12:$C$14,MATCH($K1496,'Reward Model'!$A$12:$A$14,0))/$J1496)),3)</f>
        <v>1</v>
      </c>
      <c r="AA1496" s="2" t="n">
        <f aca="false">IF($I1496="Correct",ROUND(INDEX('Reward Model'!$B$12:$B$14,MATCH($K1496,'Reward Model'!$A$12:$A$14,0))*Z1496,2),0)</f>
        <v>2</v>
      </c>
      <c r="AB1496" s="2" t="n">
        <f aca="false">IF($I1496="Correct",ROUND(INDEX('Reward Model'!$B$12:$B$14,MATCH($Y1496,'Reward Model'!$A$12:$A$14,0))*Z1496,2),0)</f>
        <v>2</v>
      </c>
    </row>
    <row r="1497" customFormat="false" ht="15" hidden="false" customHeight="false" outlineLevel="0" collapsed="false">
      <c r="A1497" s="0" t="s">
        <v>278</v>
      </c>
      <c r="B1497" s="0" t="s">
        <v>279</v>
      </c>
      <c r="C1497" s="0" t="s">
        <v>30</v>
      </c>
      <c r="D1497" s="0" t="s">
        <v>275</v>
      </c>
      <c r="E1497" s="0" t="n">
        <v>16</v>
      </c>
      <c r="F1497" s="0" t="s">
        <v>71</v>
      </c>
      <c r="G1497" s="0" t="s">
        <v>72</v>
      </c>
      <c r="H1497" s="0" t="s">
        <v>72</v>
      </c>
      <c r="I1497" s="0" t="s">
        <v>34</v>
      </c>
      <c r="J1497" s="0" t="n">
        <v>1.9</v>
      </c>
      <c r="K1497" s="0" t="s">
        <v>73</v>
      </c>
      <c r="L1497" s="0" t="n">
        <f aca="false">INDEX(Summary!$F$2:$F$201,MATCH($B1497,Summary!$A$2:$A$201,0))</f>
        <v>20</v>
      </c>
      <c r="M1497" s="0" t="n">
        <f aca="false">INDEX(Summary!$I$2:$I$201,MATCH($B1497,Summary!$A$2:$A$201,0))</f>
        <v>2</v>
      </c>
      <c r="N1497" s="0" t="n">
        <f aca="false">INDEX(Summary!$J$2:$J$201,MATCH($B1497,Summary!$A$2:$A$201,0))</f>
        <v>3</v>
      </c>
      <c r="O1497" s="2" t="n">
        <f aca="false">INDEX(Summary!$K$2:$K$201,MATCH($B1497,Summary!$A$2:$A$201,0))</f>
        <v>8.92</v>
      </c>
      <c r="P1497" s="3" t="n">
        <f aca="false">INDEX(Summary!$L$2:$L$201,MATCH($B1497,Summary!$A$2:$A$201,0))</f>
        <v>5</v>
      </c>
      <c r="Q1497" s="3" t="n">
        <f aca="false">INDEX(Summary!$M$2:$M$201,MATCH($B1497,Summary!$A$2:$A$201,0))</f>
        <v>1</v>
      </c>
      <c r="R1497" s="2" t="n">
        <f aca="false">INDEX(Summary!$N$2:$N$201,MATCH($B1497,Summary!$A$2:$A$201,0))</f>
        <v>9.72</v>
      </c>
      <c r="S1497" s="3" t="n">
        <f aca="false">INDEX(Summary!$O$2:$O$201,MATCH($B1497,Summary!$A$2:$A$201,0))</f>
        <v>7</v>
      </c>
      <c r="T1497" s="3" t="n">
        <f aca="false">INDEX(Summary!$P$2:$P$201,MATCH($B1497,Summary!$A$2:$A$201,0))</f>
        <v>2</v>
      </c>
      <c r="U1497" s="2" t="n">
        <f aca="false">INDEX(Summary!$Q$2:$Q$201,MATCH($B1497,Summary!$A$2:$A$201,0))</f>
        <v>12.18</v>
      </c>
      <c r="V1497" s="2" t="n">
        <f aca="false">INDEX(Summary!$R$2:$R$201,MATCH($B1497,Summary!$A$2:$A$201,0))</f>
        <v>26.24</v>
      </c>
      <c r="W1497" s="0" t="str">
        <f aca="false">INDEX(Summary!$S$2:$S$201,MATCH($B1497,Summary!$A$2:$A$201,0))</f>
        <v>Silver</v>
      </c>
      <c r="X1497" s="2" t="n">
        <f aca="false">INDEX(Summary!$T$2:$T$201,MATCH($B1497,Summary!$A$2:$A$201,0))</f>
        <v>64</v>
      </c>
      <c r="Y1497" s="0" t="str">
        <f aca="false">INDEX('Reward Model'!$E$18:$E$37,MATCH($E1497,'Reward Model'!$A$18:$A$37,0))</f>
        <v>High</v>
      </c>
      <c r="Z1497" s="4" t="n">
        <f aca="false">ROUND(MIN(1,MAX('Reward Model'!$B$2,INDEX('Reward Model'!$C$12:$C$14,MATCH($K1497,'Reward Model'!$A$12:$A$14,0))/$J1497)),3)</f>
        <v>1</v>
      </c>
      <c r="AA1497" s="2" t="n">
        <f aca="false">IF($I1497="Correct",ROUND(INDEX('Reward Model'!$B$12:$B$14,MATCH($K1497,'Reward Model'!$A$12:$A$14,0))*Z1497,2),0)</f>
        <v>3</v>
      </c>
      <c r="AB1497" s="2" t="n">
        <f aca="false">IF($I1497="Correct",ROUND(INDEX('Reward Model'!$B$12:$B$14,MATCH($Y1497,'Reward Model'!$A$12:$A$14,0))*Z1497,2),0)</f>
        <v>3</v>
      </c>
    </row>
    <row r="1498" customFormat="false" ht="15" hidden="false" customHeight="false" outlineLevel="0" collapsed="false">
      <c r="A1498" s="0" t="s">
        <v>278</v>
      </c>
      <c r="B1498" s="0" t="s">
        <v>279</v>
      </c>
      <c r="C1498" s="0" t="s">
        <v>30</v>
      </c>
      <c r="D1498" s="0" t="s">
        <v>275</v>
      </c>
      <c r="E1498" s="0" t="n">
        <v>17</v>
      </c>
      <c r="F1498" s="0" t="s">
        <v>74</v>
      </c>
      <c r="G1498" s="0" t="s">
        <v>105</v>
      </c>
      <c r="H1498" s="0" t="s">
        <v>75</v>
      </c>
      <c r="I1498" s="0" t="s">
        <v>39</v>
      </c>
      <c r="J1498" s="0" t="n">
        <v>2.28</v>
      </c>
      <c r="K1498" s="0" t="s">
        <v>73</v>
      </c>
      <c r="L1498" s="0" t="n">
        <f aca="false">INDEX(Summary!$F$2:$F$201,MATCH($B1498,Summary!$A$2:$A$201,0))</f>
        <v>20</v>
      </c>
      <c r="M1498" s="0" t="n">
        <f aca="false">INDEX(Summary!$I$2:$I$201,MATCH($B1498,Summary!$A$2:$A$201,0))</f>
        <v>2</v>
      </c>
      <c r="N1498" s="0" t="n">
        <f aca="false">INDEX(Summary!$J$2:$J$201,MATCH($B1498,Summary!$A$2:$A$201,0))</f>
        <v>3</v>
      </c>
      <c r="O1498" s="2" t="n">
        <f aca="false">INDEX(Summary!$K$2:$K$201,MATCH($B1498,Summary!$A$2:$A$201,0))</f>
        <v>8.92</v>
      </c>
      <c r="P1498" s="3" t="n">
        <f aca="false">INDEX(Summary!$L$2:$L$201,MATCH($B1498,Summary!$A$2:$A$201,0))</f>
        <v>5</v>
      </c>
      <c r="Q1498" s="3" t="n">
        <f aca="false">INDEX(Summary!$M$2:$M$201,MATCH($B1498,Summary!$A$2:$A$201,0))</f>
        <v>1</v>
      </c>
      <c r="R1498" s="2" t="n">
        <f aca="false">INDEX(Summary!$N$2:$N$201,MATCH($B1498,Summary!$A$2:$A$201,0))</f>
        <v>9.72</v>
      </c>
      <c r="S1498" s="3" t="n">
        <f aca="false">INDEX(Summary!$O$2:$O$201,MATCH($B1498,Summary!$A$2:$A$201,0))</f>
        <v>7</v>
      </c>
      <c r="T1498" s="3" t="n">
        <f aca="false">INDEX(Summary!$P$2:$P$201,MATCH($B1498,Summary!$A$2:$A$201,0))</f>
        <v>2</v>
      </c>
      <c r="U1498" s="2" t="n">
        <f aca="false">INDEX(Summary!$Q$2:$Q$201,MATCH($B1498,Summary!$A$2:$A$201,0))</f>
        <v>12.18</v>
      </c>
      <c r="V1498" s="2" t="n">
        <f aca="false">INDEX(Summary!$R$2:$R$201,MATCH($B1498,Summary!$A$2:$A$201,0))</f>
        <v>26.24</v>
      </c>
      <c r="W1498" s="0" t="str">
        <f aca="false">INDEX(Summary!$S$2:$S$201,MATCH($B1498,Summary!$A$2:$A$201,0))</f>
        <v>Silver</v>
      </c>
      <c r="X1498" s="2" t="n">
        <f aca="false">INDEX(Summary!$T$2:$T$201,MATCH($B1498,Summary!$A$2:$A$201,0))</f>
        <v>64</v>
      </c>
      <c r="Y1498" s="0" t="str">
        <f aca="false">INDEX('Reward Model'!$E$18:$E$37,MATCH($E1498,'Reward Model'!$A$18:$A$37,0))</f>
        <v>High</v>
      </c>
      <c r="Z1498" s="4" t="n">
        <f aca="false">ROUND(MIN(1,MAX('Reward Model'!$B$2,INDEX('Reward Model'!$C$12:$C$14,MATCH($K1498,'Reward Model'!$A$12:$A$14,0))/$J1498)),3)</f>
        <v>0.877</v>
      </c>
      <c r="AA1498" s="2" t="n">
        <f aca="false">IF($I1498="Correct",ROUND(INDEX('Reward Model'!$B$12:$B$14,MATCH($K1498,'Reward Model'!$A$12:$A$14,0))*Z1498,2),0)</f>
        <v>0</v>
      </c>
      <c r="AB1498" s="2" t="n">
        <f aca="false">IF($I1498="Correct",ROUND(INDEX('Reward Model'!$B$12:$B$14,MATCH($Y1498,'Reward Model'!$A$12:$A$14,0))*Z1498,2),0)</f>
        <v>0</v>
      </c>
    </row>
    <row r="1499" customFormat="false" ht="15" hidden="false" customHeight="false" outlineLevel="0" collapsed="false">
      <c r="A1499" s="0" t="s">
        <v>278</v>
      </c>
      <c r="B1499" s="0" t="s">
        <v>279</v>
      </c>
      <c r="C1499" s="0" t="s">
        <v>30</v>
      </c>
      <c r="D1499" s="0" t="s">
        <v>275</v>
      </c>
      <c r="E1499" s="0" t="n">
        <v>18</v>
      </c>
      <c r="F1499" s="0" t="s">
        <v>76</v>
      </c>
      <c r="G1499" s="0" t="s">
        <v>77</v>
      </c>
      <c r="H1499" s="0" t="s">
        <v>77</v>
      </c>
      <c r="I1499" s="0" t="s">
        <v>34</v>
      </c>
      <c r="J1499" s="0" t="n">
        <v>1.59</v>
      </c>
      <c r="K1499" s="0" t="s">
        <v>73</v>
      </c>
      <c r="L1499" s="0" t="n">
        <f aca="false">INDEX(Summary!$F$2:$F$201,MATCH($B1499,Summary!$A$2:$A$201,0))</f>
        <v>20</v>
      </c>
      <c r="M1499" s="0" t="n">
        <f aca="false">INDEX(Summary!$I$2:$I$201,MATCH($B1499,Summary!$A$2:$A$201,0))</f>
        <v>2</v>
      </c>
      <c r="N1499" s="0" t="n">
        <f aca="false">INDEX(Summary!$J$2:$J$201,MATCH($B1499,Summary!$A$2:$A$201,0))</f>
        <v>3</v>
      </c>
      <c r="O1499" s="2" t="n">
        <f aca="false">INDEX(Summary!$K$2:$K$201,MATCH($B1499,Summary!$A$2:$A$201,0))</f>
        <v>8.92</v>
      </c>
      <c r="P1499" s="3" t="n">
        <f aca="false">INDEX(Summary!$L$2:$L$201,MATCH($B1499,Summary!$A$2:$A$201,0))</f>
        <v>5</v>
      </c>
      <c r="Q1499" s="3" t="n">
        <f aca="false">INDEX(Summary!$M$2:$M$201,MATCH($B1499,Summary!$A$2:$A$201,0))</f>
        <v>1</v>
      </c>
      <c r="R1499" s="2" t="n">
        <f aca="false">INDEX(Summary!$N$2:$N$201,MATCH($B1499,Summary!$A$2:$A$201,0))</f>
        <v>9.72</v>
      </c>
      <c r="S1499" s="3" t="n">
        <f aca="false">INDEX(Summary!$O$2:$O$201,MATCH($B1499,Summary!$A$2:$A$201,0))</f>
        <v>7</v>
      </c>
      <c r="T1499" s="3" t="n">
        <f aca="false">INDEX(Summary!$P$2:$P$201,MATCH($B1499,Summary!$A$2:$A$201,0))</f>
        <v>2</v>
      </c>
      <c r="U1499" s="2" t="n">
        <f aca="false">INDEX(Summary!$Q$2:$Q$201,MATCH($B1499,Summary!$A$2:$A$201,0))</f>
        <v>12.18</v>
      </c>
      <c r="V1499" s="2" t="n">
        <f aca="false">INDEX(Summary!$R$2:$R$201,MATCH($B1499,Summary!$A$2:$A$201,0))</f>
        <v>26.24</v>
      </c>
      <c r="W1499" s="0" t="str">
        <f aca="false">INDEX(Summary!$S$2:$S$201,MATCH($B1499,Summary!$A$2:$A$201,0))</f>
        <v>Silver</v>
      </c>
      <c r="X1499" s="2" t="n">
        <f aca="false">INDEX(Summary!$T$2:$T$201,MATCH($B1499,Summary!$A$2:$A$201,0))</f>
        <v>64</v>
      </c>
      <c r="Y1499" s="0" t="str">
        <f aca="false">INDEX('Reward Model'!$E$18:$E$37,MATCH($E1499,'Reward Model'!$A$18:$A$37,0))</f>
        <v>High</v>
      </c>
      <c r="Z1499" s="4" t="n">
        <f aca="false">ROUND(MIN(1,MAX('Reward Model'!$B$2,INDEX('Reward Model'!$C$12:$C$14,MATCH($K1499,'Reward Model'!$A$12:$A$14,0))/$J1499)),3)</f>
        <v>1</v>
      </c>
      <c r="AA1499" s="2" t="n">
        <f aca="false">IF($I1499="Correct",ROUND(INDEX('Reward Model'!$B$12:$B$14,MATCH($K1499,'Reward Model'!$A$12:$A$14,0))*Z1499,2),0)</f>
        <v>3</v>
      </c>
      <c r="AB1499" s="2" t="n">
        <f aca="false">IF($I1499="Correct",ROUND(INDEX('Reward Model'!$B$12:$B$14,MATCH($Y1499,'Reward Model'!$A$12:$A$14,0))*Z1499,2),0)</f>
        <v>3</v>
      </c>
    </row>
    <row r="1500" customFormat="false" ht="15" hidden="false" customHeight="false" outlineLevel="0" collapsed="false">
      <c r="A1500" s="0" t="s">
        <v>278</v>
      </c>
      <c r="B1500" s="0" t="s">
        <v>279</v>
      </c>
      <c r="C1500" s="0" t="s">
        <v>30</v>
      </c>
      <c r="D1500" s="0" t="s">
        <v>275</v>
      </c>
      <c r="E1500" s="0" t="n">
        <v>19</v>
      </c>
      <c r="F1500" s="0" t="s">
        <v>78</v>
      </c>
      <c r="G1500" s="0" t="s">
        <v>51</v>
      </c>
      <c r="H1500" s="0" t="s">
        <v>80</v>
      </c>
      <c r="I1500" s="0" t="s">
        <v>39</v>
      </c>
      <c r="J1500" s="0" t="n">
        <v>1.91</v>
      </c>
      <c r="K1500" s="0" t="s">
        <v>73</v>
      </c>
      <c r="L1500" s="0" t="n">
        <f aca="false">INDEX(Summary!$F$2:$F$201,MATCH($B1500,Summary!$A$2:$A$201,0))</f>
        <v>20</v>
      </c>
      <c r="M1500" s="0" t="n">
        <f aca="false">INDEX(Summary!$I$2:$I$201,MATCH($B1500,Summary!$A$2:$A$201,0))</f>
        <v>2</v>
      </c>
      <c r="N1500" s="0" t="n">
        <f aca="false">INDEX(Summary!$J$2:$J$201,MATCH($B1500,Summary!$A$2:$A$201,0))</f>
        <v>3</v>
      </c>
      <c r="O1500" s="2" t="n">
        <f aca="false">INDEX(Summary!$K$2:$K$201,MATCH($B1500,Summary!$A$2:$A$201,0))</f>
        <v>8.92</v>
      </c>
      <c r="P1500" s="3" t="n">
        <f aca="false">INDEX(Summary!$L$2:$L$201,MATCH($B1500,Summary!$A$2:$A$201,0))</f>
        <v>5</v>
      </c>
      <c r="Q1500" s="3" t="n">
        <f aca="false">INDEX(Summary!$M$2:$M$201,MATCH($B1500,Summary!$A$2:$A$201,0))</f>
        <v>1</v>
      </c>
      <c r="R1500" s="2" t="n">
        <f aca="false">INDEX(Summary!$N$2:$N$201,MATCH($B1500,Summary!$A$2:$A$201,0))</f>
        <v>9.72</v>
      </c>
      <c r="S1500" s="3" t="n">
        <f aca="false">INDEX(Summary!$O$2:$O$201,MATCH($B1500,Summary!$A$2:$A$201,0))</f>
        <v>7</v>
      </c>
      <c r="T1500" s="3" t="n">
        <f aca="false">INDEX(Summary!$P$2:$P$201,MATCH($B1500,Summary!$A$2:$A$201,0))</f>
        <v>2</v>
      </c>
      <c r="U1500" s="2" t="n">
        <f aca="false">INDEX(Summary!$Q$2:$Q$201,MATCH($B1500,Summary!$A$2:$A$201,0))</f>
        <v>12.18</v>
      </c>
      <c r="V1500" s="2" t="n">
        <f aca="false">INDEX(Summary!$R$2:$R$201,MATCH($B1500,Summary!$A$2:$A$201,0))</f>
        <v>26.24</v>
      </c>
      <c r="W1500" s="0" t="str">
        <f aca="false">INDEX(Summary!$S$2:$S$201,MATCH($B1500,Summary!$A$2:$A$201,0))</f>
        <v>Silver</v>
      </c>
      <c r="X1500" s="2" t="n">
        <f aca="false">INDEX(Summary!$T$2:$T$201,MATCH($B1500,Summary!$A$2:$A$201,0))</f>
        <v>64</v>
      </c>
      <c r="Y1500" s="0" t="str">
        <f aca="false">INDEX('Reward Model'!$E$18:$E$37,MATCH($E1500,'Reward Model'!$A$18:$A$37,0))</f>
        <v>High</v>
      </c>
      <c r="Z1500" s="4" t="n">
        <f aca="false">ROUND(MIN(1,MAX('Reward Model'!$B$2,INDEX('Reward Model'!$C$12:$C$14,MATCH($K1500,'Reward Model'!$A$12:$A$14,0))/$J1500)),3)</f>
        <v>1</v>
      </c>
      <c r="AA1500" s="2" t="n">
        <f aca="false">IF($I1500="Correct",ROUND(INDEX('Reward Model'!$B$12:$B$14,MATCH($K1500,'Reward Model'!$A$12:$A$14,0))*Z1500,2),0)</f>
        <v>0</v>
      </c>
      <c r="AB1500" s="2" t="n">
        <f aca="false">IF($I1500="Correct",ROUND(INDEX('Reward Model'!$B$12:$B$14,MATCH($Y1500,'Reward Model'!$A$12:$A$14,0))*Z1500,2),0)</f>
        <v>0</v>
      </c>
    </row>
    <row r="1501" customFormat="false" ht="15" hidden="false" customHeight="false" outlineLevel="0" collapsed="false">
      <c r="A1501" s="0" t="s">
        <v>278</v>
      </c>
      <c r="B1501" s="0" t="s">
        <v>279</v>
      </c>
      <c r="C1501" s="0" t="s">
        <v>30</v>
      </c>
      <c r="D1501" s="0" t="s">
        <v>275</v>
      </c>
      <c r="E1501" s="0" t="n">
        <v>20</v>
      </c>
      <c r="F1501" s="0" t="s">
        <v>81</v>
      </c>
      <c r="G1501" s="0" t="s">
        <v>119</v>
      </c>
      <c r="H1501" s="0" t="s">
        <v>83</v>
      </c>
      <c r="I1501" s="0" t="s">
        <v>39</v>
      </c>
      <c r="J1501" s="0" t="n">
        <v>1.24</v>
      </c>
      <c r="K1501" s="0" t="s">
        <v>73</v>
      </c>
      <c r="L1501" s="0" t="n">
        <f aca="false">INDEX(Summary!$F$2:$F$201,MATCH($B1501,Summary!$A$2:$A$201,0))</f>
        <v>20</v>
      </c>
      <c r="M1501" s="0" t="n">
        <f aca="false">INDEX(Summary!$I$2:$I$201,MATCH($B1501,Summary!$A$2:$A$201,0))</f>
        <v>2</v>
      </c>
      <c r="N1501" s="0" t="n">
        <f aca="false">INDEX(Summary!$J$2:$J$201,MATCH($B1501,Summary!$A$2:$A$201,0))</f>
        <v>3</v>
      </c>
      <c r="O1501" s="2" t="n">
        <f aca="false">INDEX(Summary!$K$2:$K$201,MATCH($B1501,Summary!$A$2:$A$201,0))</f>
        <v>8.92</v>
      </c>
      <c r="P1501" s="3" t="n">
        <f aca="false">INDEX(Summary!$L$2:$L$201,MATCH($B1501,Summary!$A$2:$A$201,0))</f>
        <v>5</v>
      </c>
      <c r="Q1501" s="3" t="n">
        <f aca="false">INDEX(Summary!$M$2:$M$201,MATCH($B1501,Summary!$A$2:$A$201,0))</f>
        <v>1</v>
      </c>
      <c r="R1501" s="2" t="n">
        <f aca="false">INDEX(Summary!$N$2:$N$201,MATCH($B1501,Summary!$A$2:$A$201,0))</f>
        <v>9.72</v>
      </c>
      <c r="S1501" s="3" t="n">
        <f aca="false">INDEX(Summary!$O$2:$O$201,MATCH($B1501,Summary!$A$2:$A$201,0))</f>
        <v>7</v>
      </c>
      <c r="T1501" s="3" t="n">
        <f aca="false">INDEX(Summary!$P$2:$P$201,MATCH($B1501,Summary!$A$2:$A$201,0))</f>
        <v>2</v>
      </c>
      <c r="U1501" s="2" t="n">
        <f aca="false">INDEX(Summary!$Q$2:$Q$201,MATCH($B1501,Summary!$A$2:$A$201,0))</f>
        <v>12.18</v>
      </c>
      <c r="V1501" s="2" t="n">
        <f aca="false">INDEX(Summary!$R$2:$R$201,MATCH($B1501,Summary!$A$2:$A$201,0))</f>
        <v>26.24</v>
      </c>
      <c r="W1501" s="0" t="str">
        <f aca="false">INDEX(Summary!$S$2:$S$201,MATCH($B1501,Summary!$A$2:$A$201,0))</f>
        <v>Silver</v>
      </c>
      <c r="X1501" s="2" t="n">
        <f aca="false">INDEX(Summary!$T$2:$T$201,MATCH($B1501,Summary!$A$2:$A$201,0))</f>
        <v>64</v>
      </c>
      <c r="Y1501" s="0" t="str">
        <f aca="false">INDEX('Reward Model'!$E$18:$E$37,MATCH($E1501,'Reward Model'!$A$18:$A$37,0))</f>
        <v>High</v>
      </c>
      <c r="Z1501" s="4" t="n">
        <f aca="false">ROUND(MIN(1,MAX('Reward Model'!$B$2,INDEX('Reward Model'!$C$12:$C$14,MATCH($K1501,'Reward Model'!$A$12:$A$14,0))/$J1501)),3)</f>
        <v>1</v>
      </c>
      <c r="AA1501" s="2" t="n">
        <f aca="false">IF($I1501="Correct",ROUND(INDEX('Reward Model'!$B$12:$B$14,MATCH($K1501,'Reward Model'!$A$12:$A$14,0))*Z1501,2),0)</f>
        <v>0</v>
      </c>
      <c r="AB1501" s="2" t="n">
        <f aca="false">IF($I1501="Correct",ROUND(INDEX('Reward Model'!$B$12:$B$14,MATCH($Y1501,'Reward Model'!$A$12:$A$14,0))*Z1501,2),0)</f>
        <v>0</v>
      </c>
    </row>
    <row r="1502" customFormat="false" ht="15" hidden="false" customHeight="false" outlineLevel="0" collapsed="false">
      <c r="A1502" s="0" t="s">
        <v>280</v>
      </c>
      <c r="B1502" s="0" t="s">
        <v>281</v>
      </c>
      <c r="C1502" s="0" t="s">
        <v>30</v>
      </c>
      <c r="D1502" s="0" t="s">
        <v>275</v>
      </c>
      <c r="E1502" s="0" t="n">
        <v>1</v>
      </c>
      <c r="F1502" s="0" t="s">
        <v>32</v>
      </c>
      <c r="G1502" s="0" t="s">
        <v>33</v>
      </c>
      <c r="H1502" s="0" t="s">
        <v>33</v>
      </c>
      <c r="I1502" s="0" t="s">
        <v>34</v>
      </c>
      <c r="J1502" s="0" t="n">
        <v>1.84</v>
      </c>
      <c r="K1502" s="0" t="s">
        <v>35</v>
      </c>
      <c r="L1502" s="0" t="n">
        <f aca="false">INDEX(Summary!$F$2:$F$201,MATCH($B1502,Summary!$A$2:$A$201,0))</f>
        <v>20</v>
      </c>
      <c r="M1502" s="0" t="n">
        <f aca="false">INDEX(Summary!$I$2:$I$201,MATCH($B1502,Summary!$A$2:$A$201,0))</f>
        <v>2</v>
      </c>
      <c r="N1502" s="0" t="n">
        <f aca="false">INDEX(Summary!$J$2:$J$201,MATCH($B1502,Summary!$A$2:$A$201,0))</f>
        <v>3</v>
      </c>
      <c r="O1502" s="2" t="n">
        <f aca="false">INDEX(Summary!$K$2:$K$201,MATCH($B1502,Summary!$A$2:$A$201,0))</f>
        <v>9.73</v>
      </c>
      <c r="P1502" s="3" t="n">
        <f aca="false">INDEX(Summary!$L$2:$L$201,MATCH($B1502,Summary!$A$2:$A$201,0))</f>
        <v>4</v>
      </c>
      <c r="Q1502" s="3" t="n">
        <f aca="false">INDEX(Summary!$M$2:$M$201,MATCH($B1502,Summary!$A$2:$A$201,0))</f>
        <v>2</v>
      </c>
      <c r="R1502" s="2" t="n">
        <f aca="false">INDEX(Summary!$N$2:$N$201,MATCH($B1502,Summary!$A$2:$A$201,0))</f>
        <v>9.21</v>
      </c>
      <c r="S1502" s="3" t="n">
        <f aca="false">INDEX(Summary!$O$2:$O$201,MATCH($B1502,Summary!$A$2:$A$201,0))</f>
        <v>8</v>
      </c>
      <c r="T1502" s="3" t="n">
        <f aca="false">INDEX(Summary!$P$2:$P$201,MATCH($B1502,Summary!$A$2:$A$201,0))</f>
        <v>1</v>
      </c>
      <c r="U1502" s="2" t="n">
        <f aca="false">INDEX(Summary!$Q$2:$Q$201,MATCH($B1502,Summary!$A$2:$A$201,0))</f>
        <v>14.79</v>
      </c>
      <c r="V1502" s="2" t="n">
        <f aca="false">INDEX(Summary!$R$2:$R$201,MATCH($B1502,Summary!$A$2:$A$201,0))</f>
        <v>24.66</v>
      </c>
      <c r="W1502" s="0" t="str">
        <f aca="false">INDEX(Summary!$S$2:$S$201,MATCH($B1502,Summary!$A$2:$A$201,0))</f>
        <v>Silver</v>
      </c>
      <c r="X1502" s="2" t="n">
        <f aca="false">INDEX(Summary!$T$2:$T$201,MATCH($B1502,Summary!$A$2:$A$201,0))</f>
        <v>60.15</v>
      </c>
      <c r="Y1502" s="0" t="str">
        <f aca="false">INDEX('Reward Model'!$E$18:$E$37,MATCH($E1502,'Reward Model'!$A$18:$A$37,0))</f>
        <v>Medium</v>
      </c>
      <c r="Z1502" s="4" t="n">
        <f aca="false">ROUND(MIN(1,MAX('Reward Model'!$B$2,INDEX('Reward Model'!$C$12:$C$14,MATCH($K1502,'Reward Model'!$A$12:$A$14,0))/$J1502)),3)</f>
        <v>0.815</v>
      </c>
      <c r="AA1502" s="2" t="n">
        <f aca="false">IF($I1502="Correct",ROUND(INDEX('Reward Model'!$B$12:$B$14,MATCH($K1502,'Reward Model'!$A$12:$A$14,0))*Z1502,2),0)</f>
        <v>0.82</v>
      </c>
      <c r="AB1502" s="2" t="n">
        <f aca="false">IF($I1502="Correct",ROUND(INDEX('Reward Model'!$B$12:$B$14,MATCH($Y1502,'Reward Model'!$A$12:$A$14,0))*Z1502,2),0)</f>
        <v>1.63</v>
      </c>
    </row>
    <row r="1503" customFormat="false" ht="15" hidden="false" customHeight="false" outlineLevel="0" collapsed="false">
      <c r="A1503" s="0" t="s">
        <v>280</v>
      </c>
      <c r="B1503" s="0" t="s">
        <v>281</v>
      </c>
      <c r="C1503" s="0" t="s">
        <v>30</v>
      </c>
      <c r="D1503" s="0" t="s">
        <v>275</v>
      </c>
      <c r="E1503" s="0" t="n">
        <v>2</v>
      </c>
      <c r="F1503" s="0" t="s">
        <v>36</v>
      </c>
      <c r="G1503" s="0" t="s">
        <v>38</v>
      </c>
      <c r="H1503" s="0" t="s">
        <v>38</v>
      </c>
      <c r="I1503" s="0" t="s">
        <v>34</v>
      </c>
      <c r="J1503" s="0" t="n">
        <v>1.82</v>
      </c>
      <c r="K1503" s="0" t="s">
        <v>35</v>
      </c>
      <c r="L1503" s="0" t="n">
        <f aca="false">INDEX(Summary!$F$2:$F$201,MATCH($B1503,Summary!$A$2:$A$201,0))</f>
        <v>20</v>
      </c>
      <c r="M1503" s="0" t="n">
        <f aca="false">INDEX(Summary!$I$2:$I$201,MATCH($B1503,Summary!$A$2:$A$201,0))</f>
        <v>2</v>
      </c>
      <c r="N1503" s="0" t="n">
        <f aca="false">INDEX(Summary!$J$2:$J$201,MATCH($B1503,Summary!$A$2:$A$201,0))</f>
        <v>3</v>
      </c>
      <c r="O1503" s="2" t="n">
        <f aca="false">INDEX(Summary!$K$2:$K$201,MATCH($B1503,Summary!$A$2:$A$201,0))</f>
        <v>9.73</v>
      </c>
      <c r="P1503" s="3" t="n">
        <f aca="false">INDEX(Summary!$L$2:$L$201,MATCH($B1503,Summary!$A$2:$A$201,0))</f>
        <v>4</v>
      </c>
      <c r="Q1503" s="3" t="n">
        <f aca="false">INDEX(Summary!$M$2:$M$201,MATCH($B1503,Summary!$A$2:$A$201,0))</f>
        <v>2</v>
      </c>
      <c r="R1503" s="2" t="n">
        <f aca="false">INDEX(Summary!$N$2:$N$201,MATCH($B1503,Summary!$A$2:$A$201,0))</f>
        <v>9.21</v>
      </c>
      <c r="S1503" s="3" t="n">
        <f aca="false">INDEX(Summary!$O$2:$O$201,MATCH($B1503,Summary!$A$2:$A$201,0))</f>
        <v>8</v>
      </c>
      <c r="T1503" s="3" t="n">
        <f aca="false">INDEX(Summary!$P$2:$P$201,MATCH($B1503,Summary!$A$2:$A$201,0))</f>
        <v>1</v>
      </c>
      <c r="U1503" s="2" t="n">
        <f aca="false">INDEX(Summary!$Q$2:$Q$201,MATCH($B1503,Summary!$A$2:$A$201,0))</f>
        <v>14.79</v>
      </c>
      <c r="V1503" s="2" t="n">
        <f aca="false">INDEX(Summary!$R$2:$R$201,MATCH($B1503,Summary!$A$2:$A$201,0))</f>
        <v>24.66</v>
      </c>
      <c r="W1503" s="0" t="str">
        <f aca="false">INDEX(Summary!$S$2:$S$201,MATCH($B1503,Summary!$A$2:$A$201,0))</f>
        <v>Silver</v>
      </c>
      <c r="X1503" s="2" t="n">
        <f aca="false">INDEX(Summary!$T$2:$T$201,MATCH($B1503,Summary!$A$2:$A$201,0))</f>
        <v>60.15</v>
      </c>
      <c r="Y1503" s="0" t="str">
        <f aca="false">INDEX('Reward Model'!$E$18:$E$37,MATCH($E1503,'Reward Model'!$A$18:$A$37,0))</f>
        <v>Low</v>
      </c>
      <c r="Z1503" s="4" t="n">
        <f aca="false">ROUND(MIN(1,MAX('Reward Model'!$B$2,INDEX('Reward Model'!$C$12:$C$14,MATCH($K1503,'Reward Model'!$A$12:$A$14,0))/$J1503)),3)</f>
        <v>0.824</v>
      </c>
      <c r="AA1503" s="2" t="n">
        <f aca="false">IF($I1503="Correct",ROUND(INDEX('Reward Model'!$B$12:$B$14,MATCH($K1503,'Reward Model'!$A$12:$A$14,0))*Z1503,2),0)</f>
        <v>0.82</v>
      </c>
      <c r="AB1503" s="2" t="n">
        <f aca="false">IF($I1503="Correct",ROUND(INDEX('Reward Model'!$B$12:$B$14,MATCH($Y1503,'Reward Model'!$A$12:$A$14,0))*Z1503,2),0)</f>
        <v>0.82</v>
      </c>
    </row>
    <row r="1504" customFormat="false" ht="15" hidden="false" customHeight="false" outlineLevel="0" collapsed="false">
      <c r="A1504" s="0" t="s">
        <v>280</v>
      </c>
      <c r="B1504" s="0" t="s">
        <v>281</v>
      </c>
      <c r="C1504" s="0" t="s">
        <v>30</v>
      </c>
      <c r="D1504" s="0" t="s">
        <v>275</v>
      </c>
      <c r="E1504" s="0" t="n">
        <v>3</v>
      </c>
      <c r="F1504" s="0" t="s">
        <v>40</v>
      </c>
      <c r="G1504" s="0" t="s">
        <v>42</v>
      </c>
      <c r="H1504" s="0" t="s">
        <v>42</v>
      </c>
      <c r="I1504" s="0" t="s">
        <v>34</v>
      </c>
      <c r="J1504" s="0" t="n">
        <v>1.44</v>
      </c>
      <c r="K1504" s="0" t="s">
        <v>35</v>
      </c>
      <c r="L1504" s="0" t="n">
        <f aca="false">INDEX(Summary!$F$2:$F$201,MATCH($B1504,Summary!$A$2:$A$201,0))</f>
        <v>20</v>
      </c>
      <c r="M1504" s="0" t="n">
        <f aca="false">INDEX(Summary!$I$2:$I$201,MATCH($B1504,Summary!$A$2:$A$201,0))</f>
        <v>2</v>
      </c>
      <c r="N1504" s="0" t="n">
        <f aca="false">INDEX(Summary!$J$2:$J$201,MATCH($B1504,Summary!$A$2:$A$201,0))</f>
        <v>3</v>
      </c>
      <c r="O1504" s="2" t="n">
        <f aca="false">INDEX(Summary!$K$2:$K$201,MATCH($B1504,Summary!$A$2:$A$201,0))</f>
        <v>9.73</v>
      </c>
      <c r="P1504" s="3" t="n">
        <f aca="false">INDEX(Summary!$L$2:$L$201,MATCH($B1504,Summary!$A$2:$A$201,0))</f>
        <v>4</v>
      </c>
      <c r="Q1504" s="3" t="n">
        <f aca="false">INDEX(Summary!$M$2:$M$201,MATCH($B1504,Summary!$A$2:$A$201,0))</f>
        <v>2</v>
      </c>
      <c r="R1504" s="2" t="n">
        <f aca="false">INDEX(Summary!$N$2:$N$201,MATCH($B1504,Summary!$A$2:$A$201,0))</f>
        <v>9.21</v>
      </c>
      <c r="S1504" s="3" t="n">
        <f aca="false">INDEX(Summary!$O$2:$O$201,MATCH($B1504,Summary!$A$2:$A$201,0))</f>
        <v>8</v>
      </c>
      <c r="T1504" s="3" t="n">
        <f aca="false">INDEX(Summary!$P$2:$P$201,MATCH($B1504,Summary!$A$2:$A$201,0))</f>
        <v>1</v>
      </c>
      <c r="U1504" s="2" t="n">
        <f aca="false">INDEX(Summary!$Q$2:$Q$201,MATCH($B1504,Summary!$A$2:$A$201,0))</f>
        <v>14.79</v>
      </c>
      <c r="V1504" s="2" t="n">
        <f aca="false">INDEX(Summary!$R$2:$R$201,MATCH($B1504,Summary!$A$2:$A$201,0))</f>
        <v>24.66</v>
      </c>
      <c r="W1504" s="0" t="str">
        <f aca="false">INDEX(Summary!$S$2:$S$201,MATCH($B1504,Summary!$A$2:$A$201,0))</f>
        <v>Silver</v>
      </c>
      <c r="X1504" s="2" t="n">
        <f aca="false">INDEX(Summary!$T$2:$T$201,MATCH($B1504,Summary!$A$2:$A$201,0))</f>
        <v>60.15</v>
      </c>
      <c r="Y1504" s="0" t="str">
        <f aca="false">INDEX('Reward Model'!$E$18:$E$37,MATCH($E1504,'Reward Model'!$A$18:$A$37,0))</f>
        <v>Medium</v>
      </c>
      <c r="Z1504" s="4" t="n">
        <f aca="false">ROUND(MIN(1,MAX('Reward Model'!$B$2,INDEX('Reward Model'!$C$12:$C$14,MATCH($K1504,'Reward Model'!$A$12:$A$14,0))/$J1504)),3)</f>
        <v>1</v>
      </c>
      <c r="AA1504" s="2" t="n">
        <f aca="false">IF($I1504="Correct",ROUND(INDEX('Reward Model'!$B$12:$B$14,MATCH($K1504,'Reward Model'!$A$12:$A$14,0))*Z1504,2),0)</f>
        <v>1</v>
      </c>
      <c r="AB1504" s="2" t="n">
        <f aca="false">IF($I1504="Correct",ROUND(INDEX('Reward Model'!$B$12:$B$14,MATCH($Y1504,'Reward Model'!$A$12:$A$14,0))*Z1504,2),0)</f>
        <v>2</v>
      </c>
    </row>
    <row r="1505" customFormat="false" ht="15" hidden="false" customHeight="false" outlineLevel="0" collapsed="false">
      <c r="A1505" s="0" t="s">
        <v>280</v>
      </c>
      <c r="B1505" s="0" t="s">
        <v>281</v>
      </c>
      <c r="C1505" s="0" t="s">
        <v>30</v>
      </c>
      <c r="D1505" s="0" t="s">
        <v>275</v>
      </c>
      <c r="E1505" s="0" t="n">
        <v>4</v>
      </c>
      <c r="F1505" s="0" t="s">
        <v>43</v>
      </c>
      <c r="G1505" s="0" t="s">
        <v>45</v>
      </c>
      <c r="H1505" s="0" t="s">
        <v>45</v>
      </c>
      <c r="I1505" s="0" t="s">
        <v>34</v>
      </c>
      <c r="J1505" s="0" t="n">
        <v>1.99</v>
      </c>
      <c r="K1505" s="0" t="s">
        <v>35</v>
      </c>
      <c r="L1505" s="0" t="n">
        <f aca="false">INDEX(Summary!$F$2:$F$201,MATCH($B1505,Summary!$A$2:$A$201,0))</f>
        <v>20</v>
      </c>
      <c r="M1505" s="0" t="n">
        <f aca="false">INDEX(Summary!$I$2:$I$201,MATCH($B1505,Summary!$A$2:$A$201,0))</f>
        <v>2</v>
      </c>
      <c r="N1505" s="0" t="n">
        <f aca="false">INDEX(Summary!$J$2:$J$201,MATCH($B1505,Summary!$A$2:$A$201,0))</f>
        <v>3</v>
      </c>
      <c r="O1505" s="2" t="n">
        <f aca="false">INDEX(Summary!$K$2:$K$201,MATCH($B1505,Summary!$A$2:$A$201,0))</f>
        <v>9.73</v>
      </c>
      <c r="P1505" s="3" t="n">
        <f aca="false">INDEX(Summary!$L$2:$L$201,MATCH($B1505,Summary!$A$2:$A$201,0))</f>
        <v>4</v>
      </c>
      <c r="Q1505" s="3" t="n">
        <f aca="false">INDEX(Summary!$M$2:$M$201,MATCH($B1505,Summary!$A$2:$A$201,0))</f>
        <v>2</v>
      </c>
      <c r="R1505" s="2" t="n">
        <f aca="false">INDEX(Summary!$N$2:$N$201,MATCH($B1505,Summary!$A$2:$A$201,0))</f>
        <v>9.21</v>
      </c>
      <c r="S1505" s="3" t="n">
        <f aca="false">INDEX(Summary!$O$2:$O$201,MATCH($B1505,Summary!$A$2:$A$201,0))</f>
        <v>8</v>
      </c>
      <c r="T1505" s="3" t="n">
        <f aca="false">INDEX(Summary!$P$2:$P$201,MATCH($B1505,Summary!$A$2:$A$201,0))</f>
        <v>1</v>
      </c>
      <c r="U1505" s="2" t="n">
        <f aca="false">INDEX(Summary!$Q$2:$Q$201,MATCH($B1505,Summary!$A$2:$A$201,0))</f>
        <v>14.79</v>
      </c>
      <c r="V1505" s="2" t="n">
        <f aca="false">INDEX(Summary!$R$2:$R$201,MATCH($B1505,Summary!$A$2:$A$201,0))</f>
        <v>24.66</v>
      </c>
      <c r="W1505" s="0" t="str">
        <f aca="false">INDEX(Summary!$S$2:$S$201,MATCH($B1505,Summary!$A$2:$A$201,0))</f>
        <v>Silver</v>
      </c>
      <c r="X1505" s="2" t="n">
        <f aca="false">INDEX(Summary!$T$2:$T$201,MATCH($B1505,Summary!$A$2:$A$201,0))</f>
        <v>60.15</v>
      </c>
      <c r="Y1505" s="0" t="str">
        <f aca="false">INDEX('Reward Model'!$E$18:$E$37,MATCH($E1505,'Reward Model'!$A$18:$A$37,0))</f>
        <v>Low</v>
      </c>
      <c r="Z1505" s="4" t="n">
        <f aca="false">ROUND(MIN(1,MAX('Reward Model'!$B$2,INDEX('Reward Model'!$C$12:$C$14,MATCH($K1505,'Reward Model'!$A$12:$A$14,0))/$J1505)),3)</f>
        <v>0.754</v>
      </c>
      <c r="AA1505" s="2" t="n">
        <f aca="false">IF($I1505="Correct",ROUND(INDEX('Reward Model'!$B$12:$B$14,MATCH($K1505,'Reward Model'!$A$12:$A$14,0))*Z1505,2),0)</f>
        <v>0.75</v>
      </c>
      <c r="AB1505" s="2" t="n">
        <f aca="false">IF($I1505="Correct",ROUND(INDEX('Reward Model'!$B$12:$B$14,MATCH($Y1505,'Reward Model'!$A$12:$A$14,0))*Z1505,2),0)</f>
        <v>0.75</v>
      </c>
    </row>
    <row r="1506" customFormat="false" ht="15" hidden="false" customHeight="false" outlineLevel="0" collapsed="false">
      <c r="A1506" s="0" t="s">
        <v>280</v>
      </c>
      <c r="B1506" s="0" t="s">
        <v>281</v>
      </c>
      <c r="C1506" s="0" t="s">
        <v>30</v>
      </c>
      <c r="D1506" s="0" t="s">
        <v>275</v>
      </c>
      <c r="E1506" s="0" t="n">
        <v>5</v>
      </c>
      <c r="F1506" s="0" t="s">
        <v>46</v>
      </c>
      <c r="G1506" s="0" t="s">
        <v>98</v>
      </c>
      <c r="H1506" s="0" t="s">
        <v>47</v>
      </c>
      <c r="I1506" s="0" t="s">
        <v>39</v>
      </c>
      <c r="J1506" s="0" t="n">
        <v>1.92</v>
      </c>
      <c r="K1506" s="0" t="s">
        <v>35</v>
      </c>
      <c r="L1506" s="0" t="n">
        <f aca="false">INDEX(Summary!$F$2:$F$201,MATCH($B1506,Summary!$A$2:$A$201,0))</f>
        <v>20</v>
      </c>
      <c r="M1506" s="0" t="n">
        <f aca="false">INDEX(Summary!$I$2:$I$201,MATCH($B1506,Summary!$A$2:$A$201,0))</f>
        <v>2</v>
      </c>
      <c r="N1506" s="0" t="n">
        <f aca="false">INDEX(Summary!$J$2:$J$201,MATCH($B1506,Summary!$A$2:$A$201,0))</f>
        <v>3</v>
      </c>
      <c r="O1506" s="2" t="n">
        <f aca="false">INDEX(Summary!$K$2:$K$201,MATCH($B1506,Summary!$A$2:$A$201,0))</f>
        <v>9.73</v>
      </c>
      <c r="P1506" s="3" t="n">
        <f aca="false">INDEX(Summary!$L$2:$L$201,MATCH($B1506,Summary!$A$2:$A$201,0))</f>
        <v>4</v>
      </c>
      <c r="Q1506" s="3" t="n">
        <f aca="false">INDEX(Summary!$M$2:$M$201,MATCH($B1506,Summary!$A$2:$A$201,0))</f>
        <v>2</v>
      </c>
      <c r="R1506" s="2" t="n">
        <f aca="false">INDEX(Summary!$N$2:$N$201,MATCH($B1506,Summary!$A$2:$A$201,0))</f>
        <v>9.21</v>
      </c>
      <c r="S1506" s="3" t="n">
        <f aca="false">INDEX(Summary!$O$2:$O$201,MATCH($B1506,Summary!$A$2:$A$201,0))</f>
        <v>8</v>
      </c>
      <c r="T1506" s="3" t="n">
        <f aca="false">INDEX(Summary!$P$2:$P$201,MATCH($B1506,Summary!$A$2:$A$201,0))</f>
        <v>1</v>
      </c>
      <c r="U1506" s="2" t="n">
        <f aca="false">INDEX(Summary!$Q$2:$Q$201,MATCH($B1506,Summary!$A$2:$A$201,0))</f>
        <v>14.79</v>
      </c>
      <c r="V1506" s="2" t="n">
        <f aca="false">INDEX(Summary!$R$2:$R$201,MATCH($B1506,Summary!$A$2:$A$201,0))</f>
        <v>24.66</v>
      </c>
      <c r="W1506" s="0" t="str">
        <f aca="false">INDEX(Summary!$S$2:$S$201,MATCH($B1506,Summary!$A$2:$A$201,0))</f>
        <v>Silver</v>
      </c>
      <c r="X1506" s="2" t="n">
        <f aca="false">INDEX(Summary!$T$2:$T$201,MATCH($B1506,Summary!$A$2:$A$201,0))</f>
        <v>60.15</v>
      </c>
      <c r="Y1506" s="0" t="str">
        <f aca="false">INDEX('Reward Model'!$E$18:$E$37,MATCH($E1506,'Reward Model'!$A$18:$A$37,0))</f>
        <v>Low</v>
      </c>
      <c r="Z1506" s="4" t="n">
        <f aca="false">ROUND(MIN(1,MAX('Reward Model'!$B$2,INDEX('Reward Model'!$C$12:$C$14,MATCH($K1506,'Reward Model'!$A$12:$A$14,0))/$J1506)),3)</f>
        <v>0.781</v>
      </c>
      <c r="AA1506" s="2" t="n">
        <f aca="false">IF($I1506="Correct",ROUND(INDEX('Reward Model'!$B$12:$B$14,MATCH($K1506,'Reward Model'!$A$12:$A$14,0))*Z1506,2),0)</f>
        <v>0</v>
      </c>
      <c r="AB1506" s="2" t="n">
        <f aca="false">IF($I1506="Correct",ROUND(INDEX('Reward Model'!$B$12:$B$14,MATCH($Y1506,'Reward Model'!$A$12:$A$14,0))*Z1506,2),0)</f>
        <v>0</v>
      </c>
    </row>
    <row r="1507" customFormat="false" ht="15" hidden="false" customHeight="false" outlineLevel="0" collapsed="false">
      <c r="A1507" s="0" t="s">
        <v>280</v>
      </c>
      <c r="B1507" s="0" t="s">
        <v>281</v>
      </c>
      <c r="C1507" s="0" t="s">
        <v>30</v>
      </c>
      <c r="D1507" s="0" t="s">
        <v>275</v>
      </c>
      <c r="E1507" s="0" t="n">
        <v>6</v>
      </c>
      <c r="F1507" s="0" t="s">
        <v>48</v>
      </c>
      <c r="G1507" s="0" t="s">
        <v>49</v>
      </c>
      <c r="H1507" s="0" t="s">
        <v>49</v>
      </c>
      <c r="I1507" s="0" t="s">
        <v>34</v>
      </c>
      <c r="J1507" s="0" t="n">
        <v>1.81</v>
      </c>
      <c r="K1507" s="0" t="s">
        <v>35</v>
      </c>
      <c r="L1507" s="0" t="n">
        <f aca="false">INDEX(Summary!$F$2:$F$201,MATCH($B1507,Summary!$A$2:$A$201,0))</f>
        <v>20</v>
      </c>
      <c r="M1507" s="0" t="n">
        <f aca="false">INDEX(Summary!$I$2:$I$201,MATCH($B1507,Summary!$A$2:$A$201,0))</f>
        <v>2</v>
      </c>
      <c r="N1507" s="0" t="n">
        <f aca="false">INDEX(Summary!$J$2:$J$201,MATCH($B1507,Summary!$A$2:$A$201,0))</f>
        <v>3</v>
      </c>
      <c r="O1507" s="2" t="n">
        <f aca="false">INDEX(Summary!$K$2:$K$201,MATCH($B1507,Summary!$A$2:$A$201,0))</f>
        <v>9.73</v>
      </c>
      <c r="P1507" s="3" t="n">
        <f aca="false">INDEX(Summary!$L$2:$L$201,MATCH($B1507,Summary!$A$2:$A$201,0))</f>
        <v>4</v>
      </c>
      <c r="Q1507" s="3" t="n">
        <f aca="false">INDEX(Summary!$M$2:$M$201,MATCH($B1507,Summary!$A$2:$A$201,0))</f>
        <v>2</v>
      </c>
      <c r="R1507" s="2" t="n">
        <f aca="false">INDEX(Summary!$N$2:$N$201,MATCH($B1507,Summary!$A$2:$A$201,0))</f>
        <v>9.21</v>
      </c>
      <c r="S1507" s="3" t="n">
        <f aca="false">INDEX(Summary!$O$2:$O$201,MATCH($B1507,Summary!$A$2:$A$201,0))</f>
        <v>8</v>
      </c>
      <c r="T1507" s="3" t="n">
        <f aca="false">INDEX(Summary!$P$2:$P$201,MATCH($B1507,Summary!$A$2:$A$201,0))</f>
        <v>1</v>
      </c>
      <c r="U1507" s="2" t="n">
        <f aca="false">INDEX(Summary!$Q$2:$Q$201,MATCH($B1507,Summary!$A$2:$A$201,0))</f>
        <v>14.79</v>
      </c>
      <c r="V1507" s="2" t="n">
        <f aca="false">INDEX(Summary!$R$2:$R$201,MATCH($B1507,Summary!$A$2:$A$201,0))</f>
        <v>24.66</v>
      </c>
      <c r="W1507" s="0" t="str">
        <f aca="false">INDEX(Summary!$S$2:$S$201,MATCH($B1507,Summary!$A$2:$A$201,0))</f>
        <v>Silver</v>
      </c>
      <c r="X1507" s="2" t="n">
        <f aca="false">INDEX(Summary!$T$2:$T$201,MATCH($B1507,Summary!$A$2:$A$201,0))</f>
        <v>60.15</v>
      </c>
      <c r="Y1507" s="0" t="str">
        <f aca="false">INDEX('Reward Model'!$E$18:$E$37,MATCH($E1507,'Reward Model'!$A$18:$A$37,0))</f>
        <v>Medium</v>
      </c>
      <c r="Z1507" s="4" t="n">
        <f aca="false">ROUND(MIN(1,MAX('Reward Model'!$B$2,INDEX('Reward Model'!$C$12:$C$14,MATCH($K1507,'Reward Model'!$A$12:$A$14,0))/$J1507)),3)</f>
        <v>0.829</v>
      </c>
      <c r="AA1507" s="2" t="n">
        <f aca="false">IF($I1507="Correct",ROUND(INDEX('Reward Model'!$B$12:$B$14,MATCH($K1507,'Reward Model'!$A$12:$A$14,0))*Z1507,2),0)</f>
        <v>0.83</v>
      </c>
      <c r="AB1507" s="2" t="n">
        <f aca="false">IF($I1507="Correct",ROUND(INDEX('Reward Model'!$B$12:$B$14,MATCH($Y1507,'Reward Model'!$A$12:$A$14,0))*Z1507,2),0)</f>
        <v>1.66</v>
      </c>
    </row>
    <row r="1508" customFormat="false" ht="15" hidden="false" customHeight="false" outlineLevel="0" collapsed="false">
      <c r="A1508" s="0" t="s">
        <v>280</v>
      </c>
      <c r="B1508" s="0" t="s">
        <v>281</v>
      </c>
      <c r="C1508" s="0" t="s">
        <v>30</v>
      </c>
      <c r="D1508" s="0" t="s">
        <v>275</v>
      </c>
      <c r="E1508" s="0" t="n">
        <v>7</v>
      </c>
      <c r="F1508" s="0" t="s">
        <v>50</v>
      </c>
      <c r="G1508" s="0" t="s">
        <v>51</v>
      </c>
      <c r="H1508" s="0" t="s">
        <v>51</v>
      </c>
      <c r="I1508" s="0" t="s">
        <v>34</v>
      </c>
      <c r="J1508" s="0" t="n">
        <v>1.63</v>
      </c>
      <c r="K1508" s="0" t="s">
        <v>35</v>
      </c>
      <c r="L1508" s="0" t="n">
        <f aca="false">INDEX(Summary!$F$2:$F$201,MATCH($B1508,Summary!$A$2:$A$201,0))</f>
        <v>20</v>
      </c>
      <c r="M1508" s="0" t="n">
        <f aca="false">INDEX(Summary!$I$2:$I$201,MATCH($B1508,Summary!$A$2:$A$201,0))</f>
        <v>2</v>
      </c>
      <c r="N1508" s="0" t="n">
        <f aca="false">INDEX(Summary!$J$2:$J$201,MATCH($B1508,Summary!$A$2:$A$201,0))</f>
        <v>3</v>
      </c>
      <c r="O1508" s="2" t="n">
        <f aca="false">INDEX(Summary!$K$2:$K$201,MATCH($B1508,Summary!$A$2:$A$201,0))</f>
        <v>9.73</v>
      </c>
      <c r="P1508" s="3" t="n">
        <f aca="false">INDEX(Summary!$L$2:$L$201,MATCH($B1508,Summary!$A$2:$A$201,0))</f>
        <v>4</v>
      </c>
      <c r="Q1508" s="3" t="n">
        <f aca="false">INDEX(Summary!$M$2:$M$201,MATCH($B1508,Summary!$A$2:$A$201,0))</f>
        <v>2</v>
      </c>
      <c r="R1508" s="2" t="n">
        <f aca="false">INDEX(Summary!$N$2:$N$201,MATCH($B1508,Summary!$A$2:$A$201,0))</f>
        <v>9.21</v>
      </c>
      <c r="S1508" s="3" t="n">
        <f aca="false">INDEX(Summary!$O$2:$O$201,MATCH($B1508,Summary!$A$2:$A$201,0))</f>
        <v>8</v>
      </c>
      <c r="T1508" s="3" t="n">
        <f aca="false">INDEX(Summary!$P$2:$P$201,MATCH($B1508,Summary!$A$2:$A$201,0))</f>
        <v>1</v>
      </c>
      <c r="U1508" s="2" t="n">
        <f aca="false">INDEX(Summary!$Q$2:$Q$201,MATCH($B1508,Summary!$A$2:$A$201,0))</f>
        <v>14.79</v>
      </c>
      <c r="V1508" s="2" t="n">
        <f aca="false">INDEX(Summary!$R$2:$R$201,MATCH($B1508,Summary!$A$2:$A$201,0))</f>
        <v>24.66</v>
      </c>
      <c r="W1508" s="0" t="str">
        <f aca="false">INDEX(Summary!$S$2:$S$201,MATCH($B1508,Summary!$A$2:$A$201,0))</f>
        <v>Silver</v>
      </c>
      <c r="X1508" s="2" t="n">
        <f aca="false">INDEX(Summary!$T$2:$T$201,MATCH($B1508,Summary!$A$2:$A$201,0))</f>
        <v>60.15</v>
      </c>
      <c r="Y1508" s="0" t="str">
        <f aca="false">INDEX('Reward Model'!$E$18:$E$37,MATCH($E1508,'Reward Model'!$A$18:$A$37,0))</f>
        <v>Low</v>
      </c>
      <c r="Z1508" s="4" t="n">
        <f aca="false">ROUND(MIN(1,MAX('Reward Model'!$B$2,INDEX('Reward Model'!$C$12:$C$14,MATCH($K1508,'Reward Model'!$A$12:$A$14,0))/$J1508)),3)</f>
        <v>0.92</v>
      </c>
      <c r="AA1508" s="2" t="n">
        <f aca="false">IF($I1508="Correct",ROUND(INDEX('Reward Model'!$B$12:$B$14,MATCH($K1508,'Reward Model'!$A$12:$A$14,0))*Z1508,2),0)</f>
        <v>0.92</v>
      </c>
      <c r="AB1508" s="2" t="n">
        <f aca="false">IF($I1508="Correct",ROUND(INDEX('Reward Model'!$B$12:$B$14,MATCH($Y1508,'Reward Model'!$A$12:$A$14,0))*Z1508,2),0)</f>
        <v>0.92</v>
      </c>
    </row>
    <row r="1509" customFormat="false" ht="15" hidden="false" customHeight="false" outlineLevel="0" collapsed="false">
      <c r="A1509" s="0" t="s">
        <v>280</v>
      </c>
      <c r="B1509" s="0" t="s">
        <v>281</v>
      </c>
      <c r="C1509" s="0" t="s">
        <v>30</v>
      </c>
      <c r="D1509" s="0" t="s">
        <v>275</v>
      </c>
      <c r="E1509" s="0" t="n">
        <v>8</v>
      </c>
      <c r="F1509" s="0" t="s">
        <v>52</v>
      </c>
      <c r="G1509" s="0" t="s">
        <v>54</v>
      </c>
      <c r="H1509" s="0" t="s">
        <v>54</v>
      </c>
      <c r="I1509" s="0" t="s">
        <v>34</v>
      </c>
      <c r="J1509" s="0" t="n">
        <v>0.92</v>
      </c>
      <c r="K1509" s="0" t="s">
        <v>35</v>
      </c>
      <c r="L1509" s="0" t="n">
        <f aca="false">INDEX(Summary!$F$2:$F$201,MATCH($B1509,Summary!$A$2:$A$201,0))</f>
        <v>20</v>
      </c>
      <c r="M1509" s="0" t="n">
        <f aca="false">INDEX(Summary!$I$2:$I$201,MATCH($B1509,Summary!$A$2:$A$201,0))</f>
        <v>2</v>
      </c>
      <c r="N1509" s="0" t="n">
        <f aca="false">INDEX(Summary!$J$2:$J$201,MATCH($B1509,Summary!$A$2:$A$201,0))</f>
        <v>3</v>
      </c>
      <c r="O1509" s="2" t="n">
        <f aca="false">INDEX(Summary!$K$2:$K$201,MATCH($B1509,Summary!$A$2:$A$201,0))</f>
        <v>9.73</v>
      </c>
      <c r="P1509" s="3" t="n">
        <f aca="false">INDEX(Summary!$L$2:$L$201,MATCH($B1509,Summary!$A$2:$A$201,0))</f>
        <v>4</v>
      </c>
      <c r="Q1509" s="3" t="n">
        <f aca="false">INDEX(Summary!$M$2:$M$201,MATCH($B1509,Summary!$A$2:$A$201,0))</f>
        <v>2</v>
      </c>
      <c r="R1509" s="2" t="n">
        <f aca="false">INDEX(Summary!$N$2:$N$201,MATCH($B1509,Summary!$A$2:$A$201,0))</f>
        <v>9.21</v>
      </c>
      <c r="S1509" s="3" t="n">
        <f aca="false">INDEX(Summary!$O$2:$O$201,MATCH($B1509,Summary!$A$2:$A$201,0))</f>
        <v>8</v>
      </c>
      <c r="T1509" s="3" t="n">
        <f aca="false">INDEX(Summary!$P$2:$P$201,MATCH($B1509,Summary!$A$2:$A$201,0))</f>
        <v>1</v>
      </c>
      <c r="U1509" s="2" t="n">
        <f aca="false">INDEX(Summary!$Q$2:$Q$201,MATCH($B1509,Summary!$A$2:$A$201,0))</f>
        <v>14.79</v>
      </c>
      <c r="V1509" s="2" t="n">
        <f aca="false">INDEX(Summary!$R$2:$R$201,MATCH($B1509,Summary!$A$2:$A$201,0))</f>
        <v>24.66</v>
      </c>
      <c r="W1509" s="0" t="str">
        <f aca="false">INDEX(Summary!$S$2:$S$201,MATCH($B1509,Summary!$A$2:$A$201,0))</f>
        <v>Silver</v>
      </c>
      <c r="X1509" s="2" t="n">
        <f aca="false">INDEX(Summary!$T$2:$T$201,MATCH($B1509,Summary!$A$2:$A$201,0))</f>
        <v>60.15</v>
      </c>
      <c r="Y1509" s="0" t="str">
        <f aca="false">INDEX('Reward Model'!$E$18:$E$37,MATCH($E1509,'Reward Model'!$A$18:$A$37,0))</f>
        <v>Medium</v>
      </c>
      <c r="Z1509" s="4" t="n">
        <f aca="false">ROUND(MIN(1,MAX('Reward Model'!$B$2,INDEX('Reward Model'!$C$12:$C$14,MATCH($K1509,'Reward Model'!$A$12:$A$14,0))/$J1509)),3)</f>
        <v>1</v>
      </c>
      <c r="AA1509" s="2" t="n">
        <f aca="false">IF($I1509="Correct",ROUND(INDEX('Reward Model'!$B$12:$B$14,MATCH($K1509,'Reward Model'!$A$12:$A$14,0))*Z1509,2),0)</f>
        <v>1</v>
      </c>
      <c r="AB1509" s="2" t="n">
        <f aca="false">IF($I1509="Correct",ROUND(INDEX('Reward Model'!$B$12:$B$14,MATCH($Y1509,'Reward Model'!$A$12:$A$14,0))*Z1509,2),0)</f>
        <v>2</v>
      </c>
    </row>
    <row r="1510" customFormat="false" ht="15" hidden="false" customHeight="false" outlineLevel="0" collapsed="false">
      <c r="A1510" s="0" t="s">
        <v>280</v>
      </c>
      <c r="B1510" s="0" t="s">
        <v>281</v>
      </c>
      <c r="C1510" s="0" t="s">
        <v>30</v>
      </c>
      <c r="D1510" s="0" t="s">
        <v>275</v>
      </c>
      <c r="E1510" s="0" t="n">
        <v>9</v>
      </c>
      <c r="F1510" s="0" t="s">
        <v>55</v>
      </c>
      <c r="G1510" s="0" t="s">
        <v>57</v>
      </c>
      <c r="H1510" s="0" t="s">
        <v>57</v>
      </c>
      <c r="I1510" s="0" t="s">
        <v>34</v>
      </c>
      <c r="J1510" s="0" t="n">
        <v>1.42</v>
      </c>
      <c r="K1510" s="0" t="s">
        <v>35</v>
      </c>
      <c r="L1510" s="0" t="n">
        <f aca="false">INDEX(Summary!$F$2:$F$201,MATCH($B1510,Summary!$A$2:$A$201,0))</f>
        <v>20</v>
      </c>
      <c r="M1510" s="0" t="n">
        <f aca="false">INDEX(Summary!$I$2:$I$201,MATCH($B1510,Summary!$A$2:$A$201,0))</f>
        <v>2</v>
      </c>
      <c r="N1510" s="0" t="n">
        <f aca="false">INDEX(Summary!$J$2:$J$201,MATCH($B1510,Summary!$A$2:$A$201,0))</f>
        <v>3</v>
      </c>
      <c r="O1510" s="2" t="n">
        <f aca="false">INDEX(Summary!$K$2:$K$201,MATCH($B1510,Summary!$A$2:$A$201,0))</f>
        <v>9.73</v>
      </c>
      <c r="P1510" s="3" t="n">
        <f aca="false">INDEX(Summary!$L$2:$L$201,MATCH($B1510,Summary!$A$2:$A$201,0))</f>
        <v>4</v>
      </c>
      <c r="Q1510" s="3" t="n">
        <f aca="false">INDEX(Summary!$M$2:$M$201,MATCH($B1510,Summary!$A$2:$A$201,0))</f>
        <v>2</v>
      </c>
      <c r="R1510" s="2" t="n">
        <f aca="false">INDEX(Summary!$N$2:$N$201,MATCH($B1510,Summary!$A$2:$A$201,0))</f>
        <v>9.21</v>
      </c>
      <c r="S1510" s="3" t="n">
        <f aca="false">INDEX(Summary!$O$2:$O$201,MATCH($B1510,Summary!$A$2:$A$201,0))</f>
        <v>8</v>
      </c>
      <c r="T1510" s="3" t="n">
        <f aca="false">INDEX(Summary!$P$2:$P$201,MATCH($B1510,Summary!$A$2:$A$201,0))</f>
        <v>1</v>
      </c>
      <c r="U1510" s="2" t="n">
        <f aca="false">INDEX(Summary!$Q$2:$Q$201,MATCH($B1510,Summary!$A$2:$A$201,0))</f>
        <v>14.79</v>
      </c>
      <c r="V1510" s="2" t="n">
        <f aca="false">INDEX(Summary!$R$2:$R$201,MATCH($B1510,Summary!$A$2:$A$201,0))</f>
        <v>24.66</v>
      </c>
      <c r="W1510" s="0" t="str">
        <f aca="false">INDEX(Summary!$S$2:$S$201,MATCH($B1510,Summary!$A$2:$A$201,0))</f>
        <v>Silver</v>
      </c>
      <c r="X1510" s="2" t="n">
        <f aca="false">INDEX(Summary!$T$2:$T$201,MATCH($B1510,Summary!$A$2:$A$201,0))</f>
        <v>60.15</v>
      </c>
      <c r="Y1510" s="0" t="str">
        <f aca="false">INDEX('Reward Model'!$E$18:$E$37,MATCH($E1510,'Reward Model'!$A$18:$A$37,0))</f>
        <v>Medium</v>
      </c>
      <c r="Z1510" s="4" t="n">
        <f aca="false">ROUND(MIN(1,MAX('Reward Model'!$B$2,INDEX('Reward Model'!$C$12:$C$14,MATCH($K1510,'Reward Model'!$A$12:$A$14,0))/$J1510)),3)</f>
        <v>1</v>
      </c>
      <c r="AA1510" s="2" t="n">
        <f aca="false">IF($I1510="Correct",ROUND(INDEX('Reward Model'!$B$12:$B$14,MATCH($K1510,'Reward Model'!$A$12:$A$14,0))*Z1510,2),0)</f>
        <v>1</v>
      </c>
      <c r="AB1510" s="2" t="n">
        <f aca="false">IF($I1510="Correct",ROUND(INDEX('Reward Model'!$B$12:$B$14,MATCH($Y1510,'Reward Model'!$A$12:$A$14,0))*Z1510,2),0)</f>
        <v>2</v>
      </c>
    </row>
    <row r="1511" customFormat="false" ht="15" hidden="false" customHeight="false" outlineLevel="0" collapsed="false">
      <c r="A1511" s="0" t="s">
        <v>280</v>
      </c>
      <c r="B1511" s="0" t="s">
        <v>281</v>
      </c>
      <c r="C1511" s="0" t="s">
        <v>30</v>
      </c>
      <c r="D1511" s="0" t="s">
        <v>275</v>
      </c>
      <c r="E1511" s="0" t="n">
        <v>10</v>
      </c>
      <c r="F1511" s="0" t="s">
        <v>58</v>
      </c>
      <c r="G1511" s="0" t="s">
        <v>59</v>
      </c>
      <c r="H1511" s="0" t="s">
        <v>59</v>
      </c>
      <c r="I1511" s="0" t="s">
        <v>34</v>
      </c>
      <c r="J1511" s="0" t="n">
        <v>1.13</v>
      </c>
      <c r="K1511" s="0" t="s">
        <v>60</v>
      </c>
      <c r="L1511" s="0" t="n">
        <f aca="false">INDEX(Summary!$F$2:$F$201,MATCH($B1511,Summary!$A$2:$A$201,0))</f>
        <v>20</v>
      </c>
      <c r="M1511" s="0" t="n">
        <f aca="false">INDEX(Summary!$I$2:$I$201,MATCH($B1511,Summary!$A$2:$A$201,0))</f>
        <v>2</v>
      </c>
      <c r="N1511" s="0" t="n">
        <f aca="false">INDEX(Summary!$J$2:$J$201,MATCH($B1511,Summary!$A$2:$A$201,0))</f>
        <v>3</v>
      </c>
      <c r="O1511" s="2" t="n">
        <f aca="false">INDEX(Summary!$K$2:$K$201,MATCH($B1511,Summary!$A$2:$A$201,0))</f>
        <v>9.73</v>
      </c>
      <c r="P1511" s="3" t="n">
        <f aca="false">INDEX(Summary!$L$2:$L$201,MATCH($B1511,Summary!$A$2:$A$201,0))</f>
        <v>4</v>
      </c>
      <c r="Q1511" s="3" t="n">
        <f aca="false">INDEX(Summary!$M$2:$M$201,MATCH($B1511,Summary!$A$2:$A$201,0))</f>
        <v>2</v>
      </c>
      <c r="R1511" s="2" t="n">
        <f aca="false">INDEX(Summary!$N$2:$N$201,MATCH($B1511,Summary!$A$2:$A$201,0))</f>
        <v>9.21</v>
      </c>
      <c r="S1511" s="3" t="n">
        <f aca="false">INDEX(Summary!$O$2:$O$201,MATCH($B1511,Summary!$A$2:$A$201,0))</f>
        <v>8</v>
      </c>
      <c r="T1511" s="3" t="n">
        <f aca="false">INDEX(Summary!$P$2:$P$201,MATCH($B1511,Summary!$A$2:$A$201,0))</f>
        <v>1</v>
      </c>
      <c r="U1511" s="2" t="n">
        <f aca="false">INDEX(Summary!$Q$2:$Q$201,MATCH($B1511,Summary!$A$2:$A$201,0))</f>
        <v>14.79</v>
      </c>
      <c r="V1511" s="2" t="n">
        <f aca="false">INDEX(Summary!$R$2:$R$201,MATCH($B1511,Summary!$A$2:$A$201,0))</f>
        <v>24.66</v>
      </c>
      <c r="W1511" s="0" t="str">
        <f aca="false">INDEX(Summary!$S$2:$S$201,MATCH($B1511,Summary!$A$2:$A$201,0))</f>
        <v>Silver</v>
      </c>
      <c r="X1511" s="2" t="n">
        <f aca="false">INDEX(Summary!$T$2:$T$201,MATCH($B1511,Summary!$A$2:$A$201,0))</f>
        <v>60.15</v>
      </c>
      <c r="Y1511" s="0" t="str">
        <f aca="false">INDEX('Reward Model'!$E$18:$E$37,MATCH($E1511,'Reward Model'!$A$18:$A$37,0))</f>
        <v>Medium</v>
      </c>
      <c r="Z1511" s="4" t="n">
        <f aca="false">ROUND(MIN(1,MAX('Reward Model'!$B$2,INDEX('Reward Model'!$C$12:$C$14,MATCH($K1511,'Reward Model'!$A$12:$A$14,0))/$J1511)),3)</f>
        <v>1</v>
      </c>
      <c r="AA1511" s="2" t="n">
        <f aca="false">IF($I1511="Correct",ROUND(INDEX('Reward Model'!$B$12:$B$14,MATCH($K1511,'Reward Model'!$A$12:$A$14,0))*Z1511,2),0)</f>
        <v>2</v>
      </c>
      <c r="AB1511" s="2" t="n">
        <f aca="false">IF($I1511="Correct",ROUND(INDEX('Reward Model'!$B$12:$B$14,MATCH($Y1511,'Reward Model'!$A$12:$A$14,0))*Z1511,2),0)</f>
        <v>2</v>
      </c>
    </row>
    <row r="1512" customFormat="false" ht="15" hidden="false" customHeight="false" outlineLevel="0" collapsed="false">
      <c r="A1512" s="0" t="s">
        <v>280</v>
      </c>
      <c r="B1512" s="0" t="s">
        <v>281</v>
      </c>
      <c r="C1512" s="0" t="s">
        <v>30</v>
      </c>
      <c r="D1512" s="0" t="s">
        <v>275</v>
      </c>
      <c r="E1512" s="0" t="n">
        <v>11</v>
      </c>
      <c r="F1512" s="0" t="s">
        <v>61</v>
      </c>
      <c r="G1512" s="0" t="s">
        <v>63</v>
      </c>
      <c r="H1512" s="0" t="s">
        <v>63</v>
      </c>
      <c r="I1512" s="0" t="s">
        <v>34</v>
      </c>
      <c r="J1512" s="0" t="n">
        <v>1.88</v>
      </c>
      <c r="K1512" s="0" t="s">
        <v>60</v>
      </c>
      <c r="L1512" s="0" t="n">
        <f aca="false">INDEX(Summary!$F$2:$F$201,MATCH($B1512,Summary!$A$2:$A$201,0))</f>
        <v>20</v>
      </c>
      <c r="M1512" s="0" t="n">
        <f aca="false">INDEX(Summary!$I$2:$I$201,MATCH($B1512,Summary!$A$2:$A$201,0))</f>
        <v>2</v>
      </c>
      <c r="N1512" s="0" t="n">
        <f aca="false">INDEX(Summary!$J$2:$J$201,MATCH($B1512,Summary!$A$2:$A$201,0))</f>
        <v>3</v>
      </c>
      <c r="O1512" s="2" t="n">
        <f aca="false">INDEX(Summary!$K$2:$K$201,MATCH($B1512,Summary!$A$2:$A$201,0))</f>
        <v>9.73</v>
      </c>
      <c r="P1512" s="3" t="n">
        <f aca="false">INDEX(Summary!$L$2:$L$201,MATCH($B1512,Summary!$A$2:$A$201,0))</f>
        <v>4</v>
      </c>
      <c r="Q1512" s="3" t="n">
        <f aca="false">INDEX(Summary!$M$2:$M$201,MATCH($B1512,Summary!$A$2:$A$201,0))</f>
        <v>2</v>
      </c>
      <c r="R1512" s="2" t="n">
        <f aca="false">INDEX(Summary!$N$2:$N$201,MATCH($B1512,Summary!$A$2:$A$201,0))</f>
        <v>9.21</v>
      </c>
      <c r="S1512" s="3" t="n">
        <f aca="false">INDEX(Summary!$O$2:$O$201,MATCH($B1512,Summary!$A$2:$A$201,0))</f>
        <v>8</v>
      </c>
      <c r="T1512" s="3" t="n">
        <f aca="false">INDEX(Summary!$P$2:$P$201,MATCH($B1512,Summary!$A$2:$A$201,0))</f>
        <v>1</v>
      </c>
      <c r="U1512" s="2" t="n">
        <f aca="false">INDEX(Summary!$Q$2:$Q$201,MATCH($B1512,Summary!$A$2:$A$201,0))</f>
        <v>14.79</v>
      </c>
      <c r="V1512" s="2" t="n">
        <f aca="false">INDEX(Summary!$R$2:$R$201,MATCH($B1512,Summary!$A$2:$A$201,0))</f>
        <v>24.66</v>
      </c>
      <c r="W1512" s="0" t="str">
        <f aca="false">INDEX(Summary!$S$2:$S$201,MATCH($B1512,Summary!$A$2:$A$201,0))</f>
        <v>Silver</v>
      </c>
      <c r="X1512" s="2" t="n">
        <f aca="false">INDEX(Summary!$T$2:$T$201,MATCH($B1512,Summary!$A$2:$A$201,0))</f>
        <v>60.15</v>
      </c>
      <c r="Y1512" s="0" t="str">
        <f aca="false">INDEX('Reward Model'!$E$18:$E$37,MATCH($E1512,'Reward Model'!$A$18:$A$37,0))</f>
        <v>Medium</v>
      </c>
      <c r="Z1512" s="4" t="n">
        <f aca="false">ROUND(MIN(1,MAX('Reward Model'!$B$2,INDEX('Reward Model'!$C$12:$C$14,MATCH($K1512,'Reward Model'!$A$12:$A$14,0))/$J1512)),3)</f>
        <v>0.957</v>
      </c>
      <c r="AA1512" s="2" t="n">
        <f aca="false">IF($I1512="Correct",ROUND(INDEX('Reward Model'!$B$12:$B$14,MATCH($K1512,'Reward Model'!$A$12:$A$14,0))*Z1512,2),0)</f>
        <v>1.91</v>
      </c>
      <c r="AB1512" s="2" t="n">
        <f aca="false">IF($I1512="Correct",ROUND(INDEX('Reward Model'!$B$12:$B$14,MATCH($Y1512,'Reward Model'!$A$12:$A$14,0))*Z1512,2),0)</f>
        <v>1.91</v>
      </c>
    </row>
    <row r="1513" customFormat="false" ht="15" hidden="false" customHeight="false" outlineLevel="0" collapsed="false">
      <c r="A1513" s="0" t="s">
        <v>280</v>
      </c>
      <c r="B1513" s="0" t="s">
        <v>281</v>
      </c>
      <c r="C1513" s="0" t="s">
        <v>30</v>
      </c>
      <c r="D1513" s="0" t="s">
        <v>275</v>
      </c>
      <c r="E1513" s="0" t="n">
        <v>12</v>
      </c>
      <c r="F1513" s="0" t="s">
        <v>64</v>
      </c>
      <c r="G1513" s="0" t="s">
        <v>112</v>
      </c>
      <c r="H1513" s="0" t="s">
        <v>65</v>
      </c>
      <c r="I1513" s="0" t="s">
        <v>39</v>
      </c>
      <c r="J1513" s="0" t="n">
        <v>1.57</v>
      </c>
      <c r="K1513" s="0" t="s">
        <v>60</v>
      </c>
      <c r="L1513" s="0" t="n">
        <f aca="false">INDEX(Summary!$F$2:$F$201,MATCH($B1513,Summary!$A$2:$A$201,0))</f>
        <v>20</v>
      </c>
      <c r="M1513" s="0" t="n">
        <f aca="false">INDEX(Summary!$I$2:$I$201,MATCH($B1513,Summary!$A$2:$A$201,0))</f>
        <v>2</v>
      </c>
      <c r="N1513" s="0" t="n">
        <f aca="false">INDEX(Summary!$J$2:$J$201,MATCH($B1513,Summary!$A$2:$A$201,0))</f>
        <v>3</v>
      </c>
      <c r="O1513" s="2" t="n">
        <f aca="false">INDEX(Summary!$K$2:$K$201,MATCH($B1513,Summary!$A$2:$A$201,0))</f>
        <v>9.73</v>
      </c>
      <c r="P1513" s="3" t="n">
        <f aca="false">INDEX(Summary!$L$2:$L$201,MATCH($B1513,Summary!$A$2:$A$201,0))</f>
        <v>4</v>
      </c>
      <c r="Q1513" s="3" t="n">
        <f aca="false">INDEX(Summary!$M$2:$M$201,MATCH($B1513,Summary!$A$2:$A$201,0))</f>
        <v>2</v>
      </c>
      <c r="R1513" s="2" t="n">
        <f aca="false">INDEX(Summary!$N$2:$N$201,MATCH($B1513,Summary!$A$2:$A$201,0))</f>
        <v>9.21</v>
      </c>
      <c r="S1513" s="3" t="n">
        <f aca="false">INDEX(Summary!$O$2:$O$201,MATCH($B1513,Summary!$A$2:$A$201,0))</f>
        <v>8</v>
      </c>
      <c r="T1513" s="3" t="n">
        <f aca="false">INDEX(Summary!$P$2:$P$201,MATCH($B1513,Summary!$A$2:$A$201,0))</f>
        <v>1</v>
      </c>
      <c r="U1513" s="2" t="n">
        <f aca="false">INDEX(Summary!$Q$2:$Q$201,MATCH($B1513,Summary!$A$2:$A$201,0))</f>
        <v>14.79</v>
      </c>
      <c r="V1513" s="2" t="n">
        <f aca="false">INDEX(Summary!$R$2:$R$201,MATCH($B1513,Summary!$A$2:$A$201,0))</f>
        <v>24.66</v>
      </c>
      <c r="W1513" s="0" t="str">
        <f aca="false">INDEX(Summary!$S$2:$S$201,MATCH($B1513,Summary!$A$2:$A$201,0))</f>
        <v>Silver</v>
      </c>
      <c r="X1513" s="2" t="n">
        <f aca="false">INDEX(Summary!$T$2:$T$201,MATCH($B1513,Summary!$A$2:$A$201,0))</f>
        <v>60.15</v>
      </c>
      <c r="Y1513" s="0" t="str">
        <f aca="false">INDEX('Reward Model'!$E$18:$E$37,MATCH($E1513,'Reward Model'!$A$18:$A$37,0))</f>
        <v>Medium</v>
      </c>
      <c r="Z1513" s="4" t="n">
        <f aca="false">ROUND(MIN(1,MAX('Reward Model'!$B$2,INDEX('Reward Model'!$C$12:$C$14,MATCH($K1513,'Reward Model'!$A$12:$A$14,0))/$J1513)),3)</f>
        <v>1</v>
      </c>
      <c r="AA1513" s="2" t="n">
        <f aca="false">IF($I1513="Correct",ROUND(INDEX('Reward Model'!$B$12:$B$14,MATCH($K1513,'Reward Model'!$A$12:$A$14,0))*Z1513,2),0)</f>
        <v>0</v>
      </c>
      <c r="AB1513" s="2" t="n">
        <f aca="false">IF($I1513="Correct",ROUND(INDEX('Reward Model'!$B$12:$B$14,MATCH($Y1513,'Reward Model'!$A$12:$A$14,0))*Z1513,2),0)</f>
        <v>0</v>
      </c>
    </row>
    <row r="1514" customFormat="false" ht="15" hidden="false" customHeight="false" outlineLevel="0" collapsed="false">
      <c r="A1514" s="0" t="s">
        <v>280</v>
      </c>
      <c r="B1514" s="0" t="s">
        <v>281</v>
      </c>
      <c r="C1514" s="0" t="s">
        <v>30</v>
      </c>
      <c r="D1514" s="0" t="s">
        <v>275</v>
      </c>
      <c r="E1514" s="0" t="n">
        <v>13</v>
      </c>
      <c r="F1514" s="0" t="s">
        <v>66</v>
      </c>
      <c r="G1514" s="0" t="s">
        <v>67</v>
      </c>
      <c r="H1514" s="0" t="s">
        <v>67</v>
      </c>
      <c r="I1514" s="0" t="s">
        <v>34</v>
      </c>
      <c r="J1514" s="0" t="n">
        <v>2.19</v>
      </c>
      <c r="K1514" s="0" t="s">
        <v>60</v>
      </c>
      <c r="L1514" s="0" t="n">
        <f aca="false">INDEX(Summary!$F$2:$F$201,MATCH($B1514,Summary!$A$2:$A$201,0))</f>
        <v>20</v>
      </c>
      <c r="M1514" s="0" t="n">
        <f aca="false">INDEX(Summary!$I$2:$I$201,MATCH($B1514,Summary!$A$2:$A$201,0))</f>
        <v>2</v>
      </c>
      <c r="N1514" s="0" t="n">
        <f aca="false">INDEX(Summary!$J$2:$J$201,MATCH($B1514,Summary!$A$2:$A$201,0))</f>
        <v>3</v>
      </c>
      <c r="O1514" s="2" t="n">
        <f aca="false">INDEX(Summary!$K$2:$K$201,MATCH($B1514,Summary!$A$2:$A$201,0))</f>
        <v>9.73</v>
      </c>
      <c r="P1514" s="3" t="n">
        <f aca="false">INDEX(Summary!$L$2:$L$201,MATCH($B1514,Summary!$A$2:$A$201,0))</f>
        <v>4</v>
      </c>
      <c r="Q1514" s="3" t="n">
        <f aca="false">INDEX(Summary!$M$2:$M$201,MATCH($B1514,Summary!$A$2:$A$201,0))</f>
        <v>2</v>
      </c>
      <c r="R1514" s="2" t="n">
        <f aca="false">INDEX(Summary!$N$2:$N$201,MATCH($B1514,Summary!$A$2:$A$201,0))</f>
        <v>9.21</v>
      </c>
      <c r="S1514" s="3" t="n">
        <f aca="false">INDEX(Summary!$O$2:$O$201,MATCH($B1514,Summary!$A$2:$A$201,0))</f>
        <v>8</v>
      </c>
      <c r="T1514" s="3" t="n">
        <f aca="false">INDEX(Summary!$P$2:$P$201,MATCH($B1514,Summary!$A$2:$A$201,0))</f>
        <v>1</v>
      </c>
      <c r="U1514" s="2" t="n">
        <f aca="false">INDEX(Summary!$Q$2:$Q$201,MATCH($B1514,Summary!$A$2:$A$201,0))</f>
        <v>14.79</v>
      </c>
      <c r="V1514" s="2" t="n">
        <f aca="false">INDEX(Summary!$R$2:$R$201,MATCH($B1514,Summary!$A$2:$A$201,0))</f>
        <v>24.66</v>
      </c>
      <c r="W1514" s="0" t="str">
        <f aca="false">INDEX(Summary!$S$2:$S$201,MATCH($B1514,Summary!$A$2:$A$201,0))</f>
        <v>Silver</v>
      </c>
      <c r="X1514" s="2" t="n">
        <f aca="false">INDEX(Summary!$T$2:$T$201,MATCH($B1514,Summary!$A$2:$A$201,0))</f>
        <v>60.15</v>
      </c>
      <c r="Y1514" s="0" t="str">
        <f aca="false">INDEX('Reward Model'!$E$18:$E$37,MATCH($E1514,'Reward Model'!$A$18:$A$37,0))</f>
        <v>Medium</v>
      </c>
      <c r="Z1514" s="4" t="n">
        <f aca="false">ROUND(MIN(1,MAX('Reward Model'!$B$2,INDEX('Reward Model'!$C$12:$C$14,MATCH($K1514,'Reward Model'!$A$12:$A$14,0))/$J1514)),3)</f>
        <v>0.822</v>
      </c>
      <c r="AA1514" s="2" t="n">
        <f aca="false">IF($I1514="Correct",ROUND(INDEX('Reward Model'!$B$12:$B$14,MATCH($K1514,'Reward Model'!$A$12:$A$14,0))*Z1514,2),0)</f>
        <v>1.64</v>
      </c>
      <c r="AB1514" s="2" t="n">
        <f aca="false">IF($I1514="Correct",ROUND(INDEX('Reward Model'!$B$12:$B$14,MATCH($Y1514,'Reward Model'!$A$12:$A$14,0))*Z1514,2),0)</f>
        <v>1.64</v>
      </c>
    </row>
    <row r="1515" customFormat="false" ht="15" hidden="false" customHeight="false" outlineLevel="0" collapsed="false">
      <c r="A1515" s="0" t="s">
        <v>280</v>
      </c>
      <c r="B1515" s="0" t="s">
        <v>281</v>
      </c>
      <c r="C1515" s="0" t="s">
        <v>30</v>
      </c>
      <c r="D1515" s="0" t="s">
        <v>275</v>
      </c>
      <c r="E1515" s="0" t="n">
        <v>14</v>
      </c>
      <c r="F1515" s="0" t="s">
        <v>68</v>
      </c>
      <c r="G1515" s="0" t="s">
        <v>100</v>
      </c>
      <c r="H1515" s="0" t="s">
        <v>51</v>
      </c>
      <c r="I1515" s="0" t="s">
        <v>39</v>
      </c>
      <c r="J1515" s="0" t="n">
        <v>1.1</v>
      </c>
      <c r="K1515" s="0" t="s">
        <v>60</v>
      </c>
      <c r="L1515" s="0" t="n">
        <f aca="false">INDEX(Summary!$F$2:$F$201,MATCH($B1515,Summary!$A$2:$A$201,0))</f>
        <v>20</v>
      </c>
      <c r="M1515" s="0" t="n">
        <f aca="false">INDEX(Summary!$I$2:$I$201,MATCH($B1515,Summary!$A$2:$A$201,0))</f>
        <v>2</v>
      </c>
      <c r="N1515" s="0" t="n">
        <f aca="false">INDEX(Summary!$J$2:$J$201,MATCH($B1515,Summary!$A$2:$A$201,0))</f>
        <v>3</v>
      </c>
      <c r="O1515" s="2" t="n">
        <f aca="false">INDEX(Summary!$K$2:$K$201,MATCH($B1515,Summary!$A$2:$A$201,0))</f>
        <v>9.73</v>
      </c>
      <c r="P1515" s="3" t="n">
        <f aca="false">INDEX(Summary!$L$2:$L$201,MATCH($B1515,Summary!$A$2:$A$201,0))</f>
        <v>4</v>
      </c>
      <c r="Q1515" s="3" t="n">
        <f aca="false">INDEX(Summary!$M$2:$M$201,MATCH($B1515,Summary!$A$2:$A$201,0))</f>
        <v>2</v>
      </c>
      <c r="R1515" s="2" t="n">
        <f aca="false">INDEX(Summary!$N$2:$N$201,MATCH($B1515,Summary!$A$2:$A$201,0))</f>
        <v>9.21</v>
      </c>
      <c r="S1515" s="3" t="n">
        <f aca="false">INDEX(Summary!$O$2:$O$201,MATCH($B1515,Summary!$A$2:$A$201,0))</f>
        <v>8</v>
      </c>
      <c r="T1515" s="3" t="n">
        <f aca="false">INDEX(Summary!$P$2:$P$201,MATCH($B1515,Summary!$A$2:$A$201,0))</f>
        <v>1</v>
      </c>
      <c r="U1515" s="2" t="n">
        <f aca="false">INDEX(Summary!$Q$2:$Q$201,MATCH($B1515,Summary!$A$2:$A$201,0))</f>
        <v>14.79</v>
      </c>
      <c r="V1515" s="2" t="n">
        <f aca="false">INDEX(Summary!$R$2:$R$201,MATCH($B1515,Summary!$A$2:$A$201,0))</f>
        <v>24.66</v>
      </c>
      <c r="W1515" s="0" t="str">
        <f aca="false">INDEX(Summary!$S$2:$S$201,MATCH($B1515,Summary!$A$2:$A$201,0))</f>
        <v>Silver</v>
      </c>
      <c r="X1515" s="2" t="n">
        <f aca="false">INDEX(Summary!$T$2:$T$201,MATCH($B1515,Summary!$A$2:$A$201,0))</f>
        <v>60.15</v>
      </c>
      <c r="Y1515" s="0" t="str">
        <f aca="false">INDEX('Reward Model'!$E$18:$E$37,MATCH($E1515,'Reward Model'!$A$18:$A$37,0))</f>
        <v>Medium</v>
      </c>
      <c r="Z1515" s="4" t="n">
        <f aca="false">ROUND(MIN(1,MAX('Reward Model'!$B$2,INDEX('Reward Model'!$C$12:$C$14,MATCH($K1515,'Reward Model'!$A$12:$A$14,0))/$J1515)),3)</f>
        <v>1</v>
      </c>
      <c r="AA1515" s="2" t="n">
        <f aca="false">IF($I1515="Correct",ROUND(INDEX('Reward Model'!$B$12:$B$14,MATCH($K1515,'Reward Model'!$A$12:$A$14,0))*Z1515,2),0)</f>
        <v>0</v>
      </c>
      <c r="AB1515" s="2" t="n">
        <f aca="false">IF($I1515="Correct",ROUND(INDEX('Reward Model'!$B$12:$B$14,MATCH($Y1515,'Reward Model'!$A$12:$A$14,0))*Z1515,2),0)</f>
        <v>0</v>
      </c>
    </row>
    <row r="1516" customFormat="false" ht="15" hidden="false" customHeight="false" outlineLevel="0" collapsed="false">
      <c r="A1516" s="0" t="s">
        <v>280</v>
      </c>
      <c r="B1516" s="0" t="s">
        <v>281</v>
      </c>
      <c r="C1516" s="0" t="s">
        <v>30</v>
      </c>
      <c r="D1516" s="0" t="s">
        <v>275</v>
      </c>
      <c r="E1516" s="0" t="n">
        <v>15</v>
      </c>
      <c r="F1516" s="0" t="s">
        <v>69</v>
      </c>
      <c r="G1516" s="0" t="s">
        <v>70</v>
      </c>
      <c r="H1516" s="0" t="s">
        <v>70</v>
      </c>
      <c r="I1516" s="0" t="s">
        <v>34</v>
      </c>
      <c r="J1516" s="0" t="n">
        <v>1.34</v>
      </c>
      <c r="K1516" s="0" t="s">
        <v>60</v>
      </c>
      <c r="L1516" s="0" t="n">
        <f aca="false">INDEX(Summary!$F$2:$F$201,MATCH($B1516,Summary!$A$2:$A$201,0))</f>
        <v>20</v>
      </c>
      <c r="M1516" s="0" t="n">
        <f aca="false">INDEX(Summary!$I$2:$I$201,MATCH($B1516,Summary!$A$2:$A$201,0))</f>
        <v>2</v>
      </c>
      <c r="N1516" s="0" t="n">
        <f aca="false">INDEX(Summary!$J$2:$J$201,MATCH($B1516,Summary!$A$2:$A$201,0))</f>
        <v>3</v>
      </c>
      <c r="O1516" s="2" t="n">
        <f aca="false">INDEX(Summary!$K$2:$K$201,MATCH($B1516,Summary!$A$2:$A$201,0))</f>
        <v>9.73</v>
      </c>
      <c r="P1516" s="3" t="n">
        <f aca="false">INDEX(Summary!$L$2:$L$201,MATCH($B1516,Summary!$A$2:$A$201,0))</f>
        <v>4</v>
      </c>
      <c r="Q1516" s="3" t="n">
        <f aca="false">INDEX(Summary!$M$2:$M$201,MATCH($B1516,Summary!$A$2:$A$201,0))</f>
        <v>2</v>
      </c>
      <c r="R1516" s="2" t="n">
        <f aca="false">INDEX(Summary!$N$2:$N$201,MATCH($B1516,Summary!$A$2:$A$201,0))</f>
        <v>9.21</v>
      </c>
      <c r="S1516" s="3" t="n">
        <f aca="false">INDEX(Summary!$O$2:$O$201,MATCH($B1516,Summary!$A$2:$A$201,0))</f>
        <v>8</v>
      </c>
      <c r="T1516" s="3" t="n">
        <f aca="false">INDEX(Summary!$P$2:$P$201,MATCH($B1516,Summary!$A$2:$A$201,0))</f>
        <v>1</v>
      </c>
      <c r="U1516" s="2" t="n">
        <f aca="false">INDEX(Summary!$Q$2:$Q$201,MATCH($B1516,Summary!$A$2:$A$201,0))</f>
        <v>14.79</v>
      </c>
      <c r="V1516" s="2" t="n">
        <f aca="false">INDEX(Summary!$R$2:$R$201,MATCH($B1516,Summary!$A$2:$A$201,0))</f>
        <v>24.66</v>
      </c>
      <c r="W1516" s="0" t="str">
        <f aca="false">INDEX(Summary!$S$2:$S$201,MATCH($B1516,Summary!$A$2:$A$201,0))</f>
        <v>Silver</v>
      </c>
      <c r="X1516" s="2" t="n">
        <f aca="false">INDEX(Summary!$T$2:$T$201,MATCH($B1516,Summary!$A$2:$A$201,0))</f>
        <v>60.15</v>
      </c>
      <c r="Y1516" s="0" t="str">
        <f aca="false">INDEX('Reward Model'!$E$18:$E$37,MATCH($E1516,'Reward Model'!$A$18:$A$37,0))</f>
        <v>Medium</v>
      </c>
      <c r="Z1516" s="4" t="n">
        <f aca="false">ROUND(MIN(1,MAX('Reward Model'!$B$2,INDEX('Reward Model'!$C$12:$C$14,MATCH($K1516,'Reward Model'!$A$12:$A$14,0))/$J1516)),3)</f>
        <v>1</v>
      </c>
      <c r="AA1516" s="2" t="n">
        <f aca="false">IF($I1516="Correct",ROUND(INDEX('Reward Model'!$B$12:$B$14,MATCH($K1516,'Reward Model'!$A$12:$A$14,0))*Z1516,2),0)</f>
        <v>2</v>
      </c>
      <c r="AB1516" s="2" t="n">
        <f aca="false">IF($I1516="Correct",ROUND(INDEX('Reward Model'!$B$12:$B$14,MATCH($Y1516,'Reward Model'!$A$12:$A$14,0))*Z1516,2),0)</f>
        <v>2</v>
      </c>
    </row>
    <row r="1517" customFormat="false" ht="15" hidden="false" customHeight="false" outlineLevel="0" collapsed="false">
      <c r="A1517" s="0" t="s">
        <v>280</v>
      </c>
      <c r="B1517" s="0" t="s">
        <v>281</v>
      </c>
      <c r="C1517" s="0" t="s">
        <v>30</v>
      </c>
      <c r="D1517" s="0" t="s">
        <v>275</v>
      </c>
      <c r="E1517" s="0" t="n">
        <v>16</v>
      </c>
      <c r="F1517" s="0" t="s">
        <v>71</v>
      </c>
      <c r="G1517" s="0" t="s">
        <v>87</v>
      </c>
      <c r="H1517" s="0" t="s">
        <v>72</v>
      </c>
      <c r="I1517" s="0" t="s">
        <v>39</v>
      </c>
      <c r="J1517" s="0" t="n">
        <v>2.18</v>
      </c>
      <c r="K1517" s="0" t="s">
        <v>73</v>
      </c>
      <c r="L1517" s="0" t="n">
        <f aca="false">INDEX(Summary!$F$2:$F$201,MATCH($B1517,Summary!$A$2:$A$201,0))</f>
        <v>20</v>
      </c>
      <c r="M1517" s="0" t="n">
        <f aca="false">INDEX(Summary!$I$2:$I$201,MATCH($B1517,Summary!$A$2:$A$201,0))</f>
        <v>2</v>
      </c>
      <c r="N1517" s="0" t="n">
        <f aca="false">INDEX(Summary!$J$2:$J$201,MATCH($B1517,Summary!$A$2:$A$201,0))</f>
        <v>3</v>
      </c>
      <c r="O1517" s="2" t="n">
        <f aca="false">INDEX(Summary!$K$2:$K$201,MATCH($B1517,Summary!$A$2:$A$201,0))</f>
        <v>9.73</v>
      </c>
      <c r="P1517" s="3" t="n">
        <f aca="false">INDEX(Summary!$L$2:$L$201,MATCH($B1517,Summary!$A$2:$A$201,0))</f>
        <v>4</v>
      </c>
      <c r="Q1517" s="3" t="n">
        <f aca="false">INDEX(Summary!$M$2:$M$201,MATCH($B1517,Summary!$A$2:$A$201,0))</f>
        <v>2</v>
      </c>
      <c r="R1517" s="2" t="n">
        <f aca="false">INDEX(Summary!$N$2:$N$201,MATCH($B1517,Summary!$A$2:$A$201,0))</f>
        <v>9.21</v>
      </c>
      <c r="S1517" s="3" t="n">
        <f aca="false">INDEX(Summary!$O$2:$O$201,MATCH($B1517,Summary!$A$2:$A$201,0))</f>
        <v>8</v>
      </c>
      <c r="T1517" s="3" t="n">
        <f aca="false">INDEX(Summary!$P$2:$P$201,MATCH($B1517,Summary!$A$2:$A$201,0))</f>
        <v>1</v>
      </c>
      <c r="U1517" s="2" t="n">
        <f aca="false">INDEX(Summary!$Q$2:$Q$201,MATCH($B1517,Summary!$A$2:$A$201,0))</f>
        <v>14.79</v>
      </c>
      <c r="V1517" s="2" t="n">
        <f aca="false">INDEX(Summary!$R$2:$R$201,MATCH($B1517,Summary!$A$2:$A$201,0))</f>
        <v>24.66</v>
      </c>
      <c r="W1517" s="0" t="str">
        <f aca="false">INDEX(Summary!$S$2:$S$201,MATCH($B1517,Summary!$A$2:$A$201,0))</f>
        <v>Silver</v>
      </c>
      <c r="X1517" s="2" t="n">
        <f aca="false">INDEX(Summary!$T$2:$T$201,MATCH($B1517,Summary!$A$2:$A$201,0))</f>
        <v>60.15</v>
      </c>
      <c r="Y1517" s="0" t="str">
        <f aca="false">INDEX('Reward Model'!$E$18:$E$37,MATCH($E1517,'Reward Model'!$A$18:$A$37,0))</f>
        <v>High</v>
      </c>
      <c r="Z1517" s="4" t="n">
        <f aca="false">ROUND(MIN(1,MAX('Reward Model'!$B$2,INDEX('Reward Model'!$C$12:$C$14,MATCH($K1517,'Reward Model'!$A$12:$A$14,0))/$J1517)),3)</f>
        <v>0.917</v>
      </c>
      <c r="AA1517" s="2" t="n">
        <f aca="false">IF($I1517="Correct",ROUND(INDEX('Reward Model'!$B$12:$B$14,MATCH($K1517,'Reward Model'!$A$12:$A$14,0))*Z1517,2),0)</f>
        <v>0</v>
      </c>
      <c r="AB1517" s="2" t="n">
        <f aca="false">IF($I1517="Correct",ROUND(INDEX('Reward Model'!$B$12:$B$14,MATCH($Y1517,'Reward Model'!$A$12:$A$14,0))*Z1517,2),0)</f>
        <v>0</v>
      </c>
    </row>
    <row r="1518" customFormat="false" ht="15" hidden="false" customHeight="false" outlineLevel="0" collapsed="false">
      <c r="A1518" s="0" t="s">
        <v>280</v>
      </c>
      <c r="B1518" s="0" t="s">
        <v>281</v>
      </c>
      <c r="C1518" s="0" t="s">
        <v>30</v>
      </c>
      <c r="D1518" s="0" t="s">
        <v>275</v>
      </c>
      <c r="E1518" s="0" t="n">
        <v>17</v>
      </c>
      <c r="F1518" s="0" t="s">
        <v>74</v>
      </c>
      <c r="G1518" s="0" t="s">
        <v>105</v>
      </c>
      <c r="H1518" s="0" t="s">
        <v>75</v>
      </c>
      <c r="I1518" s="0" t="s">
        <v>39</v>
      </c>
      <c r="J1518" s="0" t="n">
        <v>1.73</v>
      </c>
      <c r="K1518" s="0" t="s">
        <v>73</v>
      </c>
      <c r="L1518" s="0" t="n">
        <f aca="false">INDEX(Summary!$F$2:$F$201,MATCH($B1518,Summary!$A$2:$A$201,0))</f>
        <v>20</v>
      </c>
      <c r="M1518" s="0" t="n">
        <f aca="false">INDEX(Summary!$I$2:$I$201,MATCH($B1518,Summary!$A$2:$A$201,0))</f>
        <v>2</v>
      </c>
      <c r="N1518" s="0" t="n">
        <f aca="false">INDEX(Summary!$J$2:$J$201,MATCH($B1518,Summary!$A$2:$A$201,0))</f>
        <v>3</v>
      </c>
      <c r="O1518" s="2" t="n">
        <f aca="false">INDEX(Summary!$K$2:$K$201,MATCH($B1518,Summary!$A$2:$A$201,0))</f>
        <v>9.73</v>
      </c>
      <c r="P1518" s="3" t="n">
        <f aca="false">INDEX(Summary!$L$2:$L$201,MATCH($B1518,Summary!$A$2:$A$201,0))</f>
        <v>4</v>
      </c>
      <c r="Q1518" s="3" t="n">
        <f aca="false">INDEX(Summary!$M$2:$M$201,MATCH($B1518,Summary!$A$2:$A$201,0))</f>
        <v>2</v>
      </c>
      <c r="R1518" s="2" t="n">
        <f aca="false">INDEX(Summary!$N$2:$N$201,MATCH($B1518,Summary!$A$2:$A$201,0))</f>
        <v>9.21</v>
      </c>
      <c r="S1518" s="3" t="n">
        <f aca="false">INDEX(Summary!$O$2:$O$201,MATCH($B1518,Summary!$A$2:$A$201,0))</f>
        <v>8</v>
      </c>
      <c r="T1518" s="3" t="n">
        <f aca="false">INDEX(Summary!$P$2:$P$201,MATCH($B1518,Summary!$A$2:$A$201,0))</f>
        <v>1</v>
      </c>
      <c r="U1518" s="2" t="n">
        <f aca="false">INDEX(Summary!$Q$2:$Q$201,MATCH($B1518,Summary!$A$2:$A$201,0))</f>
        <v>14.79</v>
      </c>
      <c r="V1518" s="2" t="n">
        <f aca="false">INDEX(Summary!$R$2:$R$201,MATCH($B1518,Summary!$A$2:$A$201,0))</f>
        <v>24.66</v>
      </c>
      <c r="W1518" s="0" t="str">
        <f aca="false">INDEX(Summary!$S$2:$S$201,MATCH($B1518,Summary!$A$2:$A$201,0))</f>
        <v>Silver</v>
      </c>
      <c r="X1518" s="2" t="n">
        <f aca="false">INDEX(Summary!$T$2:$T$201,MATCH($B1518,Summary!$A$2:$A$201,0))</f>
        <v>60.15</v>
      </c>
      <c r="Y1518" s="0" t="str">
        <f aca="false">INDEX('Reward Model'!$E$18:$E$37,MATCH($E1518,'Reward Model'!$A$18:$A$37,0))</f>
        <v>High</v>
      </c>
      <c r="Z1518" s="4" t="n">
        <f aca="false">ROUND(MIN(1,MAX('Reward Model'!$B$2,INDEX('Reward Model'!$C$12:$C$14,MATCH($K1518,'Reward Model'!$A$12:$A$14,0))/$J1518)),3)</f>
        <v>1</v>
      </c>
      <c r="AA1518" s="2" t="n">
        <f aca="false">IF($I1518="Correct",ROUND(INDEX('Reward Model'!$B$12:$B$14,MATCH($K1518,'Reward Model'!$A$12:$A$14,0))*Z1518,2),0)</f>
        <v>0</v>
      </c>
      <c r="AB1518" s="2" t="n">
        <f aca="false">IF($I1518="Correct",ROUND(INDEX('Reward Model'!$B$12:$B$14,MATCH($Y1518,'Reward Model'!$A$12:$A$14,0))*Z1518,2),0)</f>
        <v>0</v>
      </c>
    </row>
    <row r="1519" customFormat="false" ht="15" hidden="false" customHeight="false" outlineLevel="0" collapsed="false">
      <c r="A1519" s="0" t="s">
        <v>280</v>
      </c>
      <c r="B1519" s="0" t="s">
        <v>281</v>
      </c>
      <c r="C1519" s="0" t="s">
        <v>30</v>
      </c>
      <c r="D1519" s="0" t="s">
        <v>275</v>
      </c>
      <c r="E1519" s="0" t="n">
        <v>18</v>
      </c>
      <c r="F1519" s="0" t="s">
        <v>76</v>
      </c>
      <c r="G1519" s="0" t="s">
        <v>77</v>
      </c>
      <c r="H1519" s="0" t="s">
        <v>77</v>
      </c>
      <c r="I1519" s="0" t="s">
        <v>34</v>
      </c>
      <c r="J1519" s="0" t="n">
        <v>2.58</v>
      </c>
      <c r="K1519" s="0" t="s">
        <v>73</v>
      </c>
      <c r="L1519" s="0" t="n">
        <f aca="false">INDEX(Summary!$F$2:$F$201,MATCH($B1519,Summary!$A$2:$A$201,0))</f>
        <v>20</v>
      </c>
      <c r="M1519" s="0" t="n">
        <f aca="false">INDEX(Summary!$I$2:$I$201,MATCH($B1519,Summary!$A$2:$A$201,0))</f>
        <v>2</v>
      </c>
      <c r="N1519" s="0" t="n">
        <f aca="false">INDEX(Summary!$J$2:$J$201,MATCH($B1519,Summary!$A$2:$A$201,0))</f>
        <v>3</v>
      </c>
      <c r="O1519" s="2" t="n">
        <f aca="false">INDEX(Summary!$K$2:$K$201,MATCH($B1519,Summary!$A$2:$A$201,0))</f>
        <v>9.73</v>
      </c>
      <c r="P1519" s="3" t="n">
        <f aca="false">INDEX(Summary!$L$2:$L$201,MATCH($B1519,Summary!$A$2:$A$201,0))</f>
        <v>4</v>
      </c>
      <c r="Q1519" s="3" t="n">
        <f aca="false">INDEX(Summary!$M$2:$M$201,MATCH($B1519,Summary!$A$2:$A$201,0))</f>
        <v>2</v>
      </c>
      <c r="R1519" s="2" t="n">
        <f aca="false">INDEX(Summary!$N$2:$N$201,MATCH($B1519,Summary!$A$2:$A$201,0))</f>
        <v>9.21</v>
      </c>
      <c r="S1519" s="3" t="n">
        <f aca="false">INDEX(Summary!$O$2:$O$201,MATCH($B1519,Summary!$A$2:$A$201,0))</f>
        <v>8</v>
      </c>
      <c r="T1519" s="3" t="n">
        <f aca="false">INDEX(Summary!$P$2:$P$201,MATCH($B1519,Summary!$A$2:$A$201,0))</f>
        <v>1</v>
      </c>
      <c r="U1519" s="2" t="n">
        <f aca="false">INDEX(Summary!$Q$2:$Q$201,MATCH($B1519,Summary!$A$2:$A$201,0))</f>
        <v>14.79</v>
      </c>
      <c r="V1519" s="2" t="n">
        <f aca="false">INDEX(Summary!$R$2:$R$201,MATCH($B1519,Summary!$A$2:$A$201,0))</f>
        <v>24.66</v>
      </c>
      <c r="W1519" s="0" t="str">
        <f aca="false">INDEX(Summary!$S$2:$S$201,MATCH($B1519,Summary!$A$2:$A$201,0))</f>
        <v>Silver</v>
      </c>
      <c r="X1519" s="2" t="n">
        <f aca="false">INDEX(Summary!$T$2:$T$201,MATCH($B1519,Summary!$A$2:$A$201,0))</f>
        <v>60.15</v>
      </c>
      <c r="Y1519" s="0" t="str">
        <f aca="false">INDEX('Reward Model'!$E$18:$E$37,MATCH($E1519,'Reward Model'!$A$18:$A$37,0))</f>
        <v>High</v>
      </c>
      <c r="Z1519" s="4" t="n">
        <f aca="false">ROUND(MIN(1,MAX('Reward Model'!$B$2,INDEX('Reward Model'!$C$12:$C$14,MATCH($K1519,'Reward Model'!$A$12:$A$14,0))/$J1519)),3)</f>
        <v>0.775</v>
      </c>
      <c r="AA1519" s="2" t="n">
        <f aca="false">IF($I1519="Correct",ROUND(INDEX('Reward Model'!$B$12:$B$14,MATCH($K1519,'Reward Model'!$A$12:$A$14,0))*Z1519,2),0)</f>
        <v>2.33</v>
      </c>
      <c r="AB1519" s="2" t="n">
        <f aca="false">IF($I1519="Correct",ROUND(INDEX('Reward Model'!$B$12:$B$14,MATCH($Y1519,'Reward Model'!$A$12:$A$14,0))*Z1519,2),0)</f>
        <v>2.33</v>
      </c>
    </row>
    <row r="1520" customFormat="false" ht="15" hidden="false" customHeight="false" outlineLevel="0" collapsed="false">
      <c r="A1520" s="0" t="s">
        <v>280</v>
      </c>
      <c r="B1520" s="0" t="s">
        <v>281</v>
      </c>
      <c r="C1520" s="0" t="s">
        <v>30</v>
      </c>
      <c r="D1520" s="0" t="s">
        <v>275</v>
      </c>
      <c r="E1520" s="0" t="n">
        <v>19</v>
      </c>
      <c r="F1520" s="0" t="s">
        <v>78</v>
      </c>
      <c r="G1520" s="0" t="s">
        <v>80</v>
      </c>
      <c r="H1520" s="0" t="s">
        <v>80</v>
      </c>
      <c r="I1520" s="0" t="s">
        <v>34</v>
      </c>
      <c r="J1520" s="0" t="n">
        <v>1.3</v>
      </c>
      <c r="K1520" s="0" t="s">
        <v>73</v>
      </c>
      <c r="L1520" s="0" t="n">
        <f aca="false">INDEX(Summary!$F$2:$F$201,MATCH($B1520,Summary!$A$2:$A$201,0))</f>
        <v>20</v>
      </c>
      <c r="M1520" s="0" t="n">
        <f aca="false">INDEX(Summary!$I$2:$I$201,MATCH($B1520,Summary!$A$2:$A$201,0))</f>
        <v>2</v>
      </c>
      <c r="N1520" s="0" t="n">
        <f aca="false">INDEX(Summary!$J$2:$J$201,MATCH($B1520,Summary!$A$2:$A$201,0))</f>
        <v>3</v>
      </c>
      <c r="O1520" s="2" t="n">
        <f aca="false">INDEX(Summary!$K$2:$K$201,MATCH($B1520,Summary!$A$2:$A$201,0))</f>
        <v>9.73</v>
      </c>
      <c r="P1520" s="3" t="n">
        <f aca="false">INDEX(Summary!$L$2:$L$201,MATCH($B1520,Summary!$A$2:$A$201,0))</f>
        <v>4</v>
      </c>
      <c r="Q1520" s="3" t="n">
        <f aca="false">INDEX(Summary!$M$2:$M$201,MATCH($B1520,Summary!$A$2:$A$201,0))</f>
        <v>2</v>
      </c>
      <c r="R1520" s="2" t="n">
        <f aca="false">INDEX(Summary!$N$2:$N$201,MATCH($B1520,Summary!$A$2:$A$201,0))</f>
        <v>9.21</v>
      </c>
      <c r="S1520" s="3" t="n">
        <f aca="false">INDEX(Summary!$O$2:$O$201,MATCH($B1520,Summary!$A$2:$A$201,0))</f>
        <v>8</v>
      </c>
      <c r="T1520" s="3" t="n">
        <f aca="false">INDEX(Summary!$P$2:$P$201,MATCH($B1520,Summary!$A$2:$A$201,0))</f>
        <v>1</v>
      </c>
      <c r="U1520" s="2" t="n">
        <f aca="false">INDEX(Summary!$Q$2:$Q$201,MATCH($B1520,Summary!$A$2:$A$201,0))</f>
        <v>14.79</v>
      </c>
      <c r="V1520" s="2" t="n">
        <f aca="false">INDEX(Summary!$R$2:$R$201,MATCH($B1520,Summary!$A$2:$A$201,0))</f>
        <v>24.66</v>
      </c>
      <c r="W1520" s="0" t="str">
        <f aca="false">INDEX(Summary!$S$2:$S$201,MATCH($B1520,Summary!$A$2:$A$201,0))</f>
        <v>Silver</v>
      </c>
      <c r="X1520" s="2" t="n">
        <f aca="false">INDEX(Summary!$T$2:$T$201,MATCH($B1520,Summary!$A$2:$A$201,0))</f>
        <v>60.15</v>
      </c>
      <c r="Y1520" s="0" t="str">
        <f aca="false">INDEX('Reward Model'!$E$18:$E$37,MATCH($E1520,'Reward Model'!$A$18:$A$37,0))</f>
        <v>High</v>
      </c>
      <c r="Z1520" s="4" t="n">
        <f aca="false">ROUND(MIN(1,MAX('Reward Model'!$B$2,INDEX('Reward Model'!$C$12:$C$14,MATCH($K1520,'Reward Model'!$A$12:$A$14,0))/$J1520)),3)</f>
        <v>1</v>
      </c>
      <c r="AA1520" s="2" t="n">
        <f aca="false">IF($I1520="Correct",ROUND(INDEX('Reward Model'!$B$12:$B$14,MATCH($K1520,'Reward Model'!$A$12:$A$14,0))*Z1520,2),0)</f>
        <v>3</v>
      </c>
      <c r="AB1520" s="2" t="n">
        <f aca="false">IF($I1520="Correct",ROUND(INDEX('Reward Model'!$B$12:$B$14,MATCH($Y1520,'Reward Model'!$A$12:$A$14,0))*Z1520,2),0)</f>
        <v>3</v>
      </c>
    </row>
    <row r="1521" customFormat="false" ht="15" hidden="false" customHeight="false" outlineLevel="0" collapsed="false">
      <c r="A1521" s="0" t="s">
        <v>280</v>
      </c>
      <c r="B1521" s="0" t="s">
        <v>281</v>
      </c>
      <c r="C1521" s="0" t="s">
        <v>30</v>
      </c>
      <c r="D1521" s="0" t="s">
        <v>275</v>
      </c>
      <c r="E1521" s="0" t="n">
        <v>20</v>
      </c>
      <c r="F1521" s="0" t="s">
        <v>81</v>
      </c>
      <c r="G1521" s="0" t="s">
        <v>166</v>
      </c>
      <c r="H1521" s="0" t="s">
        <v>83</v>
      </c>
      <c r="I1521" s="0" t="s">
        <v>39</v>
      </c>
      <c r="J1521" s="0" t="n">
        <v>1.94</v>
      </c>
      <c r="K1521" s="0" t="s">
        <v>73</v>
      </c>
      <c r="L1521" s="0" t="n">
        <f aca="false">INDEX(Summary!$F$2:$F$201,MATCH($B1521,Summary!$A$2:$A$201,0))</f>
        <v>20</v>
      </c>
      <c r="M1521" s="0" t="n">
        <f aca="false">INDEX(Summary!$I$2:$I$201,MATCH($B1521,Summary!$A$2:$A$201,0))</f>
        <v>2</v>
      </c>
      <c r="N1521" s="0" t="n">
        <f aca="false">INDEX(Summary!$J$2:$J$201,MATCH($B1521,Summary!$A$2:$A$201,0))</f>
        <v>3</v>
      </c>
      <c r="O1521" s="2" t="n">
        <f aca="false">INDEX(Summary!$K$2:$K$201,MATCH($B1521,Summary!$A$2:$A$201,0))</f>
        <v>9.73</v>
      </c>
      <c r="P1521" s="3" t="n">
        <f aca="false">INDEX(Summary!$L$2:$L$201,MATCH($B1521,Summary!$A$2:$A$201,0))</f>
        <v>4</v>
      </c>
      <c r="Q1521" s="3" t="n">
        <f aca="false">INDEX(Summary!$M$2:$M$201,MATCH($B1521,Summary!$A$2:$A$201,0))</f>
        <v>2</v>
      </c>
      <c r="R1521" s="2" t="n">
        <f aca="false">INDEX(Summary!$N$2:$N$201,MATCH($B1521,Summary!$A$2:$A$201,0))</f>
        <v>9.21</v>
      </c>
      <c r="S1521" s="3" t="n">
        <f aca="false">INDEX(Summary!$O$2:$O$201,MATCH($B1521,Summary!$A$2:$A$201,0))</f>
        <v>8</v>
      </c>
      <c r="T1521" s="3" t="n">
        <f aca="false">INDEX(Summary!$P$2:$P$201,MATCH($B1521,Summary!$A$2:$A$201,0))</f>
        <v>1</v>
      </c>
      <c r="U1521" s="2" t="n">
        <f aca="false">INDEX(Summary!$Q$2:$Q$201,MATCH($B1521,Summary!$A$2:$A$201,0))</f>
        <v>14.79</v>
      </c>
      <c r="V1521" s="2" t="n">
        <f aca="false">INDEX(Summary!$R$2:$R$201,MATCH($B1521,Summary!$A$2:$A$201,0))</f>
        <v>24.66</v>
      </c>
      <c r="W1521" s="0" t="str">
        <f aca="false">INDEX(Summary!$S$2:$S$201,MATCH($B1521,Summary!$A$2:$A$201,0))</f>
        <v>Silver</v>
      </c>
      <c r="X1521" s="2" t="n">
        <f aca="false">INDEX(Summary!$T$2:$T$201,MATCH($B1521,Summary!$A$2:$A$201,0))</f>
        <v>60.15</v>
      </c>
      <c r="Y1521" s="0" t="str">
        <f aca="false">INDEX('Reward Model'!$E$18:$E$37,MATCH($E1521,'Reward Model'!$A$18:$A$37,0))</f>
        <v>High</v>
      </c>
      <c r="Z1521" s="4" t="n">
        <f aca="false">ROUND(MIN(1,MAX('Reward Model'!$B$2,INDEX('Reward Model'!$C$12:$C$14,MATCH($K1521,'Reward Model'!$A$12:$A$14,0))/$J1521)),3)</f>
        <v>1</v>
      </c>
      <c r="AA1521" s="2" t="n">
        <f aca="false">IF($I1521="Correct",ROUND(INDEX('Reward Model'!$B$12:$B$14,MATCH($K1521,'Reward Model'!$A$12:$A$14,0))*Z1521,2),0)</f>
        <v>0</v>
      </c>
      <c r="AB1521" s="2" t="n">
        <f aca="false">IF($I1521="Correct",ROUND(INDEX('Reward Model'!$B$12:$B$14,MATCH($Y1521,'Reward Model'!$A$12:$A$14,0))*Z1521,2),0)</f>
        <v>0</v>
      </c>
    </row>
    <row r="1522" customFormat="false" ht="15" hidden="false" customHeight="false" outlineLevel="0" collapsed="false">
      <c r="A1522" s="0" t="s">
        <v>282</v>
      </c>
      <c r="B1522" s="0" t="s">
        <v>283</v>
      </c>
      <c r="C1522" s="0" t="s">
        <v>30</v>
      </c>
      <c r="D1522" s="0" t="s">
        <v>275</v>
      </c>
      <c r="E1522" s="0" t="n">
        <v>1</v>
      </c>
      <c r="F1522" s="0" t="s">
        <v>32</v>
      </c>
      <c r="G1522" s="0" t="s">
        <v>33</v>
      </c>
      <c r="H1522" s="0" t="s">
        <v>33</v>
      </c>
      <c r="I1522" s="0" t="s">
        <v>34</v>
      </c>
      <c r="J1522" s="0" t="n">
        <v>1.85</v>
      </c>
      <c r="K1522" s="0" t="s">
        <v>35</v>
      </c>
      <c r="L1522" s="0" t="n">
        <f aca="false">INDEX(Summary!$F$2:$F$201,MATCH($B1522,Summary!$A$2:$A$201,0))</f>
        <v>20</v>
      </c>
      <c r="M1522" s="0" t="n">
        <f aca="false">INDEX(Summary!$I$2:$I$201,MATCH($B1522,Summary!$A$2:$A$201,0))</f>
        <v>2</v>
      </c>
      <c r="N1522" s="0" t="n">
        <f aca="false">INDEX(Summary!$J$2:$J$201,MATCH($B1522,Summary!$A$2:$A$201,0))</f>
        <v>3</v>
      </c>
      <c r="O1522" s="2" t="n">
        <f aca="false">INDEX(Summary!$K$2:$K$201,MATCH($B1522,Summary!$A$2:$A$201,0))</f>
        <v>8.35</v>
      </c>
      <c r="P1522" s="3" t="n">
        <f aca="false">INDEX(Summary!$L$2:$L$201,MATCH($B1522,Summary!$A$2:$A$201,0))</f>
        <v>5</v>
      </c>
      <c r="Q1522" s="3" t="n">
        <f aca="false">INDEX(Summary!$M$2:$M$201,MATCH($B1522,Summary!$A$2:$A$201,0))</f>
        <v>1</v>
      </c>
      <c r="R1522" s="2" t="n">
        <f aca="false">INDEX(Summary!$N$2:$N$201,MATCH($B1522,Summary!$A$2:$A$201,0))</f>
        <v>12.52</v>
      </c>
      <c r="S1522" s="3" t="n">
        <f aca="false">INDEX(Summary!$O$2:$O$201,MATCH($B1522,Summary!$A$2:$A$201,0))</f>
        <v>6</v>
      </c>
      <c r="T1522" s="3" t="n">
        <f aca="false">INDEX(Summary!$P$2:$P$201,MATCH($B1522,Summary!$A$2:$A$201,0))</f>
        <v>3</v>
      </c>
      <c r="U1522" s="2" t="n">
        <f aca="false">INDEX(Summary!$Q$2:$Q$201,MATCH($B1522,Summary!$A$2:$A$201,0))</f>
        <v>13.89</v>
      </c>
      <c r="V1522" s="2" t="n">
        <f aca="false">INDEX(Summary!$R$2:$R$201,MATCH($B1522,Summary!$A$2:$A$201,0))</f>
        <v>23.18</v>
      </c>
      <c r="W1522" s="0" t="str">
        <f aca="false">INDEX(Summary!$S$2:$S$201,MATCH($B1522,Summary!$A$2:$A$201,0))</f>
        <v>Silver</v>
      </c>
      <c r="X1522" s="2" t="n">
        <f aca="false">INDEX(Summary!$T$2:$T$201,MATCH($B1522,Summary!$A$2:$A$201,0))</f>
        <v>56.54</v>
      </c>
      <c r="Y1522" s="0" t="str">
        <f aca="false">INDEX('Reward Model'!$E$18:$E$37,MATCH($E1522,'Reward Model'!$A$18:$A$37,0))</f>
        <v>Medium</v>
      </c>
      <c r="Z1522" s="4" t="n">
        <f aca="false">ROUND(MIN(1,MAX('Reward Model'!$B$2,INDEX('Reward Model'!$C$12:$C$14,MATCH($K1522,'Reward Model'!$A$12:$A$14,0))/$J1522)),3)</f>
        <v>0.811</v>
      </c>
      <c r="AA1522" s="2" t="n">
        <f aca="false">IF($I1522="Correct",ROUND(INDEX('Reward Model'!$B$12:$B$14,MATCH($K1522,'Reward Model'!$A$12:$A$14,0))*Z1522,2),0)</f>
        <v>0.81</v>
      </c>
      <c r="AB1522" s="2" t="n">
        <f aca="false">IF($I1522="Correct",ROUND(INDEX('Reward Model'!$B$12:$B$14,MATCH($Y1522,'Reward Model'!$A$12:$A$14,0))*Z1522,2),0)</f>
        <v>1.62</v>
      </c>
    </row>
    <row r="1523" customFormat="false" ht="15" hidden="false" customHeight="false" outlineLevel="0" collapsed="false">
      <c r="A1523" s="0" t="s">
        <v>282</v>
      </c>
      <c r="B1523" s="0" t="s">
        <v>283</v>
      </c>
      <c r="C1523" s="0" t="s">
        <v>30</v>
      </c>
      <c r="D1523" s="0" t="s">
        <v>275</v>
      </c>
      <c r="E1523" s="0" t="n">
        <v>2</v>
      </c>
      <c r="F1523" s="0" t="s">
        <v>36</v>
      </c>
      <c r="G1523" s="0" t="s">
        <v>94</v>
      </c>
      <c r="H1523" s="0" t="s">
        <v>38</v>
      </c>
      <c r="I1523" s="0" t="s">
        <v>39</v>
      </c>
      <c r="J1523" s="0" t="n">
        <v>1.6</v>
      </c>
      <c r="K1523" s="0" t="s">
        <v>35</v>
      </c>
      <c r="L1523" s="0" t="n">
        <f aca="false">INDEX(Summary!$F$2:$F$201,MATCH($B1523,Summary!$A$2:$A$201,0))</f>
        <v>20</v>
      </c>
      <c r="M1523" s="0" t="n">
        <f aca="false">INDEX(Summary!$I$2:$I$201,MATCH($B1523,Summary!$A$2:$A$201,0))</f>
        <v>2</v>
      </c>
      <c r="N1523" s="0" t="n">
        <f aca="false">INDEX(Summary!$J$2:$J$201,MATCH($B1523,Summary!$A$2:$A$201,0))</f>
        <v>3</v>
      </c>
      <c r="O1523" s="2" t="n">
        <f aca="false">INDEX(Summary!$K$2:$K$201,MATCH($B1523,Summary!$A$2:$A$201,0))</f>
        <v>8.35</v>
      </c>
      <c r="P1523" s="3" t="n">
        <f aca="false">INDEX(Summary!$L$2:$L$201,MATCH($B1523,Summary!$A$2:$A$201,0))</f>
        <v>5</v>
      </c>
      <c r="Q1523" s="3" t="n">
        <f aca="false">INDEX(Summary!$M$2:$M$201,MATCH($B1523,Summary!$A$2:$A$201,0))</f>
        <v>1</v>
      </c>
      <c r="R1523" s="2" t="n">
        <f aca="false">INDEX(Summary!$N$2:$N$201,MATCH($B1523,Summary!$A$2:$A$201,0))</f>
        <v>12.52</v>
      </c>
      <c r="S1523" s="3" t="n">
        <f aca="false">INDEX(Summary!$O$2:$O$201,MATCH($B1523,Summary!$A$2:$A$201,0))</f>
        <v>6</v>
      </c>
      <c r="T1523" s="3" t="n">
        <f aca="false">INDEX(Summary!$P$2:$P$201,MATCH($B1523,Summary!$A$2:$A$201,0))</f>
        <v>3</v>
      </c>
      <c r="U1523" s="2" t="n">
        <f aca="false">INDEX(Summary!$Q$2:$Q$201,MATCH($B1523,Summary!$A$2:$A$201,0))</f>
        <v>13.89</v>
      </c>
      <c r="V1523" s="2" t="n">
        <f aca="false">INDEX(Summary!$R$2:$R$201,MATCH($B1523,Summary!$A$2:$A$201,0))</f>
        <v>23.18</v>
      </c>
      <c r="W1523" s="0" t="str">
        <f aca="false">INDEX(Summary!$S$2:$S$201,MATCH($B1523,Summary!$A$2:$A$201,0))</f>
        <v>Silver</v>
      </c>
      <c r="X1523" s="2" t="n">
        <f aca="false">INDEX(Summary!$T$2:$T$201,MATCH($B1523,Summary!$A$2:$A$201,0))</f>
        <v>56.54</v>
      </c>
      <c r="Y1523" s="0" t="str">
        <f aca="false">INDEX('Reward Model'!$E$18:$E$37,MATCH($E1523,'Reward Model'!$A$18:$A$37,0))</f>
        <v>Low</v>
      </c>
      <c r="Z1523" s="4" t="n">
        <f aca="false">ROUND(MIN(1,MAX('Reward Model'!$B$2,INDEX('Reward Model'!$C$12:$C$14,MATCH($K1523,'Reward Model'!$A$12:$A$14,0))/$J1523)),3)</f>
        <v>0.938</v>
      </c>
      <c r="AA1523" s="2" t="n">
        <f aca="false">IF($I1523="Correct",ROUND(INDEX('Reward Model'!$B$12:$B$14,MATCH($K1523,'Reward Model'!$A$12:$A$14,0))*Z1523,2),0)</f>
        <v>0</v>
      </c>
      <c r="AB1523" s="2" t="n">
        <f aca="false">IF($I1523="Correct",ROUND(INDEX('Reward Model'!$B$12:$B$14,MATCH($Y1523,'Reward Model'!$A$12:$A$14,0))*Z1523,2),0)</f>
        <v>0</v>
      </c>
    </row>
    <row r="1524" customFormat="false" ht="15" hidden="false" customHeight="false" outlineLevel="0" collapsed="false">
      <c r="A1524" s="0" t="s">
        <v>282</v>
      </c>
      <c r="B1524" s="0" t="s">
        <v>283</v>
      </c>
      <c r="C1524" s="0" t="s">
        <v>30</v>
      </c>
      <c r="D1524" s="0" t="s">
        <v>275</v>
      </c>
      <c r="E1524" s="0" t="n">
        <v>3</v>
      </c>
      <c r="F1524" s="0" t="s">
        <v>40</v>
      </c>
      <c r="G1524" s="0" t="s">
        <v>123</v>
      </c>
      <c r="H1524" s="0" t="s">
        <v>42</v>
      </c>
      <c r="I1524" s="0" t="s">
        <v>39</v>
      </c>
      <c r="J1524" s="0" t="n">
        <v>1.71</v>
      </c>
      <c r="K1524" s="0" t="s">
        <v>35</v>
      </c>
      <c r="L1524" s="0" t="n">
        <f aca="false">INDEX(Summary!$F$2:$F$201,MATCH($B1524,Summary!$A$2:$A$201,0))</f>
        <v>20</v>
      </c>
      <c r="M1524" s="0" t="n">
        <f aca="false">INDEX(Summary!$I$2:$I$201,MATCH($B1524,Summary!$A$2:$A$201,0))</f>
        <v>2</v>
      </c>
      <c r="N1524" s="0" t="n">
        <f aca="false">INDEX(Summary!$J$2:$J$201,MATCH($B1524,Summary!$A$2:$A$201,0))</f>
        <v>3</v>
      </c>
      <c r="O1524" s="2" t="n">
        <f aca="false">INDEX(Summary!$K$2:$K$201,MATCH($B1524,Summary!$A$2:$A$201,0))</f>
        <v>8.35</v>
      </c>
      <c r="P1524" s="3" t="n">
        <f aca="false">INDEX(Summary!$L$2:$L$201,MATCH($B1524,Summary!$A$2:$A$201,0))</f>
        <v>5</v>
      </c>
      <c r="Q1524" s="3" t="n">
        <f aca="false">INDEX(Summary!$M$2:$M$201,MATCH($B1524,Summary!$A$2:$A$201,0))</f>
        <v>1</v>
      </c>
      <c r="R1524" s="2" t="n">
        <f aca="false">INDEX(Summary!$N$2:$N$201,MATCH($B1524,Summary!$A$2:$A$201,0))</f>
        <v>12.52</v>
      </c>
      <c r="S1524" s="3" t="n">
        <f aca="false">INDEX(Summary!$O$2:$O$201,MATCH($B1524,Summary!$A$2:$A$201,0))</f>
        <v>6</v>
      </c>
      <c r="T1524" s="3" t="n">
        <f aca="false">INDEX(Summary!$P$2:$P$201,MATCH($B1524,Summary!$A$2:$A$201,0))</f>
        <v>3</v>
      </c>
      <c r="U1524" s="2" t="n">
        <f aca="false">INDEX(Summary!$Q$2:$Q$201,MATCH($B1524,Summary!$A$2:$A$201,0))</f>
        <v>13.89</v>
      </c>
      <c r="V1524" s="2" t="n">
        <f aca="false">INDEX(Summary!$R$2:$R$201,MATCH($B1524,Summary!$A$2:$A$201,0))</f>
        <v>23.18</v>
      </c>
      <c r="W1524" s="0" t="str">
        <f aca="false">INDEX(Summary!$S$2:$S$201,MATCH($B1524,Summary!$A$2:$A$201,0))</f>
        <v>Silver</v>
      </c>
      <c r="X1524" s="2" t="n">
        <f aca="false">INDEX(Summary!$T$2:$T$201,MATCH($B1524,Summary!$A$2:$A$201,0))</f>
        <v>56.54</v>
      </c>
      <c r="Y1524" s="0" t="str">
        <f aca="false">INDEX('Reward Model'!$E$18:$E$37,MATCH($E1524,'Reward Model'!$A$18:$A$37,0))</f>
        <v>Medium</v>
      </c>
      <c r="Z1524" s="4" t="n">
        <f aca="false">ROUND(MIN(1,MAX('Reward Model'!$B$2,INDEX('Reward Model'!$C$12:$C$14,MATCH($K1524,'Reward Model'!$A$12:$A$14,0))/$J1524)),3)</f>
        <v>0.877</v>
      </c>
      <c r="AA1524" s="2" t="n">
        <f aca="false">IF($I1524="Correct",ROUND(INDEX('Reward Model'!$B$12:$B$14,MATCH($K1524,'Reward Model'!$A$12:$A$14,0))*Z1524,2),0)</f>
        <v>0</v>
      </c>
      <c r="AB1524" s="2" t="n">
        <f aca="false">IF($I1524="Correct",ROUND(INDEX('Reward Model'!$B$12:$B$14,MATCH($Y1524,'Reward Model'!$A$12:$A$14,0))*Z1524,2),0)</f>
        <v>0</v>
      </c>
    </row>
    <row r="1525" customFormat="false" ht="15" hidden="false" customHeight="false" outlineLevel="0" collapsed="false">
      <c r="A1525" s="0" t="s">
        <v>282</v>
      </c>
      <c r="B1525" s="0" t="s">
        <v>283</v>
      </c>
      <c r="C1525" s="0" t="s">
        <v>30</v>
      </c>
      <c r="D1525" s="0" t="s">
        <v>275</v>
      </c>
      <c r="E1525" s="0" t="n">
        <v>4</v>
      </c>
      <c r="F1525" s="0" t="s">
        <v>43</v>
      </c>
      <c r="G1525" s="0" t="s">
        <v>45</v>
      </c>
      <c r="H1525" s="0" t="s">
        <v>45</v>
      </c>
      <c r="I1525" s="0" t="s">
        <v>34</v>
      </c>
      <c r="J1525" s="0" t="n">
        <v>1.33</v>
      </c>
      <c r="K1525" s="0" t="s">
        <v>35</v>
      </c>
      <c r="L1525" s="0" t="n">
        <f aca="false">INDEX(Summary!$F$2:$F$201,MATCH($B1525,Summary!$A$2:$A$201,0))</f>
        <v>20</v>
      </c>
      <c r="M1525" s="0" t="n">
        <f aca="false">INDEX(Summary!$I$2:$I$201,MATCH($B1525,Summary!$A$2:$A$201,0))</f>
        <v>2</v>
      </c>
      <c r="N1525" s="0" t="n">
        <f aca="false">INDEX(Summary!$J$2:$J$201,MATCH($B1525,Summary!$A$2:$A$201,0))</f>
        <v>3</v>
      </c>
      <c r="O1525" s="2" t="n">
        <f aca="false">INDEX(Summary!$K$2:$K$201,MATCH($B1525,Summary!$A$2:$A$201,0))</f>
        <v>8.35</v>
      </c>
      <c r="P1525" s="3" t="n">
        <f aca="false">INDEX(Summary!$L$2:$L$201,MATCH($B1525,Summary!$A$2:$A$201,0))</f>
        <v>5</v>
      </c>
      <c r="Q1525" s="3" t="n">
        <f aca="false">INDEX(Summary!$M$2:$M$201,MATCH($B1525,Summary!$A$2:$A$201,0))</f>
        <v>1</v>
      </c>
      <c r="R1525" s="2" t="n">
        <f aca="false">INDEX(Summary!$N$2:$N$201,MATCH($B1525,Summary!$A$2:$A$201,0))</f>
        <v>12.52</v>
      </c>
      <c r="S1525" s="3" t="n">
        <f aca="false">INDEX(Summary!$O$2:$O$201,MATCH($B1525,Summary!$A$2:$A$201,0))</f>
        <v>6</v>
      </c>
      <c r="T1525" s="3" t="n">
        <f aca="false">INDEX(Summary!$P$2:$P$201,MATCH($B1525,Summary!$A$2:$A$201,0))</f>
        <v>3</v>
      </c>
      <c r="U1525" s="2" t="n">
        <f aca="false">INDEX(Summary!$Q$2:$Q$201,MATCH($B1525,Summary!$A$2:$A$201,0))</f>
        <v>13.89</v>
      </c>
      <c r="V1525" s="2" t="n">
        <f aca="false">INDEX(Summary!$R$2:$R$201,MATCH($B1525,Summary!$A$2:$A$201,0))</f>
        <v>23.18</v>
      </c>
      <c r="W1525" s="0" t="str">
        <f aca="false">INDEX(Summary!$S$2:$S$201,MATCH($B1525,Summary!$A$2:$A$201,0))</f>
        <v>Silver</v>
      </c>
      <c r="X1525" s="2" t="n">
        <f aca="false">INDEX(Summary!$T$2:$T$201,MATCH($B1525,Summary!$A$2:$A$201,0))</f>
        <v>56.54</v>
      </c>
      <c r="Y1525" s="0" t="str">
        <f aca="false">INDEX('Reward Model'!$E$18:$E$37,MATCH($E1525,'Reward Model'!$A$18:$A$37,0))</f>
        <v>Low</v>
      </c>
      <c r="Z1525" s="4" t="n">
        <f aca="false">ROUND(MIN(1,MAX('Reward Model'!$B$2,INDEX('Reward Model'!$C$12:$C$14,MATCH($K1525,'Reward Model'!$A$12:$A$14,0))/$J1525)),3)</f>
        <v>1</v>
      </c>
      <c r="AA1525" s="2" t="n">
        <f aca="false">IF($I1525="Correct",ROUND(INDEX('Reward Model'!$B$12:$B$14,MATCH($K1525,'Reward Model'!$A$12:$A$14,0))*Z1525,2),0)</f>
        <v>1</v>
      </c>
      <c r="AB1525" s="2" t="n">
        <f aca="false">IF($I1525="Correct",ROUND(INDEX('Reward Model'!$B$12:$B$14,MATCH($Y1525,'Reward Model'!$A$12:$A$14,0))*Z1525,2),0)</f>
        <v>1</v>
      </c>
    </row>
    <row r="1526" customFormat="false" ht="15" hidden="false" customHeight="false" outlineLevel="0" collapsed="false">
      <c r="A1526" s="0" t="s">
        <v>282</v>
      </c>
      <c r="B1526" s="0" t="s">
        <v>283</v>
      </c>
      <c r="C1526" s="0" t="s">
        <v>30</v>
      </c>
      <c r="D1526" s="0" t="s">
        <v>275</v>
      </c>
      <c r="E1526" s="0" t="n">
        <v>5</v>
      </c>
      <c r="F1526" s="0" t="s">
        <v>46</v>
      </c>
      <c r="G1526" s="0" t="s">
        <v>47</v>
      </c>
      <c r="H1526" s="0" t="s">
        <v>47</v>
      </c>
      <c r="I1526" s="0" t="s">
        <v>34</v>
      </c>
      <c r="J1526" s="0" t="n">
        <v>1.77</v>
      </c>
      <c r="K1526" s="0" t="s">
        <v>35</v>
      </c>
      <c r="L1526" s="0" t="n">
        <f aca="false">INDEX(Summary!$F$2:$F$201,MATCH($B1526,Summary!$A$2:$A$201,0))</f>
        <v>20</v>
      </c>
      <c r="M1526" s="0" t="n">
        <f aca="false">INDEX(Summary!$I$2:$I$201,MATCH($B1526,Summary!$A$2:$A$201,0))</f>
        <v>2</v>
      </c>
      <c r="N1526" s="0" t="n">
        <f aca="false">INDEX(Summary!$J$2:$J$201,MATCH($B1526,Summary!$A$2:$A$201,0))</f>
        <v>3</v>
      </c>
      <c r="O1526" s="2" t="n">
        <f aca="false">INDEX(Summary!$K$2:$K$201,MATCH($B1526,Summary!$A$2:$A$201,0))</f>
        <v>8.35</v>
      </c>
      <c r="P1526" s="3" t="n">
        <f aca="false">INDEX(Summary!$L$2:$L$201,MATCH($B1526,Summary!$A$2:$A$201,0))</f>
        <v>5</v>
      </c>
      <c r="Q1526" s="3" t="n">
        <f aca="false">INDEX(Summary!$M$2:$M$201,MATCH($B1526,Summary!$A$2:$A$201,0))</f>
        <v>1</v>
      </c>
      <c r="R1526" s="2" t="n">
        <f aca="false">INDEX(Summary!$N$2:$N$201,MATCH($B1526,Summary!$A$2:$A$201,0))</f>
        <v>12.52</v>
      </c>
      <c r="S1526" s="3" t="n">
        <f aca="false">INDEX(Summary!$O$2:$O$201,MATCH($B1526,Summary!$A$2:$A$201,0))</f>
        <v>6</v>
      </c>
      <c r="T1526" s="3" t="n">
        <f aca="false">INDEX(Summary!$P$2:$P$201,MATCH($B1526,Summary!$A$2:$A$201,0))</f>
        <v>3</v>
      </c>
      <c r="U1526" s="2" t="n">
        <f aca="false">INDEX(Summary!$Q$2:$Q$201,MATCH($B1526,Summary!$A$2:$A$201,0))</f>
        <v>13.89</v>
      </c>
      <c r="V1526" s="2" t="n">
        <f aca="false">INDEX(Summary!$R$2:$R$201,MATCH($B1526,Summary!$A$2:$A$201,0))</f>
        <v>23.18</v>
      </c>
      <c r="W1526" s="0" t="str">
        <f aca="false">INDEX(Summary!$S$2:$S$201,MATCH($B1526,Summary!$A$2:$A$201,0))</f>
        <v>Silver</v>
      </c>
      <c r="X1526" s="2" t="n">
        <f aca="false">INDEX(Summary!$T$2:$T$201,MATCH($B1526,Summary!$A$2:$A$201,0))</f>
        <v>56.54</v>
      </c>
      <c r="Y1526" s="0" t="str">
        <f aca="false">INDEX('Reward Model'!$E$18:$E$37,MATCH($E1526,'Reward Model'!$A$18:$A$37,0))</f>
        <v>Low</v>
      </c>
      <c r="Z1526" s="4" t="n">
        <f aca="false">ROUND(MIN(1,MAX('Reward Model'!$B$2,INDEX('Reward Model'!$C$12:$C$14,MATCH($K1526,'Reward Model'!$A$12:$A$14,0))/$J1526)),3)</f>
        <v>0.847</v>
      </c>
      <c r="AA1526" s="2" t="n">
        <f aca="false">IF($I1526="Correct",ROUND(INDEX('Reward Model'!$B$12:$B$14,MATCH($K1526,'Reward Model'!$A$12:$A$14,0))*Z1526,2),0)</f>
        <v>0.85</v>
      </c>
      <c r="AB1526" s="2" t="n">
        <f aca="false">IF($I1526="Correct",ROUND(INDEX('Reward Model'!$B$12:$B$14,MATCH($Y1526,'Reward Model'!$A$12:$A$14,0))*Z1526,2),0)</f>
        <v>0.85</v>
      </c>
    </row>
    <row r="1527" customFormat="false" ht="15" hidden="false" customHeight="false" outlineLevel="0" collapsed="false">
      <c r="A1527" s="0" t="s">
        <v>282</v>
      </c>
      <c r="B1527" s="0" t="s">
        <v>283</v>
      </c>
      <c r="C1527" s="0" t="s">
        <v>30</v>
      </c>
      <c r="D1527" s="0" t="s">
        <v>275</v>
      </c>
      <c r="E1527" s="0" t="n">
        <v>6</v>
      </c>
      <c r="F1527" s="0" t="s">
        <v>48</v>
      </c>
      <c r="G1527" s="0" t="s">
        <v>49</v>
      </c>
      <c r="H1527" s="0" t="s">
        <v>49</v>
      </c>
      <c r="I1527" s="0" t="s">
        <v>34</v>
      </c>
      <c r="J1527" s="0" t="n">
        <v>1.06</v>
      </c>
      <c r="K1527" s="0" t="s">
        <v>35</v>
      </c>
      <c r="L1527" s="0" t="n">
        <f aca="false">INDEX(Summary!$F$2:$F$201,MATCH($B1527,Summary!$A$2:$A$201,0))</f>
        <v>20</v>
      </c>
      <c r="M1527" s="0" t="n">
        <f aca="false">INDEX(Summary!$I$2:$I$201,MATCH($B1527,Summary!$A$2:$A$201,0))</f>
        <v>2</v>
      </c>
      <c r="N1527" s="0" t="n">
        <f aca="false">INDEX(Summary!$J$2:$J$201,MATCH($B1527,Summary!$A$2:$A$201,0))</f>
        <v>3</v>
      </c>
      <c r="O1527" s="2" t="n">
        <f aca="false">INDEX(Summary!$K$2:$K$201,MATCH($B1527,Summary!$A$2:$A$201,0))</f>
        <v>8.35</v>
      </c>
      <c r="P1527" s="3" t="n">
        <f aca="false">INDEX(Summary!$L$2:$L$201,MATCH($B1527,Summary!$A$2:$A$201,0))</f>
        <v>5</v>
      </c>
      <c r="Q1527" s="3" t="n">
        <f aca="false">INDEX(Summary!$M$2:$M$201,MATCH($B1527,Summary!$A$2:$A$201,0))</f>
        <v>1</v>
      </c>
      <c r="R1527" s="2" t="n">
        <f aca="false">INDEX(Summary!$N$2:$N$201,MATCH($B1527,Summary!$A$2:$A$201,0))</f>
        <v>12.52</v>
      </c>
      <c r="S1527" s="3" t="n">
        <f aca="false">INDEX(Summary!$O$2:$O$201,MATCH($B1527,Summary!$A$2:$A$201,0))</f>
        <v>6</v>
      </c>
      <c r="T1527" s="3" t="n">
        <f aca="false">INDEX(Summary!$P$2:$P$201,MATCH($B1527,Summary!$A$2:$A$201,0))</f>
        <v>3</v>
      </c>
      <c r="U1527" s="2" t="n">
        <f aca="false">INDEX(Summary!$Q$2:$Q$201,MATCH($B1527,Summary!$A$2:$A$201,0))</f>
        <v>13.89</v>
      </c>
      <c r="V1527" s="2" t="n">
        <f aca="false">INDEX(Summary!$R$2:$R$201,MATCH($B1527,Summary!$A$2:$A$201,0))</f>
        <v>23.18</v>
      </c>
      <c r="W1527" s="0" t="str">
        <f aca="false">INDEX(Summary!$S$2:$S$201,MATCH($B1527,Summary!$A$2:$A$201,0))</f>
        <v>Silver</v>
      </c>
      <c r="X1527" s="2" t="n">
        <f aca="false">INDEX(Summary!$T$2:$T$201,MATCH($B1527,Summary!$A$2:$A$201,0))</f>
        <v>56.54</v>
      </c>
      <c r="Y1527" s="0" t="str">
        <f aca="false">INDEX('Reward Model'!$E$18:$E$37,MATCH($E1527,'Reward Model'!$A$18:$A$37,0))</f>
        <v>Medium</v>
      </c>
      <c r="Z1527" s="4" t="n">
        <f aca="false">ROUND(MIN(1,MAX('Reward Model'!$B$2,INDEX('Reward Model'!$C$12:$C$14,MATCH($K1527,'Reward Model'!$A$12:$A$14,0))/$J1527)),3)</f>
        <v>1</v>
      </c>
      <c r="AA1527" s="2" t="n">
        <f aca="false">IF($I1527="Correct",ROUND(INDEX('Reward Model'!$B$12:$B$14,MATCH($K1527,'Reward Model'!$A$12:$A$14,0))*Z1527,2),0)</f>
        <v>1</v>
      </c>
      <c r="AB1527" s="2" t="n">
        <f aca="false">IF($I1527="Correct",ROUND(INDEX('Reward Model'!$B$12:$B$14,MATCH($Y1527,'Reward Model'!$A$12:$A$14,0))*Z1527,2),0)</f>
        <v>2</v>
      </c>
    </row>
    <row r="1528" customFormat="false" ht="15" hidden="false" customHeight="false" outlineLevel="0" collapsed="false">
      <c r="A1528" s="0" t="s">
        <v>282</v>
      </c>
      <c r="B1528" s="0" t="s">
        <v>283</v>
      </c>
      <c r="C1528" s="0" t="s">
        <v>30</v>
      </c>
      <c r="D1528" s="0" t="s">
        <v>275</v>
      </c>
      <c r="E1528" s="0" t="n">
        <v>7</v>
      </c>
      <c r="F1528" s="0" t="s">
        <v>50</v>
      </c>
      <c r="G1528" s="0" t="s">
        <v>144</v>
      </c>
      <c r="H1528" s="0" t="s">
        <v>51</v>
      </c>
      <c r="I1528" s="0" t="s">
        <v>39</v>
      </c>
      <c r="J1528" s="0" t="n">
        <v>0.94</v>
      </c>
      <c r="K1528" s="0" t="s">
        <v>35</v>
      </c>
      <c r="L1528" s="0" t="n">
        <f aca="false">INDEX(Summary!$F$2:$F$201,MATCH($B1528,Summary!$A$2:$A$201,0))</f>
        <v>20</v>
      </c>
      <c r="M1528" s="0" t="n">
        <f aca="false">INDEX(Summary!$I$2:$I$201,MATCH($B1528,Summary!$A$2:$A$201,0))</f>
        <v>2</v>
      </c>
      <c r="N1528" s="0" t="n">
        <f aca="false">INDEX(Summary!$J$2:$J$201,MATCH($B1528,Summary!$A$2:$A$201,0))</f>
        <v>3</v>
      </c>
      <c r="O1528" s="2" t="n">
        <f aca="false">INDEX(Summary!$K$2:$K$201,MATCH($B1528,Summary!$A$2:$A$201,0))</f>
        <v>8.35</v>
      </c>
      <c r="P1528" s="3" t="n">
        <f aca="false">INDEX(Summary!$L$2:$L$201,MATCH($B1528,Summary!$A$2:$A$201,0))</f>
        <v>5</v>
      </c>
      <c r="Q1528" s="3" t="n">
        <f aca="false">INDEX(Summary!$M$2:$M$201,MATCH($B1528,Summary!$A$2:$A$201,0))</f>
        <v>1</v>
      </c>
      <c r="R1528" s="2" t="n">
        <f aca="false">INDEX(Summary!$N$2:$N$201,MATCH($B1528,Summary!$A$2:$A$201,0))</f>
        <v>12.52</v>
      </c>
      <c r="S1528" s="3" t="n">
        <f aca="false">INDEX(Summary!$O$2:$O$201,MATCH($B1528,Summary!$A$2:$A$201,0))</f>
        <v>6</v>
      </c>
      <c r="T1528" s="3" t="n">
        <f aca="false">INDEX(Summary!$P$2:$P$201,MATCH($B1528,Summary!$A$2:$A$201,0))</f>
        <v>3</v>
      </c>
      <c r="U1528" s="2" t="n">
        <f aca="false">INDEX(Summary!$Q$2:$Q$201,MATCH($B1528,Summary!$A$2:$A$201,0))</f>
        <v>13.89</v>
      </c>
      <c r="V1528" s="2" t="n">
        <f aca="false">INDEX(Summary!$R$2:$R$201,MATCH($B1528,Summary!$A$2:$A$201,0))</f>
        <v>23.18</v>
      </c>
      <c r="W1528" s="0" t="str">
        <f aca="false">INDEX(Summary!$S$2:$S$201,MATCH($B1528,Summary!$A$2:$A$201,0))</f>
        <v>Silver</v>
      </c>
      <c r="X1528" s="2" t="n">
        <f aca="false">INDEX(Summary!$T$2:$T$201,MATCH($B1528,Summary!$A$2:$A$201,0))</f>
        <v>56.54</v>
      </c>
      <c r="Y1528" s="0" t="str">
        <f aca="false">INDEX('Reward Model'!$E$18:$E$37,MATCH($E1528,'Reward Model'!$A$18:$A$37,0))</f>
        <v>Low</v>
      </c>
      <c r="Z1528" s="4" t="n">
        <f aca="false">ROUND(MIN(1,MAX('Reward Model'!$B$2,INDEX('Reward Model'!$C$12:$C$14,MATCH($K1528,'Reward Model'!$A$12:$A$14,0))/$J1528)),3)</f>
        <v>1</v>
      </c>
      <c r="AA1528" s="2" t="n">
        <f aca="false">IF($I1528="Correct",ROUND(INDEX('Reward Model'!$B$12:$B$14,MATCH($K1528,'Reward Model'!$A$12:$A$14,0))*Z1528,2),0)</f>
        <v>0</v>
      </c>
      <c r="AB1528" s="2" t="n">
        <f aca="false">IF($I1528="Correct",ROUND(INDEX('Reward Model'!$B$12:$B$14,MATCH($Y1528,'Reward Model'!$A$12:$A$14,0))*Z1528,2),0)</f>
        <v>0</v>
      </c>
    </row>
    <row r="1529" customFormat="false" ht="15" hidden="false" customHeight="false" outlineLevel="0" collapsed="false">
      <c r="A1529" s="0" t="s">
        <v>282</v>
      </c>
      <c r="B1529" s="0" t="s">
        <v>283</v>
      </c>
      <c r="C1529" s="0" t="s">
        <v>30</v>
      </c>
      <c r="D1529" s="0" t="s">
        <v>275</v>
      </c>
      <c r="E1529" s="0" t="n">
        <v>8</v>
      </c>
      <c r="F1529" s="0" t="s">
        <v>52</v>
      </c>
      <c r="G1529" s="0" t="s">
        <v>54</v>
      </c>
      <c r="H1529" s="0" t="s">
        <v>54</v>
      </c>
      <c r="I1529" s="0" t="s">
        <v>34</v>
      </c>
      <c r="J1529" s="0" t="n">
        <v>1.88</v>
      </c>
      <c r="K1529" s="0" t="s">
        <v>35</v>
      </c>
      <c r="L1529" s="0" t="n">
        <f aca="false">INDEX(Summary!$F$2:$F$201,MATCH($B1529,Summary!$A$2:$A$201,0))</f>
        <v>20</v>
      </c>
      <c r="M1529" s="0" t="n">
        <f aca="false">INDEX(Summary!$I$2:$I$201,MATCH($B1529,Summary!$A$2:$A$201,0))</f>
        <v>2</v>
      </c>
      <c r="N1529" s="0" t="n">
        <f aca="false">INDEX(Summary!$J$2:$J$201,MATCH($B1529,Summary!$A$2:$A$201,0))</f>
        <v>3</v>
      </c>
      <c r="O1529" s="2" t="n">
        <f aca="false">INDEX(Summary!$K$2:$K$201,MATCH($B1529,Summary!$A$2:$A$201,0))</f>
        <v>8.35</v>
      </c>
      <c r="P1529" s="3" t="n">
        <f aca="false">INDEX(Summary!$L$2:$L$201,MATCH($B1529,Summary!$A$2:$A$201,0))</f>
        <v>5</v>
      </c>
      <c r="Q1529" s="3" t="n">
        <f aca="false">INDEX(Summary!$M$2:$M$201,MATCH($B1529,Summary!$A$2:$A$201,0))</f>
        <v>1</v>
      </c>
      <c r="R1529" s="2" t="n">
        <f aca="false">INDEX(Summary!$N$2:$N$201,MATCH($B1529,Summary!$A$2:$A$201,0))</f>
        <v>12.52</v>
      </c>
      <c r="S1529" s="3" t="n">
        <f aca="false">INDEX(Summary!$O$2:$O$201,MATCH($B1529,Summary!$A$2:$A$201,0))</f>
        <v>6</v>
      </c>
      <c r="T1529" s="3" t="n">
        <f aca="false">INDEX(Summary!$P$2:$P$201,MATCH($B1529,Summary!$A$2:$A$201,0))</f>
        <v>3</v>
      </c>
      <c r="U1529" s="2" t="n">
        <f aca="false">INDEX(Summary!$Q$2:$Q$201,MATCH($B1529,Summary!$A$2:$A$201,0))</f>
        <v>13.89</v>
      </c>
      <c r="V1529" s="2" t="n">
        <f aca="false">INDEX(Summary!$R$2:$R$201,MATCH($B1529,Summary!$A$2:$A$201,0))</f>
        <v>23.18</v>
      </c>
      <c r="W1529" s="0" t="str">
        <f aca="false">INDEX(Summary!$S$2:$S$201,MATCH($B1529,Summary!$A$2:$A$201,0))</f>
        <v>Silver</v>
      </c>
      <c r="X1529" s="2" t="n">
        <f aca="false">INDEX(Summary!$T$2:$T$201,MATCH($B1529,Summary!$A$2:$A$201,0))</f>
        <v>56.54</v>
      </c>
      <c r="Y1529" s="0" t="str">
        <f aca="false">INDEX('Reward Model'!$E$18:$E$37,MATCH($E1529,'Reward Model'!$A$18:$A$37,0))</f>
        <v>Medium</v>
      </c>
      <c r="Z1529" s="4" t="n">
        <f aca="false">ROUND(MIN(1,MAX('Reward Model'!$B$2,INDEX('Reward Model'!$C$12:$C$14,MATCH($K1529,'Reward Model'!$A$12:$A$14,0))/$J1529)),3)</f>
        <v>0.798</v>
      </c>
      <c r="AA1529" s="2" t="n">
        <f aca="false">IF($I1529="Correct",ROUND(INDEX('Reward Model'!$B$12:$B$14,MATCH($K1529,'Reward Model'!$A$12:$A$14,0))*Z1529,2),0)</f>
        <v>0.8</v>
      </c>
      <c r="AB1529" s="2" t="n">
        <f aca="false">IF($I1529="Correct",ROUND(INDEX('Reward Model'!$B$12:$B$14,MATCH($Y1529,'Reward Model'!$A$12:$A$14,0))*Z1529,2),0)</f>
        <v>1.6</v>
      </c>
    </row>
    <row r="1530" customFormat="false" ht="15" hidden="false" customHeight="false" outlineLevel="0" collapsed="false">
      <c r="A1530" s="0" t="s">
        <v>282</v>
      </c>
      <c r="B1530" s="0" t="s">
        <v>283</v>
      </c>
      <c r="C1530" s="0" t="s">
        <v>30</v>
      </c>
      <c r="D1530" s="0" t="s">
        <v>275</v>
      </c>
      <c r="E1530" s="0" t="n">
        <v>9</v>
      </c>
      <c r="F1530" s="0" t="s">
        <v>55</v>
      </c>
      <c r="G1530" s="0" t="s">
        <v>57</v>
      </c>
      <c r="H1530" s="0" t="s">
        <v>57</v>
      </c>
      <c r="I1530" s="0" t="s">
        <v>34</v>
      </c>
      <c r="J1530" s="0" t="n">
        <v>1.75</v>
      </c>
      <c r="K1530" s="0" t="s">
        <v>35</v>
      </c>
      <c r="L1530" s="0" t="n">
        <f aca="false">INDEX(Summary!$F$2:$F$201,MATCH($B1530,Summary!$A$2:$A$201,0))</f>
        <v>20</v>
      </c>
      <c r="M1530" s="0" t="n">
        <f aca="false">INDEX(Summary!$I$2:$I$201,MATCH($B1530,Summary!$A$2:$A$201,0))</f>
        <v>2</v>
      </c>
      <c r="N1530" s="0" t="n">
        <f aca="false">INDEX(Summary!$J$2:$J$201,MATCH($B1530,Summary!$A$2:$A$201,0))</f>
        <v>3</v>
      </c>
      <c r="O1530" s="2" t="n">
        <f aca="false">INDEX(Summary!$K$2:$K$201,MATCH($B1530,Summary!$A$2:$A$201,0))</f>
        <v>8.35</v>
      </c>
      <c r="P1530" s="3" t="n">
        <f aca="false">INDEX(Summary!$L$2:$L$201,MATCH($B1530,Summary!$A$2:$A$201,0))</f>
        <v>5</v>
      </c>
      <c r="Q1530" s="3" t="n">
        <f aca="false">INDEX(Summary!$M$2:$M$201,MATCH($B1530,Summary!$A$2:$A$201,0))</f>
        <v>1</v>
      </c>
      <c r="R1530" s="2" t="n">
        <f aca="false">INDEX(Summary!$N$2:$N$201,MATCH($B1530,Summary!$A$2:$A$201,0))</f>
        <v>12.52</v>
      </c>
      <c r="S1530" s="3" t="n">
        <f aca="false">INDEX(Summary!$O$2:$O$201,MATCH($B1530,Summary!$A$2:$A$201,0))</f>
        <v>6</v>
      </c>
      <c r="T1530" s="3" t="n">
        <f aca="false">INDEX(Summary!$P$2:$P$201,MATCH($B1530,Summary!$A$2:$A$201,0))</f>
        <v>3</v>
      </c>
      <c r="U1530" s="2" t="n">
        <f aca="false">INDEX(Summary!$Q$2:$Q$201,MATCH($B1530,Summary!$A$2:$A$201,0))</f>
        <v>13.89</v>
      </c>
      <c r="V1530" s="2" t="n">
        <f aca="false">INDEX(Summary!$R$2:$R$201,MATCH($B1530,Summary!$A$2:$A$201,0))</f>
        <v>23.18</v>
      </c>
      <c r="W1530" s="0" t="str">
        <f aca="false">INDEX(Summary!$S$2:$S$201,MATCH($B1530,Summary!$A$2:$A$201,0))</f>
        <v>Silver</v>
      </c>
      <c r="X1530" s="2" t="n">
        <f aca="false">INDEX(Summary!$T$2:$T$201,MATCH($B1530,Summary!$A$2:$A$201,0))</f>
        <v>56.54</v>
      </c>
      <c r="Y1530" s="0" t="str">
        <f aca="false">INDEX('Reward Model'!$E$18:$E$37,MATCH($E1530,'Reward Model'!$A$18:$A$37,0))</f>
        <v>Medium</v>
      </c>
      <c r="Z1530" s="4" t="n">
        <f aca="false">ROUND(MIN(1,MAX('Reward Model'!$B$2,INDEX('Reward Model'!$C$12:$C$14,MATCH($K1530,'Reward Model'!$A$12:$A$14,0))/$J1530)),3)</f>
        <v>0.857</v>
      </c>
      <c r="AA1530" s="2" t="n">
        <f aca="false">IF($I1530="Correct",ROUND(INDEX('Reward Model'!$B$12:$B$14,MATCH($K1530,'Reward Model'!$A$12:$A$14,0))*Z1530,2),0)</f>
        <v>0.86</v>
      </c>
      <c r="AB1530" s="2" t="n">
        <f aca="false">IF($I1530="Correct",ROUND(INDEX('Reward Model'!$B$12:$B$14,MATCH($Y1530,'Reward Model'!$A$12:$A$14,0))*Z1530,2),0)</f>
        <v>1.71</v>
      </c>
    </row>
    <row r="1531" customFormat="false" ht="15" hidden="false" customHeight="false" outlineLevel="0" collapsed="false">
      <c r="A1531" s="0" t="s">
        <v>282</v>
      </c>
      <c r="B1531" s="0" t="s">
        <v>283</v>
      </c>
      <c r="C1531" s="0" t="s">
        <v>30</v>
      </c>
      <c r="D1531" s="0" t="s">
        <v>275</v>
      </c>
      <c r="E1531" s="0" t="n">
        <v>10</v>
      </c>
      <c r="F1531" s="0" t="s">
        <v>58</v>
      </c>
      <c r="G1531" s="0" t="s">
        <v>59</v>
      </c>
      <c r="H1531" s="0" t="s">
        <v>59</v>
      </c>
      <c r="I1531" s="0" t="s">
        <v>34</v>
      </c>
      <c r="J1531" s="0" t="n">
        <v>2.04</v>
      </c>
      <c r="K1531" s="0" t="s">
        <v>60</v>
      </c>
      <c r="L1531" s="0" t="n">
        <f aca="false">INDEX(Summary!$F$2:$F$201,MATCH($B1531,Summary!$A$2:$A$201,0))</f>
        <v>20</v>
      </c>
      <c r="M1531" s="0" t="n">
        <f aca="false">INDEX(Summary!$I$2:$I$201,MATCH($B1531,Summary!$A$2:$A$201,0))</f>
        <v>2</v>
      </c>
      <c r="N1531" s="0" t="n">
        <f aca="false">INDEX(Summary!$J$2:$J$201,MATCH($B1531,Summary!$A$2:$A$201,0))</f>
        <v>3</v>
      </c>
      <c r="O1531" s="2" t="n">
        <f aca="false">INDEX(Summary!$K$2:$K$201,MATCH($B1531,Summary!$A$2:$A$201,0))</f>
        <v>8.35</v>
      </c>
      <c r="P1531" s="3" t="n">
        <f aca="false">INDEX(Summary!$L$2:$L$201,MATCH($B1531,Summary!$A$2:$A$201,0))</f>
        <v>5</v>
      </c>
      <c r="Q1531" s="3" t="n">
        <f aca="false">INDEX(Summary!$M$2:$M$201,MATCH($B1531,Summary!$A$2:$A$201,0))</f>
        <v>1</v>
      </c>
      <c r="R1531" s="2" t="n">
        <f aca="false">INDEX(Summary!$N$2:$N$201,MATCH($B1531,Summary!$A$2:$A$201,0))</f>
        <v>12.52</v>
      </c>
      <c r="S1531" s="3" t="n">
        <f aca="false">INDEX(Summary!$O$2:$O$201,MATCH($B1531,Summary!$A$2:$A$201,0))</f>
        <v>6</v>
      </c>
      <c r="T1531" s="3" t="n">
        <f aca="false">INDEX(Summary!$P$2:$P$201,MATCH($B1531,Summary!$A$2:$A$201,0))</f>
        <v>3</v>
      </c>
      <c r="U1531" s="2" t="n">
        <f aca="false">INDEX(Summary!$Q$2:$Q$201,MATCH($B1531,Summary!$A$2:$A$201,0))</f>
        <v>13.89</v>
      </c>
      <c r="V1531" s="2" t="n">
        <f aca="false">INDEX(Summary!$R$2:$R$201,MATCH($B1531,Summary!$A$2:$A$201,0))</f>
        <v>23.18</v>
      </c>
      <c r="W1531" s="0" t="str">
        <f aca="false">INDEX(Summary!$S$2:$S$201,MATCH($B1531,Summary!$A$2:$A$201,0))</f>
        <v>Silver</v>
      </c>
      <c r="X1531" s="2" t="n">
        <f aca="false">INDEX(Summary!$T$2:$T$201,MATCH($B1531,Summary!$A$2:$A$201,0))</f>
        <v>56.54</v>
      </c>
      <c r="Y1531" s="0" t="str">
        <f aca="false">INDEX('Reward Model'!$E$18:$E$37,MATCH($E1531,'Reward Model'!$A$18:$A$37,0))</f>
        <v>Medium</v>
      </c>
      <c r="Z1531" s="4" t="n">
        <f aca="false">ROUND(MIN(1,MAX('Reward Model'!$B$2,INDEX('Reward Model'!$C$12:$C$14,MATCH($K1531,'Reward Model'!$A$12:$A$14,0))/$J1531)),3)</f>
        <v>0.882</v>
      </c>
      <c r="AA1531" s="2" t="n">
        <f aca="false">IF($I1531="Correct",ROUND(INDEX('Reward Model'!$B$12:$B$14,MATCH($K1531,'Reward Model'!$A$12:$A$14,0))*Z1531,2),0)</f>
        <v>1.76</v>
      </c>
      <c r="AB1531" s="2" t="n">
        <f aca="false">IF($I1531="Correct",ROUND(INDEX('Reward Model'!$B$12:$B$14,MATCH($Y1531,'Reward Model'!$A$12:$A$14,0))*Z1531,2),0)</f>
        <v>1.76</v>
      </c>
    </row>
    <row r="1532" customFormat="false" ht="15" hidden="false" customHeight="false" outlineLevel="0" collapsed="false">
      <c r="A1532" s="0" t="s">
        <v>282</v>
      </c>
      <c r="B1532" s="0" t="s">
        <v>283</v>
      </c>
      <c r="C1532" s="0" t="s">
        <v>30</v>
      </c>
      <c r="D1532" s="0" t="s">
        <v>275</v>
      </c>
      <c r="E1532" s="0" t="n">
        <v>11</v>
      </c>
      <c r="F1532" s="0" t="s">
        <v>61</v>
      </c>
      <c r="G1532" s="0" t="s">
        <v>63</v>
      </c>
      <c r="H1532" s="0" t="s">
        <v>63</v>
      </c>
      <c r="I1532" s="0" t="s">
        <v>34</v>
      </c>
      <c r="J1532" s="0" t="n">
        <v>2.13</v>
      </c>
      <c r="K1532" s="0" t="s">
        <v>60</v>
      </c>
      <c r="L1532" s="0" t="n">
        <f aca="false">INDEX(Summary!$F$2:$F$201,MATCH($B1532,Summary!$A$2:$A$201,0))</f>
        <v>20</v>
      </c>
      <c r="M1532" s="0" t="n">
        <f aca="false">INDEX(Summary!$I$2:$I$201,MATCH($B1532,Summary!$A$2:$A$201,0))</f>
        <v>2</v>
      </c>
      <c r="N1532" s="0" t="n">
        <f aca="false">INDEX(Summary!$J$2:$J$201,MATCH($B1532,Summary!$A$2:$A$201,0))</f>
        <v>3</v>
      </c>
      <c r="O1532" s="2" t="n">
        <f aca="false">INDEX(Summary!$K$2:$K$201,MATCH($B1532,Summary!$A$2:$A$201,0))</f>
        <v>8.35</v>
      </c>
      <c r="P1532" s="3" t="n">
        <f aca="false">INDEX(Summary!$L$2:$L$201,MATCH($B1532,Summary!$A$2:$A$201,0))</f>
        <v>5</v>
      </c>
      <c r="Q1532" s="3" t="n">
        <f aca="false">INDEX(Summary!$M$2:$M$201,MATCH($B1532,Summary!$A$2:$A$201,0))</f>
        <v>1</v>
      </c>
      <c r="R1532" s="2" t="n">
        <f aca="false">INDEX(Summary!$N$2:$N$201,MATCH($B1532,Summary!$A$2:$A$201,0))</f>
        <v>12.52</v>
      </c>
      <c r="S1532" s="3" t="n">
        <f aca="false">INDEX(Summary!$O$2:$O$201,MATCH($B1532,Summary!$A$2:$A$201,0))</f>
        <v>6</v>
      </c>
      <c r="T1532" s="3" t="n">
        <f aca="false">INDEX(Summary!$P$2:$P$201,MATCH($B1532,Summary!$A$2:$A$201,0))</f>
        <v>3</v>
      </c>
      <c r="U1532" s="2" t="n">
        <f aca="false">INDEX(Summary!$Q$2:$Q$201,MATCH($B1532,Summary!$A$2:$A$201,0))</f>
        <v>13.89</v>
      </c>
      <c r="V1532" s="2" t="n">
        <f aca="false">INDEX(Summary!$R$2:$R$201,MATCH($B1532,Summary!$A$2:$A$201,0))</f>
        <v>23.18</v>
      </c>
      <c r="W1532" s="0" t="str">
        <f aca="false">INDEX(Summary!$S$2:$S$201,MATCH($B1532,Summary!$A$2:$A$201,0))</f>
        <v>Silver</v>
      </c>
      <c r="X1532" s="2" t="n">
        <f aca="false">INDEX(Summary!$T$2:$T$201,MATCH($B1532,Summary!$A$2:$A$201,0))</f>
        <v>56.54</v>
      </c>
      <c r="Y1532" s="0" t="str">
        <f aca="false">INDEX('Reward Model'!$E$18:$E$37,MATCH($E1532,'Reward Model'!$A$18:$A$37,0))</f>
        <v>Medium</v>
      </c>
      <c r="Z1532" s="4" t="n">
        <f aca="false">ROUND(MIN(1,MAX('Reward Model'!$B$2,INDEX('Reward Model'!$C$12:$C$14,MATCH($K1532,'Reward Model'!$A$12:$A$14,0))/$J1532)),3)</f>
        <v>0.845</v>
      </c>
      <c r="AA1532" s="2" t="n">
        <f aca="false">IF($I1532="Correct",ROUND(INDEX('Reward Model'!$B$12:$B$14,MATCH($K1532,'Reward Model'!$A$12:$A$14,0))*Z1532,2),0)</f>
        <v>1.69</v>
      </c>
      <c r="AB1532" s="2" t="n">
        <f aca="false">IF($I1532="Correct",ROUND(INDEX('Reward Model'!$B$12:$B$14,MATCH($Y1532,'Reward Model'!$A$12:$A$14,0))*Z1532,2),0)</f>
        <v>1.69</v>
      </c>
    </row>
    <row r="1533" customFormat="false" ht="15" hidden="false" customHeight="false" outlineLevel="0" collapsed="false">
      <c r="A1533" s="0" t="s">
        <v>282</v>
      </c>
      <c r="B1533" s="0" t="s">
        <v>283</v>
      </c>
      <c r="C1533" s="0" t="s">
        <v>30</v>
      </c>
      <c r="D1533" s="0" t="s">
        <v>275</v>
      </c>
      <c r="E1533" s="0" t="n">
        <v>12</v>
      </c>
      <c r="F1533" s="0" t="s">
        <v>64</v>
      </c>
      <c r="G1533" s="0" t="s">
        <v>65</v>
      </c>
      <c r="H1533" s="0" t="s">
        <v>65</v>
      </c>
      <c r="I1533" s="0" t="s">
        <v>34</v>
      </c>
      <c r="J1533" s="0" t="n">
        <v>2.26</v>
      </c>
      <c r="K1533" s="0" t="s">
        <v>60</v>
      </c>
      <c r="L1533" s="0" t="n">
        <f aca="false">INDEX(Summary!$F$2:$F$201,MATCH($B1533,Summary!$A$2:$A$201,0))</f>
        <v>20</v>
      </c>
      <c r="M1533" s="0" t="n">
        <f aca="false">INDEX(Summary!$I$2:$I$201,MATCH($B1533,Summary!$A$2:$A$201,0))</f>
        <v>2</v>
      </c>
      <c r="N1533" s="0" t="n">
        <f aca="false">INDEX(Summary!$J$2:$J$201,MATCH($B1533,Summary!$A$2:$A$201,0))</f>
        <v>3</v>
      </c>
      <c r="O1533" s="2" t="n">
        <f aca="false">INDEX(Summary!$K$2:$K$201,MATCH($B1533,Summary!$A$2:$A$201,0))</f>
        <v>8.35</v>
      </c>
      <c r="P1533" s="3" t="n">
        <f aca="false">INDEX(Summary!$L$2:$L$201,MATCH($B1533,Summary!$A$2:$A$201,0))</f>
        <v>5</v>
      </c>
      <c r="Q1533" s="3" t="n">
        <f aca="false">INDEX(Summary!$M$2:$M$201,MATCH($B1533,Summary!$A$2:$A$201,0))</f>
        <v>1</v>
      </c>
      <c r="R1533" s="2" t="n">
        <f aca="false">INDEX(Summary!$N$2:$N$201,MATCH($B1533,Summary!$A$2:$A$201,0))</f>
        <v>12.52</v>
      </c>
      <c r="S1533" s="3" t="n">
        <f aca="false">INDEX(Summary!$O$2:$O$201,MATCH($B1533,Summary!$A$2:$A$201,0))</f>
        <v>6</v>
      </c>
      <c r="T1533" s="3" t="n">
        <f aca="false">INDEX(Summary!$P$2:$P$201,MATCH($B1533,Summary!$A$2:$A$201,0))</f>
        <v>3</v>
      </c>
      <c r="U1533" s="2" t="n">
        <f aca="false">INDEX(Summary!$Q$2:$Q$201,MATCH($B1533,Summary!$A$2:$A$201,0))</f>
        <v>13.89</v>
      </c>
      <c r="V1533" s="2" t="n">
        <f aca="false">INDEX(Summary!$R$2:$R$201,MATCH($B1533,Summary!$A$2:$A$201,0))</f>
        <v>23.18</v>
      </c>
      <c r="W1533" s="0" t="str">
        <f aca="false">INDEX(Summary!$S$2:$S$201,MATCH($B1533,Summary!$A$2:$A$201,0))</f>
        <v>Silver</v>
      </c>
      <c r="X1533" s="2" t="n">
        <f aca="false">INDEX(Summary!$T$2:$T$201,MATCH($B1533,Summary!$A$2:$A$201,0))</f>
        <v>56.54</v>
      </c>
      <c r="Y1533" s="0" t="str">
        <f aca="false">INDEX('Reward Model'!$E$18:$E$37,MATCH($E1533,'Reward Model'!$A$18:$A$37,0))</f>
        <v>Medium</v>
      </c>
      <c r="Z1533" s="4" t="n">
        <f aca="false">ROUND(MIN(1,MAX('Reward Model'!$B$2,INDEX('Reward Model'!$C$12:$C$14,MATCH($K1533,'Reward Model'!$A$12:$A$14,0))/$J1533)),3)</f>
        <v>0.796</v>
      </c>
      <c r="AA1533" s="2" t="n">
        <f aca="false">IF($I1533="Correct",ROUND(INDEX('Reward Model'!$B$12:$B$14,MATCH($K1533,'Reward Model'!$A$12:$A$14,0))*Z1533,2),0)</f>
        <v>1.59</v>
      </c>
      <c r="AB1533" s="2" t="n">
        <f aca="false">IF($I1533="Correct",ROUND(INDEX('Reward Model'!$B$12:$B$14,MATCH($Y1533,'Reward Model'!$A$12:$A$14,0))*Z1533,2),0)</f>
        <v>1.59</v>
      </c>
    </row>
    <row r="1534" customFormat="false" ht="15" hidden="false" customHeight="false" outlineLevel="0" collapsed="false">
      <c r="A1534" s="0" t="s">
        <v>282</v>
      </c>
      <c r="B1534" s="0" t="s">
        <v>283</v>
      </c>
      <c r="C1534" s="0" t="s">
        <v>30</v>
      </c>
      <c r="D1534" s="0" t="s">
        <v>275</v>
      </c>
      <c r="E1534" s="0" t="n">
        <v>13</v>
      </c>
      <c r="F1534" s="0" t="s">
        <v>66</v>
      </c>
      <c r="G1534" s="0" t="s">
        <v>67</v>
      </c>
      <c r="H1534" s="0" t="s">
        <v>67</v>
      </c>
      <c r="I1534" s="0" t="s">
        <v>34</v>
      </c>
      <c r="J1534" s="0" t="n">
        <v>2.05</v>
      </c>
      <c r="K1534" s="0" t="s">
        <v>60</v>
      </c>
      <c r="L1534" s="0" t="n">
        <f aca="false">INDEX(Summary!$F$2:$F$201,MATCH($B1534,Summary!$A$2:$A$201,0))</f>
        <v>20</v>
      </c>
      <c r="M1534" s="0" t="n">
        <f aca="false">INDEX(Summary!$I$2:$I$201,MATCH($B1534,Summary!$A$2:$A$201,0))</f>
        <v>2</v>
      </c>
      <c r="N1534" s="0" t="n">
        <f aca="false">INDEX(Summary!$J$2:$J$201,MATCH($B1534,Summary!$A$2:$A$201,0))</f>
        <v>3</v>
      </c>
      <c r="O1534" s="2" t="n">
        <f aca="false">INDEX(Summary!$K$2:$K$201,MATCH($B1534,Summary!$A$2:$A$201,0))</f>
        <v>8.35</v>
      </c>
      <c r="P1534" s="3" t="n">
        <f aca="false">INDEX(Summary!$L$2:$L$201,MATCH($B1534,Summary!$A$2:$A$201,0))</f>
        <v>5</v>
      </c>
      <c r="Q1534" s="3" t="n">
        <f aca="false">INDEX(Summary!$M$2:$M$201,MATCH($B1534,Summary!$A$2:$A$201,0))</f>
        <v>1</v>
      </c>
      <c r="R1534" s="2" t="n">
        <f aca="false">INDEX(Summary!$N$2:$N$201,MATCH($B1534,Summary!$A$2:$A$201,0))</f>
        <v>12.52</v>
      </c>
      <c r="S1534" s="3" t="n">
        <f aca="false">INDEX(Summary!$O$2:$O$201,MATCH($B1534,Summary!$A$2:$A$201,0))</f>
        <v>6</v>
      </c>
      <c r="T1534" s="3" t="n">
        <f aca="false">INDEX(Summary!$P$2:$P$201,MATCH($B1534,Summary!$A$2:$A$201,0))</f>
        <v>3</v>
      </c>
      <c r="U1534" s="2" t="n">
        <f aca="false">INDEX(Summary!$Q$2:$Q$201,MATCH($B1534,Summary!$A$2:$A$201,0))</f>
        <v>13.89</v>
      </c>
      <c r="V1534" s="2" t="n">
        <f aca="false">INDEX(Summary!$R$2:$R$201,MATCH($B1534,Summary!$A$2:$A$201,0))</f>
        <v>23.18</v>
      </c>
      <c r="W1534" s="0" t="str">
        <f aca="false">INDEX(Summary!$S$2:$S$201,MATCH($B1534,Summary!$A$2:$A$201,0))</f>
        <v>Silver</v>
      </c>
      <c r="X1534" s="2" t="n">
        <f aca="false">INDEX(Summary!$T$2:$T$201,MATCH($B1534,Summary!$A$2:$A$201,0))</f>
        <v>56.54</v>
      </c>
      <c r="Y1534" s="0" t="str">
        <f aca="false">INDEX('Reward Model'!$E$18:$E$37,MATCH($E1534,'Reward Model'!$A$18:$A$37,0))</f>
        <v>Medium</v>
      </c>
      <c r="Z1534" s="4" t="n">
        <f aca="false">ROUND(MIN(1,MAX('Reward Model'!$B$2,INDEX('Reward Model'!$C$12:$C$14,MATCH($K1534,'Reward Model'!$A$12:$A$14,0))/$J1534)),3)</f>
        <v>0.878</v>
      </c>
      <c r="AA1534" s="2" t="n">
        <f aca="false">IF($I1534="Correct",ROUND(INDEX('Reward Model'!$B$12:$B$14,MATCH($K1534,'Reward Model'!$A$12:$A$14,0))*Z1534,2),0)</f>
        <v>1.76</v>
      </c>
      <c r="AB1534" s="2" t="n">
        <f aca="false">IF($I1534="Correct",ROUND(INDEX('Reward Model'!$B$12:$B$14,MATCH($Y1534,'Reward Model'!$A$12:$A$14,0))*Z1534,2),0)</f>
        <v>1.76</v>
      </c>
    </row>
    <row r="1535" customFormat="false" ht="15" hidden="false" customHeight="false" outlineLevel="0" collapsed="false">
      <c r="A1535" s="0" t="s">
        <v>282</v>
      </c>
      <c r="B1535" s="0" t="s">
        <v>283</v>
      </c>
      <c r="C1535" s="0" t="s">
        <v>30</v>
      </c>
      <c r="D1535" s="0" t="s">
        <v>275</v>
      </c>
      <c r="E1535" s="0" t="n">
        <v>14</v>
      </c>
      <c r="F1535" s="0" t="s">
        <v>68</v>
      </c>
      <c r="G1535" s="0" t="s">
        <v>51</v>
      </c>
      <c r="H1535" s="0" t="s">
        <v>51</v>
      </c>
      <c r="I1535" s="0" t="s">
        <v>34</v>
      </c>
      <c r="J1535" s="0" t="n">
        <v>2.25</v>
      </c>
      <c r="K1535" s="0" t="s">
        <v>60</v>
      </c>
      <c r="L1535" s="0" t="n">
        <f aca="false">INDEX(Summary!$F$2:$F$201,MATCH($B1535,Summary!$A$2:$A$201,0))</f>
        <v>20</v>
      </c>
      <c r="M1535" s="0" t="n">
        <f aca="false">INDEX(Summary!$I$2:$I$201,MATCH($B1535,Summary!$A$2:$A$201,0))</f>
        <v>2</v>
      </c>
      <c r="N1535" s="0" t="n">
        <f aca="false">INDEX(Summary!$J$2:$J$201,MATCH($B1535,Summary!$A$2:$A$201,0))</f>
        <v>3</v>
      </c>
      <c r="O1535" s="2" t="n">
        <f aca="false">INDEX(Summary!$K$2:$K$201,MATCH($B1535,Summary!$A$2:$A$201,0))</f>
        <v>8.35</v>
      </c>
      <c r="P1535" s="3" t="n">
        <f aca="false">INDEX(Summary!$L$2:$L$201,MATCH($B1535,Summary!$A$2:$A$201,0))</f>
        <v>5</v>
      </c>
      <c r="Q1535" s="3" t="n">
        <f aca="false">INDEX(Summary!$M$2:$M$201,MATCH($B1535,Summary!$A$2:$A$201,0))</f>
        <v>1</v>
      </c>
      <c r="R1535" s="2" t="n">
        <f aca="false">INDEX(Summary!$N$2:$N$201,MATCH($B1535,Summary!$A$2:$A$201,0))</f>
        <v>12.52</v>
      </c>
      <c r="S1535" s="3" t="n">
        <f aca="false">INDEX(Summary!$O$2:$O$201,MATCH($B1535,Summary!$A$2:$A$201,0))</f>
        <v>6</v>
      </c>
      <c r="T1535" s="3" t="n">
        <f aca="false">INDEX(Summary!$P$2:$P$201,MATCH($B1535,Summary!$A$2:$A$201,0))</f>
        <v>3</v>
      </c>
      <c r="U1535" s="2" t="n">
        <f aca="false">INDEX(Summary!$Q$2:$Q$201,MATCH($B1535,Summary!$A$2:$A$201,0))</f>
        <v>13.89</v>
      </c>
      <c r="V1535" s="2" t="n">
        <f aca="false">INDEX(Summary!$R$2:$R$201,MATCH($B1535,Summary!$A$2:$A$201,0))</f>
        <v>23.18</v>
      </c>
      <c r="W1535" s="0" t="str">
        <f aca="false">INDEX(Summary!$S$2:$S$201,MATCH($B1535,Summary!$A$2:$A$201,0))</f>
        <v>Silver</v>
      </c>
      <c r="X1535" s="2" t="n">
        <f aca="false">INDEX(Summary!$T$2:$T$201,MATCH($B1535,Summary!$A$2:$A$201,0))</f>
        <v>56.54</v>
      </c>
      <c r="Y1535" s="0" t="str">
        <f aca="false">INDEX('Reward Model'!$E$18:$E$37,MATCH($E1535,'Reward Model'!$A$18:$A$37,0))</f>
        <v>Medium</v>
      </c>
      <c r="Z1535" s="4" t="n">
        <f aca="false">ROUND(MIN(1,MAX('Reward Model'!$B$2,INDEX('Reward Model'!$C$12:$C$14,MATCH($K1535,'Reward Model'!$A$12:$A$14,0))/$J1535)),3)</f>
        <v>0.8</v>
      </c>
      <c r="AA1535" s="2" t="n">
        <f aca="false">IF($I1535="Correct",ROUND(INDEX('Reward Model'!$B$12:$B$14,MATCH($K1535,'Reward Model'!$A$12:$A$14,0))*Z1535,2),0)</f>
        <v>1.6</v>
      </c>
      <c r="AB1535" s="2" t="n">
        <f aca="false">IF($I1535="Correct",ROUND(INDEX('Reward Model'!$B$12:$B$14,MATCH($Y1535,'Reward Model'!$A$12:$A$14,0))*Z1535,2),0)</f>
        <v>1.6</v>
      </c>
    </row>
    <row r="1536" customFormat="false" ht="15" hidden="false" customHeight="false" outlineLevel="0" collapsed="false">
      <c r="A1536" s="0" t="s">
        <v>282</v>
      </c>
      <c r="B1536" s="0" t="s">
        <v>283</v>
      </c>
      <c r="C1536" s="0" t="s">
        <v>30</v>
      </c>
      <c r="D1536" s="0" t="s">
        <v>275</v>
      </c>
      <c r="E1536" s="0" t="n">
        <v>15</v>
      </c>
      <c r="F1536" s="0" t="s">
        <v>69</v>
      </c>
      <c r="G1536" s="0" t="s">
        <v>139</v>
      </c>
      <c r="H1536" s="0" t="s">
        <v>70</v>
      </c>
      <c r="I1536" s="0" t="s">
        <v>39</v>
      </c>
      <c r="J1536" s="0" t="n">
        <v>1.79</v>
      </c>
      <c r="K1536" s="0" t="s">
        <v>60</v>
      </c>
      <c r="L1536" s="0" t="n">
        <f aca="false">INDEX(Summary!$F$2:$F$201,MATCH($B1536,Summary!$A$2:$A$201,0))</f>
        <v>20</v>
      </c>
      <c r="M1536" s="0" t="n">
        <f aca="false">INDEX(Summary!$I$2:$I$201,MATCH($B1536,Summary!$A$2:$A$201,0))</f>
        <v>2</v>
      </c>
      <c r="N1536" s="0" t="n">
        <f aca="false">INDEX(Summary!$J$2:$J$201,MATCH($B1536,Summary!$A$2:$A$201,0))</f>
        <v>3</v>
      </c>
      <c r="O1536" s="2" t="n">
        <f aca="false">INDEX(Summary!$K$2:$K$201,MATCH($B1536,Summary!$A$2:$A$201,0))</f>
        <v>8.35</v>
      </c>
      <c r="P1536" s="3" t="n">
        <f aca="false">INDEX(Summary!$L$2:$L$201,MATCH($B1536,Summary!$A$2:$A$201,0))</f>
        <v>5</v>
      </c>
      <c r="Q1536" s="3" t="n">
        <f aca="false">INDEX(Summary!$M$2:$M$201,MATCH($B1536,Summary!$A$2:$A$201,0))</f>
        <v>1</v>
      </c>
      <c r="R1536" s="2" t="n">
        <f aca="false">INDEX(Summary!$N$2:$N$201,MATCH($B1536,Summary!$A$2:$A$201,0))</f>
        <v>12.52</v>
      </c>
      <c r="S1536" s="3" t="n">
        <f aca="false">INDEX(Summary!$O$2:$O$201,MATCH($B1536,Summary!$A$2:$A$201,0))</f>
        <v>6</v>
      </c>
      <c r="T1536" s="3" t="n">
        <f aca="false">INDEX(Summary!$P$2:$P$201,MATCH($B1536,Summary!$A$2:$A$201,0))</f>
        <v>3</v>
      </c>
      <c r="U1536" s="2" t="n">
        <f aca="false">INDEX(Summary!$Q$2:$Q$201,MATCH($B1536,Summary!$A$2:$A$201,0))</f>
        <v>13.89</v>
      </c>
      <c r="V1536" s="2" t="n">
        <f aca="false">INDEX(Summary!$R$2:$R$201,MATCH($B1536,Summary!$A$2:$A$201,0))</f>
        <v>23.18</v>
      </c>
      <c r="W1536" s="0" t="str">
        <f aca="false">INDEX(Summary!$S$2:$S$201,MATCH($B1536,Summary!$A$2:$A$201,0))</f>
        <v>Silver</v>
      </c>
      <c r="X1536" s="2" t="n">
        <f aca="false">INDEX(Summary!$T$2:$T$201,MATCH($B1536,Summary!$A$2:$A$201,0))</f>
        <v>56.54</v>
      </c>
      <c r="Y1536" s="0" t="str">
        <f aca="false">INDEX('Reward Model'!$E$18:$E$37,MATCH($E1536,'Reward Model'!$A$18:$A$37,0))</f>
        <v>Medium</v>
      </c>
      <c r="Z1536" s="4" t="n">
        <f aca="false">ROUND(MIN(1,MAX('Reward Model'!$B$2,INDEX('Reward Model'!$C$12:$C$14,MATCH($K1536,'Reward Model'!$A$12:$A$14,0))/$J1536)),3)</f>
        <v>1</v>
      </c>
      <c r="AA1536" s="2" t="n">
        <f aca="false">IF($I1536="Correct",ROUND(INDEX('Reward Model'!$B$12:$B$14,MATCH($K1536,'Reward Model'!$A$12:$A$14,0))*Z1536,2),0)</f>
        <v>0</v>
      </c>
      <c r="AB1536" s="2" t="n">
        <f aca="false">IF($I1536="Correct",ROUND(INDEX('Reward Model'!$B$12:$B$14,MATCH($Y1536,'Reward Model'!$A$12:$A$14,0))*Z1536,2),0)</f>
        <v>0</v>
      </c>
    </row>
    <row r="1537" customFormat="false" ht="15" hidden="false" customHeight="false" outlineLevel="0" collapsed="false">
      <c r="A1537" s="0" t="s">
        <v>282</v>
      </c>
      <c r="B1537" s="0" t="s">
        <v>283</v>
      </c>
      <c r="C1537" s="0" t="s">
        <v>30</v>
      </c>
      <c r="D1537" s="0" t="s">
        <v>275</v>
      </c>
      <c r="E1537" s="0" t="n">
        <v>16</v>
      </c>
      <c r="F1537" s="0" t="s">
        <v>71</v>
      </c>
      <c r="G1537" s="0" t="s">
        <v>101</v>
      </c>
      <c r="H1537" s="0" t="s">
        <v>72</v>
      </c>
      <c r="I1537" s="0" t="s">
        <v>39</v>
      </c>
      <c r="J1537" s="0" t="n">
        <v>1.32</v>
      </c>
      <c r="K1537" s="0" t="s">
        <v>73</v>
      </c>
      <c r="L1537" s="0" t="n">
        <f aca="false">INDEX(Summary!$F$2:$F$201,MATCH($B1537,Summary!$A$2:$A$201,0))</f>
        <v>20</v>
      </c>
      <c r="M1537" s="0" t="n">
        <f aca="false">INDEX(Summary!$I$2:$I$201,MATCH($B1537,Summary!$A$2:$A$201,0))</f>
        <v>2</v>
      </c>
      <c r="N1537" s="0" t="n">
        <f aca="false">INDEX(Summary!$J$2:$J$201,MATCH($B1537,Summary!$A$2:$A$201,0))</f>
        <v>3</v>
      </c>
      <c r="O1537" s="2" t="n">
        <f aca="false">INDEX(Summary!$K$2:$K$201,MATCH($B1537,Summary!$A$2:$A$201,0))</f>
        <v>8.35</v>
      </c>
      <c r="P1537" s="3" t="n">
        <f aca="false">INDEX(Summary!$L$2:$L$201,MATCH($B1537,Summary!$A$2:$A$201,0))</f>
        <v>5</v>
      </c>
      <c r="Q1537" s="3" t="n">
        <f aca="false">INDEX(Summary!$M$2:$M$201,MATCH($B1537,Summary!$A$2:$A$201,0))</f>
        <v>1</v>
      </c>
      <c r="R1537" s="2" t="n">
        <f aca="false">INDEX(Summary!$N$2:$N$201,MATCH($B1537,Summary!$A$2:$A$201,0))</f>
        <v>12.52</v>
      </c>
      <c r="S1537" s="3" t="n">
        <f aca="false">INDEX(Summary!$O$2:$O$201,MATCH($B1537,Summary!$A$2:$A$201,0))</f>
        <v>6</v>
      </c>
      <c r="T1537" s="3" t="n">
        <f aca="false">INDEX(Summary!$P$2:$P$201,MATCH($B1537,Summary!$A$2:$A$201,0))</f>
        <v>3</v>
      </c>
      <c r="U1537" s="2" t="n">
        <f aca="false">INDEX(Summary!$Q$2:$Q$201,MATCH($B1537,Summary!$A$2:$A$201,0))</f>
        <v>13.89</v>
      </c>
      <c r="V1537" s="2" t="n">
        <f aca="false">INDEX(Summary!$R$2:$R$201,MATCH($B1537,Summary!$A$2:$A$201,0))</f>
        <v>23.18</v>
      </c>
      <c r="W1537" s="0" t="str">
        <f aca="false">INDEX(Summary!$S$2:$S$201,MATCH($B1537,Summary!$A$2:$A$201,0))</f>
        <v>Silver</v>
      </c>
      <c r="X1537" s="2" t="n">
        <f aca="false">INDEX(Summary!$T$2:$T$201,MATCH($B1537,Summary!$A$2:$A$201,0))</f>
        <v>56.54</v>
      </c>
      <c r="Y1537" s="0" t="str">
        <f aca="false">INDEX('Reward Model'!$E$18:$E$37,MATCH($E1537,'Reward Model'!$A$18:$A$37,0))</f>
        <v>High</v>
      </c>
      <c r="Z1537" s="4" t="n">
        <f aca="false">ROUND(MIN(1,MAX('Reward Model'!$B$2,INDEX('Reward Model'!$C$12:$C$14,MATCH($K1537,'Reward Model'!$A$12:$A$14,0))/$J1537)),3)</f>
        <v>1</v>
      </c>
      <c r="AA1537" s="2" t="n">
        <f aca="false">IF($I1537="Correct",ROUND(INDEX('Reward Model'!$B$12:$B$14,MATCH($K1537,'Reward Model'!$A$12:$A$14,0))*Z1537,2),0)</f>
        <v>0</v>
      </c>
      <c r="AB1537" s="2" t="n">
        <f aca="false">IF($I1537="Correct",ROUND(INDEX('Reward Model'!$B$12:$B$14,MATCH($Y1537,'Reward Model'!$A$12:$A$14,0))*Z1537,2),0)</f>
        <v>0</v>
      </c>
    </row>
    <row r="1538" customFormat="false" ht="15" hidden="false" customHeight="false" outlineLevel="0" collapsed="false">
      <c r="A1538" s="0" t="s">
        <v>282</v>
      </c>
      <c r="B1538" s="0" t="s">
        <v>283</v>
      </c>
      <c r="C1538" s="0" t="s">
        <v>30</v>
      </c>
      <c r="D1538" s="0" t="s">
        <v>275</v>
      </c>
      <c r="E1538" s="0" t="n">
        <v>17</v>
      </c>
      <c r="F1538" s="0" t="s">
        <v>74</v>
      </c>
      <c r="G1538" s="0" t="s">
        <v>75</v>
      </c>
      <c r="H1538" s="0" t="s">
        <v>75</v>
      </c>
      <c r="I1538" s="0" t="s">
        <v>34</v>
      </c>
      <c r="J1538" s="0" t="n">
        <v>1.93</v>
      </c>
      <c r="K1538" s="0" t="s">
        <v>73</v>
      </c>
      <c r="L1538" s="0" t="n">
        <f aca="false">INDEX(Summary!$F$2:$F$201,MATCH($B1538,Summary!$A$2:$A$201,0))</f>
        <v>20</v>
      </c>
      <c r="M1538" s="0" t="n">
        <f aca="false">INDEX(Summary!$I$2:$I$201,MATCH($B1538,Summary!$A$2:$A$201,0))</f>
        <v>2</v>
      </c>
      <c r="N1538" s="0" t="n">
        <f aca="false">INDEX(Summary!$J$2:$J$201,MATCH($B1538,Summary!$A$2:$A$201,0))</f>
        <v>3</v>
      </c>
      <c r="O1538" s="2" t="n">
        <f aca="false">INDEX(Summary!$K$2:$K$201,MATCH($B1538,Summary!$A$2:$A$201,0))</f>
        <v>8.35</v>
      </c>
      <c r="P1538" s="3" t="n">
        <f aca="false">INDEX(Summary!$L$2:$L$201,MATCH($B1538,Summary!$A$2:$A$201,0))</f>
        <v>5</v>
      </c>
      <c r="Q1538" s="3" t="n">
        <f aca="false">INDEX(Summary!$M$2:$M$201,MATCH($B1538,Summary!$A$2:$A$201,0))</f>
        <v>1</v>
      </c>
      <c r="R1538" s="2" t="n">
        <f aca="false">INDEX(Summary!$N$2:$N$201,MATCH($B1538,Summary!$A$2:$A$201,0))</f>
        <v>12.52</v>
      </c>
      <c r="S1538" s="3" t="n">
        <f aca="false">INDEX(Summary!$O$2:$O$201,MATCH($B1538,Summary!$A$2:$A$201,0))</f>
        <v>6</v>
      </c>
      <c r="T1538" s="3" t="n">
        <f aca="false">INDEX(Summary!$P$2:$P$201,MATCH($B1538,Summary!$A$2:$A$201,0))</f>
        <v>3</v>
      </c>
      <c r="U1538" s="2" t="n">
        <f aca="false">INDEX(Summary!$Q$2:$Q$201,MATCH($B1538,Summary!$A$2:$A$201,0))</f>
        <v>13.89</v>
      </c>
      <c r="V1538" s="2" t="n">
        <f aca="false">INDEX(Summary!$R$2:$R$201,MATCH($B1538,Summary!$A$2:$A$201,0))</f>
        <v>23.18</v>
      </c>
      <c r="W1538" s="0" t="str">
        <f aca="false">INDEX(Summary!$S$2:$S$201,MATCH($B1538,Summary!$A$2:$A$201,0))</f>
        <v>Silver</v>
      </c>
      <c r="X1538" s="2" t="n">
        <f aca="false">INDEX(Summary!$T$2:$T$201,MATCH($B1538,Summary!$A$2:$A$201,0))</f>
        <v>56.54</v>
      </c>
      <c r="Y1538" s="0" t="str">
        <f aca="false">INDEX('Reward Model'!$E$18:$E$37,MATCH($E1538,'Reward Model'!$A$18:$A$37,0))</f>
        <v>High</v>
      </c>
      <c r="Z1538" s="4" t="n">
        <f aca="false">ROUND(MIN(1,MAX('Reward Model'!$B$2,INDEX('Reward Model'!$C$12:$C$14,MATCH($K1538,'Reward Model'!$A$12:$A$14,0))/$J1538)),3)</f>
        <v>1</v>
      </c>
      <c r="AA1538" s="2" t="n">
        <f aca="false">IF($I1538="Correct",ROUND(INDEX('Reward Model'!$B$12:$B$14,MATCH($K1538,'Reward Model'!$A$12:$A$14,0))*Z1538,2),0)</f>
        <v>3</v>
      </c>
      <c r="AB1538" s="2" t="n">
        <f aca="false">IF($I1538="Correct",ROUND(INDEX('Reward Model'!$B$12:$B$14,MATCH($Y1538,'Reward Model'!$A$12:$A$14,0))*Z1538,2),0)</f>
        <v>3</v>
      </c>
    </row>
    <row r="1539" customFormat="false" ht="15" hidden="false" customHeight="false" outlineLevel="0" collapsed="false">
      <c r="A1539" s="0" t="s">
        <v>282</v>
      </c>
      <c r="B1539" s="0" t="s">
        <v>283</v>
      </c>
      <c r="C1539" s="0" t="s">
        <v>30</v>
      </c>
      <c r="D1539" s="0" t="s">
        <v>275</v>
      </c>
      <c r="E1539" s="0" t="n">
        <v>18</v>
      </c>
      <c r="F1539" s="0" t="s">
        <v>76</v>
      </c>
      <c r="G1539" s="0" t="s">
        <v>77</v>
      </c>
      <c r="H1539" s="0" t="s">
        <v>77</v>
      </c>
      <c r="I1539" s="0" t="s">
        <v>34</v>
      </c>
      <c r="J1539" s="0" t="n">
        <v>1.39</v>
      </c>
      <c r="K1539" s="0" t="s">
        <v>73</v>
      </c>
      <c r="L1539" s="0" t="n">
        <f aca="false">INDEX(Summary!$F$2:$F$201,MATCH($B1539,Summary!$A$2:$A$201,0))</f>
        <v>20</v>
      </c>
      <c r="M1539" s="0" t="n">
        <f aca="false">INDEX(Summary!$I$2:$I$201,MATCH($B1539,Summary!$A$2:$A$201,0))</f>
        <v>2</v>
      </c>
      <c r="N1539" s="0" t="n">
        <f aca="false">INDEX(Summary!$J$2:$J$201,MATCH($B1539,Summary!$A$2:$A$201,0))</f>
        <v>3</v>
      </c>
      <c r="O1539" s="2" t="n">
        <f aca="false">INDEX(Summary!$K$2:$K$201,MATCH($B1539,Summary!$A$2:$A$201,0))</f>
        <v>8.35</v>
      </c>
      <c r="P1539" s="3" t="n">
        <f aca="false">INDEX(Summary!$L$2:$L$201,MATCH($B1539,Summary!$A$2:$A$201,0))</f>
        <v>5</v>
      </c>
      <c r="Q1539" s="3" t="n">
        <f aca="false">INDEX(Summary!$M$2:$M$201,MATCH($B1539,Summary!$A$2:$A$201,0))</f>
        <v>1</v>
      </c>
      <c r="R1539" s="2" t="n">
        <f aca="false">INDEX(Summary!$N$2:$N$201,MATCH($B1539,Summary!$A$2:$A$201,0))</f>
        <v>12.52</v>
      </c>
      <c r="S1539" s="3" t="n">
        <f aca="false">INDEX(Summary!$O$2:$O$201,MATCH($B1539,Summary!$A$2:$A$201,0))</f>
        <v>6</v>
      </c>
      <c r="T1539" s="3" t="n">
        <f aca="false">INDEX(Summary!$P$2:$P$201,MATCH($B1539,Summary!$A$2:$A$201,0))</f>
        <v>3</v>
      </c>
      <c r="U1539" s="2" t="n">
        <f aca="false">INDEX(Summary!$Q$2:$Q$201,MATCH($B1539,Summary!$A$2:$A$201,0))</f>
        <v>13.89</v>
      </c>
      <c r="V1539" s="2" t="n">
        <f aca="false">INDEX(Summary!$R$2:$R$201,MATCH($B1539,Summary!$A$2:$A$201,0))</f>
        <v>23.18</v>
      </c>
      <c r="W1539" s="0" t="str">
        <f aca="false">INDEX(Summary!$S$2:$S$201,MATCH($B1539,Summary!$A$2:$A$201,0))</f>
        <v>Silver</v>
      </c>
      <c r="X1539" s="2" t="n">
        <f aca="false">INDEX(Summary!$T$2:$T$201,MATCH($B1539,Summary!$A$2:$A$201,0))</f>
        <v>56.54</v>
      </c>
      <c r="Y1539" s="0" t="str">
        <f aca="false">INDEX('Reward Model'!$E$18:$E$37,MATCH($E1539,'Reward Model'!$A$18:$A$37,0))</f>
        <v>High</v>
      </c>
      <c r="Z1539" s="4" t="n">
        <f aca="false">ROUND(MIN(1,MAX('Reward Model'!$B$2,INDEX('Reward Model'!$C$12:$C$14,MATCH($K1539,'Reward Model'!$A$12:$A$14,0))/$J1539)),3)</f>
        <v>1</v>
      </c>
      <c r="AA1539" s="2" t="n">
        <f aca="false">IF($I1539="Correct",ROUND(INDEX('Reward Model'!$B$12:$B$14,MATCH($K1539,'Reward Model'!$A$12:$A$14,0))*Z1539,2),0)</f>
        <v>3</v>
      </c>
      <c r="AB1539" s="2" t="n">
        <f aca="false">IF($I1539="Correct",ROUND(INDEX('Reward Model'!$B$12:$B$14,MATCH($Y1539,'Reward Model'!$A$12:$A$14,0))*Z1539,2),0)</f>
        <v>3</v>
      </c>
    </row>
    <row r="1540" customFormat="false" ht="15" hidden="false" customHeight="false" outlineLevel="0" collapsed="false">
      <c r="A1540" s="0" t="s">
        <v>282</v>
      </c>
      <c r="B1540" s="0" t="s">
        <v>283</v>
      </c>
      <c r="C1540" s="0" t="s">
        <v>30</v>
      </c>
      <c r="D1540" s="0" t="s">
        <v>275</v>
      </c>
      <c r="E1540" s="0" t="n">
        <v>19</v>
      </c>
      <c r="F1540" s="0" t="s">
        <v>78</v>
      </c>
      <c r="G1540" s="0" t="s">
        <v>132</v>
      </c>
      <c r="H1540" s="0" t="s">
        <v>80</v>
      </c>
      <c r="I1540" s="0" t="s">
        <v>39</v>
      </c>
      <c r="J1540" s="0" t="n">
        <v>1.41</v>
      </c>
      <c r="K1540" s="0" t="s">
        <v>73</v>
      </c>
      <c r="L1540" s="0" t="n">
        <f aca="false">INDEX(Summary!$F$2:$F$201,MATCH($B1540,Summary!$A$2:$A$201,0))</f>
        <v>20</v>
      </c>
      <c r="M1540" s="0" t="n">
        <f aca="false">INDEX(Summary!$I$2:$I$201,MATCH($B1540,Summary!$A$2:$A$201,0))</f>
        <v>2</v>
      </c>
      <c r="N1540" s="0" t="n">
        <f aca="false">INDEX(Summary!$J$2:$J$201,MATCH($B1540,Summary!$A$2:$A$201,0))</f>
        <v>3</v>
      </c>
      <c r="O1540" s="2" t="n">
        <f aca="false">INDEX(Summary!$K$2:$K$201,MATCH($B1540,Summary!$A$2:$A$201,0))</f>
        <v>8.35</v>
      </c>
      <c r="P1540" s="3" t="n">
        <f aca="false">INDEX(Summary!$L$2:$L$201,MATCH($B1540,Summary!$A$2:$A$201,0))</f>
        <v>5</v>
      </c>
      <c r="Q1540" s="3" t="n">
        <f aca="false">INDEX(Summary!$M$2:$M$201,MATCH($B1540,Summary!$A$2:$A$201,0))</f>
        <v>1</v>
      </c>
      <c r="R1540" s="2" t="n">
        <f aca="false">INDEX(Summary!$N$2:$N$201,MATCH($B1540,Summary!$A$2:$A$201,0))</f>
        <v>12.52</v>
      </c>
      <c r="S1540" s="3" t="n">
        <f aca="false">INDEX(Summary!$O$2:$O$201,MATCH($B1540,Summary!$A$2:$A$201,0))</f>
        <v>6</v>
      </c>
      <c r="T1540" s="3" t="n">
        <f aca="false">INDEX(Summary!$P$2:$P$201,MATCH($B1540,Summary!$A$2:$A$201,0))</f>
        <v>3</v>
      </c>
      <c r="U1540" s="2" t="n">
        <f aca="false">INDEX(Summary!$Q$2:$Q$201,MATCH($B1540,Summary!$A$2:$A$201,0))</f>
        <v>13.89</v>
      </c>
      <c r="V1540" s="2" t="n">
        <f aca="false">INDEX(Summary!$R$2:$R$201,MATCH($B1540,Summary!$A$2:$A$201,0))</f>
        <v>23.18</v>
      </c>
      <c r="W1540" s="0" t="str">
        <f aca="false">INDEX(Summary!$S$2:$S$201,MATCH($B1540,Summary!$A$2:$A$201,0))</f>
        <v>Silver</v>
      </c>
      <c r="X1540" s="2" t="n">
        <f aca="false">INDEX(Summary!$T$2:$T$201,MATCH($B1540,Summary!$A$2:$A$201,0))</f>
        <v>56.54</v>
      </c>
      <c r="Y1540" s="0" t="str">
        <f aca="false">INDEX('Reward Model'!$E$18:$E$37,MATCH($E1540,'Reward Model'!$A$18:$A$37,0))</f>
        <v>High</v>
      </c>
      <c r="Z1540" s="4" t="n">
        <f aca="false">ROUND(MIN(1,MAX('Reward Model'!$B$2,INDEX('Reward Model'!$C$12:$C$14,MATCH($K1540,'Reward Model'!$A$12:$A$14,0))/$J1540)),3)</f>
        <v>1</v>
      </c>
      <c r="AA1540" s="2" t="n">
        <f aca="false">IF($I1540="Correct",ROUND(INDEX('Reward Model'!$B$12:$B$14,MATCH($K1540,'Reward Model'!$A$12:$A$14,0))*Z1540,2),0)</f>
        <v>0</v>
      </c>
      <c r="AB1540" s="2" t="n">
        <f aca="false">IF($I1540="Correct",ROUND(INDEX('Reward Model'!$B$12:$B$14,MATCH($Y1540,'Reward Model'!$A$12:$A$14,0))*Z1540,2),0)</f>
        <v>0</v>
      </c>
    </row>
    <row r="1541" customFormat="false" ht="15" hidden="false" customHeight="false" outlineLevel="0" collapsed="false">
      <c r="A1541" s="0" t="s">
        <v>282</v>
      </c>
      <c r="B1541" s="0" t="s">
        <v>283</v>
      </c>
      <c r="C1541" s="0" t="s">
        <v>30</v>
      </c>
      <c r="D1541" s="0" t="s">
        <v>275</v>
      </c>
      <c r="E1541" s="0" t="n">
        <v>20</v>
      </c>
      <c r="F1541" s="0" t="s">
        <v>81</v>
      </c>
      <c r="G1541" s="0" t="s">
        <v>82</v>
      </c>
      <c r="H1541" s="0" t="s">
        <v>83</v>
      </c>
      <c r="I1541" s="0" t="s">
        <v>39</v>
      </c>
      <c r="J1541" s="0" t="n">
        <v>2.3</v>
      </c>
      <c r="K1541" s="0" t="s">
        <v>73</v>
      </c>
      <c r="L1541" s="0" t="n">
        <f aca="false">INDEX(Summary!$F$2:$F$201,MATCH($B1541,Summary!$A$2:$A$201,0))</f>
        <v>20</v>
      </c>
      <c r="M1541" s="0" t="n">
        <f aca="false">INDEX(Summary!$I$2:$I$201,MATCH($B1541,Summary!$A$2:$A$201,0))</f>
        <v>2</v>
      </c>
      <c r="N1541" s="0" t="n">
        <f aca="false">INDEX(Summary!$J$2:$J$201,MATCH($B1541,Summary!$A$2:$A$201,0))</f>
        <v>3</v>
      </c>
      <c r="O1541" s="2" t="n">
        <f aca="false">INDEX(Summary!$K$2:$K$201,MATCH($B1541,Summary!$A$2:$A$201,0))</f>
        <v>8.35</v>
      </c>
      <c r="P1541" s="3" t="n">
        <f aca="false">INDEX(Summary!$L$2:$L$201,MATCH($B1541,Summary!$A$2:$A$201,0))</f>
        <v>5</v>
      </c>
      <c r="Q1541" s="3" t="n">
        <f aca="false">INDEX(Summary!$M$2:$M$201,MATCH($B1541,Summary!$A$2:$A$201,0))</f>
        <v>1</v>
      </c>
      <c r="R1541" s="2" t="n">
        <f aca="false">INDEX(Summary!$N$2:$N$201,MATCH($B1541,Summary!$A$2:$A$201,0))</f>
        <v>12.52</v>
      </c>
      <c r="S1541" s="3" t="n">
        <f aca="false">INDEX(Summary!$O$2:$O$201,MATCH($B1541,Summary!$A$2:$A$201,0))</f>
        <v>6</v>
      </c>
      <c r="T1541" s="3" t="n">
        <f aca="false">INDEX(Summary!$P$2:$P$201,MATCH($B1541,Summary!$A$2:$A$201,0))</f>
        <v>3</v>
      </c>
      <c r="U1541" s="2" t="n">
        <f aca="false">INDEX(Summary!$Q$2:$Q$201,MATCH($B1541,Summary!$A$2:$A$201,0))</f>
        <v>13.89</v>
      </c>
      <c r="V1541" s="2" t="n">
        <f aca="false">INDEX(Summary!$R$2:$R$201,MATCH($B1541,Summary!$A$2:$A$201,0))</f>
        <v>23.18</v>
      </c>
      <c r="W1541" s="0" t="str">
        <f aca="false">INDEX(Summary!$S$2:$S$201,MATCH($B1541,Summary!$A$2:$A$201,0))</f>
        <v>Silver</v>
      </c>
      <c r="X1541" s="2" t="n">
        <f aca="false">INDEX(Summary!$T$2:$T$201,MATCH($B1541,Summary!$A$2:$A$201,0))</f>
        <v>56.54</v>
      </c>
      <c r="Y1541" s="0" t="str">
        <f aca="false">INDEX('Reward Model'!$E$18:$E$37,MATCH($E1541,'Reward Model'!$A$18:$A$37,0))</f>
        <v>High</v>
      </c>
      <c r="Z1541" s="4" t="n">
        <f aca="false">ROUND(MIN(1,MAX('Reward Model'!$B$2,INDEX('Reward Model'!$C$12:$C$14,MATCH($K1541,'Reward Model'!$A$12:$A$14,0))/$J1541)),3)</f>
        <v>0.87</v>
      </c>
      <c r="AA1541" s="2" t="n">
        <f aca="false">IF($I1541="Correct",ROUND(INDEX('Reward Model'!$B$12:$B$14,MATCH($K1541,'Reward Model'!$A$12:$A$14,0))*Z1541,2),0)</f>
        <v>0</v>
      </c>
      <c r="AB1541" s="2" t="n">
        <f aca="false">IF($I1541="Correct",ROUND(INDEX('Reward Model'!$B$12:$B$14,MATCH($Y1541,'Reward Model'!$A$12:$A$14,0))*Z1541,2),0)</f>
        <v>0</v>
      </c>
    </row>
    <row r="1542" customFormat="false" ht="15" hidden="false" customHeight="false" outlineLevel="0" collapsed="false">
      <c r="A1542" s="0" t="s">
        <v>284</v>
      </c>
      <c r="B1542" s="0" t="s">
        <v>285</v>
      </c>
      <c r="C1542" s="0" t="s">
        <v>30</v>
      </c>
      <c r="D1542" s="0" t="s">
        <v>275</v>
      </c>
      <c r="E1542" s="0" t="n">
        <v>1</v>
      </c>
      <c r="F1542" s="0" t="s">
        <v>32</v>
      </c>
      <c r="G1542" s="0" t="s">
        <v>97</v>
      </c>
      <c r="H1542" s="0" t="s">
        <v>33</v>
      </c>
      <c r="I1542" s="0" t="s">
        <v>39</v>
      </c>
      <c r="J1542" s="0" t="n">
        <v>1.62</v>
      </c>
      <c r="K1542" s="0" t="s">
        <v>35</v>
      </c>
      <c r="L1542" s="0" t="n">
        <f aca="false">INDEX(Summary!$F$2:$F$201,MATCH($B1542,Summary!$A$2:$A$201,0))</f>
        <v>20</v>
      </c>
      <c r="M1542" s="0" t="n">
        <f aca="false">INDEX(Summary!$I$2:$I$201,MATCH($B1542,Summary!$A$2:$A$201,0))</f>
        <v>1</v>
      </c>
      <c r="N1542" s="0" t="n">
        <f aca="false">INDEX(Summary!$J$2:$J$201,MATCH($B1542,Summary!$A$2:$A$201,0))</f>
        <v>4</v>
      </c>
      <c r="O1542" s="2" t="n">
        <f aca="false">INDEX(Summary!$K$2:$K$201,MATCH($B1542,Summary!$A$2:$A$201,0))</f>
        <v>9.95</v>
      </c>
      <c r="P1542" s="3" t="n">
        <f aca="false">INDEX(Summary!$L$2:$L$201,MATCH($B1542,Summary!$A$2:$A$201,0))</f>
        <v>4</v>
      </c>
      <c r="Q1542" s="3" t="n">
        <f aca="false">INDEX(Summary!$M$2:$M$201,MATCH($B1542,Summary!$A$2:$A$201,0))</f>
        <v>2</v>
      </c>
      <c r="R1542" s="2" t="n">
        <f aca="false">INDEX(Summary!$N$2:$N$201,MATCH($B1542,Summary!$A$2:$A$201,0))</f>
        <v>9.68</v>
      </c>
      <c r="S1542" s="3" t="n">
        <f aca="false">INDEX(Summary!$O$2:$O$201,MATCH($B1542,Summary!$A$2:$A$201,0))</f>
        <v>7</v>
      </c>
      <c r="T1542" s="3" t="n">
        <f aca="false">INDEX(Summary!$P$2:$P$201,MATCH($B1542,Summary!$A$2:$A$201,0))</f>
        <v>2</v>
      </c>
      <c r="U1542" s="2" t="n">
        <f aca="false">INDEX(Summary!$Q$2:$Q$201,MATCH($B1542,Summary!$A$2:$A$201,0))</f>
        <v>13.61</v>
      </c>
      <c r="V1542" s="2" t="n">
        <f aca="false">INDEX(Summary!$R$2:$R$201,MATCH($B1542,Summary!$A$2:$A$201,0))</f>
        <v>21.13</v>
      </c>
      <c r="W1542" s="0" t="str">
        <f aca="false">INDEX(Summary!$S$2:$S$201,MATCH($B1542,Summary!$A$2:$A$201,0))</f>
        <v>Silver</v>
      </c>
      <c r="X1542" s="2" t="n">
        <f aca="false">INDEX(Summary!$T$2:$T$201,MATCH($B1542,Summary!$A$2:$A$201,0))</f>
        <v>51.54</v>
      </c>
      <c r="Y1542" s="0" t="str">
        <f aca="false">INDEX('Reward Model'!$E$18:$E$37,MATCH($E1542,'Reward Model'!$A$18:$A$37,0))</f>
        <v>Medium</v>
      </c>
      <c r="Z1542" s="4" t="n">
        <f aca="false">ROUND(MIN(1,MAX('Reward Model'!$B$2,INDEX('Reward Model'!$C$12:$C$14,MATCH($K1542,'Reward Model'!$A$12:$A$14,0))/$J1542)),3)</f>
        <v>0.926</v>
      </c>
      <c r="AA1542" s="2" t="n">
        <f aca="false">IF($I1542="Correct",ROUND(INDEX('Reward Model'!$B$12:$B$14,MATCH($K1542,'Reward Model'!$A$12:$A$14,0))*Z1542,2),0)</f>
        <v>0</v>
      </c>
      <c r="AB1542" s="2" t="n">
        <f aca="false">IF($I1542="Correct",ROUND(INDEX('Reward Model'!$B$12:$B$14,MATCH($Y1542,'Reward Model'!$A$12:$A$14,0))*Z1542,2),0)</f>
        <v>0</v>
      </c>
    </row>
    <row r="1543" customFormat="false" ht="15" hidden="false" customHeight="false" outlineLevel="0" collapsed="false">
      <c r="A1543" s="0" t="s">
        <v>284</v>
      </c>
      <c r="B1543" s="0" t="s">
        <v>285</v>
      </c>
      <c r="C1543" s="0" t="s">
        <v>30</v>
      </c>
      <c r="D1543" s="0" t="s">
        <v>275</v>
      </c>
      <c r="E1543" s="0" t="n">
        <v>2</v>
      </c>
      <c r="F1543" s="0" t="s">
        <v>36</v>
      </c>
      <c r="G1543" s="0" t="s">
        <v>38</v>
      </c>
      <c r="H1543" s="0" t="s">
        <v>38</v>
      </c>
      <c r="I1543" s="0" t="s">
        <v>34</v>
      </c>
      <c r="J1543" s="0" t="n">
        <v>1.59</v>
      </c>
      <c r="K1543" s="0" t="s">
        <v>35</v>
      </c>
      <c r="L1543" s="0" t="n">
        <f aca="false">INDEX(Summary!$F$2:$F$201,MATCH($B1543,Summary!$A$2:$A$201,0))</f>
        <v>20</v>
      </c>
      <c r="M1543" s="0" t="n">
        <f aca="false">INDEX(Summary!$I$2:$I$201,MATCH($B1543,Summary!$A$2:$A$201,0))</f>
        <v>1</v>
      </c>
      <c r="N1543" s="0" t="n">
        <f aca="false">INDEX(Summary!$J$2:$J$201,MATCH($B1543,Summary!$A$2:$A$201,0))</f>
        <v>4</v>
      </c>
      <c r="O1543" s="2" t="n">
        <f aca="false">INDEX(Summary!$K$2:$K$201,MATCH($B1543,Summary!$A$2:$A$201,0))</f>
        <v>9.95</v>
      </c>
      <c r="P1543" s="3" t="n">
        <f aca="false">INDEX(Summary!$L$2:$L$201,MATCH($B1543,Summary!$A$2:$A$201,0))</f>
        <v>4</v>
      </c>
      <c r="Q1543" s="3" t="n">
        <f aca="false">INDEX(Summary!$M$2:$M$201,MATCH($B1543,Summary!$A$2:$A$201,0))</f>
        <v>2</v>
      </c>
      <c r="R1543" s="2" t="n">
        <f aca="false">INDEX(Summary!$N$2:$N$201,MATCH($B1543,Summary!$A$2:$A$201,0))</f>
        <v>9.68</v>
      </c>
      <c r="S1543" s="3" t="n">
        <f aca="false">INDEX(Summary!$O$2:$O$201,MATCH($B1543,Summary!$A$2:$A$201,0))</f>
        <v>7</v>
      </c>
      <c r="T1543" s="3" t="n">
        <f aca="false">INDEX(Summary!$P$2:$P$201,MATCH($B1543,Summary!$A$2:$A$201,0))</f>
        <v>2</v>
      </c>
      <c r="U1543" s="2" t="n">
        <f aca="false">INDEX(Summary!$Q$2:$Q$201,MATCH($B1543,Summary!$A$2:$A$201,0))</f>
        <v>13.61</v>
      </c>
      <c r="V1543" s="2" t="n">
        <f aca="false">INDEX(Summary!$R$2:$R$201,MATCH($B1543,Summary!$A$2:$A$201,0))</f>
        <v>21.13</v>
      </c>
      <c r="W1543" s="0" t="str">
        <f aca="false">INDEX(Summary!$S$2:$S$201,MATCH($B1543,Summary!$A$2:$A$201,0))</f>
        <v>Silver</v>
      </c>
      <c r="X1543" s="2" t="n">
        <f aca="false">INDEX(Summary!$T$2:$T$201,MATCH($B1543,Summary!$A$2:$A$201,0))</f>
        <v>51.54</v>
      </c>
      <c r="Y1543" s="0" t="str">
        <f aca="false">INDEX('Reward Model'!$E$18:$E$37,MATCH($E1543,'Reward Model'!$A$18:$A$37,0))</f>
        <v>Low</v>
      </c>
      <c r="Z1543" s="4" t="n">
        <f aca="false">ROUND(MIN(1,MAX('Reward Model'!$B$2,INDEX('Reward Model'!$C$12:$C$14,MATCH($K1543,'Reward Model'!$A$12:$A$14,0))/$J1543)),3)</f>
        <v>0.943</v>
      </c>
      <c r="AA1543" s="2" t="n">
        <f aca="false">IF($I1543="Correct",ROUND(INDEX('Reward Model'!$B$12:$B$14,MATCH($K1543,'Reward Model'!$A$12:$A$14,0))*Z1543,2),0)</f>
        <v>0.94</v>
      </c>
      <c r="AB1543" s="2" t="n">
        <f aca="false">IF($I1543="Correct",ROUND(INDEX('Reward Model'!$B$12:$B$14,MATCH($Y1543,'Reward Model'!$A$12:$A$14,0))*Z1543,2),0)</f>
        <v>0.94</v>
      </c>
    </row>
    <row r="1544" customFormat="false" ht="15" hidden="false" customHeight="false" outlineLevel="0" collapsed="false">
      <c r="A1544" s="0" t="s">
        <v>284</v>
      </c>
      <c r="B1544" s="0" t="s">
        <v>285</v>
      </c>
      <c r="C1544" s="0" t="s">
        <v>30</v>
      </c>
      <c r="D1544" s="0" t="s">
        <v>275</v>
      </c>
      <c r="E1544" s="0" t="n">
        <v>3</v>
      </c>
      <c r="F1544" s="0" t="s">
        <v>40</v>
      </c>
      <c r="G1544" s="0" t="s">
        <v>42</v>
      </c>
      <c r="H1544" s="0" t="s">
        <v>42</v>
      </c>
      <c r="I1544" s="0" t="s">
        <v>34</v>
      </c>
      <c r="J1544" s="0" t="n">
        <v>1.18</v>
      </c>
      <c r="K1544" s="0" t="s">
        <v>35</v>
      </c>
      <c r="L1544" s="0" t="n">
        <f aca="false">INDEX(Summary!$F$2:$F$201,MATCH($B1544,Summary!$A$2:$A$201,0))</f>
        <v>20</v>
      </c>
      <c r="M1544" s="0" t="n">
        <f aca="false">INDEX(Summary!$I$2:$I$201,MATCH($B1544,Summary!$A$2:$A$201,0))</f>
        <v>1</v>
      </c>
      <c r="N1544" s="0" t="n">
        <f aca="false">INDEX(Summary!$J$2:$J$201,MATCH($B1544,Summary!$A$2:$A$201,0))</f>
        <v>4</v>
      </c>
      <c r="O1544" s="2" t="n">
        <f aca="false">INDEX(Summary!$K$2:$K$201,MATCH($B1544,Summary!$A$2:$A$201,0))</f>
        <v>9.95</v>
      </c>
      <c r="P1544" s="3" t="n">
        <f aca="false">INDEX(Summary!$L$2:$L$201,MATCH($B1544,Summary!$A$2:$A$201,0))</f>
        <v>4</v>
      </c>
      <c r="Q1544" s="3" t="n">
        <f aca="false">INDEX(Summary!$M$2:$M$201,MATCH($B1544,Summary!$A$2:$A$201,0))</f>
        <v>2</v>
      </c>
      <c r="R1544" s="2" t="n">
        <f aca="false">INDEX(Summary!$N$2:$N$201,MATCH($B1544,Summary!$A$2:$A$201,0))</f>
        <v>9.68</v>
      </c>
      <c r="S1544" s="3" t="n">
        <f aca="false">INDEX(Summary!$O$2:$O$201,MATCH($B1544,Summary!$A$2:$A$201,0))</f>
        <v>7</v>
      </c>
      <c r="T1544" s="3" t="n">
        <f aca="false">INDEX(Summary!$P$2:$P$201,MATCH($B1544,Summary!$A$2:$A$201,0))</f>
        <v>2</v>
      </c>
      <c r="U1544" s="2" t="n">
        <f aca="false">INDEX(Summary!$Q$2:$Q$201,MATCH($B1544,Summary!$A$2:$A$201,0))</f>
        <v>13.61</v>
      </c>
      <c r="V1544" s="2" t="n">
        <f aca="false">INDEX(Summary!$R$2:$R$201,MATCH($B1544,Summary!$A$2:$A$201,0))</f>
        <v>21.13</v>
      </c>
      <c r="W1544" s="0" t="str">
        <f aca="false">INDEX(Summary!$S$2:$S$201,MATCH($B1544,Summary!$A$2:$A$201,0))</f>
        <v>Silver</v>
      </c>
      <c r="X1544" s="2" t="n">
        <f aca="false">INDEX(Summary!$T$2:$T$201,MATCH($B1544,Summary!$A$2:$A$201,0))</f>
        <v>51.54</v>
      </c>
      <c r="Y1544" s="0" t="str">
        <f aca="false">INDEX('Reward Model'!$E$18:$E$37,MATCH($E1544,'Reward Model'!$A$18:$A$37,0))</f>
        <v>Medium</v>
      </c>
      <c r="Z1544" s="4" t="n">
        <f aca="false">ROUND(MIN(1,MAX('Reward Model'!$B$2,INDEX('Reward Model'!$C$12:$C$14,MATCH($K1544,'Reward Model'!$A$12:$A$14,0))/$J1544)),3)</f>
        <v>1</v>
      </c>
      <c r="AA1544" s="2" t="n">
        <f aca="false">IF($I1544="Correct",ROUND(INDEX('Reward Model'!$B$12:$B$14,MATCH($K1544,'Reward Model'!$A$12:$A$14,0))*Z1544,2),0)</f>
        <v>1</v>
      </c>
      <c r="AB1544" s="2" t="n">
        <f aca="false">IF($I1544="Correct",ROUND(INDEX('Reward Model'!$B$12:$B$14,MATCH($Y1544,'Reward Model'!$A$12:$A$14,0))*Z1544,2),0)</f>
        <v>2</v>
      </c>
    </row>
    <row r="1545" customFormat="false" ht="15" hidden="false" customHeight="false" outlineLevel="0" collapsed="false">
      <c r="A1545" s="0" t="s">
        <v>284</v>
      </c>
      <c r="B1545" s="0" t="s">
        <v>285</v>
      </c>
      <c r="C1545" s="0" t="s">
        <v>30</v>
      </c>
      <c r="D1545" s="0" t="s">
        <v>275</v>
      </c>
      <c r="E1545" s="0" t="n">
        <v>4</v>
      </c>
      <c r="F1545" s="0" t="s">
        <v>43</v>
      </c>
      <c r="G1545" s="0" t="s">
        <v>45</v>
      </c>
      <c r="H1545" s="0" t="s">
        <v>45</v>
      </c>
      <c r="I1545" s="0" t="s">
        <v>34</v>
      </c>
      <c r="J1545" s="0" t="n">
        <v>1.21</v>
      </c>
      <c r="K1545" s="0" t="s">
        <v>35</v>
      </c>
      <c r="L1545" s="0" t="n">
        <f aca="false">INDEX(Summary!$F$2:$F$201,MATCH($B1545,Summary!$A$2:$A$201,0))</f>
        <v>20</v>
      </c>
      <c r="M1545" s="0" t="n">
        <f aca="false">INDEX(Summary!$I$2:$I$201,MATCH($B1545,Summary!$A$2:$A$201,0))</f>
        <v>1</v>
      </c>
      <c r="N1545" s="0" t="n">
        <f aca="false">INDEX(Summary!$J$2:$J$201,MATCH($B1545,Summary!$A$2:$A$201,0))</f>
        <v>4</v>
      </c>
      <c r="O1545" s="2" t="n">
        <f aca="false">INDEX(Summary!$K$2:$K$201,MATCH($B1545,Summary!$A$2:$A$201,0))</f>
        <v>9.95</v>
      </c>
      <c r="P1545" s="3" t="n">
        <f aca="false">INDEX(Summary!$L$2:$L$201,MATCH($B1545,Summary!$A$2:$A$201,0))</f>
        <v>4</v>
      </c>
      <c r="Q1545" s="3" t="n">
        <f aca="false">INDEX(Summary!$M$2:$M$201,MATCH($B1545,Summary!$A$2:$A$201,0))</f>
        <v>2</v>
      </c>
      <c r="R1545" s="2" t="n">
        <f aca="false">INDEX(Summary!$N$2:$N$201,MATCH($B1545,Summary!$A$2:$A$201,0))</f>
        <v>9.68</v>
      </c>
      <c r="S1545" s="3" t="n">
        <f aca="false">INDEX(Summary!$O$2:$O$201,MATCH($B1545,Summary!$A$2:$A$201,0))</f>
        <v>7</v>
      </c>
      <c r="T1545" s="3" t="n">
        <f aca="false">INDEX(Summary!$P$2:$P$201,MATCH($B1545,Summary!$A$2:$A$201,0))</f>
        <v>2</v>
      </c>
      <c r="U1545" s="2" t="n">
        <f aca="false">INDEX(Summary!$Q$2:$Q$201,MATCH($B1545,Summary!$A$2:$A$201,0))</f>
        <v>13.61</v>
      </c>
      <c r="V1545" s="2" t="n">
        <f aca="false">INDEX(Summary!$R$2:$R$201,MATCH($B1545,Summary!$A$2:$A$201,0))</f>
        <v>21.13</v>
      </c>
      <c r="W1545" s="0" t="str">
        <f aca="false">INDEX(Summary!$S$2:$S$201,MATCH($B1545,Summary!$A$2:$A$201,0))</f>
        <v>Silver</v>
      </c>
      <c r="X1545" s="2" t="n">
        <f aca="false">INDEX(Summary!$T$2:$T$201,MATCH($B1545,Summary!$A$2:$A$201,0))</f>
        <v>51.54</v>
      </c>
      <c r="Y1545" s="0" t="str">
        <f aca="false">INDEX('Reward Model'!$E$18:$E$37,MATCH($E1545,'Reward Model'!$A$18:$A$37,0))</f>
        <v>Low</v>
      </c>
      <c r="Z1545" s="4" t="n">
        <f aca="false">ROUND(MIN(1,MAX('Reward Model'!$B$2,INDEX('Reward Model'!$C$12:$C$14,MATCH($K1545,'Reward Model'!$A$12:$A$14,0))/$J1545)),3)</f>
        <v>1</v>
      </c>
      <c r="AA1545" s="2" t="n">
        <f aca="false">IF($I1545="Correct",ROUND(INDEX('Reward Model'!$B$12:$B$14,MATCH($K1545,'Reward Model'!$A$12:$A$14,0))*Z1545,2),0)</f>
        <v>1</v>
      </c>
      <c r="AB1545" s="2" t="n">
        <f aca="false">IF($I1545="Correct",ROUND(INDEX('Reward Model'!$B$12:$B$14,MATCH($Y1545,'Reward Model'!$A$12:$A$14,0))*Z1545,2),0)</f>
        <v>1</v>
      </c>
    </row>
    <row r="1546" customFormat="false" ht="15" hidden="false" customHeight="false" outlineLevel="0" collapsed="false">
      <c r="A1546" s="0" t="s">
        <v>284</v>
      </c>
      <c r="B1546" s="0" t="s">
        <v>285</v>
      </c>
      <c r="C1546" s="0" t="s">
        <v>30</v>
      </c>
      <c r="D1546" s="0" t="s">
        <v>275</v>
      </c>
      <c r="E1546" s="0" t="n">
        <v>5</v>
      </c>
      <c r="F1546" s="0" t="s">
        <v>46</v>
      </c>
      <c r="G1546" s="0" t="s">
        <v>164</v>
      </c>
      <c r="H1546" s="0" t="s">
        <v>47</v>
      </c>
      <c r="I1546" s="0" t="s">
        <v>39</v>
      </c>
      <c r="J1546" s="0" t="n">
        <v>1.27</v>
      </c>
      <c r="K1546" s="0" t="s">
        <v>35</v>
      </c>
      <c r="L1546" s="0" t="n">
        <f aca="false">INDEX(Summary!$F$2:$F$201,MATCH($B1546,Summary!$A$2:$A$201,0))</f>
        <v>20</v>
      </c>
      <c r="M1546" s="0" t="n">
        <f aca="false">INDEX(Summary!$I$2:$I$201,MATCH($B1546,Summary!$A$2:$A$201,0))</f>
        <v>1</v>
      </c>
      <c r="N1546" s="0" t="n">
        <f aca="false">INDEX(Summary!$J$2:$J$201,MATCH($B1546,Summary!$A$2:$A$201,0))</f>
        <v>4</v>
      </c>
      <c r="O1546" s="2" t="n">
        <f aca="false">INDEX(Summary!$K$2:$K$201,MATCH($B1546,Summary!$A$2:$A$201,0))</f>
        <v>9.95</v>
      </c>
      <c r="P1546" s="3" t="n">
        <f aca="false">INDEX(Summary!$L$2:$L$201,MATCH($B1546,Summary!$A$2:$A$201,0))</f>
        <v>4</v>
      </c>
      <c r="Q1546" s="3" t="n">
        <f aca="false">INDEX(Summary!$M$2:$M$201,MATCH($B1546,Summary!$A$2:$A$201,0))</f>
        <v>2</v>
      </c>
      <c r="R1546" s="2" t="n">
        <f aca="false">INDEX(Summary!$N$2:$N$201,MATCH($B1546,Summary!$A$2:$A$201,0))</f>
        <v>9.68</v>
      </c>
      <c r="S1546" s="3" t="n">
        <f aca="false">INDEX(Summary!$O$2:$O$201,MATCH($B1546,Summary!$A$2:$A$201,0))</f>
        <v>7</v>
      </c>
      <c r="T1546" s="3" t="n">
        <f aca="false">INDEX(Summary!$P$2:$P$201,MATCH($B1546,Summary!$A$2:$A$201,0))</f>
        <v>2</v>
      </c>
      <c r="U1546" s="2" t="n">
        <f aca="false">INDEX(Summary!$Q$2:$Q$201,MATCH($B1546,Summary!$A$2:$A$201,0))</f>
        <v>13.61</v>
      </c>
      <c r="V1546" s="2" t="n">
        <f aca="false">INDEX(Summary!$R$2:$R$201,MATCH($B1546,Summary!$A$2:$A$201,0))</f>
        <v>21.13</v>
      </c>
      <c r="W1546" s="0" t="str">
        <f aca="false">INDEX(Summary!$S$2:$S$201,MATCH($B1546,Summary!$A$2:$A$201,0))</f>
        <v>Silver</v>
      </c>
      <c r="X1546" s="2" t="n">
        <f aca="false">INDEX(Summary!$T$2:$T$201,MATCH($B1546,Summary!$A$2:$A$201,0))</f>
        <v>51.54</v>
      </c>
      <c r="Y1546" s="0" t="str">
        <f aca="false">INDEX('Reward Model'!$E$18:$E$37,MATCH($E1546,'Reward Model'!$A$18:$A$37,0))</f>
        <v>Low</v>
      </c>
      <c r="Z1546" s="4" t="n">
        <f aca="false">ROUND(MIN(1,MAX('Reward Model'!$B$2,INDEX('Reward Model'!$C$12:$C$14,MATCH($K1546,'Reward Model'!$A$12:$A$14,0))/$J1546)),3)</f>
        <v>1</v>
      </c>
      <c r="AA1546" s="2" t="n">
        <f aca="false">IF($I1546="Correct",ROUND(INDEX('Reward Model'!$B$12:$B$14,MATCH($K1546,'Reward Model'!$A$12:$A$14,0))*Z1546,2),0)</f>
        <v>0</v>
      </c>
      <c r="AB1546" s="2" t="n">
        <f aca="false">IF($I1546="Correct",ROUND(INDEX('Reward Model'!$B$12:$B$14,MATCH($Y1546,'Reward Model'!$A$12:$A$14,0))*Z1546,2),0)</f>
        <v>0</v>
      </c>
    </row>
    <row r="1547" customFormat="false" ht="15" hidden="false" customHeight="false" outlineLevel="0" collapsed="false">
      <c r="A1547" s="0" t="s">
        <v>284</v>
      </c>
      <c r="B1547" s="0" t="s">
        <v>285</v>
      </c>
      <c r="C1547" s="0" t="s">
        <v>30</v>
      </c>
      <c r="D1547" s="0" t="s">
        <v>275</v>
      </c>
      <c r="E1547" s="0" t="n">
        <v>6</v>
      </c>
      <c r="F1547" s="0" t="s">
        <v>48</v>
      </c>
      <c r="G1547" s="0" t="s">
        <v>49</v>
      </c>
      <c r="H1547" s="0" t="s">
        <v>49</v>
      </c>
      <c r="I1547" s="0" t="s">
        <v>34</v>
      </c>
      <c r="J1547" s="0" t="n">
        <v>1.47</v>
      </c>
      <c r="K1547" s="0" t="s">
        <v>35</v>
      </c>
      <c r="L1547" s="0" t="n">
        <f aca="false">INDEX(Summary!$F$2:$F$201,MATCH($B1547,Summary!$A$2:$A$201,0))</f>
        <v>20</v>
      </c>
      <c r="M1547" s="0" t="n">
        <f aca="false">INDEX(Summary!$I$2:$I$201,MATCH($B1547,Summary!$A$2:$A$201,0))</f>
        <v>1</v>
      </c>
      <c r="N1547" s="0" t="n">
        <f aca="false">INDEX(Summary!$J$2:$J$201,MATCH($B1547,Summary!$A$2:$A$201,0))</f>
        <v>4</v>
      </c>
      <c r="O1547" s="2" t="n">
        <f aca="false">INDEX(Summary!$K$2:$K$201,MATCH($B1547,Summary!$A$2:$A$201,0))</f>
        <v>9.95</v>
      </c>
      <c r="P1547" s="3" t="n">
        <f aca="false">INDEX(Summary!$L$2:$L$201,MATCH($B1547,Summary!$A$2:$A$201,0))</f>
        <v>4</v>
      </c>
      <c r="Q1547" s="3" t="n">
        <f aca="false">INDEX(Summary!$M$2:$M$201,MATCH($B1547,Summary!$A$2:$A$201,0))</f>
        <v>2</v>
      </c>
      <c r="R1547" s="2" t="n">
        <f aca="false">INDEX(Summary!$N$2:$N$201,MATCH($B1547,Summary!$A$2:$A$201,0))</f>
        <v>9.68</v>
      </c>
      <c r="S1547" s="3" t="n">
        <f aca="false">INDEX(Summary!$O$2:$O$201,MATCH($B1547,Summary!$A$2:$A$201,0))</f>
        <v>7</v>
      </c>
      <c r="T1547" s="3" t="n">
        <f aca="false">INDEX(Summary!$P$2:$P$201,MATCH($B1547,Summary!$A$2:$A$201,0))</f>
        <v>2</v>
      </c>
      <c r="U1547" s="2" t="n">
        <f aca="false">INDEX(Summary!$Q$2:$Q$201,MATCH($B1547,Summary!$A$2:$A$201,0))</f>
        <v>13.61</v>
      </c>
      <c r="V1547" s="2" t="n">
        <f aca="false">INDEX(Summary!$R$2:$R$201,MATCH($B1547,Summary!$A$2:$A$201,0))</f>
        <v>21.13</v>
      </c>
      <c r="W1547" s="0" t="str">
        <f aca="false">INDEX(Summary!$S$2:$S$201,MATCH($B1547,Summary!$A$2:$A$201,0))</f>
        <v>Silver</v>
      </c>
      <c r="X1547" s="2" t="n">
        <f aca="false">INDEX(Summary!$T$2:$T$201,MATCH($B1547,Summary!$A$2:$A$201,0))</f>
        <v>51.54</v>
      </c>
      <c r="Y1547" s="0" t="str">
        <f aca="false">INDEX('Reward Model'!$E$18:$E$37,MATCH($E1547,'Reward Model'!$A$18:$A$37,0))</f>
        <v>Medium</v>
      </c>
      <c r="Z1547" s="4" t="n">
        <f aca="false">ROUND(MIN(1,MAX('Reward Model'!$B$2,INDEX('Reward Model'!$C$12:$C$14,MATCH($K1547,'Reward Model'!$A$12:$A$14,0))/$J1547)),3)</f>
        <v>1</v>
      </c>
      <c r="AA1547" s="2" t="n">
        <f aca="false">IF($I1547="Correct",ROUND(INDEX('Reward Model'!$B$12:$B$14,MATCH($K1547,'Reward Model'!$A$12:$A$14,0))*Z1547,2),0)</f>
        <v>1</v>
      </c>
      <c r="AB1547" s="2" t="n">
        <f aca="false">IF($I1547="Correct",ROUND(INDEX('Reward Model'!$B$12:$B$14,MATCH($Y1547,'Reward Model'!$A$12:$A$14,0))*Z1547,2),0)</f>
        <v>2</v>
      </c>
    </row>
    <row r="1548" customFormat="false" ht="15" hidden="false" customHeight="false" outlineLevel="0" collapsed="false">
      <c r="A1548" s="0" t="s">
        <v>284</v>
      </c>
      <c r="B1548" s="0" t="s">
        <v>285</v>
      </c>
      <c r="C1548" s="0" t="s">
        <v>30</v>
      </c>
      <c r="D1548" s="0" t="s">
        <v>275</v>
      </c>
      <c r="E1548" s="0" t="n">
        <v>7</v>
      </c>
      <c r="F1548" s="0" t="s">
        <v>50</v>
      </c>
      <c r="G1548" s="0" t="s">
        <v>51</v>
      </c>
      <c r="H1548" s="0" t="s">
        <v>51</v>
      </c>
      <c r="I1548" s="0" t="s">
        <v>34</v>
      </c>
      <c r="J1548" s="0" t="n">
        <v>1.92</v>
      </c>
      <c r="K1548" s="0" t="s">
        <v>35</v>
      </c>
      <c r="L1548" s="0" t="n">
        <f aca="false">INDEX(Summary!$F$2:$F$201,MATCH($B1548,Summary!$A$2:$A$201,0))</f>
        <v>20</v>
      </c>
      <c r="M1548" s="0" t="n">
        <f aca="false">INDEX(Summary!$I$2:$I$201,MATCH($B1548,Summary!$A$2:$A$201,0))</f>
        <v>1</v>
      </c>
      <c r="N1548" s="0" t="n">
        <f aca="false">INDEX(Summary!$J$2:$J$201,MATCH($B1548,Summary!$A$2:$A$201,0))</f>
        <v>4</v>
      </c>
      <c r="O1548" s="2" t="n">
        <f aca="false">INDEX(Summary!$K$2:$K$201,MATCH($B1548,Summary!$A$2:$A$201,0))</f>
        <v>9.95</v>
      </c>
      <c r="P1548" s="3" t="n">
        <f aca="false">INDEX(Summary!$L$2:$L$201,MATCH($B1548,Summary!$A$2:$A$201,0))</f>
        <v>4</v>
      </c>
      <c r="Q1548" s="3" t="n">
        <f aca="false">INDEX(Summary!$M$2:$M$201,MATCH($B1548,Summary!$A$2:$A$201,0))</f>
        <v>2</v>
      </c>
      <c r="R1548" s="2" t="n">
        <f aca="false">INDEX(Summary!$N$2:$N$201,MATCH($B1548,Summary!$A$2:$A$201,0))</f>
        <v>9.68</v>
      </c>
      <c r="S1548" s="3" t="n">
        <f aca="false">INDEX(Summary!$O$2:$O$201,MATCH($B1548,Summary!$A$2:$A$201,0))</f>
        <v>7</v>
      </c>
      <c r="T1548" s="3" t="n">
        <f aca="false">INDEX(Summary!$P$2:$P$201,MATCH($B1548,Summary!$A$2:$A$201,0))</f>
        <v>2</v>
      </c>
      <c r="U1548" s="2" t="n">
        <f aca="false">INDEX(Summary!$Q$2:$Q$201,MATCH($B1548,Summary!$A$2:$A$201,0))</f>
        <v>13.61</v>
      </c>
      <c r="V1548" s="2" t="n">
        <f aca="false">INDEX(Summary!$R$2:$R$201,MATCH($B1548,Summary!$A$2:$A$201,0))</f>
        <v>21.13</v>
      </c>
      <c r="W1548" s="0" t="str">
        <f aca="false">INDEX(Summary!$S$2:$S$201,MATCH($B1548,Summary!$A$2:$A$201,0))</f>
        <v>Silver</v>
      </c>
      <c r="X1548" s="2" t="n">
        <f aca="false">INDEX(Summary!$T$2:$T$201,MATCH($B1548,Summary!$A$2:$A$201,0))</f>
        <v>51.54</v>
      </c>
      <c r="Y1548" s="0" t="str">
        <f aca="false">INDEX('Reward Model'!$E$18:$E$37,MATCH($E1548,'Reward Model'!$A$18:$A$37,0))</f>
        <v>Low</v>
      </c>
      <c r="Z1548" s="4" t="n">
        <f aca="false">ROUND(MIN(1,MAX('Reward Model'!$B$2,INDEX('Reward Model'!$C$12:$C$14,MATCH($K1548,'Reward Model'!$A$12:$A$14,0))/$J1548)),3)</f>
        <v>0.781</v>
      </c>
      <c r="AA1548" s="2" t="n">
        <f aca="false">IF($I1548="Correct",ROUND(INDEX('Reward Model'!$B$12:$B$14,MATCH($K1548,'Reward Model'!$A$12:$A$14,0))*Z1548,2),0)</f>
        <v>0.78</v>
      </c>
      <c r="AB1548" s="2" t="n">
        <f aca="false">IF($I1548="Correct",ROUND(INDEX('Reward Model'!$B$12:$B$14,MATCH($Y1548,'Reward Model'!$A$12:$A$14,0))*Z1548,2),0)</f>
        <v>0.78</v>
      </c>
    </row>
    <row r="1549" customFormat="false" ht="15" hidden="false" customHeight="false" outlineLevel="0" collapsed="false">
      <c r="A1549" s="0" t="s">
        <v>284</v>
      </c>
      <c r="B1549" s="0" t="s">
        <v>285</v>
      </c>
      <c r="C1549" s="0" t="s">
        <v>30</v>
      </c>
      <c r="D1549" s="0" t="s">
        <v>275</v>
      </c>
      <c r="E1549" s="0" t="n">
        <v>8</v>
      </c>
      <c r="F1549" s="0" t="s">
        <v>52</v>
      </c>
      <c r="G1549" s="0" t="s">
        <v>54</v>
      </c>
      <c r="H1549" s="0" t="s">
        <v>54</v>
      </c>
      <c r="I1549" s="0" t="s">
        <v>34</v>
      </c>
      <c r="J1549" s="0" t="n">
        <v>1.66</v>
      </c>
      <c r="K1549" s="0" t="s">
        <v>35</v>
      </c>
      <c r="L1549" s="0" t="n">
        <f aca="false">INDEX(Summary!$F$2:$F$201,MATCH($B1549,Summary!$A$2:$A$201,0))</f>
        <v>20</v>
      </c>
      <c r="M1549" s="0" t="n">
        <f aca="false">INDEX(Summary!$I$2:$I$201,MATCH($B1549,Summary!$A$2:$A$201,0))</f>
        <v>1</v>
      </c>
      <c r="N1549" s="0" t="n">
        <f aca="false">INDEX(Summary!$J$2:$J$201,MATCH($B1549,Summary!$A$2:$A$201,0))</f>
        <v>4</v>
      </c>
      <c r="O1549" s="2" t="n">
        <f aca="false">INDEX(Summary!$K$2:$K$201,MATCH($B1549,Summary!$A$2:$A$201,0))</f>
        <v>9.95</v>
      </c>
      <c r="P1549" s="3" t="n">
        <f aca="false">INDEX(Summary!$L$2:$L$201,MATCH($B1549,Summary!$A$2:$A$201,0))</f>
        <v>4</v>
      </c>
      <c r="Q1549" s="3" t="n">
        <f aca="false">INDEX(Summary!$M$2:$M$201,MATCH($B1549,Summary!$A$2:$A$201,0))</f>
        <v>2</v>
      </c>
      <c r="R1549" s="2" t="n">
        <f aca="false">INDEX(Summary!$N$2:$N$201,MATCH($B1549,Summary!$A$2:$A$201,0))</f>
        <v>9.68</v>
      </c>
      <c r="S1549" s="3" t="n">
        <f aca="false">INDEX(Summary!$O$2:$O$201,MATCH($B1549,Summary!$A$2:$A$201,0))</f>
        <v>7</v>
      </c>
      <c r="T1549" s="3" t="n">
        <f aca="false">INDEX(Summary!$P$2:$P$201,MATCH($B1549,Summary!$A$2:$A$201,0))</f>
        <v>2</v>
      </c>
      <c r="U1549" s="2" t="n">
        <f aca="false">INDEX(Summary!$Q$2:$Q$201,MATCH($B1549,Summary!$A$2:$A$201,0))</f>
        <v>13.61</v>
      </c>
      <c r="V1549" s="2" t="n">
        <f aca="false">INDEX(Summary!$R$2:$R$201,MATCH($B1549,Summary!$A$2:$A$201,0))</f>
        <v>21.13</v>
      </c>
      <c r="W1549" s="0" t="str">
        <f aca="false">INDEX(Summary!$S$2:$S$201,MATCH($B1549,Summary!$A$2:$A$201,0))</f>
        <v>Silver</v>
      </c>
      <c r="X1549" s="2" t="n">
        <f aca="false">INDEX(Summary!$T$2:$T$201,MATCH($B1549,Summary!$A$2:$A$201,0))</f>
        <v>51.54</v>
      </c>
      <c r="Y1549" s="0" t="str">
        <f aca="false">INDEX('Reward Model'!$E$18:$E$37,MATCH($E1549,'Reward Model'!$A$18:$A$37,0))</f>
        <v>Medium</v>
      </c>
      <c r="Z1549" s="4" t="n">
        <f aca="false">ROUND(MIN(1,MAX('Reward Model'!$B$2,INDEX('Reward Model'!$C$12:$C$14,MATCH($K1549,'Reward Model'!$A$12:$A$14,0))/$J1549)),3)</f>
        <v>0.904</v>
      </c>
      <c r="AA1549" s="2" t="n">
        <f aca="false">IF($I1549="Correct",ROUND(INDEX('Reward Model'!$B$12:$B$14,MATCH($K1549,'Reward Model'!$A$12:$A$14,0))*Z1549,2),0)</f>
        <v>0.9</v>
      </c>
      <c r="AB1549" s="2" t="n">
        <f aca="false">IF($I1549="Correct",ROUND(INDEX('Reward Model'!$B$12:$B$14,MATCH($Y1549,'Reward Model'!$A$12:$A$14,0))*Z1549,2),0)</f>
        <v>1.81</v>
      </c>
    </row>
    <row r="1550" customFormat="false" ht="15" hidden="false" customHeight="false" outlineLevel="0" collapsed="false">
      <c r="A1550" s="0" t="s">
        <v>284</v>
      </c>
      <c r="B1550" s="0" t="s">
        <v>285</v>
      </c>
      <c r="C1550" s="0" t="s">
        <v>30</v>
      </c>
      <c r="D1550" s="0" t="s">
        <v>275</v>
      </c>
      <c r="E1550" s="0" t="n">
        <v>9</v>
      </c>
      <c r="F1550" s="0" t="s">
        <v>55</v>
      </c>
      <c r="G1550" s="0" t="s">
        <v>57</v>
      </c>
      <c r="H1550" s="0" t="s">
        <v>57</v>
      </c>
      <c r="I1550" s="0" t="s">
        <v>34</v>
      </c>
      <c r="J1550" s="0" t="n">
        <v>1.69</v>
      </c>
      <c r="K1550" s="0" t="s">
        <v>35</v>
      </c>
      <c r="L1550" s="0" t="n">
        <f aca="false">INDEX(Summary!$F$2:$F$201,MATCH($B1550,Summary!$A$2:$A$201,0))</f>
        <v>20</v>
      </c>
      <c r="M1550" s="0" t="n">
        <f aca="false">INDEX(Summary!$I$2:$I$201,MATCH($B1550,Summary!$A$2:$A$201,0))</f>
        <v>1</v>
      </c>
      <c r="N1550" s="0" t="n">
        <f aca="false">INDEX(Summary!$J$2:$J$201,MATCH($B1550,Summary!$A$2:$A$201,0))</f>
        <v>4</v>
      </c>
      <c r="O1550" s="2" t="n">
        <f aca="false">INDEX(Summary!$K$2:$K$201,MATCH($B1550,Summary!$A$2:$A$201,0))</f>
        <v>9.95</v>
      </c>
      <c r="P1550" s="3" t="n">
        <f aca="false">INDEX(Summary!$L$2:$L$201,MATCH($B1550,Summary!$A$2:$A$201,0))</f>
        <v>4</v>
      </c>
      <c r="Q1550" s="3" t="n">
        <f aca="false">INDEX(Summary!$M$2:$M$201,MATCH($B1550,Summary!$A$2:$A$201,0))</f>
        <v>2</v>
      </c>
      <c r="R1550" s="2" t="n">
        <f aca="false">INDEX(Summary!$N$2:$N$201,MATCH($B1550,Summary!$A$2:$A$201,0))</f>
        <v>9.68</v>
      </c>
      <c r="S1550" s="3" t="n">
        <f aca="false">INDEX(Summary!$O$2:$O$201,MATCH($B1550,Summary!$A$2:$A$201,0))</f>
        <v>7</v>
      </c>
      <c r="T1550" s="3" t="n">
        <f aca="false">INDEX(Summary!$P$2:$P$201,MATCH($B1550,Summary!$A$2:$A$201,0))</f>
        <v>2</v>
      </c>
      <c r="U1550" s="2" t="n">
        <f aca="false">INDEX(Summary!$Q$2:$Q$201,MATCH($B1550,Summary!$A$2:$A$201,0))</f>
        <v>13.61</v>
      </c>
      <c r="V1550" s="2" t="n">
        <f aca="false">INDEX(Summary!$R$2:$R$201,MATCH($B1550,Summary!$A$2:$A$201,0))</f>
        <v>21.13</v>
      </c>
      <c r="W1550" s="0" t="str">
        <f aca="false">INDEX(Summary!$S$2:$S$201,MATCH($B1550,Summary!$A$2:$A$201,0))</f>
        <v>Silver</v>
      </c>
      <c r="X1550" s="2" t="n">
        <f aca="false">INDEX(Summary!$T$2:$T$201,MATCH($B1550,Summary!$A$2:$A$201,0))</f>
        <v>51.54</v>
      </c>
      <c r="Y1550" s="0" t="str">
        <f aca="false">INDEX('Reward Model'!$E$18:$E$37,MATCH($E1550,'Reward Model'!$A$18:$A$37,0))</f>
        <v>Medium</v>
      </c>
      <c r="Z1550" s="4" t="n">
        <f aca="false">ROUND(MIN(1,MAX('Reward Model'!$B$2,INDEX('Reward Model'!$C$12:$C$14,MATCH($K1550,'Reward Model'!$A$12:$A$14,0))/$J1550)),3)</f>
        <v>0.888</v>
      </c>
      <c r="AA1550" s="2" t="n">
        <f aca="false">IF($I1550="Correct",ROUND(INDEX('Reward Model'!$B$12:$B$14,MATCH($K1550,'Reward Model'!$A$12:$A$14,0))*Z1550,2),0)</f>
        <v>0.89</v>
      </c>
      <c r="AB1550" s="2" t="n">
        <f aca="false">IF($I1550="Correct",ROUND(INDEX('Reward Model'!$B$12:$B$14,MATCH($Y1550,'Reward Model'!$A$12:$A$14,0))*Z1550,2),0)</f>
        <v>1.78</v>
      </c>
    </row>
    <row r="1551" customFormat="false" ht="15" hidden="false" customHeight="false" outlineLevel="0" collapsed="false">
      <c r="A1551" s="0" t="s">
        <v>284</v>
      </c>
      <c r="B1551" s="0" t="s">
        <v>285</v>
      </c>
      <c r="C1551" s="0" t="s">
        <v>30</v>
      </c>
      <c r="D1551" s="0" t="s">
        <v>275</v>
      </c>
      <c r="E1551" s="0" t="n">
        <v>10</v>
      </c>
      <c r="F1551" s="0" t="s">
        <v>58</v>
      </c>
      <c r="G1551" s="0" t="s">
        <v>59</v>
      </c>
      <c r="H1551" s="0" t="s">
        <v>59</v>
      </c>
      <c r="I1551" s="0" t="s">
        <v>34</v>
      </c>
      <c r="J1551" s="0" t="n">
        <v>1.18</v>
      </c>
      <c r="K1551" s="0" t="s">
        <v>60</v>
      </c>
      <c r="L1551" s="0" t="n">
        <f aca="false">INDEX(Summary!$F$2:$F$201,MATCH($B1551,Summary!$A$2:$A$201,0))</f>
        <v>20</v>
      </c>
      <c r="M1551" s="0" t="n">
        <f aca="false">INDEX(Summary!$I$2:$I$201,MATCH($B1551,Summary!$A$2:$A$201,0))</f>
        <v>1</v>
      </c>
      <c r="N1551" s="0" t="n">
        <f aca="false">INDEX(Summary!$J$2:$J$201,MATCH($B1551,Summary!$A$2:$A$201,0))</f>
        <v>4</v>
      </c>
      <c r="O1551" s="2" t="n">
        <f aca="false">INDEX(Summary!$K$2:$K$201,MATCH($B1551,Summary!$A$2:$A$201,0))</f>
        <v>9.95</v>
      </c>
      <c r="P1551" s="3" t="n">
        <f aca="false">INDEX(Summary!$L$2:$L$201,MATCH($B1551,Summary!$A$2:$A$201,0))</f>
        <v>4</v>
      </c>
      <c r="Q1551" s="3" t="n">
        <f aca="false">INDEX(Summary!$M$2:$M$201,MATCH($B1551,Summary!$A$2:$A$201,0))</f>
        <v>2</v>
      </c>
      <c r="R1551" s="2" t="n">
        <f aca="false">INDEX(Summary!$N$2:$N$201,MATCH($B1551,Summary!$A$2:$A$201,0))</f>
        <v>9.68</v>
      </c>
      <c r="S1551" s="3" t="n">
        <f aca="false">INDEX(Summary!$O$2:$O$201,MATCH($B1551,Summary!$A$2:$A$201,0))</f>
        <v>7</v>
      </c>
      <c r="T1551" s="3" t="n">
        <f aca="false">INDEX(Summary!$P$2:$P$201,MATCH($B1551,Summary!$A$2:$A$201,0))</f>
        <v>2</v>
      </c>
      <c r="U1551" s="2" t="n">
        <f aca="false">INDEX(Summary!$Q$2:$Q$201,MATCH($B1551,Summary!$A$2:$A$201,0))</f>
        <v>13.61</v>
      </c>
      <c r="V1551" s="2" t="n">
        <f aca="false">INDEX(Summary!$R$2:$R$201,MATCH($B1551,Summary!$A$2:$A$201,0))</f>
        <v>21.13</v>
      </c>
      <c r="W1551" s="0" t="str">
        <f aca="false">INDEX(Summary!$S$2:$S$201,MATCH($B1551,Summary!$A$2:$A$201,0))</f>
        <v>Silver</v>
      </c>
      <c r="X1551" s="2" t="n">
        <f aca="false">INDEX(Summary!$T$2:$T$201,MATCH($B1551,Summary!$A$2:$A$201,0))</f>
        <v>51.54</v>
      </c>
      <c r="Y1551" s="0" t="str">
        <f aca="false">INDEX('Reward Model'!$E$18:$E$37,MATCH($E1551,'Reward Model'!$A$18:$A$37,0))</f>
        <v>Medium</v>
      </c>
      <c r="Z1551" s="4" t="n">
        <f aca="false">ROUND(MIN(1,MAX('Reward Model'!$B$2,INDEX('Reward Model'!$C$12:$C$14,MATCH($K1551,'Reward Model'!$A$12:$A$14,0))/$J1551)),3)</f>
        <v>1</v>
      </c>
      <c r="AA1551" s="2" t="n">
        <f aca="false">IF($I1551="Correct",ROUND(INDEX('Reward Model'!$B$12:$B$14,MATCH($K1551,'Reward Model'!$A$12:$A$14,0))*Z1551,2),0)</f>
        <v>2</v>
      </c>
      <c r="AB1551" s="2" t="n">
        <f aca="false">IF($I1551="Correct",ROUND(INDEX('Reward Model'!$B$12:$B$14,MATCH($Y1551,'Reward Model'!$A$12:$A$14,0))*Z1551,2),0)</f>
        <v>2</v>
      </c>
    </row>
    <row r="1552" customFormat="false" ht="15" hidden="false" customHeight="false" outlineLevel="0" collapsed="false">
      <c r="A1552" s="0" t="s">
        <v>284</v>
      </c>
      <c r="B1552" s="0" t="s">
        <v>285</v>
      </c>
      <c r="C1552" s="0" t="s">
        <v>30</v>
      </c>
      <c r="D1552" s="0" t="s">
        <v>275</v>
      </c>
      <c r="E1552" s="0" t="n">
        <v>11</v>
      </c>
      <c r="F1552" s="0" t="s">
        <v>61</v>
      </c>
      <c r="G1552" s="0" t="s">
        <v>63</v>
      </c>
      <c r="H1552" s="0" t="s">
        <v>63</v>
      </c>
      <c r="I1552" s="0" t="s">
        <v>34</v>
      </c>
      <c r="J1552" s="0" t="n">
        <v>1.84</v>
      </c>
      <c r="K1552" s="0" t="s">
        <v>60</v>
      </c>
      <c r="L1552" s="0" t="n">
        <f aca="false">INDEX(Summary!$F$2:$F$201,MATCH($B1552,Summary!$A$2:$A$201,0))</f>
        <v>20</v>
      </c>
      <c r="M1552" s="0" t="n">
        <f aca="false">INDEX(Summary!$I$2:$I$201,MATCH($B1552,Summary!$A$2:$A$201,0))</f>
        <v>1</v>
      </c>
      <c r="N1552" s="0" t="n">
        <f aca="false">INDEX(Summary!$J$2:$J$201,MATCH($B1552,Summary!$A$2:$A$201,0))</f>
        <v>4</v>
      </c>
      <c r="O1552" s="2" t="n">
        <f aca="false">INDEX(Summary!$K$2:$K$201,MATCH($B1552,Summary!$A$2:$A$201,0))</f>
        <v>9.95</v>
      </c>
      <c r="P1552" s="3" t="n">
        <f aca="false">INDEX(Summary!$L$2:$L$201,MATCH($B1552,Summary!$A$2:$A$201,0))</f>
        <v>4</v>
      </c>
      <c r="Q1552" s="3" t="n">
        <f aca="false">INDEX(Summary!$M$2:$M$201,MATCH($B1552,Summary!$A$2:$A$201,0))</f>
        <v>2</v>
      </c>
      <c r="R1552" s="2" t="n">
        <f aca="false">INDEX(Summary!$N$2:$N$201,MATCH($B1552,Summary!$A$2:$A$201,0))</f>
        <v>9.68</v>
      </c>
      <c r="S1552" s="3" t="n">
        <f aca="false">INDEX(Summary!$O$2:$O$201,MATCH($B1552,Summary!$A$2:$A$201,0))</f>
        <v>7</v>
      </c>
      <c r="T1552" s="3" t="n">
        <f aca="false">INDEX(Summary!$P$2:$P$201,MATCH($B1552,Summary!$A$2:$A$201,0))</f>
        <v>2</v>
      </c>
      <c r="U1552" s="2" t="n">
        <f aca="false">INDEX(Summary!$Q$2:$Q$201,MATCH($B1552,Summary!$A$2:$A$201,0))</f>
        <v>13.61</v>
      </c>
      <c r="V1552" s="2" t="n">
        <f aca="false">INDEX(Summary!$R$2:$R$201,MATCH($B1552,Summary!$A$2:$A$201,0))</f>
        <v>21.13</v>
      </c>
      <c r="W1552" s="0" t="str">
        <f aca="false">INDEX(Summary!$S$2:$S$201,MATCH($B1552,Summary!$A$2:$A$201,0))</f>
        <v>Silver</v>
      </c>
      <c r="X1552" s="2" t="n">
        <f aca="false">INDEX(Summary!$T$2:$T$201,MATCH($B1552,Summary!$A$2:$A$201,0))</f>
        <v>51.54</v>
      </c>
      <c r="Y1552" s="0" t="str">
        <f aca="false">INDEX('Reward Model'!$E$18:$E$37,MATCH($E1552,'Reward Model'!$A$18:$A$37,0))</f>
        <v>Medium</v>
      </c>
      <c r="Z1552" s="4" t="n">
        <f aca="false">ROUND(MIN(1,MAX('Reward Model'!$B$2,INDEX('Reward Model'!$C$12:$C$14,MATCH($K1552,'Reward Model'!$A$12:$A$14,0))/$J1552)),3)</f>
        <v>0.978</v>
      </c>
      <c r="AA1552" s="2" t="n">
        <f aca="false">IF($I1552="Correct",ROUND(INDEX('Reward Model'!$B$12:$B$14,MATCH($K1552,'Reward Model'!$A$12:$A$14,0))*Z1552,2),0)</f>
        <v>1.96</v>
      </c>
      <c r="AB1552" s="2" t="n">
        <f aca="false">IF($I1552="Correct",ROUND(INDEX('Reward Model'!$B$12:$B$14,MATCH($Y1552,'Reward Model'!$A$12:$A$14,0))*Z1552,2),0)</f>
        <v>1.96</v>
      </c>
    </row>
    <row r="1553" customFormat="false" ht="15" hidden="false" customHeight="false" outlineLevel="0" collapsed="false">
      <c r="A1553" s="0" t="s">
        <v>284</v>
      </c>
      <c r="B1553" s="0" t="s">
        <v>285</v>
      </c>
      <c r="C1553" s="0" t="s">
        <v>30</v>
      </c>
      <c r="D1553" s="0" t="s">
        <v>275</v>
      </c>
      <c r="E1553" s="0" t="n">
        <v>12</v>
      </c>
      <c r="F1553" s="0" t="s">
        <v>64</v>
      </c>
      <c r="G1553" s="0" t="s">
        <v>65</v>
      </c>
      <c r="H1553" s="0" t="s">
        <v>65</v>
      </c>
      <c r="I1553" s="0" t="s">
        <v>34</v>
      </c>
      <c r="J1553" s="0" t="n">
        <v>1.11</v>
      </c>
      <c r="K1553" s="0" t="s">
        <v>60</v>
      </c>
      <c r="L1553" s="0" t="n">
        <f aca="false">INDEX(Summary!$F$2:$F$201,MATCH($B1553,Summary!$A$2:$A$201,0))</f>
        <v>20</v>
      </c>
      <c r="M1553" s="0" t="n">
        <f aca="false">INDEX(Summary!$I$2:$I$201,MATCH($B1553,Summary!$A$2:$A$201,0))</f>
        <v>1</v>
      </c>
      <c r="N1553" s="0" t="n">
        <f aca="false">INDEX(Summary!$J$2:$J$201,MATCH($B1553,Summary!$A$2:$A$201,0))</f>
        <v>4</v>
      </c>
      <c r="O1553" s="2" t="n">
        <f aca="false">INDEX(Summary!$K$2:$K$201,MATCH($B1553,Summary!$A$2:$A$201,0))</f>
        <v>9.95</v>
      </c>
      <c r="P1553" s="3" t="n">
        <f aca="false">INDEX(Summary!$L$2:$L$201,MATCH($B1553,Summary!$A$2:$A$201,0))</f>
        <v>4</v>
      </c>
      <c r="Q1553" s="3" t="n">
        <f aca="false">INDEX(Summary!$M$2:$M$201,MATCH($B1553,Summary!$A$2:$A$201,0))</f>
        <v>2</v>
      </c>
      <c r="R1553" s="2" t="n">
        <f aca="false">INDEX(Summary!$N$2:$N$201,MATCH($B1553,Summary!$A$2:$A$201,0))</f>
        <v>9.68</v>
      </c>
      <c r="S1553" s="3" t="n">
        <f aca="false">INDEX(Summary!$O$2:$O$201,MATCH($B1553,Summary!$A$2:$A$201,0))</f>
        <v>7</v>
      </c>
      <c r="T1553" s="3" t="n">
        <f aca="false">INDEX(Summary!$P$2:$P$201,MATCH($B1553,Summary!$A$2:$A$201,0))</f>
        <v>2</v>
      </c>
      <c r="U1553" s="2" t="n">
        <f aca="false">INDEX(Summary!$Q$2:$Q$201,MATCH($B1553,Summary!$A$2:$A$201,0))</f>
        <v>13.61</v>
      </c>
      <c r="V1553" s="2" t="n">
        <f aca="false">INDEX(Summary!$R$2:$R$201,MATCH($B1553,Summary!$A$2:$A$201,0))</f>
        <v>21.13</v>
      </c>
      <c r="W1553" s="0" t="str">
        <f aca="false">INDEX(Summary!$S$2:$S$201,MATCH($B1553,Summary!$A$2:$A$201,0))</f>
        <v>Silver</v>
      </c>
      <c r="X1553" s="2" t="n">
        <f aca="false">INDEX(Summary!$T$2:$T$201,MATCH($B1553,Summary!$A$2:$A$201,0))</f>
        <v>51.54</v>
      </c>
      <c r="Y1553" s="0" t="str">
        <f aca="false">INDEX('Reward Model'!$E$18:$E$37,MATCH($E1553,'Reward Model'!$A$18:$A$37,0))</f>
        <v>Medium</v>
      </c>
      <c r="Z1553" s="4" t="n">
        <f aca="false">ROUND(MIN(1,MAX('Reward Model'!$B$2,INDEX('Reward Model'!$C$12:$C$14,MATCH($K1553,'Reward Model'!$A$12:$A$14,0))/$J1553)),3)</f>
        <v>1</v>
      </c>
      <c r="AA1553" s="2" t="n">
        <f aca="false">IF($I1553="Correct",ROUND(INDEX('Reward Model'!$B$12:$B$14,MATCH($K1553,'Reward Model'!$A$12:$A$14,0))*Z1553,2),0)</f>
        <v>2</v>
      </c>
      <c r="AB1553" s="2" t="n">
        <f aca="false">IF($I1553="Correct",ROUND(INDEX('Reward Model'!$B$12:$B$14,MATCH($Y1553,'Reward Model'!$A$12:$A$14,0))*Z1553,2),0)</f>
        <v>2</v>
      </c>
    </row>
    <row r="1554" customFormat="false" ht="15" hidden="false" customHeight="false" outlineLevel="0" collapsed="false">
      <c r="A1554" s="0" t="s">
        <v>284</v>
      </c>
      <c r="B1554" s="0" t="s">
        <v>285</v>
      </c>
      <c r="C1554" s="0" t="s">
        <v>30</v>
      </c>
      <c r="D1554" s="0" t="s">
        <v>275</v>
      </c>
      <c r="E1554" s="0" t="n">
        <v>13</v>
      </c>
      <c r="F1554" s="0" t="s">
        <v>66</v>
      </c>
      <c r="G1554" s="0" t="s">
        <v>67</v>
      </c>
      <c r="H1554" s="0" t="s">
        <v>67</v>
      </c>
      <c r="I1554" s="0" t="s">
        <v>34</v>
      </c>
      <c r="J1554" s="0" t="n">
        <v>1.94</v>
      </c>
      <c r="K1554" s="0" t="s">
        <v>60</v>
      </c>
      <c r="L1554" s="0" t="n">
        <f aca="false">INDEX(Summary!$F$2:$F$201,MATCH($B1554,Summary!$A$2:$A$201,0))</f>
        <v>20</v>
      </c>
      <c r="M1554" s="0" t="n">
        <f aca="false">INDEX(Summary!$I$2:$I$201,MATCH($B1554,Summary!$A$2:$A$201,0))</f>
        <v>1</v>
      </c>
      <c r="N1554" s="0" t="n">
        <f aca="false">INDEX(Summary!$J$2:$J$201,MATCH($B1554,Summary!$A$2:$A$201,0))</f>
        <v>4</v>
      </c>
      <c r="O1554" s="2" t="n">
        <f aca="false">INDEX(Summary!$K$2:$K$201,MATCH($B1554,Summary!$A$2:$A$201,0))</f>
        <v>9.95</v>
      </c>
      <c r="P1554" s="3" t="n">
        <f aca="false">INDEX(Summary!$L$2:$L$201,MATCH($B1554,Summary!$A$2:$A$201,0))</f>
        <v>4</v>
      </c>
      <c r="Q1554" s="3" t="n">
        <f aca="false">INDEX(Summary!$M$2:$M$201,MATCH($B1554,Summary!$A$2:$A$201,0))</f>
        <v>2</v>
      </c>
      <c r="R1554" s="2" t="n">
        <f aca="false">INDEX(Summary!$N$2:$N$201,MATCH($B1554,Summary!$A$2:$A$201,0))</f>
        <v>9.68</v>
      </c>
      <c r="S1554" s="3" t="n">
        <f aca="false">INDEX(Summary!$O$2:$O$201,MATCH($B1554,Summary!$A$2:$A$201,0))</f>
        <v>7</v>
      </c>
      <c r="T1554" s="3" t="n">
        <f aca="false">INDEX(Summary!$P$2:$P$201,MATCH($B1554,Summary!$A$2:$A$201,0))</f>
        <v>2</v>
      </c>
      <c r="U1554" s="2" t="n">
        <f aca="false">INDEX(Summary!$Q$2:$Q$201,MATCH($B1554,Summary!$A$2:$A$201,0))</f>
        <v>13.61</v>
      </c>
      <c r="V1554" s="2" t="n">
        <f aca="false">INDEX(Summary!$R$2:$R$201,MATCH($B1554,Summary!$A$2:$A$201,0))</f>
        <v>21.13</v>
      </c>
      <c r="W1554" s="0" t="str">
        <f aca="false">INDEX(Summary!$S$2:$S$201,MATCH($B1554,Summary!$A$2:$A$201,0))</f>
        <v>Silver</v>
      </c>
      <c r="X1554" s="2" t="n">
        <f aca="false">INDEX(Summary!$T$2:$T$201,MATCH($B1554,Summary!$A$2:$A$201,0))</f>
        <v>51.54</v>
      </c>
      <c r="Y1554" s="0" t="str">
        <f aca="false">INDEX('Reward Model'!$E$18:$E$37,MATCH($E1554,'Reward Model'!$A$18:$A$37,0))</f>
        <v>Medium</v>
      </c>
      <c r="Z1554" s="4" t="n">
        <f aca="false">ROUND(MIN(1,MAX('Reward Model'!$B$2,INDEX('Reward Model'!$C$12:$C$14,MATCH($K1554,'Reward Model'!$A$12:$A$14,0))/$J1554)),3)</f>
        <v>0.928</v>
      </c>
      <c r="AA1554" s="2" t="n">
        <f aca="false">IF($I1554="Correct",ROUND(INDEX('Reward Model'!$B$12:$B$14,MATCH($K1554,'Reward Model'!$A$12:$A$14,0))*Z1554,2),0)</f>
        <v>1.86</v>
      </c>
      <c r="AB1554" s="2" t="n">
        <f aca="false">IF($I1554="Correct",ROUND(INDEX('Reward Model'!$B$12:$B$14,MATCH($Y1554,'Reward Model'!$A$12:$A$14,0))*Z1554,2),0)</f>
        <v>1.86</v>
      </c>
    </row>
    <row r="1555" customFormat="false" ht="15" hidden="false" customHeight="false" outlineLevel="0" collapsed="false">
      <c r="A1555" s="0" t="s">
        <v>284</v>
      </c>
      <c r="B1555" s="0" t="s">
        <v>285</v>
      </c>
      <c r="C1555" s="0" t="s">
        <v>30</v>
      </c>
      <c r="D1555" s="0" t="s">
        <v>275</v>
      </c>
      <c r="E1555" s="0" t="n">
        <v>14</v>
      </c>
      <c r="F1555" s="0" t="s">
        <v>68</v>
      </c>
      <c r="G1555" s="0" t="s">
        <v>118</v>
      </c>
      <c r="H1555" s="0" t="s">
        <v>51</v>
      </c>
      <c r="I1555" s="0" t="s">
        <v>39</v>
      </c>
      <c r="J1555" s="0" t="n">
        <v>1.92</v>
      </c>
      <c r="K1555" s="0" t="s">
        <v>60</v>
      </c>
      <c r="L1555" s="0" t="n">
        <f aca="false">INDEX(Summary!$F$2:$F$201,MATCH($B1555,Summary!$A$2:$A$201,0))</f>
        <v>20</v>
      </c>
      <c r="M1555" s="0" t="n">
        <f aca="false">INDEX(Summary!$I$2:$I$201,MATCH($B1555,Summary!$A$2:$A$201,0))</f>
        <v>1</v>
      </c>
      <c r="N1555" s="0" t="n">
        <f aca="false">INDEX(Summary!$J$2:$J$201,MATCH($B1555,Summary!$A$2:$A$201,0))</f>
        <v>4</v>
      </c>
      <c r="O1555" s="2" t="n">
        <f aca="false">INDEX(Summary!$K$2:$K$201,MATCH($B1555,Summary!$A$2:$A$201,0))</f>
        <v>9.95</v>
      </c>
      <c r="P1555" s="3" t="n">
        <f aca="false">INDEX(Summary!$L$2:$L$201,MATCH($B1555,Summary!$A$2:$A$201,0))</f>
        <v>4</v>
      </c>
      <c r="Q1555" s="3" t="n">
        <f aca="false">INDEX(Summary!$M$2:$M$201,MATCH($B1555,Summary!$A$2:$A$201,0))</f>
        <v>2</v>
      </c>
      <c r="R1555" s="2" t="n">
        <f aca="false">INDEX(Summary!$N$2:$N$201,MATCH($B1555,Summary!$A$2:$A$201,0))</f>
        <v>9.68</v>
      </c>
      <c r="S1555" s="3" t="n">
        <f aca="false">INDEX(Summary!$O$2:$O$201,MATCH($B1555,Summary!$A$2:$A$201,0))</f>
        <v>7</v>
      </c>
      <c r="T1555" s="3" t="n">
        <f aca="false">INDEX(Summary!$P$2:$P$201,MATCH($B1555,Summary!$A$2:$A$201,0))</f>
        <v>2</v>
      </c>
      <c r="U1555" s="2" t="n">
        <f aca="false">INDEX(Summary!$Q$2:$Q$201,MATCH($B1555,Summary!$A$2:$A$201,0))</f>
        <v>13.61</v>
      </c>
      <c r="V1555" s="2" t="n">
        <f aca="false">INDEX(Summary!$R$2:$R$201,MATCH($B1555,Summary!$A$2:$A$201,0))</f>
        <v>21.13</v>
      </c>
      <c r="W1555" s="0" t="str">
        <f aca="false">INDEX(Summary!$S$2:$S$201,MATCH($B1555,Summary!$A$2:$A$201,0))</f>
        <v>Silver</v>
      </c>
      <c r="X1555" s="2" t="n">
        <f aca="false">INDEX(Summary!$T$2:$T$201,MATCH($B1555,Summary!$A$2:$A$201,0))</f>
        <v>51.54</v>
      </c>
      <c r="Y1555" s="0" t="str">
        <f aca="false">INDEX('Reward Model'!$E$18:$E$37,MATCH($E1555,'Reward Model'!$A$18:$A$37,0))</f>
        <v>Medium</v>
      </c>
      <c r="Z1555" s="4" t="n">
        <f aca="false">ROUND(MIN(1,MAX('Reward Model'!$B$2,INDEX('Reward Model'!$C$12:$C$14,MATCH($K1555,'Reward Model'!$A$12:$A$14,0))/$J1555)),3)</f>
        <v>0.938</v>
      </c>
      <c r="AA1555" s="2" t="n">
        <f aca="false">IF($I1555="Correct",ROUND(INDEX('Reward Model'!$B$12:$B$14,MATCH($K1555,'Reward Model'!$A$12:$A$14,0))*Z1555,2),0)</f>
        <v>0</v>
      </c>
      <c r="AB1555" s="2" t="n">
        <f aca="false">IF($I1555="Correct",ROUND(INDEX('Reward Model'!$B$12:$B$14,MATCH($Y1555,'Reward Model'!$A$12:$A$14,0))*Z1555,2),0)</f>
        <v>0</v>
      </c>
    </row>
    <row r="1556" customFormat="false" ht="15" hidden="false" customHeight="false" outlineLevel="0" collapsed="false">
      <c r="A1556" s="0" t="s">
        <v>284</v>
      </c>
      <c r="B1556" s="0" t="s">
        <v>285</v>
      </c>
      <c r="C1556" s="0" t="s">
        <v>30</v>
      </c>
      <c r="D1556" s="0" t="s">
        <v>275</v>
      </c>
      <c r="E1556" s="0" t="n">
        <v>15</v>
      </c>
      <c r="F1556" s="0" t="s">
        <v>69</v>
      </c>
      <c r="G1556" s="0" t="s">
        <v>139</v>
      </c>
      <c r="H1556" s="0" t="s">
        <v>70</v>
      </c>
      <c r="I1556" s="0" t="s">
        <v>39</v>
      </c>
      <c r="J1556" s="0" t="n">
        <v>1.69</v>
      </c>
      <c r="K1556" s="0" t="s">
        <v>60</v>
      </c>
      <c r="L1556" s="0" t="n">
        <f aca="false">INDEX(Summary!$F$2:$F$201,MATCH($B1556,Summary!$A$2:$A$201,0))</f>
        <v>20</v>
      </c>
      <c r="M1556" s="0" t="n">
        <f aca="false">INDEX(Summary!$I$2:$I$201,MATCH($B1556,Summary!$A$2:$A$201,0))</f>
        <v>1</v>
      </c>
      <c r="N1556" s="0" t="n">
        <f aca="false">INDEX(Summary!$J$2:$J$201,MATCH($B1556,Summary!$A$2:$A$201,0))</f>
        <v>4</v>
      </c>
      <c r="O1556" s="2" t="n">
        <f aca="false">INDEX(Summary!$K$2:$K$201,MATCH($B1556,Summary!$A$2:$A$201,0))</f>
        <v>9.95</v>
      </c>
      <c r="P1556" s="3" t="n">
        <f aca="false">INDEX(Summary!$L$2:$L$201,MATCH($B1556,Summary!$A$2:$A$201,0))</f>
        <v>4</v>
      </c>
      <c r="Q1556" s="3" t="n">
        <f aca="false">INDEX(Summary!$M$2:$M$201,MATCH($B1556,Summary!$A$2:$A$201,0))</f>
        <v>2</v>
      </c>
      <c r="R1556" s="2" t="n">
        <f aca="false">INDEX(Summary!$N$2:$N$201,MATCH($B1556,Summary!$A$2:$A$201,0))</f>
        <v>9.68</v>
      </c>
      <c r="S1556" s="3" t="n">
        <f aca="false">INDEX(Summary!$O$2:$O$201,MATCH($B1556,Summary!$A$2:$A$201,0))</f>
        <v>7</v>
      </c>
      <c r="T1556" s="3" t="n">
        <f aca="false">INDEX(Summary!$P$2:$P$201,MATCH($B1556,Summary!$A$2:$A$201,0))</f>
        <v>2</v>
      </c>
      <c r="U1556" s="2" t="n">
        <f aca="false">INDEX(Summary!$Q$2:$Q$201,MATCH($B1556,Summary!$A$2:$A$201,0))</f>
        <v>13.61</v>
      </c>
      <c r="V1556" s="2" t="n">
        <f aca="false">INDEX(Summary!$R$2:$R$201,MATCH($B1556,Summary!$A$2:$A$201,0))</f>
        <v>21.13</v>
      </c>
      <c r="W1556" s="0" t="str">
        <f aca="false">INDEX(Summary!$S$2:$S$201,MATCH($B1556,Summary!$A$2:$A$201,0))</f>
        <v>Silver</v>
      </c>
      <c r="X1556" s="2" t="n">
        <f aca="false">INDEX(Summary!$T$2:$T$201,MATCH($B1556,Summary!$A$2:$A$201,0))</f>
        <v>51.54</v>
      </c>
      <c r="Y1556" s="0" t="str">
        <f aca="false">INDEX('Reward Model'!$E$18:$E$37,MATCH($E1556,'Reward Model'!$A$18:$A$37,0))</f>
        <v>Medium</v>
      </c>
      <c r="Z1556" s="4" t="n">
        <f aca="false">ROUND(MIN(1,MAX('Reward Model'!$B$2,INDEX('Reward Model'!$C$12:$C$14,MATCH($K1556,'Reward Model'!$A$12:$A$14,0))/$J1556)),3)</f>
        <v>1</v>
      </c>
      <c r="AA1556" s="2" t="n">
        <f aca="false">IF($I1556="Correct",ROUND(INDEX('Reward Model'!$B$12:$B$14,MATCH($K1556,'Reward Model'!$A$12:$A$14,0))*Z1556,2),0)</f>
        <v>0</v>
      </c>
      <c r="AB1556" s="2" t="n">
        <f aca="false">IF($I1556="Correct",ROUND(INDEX('Reward Model'!$B$12:$B$14,MATCH($Y1556,'Reward Model'!$A$12:$A$14,0))*Z1556,2),0)</f>
        <v>0</v>
      </c>
    </row>
    <row r="1557" customFormat="false" ht="15" hidden="false" customHeight="false" outlineLevel="0" collapsed="false">
      <c r="A1557" s="0" t="s">
        <v>284</v>
      </c>
      <c r="B1557" s="0" t="s">
        <v>285</v>
      </c>
      <c r="C1557" s="0" t="s">
        <v>30</v>
      </c>
      <c r="D1557" s="0" t="s">
        <v>275</v>
      </c>
      <c r="E1557" s="0" t="n">
        <v>16</v>
      </c>
      <c r="F1557" s="0" t="s">
        <v>71</v>
      </c>
      <c r="G1557" s="0" t="s">
        <v>72</v>
      </c>
      <c r="H1557" s="0" t="s">
        <v>72</v>
      </c>
      <c r="I1557" s="0" t="s">
        <v>34</v>
      </c>
      <c r="J1557" s="0" t="n">
        <v>1.33</v>
      </c>
      <c r="K1557" s="0" t="s">
        <v>73</v>
      </c>
      <c r="L1557" s="0" t="n">
        <f aca="false">INDEX(Summary!$F$2:$F$201,MATCH($B1557,Summary!$A$2:$A$201,0))</f>
        <v>20</v>
      </c>
      <c r="M1557" s="0" t="n">
        <f aca="false">INDEX(Summary!$I$2:$I$201,MATCH($B1557,Summary!$A$2:$A$201,0))</f>
        <v>1</v>
      </c>
      <c r="N1557" s="0" t="n">
        <f aca="false">INDEX(Summary!$J$2:$J$201,MATCH($B1557,Summary!$A$2:$A$201,0))</f>
        <v>4</v>
      </c>
      <c r="O1557" s="2" t="n">
        <f aca="false">INDEX(Summary!$K$2:$K$201,MATCH($B1557,Summary!$A$2:$A$201,0))</f>
        <v>9.95</v>
      </c>
      <c r="P1557" s="3" t="n">
        <f aca="false">INDEX(Summary!$L$2:$L$201,MATCH($B1557,Summary!$A$2:$A$201,0))</f>
        <v>4</v>
      </c>
      <c r="Q1557" s="3" t="n">
        <f aca="false">INDEX(Summary!$M$2:$M$201,MATCH($B1557,Summary!$A$2:$A$201,0))</f>
        <v>2</v>
      </c>
      <c r="R1557" s="2" t="n">
        <f aca="false">INDEX(Summary!$N$2:$N$201,MATCH($B1557,Summary!$A$2:$A$201,0))</f>
        <v>9.68</v>
      </c>
      <c r="S1557" s="3" t="n">
        <f aca="false">INDEX(Summary!$O$2:$O$201,MATCH($B1557,Summary!$A$2:$A$201,0))</f>
        <v>7</v>
      </c>
      <c r="T1557" s="3" t="n">
        <f aca="false">INDEX(Summary!$P$2:$P$201,MATCH($B1557,Summary!$A$2:$A$201,0))</f>
        <v>2</v>
      </c>
      <c r="U1557" s="2" t="n">
        <f aca="false">INDEX(Summary!$Q$2:$Q$201,MATCH($B1557,Summary!$A$2:$A$201,0))</f>
        <v>13.61</v>
      </c>
      <c r="V1557" s="2" t="n">
        <f aca="false">INDEX(Summary!$R$2:$R$201,MATCH($B1557,Summary!$A$2:$A$201,0))</f>
        <v>21.13</v>
      </c>
      <c r="W1557" s="0" t="str">
        <f aca="false">INDEX(Summary!$S$2:$S$201,MATCH($B1557,Summary!$A$2:$A$201,0))</f>
        <v>Silver</v>
      </c>
      <c r="X1557" s="2" t="n">
        <f aca="false">INDEX(Summary!$T$2:$T$201,MATCH($B1557,Summary!$A$2:$A$201,0))</f>
        <v>51.54</v>
      </c>
      <c r="Y1557" s="0" t="str">
        <f aca="false">INDEX('Reward Model'!$E$18:$E$37,MATCH($E1557,'Reward Model'!$A$18:$A$37,0))</f>
        <v>High</v>
      </c>
      <c r="Z1557" s="4" t="n">
        <f aca="false">ROUND(MIN(1,MAX('Reward Model'!$B$2,INDEX('Reward Model'!$C$12:$C$14,MATCH($K1557,'Reward Model'!$A$12:$A$14,0))/$J1557)),3)</f>
        <v>1</v>
      </c>
      <c r="AA1557" s="2" t="n">
        <f aca="false">IF($I1557="Correct",ROUND(INDEX('Reward Model'!$B$12:$B$14,MATCH($K1557,'Reward Model'!$A$12:$A$14,0))*Z1557,2),0)</f>
        <v>3</v>
      </c>
      <c r="AB1557" s="2" t="n">
        <f aca="false">IF($I1557="Correct",ROUND(INDEX('Reward Model'!$B$12:$B$14,MATCH($Y1557,'Reward Model'!$A$12:$A$14,0))*Z1557,2),0)</f>
        <v>3</v>
      </c>
    </row>
    <row r="1558" customFormat="false" ht="15" hidden="false" customHeight="false" outlineLevel="0" collapsed="false">
      <c r="A1558" s="0" t="s">
        <v>284</v>
      </c>
      <c r="B1558" s="0" t="s">
        <v>285</v>
      </c>
      <c r="C1558" s="0" t="s">
        <v>30</v>
      </c>
      <c r="D1558" s="0" t="s">
        <v>275</v>
      </c>
      <c r="E1558" s="0" t="n">
        <v>17</v>
      </c>
      <c r="F1558" s="0" t="s">
        <v>74</v>
      </c>
      <c r="G1558" s="0" t="s">
        <v>91</v>
      </c>
      <c r="H1558" s="0" t="s">
        <v>75</v>
      </c>
      <c r="I1558" s="0" t="s">
        <v>39</v>
      </c>
      <c r="J1558" s="0" t="n">
        <v>2.07</v>
      </c>
      <c r="K1558" s="0" t="s">
        <v>73</v>
      </c>
      <c r="L1558" s="0" t="n">
        <f aca="false">INDEX(Summary!$F$2:$F$201,MATCH($B1558,Summary!$A$2:$A$201,0))</f>
        <v>20</v>
      </c>
      <c r="M1558" s="0" t="n">
        <f aca="false">INDEX(Summary!$I$2:$I$201,MATCH($B1558,Summary!$A$2:$A$201,0))</f>
        <v>1</v>
      </c>
      <c r="N1558" s="0" t="n">
        <f aca="false">INDEX(Summary!$J$2:$J$201,MATCH($B1558,Summary!$A$2:$A$201,0))</f>
        <v>4</v>
      </c>
      <c r="O1558" s="2" t="n">
        <f aca="false">INDEX(Summary!$K$2:$K$201,MATCH($B1558,Summary!$A$2:$A$201,0))</f>
        <v>9.95</v>
      </c>
      <c r="P1558" s="3" t="n">
        <f aca="false">INDEX(Summary!$L$2:$L$201,MATCH($B1558,Summary!$A$2:$A$201,0))</f>
        <v>4</v>
      </c>
      <c r="Q1558" s="3" t="n">
        <f aca="false">INDEX(Summary!$M$2:$M$201,MATCH($B1558,Summary!$A$2:$A$201,0))</f>
        <v>2</v>
      </c>
      <c r="R1558" s="2" t="n">
        <f aca="false">INDEX(Summary!$N$2:$N$201,MATCH($B1558,Summary!$A$2:$A$201,0))</f>
        <v>9.68</v>
      </c>
      <c r="S1558" s="3" t="n">
        <f aca="false">INDEX(Summary!$O$2:$O$201,MATCH($B1558,Summary!$A$2:$A$201,0))</f>
        <v>7</v>
      </c>
      <c r="T1558" s="3" t="n">
        <f aca="false">INDEX(Summary!$P$2:$P$201,MATCH($B1558,Summary!$A$2:$A$201,0))</f>
        <v>2</v>
      </c>
      <c r="U1558" s="2" t="n">
        <f aca="false">INDEX(Summary!$Q$2:$Q$201,MATCH($B1558,Summary!$A$2:$A$201,0))</f>
        <v>13.61</v>
      </c>
      <c r="V1558" s="2" t="n">
        <f aca="false">INDEX(Summary!$R$2:$R$201,MATCH($B1558,Summary!$A$2:$A$201,0))</f>
        <v>21.13</v>
      </c>
      <c r="W1558" s="0" t="str">
        <f aca="false">INDEX(Summary!$S$2:$S$201,MATCH($B1558,Summary!$A$2:$A$201,0))</f>
        <v>Silver</v>
      </c>
      <c r="X1558" s="2" t="n">
        <f aca="false">INDEX(Summary!$T$2:$T$201,MATCH($B1558,Summary!$A$2:$A$201,0))</f>
        <v>51.54</v>
      </c>
      <c r="Y1558" s="0" t="str">
        <f aca="false">INDEX('Reward Model'!$E$18:$E$37,MATCH($E1558,'Reward Model'!$A$18:$A$37,0))</f>
        <v>High</v>
      </c>
      <c r="Z1558" s="4" t="n">
        <f aca="false">ROUND(MIN(1,MAX('Reward Model'!$B$2,INDEX('Reward Model'!$C$12:$C$14,MATCH($K1558,'Reward Model'!$A$12:$A$14,0))/$J1558)),3)</f>
        <v>0.966</v>
      </c>
      <c r="AA1558" s="2" t="n">
        <f aca="false">IF($I1558="Correct",ROUND(INDEX('Reward Model'!$B$12:$B$14,MATCH($K1558,'Reward Model'!$A$12:$A$14,0))*Z1558,2),0)</f>
        <v>0</v>
      </c>
      <c r="AB1558" s="2" t="n">
        <f aca="false">IF($I1558="Correct",ROUND(INDEX('Reward Model'!$B$12:$B$14,MATCH($Y1558,'Reward Model'!$A$12:$A$14,0))*Z1558,2),0)</f>
        <v>0</v>
      </c>
    </row>
    <row r="1559" customFormat="false" ht="15" hidden="false" customHeight="false" outlineLevel="0" collapsed="false">
      <c r="A1559" s="0" t="s">
        <v>284</v>
      </c>
      <c r="B1559" s="0" t="s">
        <v>285</v>
      </c>
      <c r="C1559" s="0" t="s">
        <v>30</v>
      </c>
      <c r="D1559" s="0" t="s">
        <v>275</v>
      </c>
      <c r="E1559" s="0" t="n">
        <v>18</v>
      </c>
      <c r="F1559" s="0" t="s">
        <v>76</v>
      </c>
      <c r="G1559" s="0" t="s">
        <v>88</v>
      </c>
      <c r="H1559" s="0" t="s">
        <v>77</v>
      </c>
      <c r="I1559" s="0" t="s">
        <v>39</v>
      </c>
      <c r="J1559" s="0" t="n">
        <v>2.35</v>
      </c>
      <c r="K1559" s="0" t="s">
        <v>73</v>
      </c>
      <c r="L1559" s="0" t="n">
        <f aca="false">INDEX(Summary!$F$2:$F$201,MATCH($B1559,Summary!$A$2:$A$201,0))</f>
        <v>20</v>
      </c>
      <c r="M1559" s="0" t="n">
        <f aca="false">INDEX(Summary!$I$2:$I$201,MATCH($B1559,Summary!$A$2:$A$201,0))</f>
        <v>1</v>
      </c>
      <c r="N1559" s="0" t="n">
        <f aca="false">INDEX(Summary!$J$2:$J$201,MATCH($B1559,Summary!$A$2:$A$201,0))</f>
        <v>4</v>
      </c>
      <c r="O1559" s="2" t="n">
        <f aca="false">INDEX(Summary!$K$2:$K$201,MATCH($B1559,Summary!$A$2:$A$201,0))</f>
        <v>9.95</v>
      </c>
      <c r="P1559" s="3" t="n">
        <f aca="false">INDEX(Summary!$L$2:$L$201,MATCH($B1559,Summary!$A$2:$A$201,0))</f>
        <v>4</v>
      </c>
      <c r="Q1559" s="3" t="n">
        <f aca="false">INDEX(Summary!$M$2:$M$201,MATCH($B1559,Summary!$A$2:$A$201,0))</f>
        <v>2</v>
      </c>
      <c r="R1559" s="2" t="n">
        <f aca="false">INDEX(Summary!$N$2:$N$201,MATCH($B1559,Summary!$A$2:$A$201,0))</f>
        <v>9.68</v>
      </c>
      <c r="S1559" s="3" t="n">
        <f aca="false">INDEX(Summary!$O$2:$O$201,MATCH($B1559,Summary!$A$2:$A$201,0))</f>
        <v>7</v>
      </c>
      <c r="T1559" s="3" t="n">
        <f aca="false">INDEX(Summary!$P$2:$P$201,MATCH($B1559,Summary!$A$2:$A$201,0))</f>
        <v>2</v>
      </c>
      <c r="U1559" s="2" t="n">
        <f aca="false">INDEX(Summary!$Q$2:$Q$201,MATCH($B1559,Summary!$A$2:$A$201,0))</f>
        <v>13.61</v>
      </c>
      <c r="V1559" s="2" t="n">
        <f aca="false">INDEX(Summary!$R$2:$R$201,MATCH($B1559,Summary!$A$2:$A$201,0))</f>
        <v>21.13</v>
      </c>
      <c r="W1559" s="0" t="str">
        <f aca="false">INDEX(Summary!$S$2:$S$201,MATCH($B1559,Summary!$A$2:$A$201,0))</f>
        <v>Silver</v>
      </c>
      <c r="X1559" s="2" t="n">
        <f aca="false">INDEX(Summary!$T$2:$T$201,MATCH($B1559,Summary!$A$2:$A$201,0))</f>
        <v>51.54</v>
      </c>
      <c r="Y1559" s="0" t="str">
        <f aca="false">INDEX('Reward Model'!$E$18:$E$37,MATCH($E1559,'Reward Model'!$A$18:$A$37,0))</f>
        <v>High</v>
      </c>
      <c r="Z1559" s="4" t="n">
        <f aca="false">ROUND(MIN(1,MAX('Reward Model'!$B$2,INDEX('Reward Model'!$C$12:$C$14,MATCH($K1559,'Reward Model'!$A$12:$A$14,0))/$J1559)),3)</f>
        <v>0.851</v>
      </c>
      <c r="AA1559" s="2" t="n">
        <f aca="false">IF($I1559="Correct",ROUND(INDEX('Reward Model'!$B$12:$B$14,MATCH($K1559,'Reward Model'!$A$12:$A$14,0))*Z1559,2),0)</f>
        <v>0</v>
      </c>
      <c r="AB1559" s="2" t="n">
        <f aca="false">IF($I1559="Correct",ROUND(INDEX('Reward Model'!$B$12:$B$14,MATCH($Y1559,'Reward Model'!$A$12:$A$14,0))*Z1559,2),0)</f>
        <v>0</v>
      </c>
    </row>
    <row r="1560" customFormat="false" ht="15" hidden="false" customHeight="false" outlineLevel="0" collapsed="false">
      <c r="A1560" s="0" t="s">
        <v>284</v>
      </c>
      <c r="B1560" s="0" t="s">
        <v>285</v>
      </c>
      <c r="C1560" s="0" t="s">
        <v>30</v>
      </c>
      <c r="D1560" s="0" t="s">
        <v>275</v>
      </c>
      <c r="E1560" s="0" t="n">
        <v>19</v>
      </c>
      <c r="F1560" s="0" t="s">
        <v>78</v>
      </c>
      <c r="G1560" s="0" t="s">
        <v>132</v>
      </c>
      <c r="H1560" s="0" t="s">
        <v>80</v>
      </c>
      <c r="I1560" s="0" t="s">
        <v>39</v>
      </c>
      <c r="J1560" s="0" t="n">
        <v>1.72</v>
      </c>
      <c r="K1560" s="0" t="s">
        <v>73</v>
      </c>
      <c r="L1560" s="0" t="n">
        <f aca="false">INDEX(Summary!$F$2:$F$201,MATCH($B1560,Summary!$A$2:$A$201,0))</f>
        <v>20</v>
      </c>
      <c r="M1560" s="0" t="n">
        <f aca="false">INDEX(Summary!$I$2:$I$201,MATCH($B1560,Summary!$A$2:$A$201,0))</f>
        <v>1</v>
      </c>
      <c r="N1560" s="0" t="n">
        <f aca="false">INDEX(Summary!$J$2:$J$201,MATCH($B1560,Summary!$A$2:$A$201,0))</f>
        <v>4</v>
      </c>
      <c r="O1560" s="2" t="n">
        <f aca="false">INDEX(Summary!$K$2:$K$201,MATCH($B1560,Summary!$A$2:$A$201,0))</f>
        <v>9.95</v>
      </c>
      <c r="P1560" s="3" t="n">
        <f aca="false">INDEX(Summary!$L$2:$L$201,MATCH($B1560,Summary!$A$2:$A$201,0))</f>
        <v>4</v>
      </c>
      <c r="Q1560" s="3" t="n">
        <f aca="false">INDEX(Summary!$M$2:$M$201,MATCH($B1560,Summary!$A$2:$A$201,0))</f>
        <v>2</v>
      </c>
      <c r="R1560" s="2" t="n">
        <f aca="false">INDEX(Summary!$N$2:$N$201,MATCH($B1560,Summary!$A$2:$A$201,0))</f>
        <v>9.68</v>
      </c>
      <c r="S1560" s="3" t="n">
        <f aca="false">INDEX(Summary!$O$2:$O$201,MATCH($B1560,Summary!$A$2:$A$201,0))</f>
        <v>7</v>
      </c>
      <c r="T1560" s="3" t="n">
        <f aca="false">INDEX(Summary!$P$2:$P$201,MATCH($B1560,Summary!$A$2:$A$201,0))</f>
        <v>2</v>
      </c>
      <c r="U1560" s="2" t="n">
        <f aca="false">INDEX(Summary!$Q$2:$Q$201,MATCH($B1560,Summary!$A$2:$A$201,0))</f>
        <v>13.61</v>
      </c>
      <c r="V1560" s="2" t="n">
        <f aca="false">INDEX(Summary!$R$2:$R$201,MATCH($B1560,Summary!$A$2:$A$201,0))</f>
        <v>21.13</v>
      </c>
      <c r="W1560" s="0" t="str">
        <f aca="false">INDEX(Summary!$S$2:$S$201,MATCH($B1560,Summary!$A$2:$A$201,0))</f>
        <v>Silver</v>
      </c>
      <c r="X1560" s="2" t="n">
        <f aca="false">INDEX(Summary!$T$2:$T$201,MATCH($B1560,Summary!$A$2:$A$201,0))</f>
        <v>51.54</v>
      </c>
      <c r="Y1560" s="0" t="str">
        <f aca="false">INDEX('Reward Model'!$E$18:$E$37,MATCH($E1560,'Reward Model'!$A$18:$A$37,0))</f>
        <v>High</v>
      </c>
      <c r="Z1560" s="4" t="n">
        <f aca="false">ROUND(MIN(1,MAX('Reward Model'!$B$2,INDEX('Reward Model'!$C$12:$C$14,MATCH($K1560,'Reward Model'!$A$12:$A$14,0))/$J1560)),3)</f>
        <v>1</v>
      </c>
      <c r="AA1560" s="2" t="n">
        <f aca="false">IF($I1560="Correct",ROUND(INDEX('Reward Model'!$B$12:$B$14,MATCH($K1560,'Reward Model'!$A$12:$A$14,0))*Z1560,2),0)</f>
        <v>0</v>
      </c>
      <c r="AB1560" s="2" t="n">
        <f aca="false">IF($I1560="Correct",ROUND(INDEX('Reward Model'!$B$12:$B$14,MATCH($Y1560,'Reward Model'!$A$12:$A$14,0))*Z1560,2),0)</f>
        <v>0</v>
      </c>
    </row>
    <row r="1561" customFormat="false" ht="15" hidden="false" customHeight="false" outlineLevel="0" collapsed="false">
      <c r="A1561" s="0" t="s">
        <v>284</v>
      </c>
      <c r="B1561" s="0" t="s">
        <v>285</v>
      </c>
      <c r="C1561" s="0" t="s">
        <v>30</v>
      </c>
      <c r="D1561" s="0" t="s">
        <v>275</v>
      </c>
      <c r="E1561" s="0" t="n">
        <v>20</v>
      </c>
      <c r="F1561" s="0" t="s">
        <v>81</v>
      </c>
      <c r="G1561" s="0" t="s">
        <v>82</v>
      </c>
      <c r="H1561" s="0" t="s">
        <v>83</v>
      </c>
      <c r="I1561" s="0" t="s">
        <v>39</v>
      </c>
      <c r="J1561" s="0" t="n">
        <v>2.48</v>
      </c>
      <c r="K1561" s="0" t="s">
        <v>73</v>
      </c>
      <c r="L1561" s="0" t="n">
        <f aca="false">INDEX(Summary!$F$2:$F$201,MATCH($B1561,Summary!$A$2:$A$201,0))</f>
        <v>20</v>
      </c>
      <c r="M1561" s="0" t="n">
        <f aca="false">INDEX(Summary!$I$2:$I$201,MATCH($B1561,Summary!$A$2:$A$201,0))</f>
        <v>1</v>
      </c>
      <c r="N1561" s="0" t="n">
        <f aca="false">INDEX(Summary!$J$2:$J$201,MATCH($B1561,Summary!$A$2:$A$201,0))</f>
        <v>4</v>
      </c>
      <c r="O1561" s="2" t="n">
        <f aca="false">INDEX(Summary!$K$2:$K$201,MATCH($B1561,Summary!$A$2:$A$201,0))</f>
        <v>9.95</v>
      </c>
      <c r="P1561" s="3" t="n">
        <f aca="false">INDEX(Summary!$L$2:$L$201,MATCH($B1561,Summary!$A$2:$A$201,0))</f>
        <v>4</v>
      </c>
      <c r="Q1561" s="3" t="n">
        <f aca="false">INDEX(Summary!$M$2:$M$201,MATCH($B1561,Summary!$A$2:$A$201,0))</f>
        <v>2</v>
      </c>
      <c r="R1561" s="2" t="n">
        <f aca="false">INDEX(Summary!$N$2:$N$201,MATCH($B1561,Summary!$A$2:$A$201,0))</f>
        <v>9.68</v>
      </c>
      <c r="S1561" s="3" t="n">
        <f aca="false">INDEX(Summary!$O$2:$O$201,MATCH($B1561,Summary!$A$2:$A$201,0))</f>
        <v>7</v>
      </c>
      <c r="T1561" s="3" t="n">
        <f aca="false">INDEX(Summary!$P$2:$P$201,MATCH($B1561,Summary!$A$2:$A$201,0))</f>
        <v>2</v>
      </c>
      <c r="U1561" s="2" t="n">
        <f aca="false">INDEX(Summary!$Q$2:$Q$201,MATCH($B1561,Summary!$A$2:$A$201,0))</f>
        <v>13.61</v>
      </c>
      <c r="V1561" s="2" t="n">
        <f aca="false">INDEX(Summary!$R$2:$R$201,MATCH($B1561,Summary!$A$2:$A$201,0))</f>
        <v>21.13</v>
      </c>
      <c r="W1561" s="0" t="str">
        <f aca="false">INDEX(Summary!$S$2:$S$201,MATCH($B1561,Summary!$A$2:$A$201,0))</f>
        <v>Silver</v>
      </c>
      <c r="X1561" s="2" t="n">
        <f aca="false">INDEX(Summary!$T$2:$T$201,MATCH($B1561,Summary!$A$2:$A$201,0))</f>
        <v>51.54</v>
      </c>
      <c r="Y1561" s="0" t="str">
        <f aca="false">INDEX('Reward Model'!$E$18:$E$37,MATCH($E1561,'Reward Model'!$A$18:$A$37,0))</f>
        <v>High</v>
      </c>
      <c r="Z1561" s="4" t="n">
        <f aca="false">ROUND(MIN(1,MAX('Reward Model'!$B$2,INDEX('Reward Model'!$C$12:$C$14,MATCH($K1561,'Reward Model'!$A$12:$A$14,0))/$J1561)),3)</f>
        <v>0.806</v>
      </c>
      <c r="AA1561" s="2" t="n">
        <f aca="false">IF($I1561="Correct",ROUND(INDEX('Reward Model'!$B$12:$B$14,MATCH($K1561,'Reward Model'!$A$12:$A$14,0))*Z1561,2),0)</f>
        <v>0</v>
      </c>
      <c r="AB1561" s="2" t="n">
        <f aca="false">IF($I1561="Correct",ROUND(INDEX('Reward Model'!$B$12:$B$14,MATCH($Y1561,'Reward Model'!$A$12:$A$14,0))*Z1561,2),0)</f>
        <v>0</v>
      </c>
    </row>
    <row r="1562" customFormat="false" ht="15" hidden="false" customHeight="false" outlineLevel="0" collapsed="false">
      <c r="A1562" s="0" t="s">
        <v>286</v>
      </c>
      <c r="B1562" s="0" t="s">
        <v>287</v>
      </c>
      <c r="C1562" s="0" t="s">
        <v>30</v>
      </c>
      <c r="D1562" s="0" t="s">
        <v>275</v>
      </c>
      <c r="E1562" s="0" t="n">
        <v>1</v>
      </c>
      <c r="F1562" s="0" t="s">
        <v>32</v>
      </c>
      <c r="G1562" s="0" t="s">
        <v>33</v>
      </c>
      <c r="H1562" s="0" t="s">
        <v>33</v>
      </c>
      <c r="I1562" s="0" t="s">
        <v>34</v>
      </c>
      <c r="J1562" s="0" t="n">
        <v>1.87</v>
      </c>
      <c r="K1562" s="0" t="s">
        <v>35</v>
      </c>
      <c r="L1562" s="0" t="n">
        <f aca="false">INDEX(Summary!$F$2:$F$201,MATCH($B1562,Summary!$A$2:$A$201,0))</f>
        <v>20</v>
      </c>
      <c r="M1562" s="0" t="n">
        <f aca="false">INDEX(Summary!$I$2:$I$201,MATCH($B1562,Summary!$A$2:$A$201,0))</f>
        <v>2</v>
      </c>
      <c r="N1562" s="0" t="n">
        <f aca="false">INDEX(Summary!$J$2:$J$201,MATCH($B1562,Summary!$A$2:$A$201,0))</f>
        <v>3</v>
      </c>
      <c r="O1562" s="2" t="n">
        <f aca="false">INDEX(Summary!$K$2:$K$201,MATCH($B1562,Summary!$A$2:$A$201,0))</f>
        <v>9.85</v>
      </c>
      <c r="P1562" s="3" t="n">
        <f aca="false">INDEX(Summary!$L$2:$L$201,MATCH($B1562,Summary!$A$2:$A$201,0))</f>
        <v>4</v>
      </c>
      <c r="Q1562" s="3" t="n">
        <f aca="false">INDEX(Summary!$M$2:$M$201,MATCH($B1562,Summary!$A$2:$A$201,0))</f>
        <v>2</v>
      </c>
      <c r="R1562" s="2" t="n">
        <f aca="false">INDEX(Summary!$N$2:$N$201,MATCH($B1562,Summary!$A$2:$A$201,0))</f>
        <v>11.46</v>
      </c>
      <c r="S1562" s="3" t="n">
        <f aca="false">INDEX(Summary!$O$2:$O$201,MATCH($B1562,Summary!$A$2:$A$201,0))</f>
        <v>8</v>
      </c>
      <c r="T1562" s="3" t="n">
        <f aca="false">INDEX(Summary!$P$2:$P$201,MATCH($B1562,Summary!$A$2:$A$201,0))</f>
        <v>1</v>
      </c>
      <c r="U1562" s="2" t="n">
        <f aca="false">INDEX(Summary!$Q$2:$Q$201,MATCH($B1562,Summary!$A$2:$A$201,0))</f>
        <v>12.72</v>
      </c>
      <c r="V1562" s="2" t="n">
        <f aca="false">INDEX(Summary!$R$2:$R$201,MATCH($B1562,Summary!$A$2:$A$201,0))</f>
        <v>24.31</v>
      </c>
      <c r="W1562" s="0" t="str">
        <f aca="false">INDEX(Summary!$S$2:$S$201,MATCH($B1562,Summary!$A$2:$A$201,0))</f>
        <v>Silver</v>
      </c>
      <c r="X1562" s="2" t="n">
        <f aca="false">INDEX(Summary!$T$2:$T$201,MATCH($B1562,Summary!$A$2:$A$201,0))</f>
        <v>59.29</v>
      </c>
      <c r="Y1562" s="0" t="str">
        <f aca="false">INDEX('Reward Model'!$E$18:$E$37,MATCH($E1562,'Reward Model'!$A$18:$A$37,0))</f>
        <v>Medium</v>
      </c>
      <c r="Z1562" s="4" t="n">
        <f aca="false">ROUND(MIN(1,MAX('Reward Model'!$B$2,INDEX('Reward Model'!$C$12:$C$14,MATCH($K1562,'Reward Model'!$A$12:$A$14,0))/$J1562)),3)</f>
        <v>0.802</v>
      </c>
      <c r="AA1562" s="2" t="n">
        <f aca="false">IF($I1562="Correct",ROUND(INDEX('Reward Model'!$B$12:$B$14,MATCH($K1562,'Reward Model'!$A$12:$A$14,0))*Z1562,2),0)</f>
        <v>0.8</v>
      </c>
      <c r="AB1562" s="2" t="n">
        <f aca="false">IF($I1562="Correct",ROUND(INDEX('Reward Model'!$B$12:$B$14,MATCH($Y1562,'Reward Model'!$A$12:$A$14,0))*Z1562,2),0)</f>
        <v>1.6</v>
      </c>
    </row>
    <row r="1563" customFormat="false" ht="15" hidden="false" customHeight="false" outlineLevel="0" collapsed="false">
      <c r="A1563" s="0" t="s">
        <v>286</v>
      </c>
      <c r="B1563" s="0" t="s">
        <v>287</v>
      </c>
      <c r="C1563" s="0" t="s">
        <v>30</v>
      </c>
      <c r="D1563" s="0" t="s">
        <v>275</v>
      </c>
      <c r="E1563" s="0" t="n">
        <v>2</v>
      </c>
      <c r="F1563" s="0" t="s">
        <v>36</v>
      </c>
      <c r="G1563" s="0" t="s">
        <v>38</v>
      </c>
      <c r="H1563" s="0" t="s">
        <v>38</v>
      </c>
      <c r="I1563" s="0" t="s">
        <v>34</v>
      </c>
      <c r="J1563" s="0" t="n">
        <v>1.25</v>
      </c>
      <c r="K1563" s="0" t="s">
        <v>35</v>
      </c>
      <c r="L1563" s="0" t="n">
        <f aca="false">INDEX(Summary!$F$2:$F$201,MATCH($B1563,Summary!$A$2:$A$201,0))</f>
        <v>20</v>
      </c>
      <c r="M1563" s="0" t="n">
        <f aca="false">INDEX(Summary!$I$2:$I$201,MATCH($B1563,Summary!$A$2:$A$201,0))</f>
        <v>2</v>
      </c>
      <c r="N1563" s="0" t="n">
        <f aca="false">INDEX(Summary!$J$2:$J$201,MATCH($B1563,Summary!$A$2:$A$201,0))</f>
        <v>3</v>
      </c>
      <c r="O1563" s="2" t="n">
        <f aca="false">INDEX(Summary!$K$2:$K$201,MATCH($B1563,Summary!$A$2:$A$201,0))</f>
        <v>9.85</v>
      </c>
      <c r="P1563" s="3" t="n">
        <f aca="false">INDEX(Summary!$L$2:$L$201,MATCH($B1563,Summary!$A$2:$A$201,0))</f>
        <v>4</v>
      </c>
      <c r="Q1563" s="3" t="n">
        <f aca="false">INDEX(Summary!$M$2:$M$201,MATCH($B1563,Summary!$A$2:$A$201,0))</f>
        <v>2</v>
      </c>
      <c r="R1563" s="2" t="n">
        <f aca="false">INDEX(Summary!$N$2:$N$201,MATCH($B1563,Summary!$A$2:$A$201,0))</f>
        <v>11.46</v>
      </c>
      <c r="S1563" s="3" t="n">
        <f aca="false">INDEX(Summary!$O$2:$O$201,MATCH($B1563,Summary!$A$2:$A$201,0))</f>
        <v>8</v>
      </c>
      <c r="T1563" s="3" t="n">
        <f aca="false">INDEX(Summary!$P$2:$P$201,MATCH($B1563,Summary!$A$2:$A$201,0))</f>
        <v>1</v>
      </c>
      <c r="U1563" s="2" t="n">
        <f aca="false">INDEX(Summary!$Q$2:$Q$201,MATCH($B1563,Summary!$A$2:$A$201,0))</f>
        <v>12.72</v>
      </c>
      <c r="V1563" s="2" t="n">
        <f aca="false">INDEX(Summary!$R$2:$R$201,MATCH($B1563,Summary!$A$2:$A$201,0))</f>
        <v>24.31</v>
      </c>
      <c r="W1563" s="0" t="str">
        <f aca="false">INDEX(Summary!$S$2:$S$201,MATCH($B1563,Summary!$A$2:$A$201,0))</f>
        <v>Silver</v>
      </c>
      <c r="X1563" s="2" t="n">
        <f aca="false">INDEX(Summary!$T$2:$T$201,MATCH($B1563,Summary!$A$2:$A$201,0))</f>
        <v>59.29</v>
      </c>
      <c r="Y1563" s="0" t="str">
        <f aca="false">INDEX('Reward Model'!$E$18:$E$37,MATCH($E1563,'Reward Model'!$A$18:$A$37,0))</f>
        <v>Low</v>
      </c>
      <c r="Z1563" s="4" t="n">
        <f aca="false">ROUND(MIN(1,MAX('Reward Model'!$B$2,INDEX('Reward Model'!$C$12:$C$14,MATCH($K1563,'Reward Model'!$A$12:$A$14,0))/$J1563)),3)</f>
        <v>1</v>
      </c>
      <c r="AA1563" s="2" t="n">
        <f aca="false">IF($I1563="Correct",ROUND(INDEX('Reward Model'!$B$12:$B$14,MATCH($K1563,'Reward Model'!$A$12:$A$14,0))*Z1563,2),0)</f>
        <v>1</v>
      </c>
      <c r="AB1563" s="2" t="n">
        <f aca="false">IF($I1563="Correct",ROUND(INDEX('Reward Model'!$B$12:$B$14,MATCH($Y1563,'Reward Model'!$A$12:$A$14,0))*Z1563,2),0)</f>
        <v>1</v>
      </c>
    </row>
    <row r="1564" customFormat="false" ht="15" hidden="false" customHeight="false" outlineLevel="0" collapsed="false">
      <c r="A1564" s="0" t="s">
        <v>286</v>
      </c>
      <c r="B1564" s="0" t="s">
        <v>287</v>
      </c>
      <c r="C1564" s="0" t="s">
        <v>30</v>
      </c>
      <c r="D1564" s="0" t="s">
        <v>275</v>
      </c>
      <c r="E1564" s="0" t="n">
        <v>3</v>
      </c>
      <c r="F1564" s="0" t="s">
        <v>40</v>
      </c>
      <c r="G1564" s="0" t="s">
        <v>42</v>
      </c>
      <c r="H1564" s="0" t="s">
        <v>42</v>
      </c>
      <c r="I1564" s="0" t="s">
        <v>34</v>
      </c>
      <c r="J1564" s="0" t="n">
        <v>1.18</v>
      </c>
      <c r="K1564" s="0" t="s">
        <v>35</v>
      </c>
      <c r="L1564" s="0" t="n">
        <f aca="false">INDEX(Summary!$F$2:$F$201,MATCH($B1564,Summary!$A$2:$A$201,0))</f>
        <v>20</v>
      </c>
      <c r="M1564" s="0" t="n">
        <f aca="false">INDEX(Summary!$I$2:$I$201,MATCH($B1564,Summary!$A$2:$A$201,0))</f>
        <v>2</v>
      </c>
      <c r="N1564" s="0" t="n">
        <f aca="false">INDEX(Summary!$J$2:$J$201,MATCH($B1564,Summary!$A$2:$A$201,0))</f>
        <v>3</v>
      </c>
      <c r="O1564" s="2" t="n">
        <f aca="false">INDEX(Summary!$K$2:$K$201,MATCH($B1564,Summary!$A$2:$A$201,0))</f>
        <v>9.85</v>
      </c>
      <c r="P1564" s="3" t="n">
        <f aca="false">INDEX(Summary!$L$2:$L$201,MATCH($B1564,Summary!$A$2:$A$201,0))</f>
        <v>4</v>
      </c>
      <c r="Q1564" s="3" t="n">
        <f aca="false">INDEX(Summary!$M$2:$M$201,MATCH($B1564,Summary!$A$2:$A$201,0))</f>
        <v>2</v>
      </c>
      <c r="R1564" s="2" t="n">
        <f aca="false">INDEX(Summary!$N$2:$N$201,MATCH($B1564,Summary!$A$2:$A$201,0))</f>
        <v>11.46</v>
      </c>
      <c r="S1564" s="3" t="n">
        <f aca="false">INDEX(Summary!$O$2:$O$201,MATCH($B1564,Summary!$A$2:$A$201,0))</f>
        <v>8</v>
      </c>
      <c r="T1564" s="3" t="n">
        <f aca="false">INDEX(Summary!$P$2:$P$201,MATCH($B1564,Summary!$A$2:$A$201,0))</f>
        <v>1</v>
      </c>
      <c r="U1564" s="2" t="n">
        <f aca="false">INDEX(Summary!$Q$2:$Q$201,MATCH($B1564,Summary!$A$2:$A$201,0))</f>
        <v>12.72</v>
      </c>
      <c r="V1564" s="2" t="n">
        <f aca="false">INDEX(Summary!$R$2:$R$201,MATCH($B1564,Summary!$A$2:$A$201,0))</f>
        <v>24.31</v>
      </c>
      <c r="W1564" s="0" t="str">
        <f aca="false">INDEX(Summary!$S$2:$S$201,MATCH($B1564,Summary!$A$2:$A$201,0))</f>
        <v>Silver</v>
      </c>
      <c r="X1564" s="2" t="n">
        <f aca="false">INDEX(Summary!$T$2:$T$201,MATCH($B1564,Summary!$A$2:$A$201,0))</f>
        <v>59.29</v>
      </c>
      <c r="Y1564" s="0" t="str">
        <f aca="false">INDEX('Reward Model'!$E$18:$E$37,MATCH($E1564,'Reward Model'!$A$18:$A$37,0))</f>
        <v>Medium</v>
      </c>
      <c r="Z1564" s="4" t="n">
        <f aca="false">ROUND(MIN(1,MAX('Reward Model'!$B$2,INDEX('Reward Model'!$C$12:$C$14,MATCH($K1564,'Reward Model'!$A$12:$A$14,0))/$J1564)),3)</f>
        <v>1</v>
      </c>
      <c r="AA1564" s="2" t="n">
        <f aca="false">IF($I1564="Correct",ROUND(INDEX('Reward Model'!$B$12:$B$14,MATCH($K1564,'Reward Model'!$A$12:$A$14,0))*Z1564,2),0)</f>
        <v>1</v>
      </c>
      <c r="AB1564" s="2" t="n">
        <f aca="false">IF($I1564="Correct",ROUND(INDEX('Reward Model'!$B$12:$B$14,MATCH($Y1564,'Reward Model'!$A$12:$A$14,0))*Z1564,2),0)</f>
        <v>2</v>
      </c>
    </row>
    <row r="1565" customFormat="false" ht="15" hidden="false" customHeight="false" outlineLevel="0" collapsed="false">
      <c r="A1565" s="0" t="s">
        <v>286</v>
      </c>
      <c r="B1565" s="0" t="s">
        <v>287</v>
      </c>
      <c r="C1565" s="0" t="s">
        <v>30</v>
      </c>
      <c r="D1565" s="0" t="s">
        <v>275</v>
      </c>
      <c r="E1565" s="0" t="n">
        <v>4</v>
      </c>
      <c r="F1565" s="0" t="s">
        <v>43</v>
      </c>
      <c r="G1565" s="0" t="s">
        <v>45</v>
      </c>
      <c r="H1565" s="0" t="s">
        <v>45</v>
      </c>
      <c r="I1565" s="0" t="s">
        <v>34</v>
      </c>
      <c r="J1565" s="0" t="n">
        <v>1.49</v>
      </c>
      <c r="K1565" s="0" t="s">
        <v>35</v>
      </c>
      <c r="L1565" s="0" t="n">
        <f aca="false">INDEX(Summary!$F$2:$F$201,MATCH($B1565,Summary!$A$2:$A$201,0))</f>
        <v>20</v>
      </c>
      <c r="M1565" s="0" t="n">
        <f aca="false">INDEX(Summary!$I$2:$I$201,MATCH($B1565,Summary!$A$2:$A$201,0))</f>
        <v>2</v>
      </c>
      <c r="N1565" s="0" t="n">
        <f aca="false">INDEX(Summary!$J$2:$J$201,MATCH($B1565,Summary!$A$2:$A$201,0))</f>
        <v>3</v>
      </c>
      <c r="O1565" s="2" t="n">
        <f aca="false">INDEX(Summary!$K$2:$K$201,MATCH($B1565,Summary!$A$2:$A$201,0))</f>
        <v>9.85</v>
      </c>
      <c r="P1565" s="3" t="n">
        <f aca="false">INDEX(Summary!$L$2:$L$201,MATCH($B1565,Summary!$A$2:$A$201,0))</f>
        <v>4</v>
      </c>
      <c r="Q1565" s="3" t="n">
        <f aca="false">INDEX(Summary!$M$2:$M$201,MATCH($B1565,Summary!$A$2:$A$201,0))</f>
        <v>2</v>
      </c>
      <c r="R1565" s="2" t="n">
        <f aca="false">INDEX(Summary!$N$2:$N$201,MATCH($B1565,Summary!$A$2:$A$201,0))</f>
        <v>11.46</v>
      </c>
      <c r="S1565" s="3" t="n">
        <f aca="false">INDEX(Summary!$O$2:$O$201,MATCH($B1565,Summary!$A$2:$A$201,0))</f>
        <v>8</v>
      </c>
      <c r="T1565" s="3" t="n">
        <f aca="false">INDEX(Summary!$P$2:$P$201,MATCH($B1565,Summary!$A$2:$A$201,0))</f>
        <v>1</v>
      </c>
      <c r="U1565" s="2" t="n">
        <f aca="false">INDEX(Summary!$Q$2:$Q$201,MATCH($B1565,Summary!$A$2:$A$201,0))</f>
        <v>12.72</v>
      </c>
      <c r="V1565" s="2" t="n">
        <f aca="false">INDEX(Summary!$R$2:$R$201,MATCH($B1565,Summary!$A$2:$A$201,0))</f>
        <v>24.31</v>
      </c>
      <c r="W1565" s="0" t="str">
        <f aca="false">INDEX(Summary!$S$2:$S$201,MATCH($B1565,Summary!$A$2:$A$201,0))</f>
        <v>Silver</v>
      </c>
      <c r="X1565" s="2" t="n">
        <f aca="false">INDEX(Summary!$T$2:$T$201,MATCH($B1565,Summary!$A$2:$A$201,0))</f>
        <v>59.29</v>
      </c>
      <c r="Y1565" s="0" t="str">
        <f aca="false">INDEX('Reward Model'!$E$18:$E$37,MATCH($E1565,'Reward Model'!$A$18:$A$37,0))</f>
        <v>Low</v>
      </c>
      <c r="Z1565" s="4" t="n">
        <f aca="false">ROUND(MIN(1,MAX('Reward Model'!$B$2,INDEX('Reward Model'!$C$12:$C$14,MATCH($K1565,'Reward Model'!$A$12:$A$14,0))/$J1565)),3)</f>
        <v>1</v>
      </c>
      <c r="AA1565" s="2" t="n">
        <f aca="false">IF($I1565="Correct",ROUND(INDEX('Reward Model'!$B$12:$B$14,MATCH($K1565,'Reward Model'!$A$12:$A$14,0))*Z1565,2),0)</f>
        <v>1</v>
      </c>
      <c r="AB1565" s="2" t="n">
        <f aca="false">IF($I1565="Correct",ROUND(INDEX('Reward Model'!$B$12:$B$14,MATCH($Y1565,'Reward Model'!$A$12:$A$14,0))*Z1565,2),0)</f>
        <v>1</v>
      </c>
    </row>
    <row r="1566" customFormat="false" ht="15" hidden="false" customHeight="false" outlineLevel="0" collapsed="false">
      <c r="A1566" s="0" t="s">
        <v>286</v>
      </c>
      <c r="B1566" s="0" t="s">
        <v>287</v>
      </c>
      <c r="C1566" s="0" t="s">
        <v>30</v>
      </c>
      <c r="D1566" s="0" t="s">
        <v>275</v>
      </c>
      <c r="E1566" s="0" t="n">
        <v>5</v>
      </c>
      <c r="F1566" s="0" t="s">
        <v>46</v>
      </c>
      <c r="G1566" s="0" t="s">
        <v>47</v>
      </c>
      <c r="H1566" s="0" t="s">
        <v>47</v>
      </c>
      <c r="I1566" s="0" t="s">
        <v>34</v>
      </c>
      <c r="J1566" s="0" t="n">
        <v>1.05</v>
      </c>
      <c r="K1566" s="0" t="s">
        <v>35</v>
      </c>
      <c r="L1566" s="0" t="n">
        <f aca="false">INDEX(Summary!$F$2:$F$201,MATCH($B1566,Summary!$A$2:$A$201,0))</f>
        <v>20</v>
      </c>
      <c r="M1566" s="0" t="n">
        <f aca="false">INDEX(Summary!$I$2:$I$201,MATCH($B1566,Summary!$A$2:$A$201,0))</f>
        <v>2</v>
      </c>
      <c r="N1566" s="0" t="n">
        <f aca="false">INDEX(Summary!$J$2:$J$201,MATCH($B1566,Summary!$A$2:$A$201,0))</f>
        <v>3</v>
      </c>
      <c r="O1566" s="2" t="n">
        <f aca="false">INDEX(Summary!$K$2:$K$201,MATCH($B1566,Summary!$A$2:$A$201,0))</f>
        <v>9.85</v>
      </c>
      <c r="P1566" s="3" t="n">
        <f aca="false">INDEX(Summary!$L$2:$L$201,MATCH($B1566,Summary!$A$2:$A$201,0))</f>
        <v>4</v>
      </c>
      <c r="Q1566" s="3" t="n">
        <f aca="false">INDEX(Summary!$M$2:$M$201,MATCH($B1566,Summary!$A$2:$A$201,0))</f>
        <v>2</v>
      </c>
      <c r="R1566" s="2" t="n">
        <f aca="false">INDEX(Summary!$N$2:$N$201,MATCH($B1566,Summary!$A$2:$A$201,0))</f>
        <v>11.46</v>
      </c>
      <c r="S1566" s="3" t="n">
        <f aca="false">INDEX(Summary!$O$2:$O$201,MATCH($B1566,Summary!$A$2:$A$201,0))</f>
        <v>8</v>
      </c>
      <c r="T1566" s="3" t="n">
        <f aca="false">INDEX(Summary!$P$2:$P$201,MATCH($B1566,Summary!$A$2:$A$201,0))</f>
        <v>1</v>
      </c>
      <c r="U1566" s="2" t="n">
        <f aca="false">INDEX(Summary!$Q$2:$Q$201,MATCH($B1566,Summary!$A$2:$A$201,0))</f>
        <v>12.72</v>
      </c>
      <c r="V1566" s="2" t="n">
        <f aca="false">INDEX(Summary!$R$2:$R$201,MATCH($B1566,Summary!$A$2:$A$201,0))</f>
        <v>24.31</v>
      </c>
      <c r="W1566" s="0" t="str">
        <f aca="false">INDEX(Summary!$S$2:$S$201,MATCH($B1566,Summary!$A$2:$A$201,0))</f>
        <v>Silver</v>
      </c>
      <c r="X1566" s="2" t="n">
        <f aca="false">INDEX(Summary!$T$2:$T$201,MATCH($B1566,Summary!$A$2:$A$201,0))</f>
        <v>59.29</v>
      </c>
      <c r="Y1566" s="0" t="str">
        <f aca="false">INDEX('Reward Model'!$E$18:$E$37,MATCH($E1566,'Reward Model'!$A$18:$A$37,0))</f>
        <v>Low</v>
      </c>
      <c r="Z1566" s="4" t="n">
        <f aca="false">ROUND(MIN(1,MAX('Reward Model'!$B$2,INDEX('Reward Model'!$C$12:$C$14,MATCH($K1566,'Reward Model'!$A$12:$A$14,0))/$J1566)),3)</f>
        <v>1</v>
      </c>
      <c r="AA1566" s="2" t="n">
        <f aca="false">IF($I1566="Correct",ROUND(INDEX('Reward Model'!$B$12:$B$14,MATCH($K1566,'Reward Model'!$A$12:$A$14,0))*Z1566,2),0)</f>
        <v>1</v>
      </c>
      <c r="AB1566" s="2" t="n">
        <f aca="false">IF($I1566="Correct",ROUND(INDEX('Reward Model'!$B$12:$B$14,MATCH($Y1566,'Reward Model'!$A$12:$A$14,0))*Z1566,2),0)</f>
        <v>1</v>
      </c>
    </row>
    <row r="1567" customFormat="false" ht="15" hidden="false" customHeight="false" outlineLevel="0" collapsed="false">
      <c r="A1567" s="0" t="s">
        <v>286</v>
      </c>
      <c r="B1567" s="0" t="s">
        <v>287</v>
      </c>
      <c r="C1567" s="0" t="s">
        <v>30</v>
      </c>
      <c r="D1567" s="0" t="s">
        <v>275</v>
      </c>
      <c r="E1567" s="0" t="n">
        <v>6</v>
      </c>
      <c r="F1567" s="0" t="s">
        <v>48</v>
      </c>
      <c r="G1567" s="0" t="s">
        <v>49</v>
      </c>
      <c r="H1567" s="0" t="s">
        <v>49</v>
      </c>
      <c r="I1567" s="0" t="s">
        <v>34</v>
      </c>
      <c r="J1567" s="0" t="n">
        <v>1.37</v>
      </c>
      <c r="K1567" s="0" t="s">
        <v>35</v>
      </c>
      <c r="L1567" s="0" t="n">
        <f aca="false">INDEX(Summary!$F$2:$F$201,MATCH($B1567,Summary!$A$2:$A$201,0))</f>
        <v>20</v>
      </c>
      <c r="M1567" s="0" t="n">
        <f aca="false">INDEX(Summary!$I$2:$I$201,MATCH($B1567,Summary!$A$2:$A$201,0))</f>
        <v>2</v>
      </c>
      <c r="N1567" s="0" t="n">
        <f aca="false">INDEX(Summary!$J$2:$J$201,MATCH($B1567,Summary!$A$2:$A$201,0))</f>
        <v>3</v>
      </c>
      <c r="O1567" s="2" t="n">
        <f aca="false">INDEX(Summary!$K$2:$K$201,MATCH($B1567,Summary!$A$2:$A$201,0))</f>
        <v>9.85</v>
      </c>
      <c r="P1567" s="3" t="n">
        <f aca="false">INDEX(Summary!$L$2:$L$201,MATCH($B1567,Summary!$A$2:$A$201,0))</f>
        <v>4</v>
      </c>
      <c r="Q1567" s="3" t="n">
        <f aca="false">INDEX(Summary!$M$2:$M$201,MATCH($B1567,Summary!$A$2:$A$201,0))</f>
        <v>2</v>
      </c>
      <c r="R1567" s="2" t="n">
        <f aca="false">INDEX(Summary!$N$2:$N$201,MATCH($B1567,Summary!$A$2:$A$201,0))</f>
        <v>11.46</v>
      </c>
      <c r="S1567" s="3" t="n">
        <f aca="false">INDEX(Summary!$O$2:$O$201,MATCH($B1567,Summary!$A$2:$A$201,0))</f>
        <v>8</v>
      </c>
      <c r="T1567" s="3" t="n">
        <f aca="false">INDEX(Summary!$P$2:$P$201,MATCH($B1567,Summary!$A$2:$A$201,0))</f>
        <v>1</v>
      </c>
      <c r="U1567" s="2" t="n">
        <f aca="false">INDEX(Summary!$Q$2:$Q$201,MATCH($B1567,Summary!$A$2:$A$201,0))</f>
        <v>12.72</v>
      </c>
      <c r="V1567" s="2" t="n">
        <f aca="false">INDEX(Summary!$R$2:$R$201,MATCH($B1567,Summary!$A$2:$A$201,0))</f>
        <v>24.31</v>
      </c>
      <c r="W1567" s="0" t="str">
        <f aca="false">INDEX(Summary!$S$2:$S$201,MATCH($B1567,Summary!$A$2:$A$201,0))</f>
        <v>Silver</v>
      </c>
      <c r="X1567" s="2" t="n">
        <f aca="false">INDEX(Summary!$T$2:$T$201,MATCH($B1567,Summary!$A$2:$A$201,0))</f>
        <v>59.29</v>
      </c>
      <c r="Y1567" s="0" t="str">
        <f aca="false">INDEX('Reward Model'!$E$18:$E$37,MATCH($E1567,'Reward Model'!$A$18:$A$37,0))</f>
        <v>Medium</v>
      </c>
      <c r="Z1567" s="4" t="n">
        <f aca="false">ROUND(MIN(1,MAX('Reward Model'!$B$2,INDEX('Reward Model'!$C$12:$C$14,MATCH($K1567,'Reward Model'!$A$12:$A$14,0))/$J1567)),3)</f>
        <v>1</v>
      </c>
      <c r="AA1567" s="2" t="n">
        <f aca="false">IF($I1567="Correct",ROUND(INDEX('Reward Model'!$B$12:$B$14,MATCH($K1567,'Reward Model'!$A$12:$A$14,0))*Z1567,2),0)</f>
        <v>1</v>
      </c>
      <c r="AB1567" s="2" t="n">
        <f aca="false">IF($I1567="Correct",ROUND(INDEX('Reward Model'!$B$12:$B$14,MATCH($Y1567,'Reward Model'!$A$12:$A$14,0))*Z1567,2),0)</f>
        <v>2</v>
      </c>
    </row>
    <row r="1568" customFormat="false" ht="15" hidden="false" customHeight="false" outlineLevel="0" collapsed="false">
      <c r="A1568" s="0" t="s">
        <v>286</v>
      </c>
      <c r="B1568" s="0" t="s">
        <v>287</v>
      </c>
      <c r="C1568" s="0" t="s">
        <v>30</v>
      </c>
      <c r="D1568" s="0" t="s">
        <v>275</v>
      </c>
      <c r="E1568" s="0" t="n">
        <v>7</v>
      </c>
      <c r="F1568" s="0" t="s">
        <v>50</v>
      </c>
      <c r="G1568" s="0" t="s">
        <v>51</v>
      </c>
      <c r="H1568" s="0" t="s">
        <v>51</v>
      </c>
      <c r="I1568" s="0" t="s">
        <v>34</v>
      </c>
      <c r="J1568" s="0" t="n">
        <v>1.65</v>
      </c>
      <c r="K1568" s="0" t="s">
        <v>35</v>
      </c>
      <c r="L1568" s="0" t="n">
        <f aca="false">INDEX(Summary!$F$2:$F$201,MATCH($B1568,Summary!$A$2:$A$201,0))</f>
        <v>20</v>
      </c>
      <c r="M1568" s="0" t="n">
        <f aca="false">INDEX(Summary!$I$2:$I$201,MATCH($B1568,Summary!$A$2:$A$201,0))</f>
        <v>2</v>
      </c>
      <c r="N1568" s="0" t="n">
        <f aca="false">INDEX(Summary!$J$2:$J$201,MATCH($B1568,Summary!$A$2:$A$201,0))</f>
        <v>3</v>
      </c>
      <c r="O1568" s="2" t="n">
        <f aca="false">INDEX(Summary!$K$2:$K$201,MATCH($B1568,Summary!$A$2:$A$201,0))</f>
        <v>9.85</v>
      </c>
      <c r="P1568" s="3" t="n">
        <f aca="false">INDEX(Summary!$L$2:$L$201,MATCH($B1568,Summary!$A$2:$A$201,0))</f>
        <v>4</v>
      </c>
      <c r="Q1568" s="3" t="n">
        <f aca="false">INDEX(Summary!$M$2:$M$201,MATCH($B1568,Summary!$A$2:$A$201,0))</f>
        <v>2</v>
      </c>
      <c r="R1568" s="2" t="n">
        <f aca="false">INDEX(Summary!$N$2:$N$201,MATCH($B1568,Summary!$A$2:$A$201,0))</f>
        <v>11.46</v>
      </c>
      <c r="S1568" s="3" t="n">
        <f aca="false">INDEX(Summary!$O$2:$O$201,MATCH($B1568,Summary!$A$2:$A$201,0))</f>
        <v>8</v>
      </c>
      <c r="T1568" s="3" t="n">
        <f aca="false">INDEX(Summary!$P$2:$P$201,MATCH($B1568,Summary!$A$2:$A$201,0))</f>
        <v>1</v>
      </c>
      <c r="U1568" s="2" t="n">
        <f aca="false">INDEX(Summary!$Q$2:$Q$201,MATCH($B1568,Summary!$A$2:$A$201,0))</f>
        <v>12.72</v>
      </c>
      <c r="V1568" s="2" t="n">
        <f aca="false">INDEX(Summary!$R$2:$R$201,MATCH($B1568,Summary!$A$2:$A$201,0))</f>
        <v>24.31</v>
      </c>
      <c r="W1568" s="0" t="str">
        <f aca="false">INDEX(Summary!$S$2:$S$201,MATCH($B1568,Summary!$A$2:$A$201,0))</f>
        <v>Silver</v>
      </c>
      <c r="X1568" s="2" t="n">
        <f aca="false">INDEX(Summary!$T$2:$T$201,MATCH($B1568,Summary!$A$2:$A$201,0))</f>
        <v>59.29</v>
      </c>
      <c r="Y1568" s="0" t="str">
        <f aca="false">INDEX('Reward Model'!$E$18:$E$37,MATCH($E1568,'Reward Model'!$A$18:$A$37,0))</f>
        <v>Low</v>
      </c>
      <c r="Z1568" s="4" t="n">
        <f aca="false">ROUND(MIN(1,MAX('Reward Model'!$B$2,INDEX('Reward Model'!$C$12:$C$14,MATCH($K1568,'Reward Model'!$A$12:$A$14,0))/$J1568)),3)</f>
        <v>0.909</v>
      </c>
      <c r="AA1568" s="2" t="n">
        <f aca="false">IF($I1568="Correct",ROUND(INDEX('Reward Model'!$B$12:$B$14,MATCH($K1568,'Reward Model'!$A$12:$A$14,0))*Z1568,2),0)</f>
        <v>0.91</v>
      </c>
      <c r="AB1568" s="2" t="n">
        <f aca="false">IF($I1568="Correct",ROUND(INDEX('Reward Model'!$B$12:$B$14,MATCH($Y1568,'Reward Model'!$A$12:$A$14,0))*Z1568,2),0)</f>
        <v>0.91</v>
      </c>
    </row>
    <row r="1569" customFormat="false" ht="15" hidden="false" customHeight="false" outlineLevel="0" collapsed="false">
      <c r="A1569" s="0" t="s">
        <v>286</v>
      </c>
      <c r="B1569" s="0" t="s">
        <v>287</v>
      </c>
      <c r="C1569" s="0" t="s">
        <v>30</v>
      </c>
      <c r="D1569" s="0" t="s">
        <v>275</v>
      </c>
      <c r="E1569" s="0" t="n">
        <v>8</v>
      </c>
      <c r="F1569" s="0" t="s">
        <v>52</v>
      </c>
      <c r="G1569" s="0" t="s">
        <v>53</v>
      </c>
      <c r="H1569" s="0" t="s">
        <v>54</v>
      </c>
      <c r="I1569" s="0" t="s">
        <v>39</v>
      </c>
      <c r="J1569" s="0" t="n">
        <v>1.78</v>
      </c>
      <c r="K1569" s="0" t="s">
        <v>35</v>
      </c>
      <c r="L1569" s="0" t="n">
        <f aca="false">INDEX(Summary!$F$2:$F$201,MATCH($B1569,Summary!$A$2:$A$201,0))</f>
        <v>20</v>
      </c>
      <c r="M1569" s="0" t="n">
        <f aca="false">INDEX(Summary!$I$2:$I$201,MATCH($B1569,Summary!$A$2:$A$201,0))</f>
        <v>2</v>
      </c>
      <c r="N1569" s="0" t="n">
        <f aca="false">INDEX(Summary!$J$2:$J$201,MATCH($B1569,Summary!$A$2:$A$201,0))</f>
        <v>3</v>
      </c>
      <c r="O1569" s="2" t="n">
        <f aca="false">INDEX(Summary!$K$2:$K$201,MATCH($B1569,Summary!$A$2:$A$201,0))</f>
        <v>9.85</v>
      </c>
      <c r="P1569" s="3" t="n">
        <f aca="false">INDEX(Summary!$L$2:$L$201,MATCH($B1569,Summary!$A$2:$A$201,0))</f>
        <v>4</v>
      </c>
      <c r="Q1569" s="3" t="n">
        <f aca="false">INDEX(Summary!$M$2:$M$201,MATCH($B1569,Summary!$A$2:$A$201,0))</f>
        <v>2</v>
      </c>
      <c r="R1569" s="2" t="n">
        <f aca="false">INDEX(Summary!$N$2:$N$201,MATCH($B1569,Summary!$A$2:$A$201,0))</f>
        <v>11.46</v>
      </c>
      <c r="S1569" s="3" t="n">
        <f aca="false">INDEX(Summary!$O$2:$O$201,MATCH($B1569,Summary!$A$2:$A$201,0))</f>
        <v>8</v>
      </c>
      <c r="T1569" s="3" t="n">
        <f aca="false">INDEX(Summary!$P$2:$P$201,MATCH($B1569,Summary!$A$2:$A$201,0))</f>
        <v>1</v>
      </c>
      <c r="U1569" s="2" t="n">
        <f aca="false">INDEX(Summary!$Q$2:$Q$201,MATCH($B1569,Summary!$A$2:$A$201,0))</f>
        <v>12.72</v>
      </c>
      <c r="V1569" s="2" t="n">
        <f aca="false">INDEX(Summary!$R$2:$R$201,MATCH($B1569,Summary!$A$2:$A$201,0))</f>
        <v>24.31</v>
      </c>
      <c r="W1569" s="0" t="str">
        <f aca="false">INDEX(Summary!$S$2:$S$201,MATCH($B1569,Summary!$A$2:$A$201,0))</f>
        <v>Silver</v>
      </c>
      <c r="X1569" s="2" t="n">
        <f aca="false">INDEX(Summary!$T$2:$T$201,MATCH($B1569,Summary!$A$2:$A$201,0))</f>
        <v>59.29</v>
      </c>
      <c r="Y1569" s="0" t="str">
        <f aca="false">INDEX('Reward Model'!$E$18:$E$37,MATCH($E1569,'Reward Model'!$A$18:$A$37,0))</f>
        <v>Medium</v>
      </c>
      <c r="Z1569" s="4" t="n">
        <f aca="false">ROUND(MIN(1,MAX('Reward Model'!$B$2,INDEX('Reward Model'!$C$12:$C$14,MATCH($K1569,'Reward Model'!$A$12:$A$14,0))/$J1569)),3)</f>
        <v>0.843</v>
      </c>
      <c r="AA1569" s="2" t="n">
        <f aca="false">IF($I1569="Correct",ROUND(INDEX('Reward Model'!$B$12:$B$14,MATCH($K1569,'Reward Model'!$A$12:$A$14,0))*Z1569,2),0)</f>
        <v>0</v>
      </c>
      <c r="AB1569" s="2" t="n">
        <f aca="false">IF($I1569="Correct",ROUND(INDEX('Reward Model'!$B$12:$B$14,MATCH($Y1569,'Reward Model'!$A$12:$A$14,0))*Z1569,2),0)</f>
        <v>0</v>
      </c>
    </row>
    <row r="1570" customFormat="false" ht="15" hidden="false" customHeight="false" outlineLevel="0" collapsed="false">
      <c r="A1570" s="0" t="s">
        <v>286</v>
      </c>
      <c r="B1570" s="0" t="s">
        <v>287</v>
      </c>
      <c r="C1570" s="0" t="s">
        <v>30</v>
      </c>
      <c r="D1570" s="0" t="s">
        <v>275</v>
      </c>
      <c r="E1570" s="0" t="n">
        <v>9</v>
      </c>
      <c r="F1570" s="0" t="s">
        <v>55</v>
      </c>
      <c r="G1570" s="0" t="s">
        <v>57</v>
      </c>
      <c r="H1570" s="0" t="s">
        <v>57</v>
      </c>
      <c r="I1570" s="0" t="s">
        <v>34</v>
      </c>
      <c r="J1570" s="0" t="n">
        <v>1.08</v>
      </c>
      <c r="K1570" s="0" t="s">
        <v>35</v>
      </c>
      <c r="L1570" s="0" t="n">
        <f aca="false">INDEX(Summary!$F$2:$F$201,MATCH($B1570,Summary!$A$2:$A$201,0))</f>
        <v>20</v>
      </c>
      <c r="M1570" s="0" t="n">
        <f aca="false">INDEX(Summary!$I$2:$I$201,MATCH($B1570,Summary!$A$2:$A$201,0))</f>
        <v>2</v>
      </c>
      <c r="N1570" s="0" t="n">
        <f aca="false">INDEX(Summary!$J$2:$J$201,MATCH($B1570,Summary!$A$2:$A$201,0))</f>
        <v>3</v>
      </c>
      <c r="O1570" s="2" t="n">
        <f aca="false">INDEX(Summary!$K$2:$K$201,MATCH($B1570,Summary!$A$2:$A$201,0))</f>
        <v>9.85</v>
      </c>
      <c r="P1570" s="3" t="n">
        <f aca="false">INDEX(Summary!$L$2:$L$201,MATCH($B1570,Summary!$A$2:$A$201,0))</f>
        <v>4</v>
      </c>
      <c r="Q1570" s="3" t="n">
        <f aca="false">INDEX(Summary!$M$2:$M$201,MATCH($B1570,Summary!$A$2:$A$201,0))</f>
        <v>2</v>
      </c>
      <c r="R1570" s="2" t="n">
        <f aca="false">INDEX(Summary!$N$2:$N$201,MATCH($B1570,Summary!$A$2:$A$201,0))</f>
        <v>11.46</v>
      </c>
      <c r="S1570" s="3" t="n">
        <f aca="false">INDEX(Summary!$O$2:$O$201,MATCH($B1570,Summary!$A$2:$A$201,0))</f>
        <v>8</v>
      </c>
      <c r="T1570" s="3" t="n">
        <f aca="false">INDEX(Summary!$P$2:$P$201,MATCH($B1570,Summary!$A$2:$A$201,0))</f>
        <v>1</v>
      </c>
      <c r="U1570" s="2" t="n">
        <f aca="false">INDEX(Summary!$Q$2:$Q$201,MATCH($B1570,Summary!$A$2:$A$201,0))</f>
        <v>12.72</v>
      </c>
      <c r="V1570" s="2" t="n">
        <f aca="false">INDEX(Summary!$R$2:$R$201,MATCH($B1570,Summary!$A$2:$A$201,0))</f>
        <v>24.31</v>
      </c>
      <c r="W1570" s="0" t="str">
        <f aca="false">INDEX(Summary!$S$2:$S$201,MATCH($B1570,Summary!$A$2:$A$201,0))</f>
        <v>Silver</v>
      </c>
      <c r="X1570" s="2" t="n">
        <f aca="false">INDEX(Summary!$T$2:$T$201,MATCH($B1570,Summary!$A$2:$A$201,0))</f>
        <v>59.29</v>
      </c>
      <c r="Y1570" s="0" t="str">
        <f aca="false">INDEX('Reward Model'!$E$18:$E$37,MATCH($E1570,'Reward Model'!$A$18:$A$37,0))</f>
        <v>Medium</v>
      </c>
      <c r="Z1570" s="4" t="n">
        <f aca="false">ROUND(MIN(1,MAX('Reward Model'!$B$2,INDEX('Reward Model'!$C$12:$C$14,MATCH($K1570,'Reward Model'!$A$12:$A$14,0))/$J1570)),3)</f>
        <v>1</v>
      </c>
      <c r="AA1570" s="2" t="n">
        <f aca="false">IF($I1570="Correct",ROUND(INDEX('Reward Model'!$B$12:$B$14,MATCH($K1570,'Reward Model'!$A$12:$A$14,0))*Z1570,2),0)</f>
        <v>1</v>
      </c>
      <c r="AB1570" s="2" t="n">
        <f aca="false">IF($I1570="Correct",ROUND(INDEX('Reward Model'!$B$12:$B$14,MATCH($Y1570,'Reward Model'!$A$12:$A$14,0))*Z1570,2),0)</f>
        <v>2</v>
      </c>
    </row>
    <row r="1571" customFormat="false" ht="15" hidden="false" customHeight="false" outlineLevel="0" collapsed="false">
      <c r="A1571" s="0" t="s">
        <v>286</v>
      </c>
      <c r="B1571" s="0" t="s">
        <v>287</v>
      </c>
      <c r="C1571" s="0" t="s">
        <v>30</v>
      </c>
      <c r="D1571" s="0" t="s">
        <v>275</v>
      </c>
      <c r="E1571" s="0" t="n">
        <v>10</v>
      </c>
      <c r="F1571" s="0" t="s">
        <v>58</v>
      </c>
      <c r="G1571" s="0" t="s">
        <v>59</v>
      </c>
      <c r="H1571" s="0" t="s">
        <v>59</v>
      </c>
      <c r="I1571" s="0" t="s">
        <v>34</v>
      </c>
      <c r="J1571" s="0" t="n">
        <v>1.97</v>
      </c>
      <c r="K1571" s="0" t="s">
        <v>60</v>
      </c>
      <c r="L1571" s="0" t="n">
        <f aca="false">INDEX(Summary!$F$2:$F$201,MATCH($B1571,Summary!$A$2:$A$201,0))</f>
        <v>20</v>
      </c>
      <c r="M1571" s="0" t="n">
        <f aca="false">INDEX(Summary!$I$2:$I$201,MATCH($B1571,Summary!$A$2:$A$201,0))</f>
        <v>2</v>
      </c>
      <c r="N1571" s="0" t="n">
        <f aca="false">INDEX(Summary!$J$2:$J$201,MATCH($B1571,Summary!$A$2:$A$201,0))</f>
        <v>3</v>
      </c>
      <c r="O1571" s="2" t="n">
        <f aca="false">INDEX(Summary!$K$2:$K$201,MATCH($B1571,Summary!$A$2:$A$201,0))</f>
        <v>9.85</v>
      </c>
      <c r="P1571" s="3" t="n">
        <f aca="false">INDEX(Summary!$L$2:$L$201,MATCH($B1571,Summary!$A$2:$A$201,0))</f>
        <v>4</v>
      </c>
      <c r="Q1571" s="3" t="n">
        <f aca="false">INDEX(Summary!$M$2:$M$201,MATCH($B1571,Summary!$A$2:$A$201,0))</f>
        <v>2</v>
      </c>
      <c r="R1571" s="2" t="n">
        <f aca="false">INDEX(Summary!$N$2:$N$201,MATCH($B1571,Summary!$A$2:$A$201,0))</f>
        <v>11.46</v>
      </c>
      <c r="S1571" s="3" t="n">
        <f aca="false">INDEX(Summary!$O$2:$O$201,MATCH($B1571,Summary!$A$2:$A$201,0))</f>
        <v>8</v>
      </c>
      <c r="T1571" s="3" t="n">
        <f aca="false">INDEX(Summary!$P$2:$P$201,MATCH($B1571,Summary!$A$2:$A$201,0))</f>
        <v>1</v>
      </c>
      <c r="U1571" s="2" t="n">
        <f aca="false">INDEX(Summary!$Q$2:$Q$201,MATCH($B1571,Summary!$A$2:$A$201,0))</f>
        <v>12.72</v>
      </c>
      <c r="V1571" s="2" t="n">
        <f aca="false">INDEX(Summary!$R$2:$R$201,MATCH($B1571,Summary!$A$2:$A$201,0))</f>
        <v>24.31</v>
      </c>
      <c r="W1571" s="0" t="str">
        <f aca="false">INDEX(Summary!$S$2:$S$201,MATCH($B1571,Summary!$A$2:$A$201,0))</f>
        <v>Silver</v>
      </c>
      <c r="X1571" s="2" t="n">
        <f aca="false">INDEX(Summary!$T$2:$T$201,MATCH($B1571,Summary!$A$2:$A$201,0))</f>
        <v>59.29</v>
      </c>
      <c r="Y1571" s="0" t="str">
        <f aca="false">INDEX('Reward Model'!$E$18:$E$37,MATCH($E1571,'Reward Model'!$A$18:$A$37,0))</f>
        <v>Medium</v>
      </c>
      <c r="Z1571" s="4" t="n">
        <f aca="false">ROUND(MIN(1,MAX('Reward Model'!$B$2,INDEX('Reward Model'!$C$12:$C$14,MATCH($K1571,'Reward Model'!$A$12:$A$14,0))/$J1571)),3)</f>
        <v>0.914</v>
      </c>
      <c r="AA1571" s="2" t="n">
        <f aca="false">IF($I1571="Correct",ROUND(INDEX('Reward Model'!$B$12:$B$14,MATCH($K1571,'Reward Model'!$A$12:$A$14,0))*Z1571,2),0)</f>
        <v>1.83</v>
      </c>
      <c r="AB1571" s="2" t="n">
        <f aca="false">IF($I1571="Correct",ROUND(INDEX('Reward Model'!$B$12:$B$14,MATCH($Y1571,'Reward Model'!$A$12:$A$14,0))*Z1571,2),0)</f>
        <v>1.83</v>
      </c>
    </row>
    <row r="1572" customFormat="false" ht="15" hidden="false" customHeight="false" outlineLevel="0" collapsed="false">
      <c r="A1572" s="0" t="s">
        <v>286</v>
      </c>
      <c r="B1572" s="0" t="s">
        <v>287</v>
      </c>
      <c r="C1572" s="0" t="s">
        <v>30</v>
      </c>
      <c r="D1572" s="0" t="s">
        <v>275</v>
      </c>
      <c r="E1572" s="0" t="n">
        <v>11</v>
      </c>
      <c r="F1572" s="0" t="s">
        <v>61</v>
      </c>
      <c r="G1572" s="0" t="s">
        <v>62</v>
      </c>
      <c r="H1572" s="0" t="s">
        <v>63</v>
      </c>
      <c r="I1572" s="0" t="s">
        <v>39</v>
      </c>
      <c r="J1572" s="0" t="n">
        <v>2.22</v>
      </c>
      <c r="K1572" s="0" t="s">
        <v>60</v>
      </c>
      <c r="L1572" s="0" t="n">
        <f aca="false">INDEX(Summary!$F$2:$F$201,MATCH($B1572,Summary!$A$2:$A$201,0))</f>
        <v>20</v>
      </c>
      <c r="M1572" s="0" t="n">
        <f aca="false">INDEX(Summary!$I$2:$I$201,MATCH($B1572,Summary!$A$2:$A$201,0))</f>
        <v>2</v>
      </c>
      <c r="N1572" s="0" t="n">
        <f aca="false">INDEX(Summary!$J$2:$J$201,MATCH($B1572,Summary!$A$2:$A$201,0))</f>
        <v>3</v>
      </c>
      <c r="O1572" s="2" t="n">
        <f aca="false">INDEX(Summary!$K$2:$K$201,MATCH($B1572,Summary!$A$2:$A$201,0))</f>
        <v>9.85</v>
      </c>
      <c r="P1572" s="3" t="n">
        <f aca="false">INDEX(Summary!$L$2:$L$201,MATCH($B1572,Summary!$A$2:$A$201,0))</f>
        <v>4</v>
      </c>
      <c r="Q1572" s="3" t="n">
        <f aca="false">INDEX(Summary!$M$2:$M$201,MATCH($B1572,Summary!$A$2:$A$201,0))</f>
        <v>2</v>
      </c>
      <c r="R1572" s="2" t="n">
        <f aca="false">INDEX(Summary!$N$2:$N$201,MATCH($B1572,Summary!$A$2:$A$201,0))</f>
        <v>11.46</v>
      </c>
      <c r="S1572" s="3" t="n">
        <f aca="false">INDEX(Summary!$O$2:$O$201,MATCH($B1572,Summary!$A$2:$A$201,0))</f>
        <v>8</v>
      </c>
      <c r="T1572" s="3" t="n">
        <f aca="false">INDEX(Summary!$P$2:$P$201,MATCH($B1572,Summary!$A$2:$A$201,0))</f>
        <v>1</v>
      </c>
      <c r="U1572" s="2" t="n">
        <f aca="false">INDEX(Summary!$Q$2:$Q$201,MATCH($B1572,Summary!$A$2:$A$201,0))</f>
        <v>12.72</v>
      </c>
      <c r="V1572" s="2" t="n">
        <f aca="false">INDEX(Summary!$R$2:$R$201,MATCH($B1572,Summary!$A$2:$A$201,0))</f>
        <v>24.31</v>
      </c>
      <c r="W1572" s="0" t="str">
        <f aca="false">INDEX(Summary!$S$2:$S$201,MATCH($B1572,Summary!$A$2:$A$201,0))</f>
        <v>Silver</v>
      </c>
      <c r="X1572" s="2" t="n">
        <f aca="false">INDEX(Summary!$T$2:$T$201,MATCH($B1572,Summary!$A$2:$A$201,0))</f>
        <v>59.29</v>
      </c>
      <c r="Y1572" s="0" t="str">
        <f aca="false">INDEX('Reward Model'!$E$18:$E$37,MATCH($E1572,'Reward Model'!$A$18:$A$37,0))</f>
        <v>Medium</v>
      </c>
      <c r="Z1572" s="4" t="n">
        <f aca="false">ROUND(MIN(1,MAX('Reward Model'!$B$2,INDEX('Reward Model'!$C$12:$C$14,MATCH($K1572,'Reward Model'!$A$12:$A$14,0))/$J1572)),3)</f>
        <v>0.811</v>
      </c>
      <c r="AA1572" s="2" t="n">
        <f aca="false">IF($I1572="Correct",ROUND(INDEX('Reward Model'!$B$12:$B$14,MATCH($K1572,'Reward Model'!$A$12:$A$14,0))*Z1572,2),0)</f>
        <v>0</v>
      </c>
      <c r="AB1572" s="2" t="n">
        <f aca="false">IF($I1572="Correct",ROUND(INDEX('Reward Model'!$B$12:$B$14,MATCH($Y1572,'Reward Model'!$A$12:$A$14,0))*Z1572,2),0)</f>
        <v>0</v>
      </c>
    </row>
    <row r="1573" customFormat="false" ht="15" hidden="false" customHeight="false" outlineLevel="0" collapsed="false">
      <c r="A1573" s="0" t="s">
        <v>286</v>
      </c>
      <c r="B1573" s="0" t="s">
        <v>287</v>
      </c>
      <c r="C1573" s="0" t="s">
        <v>30</v>
      </c>
      <c r="D1573" s="0" t="s">
        <v>275</v>
      </c>
      <c r="E1573" s="0" t="n">
        <v>12</v>
      </c>
      <c r="F1573" s="0" t="s">
        <v>64</v>
      </c>
      <c r="G1573" s="0" t="s">
        <v>65</v>
      </c>
      <c r="H1573" s="0" t="s">
        <v>65</v>
      </c>
      <c r="I1573" s="0" t="s">
        <v>34</v>
      </c>
      <c r="J1573" s="0" t="n">
        <v>1.32</v>
      </c>
      <c r="K1573" s="0" t="s">
        <v>60</v>
      </c>
      <c r="L1573" s="0" t="n">
        <f aca="false">INDEX(Summary!$F$2:$F$201,MATCH($B1573,Summary!$A$2:$A$201,0))</f>
        <v>20</v>
      </c>
      <c r="M1573" s="0" t="n">
        <f aca="false">INDEX(Summary!$I$2:$I$201,MATCH($B1573,Summary!$A$2:$A$201,0))</f>
        <v>2</v>
      </c>
      <c r="N1573" s="0" t="n">
        <f aca="false">INDEX(Summary!$J$2:$J$201,MATCH($B1573,Summary!$A$2:$A$201,0))</f>
        <v>3</v>
      </c>
      <c r="O1573" s="2" t="n">
        <f aca="false">INDEX(Summary!$K$2:$K$201,MATCH($B1573,Summary!$A$2:$A$201,0))</f>
        <v>9.85</v>
      </c>
      <c r="P1573" s="3" t="n">
        <f aca="false">INDEX(Summary!$L$2:$L$201,MATCH($B1573,Summary!$A$2:$A$201,0))</f>
        <v>4</v>
      </c>
      <c r="Q1573" s="3" t="n">
        <f aca="false">INDEX(Summary!$M$2:$M$201,MATCH($B1573,Summary!$A$2:$A$201,0))</f>
        <v>2</v>
      </c>
      <c r="R1573" s="2" t="n">
        <f aca="false">INDEX(Summary!$N$2:$N$201,MATCH($B1573,Summary!$A$2:$A$201,0))</f>
        <v>11.46</v>
      </c>
      <c r="S1573" s="3" t="n">
        <f aca="false">INDEX(Summary!$O$2:$O$201,MATCH($B1573,Summary!$A$2:$A$201,0))</f>
        <v>8</v>
      </c>
      <c r="T1573" s="3" t="n">
        <f aca="false">INDEX(Summary!$P$2:$P$201,MATCH($B1573,Summary!$A$2:$A$201,0))</f>
        <v>1</v>
      </c>
      <c r="U1573" s="2" t="n">
        <f aca="false">INDEX(Summary!$Q$2:$Q$201,MATCH($B1573,Summary!$A$2:$A$201,0))</f>
        <v>12.72</v>
      </c>
      <c r="V1573" s="2" t="n">
        <f aca="false">INDEX(Summary!$R$2:$R$201,MATCH($B1573,Summary!$A$2:$A$201,0))</f>
        <v>24.31</v>
      </c>
      <c r="W1573" s="0" t="str">
        <f aca="false">INDEX(Summary!$S$2:$S$201,MATCH($B1573,Summary!$A$2:$A$201,0))</f>
        <v>Silver</v>
      </c>
      <c r="X1573" s="2" t="n">
        <f aca="false">INDEX(Summary!$T$2:$T$201,MATCH($B1573,Summary!$A$2:$A$201,0))</f>
        <v>59.29</v>
      </c>
      <c r="Y1573" s="0" t="str">
        <f aca="false">INDEX('Reward Model'!$E$18:$E$37,MATCH($E1573,'Reward Model'!$A$18:$A$37,0))</f>
        <v>Medium</v>
      </c>
      <c r="Z1573" s="4" t="n">
        <f aca="false">ROUND(MIN(1,MAX('Reward Model'!$B$2,INDEX('Reward Model'!$C$12:$C$14,MATCH($K1573,'Reward Model'!$A$12:$A$14,0))/$J1573)),3)</f>
        <v>1</v>
      </c>
      <c r="AA1573" s="2" t="n">
        <f aca="false">IF($I1573="Correct",ROUND(INDEX('Reward Model'!$B$12:$B$14,MATCH($K1573,'Reward Model'!$A$12:$A$14,0))*Z1573,2),0)</f>
        <v>2</v>
      </c>
      <c r="AB1573" s="2" t="n">
        <f aca="false">IF($I1573="Correct",ROUND(INDEX('Reward Model'!$B$12:$B$14,MATCH($Y1573,'Reward Model'!$A$12:$A$14,0))*Z1573,2),0)</f>
        <v>2</v>
      </c>
    </row>
    <row r="1574" customFormat="false" ht="15" hidden="false" customHeight="false" outlineLevel="0" collapsed="false">
      <c r="A1574" s="0" t="s">
        <v>286</v>
      </c>
      <c r="B1574" s="0" t="s">
        <v>287</v>
      </c>
      <c r="C1574" s="0" t="s">
        <v>30</v>
      </c>
      <c r="D1574" s="0" t="s">
        <v>275</v>
      </c>
      <c r="E1574" s="0" t="n">
        <v>13</v>
      </c>
      <c r="F1574" s="0" t="s">
        <v>66</v>
      </c>
      <c r="G1574" s="0" t="s">
        <v>67</v>
      </c>
      <c r="H1574" s="0" t="s">
        <v>67</v>
      </c>
      <c r="I1574" s="0" t="s">
        <v>34</v>
      </c>
      <c r="J1574" s="0" t="n">
        <v>2.18</v>
      </c>
      <c r="K1574" s="0" t="s">
        <v>60</v>
      </c>
      <c r="L1574" s="0" t="n">
        <f aca="false">INDEX(Summary!$F$2:$F$201,MATCH($B1574,Summary!$A$2:$A$201,0))</f>
        <v>20</v>
      </c>
      <c r="M1574" s="0" t="n">
        <f aca="false">INDEX(Summary!$I$2:$I$201,MATCH($B1574,Summary!$A$2:$A$201,0))</f>
        <v>2</v>
      </c>
      <c r="N1574" s="0" t="n">
        <f aca="false">INDEX(Summary!$J$2:$J$201,MATCH($B1574,Summary!$A$2:$A$201,0))</f>
        <v>3</v>
      </c>
      <c r="O1574" s="2" t="n">
        <f aca="false">INDEX(Summary!$K$2:$K$201,MATCH($B1574,Summary!$A$2:$A$201,0))</f>
        <v>9.85</v>
      </c>
      <c r="P1574" s="3" t="n">
        <f aca="false">INDEX(Summary!$L$2:$L$201,MATCH($B1574,Summary!$A$2:$A$201,0))</f>
        <v>4</v>
      </c>
      <c r="Q1574" s="3" t="n">
        <f aca="false">INDEX(Summary!$M$2:$M$201,MATCH($B1574,Summary!$A$2:$A$201,0))</f>
        <v>2</v>
      </c>
      <c r="R1574" s="2" t="n">
        <f aca="false">INDEX(Summary!$N$2:$N$201,MATCH($B1574,Summary!$A$2:$A$201,0))</f>
        <v>11.46</v>
      </c>
      <c r="S1574" s="3" t="n">
        <f aca="false">INDEX(Summary!$O$2:$O$201,MATCH($B1574,Summary!$A$2:$A$201,0))</f>
        <v>8</v>
      </c>
      <c r="T1574" s="3" t="n">
        <f aca="false">INDEX(Summary!$P$2:$P$201,MATCH($B1574,Summary!$A$2:$A$201,0))</f>
        <v>1</v>
      </c>
      <c r="U1574" s="2" t="n">
        <f aca="false">INDEX(Summary!$Q$2:$Q$201,MATCH($B1574,Summary!$A$2:$A$201,0))</f>
        <v>12.72</v>
      </c>
      <c r="V1574" s="2" t="n">
        <f aca="false">INDEX(Summary!$R$2:$R$201,MATCH($B1574,Summary!$A$2:$A$201,0))</f>
        <v>24.31</v>
      </c>
      <c r="W1574" s="0" t="str">
        <f aca="false">INDEX(Summary!$S$2:$S$201,MATCH($B1574,Summary!$A$2:$A$201,0))</f>
        <v>Silver</v>
      </c>
      <c r="X1574" s="2" t="n">
        <f aca="false">INDEX(Summary!$T$2:$T$201,MATCH($B1574,Summary!$A$2:$A$201,0))</f>
        <v>59.29</v>
      </c>
      <c r="Y1574" s="0" t="str">
        <f aca="false">INDEX('Reward Model'!$E$18:$E$37,MATCH($E1574,'Reward Model'!$A$18:$A$37,0))</f>
        <v>Medium</v>
      </c>
      <c r="Z1574" s="4" t="n">
        <f aca="false">ROUND(MIN(1,MAX('Reward Model'!$B$2,INDEX('Reward Model'!$C$12:$C$14,MATCH($K1574,'Reward Model'!$A$12:$A$14,0))/$J1574)),3)</f>
        <v>0.826</v>
      </c>
      <c r="AA1574" s="2" t="n">
        <f aca="false">IF($I1574="Correct",ROUND(INDEX('Reward Model'!$B$12:$B$14,MATCH($K1574,'Reward Model'!$A$12:$A$14,0))*Z1574,2),0)</f>
        <v>1.65</v>
      </c>
      <c r="AB1574" s="2" t="n">
        <f aca="false">IF($I1574="Correct",ROUND(INDEX('Reward Model'!$B$12:$B$14,MATCH($Y1574,'Reward Model'!$A$12:$A$14,0))*Z1574,2),0)</f>
        <v>1.65</v>
      </c>
    </row>
    <row r="1575" customFormat="false" ht="15" hidden="false" customHeight="false" outlineLevel="0" collapsed="false">
      <c r="A1575" s="0" t="s">
        <v>286</v>
      </c>
      <c r="B1575" s="0" t="s">
        <v>287</v>
      </c>
      <c r="C1575" s="0" t="s">
        <v>30</v>
      </c>
      <c r="D1575" s="0" t="s">
        <v>275</v>
      </c>
      <c r="E1575" s="0" t="n">
        <v>14</v>
      </c>
      <c r="F1575" s="0" t="s">
        <v>68</v>
      </c>
      <c r="G1575" s="0" t="s">
        <v>51</v>
      </c>
      <c r="H1575" s="0" t="s">
        <v>51</v>
      </c>
      <c r="I1575" s="0" t="s">
        <v>34</v>
      </c>
      <c r="J1575" s="0" t="n">
        <v>1.74</v>
      </c>
      <c r="K1575" s="0" t="s">
        <v>60</v>
      </c>
      <c r="L1575" s="0" t="n">
        <f aca="false">INDEX(Summary!$F$2:$F$201,MATCH($B1575,Summary!$A$2:$A$201,0))</f>
        <v>20</v>
      </c>
      <c r="M1575" s="0" t="n">
        <f aca="false">INDEX(Summary!$I$2:$I$201,MATCH($B1575,Summary!$A$2:$A$201,0))</f>
        <v>2</v>
      </c>
      <c r="N1575" s="0" t="n">
        <f aca="false">INDEX(Summary!$J$2:$J$201,MATCH($B1575,Summary!$A$2:$A$201,0))</f>
        <v>3</v>
      </c>
      <c r="O1575" s="2" t="n">
        <f aca="false">INDEX(Summary!$K$2:$K$201,MATCH($B1575,Summary!$A$2:$A$201,0))</f>
        <v>9.85</v>
      </c>
      <c r="P1575" s="3" t="n">
        <f aca="false">INDEX(Summary!$L$2:$L$201,MATCH($B1575,Summary!$A$2:$A$201,0))</f>
        <v>4</v>
      </c>
      <c r="Q1575" s="3" t="n">
        <f aca="false">INDEX(Summary!$M$2:$M$201,MATCH($B1575,Summary!$A$2:$A$201,0))</f>
        <v>2</v>
      </c>
      <c r="R1575" s="2" t="n">
        <f aca="false">INDEX(Summary!$N$2:$N$201,MATCH($B1575,Summary!$A$2:$A$201,0))</f>
        <v>11.46</v>
      </c>
      <c r="S1575" s="3" t="n">
        <f aca="false">INDEX(Summary!$O$2:$O$201,MATCH($B1575,Summary!$A$2:$A$201,0))</f>
        <v>8</v>
      </c>
      <c r="T1575" s="3" t="n">
        <f aca="false">INDEX(Summary!$P$2:$P$201,MATCH($B1575,Summary!$A$2:$A$201,0))</f>
        <v>1</v>
      </c>
      <c r="U1575" s="2" t="n">
        <f aca="false">INDEX(Summary!$Q$2:$Q$201,MATCH($B1575,Summary!$A$2:$A$201,0))</f>
        <v>12.72</v>
      </c>
      <c r="V1575" s="2" t="n">
        <f aca="false">INDEX(Summary!$R$2:$R$201,MATCH($B1575,Summary!$A$2:$A$201,0))</f>
        <v>24.31</v>
      </c>
      <c r="W1575" s="0" t="str">
        <f aca="false">INDEX(Summary!$S$2:$S$201,MATCH($B1575,Summary!$A$2:$A$201,0))</f>
        <v>Silver</v>
      </c>
      <c r="X1575" s="2" t="n">
        <f aca="false">INDEX(Summary!$T$2:$T$201,MATCH($B1575,Summary!$A$2:$A$201,0))</f>
        <v>59.29</v>
      </c>
      <c r="Y1575" s="0" t="str">
        <f aca="false">INDEX('Reward Model'!$E$18:$E$37,MATCH($E1575,'Reward Model'!$A$18:$A$37,0))</f>
        <v>Medium</v>
      </c>
      <c r="Z1575" s="4" t="n">
        <f aca="false">ROUND(MIN(1,MAX('Reward Model'!$B$2,INDEX('Reward Model'!$C$12:$C$14,MATCH($K1575,'Reward Model'!$A$12:$A$14,0))/$J1575)),3)</f>
        <v>1</v>
      </c>
      <c r="AA1575" s="2" t="n">
        <f aca="false">IF($I1575="Correct",ROUND(INDEX('Reward Model'!$B$12:$B$14,MATCH($K1575,'Reward Model'!$A$12:$A$14,0))*Z1575,2),0)</f>
        <v>2</v>
      </c>
      <c r="AB1575" s="2" t="n">
        <f aca="false">IF($I1575="Correct",ROUND(INDEX('Reward Model'!$B$12:$B$14,MATCH($Y1575,'Reward Model'!$A$12:$A$14,0))*Z1575,2),0)</f>
        <v>2</v>
      </c>
    </row>
    <row r="1576" customFormat="false" ht="15" hidden="false" customHeight="false" outlineLevel="0" collapsed="false">
      <c r="A1576" s="0" t="s">
        <v>286</v>
      </c>
      <c r="B1576" s="0" t="s">
        <v>287</v>
      </c>
      <c r="C1576" s="0" t="s">
        <v>30</v>
      </c>
      <c r="D1576" s="0" t="s">
        <v>275</v>
      </c>
      <c r="E1576" s="0" t="n">
        <v>15</v>
      </c>
      <c r="F1576" s="0" t="s">
        <v>69</v>
      </c>
      <c r="G1576" s="0" t="s">
        <v>139</v>
      </c>
      <c r="H1576" s="0" t="s">
        <v>70</v>
      </c>
      <c r="I1576" s="0" t="s">
        <v>39</v>
      </c>
      <c r="J1576" s="0" t="n">
        <v>2.03</v>
      </c>
      <c r="K1576" s="0" t="s">
        <v>60</v>
      </c>
      <c r="L1576" s="0" t="n">
        <f aca="false">INDEX(Summary!$F$2:$F$201,MATCH($B1576,Summary!$A$2:$A$201,0))</f>
        <v>20</v>
      </c>
      <c r="M1576" s="0" t="n">
        <f aca="false">INDEX(Summary!$I$2:$I$201,MATCH($B1576,Summary!$A$2:$A$201,0))</f>
        <v>2</v>
      </c>
      <c r="N1576" s="0" t="n">
        <f aca="false">INDEX(Summary!$J$2:$J$201,MATCH($B1576,Summary!$A$2:$A$201,0))</f>
        <v>3</v>
      </c>
      <c r="O1576" s="2" t="n">
        <f aca="false">INDEX(Summary!$K$2:$K$201,MATCH($B1576,Summary!$A$2:$A$201,0))</f>
        <v>9.85</v>
      </c>
      <c r="P1576" s="3" t="n">
        <f aca="false">INDEX(Summary!$L$2:$L$201,MATCH($B1576,Summary!$A$2:$A$201,0))</f>
        <v>4</v>
      </c>
      <c r="Q1576" s="3" t="n">
        <f aca="false">INDEX(Summary!$M$2:$M$201,MATCH($B1576,Summary!$A$2:$A$201,0))</f>
        <v>2</v>
      </c>
      <c r="R1576" s="2" t="n">
        <f aca="false">INDEX(Summary!$N$2:$N$201,MATCH($B1576,Summary!$A$2:$A$201,0))</f>
        <v>11.46</v>
      </c>
      <c r="S1576" s="3" t="n">
        <f aca="false">INDEX(Summary!$O$2:$O$201,MATCH($B1576,Summary!$A$2:$A$201,0))</f>
        <v>8</v>
      </c>
      <c r="T1576" s="3" t="n">
        <f aca="false">INDEX(Summary!$P$2:$P$201,MATCH($B1576,Summary!$A$2:$A$201,0))</f>
        <v>1</v>
      </c>
      <c r="U1576" s="2" t="n">
        <f aca="false">INDEX(Summary!$Q$2:$Q$201,MATCH($B1576,Summary!$A$2:$A$201,0))</f>
        <v>12.72</v>
      </c>
      <c r="V1576" s="2" t="n">
        <f aca="false">INDEX(Summary!$R$2:$R$201,MATCH($B1576,Summary!$A$2:$A$201,0))</f>
        <v>24.31</v>
      </c>
      <c r="W1576" s="0" t="str">
        <f aca="false">INDEX(Summary!$S$2:$S$201,MATCH($B1576,Summary!$A$2:$A$201,0))</f>
        <v>Silver</v>
      </c>
      <c r="X1576" s="2" t="n">
        <f aca="false">INDEX(Summary!$T$2:$T$201,MATCH($B1576,Summary!$A$2:$A$201,0))</f>
        <v>59.29</v>
      </c>
      <c r="Y1576" s="0" t="str">
        <f aca="false">INDEX('Reward Model'!$E$18:$E$37,MATCH($E1576,'Reward Model'!$A$18:$A$37,0))</f>
        <v>Medium</v>
      </c>
      <c r="Z1576" s="4" t="n">
        <f aca="false">ROUND(MIN(1,MAX('Reward Model'!$B$2,INDEX('Reward Model'!$C$12:$C$14,MATCH($K1576,'Reward Model'!$A$12:$A$14,0))/$J1576)),3)</f>
        <v>0.887</v>
      </c>
      <c r="AA1576" s="2" t="n">
        <f aca="false">IF($I1576="Correct",ROUND(INDEX('Reward Model'!$B$12:$B$14,MATCH($K1576,'Reward Model'!$A$12:$A$14,0))*Z1576,2),0)</f>
        <v>0</v>
      </c>
      <c r="AB1576" s="2" t="n">
        <f aca="false">IF($I1576="Correct",ROUND(INDEX('Reward Model'!$B$12:$B$14,MATCH($Y1576,'Reward Model'!$A$12:$A$14,0))*Z1576,2),0)</f>
        <v>0</v>
      </c>
    </row>
    <row r="1577" customFormat="false" ht="15" hidden="false" customHeight="false" outlineLevel="0" collapsed="false">
      <c r="A1577" s="0" t="s">
        <v>286</v>
      </c>
      <c r="B1577" s="0" t="s">
        <v>287</v>
      </c>
      <c r="C1577" s="0" t="s">
        <v>30</v>
      </c>
      <c r="D1577" s="0" t="s">
        <v>275</v>
      </c>
      <c r="E1577" s="0" t="n">
        <v>16</v>
      </c>
      <c r="F1577" s="0" t="s">
        <v>71</v>
      </c>
      <c r="G1577" s="0" t="s">
        <v>87</v>
      </c>
      <c r="H1577" s="0" t="s">
        <v>72</v>
      </c>
      <c r="I1577" s="0" t="s">
        <v>39</v>
      </c>
      <c r="J1577" s="0" t="n">
        <v>2.42</v>
      </c>
      <c r="K1577" s="0" t="s">
        <v>73</v>
      </c>
      <c r="L1577" s="0" t="n">
        <f aca="false">INDEX(Summary!$F$2:$F$201,MATCH($B1577,Summary!$A$2:$A$201,0))</f>
        <v>20</v>
      </c>
      <c r="M1577" s="0" t="n">
        <f aca="false">INDEX(Summary!$I$2:$I$201,MATCH($B1577,Summary!$A$2:$A$201,0))</f>
        <v>2</v>
      </c>
      <c r="N1577" s="0" t="n">
        <f aca="false">INDEX(Summary!$J$2:$J$201,MATCH($B1577,Summary!$A$2:$A$201,0))</f>
        <v>3</v>
      </c>
      <c r="O1577" s="2" t="n">
        <f aca="false">INDEX(Summary!$K$2:$K$201,MATCH($B1577,Summary!$A$2:$A$201,0))</f>
        <v>9.85</v>
      </c>
      <c r="P1577" s="3" t="n">
        <f aca="false">INDEX(Summary!$L$2:$L$201,MATCH($B1577,Summary!$A$2:$A$201,0))</f>
        <v>4</v>
      </c>
      <c r="Q1577" s="3" t="n">
        <f aca="false">INDEX(Summary!$M$2:$M$201,MATCH($B1577,Summary!$A$2:$A$201,0))</f>
        <v>2</v>
      </c>
      <c r="R1577" s="2" t="n">
        <f aca="false">INDEX(Summary!$N$2:$N$201,MATCH($B1577,Summary!$A$2:$A$201,0))</f>
        <v>11.46</v>
      </c>
      <c r="S1577" s="3" t="n">
        <f aca="false">INDEX(Summary!$O$2:$O$201,MATCH($B1577,Summary!$A$2:$A$201,0))</f>
        <v>8</v>
      </c>
      <c r="T1577" s="3" t="n">
        <f aca="false">INDEX(Summary!$P$2:$P$201,MATCH($B1577,Summary!$A$2:$A$201,0))</f>
        <v>1</v>
      </c>
      <c r="U1577" s="2" t="n">
        <f aca="false">INDEX(Summary!$Q$2:$Q$201,MATCH($B1577,Summary!$A$2:$A$201,0))</f>
        <v>12.72</v>
      </c>
      <c r="V1577" s="2" t="n">
        <f aca="false">INDEX(Summary!$R$2:$R$201,MATCH($B1577,Summary!$A$2:$A$201,0))</f>
        <v>24.31</v>
      </c>
      <c r="W1577" s="0" t="str">
        <f aca="false">INDEX(Summary!$S$2:$S$201,MATCH($B1577,Summary!$A$2:$A$201,0))</f>
        <v>Silver</v>
      </c>
      <c r="X1577" s="2" t="n">
        <f aca="false">INDEX(Summary!$T$2:$T$201,MATCH($B1577,Summary!$A$2:$A$201,0))</f>
        <v>59.29</v>
      </c>
      <c r="Y1577" s="0" t="str">
        <f aca="false">INDEX('Reward Model'!$E$18:$E$37,MATCH($E1577,'Reward Model'!$A$18:$A$37,0))</f>
        <v>High</v>
      </c>
      <c r="Z1577" s="4" t="n">
        <f aca="false">ROUND(MIN(1,MAX('Reward Model'!$B$2,INDEX('Reward Model'!$C$12:$C$14,MATCH($K1577,'Reward Model'!$A$12:$A$14,0))/$J1577)),3)</f>
        <v>0.826</v>
      </c>
      <c r="AA1577" s="2" t="n">
        <f aca="false">IF($I1577="Correct",ROUND(INDEX('Reward Model'!$B$12:$B$14,MATCH($K1577,'Reward Model'!$A$12:$A$14,0))*Z1577,2),0)</f>
        <v>0</v>
      </c>
      <c r="AB1577" s="2" t="n">
        <f aca="false">IF($I1577="Correct",ROUND(INDEX('Reward Model'!$B$12:$B$14,MATCH($Y1577,'Reward Model'!$A$12:$A$14,0))*Z1577,2),0)</f>
        <v>0</v>
      </c>
    </row>
    <row r="1578" customFormat="false" ht="15" hidden="false" customHeight="false" outlineLevel="0" collapsed="false">
      <c r="A1578" s="0" t="s">
        <v>286</v>
      </c>
      <c r="B1578" s="0" t="s">
        <v>287</v>
      </c>
      <c r="C1578" s="0" t="s">
        <v>30</v>
      </c>
      <c r="D1578" s="0" t="s">
        <v>275</v>
      </c>
      <c r="E1578" s="0" t="n">
        <v>17</v>
      </c>
      <c r="F1578" s="0" t="s">
        <v>74</v>
      </c>
      <c r="G1578" s="0" t="s">
        <v>113</v>
      </c>
      <c r="H1578" s="0" t="s">
        <v>75</v>
      </c>
      <c r="I1578" s="0" t="s">
        <v>39</v>
      </c>
      <c r="J1578" s="0" t="n">
        <v>1.46</v>
      </c>
      <c r="K1578" s="0" t="s">
        <v>73</v>
      </c>
      <c r="L1578" s="0" t="n">
        <f aca="false">INDEX(Summary!$F$2:$F$201,MATCH($B1578,Summary!$A$2:$A$201,0))</f>
        <v>20</v>
      </c>
      <c r="M1578" s="0" t="n">
        <f aca="false">INDEX(Summary!$I$2:$I$201,MATCH($B1578,Summary!$A$2:$A$201,0))</f>
        <v>2</v>
      </c>
      <c r="N1578" s="0" t="n">
        <f aca="false">INDEX(Summary!$J$2:$J$201,MATCH($B1578,Summary!$A$2:$A$201,0))</f>
        <v>3</v>
      </c>
      <c r="O1578" s="2" t="n">
        <f aca="false">INDEX(Summary!$K$2:$K$201,MATCH($B1578,Summary!$A$2:$A$201,0))</f>
        <v>9.85</v>
      </c>
      <c r="P1578" s="3" t="n">
        <f aca="false">INDEX(Summary!$L$2:$L$201,MATCH($B1578,Summary!$A$2:$A$201,0))</f>
        <v>4</v>
      </c>
      <c r="Q1578" s="3" t="n">
        <f aca="false">INDEX(Summary!$M$2:$M$201,MATCH($B1578,Summary!$A$2:$A$201,0))</f>
        <v>2</v>
      </c>
      <c r="R1578" s="2" t="n">
        <f aca="false">INDEX(Summary!$N$2:$N$201,MATCH($B1578,Summary!$A$2:$A$201,0))</f>
        <v>11.46</v>
      </c>
      <c r="S1578" s="3" t="n">
        <f aca="false">INDEX(Summary!$O$2:$O$201,MATCH($B1578,Summary!$A$2:$A$201,0))</f>
        <v>8</v>
      </c>
      <c r="T1578" s="3" t="n">
        <f aca="false">INDEX(Summary!$P$2:$P$201,MATCH($B1578,Summary!$A$2:$A$201,0))</f>
        <v>1</v>
      </c>
      <c r="U1578" s="2" t="n">
        <f aca="false">INDEX(Summary!$Q$2:$Q$201,MATCH($B1578,Summary!$A$2:$A$201,0))</f>
        <v>12.72</v>
      </c>
      <c r="V1578" s="2" t="n">
        <f aca="false">INDEX(Summary!$R$2:$R$201,MATCH($B1578,Summary!$A$2:$A$201,0))</f>
        <v>24.31</v>
      </c>
      <c r="W1578" s="0" t="str">
        <f aca="false">INDEX(Summary!$S$2:$S$201,MATCH($B1578,Summary!$A$2:$A$201,0))</f>
        <v>Silver</v>
      </c>
      <c r="X1578" s="2" t="n">
        <f aca="false">INDEX(Summary!$T$2:$T$201,MATCH($B1578,Summary!$A$2:$A$201,0))</f>
        <v>59.29</v>
      </c>
      <c r="Y1578" s="0" t="str">
        <f aca="false">INDEX('Reward Model'!$E$18:$E$37,MATCH($E1578,'Reward Model'!$A$18:$A$37,0))</f>
        <v>High</v>
      </c>
      <c r="Z1578" s="4" t="n">
        <f aca="false">ROUND(MIN(1,MAX('Reward Model'!$B$2,INDEX('Reward Model'!$C$12:$C$14,MATCH($K1578,'Reward Model'!$A$12:$A$14,0))/$J1578)),3)</f>
        <v>1</v>
      </c>
      <c r="AA1578" s="2" t="n">
        <f aca="false">IF($I1578="Correct",ROUND(INDEX('Reward Model'!$B$12:$B$14,MATCH($K1578,'Reward Model'!$A$12:$A$14,0))*Z1578,2),0)</f>
        <v>0</v>
      </c>
      <c r="AB1578" s="2" t="n">
        <f aca="false">IF($I1578="Correct",ROUND(INDEX('Reward Model'!$B$12:$B$14,MATCH($Y1578,'Reward Model'!$A$12:$A$14,0))*Z1578,2),0)</f>
        <v>0</v>
      </c>
    </row>
    <row r="1579" customFormat="false" ht="15" hidden="false" customHeight="false" outlineLevel="0" collapsed="false">
      <c r="A1579" s="0" t="s">
        <v>286</v>
      </c>
      <c r="B1579" s="0" t="s">
        <v>287</v>
      </c>
      <c r="C1579" s="0" t="s">
        <v>30</v>
      </c>
      <c r="D1579" s="0" t="s">
        <v>275</v>
      </c>
      <c r="E1579" s="0" t="n">
        <v>18</v>
      </c>
      <c r="F1579" s="0" t="s">
        <v>76</v>
      </c>
      <c r="G1579" s="0" t="s">
        <v>128</v>
      </c>
      <c r="H1579" s="0" t="s">
        <v>77</v>
      </c>
      <c r="I1579" s="0" t="s">
        <v>39</v>
      </c>
      <c r="J1579" s="0" t="n">
        <v>1.44</v>
      </c>
      <c r="K1579" s="0" t="s">
        <v>73</v>
      </c>
      <c r="L1579" s="0" t="n">
        <f aca="false">INDEX(Summary!$F$2:$F$201,MATCH($B1579,Summary!$A$2:$A$201,0))</f>
        <v>20</v>
      </c>
      <c r="M1579" s="0" t="n">
        <f aca="false">INDEX(Summary!$I$2:$I$201,MATCH($B1579,Summary!$A$2:$A$201,0))</f>
        <v>2</v>
      </c>
      <c r="N1579" s="0" t="n">
        <f aca="false">INDEX(Summary!$J$2:$J$201,MATCH($B1579,Summary!$A$2:$A$201,0))</f>
        <v>3</v>
      </c>
      <c r="O1579" s="2" t="n">
        <f aca="false">INDEX(Summary!$K$2:$K$201,MATCH($B1579,Summary!$A$2:$A$201,0))</f>
        <v>9.85</v>
      </c>
      <c r="P1579" s="3" t="n">
        <f aca="false">INDEX(Summary!$L$2:$L$201,MATCH($B1579,Summary!$A$2:$A$201,0))</f>
        <v>4</v>
      </c>
      <c r="Q1579" s="3" t="n">
        <f aca="false">INDEX(Summary!$M$2:$M$201,MATCH($B1579,Summary!$A$2:$A$201,0))</f>
        <v>2</v>
      </c>
      <c r="R1579" s="2" t="n">
        <f aca="false">INDEX(Summary!$N$2:$N$201,MATCH($B1579,Summary!$A$2:$A$201,0))</f>
        <v>11.46</v>
      </c>
      <c r="S1579" s="3" t="n">
        <f aca="false">INDEX(Summary!$O$2:$O$201,MATCH($B1579,Summary!$A$2:$A$201,0))</f>
        <v>8</v>
      </c>
      <c r="T1579" s="3" t="n">
        <f aca="false">INDEX(Summary!$P$2:$P$201,MATCH($B1579,Summary!$A$2:$A$201,0))</f>
        <v>1</v>
      </c>
      <c r="U1579" s="2" t="n">
        <f aca="false">INDEX(Summary!$Q$2:$Q$201,MATCH($B1579,Summary!$A$2:$A$201,0))</f>
        <v>12.72</v>
      </c>
      <c r="V1579" s="2" t="n">
        <f aca="false">INDEX(Summary!$R$2:$R$201,MATCH($B1579,Summary!$A$2:$A$201,0))</f>
        <v>24.31</v>
      </c>
      <c r="W1579" s="0" t="str">
        <f aca="false">INDEX(Summary!$S$2:$S$201,MATCH($B1579,Summary!$A$2:$A$201,0))</f>
        <v>Silver</v>
      </c>
      <c r="X1579" s="2" t="n">
        <f aca="false">INDEX(Summary!$T$2:$T$201,MATCH($B1579,Summary!$A$2:$A$201,0))</f>
        <v>59.29</v>
      </c>
      <c r="Y1579" s="0" t="str">
        <f aca="false">INDEX('Reward Model'!$E$18:$E$37,MATCH($E1579,'Reward Model'!$A$18:$A$37,0))</f>
        <v>High</v>
      </c>
      <c r="Z1579" s="4" t="n">
        <f aca="false">ROUND(MIN(1,MAX('Reward Model'!$B$2,INDEX('Reward Model'!$C$12:$C$14,MATCH($K1579,'Reward Model'!$A$12:$A$14,0))/$J1579)),3)</f>
        <v>1</v>
      </c>
      <c r="AA1579" s="2" t="n">
        <f aca="false">IF($I1579="Correct",ROUND(INDEX('Reward Model'!$B$12:$B$14,MATCH($K1579,'Reward Model'!$A$12:$A$14,0))*Z1579,2),0)</f>
        <v>0</v>
      </c>
      <c r="AB1579" s="2" t="n">
        <f aca="false">IF($I1579="Correct",ROUND(INDEX('Reward Model'!$B$12:$B$14,MATCH($Y1579,'Reward Model'!$A$12:$A$14,0))*Z1579,2),0)</f>
        <v>0</v>
      </c>
    </row>
    <row r="1580" customFormat="false" ht="15" hidden="false" customHeight="false" outlineLevel="0" collapsed="false">
      <c r="A1580" s="0" t="s">
        <v>286</v>
      </c>
      <c r="B1580" s="0" t="s">
        <v>287</v>
      </c>
      <c r="C1580" s="0" t="s">
        <v>30</v>
      </c>
      <c r="D1580" s="0" t="s">
        <v>275</v>
      </c>
      <c r="E1580" s="0" t="n">
        <v>19</v>
      </c>
      <c r="F1580" s="0" t="s">
        <v>78</v>
      </c>
      <c r="G1580" s="0" t="s">
        <v>80</v>
      </c>
      <c r="H1580" s="0" t="s">
        <v>80</v>
      </c>
      <c r="I1580" s="0" t="s">
        <v>34</v>
      </c>
      <c r="J1580" s="0" t="n">
        <v>2.11</v>
      </c>
      <c r="K1580" s="0" t="s">
        <v>73</v>
      </c>
      <c r="L1580" s="0" t="n">
        <f aca="false">INDEX(Summary!$F$2:$F$201,MATCH($B1580,Summary!$A$2:$A$201,0))</f>
        <v>20</v>
      </c>
      <c r="M1580" s="0" t="n">
        <f aca="false">INDEX(Summary!$I$2:$I$201,MATCH($B1580,Summary!$A$2:$A$201,0))</f>
        <v>2</v>
      </c>
      <c r="N1580" s="0" t="n">
        <f aca="false">INDEX(Summary!$J$2:$J$201,MATCH($B1580,Summary!$A$2:$A$201,0))</f>
        <v>3</v>
      </c>
      <c r="O1580" s="2" t="n">
        <f aca="false">INDEX(Summary!$K$2:$K$201,MATCH($B1580,Summary!$A$2:$A$201,0))</f>
        <v>9.85</v>
      </c>
      <c r="P1580" s="3" t="n">
        <f aca="false">INDEX(Summary!$L$2:$L$201,MATCH($B1580,Summary!$A$2:$A$201,0))</f>
        <v>4</v>
      </c>
      <c r="Q1580" s="3" t="n">
        <f aca="false">INDEX(Summary!$M$2:$M$201,MATCH($B1580,Summary!$A$2:$A$201,0))</f>
        <v>2</v>
      </c>
      <c r="R1580" s="2" t="n">
        <f aca="false">INDEX(Summary!$N$2:$N$201,MATCH($B1580,Summary!$A$2:$A$201,0))</f>
        <v>11.46</v>
      </c>
      <c r="S1580" s="3" t="n">
        <f aca="false">INDEX(Summary!$O$2:$O$201,MATCH($B1580,Summary!$A$2:$A$201,0))</f>
        <v>8</v>
      </c>
      <c r="T1580" s="3" t="n">
        <f aca="false">INDEX(Summary!$P$2:$P$201,MATCH($B1580,Summary!$A$2:$A$201,0))</f>
        <v>1</v>
      </c>
      <c r="U1580" s="2" t="n">
        <f aca="false">INDEX(Summary!$Q$2:$Q$201,MATCH($B1580,Summary!$A$2:$A$201,0))</f>
        <v>12.72</v>
      </c>
      <c r="V1580" s="2" t="n">
        <f aca="false">INDEX(Summary!$R$2:$R$201,MATCH($B1580,Summary!$A$2:$A$201,0))</f>
        <v>24.31</v>
      </c>
      <c r="W1580" s="0" t="str">
        <f aca="false">INDEX(Summary!$S$2:$S$201,MATCH($B1580,Summary!$A$2:$A$201,0))</f>
        <v>Silver</v>
      </c>
      <c r="X1580" s="2" t="n">
        <f aca="false">INDEX(Summary!$T$2:$T$201,MATCH($B1580,Summary!$A$2:$A$201,0))</f>
        <v>59.29</v>
      </c>
      <c r="Y1580" s="0" t="str">
        <f aca="false">INDEX('Reward Model'!$E$18:$E$37,MATCH($E1580,'Reward Model'!$A$18:$A$37,0))</f>
        <v>High</v>
      </c>
      <c r="Z1580" s="4" t="n">
        <f aca="false">ROUND(MIN(1,MAX('Reward Model'!$B$2,INDEX('Reward Model'!$C$12:$C$14,MATCH($K1580,'Reward Model'!$A$12:$A$14,0))/$J1580)),3)</f>
        <v>0.948</v>
      </c>
      <c r="AA1580" s="2" t="n">
        <f aca="false">IF($I1580="Correct",ROUND(INDEX('Reward Model'!$B$12:$B$14,MATCH($K1580,'Reward Model'!$A$12:$A$14,0))*Z1580,2),0)</f>
        <v>2.84</v>
      </c>
      <c r="AB1580" s="2" t="n">
        <f aca="false">IF($I1580="Correct",ROUND(INDEX('Reward Model'!$B$12:$B$14,MATCH($Y1580,'Reward Model'!$A$12:$A$14,0))*Z1580,2),0)</f>
        <v>2.84</v>
      </c>
    </row>
    <row r="1581" customFormat="false" ht="15" hidden="false" customHeight="false" outlineLevel="0" collapsed="false">
      <c r="A1581" s="0" t="s">
        <v>286</v>
      </c>
      <c r="B1581" s="0" t="s">
        <v>287</v>
      </c>
      <c r="C1581" s="0" t="s">
        <v>30</v>
      </c>
      <c r="D1581" s="0" t="s">
        <v>275</v>
      </c>
      <c r="E1581" s="0" t="n">
        <v>20</v>
      </c>
      <c r="F1581" s="0" t="s">
        <v>81</v>
      </c>
      <c r="G1581" s="0" t="s">
        <v>83</v>
      </c>
      <c r="H1581" s="0" t="s">
        <v>83</v>
      </c>
      <c r="I1581" s="0" t="s">
        <v>34</v>
      </c>
      <c r="J1581" s="0" t="n">
        <v>2.42</v>
      </c>
      <c r="K1581" s="0" t="s">
        <v>73</v>
      </c>
      <c r="L1581" s="0" t="n">
        <f aca="false">INDEX(Summary!$F$2:$F$201,MATCH($B1581,Summary!$A$2:$A$201,0))</f>
        <v>20</v>
      </c>
      <c r="M1581" s="0" t="n">
        <f aca="false">INDEX(Summary!$I$2:$I$201,MATCH($B1581,Summary!$A$2:$A$201,0))</f>
        <v>2</v>
      </c>
      <c r="N1581" s="0" t="n">
        <f aca="false">INDEX(Summary!$J$2:$J$201,MATCH($B1581,Summary!$A$2:$A$201,0))</f>
        <v>3</v>
      </c>
      <c r="O1581" s="2" t="n">
        <f aca="false">INDEX(Summary!$K$2:$K$201,MATCH($B1581,Summary!$A$2:$A$201,0))</f>
        <v>9.85</v>
      </c>
      <c r="P1581" s="3" t="n">
        <f aca="false">INDEX(Summary!$L$2:$L$201,MATCH($B1581,Summary!$A$2:$A$201,0))</f>
        <v>4</v>
      </c>
      <c r="Q1581" s="3" t="n">
        <f aca="false">INDEX(Summary!$M$2:$M$201,MATCH($B1581,Summary!$A$2:$A$201,0))</f>
        <v>2</v>
      </c>
      <c r="R1581" s="2" t="n">
        <f aca="false">INDEX(Summary!$N$2:$N$201,MATCH($B1581,Summary!$A$2:$A$201,0))</f>
        <v>11.46</v>
      </c>
      <c r="S1581" s="3" t="n">
        <f aca="false">INDEX(Summary!$O$2:$O$201,MATCH($B1581,Summary!$A$2:$A$201,0))</f>
        <v>8</v>
      </c>
      <c r="T1581" s="3" t="n">
        <f aca="false">INDEX(Summary!$P$2:$P$201,MATCH($B1581,Summary!$A$2:$A$201,0))</f>
        <v>1</v>
      </c>
      <c r="U1581" s="2" t="n">
        <f aca="false">INDEX(Summary!$Q$2:$Q$201,MATCH($B1581,Summary!$A$2:$A$201,0))</f>
        <v>12.72</v>
      </c>
      <c r="V1581" s="2" t="n">
        <f aca="false">INDEX(Summary!$R$2:$R$201,MATCH($B1581,Summary!$A$2:$A$201,0))</f>
        <v>24.31</v>
      </c>
      <c r="W1581" s="0" t="str">
        <f aca="false">INDEX(Summary!$S$2:$S$201,MATCH($B1581,Summary!$A$2:$A$201,0))</f>
        <v>Silver</v>
      </c>
      <c r="X1581" s="2" t="n">
        <f aca="false">INDEX(Summary!$T$2:$T$201,MATCH($B1581,Summary!$A$2:$A$201,0))</f>
        <v>59.29</v>
      </c>
      <c r="Y1581" s="0" t="str">
        <f aca="false">INDEX('Reward Model'!$E$18:$E$37,MATCH($E1581,'Reward Model'!$A$18:$A$37,0))</f>
        <v>High</v>
      </c>
      <c r="Z1581" s="4" t="n">
        <f aca="false">ROUND(MIN(1,MAX('Reward Model'!$B$2,INDEX('Reward Model'!$C$12:$C$14,MATCH($K1581,'Reward Model'!$A$12:$A$14,0))/$J1581)),3)</f>
        <v>0.826</v>
      </c>
      <c r="AA1581" s="2" t="n">
        <f aca="false">IF($I1581="Correct",ROUND(INDEX('Reward Model'!$B$12:$B$14,MATCH($K1581,'Reward Model'!$A$12:$A$14,0))*Z1581,2),0)</f>
        <v>2.48</v>
      </c>
      <c r="AB1581" s="2" t="n">
        <f aca="false">IF($I1581="Correct",ROUND(INDEX('Reward Model'!$B$12:$B$14,MATCH($Y1581,'Reward Model'!$A$12:$A$14,0))*Z1581,2),0)</f>
        <v>2.48</v>
      </c>
    </row>
    <row r="1582" customFormat="false" ht="15" hidden="false" customHeight="false" outlineLevel="0" collapsed="false">
      <c r="A1582" s="0" t="s">
        <v>288</v>
      </c>
      <c r="B1582" s="0" t="s">
        <v>289</v>
      </c>
      <c r="C1582" s="0" t="s">
        <v>30</v>
      </c>
      <c r="D1582" s="0" t="s">
        <v>275</v>
      </c>
      <c r="E1582" s="0" t="n">
        <v>1</v>
      </c>
      <c r="F1582" s="0" t="s">
        <v>32</v>
      </c>
      <c r="G1582" s="0" t="s">
        <v>33</v>
      </c>
      <c r="H1582" s="0" t="s">
        <v>33</v>
      </c>
      <c r="I1582" s="0" t="s">
        <v>34</v>
      </c>
      <c r="J1582" s="0" t="n">
        <v>0.97</v>
      </c>
      <c r="K1582" s="0" t="s">
        <v>35</v>
      </c>
      <c r="L1582" s="0" t="n">
        <f aca="false">INDEX(Summary!$F$2:$F$201,MATCH($B1582,Summary!$A$2:$A$201,0))</f>
        <v>20</v>
      </c>
      <c r="M1582" s="0" t="n">
        <f aca="false">INDEX(Summary!$I$2:$I$201,MATCH($B1582,Summary!$A$2:$A$201,0))</f>
        <v>4</v>
      </c>
      <c r="N1582" s="0" t="n">
        <f aca="false">INDEX(Summary!$J$2:$J$201,MATCH($B1582,Summary!$A$2:$A$201,0))</f>
        <v>1</v>
      </c>
      <c r="O1582" s="2" t="n">
        <f aca="false">INDEX(Summary!$K$2:$K$201,MATCH($B1582,Summary!$A$2:$A$201,0))</f>
        <v>9.79</v>
      </c>
      <c r="P1582" s="3" t="n">
        <f aca="false">INDEX(Summary!$L$2:$L$201,MATCH($B1582,Summary!$A$2:$A$201,0))</f>
        <v>5</v>
      </c>
      <c r="Q1582" s="3" t="n">
        <f aca="false">INDEX(Summary!$M$2:$M$201,MATCH($B1582,Summary!$A$2:$A$201,0))</f>
        <v>1</v>
      </c>
      <c r="R1582" s="2" t="n">
        <f aca="false">INDEX(Summary!$N$2:$N$201,MATCH($B1582,Summary!$A$2:$A$201,0))</f>
        <v>10.29</v>
      </c>
      <c r="S1582" s="3" t="n">
        <f aca="false">INDEX(Summary!$O$2:$O$201,MATCH($B1582,Summary!$A$2:$A$201,0))</f>
        <v>8</v>
      </c>
      <c r="T1582" s="3" t="n">
        <f aca="false">INDEX(Summary!$P$2:$P$201,MATCH($B1582,Summary!$A$2:$A$201,0))</f>
        <v>1</v>
      </c>
      <c r="U1582" s="2" t="n">
        <f aca="false">INDEX(Summary!$Q$2:$Q$201,MATCH($B1582,Summary!$A$2:$A$201,0))</f>
        <v>13.06</v>
      </c>
      <c r="V1582" s="2" t="n">
        <f aca="false">INDEX(Summary!$R$2:$R$201,MATCH($B1582,Summary!$A$2:$A$201,0))</f>
        <v>32.34</v>
      </c>
      <c r="W1582" s="0" t="str">
        <f aca="false">INDEX(Summary!$S$2:$S$201,MATCH($B1582,Summary!$A$2:$A$201,0))</f>
        <v>Gold</v>
      </c>
      <c r="X1582" s="2" t="n">
        <f aca="false">INDEX(Summary!$T$2:$T$201,MATCH($B1582,Summary!$A$2:$A$201,0))</f>
        <v>78.88</v>
      </c>
      <c r="Y1582" s="0" t="str">
        <f aca="false">INDEX('Reward Model'!$E$18:$E$37,MATCH($E1582,'Reward Model'!$A$18:$A$37,0))</f>
        <v>Medium</v>
      </c>
      <c r="Z1582" s="4" t="n">
        <f aca="false">ROUND(MIN(1,MAX('Reward Model'!$B$2,INDEX('Reward Model'!$C$12:$C$14,MATCH($K1582,'Reward Model'!$A$12:$A$14,0))/$J1582)),3)</f>
        <v>1</v>
      </c>
      <c r="AA1582" s="2" t="n">
        <f aca="false">IF($I1582="Correct",ROUND(INDEX('Reward Model'!$B$12:$B$14,MATCH($K1582,'Reward Model'!$A$12:$A$14,0))*Z1582,2),0)</f>
        <v>1</v>
      </c>
      <c r="AB1582" s="2" t="n">
        <f aca="false">IF($I1582="Correct",ROUND(INDEX('Reward Model'!$B$12:$B$14,MATCH($Y1582,'Reward Model'!$A$12:$A$14,0))*Z1582,2),0)</f>
        <v>2</v>
      </c>
    </row>
    <row r="1583" customFormat="false" ht="15" hidden="false" customHeight="false" outlineLevel="0" collapsed="false">
      <c r="A1583" s="0" t="s">
        <v>288</v>
      </c>
      <c r="B1583" s="0" t="s">
        <v>289</v>
      </c>
      <c r="C1583" s="0" t="s">
        <v>30</v>
      </c>
      <c r="D1583" s="0" t="s">
        <v>275</v>
      </c>
      <c r="E1583" s="0" t="n">
        <v>2</v>
      </c>
      <c r="F1583" s="0" t="s">
        <v>36</v>
      </c>
      <c r="G1583" s="0" t="s">
        <v>38</v>
      </c>
      <c r="H1583" s="0" t="s">
        <v>38</v>
      </c>
      <c r="I1583" s="0" t="s">
        <v>34</v>
      </c>
      <c r="J1583" s="0" t="n">
        <v>0.93</v>
      </c>
      <c r="K1583" s="0" t="s">
        <v>35</v>
      </c>
      <c r="L1583" s="0" t="n">
        <f aca="false">INDEX(Summary!$F$2:$F$201,MATCH($B1583,Summary!$A$2:$A$201,0))</f>
        <v>20</v>
      </c>
      <c r="M1583" s="0" t="n">
        <f aca="false">INDEX(Summary!$I$2:$I$201,MATCH($B1583,Summary!$A$2:$A$201,0))</f>
        <v>4</v>
      </c>
      <c r="N1583" s="0" t="n">
        <f aca="false">INDEX(Summary!$J$2:$J$201,MATCH($B1583,Summary!$A$2:$A$201,0))</f>
        <v>1</v>
      </c>
      <c r="O1583" s="2" t="n">
        <f aca="false">INDEX(Summary!$K$2:$K$201,MATCH($B1583,Summary!$A$2:$A$201,0))</f>
        <v>9.79</v>
      </c>
      <c r="P1583" s="3" t="n">
        <f aca="false">INDEX(Summary!$L$2:$L$201,MATCH($B1583,Summary!$A$2:$A$201,0))</f>
        <v>5</v>
      </c>
      <c r="Q1583" s="3" t="n">
        <f aca="false">INDEX(Summary!$M$2:$M$201,MATCH($B1583,Summary!$A$2:$A$201,0))</f>
        <v>1</v>
      </c>
      <c r="R1583" s="2" t="n">
        <f aca="false">INDEX(Summary!$N$2:$N$201,MATCH($B1583,Summary!$A$2:$A$201,0))</f>
        <v>10.29</v>
      </c>
      <c r="S1583" s="3" t="n">
        <f aca="false">INDEX(Summary!$O$2:$O$201,MATCH($B1583,Summary!$A$2:$A$201,0))</f>
        <v>8</v>
      </c>
      <c r="T1583" s="3" t="n">
        <f aca="false">INDEX(Summary!$P$2:$P$201,MATCH($B1583,Summary!$A$2:$A$201,0))</f>
        <v>1</v>
      </c>
      <c r="U1583" s="2" t="n">
        <f aca="false">INDEX(Summary!$Q$2:$Q$201,MATCH($B1583,Summary!$A$2:$A$201,0))</f>
        <v>13.06</v>
      </c>
      <c r="V1583" s="2" t="n">
        <f aca="false">INDEX(Summary!$R$2:$R$201,MATCH($B1583,Summary!$A$2:$A$201,0))</f>
        <v>32.34</v>
      </c>
      <c r="W1583" s="0" t="str">
        <f aca="false">INDEX(Summary!$S$2:$S$201,MATCH($B1583,Summary!$A$2:$A$201,0))</f>
        <v>Gold</v>
      </c>
      <c r="X1583" s="2" t="n">
        <f aca="false">INDEX(Summary!$T$2:$T$201,MATCH($B1583,Summary!$A$2:$A$201,0))</f>
        <v>78.88</v>
      </c>
      <c r="Y1583" s="0" t="str">
        <f aca="false">INDEX('Reward Model'!$E$18:$E$37,MATCH($E1583,'Reward Model'!$A$18:$A$37,0))</f>
        <v>Low</v>
      </c>
      <c r="Z1583" s="4" t="n">
        <f aca="false">ROUND(MIN(1,MAX('Reward Model'!$B$2,INDEX('Reward Model'!$C$12:$C$14,MATCH($K1583,'Reward Model'!$A$12:$A$14,0))/$J1583)),3)</f>
        <v>1</v>
      </c>
      <c r="AA1583" s="2" t="n">
        <f aca="false">IF($I1583="Correct",ROUND(INDEX('Reward Model'!$B$12:$B$14,MATCH($K1583,'Reward Model'!$A$12:$A$14,0))*Z1583,2),0)</f>
        <v>1</v>
      </c>
      <c r="AB1583" s="2" t="n">
        <f aca="false">IF($I1583="Correct",ROUND(INDEX('Reward Model'!$B$12:$B$14,MATCH($Y1583,'Reward Model'!$A$12:$A$14,0))*Z1583,2),0)</f>
        <v>1</v>
      </c>
    </row>
    <row r="1584" customFormat="false" ht="15" hidden="false" customHeight="false" outlineLevel="0" collapsed="false">
      <c r="A1584" s="0" t="s">
        <v>288</v>
      </c>
      <c r="B1584" s="0" t="s">
        <v>289</v>
      </c>
      <c r="C1584" s="0" t="s">
        <v>30</v>
      </c>
      <c r="D1584" s="0" t="s">
        <v>275</v>
      </c>
      <c r="E1584" s="0" t="n">
        <v>3</v>
      </c>
      <c r="F1584" s="0" t="s">
        <v>40</v>
      </c>
      <c r="G1584" s="0" t="s">
        <v>42</v>
      </c>
      <c r="H1584" s="0" t="s">
        <v>42</v>
      </c>
      <c r="I1584" s="0" t="s">
        <v>34</v>
      </c>
      <c r="J1584" s="0" t="n">
        <v>1.92</v>
      </c>
      <c r="K1584" s="0" t="s">
        <v>35</v>
      </c>
      <c r="L1584" s="0" t="n">
        <f aca="false">INDEX(Summary!$F$2:$F$201,MATCH($B1584,Summary!$A$2:$A$201,0))</f>
        <v>20</v>
      </c>
      <c r="M1584" s="0" t="n">
        <f aca="false">INDEX(Summary!$I$2:$I$201,MATCH($B1584,Summary!$A$2:$A$201,0))</f>
        <v>4</v>
      </c>
      <c r="N1584" s="0" t="n">
        <f aca="false">INDEX(Summary!$J$2:$J$201,MATCH($B1584,Summary!$A$2:$A$201,0))</f>
        <v>1</v>
      </c>
      <c r="O1584" s="2" t="n">
        <f aca="false">INDEX(Summary!$K$2:$K$201,MATCH($B1584,Summary!$A$2:$A$201,0))</f>
        <v>9.79</v>
      </c>
      <c r="P1584" s="3" t="n">
        <f aca="false">INDEX(Summary!$L$2:$L$201,MATCH($B1584,Summary!$A$2:$A$201,0))</f>
        <v>5</v>
      </c>
      <c r="Q1584" s="3" t="n">
        <f aca="false">INDEX(Summary!$M$2:$M$201,MATCH($B1584,Summary!$A$2:$A$201,0))</f>
        <v>1</v>
      </c>
      <c r="R1584" s="2" t="n">
        <f aca="false">INDEX(Summary!$N$2:$N$201,MATCH($B1584,Summary!$A$2:$A$201,0))</f>
        <v>10.29</v>
      </c>
      <c r="S1584" s="3" t="n">
        <f aca="false">INDEX(Summary!$O$2:$O$201,MATCH($B1584,Summary!$A$2:$A$201,0))</f>
        <v>8</v>
      </c>
      <c r="T1584" s="3" t="n">
        <f aca="false">INDEX(Summary!$P$2:$P$201,MATCH($B1584,Summary!$A$2:$A$201,0))</f>
        <v>1</v>
      </c>
      <c r="U1584" s="2" t="n">
        <f aca="false">INDEX(Summary!$Q$2:$Q$201,MATCH($B1584,Summary!$A$2:$A$201,0))</f>
        <v>13.06</v>
      </c>
      <c r="V1584" s="2" t="n">
        <f aca="false">INDEX(Summary!$R$2:$R$201,MATCH($B1584,Summary!$A$2:$A$201,0))</f>
        <v>32.34</v>
      </c>
      <c r="W1584" s="0" t="str">
        <f aca="false">INDEX(Summary!$S$2:$S$201,MATCH($B1584,Summary!$A$2:$A$201,0))</f>
        <v>Gold</v>
      </c>
      <c r="X1584" s="2" t="n">
        <f aca="false">INDEX(Summary!$T$2:$T$201,MATCH($B1584,Summary!$A$2:$A$201,0))</f>
        <v>78.88</v>
      </c>
      <c r="Y1584" s="0" t="str">
        <f aca="false">INDEX('Reward Model'!$E$18:$E$37,MATCH($E1584,'Reward Model'!$A$18:$A$37,0))</f>
        <v>Medium</v>
      </c>
      <c r="Z1584" s="4" t="n">
        <f aca="false">ROUND(MIN(1,MAX('Reward Model'!$B$2,INDEX('Reward Model'!$C$12:$C$14,MATCH($K1584,'Reward Model'!$A$12:$A$14,0))/$J1584)),3)</f>
        <v>0.781</v>
      </c>
      <c r="AA1584" s="2" t="n">
        <f aca="false">IF($I1584="Correct",ROUND(INDEX('Reward Model'!$B$12:$B$14,MATCH($K1584,'Reward Model'!$A$12:$A$14,0))*Z1584,2),0)</f>
        <v>0.78</v>
      </c>
      <c r="AB1584" s="2" t="n">
        <f aca="false">IF($I1584="Correct",ROUND(INDEX('Reward Model'!$B$12:$B$14,MATCH($Y1584,'Reward Model'!$A$12:$A$14,0))*Z1584,2),0)</f>
        <v>1.56</v>
      </c>
    </row>
    <row r="1585" customFormat="false" ht="15" hidden="false" customHeight="false" outlineLevel="0" collapsed="false">
      <c r="A1585" s="0" t="s">
        <v>288</v>
      </c>
      <c r="B1585" s="0" t="s">
        <v>289</v>
      </c>
      <c r="C1585" s="0" t="s">
        <v>30</v>
      </c>
      <c r="D1585" s="0" t="s">
        <v>275</v>
      </c>
      <c r="E1585" s="0" t="n">
        <v>4</v>
      </c>
      <c r="F1585" s="0" t="s">
        <v>43</v>
      </c>
      <c r="G1585" s="0" t="s">
        <v>45</v>
      </c>
      <c r="H1585" s="0" t="s">
        <v>45</v>
      </c>
      <c r="I1585" s="0" t="s">
        <v>34</v>
      </c>
      <c r="J1585" s="0" t="n">
        <v>1.85</v>
      </c>
      <c r="K1585" s="0" t="s">
        <v>35</v>
      </c>
      <c r="L1585" s="0" t="n">
        <f aca="false">INDEX(Summary!$F$2:$F$201,MATCH($B1585,Summary!$A$2:$A$201,0))</f>
        <v>20</v>
      </c>
      <c r="M1585" s="0" t="n">
        <f aca="false">INDEX(Summary!$I$2:$I$201,MATCH($B1585,Summary!$A$2:$A$201,0))</f>
        <v>4</v>
      </c>
      <c r="N1585" s="0" t="n">
        <f aca="false">INDEX(Summary!$J$2:$J$201,MATCH($B1585,Summary!$A$2:$A$201,0))</f>
        <v>1</v>
      </c>
      <c r="O1585" s="2" t="n">
        <f aca="false">INDEX(Summary!$K$2:$K$201,MATCH($B1585,Summary!$A$2:$A$201,0))</f>
        <v>9.79</v>
      </c>
      <c r="P1585" s="3" t="n">
        <f aca="false">INDEX(Summary!$L$2:$L$201,MATCH($B1585,Summary!$A$2:$A$201,0))</f>
        <v>5</v>
      </c>
      <c r="Q1585" s="3" t="n">
        <f aca="false">INDEX(Summary!$M$2:$M$201,MATCH($B1585,Summary!$A$2:$A$201,0))</f>
        <v>1</v>
      </c>
      <c r="R1585" s="2" t="n">
        <f aca="false">INDEX(Summary!$N$2:$N$201,MATCH($B1585,Summary!$A$2:$A$201,0))</f>
        <v>10.29</v>
      </c>
      <c r="S1585" s="3" t="n">
        <f aca="false">INDEX(Summary!$O$2:$O$201,MATCH($B1585,Summary!$A$2:$A$201,0))</f>
        <v>8</v>
      </c>
      <c r="T1585" s="3" t="n">
        <f aca="false">INDEX(Summary!$P$2:$P$201,MATCH($B1585,Summary!$A$2:$A$201,0))</f>
        <v>1</v>
      </c>
      <c r="U1585" s="2" t="n">
        <f aca="false">INDEX(Summary!$Q$2:$Q$201,MATCH($B1585,Summary!$A$2:$A$201,0))</f>
        <v>13.06</v>
      </c>
      <c r="V1585" s="2" t="n">
        <f aca="false">INDEX(Summary!$R$2:$R$201,MATCH($B1585,Summary!$A$2:$A$201,0))</f>
        <v>32.34</v>
      </c>
      <c r="W1585" s="0" t="str">
        <f aca="false">INDEX(Summary!$S$2:$S$201,MATCH($B1585,Summary!$A$2:$A$201,0))</f>
        <v>Gold</v>
      </c>
      <c r="X1585" s="2" t="n">
        <f aca="false">INDEX(Summary!$T$2:$T$201,MATCH($B1585,Summary!$A$2:$A$201,0))</f>
        <v>78.88</v>
      </c>
      <c r="Y1585" s="0" t="str">
        <f aca="false">INDEX('Reward Model'!$E$18:$E$37,MATCH($E1585,'Reward Model'!$A$18:$A$37,0))</f>
        <v>Low</v>
      </c>
      <c r="Z1585" s="4" t="n">
        <f aca="false">ROUND(MIN(1,MAX('Reward Model'!$B$2,INDEX('Reward Model'!$C$12:$C$14,MATCH($K1585,'Reward Model'!$A$12:$A$14,0))/$J1585)),3)</f>
        <v>0.811</v>
      </c>
      <c r="AA1585" s="2" t="n">
        <f aca="false">IF($I1585="Correct",ROUND(INDEX('Reward Model'!$B$12:$B$14,MATCH($K1585,'Reward Model'!$A$12:$A$14,0))*Z1585,2),0)</f>
        <v>0.81</v>
      </c>
      <c r="AB1585" s="2" t="n">
        <f aca="false">IF($I1585="Correct",ROUND(INDEX('Reward Model'!$B$12:$B$14,MATCH($Y1585,'Reward Model'!$A$12:$A$14,0))*Z1585,2),0)</f>
        <v>0.81</v>
      </c>
    </row>
    <row r="1586" customFormat="false" ht="15" hidden="false" customHeight="false" outlineLevel="0" collapsed="false">
      <c r="A1586" s="0" t="s">
        <v>288</v>
      </c>
      <c r="B1586" s="0" t="s">
        <v>289</v>
      </c>
      <c r="C1586" s="0" t="s">
        <v>30</v>
      </c>
      <c r="D1586" s="0" t="s">
        <v>275</v>
      </c>
      <c r="E1586" s="0" t="n">
        <v>5</v>
      </c>
      <c r="F1586" s="0" t="s">
        <v>46</v>
      </c>
      <c r="G1586" s="0" t="s">
        <v>47</v>
      </c>
      <c r="H1586" s="0" t="s">
        <v>47</v>
      </c>
      <c r="I1586" s="0" t="s">
        <v>34</v>
      </c>
      <c r="J1586" s="0" t="n">
        <v>1.63</v>
      </c>
      <c r="K1586" s="0" t="s">
        <v>35</v>
      </c>
      <c r="L1586" s="0" t="n">
        <f aca="false">INDEX(Summary!$F$2:$F$201,MATCH($B1586,Summary!$A$2:$A$201,0))</f>
        <v>20</v>
      </c>
      <c r="M1586" s="0" t="n">
        <f aca="false">INDEX(Summary!$I$2:$I$201,MATCH($B1586,Summary!$A$2:$A$201,0))</f>
        <v>4</v>
      </c>
      <c r="N1586" s="0" t="n">
        <f aca="false">INDEX(Summary!$J$2:$J$201,MATCH($B1586,Summary!$A$2:$A$201,0))</f>
        <v>1</v>
      </c>
      <c r="O1586" s="2" t="n">
        <f aca="false">INDEX(Summary!$K$2:$K$201,MATCH($B1586,Summary!$A$2:$A$201,0))</f>
        <v>9.79</v>
      </c>
      <c r="P1586" s="3" t="n">
        <f aca="false">INDEX(Summary!$L$2:$L$201,MATCH($B1586,Summary!$A$2:$A$201,0))</f>
        <v>5</v>
      </c>
      <c r="Q1586" s="3" t="n">
        <f aca="false">INDEX(Summary!$M$2:$M$201,MATCH($B1586,Summary!$A$2:$A$201,0))</f>
        <v>1</v>
      </c>
      <c r="R1586" s="2" t="n">
        <f aca="false">INDEX(Summary!$N$2:$N$201,MATCH($B1586,Summary!$A$2:$A$201,0))</f>
        <v>10.29</v>
      </c>
      <c r="S1586" s="3" t="n">
        <f aca="false">INDEX(Summary!$O$2:$O$201,MATCH($B1586,Summary!$A$2:$A$201,0))</f>
        <v>8</v>
      </c>
      <c r="T1586" s="3" t="n">
        <f aca="false">INDEX(Summary!$P$2:$P$201,MATCH($B1586,Summary!$A$2:$A$201,0))</f>
        <v>1</v>
      </c>
      <c r="U1586" s="2" t="n">
        <f aca="false">INDEX(Summary!$Q$2:$Q$201,MATCH($B1586,Summary!$A$2:$A$201,0))</f>
        <v>13.06</v>
      </c>
      <c r="V1586" s="2" t="n">
        <f aca="false">INDEX(Summary!$R$2:$R$201,MATCH($B1586,Summary!$A$2:$A$201,0))</f>
        <v>32.34</v>
      </c>
      <c r="W1586" s="0" t="str">
        <f aca="false">INDEX(Summary!$S$2:$S$201,MATCH($B1586,Summary!$A$2:$A$201,0))</f>
        <v>Gold</v>
      </c>
      <c r="X1586" s="2" t="n">
        <f aca="false">INDEX(Summary!$T$2:$T$201,MATCH($B1586,Summary!$A$2:$A$201,0))</f>
        <v>78.88</v>
      </c>
      <c r="Y1586" s="0" t="str">
        <f aca="false">INDEX('Reward Model'!$E$18:$E$37,MATCH($E1586,'Reward Model'!$A$18:$A$37,0))</f>
        <v>Low</v>
      </c>
      <c r="Z1586" s="4" t="n">
        <f aca="false">ROUND(MIN(1,MAX('Reward Model'!$B$2,INDEX('Reward Model'!$C$12:$C$14,MATCH($K1586,'Reward Model'!$A$12:$A$14,0))/$J1586)),3)</f>
        <v>0.92</v>
      </c>
      <c r="AA1586" s="2" t="n">
        <f aca="false">IF($I1586="Correct",ROUND(INDEX('Reward Model'!$B$12:$B$14,MATCH($K1586,'Reward Model'!$A$12:$A$14,0))*Z1586,2),0)</f>
        <v>0.92</v>
      </c>
      <c r="AB1586" s="2" t="n">
        <f aca="false">IF($I1586="Correct",ROUND(INDEX('Reward Model'!$B$12:$B$14,MATCH($Y1586,'Reward Model'!$A$12:$A$14,0))*Z1586,2),0)</f>
        <v>0.92</v>
      </c>
    </row>
    <row r="1587" customFormat="false" ht="15" hidden="false" customHeight="false" outlineLevel="0" collapsed="false">
      <c r="A1587" s="0" t="s">
        <v>288</v>
      </c>
      <c r="B1587" s="0" t="s">
        <v>289</v>
      </c>
      <c r="C1587" s="0" t="s">
        <v>30</v>
      </c>
      <c r="D1587" s="0" t="s">
        <v>275</v>
      </c>
      <c r="E1587" s="0" t="n">
        <v>6</v>
      </c>
      <c r="F1587" s="0" t="s">
        <v>48</v>
      </c>
      <c r="G1587" s="0" t="s">
        <v>49</v>
      </c>
      <c r="H1587" s="0" t="s">
        <v>49</v>
      </c>
      <c r="I1587" s="0" t="s">
        <v>34</v>
      </c>
      <c r="J1587" s="0" t="n">
        <v>1.62</v>
      </c>
      <c r="K1587" s="0" t="s">
        <v>35</v>
      </c>
      <c r="L1587" s="0" t="n">
        <f aca="false">INDEX(Summary!$F$2:$F$201,MATCH($B1587,Summary!$A$2:$A$201,0))</f>
        <v>20</v>
      </c>
      <c r="M1587" s="0" t="n">
        <f aca="false">INDEX(Summary!$I$2:$I$201,MATCH($B1587,Summary!$A$2:$A$201,0))</f>
        <v>4</v>
      </c>
      <c r="N1587" s="0" t="n">
        <f aca="false">INDEX(Summary!$J$2:$J$201,MATCH($B1587,Summary!$A$2:$A$201,0))</f>
        <v>1</v>
      </c>
      <c r="O1587" s="2" t="n">
        <f aca="false">INDEX(Summary!$K$2:$K$201,MATCH($B1587,Summary!$A$2:$A$201,0))</f>
        <v>9.79</v>
      </c>
      <c r="P1587" s="3" t="n">
        <f aca="false">INDEX(Summary!$L$2:$L$201,MATCH($B1587,Summary!$A$2:$A$201,0))</f>
        <v>5</v>
      </c>
      <c r="Q1587" s="3" t="n">
        <f aca="false">INDEX(Summary!$M$2:$M$201,MATCH($B1587,Summary!$A$2:$A$201,0))</f>
        <v>1</v>
      </c>
      <c r="R1587" s="2" t="n">
        <f aca="false">INDEX(Summary!$N$2:$N$201,MATCH($B1587,Summary!$A$2:$A$201,0))</f>
        <v>10.29</v>
      </c>
      <c r="S1587" s="3" t="n">
        <f aca="false">INDEX(Summary!$O$2:$O$201,MATCH($B1587,Summary!$A$2:$A$201,0))</f>
        <v>8</v>
      </c>
      <c r="T1587" s="3" t="n">
        <f aca="false">INDEX(Summary!$P$2:$P$201,MATCH($B1587,Summary!$A$2:$A$201,0))</f>
        <v>1</v>
      </c>
      <c r="U1587" s="2" t="n">
        <f aca="false">INDEX(Summary!$Q$2:$Q$201,MATCH($B1587,Summary!$A$2:$A$201,0))</f>
        <v>13.06</v>
      </c>
      <c r="V1587" s="2" t="n">
        <f aca="false">INDEX(Summary!$R$2:$R$201,MATCH($B1587,Summary!$A$2:$A$201,0))</f>
        <v>32.34</v>
      </c>
      <c r="W1587" s="0" t="str">
        <f aca="false">INDEX(Summary!$S$2:$S$201,MATCH($B1587,Summary!$A$2:$A$201,0))</f>
        <v>Gold</v>
      </c>
      <c r="X1587" s="2" t="n">
        <f aca="false">INDEX(Summary!$T$2:$T$201,MATCH($B1587,Summary!$A$2:$A$201,0))</f>
        <v>78.88</v>
      </c>
      <c r="Y1587" s="0" t="str">
        <f aca="false">INDEX('Reward Model'!$E$18:$E$37,MATCH($E1587,'Reward Model'!$A$18:$A$37,0))</f>
        <v>Medium</v>
      </c>
      <c r="Z1587" s="4" t="n">
        <f aca="false">ROUND(MIN(1,MAX('Reward Model'!$B$2,INDEX('Reward Model'!$C$12:$C$14,MATCH($K1587,'Reward Model'!$A$12:$A$14,0))/$J1587)),3)</f>
        <v>0.926</v>
      </c>
      <c r="AA1587" s="2" t="n">
        <f aca="false">IF($I1587="Correct",ROUND(INDEX('Reward Model'!$B$12:$B$14,MATCH($K1587,'Reward Model'!$A$12:$A$14,0))*Z1587,2),0)</f>
        <v>0.93</v>
      </c>
      <c r="AB1587" s="2" t="n">
        <f aca="false">IF($I1587="Correct",ROUND(INDEX('Reward Model'!$B$12:$B$14,MATCH($Y1587,'Reward Model'!$A$12:$A$14,0))*Z1587,2),0)</f>
        <v>1.85</v>
      </c>
    </row>
    <row r="1588" customFormat="false" ht="15" hidden="false" customHeight="false" outlineLevel="0" collapsed="false">
      <c r="A1588" s="0" t="s">
        <v>288</v>
      </c>
      <c r="B1588" s="0" t="s">
        <v>289</v>
      </c>
      <c r="C1588" s="0" t="s">
        <v>30</v>
      </c>
      <c r="D1588" s="0" t="s">
        <v>275</v>
      </c>
      <c r="E1588" s="0" t="n">
        <v>7</v>
      </c>
      <c r="F1588" s="0" t="s">
        <v>50</v>
      </c>
      <c r="G1588" s="0" t="s">
        <v>51</v>
      </c>
      <c r="H1588" s="0" t="s">
        <v>51</v>
      </c>
      <c r="I1588" s="0" t="s">
        <v>34</v>
      </c>
      <c r="J1588" s="0" t="n">
        <v>1.04</v>
      </c>
      <c r="K1588" s="0" t="s">
        <v>35</v>
      </c>
      <c r="L1588" s="0" t="n">
        <f aca="false">INDEX(Summary!$F$2:$F$201,MATCH($B1588,Summary!$A$2:$A$201,0))</f>
        <v>20</v>
      </c>
      <c r="M1588" s="0" t="n">
        <f aca="false">INDEX(Summary!$I$2:$I$201,MATCH($B1588,Summary!$A$2:$A$201,0))</f>
        <v>4</v>
      </c>
      <c r="N1588" s="0" t="n">
        <f aca="false">INDEX(Summary!$J$2:$J$201,MATCH($B1588,Summary!$A$2:$A$201,0))</f>
        <v>1</v>
      </c>
      <c r="O1588" s="2" t="n">
        <f aca="false">INDEX(Summary!$K$2:$K$201,MATCH($B1588,Summary!$A$2:$A$201,0))</f>
        <v>9.79</v>
      </c>
      <c r="P1588" s="3" t="n">
        <f aca="false">INDEX(Summary!$L$2:$L$201,MATCH($B1588,Summary!$A$2:$A$201,0))</f>
        <v>5</v>
      </c>
      <c r="Q1588" s="3" t="n">
        <f aca="false">INDEX(Summary!$M$2:$M$201,MATCH($B1588,Summary!$A$2:$A$201,0))</f>
        <v>1</v>
      </c>
      <c r="R1588" s="2" t="n">
        <f aca="false">INDEX(Summary!$N$2:$N$201,MATCH($B1588,Summary!$A$2:$A$201,0))</f>
        <v>10.29</v>
      </c>
      <c r="S1588" s="3" t="n">
        <f aca="false">INDEX(Summary!$O$2:$O$201,MATCH($B1588,Summary!$A$2:$A$201,0))</f>
        <v>8</v>
      </c>
      <c r="T1588" s="3" t="n">
        <f aca="false">INDEX(Summary!$P$2:$P$201,MATCH($B1588,Summary!$A$2:$A$201,0))</f>
        <v>1</v>
      </c>
      <c r="U1588" s="2" t="n">
        <f aca="false">INDEX(Summary!$Q$2:$Q$201,MATCH($B1588,Summary!$A$2:$A$201,0))</f>
        <v>13.06</v>
      </c>
      <c r="V1588" s="2" t="n">
        <f aca="false">INDEX(Summary!$R$2:$R$201,MATCH($B1588,Summary!$A$2:$A$201,0))</f>
        <v>32.34</v>
      </c>
      <c r="W1588" s="0" t="str">
        <f aca="false">INDEX(Summary!$S$2:$S$201,MATCH($B1588,Summary!$A$2:$A$201,0))</f>
        <v>Gold</v>
      </c>
      <c r="X1588" s="2" t="n">
        <f aca="false">INDEX(Summary!$T$2:$T$201,MATCH($B1588,Summary!$A$2:$A$201,0))</f>
        <v>78.88</v>
      </c>
      <c r="Y1588" s="0" t="str">
        <f aca="false">INDEX('Reward Model'!$E$18:$E$37,MATCH($E1588,'Reward Model'!$A$18:$A$37,0))</f>
        <v>Low</v>
      </c>
      <c r="Z1588" s="4" t="n">
        <f aca="false">ROUND(MIN(1,MAX('Reward Model'!$B$2,INDEX('Reward Model'!$C$12:$C$14,MATCH($K1588,'Reward Model'!$A$12:$A$14,0))/$J1588)),3)</f>
        <v>1</v>
      </c>
      <c r="AA1588" s="2" t="n">
        <f aca="false">IF($I1588="Correct",ROUND(INDEX('Reward Model'!$B$12:$B$14,MATCH($K1588,'Reward Model'!$A$12:$A$14,0))*Z1588,2),0)</f>
        <v>1</v>
      </c>
      <c r="AB1588" s="2" t="n">
        <f aca="false">IF($I1588="Correct",ROUND(INDEX('Reward Model'!$B$12:$B$14,MATCH($Y1588,'Reward Model'!$A$12:$A$14,0))*Z1588,2),0)</f>
        <v>1</v>
      </c>
    </row>
    <row r="1589" customFormat="false" ht="15" hidden="false" customHeight="false" outlineLevel="0" collapsed="false">
      <c r="A1589" s="0" t="s">
        <v>288</v>
      </c>
      <c r="B1589" s="0" t="s">
        <v>289</v>
      </c>
      <c r="C1589" s="0" t="s">
        <v>30</v>
      </c>
      <c r="D1589" s="0" t="s">
        <v>275</v>
      </c>
      <c r="E1589" s="0" t="n">
        <v>8</v>
      </c>
      <c r="F1589" s="0" t="s">
        <v>52</v>
      </c>
      <c r="G1589" s="0" t="s">
        <v>53</v>
      </c>
      <c r="H1589" s="0" t="s">
        <v>54</v>
      </c>
      <c r="I1589" s="0" t="s">
        <v>39</v>
      </c>
      <c r="J1589" s="0" t="n">
        <v>1.88</v>
      </c>
      <c r="K1589" s="0" t="s">
        <v>35</v>
      </c>
      <c r="L1589" s="0" t="n">
        <f aca="false">INDEX(Summary!$F$2:$F$201,MATCH($B1589,Summary!$A$2:$A$201,0))</f>
        <v>20</v>
      </c>
      <c r="M1589" s="0" t="n">
        <f aca="false">INDEX(Summary!$I$2:$I$201,MATCH($B1589,Summary!$A$2:$A$201,0))</f>
        <v>4</v>
      </c>
      <c r="N1589" s="0" t="n">
        <f aca="false">INDEX(Summary!$J$2:$J$201,MATCH($B1589,Summary!$A$2:$A$201,0))</f>
        <v>1</v>
      </c>
      <c r="O1589" s="2" t="n">
        <f aca="false">INDEX(Summary!$K$2:$K$201,MATCH($B1589,Summary!$A$2:$A$201,0))</f>
        <v>9.79</v>
      </c>
      <c r="P1589" s="3" t="n">
        <f aca="false">INDEX(Summary!$L$2:$L$201,MATCH($B1589,Summary!$A$2:$A$201,0))</f>
        <v>5</v>
      </c>
      <c r="Q1589" s="3" t="n">
        <f aca="false">INDEX(Summary!$M$2:$M$201,MATCH($B1589,Summary!$A$2:$A$201,0))</f>
        <v>1</v>
      </c>
      <c r="R1589" s="2" t="n">
        <f aca="false">INDEX(Summary!$N$2:$N$201,MATCH($B1589,Summary!$A$2:$A$201,0))</f>
        <v>10.29</v>
      </c>
      <c r="S1589" s="3" t="n">
        <f aca="false">INDEX(Summary!$O$2:$O$201,MATCH($B1589,Summary!$A$2:$A$201,0))</f>
        <v>8</v>
      </c>
      <c r="T1589" s="3" t="n">
        <f aca="false">INDEX(Summary!$P$2:$P$201,MATCH($B1589,Summary!$A$2:$A$201,0))</f>
        <v>1</v>
      </c>
      <c r="U1589" s="2" t="n">
        <f aca="false">INDEX(Summary!$Q$2:$Q$201,MATCH($B1589,Summary!$A$2:$A$201,0))</f>
        <v>13.06</v>
      </c>
      <c r="V1589" s="2" t="n">
        <f aca="false">INDEX(Summary!$R$2:$R$201,MATCH($B1589,Summary!$A$2:$A$201,0))</f>
        <v>32.34</v>
      </c>
      <c r="W1589" s="0" t="str">
        <f aca="false">INDEX(Summary!$S$2:$S$201,MATCH($B1589,Summary!$A$2:$A$201,0))</f>
        <v>Gold</v>
      </c>
      <c r="X1589" s="2" t="n">
        <f aca="false">INDEX(Summary!$T$2:$T$201,MATCH($B1589,Summary!$A$2:$A$201,0))</f>
        <v>78.88</v>
      </c>
      <c r="Y1589" s="0" t="str">
        <f aca="false">INDEX('Reward Model'!$E$18:$E$37,MATCH($E1589,'Reward Model'!$A$18:$A$37,0))</f>
        <v>Medium</v>
      </c>
      <c r="Z1589" s="4" t="n">
        <f aca="false">ROUND(MIN(1,MAX('Reward Model'!$B$2,INDEX('Reward Model'!$C$12:$C$14,MATCH($K1589,'Reward Model'!$A$12:$A$14,0))/$J1589)),3)</f>
        <v>0.798</v>
      </c>
      <c r="AA1589" s="2" t="n">
        <f aca="false">IF($I1589="Correct",ROUND(INDEX('Reward Model'!$B$12:$B$14,MATCH($K1589,'Reward Model'!$A$12:$A$14,0))*Z1589,2),0)</f>
        <v>0</v>
      </c>
      <c r="AB1589" s="2" t="n">
        <f aca="false">IF($I1589="Correct",ROUND(INDEX('Reward Model'!$B$12:$B$14,MATCH($Y1589,'Reward Model'!$A$12:$A$14,0))*Z1589,2),0)</f>
        <v>0</v>
      </c>
    </row>
    <row r="1590" customFormat="false" ht="15" hidden="false" customHeight="false" outlineLevel="0" collapsed="false">
      <c r="A1590" s="0" t="s">
        <v>288</v>
      </c>
      <c r="B1590" s="0" t="s">
        <v>289</v>
      </c>
      <c r="C1590" s="0" t="s">
        <v>30</v>
      </c>
      <c r="D1590" s="0" t="s">
        <v>275</v>
      </c>
      <c r="E1590" s="0" t="n">
        <v>9</v>
      </c>
      <c r="F1590" s="0" t="s">
        <v>55</v>
      </c>
      <c r="G1590" s="0" t="s">
        <v>57</v>
      </c>
      <c r="H1590" s="0" t="s">
        <v>57</v>
      </c>
      <c r="I1590" s="0" t="s">
        <v>34</v>
      </c>
      <c r="J1590" s="0" t="n">
        <v>1.22</v>
      </c>
      <c r="K1590" s="0" t="s">
        <v>35</v>
      </c>
      <c r="L1590" s="0" t="n">
        <f aca="false">INDEX(Summary!$F$2:$F$201,MATCH($B1590,Summary!$A$2:$A$201,0))</f>
        <v>20</v>
      </c>
      <c r="M1590" s="0" t="n">
        <f aca="false">INDEX(Summary!$I$2:$I$201,MATCH($B1590,Summary!$A$2:$A$201,0))</f>
        <v>4</v>
      </c>
      <c r="N1590" s="0" t="n">
        <f aca="false">INDEX(Summary!$J$2:$J$201,MATCH($B1590,Summary!$A$2:$A$201,0))</f>
        <v>1</v>
      </c>
      <c r="O1590" s="2" t="n">
        <f aca="false">INDEX(Summary!$K$2:$K$201,MATCH($B1590,Summary!$A$2:$A$201,0))</f>
        <v>9.79</v>
      </c>
      <c r="P1590" s="3" t="n">
        <f aca="false">INDEX(Summary!$L$2:$L$201,MATCH($B1590,Summary!$A$2:$A$201,0))</f>
        <v>5</v>
      </c>
      <c r="Q1590" s="3" t="n">
        <f aca="false">INDEX(Summary!$M$2:$M$201,MATCH($B1590,Summary!$A$2:$A$201,0))</f>
        <v>1</v>
      </c>
      <c r="R1590" s="2" t="n">
        <f aca="false">INDEX(Summary!$N$2:$N$201,MATCH($B1590,Summary!$A$2:$A$201,0))</f>
        <v>10.29</v>
      </c>
      <c r="S1590" s="3" t="n">
        <f aca="false">INDEX(Summary!$O$2:$O$201,MATCH($B1590,Summary!$A$2:$A$201,0))</f>
        <v>8</v>
      </c>
      <c r="T1590" s="3" t="n">
        <f aca="false">INDEX(Summary!$P$2:$P$201,MATCH($B1590,Summary!$A$2:$A$201,0))</f>
        <v>1</v>
      </c>
      <c r="U1590" s="2" t="n">
        <f aca="false">INDEX(Summary!$Q$2:$Q$201,MATCH($B1590,Summary!$A$2:$A$201,0))</f>
        <v>13.06</v>
      </c>
      <c r="V1590" s="2" t="n">
        <f aca="false">INDEX(Summary!$R$2:$R$201,MATCH($B1590,Summary!$A$2:$A$201,0))</f>
        <v>32.34</v>
      </c>
      <c r="W1590" s="0" t="str">
        <f aca="false">INDEX(Summary!$S$2:$S$201,MATCH($B1590,Summary!$A$2:$A$201,0))</f>
        <v>Gold</v>
      </c>
      <c r="X1590" s="2" t="n">
        <f aca="false">INDEX(Summary!$T$2:$T$201,MATCH($B1590,Summary!$A$2:$A$201,0))</f>
        <v>78.88</v>
      </c>
      <c r="Y1590" s="0" t="str">
        <f aca="false">INDEX('Reward Model'!$E$18:$E$37,MATCH($E1590,'Reward Model'!$A$18:$A$37,0))</f>
        <v>Medium</v>
      </c>
      <c r="Z1590" s="4" t="n">
        <f aca="false">ROUND(MIN(1,MAX('Reward Model'!$B$2,INDEX('Reward Model'!$C$12:$C$14,MATCH($K1590,'Reward Model'!$A$12:$A$14,0))/$J1590)),3)</f>
        <v>1</v>
      </c>
      <c r="AA1590" s="2" t="n">
        <f aca="false">IF($I1590="Correct",ROUND(INDEX('Reward Model'!$B$12:$B$14,MATCH($K1590,'Reward Model'!$A$12:$A$14,0))*Z1590,2),0)</f>
        <v>1</v>
      </c>
      <c r="AB1590" s="2" t="n">
        <f aca="false">IF($I1590="Correct",ROUND(INDEX('Reward Model'!$B$12:$B$14,MATCH($Y1590,'Reward Model'!$A$12:$A$14,0))*Z1590,2),0)</f>
        <v>2</v>
      </c>
    </row>
    <row r="1591" customFormat="false" ht="15" hidden="false" customHeight="false" outlineLevel="0" collapsed="false">
      <c r="A1591" s="0" t="s">
        <v>288</v>
      </c>
      <c r="B1591" s="0" t="s">
        <v>289</v>
      </c>
      <c r="C1591" s="0" t="s">
        <v>30</v>
      </c>
      <c r="D1591" s="0" t="s">
        <v>275</v>
      </c>
      <c r="E1591" s="0" t="n">
        <v>10</v>
      </c>
      <c r="F1591" s="0" t="s">
        <v>58</v>
      </c>
      <c r="G1591" s="0" t="s">
        <v>59</v>
      </c>
      <c r="H1591" s="0" t="s">
        <v>59</v>
      </c>
      <c r="I1591" s="0" t="s">
        <v>34</v>
      </c>
      <c r="J1591" s="0" t="n">
        <v>2.14</v>
      </c>
      <c r="K1591" s="0" t="s">
        <v>60</v>
      </c>
      <c r="L1591" s="0" t="n">
        <f aca="false">INDEX(Summary!$F$2:$F$201,MATCH($B1591,Summary!$A$2:$A$201,0))</f>
        <v>20</v>
      </c>
      <c r="M1591" s="0" t="n">
        <f aca="false">INDEX(Summary!$I$2:$I$201,MATCH($B1591,Summary!$A$2:$A$201,0))</f>
        <v>4</v>
      </c>
      <c r="N1591" s="0" t="n">
        <f aca="false">INDEX(Summary!$J$2:$J$201,MATCH($B1591,Summary!$A$2:$A$201,0))</f>
        <v>1</v>
      </c>
      <c r="O1591" s="2" t="n">
        <f aca="false">INDEX(Summary!$K$2:$K$201,MATCH($B1591,Summary!$A$2:$A$201,0))</f>
        <v>9.79</v>
      </c>
      <c r="P1591" s="3" t="n">
        <f aca="false">INDEX(Summary!$L$2:$L$201,MATCH($B1591,Summary!$A$2:$A$201,0))</f>
        <v>5</v>
      </c>
      <c r="Q1591" s="3" t="n">
        <f aca="false">INDEX(Summary!$M$2:$M$201,MATCH($B1591,Summary!$A$2:$A$201,0))</f>
        <v>1</v>
      </c>
      <c r="R1591" s="2" t="n">
        <f aca="false">INDEX(Summary!$N$2:$N$201,MATCH($B1591,Summary!$A$2:$A$201,0))</f>
        <v>10.29</v>
      </c>
      <c r="S1591" s="3" t="n">
        <f aca="false">INDEX(Summary!$O$2:$O$201,MATCH($B1591,Summary!$A$2:$A$201,0))</f>
        <v>8</v>
      </c>
      <c r="T1591" s="3" t="n">
        <f aca="false">INDEX(Summary!$P$2:$P$201,MATCH($B1591,Summary!$A$2:$A$201,0))</f>
        <v>1</v>
      </c>
      <c r="U1591" s="2" t="n">
        <f aca="false">INDEX(Summary!$Q$2:$Q$201,MATCH($B1591,Summary!$A$2:$A$201,0))</f>
        <v>13.06</v>
      </c>
      <c r="V1591" s="2" t="n">
        <f aca="false">INDEX(Summary!$R$2:$R$201,MATCH($B1591,Summary!$A$2:$A$201,0))</f>
        <v>32.34</v>
      </c>
      <c r="W1591" s="0" t="str">
        <f aca="false">INDEX(Summary!$S$2:$S$201,MATCH($B1591,Summary!$A$2:$A$201,0))</f>
        <v>Gold</v>
      </c>
      <c r="X1591" s="2" t="n">
        <f aca="false">INDEX(Summary!$T$2:$T$201,MATCH($B1591,Summary!$A$2:$A$201,0))</f>
        <v>78.88</v>
      </c>
      <c r="Y1591" s="0" t="str">
        <f aca="false">INDEX('Reward Model'!$E$18:$E$37,MATCH($E1591,'Reward Model'!$A$18:$A$37,0))</f>
        <v>Medium</v>
      </c>
      <c r="Z1591" s="4" t="n">
        <f aca="false">ROUND(MIN(1,MAX('Reward Model'!$B$2,INDEX('Reward Model'!$C$12:$C$14,MATCH($K1591,'Reward Model'!$A$12:$A$14,0))/$J1591)),3)</f>
        <v>0.841</v>
      </c>
      <c r="AA1591" s="2" t="n">
        <f aca="false">IF($I1591="Correct",ROUND(INDEX('Reward Model'!$B$12:$B$14,MATCH($K1591,'Reward Model'!$A$12:$A$14,0))*Z1591,2),0)</f>
        <v>1.68</v>
      </c>
      <c r="AB1591" s="2" t="n">
        <f aca="false">IF($I1591="Correct",ROUND(INDEX('Reward Model'!$B$12:$B$14,MATCH($Y1591,'Reward Model'!$A$12:$A$14,0))*Z1591,2),0)</f>
        <v>1.68</v>
      </c>
    </row>
    <row r="1592" customFormat="false" ht="15" hidden="false" customHeight="false" outlineLevel="0" collapsed="false">
      <c r="A1592" s="0" t="s">
        <v>288</v>
      </c>
      <c r="B1592" s="0" t="s">
        <v>289</v>
      </c>
      <c r="C1592" s="0" t="s">
        <v>30</v>
      </c>
      <c r="D1592" s="0" t="s">
        <v>275</v>
      </c>
      <c r="E1592" s="0" t="n">
        <v>11</v>
      </c>
      <c r="F1592" s="0" t="s">
        <v>61</v>
      </c>
      <c r="G1592" s="0" t="s">
        <v>63</v>
      </c>
      <c r="H1592" s="0" t="s">
        <v>63</v>
      </c>
      <c r="I1592" s="0" t="s">
        <v>34</v>
      </c>
      <c r="J1592" s="0" t="n">
        <v>2.1</v>
      </c>
      <c r="K1592" s="0" t="s">
        <v>60</v>
      </c>
      <c r="L1592" s="0" t="n">
        <f aca="false">INDEX(Summary!$F$2:$F$201,MATCH($B1592,Summary!$A$2:$A$201,0))</f>
        <v>20</v>
      </c>
      <c r="M1592" s="0" t="n">
        <f aca="false">INDEX(Summary!$I$2:$I$201,MATCH($B1592,Summary!$A$2:$A$201,0))</f>
        <v>4</v>
      </c>
      <c r="N1592" s="0" t="n">
        <f aca="false">INDEX(Summary!$J$2:$J$201,MATCH($B1592,Summary!$A$2:$A$201,0))</f>
        <v>1</v>
      </c>
      <c r="O1592" s="2" t="n">
        <f aca="false">INDEX(Summary!$K$2:$K$201,MATCH($B1592,Summary!$A$2:$A$201,0))</f>
        <v>9.79</v>
      </c>
      <c r="P1592" s="3" t="n">
        <f aca="false">INDEX(Summary!$L$2:$L$201,MATCH($B1592,Summary!$A$2:$A$201,0))</f>
        <v>5</v>
      </c>
      <c r="Q1592" s="3" t="n">
        <f aca="false">INDEX(Summary!$M$2:$M$201,MATCH($B1592,Summary!$A$2:$A$201,0))</f>
        <v>1</v>
      </c>
      <c r="R1592" s="2" t="n">
        <f aca="false">INDEX(Summary!$N$2:$N$201,MATCH($B1592,Summary!$A$2:$A$201,0))</f>
        <v>10.29</v>
      </c>
      <c r="S1592" s="3" t="n">
        <f aca="false">INDEX(Summary!$O$2:$O$201,MATCH($B1592,Summary!$A$2:$A$201,0))</f>
        <v>8</v>
      </c>
      <c r="T1592" s="3" t="n">
        <f aca="false">INDEX(Summary!$P$2:$P$201,MATCH($B1592,Summary!$A$2:$A$201,0))</f>
        <v>1</v>
      </c>
      <c r="U1592" s="2" t="n">
        <f aca="false">INDEX(Summary!$Q$2:$Q$201,MATCH($B1592,Summary!$A$2:$A$201,0))</f>
        <v>13.06</v>
      </c>
      <c r="V1592" s="2" t="n">
        <f aca="false">INDEX(Summary!$R$2:$R$201,MATCH($B1592,Summary!$A$2:$A$201,0))</f>
        <v>32.34</v>
      </c>
      <c r="W1592" s="0" t="str">
        <f aca="false">INDEX(Summary!$S$2:$S$201,MATCH($B1592,Summary!$A$2:$A$201,0))</f>
        <v>Gold</v>
      </c>
      <c r="X1592" s="2" t="n">
        <f aca="false">INDEX(Summary!$T$2:$T$201,MATCH($B1592,Summary!$A$2:$A$201,0))</f>
        <v>78.88</v>
      </c>
      <c r="Y1592" s="0" t="str">
        <f aca="false">INDEX('Reward Model'!$E$18:$E$37,MATCH($E1592,'Reward Model'!$A$18:$A$37,0))</f>
        <v>Medium</v>
      </c>
      <c r="Z1592" s="4" t="n">
        <f aca="false">ROUND(MIN(1,MAX('Reward Model'!$B$2,INDEX('Reward Model'!$C$12:$C$14,MATCH($K1592,'Reward Model'!$A$12:$A$14,0))/$J1592)),3)</f>
        <v>0.857</v>
      </c>
      <c r="AA1592" s="2" t="n">
        <f aca="false">IF($I1592="Correct",ROUND(INDEX('Reward Model'!$B$12:$B$14,MATCH($K1592,'Reward Model'!$A$12:$A$14,0))*Z1592,2),0)</f>
        <v>1.71</v>
      </c>
      <c r="AB1592" s="2" t="n">
        <f aca="false">IF($I1592="Correct",ROUND(INDEX('Reward Model'!$B$12:$B$14,MATCH($Y1592,'Reward Model'!$A$12:$A$14,0))*Z1592,2),0)</f>
        <v>1.71</v>
      </c>
    </row>
    <row r="1593" customFormat="false" ht="15" hidden="false" customHeight="false" outlineLevel="0" collapsed="false">
      <c r="A1593" s="0" t="s">
        <v>288</v>
      </c>
      <c r="B1593" s="0" t="s">
        <v>289</v>
      </c>
      <c r="C1593" s="0" t="s">
        <v>30</v>
      </c>
      <c r="D1593" s="0" t="s">
        <v>275</v>
      </c>
      <c r="E1593" s="0" t="n">
        <v>12</v>
      </c>
      <c r="F1593" s="0" t="s">
        <v>64</v>
      </c>
      <c r="G1593" s="0" t="s">
        <v>65</v>
      </c>
      <c r="H1593" s="0" t="s">
        <v>65</v>
      </c>
      <c r="I1593" s="0" t="s">
        <v>34</v>
      </c>
      <c r="J1593" s="0" t="n">
        <v>1.72</v>
      </c>
      <c r="K1593" s="0" t="s">
        <v>60</v>
      </c>
      <c r="L1593" s="0" t="n">
        <f aca="false">INDEX(Summary!$F$2:$F$201,MATCH($B1593,Summary!$A$2:$A$201,0))</f>
        <v>20</v>
      </c>
      <c r="M1593" s="0" t="n">
        <f aca="false">INDEX(Summary!$I$2:$I$201,MATCH($B1593,Summary!$A$2:$A$201,0))</f>
        <v>4</v>
      </c>
      <c r="N1593" s="0" t="n">
        <f aca="false">INDEX(Summary!$J$2:$J$201,MATCH($B1593,Summary!$A$2:$A$201,0))</f>
        <v>1</v>
      </c>
      <c r="O1593" s="2" t="n">
        <f aca="false">INDEX(Summary!$K$2:$K$201,MATCH($B1593,Summary!$A$2:$A$201,0))</f>
        <v>9.79</v>
      </c>
      <c r="P1593" s="3" t="n">
        <f aca="false">INDEX(Summary!$L$2:$L$201,MATCH($B1593,Summary!$A$2:$A$201,0))</f>
        <v>5</v>
      </c>
      <c r="Q1593" s="3" t="n">
        <f aca="false">INDEX(Summary!$M$2:$M$201,MATCH($B1593,Summary!$A$2:$A$201,0))</f>
        <v>1</v>
      </c>
      <c r="R1593" s="2" t="n">
        <f aca="false">INDEX(Summary!$N$2:$N$201,MATCH($B1593,Summary!$A$2:$A$201,0))</f>
        <v>10.29</v>
      </c>
      <c r="S1593" s="3" t="n">
        <f aca="false">INDEX(Summary!$O$2:$O$201,MATCH($B1593,Summary!$A$2:$A$201,0))</f>
        <v>8</v>
      </c>
      <c r="T1593" s="3" t="n">
        <f aca="false">INDEX(Summary!$P$2:$P$201,MATCH($B1593,Summary!$A$2:$A$201,0))</f>
        <v>1</v>
      </c>
      <c r="U1593" s="2" t="n">
        <f aca="false">INDEX(Summary!$Q$2:$Q$201,MATCH($B1593,Summary!$A$2:$A$201,0))</f>
        <v>13.06</v>
      </c>
      <c r="V1593" s="2" t="n">
        <f aca="false">INDEX(Summary!$R$2:$R$201,MATCH($B1593,Summary!$A$2:$A$201,0))</f>
        <v>32.34</v>
      </c>
      <c r="W1593" s="0" t="str">
        <f aca="false">INDEX(Summary!$S$2:$S$201,MATCH($B1593,Summary!$A$2:$A$201,0))</f>
        <v>Gold</v>
      </c>
      <c r="X1593" s="2" t="n">
        <f aca="false">INDEX(Summary!$T$2:$T$201,MATCH($B1593,Summary!$A$2:$A$201,0))</f>
        <v>78.88</v>
      </c>
      <c r="Y1593" s="0" t="str">
        <f aca="false">INDEX('Reward Model'!$E$18:$E$37,MATCH($E1593,'Reward Model'!$A$18:$A$37,0))</f>
        <v>Medium</v>
      </c>
      <c r="Z1593" s="4" t="n">
        <f aca="false">ROUND(MIN(1,MAX('Reward Model'!$B$2,INDEX('Reward Model'!$C$12:$C$14,MATCH($K1593,'Reward Model'!$A$12:$A$14,0))/$J1593)),3)</f>
        <v>1</v>
      </c>
      <c r="AA1593" s="2" t="n">
        <f aca="false">IF($I1593="Correct",ROUND(INDEX('Reward Model'!$B$12:$B$14,MATCH($K1593,'Reward Model'!$A$12:$A$14,0))*Z1593,2),0)</f>
        <v>2</v>
      </c>
      <c r="AB1593" s="2" t="n">
        <f aca="false">IF($I1593="Correct",ROUND(INDEX('Reward Model'!$B$12:$B$14,MATCH($Y1593,'Reward Model'!$A$12:$A$14,0))*Z1593,2),0)</f>
        <v>2</v>
      </c>
    </row>
    <row r="1594" customFormat="false" ht="15" hidden="false" customHeight="false" outlineLevel="0" collapsed="false">
      <c r="A1594" s="0" t="s">
        <v>288</v>
      </c>
      <c r="B1594" s="0" t="s">
        <v>289</v>
      </c>
      <c r="C1594" s="0" t="s">
        <v>30</v>
      </c>
      <c r="D1594" s="0" t="s">
        <v>275</v>
      </c>
      <c r="E1594" s="0" t="n">
        <v>13</v>
      </c>
      <c r="F1594" s="0" t="s">
        <v>66</v>
      </c>
      <c r="G1594" s="0" t="s">
        <v>67</v>
      </c>
      <c r="H1594" s="0" t="s">
        <v>67</v>
      </c>
      <c r="I1594" s="0" t="s">
        <v>34</v>
      </c>
      <c r="J1594" s="0" t="n">
        <v>1.33</v>
      </c>
      <c r="K1594" s="0" t="s">
        <v>60</v>
      </c>
      <c r="L1594" s="0" t="n">
        <f aca="false">INDEX(Summary!$F$2:$F$201,MATCH($B1594,Summary!$A$2:$A$201,0))</f>
        <v>20</v>
      </c>
      <c r="M1594" s="0" t="n">
        <f aca="false">INDEX(Summary!$I$2:$I$201,MATCH($B1594,Summary!$A$2:$A$201,0))</f>
        <v>4</v>
      </c>
      <c r="N1594" s="0" t="n">
        <f aca="false">INDEX(Summary!$J$2:$J$201,MATCH($B1594,Summary!$A$2:$A$201,0))</f>
        <v>1</v>
      </c>
      <c r="O1594" s="2" t="n">
        <f aca="false">INDEX(Summary!$K$2:$K$201,MATCH($B1594,Summary!$A$2:$A$201,0))</f>
        <v>9.79</v>
      </c>
      <c r="P1594" s="3" t="n">
        <f aca="false">INDEX(Summary!$L$2:$L$201,MATCH($B1594,Summary!$A$2:$A$201,0))</f>
        <v>5</v>
      </c>
      <c r="Q1594" s="3" t="n">
        <f aca="false">INDEX(Summary!$M$2:$M$201,MATCH($B1594,Summary!$A$2:$A$201,0))</f>
        <v>1</v>
      </c>
      <c r="R1594" s="2" t="n">
        <f aca="false">INDEX(Summary!$N$2:$N$201,MATCH($B1594,Summary!$A$2:$A$201,0))</f>
        <v>10.29</v>
      </c>
      <c r="S1594" s="3" t="n">
        <f aca="false">INDEX(Summary!$O$2:$O$201,MATCH($B1594,Summary!$A$2:$A$201,0))</f>
        <v>8</v>
      </c>
      <c r="T1594" s="3" t="n">
        <f aca="false">INDEX(Summary!$P$2:$P$201,MATCH($B1594,Summary!$A$2:$A$201,0))</f>
        <v>1</v>
      </c>
      <c r="U1594" s="2" t="n">
        <f aca="false">INDEX(Summary!$Q$2:$Q$201,MATCH($B1594,Summary!$A$2:$A$201,0))</f>
        <v>13.06</v>
      </c>
      <c r="V1594" s="2" t="n">
        <f aca="false">INDEX(Summary!$R$2:$R$201,MATCH($B1594,Summary!$A$2:$A$201,0))</f>
        <v>32.34</v>
      </c>
      <c r="W1594" s="0" t="str">
        <f aca="false">INDEX(Summary!$S$2:$S$201,MATCH($B1594,Summary!$A$2:$A$201,0))</f>
        <v>Gold</v>
      </c>
      <c r="X1594" s="2" t="n">
        <f aca="false">INDEX(Summary!$T$2:$T$201,MATCH($B1594,Summary!$A$2:$A$201,0))</f>
        <v>78.88</v>
      </c>
      <c r="Y1594" s="0" t="str">
        <f aca="false">INDEX('Reward Model'!$E$18:$E$37,MATCH($E1594,'Reward Model'!$A$18:$A$37,0))</f>
        <v>Medium</v>
      </c>
      <c r="Z1594" s="4" t="n">
        <f aca="false">ROUND(MIN(1,MAX('Reward Model'!$B$2,INDEX('Reward Model'!$C$12:$C$14,MATCH($K1594,'Reward Model'!$A$12:$A$14,0))/$J1594)),3)</f>
        <v>1</v>
      </c>
      <c r="AA1594" s="2" t="n">
        <f aca="false">IF($I1594="Correct",ROUND(INDEX('Reward Model'!$B$12:$B$14,MATCH($K1594,'Reward Model'!$A$12:$A$14,0))*Z1594,2),0)</f>
        <v>2</v>
      </c>
      <c r="AB1594" s="2" t="n">
        <f aca="false">IF($I1594="Correct",ROUND(INDEX('Reward Model'!$B$12:$B$14,MATCH($Y1594,'Reward Model'!$A$12:$A$14,0))*Z1594,2),0)</f>
        <v>2</v>
      </c>
    </row>
    <row r="1595" customFormat="false" ht="15" hidden="false" customHeight="false" outlineLevel="0" collapsed="false">
      <c r="A1595" s="0" t="s">
        <v>288</v>
      </c>
      <c r="B1595" s="0" t="s">
        <v>289</v>
      </c>
      <c r="C1595" s="0" t="s">
        <v>30</v>
      </c>
      <c r="D1595" s="0" t="s">
        <v>275</v>
      </c>
      <c r="E1595" s="0" t="n">
        <v>14</v>
      </c>
      <c r="F1595" s="0" t="s">
        <v>68</v>
      </c>
      <c r="G1595" s="0" t="s">
        <v>51</v>
      </c>
      <c r="H1595" s="0" t="s">
        <v>51</v>
      </c>
      <c r="I1595" s="0" t="s">
        <v>34</v>
      </c>
      <c r="J1595" s="0" t="n">
        <v>1.53</v>
      </c>
      <c r="K1595" s="0" t="s">
        <v>60</v>
      </c>
      <c r="L1595" s="0" t="n">
        <f aca="false">INDEX(Summary!$F$2:$F$201,MATCH($B1595,Summary!$A$2:$A$201,0))</f>
        <v>20</v>
      </c>
      <c r="M1595" s="0" t="n">
        <f aca="false">INDEX(Summary!$I$2:$I$201,MATCH($B1595,Summary!$A$2:$A$201,0))</f>
        <v>4</v>
      </c>
      <c r="N1595" s="0" t="n">
        <f aca="false">INDEX(Summary!$J$2:$J$201,MATCH($B1595,Summary!$A$2:$A$201,0))</f>
        <v>1</v>
      </c>
      <c r="O1595" s="2" t="n">
        <f aca="false">INDEX(Summary!$K$2:$K$201,MATCH($B1595,Summary!$A$2:$A$201,0))</f>
        <v>9.79</v>
      </c>
      <c r="P1595" s="3" t="n">
        <f aca="false">INDEX(Summary!$L$2:$L$201,MATCH($B1595,Summary!$A$2:$A$201,0))</f>
        <v>5</v>
      </c>
      <c r="Q1595" s="3" t="n">
        <f aca="false">INDEX(Summary!$M$2:$M$201,MATCH($B1595,Summary!$A$2:$A$201,0))</f>
        <v>1</v>
      </c>
      <c r="R1595" s="2" t="n">
        <f aca="false">INDEX(Summary!$N$2:$N$201,MATCH($B1595,Summary!$A$2:$A$201,0))</f>
        <v>10.29</v>
      </c>
      <c r="S1595" s="3" t="n">
        <f aca="false">INDEX(Summary!$O$2:$O$201,MATCH($B1595,Summary!$A$2:$A$201,0))</f>
        <v>8</v>
      </c>
      <c r="T1595" s="3" t="n">
        <f aca="false">INDEX(Summary!$P$2:$P$201,MATCH($B1595,Summary!$A$2:$A$201,0))</f>
        <v>1</v>
      </c>
      <c r="U1595" s="2" t="n">
        <f aca="false">INDEX(Summary!$Q$2:$Q$201,MATCH($B1595,Summary!$A$2:$A$201,0))</f>
        <v>13.06</v>
      </c>
      <c r="V1595" s="2" t="n">
        <f aca="false">INDEX(Summary!$R$2:$R$201,MATCH($B1595,Summary!$A$2:$A$201,0))</f>
        <v>32.34</v>
      </c>
      <c r="W1595" s="0" t="str">
        <f aca="false">INDEX(Summary!$S$2:$S$201,MATCH($B1595,Summary!$A$2:$A$201,0))</f>
        <v>Gold</v>
      </c>
      <c r="X1595" s="2" t="n">
        <f aca="false">INDEX(Summary!$T$2:$T$201,MATCH($B1595,Summary!$A$2:$A$201,0))</f>
        <v>78.88</v>
      </c>
      <c r="Y1595" s="0" t="str">
        <f aca="false">INDEX('Reward Model'!$E$18:$E$37,MATCH($E1595,'Reward Model'!$A$18:$A$37,0))</f>
        <v>Medium</v>
      </c>
      <c r="Z1595" s="4" t="n">
        <f aca="false">ROUND(MIN(1,MAX('Reward Model'!$B$2,INDEX('Reward Model'!$C$12:$C$14,MATCH($K1595,'Reward Model'!$A$12:$A$14,0))/$J1595)),3)</f>
        <v>1</v>
      </c>
      <c r="AA1595" s="2" t="n">
        <f aca="false">IF($I1595="Correct",ROUND(INDEX('Reward Model'!$B$12:$B$14,MATCH($K1595,'Reward Model'!$A$12:$A$14,0))*Z1595,2),0)</f>
        <v>2</v>
      </c>
      <c r="AB1595" s="2" t="n">
        <f aca="false">IF($I1595="Correct",ROUND(INDEX('Reward Model'!$B$12:$B$14,MATCH($Y1595,'Reward Model'!$A$12:$A$14,0))*Z1595,2),0)</f>
        <v>2</v>
      </c>
    </row>
    <row r="1596" customFormat="false" ht="15" hidden="false" customHeight="false" outlineLevel="0" collapsed="false">
      <c r="A1596" s="0" t="s">
        <v>288</v>
      </c>
      <c r="B1596" s="0" t="s">
        <v>289</v>
      </c>
      <c r="C1596" s="0" t="s">
        <v>30</v>
      </c>
      <c r="D1596" s="0" t="s">
        <v>275</v>
      </c>
      <c r="E1596" s="0" t="n">
        <v>15</v>
      </c>
      <c r="F1596" s="0" t="s">
        <v>69</v>
      </c>
      <c r="G1596" s="0" t="s">
        <v>94</v>
      </c>
      <c r="H1596" s="0" t="s">
        <v>70</v>
      </c>
      <c r="I1596" s="0" t="s">
        <v>39</v>
      </c>
      <c r="J1596" s="0" t="n">
        <v>1.47</v>
      </c>
      <c r="K1596" s="0" t="s">
        <v>60</v>
      </c>
      <c r="L1596" s="0" t="n">
        <f aca="false">INDEX(Summary!$F$2:$F$201,MATCH($B1596,Summary!$A$2:$A$201,0))</f>
        <v>20</v>
      </c>
      <c r="M1596" s="0" t="n">
        <f aca="false">INDEX(Summary!$I$2:$I$201,MATCH($B1596,Summary!$A$2:$A$201,0))</f>
        <v>4</v>
      </c>
      <c r="N1596" s="0" t="n">
        <f aca="false">INDEX(Summary!$J$2:$J$201,MATCH($B1596,Summary!$A$2:$A$201,0))</f>
        <v>1</v>
      </c>
      <c r="O1596" s="2" t="n">
        <f aca="false">INDEX(Summary!$K$2:$K$201,MATCH($B1596,Summary!$A$2:$A$201,0))</f>
        <v>9.79</v>
      </c>
      <c r="P1596" s="3" t="n">
        <f aca="false">INDEX(Summary!$L$2:$L$201,MATCH($B1596,Summary!$A$2:$A$201,0))</f>
        <v>5</v>
      </c>
      <c r="Q1596" s="3" t="n">
        <f aca="false">INDEX(Summary!$M$2:$M$201,MATCH($B1596,Summary!$A$2:$A$201,0))</f>
        <v>1</v>
      </c>
      <c r="R1596" s="2" t="n">
        <f aca="false">INDEX(Summary!$N$2:$N$201,MATCH($B1596,Summary!$A$2:$A$201,0))</f>
        <v>10.29</v>
      </c>
      <c r="S1596" s="3" t="n">
        <f aca="false">INDEX(Summary!$O$2:$O$201,MATCH($B1596,Summary!$A$2:$A$201,0))</f>
        <v>8</v>
      </c>
      <c r="T1596" s="3" t="n">
        <f aca="false">INDEX(Summary!$P$2:$P$201,MATCH($B1596,Summary!$A$2:$A$201,0))</f>
        <v>1</v>
      </c>
      <c r="U1596" s="2" t="n">
        <f aca="false">INDEX(Summary!$Q$2:$Q$201,MATCH($B1596,Summary!$A$2:$A$201,0))</f>
        <v>13.06</v>
      </c>
      <c r="V1596" s="2" t="n">
        <f aca="false">INDEX(Summary!$R$2:$R$201,MATCH($B1596,Summary!$A$2:$A$201,0))</f>
        <v>32.34</v>
      </c>
      <c r="W1596" s="0" t="str">
        <f aca="false">INDEX(Summary!$S$2:$S$201,MATCH($B1596,Summary!$A$2:$A$201,0))</f>
        <v>Gold</v>
      </c>
      <c r="X1596" s="2" t="n">
        <f aca="false">INDEX(Summary!$T$2:$T$201,MATCH($B1596,Summary!$A$2:$A$201,0))</f>
        <v>78.88</v>
      </c>
      <c r="Y1596" s="0" t="str">
        <f aca="false">INDEX('Reward Model'!$E$18:$E$37,MATCH($E1596,'Reward Model'!$A$18:$A$37,0))</f>
        <v>Medium</v>
      </c>
      <c r="Z1596" s="4" t="n">
        <f aca="false">ROUND(MIN(1,MAX('Reward Model'!$B$2,INDEX('Reward Model'!$C$12:$C$14,MATCH($K1596,'Reward Model'!$A$12:$A$14,0))/$J1596)),3)</f>
        <v>1</v>
      </c>
      <c r="AA1596" s="2" t="n">
        <f aca="false">IF($I1596="Correct",ROUND(INDEX('Reward Model'!$B$12:$B$14,MATCH($K1596,'Reward Model'!$A$12:$A$14,0))*Z1596,2),0)</f>
        <v>0</v>
      </c>
      <c r="AB1596" s="2" t="n">
        <f aca="false">IF($I1596="Correct",ROUND(INDEX('Reward Model'!$B$12:$B$14,MATCH($Y1596,'Reward Model'!$A$12:$A$14,0))*Z1596,2),0)</f>
        <v>0</v>
      </c>
    </row>
    <row r="1597" customFormat="false" ht="15" hidden="false" customHeight="false" outlineLevel="0" collapsed="false">
      <c r="A1597" s="0" t="s">
        <v>288</v>
      </c>
      <c r="B1597" s="0" t="s">
        <v>289</v>
      </c>
      <c r="C1597" s="0" t="s">
        <v>30</v>
      </c>
      <c r="D1597" s="0" t="s">
        <v>275</v>
      </c>
      <c r="E1597" s="0" t="n">
        <v>16</v>
      </c>
      <c r="F1597" s="0" t="s">
        <v>71</v>
      </c>
      <c r="G1597" s="0" t="s">
        <v>72</v>
      </c>
      <c r="H1597" s="0" t="s">
        <v>72</v>
      </c>
      <c r="I1597" s="0" t="s">
        <v>34</v>
      </c>
      <c r="J1597" s="0" t="n">
        <v>2.14</v>
      </c>
      <c r="K1597" s="0" t="s">
        <v>73</v>
      </c>
      <c r="L1597" s="0" t="n">
        <f aca="false">INDEX(Summary!$F$2:$F$201,MATCH($B1597,Summary!$A$2:$A$201,0))</f>
        <v>20</v>
      </c>
      <c r="M1597" s="0" t="n">
        <f aca="false">INDEX(Summary!$I$2:$I$201,MATCH($B1597,Summary!$A$2:$A$201,0))</f>
        <v>4</v>
      </c>
      <c r="N1597" s="0" t="n">
        <f aca="false">INDEX(Summary!$J$2:$J$201,MATCH($B1597,Summary!$A$2:$A$201,0))</f>
        <v>1</v>
      </c>
      <c r="O1597" s="2" t="n">
        <f aca="false">INDEX(Summary!$K$2:$K$201,MATCH($B1597,Summary!$A$2:$A$201,0))</f>
        <v>9.79</v>
      </c>
      <c r="P1597" s="3" t="n">
        <f aca="false">INDEX(Summary!$L$2:$L$201,MATCH($B1597,Summary!$A$2:$A$201,0))</f>
        <v>5</v>
      </c>
      <c r="Q1597" s="3" t="n">
        <f aca="false">INDEX(Summary!$M$2:$M$201,MATCH($B1597,Summary!$A$2:$A$201,0))</f>
        <v>1</v>
      </c>
      <c r="R1597" s="2" t="n">
        <f aca="false">INDEX(Summary!$N$2:$N$201,MATCH($B1597,Summary!$A$2:$A$201,0))</f>
        <v>10.29</v>
      </c>
      <c r="S1597" s="3" t="n">
        <f aca="false">INDEX(Summary!$O$2:$O$201,MATCH($B1597,Summary!$A$2:$A$201,0))</f>
        <v>8</v>
      </c>
      <c r="T1597" s="3" t="n">
        <f aca="false">INDEX(Summary!$P$2:$P$201,MATCH($B1597,Summary!$A$2:$A$201,0))</f>
        <v>1</v>
      </c>
      <c r="U1597" s="2" t="n">
        <f aca="false">INDEX(Summary!$Q$2:$Q$201,MATCH($B1597,Summary!$A$2:$A$201,0))</f>
        <v>13.06</v>
      </c>
      <c r="V1597" s="2" t="n">
        <f aca="false">INDEX(Summary!$R$2:$R$201,MATCH($B1597,Summary!$A$2:$A$201,0))</f>
        <v>32.34</v>
      </c>
      <c r="W1597" s="0" t="str">
        <f aca="false">INDEX(Summary!$S$2:$S$201,MATCH($B1597,Summary!$A$2:$A$201,0))</f>
        <v>Gold</v>
      </c>
      <c r="X1597" s="2" t="n">
        <f aca="false">INDEX(Summary!$T$2:$T$201,MATCH($B1597,Summary!$A$2:$A$201,0))</f>
        <v>78.88</v>
      </c>
      <c r="Y1597" s="0" t="str">
        <f aca="false">INDEX('Reward Model'!$E$18:$E$37,MATCH($E1597,'Reward Model'!$A$18:$A$37,0))</f>
        <v>High</v>
      </c>
      <c r="Z1597" s="4" t="n">
        <f aca="false">ROUND(MIN(1,MAX('Reward Model'!$B$2,INDEX('Reward Model'!$C$12:$C$14,MATCH($K1597,'Reward Model'!$A$12:$A$14,0))/$J1597)),3)</f>
        <v>0.935</v>
      </c>
      <c r="AA1597" s="2" t="n">
        <f aca="false">IF($I1597="Correct",ROUND(INDEX('Reward Model'!$B$12:$B$14,MATCH($K1597,'Reward Model'!$A$12:$A$14,0))*Z1597,2),0)</f>
        <v>2.81</v>
      </c>
      <c r="AB1597" s="2" t="n">
        <f aca="false">IF($I1597="Correct",ROUND(INDEX('Reward Model'!$B$12:$B$14,MATCH($Y1597,'Reward Model'!$A$12:$A$14,0))*Z1597,2),0)</f>
        <v>2.81</v>
      </c>
    </row>
    <row r="1598" customFormat="false" ht="15" hidden="false" customHeight="false" outlineLevel="0" collapsed="false">
      <c r="A1598" s="0" t="s">
        <v>288</v>
      </c>
      <c r="B1598" s="0" t="s">
        <v>289</v>
      </c>
      <c r="C1598" s="0" t="s">
        <v>30</v>
      </c>
      <c r="D1598" s="0" t="s">
        <v>275</v>
      </c>
      <c r="E1598" s="0" t="n">
        <v>17</v>
      </c>
      <c r="F1598" s="0" t="s">
        <v>74</v>
      </c>
      <c r="G1598" s="0" t="s">
        <v>91</v>
      </c>
      <c r="H1598" s="0" t="s">
        <v>75</v>
      </c>
      <c r="I1598" s="0" t="s">
        <v>39</v>
      </c>
      <c r="J1598" s="0" t="n">
        <v>2.55</v>
      </c>
      <c r="K1598" s="0" t="s">
        <v>73</v>
      </c>
      <c r="L1598" s="0" t="n">
        <f aca="false">INDEX(Summary!$F$2:$F$201,MATCH($B1598,Summary!$A$2:$A$201,0))</f>
        <v>20</v>
      </c>
      <c r="M1598" s="0" t="n">
        <f aca="false">INDEX(Summary!$I$2:$I$201,MATCH($B1598,Summary!$A$2:$A$201,0))</f>
        <v>4</v>
      </c>
      <c r="N1598" s="0" t="n">
        <f aca="false">INDEX(Summary!$J$2:$J$201,MATCH($B1598,Summary!$A$2:$A$201,0))</f>
        <v>1</v>
      </c>
      <c r="O1598" s="2" t="n">
        <f aca="false">INDEX(Summary!$K$2:$K$201,MATCH($B1598,Summary!$A$2:$A$201,0))</f>
        <v>9.79</v>
      </c>
      <c r="P1598" s="3" t="n">
        <f aca="false">INDEX(Summary!$L$2:$L$201,MATCH($B1598,Summary!$A$2:$A$201,0))</f>
        <v>5</v>
      </c>
      <c r="Q1598" s="3" t="n">
        <f aca="false">INDEX(Summary!$M$2:$M$201,MATCH($B1598,Summary!$A$2:$A$201,0))</f>
        <v>1</v>
      </c>
      <c r="R1598" s="2" t="n">
        <f aca="false">INDEX(Summary!$N$2:$N$201,MATCH($B1598,Summary!$A$2:$A$201,0))</f>
        <v>10.29</v>
      </c>
      <c r="S1598" s="3" t="n">
        <f aca="false">INDEX(Summary!$O$2:$O$201,MATCH($B1598,Summary!$A$2:$A$201,0))</f>
        <v>8</v>
      </c>
      <c r="T1598" s="3" t="n">
        <f aca="false">INDEX(Summary!$P$2:$P$201,MATCH($B1598,Summary!$A$2:$A$201,0))</f>
        <v>1</v>
      </c>
      <c r="U1598" s="2" t="n">
        <f aca="false">INDEX(Summary!$Q$2:$Q$201,MATCH($B1598,Summary!$A$2:$A$201,0))</f>
        <v>13.06</v>
      </c>
      <c r="V1598" s="2" t="n">
        <f aca="false">INDEX(Summary!$R$2:$R$201,MATCH($B1598,Summary!$A$2:$A$201,0))</f>
        <v>32.34</v>
      </c>
      <c r="W1598" s="0" t="str">
        <f aca="false">INDEX(Summary!$S$2:$S$201,MATCH($B1598,Summary!$A$2:$A$201,0))</f>
        <v>Gold</v>
      </c>
      <c r="X1598" s="2" t="n">
        <f aca="false">INDEX(Summary!$T$2:$T$201,MATCH($B1598,Summary!$A$2:$A$201,0))</f>
        <v>78.88</v>
      </c>
      <c r="Y1598" s="0" t="str">
        <f aca="false">INDEX('Reward Model'!$E$18:$E$37,MATCH($E1598,'Reward Model'!$A$18:$A$37,0))</f>
        <v>High</v>
      </c>
      <c r="Z1598" s="4" t="n">
        <f aca="false">ROUND(MIN(1,MAX('Reward Model'!$B$2,INDEX('Reward Model'!$C$12:$C$14,MATCH($K1598,'Reward Model'!$A$12:$A$14,0))/$J1598)),3)</f>
        <v>0.784</v>
      </c>
      <c r="AA1598" s="2" t="n">
        <f aca="false">IF($I1598="Correct",ROUND(INDEX('Reward Model'!$B$12:$B$14,MATCH($K1598,'Reward Model'!$A$12:$A$14,0))*Z1598,2),0)</f>
        <v>0</v>
      </c>
      <c r="AB1598" s="2" t="n">
        <f aca="false">IF($I1598="Correct",ROUND(INDEX('Reward Model'!$B$12:$B$14,MATCH($Y1598,'Reward Model'!$A$12:$A$14,0))*Z1598,2),0)</f>
        <v>0</v>
      </c>
    </row>
    <row r="1599" customFormat="false" ht="15" hidden="false" customHeight="false" outlineLevel="0" collapsed="false">
      <c r="A1599" s="0" t="s">
        <v>288</v>
      </c>
      <c r="B1599" s="0" t="s">
        <v>289</v>
      </c>
      <c r="C1599" s="0" t="s">
        <v>30</v>
      </c>
      <c r="D1599" s="0" t="s">
        <v>275</v>
      </c>
      <c r="E1599" s="0" t="n">
        <v>18</v>
      </c>
      <c r="F1599" s="0" t="s">
        <v>76</v>
      </c>
      <c r="G1599" s="0" t="s">
        <v>77</v>
      </c>
      <c r="H1599" s="0" t="s">
        <v>77</v>
      </c>
      <c r="I1599" s="0" t="s">
        <v>34</v>
      </c>
      <c r="J1599" s="0" t="n">
        <v>1.85</v>
      </c>
      <c r="K1599" s="0" t="s">
        <v>73</v>
      </c>
      <c r="L1599" s="0" t="n">
        <f aca="false">INDEX(Summary!$F$2:$F$201,MATCH($B1599,Summary!$A$2:$A$201,0))</f>
        <v>20</v>
      </c>
      <c r="M1599" s="0" t="n">
        <f aca="false">INDEX(Summary!$I$2:$I$201,MATCH($B1599,Summary!$A$2:$A$201,0))</f>
        <v>4</v>
      </c>
      <c r="N1599" s="0" t="n">
        <f aca="false">INDEX(Summary!$J$2:$J$201,MATCH($B1599,Summary!$A$2:$A$201,0))</f>
        <v>1</v>
      </c>
      <c r="O1599" s="2" t="n">
        <f aca="false">INDEX(Summary!$K$2:$K$201,MATCH($B1599,Summary!$A$2:$A$201,0))</f>
        <v>9.79</v>
      </c>
      <c r="P1599" s="3" t="n">
        <f aca="false">INDEX(Summary!$L$2:$L$201,MATCH($B1599,Summary!$A$2:$A$201,0))</f>
        <v>5</v>
      </c>
      <c r="Q1599" s="3" t="n">
        <f aca="false">INDEX(Summary!$M$2:$M$201,MATCH($B1599,Summary!$A$2:$A$201,0))</f>
        <v>1</v>
      </c>
      <c r="R1599" s="2" t="n">
        <f aca="false">INDEX(Summary!$N$2:$N$201,MATCH($B1599,Summary!$A$2:$A$201,0))</f>
        <v>10.29</v>
      </c>
      <c r="S1599" s="3" t="n">
        <f aca="false">INDEX(Summary!$O$2:$O$201,MATCH($B1599,Summary!$A$2:$A$201,0))</f>
        <v>8</v>
      </c>
      <c r="T1599" s="3" t="n">
        <f aca="false">INDEX(Summary!$P$2:$P$201,MATCH($B1599,Summary!$A$2:$A$201,0))</f>
        <v>1</v>
      </c>
      <c r="U1599" s="2" t="n">
        <f aca="false">INDEX(Summary!$Q$2:$Q$201,MATCH($B1599,Summary!$A$2:$A$201,0))</f>
        <v>13.06</v>
      </c>
      <c r="V1599" s="2" t="n">
        <f aca="false">INDEX(Summary!$R$2:$R$201,MATCH($B1599,Summary!$A$2:$A$201,0))</f>
        <v>32.34</v>
      </c>
      <c r="W1599" s="0" t="str">
        <f aca="false">INDEX(Summary!$S$2:$S$201,MATCH($B1599,Summary!$A$2:$A$201,0))</f>
        <v>Gold</v>
      </c>
      <c r="X1599" s="2" t="n">
        <f aca="false">INDEX(Summary!$T$2:$T$201,MATCH($B1599,Summary!$A$2:$A$201,0))</f>
        <v>78.88</v>
      </c>
      <c r="Y1599" s="0" t="str">
        <f aca="false">INDEX('Reward Model'!$E$18:$E$37,MATCH($E1599,'Reward Model'!$A$18:$A$37,0))</f>
        <v>High</v>
      </c>
      <c r="Z1599" s="4" t="n">
        <f aca="false">ROUND(MIN(1,MAX('Reward Model'!$B$2,INDEX('Reward Model'!$C$12:$C$14,MATCH($K1599,'Reward Model'!$A$12:$A$14,0))/$J1599)),3)</f>
        <v>1</v>
      </c>
      <c r="AA1599" s="2" t="n">
        <f aca="false">IF($I1599="Correct",ROUND(INDEX('Reward Model'!$B$12:$B$14,MATCH($K1599,'Reward Model'!$A$12:$A$14,0))*Z1599,2),0)</f>
        <v>3</v>
      </c>
      <c r="AB1599" s="2" t="n">
        <f aca="false">IF($I1599="Correct",ROUND(INDEX('Reward Model'!$B$12:$B$14,MATCH($Y1599,'Reward Model'!$A$12:$A$14,0))*Z1599,2),0)</f>
        <v>3</v>
      </c>
    </row>
    <row r="1600" customFormat="false" ht="15" hidden="false" customHeight="false" outlineLevel="0" collapsed="false">
      <c r="A1600" s="0" t="s">
        <v>288</v>
      </c>
      <c r="B1600" s="0" t="s">
        <v>289</v>
      </c>
      <c r="C1600" s="0" t="s">
        <v>30</v>
      </c>
      <c r="D1600" s="0" t="s">
        <v>275</v>
      </c>
      <c r="E1600" s="0" t="n">
        <v>19</v>
      </c>
      <c r="F1600" s="0" t="s">
        <v>78</v>
      </c>
      <c r="G1600" s="0" t="s">
        <v>80</v>
      </c>
      <c r="H1600" s="0" t="s">
        <v>80</v>
      </c>
      <c r="I1600" s="0" t="s">
        <v>34</v>
      </c>
      <c r="J1600" s="0" t="n">
        <v>1.69</v>
      </c>
      <c r="K1600" s="0" t="s">
        <v>73</v>
      </c>
      <c r="L1600" s="0" t="n">
        <f aca="false">INDEX(Summary!$F$2:$F$201,MATCH($B1600,Summary!$A$2:$A$201,0))</f>
        <v>20</v>
      </c>
      <c r="M1600" s="0" t="n">
        <f aca="false">INDEX(Summary!$I$2:$I$201,MATCH($B1600,Summary!$A$2:$A$201,0))</f>
        <v>4</v>
      </c>
      <c r="N1600" s="0" t="n">
        <f aca="false">INDEX(Summary!$J$2:$J$201,MATCH($B1600,Summary!$A$2:$A$201,0))</f>
        <v>1</v>
      </c>
      <c r="O1600" s="2" t="n">
        <f aca="false">INDEX(Summary!$K$2:$K$201,MATCH($B1600,Summary!$A$2:$A$201,0))</f>
        <v>9.79</v>
      </c>
      <c r="P1600" s="3" t="n">
        <f aca="false">INDEX(Summary!$L$2:$L$201,MATCH($B1600,Summary!$A$2:$A$201,0))</f>
        <v>5</v>
      </c>
      <c r="Q1600" s="3" t="n">
        <f aca="false">INDEX(Summary!$M$2:$M$201,MATCH($B1600,Summary!$A$2:$A$201,0))</f>
        <v>1</v>
      </c>
      <c r="R1600" s="2" t="n">
        <f aca="false">INDEX(Summary!$N$2:$N$201,MATCH($B1600,Summary!$A$2:$A$201,0))</f>
        <v>10.29</v>
      </c>
      <c r="S1600" s="3" t="n">
        <f aca="false">INDEX(Summary!$O$2:$O$201,MATCH($B1600,Summary!$A$2:$A$201,0))</f>
        <v>8</v>
      </c>
      <c r="T1600" s="3" t="n">
        <f aca="false">INDEX(Summary!$P$2:$P$201,MATCH($B1600,Summary!$A$2:$A$201,0))</f>
        <v>1</v>
      </c>
      <c r="U1600" s="2" t="n">
        <f aca="false">INDEX(Summary!$Q$2:$Q$201,MATCH($B1600,Summary!$A$2:$A$201,0))</f>
        <v>13.06</v>
      </c>
      <c r="V1600" s="2" t="n">
        <f aca="false">INDEX(Summary!$R$2:$R$201,MATCH($B1600,Summary!$A$2:$A$201,0))</f>
        <v>32.34</v>
      </c>
      <c r="W1600" s="0" t="str">
        <f aca="false">INDEX(Summary!$S$2:$S$201,MATCH($B1600,Summary!$A$2:$A$201,0))</f>
        <v>Gold</v>
      </c>
      <c r="X1600" s="2" t="n">
        <f aca="false">INDEX(Summary!$T$2:$T$201,MATCH($B1600,Summary!$A$2:$A$201,0))</f>
        <v>78.88</v>
      </c>
      <c r="Y1600" s="0" t="str">
        <f aca="false">INDEX('Reward Model'!$E$18:$E$37,MATCH($E1600,'Reward Model'!$A$18:$A$37,0))</f>
        <v>High</v>
      </c>
      <c r="Z1600" s="4" t="n">
        <f aca="false">ROUND(MIN(1,MAX('Reward Model'!$B$2,INDEX('Reward Model'!$C$12:$C$14,MATCH($K1600,'Reward Model'!$A$12:$A$14,0))/$J1600)),3)</f>
        <v>1</v>
      </c>
      <c r="AA1600" s="2" t="n">
        <f aca="false">IF($I1600="Correct",ROUND(INDEX('Reward Model'!$B$12:$B$14,MATCH($K1600,'Reward Model'!$A$12:$A$14,0))*Z1600,2),0)</f>
        <v>3</v>
      </c>
      <c r="AB1600" s="2" t="n">
        <f aca="false">IF($I1600="Correct",ROUND(INDEX('Reward Model'!$B$12:$B$14,MATCH($Y1600,'Reward Model'!$A$12:$A$14,0))*Z1600,2),0)</f>
        <v>3</v>
      </c>
    </row>
    <row r="1601" customFormat="false" ht="15" hidden="false" customHeight="false" outlineLevel="0" collapsed="false">
      <c r="A1601" s="0" t="s">
        <v>288</v>
      </c>
      <c r="B1601" s="0" t="s">
        <v>289</v>
      </c>
      <c r="C1601" s="0" t="s">
        <v>30</v>
      </c>
      <c r="D1601" s="0" t="s">
        <v>275</v>
      </c>
      <c r="E1601" s="0" t="n">
        <v>20</v>
      </c>
      <c r="F1601" s="0" t="s">
        <v>81</v>
      </c>
      <c r="G1601" s="0" t="s">
        <v>83</v>
      </c>
      <c r="H1601" s="0" t="s">
        <v>83</v>
      </c>
      <c r="I1601" s="0" t="s">
        <v>34</v>
      </c>
      <c r="J1601" s="0" t="n">
        <v>1.56</v>
      </c>
      <c r="K1601" s="0" t="s">
        <v>73</v>
      </c>
      <c r="L1601" s="0" t="n">
        <f aca="false">INDEX(Summary!$F$2:$F$201,MATCH($B1601,Summary!$A$2:$A$201,0))</f>
        <v>20</v>
      </c>
      <c r="M1601" s="0" t="n">
        <f aca="false">INDEX(Summary!$I$2:$I$201,MATCH($B1601,Summary!$A$2:$A$201,0))</f>
        <v>4</v>
      </c>
      <c r="N1601" s="0" t="n">
        <f aca="false">INDEX(Summary!$J$2:$J$201,MATCH($B1601,Summary!$A$2:$A$201,0))</f>
        <v>1</v>
      </c>
      <c r="O1601" s="2" t="n">
        <f aca="false">INDEX(Summary!$K$2:$K$201,MATCH($B1601,Summary!$A$2:$A$201,0))</f>
        <v>9.79</v>
      </c>
      <c r="P1601" s="3" t="n">
        <f aca="false">INDEX(Summary!$L$2:$L$201,MATCH($B1601,Summary!$A$2:$A$201,0))</f>
        <v>5</v>
      </c>
      <c r="Q1601" s="3" t="n">
        <f aca="false">INDEX(Summary!$M$2:$M$201,MATCH($B1601,Summary!$A$2:$A$201,0))</f>
        <v>1</v>
      </c>
      <c r="R1601" s="2" t="n">
        <f aca="false">INDEX(Summary!$N$2:$N$201,MATCH($B1601,Summary!$A$2:$A$201,0))</f>
        <v>10.29</v>
      </c>
      <c r="S1601" s="3" t="n">
        <f aca="false">INDEX(Summary!$O$2:$O$201,MATCH($B1601,Summary!$A$2:$A$201,0))</f>
        <v>8</v>
      </c>
      <c r="T1601" s="3" t="n">
        <f aca="false">INDEX(Summary!$P$2:$P$201,MATCH($B1601,Summary!$A$2:$A$201,0))</f>
        <v>1</v>
      </c>
      <c r="U1601" s="2" t="n">
        <f aca="false">INDEX(Summary!$Q$2:$Q$201,MATCH($B1601,Summary!$A$2:$A$201,0))</f>
        <v>13.06</v>
      </c>
      <c r="V1601" s="2" t="n">
        <f aca="false">INDEX(Summary!$R$2:$R$201,MATCH($B1601,Summary!$A$2:$A$201,0))</f>
        <v>32.34</v>
      </c>
      <c r="W1601" s="0" t="str">
        <f aca="false">INDEX(Summary!$S$2:$S$201,MATCH($B1601,Summary!$A$2:$A$201,0))</f>
        <v>Gold</v>
      </c>
      <c r="X1601" s="2" t="n">
        <f aca="false">INDEX(Summary!$T$2:$T$201,MATCH($B1601,Summary!$A$2:$A$201,0))</f>
        <v>78.88</v>
      </c>
      <c r="Y1601" s="0" t="str">
        <f aca="false">INDEX('Reward Model'!$E$18:$E$37,MATCH($E1601,'Reward Model'!$A$18:$A$37,0))</f>
        <v>High</v>
      </c>
      <c r="Z1601" s="4" t="n">
        <f aca="false">ROUND(MIN(1,MAX('Reward Model'!$B$2,INDEX('Reward Model'!$C$12:$C$14,MATCH($K1601,'Reward Model'!$A$12:$A$14,0))/$J1601)),3)</f>
        <v>1</v>
      </c>
      <c r="AA1601" s="2" t="n">
        <f aca="false">IF($I1601="Correct",ROUND(INDEX('Reward Model'!$B$12:$B$14,MATCH($K1601,'Reward Model'!$A$12:$A$14,0))*Z1601,2),0)</f>
        <v>3</v>
      </c>
      <c r="AB1601" s="2" t="n">
        <f aca="false">IF($I1601="Correct",ROUND(INDEX('Reward Model'!$B$12:$B$14,MATCH($Y1601,'Reward Model'!$A$12:$A$14,0))*Z1601,2),0)</f>
        <v>3</v>
      </c>
    </row>
    <row r="1602" customFormat="false" ht="15" hidden="false" customHeight="false" outlineLevel="0" collapsed="false">
      <c r="A1602" s="0" t="s">
        <v>290</v>
      </c>
      <c r="B1602" s="0" t="s">
        <v>291</v>
      </c>
      <c r="C1602" s="0" t="s">
        <v>30</v>
      </c>
      <c r="D1602" s="0" t="s">
        <v>275</v>
      </c>
      <c r="E1602" s="0" t="n">
        <v>1</v>
      </c>
      <c r="F1602" s="0" t="s">
        <v>32</v>
      </c>
      <c r="G1602" s="0" t="s">
        <v>91</v>
      </c>
      <c r="H1602" s="0" t="s">
        <v>33</v>
      </c>
      <c r="I1602" s="0" t="s">
        <v>39</v>
      </c>
      <c r="J1602" s="0" t="n">
        <v>0.96</v>
      </c>
      <c r="K1602" s="0" t="s">
        <v>35</v>
      </c>
      <c r="L1602" s="0" t="n">
        <f aca="false">INDEX(Summary!$F$2:$F$201,MATCH($B1602,Summary!$A$2:$A$201,0))</f>
        <v>20</v>
      </c>
      <c r="M1602" s="0" t="n">
        <f aca="false">INDEX(Summary!$I$2:$I$201,MATCH($B1602,Summary!$A$2:$A$201,0))</f>
        <v>2</v>
      </c>
      <c r="N1602" s="0" t="n">
        <f aca="false">INDEX(Summary!$J$2:$J$201,MATCH($B1602,Summary!$A$2:$A$201,0))</f>
        <v>3</v>
      </c>
      <c r="O1602" s="2" t="n">
        <f aca="false">INDEX(Summary!$K$2:$K$201,MATCH($B1602,Summary!$A$2:$A$201,0))</f>
        <v>8.92</v>
      </c>
      <c r="P1602" s="3" t="n">
        <f aca="false">INDEX(Summary!$L$2:$L$201,MATCH($B1602,Summary!$A$2:$A$201,0))</f>
        <v>4</v>
      </c>
      <c r="Q1602" s="3" t="n">
        <f aca="false">INDEX(Summary!$M$2:$M$201,MATCH($B1602,Summary!$A$2:$A$201,0))</f>
        <v>2</v>
      </c>
      <c r="R1602" s="2" t="n">
        <f aca="false">INDEX(Summary!$N$2:$N$201,MATCH($B1602,Summary!$A$2:$A$201,0))</f>
        <v>10.97</v>
      </c>
      <c r="S1602" s="3" t="n">
        <f aca="false">INDEX(Summary!$O$2:$O$201,MATCH($B1602,Summary!$A$2:$A$201,0))</f>
        <v>8</v>
      </c>
      <c r="T1602" s="3" t="n">
        <f aca="false">INDEX(Summary!$P$2:$P$201,MATCH($B1602,Summary!$A$2:$A$201,0))</f>
        <v>1</v>
      </c>
      <c r="U1602" s="2" t="n">
        <f aca="false">INDEX(Summary!$Q$2:$Q$201,MATCH($B1602,Summary!$A$2:$A$201,0))</f>
        <v>13.22</v>
      </c>
      <c r="V1602" s="2" t="n">
        <f aca="false">INDEX(Summary!$R$2:$R$201,MATCH($B1602,Summary!$A$2:$A$201,0))</f>
        <v>24.35</v>
      </c>
      <c r="W1602" s="0" t="str">
        <f aca="false">INDEX(Summary!$S$2:$S$201,MATCH($B1602,Summary!$A$2:$A$201,0))</f>
        <v>Silver</v>
      </c>
      <c r="X1602" s="2" t="n">
        <f aca="false">INDEX(Summary!$T$2:$T$201,MATCH($B1602,Summary!$A$2:$A$201,0))</f>
        <v>59.39</v>
      </c>
      <c r="Y1602" s="0" t="str">
        <f aca="false">INDEX('Reward Model'!$E$18:$E$37,MATCH($E1602,'Reward Model'!$A$18:$A$37,0))</f>
        <v>Medium</v>
      </c>
      <c r="Z1602" s="4" t="n">
        <f aca="false">ROUND(MIN(1,MAX('Reward Model'!$B$2,INDEX('Reward Model'!$C$12:$C$14,MATCH($K1602,'Reward Model'!$A$12:$A$14,0))/$J1602)),3)</f>
        <v>1</v>
      </c>
      <c r="AA1602" s="2" t="n">
        <f aca="false">IF($I1602="Correct",ROUND(INDEX('Reward Model'!$B$12:$B$14,MATCH($K1602,'Reward Model'!$A$12:$A$14,0))*Z1602,2),0)</f>
        <v>0</v>
      </c>
      <c r="AB1602" s="2" t="n">
        <f aca="false">IF($I1602="Correct",ROUND(INDEX('Reward Model'!$B$12:$B$14,MATCH($Y1602,'Reward Model'!$A$12:$A$14,0))*Z1602,2),0)</f>
        <v>0</v>
      </c>
    </row>
    <row r="1603" customFormat="false" ht="15" hidden="false" customHeight="false" outlineLevel="0" collapsed="false">
      <c r="A1603" s="0" t="s">
        <v>290</v>
      </c>
      <c r="B1603" s="0" t="s">
        <v>291</v>
      </c>
      <c r="C1603" s="0" t="s">
        <v>30</v>
      </c>
      <c r="D1603" s="0" t="s">
        <v>275</v>
      </c>
      <c r="E1603" s="0" t="n">
        <v>2</v>
      </c>
      <c r="F1603" s="0" t="s">
        <v>36</v>
      </c>
      <c r="G1603" s="0" t="s">
        <v>38</v>
      </c>
      <c r="H1603" s="0" t="s">
        <v>38</v>
      </c>
      <c r="I1603" s="0" t="s">
        <v>34</v>
      </c>
      <c r="J1603" s="0" t="n">
        <v>1.65</v>
      </c>
      <c r="K1603" s="0" t="s">
        <v>35</v>
      </c>
      <c r="L1603" s="0" t="n">
        <f aca="false">INDEX(Summary!$F$2:$F$201,MATCH($B1603,Summary!$A$2:$A$201,0))</f>
        <v>20</v>
      </c>
      <c r="M1603" s="0" t="n">
        <f aca="false">INDEX(Summary!$I$2:$I$201,MATCH($B1603,Summary!$A$2:$A$201,0))</f>
        <v>2</v>
      </c>
      <c r="N1603" s="0" t="n">
        <f aca="false">INDEX(Summary!$J$2:$J$201,MATCH($B1603,Summary!$A$2:$A$201,0))</f>
        <v>3</v>
      </c>
      <c r="O1603" s="2" t="n">
        <f aca="false">INDEX(Summary!$K$2:$K$201,MATCH($B1603,Summary!$A$2:$A$201,0))</f>
        <v>8.92</v>
      </c>
      <c r="P1603" s="3" t="n">
        <f aca="false">INDEX(Summary!$L$2:$L$201,MATCH($B1603,Summary!$A$2:$A$201,0))</f>
        <v>4</v>
      </c>
      <c r="Q1603" s="3" t="n">
        <f aca="false">INDEX(Summary!$M$2:$M$201,MATCH($B1603,Summary!$A$2:$A$201,0))</f>
        <v>2</v>
      </c>
      <c r="R1603" s="2" t="n">
        <f aca="false">INDEX(Summary!$N$2:$N$201,MATCH($B1603,Summary!$A$2:$A$201,0))</f>
        <v>10.97</v>
      </c>
      <c r="S1603" s="3" t="n">
        <f aca="false">INDEX(Summary!$O$2:$O$201,MATCH($B1603,Summary!$A$2:$A$201,0))</f>
        <v>8</v>
      </c>
      <c r="T1603" s="3" t="n">
        <f aca="false">INDEX(Summary!$P$2:$P$201,MATCH($B1603,Summary!$A$2:$A$201,0))</f>
        <v>1</v>
      </c>
      <c r="U1603" s="2" t="n">
        <f aca="false">INDEX(Summary!$Q$2:$Q$201,MATCH($B1603,Summary!$A$2:$A$201,0))</f>
        <v>13.22</v>
      </c>
      <c r="V1603" s="2" t="n">
        <f aca="false">INDEX(Summary!$R$2:$R$201,MATCH($B1603,Summary!$A$2:$A$201,0))</f>
        <v>24.35</v>
      </c>
      <c r="W1603" s="0" t="str">
        <f aca="false">INDEX(Summary!$S$2:$S$201,MATCH($B1603,Summary!$A$2:$A$201,0))</f>
        <v>Silver</v>
      </c>
      <c r="X1603" s="2" t="n">
        <f aca="false">INDEX(Summary!$T$2:$T$201,MATCH($B1603,Summary!$A$2:$A$201,0))</f>
        <v>59.39</v>
      </c>
      <c r="Y1603" s="0" t="str">
        <f aca="false">INDEX('Reward Model'!$E$18:$E$37,MATCH($E1603,'Reward Model'!$A$18:$A$37,0))</f>
        <v>Low</v>
      </c>
      <c r="Z1603" s="4" t="n">
        <f aca="false">ROUND(MIN(1,MAX('Reward Model'!$B$2,INDEX('Reward Model'!$C$12:$C$14,MATCH($K1603,'Reward Model'!$A$12:$A$14,0))/$J1603)),3)</f>
        <v>0.909</v>
      </c>
      <c r="AA1603" s="2" t="n">
        <f aca="false">IF($I1603="Correct",ROUND(INDEX('Reward Model'!$B$12:$B$14,MATCH($K1603,'Reward Model'!$A$12:$A$14,0))*Z1603,2),0)</f>
        <v>0.91</v>
      </c>
      <c r="AB1603" s="2" t="n">
        <f aca="false">IF($I1603="Correct",ROUND(INDEX('Reward Model'!$B$12:$B$14,MATCH($Y1603,'Reward Model'!$A$12:$A$14,0))*Z1603,2),0)</f>
        <v>0.91</v>
      </c>
    </row>
    <row r="1604" customFormat="false" ht="15" hidden="false" customHeight="false" outlineLevel="0" collapsed="false">
      <c r="A1604" s="0" t="s">
        <v>290</v>
      </c>
      <c r="B1604" s="0" t="s">
        <v>291</v>
      </c>
      <c r="C1604" s="0" t="s">
        <v>30</v>
      </c>
      <c r="D1604" s="0" t="s">
        <v>275</v>
      </c>
      <c r="E1604" s="0" t="n">
        <v>3</v>
      </c>
      <c r="F1604" s="0" t="s">
        <v>40</v>
      </c>
      <c r="G1604" s="0" t="s">
        <v>42</v>
      </c>
      <c r="H1604" s="0" t="s">
        <v>42</v>
      </c>
      <c r="I1604" s="0" t="s">
        <v>34</v>
      </c>
      <c r="J1604" s="0" t="n">
        <v>1.72</v>
      </c>
      <c r="K1604" s="0" t="s">
        <v>35</v>
      </c>
      <c r="L1604" s="0" t="n">
        <f aca="false">INDEX(Summary!$F$2:$F$201,MATCH($B1604,Summary!$A$2:$A$201,0))</f>
        <v>20</v>
      </c>
      <c r="M1604" s="0" t="n">
        <f aca="false">INDEX(Summary!$I$2:$I$201,MATCH($B1604,Summary!$A$2:$A$201,0))</f>
        <v>2</v>
      </c>
      <c r="N1604" s="0" t="n">
        <f aca="false">INDEX(Summary!$J$2:$J$201,MATCH($B1604,Summary!$A$2:$A$201,0))</f>
        <v>3</v>
      </c>
      <c r="O1604" s="2" t="n">
        <f aca="false">INDEX(Summary!$K$2:$K$201,MATCH($B1604,Summary!$A$2:$A$201,0))</f>
        <v>8.92</v>
      </c>
      <c r="P1604" s="3" t="n">
        <f aca="false">INDEX(Summary!$L$2:$L$201,MATCH($B1604,Summary!$A$2:$A$201,0))</f>
        <v>4</v>
      </c>
      <c r="Q1604" s="3" t="n">
        <f aca="false">INDEX(Summary!$M$2:$M$201,MATCH($B1604,Summary!$A$2:$A$201,0))</f>
        <v>2</v>
      </c>
      <c r="R1604" s="2" t="n">
        <f aca="false">INDEX(Summary!$N$2:$N$201,MATCH($B1604,Summary!$A$2:$A$201,0))</f>
        <v>10.97</v>
      </c>
      <c r="S1604" s="3" t="n">
        <f aca="false">INDEX(Summary!$O$2:$O$201,MATCH($B1604,Summary!$A$2:$A$201,0))</f>
        <v>8</v>
      </c>
      <c r="T1604" s="3" t="n">
        <f aca="false">INDEX(Summary!$P$2:$P$201,MATCH($B1604,Summary!$A$2:$A$201,0))</f>
        <v>1</v>
      </c>
      <c r="U1604" s="2" t="n">
        <f aca="false">INDEX(Summary!$Q$2:$Q$201,MATCH($B1604,Summary!$A$2:$A$201,0))</f>
        <v>13.22</v>
      </c>
      <c r="V1604" s="2" t="n">
        <f aca="false">INDEX(Summary!$R$2:$R$201,MATCH($B1604,Summary!$A$2:$A$201,0))</f>
        <v>24.35</v>
      </c>
      <c r="W1604" s="0" t="str">
        <f aca="false">INDEX(Summary!$S$2:$S$201,MATCH($B1604,Summary!$A$2:$A$201,0))</f>
        <v>Silver</v>
      </c>
      <c r="X1604" s="2" t="n">
        <f aca="false">INDEX(Summary!$T$2:$T$201,MATCH($B1604,Summary!$A$2:$A$201,0))</f>
        <v>59.39</v>
      </c>
      <c r="Y1604" s="0" t="str">
        <f aca="false">INDEX('Reward Model'!$E$18:$E$37,MATCH($E1604,'Reward Model'!$A$18:$A$37,0))</f>
        <v>Medium</v>
      </c>
      <c r="Z1604" s="4" t="n">
        <f aca="false">ROUND(MIN(1,MAX('Reward Model'!$B$2,INDEX('Reward Model'!$C$12:$C$14,MATCH($K1604,'Reward Model'!$A$12:$A$14,0))/$J1604)),3)</f>
        <v>0.872</v>
      </c>
      <c r="AA1604" s="2" t="n">
        <f aca="false">IF($I1604="Correct",ROUND(INDEX('Reward Model'!$B$12:$B$14,MATCH($K1604,'Reward Model'!$A$12:$A$14,0))*Z1604,2),0)</f>
        <v>0.87</v>
      </c>
      <c r="AB1604" s="2" t="n">
        <f aca="false">IF($I1604="Correct",ROUND(INDEX('Reward Model'!$B$12:$B$14,MATCH($Y1604,'Reward Model'!$A$12:$A$14,0))*Z1604,2),0)</f>
        <v>1.74</v>
      </c>
    </row>
    <row r="1605" customFormat="false" ht="15" hidden="false" customHeight="false" outlineLevel="0" collapsed="false">
      <c r="A1605" s="0" t="s">
        <v>290</v>
      </c>
      <c r="B1605" s="0" t="s">
        <v>291</v>
      </c>
      <c r="C1605" s="0" t="s">
        <v>30</v>
      </c>
      <c r="D1605" s="0" t="s">
        <v>275</v>
      </c>
      <c r="E1605" s="0" t="n">
        <v>4</v>
      </c>
      <c r="F1605" s="0" t="s">
        <v>43</v>
      </c>
      <c r="G1605" s="0" t="s">
        <v>45</v>
      </c>
      <c r="H1605" s="0" t="s">
        <v>45</v>
      </c>
      <c r="I1605" s="0" t="s">
        <v>34</v>
      </c>
      <c r="J1605" s="0" t="n">
        <v>1.29</v>
      </c>
      <c r="K1605" s="0" t="s">
        <v>35</v>
      </c>
      <c r="L1605" s="0" t="n">
        <f aca="false">INDEX(Summary!$F$2:$F$201,MATCH($B1605,Summary!$A$2:$A$201,0))</f>
        <v>20</v>
      </c>
      <c r="M1605" s="0" t="n">
        <f aca="false">INDEX(Summary!$I$2:$I$201,MATCH($B1605,Summary!$A$2:$A$201,0))</f>
        <v>2</v>
      </c>
      <c r="N1605" s="0" t="n">
        <f aca="false">INDEX(Summary!$J$2:$J$201,MATCH($B1605,Summary!$A$2:$A$201,0))</f>
        <v>3</v>
      </c>
      <c r="O1605" s="2" t="n">
        <f aca="false">INDEX(Summary!$K$2:$K$201,MATCH($B1605,Summary!$A$2:$A$201,0))</f>
        <v>8.92</v>
      </c>
      <c r="P1605" s="3" t="n">
        <f aca="false">INDEX(Summary!$L$2:$L$201,MATCH($B1605,Summary!$A$2:$A$201,0))</f>
        <v>4</v>
      </c>
      <c r="Q1605" s="3" t="n">
        <f aca="false">INDEX(Summary!$M$2:$M$201,MATCH($B1605,Summary!$A$2:$A$201,0))</f>
        <v>2</v>
      </c>
      <c r="R1605" s="2" t="n">
        <f aca="false">INDEX(Summary!$N$2:$N$201,MATCH($B1605,Summary!$A$2:$A$201,0))</f>
        <v>10.97</v>
      </c>
      <c r="S1605" s="3" t="n">
        <f aca="false">INDEX(Summary!$O$2:$O$201,MATCH($B1605,Summary!$A$2:$A$201,0))</f>
        <v>8</v>
      </c>
      <c r="T1605" s="3" t="n">
        <f aca="false">INDEX(Summary!$P$2:$P$201,MATCH($B1605,Summary!$A$2:$A$201,0))</f>
        <v>1</v>
      </c>
      <c r="U1605" s="2" t="n">
        <f aca="false">INDEX(Summary!$Q$2:$Q$201,MATCH($B1605,Summary!$A$2:$A$201,0))</f>
        <v>13.22</v>
      </c>
      <c r="V1605" s="2" t="n">
        <f aca="false">INDEX(Summary!$R$2:$R$201,MATCH($B1605,Summary!$A$2:$A$201,0))</f>
        <v>24.35</v>
      </c>
      <c r="W1605" s="0" t="str">
        <f aca="false">INDEX(Summary!$S$2:$S$201,MATCH($B1605,Summary!$A$2:$A$201,0))</f>
        <v>Silver</v>
      </c>
      <c r="X1605" s="2" t="n">
        <f aca="false">INDEX(Summary!$T$2:$T$201,MATCH($B1605,Summary!$A$2:$A$201,0))</f>
        <v>59.39</v>
      </c>
      <c r="Y1605" s="0" t="str">
        <f aca="false">INDEX('Reward Model'!$E$18:$E$37,MATCH($E1605,'Reward Model'!$A$18:$A$37,0))</f>
        <v>Low</v>
      </c>
      <c r="Z1605" s="4" t="n">
        <f aca="false">ROUND(MIN(1,MAX('Reward Model'!$B$2,INDEX('Reward Model'!$C$12:$C$14,MATCH($K1605,'Reward Model'!$A$12:$A$14,0))/$J1605)),3)</f>
        <v>1</v>
      </c>
      <c r="AA1605" s="2" t="n">
        <f aca="false">IF($I1605="Correct",ROUND(INDEX('Reward Model'!$B$12:$B$14,MATCH($K1605,'Reward Model'!$A$12:$A$14,0))*Z1605,2),0)</f>
        <v>1</v>
      </c>
      <c r="AB1605" s="2" t="n">
        <f aca="false">IF($I1605="Correct",ROUND(INDEX('Reward Model'!$B$12:$B$14,MATCH($Y1605,'Reward Model'!$A$12:$A$14,0))*Z1605,2),0)</f>
        <v>1</v>
      </c>
    </row>
    <row r="1606" customFormat="false" ht="15" hidden="false" customHeight="false" outlineLevel="0" collapsed="false">
      <c r="A1606" s="0" t="s">
        <v>290</v>
      </c>
      <c r="B1606" s="0" t="s">
        <v>291</v>
      </c>
      <c r="C1606" s="0" t="s">
        <v>30</v>
      </c>
      <c r="D1606" s="0" t="s">
        <v>275</v>
      </c>
      <c r="E1606" s="0" t="n">
        <v>5</v>
      </c>
      <c r="F1606" s="0" t="s">
        <v>46</v>
      </c>
      <c r="G1606" s="0" t="s">
        <v>47</v>
      </c>
      <c r="H1606" s="0" t="s">
        <v>47</v>
      </c>
      <c r="I1606" s="0" t="s">
        <v>34</v>
      </c>
      <c r="J1606" s="0" t="n">
        <v>1.33</v>
      </c>
      <c r="K1606" s="0" t="s">
        <v>35</v>
      </c>
      <c r="L1606" s="0" t="n">
        <f aca="false">INDEX(Summary!$F$2:$F$201,MATCH($B1606,Summary!$A$2:$A$201,0))</f>
        <v>20</v>
      </c>
      <c r="M1606" s="0" t="n">
        <f aca="false">INDEX(Summary!$I$2:$I$201,MATCH($B1606,Summary!$A$2:$A$201,0))</f>
        <v>2</v>
      </c>
      <c r="N1606" s="0" t="n">
        <f aca="false">INDEX(Summary!$J$2:$J$201,MATCH($B1606,Summary!$A$2:$A$201,0))</f>
        <v>3</v>
      </c>
      <c r="O1606" s="2" t="n">
        <f aca="false">INDEX(Summary!$K$2:$K$201,MATCH($B1606,Summary!$A$2:$A$201,0))</f>
        <v>8.92</v>
      </c>
      <c r="P1606" s="3" t="n">
        <f aca="false">INDEX(Summary!$L$2:$L$201,MATCH($B1606,Summary!$A$2:$A$201,0))</f>
        <v>4</v>
      </c>
      <c r="Q1606" s="3" t="n">
        <f aca="false">INDEX(Summary!$M$2:$M$201,MATCH($B1606,Summary!$A$2:$A$201,0))</f>
        <v>2</v>
      </c>
      <c r="R1606" s="2" t="n">
        <f aca="false">INDEX(Summary!$N$2:$N$201,MATCH($B1606,Summary!$A$2:$A$201,0))</f>
        <v>10.97</v>
      </c>
      <c r="S1606" s="3" t="n">
        <f aca="false">INDEX(Summary!$O$2:$O$201,MATCH($B1606,Summary!$A$2:$A$201,0))</f>
        <v>8</v>
      </c>
      <c r="T1606" s="3" t="n">
        <f aca="false">INDEX(Summary!$P$2:$P$201,MATCH($B1606,Summary!$A$2:$A$201,0))</f>
        <v>1</v>
      </c>
      <c r="U1606" s="2" t="n">
        <f aca="false">INDEX(Summary!$Q$2:$Q$201,MATCH($B1606,Summary!$A$2:$A$201,0))</f>
        <v>13.22</v>
      </c>
      <c r="V1606" s="2" t="n">
        <f aca="false">INDEX(Summary!$R$2:$R$201,MATCH($B1606,Summary!$A$2:$A$201,0))</f>
        <v>24.35</v>
      </c>
      <c r="W1606" s="0" t="str">
        <f aca="false">INDEX(Summary!$S$2:$S$201,MATCH($B1606,Summary!$A$2:$A$201,0))</f>
        <v>Silver</v>
      </c>
      <c r="X1606" s="2" t="n">
        <f aca="false">INDEX(Summary!$T$2:$T$201,MATCH($B1606,Summary!$A$2:$A$201,0))</f>
        <v>59.39</v>
      </c>
      <c r="Y1606" s="0" t="str">
        <f aca="false">INDEX('Reward Model'!$E$18:$E$37,MATCH($E1606,'Reward Model'!$A$18:$A$37,0))</f>
        <v>Low</v>
      </c>
      <c r="Z1606" s="4" t="n">
        <f aca="false">ROUND(MIN(1,MAX('Reward Model'!$B$2,INDEX('Reward Model'!$C$12:$C$14,MATCH($K1606,'Reward Model'!$A$12:$A$14,0))/$J1606)),3)</f>
        <v>1</v>
      </c>
      <c r="AA1606" s="2" t="n">
        <f aca="false">IF($I1606="Correct",ROUND(INDEX('Reward Model'!$B$12:$B$14,MATCH($K1606,'Reward Model'!$A$12:$A$14,0))*Z1606,2),0)</f>
        <v>1</v>
      </c>
      <c r="AB1606" s="2" t="n">
        <f aca="false">IF($I1606="Correct",ROUND(INDEX('Reward Model'!$B$12:$B$14,MATCH($Y1606,'Reward Model'!$A$12:$A$14,0))*Z1606,2),0)</f>
        <v>1</v>
      </c>
    </row>
    <row r="1607" customFormat="false" ht="15" hidden="false" customHeight="false" outlineLevel="0" collapsed="false">
      <c r="A1607" s="0" t="s">
        <v>290</v>
      </c>
      <c r="B1607" s="0" t="s">
        <v>291</v>
      </c>
      <c r="C1607" s="0" t="s">
        <v>30</v>
      </c>
      <c r="D1607" s="0" t="s">
        <v>275</v>
      </c>
      <c r="E1607" s="0" t="n">
        <v>6</v>
      </c>
      <c r="F1607" s="0" t="s">
        <v>48</v>
      </c>
      <c r="G1607" s="0" t="s">
        <v>49</v>
      </c>
      <c r="H1607" s="0" t="s">
        <v>49</v>
      </c>
      <c r="I1607" s="0" t="s">
        <v>34</v>
      </c>
      <c r="J1607" s="0" t="n">
        <v>1.87</v>
      </c>
      <c r="K1607" s="0" t="s">
        <v>35</v>
      </c>
      <c r="L1607" s="0" t="n">
        <f aca="false">INDEX(Summary!$F$2:$F$201,MATCH($B1607,Summary!$A$2:$A$201,0))</f>
        <v>20</v>
      </c>
      <c r="M1607" s="0" t="n">
        <f aca="false">INDEX(Summary!$I$2:$I$201,MATCH($B1607,Summary!$A$2:$A$201,0))</f>
        <v>2</v>
      </c>
      <c r="N1607" s="0" t="n">
        <f aca="false">INDEX(Summary!$J$2:$J$201,MATCH($B1607,Summary!$A$2:$A$201,0))</f>
        <v>3</v>
      </c>
      <c r="O1607" s="2" t="n">
        <f aca="false">INDEX(Summary!$K$2:$K$201,MATCH($B1607,Summary!$A$2:$A$201,0))</f>
        <v>8.92</v>
      </c>
      <c r="P1607" s="3" t="n">
        <f aca="false">INDEX(Summary!$L$2:$L$201,MATCH($B1607,Summary!$A$2:$A$201,0))</f>
        <v>4</v>
      </c>
      <c r="Q1607" s="3" t="n">
        <f aca="false">INDEX(Summary!$M$2:$M$201,MATCH($B1607,Summary!$A$2:$A$201,0))</f>
        <v>2</v>
      </c>
      <c r="R1607" s="2" t="n">
        <f aca="false">INDEX(Summary!$N$2:$N$201,MATCH($B1607,Summary!$A$2:$A$201,0))</f>
        <v>10.97</v>
      </c>
      <c r="S1607" s="3" t="n">
        <f aca="false">INDEX(Summary!$O$2:$O$201,MATCH($B1607,Summary!$A$2:$A$201,0))</f>
        <v>8</v>
      </c>
      <c r="T1607" s="3" t="n">
        <f aca="false">INDEX(Summary!$P$2:$P$201,MATCH($B1607,Summary!$A$2:$A$201,0))</f>
        <v>1</v>
      </c>
      <c r="U1607" s="2" t="n">
        <f aca="false">INDEX(Summary!$Q$2:$Q$201,MATCH($B1607,Summary!$A$2:$A$201,0))</f>
        <v>13.22</v>
      </c>
      <c r="V1607" s="2" t="n">
        <f aca="false">INDEX(Summary!$R$2:$R$201,MATCH($B1607,Summary!$A$2:$A$201,0))</f>
        <v>24.35</v>
      </c>
      <c r="W1607" s="0" t="str">
        <f aca="false">INDEX(Summary!$S$2:$S$201,MATCH($B1607,Summary!$A$2:$A$201,0))</f>
        <v>Silver</v>
      </c>
      <c r="X1607" s="2" t="n">
        <f aca="false">INDEX(Summary!$T$2:$T$201,MATCH($B1607,Summary!$A$2:$A$201,0))</f>
        <v>59.39</v>
      </c>
      <c r="Y1607" s="0" t="str">
        <f aca="false">INDEX('Reward Model'!$E$18:$E$37,MATCH($E1607,'Reward Model'!$A$18:$A$37,0))</f>
        <v>Medium</v>
      </c>
      <c r="Z1607" s="4" t="n">
        <f aca="false">ROUND(MIN(1,MAX('Reward Model'!$B$2,INDEX('Reward Model'!$C$12:$C$14,MATCH($K1607,'Reward Model'!$A$12:$A$14,0))/$J1607)),3)</f>
        <v>0.802</v>
      </c>
      <c r="AA1607" s="2" t="n">
        <f aca="false">IF($I1607="Correct",ROUND(INDEX('Reward Model'!$B$12:$B$14,MATCH($K1607,'Reward Model'!$A$12:$A$14,0))*Z1607,2),0)</f>
        <v>0.8</v>
      </c>
      <c r="AB1607" s="2" t="n">
        <f aca="false">IF($I1607="Correct",ROUND(INDEX('Reward Model'!$B$12:$B$14,MATCH($Y1607,'Reward Model'!$A$12:$A$14,0))*Z1607,2),0)</f>
        <v>1.6</v>
      </c>
    </row>
    <row r="1608" customFormat="false" ht="15" hidden="false" customHeight="false" outlineLevel="0" collapsed="false">
      <c r="A1608" s="0" t="s">
        <v>290</v>
      </c>
      <c r="B1608" s="0" t="s">
        <v>291</v>
      </c>
      <c r="C1608" s="0" t="s">
        <v>30</v>
      </c>
      <c r="D1608" s="0" t="s">
        <v>275</v>
      </c>
      <c r="E1608" s="0" t="n">
        <v>7</v>
      </c>
      <c r="F1608" s="0" t="s">
        <v>50</v>
      </c>
      <c r="G1608" s="0" t="s">
        <v>51</v>
      </c>
      <c r="H1608" s="0" t="s">
        <v>51</v>
      </c>
      <c r="I1608" s="0" t="s">
        <v>34</v>
      </c>
      <c r="J1608" s="0" t="n">
        <v>1.87</v>
      </c>
      <c r="K1608" s="0" t="s">
        <v>35</v>
      </c>
      <c r="L1608" s="0" t="n">
        <f aca="false">INDEX(Summary!$F$2:$F$201,MATCH($B1608,Summary!$A$2:$A$201,0))</f>
        <v>20</v>
      </c>
      <c r="M1608" s="0" t="n">
        <f aca="false">INDEX(Summary!$I$2:$I$201,MATCH($B1608,Summary!$A$2:$A$201,0))</f>
        <v>2</v>
      </c>
      <c r="N1608" s="0" t="n">
        <f aca="false">INDEX(Summary!$J$2:$J$201,MATCH($B1608,Summary!$A$2:$A$201,0))</f>
        <v>3</v>
      </c>
      <c r="O1608" s="2" t="n">
        <f aca="false">INDEX(Summary!$K$2:$K$201,MATCH($B1608,Summary!$A$2:$A$201,0))</f>
        <v>8.92</v>
      </c>
      <c r="P1608" s="3" t="n">
        <f aca="false">INDEX(Summary!$L$2:$L$201,MATCH($B1608,Summary!$A$2:$A$201,0))</f>
        <v>4</v>
      </c>
      <c r="Q1608" s="3" t="n">
        <f aca="false">INDEX(Summary!$M$2:$M$201,MATCH($B1608,Summary!$A$2:$A$201,0))</f>
        <v>2</v>
      </c>
      <c r="R1608" s="2" t="n">
        <f aca="false">INDEX(Summary!$N$2:$N$201,MATCH($B1608,Summary!$A$2:$A$201,0))</f>
        <v>10.97</v>
      </c>
      <c r="S1608" s="3" t="n">
        <f aca="false">INDEX(Summary!$O$2:$O$201,MATCH($B1608,Summary!$A$2:$A$201,0))</f>
        <v>8</v>
      </c>
      <c r="T1608" s="3" t="n">
        <f aca="false">INDEX(Summary!$P$2:$P$201,MATCH($B1608,Summary!$A$2:$A$201,0))</f>
        <v>1</v>
      </c>
      <c r="U1608" s="2" t="n">
        <f aca="false">INDEX(Summary!$Q$2:$Q$201,MATCH($B1608,Summary!$A$2:$A$201,0))</f>
        <v>13.22</v>
      </c>
      <c r="V1608" s="2" t="n">
        <f aca="false">INDEX(Summary!$R$2:$R$201,MATCH($B1608,Summary!$A$2:$A$201,0))</f>
        <v>24.35</v>
      </c>
      <c r="W1608" s="0" t="str">
        <f aca="false">INDEX(Summary!$S$2:$S$201,MATCH($B1608,Summary!$A$2:$A$201,0))</f>
        <v>Silver</v>
      </c>
      <c r="X1608" s="2" t="n">
        <f aca="false">INDEX(Summary!$T$2:$T$201,MATCH($B1608,Summary!$A$2:$A$201,0))</f>
        <v>59.39</v>
      </c>
      <c r="Y1608" s="0" t="str">
        <f aca="false">INDEX('Reward Model'!$E$18:$E$37,MATCH($E1608,'Reward Model'!$A$18:$A$37,0))</f>
        <v>Low</v>
      </c>
      <c r="Z1608" s="4" t="n">
        <f aca="false">ROUND(MIN(1,MAX('Reward Model'!$B$2,INDEX('Reward Model'!$C$12:$C$14,MATCH($K1608,'Reward Model'!$A$12:$A$14,0))/$J1608)),3)</f>
        <v>0.802</v>
      </c>
      <c r="AA1608" s="2" t="n">
        <f aca="false">IF($I1608="Correct",ROUND(INDEX('Reward Model'!$B$12:$B$14,MATCH($K1608,'Reward Model'!$A$12:$A$14,0))*Z1608,2),0)</f>
        <v>0.8</v>
      </c>
      <c r="AB1608" s="2" t="n">
        <f aca="false">IF($I1608="Correct",ROUND(INDEX('Reward Model'!$B$12:$B$14,MATCH($Y1608,'Reward Model'!$A$12:$A$14,0))*Z1608,2),0)</f>
        <v>0.8</v>
      </c>
    </row>
    <row r="1609" customFormat="false" ht="15" hidden="false" customHeight="false" outlineLevel="0" collapsed="false">
      <c r="A1609" s="0" t="s">
        <v>290</v>
      </c>
      <c r="B1609" s="0" t="s">
        <v>291</v>
      </c>
      <c r="C1609" s="0" t="s">
        <v>30</v>
      </c>
      <c r="D1609" s="0" t="s">
        <v>275</v>
      </c>
      <c r="E1609" s="0" t="n">
        <v>8</v>
      </c>
      <c r="F1609" s="0" t="s">
        <v>52</v>
      </c>
      <c r="G1609" s="0" t="s">
        <v>54</v>
      </c>
      <c r="H1609" s="0" t="s">
        <v>54</v>
      </c>
      <c r="I1609" s="0" t="s">
        <v>34</v>
      </c>
      <c r="J1609" s="0" t="n">
        <v>1.11</v>
      </c>
      <c r="K1609" s="0" t="s">
        <v>35</v>
      </c>
      <c r="L1609" s="0" t="n">
        <f aca="false">INDEX(Summary!$F$2:$F$201,MATCH($B1609,Summary!$A$2:$A$201,0))</f>
        <v>20</v>
      </c>
      <c r="M1609" s="0" t="n">
        <f aca="false">INDEX(Summary!$I$2:$I$201,MATCH($B1609,Summary!$A$2:$A$201,0))</f>
        <v>2</v>
      </c>
      <c r="N1609" s="0" t="n">
        <f aca="false">INDEX(Summary!$J$2:$J$201,MATCH($B1609,Summary!$A$2:$A$201,0))</f>
        <v>3</v>
      </c>
      <c r="O1609" s="2" t="n">
        <f aca="false">INDEX(Summary!$K$2:$K$201,MATCH($B1609,Summary!$A$2:$A$201,0))</f>
        <v>8.92</v>
      </c>
      <c r="P1609" s="3" t="n">
        <f aca="false">INDEX(Summary!$L$2:$L$201,MATCH($B1609,Summary!$A$2:$A$201,0))</f>
        <v>4</v>
      </c>
      <c r="Q1609" s="3" t="n">
        <f aca="false">INDEX(Summary!$M$2:$M$201,MATCH($B1609,Summary!$A$2:$A$201,0))</f>
        <v>2</v>
      </c>
      <c r="R1609" s="2" t="n">
        <f aca="false">INDEX(Summary!$N$2:$N$201,MATCH($B1609,Summary!$A$2:$A$201,0))</f>
        <v>10.97</v>
      </c>
      <c r="S1609" s="3" t="n">
        <f aca="false">INDEX(Summary!$O$2:$O$201,MATCH($B1609,Summary!$A$2:$A$201,0))</f>
        <v>8</v>
      </c>
      <c r="T1609" s="3" t="n">
        <f aca="false">INDEX(Summary!$P$2:$P$201,MATCH($B1609,Summary!$A$2:$A$201,0))</f>
        <v>1</v>
      </c>
      <c r="U1609" s="2" t="n">
        <f aca="false">INDEX(Summary!$Q$2:$Q$201,MATCH($B1609,Summary!$A$2:$A$201,0))</f>
        <v>13.22</v>
      </c>
      <c r="V1609" s="2" t="n">
        <f aca="false">INDEX(Summary!$R$2:$R$201,MATCH($B1609,Summary!$A$2:$A$201,0))</f>
        <v>24.35</v>
      </c>
      <c r="W1609" s="0" t="str">
        <f aca="false">INDEX(Summary!$S$2:$S$201,MATCH($B1609,Summary!$A$2:$A$201,0))</f>
        <v>Silver</v>
      </c>
      <c r="X1609" s="2" t="n">
        <f aca="false">INDEX(Summary!$T$2:$T$201,MATCH($B1609,Summary!$A$2:$A$201,0))</f>
        <v>59.39</v>
      </c>
      <c r="Y1609" s="0" t="str">
        <f aca="false">INDEX('Reward Model'!$E$18:$E$37,MATCH($E1609,'Reward Model'!$A$18:$A$37,0))</f>
        <v>Medium</v>
      </c>
      <c r="Z1609" s="4" t="n">
        <f aca="false">ROUND(MIN(1,MAX('Reward Model'!$B$2,INDEX('Reward Model'!$C$12:$C$14,MATCH($K1609,'Reward Model'!$A$12:$A$14,0))/$J1609)),3)</f>
        <v>1</v>
      </c>
      <c r="AA1609" s="2" t="n">
        <f aca="false">IF($I1609="Correct",ROUND(INDEX('Reward Model'!$B$12:$B$14,MATCH($K1609,'Reward Model'!$A$12:$A$14,0))*Z1609,2),0)</f>
        <v>1</v>
      </c>
      <c r="AB1609" s="2" t="n">
        <f aca="false">IF($I1609="Correct",ROUND(INDEX('Reward Model'!$B$12:$B$14,MATCH($Y1609,'Reward Model'!$A$12:$A$14,0))*Z1609,2),0)</f>
        <v>2</v>
      </c>
    </row>
    <row r="1610" customFormat="false" ht="15" hidden="false" customHeight="false" outlineLevel="0" collapsed="false">
      <c r="A1610" s="0" t="s">
        <v>290</v>
      </c>
      <c r="B1610" s="0" t="s">
        <v>291</v>
      </c>
      <c r="C1610" s="0" t="s">
        <v>30</v>
      </c>
      <c r="D1610" s="0" t="s">
        <v>275</v>
      </c>
      <c r="E1610" s="0" t="n">
        <v>9</v>
      </c>
      <c r="F1610" s="0" t="s">
        <v>55</v>
      </c>
      <c r="G1610" s="0" t="s">
        <v>57</v>
      </c>
      <c r="H1610" s="0" t="s">
        <v>57</v>
      </c>
      <c r="I1610" s="0" t="s">
        <v>34</v>
      </c>
      <c r="J1610" s="0" t="n">
        <v>1.42</v>
      </c>
      <c r="K1610" s="0" t="s">
        <v>35</v>
      </c>
      <c r="L1610" s="0" t="n">
        <f aca="false">INDEX(Summary!$F$2:$F$201,MATCH($B1610,Summary!$A$2:$A$201,0))</f>
        <v>20</v>
      </c>
      <c r="M1610" s="0" t="n">
        <f aca="false">INDEX(Summary!$I$2:$I$201,MATCH($B1610,Summary!$A$2:$A$201,0))</f>
        <v>2</v>
      </c>
      <c r="N1610" s="0" t="n">
        <f aca="false">INDEX(Summary!$J$2:$J$201,MATCH($B1610,Summary!$A$2:$A$201,0))</f>
        <v>3</v>
      </c>
      <c r="O1610" s="2" t="n">
        <f aca="false">INDEX(Summary!$K$2:$K$201,MATCH($B1610,Summary!$A$2:$A$201,0))</f>
        <v>8.92</v>
      </c>
      <c r="P1610" s="3" t="n">
        <f aca="false">INDEX(Summary!$L$2:$L$201,MATCH($B1610,Summary!$A$2:$A$201,0))</f>
        <v>4</v>
      </c>
      <c r="Q1610" s="3" t="n">
        <f aca="false">INDEX(Summary!$M$2:$M$201,MATCH($B1610,Summary!$A$2:$A$201,0))</f>
        <v>2</v>
      </c>
      <c r="R1610" s="2" t="n">
        <f aca="false">INDEX(Summary!$N$2:$N$201,MATCH($B1610,Summary!$A$2:$A$201,0))</f>
        <v>10.97</v>
      </c>
      <c r="S1610" s="3" t="n">
        <f aca="false">INDEX(Summary!$O$2:$O$201,MATCH($B1610,Summary!$A$2:$A$201,0))</f>
        <v>8</v>
      </c>
      <c r="T1610" s="3" t="n">
        <f aca="false">INDEX(Summary!$P$2:$P$201,MATCH($B1610,Summary!$A$2:$A$201,0))</f>
        <v>1</v>
      </c>
      <c r="U1610" s="2" t="n">
        <f aca="false">INDEX(Summary!$Q$2:$Q$201,MATCH($B1610,Summary!$A$2:$A$201,0))</f>
        <v>13.22</v>
      </c>
      <c r="V1610" s="2" t="n">
        <f aca="false">INDEX(Summary!$R$2:$R$201,MATCH($B1610,Summary!$A$2:$A$201,0))</f>
        <v>24.35</v>
      </c>
      <c r="W1610" s="0" t="str">
        <f aca="false">INDEX(Summary!$S$2:$S$201,MATCH($B1610,Summary!$A$2:$A$201,0))</f>
        <v>Silver</v>
      </c>
      <c r="X1610" s="2" t="n">
        <f aca="false">INDEX(Summary!$T$2:$T$201,MATCH($B1610,Summary!$A$2:$A$201,0))</f>
        <v>59.39</v>
      </c>
      <c r="Y1610" s="0" t="str">
        <f aca="false">INDEX('Reward Model'!$E$18:$E$37,MATCH($E1610,'Reward Model'!$A$18:$A$37,0))</f>
        <v>Medium</v>
      </c>
      <c r="Z1610" s="4" t="n">
        <f aca="false">ROUND(MIN(1,MAX('Reward Model'!$B$2,INDEX('Reward Model'!$C$12:$C$14,MATCH($K1610,'Reward Model'!$A$12:$A$14,0))/$J1610)),3)</f>
        <v>1</v>
      </c>
      <c r="AA1610" s="2" t="n">
        <f aca="false">IF($I1610="Correct",ROUND(INDEX('Reward Model'!$B$12:$B$14,MATCH($K1610,'Reward Model'!$A$12:$A$14,0))*Z1610,2),0)</f>
        <v>1</v>
      </c>
      <c r="AB1610" s="2" t="n">
        <f aca="false">IF($I1610="Correct",ROUND(INDEX('Reward Model'!$B$12:$B$14,MATCH($Y1610,'Reward Model'!$A$12:$A$14,0))*Z1610,2),0)</f>
        <v>2</v>
      </c>
    </row>
    <row r="1611" customFormat="false" ht="15" hidden="false" customHeight="false" outlineLevel="0" collapsed="false">
      <c r="A1611" s="0" t="s">
        <v>290</v>
      </c>
      <c r="B1611" s="0" t="s">
        <v>291</v>
      </c>
      <c r="C1611" s="0" t="s">
        <v>30</v>
      </c>
      <c r="D1611" s="0" t="s">
        <v>275</v>
      </c>
      <c r="E1611" s="0" t="n">
        <v>10</v>
      </c>
      <c r="F1611" s="0" t="s">
        <v>58</v>
      </c>
      <c r="G1611" s="0" t="s">
        <v>59</v>
      </c>
      <c r="H1611" s="0" t="s">
        <v>59</v>
      </c>
      <c r="I1611" s="0" t="s">
        <v>34</v>
      </c>
      <c r="J1611" s="0" t="n">
        <v>2.27</v>
      </c>
      <c r="K1611" s="0" t="s">
        <v>60</v>
      </c>
      <c r="L1611" s="0" t="n">
        <f aca="false">INDEX(Summary!$F$2:$F$201,MATCH($B1611,Summary!$A$2:$A$201,0))</f>
        <v>20</v>
      </c>
      <c r="M1611" s="0" t="n">
        <f aca="false">INDEX(Summary!$I$2:$I$201,MATCH($B1611,Summary!$A$2:$A$201,0))</f>
        <v>2</v>
      </c>
      <c r="N1611" s="0" t="n">
        <f aca="false">INDEX(Summary!$J$2:$J$201,MATCH($B1611,Summary!$A$2:$A$201,0))</f>
        <v>3</v>
      </c>
      <c r="O1611" s="2" t="n">
        <f aca="false">INDEX(Summary!$K$2:$K$201,MATCH($B1611,Summary!$A$2:$A$201,0))</f>
        <v>8.92</v>
      </c>
      <c r="P1611" s="3" t="n">
        <f aca="false">INDEX(Summary!$L$2:$L$201,MATCH($B1611,Summary!$A$2:$A$201,0))</f>
        <v>4</v>
      </c>
      <c r="Q1611" s="3" t="n">
        <f aca="false">INDEX(Summary!$M$2:$M$201,MATCH($B1611,Summary!$A$2:$A$201,0))</f>
        <v>2</v>
      </c>
      <c r="R1611" s="2" t="n">
        <f aca="false">INDEX(Summary!$N$2:$N$201,MATCH($B1611,Summary!$A$2:$A$201,0))</f>
        <v>10.97</v>
      </c>
      <c r="S1611" s="3" t="n">
        <f aca="false">INDEX(Summary!$O$2:$O$201,MATCH($B1611,Summary!$A$2:$A$201,0))</f>
        <v>8</v>
      </c>
      <c r="T1611" s="3" t="n">
        <f aca="false">INDEX(Summary!$P$2:$P$201,MATCH($B1611,Summary!$A$2:$A$201,0))</f>
        <v>1</v>
      </c>
      <c r="U1611" s="2" t="n">
        <f aca="false">INDEX(Summary!$Q$2:$Q$201,MATCH($B1611,Summary!$A$2:$A$201,0))</f>
        <v>13.22</v>
      </c>
      <c r="V1611" s="2" t="n">
        <f aca="false">INDEX(Summary!$R$2:$R$201,MATCH($B1611,Summary!$A$2:$A$201,0))</f>
        <v>24.35</v>
      </c>
      <c r="W1611" s="0" t="str">
        <f aca="false">INDEX(Summary!$S$2:$S$201,MATCH($B1611,Summary!$A$2:$A$201,0))</f>
        <v>Silver</v>
      </c>
      <c r="X1611" s="2" t="n">
        <f aca="false">INDEX(Summary!$T$2:$T$201,MATCH($B1611,Summary!$A$2:$A$201,0))</f>
        <v>59.39</v>
      </c>
      <c r="Y1611" s="0" t="str">
        <f aca="false">INDEX('Reward Model'!$E$18:$E$37,MATCH($E1611,'Reward Model'!$A$18:$A$37,0))</f>
        <v>Medium</v>
      </c>
      <c r="Z1611" s="4" t="n">
        <f aca="false">ROUND(MIN(1,MAX('Reward Model'!$B$2,INDEX('Reward Model'!$C$12:$C$14,MATCH($K1611,'Reward Model'!$A$12:$A$14,0))/$J1611)),3)</f>
        <v>0.793</v>
      </c>
      <c r="AA1611" s="2" t="n">
        <f aca="false">IF($I1611="Correct",ROUND(INDEX('Reward Model'!$B$12:$B$14,MATCH($K1611,'Reward Model'!$A$12:$A$14,0))*Z1611,2),0)</f>
        <v>1.59</v>
      </c>
      <c r="AB1611" s="2" t="n">
        <f aca="false">IF($I1611="Correct",ROUND(INDEX('Reward Model'!$B$12:$B$14,MATCH($Y1611,'Reward Model'!$A$12:$A$14,0))*Z1611,2),0)</f>
        <v>1.59</v>
      </c>
    </row>
    <row r="1612" customFormat="false" ht="15" hidden="false" customHeight="false" outlineLevel="0" collapsed="false">
      <c r="A1612" s="0" t="s">
        <v>290</v>
      </c>
      <c r="B1612" s="0" t="s">
        <v>291</v>
      </c>
      <c r="C1612" s="0" t="s">
        <v>30</v>
      </c>
      <c r="D1612" s="0" t="s">
        <v>275</v>
      </c>
      <c r="E1612" s="0" t="n">
        <v>11</v>
      </c>
      <c r="F1612" s="0" t="s">
        <v>61</v>
      </c>
      <c r="G1612" s="0" t="s">
        <v>63</v>
      </c>
      <c r="H1612" s="0" t="s">
        <v>63</v>
      </c>
      <c r="I1612" s="0" t="s">
        <v>34</v>
      </c>
      <c r="J1612" s="0" t="n">
        <v>2.11</v>
      </c>
      <c r="K1612" s="0" t="s">
        <v>60</v>
      </c>
      <c r="L1612" s="0" t="n">
        <f aca="false">INDEX(Summary!$F$2:$F$201,MATCH($B1612,Summary!$A$2:$A$201,0))</f>
        <v>20</v>
      </c>
      <c r="M1612" s="0" t="n">
        <f aca="false">INDEX(Summary!$I$2:$I$201,MATCH($B1612,Summary!$A$2:$A$201,0))</f>
        <v>2</v>
      </c>
      <c r="N1612" s="0" t="n">
        <f aca="false">INDEX(Summary!$J$2:$J$201,MATCH($B1612,Summary!$A$2:$A$201,0))</f>
        <v>3</v>
      </c>
      <c r="O1612" s="2" t="n">
        <f aca="false">INDEX(Summary!$K$2:$K$201,MATCH($B1612,Summary!$A$2:$A$201,0))</f>
        <v>8.92</v>
      </c>
      <c r="P1612" s="3" t="n">
        <f aca="false">INDEX(Summary!$L$2:$L$201,MATCH($B1612,Summary!$A$2:$A$201,0))</f>
        <v>4</v>
      </c>
      <c r="Q1612" s="3" t="n">
        <f aca="false">INDEX(Summary!$M$2:$M$201,MATCH($B1612,Summary!$A$2:$A$201,0))</f>
        <v>2</v>
      </c>
      <c r="R1612" s="2" t="n">
        <f aca="false">INDEX(Summary!$N$2:$N$201,MATCH($B1612,Summary!$A$2:$A$201,0))</f>
        <v>10.97</v>
      </c>
      <c r="S1612" s="3" t="n">
        <f aca="false">INDEX(Summary!$O$2:$O$201,MATCH($B1612,Summary!$A$2:$A$201,0))</f>
        <v>8</v>
      </c>
      <c r="T1612" s="3" t="n">
        <f aca="false">INDEX(Summary!$P$2:$P$201,MATCH($B1612,Summary!$A$2:$A$201,0))</f>
        <v>1</v>
      </c>
      <c r="U1612" s="2" t="n">
        <f aca="false">INDEX(Summary!$Q$2:$Q$201,MATCH($B1612,Summary!$A$2:$A$201,0))</f>
        <v>13.22</v>
      </c>
      <c r="V1612" s="2" t="n">
        <f aca="false">INDEX(Summary!$R$2:$R$201,MATCH($B1612,Summary!$A$2:$A$201,0))</f>
        <v>24.35</v>
      </c>
      <c r="W1612" s="0" t="str">
        <f aca="false">INDEX(Summary!$S$2:$S$201,MATCH($B1612,Summary!$A$2:$A$201,0))</f>
        <v>Silver</v>
      </c>
      <c r="X1612" s="2" t="n">
        <f aca="false">INDEX(Summary!$T$2:$T$201,MATCH($B1612,Summary!$A$2:$A$201,0))</f>
        <v>59.39</v>
      </c>
      <c r="Y1612" s="0" t="str">
        <f aca="false">INDEX('Reward Model'!$E$18:$E$37,MATCH($E1612,'Reward Model'!$A$18:$A$37,0))</f>
        <v>Medium</v>
      </c>
      <c r="Z1612" s="4" t="n">
        <f aca="false">ROUND(MIN(1,MAX('Reward Model'!$B$2,INDEX('Reward Model'!$C$12:$C$14,MATCH($K1612,'Reward Model'!$A$12:$A$14,0))/$J1612)),3)</f>
        <v>0.853</v>
      </c>
      <c r="AA1612" s="2" t="n">
        <f aca="false">IF($I1612="Correct",ROUND(INDEX('Reward Model'!$B$12:$B$14,MATCH($K1612,'Reward Model'!$A$12:$A$14,0))*Z1612,2),0)</f>
        <v>1.71</v>
      </c>
      <c r="AB1612" s="2" t="n">
        <f aca="false">IF($I1612="Correct",ROUND(INDEX('Reward Model'!$B$12:$B$14,MATCH($Y1612,'Reward Model'!$A$12:$A$14,0))*Z1612,2),0)</f>
        <v>1.71</v>
      </c>
    </row>
    <row r="1613" customFormat="false" ht="15" hidden="false" customHeight="false" outlineLevel="0" collapsed="false">
      <c r="A1613" s="0" t="s">
        <v>290</v>
      </c>
      <c r="B1613" s="0" t="s">
        <v>291</v>
      </c>
      <c r="C1613" s="0" t="s">
        <v>30</v>
      </c>
      <c r="D1613" s="0" t="s">
        <v>275</v>
      </c>
      <c r="E1613" s="0" t="n">
        <v>12</v>
      </c>
      <c r="F1613" s="0" t="s">
        <v>64</v>
      </c>
      <c r="G1613" s="0" t="s">
        <v>65</v>
      </c>
      <c r="H1613" s="0" t="s">
        <v>65</v>
      </c>
      <c r="I1613" s="0" t="s">
        <v>34</v>
      </c>
      <c r="J1613" s="0" t="n">
        <v>1.75</v>
      </c>
      <c r="K1613" s="0" t="s">
        <v>60</v>
      </c>
      <c r="L1613" s="0" t="n">
        <f aca="false">INDEX(Summary!$F$2:$F$201,MATCH($B1613,Summary!$A$2:$A$201,0))</f>
        <v>20</v>
      </c>
      <c r="M1613" s="0" t="n">
        <f aca="false">INDEX(Summary!$I$2:$I$201,MATCH($B1613,Summary!$A$2:$A$201,0))</f>
        <v>2</v>
      </c>
      <c r="N1613" s="0" t="n">
        <f aca="false">INDEX(Summary!$J$2:$J$201,MATCH($B1613,Summary!$A$2:$A$201,0))</f>
        <v>3</v>
      </c>
      <c r="O1613" s="2" t="n">
        <f aca="false">INDEX(Summary!$K$2:$K$201,MATCH($B1613,Summary!$A$2:$A$201,0))</f>
        <v>8.92</v>
      </c>
      <c r="P1613" s="3" t="n">
        <f aca="false">INDEX(Summary!$L$2:$L$201,MATCH($B1613,Summary!$A$2:$A$201,0))</f>
        <v>4</v>
      </c>
      <c r="Q1613" s="3" t="n">
        <f aca="false">INDEX(Summary!$M$2:$M$201,MATCH($B1613,Summary!$A$2:$A$201,0))</f>
        <v>2</v>
      </c>
      <c r="R1613" s="2" t="n">
        <f aca="false">INDEX(Summary!$N$2:$N$201,MATCH($B1613,Summary!$A$2:$A$201,0))</f>
        <v>10.97</v>
      </c>
      <c r="S1613" s="3" t="n">
        <f aca="false">INDEX(Summary!$O$2:$O$201,MATCH($B1613,Summary!$A$2:$A$201,0))</f>
        <v>8</v>
      </c>
      <c r="T1613" s="3" t="n">
        <f aca="false">INDEX(Summary!$P$2:$P$201,MATCH($B1613,Summary!$A$2:$A$201,0))</f>
        <v>1</v>
      </c>
      <c r="U1613" s="2" t="n">
        <f aca="false">INDEX(Summary!$Q$2:$Q$201,MATCH($B1613,Summary!$A$2:$A$201,0))</f>
        <v>13.22</v>
      </c>
      <c r="V1613" s="2" t="n">
        <f aca="false">INDEX(Summary!$R$2:$R$201,MATCH($B1613,Summary!$A$2:$A$201,0))</f>
        <v>24.35</v>
      </c>
      <c r="W1613" s="0" t="str">
        <f aca="false">INDEX(Summary!$S$2:$S$201,MATCH($B1613,Summary!$A$2:$A$201,0))</f>
        <v>Silver</v>
      </c>
      <c r="X1613" s="2" t="n">
        <f aca="false">INDEX(Summary!$T$2:$T$201,MATCH($B1613,Summary!$A$2:$A$201,0))</f>
        <v>59.39</v>
      </c>
      <c r="Y1613" s="0" t="str">
        <f aca="false">INDEX('Reward Model'!$E$18:$E$37,MATCH($E1613,'Reward Model'!$A$18:$A$37,0))</f>
        <v>Medium</v>
      </c>
      <c r="Z1613" s="4" t="n">
        <f aca="false">ROUND(MIN(1,MAX('Reward Model'!$B$2,INDEX('Reward Model'!$C$12:$C$14,MATCH($K1613,'Reward Model'!$A$12:$A$14,0))/$J1613)),3)</f>
        <v>1</v>
      </c>
      <c r="AA1613" s="2" t="n">
        <f aca="false">IF($I1613="Correct",ROUND(INDEX('Reward Model'!$B$12:$B$14,MATCH($K1613,'Reward Model'!$A$12:$A$14,0))*Z1613,2),0)</f>
        <v>2</v>
      </c>
      <c r="AB1613" s="2" t="n">
        <f aca="false">IF($I1613="Correct",ROUND(INDEX('Reward Model'!$B$12:$B$14,MATCH($Y1613,'Reward Model'!$A$12:$A$14,0))*Z1613,2),0)</f>
        <v>2</v>
      </c>
    </row>
    <row r="1614" customFormat="false" ht="15" hidden="false" customHeight="false" outlineLevel="0" collapsed="false">
      <c r="A1614" s="0" t="s">
        <v>290</v>
      </c>
      <c r="B1614" s="0" t="s">
        <v>291</v>
      </c>
      <c r="C1614" s="0" t="s">
        <v>30</v>
      </c>
      <c r="D1614" s="0" t="s">
        <v>275</v>
      </c>
      <c r="E1614" s="0" t="n">
        <v>13</v>
      </c>
      <c r="F1614" s="0" t="s">
        <v>66</v>
      </c>
      <c r="G1614" s="0" t="s">
        <v>117</v>
      </c>
      <c r="H1614" s="0" t="s">
        <v>67</v>
      </c>
      <c r="I1614" s="0" t="s">
        <v>39</v>
      </c>
      <c r="J1614" s="0" t="n">
        <v>1.67</v>
      </c>
      <c r="K1614" s="0" t="s">
        <v>60</v>
      </c>
      <c r="L1614" s="0" t="n">
        <f aca="false">INDEX(Summary!$F$2:$F$201,MATCH($B1614,Summary!$A$2:$A$201,0))</f>
        <v>20</v>
      </c>
      <c r="M1614" s="0" t="n">
        <f aca="false">INDEX(Summary!$I$2:$I$201,MATCH($B1614,Summary!$A$2:$A$201,0))</f>
        <v>2</v>
      </c>
      <c r="N1614" s="0" t="n">
        <f aca="false">INDEX(Summary!$J$2:$J$201,MATCH($B1614,Summary!$A$2:$A$201,0))</f>
        <v>3</v>
      </c>
      <c r="O1614" s="2" t="n">
        <f aca="false">INDEX(Summary!$K$2:$K$201,MATCH($B1614,Summary!$A$2:$A$201,0))</f>
        <v>8.92</v>
      </c>
      <c r="P1614" s="3" t="n">
        <f aca="false">INDEX(Summary!$L$2:$L$201,MATCH($B1614,Summary!$A$2:$A$201,0))</f>
        <v>4</v>
      </c>
      <c r="Q1614" s="3" t="n">
        <f aca="false">INDEX(Summary!$M$2:$M$201,MATCH($B1614,Summary!$A$2:$A$201,0))</f>
        <v>2</v>
      </c>
      <c r="R1614" s="2" t="n">
        <f aca="false">INDEX(Summary!$N$2:$N$201,MATCH($B1614,Summary!$A$2:$A$201,0))</f>
        <v>10.97</v>
      </c>
      <c r="S1614" s="3" t="n">
        <f aca="false">INDEX(Summary!$O$2:$O$201,MATCH($B1614,Summary!$A$2:$A$201,0))</f>
        <v>8</v>
      </c>
      <c r="T1614" s="3" t="n">
        <f aca="false">INDEX(Summary!$P$2:$P$201,MATCH($B1614,Summary!$A$2:$A$201,0))</f>
        <v>1</v>
      </c>
      <c r="U1614" s="2" t="n">
        <f aca="false">INDEX(Summary!$Q$2:$Q$201,MATCH($B1614,Summary!$A$2:$A$201,0))</f>
        <v>13.22</v>
      </c>
      <c r="V1614" s="2" t="n">
        <f aca="false">INDEX(Summary!$R$2:$R$201,MATCH($B1614,Summary!$A$2:$A$201,0))</f>
        <v>24.35</v>
      </c>
      <c r="W1614" s="0" t="str">
        <f aca="false">INDEX(Summary!$S$2:$S$201,MATCH($B1614,Summary!$A$2:$A$201,0))</f>
        <v>Silver</v>
      </c>
      <c r="X1614" s="2" t="n">
        <f aca="false">INDEX(Summary!$T$2:$T$201,MATCH($B1614,Summary!$A$2:$A$201,0))</f>
        <v>59.39</v>
      </c>
      <c r="Y1614" s="0" t="str">
        <f aca="false">INDEX('Reward Model'!$E$18:$E$37,MATCH($E1614,'Reward Model'!$A$18:$A$37,0))</f>
        <v>Medium</v>
      </c>
      <c r="Z1614" s="4" t="n">
        <f aca="false">ROUND(MIN(1,MAX('Reward Model'!$B$2,INDEX('Reward Model'!$C$12:$C$14,MATCH($K1614,'Reward Model'!$A$12:$A$14,0))/$J1614)),3)</f>
        <v>1</v>
      </c>
      <c r="AA1614" s="2" t="n">
        <f aca="false">IF($I1614="Correct",ROUND(INDEX('Reward Model'!$B$12:$B$14,MATCH($K1614,'Reward Model'!$A$12:$A$14,0))*Z1614,2),0)</f>
        <v>0</v>
      </c>
      <c r="AB1614" s="2" t="n">
        <f aca="false">IF($I1614="Correct",ROUND(INDEX('Reward Model'!$B$12:$B$14,MATCH($Y1614,'Reward Model'!$A$12:$A$14,0))*Z1614,2),0)</f>
        <v>0</v>
      </c>
    </row>
    <row r="1615" customFormat="false" ht="15" hidden="false" customHeight="false" outlineLevel="0" collapsed="false">
      <c r="A1615" s="0" t="s">
        <v>290</v>
      </c>
      <c r="B1615" s="0" t="s">
        <v>291</v>
      </c>
      <c r="C1615" s="0" t="s">
        <v>30</v>
      </c>
      <c r="D1615" s="0" t="s">
        <v>275</v>
      </c>
      <c r="E1615" s="0" t="n">
        <v>14</v>
      </c>
      <c r="F1615" s="0" t="s">
        <v>68</v>
      </c>
      <c r="G1615" s="0" t="s">
        <v>51</v>
      </c>
      <c r="H1615" s="0" t="s">
        <v>51</v>
      </c>
      <c r="I1615" s="0" t="s">
        <v>34</v>
      </c>
      <c r="J1615" s="0" t="n">
        <v>1.28</v>
      </c>
      <c r="K1615" s="0" t="s">
        <v>60</v>
      </c>
      <c r="L1615" s="0" t="n">
        <f aca="false">INDEX(Summary!$F$2:$F$201,MATCH($B1615,Summary!$A$2:$A$201,0))</f>
        <v>20</v>
      </c>
      <c r="M1615" s="0" t="n">
        <f aca="false">INDEX(Summary!$I$2:$I$201,MATCH($B1615,Summary!$A$2:$A$201,0))</f>
        <v>2</v>
      </c>
      <c r="N1615" s="0" t="n">
        <f aca="false">INDEX(Summary!$J$2:$J$201,MATCH($B1615,Summary!$A$2:$A$201,0))</f>
        <v>3</v>
      </c>
      <c r="O1615" s="2" t="n">
        <f aca="false">INDEX(Summary!$K$2:$K$201,MATCH($B1615,Summary!$A$2:$A$201,0))</f>
        <v>8.92</v>
      </c>
      <c r="P1615" s="3" t="n">
        <f aca="false">INDEX(Summary!$L$2:$L$201,MATCH($B1615,Summary!$A$2:$A$201,0))</f>
        <v>4</v>
      </c>
      <c r="Q1615" s="3" t="n">
        <f aca="false">INDEX(Summary!$M$2:$M$201,MATCH($B1615,Summary!$A$2:$A$201,0))</f>
        <v>2</v>
      </c>
      <c r="R1615" s="2" t="n">
        <f aca="false">INDEX(Summary!$N$2:$N$201,MATCH($B1615,Summary!$A$2:$A$201,0))</f>
        <v>10.97</v>
      </c>
      <c r="S1615" s="3" t="n">
        <f aca="false">INDEX(Summary!$O$2:$O$201,MATCH($B1615,Summary!$A$2:$A$201,0))</f>
        <v>8</v>
      </c>
      <c r="T1615" s="3" t="n">
        <f aca="false">INDEX(Summary!$P$2:$P$201,MATCH($B1615,Summary!$A$2:$A$201,0))</f>
        <v>1</v>
      </c>
      <c r="U1615" s="2" t="n">
        <f aca="false">INDEX(Summary!$Q$2:$Q$201,MATCH($B1615,Summary!$A$2:$A$201,0))</f>
        <v>13.22</v>
      </c>
      <c r="V1615" s="2" t="n">
        <f aca="false">INDEX(Summary!$R$2:$R$201,MATCH($B1615,Summary!$A$2:$A$201,0))</f>
        <v>24.35</v>
      </c>
      <c r="W1615" s="0" t="str">
        <f aca="false">INDEX(Summary!$S$2:$S$201,MATCH($B1615,Summary!$A$2:$A$201,0))</f>
        <v>Silver</v>
      </c>
      <c r="X1615" s="2" t="n">
        <f aca="false">INDEX(Summary!$T$2:$T$201,MATCH($B1615,Summary!$A$2:$A$201,0))</f>
        <v>59.39</v>
      </c>
      <c r="Y1615" s="0" t="str">
        <f aca="false">INDEX('Reward Model'!$E$18:$E$37,MATCH($E1615,'Reward Model'!$A$18:$A$37,0))</f>
        <v>Medium</v>
      </c>
      <c r="Z1615" s="4" t="n">
        <f aca="false">ROUND(MIN(1,MAX('Reward Model'!$B$2,INDEX('Reward Model'!$C$12:$C$14,MATCH($K1615,'Reward Model'!$A$12:$A$14,0))/$J1615)),3)</f>
        <v>1</v>
      </c>
      <c r="AA1615" s="2" t="n">
        <f aca="false">IF($I1615="Correct",ROUND(INDEX('Reward Model'!$B$12:$B$14,MATCH($K1615,'Reward Model'!$A$12:$A$14,0))*Z1615,2),0)</f>
        <v>2</v>
      </c>
      <c r="AB1615" s="2" t="n">
        <f aca="false">IF($I1615="Correct",ROUND(INDEX('Reward Model'!$B$12:$B$14,MATCH($Y1615,'Reward Model'!$A$12:$A$14,0))*Z1615,2),0)</f>
        <v>2</v>
      </c>
    </row>
    <row r="1616" customFormat="false" ht="15" hidden="false" customHeight="false" outlineLevel="0" collapsed="false">
      <c r="A1616" s="0" t="s">
        <v>290</v>
      </c>
      <c r="B1616" s="0" t="s">
        <v>291</v>
      </c>
      <c r="C1616" s="0" t="s">
        <v>30</v>
      </c>
      <c r="D1616" s="0" t="s">
        <v>275</v>
      </c>
      <c r="E1616" s="0" t="n">
        <v>15</v>
      </c>
      <c r="F1616" s="0" t="s">
        <v>69</v>
      </c>
      <c r="G1616" s="0" t="s">
        <v>131</v>
      </c>
      <c r="H1616" s="0" t="s">
        <v>70</v>
      </c>
      <c r="I1616" s="0" t="s">
        <v>39</v>
      </c>
      <c r="J1616" s="0" t="n">
        <v>1.89</v>
      </c>
      <c r="K1616" s="0" t="s">
        <v>60</v>
      </c>
      <c r="L1616" s="0" t="n">
        <f aca="false">INDEX(Summary!$F$2:$F$201,MATCH($B1616,Summary!$A$2:$A$201,0))</f>
        <v>20</v>
      </c>
      <c r="M1616" s="0" t="n">
        <f aca="false">INDEX(Summary!$I$2:$I$201,MATCH($B1616,Summary!$A$2:$A$201,0))</f>
        <v>2</v>
      </c>
      <c r="N1616" s="0" t="n">
        <f aca="false">INDEX(Summary!$J$2:$J$201,MATCH($B1616,Summary!$A$2:$A$201,0))</f>
        <v>3</v>
      </c>
      <c r="O1616" s="2" t="n">
        <f aca="false">INDEX(Summary!$K$2:$K$201,MATCH($B1616,Summary!$A$2:$A$201,0))</f>
        <v>8.92</v>
      </c>
      <c r="P1616" s="3" t="n">
        <f aca="false">INDEX(Summary!$L$2:$L$201,MATCH($B1616,Summary!$A$2:$A$201,0))</f>
        <v>4</v>
      </c>
      <c r="Q1616" s="3" t="n">
        <f aca="false">INDEX(Summary!$M$2:$M$201,MATCH($B1616,Summary!$A$2:$A$201,0))</f>
        <v>2</v>
      </c>
      <c r="R1616" s="2" t="n">
        <f aca="false">INDEX(Summary!$N$2:$N$201,MATCH($B1616,Summary!$A$2:$A$201,0))</f>
        <v>10.97</v>
      </c>
      <c r="S1616" s="3" t="n">
        <f aca="false">INDEX(Summary!$O$2:$O$201,MATCH($B1616,Summary!$A$2:$A$201,0))</f>
        <v>8</v>
      </c>
      <c r="T1616" s="3" t="n">
        <f aca="false">INDEX(Summary!$P$2:$P$201,MATCH($B1616,Summary!$A$2:$A$201,0))</f>
        <v>1</v>
      </c>
      <c r="U1616" s="2" t="n">
        <f aca="false">INDEX(Summary!$Q$2:$Q$201,MATCH($B1616,Summary!$A$2:$A$201,0))</f>
        <v>13.22</v>
      </c>
      <c r="V1616" s="2" t="n">
        <f aca="false">INDEX(Summary!$R$2:$R$201,MATCH($B1616,Summary!$A$2:$A$201,0))</f>
        <v>24.35</v>
      </c>
      <c r="W1616" s="0" t="str">
        <f aca="false">INDEX(Summary!$S$2:$S$201,MATCH($B1616,Summary!$A$2:$A$201,0))</f>
        <v>Silver</v>
      </c>
      <c r="X1616" s="2" t="n">
        <f aca="false">INDEX(Summary!$T$2:$T$201,MATCH($B1616,Summary!$A$2:$A$201,0))</f>
        <v>59.39</v>
      </c>
      <c r="Y1616" s="0" t="str">
        <f aca="false">INDEX('Reward Model'!$E$18:$E$37,MATCH($E1616,'Reward Model'!$A$18:$A$37,0))</f>
        <v>Medium</v>
      </c>
      <c r="Z1616" s="4" t="n">
        <f aca="false">ROUND(MIN(1,MAX('Reward Model'!$B$2,INDEX('Reward Model'!$C$12:$C$14,MATCH($K1616,'Reward Model'!$A$12:$A$14,0))/$J1616)),3)</f>
        <v>0.952</v>
      </c>
      <c r="AA1616" s="2" t="n">
        <f aca="false">IF($I1616="Correct",ROUND(INDEX('Reward Model'!$B$12:$B$14,MATCH($K1616,'Reward Model'!$A$12:$A$14,0))*Z1616,2),0)</f>
        <v>0</v>
      </c>
      <c r="AB1616" s="2" t="n">
        <f aca="false">IF($I1616="Correct",ROUND(INDEX('Reward Model'!$B$12:$B$14,MATCH($Y1616,'Reward Model'!$A$12:$A$14,0))*Z1616,2),0)</f>
        <v>0</v>
      </c>
    </row>
    <row r="1617" customFormat="false" ht="15" hidden="false" customHeight="false" outlineLevel="0" collapsed="false">
      <c r="A1617" s="0" t="s">
        <v>290</v>
      </c>
      <c r="B1617" s="0" t="s">
        <v>291</v>
      </c>
      <c r="C1617" s="0" t="s">
        <v>30</v>
      </c>
      <c r="D1617" s="0" t="s">
        <v>275</v>
      </c>
      <c r="E1617" s="0" t="n">
        <v>16</v>
      </c>
      <c r="F1617" s="0" t="s">
        <v>71</v>
      </c>
      <c r="G1617" s="0" t="s">
        <v>72</v>
      </c>
      <c r="H1617" s="0" t="s">
        <v>72</v>
      </c>
      <c r="I1617" s="0" t="s">
        <v>34</v>
      </c>
      <c r="J1617" s="0" t="n">
        <v>1.41</v>
      </c>
      <c r="K1617" s="0" t="s">
        <v>73</v>
      </c>
      <c r="L1617" s="0" t="n">
        <f aca="false">INDEX(Summary!$F$2:$F$201,MATCH($B1617,Summary!$A$2:$A$201,0))</f>
        <v>20</v>
      </c>
      <c r="M1617" s="0" t="n">
        <f aca="false">INDEX(Summary!$I$2:$I$201,MATCH($B1617,Summary!$A$2:$A$201,0))</f>
        <v>2</v>
      </c>
      <c r="N1617" s="0" t="n">
        <f aca="false">INDEX(Summary!$J$2:$J$201,MATCH($B1617,Summary!$A$2:$A$201,0))</f>
        <v>3</v>
      </c>
      <c r="O1617" s="2" t="n">
        <f aca="false">INDEX(Summary!$K$2:$K$201,MATCH($B1617,Summary!$A$2:$A$201,0))</f>
        <v>8.92</v>
      </c>
      <c r="P1617" s="3" t="n">
        <f aca="false">INDEX(Summary!$L$2:$L$201,MATCH($B1617,Summary!$A$2:$A$201,0))</f>
        <v>4</v>
      </c>
      <c r="Q1617" s="3" t="n">
        <f aca="false">INDEX(Summary!$M$2:$M$201,MATCH($B1617,Summary!$A$2:$A$201,0))</f>
        <v>2</v>
      </c>
      <c r="R1617" s="2" t="n">
        <f aca="false">INDEX(Summary!$N$2:$N$201,MATCH($B1617,Summary!$A$2:$A$201,0))</f>
        <v>10.97</v>
      </c>
      <c r="S1617" s="3" t="n">
        <f aca="false">INDEX(Summary!$O$2:$O$201,MATCH($B1617,Summary!$A$2:$A$201,0))</f>
        <v>8</v>
      </c>
      <c r="T1617" s="3" t="n">
        <f aca="false">INDEX(Summary!$P$2:$P$201,MATCH($B1617,Summary!$A$2:$A$201,0))</f>
        <v>1</v>
      </c>
      <c r="U1617" s="2" t="n">
        <f aca="false">INDEX(Summary!$Q$2:$Q$201,MATCH($B1617,Summary!$A$2:$A$201,0))</f>
        <v>13.22</v>
      </c>
      <c r="V1617" s="2" t="n">
        <f aca="false">INDEX(Summary!$R$2:$R$201,MATCH($B1617,Summary!$A$2:$A$201,0))</f>
        <v>24.35</v>
      </c>
      <c r="W1617" s="0" t="str">
        <f aca="false">INDEX(Summary!$S$2:$S$201,MATCH($B1617,Summary!$A$2:$A$201,0))</f>
        <v>Silver</v>
      </c>
      <c r="X1617" s="2" t="n">
        <f aca="false">INDEX(Summary!$T$2:$T$201,MATCH($B1617,Summary!$A$2:$A$201,0))</f>
        <v>59.39</v>
      </c>
      <c r="Y1617" s="0" t="str">
        <f aca="false">INDEX('Reward Model'!$E$18:$E$37,MATCH($E1617,'Reward Model'!$A$18:$A$37,0))</f>
        <v>High</v>
      </c>
      <c r="Z1617" s="4" t="n">
        <f aca="false">ROUND(MIN(1,MAX('Reward Model'!$B$2,INDEX('Reward Model'!$C$12:$C$14,MATCH($K1617,'Reward Model'!$A$12:$A$14,0))/$J1617)),3)</f>
        <v>1</v>
      </c>
      <c r="AA1617" s="2" t="n">
        <f aca="false">IF($I1617="Correct",ROUND(INDEX('Reward Model'!$B$12:$B$14,MATCH($K1617,'Reward Model'!$A$12:$A$14,0))*Z1617,2),0)</f>
        <v>3</v>
      </c>
      <c r="AB1617" s="2" t="n">
        <f aca="false">IF($I1617="Correct",ROUND(INDEX('Reward Model'!$B$12:$B$14,MATCH($Y1617,'Reward Model'!$A$12:$A$14,0))*Z1617,2),0)</f>
        <v>3</v>
      </c>
    </row>
    <row r="1618" customFormat="false" ht="15" hidden="false" customHeight="false" outlineLevel="0" collapsed="false">
      <c r="A1618" s="0" t="s">
        <v>290</v>
      </c>
      <c r="B1618" s="0" t="s">
        <v>291</v>
      </c>
      <c r="C1618" s="0" t="s">
        <v>30</v>
      </c>
      <c r="D1618" s="0" t="s">
        <v>275</v>
      </c>
      <c r="E1618" s="0" t="n">
        <v>17</v>
      </c>
      <c r="F1618" s="0" t="s">
        <v>74</v>
      </c>
      <c r="G1618" s="0" t="s">
        <v>113</v>
      </c>
      <c r="H1618" s="0" t="s">
        <v>75</v>
      </c>
      <c r="I1618" s="0" t="s">
        <v>39</v>
      </c>
      <c r="J1618" s="0" t="n">
        <v>1.32</v>
      </c>
      <c r="K1618" s="0" t="s">
        <v>73</v>
      </c>
      <c r="L1618" s="0" t="n">
        <f aca="false">INDEX(Summary!$F$2:$F$201,MATCH($B1618,Summary!$A$2:$A$201,0))</f>
        <v>20</v>
      </c>
      <c r="M1618" s="0" t="n">
        <f aca="false">INDEX(Summary!$I$2:$I$201,MATCH($B1618,Summary!$A$2:$A$201,0))</f>
        <v>2</v>
      </c>
      <c r="N1618" s="0" t="n">
        <f aca="false">INDEX(Summary!$J$2:$J$201,MATCH($B1618,Summary!$A$2:$A$201,0))</f>
        <v>3</v>
      </c>
      <c r="O1618" s="2" t="n">
        <f aca="false">INDEX(Summary!$K$2:$K$201,MATCH($B1618,Summary!$A$2:$A$201,0))</f>
        <v>8.92</v>
      </c>
      <c r="P1618" s="3" t="n">
        <f aca="false">INDEX(Summary!$L$2:$L$201,MATCH($B1618,Summary!$A$2:$A$201,0))</f>
        <v>4</v>
      </c>
      <c r="Q1618" s="3" t="n">
        <f aca="false">INDEX(Summary!$M$2:$M$201,MATCH($B1618,Summary!$A$2:$A$201,0))</f>
        <v>2</v>
      </c>
      <c r="R1618" s="2" t="n">
        <f aca="false">INDEX(Summary!$N$2:$N$201,MATCH($B1618,Summary!$A$2:$A$201,0))</f>
        <v>10.97</v>
      </c>
      <c r="S1618" s="3" t="n">
        <f aca="false">INDEX(Summary!$O$2:$O$201,MATCH($B1618,Summary!$A$2:$A$201,0))</f>
        <v>8</v>
      </c>
      <c r="T1618" s="3" t="n">
        <f aca="false">INDEX(Summary!$P$2:$P$201,MATCH($B1618,Summary!$A$2:$A$201,0))</f>
        <v>1</v>
      </c>
      <c r="U1618" s="2" t="n">
        <f aca="false">INDEX(Summary!$Q$2:$Q$201,MATCH($B1618,Summary!$A$2:$A$201,0))</f>
        <v>13.22</v>
      </c>
      <c r="V1618" s="2" t="n">
        <f aca="false">INDEX(Summary!$R$2:$R$201,MATCH($B1618,Summary!$A$2:$A$201,0))</f>
        <v>24.35</v>
      </c>
      <c r="W1618" s="0" t="str">
        <f aca="false">INDEX(Summary!$S$2:$S$201,MATCH($B1618,Summary!$A$2:$A$201,0))</f>
        <v>Silver</v>
      </c>
      <c r="X1618" s="2" t="n">
        <f aca="false">INDEX(Summary!$T$2:$T$201,MATCH($B1618,Summary!$A$2:$A$201,0))</f>
        <v>59.39</v>
      </c>
      <c r="Y1618" s="0" t="str">
        <f aca="false">INDEX('Reward Model'!$E$18:$E$37,MATCH($E1618,'Reward Model'!$A$18:$A$37,0))</f>
        <v>High</v>
      </c>
      <c r="Z1618" s="4" t="n">
        <f aca="false">ROUND(MIN(1,MAX('Reward Model'!$B$2,INDEX('Reward Model'!$C$12:$C$14,MATCH($K1618,'Reward Model'!$A$12:$A$14,0))/$J1618)),3)</f>
        <v>1</v>
      </c>
      <c r="AA1618" s="2" t="n">
        <f aca="false">IF($I1618="Correct",ROUND(INDEX('Reward Model'!$B$12:$B$14,MATCH($K1618,'Reward Model'!$A$12:$A$14,0))*Z1618,2),0)</f>
        <v>0</v>
      </c>
      <c r="AB1618" s="2" t="n">
        <f aca="false">IF($I1618="Correct",ROUND(INDEX('Reward Model'!$B$12:$B$14,MATCH($Y1618,'Reward Model'!$A$12:$A$14,0))*Z1618,2),0)</f>
        <v>0</v>
      </c>
    </row>
    <row r="1619" customFormat="false" ht="15" hidden="false" customHeight="false" outlineLevel="0" collapsed="false">
      <c r="A1619" s="0" t="s">
        <v>290</v>
      </c>
      <c r="B1619" s="0" t="s">
        <v>291</v>
      </c>
      <c r="C1619" s="0" t="s">
        <v>30</v>
      </c>
      <c r="D1619" s="0" t="s">
        <v>275</v>
      </c>
      <c r="E1619" s="0" t="n">
        <v>18</v>
      </c>
      <c r="F1619" s="0" t="s">
        <v>76</v>
      </c>
      <c r="G1619" s="0" t="s">
        <v>56</v>
      </c>
      <c r="H1619" s="0" t="s">
        <v>77</v>
      </c>
      <c r="I1619" s="0" t="s">
        <v>39</v>
      </c>
      <c r="J1619" s="0" t="n">
        <v>2.26</v>
      </c>
      <c r="K1619" s="0" t="s">
        <v>73</v>
      </c>
      <c r="L1619" s="0" t="n">
        <f aca="false">INDEX(Summary!$F$2:$F$201,MATCH($B1619,Summary!$A$2:$A$201,0))</f>
        <v>20</v>
      </c>
      <c r="M1619" s="0" t="n">
        <f aca="false">INDEX(Summary!$I$2:$I$201,MATCH($B1619,Summary!$A$2:$A$201,0))</f>
        <v>2</v>
      </c>
      <c r="N1619" s="0" t="n">
        <f aca="false">INDEX(Summary!$J$2:$J$201,MATCH($B1619,Summary!$A$2:$A$201,0))</f>
        <v>3</v>
      </c>
      <c r="O1619" s="2" t="n">
        <f aca="false">INDEX(Summary!$K$2:$K$201,MATCH($B1619,Summary!$A$2:$A$201,0))</f>
        <v>8.92</v>
      </c>
      <c r="P1619" s="3" t="n">
        <f aca="false">INDEX(Summary!$L$2:$L$201,MATCH($B1619,Summary!$A$2:$A$201,0))</f>
        <v>4</v>
      </c>
      <c r="Q1619" s="3" t="n">
        <f aca="false">INDEX(Summary!$M$2:$M$201,MATCH($B1619,Summary!$A$2:$A$201,0))</f>
        <v>2</v>
      </c>
      <c r="R1619" s="2" t="n">
        <f aca="false">INDEX(Summary!$N$2:$N$201,MATCH($B1619,Summary!$A$2:$A$201,0))</f>
        <v>10.97</v>
      </c>
      <c r="S1619" s="3" t="n">
        <f aca="false">INDEX(Summary!$O$2:$O$201,MATCH($B1619,Summary!$A$2:$A$201,0))</f>
        <v>8</v>
      </c>
      <c r="T1619" s="3" t="n">
        <f aca="false">INDEX(Summary!$P$2:$P$201,MATCH($B1619,Summary!$A$2:$A$201,0))</f>
        <v>1</v>
      </c>
      <c r="U1619" s="2" t="n">
        <f aca="false">INDEX(Summary!$Q$2:$Q$201,MATCH($B1619,Summary!$A$2:$A$201,0))</f>
        <v>13.22</v>
      </c>
      <c r="V1619" s="2" t="n">
        <f aca="false">INDEX(Summary!$R$2:$R$201,MATCH($B1619,Summary!$A$2:$A$201,0))</f>
        <v>24.35</v>
      </c>
      <c r="W1619" s="0" t="str">
        <f aca="false">INDEX(Summary!$S$2:$S$201,MATCH($B1619,Summary!$A$2:$A$201,0))</f>
        <v>Silver</v>
      </c>
      <c r="X1619" s="2" t="n">
        <f aca="false">INDEX(Summary!$T$2:$T$201,MATCH($B1619,Summary!$A$2:$A$201,0))</f>
        <v>59.39</v>
      </c>
      <c r="Y1619" s="0" t="str">
        <f aca="false">INDEX('Reward Model'!$E$18:$E$37,MATCH($E1619,'Reward Model'!$A$18:$A$37,0))</f>
        <v>High</v>
      </c>
      <c r="Z1619" s="4" t="n">
        <f aca="false">ROUND(MIN(1,MAX('Reward Model'!$B$2,INDEX('Reward Model'!$C$12:$C$14,MATCH($K1619,'Reward Model'!$A$12:$A$14,0))/$J1619)),3)</f>
        <v>0.885</v>
      </c>
      <c r="AA1619" s="2" t="n">
        <f aca="false">IF($I1619="Correct",ROUND(INDEX('Reward Model'!$B$12:$B$14,MATCH($K1619,'Reward Model'!$A$12:$A$14,0))*Z1619,2),0)</f>
        <v>0</v>
      </c>
      <c r="AB1619" s="2" t="n">
        <f aca="false">IF($I1619="Correct",ROUND(INDEX('Reward Model'!$B$12:$B$14,MATCH($Y1619,'Reward Model'!$A$12:$A$14,0))*Z1619,2),0)</f>
        <v>0</v>
      </c>
    </row>
    <row r="1620" customFormat="false" ht="15" hidden="false" customHeight="false" outlineLevel="0" collapsed="false">
      <c r="A1620" s="0" t="s">
        <v>290</v>
      </c>
      <c r="B1620" s="0" t="s">
        <v>291</v>
      </c>
      <c r="C1620" s="0" t="s">
        <v>30</v>
      </c>
      <c r="D1620" s="0" t="s">
        <v>275</v>
      </c>
      <c r="E1620" s="0" t="n">
        <v>19</v>
      </c>
      <c r="F1620" s="0" t="s">
        <v>78</v>
      </c>
      <c r="G1620" s="0" t="s">
        <v>80</v>
      </c>
      <c r="H1620" s="0" t="s">
        <v>80</v>
      </c>
      <c r="I1620" s="0" t="s">
        <v>34</v>
      </c>
      <c r="J1620" s="0" t="n">
        <v>1.58</v>
      </c>
      <c r="K1620" s="0" t="s">
        <v>73</v>
      </c>
      <c r="L1620" s="0" t="n">
        <f aca="false">INDEX(Summary!$F$2:$F$201,MATCH($B1620,Summary!$A$2:$A$201,0))</f>
        <v>20</v>
      </c>
      <c r="M1620" s="0" t="n">
        <f aca="false">INDEX(Summary!$I$2:$I$201,MATCH($B1620,Summary!$A$2:$A$201,0))</f>
        <v>2</v>
      </c>
      <c r="N1620" s="0" t="n">
        <f aca="false">INDEX(Summary!$J$2:$J$201,MATCH($B1620,Summary!$A$2:$A$201,0))</f>
        <v>3</v>
      </c>
      <c r="O1620" s="2" t="n">
        <f aca="false">INDEX(Summary!$K$2:$K$201,MATCH($B1620,Summary!$A$2:$A$201,0))</f>
        <v>8.92</v>
      </c>
      <c r="P1620" s="3" t="n">
        <f aca="false">INDEX(Summary!$L$2:$L$201,MATCH($B1620,Summary!$A$2:$A$201,0))</f>
        <v>4</v>
      </c>
      <c r="Q1620" s="3" t="n">
        <f aca="false">INDEX(Summary!$M$2:$M$201,MATCH($B1620,Summary!$A$2:$A$201,0))</f>
        <v>2</v>
      </c>
      <c r="R1620" s="2" t="n">
        <f aca="false">INDEX(Summary!$N$2:$N$201,MATCH($B1620,Summary!$A$2:$A$201,0))</f>
        <v>10.97</v>
      </c>
      <c r="S1620" s="3" t="n">
        <f aca="false">INDEX(Summary!$O$2:$O$201,MATCH($B1620,Summary!$A$2:$A$201,0))</f>
        <v>8</v>
      </c>
      <c r="T1620" s="3" t="n">
        <f aca="false">INDEX(Summary!$P$2:$P$201,MATCH($B1620,Summary!$A$2:$A$201,0))</f>
        <v>1</v>
      </c>
      <c r="U1620" s="2" t="n">
        <f aca="false">INDEX(Summary!$Q$2:$Q$201,MATCH($B1620,Summary!$A$2:$A$201,0))</f>
        <v>13.22</v>
      </c>
      <c r="V1620" s="2" t="n">
        <f aca="false">INDEX(Summary!$R$2:$R$201,MATCH($B1620,Summary!$A$2:$A$201,0))</f>
        <v>24.35</v>
      </c>
      <c r="W1620" s="0" t="str">
        <f aca="false">INDEX(Summary!$S$2:$S$201,MATCH($B1620,Summary!$A$2:$A$201,0))</f>
        <v>Silver</v>
      </c>
      <c r="X1620" s="2" t="n">
        <f aca="false">INDEX(Summary!$T$2:$T$201,MATCH($B1620,Summary!$A$2:$A$201,0))</f>
        <v>59.39</v>
      </c>
      <c r="Y1620" s="0" t="str">
        <f aca="false">INDEX('Reward Model'!$E$18:$E$37,MATCH($E1620,'Reward Model'!$A$18:$A$37,0))</f>
        <v>High</v>
      </c>
      <c r="Z1620" s="4" t="n">
        <f aca="false">ROUND(MIN(1,MAX('Reward Model'!$B$2,INDEX('Reward Model'!$C$12:$C$14,MATCH($K1620,'Reward Model'!$A$12:$A$14,0))/$J1620)),3)</f>
        <v>1</v>
      </c>
      <c r="AA1620" s="2" t="n">
        <f aca="false">IF($I1620="Correct",ROUND(INDEX('Reward Model'!$B$12:$B$14,MATCH($K1620,'Reward Model'!$A$12:$A$14,0))*Z1620,2),0)</f>
        <v>3</v>
      </c>
      <c r="AB1620" s="2" t="n">
        <f aca="false">IF($I1620="Correct",ROUND(INDEX('Reward Model'!$B$12:$B$14,MATCH($Y1620,'Reward Model'!$A$12:$A$14,0))*Z1620,2),0)</f>
        <v>3</v>
      </c>
    </row>
    <row r="1621" customFormat="false" ht="15" hidden="false" customHeight="false" outlineLevel="0" collapsed="false">
      <c r="A1621" s="0" t="s">
        <v>290</v>
      </c>
      <c r="B1621" s="0" t="s">
        <v>291</v>
      </c>
      <c r="C1621" s="0" t="s">
        <v>30</v>
      </c>
      <c r="D1621" s="0" t="s">
        <v>275</v>
      </c>
      <c r="E1621" s="0" t="n">
        <v>20</v>
      </c>
      <c r="F1621" s="0" t="s">
        <v>81</v>
      </c>
      <c r="G1621" s="0" t="s">
        <v>119</v>
      </c>
      <c r="H1621" s="0" t="s">
        <v>83</v>
      </c>
      <c r="I1621" s="0" t="s">
        <v>39</v>
      </c>
      <c r="J1621" s="0" t="n">
        <v>2.35</v>
      </c>
      <c r="K1621" s="0" t="s">
        <v>73</v>
      </c>
      <c r="L1621" s="0" t="n">
        <f aca="false">INDEX(Summary!$F$2:$F$201,MATCH($B1621,Summary!$A$2:$A$201,0))</f>
        <v>20</v>
      </c>
      <c r="M1621" s="0" t="n">
        <f aca="false">INDEX(Summary!$I$2:$I$201,MATCH($B1621,Summary!$A$2:$A$201,0))</f>
        <v>2</v>
      </c>
      <c r="N1621" s="0" t="n">
        <f aca="false">INDEX(Summary!$J$2:$J$201,MATCH($B1621,Summary!$A$2:$A$201,0))</f>
        <v>3</v>
      </c>
      <c r="O1621" s="2" t="n">
        <f aca="false">INDEX(Summary!$K$2:$K$201,MATCH($B1621,Summary!$A$2:$A$201,0))</f>
        <v>8.92</v>
      </c>
      <c r="P1621" s="3" t="n">
        <f aca="false">INDEX(Summary!$L$2:$L$201,MATCH($B1621,Summary!$A$2:$A$201,0))</f>
        <v>4</v>
      </c>
      <c r="Q1621" s="3" t="n">
        <f aca="false">INDEX(Summary!$M$2:$M$201,MATCH($B1621,Summary!$A$2:$A$201,0))</f>
        <v>2</v>
      </c>
      <c r="R1621" s="2" t="n">
        <f aca="false">INDEX(Summary!$N$2:$N$201,MATCH($B1621,Summary!$A$2:$A$201,0))</f>
        <v>10.97</v>
      </c>
      <c r="S1621" s="3" t="n">
        <f aca="false">INDEX(Summary!$O$2:$O$201,MATCH($B1621,Summary!$A$2:$A$201,0))</f>
        <v>8</v>
      </c>
      <c r="T1621" s="3" t="n">
        <f aca="false">INDEX(Summary!$P$2:$P$201,MATCH($B1621,Summary!$A$2:$A$201,0))</f>
        <v>1</v>
      </c>
      <c r="U1621" s="2" t="n">
        <f aca="false">INDEX(Summary!$Q$2:$Q$201,MATCH($B1621,Summary!$A$2:$A$201,0))</f>
        <v>13.22</v>
      </c>
      <c r="V1621" s="2" t="n">
        <f aca="false">INDEX(Summary!$R$2:$R$201,MATCH($B1621,Summary!$A$2:$A$201,0))</f>
        <v>24.35</v>
      </c>
      <c r="W1621" s="0" t="str">
        <f aca="false">INDEX(Summary!$S$2:$S$201,MATCH($B1621,Summary!$A$2:$A$201,0))</f>
        <v>Silver</v>
      </c>
      <c r="X1621" s="2" t="n">
        <f aca="false">INDEX(Summary!$T$2:$T$201,MATCH($B1621,Summary!$A$2:$A$201,0))</f>
        <v>59.39</v>
      </c>
      <c r="Y1621" s="0" t="str">
        <f aca="false">INDEX('Reward Model'!$E$18:$E$37,MATCH($E1621,'Reward Model'!$A$18:$A$37,0))</f>
        <v>High</v>
      </c>
      <c r="Z1621" s="4" t="n">
        <f aca="false">ROUND(MIN(1,MAX('Reward Model'!$B$2,INDEX('Reward Model'!$C$12:$C$14,MATCH($K1621,'Reward Model'!$A$12:$A$14,0))/$J1621)),3)</f>
        <v>0.851</v>
      </c>
      <c r="AA1621" s="2" t="n">
        <f aca="false">IF($I1621="Correct",ROUND(INDEX('Reward Model'!$B$12:$B$14,MATCH($K1621,'Reward Model'!$A$12:$A$14,0))*Z1621,2),0)</f>
        <v>0</v>
      </c>
      <c r="AB1621" s="2" t="n">
        <f aca="false">IF($I1621="Correct",ROUND(INDEX('Reward Model'!$B$12:$B$14,MATCH($Y1621,'Reward Model'!$A$12:$A$14,0))*Z1621,2),0)</f>
        <v>0</v>
      </c>
    </row>
    <row r="1622" customFormat="false" ht="15" hidden="false" customHeight="false" outlineLevel="0" collapsed="false">
      <c r="A1622" s="0" t="s">
        <v>292</v>
      </c>
      <c r="B1622" s="0" t="s">
        <v>293</v>
      </c>
      <c r="C1622" s="0" t="s">
        <v>30</v>
      </c>
      <c r="D1622" s="0" t="s">
        <v>275</v>
      </c>
      <c r="E1622" s="0" t="n">
        <v>1</v>
      </c>
      <c r="F1622" s="0" t="s">
        <v>32</v>
      </c>
      <c r="G1622" s="0" t="s">
        <v>91</v>
      </c>
      <c r="H1622" s="0" t="s">
        <v>33</v>
      </c>
      <c r="I1622" s="0" t="s">
        <v>39</v>
      </c>
      <c r="J1622" s="0" t="n">
        <v>1.05</v>
      </c>
      <c r="K1622" s="0" t="s">
        <v>35</v>
      </c>
      <c r="L1622" s="0" t="n">
        <f aca="false">INDEX(Summary!$F$2:$F$201,MATCH($B1622,Summary!$A$2:$A$201,0))</f>
        <v>20</v>
      </c>
      <c r="M1622" s="0" t="n">
        <f aca="false">INDEX(Summary!$I$2:$I$201,MATCH($B1622,Summary!$A$2:$A$201,0))</f>
        <v>1</v>
      </c>
      <c r="N1622" s="0" t="n">
        <f aca="false">INDEX(Summary!$J$2:$J$201,MATCH($B1622,Summary!$A$2:$A$201,0))</f>
        <v>4</v>
      </c>
      <c r="O1622" s="2" t="n">
        <f aca="false">INDEX(Summary!$K$2:$K$201,MATCH($B1622,Summary!$A$2:$A$201,0))</f>
        <v>10.08</v>
      </c>
      <c r="P1622" s="3" t="n">
        <f aca="false">INDEX(Summary!$L$2:$L$201,MATCH($B1622,Summary!$A$2:$A$201,0))</f>
        <v>4</v>
      </c>
      <c r="Q1622" s="3" t="n">
        <f aca="false">INDEX(Summary!$M$2:$M$201,MATCH($B1622,Summary!$A$2:$A$201,0))</f>
        <v>2</v>
      </c>
      <c r="R1622" s="2" t="n">
        <f aca="false">INDEX(Summary!$N$2:$N$201,MATCH($B1622,Summary!$A$2:$A$201,0))</f>
        <v>10.65</v>
      </c>
      <c r="S1622" s="3" t="n">
        <f aca="false">INDEX(Summary!$O$2:$O$201,MATCH($B1622,Summary!$A$2:$A$201,0))</f>
        <v>6</v>
      </c>
      <c r="T1622" s="3" t="n">
        <f aca="false">INDEX(Summary!$P$2:$P$201,MATCH($B1622,Summary!$A$2:$A$201,0))</f>
        <v>3</v>
      </c>
      <c r="U1622" s="2" t="n">
        <f aca="false">INDEX(Summary!$Q$2:$Q$201,MATCH($B1622,Summary!$A$2:$A$201,0))</f>
        <v>13.12</v>
      </c>
      <c r="V1622" s="2" t="n">
        <f aca="false">INDEX(Summary!$R$2:$R$201,MATCH($B1622,Summary!$A$2:$A$201,0))</f>
        <v>18.2</v>
      </c>
      <c r="W1622" s="0" t="str">
        <f aca="false">INDEX(Summary!$S$2:$S$201,MATCH($B1622,Summary!$A$2:$A$201,0))</f>
        <v>Bronze</v>
      </c>
      <c r="X1622" s="2" t="n">
        <f aca="false">INDEX(Summary!$T$2:$T$201,MATCH($B1622,Summary!$A$2:$A$201,0))</f>
        <v>44.39</v>
      </c>
      <c r="Y1622" s="0" t="str">
        <f aca="false">INDEX('Reward Model'!$E$18:$E$37,MATCH($E1622,'Reward Model'!$A$18:$A$37,0))</f>
        <v>Medium</v>
      </c>
      <c r="Z1622" s="4" t="n">
        <f aca="false">ROUND(MIN(1,MAX('Reward Model'!$B$2,INDEX('Reward Model'!$C$12:$C$14,MATCH($K1622,'Reward Model'!$A$12:$A$14,0))/$J1622)),3)</f>
        <v>1</v>
      </c>
      <c r="AA1622" s="2" t="n">
        <f aca="false">IF($I1622="Correct",ROUND(INDEX('Reward Model'!$B$12:$B$14,MATCH($K1622,'Reward Model'!$A$12:$A$14,0))*Z1622,2),0)</f>
        <v>0</v>
      </c>
      <c r="AB1622" s="2" t="n">
        <f aca="false">IF($I1622="Correct",ROUND(INDEX('Reward Model'!$B$12:$B$14,MATCH($Y1622,'Reward Model'!$A$12:$A$14,0))*Z1622,2),0)</f>
        <v>0</v>
      </c>
    </row>
    <row r="1623" customFormat="false" ht="15" hidden="false" customHeight="false" outlineLevel="0" collapsed="false">
      <c r="A1623" s="0" t="s">
        <v>292</v>
      </c>
      <c r="B1623" s="0" t="s">
        <v>293</v>
      </c>
      <c r="C1623" s="0" t="s">
        <v>30</v>
      </c>
      <c r="D1623" s="0" t="s">
        <v>275</v>
      </c>
      <c r="E1623" s="0" t="n">
        <v>2</v>
      </c>
      <c r="F1623" s="0" t="s">
        <v>36</v>
      </c>
      <c r="G1623" s="0" t="s">
        <v>38</v>
      </c>
      <c r="H1623" s="0" t="s">
        <v>38</v>
      </c>
      <c r="I1623" s="0" t="s">
        <v>34</v>
      </c>
      <c r="J1623" s="0" t="n">
        <v>0.94</v>
      </c>
      <c r="K1623" s="0" t="s">
        <v>35</v>
      </c>
      <c r="L1623" s="0" t="n">
        <f aca="false">INDEX(Summary!$F$2:$F$201,MATCH($B1623,Summary!$A$2:$A$201,0))</f>
        <v>20</v>
      </c>
      <c r="M1623" s="0" t="n">
        <f aca="false">INDEX(Summary!$I$2:$I$201,MATCH($B1623,Summary!$A$2:$A$201,0))</f>
        <v>1</v>
      </c>
      <c r="N1623" s="0" t="n">
        <f aca="false">INDEX(Summary!$J$2:$J$201,MATCH($B1623,Summary!$A$2:$A$201,0))</f>
        <v>4</v>
      </c>
      <c r="O1623" s="2" t="n">
        <f aca="false">INDEX(Summary!$K$2:$K$201,MATCH($B1623,Summary!$A$2:$A$201,0))</f>
        <v>10.08</v>
      </c>
      <c r="P1623" s="3" t="n">
        <f aca="false">INDEX(Summary!$L$2:$L$201,MATCH($B1623,Summary!$A$2:$A$201,0))</f>
        <v>4</v>
      </c>
      <c r="Q1623" s="3" t="n">
        <f aca="false">INDEX(Summary!$M$2:$M$201,MATCH($B1623,Summary!$A$2:$A$201,0))</f>
        <v>2</v>
      </c>
      <c r="R1623" s="2" t="n">
        <f aca="false">INDEX(Summary!$N$2:$N$201,MATCH($B1623,Summary!$A$2:$A$201,0))</f>
        <v>10.65</v>
      </c>
      <c r="S1623" s="3" t="n">
        <f aca="false">INDEX(Summary!$O$2:$O$201,MATCH($B1623,Summary!$A$2:$A$201,0))</f>
        <v>6</v>
      </c>
      <c r="T1623" s="3" t="n">
        <f aca="false">INDEX(Summary!$P$2:$P$201,MATCH($B1623,Summary!$A$2:$A$201,0))</f>
        <v>3</v>
      </c>
      <c r="U1623" s="2" t="n">
        <f aca="false">INDEX(Summary!$Q$2:$Q$201,MATCH($B1623,Summary!$A$2:$A$201,0))</f>
        <v>13.12</v>
      </c>
      <c r="V1623" s="2" t="n">
        <f aca="false">INDEX(Summary!$R$2:$R$201,MATCH($B1623,Summary!$A$2:$A$201,0))</f>
        <v>18.2</v>
      </c>
      <c r="W1623" s="0" t="str">
        <f aca="false">INDEX(Summary!$S$2:$S$201,MATCH($B1623,Summary!$A$2:$A$201,0))</f>
        <v>Bronze</v>
      </c>
      <c r="X1623" s="2" t="n">
        <f aca="false">INDEX(Summary!$T$2:$T$201,MATCH($B1623,Summary!$A$2:$A$201,0))</f>
        <v>44.39</v>
      </c>
      <c r="Y1623" s="0" t="str">
        <f aca="false">INDEX('Reward Model'!$E$18:$E$37,MATCH($E1623,'Reward Model'!$A$18:$A$37,0))</f>
        <v>Low</v>
      </c>
      <c r="Z1623" s="4" t="n">
        <f aca="false">ROUND(MIN(1,MAX('Reward Model'!$B$2,INDEX('Reward Model'!$C$12:$C$14,MATCH($K1623,'Reward Model'!$A$12:$A$14,0))/$J1623)),3)</f>
        <v>1</v>
      </c>
      <c r="AA1623" s="2" t="n">
        <f aca="false">IF($I1623="Correct",ROUND(INDEX('Reward Model'!$B$12:$B$14,MATCH($K1623,'Reward Model'!$A$12:$A$14,0))*Z1623,2),0)</f>
        <v>1</v>
      </c>
      <c r="AB1623" s="2" t="n">
        <f aca="false">IF($I1623="Correct",ROUND(INDEX('Reward Model'!$B$12:$B$14,MATCH($Y1623,'Reward Model'!$A$12:$A$14,0))*Z1623,2),0)</f>
        <v>1</v>
      </c>
    </row>
    <row r="1624" customFormat="false" ht="15" hidden="false" customHeight="false" outlineLevel="0" collapsed="false">
      <c r="A1624" s="0" t="s">
        <v>292</v>
      </c>
      <c r="B1624" s="0" t="s">
        <v>293</v>
      </c>
      <c r="C1624" s="0" t="s">
        <v>30</v>
      </c>
      <c r="D1624" s="0" t="s">
        <v>275</v>
      </c>
      <c r="E1624" s="0" t="n">
        <v>3</v>
      </c>
      <c r="F1624" s="0" t="s">
        <v>40</v>
      </c>
      <c r="G1624" s="0" t="s">
        <v>42</v>
      </c>
      <c r="H1624" s="0" t="s">
        <v>42</v>
      </c>
      <c r="I1624" s="0" t="s">
        <v>34</v>
      </c>
      <c r="J1624" s="0" t="n">
        <v>1.56</v>
      </c>
      <c r="K1624" s="0" t="s">
        <v>35</v>
      </c>
      <c r="L1624" s="0" t="n">
        <f aca="false">INDEX(Summary!$F$2:$F$201,MATCH($B1624,Summary!$A$2:$A$201,0))</f>
        <v>20</v>
      </c>
      <c r="M1624" s="0" t="n">
        <f aca="false">INDEX(Summary!$I$2:$I$201,MATCH($B1624,Summary!$A$2:$A$201,0))</f>
        <v>1</v>
      </c>
      <c r="N1624" s="0" t="n">
        <f aca="false">INDEX(Summary!$J$2:$J$201,MATCH($B1624,Summary!$A$2:$A$201,0))</f>
        <v>4</v>
      </c>
      <c r="O1624" s="2" t="n">
        <f aca="false">INDEX(Summary!$K$2:$K$201,MATCH($B1624,Summary!$A$2:$A$201,0))</f>
        <v>10.08</v>
      </c>
      <c r="P1624" s="3" t="n">
        <f aca="false">INDEX(Summary!$L$2:$L$201,MATCH($B1624,Summary!$A$2:$A$201,0))</f>
        <v>4</v>
      </c>
      <c r="Q1624" s="3" t="n">
        <f aca="false">INDEX(Summary!$M$2:$M$201,MATCH($B1624,Summary!$A$2:$A$201,0))</f>
        <v>2</v>
      </c>
      <c r="R1624" s="2" t="n">
        <f aca="false">INDEX(Summary!$N$2:$N$201,MATCH($B1624,Summary!$A$2:$A$201,0))</f>
        <v>10.65</v>
      </c>
      <c r="S1624" s="3" t="n">
        <f aca="false">INDEX(Summary!$O$2:$O$201,MATCH($B1624,Summary!$A$2:$A$201,0))</f>
        <v>6</v>
      </c>
      <c r="T1624" s="3" t="n">
        <f aca="false">INDEX(Summary!$P$2:$P$201,MATCH($B1624,Summary!$A$2:$A$201,0))</f>
        <v>3</v>
      </c>
      <c r="U1624" s="2" t="n">
        <f aca="false">INDEX(Summary!$Q$2:$Q$201,MATCH($B1624,Summary!$A$2:$A$201,0))</f>
        <v>13.12</v>
      </c>
      <c r="V1624" s="2" t="n">
        <f aca="false">INDEX(Summary!$R$2:$R$201,MATCH($B1624,Summary!$A$2:$A$201,0))</f>
        <v>18.2</v>
      </c>
      <c r="W1624" s="0" t="str">
        <f aca="false">INDEX(Summary!$S$2:$S$201,MATCH($B1624,Summary!$A$2:$A$201,0))</f>
        <v>Bronze</v>
      </c>
      <c r="X1624" s="2" t="n">
        <f aca="false">INDEX(Summary!$T$2:$T$201,MATCH($B1624,Summary!$A$2:$A$201,0))</f>
        <v>44.39</v>
      </c>
      <c r="Y1624" s="0" t="str">
        <f aca="false">INDEX('Reward Model'!$E$18:$E$37,MATCH($E1624,'Reward Model'!$A$18:$A$37,0))</f>
        <v>Medium</v>
      </c>
      <c r="Z1624" s="4" t="n">
        <f aca="false">ROUND(MIN(1,MAX('Reward Model'!$B$2,INDEX('Reward Model'!$C$12:$C$14,MATCH($K1624,'Reward Model'!$A$12:$A$14,0))/$J1624)),3)</f>
        <v>0.962</v>
      </c>
      <c r="AA1624" s="2" t="n">
        <f aca="false">IF($I1624="Correct",ROUND(INDEX('Reward Model'!$B$12:$B$14,MATCH($K1624,'Reward Model'!$A$12:$A$14,0))*Z1624,2),0)</f>
        <v>0.96</v>
      </c>
      <c r="AB1624" s="2" t="n">
        <f aca="false">IF($I1624="Correct",ROUND(INDEX('Reward Model'!$B$12:$B$14,MATCH($Y1624,'Reward Model'!$A$12:$A$14,0))*Z1624,2),0)</f>
        <v>1.92</v>
      </c>
    </row>
    <row r="1625" customFormat="false" ht="15" hidden="false" customHeight="false" outlineLevel="0" collapsed="false">
      <c r="A1625" s="0" t="s">
        <v>292</v>
      </c>
      <c r="B1625" s="0" t="s">
        <v>293</v>
      </c>
      <c r="C1625" s="0" t="s">
        <v>30</v>
      </c>
      <c r="D1625" s="0" t="s">
        <v>275</v>
      </c>
      <c r="E1625" s="0" t="n">
        <v>4</v>
      </c>
      <c r="F1625" s="0" t="s">
        <v>43</v>
      </c>
      <c r="G1625" s="0" t="s">
        <v>45</v>
      </c>
      <c r="H1625" s="0" t="s">
        <v>45</v>
      </c>
      <c r="I1625" s="0" t="s">
        <v>34</v>
      </c>
      <c r="J1625" s="0" t="n">
        <v>1.97</v>
      </c>
      <c r="K1625" s="0" t="s">
        <v>35</v>
      </c>
      <c r="L1625" s="0" t="n">
        <f aca="false">INDEX(Summary!$F$2:$F$201,MATCH($B1625,Summary!$A$2:$A$201,0))</f>
        <v>20</v>
      </c>
      <c r="M1625" s="0" t="n">
        <f aca="false">INDEX(Summary!$I$2:$I$201,MATCH($B1625,Summary!$A$2:$A$201,0))</f>
        <v>1</v>
      </c>
      <c r="N1625" s="0" t="n">
        <f aca="false">INDEX(Summary!$J$2:$J$201,MATCH($B1625,Summary!$A$2:$A$201,0))</f>
        <v>4</v>
      </c>
      <c r="O1625" s="2" t="n">
        <f aca="false">INDEX(Summary!$K$2:$K$201,MATCH($B1625,Summary!$A$2:$A$201,0))</f>
        <v>10.08</v>
      </c>
      <c r="P1625" s="3" t="n">
        <f aca="false">INDEX(Summary!$L$2:$L$201,MATCH($B1625,Summary!$A$2:$A$201,0))</f>
        <v>4</v>
      </c>
      <c r="Q1625" s="3" t="n">
        <f aca="false">INDEX(Summary!$M$2:$M$201,MATCH($B1625,Summary!$A$2:$A$201,0))</f>
        <v>2</v>
      </c>
      <c r="R1625" s="2" t="n">
        <f aca="false">INDEX(Summary!$N$2:$N$201,MATCH($B1625,Summary!$A$2:$A$201,0))</f>
        <v>10.65</v>
      </c>
      <c r="S1625" s="3" t="n">
        <f aca="false">INDEX(Summary!$O$2:$O$201,MATCH($B1625,Summary!$A$2:$A$201,0))</f>
        <v>6</v>
      </c>
      <c r="T1625" s="3" t="n">
        <f aca="false">INDEX(Summary!$P$2:$P$201,MATCH($B1625,Summary!$A$2:$A$201,0))</f>
        <v>3</v>
      </c>
      <c r="U1625" s="2" t="n">
        <f aca="false">INDEX(Summary!$Q$2:$Q$201,MATCH($B1625,Summary!$A$2:$A$201,0))</f>
        <v>13.12</v>
      </c>
      <c r="V1625" s="2" t="n">
        <f aca="false">INDEX(Summary!$R$2:$R$201,MATCH($B1625,Summary!$A$2:$A$201,0))</f>
        <v>18.2</v>
      </c>
      <c r="W1625" s="0" t="str">
        <f aca="false">INDEX(Summary!$S$2:$S$201,MATCH($B1625,Summary!$A$2:$A$201,0))</f>
        <v>Bronze</v>
      </c>
      <c r="X1625" s="2" t="n">
        <f aca="false">INDEX(Summary!$T$2:$T$201,MATCH($B1625,Summary!$A$2:$A$201,0))</f>
        <v>44.39</v>
      </c>
      <c r="Y1625" s="0" t="str">
        <f aca="false">INDEX('Reward Model'!$E$18:$E$37,MATCH($E1625,'Reward Model'!$A$18:$A$37,0))</f>
        <v>Low</v>
      </c>
      <c r="Z1625" s="4" t="n">
        <f aca="false">ROUND(MIN(1,MAX('Reward Model'!$B$2,INDEX('Reward Model'!$C$12:$C$14,MATCH($K1625,'Reward Model'!$A$12:$A$14,0))/$J1625)),3)</f>
        <v>0.761</v>
      </c>
      <c r="AA1625" s="2" t="n">
        <f aca="false">IF($I1625="Correct",ROUND(INDEX('Reward Model'!$B$12:$B$14,MATCH($K1625,'Reward Model'!$A$12:$A$14,0))*Z1625,2),0)</f>
        <v>0.76</v>
      </c>
      <c r="AB1625" s="2" t="n">
        <f aca="false">IF($I1625="Correct",ROUND(INDEX('Reward Model'!$B$12:$B$14,MATCH($Y1625,'Reward Model'!$A$12:$A$14,0))*Z1625,2),0)</f>
        <v>0.76</v>
      </c>
    </row>
    <row r="1626" customFormat="false" ht="15" hidden="false" customHeight="false" outlineLevel="0" collapsed="false">
      <c r="A1626" s="0" t="s">
        <v>292</v>
      </c>
      <c r="B1626" s="0" t="s">
        <v>293</v>
      </c>
      <c r="C1626" s="0" t="s">
        <v>30</v>
      </c>
      <c r="D1626" s="0" t="s">
        <v>275</v>
      </c>
      <c r="E1626" s="0" t="n">
        <v>5</v>
      </c>
      <c r="F1626" s="0" t="s">
        <v>46</v>
      </c>
      <c r="G1626" s="0" t="s">
        <v>98</v>
      </c>
      <c r="H1626" s="0" t="s">
        <v>47</v>
      </c>
      <c r="I1626" s="0" t="s">
        <v>39</v>
      </c>
      <c r="J1626" s="0" t="n">
        <v>1.59</v>
      </c>
      <c r="K1626" s="0" t="s">
        <v>35</v>
      </c>
      <c r="L1626" s="0" t="n">
        <f aca="false">INDEX(Summary!$F$2:$F$201,MATCH($B1626,Summary!$A$2:$A$201,0))</f>
        <v>20</v>
      </c>
      <c r="M1626" s="0" t="n">
        <f aca="false">INDEX(Summary!$I$2:$I$201,MATCH($B1626,Summary!$A$2:$A$201,0))</f>
        <v>1</v>
      </c>
      <c r="N1626" s="0" t="n">
        <f aca="false">INDEX(Summary!$J$2:$J$201,MATCH($B1626,Summary!$A$2:$A$201,0))</f>
        <v>4</v>
      </c>
      <c r="O1626" s="2" t="n">
        <f aca="false">INDEX(Summary!$K$2:$K$201,MATCH($B1626,Summary!$A$2:$A$201,0))</f>
        <v>10.08</v>
      </c>
      <c r="P1626" s="3" t="n">
        <f aca="false">INDEX(Summary!$L$2:$L$201,MATCH($B1626,Summary!$A$2:$A$201,0))</f>
        <v>4</v>
      </c>
      <c r="Q1626" s="3" t="n">
        <f aca="false">INDEX(Summary!$M$2:$M$201,MATCH($B1626,Summary!$A$2:$A$201,0))</f>
        <v>2</v>
      </c>
      <c r="R1626" s="2" t="n">
        <f aca="false">INDEX(Summary!$N$2:$N$201,MATCH($B1626,Summary!$A$2:$A$201,0))</f>
        <v>10.65</v>
      </c>
      <c r="S1626" s="3" t="n">
        <f aca="false">INDEX(Summary!$O$2:$O$201,MATCH($B1626,Summary!$A$2:$A$201,0))</f>
        <v>6</v>
      </c>
      <c r="T1626" s="3" t="n">
        <f aca="false">INDEX(Summary!$P$2:$P$201,MATCH($B1626,Summary!$A$2:$A$201,0))</f>
        <v>3</v>
      </c>
      <c r="U1626" s="2" t="n">
        <f aca="false">INDEX(Summary!$Q$2:$Q$201,MATCH($B1626,Summary!$A$2:$A$201,0))</f>
        <v>13.12</v>
      </c>
      <c r="V1626" s="2" t="n">
        <f aca="false">INDEX(Summary!$R$2:$R$201,MATCH($B1626,Summary!$A$2:$A$201,0))</f>
        <v>18.2</v>
      </c>
      <c r="W1626" s="0" t="str">
        <f aca="false">INDEX(Summary!$S$2:$S$201,MATCH($B1626,Summary!$A$2:$A$201,0))</f>
        <v>Bronze</v>
      </c>
      <c r="X1626" s="2" t="n">
        <f aca="false">INDEX(Summary!$T$2:$T$201,MATCH($B1626,Summary!$A$2:$A$201,0))</f>
        <v>44.39</v>
      </c>
      <c r="Y1626" s="0" t="str">
        <f aca="false">INDEX('Reward Model'!$E$18:$E$37,MATCH($E1626,'Reward Model'!$A$18:$A$37,0))</f>
        <v>Low</v>
      </c>
      <c r="Z1626" s="4" t="n">
        <f aca="false">ROUND(MIN(1,MAX('Reward Model'!$B$2,INDEX('Reward Model'!$C$12:$C$14,MATCH($K1626,'Reward Model'!$A$12:$A$14,0))/$J1626)),3)</f>
        <v>0.943</v>
      </c>
      <c r="AA1626" s="2" t="n">
        <f aca="false">IF($I1626="Correct",ROUND(INDEX('Reward Model'!$B$12:$B$14,MATCH($K1626,'Reward Model'!$A$12:$A$14,0))*Z1626,2),0)</f>
        <v>0</v>
      </c>
      <c r="AB1626" s="2" t="n">
        <f aca="false">IF($I1626="Correct",ROUND(INDEX('Reward Model'!$B$12:$B$14,MATCH($Y1626,'Reward Model'!$A$12:$A$14,0))*Z1626,2),0)</f>
        <v>0</v>
      </c>
    </row>
    <row r="1627" customFormat="false" ht="15" hidden="false" customHeight="false" outlineLevel="0" collapsed="false">
      <c r="A1627" s="0" t="s">
        <v>292</v>
      </c>
      <c r="B1627" s="0" t="s">
        <v>293</v>
      </c>
      <c r="C1627" s="0" t="s">
        <v>30</v>
      </c>
      <c r="D1627" s="0" t="s">
        <v>275</v>
      </c>
      <c r="E1627" s="0" t="n">
        <v>6</v>
      </c>
      <c r="F1627" s="0" t="s">
        <v>48</v>
      </c>
      <c r="G1627" s="0" t="s">
        <v>49</v>
      </c>
      <c r="H1627" s="0" t="s">
        <v>49</v>
      </c>
      <c r="I1627" s="0" t="s">
        <v>34</v>
      </c>
      <c r="J1627" s="0" t="n">
        <v>1.88</v>
      </c>
      <c r="K1627" s="0" t="s">
        <v>35</v>
      </c>
      <c r="L1627" s="0" t="n">
        <f aca="false">INDEX(Summary!$F$2:$F$201,MATCH($B1627,Summary!$A$2:$A$201,0))</f>
        <v>20</v>
      </c>
      <c r="M1627" s="0" t="n">
        <f aca="false">INDEX(Summary!$I$2:$I$201,MATCH($B1627,Summary!$A$2:$A$201,0))</f>
        <v>1</v>
      </c>
      <c r="N1627" s="0" t="n">
        <f aca="false">INDEX(Summary!$J$2:$J$201,MATCH($B1627,Summary!$A$2:$A$201,0))</f>
        <v>4</v>
      </c>
      <c r="O1627" s="2" t="n">
        <f aca="false">INDEX(Summary!$K$2:$K$201,MATCH($B1627,Summary!$A$2:$A$201,0))</f>
        <v>10.08</v>
      </c>
      <c r="P1627" s="3" t="n">
        <f aca="false">INDEX(Summary!$L$2:$L$201,MATCH($B1627,Summary!$A$2:$A$201,0))</f>
        <v>4</v>
      </c>
      <c r="Q1627" s="3" t="n">
        <f aca="false">INDEX(Summary!$M$2:$M$201,MATCH($B1627,Summary!$A$2:$A$201,0))</f>
        <v>2</v>
      </c>
      <c r="R1627" s="2" t="n">
        <f aca="false">INDEX(Summary!$N$2:$N$201,MATCH($B1627,Summary!$A$2:$A$201,0))</f>
        <v>10.65</v>
      </c>
      <c r="S1627" s="3" t="n">
        <f aca="false">INDEX(Summary!$O$2:$O$201,MATCH($B1627,Summary!$A$2:$A$201,0))</f>
        <v>6</v>
      </c>
      <c r="T1627" s="3" t="n">
        <f aca="false">INDEX(Summary!$P$2:$P$201,MATCH($B1627,Summary!$A$2:$A$201,0))</f>
        <v>3</v>
      </c>
      <c r="U1627" s="2" t="n">
        <f aca="false">INDEX(Summary!$Q$2:$Q$201,MATCH($B1627,Summary!$A$2:$A$201,0))</f>
        <v>13.12</v>
      </c>
      <c r="V1627" s="2" t="n">
        <f aca="false">INDEX(Summary!$R$2:$R$201,MATCH($B1627,Summary!$A$2:$A$201,0))</f>
        <v>18.2</v>
      </c>
      <c r="W1627" s="0" t="str">
        <f aca="false">INDEX(Summary!$S$2:$S$201,MATCH($B1627,Summary!$A$2:$A$201,0))</f>
        <v>Bronze</v>
      </c>
      <c r="X1627" s="2" t="n">
        <f aca="false">INDEX(Summary!$T$2:$T$201,MATCH($B1627,Summary!$A$2:$A$201,0))</f>
        <v>44.39</v>
      </c>
      <c r="Y1627" s="0" t="str">
        <f aca="false">INDEX('Reward Model'!$E$18:$E$37,MATCH($E1627,'Reward Model'!$A$18:$A$37,0))</f>
        <v>Medium</v>
      </c>
      <c r="Z1627" s="4" t="n">
        <f aca="false">ROUND(MIN(1,MAX('Reward Model'!$B$2,INDEX('Reward Model'!$C$12:$C$14,MATCH($K1627,'Reward Model'!$A$12:$A$14,0))/$J1627)),3)</f>
        <v>0.798</v>
      </c>
      <c r="AA1627" s="2" t="n">
        <f aca="false">IF($I1627="Correct",ROUND(INDEX('Reward Model'!$B$12:$B$14,MATCH($K1627,'Reward Model'!$A$12:$A$14,0))*Z1627,2),0)</f>
        <v>0.8</v>
      </c>
      <c r="AB1627" s="2" t="n">
        <f aca="false">IF($I1627="Correct",ROUND(INDEX('Reward Model'!$B$12:$B$14,MATCH($Y1627,'Reward Model'!$A$12:$A$14,0))*Z1627,2),0)</f>
        <v>1.6</v>
      </c>
    </row>
    <row r="1628" customFormat="false" ht="15" hidden="false" customHeight="false" outlineLevel="0" collapsed="false">
      <c r="A1628" s="0" t="s">
        <v>292</v>
      </c>
      <c r="B1628" s="0" t="s">
        <v>293</v>
      </c>
      <c r="C1628" s="0" t="s">
        <v>30</v>
      </c>
      <c r="D1628" s="0" t="s">
        <v>275</v>
      </c>
      <c r="E1628" s="0" t="n">
        <v>7</v>
      </c>
      <c r="F1628" s="0" t="s">
        <v>50</v>
      </c>
      <c r="G1628" s="0" t="s">
        <v>51</v>
      </c>
      <c r="H1628" s="0" t="s">
        <v>51</v>
      </c>
      <c r="I1628" s="0" t="s">
        <v>34</v>
      </c>
      <c r="J1628" s="0" t="n">
        <v>1.67</v>
      </c>
      <c r="K1628" s="0" t="s">
        <v>35</v>
      </c>
      <c r="L1628" s="0" t="n">
        <f aca="false">INDEX(Summary!$F$2:$F$201,MATCH($B1628,Summary!$A$2:$A$201,0))</f>
        <v>20</v>
      </c>
      <c r="M1628" s="0" t="n">
        <f aca="false">INDEX(Summary!$I$2:$I$201,MATCH($B1628,Summary!$A$2:$A$201,0))</f>
        <v>1</v>
      </c>
      <c r="N1628" s="0" t="n">
        <f aca="false">INDEX(Summary!$J$2:$J$201,MATCH($B1628,Summary!$A$2:$A$201,0))</f>
        <v>4</v>
      </c>
      <c r="O1628" s="2" t="n">
        <f aca="false">INDEX(Summary!$K$2:$K$201,MATCH($B1628,Summary!$A$2:$A$201,0))</f>
        <v>10.08</v>
      </c>
      <c r="P1628" s="3" t="n">
        <f aca="false">INDEX(Summary!$L$2:$L$201,MATCH($B1628,Summary!$A$2:$A$201,0))</f>
        <v>4</v>
      </c>
      <c r="Q1628" s="3" t="n">
        <f aca="false">INDEX(Summary!$M$2:$M$201,MATCH($B1628,Summary!$A$2:$A$201,0))</f>
        <v>2</v>
      </c>
      <c r="R1628" s="2" t="n">
        <f aca="false">INDEX(Summary!$N$2:$N$201,MATCH($B1628,Summary!$A$2:$A$201,0))</f>
        <v>10.65</v>
      </c>
      <c r="S1628" s="3" t="n">
        <f aca="false">INDEX(Summary!$O$2:$O$201,MATCH($B1628,Summary!$A$2:$A$201,0))</f>
        <v>6</v>
      </c>
      <c r="T1628" s="3" t="n">
        <f aca="false">INDEX(Summary!$P$2:$P$201,MATCH($B1628,Summary!$A$2:$A$201,0))</f>
        <v>3</v>
      </c>
      <c r="U1628" s="2" t="n">
        <f aca="false">INDEX(Summary!$Q$2:$Q$201,MATCH($B1628,Summary!$A$2:$A$201,0))</f>
        <v>13.12</v>
      </c>
      <c r="V1628" s="2" t="n">
        <f aca="false">INDEX(Summary!$R$2:$R$201,MATCH($B1628,Summary!$A$2:$A$201,0))</f>
        <v>18.2</v>
      </c>
      <c r="W1628" s="0" t="str">
        <f aca="false">INDEX(Summary!$S$2:$S$201,MATCH($B1628,Summary!$A$2:$A$201,0))</f>
        <v>Bronze</v>
      </c>
      <c r="X1628" s="2" t="n">
        <f aca="false">INDEX(Summary!$T$2:$T$201,MATCH($B1628,Summary!$A$2:$A$201,0))</f>
        <v>44.39</v>
      </c>
      <c r="Y1628" s="0" t="str">
        <f aca="false">INDEX('Reward Model'!$E$18:$E$37,MATCH($E1628,'Reward Model'!$A$18:$A$37,0))</f>
        <v>Low</v>
      </c>
      <c r="Z1628" s="4" t="n">
        <f aca="false">ROUND(MIN(1,MAX('Reward Model'!$B$2,INDEX('Reward Model'!$C$12:$C$14,MATCH($K1628,'Reward Model'!$A$12:$A$14,0))/$J1628)),3)</f>
        <v>0.898</v>
      </c>
      <c r="AA1628" s="2" t="n">
        <f aca="false">IF($I1628="Correct",ROUND(INDEX('Reward Model'!$B$12:$B$14,MATCH($K1628,'Reward Model'!$A$12:$A$14,0))*Z1628,2),0)</f>
        <v>0.9</v>
      </c>
      <c r="AB1628" s="2" t="n">
        <f aca="false">IF($I1628="Correct",ROUND(INDEX('Reward Model'!$B$12:$B$14,MATCH($Y1628,'Reward Model'!$A$12:$A$14,0))*Z1628,2),0)</f>
        <v>0.9</v>
      </c>
    </row>
    <row r="1629" customFormat="false" ht="15" hidden="false" customHeight="false" outlineLevel="0" collapsed="false">
      <c r="A1629" s="0" t="s">
        <v>292</v>
      </c>
      <c r="B1629" s="0" t="s">
        <v>293</v>
      </c>
      <c r="C1629" s="0" t="s">
        <v>30</v>
      </c>
      <c r="D1629" s="0" t="s">
        <v>275</v>
      </c>
      <c r="E1629" s="0" t="n">
        <v>8</v>
      </c>
      <c r="F1629" s="0" t="s">
        <v>52</v>
      </c>
      <c r="G1629" s="0" t="s">
        <v>137</v>
      </c>
      <c r="H1629" s="0" t="s">
        <v>54</v>
      </c>
      <c r="I1629" s="0" t="s">
        <v>39</v>
      </c>
      <c r="J1629" s="0" t="n">
        <v>1.45</v>
      </c>
      <c r="K1629" s="0" t="s">
        <v>35</v>
      </c>
      <c r="L1629" s="0" t="n">
        <f aca="false">INDEX(Summary!$F$2:$F$201,MATCH($B1629,Summary!$A$2:$A$201,0))</f>
        <v>20</v>
      </c>
      <c r="M1629" s="0" t="n">
        <f aca="false">INDEX(Summary!$I$2:$I$201,MATCH($B1629,Summary!$A$2:$A$201,0))</f>
        <v>1</v>
      </c>
      <c r="N1629" s="0" t="n">
        <f aca="false">INDEX(Summary!$J$2:$J$201,MATCH($B1629,Summary!$A$2:$A$201,0))</f>
        <v>4</v>
      </c>
      <c r="O1629" s="2" t="n">
        <f aca="false">INDEX(Summary!$K$2:$K$201,MATCH($B1629,Summary!$A$2:$A$201,0))</f>
        <v>10.08</v>
      </c>
      <c r="P1629" s="3" t="n">
        <f aca="false">INDEX(Summary!$L$2:$L$201,MATCH($B1629,Summary!$A$2:$A$201,0))</f>
        <v>4</v>
      </c>
      <c r="Q1629" s="3" t="n">
        <f aca="false">INDEX(Summary!$M$2:$M$201,MATCH($B1629,Summary!$A$2:$A$201,0))</f>
        <v>2</v>
      </c>
      <c r="R1629" s="2" t="n">
        <f aca="false">INDEX(Summary!$N$2:$N$201,MATCH($B1629,Summary!$A$2:$A$201,0))</f>
        <v>10.65</v>
      </c>
      <c r="S1629" s="3" t="n">
        <f aca="false">INDEX(Summary!$O$2:$O$201,MATCH($B1629,Summary!$A$2:$A$201,0))</f>
        <v>6</v>
      </c>
      <c r="T1629" s="3" t="n">
        <f aca="false">INDEX(Summary!$P$2:$P$201,MATCH($B1629,Summary!$A$2:$A$201,0))</f>
        <v>3</v>
      </c>
      <c r="U1629" s="2" t="n">
        <f aca="false">INDEX(Summary!$Q$2:$Q$201,MATCH($B1629,Summary!$A$2:$A$201,0))</f>
        <v>13.12</v>
      </c>
      <c r="V1629" s="2" t="n">
        <f aca="false">INDEX(Summary!$R$2:$R$201,MATCH($B1629,Summary!$A$2:$A$201,0))</f>
        <v>18.2</v>
      </c>
      <c r="W1629" s="0" t="str">
        <f aca="false">INDEX(Summary!$S$2:$S$201,MATCH($B1629,Summary!$A$2:$A$201,0))</f>
        <v>Bronze</v>
      </c>
      <c r="X1629" s="2" t="n">
        <f aca="false">INDEX(Summary!$T$2:$T$201,MATCH($B1629,Summary!$A$2:$A$201,0))</f>
        <v>44.39</v>
      </c>
      <c r="Y1629" s="0" t="str">
        <f aca="false">INDEX('Reward Model'!$E$18:$E$37,MATCH($E1629,'Reward Model'!$A$18:$A$37,0))</f>
        <v>Medium</v>
      </c>
      <c r="Z1629" s="4" t="n">
        <f aca="false">ROUND(MIN(1,MAX('Reward Model'!$B$2,INDEX('Reward Model'!$C$12:$C$14,MATCH($K1629,'Reward Model'!$A$12:$A$14,0))/$J1629)),3)</f>
        <v>1</v>
      </c>
      <c r="AA1629" s="2" t="n">
        <f aca="false">IF($I1629="Correct",ROUND(INDEX('Reward Model'!$B$12:$B$14,MATCH($K1629,'Reward Model'!$A$12:$A$14,0))*Z1629,2),0)</f>
        <v>0</v>
      </c>
      <c r="AB1629" s="2" t="n">
        <f aca="false">IF($I1629="Correct",ROUND(INDEX('Reward Model'!$B$12:$B$14,MATCH($Y1629,'Reward Model'!$A$12:$A$14,0))*Z1629,2),0)</f>
        <v>0</v>
      </c>
    </row>
    <row r="1630" customFormat="false" ht="15" hidden="false" customHeight="false" outlineLevel="0" collapsed="false">
      <c r="A1630" s="0" t="s">
        <v>292</v>
      </c>
      <c r="B1630" s="0" t="s">
        <v>293</v>
      </c>
      <c r="C1630" s="0" t="s">
        <v>30</v>
      </c>
      <c r="D1630" s="0" t="s">
        <v>275</v>
      </c>
      <c r="E1630" s="0" t="n">
        <v>9</v>
      </c>
      <c r="F1630" s="0" t="s">
        <v>55</v>
      </c>
      <c r="G1630" s="0" t="s">
        <v>57</v>
      </c>
      <c r="H1630" s="0" t="s">
        <v>57</v>
      </c>
      <c r="I1630" s="0" t="s">
        <v>34</v>
      </c>
      <c r="J1630" s="0" t="n">
        <v>1.01</v>
      </c>
      <c r="K1630" s="0" t="s">
        <v>35</v>
      </c>
      <c r="L1630" s="0" t="n">
        <f aca="false">INDEX(Summary!$F$2:$F$201,MATCH($B1630,Summary!$A$2:$A$201,0))</f>
        <v>20</v>
      </c>
      <c r="M1630" s="0" t="n">
        <f aca="false">INDEX(Summary!$I$2:$I$201,MATCH($B1630,Summary!$A$2:$A$201,0))</f>
        <v>1</v>
      </c>
      <c r="N1630" s="0" t="n">
        <f aca="false">INDEX(Summary!$J$2:$J$201,MATCH($B1630,Summary!$A$2:$A$201,0))</f>
        <v>4</v>
      </c>
      <c r="O1630" s="2" t="n">
        <f aca="false">INDEX(Summary!$K$2:$K$201,MATCH($B1630,Summary!$A$2:$A$201,0))</f>
        <v>10.08</v>
      </c>
      <c r="P1630" s="3" t="n">
        <f aca="false">INDEX(Summary!$L$2:$L$201,MATCH($B1630,Summary!$A$2:$A$201,0))</f>
        <v>4</v>
      </c>
      <c r="Q1630" s="3" t="n">
        <f aca="false">INDEX(Summary!$M$2:$M$201,MATCH($B1630,Summary!$A$2:$A$201,0))</f>
        <v>2</v>
      </c>
      <c r="R1630" s="2" t="n">
        <f aca="false">INDEX(Summary!$N$2:$N$201,MATCH($B1630,Summary!$A$2:$A$201,0))</f>
        <v>10.65</v>
      </c>
      <c r="S1630" s="3" t="n">
        <f aca="false">INDEX(Summary!$O$2:$O$201,MATCH($B1630,Summary!$A$2:$A$201,0))</f>
        <v>6</v>
      </c>
      <c r="T1630" s="3" t="n">
        <f aca="false">INDEX(Summary!$P$2:$P$201,MATCH($B1630,Summary!$A$2:$A$201,0))</f>
        <v>3</v>
      </c>
      <c r="U1630" s="2" t="n">
        <f aca="false">INDEX(Summary!$Q$2:$Q$201,MATCH($B1630,Summary!$A$2:$A$201,0))</f>
        <v>13.12</v>
      </c>
      <c r="V1630" s="2" t="n">
        <f aca="false">INDEX(Summary!$R$2:$R$201,MATCH($B1630,Summary!$A$2:$A$201,0))</f>
        <v>18.2</v>
      </c>
      <c r="W1630" s="0" t="str">
        <f aca="false">INDEX(Summary!$S$2:$S$201,MATCH($B1630,Summary!$A$2:$A$201,0))</f>
        <v>Bronze</v>
      </c>
      <c r="X1630" s="2" t="n">
        <f aca="false">INDEX(Summary!$T$2:$T$201,MATCH($B1630,Summary!$A$2:$A$201,0))</f>
        <v>44.39</v>
      </c>
      <c r="Y1630" s="0" t="str">
        <f aca="false">INDEX('Reward Model'!$E$18:$E$37,MATCH($E1630,'Reward Model'!$A$18:$A$37,0))</f>
        <v>Medium</v>
      </c>
      <c r="Z1630" s="4" t="n">
        <f aca="false">ROUND(MIN(1,MAX('Reward Model'!$B$2,INDEX('Reward Model'!$C$12:$C$14,MATCH($K1630,'Reward Model'!$A$12:$A$14,0))/$J1630)),3)</f>
        <v>1</v>
      </c>
      <c r="AA1630" s="2" t="n">
        <f aca="false">IF($I1630="Correct",ROUND(INDEX('Reward Model'!$B$12:$B$14,MATCH($K1630,'Reward Model'!$A$12:$A$14,0))*Z1630,2),0)</f>
        <v>1</v>
      </c>
      <c r="AB1630" s="2" t="n">
        <f aca="false">IF($I1630="Correct",ROUND(INDEX('Reward Model'!$B$12:$B$14,MATCH($Y1630,'Reward Model'!$A$12:$A$14,0))*Z1630,2),0)</f>
        <v>2</v>
      </c>
    </row>
    <row r="1631" customFormat="false" ht="15" hidden="false" customHeight="false" outlineLevel="0" collapsed="false">
      <c r="A1631" s="0" t="s">
        <v>292</v>
      </c>
      <c r="B1631" s="0" t="s">
        <v>293</v>
      </c>
      <c r="C1631" s="0" t="s">
        <v>30</v>
      </c>
      <c r="D1631" s="0" t="s">
        <v>275</v>
      </c>
      <c r="E1631" s="0" t="n">
        <v>10</v>
      </c>
      <c r="F1631" s="0" t="s">
        <v>58</v>
      </c>
      <c r="G1631" s="0" t="s">
        <v>174</v>
      </c>
      <c r="H1631" s="0" t="s">
        <v>59</v>
      </c>
      <c r="I1631" s="0" t="s">
        <v>39</v>
      </c>
      <c r="J1631" s="0" t="n">
        <v>1.79</v>
      </c>
      <c r="K1631" s="0" t="s">
        <v>60</v>
      </c>
      <c r="L1631" s="0" t="n">
        <f aca="false">INDEX(Summary!$F$2:$F$201,MATCH($B1631,Summary!$A$2:$A$201,0))</f>
        <v>20</v>
      </c>
      <c r="M1631" s="0" t="n">
        <f aca="false">INDEX(Summary!$I$2:$I$201,MATCH($B1631,Summary!$A$2:$A$201,0))</f>
        <v>1</v>
      </c>
      <c r="N1631" s="0" t="n">
        <f aca="false">INDEX(Summary!$J$2:$J$201,MATCH($B1631,Summary!$A$2:$A$201,0))</f>
        <v>4</v>
      </c>
      <c r="O1631" s="2" t="n">
        <f aca="false">INDEX(Summary!$K$2:$K$201,MATCH($B1631,Summary!$A$2:$A$201,0))</f>
        <v>10.08</v>
      </c>
      <c r="P1631" s="3" t="n">
        <f aca="false">INDEX(Summary!$L$2:$L$201,MATCH($B1631,Summary!$A$2:$A$201,0))</f>
        <v>4</v>
      </c>
      <c r="Q1631" s="3" t="n">
        <f aca="false">INDEX(Summary!$M$2:$M$201,MATCH($B1631,Summary!$A$2:$A$201,0))</f>
        <v>2</v>
      </c>
      <c r="R1631" s="2" t="n">
        <f aca="false">INDEX(Summary!$N$2:$N$201,MATCH($B1631,Summary!$A$2:$A$201,0))</f>
        <v>10.65</v>
      </c>
      <c r="S1631" s="3" t="n">
        <f aca="false">INDEX(Summary!$O$2:$O$201,MATCH($B1631,Summary!$A$2:$A$201,0))</f>
        <v>6</v>
      </c>
      <c r="T1631" s="3" t="n">
        <f aca="false">INDEX(Summary!$P$2:$P$201,MATCH($B1631,Summary!$A$2:$A$201,0))</f>
        <v>3</v>
      </c>
      <c r="U1631" s="2" t="n">
        <f aca="false">INDEX(Summary!$Q$2:$Q$201,MATCH($B1631,Summary!$A$2:$A$201,0))</f>
        <v>13.12</v>
      </c>
      <c r="V1631" s="2" t="n">
        <f aca="false">INDEX(Summary!$R$2:$R$201,MATCH($B1631,Summary!$A$2:$A$201,0))</f>
        <v>18.2</v>
      </c>
      <c r="W1631" s="0" t="str">
        <f aca="false">INDEX(Summary!$S$2:$S$201,MATCH($B1631,Summary!$A$2:$A$201,0))</f>
        <v>Bronze</v>
      </c>
      <c r="X1631" s="2" t="n">
        <f aca="false">INDEX(Summary!$T$2:$T$201,MATCH($B1631,Summary!$A$2:$A$201,0))</f>
        <v>44.39</v>
      </c>
      <c r="Y1631" s="0" t="str">
        <f aca="false">INDEX('Reward Model'!$E$18:$E$37,MATCH($E1631,'Reward Model'!$A$18:$A$37,0))</f>
        <v>Medium</v>
      </c>
      <c r="Z1631" s="4" t="n">
        <f aca="false">ROUND(MIN(1,MAX('Reward Model'!$B$2,INDEX('Reward Model'!$C$12:$C$14,MATCH($K1631,'Reward Model'!$A$12:$A$14,0))/$J1631)),3)</f>
        <v>1</v>
      </c>
      <c r="AA1631" s="2" t="n">
        <f aca="false">IF($I1631="Correct",ROUND(INDEX('Reward Model'!$B$12:$B$14,MATCH($K1631,'Reward Model'!$A$12:$A$14,0))*Z1631,2),0)</f>
        <v>0</v>
      </c>
      <c r="AB1631" s="2" t="n">
        <f aca="false">IF($I1631="Correct",ROUND(INDEX('Reward Model'!$B$12:$B$14,MATCH($Y1631,'Reward Model'!$A$12:$A$14,0))*Z1631,2),0)</f>
        <v>0</v>
      </c>
    </row>
    <row r="1632" customFormat="false" ht="15" hidden="false" customHeight="false" outlineLevel="0" collapsed="false">
      <c r="A1632" s="0" t="s">
        <v>292</v>
      </c>
      <c r="B1632" s="0" t="s">
        <v>293</v>
      </c>
      <c r="C1632" s="0" t="s">
        <v>30</v>
      </c>
      <c r="D1632" s="0" t="s">
        <v>275</v>
      </c>
      <c r="E1632" s="0" t="n">
        <v>11</v>
      </c>
      <c r="F1632" s="0" t="s">
        <v>61</v>
      </c>
      <c r="G1632" s="0" t="s">
        <v>63</v>
      </c>
      <c r="H1632" s="0" t="s">
        <v>63</v>
      </c>
      <c r="I1632" s="0" t="s">
        <v>34</v>
      </c>
      <c r="J1632" s="0" t="n">
        <v>2.23</v>
      </c>
      <c r="K1632" s="0" t="s">
        <v>60</v>
      </c>
      <c r="L1632" s="0" t="n">
        <f aca="false">INDEX(Summary!$F$2:$F$201,MATCH($B1632,Summary!$A$2:$A$201,0))</f>
        <v>20</v>
      </c>
      <c r="M1632" s="0" t="n">
        <f aca="false">INDEX(Summary!$I$2:$I$201,MATCH($B1632,Summary!$A$2:$A$201,0))</f>
        <v>1</v>
      </c>
      <c r="N1632" s="0" t="n">
        <f aca="false">INDEX(Summary!$J$2:$J$201,MATCH($B1632,Summary!$A$2:$A$201,0))</f>
        <v>4</v>
      </c>
      <c r="O1632" s="2" t="n">
        <f aca="false">INDEX(Summary!$K$2:$K$201,MATCH($B1632,Summary!$A$2:$A$201,0))</f>
        <v>10.08</v>
      </c>
      <c r="P1632" s="3" t="n">
        <f aca="false">INDEX(Summary!$L$2:$L$201,MATCH($B1632,Summary!$A$2:$A$201,0))</f>
        <v>4</v>
      </c>
      <c r="Q1632" s="3" t="n">
        <f aca="false">INDEX(Summary!$M$2:$M$201,MATCH($B1632,Summary!$A$2:$A$201,0))</f>
        <v>2</v>
      </c>
      <c r="R1632" s="2" t="n">
        <f aca="false">INDEX(Summary!$N$2:$N$201,MATCH($B1632,Summary!$A$2:$A$201,0))</f>
        <v>10.65</v>
      </c>
      <c r="S1632" s="3" t="n">
        <f aca="false">INDEX(Summary!$O$2:$O$201,MATCH($B1632,Summary!$A$2:$A$201,0))</f>
        <v>6</v>
      </c>
      <c r="T1632" s="3" t="n">
        <f aca="false">INDEX(Summary!$P$2:$P$201,MATCH($B1632,Summary!$A$2:$A$201,0))</f>
        <v>3</v>
      </c>
      <c r="U1632" s="2" t="n">
        <f aca="false">INDEX(Summary!$Q$2:$Q$201,MATCH($B1632,Summary!$A$2:$A$201,0))</f>
        <v>13.12</v>
      </c>
      <c r="V1632" s="2" t="n">
        <f aca="false">INDEX(Summary!$R$2:$R$201,MATCH($B1632,Summary!$A$2:$A$201,0))</f>
        <v>18.2</v>
      </c>
      <c r="W1632" s="0" t="str">
        <f aca="false">INDEX(Summary!$S$2:$S$201,MATCH($B1632,Summary!$A$2:$A$201,0))</f>
        <v>Bronze</v>
      </c>
      <c r="X1632" s="2" t="n">
        <f aca="false">INDEX(Summary!$T$2:$T$201,MATCH($B1632,Summary!$A$2:$A$201,0))</f>
        <v>44.39</v>
      </c>
      <c r="Y1632" s="0" t="str">
        <f aca="false">INDEX('Reward Model'!$E$18:$E$37,MATCH($E1632,'Reward Model'!$A$18:$A$37,0))</f>
        <v>Medium</v>
      </c>
      <c r="Z1632" s="4" t="n">
        <f aca="false">ROUND(MIN(1,MAX('Reward Model'!$B$2,INDEX('Reward Model'!$C$12:$C$14,MATCH($K1632,'Reward Model'!$A$12:$A$14,0))/$J1632)),3)</f>
        <v>0.807</v>
      </c>
      <c r="AA1632" s="2" t="n">
        <f aca="false">IF($I1632="Correct",ROUND(INDEX('Reward Model'!$B$12:$B$14,MATCH($K1632,'Reward Model'!$A$12:$A$14,0))*Z1632,2),0)</f>
        <v>1.61</v>
      </c>
      <c r="AB1632" s="2" t="n">
        <f aca="false">IF($I1632="Correct",ROUND(INDEX('Reward Model'!$B$12:$B$14,MATCH($Y1632,'Reward Model'!$A$12:$A$14,0))*Z1632,2),0)</f>
        <v>1.61</v>
      </c>
    </row>
    <row r="1633" customFormat="false" ht="15" hidden="false" customHeight="false" outlineLevel="0" collapsed="false">
      <c r="A1633" s="0" t="s">
        <v>292</v>
      </c>
      <c r="B1633" s="0" t="s">
        <v>293</v>
      </c>
      <c r="C1633" s="0" t="s">
        <v>30</v>
      </c>
      <c r="D1633" s="0" t="s">
        <v>275</v>
      </c>
      <c r="E1633" s="0" t="n">
        <v>12</v>
      </c>
      <c r="F1633" s="0" t="s">
        <v>64</v>
      </c>
      <c r="G1633" s="0" t="s">
        <v>112</v>
      </c>
      <c r="H1633" s="0" t="s">
        <v>65</v>
      </c>
      <c r="I1633" s="0" t="s">
        <v>39</v>
      </c>
      <c r="J1633" s="0" t="n">
        <v>1.48</v>
      </c>
      <c r="K1633" s="0" t="s">
        <v>60</v>
      </c>
      <c r="L1633" s="0" t="n">
        <f aca="false">INDEX(Summary!$F$2:$F$201,MATCH($B1633,Summary!$A$2:$A$201,0))</f>
        <v>20</v>
      </c>
      <c r="M1633" s="0" t="n">
        <f aca="false">INDEX(Summary!$I$2:$I$201,MATCH($B1633,Summary!$A$2:$A$201,0))</f>
        <v>1</v>
      </c>
      <c r="N1633" s="0" t="n">
        <f aca="false">INDEX(Summary!$J$2:$J$201,MATCH($B1633,Summary!$A$2:$A$201,0))</f>
        <v>4</v>
      </c>
      <c r="O1633" s="2" t="n">
        <f aca="false">INDEX(Summary!$K$2:$K$201,MATCH($B1633,Summary!$A$2:$A$201,0))</f>
        <v>10.08</v>
      </c>
      <c r="P1633" s="3" t="n">
        <f aca="false">INDEX(Summary!$L$2:$L$201,MATCH($B1633,Summary!$A$2:$A$201,0))</f>
        <v>4</v>
      </c>
      <c r="Q1633" s="3" t="n">
        <f aca="false">INDEX(Summary!$M$2:$M$201,MATCH($B1633,Summary!$A$2:$A$201,0))</f>
        <v>2</v>
      </c>
      <c r="R1633" s="2" t="n">
        <f aca="false">INDEX(Summary!$N$2:$N$201,MATCH($B1633,Summary!$A$2:$A$201,0))</f>
        <v>10.65</v>
      </c>
      <c r="S1633" s="3" t="n">
        <f aca="false">INDEX(Summary!$O$2:$O$201,MATCH($B1633,Summary!$A$2:$A$201,0))</f>
        <v>6</v>
      </c>
      <c r="T1633" s="3" t="n">
        <f aca="false">INDEX(Summary!$P$2:$P$201,MATCH($B1633,Summary!$A$2:$A$201,0))</f>
        <v>3</v>
      </c>
      <c r="U1633" s="2" t="n">
        <f aca="false">INDEX(Summary!$Q$2:$Q$201,MATCH($B1633,Summary!$A$2:$A$201,0))</f>
        <v>13.12</v>
      </c>
      <c r="V1633" s="2" t="n">
        <f aca="false">INDEX(Summary!$R$2:$R$201,MATCH($B1633,Summary!$A$2:$A$201,0))</f>
        <v>18.2</v>
      </c>
      <c r="W1633" s="0" t="str">
        <f aca="false">INDEX(Summary!$S$2:$S$201,MATCH($B1633,Summary!$A$2:$A$201,0))</f>
        <v>Bronze</v>
      </c>
      <c r="X1633" s="2" t="n">
        <f aca="false">INDEX(Summary!$T$2:$T$201,MATCH($B1633,Summary!$A$2:$A$201,0))</f>
        <v>44.39</v>
      </c>
      <c r="Y1633" s="0" t="str">
        <f aca="false">INDEX('Reward Model'!$E$18:$E$37,MATCH($E1633,'Reward Model'!$A$18:$A$37,0))</f>
        <v>Medium</v>
      </c>
      <c r="Z1633" s="4" t="n">
        <f aca="false">ROUND(MIN(1,MAX('Reward Model'!$B$2,INDEX('Reward Model'!$C$12:$C$14,MATCH($K1633,'Reward Model'!$A$12:$A$14,0))/$J1633)),3)</f>
        <v>1</v>
      </c>
      <c r="AA1633" s="2" t="n">
        <f aca="false">IF($I1633="Correct",ROUND(INDEX('Reward Model'!$B$12:$B$14,MATCH($K1633,'Reward Model'!$A$12:$A$14,0))*Z1633,2),0)</f>
        <v>0</v>
      </c>
      <c r="AB1633" s="2" t="n">
        <f aca="false">IF($I1633="Correct",ROUND(INDEX('Reward Model'!$B$12:$B$14,MATCH($Y1633,'Reward Model'!$A$12:$A$14,0))*Z1633,2),0)</f>
        <v>0</v>
      </c>
    </row>
    <row r="1634" customFormat="false" ht="15" hidden="false" customHeight="false" outlineLevel="0" collapsed="false">
      <c r="A1634" s="0" t="s">
        <v>292</v>
      </c>
      <c r="B1634" s="0" t="s">
        <v>293</v>
      </c>
      <c r="C1634" s="0" t="s">
        <v>30</v>
      </c>
      <c r="D1634" s="0" t="s">
        <v>275</v>
      </c>
      <c r="E1634" s="0" t="n">
        <v>13</v>
      </c>
      <c r="F1634" s="0" t="s">
        <v>66</v>
      </c>
      <c r="G1634" s="0" t="s">
        <v>67</v>
      </c>
      <c r="H1634" s="0" t="s">
        <v>67</v>
      </c>
      <c r="I1634" s="0" t="s">
        <v>34</v>
      </c>
      <c r="J1634" s="0" t="n">
        <v>1.13</v>
      </c>
      <c r="K1634" s="0" t="s">
        <v>60</v>
      </c>
      <c r="L1634" s="0" t="n">
        <f aca="false">INDEX(Summary!$F$2:$F$201,MATCH($B1634,Summary!$A$2:$A$201,0))</f>
        <v>20</v>
      </c>
      <c r="M1634" s="0" t="n">
        <f aca="false">INDEX(Summary!$I$2:$I$201,MATCH($B1634,Summary!$A$2:$A$201,0))</f>
        <v>1</v>
      </c>
      <c r="N1634" s="0" t="n">
        <f aca="false">INDEX(Summary!$J$2:$J$201,MATCH($B1634,Summary!$A$2:$A$201,0))</f>
        <v>4</v>
      </c>
      <c r="O1634" s="2" t="n">
        <f aca="false">INDEX(Summary!$K$2:$K$201,MATCH($B1634,Summary!$A$2:$A$201,0))</f>
        <v>10.08</v>
      </c>
      <c r="P1634" s="3" t="n">
        <f aca="false">INDEX(Summary!$L$2:$L$201,MATCH($B1634,Summary!$A$2:$A$201,0))</f>
        <v>4</v>
      </c>
      <c r="Q1634" s="3" t="n">
        <f aca="false">INDEX(Summary!$M$2:$M$201,MATCH($B1634,Summary!$A$2:$A$201,0))</f>
        <v>2</v>
      </c>
      <c r="R1634" s="2" t="n">
        <f aca="false">INDEX(Summary!$N$2:$N$201,MATCH($B1634,Summary!$A$2:$A$201,0))</f>
        <v>10.65</v>
      </c>
      <c r="S1634" s="3" t="n">
        <f aca="false">INDEX(Summary!$O$2:$O$201,MATCH($B1634,Summary!$A$2:$A$201,0))</f>
        <v>6</v>
      </c>
      <c r="T1634" s="3" t="n">
        <f aca="false">INDEX(Summary!$P$2:$P$201,MATCH($B1634,Summary!$A$2:$A$201,0))</f>
        <v>3</v>
      </c>
      <c r="U1634" s="2" t="n">
        <f aca="false">INDEX(Summary!$Q$2:$Q$201,MATCH($B1634,Summary!$A$2:$A$201,0))</f>
        <v>13.12</v>
      </c>
      <c r="V1634" s="2" t="n">
        <f aca="false">INDEX(Summary!$R$2:$R$201,MATCH($B1634,Summary!$A$2:$A$201,0))</f>
        <v>18.2</v>
      </c>
      <c r="W1634" s="0" t="str">
        <f aca="false">INDEX(Summary!$S$2:$S$201,MATCH($B1634,Summary!$A$2:$A$201,0))</f>
        <v>Bronze</v>
      </c>
      <c r="X1634" s="2" t="n">
        <f aca="false">INDEX(Summary!$T$2:$T$201,MATCH($B1634,Summary!$A$2:$A$201,0))</f>
        <v>44.39</v>
      </c>
      <c r="Y1634" s="0" t="str">
        <f aca="false">INDEX('Reward Model'!$E$18:$E$37,MATCH($E1634,'Reward Model'!$A$18:$A$37,0))</f>
        <v>Medium</v>
      </c>
      <c r="Z1634" s="4" t="n">
        <f aca="false">ROUND(MIN(1,MAX('Reward Model'!$B$2,INDEX('Reward Model'!$C$12:$C$14,MATCH($K1634,'Reward Model'!$A$12:$A$14,0))/$J1634)),3)</f>
        <v>1</v>
      </c>
      <c r="AA1634" s="2" t="n">
        <f aca="false">IF($I1634="Correct",ROUND(INDEX('Reward Model'!$B$12:$B$14,MATCH($K1634,'Reward Model'!$A$12:$A$14,0))*Z1634,2),0)</f>
        <v>2</v>
      </c>
      <c r="AB1634" s="2" t="n">
        <f aca="false">IF($I1634="Correct",ROUND(INDEX('Reward Model'!$B$12:$B$14,MATCH($Y1634,'Reward Model'!$A$12:$A$14,0))*Z1634,2),0)</f>
        <v>2</v>
      </c>
    </row>
    <row r="1635" customFormat="false" ht="15" hidden="false" customHeight="false" outlineLevel="0" collapsed="false">
      <c r="A1635" s="0" t="s">
        <v>292</v>
      </c>
      <c r="B1635" s="0" t="s">
        <v>293</v>
      </c>
      <c r="C1635" s="0" t="s">
        <v>30</v>
      </c>
      <c r="D1635" s="0" t="s">
        <v>275</v>
      </c>
      <c r="E1635" s="0" t="n">
        <v>14</v>
      </c>
      <c r="F1635" s="0" t="s">
        <v>68</v>
      </c>
      <c r="G1635" s="0" t="s">
        <v>51</v>
      </c>
      <c r="H1635" s="0" t="s">
        <v>51</v>
      </c>
      <c r="I1635" s="0" t="s">
        <v>34</v>
      </c>
      <c r="J1635" s="0" t="n">
        <v>1.87</v>
      </c>
      <c r="K1635" s="0" t="s">
        <v>60</v>
      </c>
      <c r="L1635" s="0" t="n">
        <f aca="false">INDEX(Summary!$F$2:$F$201,MATCH($B1635,Summary!$A$2:$A$201,0))</f>
        <v>20</v>
      </c>
      <c r="M1635" s="0" t="n">
        <f aca="false">INDEX(Summary!$I$2:$I$201,MATCH($B1635,Summary!$A$2:$A$201,0))</f>
        <v>1</v>
      </c>
      <c r="N1635" s="0" t="n">
        <f aca="false">INDEX(Summary!$J$2:$J$201,MATCH($B1635,Summary!$A$2:$A$201,0))</f>
        <v>4</v>
      </c>
      <c r="O1635" s="2" t="n">
        <f aca="false">INDEX(Summary!$K$2:$K$201,MATCH($B1635,Summary!$A$2:$A$201,0))</f>
        <v>10.08</v>
      </c>
      <c r="P1635" s="3" t="n">
        <f aca="false">INDEX(Summary!$L$2:$L$201,MATCH($B1635,Summary!$A$2:$A$201,0))</f>
        <v>4</v>
      </c>
      <c r="Q1635" s="3" t="n">
        <f aca="false">INDEX(Summary!$M$2:$M$201,MATCH($B1635,Summary!$A$2:$A$201,0))</f>
        <v>2</v>
      </c>
      <c r="R1635" s="2" t="n">
        <f aca="false">INDEX(Summary!$N$2:$N$201,MATCH($B1635,Summary!$A$2:$A$201,0))</f>
        <v>10.65</v>
      </c>
      <c r="S1635" s="3" t="n">
        <f aca="false">INDEX(Summary!$O$2:$O$201,MATCH($B1635,Summary!$A$2:$A$201,0))</f>
        <v>6</v>
      </c>
      <c r="T1635" s="3" t="n">
        <f aca="false">INDEX(Summary!$P$2:$P$201,MATCH($B1635,Summary!$A$2:$A$201,0))</f>
        <v>3</v>
      </c>
      <c r="U1635" s="2" t="n">
        <f aca="false">INDEX(Summary!$Q$2:$Q$201,MATCH($B1635,Summary!$A$2:$A$201,0))</f>
        <v>13.12</v>
      </c>
      <c r="V1635" s="2" t="n">
        <f aca="false">INDEX(Summary!$R$2:$R$201,MATCH($B1635,Summary!$A$2:$A$201,0))</f>
        <v>18.2</v>
      </c>
      <c r="W1635" s="0" t="str">
        <f aca="false">INDEX(Summary!$S$2:$S$201,MATCH($B1635,Summary!$A$2:$A$201,0))</f>
        <v>Bronze</v>
      </c>
      <c r="X1635" s="2" t="n">
        <f aca="false">INDEX(Summary!$T$2:$T$201,MATCH($B1635,Summary!$A$2:$A$201,0))</f>
        <v>44.39</v>
      </c>
      <c r="Y1635" s="0" t="str">
        <f aca="false">INDEX('Reward Model'!$E$18:$E$37,MATCH($E1635,'Reward Model'!$A$18:$A$37,0))</f>
        <v>Medium</v>
      </c>
      <c r="Z1635" s="4" t="n">
        <f aca="false">ROUND(MIN(1,MAX('Reward Model'!$B$2,INDEX('Reward Model'!$C$12:$C$14,MATCH($K1635,'Reward Model'!$A$12:$A$14,0))/$J1635)),3)</f>
        <v>0.963</v>
      </c>
      <c r="AA1635" s="2" t="n">
        <f aca="false">IF($I1635="Correct",ROUND(INDEX('Reward Model'!$B$12:$B$14,MATCH($K1635,'Reward Model'!$A$12:$A$14,0))*Z1635,2),0)</f>
        <v>1.93</v>
      </c>
      <c r="AB1635" s="2" t="n">
        <f aca="false">IF($I1635="Correct",ROUND(INDEX('Reward Model'!$B$12:$B$14,MATCH($Y1635,'Reward Model'!$A$12:$A$14,0))*Z1635,2),0)</f>
        <v>1.93</v>
      </c>
    </row>
    <row r="1636" customFormat="false" ht="15" hidden="false" customHeight="false" outlineLevel="0" collapsed="false">
      <c r="A1636" s="0" t="s">
        <v>292</v>
      </c>
      <c r="B1636" s="0" t="s">
        <v>293</v>
      </c>
      <c r="C1636" s="0" t="s">
        <v>30</v>
      </c>
      <c r="D1636" s="0" t="s">
        <v>275</v>
      </c>
      <c r="E1636" s="0" t="n">
        <v>15</v>
      </c>
      <c r="F1636" s="0" t="s">
        <v>69</v>
      </c>
      <c r="G1636" s="0" t="s">
        <v>70</v>
      </c>
      <c r="H1636" s="0" t="s">
        <v>70</v>
      </c>
      <c r="I1636" s="0" t="s">
        <v>34</v>
      </c>
      <c r="J1636" s="0" t="n">
        <v>2.15</v>
      </c>
      <c r="K1636" s="0" t="s">
        <v>60</v>
      </c>
      <c r="L1636" s="0" t="n">
        <f aca="false">INDEX(Summary!$F$2:$F$201,MATCH($B1636,Summary!$A$2:$A$201,0))</f>
        <v>20</v>
      </c>
      <c r="M1636" s="0" t="n">
        <f aca="false">INDEX(Summary!$I$2:$I$201,MATCH($B1636,Summary!$A$2:$A$201,0))</f>
        <v>1</v>
      </c>
      <c r="N1636" s="0" t="n">
        <f aca="false">INDEX(Summary!$J$2:$J$201,MATCH($B1636,Summary!$A$2:$A$201,0))</f>
        <v>4</v>
      </c>
      <c r="O1636" s="2" t="n">
        <f aca="false">INDEX(Summary!$K$2:$K$201,MATCH($B1636,Summary!$A$2:$A$201,0))</f>
        <v>10.08</v>
      </c>
      <c r="P1636" s="3" t="n">
        <f aca="false">INDEX(Summary!$L$2:$L$201,MATCH($B1636,Summary!$A$2:$A$201,0))</f>
        <v>4</v>
      </c>
      <c r="Q1636" s="3" t="n">
        <f aca="false">INDEX(Summary!$M$2:$M$201,MATCH($B1636,Summary!$A$2:$A$201,0))</f>
        <v>2</v>
      </c>
      <c r="R1636" s="2" t="n">
        <f aca="false">INDEX(Summary!$N$2:$N$201,MATCH($B1636,Summary!$A$2:$A$201,0))</f>
        <v>10.65</v>
      </c>
      <c r="S1636" s="3" t="n">
        <f aca="false">INDEX(Summary!$O$2:$O$201,MATCH($B1636,Summary!$A$2:$A$201,0))</f>
        <v>6</v>
      </c>
      <c r="T1636" s="3" t="n">
        <f aca="false">INDEX(Summary!$P$2:$P$201,MATCH($B1636,Summary!$A$2:$A$201,0))</f>
        <v>3</v>
      </c>
      <c r="U1636" s="2" t="n">
        <f aca="false">INDEX(Summary!$Q$2:$Q$201,MATCH($B1636,Summary!$A$2:$A$201,0))</f>
        <v>13.12</v>
      </c>
      <c r="V1636" s="2" t="n">
        <f aca="false">INDEX(Summary!$R$2:$R$201,MATCH($B1636,Summary!$A$2:$A$201,0))</f>
        <v>18.2</v>
      </c>
      <c r="W1636" s="0" t="str">
        <f aca="false">INDEX(Summary!$S$2:$S$201,MATCH($B1636,Summary!$A$2:$A$201,0))</f>
        <v>Bronze</v>
      </c>
      <c r="X1636" s="2" t="n">
        <f aca="false">INDEX(Summary!$T$2:$T$201,MATCH($B1636,Summary!$A$2:$A$201,0))</f>
        <v>44.39</v>
      </c>
      <c r="Y1636" s="0" t="str">
        <f aca="false">INDEX('Reward Model'!$E$18:$E$37,MATCH($E1636,'Reward Model'!$A$18:$A$37,0))</f>
        <v>Medium</v>
      </c>
      <c r="Z1636" s="4" t="n">
        <f aca="false">ROUND(MIN(1,MAX('Reward Model'!$B$2,INDEX('Reward Model'!$C$12:$C$14,MATCH($K1636,'Reward Model'!$A$12:$A$14,0))/$J1636)),3)</f>
        <v>0.837</v>
      </c>
      <c r="AA1636" s="2" t="n">
        <f aca="false">IF($I1636="Correct",ROUND(INDEX('Reward Model'!$B$12:$B$14,MATCH($K1636,'Reward Model'!$A$12:$A$14,0))*Z1636,2),0)</f>
        <v>1.67</v>
      </c>
      <c r="AB1636" s="2" t="n">
        <f aca="false">IF($I1636="Correct",ROUND(INDEX('Reward Model'!$B$12:$B$14,MATCH($Y1636,'Reward Model'!$A$12:$A$14,0))*Z1636,2),0)</f>
        <v>1.67</v>
      </c>
    </row>
    <row r="1637" customFormat="false" ht="15" hidden="false" customHeight="false" outlineLevel="0" collapsed="false">
      <c r="A1637" s="0" t="s">
        <v>292</v>
      </c>
      <c r="B1637" s="0" t="s">
        <v>293</v>
      </c>
      <c r="C1637" s="0" t="s">
        <v>30</v>
      </c>
      <c r="D1637" s="0" t="s">
        <v>275</v>
      </c>
      <c r="E1637" s="0" t="n">
        <v>16</v>
      </c>
      <c r="F1637" s="0" t="s">
        <v>71</v>
      </c>
      <c r="G1637" s="0" t="s">
        <v>87</v>
      </c>
      <c r="H1637" s="0" t="s">
        <v>72</v>
      </c>
      <c r="I1637" s="0" t="s">
        <v>39</v>
      </c>
      <c r="J1637" s="0" t="n">
        <v>1.9</v>
      </c>
      <c r="K1637" s="0" t="s">
        <v>73</v>
      </c>
      <c r="L1637" s="0" t="n">
        <f aca="false">INDEX(Summary!$F$2:$F$201,MATCH($B1637,Summary!$A$2:$A$201,0))</f>
        <v>20</v>
      </c>
      <c r="M1637" s="0" t="n">
        <f aca="false">INDEX(Summary!$I$2:$I$201,MATCH($B1637,Summary!$A$2:$A$201,0))</f>
        <v>1</v>
      </c>
      <c r="N1637" s="0" t="n">
        <f aca="false">INDEX(Summary!$J$2:$J$201,MATCH($B1637,Summary!$A$2:$A$201,0))</f>
        <v>4</v>
      </c>
      <c r="O1637" s="2" t="n">
        <f aca="false">INDEX(Summary!$K$2:$K$201,MATCH($B1637,Summary!$A$2:$A$201,0))</f>
        <v>10.08</v>
      </c>
      <c r="P1637" s="3" t="n">
        <f aca="false">INDEX(Summary!$L$2:$L$201,MATCH($B1637,Summary!$A$2:$A$201,0))</f>
        <v>4</v>
      </c>
      <c r="Q1637" s="3" t="n">
        <f aca="false">INDEX(Summary!$M$2:$M$201,MATCH($B1637,Summary!$A$2:$A$201,0))</f>
        <v>2</v>
      </c>
      <c r="R1637" s="2" t="n">
        <f aca="false">INDEX(Summary!$N$2:$N$201,MATCH($B1637,Summary!$A$2:$A$201,0))</f>
        <v>10.65</v>
      </c>
      <c r="S1637" s="3" t="n">
        <f aca="false">INDEX(Summary!$O$2:$O$201,MATCH($B1637,Summary!$A$2:$A$201,0))</f>
        <v>6</v>
      </c>
      <c r="T1637" s="3" t="n">
        <f aca="false">INDEX(Summary!$P$2:$P$201,MATCH($B1637,Summary!$A$2:$A$201,0))</f>
        <v>3</v>
      </c>
      <c r="U1637" s="2" t="n">
        <f aca="false">INDEX(Summary!$Q$2:$Q$201,MATCH($B1637,Summary!$A$2:$A$201,0))</f>
        <v>13.12</v>
      </c>
      <c r="V1637" s="2" t="n">
        <f aca="false">INDEX(Summary!$R$2:$R$201,MATCH($B1637,Summary!$A$2:$A$201,0))</f>
        <v>18.2</v>
      </c>
      <c r="W1637" s="0" t="str">
        <f aca="false">INDEX(Summary!$S$2:$S$201,MATCH($B1637,Summary!$A$2:$A$201,0))</f>
        <v>Bronze</v>
      </c>
      <c r="X1637" s="2" t="n">
        <f aca="false">INDEX(Summary!$T$2:$T$201,MATCH($B1637,Summary!$A$2:$A$201,0))</f>
        <v>44.39</v>
      </c>
      <c r="Y1637" s="0" t="str">
        <f aca="false">INDEX('Reward Model'!$E$18:$E$37,MATCH($E1637,'Reward Model'!$A$18:$A$37,0))</f>
        <v>High</v>
      </c>
      <c r="Z1637" s="4" t="n">
        <f aca="false">ROUND(MIN(1,MAX('Reward Model'!$B$2,INDEX('Reward Model'!$C$12:$C$14,MATCH($K1637,'Reward Model'!$A$12:$A$14,0))/$J1637)),3)</f>
        <v>1</v>
      </c>
      <c r="AA1637" s="2" t="n">
        <f aca="false">IF($I1637="Correct",ROUND(INDEX('Reward Model'!$B$12:$B$14,MATCH($K1637,'Reward Model'!$A$12:$A$14,0))*Z1637,2),0)</f>
        <v>0</v>
      </c>
      <c r="AB1637" s="2" t="n">
        <f aca="false">IF($I1637="Correct",ROUND(INDEX('Reward Model'!$B$12:$B$14,MATCH($Y1637,'Reward Model'!$A$12:$A$14,0))*Z1637,2),0)</f>
        <v>0</v>
      </c>
    </row>
    <row r="1638" customFormat="false" ht="15" hidden="false" customHeight="false" outlineLevel="0" collapsed="false">
      <c r="A1638" s="0" t="s">
        <v>292</v>
      </c>
      <c r="B1638" s="0" t="s">
        <v>293</v>
      </c>
      <c r="C1638" s="0" t="s">
        <v>30</v>
      </c>
      <c r="D1638" s="0" t="s">
        <v>275</v>
      </c>
      <c r="E1638" s="0" t="n">
        <v>17</v>
      </c>
      <c r="F1638" s="0" t="s">
        <v>74</v>
      </c>
      <c r="G1638" s="0" t="s">
        <v>91</v>
      </c>
      <c r="H1638" s="0" t="s">
        <v>75</v>
      </c>
      <c r="I1638" s="0" t="s">
        <v>39</v>
      </c>
      <c r="J1638" s="0" t="n">
        <v>1.63</v>
      </c>
      <c r="K1638" s="0" t="s">
        <v>73</v>
      </c>
      <c r="L1638" s="0" t="n">
        <f aca="false">INDEX(Summary!$F$2:$F$201,MATCH($B1638,Summary!$A$2:$A$201,0))</f>
        <v>20</v>
      </c>
      <c r="M1638" s="0" t="n">
        <f aca="false">INDEX(Summary!$I$2:$I$201,MATCH($B1638,Summary!$A$2:$A$201,0))</f>
        <v>1</v>
      </c>
      <c r="N1638" s="0" t="n">
        <f aca="false">INDEX(Summary!$J$2:$J$201,MATCH($B1638,Summary!$A$2:$A$201,0))</f>
        <v>4</v>
      </c>
      <c r="O1638" s="2" t="n">
        <f aca="false">INDEX(Summary!$K$2:$K$201,MATCH($B1638,Summary!$A$2:$A$201,0))</f>
        <v>10.08</v>
      </c>
      <c r="P1638" s="3" t="n">
        <f aca="false">INDEX(Summary!$L$2:$L$201,MATCH($B1638,Summary!$A$2:$A$201,0))</f>
        <v>4</v>
      </c>
      <c r="Q1638" s="3" t="n">
        <f aca="false">INDEX(Summary!$M$2:$M$201,MATCH($B1638,Summary!$A$2:$A$201,0))</f>
        <v>2</v>
      </c>
      <c r="R1638" s="2" t="n">
        <f aca="false">INDEX(Summary!$N$2:$N$201,MATCH($B1638,Summary!$A$2:$A$201,0))</f>
        <v>10.65</v>
      </c>
      <c r="S1638" s="3" t="n">
        <f aca="false">INDEX(Summary!$O$2:$O$201,MATCH($B1638,Summary!$A$2:$A$201,0))</f>
        <v>6</v>
      </c>
      <c r="T1638" s="3" t="n">
        <f aca="false">INDEX(Summary!$P$2:$P$201,MATCH($B1638,Summary!$A$2:$A$201,0))</f>
        <v>3</v>
      </c>
      <c r="U1638" s="2" t="n">
        <f aca="false">INDEX(Summary!$Q$2:$Q$201,MATCH($B1638,Summary!$A$2:$A$201,0))</f>
        <v>13.12</v>
      </c>
      <c r="V1638" s="2" t="n">
        <f aca="false">INDEX(Summary!$R$2:$R$201,MATCH($B1638,Summary!$A$2:$A$201,0))</f>
        <v>18.2</v>
      </c>
      <c r="W1638" s="0" t="str">
        <f aca="false">INDEX(Summary!$S$2:$S$201,MATCH($B1638,Summary!$A$2:$A$201,0))</f>
        <v>Bronze</v>
      </c>
      <c r="X1638" s="2" t="n">
        <f aca="false">INDEX(Summary!$T$2:$T$201,MATCH($B1638,Summary!$A$2:$A$201,0))</f>
        <v>44.39</v>
      </c>
      <c r="Y1638" s="0" t="str">
        <f aca="false">INDEX('Reward Model'!$E$18:$E$37,MATCH($E1638,'Reward Model'!$A$18:$A$37,0))</f>
        <v>High</v>
      </c>
      <c r="Z1638" s="4" t="n">
        <f aca="false">ROUND(MIN(1,MAX('Reward Model'!$B$2,INDEX('Reward Model'!$C$12:$C$14,MATCH($K1638,'Reward Model'!$A$12:$A$14,0))/$J1638)),3)</f>
        <v>1</v>
      </c>
      <c r="AA1638" s="2" t="n">
        <f aca="false">IF($I1638="Correct",ROUND(INDEX('Reward Model'!$B$12:$B$14,MATCH($K1638,'Reward Model'!$A$12:$A$14,0))*Z1638,2),0)</f>
        <v>0</v>
      </c>
      <c r="AB1638" s="2" t="n">
        <f aca="false">IF($I1638="Correct",ROUND(INDEX('Reward Model'!$B$12:$B$14,MATCH($Y1638,'Reward Model'!$A$12:$A$14,0))*Z1638,2),0)</f>
        <v>0</v>
      </c>
    </row>
    <row r="1639" customFormat="false" ht="15" hidden="false" customHeight="false" outlineLevel="0" collapsed="false">
      <c r="A1639" s="0" t="s">
        <v>292</v>
      </c>
      <c r="B1639" s="0" t="s">
        <v>293</v>
      </c>
      <c r="C1639" s="0" t="s">
        <v>30</v>
      </c>
      <c r="D1639" s="0" t="s">
        <v>275</v>
      </c>
      <c r="E1639" s="0" t="n">
        <v>18</v>
      </c>
      <c r="F1639" s="0" t="s">
        <v>76</v>
      </c>
      <c r="G1639" s="0" t="s">
        <v>88</v>
      </c>
      <c r="H1639" s="0" t="s">
        <v>77</v>
      </c>
      <c r="I1639" s="0" t="s">
        <v>39</v>
      </c>
      <c r="J1639" s="0" t="n">
        <v>1.84</v>
      </c>
      <c r="K1639" s="0" t="s">
        <v>73</v>
      </c>
      <c r="L1639" s="0" t="n">
        <f aca="false">INDEX(Summary!$F$2:$F$201,MATCH($B1639,Summary!$A$2:$A$201,0))</f>
        <v>20</v>
      </c>
      <c r="M1639" s="0" t="n">
        <f aca="false">INDEX(Summary!$I$2:$I$201,MATCH($B1639,Summary!$A$2:$A$201,0))</f>
        <v>1</v>
      </c>
      <c r="N1639" s="0" t="n">
        <f aca="false">INDEX(Summary!$J$2:$J$201,MATCH($B1639,Summary!$A$2:$A$201,0))</f>
        <v>4</v>
      </c>
      <c r="O1639" s="2" t="n">
        <f aca="false">INDEX(Summary!$K$2:$K$201,MATCH($B1639,Summary!$A$2:$A$201,0))</f>
        <v>10.08</v>
      </c>
      <c r="P1639" s="3" t="n">
        <f aca="false">INDEX(Summary!$L$2:$L$201,MATCH($B1639,Summary!$A$2:$A$201,0))</f>
        <v>4</v>
      </c>
      <c r="Q1639" s="3" t="n">
        <f aca="false">INDEX(Summary!$M$2:$M$201,MATCH($B1639,Summary!$A$2:$A$201,0))</f>
        <v>2</v>
      </c>
      <c r="R1639" s="2" t="n">
        <f aca="false">INDEX(Summary!$N$2:$N$201,MATCH($B1639,Summary!$A$2:$A$201,0))</f>
        <v>10.65</v>
      </c>
      <c r="S1639" s="3" t="n">
        <f aca="false">INDEX(Summary!$O$2:$O$201,MATCH($B1639,Summary!$A$2:$A$201,0))</f>
        <v>6</v>
      </c>
      <c r="T1639" s="3" t="n">
        <f aca="false">INDEX(Summary!$P$2:$P$201,MATCH($B1639,Summary!$A$2:$A$201,0))</f>
        <v>3</v>
      </c>
      <c r="U1639" s="2" t="n">
        <f aca="false">INDEX(Summary!$Q$2:$Q$201,MATCH($B1639,Summary!$A$2:$A$201,0))</f>
        <v>13.12</v>
      </c>
      <c r="V1639" s="2" t="n">
        <f aca="false">INDEX(Summary!$R$2:$R$201,MATCH($B1639,Summary!$A$2:$A$201,0))</f>
        <v>18.2</v>
      </c>
      <c r="W1639" s="0" t="str">
        <f aca="false">INDEX(Summary!$S$2:$S$201,MATCH($B1639,Summary!$A$2:$A$201,0))</f>
        <v>Bronze</v>
      </c>
      <c r="X1639" s="2" t="n">
        <f aca="false">INDEX(Summary!$T$2:$T$201,MATCH($B1639,Summary!$A$2:$A$201,0))</f>
        <v>44.39</v>
      </c>
      <c r="Y1639" s="0" t="str">
        <f aca="false">INDEX('Reward Model'!$E$18:$E$37,MATCH($E1639,'Reward Model'!$A$18:$A$37,0))</f>
        <v>High</v>
      </c>
      <c r="Z1639" s="4" t="n">
        <f aca="false">ROUND(MIN(1,MAX('Reward Model'!$B$2,INDEX('Reward Model'!$C$12:$C$14,MATCH($K1639,'Reward Model'!$A$12:$A$14,0))/$J1639)),3)</f>
        <v>1</v>
      </c>
      <c r="AA1639" s="2" t="n">
        <f aca="false">IF($I1639="Correct",ROUND(INDEX('Reward Model'!$B$12:$B$14,MATCH($K1639,'Reward Model'!$A$12:$A$14,0))*Z1639,2),0)</f>
        <v>0</v>
      </c>
      <c r="AB1639" s="2" t="n">
        <f aca="false">IF($I1639="Correct",ROUND(INDEX('Reward Model'!$B$12:$B$14,MATCH($Y1639,'Reward Model'!$A$12:$A$14,0))*Z1639,2),0)</f>
        <v>0</v>
      </c>
    </row>
    <row r="1640" customFormat="false" ht="15" hidden="false" customHeight="false" outlineLevel="0" collapsed="false">
      <c r="A1640" s="0" t="s">
        <v>292</v>
      </c>
      <c r="B1640" s="0" t="s">
        <v>293</v>
      </c>
      <c r="C1640" s="0" t="s">
        <v>30</v>
      </c>
      <c r="D1640" s="0" t="s">
        <v>275</v>
      </c>
      <c r="E1640" s="0" t="n">
        <v>19</v>
      </c>
      <c r="F1640" s="0" t="s">
        <v>78</v>
      </c>
      <c r="G1640" s="0" t="s">
        <v>51</v>
      </c>
      <c r="H1640" s="0" t="s">
        <v>80</v>
      </c>
      <c r="I1640" s="0" t="s">
        <v>39</v>
      </c>
      <c r="J1640" s="0" t="n">
        <v>2.57</v>
      </c>
      <c r="K1640" s="0" t="s">
        <v>73</v>
      </c>
      <c r="L1640" s="0" t="n">
        <f aca="false">INDEX(Summary!$F$2:$F$201,MATCH($B1640,Summary!$A$2:$A$201,0))</f>
        <v>20</v>
      </c>
      <c r="M1640" s="0" t="n">
        <f aca="false">INDEX(Summary!$I$2:$I$201,MATCH($B1640,Summary!$A$2:$A$201,0))</f>
        <v>1</v>
      </c>
      <c r="N1640" s="0" t="n">
        <f aca="false">INDEX(Summary!$J$2:$J$201,MATCH($B1640,Summary!$A$2:$A$201,0))</f>
        <v>4</v>
      </c>
      <c r="O1640" s="2" t="n">
        <f aca="false">INDEX(Summary!$K$2:$K$201,MATCH($B1640,Summary!$A$2:$A$201,0))</f>
        <v>10.08</v>
      </c>
      <c r="P1640" s="3" t="n">
        <f aca="false">INDEX(Summary!$L$2:$L$201,MATCH($B1640,Summary!$A$2:$A$201,0))</f>
        <v>4</v>
      </c>
      <c r="Q1640" s="3" t="n">
        <f aca="false">INDEX(Summary!$M$2:$M$201,MATCH($B1640,Summary!$A$2:$A$201,0))</f>
        <v>2</v>
      </c>
      <c r="R1640" s="2" t="n">
        <f aca="false">INDEX(Summary!$N$2:$N$201,MATCH($B1640,Summary!$A$2:$A$201,0))</f>
        <v>10.65</v>
      </c>
      <c r="S1640" s="3" t="n">
        <f aca="false">INDEX(Summary!$O$2:$O$201,MATCH($B1640,Summary!$A$2:$A$201,0))</f>
        <v>6</v>
      </c>
      <c r="T1640" s="3" t="n">
        <f aca="false">INDEX(Summary!$P$2:$P$201,MATCH($B1640,Summary!$A$2:$A$201,0))</f>
        <v>3</v>
      </c>
      <c r="U1640" s="2" t="n">
        <f aca="false">INDEX(Summary!$Q$2:$Q$201,MATCH($B1640,Summary!$A$2:$A$201,0))</f>
        <v>13.12</v>
      </c>
      <c r="V1640" s="2" t="n">
        <f aca="false">INDEX(Summary!$R$2:$R$201,MATCH($B1640,Summary!$A$2:$A$201,0))</f>
        <v>18.2</v>
      </c>
      <c r="W1640" s="0" t="str">
        <f aca="false">INDEX(Summary!$S$2:$S$201,MATCH($B1640,Summary!$A$2:$A$201,0))</f>
        <v>Bronze</v>
      </c>
      <c r="X1640" s="2" t="n">
        <f aca="false">INDEX(Summary!$T$2:$T$201,MATCH($B1640,Summary!$A$2:$A$201,0))</f>
        <v>44.39</v>
      </c>
      <c r="Y1640" s="0" t="str">
        <f aca="false">INDEX('Reward Model'!$E$18:$E$37,MATCH($E1640,'Reward Model'!$A$18:$A$37,0))</f>
        <v>High</v>
      </c>
      <c r="Z1640" s="4" t="n">
        <f aca="false">ROUND(MIN(1,MAX('Reward Model'!$B$2,INDEX('Reward Model'!$C$12:$C$14,MATCH($K1640,'Reward Model'!$A$12:$A$14,0))/$J1640)),3)</f>
        <v>0.778</v>
      </c>
      <c r="AA1640" s="2" t="n">
        <f aca="false">IF($I1640="Correct",ROUND(INDEX('Reward Model'!$B$12:$B$14,MATCH($K1640,'Reward Model'!$A$12:$A$14,0))*Z1640,2),0)</f>
        <v>0</v>
      </c>
      <c r="AB1640" s="2" t="n">
        <f aca="false">IF($I1640="Correct",ROUND(INDEX('Reward Model'!$B$12:$B$14,MATCH($Y1640,'Reward Model'!$A$12:$A$14,0))*Z1640,2),0)</f>
        <v>0</v>
      </c>
    </row>
    <row r="1641" customFormat="false" ht="15" hidden="false" customHeight="false" outlineLevel="0" collapsed="false">
      <c r="A1641" s="0" t="s">
        <v>292</v>
      </c>
      <c r="B1641" s="0" t="s">
        <v>293</v>
      </c>
      <c r="C1641" s="0" t="s">
        <v>30</v>
      </c>
      <c r="D1641" s="0" t="s">
        <v>275</v>
      </c>
      <c r="E1641" s="0" t="n">
        <v>20</v>
      </c>
      <c r="F1641" s="0" t="s">
        <v>81</v>
      </c>
      <c r="G1641" s="0" t="s">
        <v>83</v>
      </c>
      <c r="H1641" s="0" t="s">
        <v>83</v>
      </c>
      <c r="I1641" s="0" t="s">
        <v>34</v>
      </c>
      <c r="J1641" s="0" t="n">
        <v>2.14</v>
      </c>
      <c r="K1641" s="0" t="s">
        <v>73</v>
      </c>
      <c r="L1641" s="0" t="n">
        <f aca="false">INDEX(Summary!$F$2:$F$201,MATCH($B1641,Summary!$A$2:$A$201,0))</f>
        <v>20</v>
      </c>
      <c r="M1641" s="0" t="n">
        <f aca="false">INDEX(Summary!$I$2:$I$201,MATCH($B1641,Summary!$A$2:$A$201,0))</f>
        <v>1</v>
      </c>
      <c r="N1641" s="0" t="n">
        <f aca="false">INDEX(Summary!$J$2:$J$201,MATCH($B1641,Summary!$A$2:$A$201,0))</f>
        <v>4</v>
      </c>
      <c r="O1641" s="2" t="n">
        <f aca="false">INDEX(Summary!$K$2:$K$201,MATCH($B1641,Summary!$A$2:$A$201,0))</f>
        <v>10.08</v>
      </c>
      <c r="P1641" s="3" t="n">
        <f aca="false">INDEX(Summary!$L$2:$L$201,MATCH($B1641,Summary!$A$2:$A$201,0))</f>
        <v>4</v>
      </c>
      <c r="Q1641" s="3" t="n">
        <f aca="false">INDEX(Summary!$M$2:$M$201,MATCH($B1641,Summary!$A$2:$A$201,0))</f>
        <v>2</v>
      </c>
      <c r="R1641" s="2" t="n">
        <f aca="false">INDEX(Summary!$N$2:$N$201,MATCH($B1641,Summary!$A$2:$A$201,0))</f>
        <v>10.65</v>
      </c>
      <c r="S1641" s="3" t="n">
        <f aca="false">INDEX(Summary!$O$2:$O$201,MATCH($B1641,Summary!$A$2:$A$201,0))</f>
        <v>6</v>
      </c>
      <c r="T1641" s="3" t="n">
        <f aca="false">INDEX(Summary!$P$2:$P$201,MATCH($B1641,Summary!$A$2:$A$201,0))</f>
        <v>3</v>
      </c>
      <c r="U1641" s="2" t="n">
        <f aca="false">INDEX(Summary!$Q$2:$Q$201,MATCH($B1641,Summary!$A$2:$A$201,0))</f>
        <v>13.12</v>
      </c>
      <c r="V1641" s="2" t="n">
        <f aca="false">INDEX(Summary!$R$2:$R$201,MATCH($B1641,Summary!$A$2:$A$201,0))</f>
        <v>18.2</v>
      </c>
      <c r="W1641" s="0" t="str">
        <f aca="false">INDEX(Summary!$S$2:$S$201,MATCH($B1641,Summary!$A$2:$A$201,0))</f>
        <v>Bronze</v>
      </c>
      <c r="X1641" s="2" t="n">
        <f aca="false">INDEX(Summary!$T$2:$T$201,MATCH($B1641,Summary!$A$2:$A$201,0))</f>
        <v>44.39</v>
      </c>
      <c r="Y1641" s="0" t="str">
        <f aca="false">INDEX('Reward Model'!$E$18:$E$37,MATCH($E1641,'Reward Model'!$A$18:$A$37,0))</f>
        <v>High</v>
      </c>
      <c r="Z1641" s="4" t="n">
        <f aca="false">ROUND(MIN(1,MAX('Reward Model'!$B$2,INDEX('Reward Model'!$C$12:$C$14,MATCH($K1641,'Reward Model'!$A$12:$A$14,0))/$J1641)),3)</f>
        <v>0.935</v>
      </c>
      <c r="AA1641" s="2" t="n">
        <f aca="false">IF($I1641="Correct",ROUND(INDEX('Reward Model'!$B$12:$B$14,MATCH($K1641,'Reward Model'!$A$12:$A$14,0))*Z1641,2),0)</f>
        <v>2.81</v>
      </c>
      <c r="AB1641" s="2" t="n">
        <f aca="false">IF($I1641="Correct",ROUND(INDEX('Reward Model'!$B$12:$B$14,MATCH($Y1641,'Reward Model'!$A$12:$A$14,0))*Z1641,2),0)</f>
        <v>2.81</v>
      </c>
    </row>
    <row r="1642" customFormat="false" ht="15" hidden="false" customHeight="false" outlineLevel="0" collapsed="false">
      <c r="A1642" s="0" t="s">
        <v>294</v>
      </c>
      <c r="B1642" s="0" t="s">
        <v>295</v>
      </c>
      <c r="C1642" s="0" t="s">
        <v>30</v>
      </c>
      <c r="D1642" s="0" t="s">
        <v>275</v>
      </c>
      <c r="E1642" s="0" t="n">
        <v>1</v>
      </c>
      <c r="F1642" s="0" t="s">
        <v>32</v>
      </c>
      <c r="G1642" s="0" t="s">
        <v>33</v>
      </c>
      <c r="H1642" s="0" t="s">
        <v>33</v>
      </c>
      <c r="I1642" s="0" t="s">
        <v>34</v>
      </c>
      <c r="J1642" s="0" t="n">
        <v>1.5</v>
      </c>
      <c r="K1642" s="0" t="s">
        <v>35</v>
      </c>
      <c r="L1642" s="0" t="n">
        <f aca="false">INDEX(Summary!$F$2:$F$201,MATCH($B1642,Summary!$A$2:$A$201,0))</f>
        <v>20</v>
      </c>
      <c r="M1642" s="0" t="n">
        <f aca="false">INDEX(Summary!$I$2:$I$201,MATCH($B1642,Summary!$A$2:$A$201,0))</f>
        <v>1</v>
      </c>
      <c r="N1642" s="0" t="n">
        <f aca="false">INDEX(Summary!$J$2:$J$201,MATCH($B1642,Summary!$A$2:$A$201,0))</f>
        <v>4</v>
      </c>
      <c r="O1642" s="2" t="n">
        <f aca="false">INDEX(Summary!$K$2:$K$201,MATCH($B1642,Summary!$A$2:$A$201,0))</f>
        <v>9.55</v>
      </c>
      <c r="P1642" s="3" t="n">
        <f aca="false">INDEX(Summary!$L$2:$L$201,MATCH($B1642,Summary!$A$2:$A$201,0))</f>
        <v>4</v>
      </c>
      <c r="Q1642" s="3" t="n">
        <f aca="false">INDEX(Summary!$M$2:$M$201,MATCH($B1642,Summary!$A$2:$A$201,0))</f>
        <v>2</v>
      </c>
      <c r="R1642" s="2" t="n">
        <f aca="false">INDEX(Summary!$N$2:$N$201,MATCH($B1642,Summary!$A$2:$A$201,0))</f>
        <v>9.43</v>
      </c>
      <c r="S1642" s="3" t="n">
        <f aca="false">INDEX(Summary!$O$2:$O$201,MATCH($B1642,Summary!$A$2:$A$201,0))</f>
        <v>8</v>
      </c>
      <c r="T1642" s="3" t="n">
        <f aca="false">INDEX(Summary!$P$2:$P$201,MATCH($B1642,Summary!$A$2:$A$201,0))</f>
        <v>1</v>
      </c>
      <c r="U1642" s="2" t="n">
        <f aca="false">INDEX(Summary!$Q$2:$Q$201,MATCH($B1642,Summary!$A$2:$A$201,0))</f>
        <v>15.25</v>
      </c>
      <c r="V1642" s="2" t="n">
        <f aca="false">INDEX(Summary!$R$2:$R$201,MATCH($B1642,Summary!$A$2:$A$201,0))</f>
        <v>21.84</v>
      </c>
      <c r="W1642" s="0" t="str">
        <f aca="false">INDEX(Summary!$S$2:$S$201,MATCH($B1642,Summary!$A$2:$A$201,0))</f>
        <v>Silver</v>
      </c>
      <c r="X1642" s="2" t="n">
        <f aca="false">INDEX(Summary!$T$2:$T$201,MATCH($B1642,Summary!$A$2:$A$201,0))</f>
        <v>53.27</v>
      </c>
      <c r="Y1642" s="0" t="str">
        <f aca="false">INDEX('Reward Model'!$E$18:$E$37,MATCH($E1642,'Reward Model'!$A$18:$A$37,0))</f>
        <v>Medium</v>
      </c>
      <c r="Z1642" s="4" t="n">
        <f aca="false">ROUND(MIN(1,MAX('Reward Model'!$B$2,INDEX('Reward Model'!$C$12:$C$14,MATCH($K1642,'Reward Model'!$A$12:$A$14,0))/$J1642)),3)</f>
        <v>1</v>
      </c>
      <c r="AA1642" s="2" t="n">
        <f aca="false">IF($I1642="Correct",ROUND(INDEX('Reward Model'!$B$12:$B$14,MATCH($K1642,'Reward Model'!$A$12:$A$14,0))*Z1642,2),0)</f>
        <v>1</v>
      </c>
      <c r="AB1642" s="2" t="n">
        <f aca="false">IF($I1642="Correct",ROUND(INDEX('Reward Model'!$B$12:$B$14,MATCH($Y1642,'Reward Model'!$A$12:$A$14,0))*Z1642,2),0)</f>
        <v>2</v>
      </c>
    </row>
    <row r="1643" customFormat="false" ht="15" hidden="false" customHeight="false" outlineLevel="0" collapsed="false">
      <c r="A1643" s="0" t="s">
        <v>294</v>
      </c>
      <c r="B1643" s="0" t="s">
        <v>295</v>
      </c>
      <c r="C1643" s="0" t="s">
        <v>30</v>
      </c>
      <c r="D1643" s="0" t="s">
        <v>275</v>
      </c>
      <c r="E1643" s="0" t="n">
        <v>2</v>
      </c>
      <c r="F1643" s="0" t="s">
        <v>36</v>
      </c>
      <c r="G1643" s="0" t="s">
        <v>38</v>
      </c>
      <c r="H1643" s="0" t="s">
        <v>38</v>
      </c>
      <c r="I1643" s="0" t="s">
        <v>34</v>
      </c>
      <c r="J1643" s="0" t="n">
        <v>1.87</v>
      </c>
      <c r="K1643" s="0" t="s">
        <v>35</v>
      </c>
      <c r="L1643" s="0" t="n">
        <f aca="false">INDEX(Summary!$F$2:$F$201,MATCH($B1643,Summary!$A$2:$A$201,0))</f>
        <v>20</v>
      </c>
      <c r="M1643" s="0" t="n">
        <f aca="false">INDEX(Summary!$I$2:$I$201,MATCH($B1643,Summary!$A$2:$A$201,0))</f>
        <v>1</v>
      </c>
      <c r="N1643" s="0" t="n">
        <f aca="false">INDEX(Summary!$J$2:$J$201,MATCH($B1643,Summary!$A$2:$A$201,0))</f>
        <v>4</v>
      </c>
      <c r="O1643" s="2" t="n">
        <f aca="false">INDEX(Summary!$K$2:$K$201,MATCH($B1643,Summary!$A$2:$A$201,0))</f>
        <v>9.55</v>
      </c>
      <c r="P1643" s="3" t="n">
        <f aca="false">INDEX(Summary!$L$2:$L$201,MATCH($B1643,Summary!$A$2:$A$201,0))</f>
        <v>4</v>
      </c>
      <c r="Q1643" s="3" t="n">
        <f aca="false">INDEX(Summary!$M$2:$M$201,MATCH($B1643,Summary!$A$2:$A$201,0))</f>
        <v>2</v>
      </c>
      <c r="R1643" s="2" t="n">
        <f aca="false">INDEX(Summary!$N$2:$N$201,MATCH($B1643,Summary!$A$2:$A$201,0))</f>
        <v>9.43</v>
      </c>
      <c r="S1643" s="3" t="n">
        <f aca="false">INDEX(Summary!$O$2:$O$201,MATCH($B1643,Summary!$A$2:$A$201,0))</f>
        <v>8</v>
      </c>
      <c r="T1643" s="3" t="n">
        <f aca="false">INDEX(Summary!$P$2:$P$201,MATCH($B1643,Summary!$A$2:$A$201,0))</f>
        <v>1</v>
      </c>
      <c r="U1643" s="2" t="n">
        <f aca="false">INDEX(Summary!$Q$2:$Q$201,MATCH($B1643,Summary!$A$2:$A$201,0))</f>
        <v>15.25</v>
      </c>
      <c r="V1643" s="2" t="n">
        <f aca="false">INDEX(Summary!$R$2:$R$201,MATCH($B1643,Summary!$A$2:$A$201,0))</f>
        <v>21.84</v>
      </c>
      <c r="W1643" s="0" t="str">
        <f aca="false">INDEX(Summary!$S$2:$S$201,MATCH($B1643,Summary!$A$2:$A$201,0))</f>
        <v>Silver</v>
      </c>
      <c r="X1643" s="2" t="n">
        <f aca="false">INDEX(Summary!$T$2:$T$201,MATCH($B1643,Summary!$A$2:$A$201,0))</f>
        <v>53.27</v>
      </c>
      <c r="Y1643" s="0" t="str">
        <f aca="false">INDEX('Reward Model'!$E$18:$E$37,MATCH($E1643,'Reward Model'!$A$18:$A$37,0))</f>
        <v>Low</v>
      </c>
      <c r="Z1643" s="4" t="n">
        <f aca="false">ROUND(MIN(1,MAX('Reward Model'!$B$2,INDEX('Reward Model'!$C$12:$C$14,MATCH($K1643,'Reward Model'!$A$12:$A$14,0))/$J1643)),3)</f>
        <v>0.802</v>
      </c>
      <c r="AA1643" s="2" t="n">
        <f aca="false">IF($I1643="Correct",ROUND(INDEX('Reward Model'!$B$12:$B$14,MATCH($K1643,'Reward Model'!$A$12:$A$14,0))*Z1643,2),0)</f>
        <v>0.8</v>
      </c>
      <c r="AB1643" s="2" t="n">
        <f aca="false">IF($I1643="Correct",ROUND(INDEX('Reward Model'!$B$12:$B$14,MATCH($Y1643,'Reward Model'!$A$12:$A$14,0))*Z1643,2),0)</f>
        <v>0.8</v>
      </c>
    </row>
    <row r="1644" customFormat="false" ht="15" hidden="false" customHeight="false" outlineLevel="0" collapsed="false">
      <c r="A1644" s="0" t="s">
        <v>294</v>
      </c>
      <c r="B1644" s="0" t="s">
        <v>295</v>
      </c>
      <c r="C1644" s="0" t="s">
        <v>30</v>
      </c>
      <c r="D1644" s="0" t="s">
        <v>275</v>
      </c>
      <c r="E1644" s="0" t="n">
        <v>3</v>
      </c>
      <c r="F1644" s="0" t="s">
        <v>40</v>
      </c>
      <c r="G1644" s="0" t="s">
        <v>123</v>
      </c>
      <c r="H1644" s="0" t="s">
        <v>42</v>
      </c>
      <c r="I1644" s="0" t="s">
        <v>39</v>
      </c>
      <c r="J1644" s="0" t="n">
        <v>1.78</v>
      </c>
      <c r="K1644" s="0" t="s">
        <v>35</v>
      </c>
      <c r="L1644" s="0" t="n">
        <f aca="false">INDEX(Summary!$F$2:$F$201,MATCH($B1644,Summary!$A$2:$A$201,0))</f>
        <v>20</v>
      </c>
      <c r="M1644" s="0" t="n">
        <f aca="false">INDEX(Summary!$I$2:$I$201,MATCH($B1644,Summary!$A$2:$A$201,0))</f>
        <v>1</v>
      </c>
      <c r="N1644" s="0" t="n">
        <f aca="false">INDEX(Summary!$J$2:$J$201,MATCH($B1644,Summary!$A$2:$A$201,0))</f>
        <v>4</v>
      </c>
      <c r="O1644" s="2" t="n">
        <f aca="false">INDEX(Summary!$K$2:$K$201,MATCH($B1644,Summary!$A$2:$A$201,0))</f>
        <v>9.55</v>
      </c>
      <c r="P1644" s="3" t="n">
        <f aca="false">INDEX(Summary!$L$2:$L$201,MATCH($B1644,Summary!$A$2:$A$201,0))</f>
        <v>4</v>
      </c>
      <c r="Q1644" s="3" t="n">
        <f aca="false">INDEX(Summary!$M$2:$M$201,MATCH($B1644,Summary!$A$2:$A$201,0))</f>
        <v>2</v>
      </c>
      <c r="R1644" s="2" t="n">
        <f aca="false">INDEX(Summary!$N$2:$N$201,MATCH($B1644,Summary!$A$2:$A$201,0))</f>
        <v>9.43</v>
      </c>
      <c r="S1644" s="3" t="n">
        <f aca="false">INDEX(Summary!$O$2:$O$201,MATCH($B1644,Summary!$A$2:$A$201,0))</f>
        <v>8</v>
      </c>
      <c r="T1644" s="3" t="n">
        <f aca="false">INDEX(Summary!$P$2:$P$201,MATCH($B1644,Summary!$A$2:$A$201,0))</f>
        <v>1</v>
      </c>
      <c r="U1644" s="2" t="n">
        <f aca="false">INDEX(Summary!$Q$2:$Q$201,MATCH($B1644,Summary!$A$2:$A$201,0))</f>
        <v>15.25</v>
      </c>
      <c r="V1644" s="2" t="n">
        <f aca="false">INDEX(Summary!$R$2:$R$201,MATCH($B1644,Summary!$A$2:$A$201,0))</f>
        <v>21.84</v>
      </c>
      <c r="W1644" s="0" t="str">
        <f aca="false">INDEX(Summary!$S$2:$S$201,MATCH($B1644,Summary!$A$2:$A$201,0))</f>
        <v>Silver</v>
      </c>
      <c r="X1644" s="2" t="n">
        <f aca="false">INDEX(Summary!$T$2:$T$201,MATCH($B1644,Summary!$A$2:$A$201,0))</f>
        <v>53.27</v>
      </c>
      <c r="Y1644" s="0" t="str">
        <f aca="false">INDEX('Reward Model'!$E$18:$E$37,MATCH($E1644,'Reward Model'!$A$18:$A$37,0))</f>
        <v>Medium</v>
      </c>
      <c r="Z1644" s="4" t="n">
        <f aca="false">ROUND(MIN(1,MAX('Reward Model'!$B$2,INDEX('Reward Model'!$C$12:$C$14,MATCH($K1644,'Reward Model'!$A$12:$A$14,0))/$J1644)),3)</f>
        <v>0.843</v>
      </c>
      <c r="AA1644" s="2" t="n">
        <f aca="false">IF($I1644="Correct",ROUND(INDEX('Reward Model'!$B$12:$B$14,MATCH($K1644,'Reward Model'!$A$12:$A$14,0))*Z1644,2),0)</f>
        <v>0</v>
      </c>
      <c r="AB1644" s="2" t="n">
        <f aca="false">IF($I1644="Correct",ROUND(INDEX('Reward Model'!$B$12:$B$14,MATCH($Y1644,'Reward Model'!$A$12:$A$14,0))*Z1644,2),0)</f>
        <v>0</v>
      </c>
    </row>
    <row r="1645" customFormat="false" ht="15" hidden="false" customHeight="false" outlineLevel="0" collapsed="false">
      <c r="A1645" s="0" t="s">
        <v>294</v>
      </c>
      <c r="B1645" s="0" t="s">
        <v>295</v>
      </c>
      <c r="C1645" s="0" t="s">
        <v>30</v>
      </c>
      <c r="D1645" s="0" t="s">
        <v>275</v>
      </c>
      <c r="E1645" s="0" t="n">
        <v>4</v>
      </c>
      <c r="F1645" s="0" t="s">
        <v>43</v>
      </c>
      <c r="G1645" s="0" t="s">
        <v>45</v>
      </c>
      <c r="H1645" s="0" t="s">
        <v>45</v>
      </c>
      <c r="I1645" s="0" t="s">
        <v>34</v>
      </c>
      <c r="J1645" s="0" t="n">
        <v>1.97</v>
      </c>
      <c r="K1645" s="0" t="s">
        <v>35</v>
      </c>
      <c r="L1645" s="0" t="n">
        <f aca="false">INDEX(Summary!$F$2:$F$201,MATCH($B1645,Summary!$A$2:$A$201,0))</f>
        <v>20</v>
      </c>
      <c r="M1645" s="0" t="n">
        <f aca="false">INDEX(Summary!$I$2:$I$201,MATCH($B1645,Summary!$A$2:$A$201,0))</f>
        <v>1</v>
      </c>
      <c r="N1645" s="0" t="n">
        <f aca="false">INDEX(Summary!$J$2:$J$201,MATCH($B1645,Summary!$A$2:$A$201,0))</f>
        <v>4</v>
      </c>
      <c r="O1645" s="2" t="n">
        <f aca="false">INDEX(Summary!$K$2:$K$201,MATCH($B1645,Summary!$A$2:$A$201,0))</f>
        <v>9.55</v>
      </c>
      <c r="P1645" s="3" t="n">
        <f aca="false">INDEX(Summary!$L$2:$L$201,MATCH($B1645,Summary!$A$2:$A$201,0))</f>
        <v>4</v>
      </c>
      <c r="Q1645" s="3" t="n">
        <f aca="false">INDEX(Summary!$M$2:$M$201,MATCH($B1645,Summary!$A$2:$A$201,0))</f>
        <v>2</v>
      </c>
      <c r="R1645" s="2" t="n">
        <f aca="false">INDEX(Summary!$N$2:$N$201,MATCH($B1645,Summary!$A$2:$A$201,0))</f>
        <v>9.43</v>
      </c>
      <c r="S1645" s="3" t="n">
        <f aca="false">INDEX(Summary!$O$2:$O$201,MATCH($B1645,Summary!$A$2:$A$201,0))</f>
        <v>8</v>
      </c>
      <c r="T1645" s="3" t="n">
        <f aca="false">INDEX(Summary!$P$2:$P$201,MATCH($B1645,Summary!$A$2:$A$201,0))</f>
        <v>1</v>
      </c>
      <c r="U1645" s="2" t="n">
        <f aca="false">INDEX(Summary!$Q$2:$Q$201,MATCH($B1645,Summary!$A$2:$A$201,0))</f>
        <v>15.25</v>
      </c>
      <c r="V1645" s="2" t="n">
        <f aca="false">INDEX(Summary!$R$2:$R$201,MATCH($B1645,Summary!$A$2:$A$201,0))</f>
        <v>21.84</v>
      </c>
      <c r="W1645" s="0" t="str">
        <f aca="false">INDEX(Summary!$S$2:$S$201,MATCH($B1645,Summary!$A$2:$A$201,0))</f>
        <v>Silver</v>
      </c>
      <c r="X1645" s="2" t="n">
        <f aca="false">INDEX(Summary!$T$2:$T$201,MATCH($B1645,Summary!$A$2:$A$201,0))</f>
        <v>53.27</v>
      </c>
      <c r="Y1645" s="0" t="str">
        <f aca="false">INDEX('Reward Model'!$E$18:$E$37,MATCH($E1645,'Reward Model'!$A$18:$A$37,0))</f>
        <v>Low</v>
      </c>
      <c r="Z1645" s="4" t="n">
        <f aca="false">ROUND(MIN(1,MAX('Reward Model'!$B$2,INDEX('Reward Model'!$C$12:$C$14,MATCH($K1645,'Reward Model'!$A$12:$A$14,0))/$J1645)),3)</f>
        <v>0.761</v>
      </c>
      <c r="AA1645" s="2" t="n">
        <f aca="false">IF($I1645="Correct",ROUND(INDEX('Reward Model'!$B$12:$B$14,MATCH($K1645,'Reward Model'!$A$12:$A$14,0))*Z1645,2),0)</f>
        <v>0.76</v>
      </c>
      <c r="AB1645" s="2" t="n">
        <f aca="false">IF($I1645="Correct",ROUND(INDEX('Reward Model'!$B$12:$B$14,MATCH($Y1645,'Reward Model'!$A$12:$A$14,0))*Z1645,2),0)</f>
        <v>0.76</v>
      </c>
    </row>
    <row r="1646" customFormat="false" ht="15" hidden="false" customHeight="false" outlineLevel="0" collapsed="false">
      <c r="A1646" s="0" t="s">
        <v>294</v>
      </c>
      <c r="B1646" s="0" t="s">
        <v>295</v>
      </c>
      <c r="C1646" s="0" t="s">
        <v>30</v>
      </c>
      <c r="D1646" s="0" t="s">
        <v>275</v>
      </c>
      <c r="E1646" s="0" t="n">
        <v>5</v>
      </c>
      <c r="F1646" s="0" t="s">
        <v>46</v>
      </c>
      <c r="G1646" s="0" t="s">
        <v>47</v>
      </c>
      <c r="H1646" s="0" t="s">
        <v>47</v>
      </c>
      <c r="I1646" s="0" t="s">
        <v>34</v>
      </c>
      <c r="J1646" s="0" t="n">
        <v>1.59</v>
      </c>
      <c r="K1646" s="0" t="s">
        <v>35</v>
      </c>
      <c r="L1646" s="0" t="n">
        <f aca="false">INDEX(Summary!$F$2:$F$201,MATCH($B1646,Summary!$A$2:$A$201,0))</f>
        <v>20</v>
      </c>
      <c r="M1646" s="0" t="n">
        <f aca="false">INDEX(Summary!$I$2:$I$201,MATCH($B1646,Summary!$A$2:$A$201,0))</f>
        <v>1</v>
      </c>
      <c r="N1646" s="0" t="n">
        <f aca="false">INDEX(Summary!$J$2:$J$201,MATCH($B1646,Summary!$A$2:$A$201,0))</f>
        <v>4</v>
      </c>
      <c r="O1646" s="2" t="n">
        <f aca="false">INDEX(Summary!$K$2:$K$201,MATCH($B1646,Summary!$A$2:$A$201,0))</f>
        <v>9.55</v>
      </c>
      <c r="P1646" s="3" t="n">
        <f aca="false">INDEX(Summary!$L$2:$L$201,MATCH($B1646,Summary!$A$2:$A$201,0))</f>
        <v>4</v>
      </c>
      <c r="Q1646" s="3" t="n">
        <f aca="false">INDEX(Summary!$M$2:$M$201,MATCH($B1646,Summary!$A$2:$A$201,0))</f>
        <v>2</v>
      </c>
      <c r="R1646" s="2" t="n">
        <f aca="false">INDEX(Summary!$N$2:$N$201,MATCH($B1646,Summary!$A$2:$A$201,0))</f>
        <v>9.43</v>
      </c>
      <c r="S1646" s="3" t="n">
        <f aca="false">INDEX(Summary!$O$2:$O$201,MATCH($B1646,Summary!$A$2:$A$201,0))</f>
        <v>8</v>
      </c>
      <c r="T1646" s="3" t="n">
        <f aca="false">INDEX(Summary!$P$2:$P$201,MATCH($B1646,Summary!$A$2:$A$201,0))</f>
        <v>1</v>
      </c>
      <c r="U1646" s="2" t="n">
        <f aca="false">INDEX(Summary!$Q$2:$Q$201,MATCH($B1646,Summary!$A$2:$A$201,0))</f>
        <v>15.25</v>
      </c>
      <c r="V1646" s="2" t="n">
        <f aca="false">INDEX(Summary!$R$2:$R$201,MATCH($B1646,Summary!$A$2:$A$201,0))</f>
        <v>21.84</v>
      </c>
      <c r="W1646" s="0" t="str">
        <f aca="false">INDEX(Summary!$S$2:$S$201,MATCH($B1646,Summary!$A$2:$A$201,0))</f>
        <v>Silver</v>
      </c>
      <c r="X1646" s="2" t="n">
        <f aca="false">INDEX(Summary!$T$2:$T$201,MATCH($B1646,Summary!$A$2:$A$201,0))</f>
        <v>53.27</v>
      </c>
      <c r="Y1646" s="0" t="str">
        <f aca="false">INDEX('Reward Model'!$E$18:$E$37,MATCH($E1646,'Reward Model'!$A$18:$A$37,0))</f>
        <v>Low</v>
      </c>
      <c r="Z1646" s="4" t="n">
        <f aca="false">ROUND(MIN(1,MAX('Reward Model'!$B$2,INDEX('Reward Model'!$C$12:$C$14,MATCH($K1646,'Reward Model'!$A$12:$A$14,0))/$J1646)),3)</f>
        <v>0.943</v>
      </c>
      <c r="AA1646" s="2" t="n">
        <f aca="false">IF($I1646="Correct",ROUND(INDEX('Reward Model'!$B$12:$B$14,MATCH($K1646,'Reward Model'!$A$12:$A$14,0))*Z1646,2),0)</f>
        <v>0.94</v>
      </c>
      <c r="AB1646" s="2" t="n">
        <f aca="false">IF($I1646="Correct",ROUND(INDEX('Reward Model'!$B$12:$B$14,MATCH($Y1646,'Reward Model'!$A$12:$A$14,0))*Z1646,2),0)</f>
        <v>0.94</v>
      </c>
    </row>
    <row r="1647" customFormat="false" ht="15" hidden="false" customHeight="false" outlineLevel="0" collapsed="false">
      <c r="A1647" s="0" t="s">
        <v>294</v>
      </c>
      <c r="B1647" s="0" t="s">
        <v>295</v>
      </c>
      <c r="C1647" s="0" t="s">
        <v>30</v>
      </c>
      <c r="D1647" s="0" t="s">
        <v>275</v>
      </c>
      <c r="E1647" s="0" t="n">
        <v>6</v>
      </c>
      <c r="F1647" s="0" t="s">
        <v>48</v>
      </c>
      <c r="G1647" s="0" t="s">
        <v>49</v>
      </c>
      <c r="H1647" s="0" t="s">
        <v>49</v>
      </c>
      <c r="I1647" s="0" t="s">
        <v>34</v>
      </c>
      <c r="J1647" s="0" t="n">
        <v>1.54</v>
      </c>
      <c r="K1647" s="0" t="s">
        <v>35</v>
      </c>
      <c r="L1647" s="0" t="n">
        <f aca="false">INDEX(Summary!$F$2:$F$201,MATCH($B1647,Summary!$A$2:$A$201,0))</f>
        <v>20</v>
      </c>
      <c r="M1647" s="0" t="n">
        <f aca="false">INDEX(Summary!$I$2:$I$201,MATCH($B1647,Summary!$A$2:$A$201,0))</f>
        <v>1</v>
      </c>
      <c r="N1647" s="0" t="n">
        <f aca="false">INDEX(Summary!$J$2:$J$201,MATCH($B1647,Summary!$A$2:$A$201,0))</f>
        <v>4</v>
      </c>
      <c r="O1647" s="2" t="n">
        <f aca="false">INDEX(Summary!$K$2:$K$201,MATCH($B1647,Summary!$A$2:$A$201,0))</f>
        <v>9.55</v>
      </c>
      <c r="P1647" s="3" t="n">
        <f aca="false">INDEX(Summary!$L$2:$L$201,MATCH($B1647,Summary!$A$2:$A$201,0))</f>
        <v>4</v>
      </c>
      <c r="Q1647" s="3" t="n">
        <f aca="false">INDEX(Summary!$M$2:$M$201,MATCH($B1647,Summary!$A$2:$A$201,0))</f>
        <v>2</v>
      </c>
      <c r="R1647" s="2" t="n">
        <f aca="false">INDEX(Summary!$N$2:$N$201,MATCH($B1647,Summary!$A$2:$A$201,0))</f>
        <v>9.43</v>
      </c>
      <c r="S1647" s="3" t="n">
        <f aca="false">INDEX(Summary!$O$2:$O$201,MATCH($B1647,Summary!$A$2:$A$201,0))</f>
        <v>8</v>
      </c>
      <c r="T1647" s="3" t="n">
        <f aca="false">INDEX(Summary!$P$2:$P$201,MATCH($B1647,Summary!$A$2:$A$201,0))</f>
        <v>1</v>
      </c>
      <c r="U1647" s="2" t="n">
        <f aca="false">INDEX(Summary!$Q$2:$Q$201,MATCH($B1647,Summary!$A$2:$A$201,0))</f>
        <v>15.25</v>
      </c>
      <c r="V1647" s="2" t="n">
        <f aca="false">INDEX(Summary!$R$2:$R$201,MATCH($B1647,Summary!$A$2:$A$201,0))</f>
        <v>21.84</v>
      </c>
      <c r="W1647" s="0" t="str">
        <f aca="false">INDEX(Summary!$S$2:$S$201,MATCH($B1647,Summary!$A$2:$A$201,0))</f>
        <v>Silver</v>
      </c>
      <c r="X1647" s="2" t="n">
        <f aca="false">INDEX(Summary!$T$2:$T$201,MATCH($B1647,Summary!$A$2:$A$201,0))</f>
        <v>53.27</v>
      </c>
      <c r="Y1647" s="0" t="str">
        <f aca="false">INDEX('Reward Model'!$E$18:$E$37,MATCH($E1647,'Reward Model'!$A$18:$A$37,0))</f>
        <v>Medium</v>
      </c>
      <c r="Z1647" s="4" t="n">
        <f aca="false">ROUND(MIN(1,MAX('Reward Model'!$B$2,INDEX('Reward Model'!$C$12:$C$14,MATCH($K1647,'Reward Model'!$A$12:$A$14,0))/$J1647)),3)</f>
        <v>0.974</v>
      </c>
      <c r="AA1647" s="2" t="n">
        <f aca="false">IF($I1647="Correct",ROUND(INDEX('Reward Model'!$B$12:$B$14,MATCH($K1647,'Reward Model'!$A$12:$A$14,0))*Z1647,2),0)</f>
        <v>0.97</v>
      </c>
      <c r="AB1647" s="2" t="n">
        <f aca="false">IF($I1647="Correct",ROUND(INDEX('Reward Model'!$B$12:$B$14,MATCH($Y1647,'Reward Model'!$A$12:$A$14,0))*Z1647,2),0)</f>
        <v>1.95</v>
      </c>
    </row>
    <row r="1648" customFormat="false" ht="15" hidden="false" customHeight="false" outlineLevel="0" collapsed="false">
      <c r="A1648" s="0" t="s">
        <v>294</v>
      </c>
      <c r="B1648" s="0" t="s">
        <v>295</v>
      </c>
      <c r="C1648" s="0" t="s">
        <v>30</v>
      </c>
      <c r="D1648" s="0" t="s">
        <v>275</v>
      </c>
      <c r="E1648" s="0" t="n">
        <v>7</v>
      </c>
      <c r="F1648" s="0" t="s">
        <v>50</v>
      </c>
      <c r="G1648" s="0" t="s">
        <v>51</v>
      </c>
      <c r="H1648" s="0" t="s">
        <v>51</v>
      </c>
      <c r="I1648" s="0" t="s">
        <v>34</v>
      </c>
      <c r="J1648" s="0" t="n">
        <v>1.9</v>
      </c>
      <c r="K1648" s="0" t="s">
        <v>35</v>
      </c>
      <c r="L1648" s="0" t="n">
        <f aca="false">INDEX(Summary!$F$2:$F$201,MATCH($B1648,Summary!$A$2:$A$201,0))</f>
        <v>20</v>
      </c>
      <c r="M1648" s="0" t="n">
        <f aca="false">INDEX(Summary!$I$2:$I$201,MATCH($B1648,Summary!$A$2:$A$201,0))</f>
        <v>1</v>
      </c>
      <c r="N1648" s="0" t="n">
        <f aca="false">INDEX(Summary!$J$2:$J$201,MATCH($B1648,Summary!$A$2:$A$201,0))</f>
        <v>4</v>
      </c>
      <c r="O1648" s="2" t="n">
        <f aca="false">INDEX(Summary!$K$2:$K$201,MATCH($B1648,Summary!$A$2:$A$201,0))</f>
        <v>9.55</v>
      </c>
      <c r="P1648" s="3" t="n">
        <f aca="false">INDEX(Summary!$L$2:$L$201,MATCH($B1648,Summary!$A$2:$A$201,0))</f>
        <v>4</v>
      </c>
      <c r="Q1648" s="3" t="n">
        <f aca="false">INDEX(Summary!$M$2:$M$201,MATCH($B1648,Summary!$A$2:$A$201,0))</f>
        <v>2</v>
      </c>
      <c r="R1648" s="2" t="n">
        <f aca="false">INDEX(Summary!$N$2:$N$201,MATCH($B1648,Summary!$A$2:$A$201,0))</f>
        <v>9.43</v>
      </c>
      <c r="S1648" s="3" t="n">
        <f aca="false">INDEX(Summary!$O$2:$O$201,MATCH($B1648,Summary!$A$2:$A$201,0))</f>
        <v>8</v>
      </c>
      <c r="T1648" s="3" t="n">
        <f aca="false">INDEX(Summary!$P$2:$P$201,MATCH($B1648,Summary!$A$2:$A$201,0))</f>
        <v>1</v>
      </c>
      <c r="U1648" s="2" t="n">
        <f aca="false">INDEX(Summary!$Q$2:$Q$201,MATCH($B1648,Summary!$A$2:$A$201,0))</f>
        <v>15.25</v>
      </c>
      <c r="V1648" s="2" t="n">
        <f aca="false">INDEX(Summary!$R$2:$R$201,MATCH($B1648,Summary!$A$2:$A$201,0))</f>
        <v>21.84</v>
      </c>
      <c r="W1648" s="0" t="str">
        <f aca="false">INDEX(Summary!$S$2:$S$201,MATCH($B1648,Summary!$A$2:$A$201,0))</f>
        <v>Silver</v>
      </c>
      <c r="X1648" s="2" t="n">
        <f aca="false">INDEX(Summary!$T$2:$T$201,MATCH($B1648,Summary!$A$2:$A$201,0))</f>
        <v>53.27</v>
      </c>
      <c r="Y1648" s="0" t="str">
        <f aca="false">INDEX('Reward Model'!$E$18:$E$37,MATCH($E1648,'Reward Model'!$A$18:$A$37,0))</f>
        <v>Low</v>
      </c>
      <c r="Z1648" s="4" t="n">
        <f aca="false">ROUND(MIN(1,MAX('Reward Model'!$B$2,INDEX('Reward Model'!$C$12:$C$14,MATCH($K1648,'Reward Model'!$A$12:$A$14,0))/$J1648)),3)</f>
        <v>0.789</v>
      </c>
      <c r="AA1648" s="2" t="n">
        <f aca="false">IF($I1648="Correct",ROUND(INDEX('Reward Model'!$B$12:$B$14,MATCH($K1648,'Reward Model'!$A$12:$A$14,0))*Z1648,2),0)</f>
        <v>0.79</v>
      </c>
      <c r="AB1648" s="2" t="n">
        <f aca="false">IF($I1648="Correct",ROUND(INDEX('Reward Model'!$B$12:$B$14,MATCH($Y1648,'Reward Model'!$A$12:$A$14,0))*Z1648,2),0)</f>
        <v>0.79</v>
      </c>
    </row>
    <row r="1649" customFormat="false" ht="15" hidden="false" customHeight="false" outlineLevel="0" collapsed="false">
      <c r="A1649" s="0" t="s">
        <v>294</v>
      </c>
      <c r="B1649" s="0" t="s">
        <v>295</v>
      </c>
      <c r="C1649" s="0" t="s">
        <v>30</v>
      </c>
      <c r="D1649" s="0" t="s">
        <v>275</v>
      </c>
      <c r="E1649" s="0" t="n">
        <v>8</v>
      </c>
      <c r="F1649" s="0" t="s">
        <v>52</v>
      </c>
      <c r="G1649" s="0" t="s">
        <v>54</v>
      </c>
      <c r="H1649" s="0" t="s">
        <v>54</v>
      </c>
      <c r="I1649" s="0" t="s">
        <v>34</v>
      </c>
      <c r="J1649" s="0" t="n">
        <v>1.22</v>
      </c>
      <c r="K1649" s="0" t="s">
        <v>35</v>
      </c>
      <c r="L1649" s="0" t="n">
        <f aca="false">INDEX(Summary!$F$2:$F$201,MATCH($B1649,Summary!$A$2:$A$201,0))</f>
        <v>20</v>
      </c>
      <c r="M1649" s="0" t="n">
        <f aca="false">INDEX(Summary!$I$2:$I$201,MATCH($B1649,Summary!$A$2:$A$201,0))</f>
        <v>1</v>
      </c>
      <c r="N1649" s="0" t="n">
        <f aca="false">INDEX(Summary!$J$2:$J$201,MATCH($B1649,Summary!$A$2:$A$201,0))</f>
        <v>4</v>
      </c>
      <c r="O1649" s="2" t="n">
        <f aca="false">INDEX(Summary!$K$2:$K$201,MATCH($B1649,Summary!$A$2:$A$201,0))</f>
        <v>9.55</v>
      </c>
      <c r="P1649" s="3" t="n">
        <f aca="false">INDEX(Summary!$L$2:$L$201,MATCH($B1649,Summary!$A$2:$A$201,0))</f>
        <v>4</v>
      </c>
      <c r="Q1649" s="3" t="n">
        <f aca="false">INDEX(Summary!$M$2:$M$201,MATCH($B1649,Summary!$A$2:$A$201,0))</f>
        <v>2</v>
      </c>
      <c r="R1649" s="2" t="n">
        <f aca="false">INDEX(Summary!$N$2:$N$201,MATCH($B1649,Summary!$A$2:$A$201,0))</f>
        <v>9.43</v>
      </c>
      <c r="S1649" s="3" t="n">
        <f aca="false">INDEX(Summary!$O$2:$O$201,MATCH($B1649,Summary!$A$2:$A$201,0))</f>
        <v>8</v>
      </c>
      <c r="T1649" s="3" t="n">
        <f aca="false">INDEX(Summary!$P$2:$P$201,MATCH($B1649,Summary!$A$2:$A$201,0))</f>
        <v>1</v>
      </c>
      <c r="U1649" s="2" t="n">
        <f aca="false">INDEX(Summary!$Q$2:$Q$201,MATCH($B1649,Summary!$A$2:$A$201,0))</f>
        <v>15.25</v>
      </c>
      <c r="V1649" s="2" t="n">
        <f aca="false">INDEX(Summary!$R$2:$R$201,MATCH($B1649,Summary!$A$2:$A$201,0))</f>
        <v>21.84</v>
      </c>
      <c r="W1649" s="0" t="str">
        <f aca="false">INDEX(Summary!$S$2:$S$201,MATCH($B1649,Summary!$A$2:$A$201,0))</f>
        <v>Silver</v>
      </c>
      <c r="X1649" s="2" t="n">
        <f aca="false">INDEX(Summary!$T$2:$T$201,MATCH($B1649,Summary!$A$2:$A$201,0))</f>
        <v>53.27</v>
      </c>
      <c r="Y1649" s="0" t="str">
        <f aca="false">INDEX('Reward Model'!$E$18:$E$37,MATCH($E1649,'Reward Model'!$A$18:$A$37,0))</f>
        <v>Medium</v>
      </c>
      <c r="Z1649" s="4" t="n">
        <f aca="false">ROUND(MIN(1,MAX('Reward Model'!$B$2,INDEX('Reward Model'!$C$12:$C$14,MATCH($K1649,'Reward Model'!$A$12:$A$14,0))/$J1649)),3)</f>
        <v>1</v>
      </c>
      <c r="AA1649" s="2" t="n">
        <f aca="false">IF($I1649="Correct",ROUND(INDEX('Reward Model'!$B$12:$B$14,MATCH($K1649,'Reward Model'!$A$12:$A$14,0))*Z1649,2),0)</f>
        <v>1</v>
      </c>
      <c r="AB1649" s="2" t="n">
        <f aca="false">IF($I1649="Correct",ROUND(INDEX('Reward Model'!$B$12:$B$14,MATCH($Y1649,'Reward Model'!$A$12:$A$14,0))*Z1649,2),0)</f>
        <v>2</v>
      </c>
    </row>
    <row r="1650" customFormat="false" ht="15" hidden="false" customHeight="false" outlineLevel="0" collapsed="false">
      <c r="A1650" s="0" t="s">
        <v>294</v>
      </c>
      <c r="B1650" s="0" t="s">
        <v>295</v>
      </c>
      <c r="C1650" s="0" t="s">
        <v>30</v>
      </c>
      <c r="D1650" s="0" t="s">
        <v>275</v>
      </c>
      <c r="E1650" s="0" t="n">
        <v>9</v>
      </c>
      <c r="F1650" s="0" t="s">
        <v>55</v>
      </c>
      <c r="G1650" s="0" t="s">
        <v>57</v>
      </c>
      <c r="H1650" s="0" t="s">
        <v>57</v>
      </c>
      <c r="I1650" s="0" t="s">
        <v>34</v>
      </c>
      <c r="J1650" s="0" t="n">
        <v>1.88</v>
      </c>
      <c r="K1650" s="0" t="s">
        <v>35</v>
      </c>
      <c r="L1650" s="0" t="n">
        <f aca="false">INDEX(Summary!$F$2:$F$201,MATCH($B1650,Summary!$A$2:$A$201,0))</f>
        <v>20</v>
      </c>
      <c r="M1650" s="0" t="n">
        <f aca="false">INDEX(Summary!$I$2:$I$201,MATCH($B1650,Summary!$A$2:$A$201,0))</f>
        <v>1</v>
      </c>
      <c r="N1650" s="0" t="n">
        <f aca="false">INDEX(Summary!$J$2:$J$201,MATCH($B1650,Summary!$A$2:$A$201,0))</f>
        <v>4</v>
      </c>
      <c r="O1650" s="2" t="n">
        <f aca="false">INDEX(Summary!$K$2:$K$201,MATCH($B1650,Summary!$A$2:$A$201,0))</f>
        <v>9.55</v>
      </c>
      <c r="P1650" s="3" t="n">
        <f aca="false">INDEX(Summary!$L$2:$L$201,MATCH($B1650,Summary!$A$2:$A$201,0))</f>
        <v>4</v>
      </c>
      <c r="Q1650" s="3" t="n">
        <f aca="false">INDEX(Summary!$M$2:$M$201,MATCH($B1650,Summary!$A$2:$A$201,0))</f>
        <v>2</v>
      </c>
      <c r="R1650" s="2" t="n">
        <f aca="false">INDEX(Summary!$N$2:$N$201,MATCH($B1650,Summary!$A$2:$A$201,0))</f>
        <v>9.43</v>
      </c>
      <c r="S1650" s="3" t="n">
        <f aca="false">INDEX(Summary!$O$2:$O$201,MATCH($B1650,Summary!$A$2:$A$201,0))</f>
        <v>8</v>
      </c>
      <c r="T1650" s="3" t="n">
        <f aca="false">INDEX(Summary!$P$2:$P$201,MATCH($B1650,Summary!$A$2:$A$201,0))</f>
        <v>1</v>
      </c>
      <c r="U1650" s="2" t="n">
        <f aca="false">INDEX(Summary!$Q$2:$Q$201,MATCH($B1650,Summary!$A$2:$A$201,0))</f>
        <v>15.25</v>
      </c>
      <c r="V1650" s="2" t="n">
        <f aca="false">INDEX(Summary!$R$2:$R$201,MATCH($B1650,Summary!$A$2:$A$201,0))</f>
        <v>21.84</v>
      </c>
      <c r="W1650" s="0" t="str">
        <f aca="false">INDEX(Summary!$S$2:$S$201,MATCH($B1650,Summary!$A$2:$A$201,0))</f>
        <v>Silver</v>
      </c>
      <c r="X1650" s="2" t="n">
        <f aca="false">INDEX(Summary!$T$2:$T$201,MATCH($B1650,Summary!$A$2:$A$201,0))</f>
        <v>53.27</v>
      </c>
      <c r="Y1650" s="0" t="str">
        <f aca="false">INDEX('Reward Model'!$E$18:$E$37,MATCH($E1650,'Reward Model'!$A$18:$A$37,0))</f>
        <v>Medium</v>
      </c>
      <c r="Z1650" s="4" t="n">
        <f aca="false">ROUND(MIN(1,MAX('Reward Model'!$B$2,INDEX('Reward Model'!$C$12:$C$14,MATCH($K1650,'Reward Model'!$A$12:$A$14,0))/$J1650)),3)</f>
        <v>0.798</v>
      </c>
      <c r="AA1650" s="2" t="n">
        <f aca="false">IF($I1650="Correct",ROUND(INDEX('Reward Model'!$B$12:$B$14,MATCH($K1650,'Reward Model'!$A$12:$A$14,0))*Z1650,2),0)</f>
        <v>0.8</v>
      </c>
      <c r="AB1650" s="2" t="n">
        <f aca="false">IF($I1650="Correct",ROUND(INDEX('Reward Model'!$B$12:$B$14,MATCH($Y1650,'Reward Model'!$A$12:$A$14,0))*Z1650,2),0)</f>
        <v>1.6</v>
      </c>
    </row>
    <row r="1651" customFormat="false" ht="15" hidden="false" customHeight="false" outlineLevel="0" collapsed="false">
      <c r="A1651" s="0" t="s">
        <v>294</v>
      </c>
      <c r="B1651" s="0" t="s">
        <v>295</v>
      </c>
      <c r="C1651" s="0" t="s">
        <v>30</v>
      </c>
      <c r="D1651" s="0" t="s">
        <v>275</v>
      </c>
      <c r="E1651" s="0" t="n">
        <v>10</v>
      </c>
      <c r="F1651" s="0" t="s">
        <v>58</v>
      </c>
      <c r="G1651" s="0" t="s">
        <v>59</v>
      </c>
      <c r="H1651" s="0" t="s">
        <v>59</v>
      </c>
      <c r="I1651" s="0" t="s">
        <v>34</v>
      </c>
      <c r="J1651" s="0" t="n">
        <v>1.69</v>
      </c>
      <c r="K1651" s="0" t="s">
        <v>60</v>
      </c>
      <c r="L1651" s="0" t="n">
        <f aca="false">INDEX(Summary!$F$2:$F$201,MATCH($B1651,Summary!$A$2:$A$201,0))</f>
        <v>20</v>
      </c>
      <c r="M1651" s="0" t="n">
        <f aca="false">INDEX(Summary!$I$2:$I$201,MATCH($B1651,Summary!$A$2:$A$201,0))</f>
        <v>1</v>
      </c>
      <c r="N1651" s="0" t="n">
        <f aca="false">INDEX(Summary!$J$2:$J$201,MATCH($B1651,Summary!$A$2:$A$201,0))</f>
        <v>4</v>
      </c>
      <c r="O1651" s="2" t="n">
        <f aca="false">INDEX(Summary!$K$2:$K$201,MATCH($B1651,Summary!$A$2:$A$201,0))</f>
        <v>9.55</v>
      </c>
      <c r="P1651" s="3" t="n">
        <f aca="false">INDEX(Summary!$L$2:$L$201,MATCH($B1651,Summary!$A$2:$A$201,0))</f>
        <v>4</v>
      </c>
      <c r="Q1651" s="3" t="n">
        <f aca="false">INDEX(Summary!$M$2:$M$201,MATCH($B1651,Summary!$A$2:$A$201,0))</f>
        <v>2</v>
      </c>
      <c r="R1651" s="2" t="n">
        <f aca="false">INDEX(Summary!$N$2:$N$201,MATCH($B1651,Summary!$A$2:$A$201,0))</f>
        <v>9.43</v>
      </c>
      <c r="S1651" s="3" t="n">
        <f aca="false">INDEX(Summary!$O$2:$O$201,MATCH($B1651,Summary!$A$2:$A$201,0))</f>
        <v>8</v>
      </c>
      <c r="T1651" s="3" t="n">
        <f aca="false">INDEX(Summary!$P$2:$P$201,MATCH($B1651,Summary!$A$2:$A$201,0))</f>
        <v>1</v>
      </c>
      <c r="U1651" s="2" t="n">
        <f aca="false">INDEX(Summary!$Q$2:$Q$201,MATCH($B1651,Summary!$A$2:$A$201,0))</f>
        <v>15.25</v>
      </c>
      <c r="V1651" s="2" t="n">
        <f aca="false">INDEX(Summary!$R$2:$R$201,MATCH($B1651,Summary!$A$2:$A$201,0))</f>
        <v>21.84</v>
      </c>
      <c r="W1651" s="0" t="str">
        <f aca="false">INDEX(Summary!$S$2:$S$201,MATCH($B1651,Summary!$A$2:$A$201,0))</f>
        <v>Silver</v>
      </c>
      <c r="X1651" s="2" t="n">
        <f aca="false">INDEX(Summary!$T$2:$T$201,MATCH($B1651,Summary!$A$2:$A$201,0))</f>
        <v>53.27</v>
      </c>
      <c r="Y1651" s="0" t="str">
        <f aca="false">INDEX('Reward Model'!$E$18:$E$37,MATCH($E1651,'Reward Model'!$A$18:$A$37,0))</f>
        <v>Medium</v>
      </c>
      <c r="Z1651" s="4" t="n">
        <f aca="false">ROUND(MIN(1,MAX('Reward Model'!$B$2,INDEX('Reward Model'!$C$12:$C$14,MATCH($K1651,'Reward Model'!$A$12:$A$14,0))/$J1651)),3)</f>
        <v>1</v>
      </c>
      <c r="AA1651" s="2" t="n">
        <f aca="false">IF($I1651="Correct",ROUND(INDEX('Reward Model'!$B$12:$B$14,MATCH($K1651,'Reward Model'!$A$12:$A$14,0))*Z1651,2),0)</f>
        <v>2</v>
      </c>
      <c r="AB1651" s="2" t="n">
        <f aca="false">IF($I1651="Correct",ROUND(INDEX('Reward Model'!$B$12:$B$14,MATCH($Y1651,'Reward Model'!$A$12:$A$14,0))*Z1651,2),0)</f>
        <v>2</v>
      </c>
    </row>
    <row r="1652" customFormat="false" ht="15" hidden="false" customHeight="false" outlineLevel="0" collapsed="false">
      <c r="A1652" s="0" t="s">
        <v>294</v>
      </c>
      <c r="B1652" s="0" t="s">
        <v>295</v>
      </c>
      <c r="C1652" s="0" t="s">
        <v>30</v>
      </c>
      <c r="D1652" s="0" t="s">
        <v>275</v>
      </c>
      <c r="E1652" s="0" t="n">
        <v>11</v>
      </c>
      <c r="F1652" s="0" t="s">
        <v>61</v>
      </c>
      <c r="G1652" s="0" t="s">
        <v>63</v>
      </c>
      <c r="H1652" s="0" t="s">
        <v>63</v>
      </c>
      <c r="I1652" s="0" t="s">
        <v>34</v>
      </c>
      <c r="J1652" s="0" t="n">
        <v>1.17</v>
      </c>
      <c r="K1652" s="0" t="s">
        <v>60</v>
      </c>
      <c r="L1652" s="0" t="n">
        <f aca="false">INDEX(Summary!$F$2:$F$201,MATCH($B1652,Summary!$A$2:$A$201,0))</f>
        <v>20</v>
      </c>
      <c r="M1652" s="0" t="n">
        <f aca="false">INDEX(Summary!$I$2:$I$201,MATCH($B1652,Summary!$A$2:$A$201,0))</f>
        <v>1</v>
      </c>
      <c r="N1652" s="0" t="n">
        <f aca="false">INDEX(Summary!$J$2:$J$201,MATCH($B1652,Summary!$A$2:$A$201,0))</f>
        <v>4</v>
      </c>
      <c r="O1652" s="2" t="n">
        <f aca="false">INDEX(Summary!$K$2:$K$201,MATCH($B1652,Summary!$A$2:$A$201,0))</f>
        <v>9.55</v>
      </c>
      <c r="P1652" s="3" t="n">
        <f aca="false">INDEX(Summary!$L$2:$L$201,MATCH($B1652,Summary!$A$2:$A$201,0))</f>
        <v>4</v>
      </c>
      <c r="Q1652" s="3" t="n">
        <f aca="false">INDEX(Summary!$M$2:$M$201,MATCH($B1652,Summary!$A$2:$A$201,0))</f>
        <v>2</v>
      </c>
      <c r="R1652" s="2" t="n">
        <f aca="false">INDEX(Summary!$N$2:$N$201,MATCH($B1652,Summary!$A$2:$A$201,0))</f>
        <v>9.43</v>
      </c>
      <c r="S1652" s="3" t="n">
        <f aca="false">INDEX(Summary!$O$2:$O$201,MATCH($B1652,Summary!$A$2:$A$201,0))</f>
        <v>8</v>
      </c>
      <c r="T1652" s="3" t="n">
        <f aca="false">INDEX(Summary!$P$2:$P$201,MATCH($B1652,Summary!$A$2:$A$201,0))</f>
        <v>1</v>
      </c>
      <c r="U1652" s="2" t="n">
        <f aca="false">INDEX(Summary!$Q$2:$Q$201,MATCH($B1652,Summary!$A$2:$A$201,0))</f>
        <v>15.25</v>
      </c>
      <c r="V1652" s="2" t="n">
        <f aca="false">INDEX(Summary!$R$2:$R$201,MATCH($B1652,Summary!$A$2:$A$201,0))</f>
        <v>21.84</v>
      </c>
      <c r="W1652" s="0" t="str">
        <f aca="false">INDEX(Summary!$S$2:$S$201,MATCH($B1652,Summary!$A$2:$A$201,0))</f>
        <v>Silver</v>
      </c>
      <c r="X1652" s="2" t="n">
        <f aca="false">INDEX(Summary!$T$2:$T$201,MATCH($B1652,Summary!$A$2:$A$201,0))</f>
        <v>53.27</v>
      </c>
      <c r="Y1652" s="0" t="str">
        <f aca="false">INDEX('Reward Model'!$E$18:$E$37,MATCH($E1652,'Reward Model'!$A$18:$A$37,0))</f>
        <v>Medium</v>
      </c>
      <c r="Z1652" s="4" t="n">
        <f aca="false">ROUND(MIN(1,MAX('Reward Model'!$B$2,INDEX('Reward Model'!$C$12:$C$14,MATCH($K1652,'Reward Model'!$A$12:$A$14,0))/$J1652)),3)</f>
        <v>1</v>
      </c>
      <c r="AA1652" s="2" t="n">
        <f aca="false">IF($I1652="Correct",ROUND(INDEX('Reward Model'!$B$12:$B$14,MATCH($K1652,'Reward Model'!$A$12:$A$14,0))*Z1652,2),0)</f>
        <v>2</v>
      </c>
      <c r="AB1652" s="2" t="n">
        <f aca="false">IF($I1652="Correct",ROUND(INDEX('Reward Model'!$B$12:$B$14,MATCH($Y1652,'Reward Model'!$A$12:$A$14,0))*Z1652,2),0)</f>
        <v>2</v>
      </c>
    </row>
    <row r="1653" customFormat="false" ht="15" hidden="false" customHeight="false" outlineLevel="0" collapsed="false">
      <c r="A1653" s="0" t="s">
        <v>294</v>
      </c>
      <c r="B1653" s="0" t="s">
        <v>295</v>
      </c>
      <c r="C1653" s="0" t="s">
        <v>30</v>
      </c>
      <c r="D1653" s="0" t="s">
        <v>275</v>
      </c>
      <c r="E1653" s="0" t="n">
        <v>12</v>
      </c>
      <c r="F1653" s="0" t="s">
        <v>64</v>
      </c>
      <c r="G1653" s="0" t="s">
        <v>112</v>
      </c>
      <c r="H1653" s="0" t="s">
        <v>65</v>
      </c>
      <c r="I1653" s="0" t="s">
        <v>39</v>
      </c>
      <c r="J1653" s="0" t="n">
        <v>2.23</v>
      </c>
      <c r="K1653" s="0" t="s">
        <v>60</v>
      </c>
      <c r="L1653" s="0" t="n">
        <f aca="false">INDEX(Summary!$F$2:$F$201,MATCH($B1653,Summary!$A$2:$A$201,0))</f>
        <v>20</v>
      </c>
      <c r="M1653" s="0" t="n">
        <f aca="false">INDEX(Summary!$I$2:$I$201,MATCH($B1653,Summary!$A$2:$A$201,0))</f>
        <v>1</v>
      </c>
      <c r="N1653" s="0" t="n">
        <f aca="false">INDEX(Summary!$J$2:$J$201,MATCH($B1653,Summary!$A$2:$A$201,0))</f>
        <v>4</v>
      </c>
      <c r="O1653" s="2" t="n">
        <f aca="false">INDEX(Summary!$K$2:$K$201,MATCH($B1653,Summary!$A$2:$A$201,0))</f>
        <v>9.55</v>
      </c>
      <c r="P1653" s="3" t="n">
        <f aca="false">INDEX(Summary!$L$2:$L$201,MATCH($B1653,Summary!$A$2:$A$201,0))</f>
        <v>4</v>
      </c>
      <c r="Q1653" s="3" t="n">
        <f aca="false">INDEX(Summary!$M$2:$M$201,MATCH($B1653,Summary!$A$2:$A$201,0))</f>
        <v>2</v>
      </c>
      <c r="R1653" s="2" t="n">
        <f aca="false">INDEX(Summary!$N$2:$N$201,MATCH($B1653,Summary!$A$2:$A$201,0))</f>
        <v>9.43</v>
      </c>
      <c r="S1653" s="3" t="n">
        <f aca="false">INDEX(Summary!$O$2:$O$201,MATCH($B1653,Summary!$A$2:$A$201,0))</f>
        <v>8</v>
      </c>
      <c r="T1653" s="3" t="n">
        <f aca="false">INDEX(Summary!$P$2:$P$201,MATCH($B1653,Summary!$A$2:$A$201,0))</f>
        <v>1</v>
      </c>
      <c r="U1653" s="2" t="n">
        <f aca="false">INDEX(Summary!$Q$2:$Q$201,MATCH($B1653,Summary!$A$2:$A$201,0))</f>
        <v>15.25</v>
      </c>
      <c r="V1653" s="2" t="n">
        <f aca="false">INDEX(Summary!$R$2:$R$201,MATCH($B1653,Summary!$A$2:$A$201,0))</f>
        <v>21.84</v>
      </c>
      <c r="W1653" s="0" t="str">
        <f aca="false">INDEX(Summary!$S$2:$S$201,MATCH($B1653,Summary!$A$2:$A$201,0))</f>
        <v>Silver</v>
      </c>
      <c r="X1653" s="2" t="n">
        <f aca="false">INDEX(Summary!$T$2:$T$201,MATCH($B1653,Summary!$A$2:$A$201,0))</f>
        <v>53.27</v>
      </c>
      <c r="Y1653" s="0" t="str">
        <f aca="false">INDEX('Reward Model'!$E$18:$E$37,MATCH($E1653,'Reward Model'!$A$18:$A$37,0))</f>
        <v>Medium</v>
      </c>
      <c r="Z1653" s="4" t="n">
        <f aca="false">ROUND(MIN(1,MAX('Reward Model'!$B$2,INDEX('Reward Model'!$C$12:$C$14,MATCH($K1653,'Reward Model'!$A$12:$A$14,0))/$J1653)),3)</f>
        <v>0.807</v>
      </c>
      <c r="AA1653" s="2" t="n">
        <f aca="false">IF($I1653="Correct",ROUND(INDEX('Reward Model'!$B$12:$B$14,MATCH($K1653,'Reward Model'!$A$12:$A$14,0))*Z1653,2),0)</f>
        <v>0</v>
      </c>
      <c r="AB1653" s="2" t="n">
        <f aca="false">IF($I1653="Correct",ROUND(INDEX('Reward Model'!$B$12:$B$14,MATCH($Y1653,'Reward Model'!$A$12:$A$14,0))*Z1653,2),0)</f>
        <v>0</v>
      </c>
    </row>
    <row r="1654" customFormat="false" ht="15" hidden="false" customHeight="false" outlineLevel="0" collapsed="false">
      <c r="A1654" s="0" t="s">
        <v>294</v>
      </c>
      <c r="B1654" s="0" t="s">
        <v>295</v>
      </c>
      <c r="C1654" s="0" t="s">
        <v>30</v>
      </c>
      <c r="D1654" s="0" t="s">
        <v>275</v>
      </c>
      <c r="E1654" s="0" t="n">
        <v>13</v>
      </c>
      <c r="F1654" s="0" t="s">
        <v>66</v>
      </c>
      <c r="G1654" s="0" t="s">
        <v>67</v>
      </c>
      <c r="H1654" s="0" t="s">
        <v>67</v>
      </c>
      <c r="I1654" s="0" t="s">
        <v>34</v>
      </c>
      <c r="J1654" s="0" t="n">
        <v>1.62</v>
      </c>
      <c r="K1654" s="0" t="s">
        <v>60</v>
      </c>
      <c r="L1654" s="0" t="n">
        <f aca="false">INDEX(Summary!$F$2:$F$201,MATCH($B1654,Summary!$A$2:$A$201,0))</f>
        <v>20</v>
      </c>
      <c r="M1654" s="0" t="n">
        <f aca="false">INDEX(Summary!$I$2:$I$201,MATCH($B1654,Summary!$A$2:$A$201,0))</f>
        <v>1</v>
      </c>
      <c r="N1654" s="0" t="n">
        <f aca="false">INDEX(Summary!$J$2:$J$201,MATCH($B1654,Summary!$A$2:$A$201,0))</f>
        <v>4</v>
      </c>
      <c r="O1654" s="2" t="n">
        <f aca="false">INDEX(Summary!$K$2:$K$201,MATCH($B1654,Summary!$A$2:$A$201,0))</f>
        <v>9.55</v>
      </c>
      <c r="P1654" s="3" t="n">
        <f aca="false">INDEX(Summary!$L$2:$L$201,MATCH($B1654,Summary!$A$2:$A$201,0))</f>
        <v>4</v>
      </c>
      <c r="Q1654" s="3" t="n">
        <f aca="false">INDEX(Summary!$M$2:$M$201,MATCH($B1654,Summary!$A$2:$A$201,0))</f>
        <v>2</v>
      </c>
      <c r="R1654" s="2" t="n">
        <f aca="false">INDEX(Summary!$N$2:$N$201,MATCH($B1654,Summary!$A$2:$A$201,0))</f>
        <v>9.43</v>
      </c>
      <c r="S1654" s="3" t="n">
        <f aca="false">INDEX(Summary!$O$2:$O$201,MATCH($B1654,Summary!$A$2:$A$201,0))</f>
        <v>8</v>
      </c>
      <c r="T1654" s="3" t="n">
        <f aca="false">INDEX(Summary!$P$2:$P$201,MATCH($B1654,Summary!$A$2:$A$201,0))</f>
        <v>1</v>
      </c>
      <c r="U1654" s="2" t="n">
        <f aca="false">INDEX(Summary!$Q$2:$Q$201,MATCH($B1654,Summary!$A$2:$A$201,0))</f>
        <v>15.25</v>
      </c>
      <c r="V1654" s="2" t="n">
        <f aca="false">INDEX(Summary!$R$2:$R$201,MATCH($B1654,Summary!$A$2:$A$201,0))</f>
        <v>21.84</v>
      </c>
      <c r="W1654" s="0" t="str">
        <f aca="false">INDEX(Summary!$S$2:$S$201,MATCH($B1654,Summary!$A$2:$A$201,0))</f>
        <v>Silver</v>
      </c>
      <c r="X1654" s="2" t="n">
        <f aca="false">INDEX(Summary!$T$2:$T$201,MATCH($B1654,Summary!$A$2:$A$201,0))</f>
        <v>53.27</v>
      </c>
      <c r="Y1654" s="0" t="str">
        <f aca="false">INDEX('Reward Model'!$E$18:$E$37,MATCH($E1654,'Reward Model'!$A$18:$A$37,0))</f>
        <v>Medium</v>
      </c>
      <c r="Z1654" s="4" t="n">
        <f aca="false">ROUND(MIN(1,MAX('Reward Model'!$B$2,INDEX('Reward Model'!$C$12:$C$14,MATCH($K1654,'Reward Model'!$A$12:$A$14,0))/$J1654)),3)</f>
        <v>1</v>
      </c>
      <c r="AA1654" s="2" t="n">
        <f aca="false">IF($I1654="Correct",ROUND(INDEX('Reward Model'!$B$12:$B$14,MATCH($K1654,'Reward Model'!$A$12:$A$14,0))*Z1654,2),0)</f>
        <v>2</v>
      </c>
      <c r="AB1654" s="2" t="n">
        <f aca="false">IF($I1654="Correct",ROUND(INDEX('Reward Model'!$B$12:$B$14,MATCH($Y1654,'Reward Model'!$A$12:$A$14,0))*Z1654,2),0)</f>
        <v>2</v>
      </c>
    </row>
    <row r="1655" customFormat="false" ht="15" hidden="false" customHeight="false" outlineLevel="0" collapsed="false">
      <c r="A1655" s="0" t="s">
        <v>294</v>
      </c>
      <c r="B1655" s="0" t="s">
        <v>295</v>
      </c>
      <c r="C1655" s="0" t="s">
        <v>30</v>
      </c>
      <c r="D1655" s="0" t="s">
        <v>275</v>
      </c>
      <c r="E1655" s="0" t="n">
        <v>14</v>
      </c>
      <c r="F1655" s="0" t="s">
        <v>68</v>
      </c>
      <c r="G1655" s="0" t="s">
        <v>51</v>
      </c>
      <c r="H1655" s="0" t="s">
        <v>51</v>
      </c>
      <c r="I1655" s="0" t="s">
        <v>34</v>
      </c>
      <c r="J1655" s="0" t="n">
        <v>1.46</v>
      </c>
      <c r="K1655" s="0" t="s">
        <v>60</v>
      </c>
      <c r="L1655" s="0" t="n">
        <f aca="false">INDEX(Summary!$F$2:$F$201,MATCH($B1655,Summary!$A$2:$A$201,0))</f>
        <v>20</v>
      </c>
      <c r="M1655" s="0" t="n">
        <f aca="false">INDEX(Summary!$I$2:$I$201,MATCH($B1655,Summary!$A$2:$A$201,0))</f>
        <v>1</v>
      </c>
      <c r="N1655" s="0" t="n">
        <f aca="false">INDEX(Summary!$J$2:$J$201,MATCH($B1655,Summary!$A$2:$A$201,0))</f>
        <v>4</v>
      </c>
      <c r="O1655" s="2" t="n">
        <f aca="false">INDEX(Summary!$K$2:$K$201,MATCH($B1655,Summary!$A$2:$A$201,0))</f>
        <v>9.55</v>
      </c>
      <c r="P1655" s="3" t="n">
        <f aca="false">INDEX(Summary!$L$2:$L$201,MATCH($B1655,Summary!$A$2:$A$201,0))</f>
        <v>4</v>
      </c>
      <c r="Q1655" s="3" t="n">
        <f aca="false">INDEX(Summary!$M$2:$M$201,MATCH($B1655,Summary!$A$2:$A$201,0))</f>
        <v>2</v>
      </c>
      <c r="R1655" s="2" t="n">
        <f aca="false">INDEX(Summary!$N$2:$N$201,MATCH($B1655,Summary!$A$2:$A$201,0))</f>
        <v>9.43</v>
      </c>
      <c r="S1655" s="3" t="n">
        <f aca="false">INDEX(Summary!$O$2:$O$201,MATCH($B1655,Summary!$A$2:$A$201,0))</f>
        <v>8</v>
      </c>
      <c r="T1655" s="3" t="n">
        <f aca="false">INDEX(Summary!$P$2:$P$201,MATCH($B1655,Summary!$A$2:$A$201,0))</f>
        <v>1</v>
      </c>
      <c r="U1655" s="2" t="n">
        <f aca="false">INDEX(Summary!$Q$2:$Q$201,MATCH($B1655,Summary!$A$2:$A$201,0))</f>
        <v>15.25</v>
      </c>
      <c r="V1655" s="2" t="n">
        <f aca="false">INDEX(Summary!$R$2:$R$201,MATCH($B1655,Summary!$A$2:$A$201,0))</f>
        <v>21.84</v>
      </c>
      <c r="W1655" s="0" t="str">
        <f aca="false">INDEX(Summary!$S$2:$S$201,MATCH($B1655,Summary!$A$2:$A$201,0))</f>
        <v>Silver</v>
      </c>
      <c r="X1655" s="2" t="n">
        <f aca="false">INDEX(Summary!$T$2:$T$201,MATCH($B1655,Summary!$A$2:$A$201,0))</f>
        <v>53.27</v>
      </c>
      <c r="Y1655" s="0" t="str">
        <f aca="false">INDEX('Reward Model'!$E$18:$E$37,MATCH($E1655,'Reward Model'!$A$18:$A$37,0))</f>
        <v>Medium</v>
      </c>
      <c r="Z1655" s="4" t="n">
        <f aca="false">ROUND(MIN(1,MAX('Reward Model'!$B$2,INDEX('Reward Model'!$C$12:$C$14,MATCH($K1655,'Reward Model'!$A$12:$A$14,0))/$J1655)),3)</f>
        <v>1</v>
      </c>
      <c r="AA1655" s="2" t="n">
        <f aca="false">IF($I1655="Correct",ROUND(INDEX('Reward Model'!$B$12:$B$14,MATCH($K1655,'Reward Model'!$A$12:$A$14,0))*Z1655,2),0)</f>
        <v>2</v>
      </c>
      <c r="AB1655" s="2" t="n">
        <f aca="false">IF($I1655="Correct",ROUND(INDEX('Reward Model'!$B$12:$B$14,MATCH($Y1655,'Reward Model'!$A$12:$A$14,0))*Z1655,2),0)</f>
        <v>2</v>
      </c>
    </row>
    <row r="1656" customFormat="false" ht="15" hidden="false" customHeight="false" outlineLevel="0" collapsed="false">
      <c r="A1656" s="0" t="s">
        <v>294</v>
      </c>
      <c r="B1656" s="0" t="s">
        <v>295</v>
      </c>
      <c r="C1656" s="0" t="s">
        <v>30</v>
      </c>
      <c r="D1656" s="0" t="s">
        <v>275</v>
      </c>
      <c r="E1656" s="0" t="n">
        <v>15</v>
      </c>
      <c r="F1656" s="0" t="s">
        <v>69</v>
      </c>
      <c r="G1656" s="0" t="s">
        <v>139</v>
      </c>
      <c r="H1656" s="0" t="s">
        <v>70</v>
      </c>
      <c r="I1656" s="0" t="s">
        <v>39</v>
      </c>
      <c r="J1656" s="0" t="n">
        <v>1.26</v>
      </c>
      <c r="K1656" s="0" t="s">
        <v>60</v>
      </c>
      <c r="L1656" s="0" t="n">
        <f aca="false">INDEX(Summary!$F$2:$F$201,MATCH($B1656,Summary!$A$2:$A$201,0))</f>
        <v>20</v>
      </c>
      <c r="M1656" s="0" t="n">
        <f aca="false">INDEX(Summary!$I$2:$I$201,MATCH($B1656,Summary!$A$2:$A$201,0))</f>
        <v>1</v>
      </c>
      <c r="N1656" s="0" t="n">
        <f aca="false">INDEX(Summary!$J$2:$J$201,MATCH($B1656,Summary!$A$2:$A$201,0))</f>
        <v>4</v>
      </c>
      <c r="O1656" s="2" t="n">
        <f aca="false">INDEX(Summary!$K$2:$K$201,MATCH($B1656,Summary!$A$2:$A$201,0))</f>
        <v>9.55</v>
      </c>
      <c r="P1656" s="3" t="n">
        <f aca="false">INDEX(Summary!$L$2:$L$201,MATCH($B1656,Summary!$A$2:$A$201,0))</f>
        <v>4</v>
      </c>
      <c r="Q1656" s="3" t="n">
        <f aca="false">INDEX(Summary!$M$2:$M$201,MATCH($B1656,Summary!$A$2:$A$201,0))</f>
        <v>2</v>
      </c>
      <c r="R1656" s="2" t="n">
        <f aca="false">INDEX(Summary!$N$2:$N$201,MATCH($B1656,Summary!$A$2:$A$201,0))</f>
        <v>9.43</v>
      </c>
      <c r="S1656" s="3" t="n">
        <f aca="false">INDEX(Summary!$O$2:$O$201,MATCH($B1656,Summary!$A$2:$A$201,0))</f>
        <v>8</v>
      </c>
      <c r="T1656" s="3" t="n">
        <f aca="false">INDEX(Summary!$P$2:$P$201,MATCH($B1656,Summary!$A$2:$A$201,0))</f>
        <v>1</v>
      </c>
      <c r="U1656" s="2" t="n">
        <f aca="false">INDEX(Summary!$Q$2:$Q$201,MATCH($B1656,Summary!$A$2:$A$201,0))</f>
        <v>15.25</v>
      </c>
      <c r="V1656" s="2" t="n">
        <f aca="false">INDEX(Summary!$R$2:$R$201,MATCH($B1656,Summary!$A$2:$A$201,0))</f>
        <v>21.84</v>
      </c>
      <c r="W1656" s="0" t="str">
        <f aca="false">INDEX(Summary!$S$2:$S$201,MATCH($B1656,Summary!$A$2:$A$201,0))</f>
        <v>Silver</v>
      </c>
      <c r="X1656" s="2" t="n">
        <f aca="false">INDEX(Summary!$T$2:$T$201,MATCH($B1656,Summary!$A$2:$A$201,0))</f>
        <v>53.27</v>
      </c>
      <c r="Y1656" s="0" t="str">
        <f aca="false">INDEX('Reward Model'!$E$18:$E$37,MATCH($E1656,'Reward Model'!$A$18:$A$37,0))</f>
        <v>Medium</v>
      </c>
      <c r="Z1656" s="4" t="n">
        <f aca="false">ROUND(MIN(1,MAX('Reward Model'!$B$2,INDEX('Reward Model'!$C$12:$C$14,MATCH($K1656,'Reward Model'!$A$12:$A$14,0))/$J1656)),3)</f>
        <v>1</v>
      </c>
      <c r="AA1656" s="2" t="n">
        <f aca="false">IF($I1656="Correct",ROUND(INDEX('Reward Model'!$B$12:$B$14,MATCH($K1656,'Reward Model'!$A$12:$A$14,0))*Z1656,2),0)</f>
        <v>0</v>
      </c>
      <c r="AB1656" s="2" t="n">
        <f aca="false">IF($I1656="Correct",ROUND(INDEX('Reward Model'!$B$12:$B$14,MATCH($Y1656,'Reward Model'!$A$12:$A$14,0))*Z1656,2),0)</f>
        <v>0</v>
      </c>
    </row>
    <row r="1657" customFormat="false" ht="15" hidden="false" customHeight="false" outlineLevel="0" collapsed="false">
      <c r="A1657" s="0" t="s">
        <v>294</v>
      </c>
      <c r="B1657" s="0" t="s">
        <v>295</v>
      </c>
      <c r="C1657" s="0" t="s">
        <v>30</v>
      </c>
      <c r="D1657" s="0" t="s">
        <v>275</v>
      </c>
      <c r="E1657" s="0" t="n">
        <v>16</v>
      </c>
      <c r="F1657" s="0" t="s">
        <v>71</v>
      </c>
      <c r="G1657" s="0" t="s">
        <v>72</v>
      </c>
      <c r="H1657" s="0" t="s">
        <v>72</v>
      </c>
      <c r="I1657" s="0" t="s">
        <v>34</v>
      </c>
      <c r="J1657" s="0" t="n">
        <v>1.67</v>
      </c>
      <c r="K1657" s="0" t="s">
        <v>73</v>
      </c>
      <c r="L1657" s="0" t="n">
        <f aca="false">INDEX(Summary!$F$2:$F$201,MATCH($B1657,Summary!$A$2:$A$201,0))</f>
        <v>20</v>
      </c>
      <c r="M1657" s="0" t="n">
        <f aca="false">INDEX(Summary!$I$2:$I$201,MATCH($B1657,Summary!$A$2:$A$201,0))</f>
        <v>1</v>
      </c>
      <c r="N1657" s="0" t="n">
        <f aca="false">INDEX(Summary!$J$2:$J$201,MATCH($B1657,Summary!$A$2:$A$201,0))</f>
        <v>4</v>
      </c>
      <c r="O1657" s="2" t="n">
        <f aca="false">INDEX(Summary!$K$2:$K$201,MATCH($B1657,Summary!$A$2:$A$201,0))</f>
        <v>9.55</v>
      </c>
      <c r="P1657" s="3" t="n">
        <f aca="false">INDEX(Summary!$L$2:$L$201,MATCH($B1657,Summary!$A$2:$A$201,0))</f>
        <v>4</v>
      </c>
      <c r="Q1657" s="3" t="n">
        <f aca="false">INDEX(Summary!$M$2:$M$201,MATCH($B1657,Summary!$A$2:$A$201,0))</f>
        <v>2</v>
      </c>
      <c r="R1657" s="2" t="n">
        <f aca="false">INDEX(Summary!$N$2:$N$201,MATCH($B1657,Summary!$A$2:$A$201,0))</f>
        <v>9.43</v>
      </c>
      <c r="S1657" s="3" t="n">
        <f aca="false">INDEX(Summary!$O$2:$O$201,MATCH($B1657,Summary!$A$2:$A$201,0))</f>
        <v>8</v>
      </c>
      <c r="T1657" s="3" t="n">
        <f aca="false">INDEX(Summary!$P$2:$P$201,MATCH($B1657,Summary!$A$2:$A$201,0))</f>
        <v>1</v>
      </c>
      <c r="U1657" s="2" t="n">
        <f aca="false">INDEX(Summary!$Q$2:$Q$201,MATCH($B1657,Summary!$A$2:$A$201,0))</f>
        <v>15.25</v>
      </c>
      <c r="V1657" s="2" t="n">
        <f aca="false">INDEX(Summary!$R$2:$R$201,MATCH($B1657,Summary!$A$2:$A$201,0))</f>
        <v>21.84</v>
      </c>
      <c r="W1657" s="0" t="str">
        <f aca="false">INDEX(Summary!$S$2:$S$201,MATCH($B1657,Summary!$A$2:$A$201,0))</f>
        <v>Silver</v>
      </c>
      <c r="X1657" s="2" t="n">
        <f aca="false">INDEX(Summary!$T$2:$T$201,MATCH($B1657,Summary!$A$2:$A$201,0))</f>
        <v>53.27</v>
      </c>
      <c r="Y1657" s="0" t="str">
        <f aca="false">INDEX('Reward Model'!$E$18:$E$37,MATCH($E1657,'Reward Model'!$A$18:$A$37,0))</f>
        <v>High</v>
      </c>
      <c r="Z1657" s="4" t="n">
        <f aca="false">ROUND(MIN(1,MAX('Reward Model'!$B$2,INDEX('Reward Model'!$C$12:$C$14,MATCH($K1657,'Reward Model'!$A$12:$A$14,0))/$J1657)),3)</f>
        <v>1</v>
      </c>
      <c r="AA1657" s="2" t="n">
        <f aca="false">IF($I1657="Correct",ROUND(INDEX('Reward Model'!$B$12:$B$14,MATCH($K1657,'Reward Model'!$A$12:$A$14,0))*Z1657,2),0)</f>
        <v>3</v>
      </c>
      <c r="AB1657" s="2" t="n">
        <f aca="false">IF($I1657="Correct",ROUND(INDEX('Reward Model'!$B$12:$B$14,MATCH($Y1657,'Reward Model'!$A$12:$A$14,0))*Z1657,2),0)</f>
        <v>3</v>
      </c>
    </row>
    <row r="1658" customFormat="false" ht="15" hidden="false" customHeight="false" outlineLevel="0" collapsed="false">
      <c r="A1658" s="0" t="s">
        <v>294</v>
      </c>
      <c r="B1658" s="0" t="s">
        <v>295</v>
      </c>
      <c r="C1658" s="0" t="s">
        <v>30</v>
      </c>
      <c r="D1658" s="0" t="s">
        <v>275</v>
      </c>
      <c r="E1658" s="0" t="n">
        <v>17</v>
      </c>
      <c r="F1658" s="0" t="s">
        <v>74</v>
      </c>
      <c r="G1658" s="0" t="s">
        <v>91</v>
      </c>
      <c r="H1658" s="0" t="s">
        <v>75</v>
      </c>
      <c r="I1658" s="0" t="s">
        <v>39</v>
      </c>
      <c r="J1658" s="0" t="n">
        <v>1.72</v>
      </c>
      <c r="K1658" s="0" t="s">
        <v>73</v>
      </c>
      <c r="L1658" s="0" t="n">
        <f aca="false">INDEX(Summary!$F$2:$F$201,MATCH($B1658,Summary!$A$2:$A$201,0))</f>
        <v>20</v>
      </c>
      <c r="M1658" s="0" t="n">
        <f aca="false">INDEX(Summary!$I$2:$I$201,MATCH($B1658,Summary!$A$2:$A$201,0))</f>
        <v>1</v>
      </c>
      <c r="N1658" s="0" t="n">
        <f aca="false">INDEX(Summary!$J$2:$J$201,MATCH($B1658,Summary!$A$2:$A$201,0))</f>
        <v>4</v>
      </c>
      <c r="O1658" s="2" t="n">
        <f aca="false">INDEX(Summary!$K$2:$K$201,MATCH($B1658,Summary!$A$2:$A$201,0))</f>
        <v>9.55</v>
      </c>
      <c r="P1658" s="3" t="n">
        <f aca="false">INDEX(Summary!$L$2:$L$201,MATCH($B1658,Summary!$A$2:$A$201,0))</f>
        <v>4</v>
      </c>
      <c r="Q1658" s="3" t="n">
        <f aca="false">INDEX(Summary!$M$2:$M$201,MATCH($B1658,Summary!$A$2:$A$201,0))</f>
        <v>2</v>
      </c>
      <c r="R1658" s="2" t="n">
        <f aca="false">INDEX(Summary!$N$2:$N$201,MATCH($B1658,Summary!$A$2:$A$201,0))</f>
        <v>9.43</v>
      </c>
      <c r="S1658" s="3" t="n">
        <f aca="false">INDEX(Summary!$O$2:$O$201,MATCH($B1658,Summary!$A$2:$A$201,0))</f>
        <v>8</v>
      </c>
      <c r="T1658" s="3" t="n">
        <f aca="false">INDEX(Summary!$P$2:$P$201,MATCH($B1658,Summary!$A$2:$A$201,0))</f>
        <v>1</v>
      </c>
      <c r="U1658" s="2" t="n">
        <f aca="false">INDEX(Summary!$Q$2:$Q$201,MATCH($B1658,Summary!$A$2:$A$201,0))</f>
        <v>15.25</v>
      </c>
      <c r="V1658" s="2" t="n">
        <f aca="false">INDEX(Summary!$R$2:$R$201,MATCH($B1658,Summary!$A$2:$A$201,0))</f>
        <v>21.84</v>
      </c>
      <c r="W1658" s="0" t="str">
        <f aca="false">INDEX(Summary!$S$2:$S$201,MATCH($B1658,Summary!$A$2:$A$201,0))</f>
        <v>Silver</v>
      </c>
      <c r="X1658" s="2" t="n">
        <f aca="false">INDEX(Summary!$T$2:$T$201,MATCH($B1658,Summary!$A$2:$A$201,0))</f>
        <v>53.27</v>
      </c>
      <c r="Y1658" s="0" t="str">
        <f aca="false">INDEX('Reward Model'!$E$18:$E$37,MATCH($E1658,'Reward Model'!$A$18:$A$37,0))</f>
        <v>High</v>
      </c>
      <c r="Z1658" s="4" t="n">
        <f aca="false">ROUND(MIN(1,MAX('Reward Model'!$B$2,INDEX('Reward Model'!$C$12:$C$14,MATCH($K1658,'Reward Model'!$A$12:$A$14,0))/$J1658)),3)</f>
        <v>1</v>
      </c>
      <c r="AA1658" s="2" t="n">
        <f aca="false">IF($I1658="Correct",ROUND(INDEX('Reward Model'!$B$12:$B$14,MATCH($K1658,'Reward Model'!$A$12:$A$14,0))*Z1658,2),0)</f>
        <v>0</v>
      </c>
      <c r="AB1658" s="2" t="n">
        <f aca="false">IF($I1658="Correct",ROUND(INDEX('Reward Model'!$B$12:$B$14,MATCH($Y1658,'Reward Model'!$A$12:$A$14,0))*Z1658,2),0)</f>
        <v>0</v>
      </c>
    </row>
    <row r="1659" customFormat="false" ht="15" hidden="false" customHeight="false" outlineLevel="0" collapsed="false">
      <c r="A1659" s="0" t="s">
        <v>294</v>
      </c>
      <c r="B1659" s="0" t="s">
        <v>295</v>
      </c>
      <c r="C1659" s="0" t="s">
        <v>30</v>
      </c>
      <c r="D1659" s="0" t="s">
        <v>275</v>
      </c>
      <c r="E1659" s="0" t="n">
        <v>18</v>
      </c>
      <c r="F1659" s="0" t="s">
        <v>76</v>
      </c>
      <c r="G1659" s="0" t="s">
        <v>128</v>
      </c>
      <c r="H1659" s="0" t="s">
        <v>77</v>
      </c>
      <c r="I1659" s="0" t="s">
        <v>39</v>
      </c>
      <c r="J1659" s="0" t="n">
        <v>2.53</v>
      </c>
      <c r="K1659" s="0" t="s">
        <v>73</v>
      </c>
      <c r="L1659" s="0" t="n">
        <f aca="false">INDEX(Summary!$F$2:$F$201,MATCH($B1659,Summary!$A$2:$A$201,0))</f>
        <v>20</v>
      </c>
      <c r="M1659" s="0" t="n">
        <f aca="false">INDEX(Summary!$I$2:$I$201,MATCH($B1659,Summary!$A$2:$A$201,0))</f>
        <v>1</v>
      </c>
      <c r="N1659" s="0" t="n">
        <f aca="false">INDEX(Summary!$J$2:$J$201,MATCH($B1659,Summary!$A$2:$A$201,0))</f>
        <v>4</v>
      </c>
      <c r="O1659" s="2" t="n">
        <f aca="false">INDEX(Summary!$K$2:$K$201,MATCH($B1659,Summary!$A$2:$A$201,0))</f>
        <v>9.55</v>
      </c>
      <c r="P1659" s="3" t="n">
        <f aca="false">INDEX(Summary!$L$2:$L$201,MATCH($B1659,Summary!$A$2:$A$201,0))</f>
        <v>4</v>
      </c>
      <c r="Q1659" s="3" t="n">
        <f aca="false">INDEX(Summary!$M$2:$M$201,MATCH($B1659,Summary!$A$2:$A$201,0))</f>
        <v>2</v>
      </c>
      <c r="R1659" s="2" t="n">
        <f aca="false">INDEX(Summary!$N$2:$N$201,MATCH($B1659,Summary!$A$2:$A$201,0))</f>
        <v>9.43</v>
      </c>
      <c r="S1659" s="3" t="n">
        <f aca="false">INDEX(Summary!$O$2:$O$201,MATCH($B1659,Summary!$A$2:$A$201,0))</f>
        <v>8</v>
      </c>
      <c r="T1659" s="3" t="n">
        <f aca="false">INDEX(Summary!$P$2:$P$201,MATCH($B1659,Summary!$A$2:$A$201,0))</f>
        <v>1</v>
      </c>
      <c r="U1659" s="2" t="n">
        <f aca="false">INDEX(Summary!$Q$2:$Q$201,MATCH($B1659,Summary!$A$2:$A$201,0))</f>
        <v>15.25</v>
      </c>
      <c r="V1659" s="2" t="n">
        <f aca="false">INDEX(Summary!$R$2:$R$201,MATCH($B1659,Summary!$A$2:$A$201,0))</f>
        <v>21.84</v>
      </c>
      <c r="W1659" s="0" t="str">
        <f aca="false">INDEX(Summary!$S$2:$S$201,MATCH($B1659,Summary!$A$2:$A$201,0))</f>
        <v>Silver</v>
      </c>
      <c r="X1659" s="2" t="n">
        <f aca="false">INDEX(Summary!$T$2:$T$201,MATCH($B1659,Summary!$A$2:$A$201,0))</f>
        <v>53.27</v>
      </c>
      <c r="Y1659" s="0" t="str">
        <f aca="false">INDEX('Reward Model'!$E$18:$E$37,MATCH($E1659,'Reward Model'!$A$18:$A$37,0))</f>
        <v>High</v>
      </c>
      <c r="Z1659" s="4" t="n">
        <f aca="false">ROUND(MIN(1,MAX('Reward Model'!$B$2,INDEX('Reward Model'!$C$12:$C$14,MATCH($K1659,'Reward Model'!$A$12:$A$14,0))/$J1659)),3)</f>
        <v>0.791</v>
      </c>
      <c r="AA1659" s="2" t="n">
        <f aca="false">IF($I1659="Correct",ROUND(INDEX('Reward Model'!$B$12:$B$14,MATCH($K1659,'Reward Model'!$A$12:$A$14,0))*Z1659,2),0)</f>
        <v>0</v>
      </c>
      <c r="AB1659" s="2" t="n">
        <f aca="false">IF($I1659="Correct",ROUND(INDEX('Reward Model'!$B$12:$B$14,MATCH($Y1659,'Reward Model'!$A$12:$A$14,0))*Z1659,2),0)</f>
        <v>0</v>
      </c>
    </row>
    <row r="1660" customFormat="false" ht="15" hidden="false" customHeight="false" outlineLevel="0" collapsed="false">
      <c r="A1660" s="0" t="s">
        <v>294</v>
      </c>
      <c r="B1660" s="0" t="s">
        <v>295</v>
      </c>
      <c r="C1660" s="0" t="s">
        <v>30</v>
      </c>
      <c r="D1660" s="0" t="s">
        <v>275</v>
      </c>
      <c r="E1660" s="0" t="n">
        <v>19</v>
      </c>
      <c r="F1660" s="0" t="s">
        <v>78</v>
      </c>
      <c r="G1660" s="0" t="s">
        <v>132</v>
      </c>
      <c r="H1660" s="0" t="s">
        <v>80</v>
      </c>
      <c r="I1660" s="0" t="s">
        <v>39</v>
      </c>
      <c r="J1660" s="0" t="n">
        <v>1.59</v>
      </c>
      <c r="K1660" s="0" t="s">
        <v>73</v>
      </c>
      <c r="L1660" s="0" t="n">
        <f aca="false">INDEX(Summary!$F$2:$F$201,MATCH($B1660,Summary!$A$2:$A$201,0))</f>
        <v>20</v>
      </c>
      <c r="M1660" s="0" t="n">
        <f aca="false">INDEX(Summary!$I$2:$I$201,MATCH($B1660,Summary!$A$2:$A$201,0))</f>
        <v>1</v>
      </c>
      <c r="N1660" s="0" t="n">
        <f aca="false">INDEX(Summary!$J$2:$J$201,MATCH($B1660,Summary!$A$2:$A$201,0))</f>
        <v>4</v>
      </c>
      <c r="O1660" s="2" t="n">
        <f aca="false">INDEX(Summary!$K$2:$K$201,MATCH($B1660,Summary!$A$2:$A$201,0))</f>
        <v>9.55</v>
      </c>
      <c r="P1660" s="3" t="n">
        <f aca="false">INDEX(Summary!$L$2:$L$201,MATCH($B1660,Summary!$A$2:$A$201,0))</f>
        <v>4</v>
      </c>
      <c r="Q1660" s="3" t="n">
        <f aca="false">INDEX(Summary!$M$2:$M$201,MATCH($B1660,Summary!$A$2:$A$201,0))</f>
        <v>2</v>
      </c>
      <c r="R1660" s="2" t="n">
        <f aca="false">INDEX(Summary!$N$2:$N$201,MATCH($B1660,Summary!$A$2:$A$201,0))</f>
        <v>9.43</v>
      </c>
      <c r="S1660" s="3" t="n">
        <f aca="false">INDEX(Summary!$O$2:$O$201,MATCH($B1660,Summary!$A$2:$A$201,0))</f>
        <v>8</v>
      </c>
      <c r="T1660" s="3" t="n">
        <f aca="false">INDEX(Summary!$P$2:$P$201,MATCH($B1660,Summary!$A$2:$A$201,0))</f>
        <v>1</v>
      </c>
      <c r="U1660" s="2" t="n">
        <f aca="false">INDEX(Summary!$Q$2:$Q$201,MATCH($B1660,Summary!$A$2:$A$201,0))</f>
        <v>15.25</v>
      </c>
      <c r="V1660" s="2" t="n">
        <f aca="false">INDEX(Summary!$R$2:$R$201,MATCH($B1660,Summary!$A$2:$A$201,0))</f>
        <v>21.84</v>
      </c>
      <c r="W1660" s="0" t="str">
        <f aca="false">INDEX(Summary!$S$2:$S$201,MATCH($B1660,Summary!$A$2:$A$201,0))</f>
        <v>Silver</v>
      </c>
      <c r="X1660" s="2" t="n">
        <f aca="false">INDEX(Summary!$T$2:$T$201,MATCH($B1660,Summary!$A$2:$A$201,0))</f>
        <v>53.27</v>
      </c>
      <c r="Y1660" s="0" t="str">
        <f aca="false">INDEX('Reward Model'!$E$18:$E$37,MATCH($E1660,'Reward Model'!$A$18:$A$37,0))</f>
        <v>High</v>
      </c>
      <c r="Z1660" s="4" t="n">
        <f aca="false">ROUND(MIN(1,MAX('Reward Model'!$B$2,INDEX('Reward Model'!$C$12:$C$14,MATCH($K1660,'Reward Model'!$A$12:$A$14,0))/$J1660)),3)</f>
        <v>1</v>
      </c>
      <c r="AA1660" s="2" t="n">
        <f aca="false">IF($I1660="Correct",ROUND(INDEX('Reward Model'!$B$12:$B$14,MATCH($K1660,'Reward Model'!$A$12:$A$14,0))*Z1660,2),0)</f>
        <v>0</v>
      </c>
      <c r="AB1660" s="2" t="n">
        <f aca="false">IF($I1660="Correct",ROUND(INDEX('Reward Model'!$B$12:$B$14,MATCH($Y1660,'Reward Model'!$A$12:$A$14,0))*Z1660,2),0)</f>
        <v>0</v>
      </c>
    </row>
    <row r="1661" customFormat="false" ht="15" hidden="false" customHeight="false" outlineLevel="0" collapsed="false">
      <c r="A1661" s="0" t="s">
        <v>294</v>
      </c>
      <c r="B1661" s="0" t="s">
        <v>295</v>
      </c>
      <c r="C1661" s="0" t="s">
        <v>30</v>
      </c>
      <c r="D1661" s="0" t="s">
        <v>275</v>
      </c>
      <c r="E1661" s="0" t="n">
        <v>20</v>
      </c>
      <c r="F1661" s="0" t="s">
        <v>81</v>
      </c>
      <c r="G1661" s="0" t="s">
        <v>166</v>
      </c>
      <c r="H1661" s="0" t="s">
        <v>83</v>
      </c>
      <c r="I1661" s="0" t="s">
        <v>39</v>
      </c>
      <c r="J1661" s="0" t="n">
        <v>2.04</v>
      </c>
      <c r="K1661" s="0" t="s">
        <v>73</v>
      </c>
      <c r="L1661" s="0" t="n">
        <f aca="false">INDEX(Summary!$F$2:$F$201,MATCH($B1661,Summary!$A$2:$A$201,0))</f>
        <v>20</v>
      </c>
      <c r="M1661" s="0" t="n">
        <f aca="false">INDEX(Summary!$I$2:$I$201,MATCH($B1661,Summary!$A$2:$A$201,0))</f>
        <v>1</v>
      </c>
      <c r="N1661" s="0" t="n">
        <f aca="false">INDEX(Summary!$J$2:$J$201,MATCH($B1661,Summary!$A$2:$A$201,0))</f>
        <v>4</v>
      </c>
      <c r="O1661" s="2" t="n">
        <f aca="false">INDEX(Summary!$K$2:$K$201,MATCH($B1661,Summary!$A$2:$A$201,0))</f>
        <v>9.55</v>
      </c>
      <c r="P1661" s="3" t="n">
        <f aca="false">INDEX(Summary!$L$2:$L$201,MATCH($B1661,Summary!$A$2:$A$201,0))</f>
        <v>4</v>
      </c>
      <c r="Q1661" s="3" t="n">
        <f aca="false">INDEX(Summary!$M$2:$M$201,MATCH($B1661,Summary!$A$2:$A$201,0))</f>
        <v>2</v>
      </c>
      <c r="R1661" s="2" t="n">
        <f aca="false">INDEX(Summary!$N$2:$N$201,MATCH($B1661,Summary!$A$2:$A$201,0))</f>
        <v>9.43</v>
      </c>
      <c r="S1661" s="3" t="n">
        <f aca="false">INDEX(Summary!$O$2:$O$201,MATCH($B1661,Summary!$A$2:$A$201,0))</f>
        <v>8</v>
      </c>
      <c r="T1661" s="3" t="n">
        <f aca="false">INDEX(Summary!$P$2:$P$201,MATCH($B1661,Summary!$A$2:$A$201,0))</f>
        <v>1</v>
      </c>
      <c r="U1661" s="2" t="n">
        <f aca="false">INDEX(Summary!$Q$2:$Q$201,MATCH($B1661,Summary!$A$2:$A$201,0))</f>
        <v>15.25</v>
      </c>
      <c r="V1661" s="2" t="n">
        <f aca="false">INDEX(Summary!$R$2:$R$201,MATCH($B1661,Summary!$A$2:$A$201,0))</f>
        <v>21.84</v>
      </c>
      <c r="W1661" s="0" t="str">
        <f aca="false">INDEX(Summary!$S$2:$S$201,MATCH($B1661,Summary!$A$2:$A$201,0))</f>
        <v>Silver</v>
      </c>
      <c r="X1661" s="2" t="n">
        <f aca="false">INDEX(Summary!$T$2:$T$201,MATCH($B1661,Summary!$A$2:$A$201,0))</f>
        <v>53.27</v>
      </c>
      <c r="Y1661" s="0" t="str">
        <f aca="false">INDEX('Reward Model'!$E$18:$E$37,MATCH($E1661,'Reward Model'!$A$18:$A$37,0))</f>
        <v>High</v>
      </c>
      <c r="Z1661" s="4" t="n">
        <f aca="false">ROUND(MIN(1,MAX('Reward Model'!$B$2,INDEX('Reward Model'!$C$12:$C$14,MATCH($K1661,'Reward Model'!$A$12:$A$14,0))/$J1661)),3)</f>
        <v>0.98</v>
      </c>
      <c r="AA1661" s="2" t="n">
        <f aca="false">IF($I1661="Correct",ROUND(INDEX('Reward Model'!$B$12:$B$14,MATCH($K1661,'Reward Model'!$A$12:$A$14,0))*Z1661,2),0)</f>
        <v>0</v>
      </c>
      <c r="AB1661" s="2" t="n">
        <f aca="false">IF($I1661="Correct",ROUND(INDEX('Reward Model'!$B$12:$B$14,MATCH($Y1661,'Reward Model'!$A$12:$A$14,0))*Z1661,2),0)</f>
        <v>0</v>
      </c>
    </row>
    <row r="1662" customFormat="false" ht="15" hidden="false" customHeight="false" outlineLevel="0" collapsed="false">
      <c r="A1662" s="0" t="s">
        <v>296</v>
      </c>
      <c r="B1662" s="0" t="s">
        <v>297</v>
      </c>
      <c r="C1662" s="0" t="s">
        <v>30</v>
      </c>
      <c r="D1662" s="0" t="s">
        <v>275</v>
      </c>
      <c r="E1662" s="0" t="n">
        <v>1</v>
      </c>
      <c r="F1662" s="0" t="s">
        <v>32</v>
      </c>
      <c r="G1662" s="0" t="s">
        <v>97</v>
      </c>
      <c r="H1662" s="0" t="s">
        <v>33</v>
      </c>
      <c r="I1662" s="0" t="s">
        <v>39</v>
      </c>
      <c r="J1662" s="0" t="n">
        <v>1.56</v>
      </c>
      <c r="K1662" s="0" t="s">
        <v>35</v>
      </c>
      <c r="L1662" s="0" t="n">
        <f aca="false">INDEX(Summary!$F$2:$F$201,MATCH($B1662,Summary!$A$2:$A$201,0))</f>
        <v>20</v>
      </c>
      <c r="M1662" s="0" t="n">
        <f aca="false">INDEX(Summary!$I$2:$I$201,MATCH($B1662,Summary!$A$2:$A$201,0))</f>
        <v>1</v>
      </c>
      <c r="N1662" s="0" t="n">
        <f aca="false">INDEX(Summary!$J$2:$J$201,MATCH($B1662,Summary!$A$2:$A$201,0))</f>
        <v>4</v>
      </c>
      <c r="O1662" s="2" t="n">
        <f aca="false">INDEX(Summary!$K$2:$K$201,MATCH($B1662,Summary!$A$2:$A$201,0))</f>
        <v>9.2</v>
      </c>
      <c r="P1662" s="3" t="n">
        <f aca="false">INDEX(Summary!$L$2:$L$201,MATCH($B1662,Summary!$A$2:$A$201,0))</f>
        <v>4</v>
      </c>
      <c r="Q1662" s="3" t="n">
        <f aca="false">INDEX(Summary!$M$2:$M$201,MATCH($B1662,Summary!$A$2:$A$201,0))</f>
        <v>2</v>
      </c>
      <c r="R1662" s="2" t="n">
        <f aca="false">INDEX(Summary!$N$2:$N$201,MATCH($B1662,Summary!$A$2:$A$201,0))</f>
        <v>10.58</v>
      </c>
      <c r="S1662" s="3" t="n">
        <f aca="false">INDEX(Summary!$O$2:$O$201,MATCH($B1662,Summary!$A$2:$A$201,0))</f>
        <v>7</v>
      </c>
      <c r="T1662" s="3" t="n">
        <f aca="false">INDEX(Summary!$P$2:$P$201,MATCH($B1662,Summary!$A$2:$A$201,0))</f>
        <v>2</v>
      </c>
      <c r="U1662" s="2" t="n">
        <f aca="false">INDEX(Summary!$Q$2:$Q$201,MATCH($B1662,Summary!$A$2:$A$201,0))</f>
        <v>13.71</v>
      </c>
      <c r="V1662" s="2" t="n">
        <f aca="false">INDEX(Summary!$R$2:$R$201,MATCH($B1662,Summary!$A$2:$A$201,0))</f>
        <v>19.12</v>
      </c>
      <c r="W1662" s="0" t="str">
        <f aca="false">INDEX(Summary!$S$2:$S$201,MATCH($B1662,Summary!$A$2:$A$201,0))</f>
        <v>Bronze</v>
      </c>
      <c r="X1662" s="2" t="n">
        <f aca="false">INDEX(Summary!$T$2:$T$201,MATCH($B1662,Summary!$A$2:$A$201,0))</f>
        <v>46.63</v>
      </c>
      <c r="Y1662" s="0" t="str">
        <f aca="false">INDEX('Reward Model'!$E$18:$E$37,MATCH($E1662,'Reward Model'!$A$18:$A$37,0))</f>
        <v>Medium</v>
      </c>
      <c r="Z1662" s="4" t="n">
        <f aca="false">ROUND(MIN(1,MAX('Reward Model'!$B$2,INDEX('Reward Model'!$C$12:$C$14,MATCH($K1662,'Reward Model'!$A$12:$A$14,0))/$J1662)),3)</f>
        <v>0.962</v>
      </c>
      <c r="AA1662" s="2" t="n">
        <f aca="false">IF($I1662="Correct",ROUND(INDEX('Reward Model'!$B$12:$B$14,MATCH($K1662,'Reward Model'!$A$12:$A$14,0))*Z1662,2),0)</f>
        <v>0</v>
      </c>
      <c r="AB1662" s="2" t="n">
        <f aca="false">IF($I1662="Correct",ROUND(INDEX('Reward Model'!$B$12:$B$14,MATCH($Y1662,'Reward Model'!$A$12:$A$14,0))*Z1662,2),0)</f>
        <v>0</v>
      </c>
    </row>
    <row r="1663" customFormat="false" ht="15" hidden="false" customHeight="false" outlineLevel="0" collapsed="false">
      <c r="A1663" s="0" t="s">
        <v>296</v>
      </c>
      <c r="B1663" s="0" t="s">
        <v>297</v>
      </c>
      <c r="C1663" s="0" t="s">
        <v>30</v>
      </c>
      <c r="D1663" s="0" t="s">
        <v>275</v>
      </c>
      <c r="E1663" s="0" t="n">
        <v>2</v>
      </c>
      <c r="F1663" s="0" t="s">
        <v>36</v>
      </c>
      <c r="G1663" s="0" t="s">
        <v>38</v>
      </c>
      <c r="H1663" s="0" t="s">
        <v>38</v>
      </c>
      <c r="I1663" s="0" t="s">
        <v>34</v>
      </c>
      <c r="J1663" s="0" t="n">
        <v>1.28</v>
      </c>
      <c r="K1663" s="0" t="s">
        <v>35</v>
      </c>
      <c r="L1663" s="0" t="n">
        <f aca="false">INDEX(Summary!$F$2:$F$201,MATCH($B1663,Summary!$A$2:$A$201,0))</f>
        <v>20</v>
      </c>
      <c r="M1663" s="0" t="n">
        <f aca="false">INDEX(Summary!$I$2:$I$201,MATCH($B1663,Summary!$A$2:$A$201,0))</f>
        <v>1</v>
      </c>
      <c r="N1663" s="0" t="n">
        <f aca="false">INDEX(Summary!$J$2:$J$201,MATCH($B1663,Summary!$A$2:$A$201,0))</f>
        <v>4</v>
      </c>
      <c r="O1663" s="2" t="n">
        <f aca="false">INDEX(Summary!$K$2:$K$201,MATCH($B1663,Summary!$A$2:$A$201,0))</f>
        <v>9.2</v>
      </c>
      <c r="P1663" s="3" t="n">
        <f aca="false">INDEX(Summary!$L$2:$L$201,MATCH($B1663,Summary!$A$2:$A$201,0))</f>
        <v>4</v>
      </c>
      <c r="Q1663" s="3" t="n">
        <f aca="false">INDEX(Summary!$M$2:$M$201,MATCH($B1663,Summary!$A$2:$A$201,0))</f>
        <v>2</v>
      </c>
      <c r="R1663" s="2" t="n">
        <f aca="false">INDEX(Summary!$N$2:$N$201,MATCH($B1663,Summary!$A$2:$A$201,0))</f>
        <v>10.58</v>
      </c>
      <c r="S1663" s="3" t="n">
        <f aca="false">INDEX(Summary!$O$2:$O$201,MATCH($B1663,Summary!$A$2:$A$201,0))</f>
        <v>7</v>
      </c>
      <c r="T1663" s="3" t="n">
        <f aca="false">INDEX(Summary!$P$2:$P$201,MATCH($B1663,Summary!$A$2:$A$201,0))</f>
        <v>2</v>
      </c>
      <c r="U1663" s="2" t="n">
        <f aca="false">INDEX(Summary!$Q$2:$Q$201,MATCH($B1663,Summary!$A$2:$A$201,0))</f>
        <v>13.71</v>
      </c>
      <c r="V1663" s="2" t="n">
        <f aca="false">INDEX(Summary!$R$2:$R$201,MATCH($B1663,Summary!$A$2:$A$201,0))</f>
        <v>19.12</v>
      </c>
      <c r="W1663" s="0" t="str">
        <f aca="false">INDEX(Summary!$S$2:$S$201,MATCH($B1663,Summary!$A$2:$A$201,0))</f>
        <v>Bronze</v>
      </c>
      <c r="X1663" s="2" t="n">
        <f aca="false">INDEX(Summary!$T$2:$T$201,MATCH($B1663,Summary!$A$2:$A$201,0))</f>
        <v>46.63</v>
      </c>
      <c r="Y1663" s="0" t="str">
        <f aca="false">INDEX('Reward Model'!$E$18:$E$37,MATCH($E1663,'Reward Model'!$A$18:$A$37,0))</f>
        <v>Low</v>
      </c>
      <c r="Z1663" s="4" t="n">
        <f aca="false">ROUND(MIN(1,MAX('Reward Model'!$B$2,INDEX('Reward Model'!$C$12:$C$14,MATCH($K1663,'Reward Model'!$A$12:$A$14,0))/$J1663)),3)</f>
        <v>1</v>
      </c>
      <c r="AA1663" s="2" t="n">
        <f aca="false">IF($I1663="Correct",ROUND(INDEX('Reward Model'!$B$12:$B$14,MATCH($K1663,'Reward Model'!$A$12:$A$14,0))*Z1663,2),0)</f>
        <v>1</v>
      </c>
      <c r="AB1663" s="2" t="n">
        <f aca="false">IF($I1663="Correct",ROUND(INDEX('Reward Model'!$B$12:$B$14,MATCH($Y1663,'Reward Model'!$A$12:$A$14,0))*Z1663,2),0)</f>
        <v>1</v>
      </c>
    </row>
    <row r="1664" customFormat="false" ht="15" hidden="false" customHeight="false" outlineLevel="0" collapsed="false">
      <c r="A1664" s="0" t="s">
        <v>296</v>
      </c>
      <c r="B1664" s="0" t="s">
        <v>297</v>
      </c>
      <c r="C1664" s="0" t="s">
        <v>30</v>
      </c>
      <c r="D1664" s="0" t="s">
        <v>275</v>
      </c>
      <c r="E1664" s="0" t="n">
        <v>3</v>
      </c>
      <c r="F1664" s="0" t="s">
        <v>40</v>
      </c>
      <c r="G1664" s="0" t="s">
        <v>42</v>
      </c>
      <c r="H1664" s="0" t="s">
        <v>42</v>
      </c>
      <c r="I1664" s="0" t="s">
        <v>34</v>
      </c>
      <c r="J1664" s="0" t="n">
        <v>1.63</v>
      </c>
      <c r="K1664" s="0" t="s">
        <v>35</v>
      </c>
      <c r="L1664" s="0" t="n">
        <f aca="false">INDEX(Summary!$F$2:$F$201,MATCH($B1664,Summary!$A$2:$A$201,0))</f>
        <v>20</v>
      </c>
      <c r="M1664" s="0" t="n">
        <f aca="false">INDEX(Summary!$I$2:$I$201,MATCH($B1664,Summary!$A$2:$A$201,0))</f>
        <v>1</v>
      </c>
      <c r="N1664" s="0" t="n">
        <f aca="false">INDEX(Summary!$J$2:$J$201,MATCH($B1664,Summary!$A$2:$A$201,0))</f>
        <v>4</v>
      </c>
      <c r="O1664" s="2" t="n">
        <f aca="false">INDEX(Summary!$K$2:$K$201,MATCH($B1664,Summary!$A$2:$A$201,0))</f>
        <v>9.2</v>
      </c>
      <c r="P1664" s="3" t="n">
        <f aca="false">INDEX(Summary!$L$2:$L$201,MATCH($B1664,Summary!$A$2:$A$201,0))</f>
        <v>4</v>
      </c>
      <c r="Q1664" s="3" t="n">
        <f aca="false">INDEX(Summary!$M$2:$M$201,MATCH($B1664,Summary!$A$2:$A$201,0))</f>
        <v>2</v>
      </c>
      <c r="R1664" s="2" t="n">
        <f aca="false">INDEX(Summary!$N$2:$N$201,MATCH($B1664,Summary!$A$2:$A$201,0))</f>
        <v>10.58</v>
      </c>
      <c r="S1664" s="3" t="n">
        <f aca="false">INDEX(Summary!$O$2:$O$201,MATCH($B1664,Summary!$A$2:$A$201,0))</f>
        <v>7</v>
      </c>
      <c r="T1664" s="3" t="n">
        <f aca="false">INDEX(Summary!$P$2:$P$201,MATCH($B1664,Summary!$A$2:$A$201,0))</f>
        <v>2</v>
      </c>
      <c r="U1664" s="2" t="n">
        <f aca="false">INDEX(Summary!$Q$2:$Q$201,MATCH($B1664,Summary!$A$2:$A$201,0))</f>
        <v>13.71</v>
      </c>
      <c r="V1664" s="2" t="n">
        <f aca="false">INDEX(Summary!$R$2:$R$201,MATCH($B1664,Summary!$A$2:$A$201,0))</f>
        <v>19.12</v>
      </c>
      <c r="W1664" s="0" t="str">
        <f aca="false">INDEX(Summary!$S$2:$S$201,MATCH($B1664,Summary!$A$2:$A$201,0))</f>
        <v>Bronze</v>
      </c>
      <c r="X1664" s="2" t="n">
        <f aca="false">INDEX(Summary!$T$2:$T$201,MATCH($B1664,Summary!$A$2:$A$201,0))</f>
        <v>46.63</v>
      </c>
      <c r="Y1664" s="0" t="str">
        <f aca="false">INDEX('Reward Model'!$E$18:$E$37,MATCH($E1664,'Reward Model'!$A$18:$A$37,0))</f>
        <v>Medium</v>
      </c>
      <c r="Z1664" s="4" t="n">
        <f aca="false">ROUND(MIN(1,MAX('Reward Model'!$B$2,INDEX('Reward Model'!$C$12:$C$14,MATCH($K1664,'Reward Model'!$A$12:$A$14,0))/$J1664)),3)</f>
        <v>0.92</v>
      </c>
      <c r="AA1664" s="2" t="n">
        <f aca="false">IF($I1664="Correct",ROUND(INDEX('Reward Model'!$B$12:$B$14,MATCH($K1664,'Reward Model'!$A$12:$A$14,0))*Z1664,2),0)</f>
        <v>0.92</v>
      </c>
      <c r="AB1664" s="2" t="n">
        <f aca="false">IF($I1664="Correct",ROUND(INDEX('Reward Model'!$B$12:$B$14,MATCH($Y1664,'Reward Model'!$A$12:$A$14,0))*Z1664,2),0)</f>
        <v>1.84</v>
      </c>
    </row>
    <row r="1665" customFormat="false" ht="15" hidden="false" customHeight="false" outlineLevel="0" collapsed="false">
      <c r="A1665" s="0" t="s">
        <v>296</v>
      </c>
      <c r="B1665" s="0" t="s">
        <v>297</v>
      </c>
      <c r="C1665" s="0" t="s">
        <v>30</v>
      </c>
      <c r="D1665" s="0" t="s">
        <v>275</v>
      </c>
      <c r="E1665" s="0" t="n">
        <v>4</v>
      </c>
      <c r="F1665" s="0" t="s">
        <v>43</v>
      </c>
      <c r="G1665" s="0" t="s">
        <v>45</v>
      </c>
      <c r="H1665" s="0" t="s">
        <v>45</v>
      </c>
      <c r="I1665" s="0" t="s">
        <v>34</v>
      </c>
      <c r="J1665" s="0" t="n">
        <v>1.49</v>
      </c>
      <c r="K1665" s="0" t="s">
        <v>35</v>
      </c>
      <c r="L1665" s="0" t="n">
        <f aca="false">INDEX(Summary!$F$2:$F$201,MATCH($B1665,Summary!$A$2:$A$201,0))</f>
        <v>20</v>
      </c>
      <c r="M1665" s="0" t="n">
        <f aca="false">INDEX(Summary!$I$2:$I$201,MATCH($B1665,Summary!$A$2:$A$201,0))</f>
        <v>1</v>
      </c>
      <c r="N1665" s="0" t="n">
        <f aca="false">INDEX(Summary!$J$2:$J$201,MATCH($B1665,Summary!$A$2:$A$201,0))</f>
        <v>4</v>
      </c>
      <c r="O1665" s="2" t="n">
        <f aca="false">INDEX(Summary!$K$2:$K$201,MATCH($B1665,Summary!$A$2:$A$201,0))</f>
        <v>9.2</v>
      </c>
      <c r="P1665" s="3" t="n">
        <f aca="false">INDEX(Summary!$L$2:$L$201,MATCH($B1665,Summary!$A$2:$A$201,0))</f>
        <v>4</v>
      </c>
      <c r="Q1665" s="3" t="n">
        <f aca="false">INDEX(Summary!$M$2:$M$201,MATCH($B1665,Summary!$A$2:$A$201,0))</f>
        <v>2</v>
      </c>
      <c r="R1665" s="2" t="n">
        <f aca="false">INDEX(Summary!$N$2:$N$201,MATCH($B1665,Summary!$A$2:$A$201,0))</f>
        <v>10.58</v>
      </c>
      <c r="S1665" s="3" t="n">
        <f aca="false">INDEX(Summary!$O$2:$O$201,MATCH($B1665,Summary!$A$2:$A$201,0))</f>
        <v>7</v>
      </c>
      <c r="T1665" s="3" t="n">
        <f aca="false">INDEX(Summary!$P$2:$P$201,MATCH($B1665,Summary!$A$2:$A$201,0))</f>
        <v>2</v>
      </c>
      <c r="U1665" s="2" t="n">
        <f aca="false">INDEX(Summary!$Q$2:$Q$201,MATCH($B1665,Summary!$A$2:$A$201,0))</f>
        <v>13.71</v>
      </c>
      <c r="V1665" s="2" t="n">
        <f aca="false">INDEX(Summary!$R$2:$R$201,MATCH($B1665,Summary!$A$2:$A$201,0))</f>
        <v>19.12</v>
      </c>
      <c r="W1665" s="0" t="str">
        <f aca="false">INDEX(Summary!$S$2:$S$201,MATCH($B1665,Summary!$A$2:$A$201,0))</f>
        <v>Bronze</v>
      </c>
      <c r="X1665" s="2" t="n">
        <f aca="false">INDEX(Summary!$T$2:$T$201,MATCH($B1665,Summary!$A$2:$A$201,0))</f>
        <v>46.63</v>
      </c>
      <c r="Y1665" s="0" t="str">
        <f aca="false">INDEX('Reward Model'!$E$18:$E$37,MATCH($E1665,'Reward Model'!$A$18:$A$37,0))</f>
        <v>Low</v>
      </c>
      <c r="Z1665" s="4" t="n">
        <f aca="false">ROUND(MIN(1,MAX('Reward Model'!$B$2,INDEX('Reward Model'!$C$12:$C$14,MATCH($K1665,'Reward Model'!$A$12:$A$14,0))/$J1665)),3)</f>
        <v>1</v>
      </c>
      <c r="AA1665" s="2" t="n">
        <f aca="false">IF($I1665="Correct",ROUND(INDEX('Reward Model'!$B$12:$B$14,MATCH($K1665,'Reward Model'!$A$12:$A$14,0))*Z1665,2),0)</f>
        <v>1</v>
      </c>
      <c r="AB1665" s="2" t="n">
        <f aca="false">IF($I1665="Correct",ROUND(INDEX('Reward Model'!$B$12:$B$14,MATCH($Y1665,'Reward Model'!$A$12:$A$14,0))*Z1665,2),0)</f>
        <v>1</v>
      </c>
    </row>
    <row r="1666" customFormat="false" ht="15" hidden="false" customHeight="false" outlineLevel="0" collapsed="false">
      <c r="A1666" s="0" t="s">
        <v>296</v>
      </c>
      <c r="B1666" s="0" t="s">
        <v>297</v>
      </c>
      <c r="C1666" s="0" t="s">
        <v>30</v>
      </c>
      <c r="D1666" s="0" t="s">
        <v>275</v>
      </c>
      <c r="E1666" s="0" t="n">
        <v>5</v>
      </c>
      <c r="F1666" s="0" t="s">
        <v>46</v>
      </c>
      <c r="G1666" s="0" t="s">
        <v>47</v>
      </c>
      <c r="H1666" s="0" t="s">
        <v>47</v>
      </c>
      <c r="I1666" s="0" t="s">
        <v>34</v>
      </c>
      <c r="J1666" s="0" t="n">
        <v>1.15</v>
      </c>
      <c r="K1666" s="0" t="s">
        <v>35</v>
      </c>
      <c r="L1666" s="0" t="n">
        <f aca="false">INDEX(Summary!$F$2:$F$201,MATCH($B1666,Summary!$A$2:$A$201,0))</f>
        <v>20</v>
      </c>
      <c r="M1666" s="0" t="n">
        <f aca="false">INDEX(Summary!$I$2:$I$201,MATCH($B1666,Summary!$A$2:$A$201,0))</f>
        <v>1</v>
      </c>
      <c r="N1666" s="0" t="n">
        <f aca="false">INDEX(Summary!$J$2:$J$201,MATCH($B1666,Summary!$A$2:$A$201,0))</f>
        <v>4</v>
      </c>
      <c r="O1666" s="2" t="n">
        <f aca="false">INDEX(Summary!$K$2:$K$201,MATCH($B1666,Summary!$A$2:$A$201,0))</f>
        <v>9.2</v>
      </c>
      <c r="P1666" s="3" t="n">
        <f aca="false">INDEX(Summary!$L$2:$L$201,MATCH($B1666,Summary!$A$2:$A$201,0))</f>
        <v>4</v>
      </c>
      <c r="Q1666" s="3" t="n">
        <f aca="false">INDEX(Summary!$M$2:$M$201,MATCH($B1666,Summary!$A$2:$A$201,0))</f>
        <v>2</v>
      </c>
      <c r="R1666" s="2" t="n">
        <f aca="false">INDEX(Summary!$N$2:$N$201,MATCH($B1666,Summary!$A$2:$A$201,0))</f>
        <v>10.58</v>
      </c>
      <c r="S1666" s="3" t="n">
        <f aca="false">INDEX(Summary!$O$2:$O$201,MATCH($B1666,Summary!$A$2:$A$201,0))</f>
        <v>7</v>
      </c>
      <c r="T1666" s="3" t="n">
        <f aca="false">INDEX(Summary!$P$2:$P$201,MATCH($B1666,Summary!$A$2:$A$201,0))</f>
        <v>2</v>
      </c>
      <c r="U1666" s="2" t="n">
        <f aca="false">INDEX(Summary!$Q$2:$Q$201,MATCH($B1666,Summary!$A$2:$A$201,0))</f>
        <v>13.71</v>
      </c>
      <c r="V1666" s="2" t="n">
        <f aca="false">INDEX(Summary!$R$2:$R$201,MATCH($B1666,Summary!$A$2:$A$201,0))</f>
        <v>19.12</v>
      </c>
      <c r="W1666" s="0" t="str">
        <f aca="false">INDEX(Summary!$S$2:$S$201,MATCH($B1666,Summary!$A$2:$A$201,0))</f>
        <v>Bronze</v>
      </c>
      <c r="X1666" s="2" t="n">
        <f aca="false">INDEX(Summary!$T$2:$T$201,MATCH($B1666,Summary!$A$2:$A$201,0))</f>
        <v>46.63</v>
      </c>
      <c r="Y1666" s="0" t="str">
        <f aca="false">INDEX('Reward Model'!$E$18:$E$37,MATCH($E1666,'Reward Model'!$A$18:$A$37,0))</f>
        <v>Low</v>
      </c>
      <c r="Z1666" s="4" t="n">
        <f aca="false">ROUND(MIN(1,MAX('Reward Model'!$B$2,INDEX('Reward Model'!$C$12:$C$14,MATCH($K1666,'Reward Model'!$A$12:$A$14,0))/$J1666)),3)</f>
        <v>1</v>
      </c>
      <c r="AA1666" s="2" t="n">
        <f aca="false">IF($I1666="Correct",ROUND(INDEX('Reward Model'!$B$12:$B$14,MATCH($K1666,'Reward Model'!$A$12:$A$14,0))*Z1666,2),0)</f>
        <v>1</v>
      </c>
      <c r="AB1666" s="2" t="n">
        <f aca="false">IF($I1666="Correct",ROUND(INDEX('Reward Model'!$B$12:$B$14,MATCH($Y1666,'Reward Model'!$A$12:$A$14,0))*Z1666,2),0)</f>
        <v>1</v>
      </c>
    </row>
    <row r="1667" customFormat="false" ht="15" hidden="false" customHeight="false" outlineLevel="0" collapsed="false">
      <c r="A1667" s="0" t="s">
        <v>296</v>
      </c>
      <c r="B1667" s="0" t="s">
        <v>297</v>
      </c>
      <c r="C1667" s="0" t="s">
        <v>30</v>
      </c>
      <c r="D1667" s="0" t="s">
        <v>275</v>
      </c>
      <c r="E1667" s="0" t="n">
        <v>6</v>
      </c>
      <c r="F1667" s="0" t="s">
        <v>48</v>
      </c>
      <c r="G1667" s="0" t="s">
        <v>169</v>
      </c>
      <c r="H1667" s="0" t="s">
        <v>49</v>
      </c>
      <c r="I1667" s="0" t="s">
        <v>39</v>
      </c>
      <c r="J1667" s="0" t="n">
        <v>1.48</v>
      </c>
      <c r="K1667" s="0" t="s">
        <v>35</v>
      </c>
      <c r="L1667" s="0" t="n">
        <f aca="false">INDEX(Summary!$F$2:$F$201,MATCH($B1667,Summary!$A$2:$A$201,0))</f>
        <v>20</v>
      </c>
      <c r="M1667" s="0" t="n">
        <f aca="false">INDEX(Summary!$I$2:$I$201,MATCH($B1667,Summary!$A$2:$A$201,0))</f>
        <v>1</v>
      </c>
      <c r="N1667" s="0" t="n">
        <f aca="false">INDEX(Summary!$J$2:$J$201,MATCH($B1667,Summary!$A$2:$A$201,0))</f>
        <v>4</v>
      </c>
      <c r="O1667" s="2" t="n">
        <f aca="false">INDEX(Summary!$K$2:$K$201,MATCH($B1667,Summary!$A$2:$A$201,0))</f>
        <v>9.2</v>
      </c>
      <c r="P1667" s="3" t="n">
        <f aca="false">INDEX(Summary!$L$2:$L$201,MATCH($B1667,Summary!$A$2:$A$201,0))</f>
        <v>4</v>
      </c>
      <c r="Q1667" s="3" t="n">
        <f aca="false">INDEX(Summary!$M$2:$M$201,MATCH($B1667,Summary!$A$2:$A$201,0))</f>
        <v>2</v>
      </c>
      <c r="R1667" s="2" t="n">
        <f aca="false">INDEX(Summary!$N$2:$N$201,MATCH($B1667,Summary!$A$2:$A$201,0))</f>
        <v>10.58</v>
      </c>
      <c r="S1667" s="3" t="n">
        <f aca="false">INDEX(Summary!$O$2:$O$201,MATCH($B1667,Summary!$A$2:$A$201,0))</f>
        <v>7</v>
      </c>
      <c r="T1667" s="3" t="n">
        <f aca="false">INDEX(Summary!$P$2:$P$201,MATCH($B1667,Summary!$A$2:$A$201,0))</f>
        <v>2</v>
      </c>
      <c r="U1667" s="2" t="n">
        <f aca="false">INDEX(Summary!$Q$2:$Q$201,MATCH($B1667,Summary!$A$2:$A$201,0))</f>
        <v>13.71</v>
      </c>
      <c r="V1667" s="2" t="n">
        <f aca="false">INDEX(Summary!$R$2:$R$201,MATCH($B1667,Summary!$A$2:$A$201,0))</f>
        <v>19.12</v>
      </c>
      <c r="W1667" s="0" t="str">
        <f aca="false">INDEX(Summary!$S$2:$S$201,MATCH($B1667,Summary!$A$2:$A$201,0))</f>
        <v>Bronze</v>
      </c>
      <c r="X1667" s="2" t="n">
        <f aca="false">INDEX(Summary!$T$2:$T$201,MATCH($B1667,Summary!$A$2:$A$201,0))</f>
        <v>46.63</v>
      </c>
      <c r="Y1667" s="0" t="str">
        <f aca="false">INDEX('Reward Model'!$E$18:$E$37,MATCH($E1667,'Reward Model'!$A$18:$A$37,0))</f>
        <v>Medium</v>
      </c>
      <c r="Z1667" s="4" t="n">
        <f aca="false">ROUND(MIN(1,MAX('Reward Model'!$B$2,INDEX('Reward Model'!$C$12:$C$14,MATCH($K1667,'Reward Model'!$A$12:$A$14,0))/$J1667)),3)</f>
        <v>1</v>
      </c>
      <c r="AA1667" s="2" t="n">
        <f aca="false">IF($I1667="Correct",ROUND(INDEX('Reward Model'!$B$12:$B$14,MATCH($K1667,'Reward Model'!$A$12:$A$14,0))*Z1667,2),0)</f>
        <v>0</v>
      </c>
      <c r="AB1667" s="2" t="n">
        <f aca="false">IF($I1667="Correct",ROUND(INDEX('Reward Model'!$B$12:$B$14,MATCH($Y1667,'Reward Model'!$A$12:$A$14,0))*Z1667,2),0)</f>
        <v>0</v>
      </c>
    </row>
    <row r="1668" customFormat="false" ht="15" hidden="false" customHeight="false" outlineLevel="0" collapsed="false">
      <c r="A1668" s="0" t="s">
        <v>296</v>
      </c>
      <c r="B1668" s="0" t="s">
        <v>297</v>
      </c>
      <c r="C1668" s="0" t="s">
        <v>30</v>
      </c>
      <c r="D1668" s="0" t="s">
        <v>275</v>
      </c>
      <c r="E1668" s="0" t="n">
        <v>7</v>
      </c>
      <c r="F1668" s="0" t="s">
        <v>50</v>
      </c>
      <c r="G1668" s="0" t="s">
        <v>51</v>
      </c>
      <c r="H1668" s="0" t="s">
        <v>51</v>
      </c>
      <c r="I1668" s="0" t="s">
        <v>34</v>
      </c>
      <c r="J1668" s="0" t="n">
        <v>1.42</v>
      </c>
      <c r="K1668" s="0" t="s">
        <v>35</v>
      </c>
      <c r="L1668" s="0" t="n">
        <f aca="false">INDEX(Summary!$F$2:$F$201,MATCH($B1668,Summary!$A$2:$A$201,0))</f>
        <v>20</v>
      </c>
      <c r="M1668" s="0" t="n">
        <f aca="false">INDEX(Summary!$I$2:$I$201,MATCH($B1668,Summary!$A$2:$A$201,0))</f>
        <v>1</v>
      </c>
      <c r="N1668" s="0" t="n">
        <f aca="false">INDEX(Summary!$J$2:$J$201,MATCH($B1668,Summary!$A$2:$A$201,0))</f>
        <v>4</v>
      </c>
      <c r="O1668" s="2" t="n">
        <f aca="false">INDEX(Summary!$K$2:$K$201,MATCH($B1668,Summary!$A$2:$A$201,0))</f>
        <v>9.2</v>
      </c>
      <c r="P1668" s="3" t="n">
        <f aca="false">INDEX(Summary!$L$2:$L$201,MATCH($B1668,Summary!$A$2:$A$201,0))</f>
        <v>4</v>
      </c>
      <c r="Q1668" s="3" t="n">
        <f aca="false">INDEX(Summary!$M$2:$M$201,MATCH($B1668,Summary!$A$2:$A$201,0))</f>
        <v>2</v>
      </c>
      <c r="R1668" s="2" t="n">
        <f aca="false">INDEX(Summary!$N$2:$N$201,MATCH($B1668,Summary!$A$2:$A$201,0))</f>
        <v>10.58</v>
      </c>
      <c r="S1668" s="3" t="n">
        <f aca="false">INDEX(Summary!$O$2:$O$201,MATCH($B1668,Summary!$A$2:$A$201,0))</f>
        <v>7</v>
      </c>
      <c r="T1668" s="3" t="n">
        <f aca="false">INDEX(Summary!$P$2:$P$201,MATCH($B1668,Summary!$A$2:$A$201,0))</f>
        <v>2</v>
      </c>
      <c r="U1668" s="2" t="n">
        <f aca="false">INDEX(Summary!$Q$2:$Q$201,MATCH($B1668,Summary!$A$2:$A$201,0))</f>
        <v>13.71</v>
      </c>
      <c r="V1668" s="2" t="n">
        <f aca="false">INDEX(Summary!$R$2:$R$201,MATCH($B1668,Summary!$A$2:$A$201,0))</f>
        <v>19.12</v>
      </c>
      <c r="W1668" s="0" t="str">
        <f aca="false">INDEX(Summary!$S$2:$S$201,MATCH($B1668,Summary!$A$2:$A$201,0))</f>
        <v>Bronze</v>
      </c>
      <c r="X1668" s="2" t="n">
        <f aca="false">INDEX(Summary!$T$2:$T$201,MATCH($B1668,Summary!$A$2:$A$201,0))</f>
        <v>46.63</v>
      </c>
      <c r="Y1668" s="0" t="str">
        <f aca="false">INDEX('Reward Model'!$E$18:$E$37,MATCH($E1668,'Reward Model'!$A$18:$A$37,0))</f>
        <v>Low</v>
      </c>
      <c r="Z1668" s="4" t="n">
        <f aca="false">ROUND(MIN(1,MAX('Reward Model'!$B$2,INDEX('Reward Model'!$C$12:$C$14,MATCH($K1668,'Reward Model'!$A$12:$A$14,0))/$J1668)),3)</f>
        <v>1</v>
      </c>
      <c r="AA1668" s="2" t="n">
        <f aca="false">IF($I1668="Correct",ROUND(INDEX('Reward Model'!$B$12:$B$14,MATCH($K1668,'Reward Model'!$A$12:$A$14,0))*Z1668,2),0)</f>
        <v>1</v>
      </c>
      <c r="AB1668" s="2" t="n">
        <f aca="false">IF($I1668="Correct",ROUND(INDEX('Reward Model'!$B$12:$B$14,MATCH($Y1668,'Reward Model'!$A$12:$A$14,0))*Z1668,2),0)</f>
        <v>1</v>
      </c>
    </row>
    <row r="1669" customFormat="false" ht="15" hidden="false" customHeight="false" outlineLevel="0" collapsed="false">
      <c r="A1669" s="0" t="s">
        <v>296</v>
      </c>
      <c r="B1669" s="0" t="s">
        <v>297</v>
      </c>
      <c r="C1669" s="0" t="s">
        <v>30</v>
      </c>
      <c r="D1669" s="0" t="s">
        <v>275</v>
      </c>
      <c r="E1669" s="0" t="n">
        <v>8</v>
      </c>
      <c r="F1669" s="0" t="s">
        <v>52</v>
      </c>
      <c r="G1669" s="0" t="s">
        <v>54</v>
      </c>
      <c r="H1669" s="0" t="s">
        <v>54</v>
      </c>
      <c r="I1669" s="0" t="s">
        <v>34</v>
      </c>
      <c r="J1669" s="0" t="n">
        <v>1.79</v>
      </c>
      <c r="K1669" s="0" t="s">
        <v>35</v>
      </c>
      <c r="L1669" s="0" t="n">
        <f aca="false">INDEX(Summary!$F$2:$F$201,MATCH($B1669,Summary!$A$2:$A$201,0))</f>
        <v>20</v>
      </c>
      <c r="M1669" s="0" t="n">
        <f aca="false">INDEX(Summary!$I$2:$I$201,MATCH($B1669,Summary!$A$2:$A$201,0))</f>
        <v>1</v>
      </c>
      <c r="N1669" s="0" t="n">
        <f aca="false">INDEX(Summary!$J$2:$J$201,MATCH($B1669,Summary!$A$2:$A$201,0))</f>
        <v>4</v>
      </c>
      <c r="O1669" s="2" t="n">
        <f aca="false">INDEX(Summary!$K$2:$K$201,MATCH($B1669,Summary!$A$2:$A$201,0))</f>
        <v>9.2</v>
      </c>
      <c r="P1669" s="3" t="n">
        <f aca="false">INDEX(Summary!$L$2:$L$201,MATCH($B1669,Summary!$A$2:$A$201,0))</f>
        <v>4</v>
      </c>
      <c r="Q1669" s="3" t="n">
        <f aca="false">INDEX(Summary!$M$2:$M$201,MATCH($B1669,Summary!$A$2:$A$201,0))</f>
        <v>2</v>
      </c>
      <c r="R1669" s="2" t="n">
        <f aca="false">INDEX(Summary!$N$2:$N$201,MATCH($B1669,Summary!$A$2:$A$201,0))</f>
        <v>10.58</v>
      </c>
      <c r="S1669" s="3" t="n">
        <f aca="false">INDEX(Summary!$O$2:$O$201,MATCH($B1669,Summary!$A$2:$A$201,0))</f>
        <v>7</v>
      </c>
      <c r="T1669" s="3" t="n">
        <f aca="false">INDEX(Summary!$P$2:$P$201,MATCH($B1669,Summary!$A$2:$A$201,0))</f>
        <v>2</v>
      </c>
      <c r="U1669" s="2" t="n">
        <f aca="false">INDEX(Summary!$Q$2:$Q$201,MATCH($B1669,Summary!$A$2:$A$201,0))</f>
        <v>13.71</v>
      </c>
      <c r="V1669" s="2" t="n">
        <f aca="false">INDEX(Summary!$R$2:$R$201,MATCH($B1669,Summary!$A$2:$A$201,0))</f>
        <v>19.12</v>
      </c>
      <c r="W1669" s="0" t="str">
        <f aca="false">INDEX(Summary!$S$2:$S$201,MATCH($B1669,Summary!$A$2:$A$201,0))</f>
        <v>Bronze</v>
      </c>
      <c r="X1669" s="2" t="n">
        <f aca="false">INDEX(Summary!$T$2:$T$201,MATCH($B1669,Summary!$A$2:$A$201,0))</f>
        <v>46.63</v>
      </c>
      <c r="Y1669" s="0" t="str">
        <f aca="false">INDEX('Reward Model'!$E$18:$E$37,MATCH($E1669,'Reward Model'!$A$18:$A$37,0))</f>
        <v>Medium</v>
      </c>
      <c r="Z1669" s="4" t="n">
        <f aca="false">ROUND(MIN(1,MAX('Reward Model'!$B$2,INDEX('Reward Model'!$C$12:$C$14,MATCH($K1669,'Reward Model'!$A$12:$A$14,0))/$J1669)),3)</f>
        <v>0.838</v>
      </c>
      <c r="AA1669" s="2" t="n">
        <f aca="false">IF($I1669="Correct",ROUND(INDEX('Reward Model'!$B$12:$B$14,MATCH($K1669,'Reward Model'!$A$12:$A$14,0))*Z1669,2),0)</f>
        <v>0.84</v>
      </c>
      <c r="AB1669" s="2" t="n">
        <f aca="false">IF($I1669="Correct",ROUND(INDEX('Reward Model'!$B$12:$B$14,MATCH($Y1669,'Reward Model'!$A$12:$A$14,0))*Z1669,2),0)</f>
        <v>1.68</v>
      </c>
    </row>
    <row r="1670" customFormat="false" ht="15" hidden="false" customHeight="false" outlineLevel="0" collapsed="false">
      <c r="A1670" s="0" t="s">
        <v>296</v>
      </c>
      <c r="B1670" s="0" t="s">
        <v>297</v>
      </c>
      <c r="C1670" s="0" t="s">
        <v>30</v>
      </c>
      <c r="D1670" s="0" t="s">
        <v>275</v>
      </c>
      <c r="E1670" s="0" t="n">
        <v>9</v>
      </c>
      <c r="F1670" s="0" t="s">
        <v>55</v>
      </c>
      <c r="G1670" s="0" t="s">
        <v>57</v>
      </c>
      <c r="H1670" s="0" t="s">
        <v>57</v>
      </c>
      <c r="I1670" s="0" t="s">
        <v>34</v>
      </c>
      <c r="J1670" s="0" t="n">
        <v>1.91</v>
      </c>
      <c r="K1670" s="0" t="s">
        <v>35</v>
      </c>
      <c r="L1670" s="0" t="n">
        <f aca="false">INDEX(Summary!$F$2:$F$201,MATCH($B1670,Summary!$A$2:$A$201,0))</f>
        <v>20</v>
      </c>
      <c r="M1670" s="0" t="n">
        <f aca="false">INDEX(Summary!$I$2:$I$201,MATCH($B1670,Summary!$A$2:$A$201,0))</f>
        <v>1</v>
      </c>
      <c r="N1670" s="0" t="n">
        <f aca="false">INDEX(Summary!$J$2:$J$201,MATCH($B1670,Summary!$A$2:$A$201,0))</f>
        <v>4</v>
      </c>
      <c r="O1670" s="2" t="n">
        <f aca="false">INDEX(Summary!$K$2:$K$201,MATCH($B1670,Summary!$A$2:$A$201,0))</f>
        <v>9.2</v>
      </c>
      <c r="P1670" s="3" t="n">
        <f aca="false">INDEX(Summary!$L$2:$L$201,MATCH($B1670,Summary!$A$2:$A$201,0))</f>
        <v>4</v>
      </c>
      <c r="Q1670" s="3" t="n">
        <f aca="false">INDEX(Summary!$M$2:$M$201,MATCH($B1670,Summary!$A$2:$A$201,0))</f>
        <v>2</v>
      </c>
      <c r="R1670" s="2" t="n">
        <f aca="false">INDEX(Summary!$N$2:$N$201,MATCH($B1670,Summary!$A$2:$A$201,0))</f>
        <v>10.58</v>
      </c>
      <c r="S1670" s="3" t="n">
        <f aca="false">INDEX(Summary!$O$2:$O$201,MATCH($B1670,Summary!$A$2:$A$201,0))</f>
        <v>7</v>
      </c>
      <c r="T1670" s="3" t="n">
        <f aca="false">INDEX(Summary!$P$2:$P$201,MATCH($B1670,Summary!$A$2:$A$201,0))</f>
        <v>2</v>
      </c>
      <c r="U1670" s="2" t="n">
        <f aca="false">INDEX(Summary!$Q$2:$Q$201,MATCH($B1670,Summary!$A$2:$A$201,0))</f>
        <v>13.71</v>
      </c>
      <c r="V1670" s="2" t="n">
        <f aca="false">INDEX(Summary!$R$2:$R$201,MATCH($B1670,Summary!$A$2:$A$201,0))</f>
        <v>19.12</v>
      </c>
      <c r="W1670" s="0" t="str">
        <f aca="false">INDEX(Summary!$S$2:$S$201,MATCH($B1670,Summary!$A$2:$A$201,0))</f>
        <v>Bronze</v>
      </c>
      <c r="X1670" s="2" t="n">
        <f aca="false">INDEX(Summary!$T$2:$T$201,MATCH($B1670,Summary!$A$2:$A$201,0))</f>
        <v>46.63</v>
      </c>
      <c r="Y1670" s="0" t="str">
        <f aca="false">INDEX('Reward Model'!$E$18:$E$37,MATCH($E1670,'Reward Model'!$A$18:$A$37,0))</f>
        <v>Medium</v>
      </c>
      <c r="Z1670" s="4" t="n">
        <f aca="false">ROUND(MIN(1,MAX('Reward Model'!$B$2,INDEX('Reward Model'!$C$12:$C$14,MATCH($K1670,'Reward Model'!$A$12:$A$14,0))/$J1670)),3)</f>
        <v>0.785</v>
      </c>
      <c r="AA1670" s="2" t="n">
        <f aca="false">IF($I1670="Correct",ROUND(INDEX('Reward Model'!$B$12:$B$14,MATCH($K1670,'Reward Model'!$A$12:$A$14,0))*Z1670,2),0)</f>
        <v>0.79</v>
      </c>
      <c r="AB1670" s="2" t="n">
        <f aca="false">IF($I1670="Correct",ROUND(INDEX('Reward Model'!$B$12:$B$14,MATCH($Y1670,'Reward Model'!$A$12:$A$14,0))*Z1670,2),0)</f>
        <v>1.57</v>
      </c>
    </row>
    <row r="1671" customFormat="false" ht="15" hidden="false" customHeight="false" outlineLevel="0" collapsed="false">
      <c r="A1671" s="0" t="s">
        <v>296</v>
      </c>
      <c r="B1671" s="0" t="s">
        <v>297</v>
      </c>
      <c r="C1671" s="0" t="s">
        <v>30</v>
      </c>
      <c r="D1671" s="0" t="s">
        <v>275</v>
      </c>
      <c r="E1671" s="0" t="n">
        <v>10</v>
      </c>
      <c r="F1671" s="0" t="s">
        <v>58</v>
      </c>
      <c r="G1671" s="0" t="s">
        <v>99</v>
      </c>
      <c r="H1671" s="0" t="s">
        <v>59</v>
      </c>
      <c r="I1671" s="0" t="s">
        <v>39</v>
      </c>
      <c r="J1671" s="0" t="n">
        <v>1.65</v>
      </c>
      <c r="K1671" s="0" t="s">
        <v>60</v>
      </c>
      <c r="L1671" s="0" t="n">
        <f aca="false">INDEX(Summary!$F$2:$F$201,MATCH($B1671,Summary!$A$2:$A$201,0))</f>
        <v>20</v>
      </c>
      <c r="M1671" s="0" t="n">
        <f aca="false">INDEX(Summary!$I$2:$I$201,MATCH($B1671,Summary!$A$2:$A$201,0))</f>
        <v>1</v>
      </c>
      <c r="N1671" s="0" t="n">
        <f aca="false">INDEX(Summary!$J$2:$J$201,MATCH($B1671,Summary!$A$2:$A$201,0))</f>
        <v>4</v>
      </c>
      <c r="O1671" s="2" t="n">
        <f aca="false">INDEX(Summary!$K$2:$K$201,MATCH($B1671,Summary!$A$2:$A$201,0))</f>
        <v>9.2</v>
      </c>
      <c r="P1671" s="3" t="n">
        <f aca="false">INDEX(Summary!$L$2:$L$201,MATCH($B1671,Summary!$A$2:$A$201,0))</f>
        <v>4</v>
      </c>
      <c r="Q1671" s="3" t="n">
        <f aca="false">INDEX(Summary!$M$2:$M$201,MATCH($B1671,Summary!$A$2:$A$201,0))</f>
        <v>2</v>
      </c>
      <c r="R1671" s="2" t="n">
        <f aca="false">INDEX(Summary!$N$2:$N$201,MATCH($B1671,Summary!$A$2:$A$201,0))</f>
        <v>10.58</v>
      </c>
      <c r="S1671" s="3" t="n">
        <f aca="false">INDEX(Summary!$O$2:$O$201,MATCH($B1671,Summary!$A$2:$A$201,0))</f>
        <v>7</v>
      </c>
      <c r="T1671" s="3" t="n">
        <f aca="false">INDEX(Summary!$P$2:$P$201,MATCH($B1671,Summary!$A$2:$A$201,0))</f>
        <v>2</v>
      </c>
      <c r="U1671" s="2" t="n">
        <f aca="false">INDEX(Summary!$Q$2:$Q$201,MATCH($B1671,Summary!$A$2:$A$201,0))</f>
        <v>13.71</v>
      </c>
      <c r="V1671" s="2" t="n">
        <f aca="false">INDEX(Summary!$R$2:$R$201,MATCH($B1671,Summary!$A$2:$A$201,0))</f>
        <v>19.12</v>
      </c>
      <c r="W1671" s="0" t="str">
        <f aca="false">INDEX(Summary!$S$2:$S$201,MATCH($B1671,Summary!$A$2:$A$201,0))</f>
        <v>Bronze</v>
      </c>
      <c r="X1671" s="2" t="n">
        <f aca="false">INDEX(Summary!$T$2:$T$201,MATCH($B1671,Summary!$A$2:$A$201,0))</f>
        <v>46.63</v>
      </c>
      <c r="Y1671" s="0" t="str">
        <f aca="false">INDEX('Reward Model'!$E$18:$E$37,MATCH($E1671,'Reward Model'!$A$18:$A$37,0))</f>
        <v>Medium</v>
      </c>
      <c r="Z1671" s="4" t="n">
        <f aca="false">ROUND(MIN(1,MAX('Reward Model'!$B$2,INDEX('Reward Model'!$C$12:$C$14,MATCH($K1671,'Reward Model'!$A$12:$A$14,0))/$J1671)),3)</f>
        <v>1</v>
      </c>
      <c r="AA1671" s="2" t="n">
        <f aca="false">IF($I1671="Correct",ROUND(INDEX('Reward Model'!$B$12:$B$14,MATCH($K1671,'Reward Model'!$A$12:$A$14,0))*Z1671,2),0)</f>
        <v>0</v>
      </c>
      <c r="AB1671" s="2" t="n">
        <f aca="false">IF($I1671="Correct",ROUND(INDEX('Reward Model'!$B$12:$B$14,MATCH($Y1671,'Reward Model'!$A$12:$A$14,0))*Z1671,2),0)</f>
        <v>0</v>
      </c>
    </row>
    <row r="1672" customFormat="false" ht="15" hidden="false" customHeight="false" outlineLevel="0" collapsed="false">
      <c r="A1672" s="0" t="s">
        <v>296</v>
      </c>
      <c r="B1672" s="0" t="s">
        <v>297</v>
      </c>
      <c r="C1672" s="0" t="s">
        <v>30</v>
      </c>
      <c r="D1672" s="0" t="s">
        <v>275</v>
      </c>
      <c r="E1672" s="0" t="n">
        <v>11</v>
      </c>
      <c r="F1672" s="0" t="s">
        <v>61</v>
      </c>
      <c r="G1672" s="0" t="s">
        <v>62</v>
      </c>
      <c r="H1672" s="0" t="s">
        <v>63</v>
      </c>
      <c r="I1672" s="0" t="s">
        <v>39</v>
      </c>
      <c r="J1672" s="0" t="n">
        <v>1.95</v>
      </c>
      <c r="K1672" s="0" t="s">
        <v>60</v>
      </c>
      <c r="L1672" s="0" t="n">
        <f aca="false">INDEX(Summary!$F$2:$F$201,MATCH($B1672,Summary!$A$2:$A$201,0))</f>
        <v>20</v>
      </c>
      <c r="M1672" s="0" t="n">
        <f aca="false">INDEX(Summary!$I$2:$I$201,MATCH($B1672,Summary!$A$2:$A$201,0))</f>
        <v>1</v>
      </c>
      <c r="N1672" s="0" t="n">
        <f aca="false">INDEX(Summary!$J$2:$J$201,MATCH($B1672,Summary!$A$2:$A$201,0))</f>
        <v>4</v>
      </c>
      <c r="O1672" s="2" t="n">
        <f aca="false">INDEX(Summary!$K$2:$K$201,MATCH($B1672,Summary!$A$2:$A$201,0))</f>
        <v>9.2</v>
      </c>
      <c r="P1672" s="3" t="n">
        <f aca="false">INDEX(Summary!$L$2:$L$201,MATCH($B1672,Summary!$A$2:$A$201,0))</f>
        <v>4</v>
      </c>
      <c r="Q1672" s="3" t="n">
        <f aca="false">INDEX(Summary!$M$2:$M$201,MATCH($B1672,Summary!$A$2:$A$201,0))</f>
        <v>2</v>
      </c>
      <c r="R1672" s="2" t="n">
        <f aca="false">INDEX(Summary!$N$2:$N$201,MATCH($B1672,Summary!$A$2:$A$201,0))</f>
        <v>10.58</v>
      </c>
      <c r="S1672" s="3" t="n">
        <f aca="false">INDEX(Summary!$O$2:$O$201,MATCH($B1672,Summary!$A$2:$A$201,0))</f>
        <v>7</v>
      </c>
      <c r="T1672" s="3" t="n">
        <f aca="false">INDEX(Summary!$P$2:$P$201,MATCH($B1672,Summary!$A$2:$A$201,0))</f>
        <v>2</v>
      </c>
      <c r="U1672" s="2" t="n">
        <f aca="false">INDEX(Summary!$Q$2:$Q$201,MATCH($B1672,Summary!$A$2:$A$201,0))</f>
        <v>13.71</v>
      </c>
      <c r="V1672" s="2" t="n">
        <f aca="false">INDEX(Summary!$R$2:$R$201,MATCH($B1672,Summary!$A$2:$A$201,0))</f>
        <v>19.12</v>
      </c>
      <c r="W1672" s="0" t="str">
        <f aca="false">INDEX(Summary!$S$2:$S$201,MATCH($B1672,Summary!$A$2:$A$201,0))</f>
        <v>Bronze</v>
      </c>
      <c r="X1672" s="2" t="n">
        <f aca="false">INDEX(Summary!$T$2:$T$201,MATCH($B1672,Summary!$A$2:$A$201,0))</f>
        <v>46.63</v>
      </c>
      <c r="Y1672" s="0" t="str">
        <f aca="false">INDEX('Reward Model'!$E$18:$E$37,MATCH($E1672,'Reward Model'!$A$18:$A$37,0))</f>
        <v>Medium</v>
      </c>
      <c r="Z1672" s="4" t="n">
        <f aca="false">ROUND(MIN(1,MAX('Reward Model'!$B$2,INDEX('Reward Model'!$C$12:$C$14,MATCH($K1672,'Reward Model'!$A$12:$A$14,0))/$J1672)),3)</f>
        <v>0.923</v>
      </c>
      <c r="AA1672" s="2" t="n">
        <f aca="false">IF($I1672="Correct",ROUND(INDEX('Reward Model'!$B$12:$B$14,MATCH($K1672,'Reward Model'!$A$12:$A$14,0))*Z1672,2),0)</f>
        <v>0</v>
      </c>
      <c r="AB1672" s="2" t="n">
        <f aca="false">IF($I1672="Correct",ROUND(INDEX('Reward Model'!$B$12:$B$14,MATCH($Y1672,'Reward Model'!$A$12:$A$14,0))*Z1672,2),0)</f>
        <v>0</v>
      </c>
    </row>
    <row r="1673" customFormat="false" ht="15" hidden="false" customHeight="false" outlineLevel="0" collapsed="false">
      <c r="A1673" s="0" t="s">
        <v>296</v>
      </c>
      <c r="B1673" s="0" t="s">
        <v>297</v>
      </c>
      <c r="C1673" s="0" t="s">
        <v>30</v>
      </c>
      <c r="D1673" s="0" t="s">
        <v>275</v>
      </c>
      <c r="E1673" s="0" t="n">
        <v>12</v>
      </c>
      <c r="F1673" s="0" t="s">
        <v>64</v>
      </c>
      <c r="G1673" s="0" t="s">
        <v>65</v>
      </c>
      <c r="H1673" s="0" t="s">
        <v>65</v>
      </c>
      <c r="I1673" s="0" t="s">
        <v>34</v>
      </c>
      <c r="J1673" s="0" t="n">
        <v>1.33</v>
      </c>
      <c r="K1673" s="0" t="s">
        <v>60</v>
      </c>
      <c r="L1673" s="0" t="n">
        <f aca="false">INDEX(Summary!$F$2:$F$201,MATCH($B1673,Summary!$A$2:$A$201,0))</f>
        <v>20</v>
      </c>
      <c r="M1673" s="0" t="n">
        <f aca="false">INDEX(Summary!$I$2:$I$201,MATCH($B1673,Summary!$A$2:$A$201,0))</f>
        <v>1</v>
      </c>
      <c r="N1673" s="0" t="n">
        <f aca="false">INDEX(Summary!$J$2:$J$201,MATCH($B1673,Summary!$A$2:$A$201,0))</f>
        <v>4</v>
      </c>
      <c r="O1673" s="2" t="n">
        <f aca="false">INDEX(Summary!$K$2:$K$201,MATCH($B1673,Summary!$A$2:$A$201,0))</f>
        <v>9.2</v>
      </c>
      <c r="P1673" s="3" t="n">
        <f aca="false">INDEX(Summary!$L$2:$L$201,MATCH($B1673,Summary!$A$2:$A$201,0))</f>
        <v>4</v>
      </c>
      <c r="Q1673" s="3" t="n">
        <f aca="false">INDEX(Summary!$M$2:$M$201,MATCH($B1673,Summary!$A$2:$A$201,0))</f>
        <v>2</v>
      </c>
      <c r="R1673" s="2" t="n">
        <f aca="false">INDEX(Summary!$N$2:$N$201,MATCH($B1673,Summary!$A$2:$A$201,0))</f>
        <v>10.58</v>
      </c>
      <c r="S1673" s="3" t="n">
        <f aca="false">INDEX(Summary!$O$2:$O$201,MATCH($B1673,Summary!$A$2:$A$201,0))</f>
        <v>7</v>
      </c>
      <c r="T1673" s="3" t="n">
        <f aca="false">INDEX(Summary!$P$2:$P$201,MATCH($B1673,Summary!$A$2:$A$201,0))</f>
        <v>2</v>
      </c>
      <c r="U1673" s="2" t="n">
        <f aca="false">INDEX(Summary!$Q$2:$Q$201,MATCH($B1673,Summary!$A$2:$A$201,0))</f>
        <v>13.71</v>
      </c>
      <c r="V1673" s="2" t="n">
        <f aca="false">INDEX(Summary!$R$2:$R$201,MATCH($B1673,Summary!$A$2:$A$201,0))</f>
        <v>19.12</v>
      </c>
      <c r="W1673" s="0" t="str">
        <f aca="false">INDEX(Summary!$S$2:$S$201,MATCH($B1673,Summary!$A$2:$A$201,0))</f>
        <v>Bronze</v>
      </c>
      <c r="X1673" s="2" t="n">
        <f aca="false">INDEX(Summary!$T$2:$T$201,MATCH($B1673,Summary!$A$2:$A$201,0))</f>
        <v>46.63</v>
      </c>
      <c r="Y1673" s="0" t="str">
        <f aca="false">INDEX('Reward Model'!$E$18:$E$37,MATCH($E1673,'Reward Model'!$A$18:$A$37,0))</f>
        <v>Medium</v>
      </c>
      <c r="Z1673" s="4" t="n">
        <f aca="false">ROUND(MIN(1,MAX('Reward Model'!$B$2,INDEX('Reward Model'!$C$12:$C$14,MATCH($K1673,'Reward Model'!$A$12:$A$14,0))/$J1673)),3)</f>
        <v>1</v>
      </c>
      <c r="AA1673" s="2" t="n">
        <f aca="false">IF($I1673="Correct",ROUND(INDEX('Reward Model'!$B$12:$B$14,MATCH($K1673,'Reward Model'!$A$12:$A$14,0))*Z1673,2),0)</f>
        <v>2</v>
      </c>
      <c r="AB1673" s="2" t="n">
        <f aca="false">IF($I1673="Correct",ROUND(INDEX('Reward Model'!$B$12:$B$14,MATCH($Y1673,'Reward Model'!$A$12:$A$14,0))*Z1673,2),0)</f>
        <v>2</v>
      </c>
    </row>
    <row r="1674" customFormat="false" ht="15" hidden="false" customHeight="false" outlineLevel="0" collapsed="false">
      <c r="A1674" s="0" t="s">
        <v>296</v>
      </c>
      <c r="B1674" s="0" t="s">
        <v>297</v>
      </c>
      <c r="C1674" s="0" t="s">
        <v>30</v>
      </c>
      <c r="D1674" s="0" t="s">
        <v>275</v>
      </c>
      <c r="E1674" s="0" t="n">
        <v>13</v>
      </c>
      <c r="F1674" s="0" t="s">
        <v>66</v>
      </c>
      <c r="G1674" s="0" t="s">
        <v>67</v>
      </c>
      <c r="H1674" s="0" t="s">
        <v>67</v>
      </c>
      <c r="I1674" s="0" t="s">
        <v>34</v>
      </c>
      <c r="J1674" s="0" t="n">
        <v>1.95</v>
      </c>
      <c r="K1674" s="0" t="s">
        <v>60</v>
      </c>
      <c r="L1674" s="0" t="n">
        <f aca="false">INDEX(Summary!$F$2:$F$201,MATCH($B1674,Summary!$A$2:$A$201,0))</f>
        <v>20</v>
      </c>
      <c r="M1674" s="0" t="n">
        <f aca="false">INDEX(Summary!$I$2:$I$201,MATCH($B1674,Summary!$A$2:$A$201,0))</f>
        <v>1</v>
      </c>
      <c r="N1674" s="0" t="n">
        <f aca="false">INDEX(Summary!$J$2:$J$201,MATCH($B1674,Summary!$A$2:$A$201,0))</f>
        <v>4</v>
      </c>
      <c r="O1674" s="2" t="n">
        <f aca="false">INDEX(Summary!$K$2:$K$201,MATCH($B1674,Summary!$A$2:$A$201,0))</f>
        <v>9.2</v>
      </c>
      <c r="P1674" s="3" t="n">
        <f aca="false">INDEX(Summary!$L$2:$L$201,MATCH($B1674,Summary!$A$2:$A$201,0))</f>
        <v>4</v>
      </c>
      <c r="Q1674" s="3" t="n">
        <f aca="false">INDEX(Summary!$M$2:$M$201,MATCH($B1674,Summary!$A$2:$A$201,0))</f>
        <v>2</v>
      </c>
      <c r="R1674" s="2" t="n">
        <f aca="false">INDEX(Summary!$N$2:$N$201,MATCH($B1674,Summary!$A$2:$A$201,0))</f>
        <v>10.58</v>
      </c>
      <c r="S1674" s="3" t="n">
        <f aca="false">INDEX(Summary!$O$2:$O$201,MATCH($B1674,Summary!$A$2:$A$201,0))</f>
        <v>7</v>
      </c>
      <c r="T1674" s="3" t="n">
        <f aca="false">INDEX(Summary!$P$2:$P$201,MATCH($B1674,Summary!$A$2:$A$201,0))</f>
        <v>2</v>
      </c>
      <c r="U1674" s="2" t="n">
        <f aca="false">INDEX(Summary!$Q$2:$Q$201,MATCH($B1674,Summary!$A$2:$A$201,0))</f>
        <v>13.71</v>
      </c>
      <c r="V1674" s="2" t="n">
        <f aca="false">INDEX(Summary!$R$2:$R$201,MATCH($B1674,Summary!$A$2:$A$201,0))</f>
        <v>19.12</v>
      </c>
      <c r="W1674" s="0" t="str">
        <f aca="false">INDEX(Summary!$S$2:$S$201,MATCH($B1674,Summary!$A$2:$A$201,0))</f>
        <v>Bronze</v>
      </c>
      <c r="X1674" s="2" t="n">
        <f aca="false">INDEX(Summary!$T$2:$T$201,MATCH($B1674,Summary!$A$2:$A$201,0))</f>
        <v>46.63</v>
      </c>
      <c r="Y1674" s="0" t="str">
        <f aca="false">INDEX('Reward Model'!$E$18:$E$37,MATCH($E1674,'Reward Model'!$A$18:$A$37,0))</f>
        <v>Medium</v>
      </c>
      <c r="Z1674" s="4" t="n">
        <f aca="false">ROUND(MIN(1,MAX('Reward Model'!$B$2,INDEX('Reward Model'!$C$12:$C$14,MATCH($K1674,'Reward Model'!$A$12:$A$14,0))/$J1674)),3)</f>
        <v>0.923</v>
      </c>
      <c r="AA1674" s="2" t="n">
        <f aca="false">IF($I1674="Correct",ROUND(INDEX('Reward Model'!$B$12:$B$14,MATCH($K1674,'Reward Model'!$A$12:$A$14,0))*Z1674,2),0)</f>
        <v>1.85</v>
      </c>
      <c r="AB1674" s="2" t="n">
        <f aca="false">IF($I1674="Correct",ROUND(INDEX('Reward Model'!$B$12:$B$14,MATCH($Y1674,'Reward Model'!$A$12:$A$14,0))*Z1674,2),0)</f>
        <v>1.85</v>
      </c>
    </row>
    <row r="1675" customFormat="false" ht="15" hidden="false" customHeight="false" outlineLevel="0" collapsed="false">
      <c r="A1675" s="0" t="s">
        <v>296</v>
      </c>
      <c r="B1675" s="0" t="s">
        <v>297</v>
      </c>
      <c r="C1675" s="0" t="s">
        <v>30</v>
      </c>
      <c r="D1675" s="0" t="s">
        <v>275</v>
      </c>
      <c r="E1675" s="0" t="n">
        <v>14</v>
      </c>
      <c r="F1675" s="0" t="s">
        <v>68</v>
      </c>
      <c r="G1675" s="0" t="s">
        <v>51</v>
      </c>
      <c r="H1675" s="0" t="s">
        <v>51</v>
      </c>
      <c r="I1675" s="0" t="s">
        <v>34</v>
      </c>
      <c r="J1675" s="0" t="n">
        <v>1.54</v>
      </c>
      <c r="K1675" s="0" t="s">
        <v>60</v>
      </c>
      <c r="L1675" s="0" t="n">
        <f aca="false">INDEX(Summary!$F$2:$F$201,MATCH($B1675,Summary!$A$2:$A$201,0))</f>
        <v>20</v>
      </c>
      <c r="M1675" s="0" t="n">
        <f aca="false">INDEX(Summary!$I$2:$I$201,MATCH($B1675,Summary!$A$2:$A$201,0))</f>
        <v>1</v>
      </c>
      <c r="N1675" s="0" t="n">
        <f aca="false">INDEX(Summary!$J$2:$J$201,MATCH($B1675,Summary!$A$2:$A$201,0))</f>
        <v>4</v>
      </c>
      <c r="O1675" s="2" t="n">
        <f aca="false">INDEX(Summary!$K$2:$K$201,MATCH($B1675,Summary!$A$2:$A$201,0))</f>
        <v>9.2</v>
      </c>
      <c r="P1675" s="3" t="n">
        <f aca="false">INDEX(Summary!$L$2:$L$201,MATCH($B1675,Summary!$A$2:$A$201,0))</f>
        <v>4</v>
      </c>
      <c r="Q1675" s="3" t="n">
        <f aca="false">INDEX(Summary!$M$2:$M$201,MATCH($B1675,Summary!$A$2:$A$201,0))</f>
        <v>2</v>
      </c>
      <c r="R1675" s="2" t="n">
        <f aca="false">INDEX(Summary!$N$2:$N$201,MATCH($B1675,Summary!$A$2:$A$201,0))</f>
        <v>10.58</v>
      </c>
      <c r="S1675" s="3" t="n">
        <f aca="false">INDEX(Summary!$O$2:$O$201,MATCH($B1675,Summary!$A$2:$A$201,0))</f>
        <v>7</v>
      </c>
      <c r="T1675" s="3" t="n">
        <f aca="false">INDEX(Summary!$P$2:$P$201,MATCH($B1675,Summary!$A$2:$A$201,0))</f>
        <v>2</v>
      </c>
      <c r="U1675" s="2" t="n">
        <f aca="false">INDEX(Summary!$Q$2:$Q$201,MATCH($B1675,Summary!$A$2:$A$201,0))</f>
        <v>13.71</v>
      </c>
      <c r="V1675" s="2" t="n">
        <f aca="false">INDEX(Summary!$R$2:$R$201,MATCH($B1675,Summary!$A$2:$A$201,0))</f>
        <v>19.12</v>
      </c>
      <c r="W1675" s="0" t="str">
        <f aca="false">INDEX(Summary!$S$2:$S$201,MATCH($B1675,Summary!$A$2:$A$201,0))</f>
        <v>Bronze</v>
      </c>
      <c r="X1675" s="2" t="n">
        <f aca="false">INDEX(Summary!$T$2:$T$201,MATCH($B1675,Summary!$A$2:$A$201,0))</f>
        <v>46.63</v>
      </c>
      <c r="Y1675" s="0" t="str">
        <f aca="false">INDEX('Reward Model'!$E$18:$E$37,MATCH($E1675,'Reward Model'!$A$18:$A$37,0))</f>
        <v>Medium</v>
      </c>
      <c r="Z1675" s="4" t="n">
        <f aca="false">ROUND(MIN(1,MAX('Reward Model'!$B$2,INDEX('Reward Model'!$C$12:$C$14,MATCH($K1675,'Reward Model'!$A$12:$A$14,0))/$J1675)),3)</f>
        <v>1</v>
      </c>
      <c r="AA1675" s="2" t="n">
        <f aca="false">IF($I1675="Correct",ROUND(INDEX('Reward Model'!$B$12:$B$14,MATCH($K1675,'Reward Model'!$A$12:$A$14,0))*Z1675,2),0)</f>
        <v>2</v>
      </c>
      <c r="AB1675" s="2" t="n">
        <f aca="false">IF($I1675="Correct",ROUND(INDEX('Reward Model'!$B$12:$B$14,MATCH($Y1675,'Reward Model'!$A$12:$A$14,0))*Z1675,2),0)</f>
        <v>2</v>
      </c>
    </row>
    <row r="1676" customFormat="false" ht="15" hidden="false" customHeight="false" outlineLevel="0" collapsed="false">
      <c r="A1676" s="0" t="s">
        <v>296</v>
      </c>
      <c r="B1676" s="0" t="s">
        <v>297</v>
      </c>
      <c r="C1676" s="0" t="s">
        <v>30</v>
      </c>
      <c r="D1676" s="0" t="s">
        <v>275</v>
      </c>
      <c r="E1676" s="0" t="n">
        <v>15</v>
      </c>
      <c r="F1676" s="0" t="s">
        <v>69</v>
      </c>
      <c r="G1676" s="0" t="s">
        <v>70</v>
      </c>
      <c r="H1676" s="0" t="s">
        <v>70</v>
      </c>
      <c r="I1676" s="0" t="s">
        <v>34</v>
      </c>
      <c r="J1676" s="0" t="n">
        <v>2.16</v>
      </c>
      <c r="K1676" s="0" t="s">
        <v>60</v>
      </c>
      <c r="L1676" s="0" t="n">
        <f aca="false">INDEX(Summary!$F$2:$F$201,MATCH($B1676,Summary!$A$2:$A$201,0))</f>
        <v>20</v>
      </c>
      <c r="M1676" s="0" t="n">
        <f aca="false">INDEX(Summary!$I$2:$I$201,MATCH($B1676,Summary!$A$2:$A$201,0))</f>
        <v>1</v>
      </c>
      <c r="N1676" s="0" t="n">
        <f aca="false">INDEX(Summary!$J$2:$J$201,MATCH($B1676,Summary!$A$2:$A$201,0))</f>
        <v>4</v>
      </c>
      <c r="O1676" s="2" t="n">
        <f aca="false">INDEX(Summary!$K$2:$K$201,MATCH($B1676,Summary!$A$2:$A$201,0))</f>
        <v>9.2</v>
      </c>
      <c r="P1676" s="3" t="n">
        <f aca="false">INDEX(Summary!$L$2:$L$201,MATCH($B1676,Summary!$A$2:$A$201,0))</f>
        <v>4</v>
      </c>
      <c r="Q1676" s="3" t="n">
        <f aca="false">INDEX(Summary!$M$2:$M$201,MATCH($B1676,Summary!$A$2:$A$201,0))</f>
        <v>2</v>
      </c>
      <c r="R1676" s="2" t="n">
        <f aca="false">INDEX(Summary!$N$2:$N$201,MATCH($B1676,Summary!$A$2:$A$201,0))</f>
        <v>10.58</v>
      </c>
      <c r="S1676" s="3" t="n">
        <f aca="false">INDEX(Summary!$O$2:$O$201,MATCH($B1676,Summary!$A$2:$A$201,0))</f>
        <v>7</v>
      </c>
      <c r="T1676" s="3" t="n">
        <f aca="false">INDEX(Summary!$P$2:$P$201,MATCH($B1676,Summary!$A$2:$A$201,0))</f>
        <v>2</v>
      </c>
      <c r="U1676" s="2" t="n">
        <f aca="false">INDEX(Summary!$Q$2:$Q$201,MATCH($B1676,Summary!$A$2:$A$201,0))</f>
        <v>13.71</v>
      </c>
      <c r="V1676" s="2" t="n">
        <f aca="false">INDEX(Summary!$R$2:$R$201,MATCH($B1676,Summary!$A$2:$A$201,0))</f>
        <v>19.12</v>
      </c>
      <c r="W1676" s="0" t="str">
        <f aca="false">INDEX(Summary!$S$2:$S$201,MATCH($B1676,Summary!$A$2:$A$201,0))</f>
        <v>Bronze</v>
      </c>
      <c r="X1676" s="2" t="n">
        <f aca="false">INDEX(Summary!$T$2:$T$201,MATCH($B1676,Summary!$A$2:$A$201,0))</f>
        <v>46.63</v>
      </c>
      <c r="Y1676" s="0" t="str">
        <f aca="false">INDEX('Reward Model'!$E$18:$E$37,MATCH($E1676,'Reward Model'!$A$18:$A$37,0))</f>
        <v>Medium</v>
      </c>
      <c r="Z1676" s="4" t="n">
        <f aca="false">ROUND(MIN(1,MAX('Reward Model'!$B$2,INDEX('Reward Model'!$C$12:$C$14,MATCH($K1676,'Reward Model'!$A$12:$A$14,0))/$J1676)),3)</f>
        <v>0.833</v>
      </c>
      <c r="AA1676" s="2" t="n">
        <f aca="false">IF($I1676="Correct",ROUND(INDEX('Reward Model'!$B$12:$B$14,MATCH($K1676,'Reward Model'!$A$12:$A$14,0))*Z1676,2),0)</f>
        <v>1.67</v>
      </c>
      <c r="AB1676" s="2" t="n">
        <f aca="false">IF($I1676="Correct",ROUND(INDEX('Reward Model'!$B$12:$B$14,MATCH($Y1676,'Reward Model'!$A$12:$A$14,0))*Z1676,2),0)</f>
        <v>1.67</v>
      </c>
    </row>
    <row r="1677" customFormat="false" ht="15" hidden="false" customHeight="false" outlineLevel="0" collapsed="false">
      <c r="A1677" s="0" t="s">
        <v>296</v>
      </c>
      <c r="B1677" s="0" t="s">
        <v>297</v>
      </c>
      <c r="C1677" s="0" t="s">
        <v>30</v>
      </c>
      <c r="D1677" s="0" t="s">
        <v>275</v>
      </c>
      <c r="E1677" s="0" t="n">
        <v>16</v>
      </c>
      <c r="F1677" s="0" t="s">
        <v>71</v>
      </c>
      <c r="G1677" s="0" t="s">
        <v>101</v>
      </c>
      <c r="H1677" s="0" t="s">
        <v>72</v>
      </c>
      <c r="I1677" s="0" t="s">
        <v>39</v>
      </c>
      <c r="J1677" s="0" t="n">
        <v>1.51</v>
      </c>
      <c r="K1677" s="0" t="s">
        <v>73</v>
      </c>
      <c r="L1677" s="0" t="n">
        <f aca="false">INDEX(Summary!$F$2:$F$201,MATCH($B1677,Summary!$A$2:$A$201,0))</f>
        <v>20</v>
      </c>
      <c r="M1677" s="0" t="n">
        <f aca="false">INDEX(Summary!$I$2:$I$201,MATCH($B1677,Summary!$A$2:$A$201,0))</f>
        <v>1</v>
      </c>
      <c r="N1677" s="0" t="n">
        <f aca="false">INDEX(Summary!$J$2:$J$201,MATCH($B1677,Summary!$A$2:$A$201,0))</f>
        <v>4</v>
      </c>
      <c r="O1677" s="2" t="n">
        <f aca="false">INDEX(Summary!$K$2:$K$201,MATCH($B1677,Summary!$A$2:$A$201,0))</f>
        <v>9.2</v>
      </c>
      <c r="P1677" s="3" t="n">
        <f aca="false">INDEX(Summary!$L$2:$L$201,MATCH($B1677,Summary!$A$2:$A$201,0))</f>
        <v>4</v>
      </c>
      <c r="Q1677" s="3" t="n">
        <f aca="false">INDEX(Summary!$M$2:$M$201,MATCH($B1677,Summary!$A$2:$A$201,0))</f>
        <v>2</v>
      </c>
      <c r="R1677" s="2" t="n">
        <f aca="false">INDEX(Summary!$N$2:$N$201,MATCH($B1677,Summary!$A$2:$A$201,0))</f>
        <v>10.58</v>
      </c>
      <c r="S1677" s="3" t="n">
        <f aca="false">INDEX(Summary!$O$2:$O$201,MATCH($B1677,Summary!$A$2:$A$201,0))</f>
        <v>7</v>
      </c>
      <c r="T1677" s="3" t="n">
        <f aca="false">INDEX(Summary!$P$2:$P$201,MATCH($B1677,Summary!$A$2:$A$201,0))</f>
        <v>2</v>
      </c>
      <c r="U1677" s="2" t="n">
        <f aca="false">INDEX(Summary!$Q$2:$Q$201,MATCH($B1677,Summary!$A$2:$A$201,0))</f>
        <v>13.71</v>
      </c>
      <c r="V1677" s="2" t="n">
        <f aca="false">INDEX(Summary!$R$2:$R$201,MATCH($B1677,Summary!$A$2:$A$201,0))</f>
        <v>19.12</v>
      </c>
      <c r="W1677" s="0" t="str">
        <f aca="false">INDEX(Summary!$S$2:$S$201,MATCH($B1677,Summary!$A$2:$A$201,0))</f>
        <v>Bronze</v>
      </c>
      <c r="X1677" s="2" t="n">
        <f aca="false">INDEX(Summary!$T$2:$T$201,MATCH($B1677,Summary!$A$2:$A$201,0))</f>
        <v>46.63</v>
      </c>
      <c r="Y1677" s="0" t="str">
        <f aca="false">INDEX('Reward Model'!$E$18:$E$37,MATCH($E1677,'Reward Model'!$A$18:$A$37,0))</f>
        <v>High</v>
      </c>
      <c r="Z1677" s="4" t="n">
        <f aca="false">ROUND(MIN(1,MAX('Reward Model'!$B$2,INDEX('Reward Model'!$C$12:$C$14,MATCH($K1677,'Reward Model'!$A$12:$A$14,0))/$J1677)),3)</f>
        <v>1</v>
      </c>
      <c r="AA1677" s="2" t="n">
        <f aca="false">IF($I1677="Correct",ROUND(INDEX('Reward Model'!$B$12:$B$14,MATCH($K1677,'Reward Model'!$A$12:$A$14,0))*Z1677,2),0)</f>
        <v>0</v>
      </c>
      <c r="AB1677" s="2" t="n">
        <f aca="false">IF($I1677="Correct",ROUND(INDEX('Reward Model'!$B$12:$B$14,MATCH($Y1677,'Reward Model'!$A$12:$A$14,0))*Z1677,2),0)</f>
        <v>0</v>
      </c>
    </row>
    <row r="1678" customFormat="false" ht="15" hidden="false" customHeight="false" outlineLevel="0" collapsed="false">
      <c r="A1678" s="0" t="s">
        <v>296</v>
      </c>
      <c r="B1678" s="0" t="s">
        <v>297</v>
      </c>
      <c r="C1678" s="0" t="s">
        <v>30</v>
      </c>
      <c r="D1678" s="0" t="s">
        <v>275</v>
      </c>
      <c r="E1678" s="0" t="n">
        <v>17</v>
      </c>
      <c r="F1678" s="0" t="s">
        <v>74</v>
      </c>
      <c r="G1678" s="0" t="s">
        <v>91</v>
      </c>
      <c r="H1678" s="0" t="s">
        <v>75</v>
      </c>
      <c r="I1678" s="0" t="s">
        <v>39</v>
      </c>
      <c r="J1678" s="0" t="n">
        <v>2.19</v>
      </c>
      <c r="K1678" s="0" t="s">
        <v>73</v>
      </c>
      <c r="L1678" s="0" t="n">
        <f aca="false">INDEX(Summary!$F$2:$F$201,MATCH($B1678,Summary!$A$2:$A$201,0))</f>
        <v>20</v>
      </c>
      <c r="M1678" s="0" t="n">
        <f aca="false">INDEX(Summary!$I$2:$I$201,MATCH($B1678,Summary!$A$2:$A$201,0))</f>
        <v>1</v>
      </c>
      <c r="N1678" s="0" t="n">
        <f aca="false">INDEX(Summary!$J$2:$J$201,MATCH($B1678,Summary!$A$2:$A$201,0))</f>
        <v>4</v>
      </c>
      <c r="O1678" s="2" t="n">
        <f aca="false">INDEX(Summary!$K$2:$K$201,MATCH($B1678,Summary!$A$2:$A$201,0))</f>
        <v>9.2</v>
      </c>
      <c r="P1678" s="3" t="n">
        <f aca="false">INDEX(Summary!$L$2:$L$201,MATCH($B1678,Summary!$A$2:$A$201,0))</f>
        <v>4</v>
      </c>
      <c r="Q1678" s="3" t="n">
        <f aca="false">INDEX(Summary!$M$2:$M$201,MATCH($B1678,Summary!$A$2:$A$201,0))</f>
        <v>2</v>
      </c>
      <c r="R1678" s="2" t="n">
        <f aca="false">INDEX(Summary!$N$2:$N$201,MATCH($B1678,Summary!$A$2:$A$201,0))</f>
        <v>10.58</v>
      </c>
      <c r="S1678" s="3" t="n">
        <f aca="false">INDEX(Summary!$O$2:$O$201,MATCH($B1678,Summary!$A$2:$A$201,0))</f>
        <v>7</v>
      </c>
      <c r="T1678" s="3" t="n">
        <f aca="false">INDEX(Summary!$P$2:$P$201,MATCH($B1678,Summary!$A$2:$A$201,0))</f>
        <v>2</v>
      </c>
      <c r="U1678" s="2" t="n">
        <f aca="false">INDEX(Summary!$Q$2:$Q$201,MATCH($B1678,Summary!$A$2:$A$201,0))</f>
        <v>13.71</v>
      </c>
      <c r="V1678" s="2" t="n">
        <f aca="false">INDEX(Summary!$R$2:$R$201,MATCH($B1678,Summary!$A$2:$A$201,0))</f>
        <v>19.12</v>
      </c>
      <c r="W1678" s="0" t="str">
        <f aca="false">INDEX(Summary!$S$2:$S$201,MATCH($B1678,Summary!$A$2:$A$201,0))</f>
        <v>Bronze</v>
      </c>
      <c r="X1678" s="2" t="n">
        <f aca="false">INDEX(Summary!$T$2:$T$201,MATCH($B1678,Summary!$A$2:$A$201,0))</f>
        <v>46.63</v>
      </c>
      <c r="Y1678" s="0" t="str">
        <f aca="false">INDEX('Reward Model'!$E$18:$E$37,MATCH($E1678,'Reward Model'!$A$18:$A$37,0))</f>
        <v>High</v>
      </c>
      <c r="Z1678" s="4" t="n">
        <f aca="false">ROUND(MIN(1,MAX('Reward Model'!$B$2,INDEX('Reward Model'!$C$12:$C$14,MATCH($K1678,'Reward Model'!$A$12:$A$14,0))/$J1678)),3)</f>
        <v>0.913</v>
      </c>
      <c r="AA1678" s="2" t="n">
        <f aca="false">IF($I1678="Correct",ROUND(INDEX('Reward Model'!$B$12:$B$14,MATCH($K1678,'Reward Model'!$A$12:$A$14,0))*Z1678,2),0)</f>
        <v>0</v>
      </c>
      <c r="AB1678" s="2" t="n">
        <f aca="false">IF($I1678="Correct",ROUND(INDEX('Reward Model'!$B$12:$B$14,MATCH($Y1678,'Reward Model'!$A$12:$A$14,0))*Z1678,2),0)</f>
        <v>0</v>
      </c>
    </row>
    <row r="1679" customFormat="false" ht="15" hidden="false" customHeight="false" outlineLevel="0" collapsed="false">
      <c r="A1679" s="0" t="s">
        <v>296</v>
      </c>
      <c r="B1679" s="0" t="s">
        <v>297</v>
      </c>
      <c r="C1679" s="0" t="s">
        <v>30</v>
      </c>
      <c r="D1679" s="0" t="s">
        <v>275</v>
      </c>
      <c r="E1679" s="0" t="n">
        <v>18</v>
      </c>
      <c r="F1679" s="0" t="s">
        <v>76</v>
      </c>
      <c r="G1679" s="0" t="s">
        <v>128</v>
      </c>
      <c r="H1679" s="0" t="s">
        <v>77</v>
      </c>
      <c r="I1679" s="0" t="s">
        <v>39</v>
      </c>
      <c r="J1679" s="0" t="n">
        <v>1.66</v>
      </c>
      <c r="K1679" s="0" t="s">
        <v>73</v>
      </c>
      <c r="L1679" s="0" t="n">
        <f aca="false">INDEX(Summary!$F$2:$F$201,MATCH($B1679,Summary!$A$2:$A$201,0))</f>
        <v>20</v>
      </c>
      <c r="M1679" s="0" t="n">
        <f aca="false">INDEX(Summary!$I$2:$I$201,MATCH($B1679,Summary!$A$2:$A$201,0))</f>
        <v>1</v>
      </c>
      <c r="N1679" s="0" t="n">
        <f aca="false">INDEX(Summary!$J$2:$J$201,MATCH($B1679,Summary!$A$2:$A$201,0))</f>
        <v>4</v>
      </c>
      <c r="O1679" s="2" t="n">
        <f aca="false">INDEX(Summary!$K$2:$K$201,MATCH($B1679,Summary!$A$2:$A$201,0))</f>
        <v>9.2</v>
      </c>
      <c r="P1679" s="3" t="n">
        <f aca="false">INDEX(Summary!$L$2:$L$201,MATCH($B1679,Summary!$A$2:$A$201,0))</f>
        <v>4</v>
      </c>
      <c r="Q1679" s="3" t="n">
        <f aca="false">INDEX(Summary!$M$2:$M$201,MATCH($B1679,Summary!$A$2:$A$201,0))</f>
        <v>2</v>
      </c>
      <c r="R1679" s="2" t="n">
        <f aca="false">INDEX(Summary!$N$2:$N$201,MATCH($B1679,Summary!$A$2:$A$201,0))</f>
        <v>10.58</v>
      </c>
      <c r="S1679" s="3" t="n">
        <f aca="false">INDEX(Summary!$O$2:$O$201,MATCH($B1679,Summary!$A$2:$A$201,0))</f>
        <v>7</v>
      </c>
      <c r="T1679" s="3" t="n">
        <f aca="false">INDEX(Summary!$P$2:$P$201,MATCH($B1679,Summary!$A$2:$A$201,0))</f>
        <v>2</v>
      </c>
      <c r="U1679" s="2" t="n">
        <f aca="false">INDEX(Summary!$Q$2:$Q$201,MATCH($B1679,Summary!$A$2:$A$201,0))</f>
        <v>13.71</v>
      </c>
      <c r="V1679" s="2" t="n">
        <f aca="false">INDEX(Summary!$R$2:$R$201,MATCH($B1679,Summary!$A$2:$A$201,0))</f>
        <v>19.12</v>
      </c>
      <c r="W1679" s="0" t="str">
        <f aca="false">INDEX(Summary!$S$2:$S$201,MATCH($B1679,Summary!$A$2:$A$201,0))</f>
        <v>Bronze</v>
      </c>
      <c r="X1679" s="2" t="n">
        <f aca="false">INDEX(Summary!$T$2:$T$201,MATCH($B1679,Summary!$A$2:$A$201,0))</f>
        <v>46.63</v>
      </c>
      <c r="Y1679" s="0" t="str">
        <f aca="false">INDEX('Reward Model'!$E$18:$E$37,MATCH($E1679,'Reward Model'!$A$18:$A$37,0))</f>
        <v>High</v>
      </c>
      <c r="Z1679" s="4" t="n">
        <f aca="false">ROUND(MIN(1,MAX('Reward Model'!$B$2,INDEX('Reward Model'!$C$12:$C$14,MATCH($K1679,'Reward Model'!$A$12:$A$14,0))/$J1679)),3)</f>
        <v>1</v>
      </c>
      <c r="AA1679" s="2" t="n">
        <f aca="false">IF($I1679="Correct",ROUND(INDEX('Reward Model'!$B$12:$B$14,MATCH($K1679,'Reward Model'!$A$12:$A$14,0))*Z1679,2),0)</f>
        <v>0</v>
      </c>
      <c r="AB1679" s="2" t="n">
        <f aca="false">IF($I1679="Correct",ROUND(INDEX('Reward Model'!$B$12:$B$14,MATCH($Y1679,'Reward Model'!$A$12:$A$14,0))*Z1679,2),0)</f>
        <v>0</v>
      </c>
    </row>
    <row r="1680" customFormat="false" ht="15" hidden="false" customHeight="false" outlineLevel="0" collapsed="false">
      <c r="A1680" s="0" t="s">
        <v>296</v>
      </c>
      <c r="B1680" s="0" t="s">
        <v>297</v>
      </c>
      <c r="C1680" s="0" t="s">
        <v>30</v>
      </c>
      <c r="D1680" s="0" t="s">
        <v>275</v>
      </c>
      <c r="E1680" s="0" t="n">
        <v>19</v>
      </c>
      <c r="F1680" s="0" t="s">
        <v>78</v>
      </c>
      <c r="G1680" s="0" t="s">
        <v>80</v>
      </c>
      <c r="H1680" s="0" t="s">
        <v>80</v>
      </c>
      <c r="I1680" s="0" t="s">
        <v>34</v>
      </c>
      <c r="J1680" s="0" t="n">
        <v>2.39</v>
      </c>
      <c r="K1680" s="0" t="s">
        <v>73</v>
      </c>
      <c r="L1680" s="0" t="n">
        <f aca="false">INDEX(Summary!$F$2:$F$201,MATCH($B1680,Summary!$A$2:$A$201,0))</f>
        <v>20</v>
      </c>
      <c r="M1680" s="0" t="n">
        <f aca="false">INDEX(Summary!$I$2:$I$201,MATCH($B1680,Summary!$A$2:$A$201,0))</f>
        <v>1</v>
      </c>
      <c r="N1680" s="0" t="n">
        <f aca="false">INDEX(Summary!$J$2:$J$201,MATCH($B1680,Summary!$A$2:$A$201,0))</f>
        <v>4</v>
      </c>
      <c r="O1680" s="2" t="n">
        <f aca="false">INDEX(Summary!$K$2:$K$201,MATCH($B1680,Summary!$A$2:$A$201,0))</f>
        <v>9.2</v>
      </c>
      <c r="P1680" s="3" t="n">
        <f aca="false">INDEX(Summary!$L$2:$L$201,MATCH($B1680,Summary!$A$2:$A$201,0))</f>
        <v>4</v>
      </c>
      <c r="Q1680" s="3" t="n">
        <f aca="false">INDEX(Summary!$M$2:$M$201,MATCH($B1680,Summary!$A$2:$A$201,0))</f>
        <v>2</v>
      </c>
      <c r="R1680" s="2" t="n">
        <f aca="false">INDEX(Summary!$N$2:$N$201,MATCH($B1680,Summary!$A$2:$A$201,0))</f>
        <v>10.58</v>
      </c>
      <c r="S1680" s="3" t="n">
        <f aca="false">INDEX(Summary!$O$2:$O$201,MATCH($B1680,Summary!$A$2:$A$201,0))</f>
        <v>7</v>
      </c>
      <c r="T1680" s="3" t="n">
        <f aca="false">INDEX(Summary!$P$2:$P$201,MATCH($B1680,Summary!$A$2:$A$201,0))</f>
        <v>2</v>
      </c>
      <c r="U1680" s="2" t="n">
        <f aca="false">INDEX(Summary!$Q$2:$Q$201,MATCH($B1680,Summary!$A$2:$A$201,0))</f>
        <v>13.71</v>
      </c>
      <c r="V1680" s="2" t="n">
        <f aca="false">INDEX(Summary!$R$2:$R$201,MATCH($B1680,Summary!$A$2:$A$201,0))</f>
        <v>19.12</v>
      </c>
      <c r="W1680" s="0" t="str">
        <f aca="false">INDEX(Summary!$S$2:$S$201,MATCH($B1680,Summary!$A$2:$A$201,0))</f>
        <v>Bronze</v>
      </c>
      <c r="X1680" s="2" t="n">
        <f aca="false">INDEX(Summary!$T$2:$T$201,MATCH($B1680,Summary!$A$2:$A$201,0))</f>
        <v>46.63</v>
      </c>
      <c r="Y1680" s="0" t="str">
        <f aca="false">INDEX('Reward Model'!$E$18:$E$37,MATCH($E1680,'Reward Model'!$A$18:$A$37,0))</f>
        <v>High</v>
      </c>
      <c r="Z1680" s="4" t="n">
        <f aca="false">ROUND(MIN(1,MAX('Reward Model'!$B$2,INDEX('Reward Model'!$C$12:$C$14,MATCH($K1680,'Reward Model'!$A$12:$A$14,0))/$J1680)),3)</f>
        <v>0.837</v>
      </c>
      <c r="AA1680" s="2" t="n">
        <f aca="false">IF($I1680="Correct",ROUND(INDEX('Reward Model'!$B$12:$B$14,MATCH($K1680,'Reward Model'!$A$12:$A$14,0))*Z1680,2),0)</f>
        <v>2.51</v>
      </c>
      <c r="AB1680" s="2" t="n">
        <f aca="false">IF($I1680="Correct",ROUND(INDEX('Reward Model'!$B$12:$B$14,MATCH($Y1680,'Reward Model'!$A$12:$A$14,0))*Z1680,2),0)</f>
        <v>2.51</v>
      </c>
    </row>
    <row r="1681" customFormat="false" ht="15" hidden="false" customHeight="false" outlineLevel="0" collapsed="false">
      <c r="A1681" s="0" t="s">
        <v>296</v>
      </c>
      <c r="B1681" s="0" t="s">
        <v>297</v>
      </c>
      <c r="C1681" s="0" t="s">
        <v>30</v>
      </c>
      <c r="D1681" s="0" t="s">
        <v>275</v>
      </c>
      <c r="E1681" s="0" t="n">
        <v>20</v>
      </c>
      <c r="F1681" s="0" t="s">
        <v>81</v>
      </c>
      <c r="G1681" s="0" t="s">
        <v>119</v>
      </c>
      <c r="H1681" s="0" t="s">
        <v>83</v>
      </c>
      <c r="I1681" s="0" t="s">
        <v>39</v>
      </c>
      <c r="J1681" s="0" t="n">
        <v>1.45</v>
      </c>
      <c r="K1681" s="0" t="s">
        <v>73</v>
      </c>
      <c r="L1681" s="0" t="n">
        <f aca="false">INDEX(Summary!$F$2:$F$201,MATCH($B1681,Summary!$A$2:$A$201,0))</f>
        <v>20</v>
      </c>
      <c r="M1681" s="0" t="n">
        <f aca="false">INDEX(Summary!$I$2:$I$201,MATCH($B1681,Summary!$A$2:$A$201,0))</f>
        <v>1</v>
      </c>
      <c r="N1681" s="0" t="n">
        <f aca="false">INDEX(Summary!$J$2:$J$201,MATCH($B1681,Summary!$A$2:$A$201,0))</f>
        <v>4</v>
      </c>
      <c r="O1681" s="2" t="n">
        <f aca="false">INDEX(Summary!$K$2:$K$201,MATCH($B1681,Summary!$A$2:$A$201,0))</f>
        <v>9.2</v>
      </c>
      <c r="P1681" s="3" t="n">
        <f aca="false">INDEX(Summary!$L$2:$L$201,MATCH($B1681,Summary!$A$2:$A$201,0))</f>
        <v>4</v>
      </c>
      <c r="Q1681" s="3" t="n">
        <f aca="false">INDEX(Summary!$M$2:$M$201,MATCH($B1681,Summary!$A$2:$A$201,0))</f>
        <v>2</v>
      </c>
      <c r="R1681" s="2" t="n">
        <f aca="false">INDEX(Summary!$N$2:$N$201,MATCH($B1681,Summary!$A$2:$A$201,0))</f>
        <v>10.58</v>
      </c>
      <c r="S1681" s="3" t="n">
        <f aca="false">INDEX(Summary!$O$2:$O$201,MATCH($B1681,Summary!$A$2:$A$201,0))</f>
        <v>7</v>
      </c>
      <c r="T1681" s="3" t="n">
        <f aca="false">INDEX(Summary!$P$2:$P$201,MATCH($B1681,Summary!$A$2:$A$201,0))</f>
        <v>2</v>
      </c>
      <c r="U1681" s="2" t="n">
        <f aca="false">INDEX(Summary!$Q$2:$Q$201,MATCH($B1681,Summary!$A$2:$A$201,0))</f>
        <v>13.71</v>
      </c>
      <c r="V1681" s="2" t="n">
        <f aca="false">INDEX(Summary!$R$2:$R$201,MATCH($B1681,Summary!$A$2:$A$201,0))</f>
        <v>19.12</v>
      </c>
      <c r="W1681" s="0" t="str">
        <f aca="false">INDEX(Summary!$S$2:$S$201,MATCH($B1681,Summary!$A$2:$A$201,0))</f>
        <v>Bronze</v>
      </c>
      <c r="X1681" s="2" t="n">
        <f aca="false">INDEX(Summary!$T$2:$T$201,MATCH($B1681,Summary!$A$2:$A$201,0))</f>
        <v>46.63</v>
      </c>
      <c r="Y1681" s="0" t="str">
        <f aca="false">INDEX('Reward Model'!$E$18:$E$37,MATCH($E1681,'Reward Model'!$A$18:$A$37,0))</f>
        <v>High</v>
      </c>
      <c r="Z1681" s="4" t="n">
        <f aca="false">ROUND(MIN(1,MAX('Reward Model'!$B$2,INDEX('Reward Model'!$C$12:$C$14,MATCH($K1681,'Reward Model'!$A$12:$A$14,0))/$J1681)),3)</f>
        <v>1</v>
      </c>
      <c r="AA1681" s="2" t="n">
        <f aca="false">IF($I1681="Correct",ROUND(INDEX('Reward Model'!$B$12:$B$14,MATCH($K1681,'Reward Model'!$A$12:$A$14,0))*Z1681,2),0)</f>
        <v>0</v>
      </c>
      <c r="AB1681" s="2" t="n">
        <f aca="false">IF($I1681="Correct",ROUND(INDEX('Reward Model'!$B$12:$B$14,MATCH($Y1681,'Reward Model'!$A$12:$A$14,0))*Z1681,2),0)</f>
        <v>0</v>
      </c>
    </row>
    <row r="1682" customFormat="false" ht="15" hidden="false" customHeight="false" outlineLevel="0" collapsed="false">
      <c r="A1682" s="0" t="s">
        <v>298</v>
      </c>
      <c r="B1682" s="0" t="s">
        <v>299</v>
      </c>
      <c r="C1682" s="0" t="s">
        <v>30</v>
      </c>
      <c r="D1682" s="0" t="s">
        <v>275</v>
      </c>
      <c r="E1682" s="0" t="n">
        <v>1</v>
      </c>
      <c r="F1682" s="0" t="s">
        <v>32</v>
      </c>
      <c r="G1682" s="0" t="s">
        <v>33</v>
      </c>
      <c r="H1682" s="0" t="s">
        <v>33</v>
      </c>
      <c r="I1682" s="0" t="s">
        <v>34</v>
      </c>
      <c r="J1682" s="0" t="n">
        <v>1.83</v>
      </c>
      <c r="K1682" s="0" t="s">
        <v>35</v>
      </c>
      <c r="L1682" s="0" t="n">
        <f aca="false">INDEX(Summary!$F$2:$F$201,MATCH($B1682,Summary!$A$2:$A$201,0))</f>
        <v>20</v>
      </c>
      <c r="M1682" s="0" t="n">
        <f aca="false">INDEX(Summary!$I$2:$I$201,MATCH($B1682,Summary!$A$2:$A$201,0))</f>
        <v>3</v>
      </c>
      <c r="N1682" s="0" t="n">
        <f aca="false">INDEX(Summary!$J$2:$J$201,MATCH($B1682,Summary!$A$2:$A$201,0))</f>
        <v>2</v>
      </c>
      <c r="O1682" s="2" t="n">
        <f aca="false">INDEX(Summary!$K$2:$K$201,MATCH($B1682,Summary!$A$2:$A$201,0))</f>
        <v>9.48</v>
      </c>
      <c r="P1682" s="3" t="n">
        <f aca="false">INDEX(Summary!$L$2:$L$201,MATCH($B1682,Summary!$A$2:$A$201,0))</f>
        <v>5</v>
      </c>
      <c r="Q1682" s="3" t="n">
        <f aca="false">INDEX(Summary!$M$2:$M$201,MATCH($B1682,Summary!$A$2:$A$201,0))</f>
        <v>1</v>
      </c>
      <c r="R1682" s="2" t="n">
        <f aca="false">INDEX(Summary!$N$2:$N$201,MATCH($B1682,Summary!$A$2:$A$201,0))</f>
        <v>9.01</v>
      </c>
      <c r="S1682" s="3" t="n">
        <f aca="false">INDEX(Summary!$O$2:$O$201,MATCH($B1682,Summary!$A$2:$A$201,0))</f>
        <v>8</v>
      </c>
      <c r="T1682" s="3" t="n">
        <f aca="false">INDEX(Summary!$P$2:$P$201,MATCH($B1682,Summary!$A$2:$A$201,0))</f>
        <v>1</v>
      </c>
      <c r="U1682" s="2" t="n">
        <f aca="false">INDEX(Summary!$Q$2:$Q$201,MATCH($B1682,Summary!$A$2:$A$201,0))</f>
        <v>13.72</v>
      </c>
      <c r="V1682" s="2" t="n">
        <f aca="false">INDEX(Summary!$R$2:$R$201,MATCH($B1682,Summary!$A$2:$A$201,0))</f>
        <v>29.99</v>
      </c>
      <c r="W1682" s="0" t="str">
        <f aca="false">INDEX(Summary!$S$2:$S$201,MATCH($B1682,Summary!$A$2:$A$201,0))</f>
        <v>Gold</v>
      </c>
      <c r="X1682" s="2" t="n">
        <f aca="false">INDEX(Summary!$T$2:$T$201,MATCH($B1682,Summary!$A$2:$A$201,0))</f>
        <v>73.15</v>
      </c>
      <c r="Y1682" s="0" t="str">
        <f aca="false">INDEX('Reward Model'!$E$18:$E$37,MATCH($E1682,'Reward Model'!$A$18:$A$37,0))</f>
        <v>Medium</v>
      </c>
      <c r="Z1682" s="4" t="n">
        <f aca="false">ROUND(MIN(1,MAX('Reward Model'!$B$2,INDEX('Reward Model'!$C$12:$C$14,MATCH($K1682,'Reward Model'!$A$12:$A$14,0))/$J1682)),3)</f>
        <v>0.82</v>
      </c>
      <c r="AA1682" s="2" t="n">
        <f aca="false">IF($I1682="Correct",ROUND(INDEX('Reward Model'!$B$12:$B$14,MATCH($K1682,'Reward Model'!$A$12:$A$14,0))*Z1682,2),0)</f>
        <v>0.82</v>
      </c>
      <c r="AB1682" s="2" t="n">
        <f aca="false">IF($I1682="Correct",ROUND(INDEX('Reward Model'!$B$12:$B$14,MATCH($Y1682,'Reward Model'!$A$12:$A$14,0))*Z1682,2),0)</f>
        <v>1.64</v>
      </c>
    </row>
    <row r="1683" customFormat="false" ht="15" hidden="false" customHeight="false" outlineLevel="0" collapsed="false">
      <c r="A1683" s="0" t="s">
        <v>298</v>
      </c>
      <c r="B1683" s="0" t="s">
        <v>299</v>
      </c>
      <c r="C1683" s="0" t="s">
        <v>30</v>
      </c>
      <c r="D1683" s="0" t="s">
        <v>275</v>
      </c>
      <c r="E1683" s="0" t="n">
        <v>2</v>
      </c>
      <c r="F1683" s="0" t="s">
        <v>36</v>
      </c>
      <c r="G1683" s="0" t="s">
        <v>38</v>
      </c>
      <c r="H1683" s="0" t="s">
        <v>38</v>
      </c>
      <c r="I1683" s="0" t="s">
        <v>34</v>
      </c>
      <c r="J1683" s="0" t="n">
        <v>1.55</v>
      </c>
      <c r="K1683" s="0" t="s">
        <v>35</v>
      </c>
      <c r="L1683" s="0" t="n">
        <f aca="false">INDEX(Summary!$F$2:$F$201,MATCH($B1683,Summary!$A$2:$A$201,0))</f>
        <v>20</v>
      </c>
      <c r="M1683" s="0" t="n">
        <f aca="false">INDEX(Summary!$I$2:$I$201,MATCH($B1683,Summary!$A$2:$A$201,0))</f>
        <v>3</v>
      </c>
      <c r="N1683" s="0" t="n">
        <f aca="false">INDEX(Summary!$J$2:$J$201,MATCH($B1683,Summary!$A$2:$A$201,0))</f>
        <v>2</v>
      </c>
      <c r="O1683" s="2" t="n">
        <f aca="false">INDEX(Summary!$K$2:$K$201,MATCH($B1683,Summary!$A$2:$A$201,0))</f>
        <v>9.48</v>
      </c>
      <c r="P1683" s="3" t="n">
        <f aca="false">INDEX(Summary!$L$2:$L$201,MATCH($B1683,Summary!$A$2:$A$201,0))</f>
        <v>5</v>
      </c>
      <c r="Q1683" s="3" t="n">
        <f aca="false">INDEX(Summary!$M$2:$M$201,MATCH($B1683,Summary!$A$2:$A$201,0))</f>
        <v>1</v>
      </c>
      <c r="R1683" s="2" t="n">
        <f aca="false">INDEX(Summary!$N$2:$N$201,MATCH($B1683,Summary!$A$2:$A$201,0))</f>
        <v>9.01</v>
      </c>
      <c r="S1683" s="3" t="n">
        <f aca="false">INDEX(Summary!$O$2:$O$201,MATCH($B1683,Summary!$A$2:$A$201,0))</f>
        <v>8</v>
      </c>
      <c r="T1683" s="3" t="n">
        <f aca="false">INDEX(Summary!$P$2:$P$201,MATCH($B1683,Summary!$A$2:$A$201,0))</f>
        <v>1</v>
      </c>
      <c r="U1683" s="2" t="n">
        <f aca="false">INDEX(Summary!$Q$2:$Q$201,MATCH($B1683,Summary!$A$2:$A$201,0))</f>
        <v>13.72</v>
      </c>
      <c r="V1683" s="2" t="n">
        <f aca="false">INDEX(Summary!$R$2:$R$201,MATCH($B1683,Summary!$A$2:$A$201,0))</f>
        <v>29.99</v>
      </c>
      <c r="W1683" s="0" t="str">
        <f aca="false">INDEX(Summary!$S$2:$S$201,MATCH($B1683,Summary!$A$2:$A$201,0))</f>
        <v>Gold</v>
      </c>
      <c r="X1683" s="2" t="n">
        <f aca="false">INDEX(Summary!$T$2:$T$201,MATCH($B1683,Summary!$A$2:$A$201,0))</f>
        <v>73.15</v>
      </c>
      <c r="Y1683" s="0" t="str">
        <f aca="false">INDEX('Reward Model'!$E$18:$E$37,MATCH($E1683,'Reward Model'!$A$18:$A$37,0))</f>
        <v>Low</v>
      </c>
      <c r="Z1683" s="4" t="n">
        <f aca="false">ROUND(MIN(1,MAX('Reward Model'!$B$2,INDEX('Reward Model'!$C$12:$C$14,MATCH($K1683,'Reward Model'!$A$12:$A$14,0))/$J1683)),3)</f>
        <v>0.968</v>
      </c>
      <c r="AA1683" s="2" t="n">
        <f aca="false">IF($I1683="Correct",ROUND(INDEX('Reward Model'!$B$12:$B$14,MATCH($K1683,'Reward Model'!$A$12:$A$14,0))*Z1683,2),0)</f>
        <v>0.97</v>
      </c>
      <c r="AB1683" s="2" t="n">
        <f aca="false">IF($I1683="Correct",ROUND(INDEX('Reward Model'!$B$12:$B$14,MATCH($Y1683,'Reward Model'!$A$12:$A$14,0))*Z1683,2),0)</f>
        <v>0.97</v>
      </c>
    </row>
    <row r="1684" customFormat="false" ht="15" hidden="false" customHeight="false" outlineLevel="0" collapsed="false">
      <c r="A1684" s="0" t="s">
        <v>298</v>
      </c>
      <c r="B1684" s="0" t="s">
        <v>299</v>
      </c>
      <c r="C1684" s="0" t="s">
        <v>30</v>
      </c>
      <c r="D1684" s="0" t="s">
        <v>275</v>
      </c>
      <c r="E1684" s="0" t="n">
        <v>3</v>
      </c>
      <c r="F1684" s="0" t="s">
        <v>40</v>
      </c>
      <c r="G1684" s="0" t="s">
        <v>123</v>
      </c>
      <c r="H1684" s="0" t="s">
        <v>42</v>
      </c>
      <c r="I1684" s="0" t="s">
        <v>39</v>
      </c>
      <c r="J1684" s="0" t="n">
        <v>1.69</v>
      </c>
      <c r="K1684" s="0" t="s">
        <v>35</v>
      </c>
      <c r="L1684" s="0" t="n">
        <f aca="false">INDEX(Summary!$F$2:$F$201,MATCH($B1684,Summary!$A$2:$A$201,0))</f>
        <v>20</v>
      </c>
      <c r="M1684" s="0" t="n">
        <f aca="false">INDEX(Summary!$I$2:$I$201,MATCH($B1684,Summary!$A$2:$A$201,0))</f>
        <v>3</v>
      </c>
      <c r="N1684" s="0" t="n">
        <f aca="false">INDEX(Summary!$J$2:$J$201,MATCH($B1684,Summary!$A$2:$A$201,0))</f>
        <v>2</v>
      </c>
      <c r="O1684" s="2" t="n">
        <f aca="false">INDEX(Summary!$K$2:$K$201,MATCH($B1684,Summary!$A$2:$A$201,0))</f>
        <v>9.48</v>
      </c>
      <c r="P1684" s="3" t="n">
        <f aca="false">INDEX(Summary!$L$2:$L$201,MATCH($B1684,Summary!$A$2:$A$201,0))</f>
        <v>5</v>
      </c>
      <c r="Q1684" s="3" t="n">
        <f aca="false">INDEX(Summary!$M$2:$M$201,MATCH($B1684,Summary!$A$2:$A$201,0))</f>
        <v>1</v>
      </c>
      <c r="R1684" s="2" t="n">
        <f aca="false">INDEX(Summary!$N$2:$N$201,MATCH($B1684,Summary!$A$2:$A$201,0))</f>
        <v>9.01</v>
      </c>
      <c r="S1684" s="3" t="n">
        <f aca="false">INDEX(Summary!$O$2:$O$201,MATCH($B1684,Summary!$A$2:$A$201,0))</f>
        <v>8</v>
      </c>
      <c r="T1684" s="3" t="n">
        <f aca="false">INDEX(Summary!$P$2:$P$201,MATCH($B1684,Summary!$A$2:$A$201,0))</f>
        <v>1</v>
      </c>
      <c r="U1684" s="2" t="n">
        <f aca="false">INDEX(Summary!$Q$2:$Q$201,MATCH($B1684,Summary!$A$2:$A$201,0))</f>
        <v>13.72</v>
      </c>
      <c r="V1684" s="2" t="n">
        <f aca="false">INDEX(Summary!$R$2:$R$201,MATCH($B1684,Summary!$A$2:$A$201,0))</f>
        <v>29.99</v>
      </c>
      <c r="W1684" s="0" t="str">
        <f aca="false">INDEX(Summary!$S$2:$S$201,MATCH($B1684,Summary!$A$2:$A$201,0))</f>
        <v>Gold</v>
      </c>
      <c r="X1684" s="2" t="n">
        <f aca="false">INDEX(Summary!$T$2:$T$201,MATCH($B1684,Summary!$A$2:$A$201,0))</f>
        <v>73.15</v>
      </c>
      <c r="Y1684" s="0" t="str">
        <f aca="false">INDEX('Reward Model'!$E$18:$E$37,MATCH($E1684,'Reward Model'!$A$18:$A$37,0))</f>
        <v>Medium</v>
      </c>
      <c r="Z1684" s="4" t="n">
        <f aca="false">ROUND(MIN(1,MAX('Reward Model'!$B$2,INDEX('Reward Model'!$C$12:$C$14,MATCH($K1684,'Reward Model'!$A$12:$A$14,0))/$J1684)),3)</f>
        <v>0.888</v>
      </c>
      <c r="AA1684" s="2" t="n">
        <f aca="false">IF($I1684="Correct",ROUND(INDEX('Reward Model'!$B$12:$B$14,MATCH($K1684,'Reward Model'!$A$12:$A$14,0))*Z1684,2),0)</f>
        <v>0</v>
      </c>
      <c r="AB1684" s="2" t="n">
        <f aca="false">IF($I1684="Correct",ROUND(INDEX('Reward Model'!$B$12:$B$14,MATCH($Y1684,'Reward Model'!$A$12:$A$14,0))*Z1684,2),0)</f>
        <v>0</v>
      </c>
    </row>
    <row r="1685" customFormat="false" ht="15" hidden="false" customHeight="false" outlineLevel="0" collapsed="false">
      <c r="A1685" s="0" t="s">
        <v>298</v>
      </c>
      <c r="B1685" s="0" t="s">
        <v>299</v>
      </c>
      <c r="C1685" s="0" t="s">
        <v>30</v>
      </c>
      <c r="D1685" s="0" t="s">
        <v>275</v>
      </c>
      <c r="E1685" s="0" t="n">
        <v>4</v>
      </c>
      <c r="F1685" s="0" t="s">
        <v>43</v>
      </c>
      <c r="G1685" s="0" t="s">
        <v>45</v>
      </c>
      <c r="H1685" s="0" t="s">
        <v>45</v>
      </c>
      <c r="I1685" s="0" t="s">
        <v>34</v>
      </c>
      <c r="J1685" s="0" t="n">
        <v>2</v>
      </c>
      <c r="K1685" s="0" t="s">
        <v>35</v>
      </c>
      <c r="L1685" s="0" t="n">
        <f aca="false">INDEX(Summary!$F$2:$F$201,MATCH($B1685,Summary!$A$2:$A$201,0))</f>
        <v>20</v>
      </c>
      <c r="M1685" s="0" t="n">
        <f aca="false">INDEX(Summary!$I$2:$I$201,MATCH($B1685,Summary!$A$2:$A$201,0))</f>
        <v>3</v>
      </c>
      <c r="N1685" s="0" t="n">
        <f aca="false">INDEX(Summary!$J$2:$J$201,MATCH($B1685,Summary!$A$2:$A$201,0))</f>
        <v>2</v>
      </c>
      <c r="O1685" s="2" t="n">
        <f aca="false">INDEX(Summary!$K$2:$K$201,MATCH($B1685,Summary!$A$2:$A$201,0))</f>
        <v>9.48</v>
      </c>
      <c r="P1685" s="3" t="n">
        <f aca="false">INDEX(Summary!$L$2:$L$201,MATCH($B1685,Summary!$A$2:$A$201,0))</f>
        <v>5</v>
      </c>
      <c r="Q1685" s="3" t="n">
        <f aca="false">INDEX(Summary!$M$2:$M$201,MATCH($B1685,Summary!$A$2:$A$201,0))</f>
        <v>1</v>
      </c>
      <c r="R1685" s="2" t="n">
        <f aca="false">INDEX(Summary!$N$2:$N$201,MATCH($B1685,Summary!$A$2:$A$201,0))</f>
        <v>9.01</v>
      </c>
      <c r="S1685" s="3" t="n">
        <f aca="false">INDEX(Summary!$O$2:$O$201,MATCH($B1685,Summary!$A$2:$A$201,0))</f>
        <v>8</v>
      </c>
      <c r="T1685" s="3" t="n">
        <f aca="false">INDEX(Summary!$P$2:$P$201,MATCH($B1685,Summary!$A$2:$A$201,0))</f>
        <v>1</v>
      </c>
      <c r="U1685" s="2" t="n">
        <f aca="false">INDEX(Summary!$Q$2:$Q$201,MATCH($B1685,Summary!$A$2:$A$201,0))</f>
        <v>13.72</v>
      </c>
      <c r="V1685" s="2" t="n">
        <f aca="false">INDEX(Summary!$R$2:$R$201,MATCH($B1685,Summary!$A$2:$A$201,0))</f>
        <v>29.99</v>
      </c>
      <c r="W1685" s="0" t="str">
        <f aca="false">INDEX(Summary!$S$2:$S$201,MATCH($B1685,Summary!$A$2:$A$201,0))</f>
        <v>Gold</v>
      </c>
      <c r="X1685" s="2" t="n">
        <f aca="false">INDEX(Summary!$T$2:$T$201,MATCH($B1685,Summary!$A$2:$A$201,0))</f>
        <v>73.15</v>
      </c>
      <c r="Y1685" s="0" t="str">
        <f aca="false">INDEX('Reward Model'!$E$18:$E$37,MATCH($E1685,'Reward Model'!$A$18:$A$37,0))</f>
        <v>Low</v>
      </c>
      <c r="Z1685" s="4" t="n">
        <f aca="false">ROUND(MIN(1,MAX('Reward Model'!$B$2,INDEX('Reward Model'!$C$12:$C$14,MATCH($K1685,'Reward Model'!$A$12:$A$14,0))/$J1685)),3)</f>
        <v>0.75</v>
      </c>
      <c r="AA1685" s="2" t="n">
        <f aca="false">IF($I1685="Correct",ROUND(INDEX('Reward Model'!$B$12:$B$14,MATCH($K1685,'Reward Model'!$A$12:$A$14,0))*Z1685,2),0)</f>
        <v>0.75</v>
      </c>
      <c r="AB1685" s="2" t="n">
        <f aca="false">IF($I1685="Correct",ROUND(INDEX('Reward Model'!$B$12:$B$14,MATCH($Y1685,'Reward Model'!$A$12:$A$14,0))*Z1685,2),0)</f>
        <v>0.75</v>
      </c>
    </row>
    <row r="1686" customFormat="false" ht="15" hidden="false" customHeight="false" outlineLevel="0" collapsed="false">
      <c r="A1686" s="0" t="s">
        <v>298</v>
      </c>
      <c r="B1686" s="0" t="s">
        <v>299</v>
      </c>
      <c r="C1686" s="0" t="s">
        <v>30</v>
      </c>
      <c r="D1686" s="0" t="s">
        <v>275</v>
      </c>
      <c r="E1686" s="0" t="n">
        <v>5</v>
      </c>
      <c r="F1686" s="0" t="s">
        <v>46</v>
      </c>
      <c r="G1686" s="0" t="s">
        <v>47</v>
      </c>
      <c r="H1686" s="0" t="s">
        <v>47</v>
      </c>
      <c r="I1686" s="0" t="s">
        <v>34</v>
      </c>
      <c r="J1686" s="0" t="n">
        <v>1.25</v>
      </c>
      <c r="K1686" s="0" t="s">
        <v>35</v>
      </c>
      <c r="L1686" s="0" t="n">
        <f aca="false">INDEX(Summary!$F$2:$F$201,MATCH($B1686,Summary!$A$2:$A$201,0))</f>
        <v>20</v>
      </c>
      <c r="M1686" s="0" t="n">
        <f aca="false">INDEX(Summary!$I$2:$I$201,MATCH($B1686,Summary!$A$2:$A$201,0))</f>
        <v>3</v>
      </c>
      <c r="N1686" s="0" t="n">
        <f aca="false">INDEX(Summary!$J$2:$J$201,MATCH($B1686,Summary!$A$2:$A$201,0))</f>
        <v>2</v>
      </c>
      <c r="O1686" s="2" t="n">
        <f aca="false">INDEX(Summary!$K$2:$K$201,MATCH($B1686,Summary!$A$2:$A$201,0))</f>
        <v>9.48</v>
      </c>
      <c r="P1686" s="3" t="n">
        <f aca="false">INDEX(Summary!$L$2:$L$201,MATCH($B1686,Summary!$A$2:$A$201,0))</f>
        <v>5</v>
      </c>
      <c r="Q1686" s="3" t="n">
        <f aca="false">INDEX(Summary!$M$2:$M$201,MATCH($B1686,Summary!$A$2:$A$201,0))</f>
        <v>1</v>
      </c>
      <c r="R1686" s="2" t="n">
        <f aca="false">INDEX(Summary!$N$2:$N$201,MATCH($B1686,Summary!$A$2:$A$201,0))</f>
        <v>9.01</v>
      </c>
      <c r="S1686" s="3" t="n">
        <f aca="false">INDEX(Summary!$O$2:$O$201,MATCH($B1686,Summary!$A$2:$A$201,0))</f>
        <v>8</v>
      </c>
      <c r="T1686" s="3" t="n">
        <f aca="false">INDEX(Summary!$P$2:$P$201,MATCH($B1686,Summary!$A$2:$A$201,0))</f>
        <v>1</v>
      </c>
      <c r="U1686" s="2" t="n">
        <f aca="false">INDEX(Summary!$Q$2:$Q$201,MATCH($B1686,Summary!$A$2:$A$201,0))</f>
        <v>13.72</v>
      </c>
      <c r="V1686" s="2" t="n">
        <f aca="false">INDEX(Summary!$R$2:$R$201,MATCH($B1686,Summary!$A$2:$A$201,0))</f>
        <v>29.99</v>
      </c>
      <c r="W1686" s="0" t="str">
        <f aca="false">INDEX(Summary!$S$2:$S$201,MATCH($B1686,Summary!$A$2:$A$201,0))</f>
        <v>Gold</v>
      </c>
      <c r="X1686" s="2" t="n">
        <f aca="false">INDEX(Summary!$T$2:$T$201,MATCH($B1686,Summary!$A$2:$A$201,0))</f>
        <v>73.15</v>
      </c>
      <c r="Y1686" s="0" t="str">
        <f aca="false">INDEX('Reward Model'!$E$18:$E$37,MATCH($E1686,'Reward Model'!$A$18:$A$37,0))</f>
        <v>Low</v>
      </c>
      <c r="Z1686" s="4" t="n">
        <f aca="false">ROUND(MIN(1,MAX('Reward Model'!$B$2,INDEX('Reward Model'!$C$12:$C$14,MATCH($K1686,'Reward Model'!$A$12:$A$14,0))/$J1686)),3)</f>
        <v>1</v>
      </c>
      <c r="AA1686" s="2" t="n">
        <f aca="false">IF($I1686="Correct",ROUND(INDEX('Reward Model'!$B$12:$B$14,MATCH($K1686,'Reward Model'!$A$12:$A$14,0))*Z1686,2),0)</f>
        <v>1</v>
      </c>
      <c r="AB1686" s="2" t="n">
        <f aca="false">IF($I1686="Correct",ROUND(INDEX('Reward Model'!$B$12:$B$14,MATCH($Y1686,'Reward Model'!$A$12:$A$14,0))*Z1686,2),0)</f>
        <v>1</v>
      </c>
    </row>
    <row r="1687" customFormat="false" ht="15" hidden="false" customHeight="false" outlineLevel="0" collapsed="false">
      <c r="A1687" s="0" t="s">
        <v>298</v>
      </c>
      <c r="B1687" s="0" t="s">
        <v>299</v>
      </c>
      <c r="C1687" s="0" t="s">
        <v>30</v>
      </c>
      <c r="D1687" s="0" t="s">
        <v>275</v>
      </c>
      <c r="E1687" s="0" t="n">
        <v>6</v>
      </c>
      <c r="F1687" s="0" t="s">
        <v>48</v>
      </c>
      <c r="G1687" s="0" t="s">
        <v>49</v>
      </c>
      <c r="H1687" s="0" t="s">
        <v>49</v>
      </c>
      <c r="I1687" s="0" t="s">
        <v>34</v>
      </c>
      <c r="J1687" s="0" t="n">
        <v>1.39</v>
      </c>
      <c r="K1687" s="0" t="s">
        <v>35</v>
      </c>
      <c r="L1687" s="0" t="n">
        <f aca="false">INDEX(Summary!$F$2:$F$201,MATCH($B1687,Summary!$A$2:$A$201,0))</f>
        <v>20</v>
      </c>
      <c r="M1687" s="0" t="n">
        <f aca="false">INDEX(Summary!$I$2:$I$201,MATCH($B1687,Summary!$A$2:$A$201,0))</f>
        <v>3</v>
      </c>
      <c r="N1687" s="0" t="n">
        <f aca="false">INDEX(Summary!$J$2:$J$201,MATCH($B1687,Summary!$A$2:$A$201,0))</f>
        <v>2</v>
      </c>
      <c r="O1687" s="2" t="n">
        <f aca="false">INDEX(Summary!$K$2:$K$201,MATCH($B1687,Summary!$A$2:$A$201,0))</f>
        <v>9.48</v>
      </c>
      <c r="P1687" s="3" t="n">
        <f aca="false">INDEX(Summary!$L$2:$L$201,MATCH($B1687,Summary!$A$2:$A$201,0))</f>
        <v>5</v>
      </c>
      <c r="Q1687" s="3" t="n">
        <f aca="false">INDEX(Summary!$M$2:$M$201,MATCH($B1687,Summary!$A$2:$A$201,0))</f>
        <v>1</v>
      </c>
      <c r="R1687" s="2" t="n">
        <f aca="false">INDEX(Summary!$N$2:$N$201,MATCH($B1687,Summary!$A$2:$A$201,0))</f>
        <v>9.01</v>
      </c>
      <c r="S1687" s="3" t="n">
        <f aca="false">INDEX(Summary!$O$2:$O$201,MATCH($B1687,Summary!$A$2:$A$201,0))</f>
        <v>8</v>
      </c>
      <c r="T1687" s="3" t="n">
        <f aca="false">INDEX(Summary!$P$2:$P$201,MATCH($B1687,Summary!$A$2:$A$201,0))</f>
        <v>1</v>
      </c>
      <c r="U1687" s="2" t="n">
        <f aca="false">INDEX(Summary!$Q$2:$Q$201,MATCH($B1687,Summary!$A$2:$A$201,0))</f>
        <v>13.72</v>
      </c>
      <c r="V1687" s="2" t="n">
        <f aca="false">INDEX(Summary!$R$2:$R$201,MATCH($B1687,Summary!$A$2:$A$201,0))</f>
        <v>29.99</v>
      </c>
      <c r="W1687" s="0" t="str">
        <f aca="false">INDEX(Summary!$S$2:$S$201,MATCH($B1687,Summary!$A$2:$A$201,0))</f>
        <v>Gold</v>
      </c>
      <c r="X1687" s="2" t="n">
        <f aca="false">INDEX(Summary!$T$2:$T$201,MATCH($B1687,Summary!$A$2:$A$201,0))</f>
        <v>73.15</v>
      </c>
      <c r="Y1687" s="0" t="str">
        <f aca="false">INDEX('Reward Model'!$E$18:$E$37,MATCH($E1687,'Reward Model'!$A$18:$A$37,0))</f>
        <v>Medium</v>
      </c>
      <c r="Z1687" s="4" t="n">
        <f aca="false">ROUND(MIN(1,MAX('Reward Model'!$B$2,INDEX('Reward Model'!$C$12:$C$14,MATCH($K1687,'Reward Model'!$A$12:$A$14,0))/$J1687)),3)</f>
        <v>1</v>
      </c>
      <c r="AA1687" s="2" t="n">
        <f aca="false">IF($I1687="Correct",ROUND(INDEX('Reward Model'!$B$12:$B$14,MATCH($K1687,'Reward Model'!$A$12:$A$14,0))*Z1687,2),0)</f>
        <v>1</v>
      </c>
      <c r="AB1687" s="2" t="n">
        <f aca="false">IF($I1687="Correct",ROUND(INDEX('Reward Model'!$B$12:$B$14,MATCH($Y1687,'Reward Model'!$A$12:$A$14,0))*Z1687,2),0)</f>
        <v>2</v>
      </c>
    </row>
    <row r="1688" customFormat="false" ht="15" hidden="false" customHeight="false" outlineLevel="0" collapsed="false">
      <c r="A1688" s="0" t="s">
        <v>298</v>
      </c>
      <c r="B1688" s="0" t="s">
        <v>299</v>
      </c>
      <c r="C1688" s="0" t="s">
        <v>30</v>
      </c>
      <c r="D1688" s="0" t="s">
        <v>275</v>
      </c>
      <c r="E1688" s="0" t="n">
        <v>7</v>
      </c>
      <c r="F1688" s="0" t="s">
        <v>50</v>
      </c>
      <c r="G1688" s="0" t="s">
        <v>51</v>
      </c>
      <c r="H1688" s="0" t="s">
        <v>51</v>
      </c>
      <c r="I1688" s="0" t="s">
        <v>34</v>
      </c>
      <c r="J1688" s="0" t="n">
        <v>1.32</v>
      </c>
      <c r="K1688" s="0" t="s">
        <v>35</v>
      </c>
      <c r="L1688" s="0" t="n">
        <f aca="false">INDEX(Summary!$F$2:$F$201,MATCH($B1688,Summary!$A$2:$A$201,0))</f>
        <v>20</v>
      </c>
      <c r="M1688" s="0" t="n">
        <f aca="false">INDEX(Summary!$I$2:$I$201,MATCH($B1688,Summary!$A$2:$A$201,0))</f>
        <v>3</v>
      </c>
      <c r="N1688" s="0" t="n">
        <f aca="false">INDEX(Summary!$J$2:$J$201,MATCH($B1688,Summary!$A$2:$A$201,0))</f>
        <v>2</v>
      </c>
      <c r="O1688" s="2" t="n">
        <f aca="false">INDEX(Summary!$K$2:$K$201,MATCH($B1688,Summary!$A$2:$A$201,0))</f>
        <v>9.48</v>
      </c>
      <c r="P1688" s="3" t="n">
        <f aca="false">INDEX(Summary!$L$2:$L$201,MATCH($B1688,Summary!$A$2:$A$201,0))</f>
        <v>5</v>
      </c>
      <c r="Q1688" s="3" t="n">
        <f aca="false">INDEX(Summary!$M$2:$M$201,MATCH($B1688,Summary!$A$2:$A$201,0))</f>
        <v>1</v>
      </c>
      <c r="R1688" s="2" t="n">
        <f aca="false">INDEX(Summary!$N$2:$N$201,MATCH($B1688,Summary!$A$2:$A$201,0))</f>
        <v>9.01</v>
      </c>
      <c r="S1688" s="3" t="n">
        <f aca="false">INDEX(Summary!$O$2:$O$201,MATCH($B1688,Summary!$A$2:$A$201,0))</f>
        <v>8</v>
      </c>
      <c r="T1688" s="3" t="n">
        <f aca="false">INDEX(Summary!$P$2:$P$201,MATCH($B1688,Summary!$A$2:$A$201,0))</f>
        <v>1</v>
      </c>
      <c r="U1688" s="2" t="n">
        <f aca="false">INDEX(Summary!$Q$2:$Q$201,MATCH($B1688,Summary!$A$2:$A$201,0))</f>
        <v>13.72</v>
      </c>
      <c r="V1688" s="2" t="n">
        <f aca="false">INDEX(Summary!$R$2:$R$201,MATCH($B1688,Summary!$A$2:$A$201,0))</f>
        <v>29.99</v>
      </c>
      <c r="W1688" s="0" t="str">
        <f aca="false">INDEX(Summary!$S$2:$S$201,MATCH($B1688,Summary!$A$2:$A$201,0))</f>
        <v>Gold</v>
      </c>
      <c r="X1688" s="2" t="n">
        <f aca="false">INDEX(Summary!$T$2:$T$201,MATCH($B1688,Summary!$A$2:$A$201,0))</f>
        <v>73.15</v>
      </c>
      <c r="Y1688" s="0" t="str">
        <f aca="false">INDEX('Reward Model'!$E$18:$E$37,MATCH($E1688,'Reward Model'!$A$18:$A$37,0))</f>
        <v>Low</v>
      </c>
      <c r="Z1688" s="4" t="n">
        <f aca="false">ROUND(MIN(1,MAX('Reward Model'!$B$2,INDEX('Reward Model'!$C$12:$C$14,MATCH($K1688,'Reward Model'!$A$12:$A$14,0))/$J1688)),3)</f>
        <v>1</v>
      </c>
      <c r="AA1688" s="2" t="n">
        <f aca="false">IF($I1688="Correct",ROUND(INDEX('Reward Model'!$B$12:$B$14,MATCH($K1688,'Reward Model'!$A$12:$A$14,0))*Z1688,2),0)</f>
        <v>1</v>
      </c>
      <c r="AB1688" s="2" t="n">
        <f aca="false">IF($I1688="Correct",ROUND(INDEX('Reward Model'!$B$12:$B$14,MATCH($Y1688,'Reward Model'!$A$12:$A$14,0))*Z1688,2),0)</f>
        <v>1</v>
      </c>
    </row>
    <row r="1689" customFormat="false" ht="15" hidden="false" customHeight="false" outlineLevel="0" collapsed="false">
      <c r="A1689" s="0" t="s">
        <v>298</v>
      </c>
      <c r="B1689" s="0" t="s">
        <v>299</v>
      </c>
      <c r="C1689" s="0" t="s">
        <v>30</v>
      </c>
      <c r="D1689" s="0" t="s">
        <v>275</v>
      </c>
      <c r="E1689" s="0" t="n">
        <v>8</v>
      </c>
      <c r="F1689" s="0" t="s">
        <v>52</v>
      </c>
      <c r="G1689" s="0" t="s">
        <v>54</v>
      </c>
      <c r="H1689" s="0" t="s">
        <v>54</v>
      </c>
      <c r="I1689" s="0" t="s">
        <v>34</v>
      </c>
      <c r="J1689" s="0" t="n">
        <v>1.39</v>
      </c>
      <c r="K1689" s="0" t="s">
        <v>35</v>
      </c>
      <c r="L1689" s="0" t="n">
        <f aca="false">INDEX(Summary!$F$2:$F$201,MATCH($B1689,Summary!$A$2:$A$201,0))</f>
        <v>20</v>
      </c>
      <c r="M1689" s="0" t="n">
        <f aca="false">INDEX(Summary!$I$2:$I$201,MATCH($B1689,Summary!$A$2:$A$201,0))</f>
        <v>3</v>
      </c>
      <c r="N1689" s="0" t="n">
        <f aca="false">INDEX(Summary!$J$2:$J$201,MATCH($B1689,Summary!$A$2:$A$201,0))</f>
        <v>2</v>
      </c>
      <c r="O1689" s="2" t="n">
        <f aca="false">INDEX(Summary!$K$2:$K$201,MATCH($B1689,Summary!$A$2:$A$201,0))</f>
        <v>9.48</v>
      </c>
      <c r="P1689" s="3" t="n">
        <f aca="false">INDEX(Summary!$L$2:$L$201,MATCH($B1689,Summary!$A$2:$A$201,0))</f>
        <v>5</v>
      </c>
      <c r="Q1689" s="3" t="n">
        <f aca="false">INDEX(Summary!$M$2:$M$201,MATCH($B1689,Summary!$A$2:$A$201,0))</f>
        <v>1</v>
      </c>
      <c r="R1689" s="2" t="n">
        <f aca="false">INDEX(Summary!$N$2:$N$201,MATCH($B1689,Summary!$A$2:$A$201,0))</f>
        <v>9.01</v>
      </c>
      <c r="S1689" s="3" t="n">
        <f aca="false">INDEX(Summary!$O$2:$O$201,MATCH($B1689,Summary!$A$2:$A$201,0))</f>
        <v>8</v>
      </c>
      <c r="T1689" s="3" t="n">
        <f aca="false">INDEX(Summary!$P$2:$P$201,MATCH($B1689,Summary!$A$2:$A$201,0))</f>
        <v>1</v>
      </c>
      <c r="U1689" s="2" t="n">
        <f aca="false">INDEX(Summary!$Q$2:$Q$201,MATCH($B1689,Summary!$A$2:$A$201,0))</f>
        <v>13.72</v>
      </c>
      <c r="V1689" s="2" t="n">
        <f aca="false">INDEX(Summary!$R$2:$R$201,MATCH($B1689,Summary!$A$2:$A$201,0))</f>
        <v>29.99</v>
      </c>
      <c r="W1689" s="0" t="str">
        <f aca="false">INDEX(Summary!$S$2:$S$201,MATCH($B1689,Summary!$A$2:$A$201,0))</f>
        <v>Gold</v>
      </c>
      <c r="X1689" s="2" t="n">
        <f aca="false">INDEX(Summary!$T$2:$T$201,MATCH($B1689,Summary!$A$2:$A$201,0))</f>
        <v>73.15</v>
      </c>
      <c r="Y1689" s="0" t="str">
        <f aca="false">INDEX('Reward Model'!$E$18:$E$37,MATCH($E1689,'Reward Model'!$A$18:$A$37,0))</f>
        <v>Medium</v>
      </c>
      <c r="Z1689" s="4" t="n">
        <f aca="false">ROUND(MIN(1,MAX('Reward Model'!$B$2,INDEX('Reward Model'!$C$12:$C$14,MATCH($K1689,'Reward Model'!$A$12:$A$14,0))/$J1689)),3)</f>
        <v>1</v>
      </c>
      <c r="AA1689" s="2" t="n">
        <f aca="false">IF($I1689="Correct",ROUND(INDEX('Reward Model'!$B$12:$B$14,MATCH($K1689,'Reward Model'!$A$12:$A$14,0))*Z1689,2),0)</f>
        <v>1</v>
      </c>
      <c r="AB1689" s="2" t="n">
        <f aca="false">IF($I1689="Correct",ROUND(INDEX('Reward Model'!$B$12:$B$14,MATCH($Y1689,'Reward Model'!$A$12:$A$14,0))*Z1689,2),0)</f>
        <v>2</v>
      </c>
    </row>
    <row r="1690" customFormat="false" ht="15" hidden="false" customHeight="false" outlineLevel="0" collapsed="false">
      <c r="A1690" s="0" t="s">
        <v>298</v>
      </c>
      <c r="B1690" s="0" t="s">
        <v>299</v>
      </c>
      <c r="C1690" s="0" t="s">
        <v>30</v>
      </c>
      <c r="D1690" s="0" t="s">
        <v>275</v>
      </c>
      <c r="E1690" s="0" t="n">
        <v>9</v>
      </c>
      <c r="F1690" s="0" t="s">
        <v>55</v>
      </c>
      <c r="G1690" s="0" t="s">
        <v>57</v>
      </c>
      <c r="H1690" s="0" t="s">
        <v>57</v>
      </c>
      <c r="I1690" s="0" t="s">
        <v>34</v>
      </c>
      <c r="J1690" s="0" t="n">
        <v>1.3</v>
      </c>
      <c r="K1690" s="0" t="s">
        <v>35</v>
      </c>
      <c r="L1690" s="0" t="n">
        <f aca="false">INDEX(Summary!$F$2:$F$201,MATCH($B1690,Summary!$A$2:$A$201,0))</f>
        <v>20</v>
      </c>
      <c r="M1690" s="0" t="n">
        <f aca="false">INDEX(Summary!$I$2:$I$201,MATCH($B1690,Summary!$A$2:$A$201,0))</f>
        <v>3</v>
      </c>
      <c r="N1690" s="0" t="n">
        <f aca="false">INDEX(Summary!$J$2:$J$201,MATCH($B1690,Summary!$A$2:$A$201,0))</f>
        <v>2</v>
      </c>
      <c r="O1690" s="2" t="n">
        <f aca="false">INDEX(Summary!$K$2:$K$201,MATCH($B1690,Summary!$A$2:$A$201,0))</f>
        <v>9.48</v>
      </c>
      <c r="P1690" s="3" t="n">
        <f aca="false">INDEX(Summary!$L$2:$L$201,MATCH($B1690,Summary!$A$2:$A$201,0))</f>
        <v>5</v>
      </c>
      <c r="Q1690" s="3" t="n">
        <f aca="false">INDEX(Summary!$M$2:$M$201,MATCH($B1690,Summary!$A$2:$A$201,0))</f>
        <v>1</v>
      </c>
      <c r="R1690" s="2" t="n">
        <f aca="false">INDEX(Summary!$N$2:$N$201,MATCH($B1690,Summary!$A$2:$A$201,0))</f>
        <v>9.01</v>
      </c>
      <c r="S1690" s="3" t="n">
        <f aca="false">INDEX(Summary!$O$2:$O$201,MATCH($B1690,Summary!$A$2:$A$201,0))</f>
        <v>8</v>
      </c>
      <c r="T1690" s="3" t="n">
        <f aca="false">INDEX(Summary!$P$2:$P$201,MATCH($B1690,Summary!$A$2:$A$201,0))</f>
        <v>1</v>
      </c>
      <c r="U1690" s="2" t="n">
        <f aca="false">INDEX(Summary!$Q$2:$Q$201,MATCH($B1690,Summary!$A$2:$A$201,0))</f>
        <v>13.72</v>
      </c>
      <c r="V1690" s="2" t="n">
        <f aca="false">INDEX(Summary!$R$2:$R$201,MATCH($B1690,Summary!$A$2:$A$201,0))</f>
        <v>29.99</v>
      </c>
      <c r="W1690" s="0" t="str">
        <f aca="false">INDEX(Summary!$S$2:$S$201,MATCH($B1690,Summary!$A$2:$A$201,0))</f>
        <v>Gold</v>
      </c>
      <c r="X1690" s="2" t="n">
        <f aca="false">INDEX(Summary!$T$2:$T$201,MATCH($B1690,Summary!$A$2:$A$201,0))</f>
        <v>73.15</v>
      </c>
      <c r="Y1690" s="0" t="str">
        <f aca="false">INDEX('Reward Model'!$E$18:$E$37,MATCH($E1690,'Reward Model'!$A$18:$A$37,0))</f>
        <v>Medium</v>
      </c>
      <c r="Z1690" s="4" t="n">
        <f aca="false">ROUND(MIN(1,MAX('Reward Model'!$B$2,INDEX('Reward Model'!$C$12:$C$14,MATCH($K1690,'Reward Model'!$A$12:$A$14,0))/$J1690)),3)</f>
        <v>1</v>
      </c>
      <c r="AA1690" s="2" t="n">
        <f aca="false">IF($I1690="Correct",ROUND(INDEX('Reward Model'!$B$12:$B$14,MATCH($K1690,'Reward Model'!$A$12:$A$14,0))*Z1690,2),0)</f>
        <v>1</v>
      </c>
      <c r="AB1690" s="2" t="n">
        <f aca="false">IF($I1690="Correct",ROUND(INDEX('Reward Model'!$B$12:$B$14,MATCH($Y1690,'Reward Model'!$A$12:$A$14,0))*Z1690,2),0)</f>
        <v>2</v>
      </c>
    </row>
    <row r="1691" customFormat="false" ht="15" hidden="false" customHeight="false" outlineLevel="0" collapsed="false">
      <c r="A1691" s="0" t="s">
        <v>298</v>
      </c>
      <c r="B1691" s="0" t="s">
        <v>299</v>
      </c>
      <c r="C1691" s="0" t="s">
        <v>30</v>
      </c>
      <c r="D1691" s="0" t="s">
        <v>275</v>
      </c>
      <c r="E1691" s="0" t="n">
        <v>10</v>
      </c>
      <c r="F1691" s="0" t="s">
        <v>58</v>
      </c>
      <c r="G1691" s="0" t="s">
        <v>138</v>
      </c>
      <c r="H1691" s="0" t="s">
        <v>59</v>
      </c>
      <c r="I1691" s="0" t="s">
        <v>39</v>
      </c>
      <c r="J1691" s="0" t="n">
        <v>1.5</v>
      </c>
      <c r="K1691" s="0" t="s">
        <v>60</v>
      </c>
      <c r="L1691" s="0" t="n">
        <f aca="false">INDEX(Summary!$F$2:$F$201,MATCH($B1691,Summary!$A$2:$A$201,0))</f>
        <v>20</v>
      </c>
      <c r="M1691" s="0" t="n">
        <f aca="false">INDEX(Summary!$I$2:$I$201,MATCH($B1691,Summary!$A$2:$A$201,0))</f>
        <v>3</v>
      </c>
      <c r="N1691" s="0" t="n">
        <f aca="false">INDEX(Summary!$J$2:$J$201,MATCH($B1691,Summary!$A$2:$A$201,0))</f>
        <v>2</v>
      </c>
      <c r="O1691" s="2" t="n">
        <f aca="false">INDEX(Summary!$K$2:$K$201,MATCH($B1691,Summary!$A$2:$A$201,0))</f>
        <v>9.48</v>
      </c>
      <c r="P1691" s="3" t="n">
        <f aca="false">INDEX(Summary!$L$2:$L$201,MATCH($B1691,Summary!$A$2:$A$201,0))</f>
        <v>5</v>
      </c>
      <c r="Q1691" s="3" t="n">
        <f aca="false">INDEX(Summary!$M$2:$M$201,MATCH($B1691,Summary!$A$2:$A$201,0))</f>
        <v>1</v>
      </c>
      <c r="R1691" s="2" t="n">
        <f aca="false">INDEX(Summary!$N$2:$N$201,MATCH($B1691,Summary!$A$2:$A$201,0))</f>
        <v>9.01</v>
      </c>
      <c r="S1691" s="3" t="n">
        <f aca="false">INDEX(Summary!$O$2:$O$201,MATCH($B1691,Summary!$A$2:$A$201,0))</f>
        <v>8</v>
      </c>
      <c r="T1691" s="3" t="n">
        <f aca="false">INDEX(Summary!$P$2:$P$201,MATCH($B1691,Summary!$A$2:$A$201,0))</f>
        <v>1</v>
      </c>
      <c r="U1691" s="2" t="n">
        <f aca="false">INDEX(Summary!$Q$2:$Q$201,MATCH($B1691,Summary!$A$2:$A$201,0))</f>
        <v>13.72</v>
      </c>
      <c r="V1691" s="2" t="n">
        <f aca="false">INDEX(Summary!$R$2:$R$201,MATCH($B1691,Summary!$A$2:$A$201,0))</f>
        <v>29.99</v>
      </c>
      <c r="W1691" s="0" t="str">
        <f aca="false">INDEX(Summary!$S$2:$S$201,MATCH($B1691,Summary!$A$2:$A$201,0))</f>
        <v>Gold</v>
      </c>
      <c r="X1691" s="2" t="n">
        <f aca="false">INDEX(Summary!$T$2:$T$201,MATCH($B1691,Summary!$A$2:$A$201,0))</f>
        <v>73.15</v>
      </c>
      <c r="Y1691" s="0" t="str">
        <f aca="false">INDEX('Reward Model'!$E$18:$E$37,MATCH($E1691,'Reward Model'!$A$18:$A$37,0))</f>
        <v>Medium</v>
      </c>
      <c r="Z1691" s="4" t="n">
        <f aca="false">ROUND(MIN(1,MAX('Reward Model'!$B$2,INDEX('Reward Model'!$C$12:$C$14,MATCH($K1691,'Reward Model'!$A$12:$A$14,0))/$J1691)),3)</f>
        <v>1</v>
      </c>
      <c r="AA1691" s="2" t="n">
        <f aca="false">IF($I1691="Correct",ROUND(INDEX('Reward Model'!$B$12:$B$14,MATCH($K1691,'Reward Model'!$A$12:$A$14,0))*Z1691,2),0)</f>
        <v>0</v>
      </c>
      <c r="AB1691" s="2" t="n">
        <f aca="false">IF($I1691="Correct",ROUND(INDEX('Reward Model'!$B$12:$B$14,MATCH($Y1691,'Reward Model'!$A$12:$A$14,0))*Z1691,2),0)</f>
        <v>0</v>
      </c>
    </row>
    <row r="1692" customFormat="false" ht="15" hidden="false" customHeight="false" outlineLevel="0" collapsed="false">
      <c r="A1692" s="0" t="s">
        <v>298</v>
      </c>
      <c r="B1692" s="0" t="s">
        <v>299</v>
      </c>
      <c r="C1692" s="0" t="s">
        <v>30</v>
      </c>
      <c r="D1692" s="0" t="s">
        <v>275</v>
      </c>
      <c r="E1692" s="0" t="n">
        <v>11</v>
      </c>
      <c r="F1692" s="0" t="s">
        <v>61</v>
      </c>
      <c r="G1692" s="0" t="s">
        <v>63</v>
      </c>
      <c r="H1692" s="0" t="s">
        <v>63</v>
      </c>
      <c r="I1692" s="0" t="s">
        <v>34</v>
      </c>
      <c r="J1692" s="0" t="n">
        <v>1.86</v>
      </c>
      <c r="K1692" s="0" t="s">
        <v>60</v>
      </c>
      <c r="L1692" s="0" t="n">
        <f aca="false">INDEX(Summary!$F$2:$F$201,MATCH($B1692,Summary!$A$2:$A$201,0))</f>
        <v>20</v>
      </c>
      <c r="M1692" s="0" t="n">
        <f aca="false">INDEX(Summary!$I$2:$I$201,MATCH($B1692,Summary!$A$2:$A$201,0))</f>
        <v>3</v>
      </c>
      <c r="N1692" s="0" t="n">
        <f aca="false">INDEX(Summary!$J$2:$J$201,MATCH($B1692,Summary!$A$2:$A$201,0))</f>
        <v>2</v>
      </c>
      <c r="O1692" s="2" t="n">
        <f aca="false">INDEX(Summary!$K$2:$K$201,MATCH($B1692,Summary!$A$2:$A$201,0))</f>
        <v>9.48</v>
      </c>
      <c r="P1692" s="3" t="n">
        <f aca="false">INDEX(Summary!$L$2:$L$201,MATCH($B1692,Summary!$A$2:$A$201,0))</f>
        <v>5</v>
      </c>
      <c r="Q1692" s="3" t="n">
        <f aca="false">INDEX(Summary!$M$2:$M$201,MATCH($B1692,Summary!$A$2:$A$201,0))</f>
        <v>1</v>
      </c>
      <c r="R1692" s="2" t="n">
        <f aca="false">INDEX(Summary!$N$2:$N$201,MATCH($B1692,Summary!$A$2:$A$201,0))</f>
        <v>9.01</v>
      </c>
      <c r="S1692" s="3" t="n">
        <f aca="false">INDEX(Summary!$O$2:$O$201,MATCH($B1692,Summary!$A$2:$A$201,0))</f>
        <v>8</v>
      </c>
      <c r="T1692" s="3" t="n">
        <f aca="false">INDEX(Summary!$P$2:$P$201,MATCH($B1692,Summary!$A$2:$A$201,0))</f>
        <v>1</v>
      </c>
      <c r="U1692" s="2" t="n">
        <f aca="false">INDEX(Summary!$Q$2:$Q$201,MATCH($B1692,Summary!$A$2:$A$201,0))</f>
        <v>13.72</v>
      </c>
      <c r="V1692" s="2" t="n">
        <f aca="false">INDEX(Summary!$R$2:$R$201,MATCH($B1692,Summary!$A$2:$A$201,0))</f>
        <v>29.99</v>
      </c>
      <c r="W1692" s="0" t="str">
        <f aca="false">INDEX(Summary!$S$2:$S$201,MATCH($B1692,Summary!$A$2:$A$201,0))</f>
        <v>Gold</v>
      </c>
      <c r="X1692" s="2" t="n">
        <f aca="false">INDEX(Summary!$T$2:$T$201,MATCH($B1692,Summary!$A$2:$A$201,0))</f>
        <v>73.15</v>
      </c>
      <c r="Y1692" s="0" t="str">
        <f aca="false">INDEX('Reward Model'!$E$18:$E$37,MATCH($E1692,'Reward Model'!$A$18:$A$37,0))</f>
        <v>Medium</v>
      </c>
      <c r="Z1692" s="4" t="n">
        <f aca="false">ROUND(MIN(1,MAX('Reward Model'!$B$2,INDEX('Reward Model'!$C$12:$C$14,MATCH($K1692,'Reward Model'!$A$12:$A$14,0))/$J1692)),3)</f>
        <v>0.968</v>
      </c>
      <c r="AA1692" s="2" t="n">
        <f aca="false">IF($I1692="Correct",ROUND(INDEX('Reward Model'!$B$12:$B$14,MATCH($K1692,'Reward Model'!$A$12:$A$14,0))*Z1692,2),0)</f>
        <v>1.94</v>
      </c>
      <c r="AB1692" s="2" t="n">
        <f aca="false">IF($I1692="Correct",ROUND(INDEX('Reward Model'!$B$12:$B$14,MATCH($Y1692,'Reward Model'!$A$12:$A$14,0))*Z1692,2),0)</f>
        <v>1.94</v>
      </c>
    </row>
    <row r="1693" customFormat="false" ht="15" hidden="false" customHeight="false" outlineLevel="0" collapsed="false">
      <c r="A1693" s="0" t="s">
        <v>298</v>
      </c>
      <c r="B1693" s="0" t="s">
        <v>299</v>
      </c>
      <c r="C1693" s="0" t="s">
        <v>30</v>
      </c>
      <c r="D1693" s="0" t="s">
        <v>275</v>
      </c>
      <c r="E1693" s="0" t="n">
        <v>12</v>
      </c>
      <c r="F1693" s="0" t="s">
        <v>64</v>
      </c>
      <c r="G1693" s="0" t="s">
        <v>65</v>
      </c>
      <c r="H1693" s="0" t="s">
        <v>65</v>
      </c>
      <c r="I1693" s="0" t="s">
        <v>34</v>
      </c>
      <c r="J1693" s="0" t="n">
        <v>1.13</v>
      </c>
      <c r="K1693" s="0" t="s">
        <v>60</v>
      </c>
      <c r="L1693" s="0" t="n">
        <f aca="false">INDEX(Summary!$F$2:$F$201,MATCH($B1693,Summary!$A$2:$A$201,0))</f>
        <v>20</v>
      </c>
      <c r="M1693" s="0" t="n">
        <f aca="false">INDEX(Summary!$I$2:$I$201,MATCH($B1693,Summary!$A$2:$A$201,0))</f>
        <v>3</v>
      </c>
      <c r="N1693" s="0" t="n">
        <f aca="false">INDEX(Summary!$J$2:$J$201,MATCH($B1693,Summary!$A$2:$A$201,0))</f>
        <v>2</v>
      </c>
      <c r="O1693" s="2" t="n">
        <f aca="false">INDEX(Summary!$K$2:$K$201,MATCH($B1693,Summary!$A$2:$A$201,0))</f>
        <v>9.48</v>
      </c>
      <c r="P1693" s="3" t="n">
        <f aca="false">INDEX(Summary!$L$2:$L$201,MATCH($B1693,Summary!$A$2:$A$201,0))</f>
        <v>5</v>
      </c>
      <c r="Q1693" s="3" t="n">
        <f aca="false">INDEX(Summary!$M$2:$M$201,MATCH($B1693,Summary!$A$2:$A$201,0))</f>
        <v>1</v>
      </c>
      <c r="R1693" s="2" t="n">
        <f aca="false">INDEX(Summary!$N$2:$N$201,MATCH($B1693,Summary!$A$2:$A$201,0))</f>
        <v>9.01</v>
      </c>
      <c r="S1693" s="3" t="n">
        <f aca="false">INDEX(Summary!$O$2:$O$201,MATCH($B1693,Summary!$A$2:$A$201,0))</f>
        <v>8</v>
      </c>
      <c r="T1693" s="3" t="n">
        <f aca="false">INDEX(Summary!$P$2:$P$201,MATCH($B1693,Summary!$A$2:$A$201,0))</f>
        <v>1</v>
      </c>
      <c r="U1693" s="2" t="n">
        <f aca="false">INDEX(Summary!$Q$2:$Q$201,MATCH($B1693,Summary!$A$2:$A$201,0))</f>
        <v>13.72</v>
      </c>
      <c r="V1693" s="2" t="n">
        <f aca="false">INDEX(Summary!$R$2:$R$201,MATCH($B1693,Summary!$A$2:$A$201,0))</f>
        <v>29.99</v>
      </c>
      <c r="W1693" s="0" t="str">
        <f aca="false">INDEX(Summary!$S$2:$S$201,MATCH($B1693,Summary!$A$2:$A$201,0))</f>
        <v>Gold</v>
      </c>
      <c r="X1693" s="2" t="n">
        <f aca="false">INDEX(Summary!$T$2:$T$201,MATCH($B1693,Summary!$A$2:$A$201,0))</f>
        <v>73.15</v>
      </c>
      <c r="Y1693" s="0" t="str">
        <f aca="false">INDEX('Reward Model'!$E$18:$E$37,MATCH($E1693,'Reward Model'!$A$18:$A$37,0))</f>
        <v>Medium</v>
      </c>
      <c r="Z1693" s="4" t="n">
        <f aca="false">ROUND(MIN(1,MAX('Reward Model'!$B$2,INDEX('Reward Model'!$C$12:$C$14,MATCH($K1693,'Reward Model'!$A$12:$A$14,0))/$J1693)),3)</f>
        <v>1</v>
      </c>
      <c r="AA1693" s="2" t="n">
        <f aca="false">IF($I1693="Correct",ROUND(INDEX('Reward Model'!$B$12:$B$14,MATCH($K1693,'Reward Model'!$A$12:$A$14,0))*Z1693,2),0)</f>
        <v>2</v>
      </c>
      <c r="AB1693" s="2" t="n">
        <f aca="false">IF($I1693="Correct",ROUND(INDEX('Reward Model'!$B$12:$B$14,MATCH($Y1693,'Reward Model'!$A$12:$A$14,0))*Z1693,2),0)</f>
        <v>2</v>
      </c>
    </row>
    <row r="1694" customFormat="false" ht="15" hidden="false" customHeight="false" outlineLevel="0" collapsed="false">
      <c r="A1694" s="0" t="s">
        <v>298</v>
      </c>
      <c r="B1694" s="0" t="s">
        <v>299</v>
      </c>
      <c r="C1694" s="0" t="s">
        <v>30</v>
      </c>
      <c r="D1694" s="0" t="s">
        <v>275</v>
      </c>
      <c r="E1694" s="0" t="n">
        <v>13</v>
      </c>
      <c r="F1694" s="0" t="s">
        <v>66</v>
      </c>
      <c r="G1694" s="0" t="s">
        <v>67</v>
      </c>
      <c r="H1694" s="0" t="s">
        <v>67</v>
      </c>
      <c r="I1694" s="0" t="s">
        <v>34</v>
      </c>
      <c r="J1694" s="0" t="n">
        <v>1.2</v>
      </c>
      <c r="K1694" s="0" t="s">
        <v>60</v>
      </c>
      <c r="L1694" s="0" t="n">
        <f aca="false">INDEX(Summary!$F$2:$F$201,MATCH($B1694,Summary!$A$2:$A$201,0))</f>
        <v>20</v>
      </c>
      <c r="M1694" s="0" t="n">
        <f aca="false">INDEX(Summary!$I$2:$I$201,MATCH($B1694,Summary!$A$2:$A$201,0))</f>
        <v>3</v>
      </c>
      <c r="N1694" s="0" t="n">
        <f aca="false">INDEX(Summary!$J$2:$J$201,MATCH($B1694,Summary!$A$2:$A$201,0))</f>
        <v>2</v>
      </c>
      <c r="O1694" s="2" t="n">
        <f aca="false">INDEX(Summary!$K$2:$K$201,MATCH($B1694,Summary!$A$2:$A$201,0))</f>
        <v>9.48</v>
      </c>
      <c r="P1694" s="3" t="n">
        <f aca="false">INDEX(Summary!$L$2:$L$201,MATCH($B1694,Summary!$A$2:$A$201,0))</f>
        <v>5</v>
      </c>
      <c r="Q1694" s="3" t="n">
        <f aca="false">INDEX(Summary!$M$2:$M$201,MATCH($B1694,Summary!$A$2:$A$201,0))</f>
        <v>1</v>
      </c>
      <c r="R1694" s="2" t="n">
        <f aca="false">INDEX(Summary!$N$2:$N$201,MATCH($B1694,Summary!$A$2:$A$201,0))</f>
        <v>9.01</v>
      </c>
      <c r="S1694" s="3" t="n">
        <f aca="false">INDEX(Summary!$O$2:$O$201,MATCH($B1694,Summary!$A$2:$A$201,0))</f>
        <v>8</v>
      </c>
      <c r="T1694" s="3" t="n">
        <f aca="false">INDEX(Summary!$P$2:$P$201,MATCH($B1694,Summary!$A$2:$A$201,0))</f>
        <v>1</v>
      </c>
      <c r="U1694" s="2" t="n">
        <f aca="false">INDEX(Summary!$Q$2:$Q$201,MATCH($B1694,Summary!$A$2:$A$201,0))</f>
        <v>13.72</v>
      </c>
      <c r="V1694" s="2" t="n">
        <f aca="false">INDEX(Summary!$R$2:$R$201,MATCH($B1694,Summary!$A$2:$A$201,0))</f>
        <v>29.99</v>
      </c>
      <c r="W1694" s="0" t="str">
        <f aca="false">INDEX(Summary!$S$2:$S$201,MATCH($B1694,Summary!$A$2:$A$201,0))</f>
        <v>Gold</v>
      </c>
      <c r="X1694" s="2" t="n">
        <f aca="false">INDEX(Summary!$T$2:$T$201,MATCH($B1694,Summary!$A$2:$A$201,0))</f>
        <v>73.15</v>
      </c>
      <c r="Y1694" s="0" t="str">
        <f aca="false">INDEX('Reward Model'!$E$18:$E$37,MATCH($E1694,'Reward Model'!$A$18:$A$37,0))</f>
        <v>Medium</v>
      </c>
      <c r="Z1694" s="4" t="n">
        <f aca="false">ROUND(MIN(1,MAX('Reward Model'!$B$2,INDEX('Reward Model'!$C$12:$C$14,MATCH($K1694,'Reward Model'!$A$12:$A$14,0))/$J1694)),3)</f>
        <v>1</v>
      </c>
      <c r="AA1694" s="2" t="n">
        <f aca="false">IF($I1694="Correct",ROUND(INDEX('Reward Model'!$B$12:$B$14,MATCH($K1694,'Reward Model'!$A$12:$A$14,0))*Z1694,2),0)</f>
        <v>2</v>
      </c>
      <c r="AB1694" s="2" t="n">
        <f aca="false">IF($I1694="Correct",ROUND(INDEX('Reward Model'!$B$12:$B$14,MATCH($Y1694,'Reward Model'!$A$12:$A$14,0))*Z1694,2),0)</f>
        <v>2</v>
      </c>
    </row>
    <row r="1695" customFormat="false" ht="15" hidden="false" customHeight="false" outlineLevel="0" collapsed="false">
      <c r="A1695" s="0" t="s">
        <v>298</v>
      </c>
      <c r="B1695" s="0" t="s">
        <v>299</v>
      </c>
      <c r="C1695" s="0" t="s">
        <v>30</v>
      </c>
      <c r="D1695" s="0" t="s">
        <v>275</v>
      </c>
      <c r="E1695" s="0" t="n">
        <v>14</v>
      </c>
      <c r="F1695" s="0" t="s">
        <v>68</v>
      </c>
      <c r="G1695" s="0" t="s">
        <v>51</v>
      </c>
      <c r="H1695" s="0" t="s">
        <v>51</v>
      </c>
      <c r="I1695" s="0" t="s">
        <v>34</v>
      </c>
      <c r="J1695" s="0" t="n">
        <v>1.52</v>
      </c>
      <c r="K1695" s="0" t="s">
        <v>60</v>
      </c>
      <c r="L1695" s="0" t="n">
        <f aca="false">INDEX(Summary!$F$2:$F$201,MATCH($B1695,Summary!$A$2:$A$201,0))</f>
        <v>20</v>
      </c>
      <c r="M1695" s="0" t="n">
        <f aca="false">INDEX(Summary!$I$2:$I$201,MATCH($B1695,Summary!$A$2:$A$201,0))</f>
        <v>3</v>
      </c>
      <c r="N1695" s="0" t="n">
        <f aca="false">INDEX(Summary!$J$2:$J$201,MATCH($B1695,Summary!$A$2:$A$201,0))</f>
        <v>2</v>
      </c>
      <c r="O1695" s="2" t="n">
        <f aca="false">INDEX(Summary!$K$2:$K$201,MATCH($B1695,Summary!$A$2:$A$201,0))</f>
        <v>9.48</v>
      </c>
      <c r="P1695" s="3" t="n">
        <f aca="false">INDEX(Summary!$L$2:$L$201,MATCH($B1695,Summary!$A$2:$A$201,0))</f>
        <v>5</v>
      </c>
      <c r="Q1695" s="3" t="n">
        <f aca="false">INDEX(Summary!$M$2:$M$201,MATCH($B1695,Summary!$A$2:$A$201,0))</f>
        <v>1</v>
      </c>
      <c r="R1695" s="2" t="n">
        <f aca="false">INDEX(Summary!$N$2:$N$201,MATCH($B1695,Summary!$A$2:$A$201,0))</f>
        <v>9.01</v>
      </c>
      <c r="S1695" s="3" t="n">
        <f aca="false">INDEX(Summary!$O$2:$O$201,MATCH($B1695,Summary!$A$2:$A$201,0))</f>
        <v>8</v>
      </c>
      <c r="T1695" s="3" t="n">
        <f aca="false">INDEX(Summary!$P$2:$P$201,MATCH($B1695,Summary!$A$2:$A$201,0))</f>
        <v>1</v>
      </c>
      <c r="U1695" s="2" t="n">
        <f aca="false">INDEX(Summary!$Q$2:$Q$201,MATCH($B1695,Summary!$A$2:$A$201,0))</f>
        <v>13.72</v>
      </c>
      <c r="V1695" s="2" t="n">
        <f aca="false">INDEX(Summary!$R$2:$R$201,MATCH($B1695,Summary!$A$2:$A$201,0))</f>
        <v>29.99</v>
      </c>
      <c r="W1695" s="0" t="str">
        <f aca="false">INDEX(Summary!$S$2:$S$201,MATCH($B1695,Summary!$A$2:$A$201,0))</f>
        <v>Gold</v>
      </c>
      <c r="X1695" s="2" t="n">
        <f aca="false">INDEX(Summary!$T$2:$T$201,MATCH($B1695,Summary!$A$2:$A$201,0))</f>
        <v>73.15</v>
      </c>
      <c r="Y1695" s="0" t="str">
        <f aca="false">INDEX('Reward Model'!$E$18:$E$37,MATCH($E1695,'Reward Model'!$A$18:$A$37,0))</f>
        <v>Medium</v>
      </c>
      <c r="Z1695" s="4" t="n">
        <f aca="false">ROUND(MIN(1,MAX('Reward Model'!$B$2,INDEX('Reward Model'!$C$12:$C$14,MATCH($K1695,'Reward Model'!$A$12:$A$14,0))/$J1695)),3)</f>
        <v>1</v>
      </c>
      <c r="AA1695" s="2" t="n">
        <f aca="false">IF($I1695="Correct",ROUND(INDEX('Reward Model'!$B$12:$B$14,MATCH($K1695,'Reward Model'!$A$12:$A$14,0))*Z1695,2),0)</f>
        <v>2</v>
      </c>
      <c r="AB1695" s="2" t="n">
        <f aca="false">IF($I1695="Correct",ROUND(INDEX('Reward Model'!$B$12:$B$14,MATCH($Y1695,'Reward Model'!$A$12:$A$14,0))*Z1695,2),0)</f>
        <v>2</v>
      </c>
    </row>
    <row r="1696" customFormat="false" ht="15" hidden="false" customHeight="false" outlineLevel="0" collapsed="false">
      <c r="A1696" s="0" t="s">
        <v>298</v>
      </c>
      <c r="B1696" s="0" t="s">
        <v>299</v>
      </c>
      <c r="C1696" s="0" t="s">
        <v>30</v>
      </c>
      <c r="D1696" s="0" t="s">
        <v>275</v>
      </c>
      <c r="E1696" s="0" t="n">
        <v>15</v>
      </c>
      <c r="F1696" s="0" t="s">
        <v>69</v>
      </c>
      <c r="G1696" s="0" t="s">
        <v>70</v>
      </c>
      <c r="H1696" s="0" t="s">
        <v>70</v>
      </c>
      <c r="I1696" s="0" t="s">
        <v>34</v>
      </c>
      <c r="J1696" s="0" t="n">
        <v>1.8</v>
      </c>
      <c r="K1696" s="0" t="s">
        <v>60</v>
      </c>
      <c r="L1696" s="0" t="n">
        <f aca="false">INDEX(Summary!$F$2:$F$201,MATCH($B1696,Summary!$A$2:$A$201,0))</f>
        <v>20</v>
      </c>
      <c r="M1696" s="0" t="n">
        <f aca="false">INDEX(Summary!$I$2:$I$201,MATCH($B1696,Summary!$A$2:$A$201,0))</f>
        <v>3</v>
      </c>
      <c r="N1696" s="0" t="n">
        <f aca="false">INDEX(Summary!$J$2:$J$201,MATCH($B1696,Summary!$A$2:$A$201,0))</f>
        <v>2</v>
      </c>
      <c r="O1696" s="2" t="n">
        <f aca="false">INDEX(Summary!$K$2:$K$201,MATCH($B1696,Summary!$A$2:$A$201,0))</f>
        <v>9.48</v>
      </c>
      <c r="P1696" s="3" t="n">
        <f aca="false">INDEX(Summary!$L$2:$L$201,MATCH($B1696,Summary!$A$2:$A$201,0))</f>
        <v>5</v>
      </c>
      <c r="Q1696" s="3" t="n">
        <f aca="false">INDEX(Summary!$M$2:$M$201,MATCH($B1696,Summary!$A$2:$A$201,0))</f>
        <v>1</v>
      </c>
      <c r="R1696" s="2" t="n">
        <f aca="false">INDEX(Summary!$N$2:$N$201,MATCH($B1696,Summary!$A$2:$A$201,0))</f>
        <v>9.01</v>
      </c>
      <c r="S1696" s="3" t="n">
        <f aca="false">INDEX(Summary!$O$2:$O$201,MATCH($B1696,Summary!$A$2:$A$201,0))</f>
        <v>8</v>
      </c>
      <c r="T1696" s="3" t="n">
        <f aca="false">INDEX(Summary!$P$2:$P$201,MATCH($B1696,Summary!$A$2:$A$201,0))</f>
        <v>1</v>
      </c>
      <c r="U1696" s="2" t="n">
        <f aca="false">INDEX(Summary!$Q$2:$Q$201,MATCH($B1696,Summary!$A$2:$A$201,0))</f>
        <v>13.72</v>
      </c>
      <c r="V1696" s="2" t="n">
        <f aca="false">INDEX(Summary!$R$2:$R$201,MATCH($B1696,Summary!$A$2:$A$201,0))</f>
        <v>29.99</v>
      </c>
      <c r="W1696" s="0" t="str">
        <f aca="false">INDEX(Summary!$S$2:$S$201,MATCH($B1696,Summary!$A$2:$A$201,0))</f>
        <v>Gold</v>
      </c>
      <c r="X1696" s="2" t="n">
        <f aca="false">INDEX(Summary!$T$2:$T$201,MATCH($B1696,Summary!$A$2:$A$201,0))</f>
        <v>73.15</v>
      </c>
      <c r="Y1696" s="0" t="str">
        <f aca="false">INDEX('Reward Model'!$E$18:$E$37,MATCH($E1696,'Reward Model'!$A$18:$A$37,0))</f>
        <v>Medium</v>
      </c>
      <c r="Z1696" s="4" t="n">
        <f aca="false">ROUND(MIN(1,MAX('Reward Model'!$B$2,INDEX('Reward Model'!$C$12:$C$14,MATCH($K1696,'Reward Model'!$A$12:$A$14,0))/$J1696)),3)</f>
        <v>1</v>
      </c>
      <c r="AA1696" s="2" t="n">
        <f aca="false">IF($I1696="Correct",ROUND(INDEX('Reward Model'!$B$12:$B$14,MATCH($K1696,'Reward Model'!$A$12:$A$14,0))*Z1696,2),0)</f>
        <v>2</v>
      </c>
      <c r="AB1696" s="2" t="n">
        <f aca="false">IF($I1696="Correct",ROUND(INDEX('Reward Model'!$B$12:$B$14,MATCH($Y1696,'Reward Model'!$A$12:$A$14,0))*Z1696,2),0)</f>
        <v>2</v>
      </c>
    </row>
    <row r="1697" customFormat="false" ht="15" hidden="false" customHeight="false" outlineLevel="0" collapsed="false">
      <c r="A1697" s="0" t="s">
        <v>298</v>
      </c>
      <c r="B1697" s="0" t="s">
        <v>299</v>
      </c>
      <c r="C1697" s="0" t="s">
        <v>30</v>
      </c>
      <c r="D1697" s="0" t="s">
        <v>275</v>
      </c>
      <c r="E1697" s="0" t="n">
        <v>16</v>
      </c>
      <c r="F1697" s="0" t="s">
        <v>71</v>
      </c>
      <c r="G1697" s="0" t="s">
        <v>72</v>
      </c>
      <c r="H1697" s="0" t="s">
        <v>72</v>
      </c>
      <c r="I1697" s="0" t="s">
        <v>34</v>
      </c>
      <c r="J1697" s="0" t="n">
        <v>1.73</v>
      </c>
      <c r="K1697" s="0" t="s">
        <v>73</v>
      </c>
      <c r="L1697" s="0" t="n">
        <f aca="false">INDEX(Summary!$F$2:$F$201,MATCH($B1697,Summary!$A$2:$A$201,0))</f>
        <v>20</v>
      </c>
      <c r="M1697" s="0" t="n">
        <f aca="false">INDEX(Summary!$I$2:$I$201,MATCH($B1697,Summary!$A$2:$A$201,0))</f>
        <v>3</v>
      </c>
      <c r="N1697" s="0" t="n">
        <f aca="false">INDEX(Summary!$J$2:$J$201,MATCH($B1697,Summary!$A$2:$A$201,0))</f>
        <v>2</v>
      </c>
      <c r="O1697" s="2" t="n">
        <f aca="false">INDEX(Summary!$K$2:$K$201,MATCH($B1697,Summary!$A$2:$A$201,0))</f>
        <v>9.48</v>
      </c>
      <c r="P1697" s="3" t="n">
        <f aca="false">INDEX(Summary!$L$2:$L$201,MATCH($B1697,Summary!$A$2:$A$201,0))</f>
        <v>5</v>
      </c>
      <c r="Q1697" s="3" t="n">
        <f aca="false">INDEX(Summary!$M$2:$M$201,MATCH($B1697,Summary!$A$2:$A$201,0))</f>
        <v>1</v>
      </c>
      <c r="R1697" s="2" t="n">
        <f aca="false">INDEX(Summary!$N$2:$N$201,MATCH($B1697,Summary!$A$2:$A$201,0))</f>
        <v>9.01</v>
      </c>
      <c r="S1697" s="3" t="n">
        <f aca="false">INDEX(Summary!$O$2:$O$201,MATCH($B1697,Summary!$A$2:$A$201,0))</f>
        <v>8</v>
      </c>
      <c r="T1697" s="3" t="n">
        <f aca="false">INDEX(Summary!$P$2:$P$201,MATCH($B1697,Summary!$A$2:$A$201,0))</f>
        <v>1</v>
      </c>
      <c r="U1697" s="2" t="n">
        <f aca="false">INDEX(Summary!$Q$2:$Q$201,MATCH($B1697,Summary!$A$2:$A$201,0))</f>
        <v>13.72</v>
      </c>
      <c r="V1697" s="2" t="n">
        <f aca="false">INDEX(Summary!$R$2:$R$201,MATCH($B1697,Summary!$A$2:$A$201,0))</f>
        <v>29.99</v>
      </c>
      <c r="W1697" s="0" t="str">
        <f aca="false">INDEX(Summary!$S$2:$S$201,MATCH($B1697,Summary!$A$2:$A$201,0))</f>
        <v>Gold</v>
      </c>
      <c r="X1697" s="2" t="n">
        <f aca="false">INDEX(Summary!$T$2:$T$201,MATCH($B1697,Summary!$A$2:$A$201,0))</f>
        <v>73.15</v>
      </c>
      <c r="Y1697" s="0" t="str">
        <f aca="false">INDEX('Reward Model'!$E$18:$E$37,MATCH($E1697,'Reward Model'!$A$18:$A$37,0))</f>
        <v>High</v>
      </c>
      <c r="Z1697" s="4" t="n">
        <f aca="false">ROUND(MIN(1,MAX('Reward Model'!$B$2,INDEX('Reward Model'!$C$12:$C$14,MATCH($K1697,'Reward Model'!$A$12:$A$14,0))/$J1697)),3)</f>
        <v>1</v>
      </c>
      <c r="AA1697" s="2" t="n">
        <f aca="false">IF($I1697="Correct",ROUND(INDEX('Reward Model'!$B$12:$B$14,MATCH($K1697,'Reward Model'!$A$12:$A$14,0))*Z1697,2),0)</f>
        <v>3</v>
      </c>
      <c r="AB1697" s="2" t="n">
        <f aca="false">IF($I1697="Correct",ROUND(INDEX('Reward Model'!$B$12:$B$14,MATCH($Y1697,'Reward Model'!$A$12:$A$14,0))*Z1697,2),0)</f>
        <v>3</v>
      </c>
    </row>
    <row r="1698" customFormat="false" ht="15" hidden="false" customHeight="false" outlineLevel="0" collapsed="false">
      <c r="A1698" s="0" t="s">
        <v>298</v>
      </c>
      <c r="B1698" s="0" t="s">
        <v>299</v>
      </c>
      <c r="C1698" s="0" t="s">
        <v>30</v>
      </c>
      <c r="D1698" s="0" t="s">
        <v>275</v>
      </c>
      <c r="E1698" s="0" t="n">
        <v>17</v>
      </c>
      <c r="F1698" s="0" t="s">
        <v>74</v>
      </c>
      <c r="G1698" s="0" t="s">
        <v>75</v>
      </c>
      <c r="H1698" s="0" t="s">
        <v>75</v>
      </c>
      <c r="I1698" s="0" t="s">
        <v>34</v>
      </c>
      <c r="J1698" s="0" t="n">
        <v>2.23</v>
      </c>
      <c r="K1698" s="0" t="s">
        <v>73</v>
      </c>
      <c r="L1698" s="0" t="n">
        <f aca="false">INDEX(Summary!$F$2:$F$201,MATCH($B1698,Summary!$A$2:$A$201,0))</f>
        <v>20</v>
      </c>
      <c r="M1698" s="0" t="n">
        <f aca="false">INDEX(Summary!$I$2:$I$201,MATCH($B1698,Summary!$A$2:$A$201,0))</f>
        <v>3</v>
      </c>
      <c r="N1698" s="0" t="n">
        <f aca="false">INDEX(Summary!$J$2:$J$201,MATCH($B1698,Summary!$A$2:$A$201,0))</f>
        <v>2</v>
      </c>
      <c r="O1698" s="2" t="n">
        <f aca="false">INDEX(Summary!$K$2:$K$201,MATCH($B1698,Summary!$A$2:$A$201,0))</f>
        <v>9.48</v>
      </c>
      <c r="P1698" s="3" t="n">
        <f aca="false">INDEX(Summary!$L$2:$L$201,MATCH($B1698,Summary!$A$2:$A$201,0))</f>
        <v>5</v>
      </c>
      <c r="Q1698" s="3" t="n">
        <f aca="false">INDEX(Summary!$M$2:$M$201,MATCH($B1698,Summary!$A$2:$A$201,0))</f>
        <v>1</v>
      </c>
      <c r="R1698" s="2" t="n">
        <f aca="false">INDEX(Summary!$N$2:$N$201,MATCH($B1698,Summary!$A$2:$A$201,0))</f>
        <v>9.01</v>
      </c>
      <c r="S1698" s="3" t="n">
        <f aca="false">INDEX(Summary!$O$2:$O$201,MATCH($B1698,Summary!$A$2:$A$201,0))</f>
        <v>8</v>
      </c>
      <c r="T1698" s="3" t="n">
        <f aca="false">INDEX(Summary!$P$2:$P$201,MATCH($B1698,Summary!$A$2:$A$201,0))</f>
        <v>1</v>
      </c>
      <c r="U1698" s="2" t="n">
        <f aca="false">INDEX(Summary!$Q$2:$Q$201,MATCH($B1698,Summary!$A$2:$A$201,0))</f>
        <v>13.72</v>
      </c>
      <c r="V1698" s="2" t="n">
        <f aca="false">INDEX(Summary!$R$2:$R$201,MATCH($B1698,Summary!$A$2:$A$201,0))</f>
        <v>29.99</v>
      </c>
      <c r="W1698" s="0" t="str">
        <f aca="false">INDEX(Summary!$S$2:$S$201,MATCH($B1698,Summary!$A$2:$A$201,0))</f>
        <v>Gold</v>
      </c>
      <c r="X1698" s="2" t="n">
        <f aca="false">INDEX(Summary!$T$2:$T$201,MATCH($B1698,Summary!$A$2:$A$201,0))</f>
        <v>73.15</v>
      </c>
      <c r="Y1698" s="0" t="str">
        <f aca="false">INDEX('Reward Model'!$E$18:$E$37,MATCH($E1698,'Reward Model'!$A$18:$A$37,0))</f>
        <v>High</v>
      </c>
      <c r="Z1698" s="4" t="n">
        <f aca="false">ROUND(MIN(1,MAX('Reward Model'!$B$2,INDEX('Reward Model'!$C$12:$C$14,MATCH($K1698,'Reward Model'!$A$12:$A$14,0))/$J1698)),3)</f>
        <v>0.897</v>
      </c>
      <c r="AA1698" s="2" t="n">
        <f aca="false">IF($I1698="Correct",ROUND(INDEX('Reward Model'!$B$12:$B$14,MATCH($K1698,'Reward Model'!$A$12:$A$14,0))*Z1698,2),0)</f>
        <v>2.69</v>
      </c>
      <c r="AB1698" s="2" t="n">
        <f aca="false">IF($I1698="Correct",ROUND(INDEX('Reward Model'!$B$12:$B$14,MATCH($Y1698,'Reward Model'!$A$12:$A$14,0))*Z1698,2),0)</f>
        <v>2.69</v>
      </c>
    </row>
    <row r="1699" customFormat="false" ht="15" hidden="false" customHeight="false" outlineLevel="0" collapsed="false">
      <c r="A1699" s="0" t="s">
        <v>298</v>
      </c>
      <c r="B1699" s="0" t="s">
        <v>299</v>
      </c>
      <c r="C1699" s="0" t="s">
        <v>30</v>
      </c>
      <c r="D1699" s="0" t="s">
        <v>275</v>
      </c>
      <c r="E1699" s="0" t="n">
        <v>18</v>
      </c>
      <c r="F1699" s="0" t="s">
        <v>76</v>
      </c>
      <c r="G1699" s="0" t="s">
        <v>77</v>
      </c>
      <c r="H1699" s="0" t="s">
        <v>77</v>
      </c>
      <c r="I1699" s="0" t="s">
        <v>34</v>
      </c>
      <c r="J1699" s="0" t="n">
        <v>1.98</v>
      </c>
      <c r="K1699" s="0" t="s">
        <v>73</v>
      </c>
      <c r="L1699" s="0" t="n">
        <f aca="false">INDEX(Summary!$F$2:$F$201,MATCH($B1699,Summary!$A$2:$A$201,0))</f>
        <v>20</v>
      </c>
      <c r="M1699" s="0" t="n">
        <f aca="false">INDEX(Summary!$I$2:$I$201,MATCH($B1699,Summary!$A$2:$A$201,0))</f>
        <v>3</v>
      </c>
      <c r="N1699" s="0" t="n">
        <f aca="false">INDEX(Summary!$J$2:$J$201,MATCH($B1699,Summary!$A$2:$A$201,0))</f>
        <v>2</v>
      </c>
      <c r="O1699" s="2" t="n">
        <f aca="false">INDEX(Summary!$K$2:$K$201,MATCH($B1699,Summary!$A$2:$A$201,0))</f>
        <v>9.48</v>
      </c>
      <c r="P1699" s="3" t="n">
        <f aca="false">INDEX(Summary!$L$2:$L$201,MATCH($B1699,Summary!$A$2:$A$201,0))</f>
        <v>5</v>
      </c>
      <c r="Q1699" s="3" t="n">
        <f aca="false">INDEX(Summary!$M$2:$M$201,MATCH($B1699,Summary!$A$2:$A$201,0))</f>
        <v>1</v>
      </c>
      <c r="R1699" s="2" t="n">
        <f aca="false">INDEX(Summary!$N$2:$N$201,MATCH($B1699,Summary!$A$2:$A$201,0))</f>
        <v>9.01</v>
      </c>
      <c r="S1699" s="3" t="n">
        <f aca="false">INDEX(Summary!$O$2:$O$201,MATCH($B1699,Summary!$A$2:$A$201,0))</f>
        <v>8</v>
      </c>
      <c r="T1699" s="3" t="n">
        <f aca="false">INDEX(Summary!$P$2:$P$201,MATCH($B1699,Summary!$A$2:$A$201,0))</f>
        <v>1</v>
      </c>
      <c r="U1699" s="2" t="n">
        <f aca="false">INDEX(Summary!$Q$2:$Q$201,MATCH($B1699,Summary!$A$2:$A$201,0))</f>
        <v>13.72</v>
      </c>
      <c r="V1699" s="2" t="n">
        <f aca="false">INDEX(Summary!$R$2:$R$201,MATCH($B1699,Summary!$A$2:$A$201,0))</f>
        <v>29.99</v>
      </c>
      <c r="W1699" s="0" t="str">
        <f aca="false">INDEX(Summary!$S$2:$S$201,MATCH($B1699,Summary!$A$2:$A$201,0))</f>
        <v>Gold</v>
      </c>
      <c r="X1699" s="2" t="n">
        <f aca="false">INDEX(Summary!$T$2:$T$201,MATCH($B1699,Summary!$A$2:$A$201,0))</f>
        <v>73.15</v>
      </c>
      <c r="Y1699" s="0" t="str">
        <f aca="false">INDEX('Reward Model'!$E$18:$E$37,MATCH($E1699,'Reward Model'!$A$18:$A$37,0))</f>
        <v>High</v>
      </c>
      <c r="Z1699" s="4" t="n">
        <f aca="false">ROUND(MIN(1,MAX('Reward Model'!$B$2,INDEX('Reward Model'!$C$12:$C$14,MATCH($K1699,'Reward Model'!$A$12:$A$14,0))/$J1699)),3)</f>
        <v>1</v>
      </c>
      <c r="AA1699" s="2" t="n">
        <f aca="false">IF($I1699="Correct",ROUND(INDEX('Reward Model'!$B$12:$B$14,MATCH($K1699,'Reward Model'!$A$12:$A$14,0))*Z1699,2),0)</f>
        <v>3</v>
      </c>
      <c r="AB1699" s="2" t="n">
        <f aca="false">IF($I1699="Correct",ROUND(INDEX('Reward Model'!$B$12:$B$14,MATCH($Y1699,'Reward Model'!$A$12:$A$14,0))*Z1699,2),0)</f>
        <v>3</v>
      </c>
    </row>
    <row r="1700" customFormat="false" ht="15" hidden="false" customHeight="false" outlineLevel="0" collapsed="false">
      <c r="A1700" s="0" t="s">
        <v>298</v>
      </c>
      <c r="B1700" s="0" t="s">
        <v>299</v>
      </c>
      <c r="C1700" s="0" t="s">
        <v>30</v>
      </c>
      <c r="D1700" s="0" t="s">
        <v>275</v>
      </c>
      <c r="E1700" s="0" t="n">
        <v>19</v>
      </c>
      <c r="F1700" s="0" t="s">
        <v>78</v>
      </c>
      <c r="G1700" s="0" t="s">
        <v>79</v>
      </c>
      <c r="H1700" s="0" t="s">
        <v>80</v>
      </c>
      <c r="I1700" s="0" t="s">
        <v>39</v>
      </c>
      <c r="J1700" s="0" t="n">
        <v>2.22</v>
      </c>
      <c r="K1700" s="0" t="s">
        <v>73</v>
      </c>
      <c r="L1700" s="0" t="n">
        <f aca="false">INDEX(Summary!$F$2:$F$201,MATCH($B1700,Summary!$A$2:$A$201,0))</f>
        <v>20</v>
      </c>
      <c r="M1700" s="0" t="n">
        <f aca="false">INDEX(Summary!$I$2:$I$201,MATCH($B1700,Summary!$A$2:$A$201,0))</f>
        <v>3</v>
      </c>
      <c r="N1700" s="0" t="n">
        <f aca="false">INDEX(Summary!$J$2:$J$201,MATCH($B1700,Summary!$A$2:$A$201,0))</f>
        <v>2</v>
      </c>
      <c r="O1700" s="2" t="n">
        <f aca="false">INDEX(Summary!$K$2:$K$201,MATCH($B1700,Summary!$A$2:$A$201,0))</f>
        <v>9.48</v>
      </c>
      <c r="P1700" s="3" t="n">
        <f aca="false">INDEX(Summary!$L$2:$L$201,MATCH($B1700,Summary!$A$2:$A$201,0))</f>
        <v>5</v>
      </c>
      <c r="Q1700" s="3" t="n">
        <f aca="false">INDEX(Summary!$M$2:$M$201,MATCH($B1700,Summary!$A$2:$A$201,0))</f>
        <v>1</v>
      </c>
      <c r="R1700" s="2" t="n">
        <f aca="false">INDEX(Summary!$N$2:$N$201,MATCH($B1700,Summary!$A$2:$A$201,0))</f>
        <v>9.01</v>
      </c>
      <c r="S1700" s="3" t="n">
        <f aca="false">INDEX(Summary!$O$2:$O$201,MATCH($B1700,Summary!$A$2:$A$201,0))</f>
        <v>8</v>
      </c>
      <c r="T1700" s="3" t="n">
        <f aca="false">INDEX(Summary!$P$2:$P$201,MATCH($B1700,Summary!$A$2:$A$201,0))</f>
        <v>1</v>
      </c>
      <c r="U1700" s="2" t="n">
        <f aca="false">INDEX(Summary!$Q$2:$Q$201,MATCH($B1700,Summary!$A$2:$A$201,0))</f>
        <v>13.72</v>
      </c>
      <c r="V1700" s="2" t="n">
        <f aca="false">INDEX(Summary!$R$2:$R$201,MATCH($B1700,Summary!$A$2:$A$201,0))</f>
        <v>29.99</v>
      </c>
      <c r="W1700" s="0" t="str">
        <f aca="false">INDEX(Summary!$S$2:$S$201,MATCH($B1700,Summary!$A$2:$A$201,0))</f>
        <v>Gold</v>
      </c>
      <c r="X1700" s="2" t="n">
        <f aca="false">INDEX(Summary!$T$2:$T$201,MATCH($B1700,Summary!$A$2:$A$201,0))</f>
        <v>73.15</v>
      </c>
      <c r="Y1700" s="0" t="str">
        <f aca="false">INDEX('Reward Model'!$E$18:$E$37,MATCH($E1700,'Reward Model'!$A$18:$A$37,0))</f>
        <v>High</v>
      </c>
      <c r="Z1700" s="4" t="n">
        <f aca="false">ROUND(MIN(1,MAX('Reward Model'!$B$2,INDEX('Reward Model'!$C$12:$C$14,MATCH($K1700,'Reward Model'!$A$12:$A$14,0))/$J1700)),3)</f>
        <v>0.901</v>
      </c>
      <c r="AA1700" s="2" t="n">
        <f aca="false">IF($I1700="Correct",ROUND(INDEX('Reward Model'!$B$12:$B$14,MATCH($K1700,'Reward Model'!$A$12:$A$14,0))*Z1700,2),0)</f>
        <v>0</v>
      </c>
      <c r="AB1700" s="2" t="n">
        <f aca="false">IF($I1700="Correct",ROUND(INDEX('Reward Model'!$B$12:$B$14,MATCH($Y1700,'Reward Model'!$A$12:$A$14,0))*Z1700,2),0)</f>
        <v>0</v>
      </c>
    </row>
    <row r="1701" customFormat="false" ht="15" hidden="false" customHeight="false" outlineLevel="0" collapsed="false">
      <c r="A1701" s="0" t="s">
        <v>298</v>
      </c>
      <c r="B1701" s="0" t="s">
        <v>299</v>
      </c>
      <c r="C1701" s="0" t="s">
        <v>30</v>
      </c>
      <c r="D1701" s="0" t="s">
        <v>275</v>
      </c>
      <c r="E1701" s="0" t="n">
        <v>20</v>
      </c>
      <c r="F1701" s="0" t="s">
        <v>81</v>
      </c>
      <c r="G1701" s="0" t="s">
        <v>166</v>
      </c>
      <c r="H1701" s="0" t="s">
        <v>83</v>
      </c>
      <c r="I1701" s="0" t="s">
        <v>39</v>
      </c>
      <c r="J1701" s="0" t="n">
        <v>1.32</v>
      </c>
      <c r="K1701" s="0" t="s">
        <v>73</v>
      </c>
      <c r="L1701" s="0" t="n">
        <f aca="false">INDEX(Summary!$F$2:$F$201,MATCH($B1701,Summary!$A$2:$A$201,0))</f>
        <v>20</v>
      </c>
      <c r="M1701" s="0" t="n">
        <f aca="false">INDEX(Summary!$I$2:$I$201,MATCH($B1701,Summary!$A$2:$A$201,0))</f>
        <v>3</v>
      </c>
      <c r="N1701" s="0" t="n">
        <f aca="false">INDEX(Summary!$J$2:$J$201,MATCH($B1701,Summary!$A$2:$A$201,0))</f>
        <v>2</v>
      </c>
      <c r="O1701" s="2" t="n">
        <f aca="false">INDEX(Summary!$K$2:$K$201,MATCH($B1701,Summary!$A$2:$A$201,0))</f>
        <v>9.48</v>
      </c>
      <c r="P1701" s="3" t="n">
        <f aca="false">INDEX(Summary!$L$2:$L$201,MATCH($B1701,Summary!$A$2:$A$201,0))</f>
        <v>5</v>
      </c>
      <c r="Q1701" s="3" t="n">
        <f aca="false">INDEX(Summary!$M$2:$M$201,MATCH($B1701,Summary!$A$2:$A$201,0))</f>
        <v>1</v>
      </c>
      <c r="R1701" s="2" t="n">
        <f aca="false">INDEX(Summary!$N$2:$N$201,MATCH($B1701,Summary!$A$2:$A$201,0))</f>
        <v>9.01</v>
      </c>
      <c r="S1701" s="3" t="n">
        <f aca="false">INDEX(Summary!$O$2:$O$201,MATCH($B1701,Summary!$A$2:$A$201,0))</f>
        <v>8</v>
      </c>
      <c r="T1701" s="3" t="n">
        <f aca="false">INDEX(Summary!$P$2:$P$201,MATCH($B1701,Summary!$A$2:$A$201,0))</f>
        <v>1</v>
      </c>
      <c r="U1701" s="2" t="n">
        <f aca="false">INDEX(Summary!$Q$2:$Q$201,MATCH($B1701,Summary!$A$2:$A$201,0))</f>
        <v>13.72</v>
      </c>
      <c r="V1701" s="2" t="n">
        <f aca="false">INDEX(Summary!$R$2:$R$201,MATCH($B1701,Summary!$A$2:$A$201,0))</f>
        <v>29.99</v>
      </c>
      <c r="W1701" s="0" t="str">
        <f aca="false">INDEX(Summary!$S$2:$S$201,MATCH($B1701,Summary!$A$2:$A$201,0))</f>
        <v>Gold</v>
      </c>
      <c r="X1701" s="2" t="n">
        <f aca="false">INDEX(Summary!$T$2:$T$201,MATCH($B1701,Summary!$A$2:$A$201,0))</f>
        <v>73.15</v>
      </c>
      <c r="Y1701" s="0" t="str">
        <f aca="false">INDEX('Reward Model'!$E$18:$E$37,MATCH($E1701,'Reward Model'!$A$18:$A$37,0))</f>
        <v>High</v>
      </c>
      <c r="Z1701" s="4" t="n">
        <f aca="false">ROUND(MIN(1,MAX('Reward Model'!$B$2,INDEX('Reward Model'!$C$12:$C$14,MATCH($K1701,'Reward Model'!$A$12:$A$14,0))/$J1701)),3)</f>
        <v>1</v>
      </c>
      <c r="AA1701" s="2" t="n">
        <f aca="false">IF($I1701="Correct",ROUND(INDEX('Reward Model'!$B$12:$B$14,MATCH($K1701,'Reward Model'!$A$12:$A$14,0))*Z1701,2),0)</f>
        <v>0</v>
      </c>
      <c r="AB1701" s="2" t="n">
        <f aca="false">IF($I1701="Correct",ROUND(INDEX('Reward Model'!$B$12:$B$14,MATCH($Y1701,'Reward Model'!$A$12:$A$14,0))*Z1701,2),0)</f>
        <v>0</v>
      </c>
    </row>
    <row r="1702" customFormat="false" ht="15" hidden="false" customHeight="false" outlineLevel="0" collapsed="false">
      <c r="A1702" s="0" t="s">
        <v>300</v>
      </c>
      <c r="B1702" s="0" t="s">
        <v>301</v>
      </c>
      <c r="C1702" s="0" t="s">
        <v>30</v>
      </c>
      <c r="D1702" s="0" t="s">
        <v>275</v>
      </c>
      <c r="E1702" s="0" t="n">
        <v>1</v>
      </c>
      <c r="F1702" s="0" t="s">
        <v>32</v>
      </c>
      <c r="G1702" s="0" t="s">
        <v>33</v>
      </c>
      <c r="H1702" s="0" t="s">
        <v>33</v>
      </c>
      <c r="I1702" s="0" t="s">
        <v>34</v>
      </c>
      <c r="J1702" s="0" t="n">
        <v>0.99</v>
      </c>
      <c r="K1702" s="0" t="s">
        <v>35</v>
      </c>
      <c r="L1702" s="0" t="n">
        <f aca="false">INDEX(Summary!$F$2:$F$201,MATCH($B1702,Summary!$A$2:$A$201,0))</f>
        <v>20</v>
      </c>
      <c r="M1702" s="0" t="n">
        <f aca="false">INDEX(Summary!$I$2:$I$201,MATCH($B1702,Summary!$A$2:$A$201,0))</f>
        <v>2</v>
      </c>
      <c r="N1702" s="0" t="n">
        <f aca="false">INDEX(Summary!$J$2:$J$201,MATCH($B1702,Summary!$A$2:$A$201,0))</f>
        <v>3</v>
      </c>
      <c r="O1702" s="2" t="n">
        <f aca="false">INDEX(Summary!$K$2:$K$201,MATCH($B1702,Summary!$A$2:$A$201,0))</f>
        <v>9.03</v>
      </c>
      <c r="P1702" s="3" t="n">
        <f aca="false">INDEX(Summary!$L$2:$L$201,MATCH($B1702,Summary!$A$2:$A$201,0))</f>
        <v>5</v>
      </c>
      <c r="Q1702" s="3" t="n">
        <f aca="false">INDEX(Summary!$M$2:$M$201,MATCH($B1702,Summary!$A$2:$A$201,0))</f>
        <v>1</v>
      </c>
      <c r="R1702" s="2" t="n">
        <f aca="false">INDEX(Summary!$N$2:$N$201,MATCH($B1702,Summary!$A$2:$A$201,0))</f>
        <v>10.02</v>
      </c>
      <c r="S1702" s="3" t="n">
        <f aca="false">INDEX(Summary!$O$2:$O$201,MATCH($B1702,Summary!$A$2:$A$201,0))</f>
        <v>8</v>
      </c>
      <c r="T1702" s="3" t="n">
        <f aca="false">INDEX(Summary!$P$2:$P$201,MATCH($B1702,Summary!$A$2:$A$201,0))</f>
        <v>1</v>
      </c>
      <c r="U1702" s="2" t="n">
        <f aca="false">INDEX(Summary!$Q$2:$Q$201,MATCH($B1702,Summary!$A$2:$A$201,0))</f>
        <v>10.99</v>
      </c>
      <c r="V1702" s="2" t="n">
        <f aca="false">INDEX(Summary!$R$2:$R$201,MATCH($B1702,Summary!$A$2:$A$201,0))</f>
        <v>26.95</v>
      </c>
      <c r="W1702" s="0" t="str">
        <f aca="false">INDEX(Summary!$S$2:$S$201,MATCH($B1702,Summary!$A$2:$A$201,0))</f>
        <v>Silver</v>
      </c>
      <c r="X1702" s="2" t="n">
        <f aca="false">INDEX(Summary!$T$2:$T$201,MATCH($B1702,Summary!$A$2:$A$201,0))</f>
        <v>65.73</v>
      </c>
      <c r="Y1702" s="0" t="str">
        <f aca="false">INDEX('Reward Model'!$E$18:$E$37,MATCH($E1702,'Reward Model'!$A$18:$A$37,0))</f>
        <v>Medium</v>
      </c>
      <c r="Z1702" s="4" t="n">
        <f aca="false">ROUND(MIN(1,MAX('Reward Model'!$B$2,INDEX('Reward Model'!$C$12:$C$14,MATCH($K1702,'Reward Model'!$A$12:$A$14,0))/$J1702)),3)</f>
        <v>1</v>
      </c>
      <c r="AA1702" s="2" t="n">
        <f aca="false">IF($I1702="Correct",ROUND(INDEX('Reward Model'!$B$12:$B$14,MATCH($K1702,'Reward Model'!$A$12:$A$14,0))*Z1702,2),0)</f>
        <v>1</v>
      </c>
      <c r="AB1702" s="2" t="n">
        <f aca="false">IF($I1702="Correct",ROUND(INDEX('Reward Model'!$B$12:$B$14,MATCH($Y1702,'Reward Model'!$A$12:$A$14,0))*Z1702,2),0)</f>
        <v>2</v>
      </c>
    </row>
    <row r="1703" customFormat="false" ht="15" hidden="false" customHeight="false" outlineLevel="0" collapsed="false">
      <c r="A1703" s="0" t="s">
        <v>300</v>
      </c>
      <c r="B1703" s="0" t="s">
        <v>301</v>
      </c>
      <c r="C1703" s="0" t="s">
        <v>30</v>
      </c>
      <c r="D1703" s="0" t="s">
        <v>275</v>
      </c>
      <c r="E1703" s="0" t="n">
        <v>2</v>
      </c>
      <c r="F1703" s="0" t="s">
        <v>36</v>
      </c>
      <c r="G1703" s="0" t="s">
        <v>38</v>
      </c>
      <c r="H1703" s="0" t="s">
        <v>38</v>
      </c>
      <c r="I1703" s="0" t="s">
        <v>34</v>
      </c>
      <c r="J1703" s="0" t="n">
        <v>1.1</v>
      </c>
      <c r="K1703" s="0" t="s">
        <v>35</v>
      </c>
      <c r="L1703" s="0" t="n">
        <f aca="false">INDEX(Summary!$F$2:$F$201,MATCH($B1703,Summary!$A$2:$A$201,0))</f>
        <v>20</v>
      </c>
      <c r="M1703" s="0" t="n">
        <f aca="false">INDEX(Summary!$I$2:$I$201,MATCH($B1703,Summary!$A$2:$A$201,0))</f>
        <v>2</v>
      </c>
      <c r="N1703" s="0" t="n">
        <f aca="false">INDEX(Summary!$J$2:$J$201,MATCH($B1703,Summary!$A$2:$A$201,0))</f>
        <v>3</v>
      </c>
      <c r="O1703" s="2" t="n">
        <f aca="false">INDEX(Summary!$K$2:$K$201,MATCH($B1703,Summary!$A$2:$A$201,0))</f>
        <v>9.03</v>
      </c>
      <c r="P1703" s="3" t="n">
        <f aca="false">INDEX(Summary!$L$2:$L$201,MATCH($B1703,Summary!$A$2:$A$201,0))</f>
        <v>5</v>
      </c>
      <c r="Q1703" s="3" t="n">
        <f aca="false">INDEX(Summary!$M$2:$M$201,MATCH($B1703,Summary!$A$2:$A$201,0))</f>
        <v>1</v>
      </c>
      <c r="R1703" s="2" t="n">
        <f aca="false">INDEX(Summary!$N$2:$N$201,MATCH($B1703,Summary!$A$2:$A$201,0))</f>
        <v>10.02</v>
      </c>
      <c r="S1703" s="3" t="n">
        <f aca="false">INDEX(Summary!$O$2:$O$201,MATCH($B1703,Summary!$A$2:$A$201,0))</f>
        <v>8</v>
      </c>
      <c r="T1703" s="3" t="n">
        <f aca="false">INDEX(Summary!$P$2:$P$201,MATCH($B1703,Summary!$A$2:$A$201,0))</f>
        <v>1</v>
      </c>
      <c r="U1703" s="2" t="n">
        <f aca="false">INDEX(Summary!$Q$2:$Q$201,MATCH($B1703,Summary!$A$2:$A$201,0))</f>
        <v>10.99</v>
      </c>
      <c r="V1703" s="2" t="n">
        <f aca="false">INDEX(Summary!$R$2:$R$201,MATCH($B1703,Summary!$A$2:$A$201,0))</f>
        <v>26.95</v>
      </c>
      <c r="W1703" s="0" t="str">
        <f aca="false">INDEX(Summary!$S$2:$S$201,MATCH($B1703,Summary!$A$2:$A$201,0))</f>
        <v>Silver</v>
      </c>
      <c r="X1703" s="2" t="n">
        <f aca="false">INDEX(Summary!$T$2:$T$201,MATCH($B1703,Summary!$A$2:$A$201,0))</f>
        <v>65.73</v>
      </c>
      <c r="Y1703" s="0" t="str">
        <f aca="false">INDEX('Reward Model'!$E$18:$E$37,MATCH($E1703,'Reward Model'!$A$18:$A$37,0))</f>
        <v>Low</v>
      </c>
      <c r="Z1703" s="4" t="n">
        <f aca="false">ROUND(MIN(1,MAX('Reward Model'!$B$2,INDEX('Reward Model'!$C$12:$C$14,MATCH($K1703,'Reward Model'!$A$12:$A$14,0))/$J1703)),3)</f>
        <v>1</v>
      </c>
      <c r="AA1703" s="2" t="n">
        <f aca="false">IF($I1703="Correct",ROUND(INDEX('Reward Model'!$B$12:$B$14,MATCH($K1703,'Reward Model'!$A$12:$A$14,0))*Z1703,2),0)</f>
        <v>1</v>
      </c>
      <c r="AB1703" s="2" t="n">
        <f aca="false">IF($I1703="Correct",ROUND(INDEX('Reward Model'!$B$12:$B$14,MATCH($Y1703,'Reward Model'!$A$12:$A$14,0))*Z1703,2),0)</f>
        <v>1</v>
      </c>
    </row>
    <row r="1704" customFormat="false" ht="15" hidden="false" customHeight="false" outlineLevel="0" collapsed="false">
      <c r="A1704" s="0" t="s">
        <v>300</v>
      </c>
      <c r="B1704" s="0" t="s">
        <v>301</v>
      </c>
      <c r="C1704" s="0" t="s">
        <v>30</v>
      </c>
      <c r="D1704" s="0" t="s">
        <v>275</v>
      </c>
      <c r="E1704" s="0" t="n">
        <v>3</v>
      </c>
      <c r="F1704" s="0" t="s">
        <v>40</v>
      </c>
      <c r="G1704" s="0" t="s">
        <v>42</v>
      </c>
      <c r="H1704" s="0" t="s">
        <v>42</v>
      </c>
      <c r="I1704" s="0" t="s">
        <v>34</v>
      </c>
      <c r="J1704" s="0" t="n">
        <v>1.4</v>
      </c>
      <c r="K1704" s="0" t="s">
        <v>35</v>
      </c>
      <c r="L1704" s="0" t="n">
        <f aca="false">INDEX(Summary!$F$2:$F$201,MATCH($B1704,Summary!$A$2:$A$201,0))</f>
        <v>20</v>
      </c>
      <c r="M1704" s="0" t="n">
        <f aca="false">INDEX(Summary!$I$2:$I$201,MATCH($B1704,Summary!$A$2:$A$201,0))</f>
        <v>2</v>
      </c>
      <c r="N1704" s="0" t="n">
        <f aca="false">INDEX(Summary!$J$2:$J$201,MATCH($B1704,Summary!$A$2:$A$201,0))</f>
        <v>3</v>
      </c>
      <c r="O1704" s="2" t="n">
        <f aca="false">INDEX(Summary!$K$2:$K$201,MATCH($B1704,Summary!$A$2:$A$201,0))</f>
        <v>9.03</v>
      </c>
      <c r="P1704" s="3" t="n">
        <f aca="false">INDEX(Summary!$L$2:$L$201,MATCH($B1704,Summary!$A$2:$A$201,0))</f>
        <v>5</v>
      </c>
      <c r="Q1704" s="3" t="n">
        <f aca="false">INDEX(Summary!$M$2:$M$201,MATCH($B1704,Summary!$A$2:$A$201,0))</f>
        <v>1</v>
      </c>
      <c r="R1704" s="2" t="n">
        <f aca="false">INDEX(Summary!$N$2:$N$201,MATCH($B1704,Summary!$A$2:$A$201,0))</f>
        <v>10.02</v>
      </c>
      <c r="S1704" s="3" t="n">
        <f aca="false">INDEX(Summary!$O$2:$O$201,MATCH($B1704,Summary!$A$2:$A$201,0))</f>
        <v>8</v>
      </c>
      <c r="T1704" s="3" t="n">
        <f aca="false">INDEX(Summary!$P$2:$P$201,MATCH($B1704,Summary!$A$2:$A$201,0))</f>
        <v>1</v>
      </c>
      <c r="U1704" s="2" t="n">
        <f aca="false">INDEX(Summary!$Q$2:$Q$201,MATCH($B1704,Summary!$A$2:$A$201,0))</f>
        <v>10.99</v>
      </c>
      <c r="V1704" s="2" t="n">
        <f aca="false">INDEX(Summary!$R$2:$R$201,MATCH($B1704,Summary!$A$2:$A$201,0))</f>
        <v>26.95</v>
      </c>
      <c r="W1704" s="0" t="str">
        <f aca="false">INDEX(Summary!$S$2:$S$201,MATCH($B1704,Summary!$A$2:$A$201,0))</f>
        <v>Silver</v>
      </c>
      <c r="X1704" s="2" t="n">
        <f aca="false">INDEX(Summary!$T$2:$T$201,MATCH($B1704,Summary!$A$2:$A$201,0))</f>
        <v>65.73</v>
      </c>
      <c r="Y1704" s="0" t="str">
        <f aca="false">INDEX('Reward Model'!$E$18:$E$37,MATCH($E1704,'Reward Model'!$A$18:$A$37,0))</f>
        <v>Medium</v>
      </c>
      <c r="Z1704" s="4" t="n">
        <f aca="false">ROUND(MIN(1,MAX('Reward Model'!$B$2,INDEX('Reward Model'!$C$12:$C$14,MATCH($K1704,'Reward Model'!$A$12:$A$14,0))/$J1704)),3)</f>
        <v>1</v>
      </c>
      <c r="AA1704" s="2" t="n">
        <f aca="false">IF($I1704="Correct",ROUND(INDEX('Reward Model'!$B$12:$B$14,MATCH($K1704,'Reward Model'!$A$12:$A$14,0))*Z1704,2),0)</f>
        <v>1</v>
      </c>
      <c r="AB1704" s="2" t="n">
        <f aca="false">IF($I1704="Correct",ROUND(INDEX('Reward Model'!$B$12:$B$14,MATCH($Y1704,'Reward Model'!$A$12:$A$14,0))*Z1704,2),0)</f>
        <v>2</v>
      </c>
    </row>
    <row r="1705" customFormat="false" ht="15" hidden="false" customHeight="false" outlineLevel="0" collapsed="false">
      <c r="A1705" s="0" t="s">
        <v>300</v>
      </c>
      <c r="B1705" s="0" t="s">
        <v>301</v>
      </c>
      <c r="C1705" s="0" t="s">
        <v>30</v>
      </c>
      <c r="D1705" s="0" t="s">
        <v>275</v>
      </c>
      <c r="E1705" s="0" t="n">
        <v>4</v>
      </c>
      <c r="F1705" s="0" t="s">
        <v>43</v>
      </c>
      <c r="G1705" s="0" t="s">
        <v>45</v>
      </c>
      <c r="H1705" s="0" t="s">
        <v>45</v>
      </c>
      <c r="I1705" s="0" t="s">
        <v>34</v>
      </c>
      <c r="J1705" s="0" t="n">
        <v>1.07</v>
      </c>
      <c r="K1705" s="0" t="s">
        <v>35</v>
      </c>
      <c r="L1705" s="0" t="n">
        <f aca="false">INDEX(Summary!$F$2:$F$201,MATCH($B1705,Summary!$A$2:$A$201,0))</f>
        <v>20</v>
      </c>
      <c r="M1705" s="0" t="n">
        <f aca="false">INDEX(Summary!$I$2:$I$201,MATCH($B1705,Summary!$A$2:$A$201,0))</f>
        <v>2</v>
      </c>
      <c r="N1705" s="0" t="n">
        <f aca="false">INDEX(Summary!$J$2:$J$201,MATCH($B1705,Summary!$A$2:$A$201,0))</f>
        <v>3</v>
      </c>
      <c r="O1705" s="2" t="n">
        <f aca="false">INDEX(Summary!$K$2:$K$201,MATCH($B1705,Summary!$A$2:$A$201,0))</f>
        <v>9.03</v>
      </c>
      <c r="P1705" s="3" t="n">
        <f aca="false">INDEX(Summary!$L$2:$L$201,MATCH($B1705,Summary!$A$2:$A$201,0))</f>
        <v>5</v>
      </c>
      <c r="Q1705" s="3" t="n">
        <f aca="false">INDEX(Summary!$M$2:$M$201,MATCH($B1705,Summary!$A$2:$A$201,0))</f>
        <v>1</v>
      </c>
      <c r="R1705" s="2" t="n">
        <f aca="false">INDEX(Summary!$N$2:$N$201,MATCH($B1705,Summary!$A$2:$A$201,0))</f>
        <v>10.02</v>
      </c>
      <c r="S1705" s="3" t="n">
        <f aca="false">INDEX(Summary!$O$2:$O$201,MATCH($B1705,Summary!$A$2:$A$201,0))</f>
        <v>8</v>
      </c>
      <c r="T1705" s="3" t="n">
        <f aca="false">INDEX(Summary!$P$2:$P$201,MATCH($B1705,Summary!$A$2:$A$201,0))</f>
        <v>1</v>
      </c>
      <c r="U1705" s="2" t="n">
        <f aca="false">INDEX(Summary!$Q$2:$Q$201,MATCH($B1705,Summary!$A$2:$A$201,0))</f>
        <v>10.99</v>
      </c>
      <c r="V1705" s="2" t="n">
        <f aca="false">INDEX(Summary!$R$2:$R$201,MATCH($B1705,Summary!$A$2:$A$201,0))</f>
        <v>26.95</v>
      </c>
      <c r="W1705" s="0" t="str">
        <f aca="false">INDEX(Summary!$S$2:$S$201,MATCH($B1705,Summary!$A$2:$A$201,0))</f>
        <v>Silver</v>
      </c>
      <c r="X1705" s="2" t="n">
        <f aca="false">INDEX(Summary!$T$2:$T$201,MATCH($B1705,Summary!$A$2:$A$201,0))</f>
        <v>65.73</v>
      </c>
      <c r="Y1705" s="0" t="str">
        <f aca="false">INDEX('Reward Model'!$E$18:$E$37,MATCH($E1705,'Reward Model'!$A$18:$A$37,0))</f>
        <v>Low</v>
      </c>
      <c r="Z1705" s="4" t="n">
        <f aca="false">ROUND(MIN(1,MAX('Reward Model'!$B$2,INDEX('Reward Model'!$C$12:$C$14,MATCH($K1705,'Reward Model'!$A$12:$A$14,0))/$J1705)),3)</f>
        <v>1</v>
      </c>
      <c r="AA1705" s="2" t="n">
        <f aca="false">IF($I1705="Correct",ROUND(INDEX('Reward Model'!$B$12:$B$14,MATCH($K1705,'Reward Model'!$A$12:$A$14,0))*Z1705,2),0)</f>
        <v>1</v>
      </c>
      <c r="AB1705" s="2" t="n">
        <f aca="false">IF($I1705="Correct",ROUND(INDEX('Reward Model'!$B$12:$B$14,MATCH($Y1705,'Reward Model'!$A$12:$A$14,0))*Z1705,2),0)</f>
        <v>1</v>
      </c>
    </row>
    <row r="1706" customFormat="false" ht="15" hidden="false" customHeight="false" outlineLevel="0" collapsed="false">
      <c r="A1706" s="0" t="s">
        <v>300</v>
      </c>
      <c r="B1706" s="0" t="s">
        <v>301</v>
      </c>
      <c r="C1706" s="0" t="s">
        <v>30</v>
      </c>
      <c r="D1706" s="0" t="s">
        <v>275</v>
      </c>
      <c r="E1706" s="0" t="n">
        <v>5</v>
      </c>
      <c r="F1706" s="0" t="s">
        <v>46</v>
      </c>
      <c r="G1706" s="0" t="s">
        <v>47</v>
      </c>
      <c r="H1706" s="0" t="s">
        <v>47</v>
      </c>
      <c r="I1706" s="0" t="s">
        <v>34</v>
      </c>
      <c r="J1706" s="0" t="n">
        <v>1.11</v>
      </c>
      <c r="K1706" s="0" t="s">
        <v>35</v>
      </c>
      <c r="L1706" s="0" t="n">
        <f aca="false">INDEX(Summary!$F$2:$F$201,MATCH($B1706,Summary!$A$2:$A$201,0))</f>
        <v>20</v>
      </c>
      <c r="M1706" s="0" t="n">
        <f aca="false">INDEX(Summary!$I$2:$I$201,MATCH($B1706,Summary!$A$2:$A$201,0))</f>
        <v>2</v>
      </c>
      <c r="N1706" s="0" t="n">
        <f aca="false">INDEX(Summary!$J$2:$J$201,MATCH($B1706,Summary!$A$2:$A$201,0))</f>
        <v>3</v>
      </c>
      <c r="O1706" s="2" t="n">
        <f aca="false">INDEX(Summary!$K$2:$K$201,MATCH($B1706,Summary!$A$2:$A$201,0))</f>
        <v>9.03</v>
      </c>
      <c r="P1706" s="3" t="n">
        <f aca="false">INDEX(Summary!$L$2:$L$201,MATCH($B1706,Summary!$A$2:$A$201,0))</f>
        <v>5</v>
      </c>
      <c r="Q1706" s="3" t="n">
        <f aca="false">INDEX(Summary!$M$2:$M$201,MATCH($B1706,Summary!$A$2:$A$201,0))</f>
        <v>1</v>
      </c>
      <c r="R1706" s="2" t="n">
        <f aca="false">INDEX(Summary!$N$2:$N$201,MATCH($B1706,Summary!$A$2:$A$201,0))</f>
        <v>10.02</v>
      </c>
      <c r="S1706" s="3" t="n">
        <f aca="false">INDEX(Summary!$O$2:$O$201,MATCH($B1706,Summary!$A$2:$A$201,0))</f>
        <v>8</v>
      </c>
      <c r="T1706" s="3" t="n">
        <f aca="false">INDEX(Summary!$P$2:$P$201,MATCH($B1706,Summary!$A$2:$A$201,0))</f>
        <v>1</v>
      </c>
      <c r="U1706" s="2" t="n">
        <f aca="false">INDEX(Summary!$Q$2:$Q$201,MATCH($B1706,Summary!$A$2:$A$201,0))</f>
        <v>10.99</v>
      </c>
      <c r="V1706" s="2" t="n">
        <f aca="false">INDEX(Summary!$R$2:$R$201,MATCH($B1706,Summary!$A$2:$A$201,0))</f>
        <v>26.95</v>
      </c>
      <c r="W1706" s="0" t="str">
        <f aca="false">INDEX(Summary!$S$2:$S$201,MATCH($B1706,Summary!$A$2:$A$201,0))</f>
        <v>Silver</v>
      </c>
      <c r="X1706" s="2" t="n">
        <f aca="false">INDEX(Summary!$T$2:$T$201,MATCH($B1706,Summary!$A$2:$A$201,0))</f>
        <v>65.73</v>
      </c>
      <c r="Y1706" s="0" t="str">
        <f aca="false">INDEX('Reward Model'!$E$18:$E$37,MATCH($E1706,'Reward Model'!$A$18:$A$37,0))</f>
        <v>Low</v>
      </c>
      <c r="Z1706" s="4" t="n">
        <f aca="false">ROUND(MIN(1,MAX('Reward Model'!$B$2,INDEX('Reward Model'!$C$12:$C$14,MATCH($K1706,'Reward Model'!$A$12:$A$14,0))/$J1706)),3)</f>
        <v>1</v>
      </c>
      <c r="AA1706" s="2" t="n">
        <f aca="false">IF($I1706="Correct",ROUND(INDEX('Reward Model'!$B$12:$B$14,MATCH($K1706,'Reward Model'!$A$12:$A$14,0))*Z1706,2),0)</f>
        <v>1</v>
      </c>
      <c r="AB1706" s="2" t="n">
        <f aca="false">IF($I1706="Correct",ROUND(INDEX('Reward Model'!$B$12:$B$14,MATCH($Y1706,'Reward Model'!$A$12:$A$14,0))*Z1706,2),0)</f>
        <v>1</v>
      </c>
    </row>
    <row r="1707" customFormat="false" ht="15" hidden="false" customHeight="false" outlineLevel="0" collapsed="false">
      <c r="A1707" s="0" t="s">
        <v>300</v>
      </c>
      <c r="B1707" s="0" t="s">
        <v>301</v>
      </c>
      <c r="C1707" s="0" t="s">
        <v>30</v>
      </c>
      <c r="D1707" s="0" t="s">
        <v>275</v>
      </c>
      <c r="E1707" s="0" t="n">
        <v>6</v>
      </c>
      <c r="F1707" s="0" t="s">
        <v>48</v>
      </c>
      <c r="G1707" s="0" t="s">
        <v>169</v>
      </c>
      <c r="H1707" s="0" t="s">
        <v>49</v>
      </c>
      <c r="I1707" s="0" t="s">
        <v>39</v>
      </c>
      <c r="J1707" s="0" t="n">
        <v>1.17</v>
      </c>
      <c r="K1707" s="0" t="s">
        <v>35</v>
      </c>
      <c r="L1707" s="0" t="n">
        <f aca="false">INDEX(Summary!$F$2:$F$201,MATCH($B1707,Summary!$A$2:$A$201,0))</f>
        <v>20</v>
      </c>
      <c r="M1707" s="0" t="n">
        <f aca="false">INDEX(Summary!$I$2:$I$201,MATCH($B1707,Summary!$A$2:$A$201,0))</f>
        <v>2</v>
      </c>
      <c r="N1707" s="0" t="n">
        <f aca="false">INDEX(Summary!$J$2:$J$201,MATCH($B1707,Summary!$A$2:$A$201,0))</f>
        <v>3</v>
      </c>
      <c r="O1707" s="2" t="n">
        <f aca="false">INDEX(Summary!$K$2:$K$201,MATCH($B1707,Summary!$A$2:$A$201,0))</f>
        <v>9.03</v>
      </c>
      <c r="P1707" s="3" t="n">
        <f aca="false">INDEX(Summary!$L$2:$L$201,MATCH($B1707,Summary!$A$2:$A$201,0))</f>
        <v>5</v>
      </c>
      <c r="Q1707" s="3" t="n">
        <f aca="false">INDEX(Summary!$M$2:$M$201,MATCH($B1707,Summary!$A$2:$A$201,0))</f>
        <v>1</v>
      </c>
      <c r="R1707" s="2" t="n">
        <f aca="false">INDEX(Summary!$N$2:$N$201,MATCH($B1707,Summary!$A$2:$A$201,0))</f>
        <v>10.02</v>
      </c>
      <c r="S1707" s="3" t="n">
        <f aca="false">INDEX(Summary!$O$2:$O$201,MATCH($B1707,Summary!$A$2:$A$201,0))</f>
        <v>8</v>
      </c>
      <c r="T1707" s="3" t="n">
        <f aca="false">INDEX(Summary!$P$2:$P$201,MATCH($B1707,Summary!$A$2:$A$201,0))</f>
        <v>1</v>
      </c>
      <c r="U1707" s="2" t="n">
        <f aca="false">INDEX(Summary!$Q$2:$Q$201,MATCH($B1707,Summary!$A$2:$A$201,0))</f>
        <v>10.99</v>
      </c>
      <c r="V1707" s="2" t="n">
        <f aca="false">INDEX(Summary!$R$2:$R$201,MATCH($B1707,Summary!$A$2:$A$201,0))</f>
        <v>26.95</v>
      </c>
      <c r="W1707" s="0" t="str">
        <f aca="false">INDEX(Summary!$S$2:$S$201,MATCH($B1707,Summary!$A$2:$A$201,0))</f>
        <v>Silver</v>
      </c>
      <c r="X1707" s="2" t="n">
        <f aca="false">INDEX(Summary!$T$2:$T$201,MATCH($B1707,Summary!$A$2:$A$201,0))</f>
        <v>65.73</v>
      </c>
      <c r="Y1707" s="0" t="str">
        <f aca="false">INDEX('Reward Model'!$E$18:$E$37,MATCH($E1707,'Reward Model'!$A$18:$A$37,0))</f>
        <v>Medium</v>
      </c>
      <c r="Z1707" s="4" t="n">
        <f aca="false">ROUND(MIN(1,MAX('Reward Model'!$B$2,INDEX('Reward Model'!$C$12:$C$14,MATCH($K1707,'Reward Model'!$A$12:$A$14,0))/$J1707)),3)</f>
        <v>1</v>
      </c>
      <c r="AA1707" s="2" t="n">
        <f aca="false">IF($I1707="Correct",ROUND(INDEX('Reward Model'!$B$12:$B$14,MATCH($K1707,'Reward Model'!$A$12:$A$14,0))*Z1707,2),0)</f>
        <v>0</v>
      </c>
      <c r="AB1707" s="2" t="n">
        <f aca="false">IF($I1707="Correct",ROUND(INDEX('Reward Model'!$B$12:$B$14,MATCH($Y1707,'Reward Model'!$A$12:$A$14,0))*Z1707,2),0)</f>
        <v>0</v>
      </c>
    </row>
    <row r="1708" customFormat="false" ht="15" hidden="false" customHeight="false" outlineLevel="0" collapsed="false">
      <c r="A1708" s="0" t="s">
        <v>300</v>
      </c>
      <c r="B1708" s="0" t="s">
        <v>301</v>
      </c>
      <c r="C1708" s="0" t="s">
        <v>30</v>
      </c>
      <c r="D1708" s="0" t="s">
        <v>275</v>
      </c>
      <c r="E1708" s="0" t="n">
        <v>7</v>
      </c>
      <c r="F1708" s="0" t="s">
        <v>50</v>
      </c>
      <c r="G1708" s="0" t="s">
        <v>51</v>
      </c>
      <c r="H1708" s="0" t="s">
        <v>51</v>
      </c>
      <c r="I1708" s="0" t="s">
        <v>34</v>
      </c>
      <c r="J1708" s="0" t="n">
        <v>1.26</v>
      </c>
      <c r="K1708" s="0" t="s">
        <v>35</v>
      </c>
      <c r="L1708" s="0" t="n">
        <f aca="false">INDEX(Summary!$F$2:$F$201,MATCH($B1708,Summary!$A$2:$A$201,0))</f>
        <v>20</v>
      </c>
      <c r="M1708" s="0" t="n">
        <f aca="false">INDEX(Summary!$I$2:$I$201,MATCH($B1708,Summary!$A$2:$A$201,0))</f>
        <v>2</v>
      </c>
      <c r="N1708" s="0" t="n">
        <f aca="false">INDEX(Summary!$J$2:$J$201,MATCH($B1708,Summary!$A$2:$A$201,0))</f>
        <v>3</v>
      </c>
      <c r="O1708" s="2" t="n">
        <f aca="false">INDEX(Summary!$K$2:$K$201,MATCH($B1708,Summary!$A$2:$A$201,0))</f>
        <v>9.03</v>
      </c>
      <c r="P1708" s="3" t="n">
        <f aca="false">INDEX(Summary!$L$2:$L$201,MATCH($B1708,Summary!$A$2:$A$201,0))</f>
        <v>5</v>
      </c>
      <c r="Q1708" s="3" t="n">
        <f aca="false">INDEX(Summary!$M$2:$M$201,MATCH($B1708,Summary!$A$2:$A$201,0))</f>
        <v>1</v>
      </c>
      <c r="R1708" s="2" t="n">
        <f aca="false">INDEX(Summary!$N$2:$N$201,MATCH($B1708,Summary!$A$2:$A$201,0))</f>
        <v>10.02</v>
      </c>
      <c r="S1708" s="3" t="n">
        <f aca="false">INDEX(Summary!$O$2:$O$201,MATCH($B1708,Summary!$A$2:$A$201,0))</f>
        <v>8</v>
      </c>
      <c r="T1708" s="3" t="n">
        <f aca="false">INDEX(Summary!$P$2:$P$201,MATCH($B1708,Summary!$A$2:$A$201,0))</f>
        <v>1</v>
      </c>
      <c r="U1708" s="2" t="n">
        <f aca="false">INDEX(Summary!$Q$2:$Q$201,MATCH($B1708,Summary!$A$2:$A$201,0))</f>
        <v>10.99</v>
      </c>
      <c r="V1708" s="2" t="n">
        <f aca="false">INDEX(Summary!$R$2:$R$201,MATCH($B1708,Summary!$A$2:$A$201,0))</f>
        <v>26.95</v>
      </c>
      <c r="W1708" s="0" t="str">
        <f aca="false">INDEX(Summary!$S$2:$S$201,MATCH($B1708,Summary!$A$2:$A$201,0))</f>
        <v>Silver</v>
      </c>
      <c r="X1708" s="2" t="n">
        <f aca="false">INDEX(Summary!$T$2:$T$201,MATCH($B1708,Summary!$A$2:$A$201,0))</f>
        <v>65.73</v>
      </c>
      <c r="Y1708" s="0" t="str">
        <f aca="false">INDEX('Reward Model'!$E$18:$E$37,MATCH($E1708,'Reward Model'!$A$18:$A$37,0))</f>
        <v>Low</v>
      </c>
      <c r="Z1708" s="4" t="n">
        <f aca="false">ROUND(MIN(1,MAX('Reward Model'!$B$2,INDEX('Reward Model'!$C$12:$C$14,MATCH($K1708,'Reward Model'!$A$12:$A$14,0))/$J1708)),3)</f>
        <v>1</v>
      </c>
      <c r="AA1708" s="2" t="n">
        <f aca="false">IF($I1708="Correct",ROUND(INDEX('Reward Model'!$B$12:$B$14,MATCH($K1708,'Reward Model'!$A$12:$A$14,0))*Z1708,2),0)</f>
        <v>1</v>
      </c>
      <c r="AB1708" s="2" t="n">
        <f aca="false">IF($I1708="Correct",ROUND(INDEX('Reward Model'!$B$12:$B$14,MATCH($Y1708,'Reward Model'!$A$12:$A$14,0))*Z1708,2),0)</f>
        <v>1</v>
      </c>
    </row>
    <row r="1709" customFormat="false" ht="15" hidden="false" customHeight="false" outlineLevel="0" collapsed="false">
      <c r="A1709" s="0" t="s">
        <v>300</v>
      </c>
      <c r="B1709" s="0" t="s">
        <v>301</v>
      </c>
      <c r="C1709" s="0" t="s">
        <v>30</v>
      </c>
      <c r="D1709" s="0" t="s">
        <v>275</v>
      </c>
      <c r="E1709" s="0" t="n">
        <v>8</v>
      </c>
      <c r="F1709" s="0" t="s">
        <v>52</v>
      </c>
      <c r="G1709" s="0" t="s">
        <v>54</v>
      </c>
      <c r="H1709" s="0" t="s">
        <v>54</v>
      </c>
      <c r="I1709" s="0" t="s">
        <v>34</v>
      </c>
      <c r="J1709" s="0" t="n">
        <v>1.42</v>
      </c>
      <c r="K1709" s="0" t="s">
        <v>35</v>
      </c>
      <c r="L1709" s="0" t="n">
        <f aca="false">INDEX(Summary!$F$2:$F$201,MATCH($B1709,Summary!$A$2:$A$201,0))</f>
        <v>20</v>
      </c>
      <c r="M1709" s="0" t="n">
        <f aca="false">INDEX(Summary!$I$2:$I$201,MATCH($B1709,Summary!$A$2:$A$201,0))</f>
        <v>2</v>
      </c>
      <c r="N1709" s="0" t="n">
        <f aca="false">INDEX(Summary!$J$2:$J$201,MATCH($B1709,Summary!$A$2:$A$201,0))</f>
        <v>3</v>
      </c>
      <c r="O1709" s="2" t="n">
        <f aca="false">INDEX(Summary!$K$2:$K$201,MATCH($B1709,Summary!$A$2:$A$201,0))</f>
        <v>9.03</v>
      </c>
      <c r="P1709" s="3" t="n">
        <f aca="false">INDEX(Summary!$L$2:$L$201,MATCH($B1709,Summary!$A$2:$A$201,0))</f>
        <v>5</v>
      </c>
      <c r="Q1709" s="3" t="n">
        <f aca="false">INDEX(Summary!$M$2:$M$201,MATCH($B1709,Summary!$A$2:$A$201,0))</f>
        <v>1</v>
      </c>
      <c r="R1709" s="2" t="n">
        <f aca="false">INDEX(Summary!$N$2:$N$201,MATCH($B1709,Summary!$A$2:$A$201,0))</f>
        <v>10.02</v>
      </c>
      <c r="S1709" s="3" t="n">
        <f aca="false">INDEX(Summary!$O$2:$O$201,MATCH($B1709,Summary!$A$2:$A$201,0))</f>
        <v>8</v>
      </c>
      <c r="T1709" s="3" t="n">
        <f aca="false">INDEX(Summary!$P$2:$P$201,MATCH($B1709,Summary!$A$2:$A$201,0))</f>
        <v>1</v>
      </c>
      <c r="U1709" s="2" t="n">
        <f aca="false">INDEX(Summary!$Q$2:$Q$201,MATCH($B1709,Summary!$A$2:$A$201,0))</f>
        <v>10.99</v>
      </c>
      <c r="V1709" s="2" t="n">
        <f aca="false">INDEX(Summary!$R$2:$R$201,MATCH($B1709,Summary!$A$2:$A$201,0))</f>
        <v>26.95</v>
      </c>
      <c r="W1709" s="0" t="str">
        <f aca="false">INDEX(Summary!$S$2:$S$201,MATCH($B1709,Summary!$A$2:$A$201,0))</f>
        <v>Silver</v>
      </c>
      <c r="X1709" s="2" t="n">
        <f aca="false">INDEX(Summary!$T$2:$T$201,MATCH($B1709,Summary!$A$2:$A$201,0))</f>
        <v>65.73</v>
      </c>
      <c r="Y1709" s="0" t="str">
        <f aca="false">INDEX('Reward Model'!$E$18:$E$37,MATCH($E1709,'Reward Model'!$A$18:$A$37,0))</f>
        <v>Medium</v>
      </c>
      <c r="Z1709" s="4" t="n">
        <f aca="false">ROUND(MIN(1,MAX('Reward Model'!$B$2,INDEX('Reward Model'!$C$12:$C$14,MATCH($K1709,'Reward Model'!$A$12:$A$14,0))/$J1709)),3)</f>
        <v>1</v>
      </c>
      <c r="AA1709" s="2" t="n">
        <f aca="false">IF($I1709="Correct",ROUND(INDEX('Reward Model'!$B$12:$B$14,MATCH($K1709,'Reward Model'!$A$12:$A$14,0))*Z1709,2),0)</f>
        <v>1</v>
      </c>
      <c r="AB1709" s="2" t="n">
        <f aca="false">IF($I1709="Correct",ROUND(INDEX('Reward Model'!$B$12:$B$14,MATCH($Y1709,'Reward Model'!$A$12:$A$14,0))*Z1709,2),0)</f>
        <v>2</v>
      </c>
    </row>
    <row r="1710" customFormat="false" ht="15" hidden="false" customHeight="false" outlineLevel="0" collapsed="false">
      <c r="A1710" s="0" t="s">
        <v>300</v>
      </c>
      <c r="B1710" s="0" t="s">
        <v>301</v>
      </c>
      <c r="C1710" s="0" t="s">
        <v>30</v>
      </c>
      <c r="D1710" s="0" t="s">
        <v>275</v>
      </c>
      <c r="E1710" s="0" t="n">
        <v>9</v>
      </c>
      <c r="F1710" s="0" t="s">
        <v>55</v>
      </c>
      <c r="G1710" s="0" t="s">
        <v>57</v>
      </c>
      <c r="H1710" s="0" t="s">
        <v>57</v>
      </c>
      <c r="I1710" s="0" t="s">
        <v>34</v>
      </c>
      <c r="J1710" s="0" t="n">
        <v>1.47</v>
      </c>
      <c r="K1710" s="0" t="s">
        <v>35</v>
      </c>
      <c r="L1710" s="0" t="n">
        <f aca="false">INDEX(Summary!$F$2:$F$201,MATCH($B1710,Summary!$A$2:$A$201,0))</f>
        <v>20</v>
      </c>
      <c r="M1710" s="0" t="n">
        <f aca="false">INDEX(Summary!$I$2:$I$201,MATCH($B1710,Summary!$A$2:$A$201,0))</f>
        <v>2</v>
      </c>
      <c r="N1710" s="0" t="n">
        <f aca="false">INDEX(Summary!$J$2:$J$201,MATCH($B1710,Summary!$A$2:$A$201,0))</f>
        <v>3</v>
      </c>
      <c r="O1710" s="2" t="n">
        <f aca="false">INDEX(Summary!$K$2:$K$201,MATCH($B1710,Summary!$A$2:$A$201,0))</f>
        <v>9.03</v>
      </c>
      <c r="P1710" s="3" t="n">
        <f aca="false">INDEX(Summary!$L$2:$L$201,MATCH($B1710,Summary!$A$2:$A$201,0))</f>
        <v>5</v>
      </c>
      <c r="Q1710" s="3" t="n">
        <f aca="false">INDEX(Summary!$M$2:$M$201,MATCH($B1710,Summary!$A$2:$A$201,0))</f>
        <v>1</v>
      </c>
      <c r="R1710" s="2" t="n">
        <f aca="false">INDEX(Summary!$N$2:$N$201,MATCH($B1710,Summary!$A$2:$A$201,0))</f>
        <v>10.02</v>
      </c>
      <c r="S1710" s="3" t="n">
        <f aca="false">INDEX(Summary!$O$2:$O$201,MATCH($B1710,Summary!$A$2:$A$201,0))</f>
        <v>8</v>
      </c>
      <c r="T1710" s="3" t="n">
        <f aca="false">INDEX(Summary!$P$2:$P$201,MATCH($B1710,Summary!$A$2:$A$201,0))</f>
        <v>1</v>
      </c>
      <c r="U1710" s="2" t="n">
        <f aca="false">INDEX(Summary!$Q$2:$Q$201,MATCH($B1710,Summary!$A$2:$A$201,0))</f>
        <v>10.99</v>
      </c>
      <c r="V1710" s="2" t="n">
        <f aca="false">INDEX(Summary!$R$2:$R$201,MATCH($B1710,Summary!$A$2:$A$201,0))</f>
        <v>26.95</v>
      </c>
      <c r="W1710" s="0" t="str">
        <f aca="false">INDEX(Summary!$S$2:$S$201,MATCH($B1710,Summary!$A$2:$A$201,0))</f>
        <v>Silver</v>
      </c>
      <c r="X1710" s="2" t="n">
        <f aca="false">INDEX(Summary!$T$2:$T$201,MATCH($B1710,Summary!$A$2:$A$201,0))</f>
        <v>65.73</v>
      </c>
      <c r="Y1710" s="0" t="str">
        <f aca="false">INDEX('Reward Model'!$E$18:$E$37,MATCH($E1710,'Reward Model'!$A$18:$A$37,0))</f>
        <v>Medium</v>
      </c>
      <c r="Z1710" s="4" t="n">
        <f aca="false">ROUND(MIN(1,MAX('Reward Model'!$B$2,INDEX('Reward Model'!$C$12:$C$14,MATCH($K1710,'Reward Model'!$A$12:$A$14,0))/$J1710)),3)</f>
        <v>1</v>
      </c>
      <c r="AA1710" s="2" t="n">
        <f aca="false">IF($I1710="Correct",ROUND(INDEX('Reward Model'!$B$12:$B$14,MATCH($K1710,'Reward Model'!$A$12:$A$14,0))*Z1710,2),0)</f>
        <v>1</v>
      </c>
      <c r="AB1710" s="2" t="n">
        <f aca="false">IF($I1710="Correct",ROUND(INDEX('Reward Model'!$B$12:$B$14,MATCH($Y1710,'Reward Model'!$A$12:$A$14,0))*Z1710,2),0)</f>
        <v>2</v>
      </c>
    </row>
    <row r="1711" customFormat="false" ht="15" hidden="false" customHeight="false" outlineLevel="0" collapsed="false">
      <c r="A1711" s="0" t="s">
        <v>300</v>
      </c>
      <c r="B1711" s="0" t="s">
        <v>301</v>
      </c>
      <c r="C1711" s="0" t="s">
        <v>30</v>
      </c>
      <c r="D1711" s="0" t="s">
        <v>275</v>
      </c>
      <c r="E1711" s="0" t="n">
        <v>10</v>
      </c>
      <c r="F1711" s="0" t="s">
        <v>58</v>
      </c>
      <c r="G1711" s="0" t="s">
        <v>59</v>
      </c>
      <c r="H1711" s="0" t="s">
        <v>59</v>
      </c>
      <c r="I1711" s="0" t="s">
        <v>34</v>
      </c>
      <c r="J1711" s="0" t="n">
        <v>2.28</v>
      </c>
      <c r="K1711" s="0" t="s">
        <v>60</v>
      </c>
      <c r="L1711" s="0" t="n">
        <f aca="false">INDEX(Summary!$F$2:$F$201,MATCH($B1711,Summary!$A$2:$A$201,0))</f>
        <v>20</v>
      </c>
      <c r="M1711" s="0" t="n">
        <f aca="false">INDEX(Summary!$I$2:$I$201,MATCH($B1711,Summary!$A$2:$A$201,0))</f>
        <v>2</v>
      </c>
      <c r="N1711" s="0" t="n">
        <f aca="false">INDEX(Summary!$J$2:$J$201,MATCH($B1711,Summary!$A$2:$A$201,0))</f>
        <v>3</v>
      </c>
      <c r="O1711" s="2" t="n">
        <f aca="false">INDEX(Summary!$K$2:$K$201,MATCH($B1711,Summary!$A$2:$A$201,0))</f>
        <v>9.03</v>
      </c>
      <c r="P1711" s="3" t="n">
        <f aca="false">INDEX(Summary!$L$2:$L$201,MATCH($B1711,Summary!$A$2:$A$201,0))</f>
        <v>5</v>
      </c>
      <c r="Q1711" s="3" t="n">
        <f aca="false">INDEX(Summary!$M$2:$M$201,MATCH($B1711,Summary!$A$2:$A$201,0))</f>
        <v>1</v>
      </c>
      <c r="R1711" s="2" t="n">
        <f aca="false">INDEX(Summary!$N$2:$N$201,MATCH($B1711,Summary!$A$2:$A$201,0))</f>
        <v>10.02</v>
      </c>
      <c r="S1711" s="3" t="n">
        <f aca="false">INDEX(Summary!$O$2:$O$201,MATCH($B1711,Summary!$A$2:$A$201,0))</f>
        <v>8</v>
      </c>
      <c r="T1711" s="3" t="n">
        <f aca="false">INDEX(Summary!$P$2:$P$201,MATCH($B1711,Summary!$A$2:$A$201,0))</f>
        <v>1</v>
      </c>
      <c r="U1711" s="2" t="n">
        <f aca="false">INDEX(Summary!$Q$2:$Q$201,MATCH($B1711,Summary!$A$2:$A$201,0))</f>
        <v>10.99</v>
      </c>
      <c r="V1711" s="2" t="n">
        <f aca="false">INDEX(Summary!$R$2:$R$201,MATCH($B1711,Summary!$A$2:$A$201,0))</f>
        <v>26.95</v>
      </c>
      <c r="W1711" s="0" t="str">
        <f aca="false">INDEX(Summary!$S$2:$S$201,MATCH($B1711,Summary!$A$2:$A$201,0))</f>
        <v>Silver</v>
      </c>
      <c r="X1711" s="2" t="n">
        <f aca="false">INDEX(Summary!$T$2:$T$201,MATCH($B1711,Summary!$A$2:$A$201,0))</f>
        <v>65.73</v>
      </c>
      <c r="Y1711" s="0" t="str">
        <f aca="false">INDEX('Reward Model'!$E$18:$E$37,MATCH($E1711,'Reward Model'!$A$18:$A$37,0))</f>
        <v>Medium</v>
      </c>
      <c r="Z1711" s="4" t="n">
        <f aca="false">ROUND(MIN(1,MAX('Reward Model'!$B$2,INDEX('Reward Model'!$C$12:$C$14,MATCH($K1711,'Reward Model'!$A$12:$A$14,0))/$J1711)),3)</f>
        <v>0.789</v>
      </c>
      <c r="AA1711" s="2" t="n">
        <f aca="false">IF($I1711="Correct",ROUND(INDEX('Reward Model'!$B$12:$B$14,MATCH($K1711,'Reward Model'!$A$12:$A$14,0))*Z1711,2),0)</f>
        <v>1.58</v>
      </c>
      <c r="AB1711" s="2" t="n">
        <f aca="false">IF($I1711="Correct",ROUND(INDEX('Reward Model'!$B$12:$B$14,MATCH($Y1711,'Reward Model'!$A$12:$A$14,0))*Z1711,2),0)</f>
        <v>1.58</v>
      </c>
    </row>
    <row r="1712" customFormat="false" ht="15" hidden="false" customHeight="false" outlineLevel="0" collapsed="false">
      <c r="A1712" s="0" t="s">
        <v>300</v>
      </c>
      <c r="B1712" s="0" t="s">
        <v>301</v>
      </c>
      <c r="C1712" s="0" t="s">
        <v>30</v>
      </c>
      <c r="D1712" s="0" t="s">
        <v>275</v>
      </c>
      <c r="E1712" s="0" t="n">
        <v>11</v>
      </c>
      <c r="F1712" s="0" t="s">
        <v>61</v>
      </c>
      <c r="G1712" s="0" t="s">
        <v>63</v>
      </c>
      <c r="H1712" s="0" t="s">
        <v>63</v>
      </c>
      <c r="I1712" s="0" t="s">
        <v>34</v>
      </c>
      <c r="J1712" s="0" t="n">
        <v>1.64</v>
      </c>
      <c r="K1712" s="0" t="s">
        <v>60</v>
      </c>
      <c r="L1712" s="0" t="n">
        <f aca="false">INDEX(Summary!$F$2:$F$201,MATCH($B1712,Summary!$A$2:$A$201,0))</f>
        <v>20</v>
      </c>
      <c r="M1712" s="0" t="n">
        <f aca="false">INDEX(Summary!$I$2:$I$201,MATCH($B1712,Summary!$A$2:$A$201,0))</f>
        <v>2</v>
      </c>
      <c r="N1712" s="0" t="n">
        <f aca="false">INDEX(Summary!$J$2:$J$201,MATCH($B1712,Summary!$A$2:$A$201,0))</f>
        <v>3</v>
      </c>
      <c r="O1712" s="2" t="n">
        <f aca="false">INDEX(Summary!$K$2:$K$201,MATCH($B1712,Summary!$A$2:$A$201,0))</f>
        <v>9.03</v>
      </c>
      <c r="P1712" s="3" t="n">
        <f aca="false">INDEX(Summary!$L$2:$L$201,MATCH($B1712,Summary!$A$2:$A$201,0))</f>
        <v>5</v>
      </c>
      <c r="Q1712" s="3" t="n">
        <f aca="false">INDEX(Summary!$M$2:$M$201,MATCH($B1712,Summary!$A$2:$A$201,0))</f>
        <v>1</v>
      </c>
      <c r="R1712" s="2" t="n">
        <f aca="false">INDEX(Summary!$N$2:$N$201,MATCH($B1712,Summary!$A$2:$A$201,0))</f>
        <v>10.02</v>
      </c>
      <c r="S1712" s="3" t="n">
        <f aca="false">INDEX(Summary!$O$2:$O$201,MATCH($B1712,Summary!$A$2:$A$201,0))</f>
        <v>8</v>
      </c>
      <c r="T1712" s="3" t="n">
        <f aca="false">INDEX(Summary!$P$2:$P$201,MATCH($B1712,Summary!$A$2:$A$201,0))</f>
        <v>1</v>
      </c>
      <c r="U1712" s="2" t="n">
        <f aca="false">INDEX(Summary!$Q$2:$Q$201,MATCH($B1712,Summary!$A$2:$A$201,0))</f>
        <v>10.99</v>
      </c>
      <c r="V1712" s="2" t="n">
        <f aca="false">INDEX(Summary!$R$2:$R$201,MATCH($B1712,Summary!$A$2:$A$201,0))</f>
        <v>26.95</v>
      </c>
      <c r="W1712" s="0" t="str">
        <f aca="false">INDEX(Summary!$S$2:$S$201,MATCH($B1712,Summary!$A$2:$A$201,0))</f>
        <v>Silver</v>
      </c>
      <c r="X1712" s="2" t="n">
        <f aca="false">INDEX(Summary!$T$2:$T$201,MATCH($B1712,Summary!$A$2:$A$201,0))</f>
        <v>65.73</v>
      </c>
      <c r="Y1712" s="0" t="str">
        <f aca="false">INDEX('Reward Model'!$E$18:$E$37,MATCH($E1712,'Reward Model'!$A$18:$A$37,0))</f>
        <v>Medium</v>
      </c>
      <c r="Z1712" s="4" t="n">
        <f aca="false">ROUND(MIN(1,MAX('Reward Model'!$B$2,INDEX('Reward Model'!$C$12:$C$14,MATCH($K1712,'Reward Model'!$A$12:$A$14,0))/$J1712)),3)</f>
        <v>1</v>
      </c>
      <c r="AA1712" s="2" t="n">
        <f aca="false">IF($I1712="Correct",ROUND(INDEX('Reward Model'!$B$12:$B$14,MATCH($K1712,'Reward Model'!$A$12:$A$14,0))*Z1712,2),0)</f>
        <v>2</v>
      </c>
      <c r="AB1712" s="2" t="n">
        <f aca="false">IF($I1712="Correct",ROUND(INDEX('Reward Model'!$B$12:$B$14,MATCH($Y1712,'Reward Model'!$A$12:$A$14,0))*Z1712,2),0)</f>
        <v>2</v>
      </c>
    </row>
    <row r="1713" customFormat="false" ht="15" hidden="false" customHeight="false" outlineLevel="0" collapsed="false">
      <c r="A1713" s="0" t="s">
        <v>300</v>
      </c>
      <c r="B1713" s="0" t="s">
        <v>301</v>
      </c>
      <c r="C1713" s="0" t="s">
        <v>30</v>
      </c>
      <c r="D1713" s="0" t="s">
        <v>275</v>
      </c>
      <c r="E1713" s="0" t="n">
        <v>12</v>
      </c>
      <c r="F1713" s="0" t="s">
        <v>64</v>
      </c>
      <c r="G1713" s="0" t="s">
        <v>127</v>
      </c>
      <c r="H1713" s="0" t="s">
        <v>65</v>
      </c>
      <c r="I1713" s="0" t="s">
        <v>39</v>
      </c>
      <c r="J1713" s="0" t="n">
        <v>1.12</v>
      </c>
      <c r="K1713" s="0" t="s">
        <v>60</v>
      </c>
      <c r="L1713" s="0" t="n">
        <f aca="false">INDEX(Summary!$F$2:$F$201,MATCH($B1713,Summary!$A$2:$A$201,0))</f>
        <v>20</v>
      </c>
      <c r="M1713" s="0" t="n">
        <f aca="false">INDEX(Summary!$I$2:$I$201,MATCH($B1713,Summary!$A$2:$A$201,0))</f>
        <v>2</v>
      </c>
      <c r="N1713" s="0" t="n">
        <f aca="false">INDEX(Summary!$J$2:$J$201,MATCH($B1713,Summary!$A$2:$A$201,0))</f>
        <v>3</v>
      </c>
      <c r="O1713" s="2" t="n">
        <f aca="false">INDEX(Summary!$K$2:$K$201,MATCH($B1713,Summary!$A$2:$A$201,0))</f>
        <v>9.03</v>
      </c>
      <c r="P1713" s="3" t="n">
        <f aca="false">INDEX(Summary!$L$2:$L$201,MATCH($B1713,Summary!$A$2:$A$201,0))</f>
        <v>5</v>
      </c>
      <c r="Q1713" s="3" t="n">
        <f aca="false">INDEX(Summary!$M$2:$M$201,MATCH($B1713,Summary!$A$2:$A$201,0))</f>
        <v>1</v>
      </c>
      <c r="R1713" s="2" t="n">
        <f aca="false">INDEX(Summary!$N$2:$N$201,MATCH($B1713,Summary!$A$2:$A$201,0))</f>
        <v>10.02</v>
      </c>
      <c r="S1713" s="3" t="n">
        <f aca="false">INDEX(Summary!$O$2:$O$201,MATCH($B1713,Summary!$A$2:$A$201,0))</f>
        <v>8</v>
      </c>
      <c r="T1713" s="3" t="n">
        <f aca="false">INDEX(Summary!$P$2:$P$201,MATCH($B1713,Summary!$A$2:$A$201,0))</f>
        <v>1</v>
      </c>
      <c r="U1713" s="2" t="n">
        <f aca="false">INDEX(Summary!$Q$2:$Q$201,MATCH($B1713,Summary!$A$2:$A$201,0))</f>
        <v>10.99</v>
      </c>
      <c r="V1713" s="2" t="n">
        <f aca="false">INDEX(Summary!$R$2:$R$201,MATCH($B1713,Summary!$A$2:$A$201,0))</f>
        <v>26.95</v>
      </c>
      <c r="W1713" s="0" t="str">
        <f aca="false">INDEX(Summary!$S$2:$S$201,MATCH($B1713,Summary!$A$2:$A$201,0))</f>
        <v>Silver</v>
      </c>
      <c r="X1713" s="2" t="n">
        <f aca="false">INDEX(Summary!$T$2:$T$201,MATCH($B1713,Summary!$A$2:$A$201,0))</f>
        <v>65.73</v>
      </c>
      <c r="Y1713" s="0" t="str">
        <f aca="false">INDEX('Reward Model'!$E$18:$E$37,MATCH($E1713,'Reward Model'!$A$18:$A$37,0))</f>
        <v>Medium</v>
      </c>
      <c r="Z1713" s="4" t="n">
        <f aca="false">ROUND(MIN(1,MAX('Reward Model'!$B$2,INDEX('Reward Model'!$C$12:$C$14,MATCH($K1713,'Reward Model'!$A$12:$A$14,0))/$J1713)),3)</f>
        <v>1</v>
      </c>
      <c r="AA1713" s="2" t="n">
        <f aca="false">IF($I1713="Correct",ROUND(INDEX('Reward Model'!$B$12:$B$14,MATCH($K1713,'Reward Model'!$A$12:$A$14,0))*Z1713,2),0)</f>
        <v>0</v>
      </c>
      <c r="AB1713" s="2" t="n">
        <f aca="false">IF($I1713="Correct",ROUND(INDEX('Reward Model'!$B$12:$B$14,MATCH($Y1713,'Reward Model'!$A$12:$A$14,0))*Z1713,2),0)</f>
        <v>0</v>
      </c>
    </row>
    <row r="1714" customFormat="false" ht="15" hidden="false" customHeight="false" outlineLevel="0" collapsed="false">
      <c r="A1714" s="0" t="s">
        <v>300</v>
      </c>
      <c r="B1714" s="0" t="s">
        <v>301</v>
      </c>
      <c r="C1714" s="0" t="s">
        <v>30</v>
      </c>
      <c r="D1714" s="0" t="s">
        <v>275</v>
      </c>
      <c r="E1714" s="0" t="n">
        <v>13</v>
      </c>
      <c r="F1714" s="0" t="s">
        <v>66</v>
      </c>
      <c r="G1714" s="0" t="s">
        <v>67</v>
      </c>
      <c r="H1714" s="0" t="s">
        <v>67</v>
      </c>
      <c r="I1714" s="0" t="s">
        <v>34</v>
      </c>
      <c r="J1714" s="0" t="n">
        <v>1.4</v>
      </c>
      <c r="K1714" s="0" t="s">
        <v>60</v>
      </c>
      <c r="L1714" s="0" t="n">
        <f aca="false">INDEX(Summary!$F$2:$F$201,MATCH($B1714,Summary!$A$2:$A$201,0))</f>
        <v>20</v>
      </c>
      <c r="M1714" s="0" t="n">
        <f aca="false">INDEX(Summary!$I$2:$I$201,MATCH($B1714,Summary!$A$2:$A$201,0))</f>
        <v>2</v>
      </c>
      <c r="N1714" s="0" t="n">
        <f aca="false">INDEX(Summary!$J$2:$J$201,MATCH($B1714,Summary!$A$2:$A$201,0))</f>
        <v>3</v>
      </c>
      <c r="O1714" s="2" t="n">
        <f aca="false">INDEX(Summary!$K$2:$K$201,MATCH($B1714,Summary!$A$2:$A$201,0))</f>
        <v>9.03</v>
      </c>
      <c r="P1714" s="3" t="n">
        <f aca="false">INDEX(Summary!$L$2:$L$201,MATCH($B1714,Summary!$A$2:$A$201,0))</f>
        <v>5</v>
      </c>
      <c r="Q1714" s="3" t="n">
        <f aca="false">INDEX(Summary!$M$2:$M$201,MATCH($B1714,Summary!$A$2:$A$201,0))</f>
        <v>1</v>
      </c>
      <c r="R1714" s="2" t="n">
        <f aca="false">INDEX(Summary!$N$2:$N$201,MATCH($B1714,Summary!$A$2:$A$201,0))</f>
        <v>10.02</v>
      </c>
      <c r="S1714" s="3" t="n">
        <f aca="false">INDEX(Summary!$O$2:$O$201,MATCH($B1714,Summary!$A$2:$A$201,0))</f>
        <v>8</v>
      </c>
      <c r="T1714" s="3" t="n">
        <f aca="false">INDEX(Summary!$P$2:$P$201,MATCH($B1714,Summary!$A$2:$A$201,0))</f>
        <v>1</v>
      </c>
      <c r="U1714" s="2" t="n">
        <f aca="false">INDEX(Summary!$Q$2:$Q$201,MATCH($B1714,Summary!$A$2:$A$201,0))</f>
        <v>10.99</v>
      </c>
      <c r="V1714" s="2" t="n">
        <f aca="false">INDEX(Summary!$R$2:$R$201,MATCH($B1714,Summary!$A$2:$A$201,0))</f>
        <v>26.95</v>
      </c>
      <c r="W1714" s="0" t="str">
        <f aca="false">INDEX(Summary!$S$2:$S$201,MATCH($B1714,Summary!$A$2:$A$201,0))</f>
        <v>Silver</v>
      </c>
      <c r="X1714" s="2" t="n">
        <f aca="false">INDEX(Summary!$T$2:$T$201,MATCH($B1714,Summary!$A$2:$A$201,0))</f>
        <v>65.73</v>
      </c>
      <c r="Y1714" s="0" t="str">
        <f aca="false">INDEX('Reward Model'!$E$18:$E$37,MATCH($E1714,'Reward Model'!$A$18:$A$37,0))</f>
        <v>Medium</v>
      </c>
      <c r="Z1714" s="4" t="n">
        <f aca="false">ROUND(MIN(1,MAX('Reward Model'!$B$2,INDEX('Reward Model'!$C$12:$C$14,MATCH($K1714,'Reward Model'!$A$12:$A$14,0))/$J1714)),3)</f>
        <v>1</v>
      </c>
      <c r="AA1714" s="2" t="n">
        <f aca="false">IF($I1714="Correct",ROUND(INDEX('Reward Model'!$B$12:$B$14,MATCH($K1714,'Reward Model'!$A$12:$A$14,0))*Z1714,2),0)</f>
        <v>2</v>
      </c>
      <c r="AB1714" s="2" t="n">
        <f aca="false">IF($I1714="Correct",ROUND(INDEX('Reward Model'!$B$12:$B$14,MATCH($Y1714,'Reward Model'!$A$12:$A$14,0))*Z1714,2),0)</f>
        <v>2</v>
      </c>
    </row>
    <row r="1715" customFormat="false" ht="15" hidden="false" customHeight="false" outlineLevel="0" collapsed="false">
      <c r="A1715" s="0" t="s">
        <v>300</v>
      </c>
      <c r="B1715" s="0" t="s">
        <v>301</v>
      </c>
      <c r="C1715" s="0" t="s">
        <v>30</v>
      </c>
      <c r="D1715" s="0" t="s">
        <v>275</v>
      </c>
      <c r="E1715" s="0" t="n">
        <v>14</v>
      </c>
      <c r="F1715" s="0" t="s">
        <v>68</v>
      </c>
      <c r="G1715" s="0" t="s">
        <v>51</v>
      </c>
      <c r="H1715" s="0" t="s">
        <v>51</v>
      </c>
      <c r="I1715" s="0" t="s">
        <v>34</v>
      </c>
      <c r="J1715" s="0" t="n">
        <v>1.63</v>
      </c>
      <c r="K1715" s="0" t="s">
        <v>60</v>
      </c>
      <c r="L1715" s="0" t="n">
        <f aca="false">INDEX(Summary!$F$2:$F$201,MATCH($B1715,Summary!$A$2:$A$201,0))</f>
        <v>20</v>
      </c>
      <c r="M1715" s="0" t="n">
        <f aca="false">INDEX(Summary!$I$2:$I$201,MATCH($B1715,Summary!$A$2:$A$201,0))</f>
        <v>2</v>
      </c>
      <c r="N1715" s="0" t="n">
        <f aca="false">INDEX(Summary!$J$2:$J$201,MATCH($B1715,Summary!$A$2:$A$201,0))</f>
        <v>3</v>
      </c>
      <c r="O1715" s="2" t="n">
        <f aca="false">INDEX(Summary!$K$2:$K$201,MATCH($B1715,Summary!$A$2:$A$201,0))</f>
        <v>9.03</v>
      </c>
      <c r="P1715" s="3" t="n">
        <f aca="false">INDEX(Summary!$L$2:$L$201,MATCH($B1715,Summary!$A$2:$A$201,0))</f>
        <v>5</v>
      </c>
      <c r="Q1715" s="3" t="n">
        <f aca="false">INDEX(Summary!$M$2:$M$201,MATCH($B1715,Summary!$A$2:$A$201,0))</f>
        <v>1</v>
      </c>
      <c r="R1715" s="2" t="n">
        <f aca="false">INDEX(Summary!$N$2:$N$201,MATCH($B1715,Summary!$A$2:$A$201,0))</f>
        <v>10.02</v>
      </c>
      <c r="S1715" s="3" t="n">
        <f aca="false">INDEX(Summary!$O$2:$O$201,MATCH($B1715,Summary!$A$2:$A$201,0))</f>
        <v>8</v>
      </c>
      <c r="T1715" s="3" t="n">
        <f aca="false">INDEX(Summary!$P$2:$P$201,MATCH($B1715,Summary!$A$2:$A$201,0))</f>
        <v>1</v>
      </c>
      <c r="U1715" s="2" t="n">
        <f aca="false">INDEX(Summary!$Q$2:$Q$201,MATCH($B1715,Summary!$A$2:$A$201,0))</f>
        <v>10.99</v>
      </c>
      <c r="V1715" s="2" t="n">
        <f aca="false">INDEX(Summary!$R$2:$R$201,MATCH($B1715,Summary!$A$2:$A$201,0))</f>
        <v>26.95</v>
      </c>
      <c r="W1715" s="0" t="str">
        <f aca="false">INDEX(Summary!$S$2:$S$201,MATCH($B1715,Summary!$A$2:$A$201,0))</f>
        <v>Silver</v>
      </c>
      <c r="X1715" s="2" t="n">
        <f aca="false">INDEX(Summary!$T$2:$T$201,MATCH($B1715,Summary!$A$2:$A$201,0))</f>
        <v>65.73</v>
      </c>
      <c r="Y1715" s="0" t="str">
        <f aca="false">INDEX('Reward Model'!$E$18:$E$37,MATCH($E1715,'Reward Model'!$A$18:$A$37,0))</f>
        <v>Medium</v>
      </c>
      <c r="Z1715" s="4" t="n">
        <f aca="false">ROUND(MIN(1,MAX('Reward Model'!$B$2,INDEX('Reward Model'!$C$12:$C$14,MATCH($K1715,'Reward Model'!$A$12:$A$14,0))/$J1715)),3)</f>
        <v>1</v>
      </c>
      <c r="AA1715" s="2" t="n">
        <f aca="false">IF($I1715="Correct",ROUND(INDEX('Reward Model'!$B$12:$B$14,MATCH($K1715,'Reward Model'!$A$12:$A$14,0))*Z1715,2),0)</f>
        <v>2</v>
      </c>
      <c r="AB1715" s="2" t="n">
        <f aca="false">IF($I1715="Correct",ROUND(INDEX('Reward Model'!$B$12:$B$14,MATCH($Y1715,'Reward Model'!$A$12:$A$14,0))*Z1715,2),0)</f>
        <v>2</v>
      </c>
    </row>
    <row r="1716" customFormat="false" ht="15" hidden="false" customHeight="false" outlineLevel="0" collapsed="false">
      <c r="A1716" s="0" t="s">
        <v>300</v>
      </c>
      <c r="B1716" s="0" t="s">
        <v>301</v>
      </c>
      <c r="C1716" s="0" t="s">
        <v>30</v>
      </c>
      <c r="D1716" s="0" t="s">
        <v>275</v>
      </c>
      <c r="E1716" s="0" t="n">
        <v>15</v>
      </c>
      <c r="F1716" s="0" t="s">
        <v>69</v>
      </c>
      <c r="G1716" s="0" t="s">
        <v>70</v>
      </c>
      <c r="H1716" s="0" t="s">
        <v>70</v>
      </c>
      <c r="I1716" s="0" t="s">
        <v>34</v>
      </c>
      <c r="J1716" s="0" t="n">
        <v>1.95</v>
      </c>
      <c r="K1716" s="0" t="s">
        <v>60</v>
      </c>
      <c r="L1716" s="0" t="n">
        <f aca="false">INDEX(Summary!$F$2:$F$201,MATCH($B1716,Summary!$A$2:$A$201,0))</f>
        <v>20</v>
      </c>
      <c r="M1716" s="0" t="n">
        <f aca="false">INDEX(Summary!$I$2:$I$201,MATCH($B1716,Summary!$A$2:$A$201,0))</f>
        <v>2</v>
      </c>
      <c r="N1716" s="0" t="n">
        <f aca="false">INDEX(Summary!$J$2:$J$201,MATCH($B1716,Summary!$A$2:$A$201,0))</f>
        <v>3</v>
      </c>
      <c r="O1716" s="2" t="n">
        <f aca="false">INDEX(Summary!$K$2:$K$201,MATCH($B1716,Summary!$A$2:$A$201,0))</f>
        <v>9.03</v>
      </c>
      <c r="P1716" s="3" t="n">
        <f aca="false">INDEX(Summary!$L$2:$L$201,MATCH($B1716,Summary!$A$2:$A$201,0))</f>
        <v>5</v>
      </c>
      <c r="Q1716" s="3" t="n">
        <f aca="false">INDEX(Summary!$M$2:$M$201,MATCH($B1716,Summary!$A$2:$A$201,0))</f>
        <v>1</v>
      </c>
      <c r="R1716" s="2" t="n">
        <f aca="false">INDEX(Summary!$N$2:$N$201,MATCH($B1716,Summary!$A$2:$A$201,0))</f>
        <v>10.02</v>
      </c>
      <c r="S1716" s="3" t="n">
        <f aca="false">INDEX(Summary!$O$2:$O$201,MATCH($B1716,Summary!$A$2:$A$201,0))</f>
        <v>8</v>
      </c>
      <c r="T1716" s="3" t="n">
        <f aca="false">INDEX(Summary!$P$2:$P$201,MATCH($B1716,Summary!$A$2:$A$201,0))</f>
        <v>1</v>
      </c>
      <c r="U1716" s="2" t="n">
        <f aca="false">INDEX(Summary!$Q$2:$Q$201,MATCH($B1716,Summary!$A$2:$A$201,0))</f>
        <v>10.99</v>
      </c>
      <c r="V1716" s="2" t="n">
        <f aca="false">INDEX(Summary!$R$2:$R$201,MATCH($B1716,Summary!$A$2:$A$201,0))</f>
        <v>26.95</v>
      </c>
      <c r="W1716" s="0" t="str">
        <f aca="false">INDEX(Summary!$S$2:$S$201,MATCH($B1716,Summary!$A$2:$A$201,0))</f>
        <v>Silver</v>
      </c>
      <c r="X1716" s="2" t="n">
        <f aca="false">INDEX(Summary!$T$2:$T$201,MATCH($B1716,Summary!$A$2:$A$201,0))</f>
        <v>65.73</v>
      </c>
      <c r="Y1716" s="0" t="str">
        <f aca="false">INDEX('Reward Model'!$E$18:$E$37,MATCH($E1716,'Reward Model'!$A$18:$A$37,0))</f>
        <v>Medium</v>
      </c>
      <c r="Z1716" s="4" t="n">
        <f aca="false">ROUND(MIN(1,MAX('Reward Model'!$B$2,INDEX('Reward Model'!$C$12:$C$14,MATCH($K1716,'Reward Model'!$A$12:$A$14,0))/$J1716)),3)</f>
        <v>0.923</v>
      </c>
      <c r="AA1716" s="2" t="n">
        <f aca="false">IF($I1716="Correct",ROUND(INDEX('Reward Model'!$B$12:$B$14,MATCH($K1716,'Reward Model'!$A$12:$A$14,0))*Z1716,2),0)</f>
        <v>1.85</v>
      </c>
      <c r="AB1716" s="2" t="n">
        <f aca="false">IF($I1716="Correct",ROUND(INDEX('Reward Model'!$B$12:$B$14,MATCH($Y1716,'Reward Model'!$A$12:$A$14,0))*Z1716,2),0)</f>
        <v>1.85</v>
      </c>
    </row>
    <row r="1717" customFormat="false" ht="15" hidden="false" customHeight="false" outlineLevel="0" collapsed="false">
      <c r="A1717" s="0" t="s">
        <v>300</v>
      </c>
      <c r="B1717" s="0" t="s">
        <v>301</v>
      </c>
      <c r="C1717" s="0" t="s">
        <v>30</v>
      </c>
      <c r="D1717" s="0" t="s">
        <v>275</v>
      </c>
      <c r="E1717" s="0" t="n">
        <v>16</v>
      </c>
      <c r="F1717" s="0" t="s">
        <v>71</v>
      </c>
      <c r="G1717" s="0" t="s">
        <v>101</v>
      </c>
      <c r="H1717" s="0" t="s">
        <v>72</v>
      </c>
      <c r="I1717" s="0" t="s">
        <v>39</v>
      </c>
      <c r="J1717" s="0" t="n">
        <v>1.45</v>
      </c>
      <c r="K1717" s="0" t="s">
        <v>73</v>
      </c>
      <c r="L1717" s="0" t="n">
        <f aca="false">INDEX(Summary!$F$2:$F$201,MATCH($B1717,Summary!$A$2:$A$201,0))</f>
        <v>20</v>
      </c>
      <c r="M1717" s="0" t="n">
        <f aca="false">INDEX(Summary!$I$2:$I$201,MATCH($B1717,Summary!$A$2:$A$201,0))</f>
        <v>2</v>
      </c>
      <c r="N1717" s="0" t="n">
        <f aca="false">INDEX(Summary!$J$2:$J$201,MATCH($B1717,Summary!$A$2:$A$201,0))</f>
        <v>3</v>
      </c>
      <c r="O1717" s="2" t="n">
        <f aca="false">INDEX(Summary!$K$2:$K$201,MATCH($B1717,Summary!$A$2:$A$201,0))</f>
        <v>9.03</v>
      </c>
      <c r="P1717" s="3" t="n">
        <f aca="false">INDEX(Summary!$L$2:$L$201,MATCH($B1717,Summary!$A$2:$A$201,0))</f>
        <v>5</v>
      </c>
      <c r="Q1717" s="3" t="n">
        <f aca="false">INDEX(Summary!$M$2:$M$201,MATCH($B1717,Summary!$A$2:$A$201,0))</f>
        <v>1</v>
      </c>
      <c r="R1717" s="2" t="n">
        <f aca="false">INDEX(Summary!$N$2:$N$201,MATCH($B1717,Summary!$A$2:$A$201,0))</f>
        <v>10.02</v>
      </c>
      <c r="S1717" s="3" t="n">
        <f aca="false">INDEX(Summary!$O$2:$O$201,MATCH($B1717,Summary!$A$2:$A$201,0))</f>
        <v>8</v>
      </c>
      <c r="T1717" s="3" t="n">
        <f aca="false">INDEX(Summary!$P$2:$P$201,MATCH($B1717,Summary!$A$2:$A$201,0))</f>
        <v>1</v>
      </c>
      <c r="U1717" s="2" t="n">
        <f aca="false">INDEX(Summary!$Q$2:$Q$201,MATCH($B1717,Summary!$A$2:$A$201,0))</f>
        <v>10.99</v>
      </c>
      <c r="V1717" s="2" t="n">
        <f aca="false">INDEX(Summary!$R$2:$R$201,MATCH($B1717,Summary!$A$2:$A$201,0))</f>
        <v>26.95</v>
      </c>
      <c r="W1717" s="0" t="str">
        <f aca="false">INDEX(Summary!$S$2:$S$201,MATCH($B1717,Summary!$A$2:$A$201,0))</f>
        <v>Silver</v>
      </c>
      <c r="X1717" s="2" t="n">
        <f aca="false">INDEX(Summary!$T$2:$T$201,MATCH($B1717,Summary!$A$2:$A$201,0))</f>
        <v>65.73</v>
      </c>
      <c r="Y1717" s="0" t="str">
        <f aca="false">INDEX('Reward Model'!$E$18:$E$37,MATCH($E1717,'Reward Model'!$A$18:$A$37,0))</f>
        <v>High</v>
      </c>
      <c r="Z1717" s="4" t="n">
        <f aca="false">ROUND(MIN(1,MAX('Reward Model'!$B$2,INDEX('Reward Model'!$C$12:$C$14,MATCH($K1717,'Reward Model'!$A$12:$A$14,0))/$J1717)),3)</f>
        <v>1</v>
      </c>
      <c r="AA1717" s="2" t="n">
        <f aca="false">IF($I1717="Correct",ROUND(INDEX('Reward Model'!$B$12:$B$14,MATCH($K1717,'Reward Model'!$A$12:$A$14,0))*Z1717,2),0)</f>
        <v>0</v>
      </c>
      <c r="AB1717" s="2" t="n">
        <f aca="false">IF($I1717="Correct",ROUND(INDEX('Reward Model'!$B$12:$B$14,MATCH($Y1717,'Reward Model'!$A$12:$A$14,0))*Z1717,2),0)</f>
        <v>0</v>
      </c>
    </row>
    <row r="1718" customFormat="false" ht="15" hidden="false" customHeight="false" outlineLevel="0" collapsed="false">
      <c r="A1718" s="0" t="s">
        <v>300</v>
      </c>
      <c r="B1718" s="0" t="s">
        <v>301</v>
      </c>
      <c r="C1718" s="0" t="s">
        <v>30</v>
      </c>
      <c r="D1718" s="0" t="s">
        <v>275</v>
      </c>
      <c r="E1718" s="0" t="n">
        <v>17</v>
      </c>
      <c r="F1718" s="0" t="s">
        <v>74</v>
      </c>
      <c r="G1718" s="0" t="s">
        <v>75</v>
      </c>
      <c r="H1718" s="0" t="s">
        <v>75</v>
      </c>
      <c r="I1718" s="0" t="s">
        <v>34</v>
      </c>
      <c r="J1718" s="0" t="n">
        <v>1.38</v>
      </c>
      <c r="K1718" s="0" t="s">
        <v>73</v>
      </c>
      <c r="L1718" s="0" t="n">
        <f aca="false">INDEX(Summary!$F$2:$F$201,MATCH($B1718,Summary!$A$2:$A$201,0))</f>
        <v>20</v>
      </c>
      <c r="M1718" s="0" t="n">
        <f aca="false">INDEX(Summary!$I$2:$I$201,MATCH($B1718,Summary!$A$2:$A$201,0))</f>
        <v>2</v>
      </c>
      <c r="N1718" s="0" t="n">
        <f aca="false">INDEX(Summary!$J$2:$J$201,MATCH($B1718,Summary!$A$2:$A$201,0))</f>
        <v>3</v>
      </c>
      <c r="O1718" s="2" t="n">
        <f aca="false">INDEX(Summary!$K$2:$K$201,MATCH($B1718,Summary!$A$2:$A$201,0))</f>
        <v>9.03</v>
      </c>
      <c r="P1718" s="3" t="n">
        <f aca="false">INDEX(Summary!$L$2:$L$201,MATCH($B1718,Summary!$A$2:$A$201,0))</f>
        <v>5</v>
      </c>
      <c r="Q1718" s="3" t="n">
        <f aca="false">INDEX(Summary!$M$2:$M$201,MATCH($B1718,Summary!$A$2:$A$201,0))</f>
        <v>1</v>
      </c>
      <c r="R1718" s="2" t="n">
        <f aca="false">INDEX(Summary!$N$2:$N$201,MATCH($B1718,Summary!$A$2:$A$201,0))</f>
        <v>10.02</v>
      </c>
      <c r="S1718" s="3" t="n">
        <f aca="false">INDEX(Summary!$O$2:$O$201,MATCH($B1718,Summary!$A$2:$A$201,0))</f>
        <v>8</v>
      </c>
      <c r="T1718" s="3" t="n">
        <f aca="false">INDEX(Summary!$P$2:$P$201,MATCH($B1718,Summary!$A$2:$A$201,0))</f>
        <v>1</v>
      </c>
      <c r="U1718" s="2" t="n">
        <f aca="false">INDEX(Summary!$Q$2:$Q$201,MATCH($B1718,Summary!$A$2:$A$201,0))</f>
        <v>10.99</v>
      </c>
      <c r="V1718" s="2" t="n">
        <f aca="false">INDEX(Summary!$R$2:$R$201,MATCH($B1718,Summary!$A$2:$A$201,0))</f>
        <v>26.95</v>
      </c>
      <c r="W1718" s="0" t="str">
        <f aca="false">INDEX(Summary!$S$2:$S$201,MATCH($B1718,Summary!$A$2:$A$201,0))</f>
        <v>Silver</v>
      </c>
      <c r="X1718" s="2" t="n">
        <f aca="false">INDEX(Summary!$T$2:$T$201,MATCH($B1718,Summary!$A$2:$A$201,0))</f>
        <v>65.73</v>
      </c>
      <c r="Y1718" s="0" t="str">
        <f aca="false">INDEX('Reward Model'!$E$18:$E$37,MATCH($E1718,'Reward Model'!$A$18:$A$37,0))</f>
        <v>High</v>
      </c>
      <c r="Z1718" s="4" t="n">
        <f aca="false">ROUND(MIN(1,MAX('Reward Model'!$B$2,INDEX('Reward Model'!$C$12:$C$14,MATCH($K1718,'Reward Model'!$A$12:$A$14,0))/$J1718)),3)</f>
        <v>1</v>
      </c>
      <c r="AA1718" s="2" t="n">
        <f aca="false">IF($I1718="Correct",ROUND(INDEX('Reward Model'!$B$12:$B$14,MATCH($K1718,'Reward Model'!$A$12:$A$14,0))*Z1718,2),0)</f>
        <v>3</v>
      </c>
      <c r="AB1718" s="2" t="n">
        <f aca="false">IF($I1718="Correct",ROUND(INDEX('Reward Model'!$B$12:$B$14,MATCH($Y1718,'Reward Model'!$A$12:$A$14,0))*Z1718,2),0)</f>
        <v>3</v>
      </c>
    </row>
    <row r="1719" customFormat="false" ht="15" hidden="false" customHeight="false" outlineLevel="0" collapsed="false">
      <c r="A1719" s="0" t="s">
        <v>300</v>
      </c>
      <c r="B1719" s="0" t="s">
        <v>301</v>
      </c>
      <c r="C1719" s="0" t="s">
        <v>30</v>
      </c>
      <c r="D1719" s="0" t="s">
        <v>275</v>
      </c>
      <c r="E1719" s="0" t="n">
        <v>18</v>
      </c>
      <c r="F1719" s="0" t="s">
        <v>76</v>
      </c>
      <c r="G1719" s="0" t="s">
        <v>88</v>
      </c>
      <c r="H1719" s="0" t="s">
        <v>77</v>
      </c>
      <c r="I1719" s="0" t="s">
        <v>39</v>
      </c>
      <c r="J1719" s="0" t="n">
        <v>2.33</v>
      </c>
      <c r="K1719" s="0" t="s">
        <v>73</v>
      </c>
      <c r="L1719" s="0" t="n">
        <f aca="false">INDEX(Summary!$F$2:$F$201,MATCH($B1719,Summary!$A$2:$A$201,0))</f>
        <v>20</v>
      </c>
      <c r="M1719" s="0" t="n">
        <f aca="false">INDEX(Summary!$I$2:$I$201,MATCH($B1719,Summary!$A$2:$A$201,0))</f>
        <v>2</v>
      </c>
      <c r="N1719" s="0" t="n">
        <f aca="false">INDEX(Summary!$J$2:$J$201,MATCH($B1719,Summary!$A$2:$A$201,0))</f>
        <v>3</v>
      </c>
      <c r="O1719" s="2" t="n">
        <f aca="false">INDEX(Summary!$K$2:$K$201,MATCH($B1719,Summary!$A$2:$A$201,0))</f>
        <v>9.03</v>
      </c>
      <c r="P1719" s="3" t="n">
        <f aca="false">INDEX(Summary!$L$2:$L$201,MATCH($B1719,Summary!$A$2:$A$201,0))</f>
        <v>5</v>
      </c>
      <c r="Q1719" s="3" t="n">
        <f aca="false">INDEX(Summary!$M$2:$M$201,MATCH($B1719,Summary!$A$2:$A$201,0))</f>
        <v>1</v>
      </c>
      <c r="R1719" s="2" t="n">
        <f aca="false">INDEX(Summary!$N$2:$N$201,MATCH($B1719,Summary!$A$2:$A$201,0))</f>
        <v>10.02</v>
      </c>
      <c r="S1719" s="3" t="n">
        <f aca="false">INDEX(Summary!$O$2:$O$201,MATCH($B1719,Summary!$A$2:$A$201,0))</f>
        <v>8</v>
      </c>
      <c r="T1719" s="3" t="n">
        <f aca="false">INDEX(Summary!$P$2:$P$201,MATCH($B1719,Summary!$A$2:$A$201,0))</f>
        <v>1</v>
      </c>
      <c r="U1719" s="2" t="n">
        <f aca="false">INDEX(Summary!$Q$2:$Q$201,MATCH($B1719,Summary!$A$2:$A$201,0))</f>
        <v>10.99</v>
      </c>
      <c r="V1719" s="2" t="n">
        <f aca="false">INDEX(Summary!$R$2:$R$201,MATCH($B1719,Summary!$A$2:$A$201,0))</f>
        <v>26.95</v>
      </c>
      <c r="W1719" s="0" t="str">
        <f aca="false">INDEX(Summary!$S$2:$S$201,MATCH($B1719,Summary!$A$2:$A$201,0))</f>
        <v>Silver</v>
      </c>
      <c r="X1719" s="2" t="n">
        <f aca="false">INDEX(Summary!$T$2:$T$201,MATCH($B1719,Summary!$A$2:$A$201,0))</f>
        <v>65.73</v>
      </c>
      <c r="Y1719" s="0" t="str">
        <f aca="false">INDEX('Reward Model'!$E$18:$E$37,MATCH($E1719,'Reward Model'!$A$18:$A$37,0))</f>
        <v>High</v>
      </c>
      <c r="Z1719" s="4" t="n">
        <f aca="false">ROUND(MIN(1,MAX('Reward Model'!$B$2,INDEX('Reward Model'!$C$12:$C$14,MATCH($K1719,'Reward Model'!$A$12:$A$14,0))/$J1719)),3)</f>
        <v>0.858</v>
      </c>
      <c r="AA1719" s="2" t="n">
        <f aca="false">IF($I1719="Correct",ROUND(INDEX('Reward Model'!$B$12:$B$14,MATCH($K1719,'Reward Model'!$A$12:$A$14,0))*Z1719,2),0)</f>
        <v>0</v>
      </c>
      <c r="AB1719" s="2" t="n">
        <f aca="false">IF($I1719="Correct",ROUND(INDEX('Reward Model'!$B$12:$B$14,MATCH($Y1719,'Reward Model'!$A$12:$A$14,0))*Z1719,2),0)</f>
        <v>0</v>
      </c>
    </row>
    <row r="1720" customFormat="false" ht="15" hidden="false" customHeight="false" outlineLevel="0" collapsed="false">
      <c r="A1720" s="0" t="s">
        <v>300</v>
      </c>
      <c r="B1720" s="0" t="s">
        <v>301</v>
      </c>
      <c r="C1720" s="0" t="s">
        <v>30</v>
      </c>
      <c r="D1720" s="0" t="s">
        <v>275</v>
      </c>
      <c r="E1720" s="0" t="n">
        <v>19</v>
      </c>
      <c r="F1720" s="0" t="s">
        <v>78</v>
      </c>
      <c r="G1720" s="0" t="s">
        <v>80</v>
      </c>
      <c r="H1720" s="0" t="s">
        <v>80</v>
      </c>
      <c r="I1720" s="0" t="s">
        <v>34</v>
      </c>
      <c r="J1720" s="0" t="n">
        <v>2.38</v>
      </c>
      <c r="K1720" s="0" t="s">
        <v>73</v>
      </c>
      <c r="L1720" s="0" t="n">
        <f aca="false">INDEX(Summary!$F$2:$F$201,MATCH($B1720,Summary!$A$2:$A$201,0))</f>
        <v>20</v>
      </c>
      <c r="M1720" s="0" t="n">
        <f aca="false">INDEX(Summary!$I$2:$I$201,MATCH($B1720,Summary!$A$2:$A$201,0))</f>
        <v>2</v>
      </c>
      <c r="N1720" s="0" t="n">
        <f aca="false">INDEX(Summary!$J$2:$J$201,MATCH($B1720,Summary!$A$2:$A$201,0))</f>
        <v>3</v>
      </c>
      <c r="O1720" s="2" t="n">
        <f aca="false">INDEX(Summary!$K$2:$K$201,MATCH($B1720,Summary!$A$2:$A$201,0))</f>
        <v>9.03</v>
      </c>
      <c r="P1720" s="3" t="n">
        <f aca="false">INDEX(Summary!$L$2:$L$201,MATCH($B1720,Summary!$A$2:$A$201,0))</f>
        <v>5</v>
      </c>
      <c r="Q1720" s="3" t="n">
        <f aca="false">INDEX(Summary!$M$2:$M$201,MATCH($B1720,Summary!$A$2:$A$201,0))</f>
        <v>1</v>
      </c>
      <c r="R1720" s="2" t="n">
        <f aca="false">INDEX(Summary!$N$2:$N$201,MATCH($B1720,Summary!$A$2:$A$201,0))</f>
        <v>10.02</v>
      </c>
      <c r="S1720" s="3" t="n">
        <f aca="false">INDEX(Summary!$O$2:$O$201,MATCH($B1720,Summary!$A$2:$A$201,0))</f>
        <v>8</v>
      </c>
      <c r="T1720" s="3" t="n">
        <f aca="false">INDEX(Summary!$P$2:$P$201,MATCH($B1720,Summary!$A$2:$A$201,0))</f>
        <v>1</v>
      </c>
      <c r="U1720" s="2" t="n">
        <f aca="false">INDEX(Summary!$Q$2:$Q$201,MATCH($B1720,Summary!$A$2:$A$201,0))</f>
        <v>10.99</v>
      </c>
      <c r="V1720" s="2" t="n">
        <f aca="false">INDEX(Summary!$R$2:$R$201,MATCH($B1720,Summary!$A$2:$A$201,0))</f>
        <v>26.95</v>
      </c>
      <c r="W1720" s="0" t="str">
        <f aca="false">INDEX(Summary!$S$2:$S$201,MATCH($B1720,Summary!$A$2:$A$201,0))</f>
        <v>Silver</v>
      </c>
      <c r="X1720" s="2" t="n">
        <f aca="false">INDEX(Summary!$T$2:$T$201,MATCH($B1720,Summary!$A$2:$A$201,0))</f>
        <v>65.73</v>
      </c>
      <c r="Y1720" s="0" t="str">
        <f aca="false">INDEX('Reward Model'!$E$18:$E$37,MATCH($E1720,'Reward Model'!$A$18:$A$37,0))</f>
        <v>High</v>
      </c>
      <c r="Z1720" s="4" t="n">
        <f aca="false">ROUND(MIN(1,MAX('Reward Model'!$B$2,INDEX('Reward Model'!$C$12:$C$14,MATCH($K1720,'Reward Model'!$A$12:$A$14,0))/$J1720)),3)</f>
        <v>0.84</v>
      </c>
      <c r="AA1720" s="2" t="n">
        <f aca="false">IF($I1720="Correct",ROUND(INDEX('Reward Model'!$B$12:$B$14,MATCH($K1720,'Reward Model'!$A$12:$A$14,0))*Z1720,2),0)</f>
        <v>2.52</v>
      </c>
      <c r="AB1720" s="2" t="n">
        <f aca="false">IF($I1720="Correct",ROUND(INDEX('Reward Model'!$B$12:$B$14,MATCH($Y1720,'Reward Model'!$A$12:$A$14,0))*Z1720,2),0)</f>
        <v>2.52</v>
      </c>
    </row>
    <row r="1721" customFormat="false" ht="15" hidden="false" customHeight="false" outlineLevel="0" collapsed="false">
      <c r="A1721" s="0" t="s">
        <v>300</v>
      </c>
      <c r="B1721" s="0" t="s">
        <v>301</v>
      </c>
      <c r="C1721" s="0" t="s">
        <v>30</v>
      </c>
      <c r="D1721" s="0" t="s">
        <v>275</v>
      </c>
      <c r="E1721" s="0" t="n">
        <v>20</v>
      </c>
      <c r="F1721" s="0" t="s">
        <v>81</v>
      </c>
      <c r="G1721" s="0" t="s">
        <v>119</v>
      </c>
      <c r="H1721" s="0" t="s">
        <v>83</v>
      </c>
      <c r="I1721" s="0" t="s">
        <v>39</v>
      </c>
      <c r="J1721" s="0" t="n">
        <v>1.49</v>
      </c>
      <c r="K1721" s="0" t="s">
        <v>73</v>
      </c>
      <c r="L1721" s="0" t="n">
        <f aca="false">INDEX(Summary!$F$2:$F$201,MATCH($B1721,Summary!$A$2:$A$201,0))</f>
        <v>20</v>
      </c>
      <c r="M1721" s="0" t="n">
        <f aca="false">INDEX(Summary!$I$2:$I$201,MATCH($B1721,Summary!$A$2:$A$201,0))</f>
        <v>2</v>
      </c>
      <c r="N1721" s="0" t="n">
        <f aca="false">INDEX(Summary!$J$2:$J$201,MATCH($B1721,Summary!$A$2:$A$201,0))</f>
        <v>3</v>
      </c>
      <c r="O1721" s="2" t="n">
        <f aca="false">INDEX(Summary!$K$2:$K$201,MATCH($B1721,Summary!$A$2:$A$201,0))</f>
        <v>9.03</v>
      </c>
      <c r="P1721" s="3" t="n">
        <f aca="false">INDEX(Summary!$L$2:$L$201,MATCH($B1721,Summary!$A$2:$A$201,0))</f>
        <v>5</v>
      </c>
      <c r="Q1721" s="3" t="n">
        <f aca="false">INDEX(Summary!$M$2:$M$201,MATCH($B1721,Summary!$A$2:$A$201,0))</f>
        <v>1</v>
      </c>
      <c r="R1721" s="2" t="n">
        <f aca="false">INDEX(Summary!$N$2:$N$201,MATCH($B1721,Summary!$A$2:$A$201,0))</f>
        <v>10.02</v>
      </c>
      <c r="S1721" s="3" t="n">
        <f aca="false">INDEX(Summary!$O$2:$O$201,MATCH($B1721,Summary!$A$2:$A$201,0))</f>
        <v>8</v>
      </c>
      <c r="T1721" s="3" t="n">
        <f aca="false">INDEX(Summary!$P$2:$P$201,MATCH($B1721,Summary!$A$2:$A$201,0))</f>
        <v>1</v>
      </c>
      <c r="U1721" s="2" t="n">
        <f aca="false">INDEX(Summary!$Q$2:$Q$201,MATCH($B1721,Summary!$A$2:$A$201,0))</f>
        <v>10.99</v>
      </c>
      <c r="V1721" s="2" t="n">
        <f aca="false">INDEX(Summary!$R$2:$R$201,MATCH($B1721,Summary!$A$2:$A$201,0))</f>
        <v>26.95</v>
      </c>
      <c r="W1721" s="0" t="str">
        <f aca="false">INDEX(Summary!$S$2:$S$201,MATCH($B1721,Summary!$A$2:$A$201,0))</f>
        <v>Silver</v>
      </c>
      <c r="X1721" s="2" t="n">
        <f aca="false">INDEX(Summary!$T$2:$T$201,MATCH($B1721,Summary!$A$2:$A$201,0))</f>
        <v>65.73</v>
      </c>
      <c r="Y1721" s="0" t="str">
        <f aca="false">INDEX('Reward Model'!$E$18:$E$37,MATCH($E1721,'Reward Model'!$A$18:$A$37,0))</f>
        <v>High</v>
      </c>
      <c r="Z1721" s="4" t="n">
        <f aca="false">ROUND(MIN(1,MAX('Reward Model'!$B$2,INDEX('Reward Model'!$C$12:$C$14,MATCH($K1721,'Reward Model'!$A$12:$A$14,0))/$J1721)),3)</f>
        <v>1</v>
      </c>
      <c r="AA1721" s="2" t="n">
        <f aca="false">IF($I1721="Correct",ROUND(INDEX('Reward Model'!$B$12:$B$14,MATCH($K1721,'Reward Model'!$A$12:$A$14,0))*Z1721,2),0)</f>
        <v>0</v>
      </c>
      <c r="AB1721" s="2" t="n">
        <f aca="false">IF($I1721="Correct",ROUND(INDEX('Reward Model'!$B$12:$B$14,MATCH($Y1721,'Reward Model'!$A$12:$A$14,0))*Z1721,2),0)</f>
        <v>0</v>
      </c>
    </row>
    <row r="1722" customFormat="false" ht="15" hidden="false" customHeight="false" outlineLevel="0" collapsed="false">
      <c r="A1722" s="0" t="s">
        <v>302</v>
      </c>
      <c r="B1722" s="0" t="s">
        <v>303</v>
      </c>
      <c r="C1722" s="0" t="s">
        <v>30</v>
      </c>
      <c r="D1722" s="0" t="s">
        <v>275</v>
      </c>
      <c r="E1722" s="0" t="n">
        <v>1</v>
      </c>
      <c r="F1722" s="0" t="s">
        <v>32</v>
      </c>
      <c r="G1722" s="0" t="s">
        <v>33</v>
      </c>
      <c r="H1722" s="0" t="s">
        <v>33</v>
      </c>
      <c r="I1722" s="0" t="s">
        <v>34</v>
      </c>
      <c r="J1722" s="0" t="n">
        <v>2</v>
      </c>
      <c r="K1722" s="0" t="s">
        <v>35</v>
      </c>
      <c r="L1722" s="0" t="n">
        <f aca="false">INDEX(Summary!$F$2:$F$201,MATCH($B1722,Summary!$A$2:$A$201,0))</f>
        <v>20</v>
      </c>
      <c r="M1722" s="0" t="n">
        <f aca="false">INDEX(Summary!$I$2:$I$201,MATCH($B1722,Summary!$A$2:$A$201,0))</f>
        <v>2</v>
      </c>
      <c r="N1722" s="0" t="n">
        <f aca="false">INDEX(Summary!$J$2:$J$201,MATCH($B1722,Summary!$A$2:$A$201,0))</f>
        <v>3</v>
      </c>
      <c r="O1722" s="2" t="n">
        <f aca="false">INDEX(Summary!$K$2:$K$201,MATCH($B1722,Summary!$A$2:$A$201,0))</f>
        <v>10.81</v>
      </c>
      <c r="P1722" s="3" t="n">
        <f aca="false">INDEX(Summary!$L$2:$L$201,MATCH($B1722,Summary!$A$2:$A$201,0))</f>
        <v>5</v>
      </c>
      <c r="Q1722" s="3" t="n">
        <f aca="false">INDEX(Summary!$M$2:$M$201,MATCH($B1722,Summary!$A$2:$A$201,0))</f>
        <v>1</v>
      </c>
      <c r="R1722" s="2" t="n">
        <f aca="false">INDEX(Summary!$N$2:$N$201,MATCH($B1722,Summary!$A$2:$A$201,0))</f>
        <v>8.99</v>
      </c>
      <c r="S1722" s="3" t="n">
        <f aca="false">INDEX(Summary!$O$2:$O$201,MATCH($B1722,Summary!$A$2:$A$201,0))</f>
        <v>8</v>
      </c>
      <c r="T1722" s="3" t="n">
        <f aca="false">INDEX(Summary!$P$2:$P$201,MATCH($B1722,Summary!$A$2:$A$201,0))</f>
        <v>1</v>
      </c>
      <c r="U1722" s="2" t="n">
        <f aca="false">INDEX(Summary!$Q$2:$Q$201,MATCH($B1722,Summary!$A$2:$A$201,0))</f>
        <v>14.01</v>
      </c>
      <c r="V1722" s="2" t="n">
        <f aca="false">INDEX(Summary!$R$2:$R$201,MATCH($B1722,Summary!$A$2:$A$201,0))</f>
        <v>25.63</v>
      </c>
      <c r="W1722" s="0" t="str">
        <f aca="false">INDEX(Summary!$S$2:$S$201,MATCH($B1722,Summary!$A$2:$A$201,0))</f>
        <v>Silver</v>
      </c>
      <c r="X1722" s="2" t="n">
        <f aca="false">INDEX(Summary!$T$2:$T$201,MATCH($B1722,Summary!$A$2:$A$201,0))</f>
        <v>62.51</v>
      </c>
      <c r="Y1722" s="0" t="str">
        <f aca="false">INDEX('Reward Model'!$E$18:$E$37,MATCH($E1722,'Reward Model'!$A$18:$A$37,0))</f>
        <v>Medium</v>
      </c>
      <c r="Z1722" s="4" t="n">
        <f aca="false">ROUND(MIN(1,MAX('Reward Model'!$B$2,INDEX('Reward Model'!$C$12:$C$14,MATCH($K1722,'Reward Model'!$A$12:$A$14,0))/$J1722)),3)</f>
        <v>0.75</v>
      </c>
      <c r="AA1722" s="2" t="n">
        <f aca="false">IF($I1722="Correct",ROUND(INDEX('Reward Model'!$B$12:$B$14,MATCH($K1722,'Reward Model'!$A$12:$A$14,0))*Z1722,2),0)</f>
        <v>0.75</v>
      </c>
      <c r="AB1722" s="2" t="n">
        <f aca="false">IF($I1722="Correct",ROUND(INDEX('Reward Model'!$B$12:$B$14,MATCH($Y1722,'Reward Model'!$A$12:$A$14,0))*Z1722,2),0)</f>
        <v>1.5</v>
      </c>
    </row>
    <row r="1723" customFormat="false" ht="15" hidden="false" customHeight="false" outlineLevel="0" collapsed="false">
      <c r="A1723" s="0" t="s">
        <v>302</v>
      </c>
      <c r="B1723" s="0" t="s">
        <v>303</v>
      </c>
      <c r="C1723" s="0" t="s">
        <v>30</v>
      </c>
      <c r="D1723" s="0" t="s">
        <v>275</v>
      </c>
      <c r="E1723" s="0" t="n">
        <v>2</v>
      </c>
      <c r="F1723" s="0" t="s">
        <v>36</v>
      </c>
      <c r="G1723" s="0" t="s">
        <v>38</v>
      </c>
      <c r="H1723" s="0" t="s">
        <v>38</v>
      </c>
      <c r="I1723" s="0" t="s">
        <v>34</v>
      </c>
      <c r="J1723" s="0" t="n">
        <v>1.12</v>
      </c>
      <c r="K1723" s="0" t="s">
        <v>35</v>
      </c>
      <c r="L1723" s="0" t="n">
        <f aca="false">INDEX(Summary!$F$2:$F$201,MATCH($B1723,Summary!$A$2:$A$201,0))</f>
        <v>20</v>
      </c>
      <c r="M1723" s="0" t="n">
        <f aca="false">INDEX(Summary!$I$2:$I$201,MATCH($B1723,Summary!$A$2:$A$201,0))</f>
        <v>2</v>
      </c>
      <c r="N1723" s="0" t="n">
        <f aca="false">INDEX(Summary!$J$2:$J$201,MATCH($B1723,Summary!$A$2:$A$201,0))</f>
        <v>3</v>
      </c>
      <c r="O1723" s="2" t="n">
        <f aca="false">INDEX(Summary!$K$2:$K$201,MATCH($B1723,Summary!$A$2:$A$201,0))</f>
        <v>10.81</v>
      </c>
      <c r="P1723" s="3" t="n">
        <f aca="false">INDEX(Summary!$L$2:$L$201,MATCH($B1723,Summary!$A$2:$A$201,0))</f>
        <v>5</v>
      </c>
      <c r="Q1723" s="3" t="n">
        <f aca="false">INDEX(Summary!$M$2:$M$201,MATCH($B1723,Summary!$A$2:$A$201,0))</f>
        <v>1</v>
      </c>
      <c r="R1723" s="2" t="n">
        <f aca="false">INDEX(Summary!$N$2:$N$201,MATCH($B1723,Summary!$A$2:$A$201,0))</f>
        <v>8.99</v>
      </c>
      <c r="S1723" s="3" t="n">
        <f aca="false">INDEX(Summary!$O$2:$O$201,MATCH($B1723,Summary!$A$2:$A$201,0))</f>
        <v>8</v>
      </c>
      <c r="T1723" s="3" t="n">
        <f aca="false">INDEX(Summary!$P$2:$P$201,MATCH($B1723,Summary!$A$2:$A$201,0))</f>
        <v>1</v>
      </c>
      <c r="U1723" s="2" t="n">
        <f aca="false">INDEX(Summary!$Q$2:$Q$201,MATCH($B1723,Summary!$A$2:$A$201,0))</f>
        <v>14.01</v>
      </c>
      <c r="V1723" s="2" t="n">
        <f aca="false">INDEX(Summary!$R$2:$R$201,MATCH($B1723,Summary!$A$2:$A$201,0))</f>
        <v>25.63</v>
      </c>
      <c r="W1723" s="0" t="str">
        <f aca="false">INDEX(Summary!$S$2:$S$201,MATCH($B1723,Summary!$A$2:$A$201,0))</f>
        <v>Silver</v>
      </c>
      <c r="X1723" s="2" t="n">
        <f aca="false">INDEX(Summary!$T$2:$T$201,MATCH($B1723,Summary!$A$2:$A$201,0))</f>
        <v>62.51</v>
      </c>
      <c r="Y1723" s="0" t="str">
        <f aca="false">INDEX('Reward Model'!$E$18:$E$37,MATCH($E1723,'Reward Model'!$A$18:$A$37,0))</f>
        <v>Low</v>
      </c>
      <c r="Z1723" s="4" t="n">
        <f aca="false">ROUND(MIN(1,MAX('Reward Model'!$B$2,INDEX('Reward Model'!$C$12:$C$14,MATCH($K1723,'Reward Model'!$A$12:$A$14,0))/$J1723)),3)</f>
        <v>1</v>
      </c>
      <c r="AA1723" s="2" t="n">
        <f aca="false">IF($I1723="Correct",ROUND(INDEX('Reward Model'!$B$12:$B$14,MATCH($K1723,'Reward Model'!$A$12:$A$14,0))*Z1723,2),0)</f>
        <v>1</v>
      </c>
      <c r="AB1723" s="2" t="n">
        <f aca="false">IF($I1723="Correct",ROUND(INDEX('Reward Model'!$B$12:$B$14,MATCH($Y1723,'Reward Model'!$A$12:$A$14,0))*Z1723,2),0)</f>
        <v>1</v>
      </c>
    </row>
    <row r="1724" customFormat="false" ht="15" hidden="false" customHeight="false" outlineLevel="0" collapsed="false">
      <c r="A1724" s="0" t="s">
        <v>302</v>
      </c>
      <c r="B1724" s="0" t="s">
        <v>303</v>
      </c>
      <c r="C1724" s="0" t="s">
        <v>30</v>
      </c>
      <c r="D1724" s="0" t="s">
        <v>275</v>
      </c>
      <c r="E1724" s="0" t="n">
        <v>3</v>
      </c>
      <c r="F1724" s="0" t="s">
        <v>40</v>
      </c>
      <c r="G1724" s="0" t="s">
        <v>42</v>
      </c>
      <c r="H1724" s="0" t="s">
        <v>42</v>
      </c>
      <c r="I1724" s="0" t="s">
        <v>34</v>
      </c>
      <c r="J1724" s="0" t="n">
        <v>1.56</v>
      </c>
      <c r="K1724" s="0" t="s">
        <v>35</v>
      </c>
      <c r="L1724" s="0" t="n">
        <f aca="false">INDEX(Summary!$F$2:$F$201,MATCH($B1724,Summary!$A$2:$A$201,0))</f>
        <v>20</v>
      </c>
      <c r="M1724" s="0" t="n">
        <f aca="false">INDEX(Summary!$I$2:$I$201,MATCH($B1724,Summary!$A$2:$A$201,0))</f>
        <v>2</v>
      </c>
      <c r="N1724" s="0" t="n">
        <f aca="false">INDEX(Summary!$J$2:$J$201,MATCH($B1724,Summary!$A$2:$A$201,0))</f>
        <v>3</v>
      </c>
      <c r="O1724" s="2" t="n">
        <f aca="false">INDEX(Summary!$K$2:$K$201,MATCH($B1724,Summary!$A$2:$A$201,0))</f>
        <v>10.81</v>
      </c>
      <c r="P1724" s="3" t="n">
        <f aca="false">INDEX(Summary!$L$2:$L$201,MATCH($B1724,Summary!$A$2:$A$201,0))</f>
        <v>5</v>
      </c>
      <c r="Q1724" s="3" t="n">
        <f aca="false">INDEX(Summary!$M$2:$M$201,MATCH($B1724,Summary!$A$2:$A$201,0))</f>
        <v>1</v>
      </c>
      <c r="R1724" s="2" t="n">
        <f aca="false">INDEX(Summary!$N$2:$N$201,MATCH($B1724,Summary!$A$2:$A$201,0))</f>
        <v>8.99</v>
      </c>
      <c r="S1724" s="3" t="n">
        <f aca="false">INDEX(Summary!$O$2:$O$201,MATCH($B1724,Summary!$A$2:$A$201,0))</f>
        <v>8</v>
      </c>
      <c r="T1724" s="3" t="n">
        <f aca="false">INDEX(Summary!$P$2:$P$201,MATCH($B1724,Summary!$A$2:$A$201,0))</f>
        <v>1</v>
      </c>
      <c r="U1724" s="2" t="n">
        <f aca="false">INDEX(Summary!$Q$2:$Q$201,MATCH($B1724,Summary!$A$2:$A$201,0))</f>
        <v>14.01</v>
      </c>
      <c r="V1724" s="2" t="n">
        <f aca="false">INDEX(Summary!$R$2:$R$201,MATCH($B1724,Summary!$A$2:$A$201,0))</f>
        <v>25.63</v>
      </c>
      <c r="W1724" s="0" t="str">
        <f aca="false">INDEX(Summary!$S$2:$S$201,MATCH($B1724,Summary!$A$2:$A$201,0))</f>
        <v>Silver</v>
      </c>
      <c r="X1724" s="2" t="n">
        <f aca="false">INDEX(Summary!$T$2:$T$201,MATCH($B1724,Summary!$A$2:$A$201,0))</f>
        <v>62.51</v>
      </c>
      <c r="Y1724" s="0" t="str">
        <f aca="false">INDEX('Reward Model'!$E$18:$E$37,MATCH($E1724,'Reward Model'!$A$18:$A$37,0))</f>
        <v>Medium</v>
      </c>
      <c r="Z1724" s="4" t="n">
        <f aca="false">ROUND(MIN(1,MAX('Reward Model'!$B$2,INDEX('Reward Model'!$C$12:$C$14,MATCH($K1724,'Reward Model'!$A$12:$A$14,0))/$J1724)),3)</f>
        <v>0.962</v>
      </c>
      <c r="AA1724" s="2" t="n">
        <f aca="false">IF($I1724="Correct",ROUND(INDEX('Reward Model'!$B$12:$B$14,MATCH($K1724,'Reward Model'!$A$12:$A$14,0))*Z1724,2),0)</f>
        <v>0.96</v>
      </c>
      <c r="AB1724" s="2" t="n">
        <f aca="false">IF($I1724="Correct",ROUND(INDEX('Reward Model'!$B$12:$B$14,MATCH($Y1724,'Reward Model'!$A$12:$A$14,0))*Z1724,2),0)</f>
        <v>1.92</v>
      </c>
    </row>
    <row r="1725" customFormat="false" ht="15" hidden="false" customHeight="false" outlineLevel="0" collapsed="false">
      <c r="A1725" s="0" t="s">
        <v>302</v>
      </c>
      <c r="B1725" s="0" t="s">
        <v>303</v>
      </c>
      <c r="C1725" s="0" t="s">
        <v>30</v>
      </c>
      <c r="D1725" s="0" t="s">
        <v>275</v>
      </c>
      <c r="E1725" s="0" t="n">
        <v>4</v>
      </c>
      <c r="F1725" s="0" t="s">
        <v>43</v>
      </c>
      <c r="G1725" s="0" t="s">
        <v>45</v>
      </c>
      <c r="H1725" s="0" t="s">
        <v>45</v>
      </c>
      <c r="I1725" s="0" t="s">
        <v>34</v>
      </c>
      <c r="J1725" s="0" t="n">
        <v>1.53</v>
      </c>
      <c r="K1725" s="0" t="s">
        <v>35</v>
      </c>
      <c r="L1725" s="0" t="n">
        <f aca="false">INDEX(Summary!$F$2:$F$201,MATCH($B1725,Summary!$A$2:$A$201,0))</f>
        <v>20</v>
      </c>
      <c r="M1725" s="0" t="n">
        <f aca="false">INDEX(Summary!$I$2:$I$201,MATCH($B1725,Summary!$A$2:$A$201,0))</f>
        <v>2</v>
      </c>
      <c r="N1725" s="0" t="n">
        <f aca="false">INDEX(Summary!$J$2:$J$201,MATCH($B1725,Summary!$A$2:$A$201,0))</f>
        <v>3</v>
      </c>
      <c r="O1725" s="2" t="n">
        <f aca="false">INDEX(Summary!$K$2:$K$201,MATCH($B1725,Summary!$A$2:$A$201,0))</f>
        <v>10.81</v>
      </c>
      <c r="P1725" s="3" t="n">
        <f aca="false">INDEX(Summary!$L$2:$L$201,MATCH($B1725,Summary!$A$2:$A$201,0))</f>
        <v>5</v>
      </c>
      <c r="Q1725" s="3" t="n">
        <f aca="false">INDEX(Summary!$M$2:$M$201,MATCH($B1725,Summary!$A$2:$A$201,0))</f>
        <v>1</v>
      </c>
      <c r="R1725" s="2" t="n">
        <f aca="false">INDEX(Summary!$N$2:$N$201,MATCH($B1725,Summary!$A$2:$A$201,0))</f>
        <v>8.99</v>
      </c>
      <c r="S1725" s="3" t="n">
        <f aca="false">INDEX(Summary!$O$2:$O$201,MATCH($B1725,Summary!$A$2:$A$201,0))</f>
        <v>8</v>
      </c>
      <c r="T1725" s="3" t="n">
        <f aca="false">INDEX(Summary!$P$2:$P$201,MATCH($B1725,Summary!$A$2:$A$201,0))</f>
        <v>1</v>
      </c>
      <c r="U1725" s="2" t="n">
        <f aca="false">INDEX(Summary!$Q$2:$Q$201,MATCH($B1725,Summary!$A$2:$A$201,0))</f>
        <v>14.01</v>
      </c>
      <c r="V1725" s="2" t="n">
        <f aca="false">INDEX(Summary!$R$2:$R$201,MATCH($B1725,Summary!$A$2:$A$201,0))</f>
        <v>25.63</v>
      </c>
      <c r="W1725" s="0" t="str">
        <f aca="false">INDEX(Summary!$S$2:$S$201,MATCH($B1725,Summary!$A$2:$A$201,0))</f>
        <v>Silver</v>
      </c>
      <c r="X1725" s="2" t="n">
        <f aca="false">INDEX(Summary!$T$2:$T$201,MATCH($B1725,Summary!$A$2:$A$201,0))</f>
        <v>62.51</v>
      </c>
      <c r="Y1725" s="0" t="str">
        <f aca="false">INDEX('Reward Model'!$E$18:$E$37,MATCH($E1725,'Reward Model'!$A$18:$A$37,0))</f>
        <v>Low</v>
      </c>
      <c r="Z1725" s="4" t="n">
        <f aca="false">ROUND(MIN(1,MAX('Reward Model'!$B$2,INDEX('Reward Model'!$C$12:$C$14,MATCH($K1725,'Reward Model'!$A$12:$A$14,0))/$J1725)),3)</f>
        <v>0.98</v>
      </c>
      <c r="AA1725" s="2" t="n">
        <f aca="false">IF($I1725="Correct",ROUND(INDEX('Reward Model'!$B$12:$B$14,MATCH($K1725,'Reward Model'!$A$12:$A$14,0))*Z1725,2),0)</f>
        <v>0.98</v>
      </c>
      <c r="AB1725" s="2" t="n">
        <f aca="false">IF($I1725="Correct",ROUND(INDEX('Reward Model'!$B$12:$B$14,MATCH($Y1725,'Reward Model'!$A$12:$A$14,0))*Z1725,2),0)</f>
        <v>0.98</v>
      </c>
    </row>
    <row r="1726" customFormat="false" ht="15" hidden="false" customHeight="false" outlineLevel="0" collapsed="false">
      <c r="A1726" s="0" t="s">
        <v>302</v>
      </c>
      <c r="B1726" s="0" t="s">
        <v>303</v>
      </c>
      <c r="C1726" s="0" t="s">
        <v>30</v>
      </c>
      <c r="D1726" s="0" t="s">
        <v>275</v>
      </c>
      <c r="E1726" s="0" t="n">
        <v>5</v>
      </c>
      <c r="F1726" s="0" t="s">
        <v>46</v>
      </c>
      <c r="G1726" s="0" t="s">
        <v>47</v>
      </c>
      <c r="H1726" s="0" t="s">
        <v>47</v>
      </c>
      <c r="I1726" s="0" t="s">
        <v>34</v>
      </c>
      <c r="J1726" s="0" t="n">
        <v>1.91</v>
      </c>
      <c r="K1726" s="0" t="s">
        <v>35</v>
      </c>
      <c r="L1726" s="0" t="n">
        <f aca="false">INDEX(Summary!$F$2:$F$201,MATCH($B1726,Summary!$A$2:$A$201,0))</f>
        <v>20</v>
      </c>
      <c r="M1726" s="0" t="n">
        <f aca="false">INDEX(Summary!$I$2:$I$201,MATCH($B1726,Summary!$A$2:$A$201,0))</f>
        <v>2</v>
      </c>
      <c r="N1726" s="0" t="n">
        <f aca="false">INDEX(Summary!$J$2:$J$201,MATCH($B1726,Summary!$A$2:$A$201,0))</f>
        <v>3</v>
      </c>
      <c r="O1726" s="2" t="n">
        <f aca="false">INDEX(Summary!$K$2:$K$201,MATCH($B1726,Summary!$A$2:$A$201,0))</f>
        <v>10.81</v>
      </c>
      <c r="P1726" s="3" t="n">
        <f aca="false">INDEX(Summary!$L$2:$L$201,MATCH($B1726,Summary!$A$2:$A$201,0))</f>
        <v>5</v>
      </c>
      <c r="Q1726" s="3" t="n">
        <f aca="false">INDEX(Summary!$M$2:$M$201,MATCH($B1726,Summary!$A$2:$A$201,0))</f>
        <v>1</v>
      </c>
      <c r="R1726" s="2" t="n">
        <f aca="false">INDEX(Summary!$N$2:$N$201,MATCH($B1726,Summary!$A$2:$A$201,0))</f>
        <v>8.99</v>
      </c>
      <c r="S1726" s="3" t="n">
        <f aca="false">INDEX(Summary!$O$2:$O$201,MATCH($B1726,Summary!$A$2:$A$201,0))</f>
        <v>8</v>
      </c>
      <c r="T1726" s="3" t="n">
        <f aca="false">INDEX(Summary!$P$2:$P$201,MATCH($B1726,Summary!$A$2:$A$201,0))</f>
        <v>1</v>
      </c>
      <c r="U1726" s="2" t="n">
        <f aca="false">INDEX(Summary!$Q$2:$Q$201,MATCH($B1726,Summary!$A$2:$A$201,0))</f>
        <v>14.01</v>
      </c>
      <c r="V1726" s="2" t="n">
        <f aca="false">INDEX(Summary!$R$2:$R$201,MATCH($B1726,Summary!$A$2:$A$201,0))</f>
        <v>25.63</v>
      </c>
      <c r="W1726" s="0" t="str">
        <f aca="false">INDEX(Summary!$S$2:$S$201,MATCH($B1726,Summary!$A$2:$A$201,0))</f>
        <v>Silver</v>
      </c>
      <c r="X1726" s="2" t="n">
        <f aca="false">INDEX(Summary!$T$2:$T$201,MATCH($B1726,Summary!$A$2:$A$201,0))</f>
        <v>62.51</v>
      </c>
      <c r="Y1726" s="0" t="str">
        <f aca="false">INDEX('Reward Model'!$E$18:$E$37,MATCH($E1726,'Reward Model'!$A$18:$A$37,0))</f>
        <v>Low</v>
      </c>
      <c r="Z1726" s="4" t="n">
        <f aca="false">ROUND(MIN(1,MAX('Reward Model'!$B$2,INDEX('Reward Model'!$C$12:$C$14,MATCH($K1726,'Reward Model'!$A$12:$A$14,0))/$J1726)),3)</f>
        <v>0.785</v>
      </c>
      <c r="AA1726" s="2" t="n">
        <f aca="false">IF($I1726="Correct",ROUND(INDEX('Reward Model'!$B$12:$B$14,MATCH($K1726,'Reward Model'!$A$12:$A$14,0))*Z1726,2),0)</f>
        <v>0.79</v>
      </c>
      <c r="AB1726" s="2" t="n">
        <f aca="false">IF($I1726="Correct",ROUND(INDEX('Reward Model'!$B$12:$B$14,MATCH($Y1726,'Reward Model'!$A$12:$A$14,0))*Z1726,2),0)</f>
        <v>0.79</v>
      </c>
    </row>
    <row r="1727" customFormat="false" ht="15" hidden="false" customHeight="false" outlineLevel="0" collapsed="false">
      <c r="A1727" s="0" t="s">
        <v>302</v>
      </c>
      <c r="B1727" s="0" t="s">
        <v>303</v>
      </c>
      <c r="C1727" s="0" t="s">
        <v>30</v>
      </c>
      <c r="D1727" s="0" t="s">
        <v>275</v>
      </c>
      <c r="E1727" s="0" t="n">
        <v>6</v>
      </c>
      <c r="F1727" s="0" t="s">
        <v>48</v>
      </c>
      <c r="G1727" s="0" t="s">
        <v>116</v>
      </c>
      <c r="H1727" s="0" t="s">
        <v>49</v>
      </c>
      <c r="I1727" s="0" t="s">
        <v>39</v>
      </c>
      <c r="J1727" s="0" t="n">
        <v>1.04</v>
      </c>
      <c r="K1727" s="0" t="s">
        <v>35</v>
      </c>
      <c r="L1727" s="0" t="n">
        <f aca="false">INDEX(Summary!$F$2:$F$201,MATCH($B1727,Summary!$A$2:$A$201,0))</f>
        <v>20</v>
      </c>
      <c r="M1727" s="0" t="n">
        <f aca="false">INDEX(Summary!$I$2:$I$201,MATCH($B1727,Summary!$A$2:$A$201,0))</f>
        <v>2</v>
      </c>
      <c r="N1727" s="0" t="n">
        <f aca="false">INDEX(Summary!$J$2:$J$201,MATCH($B1727,Summary!$A$2:$A$201,0))</f>
        <v>3</v>
      </c>
      <c r="O1727" s="2" t="n">
        <f aca="false">INDEX(Summary!$K$2:$K$201,MATCH($B1727,Summary!$A$2:$A$201,0))</f>
        <v>10.81</v>
      </c>
      <c r="P1727" s="3" t="n">
        <f aca="false">INDEX(Summary!$L$2:$L$201,MATCH($B1727,Summary!$A$2:$A$201,0))</f>
        <v>5</v>
      </c>
      <c r="Q1727" s="3" t="n">
        <f aca="false">INDEX(Summary!$M$2:$M$201,MATCH($B1727,Summary!$A$2:$A$201,0))</f>
        <v>1</v>
      </c>
      <c r="R1727" s="2" t="n">
        <f aca="false">INDEX(Summary!$N$2:$N$201,MATCH($B1727,Summary!$A$2:$A$201,0))</f>
        <v>8.99</v>
      </c>
      <c r="S1727" s="3" t="n">
        <f aca="false">INDEX(Summary!$O$2:$O$201,MATCH($B1727,Summary!$A$2:$A$201,0))</f>
        <v>8</v>
      </c>
      <c r="T1727" s="3" t="n">
        <f aca="false">INDEX(Summary!$P$2:$P$201,MATCH($B1727,Summary!$A$2:$A$201,0))</f>
        <v>1</v>
      </c>
      <c r="U1727" s="2" t="n">
        <f aca="false">INDEX(Summary!$Q$2:$Q$201,MATCH($B1727,Summary!$A$2:$A$201,0))</f>
        <v>14.01</v>
      </c>
      <c r="V1727" s="2" t="n">
        <f aca="false">INDEX(Summary!$R$2:$R$201,MATCH($B1727,Summary!$A$2:$A$201,0))</f>
        <v>25.63</v>
      </c>
      <c r="W1727" s="0" t="str">
        <f aca="false">INDEX(Summary!$S$2:$S$201,MATCH($B1727,Summary!$A$2:$A$201,0))</f>
        <v>Silver</v>
      </c>
      <c r="X1727" s="2" t="n">
        <f aca="false">INDEX(Summary!$T$2:$T$201,MATCH($B1727,Summary!$A$2:$A$201,0))</f>
        <v>62.51</v>
      </c>
      <c r="Y1727" s="0" t="str">
        <f aca="false">INDEX('Reward Model'!$E$18:$E$37,MATCH($E1727,'Reward Model'!$A$18:$A$37,0))</f>
        <v>Medium</v>
      </c>
      <c r="Z1727" s="4" t="n">
        <f aca="false">ROUND(MIN(1,MAX('Reward Model'!$B$2,INDEX('Reward Model'!$C$12:$C$14,MATCH($K1727,'Reward Model'!$A$12:$A$14,0))/$J1727)),3)</f>
        <v>1</v>
      </c>
      <c r="AA1727" s="2" t="n">
        <f aca="false">IF($I1727="Correct",ROUND(INDEX('Reward Model'!$B$12:$B$14,MATCH($K1727,'Reward Model'!$A$12:$A$14,0))*Z1727,2),0)</f>
        <v>0</v>
      </c>
      <c r="AB1727" s="2" t="n">
        <f aca="false">IF($I1727="Correct",ROUND(INDEX('Reward Model'!$B$12:$B$14,MATCH($Y1727,'Reward Model'!$A$12:$A$14,0))*Z1727,2),0)</f>
        <v>0</v>
      </c>
    </row>
    <row r="1728" customFormat="false" ht="15" hidden="false" customHeight="false" outlineLevel="0" collapsed="false">
      <c r="A1728" s="0" t="s">
        <v>302</v>
      </c>
      <c r="B1728" s="0" t="s">
        <v>303</v>
      </c>
      <c r="C1728" s="0" t="s">
        <v>30</v>
      </c>
      <c r="D1728" s="0" t="s">
        <v>275</v>
      </c>
      <c r="E1728" s="0" t="n">
        <v>7</v>
      </c>
      <c r="F1728" s="0" t="s">
        <v>50</v>
      </c>
      <c r="G1728" s="0" t="s">
        <v>51</v>
      </c>
      <c r="H1728" s="0" t="s">
        <v>51</v>
      </c>
      <c r="I1728" s="0" t="s">
        <v>34</v>
      </c>
      <c r="J1728" s="0" t="n">
        <v>1.3</v>
      </c>
      <c r="K1728" s="0" t="s">
        <v>35</v>
      </c>
      <c r="L1728" s="0" t="n">
        <f aca="false">INDEX(Summary!$F$2:$F$201,MATCH($B1728,Summary!$A$2:$A$201,0))</f>
        <v>20</v>
      </c>
      <c r="M1728" s="0" t="n">
        <f aca="false">INDEX(Summary!$I$2:$I$201,MATCH($B1728,Summary!$A$2:$A$201,0))</f>
        <v>2</v>
      </c>
      <c r="N1728" s="0" t="n">
        <f aca="false">INDEX(Summary!$J$2:$J$201,MATCH($B1728,Summary!$A$2:$A$201,0))</f>
        <v>3</v>
      </c>
      <c r="O1728" s="2" t="n">
        <f aca="false">INDEX(Summary!$K$2:$K$201,MATCH($B1728,Summary!$A$2:$A$201,0))</f>
        <v>10.81</v>
      </c>
      <c r="P1728" s="3" t="n">
        <f aca="false">INDEX(Summary!$L$2:$L$201,MATCH($B1728,Summary!$A$2:$A$201,0))</f>
        <v>5</v>
      </c>
      <c r="Q1728" s="3" t="n">
        <f aca="false">INDEX(Summary!$M$2:$M$201,MATCH($B1728,Summary!$A$2:$A$201,0))</f>
        <v>1</v>
      </c>
      <c r="R1728" s="2" t="n">
        <f aca="false">INDEX(Summary!$N$2:$N$201,MATCH($B1728,Summary!$A$2:$A$201,0))</f>
        <v>8.99</v>
      </c>
      <c r="S1728" s="3" t="n">
        <f aca="false">INDEX(Summary!$O$2:$O$201,MATCH($B1728,Summary!$A$2:$A$201,0))</f>
        <v>8</v>
      </c>
      <c r="T1728" s="3" t="n">
        <f aca="false">INDEX(Summary!$P$2:$P$201,MATCH($B1728,Summary!$A$2:$A$201,0))</f>
        <v>1</v>
      </c>
      <c r="U1728" s="2" t="n">
        <f aca="false">INDEX(Summary!$Q$2:$Q$201,MATCH($B1728,Summary!$A$2:$A$201,0))</f>
        <v>14.01</v>
      </c>
      <c r="V1728" s="2" t="n">
        <f aca="false">INDEX(Summary!$R$2:$R$201,MATCH($B1728,Summary!$A$2:$A$201,0))</f>
        <v>25.63</v>
      </c>
      <c r="W1728" s="0" t="str">
        <f aca="false">INDEX(Summary!$S$2:$S$201,MATCH($B1728,Summary!$A$2:$A$201,0))</f>
        <v>Silver</v>
      </c>
      <c r="X1728" s="2" t="n">
        <f aca="false">INDEX(Summary!$T$2:$T$201,MATCH($B1728,Summary!$A$2:$A$201,0))</f>
        <v>62.51</v>
      </c>
      <c r="Y1728" s="0" t="str">
        <f aca="false">INDEX('Reward Model'!$E$18:$E$37,MATCH($E1728,'Reward Model'!$A$18:$A$37,0))</f>
        <v>Low</v>
      </c>
      <c r="Z1728" s="4" t="n">
        <f aca="false">ROUND(MIN(1,MAX('Reward Model'!$B$2,INDEX('Reward Model'!$C$12:$C$14,MATCH($K1728,'Reward Model'!$A$12:$A$14,0))/$J1728)),3)</f>
        <v>1</v>
      </c>
      <c r="AA1728" s="2" t="n">
        <f aca="false">IF($I1728="Correct",ROUND(INDEX('Reward Model'!$B$12:$B$14,MATCH($K1728,'Reward Model'!$A$12:$A$14,0))*Z1728,2),0)</f>
        <v>1</v>
      </c>
      <c r="AB1728" s="2" t="n">
        <f aca="false">IF($I1728="Correct",ROUND(INDEX('Reward Model'!$B$12:$B$14,MATCH($Y1728,'Reward Model'!$A$12:$A$14,0))*Z1728,2),0)</f>
        <v>1</v>
      </c>
    </row>
    <row r="1729" customFormat="false" ht="15" hidden="false" customHeight="false" outlineLevel="0" collapsed="false">
      <c r="A1729" s="0" t="s">
        <v>302</v>
      </c>
      <c r="B1729" s="0" t="s">
        <v>303</v>
      </c>
      <c r="C1729" s="0" t="s">
        <v>30</v>
      </c>
      <c r="D1729" s="0" t="s">
        <v>275</v>
      </c>
      <c r="E1729" s="0" t="n">
        <v>8</v>
      </c>
      <c r="F1729" s="0" t="s">
        <v>52</v>
      </c>
      <c r="G1729" s="0" t="s">
        <v>54</v>
      </c>
      <c r="H1729" s="0" t="s">
        <v>54</v>
      </c>
      <c r="I1729" s="0" t="s">
        <v>34</v>
      </c>
      <c r="J1729" s="0" t="n">
        <v>1.61</v>
      </c>
      <c r="K1729" s="0" t="s">
        <v>35</v>
      </c>
      <c r="L1729" s="0" t="n">
        <f aca="false">INDEX(Summary!$F$2:$F$201,MATCH($B1729,Summary!$A$2:$A$201,0))</f>
        <v>20</v>
      </c>
      <c r="M1729" s="0" t="n">
        <f aca="false">INDEX(Summary!$I$2:$I$201,MATCH($B1729,Summary!$A$2:$A$201,0))</f>
        <v>2</v>
      </c>
      <c r="N1729" s="0" t="n">
        <f aca="false">INDEX(Summary!$J$2:$J$201,MATCH($B1729,Summary!$A$2:$A$201,0))</f>
        <v>3</v>
      </c>
      <c r="O1729" s="2" t="n">
        <f aca="false">INDEX(Summary!$K$2:$K$201,MATCH($B1729,Summary!$A$2:$A$201,0))</f>
        <v>10.81</v>
      </c>
      <c r="P1729" s="3" t="n">
        <f aca="false">INDEX(Summary!$L$2:$L$201,MATCH($B1729,Summary!$A$2:$A$201,0))</f>
        <v>5</v>
      </c>
      <c r="Q1729" s="3" t="n">
        <f aca="false">INDEX(Summary!$M$2:$M$201,MATCH($B1729,Summary!$A$2:$A$201,0))</f>
        <v>1</v>
      </c>
      <c r="R1729" s="2" t="n">
        <f aca="false">INDEX(Summary!$N$2:$N$201,MATCH($B1729,Summary!$A$2:$A$201,0))</f>
        <v>8.99</v>
      </c>
      <c r="S1729" s="3" t="n">
        <f aca="false">INDEX(Summary!$O$2:$O$201,MATCH($B1729,Summary!$A$2:$A$201,0))</f>
        <v>8</v>
      </c>
      <c r="T1729" s="3" t="n">
        <f aca="false">INDEX(Summary!$P$2:$P$201,MATCH($B1729,Summary!$A$2:$A$201,0))</f>
        <v>1</v>
      </c>
      <c r="U1729" s="2" t="n">
        <f aca="false">INDEX(Summary!$Q$2:$Q$201,MATCH($B1729,Summary!$A$2:$A$201,0))</f>
        <v>14.01</v>
      </c>
      <c r="V1729" s="2" t="n">
        <f aca="false">INDEX(Summary!$R$2:$R$201,MATCH($B1729,Summary!$A$2:$A$201,0))</f>
        <v>25.63</v>
      </c>
      <c r="W1729" s="0" t="str">
        <f aca="false">INDEX(Summary!$S$2:$S$201,MATCH($B1729,Summary!$A$2:$A$201,0))</f>
        <v>Silver</v>
      </c>
      <c r="X1729" s="2" t="n">
        <f aca="false">INDEX(Summary!$T$2:$T$201,MATCH($B1729,Summary!$A$2:$A$201,0))</f>
        <v>62.51</v>
      </c>
      <c r="Y1729" s="0" t="str">
        <f aca="false">INDEX('Reward Model'!$E$18:$E$37,MATCH($E1729,'Reward Model'!$A$18:$A$37,0))</f>
        <v>Medium</v>
      </c>
      <c r="Z1729" s="4" t="n">
        <f aca="false">ROUND(MIN(1,MAX('Reward Model'!$B$2,INDEX('Reward Model'!$C$12:$C$14,MATCH($K1729,'Reward Model'!$A$12:$A$14,0))/$J1729)),3)</f>
        <v>0.932</v>
      </c>
      <c r="AA1729" s="2" t="n">
        <f aca="false">IF($I1729="Correct",ROUND(INDEX('Reward Model'!$B$12:$B$14,MATCH($K1729,'Reward Model'!$A$12:$A$14,0))*Z1729,2),0)</f>
        <v>0.93</v>
      </c>
      <c r="AB1729" s="2" t="n">
        <f aca="false">IF($I1729="Correct",ROUND(INDEX('Reward Model'!$B$12:$B$14,MATCH($Y1729,'Reward Model'!$A$12:$A$14,0))*Z1729,2),0)</f>
        <v>1.86</v>
      </c>
    </row>
    <row r="1730" customFormat="false" ht="15" hidden="false" customHeight="false" outlineLevel="0" collapsed="false">
      <c r="A1730" s="0" t="s">
        <v>302</v>
      </c>
      <c r="B1730" s="0" t="s">
        <v>303</v>
      </c>
      <c r="C1730" s="0" t="s">
        <v>30</v>
      </c>
      <c r="D1730" s="0" t="s">
        <v>275</v>
      </c>
      <c r="E1730" s="0" t="n">
        <v>9</v>
      </c>
      <c r="F1730" s="0" t="s">
        <v>55</v>
      </c>
      <c r="G1730" s="0" t="s">
        <v>57</v>
      </c>
      <c r="H1730" s="0" t="s">
        <v>57</v>
      </c>
      <c r="I1730" s="0" t="s">
        <v>34</v>
      </c>
      <c r="J1730" s="0" t="n">
        <v>1.94</v>
      </c>
      <c r="K1730" s="0" t="s">
        <v>35</v>
      </c>
      <c r="L1730" s="0" t="n">
        <f aca="false">INDEX(Summary!$F$2:$F$201,MATCH($B1730,Summary!$A$2:$A$201,0))</f>
        <v>20</v>
      </c>
      <c r="M1730" s="0" t="n">
        <f aca="false">INDEX(Summary!$I$2:$I$201,MATCH($B1730,Summary!$A$2:$A$201,0))</f>
        <v>2</v>
      </c>
      <c r="N1730" s="0" t="n">
        <f aca="false">INDEX(Summary!$J$2:$J$201,MATCH($B1730,Summary!$A$2:$A$201,0))</f>
        <v>3</v>
      </c>
      <c r="O1730" s="2" t="n">
        <f aca="false">INDEX(Summary!$K$2:$K$201,MATCH($B1730,Summary!$A$2:$A$201,0))</f>
        <v>10.81</v>
      </c>
      <c r="P1730" s="3" t="n">
        <f aca="false">INDEX(Summary!$L$2:$L$201,MATCH($B1730,Summary!$A$2:$A$201,0))</f>
        <v>5</v>
      </c>
      <c r="Q1730" s="3" t="n">
        <f aca="false">INDEX(Summary!$M$2:$M$201,MATCH($B1730,Summary!$A$2:$A$201,0))</f>
        <v>1</v>
      </c>
      <c r="R1730" s="2" t="n">
        <f aca="false">INDEX(Summary!$N$2:$N$201,MATCH($B1730,Summary!$A$2:$A$201,0))</f>
        <v>8.99</v>
      </c>
      <c r="S1730" s="3" t="n">
        <f aca="false">INDEX(Summary!$O$2:$O$201,MATCH($B1730,Summary!$A$2:$A$201,0))</f>
        <v>8</v>
      </c>
      <c r="T1730" s="3" t="n">
        <f aca="false">INDEX(Summary!$P$2:$P$201,MATCH($B1730,Summary!$A$2:$A$201,0))</f>
        <v>1</v>
      </c>
      <c r="U1730" s="2" t="n">
        <f aca="false">INDEX(Summary!$Q$2:$Q$201,MATCH($B1730,Summary!$A$2:$A$201,0))</f>
        <v>14.01</v>
      </c>
      <c r="V1730" s="2" t="n">
        <f aca="false">INDEX(Summary!$R$2:$R$201,MATCH($B1730,Summary!$A$2:$A$201,0))</f>
        <v>25.63</v>
      </c>
      <c r="W1730" s="0" t="str">
        <f aca="false">INDEX(Summary!$S$2:$S$201,MATCH($B1730,Summary!$A$2:$A$201,0))</f>
        <v>Silver</v>
      </c>
      <c r="X1730" s="2" t="n">
        <f aca="false">INDEX(Summary!$T$2:$T$201,MATCH($B1730,Summary!$A$2:$A$201,0))</f>
        <v>62.51</v>
      </c>
      <c r="Y1730" s="0" t="str">
        <f aca="false">INDEX('Reward Model'!$E$18:$E$37,MATCH($E1730,'Reward Model'!$A$18:$A$37,0))</f>
        <v>Medium</v>
      </c>
      <c r="Z1730" s="4" t="n">
        <f aca="false">ROUND(MIN(1,MAX('Reward Model'!$B$2,INDEX('Reward Model'!$C$12:$C$14,MATCH($K1730,'Reward Model'!$A$12:$A$14,0))/$J1730)),3)</f>
        <v>0.773</v>
      </c>
      <c r="AA1730" s="2" t="n">
        <f aca="false">IF($I1730="Correct",ROUND(INDEX('Reward Model'!$B$12:$B$14,MATCH($K1730,'Reward Model'!$A$12:$A$14,0))*Z1730,2),0)</f>
        <v>0.77</v>
      </c>
      <c r="AB1730" s="2" t="n">
        <f aca="false">IF($I1730="Correct",ROUND(INDEX('Reward Model'!$B$12:$B$14,MATCH($Y1730,'Reward Model'!$A$12:$A$14,0))*Z1730,2),0)</f>
        <v>1.55</v>
      </c>
    </row>
    <row r="1731" customFormat="false" ht="15" hidden="false" customHeight="false" outlineLevel="0" collapsed="false">
      <c r="A1731" s="0" t="s">
        <v>302</v>
      </c>
      <c r="B1731" s="0" t="s">
        <v>303</v>
      </c>
      <c r="C1731" s="0" t="s">
        <v>30</v>
      </c>
      <c r="D1731" s="0" t="s">
        <v>275</v>
      </c>
      <c r="E1731" s="0" t="n">
        <v>10</v>
      </c>
      <c r="F1731" s="0" t="s">
        <v>58</v>
      </c>
      <c r="G1731" s="0" t="s">
        <v>59</v>
      </c>
      <c r="H1731" s="0" t="s">
        <v>59</v>
      </c>
      <c r="I1731" s="0" t="s">
        <v>34</v>
      </c>
      <c r="J1731" s="0" t="n">
        <v>2.19</v>
      </c>
      <c r="K1731" s="0" t="s">
        <v>60</v>
      </c>
      <c r="L1731" s="0" t="n">
        <f aca="false">INDEX(Summary!$F$2:$F$201,MATCH($B1731,Summary!$A$2:$A$201,0))</f>
        <v>20</v>
      </c>
      <c r="M1731" s="0" t="n">
        <f aca="false">INDEX(Summary!$I$2:$I$201,MATCH($B1731,Summary!$A$2:$A$201,0))</f>
        <v>2</v>
      </c>
      <c r="N1731" s="0" t="n">
        <f aca="false">INDEX(Summary!$J$2:$J$201,MATCH($B1731,Summary!$A$2:$A$201,0))</f>
        <v>3</v>
      </c>
      <c r="O1731" s="2" t="n">
        <f aca="false">INDEX(Summary!$K$2:$K$201,MATCH($B1731,Summary!$A$2:$A$201,0))</f>
        <v>10.81</v>
      </c>
      <c r="P1731" s="3" t="n">
        <f aca="false">INDEX(Summary!$L$2:$L$201,MATCH($B1731,Summary!$A$2:$A$201,0))</f>
        <v>5</v>
      </c>
      <c r="Q1731" s="3" t="n">
        <f aca="false">INDEX(Summary!$M$2:$M$201,MATCH($B1731,Summary!$A$2:$A$201,0))</f>
        <v>1</v>
      </c>
      <c r="R1731" s="2" t="n">
        <f aca="false">INDEX(Summary!$N$2:$N$201,MATCH($B1731,Summary!$A$2:$A$201,0))</f>
        <v>8.99</v>
      </c>
      <c r="S1731" s="3" t="n">
        <f aca="false">INDEX(Summary!$O$2:$O$201,MATCH($B1731,Summary!$A$2:$A$201,0))</f>
        <v>8</v>
      </c>
      <c r="T1731" s="3" t="n">
        <f aca="false">INDEX(Summary!$P$2:$P$201,MATCH($B1731,Summary!$A$2:$A$201,0))</f>
        <v>1</v>
      </c>
      <c r="U1731" s="2" t="n">
        <f aca="false">INDEX(Summary!$Q$2:$Q$201,MATCH($B1731,Summary!$A$2:$A$201,0))</f>
        <v>14.01</v>
      </c>
      <c r="V1731" s="2" t="n">
        <f aca="false">INDEX(Summary!$R$2:$R$201,MATCH($B1731,Summary!$A$2:$A$201,0))</f>
        <v>25.63</v>
      </c>
      <c r="W1731" s="0" t="str">
        <f aca="false">INDEX(Summary!$S$2:$S$201,MATCH($B1731,Summary!$A$2:$A$201,0))</f>
        <v>Silver</v>
      </c>
      <c r="X1731" s="2" t="n">
        <f aca="false">INDEX(Summary!$T$2:$T$201,MATCH($B1731,Summary!$A$2:$A$201,0))</f>
        <v>62.51</v>
      </c>
      <c r="Y1731" s="0" t="str">
        <f aca="false">INDEX('Reward Model'!$E$18:$E$37,MATCH($E1731,'Reward Model'!$A$18:$A$37,0))</f>
        <v>Medium</v>
      </c>
      <c r="Z1731" s="4" t="n">
        <f aca="false">ROUND(MIN(1,MAX('Reward Model'!$B$2,INDEX('Reward Model'!$C$12:$C$14,MATCH($K1731,'Reward Model'!$A$12:$A$14,0))/$J1731)),3)</f>
        <v>0.822</v>
      </c>
      <c r="AA1731" s="2" t="n">
        <f aca="false">IF($I1731="Correct",ROUND(INDEX('Reward Model'!$B$12:$B$14,MATCH($K1731,'Reward Model'!$A$12:$A$14,0))*Z1731,2),0)</f>
        <v>1.64</v>
      </c>
      <c r="AB1731" s="2" t="n">
        <f aca="false">IF($I1731="Correct",ROUND(INDEX('Reward Model'!$B$12:$B$14,MATCH($Y1731,'Reward Model'!$A$12:$A$14,0))*Z1731,2),0)</f>
        <v>1.64</v>
      </c>
    </row>
    <row r="1732" customFormat="false" ht="15" hidden="false" customHeight="false" outlineLevel="0" collapsed="false">
      <c r="A1732" s="0" t="s">
        <v>302</v>
      </c>
      <c r="B1732" s="0" t="s">
        <v>303</v>
      </c>
      <c r="C1732" s="0" t="s">
        <v>30</v>
      </c>
      <c r="D1732" s="0" t="s">
        <v>275</v>
      </c>
      <c r="E1732" s="0" t="n">
        <v>11</v>
      </c>
      <c r="F1732" s="0" t="s">
        <v>61</v>
      </c>
      <c r="G1732" s="0" t="s">
        <v>63</v>
      </c>
      <c r="H1732" s="0" t="s">
        <v>63</v>
      </c>
      <c r="I1732" s="0" t="s">
        <v>34</v>
      </c>
      <c r="J1732" s="0" t="n">
        <v>1.21</v>
      </c>
      <c r="K1732" s="0" t="s">
        <v>60</v>
      </c>
      <c r="L1732" s="0" t="n">
        <f aca="false">INDEX(Summary!$F$2:$F$201,MATCH($B1732,Summary!$A$2:$A$201,0))</f>
        <v>20</v>
      </c>
      <c r="M1732" s="0" t="n">
        <f aca="false">INDEX(Summary!$I$2:$I$201,MATCH($B1732,Summary!$A$2:$A$201,0))</f>
        <v>2</v>
      </c>
      <c r="N1732" s="0" t="n">
        <f aca="false">INDEX(Summary!$J$2:$J$201,MATCH($B1732,Summary!$A$2:$A$201,0))</f>
        <v>3</v>
      </c>
      <c r="O1732" s="2" t="n">
        <f aca="false">INDEX(Summary!$K$2:$K$201,MATCH($B1732,Summary!$A$2:$A$201,0))</f>
        <v>10.81</v>
      </c>
      <c r="P1732" s="3" t="n">
        <f aca="false">INDEX(Summary!$L$2:$L$201,MATCH($B1732,Summary!$A$2:$A$201,0))</f>
        <v>5</v>
      </c>
      <c r="Q1732" s="3" t="n">
        <f aca="false">INDEX(Summary!$M$2:$M$201,MATCH($B1732,Summary!$A$2:$A$201,0))</f>
        <v>1</v>
      </c>
      <c r="R1732" s="2" t="n">
        <f aca="false">INDEX(Summary!$N$2:$N$201,MATCH($B1732,Summary!$A$2:$A$201,0))</f>
        <v>8.99</v>
      </c>
      <c r="S1732" s="3" t="n">
        <f aca="false">INDEX(Summary!$O$2:$O$201,MATCH($B1732,Summary!$A$2:$A$201,0))</f>
        <v>8</v>
      </c>
      <c r="T1732" s="3" t="n">
        <f aca="false">INDEX(Summary!$P$2:$P$201,MATCH($B1732,Summary!$A$2:$A$201,0))</f>
        <v>1</v>
      </c>
      <c r="U1732" s="2" t="n">
        <f aca="false">INDEX(Summary!$Q$2:$Q$201,MATCH($B1732,Summary!$A$2:$A$201,0))</f>
        <v>14.01</v>
      </c>
      <c r="V1732" s="2" t="n">
        <f aca="false">INDEX(Summary!$R$2:$R$201,MATCH($B1732,Summary!$A$2:$A$201,0))</f>
        <v>25.63</v>
      </c>
      <c r="W1732" s="0" t="str">
        <f aca="false">INDEX(Summary!$S$2:$S$201,MATCH($B1732,Summary!$A$2:$A$201,0))</f>
        <v>Silver</v>
      </c>
      <c r="X1732" s="2" t="n">
        <f aca="false">INDEX(Summary!$T$2:$T$201,MATCH($B1732,Summary!$A$2:$A$201,0))</f>
        <v>62.51</v>
      </c>
      <c r="Y1732" s="0" t="str">
        <f aca="false">INDEX('Reward Model'!$E$18:$E$37,MATCH($E1732,'Reward Model'!$A$18:$A$37,0))</f>
        <v>Medium</v>
      </c>
      <c r="Z1732" s="4" t="n">
        <f aca="false">ROUND(MIN(1,MAX('Reward Model'!$B$2,INDEX('Reward Model'!$C$12:$C$14,MATCH($K1732,'Reward Model'!$A$12:$A$14,0))/$J1732)),3)</f>
        <v>1</v>
      </c>
      <c r="AA1732" s="2" t="n">
        <f aca="false">IF($I1732="Correct",ROUND(INDEX('Reward Model'!$B$12:$B$14,MATCH($K1732,'Reward Model'!$A$12:$A$14,0))*Z1732,2),0)</f>
        <v>2</v>
      </c>
      <c r="AB1732" s="2" t="n">
        <f aca="false">IF($I1732="Correct",ROUND(INDEX('Reward Model'!$B$12:$B$14,MATCH($Y1732,'Reward Model'!$A$12:$A$14,0))*Z1732,2),0)</f>
        <v>2</v>
      </c>
    </row>
    <row r="1733" customFormat="false" ht="15" hidden="false" customHeight="false" outlineLevel="0" collapsed="false">
      <c r="A1733" s="0" t="s">
        <v>302</v>
      </c>
      <c r="B1733" s="0" t="s">
        <v>303</v>
      </c>
      <c r="C1733" s="0" t="s">
        <v>30</v>
      </c>
      <c r="D1733" s="0" t="s">
        <v>275</v>
      </c>
      <c r="E1733" s="0" t="n">
        <v>12</v>
      </c>
      <c r="F1733" s="0" t="s">
        <v>64</v>
      </c>
      <c r="G1733" s="0" t="s">
        <v>127</v>
      </c>
      <c r="H1733" s="0" t="s">
        <v>65</v>
      </c>
      <c r="I1733" s="0" t="s">
        <v>39</v>
      </c>
      <c r="J1733" s="0" t="n">
        <v>1.13</v>
      </c>
      <c r="K1733" s="0" t="s">
        <v>60</v>
      </c>
      <c r="L1733" s="0" t="n">
        <f aca="false">INDEX(Summary!$F$2:$F$201,MATCH($B1733,Summary!$A$2:$A$201,0))</f>
        <v>20</v>
      </c>
      <c r="M1733" s="0" t="n">
        <f aca="false">INDEX(Summary!$I$2:$I$201,MATCH($B1733,Summary!$A$2:$A$201,0))</f>
        <v>2</v>
      </c>
      <c r="N1733" s="0" t="n">
        <f aca="false">INDEX(Summary!$J$2:$J$201,MATCH($B1733,Summary!$A$2:$A$201,0))</f>
        <v>3</v>
      </c>
      <c r="O1733" s="2" t="n">
        <f aca="false">INDEX(Summary!$K$2:$K$201,MATCH($B1733,Summary!$A$2:$A$201,0))</f>
        <v>10.81</v>
      </c>
      <c r="P1733" s="3" t="n">
        <f aca="false">INDEX(Summary!$L$2:$L$201,MATCH($B1733,Summary!$A$2:$A$201,0))</f>
        <v>5</v>
      </c>
      <c r="Q1733" s="3" t="n">
        <f aca="false">INDEX(Summary!$M$2:$M$201,MATCH($B1733,Summary!$A$2:$A$201,0))</f>
        <v>1</v>
      </c>
      <c r="R1733" s="2" t="n">
        <f aca="false">INDEX(Summary!$N$2:$N$201,MATCH($B1733,Summary!$A$2:$A$201,0))</f>
        <v>8.99</v>
      </c>
      <c r="S1733" s="3" t="n">
        <f aca="false">INDEX(Summary!$O$2:$O$201,MATCH($B1733,Summary!$A$2:$A$201,0))</f>
        <v>8</v>
      </c>
      <c r="T1733" s="3" t="n">
        <f aca="false">INDEX(Summary!$P$2:$P$201,MATCH($B1733,Summary!$A$2:$A$201,0))</f>
        <v>1</v>
      </c>
      <c r="U1733" s="2" t="n">
        <f aca="false">INDEX(Summary!$Q$2:$Q$201,MATCH($B1733,Summary!$A$2:$A$201,0))</f>
        <v>14.01</v>
      </c>
      <c r="V1733" s="2" t="n">
        <f aca="false">INDEX(Summary!$R$2:$R$201,MATCH($B1733,Summary!$A$2:$A$201,0))</f>
        <v>25.63</v>
      </c>
      <c r="W1733" s="0" t="str">
        <f aca="false">INDEX(Summary!$S$2:$S$201,MATCH($B1733,Summary!$A$2:$A$201,0))</f>
        <v>Silver</v>
      </c>
      <c r="X1733" s="2" t="n">
        <f aca="false">INDEX(Summary!$T$2:$T$201,MATCH($B1733,Summary!$A$2:$A$201,0))</f>
        <v>62.51</v>
      </c>
      <c r="Y1733" s="0" t="str">
        <f aca="false">INDEX('Reward Model'!$E$18:$E$37,MATCH($E1733,'Reward Model'!$A$18:$A$37,0))</f>
        <v>Medium</v>
      </c>
      <c r="Z1733" s="4" t="n">
        <f aca="false">ROUND(MIN(1,MAX('Reward Model'!$B$2,INDEX('Reward Model'!$C$12:$C$14,MATCH($K1733,'Reward Model'!$A$12:$A$14,0))/$J1733)),3)</f>
        <v>1</v>
      </c>
      <c r="AA1733" s="2" t="n">
        <f aca="false">IF($I1733="Correct",ROUND(INDEX('Reward Model'!$B$12:$B$14,MATCH($K1733,'Reward Model'!$A$12:$A$14,0))*Z1733,2),0)</f>
        <v>0</v>
      </c>
      <c r="AB1733" s="2" t="n">
        <f aca="false">IF($I1733="Correct",ROUND(INDEX('Reward Model'!$B$12:$B$14,MATCH($Y1733,'Reward Model'!$A$12:$A$14,0))*Z1733,2),0)</f>
        <v>0</v>
      </c>
    </row>
    <row r="1734" customFormat="false" ht="15" hidden="false" customHeight="false" outlineLevel="0" collapsed="false">
      <c r="A1734" s="0" t="s">
        <v>302</v>
      </c>
      <c r="B1734" s="0" t="s">
        <v>303</v>
      </c>
      <c r="C1734" s="0" t="s">
        <v>30</v>
      </c>
      <c r="D1734" s="0" t="s">
        <v>275</v>
      </c>
      <c r="E1734" s="0" t="n">
        <v>13</v>
      </c>
      <c r="F1734" s="0" t="s">
        <v>66</v>
      </c>
      <c r="G1734" s="0" t="s">
        <v>67</v>
      </c>
      <c r="H1734" s="0" t="s">
        <v>67</v>
      </c>
      <c r="I1734" s="0" t="s">
        <v>34</v>
      </c>
      <c r="J1734" s="0" t="n">
        <v>1.66</v>
      </c>
      <c r="K1734" s="0" t="s">
        <v>60</v>
      </c>
      <c r="L1734" s="0" t="n">
        <f aca="false">INDEX(Summary!$F$2:$F$201,MATCH($B1734,Summary!$A$2:$A$201,0))</f>
        <v>20</v>
      </c>
      <c r="M1734" s="0" t="n">
        <f aca="false">INDEX(Summary!$I$2:$I$201,MATCH($B1734,Summary!$A$2:$A$201,0))</f>
        <v>2</v>
      </c>
      <c r="N1734" s="0" t="n">
        <f aca="false">INDEX(Summary!$J$2:$J$201,MATCH($B1734,Summary!$A$2:$A$201,0))</f>
        <v>3</v>
      </c>
      <c r="O1734" s="2" t="n">
        <f aca="false">INDEX(Summary!$K$2:$K$201,MATCH($B1734,Summary!$A$2:$A$201,0))</f>
        <v>10.81</v>
      </c>
      <c r="P1734" s="3" t="n">
        <f aca="false">INDEX(Summary!$L$2:$L$201,MATCH($B1734,Summary!$A$2:$A$201,0))</f>
        <v>5</v>
      </c>
      <c r="Q1734" s="3" t="n">
        <f aca="false">INDEX(Summary!$M$2:$M$201,MATCH($B1734,Summary!$A$2:$A$201,0))</f>
        <v>1</v>
      </c>
      <c r="R1734" s="2" t="n">
        <f aca="false">INDEX(Summary!$N$2:$N$201,MATCH($B1734,Summary!$A$2:$A$201,0))</f>
        <v>8.99</v>
      </c>
      <c r="S1734" s="3" t="n">
        <f aca="false">INDEX(Summary!$O$2:$O$201,MATCH($B1734,Summary!$A$2:$A$201,0))</f>
        <v>8</v>
      </c>
      <c r="T1734" s="3" t="n">
        <f aca="false">INDEX(Summary!$P$2:$P$201,MATCH($B1734,Summary!$A$2:$A$201,0))</f>
        <v>1</v>
      </c>
      <c r="U1734" s="2" t="n">
        <f aca="false">INDEX(Summary!$Q$2:$Q$201,MATCH($B1734,Summary!$A$2:$A$201,0))</f>
        <v>14.01</v>
      </c>
      <c r="V1734" s="2" t="n">
        <f aca="false">INDEX(Summary!$R$2:$R$201,MATCH($B1734,Summary!$A$2:$A$201,0))</f>
        <v>25.63</v>
      </c>
      <c r="W1734" s="0" t="str">
        <f aca="false">INDEX(Summary!$S$2:$S$201,MATCH($B1734,Summary!$A$2:$A$201,0))</f>
        <v>Silver</v>
      </c>
      <c r="X1734" s="2" t="n">
        <f aca="false">INDEX(Summary!$T$2:$T$201,MATCH($B1734,Summary!$A$2:$A$201,0))</f>
        <v>62.51</v>
      </c>
      <c r="Y1734" s="0" t="str">
        <f aca="false">INDEX('Reward Model'!$E$18:$E$37,MATCH($E1734,'Reward Model'!$A$18:$A$37,0))</f>
        <v>Medium</v>
      </c>
      <c r="Z1734" s="4" t="n">
        <f aca="false">ROUND(MIN(1,MAX('Reward Model'!$B$2,INDEX('Reward Model'!$C$12:$C$14,MATCH($K1734,'Reward Model'!$A$12:$A$14,0))/$J1734)),3)</f>
        <v>1</v>
      </c>
      <c r="AA1734" s="2" t="n">
        <f aca="false">IF($I1734="Correct",ROUND(INDEX('Reward Model'!$B$12:$B$14,MATCH($K1734,'Reward Model'!$A$12:$A$14,0))*Z1734,2),0)</f>
        <v>2</v>
      </c>
      <c r="AB1734" s="2" t="n">
        <f aca="false">IF($I1734="Correct",ROUND(INDEX('Reward Model'!$B$12:$B$14,MATCH($Y1734,'Reward Model'!$A$12:$A$14,0))*Z1734,2),0)</f>
        <v>2</v>
      </c>
    </row>
    <row r="1735" customFormat="false" ht="15" hidden="false" customHeight="false" outlineLevel="0" collapsed="false">
      <c r="A1735" s="0" t="s">
        <v>302</v>
      </c>
      <c r="B1735" s="0" t="s">
        <v>303</v>
      </c>
      <c r="C1735" s="0" t="s">
        <v>30</v>
      </c>
      <c r="D1735" s="0" t="s">
        <v>275</v>
      </c>
      <c r="E1735" s="0" t="n">
        <v>14</v>
      </c>
      <c r="F1735" s="0" t="s">
        <v>68</v>
      </c>
      <c r="G1735" s="0" t="s">
        <v>51</v>
      </c>
      <c r="H1735" s="0" t="s">
        <v>51</v>
      </c>
      <c r="I1735" s="0" t="s">
        <v>34</v>
      </c>
      <c r="J1735" s="0" t="n">
        <v>1.49</v>
      </c>
      <c r="K1735" s="0" t="s">
        <v>60</v>
      </c>
      <c r="L1735" s="0" t="n">
        <f aca="false">INDEX(Summary!$F$2:$F$201,MATCH($B1735,Summary!$A$2:$A$201,0))</f>
        <v>20</v>
      </c>
      <c r="M1735" s="0" t="n">
        <f aca="false">INDEX(Summary!$I$2:$I$201,MATCH($B1735,Summary!$A$2:$A$201,0))</f>
        <v>2</v>
      </c>
      <c r="N1735" s="0" t="n">
        <f aca="false">INDEX(Summary!$J$2:$J$201,MATCH($B1735,Summary!$A$2:$A$201,0))</f>
        <v>3</v>
      </c>
      <c r="O1735" s="2" t="n">
        <f aca="false">INDEX(Summary!$K$2:$K$201,MATCH($B1735,Summary!$A$2:$A$201,0))</f>
        <v>10.81</v>
      </c>
      <c r="P1735" s="3" t="n">
        <f aca="false">INDEX(Summary!$L$2:$L$201,MATCH($B1735,Summary!$A$2:$A$201,0))</f>
        <v>5</v>
      </c>
      <c r="Q1735" s="3" t="n">
        <f aca="false">INDEX(Summary!$M$2:$M$201,MATCH($B1735,Summary!$A$2:$A$201,0))</f>
        <v>1</v>
      </c>
      <c r="R1735" s="2" t="n">
        <f aca="false">INDEX(Summary!$N$2:$N$201,MATCH($B1735,Summary!$A$2:$A$201,0))</f>
        <v>8.99</v>
      </c>
      <c r="S1735" s="3" t="n">
        <f aca="false">INDEX(Summary!$O$2:$O$201,MATCH($B1735,Summary!$A$2:$A$201,0))</f>
        <v>8</v>
      </c>
      <c r="T1735" s="3" t="n">
        <f aca="false">INDEX(Summary!$P$2:$P$201,MATCH($B1735,Summary!$A$2:$A$201,0))</f>
        <v>1</v>
      </c>
      <c r="U1735" s="2" t="n">
        <f aca="false">INDEX(Summary!$Q$2:$Q$201,MATCH($B1735,Summary!$A$2:$A$201,0))</f>
        <v>14.01</v>
      </c>
      <c r="V1735" s="2" t="n">
        <f aca="false">INDEX(Summary!$R$2:$R$201,MATCH($B1735,Summary!$A$2:$A$201,0))</f>
        <v>25.63</v>
      </c>
      <c r="W1735" s="0" t="str">
        <f aca="false">INDEX(Summary!$S$2:$S$201,MATCH($B1735,Summary!$A$2:$A$201,0))</f>
        <v>Silver</v>
      </c>
      <c r="X1735" s="2" t="n">
        <f aca="false">INDEX(Summary!$T$2:$T$201,MATCH($B1735,Summary!$A$2:$A$201,0))</f>
        <v>62.51</v>
      </c>
      <c r="Y1735" s="0" t="str">
        <f aca="false">INDEX('Reward Model'!$E$18:$E$37,MATCH($E1735,'Reward Model'!$A$18:$A$37,0))</f>
        <v>Medium</v>
      </c>
      <c r="Z1735" s="4" t="n">
        <f aca="false">ROUND(MIN(1,MAX('Reward Model'!$B$2,INDEX('Reward Model'!$C$12:$C$14,MATCH($K1735,'Reward Model'!$A$12:$A$14,0))/$J1735)),3)</f>
        <v>1</v>
      </c>
      <c r="AA1735" s="2" t="n">
        <f aca="false">IF($I1735="Correct",ROUND(INDEX('Reward Model'!$B$12:$B$14,MATCH($K1735,'Reward Model'!$A$12:$A$14,0))*Z1735,2),0)</f>
        <v>2</v>
      </c>
      <c r="AB1735" s="2" t="n">
        <f aca="false">IF($I1735="Correct",ROUND(INDEX('Reward Model'!$B$12:$B$14,MATCH($Y1735,'Reward Model'!$A$12:$A$14,0))*Z1735,2),0)</f>
        <v>2</v>
      </c>
    </row>
    <row r="1736" customFormat="false" ht="15" hidden="false" customHeight="false" outlineLevel="0" collapsed="false">
      <c r="A1736" s="0" t="s">
        <v>302</v>
      </c>
      <c r="B1736" s="0" t="s">
        <v>303</v>
      </c>
      <c r="C1736" s="0" t="s">
        <v>30</v>
      </c>
      <c r="D1736" s="0" t="s">
        <v>275</v>
      </c>
      <c r="E1736" s="0" t="n">
        <v>15</v>
      </c>
      <c r="F1736" s="0" t="s">
        <v>69</v>
      </c>
      <c r="G1736" s="0" t="s">
        <v>70</v>
      </c>
      <c r="H1736" s="0" t="s">
        <v>70</v>
      </c>
      <c r="I1736" s="0" t="s">
        <v>34</v>
      </c>
      <c r="J1736" s="0" t="n">
        <v>1.31</v>
      </c>
      <c r="K1736" s="0" t="s">
        <v>60</v>
      </c>
      <c r="L1736" s="0" t="n">
        <f aca="false">INDEX(Summary!$F$2:$F$201,MATCH($B1736,Summary!$A$2:$A$201,0))</f>
        <v>20</v>
      </c>
      <c r="M1736" s="0" t="n">
        <f aca="false">INDEX(Summary!$I$2:$I$201,MATCH($B1736,Summary!$A$2:$A$201,0))</f>
        <v>2</v>
      </c>
      <c r="N1736" s="0" t="n">
        <f aca="false">INDEX(Summary!$J$2:$J$201,MATCH($B1736,Summary!$A$2:$A$201,0))</f>
        <v>3</v>
      </c>
      <c r="O1736" s="2" t="n">
        <f aca="false">INDEX(Summary!$K$2:$K$201,MATCH($B1736,Summary!$A$2:$A$201,0))</f>
        <v>10.81</v>
      </c>
      <c r="P1736" s="3" t="n">
        <f aca="false">INDEX(Summary!$L$2:$L$201,MATCH($B1736,Summary!$A$2:$A$201,0))</f>
        <v>5</v>
      </c>
      <c r="Q1736" s="3" t="n">
        <f aca="false">INDEX(Summary!$M$2:$M$201,MATCH($B1736,Summary!$A$2:$A$201,0))</f>
        <v>1</v>
      </c>
      <c r="R1736" s="2" t="n">
        <f aca="false">INDEX(Summary!$N$2:$N$201,MATCH($B1736,Summary!$A$2:$A$201,0))</f>
        <v>8.99</v>
      </c>
      <c r="S1736" s="3" t="n">
        <f aca="false">INDEX(Summary!$O$2:$O$201,MATCH($B1736,Summary!$A$2:$A$201,0))</f>
        <v>8</v>
      </c>
      <c r="T1736" s="3" t="n">
        <f aca="false">INDEX(Summary!$P$2:$P$201,MATCH($B1736,Summary!$A$2:$A$201,0))</f>
        <v>1</v>
      </c>
      <c r="U1736" s="2" t="n">
        <f aca="false">INDEX(Summary!$Q$2:$Q$201,MATCH($B1736,Summary!$A$2:$A$201,0))</f>
        <v>14.01</v>
      </c>
      <c r="V1736" s="2" t="n">
        <f aca="false">INDEX(Summary!$R$2:$R$201,MATCH($B1736,Summary!$A$2:$A$201,0))</f>
        <v>25.63</v>
      </c>
      <c r="W1736" s="0" t="str">
        <f aca="false">INDEX(Summary!$S$2:$S$201,MATCH($B1736,Summary!$A$2:$A$201,0))</f>
        <v>Silver</v>
      </c>
      <c r="X1736" s="2" t="n">
        <f aca="false">INDEX(Summary!$T$2:$T$201,MATCH($B1736,Summary!$A$2:$A$201,0))</f>
        <v>62.51</v>
      </c>
      <c r="Y1736" s="0" t="str">
        <f aca="false">INDEX('Reward Model'!$E$18:$E$37,MATCH($E1736,'Reward Model'!$A$18:$A$37,0))</f>
        <v>Medium</v>
      </c>
      <c r="Z1736" s="4" t="n">
        <f aca="false">ROUND(MIN(1,MAX('Reward Model'!$B$2,INDEX('Reward Model'!$C$12:$C$14,MATCH($K1736,'Reward Model'!$A$12:$A$14,0))/$J1736)),3)</f>
        <v>1</v>
      </c>
      <c r="AA1736" s="2" t="n">
        <f aca="false">IF($I1736="Correct",ROUND(INDEX('Reward Model'!$B$12:$B$14,MATCH($K1736,'Reward Model'!$A$12:$A$14,0))*Z1736,2),0)</f>
        <v>2</v>
      </c>
      <c r="AB1736" s="2" t="n">
        <f aca="false">IF($I1736="Correct",ROUND(INDEX('Reward Model'!$B$12:$B$14,MATCH($Y1736,'Reward Model'!$A$12:$A$14,0))*Z1736,2),0)</f>
        <v>2</v>
      </c>
    </row>
    <row r="1737" customFormat="false" ht="15" hidden="false" customHeight="false" outlineLevel="0" collapsed="false">
      <c r="A1737" s="0" t="s">
        <v>302</v>
      </c>
      <c r="B1737" s="0" t="s">
        <v>303</v>
      </c>
      <c r="C1737" s="0" t="s">
        <v>30</v>
      </c>
      <c r="D1737" s="0" t="s">
        <v>275</v>
      </c>
      <c r="E1737" s="0" t="n">
        <v>16</v>
      </c>
      <c r="F1737" s="0" t="s">
        <v>71</v>
      </c>
      <c r="G1737" s="0" t="s">
        <v>72</v>
      </c>
      <c r="H1737" s="0" t="s">
        <v>72</v>
      </c>
      <c r="I1737" s="0" t="s">
        <v>34</v>
      </c>
      <c r="J1737" s="0" t="n">
        <v>1.74</v>
      </c>
      <c r="K1737" s="0" t="s">
        <v>73</v>
      </c>
      <c r="L1737" s="0" t="n">
        <f aca="false">INDEX(Summary!$F$2:$F$201,MATCH($B1737,Summary!$A$2:$A$201,0))</f>
        <v>20</v>
      </c>
      <c r="M1737" s="0" t="n">
        <f aca="false">INDEX(Summary!$I$2:$I$201,MATCH($B1737,Summary!$A$2:$A$201,0))</f>
        <v>2</v>
      </c>
      <c r="N1737" s="0" t="n">
        <f aca="false">INDEX(Summary!$J$2:$J$201,MATCH($B1737,Summary!$A$2:$A$201,0))</f>
        <v>3</v>
      </c>
      <c r="O1737" s="2" t="n">
        <f aca="false">INDEX(Summary!$K$2:$K$201,MATCH($B1737,Summary!$A$2:$A$201,0))</f>
        <v>10.81</v>
      </c>
      <c r="P1737" s="3" t="n">
        <f aca="false">INDEX(Summary!$L$2:$L$201,MATCH($B1737,Summary!$A$2:$A$201,0))</f>
        <v>5</v>
      </c>
      <c r="Q1737" s="3" t="n">
        <f aca="false">INDEX(Summary!$M$2:$M$201,MATCH($B1737,Summary!$A$2:$A$201,0))</f>
        <v>1</v>
      </c>
      <c r="R1737" s="2" t="n">
        <f aca="false">INDEX(Summary!$N$2:$N$201,MATCH($B1737,Summary!$A$2:$A$201,0))</f>
        <v>8.99</v>
      </c>
      <c r="S1737" s="3" t="n">
        <f aca="false">INDEX(Summary!$O$2:$O$201,MATCH($B1737,Summary!$A$2:$A$201,0))</f>
        <v>8</v>
      </c>
      <c r="T1737" s="3" t="n">
        <f aca="false">INDEX(Summary!$P$2:$P$201,MATCH($B1737,Summary!$A$2:$A$201,0))</f>
        <v>1</v>
      </c>
      <c r="U1737" s="2" t="n">
        <f aca="false">INDEX(Summary!$Q$2:$Q$201,MATCH($B1737,Summary!$A$2:$A$201,0))</f>
        <v>14.01</v>
      </c>
      <c r="V1737" s="2" t="n">
        <f aca="false">INDEX(Summary!$R$2:$R$201,MATCH($B1737,Summary!$A$2:$A$201,0))</f>
        <v>25.63</v>
      </c>
      <c r="W1737" s="0" t="str">
        <f aca="false">INDEX(Summary!$S$2:$S$201,MATCH($B1737,Summary!$A$2:$A$201,0))</f>
        <v>Silver</v>
      </c>
      <c r="X1737" s="2" t="n">
        <f aca="false">INDEX(Summary!$T$2:$T$201,MATCH($B1737,Summary!$A$2:$A$201,0))</f>
        <v>62.51</v>
      </c>
      <c r="Y1737" s="0" t="str">
        <f aca="false">INDEX('Reward Model'!$E$18:$E$37,MATCH($E1737,'Reward Model'!$A$18:$A$37,0))</f>
        <v>High</v>
      </c>
      <c r="Z1737" s="4" t="n">
        <f aca="false">ROUND(MIN(1,MAX('Reward Model'!$B$2,INDEX('Reward Model'!$C$12:$C$14,MATCH($K1737,'Reward Model'!$A$12:$A$14,0))/$J1737)),3)</f>
        <v>1</v>
      </c>
      <c r="AA1737" s="2" t="n">
        <f aca="false">IF($I1737="Correct",ROUND(INDEX('Reward Model'!$B$12:$B$14,MATCH($K1737,'Reward Model'!$A$12:$A$14,0))*Z1737,2),0)</f>
        <v>3</v>
      </c>
      <c r="AB1737" s="2" t="n">
        <f aca="false">IF($I1737="Correct",ROUND(INDEX('Reward Model'!$B$12:$B$14,MATCH($Y1737,'Reward Model'!$A$12:$A$14,0))*Z1737,2),0)</f>
        <v>3</v>
      </c>
    </row>
    <row r="1738" customFormat="false" ht="15" hidden="false" customHeight="false" outlineLevel="0" collapsed="false">
      <c r="A1738" s="0" t="s">
        <v>302</v>
      </c>
      <c r="B1738" s="0" t="s">
        <v>303</v>
      </c>
      <c r="C1738" s="0" t="s">
        <v>30</v>
      </c>
      <c r="D1738" s="0" t="s">
        <v>275</v>
      </c>
      <c r="E1738" s="0" t="n">
        <v>17</v>
      </c>
      <c r="F1738" s="0" t="s">
        <v>74</v>
      </c>
      <c r="G1738" s="0" t="s">
        <v>91</v>
      </c>
      <c r="H1738" s="0" t="s">
        <v>75</v>
      </c>
      <c r="I1738" s="0" t="s">
        <v>39</v>
      </c>
      <c r="J1738" s="0" t="n">
        <v>2.45</v>
      </c>
      <c r="K1738" s="0" t="s">
        <v>73</v>
      </c>
      <c r="L1738" s="0" t="n">
        <f aca="false">INDEX(Summary!$F$2:$F$201,MATCH($B1738,Summary!$A$2:$A$201,0))</f>
        <v>20</v>
      </c>
      <c r="M1738" s="0" t="n">
        <f aca="false">INDEX(Summary!$I$2:$I$201,MATCH($B1738,Summary!$A$2:$A$201,0))</f>
        <v>2</v>
      </c>
      <c r="N1738" s="0" t="n">
        <f aca="false">INDEX(Summary!$J$2:$J$201,MATCH($B1738,Summary!$A$2:$A$201,0))</f>
        <v>3</v>
      </c>
      <c r="O1738" s="2" t="n">
        <f aca="false">INDEX(Summary!$K$2:$K$201,MATCH($B1738,Summary!$A$2:$A$201,0))</f>
        <v>10.81</v>
      </c>
      <c r="P1738" s="3" t="n">
        <f aca="false">INDEX(Summary!$L$2:$L$201,MATCH($B1738,Summary!$A$2:$A$201,0))</f>
        <v>5</v>
      </c>
      <c r="Q1738" s="3" t="n">
        <f aca="false">INDEX(Summary!$M$2:$M$201,MATCH($B1738,Summary!$A$2:$A$201,0))</f>
        <v>1</v>
      </c>
      <c r="R1738" s="2" t="n">
        <f aca="false">INDEX(Summary!$N$2:$N$201,MATCH($B1738,Summary!$A$2:$A$201,0))</f>
        <v>8.99</v>
      </c>
      <c r="S1738" s="3" t="n">
        <f aca="false">INDEX(Summary!$O$2:$O$201,MATCH($B1738,Summary!$A$2:$A$201,0))</f>
        <v>8</v>
      </c>
      <c r="T1738" s="3" t="n">
        <f aca="false">INDEX(Summary!$P$2:$P$201,MATCH($B1738,Summary!$A$2:$A$201,0))</f>
        <v>1</v>
      </c>
      <c r="U1738" s="2" t="n">
        <f aca="false">INDEX(Summary!$Q$2:$Q$201,MATCH($B1738,Summary!$A$2:$A$201,0))</f>
        <v>14.01</v>
      </c>
      <c r="V1738" s="2" t="n">
        <f aca="false">INDEX(Summary!$R$2:$R$201,MATCH($B1738,Summary!$A$2:$A$201,0))</f>
        <v>25.63</v>
      </c>
      <c r="W1738" s="0" t="str">
        <f aca="false">INDEX(Summary!$S$2:$S$201,MATCH($B1738,Summary!$A$2:$A$201,0))</f>
        <v>Silver</v>
      </c>
      <c r="X1738" s="2" t="n">
        <f aca="false">INDEX(Summary!$T$2:$T$201,MATCH($B1738,Summary!$A$2:$A$201,0))</f>
        <v>62.51</v>
      </c>
      <c r="Y1738" s="0" t="str">
        <f aca="false">INDEX('Reward Model'!$E$18:$E$37,MATCH($E1738,'Reward Model'!$A$18:$A$37,0))</f>
        <v>High</v>
      </c>
      <c r="Z1738" s="4" t="n">
        <f aca="false">ROUND(MIN(1,MAX('Reward Model'!$B$2,INDEX('Reward Model'!$C$12:$C$14,MATCH($K1738,'Reward Model'!$A$12:$A$14,0))/$J1738)),3)</f>
        <v>0.816</v>
      </c>
      <c r="AA1738" s="2" t="n">
        <f aca="false">IF($I1738="Correct",ROUND(INDEX('Reward Model'!$B$12:$B$14,MATCH($K1738,'Reward Model'!$A$12:$A$14,0))*Z1738,2),0)</f>
        <v>0</v>
      </c>
      <c r="AB1738" s="2" t="n">
        <f aca="false">IF($I1738="Correct",ROUND(INDEX('Reward Model'!$B$12:$B$14,MATCH($Y1738,'Reward Model'!$A$12:$A$14,0))*Z1738,2),0)</f>
        <v>0</v>
      </c>
    </row>
    <row r="1739" customFormat="false" ht="15" hidden="false" customHeight="false" outlineLevel="0" collapsed="false">
      <c r="A1739" s="0" t="s">
        <v>302</v>
      </c>
      <c r="B1739" s="0" t="s">
        <v>303</v>
      </c>
      <c r="C1739" s="0" t="s">
        <v>30</v>
      </c>
      <c r="D1739" s="0" t="s">
        <v>275</v>
      </c>
      <c r="E1739" s="0" t="n">
        <v>18</v>
      </c>
      <c r="F1739" s="0" t="s">
        <v>76</v>
      </c>
      <c r="G1739" s="0" t="s">
        <v>56</v>
      </c>
      <c r="H1739" s="0" t="s">
        <v>77</v>
      </c>
      <c r="I1739" s="0" t="s">
        <v>39</v>
      </c>
      <c r="J1739" s="0" t="n">
        <v>2.25</v>
      </c>
      <c r="K1739" s="0" t="s">
        <v>73</v>
      </c>
      <c r="L1739" s="0" t="n">
        <f aca="false">INDEX(Summary!$F$2:$F$201,MATCH($B1739,Summary!$A$2:$A$201,0))</f>
        <v>20</v>
      </c>
      <c r="M1739" s="0" t="n">
        <f aca="false">INDEX(Summary!$I$2:$I$201,MATCH($B1739,Summary!$A$2:$A$201,0))</f>
        <v>2</v>
      </c>
      <c r="N1739" s="0" t="n">
        <f aca="false">INDEX(Summary!$J$2:$J$201,MATCH($B1739,Summary!$A$2:$A$201,0))</f>
        <v>3</v>
      </c>
      <c r="O1739" s="2" t="n">
        <f aca="false">INDEX(Summary!$K$2:$K$201,MATCH($B1739,Summary!$A$2:$A$201,0))</f>
        <v>10.81</v>
      </c>
      <c r="P1739" s="3" t="n">
        <f aca="false">INDEX(Summary!$L$2:$L$201,MATCH($B1739,Summary!$A$2:$A$201,0))</f>
        <v>5</v>
      </c>
      <c r="Q1739" s="3" t="n">
        <f aca="false">INDEX(Summary!$M$2:$M$201,MATCH($B1739,Summary!$A$2:$A$201,0))</f>
        <v>1</v>
      </c>
      <c r="R1739" s="2" t="n">
        <f aca="false">INDEX(Summary!$N$2:$N$201,MATCH($B1739,Summary!$A$2:$A$201,0))</f>
        <v>8.99</v>
      </c>
      <c r="S1739" s="3" t="n">
        <f aca="false">INDEX(Summary!$O$2:$O$201,MATCH($B1739,Summary!$A$2:$A$201,0))</f>
        <v>8</v>
      </c>
      <c r="T1739" s="3" t="n">
        <f aca="false">INDEX(Summary!$P$2:$P$201,MATCH($B1739,Summary!$A$2:$A$201,0))</f>
        <v>1</v>
      </c>
      <c r="U1739" s="2" t="n">
        <f aca="false">INDEX(Summary!$Q$2:$Q$201,MATCH($B1739,Summary!$A$2:$A$201,0))</f>
        <v>14.01</v>
      </c>
      <c r="V1739" s="2" t="n">
        <f aca="false">INDEX(Summary!$R$2:$R$201,MATCH($B1739,Summary!$A$2:$A$201,0))</f>
        <v>25.63</v>
      </c>
      <c r="W1739" s="0" t="str">
        <f aca="false">INDEX(Summary!$S$2:$S$201,MATCH($B1739,Summary!$A$2:$A$201,0))</f>
        <v>Silver</v>
      </c>
      <c r="X1739" s="2" t="n">
        <f aca="false">INDEX(Summary!$T$2:$T$201,MATCH($B1739,Summary!$A$2:$A$201,0))</f>
        <v>62.51</v>
      </c>
      <c r="Y1739" s="0" t="str">
        <f aca="false">INDEX('Reward Model'!$E$18:$E$37,MATCH($E1739,'Reward Model'!$A$18:$A$37,0))</f>
        <v>High</v>
      </c>
      <c r="Z1739" s="4" t="n">
        <f aca="false">ROUND(MIN(1,MAX('Reward Model'!$B$2,INDEX('Reward Model'!$C$12:$C$14,MATCH($K1739,'Reward Model'!$A$12:$A$14,0))/$J1739)),3)</f>
        <v>0.889</v>
      </c>
      <c r="AA1739" s="2" t="n">
        <f aca="false">IF($I1739="Correct",ROUND(INDEX('Reward Model'!$B$12:$B$14,MATCH($K1739,'Reward Model'!$A$12:$A$14,0))*Z1739,2),0)</f>
        <v>0</v>
      </c>
      <c r="AB1739" s="2" t="n">
        <f aca="false">IF($I1739="Correct",ROUND(INDEX('Reward Model'!$B$12:$B$14,MATCH($Y1739,'Reward Model'!$A$12:$A$14,0))*Z1739,2),0)</f>
        <v>0</v>
      </c>
    </row>
    <row r="1740" customFormat="false" ht="15" hidden="false" customHeight="false" outlineLevel="0" collapsed="false">
      <c r="A1740" s="0" t="s">
        <v>302</v>
      </c>
      <c r="B1740" s="0" t="s">
        <v>303</v>
      </c>
      <c r="C1740" s="0" t="s">
        <v>30</v>
      </c>
      <c r="D1740" s="0" t="s">
        <v>275</v>
      </c>
      <c r="E1740" s="0" t="n">
        <v>19</v>
      </c>
      <c r="F1740" s="0" t="s">
        <v>78</v>
      </c>
      <c r="G1740" s="0" t="s">
        <v>80</v>
      </c>
      <c r="H1740" s="0" t="s">
        <v>80</v>
      </c>
      <c r="I1740" s="0" t="s">
        <v>34</v>
      </c>
      <c r="J1740" s="0" t="n">
        <v>2.51</v>
      </c>
      <c r="K1740" s="0" t="s">
        <v>73</v>
      </c>
      <c r="L1740" s="0" t="n">
        <f aca="false">INDEX(Summary!$F$2:$F$201,MATCH($B1740,Summary!$A$2:$A$201,0))</f>
        <v>20</v>
      </c>
      <c r="M1740" s="0" t="n">
        <f aca="false">INDEX(Summary!$I$2:$I$201,MATCH($B1740,Summary!$A$2:$A$201,0))</f>
        <v>2</v>
      </c>
      <c r="N1740" s="0" t="n">
        <f aca="false">INDEX(Summary!$J$2:$J$201,MATCH($B1740,Summary!$A$2:$A$201,0))</f>
        <v>3</v>
      </c>
      <c r="O1740" s="2" t="n">
        <f aca="false">INDEX(Summary!$K$2:$K$201,MATCH($B1740,Summary!$A$2:$A$201,0))</f>
        <v>10.81</v>
      </c>
      <c r="P1740" s="3" t="n">
        <f aca="false">INDEX(Summary!$L$2:$L$201,MATCH($B1740,Summary!$A$2:$A$201,0))</f>
        <v>5</v>
      </c>
      <c r="Q1740" s="3" t="n">
        <f aca="false">INDEX(Summary!$M$2:$M$201,MATCH($B1740,Summary!$A$2:$A$201,0))</f>
        <v>1</v>
      </c>
      <c r="R1740" s="2" t="n">
        <f aca="false">INDEX(Summary!$N$2:$N$201,MATCH($B1740,Summary!$A$2:$A$201,0))</f>
        <v>8.99</v>
      </c>
      <c r="S1740" s="3" t="n">
        <f aca="false">INDEX(Summary!$O$2:$O$201,MATCH($B1740,Summary!$A$2:$A$201,0))</f>
        <v>8</v>
      </c>
      <c r="T1740" s="3" t="n">
        <f aca="false">INDEX(Summary!$P$2:$P$201,MATCH($B1740,Summary!$A$2:$A$201,0))</f>
        <v>1</v>
      </c>
      <c r="U1740" s="2" t="n">
        <f aca="false">INDEX(Summary!$Q$2:$Q$201,MATCH($B1740,Summary!$A$2:$A$201,0))</f>
        <v>14.01</v>
      </c>
      <c r="V1740" s="2" t="n">
        <f aca="false">INDEX(Summary!$R$2:$R$201,MATCH($B1740,Summary!$A$2:$A$201,0))</f>
        <v>25.63</v>
      </c>
      <c r="W1740" s="0" t="str">
        <f aca="false">INDEX(Summary!$S$2:$S$201,MATCH($B1740,Summary!$A$2:$A$201,0))</f>
        <v>Silver</v>
      </c>
      <c r="X1740" s="2" t="n">
        <f aca="false">INDEX(Summary!$T$2:$T$201,MATCH($B1740,Summary!$A$2:$A$201,0))</f>
        <v>62.51</v>
      </c>
      <c r="Y1740" s="0" t="str">
        <f aca="false">INDEX('Reward Model'!$E$18:$E$37,MATCH($E1740,'Reward Model'!$A$18:$A$37,0))</f>
        <v>High</v>
      </c>
      <c r="Z1740" s="4" t="n">
        <f aca="false">ROUND(MIN(1,MAX('Reward Model'!$B$2,INDEX('Reward Model'!$C$12:$C$14,MATCH($K1740,'Reward Model'!$A$12:$A$14,0))/$J1740)),3)</f>
        <v>0.797</v>
      </c>
      <c r="AA1740" s="2" t="n">
        <f aca="false">IF($I1740="Correct",ROUND(INDEX('Reward Model'!$B$12:$B$14,MATCH($K1740,'Reward Model'!$A$12:$A$14,0))*Z1740,2),0)</f>
        <v>2.39</v>
      </c>
      <c r="AB1740" s="2" t="n">
        <f aca="false">IF($I1740="Correct",ROUND(INDEX('Reward Model'!$B$12:$B$14,MATCH($Y1740,'Reward Model'!$A$12:$A$14,0))*Z1740,2),0)</f>
        <v>2.39</v>
      </c>
    </row>
    <row r="1741" customFormat="false" ht="15" hidden="false" customHeight="false" outlineLevel="0" collapsed="false">
      <c r="A1741" s="0" t="s">
        <v>302</v>
      </c>
      <c r="B1741" s="0" t="s">
        <v>303</v>
      </c>
      <c r="C1741" s="0" t="s">
        <v>30</v>
      </c>
      <c r="D1741" s="0" t="s">
        <v>275</v>
      </c>
      <c r="E1741" s="0" t="n">
        <v>20</v>
      </c>
      <c r="F1741" s="0" t="s">
        <v>81</v>
      </c>
      <c r="G1741" s="0" t="s">
        <v>82</v>
      </c>
      <c r="H1741" s="0" t="s">
        <v>83</v>
      </c>
      <c r="I1741" s="0" t="s">
        <v>39</v>
      </c>
      <c r="J1741" s="0" t="n">
        <v>1.86</v>
      </c>
      <c r="K1741" s="0" t="s">
        <v>73</v>
      </c>
      <c r="L1741" s="0" t="n">
        <f aca="false">INDEX(Summary!$F$2:$F$201,MATCH($B1741,Summary!$A$2:$A$201,0))</f>
        <v>20</v>
      </c>
      <c r="M1741" s="0" t="n">
        <f aca="false">INDEX(Summary!$I$2:$I$201,MATCH($B1741,Summary!$A$2:$A$201,0))</f>
        <v>2</v>
      </c>
      <c r="N1741" s="0" t="n">
        <f aca="false">INDEX(Summary!$J$2:$J$201,MATCH($B1741,Summary!$A$2:$A$201,0))</f>
        <v>3</v>
      </c>
      <c r="O1741" s="2" t="n">
        <f aca="false">INDEX(Summary!$K$2:$K$201,MATCH($B1741,Summary!$A$2:$A$201,0))</f>
        <v>10.81</v>
      </c>
      <c r="P1741" s="3" t="n">
        <f aca="false">INDEX(Summary!$L$2:$L$201,MATCH($B1741,Summary!$A$2:$A$201,0))</f>
        <v>5</v>
      </c>
      <c r="Q1741" s="3" t="n">
        <f aca="false">INDEX(Summary!$M$2:$M$201,MATCH($B1741,Summary!$A$2:$A$201,0))</f>
        <v>1</v>
      </c>
      <c r="R1741" s="2" t="n">
        <f aca="false">INDEX(Summary!$N$2:$N$201,MATCH($B1741,Summary!$A$2:$A$201,0))</f>
        <v>8.99</v>
      </c>
      <c r="S1741" s="3" t="n">
        <f aca="false">INDEX(Summary!$O$2:$O$201,MATCH($B1741,Summary!$A$2:$A$201,0))</f>
        <v>8</v>
      </c>
      <c r="T1741" s="3" t="n">
        <f aca="false">INDEX(Summary!$P$2:$P$201,MATCH($B1741,Summary!$A$2:$A$201,0))</f>
        <v>1</v>
      </c>
      <c r="U1741" s="2" t="n">
        <f aca="false">INDEX(Summary!$Q$2:$Q$201,MATCH($B1741,Summary!$A$2:$A$201,0))</f>
        <v>14.01</v>
      </c>
      <c r="V1741" s="2" t="n">
        <f aca="false">INDEX(Summary!$R$2:$R$201,MATCH($B1741,Summary!$A$2:$A$201,0))</f>
        <v>25.63</v>
      </c>
      <c r="W1741" s="0" t="str">
        <f aca="false">INDEX(Summary!$S$2:$S$201,MATCH($B1741,Summary!$A$2:$A$201,0))</f>
        <v>Silver</v>
      </c>
      <c r="X1741" s="2" t="n">
        <f aca="false">INDEX(Summary!$T$2:$T$201,MATCH($B1741,Summary!$A$2:$A$201,0))</f>
        <v>62.51</v>
      </c>
      <c r="Y1741" s="0" t="str">
        <f aca="false">INDEX('Reward Model'!$E$18:$E$37,MATCH($E1741,'Reward Model'!$A$18:$A$37,0))</f>
        <v>High</v>
      </c>
      <c r="Z1741" s="4" t="n">
        <f aca="false">ROUND(MIN(1,MAX('Reward Model'!$B$2,INDEX('Reward Model'!$C$12:$C$14,MATCH($K1741,'Reward Model'!$A$12:$A$14,0))/$J1741)),3)</f>
        <v>1</v>
      </c>
      <c r="AA1741" s="2" t="n">
        <f aca="false">IF($I1741="Correct",ROUND(INDEX('Reward Model'!$B$12:$B$14,MATCH($K1741,'Reward Model'!$A$12:$A$14,0))*Z1741,2),0)</f>
        <v>0</v>
      </c>
      <c r="AB1741" s="2" t="n">
        <f aca="false">IF($I1741="Correct",ROUND(INDEX('Reward Model'!$B$12:$B$14,MATCH($Y1741,'Reward Model'!$A$12:$A$14,0))*Z1741,2),0)</f>
        <v>0</v>
      </c>
    </row>
    <row r="1742" customFormat="false" ht="15" hidden="false" customHeight="false" outlineLevel="0" collapsed="false">
      <c r="A1742" s="0" t="s">
        <v>304</v>
      </c>
      <c r="B1742" s="0" t="s">
        <v>305</v>
      </c>
      <c r="C1742" s="0" t="s">
        <v>30</v>
      </c>
      <c r="D1742" s="0" t="s">
        <v>275</v>
      </c>
      <c r="E1742" s="0" t="n">
        <v>1</v>
      </c>
      <c r="F1742" s="0" t="s">
        <v>32</v>
      </c>
      <c r="G1742" s="0" t="s">
        <v>33</v>
      </c>
      <c r="H1742" s="0" t="s">
        <v>33</v>
      </c>
      <c r="I1742" s="0" t="s">
        <v>34</v>
      </c>
      <c r="J1742" s="0" t="n">
        <v>1.39</v>
      </c>
      <c r="K1742" s="0" t="s">
        <v>35</v>
      </c>
      <c r="L1742" s="0" t="n">
        <f aca="false">INDEX(Summary!$F$2:$F$201,MATCH($B1742,Summary!$A$2:$A$201,0))</f>
        <v>20</v>
      </c>
      <c r="M1742" s="0" t="n">
        <f aca="false">INDEX(Summary!$I$2:$I$201,MATCH($B1742,Summary!$A$2:$A$201,0))</f>
        <v>2</v>
      </c>
      <c r="N1742" s="0" t="n">
        <f aca="false">INDEX(Summary!$J$2:$J$201,MATCH($B1742,Summary!$A$2:$A$201,0))</f>
        <v>3</v>
      </c>
      <c r="O1742" s="2" t="n">
        <f aca="false">INDEX(Summary!$K$2:$K$201,MATCH($B1742,Summary!$A$2:$A$201,0))</f>
        <v>7.74</v>
      </c>
      <c r="P1742" s="3" t="n">
        <f aca="false">INDEX(Summary!$L$2:$L$201,MATCH($B1742,Summary!$A$2:$A$201,0))</f>
        <v>5</v>
      </c>
      <c r="Q1742" s="3" t="n">
        <f aca="false">INDEX(Summary!$M$2:$M$201,MATCH($B1742,Summary!$A$2:$A$201,0))</f>
        <v>1</v>
      </c>
      <c r="R1742" s="2" t="n">
        <f aca="false">INDEX(Summary!$N$2:$N$201,MATCH($B1742,Summary!$A$2:$A$201,0))</f>
        <v>9.41</v>
      </c>
      <c r="S1742" s="3" t="n">
        <f aca="false">INDEX(Summary!$O$2:$O$201,MATCH($B1742,Summary!$A$2:$A$201,0))</f>
        <v>8</v>
      </c>
      <c r="T1742" s="3" t="n">
        <f aca="false">INDEX(Summary!$P$2:$P$201,MATCH($B1742,Summary!$A$2:$A$201,0))</f>
        <v>1</v>
      </c>
      <c r="U1742" s="2" t="n">
        <f aca="false">INDEX(Summary!$Q$2:$Q$201,MATCH($B1742,Summary!$A$2:$A$201,0))</f>
        <v>12.33</v>
      </c>
      <c r="V1742" s="2" t="n">
        <f aca="false">INDEX(Summary!$R$2:$R$201,MATCH($B1742,Summary!$A$2:$A$201,0))</f>
        <v>27.98</v>
      </c>
      <c r="W1742" s="0" t="str">
        <f aca="false">INDEX(Summary!$S$2:$S$201,MATCH($B1742,Summary!$A$2:$A$201,0))</f>
        <v>Silver</v>
      </c>
      <c r="X1742" s="2" t="n">
        <f aca="false">INDEX(Summary!$T$2:$T$201,MATCH($B1742,Summary!$A$2:$A$201,0))</f>
        <v>68.24</v>
      </c>
      <c r="Y1742" s="0" t="str">
        <f aca="false">INDEX('Reward Model'!$E$18:$E$37,MATCH($E1742,'Reward Model'!$A$18:$A$37,0))</f>
        <v>Medium</v>
      </c>
      <c r="Z1742" s="4" t="n">
        <f aca="false">ROUND(MIN(1,MAX('Reward Model'!$B$2,INDEX('Reward Model'!$C$12:$C$14,MATCH($K1742,'Reward Model'!$A$12:$A$14,0))/$J1742)),3)</f>
        <v>1</v>
      </c>
      <c r="AA1742" s="2" t="n">
        <f aca="false">IF($I1742="Correct",ROUND(INDEX('Reward Model'!$B$12:$B$14,MATCH($K1742,'Reward Model'!$A$12:$A$14,0))*Z1742,2),0)</f>
        <v>1</v>
      </c>
      <c r="AB1742" s="2" t="n">
        <f aca="false">IF($I1742="Correct",ROUND(INDEX('Reward Model'!$B$12:$B$14,MATCH($Y1742,'Reward Model'!$A$12:$A$14,0))*Z1742,2),0)</f>
        <v>2</v>
      </c>
    </row>
    <row r="1743" customFormat="false" ht="15" hidden="false" customHeight="false" outlineLevel="0" collapsed="false">
      <c r="A1743" s="0" t="s">
        <v>304</v>
      </c>
      <c r="B1743" s="0" t="s">
        <v>305</v>
      </c>
      <c r="C1743" s="0" t="s">
        <v>30</v>
      </c>
      <c r="D1743" s="0" t="s">
        <v>275</v>
      </c>
      <c r="E1743" s="0" t="n">
        <v>2</v>
      </c>
      <c r="F1743" s="0" t="s">
        <v>36</v>
      </c>
      <c r="G1743" s="0" t="s">
        <v>38</v>
      </c>
      <c r="H1743" s="0" t="s">
        <v>38</v>
      </c>
      <c r="I1743" s="0" t="s">
        <v>34</v>
      </c>
      <c r="J1743" s="0" t="n">
        <v>1.95</v>
      </c>
      <c r="K1743" s="0" t="s">
        <v>35</v>
      </c>
      <c r="L1743" s="0" t="n">
        <f aca="false">INDEX(Summary!$F$2:$F$201,MATCH($B1743,Summary!$A$2:$A$201,0))</f>
        <v>20</v>
      </c>
      <c r="M1743" s="0" t="n">
        <f aca="false">INDEX(Summary!$I$2:$I$201,MATCH($B1743,Summary!$A$2:$A$201,0))</f>
        <v>2</v>
      </c>
      <c r="N1743" s="0" t="n">
        <f aca="false">INDEX(Summary!$J$2:$J$201,MATCH($B1743,Summary!$A$2:$A$201,0))</f>
        <v>3</v>
      </c>
      <c r="O1743" s="2" t="n">
        <f aca="false">INDEX(Summary!$K$2:$K$201,MATCH($B1743,Summary!$A$2:$A$201,0))</f>
        <v>7.74</v>
      </c>
      <c r="P1743" s="3" t="n">
        <f aca="false">INDEX(Summary!$L$2:$L$201,MATCH($B1743,Summary!$A$2:$A$201,0))</f>
        <v>5</v>
      </c>
      <c r="Q1743" s="3" t="n">
        <f aca="false">INDEX(Summary!$M$2:$M$201,MATCH($B1743,Summary!$A$2:$A$201,0))</f>
        <v>1</v>
      </c>
      <c r="R1743" s="2" t="n">
        <f aca="false">INDEX(Summary!$N$2:$N$201,MATCH($B1743,Summary!$A$2:$A$201,0))</f>
        <v>9.41</v>
      </c>
      <c r="S1743" s="3" t="n">
        <f aca="false">INDEX(Summary!$O$2:$O$201,MATCH($B1743,Summary!$A$2:$A$201,0))</f>
        <v>8</v>
      </c>
      <c r="T1743" s="3" t="n">
        <f aca="false">INDEX(Summary!$P$2:$P$201,MATCH($B1743,Summary!$A$2:$A$201,0))</f>
        <v>1</v>
      </c>
      <c r="U1743" s="2" t="n">
        <f aca="false">INDEX(Summary!$Q$2:$Q$201,MATCH($B1743,Summary!$A$2:$A$201,0))</f>
        <v>12.33</v>
      </c>
      <c r="V1743" s="2" t="n">
        <f aca="false">INDEX(Summary!$R$2:$R$201,MATCH($B1743,Summary!$A$2:$A$201,0))</f>
        <v>27.98</v>
      </c>
      <c r="W1743" s="0" t="str">
        <f aca="false">INDEX(Summary!$S$2:$S$201,MATCH($B1743,Summary!$A$2:$A$201,0))</f>
        <v>Silver</v>
      </c>
      <c r="X1743" s="2" t="n">
        <f aca="false">INDEX(Summary!$T$2:$T$201,MATCH($B1743,Summary!$A$2:$A$201,0))</f>
        <v>68.24</v>
      </c>
      <c r="Y1743" s="0" t="str">
        <f aca="false">INDEX('Reward Model'!$E$18:$E$37,MATCH($E1743,'Reward Model'!$A$18:$A$37,0))</f>
        <v>Low</v>
      </c>
      <c r="Z1743" s="4" t="n">
        <f aca="false">ROUND(MIN(1,MAX('Reward Model'!$B$2,INDEX('Reward Model'!$C$12:$C$14,MATCH($K1743,'Reward Model'!$A$12:$A$14,0))/$J1743)),3)</f>
        <v>0.769</v>
      </c>
      <c r="AA1743" s="2" t="n">
        <f aca="false">IF($I1743="Correct",ROUND(INDEX('Reward Model'!$B$12:$B$14,MATCH($K1743,'Reward Model'!$A$12:$A$14,0))*Z1743,2),0)</f>
        <v>0.77</v>
      </c>
      <c r="AB1743" s="2" t="n">
        <f aca="false">IF($I1743="Correct",ROUND(INDEX('Reward Model'!$B$12:$B$14,MATCH($Y1743,'Reward Model'!$A$12:$A$14,0))*Z1743,2),0)</f>
        <v>0.77</v>
      </c>
    </row>
    <row r="1744" customFormat="false" ht="15" hidden="false" customHeight="false" outlineLevel="0" collapsed="false">
      <c r="A1744" s="0" t="s">
        <v>304</v>
      </c>
      <c r="B1744" s="0" t="s">
        <v>305</v>
      </c>
      <c r="C1744" s="0" t="s">
        <v>30</v>
      </c>
      <c r="D1744" s="0" t="s">
        <v>275</v>
      </c>
      <c r="E1744" s="0" t="n">
        <v>3</v>
      </c>
      <c r="F1744" s="0" t="s">
        <v>40</v>
      </c>
      <c r="G1744" s="0" t="s">
        <v>42</v>
      </c>
      <c r="H1744" s="0" t="s">
        <v>42</v>
      </c>
      <c r="I1744" s="0" t="s">
        <v>34</v>
      </c>
      <c r="J1744" s="0" t="n">
        <v>1.6</v>
      </c>
      <c r="K1744" s="0" t="s">
        <v>35</v>
      </c>
      <c r="L1744" s="0" t="n">
        <f aca="false">INDEX(Summary!$F$2:$F$201,MATCH($B1744,Summary!$A$2:$A$201,0))</f>
        <v>20</v>
      </c>
      <c r="M1744" s="0" t="n">
        <f aca="false">INDEX(Summary!$I$2:$I$201,MATCH($B1744,Summary!$A$2:$A$201,0))</f>
        <v>2</v>
      </c>
      <c r="N1744" s="0" t="n">
        <f aca="false">INDEX(Summary!$J$2:$J$201,MATCH($B1744,Summary!$A$2:$A$201,0))</f>
        <v>3</v>
      </c>
      <c r="O1744" s="2" t="n">
        <f aca="false">INDEX(Summary!$K$2:$K$201,MATCH($B1744,Summary!$A$2:$A$201,0))</f>
        <v>7.74</v>
      </c>
      <c r="P1744" s="3" t="n">
        <f aca="false">INDEX(Summary!$L$2:$L$201,MATCH($B1744,Summary!$A$2:$A$201,0))</f>
        <v>5</v>
      </c>
      <c r="Q1744" s="3" t="n">
        <f aca="false">INDEX(Summary!$M$2:$M$201,MATCH($B1744,Summary!$A$2:$A$201,0))</f>
        <v>1</v>
      </c>
      <c r="R1744" s="2" t="n">
        <f aca="false">INDEX(Summary!$N$2:$N$201,MATCH($B1744,Summary!$A$2:$A$201,0))</f>
        <v>9.41</v>
      </c>
      <c r="S1744" s="3" t="n">
        <f aca="false">INDEX(Summary!$O$2:$O$201,MATCH($B1744,Summary!$A$2:$A$201,0))</f>
        <v>8</v>
      </c>
      <c r="T1744" s="3" t="n">
        <f aca="false">INDEX(Summary!$P$2:$P$201,MATCH($B1744,Summary!$A$2:$A$201,0))</f>
        <v>1</v>
      </c>
      <c r="U1744" s="2" t="n">
        <f aca="false">INDEX(Summary!$Q$2:$Q$201,MATCH($B1744,Summary!$A$2:$A$201,0))</f>
        <v>12.33</v>
      </c>
      <c r="V1744" s="2" t="n">
        <f aca="false">INDEX(Summary!$R$2:$R$201,MATCH($B1744,Summary!$A$2:$A$201,0))</f>
        <v>27.98</v>
      </c>
      <c r="W1744" s="0" t="str">
        <f aca="false">INDEX(Summary!$S$2:$S$201,MATCH($B1744,Summary!$A$2:$A$201,0))</f>
        <v>Silver</v>
      </c>
      <c r="X1744" s="2" t="n">
        <f aca="false">INDEX(Summary!$T$2:$T$201,MATCH($B1744,Summary!$A$2:$A$201,0))</f>
        <v>68.24</v>
      </c>
      <c r="Y1744" s="0" t="str">
        <f aca="false">INDEX('Reward Model'!$E$18:$E$37,MATCH($E1744,'Reward Model'!$A$18:$A$37,0))</f>
        <v>Medium</v>
      </c>
      <c r="Z1744" s="4" t="n">
        <f aca="false">ROUND(MIN(1,MAX('Reward Model'!$B$2,INDEX('Reward Model'!$C$12:$C$14,MATCH($K1744,'Reward Model'!$A$12:$A$14,0))/$J1744)),3)</f>
        <v>0.938</v>
      </c>
      <c r="AA1744" s="2" t="n">
        <f aca="false">IF($I1744="Correct",ROUND(INDEX('Reward Model'!$B$12:$B$14,MATCH($K1744,'Reward Model'!$A$12:$A$14,0))*Z1744,2),0)</f>
        <v>0.94</v>
      </c>
      <c r="AB1744" s="2" t="n">
        <f aca="false">IF($I1744="Correct",ROUND(INDEX('Reward Model'!$B$12:$B$14,MATCH($Y1744,'Reward Model'!$A$12:$A$14,0))*Z1744,2),0)</f>
        <v>1.88</v>
      </c>
    </row>
    <row r="1745" customFormat="false" ht="15" hidden="false" customHeight="false" outlineLevel="0" collapsed="false">
      <c r="A1745" s="0" t="s">
        <v>304</v>
      </c>
      <c r="B1745" s="0" t="s">
        <v>305</v>
      </c>
      <c r="C1745" s="0" t="s">
        <v>30</v>
      </c>
      <c r="D1745" s="0" t="s">
        <v>275</v>
      </c>
      <c r="E1745" s="0" t="n">
        <v>4</v>
      </c>
      <c r="F1745" s="0" t="s">
        <v>43</v>
      </c>
      <c r="G1745" s="0" t="s">
        <v>111</v>
      </c>
      <c r="H1745" s="0" t="s">
        <v>45</v>
      </c>
      <c r="I1745" s="0" t="s">
        <v>39</v>
      </c>
      <c r="J1745" s="0" t="n">
        <v>1.14</v>
      </c>
      <c r="K1745" s="0" t="s">
        <v>35</v>
      </c>
      <c r="L1745" s="0" t="n">
        <f aca="false">INDEX(Summary!$F$2:$F$201,MATCH($B1745,Summary!$A$2:$A$201,0))</f>
        <v>20</v>
      </c>
      <c r="M1745" s="0" t="n">
        <f aca="false">INDEX(Summary!$I$2:$I$201,MATCH($B1745,Summary!$A$2:$A$201,0))</f>
        <v>2</v>
      </c>
      <c r="N1745" s="0" t="n">
        <f aca="false">INDEX(Summary!$J$2:$J$201,MATCH($B1745,Summary!$A$2:$A$201,0))</f>
        <v>3</v>
      </c>
      <c r="O1745" s="2" t="n">
        <f aca="false">INDEX(Summary!$K$2:$K$201,MATCH($B1745,Summary!$A$2:$A$201,0))</f>
        <v>7.74</v>
      </c>
      <c r="P1745" s="3" t="n">
        <f aca="false">INDEX(Summary!$L$2:$L$201,MATCH($B1745,Summary!$A$2:$A$201,0))</f>
        <v>5</v>
      </c>
      <c r="Q1745" s="3" t="n">
        <f aca="false">INDEX(Summary!$M$2:$M$201,MATCH($B1745,Summary!$A$2:$A$201,0))</f>
        <v>1</v>
      </c>
      <c r="R1745" s="2" t="n">
        <f aca="false">INDEX(Summary!$N$2:$N$201,MATCH($B1745,Summary!$A$2:$A$201,0))</f>
        <v>9.41</v>
      </c>
      <c r="S1745" s="3" t="n">
        <f aca="false">INDEX(Summary!$O$2:$O$201,MATCH($B1745,Summary!$A$2:$A$201,0))</f>
        <v>8</v>
      </c>
      <c r="T1745" s="3" t="n">
        <f aca="false">INDEX(Summary!$P$2:$P$201,MATCH($B1745,Summary!$A$2:$A$201,0))</f>
        <v>1</v>
      </c>
      <c r="U1745" s="2" t="n">
        <f aca="false">INDEX(Summary!$Q$2:$Q$201,MATCH($B1745,Summary!$A$2:$A$201,0))</f>
        <v>12.33</v>
      </c>
      <c r="V1745" s="2" t="n">
        <f aca="false">INDEX(Summary!$R$2:$R$201,MATCH($B1745,Summary!$A$2:$A$201,0))</f>
        <v>27.98</v>
      </c>
      <c r="W1745" s="0" t="str">
        <f aca="false">INDEX(Summary!$S$2:$S$201,MATCH($B1745,Summary!$A$2:$A$201,0))</f>
        <v>Silver</v>
      </c>
      <c r="X1745" s="2" t="n">
        <f aca="false">INDEX(Summary!$T$2:$T$201,MATCH($B1745,Summary!$A$2:$A$201,0))</f>
        <v>68.24</v>
      </c>
      <c r="Y1745" s="0" t="str">
        <f aca="false">INDEX('Reward Model'!$E$18:$E$37,MATCH($E1745,'Reward Model'!$A$18:$A$37,0))</f>
        <v>Low</v>
      </c>
      <c r="Z1745" s="4" t="n">
        <f aca="false">ROUND(MIN(1,MAX('Reward Model'!$B$2,INDEX('Reward Model'!$C$12:$C$14,MATCH($K1745,'Reward Model'!$A$12:$A$14,0))/$J1745)),3)</f>
        <v>1</v>
      </c>
      <c r="AA1745" s="2" t="n">
        <f aca="false">IF($I1745="Correct",ROUND(INDEX('Reward Model'!$B$12:$B$14,MATCH($K1745,'Reward Model'!$A$12:$A$14,0))*Z1745,2),0)</f>
        <v>0</v>
      </c>
      <c r="AB1745" s="2" t="n">
        <f aca="false">IF($I1745="Correct",ROUND(INDEX('Reward Model'!$B$12:$B$14,MATCH($Y1745,'Reward Model'!$A$12:$A$14,0))*Z1745,2),0)</f>
        <v>0</v>
      </c>
    </row>
    <row r="1746" customFormat="false" ht="15" hidden="false" customHeight="false" outlineLevel="0" collapsed="false">
      <c r="A1746" s="0" t="s">
        <v>304</v>
      </c>
      <c r="B1746" s="0" t="s">
        <v>305</v>
      </c>
      <c r="C1746" s="0" t="s">
        <v>30</v>
      </c>
      <c r="D1746" s="0" t="s">
        <v>275</v>
      </c>
      <c r="E1746" s="0" t="n">
        <v>5</v>
      </c>
      <c r="F1746" s="0" t="s">
        <v>46</v>
      </c>
      <c r="G1746" s="0" t="s">
        <v>47</v>
      </c>
      <c r="H1746" s="0" t="s">
        <v>47</v>
      </c>
      <c r="I1746" s="0" t="s">
        <v>34</v>
      </c>
      <c r="J1746" s="0" t="n">
        <v>1.19</v>
      </c>
      <c r="K1746" s="0" t="s">
        <v>35</v>
      </c>
      <c r="L1746" s="0" t="n">
        <f aca="false">INDEX(Summary!$F$2:$F$201,MATCH($B1746,Summary!$A$2:$A$201,0))</f>
        <v>20</v>
      </c>
      <c r="M1746" s="0" t="n">
        <f aca="false">INDEX(Summary!$I$2:$I$201,MATCH($B1746,Summary!$A$2:$A$201,0))</f>
        <v>2</v>
      </c>
      <c r="N1746" s="0" t="n">
        <f aca="false">INDEX(Summary!$J$2:$J$201,MATCH($B1746,Summary!$A$2:$A$201,0))</f>
        <v>3</v>
      </c>
      <c r="O1746" s="2" t="n">
        <f aca="false">INDEX(Summary!$K$2:$K$201,MATCH($B1746,Summary!$A$2:$A$201,0))</f>
        <v>7.74</v>
      </c>
      <c r="P1746" s="3" t="n">
        <f aca="false">INDEX(Summary!$L$2:$L$201,MATCH($B1746,Summary!$A$2:$A$201,0))</f>
        <v>5</v>
      </c>
      <c r="Q1746" s="3" t="n">
        <f aca="false">INDEX(Summary!$M$2:$M$201,MATCH($B1746,Summary!$A$2:$A$201,0))</f>
        <v>1</v>
      </c>
      <c r="R1746" s="2" t="n">
        <f aca="false">INDEX(Summary!$N$2:$N$201,MATCH($B1746,Summary!$A$2:$A$201,0))</f>
        <v>9.41</v>
      </c>
      <c r="S1746" s="3" t="n">
        <f aca="false">INDEX(Summary!$O$2:$O$201,MATCH($B1746,Summary!$A$2:$A$201,0))</f>
        <v>8</v>
      </c>
      <c r="T1746" s="3" t="n">
        <f aca="false">INDEX(Summary!$P$2:$P$201,MATCH($B1746,Summary!$A$2:$A$201,0))</f>
        <v>1</v>
      </c>
      <c r="U1746" s="2" t="n">
        <f aca="false">INDEX(Summary!$Q$2:$Q$201,MATCH($B1746,Summary!$A$2:$A$201,0))</f>
        <v>12.33</v>
      </c>
      <c r="V1746" s="2" t="n">
        <f aca="false">INDEX(Summary!$R$2:$R$201,MATCH($B1746,Summary!$A$2:$A$201,0))</f>
        <v>27.98</v>
      </c>
      <c r="W1746" s="0" t="str">
        <f aca="false">INDEX(Summary!$S$2:$S$201,MATCH($B1746,Summary!$A$2:$A$201,0))</f>
        <v>Silver</v>
      </c>
      <c r="X1746" s="2" t="n">
        <f aca="false">INDEX(Summary!$T$2:$T$201,MATCH($B1746,Summary!$A$2:$A$201,0))</f>
        <v>68.24</v>
      </c>
      <c r="Y1746" s="0" t="str">
        <f aca="false">INDEX('Reward Model'!$E$18:$E$37,MATCH($E1746,'Reward Model'!$A$18:$A$37,0))</f>
        <v>Low</v>
      </c>
      <c r="Z1746" s="4" t="n">
        <f aca="false">ROUND(MIN(1,MAX('Reward Model'!$B$2,INDEX('Reward Model'!$C$12:$C$14,MATCH($K1746,'Reward Model'!$A$12:$A$14,0))/$J1746)),3)</f>
        <v>1</v>
      </c>
      <c r="AA1746" s="2" t="n">
        <f aca="false">IF($I1746="Correct",ROUND(INDEX('Reward Model'!$B$12:$B$14,MATCH($K1746,'Reward Model'!$A$12:$A$14,0))*Z1746,2),0)</f>
        <v>1</v>
      </c>
      <c r="AB1746" s="2" t="n">
        <f aca="false">IF($I1746="Correct",ROUND(INDEX('Reward Model'!$B$12:$B$14,MATCH($Y1746,'Reward Model'!$A$12:$A$14,0))*Z1746,2),0)</f>
        <v>1</v>
      </c>
    </row>
    <row r="1747" customFormat="false" ht="15" hidden="false" customHeight="false" outlineLevel="0" collapsed="false">
      <c r="A1747" s="0" t="s">
        <v>304</v>
      </c>
      <c r="B1747" s="0" t="s">
        <v>305</v>
      </c>
      <c r="C1747" s="0" t="s">
        <v>30</v>
      </c>
      <c r="D1747" s="0" t="s">
        <v>275</v>
      </c>
      <c r="E1747" s="0" t="n">
        <v>6</v>
      </c>
      <c r="F1747" s="0" t="s">
        <v>48</v>
      </c>
      <c r="G1747" s="0" t="s">
        <v>49</v>
      </c>
      <c r="H1747" s="0" t="s">
        <v>49</v>
      </c>
      <c r="I1747" s="0" t="s">
        <v>34</v>
      </c>
      <c r="J1747" s="0" t="n">
        <v>1.09</v>
      </c>
      <c r="K1747" s="0" t="s">
        <v>35</v>
      </c>
      <c r="L1747" s="0" t="n">
        <f aca="false">INDEX(Summary!$F$2:$F$201,MATCH($B1747,Summary!$A$2:$A$201,0))</f>
        <v>20</v>
      </c>
      <c r="M1747" s="0" t="n">
        <f aca="false">INDEX(Summary!$I$2:$I$201,MATCH($B1747,Summary!$A$2:$A$201,0))</f>
        <v>2</v>
      </c>
      <c r="N1747" s="0" t="n">
        <f aca="false">INDEX(Summary!$J$2:$J$201,MATCH($B1747,Summary!$A$2:$A$201,0))</f>
        <v>3</v>
      </c>
      <c r="O1747" s="2" t="n">
        <f aca="false">INDEX(Summary!$K$2:$K$201,MATCH($B1747,Summary!$A$2:$A$201,0))</f>
        <v>7.74</v>
      </c>
      <c r="P1747" s="3" t="n">
        <f aca="false">INDEX(Summary!$L$2:$L$201,MATCH($B1747,Summary!$A$2:$A$201,0))</f>
        <v>5</v>
      </c>
      <c r="Q1747" s="3" t="n">
        <f aca="false">INDEX(Summary!$M$2:$M$201,MATCH($B1747,Summary!$A$2:$A$201,0))</f>
        <v>1</v>
      </c>
      <c r="R1747" s="2" t="n">
        <f aca="false">INDEX(Summary!$N$2:$N$201,MATCH($B1747,Summary!$A$2:$A$201,0))</f>
        <v>9.41</v>
      </c>
      <c r="S1747" s="3" t="n">
        <f aca="false">INDEX(Summary!$O$2:$O$201,MATCH($B1747,Summary!$A$2:$A$201,0))</f>
        <v>8</v>
      </c>
      <c r="T1747" s="3" t="n">
        <f aca="false">INDEX(Summary!$P$2:$P$201,MATCH($B1747,Summary!$A$2:$A$201,0))</f>
        <v>1</v>
      </c>
      <c r="U1747" s="2" t="n">
        <f aca="false">INDEX(Summary!$Q$2:$Q$201,MATCH($B1747,Summary!$A$2:$A$201,0))</f>
        <v>12.33</v>
      </c>
      <c r="V1747" s="2" t="n">
        <f aca="false">INDEX(Summary!$R$2:$R$201,MATCH($B1747,Summary!$A$2:$A$201,0))</f>
        <v>27.98</v>
      </c>
      <c r="W1747" s="0" t="str">
        <f aca="false">INDEX(Summary!$S$2:$S$201,MATCH($B1747,Summary!$A$2:$A$201,0))</f>
        <v>Silver</v>
      </c>
      <c r="X1747" s="2" t="n">
        <f aca="false">INDEX(Summary!$T$2:$T$201,MATCH($B1747,Summary!$A$2:$A$201,0))</f>
        <v>68.24</v>
      </c>
      <c r="Y1747" s="0" t="str">
        <f aca="false">INDEX('Reward Model'!$E$18:$E$37,MATCH($E1747,'Reward Model'!$A$18:$A$37,0))</f>
        <v>Medium</v>
      </c>
      <c r="Z1747" s="4" t="n">
        <f aca="false">ROUND(MIN(1,MAX('Reward Model'!$B$2,INDEX('Reward Model'!$C$12:$C$14,MATCH($K1747,'Reward Model'!$A$12:$A$14,0))/$J1747)),3)</f>
        <v>1</v>
      </c>
      <c r="AA1747" s="2" t="n">
        <f aca="false">IF($I1747="Correct",ROUND(INDEX('Reward Model'!$B$12:$B$14,MATCH($K1747,'Reward Model'!$A$12:$A$14,0))*Z1747,2),0)</f>
        <v>1</v>
      </c>
      <c r="AB1747" s="2" t="n">
        <f aca="false">IF($I1747="Correct",ROUND(INDEX('Reward Model'!$B$12:$B$14,MATCH($Y1747,'Reward Model'!$A$12:$A$14,0))*Z1747,2),0)</f>
        <v>2</v>
      </c>
    </row>
    <row r="1748" customFormat="false" ht="15" hidden="false" customHeight="false" outlineLevel="0" collapsed="false">
      <c r="A1748" s="0" t="s">
        <v>304</v>
      </c>
      <c r="B1748" s="0" t="s">
        <v>305</v>
      </c>
      <c r="C1748" s="0" t="s">
        <v>30</v>
      </c>
      <c r="D1748" s="0" t="s">
        <v>275</v>
      </c>
      <c r="E1748" s="0" t="n">
        <v>7</v>
      </c>
      <c r="F1748" s="0" t="s">
        <v>50</v>
      </c>
      <c r="G1748" s="0" t="s">
        <v>51</v>
      </c>
      <c r="H1748" s="0" t="s">
        <v>51</v>
      </c>
      <c r="I1748" s="0" t="s">
        <v>34</v>
      </c>
      <c r="J1748" s="0" t="n">
        <v>1.42</v>
      </c>
      <c r="K1748" s="0" t="s">
        <v>35</v>
      </c>
      <c r="L1748" s="0" t="n">
        <f aca="false">INDEX(Summary!$F$2:$F$201,MATCH($B1748,Summary!$A$2:$A$201,0))</f>
        <v>20</v>
      </c>
      <c r="M1748" s="0" t="n">
        <f aca="false">INDEX(Summary!$I$2:$I$201,MATCH($B1748,Summary!$A$2:$A$201,0))</f>
        <v>2</v>
      </c>
      <c r="N1748" s="0" t="n">
        <f aca="false">INDEX(Summary!$J$2:$J$201,MATCH($B1748,Summary!$A$2:$A$201,0))</f>
        <v>3</v>
      </c>
      <c r="O1748" s="2" t="n">
        <f aca="false">INDEX(Summary!$K$2:$K$201,MATCH($B1748,Summary!$A$2:$A$201,0))</f>
        <v>7.74</v>
      </c>
      <c r="P1748" s="3" t="n">
        <f aca="false">INDEX(Summary!$L$2:$L$201,MATCH($B1748,Summary!$A$2:$A$201,0))</f>
        <v>5</v>
      </c>
      <c r="Q1748" s="3" t="n">
        <f aca="false">INDEX(Summary!$M$2:$M$201,MATCH($B1748,Summary!$A$2:$A$201,0))</f>
        <v>1</v>
      </c>
      <c r="R1748" s="2" t="n">
        <f aca="false">INDEX(Summary!$N$2:$N$201,MATCH($B1748,Summary!$A$2:$A$201,0))</f>
        <v>9.41</v>
      </c>
      <c r="S1748" s="3" t="n">
        <f aca="false">INDEX(Summary!$O$2:$O$201,MATCH($B1748,Summary!$A$2:$A$201,0))</f>
        <v>8</v>
      </c>
      <c r="T1748" s="3" t="n">
        <f aca="false">INDEX(Summary!$P$2:$P$201,MATCH($B1748,Summary!$A$2:$A$201,0))</f>
        <v>1</v>
      </c>
      <c r="U1748" s="2" t="n">
        <f aca="false">INDEX(Summary!$Q$2:$Q$201,MATCH($B1748,Summary!$A$2:$A$201,0))</f>
        <v>12.33</v>
      </c>
      <c r="V1748" s="2" t="n">
        <f aca="false">INDEX(Summary!$R$2:$R$201,MATCH($B1748,Summary!$A$2:$A$201,0))</f>
        <v>27.98</v>
      </c>
      <c r="W1748" s="0" t="str">
        <f aca="false">INDEX(Summary!$S$2:$S$201,MATCH($B1748,Summary!$A$2:$A$201,0))</f>
        <v>Silver</v>
      </c>
      <c r="X1748" s="2" t="n">
        <f aca="false">INDEX(Summary!$T$2:$T$201,MATCH($B1748,Summary!$A$2:$A$201,0))</f>
        <v>68.24</v>
      </c>
      <c r="Y1748" s="0" t="str">
        <f aca="false">INDEX('Reward Model'!$E$18:$E$37,MATCH($E1748,'Reward Model'!$A$18:$A$37,0))</f>
        <v>Low</v>
      </c>
      <c r="Z1748" s="4" t="n">
        <f aca="false">ROUND(MIN(1,MAX('Reward Model'!$B$2,INDEX('Reward Model'!$C$12:$C$14,MATCH($K1748,'Reward Model'!$A$12:$A$14,0))/$J1748)),3)</f>
        <v>1</v>
      </c>
      <c r="AA1748" s="2" t="n">
        <f aca="false">IF($I1748="Correct",ROUND(INDEX('Reward Model'!$B$12:$B$14,MATCH($K1748,'Reward Model'!$A$12:$A$14,0))*Z1748,2),0)</f>
        <v>1</v>
      </c>
      <c r="AB1748" s="2" t="n">
        <f aca="false">IF($I1748="Correct",ROUND(INDEX('Reward Model'!$B$12:$B$14,MATCH($Y1748,'Reward Model'!$A$12:$A$14,0))*Z1748,2),0)</f>
        <v>1</v>
      </c>
    </row>
    <row r="1749" customFormat="false" ht="15" hidden="false" customHeight="false" outlineLevel="0" collapsed="false">
      <c r="A1749" s="0" t="s">
        <v>304</v>
      </c>
      <c r="B1749" s="0" t="s">
        <v>305</v>
      </c>
      <c r="C1749" s="0" t="s">
        <v>30</v>
      </c>
      <c r="D1749" s="0" t="s">
        <v>275</v>
      </c>
      <c r="E1749" s="0" t="n">
        <v>8</v>
      </c>
      <c r="F1749" s="0" t="s">
        <v>52</v>
      </c>
      <c r="G1749" s="0" t="s">
        <v>54</v>
      </c>
      <c r="H1749" s="0" t="s">
        <v>54</v>
      </c>
      <c r="I1749" s="0" t="s">
        <v>34</v>
      </c>
      <c r="J1749" s="0" t="n">
        <v>0.95</v>
      </c>
      <c r="K1749" s="0" t="s">
        <v>35</v>
      </c>
      <c r="L1749" s="0" t="n">
        <f aca="false">INDEX(Summary!$F$2:$F$201,MATCH($B1749,Summary!$A$2:$A$201,0))</f>
        <v>20</v>
      </c>
      <c r="M1749" s="0" t="n">
        <f aca="false">INDEX(Summary!$I$2:$I$201,MATCH($B1749,Summary!$A$2:$A$201,0))</f>
        <v>2</v>
      </c>
      <c r="N1749" s="0" t="n">
        <f aca="false">INDEX(Summary!$J$2:$J$201,MATCH($B1749,Summary!$A$2:$A$201,0))</f>
        <v>3</v>
      </c>
      <c r="O1749" s="2" t="n">
        <f aca="false">INDEX(Summary!$K$2:$K$201,MATCH($B1749,Summary!$A$2:$A$201,0))</f>
        <v>7.74</v>
      </c>
      <c r="P1749" s="3" t="n">
        <f aca="false">INDEX(Summary!$L$2:$L$201,MATCH($B1749,Summary!$A$2:$A$201,0))</f>
        <v>5</v>
      </c>
      <c r="Q1749" s="3" t="n">
        <f aca="false">INDEX(Summary!$M$2:$M$201,MATCH($B1749,Summary!$A$2:$A$201,0))</f>
        <v>1</v>
      </c>
      <c r="R1749" s="2" t="n">
        <f aca="false">INDEX(Summary!$N$2:$N$201,MATCH($B1749,Summary!$A$2:$A$201,0))</f>
        <v>9.41</v>
      </c>
      <c r="S1749" s="3" t="n">
        <f aca="false">INDEX(Summary!$O$2:$O$201,MATCH($B1749,Summary!$A$2:$A$201,0))</f>
        <v>8</v>
      </c>
      <c r="T1749" s="3" t="n">
        <f aca="false">INDEX(Summary!$P$2:$P$201,MATCH($B1749,Summary!$A$2:$A$201,0))</f>
        <v>1</v>
      </c>
      <c r="U1749" s="2" t="n">
        <f aca="false">INDEX(Summary!$Q$2:$Q$201,MATCH($B1749,Summary!$A$2:$A$201,0))</f>
        <v>12.33</v>
      </c>
      <c r="V1749" s="2" t="n">
        <f aca="false">INDEX(Summary!$R$2:$R$201,MATCH($B1749,Summary!$A$2:$A$201,0))</f>
        <v>27.98</v>
      </c>
      <c r="W1749" s="0" t="str">
        <f aca="false">INDEX(Summary!$S$2:$S$201,MATCH($B1749,Summary!$A$2:$A$201,0))</f>
        <v>Silver</v>
      </c>
      <c r="X1749" s="2" t="n">
        <f aca="false">INDEX(Summary!$T$2:$T$201,MATCH($B1749,Summary!$A$2:$A$201,0))</f>
        <v>68.24</v>
      </c>
      <c r="Y1749" s="0" t="str">
        <f aca="false">INDEX('Reward Model'!$E$18:$E$37,MATCH($E1749,'Reward Model'!$A$18:$A$37,0))</f>
        <v>Medium</v>
      </c>
      <c r="Z1749" s="4" t="n">
        <f aca="false">ROUND(MIN(1,MAX('Reward Model'!$B$2,INDEX('Reward Model'!$C$12:$C$14,MATCH($K1749,'Reward Model'!$A$12:$A$14,0))/$J1749)),3)</f>
        <v>1</v>
      </c>
      <c r="AA1749" s="2" t="n">
        <f aca="false">IF($I1749="Correct",ROUND(INDEX('Reward Model'!$B$12:$B$14,MATCH($K1749,'Reward Model'!$A$12:$A$14,0))*Z1749,2),0)</f>
        <v>1</v>
      </c>
      <c r="AB1749" s="2" t="n">
        <f aca="false">IF($I1749="Correct",ROUND(INDEX('Reward Model'!$B$12:$B$14,MATCH($Y1749,'Reward Model'!$A$12:$A$14,0))*Z1749,2),0)</f>
        <v>2</v>
      </c>
    </row>
    <row r="1750" customFormat="false" ht="15" hidden="false" customHeight="false" outlineLevel="0" collapsed="false">
      <c r="A1750" s="0" t="s">
        <v>304</v>
      </c>
      <c r="B1750" s="0" t="s">
        <v>305</v>
      </c>
      <c r="C1750" s="0" t="s">
        <v>30</v>
      </c>
      <c r="D1750" s="0" t="s">
        <v>275</v>
      </c>
      <c r="E1750" s="0" t="n">
        <v>9</v>
      </c>
      <c r="F1750" s="0" t="s">
        <v>55</v>
      </c>
      <c r="G1750" s="0" t="s">
        <v>57</v>
      </c>
      <c r="H1750" s="0" t="s">
        <v>57</v>
      </c>
      <c r="I1750" s="0" t="s">
        <v>34</v>
      </c>
      <c r="J1750" s="0" t="n">
        <v>1.6</v>
      </c>
      <c r="K1750" s="0" t="s">
        <v>35</v>
      </c>
      <c r="L1750" s="0" t="n">
        <f aca="false">INDEX(Summary!$F$2:$F$201,MATCH($B1750,Summary!$A$2:$A$201,0))</f>
        <v>20</v>
      </c>
      <c r="M1750" s="0" t="n">
        <f aca="false">INDEX(Summary!$I$2:$I$201,MATCH($B1750,Summary!$A$2:$A$201,0))</f>
        <v>2</v>
      </c>
      <c r="N1750" s="0" t="n">
        <f aca="false">INDEX(Summary!$J$2:$J$201,MATCH($B1750,Summary!$A$2:$A$201,0))</f>
        <v>3</v>
      </c>
      <c r="O1750" s="2" t="n">
        <f aca="false">INDEX(Summary!$K$2:$K$201,MATCH($B1750,Summary!$A$2:$A$201,0))</f>
        <v>7.74</v>
      </c>
      <c r="P1750" s="3" t="n">
        <f aca="false">INDEX(Summary!$L$2:$L$201,MATCH($B1750,Summary!$A$2:$A$201,0))</f>
        <v>5</v>
      </c>
      <c r="Q1750" s="3" t="n">
        <f aca="false">INDEX(Summary!$M$2:$M$201,MATCH($B1750,Summary!$A$2:$A$201,0))</f>
        <v>1</v>
      </c>
      <c r="R1750" s="2" t="n">
        <f aca="false">INDEX(Summary!$N$2:$N$201,MATCH($B1750,Summary!$A$2:$A$201,0))</f>
        <v>9.41</v>
      </c>
      <c r="S1750" s="3" t="n">
        <f aca="false">INDEX(Summary!$O$2:$O$201,MATCH($B1750,Summary!$A$2:$A$201,0))</f>
        <v>8</v>
      </c>
      <c r="T1750" s="3" t="n">
        <f aca="false">INDEX(Summary!$P$2:$P$201,MATCH($B1750,Summary!$A$2:$A$201,0))</f>
        <v>1</v>
      </c>
      <c r="U1750" s="2" t="n">
        <f aca="false">INDEX(Summary!$Q$2:$Q$201,MATCH($B1750,Summary!$A$2:$A$201,0))</f>
        <v>12.33</v>
      </c>
      <c r="V1750" s="2" t="n">
        <f aca="false">INDEX(Summary!$R$2:$R$201,MATCH($B1750,Summary!$A$2:$A$201,0))</f>
        <v>27.98</v>
      </c>
      <c r="W1750" s="0" t="str">
        <f aca="false">INDEX(Summary!$S$2:$S$201,MATCH($B1750,Summary!$A$2:$A$201,0))</f>
        <v>Silver</v>
      </c>
      <c r="X1750" s="2" t="n">
        <f aca="false">INDEX(Summary!$T$2:$T$201,MATCH($B1750,Summary!$A$2:$A$201,0))</f>
        <v>68.24</v>
      </c>
      <c r="Y1750" s="0" t="str">
        <f aca="false">INDEX('Reward Model'!$E$18:$E$37,MATCH($E1750,'Reward Model'!$A$18:$A$37,0))</f>
        <v>Medium</v>
      </c>
      <c r="Z1750" s="4" t="n">
        <f aca="false">ROUND(MIN(1,MAX('Reward Model'!$B$2,INDEX('Reward Model'!$C$12:$C$14,MATCH($K1750,'Reward Model'!$A$12:$A$14,0))/$J1750)),3)</f>
        <v>0.938</v>
      </c>
      <c r="AA1750" s="2" t="n">
        <f aca="false">IF($I1750="Correct",ROUND(INDEX('Reward Model'!$B$12:$B$14,MATCH($K1750,'Reward Model'!$A$12:$A$14,0))*Z1750,2),0)</f>
        <v>0.94</v>
      </c>
      <c r="AB1750" s="2" t="n">
        <f aca="false">IF($I1750="Correct",ROUND(INDEX('Reward Model'!$B$12:$B$14,MATCH($Y1750,'Reward Model'!$A$12:$A$14,0))*Z1750,2),0)</f>
        <v>1.88</v>
      </c>
    </row>
    <row r="1751" customFormat="false" ht="15" hidden="false" customHeight="false" outlineLevel="0" collapsed="false">
      <c r="A1751" s="0" t="s">
        <v>304</v>
      </c>
      <c r="B1751" s="0" t="s">
        <v>305</v>
      </c>
      <c r="C1751" s="0" t="s">
        <v>30</v>
      </c>
      <c r="D1751" s="0" t="s">
        <v>275</v>
      </c>
      <c r="E1751" s="0" t="n">
        <v>10</v>
      </c>
      <c r="F1751" s="0" t="s">
        <v>58</v>
      </c>
      <c r="G1751" s="0" t="s">
        <v>59</v>
      </c>
      <c r="H1751" s="0" t="s">
        <v>59</v>
      </c>
      <c r="I1751" s="0" t="s">
        <v>34</v>
      </c>
      <c r="J1751" s="0" t="n">
        <v>2.3</v>
      </c>
      <c r="K1751" s="0" t="s">
        <v>60</v>
      </c>
      <c r="L1751" s="0" t="n">
        <f aca="false">INDEX(Summary!$F$2:$F$201,MATCH($B1751,Summary!$A$2:$A$201,0))</f>
        <v>20</v>
      </c>
      <c r="M1751" s="0" t="n">
        <f aca="false">INDEX(Summary!$I$2:$I$201,MATCH($B1751,Summary!$A$2:$A$201,0))</f>
        <v>2</v>
      </c>
      <c r="N1751" s="0" t="n">
        <f aca="false">INDEX(Summary!$J$2:$J$201,MATCH($B1751,Summary!$A$2:$A$201,0))</f>
        <v>3</v>
      </c>
      <c r="O1751" s="2" t="n">
        <f aca="false">INDEX(Summary!$K$2:$K$201,MATCH($B1751,Summary!$A$2:$A$201,0))</f>
        <v>7.74</v>
      </c>
      <c r="P1751" s="3" t="n">
        <f aca="false">INDEX(Summary!$L$2:$L$201,MATCH($B1751,Summary!$A$2:$A$201,0))</f>
        <v>5</v>
      </c>
      <c r="Q1751" s="3" t="n">
        <f aca="false">INDEX(Summary!$M$2:$M$201,MATCH($B1751,Summary!$A$2:$A$201,0))</f>
        <v>1</v>
      </c>
      <c r="R1751" s="2" t="n">
        <f aca="false">INDEX(Summary!$N$2:$N$201,MATCH($B1751,Summary!$A$2:$A$201,0))</f>
        <v>9.41</v>
      </c>
      <c r="S1751" s="3" t="n">
        <f aca="false">INDEX(Summary!$O$2:$O$201,MATCH($B1751,Summary!$A$2:$A$201,0))</f>
        <v>8</v>
      </c>
      <c r="T1751" s="3" t="n">
        <f aca="false">INDEX(Summary!$P$2:$P$201,MATCH($B1751,Summary!$A$2:$A$201,0))</f>
        <v>1</v>
      </c>
      <c r="U1751" s="2" t="n">
        <f aca="false">INDEX(Summary!$Q$2:$Q$201,MATCH($B1751,Summary!$A$2:$A$201,0))</f>
        <v>12.33</v>
      </c>
      <c r="V1751" s="2" t="n">
        <f aca="false">INDEX(Summary!$R$2:$R$201,MATCH($B1751,Summary!$A$2:$A$201,0))</f>
        <v>27.98</v>
      </c>
      <c r="W1751" s="0" t="str">
        <f aca="false">INDEX(Summary!$S$2:$S$201,MATCH($B1751,Summary!$A$2:$A$201,0))</f>
        <v>Silver</v>
      </c>
      <c r="X1751" s="2" t="n">
        <f aca="false">INDEX(Summary!$T$2:$T$201,MATCH($B1751,Summary!$A$2:$A$201,0))</f>
        <v>68.24</v>
      </c>
      <c r="Y1751" s="0" t="str">
        <f aca="false">INDEX('Reward Model'!$E$18:$E$37,MATCH($E1751,'Reward Model'!$A$18:$A$37,0))</f>
        <v>Medium</v>
      </c>
      <c r="Z1751" s="4" t="n">
        <f aca="false">ROUND(MIN(1,MAX('Reward Model'!$B$2,INDEX('Reward Model'!$C$12:$C$14,MATCH($K1751,'Reward Model'!$A$12:$A$14,0))/$J1751)),3)</f>
        <v>0.783</v>
      </c>
      <c r="AA1751" s="2" t="n">
        <f aca="false">IF($I1751="Correct",ROUND(INDEX('Reward Model'!$B$12:$B$14,MATCH($K1751,'Reward Model'!$A$12:$A$14,0))*Z1751,2),0)</f>
        <v>1.57</v>
      </c>
      <c r="AB1751" s="2" t="n">
        <f aca="false">IF($I1751="Correct",ROUND(INDEX('Reward Model'!$B$12:$B$14,MATCH($Y1751,'Reward Model'!$A$12:$A$14,0))*Z1751,2),0)</f>
        <v>1.57</v>
      </c>
    </row>
    <row r="1752" customFormat="false" ht="15" hidden="false" customHeight="false" outlineLevel="0" collapsed="false">
      <c r="A1752" s="0" t="s">
        <v>304</v>
      </c>
      <c r="B1752" s="0" t="s">
        <v>305</v>
      </c>
      <c r="C1752" s="0" t="s">
        <v>30</v>
      </c>
      <c r="D1752" s="0" t="s">
        <v>275</v>
      </c>
      <c r="E1752" s="0" t="n">
        <v>11</v>
      </c>
      <c r="F1752" s="0" t="s">
        <v>61</v>
      </c>
      <c r="G1752" s="0" t="s">
        <v>63</v>
      </c>
      <c r="H1752" s="0" t="s">
        <v>63</v>
      </c>
      <c r="I1752" s="0" t="s">
        <v>34</v>
      </c>
      <c r="J1752" s="0" t="n">
        <v>1.26</v>
      </c>
      <c r="K1752" s="0" t="s">
        <v>60</v>
      </c>
      <c r="L1752" s="0" t="n">
        <f aca="false">INDEX(Summary!$F$2:$F$201,MATCH($B1752,Summary!$A$2:$A$201,0))</f>
        <v>20</v>
      </c>
      <c r="M1752" s="0" t="n">
        <f aca="false">INDEX(Summary!$I$2:$I$201,MATCH($B1752,Summary!$A$2:$A$201,0))</f>
        <v>2</v>
      </c>
      <c r="N1752" s="0" t="n">
        <f aca="false">INDEX(Summary!$J$2:$J$201,MATCH($B1752,Summary!$A$2:$A$201,0))</f>
        <v>3</v>
      </c>
      <c r="O1752" s="2" t="n">
        <f aca="false">INDEX(Summary!$K$2:$K$201,MATCH($B1752,Summary!$A$2:$A$201,0))</f>
        <v>7.74</v>
      </c>
      <c r="P1752" s="3" t="n">
        <f aca="false">INDEX(Summary!$L$2:$L$201,MATCH($B1752,Summary!$A$2:$A$201,0))</f>
        <v>5</v>
      </c>
      <c r="Q1752" s="3" t="n">
        <f aca="false">INDEX(Summary!$M$2:$M$201,MATCH($B1752,Summary!$A$2:$A$201,0))</f>
        <v>1</v>
      </c>
      <c r="R1752" s="2" t="n">
        <f aca="false">INDEX(Summary!$N$2:$N$201,MATCH($B1752,Summary!$A$2:$A$201,0))</f>
        <v>9.41</v>
      </c>
      <c r="S1752" s="3" t="n">
        <f aca="false">INDEX(Summary!$O$2:$O$201,MATCH($B1752,Summary!$A$2:$A$201,0))</f>
        <v>8</v>
      </c>
      <c r="T1752" s="3" t="n">
        <f aca="false">INDEX(Summary!$P$2:$P$201,MATCH($B1752,Summary!$A$2:$A$201,0))</f>
        <v>1</v>
      </c>
      <c r="U1752" s="2" t="n">
        <f aca="false">INDEX(Summary!$Q$2:$Q$201,MATCH($B1752,Summary!$A$2:$A$201,0))</f>
        <v>12.33</v>
      </c>
      <c r="V1752" s="2" t="n">
        <f aca="false">INDEX(Summary!$R$2:$R$201,MATCH($B1752,Summary!$A$2:$A$201,0))</f>
        <v>27.98</v>
      </c>
      <c r="W1752" s="0" t="str">
        <f aca="false">INDEX(Summary!$S$2:$S$201,MATCH($B1752,Summary!$A$2:$A$201,0))</f>
        <v>Silver</v>
      </c>
      <c r="X1752" s="2" t="n">
        <f aca="false">INDEX(Summary!$T$2:$T$201,MATCH($B1752,Summary!$A$2:$A$201,0))</f>
        <v>68.24</v>
      </c>
      <c r="Y1752" s="0" t="str">
        <f aca="false">INDEX('Reward Model'!$E$18:$E$37,MATCH($E1752,'Reward Model'!$A$18:$A$37,0))</f>
        <v>Medium</v>
      </c>
      <c r="Z1752" s="4" t="n">
        <f aca="false">ROUND(MIN(1,MAX('Reward Model'!$B$2,INDEX('Reward Model'!$C$12:$C$14,MATCH($K1752,'Reward Model'!$A$12:$A$14,0))/$J1752)),3)</f>
        <v>1</v>
      </c>
      <c r="AA1752" s="2" t="n">
        <f aca="false">IF($I1752="Correct",ROUND(INDEX('Reward Model'!$B$12:$B$14,MATCH($K1752,'Reward Model'!$A$12:$A$14,0))*Z1752,2),0)</f>
        <v>2</v>
      </c>
      <c r="AB1752" s="2" t="n">
        <f aca="false">IF($I1752="Correct",ROUND(INDEX('Reward Model'!$B$12:$B$14,MATCH($Y1752,'Reward Model'!$A$12:$A$14,0))*Z1752,2),0)</f>
        <v>2</v>
      </c>
    </row>
    <row r="1753" customFormat="false" ht="15" hidden="false" customHeight="false" outlineLevel="0" collapsed="false">
      <c r="A1753" s="0" t="s">
        <v>304</v>
      </c>
      <c r="B1753" s="0" t="s">
        <v>305</v>
      </c>
      <c r="C1753" s="0" t="s">
        <v>30</v>
      </c>
      <c r="D1753" s="0" t="s">
        <v>275</v>
      </c>
      <c r="E1753" s="0" t="n">
        <v>12</v>
      </c>
      <c r="F1753" s="0" t="s">
        <v>64</v>
      </c>
      <c r="G1753" s="0" t="s">
        <v>65</v>
      </c>
      <c r="H1753" s="0" t="s">
        <v>65</v>
      </c>
      <c r="I1753" s="0" t="s">
        <v>34</v>
      </c>
      <c r="J1753" s="0" t="n">
        <v>1.61</v>
      </c>
      <c r="K1753" s="0" t="s">
        <v>60</v>
      </c>
      <c r="L1753" s="0" t="n">
        <f aca="false">INDEX(Summary!$F$2:$F$201,MATCH($B1753,Summary!$A$2:$A$201,0))</f>
        <v>20</v>
      </c>
      <c r="M1753" s="0" t="n">
        <f aca="false">INDEX(Summary!$I$2:$I$201,MATCH($B1753,Summary!$A$2:$A$201,0))</f>
        <v>2</v>
      </c>
      <c r="N1753" s="0" t="n">
        <f aca="false">INDEX(Summary!$J$2:$J$201,MATCH($B1753,Summary!$A$2:$A$201,0))</f>
        <v>3</v>
      </c>
      <c r="O1753" s="2" t="n">
        <f aca="false">INDEX(Summary!$K$2:$K$201,MATCH($B1753,Summary!$A$2:$A$201,0))</f>
        <v>7.74</v>
      </c>
      <c r="P1753" s="3" t="n">
        <f aca="false">INDEX(Summary!$L$2:$L$201,MATCH($B1753,Summary!$A$2:$A$201,0))</f>
        <v>5</v>
      </c>
      <c r="Q1753" s="3" t="n">
        <f aca="false">INDEX(Summary!$M$2:$M$201,MATCH($B1753,Summary!$A$2:$A$201,0))</f>
        <v>1</v>
      </c>
      <c r="R1753" s="2" t="n">
        <f aca="false">INDEX(Summary!$N$2:$N$201,MATCH($B1753,Summary!$A$2:$A$201,0))</f>
        <v>9.41</v>
      </c>
      <c r="S1753" s="3" t="n">
        <f aca="false">INDEX(Summary!$O$2:$O$201,MATCH($B1753,Summary!$A$2:$A$201,0))</f>
        <v>8</v>
      </c>
      <c r="T1753" s="3" t="n">
        <f aca="false">INDEX(Summary!$P$2:$P$201,MATCH($B1753,Summary!$A$2:$A$201,0))</f>
        <v>1</v>
      </c>
      <c r="U1753" s="2" t="n">
        <f aca="false">INDEX(Summary!$Q$2:$Q$201,MATCH($B1753,Summary!$A$2:$A$201,0))</f>
        <v>12.33</v>
      </c>
      <c r="V1753" s="2" t="n">
        <f aca="false">INDEX(Summary!$R$2:$R$201,MATCH($B1753,Summary!$A$2:$A$201,0))</f>
        <v>27.98</v>
      </c>
      <c r="W1753" s="0" t="str">
        <f aca="false">INDEX(Summary!$S$2:$S$201,MATCH($B1753,Summary!$A$2:$A$201,0))</f>
        <v>Silver</v>
      </c>
      <c r="X1753" s="2" t="n">
        <f aca="false">INDEX(Summary!$T$2:$T$201,MATCH($B1753,Summary!$A$2:$A$201,0))</f>
        <v>68.24</v>
      </c>
      <c r="Y1753" s="0" t="str">
        <f aca="false">INDEX('Reward Model'!$E$18:$E$37,MATCH($E1753,'Reward Model'!$A$18:$A$37,0))</f>
        <v>Medium</v>
      </c>
      <c r="Z1753" s="4" t="n">
        <f aca="false">ROUND(MIN(1,MAX('Reward Model'!$B$2,INDEX('Reward Model'!$C$12:$C$14,MATCH($K1753,'Reward Model'!$A$12:$A$14,0))/$J1753)),3)</f>
        <v>1</v>
      </c>
      <c r="AA1753" s="2" t="n">
        <f aca="false">IF($I1753="Correct",ROUND(INDEX('Reward Model'!$B$12:$B$14,MATCH($K1753,'Reward Model'!$A$12:$A$14,0))*Z1753,2),0)</f>
        <v>2</v>
      </c>
      <c r="AB1753" s="2" t="n">
        <f aca="false">IF($I1753="Correct",ROUND(INDEX('Reward Model'!$B$12:$B$14,MATCH($Y1753,'Reward Model'!$A$12:$A$14,0))*Z1753,2),0)</f>
        <v>2</v>
      </c>
    </row>
    <row r="1754" customFormat="false" ht="15" hidden="false" customHeight="false" outlineLevel="0" collapsed="false">
      <c r="A1754" s="0" t="s">
        <v>304</v>
      </c>
      <c r="B1754" s="0" t="s">
        <v>305</v>
      </c>
      <c r="C1754" s="0" t="s">
        <v>30</v>
      </c>
      <c r="D1754" s="0" t="s">
        <v>275</v>
      </c>
      <c r="E1754" s="0" t="n">
        <v>13</v>
      </c>
      <c r="F1754" s="0" t="s">
        <v>66</v>
      </c>
      <c r="G1754" s="0" t="s">
        <v>165</v>
      </c>
      <c r="H1754" s="0" t="s">
        <v>67</v>
      </c>
      <c r="I1754" s="0" t="s">
        <v>39</v>
      </c>
      <c r="J1754" s="0" t="n">
        <v>1.22</v>
      </c>
      <c r="K1754" s="0" t="s">
        <v>60</v>
      </c>
      <c r="L1754" s="0" t="n">
        <f aca="false">INDEX(Summary!$F$2:$F$201,MATCH($B1754,Summary!$A$2:$A$201,0))</f>
        <v>20</v>
      </c>
      <c r="M1754" s="0" t="n">
        <f aca="false">INDEX(Summary!$I$2:$I$201,MATCH($B1754,Summary!$A$2:$A$201,0))</f>
        <v>2</v>
      </c>
      <c r="N1754" s="0" t="n">
        <f aca="false">INDEX(Summary!$J$2:$J$201,MATCH($B1754,Summary!$A$2:$A$201,0))</f>
        <v>3</v>
      </c>
      <c r="O1754" s="2" t="n">
        <f aca="false">INDEX(Summary!$K$2:$K$201,MATCH($B1754,Summary!$A$2:$A$201,0))</f>
        <v>7.74</v>
      </c>
      <c r="P1754" s="3" t="n">
        <f aca="false">INDEX(Summary!$L$2:$L$201,MATCH($B1754,Summary!$A$2:$A$201,0))</f>
        <v>5</v>
      </c>
      <c r="Q1754" s="3" t="n">
        <f aca="false">INDEX(Summary!$M$2:$M$201,MATCH($B1754,Summary!$A$2:$A$201,0))</f>
        <v>1</v>
      </c>
      <c r="R1754" s="2" t="n">
        <f aca="false">INDEX(Summary!$N$2:$N$201,MATCH($B1754,Summary!$A$2:$A$201,0))</f>
        <v>9.41</v>
      </c>
      <c r="S1754" s="3" t="n">
        <f aca="false">INDEX(Summary!$O$2:$O$201,MATCH($B1754,Summary!$A$2:$A$201,0))</f>
        <v>8</v>
      </c>
      <c r="T1754" s="3" t="n">
        <f aca="false">INDEX(Summary!$P$2:$P$201,MATCH($B1754,Summary!$A$2:$A$201,0))</f>
        <v>1</v>
      </c>
      <c r="U1754" s="2" t="n">
        <f aca="false">INDEX(Summary!$Q$2:$Q$201,MATCH($B1754,Summary!$A$2:$A$201,0))</f>
        <v>12.33</v>
      </c>
      <c r="V1754" s="2" t="n">
        <f aca="false">INDEX(Summary!$R$2:$R$201,MATCH($B1754,Summary!$A$2:$A$201,0))</f>
        <v>27.98</v>
      </c>
      <c r="W1754" s="0" t="str">
        <f aca="false">INDEX(Summary!$S$2:$S$201,MATCH($B1754,Summary!$A$2:$A$201,0))</f>
        <v>Silver</v>
      </c>
      <c r="X1754" s="2" t="n">
        <f aca="false">INDEX(Summary!$T$2:$T$201,MATCH($B1754,Summary!$A$2:$A$201,0))</f>
        <v>68.24</v>
      </c>
      <c r="Y1754" s="0" t="str">
        <f aca="false">INDEX('Reward Model'!$E$18:$E$37,MATCH($E1754,'Reward Model'!$A$18:$A$37,0))</f>
        <v>Medium</v>
      </c>
      <c r="Z1754" s="4" t="n">
        <f aca="false">ROUND(MIN(1,MAX('Reward Model'!$B$2,INDEX('Reward Model'!$C$12:$C$14,MATCH($K1754,'Reward Model'!$A$12:$A$14,0))/$J1754)),3)</f>
        <v>1</v>
      </c>
      <c r="AA1754" s="2" t="n">
        <f aca="false">IF($I1754="Correct",ROUND(INDEX('Reward Model'!$B$12:$B$14,MATCH($K1754,'Reward Model'!$A$12:$A$14,0))*Z1754,2),0)</f>
        <v>0</v>
      </c>
      <c r="AB1754" s="2" t="n">
        <f aca="false">IF($I1754="Correct",ROUND(INDEX('Reward Model'!$B$12:$B$14,MATCH($Y1754,'Reward Model'!$A$12:$A$14,0))*Z1754,2),0)</f>
        <v>0</v>
      </c>
    </row>
    <row r="1755" customFormat="false" ht="15" hidden="false" customHeight="false" outlineLevel="0" collapsed="false">
      <c r="A1755" s="0" t="s">
        <v>304</v>
      </c>
      <c r="B1755" s="0" t="s">
        <v>305</v>
      </c>
      <c r="C1755" s="0" t="s">
        <v>30</v>
      </c>
      <c r="D1755" s="0" t="s">
        <v>275</v>
      </c>
      <c r="E1755" s="0" t="n">
        <v>14</v>
      </c>
      <c r="F1755" s="0" t="s">
        <v>68</v>
      </c>
      <c r="G1755" s="0" t="s">
        <v>51</v>
      </c>
      <c r="H1755" s="0" t="s">
        <v>51</v>
      </c>
      <c r="I1755" s="0" t="s">
        <v>34</v>
      </c>
      <c r="J1755" s="0" t="n">
        <v>1.11</v>
      </c>
      <c r="K1755" s="0" t="s">
        <v>60</v>
      </c>
      <c r="L1755" s="0" t="n">
        <f aca="false">INDEX(Summary!$F$2:$F$201,MATCH($B1755,Summary!$A$2:$A$201,0))</f>
        <v>20</v>
      </c>
      <c r="M1755" s="0" t="n">
        <f aca="false">INDEX(Summary!$I$2:$I$201,MATCH($B1755,Summary!$A$2:$A$201,0))</f>
        <v>2</v>
      </c>
      <c r="N1755" s="0" t="n">
        <f aca="false">INDEX(Summary!$J$2:$J$201,MATCH($B1755,Summary!$A$2:$A$201,0))</f>
        <v>3</v>
      </c>
      <c r="O1755" s="2" t="n">
        <f aca="false">INDEX(Summary!$K$2:$K$201,MATCH($B1755,Summary!$A$2:$A$201,0))</f>
        <v>7.74</v>
      </c>
      <c r="P1755" s="3" t="n">
        <f aca="false">INDEX(Summary!$L$2:$L$201,MATCH($B1755,Summary!$A$2:$A$201,0))</f>
        <v>5</v>
      </c>
      <c r="Q1755" s="3" t="n">
        <f aca="false">INDEX(Summary!$M$2:$M$201,MATCH($B1755,Summary!$A$2:$A$201,0))</f>
        <v>1</v>
      </c>
      <c r="R1755" s="2" t="n">
        <f aca="false">INDEX(Summary!$N$2:$N$201,MATCH($B1755,Summary!$A$2:$A$201,0))</f>
        <v>9.41</v>
      </c>
      <c r="S1755" s="3" t="n">
        <f aca="false">INDEX(Summary!$O$2:$O$201,MATCH($B1755,Summary!$A$2:$A$201,0))</f>
        <v>8</v>
      </c>
      <c r="T1755" s="3" t="n">
        <f aca="false">INDEX(Summary!$P$2:$P$201,MATCH($B1755,Summary!$A$2:$A$201,0))</f>
        <v>1</v>
      </c>
      <c r="U1755" s="2" t="n">
        <f aca="false">INDEX(Summary!$Q$2:$Q$201,MATCH($B1755,Summary!$A$2:$A$201,0))</f>
        <v>12.33</v>
      </c>
      <c r="V1755" s="2" t="n">
        <f aca="false">INDEX(Summary!$R$2:$R$201,MATCH($B1755,Summary!$A$2:$A$201,0))</f>
        <v>27.98</v>
      </c>
      <c r="W1755" s="0" t="str">
        <f aca="false">INDEX(Summary!$S$2:$S$201,MATCH($B1755,Summary!$A$2:$A$201,0))</f>
        <v>Silver</v>
      </c>
      <c r="X1755" s="2" t="n">
        <f aca="false">INDEX(Summary!$T$2:$T$201,MATCH($B1755,Summary!$A$2:$A$201,0))</f>
        <v>68.24</v>
      </c>
      <c r="Y1755" s="0" t="str">
        <f aca="false">INDEX('Reward Model'!$E$18:$E$37,MATCH($E1755,'Reward Model'!$A$18:$A$37,0))</f>
        <v>Medium</v>
      </c>
      <c r="Z1755" s="4" t="n">
        <f aca="false">ROUND(MIN(1,MAX('Reward Model'!$B$2,INDEX('Reward Model'!$C$12:$C$14,MATCH($K1755,'Reward Model'!$A$12:$A$14,0))/$J1755)),3)</f>
        <v>1</v>
      </c>
      <c r="AA1755" s="2" t="n">
        <f aca="false">IF($I1755="Correct",ROUND(INDEX('Reward Model'!$B$12:$B$14,MATCH($K1755,'Reward Model'!$A$12:$A$14,0))*Z1755,2),0)</f>
        <v>2</v>
      </c>
      <c r="AB1755" s="2" t="n">
        <f aca="false">IF($I1755="Correct",ROUND(INDEX('Reward Model'!$B$12:$B$14,MATCH($Y1755,'Reward Model'!$A$12:$A$14,0))*Z1755,2),0)</f>
        <v>2</v>
      </c>
    </row>
    <row r="1756" customFormat="false" ht="15" hidden="false" customHeight="false" outlineLevel="0" collapsed="false">
      <c r="A1756" s="0" t="s">
        <v>304</v>
      </c>
      <c r="B1756" s="0" t="s">
        <v>305</v>
      </c>
      <c r="C1756" s="0" t="s">
        <v>30</v>
      </c>
      <c r="D1756" s="0" t="s">
        <v>275</v>
      </c>
      <c r="E1756" s="0" t="n">
        <v>15</v>
      </c>
      <c r="F1756" s="0" t="s">
        <v>69</v>
      </c>
      <c r="G1756" s="0" t="s">
        <v>70</v>
      </c>
      <c r="H1756" s="0" t="s">
        <v>70</v>
      </c>
      <c r="I1756" s="0" t="s">
        <v>34</v>
      </c>
      <c r="J1756" s="0" t="n">
        <v>1.91</v>
      </c>
      <c r="K1756" s="0" t="s">
        <v>60</v>
      </c>
      <c r="L1756" s="0" t="n">
        <f aca="false">INDEX(Summary!$F$2:$F$201,MATCH($B1756,Summary!$A$2:$A$201,0))</f>
        <v>20</v>
      </c>
      <c r="M1756" s="0" t="n">
        <f aca="false">INDEX(Summary!$I$2:$I$201,MATCH($B1756,Summary!$A$2:$A$201,0))</f>
        <v>2</v>
      </c>
      <c r="N1756" s="0" t="n">
        <f aca="false">INDEX(Summary!$J$2:$J$201,MATCH($B1756,Summary!$A$2:$A$201,0))</f>
        <v>3</v>
      </c>
      <c r="O1756" s="2" t="n">
        <f aca="false">INDEX(Summary!$K$2:$K$201,MATCH($B1756,Summary!$A$2:$A$201,0))</f>
        <v>7.74</v>
      </c>
      <c r="P1756" s="3" t="n">
        <f aca="false">INDEX(Summary!$L$2:$L$201,MATCH($B1756,Summary!$A$2:$A$201,0))</f>
        <v>5</v>
      </c>
      <c r="Q1756" s="3" t="n">
        <f aca="false">INDEX(Summary!$M$2:$M$201,MATCH($B1756,Summary!$A$2:$A$201,0))</f>
        <v>1</v>
      </c>
      <c r="R1756" s="2" t="n">
        <f aca="false">INDEX(Summary!$N$2:$N$201,MATCH($B1756,Summary!$A$2:$A$201,0))</f>
        <v>9.41</v>
      </c>
      <c r="S1756" s="3" t="n">
        <f aca="false">INDEX(Summary!$O$2:$O$201,MATCH($B1756,Summary!$A$2:$A$201,0))</f>
        <v>8</v>
      </c>
      <c r="T1756" s="3" t="n">
        <f aca="false">INDEX(Summary!$P$2:$P$201,MATCH($B1756,Summary!$A$2:$A$201,0))</f>
        <v>1</v>
      </c>
      <c r="U1756" s="2" t="n">
        <f aca="false">INDEX(Summary!$Q$2:$Q$201,MATCH($B1756,Summary!$A$2:$A$201,0))</f>
        <v>12.33</v>
      </c>
      <c r="V1756" s="2" t="n">
        <f aca="false">INDEX(Summary!$R$2:$R$201,MATCH($B1756,Summary!$A$2:$A$201,0))</f>
        <v>27.98</v>
      </c>
      <c r="W1756" s="0" t="str">
        <f aca="false">INDEX(Summary!$S$2:$S$201,MATCH($B1756,Summary!$A$2:$A$201,0))</f>
        <v>Silver</v>
      </c>
      <c r="X1756" s="2" t="n">
        <f aca="false">INDEX(Summary!$T$2:$T$201,MATCH($B1756,Summary!$A$2:$A$201,0))</f>
        <v>68.24</v>
      </c>
      <c r="Y1756" s="0" t="str">
        <f aca="false">INDEX('Reward Model'!$E$18:$E$37,MATCH($E1756,'Reward Model'!$A$18:$A$37,0))</f>
        <v>Medium</v>
      </c>
      <c r="Z1756" s="4" t="n">
        <f aca="false">ROUND(MIN(1,MAX('Reward Model'!$B$2,INDEX('Reward Model'!$C$12:$C$14,MATCH($K1756,'Reward Model'!$A$12:$A$14,0))/$J1756)),3)</f>
        <v>0.942</v>
      </c>
      <c r="AA1756" s="2" t="n">
        <f aca="false">IF($I1756="Correct",ROUND(INDEX('Reward Model'!$B$12:$B$14,MATCH($K1756,'Reward Model'!$A$12:$A$14,0))*Z1756,2),0)</f>
        <v>1.88</v>
      </c>
      <c r="AB1756" s="2" t="n">
        <f aca="false">IF($I1756="Correct",ROUND(INDEX('Reward Model'!$B$12:$B$14,MATCH($Y1756,'Reward Model'!$A$12:$A$14,0))*Z1756,2),0)</f>
        <v>1.88</v>
      </c>
    </row>
    <row r="1757" customFormat="false" ht="15" hidden="false" customHeight="false" outlineLevel="0" collapsed="false">
      <c r="A1757" s="0" t="s">
        <v>304</v>
      </c>
      <c r="B1757" s="0" t="s">
        <v>305</v>
      </c>
      <c r="C1757" s="0" t="s">
        <v>30</v>
      </c>
      <c r="D1757" s="0" t="s">
        <v>275</v>
      </c>
      <c r="E1757" s="0" t="n">
        <v>16</v>
      </c>
      <c r="F1757" s="0" t="s">
        <v>71</v>
      </c>
      <c r="G1757" s="0" t="s">
        <v>72</v>
      </c>
      <c r="H1757" s="0" t="s">
        <v>72</v>
      </c>
      <c r="I1757" s="0" t="s">
        <v>34</v>
      </c>
      <c r="J1757" s="0" t="n">
        <v>1.33</v>
      </c>
      <c r="K1757" s="0" t="s">
        <v>73</v>
      </c>
      <c r="L1757" s="0" t="n">
        <f aca="false">INDEX(Summary!$F$2:$F$201,MATCH($B1757,Summary!$A$2:$A$201,0))</f>
        <v>20</v>
      </c>
      <c r="M1757" s="0" t="n">
        <f aca="false">INDEX(Summary!$I$2:$I$201,MATCH($B1757,Summary!$A$2:$A$201,0))</f>
        <v>2</v>
      </c>
      <c r="N1757" s="0" t="n">
        <f aca="false">INDEX(Summary!$J$2:$J$201,MATCH($B1757,Summary!$A$2:$A$201,0))</f>
        <v>3</v>
      </c>
      <c r="O1757" s="2" t="n">
        <f aca="false">INDEX(Summary!$K$2:$K$201,MATCH($B1757,Summary!$A$2:$A$201,0))</f>
        <v>7.74</v>
      </c>
      <c r="P1757" s="3" t="n">
        <f aca="false">INDEX(Summary!$L$2:$L$201,MATCH($B1757,Summary!$A$2:$A$201,0))</f>
        <v>5</v>
      </c>
      <c r="Q1757" s="3" t="n">
        <f aca="false">INDEX(Summary!$M$2:$M$201,MATCH($B1757,Summary!$A$2:$A$201,0))</f>
        <v>1</v>
      </c>
      <c r="R1757" s="2" t="n">
        <f aca="false">INDEX(Summary!$N$2:$N$201,MATCH($B1757,Summary!$A$2:$A$201,0))</f>
        <v>9.41</v>
      </c>
      <c r="S1757" s="3" t="n">
        <f aca="false">INDEX(Summary!$O$2:$O$201,MATCH($B1757,Summary!$A$2:$A$201,0))</f>
        <v>8</v>
      </c>
      <c r="T1757" s="3" t="n">
        <f aca="false">INDEX(Summary!$P$2:$P$201,MATCH($B1757,Summary!$A$2:$A$201,0))</f>
        <v>1</v>
      </c>
      <c r="U1757" s="2" t="n">
        <f aca="false">INDEX(Summary!$Q$2:$Q$201,MATCH($B1757,Summary!$A$2:$A$201,0))</f>
        <v>12.33</v>
      </c>
      <c r="V1757" s="2" t="n">
        <f aca="false">INDEX(Summary!$R$2:$R$201,MATCH($B1757,Summary!$A$2:$A$201,0))</f>
        <v>27.98</v>
      </c>
      <c r="W1757" s="0" t="str">
        <f aca="false">INDEX(Summary!$S$2:$S$201,MATCH($B1757,Summary!$A$2:$A$201,0))</f>
        <v>Silver</v>
      </c>
      <c r="X1757" s="2" t="n">
        <f aca="false">INDEX(Summary!$T$2:$T$201,MATCH($B1757,Summary!$A$2:$A$201,0))</f>
        <v>68.24</v>
      </c>
      <c r="Y1757" s="0" t="str">
        <f aca="false">INDEX('Reward Model'!$E$18:$E$37,MATCH($E1757,'Reward Model'!$A$18:$A$37,0))</f>
        <v>High</v>
      </c>
      <c r="Z1757" s="4" t="n">
        <f aca="false">ROUND(MIN(1,MAX('Reward Model'!$B$2,INDEX('Reward Model'!$C$12:$C$14,MATCH($K1757,'Reward Model'!$A$12:$A$14,0))/$J1757)),3)</f>
        <v>1</v>
      </c>
      <c r="AA1757" s="2" t="n">
        <f aca="false">IF($I1757="Correct",ROUND(INDEX('Reward Model'!$B$12:$B$14,MATCH($K1757,'Reward Model'!$A$12:$A$14,0))*Z1757,2),0)</f>
        <v>3</v>
      </c>
      <c r="AB1757" s="2" t="n">
        <f aca="false">IF($I1757="Correct",ROUND(INDEX('Reward Model'!$B$12:$B$14,MATCH($Y1757,'Reward Model'!$A$12:$A$14,0))*Z1757,2),0)</f>
        <v>3</v>
      </c>
    </row>
    <row r="1758" customFormat="false" ht="15" hidden="false" customHeight="false" outlineLevel="0" collapsed="false">
      <c r="A1758" s="0" t="s">
        <v>304</v>
      </c>
      <c r="B1758" s="0" t="s">
        <v>305</v>
      </c>
      <c r="C1758" s="0" t="s">
        <v>30</v>
      </c>
      <c r="D1758" s="0" t="s">
        <v>275</v>
      </c>
      <c r="E1758" s="0" t="n">
        <v>17</v>
      </c>
      <c r="F1758" s="0" t="s">
        <v>74</v>
      </c>
      <c r="G1758" s="0" t="s">
        <v>113</v>
      </c>
      <c r="H1758" s="0" t="s">
        <v>75</v>
      </c>
      <c r="I1758" s="0" t="s">
        <v>39</v>
      </c>
      <c r="J1758" s="0" t="n">
        <v>1.27</v>
      </c>
      <c r="K1758" s="0" t="s">
        <v>73</v>
      </c>
      <c r="L1758" s="0" t="n">
        <f aca="false">INDEX(Summary!$F$2:$F$201,MATCH($B1758,Summary!$A$2:$A$201,0))</f>
        <v>20</v>
      </c>
      <c r="M1758" s="0" t="n">
        <f aca="false">INDEX(Summary!$I$2:$I$201,MATCH($B1758,Summary!$A$2:$A$201,0))</f>
        <v>2</v>
      </c>
      <c r="N1758" s="0" t="n">
        <f aca="false">INDEX(Summary!$J$2:$J$201,MATCH($B1758,Summary!$A$2:$A$201,0))</f>
        <v>3</v>
      </c>
      <c r="O1758" s="2" t="n">
        <f aca="false">INDEX(Summary!$K$2:$K$201,MATCH($B1758,Summary!$A$2:$A$201,0))</f>
        <v>7.74</v>
      </c>
      <c r="P1758" s="3" t="n">
        <f aca="false">INDEX(Summary!$L$2:$L$201,MATCH($B1758,Summary!$A$2:$A$201,0))</f>
        <v>5</v>
      </c>
      <c r="Q1758" s="3" t="n">
        <f aca="false">INDEX(Summary!$M$2:$M$201,MATCH($B1758,Summary!$A$2:$A$201,0))</f>
        <v>1</v>
      </c>
      <c r="R1758" s="2" t="n">
        <f aca="false">INDEX(Summary!$N$2:$N$201,MATCH($B1758,Summary!$A$2:$A$201,0))</f>
        <v>9.41</v>
      </c>
      <c r="S1758" s="3" t="n">
        <f aca="false">INDEX(Summary!$O$2:$O$201,MATCH($B1758,Summary!$A$2:$A$201,0))</f>
        <v>8</v>
      </c>
      <c r="T1758" s="3" t="n">
        <f aca="false">INDEX(Summary!$P$2:$P$201,MATCH($B1758,Summary!$A$2:$A$201,0))</f>
        <v>1</v>
      </c>
      <c r="U1758" s="2" t="n">
        <f aca="false">INDEX(Summary!$Q$2:$Q$201,MATCH($B1758,Summary!$A$2:$A$201,0))</f>
        <v>12.33</v>
      </c>
      <c r="V1758" s="2" t="n">
        <f aca="false">INDEX(Summary!$R$2:$R$201,MATCH($B1758,Summary!$A$2:$A$201,0))</f>
        <v>27.98</v>
      </c>
      <c r="W1758" s="0" t="str">
        <f aca="false">INDEX(Summary!$S$2:$S$201,MATCH($B1758,Summary!$A$2:$A$201,0))</f>
        <v>Silver</v>
      </c>
      <c r="X1758" s="2" t="n">
        <f aca="false">INDEX(Summary!$T$2:$T$201,MATCH($B1758,Summary!$A$2:$A$201,0))</f>
        <v>68.24</v>
      </c>
      <c r="Y1758" s="0" t="str">
        <f aca="false">INDEX('Reward Model'!$E$18:$E$37,MATCH($E1758,'Reward Model'!$A$18:$A$37,0))</f>
        <v>High</v>
      </c>
      <c r="Z1758" s="4" t="n">
        <f aca="false">ROUND(MIN(1,MAX('Reward Model'!$B$2,INDEX('Reward Model'!$C$12:$C$14,MATCH($K1758,'Reward Model'!$A$12:$A$14,0))/$J1758)),3)</f>
        <v>1</v>
      </c>
      <c r="AA1758" s="2" t="n">
        <f aca="false">IF($I1758="Correct",ROUND(INDEX('Reward Model'!$B$12:$B$14,MATCH($K1758,'Reward Model'!$A$12:$A$14,0))*Z1758,2),0)</f>
        <v>0</v>
      </c>
      <c r="AB1758" s="2" t="n">
        <f aca="false">IF($I1758="Correct",ROUND(INDEX('Reward Model'!$B$12:$B$14,MATCH($Y1758,'Reward Model'!$A$12:$A$14,0))*Z1758,2),0)</f>
        <v>0</v>
      </c>
    </row>
    <row r="1759" customFormat="false" ht="15" hidden="false" customHeight="false" outlineLevel="0" collapsed="false">
      <c r="A1759" s="0" t="s">
        <v>304</v>
      </c>
      <c r="B1759" s="0" t="s">
        <v>305</v>
      </c>
      <c r="C1759" s="0" t="s">
        <v>30</v>
      </c>
      <c r="D1759" s="0" t="s">
        <v>275</v>
      </c>
      <c r="E1759" s="0" t="n">
        <v>18</v>
      </c>
      <c r="F1759" s="0" t="s">
        <v>76</v>
      </c>
      <c r="G1759" s="0" t="s">
        <v>77</v>
      </c>
      <c r="H1759" s="0" t="s">
        <v>77</v>
      </c>
      <c r="I1759" s="0" t="s">
        <v>34</v>
      </c>
      <c r="J1759" s="0" t="n">
        <v>1.48</v>
      </c>
      <c r="K1759" s="0" t="s">
        <v>73</v>
      </c>
      <c r="L1759" s="0" t="n">
        <f aca="false">INDEX(Summary!$F$2:$F$201,MATCH($B1759,Summary!$A$2:$A$201,0))</f>
        <v>20</v>
      </c>
      <c r="M1759" s="0" t="n">
        <f aca="false">INDEX(Summary!$I$2:$I$201,MATCH($B1759,Summary!$A$2:$A$201,0))</f>
        <v>2</v>
      </c>
      <c r="N1759" s="0" t="n">
        <f aca="false">INDEX(Summary!$J$2:$J$201,MATCH($B1759,Summary!$A$2:$A$201,0))</f>
        <v>3</v>
      </c>
      <c r="O1759" s="2" t="n">
        <f aca="false">INDEX(Summary!$K$2:$K$201,MATCH($B1759,Summary!$A$2:$A$201,0))</f>
        <v>7.74</v>
      </c>
      <c r="P1759" s="3" t="n">
        <f aca="false">INDEX(Summary!$L$2:$L$201,MATCH($B1759,Summary!$A$2:$A$201,0))</f>
        <v>5</v>
      </c>
      <c r="Q1759" s="3" t="n">
        <f aca="false">INDEX(Summary!$M$2:$M$201,MATCH($B1759,Summary!$A$2:$A$201,0))</f>
        <v>1</v>
      </c>
      <c r="R1759" s="2" t="n">
        <f aca="false">INDEX(Summary!$N$2:$N$201,MATCH($B1759,Summary!$A$2:$A$201,0))</f>
        <v>9.41</v>
      </c>
      <c r="S1759" s="3" t="n">
        <f aca="false">INDEX(Summary!$O$2:$O$201,MATCH($B1759,Summary!$A$2:$A$201,0))</f>
        <v>8</v>
      </c>
      <c r="T1759" s="3" t="n">
        <f aca="false">INDEX(Summary!$P$2:$P$201,MATCH($B1759,Summary!$A$2:$A$201,0))</f>
        <v>1</v>
      </c>
      <c r="U1759" s="2" t="n">
        <f aca="false">INDEX(Summary!$Q$2:$Q$201,MATCH($B1759,Summary!$A$2:$A$201,0))</f>
        <v>12.33</v>
      </c>
      <c r="V1759" s="2" t="n">
        <f aca="false">INDEX(Summary!$R$2:$R$201,MATCH($B1759,Summary!$A$2:$A$201,0))</f>
        <v>27.98</v>
      </c>
      <c r="W1759" s="0" t="str">
        <f aca="false">INDEX(Summary!$S$2:$S$201,MATCH($B1759,Summary!$A$2:$A$201,0))</f>
        <v>Silver</v>
      </c>
      <c r="X1759" s="2" t="n">
        <f aca="false">INDEX(Summary!$T$2:$T$201,MATCH($B1759,Summary!$A$2:$A$201,0))</f>
        <v>68.24</v>
      </c>
      <c r="Y1759" s="0" t="str">
        <f aca="false">INDEX('Reward Model'!$E$18:$E$37,MATCH($E1759,'Reward Model'!$A$18:$A$37,0))</f>
        <v>High</v>
      </c>
      <c r="Z1759" s="4" t="n">
        <f aca="false">ROUND(MIN(1,MAX('Reward Model'!$B$2,INDEX('Reward Model'!$C$12:$C$14,MATCH($K1759,'Reward Model'!$A$12:$A$14,0))/$J1759)),3)</f>
        <v>1</v>
      </c>
      <c r="AA1759" s="2" t="n">
        <f aca="false">IF($I1759="Correct",ROUND(INDEX('Reward Model'!$B$12:$B$14,MATCH($K1759,'Reward Model'!$A$12:$A$14,0))*Z1759,2),0)</f>
        <v>3</v>
      </c>
      <c r="AB1759" s="2" t="n">
        <f aca="false">IF($I1759="Correct",ROUND(INDEX('Reward Model'!$B$12:$B$14,MATCH($Y1759,'Reward Model'!$A$12:$A$14,0))*Z1759,2),0)</f>
        <v>3</v>
      </c>
    </row>
    <row r="1760" customFormat="false" ht="15" hidden="false" customHeight="false" outlineLevel="0" collapsed="false">
      <c r="A1760" s="0" t="s">
        <v>304</v>
      </c>
      <c r="B1760" s="0" t="s">
        <v>305</v>
      </c>
      <c r="C1760" s="0" t="s">
        <v>30</v>
      </c>
      <c r="D1760" s="0" t="s">
        <v>275</v>
      </c>
      <c r="E1760" s="0" t="n">
        <v>19</v>
      </c>
      <c r="F1760" s="0" t="s">
        <v>78</v>
      </c>
      <c r="G1760" s="0" t="s">
        <v>51</v>
      </c>
      <c r="H1760" s="0" t="s">
        <v>80</v>
      </c>
      <c r="I1760" s="0" t="s">
        <v>39</v>
      </c>
      <c r="J1760" s="0" t="n">
        <v>1.74</v>
      </c>
      <c r="K1760" s="0" t="s">
        <v>73</v>
      </c>
      <c r="L1760" s="0" t="n">
        <f aca="false">INDEX(Summary!$F$2:$F$201,MATCH($B1760,Summary!$A$2:$A$201,0))</f>
        <v>20</v>
      </c>
      <c r="M1760" s="0" t="n">
        <f aca="false">INDEX(Summary!$I$2:$I$201,MATCH($B1760,Summary!$A$2:$A$201,0))</f>
        <v>2</v>
      </c>
      <c r="N1760" s="0" t="n">
        <f aca="false">INDEX(Summary!$J$2:$J$201,MATCH($B1760,Summary!$A$2:$A$201,0))</f>
        <v>3</v>
      </c>
      <c r="O1760" s="2" t="n">
        <f aca="false">INDEX(Summary!$K$2:$K$201,MATCH($B1760,Summary!$A$2:$A$201,0))</f>
        <v>7.74</v>
      </c>
      <c r="P1760" s="3" t="n">
        <f aca="false">INDEX(Summary!$L$2:$L$201,MATCH($B1760,Summary!$A$2:$A$201,0))</f>
        <v>5</v>
      </c>
      <c r="Q1760" s="3" t="n">
        <f aca="false">INDEX(Summary!$M$2:$M$201,MATCH($B1760,Summary!$A$2:$A$201,0))</f>
        <v>1</v>
      </c>
      <c r="R1760" s="2" t="n">
        <f aca="false">INDEX(Summary!$N$2:$N$201,MATCH($B1760,Summary!$A$2:$A$201,0))</f>
        <v>9.41</v>
      </c>
      <c r="S1760" s="3" t="n">
        <f aca="false">INDEX(Summary!$O$2:$O$201,MATCH($B1760,Summary!$A$2:$A$201,0))</f>
        <v>8</v>
      </c>
      <c r="T1760" s="3" t="n">
        <f aca="false">INDEX(Summary!$P$2:$P$201,MATCH($B1760,Summary!$A$2:$A$201,0))</f>
        <v>1</v>
      </c>
      <c r="U1760" s="2" t="n">
        <f aca="false">INDEX(Summary!$Q$2:$Q$201,MATCH($B1760,Summary!$A$2:$A$201,0))</f>
        <v>12.33</v>
      </c>
      <c r="V1760" s="2" t="n">
        <f aca="false">INDEX(Summary!$R$2:$R$201,MATCH($B1760,Summary!$A$2:$A$201,0))</f>
        <v>27.98</v>
      </c>
      <c r="W1760" s="0" t="str">
        <f aca="false">INDEX(Summary!$S$2:$S$201,MATCH($B1760,Summary!$A$2:$A$201,0))</f>
        <v>Silver</v>
      </c>
      <c r="X1760" s="2" t="n">
        <f aca="false">INDEX(Summary!$T$2:$T$201,MATCH($B1760,Summary!$A$2:$A$201,0))</f>
        <v>68.24</v>
      </c>
      <c r="Y1760" s="0" t="str">
        <f aca="false">INDEX('Reward Model'!$E$18:$E$37,MATCH($E1760,'Reward Model'!$A$18:$A$37,0))</f>
        <v>High</v>
      </c>
      <c r="Z1760" s="4" t="n">
        <f aca="false">ROUND(MIN(1,MAX('Reward Model'!$B$2,INDEX('Reward Model'!$C$12:$C$14,MATCH($K1760,'Reward Model'!$A$12:$A$14,0))/$J1760)),3)</f>
        <v>1</v>
      </c>
      <c r="AA1760" s="2" t="n">
        <f aca="false">IF($I1760="Correct",ROUND(INDEX('Reward Model'!$B$12:$B$14,MATCH($K1760,'Reward Model'!$A$12:$A$14,0))*Z1760,2),0)</f>
        <v>0</v>
      </c>
      <c r="AB1760" s="2" t="n">
        <f aca="false">IF($I1760="Correct",ROUND(INDEX('Reward Model'!$B$12:$B$14,MATCH($Y1760,'Reward Model'!$A$12:$A$14,0))*Z1760,2),0)</f>
        <v>0</v>
      </c>
    </row>
    <row r="1761" customFormat="false" ht="15" hidden="false" customHeight="false" outlineLevel="0" collapsed="false">
      <c r="A1761" s="0" t="s">
        <v>304</v>
      </c>
      <c r="B1761" s="0" t="s">
        <v>305</v>
      </c>
      <c r="C1761" s="0" t="s">
        <v>30</v>
      </c>
      <c r="D1761" s="0" t="s">
        <v>275</v>
      </c>
      <c r="E1761" s="0" t="n">
        <v>20</v>
      </c>
      <c r="F1761" s="0" t="s">
        <v>81</v>
      </c>
      <c r="G1761" s="0" t="s">
        <v>119</v>
      </c>
      <c r="H1761" s="0" t="s">
        <v>83</v>
      </c>
      <c r="I1761" s="0" t="s">
        <v>39</v>
      </c>
      <c r="J1761" s="0" t="n">
        <v>1.92</v>
      </c>
      <c r="K1761" s="0" t="s">
        <v>73</v>
      </c>
      <c r="L1761" s="0" t="n">
        <f aca="false">INDEX(Summary!$F$2:$F$201,MATCH($B1761,Summary!$A$2:$A$201,0))</f>
        <v>20</v>
      </c>
      <c r="M1761" s="0" t="n">
        <f aca="false">INDEX(Summary!$I$2:$I$201,MATCH($B1761,Summary!$A$2:$A$201,0))</f>
        <v>2</v>
      </c>
      <c r="N1761" s="0" t="n">
        <f aca="false">INDEX(Summary!$J$2:$J$201,MATCH($B1761,Summary!$A$2:$A$201,0))</f>
        <v>3</v>
      </c>
      <c r="O1761" s="2" t="n">
        <f aca="false">INDEX(Summary!$K$2:$K$201,MATCH($B1761,Summary!$A$2:$A$201,0))</f>
        <v>7.74</v>
      </c>
      <c r="P1761" s="3" t="n">
        <f aca="false">INDEX(Summary!$L$2:$L$201,MATCH($B1761,Summary!$A$2:$A$201,0))</f>
        <v>5</v>
      </c>
      <c r="Q1761" s="3" t="n">
        <f aca="false">INDEX(Summary!$M$2:$M$201,MATCH($B1761,Summary!$A$2:$A$201,0))</f>
        <v>1</v>
      </c>
      <c r="R1761" s="2" t="n">
        <f aca="false">INDEX(Summary!$N$2:$N$201,MATCH($B1761,Summary!$A$2:$A$201,0))</f>
        <v>9.41</v>
      </c>
      <c r="S1761" s="3" t="n">
        <f aca="false">INDEX(Summary!$O$2:$O$201,MATCH($B1761,Summary!$A$2:$A$201,0))</f>
        <v>8</v>
      </c>
      <c r="T1761" s="3" t="n">
        <f aca="false">INDEX(Summary!$P$2:$P$201,MATCH($B1761,Summary!$A$2:$A$201,0))</f>
        <v>1</v>
      </c>
      <c r="U1761" s="2" t="n">
        <f aca="false">INDEX(Summary!$Q$2:$Q$201,MATCH($B1761,Summary!$A$2:$A$201,0))</f>
        <v>12.33</v>
      </c>
      <c r="V1761" s="2" t="n">
        <f aca="false">INDEX(Summary!$R$2:$R$201,MATCH($B1761,Summary!$A$2:$A$201,0))</f>
        <v>27.98</v>
      </c>
      <c r="W1761" s="0" t="str">
        <f aca="false">INDEX(Summary!$S$2:$S$201,MATCH($B1761,Summary!$A$2:$A$201,0))</f>
        <v>Silver</v>
      </c>
      <c r="X1761" s="2" t="n">
        <f aca="false">INDEX(Summary!$T$2:$T$201,MATCH($B1761,Summary!$A$2:$A$201,0))</f>
        <v>68.24</v>
      </c>
      <c r="Y1761" s="0" t="str">
        <f aca="false">INDEX('Reward Model'!$E$18:$E$37,MATCH($E1761,'Reward Model'!$A$18:$A$37,0))</f>
        <v>High</v>
      </c>
      <c r="Z1761" s="4" t="n">
        <f aca="false">ROUND(MIN(1,MAX('Reward Model'!$B$2,INDEX('Reward Model'!$C$12:$C$14,MATCH($K1761,'Reward Model'!$A$12:$A$14,0))/$J1761)),3)</f>
        <v>1</v>
      </c>
      <c r="AA1761" s="2" t="n">
        <f aca="false">IF($I1761="Correct",ROUND(INDEX('Reward Model'!$B$12:$B$14,MATCH($K1761,'Reward Model'!$A$12:$A$14,0))*Z1761,2),0)</f>
        <v>0</v>
      </c>
      <c r="AB1761" s="2" t="n">
        <f aca="false">IF($I1761="Correct",ROUND(INDEX('Reward Model'!$B$12:$B$14,MATCH($Y1761,'Reward Model'!$A$12:$A$14,0))*Z1761,2),0)</f>
        <v>0</v>
      </c>
    </row>
    <row r="1762" customFormat="false" ht="15" hidden="false" customHeight="false" outlineLevel="0" collapsed="false">
      <c r="A1762" s="0" t="s">
        <v>306</v>
      </c>
      <c r="B1762" s="0" t="s">
        <v>307</v>
      </c>
      <c r="C1762" s="0" t="s">
        <v>30</v>
      </c>
      <c r="D1762" s="0" t="s">
        <v>275</v>
      </c>
      <c r="E1762" s="0" t="n">
        <v>1</v>
      </c>
      <c r="F1762" s="0" t="s">
        <v>32</v>
      </c>
      <c r="G1762" s="0" t="s">
        <v>33</v>
      </c>
      <c r="H1762" s="0" t="s">
        <v>33</v>
      </c>
      <c r="I1762" s="0" t="s">
        <v>34</v>
      </c>
      <c r="J1762" s="0" t="n">
        <v>1.96</v>
      </c>
      <c r="K1762" s="0" t="s">
        <v>35</v>
      </c>
      <c r="L1762" s="0" t="n">
        <f aca="false">INDEX(Summary!$F$2:$F$201,MATCH($B1762,Summary!$A$2:$A$201,0))</f>
        <v>20</v>
      </c>
      <c r="M1762" s="0" t="n">
        <f aca="false">INDEX(Summary!$I$2:$I$201,MATCH($B1762,Summary!$A$2:$A$201,0))</f>
        <v>2</v>
      </c>
      <c r="N1762" s="0" t="n">
        <f aca="false">INDEX(Summary!$J$2:$J$201,MATCH($B1762,Summary!$A$2:$A$201,0))</f>
        <v>3</v>
      </c>
      <c r="O1762" s="2" t="n">
        <f aca="false">INDEX(Summary!$K$2:$K$201,MATCH($B1762,Summary!$A$2:$A$201,0))</f>
        <v>9.21</v>
      </c>
      <c r="P1762" s="3" t="n">
        <f aca="false">INDEX(Summary!$L$2:$L$201,MATCH($B1762,Summary!$A$2:$A$201,0))</f>
        <v>5</v>
      </c>
      <c r="Q1762" s="3" t="n">
        <f aca="false">INDEX(Summary!$M$2:$M$201,MATCH($B1762,Summary!$A$2:$A$201,0))</f>
        <v>1</v>
      </c>
      <c r="R1762" s="2" t="n">
        <f aca="false">INDEX(Summary!$N$2:$N$201,MATCH($B1762,Summary!$A$2:$A$201,0))</f>
        <v>9.34</v>
      </c>
      <c r="S1762" s="3" t="n">
        <f aca="false">INDEX(Summary!$O$2:$O$201,MATCH($B1762,Summary!$A$2:$A$201,0))</f>
        <v>7</v>
      </c>
      <c r="T1762" s="3" t="n">
        <f aca="false">INDEX(Summary!$P$2:$P$201,MATCH($B1762,Summary!$A$2:$A$201,0))</f>
        <v>2</v>
      </c>
      <c r="U1762" s="2" t="n">
        <f aca="false">INDEX(Summary!$Q$2:$Q$201,MATCH($B1762,Summary!$A$2:$A$201,0))</f>
        <v>14.06</v>
      </c>
      <c r="V1762" s="2" t="n">
        <f aca="false">INDEX(Summary!$R$2:$R$201,MATCH($B1762,Summary!$A$2:$A$201,0))</f>
        <v>25.23</v>
      </c>
      <c r="W1762" s="0" t="str">
        <f aca="false">INDEX(Summary!$S$2:$S$201,MATCH($B1762,Summary!$A$2:$A$201,0))</f>
        <v>Silver</v>
      </c>
      <c r="X1762" s="2" t="n">
        <f aca="false">INDEX(Summary!$T$2:$T$201,MATCH($B1762,Summary!$A$2:$A$201,0))</f>
        <v>61.54</v>
      </c>
      <c r="Y1762" s="0" t="str">
        <f aca="false">INDEX('Reward Model'!$E$18:$E$37,MATCH($E1762,'Reward Model'!$A$18:$A$37,0))</f>
        <v>Medium</v>
      </c>
      <c r="Z1762" s="4" t="n">
        <f aca="false">ROUND(MIN(1,MAX('Reward Model'!$B$2,INDEX('Reward Model'!$C$12:$C$14,MATCH($K1762,'Reward Model'!$A$12:$A$14,0))/$J1762)),3)</f>
        <v>0.765</v>
      </c>
      <c r="AA1762" s="2" t="n">
        <f aca="false">IF($I1762="Correct",ROUND(INDEX('Reward Model'!$B$12:$B$14,MATCH($K1762,'Reward Model'!$A$12:$A$14,0))*Z1762,2),0)</f>
        <v>0.77</v>
      </c>
      <c r="AB1762" s="2" t="n">
        <f aca="false">IF($I1762="Correct",ROUND(INDEX('Reward Model'!$B$12:$B$14,MATCH($Y1762,'Reward Model'!$A$12:$A$14,0))*Z1762,2),0)</f>
        <v>1.53</v>
      </c>
    </row>
    <row r="1763" customFormat="false" ht="15" hidden="false" customHeight="false" outlineLevel="0" collapsed="false">
      <c r="A1763" s="0" t="s">
        <v>306</v>
      </c>
      <c r="B1763" s="0" t="s">
        <v>307</v>
      </c>
      <c r="C1763" s="0" t="s">
        <v>30</v>
      </c>
      <c r="D1763" s="0" t="s">
        <v>275</v>
      </c>
      <c r="E1763" s="0" t="n">
        <v>2</v>
      </c>
      <c r="F1763" s="0" t="s">
        <v>36</v>
      </c>
      <c r="G1763" s="0" t="s">
        <v>38</v>
      </c>
      <c r="H1763" s="0" t="s">
        <v>38</v>
      </c>
      <c r="I1763" s="0" t="s">
        <v>34</v>
      </c>
      <c r="J1763" s="0" t="n">
        <v>1.81</v>
      </c>
      <c r="K1763" s="0" t="s">
        <v>35</v>
      </c>
      <c r="L1763" s="0" t="n">
        <f aca="false">INDEX(Summary!$F$2:$F$201,MATCH($B1763,Summary!$A$2:$A$201,0))</f>
        <v>20</v>
      </c>
      <c r="M1763" s="0" t="n">
        <f aca="false">INDEX(Summary!$I$2:$I$201,MATCH($B1763,Summary!$A$2:$A$201,0))</f>
        <v>2</v>
      </c>
      <c r="N1763" s="0" t="n">
        <f aca="false">INDEX(Summary!$J$2:$J$201,MATCH($B1763,Summary!$A$2:$A$201,0))</f>
        <v>3</v>
      </c>
      <c r="O1763" s="2" t="n">
        <f aca="false">INDEX(Summary!$K$2:$K$201,MATCH($B1763,Summary!$A$2:$A$201,0))</f>
        <v>9.21</v>
      </c>
      <c r="P1763" s="3" t="n">
        <f aca="false">INDEX(Summary!$L$2:$L$201,MATCH($B1763,Summary!$A$2:$A$201,0))</f>
        <v>5</v>
      </c>
      <c r="Q1763" s="3" t="n">
        <f aca="false">INDEX(Summary!$M$2:$M$201,MATCH($B1763,Summary!$A$2:$A$201,0))</f>
        <v>1</v>
      </c>
      <c r="R1763" s="2" t="n">
        <f aca="false">INDEX(Summary!$N$2:$N$201,MATCH($B1763,Summary!$A$2:$A$201,0))</f>
        <v>9.34</v>
      </c>
      <c r="S1763" s="3" t="n">
        <f aca="false">INDEX(Summary!$O$2:$O$201,MATCH($B1763,Summary!$A$2:$A$201,0))</f>
        <v>7</v>
      </c>
      <c r="T1763" s="3" t="n">
        <f aca="false">INDEX(Summary!$P$2:$P$201,MATCH($B1763,Summary!$A$2:$A$201,0))</f>
        <v>2</v>
      </c>
      <c r="U1763" s="2" t="n">
        <f aca="false">INDEX(Summary!$Q$2:$Q$201,MATCH($B1763,Summary!$A$2:$A$201,0))</f>
        <v>14.06</v>
      </c>
      <c r="V1763" s="2" t="n">
        <f aca="false">INDEX(Summary!$R$2:$R$201,MATCH($B1763,Summary!$A$2:$A$201,0))</f>
        <v>25.23</v>
      </c>
      <c r="W1763" s="0" t="str">
        <f aca="false">INDEX(Summary!$S$2:$S$201,MATCH($B1763,Summary!$A$2:$A$201,0))</f>
        <v>Silver</v>
      </c>
      <c r="X1763" s="2" t="n">
        <f aca="false">INDEX(Summary!$T$2:$T$201,MATCH($B1763,Summary!$A$2:$A$201,0))</f>
        <v>61.54</v>
      </c>
      <c r="Y1763" s="0" t="str">
        <f aca="false">INDEX('Reward Model'!$E$18:$E$37,MATCH($E1763,'Reward Model'!$A$18:$A$37,0))</f>
        <v>Low</v>
      </c>
      <c r="Z1763" s="4" t="n">
        <f aca="false">ROUND(MIN(1,MAX('Reward Model'!$B$2,INDEX('Reward Model'!$C$12:$C$14,MATCH($K1763,'Reward Model'!$A$12:$A$14,0))/$J1763)),3)</f>
        <v>0.829</v>
      </c>
      <c r="AA1763" s="2" t="n">
        <f aca="false">IF($I1763="Correct",ROUND(INDEX('Reward Model'!$B$12:$B$14,MATCH($K1763,'Reward Model'!$A$12:$A$14,0))*Z1763,2),0)</f>
        <v>0.83</v>
      </c>
      <c r="AB1763" s="2" t="n">
        <f aca="false">IF($I1763="Correct",ROUND(INDEX('Reward Model'!$B$12:$B$14,MATCH($Y1763,'Reward Model'!$A$12:$A$14,0))*Z1763,2),0)</f>
        <v>0.83</v>
      </c>
    </row>
    <row r="1764" customFormat="false" ht="15" hidden="false" customHeight="false" outlineLevel="0" collapsed="false">
      <c r="A1764" s="0" t="s">
        <v>306</v>
      </c>
      <c r="B1764" s="0" t="s">
        <v>307</v>
      </c>
      <c r="C1764" s="0" t="s">
        <v>30</v>
      </c>
      <c r="D1764" s="0" t="s">
        <v>275</v>
      </c>
      <c r="E1764" s="0" t="n">
        <v>3</v>
      </c>
      <c r="F1764" s="0" t="s">
        <v>40</v>
      </c>
      <c r="G1764" s="0" t="s">
        <v>123</v>
      </c>
      <c r="H1764" s="0" t="s">
        <v>42</v>
      </c>
      <c r="I1764" s="0" t="s">
        <v>39</v>
      </c>
      <c r="J1764" s="0" t="n">
        <v>1.9</v>
      </c>
      <c r="K1764" s="0" t="s">
        <v>35</v>
      </c>
      <c r="L1764" s="0" t="n">
        <f aca="false">INDEX(Summary!$F$2:$F$201,MATCH($B1764,Summary!$A$2:$A$201,0))</f>
        <v>20</v>
      </c>
      <c r="M1764" s="0" t="n">
        <f aca="false">INDEX(Summary!$I$2:$I$201,MATCH($B1764,Summary!$A$2:$A$201,0))</f>
        <v>2</v>
      </c>
      <c r="N1764" s="0" t="n">
        <f aca="false">INDEX(Summary!$J$2:$J$201,MATCH($B1764,Summary!$A$2:$A$201,0))</f>
        <v>3</v>
      </c>
      <c r="O1764" s="2" t="n">
        <f aca="false">INDEX(Summary!$K$2:$K$201,MATCH($B1764,Summary!$A$2:$A$201,0))</f>
        <v>9.21</v>
      </c>
      <c r="P1764" s="3" t="n">
        <f aca="false">INDEX(Summary!$L$2:$L$201,MATCH($B1764,Summary!$A$2:$A$201,0))</f>
        <v>5</v>
      </c>
      <c r="Q1764" s="3" t="n">
        <f aca="false">INDEX(Summary!$M$2:$M$201,MATCH($B1764,Summary!$A$2:$A$201,0))</f>
        <v>1</v>
      </c>
      <c r="R1764" s="2" t="n">
        <f aca="false">INDEX(Summary!$N$2:$N$201,MATCH($B1764,Summary!$A$2:$A$201,0))</f>
        <v>9.34</v>
      </c>
      <c r="S1764" s="3" t="n">
        <f aca="false">INDEX(Summary!$O$2:$O$201,MATCH($B1764,Summary!$A$2:$A$201,0))</f>
        <v>7</v>
      </c>
      <c r="T1764" s="3" t="n">
        <f aca="false">INDEX(Summary!$P$2:$P$201,MATCH($B1764,Summary!$A$2:$A$201,0))</f>
        <v>2</v>
      </c>
      <c r="U1764" s="2" t="n">
        <f aca="false">INDEX(Summary!$Q$2:$Q$201,MATCH($B1764,Summary!$A$2:$A$201,0))</f>
        <v>14.06</v>
      </c>
      <c r="V1764" s="2" t="n">
        <f aca="false">INDEX(Summary!$R$2:$R$201,MATCH($B1764,Summary!$A$2:$A$201,0))</f>
        <v>25.23</v>
      </c>
      <c r="W1764" s="0" t="str">
        <f aca="false">INDEX(Summary!$S$2:$S$201,MATCH($B1764,Summary!$A$2:$A$201,0))</f>
        <v>Silver</v>
      </c>
      <c r="X1764" s="2" t="n">
        <f aca="false">INDEX(Summary!$T$2:$T$201,MATCH($B1764,Summary!$A$2:$A$201,0))</f>
        <v>61.54</v>
      </c>
      <c r="Y1764" s="0" t="str">
        <f aca="false">INDEX('Reward Model'!$E$18:$E$37,MATCH($E1764,'Reward Model'!$A$18:$A$37,0))</f>
        <v>Medium</v>
      </c>
      <c r="Z1764" s="4" t="n">
        <f aca="false">ROUND(MIN(1,MAX('Reward Model'!$B$2,INDEX('Reward Model'!$C$12:$C$14,MATCH($K1764,'Reward Model'!$A$12:$A$14,0))/$J1764)),3)</f>
        <v>0.789</v>
      </c>
      <c r="AA1764" s="2" t="n">
        <f aca="false">IF($I1764="Correct",ROUND(INDEX('Reward Model'!$B$12:$B$14,MATCH($K1764,'Reward Model'!$A$12:$A$14,0))*Z1764,2),0)</f>
        <v>0</v>
      </c>
      <c r="AB1764" s="2" t="n">
        <f aca="false">IF($I1764="Correct",ROUND(INDEX('Reward Model'!$B$12:$B$14,MATCH($Y1764,'Reward Model'!$A$12:$A$14,0))*Z1764,2),0)</f>
        <v>0</v>
      </c>
    </row>
    <row r="1765" customFormat="false" ht="15" hidden="false" customHeight="false" outlineLevel="0" collapsed="false">
      <c r="A1765" s="0" t="s">
        <v>306</v>
      </c>
      <c r="B1765" s="0" t="s">
        <v>307</v>
      </c>
      <c r="C1765" s="0" t="s">
        <v>30</v>
      </c>
      <c r="D1765" s="0" t="s">
        <v>275</v>
      </c>
      <c r="E1765" s="0" t="n">
        <v>4</v>
      </c>
      <c r="F1765" s="0" t="s">
        <v>43</v>
      </c>
      <c r="G1765" s="0" t="s">
        <v>45</v>
      </c>
      <c r="H1765" s="0" t="s">
        <v>45</v>
      </c>
      <c r="I1765" s="0" t="s">
        <v>34</v>
      </c>
      <c r="J1765" s="0" t="n">
        <v>1.02</v>
      </c>
      <c r="K1765" s="0" t="s">
        <v>35</v>
      </c>
      <c r="L1765" s="0" t="n">
        <f aca="false">INDEX(Summary!$F$2:$F$201,MATCH($B1765,Summary!$A$2:$A$201,0))</f>
        <v>20</v>
      </c>
      <c r="M1765" s="0" t="n">
        <f aca="false">INDEX(Summary!$I$2:$I$201,MATCH($B1765,Summary!$A$2:$A$201,0))</f>
        <v>2</v>
      </c>
      <c r="N1765" s="0" t="n">
        <f aca="false">INDEX(Summary!$J$2:$J$201,MATCH($B1765,Summary!$A$2:$A$201,0))</f>
        <v>3</v>
      </c>
      <c r="O1765" s="2" t="n">
        <f aca="false">INDEX(Summary!$K$2:$K$201,MATCH($B1765,Summary!$A$2:$A$201,0))</f>
        <v>9.21</v>
      </c>
      <c r="P1765" s="3" t="n">
        <f aca="false">INDEX(Summary!$L$2:$L$201,MATCH($B1765,Summary!$A$2:$A$201,0))</f>
        <v>5</v>
      </c>
      <c r="Q1765" s="3" t="n">
        <f aca="false">INDEX(Summary!$M$2:$M$201,MATCH($B1765,Summary!$A$2:$A$201,0))</f>
        <v>1</v>
      </c>
      <c r="R1765" s="2" t="n">
        <f aca="false">INDEX(Summary!$N$2:$N$201,MATCH($B1765,Summary!$A$2:$A$201,0))</f>
        <v>9.34</v>
      </c>
      <c r="S1765" s="3" t="n">
        <f aca="false">INDEX(Summary!$O$2:$O$201,MATCH($B1765,Summary!$A$2:$A$201,0))</f>
        <v>7</v>
      </c>
      <c r="T1765" s="3" t="n">
        <f aca="false">INDEX(Summary!$P$2:$P$201,MATCH($B1765,Summary!$A$2:$A$201,0))</f>
        <v>2</v>
      </c>
      <c r="U1765" s="2" t="n">
        <f aca="false">INDEX(Summary!$Q$2:$Q$201,MATCH($B1765,Summary!$A$2:$A$201,0))</f>
        <v>14.06</v>
      </c>
      <c r="V1765" s="2" t="n">
        <f aca="false">INDEX(Summary!$R$2:$R$201,MATCH($B1765,Summary!$A$2:$A$201,0))</f>
        <v>25.23</v>
      </c>
      <c r="W1765" s="0" t="str">
        <f aca="false">INDEX(Summary!$S$2:$S$201,MATCH($B1765,Summary!$A$2:$A$201,0))</f>
        <v>Silver</v>
      </c>
      <c r="X1765" s="2" t="n">
        <f aca="false">INDEX(Summary!$T$2:$T$201,MATCH($B1765,Summary!$A$2:$A$201,0))</f>
        <v>61.54</v>
      </c>
      <c r="Y1765" s="0" t="str">
        <f aca="false">INDEX('Reward Model'!$E$18:$E$37,MATCH($E1765,'Reward Model'!$A$18:$A$37,0))</f>
        <v>Low</v>
      </c>
      <c r="Z1765" s="4" t="n">
        <f aca="false">ROUND(MIN(1,MAX('Reward Model'!$B$2,INDEX('Reward Model'!$C$12:$C$14,MATCH($K1765,'Reward Model'!$A$12:$A$14,0))/$J1765)),3)</f>
        <v>1</v>
      </c>
      <c r="AA1765" s="2" t="n">
        <f aca="false">IF($I1765="Correct",ROUND(INDEX('Reward Model'!$B$12:$B$14,MATCH($K1765,'Reward Model'!$A$12:$A$14,0))*Z1765,2),0)</f>
        <v>1</v>
      </c>
      <c r="AB1765" s="2" t="n">
        <f aca="false">IF($I1765="Correct",ROUND(INDEX('Reward Model'!$B$12:$B$14,MATCH($Y1765,'Reward Model'!$A$12:$A$14,0))*Z1765,2),0)</f>
        <v>1</v>
      </c>
    </row>
    <row r="1766" customFormat="false" ht="15" hidden="false" customHeight="false" outlineLevel="0" collapsed="false">
      <c r="A1766" s="0" t="s">
        <v>306</v>
      </c>
      <c r="B1766" s="0" t="s">
        <v>307</v>
      </c>
      <c r="C1766" s="0" t="s">
        <v>30</v>
      </c>
      <c r="D1766" s="0" t="s">
        <v>275</v>
      </c>
      <c r="E1766" s="0" t="n">
        <v>5</v>
      </c>
      <c r="F1766" s="0" t="s">
        <v>46</v>
      </c>
      <c r="G1766" s="0" t="s">
        <v>149</v>
      </c>
      <c r="H1766" s="0" t="s">
        <v>47</v>
      </c>
      <c r="I1766" s="0" t="s">
        <v>39</v>
      </c>
      <c r="J1766" s="0" t="n">
        <v>0.97</v>
      </c>
      <c r="K1766" s="0" t="s">
        <v>35</v>
      </c>
      <c r="L1766" s="0" t="n">
        <f aca="false">INDEX(Summary!$F$2:$F$201,MATCH($B1766,Summary!$A$2:$A$201,0))</f>
        <v>20</v>
      </c>
      <c r="M1766" s="0" t="n">
        <f aca="false">INDEX(Summary!$I$2:$I$201,MATCH($B1766,Summary!$A$2:$A$201,0))</f>
        <v>2</v>
      </c>
      <c r="N1766" s="0" t="n">
        <f aca="false">INDEX(Summary!$J$2:$J$201,MATCH($B1766,Summary!$A$2:$A$201,0))</f>
        <v>3</v>
      </c>
      <c r="O1766" s="2" t="n">
        <f aca="false">INDEX(Summary!$K$2:$K$201,MATCH($B1766,Summary!$A$2:$A$201,0))</f>
        <v>9.21</v>
      </c>
      <c r="P1766" s="3" t="n">
        <f aca="false">INDEX(Summary!$L$2:$L$201,MATCH($B1766,Summary!$A$2:$A$201,0))</f>
        <v>5</v>
      </c>
      <c r="Q1766" s="3" t="n">
        <f aca="false">INDEX(Summary!$M$2:$M$201,MATCH($B1766,Summary!$A$2:$A$201,0))</f>
        <v>1</v>
      </c>
      <c r="R1766" s="2" t="n">
        <f aca="false">INDEX(Summary!$N$2:$N$201,MATCH($B1766,Summary!$A$2:$A$201,0))</f>
        <v>9.34</v>
      </c>
      <c r="S1766" s="3" t="n">
        <f aca="false">INDEX(Summary!$O$2:$O$201,MATCH($B1766,Summary!$A$2:$A$201,0))</f>
        <v>7</v>
      </c>
      <c r="T1766" s="3" t="n">
        <f aca="false">INDEX(Summary!$P$2:$P$201,MATCH($B1766,Summary!$A$2:$A$201,0))</f>
        <v>2</v>
      </c>
      <c r="U1766" s="2" t="n">
        <f aca="false">INDEX(Summary!$Q$2:$Q$201,MATCH($B1766,Summary!$A$2:$A$201,0))</f>
        <v>14.06</v>
      </c>
      <c r="V1766" s="2" t="n">
        <f aca="false">INDEX(Summary!$R$2:$R$201,MATCH($B1766,Summary!$A$2:$A$201,0))</f>
        <v>25.23</v>
      </c>
      <c r="W1766" s="0" t="str">
        <f aca="false">INDEX(Summary!$S$2:$S$201,MATCH($B1766,Summary!$A$2:$A$201,0))</f>
        <v>Silver</v>
      </c>
      <c r="X1766" s="2" t="n">
        <f aca="false">INDEX(Summary!$T$2:$T$201,MATCH($B1766,Summary!$A$2:$A$201,0))</f>
        <v>61.54</v>
      </c>
      <c r="Y1766" s="0" t="str">
        <f aca="false">INDEX('Reward Model'!$E$18:$E$37,MATCH($E1766,'Reward Model'!$A$18:$A$37,0))</f>
        <v>Low</v>
      </c>
      <c r="Z1766" s="4" t="n">
        <f aca="false">ROUND(MIN(1,MAX('Reward Model'!$B$2,INDEX('Reward Model'!$C$12:$C$14,MATCH($K1766,'Reward Model'!$A$12:$A$14,0))/$J1766)),3)</f>
        <v>1</v>
      </c>
      <c r="AA1766" s="2" t="n">
        <f aca="false">IF($I1766="Correct",ROUND(INDEX('Reward Model'!$B$12:$B$14,MATCH($K1766,'Reward Model'!$A$12:$A$14,0))*Z1766,2),0)</f>
        <v>0</v>
      </c>
      <c r="AB1766" s="2" t="n">
        <f aca="false">IF($I1766="Correct",ROUND(INDEX('Reward Model'!$B$12:$B$14,MATCH($Y1766,'Reward Model'!$A$12:$A$14,0))*Z1766,2),0)</f>
        <v>0</v>
      </c>
    </row>
    <row r="1767" customFormat="false" ht="15" hidden="false" customHeight="false" outlineLevel="0" collapsed="false">
      <c r="A1767" s="0" t="s">
        <v>306</v>
      </c>
      <c r="B1767" s="0" t="s">
        <v>307</v>
      </c>
      <c r="C1767" s="0" t="s">
        <v>30</v>
      </c>
      <c r="D1767" s="0" t="s">
        <v>275</v>
      </c>
      <c r="E1767" s="0" t="n">
        <v>6</v>
      </c>
      <c r="F1767" s="0" t="s">
        <v>48</v>
      </c>
      <c r="G1767" s="0" t="s">
        <v>49</v>
      </c>
      <c r="H1767" s="0" t="s">
        <v>49</v>
      </c>
      <c r="I1767" s="0" t="s">
        <v>34</v>
      </c>
      <c r="J1767" s="0" t="n">
        <v>1.54</v>
      </c>
      <c r="K1767" s="0" t="s">
        <v>35</v>
      </c>
      <c r="L1767" s="0" t="n">
        <f aca="false">INDEX(Summary!$F$2:$F$201,MATCH($B1767,Summary!$A$2:$A$201,0))</f>
        <v>20</v>
      </c>
      <c r="M1767" s="0" t="n">
        <f aca="false">INDEX(Summary!$I$2:$I$201,MATCH($B1767,Summary!$A$2:$A$201,0))</f>
        <v>2</v>
      </c>
      <c r="N1767" s="0" t="n">
        <f aca="false">INDEX(Summary!$J$2:$J$201,MATCH($B1767,Summary!$A$2:$A$201,0))</f>
        <v>3</v>
      </c>
      <c r="O1767" s="2" t="n">
        <f aca="false">INDEX(Summary!$K$2:$K$201,MATCH($B1767,Summary!$A$2:$A$201,0))</f>
        <v>9.21</v>
      </c>
      <c r="P1767" s="3" t="n">
        <f aca="false">INDEX(Summary!$L$2:$L$201,MATCH($B1767,Summary!$A$2:$A$201,0))</f>
        <v>5</v>
      </c>
      <c r="Q1767" s="3" t="n">
        <f aca="false">INDEX(Summary!$M$2:$M$201,MATCH($B1767,Summary!$A$2:$A$201,0))</f>
        <v>1</v>
      </c>
      <c r="R1767" s="2" t="n">
        <f aca="false">INDEX(Summary!$N$2:$N$201,MATCH($B1767,Summary!$A$2:$A$201,0))</f>
        <v>9.34</v>
      </c>
      <c r="S1767" s="3" t="n">
        <f aca="false">INDEX(Summary!$O$2:$O$201,MATCH($B1767,Summary!$A$2:$A$201,0))</f>
        <v>7</v>
      </c>
      <c r="T1767" s="3" t="n">
        <f aca="false">INDEX(Summary!$P$2:$P$201,MATCH($B1767,Summary!$A$2:$A$201,0))</f>
        <v>2</v>
      </c>
      <c r="U1767" s="2" t="n">
        <f aca="false">INDEX(Summary!$Q$2:$Q$201,MATCH($B1767,Summary!$A$2:$A$201,0))</f>
        <v>14.06</v>
      </c>
      <c r="V1767" s="2" t="n">
        <f aca="false">INDEX(Summary!$R$2:$R$201,MATCH($B1767,Summary!$A$2:$A$201,0))</f>
        <v>25.23</v>
      </c>
      <c r="W1767" s="0" t="str">
        <f aca="false">INDEX(Summary!$S$2:$S$201,MATCH($B1767,Summary!$A$2:$A$201,0))</f>
        <v>Silver</v>
      </c>
      <c r="X1767" s="2" t="n">
        <f aca="false">INDEX(Summary!$T$2:$T$201,MATCH($B1767,Summary!$A$2:$A$201,0))</f>
        <v>61.54</v>
      </c>
      <c r="Y1767" s="0" t="str">
        <f aca="false">INDEX('Reward Model'!$E$18:$E$37,MATCH($E1767,'Reward Model'!$A$18:$A$37,0))</f>
        <v>Medium</v>
      </c>
      <c r="Z1767" s="4" t="n">
        <f aca="false">ROUND(MIN(1,MAX('Reward Model'!$B$2,INDEX('Reward Model'!$C$12:$C$14,MATCH($K1767,'Reward Model'!$A$12:$A$14,0))/$J1767)),3)</f>
        <v>0.974</v>
      </c>
      <c r="AA1767" s="2" t="n">
        <f aca="false">IF($I1767="Correct",ROUND(INDEX('Reward Model'!$B$12:$B$14,MATCH($K1767,'Reward Model'!$A$12:$A$14,0))*Z1767,2),0)</f>
        <v>0.97</v>
      </c>
      <c r="AB1767" s="2" t="n">
        <f aca="false">IF($I1767="Correct",ROUND(INDEX('Reward Model'!$B$12:$B$14,MATCH($Y1767,'Reward Model'!$A$12:$A$14,0))*Z1767,2),0)</f>
        <v>1.95</v>
      </c>
    </row>
    <row r="1768" customFormat="false" ht="15" hidden="false" customHeight="false" outlineLevel="0" collapsed="false">
      <c r="A1768" s="0" t="s">
        <v>306</v>
      </c>
      <c r="B1768" s="0" t="s">
        <v>307</v>
      </c>
      <c r="C1768" s="0" t="s">
        <v>30</v>
      </c>
      <c r="D1768" s="0" t="s">
        <v>275</v>
      </c>
      <c r="E1768" s="0" t="n">
        <v>7</v>
      </c>
      <c r="F1768" s="0" t="s">
        <v>50</v>
      </c>
      <c r="G1768" s="0" t="s">
        <v>51</v>
      </c>
      <c r="H1768" s="0" t="s">
        <v>51</v>
      </c>
      <c r="I1768" s="0" t="s">
        <v>34</v>
      </c>
      <c r="J1768" s="0" t="n">
        <v>1.5</v>
      </c>
      <c r="K1768" s="0" t="s">
        <v>35</v>
      </c>
      <c r="L1768" s="0" t="n">
        <f aca="false">INDEX(Summary!$F$2:$F$201,MATCH($B1768,Summary!$A$2:$A$201,0))</f>
        <v>20</v>
      </c>
      <c r="M1768" s="0" t="n">
        <f aca="false">INDEX(Summary!$I$2:$I$201,MATCH($B1768,Summary!$A$2:$A$201,0))</f>
        <v>2</v>
      </c>
      <c r="N1768" s="0" t="n">
        <f aca="false">INDEX(Summary!$J$2:$J$201,MATCH($B1768,Summary!$A$2:$A$201,0))</f>
        <v>3</v>
      </c>
      <c r="O1768" s="2" t="n">
        <f aca="false">INDEX(Summary!$K$2:$K$201,MATCH($B1768,Summary!$A$2:$A$201,0))</f>
        <v>9.21</v>
      </c>
      <c r="P1768" s="3" t="n">
        <f aca="false">INDEX(Summary!$L$2:$L$201,MATCH($B1768,Summary!$A$2:$A$201,0))</f>
        <v>5</v>
      </c>
      <c r="Q1768" s="3" t="n">
        <f aca="false">INDEX(Summary!$M$2:$M$201,MATCH($B1768,Summary!$A$2:$A$201,0))</f>
        <v>1</v>
      </c>
      <c r="R1768" s="2" t="n">
        <f aca="false">INDEX(Summary!$N$2:$N$201,MATCH($B1768,Summary!$A$2:$A$201,0))</f>
        <v>9.34</v>
      </c>
      <c r="S1768" s="3" t="n">
        <f aca="false">INDEX(Summary!$O$2:$O$201,MATCH($B1768,Summary!$A$2:$A$201,0))</f>
        <v>7</v>
      </c>
      <c r="T1768" s="3" t="n">
        <f aca="false">INDEX(Summary!$P$2:$P$201,MATCH($B1768,Summary!$A$2:$A$201,0))</f>
        <v>2</v>
      </c>
      <c r="U1768" s="2" t="n">
        <f aca="false">INDEX(Summary!$Q$2:$Q$201,MATCH($B1768,Summary!$A$2:$A$201,0))</f>
        <v>14.06</v>
      </c>
      <c r="V1768" s="2" t="n">
        <f aca="false">INDEX(Summary!$R$2:$R$201,MATCH($B1768,Summary!$A$2:$A$201,0))</f>
        <v>25.23</v>
      </c>
      <c r="W1768" s="0" t="str">
        <f aca="false">INDEX(Summary!$S$2:$S$201,MATCH($B1768,Summary!$A$2:$A$201,0))</f>
        <v>Silver</v>
      </c>
      <c r="X1768" s="2" t="n">
        <f aca="false">INDEX(Summary!$T$2:$T$201,MATCH($B1768,Summary!$A$2:$A$201,0))</f>
        <v>61.54</v>
      </c>
      <c r="Y1768" s="0" t="str">
        <f aca="false">INDEX('Reward Model'!$E$18:$E$37,MATCH($E1768,'Reward Model'!$A$18:$A$37,0))</f>
        <v>Low</v>
      </c>
      <c r="Z1768" s="4" t="n">
        <f aca="false">ROUND(MIN(1,MAX('Reward Model'!$B$2,INDEX('Reward Model'!$C$12:$C$14,MATCH($K1768,'Reward Model'!$A$12:$A$14,0))/$J1768)),3)</f>
        <v>1</v>
      </c>
      <c r="AA1768" s="2" t="n">
        <f aca="false">IF($I1768="Correct",ROUND(INDEX('Reward Model'!$B$12:$B$14,MATCH($K1768,'Reward Model'!$A$12:$A$14,0))*Z1768,2),0)</f>
        <v>1</v>
      </c>
      <c r="AB1768" s="2" t="n">
        <f aca="false">IF($I1768="Correct",ROUND(INDEX('Reward Model'!$B$12:$B$14,MATCH($Y1768,'Reward Model'!$A$12:$A$14,0))*Z1768,2),0)</f>
        <v>1</v>
      </c>
    </row>
    <row r="1769" customFormat="false" ht="15" hidden="false" customHeight="false" outlineLevel="0" collapsed="false">
      <c r="A1769" s="0" t="s">
        <v>306</v>
      </c>
      <c r="B1769" s="0" t="s">
        <v>307</v>
      </c>
      <c r="C1769" s="0" t="s">
        <v>30</v>
      </c>
      <c r="D1769" s="0" t="s">
        <v>275</v>
      </c>
      <c r="E1769" s="0" t="n">
        <v>8</v>
      </c>
      <c r="F1769" s="0" t="s">
        <v>52</v>
      </c>
      <c r="G1769" s="0" t="s">
        <v>54</v>
      </c>
      <c r="H1769" s="0" t="s">
        <v>54</v>
      </c>
      <c r="I1769" s="0" t="s">
        <v>34</v>
      </c>
      <c r="J1769" s="0" t="n">
        <v>1.94</v>
      </c>
      <c r="K1769" s="0" t="s">
        <v>35</v>
      </c>
      <c r="L1769" s="0" t="n">
        <f aca="false">INDEX(Summary!$F$2:$F$201,MATCH($B1769,Summary!$A$2:$A$201,0))</f>
        <v>20</v>
      </c>
      <c r="M1769" s="0" t="n">
        <f aca="false">INDEX(Summary!$I$2:$I$201,MATCH($B1769,Summary!$A$2:$A$201,0))</f>
        <v>2</v>
      </c>
      <c r="N1769" s="0" t="n">
        <f aca="false">INDEX(Summary!$J$2:$J$201,MATCH($B1769,Summary!$A$2:$A$201,0))</f>
        <v>3</v>
      </c>
      <c r="O1769" s="2" t="n">
        <f aca="false">INDEX(Summary!$K$2:$K$201,MATCH($B1769,Summary!$A$2:$A$201,0))</f>
        <v>9.21</v>
      </c>
      <c r="P1769" s="3" t="n">
        <f aca="false">INDEX(Summary!$L$2:$L$201,MATCH($B1769,Summary!$A$2:$A$201,0))</f>
        <v>5</v>
      </c>
      <c r="Q1769" s="3" t="n">
        <f aca="false">INDEX(Summary!$M$2:$M$201,MATCH($B1769,Summary!$A$2:$A$201,0))</f>
        <v>1</v>
      </c>
      <c r="R1769" s="2" t="n">
        <f aca="false">INDEX(Summary!$N$2:$N$201,MATCH($B1769,Summary!$A$2:$A$201,0))</f>
        <v>9.34</v>
      </c>
      <c r="S1769" s="3" t="n">
        <f aca="false">INDEX(Summary!$O$2:$O$201,MATCH($B1769,Summary!$A$2:$A$201,0))</f>
        <v>7</v>
      </c>
      <c r="T1769" s="3" t="n">
        <f aca="false">INDEX(Summary!$P$2:$P$201,MATCH($B1769,Summary!$A$2:$A$201,0))</f>
        <v>2</v>
      </c>
      <c r="U1769" s="2" t="n">
        <f aca="false">INDEX(Summary!$Q$2:$Q$201,MATCH($B1769,Summary!$A$2:$A$201,0))</f>
        <v>14.06</v>
      </c>
      <c r="V1769" s="2" t="n">
        <f aca="false">INDEX(Summary!$R$2:$R$201,MATCH($B1769,Summary!$A$2:$A$201,0))</f>
        <v>25.23</v>
      </c>
      <c r="W1769" s="0" t="str">
        <f aca="false">INDEX(Summary!$S$2:$S$201,MATCH($B1769,Summary!$A$2:$A$201,0))</f>
        <v>Silver</v>
      </c>
      <c r="X1769" s="2" t="n">
        <f aca="false">INDEX(Summary!$T$2:$T$201,MATCH($B1769,Summary!$A$2:$A$201,0))</f>
        <v>61.54</v>
      </c>
      <c r="Y1769" s="0" t="str">
        <f aca="false">INDEX('Reward Model'!$E$18:$E$37,MATCH($E1769,'Reward Model'!$A$18:$A$37,0))</f>
        <v>Medium</v>
      </c>
      <c r="Z1769" s="4" t="n">
        <f aca="false">ROUND(MIN(1,MAX('Reward Model'!$B$2,INDEX('Reward Model'!$C$12:$C$14,MATCH($K1769,'Reward Model'!$A$12:$A$14,0))/$J1769)),3)</f>
        <v>0.773</v>
      </c>
      <c r="AA1769" s="2" t="n">
        <f aca="false">IF($I1769="Correct",ROUND(INDEX('Reward Model'!$B$12:$B$14,MATCH($K1769,'Reward Model'!$A$12:$A$14,0))*Z1769,2),0)</f>
        <v>0.77</v>
      </c>
      <c r="AB1769" s="2" t="n">
        <f aca="false">IF($I1769="Correct",ROUND(INDEX('Reward Model'!$B$12:$B$14,MATCH($Y1769,'Reward Model'!$A$12:$A$14,0))*Z1769,2),0)</f>
        <v>1.55</v>
      </c>
    </row>
    <row r="1770" customFormat="false" ht="15" hidden="false" customHeight="false" outlineLevel="0" collapsed="false">
      <c r="A1770" s="0" t="s">
        <v>306</v>
      </c>
      <c r="B1770" s="0" t="s">
        <v>307</v>
      </c>
      <c r="C1770" s="0" t="s">
        <v>30</v>
      </c>
      <c r="D1770" s="0" t="s">
        <v>275</v>
      </c>
      <c r="E1770" s="0" t="n">
        <v>9</v>
      </c>
      <c r="F1770" s="0" t="s">
        <v>55</v>
      </c>
      <c r="G1770" s="0" t="s">
        <v>57</v>
      </c>
      <c r="H1770" s="0" t="s">
        <v>57</v>
      </c>
      <c r="I1770" s="0" t="s">
        <v>34</v>
      </c>
      <c r="J1770" s="0" t="n">
        <v>1.42</v>
      </c>
      <c r="K1770" s="0" t="s">
        <v>35</v>
      </c>
      <c r="L1770" s="0" t="n">
        <f aca="false">INDEX(Summary!$F$2:$F$201,MATCH($B1770,Summary!$A$2:$A$201,0))</f>
        <v>20</v>
      </c>
      <c r="M1770" s="0" t="n">
        <f aca="false">INDEX(Summary!$I$2:$I$201,MATCH($B1770,Summary!$A$2:$A$201,0))</f>
        <v>2</v>
      </c>
      <c r="N1770" s="0" t="n">
        <f aca="false">INDEX(Summary!$J$2:$J$201,MATCH($B1770,Summary!$A$2:$A$201,0))</f>
        <v>3</v>
      </c>
      <c r="O1770" s="2" t="n">
        <f aca="false">INDEX(Summary!$K$2:$K$201,MATCH($B1770,Summary!$A$2:$A$201,0))</f>
        <v>9.21</v>
      </c>
      <c r="P1770" s="3" t="n">
        <f aca="false">INDEX(Summary!$L$2:$L$201,MATCH($B1770,Summary!$A$2:$A$201,0))</f>
        <v>5</v>
      </c>
      <c r="Q1770" s="3" t="n">
        <f aca="false">INDEX(Summary!$M$2:$M$201,MATCH($B1770,Summary!$A$2:$A$201,0))</f>
        <v>1</v>
      </c>
      <c r="R1770" s="2" t="n">
        <f aca="false">INDEX(Summary!$N$2:$N$201,MATCH($B1770,Summary!$A$2:$A$201,0))</f>
        <v>9.34</v>
      </c>
      <c r="S1770" s="3" t="n">
        <f aca="false">INDEX(Summary!$O$2:$O$201,MATCH($B1770,Summary!$A$2:$A$201,0))</f>
        <v>7</v>
      </c>
      <c r="T1770" s="3" t="n">
        <f aca="false">INDEX(Summary!$P$2:$P$201,MATCH($B1770,Summary!$A$2:$A$201,0))</f>
        <v>2</v>
      </c>
      <c r="U1770" s="2" t="n">
        <f aca="false">INDEX(Summary!$Q$2:$Q$201,MATCH($B1770,Summary!$A$2:$A$201,0))</f>
        <v>14.06</v>
      </c>
      <c r="V1770" s="2" t="n">
        <f aca="false">INDEX(Summary!$R$2:$R$201,MATCH($B1770,Summary!$A$2:$A$201,0))</f>
        <v>25.23</v>
      </c>
      <c r="W1770" s="0" t="str">
        <f aca="false">INDEX(Summary!$S$2:$S$201,MATCH($B1770,Summary!$A$2:$A$201,0))</f>
        <v>Silver</v>
      </c>
      <c r="X1770" s="2" t="n">
        <f aca="false">INDEX(Summary!$T$2:$T$201,MATCH($B1770,Summary!$A$2:$A$201,0))</f>
        <v>61.54</v>
      </c>
      <c r="Y1770" s="0" t="str">
        <f aca="false">INDEX('Reward Model'!$E$18:$E$37,MATCH($E1770,'Reward Model'!$A$18:$A$37,0))</f>
        <v>Medium</v>
      </c>
      <c r="Z1770" s="4" t="n">
        <f aca="false">ROUND(MIN(1,MAX('Reward Model'!$B$2,INDEX('Reward Model'!$C$12:$C$14,MATCH($K1770,'Reward Model'!$A$12:$A$14,0))/$J1770)),3)</f>
        <v>1</v>
      </c>
      <c r="AA1770" s="2" t="n">
        <f aca="false">IF($I1770="Correct",ROUND(INDEX('Reward Model'!$B$12:$B$14,MATCH($K1770,'Reward Model'!$A$12:$A$14,0))*Z1770,2),0)</f>
        <v>1</v>
      </c>
      <c r="AB1770" s="2" t="n">
        <f aca="false">IF($I1770="Correct",ROUND(INDEX('Reward Model'!$B$12:$B$14,MATCH($Y1770,'Reward Model'!$A$12:$A$14,0))*Z1770,2),0)</f>
        <v>2</v>
      </c>
    </row>
    <row r="1771" customFormat="false" ht="15" hidden="false" customHeight="false" outlineLevel="0" collapsed="false">
      <c r="A1771" s="0" t="s">
        <v>306</v>
      </c>
      <c r="B1771" s="0" t="s">
        <v>307</v>
      </c>
      <c r="C1771" s="0" t="s">
        <v>30</v>
      </c>
      <c r="D1771" s="0" t="s">
        <v>275</v>
      </c>
      <c r="E1771" s="0" t="n">
        <v>10</v>
      </c>
      <c r="F1771" s="0" t="s">
        <v>58</v>
      </c>
      <c r="G1771" s="0" t="s">
        <v>59</v>
      </c>
      <c r="H1771" s="0" t="s">
        <v>59</v>
      </c>
      <c r="I1771" s="0" t="s">
        <v>34</v>
      </c>
      <c r="J1771" s="0" t="n">
        <v>1.7</v>
      </c>
      <c r="K1771" s="0" t="s">
        <v>60</v>
      </c>
      <c r="L1771" s="0" t="n">
        <f aca="false">INDEX(Summary!$F$2:$F$201,MATCH($B1771,Summary!$A$2:$A$201,0))</f>
        <v>20</v>
      </c>
      <c r="M1771" s="0" t="n">
        <f aca="false">INDEX(Summary!$I$2:$I$201,MATCH($B1771,Summary!$A$2:$A$201,0))</f>
        <v>2</v>
      </c>
      <c r="N1771" s="0" t="n">
        <f aca="false">INDEX(Summary!$J$2:$J$201,MATCH($B1771,Summary!$A$2:$A$201,0))</f>
        <v>3</v>
      </c>
      <c r="O1771" s="2" t="n">
        <f aca="false">INDEX(Summary!$K$2:$K$201,MATCH($B1771,Summary!$A$2:$A$201,0))</f>
        <v>9.21</v>
      </c>
      <c r="P1771" s="3" t="n">
        <f aca="false">INDEX(Summary!$L$2:$L$201,MATCH($B1771,Summary!$A$2:$A$201,0))</f>
        <v>5</v>
      </c>
      <c r="Q1771" s="3" t="n">
        <f aca="false">INDEX(Summary!$M$2:$M$201,MATCH($B1771,Summary!$A$2:$A$201,0))</f>
        <v>1</v>
      </c>
      <c r="R1771" s="2" t="n">
        <f aca="false">INDEX(Summary!$N$2:$N$201,MATCH($B1771,Summary!$A$2:$A$201,0))</f>
        <v>9.34</v>
      </c>
      <c r="S1771" s="3" t="n">
        <f aca="false">INDEX(Summary!$O$2:$O$201,MATCH($B1771,Summary!$A$2:$A$201,0))</f>
        <v>7</v>
      </c>
      <c r="T1771" s="3" t="n">
        <f aca="false">INDEX(Summary!$P$2:$P$201,MATCH($B1771,Summary!$A$2:$A$201,0))</f>
        <v>2</v>
      </c>
      <c r="U1771" s="2" t="n">
        <f aca="false">INDEX(Summary!$Q$2:$Q$201,MATCH($B1771,Summary!$A$2:$A$201,0))</f>
        <v>14.06</v>
      </c>
      <c r="V1771" s="2" t="n">
        <f aca="false">INDEX(Summary!$R$2:$R$201,MATCH($B1771,Summary!$A$2:$A$201,0))</f>
        <v>25.23</v>
      </c>
      <c r="W1771" s="0" t="str">
        <f aca="false">INDEX(Summary!$S$2:$S$201,MATCH($B1771,Summary!$A$2:$A$201,0))</f>
        <v>Silver</v>
      </c>
      <c r="X1771" s="2" t="n">
        <f aca="false">INDEX(Summary!$T$2:$T$201,MATCH($B1771,Summary!$A$2:$A$201,0))</f>
        <v>61.54</v>
      </c>
      <c r="Y1771" s="0" t="str">
        <f aca="false">INDEX('Reward Model'!$E$18:$E$37,MATCH($E1771,'Reward Model'!$A$18:$A$37,0))</f>
        <v>Medium</v>
      </c>
      <c r="Z1771" s="4" t="n">
        <f aca="false">ROUND(MIN(1,MAX('Reward Model'!$B$2,INDEX('Reward Model'!$C$12:$C$14,MATCH($K1771,'Reward Model'!$A$12:$A$14,0))/$J1771)),3)</f>
        <v>1</v>
      </c>
      <c r="AA1771" s="2" t="n">
        <f aca="false">IF($I1771="Correct",ROUND(INDEX('Reward Model'!$B$12:$B$14,MATCH($K1771,'Reward Model'!$A$12:$A$14,0))*Z1771,2),0)</f>
        <v>2</v>
      </c>
      <c r="AB1771" s="2" t="n">
        <f aca="false">IF($I1771="Correct",ROUND(INDEX('Reward Model'!$B$12:$B$14,MATCH($Y1771,'Reward Model'!$A$12:$A$14,0))*Z1771,2),0)</f>
        <v>2</v>
      </c>
    </row>
    <row r="1772" customFormat="false" ht="15" hidden="false" customHeight="false" outlineLevel="0" collapsed="false">
      <c r="A1772" s="0" t="s">
        <v>306</v>
      </c>
      <c r="B1772" s="0" t="s">
        <v>307</v>
      </c>
      <c r="C1772" s="0" t="s">
        <v>30</v>
      </c>
      <c r="D1772" s="0" t="s">
        <v>275</v>
      </c>
      <c r="E1772" s="0" t="n">
        <v>11</v>
      </c>
      <c r="F1772" s="0" t="s">
        <v>61</v>
      </c>
      <c r="G1772" s="0" t="s">
        <v>63</v>
      </c>
      <c r="H1772" s="0" t="s">
        <v>63</v>
      </c>
      <c r="I1772" s="0" t="s">
        <v>34</v>
      </c>
      <c r="J1772" s="0" t="n">
        <v>1.27</v>
      </c>
      <c r="K1772" s="0" t="s">
        <v>60</v>
      </c>
      <c r="L1772" s="0" t="n">
        <f aca="false">INDEX(Summary!$F$2:$F$201,MATCH($B1772,Summary!$A$2:$A$201,0))</f>
        <v>20</v>
      </c>
      <c r="M1772" s="0" t="n">
        <f aca="false">INDEX(Summary!$I$2:$I$201,MATCH($B1772,Summary!$A$2:$A$201,0))</f>
        <v>2</v>
      </c>
      <c r="N1772" s="0" t="n">
        <f aca="false">INDEX(Summary!$J$2:$J$201,MATCH($B1772,Summary!$A$2:$A$201,0))</f>
        <v>3</v>
      </c>
      <c r="O1772" s="2" t="n">
        <f aca="false">INDEX(Summary!$K$2:$K$201,MATCH($B1772,Summary!$A$2:$A$201,0))</f>
        <v>9.21</v>
      </c>
      <c r="P1772" s="3" t="n">
        <f aca="false">INDEX(Summary!$L$2:$L$201,MATCH($B1772,Summary!$A$2:$A$201,0))</f>
        <v>5</v>
      </c>
      <c r="Q1772" s="3" t="n">
        <f aca="false">INDEX(Summary!$M$2:$M$201,MATCH($B1772,Summary!$A$2:$A$201,0))</f>
        <v>1</v>
      </c>
      <c r="R1772" s="2" t="n">
        <f aca="false">INDEX(Summary!$N$2:$N$201,MATCH($B1772,Summary!$A$2:$A$201,0))</f>
        <v>9.34</v>
      </c>
      <c r="S1772" s="3" t="n">
        <f aca="false">INDEX(Summary!$O$2:$O$201,MATCH($B1772,Summary!$A$2:$A$201,0))</f>
        <v>7</v>
      </c>
      <c r="T1772" s="3" t="n">
        <f aca="false">INDEX(Summary!$P$2:$P$201,MATCH($B1772,Summary!$A$2:$A$201,0))</f>
        <v>2</v>
      </c>
      <c r="U1772" s="2" t="n">
        <f aca="false">INDEX(Summary!$Q$2:$Q$201,MATCH($B1772,Summary!$A$2:$A$201,0))</f>
        <v>14.06</v>
      </c>
      <c r="V1772" s="2" t="n">
        <f aca="false">INDEX(Summary!$R$2:$R$201,MATCH($B1772,Summary!$A$2:$A$201,0))</f>
        <v>25.23</v>
      </c>
      <c r="W1772" s="0" t="str">
        <f aca="false">INDEX(Summary!$S$2:$S$201,MATCH($B1772,Summary!$A$2:$A$201,0))</f>
        <v>Silver</v>
      </c>
      <c r="X1772" s="2" t="n">
        <f aca="false">INDEX(Summary!$T$2:$T$201,MATCH($B1772,Summary!$A$2:$A$201,0))</f>
        <v>61.54</v>
      </c>
      <c r="Y1772" s="0" t="str">
        <f aca="false">INDEX('Reward Model'!$E$18:$E$37,MATCH($E1772,'Reward Model'!$A$18:$A$37,0))</f>
        <v>Medium</v>
      </c>
      <c r="Z1772" s="4" t="n">
        <f aca="false">ROUND(MIN(1,MAX('Reward Model'!$B$2,INDEX('Reward Model'!$C$12:$C$14,MATCH($K1772,'Reward Model'!$A$12:$A$14,0))/$J1772)),3)</f>
        <v>1</v>
      </c>
      <c r="AA1772" s="2" t="n">
        <f aca="false">IF($I1772="Correct",ROUND(INDEX('Reward Model'!$B$12:$B$14,MATCH($K1772,'Reward Model'!$A$12:$A$14,0))*Z1772,2),0)</f>
        <v>2</v>
      </c>
      <c r="AB1772" s="2" t="n">
        <f aca="false">IF($I1772="Correct",ROUND(INDEX('Reward Model'!$B$12:$B$14,MATCH($Y1772,'Reward Model'!$A$12:$A$14,0))*Z1772,2),0)</f>
        <v>2</v>
      </c>
    </row>
    <row r="1773" customFormat="false" ht="15" hidden="false" customHeight="false" outlineLevel="0" collapsed="false">
      <c r="A1773" s="0" t="s">
        <v>306</v>
      </c>
      <c r="B1773" s="0" t="s">
        <v>307</v>
      </c>
      <c r="C1773" s="0" t="s">
        <v>30</v>
      </c>
      <c r="D1773" s="0" t="s">
        <v>275</v>
      </c>
      <c r="E1773" s="0" t="n">
        <v>12</v>
      </c>
      <c r="F1773" s="0" t="s">
        <v>64</v>
      </c>
      <c r="G1773" s="0" t="s">
        <v>65</v>
      </c>
      <c r="H1773" s="0" t="s">
        <v>65</v>
      </c>
      <c r="I1773" s="0" t="s">
        <v>34</v>
      </c>
      <c r="J1773" s="0" t="n">
        <v>1.58</v>
      </c>
      <c r="K1773" s="0" t="s">
        <v>60</v>
      </c>
      <c r="L1773" s="0" t="n">
        <f aca="false">INDEX(Summary!$F$2:$F$201,MATCH($B1773,Summary!$A$2:$A$201,0))</f>
        <v>20</v>
      </c>
      <c r="M1773" s="0" t="n">
        <f aca="false">INDEX(Summary!$I$2:$I$201,MATCH($B1773,Summary!$A$2:$A$201,0))</f>
        <v>2</v>
      </c>
      <c r="N1773" s="0" t="n">
        <f aca="false">INDEX(Summary!$J$2:$J$201,MATCH($B1773,Summary!$A$2:$A$201,0))</f>
        <v>3</v>
      </c>
      <c r="O1773" s="2" t="n">
        <f aca="false">INDEX(Summary!$K$2:$K$201,MATCH($B1773,Summary!$A$2:$A$201,0))</f>
        <v>9.21</v>
      </c>
      <c r="P1773" s="3" t="n">
        <f aca="false">INDEX(Summary!$L$2:$L$201,MATCH($B1773,Summary!$A$2:$A$201,0))</f>
        <v>5</v>
      </c>
      <c r="Q1773" s="3" t="n">
        <f aca="false">INDEX(Summary!$M$2:$M$201,MATCH($B1773,Summary!$A$2:$A$201,0))</f>
        <v>1</v>
      </c>
      <c r="R1773" s="2" t="n">
        <f aca="false">INDEX(Summary!$N$2:$N$201,MATCH($B1773,Summary!$A$2:$A$201,0))</f>
        <v>9.34</v>
      </c>
      <c r="S1773" s="3" t="n">
        <f aca="false">INDEX(Summary!$O$2:$O$201,MATCH($B1773,Summary!$A$2:$A$201,0))</f>
        <v>7</v>
      </c>
      <c r="T1773" s="3" t="n">
        <f aca="false">INDEX(Summary!$P$2:$P$201,MATCH($B1773,Summary!$A$2:$A$201,0))</f>
        <v>2</v>
      </c>
      <c r="U1773" s="2" t="n">
        <f aca="false">INDEX(Summary!$Q$2:$Q$201,MATCH($B1773,Summary!$A$2:$A$201,0))</f>
        <v>14.06</v>
      </c>
      <c r="V1773" s="2" t="n">
        <f aca="false">INDEX(Summary!$R$2:$R$201,MATCH($B1773,Summary!$A$2:$A$201,0))</f>
        <v>25.23</v>
      </c>
      <c r="W1773" s="0" t="str">
        <f aca="false">INDEX(Summary!$S$2:$S$201,MATCH($B1773,Summary!$A$2:$A$201,0))</f>
        <v>Silver</v>
      </c>
      <c r="X1773" s="2" t="n">
        <f aca="false">INDEX(Summary!$T$2:$T$201,MATCH($B1773,Summary!$A$2:$A$201,0))</f>
        <v>61.54</v>
      </c>
      <c r="Y1773" s="0" t="str">
        <f aca="false">INDEX('Reward Model'!$E$18:$E$37,MATCH($E1773,'Reward Model'!$A$18:$A$37,0))</f>
        <v>Medium</v>
      </c>
      <c r="Z1773" s="4" t="n">
        <f aca="false">ROUND(MIN(1,MAX('Reward Model'!$B$2,INDEX('Reward Model'!$C$12:$C$14,MATCH($K1773,'Reward Model'!$A$12:$A$14,0))/$J1773)),3)</f>
        <v>1</v>
      </c>
      <c r="AA1773" s="2" t="n">
        <f aca="false">IF($I1773="Correct",ROUND(INDEX('Reward Model'!$B$12:$B$14,MATCH($K1773,'Reward Model'!$A$12:$A$14,0))*Z1773,2),0)</f>
        <v>2</v>
      </c>
      <c r="AB1773" s="2" t="n">
        <f aca="false">IF($I1773="Correct",ROUND(INDEX('Reward Model'!$B$12:$B$14,MATCH($Y1773,'Reward Model'!$A$12:$A$14,0))*Z1773,2),0)</f>
        <v>2</v>
      </c>
    </row>
    <row r="1774" customFormat="false" ht="15" hidden="false" customHeight="false" outlineLevel="0" collapsed="false">
      <c r="A1774" s="0" t="s">
        <v>306</v>
      </c>
      <c r="B1774" s="0" t="s">
        <v>307</v>
      </c>
      <c r="C1774" s="0" t="s">
        <v>30</v>
      </c>
      <c r="D1774" s="0" t="s">
        <v>275</v>
      </c>
      <c r="E1774" s="0" t="n">
        <v>13</v>
      </c>
      <c r="F1774" s="0" t="s">
        <v>66</v>
      </c>
      <c r="G1774" s="0" t="s">
        <v>67</v>
      </c>
      <c r="H1774" s="0" t="s">
        <v>67</v>
      </c>
      <c r="I1774" s="0" t="s">
        <v>34</v>
      </c>
      <c r="J1774" s="0" t="n">
        <v>1.63</v>
      </c>
      <c r="K1774" s="0" t="s">
        <v>60</v>
      </c>
      <c r="L1774" s="0" t="n">
        <f aca="false">INDEX(Summary!$F$2:$F$201,MATCH($B1774,Summary!$A$2:$A$201,0))</f>
        <v>20</v>
      </c>
      <c r="M1774" s="0" t="n">
        <f aca="false">INDEX(Summary!$I$2:$I$201,MATCH($B1774,Summary!$A$2:$A$201,0))</f>
        <v>2</v>
      </c>
      <c r="N1774" s="0" t="n">
        <f aca="false">INDEX(Summary!$J$2:$J$201,MATCH($B1774,Summary!$A$2:$A$201,0))</f>
        <v>3</v>
      </c>
      <c r="O1774" s="2" t="n">
        <f aca="false">INDEX(Summary!$K$2:$K$201,MATCH($B1774,Summary!$A$2:$A$201,0))</f>
        <v>9.21</v>
      </c>
      <c r="P1774" s="3" t="n">
        <f aca="false">INDEX(Summary!$L$2:$L$201,MATCH($B1774,Summary!$A$2:$A$201,0))</f>
        <v>5</v>
      </c>
      <c r="Q1774" s="3" t="n">
        <f aca="false">INDEX(Summary!$M$2:$M$201,MATCH($B1774,Summary!$A$2:$A$201,0))</f>
        <v>1</v>
      </c>
      <c r="R1774" s="2" t="n">
        <f aca="false">INDEX(Summary!$N$2:$N$201,MATCH($B1774,Summary!$A$2:$A$201,0))</f>
        <v>9.34</v>
      </c>
      <c r="S1774" s="3" t="n">
        <f aca="false">INDEX(Summary!$O$2:$O$201,MATCH($B1774,Summary!$A$2:$A$201,0))</f>
        <v>7</v>
      </c>
      <c r="T1774" s="3" t="n">
        <f aca="false">INDEX(Summary!$P$2:$P$201,MATCH($B1774,Summary!$A$2:$A$201,0))</f>
        <v>2</v>
      </c>
      <c r="U1774" s="2" t="n">
        <f aca="false">INDEX(Summary!$Q$2:$Q$201,MATCH($B1774,Summary!$A$2:$A$201,0))</f>
        <v>14.06</v>
      </c>
      <c r="V1774" s="2" t="n">
        <f aca="false">INDEX(Summary!$R$2:$R$201,MATCH($B1774,Summary!$A$2:$A$201,0))</f>
        <v>25.23</v>
      </c>
      <c r="W1774" s="0" t="str">
        <f aca="false">INDEX(Summary!$S$2:$S$201,MATCH($B1774,Summary!$A$2:$A$201,0))</f>
        <v>Silver</v>
      </c>
      <c r="X1774" s="2" t="n">
        <f aca="false">INDEX(Summary!$T$2:$T$201,MATCH($B1774,Summary!$A$2:$A$201,0))</f>
        <v>61.54</v>
      </c>
      <c r="Y1774" s="0" t="str">
        <f aca="false">INDEX('Reward Model'!$E$18:$E$37,MATCH($E1774,'Reward Model'!$A$18:$A$37,0))</f>
        <v>Medium</v>
      </c>
      <c r="Z1774" s="4" t="n">
        <f aca="false">ROUND(MIN(1,MAX('Reward Model'!$B$2,INDEX('Reward Model'!$C$12:$C$14,MATCH($K1774,'Reward Model'!$A$12:$A$14,0))/$J1774)),3)</f>
        <v>1</v>
      </c>
      <c r="AA1774" s="2" t="n">
        <f aca="false">IF($I1774="Correct",ROUND(INDEX('Reward Model'!$B$12:$B$14,MATCH($K1774,'Reward Model'!$A$12:$A$14,0))*Z1774,2),0)</f>
        <v>2</v>
      </c>
      <c r="AB1774" s="2" t="n">
        <f aca="false">IF($I1774="Correct",ROUND(INDEX('Reward Model'!$B$12:$B$14,MATCH($Y1774,'Reward Model'!$A$12:$A$14,0))*Z1774,2),0)</f>
        <v>2</v>
      </c>
    </row>
    <row r="1775" customFormat="false" ht="15" hidden="false" customHeight="false" outlineLevel="0" collapsed="false">
      <c r="A1775" s="0" t="s">
        <v>306</v>
      </c>
      <c r="B1775" s="0" t="s">
        <v>307</v>
      </c>
      <c r="C1775" s="0" t="s">
        <v>30</v>
      </c>
      <c r="D1775" s="0" t="s">
        <v>275</v>
      </c>
      <c r="E1775" s="0" t="n">
        <v>14</v>
      </c>
      <c r="F1775" s="0" t="s">
        <v>68</v>
      </c>
      <c r="G1775" s="0" t="s">
        <v>51</v>
      </c>
      <c r="H1775" s="0" t="s">
        <v>51</v>
      </c>
      <c r="I1775" s="0" t="s">
        <v>34</v>
      </c>
      <c r="J1775" s="0" t="n">
        <v>1.61</v>
      </c>
      <c r="K1775" s="0" t="s">
        <v>60</v>
      </c>
      <c r="L1775" s="0" t="n">
        <f aca="false">INDEX(Summary!$F$2:$F$201,MATCH($B1775,Summary!$A$2:$A$201,0))</f>
        <v>20</v>
      </c>
      <c r="M1775" s="0" t="n">
        <f aca="false">INDEX(Summary!$I$2:$I$201,MATCH($B1775,Summary!$A$2:$A$201,0))</f>
        <v>2</v>
      </c>
      <c r="N1775" s="0" t="n">
        <f aca="false">INDEX(Summary!$J$2:$J$201,MATCH($B1775,Summary!$A$2:$A$201,0))</f>
        <v>3</v>
      </c>
      <c r="O1775" s="2" t="n">
        <f aca="false">INDEX(Summary!$K$2:$K$201,MATCH($B1775,Summary!$A$2:$A$201,0))</f>
        <v>9.21</v>
      </c>
      <c r="P1775" s="3" t="n">
        <f aca="false">INDEX(Summary!$L$2:$L$201,MATCH($B1775,Summary!$A$2:$A$201,0))</f>
        <v>5</v>
      </c>
      <c r="Q1775" s="3" t="n">
        <f aca="false">INDEX(Summary!$M$2:$M$201,MATCH($B1775,Summary!$A$2:$A$201,0))</f>
        <v>1</v>
      </c>
      <c r="R1775" s="2" t="n">
        <f aca="false">INDEX(Summary!$N$2:$N$201,MATCH($B1775,Summary!$A$2:$A$201,0))</f>
        <v>9.34</v>
      </c>
      <c r="S1775" s="3" t="n">
        <f aca="false">INDEX(Summary!$O$2:$O$201,MATCH($B1775,Summary!$A$2:$A$201,0))</f>
        <v>7</v>
      </c>
      <c r="T1775" s="3" t="n">
        <f aca="false">INDEX(Summary!$P$2:$P$201,MATCH($B1775,Summary!$A$2:$A$201,0))</f>
        <v>2</v>
      </c>
      <c r="U1775" s="2" t="n">
        <f aca="false">INDEX(Summary!$Q$2:$Q$201,MATCH($B1775,Summary!$A$2:$A$201,0))</f>
        <v>14.06</v>
      </c>
      <c r="V1775" s="2" t="n">
        <f aca="false">INDEX(Summary!$R$2:$R$201,MATCH($B1775,Summary!$A$2:$A$201,0))</f>
        <v>25.23</v>
      </c>
      <c r="W1775" s="0" t="str">
        <f aca="false">INDEX(Summary!$S$2:$S$201,MATCH($B1775,Summary!$A$2:$A$201,0))</f>
        <v>Silver</v>
      </c>
      <c r="X1775" s="2" t="n">
        <f aca="false">INDEX(Summary!$T$2:$T$201,MATCH($B1775,Summary!$A$2:$A$201,0))</f>
        <v>61.54</v>
      </c>
      <c r="Y1775" s="0" t="str">
        <f aca="false">INDEX('Reward Model'!$E$18:$E$37,MATCH($E1775,'Reward Model'!$A$18:$A$37,0))</f>
        <v>Medium</v>
      </c>
      <c r="Z1775" s="4" t="n">
        <f aca="false">ROUND(MIN(1,MAX('Reward Model'!$B$2,INDEX('Reward Model'!$C$12:$C$14,MATCH($K1775,'Reward Model'!$A$12:$A$14,0))/$J1775)),3)</f>
        <v>1</v>
      </c>
      <c r="AA1775" s="2" t="n">
        <f aca="false">IF($I1775="Correct",ROUND(INDEX('Reward Model'!$B$12:$B$14,MATCH($K1775,'Reward Model'!$A$12:$A$14,0))*Z1775,2),0)</f>
        <v>2</v>
      </c>
      <c r="AB1775" s="2" t="n">
        <f aca="false">IF($I1775="Correct",ROUND(INDEX('Reward Model'!$B$12:$B$14,MATCH($Y1775,'Reward Model'!$A$12:$A$14,0))*Z1775,2),0)</f>
        <v>2</v>
      </c>
    </row>
    <row r="1776" customFormat="false" ht="15" hidden="false" customHeight="false" outlineLevel="0" collapsed="false">
      <c r="A1776" s="0" t="s">
        <v>306</v>
      </c>
      <c r="B1776" s="0" t="s">
        <v>307</v>
      </c>
      <c r="C1776" s="0" t="s">
        <v>30</v>
      </c>
      <c r="D1776" s="0" t="s">
        <v>275</v>
      </c>
      <c r="E1776" s="0" t="n">
        <v>15</v>
      </c>
      <c r="F1776" s="0" t="s">
        <v>69</v>
      </c>
      <c r="G1776" s="0" t="s">
        <v>139</v>
      </c>
      <c r="H1776" s="0" t="s">
        <v>70</v>
      </c>
      <c r="I1776" s="0" t="s">
        <v>39</v>
      </c>
      <c r="J1776" s="0" t="n">
        <v>1.55</v>
      </c>
      <c r="K1776" s="0" t="s">
        <v>60</v>
      </c>
      <c r="L1776" s="0" t="n">
        <f aca="false">INDEX(Summary!$F$2:$F$201,MATCH($B1776,Summary!$A$2:$A$201,0))</f>
        <v>20</v>
      </c>
      <c r="M1776" s="0" t="n">
        <f aca="false">INDEX(Summary!$I$2:$I$201,MATCH($B1776,Summary!$A$2:$A$201,0))</f>
        <v>2</v>
      </c>
      <c r="N1776" s="0" t="n">
        <f aca="false">INDEX(Summary!$J$2:$J$201,MATCH($B1776,Summary!$A$2:$A$201,0))</f>
        <v>3</v>
      </c>
      <c r="O1776" s="2" t="n">
        <f aca="false">INDEX(Summary!$K$2:$K$201,MATCH($B1776,Summary!$A$2:$A$201,0))</f>
        <v>9.21</v>
      </c>
      <c r="P1776" s="3" t="n">
        <f aca="false">INDEX(Summary!$L$2:$L$201,MATCH($B1776,Summary!$A$2:$A$201,0))</f>
        <v>5</v>
      </c>
      <c r="Q1776" s="3" t="n">
        <f aca="false">INDEX(Summary!$M$2:$M$201,MATCH($B1776,Summary!$A$2:$A$201,0))</f>
        <v>1</v>
      </c>
      <c r="R1776" s="2" t="n">
        <f aca="false">INDEX(Summary!$N$2:$N$201,MATCH($B1776,Summary!$A$2:$A$201,0))</f>
        <v>9.34</v>
      </c>
      <c r="S1776" s="3" t="n">
        <f aca="false">INDEX(Summary!$O$2:$O$201,MATCH($B1776,Summary!$A$2:$A$201,0))</f>
        <v>7</v>
      </c>
      <c r="T1776" s="3" t="n">
        <f aca="false">INDEX(Summary!$P$2:$P$201,MATCH($B1776,Summary!$A$2:$A$201,0))</f>
        <v>2</v>
      </c>
      <c r="U1776" s="2" t="n">
        <f aca="false">INDEX(Summary!$Q$2:$Q$201,MATCH($B1776,Summary!$A$2:$A$201,0))</f>
        <v>14.06</v>
      </c>
      <c r="V1776" s="2" t="n">
        <f aca="false">INDEX(Summary!$R$2:$R$201,MATCH($B1776,Summary!$A$2:$A$201,0))</f>
        <v>25.23</v>
      </c>
      <c r="W1776" s="0" t="str">
        <f aca="false">INDEX(Summary!$S$2:$S$201,MATCH($B1776,Summary!$A$2:$A$201,0))</f>
        <v>Silver</v>
      </c>
      <c r="X1776" s="2" t="n">
        <f aca="false">INDEX(Summary!$T$2:$T$201,MATCH($B1776,Summary!$A$2:$A$201,0))</f>
        <v>61.54</v>
      </c>
      <c r="Y1776" s="0" t="str">
        <f aca="false">INDEX('Reward Model'!$E$18:$E$37,MATCH($E1776,'Reward Model'!$A$18:$A$37,0))</f>
        <v>Medium</v>
      </c>
      <c r="Z1776" s="4" t="n">
        <f aca="false">ROUND(MIN(1,MAX('Reward Model'!$B$2,INDEX('Reward Model'!$C$12:$C$14,MATCH($K1776,'Reward Model'!$A$12:$A$14,0))/$J1776)),3)</f>
        <v>1</v>
      </c>
      <c r="AA1776" s="2" t="n">
        <f aca="false">IF($I1776="Correct",ROUND(INDEX('Reward Model'!$B$12:$B$14,MATCH($K1776,'Reward Model'!$A$12:$A$14,0))*Z1776,2),0)</f>
        <v>0</v>
      </c>
      <c r="AB1776" s="2" t="n">
        <f aca="false">IF($I1776="Correct",ROUND(INDEX('Reward Model'!$B$12:$B$14,MATCH($Y1776,'Reward Model'!$A$12:$A$14,0))*Z1776,2),0)</f>
        <v>0</v>
      </c>
    </row>
    <row r="1777" customFormat="false" ht="15" hidden="false" customHeight="false" outlineLevel="0" collapsed="false">
      <c r="A1777" s="0" t="s">
        <v>306</v>
      </c>
      <c r="B1777" s="0" t="s">
        <v>307</v>
      </c>
      <c r="C1777" s="0" t="s">
        <v>30</v>
      </c>
      <c r="D1777" s="0" t="s">
        <v>275</v>
      </c>
      <c r="E1777" s="0" t="n">
        <v>16</v>
      </c>
      <c r="F1777" s="0" t="s">
        <v>71</v>
      </c>
      <c r="G1777" s="0" t="s">
        <v>72</v>
      </c>
      <c r="H1777" s="0" t="s">
        <v>72</v>
      </c>
      <c r="I1777" s="0" t="s">
        <v>34</v>
      </c>
      <c r="J1777" s="0" t="n">
        <v>2.31</v>
      </c>
      <c r="K1777" s="0" t="s">
        <v>73</v>
      </c>
      <c r="L1777" s="0" t="n">
        <f aca="false">INDEX(Summary!$F$2:$F$201,MATCH($B1777,Summary!$A$2:$A$201,0))</f>
        <v>20</v>
      </c>
      <c r="M1777" s="0" t="n">
        <f aca="false">INDEX(Summary!$I$2:$I$201,MATCH($B1777,Summary!$A$2:$A$201,0))</f>
        <v>2</v>
      </c>
      <c r="N1777" s="0" t="n">
        <f aca="false">INDEX(Summary!$J$2:$J$201,MATCH($B1777,Summary!$A$2:$A$201,0))</f>
        <v>3</v>
      </c>
      <c r="O1777" s="2" t="n">
        <f aca="false">INDEX(Summary!$K$2:$K$201,MATCH($B1777,Summary!$A$2:$A$201,0))</f>
        <v>9.21</v>
      </c>
      <c r="P1777" s="3" t="n">
        <f aca="false">INDEX(Summary!$L$2:$L$201,MATCH($B1777,Summary!$A$2:$A$201,0))</f>
        <v>5</v>
      </c>
      <c r="Q1777" s="3" t="n">
        <f aca="false">INDEX(Summary!$M$2:$M$201,MATCH($B1777,Summary!$A$2:$A$201,0))</f>
        <v>1</v>
      </c>
      <c r="R1777" s="2" t="n">
        <f aca="false">INDEX(Summary!$N$2:$N$201,MATCH($B1777,Summary!$A$2:$A$201,0))</f>
        <v>9.34</v>
      </c>
      <c r="S1777" s="3" t="n">
        <f aca="false">INDEX(Summary!$O$2:$O$201,MATCH($B1777,Summary!$A$2:$A$201,0))</f>
        <v>7</v>
      </c>
      <c r="T1777" s="3" t="n">
        <f aca="false">INDEX(Summary!$P$2:$P$201,MATCH($B1777,Summary!$A$2:$A$201,0))</f>
        <v>2</v>
      </c>
      <c r="U1777" s="2" t="n">
        <f aca="false">INDEX(Summary!$Q$2:$Q$201,MATCH($B1777,Summary!$A$2:$A$201,0))</f>
        <v>14.06</v>
      </c>
      <c r="V1777" s="2" t="n">
        <f aca="false">INDEX(Summary!$R$2:$R$201,MATCH($B1777,Summary!$A$2:$A$201,0))</f>
        <v>25.23</v>
      </c>
      <c r="W1777" s="0" t="str">
        <f aca="false">INDEX(Summary!$S$2:$S$201,MATCH($B1777,Summary!$A$2:$A$201,0))</f>
        <v>Silver</v>
      </c>
      <c r="X1777" s="2" t="n">
        <f aca="false">INDEX(Summary!$T$2:$T$201,MATCH($B1777,Summary!$A$2:$A$201,0))</f>
        <v>61.54</v>
      </c>
      <c r="Y1777" s="0" t="str">
        <f aca="false">INDEX('Reward Model'!$E$18:$E$37,MATCH($E1777,'Reward Model'!$A$18:$A$37,0))</f>
        <v>High</v>
      </c>
      <c r="Z1777" s="4" t="n">
        <f aca="false">ROUND(MIN(1,MAX('Reward Model'!$B$2,INDEX('Reward Model'!$C$12:$C$14,MATCH($K1777,'Reward Model'!$A$12:$A$14,0))/$J1777)),3)</f>
        <v>0.866</v>
      </c>
      <c r="AA1777" s="2" t="n">
        <f aca="false">IF($I1777="Correct",ROUND(INDEX('Reward Model'!$B$12:$B$14,MATCH($K1777,'Reward Model'!$A$12:$A$14,0))*Z1777,2),0)</f>
        <v>2.6</v>
      </c>
      <c r="AB1777" s="2" t="n">
        <f aca="false">IF($I1777="Correct",ROUND(INDEX('Reward Model'!$B$12:$B$14,MATCH($Y1777,'Reward Model'!$A$12:$A$14,0))*Z1777,2),0)</f>
        <v>2.6</v>
      </c>
    </row>
    <row r="1778" customFormat="false" ht="15" hidden="false" customHeight="false" outlineLevel="0" collapsed="false">
      <c r="A1778" s="0" t="s">
        <v>306</v>
      </c>
      <c r="B1778" s="0" t="s">
        <v>307</v>
      </c>
      <c r="C1778" s="0" t="s">
        <v>30</v>
      </c>
      <c r="D1778" s="0" t="s">
        <v>275</v>
      </c>
      <c r="E1778" s="0" t="n">
        <v>17</v>
      </c>
      <c r="F1778" s="0" t="s">
        <v>74</v>
      </c>
      <c r="G1778" s="0" t="s">
        <v>75</v>
      </c>
      <c r="H1778" s="0" t="s">
        <v>75</v>
      </c>
      <c r="I1778" s="0" t="s">
        <v>34</v>
      </c>
      <c r="J1778" s="0" t="n">
        <v>2.17</v>
      </c>
      <c r="K1778" s="0" t="s">
        <v>73</v>
      </c>
      <c r="L1778" s="0" t="n">
        <f aca="false">INDEX(Summary!$F$2:$F$201,MATCH($B1778,Summary!$A$2:$A$201,0))</f>
        <v>20</v>
      </c>
      <c r="M1778" s="0" t="n">
        <f aca="false">INDEX(Summary!$I$2:$I$201,MATCH($B1778,Summary!$A$2:$A$201,0))</f>
        <v>2</v>
      </c>
      <c r="N1778" s="0" t="n">
        <f aca="false">INDEX(Summary!$J$2:$J$201,MATCH($B1778,Summary!$A$2:$A$201,0))</f>
        <v>3</v>
      </c>
      <c r="O1778" s="2" t="n">
        <f aca="false">INDEX(Summary!$K$2:$K$201,MATCH($B1778,Summary!$A$2:$A$201,0))</f>
        <v>9.21</v>
      </c>
      <c r="P1778" s="3" t="n">
        <f aca="false">INDEX(Summary!$L$2:$L$201,MATCH($B1778,Summary!$A$2:$A$201,0))</f>
        <v>5</v>
      </c>
      <c r="Q1778" s="3" t="n">
        <f aca="false">INDEX(Summary!$M$2:$M$201,MATCH($B1778,Summary!$A$2:$A$201,0))</f>
        <v>1</v>
      </c>
      <c r="R1778" s="2" t="n">
        <f aca="false">INDEX(Summary!$N$2:$N$201,MATCH($B1778,Summary!$A$2:$A$201,0))</f>
        <v>9.34</v>
      </c>
      <c r="S1778" s="3" t="n">
        <f aca="false">INDEX(Summary!$O$2:$O$201,MATCH($B1778,Summary!$A$2:$A$201,0))</f>
        <v>7</v>
      </c>
      <c r="T1778" s="3" t="n">
        <f aca="false">INDEX(Summary!$P$2:$P$201,MATCH($B1778,Summary!$A$2:$A$201,0))</f>
        <v>2</v>
      </c>
      <c r="U1778" s="2" t="n">
        <f aca="false">INDEX(Summary!$Q$2:$Q$201,MATCH($B1778,Summary!$A$2:$A$201,0))</f>
        <v>14.06</v>
      </c>
      <c r="V1778" s="2" t="n">
        <f aca="false">INDEX(Summary!$R$2:$R$201,MATCH($B1778,Summary!$A$2:$A$201,0))</f>
        <v>25.23</v>
      </c>
      <c r="W1778" s="0" t="str">
        <f aca="false">INDEX(Summary!$S$2:$S$201,MATCH($B1778,Summary!$A$2:$A$201,0))</f>
        <v>Silver</v>
      </c>
      <c r="X1778" s="2" t="n">
        <f aca="false">INDEX(Summary!$T$2:$T$201,MATCH($B1778,Summary!$A$2:$A$201,0))</f>
        <v>61.54</v>
      </c>
      <c r="Y1778" s="0" t="str">
        <f aca="false">INDEX('Reward Model'!$E$18:$E$37,MATCH($E1778,'Reward Model'!$A$18:$A$37,0))</f>
        <v>High</v>
      </c>
      <c r="Z1778" s="4" t="n">
        <f aca="false">ROUND(MIN(1,MAX('Reward Model'!$B$2,INDEX('Reward Model'!$C$12:$C$14,MATCH($K1778,'Reward Model'!$A$12:$A$14,0))/$J1778)),3)</f>
        <v>0.922</v>
      </c>
      <c r="AA1778" s="2" t="n">
        <f aca="false">IF($I1778="Correct",ROUND(INDEX('Reward Model'!$B$12:$B$14,MATCH($K1778,'Reward Model'!$A$12:$A$14,0))*Z1778,2),0)</f>
        <v>2.77</v>
      </c>
      <c r="AB1778" s="2" t="n">
        <f aca="false">IF($I1778="Correct",ROUND(INDEX('Reward Model'!$B$12:$B$14,MATCH($Y1778,'Reward Model'!$A$12:$A$14,0))*Z1778,2),0)</f>
        <v>2.77</v>
      </c>
    </row>
    <row r="1779" customFormat="false" ht="15" hidden="false" customHeight="false" outlineLevel="0" collapsed="false">
      <c r="A1779" s="0" t="s">
        <v>306</v>
      </c>
      <c r="B1779" s="0" t="s">
        <v>307</v>
      </c>
      <c r="C1779" s="0" t="s">
        <v>30</v>
      </c>
      <c r="D1779" s="0" t="s">
        <v>275</v>
      </c>
      <c r="E1779" s="0" t="n">
        <v>18</v>
      </c>
      <c r="F1779" s="0" t="s">
        <v>76</v>
      </c>
      <c r="G1779" s="0" t="s">
        <v>88</v>
      </c>
      <c r="H1779" s="0" t="s">
        <v>77</v>
      </c>
      <c r="I1779" s="0" t="s">
        <v>39</v>
      </c>
      <c r="J1779" s="0" t="n">
        <v>1.25</v>
      </c>
      <c r="K1779" s="0" t="s">
        <v>73</v>
      </c>
      <c r="L1779" s="0" t="n">
        <f aca="false">INDEX(Summary!$F$2:$F$201,MATCH($B1779,Summary!$A$2:$A$201,0))</f>
        <v>20</v>
      </c>
      <c r="M1779" s="0" t="n">
        <f aca="false">INDEX(Summary!$I$2:$I$201,MATCH($B1779,Summary!$A$2:$A$201,0))</f>
        <v>2</v>
      </c>
      <c r="N1779" s="0" t="n">
        <f aca="false">INDEX(Summary!$J$2:$J$201,MATCH($B1779,Summary!$A$2:$A$201,0))</f>
        <v>3</v>
      </c>
      <c r="O1779" s="2" t="n">
        <f aca="false">INDEX(Summary!$K$2:$K$201,MATCH($B1779,Summary!$A$2:$A$201,0))</f>
        <v>9.21</v>
      </c>
      <c r="P1779" s="3" t="n">
        <f aca="false">INDEX(Summary!$L$2:$L$201,MATCH($B1779,Summary!$A$2:$A$201,0))</f>
        <v>5</v>
      </c>
      <c r="Q1779" s="3" t="n">
        <f aca="false">INDEX(Summary!$M$2:$M$201,MATCH($B1779,Summary!$A$2:$A$201,0))</f>
        <v>1</v>
      </c>
      <c r="R1779" s="2" t="n">
        <f aca="false">INDEX(Summary!$N$2:$N$201,MATCH($B1779,Summary!$A$2:$A$201,0))</f>
        <v>9.34</v>
      </c>
      <c r="S1779" s="3" t="n">
        <f aca="false">INDEX(Summary!$O$2:$O$201,MATCH($B1779,Summary!$A$2:$A$201,0))</f>
        <v>7</v>
      </c>
      <c r="T1779" s="3" t="n">
        <f aca="false">INDEX(Summary!$P$2:$P$201,MATCH($B1779,Summary!$A$2:$A$201,0))</f>
        <v>2</v>
      </c>
      <c r="U1779" s="2" t="n">
        <f aca="false">INDEX(Summary!$Q$2:$Q$201,MATCH($B1779,Summary!$A$2:$A$201,0))</f>
        <v>14.06</v>
      </c>
      <c r="V1779" s="2" t="n">
        <f aca="false">INDEX(Summary!$R$2:$R$201,MATCH($B1779,Summary!$A$2:$A$201,0))</f>
        <v>25.23</v>
      </c>
      <c r="W1779" s="0" t="str">
        <f aca="false">INDEX(Summary!$S$2:$S$201,MATCH($B1779,Summary!$A$2:$A$201,0))</f>
        <v>Silver</v>
      </c>
      <c r="X1779" s="2" t="n">
        <f aca="false">INDEX(Summary!$T$2:$T$201,MATCH($B1779,Summary!$A$2:$A$201,0))</f>
        <v>61.54</v>
      </c>
      <c r="Y1779" s="0" t="str">
        <f aca="false">INDEX('Reward Model'!$E$18:$E$37,MATCH($E1779,'Reward Model'!$A$18:$A$37,0))</f>
        <v>High</v>
      </c>
      <c r="Z1779" s="4" t="n">
        <f aca="false">ROUND(MIN(1,MAX('Reward Model'!$B$2,INDEX('Reward Model'!$C$12:$C$14,MATCH($K1779,'Reward Model'!$A$12:$A$14,0))/$J1779)),3)</f>
        <v>1</v>
      </c>
      <c r="AA1779" s="2" t="n">
        <f aca="false">IF($I1779="Correct",ROUND(INDEX('Reward Model'!$B$12:$B$14,MATCH($K1779,'Reward Model'!$A$12:$A$14,0))*Z1779,2),0)</f>
        <v>0</v>
      </c>
      <c r="AB1779" s="2" t="n">
        <f aca="false">IF($I1779="Correct",ROUND(INDEX('Reward Model'!$B$12:$B$14,MATCH($Y1779,'Reward Model'!$A$12:$A$14,0))*Z1779,2),0)</f>
        <v>0</v>
      </c>
    </row>
    <row r="1780" customFormat="false" ht="15" hidden="false" customHeight="false" outlineLevel="0" collapsed="false">
      <c r="A1780" s="0" t="s">
        <v>306</v>
      </c>
      <c r="B1780" s="0" t="s">
        <v>307</v>
      </c>
      <c r="C1780" s="0" t="s">
        <v>30</v>
      </c>
      <c r="D1780" s="0" t="s">
        <v>275</v>
      </c>
      <c r="E1780" s="0" t="n">
        <v>19</v>
      </c>
      <c r="F1780" s="0" t="s">
        <v>78</v>
      </c>
      <c r="G1780" s="0" t="s">
        <v>132</v>
      </c>
      <c r="H1780" s="0" t="s">
        <v>80</v>
      </c>
      <c r="I1780" s="0" t="s">
        <v>39</v>
      </c>
      <c r="J1780" s="0" t="n">
        <v>1.9</v>
      </c>
      <c r="K1780" s="0" t="s">
        <v>73</v>
      </c>
      <c r="L1780" s="0" t="n">
        <f aca="false">INDEX(Summary!$F$2:$F$201,MATCH($B1780,Summary!$A$2:$A$201,0))</f>
        <v>20</v>
      </c>
      <c r="M1780" s="0" t="n">
        <f aca="false">INDEX(Summary!$I$2:$I$201,MATCH($B1780,Summary!$A$2:$A$201,0))</f>
        <v>2</v>
      </c>
      <c r="N1780" s="0" t="n">
        <f aca="false">INDEX(Summary!$J$2:$J$201,MATCH($B1780,Summary!$A$2:$A$201,0))</f>
        <v>3</v>
      </c>
      <c r="O1780" s="2" t="n">
        <f aca="false">INDEX(Summary!$K$2:$K$201,MATCH($B1780,Summary!$A$2:$A$201,0))</f>
        <v>9.21</v>
      </c>
      <c r="P1780" s="3" t="n">
        <f aca="false">INDEX(Summary!$L$2:$L$201,MATCH($B1780,Summary!$A$2:$A$201,0))</f>
        <v>5</v>
      </c>
      <c r="Q1780" s="3" t="n">
        <f aca="false">INDEX(Summary!$M$2:$M$201,MATCH($B1780,Summary!$A$2:$A$201,0))</f>
        <v>1</v>
      </c>
      <c r="R1780" s="2" t="n">
        <f aca="false">INDEX(Summary!$N$2:$N$201,MATCH($B1780,Summary!$A$2:$A$201,0))</f>
        <v>9.34</v>
      </c>
      <c r="S1780" s="3" t="n">
        <f aca="false">INDEX(Summary!$O$2:$O$201,MATCH($B1780,Summary!$A$2:$A$201,0))</f>
        <v>7</v>
      </c>
      <c r="T1780" s="3" t="n">
        <f aca="false">INDEX(Summary!$P$2:$P$201,MATCH($B1780,Summary!$A$2:$A$201,0))</f>
        <v>2</v>
      </c>
      <c r="U1780" s="2" t="n">
        <f aca="false">INDEX(Summary!$Q$2:$Q$201,MATCH($B1780,Summary!$A$2:$A$201,0))</f>
        <v>14.06</v>
      </c>
      <c r="V1780" s="2" t="n">
        <f aca="false">INDEX(Summary!$R$2:$R$201,MATCH($B1780,Summary!$A$2:$A$201,0))</f>
        <v>25.23</v>
      </c>
      <c r="W1780" s="0" t="str">
        <f aca="false">INDEX(Summary!$S$2:$S$201,MATCH($B1780,Summary!$A$2:$A$201,0))</f>
        <v>Silver</v>
      </c>
      <c r="X1780" s="2" t="n">
        <f aca="false">INDEX(Summary!$T$2:$T$201,MATCH($B1780,Summary!$A$2:$A$201,0))</f>
        <v>61.54</v>
      </c>
      <c r="Y1780" s="0" t="str">
        <f aca="false">INDEX('Reward Model'!$E$18:$E$37,MATCH($E1780,'Reward Model'!$A$18:$A$37,0))</f>
        <v>High</v>
      </c>
      <c r="Z1780" s="4" t="n">
        <f aca="false">ROUND(MIN(1,MAX('Reward Model'!$B$2,INDEX('Reward Model'!$C$12:$C$14,MATCH($K1780,'Reward Model'!$A$12:$A$14,0))/$J1780)),3)</f>
        <v>1</v>
      </c>
      <c r="AA1780" s="2" t="n">
        <f aca="false">IF($I1780="Correct",ROUND(INDEX('Reward Model'!$B$12:$B$14,MATCH($K1780,'Reward Model'!$A$12:$A$14,0))*Z1780,2),0)</f>
        <v>0</v>
      </c>
      <c r="AB1780" s="2" t="n">
        <f aca="false">IF($I1780="Correct",ROUND(INDEX('Reward Model'!$B$12:$B$14,MATCH($Y1780,'Reward Model'!$A$12:$A$14,0))*Z1780,2),0)</f>
        <v>0</v>
      </c>
    </row>
    <row r="1781" customFormat="false" ht="15" hidden="false" customHeight="false" outlineLevel="0" collapsed="false">
      <c r="A1781" s="0" t="s">
        <v>306</v>
      </c>
      <c r="B1781" s="0" t="s">
        <v>307</v>
      </c>
      <c r="C1781" s="0" t="s">
        <v>30</v>
      </c>
      <c r="D1781" s="0" t="s">
        <v>275</v>
      </c>
      <c r="E1781" s="0" t="n">
        <v>20</v>
      </c>
      <c r="F1781" s="0" t="s">
        <v>81</v>
      </c>
      <c r="G1781" s="0" t="s">
        <v>82</v>
      </c>
      <c r="H1781" s="0" t="s">
        <v>83</v>
      </c>
      <c r="I1781" s="0" t="s">
        <v>39</v>
      </c>
      <c r="J1781" s="0" t="n">
        <v>1.58</v>
      </c>
      <c r="K1781" s="0" t="s">
        <v>73</v>
      </c>
      <c r="L1781" s="0" t="n">
        <f aca="false">INDEX(Summary!$F$2:$F$201,MATCH($B1781,Summary!$A$2:$A$201,0))</f>
        <v>20</v>
      </c>
      <c r="M1781" s="0" t="n">
        <f aca="false">INDEX(Summary!$I$2:$I$201,MATCH($B1781,Summary!$A$2:$A$201,0))</f>
        <v>2</v>
      </c>
      <c r="N1781" s="0" t="n">
        <f aca="false">INDEX(Summary!$J$2:$J$201,MATCH($B1781,Summary!$A$2:$A$201,0))</f>
        <v>3</v>
      </c>
      <c r="O1781" s="2" t="n">
        <f aca="false">INDEX(Summary!$K$2:$K$201,MATCH($B1781,Summary!$A$2:$A$201,0))</f>
        <v>9.21</v>
      </c>
      <c r="P1781" s="3" t="n">
        <f aca="false">INDEX(Summary!$L$2:$L$201,MATCH($B1781,Summary!$A$2:$A$201,0))</f>
        <v>5</v>
      </c>
      <c r="Q1781" s="3" t="n">
        <f aca="false">INDEX(Summary!$M$2:$M$201,MATCH($B1781,Summary!$A$2:$A$201,0))</f>
        <v>1</v>
      </c>
      <c r="R1781" s="2" t="n">
        <f aca="false">INDEX(Summary!$N$2:$N$201,MATCH($B1781,Summary!$A$2:$A$201,0))</f>
        <v>9.34</v>
      </c>
      <c r="S1781" s="3" t="n">
        <f aca="false">INDEX(Summary!$O$2:$O$201,MATCH($B1781,Summary!$A$2:$A$201,0))</f>
        <v>7</v>
      </c>
      <c r="T1781" s="3" t="n">
        <f aca="false">INDEX(Summary!$P$2:$P$201,MATCH($B1781,Summary!$A$2:$A$201,0))</f>
        <v>2</v>
      </c>
      <c r="U1781" s="2" t="n">
        <f aca="false">INDEX(Summary!$Q$2:$Q$201,MATCH($B1781,Summary!$A$2:$A$201,0))</f>
        <v>14.06</v>
      </c>
      <c r="V1781" s="2" t="n">
        <f aca="false">INDEX(Summary!$R$2:$R$201,MATCH($B1781,Summary!$A$2:$A$201,0))</f>
        <v>25.23</v>
      </c>
      <c r="W1781" s="0" t="str">
        <f aca="false">INDEX(Summary!$S$2:$S$201,MATCH($B1781,Summary!$A$2:$A$201,0))</f>
        <v>Silver</v>
      </c>
      <c r="X1781" s="2" t="n">
        <f aca="false">INDEX(Summary!$T$2:$T$201,MATCH($B1781,Summary!$A$2:$A$201,0))</f>
        <v>61.54</v>
      </c>
      <c r="Y1781" s="0" t="str">
        <f aca="false">INDEX('Reward Model'!$E$18:$E$37,MATCH($E1781,'Reward Model'!$A$18:$A$37,0))</f>
        <v>High</v>
      </c>
      <c r="Z1781" s="4" t="n">
        <f aca="false">ROUND(MIN(1,MAX('Reward Model'!$B$2,INDEX('Reward Model'!$C$12:$C$14,MATCH($K1781,'Reward Model'!$A$12:$A$14,0))/$J1781)),3)</f>
        <v>1</v>
      </c>
      <c r="AA1781" s="2" t="n">
        <f aca="false">IF($I1781="Correct",ROUND(INDEX('Reward Model'!$B$12:$B$14,MATCH($K1781,'Reward Model'!$A$12:$A$14,0))*Z1781,2),0)</f>
        <v>0</v>
      </c>
      <c r="AB1781" s="2" t="n">
        <f aca="false">IF($I1781="Correct",ROUND(INDEX('Reward Model'!$B$12:$B$14,MATCH($Y1781,'Reward Model'!$A$12:$A$14,0))*Z1781,2),0)</f>
        <v>0</v>
      </c>
    </row>
    <row r="1782" customFormat="false" ht="15" hidden="false" customHeight="false" outlineLevel="0" collapsed="false">
      <c r="A1782" s="0" t="s">
        <v>308</v>
      </c>
      <c r="B1782" s="0" t="s">
        <v>309</v>
      </c>
      <c r="C1782" s="0" t="s">
        <v>30</v>
      </c>
      <c r="D1782" s="0" t="s">
        <v>275</v>
      </c>
      <c r="E1782" s="0" t="n">
        <v>1</v>
      </c>
      <c r="F1782" s="0" t="s">
        <v>32</v>
      </c>
      <c r="G1782" s="0" t="s">
        <v>33</v>
      </c>
      <c r="H1782" s="0" t="s">
        <v>33</v>
      </c>
      <c r="I1782" s="0" t="s">
        <v>34</v>
      </c>
      <c r="J1782" s="0" t="n">
        <v>1.9</v>
      </c>
      <c r="K1782" s="0" t="s">
        <v>35</v>
      </c>
      <c r="L1782" s="0" t="n">
        <f aca="false">INDEX(Summary!$F$2:$F$201,MATCH($B1782,Summary!$A$2:$A$201,0))</f>
        <v>20</v>
      </c>
      <c r="M1782" s="0" t="n">
        <f aca="false">INDEX(Summary!$I$2:$I$201,MATCH($B1782,Summary!$A$2:$A$201,0))</f>
        <v>1</v>
      </c>
      <c r="N1782" s="0" t="n">
        <f aca="false">INDEX(Summary!$J$2:$J$201,MATCH($B1782,Summary!$A$2:$A$201,0))</f>
        <v>4</v>
      </c>
      <c r="O1782" s="2" t="n">
        <f aca="false">INDEX(Summary!$K$2:$K$201,MATCH($B1782,Summary!$A$2:$A$201,0))</f>
        <v>9.08</v>
      </c>
      <c r="P1782" s="3" t="n">
        <f aca="false">INDEX(Summary!$L$2:$L$201,MATCH($B1782,Summary!$A$2:$A$201,0))</f>
        <v>4</v>
      </c>
      <c r="Q1782" s="3" t="n">
        <f aca="false">INDEX(Summary!$M$2:$M$201,MATCH($B1782,Summary!$A$2:$A$201,0))</f>
        <v>2</v>
      </c>
      <c r="R1782" s="2" t="n">
        <f aca="false">INDEX(Summary!$N$2:$N$201,MATCH($B1782,Summary!$A$2:$A$201,0))</f>
        <v>8.24</v>
      </c>
      <c r="S1782" s="3" t="n">
        <f aca="false">INDEX(Summary!$O$2:$O$201,MATCH($B1782,Summary!$A$2:$A$201,0))</f>
        <v>8</v>
      </c>
      <c r="T1782" s="3" t="n">
        <f aca="false">INDEX(Summary!$P$2:$P$201,MATCH($B1782,Summary!$A$2:$A$201,0))</f>
        <v>1</v>
      </c>
      <c r="U1782" s="2" t="n">
        <f aca="false">INDEX(Summary!$Q$2:$Q$201,MATCH($B1782,Summary!$A$2:$A$201,0))</f>
        <v>12.63</v>
      </c>
      <c r="V1782" s="2" t="n">
        <f aca="false">INDEX(Summary!$R$2:$R$201,MATCH($B1782,Summary!$A$2:$A$201,0))</f>
        <v>23.31</v>
      </c>
      <c r="W1782" s="0" t="str">
        <f aca="false">INDEX(Summary!$S$2:$S$201,MATCH($B1782,Summary!$A$2:$A$201,0))</f>
        <v>Silver</v>
      </c>
      <c r="X1782" s="2" t="n">
        <f aca="false">INDEX(Summary!$T$2:$T$201,MATCH($B1782,Summary!$A$2:$A$201,0))</f>
        <v>56.85</v>
      </c>
      <c r="Y1782" s="0" t="str">
        <f aca="false">INDEX('Reward Model'!$E$18:$E$37,MATCH($E1782,'Reward Model'!$A$18:$A$37,0))</f>
        <v>Medium</v>
      </c>
      <c r="Z1782" s="4" t="n">
        <f aca="false">ROUND(MIN(1,MAX('Reward Model'!$B$2,INDEX('Reward Model'!$C$12:$C$14,MATCH($K1782,'Reward Model'!$A$12:$A$14,0))/$J1782)),3)</f>
        <v>0.789</v>
      </c>
      <c r="AA1782" s="2" t="n">
        <f aca="false">IF($I1782="Correct",ROUND(INDEX('Reward Model'!$B$12:$B$14,MATCH($K1782,'Reward Model'!$A$12:$A$14,0))*Z1782,2),0)</f>
        <v>0.79</v>
      </c>
      <c r="AB1782" s="2" t="n">
        <f aca="false">IF($I1782="Correct",ROUND(INDEX('Reward Model'!$B$12:$B$14,MATCH($Y1782,'Reward Model'!$A$12:$A$14,0))*Z1782,2),0)</f>
        <v>1.58</v>
      </c>
    </row>
    <row r="1783" customFormat="false" ht="15" hidden="false" customHeight="false" outlineLevel="0" collapsed="false">
      <c r="A1783" s="0" t="s">
        <v>308</v>
      </c>
      <c r="B1783" s="0" t="s">
        <v>309</v>
      </c>
      <c r="C1783" s="0" t="s">
        <v>30</v>
      </c>
      <c r="D1783" s="0" t="s">
        <v>275</v>
      </c>
      <c r="E1783" s="0" t="n">
        <v>2</v>
      </c>
      <c r="F1783" s="0" t="s">
        <v>36</v>
      </c>
      <c r="G1783" s="0" t="s">
        <v>38</v>
      </c>
      <c r="H1783" s="0" t="s">
        <v>38</v>
      </c>
      <c r="I1783" s="0" t="s">
        <v>34</v>
      </c>
      <c r="J1783" s="0" t="n">
        <v>1.04</v>
      </c>
      <c r="K1783" s="0" t="s">
        <v>35</v>
      </c>
      <c r="L1783" s="0" t="n">
        <f aca="false">INDEX(Summary!$F$2:$F$201,MATCH($B1783,Summary!$A$2:$A$201,0))</f>
        <v>20</v>
      </c>
      <c r="M1783" s="0" t="n">
        <f aca="false">INDEX(Summary!$I$2:$I$201,MATCH($B1783,Summary!$A$2:$A$201,0))</f>
        <v>1</v>
      </c>
      <c r="N1783" s="0" t="n">
        <f aca="false">INDEX(Summary!$J$2:$J$201,MATCH($B1783,Summary!$A$2:$A$201,0))</f>
        <v>4</v>
      </c>
      <c r="O1783" s="2" t="n">
        <f aca="false">INDEX(Summary!$K$2:$K$201,MATCH($B1783,Summary!$A$2:$A$201,0))</f>
        <v>9.08</v>
      </c>
      <c r="P1783" s="3" t="n">
        <f aca="false">INDEX(Summary!$L$2:$L$201,MATCH($B1783,Summary!$A$2:$A$201,0))</f>
        <v>4</v>
      </c>
      <c r="Q1783" s="3" t="n">
        <f aca="false">INDEX(Summary!$M$2:$M$201,MATCH($B1783,Summary!$A$2:$A$201,0))</f>
        <v>2</v>
      </c>
      <c r="R1783" s="2" t="n">
        <f aca="false">INDEX(Summary!$N$2:$N$201,MATCH($B1783,Summary!$A$2:$A$201,0))</f>
        <v>8.24</v>
      </c>
      <c r="S1783" s="3" t="n">
        <f aca="false">INDEX(Summary!$O$2:$O$201,MATCH($B1783,Summary!$A$2:$A$201,0))</f>
        <v>8</v>
      </c>
      <c r="T1783" s="3" t="n">
        <f aca="false">INDEX(Summary!$P$2:$P$201,MATCH($B1783,Summary!$A$2:$A$201,0))</f>
        <v>1</v>
      </c>
      <c r="U1783" s="2" t="n">
        <f aca="false">INDEX(Summary!$Q$2:$Q$201,MATCH($B1783,Summary!$A$2:$A$201,0))</f>
        <v>12.63</v>
      </c>
      <c r="V1783" s="2" t="n">
        <f aca="false">INDEX(Summary!$R$2:$R$201,MATCH($B1783,Summary!$A$2:$A$201,0))</f>
        <v>23.31</v>
      </c>
      <c r="W1783" s="0" t="str">
        <f aca="false">INDEX(Summary!$S$2:$S$201,MATCH($B1783,Summary!$A$2:$A$201,0))</f>
        <v>Silver</v>
      </c>
      <c r="X1783" s="2" t="n">
        <f aca="false">INDEX(Summary!$T$2:$T$201,MATCH($B1783,Summary!$A$2:$A$201,0))</f>
        <v>56.85</v>
      </c>
      <c r="Y1783" s="0" t="str">
        <f aca="false">INDEX('Reward Model'!$E$18:$E$37,MATCH($E1783,'Reward Model'!$A$18:$A$37,0))</f>
        <v>Low</v>
      </c>
      <c r="Z1783" s="4" t="n">
        <f aca="false">ROUND(MIN(1,MAX('Reward Model'!$B$2,INDEX('Reward Model'!$C$12:$C$14,MATCH($K1783,'Reward Model'!$A$12:$A$14,0))/$J1783)),3)</f>
        <v>1</v>
      </c>
      <c r="AA1783" s="2" t="n">
        <f aca="false">IF($I1783="Correct",ROUND(INDEX('Reward Model'!$B$12:$B$14,MATCH($K1783,'Reward Model'!$A$12:$A$14,0))*Z1783,2),0)</f>
        <v>1</v>
      </c>
      <c r="AB1783" s="2" t="n">
        <f aca="false">IF($I1783="Correct",ROUND(INDEX('Reward Model'!$B$12:$B$14,MATCH($Y1783,'Reward Model'!$A$12:$A$14,0))*Z1783,2),0)</f>
        <v>1</v>
      </c>
    </row>
    <row r="1784" customFormat="false" ht="15" hidden="false" customHeight="false" outlineLevel="0" collapsed="false">
      <c r="A1784" s="0" t="s">
        <v>308</v>
      </c>
      <c r="B1784" s="0" t="s">
        <v>309</v>
      </c>
      <c r="C1784" s="0" t="s">
        <v>30</v>
      </c>
      <c r="D1784" s="0" t="s">
        <v>275</v>
      </c>
      <c r="E1784" s="0" t="n">
        <v>3</v>
      </c>
      <c r="F1784" s="0" t="s">
        <v>40</v>
      </c>
      <c r="G1784" s="0" t="s">
        <v>42</v>
      </c>
      <c r="H1784" s="0" t="s">
        <v>42</v>
      </c>
      <c r="I1784" s="0" t="s">
        <v>34</v>
      </c>
      <c r="J1784" s="0" t="n">
        <v>1.53</v>
      </c>
      <c r="K1784" s="0" t="s">
        <v>35</v>
      </c>
      <c r="L1784" s="0" t="n">
        <f aca="false">INDEX(Summary!$F$2:$F$201,MATCH($B1784,Summary!$A$2:$A$201,0))</f>
        <v>20</v>
      </c>
      <c r="M1784" s="0" t="n">
        <f aca="false">INDEX(Summary!$I$2:$I$201,MATCH($B1784,Summary!$A$2:$A$201,0))</f>
        <v>1</v>
      </c>
      <c r="N1784" s="0" t="n">
        <f aca="false">INDEX(Summary!$J$2:$J$201,MATCH($B1784,Summary!$A$2:$A$201,0))</f>
        <v>4</v>
      </c>
      <c r="O1784" s="2" t="n">
        <f aca="false">INDEX(Summary!$K$2:$K$201,MATCH($B1784,Summary!$A$2:$A$201,0))</f>
        <v>9.08</v>
      </c>
      <c r="P1784" s="3" t="n">
        <f aca="false">INDEX(Summary!$L$2:$L$201,MATCH($B1784,Summary!$A$2:$A$201,0))</f>
        <v>4</v>
      </c>
      <c r="Q1784" s="3" t="n">
        <f aca="false">INDEX(Summary!$M$2:$M$201,MATCH($B1784,Summary!$A$2:$A$201,0))</f>
        <v>2</v>
      </c>
      <c r="R1784" s="2" t="n">
        <f aca="false">INDEX(Summary!$N$2:$N$201,MATCH($B1784,Summary!$A$2:$A$201,0))</f>
        <v>8.24</v>
      </c>
      <c r="S1784" s="3" t="n">
        <f aca="false">INDEX(Summary!$O$2:$O$201,MATCH($B1784,Summary!$A$2:$A$201,0))</f>
        <v>8</v>
      </c>
      <c r="T1784" s="3" t="n">
        <f aca="false">INDEX(Summary!$P$2:$P$201,MATCH($B1784,Summary!$A$2:$A$201,0))</f>
        <v>1</v>
      </c>
      <c r="U1784" s="2" t="n">
        <f aca="false">INDEX(Summary!$Q$2:$Q$201,MATCH($B1784,Summary!$A$2:$A$201,0))</f>
        <v>12.63</v>
      </c>
      <c r="V1784" s="2" t="n">
        <f aca="false">INDEX(Summary!$R$2:$R$201,MATCH($B1784,Summary!$A$2:$A$201,0))</f>
        <v>23.31</v>
      </c>
      <c r="W1784" s="0" t="str">
        <f aca="false">INDEX(Summary!$S$2:$S$201,MATCH($B1784,Summary!$A$2:$A$201,0))</f>
        <v>Silver</v>
      </c>
      <c r="X1784" s="2" t="n">
        <f aca="false">INDEX(Summary!$T$2:$T$201,MATCH($B1784,Summary!$A$2:$A$201,0))</f>
        <v>56.85</v>
      </c>
      <c r="Y1784" s="0" t="str">
        <f aca="false">INDEX('Reward Model'!$E$18:$E$37,MATCH($E1784,'Reward Model'!$A$18:$A$37,0))</f>
        <v>Medium</v>
      </c>
      <c r="Z1784" s="4" t="n">
        <f aca="false">ROUND(MIN(1,MAX('Reward Model'!$B$2,INDEX('Reward Model'!$C$12:$C$14,MATCH($K1784,'Reward Model'!$A$12:$A$14,0))/$J1784)),3)</f>
        <v>0.98</v>
      </c>
      <c r="AA1784" s="2" t="n">
        <f aca="false">IF($I1784="Correct",ROUND(INDEX('Reward Model'!$B$12:$B$14,MATCH($K1784,'Reward Model'!$A$12:$A$14,0))*Z1784,2),0)</f>
        <v>0.98</v>
      </c>
      <c r="AB1784" s="2" t="n">
        <f aca="false">IF($I1784="Correct",ROUND(INDEX('Reward Model'!$B$12:$B$14,MATCH($Y1784,'Reward Model'!$A$12:$A$14,0))*Z1784,2),0)</f>
        <v>1.96</v>
      </c>
    </row>
    <row r="1785" customFormat="false" ht="15" hidden="false" customHeight="false" outlineLevel="0" collapsed="false">
      <c r="A1785" s="0" t="s">
        <v>308</v>
      </c>
      <c r="B1785" s="0" t="s">
        <v>309</v>
      </c>
      <c r="C1785" s="0" t="s">
        <v>30</v>
      </c>
      <c r="D1785" s="0" t="s">
        <v>275</v>
      </c>
      <c r="E1785" s="0" t="n">
        <v>4</v>
      </c>
      <c r="F1785" s="0" t="s">
        <v>43</v>
      </c>
      <c r="G1785" s="0" t="s">
        <v>45</v>
      </c>
      <c r="H1785" s="0" t="s">
        <v>45</v>
      </c>
      <c r="I1785" s="0" t="s">
        <v>34</v>
      </c>
      <c r="J1785" s="0" t="n">
        <v>0.91</v>
      </c>
      <c r="K1785" s="0" t="s">
        <v>35</v>
      </c>
      <c r="L1785" s="0" t="n">
        <f aca="false">INDEX(Summary!$F$2:$F$201,MATCH($B1785,Summary!$A$2:$A$201,0))</f>
        <v>20</v>
      </c>
      <c r="M1785" s="0" t="n">
        <f aca="false">INDEX(Summary!$I$2:$I$201,MATCH($B1785,Summary!$A$2:$A$201,0))</f>
        <v>1</v>
      </c>
      <c r="N1785" s="0" t="n">
        <f aca="false">INDEX(Summary!$J$2:$J$201,MATCH($B1785,Summary!$A$2:$A$201,0))</f>
        <v>4</v>
      </c>
      <c r="O1785" s="2" t="n">
        <f aca="false">INDEX(Summary!$K$2:$K$201,MATCH($B1785,Summary!$A$2:$A$201,0))</f>
        <v>9.08</v>
      </c>
      <c r="P1785" s="3" t="n">
        <f aca="false">INDEX(Summary!$L$2:$L$201,MATCH($B1785,Summary!$A$2:$A$201,0))</f>
        <v>4</v>
      </c>
      <c r="Q1785" s="3" t="n">
        <f aca="false">INDEX(Summary!$M$2:$M$201,MATCH($B1785,Summary!$A$2:$A$201,0))</f>
        <v>2</v>
      </c>
      <c r="R1785" s="2" t="n">
        <f aca="false">INDEX(Summary!$N$2:$N$201,MATCH($B1785,Summary!$A$2:$A$201,0))</f>
        <v>8.24</v>
      </c>
      <c r="S1785" s="3" t="n">
        <f aca="false">INDEX(Summary!$O$2:$O$201,MATCH($B1785,Summary!$A$2:$A$201,0))</f>
        <v>8</v>
      </c>
      <c r="T1785" s="3" t="n">
        <f aca="false">INDEX(Summary!$P$2:$P$201,MATCH($B1785,Summary!$A$2:$A$201,0))</f>
        <v>1</v>
      </c>
      <c r="U1785" s="2" t="n">
        <f aca="false">INDEX(Summary!$Q$2:$Q$201,MATCH($B1785,Summary!$A$2:$A$201,0))</f>
        <v>12.63</v>
      </c>
      <c r="V1785" s="2" t="n">
        <f aca="false">INDEX(Summary!$R$2:$R$201,MATCH($B1785,Summary!$A$2:$A$201,0))</f>
        <v>23.31</v>
      </c>
      <c r="W1785" s="0" t="str">
        <f aca="false">INDEX(Summary!$S$2:$S$201,MATCH($B1785,Summary!$A$2:$A$201,0))</f>
        <v>Silver</v>
      </c>
      <c r="X1785" s="2" t="n">
        <f aca="false">INDEX(Summary!$T$2:$T$201,MATCH($B1785,Summary!$A$2:$A$201,0))</f>
        <v>56.85</v>
      </c>
      <c r="Y1785" s="0" t="str">
        <f aca="false">INDEX('Reward Model'!$E$18:$E$37,MATCH($E1785,'Reward Model'!$A$18:$A$37,0))</f>
        <v>Low</v>
      </c>
      <c r="Z1785" s="4" t="n">
        <f aca="false">ROUND(MIN(1,MAX('Reward Model'!$B$2,INDEX('Reward Model'!$C$12:$C$14,MATCH($K1785,'Reward Model'!$A$12:$A$14,0))/$J1785)),3)</f>
        <v>1</v>
      </c>
      <c r="AA1785" s="2" t="n">
        <f aca="false">IF($I1785="Correct",ROUND(INDEX('Reward Model'!$B$12:$B$14,MATCH($K1785,'Reward Model'!$A$12:$A$14,0))*Z1785,2),0)</f>
        <v>1</v>
      </c>
      <c r="AB1785" s="2" t="n">
        <f aca="false">IF($I1785="Correct",ROUND(INDEX('Reward Model'!$B$12:$B$14,MATCH($Y1785,'Reward Model'!$A$12:$A$14,0))*Z1785,2),0)</f>
        <v>1</v>
      </c>
    </row>
    <row r="1786" customFormat="false" ht="15" hidden="false" customHeight="false" outlineLevel="0" collapsed="false">
      <c r="A1786" s="0" t="s">
        <v>308</v>
      </c>
      <c r="B1786" s="0" t="s">
        <v>309</v>
      </c>
      <c r="C1786" s="0" t="s">
        <v>30</v>
      </c>
      <c r="D1786" s="0" t="s">
        <v>275</v>
      </c>
      <c r="E1786" s="0" t="n">
        <v>5</v>
      </c>
      <c r="F1786" s="0" t="s">
        <v>46</v>
      </c>
      <c r="G1786" s="0" t="s">
        <v>47</v>
      </c>
      <c r="H1786" s="0" t="s">
        <v>47</v>
      </c>
      <c r="I1786" s="0" t="s">
        <v>34</v>
      </c>
      <c r="J1786" s="0" t="n">
        <v>1.94</v>
      </c>
      <c r="K1786" s="0" t="s">
        <v>35</v>
      </c>
      <c r="L1786" s="0" t="n">
        <f aca="false">INDEX(Summary!$F$2:$F$201,MATCH($B1786,Summary!$A$2:$A$201,0))</f>
        <v>20</v>
      </c>
      <c r="M1786" s="0" t="n">
        <f aca="false">INDEX(Summary!$I$2:$I$201,MATCH($B1786,Summary!$A$2:$A$201,0))</f>
        <v>1</v>
      </c>
      <c r="N1786" s="0" t="n">
        <f aca="false">INDEX(Summary!$J$2:$J$201,MATCH($B1786,Summary!$A$2:$A$201,0))</f>
        <v>4</v>
      </c>
      <c r="O1786" s="2" t="n">
        <f aca="false">INDEX(Summary!$K$2:$K$201,MATCH($B1786,Summary!$A$2:$A$201,0))</f>
        <v>9.08</v>
      </c>
      <c r="P1786" s="3" t="n">
        <f aca="false">INDEX(Summary!$L$2:$L$201,MATCH($B1786,Summary!$A$2:$A$201,0))</f>
        <v>4</v>
      </c>
      <c r="Q1786" s="3" t="n">
        <f aca="false">INDEX(Summary!$M$2:$M$201,MATCH($B1786,Summary!$A$2:$A$201,0))</f>
        <v>2</v>
      </c>
      <c r="R1786" s="2" t="n">
        <f aca="false">INDEX(Summary!$N$2:$N$201,MATCH($B1786,Summary!$A$2:$A$201,0))</f>
        <v>8.24</v>
      </c>
      <c r="S1786" s="3" t="n">
        <f aca="false">INDEX(Summary!$O$2:$O$201,MATCH($B1786,Summary!$A$2:$A$201,0))</f>
        <v>8</v>
      </c>
      <c r="T1786" s="3" t="n">
        <f aca="false">INDEX(Summary!$P$2:$P$201,MATCH($B1786,Summary!$A$2:$A$201,0))</f>
        <v>1</v>
      </c>
      <c r="U1786" s="2" t="n">
        <f aca="false">INDEX(Summary!$Q$2:$Q$201,MATCH($B1786,Summary!$A$2:$A$201,0))</f>
        <v>12.63</v>
      </c>
      <c r="V1786" s="2" t="n">
        <f aca="false">INDEX(Summary!$R$2:$R$201,MATCH($B1786,Summary!$A$2:$A$201,0))</f>
        <v>23.31</v>
      </c>
      <c r="W1786" s="0" t="str">
        <f aca="false">INDEX(Summary!$S$2:$S$201,MATCH($B1786,Summary!$A$2:$A$201,0))</f>
        <v>Silver</v>
      </c>
      <c r="X1786" s="2" t="n">
        <f aca="false">INDEX(Summary!$T$2:$T$201,MATCH($B1786,Summary!$A$2:$A$201,0))</f>
        <v>56.85</v>
      </c>
      <c r="Y1786" s="0" t="str">
        <f aca="false">INDEX('Reward Model'!$E$18:$E$37,MATCH($E1786,'Reward Model'!$A$18:$A$37,0))</f>
        <v>Low</v>
      </c>
      <c r="Z1786" s="4" t="n">
        <f aca="false">ROUND(MIN(1,MAX('Reward Model'!$B$2,INDEX('Reward Model'!$C$12:$C$14,MATCH($K1786,'Reward Model'!$A$12:$A$14,0))/$J1786)),3)</f>
        <v>0.773</v>
      </c>
      <c r="AA1786" s="2" t="n">
        <f aca="false">IF($I1786="Correct",ROUND(INDEX('Reward Model'!$B$12:$B$14,MATCH($K1786,'Reward Model'!$A$12:$A$14,0))*Z1786,2),0)</f>
        <v>0.77</v>
      </c>
      <c r="AB1786" s="2" t="n">
        <f aca="false">IF($I1786="Correct",ROUND(INDEX('Reward Model'!$B$12:$B$14,MATCH($Y1786,'Reward Model'!$A$12:$A$14,0))*Z1786,2),0)</f>
        <v>0.77</v>
      </c>
    </row>
    <row r="1787" customFormat="false" ht="15" hidden="false" customHeight="false" outlineLevel="0" collapsed="false">
      <c r="A1787" s="0" t="s">
        <v>308</v>
      </c>
      <c r="B1787" s="0" t="s">
        <v>309</v>
      </c>
      <c r="C1787" s="0" t="s">
        <v>30</v>
      </c>
      <c r="D1787" s="0" t="s">
        <v>275</v>
      </c>
      <c r="E1787" s="0" t="n">
        <v>6</v>
      </c>
      <c r="F1787" s="0" t="s">
        <v>48</v>
      </c>
      <c r="G1787" s="0" t="s">
        <v>49</v>
      </c>
      <c r="H1787" s="0" t="s">
        <v>49</v>
      </c>
      <c r="I1787" s="0" t="s">
        <v>34</v>
      </c>
      <c r="J1787" s="0" t="n">
        <v>1.39</v>
      </c>
      <c r="K1787" s="0" t="s">
        <v>35</v>
      </c>
      <c r="L1787" s="0" t="n">
        <f aca="false">INDEX(Summary!$F$2:$F$201,MATCH($B1787,Summary!$A$2:$A$201,0))</f>
        <v>20</v>
      </c>
      <c r="M1787" s="0" t="n">
        <f aca="false">INDEX(Summary!$I$2:$I$201,MATCH($B1787,Summary!$A$2:$A$201,0))</f>
        <v>1</v>
      </c>
      <c r="N1787" s="0" t="n">
        <f aca="false">INDEX(Summary!$J$2:$J$201,MATCH($B1787,Summary!$A$2:$A$201,0))</f>
        <v>4</v>
      </c>
      <c r="O1787" s="2" t="n">
        <f aca="false">INDEX(Summary!$K$2:$K$201,MATCH($B1787,Summary!$A$2:$A$201,0))</f>
        <v>9.08</v>
      </c>
      <c r="P1787" s="3" t="n">
        <f aca="false">INDEX(Summary!$L$2:$L$201,MATCH($B1787,Summary!$A$2:$A$201,0))</f>
        <v>4</v>
      </c>
      <c r="Q1787" s="3" t="n">
        <f aca="false">INDEX(Summary!$M$2:$M$201,MATCH($B1787,Summary!$A$2:$A$201,0))</f>
        <v>2</v>
      </c>
      <c r="R1787" s="2" t="n">
        <f aca="false">INDEX(Summary!$N$2:$N$201,MATCH($B1787,Summary!$A$2:$A$201,0))</f>
        <v>8.24</v>
      </c>
      <c r="S1787" s="3" t="n">
        <f aca="false">INDEX(Summary!$O$2:$O$201,MATCH($B1787,Summary!$A$2:$A$201,0))</f>
        <v>8</v>
      </c>
      <c r="T1787" s="3" t="n">
        <f aca="false">INDEX(Summary!$P$2:$P$201,MATCH($B1787,Summary!$A$2:$A$201,0))</f>
        <v>1</v>
      </c>
      <c r="U1787" s="2" t="n">
        <f aca="false">INDEX(Summary!$Q$2:$Q$201,MATCH($B1787,Summary!$A$2:$A$201,0))</f>
        <v>12.63</v>
      </c>
      <c r="V1787" s="2" t="n">
        <f aca="false">INDEX(Summary!$R$2:$R$201,MATCH($B1787,Summary!$A$2:$A$201,0))</f>
        <v>23.31</v>
      </c>
      <c r="W1787" s="0" t="str">
        <f aca="false">INDEX(Summary!$S$2:$S$201,MATCH($B1787,Summary!$A$2:$A$201,0))</f>
        <v>Silver</v>
      </c>
      <c r="X1787" s="2" t="n">
        <f aca="false">INDEX(Summary!$T$2:$T$201,MATCH($B1787,Summary!$A$2:$A$201,0))</f>
        <v>56.85</v>
      </c>
      <c r="Y1787" s="0" t="str">
        <f aca="false">INDEX('Reward Model'!$E$18:$E$37,MATCH($E1787,'Reward Model'!$A$18:$A$37,0))</f>
        <v>Medium</v>
      </c>
      <c r="Z1787" s="4" t="n">
        <f aca="false">ROUND(MIN(1,MAX('Reward Model'!$B$2,INDEX('Reward Model'!$C$12:$C$14,MATCH($K1787,'Reward Model'!$A$12:$A$14,0))/$J1787)),3)</f>
        <v>1</v>
      </c>
      <c r="AA1787" s="2" t="n">
        <f aca="false">IF($I1787="Correct",ROUND(INDEX('Reward Model'!$B$12:$B$14,MATCH($K1787,'Reward Model'!$A$12:$A$14,0))*Z1787,2),0)</f>
        <v>1</v>
      </c>
      <c r="AB1787" s="2" t="n">
        <f aca="false">IF($I1787="Correct",ROUND(INDEX('Reward Model'!$B$12:$B$14,MATCH($Y1787,'Reward Model'!$A$12:$A$14,0))*Z1787,2),0)</f>
        <v>2</v>
      </c>
    </row>
    <row r="1788" customFormat="false" ht="15" hidden="false" customHeight="false" outlineLevel="0" collapsed="false">
      <c r="A1788" s="0" t="s">
        <v>308</v>
      </c>
      <c r="B1788" s="0" t="s">
        <v>309</v>
      </c>
      <c r="C1788" s="0" t="s">
        <v>30</v>
      </c>
      <c r="D1788" s="0" t="s">
        <v>275</v>
      </c>
      <c r="E1788" s="0" t="n">
        <v>7</v>
      </c>
      <c r="F1788" s="0" t="s">
        <v>50</v>
      </c>
      <c r="G1788" s="0" t="s">
        <v>92</v>
      </c>
      <c r="H1788" s="0" t="s">
        <v>51</v>
      </c>
      <c r="I1788" s="0" t="s">
        <v>39</v>
      </c>
      <c r="J1788" s="0" t="n">
        <v>1.42</v>
      </c>
      <c r="K1788" s="0" t="s">
        <v>35</v>
      </c>
      <c r="L1788" s="0" t="n">
        <f aca="false">INDEX(Summary!$F$2:$F$201,MATCH($B1788,Summary!$A$2:$A$201,0))</f>
        <v>20</v>
      </c>
      <c r="M1788" s="0" t="n">
        <f aca="false">INDEX(Summary!$I$2:$I$201,MATCH($B1788,Summary!$A$2:$A$201,0))</f>
        <v>1</v>
      </c>
      <c r="N1788" s="0" t="n">
        <f aca="false">INDEX(Summary!$J$2:$J$201,MATCH($B1788,Summary!$A$2:$A$201,0))</f>
        <v>4</v>
      </c>
      <c r="O1788" s="2" t="n">
        <f aca="false">INDEX(Summary!$K$2:$K$201,MATCH($B1788,Summary!$A$2:$A$201,0))</f>
        <v>9.08</v>
      </c>
      <c r="P1788" s="3" t="n">
        <f aca="false">INDEX(Summary!$L$2:$L$201,MATCH($B1788,Summary!$A$2:$A$201,0))</f>
        <v>4</v>
      </c>
      <c r="Q1788" s="3" t="n">
        <f aca="false">INDEX(Summary!$M$2:$M$201,MATCH($B1788,Summary!$A$2:$A$201,0))</f>
        <v>2</v>
      </c>
      <c r="R1788" s="2" t="n">
        <f aca="false">INDEX(Summary!$N$2:$N$201,MATCH($B1788,Summary!$A$2:$A$201,0))</f>
        <v>8.24</v>
      </c>
      <c r="S1788" s="3" t="n">
        <f aca="false">INDEX(Summary!$O$2:$O$201,MATCH($B1788,Summary!$A$2:$A$201,0))</f>
        <v>8</v>
      </c>
      <c r="T1788" s="3" t="n">
        <f aca="false">INDEX(Summary!$P$2:$P$201,MATCH($B1788,Summary!$A$2:$A$201,0))</f>
        <v>1</v>
      </c>
      <c r="U1788" s="2" t="n">
        <f aca="false">INDEX(Summary!$Q$2:$Q$201,MATCH($B1788,Summary!$A$2:$A$201,0))</f>
        <v>12.63</v>
      </c>
      <c r="V1788" s="2" t="n">
        <f aca="false">INDEX(Summary!$R$2:$R$201,MATCH($B1788,Summary!$A$2:$A$201,0))</f>
        <v>23.31</v>
      </c>
      <c r="W1788" s="0" t="str">
        <f aca="false">INDEX(Summary!$S$2:$S$201,MATCH($B1788,Summary!$A$2:$A$201,0))</f>
        <v>Silver</v>
      </c>
      <c r="X1788" s="2" t="n">
        <f aca="false">INDEX(Summary!$T$2:$T$201,MATCH($B1788,Summary!$A$2:$A$201,0))</f>
        <v>56.85</v>
      </c>
      <c r="Y1788" s="0" t="str">
        <f aca="false">INDEX('Reward Model'!$E$18:$E$37,MATCH($E1788,'Reward Model'!$A$18:$A$37,0))</f>
        <v>Low</v>
      </c>
      <c r="Z1788" s="4" t="n">
        <f aca="false">ROUND(MIN(1,MAX('Reward Model'!$B$2,INDEX('Reward Model'!$C$12:$C$14,MATCH($K1788,'Reward Model'!$A$12:$A$14,0))/$J1788)),3)</f>
        <v>1</v>
      </c>
      <c r="AA1788" s="2" t="n">
        <f aca="false">IF($I1788="Correct",ROUND(INDEX('Reward Model'!$B$12:$B$14,MATCH($K1788,'Reward Model'!$A$12:$A$14,0))*Z1788,2),0)</f>
        <v>0</v>
      </c>
      <c r="AB1788" s="2" t="n">
        <f aca="false">IF($I1788="Correct",ROUND(INDEX('Reward Model'!$B$12:$B$14,MATCH($Y1788,'Reward Model'!$A$12:$A$14,0))*Z1788,2),0)</f>
        <v>0</v>
      </c>
    </row>
    <row r="1789" customFormat="false" ht="15" hidden="false" customHeight="false" outlineLevel="0" collapsed="false">
      <c r="A1789" s="0" t="s">
        <v>308</v>
      </c>
      <c r="B1789" s="0" t="s">
        <v>309</v>
      </c>
      <c r="C1789" s="0" t="s">
        <v>30</v>
      </c>
      <c r="D1789" s="0" t="s">
        <v>275</v>
      </c>
      <c r="E1789" s="0" t="n">
        <v>8</v>
      </c>
      <c r="F1789" s="0" t="s">
        <v>52</v>
      </c>
      <c r="G1789" s="0" t="s">
        <v>54</v>
      </c>
      <c r="H1789" s="0" t="s">
        <v>54</v>
      </c>
      <c r="I1789" s="0" t="s">
        <v>34</v>
      </c>
      <c r="J1789" s="0" t="n">
        <v>1.04</v>
      </c>
      <c r="K1789" s="0" t="s">
        <v>35</v>
      </c>
      <c r="L1789" s="0" t="n">
        <f aca="false">INDEX(Summary!$F$2:$F$201,MATCH($B1789,Summary!$A$2:$A$201,0))</f>
        <v>20</v>
      </c>
      <c r="M1789" s="0" t="n">
        <f aca="false">INDEX(Summary!$I$2:$I$201,MATCH($B1789,Summary!$A$2:$A$201,0))</f>
        <v>1</v>
      </c>
      <c r="N1789" s="0" t="n">
        <f aca="false">INDEX(Summary!$J$2:$J$201,MATCH($B1789,Summary!$A$2:$A$201,0))</f>
        <v>4</v>
      </c>
      <c r="O1789" s="2" t="n">
        <f aca="false">INDEX(Summary!$K$2:$K$201,MATCH($B1789,Summary!$A$2:$A$201,0))</f>
        <v>9.08</v>
      </c>
      <c r="P1789" s="3" t="n">
        <f aca="false">INDEX(Summary!$L$2:$L$201,MATCH($B1789,Summary!$A$2:$A$201,0))</f>
        <v>4</v>
      </c>
      <c r="Q1789" s="3" t="n">
        <f aca="false">INDEX(Summary!$M$2:$M$201,MATCH($B1789,Summary!$A$2:$A$201,0))</f>
        <v>2</v>
      </c>
      <c r="R1789" s="2" t="n">
        <f aca="false">INDEX(Summary!$N$2:$N$201,MATCH($B1789,Summary!$A$2:$A$201,0))</f>
        <v>8.24</v>
      </c>
      <c r="S1789" s="3" t="n">
        <f aca="false">INDEX(Summary!$O$2:$O$201,MATCH($B1789,Summary!$A$2:$A$201,0))</f>
        <v>8</v>
      </c>
      <c r="T1789" s="3" t="n">
        <f aca="false">INDEX(Summary!$P$2:$P$201,MATCH($B1789,Summary!$A$2:$A$201,0))</f>
        <v>1</v>
      </c>
      <c r="U1789" s="2" t="n">
        <f aca="false">INDEX(Summary!$Q$2:$Q$201,MATCH($B1789,Summary!$A$2:$A$201,0))</f>
        <v>12.63</v>
      </c>
      <c r="V1789" s="2" t="n">
        <f aca="false">INDEX(Summary!$R$2:$R$201,MATCH($B1789,Summary!$A$2:$A$201,0))</f>
        <v>23.31</v>
      </c>
      <c r="W1789" s="0" t="str">
        <f aca="false">INDEX(Summary!$S$2:$S$201,MATCH($B1789,Summary!$A$2:$A$201,0))</f>
        <v>Silver</v>
      </c>
      <c r="X1789" s="2" t="n">
        <f aca="false">INDEX(Summary!$T$2:$T$201,MATCH($B1789,Summary!$A$2:$A$201,0))</f>
        <v>56.85</v>
      </c>
      <c r="Y1789" s="0" t="str">
        <f aca="false">INDEX('Reward Model'!$E$18:$E$37,MATCH($E1789,'Reward Model'!$A$18:$A$37,0))</f>
        <v>Medium</v>
      </c>
      <c r="Z1789" s="4" t="n">
        <f aca="false">ROUND(MIN(1,MAX('Reward Model'!$B$2,INDEX('Reward Model'!$C$12:$C$14,MATCH($K1789,'Reward Model'!$A$12:$A$14,0))/$J1789)),3)</f>
        <v>1</v>
      </c>
      <c r="AA1789" s="2" t="n">
        <f aca="false">IF($I1789="Correct",ROUND(INDEX('Reward Model'!$B$12:$B$14,MATCH($K1789,'Reward Model'!$A$12:$A$14,0))*Z1789,2),0)</f>
        <v>1</v>
      </c>
      <c r="AB1789" s="2" t="n">
        <f aca="false">IF($I1789="Correct",ROUND(INDEX('Reward Model'!$B$12:$B$14,MATCH($Y1789,'Reward Model'!$A$12:$A$14,0))*Z1789,2),0)</f>
        <v>2</v>
      </c>
    </row>
    <row r="1790" customFormat="false" ht="15" hidden="false" customHeight="false" outlineLevel="0" collapsed="false">
      <c r="A1790" s="0" t="s">
        <v>308</v>
      </c>
      <c r="B1790" s="0" t="s">
        <v>309</v>
      </c>
      <c r="C1790" s="0" t="s">
        <v>30</v>
      </c>
      <c r="D1790" s="0" t="s">
        <v>275</v>
      </c>
      <c r="E1790" s="0" t="n">
        <v>9</v>
      </c>
      <c r="F1790" s="0" t="s">
        <v>55</v>
      </c>
      <c r="G1790" s="0" t="s">
        <v>57</v>
      </c>
      <c r="H1790" s="0" t="s">
        <v>57</v>
      </c>
      <c r="I1790" s="0" t="s">
        <v>34</v>
      </c>
      <c r="J1790" s="0" t="n">
        <v>1.46</v>
      </c>
      <c r="K1790" s="0" t="s">
        <v>35</v>
      </c>
      <c r="L1790" s="0" t="n">
        <f aca="false">INDEX(Summary!$F$2:$F$201,MATCH($B1790,Summary!$A$2:$A$201,0))</f>
        <v>20</v>
      </c>
      <c r="M1790" s="0" t="n">
        <f aca="false">INDEX(Summary!$I$2:$I$201,MATCH($B1790,Summary!$A$2:$A$201,0))</f>
        <v>1</v>
      </c>
      <c r="N1790" s="0" t="n">
        <f aca="false">INDEX(Summary!$J$2:$J$201,MATCH($B1790,Summary!$A$2:$A$201,0))</f>
        <v>4</v>
      </c>
      <c r="O1790" s="2" t="n">
        <f aca="false">INDEX(Summary!$K$2:$K$201,MATCH($B1790,Summary!$A$2:$A$201,0))</f>
        <v>9.08</v>
      </c>
      <c r="P1790" s="3" t="n">
        <f aca="false">INDEX(Summary!$L$2:$L$201,MATCH($B1790,Summary!$A$2:$A$201,0))</f>
        <v>4</v>
      </c>
      <c r="Q1790" s="3" t="n">
        <f aca="false">INDEX(Summary!$M$2:$M$201,MATCH($B1790,Summary!$A$2:$A$201,0))</f>
        <v>2</v>
      </c>
      <c r="R1790" s="2" t="n">
        <f aca="false">INDEX(Summary!$N$2:$N$201,MATCH($B1790,Summary!$A$2:$A$201,0))</f>
        <v>8.24</v>
      </c>
      <c r="S1790" s="3" t="n">
        <f aca="false">INDEX(Summary!$O$2:$O$201,MATCH($B1790,Summary!$A$2:$A$201,0))</f>
        <v>8</v>
      </c>
      <c r="T1790" s="3" t="n">
        <f aca="false">INDEX(Summary!$P$2:$P$201,MATCH($B1790,Summary!$A$2:$A$201,0))</f>
        <v>1</v>
      </c>
      <c r="U1790" s="2" t="n">
        <f aca="false">INDEX(Summary!$Q$2:$Q$201,MATCH($B1790,Summary!$A$2:$A$201,0))</f>
        <v>12.63</v>
      </c>
      <c r="V1790" s="2" t="n">
        <f aca="false">INDEX(Summary!$R$2:$R$201,MATCH($B1790,Summary!$A$2:$A$201,0))</f>
        <v>23.31</v>
      </c>
      <c r="W1790" s="0" t="str">
        <f aca="false">INDEX(Summary!$S$2:$S$201,MATCH($B1790,Summary!$A$2:$A$201,0))</f>
        <v>Silver</v>
      </c>
      <c r="X1790" s="2" t="n">
        <f aca="false">INDEX(Summary!$T$2:$T$201,MATCH($B1790,Summary!$A$2:$A$201,0))</f>
        <v>56.85</v>
      </c>
      <c r="Y1790" s="0" t="str">
        <f aca="false">INDEX('Reward Model'!$E$18:$E$37,MATCH($E1790,'Reward Model'!$A$18:$A$37,0))</f>
        <v>Medium</v>
      </c>
      <c r="Z1790" s="4" t="n">
        <f aca="false">ROUND(MIN(1,MAX('Reward Model'!$B$2,INDEX('Reward Model'!$C$12:$C$14,MATCH($K1790,'Reward Model'!$A$12:$A$14,0))/$J1790)),3)</f>
        <v>1</v>
      </c>
      <c r="AA1790" s="2" t="n">
        <f aca="false">IF($I1790="Correct",ROUND(INDEX('Reward Model'!$B$12:$B$14,MATCH($K1790,'Reward Model'!$A$12:$A$14,0))*Z1790,2),0)</f>
        <v>1</v>
      </c>
      <c r="AB1790" s="2" t="n">
        <f aca="false">IF($I1790="Correct",ROUND(INDEX('Reward Model'!$B$12:$B$14,MATCH($Y1790,'Reward Model'!$A$12:$A$14,0))*Z1790,2),0)</f>
        <v>2</v>
      </c>
    </row>
    <row r="1791" customFormat="false" ht="15" hidden="false" customHeight="false" outlineLevel="0" collapsed="false">
      <c r="A1791" s="0" t="s">
        <v>308</v>
      </c>
      <c r="B1791" s="0" t="s">
        <v>309</v>
      </c>
      <c r="C1791" s="0" t="s">
        <v>30</v>
      </c>
      <c r="D1791" s="0" t="s">
        <v>275</v>
      </c>
      <c r="E1791" s="0" t="n">
        <v>10</v>
      </c>
      <c r="F1791" s="0" t="s">
        <v>58</v>
      </c>
      <c r="G1791" s="0" t="s">
        <v>59</v>
      </c>
      <c r="H1791" s="0" t="s">
        <v>59</v>
      </c>
      <c r="I1791" s="0" t="s">
        <v>34</v>
      </c>
      <c r="J1791" s="0" t="n">
        <v>1.28</v>
      </c>
      <c r="K1791" s="0" t="s">
        <v>60</v>
      </c>
      <c r="L1791" s="0" t="n">
        <f aca="false">INDEX(Summary!$F$2:$F$201,MATCH($B1791,Summary!$A$2:$A$201,0))</f>
        <v>20</v>
      </c>
      <c r="M1791" s="0" t="n">
        <f aca="false">INDEX(Summary!$I$2:$I$201,MATCH($B1791,Summary!$A$2:$A$201,0))</f>
        <v>1</v>
      </c>
      <c r="N1791" s="0" t="n">
        <f aca="false">INDEX(Summary!$J$2:$J$201,MATCH($B1791,Summary!$A$2:$A$201,0))</f>
        <v>4</v>
      </c>
      <c r="O1791" s="2" t="n">
        <f aca="false">INDEX(Summary!$K$2:$K$201,MATCH($B1791,Summary!$A$2:$A$201,0))</f>
        <v>9.08</v>
      </c>
      <c r="P1791" s="3" t="n">
        <f aca="false">INDEX(Summary!$L$2:$L$201,MATCH($B1791,Summary!$A$2:$A$201,0))</f>
        <v>4</v>
      </c>
      <c r="Q1791" s="3" t="n">
        <f aca="false">INDEX(Summary!$M$2:$M$201,MATCH($B1791,Summary!$A$2:$A$201,0))</f>
        <v>2</v>
      </c>
      <c r="R1791" s="2" t="n">
        <f aca="false">INDEX(Summary!$N$2:$N$201,MATCH($B1791,Summary!$A$2:$A$201,0))</f>
        <v>8.24</v>
      </c>
      <c r="S1791" s="3" t="n">
        <f aca="false">INDEX(Summary!$O$2:$O$201,MATCH($B1791,Summary!$A$2:$A$201,0))</f>
        <v>8</v>
      </c>
      <c r="T1791" s="3" t="n">
        <f aca="false">INDEX(Summary!$P$2:$P$201,MATCH($B1791,Summary!$A$2:$A$201,0))</f>
        <v>1</v>
      </c>
      <c r="U1791" s="2" t="n">
        <f aca="false">INDEX(Summary!$Q$2:$Q$201,MATCH($B1791,Summary!$A$2:$A$201,0))</f>
        <v>12.63</v>
      </c>
      <c r="V1791" s="2" t="n">
        <f aca="false">INDEX(Summary!$R$2:$R$201,MATCH($B1791,Summary!$A$2:$A$201,0))</f>
        <v>23.31</v>
      </c>
      <c r="W1791" s="0" t="str">
        <f aca="false">INDEX(Summary!$S$2:$S$201,MATCH($B1791,Summary!$A$2:$A$201,0))</f>
        <v>Silver</v>
      </c>
      <c r="X1791" s="2" t="n">
        <f aca="false">INDEX(Summary!$T$2:$T$201,MATCH($B1791,Summary!$A$2:$A$201,0))</f>
        <v>56.85</v>
      </c>
      <c r="Y1791" s="0" t="str">
        <f aca="false">INDEX('Reward Model'!$E$18:$E$37,MATCH($E1791,'Reward Model'!$A$18:$A$37,0))</f>
        <v>Medium</v>
      </c>
      <c r="Z1791" s="4" t="n">
        <f aca="false">ROUND(MIN(1,MAX('Reward Model'!$B$2,INDEX('Reward Model'!$C$12:$C$14,MATCH($K1791,'Reward Model'!$A$12:$A$14,0))/$J1791)),3)</f>
        <v>1</v>
      </c>
      <c r="AA1791" s="2" t="n">
        <f aca="false">IF($I1791="Correct",ROUND(INDEX('Reward Model'!$B$12:$B$14,MATCH($K1791,'Reward Model'!$A$12:$A$14,0))*Z1791,2),0)</f>
        <v>2</v>
      </c>
      <c r="AB1791" s="2" t="n">
        <f aca="false">IF($I1791="Correct",ROUND(INDEX('Reward Model'!$B$12:$B$14,MATCH($Y1791,'Reward Model'!$A$12:$A$14,0))*Z1791,2),0)</f>
        <v>2</v>
      </c>
    </row>
    <row r="1792" customFormat="false" ht="15" hidden="false" customHeight="false" outlineLevel="0" collapsed="false">
      <c r="A1792" s="0" t="s">
        <v>308</v>
      </c>
      <c r="B1792" s="0" t="s">
        <v>309</v>
      </c>
      <c r="C1792" s="0" t="s">
        <v>30</v>
      </c>
      <c r="D1792" s="0" t="s">
        <v>275</v>
      </c>
      <c r="E1792" s="0" t="n">
        <v>11</v>
      </c>
      <c r="F1792" s="0" t="s">
        <v>61</v>
      </c>
      <c r="G1792" s="0" t="s">
        <v>150</v>
      </c>
      <c r="H1792" s="0" t="s">
        <v>63</v>
      </c>
      <c r="I1792" s="0" t="s">
        <v>39</v>
      </c>
      <c r="J1792" s="0" t="n">
        <v>1.3</v>
      </c>
      <c r="K1792" s="0" t="s">
        <v>60</v>
      </c>
      <c r="L1792" s="0" t="n">
        <f aca="false">INDEX(Summary!$F$2:$F$201,MATCH($B1792,Summary!$A$2:$A$201,0))</f>
        <v>20</v>
      </c>
      <c r="M1792" s="0" t="n">
        <f aca="false">INDEX(Summary!$I$2:$I$201,MATCH($B1792,Summary!$A$2:$A$201,0))</f>
        <v>1</v>
      </c>
      <c r="N1792" s="0" t="n">
        <f aca="false">INDEX(Summary!$J$2:$J$201,MATCH($B1792,Summary!$A$2:$A$201,0))</f>
        <v>4</v>
      </c>
      <c r="O1792" s="2" t="n">
        <f aca="false">INDEX(Summary!$K$2:$K$201,MATCH($B1792,Summary!$A$2:$A$201,0))</f>
        <v>9.08</v>
      </c>
      <c r="P1792" s="3" t="n">
        <f aca="false">INDEX(Summary!$L$2:$L$201,MATCH($B1792,Summary!$A$2:$A$201,0))</f>
        <v>4</v>
      </c>
      <c r="Q1792" s="3" t="n">
        <f aca="false">INDEX(Summary!$M$2:$M$201,MATCH($B1792,Summary!$A$2:$A$201,0))</f>
        <v>2</v>
      </c>
      <c r="R1792" s="2" t="n">
        <f aca="false">INDEX(Summary!$N$2:$N$201,MATCH($B1792,Summary!$A$2:$A$201,0))</f>
        <v>8.24</v>
      </c>
      <c r="S1792" s="3" t="n">
        <f aca="false">INDEX(Summary!$O$2:$O$201,MATCH($B1792,Summary!$A$2:$A$201,0))</f>
        <v>8</v>
      </c>
      <c r="T1792" s="3" t="n">
        <f aca="false">INDEX(Summary!$P$2:$P$201,MATCH($B1792,Summary!$A$2:$A$201,0))</f>
        <v>1</v>
      </c>
      <c r="U1792" s="2" t="n">
        <f aca="false">INDEX(Summary!$Q$2:$Q$201,MATCH($B1792,Summary!$A$2:$A$201,0))</f>
        <v>12.63</v>
      </c>
      <c r="V1792" s="2" t="n">
        <f aca="false">INDEX(Summary!$R$2:$R$201,MATCH($B1792,Summary!$A$2:$A$201,0))</f>
        <v>23.31</v>
      </c>
      <c r="W1792" s="0" t="str">
        <f aca="false">INDEX(Summary!$S$2:$S$201,MATCH($B1792,Summary!$A$2:$A$201,0))</f>
        <v>Silver</v>
      </c>
      <c r="X1792" s="2" t="n">
        <f aca="false">INDEX(Summary!$T$2:$T$201,MATCH($B1792,Summary!$A$2:$A$201,0))</f>
        <v>56.85</v>
      </c>
      <c r="Y1792" s="0" t="str">
        <f aca="false">INDEX('Reward Model'!$E$18:$E$37,MATCH($E1792,'Reward Model'!$A$18:$A$37,0))</f>
        <v>Medium</v>
      </c>
      <c r="Z1792" s="4" t="n">
        <f aca="false">ROUND(MIN(1,MAX('Reward Model'!$B$2,INDEX('Reward Model'!$C$12:$C$14,MATCH($K1792,'Reward Model'!$A$12:$A$14,0))/$J1792)),3)</f>
        <v>1</v>
      </c>
      <c r="AA1792" s="2" t="n">
        <f aca="false">IF($I1792="Correct",ROUND(INDEX('Reward Model'!$B$12:$B$14,MATCH($K1792,'Reward Model'!$A$12:$A$14,0))*Z1792,2),0)</f>
        <v>0</v>
      </c>
      <c r="AB1792" s="2" t="n">
        <f aca="false">IF($I1792="Correct",ROUND(INDEX('Reward Model'!$B$12:$B$14,MATCH($Y1792,'Reward Model'!$A$12:$A$14,0))*Z1792,2),0)</f>
        <v>0</v>
      </c>
    </row>
    <row r="1793" customFormat="false" ht="15" hidden="false" customHeight="false" outlineLevel="0" collapsed="false">
      <c r="A1793" s="0" t="s">
        <v>308</v>
      </c>
      <c r="B1793" s="0" t="s">
        <v>309</v>
      </c>
      <c r="C1793" s="0" t="s">
        <v>30</v>
      </c>
      <c r="D1793" s="0" t="s">
        <v>275</v>
      </c>
      <c r="E1793" s="0" t="n">
        <v>12</v>
      </c>
      <c r="F1793" s="0" t="s">
        <v>64</v>
      </c>
      <c r="G1793" s="0" t="s">
        <v>65</v>
      </c>
      <c r="H1793" s="0" t="s">
        <v>65</v>
      </c>
      <c r="I1793" s="0" t="s">
        <v>34</v>
      </c>
      <c r="J1793" s="0" t="n">
        <v>1.5</v>
      </c>
      <c r="K1793" s="0" t="s">
        <v>60</v>
      </c>
      <c r="L1793" s="0" t="n">
        <f aca="false">INDEX(Summary!$F$2:$F$201,MATCH($B1793,Summary!$A$2:$A$201,0))</f>
        <v>20</v>
      </c>
      <c r="M1793" s="0" t="n">
        <f aca="false">INDEX(Summary!$I$2:$I$201,MATCH($B1793,Summary!$A$2:$A$201,0))</f>
        <v>1</v>
      </c>
      <c r="N1793" s="0" t="n">
        <f aca="false">INDEX(Summary!$J$2:$J$201,MATCH($B1793,Summary!$A$2:$A$201,0))</f>
        <v>4</v>
      </c>
      <c r="O1793" s="2" t="n">
        <f aca="false">INDEX(Summary!$K$2:$K$201,MATCH($B1793,Summary!$A$2:$A$201,0))</f>
        <v>9.08</v>
      </c>
      <c r="P1793" s="3" t="n">
        <f aca="false">INDEX(Summary!$L$2:$L$201,MATCH($B1793,Summary!$A$2:$A$201,0))</f>
        <v>4</v>
      </c>
      <c r="Q1793" s="3" t="n">
        <f aca="false">INDEX(Summary!$M$2:$M$201,MATCH($B1793,Summary!$A$2:$A$201,0))</f>
        <v>2</v>
      </c>
      <c r="R1793" s="2" t="n">
        <f aca="false">INDEX(Summary!$N$2:$N$201,MATCH($B1793,Summary!$A$2:$A$201,0))</f>
        <v>8.24</v>
      </c>
      <c r="S1793" s="3" t="n">
        <f aca="false">INDEX(Summary!$O$2:$O$201,MATCH($B1793,Summary!$A$2:$A$201,0))</f>
        <v>8</v>
      </c>
      <c r="T1793" s="3" t="n">
        <f aca="false">INDEX(Summary!$P$2:$P$201,MATCH($B1793,Summary!$A$2:$A$201,0))</f>
        <v>1</v>
      </c>
      <c r="U1793" s="2" t="n">
        <f aca="false">INDEX(Summary!$Q$2:$Q$201,MATCH($B1793,Summary!$A$2:$A$201,0))</f>
        <v>12.63</v>
      </c>
      <c r="V1793" s="2" t="n">
        <f aca="false">INDEX(Summary!$R$2:$R$201,MATCH($B1793,Summary!$A$2:$A$201,0))</f>
        <v>23.31</v>
      </c>
      <c r="W1793" s="0" t="str">
        <f aca="false">INDEX(Summary!$S$2:$S$201,MATCH($B1793,Summary!$A$2:$A$201,0))</f>
        <v>Silver</v>
      </c>
      <c r="X1793" s="2" t="n">
        <f aca="false">INDEX(Summary!$T$2:$T$201,MATCH($B1793,Summary!$A$2:$A$201,0))</f>
        <v>56.85</v>
      </c>
      <c r="Y1793" s="0" t="str">
        <f aca="false">INDEX('Reward Model'!$E$18:$E$37,MATCH($E1793,'Reward Model'!$A$18:$A$37,0))</f>
        <v>Medium</v>
      </c>
      <c r="Z1793" s="4" t="n">
        <f aca="false">ROUND(MIN(1,MAX('Reward Model'!$B$2,INDEX('Reward Model'!$C$12:$C$14,MATCH($K1793,'Reward Model'!$A$12:$A$14,0))/$J1793)),3)</f>
        <v>1</v>
      </c>
      <c r="AA1793" s="2" t="n">
        <f aca="false">IF($I1793="Correct",ROUND(INDEX('Reward Model'!$B$12:$B$14,MATCH($K1793,'Reward Model'!$A$12:$A$14,0))*Z1793,2),0)</f>
        <v>2</v>
      </c>
      <c r="AB1793" s="2" t="n">
        <f aca="false">IF($I1793="Correct",ROUND(INDEX('Reward Model'!$B$12:$B$14,MATCH($Y1793,'Reward Model'!$A$12:$A$14,0))*Z1793,2),0)</f>
        <v>2</v>
      </c>
    </row>
    <row r="1794" customFormat="false" ht="15" hidden="false" customHeight="false" outlineLevel="0" collapsed="false">
      <c r="A1794" s="0" t="s">
        <v>308</v>
      </c>
      <c r="B1794" s="0" t="s">
        <v>309</v>
      </c>
      <c r="C1794" s="0" t="s">
        <v>30</v>
      </c>
      <c r="D1794" s="0" t="s">
        <v>275</v>
      </c>
      <c r="E1794" s="0" t="n">
        <v>13</v>
      </c>
      <c r="F1794" s="0" t="s">
        <v>66</v>
      </c>
      <c r="G1794" s="0" t="s">
        <v>165</v>
      </c>
      <c r="H1794" s="0" t="s">
        <v>67</v>
      </c>
      <c r="I1794" s="0" t="s">
        <v>39</v>
      </c>
      <c r="J1794" s="0" t="n">
        <v>1.51</v>
      </c>
      <c r="K1794" s="0" t="s">
        <v>60</v>
      </c>
      <c r="L1794" s="0" t="n">
        <f aca="false">INDEX(Summary!$F$2:$F$201,MATCH($B1794,Summary!$A$2:$A$201,0))</f>
        <v>20</v>
      </c>
      <c r="M1794" s="0" t="n">
        <f aca="false">INDEX(Summary!$I$2:$I$201,MATCH($B1794,Summary!$A$2:$A$201,0))</f>
        <v>1</v>
      </c>
      <c r="N1794" s="0" t="n">
        <f aca="false">INDEX(Summary!$J$2:$J$201,MATCH($B1794,Summary!$A$2:$A$201,0))</f>
        <v>4</v>
      </c>
      <c r="O1794" s="2" t="n">
        <f aca="false">INDEX(Summary!$K$2:$K$201,MATCH($B1794,Summary!$A$2:$A$201,0))</f>
        <v>9.08</v>
      </c>
      <c r="P1794" s="3" t="n">
        <f aca="false">INDEX(Summary!$L$2:$L$201,MATCH($B1794,Summary!$A$2:$A$201,0))</f>
        <v>4</v>
      </c>
      <c r="Q1794" s="3" t="n">
        <f aca="false">INDEX(Summary!$M$2:$M$201,MATCH($B1794,Summary!$A$2:$A$201,0))</f>
        <v>2</v>
      </c>
      <c r="R1794" s="2" t="n">
        <f aca="false">INDEX(Summary!$N$2:$N$201,MATCH($B1794,Summary!$A$2:$A$201,0))</f>
        <v>8.24</v>
      </c>
      <c r="S1794" s="3" t="n">
        <f aca="false">INDEX(Summary!$O$2:$O$201,MATCH($B1794,Summary!$A$2:$A$201,0))</f>
        <v>8</v>
      </c>
      <c r="T1794" s="3" t="n">
        <f aca="false">INDEX(Summary!$P$2:$P$201,MATCH($B1794,Summary!$A$2:$A$201,0))</f>
        <v>1</v>
      </c>
      <c r="U1794" s="2" t="n">
        <f aca="false">INDEX(Summary!$Q$2:$Q$201,MATCH($B1794,Summary!$A$2:$A$201,0))</f>
        <v>12.63</v>
      </c>
      <c r="V1794" s="2" t="n">
        <f aca="false">INDEX(Summary!$R$2:$R$201,MATCH($B1794,Summary!$A$2:$A$201,0))</f>
        <v>23.31</v>
      </c>
      <c r="W1794" s="0" t="str">
        <f aca="false">INDEX(Summary!$S$2:$S$201,MATCH($B1794,Summary!$A$2:$A$201,0))</f>
        <v>Silver</v>
      </c>
      <c r="X1794" s="2" t="n">
        <f aca="false">INDEX(Summary!$T$2:$T$201,MATCH($B1794,Summary!$A$2:$A$201,0))</f>
        <v>56.85</v>
      </c>
      <c r="Y1794" s="0" t="str">
        <f aca="false">INDEX('Reward Model'!$E$18:$E$37,MATCH($E1794,'Reward Model'!$A$18:$A$37,0))</f>
        <v>Medium</v>
      </c>
      <c r="Z1794" s="4" t="n">
        <f aca="false">ROUND(MIN(1,MAX('Reward Model'!$B$2,INDEX('Reward Model'!$C$12:$C$14,MATCH($K1794,'Reward Model'!$A$12:$A$14,0))/$J1794)),3)</f>
        <v>1</v>
      </c>
      <c r="AA1794" s="2" t="n">
        <f aca="false">IF($I1794="Correct",ROUND(INDEX('Reward Model'!$B$12:$B$14,MATCH($K1794,'Reward Model'!$A$12:$A$14,0))*Z1794,2),0)</f>
        <v>0</v>
      </c>
      <c r="AB1794" s="2" t="n">
        <f aca="false">IF($I1794="Correct",ROUND(INDEX('Reward Model'!$B$12:$B$14,MATCH($Y1794,'Reward Model'!$A$12:$A$14,0))*Z1794,2),0)</f>
        <v>0</v>
      </c>
    </row>
    <row r="1795" customFormat="false" ht="15" hidden="false" customHeight="false" outlineLevel="0" collapsed="false">
      <c r="A1795" s="0" t="s">
        <v>308</v>
      </c>
      <c r="B1795" s="0" t="s">
        <v>309</v>
      </c>
      <c r="C1795" s="0" t="s">
        <v>30</v>
      </c>
      <c r="D1795" s="0" t="s">
        <v>275</v>
      </c>
      <c r="E1795" s="0" t="n">
        <v>14</v>
      </c>
      <c r="F1795" s="0" t="s">
        <v>68</v>
      </c>
      <c r="G1795" s="0" t="s">
        <v>51</v>
      </c>
      <c r="H1795" s="0" t="s">
        <v>51</v>
      </c>
      <c r="I1795" s="0" t="s">
        <v>34</v>
      </c>
      <c r="J1795" s="0" t="n">
        <v>1.42</v>
      </c>
      <c r="K1795" s="0" t="s">
        <v>60</v>
      </c>
      <c r="L1795" s="0" t="n">
        <f aca="false">INDEX(Summary!$F$2:$F$201,MATCH($B1795,Summary!$A$2:$A$201,0))</f>
        <v>20</v>
      </c>
      <c r="M1795" s="0" t="n">
        <f aca="false">INDEX(Summary!$I$2:$I$201,MATCH($B1795,Summary!$A$2:$A$201,0))</f>
        <v>1</v>
      </c>
      <c r="N1795" s="0" t="n">
        <f aca="false">INDEX(Summary!$J$2:$J$201,MATCH($B1795,Summary!$A$2:$A$201,0))</f>
        <v>4</v>
      </c>
      <c r="O1795" s="2" t="n">
        <f aca="false">INDEX(Summary!$K$2:$K$201,MATCH($B1795,Summary!$A$2:$A$201,0))</f>
        <v>9.08</v>
      </c>
      <c r="P1795" s="3" t="n">
        <f aca="false">INDEX(Summary!$L$2:$L$201,MATCH($B1795,Summary!$A$2:$A$201,0))</f>
        <v>4</v>
      </c>
      <c r="Q1795" s="3" t="n">
        <f aca="false">INDEX(Summary!$M$2:$M$201,MATCH($B1795,Summary!$A$2:$A$201,0))</f>
        <v>2</v>
      </c>
      <c r="R1795" s="2" t="n">
        <f aca="false">INDEX(Summary!$N$2:$N$201,MATCH($B1795,Summary!$A$2:$A$201,0))</f>
        <v>8.24</v>
      </c>
      <c r="S1795" s="3" t="n">
        <f aca="false">INDEX(Summary!$O$2:$O$201,MATCH($B1795,Summary!$A$2:$A$201,0))</f>
        <v>8</v>
      </c>
      <c r="T1795" s="3" t="n">
        <f aca="false">INDEX(Summary!$P$2:$P$201,MATCH($B1795,Summary!$A$2:$A$201,0))</f>
        <v>1</v>
      </c>
      <c r="U1795" s="2" t="n">
        <f aca="false">INDEX(Summary!$Q$2:$Q$201,MATCH($B1795,Summary!$A$2:$A$201,0))</f>
        <v>12.63</v>
      </c>
      <c r="V1795" s="2" t="n">
        <f aca="false">INDEX(Summary!$R$2:$R$201,MATCH($B1795,Summary!$A$2:$A$201,0))</f>
        <v>23.31</v>
      </c>
      <c r="W1795" s="0" t="str">
        <f aca="false">INDEX(Summary!$S$2:$S$201,MATCH($B1795,Summary!$A$2:$A$201,0))</f>
        <v>Silver</v>
      </c>
      <c r="X1795" s="2" t="n">
        <f aca="false">INDEX(Summary!$T$2:$T$201,MATCH($B1795,Summary!$A$2:$A$201,0))</f>
        <v>56.85</v>
      </c>
      <c r="Y1795" s="0" t="str">
        <f aca="false">INDEX('Reward Model'!$E$18:$E$37,MATCH($E1795,'Reward Model'!$A$18:$A$37,0))</f>
        <v>Medium</v>
      </c>
      <c r="Z1795" s="4" t="n">
        <f aca="false">ROUND(MIN(1,MAX('Reward Model'!$B$2,INDEX('Reward Model'!$C$12:$C$14,MATCH($K1795,'Reward Model'!$A$12:$A$14,0))/$J1795)),3)</f>
        <v>1</v>
      </c>
      <c r="AA1795" s="2" t="n">
        <f aca="false">IF($I1795="Correct",ROUND(INDEX('Reward Model'!$B$12:$B$14,MATCH($K1795,'Reward Model'!$A$12:$A$14,0))*Z1795,2),0)</f>
        <v>2</v>
      </c>
      <c r="AB1795" s="2" t="n">
        <f aca="false">IF($I1795="Correct",ROUND(INDEX('Reward Model'!$B$12:$B$14,MATCH($Y1795,'Reward Model'!$A$12:$A$14,0))*Z1795,2),0)</f>
        <v>2</v>
      </c>
    </row>
    <row r="1796" customFormat="false" ht="15" hidden="false" customHeight="false" outlineLevel="0" collapsed="false">
      <c r="A1796" s="0" t="s">
        <v>308</v>
      </c>
      <c r="B1796" s="0" t="s">
        <v>309</v>
      </c>
      <c r="C1796" s="0" t="s">
        <v>30</v>
      </c>
      <c r="D1796" s="0" t="s">
        <v>275</v>
      </c>
      <c r="E1796" s="0" t="n">
        <v>15</v>
      </c>
      <c r="F1796" s="0" t="s">
        <v>69</v>
      </c>
      <c r="G1796" s="0" t="s">
        <v>70</v>
      </c>
      <c r="H1796" s="0" t="s">
        <v>70</v>
      </c>
      <c r="I1796" s="0" t="s">
        <v>34</v>
      </c>
      <c r="J1796" s="0" t="n">
        <v>1.23</v>
      </c>
      <c r="K1796" s="0" t="s">
        <v>60</v>
      </c>
      <c r="L1796" s="0" t="n">
        <f aca="false">INDEX(Summary!$F$2:$F$201,MATCH($B1796,Summary!$A$2:$A$201,0))</f>
        <v>20</v>
      </c>
      <c r="M1796" s="0" t="n">
        <f aca="false">INDEX(Summary!$I$2:$I$201,MATCH($B1796,Summary!$A$2:$A$201,0))</f>
        <v>1</v>
      </c>
      <c r="N1796" s="0" t="n">
        <f aca="false">INDEX(Summary!$J$2:$J$201,MATCH($B1796,Summary!$A$2:$A$201,0))</f>
        <v>4</v>
      </c>
      <c r="O1796" s="2" t="n">
        <f aca="false">INDEX(Summary!$K$2:$K$201,MATCH($B1796,Summary!$A$2:$A$201,0))</f>
        <v>9.08</v>
      </c>
      <c r="P1796" s="3" t="n">
        <f aca="false">INDEX(Summary!$L$2:$L$201,MATCH($B1796,Summary!$A$2:$A$201,0))</f>
        <v>4</v>
      </c>
      <c r="Q1796" s="3" t="n">
        <f aca="false">INDEX(Summary!$M$2:$M$201,MATCH($B1796,Summary!$A$2:$A$201,0))</f>
        <v>2</v>
      </c>
      <c r="R1796" s="2" t="n">
        <f aca="false">INDEX(Summary!$N$2:$N$201,MATCH($B1796,Summary!$A$2:$A$201,0))</f>
        <v>8.24</v>
      </c>
      <c r="S1796" s="3" t="n">
        <f aca="false">INDEX(Summary!$O$2:$O$201,MATCH($B1796,Summary!$A$2:$A$201,0))</f>
        <v>8</v>
      </c>
      <c r="T1796" s="3" t="n">
        <f aca="false">INDEX(Summary!$P$2:$P$201,MATCH($B1796,Summary!$A$2:$A$201,0))</f>
        <v>1</v>
      </c>
      <c r="U1796" s="2" t="n">
        <f aca="false">INDEX(Summary!$Q$2:$Q$201,MATCH($B1796,Summary!$A$2:$A$201,0))</f>
        <v>12.63</v>
      </c>
      <c r="V1796" s="2" t="n">
        <f aca="false">INDEX(Summary!$R$2:$R$201,MATCH($B1796,Summary!$A$2:$A$201,0))</f>
        <v>23.31</v>
      </c>
      <c r="W1796" s="0" t="str">
        <f aca="false">INDEX(Summary!$S$2:$S$201,MATCH($B1796,Summary!$A$2:$A$201,0))</f>
        <v>Silver</v>
      </c>
      <c r="X1796" s="2" t="n">
        <f aca="false">INDEX(Summary!$T$2:$T$201,MATCH($B1796,Summary!$A$2:$A$201,0))</f>
        <v>56.85</v>
      </c>
      <c r="Y1796" s="0" t="str">
        <f aca="false">INDEX('Reward Model'!$E$18:$E$37,MATCH($E1796,'Reward Model'!$A$18:$A$37,0))</f>
        <v>Medium</v>
      </c>
      <c r="Z1796" s="4" t="n">
        <f aca="false">ROUND(MIN(1,MAX('Reward Model'!$B$2,INDEX('Reward Model'!$C$12:$C$14,MATCH($K1796,'Reward Model'!$A$12:$A$14,0))/$J1796)),3)</f>
        <v>1</v>
      </c>
      <c r="AA1796" s="2" t="n">
        <f aca="false">IF($I1796="Correct",ROUND(INDEX('Reward Model'!$B$12:$B$14,MATCH($K1796,'Reward Model'!$A$12:$A$14,0))*Z1796,2),0)</f>
        <v>2</v>
      </c>
      <c r="AB1796" s="2" t="n">
        <f aca="false">IF($I1796="Correct",ROUND(INDEX('Reward Model'!$B$12:$B$14,MATCH($Y1796,'Reward Model'!$A$12:$A$14,0))*Z1796,2),0)</f>
        <v>2</v>
      </c>
    </row>
    <row r="1797" customFormat="false" ht="15" hidden="false" customHeight="false" outlineLevel="0" collapsed="false">
      <c r="A1797" s="0" t="s">
        <v>308</v>
      </c>
      <c r="B1797" s="0" t="s">
        <v>309</v>
      </c>
      <c r="C1797" s="0" t="s">
        <v>30</v>
      </c>
      <c r="D1797" s="0" t="s">
        <v>275</v>
      </c>
      <c r="E1797" s="0" t="n">
        <v>16</v>
      </c>
      <c r="F1797" s="0" t="s">
        <v>71</v>
      </c>
      <c r="G1797" s="0" t="s">
        <v>87</v>
      </c>
      <c r="H1797" s="0" t="s">
        <v>72</v>
      </c>
      <c r="I1797" s="0" t="s">
        <v>39</v>
      </c>
      <c r="J1797" s="0" t="n">
        <v>1.37</v>
      </c>
      <c r="K1797" s="0" t="s">
        <v>73</v>
      </c>
      <c r="L1797" s="0" t="n">
        <f aca="false">INDEX(Summary!$F$2:$F$201,MATCH($B1797,Summary!$A$2:$A$201,0))</f>
        <v>20</v>
      </c>
      <c r="M1797" s="0" t="n">
        <f aca="false">INDEX(Summary!$I$2:$I$201,MATCH($B1797,Summary!$A$2:$A$201,0))</f>
        <v>1</v>
      </c>
      <c r="N1797" s="0" t="n">
        <f aca="false">INDEX(Summary!$J$2:$J$201,MATCH($B1797,Summary!$A$2:$A$201,0))</f>
        <v>4</v>
      </c>
      <c r="O1797" s="2" t="n">
        <f aca="false">INDEX(Summary!$K$2:$K$201,MATCH($B1797,Summary!$A$2:$A$201,0))</f>
        <v>9.08</v>
      </c>
      <c r="P1797" s="3" t="n">
        <f aca="false">INDEX(Summary!$L$2:$L$201,MATCH($B1797,Summary!$A$2:$A$201,0))</f>
        <v>4</v>
      </c>
      <c r="Q1797" s="3" t="n">
        <f aca="false">INDEX(Summary!$M$2:$M$201,MATCH($B1797,Summary!$A$2:$A$201,0))</f>
        <v>2</v>
      </c>
      <c r="R1797" s="2" t="n">
        <f aca="false">INDEX(Summary!$N$2:$N$201,MATCH($B1797,Summary!$A$2:$A$201,0))</f>
        <v>8.24</v>
      </c>
      <c r="S1797" s="3" t="n">
        <f aca="false">INDEX(Summary!$O$2:$O$201,MATCH($B1797,Summary!$A$2:$A$201,0))</f>
        <v>8</v>
      </c>
      <c r="T1797" s="3" t="n">
        <f aca="false">INDEX(Summary!$P$2:$P$201,MATCH($B1797,Summary!$A$2:$A$201,0))</f>
        <v>1</v>
      </c>
      <c r="U1797" s="2" t="n">
        <f aca="false">INDEX(Summary!$Q$2:$Q$201,MATCH($B1797,Summary!$A$2:$A$201,0))</f>
        <v>12.63</v>
      </c>
      <c r="V1797" s="2" t="n">
        <f aca="false">INDEX(Summary!$R$2:$R$201,MATCH($B1797,Summary!$A$2:$A$201,0))</f>
        <v>23.31</v>
      </c>
      <c r="W1797" s="0" t="str">
        <f aca="false">INDEX(Summary!$S$2:$S$201,MATCH($B1797,Summary!$A$2:$A$201,0))</f>
        <v>Silver</v>
      </c>
      <c r="X1797" s="2" t="n">
        <f aca="false">INDEX(Summary!$T$2:$T$201,MATCH($B1797,Summary!$A$2:$A$201,0))</f>
        <v>56.85</v>
      </c>
      <c r="Y1797" s="0" t="str">
        <f aca="false">INDEX('Reward Model'!$E$18:$E$37,MATCH($E1797,'Reward Model'!$A$18:$A$37,0))</f>
        <v>High</v>
      </c>
      <c r="Z1797" s="4" t="n">
        <f aca="false">ROUND(MIN(1,MAX('Reward Model'!$B$2,INDEX('Reward Model'!$C$12:$C$14,MATCH($K1797,'Reward Model'!$A$12:$A$14,0))/$J1797)),3)</f>
        <v>1</v>
      </c>
      <c r="AA1797" s="2" t="n">
        <f aca="false">IF($I1797="Correct",ROUND(INDEX('Reward Model'!$B$12:$B$14,MATCH($K1797,'Reward Model'!$A$12:$A$14,0))*Z1797,2),0)</f>
        <v>0</v>
      </c>
      <c r="AB1797" s="2" t="n">
        <f aca="false">IF($I1797="Correct",ROUND(INDEX('Reward Model'!$B$12:$B$14,MATCH($Y1797,'Reward Model'!$A$12:$A$14,0))*Z1797,2),0)</f>
        <v>0</v>
      </c>
    </row>
    <row r="1798" customFormat="false" ht="15" hidden="false" customHeight="false" outlineLevel="0" collapsed="false">
      <c r="A1798" s="0" t="s">
        <v>308</v>
      </c>
      <c r="B1798" s="0" t="s">
        <v>309</v>
      </c>
      <c r="C1798" s="0" t="s">
        <v>30</v>
      </c>
      <c r="D1798" s="0" t="s">
        <v>275</v>
      </c>
      <c r="E1798" s="0" t="n">
        <v>17</v>
      </c>
      <c r="F1798" s="0" t="s">
        <v>74</v>
      </c>
      <c r="G1798" s="0" t="s">
        <v>75</v>
      </c>
      <c r="H1798" s="0" t="s">
        <v>75</v>
      </c>
      <c r="I1798" s="0" t="s">
        <v>34</v>
      </c>
      <c r="J1798" s="0" t="n">
        <v>1.3</v>
      </c>
      <c r="K1798" s="0" t="s">
        <v>73</v>
      </c>
      <c r="L1798" s="0" t="n">
        <f aca="false">INDEX(Summary!$F$2:$F$201,MATCH($B1798,Summary!$A$2:$A$201,0))</f>
        <v>20</v>
      </c>
      <c r="M1798" s="0" t="n">
        <f aca="false">INDEX(Summary!$I$2:$I$201,MATCH($B1798,Summary!$A$2:$A$201,0))</f>
        <v>1</v>
      </c>
      <c r="N1798" s="0" t="n">
        <f aca="false">INDEX(Summary!$J$2:$J$201,MATCH($B1798,Summary!$A$2:$A$201,0))</f>
        <v>4</v>
      </c>
      <c r="O1798" s="2" t="n">
        <f aca="false">INDEX(Summary!$K$2:$K$201,MATCH($B1798,Summary!$A$2:$A$201,0))</f>
        <v>9.08</v>
      </c>
      <c r="P1798" s="3" t="n">
        <f aca="false">INDEX(Summary!$L$2:$L$201,MATCH($B1798,Summary!$A$2:$A$201,0))</f>
        <v>4</v>
      </c>
      <c r="Q1798" s="3" t="n">
        <f aca="false">INDEX(Summary!$M$2:$M$201,MATCH($B1798,Summary!$A$2:$A$201,0))</f>
        <v>2</v>
      </c>
      <c r="R1798" s="2" t="n">
        <f aca="false">INDEX(Summary!$N$2:$N$201,MATCH($B1798,Summary!$A$2:$A$201,0))</f>
        <v>8.24</v>
      </c>
      <c r="S1798" s="3" t="n">
        <f aca="false">INDEX(Summary!$O$2:$O$201,MATCH($B1798,Summary!$A$2:$A$201,0))</f>
        <v>8</v>
      </c>
      <c r="T1798" s="3" t="n">
        <f aca="false">INDEX(Summary!$P$2:$P$201,MATCH($B1798,Summary!$A$2:$A$201,0))</f>
        <v>1</v>
      </c>
      <c r="U1798" s="2" t="n">
        <f aca="false">INDEX(Summary!$Q$2:$Q$201,MATCH($B1798,Summary!$A$2:$A$201,0))</f>
        <v>12.63</v>
      </c>
      <c r="V1798" s="2" t="n">
        <f aca="false">INDEX(Summary!$R$2:$R$201,MATCH($B1798,Summary!$A$2:$A$201,0))</f>
        <v>23.31</v>
      </c>
      <c r="W1798" s="0" t="str">
        <f aca="false">INDEX(Summary!$S$2:$S$201,MATCH($B1798,Summary!$A$2:$A$201,0))</f>
        <v>Silver</v>
      </c>
      <c r="X1798" s="2" t="n">
        <f aca="false">INDEX(Summary!$T$2:$T$201,MATCH($B1798,Summary!$A$2:$A$201,0))</f>
        <v>56.85</v>
      </c>
      <c r="Y1798" s="0" t="str">
        <f aca="false">INDEX('Reward Model'!$E$18:$E$37,MATCH($E1798,'Reward Model'!$A$18:$A$37,0))</f>
        <v>High</v>
      </c>
      <c r="Z1798" s="4" t="n">
        <f aca="false">ROUND(MIN(1,MAX('Reward Model'!$B$2,INDEX('Reward Model'!$C$12:$C$14,MATCH($K1798,'Reward Model'!$A$12:$A$14,0))/$J1798)),3)</f>
        <v>1</v>
      </c>
      <c r="AA1798" s="2" t="n">
        <f aca="false">IF($I1798="Correct",ROUND(INDEX('Reward Model'!$B$12:$B$14,MATCH($K1798,'Reward Model'!$A$12:$A$14,0))*Z1798,2),0)</f>
        <v>3</v>
      </c>
      <c r="AB1798" s="2" t="n">
        <f aca="false">IF($I1798="Correct",ROUND(INDEX('Reward Model'!$B$12:$B$14,MATCH($Y1798,'Reward Model'!$A$12:$A$14,0))*Z1798,2),0)</f>
        <v>3</v>
      </c>
    </row>
    <row r="1799" customFormat="false" ht="15" hidden="false" customHeight="false" outlineLevel="0" collapsed="false">
      <c r="A1799" s="0" t="s">
        <v>308</v>
      </c>
      <c r="B1799" s="0" t="s">
        <v>309</v>
      </c>
      <c r="C1799" s="0" t="s">
        <v>30</v>
      </c>
      <c r="D1799" s="0" t="s">
        <v>275</v>
      </c>
      <c r="E1799" s="0" t="n">
        <v>18</v>
      </c>
      <c r="F1799" s="0" t="s">
        <v>76</v>
      </c>
      <c r="G1799" s="0" t="s">
        <v>128</v>
      </c>
      <c r="H1799" s="0" t="s">
        <v>77</v>
      </c>
      <c r="I1799" s="0" t="s">
        <v>39</v>
      </c>
      <c r="J1799" s="0" t="n">
        <v>2.23</v>
      </c>
      <c r="K1799" s="0" t="s">
        <v>73</v>
      </c>
      <c r="L1799" s="0" t="n">
        <f aca="false">INDEX(Summary!$F$2:$F$201,MATCH($B1799,Summary!$A$2:$A$201,0))</f>
        <v>20</v>
      </c>
      <c r="M1799" s="0" t="n">
        <f aca="false">INDEX(Summary!$I$2:$I$201,MATCH($B1799,Summary!$A$2:$A$201,0))</f>
        <v>1</v>
      </c>
      <c r="N1799" s="0" t="n">
        <f aca="false">INDEX(Summary!$J$2:$J$201,MATCH($B1799,Summary!$A$2:$A$201,0))</f>
        <v>4</v>
      </c>
      <c r="O1799" s="2" t="n">
        <f aca="false">INDEX(Summary!$K$2:$K$201,MATCH($B1799,Summary!$A$2:$A$201,0))</f>
        <v>9.08</v>
      </c>
      <c r="P1799" s="3" t="n">
        <f aca="false">INDEX(Summary!$L$2:$L$201,MATCH($B1799,Summary!$A$2:$A$201,0))</f>
        <v>4</v>
      </c>
      <c r="Q1799" s="3" t="n">
        <f aca="false">INDEX(Summary!$M$2:$M$201,MATCH($B1799,Summary!$A$2:$A$201,0))</f>
        <v>2</v>
      </c>
      <c r="R1799" s="2" t="n">
        <f aca="false">INDEX(Summary!$N$2:$N$201,MATCH($B1799,Summary!$A$2:$A$201,0))</f>
        <v>8.24</v>
      </c>
      <c r="S1799" s="3" t="n">
        <f aca="false">INDEX(Summary!$O$2:$O$201,MATCH($B1799,Summary!$A$2:$A$201,0))</f>
        <v>8</v>
      </c>
      <c r="T1799" s="3" t="n">
        <f aca="false">INDEX(Summary!$P$2:$P$201,MATCH($B1799,Summary!$A$2:$A$201,0))</f>
        <v>1</v>
      </c>
      <c r="U1799" s="2" t="n">
        <f aca="false">INDEX(Summary!$Q$2:$Q$201,MATCH($B1799,Summary!$A$2:$A$201,0))</f>
        <v>12.63</v>
      </c>
      <c r="V1799" s="2" t="n">
        <f aca="false">INDEX(Summary!$R$2:$R$201,MATCH($B1799,Summary!$A$2:$A$201,0))</f>
        <v>23.31</v>
      </c>
      <c r="W1799" s="0" t="str">
        <f aca="false">INDEX(Summary!$S$2:$S$201,MATCH($B1799,Summary!$A$2:$A$201,0))</f>
        <v>Silver</v>
      </c>
      <c r="X1799" s="2" t="n">
        <f aca="false">INDEX(Summary!$T$2:$T$201,MATCH($B1799,Summary!$A$2:$A$201,0))</f>
        <v>56.85</v>
      </c>
      <c r="Y1799" s="0" t="str">
        <f aca="false">INDEX('Reward Model'!$E$18:$E$37,MATCH($E1799,'Reward Model'!$A$18:$A$37,0))</f>
        <v>High</v>
      </c>
      <c r="Z1799" s="4" t="n">
        <f aca="false">ROUND(MIN(1,MAX('Reward Model'!$B$2,INDEX('Reward Model'!$C$12:$C$14,MATCH($K1799,'Reward Model'!$A$12:$A$14,0))/$J1799)),3)</f>
        <v>0.897</v>
      </c>
      <c r="AA1799" s="2" t="n">
        <f aca="false">IF($I1799="Correct",ROUND(INDEX('Reward Model'!$B$12:$B$14,MATCH($K1799,'Reward Model'!$A$12:$A$14,0))*Z1799,2),0)</f>
        <v>0</v>
      </c>
      <c r="AB1799" s="2" t="n">
        <f aca="false">IF($I1799="Correct",ROUND(INDEX('Reward Model'!$B$12:$B$14,MATCH($Y1799,'Reward Model'!$A$12:$A$14,0))*Z1799,2),0)</f>
        <v>0</v>
      </c>
    </row>
    <row r="1800" customFormat="false" ht="15" hidden="false" customHeight="false" outlineLevel="0" collapsed="false">
      <c r="A1800" s="0" t="s">
        <v>308</v>
      </c>
      <c r="B1800" s="0" t="s">
        <v>309</v>
      </c>
      <c r="C1800" s="0" t="s">
        <v>30</v>
      </c>
      <c r="D1800" s="0" t="s">
        <v>275</v>
      </c>
      <c r="E1800" s="0" t="n">
        <v>19</v>
      </c>
      <c r="F1800" s="0" t="s">
        <v>78</v>
      </c>
      <c r="G1800" s="0" t="s">
        <v>132</v>
      </c>
      <c r="H1800" s="0" t="s">
        <v>80</v>
      </c>
      <c r="I1800" s="0" t="s">
        <v>39</v>
      </c>
      <c r="J1800" s="0" t="n">
        <v>2.36</v>
      </c>
      <c r="K1800" s="0" t="s">
        <v>73</v>
      </c>
      <c r="L1800" s="0" t="n">
        <f aca="false">INDEX(Summary!$F$2:$F$201,MATCH($B1800,Summary!$A$2:$A$201,0))</f>
        <v>20</v>
      </c>
      <c r="M1800" s="0" t="n">
        <f aca="false">INDEX(Summary!$I$2:$I$201,MATCH($B1800,Summary!$A$2:$A$201,0))</f>
        <v>1</v>
      </c>
      <c r="N1800" s="0" t="n">
        <f aca="false">INDEX(Summary!$J$2:$J$201,MATCH($B1800,Summary!$A$2:$A$201,0))</f>
        <v>4</v>
      </c>
      <c r="O1800" s="2" t="n">
        <f aca="false">INDEX(Summary!$K$2:$K$201,MATCH($B1800,Summary!$A$2:$A$201,0))</f>
        <v>9.08</v>
      </c>
      <c r="P1800" s="3" t="n">
        <f aca="false">INDEX(Summary!$L$2:$L$201,MATCH($B1800,Summary!$A$2:$A$201,0))</f>
        <v>4</v>
      </c>
      <c r="Q1800" s="3" t="n">
        <f aca="false">INDEX(Summary!$M$2:$M$201,MATCH($B1800,Summary!$A$2:$A$201,0))</f>
        <v>2</v>
      </c>
      <c r="R1800" s="2" t="n">
        <f aca="false">INDEX(Summary!$N$2:$N$201,MATCH($B1800,Summary!$A$2:$A$201,0))</f>
        <v>8.24</v>
      </c>
      <c r="S1800" s="3" t="n">
        <f aca="false">INDEX(Summary!$O$2:$O$201,MATCH($B1800,Summary!$A$2:$A$201,0))</f>
        <v>8</v>
      </c>
      <c r="T1800" s="3" t="n">
        <f aca="false">INDEX(Summary!$P$2:$P$201,MATCH($B1800,Summary!$A$2:$A$201,0))</f>
        <v>1</v>
      </c>
      <c r="U1800" s="2" t="n">
        <f aca="false">INDEX(Summary!$Q$2:$Q$201,MATCH($B1800,Summary!$A$2:$A$201,0))</f>
        <v>12.63</v>
      </c>
      <c r="V1800" s="2" t="n">
        <f aca="false">INDEX(Summary!$R$2:$R$201,MATCH($B1800,Summary!$A$2:$A$201,0))</f>
        <v>23.31</v>
      </c>
      <c r="W1800" s="0" t="str">
        <f aca="false">INDEX(Summary!$S$2:$S$201,MATCH($B1800,Summary!$A$2:$A$201,0))</f>
        <v>Silver</v>
      </c>
      <c r="X1800" s="2" t="n">
        <f aca="false">INDEX(Summary!$T$2:$T$201,MATCH($B1800,Summary!$A$2:$A$201,0))</f>
        <v>56.85</v>
      </c>
      <c r="Y1800" s="0" t="str">
        <f aca="false">INDEX('Reward Model'!$E$18:$E$37,MATCH($E1800,'Reward Model'!$A$18:$A$37,0))</f>
        <v>High</v>
      </c>
      <c r="Z1800" s="4" t="n">
        <f aca="false">ROUND(MIN(1,MAX('Reward Model'!$B$2,INDEX('Reward Model'!$C$12:$C$14,MATCH($K1800,'Reward Model'!$A$12:$A$14,0))/$J1800)),3)</f>
        <v>0.847</v>
      </c>
      <c r="AA1800" s="2" t="n">
        <f aca="false">IF($I1800="Correct",ROUND(INDEX('Reward Model'!$B$12:$B$14,MATCH($K1800,'Reward Model'!$A$12:$A$14,0))*Z1800,2),0)</f>
        <v>0</v>
      </c>
      <c r="AB1800" s="2" t="n">
        <f aca="false">IF($I1800="Correct",ROUND(INDEX('Reward Model'!$B$12:$B$14,MATCH($Y1800,'Reward Model'!$A$12:$A$14,0))*Z1800,2),0)</f>
        <v>0</v>
      </c>
    </row>
    <row r="1801" customFormat="false" ht="15" hidden="false" customHeight="false" outlineLevel="0" collapsed="false">
      <c r="A1801" s="0" t="s">
        <v>308</v>
      </c>
      <c r="B1801" s="0" t="s">
        <v>309</v>
      </c>
      <c r="C1801" s="0" t="s">
        <v>30</v>
      </c>
      <c r="D1801" s="0" t="s">
        <v>275</v>
      </c>
      <c r="E1801" s="0" t="n">
        <v>20</v>
      </c>
      <c r="F1801" s="0" t="s">
        <v>81</v>
      </c>
      <c r="G1801" s="0" t="s">
        <v>119</v>
      </c>
      <c r="H1801" s="0" t="s">
        <v>83</v>
      </c>
      <c r="I1801" s="0" t="s">
        <v>39</v>
      </c>
      <c r="J1801" s="0" t="n">
        <v>1.82</v>
      </c>
      <c r="K1801" s="0" t="s">
        <v>73</v>
      </c>
      <c r="L1801" s="0" t="n">
        <f aca="false">INDEX(Summary!$F$2:$F$201,MATCH($B1801,Summary!$A$2:$A$201,0))</f>
        <v>20</v>
      </c>
      <c r="M1801" s="0" t="n">
        <f aca="false">INDEX(Summary!$I$2:$I$201,MATCH($B1801,Summary!$A$2:$A$201,0))</f>
        <v>1</v>
      </c>
      <c r="N1801" s="0" t="n">
        <f aca="false">INDEX(Summary!$J$2:$J$201,MATCH($B1801,Summary!$A$2:$A$201,0))</f>
        <v>4</v>
      </c>
      <c r="O1801" s="2" t="n">
        <f aca="false">INDEX(Summary!$K$2:$K$201,MATCH($B1801,Summary!$A$2:$A$201,0))</f>
        <v>9.08</v>
      </c>
      <c r="P1801" s="3" t="n">
        <f aca="false">INDEX(Summary!$L$2:$L$201,MATCH($B1801,Summary!$A$2:$A$201,0))</f>
        <v>4</v>
      </c>
      <c r="Q1801" s="3" t="n">
        <f aca="false">INDEX(Summary!$M$2:$M$201,MATCH($B1801,Summary!$A$2:$A$201,0))</f>
        <v>2</v>
      </c>
      <c r="R1801" s="2" t="n">
        <f aca="false">INDEX(Summary!$N$2:$N$201,MATCH($B1801,Summary!$A$2:$A$201,0))</f>
        <v>8.24</v>
      </c>
      <c r="S1801" s="3" t="n">
        <f aca="false">INDEX(Summary!$O$2:$O$201,MATCH($B1801,Summary!$A$2:$A$201,0))</f>
        <v>8</v>
      </c>
      <c r="T1801" s="3" t="n">
        <f aca="false">INDEX(Summary!$P$2:$P$201,MATCH($B1801,Summary!$A$2:$A$201,0))</f>
        <v>1</v>
      </c>
      <c r="U1801" s="2" t="n">
        <f aca="false">INDEX(Summary!$Q$2:$Q$201,MATCH($B1801,Summary!$A$2:$A$201,0))</f>
        <v>12.63</v>
      </c>
      <c r="V1801" s="2" t="n">
        <f aca="false">INDEX(Summary!$R$2:$R$201,MATCH($B1801,Summary!$A$2:$A$201,0))</f>
        <v>23.31</v>
      </c>
      <c r="W1801" s="0" t="str">
        <f aca="false">INDEX(Summary!$S$2:$S$201,MATCH($B1801,Summary!$A$2:$A$201,0))</f>
        <v>Silver</v>
      </c>
      <c r="X1801" s="2" t="n">
        <f aca="false">INDEX(Summary!$T$2:$T$201,MATCH($B1801,Summary!$A$2:$A$201,0))</f>
        <v>56.85</v>
      </c>
      <c r="Y1801" s="0" t="str">
        <f aca="false">INDEX('Reward Model'!$E$18:$E$37,MATCH($E1801,'Reward Model'!$A$18:$A$37,0))</f>
        <v>High</v>
      </c>
      <c r="Z1801" s="4" t="n">
        <f aca="false">ROUND(MIN(1,MAX('Reward Model'!$B$2,INDEX('Reward Model'!$C$12:$C$14,MATCH($K1801,'Reward Model'!$A$12:$A$14,0))/$J1801)),3)</f>
        <v>1</v>
      </c>
      <c r="AA1801" s="2" t="n">
        <f aca="false">IF($I1801="Correct",ROUND(INDEX('Reward Model'!$B$12:$B$14,MATCH($K1801,'Reward Model'!$A$12:$A$14,0))*Z1801,2),0)</f>
        <v>0</v>
      </c>
      <c r="AB1801" s="2" t="n">
        <f aca="false">IF($I1801="Correct",ROUND(INDEX('Reward Model'!$B$12:$B$14,MATCH($Y1801,'Reward Model'!$A$12:$A$14,0))*Z1801,2),0)</f>
        <v>0</v>
      </c>
    </row>
    <row r="1802" customFormat="false" ht="15" hidden="false" customHeight="false" outlineLevel="0" collapsed="false">
      <c r="A1802" s="0" t="s">
        <v>310</v>
      </c>
      <c r="B1802" s="0" t="s">
        <v>311</v>
      </c>
      <c r="C1802" s="0" t="s">
        <v>30</v>
      </c>
      <c r="D1802" s="0" t="s">
        <v>275</v>
      </c>
      <c r="E1802" s="0" t="n">
        <v>1</v>
      </c>
      <c r="F1802" s="0" t="s">
        <v>32</v>
      </c>
      <c r="G1802" s="0" t="s">
        <v>33</v>
      </c>
      <c r="H1802" s="0" t="s">
        <v>33</v>
      </c>
      <c r="I1802" s="0" t="s">
        <v>34</v>
      </c>
      <c r="J1802" s="0" t="n">
        <v>0.92</v>
      </c>
      <c r="K1802" s="0" t="s">
        <v>35</v>
      </c>
      <c r="L1802" s="0" t="n">
        <f aca="false">INDEX(Summary!$F$2:$F$201,MATCH($B1802,Summary!$A$2:$A$201,0))</f>
        <v>20</v>
      </c>
      <c r="M1802" s="0" t="n">
        <f aca="false">INDEX(Summary!$I$2:$I$201,MATCH($B1802,Summary!$A$2:$A$201,0))</f>
        <v>4</v>
      </c>
      <c r="N1802" s="0" t="n">
        <f aca="false">INDEX(Summary!$J$2:$J$201,MATCH($B1802,Summary!$A$2:$A$201,0))</f>
        <v>1</v>
      </c>
      <c r="O1802" s="2" t="n">
        <f aca="false">INDEX(Summary!$K$2:$K$201,MATCH($B1802,Summary!$A$2:$A$201,0))</f>
        <v>9.24</v>
      </c>
      <c r="P1802" s="3" t="n">
        <f aca="false">INDEX(Summary!$L$2:$L$201,MATCH($B1802,Summary!$A$2:$A$201,0))</f>
        <v>3</v>
      </c>
      <c r="Q1802" s="3" t="n">
        <f aca="false">INDEX(Summary!$M$2:$M$201,MATCH($B1802,Summary!$A$2:$A$201,0))</f>
        <v>3</v>
      </c>
      <c r="R1802" s="2" t="n">
        <f aca="false">INDEX(Summary!$N$2:$N$201,MATCH($B1802,Summary!$A$2:$A$201,0))</f>
        <v>11.28</v>
      </c>
      <c r="S1802" s="3" t="n">
        <f aca="false">INDEX(Summary!$O$2:$O$201,MATCH($B1802,Summary!$A$2:$A$201,0))</f>
        <v>8</v>
      </c>
      <c r="T1802" s="3" t="n">
        <f aca="false">INDEX(Summary!$P$2:$P$201,MATCH($B1802,Summary!$A$2:$A$201,0))</f>
        <v>1</v>
      </c>
      <c r="U1802" s="2" t="n">
        <f aca="false">INDEX(Summary!$Q$2:$Q$201,MATCH($B1802,Summary!$A$2:$A$201,0))</f>
        <v>12</v>
      </c>
      <c r="V1802" s="2" t="n">
        <f aca="false">INDEX(Summary!$R$2:$R$201,MATCH($B1802,Summary!$A$2:$A$201,0))</f>
        <v>28.19</v>
      </c>
      <c r="W1802" s="0" t="str">
        <f aca="false">INDEX(Summary!$S$2:$S$201,MATCH($B1802,Summary!$A$2:$A$201,0))</f>
        <v>Silver</v>
      </c>
      <c r="X1802" s="2" t="n">
        <f aca="false">INDEX(Summary!$T$2:$T$201,MATCH($B1802,Summary!$A$2:$A$201,0))</f>
        <v>68.76</v>
      </c>
      <c r="Y1802" s="0" t="str">
        <f aca="false">INDEX('Reward Model'!$E$18:$E$37,MATCH($E1802,'Reward Model'!$A$18:$A$37,0))</f>
        <v>Medium</v>
      </c>
      <c r="Z1802" s="4" t="n">
        <f aca="false">ROUND(MIN(1,MAX('Reward Model'!$B$2,INDEX('Reward Model'!$C$12:$C$14,MATCH($K1802,'Reward Model'!$A$12:$A$14,0))/$J1802)),3)</f>
        <v>1</v>
      </c>
      <c r="AA1802" s="2" t="n">
        <f aca="false">IF($I1802="Correct",ROUND(INDEX('Reward Model'!$B$12:$B$14,MATCH($K1802,'Reward Model'!$A$12:$A$14,0))*Z1802,2),0)</f>
        <v>1</v>
      </c>
      <c r="AB1802" s="2" t="n">
        <f aca="false">IF($I1802="Correct",ROUND(INDEX('Reward Model'!$B$12:$B$14,MATCH($Y1802,'Reward Model'!$A$12:$A$14,0))*Z1802,2),0)</f>
        <v>2</v>
      </c>
    </row>
    <row r="1803" customFormat="false" ht="15" hidden="false" customHeight="false" outlineLevel="0" collapsed="false">
      <c r="A1803" s="0" t="s">
        <v>310</v>
      </c>
      <c r="B1803" s="0" t="s">
        <v>311</v>
      </c>
      <c r="C1803" s="0" t="s">
        <v>30</v>
      </c>
      <c r="D1803" s="0" t="s">
        <v>275</v>
      </c>
      <c r="E1803" s="0" t="n">
        <v>2</v>
      </c>
      <c r="F1803" s="0" t="s">
        <v>36</v>
      </c>
      <c r="G1803" s="0" t="s">
        <v>38</v>
      </c>
      <c r="H1803" s="0" t="s">
        <v>38</v>
      </c>
      <c r="I1803" s="0" t="s">
        <v>34</v>
      </c>
      <c r="J1803" s="0" t="n">
        <v>1.08</v>
      </c>
      <c r="K1803" s="0" t="s">
        <v>35</v>
      </c>
      <c r="L1803" s="0" t="n">
        <f aca="false">INDEX(Summary!$F$2:$F$201,MATCH($B1803,Summary!$A$2:$A$201,0))</f>
        <v>20</v>
      </c>
      <c r="M1803" s="0" t="n">
        <f aca="false">INDEX(Summary!$I$2:$I$201,MATCH($B1803,Summary!$A$2:$A$201,0))</f>
        <v>4</v>
      </c>
      <c r="N1803" s="0" t="n">
        <f aca="false">INDEX(Summary!$J$2:$J$201,MATCH($B1803,Summary!$A$2:$A$201,0))</f>
        <v>1</v>
      </c>
      <c r="O1803" s="2" t="n">
        <f aca="false">INDEX(Summary!$K$2:$K$201,MATCH($B1803,Summary!$A$2:$A$201,0))</f>
        <v>9.24</v>
      </c>
      <c r="P1803" s="3" t="n">
        <f aca="false">INDEX(Summary!$L$2:$L$201,MATCH($B1803,Summary!$A$2:$A$201,0))</f>
        <v>3</v>
      </c>
      <c r="Q1803" s="3" t="n">
        <f aca="false">INDEX(Summary!$M$2:$M$201,MATCH($B1803,Summary!$A$2:$A$201,0))</f>
        <v>3</v>
      </c>
      <c r="R1803" s="2" t="n">
        <f aca="false">INDEX(Summary!$N$2:$N$201,MATCH($B1803,Summary!$A$2:$A$201,0))</f>
        <v>11.28</v>
      </c>
      <c r="S1803" s="3" t="n">
        <f aca="false">INDEX(Summary!$O$2:$O$201,MATCH($B1803,Summary!$A$2:$A$201,0))</f>
        <v>8</v>
      </c>
      <c r="T1803" s="3" t="n">
        <f aca="false">INDEX(Summary!$P$2:$P$201,MATCH($B1803,Summary!$A$2:$A$201,0))</f>
        <v>1</v>
      </c>
      <c r="U1803" s="2" t="n">
        <f aca="false">INDEX(Summary!$Q$2:$Q$201,MATCH($B1803,Summary!$A$2:$A$201,0))</f>
        <v>12</v>
      </c>
      <c r="V1803" s="2" t="n">
        <f aca="false">INDEX(Summary!$R$2:$R$201,MATCH($B1803,Summary!$A$2:$A$201,0))</f>
        <v>28.19</v>
      </c>
      <c r="W1803" s="0" t="str">
        <f aca="false">INDEX(Summary!$S$2:$S$201,MATCH($B1803,Summary!$A$2:$A$201,0))</f>
        <v>Silver</v>
      </c>
      <c r="X1803" s="2" t="n">
        <f aca="false">INDEX(Summary!$T$2:$T$201,MATCH($B1803,Summary!$A$2:$A$201,0))</f>
        <v>68.76</v>
      </c>
      <c r="Y1803" s="0" t="str">
        <f aca="false">INDEX('Reward Model'!$E$18:$E$37,MATCH($E1803,'Reward Model'!$A$18:$A$37,0))</f>
        <v>Low</v>
      </c>
      <c r="Z1803" s="4" t="n">
        <f aca="false">ROUND(MIN(1,MAX('Reward Model'!$B$2,INDEX('Reward Model'!$C$12:$C$14,MATCH($K1803,'Reward Model'!$A$12:$A$14,0))/$J1803)),3)</f>
        <v>1</v>
      </c>
      <c r="AA1803" s="2" t="n">
        <f aca="false">IF($I1803="Correct",ROUND(INDEX('Reward Model'!$B$12:$B$14,MATCH($K1803,'Reward Model'!$A$12:$A$14,0))*Z1803,2),0)</f>
        <v>1</v>
      </c>
      <c r="AB1803" s="2" t="n">
        <f aca="false">IF($I1803="Correct",ROUND(INDEX('Reward Model'!$B$12:$B$14,MATCH($Y1803,'Reward Model'!$A$12:$A$14,0))*Z1803,2),0)</f>
        <v>1</v>
      </c>
    </row>
    <row r="1804" customFormat="false" ht="15" hidden="false" customHeight="false" outlineLevel="0" collapsed="false">
      <c r="A1804" s="0" t="s">
        <v>310</v>
      </c>
      <c r="B1804" s="0" t="s">
        <v>311</v>
      </c>
      <c r="C1804" s="0" t="s">
        <v>30</v>
      </c>
      <c r="D1804" s="0" t="s">
        <v>275</v>
      </c>
      <c r="E1804" s="0" t="n">
        <v>3</v>
      </c>
      <c r="F1804" s="0" t="s">
        <v>40</v>
      </c>
      <c r="G1804" s="0" t="s">
        <v>42</v>
      </c>
      <c r="H1804" s="0" t="s">
        <v>42</v>
      </c>
      <c r="I1804" s="0" t="s">
        <v>34</v>
      </c>
      <c r="J1804" s="0" t="n">
        <v>1.67</v>
      </c>
      <c r="K1804" s="0" t="s">
        <v>35</v>
      </c>
      <c r="L1804" s="0" t="n">
        <f aca="false">INDEX(Summary!$F$2:$F$201,MATCH($B1804,Summary!$A$2:$A$201,0))</f>
        <v>20</v>
      </c>
      <c r="M1804" s="0" t="n">
        <f aca="false">INDEX(Summary!$I$2:$I$201,MATCH($B1804,Summary!$A$2:$A$201,0))</f>
        <v>4</v>
      </c>
      <c r="N1804" s="0" t="n">
        <f aca="false">INDEX(Summary!$J$2:$J$201,MATCH($B1804,Summary!$A$2:$A$201,0))</f>
        <v>1</v>
      </c>
      <c r="O1804" s="2" t="n">
        <f aca="false">INDEX(Summary!$K$2:$K$201,MATCH($B1804,Summary!$A$2:$A$201,0))</f>
        <v>9.24</v>
      </c>
      <c r="P1804" s="3" t="n">
        <f aca="false">INDEX(Summary!$L$2:$L$201,MATCH($B1804,Summary!$A$2:$A$201,0))</f>
        <v>3</v>
      </c>
      <c r="Q1804" s="3" t="n">
        <f aca="false">INDEX(Summary!$M$2:$M$201,MATCH($B1804,Summary!$A$2:$A$201,0))</f>
        <v>3</v>
      </c>
      <c r="R1804" s="2" t="n">
        <f aca="false">INDEX(Summary!$N$2:$N$201,MATCH($B1804,Summary!$A$2:$A$201,0))</f>
        <v>11.28</v>
      </c>
      <c r="S1804" s="3" t="n">
        <f aca="false">INDEX(Summary!$O$2:$O$201,MATCH($B1804,Summary!$A$2:$A$201,0))</f>
        <v>8</v>
      </c>
      <c r="T1804" s="3" t="n">
        <f aca="false">INDEX(Summary!$P$2:$P$201,MATCH($B1804,Summary!$A$2:$A$201,0))</f>
        <v>1</v>
      </c>
      <c r="U1804" s="2" t="n">
        <f aca="false">INDEX(Summary!$Q$2:$Q$201,MATCH($B1804,Summary!$A$2:$A$201,0))</f>
        <v>12</v>
      </c>
      <c r="V1804" s="2" t="n">
        <f aca="false">INDEX(Summary!$R$2:$R$201,MATCH($B1804,Summary!$A$2:$A$201,0))</f>
        <v>28.19</v>
      </c>
      <c r="W1804" s="0" t="str">
        <f aca="false">INDEX(Summary!$S$2:$S$201,MATCH($B1804,Summary!$A$2:$A$201,0))</f>
        <v>Silver</v>
      </c>
      <c r="X1804" s="2" t="n">
        <f aca="false">INDEX(Summary!$T$2:$T$201,MATCH($B1804,Summary!$A$2:$A$201,0))</f>
        <v>68.76</v>
      </c>
      <c r="Y1804" s="0" t="str">
        <f aca="false">INDEX('Reward Model'!$E$18:$E$37,MATCH($E1804,'Reward Model'!$A$18:$A$37,0))</f>
        <v>Medium</v>
      </c>
      <c r="Z1804" s="4" t="n">
        <f aca="false">ROUND(MIN(1,MAX('Reward Model'!$B$2,INDEX('Reward Model'!$C$12:$C$14,MATCH($K1804,'Reward Model'!$A$12:$A$14,0))/$J1804)),3)</f>
        <v>0.898</v>
      </c>
      <c r="AA1804" s="2" t="n">
        <f aca="false">IF($I1804="Correct",ROUND(INDEX('Reward Model'!$B$12:$B$14,MATCH($K1804,'Reward Model'!$A$12:$A$14,0))*Z1804,2),0)</f>
        <v>0.9</v>
      </c>
      <c r="AB1804" s="2" t="n">
        <f aca="false">IF($I1804="Correct",ROUND(INDEX('Reward Model'!$B$12:$B$14,MATCH($Y1804,'Reward Model'!$A$12:$A$14,0))*Z1804,2),0)</f>
        <v>1.8</v>
      </c>
    </row>
    <row r="1805" customFormat="false" ht="15" hidden="false" customHeight="false" outlineLevel="0" collapsed="false">
      <c r="A1805" s="0" t="s">
        <v>310</v>
      </c>
      <c r="B1805" s="0" t="s">
        <v>311</v>
      </c>
      <c r="C1805" s="0" t="s">
        <v>30</v>
      </c>
      <c r="D1805" s="0" t="s">
        <v>275</v>
      </c>
      <c r="E1805" s="0" t="n">
        <v>4</v>
      </c>
      <c r="F1805" s="0" t="s">
        <v>43</v>
      </c>
      <c r="G1805" s="0" t="s">
        <v>45</v>
      </c>
      <c r="H1805" s="0" t="s">
        <v>45</v>
      </c>
      <c r="I1805" s="0" t="s">
        <v>34</v>
      </c>
      <c r="J1805" s="0" t="n">
        <v>1.63</v>
      </c>
      <c r="K1805" s="0" t="s">
        <v>35</v>
      </c>
      <c r="L1805" s="0" t="n">
        <f aca="false">INDEX(Summary!$F$2:$F$201,MATCH($B1805,Summary!$A$2:$A$201,0))</f>
        <v>20</v>
      </c>
      <c r="M1805" s="0" t="n">
        <f aca="false">INDEX(Summary!$I$2:$I$201,MATCH($B1805,Summary!$A$2:$A$201,0))</f>
        <v>4</v>
      </c>
      <c r="N1805" s="0" t="n">
        <f aca="false">INDEX(Summary!$J$2:$J$201,MATCH($B1805,Summary!$A$2:$A$201,0))</f>
        <v>1</v>
      </c>
      <c r="O1805" s="2" t="n">
        <f aca="false">INDEX(Summary!$K$2:$K$201,MATCH($B1805,Summary!$A$2:$A$201,0))</f>
        <v>9.24</v>
      </c>
      <c r="P1805" s="3" t="n">
        <f aca="false">INDEX(Summary!$L$2:$L$201,MATCH($B1805,Summary!$A$2:$A$201,0))</f>
        <v>3</v>
      </c>
      <c r="Q1805" s="3" t="n">
        <f aca="false">INDEX(Summary!$M$2:$M$201,MATCH($B1805,Summary!$A$2:$A$201,0))</f>
        <v>3</v>
      </c>
      <c r="R1805" s="2" t="n">
        <f aca="false">INDEX(Summary!$N$2:$N$201,MATCH($B1805,Summary!$A$2:$A$201,0))</f>
        <v>11.28</v>
      </c>
      <c r="S1805" s="3" t="n">
        <f aca="false">INDEX(Summary!$O$2:$O$201,MATCH($B1805,Summary!$A$2:$A$201,0))</f>
        <v>8</v>
      </c>
      <c r="T1805" s="3" t="n">
        <f aca="false">INDEX(Summary!$P$2:$P$201,MATCH($B1805,Summary!$A$2:$A$201,0))</f>
        <v>1</v>
      </c>
      <c r="U1805" s="2" t="n">
        <f aca="false">INDEX(Summary!$Q$2:$Q$201,MATCH($B1805,Summary!$A$2:$A$201,0))</f>
        <v>12</v>
      </c>
      <c r="V1805" s="2" t="n">
        <f aca="false">INDEX(Summary!$R$2:$R$201,MATCH($B1805,Summary!$A$2:$A$201,0))</f>
        <v>28.19</v>
      </c>
      <c r="W1805" s="0" t="str">
        <f aca="false">INDEX(Summary!$S$2:$S$201,MATCH($B1805,Summary!$A$2:$A$201,0))</f>
        <v>Silver</v>
      </c>
      <c r="X1805" s="2" t="n">
        <f aca="false">INDEX(Summary!$T$2:$T$201,MATCH($B1805,Summary!$A$2:$A$201,0))</f>
        <v>68.76</v>
      </c>
      <c r="Y1805" s="0" t="str">
        <f aca="false">INDEX('Reward Model'!$E$18:$E$37,MATCH($E1805,'Reward Model'!$A$18:$A$37,0))</f>
        <v>Low</v>
      </c>
      <c r="Z1805" s="4" t="n">
        <f aca="false">ROUND(MIN(1,MAX('Reward Model'!$B$2,INDEX('Reward Model'!$C$12:$C$14,MATCH($K1805,'Reward Model'!$A$12:$A$14,0))/$J1805)),3)</f>
        <v>0.92</v>
      </c>
      <c r="AA1805" s="2" t="n">
        <f aca="false">IF($I1805="Correct",ROUND(INDEX('Reward Model'!$B$12:$B$14,MATCH($K1805,'Reward Model'!$A$12:$A$14,0))*Z1805,2),0)</f>
        <v>0.92</v>
      </c>
      <c r="AB1805" s="2" t="n">
        <f aca="false">IF($I1805="Correct",ROUND(INDEX('Reward Model'!$B$12:$B$14,MATCH($Y1805,'Reward Model'!$A$12:$A$14,0))*Z1805,2),0)</f>
        <v>0.92</v>
      </c>
    </row>
    <row r="1806" customFormat="false" ht="15" hidden="false" customHeight="false" outlineLevel="0" collapsed="false">
      <c r="A1806" s="0" t="s">
        <v>310</v>
      </c>
      <c r="B1806" s="0" t="s">
        <v>311</v>
      </c>
      <c r="C1806" s="0" t="s">
        <v>30</v>
      </c>
      <c r="D1806" s="0" t="s">
        <v>275</v>
      </c>
      <c r="E1806" s="0" t="n">
        <v>5</v>
      </c>
      <c r="F1806" s="0" t="s">
        <v>46</v>
      </c>
      <c r="G1806" s="0" t="s">
        <v>47</v>
      </c>
      <c r="H1806" s="0" t="s">
        <v>47</v>
      </c>
      <c r="I1806" s="0" t="s">
        <v>34</v>
      </c>
      <c r="J1806" s="0" t="n">
        <v>1.2</v>
      </c>
      <c r="K1806" s="0" t="s">
        <v>35</v>
      </c>
      <c r="L1806" s="0" t="n">
        <f aca="false">INDEX(Summary!$F$2:$F$201,MATCH($B1806,Summary!$A$2:$A$201,0))</f>
        <v>20</v>
      </c>
      <c r="M1806" s="0" t="n">
        <f aca="false">INDEX(Summary!$I$2:$I$201,MATCH($B1806,Summary!$A$2:$A$201,0))</f>
        <v>4</v>
      </c>
      <c r="N1806" s="0" t="n">
        <f aca="false">INDEX(Summary!$J$2:$J$201,MATCH($B1806,Summary!$A$2:$A$201,0))</f>
        <v>1</v>
      </c>
      <c r="O1806" s="2" t="n">
        <f aca="false">INDEX(Summary!$K$2:$K$201,MATCH($B1806,Summary!$A$2:$A$201,0))</f>
        <v>9.24</v>
      </c>
      <c r="P1806" s="3" t="n">
        <f aca="false">INDEX(Summary!$L$2:$L$201,MATCH($B1806,Summary!$A$2:$A$201,0))</f>
        <v>3</v>
      </c>
      <c r="Q1806" s="3" t="n">
        <f aca="false">INDEX(Summary!$M$2:$M$201,MATCH($B1806,Summary!$A$2:$A$201,0))</f>
        <v>3</v>
      </c>
      <c r="R1806" s="2" t="n">
        <f aca="false">INDEX(Summary!$N$2:$N$201,MATCH($B1806,Summary!$A$2:$A$201,0))</f>
        <v>11.28</v>
      </c>
      <c r="S1806" s="3" t="n">
        <f aca="false">INDEX(Summary!$O$2:$O$201,MATCH($B1806,Summary!$A$2:$A$201,0))</f>
        <v>8</v>
      </c>
      <c r="T1806" s="3" t="n">
        <f aca="false">INDEX(Summary!$P$2:$P$201,MATCH($B1806,Summary!$A$2:$A$201,0))</f>
        <v>1</v>
      </c>
      <c r="U1806" s="2" t="n">
        <f aca="false">INDEX(Summary!$Q$2:$Q$201,MATCH($B1806,Summary!$A$2:$A$201,0))</f>
        <v>12</v>
      </c>
      <c r="V1806" s="2" t="n">
        <f aca="false">INDEX(Summary!$R$2:$R$201,MATCH($B1806,Summary!$A$2:$A$201,0))</f>
        <v>28.19</v>
      </c>
      <c r="W1806" s="0" t="str">
        <f aca="false">INDEX(Summary!$S$2:$S$201,MATCH($B1806,Summary!$A$2:$A$201,0))</f>
        <v>Silver</v>
      </c>
      <c r="X1806" s="2" t="n">
        <f aca="false">INDEX(Summary!$T$2:$T$201,MATCH($B1806,Summary!$A$2:$A$201,0))</f>
        <v>68.76</v>
      </c>
      <c r="Y1806" s="0" t="str">
        <f aca="false">INDEX('Reward Model'!$E$18:$E$37,MATCH($E1806,'Reward Model'!$A$18:$A$37,0))</f>
        <v>Low</v>
      </c>
      <c r="Z1806" s="4" t="n">
        <f aca="false">ROUND(MIN(1,MAX('Reward Model'!$B$2,INDEX('Reward Model'!$C$12:$C$14,MATCH($K1806,'Reward Model'!$A$12:$A$14,0))/$J1806)),3)</f>
        <v>1</v>
      </c>
      <c r="AA1806" s="2" t="n">
        <f aca="false">IF($I1806="Correct",ROUND(INDEX('Reward Model'!$B$12:$B$14,MATCH($K1806,'Reward Model'!$A$12:$A$14,0))*Z1806,2),0)</f>
        <v>1</v>
      </c>
      <c r="AB1806" s="2" t="n">
        <f aca="false">IF($I1806="Correct",ROUND(INDEX('Reward Model'!$B$12:$B$14,MATCH($Y1806,'Reward Model'!$A$12:$A$14,0))*Z1806,2),0)</f>
        <v>1</v>
      </c>
    </row>
    <row r="1807" customFormat="false" ht="15" hidden="false" customHeight="false" outlineLevel="0" collapsed="false">
      <c r="A1807" s="0" t="s">
        <v>310</v>
      </c>
      <c r="B1807" s="0" t="s">
        <v>311</v>
      </c>
      <c r="C1807" s="0" t="s">
        <v>30</v>
      </c>
      <c r="D1807" s="0" t="s">
        <v>275</v>
      </c>
      <c r="E1807" s="0" t="n">
        <v>6</v>
      </c>
      <c r="F1807" s="0" t="s">
        <v>48</v>
      </c>
      <c r="G1807" s="0" t="s">
        <v>49</v>
      </c>
      <c r="H1807" s="0" t="s">
        <v>49</v>
      </c>
      <c r="I1807" s="0" t="s">
        <v>34</v>
      </c>
      <c r="J1807" s="0" t="n">
        <v>0.92</v>
      </c>
      <c r="K1807" s="0" t="s">
        <v>35</v>
      </c>
      <c r="L1807" s="0" t="n">
        <f aca="false">INDEX(Summary!$F$2:$F$201,MATCH($B1807,Summary!$A$2:$A$201,0))</f>
        <v>20</v>
      </c>
      <c r="M1807" s="0" t="n">
        <f aca="false">INDEX(Summary!$I$2:$I$201,MATCH($B1807,Summary!$A$2:$A$201,0))</f>
        <v>4</v>
      </c>
      <c r="N1807" s="0" t="n">
        <f aca="false">INDEX(Summary!$J$2:$J$201,MATCH($B1807,Summary!$A$2:$A$201,0))</f>
        <v>1</v>
      </c>
      <c r="O1807" s="2" t="n">
        <f aca="false">INDEX(Summary!$K$2:$K$201,MATCH($B1807,Summary!$A$2:$A$201,0))</f>
        <v>9.24</v>
      </c>
      <c r="P1807" s="3" t="n">
        <f aca="false">INDEX(Summary!$L$2:$L$201,MATCH($B1807,Summary!$A$2:$A$201,0))</f>
        <v>3</v>
      </c>
      <c r="Q1807" s="3" t="n">
        <f aca="false">INDEX(Summary!$M$2:$M$201,MATCH($B1807,Summary!$A$2:$A$201,0))</f>
        <v>3</v>
      </c>
      <c r="R1807" s="2" t="n">
        <f aca="false">INDEX(Summary!$N$2:$N$201,MATCH($B1807,Summary!$A$2:$A$201,0))</f>
        <v>11.28</v>
      </c>
      <c r="S1807" s="3" t="n">
        <f aca="false">INDEX(Summary!$O$2:$O$201,MATCH($B1807,Summary!$A$2:$A$201,0))</f>
        <v>8</v>
      </c>
      <c r="T1807" s="3" t="n">
        <f aca="false">INDEX(Summary!$P$2:$P$201,MATCH($B1807,Summary!$A$2:$A$201,0))</f>
        <v>1</v>
      </c>
      <c r="U1807" s="2" t="n">
        <f aca="false">INDEX(Summary!$Q$2:$Q$201,MATCH($B1807,Summary!$A$2:$A$201,0))</f>
        <v>12</v>
      </c>
      <c r="V1807" s="2" t="n">
        <f aca="false">INDEX(Summary!$R$2:$R$201,MATCH($B1807,Summary!$A$2:$A$201,0))</f>
        <v>28.19</v>
      </c>
      <c r="W1807" s="0" t="str">
        <f aca="false">INDEX(Summary!$S$2:$S$201,MATCH($B1807,Summary!$A$2:$A$201,0))</f>
        <v>Silver</v>
      </c>
      <c r="X1807" s="2" t="n">
        <f aca="false">INDEX(Summary!$T$2:$T$201,MATCH($B1807,Summary!$A$2:$A$201,0))</f>
        <v>68.76</v>
      </c>
      <c r="Y1807" s="0" t="str">
        <f aca="false">INDEX('Reward Model'!$E$18:$E$37,MATCH($E1807,'Reward Model'!$A$18:$A$37,0))</f>
        <v>Medium</v>
      </c>
      <c r="Z1807" s="4" t="n">
        <f aca="false">ROUND(MIN(1,MAX('Reward Model'!$B$2,INDEX('Reward Model'!$C$12:$C$14,MATCH($K1807,'Reward Model'!$A$12:$A$14,0))/$J1807)),3)</f>
        <v>1</v>
      </c>
      <c r="AA1807" s="2" t="n">
        <f aca="false">IF($I1807="Correct",ROUND(INDEX('Reward Model'!$B$12:$B$14,MATCH($K1807,'Reward Model'!$A$12:$A$14,0))*Z1807,2),0)</f>
        <v>1</v>
      </c>
      <c r="AB1807" s="2" t="n">
        <f aca="false">IF($I1807="Correct",ROUND(INDEX('Reward Model'!$B$12:$B$14,MATCH($Y1807,'Reward Model'!$A$12:$A$14,0))*Z1807,2),0)</f>
        <v>2</v>
      </c>
    </row>
    <row r="1808" customFormat="false" ht="15" hidden="false" customHeight="false" outlineLevel="0" collapsed="false">
      <c r="A1808" s="0" t="s">
        <v>310</v>
      </c>
      <c r="B1808" s="0" t="s">
        <v>311</v>
      </c>
      <c r="C1808" s="0" t="s">
        <v>30</v>
      </c>
      <c r="D1808" s="0" t="s">
        <v>275</v>
      </c>
      <c r="E1808" s="0" t="n">
        <v>7</v>
      </c>
      <c r="F1808" s="0" t="s">
        <v>50</v>
      </c>
      <c r="G1808" s="0" t="s">
        <v>51</v>
      </c>
      <c r="H1808" s="0" t="s">
        <v>51</v>
      </c>
      <c r="I1808" s="0" t="s">
        <v>34</v>
      </c>
      <c r="J1808" s="0" t="n">
        <v>1.58</v>
      </c>
      <c r="K1808" s="0" t="s">
        <v>35</v>
      </c>
      <c r="L1808" s="0" t="n">
        <f aca="false">INDEX(Summary!$F$2:$F$201,MATCH($B1808,Summary!$A$2:$A$201,0))</f>
        <v>20</v>
      </c>
      <c r="M1808" s="0" t="n">
        <f aca="false">INDEX(Summary!$I$2:$I$201,MATCH($B1808,Summary!$A$2:$A$201,0))</f>
        <v>4</v>
      </c>
      <c r="N1808" s="0" t="n">
        <f aca="false">INDEX(Summary!$J$2:$J$201,MATCH($B1808,Summary!$A$2:$A$201,0))</f>
        <v>1</v>
      </c>
      <c r="O1808" s="2" t="n">
        <f aca="false">INDEX(Summary!$K$2:$K$201,MATCH($B1808,Summary!$A$2:$A$201,0))</f>
        <v>9.24</v>
      </c>
      <c r="P1808" s="3" t="n">
        <f aca="false">INDEX(Summary!$L$2:$L$201,MATCH($B1808,Summary!$A$2:$A$201,0))</f>
        <v>3</v>
      </c>
      <c r="Q1808" s="3" t="n">
        <f aca="false">INDEX(Summary!$M$2:$M$201,MATCH($B1808,Summary!$A$2:$A$201,0))</f>
        <v>3</v>
      </c>
      <c r="R1808" s="2" t="n">
        <f aca="false">INDEX(Summary!$N$2:$N$201,MATCH($B1808,Summary!$A$2:$A$201,0))</f>
        <v>11.28</v>
      </c>
      <c r="S1808" s="3" t="n">
        <f aca="false">INDEX(Summary!$O$2:$O$201,MATCH($B1808,Summary!$A$2:$A$201,0))</f>
        <v>8</v>
      </c>
      <c r="T1808" s="3" t="n">
        <f aca="false">INDEX(Summary!$P$2:$P$201,MATCH($B1808,Summary!$A$2:$A$201,0))</f>
        <v>1</v>
      </c>
      <c r="U1808" s="2" t="n">
        <f aca="false">INDEX(Summary!$Q$2:$Q$201,MATCH($B1808,Summary!$A$2:$A$201,0))</f>
        <v>12</v>
      </c>
      <c r="V1808" s="2" t="n">
        <f aca="false">INDEX(Summary!$R$2:$R$201,MATCH($B1808,Summary!$A$2:$A$201,0))</f>
        <v>28.19</v>
      </c>
      <c r="W1808" s="0" t="str">
        <f aca="false">INDEX(Summary!$S$2:$S$201,MATCH($B1808,Summary!$A$2:$A$201,0))</f>
        <v>Silver</v>
      </c>
      <c r="X1808" s="2" t="n">
        <f aca="false">INDEX(Summary!$T$2:$T$201,MATCH($B1808,Summary!$A$2:$A$201,0))</f>
        <v>68.76</v>
      </c>
      <c r="Y1808" s="0" t="str">
        <f aca="false">INDEX('Reward Model'!$E$18:$E$37,MATCH($E1808,'Reward Model'!$A$18:$A$37,0))</f>
        <v>Low</v>
      </c>
      <c r="Z1808" s="4" t="n">
        <f aca="false">ROUND(MIN(1,MAX('Reward Model'!$B$2,INDEX('Reward Model'!$C$12:$C$14,MATCH($K1808,'Reward Model'!$A$12:$A$14,0))/$J1808)),3)</f>
        <v>0.949</v>
      </c>
      <c r="AA1808" s="2" t="n">
        <f aca="false">IF($I1808="Correct",ROUND(INDEX('Reward Model'!$B$12:$B$14,MATCH($K1808,'Reward Model'!$A$12:$A$14,0))*Z1808,2),0)</f>
        <v>0.95</v>
      </c>
      <c r="AB1808" s="2" t="n">
        <f aca="false">IF($I1808="Correct",ROUND(INDEX('Reward Model'!$B$12:$B$14,MATCH($Y1808,'Reward Model'!$A$12:$A$14,0))*Z1808,2),0)</f>
        <v>0.95</v>
      </c>
    </row>
    <row r="1809" customFormat="false" ht="15" hidden="false" customHeight="false" outlineLevel="0" collapsed="false">
      <c r="A1809" s="0" t="s">
        <v>310</v>
      </c>
      <c r="B1809" s="0" t="s">
        <v>311</v>
      </c>
      <c r="C1809" s="0" t="s">
        <v>30</v>
      </c>
      <c r="D1809" s="0" t="s">
        <v>275</v>
      </c>
      <c r="E1809" s="0" t="n">
        <v>8</v>
      </c>
      <c r="F1809" s="0" t="s">
        <v>52</v>
      </c>
      <c r="G1809" s="0" t="s">
        <v>137</v>
      </c>
      <c r="H1809" s="0" t="s">
        <v>54</v>
      </c>
      <c r="I1809" s="0" t="s">
        <v>39</v>
      </c>
      <c r="J1809" s="0" t="n">
        <v>1.1</v>
      </c>
      <c r="K1809" s="0" t="s">
        <v>35</v>
      </c>
      <c r="L1809" s="0" t="n">
        <f aca="false">INDEX(Summary!$F$2:$F$201,MATCH($B1809,Summary!$A$2:$A$201,0))</f>
        <v>20</v>
      </c>
      <c r="M1809" s="0" t="n">
        <f aca="false">INDEX(Summary!$I$2:$I$201,MATCH($B1809,Summary!$A$2:$A$201,0))</f>
        <v>4</v>
      </c>
      <c r="N1809" s="0" t="n">
        <f aca="false">INDEX(Summary!$J$2:$J$201,MATCH($B1809,Summary!$A$2:$A$201,0))</f>
        <v>1</v>
      </c>
      <c r="O1809" s="2" t="n">
        <f aca="false">INDEX(Summary!$K$2:$K$201,MATCH($B1809,Summary!$A$2:$A$201,0))</f>
        <v>9.24</v>
      </c>
      <c r="P1809" s="3" t="n">
        <f aca="false">INDEX(Summary!$L$2:$L$201,MATCH($B1809,Summary!$A$2:$A$201,0))</f>
        <v>3</v>
      </c>
      <c r="Q1809" s="3" t="n">
        <f aca="false">INDEX(Summary!$M$2:$M$201,MATCH($B1809,Summary!$A$2:$A$201,0))</f>
        <v>3</v>
      </c>
      <c r="R1809" s="2" t="n">
        <f aca="false">INDEX(Summary!$N$2:$N$201,MATCH($B1809,Summary!$A$2:$A$201,0))</f>
        <v>11.28</v>
      </c>
      <c r="S1809" s="3" t="n">
        <f aca="false">INDEX(Summary!$O$2:$O$201,MATCH($B1809,Summary!$A$2:$A$201,0))</f>
        <v>8</v>
      </c>
      <c r="T1809" s="3" t="n">
        <f aca="false">INDEX(Summary!$P$2:$P$201,MATCH($B1809,Summary!$A$2:$A$201,0))</f>
        <v>1</v>
      </c>
      <c r="U1809" s="2" t="n">
        <f aca="false">INDEX(Summary!$Q$2:$Q$201,MATCH($B1809,Summary!$A$2:$A$201,0))</f>
        <v>12</v>
      </c>
      <c r="V1809" s="2" t="n">
        <f aca="false">INDEX(Summary!$R$2:$R$201,MATCH($B1809,Summary!$A$2:$A$201,0))</f>
        <v>28.19</v>
      </c>
      <c r="W1809" s="0" t="str">
        <f aca="false">INDEX(Summary!$S$2:$S$201,MATCH($B1809,Summary!$A$2:$A$201,0))</f>
        <v>Silver</v>
      </c>
      <c r="X1809" s="2" t="n">
        <f aca="false">INDEX(Summary!$T$2:$T$201,MATCH($B1809,Summary!$A$2:$A$201,0))</f>
        <v>68.76</v>
      </c>
      <c r="Y1809" s="0" t="str">
        <f aca="false">INDEX('Reward Model'!$E$18:$E$37,MATCH($E1809,'Reward Model'!$A$18:$A$37,0))</f>
        <v>Medium</v>
      </c>
      <c r="Z1809" s="4" t="n">
        <f aca="false">ROUND(MIN(1,MAX('Reward Model'!$B$2,INDEX('Reward Model'!$C$12:$C$14,MATCH($K1809,'Reward Model'!$A$12:$A$14,0))/$J1809)),3)</f>
        <v>1</v>
      </c>
      <c r="AA1809" s="2" t="n">
        <f aca="false">IF($I1809="Correct",ROUND(INDEX('Reward Model'!$B$12:$B$14,MATCH($K1809,'Reward Model'!$A$12:$A$14,0))*Z1809,2),0)</f>
        <v>0</v>
      </c>
      <c r="AB1809" s="2" t="n">
        <f aca="false">IF($I1809="Correct",ROUND(INDEX('Reward Model'!$B$12:$B$14,MATCH($Y1809,'Reward Model'!$A$12:$A$14,0))*Z1809,2),0)</f>
        <v>0</v>
      </c>
    </row>
    <row r="1810" customFormat="false" ht="15" hidden="false" customHeight="false" outlineLevel="0" collapsed="false">
      <c r="A1810" s="0" t="s">
        <v>310</v>
      </c>
      <c r="B1810" s="0" t="s">
        <v>311</v>
      </c>
      <c r="C1810" s="0" t="s">
        <v>30</v>
      </c>
      <c r="D1810" s="0" t="s">
        <v>275</v>
      </c>
      <c r="E1810" s="0" t="n">
        <v>9</v>
      </c>
      <c r="F1810" s="0" t="s">
        <v>55</v>
      </c>
      <c r="G1810" s="0" t="s">
        <v>57</v>
      </c>
      <c r="H1810" s="0" t="s">
        <v>57</v>
      </c>
      <c r="I1810" s="0" t="s">
        <v>34</v>
      </c>
      <c r="J1810" s="0" t="n">
        <v>1.9</v>
      </c>
      <c r="K1810" s="0" t="s">
        <v>35</v>
      </c>
      <c r="L1810" s="0" t="n">
        <f aca="false">INDEX(Summary!$F$2:$F$201,MATCH($B1810,Summary!$A$2:$A$201,0))</f>
        <v>20</v>
      </c>
      <c r="M1810" s="0" t="n">
        <f aca="false">INDEX(Summary!$I$2:$I$201,MATCH($B1810,Summary!$A$2:$A$201,0))</f>
        <v>4</v>
      </c>
      <c r="N1810" s="0" t="n">
        <f aca="false">INDEX(Summary!$J$2:$J$201,MATCH($B1810,Summary!$A$2:$A$201,0))</f>
        <v>1</v>
      </c>
      <c r="O1810" s="2" t="n">
        <f aca="false">INDEX(Summary!$K$2:$K$201,MATCH($B1810,Summary!$A$2:$A$201,0))</f>
        <v>9.24</v>
      </c>
      <c r="P1810" s="3" t="n">
        <f aca="false">INDEX(Summary!$L$2:$L$201,MATCH($B1810,Summary!$A$2:$A$201,0))</f>
        <v>3</v>
      </c>
      <c r="Q1810" s="3" t="n">
        <f aca="false">INDEX(Summary!$M$2:$M$201,MATCH($B1810,Summary!$A$2:$A$201,0))</f>
        <v>3</v>
      </c>
      <c r="R1810" s="2" t="n">
        <f aca="false">INDEX(Summary!$N$2:$N$201,MATCH($B1810,Summary!$A$2:$A$201,0))</f>
        <v>11.28</v>
      </c>
      <c r="S1810" s="3" t="n">
        <f aca="false">INDEX(Summary!$O$2:$O$201,MATCH($B1810,Summary!$A$2:$A$201,0))</f>
        <v>8</v>
      </c>
      <c r="T1810" s="3" t="n">
        <f aca="false">INDEX(Summary!$P$2:$P$201,MATCH($B1810,Summary!$A$2:$A$201,0))</f>
        <v>1</v>
      </c>
      <c r="U1810" s="2" t="n">
        <f aca="false">INDEX(Summary!$Q$2:$Q$201,MATCH($B1810,Summary!$A$2:$A$201,0))</f>
        <v>12</v>
      </c>
      <c r="V1810" s="2" t="n">
        <f aca="false">INDEX(Summary!$R$2:$R$201,MATCH($B1810,Summary!$A$2:$A$201,0))</f>
        <v>28.19</v>
      </c>
      <c r="W1810" s="0" t="str">
        <f aca="false">INDEX(Summary!$S$2:$S$201,MATCH($B1810,Summary!$A$2:$A$201,0))</f>
        <v>Silver</v>
      </c>
      <c r="X1810" s="2" t="n">
        <f aca="false">INDEX(Summary!$T$2:$T$201,MATCH($B1810,Summary!$A$2:$A$201,0))</f>
        <v>68.76</v>
      </c>
      <c r="Y1810" s="0" t="str">
        <f aca="false">INDEX('Reward Model'!$E$18:$E$37,MATCH($E1810,'Reward Model'!$A$18:$A$37,0))</f>
        <v>Medium</v>
      </c>
      <c r="Z1810" s="4" t="n">
        <f aca="false">ROUND(MIN(1,MAX('Reward Model'!$B$2,INDEX('Reward Model'!$C$12:$C$14,MATCH($K1810,'Reward Model'!$A$12:$A$14,0))/$J1810)),3)</f>
        <v>0.789</v>
      </c>
      <c r="AA1810" s="2" t="n">
        <f aca="false">IF($I1810="Correct",ROUND(INDEX('Reward Model'!$B$12:$B$14,MATCH($K1810,'Reward Model'!$A$12:$A$14,0))*Z1810,2),0)</f>
        <v>0.79</v>
      </c>
      <c r="AB1810" s="2" t="n">
        <f aca="false">IF($I1810="Correct",ROUND(INDEX('Reward Model'!$B$12:$B$14,MATCH($Y1810,'Reward Model'!$A$12:$A$14,0))*Z1810,2),0)</f>
        <v>1.58</v>
      </c>
    </row>
    <row r="1811" customFormat="false" ht="15" hidden="false" customHeight="false" outlineLevel="0" collapsed="false">
      <c r="A1811" s="0" t="s">
        <v>310</v>
      </c>
      <c r="B1811" s="0" t="s">
        <v>311</v>
      </c>
      <c r="C1811" s="0" t="s">
        <v>30</v>
      </c>
      <c r="D1811" s="0" t="s">
        <v>275</v>
      </c>
      <c r="E1811" s="0" t="n">
        <v>10</v>
      </c>
      <c r="F1811" s="0" t="s">
        <v>58</v>
      </c>
      <c r="G1811" s="0" t="s">
        <v>59</v>
      </c>
      <c r="H1811" s="0" t="s">
        <v>59</v>
      </c>
      <c r="I1811" s="0" t="s">
        <v>34</v>
      </c>
      <c r="J1811" s="0" t="n">
        <v>1.98</v>
      </c>
      <c r="K1811" s="0" t="s">
        <v>60</v>
      </c>
      <c r="L1811" s="0" t="n">
        <f aca="false">INDEX(Summary!$F$2:$F$201,MATCH($B1811,Summary!$A$2:$A$201,0))</f>
        <v>20</v>
      </c>
      <c r="M1811" s="0" t="n">
        <f aca="false">INDEX(Summary!$I$2:$I$201,MATCH($B1811,Summary!$A$2:$A$201,0))</f>
        <v>4</v>
      </c>
      <c r="N1811" s="0" t="n">
        <f aca="false">INDEX(Summary!$J$2:$J$201,MATCH($B1811,Summary!$A$2:$A$201,0))</f>
        <v>1</v>
      </c>
      <c r="O1811" s="2" t="n">
        <f aca="false">INDEX(Summary!$K$2:$K$201,MATCH($B1811,Summary!$A$2:$A$201,0))</f>
        <v>9.24</v>
      </c>
      <c r="P1811" s="3" t="n">
        <f aca="false">INDEX(Summary!$L$2:$L$201,MATCH($B1811,Summary!$A$2:$A$201,0))</f>
        <v>3</v>
      </c>
      <c r="Q1811" s="3" t="n">
        <f aca="false">INDEX(Summary!$M$2:$M$201,MATCH($B1811,Summary!$A$2:$A$201,0))</f>
        <v>3</v>
      </c>
      <c r="R1811" s="2" t="n">
        <f aca="false">INDEX(Summary!$N$2:$N$201,MATCH($B1811,Summary!$A$2:$A$201,0))</f>
        <v>11.28</v>
      </c>
      <c r="S1811" s="3" t="n">
        <f aca="false">INDEX(Summary!$O$2:$O$201,MATCH($B1811,Summary!$A$2:$A$201,0))</f>
        <v>8</v>
      </c>
      <c r="T1811" s="3" t="n">
        <f aca="false">INDEX(Summary!$P$2:$P$201,MATCH($B1811,Summary!$A$2:$A$201,0))</f>
        <v>1</v>
      </c>
      <c r="U1811" s="2" t="n">
        <f aca="false">INDEX(Summary!$Q$2:$Q$201,MATCH($B1811,Summary!$A$2:$A$201,0))</f>
        <v>12</v>
      </c>
      <c r="V1811" s="2" t="n">
        <f aca="false">INDEX(Summary!$R$2:$R$201,MATCH($B1811,Summary!$A$2:$A$201,0))</f>
        <v>28.19</v>
      </c>
      <c r="W1811" s="0" t="str">
        <f aca="false">INDEX(Summary!$S$2:$S$201,MATCH($B1811,Summary!$A$2:$A$201,0))</f>
        <v>Silver</v>
      </c>
      <c r="X1811" s="2" t="n">
        <f aca="false">INDEX(Summary!$T$2:$T$201,MATCH($B1811,Summary!$A$2:$A$201,0))</f>
        <v>68.76</v>
      </c>
      <c r="Y1811" s="0" t="str">
        <f aca="false">INDEX('Reward Model'!$E$18:$E$37,MATCH($E1811,'Reward Model'!$A$18:$A$37,0))</f>
        <v>Medium</v>
      </c>
      <c r="Z1811" s="4" t="n">
        <f aca="false">ROUND(MIN(1,MAX('Reward Model'!$B$2,INDEX('Reward Model'!$C$12:$C$14,MATCH($K1811,'Reward Model'!$A$12:$A$14,0))/$J1811)),3)</f>
        <v>0.909</v>
      </c>
      <c r="AA1811" s="2" t="n">
        <f aca="false">IF($I1811="Correct",ROUND(INDEX('Reward Model'!$B$12:$B$14,MATCH($K1811,'Reward Model'!$A$12:$A$14,0))*Z1811,2),0)</f>
        <v>1.82</v>
      </c>
      <c r="AB1811" s="2" t="n">
        <f aca="false">IF($I1811="Correct",ROUND(INDEX('Reward Model'!$B$12:$B$14,MATCH($Y1811,'Reward Model'!$A$12:$A$14,0))*Z1811,2),0)</f>
        <v>1.82</v>
      </c>
    </row>
    <row r="1812" customFormat="false" ht="15" hidden="false" customHeight="false" outlineLevel="0" collapsed="false">
      <c r="A1812" s="0" t="s">
        <v>310</v>
      </c>
      <c r="B1812" s="0" t="s">
        <v>311</v>
      </c>
      <c r="C1812" s="0" t="s">
        <v>30</v>
      </c>
      <c r="D1812" s="0" t="s">
        <v>275</v>
      </c>
      <c r="E1812" s="0" t="n">
        <v>11</v>
      </c>
      <c r="F1812" s="0" t="s">
        <v>61</v>
      </c>
      <c r="G1812" s="0" t="s">
        <v>62</v>
      </c>
      <c r="H1812" s="0" t="s">
        <v>63</v>
      </c>
      <c r="I1812" s="0" t="s">
        <v>39</v>
      </c>
      <c r="J1812" s="0" t="n">
        <v>2.29</v>
      </c>
      <c r="K1812" s="0" t="s">
        <v>60</v>
      </c>
      <c r="L1812" s="0" t="n">
        <f aca="false">INDEX(Summary!$F$2:$F$201,MATCH($B1812,Summary!$A$2:$A$201,0))</f>
        <v>20</v>
      </c>
      <c r="M1812" s="0" t="n">
        <f aca="false">INDEX(Summary!$I$2:$I$201,MATCH($B1812,Summary!$A$2:$A$201,0))</f>
        <v>4</v>
      </c>
      <c r="N1812" s="0" t="n">
        <f aca="false">INDEX(Summary!$J$2:$J$201,MATCH($B1812,Summary!$A$2:$A$201,0))</f>
        <v>1</v>
      </c>
      <c r="O1812" s="2" t="n">
        <f aca="false">INDEX(Summary!$K$2:$K$201,MATCH($B1812,Summary!$A$2:$A$201,0))</f>
        <v>9.24</v>
      </c>
      <c r="P1812" s="3" t="n">
        <f aca="false">INDEX(Summary!$L$2:$L$201,MATCH($B1812,Summary!$A$2:$A$201,0))</f>
        <v>3</v>
      </c>
      <c r="Q1812" s="3" t="n">
        <f aca="false">INDEX(Summary!$M$2:$M$201,MATCH($B1812,Summary!$A$2:$A$201,0))</f>
        <v>3</v>
      </c>
      <c r="R1812" s="2" t="n">
        <f aca="false">INDEX(Summary!$N$2:$N$201,MATCH($B1812,Summary!$A$2:$A$201,0))</f>
        <v>11.28</v>
      </c>
      <c r="S1812" s="3" t="n">
        <f aca="false">INDEX(Summary!$O$2:$O$201,MATCH($B1812,Summary!$A$2:$A$201,0))</f>
        <v>8</v>
      </c>
      <c r="T1812" s="3" t="n">
        <f aca="false">INDEX(Summary!$P$2:$P$201,MATCH($B1812,Summary!$A$2:$A$201,0))</f>
        <v>1</v>
      </c>
      <c r="U1812" s="2" t="n">
        <f aca="false">INDEX(Summary!$Q$2:$Q$201,MATCH($B1812,Summary!$A$2:$A$201,0))</f>
        <v>12</v>
      </c>
      <c r="V1812" s="2" t="n">
        <f aca="false">INDEX(Summary!$R$2:$R$201,MATCH($B1812,Summary!$A$2:$A$201,0))</f>
        <v>28.19</v>
      </c>
      <c r="W1812" s="0" t="str">
        <f aca="false">INDEX(Summary!$S$2:$S$201,MATCH($B1812,Summary!$A$2:$A$201,0))</f>
        <v>Silver</v>
      </c>
      <c r="X1812" s="2" t="n">
        <f aca="false">INDEX(Summary!$T$2:$T$201,MATCH($B1812,Summary!$A$2:$A$201,0))</f>
        <v>68.76</v>
      </c>
      <c r="Y1812" s="0" t="str">
        <f aca="false">INDEX('Reward Model'!$E$18:$E$37,MATCH($E1812,'Reward Model'!$A$18:$A$37,0))</f>
        <v>Medium</v>
      </c>
      <c r="Z1812" s="4" t="n">
        <f aca="false">ROUND(MIN(1,MAX('Reward Model'!$B$2,INDEX('Reward Model'!$C$12:$C$14,MATCH($K1812,'Reward Model'!$A$12:$A$14,0))/$J1812)),3)</f>
        <v>0.786</v>
      </c>
      <c r="AA1812" s="2" t="n">
        <f aca="false">IF($I1812="Correct",ROUND(INDEX('Reward Model'!$B$12:$B$14,MATCH($K1812,'Reward Model'!$A$12:$A$14,0))*Z1812,2),0)</f>
        <v>0</v>
      </c>
      <c r="AB1812" s="2" t="n">
        <f aca="false">IF($I1812="Correct",ROUND(INDEX('Reward Model'!$B$12:$B$14,MATCH($Y1812,'Reward Model'!$A$12:$A$14,0))*Z1812,2),0)</f>
        <v>0</v>
      </c>
    </row>
    <row r="1813" customFormat="false" ht="15" hidden="false" customHeight="false" outlineLevel="0" collapsed="false">
      <c r="A1813" s="0" t="s">
        <v>310</v>
      </c>
      <c r="B1813" s="0" t="s">
        <v>311</v>
      </c>
      <c r="C1813" s="0" t="s">
        <v>30</v>
      </c>
      <c r="D1813" s="0" t="s">
        <v>275</v>
      </c>
      <c r="E1813" s="0" t="n">
        <v>12</v>
      </c>
      <c r="F1813" s="0" t="s">
        <v>64</v>
      </c>
      <c r="G1813" s="0" t="s">
        <v>146</v>
      </c>
      <c r="H1813" s="0" t="s">
        <v>65</v>
      </c>
      <c r="I1813" s="0" t="s">
        <v>39</v>
      </c>
      <c r="J1813" s="0" t="n">
        <v>1.71</v>
      </c>
      <c r="K1813" s="0" t="s">
        <v>60</v>
      </c>
      <c r="L1813" s="0" t="n">
        <f aca="false">INDEX(Summary!$F$2:$F$201,MATCH($B1813,Summary!$A$2:$A$201,0))</f>
        <v>20</v>
      </c>
      <c r="M1813" s="0" t="n">
        <f aca="false">INDEX(Summary!$I$2:$I$201,MATCH($B1813,Summary!$A$2:$A$201,0))</f>
        <v>4</v>
      </c>
      <c r="N1813" s="0" t="n">
        <f aca="false">INDEX(Summary!$J$2:$J$201,MATCH($B1813,Summary!$A$2:$A$201,0))</f>
        <v>1</v>
      </c>
      <c r="O1813" s="2" t="n">
        <f aca="false">INDEX(Summary!$K$2:$K$201,MATCH($B1813,Summary!$A$2:$A$201,0))</f>
        <v>9.24</v>
      </c>
      <c r="P1813" s="3" t="n">
        <f aca="false">INDEX(Summary!$L$2:$L$201,MATCH($B1813,Summary!$A$2:$A$201,0))</f>
        <v>3</v>
      </c>
      <c r="Q1813" s="3" t="n">
        <f aca="false">INDEX(Summary!$M$2:$M$201,MATCH($B1813,Summary!$A$2:$A$201,0))</f>
        <v>3</v>
      </c>
      <c r="R1813" s="2" t="n">
        <f aca="false">INDEX(Summary!$N$2:$N$201,MATCH($B1813,Summary!$A$2:$A$201,0))</f>
        <v>11.28</v>
      </c>
      <c r="S1813" s="3" t="n">
        <f aca="false">INDEX(Summary!$O$2:$O$201,MATCH($B1813,Summary!$A$2:$A$201,0))</f>
        <v>8</v>
      </c>
      <c r="T1813" s="3" t="n">
        <f aca="false">INDEX(Summary!$P$2:$P$201,MATCH($B1813,Summary!$A$2:$A$201,0))</f>
        <v>1</v>
      </c>
      <c r="U1813" s="2" t="n">
        <f aca="false">INDEX(Summary!$Q$2:$Q$201,MATCH($B1813,Summary!$A$2:$A$201,0))</f>
        <v>12</v>
      </c>
      <c r="V1813" s="2" t="n">
        <f aca="false">INDEX(Summary!$R$2:$R$201,MATCH($B1813,Summary!$A$2:$A$201,0))</f>
        <v>28.19</v>
      </c>
      <c r="W1813" s="0" t="str">
        <f aca="false">INDEX(Summary!$S$2:$S$201,MATCH($B1813,Summary!$A$2:$A$201,0))</f>
        <v>Silver</v>
      </c>
      <c r="X1813" s="2" t="n">
        <f aca="false">INDEX(Summary!$T$2:$T$201,MATCH($B1813,Summary!$A$2:$A$201,0))</f>
        <v>68.76</v>
      </c>
      <c r="Y1813" s="0" t="str">
        <f aca="false">INDEX('Reward Model'!$E$18:$E$37,MATCH($E1813,'Reward Model'!$A$18:$A$37,0))</f>
        <v>Medium</v>
      </c>
      <c r="Z1813" s="4" t="n">
        <f aca="false">ROUND(MIN(1,MAX('Reward Model'!$B$2,INDEX('Reward Model'!$C$12:$C$14,MATCH($K1813,'Reward Model'!$A$12:$A$14,0))/$J1813)),3)</f>
        <v>1</v>
      </c>
      <c r="AA1813" s="2" t="n">
        <f aca="false">IF($I1813="Correct",ROUND(INDEX('Reward Model'!$B$12:$B$14,MATCH($K1813,'Reward Model'!$A$12:$A$14,0))*Z1813,2),0)</f>
        <v>0</v>
      </c>
      <c r="AB1813" s="2" t="n">
        <f aca="false">IF($I1813="Correct",ROUND(INDEX('Reward Model'!$B$12:$B$14,MATCH($Y1813,'Reward Model'!$A$12:$A$14,0))*Z1813,2),0)</f>
        <v>0</v>
      </c>
    </row>
    <row r="1814" customFormat="false" ht="15" hidden="false" customHeight="false" outlineLevel="0" collapsed="false">
      <c r="A1814" s="0" t="s">
        <v>310</v>
      </c>
      <c r="B1814" s="0" t="s">
        <v>311</v>
      </c>
      <c r="C1814" s="0" t="s">
        <v>30</v>
      </c>
      <c r="D1814" s="0" t="s">
        <v>275</v>
      </c>
      <c r="E1814" s="0" t="n">
        <v>13</v>
      </c>
      <c r="F1814" s="0" t="s">
        <v>66</v>
      </c>
      <c r="G1814" s="0" t="s">
        <v>67</v>
      </c>
      <c r="H1814" s="0" t="s">
        <v>67</v>
      </c>
      <c r="I1814" s="0" t="s">
        <v>34</v>
      </c>
      <c r="J1814" s="0" t="n">
        <v>1.66</v>
      </c>
      <c r="K1814" s="0" t="s">
        <v>60</v>
      </c>
      <c r="L1814" s="0" t="n">
        <f aca="false">INDEX(Summary!$F$2:$F$201,MATCH($B1814,Summary!$A$2:$A$201,0))</f>
        <v>20</v>
      </c>
      <c r="M1814" s="0" t="n">
        <f aca="false">INDEX(Summary!$I$2:$I$201,MATCH($B1814,Summary!$A$2:$A$201,0))</f>
        <v>4</v>
      </c>
      <c r="N1814" s="0" t="n">
        <f aca="false">INDEX(Summary!$J$2:$J$201,MATCH($B1814,Summary!$A$2:$A$201,0))</f>
        <v>1</v>
      </c>
      <c r="O1814" s="2" t="n">
        <f aca="false">INDEX(Summary!$K$2:$K$201,MATCH($B1814,Summary!$A$2:$A$201,0))</f>
        <v>9.24</v>
      </c>
      <c r="P1814" s="3" t="n">
        <f aca="false">INDEX(Summary!$L$2:$L$201,MATCH($B1814,Summary!$A$2:$A$201,0))</f>
        <v>3</v>
      </c>
      <c r="Q1814" s="3" t="n">
        <f aca="false">INDEX(Summary!$M$2:$M$201,MATCH($B1814,Summary!$A$2:$A$201,0))</f>
        <v>3</v>
      </c>
      <c r="R1814" s="2" t="n">
        <f aca="false">INDEX(Summary!$N$2:$N$201,MATCH($B1814,Summary!$A$2:$A$201,0))</f>
        <v>11.28</v>
      </c>
      <c r="S1814" s="3" t="n">
        <f aca="false">INDEX(Summary!$O$2:$O$201,MATCH($B1814,Summary!$A$2:$A$201,0))</f>
        <v>8</v>
      </c>
      <c r="T1814" s="3" t="n">
        <f aca="false">INDEX(Summary!$P$2:$P$201,MATCH($B1814,Summary!$A$2:$A$201,0))</f>
        <v>1</v>
      </c>
      <c r="U1814" s="2" t="n">
        <f aca="false">INDEX(Summary!$Q$2:$Q$201,MATCH($B1814,Summary!$A$2:$A$201,0))</f>
        <v>12</v>
      </c>
      <c r="V1814" s="2" t="n">
        <f aca="false">INDEX(Summary!$R$2:$R$201,MATCH($B1814,Summary!$A$2:$A$201,0))</f>
        <v>28.19</v>
      </c>
      <c r="W1814" s="0" t="str">
        <f aca="false">INDEX(Summary!$S$2:$S$201,MATCH($B1814,Summary!$A$2:$A$201,0))</f>
        <v>Silver</v>
      </c>
      <c r="X1814" s="2" t="n">
        <f aca="false">INDEX(Summary!$T$2:$T$201,MATCH($B1814,Summary!$A$2:$A$201,0))</f>
        <v>68.76</v>
      </c>
      <c r="Y1814" s="0" t="str">
        <f aca="false">INDEX('Reward Model'!$E$18:$E$37,MATCH($E1814,'Reward Model'!$A$18:$A$37,0))</f>
        <v>Medium</v>
      </c>
      <c r="Z1814" s="4" t="n">
        <f aca="false">ROUND(MIN(1,MAX('Reward Model'!$B$2,INDEX('Reward Model'!$C$12:$C$14,MATCH($K1814,'Reward Model'!$A$12:$A$14,0))/$J1814)),3)</f>
        <v>1</v>
      </c>
      <c r="AA1814" s="2" t="n">
        <f aca="false">IF($I1814="Correct",ROUND(INDEX('Reward Model'!$B$12:$B$14,MATCH($K1814,'Reward Model'!$A$12:$A$14,0))*Z1814,2),0)</f>
        <v>2</v>
      </c>
      <c r="AB1814" s="2" t="n">
        <f aca="false">IF($I1814="Correct",ROUND(INDEX('Reward Model'!$B$12:$B$14,MATCH($Y1814,'Reward Model'!$A$12:$A$14,0))*Z1814,2),0)</f>
        <v>2</v>
      </c>
    </row>
    <row r="1815" customFormat="false" ht="15" hidden="false" customHeight="false" outlineLevel="0" collapsed="false">
      <c r="A1815" s="0" t="s">
        <v>310</v>
      </c>
      <c r="B1815" s="0" t="s">
        <v>311</v>
      </c>
      <c r="C1815" s="0" t="s">
        <v>30</v>
      </c>
      <c r="D1815" s="0" t="s">
        <v>275</v>
      </c>
      <c r="E1815" s="0" t="n">
        <v>14</v>
      </c>
      <c r="F1815" s="0" t="s">
        <v>68</v>
      </c>
      <c r="G1815" s="0" t="s">
        <v>51</v>
      </c>
      <c r="H1815" s="0" t="s">
        <v>51</v>
      </c>
      <c r="I1815" s="0" t="s">
        <v>34</v>
      </c>
      <c r="J1815" s="0" t="n">
        <v>2.02</v>
      </c>
      <c r="K1815" s="0" t="s">
        <v>60</v>
      </c>
      <c r="L1815" s="0" t="n">
        <f aca="false">INDEX(Summary!$F$2:$F$201,MATCH($B1815,Summary!$A$2:$A$201,0))</f>
        <v>20</v>
      </c>
      <c r="M1815" s="0" t="n">
        <f aca="false">INDEX(Summary!$I$2:$I$201,MATCH($B1815,Summary!$A$2:$A$201,0))</f>
        <v>4</v>
      </c>
      <c r="N1815" s="0" t="n">
        <f aca="false">INDEX(Summary!$J$2:$J$201,MATCH($B1815,Summary!$A$2:$A$201,0))</f>
        <v>1</v>
      </c>
      <c r="O1815" s="2" t="n">
        <f aca="false">INDEX(Summary!$K$2:$K$201,MATCH($B1815,Summary!$A$2:$A$201,0))</f>
        <v>9.24</v>
      </c>
      <c r="P1815" s="3" t="n">
        <f aca="false">INDEX(Summary!$L$2:$L$201,MATCH($B1815,Summary!$A$2:$A$201,0))</f>
        <v>3</v>
      </c>
      <c r="Q1815" s="3" t="n">
        <f aca="false">INDEX(Summary!$M$2:$M$201,MATCH($B1815,Summary!$A$2:$A$201,0))</f>
        <v>3</v>
      </c>
      <c r="R1815" s="2" t="n">
        <f aca="false">INDEX(Summary!$N$2:$N$201,MATCH($B1815,Summary!$A$2:$A$201,0))</f>
        <v>11.28</v>
      </c>
      <c r="S1815" s="3" t="n">
        <f aca="false">INDEX(Summary!$O$2:$O$201,MATCH($B1815,Summary!$A$2:$A$201,0))</f>
        <v>8</v>
      </c>
      <c r="T1815" s="3" t="n">
        <f aca="false">INDEX(Summary!$P$2:$P$201,MATCH($B1815,Summary!$A$2:$A$201,0))</f>
        <v>1</v>
      </c>
      <c r="U1815" s="2" t="n">
        <f aca="false">INDEX(Summary!$Q$2:$Q$201,MATCH($B1815,Summary!$A$2:$A$201,0))</f>
        <v>12</v>
      </c>
      <c r="V1815" s="2" t="n">
        <f aca="false">INDEX(Summary!$R$2:$R$201,MATCH($B1815,Summary!$A$2:$A$201,0))</f>
        <v>28.19</v>
      </c>
      <c r="W1815" s="0" t="str">
        <f aca="false">INDEX(Summary!$S$2:$S$201,MATCH($B1815,Summary!$A$2:$A$201,0))</f>
        <v>Silver</v>
      </c>
      <c r="X1815" s="2" t="n">
        <f aca="false">INDEX(Summary!$T$2:$T$201,MATCH($B1815,Summary!$A$2:$A$201,0))</f>
        <v>68.76</v>
      </c>
      <c r="Y1815" s="0" t="str">
        <f aca="false">INDEX('Reward Model'!$E$18:$E$37,MATCH($E1815,'Reward Model'!$A$18:$A$37,0))</f>
        <v>Medium</v>
      </c>
      <c r="Z1815" s="4" t="n">
        <f aca="false">ROUND(MIN(1,MAX('Reward Model'!$B$2,INDEX('Reward Model'!$C$12:$C$14,MATCH($K1815,'Reward Model'!$A$12:$A$14,0))/$J1815)),3)</f>
        <v>0.891</v>
      </c>
      <c r="AA1815" s="2" t="n">
        <f aca="false">IF($I1815="Correct",ROUND(INDEX('Reward Model'!$B$12:$B$14,MATCH($K1815,'Reward Model'!$A$12:$A$14,0))*Z1815,2),0)</f>
        <v>1.78</v>
      </c>
      <c r="AB1815" s="2" t="n">
        <f aca="false">IF($I1815="Correct",ROUND(INDEX('Reward Model'!$B$12:$B$14,MATCH($Y1815,'Reward Model'!$A$12:$A$14,0))*Z1815,2),0)</f>
        <v>1.78</v>
      </c>
    </row>
    <row r="1816" customFormat="false" ht="15" hidden="false" customHeight="false" outlineLevel="0" collapsed="false">
      <c r="A1816" s="0" t="s">
        <v>310</v>
      </c>
      <c r="B1816" s="0" t="s">
        <v>311</v>
      </c>
      <c r="C1816" s="0" t="s">
        <v>30</v>
      </c>
      <c r="D1816" s="0" t="s">
        <v>275</v>
      </c>
      <c r="E1816" s="0" t="n">
        <v>15</v>
      </c>
      <c r="F1816" s="0" t="s">
        <v>69</v>
      </c>
      <c r="G1816" s="0" t="s">
        <v>131</v>
      </c>
      <c r="H1816" s="0" t="s">
        <v>70</v>
      </c>
      <c r="I1816" s="0" t="s">
        <v>39</v>
      </c>
      <c r="J1816" s="0" t="n">
        <v>1.62</v>
      </c>
      <c r="K1816" s="0" t="s">
        <v>60</v>
      </c>
      <c r="L1816" s="0" t="n">
        <f aca="false">INDEX(Summary!$F$2:$F$201,MATCH($B1816,Summary!$A$2:$A$201,0))</f>
        <v>20</v>
      </c>
      <c r="M1816" s="0" t="n">
        <f aca="false">INDEX(Summary!$I$2:$I$201,MATCH($B1816,Summary!$A$2:$A$201,0))</f>
        <v>4</v>
      </c>
      <c r="N1816" s="0" t="n">
        <f aca="false">INDEX(Summary!$J$2:$J$201,MATCH($B1816,Summary!$A$2:$A$201,0))</f>
        <v>1</v>
      </c>
      <c r="O1816" s="2" t="n">
        <f aca="false">INDEX(Summary!$K$2:$K$201,MATCH($B1816,Summary!$A$2:$A$201,0))</f>
        <v>9.24</v>
      </c>
      <c r="P1816" s="3" t="n">
        <f aca="false">INDEX(Summary!$L$2:$L$201,MATCH($B1816,Summary!$A$2:$A$201,0))</f>
        <v>3</v>
      </c>
      <c r="Q1816" s="3" t="n">
        <f aca="false">INDEX(Summary!$M$2:$M$201,MATCH($B1816,Summary!$A$2:$A$201,0))</f>
        <v>3</v>
      </c>
      <c r="R1816" s="2" t="n">
        <f aca="false">INDEX(Summary!$N$2:$N$201,MATCH($B1816,Summary!$A$2:$A$201,0))</f>
        <v>11.28</v>
      </c>
      <c r="S1816" s="3" t="n">
        <f aca="false">INDEX(Summary!$O$2:$O$201,MATCH($B1816,Summary!$A$2:$A$201,0))</f>
        <v>8</v>
      </c>
      <c r="T1816" s="3" t="n">
        <f aca="false">INDEX(Summary!$P$2:$P$201,MATCH($B1816,Summary!$A$2:$A$201,0))</f>
        <v>1</v>
      </c>
      <c r="U1816" s="2" t="n">
        <f aca="false">INDEX(Summary!$Q$2:$Q$201,MATCH($B1816,Summary!$A$2:$A$201,0))</f>
        <v>12</v>
      </c>
      <c r="V1816" s="2" t="n">
        <f aca="false">INDEX(Summary!$R$2:$R$201,MATCH($B1816,Summary!$A$2:$A$201,0))</f>
        <v>28.19</v>
      </c>
      <c r="W1816" s="0" t="str">
        <f aca="false">INDEX(Summary!$S$2:$S$201,MATCH($B1816,Summary!$A$2:$A$201,0))</f>
        <v>Silver</v>
      </c>
      <c r="X1816" s="2" t="n">
        <f aca="false">INDEX(Summary!$T$2:$T$201,MATCH($B1816,Summary!$A$2:$A$201,0))</f>
        <v>68.76</v>
      </c>
      <c r="Y1816" s="0" t="str">
        <f aca="false">INDEX('Reward Model'!$E$18:$E$37,MATCH($E1816,'Reward Model'!$A$18:$A$37,0))</f>
        <v>Medium</v>
      </c>
      <c r="Z1816" s="4" t="n">
        <f aca="false">ROUND(MIN(1,MAX('Reward Model'!$B$2,INDEX('Reward Model'!$C$12:$C$14,MATCH($K1816,'Reward Model'!$A$12:$A$14,0))/$J1816)),3)</f>
        <v>1</v>
      </c>
      <c r="AA1816" s="2" t="n">
        <f aca="false">IF($I1816="Correct",ROUND(INDEX('Reward Model'!$B$12:$B$14,MATCH($K1816,'Reward Model'!$A$12:$A$14,0))*Z1816,2),0)</f>
        <v>0</v>
      </c>
      <c r="AB1816" s="2" t="n">
        <f aca="false">IF($I1816="Correct",ROUND(INDEX('Reward Model'!$B$12:$B$14,MATCH($Y1816,'Reward Model'!$A$12:$A$14,0))*Z1816,2),0)</f>
        <v>0</v>
      </c>
    </row>
    <row r="1817" customFormat="false" ht="15" hidden="false" customHeight="false" outlineLevel="0" collapsed="false">
      <c r="A1817" s="0" t="s">
        <v>310</v>
      </c>
      <c r="B1817" s="0" t="s">
        <v>311</v>
      </c>
      <c r="C1817" s="0" t="s">
        <v>30</v>
      </c>
      <c r="D1817" s="0" t="s">
        <v>275</v>
      </c>
      <c r="E1817" s="0" t="n">
        <v>16</v>
      </c>
      <c r="F1817" s="0" t="s">
        <v>71</v>
      </c>
      <c r="G1817" s="0" t="s">
        <v>72</v>
      </c>
      <c r="H1817" s="0" t="s">
        <v>72</v>
      </c>
      <c r="I1817" s="0" t="s">
        <v>34</v>
      </c>
      <c r="J1817" s="0" t="n">
        <v>1.6</v>
      </c>
      <c r="K1817" s="0" t="s">
        <v>73</v>
      </c>
      <c r="L1817" s="0" t="n">
        <f aca="false">INDEX(Summary!$F$2:$F$201,MATCH($B1817,Summary!$A$2:$A$201,0))</f>
        <v>20</v>
      </c>
      <c r="M1817" s="0" t="n">
        <f aca="false">INDEX(Summary!$I$2:$I$201,MATCH($B1817,Summary!$A$2:$A$201,0))</f>
        <v>4</v>
      </c>
      <c r="N1817" s="0" t="n">
        <f aca="false">INDEX(Summary!$J$2:$J$201,MATCH($B1817,Summary!$A$2:$A$201,0))</f>
        <v>1</v>
      </c>
      <c r="O1817" s="2" t="n">
        <f aca="false">INDEX(Summary!$K$2:$K$201,MATCH($B1817,Summary!$A$2:$A$201,0))</f>
        <v>9.24</v>
      </c>
      <c r="P1817" s="3" t="n">
        <f aca="false">INDEX(Summary!$L$2:$L$201,MATCH($B1817,Summary!$A$2:$A$201,0))</f>
        <v>3</v>
      </c>
      <c r="Q1817" s="3" t="n">
        <f aca="false">INDEX(Summary!$M$2:$M$201,MATCH($B1817,Summary!$A$2:$A$201,0))</f>
        <v>3</v>
      </c>
      <c r="R1817" s="2" t="n">
        <f aca="false">INDEX(Summary!$N$2:$N$201,MATCH($B1817,Summary!$A$2:$A$201,0))</f>
        <v>11.28</v>
      </c>
      <c r="S1817" s="3" t="n">
        <f aca="false">INDEX(Summary!$O$2:$O$201,MATCH($B1817,Summary!$A$2:$A$201,0))</f>
        <v>8</v>
      </c>
      <c r="T1817" s="3" t="n">
        <f aca="false">INDEX(Summary!$P$2:$P$201,MATCH($B1817,Summary!$A$2:$A$201,0))</f>
        <v>1</v>
      </c>
      <c r="U1817" s="2" t="n">
        <f aca="false">INDEX(Summary!$Q$2:$Q$201,MATCH($B1817,Summary!$A$2:$A$201,0))</f>
        <v>12</v>
      </c>
      <c r="V1817" s="2" t="n">
        <f aca="false">INDEX(Summary!$R$2:$R$201,MATCH($B1817,Summary!$A$2:$A$201,0))</f>
        <v>28.19</v>
      </c>
      <c r="W1817" s="0" t="str">
        <f aca="false">INDEX(Summary!$S$2:$S$201,MATCH($B1817,Summary!$A$2:$A$201,0))</f>
        <v>Silver</v>
      </c>
      <c r="X1817" s="2" t="n">
        <f aca="false">INDEX(Summary!$T$2:$T$201,MATCH($B1817,Summary!$A$2:$A$201,0))</f>
        <v>68.76</v>
      </c>
      <c r="Y1817" s="0" t="str">
        <f aca="false">INDEX('Reward Model'!$E$18:$E$37,MATCH($E1817,'Reward Model'!$A$18:$A$37,0))</f>
        <v>High</v>
      </c>
      <c r="Z1817" s="4" t="n">
        <f aca="false">ROUND(MIN(1,MAX('Reward Model'!$B$2,INDEX('Reward Model'!$C$12:$C$14,MATCH($K1817,'Reward Model'!$A$12:$A$14,0))/$J1817)),3)</f>
        <v>1</v>
      </c>
      <c r="AA1817" s="2" t="n">
        <f aca="false">IF($I1817="Correct",ROUND(INDEX('Reward Model'!$B$12:$B$14,MATCH($K1817,'Reward Model'!$A$12:$A$14,0))*Z1817,2),0)</f>
        <v>3</v>
      </c>
      <c r="AB1817" s="2" t="n">
        <f aca="false">IF($I1817="Correct",ROUND(INDEX('Reward Model'!$B$12:$B$14,MATCH($Y1817,'Reward Model'!$A$12:$A$14,0))*Z1817,2),0)</f>
        <v>3</v>
      </c>
    </row>
    <row r="1818" customFormat="false" ht="15" hidden="false" customHeight="false" outlineLevel="0" collapsed="false">
      <c r="A1818" s="0" t="s">
        <v>310</v>
      </c>
      <c r="B1818" s="0" t="s">
        <v>311</v>
      </c>
      <c r="C1818" s="0" t="s">
        <v>30</v>
      </c>
      <c r="D1818" s="0" t="s">
        <v>275</v>
      </c>
      <c r="E1818" s="0" t="n">
        <v>17</v>
      </c>
      <c r="F1818" s="0" t="s">
        <v>74</v>
      </c>
      <c r="G1818" s="0" t="s">
        <v>75</v>
      </c>
      <c r="H1818" s="0" t="s">
        <v>75</v>
      </c>
      <c r="I1818" s="0" t="s">
        <v>34</v>
      </c>
      <c r="J1818" s="0" t="n">
        <v>1.81</v>
      </c>
      <c r="K1818" s="0" t="s">
        <v>73</v>
      </c>
      <c r="L1818" s="0" t="n">
        <f aca="false">INDEX(Summary!$F$2:$F$201,MATCH($B1818,Summary!$A$2:$A$201,0))</f>
        <v>20</v>
      </c>
      <c r="M1818" s="0" t="n">
        <f aca="false">INDEX(Summary!$I$2:$I$201,MATCH($B1818,Summary!$A$2:$A$201,0))</f>
        <v>4</v>
      </c>
      <c r="N1818" s="0" t="n">
        <f aca="false">INDEX(Summary!$J$2:$J$201,MATCH($B1818,Summary!$A$2:$A$201,0))</f>
        <v>1</v>
      </c>
      <c r="O1818" s="2" t="n">
        <f aca="false">INDEX(Summary!$K$2:$K$201,MATCH($B1818,Summary!$A$2:$A$201,0))</f>
        <v>9.24</v>
      </c>
      <c r="P1818" s="3" t="n">
        <f aca="false">INDEX(Summary!$L$2:$L$201,MATCH($B1818,Summary!$A$2:$A$201,0))</f>
        <v>3</v>
      </c>
      <c r="Q1818" s="3" t="n">
        <f aca="false">INDEX(Summary!$M$2:$M$201,MATCH($B1818,Summary!$A$2:$A$201,0))</f>
        <v>3</v>
      </c>
      <c r="R1818" s="2" t="n">
        <f aca="false">INDEX(Summary!$N$2:$N$201,MATCH($B1818,Summary!$A$2:$A$201,0))</f>
        <v>11.28</v>
      </c>
      <c r="S1818" s="3" t="n">
        <f aca="false">INDEX(Summary!$O$2:$O$201,MATCH($B1818,Summary!$A$2:$A$201,0))</f>
        <v>8</v>
      </c>
      <c r="T1818" s="3" t="n">
        <f aca="false">INDEX(Summary!$P$2:$P$201,MATCH($B1818,Summary!$A$2:$A$201,0))</f>
        <v>1</v>
      </c>
      <c r="U1818" s="2" t="n">
        <f aca="false">INDEX(Summary!$Q$2:$Q$201,MATCH($B1818,Summary!$A$2:$A$201,0))</f>
        <v>12</v>
      </c>
      <c r="V1818" s="2" t="n">
        <f aca="false">INDEX(Summary!$R$2:$R$201,MATCH($B1818,Summary!$A$2:$A$201,0))</f>
        <v>28.19</v>
      </c>
      <c r="W1818" s="0" t="str">
        <f aca="false">INDEX(Summary!$S$2:$S$201,MATCH($B1818,Summary!$A$2:$A$201,0))</f>
        <v>Silver</v>
      </c>
      <c r="X1818" s="2" t="n">
        <f aca="false">INDEX(Summary!$T$2:$T$201,MATCH($B1818,Summary!$A$2:$A$201,0))</f>
        <v>68.76</v>
      </c>
      <c r="Y1818" s="0" t="str">
        <f aca="false">INDEX('Reward Model'!$E$18:$E$37,MATCH($E1818,'Reward Model'!$A$18:$A$37,0))</f>
        <v>High</v>
      </c>
      <c r="Z1818" s="4" t="n">
        <f aca="false">ROUND(MIN(1,MAX('Reward Model'!$B$2,INDEX('Reward Model'!$C$12:$C$14,MATCH($K1818,'Reward Model'!$A$12:$A$14,0))/$J1818)),3)</f>
        <v>1</v>
      </c>
      <c r="AA1818" s="2" t="n">
        <f aca="false">IF($I1818="Correct",ROUND(INDEX('Reward Model'!$B$12:$B$14,MATCH($K1818,'Reward Model'!$A$12:$A$14,0))*Z1818,2),0)</f>
        <v>3</v>
      </c>
      <c r="AB1818" s="2" t="n">
        <f aca="false">IF($I1818="Correct",ROUND(INDEX('Reward Model'!$B$12:$B$14,MATCH($Y1818,'Reward Model'!$A$12:$A$14,0))*Z1818,2),0)</f>
        <v>3</v>
      </c>
    </row>
    <row r="1819" customFormat="false" ht="15" hidden="false" customHeight="false" outlineLevel="0" collapsed="false">
      <c r="A1819" s="0" t="s">
        <v>310</v>
      </c>
      <c r="B1819" s="0" t="s">
        <v>311</v>
      </c>
      <c r="C1819" s="0" t="s">
        <v>30</v>
      </c>
      <c r="D1819" s="0" t="s">
        <v>275</v>
      </c>
      <c r="E1819" s="0" t="n">
        <v>18</v>
      </c>
      <c r="F1819" s="0" t="s">
        <v>76</v>
      </c>
      <c r="G1819" s="0" t="s">
        <v>77</v>
      </c>
      <c r="H1819" s="0" t="s">
        <v>77</v>
      </c>
      <c r="I1819" s="0" t="s">
        <v>34</v>
      </c>
      <c r="J1819" s="0" t="n">
        <v>2.56</v>
      </c>
      <c r="K1819" s="0" t="s">
        <v>73</v>
      </c>
      <c r="L1819" s="0" t="n">
        <f aca="false">INDEX(Summary!$F$2:$F$201,MATCH($B1819,Summary!$A$2:$A$201,0))</f>
        <v>20</v>
      </c>
      <c r="M1819" s="0" t="n">
        <f aca="false">INDEX(Summary!$I$2:$I$201,MATCH($B1819,Summary!$A$2:$A$201,0))</f>
        <v>4</v>
      </c>
      <c r="N1819" s="0" t="n">
        <f aca="false">INDEX(Summary!$J$2:$J$201,MATCH($B1819,Summary!$A$2:$A$201,0))</f>
        <v>1</v>
      </c>
      <c r="O1819" s="2" t="n">
        <f aca="false">INDEX(Summary!$K$2:$K$201,MATCH($B1819,Summary!$A$2:$A$201,0))</f>
        <v>9.24</v>
      </c>
      <c r="P1819" s="3" t="n">
        <f aca="false">INDEX(Summary!$L$2:$L$201,MATCH($B1819,Summary!$A$2:$A$201,0))</f>
        <v>3</v>
      </c>
      <c r="Q1819" s="3" t="n">
        <f aca="false">INDEX(Summary!$M$2:$M$201,MATCH($B1819,Summary!$A$2:$A$201,0))</f>
        <v>3</v>
      </c>
      <c r="R1819" s="2" t="n">
        <f aca="false">INDEX(Summary!$N$2:$N$201,MATCH($B1819,Summary!$A$2:$A$201,0))</f>
        <v>11.28</v>
      </c>
      <c r="S1819" s="3" t="n">
        <f aca="false">INDEX(Summary!$O$2:$O$201,MATCH($B1819,Summary!$A$2:$A$201,0))</f>
        <v>8</v>
      </c>
      <c r="T1819" s="3" t="n">
        <f aca="false">INDEX(Summary!$P$2:$P$201,MATCH($B1819,Summary!$A$2:$A$201,0))</f>
        <v>1</v>
      </c>
      <c r="U1819" s="2" t="n">
        <f aca="false">INDEX(Summary!$Q$2:$Q$201,MATCH($B1819,Summary!$A$2:$A$201,0))</f>
        <v>12</v>
      </c>
      <c r="V1819" s="2" t="n">
        <f aca="false">INDEX(Summary!$R$2:$R$201,MATCH($B1819,Summary!$A$2:$A$201,0))</f>
        <v>28.19</v>
      </c>
      <c r="W1819" s="0" t="str">
        <f aca="false">INDEX(Summary!$S$2:$S$201,MATCH($B1819,Summary!$A$2:$A$201,0))</f>
        <v>Silver</v>
      </c>
      <c r="X1819" s="2" t="n">
        <f aca="false">INDEX(Summary!$T$2:$T$201,MATCH($B1819,Summary!$A$2:$A$201,0))</f>
        <v>68.76</v>
      </c>
      <c r="Y1819" s="0" t="str">
        <f aca="false">INDEX('Reward Model'!$E$18:$E$37,MATCH($E1819,'Reward Model'!$A$18:$A$37,0))</f>
        <v>High</v>
      </c>
      <c r="Z1819" s="4" t="n">
        <f aca="false">ROUND(MIN(1,MAX('Reward Model'!$B$2,INDEX('Reward Model'!$C$12:$C$14,MATCH($K1819,'Reward Model'!$A$12:$A$14,0))/$J1819)),3)</f>
        <v>0.781</v>
      </c>
      <c r="AA1819" s="2" t="n">
        <f aca="false">IF($I1819="Correct",ROUND(INDEX('Reward Model'!$B$12:$B$14,MATCH($K1819,'Reward Model'!$A$12:$A$14,0))*Z1819,2),0)</f>
        <v>2.34</v>
      </c>
      <c r="AB1819" s="2" t="n">
        <f aca="false">IF($I1819="Correct",ROUND(INDEX('Reward Model'!$B$12:$B$14,MATCH($Y1819,'Reward Model'!$A$12:$A$14,0))*Z1819,2),0)</f>
        <v>2.34</v>
      </c>
    </row>
    <row r="1820" customFormat="false" ht="15" hidden="false" customHeight="false" outlineLevel="0" collapsed="false">
      <c r="A1820" s="0" t="s">
        <v>310</v>
      </c>
      <c r="B1820" s="0" t="s">
        <v>311</v>
      </c>
      <c r="C1820" s="0" t="s">
        <v>30</v>
      </c>
      <c r="D1820" s="0" t="s">
        <v>275</v>
      </c>
      <c r="E1820" s="0" t="n">
        <v>19</v>
      </c>
      <c r="F1820" s="0" t="s">
        <v>78</v>
      </c>
      <c r="G1820" s="0" t="s">
        <v>80</v>
      </c>
      <c r="H1820" s="0" t="s">
        <v>80</v>
      </c>
      <c r="I1820" s="0" t="s">
        <v>34</v>
      </c>
      <c r="J1820" s="0" t="n">
        <v>1.3</v>
      </c>
      <c r="K1820" s="0" t="s">
        <v>73</v>
      </c>
      <c r="L1820" s="0" t="n">
        <f aca="false">INDEX(Summary!$F$2:$F$201,MATCH($B1820,Summary!$A$2:$A$201,0))</f>
        <v>20</v>
      </c>
      <c r="M1820" s="0" t="n">
        <f aca="false">INDEX(Summary!$I$2:$I$201,MATCH($B1820,Summary!$A$2:$A$201,0))</f>
        <v>4</v>
      </c>
      <c r="N1820" s="0" t="n">
        <f aca="false">INDEX(Summary!$J$2:$J$201,MATCH($B1820,Summary!$A$2:$A$201,0))</f>
        <v>1</v>
      </c>
      <c r="O1820" s="2" t="n">
        <f aca="false">INDEX(Summary!$K$2:$K$201,MATCH($B1820,Summary!$A$2:$A$201,0))</f>
        <v>9.24</v>
      </c>
      <c r="P1820" s="3" t="n">
        <f aca="false">INDEX(Summary!$L$2:$L$201,MATCH($B1820,Summary!$A$2:$A$201,0))</f>
        <v>3</v>
      </c>
      <c r="Q1820" s="3" t="n">
        <f aca="false">INDEX(Summary!$M$2:$M$201,MATCH($B1820,Summary!$A$2:$A$201,0))</f>
        <v>3</v>
      </c>
      <c r="R1820" s="2" t="n">
        <f aca="false">INDEX(Summary!$N$2:$N$201,MATCH($B1820,Summary!$A$2:$A$201,0))</f>
        <v>11.28</v>
      </c>
      <c r="S1820" s="3" t="n">
        <f aca="false">INDEX(Summary!$O$2:$O$201,MATCH($B1820,Summary!$A$2:$A$201,0))</f>
        <v>8</v>
      </c>
      <c r="T1820" s="3" t="n">
        <f aca="false">INDEX(Summary!$P$2:$P$201,MATCH($B1820,Summary!$A$2:$A$201,0))</f>
        <v>1</v>
      </c>
      <c r="U1820" s="2" t="n">
        <f aca="false">INDEX(Summary!$Q$2:$Q$201,MATCH($B1820,Summary!$A$2:$A$201,0))</f>
        <v>12</v>
      </c>
      <c r="V1820" s="2" t="n">
        <f aca="false">INDEX(Summary!$R$2:$R$201,MATCH($B1820,Summary!$A$2:$A$201,0))</f>
        <v>28.19</v>
      </c>
      <c r="W1820" s="0" t="str">
        <f aca="false">INDEX(Summary!$S$2:$S$201,MATCH($B1820,Summary!$A$2:$A$201,0))</f>
        <v>Silver</v>
      </c>
      <c r="X1820" s="2" t="n">
        <f aca="false">INDEX(Summary!$T$2:$T$201,MATCH($B1820,Summary!$A$2:$A$201,0))</f>
        <v>68.76</v>
      </c>
      <c r="Y1820" s="0" t="str">
        <f aca="false">INDEX('Reward Model'!$E$18:$E$37,MATCH($E1820,'Reward Model'!$A$18:$A$37,0))</f>
        <v>High</v>
      </c>
      <c r="Z1820" s="4" t="n">
        <f aca="false">ROUND(MIN(1,MAX('Reward Model'!$B$2,INDEX('Reward Model'!$C$12:$C$14,MATCH($K1820,'Reward Model'!$A$12:$A$14,0))/$J1820)),3)</f>
        <v>1</v>
      </c>
      <c r="AA1820" s="2" t="n">
        <f aca="false">IF($I1820="Correct",ROUND(INDEX('Reward Model'!$B$12:$B$14,MATCH($K1820,'Reward Model'!$A$12:$A$14,0))*Z1820,2),0)</f>
        <v>3</v>
      </c>
      <c r="AB1820" s="2" t="n">
        <f aca="false">IF($I1820="Correct",ROUND(INDEX('Reward Model'!$B$12:$B$14,MATCH($Y1820,'Reward Model'!$A$12:$A$14,0))*Z1820,2),0)</f>
        <v>3</v>
      </c>
    </row>
    <row r="1821" customFormat="false" ht="15" hidden="false" customHeight="false" outlineLevel="0" collapsed="false">
      <c r="A1821" s="0" t="s">
        <v>310</v>
      </c>
      <c r="B1821" s="0" t="s">
        <v>311</v>
      </c>
      <c r="C1821" s="0" t="s">
        <v>30</v>
      </c>
      <c r="D1821" s="0" t="s">
        <v>275</v>
      </c>
      <c r="E1821" s="0" t="n">
        <v>20</v>
      </c>
      <c r="F1821" s="0" t="s">
        <v>81</v>
      </c>
      <c r="G1821" s="0" t="s">
        <v>82</v>
      </c>
      <c r="H1821" s="0" t="s">
        <v>83</v>
      </c>
      <c r="I1821" s="0" t="s">
        <v>39</v>
      </c>
      <c r="J1821" s="0" t="n">
        <v>1.97</v>
      </c>
      <c r="K1821" s="0" t="s">
        <v>73</v>
      </c>
      <c r="L1821" s="0" t="n">
        <f aca="false">INDEX(Summary!$F$2:$F$201,MATCH($B1821,Summary!$A$2:$A$201,0))</f>
        <v>20</v>
      </c>
      <c r="M1821" s="0" t="n">
        <f aca="false">INDEX(Summary!$I$2:$I$201,MATCH($B1821,Summary!$A$2:$A$201,0))</f>
        <v>4</v>
      </c>
      <c r="N1821" s="0" t="n">
        <f aca="false">INDEX(Summary!$J$2:$J$201,MATCH($B1821,Summary!$A$2:$A$201,0))</f>
        <v>1</v>
      </c>
      <c r="O1821" s="2" t="n">
        <f aca="false">INDEX(Summary!$K$2:$K$201,MATCH($B1821,Summary!$A$2:$A$201,0))</f>
        <v>9.24</v>
      </c>
      <c r="P1821" s="3" t="n">
        <f aca="false">INDEX(Summary!$L$2:$L$201,MATCH($B1821,Summary!$A$2:$A$201,0))</f>
        <v>3</v>
      </c>
      <c r="Q1821" s="3" t="n">
        <f aca="false">INDEX(Summary!$M$2:$M$201,MATCH($B1821,Summary!$A$2:$A$201,0))</f>
        <v>3</v>
      </c>
      <c r="R1821" s="2" t="n">
        <f aca="false">INDEX(Summary!$N$2:$N$201,MATCH($B1821,Summary!$A$2:$A$201,0))</f>
        <v>11.28</v>
      </c>
      <c r="S1821" s="3" t="n">
        <f aca="false">INDEX(Summary!$O$2:$O$201,MATCH($B1821,Summary!$A$2:$A$201,0))</f>
        <v>8</v>
      </c>
      <c r="T1821" s="3" t="n">
        <f aca="false">INDEX(Summary!$P$2:$P$201,MATCH($B1821,Summary!$A$2:$A$201,0))</f>
        <v>1</v>
      </c>
      <c r="U1821" s="2" t="n">
        <f aca="false">INDEX(Summary!$Q$2:$Q$201,MATCH($B1821,Summary!$A$2:$A$201,0))</f>
        <v>12</v>
      </c>
      <c r="V1821" s="2" t="n">
        <f aca="false">INDEX(Summary!$R$2:$R$201,MATCH($B1821,Summary!$A$2:$A$201,0))</f>
        <v>28.19</v>
      </c>
      <c r="W1821" s="0" t="str">
        <f aca="false">INDEX(Summary!$S$2:$S$201,MATCH($B1821,Summary!$A$2:$A$201,0))</f>
        <v>Silver</v>
      </c>
      <c r="X1821" s="2" t="n">
        <f aca="false">INDEX(Summary!$T$2:$T$201,MATCH($B1821,Summary!$A$2:$A$201,0))</f>
        <v>68.76</v>
      </c>
      <c r="Y1821" s="0" t="str">
        <f aca="false">INDEX('Reward Model'!$E$18:$E$37,MATCH($E1821,'Reward Model'!$A$18:$A$37,0))</f>
        <v>High</v>
      </c>
      <c r="Z1821" s="4" t="n">
        <f aca="false">ROUND(MIN(1,MAX('Reward Model'!$B$2,INDEX('Reward Model'!$C$12:$C$14,MATCH($K1821,'Reward Model'!$A$12:$A$14,0))/$J1821)),3)</f>
        <v>1</v>
      </c>
      <c r="AA1821" s="2" t="n">
        <f aca="false">IF($I1821="Correct",ROUND(INDEX('Reward Model'!$B$12:$B$14,MATCH($K1821,'Reward Model'!$A$12:$A$14,0))*Z1821,2),0)</f>
        <v>0</v>
      </c>
      <c r="AB1821" s="2" t="n">
        <f aca="false">IF($I1821="Correct",ROUND(INDEX('Reward Model'!$B$12:$B$14,MATCH($Y1821,'Reward Model'!$A$12:$A$14,0))*Z1821,2),0)</f>
        <v>0</v>
      </c>
    </row>
    <row r="1822" customFormat="false" ht="15" hidden="false" customHeight="false" outlineLevel="0" collapsed="false">
      <c r="A1822" s="0" t="s">
        <v>312</v>
      </c>
      <c r="B1822" s="0" t="s">
        <v>313</v>
      </c>
      <c r="C1822" s="0" t="s">
        <v>30</v>
      </c>
      <c r="D1822" s="0" t="s">
        <v>275</v>
      </c>
      <c r="E1822" s="0" t="n">
        <v>1</v>
      </c>
      <c r="F1822" s="0" t="s">
        <v>32</v>
      </c>
      <c r="G1822" s="0" t="s">
        <v>33</v>
      </c>
      <c r="H1822" s="0" t="s">
        <v>33</v>
      </c>
      <c r="I1822" s="0" t="s">
        <v>34</v>
      </c>
      <c r="J1822" s="0" t="n">
        <v>1.93</v>
      </c>
      <c r="K1822" s="0" t="s">
        <v>35</v>
      </c>
      <c r="L1822" s="0" t="n">
        <f aca="false">INDEX(Summary!$F$2:$F$201,MATCH($B1822,Summary!$A$2:$A$201,0))</f>
        <v>20</v>
      </c>
      <c r="M1822" s="0" t="n">
        <f aca="false">INDEX(Summary!$I$2:$I$201,MATCH($B1822,Summary!$A$2:$A$201,0))</f>
        <v>1</v>
      </c>
      <c r="N1822" s="0" t="n">
        <f aca="false">INDEX(Summary!$J$2:$J$201,MATCH($B1822,Summary!$A$2:$A$201,0))</f>
        <v>4</v>
      </c>
      <c r="O1822" s="2" t="n">
        <f aca="false">INDEX(Summary!$K$2:$K$201,MATCH($B1822,Summary!$A$2:$A$201,0))</f>
        <v>7.78</v>
      </c>
      <c r="P1822" s="3" t="n">
        <f aca="false">INDEX(Summary!$L$2:$L$201,MATCH($B1822,Summary!$A$2:$A$201,0))</f>
        <v>3</v>
      </c>
      <c r="Q1822" s="3" t="n">
        <f aca="false">INDEX(Summary!$M$2:$M$201,MATCH($B1822,Summary!$A$2:$A$201,0))</f>
        <v>3</v>
      </c>
      <c r="R1822" s="2" t="n">
        <f aca="false">INDEX(Summary!$N$2:$N$201,MATCH($B1822,Summary!$A$2:$A$201,0))</f>
        <v>7.89</v>
      </c>
      <c r="S1822" s="3" t="n">
        <f aca="false">INDEX(Summary!$O$2:$O$201,MATCH($B1822,Summary!$A$2:$A$201,0))</f>
        <v>8</v>
      </c>
      <c r="T1822" s="3" t="n">
        <f aca="false">INDEX(Summary!$P$2:$P$201,MATCH($B1822,Summary!$A$2:$A$201,0))</f>
        <v>1</v>
      </c>
      <c r="U1822" s="2" t="n">
        <f aca="false">INDEX(Summary!$Q$2:$Q$201,MATCH($B1822,Summary!$A$2:$A$201,0))</f>
        <v>15.03</v>
      </c>
      <c r="V1822" s="2" t="n">
        <f aca="false">INDEX(Summary!$R$2:$R$201,MATCH($B1822,Summary!$A$2:$A$201,0))</f>
        <v>19.76</v>
      </c>
      <c r="W1822" s="0" t="str">
        <f aca="false">INDEX(Summary!$S$2:$S$201,MATCH($B1822,Summary!$A$2:$A$201,0))</f>
        <v>Bronze</v>
      </c>
      <c r="X1822" s="2" t="n">
        <f aca="false">INDEX(Summary!$T$2:$T$201,MATCH($B1822,Summary!$A$2:$A$201,0))</f>
        <v>48.2</v>
      </c>
      <c r="Y1822" s="0" t="str">
        <f aca="false">INDEX('Reward Model'!$E$18:$E$37,MATCH($E1822,'Reward Model'!$A$18:$A$37,0))</f>
        <v>Medium</v>
      </c>
      <c r="Z1822" s="4" t="n">
        <f aca="false">ROUND(MIN(1,MAX('Reward Model'!$B$2,INDEX('Reward Model'!$C$12:$C$14,MATCH($K1822,'Reward Model'!$A$12:$A$14,0))/$J1822)),3)</f>
        <v>0.777</v>
      </c>
      <c r="AA1822" s="2" t="n">
        <f aca="false">IF($I1822="Correct",ROUND(INDEX('Reward Model'!$B$12:$B$14,MATCH($K1822,'Reward Model'!$A$12:$A$14,0))*Z1822,2),0)</f>
        <v>0.78</v>
      </c>
      <c r="AB1822" s="2" t="n">
        <f aca="false">IF($I1822="Correct",ROUND(INDEX('Reward Model'!$B$12:$B$14,MATCH($Y1822,'Reward Model'!$A$12:$A$14,0))*Z1822,2),0)</f>
        <v>1.55</v>
      </c>
    </row>
    <row r="1823" customFormat="false" ht="15" hidden="false" customHeight="false" outlineLevel="0" collapsed="false">
      <c r="A1823" s="0" t="s">
        <v>312</v>
      </c>
      <c r="B1823" s="0" t="s">
        <v>313</v>
      </c>
      <c r="C1823" s="0" t="s">
        <v>30</v>
      </c>
      <c r="D1823" s="0" t="s">
        <v>275</v>
      </c>
      <c r="E1823" s="0" t="n">
        <v>2</v>
      </c>
      <c r="F1823" s="0" t="s">
        <v>36</v>
      </c>
      <c r="G1823" s="0" t="s">
        <v>38</v>
      </c>
      <c r="H1823" s="0" t="s">
        <v>38</v>
      </c>
      <c r="I1823" s="0" t="s">
        <v>34</v>
      </c>
      <c r="J1823" s="0" t="n">
        <v>1.86</v>
      </c>
      <c r="K1823" s="0" t="s">
        <v>35</v>
      </c>
      <c r="L1823" s="0" t="n">
        <f aca="false">INDEX(Summary!$F$2:$F$201,MATCH($B1823,Summary!$A$2:$A$201,0))</f>
        <v>20</v>
      </c>
      <c r="M1823" s="0" t="n">
        <f aca="false">INDEX(Summary!$I$2:$I$201,MATCH($B1823,Summary!$A$2:$A$201,0))</f>
        <v>1</v>
      </c>
      <c r="N1823" s="0" t="n">
        <f aca="false">INDEX(Summary!$J$2:$J$201,MATCH($B1823,Summary!$A$2:$A$201,0))</f>
        <v>4</v>
      </c>
      <c r="O1823" s="2" t="n">
        <f aca="false">INDEX(Summary!$K$2:$K$201,MATCH($B1823,Summary!$A$2:$A$201,0))</f>
        <v>7.78</v>
      </c>
      <c r="P1823" s="3" t="n">
        <f aca="false">INDEX(Summary!$L$2:$L$201,MATCH($B1823,Summary!$A$2:$A$201,0))</f>
        <v>3</v>
      </c>
      <c r="Q1823" s="3" t="n">
        <f aca="false">INDEX(Summary!$M$2:$M$201,MATCH($B1823,Summary!$A$2:$A$201,0))</f>
        <v>3</v>
      </c>
      <c r="R1823" s="2" t="n">
        <f aca="false">INDEX(Summary!$N$2:$N$201,MATCH($B1823,Summary!$A$2:$A$201,0))</f>
        <v>7.89</v>
      </c>
      <c r="S1823" s="3" t="n">
        <f aca="false">INDEX(Summary!$O$2:$O$201,MATCH($B1823,Summary!$A$2:$A$201,0))</f>
        <v>8</v>
      </c>
      <c r="T1823" s="3" t="n">
        <f aca="false">INDEX(Summary!$P$2:$P$201,MATCH($B1823,Summary!$A$2:$A$201,0))</f>
        <v>1</v>
      </c>
      <c r="U1823" s="2" t="n">
        <f aca="false">INDEX(Summary!$Q$2:$Q$201,MATCH($B1823,Summary!$A$2:$A$201,0))</f>
        <v>15.03</v>
      </c>
      <c r="V1823" s="2" t="n">
        <f aca="false">INDEX(Summary!$R$2:$R$201,MATCH($B1823,Summary!$A$2:$A$201,0))</f>
        <v>19.76</v>
      </c>
      <c r="W1823" s="0" t="str">
        <f aca="false">INDEX(Summary!$S$2:$S$201,MATCH($B1823,Summary!$A$2:$A$201,0))</f>
        <v>Bronze</v>
      </c>
      <c r="X1823" s="2" t="n">
        <f aca="false">INDEX(Summary!$T$2:$T$201,MATCH($B1823,Summary!$A$2:$A$201,0))</f>
        <v>48.2</v>
      </c>
      <c r="Y1823" s="0" t="str">
        <f aca="false">INDEX('Reward Model'!$E$18:$E$37,MATCH($E1823,'Reward Model'!$A$18:$A$37,0))</f>
        <v>Low</v>
      </c>
      <c r="Z1823" s="4" t="n">
        <f aca="false">ROUND(MIN(1,MAX('Reward Model'!$B$2,INDEX('Reward Model'!$C$12:$C$14,MATCH($K1823,'Reward Model'!$A$12:$A$14,0))/$J1823)),3)</f>
        <v>0.806</v>
      </c>
      <c r="AA1823" s="2" t="n">
        <f aca="false">IF($I1823="Correct",ROUND(INDEX('Reward Model'!$B$12:$B$14,MATCH($K1823,'Reward Model'!$A$12:$A$14,0))*Z1823,2),0)</f>
        <v>0.81</v>
      </c>
      <c r="AB1823" s="2" t="n">
        <f aca="false">IF($I1823="Correct",ROUND(INDEX('Reward Model'!$B$12:$B$14,MATCH($Y1823,'Reward Model'!$A$12:$A$14,0))*Z1823,2),0)</f>
        <v>0.81</v>
      </c>
    </row>
    <row r="1824" customFormat="false" ht="15" hidden="false" customHeight="false" outlineLevel="0" collapsed="false">
      <c r="A1824" s="0" t="s">
        <v>312</v>
      </c>
      <c r="B1824" s="0" t="s">
        <v>313</v>
      </c>
      <c r="C1824" s="0" t="s">
        <v>30</v>
      </c>
      <c r="D1824" s="0" t="s">
        <v>275</v>
      </c>
      <c r="E1824" s="0" t="n">
        <v>3</v>
      </c>
      <c r="F1824" s="0" t="s">
        <v>40</v>
      </c>
      <c r="G1824" s="0" t="s">
        <v>42</v>
      </c>
      <c r="H1824" s="0" t="s">
        <v>42</v>
      </c>
      <c r="I1824" s="0" t="s">
        <v>34</v>
      </c>
      <c r="J1824" s="0" t="n">
        <v>1.42</v>
      </c>
      <c r="K1824" s="0" t="s">
        <v>35</v>
      </c>
      <c r="L1824" s="0" t="n">
        <f aca="false">INDEX(Summary!$F$2:$F$201,MATCH($B1824,Summary!$A$2:$A$201,0))</f>
        <v>20</v>
      </c>
      <c r="M1824" s="0" t="n">
        <f aca="false">INDEX(Summary!$I$2:$I$201,MATCH($B1824,Summary!$A$2:$A$201,0))</f>
        <v>1</v>
      </c>
      <c r="N1824" s="0" t="n">
        <f aca="false">INDEX(Summary!$J$2:$J$201,MATCH($B1824,Summary!$A$2:$A$201,0))</f>
        <v>4</v>
      </c>
      <c r="O1824" s="2" t="n">
        <f aca="false">INDEX(Summary!$K$2:$K$201,MATCH($B1824,Summary!$A$2:$A$201,0))</f>
        <v>7.78</v>
      </c>
      <c r="P1824" s="3" t="n">
        <f aca="false">INDEX(Summary!$L$2:$L$201,MATCH($B1824,Summary!$A$2:$A$201,0))</f>
        <v>3</v>
      </c>
      <c r="Q1824" s="3" t="n">
        <f aca="false">INDEX(Summary!$M$2:$M$201,MATCH($B1824,Summary!$A$2:$A$201,0))</f>
        <v>3</v>
      </c>
      <c r="R1824" s="2" t="n">
        <f aca="false">INDEX(Summary!$N$2:$N$201,MATCH($B1824,Summary!$A$2:$A$201,0))</f>
        <v>7.89</v>
      </c>
      <c r="S1824" s="3" t="n">
        <f aca="false">INDEX(Summary!$O$2:$O$201,MATCH($B1824,Summary!$A$2:$A$201,0))</f>
        <v>8</v>
      </c>
      <c r="T1824" s="3" t="n">
        <f aca="false">INDEX(Summary!$P$2:$P$201,MATCH($B1824,Summary!$A$2:$A$201,0))</f>
        <v>1</v>
      </c>
      <c r="U1824" s="2" t="n">
        <f aca="false">INDEX(Summary!$Q$2:$Q$201,MATCH($B1824,Summary!$A$2:$A$201,0))</f>
        <v>15.03</v>
      </c>
      <c r="V1824" s="2" t="n">
        <f aca="false">INDEX(Summary!$R$2:$R$201,MATCH($B1824,Summary!$A$2:$A$201,0))</f>
        <v>19.76</v>
      </c>
      <c r="W1824" s="0" t="str">
        <f aca="false">INDEX(Summary!$S$2:$S$201,MATCH($B1824,Summary!$A$2:$A$201,0))</f>
        <v>Bronze</v>
      </c>
      <c r="X1824" s="2" t="n">
        <f aca="false">INDEX(Summary!$T$2:$T$201,MATCH($B1824,Summary!$A$2:$A$201,0))</f>
        <v>48.2</v>
      </c>
      <c r="Y1824" s="0" t="str">
        <f aca="false">INDEX('Reward Model'!$E$18:$E$37,MATCH($E1824,'Reward Model'!$A$18:$A$37,0))</f>
        <v>Medium</v>
      </c>
      <c r="Z1824" s="4" t="n">
        <f aca="false">ROUND(MIN(1,MAX('Reward Model'!$B$2,INDEX('Reward Model'!$C$12:$C$14,MATCH($K1824,'Reward Model'!$A$12:$A$14,0))/$J1824)),3)</f>
        <v>1</v>
      </c>
      <c r="AA1824" s="2" t="n">
        <f aca="false">IF($I1824="Correct",ROUND(INDEX('Reward Model'!$B$12:$B$14,MATCH($K1824,'Reward Model'!$A$12:$A$14,0))*Z1824,2),0)</f>
        <v>1</v>
      </c>
      <c r="AB1824" s="2" t="n">
        <f aca="false">IF($I1824="Correct",ROUND(INDEX('Reward Model'!$B$12:$B$14,MATCH($Y1824,'Reward Model'!$A$12:$A$14,0))*Z1824,2),0)</f>
        <v>2</v>
      </c>
    </row>
    <row r="1825" customFormat="false" ht="15" hidden="false" customHeight="false" outlineLevel="0" collapsed="false">
      <c r="A1825" s="0" t="s">
        <v>312</v>
      </c>
      <c r="B1825" s="0" t="s">
        <v>313</v>
      </c>
      <c r="C1825" s="0" t="s">
        <v>30</v>
      </c>
      <c r="D1825" s="0" t="s">
        <v>275</v>
      </c>
      <c r="E1825" s="0" t="n">
        <v>4</v>
      </c>
      <c r="F1825" s="0" t="s">
        <v>43</v>
      </c>
      <c r="G1825" s="0" t="s">
        <v>45</v>
      </c>
      <c r="H1825" s="0" t="s">
        <v>45</v>
      </c>
      <c r="I1825" s="0" t="s">
        <v>34</v>
      </c>
      <c r="J1825" s="0" t="n">
        <v>1.95</v>
      </c>
      <c r="K1825" s="0" t="s">
        <v>35</v>
      </c>
      <c r="L1825" s="0" t="n">
        <f aca="false">INDEX(Summary!$F$2:$F$201,MATCH($B1825,Summary!$A$2:$A$201,0))</f>
        <v>20</v>
      </c>
      <c r="M1825" s="0" t="n">
        <f aca="false">INDEX(Summary!$I$2:$I$201,MATCH($B1825,Summary!$A$2:$A$201,0))</f>
        <v>1</v>
      </c>
      <c r="N1825" s="0" t="n">
        <f aca="false">INDEX(Summary!$J$2:$J$201,MATCH($B1825,Summary!$A$2:$A$201,0))</f>
        <v>4</v>
      </c>
      <c r="O1825" s="2" t="n">
        <f aca="false">INDEX(Summary!$K$2:$K$201,MATCH($B1825,Summary!$A$2:$A$201,0))</f>
        <v>7.78</v>
      </c>
      <c r="P1825" s="3" t="n">
        <f aca="false">INDEX(Summary!$L$2:$L$201,MATCH($B1825,Summary!$A$2:$A$201,0))</f>
        <v>3</v>
      </c>
      <c r="Q1825" s="3" t="n">
        <f aca="false">INDEX(Summary!$M$2:$M$201,MATCH($B1825,Summary!$A$2:$A$201,0))</f>
        <v>3</v>
      </c>
      <c r="R1825" s="2" t="n">
        <f aca="false">INDEX(Summary!$N$2:$N$201,MATCH($B1825,Summary!$A$2:$A$201,0))</f>
        <v>7.89</v>
      </c>
      <c r="S1825" s="3" t="n">
        <f aca="false">INDEX(Summary!$O$2:$O$201,MATCH($B1825,Summary!$A$2:$A$201,0))</f>
        <v>8</v>
      </c>
      <c r="T1825" s="3" t="n">
        <f aca="false">INDEX(Summary!$P$2:$P$201,MATCH($B1825,Summary!$A$2:$A$201,0))</f>
        <v>1</v>
      </c>
      <c r="U1825" s="2" t="n">
        <f aca="false">INDEX(Summary!$Q$2:$Q$201,MATCH($B1825,Summary!$A$2:$A$201,0))</f>
        <v>15.03</v>
      </c>
      <c r="V1825" s="2" t="n">
        <f aca="false">INDEX(Summary!$R$2:$R$201,MATCH($B1825,Summary!$A$2:$A$201,0))</f>
        <v>19.76</v>
      </c>
      <c r="W1825" s="0" t="str">
        <f aca="false">INDEX(Summary!$S$2:$S$201,MATCH($B1825,Summary!$A$2:$A$201,0))</f>
        <v>Bronze</v>
      </c>
      <c r="X1825" s="2" t="n">
        <f aca="false">INDEX(Summary!$T$2:$T$201,MATCH($B1825,Summary!$A$2:$A$201,0))</f>
        <v>48.2</v>
      </c>
      <c r="Y1825" s="0" t="str">
        <f aca="false">INDEX('Reward Model'!$E$18:$E$37,MATCH($E1825,'Reward Model'!$A$18:$A$37,0))</f>
        <v>Low</v>
      </c>
      <c r="Z1825" s="4" t="n">
        <f aca="false">ROUND(MIN(1,MAX('Reward Model'!$B$2,INDEX('Reward Model'!$C$12:$C$14,MATCH($K1825,'Reward Model'!$A$12:$A$14,0))/$J1825)),3)</f>
        <v>0.769</v>
      </c>
      <c r="AA1825" s="2" t="n">
        <f aca="false">IF($I1825="Correct",ROUND(INDEX('Reward Model'!$B$12:$B$14,MATCH($K1825,'Reward Model'!$A$12:$A$14,0))*Z1825,2),0)</f>
        <v>0.77</v>
      </c>
      <c r="AB1825" s="2" t="n">
        <f aca="false">IF($I1825="Correct",ROUND(INDEX('Reward Model'!$B$12:$B$14,MATCH($Y1825,'Reward Model'!$A$12:$A$14,0))*Z1825,2),0)</f>
        <v>0.77</v>
      </c>
    </row>
    <row r="1826" customFormat="false" ht="15" hidden="false" customHeight="false" outlineLevel="0" collapsed="false">
      <c r="A1826" s="0" t="s">
        <v>312</v>
      </c>
      <c r="B1826" s="0" t="s">
        <v>313</v>
      </c>
      <c r="C1826" s="0" t="s">
        <v>30</v>
      </c>
      <c r="D1826" s="0" t="s">
        <v>275</v>
      </c>
      <c r="E1826" s="0" t="n">
        <v>5</v>
      </c>
      <c r="F1826" s="0" t="s">
        <v>46</v>
      </c>
      <c r="G1826" s="0" t="s">
        <v>47</v>
      </c>
      <c r="H1826" s="0" t="s">
        <v>47</v>
      </c>
      <c r="I1826" s="0" t="s">
        <v>34</v>
      </c>
      <c r="J1826" s="0" t="n">
        <v>1.98</v>
      </c>
      <c r="K1826" s="0" t="s">
        <v>35</v>
      </c>
      <c r="L1826" s="0" t="n">
        <f aca="false">INDEX(Summary!$F$2:$F$201,MATCH($B1826,Summary!$A$2:$A$201,0))</f>
        <v>20</v>
      </c>
      <c r="M1826" s="0" t="n">
        <f aca="false">INDEX(Summary!$I$2:$I$201,MATCH($B1826,Summary!$A$2:$A$201,0))</f>
        <v>1</v>
      </c>
      <c r="N1826" s="0" t="n">
        <f aca="false">INDEX(Summary!$J$2:$J$201,MATCH($B1826,Summary!$A$2:$A$201,0))</f>
        <v>4</v>
      </c>
      <c r="O1826" s="2" t="n">
        <f aca="false">INDEX(Summary!$K$2:$K$201,MATCH($B1826,Summary!$A$2:$A$201,0))</f>
        <v>7.78</v>
      </c>
      <c r="P1826" s="3" t="n">
        <f aca="false">INDEX(Summary!$L$2:$L$201,MATCH($B1826,Summary!$A$2:$A$201,0))</f>
        <v>3</v>
      </c>
      <c r="Q1826" s="3" t="n">
        <f aca="false">INDEX(Summary!$M$2:$M$201,MATCH($B1826,Summary!$A$2:$A$201,0))</f>
        <v>3</v>
      </c>
      <c r="R1826" s="2" t="n">
        <f aca="false">INDEX(Summary!$N$2:$N$201,MATCH($B1826,Summary!$A$2:$A$201,0))</f>
        <v>7.89</v>
      </c>
      <c r="S1826" s="3" t="n">
        <f aca="false">INDEX(Summary!$O$2:$O$201,MATCH($B1826,Summary!$A$2:$A$201,0))</f>
        <v>8</v>
      </c>
      <c r="T1826" s="3" t="n">
        <f aca="false">INDEX(Summary!$P$2:$P$201,MATCH($B1826,Summary!$A$2:$A$201,0))</f>
        <v>1</v>
      </c>
      <c r="U1826" s="2" t="n">
        <f aca="false">INDEX(Summary!$Q$2:$Q$201,MATCH($B1826,Summary!$A$2:$A$201,0))</f>
        <v>15.03</v>
      </c>
      <c r="V1826" s="2" t="n">
        <f aca="false">INDEX(Summary!$R$2:$R$201,MATCH($B1826,Summary!$A$2:$A$201,0))</f>
        <v>19.76</v>
      </c>
      <c r="W1826" s="0" t="str">
        <f aca="false">INDEX(Summary!$S$2:$S$201,MATCH($B1826,Summary!$A$2:$A$201,0))</f>
        <v>Bronze</v>
      </c>
      <c r="X1826" s="2" t="n">
        <f aca="false">INDEX(Summary!$T$2:$T$201,MATCH($B1826,Summary!$A$2:$A$201,0))</f>
        <v>48.2</v>
      </c>
      <c r="Y1826" s="0" t="str">
        <f aca="false">INDEX('Reward Model'!$E$18:$E$37,MATCH($E1826,'Reward Model'!$A$18:$A$37,0))</f>
        <v>Low</v>
      </c>
      <c r="Z1826" s="4" t="n">
        <f aca="false">ROUND(MIN(1,MAX('Reward Model'!$B$2,INDEX('Reward Model'!$C$12:$C$14,MATCH($K1826,'Reward Model'!$A$12:$A$14,0))/$J1826)),3)</f>
        <v>0.758</v>
      </c>
      <c r="AA1826" s="2" t="n">
        <f aca="false">IF($I1826="Correct",ROUND(INDEX('Reward Model'!$B$12:$B$14,MATCH($K1826,'Reward Model'!$A$12:$A$14,0))*Z1826,2),0)</f>
        <v>0.76</v>
      </c>
      <c r="AB1826" s="2" t="n">
        <f aca="false">IF($I1826="Correct",ROUND(INDEX('Reward Model'!$B$12:$B$14,MATCH($Y1826,'Reward Model'!$A$12:$A$14,0))*Z1826,2),0)</f>
        <v>0.76</v>
      </c>
    </row>
    <row r="1827" customFormat="false" ht="15" hidden="false" customHeight="false" outlineLevel="0" collapsed="false">
      <c r="A1827" s="0" t="s">
        <v>312</v>
      </c>
      <c r="B1827" s="0" t="s">
        <v>313</v>
      </c>
      <c r="C1827" s="0" t="s">
        <v>30</v>
      </c>
      <c r="D1827" s="0" t="s">
        <v>275</v>
      </c>
      <c r="E1827" s="0" t="n">
        <v>6</v>
      </c>
      <c r="F1827" s="0" t="s">
        <v>48</v>
      </c>
      <c r="G1827" s="0" t="s">
        <v>49</v>
      </c>
      <c r="H1827" s="0" t="s">
        <v>49</v>
      </c>
      <c r="I1827" s="0" t="s">
        <v>34</v>
      </c>
      <c r="J1827" s="0" t="n">
        <v>1.1</v>
      </c>
      <c r="K1827" s="0" t="s">
        <v>35</v>
      </c>
      <c r="L1827" s="0" t="n">
        <f aca="false">INDEX(Summary!$F$2:$F$201,MATCH($B1827,Summary!$A$2:$A$201,0))</f>
        <v>20</v>
      </c>
      <c r="M1827" s="0" t="n">
        <f aca="false">INDEX(Summary!$I$2:$I$201,MATCH($B1827,Summary!$A$2:$A$201,0))</f>
        <v>1</v>
      </c>
      <c r="N1827" s="0" t="n">
        <f aca="false">INDEX(Summary!$J$2:$J$201,MATCH($B1827,Summary!$A$2:$A$201,0))</f>
        <v>4</v>
      </c>
      <c r="O1827" s="2" t="n">
        <f aca="false">INDEX(Summary!$K$2:$K$201,MATCH($B1827,Summary!$A$2:$A$201,0))</f>
        <v>7.78</v>
      </c>
      <c r="P1827" s="3" t="n">
        <f aca="false">INDEX(Summary!$L$2:$L$201,MATCH($B1827,Summary!$A$2:$A$201,0))</f>
        <v>3</v>
      </c>
      <c r="Q1827" s="3" t="n">
        <f aca="false">INDEX(Summary!$M$2:$M$201,MATCH($B1827,Summary!$A$2:$A$201,0))</f>
        <v>3</v>
      </c>
      <c r="R1827" s="2" t="n">
        <f aca="false">INDEX(Summary!$N$2:$N$201,MATCH($B1827,Summary!$A$2:$A$201,0))</f>
        <v>7.89</v>
      </c>
      <c r="S1827" s="3" t="n">
        <f aca="false">INDEX(Summary!$O$2:$O$201,MATCH($B1827,Summary!$A$2:$A$201,0))</f>
        <v>8</v>
      </c>
      <c r="T1827" s="3" t="n">
        <f aca="false">INDEX(Summary!$P$2:$P$201,MATCH($B1827,Summary!$A$2:$A$201,0))</f>
        <v>1</v>
      </c>
      <c r="U1827" s="2" t="n">
        <f aca="false">INDEX(Summary!$Q$2:$Q$201,MATCH($B1827,Summary!$A$2:$A$201,0))</f>
        <v>15.03</v>
      </c>
      <c r="V1827" s="2" t="n">
        <f aca="false">INDEX(Summary!$R$2:$R$201,MATCH($B1827,Summary!$A$2:$A$201,0))</f>
        <v>19.76</v>
      </c>
      <c r="W1827" s="0" t="str">
        <f aca="false">INDEX(Summary!$S$2:$S$201,MATCH($B1827,Summary!$A$2:$A$201,0))</f>
        <v>Bronze</v>
      </c>
      <c r="X1827" s="2" t="n">
        <f aca="false">INDEX(Summary!$T$2:$T$201,MATCH($B1827,Summary!$A$2:$A$201,0))</f>
        <v>48.2</v>
      </c>
      <c r="Y1827" s="0" t="str">
        <f aca="false">INDEX('Reward Model'!$E$18:$E$37,MATCH($E1827,'Reward Model'!$A$18:$A$37,0))</f>
        <v>Medium</v>
      </c>
      <c r="Z1827" s="4" t="n">
        <f aca="false">ROUND(MIN(1,MAX('Reward Model'!$B$2,INDEX('Reward Model'!$C$12:$C$14,MATCH($K1827,'Reward Model'!$A$12:$A$14,0))/$J1827)),3)</f>
        <v>1</v>
      </c>
      <c r="AA1827" s="2" t="n">
        <f aca="false">IF($I1827="Correct",ROUND(INDEX('Reward Model'!$B$12:$B$14,MATCH($K1827,'Reward Model'!$A$12:$A$14,0))*Z1827,2),0)</f>
        <v>1</v>
      </c>
      <c r="AB1827" s="2" t="n">
        <f aca="false">IF($I1827="Correct",ROUND(INDEX('Reward Model'!$B$12:$B$14,MATCH($Y1827,'Reward Model'!$A$12:$A$14,0))*Z1827,2),0)</f>
        <v>2</v>
      </c>
    </row>
    <row r="1828" customFormat="false" ht="15" hidden="false" customHeight="false" outlineLevel="0" collapsed="false">
      <c r="A1828" s="0" t="s">
        <v>312</v>
      </c>
      <c r="B1828" s="0" t="s">
        <v>313</v>
      </c>
      <c r="C1828" s="0" t="s">
        <v>30</v>
      </c>
      <c r="D1828" s="0" t="s">
        <v>275</v>
      </c>
      <c r="E1828" s="0" t="n">
        <v>7</v>
      </c>
      <c r="F1828" s="0" t="s">
        <v>50</v>
      </c>
      <c r="G1828" s="0" t="s">
        <v>51</v>
      </c>
      <c r="H1828" s="0" t="s">
        <v>51</v>
      </c>
      <c r="I1828" s="0" t="s">
        <v>34</v>
      </c>
      <c r="J1828" s="0" t="n">
        <v>1.72</v>
      </c>
      <c r="K1828" s="0" t="s">
        <v>35</v>
      </c>
      <c r="L1828" s="0" t="n">
        <f aca="false">INDEX(Summary!$F$2:$F$201,MATCH($B1828,Summary!$A$2:$A$201,0))</f>
        <v>20</v>
      </c>
      <c r="M1828" s="0" t="n">
        <f aca="false">INDEX(Summary!$I$2:$I$201,MATCH($B1828,Summary!$A$2:$A$201,0))</f>
        <v>1</v>
      </c>
      <c r="N1828" s="0" t="n">
        <f aca="false">INDEX(Summary!$J$2:$J$201,MATCH($B1828,Summary!$A$2:$A$201,0))</f>
        <v>4</v>
      </c>
      <c r="O1828" s="2" t="n">
        <f aca="false">INDEX(Summary!$K$2:$K$201,MATCH($B1828,Summary!$A$2:$A$201,0))</f>
        <v>7.78</v>
      </c>
      <c r="P1828" s="3" t="n">
        <f aca="false">INDEX(Summary!$L$2:$L$201,MATCH($B1828,Summary!$A$2:$A$201,0))</f>
        <v>3</v>
      </c>
      <c r="Q1828" s="3" t="n">
        <f aca="false">INDEX(Summary!$M$2:$M$201,MATCH($B1828,Summary!$A$2:$A$201,0))</f>
        <v>3</v>
      </c>
      <c r="R1828" s="2" t="n">
        <f aca="false">INDEX(Summary!$N$2:$N$201,MATCH($B1828,Summary!$A$2:$A$201,0))</f>
        <v>7.89</v>
      </c>
      <c r="S1828" s="3" t="n">
        <f aca="false">INDEX(Summary!$O$2:$O$201,MATCH($B1828,Summary!$A$2:$A$201,0))</f>
        <v>8</v>
      </c>
      <c r="T1828" s="3" t="n">
        <f aca="false">INDEX(Summary!$P$2:$P$201,MATCH($B1828,Summary!$A$2:$A$201,0))</f>
        <v>1</v>
      </c>
      <c r="U1828" s="2" t="n">
        <f aca="false">INDEX(Summary!$Q$2:$Q$201,MATCH($B1828,Summary!$A$2:$A$201,0))</f>
        <v>15.03</v>
      </c>
      <c r="V1828" s="2" t="n">
        <f aca="false">INDEX(Summary!$R$2:$R$201,MATCH($B1828,Summary!$A$2:$A$201,0))</f>
        <v>19.76</v>
      </c>
      <c r="W1828" s="0" t="str">
        <f aca="false">INDEX(Summary!$S$2:$S$201,MATCH($B1828,Summary!$A$2:$A$201,0))</f>
        <v>Bronze</v>
      </c>
      <c r="X1828" s="2" t="n">
        <f aca="false">INDEX(Summary!$T$2:$T$201,MATCH($B1828,Summary!$A$2:$A$201,0))</f>
        <v>48.2</v>
      </c>
      <c r="Y1828" s="0" t="str">
        <f aca="false">INDEX('Reward Model'!$E$18:$E$37,MATCH($E1828,'Reward Model'!$A$18:$A$37,0))</f>
        <v>Low</v>
      </c>
      <c r="Z1828" s="4" t="n">
        <f aca="false">ROUND(MIN(1,MAX('Reward Model'!$B$2,INDEX('Reward Model'!$C$12:$C$14,MATCH($K1828,'Reward Model'!$A$12:$A$14,0))/$J1828)),3)</f>
        <v>0.872</v>
      </c>
      <c r="AA1828" s="2" t="n">
        <f aca="false">IF($I1828="Correct",ROUND(INDEX('Reward Model'!$B$12:$B$14,MATCH($K1828,'Reward Model'!$A$12:$A$14,0))*Z1828,2),0)</f>
        <v>0.87</v>
      </c>
      <c r="AB1828" s="2" t="n">
        <f aca="false">IF($I1828="Correct",ROUND(INDEX('Reward Model'!$B$12:$B$14,MATCH($Y1828,'Reward Model'!$A$12:$A$14,0))*Z1828,2),0)</f>
        <v>0.87</v>
      </c>
    </row>
    <row r="1829" customFormat="false" ht="15" hidden="false" customHeight="false" outlineLevel="0" collapsed="false">
      <c r="A1829" s="0" t="s">
        <v>312</v>
      </c>
      <c r="B1829" s="0" t="s">
        <v>313</v>
      </c>
      <c r="C1829" s="0" t="s">
        <v>30</v>
      </c>
      <c r="D1829" s="0" t="s">
        <v>275</v>
      </c>
      <c r="E1829" s="0" t="n">
        <v>8</v>
      </c>
      <c r="F1829" s="0" t="s">
        <v>52</v>
      </c>
      <c r="G1829" s="0" t="s">
        <v>54</v>
      </c>
      <c r="H1829" s="0" t="s">
        <v>54</v>
      </c>
      <c r="I1829" s="0" t="s">
        <v>34</v>
      </c>
      <c r="J1829" s="0" t="n">
        <v>1.16</v>
      </c>
      <c r="K1829" s="0" t="s">
        <v>35</v>
      </c>
      <c r="L1829" s="0" t="n">
        <f aca="false">INDEX(Summary!$F$2:$F$201,MATCH($B1829,Summary!$A$2:$A$201,0))</f>
        <v>20</v>
      </c>
      <c r="M1829" s="0" t="n">
        <f aca="false">INDEX(Summary!$I$2:$I$201,MATCH($B1829,Summary!$A$2:$A$201,0))</f>
        <v>1</v>
      </c>
      <c r="N1829" s="0" t="n">
        <f aca="false">INDEX(Summary!$J$2:$J$201,MATCH($B1829,Summary!$A$2:$A$201,0))</f>
        <v>4</v>
      </c>
      <c r="O1829" s="2" t="n">
        <f aca="false">INDEX(Summary!$K$2:$K$201,MATCH($B1829,Summary!$A$2:$A$201,0))</f>
        <v>7.78</v>
      </c>
      <c r="P1829" s="3" t="n">
        <f aca="false">INDEX(Summary!$L$2:$L$201,MATCH($B1829,Summary!$A$2:$A$201,0))</f>
        <v>3</v>
      </c>
      <c r="Q1829" s="3" t="n">
        <f aca="false">INDEX(Summary!$M$2:$M$201,MATCH($B1829,Summary!$A$2:$A$201,0))</f>
        <v>3</v>
      </c>
      <c r="R1829" s="2" t="n">
        <f aca="false">INDEX(Summary!$N$2:$N$201,MATCH($B1829,Summary!$A$2:$A$201,0))</f>
        <v>7.89</v>
      </c>
      <c r="S1829" s="3" t="n">
        <f aca="false">INDEX(Summary!$O$2:$O$201,MATCH($B1829,Summary!$A$2:$A$201,0))</f>
        <v>8</v>
      </c>
      <c r="T1829" s="3" t="n">
        <f aca="false">INDEX(Summary!$P$2:$P$201,MATCH($B1829,Summary!$A$2:$A$201,0))</f>
        <v>1</v>
      </c>
      <c r="U1829" s="2" t="n">
        <f aca="false">INDEX(Summary!$Q$2:$Q$201,MATCH($B1829,Summary!$A$2:$A$201,0))</f>
        <v>15.03</v>
      </c>
      <c r="V1829" s="2" t="n">
        <f aca="false">INDEX(Summary!$R$2:$R$201,MATCH($B1829,Summary!$A$2:$A$201,0))</f>
        <v>19.76</v>
      </c>
      <c r="W1829" s="0" t="str">
        <f aca="false">INDEX(Summary!$S$2:$S$201,MATCH($B1829,Summary!$A$2:$A$201,0))</f>
        <v>Bronze</v>
      </c>
      <c r="X1829" s="2" t="n">
        <f aca="false">INDEX(Summary!$T$2:$T$201,MATCH($B1829,Summary!$A$2:$A$201,0))</f>
        <v>48.2</v>
      </c>
      <c r="Y1829" s="0" t="str">
        <f aca="false">INDEX('Reward Model'!$E$18:$E$37,MATCH($E1829,'Reward Model'!$A$18:$A$37,0))</f>
        <v>Medium</v>
      </c>
      <c r="Z1829" s="4" t="n">
        <f aca="false">ROUND(MIN(1,MAX('Reward Model'!$B$2,INDEX('Reward Model'!$C$12:$C$14,MATCH($K1829,'Reward Model'!$A$12:$A$14,0))/$J1829)),3)</f>
        <v>1</v>
      </c>
      <c r="AA1829" s="2" t="n">
        <f aca="false">IF($I1829="Correct",ROUND(INDEX('Reward Model'!$B$12:$B$14,MATCH($K1829,'Reward Model'!$A$12:$A$14,0))*Z1829,2),0)</f>
        <v>1</v>
      </c>
      <c r="AB1829" s="2" t="n">
        <f aca="false">IF($I1829="Correct",ROUND(INDEX('Reward Model'!$B$12:$B$14,MATCH($Y1829,'Reward Model'!$A$12:$A$14,0))*Z1829,2),0)</f>
        <v>2</v>
      </c>
    </row>
    <row r="1830" customFormat="false" ht="15" hidden="false" customHeight="false" outlineLevel="0" collapsed="false">
      <c r="A1830" s="0" t="s">
        <v>312</v>
      </c>
      <c r="B1830" s="0" t="s">
        <v>313</v>
      </c>
      <c r="C1830" s="0" t="s">
        <v>30</v>
      </c>
      <c r="D1830" s="0" t="s">
        <v>275</v>
      </c>
      <c r="E1830" s="0" t="n">
        <v>9</v>
      </c>
      <c r="F1830" s="0" t="s">
        <v>55</v>
      </c>
      <c r="G1830" s="0" t="s">
        <v>56</v>
      </c>
      <c r="H1830" s="0" t="s">
        <v>57</v>
      </c>
      <c r="I1830" s="0" t="s">
        <v>39</v>
      </c>
      <c r="J1830" s="0" t="n">
        <v>1.91</v>
      </c>
      <c r="K1830" s="0" t="s">
        <v>35</v>
      </c>
      <c r="L1830" s="0" t="n">
        <f aca="false">INDEX(Summary!$F$2:$F$201,MATCH($B1830,Summary!$A$2:$A$201,0))</f>
        <v>20</v>
      </c>
      <c r="M1830" s="0" t="n">
        <f aca="false">INDEX(Summary!$I$2:$I$201,MATCH($B1830,Summary!$A$2:$A$201,0))</f>
        <v>1</v>
      </c>
      <c r="N1830" s="0" t="n">
        <f aca="false">INDEX(Summary!$J$2:$J$201,MATCH($B1830,Summary!$A$2:$A$201,0))</f>
        <v>4</v>
      </c>
      <c r="O1830" s="2" t="n">
        <f aca="false">INDEX(Summary!$K$2:$K$201,MATCH($B1830,Summary!$A$2:$A$201,0))</f>
        <v>7.78</v>
      </c>
      <c r="P1830" s="3" t="n">
        <f aca="false">INDEX(Summary!$L$2:$L$201,MATCH($B1830,Summary!$A$2:$A$201,0))</f>
        <v>3</v>
      </c>
      <c r="Q1830" s="3" t="n">
        <f aca="false">INDEX(Summary!$M$2:$M$201,MATCH($B1830,Summary!$A$2:$A$201,0))</f>
        <v>3</v>
      </c>
      <c r="R1830" s="2" t="n">
        <f aca="false">INDEX(Summary!$N$2:$N$201,MATCH($B1830,Summary!$A$2:$A$201,0))</f>
        <v>7.89</v>
      </c>
      <c r="S1830" s="3" t="n">
        <f aca="false">INDEX(Summary!$O$2:$O$201,MATCH($B1830,Summary!$A$2:$A$201,0))</f>
        <v>8</v>
      </c>
      <c r="T1830" s="3" t="n">
        <f aca="false">INDEX(Summary!$P$2:$P$201,MATCH($B1830,Summary!$A$2:$A$201,0))</f>
        <v>1</v>
      </c>
      <c r="U1830" s="2" t="n">
        <f aca="false">INDEX(Summary!$Q$2:$Q$201,MATCH($B1830,Summary!$A$2:$A$201,0))</f>
        <v>15.03</v>
      </c>
      <c r="V1830" s="2" t="n">
        <f aca="false">INDEX(Summary!$R$2:$R$201,MATCH($B1830,Summary!$A$2:$A$201,0))</f>
        <v>19.76</v>
      </c>
      <c r="W1830" s="0" t="str">
        <f aca="false">INDEX(Summary!$S$2:$S$201,MATCH($B1830,Summary!$A$2:$A$201,0))</f>
        <v>Bronze</v>
      </c>
      <c r="X1830" s="2" t="n">
        <f aca="false">INDEX(Summary!$T$2:$T$201,MATCH($B1830,Summary!$A$2:$A$201,0))</f>
        <v>48.2</v>
      </c>
      <c r="Y1830" s="0" t="str">
        <f aca="false">INDEX('Reward Model'!$E$18:$E$37,MATCH($E1830,'Reward Model'!$A$18:$A$37,0))</f>
        <v>Medium</v>
      </c>
      <c r="Z1830" s="4" t="n">
        <f aca="false">ROUND(MIN(1,MAX('Reward Model'!$B$2,INDEX('Reward Model'!$C$12:$C$14,MATCH($K1830,'Reward Model'!$A$12:$A$14,0))/$J1830)),3)</f>
        <v>0.785</v>
      </c>
      <c r="AA1830" s="2" t="n">
        <f aca="false">IF($I1830="Correct",ROUND(INDEX('Reward Model'!$B$12:$B$14,MATCH($K1830,'Reward Model'!$A$12:$A$14,0))*Z1830,2),0)</f>
        <v>0</v>
      </c>
      <c r="AB1830" s="2" t="n">
        <f aca="false">IF($I1830="Correct",ROUND(INDEX('Reward Model'!$B$12:$B$14,MATCH($Y1830,'Reward Model'!$A$12:$A$14,0))*Z1830,2),0)</f>
        <v>0</v>
      </c>
    </row>
    <row r="1831" customFormat="false" ht="15" hidden="false" customHeight="false" outlineLevel="0" collapsed="false">
      <c r="A1831" s="0" t="s">
        <v>312</v>
      </c>
      <c r="B1831" s="0" t="s">
        <v>313</v>
      </c>
      <c r="C1831" s="0" t="s">
        <v>30</v>
      </c>
      <c r="D1831" s="0" t="s">
        <v>275</v>
      </c>
      <c r="E1831" s="0" t="n">
        <v>10</v>
      </c>
      <c r="F1831" s="0" t="s">
        <v>58</v>
      </c>
      <c r="G1831" s="0" t="s">
        <v>59</v>
      </c>
      <c r="H1831" s="0" t="s">
        <v>59</v>
      </c>
      <c r="I1831" s="0" t="s">
        <v>34</v>
      </c>
      <c r="J1831" s="0" t="n">
        <v>1.25</v>
      </c>
      <c r="K1831" s="0" t="s">
        <v>60</v>
      </c>
      <c r="L1831" s="0" t="n">
        <f aca="false">INDEX(Summary!$F$2:$F$201,MATCH($B1831,Summary!$A$2:$A$201,0))</f>
        <v>20</v>
      </c>
      <c r="M1831" s="0" t="n">
        <f aca="false">INDEX(Summary!$I$2:$I$201,MATCH($B1831,Summary!$A$2:$A$201,0))</f>
        <v>1</v>
      </c>
      <c r="N1831" s="0" t="n">
        <f aca="false">INDEX(Summary!$J$2:$J$201,MATCH($B1831,Summary!$A$2:$A$201,0))</f>
        <v>4</v>
      </c>
      <c r="O1831" s="2" t="n">
        <f aca="false">INDEX(Summary!$K$2:$K$201,MATCH($B1831,Summary!$A$2:$A$201,0))</f>
        <v>7.78</v>
      </c>
      <c r="P1831" s="3" t="n">
        <f aca="false">INDEX(Summary!$L$2:$L$201,MATCH($B1831,Summary!$A$2:$A$201,0))</f>
        <v>3</v>
      </c>
      <c r="Q1831" s="3" t="n">
        <f aca="false">INDEX(Summary!$M$2:$M$201,MATCH($B1831,Summary!$A$2:$A$201,0))</f>
        <v>3</v>
      </c>
      <c r="R1831" s="2" t="n">
        <f aca="false">INDEX(Summary!$N$2:$N$201,MATCH($B1831,Summary!$A$2:$A$201,0))</f>
        <v>7.89</v>
      </c>
      <c r="S1831" s="3" t="n">
        <f aca="false">INDEX(Summary!$O$2:$O$201,MATCH($B1831,Summary!$A$2:$A$201,0))</f>
        <v>8</v>
      </c>
      <c r="T1831" s="3" t="n">
        <f aca="false">INDEX(Summary!$P$2:$P$201,MATCH($B1831,Summary!$A$2:$A$201,0))</f>
        <v>1</v>
      </c>
      <c r="U1831" s="2" t="n">
        <f aca="false">INDEX(Summary!$Q$2:$Q$201,MATCH($B1831,Summary!$A$2:$A$201,0))</f>
        <v>15.03</v>
      </c>
      <c r="V1831" s="2" t="n">
        <f aca="false">INDEX(Summary!$R$2:$R$201,MATCH($B1831,Summary!$A$2:$A$201,0))</f>
        <v>19.76</v>
      </c>
      <c r="W1831" s="0" t="str">
        <f aca="false">INDEX(Summary!$S$2:$S$201,MATCH($B1831,Summary!$A$2:$A$201,0))</f>
        <v>Bronze</v>
      </c>
      <c r="X1831" s="2" t="n">
        <f aca="false">INDEX(Summary!$T$2:$T$201,MATCH($B1831,Summary!$A$2:$A$201,0))</f>
        <v>48.2</v>
      </c>
      <c r="Y1831" s="0" t="str">
        <f aca="false">INDEX('Reward Model'!$E$18:$E$37,MATCH($E1831,'Reward Model'!$A$18:$A$37,0))</f>
        <v>Medium</v>
      </c>
      <c r="Z1831" s="4" t="n">
        <f aca="false">ROUND(MIN(1,MAX('Reward Model'!$B$2,INDEX('Reward Model'!$C$12:$C$14,MATCH($K1831,'Reward Model'!$A$12:$A$14,0))/$J1831)),3)</f>
        <v>1</v>
      </c>
      <c r="AA1831" s="2" t="n">
        <f aca="false">IF($I1831="Correct",ROUND(INDEX('Reward Model'!$B$12:$B$14,MATCH($K1831,'Reward Model'!$A$12:$A$14,0))*Z1831,2),0)</f>
        <v>2</v>
      </c>
      <c r="AB1831" s="2" t="n">
        <f aca="false">IF($I1831="Correct",ROUND(INDEX('Reward Model'!$B$12:$B$14,MATCH($Y1831,'Reward Model'!$A$12:$A$14,0))*Z1831,2),0)</f>
        <v>2</v>
      </c>
    </row>
    <row r="1832" customFormat="false" ht="15" hidden="false" customHeight="false" outlineLevel="0" collapsed="false">
      <c r="A1832" s="0" t="s">
        <v>312</v>
      </c>
      <c r="B1832" s="0" t="s">
        <v>313</v>
      </c>
      <c r="C1832" s="0" t="s">
        <v>30</v>
      </c>
      <c r="D1832" s="0" t="s">
        <v>275</v>
      </c>
      <c r="E1832" s="0" t="n">
        <v>11</v>
      </c>
      <c r="F1832" s="0" t="s">
        <v>61</v>
      </c>
      <c r="G1832" s="0" t="s">
        <v>63</v>
      </c>
      <c r="H1832" s="0" t="s">
        <v>63</v>
      </c>
      <c r="I1832" s="0" t="s">
        <v>34</v>
      </c>
      <c r="J1832" s="0" t="n">
        <v>1.22</v>
      </c>
      <c r="K1832" s="0" t="s">
        <v>60</v>
      </c>
      <c r="L1832" s="0" t="n">
        <f aca="false">INDEX(Summary!$F$2:$F$201,MATCH($B1832,Summary!$A$2:$A$201,0))</f>
        <v>20</v>
      </c>
      <c r="M1832" s="0" t="n">
        <f aca="false">INDEX(Summary!$I$2:$I$201,MATCH($B1832,Summary!$A$2:$A$201,0))</f>
        <v>1</v>
      </c>
      <c r="N1832" s="0" t="n">
        <f aca="false">INDEX(Summary!$J$2:$J$201,MATCH($B1832,Summary!$A$2:$A$201,0))</f>
        <v>4</v>
      </c>
      <c r="O1832" s="2" t="n">
        <f aca="false">INDEX(Summary!$K$2:$K$201,MATCH($B1832,Summary!$A$2:$A$201,0))</f>
        <v>7.78</v>
      </c>
      <c r="P1832" s="3" t="n">
        <f aca="false">INDEX(Summary!$L$2:$L$201,MATCH($B1832,Summary!$A$2:$A$201,0))</f>
        <v>3</v>
      </c>
      <c r="Q1832" s="3" t="n">
        <f aca="false">INDEX(Summary!$M$2:$M$201,MATCH($B1832,Summary!$A$2:$A$201,0))</f>
        <v>3</v>
      </c>
      <c r="R1832" s="2" t="n">
        <f aca="false">INDEX(Summary!$N$2:$N$201,MATCH($B1832,Summary!$A$2:$A$201,0))</f>
        <v>7.89</v>
      </c>
      <c r="S1832" s="3" t="n">
        <f aca="false">INDEX(Summary!$O$2:$O$201,MATCH($B1832,Summary!$A$2:$A$201,0))</f>
        <v>8</v>
      </c>
      <c r="T1832" s="3" t="n">
        <f aca="false">INDEX(Summary!$P$2:$P$201,MATCH($B1832,Summary!$A$2:$A$201,0))</f>
        <v>1</v>
      </c>
      <c r="U1832" s="2" t="n">
        <f aca="false">INDEX(Summary!$Q$2:$Q$201,MATCH($B1832,Summary!$A$2:$A$201,0))</f>
        <v>15.03</v>
      </c>
      <c r="V1832" s="2" t="n">
        <f aca="false">INDEX(Summary!$R$2:$R$201,MATCH($B1832,Summary!$A$2:$A$201,0))</f>
        <v>19.76</v>
      </c>
      <c r="W1832" s="0" t="str">
        <f aca="false">INDEX(Summary!$S$2:$S$201,MATCH($B1832,Summary!$A$2:$A$201,0))</f>
        <v>Bronze</v>
      </c>
      <c r="X1832" s="2" t="n">
        <f aca="false">INDEX(Summary!$T$2:$T$201,MATCH($B1832,Summary!$A$2:$A$201,0))</f>
        <v>48.2</v>
      </c>
      <c r="Y1832" s="0" t="str">
        <f aca="false">INDEX('Reward Model'!$E$18:$E$37,MATCH($E1832,'Reward Model'!$A$18:$A$37,0))</f>
        <v>Medium</v>
      </c>
      <c r="Z1832" s="4" t="n">
        <f aca="false">ROUND(MIN(1,MAX('Reward Model'!$B$2,INDEX('Reward Model'!$C$12:$C$14,MATCH($K1832,'Reward Model'!$A$12:$A$14,0))/$J1832)),3)</f>
        <v>1</v>
      </c>
      <c r="AA1832" s="2" t="n">
        <f aca="false">IF($I1832="Correct",ROUND(INDEX('Reward Model'!$B$12:$B$14,MATCH($K1832,'Reward Model'!$A$12:$A$14,0))*Z1832,2),0)</f>
        <v>2</v>
      </c>
      <c r="AB1832" s="2" t="n">
        <f aca="false">IF($I1832="Correct",ROUND(INDEX('Reward Model'!$B$12:$B$14,MATCH($Y1832,'Reward Model'!$A$12:$A$14,0))*Z1832,2),0)</f>
        <v>2</v>
      </c>
    </row>
    <row r="1833" customFormat="false" ht="15" hidden="false" customHeight="false" outlineLevel="0" collapsed="false">
      <c r="A1833" s="0" t="s">
        <v>312</v>
      </c>
      <c r="B1833" s="0" t="s">
        <v>313</v>
      </c>
      <c r="C1833" s="0" t="s">
        <v>30</v>
      </c>
      <c r="D1833" s="0" t="s">
        <v>275</v>
      </c>
      <c r="E1833" s="0" t="n">
        <v>12</v>
      </c>
      <c r="F1833" s="0" t="s">
        <v>64</v>
      </c>
      <c r="G1833" s="0" t="s">
        <v>127</v>
      </c>
      <c r="H1833" s="0" t="s">
        <v>65</v>
      </c>
      <c r="I1833" s="0" t="s">
        <v>39</v>
      </c>
      <c r="J1833" s="0" t="n">
        <v>1.57</v>
      </c>
      <c r="K1833" s="0" t="s">
        <v>60</v>
      </c>
      <c r="L1833" s="0" t="n">
        <f aca="false">INDEX(Summary!$F$2:$F$201,MATCH($B1833,Summary!$A$2:$A$201,0))</f>
        <v>20</v>
      </c>
      <c r="M1833" s="0" t="n">
        <f aca="false">INDEX(Summary!$I$2:$I$201,MATCH($B1833,Summary!$A$2:$A$201,0))</f>
        <v>1</v>
      </c>
      <c r="N1833" s="0" t="n">
        <f aca="false">INDEX(Summary!$J$2:$J$201,MATCH($B1833,Summary!$A$2:$A$201,0))</f>
        <v>4</v>
      </c>
      <c r="O1833" s="2" t="n">
        <f aca="false">INDEX(Summary!$K$2:$K$201,MATCH($B1833,Summary!$A$2:$A$201,0))</f>
        <v>7.78</v>
      </c>
      <c r="P1833" s="3" t="n">
        <f aca="false">INDEX(Summary!$L$2:$L$201,MATCH($B1833,Summary!$A$2:$A$201,0))</f>
        <v>3</v>
      </c>
      <c r="Q1833" s="3" t="n">
        <f aca="false">INDEX(Summary!$M$2:$M$201,MATCH($B1833,Summary!$A$2:$A$201,0))</f>
        <v>3</v>
      </c>
      <c r="R1833" s="2" t="n">
        <f aca="false">INDEX(Summary!$N$2:$N$201,MATCH($B1833,Summary!$A$2:$A$201,0))</f>
        <v>7.89</v>
      </c>
      <c r="S1833" s="3" t="n">
        <f aca="false">INDEX(Summary!$O$2:$O$201,MATCH($B1833,Summary!$A$2:$A$201,0))</f>
        <v>8</v>
      </c>
      <c r="T1833" s="3" t="n">
        <f aca="false">INDEX(Summary!$P$2:$P$201,MATCH($B1833,Summary!$A$2:$A$201,0))</f>
        <v>1</v>
      </c>
      <c r="U1833" s="2" t="n">
        <f aca="false">INDEX(Summary!$Q$2:$Q$201,MATCH($B1833,Summary!$A$2:$A$201,0))</f>
        <v>15.03</v>
      </c>
      <c r="V1833" s="2" t="n">
        <f aca="false">INDEX(Summary!$R$2:$R$201,MATCH($B1833,Summary!$A$2:$A$201,0))</f>
        <v>19.76</v>
      </c>
      <c r="W1833" s="0" t="str">
        <f aca="false">INDEX(Summary!$S$2:$S$201,MATCH($B1833,Summary!$A$2:$A$201,0))</f>
        <v>Bronze</v>
      </c>
      <c r="X1833" s="2" t="n">
        <f aca="false">INDEX(Summary!$T$2:$T$201,MATCH($B1833,Summary!$A$2:$A$201,0))</f>
        <v>48.2</v>
      </c>
      <c r="Y1833" s="0" t="str">
        <f aca="false">INDEX('Reward Model'!$E$18:$E$37,MATCH($E1833,'Reward Model'!$A$18:$A$37,0))</f>
        <v>Medium</v>
      </c>
      <c r="Z1833" s="4" t="n">
        <f aca="false">ROUND(MIN(1,MAX('Reward Model'!$B$2,INDEX('Reward Model'!$C$12:$C$14,MATCH($K1833,'Reward Model'!$A$12:$A$14,0))/$J1833)),3)</f>
        <v>1</v>
      </c>
      <c r="AA1833" s="2" t="n">
        <f aca="false">IF($I1833="Correct",ROUND(INDEX('Reward Model'!$B$12:$B$14,MATCH($K1833,'Reward Model'!$A$12:$A$14,0))*Z1833,2),0)</f>
        <v>0</v>
      </c>
      <c r="AB1833" s="2" t="n">
        <f aca="false">IF($I1833="Correct",ROUND(INDEX('Reward Model'!$B$12:$B$14,MATCH($Y1833,'Reward Model'!$A$12:$A$14,0))*Z1833,2),0)</f>
        <v>0</v>
      </c>
    </row>
    <row r="1834" customFormat="false" ht="15" hidden="false" customHeight="false" outlineLevel="0" collapsed="false">
      <c r="A1834" s="0" t="s">
        <v>312</v>
      </c>
      <c r="B1834" s="0" t="s">
        <v>313</v>
      </c>
      <c r="C1834" s="0" t="s">
        <v>30</v>
      </c>
      <c r="D1834" s="0" t="s">
        <v>275</v>
      </c>
      <c r="E1834" s="0" t="n">
        <v>13</v>
      </c>
      <c r="F1834" s="0" t="s">
        <v>66</v>
      </c>
      <c r="G1834" s="0" t="s">
        <v>117</v>
      </c>
      <c r="H1834" s="0" t="s">
        <v>67</v>
      </c>
      <c r="I1834" s="0" t="s">
        <v>39</v>
      </c>
      <c r="J1834" s="0" t="n">
        <v>1.41</v>
      </c>
      <c r="K1834" s="0" t="s">
        <v>60</v>
      </c>
      <c r="L1834" s="0" t="n">
        <f aca="false">INDEX(Summary!$F$2:$F$201,MATCH($B1834,Summary!$A$2:$A$201,0))</f>
        <v>20</v>
      </c>
      <c r="M1834" s="0" t="n">
        <f aca="false">INDEX(Summary!$I$2:$I$201,MATCH($B1834,Summary!$A$2:$A$201,0))</f>
        <v>1</v>
      </c>
      <c r="N1834" s="0" t="n">
        <f aca="false">INDEX(Summary!$J$2:$J$201,MATCH($B1834,Summary!$A$2:$A$201,0))</f>
        <v>4</v>
      </c>
      <c r="O1834" s="2" t="n">
        <f aca="false">INDEX(Summary!$K$2:$K$201,MATCH($B1834,Summary!$A$2:$A$201,0))</f>
        <v>7.78</v>
      </c>
      <c r="P1834" s="3" t="n">
        <f aca="false">INDEX(Summary!$L$2:$L$201,MATCH($B1834,Summary!$A$2:$A$201,0))</f>
        <v>3</v>
      </c>
      <c r="Q1834" s="3" t="n">
        <f aca="false">INDEX(Summary!$M$2:$M$201,MATCH($B1834,Summary!$A$2:$A$201,0))</f>
        <v>3</v>
      </c>
      <c r="R1834" s="2" t="n">
        <f aca="false">INDEX(Summary!$N$2:$N$201,MATCH($B1834,Summary!$A$2:$A$201,0))</f>
        <v>7.89</v>
      </c>
      <c r="S1834" s="3" t="n">
        <f aca="false">INDEX(Summary!$O$2:$O$201,MATCH($B1834,Summary!$A$2:$A$201,0))</f>
        <v>8</v>
      </c>
      <c r="T1834" s="3" t="n">
        <f aca="false">INDEX(Summary!$P$2:$P$201,MATCH($B1834,Summary!$A$2:$A$201,0))</f>
        <v>1</v>
      </c>
      <c r="U1834" s="2" t="n">
        <f aca="false">INDEX(Summary!$Q$2:$Q$201,MATCH($B1834,Summary!$A$2:$A$201,0))</f>
        <v>15.03</v>
      </c>
      <c r="V1834" s="2" t="n">
        <f aca="false">INDEX(Summary!$R$2:$R$201,MATCH($B1834,Summary!$A$2:$A$201,0))</f>
        <v>19.76</v>
      </c>
      <c r="W1834" s="0" t="str">
        <f aca="false">INDEX(Summary!$S$2:$S$201,MATCH($B1834,Summary!$A$2:$A$201,0))</f>
        <v>Bronze</v>
      </c>
      <c r="X1834" s="2" t="n">
        <f aca="false">INDEX(Summary!$T$2:$T$201,MATCH($B1834,Summary!$A$2:$A$201,0))</f>
        <v>48.2</v>
      </c>
      <c r="Y1834" s="0" t="str">
        <f aca="false">INDEX('Reward Model'!$E$18:$E$37,MATCH($E1834,'Reward Model'!$A$18:$A$37,0))</f>
        <v>Medium</v>
      </c>
      <c r="Z1834" s="4" t="n">
        <f aca="false">ROUND(MIN(1,MAX('Reward Model'!$B$2,INDEX('Reward Model'!$C$12:$C$14,MATCH($K1834,'Reward Model'!$A$12:$A$14,0))/$J1834)),3)</f>
        <v>1</v>
      </c>
      <c r="AA1834" s="2" t="n">
        <f aca="false">IF($I1834="Correct",ROUND(INDEX('Reward Model'!$B$12:$B$14,MATCH($K1834,'Reward Model'!$A$12:$A$14,0))*Z1834,2),0)</f>
        <v>0</v>
      </c>
      <c r="AB1834" s="2" t="n">
        <f aca="false">IF($I1834="Correct",ROUND(INDEX('Reward Model'!$B$12:$B$14,MATCH($Y1834,'Reward Model'!$A$12:$A$14,0))*Z1834,2),0)</f>
        <v>0</v>
      </c>
    </row>
    <row r="1835" customFormat="false" ht="15" hidden="false" customHeight="false" outlineLevel="0" collapsed="false">
      <c r="A1835" s="0" t="s">
        <v>312</v>
      </c>
      <c r="B1835" s="0" t="s">
        <v>313</v>
      </c>
      <c r="C1835" s="0" t="s">
        <v>30</v>
      </c>
      <c r="D1835" s="0" t="s">
        <v>275</v>
      </c>
      <c r="E1835" s="0" t="n">
        <v>14</v>
      </c>
      <c r="F1835" s="0" t="s">
        <v>68</v>
      </c>
      <c r="G1835" s="0" t="s">
        <v>51</v>
      </c>
      <c r="H1835" s="0" t="s">
        <v>51</v>
      </c>
      <c r="I1835" s="0" t="s">
        <v>34</v>
      </c>
      <c r="J1835" s="0" t="n">
        <v>1.31</v>
      </c>
      <c r="K1835" s="0" t="s">
        <v>60</v>
      </c>
      <c r="L1835" s="0" t="n">
        <f aca="false">INDEX(Summary!$F$2:$F$201,MATCH($B1835,Summary!$A$2:$A$201,0))</f>
        <v>20</v>
      </c>
      <c r="M1835" s="0" t="n">
        <f aca="false">INDEX(Summary!$I$2:$I$201,MATCH($B1835,Summary!$A$2:$A$201,0))</f>
        <v>1</v>
      </c>
      <c r="N1835" s="0" t="n">
        <f aca="false">INDEX(Summary!$J$2:$J$201,MATCH($B1835,Summary!$A$2:$A$201,0))</f>
        <v>4</v>
      </c>
      <c r="O1835" s="2" t="n">
        <f aca="false">INDEX(Summary!$K$2:$K$201,MATCH($B1835,Summary!$A$2:$A$201,0))</f>
        <v>7.78</v>
      </c>
      <c r="P1835" s="3" t="n">
        <f aca="false">INDEX(Summary!$L$2:$L$201,MATCH($B1835,Summary!$A$2:$A$201,0))</f>
        <v>3</v>
      </c>
      <c r="Q1835" s="3" t="n">
        <f aca="false">INDEX(Summary!$M$2:$M$201,MATCH($B1835,Summary!$A$2:$A$201,0))</f>
        <v>3</v>
      </c>
      <c r="R1835" s="2" t="n">
        <f aca="false">INDEX(Summary!$N$2:$N$201,MATCH($B1835,Summary!$A$2:$A$201,0))</f>
        <v>7.89</v>
      </c>
      <c r="S1835" s="3" t="n">
        <f aca="false">INDEX(Summary!$O$2:$O$201,MATCH($B1835,Summary!$A$2:$A$201,0))</f>
        <v>8</v>
      </c>
      <c r="T1835" s="3" t="n">
        <f aca="false">INDEX(Summary!$P$2:$P$201,MATCH($B1835,Summary!$A$2:$A$201,0))</f>
        <v>1</v>
      </c>
      <c r="U1835" s="2" t="n">
        <f aca="false">INDEX(Summary!$Q$2:$Q$201,MATCH($B1835,Summary!$A$2:$A$201,0))</f>
        <v>15.03</v>
      </c>
      <c r="V1835" s="2" t="n">
        <f aca="false">INDEX(Summary!$R$2:$R$201,MATCH($B1835,Summary!$A$2:$A$201,0))</f>
        <v>19.76</v>
      </c>
      <c r="W1835" s="0" t="str">
        <f aca="false">INDEX(Summary!$S$2:$S$201,MATCH($B1835,Summary!$A$2:$A$201,0))</f>
        <v>Bronze</v>
      </c>
      <c r="X1835" s="2" t="n">
        <f aca="false">INDEX(Summary!$T$2:$T$201,MATCH($B1835,Summary!$A$2:$A$201,0))</f>
        <v>48.2</v>
      </c>
      <c r="Y1835" s="0" t="str">
        <f aca="false">INDEX('Reward Model'!$E$18:$E$37,MATCH($E1835,'Reward Model'!$A$18:$A$37,0))</f>
        <v>Medium</v>
      </c>
      <c r="Z1835" s="4" t="n">
        <f aca="false">ROUND(MIN(1,MAX('Reward Model'!$B$2,INDEX('Reward Model'!$C$12:$C$14,MATCH($K1835,'Reward Model'!$A$12:$A$14,0))/$J1835)),3)</f>
        <v>1</v>
      </c>
      <c r="AA1835" s="2" t="n">
        <f aca="false">IF($I1835="Correct",ROUND(INDEX('Reward Model'!$B$12:$B$14,MATCH($K1835,'Reward Model'!$A$12:$A$14,0))*Z1835,2),0)</f>
        <v>2</v>
      </c>
      <c r="AB1835" s="2" t="n">
        <f aca="false">IF($I1835="Correct",ROUND(INDEX('Reward Model'!$B$12:$B$14,MATCH($Y1835,'Reward Model'!$A$12:$A$14,0))*Z1835,2),0)</f>
        <v>2</v>
      </c>
    </row>
    <row r="1836" customFormat="false" ht="15" hidden="false" customHeight="false" outlineLevel="0" collapsed="false">
      <c r="A1836" s="0" t="s">
        <v>312</v>
      </c>
      <c r="B1836" s="0" t="s">
        <v>313</v>
      </c>
      <c r="C1836" s="0" t="s">
        <v>30</v>
      </c>
      <c r="D1836" s="0" t="s">
        <v>275</v>
      </c>
      <c r="E1836" s="0" t="n">
        <v>15</v>
      </c>
      <c r="F1836" s="0" t="s">
        <v>69</v>
      </c>
      <c r="G1836" s="0" t="s">
        <v>131</v>
      </c>
      <c r="H1836" s="0" t="s">
        <v>70</v>
      </c>
      <c r="I1836" s="0" t="s">
        <v>39</v>
      </c>
      <c r="J1836" s="0" t="n">
        <v>1.13</v>
      </c>
      <c r="K1836" s="0" t="s">
        <v>60</v>
      </c>
      <c r="L1836" s="0" t="n">
        <f aca="false">INDEX(Summary!$F$2:$F$201,MATCH($B1836,Summary!$A$2:$A$201,0))</f>
        <v>20</v>
      </c>
      <c r="M1836" s="0" t="n">
        <f aca="false">INDEX(Summary!$I$2:$I$201,MATCH($B1836,Summary!$A$2:$A$201,0))</f>
        <v>1</v>
      </c>
      <c r="N1836" s="0" t="n">
        <f aca="false">INDEX(Summary!$J$2:$J$201,MATCH($B1836,Summary!$A$2:$A$201,0))</f>
        <v>4</v>
      </c>
      <c r="O1836" s="2" t="n">
        <f aca="false">INDEX(Summary!$K$2:$K$201,MATCH($B1836,Summary!$A$2:$A$201,0))</f>
        <v>7.78</v>
      </c>
      <c r="P1836" s="3" t="n">
        <f aca="false">INDEX(Summary!$L$2:$L$201,MATCH($B1836,Summary!$A$2:$A$201,0))</f>
        <v>3</v>
      </c>
      <c r="Q1836" s="3" t="n">
        <f aca="false">INDEX(Summary!$M$2:$M$201,MATCH($B1836,Summary!$A$2:$A$201,0))</f>
        <v>3</v>
      </c>
      <c r="R1836" s="2" t="n">
        <f aca="false">INDEX(Summary!$N$2:$N$201,MATCH($B1836,Summary!$A$2:$A$201,0))</f>
        <v>7.89</v>
      </c>
      <c r="S1836" s="3" t="n">
        <f aca="false">INDEX(Summary!$O$2:$O$201,MATCH($B1836,Summary!$A$2:$A$201,0))</f>
        <v>8</v>
      </c>
      <c r="T1836" s="3" t="n">
        <f aca="false">INDEX(Summary!$P$2:$P$201,MATCH($B1836,Summary!$A$2:$A$201,0))</f>
        <v>1</v>
      </c>
      <c r="U1836" s="2" t="n">
        <f aca="false">INDEX(Summary!$Q$2:$Q$201,MATCH($B1836,Summary!$A$2:$A$201,0))</f>
        <v>15.03</v>
      </c>
      <c r="V1836" s="2" t="n">
        <f aca="false">INDEX(Summary!$R$2:$R$201,MATCH($B1836,Summary!$A$2:$A$201,0))</f>
        <v>19.76</v>
      </c>
      <c r="W1836" s="0" t="str">
        <f aca="false">INDEX(Summary!$S$2:$S$201,MATCH($B1836,Summary!$A$2:$A$201,0))</f>
        <v>Bronze</v>
      </c>
      <c r="X1836" s="2" t="n">
        <f aca="false">INDEX(Summary!$T$2:$T$201,MATCH($B1836,Summary!$A$2:$A$201,0))</f>
        <v>48.2</v>
      </c>
      <c r="Y1836" s="0" t="str">
        <f aca="false">INDEX('Reward Model'!$E$18:$E$37,MATCH($E1836,'Reward Model'!$A$18:$A$37,0))</f>
        <v>Medium</v>
      </c>
      <c r="Z1836" s="4" t="n">
        <f aca="false">ROUND(MIN(1,MAX('Reward Model'!$B$2,INDEX('Reward Model'!$C$12:$C$14,MATCH($K1836,'Reward Model'!$A$12:$A$14,0))/$J1836)),3)</f>
        <v>1</v>
      </c>
      <c r="AA1836" s="2" t="n">
        <f aca="false">IF($I1836="Correct",ROUND(INDEX('Reward Model'!$B$12:$B$14,MATCH($K1836,'Reward Model'!$A$12:$A$14,0))*Z1836,2),0)</f>
        <v>0</v>
      </c>
      <c r="AB1836" s="2" t="n">
        <f aca="false">IF($I1836="Correct",ROUND(INDEX('Reward Model'!$B$12:$B$14,MATCH($Y1836,'Reward Model'!$A$12:$A$14,0))*Z1836,2),0)</f>
        <v>0</v>
      </c>
    </row>
    <row r="1837" customFormat="false" ht="15" hidden="false" customHeight="false" outlineLevel="0" collapsed="false">
      <c r="A1837" s="0" t="s">
        <v>312</v>
      </c>
      <c r="B1837" s="0" t="s">
        <v>313</v>
      </c>
      <c r="C1837" s="0" t="s">
        <v>30</v>
      </c>
      <c r="D1837" s="0" t="s">
        <v>275</v>
      </c>
      <c r="E1837" s="0" t="n">
        <v>16</v>
      </c>
      <c r="F1837" s="0" t="s">
        <v>71</v>
      </c>
      <c r="G1837" s="0" t="s">
        <v>72</v>
      </c>
      <c r="H1837" s="0" t="s">
        <v>72</v>
      </c>
      <c r="I1837" s="0" t="s">
        <v>34</v>
      </c>
      <c r="J1837" s="0" t="n">
        <v>1.48</v>
      </c>
      <c r="K1837" s="0" t="s">
        <v>73</v>
      </c>
      <c r="L1837" s="0" t="n">
        <f aca="false">INDEX(Summary!$F$2:$F$201,MATCH($B1837,Summary!$A$2:$A$201,0))</f>
        <v>20</v>
      </c>
      <c r="M1837" s="0" t="n">
        <f aca="false">INDEX(Summary!$I$2:$I$201,MATCH($B1837,Summary!$A$2:$A$201,0))</f>
        <v>1</v>
      </c>
      <c r="N1837" s="0" t="n">
        <f aca="false">INDEX(Summary!$J$2:$J$201,MATCH($B1837,Summary!$A$2:$A$201,0))</f>
        <v>4</v>
      </c>
      <c r="O1837" s="2" t="n">
        <f aca="false">INDEX(Summary!$K$2:$K$201,MATCH($B1837,Summary!$A$2:$A$201,0))</f>
        <v>7.78</v>
      </c>
      <c r="P1837" s="3" t="n">
        <f aca="false">INDEX(Summary!$L$2:$L$201,MATCH($B1837,Summary!$A$2:$A$201,0))</f>
        <v>3</v>
      </c>
      <c r="Q1837" s="3" t="n">
        <f aca="false">INDEX(Summary!$M$2:$M$201,MATCH($B1837,Summary!$A$2:$A$201,0))</f>
        <v>3</v>
      </c>
      <c r="R1837" s="2" t="n">
        <f aca="false">INDEX(Summary!$N$2:$N$201,MATCH($B1837,Summary!$A$2:$A$201,0))</f>
        <v>7.89</v>
      </c>
      <c r="S1837" s="3" t="n">
        <f aca="false">INDEX(Summary!$O$2:$O$201,MATCH($B1837,Summary!$A$2:$A$201,0))</f>
        <v>8</v>
      </c>
      <c r="T1837" s="3" t="n">
        <f aca="false">INDEX(Summary!$P$2:$P$201,MATCH($B1837,Summary!$A$2:$A$201,0))</f>
        <v>1</v>
      </c>
      <c r="U1837" s="2" t="n">
        <f aca="false">INDEX(Summary!$Q$2:$Q$201,MATCH($B1837,Summary!$A$2:$A$201,0))</f>
        <v>15.03</v>
      </c>
      <c r="V1837" s="2" t="n">
        <f aca="false">INDEX(Summary!$R$2:$R$201,MATCH($B1837,Summary!$A$2:$A$201,0))</f>
        <v>19.76</v>
      </c>
      <c r="W1837" s="0" t="str">
        <f aca="false">INDEX(Summary!$S$2:$S$201,MATCH($B1837,Summary!$A$2:$A$201,0))</f>
        <v>Bronze</v>
      </c>
      <c r="X1837" s="2" t="n">
        <f aca="false">INDEX(Summary!$T$2:$T$201,MATCH($B1837,Summary!$A$2:$A$201,0))</f>
        <v>48.2</v>
      </c>
      <c r="Y1837" s="0" t="str">
        <f aca="false">INDEX('Reward Model'!$E$18:$E$37,MATCH($E1837,'Reward Model'!$A$18:$A$37,0))</f>
        <v>High</v>
      </c>
      <c r="Z1837" s="4" t="n">
        <f aca="false">ROUND(MIN(1,MAX('Reward Model'!$B$2,INDEX('Reward Model'!$C$12:$C$14,MATCH($K1837,'Reward Model'!$A$12:$A$14,0))/$J1837)),3)</f>
        <v>1</v>
      </c>
      <c r="AA1837" s="2" t="n">
        <f aca="false">IF($I1837="Correct",ROUND(INDEX('Reward Model'!$B$12:$B$14,MATCH($K1837,'Reward Model'!$A$12:$A$14,0))*Z1837,2),0)</f>
        <v>3</v>
      </c>
      <c r="AB1837" s="2" t="n">
        <f aca="false">IF($I1837="Correct",ROUND(INDEX('Reward Model'!$B$12:$B$14,MATCH($Y1837,'Reward Model'!$A$12:$A$14,0))*Z1837,2),0)</f>
        <v>3</v>
      </c>
    </row>
    <row r="1838" customFormat="false" ht="15" hidden="false" customHeight="false" outlineLevel="0" collapsed="false">
      <c r="A1838" s="0" t="s">
        <v>312</v>
      </c>
      <c r="B1838" s="0" t="s">
        <v>313</v>
      </c>
      <c r="C1838" s="0" t="s">
        <v>30</v>
      </c>
      <c r="D1838" s="0" t="s">
        <v>275</v>
      </c>
      <c r="E1838" s="0" t="n">
        <v>17</v>
      </c>
      <c r="F1838" s="0" t="s">
        <v>74</v>
      </c>
      <c r="G1838" s="0" t="s">
        <v>105</v>
      </c>
      <c r="H1838" s="0" t="s">
        <v>75</v>
      </c>
      <c r="I1838" s="0" t="s">
        <v>39</v>
      </c>
      <c r="J1838" s="0" t="n">
        <v>2.24</v>
      </c>
      <c r="K1838" s="0" t="s">
        <v>73</v>
      </c>
      <c r="L1838" s="0" t="n">
        <f aca="false">INDEX(Summary!$F$2:$F$201,MATCH($B1838,Summary!$A$2:$A$201,0))</f>
        <v>20</v>
      </c>
      <c r="M1838" s="0" t="n">
        <f aca="false">INDEX(Summary!$I$2:$I$201,MATCH($B1838,Summary!$A$2:$A$201,0))</f>
        <v>1</v>
      </c>
      <c r="N1838" s="0" t="n">
        <f aca="false">INDEX(Summary!$J$2:$J$201,MATCH($B1838,Summary!$A$2:$A$201,0))</f>
        <v>4</v>
      </c>
      <c r="O1838" s="2" t="n">
        <f aca="false">INDEX(Summary!$K$2:$K$201,MATCH($B1838,Summary!$A$2:$A$201,0))</f>
        <v>7.78</v>
      </c>
      <c r="P1838" s="3" t="n">
        <f aca="false">INDEX(Summary!$L$2:$L$201,MATCH($B1838,Summary!$A$2:$A$201,0))</f>
        <v>3</v>
      </c>
      <c r="Q1838" s="3" t="n">
        <f aca="false">INDEX(Summary!$M$2:$M$201,MATCH($B1838,Summary!$A$2:$A$201,0))</f>
        <v>3</v>
      </c>
      <c r="R1838" s="2" t="n">
        <f aca="false">INDEX(Summary!$N$2:$N$201,MATCH($B1838,Summary!$A$2:$A$201,0))</f>
        <v>7.89</v>
      </c>
      <c r="S1838" s="3" t="n">
        <f aca="false">INDEX(Summary!$O$2:$O$201,MATCH($B1838,Summary!$A$2:$A$201,0))</f>
        <v>8</v>
      </c>
      <c r="T1838" s="3" t="n">
        <f aca="false">INDEX(Summary!$P$2:$P$201,MATCH($B1838,Summary!$A$2:$A$201,0))</f>
        <v>1</v>
      </c>
      <c r="U1838" s="2" t="n">
        <f aca="false">INDEX(Summary!$Q$2:$Q$201,MATCH($B1838,Summary!$A$2:$A$201,0))</f>
        <v>15.03</v>
      </c>
      <c r="V1838" s="2" t="n">
        <f aca="false">INDEX(Summary!$R$2:$R$201,MATCH($B1838,Summary!$A$2:$A$201,0))</f>
        <v>19.76</v>
      </c>
      <c r="W1838" s="0" t="str">
        <f aca="false">INDEX(Summary!$S$2:$S$201,MATCH($B1838,Summary!$A$2:$A$201,0))</f>
        <v>Bronze</v>
      </c>
      <c r="X1838" s="2" t="n">
        <f aca="false">INDEX(Summary!$T$2:$T$201,MATCH($B1838,Summary!$A$2:$A$201,0))</f>
        <v>48.2</v>
      </c>
      <c r="Y1838" s="0" t="str">
        <f aca="false">INDEX('Reward Model'!$E$18:$E$37,MATCH($E1838,'Reward Model'!$A$18:$A$37,0))</f>
        <v>High</v>
      </c>
      <c r="Z1838" s="4" t="n">
        <f aca="false">ROUND(MIN(1,MAX('Reward Model'!$B$2,INDEX('Reward Model'!$C$12:$C$14,MATCH($K1838,'Reward Model'!$A$12:$A$14,0))/$J1838)),3)</f>
        <v>0.893</v>
      </c>
      <c r="AA1838" s="2" t="n">
        <f aca="false">IF($I1838="Correct",ROUND(INDEX('Reward Model'!$B$12:$B$14,MATCH($K1838,'Reward Model'!$A$12:$A$14,0))*Z1838,2),0)</f>
        <v>0</v>
      </c>
      <c r="AB1838" s="2" t="n">
        <f aca="false">IF($I1838="Correct",ROUND(INDEX('Reward Model'!$B$12:$B$14,MATCH($Y1838,'Reward Model'!$A$12:$A$14,0))*Z1838,2),0)</f>
        <v>0</v>
      </c>
    </row>
    <row r="1839" customFormat="false" ht="15" hidden="false" customHeight="false" outlineLevel="0" collapsed="false">
      <c r="A1839" s="0" t="s">
        <v>312</v>
      </c>
      <c r="B1839" s="0" t="s">
        <v>313</v>
      </c>
      <c r="C1839" s="0" t="s">
        <v>30</v>
      </c>
      <c r="D1839" s="0" t="s">
        <v>275</v>
      </c>
      <c r="E1839" s="0" t="n">
        <v>18</v>
      </c>
      <c r="F1839" s="0" t="s">
        <v>76</v>
      </c>
      <c r="G1839" s="0" t="s">
        <v>128</v>
      </c>
      <c r="H1839" s="0" t="s">
        <v>77</v>
      </c>
      <c r="I1839" s="0" t="s">
        <v>39</v>
      </c>
      <c r="J1839" s="0" t="n">
        <v>1.22</v>
      </c>
      <c r="K1839" s="0" t="s">
        <v>73</v>
      </c>
      <c r="L1839" s="0" t="n">
        <f aca="false">INDEX(Summary!$F$2:$F$201,MATCH($B1839,Summary!$A$2:$A$201,0))</f>
        <v>20</v>
      </c>
      <c r="M1839" s="0" t="n">
        <f aca="false">INDEX(Summary!$I$2:$I$201,MATCH($B1839,Summary!$A$2:$A$201,0))</f>
        <v>1</v>
      </c>
      <c r="N1839" s="0" t="n">
        <f aca="false">INDEX(Summary!$J$2:$J$201,MATCH($B1839,Summary!$A$2:$A$201,0))</f>
        <v>4</v>
      </c>
      <c r="O1839" s="2" t="n">
        <f aca="false">INDEX(Summary!$K$2:$K$201,MATCH($B1839,Summary!$A$2:$A$201,0))</f>
        <v>7.78</v>
      </c>
      <c r="P1839" s="3" t="n">
        <f aca="false">INDEX(Summary!$L$2:$L$201,MATCH($B1839,Summary!$A$2:$A$201,0))</f>
        <v>3</v>
      </c>
      <c r="Q1839" s="3" t="n">
        <f aca="false">INDEX(Summary!$M$2:$M$201,MATCH($B1839,Summary!$A$2:$A$201,0))</f>
        <v>3</v>
      </c>
      <c r="R1839" s="2" t="n">
        <f aca="false">INDEX(Summary!$N$2:$N$201,MATCH($B1839,Summary!$A$2:$A$201,0))</f>
        <v>7.89</v>
      </c>
      <c r="S1839" s="3" t="n">
        <f aca="false">INDEX(Summary!$O$2:$O$201,MATCH($B1839,Summary!$A$2:$A$201,0))</f>
        <v>8</v>
      </c>
      <c r="T1839" s="3" t="n">
        <f aca="false">INDEX(Summary!$P$2:$P$201,MATCH($B1839,Summary!$A$2:$A$201,0))</f>
        <v>1</v>
      </c>
      <c r="U1839" s="2" t="n">
        <f aca="false">INDEX(Summary!$Q$2:$Q$201,MATCH($B1839,Summary!$A$2:$A$201,0))</f>
        <v>15.03</v>
      </c>
      <c r="V1839" s="2" t="n">
        <f aca="false">INDEX(Summary!$R$2:$R$201,MATCH($B1839,Summary!$A$2:$A$201,0))</f>
        <v>19.76</v>
      </c>
      <c r="W1839" s="0" t="str">
        <f aca="false">INDEX(Summary!$S$2:$S$201,MATCH($B1839,Summary!$A$2:$A$201,0))</f>
        <v>Bronze</v>
      </c>
      <c r="X1839" s="2" t="n">
        <f aca="false">INDEX(Summary!$T$2:$T$201,MATCH($B1839,Summary!$A$2:$A$201,0))</f>
        <v>48.2</v>
      </c>
      <c r="Y1839" s="0" t="str">
        <f aca="false">INDEX('Reward Model'!$E$18:$E$37,MATCH($E1839,'Reward Model'!$A$18:$A$37,0))</f>
        <v>High</v>
      </c>
      <c r="Z1839" s="4" t="n">
        <f aca="false">ROUND(MIN(1,MAX('Reward Model'!$B$2,INDEX('Reward Model'!$C$12:$C$14,MATCH($K1839,'Reward Model'!$A$12:$A$14,0))/$J1839)),3)</f>
        <v>1</v>
      </c>
      <c r="AA1839" s="2" t="n">
        <f aca="false">IF($I1839="Correct",ROUND(INDEX('Reward Model'!$B$12:$B$14,MATCH($K1839,'Reward Model'!$A$12:$A$14,0))*Z1839,2),0)</f>
        <v>0</v>
      </c>
      <c r="AB1839" s="2" t="n">
        <f aca="false">IF($I1839="Correct",ROUND(INDEX('Reward Model'!$B$12:$B$14,MATCH($Y1839,'Reward Model'!$A$12:$A$14,0))*Z1839,2),0)</f>
        <v>0</v>
      </c>
    </row>
    <row r="1840" customFormat="false" ht="15" hidden="false" customHeight="false" outlineLevel="0" collapsed="false">
      <c r="A1840" s="0" t="s">
        <v>312</v>
      </c>
      <c r="B1840" s="0" t="s">
        <v>313</v>
      </c>
      <c r="C1840" s="0" t="s">
        <v>30</v>
      </c>
      <c r="D1840" s="0" t="s">
        <v>275</v>
      </c>
      <c r="E1840" s="0" t="n">
        <v>19</v>
      </c>
      <c r="F1840" s="0" t="s">
        <v>78</v>
      </c>
      <c r="G1840" s="0" t="s">
        <v>132</v>
      </c>
      <c r="H1840" s="0" t="s">
        <v>80</v>
      </c>
      <c r="I1840" s="0" t="s">
        <v>39</v>
      </c>
      <c r="J1840" s="0" t="n">
        <v>1.55</v>
      </c>
      <c r="K1840" s="0" t="s">
        <v>73</v>
      </c>
      <c r="L1840" s="0" t="n">
        <f aca="false">INDEX(Summary!$F$2:$F$201,MATCH($B1840,Summary!$A$2:$A$201,0))</f>
        <v>20</v>
      </c>
      <c r="M1840" s="0" t="n">
        <f aca="false">INDEX(Summary!$I$2:$I$201,MATCH($B1840,Summary!$A$2:$A$201,0))</f>
        <v>1</v>
      </c>
      <c r="N1840" s="0" t="n">
        <f aca="false">INDEX(Summary!$J$2:$J$201,MATCH($B1840,Summary!$A$2:$A$201,0))</f>
        <v>4</v>
      </c>
      <c r="O1840" s="2" t="n">
        <f aca="false">INDEX(Summary!$K$2:$K$201,MATCH($B1840,Summary!$A$2:$A$201,0))</f>
        <v>7.78</v>
      </c>
      <c r="P1840" s="3" t="n">
        <f aca="false">INDEX(Summary!$L$2:$L$201,MATCH($B1840,Summary!$A$2:$A$201,0))</f>
        <v>3</v>
      </c>
      <c r="Q1840" s="3" t="n">
        <f aca="false">INDEX(Summary!$M$2:$M$201,MATCH($B1840,Summary!$A$2:$A$201,0))</f>
        <v>3</v>
      </c>
      <c r="R1840" s="2" t="n">
        <f aca="false">INDEX(Summary!$N$2:$N$201,MATCH($B1840,Summary!$A$2:$A$201,0))</f>
        <v>7.89</v>
      </c>
      <c r="S1840" s="3" t="n">
        <f aca="false">INDEX(Summary!$O$2:$O$201,MATCH($B1840,Summary!$A$2:$A$201,0))</f>
        <v>8</v>
      </c>
      <c r="T1840" s="3" t="n">
        <f aca="false">INDEX(Summary!$P$2:$P$201,MATCH($B1840,Summary!$A$2:$A$201,0))</f>
        <v>1</v>
      </c>
      <c r="U1840" s="2" t="n">
        <f aca="false">INDEX(Summary!$Q$2:$Q$201,MATCH($B1840,Summary!$A$2:$A$201,0))</f>
        <v>15.03</v>
      </c>
      <c r="V1840" s="2" t="n">
        <f aca="false">INDEX(Summary!$R$2:$R$201,MATCH($B1840,Summary!$A$2:$A$201,0))</f>
        <v>19.76</v>
      </c>
      <c r="W1840" s="0" t="str">
        <f aca="false">INDEX(Summary!$S$2:$S$201,MATCH($B1840,Summary!$A$2:$A$201,0))</f>
        <v>Bronze</v>
      </c>
      <c r="X1840" s="2" t="n">
        <f aca="false">INDEX(Summary!$T$2:$T$201,MATCH($B1840,Summary!$A$2:$A$201,0))</f>
        <v>48.2</v>
      </c>
      <c r="Y1840" s="0" t="str">
        <f aca="false">INDEX('Reward Model'!$E$18:$E$37,MATCH($E1840,'Reward Model'!$A$18:$A$37,0))</f>
        <v>High</v>
      </c>
      <c r="Z1840" s="4" t="n">
        <f aca="false">ROUND(MIN(1,MAX('Reward Model'!$B$2,INDEX('Reward Model'!$C$12:$C$14,MATCH($K1840,'Reward Model'!$A$12:$A$14,0))/$J1840)),3)</f>
        <v>1</v>
      </c>
      <c r="AA1840" s="2" t="n">
        <f aca="false">IF($I1840="Correct",ROUND(INDEX('Reward Model'!$B$12:$B$14,MATCH($K1840,'Reward Model'!$A$12:$A$14,0))*Z1840,2),0)</f>
        <v>0</v>
      </c>
      <c r="AB1840" s="2" t="n">
        <f aca="false">IF($I1840="Correct",ROUND(INDEX('Reward Model'!$B$12:$B$14,MATCH($Y1840,'Reward Model'!$A$12:$A$14,0))*Z1840,2),0)</f>
        <v>0</v>
      </c>
    </row>
    <row r="1841" customFormat="false" ht="15" hidden="false" customHeight="false" outlineLevel="0" collapsed="false">
      <c r="A1841" s="0" t="s">
        <v>312</v>
      </c>
      <c r="B1841" s="0" t="s">
        <v>313</v>
      </c>
      <c r="C1841" s="0" t="s">
        <v>30</v>
      </c>
      <c r="D1841" s="0" t="s">
        <v>275</v>
      </c>
      <c r="E1841" s="0" t="n">
        <v>20</v>
      </c>
      <c r="F1841" s="0" t="s">
        <v>81</v>
      </c>
      <c r="G1841" s="0" t="s">
        <v>166</v>
      </c>
      <c r="H1841" s="0" t="s">
        <v>83</v>
      </c>
      <c r="I1841" s="0" t="s">
        <v>39</v>
      </c>
      <c r="J1841" s="0" t="n">
        <v>1.29</v>
      </c>
      <c r="K1841" s="0" t="s">
        <v>73</v>
      </c>
      <c r="L1841" s="0" t="n">
        <f aca="false">INDEX(Summary!$F$2:$F$201,MATCH($B1841,Summary!$A$2:$A$201,0))</f>
        <v>20</v>
      </c>
      <c r="M1841" s="0" t="n">
        <f aca="false">INDEX(Summary!$I$2:$I$201,MATCH($B1841,Summary!$A$2:$A$201,0))</f>
        <v>1</v>
      </c>
      <c r="N1841" s="0" t="n">
        <f aca="false">INDEX(Summary!$J$2:$J$201,MATCH($B1841,Summary!$A$2:$A$201,0))</f>
        <v>4</v>
      </c>
      <c r="O1841" s="2" t="n">
        <f aca="false">INDEX(Summary!$K$2:$K$201,MATCH($B1841,Summary!$A$2:$A$201,0))</f>
        <v>7.78</v>
      </c>
      <c r="P1841" s="3" t="n">
        <f aca="false">INDEX(Summary!$L$2:$L$201,MATCH($B1841,Summary!$A$2:$A$201,0))</f>
        <v>3</v>
      </c>
      <c r="Q1841" s="3" t="n">
        <f aca="false">INDEX(Summary!$M$2:$M$201,MATCH($B1841,Summary!$A$2:$A$201,0))</f>
        <v>3</v>
      </c>
      <c r="R1841" s="2" t="n">
        <f aca="false">INDEX(Summary!$N$2:$N$201,MATCH($B1841,Summary!$A$2:$A$201,0))</f>
        <v>7.89</v>
      </c>
      <c r="S1841" s="3" t="n">
        <f aca="false">INDEX(Summary!$O$2:$O$201,MATCH($B1841,Summary!$A$2:$A$201,0))</f>
        <v>8</v>
      </c>
      <c r="T1841" s="3" t="n">
        <f aca="false">INDEX(Summary!$P$2:$P$201,MATCH($B1841,Summary!$A$2:$A$201,0))</f>
        <v>1</v>
      </c>
      <c r="U1841" s="2" t="n">
        <f aca="false">INDEX(Summary!$Q$2:$Q$201,MATCH($B1841,Summary!$A$2:$A$201,0))</f>
        <v>15.03</v>
      </c>
      <c r="V1841" s="2" t="n">
        <f aca="false">INDEX(Summary!$R$2:$R$201,MATCH($B1841,Summary!$A$2:$A$201,0))</f>
        <v>19.76</v>
      </c>
      <c r="W1841" s="0" t="str">
        <f aca="false">INDEX(Summary!$S$2:$S$201,MATCH($B1841,Summary!$A$2:$A$201,0))</f>
        <v>Bronze</v>
      </c>
      <c r="X1841" s="2" t="n">
        <f aca="false">INDEX(Summary!$T$2:$T$201,MATCH($B1841,Summary!$A$2:$A$201,0))</f>
        <v>48.2</v>
      </c>
      <c r="Y1841" s="0" t="str">
        <f aca="false">INDEX('Reward Model'!$E$18:$E$37,MATCH($E1841,'Reward Model'!$A$18:$A$37,0))</f>
        <v>High</v>
      </c>
      <c r="Z1841" s="4" t="n">
        <f aca="false">ROUND(MIN(1,MAX('Reward Model'!$B$2,INDEX('Reward Model'!$C$12:$C$14,MATCH($K1841,'Reward Model'!$A$12:$A$14,0))/$J1841)),3)</f>
        <v>1</v>
      </c>
      <c r="AA1841" s="2" t="n">
        <f aca="false">IF($I1841="Correct",ROUND(INDEX('Reward Model'!$B$12:$B$14,MATCH($K1841,'Reward Model'!$A$12:$A$14,0))*Z1841,2),0)</f>
        <v>0</v>
      </c>
      <c r="AB1841" s="2" t="n">
        <f aca="false">IF($I1841="Correct",ROUND(INDEX('Reward Model'!$B$12:$B$14,MATCH($Y1841,'Reward Model'!$A$12:$A$14,0))*Z1841,2),0)</f>
        <v>0</v>
      </c>
    </row>
    <row r="1842" customFormat="false" ht="15" hidden="false" customHeight="false" outlineLevel="0" collapsed="false">
      <c r="A1842" s="0" t="s">
        <v>314</v>
      </c>
      <c r="B1842" s="0" t="s">
        <v>315</v>
      </c>
      <c r="C1842" s="0" t="s">
        <v>30</v>
      </c>
      <c r="D1842" s="0" t="s">
        <v>275</v>
      </c>
      <c r="E1842" s="0" t="n">
        <v>1</v>
      </c>
      <c r="F1842" s="0" t="s">
        <v>32</v>
      </c>
      <c r="G1842" s="0" t="s">
        <v>33</v>
      </c>
      <c r="H1842" s="0" t="s">
        <v>33</v>
      </c>
      <c r="I1842" s="0" t="s">
        <v>34</v>
      </c>
      <c r="J1842" s="0" t="n">
        <v>1.77</v>
      </c>
      <c r="K1842" s="0" t="s">
        <v>35</v>
      </c>
      <c r="L1842" s="0" t="n">
        <f aca="false">INDEX(Summary!$F$2:$F$201,MATCH($B1842,Summary!$A$2:$A$201,0))</f>
        <v>20</v>
      </c>
      <c r="M1842" s="0" t="n">
        <f aca="false">INDEX(Summary!$I$2:$I$201,MATCH($B1842,Summary!$A$2:$A$201,0))</f>
        <v>1</v>
      </c>
      <c r="N1842" s="0" t="n">
        <f aca="false">INDEX(Summary!$J$2:$J$201,MATCH($B1842,Summary!$A$2:$A$201,0))</f>
        <v>4</v>
      </c>
      <c r="O1842" s="2" t="n">
        <f aca="false">INDEX(Summary!$K$2:$K$201,MATCH($B1842,Summary!$A$2:$A$201,0))</f>
        <v>9.25</v>
      </c>
      <c r="P1842" s="3" t="n">
        <f aca="false">INDEX(Summary!$L$2:$L$201,MATCH($B1842,Summary!$A$2:$A$201,0))</f>
        <v>2</v>
      </c>
      <c r="Q1842" s="3" t="n">
        <f aca="false">INDEX(Summary!$M$2:$M$201,MATCH($B1842,Summary!$A$2:$A$201,0))</f>
        <v>4</v>
      </c>
      <c r="R1842" s="2" t="n">
        <f aca="false">INDEX(Summary!$N$2:$N$201,MATCH($B1842,Summary!$A$2:$A$201,0))</f>
        <v>10.83</v>
      </c>
      <c r="S1842" s="3" t="n">
        <f aca="false">INDEX(Summary!$O$2:$O$201,MATCH($B1842,Summary!$A$2:$A$201,0))</f>
        <v>5</v>
      </c>
      <c r="T1842" s="3" t="n">
        <f aca="false">INDEX(Summary!$P$2:$P$201,MATCH($B1842,Summary!$A$2:$A$201,0))</f>
        <v>4</v>
      </c>
      <c r="U1842" s="2" t="n">
        <f aca="false">INDEX(Summary!$Q$2:$Q$201,MATCH($B1842,Summary!$A$2:$A$201,0))</f>
        <v>14.17</v>
      </c>
      <c r="V1842" s="2" t="n">
        <f aca="false">INDEX(Summary!$R$2:$R$201,MATCH($B1842,Summary!$A$2:$A$201,0))</f>
        <v>15.13</v>
      </c>
      <c r="W1842" s="0" t="str">
        <f aca="false">INDEX(Summary!$S$2:$S$201,MATCH($B1842,Summary!$A$2:$A$201,0))</f>
        <v>Bronze</v>
      </c>
      <c r="X1842" s="2" t="n">
        <f aca="false">INDEX(Summary!$T$2:$T$201,MATCH($B1842,Summary!$A$2:$A$201,0))</f>
        <v>36.9</v>
      </c>
      <c r="Y1842" s="0" t="str">
        <f aca="false">INDEX('Reward Model'!$E$18:$E$37,MATCH($E1842,'Reward Model'!$A$18:$A$37,0))</f>
        <v>Medium</v>
      </c>
      <c r="Z1842" s="4" t="n">
        <f aca="false">ROUND(MIN(1,MAX('Reward Model'!$B$2,INDEX('Reward Model'!$C$12:$C$14,MATCH($K1842,'Reward Model'!$A$12:$A$14,0))/$J1842)),3)</f>
        <v>0.847</v>
      </c>
      <c r="AA1842" s="2" t="n">
        <f aca="false">IF($I1842="Correct",ROUND(INDEX('Reward Model'!$B$12:$B$14,MATCH($K1842,'Reward Model'!$A$12:$A$14,0))*Z1842,2),0)</f>
        <v>0.85</v>
      </c>
      <c r="AB1842" s="2" t="n">
        <f aca="false">IF($I1842="Correct",ROUND(INDEX('Reward Model'!$B$12:$B$14,MATCH($Y1842,'Reward Model'!$A$12:$A$14,0))*Z1842,2),0)</f>
        <v>1.69</v>
      </c>
    </row>
    <row r="1843" customFormat="false" ht="15" hidden="false" customHeight="false" outlineLevel="0" collapsed="false">
      <c r="A1843" s="0" t="s">
        <v>314</v>
      </c>
      <c r="B1843" s="0" t="s">
        <v>315</v>
      </c>
      <c r="C1843" s="0" t="s">
        <v>30</v>
      </c>
      <c r="D1843" s="0" t="s">
        <v>275</v>
      </c>
      <c r="E1843" s="0" t="n">
        <v>2</v>
      </c>
      <c r="F1843" s="0" t="s">
        <v>36</v>
      </c>
      <c r="G1843" s="0" t="s">
        <v>37</v>
      </c>
      <c r="H1843" s="0" t="s">
        <v>38</v>
      </c>
      <c r="I1843" s="0" t="s">
        <v>39</v>
      </c>
      <c r="J1843" s="0" t="n">
        <v>0.95</v>
      </c>
      <c r="K1843" s="0" t="s">
        <v>35</v>
      </c>
      <c r="L1843" s="0" t="n">
        <f aca="false">INDEX(Summary!$F$2:$F$201,MATCH($B1843,Summary!$A$2:$A$201,0))</f>
        <v>20</v>
      </c>
      <c r="M1843" s="0" t="n">
        <f aca="false">INDEX(Summary!$I$2:$I$201,MATCH($B1843,Summary!$A$2:$A$201,0))</f>
        <v>1</v>
      </c>
      <c r="N1843" s="0" t="n">
        <f aca="false">INDEX(Summary!$J$2:$J$201,MATCH($B1843,Summary!$A$2:$A$201,0))</f>
        <v>4</v>
      </c>
      <c r="O1843" s="2" t="n">
        <f aca="false">INDEX(Summary!$K$2:$K$201,MATCH($B1843,Summary!$A$2:$A$201,0))</f>
        <v>9.25</v>
      </c>
      <c r="P1843" s="3" t="n">
        <f aca="false">INDEX(Summary!$L$2:$L$201,MATCH($B1843,Summary!$A$2:$A$201,0))</f>
        <v>2</v>
      </c>
      <c r="Q1843" s="3" t="n">
        <f aca="false">INDEX(Summary!$M$2:$M$201,MATCH($B1843,Summary!$A$2:$A$201,0))</f>
        <v>4</v>
      </c>
      <c r="R1843" s="2" t="n">
        <f aca="false">INDEX(Summary!$N$2:$N$201,MATCH($B1843,Summary!$A$2:$A$201,0))</f>
        <v>10.83</v>
      </c>
      <c r="S1843" s="3" t="n">
        <f aca="false">INDEX(Summary!$O$2:$O$201,MATCH($B1843,Summary!$A$2:$A$201,0))</f>
        <v>5</v>
      </c>
      <c r="T1843" s="3" t="n">
        <f aca="false">INDEX(Summary!$P$2:$P$201,MATCH($B1843,Summary!$A$2:$A$201,0))</f>
        <v>4</v>
      </c>
      <c r="U1843" s="2" t="n">
        <f aca="false">INDEX(Summary!$Q$2:$Q$201,MATCH($B1843,Summary!$A$2:$A$201,0))</f>
        <v>14.17</v>
      </c>
      <c r="V1843" s="2" t="n">
        <f aca="false">INDEX(Summary!$R$2:$R$201,MATCH($B1843,Summary!$A$2:$A$201,0))</f>
        <v>15.13</v>
      </c>
      <c r="W1843" s="0" t="str">
        <f aca="false">INDEX(Summary!$S$2:$S$201,MATCH($B1843,Summary!$A$2:$A$201,0))</f>
        <v>Bronze</v>
      </c>
      <c r="X1843" s="2" t="n">
        <f aca="false">INDEX(Summary!$T$2:$T$201,MATCH($B1843,Summary!$A$2:$A$201,0))</f>
        <v>36.9</v>
      </c>
      <c r="Y1843" s="0" t="str">
        <f aca="false">INDEX('Reward Model'!$E$18:$E$37,MATCH($E1843,'Reward Model'!$A$18:$A$37,0))</f>
        <v>Low</v>
      </c>
      <c r="Z1843" s="4" t="n">
        <f aca="false">ROUND(MIN(1,MAX('Reward Model'!$B$2,INDEX('Reward Model'!$C$12:$C$14,MATCH($K1843,'Reward Model'!$A$12:$A$14,0))/$J1843)),3)</f>
        <v>1</v>
      </c>
      <c r="AA1843" s="2" t="n">
        <f aca="false">IF($I1843="Correct",ROUND(INDEX('Reward Model'!$B$12:$B$14,MATCH($K1843,'Reward Model'!$A$12:$A$14,0))*Z1843,2),0)</f>
        <v>0</v>
      </c>
      <c r="AB1843" s="2" t="n">
        <f aca="false">IF($I1843="Correct",ROUND(INDEX('Reward Model'!$B$12:$B$14,MATCH($Y1843,'Reward Model'!$A$12:$A$14,0))*Z1843,2),0)</f>
        <v>0</v>
      </c>
    </row>
    <row r="1844" customFormat="false" ht="15" hidden="false" customHeight="false" outlineLevel="0" collapsed="false">
      <c r="A1844" s="0" t="s">
        <v>314</v>
      </c>
      <c r="B1844" s="0" t="s">
        <v>315</v>
      </c>
      <c r="C1844" s="0" t="s">
        <v>30</v>
      </c>
      <c r="D1844" s="0" t="s">
        <v>275</v>
      </c>
      <c r="E1844" s="0" t="n">
        <v>3</v>
      </c>
      <c r="F1844" s="0" t="s">
        <v>40</v>
      </c>
      <c r="G1844" s="0" t="s">
        <v>42</v>
      </c>
      <c r="H1844" s="0" t="s">
        <v>42</v>
      </c>
      <c r="I1844" s="0" t="s">
        <v>34</v>
      </c>
      <c r="J1844" s="0" t="n">
        <v>1.62</v>
      </c>
      <c r="K1844" s="0" t="s">
        <v>35</v>
      </c>
      <c r="L1844" s="0" t="n">
        <f aca="false">INDEX(Summary!$F$2:$F$201,MATCH($B1844,Summary!$A$2:$A$201,0))</f>
        <v>20</v>
      </c>
      <c r="M1844" s="0" t="n">
        <f aca="false">INDEX(Summary!$I$2:$I$201,MATCH($B1844,Summary!$A$2:$A$201,0))</f>
        <v>1</v>
      </c>
      <c r="N1844" s="0" t="n">
        <f aca="false">INDEX(Summary!$J$2:$J$201,MATCH($B1844,Summary!$A$2:$A$201,0))</f>
        <v>4</v>
      </c>
      <c r="O1844" s="2" t="n">
        <f aca="false">INDEX(Summary!$K$2:$K$201,MATCH($B1844,Summary!$A$2:$A$201,0))</f>
        <v>9.25</v>
      </c>
      <c r="P1844" s="3" t="n">
        <f aca="false">INDEX(Summary!$L$2:$L$201,MATCH($B1844,Summary!$A$2:$A$201,0))</f>
        <v>2</v>
      </c>
      <c r="Q1844" s="3" t="n">
        <f aca="false">INDEX(Summary!$M$2:$M$201,MATCH($B1844,Summary!$A$2:$A$201,0))</f>
        <v>4</v>
      </c>
      <c r="R1844" s="2" t="n">
        <f aca="false">INDEX(Summary!$N$2:$N$201,MATCH($B1844,Summary!$A$2:$A$201,0))</f>
        <v>10.83</v>
      </c>
      <c r="S1844" s="3" t="n">
        <f aca="false">INDEX(Summary!$O$2:$O$201,MATCH($B1844,Summary!$A$2:$A$201,0))</f>
        <v>5</v>
      </c>
      <c r="T1844" s="3" t="n">
        <f aca="false">INDEX(Summary!$P$2:$P$201,MATCH($B1844,Summary!$A$2:$A$201,0))</f>
        <v>4</v>
      </c>
      <c r="U1844" s="2" t="n">
        <f aca="false">INDEX(Summary!$Q$2:$Q$201,MATCH($B1844,Summary!$A$2:$A$201,0))</f>
        <v>14.17</v>
      </c>
      <c r="V1844" s="2" t="n">
        <f aca="false">INDEX(Summary!$R$2:$R$201,MATCH($B1844,Summary!$A$2:$A$201,0))</f>
        <v>15.13</v>
      </c>
      <c r="W1844" s="0" t="str">
        <f aca="false">INDEX(Summary!$S$2:$S$201,MATCH($B1844,Summary!$A$2:$A$201,0))</f>
        <v>Bronze</v>
      </c>
      <c r="X1844" s="2" t="n">
        <f aca="false">INDEX(Summary!$T$2:$T$201,MATCH($B1844,Summary!$A$2:$A$201,0))</f>
        <v>36.9</v>
      </c>
      <c r="Y1844" s="0" t="str">
        <f aca="false">INDEX('Reward Model'!$E$18:$E$37,MATCH($E1844,'Reward Model'!$A$18:$A$37,0))</f>
        <v>Medium</v>
      </c>
      <c r="Z1844" s="4" t="n">
        <f aca="false">ROUND(MIN(1,MAX('Reward Model'!$B$2,INDEX('Reward Model'!$C$12:$C$14,MATCH($K1844,'Reward Model'!$A$12:$A$14,0))/$J1844)),3)</f>
        <v>0.926</v>
      </c>
      <c r="AA1844" s="2" t="n">
        <f aca="false">IF($I1844="Correct",ROUND(INDEX('Reward Model'!$B$12:$B$14,MATCH($K1844,'Reward Model'!$A$12:$A$14,0))*Z1844,2),0)</f>
        <v>0.93</v>
      </c>
      <c r="AB1844" s="2" t="n">
        <f aca="false">IF($I1844="Correct",ROUND(INDEX('Reward Model'!$B$12:$B$14,MATCH($Y1844,'Reward Model'!$A$12:$A$14,0))*Z1844,2),0)</f>
        <v>1.85</v>
      </c>
    </row>
    <row r="1845" customFormat="false" ht="15" hidden="false" customHeight="false" outlineLevel="0" collapsed="false">
      <c r="A1845" s="0" t="s">
        <v>314</v>
      </c>
      <c r="B1845" s="0" t="s">
        <v>315</v>
      </c>
      <c r="C1845" s="0" t="s">
        <v>30</v>
      </c>
      <c r="D1845" s="0" t="s">
        <v>275</v>
      </c>
      <c r="E1845" s="0" t="n">
        <v>4</v>
      </c>
      <c r="F1845" s="0" t="s">
        <v>43</v>
      </c>
      <c r="G1845" s="0" t="s">
        <v>111</v>
      </c>
      <c r="H1845" s="0" t="s">
        <v>45</v>
      </c>
      <c r="I1845" s="0" t="s">
        <v>39</v>
      </c>
      <c r="J1845" s="0" t="n">
        <v>1.68</v>
      </c>
      <c r="K1845" s="0" t="s">
        <v>35</v>
      </c>
      <c r="L1845" s="0" t="n">
        <f aca="false">INDEX(Summary!$F$2:$F$201,MATCH($B1845,Summary!$A$2:$A$201,0))</f>
        <v>20</v>
      </c>
      <c r="M1845" s="0" t="n">
        <f aca="false">INDEX(Summary!$I$2:$I$201,MATCH($B1845,Summary!$A$2:$A$201,0))</f>
        <v>1</v>
      </c>
      <c r="N1845" s="0" t="n">
        <f aca="false">INDEX(Summary!$J$2:$J$201,MATCH($B1845,Summary!$A$2:$A$201,0))</f>
        <v>4</v>
      </c>
      <c r="O1845" s="2" t="n">
        <f aca="false">INDEX(Summary!$K$2:$K$201,MATCH($B1845,Summary!$A$2:$A$201,0))</f>
        <v>9.25</v>
      </c>
      <c r="P1845" s="3" t="n">
        <f aca="false">INDEX(Summary!$L$2:$L$201,MATCH($B1845,Summary!$A$2:$A$201,0))</f>
        <v>2</v>
      </c>
      <c r="Q1845" s="3" t="n">
        <f aca="false">INDEX(Summary!$M$2:$M$201,MATCH($B1845,Summary!$A$2:$A$201,0))</f>
        <v>4</v>
      </c>
      <c r="R1845" s="2" t="n">
        <f aca="false">INDEX(Summary!$N$2:$N$201,MATCH($B1845,Summary!$A$2:$A$201,0))</f>
        <v>10.83</v>
      </c>
      <c r="S1845" s="3" t="n">
        <f aca="false">INDEX(Summary!$O$2:$O$201,MATCH($B1845,Summary!$A$2:$A$201,0))</f>
        <v>5</v>
      </c>
      <c r="T1845" s="3" t="n">
        <f aca="false">INDEX(Summary!$P$2:$P$201,MATCH($B1845,Summary!$A$2:$A$201,0))</f>
        <v>4</v>
      </c>
      <c r="U1845" s="2" t="n">
        <f aca="false">INDEX(Summary!$Q$2:$Q$201,MATCH($B1845,Summary!$A$2:$A$201,0))</f>
        <v>14.17</v>
      </c>
      <c r="V1845" s="2" t="n">
        <f aca="false">INDEX(Summary!$R$2:$R$201,MATCH($B1845,Summary!$A$2:$A$201,0))</f>
        <v>15.13</v>
      </c>
      <c r="W1845" s="0" t="str">
        <f aca="false">INDEX(Summary!$S$2:$S$201,MATCH($B1845,Summary!$A$2:$A$201,0))</f>
        <v>Bronze</v>
      </c>
      <c r="X1845" s="2" t="n">
        <f aca="false">INDEX(Summary!$T$2:$T$201,MATCH($B1845,Summary!$A$2:$A$201,0))</f>
        <v>36.9</v>
      </c>
      <c r="Y1845" s="0" t="str">
        <f aca="false">INDEX('Reward Model'!$E$18:$E$37,MATCH($E1845,'Reward Model'!$A$18:$A$37,0))</f>
        <v>Low</v>
      </c>
      <c r="Z1845" s="4" t="n">
        <f aca="false">ROUND(MIN(1,MAX('Reward Model'!$B$2,INDEX('Reward Model'!$C$12:$C$14,MATCH($K1845,'Reward Model'!$A$12:$A$14,0))/$J1845)),3)</f>
        <v>0.893</v>
      </c>
      <c r="AA1845" s="2" t="n">
        <f aca="false">IF($I1845="Correct",ROUND(INDEX('Reward Model'!$B$12:$B$14,MATCH($K1845,'Reward Model'!$A$12:$A$14,0))*Z1845,2),0)</f>
        <v>0</v>
      </c>
      <c r="AB1845" s="2" t="n">
        <f aca="false">IF($I1845="Correct",ROUND(INDEX('Reward Model'!$B$12:$B$14,MATCH($Y1845,'Reward Model'!$A$12:$A$14,0))*Z1845,2),0)</f>
        <v>0</v>
      </c>
    </row>
    <row r="1846" customFormat="false" ht="15" hidden="false" customHeight="false" outlineLevel="0" collapsed="false">
      <c r="A1846" s="0" t="s">
        <v>314</v>
      </c>
      <c r="B1846" s="0" t="s">
        <v>315</v>
      </c>
      <c r="C1846" s="0" t="s">
        <v>30</v>
      </c>
      <c r="D1846" s="0" t="s">
        <v>275</v>
      </c>
      <c r="E1846" s="0" t="n">
        <v>5</v>
      </c>
      <c r="F1846" s="0" t="s">
        <v>46</v>
      </c>
      <c r="G1846" s="0" t="s">
        <v>47</v>
      </c>
      <c r="H1846" s="0" t="s">
        <v>47</v>
      </c>
      <c r="I1846" s="0" t="s">
        <v>34</v>
      </c>
      <c r="J1846" s="0" t="n">
        <v>1.84</v>
      </c>
      <c r="K1846" s="0" t="s">
        <v>35</v>
      </c>
      <c r="L1846" s="0" t="n">
        <f aca="false">INDEX(Summary!$F$2:$F$201,MATCH($B1846,Summary!$A$2:$A$201,0))</f>
        <v>20</v>
      </c>
      <c r="M1846" s="0" t="n">
        <f aca="false">INDEX(Summary!$I$2:$I$201,MATCH($B1846,Summary!$A$2:$A$201,0))</f>
        <v>1</v>
      </c>
      <c r="N1846" s="0" t="n">
        <f aca="false">INDEX(Summary!$J$2:$J$201,MATCH($B1846,Summary!$A$2:$A$201,0))</f>
        <v>4</v>
      </c>
      <c r="O1846" s="2" t="n">
        <f aca="false">INDEX(Summary!$K$2:$K$201,MATCH($B1846,Summary!$A$2:$A$201,0))</f>
        <v>9.25</v>
      </c>
      <c r="P1846" s="3" t="n">
        <f aca="false">INDEX(Summary!$L$2:$L$201,MATCH($B1846,Summary!$A$2:$A$201,0))</f>
        <v>2</v>
      </c>
      <c r="Q1846" s="3" t="n">
        <f aca="false">INDEX(Summary!$M$2:$M$201,MATCH($B1846,Summary!$A$2:$A$201,0))</f>
        <v>4</v>
      </c>
      <c r="R1846" s="2" t="n">
        <f aca="false">INDEX(Summary!$N$2:$N$201,MATCH($B1846,Summary!$A$2:$A$201,0))</f>
        <v>10.83</v>
      </c>
      <c r="S1846" s="3" t="n">
        <f aca="false">INDEX(Summary!$O$2:$O$201,MATCH($B1846,Summary!$A$2:$A$201,0))</f>
        <v>5</v>
      </c>
      <c r="T1846" s="3" t="n">
        <f aca="false">INDEX(Summary!$P$2:$P$201,MATCH($B1846,Summary!$A$2:$A$201,0))</f>
        <v>4</v>
      </c>
      <c r="U1846" s="2" t="n">
        <f aca="false">INDEX(Summary!$Q$2:$Q$201,MATCH($B1846,Summary!$A$2:$A$201,0))</f>
        <v>14.17</v>
      </c>
      <c r="V1846" s="2" t="n">
        <f aca="false">INDEX(Summary!$R$2:$R$201,MATCH($B1846,Summary!$A$2:$A$201,0))</f>
        <v>15.13</v>
      </c>
      <c r="W1846" s="0" t="str">
        <f aca="false">INDEX(Summary!$S$2:$S$201,MATCH($B1846,Summary!$A$2:$A$201,0))</f>
        <v>Bronze</v>
      </c>
      <c r="X1846" s="2" t="n">
        <f aca="false">INDEX(Summary!$T$2:$T$201,MATCH($B1846,Summary!$A$2:$A$201,0))</f>
        <v>36.9</v>
      </c>
      <c r="Y1846" s="0" t="str">
        <f aca="false">INDEX('Reward Model'!$E$18:$E$37,MATCH($E1846,'Reward Model'!$A$18:$A$37,0))</f>
        <v>Low</v>
      </c>
      <c r="Z1846" s="4" t="n">
        <f aca="false">ROUND(MIN(1,MAX('Reward Model'!$B$2,INDEX('Reward Model'!$C$12:$C$14,MATCH($K1846,'Reward Model'!$A$12:$A$14,0))/$J1846)),3)</f>
        <v>0.815</v>
      </c>
      <c r="AA1846" s="2" t="n">
        <f aca="false">IF($I1846="Correct",ROUND(INDEX('Reward Model'!$B$12:$B$14,MATCH($K1846,'Reward Model'!$A$12:$A$14,0))*Z1846,2),0)</f>
        <v>0.82</v>
      </c>
      <c r="AB1846" s="2" t="n">
        <f aca="false">IF($I1846="Correct",ROUND(INDEX('Reward Model'!$B$12:$B$14,MATCH($Y1846,'Reward Model'!$A$12:$A$14,0))*Z1846,2),0)</f>
        <v>0.82</v>
      </c>
    </row>
    <row r="1847" customFormat="false" ht="15" hidden="false" customHeight="false" outlineLevel="0" collapsed="false">
      <c r="A1847" s="0" t="s">
        <v>314</v>
      </c>
      <c r="B1847" s="0" t="s">
        <v>315</v>
      </c>
      <c r="C1847" s="0" t="s">
        <v>30</v>
      </c>
      <c r="D1847" s="0" t="s">
        <v>275</v>
      </c>
      <c r="E1847" s="0" t="n">
        <v>6</v>
      </c>
      <c r="F1847" s="0" t="s">
        <v>48</v>
      </c>
      <c r="G1847" s="0" t="s">
        <v>49</v>
      </c>
      <c r="H1847" s="0" t="s">
        <v>49</v>
      </c>
      <c r="I1847" s="0" t="s">
        <v>34</v>
      </c>
      <c r="J1847" s="0" t="n">
        <v>1.64</v>
      </c>
      <c r="K1847" s="0" t="s">
        <v>35</v>
      </c>
      <c r="L1847" s="0" t="n">
        <f aca="false">INDEX(Summary!$F$2:$F$201,MATCH($B1847,Summary!$A$2:$A$201,0))</f>
        <v>20</v>
      </c>
      <c r="M1847" s="0" t="n">
        <f aca="false">INDEX(Summary!$I$2:$I$201,MATCH($B1847,Summary!$A$2:$A$201,0))</f>
        <v>1</v>
      </c>
      <c r="N1847" s="0" t="n">
        <f aca="false">INDEX(Summary!$J$2:$J$201,MATCH($B1847,Summary!$A$2:$A$201,0))</f>
        <v>4</v>
      </c>
      <c r="O1847" s="2" t="n">
        <f aca="false">INDEX(Summary!$K$2:$K$201,MATCH($B1847,Summary!$A$2:$A$201,0))</f>
        <v>9.25</v>
      </c>
      <c r="P1847" s="3" t="n">
        <f aca="false">INDEX(Summary!$L$2:$L$201,MATCH($B1847,Summary!$A$2:$A$201,0))</f>
        <v>2</v>
      </c>
      <c r="Q1847" s="3" t="n">
        <f aca="false">INDEX(Summary!$M$2:$M$201,MATCH($B1847,Summary!$A$2:$A$201,0))</f>
        <v>4</v>
      </c>
      <c r="R1847" s="2" t="n">
        <f aca="false">INDEX(Summary!$N$2:$N$201,MATCH($B1847,Summary!$A$2:$A$201,0))</f>
        <v>10.83</v>
      </c>
      <c r="S1847" s="3" t="n">
        <f aca="false">INDEX(Summary!$O$2:$O$201,MATCH($B1847,Summary!$A$2:$A$201,0))</f>
        <v>5</v>
      </c>
      <c r="T1847" s="3" t="n">
        <f aca="false">INDEX(Summary!$P$2:$P$201,MATCH($B1847,Summary!$A$2:$A$201,0))</f>
        <v>4</v>
      </c>
      <c r="U1847" s="2" t="n">
        <f aca="false">INDEX(Summary!$Q$2:$Q$201,MATCH($B1847,Summary!$A$2:$A$201,0))</f>
        <v>14.17</v>
      </c>
      <c r="V1847" s="2" t="n">
        <f aca="false">INDEX(Summary!$R$2:$R$201,MATCH($B1847,Summary!$A$2:$A$201,0))</f>
        <v>15.13</v>
      </c>
      <c r="W1847" s="0" t="str">
        <f aca="false">INDEX(Summary!$S$2:$S$201,MATCH($B1847,Summary!$A$2:$A$201,0))</f>
        <v>Bronze</v>
      </c>
      <c r="X1847" s="2" t="n">
        <f aca="false">INDEX(Summary!$T$2:$T$201,MATCH($B1847,Summary!$A$2:$A$201,0))</f>
        <v>36.9</v>
      </c>
      <c r="Y1847" s="0" t="str">
        <f aca="false">INDEX('Reward Model'!$E$18:$E$37,MATCH($E1847,'Reward Model'!$A$18:$A$37,0))</f>
        <v>Medium</v>
      </c>
      <c r="Z1847" s="4" t="n">
        <f aca="false">ROUND(MIN(1,MAX('Reward Model'!$B$2,INDEX('Reward Model'!$C$12:$C$14,MATCH($K1847,'Reward Model'!$A$12:$A$14,0))/$J1847)),3)</f>
        <v>0.915</v>
      </c>
      <c r="AA1847" s="2" t="n">
        <f aca="false">IF($I1847="Correct",ROUND(INDEX('Reward Model'!$B$12:$B$14,MATCH($K1847,'Reward Model'!$A$12:$A$14,0))*Z1847,2),0)</f>
        <v>0.92</v>
      </c>
      <c r="AB1847" s="2" t="n">
        <f aca="false">IF($I1847="Correct",ROUND(INDEX('Reward Model'!$B$12:$B$14,MATCH($Y1847,'Reward Model'!$A$12:$A$14,0))*Z1847,2),0)</f>
        <v>1.83</v>
      </c>
    </row>
    <row r="1848" customFormat="false" ht="15" hidden="false" customHeight="false" outlineLevel="0" collapsed="false">
      <c r="A1848" s="0" t="s">
        <v>314</v>
      </c>
      <c r="B1848" s="0" t="s">
        <v>315</v>
      </c>
      <c r="C1848" s="0" t="s">
        <v>30</v>
      </c>
      <c r="D1848" s="0" t="s">
        <v>275</v>
      </c>
      <c r="E1848" s="0" t="n">
        <v>7</v>
      </c>
      <c r="F1848" s="0" t="s">
        <v>50</v>
      </c>
      <c r="G1848" s="0" t="s">
        <v>92</v>
      </c>
      <c r="H1848" s="0" t="s">
        <v>51</v>
      </c>
      <c r="I1848" s="0" t="s">
        <v>39</v>
      </c>
      <c r="J1848" s="0" t="n">
        <v>1.95</v>
      </c>
      <c r="K1848" s="0" t="s">
        <v>35</v>
      </c>
      <c r="L1848" s="0" t="n">
        <f aca="false">INDEX(Summary!$F$2:$F$201,MATCH($B1848,Summary!$A$2:$A$201,0))</f>
        <v>20</v>
      </c>
      <c r="M1848" s="0" t="n">
        <f aca="false">INDEX(Summary!$I$2:$I$201,MATCH($B1848,Summary!$A$2:$A$201,0))</f>
        <v>1</v>
      </c>
      <c r="N1848" s="0" t="n">
        <f aca="false">INDEX(Summary!$J$2:$J$201,MATCH($B1848,Summary!$A$2:$A$201,0))</f>
        <v>4</v>
      </c>
      <c r="O1848" s="2" t="n">
        <f aca="false">INDEX(Summary!$K$2:$K$201,MATCH($B1848,Summary!$A$2:$A$201,0))</f>
        <v>9.25</v>
      </c>
      <c r="P1848" s="3" t="n">
        <f aca="false">INDEX(Summary!$L$2:$L$201,MATCH($B1848,Summary!$A$2:$A$201,0))</f>
        <v>2</v>
      </c>
      <c r="Q1848" s="3" t="n">
        <f aca="false">INDEX(Summary!$M$2:$M$201,MATCH($B1848,Summary!$A$2:$A$201,0))</f>
        <v>4</v>
      </c>
      <c r="R1848" s="2" t="n">
        <f aca="false">INDEX(Summary!$N$2:$N$201,MATCH($B1848,Summary!$A$2:$A$201,0))</f>
        <v>10.83</v>
      </c>
      <c r="S1848" s="3" t="n">
        <f aca="false">INDEX(Summary!$O$2:$O$201,MATCH($B1848,Summary!$A$2:$A$201,0))</f>
        <v>5</v>
      </c>
      <c r="T1848" s="3" t="n">
        <f aca="false">INDEX(Summary!$P$2:$P$201,MATCH($B1848,Summary!$A$2:$A$201,0))</f>
        <v>4</v>
      </c>
      <c r="U1848" s="2" t="n">
        <f aca="false">INDEX(Summary!$Q$2:$Q$201,MATCH($B1848,Summary!$A$2:$A$201,0))</f>
        <v>14.17</v>
      </c>
      <c r="V1848" s="2" t="n">
        <f aca="false">INDEX(Summary!$R$2:$R$201,MATCH($B1848,Summary!$A$2:$A$201,0))</f>
        <v>15.13</v>
      </c>
      <c r="W1848" s="0" t="str">
        <f aca="false">INDEX(Summary!$S$2:$S$201,MATCH($B1848,Summary!$A$2:$A$201,0))</f>
        <v>Bronze</v>
      </c>
      <c r="X1848" s="2" t="n">
        <f aca="false">INDEX(Summary!$T$2:$T$201,MATCH($B1848,Summary!$A$2:$A$201,0))</f>
        <v>36.9</v>
      </c>
      <c r="Y1848" s="0" t="str">
        <f aca="false">INDEX('Reward Model'!$E$18:$E$37,MATCH($E1848,'Reward Model'!$A$18:$A$37,0))</f>
        <v>Low</v>
      </c>
      <c r="Z1848" s="4" t="n">
        <f aca="false">ROUND(MIN(1,MAX('Reward Model'!$B$2,INDEX('Reward Model'!$C$12:$C$14,MATCH($K1848,'Reward Model'!$A$12:$A$14,0))/$J1848)),3)</f>
        <v>0.769</v>
      </c>
      <c r="AA1848" s="2" t="n">
        <f aca="false">IF($I1848="Correct",ROUND(INDEX('Reward Model'!$B$12:$B$14,MATCH($K1848,'Reward Model'!$A$12:$A$14,0))*Z1848,2),0)</f>
        <v>0</v>
      </c>
      <c r="AB1848" s="2" t="n">
        <f aca="false">IF($I1848="Correct",ROUND(INDEX('Reward Model'!$B$12:$B$14,MATCH($Y1848,'Reward Model'!$A$12:$A$14,0))*Z1848,2),0)</f>
        <v>0</v>
      </c>
    </row>
    <row r="1849" customFormat="false" ht="15" hidden="false" customHeight="false" outlineLevel="0" collapsed="false">
      <c r="A1849" s="0" t="s">
        <v>314</v>
      </c>
      <c r="B1849" s="0" t="s">
        <v>315</v>
      </c>
      <c r="C1849" s="0" t="s">
        <v>30</v>
      </c>
      <c r="D1849" s="0" t="s">
        <v>275</v>
      </c>
      <c r="E1849" s="0" t="n">
        <v>8</v>
      </c>
      <c r="F1849" s="0" t="s">
        <v>52</v>
      </c>
      <c r="G1849" s="0" t="s">
        <v>54</v>
      </c>
      <c r="H1849" s="0" t="s">
        <v>54</v>
      </c>
      <c r="I1849" s="0" t="s">
        <v>34</v>
      </c>
      <c r="J1849" s="0" t="n">
        <v>1.02</v>
      </c>
      <c r="K1849" s="0" t="s">
        <v>35</v>
      </c>
      <c r="L1849" s="0" t="n">
        <f aca="false">INDEX(Summary!$F$2:$F$201,MATCH($B1849,Summary!$A$2:$A$201,0))</f>
        <v>20</v>
      </c>
      <c r="M1849" s="0" t="n">
        <f aca="false">INDEX(Summary!$I$2:$I$201,MATCH($B1849,Summary!$A$2:$A$201,0))</f>
        <v>1</v>
      </c>
      <c r="N1849" s="0" t="n">
        <f aca="false">INDEX(Summary!$J$2:$J$201,MATCH($B1849,Summary!$A$2:$A$201,0))</f>
        <v>4</v>
      </c>
      <c r="O1849" s="2" t="n">
        <f aca="false">INDEX(Summary!$K$2:$K$201,MATCH($B1849,Summary!$A$2:$A$201,0))</f>
        <v>9.25</v>
      </c>
      <c r="P1849" s="3" t="n">
        <f aca="false">INDEX(Summary!$L$2:$L$201,MATCH($B1849,Summary!$A$2:$A$201,0))</f>
        <v>2</v>
      </c>
      <c r="Q1849" s="3" t="n">
        <f aca="false">INDEX(Summary!$M$2:$M$201,MATCH($B1849,Summary!$A$2:$A$201,0))</f>
        <v>4</v>
      </c>
      <c r="R1849" s="2" t="n">
        <f aca="false">INDEX(Summary!$N$2:$N$201,MATCH($B1849,Summary!$A$2:$A$201,0))</f>
        <v>10.83</v>
      </c>
      <c r="S1849" s="3" t="n">
        <f aca="false">INDEX(Summary!$O$2:$O$201,MATCH($B1849,Summary!$A$2:$A$201,0))</f>
        <v>5</v>
      </c>
      <c r="T1849" s="3" t="n">
        <f aca="false">INDEX(Summary!$P$2:$P$201,MATCH($B1849,Summary!$A$2:$A$201,0))</f>
        <v>4</v>
      </c>
      <c r="U1849" s="2" t="n">
        <f aca="false">INDEX(Summary!$Q$2:$Q$201,MATCH($B1849,Summary!$A$2:$A$201,0))</f>
        <v>14.17</v>
      </c>
      <c r="V1849" s="2" t="n">
        <f aca="false">INDEX(Summary!$R$2:$R$201,MATCH($B1849,Summary!$A$2:$A$201,0))</f>
        <v>15.13</v>
      </c>
      <c r="W1849" s="0" t="str">
        <f aca="false">INDEX(Summary!$S$2:$S$201,MATCH($B1849,Summary!$A$2:$A$201,0))</f>
        <v>Bronze</v>
      </c>
      <c r="X1849" s="2" t="n">
        <f aca="false">INDEX(Summary!$T$2:$T$201,MATCH($B1849,Summary!$A$2:$A$201,0))</f>
        <v>36.9</v>
      </c>
      <c r="Y1849" s="0" t="str">
        <f aca="false">INDEX('Reward Model'!$E$18:$E$37,MATCH($E1849,'Reward Model'!$A$18:$A$37,0))</f>
        <v>Medium</v>
      </c>
      <c r="Z1849" s="4" t="n">
        <f aca="false">ROUND(MIN(1,MAX('Reward Model'!$B$2,INDEX('Reward Model'!$C$12:$C$14,MATCH($K1849,'Reward Model'!$A$12:$A$14,0))/$J1849)),3)</f>
        <v>1</v>
      </c>
      <c r="AA1849" s="2" t="n">
        <f aca="false">IF($I1849="Correct",ROUND(INDEX('Reward Model'!$B$12:$B$14,MATCH($K1849,'Reward Model'!$A$12:$A$14,0))*Z1849,2),0)</f>
        <v>1</v>
      </c>
      <c r="AB1849" s="2" t="n">
        <f aca="false">IF($I1849="Correct",ROUND(INDEX('Reward Model'!$B$12:$B$14,MATCH($Y1849,'Reward Model'!$A$12:$A$14,0))*Z1849,2),0)</f>
        <v>2</v>
      </c>
    </row>
    <row r="1850" customFormat="false" ht="15" hidden="false" customHeight="false" outlineLevel="0" collapsed="false">
      <c r="A1850" s="0" t="s">
        <v>314</v>
      </c>
      <c r="B1850" s="0" t="s">
        <v>315</v>
      </c>
      <c r="C1850" s="0" t="s">
        <v>30</v>
      </c>
      <c r="D1850" s="0" t="s">
        <v>275</v>
      </c>
      <c r="E1850" s="0" t="n">
        <v>9</v>
      </c>
      <c r="F1850" s="0" t="s">
        <v>55</v>
      </c>
      <c r="G1850" s="0" t="s">
        <v>56</v>
      </c>
      <c r="H1850" s="0" t="s">
        <v>57</v>
      </c>
      <c r="I1850" s="0" t="s">
        <v>39</v>
      </c>
      <c r="J1850" s="0" t="n">
        <v>1.7</v>
      </c>
      <c r="K1850" s="0" t="s">
        <v>35</v>
      </c>
      <c r="L1850" s="0" t="n">
        <f aca="false">INDEX(Summary!$F$2:$F$201,MATCH($B1850,Summary!$A$2:$A$201,0))</f>
        <v>20</v>
      </c>
      <c r="M1850" s="0" t="n">
        <f aca="false">INDEX(Summary!$I$2:$I$201,MATCH($B1850,Summary!$A$2:$A$201,0))</f>
        <v>1</v>
      </c>
      <c r="N1850" s="0" t="n">
        <f aca="false">INDEX(Summary!$J$2:$J$201,MATCH($B1850,Summary!$A$2:$A$201,0))</f>
        <v>4</v>
      </c>
      <c r="O1850" s="2" t="n">
        <f aca="false">INDEX(Summary!$K$2:$K$201,MATCH($B1850,Summary!$A$2:$A$201,0))</f>
        <v>9.25</v>
      </c>
      <c r="P1850" s="3" t="n">
        <f aca="false">INDEX(Summary!$L$2:$L$201,MATCH($B1850,Summary!$A$2:$A$201,0))</f>
        <v>2</v>
      </c>
      <c r="Q1850" s="3" t="n">
        <f aca="false">INDEX(Summary!$M$2:$M$201,MATCH($B1850,Summary!$A$2:$A$201,0))</f>
        <v>4</v>
      </c>
      <c r="R1850" s="2" t="n">
        <f aca="false">INDEX(Summary!$N$2:$N$201,MATCH($B1850,Summary!$A$2:$A$201,0))</f>
        <v>10.83</v>
      </c>
      <c r="S1850" s="3" t="n">
        <f aca="false">INDEX(Summary!$O$2:$O$201,MATCH($B1850,Summary!$A$2:$A$201,0))</f>
        <v>5</v>
      </c>
      <c r="T1850" s="3" t="n">
        <f aca="false">INDEX(Summary!$P$2:$P$201,MATCH($B1850,Summary!$A$2:$A$201,0))</f>
        <v>4</v>
      </c>
      <c r="U1850" s="2" t="n">
        <f aca="false">INDEX(Summary!$Q$2:$Q$201,MATCH($B1850,Summary!$A$2:$A$201,0))</f>
        <v>14.17</v>
      </c>
      <c r="V1850" s="2" t="n">
        <f aca="false">INDEX(Summary!$R$2:$R$201,MATCH($B1850,Summary!$A$2:$A$201,0))</f>
        <v>15.13</v>
      </c>
      <c r="W1850" s="0" t="str">
        <f aca="false">INDEX(Summary!$S$2:$S$201,MATCH($B1850,Summary!$A$2:$A$201,0))</f>
        <v>Bronze</v>
      </c>
      <c r="X1850" s="2" t="n">
        <f aca="false">INDEX(Summary!$T$2:$T$201,MATCH($B1850,Summary!$A$2:$A$201,0))</f>
        <v>36.9</v>
      </c>
      <c r="Y1850" s="0" t="str">
        <f aca="false">INDEX('Reward Model'!$E$18:$E$37,MATCH($E1850,'Reward Model'!$A$18:$A$37,0))</f>
        <v>Medium</v>
      </c>
      <c r="Z1850" s="4" t="n">
        <f aca="false">ROUND(MIN(1,MAX('Reward Model'!$B$2,INDEX('Reward Model'!$C$12:$C$14,MATCH($K1850,'Reward Model'!$A$12:$A$14,0))/$J1850)),3)</f>
        <v>0.882</v>
      </c>
      <c r="AA1850" s="2" t="n">
        <f aca="false">IF($I1850="Correct",ROUND(INDEX('Reward Model'!$B$12:$B$14,MATCH($K1850,'Reward Model'!$A$12:$A$14,0))*Z1850,2),0)</f>
        <v>0</v>
      </c>
      <c r="AB1850" s="2" t="n">
        <f aca="false">IF($I1850="Correct",ROUND(INDEX('Reward Model'!$B$12:$B$14,MATCH($Y1850,'Reward Model'!$A$12:$A$14,0))*Z1850,2),0)</f>
        <v>0</v>
      </c>
    </row>
    <row r="1851" customFormat="false" ht="15" hidden="false" customHeight="false" outlineLevel="0" collapsed="false">
      <c r="A1851" s="0" t="s">
        <v>314</v>
      </c>
      <c r="B1851" s="0" t="s">
        <v>315</v>
      </c>
      <c r="C1851" s="0" t="s">
        <v>30</v>
      </c>
      <c r="D1851" s="0" t="s">
        <v>275</v>
      </c>
      <c r="E1851" s="0" t="n">
        <v>10</v>
      </c>
      <c r="F1851" s="0" t="s">
        <v>58</v>
      </c>
      <c r="G1851" s="0" t="s">
        <v>59</v>
      </c>
      <c r="H1851" s="0" t="s">
        <v>59</v>
      </c>
      <c r="I1851" s="0" t="s">
        <v>34</v>
      </c>
      <c r="J1851" s="0" t="n">
        <v>1.86</v>
      </c>
      <c r="K1851" s="0" t="s">
        <v>60</v>
      </c>
      <c r="L1851" s="0" t="n">
        <f aca="false">INDEX(Summary!$F$2:$F$201,MATCH($B1851,Summary!$A$2:$A$201,0))</f>
        <v>20</v>
      </c>
      <c r="M1851" s="0" t="n">
        <f aca="false">INDEX(Summary!$I$2:$I$201,MATCH($B1851,Summary!$A$2:$A$201,0))</f>
        <v>1</v>
      </c>
      <c r="N1851" s="0" t="n">
        <f aca="false">INDEX(Summary!$J$2:$J$201,MATCH($B1851,Summary!$A$2:$A$201,0))</f>
        <v>4</v>
      </c>
      <c r="O1851" s="2" t="n">
        <f aca="false">INDEX(Summary!$K$2:$K$201,MATCH($B1851,Summary!$A$2:$A$201,0))</f>
        <v>9.25</v>
      </c>
      <c r="P1851" s="3" t="n">
        <f aca="false">INDEX(Summary!$L$2:$L$201,MATCH($B1851,Summary!$A$2:$A$201,0))</f>
        <v>2</v>
      </c>
      <c r="Q1851" s="3" t="n">
        <f aca="false">INDEX(Summary!$M$2:$M$201,MATCH($B1851,Summary!$A$2:$A$201,0))</f>
        <v>4</v>
      </c>
      <c r="R1851" s="2" t="n">
        <f aca="false">INDEX(Summary!$N$2:$N$201,MATCH($B1851,Summary!$A$2:$A$201,0))</f>
        <v>10.83</v>
      </c>
      <c r="S1851" s="3" t="n">
        <f aca="false">INDEX(Summary!$O$2:$O$201,MATCH($B1851,Summary!$A$2:$A$201,0))</f>
        <v>5</v>
      </c>
      <c r="T1851" s="3" t="n">
        <f aca="false">INDEX(Summary!$P$2:$P$201,MATCH($B1851,Summary!$A$2:$A$201,0))</f>
        <v>4</v>
      </c>
      <c r="U1851" s="2" t="n">
        <f aca="false">INDEX(Summary!$Q$2:$Q$201,MATCH($B1851,Summary!$A$2:$A$201,0))</f>
        <v>14.17</v>
      </c>
      <c r="V1851" s="2" t="n">
        <f aca="false">INDEX(Summary!$R$2:$R$201,MATCH($B1851,Summary!$A$2:$A$201,0))</f>
        <v>15.13</v>
      </c>
      <c r="W1851" s="0" t="str">
        <f aca="false">INDEX(Summary!$S$2:$S$201,MATCH($B1851,Summary!$A$2:$A$201,0))</f>
        <v>Bronze</v>
      </c>
      <c r="X1851" s="2" t="n">
        <f aca="false">INDEX(Summary!$T$2:$T$201,MATCH($B1851,Summary!$A$2:$A$201,0))</f>
        <v>36.9</v>
      </c>
      <c r="Y1851" s="0" t="str">
        <f aca="false">INDEX('Reward Model'!$E$18:$E$37,MATCH($E1851,'Reward Model'!$A$18:$A$37,0))</f>
        <v>Medium</v>
      </c>
      <c r="Z1851" s="4" t="n">
        <f aca="false">ROUND(MIN(1,MAX('Reward Model'!$B$2,INDEX('Reward Model'!$C$12:$C$14,MATCH($K1851,'Reward Model'!$A$12:$A$14,0))/$J1851)),3)</f>
        <v>0.968</v>
      </c>
      <c r="AA1851" s="2" t="n">
        <f aca="false">IF($I1851="Correct",ROUND(INDEX('Reward Model'!$B$12:$B$14,MATCH($K1851,'Reward Model'!$A$12:$A$14,0))*Z1851,2),0)</f>
        <v>1.94</v>
      </c>
      <c r="AB1851" s="2" t="n">
        <f aca="false">IF($I1851="Correct",ROUND(INDEX('Reward Model'!$B$12:$B$14,MATCH($Y1851,'Reward Model'!$A$12:$A$14,0))*Z1851,2),0)</f>
        <v>1.94</v>
      </c>
    </row>
    <row r="1852" customFormat="false" ht="15" hidden="false" customHeight="false" outlineLevel="0" collapsed="false">
      <c r="A1852" s="0" t="s">
        <v>314</v>
      </c>
      <c r="B1852" s="0" t="s">
        <v>315</v>
      </c>
      <c r="C1852" s="0" t="s">
        <v>30</v>
      </c>
      <c r="D1852" s="0" t="s">
        <v>275</v>
      </c>
      <c r="E1852" s="0" t="n">
        <v>11</v>
      </c>
      <c r="F1852" s="0" t="s">
        <v>61</v>
      </c>
      <c r="G1852" s="0" t="s">
        <v>62</v>
      </c>
      <c r="H1852" s="0" t="s">
        <v>63</v>
      </c>
      <c r="I1852" s="0" t="s">
        <v>39</v>
      </c>
      <c r="J1852" s="0" t="n">
        <v>2.24</v>
      </c>
      <c r="K1852" s="0" t="s">
        <v>60</v>
      </c>
      <c r="L1852" s="0" t="n">
        <f aca="false">INDEX(Summary!$F$2:$F$201,MATCH($B1852,Summary!$A$2:$A$201,0))</f>
        <v>20</v>
      </c>
      <c r="M1852" s="0" t="n">
        <f aca="false">INDEX(Summary!$I$2:$I$201,MATCH($B1852,Summary!$A$2:$A$201,0))</f>
        <v>1</v>
      </c>
      <c r="N1852" s="0" t="n">
        <f aca="false">INDEX(Summary!$J$2:$J$201,MATCH($B1852,Summary!$A$2:$A$201,0))</f>
        <v>4</v>
      </c>
      <c r="O1852" s="2" t="n">
        <f aca="false">INDEX(Summary!$K$2:$K$201,MATCH($B1852,Summary!$A$2:$A$201,0))</f>
        <v>9.25</v>
      </c>
      <c r="P1852" s="3" t="n">
        <f aca="false">INDEX(Summary!$L$2:$L$201,MATCH($B1852,Summary!$A$2:$A$201,0))</f>
        <v>2</v>
      </c>
      <c r="Q1852" s="3" t="n">
        <f aca="false">INDEX(Summary!$M$2:$M$201,MATCH($B1852,Summary!$A$2:$A$201,0))</f>
        <v>4</v>
      </c>
      <c r="R1852" s="2" t="n">
        <f aca="false">INDEX(Summary!$N$2:$N$201,MATCH($B1852,Summary!$A$2:$A$201,0))</f>
        <v>10.83</v>
      </c>
      <c r="S1852" s="3" t="n">
        <f aca="false">INDEX(Summary!$O$2:$O$201,MATCH($B1852,Summary!$A$2:$A$201,0))</f>
        <v>5</v>
      </c>
      <c r="T1852" s="3" t="n">
        <f aca="false">INDEX(Summary!$P$2:$P$201,MATCH($B1852,Summary!$A$2:$A$201,0))</f>
        <v>4</v>
      </c>
      <c r="U1852" s="2" t="n">
        <f aca="false">INDEX(Summary!$Q$2:$Q$201,MATCH($B1852,Summary!$A$2:$A$201,0))</f>
        <v>14.17</v>
      </c>
      <c r="V1852" s="2" t="n">
        <f aca="false">INDEX(Summary!$R$2:$R$201,MATCH($B1852,Summary!$A$2:$A$201,0))</f>
        <v>15.13</v>
      </c>
      <c r="W1852" s="0" t="str">
        <f aca="false">INDEX(Summary!$S$2:$S$201,MATCH($B1852,Summary!$A$2:$A$201,0))</f>
        <v>Bronze</v>
      </c>
      <c r="X1852" s="2" t="n">
        <f aca="false">INDEX(Summary!$T$2:$T$201,MATCH($B1852,Summary!$A$2:$A$201,0))</f>
        <v>36.9</v>
      </c>
      <c r="Y1852" s="0" t="str">
        <f aca="false">INDEX('Reward Model'!$E$18:$E$37,MATCH($E1852,'Reward Model'!$A$18:$A$37,0))</f>
        <v>Medium</v>
      </c>
      <c r="Z1852" s="4" t="n">
        <f aca="false">ROUND(MIN(1,MAX('Reward Model'!$B$2,INDEX('Reward Model'!$C$12:$C$14,MATCH($K1852,'Reward Model'!$A$12:$A$14,0))/$J1852)),3)</f>
        <v>0.804</v>
      </c>
      <c r="AA1852" s="2" t="n">
        <f aca="false">IF($I1852="Correct",ROUND(INDEX('Reward Model'!$B$12:$B$14,MATCH($K1852,'Reward Model'!$A$12:$A$14,0))*Z1852,2),0)</f>
        <v>0</v>
      </c>
      <c r="AB1852" s="2" t="n">
        <f aca="false">IF($I1852="Correct",ROUND(INDEX('Reward Model'!$B$12:$B$14,MATCH($Y1852,'Reward Model'!$A$12:$A$14,0))*Z1852,2),0)</f>
        <v>0</v>
      </c>
    </row>
    <row r="1853" customFormat="false" ht="15" hidden="false" customHeight="false" outlineLevel="0" collapsed="false">
      <c r="A1853" s="0" t="s">
        <v>314</v>
      </c>
      <c r="B1853" s="0" t="s">
        <v>315</v>
      </c>
      <c r="C1853" s="0" t="s">
        <v>30</v>
      </c>
      <c r="D1853" s="0" t="s">
        <v>275</v>
      </c>
      <c r="E1853" s="0" t="n">
        <v>12</v>
      </c>
      <c r="F1853" s="0" t="s">
        <v>64</v>
      </c>
      <c r="G1853" s="0" t="s">
        <v>146</v>
      </c>
      <c r="H1853" s="0" t="s">
        <v>65</v>
      </c>
      <c r="I1853" s="0" t="s">
        <v>39</v>
      </c>
      <c r="J1853" s="0" t="n">
        <v>1.48</v>
      </c>
      <c r="K1853" s="0" t="s">
        <v>60</v>
      </c>
      <c r="L1853" s="0" t="n">
        <f aca="false">INDEX(Summary!$F$2:$F$201,MATCH($B1853,Summary!$A$2:$A$201,0))</f>
        <v>20</v>
      </c>
      <c r="M1853" s="0" t="n">
        <f aca="false">INDEX(Summary!$I$2:$I$201,MATCH($B1853,Summary!$A$2:$A$201,0))</f>
        <v>1</v>
      </c>
      <c r="N1853" s="0" t="n">
        <f aca="false">INDEX(Summary!$J$2:$J$201,MATCH($B1853,Summary!$A$2:$A$201,0))</f>
        <v>4</v>
      </c>
      <c r="O1853" s="2" t="n">
        <f aca="false">INDEX(Summary!$K$2:$K$201,MATCH($B1853,Summary!$A$2:$A$201,0))</f>
        <v>9.25</v>
      </c>
      <c r="P1853" s="3" t="n">
        <f aca="false">INDEX(Summary!$L$2:$L$201,MATCH($B1853,Summary!$A$2:$A$201,0))</f>
        <v>2</v>
      </c>
      <c r="Q1853" s="3" t="n">
        <f aca="false">INDEX(Summary!$M$2:$M$201,MATCH($B1853,Summary!$A$2:$A$201,0))</f>
        <v>4</v>
      </c>
      <c r="R1853" s="2" t="n">
        <f aca="false">INDEX(Summary!$N$2:$N$201,MATCH($B1853,Summary!$A$2:$A$201,0))</f>
        <v>10.83</v>
      </c>
      <c r="S1853" s="3" t="n">
        <f aca="false">INDEX(Summary!$O$2:$O$201,MATCH($B1853,Summary!$A$2:$A$201,0))</f>
        <v>5</v>
      </c>
      <c r="T1853" s="3" t="n">
        <f aca="false">INDEX(Summary!$P$2:$P$201,MATCH($B1853,Summary!$A$2:$A$201,0))</f>
        <v>4</v>
      </c>
      <c r="U1853" s="2" t="n">
        <f aca="false">INDEX(Summary!$Q$2:$Q$201,MATCH($B1853,Summary!$A$2:$A$201,0))</f>
        <v>14.17</v>
      </c>
      <c r="V1853" s="2" t="n">
        <f aca="false">INDEX(Summary!$R$2:$R$201,MATCH($B1853,Summary!$A$2:$A$201,0))</f>
        <v>15.13</v>
      </c>
      <c r="W1853" s="0" t="str">
        <f aca="false">INDEX(Summary!$S$2:$S$201,MATCH($B1853,Summary!$A$2:$A$201,0))</f>
        <v>Bronze</v>
      </c>
      <c r="X1853" s="2" t="n">
        <f aca="false">INDEX(Summary!$T$2:$T$201,MATCH($B1853,Summary!$A$2:$A$201,0))</f>
        <v>36.9</v>
      </c>
      <c r="Y1853" s="0" t="str">
        <f aca="false">INDEX('Reward Model'!$E$18:$E$37,MATCH($E1853,'Reward Model'!$A$18:$A$37,0))</f>
        <v>Medium</v>
      </c>
      <c r="Z1853" s="4" t="n">
        <f aca="false">ROUND(MIN(1,MAX('Reward Model'!$B$2,INDEX('Reward Model'!$C$12:$C$14,MATCH($K1853,'Reward Model'!$A$12:$A$14,0))/$J1853)),3)</f>
        <v>1</v>
      </c>
      <c r="AA1853" s="2" t="n">
        <f aca="false">IF($I1853="Correct",ROUND(INDEX('Reward Model'!$B$12:$B$14,MATCH($K1853,'Reward Model'!$A$12:$A$14,0))*Z1853,2),0)</f>
        <v>0</v>
      </c>
      <c r="AB1853" s="2" t="n">
        <f aca="false">IF($I1853="Correct",ROUND(INDEX('Reward Model'!$B$12:$B$14,MATCH($Y1853,'Reward Model'!$A$12:$A$14,0))*Z1853,2),0)</f>
        <v>0</v>
      </c>
    </row>
    <row r="1854" customFormat="false" ht="15" hidden="false" customHeight="false" outlineLevel="0" collapsed="false">
      <c r="A1854" s="0" t="s">
        <v>314</v>
      </c>
      <c r="B1854" s="0" t="s">
        <v>315</v>
      </c>
      <c r="C1854" s="0" t="s">
        <v>30</v>
      </c>
      <c r="D1854" s="0" t="s">
        <v>275</v>
      </c>
      <c r="E1854" s="0" t="n">
        <v>13</v>
      </c>
      <c r="F1854" s="0" t="s">
        <v>66</v>
      </c>
      <c r="G1854" s="0" t="s">
        <v>67</v>
      </c>
      <c r="H1854" s="0" t="s">
        <v>67</v>
      </c>
      <c r="I1854" s="0" t="s">
        <v>34</v>
      </c>
      <c r="J1854" s="0" t="n">
        <v>1.71</v>
      </c>
      <c r="K1854" s="0" t="s">
        <v>60</v>
      </c>
      <c r="L1854" s="0" t="n">
        <f aca="false">INDEX(Summary!$F$2:$F$201,MATCH($B1854,Summary!$A$2:$A$201,0))</f>
        <v>20</v>
      </c>
      <c r="M1854" s="0" t="n">
        <f aca="false">INDEX(Summary!$I$2:$I$201,MATCH($B1854,Summary!$A$2:$A$201,0))</f>
        <v>1</v>
      </c>
      <c r="N1854" s="0" t="n">
        <f aca="false">INDEX(Summary!$J$2:$J$201,MATCH($B1854,Summary!$A$2:$A$201,0))</f>
        <v>4</v>
      </c>
      <c r="O1854" s="2" t="n">
        <f aca="false">INDEX(Summary!$K$2:$K$201,MATCH($B1854,Summary!$A$2:$A$201,0))</f>
        <v>9.25</v>
      </c>
      <c r="P1854" s="3" t="n">
        <f aca="false">INDEX(Summary!$L$2:$L$201,MATCH($B1854,Summary!$A$2:$A$201,0))</f>
        <v>2</v>
      </c>
      <c r="Q1854" s="3" t="n">
        <f aca="false">INDEX(Summary!$M$2:$M$201,MATCH($B1854,Summary!$A$2:$A$201,0))</f>
        <v>4</v>
      </c>
      <c r="R1854" s="2" t="n">
        <f aca="false">INDEX(Summary!$N$2:$N$201,MATCH($B1854,Summary!$A$2:$A$201,0))</f>
        <v>10.83</v>
      </c>
      <c r="S1854" s="3" t="n">
        <f aca="false">INDEX(Summary!$O$2:$O$201,MATCH($B1854,Summary!$A$2:$A$201,0))</f>
        <v>5</v>
      </c>
      <c r="T1854" s="3" t="n">
        <f aca="false">INDEX(Summary!$P$2:$P$201,MATCH($B1854,Summary!$A$2:$A$201,0))</f>
        <v>4</v>
      </c>
      <c r="U1854" s="2" t="n">
        <f aca="false">INDEX(Summary!$Q$2:$Q$201,MATCH($B1854,Summary!$A$2:$A$201,0))</f>
        <v>14.17</v>
      </c>
      <c r="V1854" s="2" t="n">
        <f aca="false">INDEX(Summary!$R$2:$R$201,MATCH($B1854,Summary!$A$2:$A$201,0))</f>
        <v>15.13</v>
      </c>
      <c r="W1854" s="0" t="str">
        <f aca="false">INDEX(Summary!$S$2:$S$201,MATCH($B1854,Summary!$A$2:$A$201,0))</f>
        <v>Bronze</v>
      </c>
      <c r="X1854" s="2" t="n">
        <f aca="false">INDEX(Summary!$T$2:$T$201,MATCH($B1854,Summary!$A$2:$A$201,0))</f>
        <v>36.9</v>
      </c>
      <c r="Y1854" s="0" t="str">
        <f aca="false">INDEX('Reward Model'!$E$18:$E$37,MATCH($E1854,'Reward Model'!$A$18:$A$37,0))</f>
        <v>Medium</v>
      </c>
      <c r="Z1854" s="4" t="n">
        <f aca="false">ROUND(MIN(1,MAX('Reward Model'!$B$2,INDEX('Reward Model'!$C$12:$C$14,MATCH($K1854,'Reward Model'!$A$12:$A$14,0))/$J1854)),3)</f>
        <v>1</v>
      </c>
      <c r="AA1854" s="2" t="n">
        <f aca="false">IF($I1854="Correct",ROUND(INDEX('Reward Model'!$B$12:$B$14,MATCH($K1854,'Reward Model'!$A$12:$A$14,0))*Z1854,2),0)</f>
        <v>2</v>
      </c>
      <c r="AB1854" s="2" t="n">
        <f aca="false">IF($I1854="Correct",ROUND(INDEX('Reward Model'!$B$12:$B$14,MATCH($Y1854,'Reward Model'!$A$12:$A$14,0))*Z1854,2),0)</f>
        <v>2</v>
      </c>
    </row>
    <row r="1855" customFormat="false" ht="15" hidden="false" customHeight="false" outlineLevel="0" collapsed="false">
      <c r="A1855" s="0" t="s">
        <v>314</v>
      </c>
      <c r="B1855" s="0" t="s">
        <v>315</v>
      </c>
      <c r="C1855" s="0" t="s">
        <v>30</v>
      </c>
      <c r="D1855" s="0" t="s">
        <v>275</v>
      </c>
      <c r="E1855" s="0" t="n">
        <v>14</v>
      </c>
      <c r="F1855" s="0" t="s">
        <v>68</v>
      </c>
      <c r="G1855" s="0" t="s">
        <v>86</v>
      </c>
      <c r="H1855" s="0" t="s">
        <v>51</v>
      </c>
      <c r="I1855" s="0" t="s">
        <v>39</v>
      </c>
      <c r="J1855" s="0" t="n">
        <v>2.04</v>
      </c>
      <c r="K1855" s="0" t="s">
        <v>60</v>
      </c>
      <c r="L1855" s="0" t="n">
        <f aca="false">INDEX(Summary!$F$2:$F$201,MATCH($B1855,Summary!$A$2:$A$201,0))</f>
        <v>20</v>
      </c>
      <c r="M1855" s="0" t="n">
        <f aca="false">INDEX(Summary!$I$2:$I$201,MATCH($B1855,Summary!$A$2:$A$201,0))</f>
        <v>1</v>
      </c>
      <c r="N1855" s="0" t="n">
        <f aca="false">INDEX(Summary!$J$2:$J$201,MATCH($B1855,Summary!$A$2:$A$201,0))</f>
        <v>4</v>
      </c>
      <c r="O1855" s="2" t="n">
        <f aca="false">INDEX(Summary!$K$2:$K$201,MATCH($B1855,Summary!$A$2:$A$201,0))</f>
        <v>9.25</v>
      </c>
      <c r="P1855" s="3" t="n">
        <f aca="false">INDEX(Summary!$L$2:$L$201,MATCH($B1855,Summary!$A$2:$A$201,0))</f>
        <v>2</v>
      </c>
      <c r="Q1855" s="3" t="n">
        <f aca="false">INDEX(Summary!$M$2:$M$201,MATCH($B1855,Summary!$A$2:$A$201,0))</f>
        <v>4</v>
      </c>
      <c r="R1855" s="2" t="n">
        <f aca="false">INDEX(Summary!$N$2:$N$201,MATCH($B1855,Summary!$A$2:$A$201,0))</f>
        <v>10.83</v>
      </c>
      <c r="S1855" s="3" t="n">
        <f aca="false">INDEX(Summary!$O$2:$O$201,MATCH($B1855,Summary!$A$2:$A$201,0))</f>
        <v>5</v>
      </c>
      <c r="T1855" s="3" t="n">
        <f aca="false">INDEX(Summary!$P$2:$P$201,MATCH($B1855,Summary!$A$2:$A$201,0))</f>
        <v>4</v>
      </c>
      <c r="U1855" s="2" t="n">
        <f aca="false">INDEX(Summary!$Q$2:$Q$201,MATCH($B1855,Summary!$A$2:$A$201,0))</f>
        <v>14.17</v>
      </c>
      <c r="V1855" s="2" t="n">
        <f aca="false">INDEX(Summary!$R$2:$R$201,MATCH($B1855,Summary!$A$2:$A$201,0))</f>
        <v>15.13</v>
      </c>
      <c r="W1855" s="0" t="str">
        <f aca="false">INDEX(Summary!$S$2:$S$201,MATCH($B1855,Summary!$A$2:$A$201,0))</f>
        <v>Bronze</v>
      </c>
      <c r="X1855" s="2" t="n">
        <f aca="false">INDEX(Summary!$T$2:$T$201,MATCH($B1855,Summary!$A$2:$A$201,0))</f>
        <v>36.9</v>
      </c>
      <c r="Y1855" s="0" t="str">
        <f aca="false">INDEX('Reward Model'!$E$18:$E$37,MATCH($E1855,'Reward Model'!$A$18:$A$37,0))</f>
        <v>Medium</v>
      </c>
      <c r="Z1855" s="4" t="n">
        <f aca="false">ROUND(MIN(1,MAX('Reward Model'!$B$2,INDEX('Reward Model'!$C$12:$C$14,MATCH($K1855,'Reward Model'!$A$12:$A$14,0))/$J1855)),3)</f>
        <v>0.882</v>
      </c>
      <c r="AA1855" s="2" t="n">
        <f aca="false">IF($I1855="Correct",ROUND(INDEX('Reward Model'!$B$12:$B$14,MATCH($K1855,'Reward Model'!$A$12:$A$14,0))*Z1855,2),0)</f>
        <v>0</v>
      </c>
      <c r="AB1855" s="2" t="n">
        <f aca="false">IF($I1855="Correct",ROUND(INDEX('Reward Model'!$B$12:$B$14,MATCH($Y1855,'Reward Model'!$A$12:$A$14,0))*Z1855,2),0)</f>
        <v>0</v>
      </c>
    </row>
    <row r="1856" customFormat="false" ht="15" hidden="false" customHeight="false" outlineLevel="0" collapsed="false">
      <c r="A1856" s="0" t="s">
        <v>314</v>
      </c>
      <c r="B1856" s="0" t="s">
        <v>315</v>
      </c>
      <c r="C1856" s="0" t="s">
        <v>30</v>
      </c>
      <c r="D1856" s="0" t="s">
        <v>275</v>
      </c>
      <c r="E1856" s="0" t="n">
        <v>15</v>
      </c>
      <c r="F1856" s="0" t="s">
        <v>69</v>
      </c>
      <c r="G1856" s="0" t="s">
        <v>94</v>
      </c>
      <c r="H1856" s="0" t="s">
        <v>70</v>
      </c>
      <c r="I1856" s="0" t="s">
        <v>39</v>
      </c>
      <c r="J1856" s="0" t="n">
        <v>1.5</v>
      </c>
      <c r="K1856" s="0" t="s">
        <v>60</v>
      </c>
      <c r="L1856" s="0" t="n">
        <f aca="false">INDEX(Summary!$F$2:$F$201,MATCH($B1856,Summary!$A$2:$A$201,0))</f>
        <v>20</v>
      </c>
      <c r="M1856" s="0" t="n">
        <f aca="false">INDEX(Summary!$I$2:$I$201,MATCH($B1856,Summary!$A$2:$A$201,0))</f>
        <v>1</v>
      </c>
      <c r="N1856" s="0" t="n">
        <f aca="false">INDEX(Summary!$J$2:$J$201,MATCH($B1856,Summary!$A$2:$A$201,0))</f>
        <v>4</v>
      </c>
      <c r="O1856" s="2" t="n">
        <f aca="false">INDEX(Summary!$K$2:$K$201,MATCH($B1856,Summary!$A$2:$A$201,0))</f>
        <v>9.25</v>
      </c>
      <c r="P1856" s="3" t="n">
        <f aca="false">INDEX(Summary!$L$2:$L$201,MATCH($B1856,Summary!$A$2:$A$201,0))</f>
        <v>2</v>
      </c>
      <c r="Q1856" s="3" t="n">
        <f aca="false">INDEX(Summary!$M$2:$M$201,MATCH($B1856,Summary!$A$2:$A$201,0))</f>
        <v>4</v>
      </c>
      <c r="R1856" s="2" t="n">
        <f aca="false">INDEX(Summary!$N$2:$N$201,MATCH($B1856,Summary!$A$2:$A$201,0))</f>
        <v>10.83</v>
      </c>
      <c r="S1856" s="3" t="n">
        <f aca="false">INDEX(Summary!$O$2:$O$201,MATCH($B1856,Summary!$A$2:$A$201,0))</f>
        <v>5</v>
      </c>
      <c r="T1856" s="3" t="n">
        <f aca="false">INDEX(Summary!$P$2:$P$201,MATCH($B1856,Summary!$A$2:$A$201,0))</f>
        <v>4</v>
      </c>
      <c r="U1856" s="2" t="n">
        <f aca="false">INDEX(Summary!$Q$2:$Q$201,MATCH($B1856,Summary!$A$2:$A$201,0))</f>
        <v>14.17</v>
      </c>
      <c r="V1856" s="2" t="n">
        <f aca="false">INDEX(Summary!$R$2:$R$201,MATCH($B1856,Summary!$A$2:$A$201,0))</f>
        <v>15.13</v>
      </c>
      <c r="W1856" s="0" t="str">
        <f aca="false">INDEX(Summary!$S$2:$S$201,MATCH($B1856,Summary!$A$2:$A$201,0))</f>
        <v>Bronze</v>
      </c>
      <c r="X1856" s="2" t="n">
        <f aca="false">INDEX(Summary!$T$2:$T$201,MATCH($B1856,Summary!$A$2:$A$201,0))</f>
        <v>36.9</v>
      </c>
      <c r="Y1856" s="0" t="str">
        <f aca="false">INDEX('Reward Model'!$E$18:$E$37,MATCH($E1856,'Reward Model'!$A$18:$A$37,0))</f>
        <v>Medium</v>
      </c>
      <c r="Z1856" s="4" t="n">
        <f aca="false">ROUND(MIN(1,MAX('Reward Model'!$B$2,INDEX('Reward Model'!$C$12:$C$14,MATCH($K1856,'Reward Model'!$A$12:$A$14,0))/$J1856)),3)</f>
        <v>1</v>
      </c>
      <c r="AA1856" s="2" t="n">
        <f aca="false">IF($I1856="Correct",ROUND(INDEX('Reward Model'!$B$12:$B$14,MATCH($K1856,'Reward Model'!$A$12:$A$14,0))*Z1856,2),0)</f>
        <v>0</v>
      </c>
      <c r="AB1856" s="2" t="n">
        <f aca="false">IF($I1856="Correct",ROUND(INDEX('Reward Model'!$B$12:$B$14,MATCH($Y1856,'Reward Model'!$A$12:$A$14,0))*Z1856,2),0)</f>
        <v>0</v>
      </c>
    </row>
    <row r="1857" customFormat="false" ht="15" hidden="false" customHeight="false" outlineLevel="0" collapsed="false">
      <c r="A1857" s="0" t="s">
        <v>314</v>
      </c>
      <c r="B1857" s="0" t="s">
        <v>315</v>
      </c>
      <c r="C1857" s="0" t="s">
        <v>30</v>
      </c>
      <c r="D1857" s="0" t="s">
        <v>275</v>
      </c>
      <c r="E1857" s="0" t="n">
        <v>16</v>
      </c>
      <c r="F1857" s="0" t="s">
        <v>71</v>
      </c>
      <c r="G1857" s="0" t="s">
        <v>101</v>
      </c>
      <c r="H1857" s="0" t="s">
        <v>72</v>
      </c>
      <c r="I1857" s="0" t="s">
        <v>39</v>
      </c>
      <c r="J1857" s="0" t="n">
        <v>2.2</v>
      </c>
      <c r="K1857" s="0" t="s">
        <v>73</v>
      </c>
      <c r="L1857" s="0" t="n">
        <f aca="false">INDEX(Summary!$F$2:$F$201,MATCH($B1857,Summary!$A$2:$A$201,0))</f>
        <v>20</v>
      </c>
      <c r="M1857" s="0" t="n">
        <f aca="false">INDEX(Summary!$I$2:$I$201,MATCH($B1857,Summary!$A$2:$A$201,0))</f>
        <v>1</v>
      </c>
      <c r="N1857" s="0" t="n">
        <f aca="false">INDEX(Summary!$J$2:$J$201,MATCH($B1857,Summary!$A$2:$A$201,0))</f>
        <v>4</v>
      </c>
      <c r="O1857" s="2" t="n">
        <f aca="false">INDEX(Summary!$K$2:$K$201,MATCH($B1857,Summary!$A$2:$A$201,0))</f>
        <v>9.25</v>
      </c>
      <c r="P1857" s="3" t="n">
        <f aca="false">INDEX(Summary!$L$2:$L$201,MATCH($B1857,Summary!$A$2:$A$201,0))</f>
        <v>2</v>
      </c>
      <c r="Q1857" s="3" t="n">
        <f aca="false">INDEX(Summary!$M$2:$M$201,MATCH($B1857,Summary!$A$2:$A$201,0))</f>
        <v>4</v>
      </c>
      <c r="R1857" s="2" t="n">
        <f aca="false">INDEX(Summary!$N$2:$N$201,MATCH($B1857,Summary!$A$2:$A$201,0))</f>
        <v>10.83</v>
      </c>
      <c r="S1857" s="3" t="n">
        <f aca="false">INDEX(Summary!$O$2:$O$201,MATCH($B1857,Summary!$A$2:$A$201,0))</f>
        <v>5</v>
      </c>
      <c r="T1857" s="3" t="n">
        <f aca="false">INDEX(Summary!$P$2:$P$201,MATCH($B1857,Summary!$A$2:$A$201,0))</f>
        <v>4</v>
      </c>
      <c r="U1857" s="2" t="n">
        <f aca="false">INDEX(Summary!$Q$2:$Q$201,MATCH($B1857,Summary!$A$2:$A$201,0))</f>
        <v>14.17</v>
      </c>
      <c r="V1857" s="2" t="n">
        <f aca="false">INDEX(Summary!$R$2:$R$201,MATCH($B1857,Summary!$A$2:$A$201,0))</f>
        <v>15.13</v>
      </c>
      <c r="W1857" s="0" t="str">
        <f aca="false">INDEX(Summary!$S$2:$S$201,MATCH($B1857,Summary!$A$2:$A$201,0))</f>
        <v>Bronze</v>
      </c>
      <c r="X1857" s="2" t="n">
        <f aca="false">INDEX(Summary!$T$2:$T$201,MATCH($B1857,Summary!$A$2:$A$201,0))</f>
        <v>36.9</v>
      </c>
      <c r="Y1857" s="0" t="str">
        <f aca="false">INDEX('Reward Model'!$E$18:$E$37,MATCH($E1857,'Reward Model'!$A$18:$A$37,0))</f>
        <v>High</v>
      </c>
      <c r="Z1857" s="4" t="n">
        <f aca="false">ROUND(MIN(1,MAX('Reward Model'!$B$2,INDEX('Reward Model'!$C$12:$C$14,MATCH($K1857,'Reward Model'!$A$12:$A$14,0))/$J1857)),3)</f>
        <v>0.909</v>
      </c>
      <c r="AA1857" s="2" t="n">
        <f aca="false">IF($I1857="Correct",ROUND(INDEX('Reward Model'!$B$12:$B$14,MATCH($K1857,'Reward Model'!$A$12:$A$14,0))*Z1857,2),0)</f>
        <v>0</v>
      </c>
      <c r="AB1857" s="2" t="n">
        <f aca="false">IF($I1857="Correct",ROUND(INDEX('Reward Model'!$B$12:$B$14,MATCH($Y1857,'Reward Model'!$A$12:$A$14,0))*Z1857,2),0)</f>
        <v>0</v>
      </c>
    </row>
    <row r="1858" customFormat="false" ht="15" hidden="false" customHeight="false" outlineLevel="0" collapsed="false">
      <c r="A1858" s="0" t="s">
        <v>314</v>
      </c>
      <c r="B1858" s="0" t="s">
        <v>315</v>
      </c>
      <c r="C1858" s="0" t="s">
        <v>30</v>
      </c>
      <c r="D1858" s="0" t="s">
        <v>275</v>
      </c>
      <c r="E1858" s="0" t="n">
        <v>17</v>
      </c>
      <c r="F1858" s="0" t="s">
        <v>74</v>
      </c>
      <c r="G1858" s="0" t="s">
        <v>91</v>
      </c>
      <c r="H1858" s="0" t="s">
        <v>75</v>
      </c>
      <c r="I1858" s="0" t="s">
        <v>39</v>
      </c>
      <c r="J1858" s="0" t="n">
        <v>1.7</v>
      </c>
      <c r="K1858" s="0" t="s">
        <v>73</v>
      </c>
      <c r="L1858" s="0" t="n">
        <f aca="false">INDEX(Summary!$F$2:$F$201,MATCH($B1858,Summary!$A$2:$A$201,0))</f>
        <v>20</v>
      </c>
      <c r="M1858" s="0" t="n">
        <f aca="false">INDEX(Summary!$I$2:$I$201,MATCH($B1858,Summary!$A$2:$A$201,0))</f>
        <v>1</v>
      </c>
      <c r="N1858" s="0" t="n">
        <f aca="false">INDEX(Summary!$J$2:$J$201,MATCH($B1858,Summary!$A$2:$A$201,0))</f>
        <v>4</v>
      </c>
      <c r="O1858" s="2" t="n">
        <f aca="false">INDEX(Summary!$K$2:$K$201,MATCH($B1858,Summary!$A$2:$A$201,0))</f>
        <v>9.25</v>
      </c>
      <c r="P1858" s="3" t="n">
        <f aca="false">INDEX(Summary!$L$2:$L$201,MATCH($B1858,Summary!$A$2:$A$201,0))</f>
        <v>2</v>
      </c>
      <c r="Q1858" s="3" t="n">
        <f aca="false">INDEX(Summary!$M$2:$M$201,MATCH($B1858,Summary!$A$2:$A$201,0))</f>
        <v>4</v>
      </c>
      <c r="R1858" s="2" t="n">
        <f aca="false">INDEX(Summary!$N$2:$N$201,MATCH($B1858,Summary!$A$2:$A$201,0))</f>
        <v>10.83</v>
      </c>
      <c r="S1858" s="3" t="n">
        <f aca="false">INDEX(Summary!$O$2:$O$201,MATCH($B1858,Summary!$A$2:$A$201,0))</f>
        <v>5</v>
      </c>
      <c r="T1858" s="3" t="n">
        <f aca="false">INDEX(Summary!$P$2:$P$201,MATCH($B1858,Summary!$A$2:$A$201,0))</f>
        <v>4</v>
      </c>
      <c r="U1858" s="2" t="n">
        <f aca="false">INDEX(Summary!$Q$2:$Q$201,MATCH($B1858,Summary!$A$2:$A$201,0))</f>
        <v>14.17</v>
      </c>
      <c r="V1858" s="2" t="n">
        <f aca="false">INDEX(Summary!$R$2:$R$201,MATCH($B1858,Summary!$A$2:$A$201,0))</f>
        <v>15.13</v>
      </c>
      <c r="W1858" s="0" t="str">
        <f aca="false">INDEX(Summary!$S$2:$S$201,MATCH($B1858,Summary!$A$2:$A$201,0))</f>
        <v>Bronze</v>
      </c>
      <c r="X1858" s="2" t="n">
        <f aca="false">INDEX(Summary!$T$2:$T$201,MATCH($B1858,Summary!$A$2:$A$201,0))</f>
        <v>36.9</v>
      </c>
      <c r="Y1858" s="0" t="str">
        <f aca="false">INDEX('Reward Model'!$E$18:$E$37,MATCH($E1858,'Reward Model'!$A$18:$A$37,0))</f>
        <v>High</v>
      </c>
      <c r="Z1858" s="4" t="n">
        <f aca="false">ROUND(MIN(1,MAX('Reward Model'!$B$2,INDEX('Reward Model'!$C$12:$C$14,MATCH($K1858,'Reward Model'!$A$12:$A$14,0))/$J1858)),3)</f>
        <v>1</v>
      </c>
      <c r="AA1858" s="2" t="n">
        <f aca="false">IF($I1858="Correct",ROUND(INDEX('Reward Model'!$B$12:$B$14,MATCH($K1858,'Reward Model'!$A$12:$A$14,0))*Z1858,2),0)</f>
        <v>0</v>
      </c>
      <c r="AB1858" s="2" t="n">
        <f aca="false">IF($I1858="Correct",ROUND(INDEX('Reward Model'!$B$12:$B$14,MATCH($Y1858,'Reward Model'!$A$12:$A$14,0))*Z1858,2),0)</f>
        <v>0</v>
      </c>
    </row>
    <row r="1859" customFormat="false" ht="15" hidden="false" customHeight="false" outlineLevel="0" collapsed="false">
      <c r="A1859" s="0" t="s">
        <v>314</v>
      </c>
      <c r="B1859" s="0" t="s">
        <v>315</v>
      </c>
      <c r="C1859" s="0" t="s">
        <v>30</v>
      </c>
      <c r="D1859" s="0" t="s">
        <v>275</v>
      </c>
      <c r="E1859" s="0" t="n">
        <v>18</v>
      </c>
      <c r="F1859" s="0" t="s">
        <v>76</v>
      </c>
      <c r="G1859" s="0" t="s">
        <v>56</v>
      </c>
      <c r="H1859" s="0" t="s">
        <v>77</v>
      </c>
      <c r="I1859" s="0" t="s">
        <v>39</v>
      </c>
      <c r="J1859" s="0" t="n">
        <v>1.7</v>
      </c>
      <c r="K1859" s="0" t="s">
        <v>73</v>
      </c>
      <c r="L1859" s="0" t="n">
        <f aca="false">INDEX(Summary!$F$2:$F$201,MATCH($B1859,Summary!$A$2:$A$201,0))</f>
        <v>20</v>
      </c>
      <c r="M1859" s="0" t="n">
        <f aca="false">INDEX(Summary!$I$2:$I$201,MATCH($B1859,Summary!$A$2:$A$201,0))</f>
        <v>1</v>
      </c>
      <c r="N1859" s="0" t="n">
        <f aca="false">INDEX(Summary!$J$2:$J$201,MATCH($B1859,Summary!$A$2:$A$201,0))</f>
        <v>4</v>
      </c>
      <c r="O1859" s="2" t="n">
        <f aca="false">INDEX(Summary!$K$2:$K$201,MATCH($B1859,Summary!$A$2:$A$201,0))</f>
        <v>9.25</v>
      </c>
      <c r="P1859" s="3" t="n">
        <f aca="false">INDEX(Summary!$L$2:$L$201,MATCH($B1859,Summary!$A$2:$A$201,0))</f>
        <v>2</v>
      </c>
      <c r="Q1859" s="3" t="n">
        <f aca="false">INDEX(Summary!$M$2:$M$201,MATCH($B1859,Summary!$A$2:$A$201,0))</f>
        <v>4</v>
      </c>
      <c r="R1859" s="2" t="n">
        <f aca="false">INDEX(Summary!$N$2:$N$201,MATCH($B1859,Summary!$A$2:$A$201,0))</f>
        <v>10.83</v>
      </c>
      <c r="S1859" s="3" t="n">
        <f aca="false">INDEX(Summary!$O$2:$O$201,MATCH($B1859,Summary!$A$2:$A$201,0))</f>
        <v>5</v>
      </c>
      <c r="T1859" s="3" t="n">
        <f aca="false">INDEX(Summary!$P$2:$P$201,MATCH($B1859,Summary!$A$2:$A$201,0))</f>
        <v>4</v>
      </c>
      <c r="U1859" s="2" t="n">
        <f aca="false">INDEX(Summary!$Q$2:$Q$201,MATCH($B1859,Summary!$A$2:$A$201,0))</f>
        <v>14.17</v>
      </c>
      <c r="V1859" s="2" t="n">
        <f aca="false">INDEX(Summary!$R$2:$R$201,MATCH($B1859,Summary!$A$2:$A$201,0))</f>
        <v>15.13</v>
      </c>
      <c r="W1859" s="0" t="str">
        <f aca="false">INDEX(Summary!$S$2:$S$201,MATCH($B1859,Summary!$A$2:$A$201,0))</f>
        <v>Bronze</v>
      </c>
      <c r="X1859" s="2" t="n">
        <f aca="false">INDEX(Summary!$T$2:$T$201,MATCH($B1859,Summary!$A$2:$A$201,0))</f>
        <v>36.9</v>
      </c>
      <c r="Y1859" s="0" t="str">
        <f aca="false">INDEX('Reward Model'!$E$18:$E$37,MATCH($E1859,'Reward Model'!$A$18:$A$37,0))</f>
        <v>High</v>
      </c>
      <c r="Z1859" s="4" t="n">
        <f aca="false">ROUND(MIN(1,MAX('Reward Model'!$B$2,INDEX('Reward Model'!$C$12:$C$14,MATCH($K1859,'Reward Model'!$A$12:$A$14,0))/$J1859)),3)</f>
        <v>1</v>
      </c>
      <c r="AA1859" s="2" t="n">
        <f aca="false">IF($I1859="Correct",ROUND(INDEX('Reward Model'!$B$12:$B$14,MATCH($K1859,'Reward Model'!$A$12:$A$14,0))*Z1859,2),0)</f>
        <v>0</v>
      </c>
      <c r="AB1859" s="2" t="n">
        <f aca="false">IF($I1859="Correct",ROUND(INDEX('Reward Model'!$B$12:$B$14,MATCH($Y1859,'Reward Model'!$A$12:$A$14,0))*Z1859,2),0)</f>
        <v>0</v>
      </c>
    </row>
    <row r="1860" customFormat="false" ht="15" hidden="false" customHeight="false" outlineLevel="0" collapsed="false">
      <c r="A1860" s="0" t="s">
        <v>314</v>
      </c>
      <c r="B1860" s="0" t="s">
        <v>315</v>
      </c>
      <c r="C1860" s="0" t="s">
        <v>30</v>
      </c>
      <c r="D1860" s="0" t="s">
        <v>275</v>
      </c>
      <c r="E1860" s="0" t="n">
        <v>19</v>
      </c>
      <c r="F1860" s="0" t="s">
        <v>78</v>
      </c>
      <c r="G1860" s="0" t="s">
        <v>51</v>
      </c>
      <c r="H1860" s="0" t="s">
        <v>80</v>
      </c>
      <c r="I1860" s="0" t="s">
        <v>39</v>
      </c>
      <c r="J1860" s="0" t="n">
        <v>2.09</v>
      </c>
      <c r="K1860" s="0" t="s">
        <v>73</v>
      </c>
      <c r="L1860" s="0" t="n">
        <f aca="false">INDEX(Summary!$F$2:$F$201,MATCH($B1860,Summary!$A$2:$A$201,0))</f>
        <v>20</v>
      </c>
      <c r="M1860" s="0" t="n">
        <f aca="false">INDEX(Summary!$I$2:$I$201,MATCH($B1860,Summary!$A$2:$A$201,0))</f>
        <v>1</v>
      </c>
      <c r="N1860" s="0" t="n">
        <f aca="false">INDEX(Summary!$J$2:$J$201,MATCH($B1860,Summary!$A$2:$A$201,0))</f>
        <v>4</v>
      </c>
      <c r="O1860" s="2" t="n">
        <f aca="false">INDEX(Summary!$K$2:$K$201,MATCH($B1860,Summary!$A$2:$A$201,0))</f>
        <v>9.25</v>
      </c>
      <c r="P1860" s="3" t="n">
        <f aca="false">INDEX(Summary!$L$2:$L$201,MATCH($B1860,Summary!$A$2:$A$201,0))</f>
        <v>2</v>
      </c>
      <c r="Q1860" s="3" t="n">
        <f aca="false">INDEX(Summary!$M$2:$M$201,MATCH($B1860,Summary!$A$2:$A$201,0))</f>
        <v>4</v>
      </c>
      <c r="R1860" s="2" t="n">
        <f aca="false">INDEX(Summary!$N$2:$N$201,MATCH($B1860,Summary!$A$2:$A$201,0))</f>
        <v>10.83</v>
      </c>
      <c r="S1860" s="3" t="n">
        <f aca="false">INDEX(Summary!$O$2:$O$201,MATCH($B1860,Summary!$A$2:$A$201,0))</f>
        <v>5</v>
      </c>
      <c r="T1860" s="3" t="n">
        <f aca="false">INDEX(Summary!$P$2:$P$201,MATCH($B1860,Summary!$A$2:$A$201,0))</f>
        <v>4</v>
      </c>
      <c r="U1860" s="2" t="n">
        <f aca="false">INDEX(Summary!$Q$2:$Q$201,MATCH($B1860,Summary!$A$2:$A$201,0))</f>
        <v>14.17</v>
      </c>
      <c r="V1860" s="2" t="n">
        <f aca="false">INDEX(Summary!$R$2:$R$201,MATCH($B1860,Summary!$A$2:$A$201,0))</f>
        <v>15.13</v>
      </c>
      <c r="W1860" s="0" t="str">
        <f aca="false">INDEX(Summary!$S$2:$S$201,MATCH($B1860,Summary!$A$2:$A$201,0))</f>
        <v>Bronze</v>
      </c>
      <c r="X1860" s="2" t="n">
        <f aca="false">INDEX(Summary!$T$2:$T$201,MATCH($B1860,Summary!$A$2:$A$201,0))</f>
        <v>36.9</v>
      </c>
      <c r="Y1860" s="0" t="str">
        <f aca="false">INDEX('Reward Model'!$E$18:$E$37,MATCH($E1860,'Reward Model'!$A$18:$A$37,0))</f>
        <v>High</v>
      </c>
      <c r="Z1860" s="4" t="n">
        <f aca="false">ROUND(MIN(1,MAX('Reward Model'!$B$2,INDEX('Reward Model'!$C$12:$C$14,MATCH($K1860,'Reward Model'!$A$12:$A$14,0))/$J1860)),3)</f>
        <v>0.957</v>
      </c>
      <c r="AA1860" s="2" t="n">
        <f aca="false">IF($I1860="Correct",ROUND(INDEX('Reward Model'!$B$12:$B$14,MATCH($K1860,'Reward Model'!$A$12:$A$14,0))*Z1860,2),0)</f>
        <v>0</v>
      </c>
      <c r="AB1860" s="2" t="n">
        <f aca="false">IF($I1860="Correct",ROUND(INDEX('Reward Model'!$B$12:$B$14,MATCH($Y1860,'Reward Model'!$A$12:$A$14,0))*Z1860,2),0)</f>
        <v>0</v>
      </c>
    </row>
    <row r="1861" customFormat="false" ht="15" hidden="false" customHeight="false" outlineLevel="0" collapsed="false">
      <c r="A1861" s="0" t="s">
        <v>314</v>
      </c>
      <c r="B1861" s="0" t="s">
        <v>315</v>
      </c>
      <c r="C1861" s="0" t="s">
        <v>30</v>
      </c>
      <c r="D1861" s="0" t="s">
        <v>275</v>
      </c>
      <c r="E1861" s="0" t="n">
        <v>20</v>
      </c>
      <c r="F1861" s="0" t="s">
        <v>81</v>
      </c>
      <c r="G1861" s="0" t="s">
        <v>83</v>
      </c>
      <c r="H1861" s="0" t="s">
        <v>83</v>
      </c>
      <c r="I1861" s="0" t="s">
        <v>34</v>
      </c>
      <c r="J1861" s="0" t="n">
        <v>1.56</v>
      </c>
      <c r="K1861" s="0" t="s">
        <v>73</v>
      </c>
      <c r="L1861" s="0" t="n">
        <f aca="false">INDEX(Summary!$F$2:$F$201,MATCH($B1861,Summary!$A$2:$A$201,0))</f>
        <v>20</v>
      </c>
      <c r="M1861" s="0" t="n">
        <f aca="false">INDEX(Summary!$I$2:$I$201,MATCH($B1861,Summary!$A$2:$A$201,0))</f>
        <v>1</v>
      </c>
      <c r="N1861" s="0" t="n">
        <f aca="false">INDEX(Summary!$J$2:$J$201,MATCH($B1861,Summary!$A$2:$A$201,0))</f>
        <v>4</v>
      </c>
      <c r="O1861" s="2" t="n">
        <f aca="false">INDEX(Summary!$K$2:$K$201,MATCH($B1861,Summary!$A$2:$A$201,0))</f>
        <v>9.25</v>
      </c>
      <c r="P1861" s="3" t="n">
        <f aca="false">INDEX(Summary!$L$2:$L$201,MATCH($B1861,Summary!$A$2:$A$201,0))</f>
        <v>2</v>
      </c>
      <c r="Q1861" s="3" t="n">
        <f aca="false">INDEX(Summary!$M$2:$M$201,MATCH($B1861,Summary!$A$2:$A$201,0))</f>
        <v>4</v>
      </c>
      <c r="R1861" s="2" t="n">
        <f aca="false">INDEX(Summary!$N$2:$N$201,MATCH($B1861,Summary!$A$2:$A$201,0))</f>
        <v>10.83</v>
      </c>
      <c r="S1861" s="3" t="n">
        <f aca="false">INDEX(Summary!$O$2:$O$201,MATCH($B1861,Summary!$A$2:$A$201,0))</f>
        <v>5</v>
      </c>
      <c r="T1861" s="3" t="n">
        <f aca="false">INDEX(Summary!$P$2:$P$201,MATCH($B1861,Summary!$A$2:$A$201,0))</f>
        <v>4</v>
      </c>
      <c r="U1861" s="2" t="n">
        <f aca="false">INDEX(Summary!$Q$2:$Q$201,MATCH($B1861,Summary!$A$2:$A$201,0))</f>
        <v>14.17</v>
      </c>
      <c r="V1861" s="2" t="n">
        <f aca="false">INDEX(Summary!$R$2:$R$201,MATCH($B1861,Summary!$A$2:$A$201,0))</f>
        <v>15.13</v>
      </c>
      <c r="W1861" s="0" t="str">
        <f aca="false">INDEX(Summary!$S$2:$S$201,MATCH($B1861,Summary!$A$2:$A$201,0))</f>
        <v>Bronze</v>
      </c>
      <c r="X1861" s="2" t="n">
        <f aca="false">INDEX(Summary!$T$2:$T$201,MATCH($B1861,Summary!$A$2:$A$201,0))</f>
        <v>36.9</v>
      </c>
      <c r="Y1861" s="0" t="str">
        <f aca="false">INDEX('Reward Model'!$E$18:$E$37,MATCH($E1861,'Reward Model'!$A$18:$A$37,0))</f>
        <v>High</v>
      </c>
      <c r="Z1861" s="4" t="n">
        <f aca="false">ROUND(MIN(1,MAX('Reward Model'!$B$2,INDEX('Reward Model'!$C$12:$C$14,MATCH($K1861,'Reward Model'!$A$12:$A$14,0))/$J1861)),3)</f>
        <v>1</v>
      </c>
      <c r="AA1861" s="2" t="n">
        <f aca="false">IF($I1861="Correct",ROUND(INDEX('Reward Model'!$B$12:$B$14,MATCH($K1861,'Reward Model'!$A$12:$A$14,0))*Z1861,2),0)</f>
        <v>3</v>
      </c>
      <c r="AB1861" s="2" t="n">
        <f aca="false">IF($I1861="Correct",ROUND(INDEX('Reward Model'!$B$12:$B$14,MATCH($Y1861,'Reward Model'!$A$12:$A$14,0))*Z1861,2),0)</f>
        <v>3</v>
      </c>
    </row>
    <row r="1862" customFormat="false" ht="15" hidden="false" customHeight="false" outlineLevel="0" collapsed="false">
      <c r="A1862" s="0" t="s">
        <v>316</v>
      </c>
      <c r="B1862" s="0" t="s">
        <v>317</v>
      </c>
      <c r="C1862" s="0" t="s">
        <v>30</v>
      </c>
      <c r="D1862" s="0" t="s">
        <v>275</v>
      </c>
      <c r="E1862" s="0" t="n">
        <v>1</v>
      </c>
      <c r="F1862" s="0" t="s">
        <v>32</v>
      </c>
      <c r="G1862" s="0" t="s">
        <v>33</v>
      </c>
      <c r="H1862" s="0" t="s">
        <v>33</v>
      </c>
      <c r="I1862" s="0" t="s">
        <v>34</v>
      </c>
      <c r="J1862" s="0" t="n">
        <v>1.97</v>
      </c>
      <c r="K1862" s="0" t="s">
        <v>35</v>
      </c>
      <c r="L1862" s="0" t="n">
        <f aca="false">INDEX(Summary!$F$2:$F$201,MATCH($B1862,Summary!$A$2:$A$201,0))</f>
        <v>20</v>
      </c>
      <c r="M1862" s="0" t="n">
        <f aca="false">INDEX(Summary!$I$2:$I$201,MATCH($B1862,Summary!$A$2:$A$201,0))</f>
        <v>2</v>
      </c>
      <c r="N1862" s="0" t="n">
        <f aca="false">INDEX(Summary!$J$2:$J$201,MATCH($B1862,Summary!$A$2:$A$201,0))</f>
        <v>3</v>
      </c>
      <c r="O1862" s="2" t="n">
        <f aca="false">INDEX(Summary!$K$2:$K$201,MATCH($B1862,Summary!$A$2:$A$201,0))</f>
        <v>10.74</v>
      </c>
      <c r="P1862" s="3" t="n">
        <f aca="false">INDEX(Summary!$L$2:$L$201,MATCH($B1862,Summary!$A$2:$A$201,0))</f>
        <v>4</v>
      </c>
      <c r="Q1862" s="3" t="n">
        <f aca="false">INDEX(Summary!$M$2:$M$201,MATCH($B1862,Summary!$A$2:$A$201,0))</f>
        <v>2</v>
      </c>
      <c r="R1862" s="2" t="n">
        <f aca="false">INDEX(Summary!$N$2:$N$201,MATCH($B1862,Summary!$A$2:$A$201,0))</f>
        <v>8.91</v>
      </c>
      <c r="S1862" s="3" t="n">
        <f aca="false">INDEX(Summary!$O$2:$O$201,MATCH($B1862,Summary!$A$2:$A$201,0))</f>
        <v>6</v>
      </c>
      <c r="T1862" s="3" t="n">
        <f aca="false">INDEX(Summary!$P$2:$P$201,MATCH($B1862,Summary!$A$2:$A$201,0))</f>
        <v>3</v>
      </c>
      <c r="U1862" s="2" t="n">
        <f aca="false">INDEX(Summary!$Q$2:$Q$201,MATCH($B1862,Summary!$A$2:$A$201,0))</f>
        <v>14.17</v>
      </c>
      <c r="V1862" s="2" t="n">
        <f aca="false">INDEX(Summary!$R$2:$R$201,MATCH($B1862,Summary!$A$2:$A$201,0))</f>
        <v>22.23</v>
      </c>
      <c r="W1862" s="0" t="str">
        <f aca="false">INDEX(Summary!$S$2:$S$201,MATCH($B1862,Summary!$A$2:$A$201,0))</f>
        <v>Silver</v>
      </c>
      <c r="X1862" s="2" t="n">
        <f aca="false">INDEX(Summary!$T$2:$T$201,MATCH($B1862,Summary!$A$2:$A$201,0))</f>
        <v>54.22</v>
      </c>
      <c r="Y1862" s="0" t="str">
        <f aca="false">INDEX('Reward Model'!$E$18:$E$37,MATCH($E1862,'Reward Model'!$A$18:$A$37,0))</f>
        <v>Medium</v>
      </c>
      <c r="Z1862" s="4" t="n">
        <f aca="false">ROUND(MIN(1,MAX('Reward Model'!$B$2,INDEX('Reward Model'!$C$12:$C$14,MATCH($K1862,'Reward Model'!$A$12:$A$14,0))/$J1862)),3)</f>
        <v>0.761</v>
      </c>
      <c r="AA1862" s="2" t="n">
        <f aca="false">IF($I1862="Correct",ROUND(INDEX('Reward Model'!$B$12:$B$14,MATCH($K1862,'Reward Model'!$A$12:$A$14,0))*Z1862,2),0)</f>
        <v>0.76</v>
      </c>
      <c r="AB1862" s="2" t="n">
        <f aca="false">IF($I1862="Correct",ROUND(INDEX('Reward Model'!$B$12:$B$14,MATCH($Y1862,'Reward Model'!$A$12:$A$14,0))*Z1862,2),0)</f>
        <v>1.52</v>
      </c>
    </row>
    <row r="1863" customFormat="false" ht="15" hidden="false" customHeight="false" outlineLevel="0" collapsed="false">
      <c r="A1863" s="0" t="s">
        <v>316</v>
      </c>
      <c r="B1863" s="0" t="s">
        <v>317</v>
      </c>
      <c r="C1863" s="0" t="s">
        <v>30</v>
      </c>
      <c r="D1863" s="0" t="s">
        <v>275</v>
      </c>
      <c r="E1863" s="0" t="n">
        <v>2</v>
      </c>
      <c r="F1863" s="0" t="s">
        <v>36</v>
      </c>
      <c r="G1863" s="0" t="s">
        <v>38</v>
      </c>
      <c r="H1863" s="0" t="s">
        <v>38</v>
      </c>
      <c r="I1863" s="0" t="s">
        <v>34</v>
      </c>
      <c r="J1863" s="0" t="n">
        <v>1.07</v>
      </c>
      <c r="K1863" s="0" t="s">
        <v>35</v>
      </c>
      <c r="L1863" s="0" t="n">
        <f aca="false">INDEX(Summary!$F$2:$F$201,MATCH($B1863,Summary!$A$2:$A$201,0))</f>
        <v>20</v>
      </c>
      <c r="M1863" s="0" t="n">
        <f aca="false">INDEX(Summary!$I$2:$I$201,MATCH($B1863,Summary!$A$2:$A$201,0))</f>
        <v>2</v>
      </c>
      <c r="N1863" s="0" t="n">
        <f aca="false">INDEX(Summary!$J$2:$J$201,MATCH($B1863,Summary!$A$2:$A$201,0))</f>
        <v>3</v>
      </c>
      <c r="O1863" s="2" t="n">
        <f aca="false">INDEX(Summary!$K$2:$K$201,MATCH($B1863,Summary!$A$2:$A$201,0))</f>
        <v>10.74</v>
      </c>
      <c r="P1863" s="3" t="n">
        <f aca="false">INDEX(Summary!$L$2:$L$201,MATCH($B1863,Summary!$A$2:$A$201,0))</f>
        <v>4</v>
      </c>
      <c r="Q1863" s="3" t="n">
        <f aca="false">INDEX(Summary!$M$2:$M$201,MATCH($B1863,Summary!$A$2:$A$201,0))</f>
        <v>2</v>
      </c>
      <c r="R1863" s="2" t="n">
        <f aca="false">INDEX(Summary!$N$2:$N$201,MATCH($B1863,Summary!$A$2:$A$201,0))</f>
        <v>8.91</v>
      </c>
      <c r="S1863" s="3" t="n">
        <f aca="false">INDEX(Summary!$O$2:$O$201,MATCH($B1863,Summary!$A$2:$A$201,0))</f>
        <v>6</v>
      </c>
      <c r="T1863" s="3" t="n">
        <f aca="false">INDEX(Summary!$P$2:$P$201,MATCH($B1863,Summary!$A$2:$A$201,0))</f>
        <v>3</v>
      </c>
      <c r="U1863" s="2" t="n">
        <f aca="false">INDEX(Summary!$Q$2:$Q$201,MATCH($B1863,Summary!$A$2:$A$201,0))</f>
        <v>14.17</v>
      </c>
      <c r="V1863" s="2" t="n">
        <f aca="false">INDEX(Summary!$R$2:$R$201,MATCH($B1863,Summary!$A$2:$A$201,0))</f>
        <v>22.23</v>
      </c>
      <c r="W1863" s="0" t="str">
        <f aca="false">INDEX(Summary!$S$2:$S$201,MATCH($B1863,Summary!$A$2:$A$201,0))</f>
        <v>Silver</v>
      </c>
      <c r="X1863" s="2" t="n">
        <f aca="false">INDEX(Summary!$T$2:$T$201,MATCH($B1863,Summary!$A$2:$A$201,0))</f>
        <v>54.22</v>
      </c>
      <c r="Y1863" s="0" t="str">
        <f aca="false">INDEX('Reward Model'!$E$18:$E$37,MATCH($E1863,'Reward Model'!$A$18:$A$37,0))</f>
        <v>Low</v>
      </c>
      <c r="Z1863" s="4" t="n">
        <f aca="false">ROUND(MIN(1,MAX('Reward Model'!$B$2,INDEX('Reward Model'!$C$12:$C$14,MATCH($K1863,'Reward Model'!$A$12:$A$14,0))/$J1863)),3)</f>
        <v>1</v>
      </c>
      <c r="AA1863" s="2" t="n">
        <f aca="false">IF($I1863="Correct",ROUND(INDEX('Reward Model'!$B$12:$B$14,MATCH($K1863,'Reward Model'!$A$12:$A$14,0))*Z1863,2),0)</f>
        <v>1</v>
      </c>
      <c r="AB1863" s="2" t="n">
        <f aca="false">IF($I1863="Correct",ROUND(INDEX('Reward Model'!$B$12:$B$14,MATCH($Y1863,'Reward Model'!$A$12:$A$14,0))*Z1863,2),0)</f>
        <v>1</v>
      </c>
    </row>
    <row r="1864" customFormat="false" ht="15" hidden="false" customHeight="false" outlineLevel="0" collapsed="false">
      <c r="A1864" s="0" t="s">
        <v>316</v>
      </c>
      <c r="B1864" s="0" t="s">
        <v>317</v>
      </c>
      <c r="C1864" s="0" t="s">
        <v>30</v>
      </c>
      <c r="D1864" s="0" t="s">
        <v>275</v>
      </c>
      <c r="E1864" s="0" t="n">
        <v>3</v>
      </c>
      <c r="F1864" s="0" t="s">
        <v>40</v>
      </c>
      <c r="G1864" s="0" t="s">
        <v>123</v>
      </c>
      <c r="H1864" s="0" t="s">
        <v>42</v>
      </c>
      <c r="I1864" s="0" t="s">
        <v>39</v>
      </c>
      <c r="J1864" s="0" t="n">
        <v>1.94</v>
      </c>
      <c r="K1864" s="0" t="s">
        <v>35</v>
      </c>
      <c r="L1864" s="0" t="n">
        <f aca="false">INDEX(Summary!$F$2:$F$201,MATCH($B1864,Summary!$A$2:$A$201,0))</f>
        <v>20</v>
      </c>
      <c r="M1864" s="0" t="n">
        <f aca="false">INDEX(Summary!$I$2:$I$201,MATCH($B1864,Summary!$A$2:$A$201,0))</f>
        <v>2</v>
      </c>
      <c r="N1864" s="0" t="n">
        <f aca="false">INDEX(Summary!$J$2:$J$201,MATCH($B1864,Summary!$A$2:$A$201,0))</f>
        <v>3</v>
      </c>
      <c r="O1864" s="2" t="n">
        <f aca="false">INDEX(Summary!$K$2:$K$201,MATCH($B1864,Summary!$A$2:$A$201,0))</f>
        <v>10.74</v>
      </c>
      <c r="P1864" s="3" t="n">
        <f aca="false">INDEX(Summary!$L$2:$L$201,MATCH($B1864,Summary!$A$2:$A$201,0))</f>
        <v>4</v>
      </c>
      <c r="Q1864" s="3" t="n">
        <f aca="false">INDEX(Summary!$M$2:$M$201,MATCH($B1864,Summary!$A$2:$A$201,0))</f>
        <v>2</v>
      </c>
      <c r="R1864" s="2" t="n">
        <f aca="false">INDEX(Summary!$N$2:$N$201,MATCH($B1864,Summary!$A$2:$A$201,0))</f>
        <v>8.91</v>
      </c>
      <c r="S1864" s="3" t="n">
        <f aca="false">INDEX(Summary!$O$2:$O$201,MATCH($B1864,Summary!$A$2:$A$201,0))</f>
        <v>6</v>
      </c>
      <c r="T1864" s="3" t="n">
        <f aca="false">INDEX(Summary!$P$2:$P$201,MATCH($B1864,Summary!$A$2:$A$201,0))</f>
        <v>3</v>
      </c>
      <c r="U1864" s="2" t="n">
        <f aca="false">INDEX(Summary!$Q$2:$Q$201,MATCH($B1864,Summary!$A$2:$A$201,0))</f>
        <v>14.17</v>
      </c>
      <c r="V1864" s="2" t="n">
        <f aca="false">INDEX(Summary!$R$2:$R$201,MATCH($B1864,Summary!$A$2:$A$201,0))</f>
        <v>22.23</v>
      </c>
      <c r="W1864" s="0" t="str">
        <f aca="false">INDEX(Summary!$S$2:$S$201,MATCH($B1864,Summary!$A$2:$A$201,0))</f>
        <v>Silver</v>
      </c>
      <c r="X1864" s="2" t="n">
        <f aca="false">INDEX(Summary!$T$2:$T$201,MATCH($B1864,Summary!$A$2:$A$201,0))</f>
        <v>54.22</v>
      </c>
      <c r="Y1864" s="0" t="str">
        <f aca="false">INDEX('Reward Model'!$E$18:$E$37,MATCH($E1864,'Reward Model'!$A$18:$A$37,0))</f>
        <v>Medium</v>
      </c>
      <c r="Z1864" s="4" t="n">
        <f aca="false">ROUND(MIN(1,MAX('Reward Model'!$B$2,INDEX('Reward Model'!$C$12:$C$14,MATCH($K1864,'Reward Model'!$A$12:$A$14,0))/$J1864)),3)</f>
        <v>0.773</v>
      </c>
      <c r="AA1864" s="2" t="n">
        <f aca="false">IF($I1864="Correct",ROUND(INDEX('Reward Model'!$B$12:$B$14,MATCH($K1864,'Reward Model'!$A$12:$A$14,0))*Z1864,2),0)</f>
        <v>0</v>
      </c>
      <c r="AB1864" s="2" t="n">
        <f aca="false">IF($I1864="Correct",ROUND(INDEX('Reward Model'!$B$12:$B$14,MATCH($Y1864,'Reward Model'!$A$12:$A$14,0))*Z1864,2),0)</f>
        <v>0</v>
      </c>
    </row>
    <row r="1865" customFormat="false" ht="15" hidden="false" customHeight="false" outlineLevel="0" collapsed="false">
      <c r="A1865" s="0" t="s">
        <v>316</v>
      </c>
      <c r="B1865" s="0" t="s">
        <v>317</v>
      </c>
      <c r="C1865" s="0" t="s">
        <v>30</v>
      </c>
      <c r="D1865" s="0" t="s">
        <v>275</v>
      </c>
      <c r="E1865" s="0" t="n">
        <v>4</v>
      </c>
      <c r="F1865" s="0" t="s">
        <v>43</v>
      </c>
      <c r="G1865" s="0" t="s">
        <v>45</v>
      </c>
      <c r="H1865" s="0" t="s">
        <v>45</v>
      </c>
      <c r="I1865" s="0" t="s">
        <v>34</v>
      </c>
      <c r="J1865" s="0" t="n">
        <v>1.09</v>
      </c>
      <c r="K1865" s="0" t="s">
        <v>35</v>
      </c>
      <c r="L1865" s="0" t="n">
        <f aca="false">INDEX(Summary!$F$2:$F$201,MATCH($B1865,Summary!$A$2:$A$201,0))</f>
        <v>20</v>
      </c>
      <c r="M1865" s="0" t="n">
        <f aca="false">INDEX(Summary!$I$2:$I$201,MATCH($B1865,Summary!$A$2:$A$201,0))</f>
        <v>2</v>
      </c>
      <c r="N1865" s="0" t="n">
        <f aca="false">INDEX(Summary!$J$2:$J$201,MATCH($B1865,Summary!$A$2:$A$201,0))</f>
        <v>3</v>
      </c>
      <c r="O1865" s="2" t="n">
        <f aca="false">INDEX(Summary!$K$2:$K$201,MATCH($B1865,Summary!$A$2:$A$201,0))</f>
        <v>10.74</v>
      </c>
      <c r="P1865" s="3" t="n">
        <f aca="false">INDEX(Summary!$L$2:$L$201,MATCH($B1865,Summary!$A$2:$A$201,0))</f>
        <v>4</v>
      </c>
      <c r="Q1865" s="3" t="n">
        <f aca="false">INDEX(Summary!$M$2:$M$201,MATCH($B1865,Summary!$A$2:$A$201,0))</f>
        <v>2</v>
      </c>
      <c r="R1865" s="2" t="n">
        <f aca="false">INDEX(Summary!$N$2:$N$201,MATCH($B1865,Summary!$A$2:$A$201,0))</f>
        <v>8.91</v>
      </c>
      <c r="S1865" s="3" t="n">
        <f aca="false">INDEX(Summary!$O$2:$O$201,MATCH($B1865,Summary!$A$2:$A$201,0))</f>
        <v>6</v>
      </c>
      <c r="T1865" s="3" t="n">
        <f aca="false">INDEX(Summary!$P$2:$P$201,MATCH($B1865,Summary!$A$2:$A$201,0))</f>
        <v>3</v>
      </c>
      <c r="U1865" s="2" t="n">
        <f aca="false">INDEX(Summary!$Q$2:$Q$201,MATCH($B1865,Summary!$A$2:$A$201,0))</f>
        <v>14.17</v>
      </c>
      <c r="V1865" s="2" t="n">
        <f aca="false">INDEX(Summary!$R$2:$R$201,MATCH($B1865,Summary!$A$2:$A$201,0))</f>
        <v>22.23</v>
      </c>
      <c r="W1865" s="0" t="str">
        <f aca="false">INDEX(Summary!$S$2:$S$201,MATCH($B1865,Summary!$A$2:$A$201,0))</f>
        <v>Silver</v>
      </c>
      <c r="X1865" s="2" t="n">
        <f aca="false">INDEX(Summary!$T$2:$T$201,MATCH($B1865,Summary!$A$2:$A$201,0))</f>
        <v>54.22</v>
      </c>
      <c r="Y1865" s="0" t="str">
        <f aca="false">INDEX('Reward Model'!$E$18:$E$37,MATCH($E1865,'Reward Model'!$A$18:$A$37,0))</f>
        <v>Low</v>
      </c>
      <c r="Z1865" s="4" t="n">
        <f aca="false">ROUND(MIN(1,MAX('Reward Model'!$B$2,INDEX('Reward Model'!$C$12:$C$14,MATCH($K1865,'Reward Model'!$A$12:$A$14,0))/$J1865)),3)</f>
        <v>1</v>
      </c>
      <c r="AA1865" s="2" t="n">
        <f aca="false">IF($I1865="Correct",ROUND(INDEX('Reward Model'!$B$12:$B$14,MATCH($K1865,'Reward Model'!$A$12:$A$14,0))*Z1865,2),0)</f>
        <v>1</v>
      </c>
      <c r="AB1865" s="2" t="n">
        <f aca="false">IF($I1865="Correct",ROUND(INDEX('Reward Model'!$B$12:$B$14,MATCH($Y1865,'Reward Model'!$A$12:$A$14,0))*Z1865,2),0)</f>
        <v>1</v>
      </c>
    </row>
    <row r="1866" customFormat="false" ht="15" hidden="false" customHeight="false" outlineLevel="0" collapsed="false">
      <c r="A1866" s="0" t="s">
        <v>316</v>
      </c>
      <c r="B1866" s="0" t="s">
        <v>317</v>
      </c>
      <c r="C1866" s="0" t="s">
        <v>30</v>
      </c>
      <c r="D1866" s="0" t="s">
        <v>275</v>
      </c>
      <c r="E1866" s="0" t="n">
        <v>5</v>
      </c>
      <c r="F1866" s="0" t="s">
        <v>46</v>
      </c>
      <c r="G1866" s="0" t="s">
        <v>149</v>
      </c>
      <c r="H1866" s="0" t="s">
        <v>47</v>
      </c>
      <c r="I1866" s="0" t="s">
        <v>39</v>
      </c>
      <c r="J1866" s="0" t="n">
        <v>1.64</v>
      </c>
      <c r="K1866" s="0" t="s">
        <v>35</v>
      </c>
      <c r="L1866" s="0" t="n">
        <f aca="false">INDEX(Summary!$F$2:$F$201,MATCH($B1866,Summary!$A$2:$A$201,0))</f>
        <v>20</v>
      </c>
      <c r="M1866" s="0" t="n">
        <f aca="false">INDEX(Summary!$I$2:$I$201,MATCH($B1866,Summary!$A$2:$A$201,0))</f>
        <v>2</v>
      </c>
      <c r="N1866" s="0" t="n">
        <f aca="false">INDEX(Summary!$J$2:$J$201,MATCH($B1866,Summary!$A$2:$A$201,0))</f>
        <v>3</v>
      </c>
      <c r="O1866" s="2" t="n">
        <f aca="false">INDEX(Summary!$K$2:$K$201,MATCH($B1866,Summary!$A$2:$A$201,0))</f>
        <v>10.74</v>
      </c>
      <c r="P1866" s="3" t="n">
        <f aca="false">INDEX(Summary!$L$2:$L$201,MATCH($B1866,Summary!$A$2:$A$201,0))</f>
        <v>4</v>
      </c>
      <c r="Q1866" s="3" t="n">
        <f aca="false">INDEX(Summary!$M$2:$M$201,MATCH($B1866,Summary!$A$2:$A$201,0))</f>
        <v>2</v>
      </c>
      <c r="R1866" s="2" t="n">
        <f aca="false">INDEX(Summary!$N$2:$N$201,MATCH($B1866,Summary!$A$2:$A$201,0))</f>
        <v>8.91</v>
      </c>
      <c r="S1866" s="3" t="n">
        <f aca="false">INDEX(Summary!$O$2:$O$201,MATCH($B1866,Summary!$A$2:$A$201,0))</f>
        <v>6</v>
      </c>
      <c r="T1866" s="3" t="n">
        <f aca="false">INDEX(Summary!$P$2:$P$201,MATCH($B1866,Summary!$A$2:$A$201,0))</f>
        <v>3</v>
      </c>
      <c r="U1866" s="2" t="n">
        <f aca="false">INDEX(Summary!$Q$2:$Q$201,MATCH($B1866,Summary!$A$2:$A$201,0))</f>
        <v>14.17</v>
      </c>
      <c r="V1866" s="2" t="n">
        <f aca="false">INDEX(Summary!$R$2:$R$201,MATCH($B1866,Summary!$A$2:$A$201,0))</f>
        <v>22.23</v>
      </c>
      <c r="W1866" s="0" t="str">
        <f aca="false">INDEX(Summary!$S$2:$S$201,MATCH($B1866,Summary!$A$2:$A$201,0))</f>
        <v>Silver</v>
      </c>
      <c r="X1866" s="2" t="n">
        <f aca="false">INDEX(Summary!$T$2:$T$201,MATCH($B1866,Summary!$A$2:$A$201,0))</f>
        <v>54.22</v>
      </c>
      <c r="Y1866" s="0" t="str">
        <f aca="false">INDEX('Reward Model'!$E$18:$E$37,MATCH($E1866,'Reward Model'!$A$18:$A$37,0))</f>
        <v>Low</v>
      </c>
      <c r="Z1866" s="4" t="n">
        <f aca="false">ROUND(MIN(1,MAX('Reward Model'!$B$2,INDEX('Reward Model'!$C$12:$C$14,MATCH($K1866,'Reward Model'!$A$12:$A$14,0))/$J1866)),3)</f>
        <v>0.915</v>
      </c>
      <c r="AA1866" s="2" t="n">
        <f aca="false">IF($I1866="Correct",ROUND(INDEX('Reward Model'!$B$12:$B$14,MATCH($K1866,'Reward Model'!$A$12:$A$14,0))*Z1866,2),0)</f>
        <v>0</v>
      </c>
      <c r="AB1866" s="2" t="n">
        <f aca="false">IF($I1866="Correct",ROUND(INDEX('Reward Model'!$B$12:$B$14,MATCH($Y1866,'Reward Model'!$A$12:$A$14,0))*Z1866,2),0)</f>
        <v>0</v>
      </c>
    </row>
    <row r="1867" customFormat="false" ht="15" hidden="false" customHeight="false" outlineLevel="0" collapsed="false">
      <c r="A1867" s="0" t="s">
        <v>316</v>
      </c>
      <c r="B1867" s="0" t="s">
        <v>317</v>
      </c>
      <c r="C1867" s="0" t="s">
        <v>30</v>
      </c>
      <c r="D1867" s="0" t="s">
        <v>275</v>
      </c>
      <c r="E1867" s="0" t="n">
        <v>6</v>
      </c>
      <c r="F1867" s="0" t="s">
        <v>48</v>
      </c>
      <c r="G1867" s="0" t="s">
        <v>49</v>
      </c>
      <c r="H1867" s="0" t="s">
        <v>49</v>
      </c>
      <c r="I1867" s="0" t="s">
        <v>34</v>
      </c>
      <c r="J1867" s="0" t="n">
        <v>1.67</v>
      </c>
      <c r="K1867" s="0" t="s">
        <v>35</v>
      </c>
      <c r="L1867" s="0" t="n">
        <f aca="false">INDEX(Summary!$F$2:$F$201,MATCH($B1867,Summary!$A$2:$A$201,0))</f>
        <v>20</v>
      </c>
      <c r="M1867" s="0" t="n">
        <f aca="false">INDEX(Summary!$I$2:$I$201,MATCH($B1867,Summary!$A$2:$A$201,0))</f>
        <v>2</v>
      </c>
      <c r="N1867" s="0" t="n">
        <f aca="false">INDEX(Summary!$J$2:$J$201,MATCH($B1867,Summary!$A$2:$A$201,0))</f>
        <v>3</v>
      </c>
      <c r="O1867" s="2" t="n">
        <f aca="false">INDEX(Summary!$K$2:$K$201,MATCH($B1867,Summary!$A$2:$A$201,0))</f>
        <v>10.74</v>
      </c>
      <c r="P1867" s="3" t="n">
        <f aca="false">INDEX(Summary!$L$2:$L$201,MATCH($B1867,Summary!$A$2:$A$201,0))</f>
        <v>4</v>
      </c>
      <c r="Q1867" s="3" t="n">
        <f aca="false">INDEX(Summary!$M$2:$M$201,MATCH($B1867,Summary!$A$2:$A$201,0))</f>
        <v>2</v>
      </c>
      <c r="R1867" s="2" t="n">
        <f aca="false">INDEX(Summary!$N$2:$N$201,MATCH($B1867,Summary!$A$2:$A$201,0))</f>
        <v>8.91</v>
      </c>
      <c r="S1867" s="3" t="n">
        <f aca="false">INDEX(Summary!$O$2:$O$201,MATCH($B1867,Summary!$A$2:$A$201,0))</f>
        <v>6</v>
      </c>
      <c r="T1867" s="3" t="n">
        <f aca="false">INDEX(Summary!$P$2:$P$201,MATCH($B1867,Summary!$A$2:$A$201,0))</f>
        <v>3</v>
      </c>
      <c r="U1867" s="2" t="n">
        <f aca="false">INDEX(Summary!$Q$2:$Q$201,MATCH($B1867,Summary!$A$2:$A$201,0))</f>
        <v>14.17</v>
      </c>
      <c r="V1867" s="2" t="n">
        <f aca="false">INDEX(Summary!$R$2:$R$201,MATCH($B1867,Summary!$A$2:$A$201,0))</f>
        <v>22.23</v>
      </c>
      <c r="W1867" s="0" t="str">
        <f aca="false">INDEX(Summary!$S$2:$S$201,MATCH($B1867,Summary!$A$2:$A$201,0))</f>
        <v>Silver</v>
      </c>
      <c r="X1867" s="2" t="n">
        <f aca="false">INDEX(Summary!$T$2:$T$201,MATCH($B1867,Summary!$A$2:$A$201,0))</f>
        <v>54.22</v>
      </c>
      <c r="Y1867" s="0" t="str">
        <f aca="false">INDEX('Reward Model'!$E$18:$E$37,MATCH($E1867,'Reward Model'!$A$18:$A$37,0))</f>
        <v>Medium</v>
      </c>
      <c r="Z1867" s="4" t="n">
        <f aca="false">ROUND(MIN(1,MAX('Reward Model'!$B$2,INDEX('Reward Model'!$C$12:$C$14,MATCH($K1867,'Reward Model'!$A$12:$A$14,0))/$J1867)),3)</f>
        <v>0.898</v>
      </c>
      <c r="AA1867" s="2" t="n">
        <f aca="false">IF($I1867="Correct",ROUND(INDEX('Reward Model'!$B$12:$B$14,MATCH($K1867,'Reward Model'!$A$12:$A$14,0))*Z1867,2),0)</f>
        <v>0.9</v>
      </c>
      <c r="AB1867" s="2" t="n">
        <f aca="false">IF($I1867="Correct",ROUND(INDEX('Reward Model'!$B$12:$B$14,MATCH($Y1867,'Reward Model'!$A$12:$A$14,0))*Z1867,2),0)</f>
        <v>1.8</v>
      </c>
    </row>
    <row r="1868" customFormat="false" ht="15" hidden="false" customHeight="false" outlineLevel="0" collapsed="false">
      <c r="A1868" s="0" t="s">
        <v>316</v>
      </c>
      <c r="B1868" s="0" t="s">
        <v>317</v>
      </c>
      <c r="C1868" s="0" t="s">
        <v>30</v>
      </c>
      <c r="D1868" s="0" t="s">
        <v>275</v>
      </c>
      <c r="E1868" s="0" t="n">
        <v>7</v>
      </c>
      <c r="F1868" s="0" t="s">
        <v>50</v>
      </c>
      <c r="G1868" s="0" t="s">
        <v>100</v>
      </c>
      <c r="H1868" s="0" t="s">
        <v>51</v>
      </c>
      <c r="I1868" s="0" t="s">
        <v>39</v>
      </c>
      <c r="J1868" s="0" t="n">
        <v>1.93</v>
      </c>
      <c r="K1868" s="0" t="s">
        <v>35</v>
      </c>
      <c r="L1868" s="0" t="n">
        <f aca="false">INDEX(Summary!$F$2:$F$201,MATCH($B1868,Summary!$A$2:$A$201,0))</f>
        <v>20</v>
      </c>
      <c r="M1868" s="0" t="n">
        <f aca="false">INDEX(Summary!$I$2:$I$201,MATCH($B1868,Summary!$A$2:$A$201,0))</f>
        <v>2</v>
      </c>
      <c r="N1868" s="0" t="n">
        <f aca="false">INDEX(Summary!$J$2:$J$201,MATCH($B1868,Summary!$A$2:$A$201,0))</f>
        <v>3</v>
      </c>
      <c r="O1868" s="2" t="n">
        <f aca="false">INDEX(Summary!$K$2:$K$201,MATCH($B1868,Summary!$A$2:$A$201,0))</f>
        <v>10.74</v>
      </c>
      <c r="P1868" s="3" t="n">
        <f aca="false">INDEX(Summary!$L$2:$L$201,MATCH($B1868,Summary!$A$2:$A$201,0))</f>
        <v>4</v>
      </c>
      <c r="Q1868" s="3" t="n">
        <f aca="false">INDEX(Summary!$M$2:$M$201,MATCH($B1868,Summary!$A$2:$A$201,0))</f>
        <v>2</v>
      </c>
      <c r="R1868" s="2" t="n">
        <f aca="false">INDEX(Summary!$N$2:$N$201,MATCH($B1868,Summary!$A$2:$A$201,0))</f>
        <v>8.91</v>
      </c>
      <c r="S1868" s="3" t="n">
        <f aca="false">INDEX(Summary!$O$2:$O$201,MATCH($B1868,Summary!$A$2:$A$201,0))</f>
        <v>6</v>
      </c>
      <c r="T1868" s="3" t="n">
        <f aca="false">INDEX(Summary!$P$2:$P$201,MATCH($B1868,Summary!$A$2:$A$201,0))</f>
        <v>3</v>
      </c>
      <c r="U1868" s="2" t="n">
        <f aca="false">INDEX(Summary!$Q$2:$Q$201,MATCH($B1868,Summary!$A$2:$A$201,0))</f>
        <v>14.17</v>
      </c>
      <c r="V1868" s="2" t="n">
        <f aca="false">INDEX(Summary!$R$2:$R$201,MATCH($B1868,Summary!$A$2:$A$201,0))</f>
        <v>22.23</v>
      </c>
      <c r="W1868" s="0" t="str">
        <f aca="false">INDEX(Summary!$S$2:$S$201,MATCH($B1868,Summary!$A$2:$A$201,0))</f>
        <v>Silver</v>
      </c>
      <c r="X1868" s="2" t="n">
        <f aca="false">INDEX(Summary!$T$2:$T$201,MATCH($B1868,Summary!$A$2:$A$201,0))</f>
        <v>54.22</v>
      </c>
      <c r="Y1868" s="0" t="str">
        <f aca="false">INDEX('Reward Model'!$E$18:$E$37,MATCH($E1868,'Reward Model'!$A$18:$A$37,0))</f>
        <v>Low</v>
      </c>
      <c r="Z1868" s="4" t="n">
        <f aca="false">ROUND(MIN(1,MAX('Reward Model'!$B$2,INDEX('Reward Model'!$C$12:$C$14,MATCH($K1868,'Reward Model'!$A$12:$A$14,0))/$J1868)),3)</f>
        <v>0.777</v>
      </c>
      <c r="AA1868" s="2" t="n">
        <f aca="false">IF($I1868="Correct",ROUND(INDEX('Reward Model'!$B$12:$B$14,MATCH($K1868,'Reward Model'!$A$12:$A$14,0))*Z1868,2),0)</f>
        <v>0</v>
      </c>
      <c r="AB1868" s="2" t="n">
        <f aca="false">IF($I1868="Correct",ROUND(INDEX('Reward Model'!$B$12:$B$14,MATCH($Y1868,'Reward Model'!$A$12:$A$14,0))*Z1868,2),0)</f>
        <v>0</v>
      </c>
    </row>
    <row r="1869" customFormat="false" ht="15" hidden="false" customHeight="false" outlineLevel="0" collapsed="false">
      <c r="A1869" s="0" t="s">
        <v>316</v>
      </c>
      <c r="B1869" s="0" t="s">
        <v>317</v>
      </c>
      <c r="C1869" s="0" t="s">
        <v>30</v>
      </c>
      <c r="D1869" s="0" t="s">
        <v>275</v>
      </c>
      <c r="E1869" s="0" t="n">
        <v>8</v>
      </c>
      <c r="F1869" s="0" t="s">
        <v>52</v>
      </c>
      <c r="G1869" s="0" t="s">
        <v>54</v>
      </c>
      <c r="H1869" s="0" t="s">
        <v>54</v>
      </c>
      <c r="I1869" s="0" t="s">
        <v>34</v>
      </c>
      <c r="J1869" s="0" t="n">
        <v>1.41</v>
      </c>
      <c r="K1869" s="0" t="s">
        <v>35</v>
      </c>
      <c r="L1869" s="0" t="n">
        <f aca="false">INDEX(Summary!$F$2:$F$201,MATCH($B1869,Summary!$A$2:$A$201,0))</f>
        <v>20</v>
      </c>
      <c r="M1869" s="0" t="n">
        <f aca="false">INDEX(Summary!$I$2:$I$201,MATCH($B1869,Summary!$A$2:$A$201,0))</f>
        <v>2</v>
      </c>
      <c r="N1869" s="0" t="n">
        <f aca="false">INDEX(Summary!$J$2:$J$201,MATCH($B1869,Summary!$A$2:$A$201,0))</f>
        <v>3</v>
      </c>
      <c r="O1869" s="2" t="n">
        <f aca="false">INDEX(Summary!$K$2:$K$201,MATCH($B1869,Summary!$A$2:$A$201,0))</f>
        <v>10.74</v>
      </c>
      <c r="P1869" s="3" t="n">
        <f aca="false">INDEX(Summary!$L$2:$L$201,MATCH($B1869,Summary!$A$2:$A$201,0))</f>
        <v>4</v>
      </c>
      <c r="Q1869" s="3" t="n">
        <f aca="false">INDEX(Summary!$M$2:$M$201,MATCH($B1869,Summary!$A$2:$A$201,0))</f>
        <v>2</v>
      </c>
      <c r="R1869" s="2" t="n">
        <f aca="false">INDEX(Summary!$N$2:$N$201,MATCH($B1869,Summary!$A$2:$A$201,0))</f>
        <v>8.91</v>
      </c>
      <c r="S1869" s="3" t="n">
        <f aca="false">INDEX(Summary!$O$2:$O$201,MATCH($B1869,Summary!$A$2:$A$201,0))</f>
        <v>6</v>
      </c>
      <c r="T1869" s="3" t="n">
        <f aca="false">INDEX(Summary!$P$2:$P$201,MATCH($B1869,Summary!$A$2:$A$201,0))</f>
        <v>3</v>
      </c>
      <c r="U1869" s="2" t="n">
        <f aca="false">INDEX(Summary!$Q$2:$Q$201,MATCH($B1869,Summary!$A$2:$A$201,0))</f>
        <v>14.17</v>
      </c>
      <c r="V1869" s="2" t="n">
        <f aca="false">INDEX(Summary!$R$2:$R$201,MATCH($B1869,Summary!$A$2:$A$201,0))</f>
        <v>22.23</v>
      </c>
      <c r="W1869" s="0" t="str">
        <f aca="false">INDEX(Summary!$S$2:$S$201,MATCH($B1869,Summary!$A$2:$A$201,0))</f>
        <v>Silver</v>
      </c>
      <c r="X1869" s="2" t="n">
        <f aca="false">INDEX(Summary!$T$2:$T$201,MATCH($B1869,Summary!$A$2:$A$201,0))</f>
        <v>54.22</v>
      </c>
      <c r="Y1869" s="0" t="str">
        <f aca="false">INDEX('Reward Model'!$E$18:$E$37,MATCH($E1869,'Reward Model'!$A$18:$A$37,0))</f>
        <v>Medium</v>
      </c>
      <c r="Z1869" s="4" t="n">
        <f aca="false">ROUND(MIN(1,MAX('Reward Model'!$B$2,INDEX('Reward Model'!$C$12:$C$14,MATCH($K1869,'Reward Model'!$A$12:$A$14,0))/$J1869)),3)</f>
        <v>1</v>
      </c>
      <c r="AA1869" s="2" t="n">
        <f aca="false">IF($I1869="Correct",ROUND(INDEX('Reward Model'!$B$12:$B$14,MATCH($K1869,'Reward Model'!$A$12:$A$14,0))*Z1869,2),0)</f>
        <v>1</v>
      </c>
      <c r="AB1869" s="2" t="n">
        <f aca="false">IF($I1869="Correct",ROUND(INDEX('Reward Model'!$B$12:$B$14,MATCH($Y1869,'Reward Model'!$A$12:$A$14,0))*Z1869,2),0)</f>
        <v>2</v>
      </c>
    </row>
    <row r="1870" customFormat="false" ht="15" hidden="false" customHeight="false" outlineLevel="0" collapsed="false">
      <c r="A1870" s="0" t="s">
        <v>316</v>
      </c>
      <c r="B1870" s="0" t="s">
        <v>317</v>
      </c>
      <c r="C1870" s="0" t="s">
        <v>30</v>
      </c>
      <c r="D1870" s="0" t="s">
        <v>275</v>
      </c>
      <c r="E1870" s="0" t="n">
        <v>9</v>
      </c>
      <c r="F1870" s="0" t="s">
        <v>55</v>
      </c>
      <c r="G1870" s="0" t="s">
        <v>57</v>
      </c>
      <c r="H1870" s="0" t="s">
        <v>57</v>
      </c>
      <c r="I1870" s="0" t="s">
        <v>34</v>
      </c>
      <c r="J1870" s="0" t="n">
        <v>1.45</v>
      </c>
      <c r="K1870" s="0" t="s">
        <v>35</v>
      </c>
      <c r="L1870" s="0" t="n">
        <f aca="false">INDEX(Summary!$F$2:$F$201,MATCH($B1870,Summary!$A$2:$A$201,0))</f>
        <v>20</v>
      </c>
      <c r="M1870" s="0" t="n">
        <f aca="false">INDEX(Summary!$I$2:$I$201,MATCH($B1870,Summary!$A$2:$A$201,0))</f>
        <v>2</v>
      </c>
      <c r="N1870" s="0" t="n">
        <f aca="false">INDEX(Summary!$J$2:$J$201,MATCH($B1870,Summary!$A$2:$A$201,0))</f>
        <v>3</v>
      </c>
      <c r="O1870" s="2" t="n">
        <f aca="false">INDEX(Summary!$K$2:$K$201,MATCH($B1870,Summary!$A$2:$A$201,0))</f>
        <v>10.74</v>
      </c>
      <c r="P1870" s="3" t="n">
        <f aca="false">INDEX(Summary!$L$2:$L$201,MATCH($B1870,Summary!$A$2:$A$201,0))</f>
        <v>4</v>
      </c>
      <c r="Q1870" s="3" t="n">
        <f aca="false">INDEX(Summary!$M$2:$M$201,MATCH($B1870,Summary!$A$2:$A$201,0))</f>
        <v>2</v>
      </c>
      <c r="R1870" s="2" t="n">
        <f aca="false">INDEX(Summary!$N$2:$N$201,MATCH($B1870,Summary!$A$2:$A$201,0))</f>
        <v>8.91</v>
      </c>
      <c r="S1870" s="3" t="n">
        <f aca="false">INDEX(Summary!$O$2:$O$201,MATCH($B1870,Summary!$A$2:$A$201,0))</f>
        <v>6</v>
      </c>
      <c r="T1870" s="3" t="n">
        <f aca="false">INDEX(Summary!$P$2:$P$201,MATCH($B1870,Summary!$A$2:$A$201,0))</f>
        <v>3</v>
      </c>
      <c r="U1870" s="2" t="n">
        <f aca="false">INDEX(Summary!$Q$2:$Q$201,MATCH($B1870,Summary!$A$2:$A$201,0))</f>
        <v>14.17</v>
      </c>
      <c r="V1870" s="2" t="n">
        <f aca="false">INDEX(Summary!$R$2:$R$201,MATCH($B1870,Summary!$A$2:$A$201,0))</f>
        <v>22.23</v>
      </c>
      <c r="W1870" s="0" t="str">
        <f aca="false">INDEX(Summary!$S$2:$S$201,MATCH($B1870,Summary!$A$2:$A$201,0))</f>
        <v>Silver</v>
      </c>
      <c r="X1870" s="2" t="n">
        <f aca="false">INDEX(Summary!$T$2:$T$201,MATCH($B1870,Summary!$A$2:$A$201,0))</f>
        <v>54.22</v>
      </c>
      <c r="Y1870" s="0" t="str">
        <f aca="false">INDEX('Reward Model'!$E$18:$E$37,MATCH($E1870,'Reward Model'!$A$18:$A$37,0))</f>
        <v>Medium</v>
      </c>
      <c r="Z1870" s="4" t="n">
        <f aca="false">ROUND(MIN(1,MAX('Reward Model'!$B$2,INDEX('Reward Model'!$C$12:$C$14,MATCH($K1870,'Reward Model'!$A$12:$A$14,0))/$J1870)),3)</f>
        <v>1</v>
      </c>
      <c r="AA1870" s="2" t="n">
        <f aca="false">IF($I1870="Correct",ROUND(INDEX('Reward Model'!$B$12:$B$14,MATCH($K1870,'Reward Model'!$A$12:$A$14,0))*Z1870,2),0)</f>
        <v>1</v>
      </c>
      <c r="AB1870" s="2" t="n">
        <f aca="false">IF($I1870="Correct",ROUND(INDEX('Reward Model'!$B$12:$B$14,MATCH($Y1870,'Reward Model'!$A$12:$A$14,0))*Z1870,2),0)</f>
        <v>2</v>
      </c>
    </row>
    <row r="1871" customFormat="false" ht="15" hidden="false" customHeight="false" outlineLevel="0" collapsed="false">
      <c r="A1871" s="0" t="s">
        <v>316</v>
      </c>
      <c r="B1871" s="0" t="s">
        <v>317</v>
      </c>
      <c r="C1871" s="0" t="s">
        <v>30</v>
      </c>
      <c r="D1871" s="0" t="s">
        <v>275</v>
      </c>
      <c r="E1871" s="0" t="n">
        <v>10</v>
      </c>
      <c r="F1871" s="0" t="s">
        <v>58</v>
      </c>
      <c r="G1871" s="0" t="s">
        <v>59</v>
      </c>
      <c r="H1871" s="0" t="s">
        <v>59</v>
      </c>
      <c r="I1871" s="0" t="s">
        <v>34</v>
      </c>
      <c r="J1871" s="0" t="n">
        <v>1.39</v>
      </c>
      <c r="K1871" s="0" t="s">
        <v>60</v>
      </c>
      <c r="L1871" s="0" t="n">
        <f aca="false">INDEX(Summary!$F$2:$F$201,MATCH($B1871,Summary!$A$2:$A$201,0))</f>
        <v>20</v>
      </c>
      <c r="M1871" s="0" t="n">
        <f aca="false">INDEX(Summary!$I$2:$I$201,MATCH($B1871,Summary!$A$2:$A$201,0))</f>
        <v>2</v>
      </c>
      <c r="N1871" s="0" t="n">
        <f aca="false">INDEX(Summary!$J$2:$J$201,MATCH($B1871,Summary!$A$2:$A$201,0))</f>
        <v>3</v>
      </c>
      <c r="O1871" s="2" t="n">
        <f aca="false">INDEX(Summary!$K$2:$K$201,MATCH($B1871,Summary!$A$2:$A$201,0))</f>
        <v>10.74</v>
      </c>
      <c r="P1871" s="3" t="n">
        <f aca="false">INDEX(Summary!$L$2:$L$201,MATCH($B1871,Summary!$A$2:$A$201,0))</f>
        <v>4</v>
      </c>
      <c r="Q1871" s="3" t="n">
        <f aca="false">INDEX(Summary!$M$2:$M$201,MATCH($B1871,Summary!$A$2:$A$201,0))</f>
        <v>2</v>
      </c>
      <c r="R1871" s="2" t="n">
        <f aca="false">INDEX(Summary!$N$2:$N$201,MATCH($B1871,Summary!$A$2:$A$201,0))</f>
        <v>8.91</v>
      </c>
      <c r="S1871" s="3" t="n">
        <f aca="false">INDEX(Summary!$O$2:$O$201,MATCH($B1871,Summary!$A$2:$A$201,0))</f>
        <v>6</v>
      </c>
      <c r="T1871" s="3" t="n">
        <f aca="false">INDEX(Summary!$P$2:$P$201,MATCH($B1871,Summary!$A$2:$A$201,0))</f>
        <v>3</v>
      </c>
      <c r="U1871" s="2" t="n">
        <f aca="false">INDEX(Summary!$Q$2:$Q$201,MATCH($B1871,Summary!$A$2:$A$201,0))</f>
        <v>14.17</v>
      </c>
      <c r="V1871" s="2" t="n">
        <f aca="false">INDEX(Summary!$R$2:$R$201,MATCH($B1871,Summary!$A$2:$A$201,0))</f>
        <v>22.23</v>
      </c>
      <c r="W1871" s="0" t="str">
        <f aca="false">INDEX(Summary!$S$2:$S$201,MATCH($B1871,Summary!$A$2:$A$201,0))</f>
        <v>Silver</v>
      </c>
      <c r="X1871" s="2" t="n">
        <f aca="false">INDEX(Summary!$T$2:$T$201,MATCH($B1871,Summary!$A$2:$A$201,0))</f>
        <v>54.22</v>
      </c>
      <c r="Y1871" s="0" t="str">
        <f aca="false">INDEX('Reward Model'!$E$18:$E$37,MATCH($E1871,'Reward Model'!$A$18:$A$37,0))</f>
        <v>Medium</v>
      </c>
      <c r="Z1871" s="4" t="n">
        <f aca="false">ROUND(MIN(1,MAX('Reward Model'!$B$2,INDEX('Reward Model'!$C$12:$C$14,MATCH($K1871,'Reward Model'!$A$12:$A$14,0))/$J1871)),3)</f>
        <v>1</v>
      </c>
      <c r="AA1871" s="2" t="n">
        <f aca="false">IF($I1871="Correct",ROUND(INDEX('Reward Model'!$B$12:$B$14,MATCH($K1871,'Reward Model'!$A$12:$A$14,0))*Z1871,2),0)</f>
        <v>2</v>
      </c>
      <c r="AB1871" s="2" t="n">
        <f aca="false">IF($I1871="Correct",ROUND(INDEX('Reward Model'!$B$12:$B$14,MATCH($Y1871,'Reward Model'!$A$12:$A$14,0))*Z1871,2),0)</f>
        <v>2</v>
      </c>
    </row>
    <row r="1872" customFormat="false" ht="15" hidden="false" customHeight="false" outlineLevel="0" collapsed="false">
      <c r="A1872" s="0" t="s">
        <v>316</v>
      </c>
      <c r="B1872" s="0" t="s">
        <v>317</v>
      </c>
      <c r="C1872" s="0" t="s">
        <v>30</v>
      </c>
      <c r="D1872" s="0" t="s">
        <v>275</v>
      </c>
      <c r="E1872" s="0" t="n">
        <v>11</v>
      </c>
      <c r="F1872" s="0" t="s">
        <v>61</v>
      </c>
      <c r="G1872" s="0" t="s">
        <v>63</v>
      </c>
      <c r="H1872" s="0" t="s">
        <v>63</v>
      </c>
      <c r="I1872" s="0" t="s">
        <v>34</v>
      </c>
      <c r="J1872" s="0" t="n">
        <v>1.82</v>
      </c>
      <c r="K1872" s="0" t="s">
        <v>60</v>
      </c>
      <c r="L1872" s="0" t="n">
        <f aca="false">INDEX(Summary!$F$2:$F$201,MATCH($B1872,Summary!$A$2:$A$201,0))</f>
        <v>20</v>
      </c>
      <c r="M1872" s="0" t="n">
        <f aca="false">INDEX(Summary!$I$2:$I$201,MATCH($B1872,Summary!$A$2:$A$201,0))</f>
        <v>2</v>
      </c>
      <c r="N1872" s="0" t="n">
        <f aca="false">INDEX(Summary!$J$2:$J$201,MATCH($B1872,Summary!$A$2:$A$201,0))</f>
        <v>3</v>
      </c>
      <c r="O1872" s="2" t="n">
        <f aca="false">INDEX(Summary!$K$2:$K$201,MATCH($B1872,Summary!$A$2:$A$201,0))</f>
        <v>10.74</v>
      </c>
      <c r="P1872" s="3" t="n">
        <f aca="false">INDEX(Summary!$L$2:$L$201,MATCH($B1872,Summary!$A$2:$A$201,0))</f>
        <v>4</v>
      </c>
      <c r="Q1872" s="3" t="n">
        <f aca="false">INDEX(Summary!$M$2:$M$201,MATCH($B1872,Summary!$A$2:$A$201,0))</f>
        <v>2</v>
      </c>
      <c r="R1872" s="2" t="n">
        <f aca="false">INDEX(Summary!$N$2:$N$201,MATCH($B1872,Summary!$A$2:$A$201,0))</f>
        <v>8.91</v>
      </c>
      <c r="S1872" s="3" t="n">
        <f aca="false">INDEX(Summary!$O$2:$O$201,MATCH($B1872,Summary!$A$2:$A$201,0))</f>
        <v>6</v>
      </c>
      <c r="T1872" s="3" t="n">
        <f aca="false">INDEX(Summary!$P$2:$P$201,MATCH($B1872,Summary!$A$2:$A$201,0))</f>
        <v>3</v>
      </c>
      <c r="U1872" s="2" t="n">
        <f aca="false">INDEX(Summary!$Q$2:$Q$201,MATCH($B1872,Summary!$A$2:$A$201,0))</f>
        <v>14.17</v>
      </c>
      <c r="V1872" s="2" t="n">
        <f aca="false">INDEX(Summary!$R$2:$R$201,MATCH($B1872,Summary!$A$2:$A$201,0))</f>
        <v>22.23</v>
      </c>
      <c r="W1872" s="0" t="str">
        <f aca="false">INDEX(Summary!$S$2:$S$201,MATCH($B1872,Summary!$A$2:$A$201,0))</f>
        <v>Silver</v>
      </c>
      <c r="X1872" s="2" t="n">
        <f aca="false">INDEX(Summary!$T$2:$T$201,MATCH($B1872,Summary!$A$2:$A$201,0))</f>
        <v>54.22</v>
      </c>
      <c r="Y1872" s="0" t="str">
        <f aca="false">INDEX('Reward Model'!$E$18:$E$37,MATCH($E1872,'Reward Model'!$A$18:$A$37,0))</f>
        <v>Medium</v>
      </c>
      <c r="Z1872" s="4" t="n">
        <f aca="false">ROUND(MIN(1,MAX('Reward Model'!$B$2,INDEX('Reward Model'!$C$12:$C$14,MATCH($K1872,'Reward Model'!$A$12:$A$14,0))/$J1872)),3)</f>
        <v>0.989</v>
      </c>
      <c r="AA1872" s="2" t="n">
        <f aca="false">IF($I1872="Correct",ROUND(INDEX('Reward Model'!$B$12:$B$14,MATCH($K1872,'Reward Model'!$A$12:$A$14,0))*Z1872,2),0)</f>
        <v>1.98</v>
      </c>
      <c r="AB1872" s="2" t="n">
        <f aca="false">IF($I1872="Correct",ROUND(INDEX('Reward Model'!$B$12:$B$14,MATCH($Y1872,'Reward Model'!$A$12:$A$14,0))*Z1872,2),0)</f>
        <v>1.98</v>
      </c>
    </row>
    <row r="1873" customFormat="false" ht="15" hidden="false" customHeight="false" outlineLevel="0" collapsed="false">
      <c r="A1873" s="0" t="s">
        <v>316</v>
      </c>
      <c r="B1873" s="0" t="s">
        <v>317</v>
      </c>
      <c r="C1873" s="0" t="s">
        <v>30</v>
      </c>
      <c r="D1873" s="0" t="s">
        <v>275</v>
      </c>
      <c r="E1873" s="0" t="n">
        <v>12</v>
      </c>
      <c r="F1873" s="0" t="s">
        <v>64</v>
      </c>
      <c r="G1873" s="0" t="s">
        <v>65</v>
      </c>
      <c r="H1873" s="0" t="s">
        <v>65</v>
      </c>
      <c r="I1873" s="0" t="s">
        <v>34</v>
      </c>
      <c r="J1873" s="0" t="n">
        <v>1.23</v>
      </c>
      <c r="K1873" s="0" t="s">
        <v>60</v>
      </c>
      <c r="L1873" s="0" t="n">
        <f aca="false">INDEX(Summary!$F$2:$F$201,MATCH($B1873,Summary!$A$2:$A$201,0))</f>
        <v>20</v>
      </c>
      <c r="M1873" s="0" t="n">
        <f aca="false">INDEX(Summary!$I$2:$I$201,MATCH($B1873,Summary!$A$2:$A$201,0))</f>
        <v>2</v>
      </c>
      <c r="N1873" s="0" t="n">
        <f aca="false">INDEX(Summary!$J$2:$J$201,MATCH($B1873,Summary!$A$2:$A$201,0))</f>
        <v>3</v>
      </c>
      <c r="O1873" s="2" t="n">
        <f aca="false">INDEX(Summary!$K$2:$K$201,MATCH($B1873,Summary!$A$2:$A$201,0))</f>
        <v>10.74</v>
      </c>
      <c r="P1873" s="3" t="n">
        <f aca="false">INDEX(Summary!$L$2:$L$201,MATCH($B1873,Summary!$A$2:$A$201,0))</f>
        <v>4</v>
      </c>
      <c r="Q1873" s="3" t="n">
        <f aca="false">INDEX(Summary!$M$2:$M$201,MATCH($B1873,Summary!$A$2:$A$201,0))</f>
        <v>2</v>
      </c>
      <c r="R1873" s="2" t="n">
        <f aca="false">INDEX(Summary!$N$2:$N$201,MATCH($B1873,Summary!$A$2:$A$201,0))</f>
        <v>8.91</v>
      </c>
      <c r="S1873" s="3" t="n">
        <f aca="false">INDEX(Summary!$O$2:$O$201,MATCH($B1873,Summary!$A$2:$A$201,0))</f>
        <v>6</v>
      </c>
      <c r="T1873" s="3" t="n">
        <f aca="false">INDEX(Summary!$P$2:$P$201,MATCH($B1873,Summary!$A$2:$A$201,0))</f>
        <v>3</v>
      </c>
      <c r="U1873" s="2" t="n">
        <f aca="false">INDEX(Summary!$Q$2:$Q$201,MATCH($B1873,Summary!$A$2:$A$201,0))</f>
        <v>14.17</v>
      </c>
      <c r="V1873" s="2" t="n">
        <f aca="false">INDEX(Summary!$R$2:$R$201,MATCH($B1873,Summary!$A$2:$A$201,0))</f>
        <v>22.23</v>
      </c>
      <c r="W1873" s="0" t="str">
        <f aca="false">INDEX(Summary!$S$2:$S$201,MATCH($B1873,Summary!$A$2:$A$201,0))</f>
        <v>Silver</v>
      </c>
      <c r="X1873" s="2" t="n">
        <f aca="false">INDEX(Summary!$T$2:$T$201,MATCH($B1873,Summary!$A$2:$A$201,0))</f>
        <v>54.22</v>
      </c>
      <c r="Y1873" s="0" t="str">
        <f aca="false">INDEX('Reward Model'!$E$18:$E$37,MATCH($E1873,'Reward Model'!$A$18:$A$37,0))</f>
        <v>Medium</v>
      </c>
      <c r="Z1873" s="4" t="n">
        <f aca="false">ROUND(MIN(1,MAX('Reward Model'!$B$2,INDEX('Reward Model'!$C$12:$C$14,MATCH($K1873,'Reward Model'!$A$12:$A$14,0))/$J1873)),3)</f>
        <v>1</v>
      </c>
      <c r="AA1873" s="2" t="n">
        <f aca="false">IF($I1873="Correct",ROUND(INDEX('Reward Model'!$B$12:$B$14,MATCH($K1873,'Reward Model'!$A$12:$A$14,0))*Z1873,2),0)</f>
        <v>2</v>
      </c>
      <c r="AB1873" s="2" t="n">
        <f aca="false">IF($I1873="Correct",ROUND(INDEX('Reward Model'!$B$12:$B$14,MATCH($Y1873,'Reward Model'!$A$12:$A$14,0))*Z1873,2),0)</f>
        <v>2</v>
      </c>
    </row>
    <row r="1874" customFormat="false" ht="15" hidden="false" customHeight="false" outlineLevel="0" collapsed="false">
      <c r="A1874" s="0" t="s">
        <v>316</v>
      </c>
      <c r="B1874" s="0" t="s">
        <v>317</v>
      </c>
      <c r="C1874" s="0" t="s">
        <v>30</v>
      </c>
      <c r="D1874" s="0" t="s">
        <v>275</v>
      </c>
      <c r="E1874" s="0" t="n">
        <v>13</v>
      </c>
      <c r="F1874" s="0" t="s">
        <v>66</v>
      </c>
      <c r="G1874" s="0" t="s">
        <v>67</v>
      </c>
      <c r="H1874" s="0" t="s">
        <v>67</v>
      </c>
      <c r="I1874" s="0" t="s">
        <v>34</v>
      </c>
      <c r="J1874" s="0" t="n">
        <v>1.26</v>
      </c>
      <c r="K1874" s="0" t="s">
        <v>60</v>
      </c>
      <c r="L1874" s="0" t="n">
        <f aca="false">INDEX(Summary!$F$2:$F$201,MATCH($B1874,Summary!$A$2:$A$201,0))</f>
        <v>20</v>
      </c>
      <c r="M1874" s="0" t="n">
        <f aca="false">INDEX(Summary!$I$2:$I$201,MATCH($B1874,Summary!$A$2:$A$201,0))</f>
        <v>2</v>
      </c>
      <c r="N1874" s="0" t="n">
        <f aca="false">INDEX(Summary!$J$2:$J$201,MATCH($B1874,Summary!$A$2:$A$201,0))</f>
        <v>3</v>
      </c>
      <c r="O1874" s="2" t="n">
        <f aca="false">INDEX(Summary!$K$2:$K$201,MATCH($B1874,Summary!$A$2:$A$201,0))</f>
        <v>10.74</v>
      </c>
      <c r="P1874" s="3" t="n">
        <f aca="false">INDEX(Summary!$L$2:$L$201,MATCH($B1874,Summary!$A$2:$A$201,0))</f>
        <v>4</v>
      </c>
      <c r="Q1874" s="3" t="n">
        <f aca="false">INDEX(Summary!$M$2:$M$201,MATCH($B1874,Summary!$A$2:$A$201,0))</f>
        <v>2</v>
      </c>
      <c r="R1874" s="2" t="n">
        <f aca="false">INDEX(Summary!$N$2:$N$201,MATCH($B1874,Summary!$A$2:$A$201,0))</f>
        <v>8.91</v>
      </c>
      <c r="S1874" s="3" t="n">
        <f aca="false">INDEX(Summary!$O$2:$O$201,MATCH($B1874,Summary!$A$2:$A$201,0))</f>
        <v>6</v>
      </c>
      <c r="T1874" s="3" t="n">
        <f aca="false">INDEX(Summary!$P$2:$P$201,MATCH($B1874,Summary!$A$2:$A$201,0))</f>
        <v>3</v>
      </c>
      <c r="U1874" s="2" t="n">
        <f aca="false">INDEX(Summary!$Q$2:$Q$201,MATCH($B1874,Summary!$A$2:$A$201,0))</f>
        <v>14.17</v>
      </c>
      <c r="V1874" s="2" t="n">
        <f aca="false">INDEX(Summary!$R$2:$R$201,MATCH($B1874,Summary!$A$2:$A$201,0))</f>
        <v>22.23</v>
      </c>
      <c r="W1874" s="0" t="str">
        <f aca="false">INDEX(Summary!$S$2:$S$201,MATCH($B1874,Summary!$A$2:$A$201,0))</f>
        <v>Silver</v>
      </c>
      <c r="X1874" s="2" t="n">
        <f aca="false">INDEX(Summary!$T$2:$T$201,MATCH($B1874,Summary!$A$2:$A$201,0))</f>
        <v>54.22</v>
      </c>
      <c r="Y1874" s="0" t="str">
        <f aca="false">INDEX('Reward Model'!$E$18:$E$37,MATCH($E1874,'Reward Model'!$A$18:$A$37,0))</f>
        <v>Medium</v>
      </c>
      <c r="Z1874" s="4" t="n">
        <f aca="false">ROUND(MIN(1,MAX('Reward Model'!$B$2,INDEX('Reward Model'!$C$12:$C$14,MATCH($K1874,'Reward Model'!$A$12:$A$14,0))/$J1874)),3)</f>
        <v>1</v>
      </c>
      <c r="AA1874" s="2" t="n">
        <f aca="false">IF($I1874="Correct",ROUND(INDEX('Reward Model'!$B$12:$B$14,MATCH($K1874,'Reward Model'!$A$12:$A$14,0))*Z1874,2),0)</f>
        <v>2</v>
      </c>
      <c r="AB1874" s="2" t="n">
        <f aca="false">IF($I1874="Correct",ROUND(INDEX('Reward Model'!$B$12:$B$14,MATCH($Y1874,'Reward Model'!$A$12:$A$14,0))*Z1874,2),0)</f>
        <v>2</v>
      </c>
    </row>
    <row r="1875" customFormat="false" ht="15" hidden="false" customHeight="false" outlineLevel="0" collapsed="false">
      <c r="A1875" s="0" t="s">
        <v>316</v>
      </c>
      <c r="B1875" s="0" t="s">
        <v>317</v>
      </c>
      <c r="C1875" s="0" t="s">
        <v>30</v>
      </c>
      <c r="D1875" s="0" t="s">
        <v>275</v>
      </c>
      <c r="E1875" s="0" t="n">
        <v>14</v>
      </c>
      <c r="F1875" s="0" t="s">
        <v>68</v>
      </c>
      <c r="G1875" s="0" t="s">
        <v>86</v>
      </c>
      <c r="H1875" s="0" t="s">
        <v>51</v>
      </c>
      <c r="I1875" s="0" t="s">
        <v>39</v>
      </c>
      <c r="J1875" s="0" t="n">
        <v>1.53</v>
      </c>
      <c r="K1875" s="0" t="s">
        <v>60</v>
      </c>
      <c r="L1875" s="0" t="n">
        <f aca="false">INDEX(Summary!$F$2:$F$201,MATCH($B1875,Summary!$A$2:$A$201,0))</f>
        <v>20</v>
      </c>
      <c r="M1875" s="0" t="n">
        <f aca="false">INDEX(Summary!$I$2:$I$201,MATCH($B1875,Summary!$A$2:$A$201,0))</f>
        <v>2</v>
      </c>
      <c r="N1875" s="0" t="n">
        <f aca="false">INDEX(Summary!$J$2:$J$201,MATCH($B1875,Summary!$A$2:$A$201,0))</f>
        <v>3</v>
      </c>
      <c r="O1875" s="2" t="n">
        <f aca="false">INDEX(Summary!$K$2:$K$201,MATCH($B1875,Summary!$A$2:$A$201,0))</f>
        <v>10.74</v>
      </c>
      <c r="P1875" s="3" t="n">
        <f aca="false">INDEX(Summary!$L$2:$L$201,MATCH($B1875,Summary!$A$2:$A$201,0))</f>
        <v>4</v>
      </c>
      <c r="Q1875" s="3" t="n">
        <f aca="false">INDEX(Summary!$M$2:$M$201,MATCH($B1875,Summary!$A$2:$A$201,0))</f>
        <v>2</v>
      </c>
      <c r="R1875" s="2" t="n">
        <f aca="false">INDEX(Summary!$N$2:$N$201,MATCH($B1875,Summary!$A$2:$A$201,0))</f>
        <v>8.91</v>
      </c>
      <c r="S1875" s="3" t="n">
        <f aca="false">INDEX(Summary!$O$2:$O$201,MATCH($B1875,Summary!$A$2:$A$201,0))</f>
        <v>6</v>
      </c>
      <c r="T1875" s="3" t="n">
        <f aca="false">INDEX(Summary!$P$2:$P$201,MATCH($B1875,Summary!$A$2:$A$201,0))</f>
        <v>3</v>
      </c>
      <c r="U1875" s="2" t="n">
        <f aca="false">INDEX(Summary!$Q$2:$Q$201,MATCH($B1875,Summary!$A$2:$A$201,0))</f>
        <v>14.17</v>
      </c>
      <c r="V1875" s="2" t="n">
        <f aca="false">INDEX(Summary!$R$2:$R$201,MATCH($B1875,Summary!$A$2:$A$201,0))</f>
        <v>22.23</v>
      </c>
      <c r="W1875" s="0" t="str">
        <f aca="false">INDEX(Summary!$S$2:$S$201,MATCH($B1875,Summary!$A$2:$A$201,0))</f>
        <v>Silver</v>
      </c>
      <c r="X1875" s="2" t="n">
        <f aca="false">INDEX(Summary!$T$2:$T$201,MATCH($B1875,Summary!$A$2:$A$201,0))</f>
        <v>54.22</v>
      </c>
      <c r="Y1875" s="0" t="str">
        <f aca="false">INDEX('Reward Model'!$E$18:$E$37,MATCH($E1875,'Reward Model'!$A$18:$A$37,0))</f>
        <v>Medium</v>
      </c>
      <c r="Z1875" s="4" t="n">
        <f aca="false">ROUND(MIN(1,MAX('Reward Model'!$B$2,INDEX('Reward Model'!$C$12:$C$14,MATCH($K1875,'Reward Model'!$A$12:$A$14,0))/$J1875)),3)</f>
        <v>1</v>
      </c>
      <c r="AA1875" s="2" t="n">
        <f aca="false">IF($I1875="Correct",ROUND(INDEX('Reward Model'!$B$12:$B$14,MATCH($K1875,'Reward Model'!$A$12:$A$14,0))*Z1875,2),0)</f>
        <v>0</v>
      </c>
      <c r="AB1875" s="2" t="n">
        <f aca="false">IF($I1875="Correct",ROUND(INDEX('Reward Model'!$B$12:$B$14,MATCH($Y1875,'Reward Model'!$A$12:$A$14,0))*Z1875,2),0)</f>
        <v>0</v>
      </c>
    </row>
    <row r="1876" customFormat="false" ht="15" hidden="false" customHeight="false" outlineLevel="0" collapsed="false">
      <c r="A1876" s="0" t="s">
        <v>316</v>
      </c>
      <c r="B1876" s="0" t="s">
        <v>317</v>
      </c>
      <c r="C1876" s="0" t="s">
        <v>30</v>
      </c>
      <c r="D1876" s="0" t="s">
        <v>275</v>
      </c>
      <c r="E1876" s="0" t="n">
        <v>15</v>
      </c>
      <c r="F1876" s="0" t="s">
        <v>69</v>
      </c>
      <c r="G1876" s="0" t="s">
        <v>94</v>
      </c>
      <c r="H1876" s="0" t="s">
        <v>70</v>
      </c>
      <c r="I1876" s="0" t="s">
        <v>39</v>
      </c>
      <c r="J1876" s="0" t="n">
        <v>1.68</v>
      </c>
      <c r="K1876" s="0" t="s">
        <v>60</v>
      </c>
      <c r="L1876" s="0" t="n">
        <f aca="false">INDEX(Summary!$F$2:$F$201,MATCH($B1876,Summary!$A$2:$A$201,0))</f>
        <v>20</v>
      </c>
      <c r="M1876" s="0" t="n">
        <f aca="false">INDEX(Summary!$I$2:$I$201,MATCH($B1876,Summary!$A$2:$A$201,0))</f>
        <v>2</v>
      </c>
      <c r="N1876" s="0" t="n">
        <f aca="false">INDEX(Summary!$J$2:$J$201,MATCH($B1876,Summary!$A$2:$A$201,0))</f>
        <v>3</v>
      </c>
      <c r="O1876" s="2" t="n">
        <f aca="false">INDEX(Summary!$K$2:$K$201,MATCH($B1876,Summary!$A$2:$A$201,0))</f>
        <v>10.74</v>
      </c>
      <c r="P1876" s="3" t="n">
        <f aca="false">INDEX(Summary!$L$2:$L$201,MATCH($B1876,Summary!$A$2:$A$201,0))</f>
        <v>4</v>
      </c>
      <c r="Q1876" s="3" t="n">
        <f aca="false">INDEX(Summary!$M$2:$M$201,MATCH($B1876,Summary!$A$2:$A$201,0))</f>
        <v>2</v>
      </c>
      <c r="R1876" s="2" t="n">
        <f aca="false">INDEX(Summary!$N$2:$N$201,MATCH($B1876,Summary!$A$2:$A$201,0))</f>
        <v>8.91</v>
      </c>
      <c r="S1876" s="3" t="n">
        <f aca="false">INDEX(Summary!$O$2:$O$201,MATCH($B1876,Summary!$A$2:$A$201,0))</f>
        <v>6</v>
      </c>
      <c r="T1876" s="3" t="n">
        <f aca="false">INDEX(Summary!$P$2:$P$201,MATCH($B1876,Summary!$A$2:$A$201,0))</f>
        <v>3</v>
      </c>
      <c r="U1876" s="2" t="n">
        <f aca="false">INDEX(Summary!$Q$2:$Q$201,MATCH($B1876,Summary!$A$2:$A$201,0))</f>
        <v>14.17</v>
      </c>
      <c r="V1876" s="2" t="n">
        <f aca="false">INDEX(Summary!$R$2:$R$201,MATCH($B1876,Summary!$A$2:$A$201,0))</f>
        <v>22.23</v>
      </c>
      <c r="W1876" s="0" t="str">
        <f aca="false">INDEX(Summary!$S$2:$S$201,MATCH($B1876,Summary!$A$2:$A$201,0))</f>
        <v>Silver</v>
      </c>
      <c r="X1876" s="2" t="n">
        <f aca="false">INDEX(Summary!$T$2:$T$201,MATCH($B1876,Summary!$A$2:$A$201,0))</f>
        <v>54.22</v>
      </c>
      <c r="Y1876" s="0" t="str">
        <f aca="false">INDEX('Reward Model'!$E$18:$E$37,MATCH($E1876,'Reward Model'!$A$18:$A$37,0))</f>
        <v>Medium</v>
      </c>
      <c r="Z1876" s="4" t="n">
        <f aca="false">ROUND(MIN(1,MAX('Reward Model'!$B$2,INDEX('Reward Model'!$C$12:$C$14,MATCH($K1876,'Reward Model'!$A$12:$A$14,0))/$J1876)),3)</f>
        <v>1</v>
      </c>
      <c r="AA1876" s="2" t="n">
        <f aca="false">IF($I1876="Correct",ROUND(INDEX('Reward Model'!$B$12:$B$14,MATCH($K1876,'Reward Model'!$A$12:$A$14,0))*Z1876,2),0)</f>
        <v>0</v>
      </c>
      <c r="AB1876" s="2" t="n">
        <f aca="false">IF($I1876="Correct",ROUND(INDEX('Reward Model'!$B$12:$B$14,MATCH($Y1876,'Reward Model'!$A$12:$A$14,0))*Z1876,2),0)</f>
        <v>0</v>
      </c>
    </row>
    <row r="1877" customFormat="false" ht="15" hidden="false" customHeight="false" outlineLevel="0" collapsed="false">
      <c r="A1877" s="0" t="s">
        <v>316</v>
      </c>
      <c r="B1877" s="0" t="s">
        <v>317</v>
      </c>
      <c r="C1877" s="0" t="s">
        <v>30</v>
      </c>
      <c r="D1877" s="0" t="s">
        <v>275</v>
      </c>
      <c r="E1877" s="0" t="n">
        <v>16</v>
      </c>
      <c r="F1877" s="0" t="s">
        <v>71</v>
      </c>
      <c r="G1877" s="0" t="s">
        <v>72</v>
      </c>
      <c r="H1877" s="0" t="s">
        <v>72</v>
      </c>
      <c r="I1877" s="0" t="s">
        <v>34</v>
      </c>
      <c r="J1877" s="0" t="n">
        <v>2.36</v>
      </c>
      <c r="K1877" s="0" t="s">
        <v>73</v>
      </c>
      <c r="L1877" s="0" t="n">
        <f aca="false">INDEX(Summary!$F$2:$F$201,MATCH($B1877,Summary!$A$2:$A$201,0))</f>
        <v>20</v>
      </c>
      <c r="M1877" s="0" t="n">
        <f aca="false">INDEX(Summary!$I$2:$I$201,MATCH($B1877,Summary!$A$2:$A$201,0))</f>
        <v>2</v>
      </c>
      <c r="N1877" s="0" t="n">
        <f aca="false">INDEX(Summary!$J$2:$J$201,MATCH($B1877,Summary!$A$2:$A$201,0))</f>
        <v>3</v>
      </c>
      <c r="O1877" s="2" t="n">
        <f aca="false">INDEX(Summary!$K$2:$K$201,MATCH($B1877,Summary!$A$2:$A$201,0))</f>
        <v>10.74</v>
      </c>
      <c r="P1877" s="3" t="n">
        <f aca="false">INDEX(Summary!$L$2:$L$201,MATCH($B1877,Summary!$A$2:$A$201,0))</f>
        <v>4</v>
      </c>
      <c r="Q1877" s="3" t="n">
        <f aca="false">INDEX(Summary!$M$2:$M$201,MATCH($B1877,Summary!$A$2:$A$201,0))</f>
        <v>2</v>
      </c>
      <c r="R1877" s="2" t="n">
        <f aca="false">INDEX(Summary!$N$2:$N$201,MATCH($B1877,Summary!$A$2:$A$201,0))</f>
        <v>8.91</v>
      </c>
      <c r="S1877" s="3" t="n">
        <f aca="false">INDEX(Summary!$O$2:$O$201,MATCH($B1877,Summary!$A$2:$A$201,0))</f>
        <v>6</v>
      </c>
      <c r="T1877" s="3" t="n">
        <f aca="false">INDEX(Summary!$P$2:$P$201,MATCH($B1877,Summary!$A$2:$A$201,0))</f>
        <v>3</v>
      </c>
      <c r="U1877" s="2" t="n">
        <f aca="false">INDEX(Summary!$Q$2:$Q$201,MATCH($B1877,Summary!$A$2:$A$201,0))</f>
        <v>14.17</v>
      </c>
      <c r="V1877" s="2" t="n">
        <f aca="false">INDEX(Summary!$R$2:$R$201,MATCH($B1877,Summary!$A$2:$A$201,0))</f>
        <v>22.23</v>
      </c>
      <c r="W1877" s="0" t="str">
        <f aca="false">INDEX(Summary!$S$2:$S$201,MATCH($B1877,Summary!$A$2:$A$201,0))</f>
        <v>Silver</v>
      </c>
      <c r="X1877" s="2" t="n">
        <f aca="false">INDEX(Summary!$T$2:$T$201,MATCH($B1877,Summary!$A$2:$A$201,0))</f>
        <v>54.22</v>
      </c>
      <c r="Y1877" s="0" t="str">
        <f aca="false">INDEX('Reward Model'!$E$18:$E$37,MATCH($E1877,'Reward Model'!$A$18:$A$37,0))</f>
        <v>High</v>
      </c>
      <c r="Z1877" s="4" t="n">
        <f aca="false">ROUND(MIN(1,MAX('Reward Model'!$B$2,INDEX('Reward Model'!$C$12:$C$14,MATCH($K1877,'Reward Model'!$A$12:$A$14,0))/$J1877)),3)</f>
        <v>0.847</v>
      </c>
      <c r="AA1877" s="2" t="n">
        <f aca="false">IF($I1877="Correct",ROUND(INDEX('Reward Model'!$B$12:$B$14,MATCH($K1877,'Reward Model'!$A$12:$A$14,0))*Z1877,2),0)</f>
        <v>2.54</v>
      </c>
      <c r="AB1877" s="2" t="n">
        <f aca="false">IF($I1877="Correct",ROUND(INDEX('Reward Model'!$B$12:$B$14,MATCH($Y1877,'Reward Model'!$A$12:$A$14,0))*Z1877,2),0)</f>
        <v>2.54</v>
      </c>
    </row>
    <row r="1878" customFormat="false" ht="15" hidden="false" customHeight="false" outlineLevel="0" collapsed="false">
      <c r="A1878" s="0" t="s">
        <v>316</v>
      </c>
      <c r="B1878" s="0" t="s">
        <v>317</v>
      </c>
      <c r="C1878" s="0" t="s">
        <v>30</v>
      </c>
      <c r="D1878" s="0" t="s">
        <v>275</v>
      </c>
      <c r="E1878" s="0" t="n">
        <v>17</v>
      </c>
      <c r="F1878" s="0" t="s">
        <v>74</v>
      </c>
      <c r="G1878" s="0" t="s">
        <v>75</v>
      </c>
      <c r="H1878" s="0" t="s">
        <v>75</v>
      </c>
      <c r="I1878" s="0" t="s">
        <v>34</v>
      </c>
      <c r="J1878" s="0" t="n">
        <v>2.51</v>
      </c>
      <c r="K1878" s="0" t="s">
        <v>73</v>
      </c>
      <c r="L1878" s="0" t="n">
        <f aca="false">INDEX(Summary!$F$2:$F$201,MATCH($B1878,Summary!$A$2:$A$201,0))</f>
        <v>20</v>
      </c>
      <c r="M1878" s="0" t="n">
        <f aca="false">INDEX(Summary!$I$2:$I$201,MATCH($B1878,Summary!$A$2:$A$201,0))</f>
        <v>2</v>
      </c>
      <c r="N1878" s="0" t="n">
        <f aca="false">INDEX(Summary!$J$2:$J$201,MATCH($B1878,Summary!$A$2:$A$201,0))</f>
        <v>3</v>
      </c>
      <c r="O1878" s="2" t="n">
        <f aca="false">INDEX(Summary!$K$2:$K$201,MATCH($B1878,Summary!$A$2:$A$201,0))</f>
        <v>10.74</v>
      </c>
      <c r="P1878" s="3" t="n">
        <f aca="false">INDEX(Summary!$L$2:$L$201,MATCH($B1878,Summary!$A$2:$A$201,0))</f>
        <v>4</v>
      </c>
      <c r="Q1878" s="3" t="n">
        <f aca="false">INDEX(Summary!$M$2:$M$201,MATCH($B1878,Summary!$A$2:$A$201,0))</f>
        <v>2</v>
      </c>
      <c r="R1878" s="2" t="n">
        <f aca="false">INDEX(Summary!$N$2:$N$201,MATCH($B1878,Summary!$A$2:$A$201,0))</f>
        <v>8.91</v>
      </c>
      <c r="S1878" s="3" t="n">
        <f aca="false">INDEX(Summary!$O$2:$O$201,MATCH($B1878,Summary!$A$2:$A$201,0))</f>
        <v>6</v>
      </c>
      <c r="T1878" s="3" t="n">
        <f aca="false">INDEX(Summary!$P$2:$P$201,MATCH($B1878,Summary!$A$2:$A$201,0))</f>
        <v>3</v>
      </c>
      <c r="U1878" s="2" t="n">
        <f aca="false">INDEX(Summary!$Q$2:$Q$201,MATCH($B1878,Summary!$A$2:$A$201,0))</f>
        <v>14.17</v>
      </c>
      <c r="V1878" s="2" t="n">
        <f aca="false">INDEX(Summary!$R$2:$R$201,MATCH($B1878,Summary!$A$2:$A$201,0))</f>
        <v>22.23</v>
      </c>
      <c r="W1878" s="0" t="str">
        <f aca="false">INDEX(Summary!$S$2:$S$201,MATCH($B1878,Summary!$A$2:$A$201,0))</f>
        <v>Silver</v>
      </c>
      <c r="X1878" s="2" t="n">
        <f aca="false">INDEX(Summary!$T$2:$T$201,MATCH($B1878,Summary!$A$2:$A$201,0))</f>
        <v>54.22</v>
      </c>
      <c r="Y1878" s="0" t="str">
        <f aca="false">INDEX('Reward Model'!$E$18:$E$37,MATCH($E1878,'Reward Model'!$A$18:$A$37,0))</f>
        <v>High</v>
      </c>
      <c r="Z1878" s="4" t="n">
        <f aca="false">ROUND(MIN(1,MAX('Reward Model'!$B$2,INDEX('Reward Model'!$C$12:$C$14,MATCH($K1878,'Reward Model'!$A$12:$A$14,0))/$J1878)),3)</f>
        <v>0.797</v>
      </c>
      <c r="AA1878" s="2" t="n">
        <f aca="false">IF($I1878="Correct",ROUND(INDEX('Reward Model'!$B$12:$B$14,MATCH($K1878,'Reward Model'!$A$12:$A$14,0))*Z1878,2),0)</f>
        <v>2.39</v>
      </c>
      <c r="AB1878" s="2" t="n">
        <f aca="false">IF($I1878="Correct",ROUND(INDEX('Reward Model'!$B$12:$B$14,MATCH($Y1878,'Reward Model'!$A$12:$A$14,0))*Z1878,2),0)</f>
        <v>2.39</v>
      </c>
    </row>
    <row r="1879" customFormat="false" ht="15" hidden="false" customHeight="false" outlineLevel="0" collapsed="false">
      <c r="A1879" s="0" t="s">
        <v>316</v>
      </c>
      <c r="B1879" s="0" t="s">
        <v>317</v>
      </c>
      <c r="C1879" s="0" t="s">
        <v>30</v>
      </c>
      <c r="D1879" s="0" t="s">
        <v>275</v>
      </c>
      <c r="E1879" s="0" t="n">
        <v>18</v>
      </c>
      <c r="F1879" s="0" t="s">
        <v>76</v>
      </c>
      <c r="G1879" s="0" t="s">
        <v>128</v>
      </c>
      <c r="H1879" s="0" t="s">
        <v>77</v>
      </c>
      <c r="I1879" s="0" t="s">
        <v>39</v>
      </c>
      <c r="J1879" s="0" t="n">
        <v>1.69</v>
      </c>
      <c r="K1879" s="0" t="s">
        <v>73</v>
      </c>
      <c r="L1879" s="0" t="n">
        <f aca="false">INDEX(Summary!$F$2:$F$201,MATCH($B1879,Summary!$A$2:$A$201,0))</f>
        <v>20</v>
      </c>
      <c r="M1879" s="0" t="n">
        <f aca="false">INDEX(Summary!$I$2:$I$201,MATCH($B1879,Summary!$A$2:$A$201,0))</f>
        <v>2</v>
      </c>
      <c r="N1879" s="0" t="n">
        <f aca="false">INDEX(Summary!$J$2:$J$201,MATCH($B1879,Summary!$A$2:$A$201,0))</f>
        <v>3</v>
      </c>
      <c r="O1879" s="2" t="n">
        <f aca="false">INDEX(Summary!$K$2:$K$201,MATCH($B1879,Summary!$A$2:$A$201,0))</f>
        <v>10.74</v>
      </c>
      <c r="P1879" s="3" t="n">
        <f aca="false">INDEX(Summary!$L$2:$L$201,MATCH($B1879,Summary!$A$2:$A$201,0))</f>
        <v>4</v>
      </c>
      <c r="Q1879" s="3" t="n">
        <f aca="false">INDEX(Summary!$M$2:$M$201,MATCH($B1879,Summary!$A$2:$A$201,0))</f>
        <v>2</v>
      </c>
      <c r="R1879" s="2" t="n">
        <f aca="false">INDEX(Summary!$N$2:$N$201,MATCH($B1879,Summary!$A$2:$A$201,0))</f>
        <v>8.91</v>
      </c>
      <c r="S1879" s="3" t="n">
        <f aca="false">INDEX(Summary!$O$2:$O$201,MATCH($B1879,Summary!$A$2:$A$201,0))</f>
        <v>6</v>
      </c>
      <c r="T1879" s="3" t="n">
        <f aca="false">INDEX(Summary!$P$2:$P$201,MATCH($B1879,Summary!$A$2:$A$201,0))</f>
        <v>3</v>
      </c>
      <c r="U1879" s="2" t="n">
        <f aca="false">INDEX(Summary!$Q$2:$Q$201,MATCH($B1879,Summary!$A$2:$A$201,0))</f>
        <v>14.17</v>
      </c>
      <c r="V1879" s="2" t="n">
        <f aca="false">INDEX(Summary!$R$2:$R$201,MATCH($B1879,Summary!$A$2:$A$201,0))</f>
        <v>22.23</v>
      </c>
      <c r="W1879" s="0" t="str">
        <f aca="false">INDEX(Summary!$S$2:$S$201,MATCH($B1879,Summary!$A$2:$A$201,0))</f>
        <v>Silver</v>
      </c>
      <c r="X1879" s="2" t="n">
        <f aca="false">INDEX(Summary!$T$2:$T$201,MATCH($B1879,Summary!$A$2:$A$201,0))</f>
        <v>54.22</v>
      </c>
      <c r="Y1879" s="0" t="str">
        <f aca="false">INDEX('Reward Model'!$E$18:$E$37,MATCH($E1879,'Reward Model'!$A$18:$A$37,0))</f>
        <v>High</v>
      </c>
      <c r="Z1879" s="4" t="n">
        <f aca="false">ROUND(MIN(1,MAX('Reward Model'!$B$2,INDEX('Reward Model'!$C$12:$C$14,MATCH($K1879,'Reward Model'!$A$12:$A$14,0))/$J1879)),3)</f>
        <v>1</v>
      </c>
      <c r="AA1879" s="2" t="n">
        <f aca="false">IF($I1879="Correct",ROUND(INDEX('Reward Model'!$B$12:$B$14,MATCH($K1879,'Reward Model'!$A$12:$A$14,0))*Z1879,2),0)</f>
        <v>0</v>
      </c>
      <c r="AB1879" s="2" t="n">
        <f aca="false">IF($I1879="Correct",ROUND(INDEX('Reward Model'!$B$12:$B$14,MATCH($Y1879,'Reward Model'!$A$12:$A$14,0))*Z1879,2),0)</f>
        <v>0</v>
      </c>
    </row>
    <row r="1880" customFormat="false" ht="15" hidden="false" customHeight="false" outlineLevel="0" collapsed="false">
      <c r="A1880" s="0" t="s">
        <v>316</v>
      </c>
      <c r="B1880" s="0" t="s">
        <v>317</v>
      </c>
      <c r="C1880" s="0" t="s">
        <v>30</v>
      </c>
      <c r="D1880" s="0" t="s">
        <v>275</v>
      </c>
      <c r="E1880" s="0" t="n">
        <v>19</v>
      </c>
      <c r="F1880" s="0" t="s">
        <v>78</v>
      </c>
      <c r="G1880" s="0" t="s">
        <v>51</v>
      </c>
      <c r="H1880" s="0" t="s">
        <v>80</v>
      </c>
      <c r="I1880" s="0" t="s">
        <v>39</v>
      </c>
      <c r="J1880" s="0" t="n">
        <v>2.09</v>
      </c>
      <c r="K1880" s="0" t="s">
        <v>73</v>
      </c>
      <c r="L1880" s="0" t="n">
        <f aca="false">INDEX(Summary!$F$2:$F$201,MATCH($B1880,Summary!$A$2:$A$201,0))</f>
        <v>20</v>
      </c>
      <c r="M1880" s="0" t="n">
        <f aca="false">INDEX(Summary!$I$2:$I$201,MATCH($B1880,Summary!$A$2:$A$201,0))</f>
        <v>2</v>
      </c>
      <c r="N1880" s="0" t="n">
        <f aca="false">INDEX(Summary!$J$2:$J$201,MATCH($B1880,Summary!$A$2:$A$201,0))</f>
        <v>3</v>
      </c>
      <c r="O1880" s="2" t="n">
        <f aca="false">INDEX(Summary!$K$2:$K$201,MATCH($B1880,Summary!$A$2:$A$201,0))</f>
        <v>10.74</v>
      </c>
      <c r="P1880" s="3" t="n">
        <f aca="false">INDEX(Summary!$L$2:$L$201,MATCH($B1880,Summary!$A$2:$A$201,0))</f>
        <v>4</v>
      </c>
      <c r="Q1880" s="3" t="n">
        <f aca="false">INDEX(Summary!$M$2:$M$201,MATCH($B1880,Summary!$A$2:$A$201,0))</f>
        <v>2</v>
      </c>
      <c r="R1880" s="2" t="n">
        <f aca="false">INDEX(Summary!$N$2:$N$201,MATCH($B1880,Summary!$A$2:$A$201,0))</f>
        <v>8.91</v>
      </c>
      <c r="S1880" s="3" t="n">
        <f aca="false">INDEX(Summary!$O$2:$O$201,MATCH($B1880,Summary!$A$2:$A$201,0))</f>
        <v>6</v>
      </c>
      <c r="T1880" s="3" t="n">
        <f aca="false">INDEX(Summary!$P$2:$P$201,MATCH($B1880,Summary!$A$2:$A$201,0))</f>
        <v>3</v>
      </c>
      <c r="U1880" s="2" t="n">
        <f aca="false">INDEX(Summary!$Q$2:$Q$201,MATCH($B1880,Summary!$A$2:$A$201,0))</f>
        <v>14.17</v>
      </c>
      <c r="V1880" s="2" t="n">
        <f aca="false">INDEX(Summary!$R$2:$R$201,MATCH($B1880,Summary!$A$2:$A$201,0))</f>
        <v>22.23</v>
      </c>
      <c r="W1880" s="0" t="str">
        <f aca="false">INDEX(Summary!$S$2:$S$201,MATCH($B1880,Summary!$A$2:$A$201,0))</f>
        <v>Silver</v>
      </c>
      <c r="X1880" s="2" t="n">
        <f aca="false">INDEX(Summary!$T$2:$T$201,MATCH($B1880,Summary!$A$2:$A$201,0))</f>
        <v>54.22</v>
      </c>
      <c r="Y1880" s="0" t="str">
        <f aca="false">INDEX('Reward Model'!$E$18:$E$37,MATCH($E1880,'Reward Model'!$A$18:$A$37,0))</f>
        <v>High</v>
      </c>
      <c r="Z1880" s="4" t="n">
        <f aca="false">ROUND(MIN(1,MAX('Reward Model'!$B$2,INDEX('Reward Model'!$C$12:$C$14,MATCH($K1880,'Reward Model'!$A$12:$A$14,0))/$J1880)),3)</f>
        <v>0.957</v>
      </c>
      <c r="AA1880" s="2" t="n">
        <f aca="false">IF($I1880="Correct",ROUND(INDEX('Reward Model'!$B$12:$B$14,MATCH($K1880,'Reward Model'!$A$12:$A$14,0))*Z1880,2),0)</f>
        <v>0</v>
      </c>
      <c r="AB1880" s="2" t="n">
        <f aca="false">IF($I1880="Correct",ROUND(INDEX('Reward Model'!$B$12:$B$14,MATCH($Y1880,'Reward Model'!$A$12:$A$14,0))*Z1880,2),0)</f>
        <v>0</v>
      </c>
    </row>
    <row r="1881" customFormat="false" ht="15" hidden="false" customHeight="false" outlineLevel="0" collapsed="false">
      <c r="A1881" s="0" t="s">
        <v>316</v>
      </c>
      <c r="B1881" s="0" t="s">
        <v>317</v>
      </c>
      <c r="C1881" s="0" t="s">
        <v>30</v>
      </c>
      <c r="D1881" s="0" t="s">
        <v>275</v>
      </c>
      <c r="E1881" s="0" t="n">
        <v>20</v>
      </c>
      <c r="F1881" s="0" t="s">
        <v>81</v>
      </c>
      <c r="G1881" s="0" t="s">
        <v>82</v>
      </c>
      <c r="H1881" s="0" t="s">
        <v>83</v>
      </c>
      <c r="I1881" s="0" t="s">
        <v>39</v>
      </c>
      <c r="J1881" s="0" t="n">
        <v>2.09</v>
      </c>
      <c r="K1881" s="0" t="s">
        <v>73</v>
      </c>
      <c r="L1881" s="0" t="n">
        <f aca="false">INDEX(Summary!$F$2:$F$201,MATCH($B1881,Summary!$A$2:$A$201,0))</f>
        <v>20</v>
      </c>
      <c r="M1881" s="0" t="n">
        <f aca="false">INDEX(Summary!$I$2:$I$201,MATCH($B1881,Summary!$A$2:$A$201,0))</f>
        <v>2</v>
      </c>
      <c r="N1881" s="0" t="n">
        <f aca="false">INDEX(Summary!$J$2:$J$201,MATCH($B1881,Summary!$A$2:$A$201,0))</f>
        <v>3</v>
      </c>
      <c r="O1881" s="2" t="n">
        <f aca="false">INDEX(Summary!$K$2:$K$201,MATCH($B1881,Summary!$A$2:$A$201,0))</f>
        <v>10.74</v>
      </c>
      <c r="P1881" s="3" t="n">
        <f aca="false">INDEX(Summary!$L$2:$L$201,MATCH($B1881,Summary!$A$2:$A$201,0))</f>
        <v>4</v>
      </c>
      <c r="Q1881" s="3" t="n">
        <f aca="false">INDEX(Summary!$M$2:$M$201,MATCH($B1881,Summary!$A$2:$A$201,0))</f>
        <v>2</v>
      </c>
      <c r="R1881" s="2" t="n">
        <f aca="false">INDEX(Summary!$N$2:$N$201,MATCH($B1881,Summary!$A$2:$A$201,0))</f>
        <v>8.91</v>
      </c>
      <c r="S1881" s="3" t="n">
        <f aca="false">INDEX(Summary!$O$2:$O$201,MATCH($B1881,Summary!$A$2:$A$201,0))</f>
        <v>6</v>
      </c>
      <c r="T1881" s="3" t="n">
        <f aca="false">INDEX(Summary!$P$2:$P$201,MATCH($B1881,Summary!$A$2:$A$201,0))</f>
        <v>3</v>
      </c>
      <c r="U1881" s="2" t="n">
        <f aca="false">INDEX(Summary!$Q$2:$Q$201,MATCH($B1881,Summary!$A$2:$A$201,0))</f>
        <v>14.17</v>
      </c>
      <c r="V1881" s="2" t="n">
        <f aca="false">INDEX(Summary!$R$2:$R$201,MATCH($B1881,Summary!$A$2:$A$201,0))</f>
        <v>22.23</v>
      </c>
      <c r="W1881" s="0" t="str">
        <f aca="false">INDEX(Summary!$S$2:$S$201,MATCH($B1881,Summary!$A$2:$A$201,0))</f>
        <v>Silver</v>
      </c>
      <c r="X1881" s="2" t="n">
        <f aca="false">INDEX(Summary!$T$2:$T$201,MATCH($B1881,Summary!$A$2:$A$201,0))</f>
        <v>54.22</v>
      </c>
      <c r="Y1881" s="0" t="str">
        <f aca="false">INDEX('Reward Model'!$E$18:$E$37,MATCH($E1881,'Reward Model'!$A$18:$A$37,0))</f>
        <v>High</v>
      </c>
      <c r="Z1881" s="4" t="n">
        <f aca="false">ROUND(MIN(1,MAX('Reward Model'!$B$2,INDEX('Reward Model'!$C$12:$C$14,MATCH($K1881,'Reward Model'!$A$12:$A$14,0))/$J1881)),3)</f>
        <v>0.957</v>
      </c>
      <c r="AA1881" s="2" t="n">
        <f aca="false">IF($I1881="Correct",ROUND(INDEX('Reward Model'!$B$12:$B$14,MATCH($K1881,'Reward Model'!$A$12:$A$14,0))*Z1881,2),0)</f>
        <v>0</v>
      </c>
      <c r="AB1881" s="2" t="n">
        <f aca="false">IF($I1881="Correct",ROUND(INDEX('Reward Model'!$B$12:$B$14,MATCH($Y1881,'Reward Model'!$A$12:$A$14,0))*Z1881,2),0)</f>
        <v>0</v>
      </c>
    </row>
    <row r="1882" customFormat="false" ht="15" hidden="false" customHeight="false" outlineLevel="0" collapsed="false">
      <c r="A1882" s="0" t="s">
        <v>318</v>
      </c>
      <c r="B1882" s="0" t="s">
        <v>319</v>
      </c>
      <c r="C1882" s="0" t="s">
        <v>30</v>
      </c>
      <c r="D1882" s="0" t="s">
        <v>275</v>
      </c>
      <c r="E1882" s="0" t="n">
        <v>1</v>
      </c>
      <c r="F1882" s="0" t="s">
        <v>32</v>
      </c>
      <c r="G1882" s="0" t="s">
        <v>91</v>
      </c>
      <c r="H1882" s="0" t="s">
        <v>33</v>
      </c>
      <c r="I1882" s="0" t="s">
        <v>39</v>
      </c>
      <c r="J1882" s="0" t="n">
        <v>1.79</v>
      </c>
      <c r="K1882" s="0" t="s">
        <v>35</v>
      </c>
      <c r="L1882" s="0" t="n">
        <f aca="false">INDEX(Summary!$F$2:$F$201,MATCH($B1882,Summary!$A$2:$A$201,0))</f>
        <v>20</v>
      </c>
      <c r="M1882" s="0" t="n">
        <f aca="false">INDEX(Summary!$I$2:$I$201,MATCH($B1882,Summary!$A$2:$A$201,0))</f>
        <v>2</v>
      </c>
      <c r="N1882" s="0" t="n">
        <f aca="false">INDEX(Summary!$J$2:$J$201,MATCH($B1882,Summary!$A$2:$A$201,0))</f>
        <v>3</v>
      </c>
      <c r="O1882" s="2" t="n">
        <f aca="false">INDEX(Summary!$K$2:$K$201,MATCH($B1882,Summary!$A$2:$A$201,0))</f>
        <v>9.21</v>
      </c>
      <c r="P1882" s="3" t="n">
        <f aca="false">INDEX(Summary!$L$2:$L$201,MATCH($B1882,Summary!$A$2:$A$201,0))</f>
        <v>3</v>
      </c>
      <c r="Q1882" s="3" t="n">
        <f aca="false">INDEX(Summary!$M$2:$M$201,MATCH($B1882,Summary!$A$2:$A$201,0))</f>
        <v>3</v>
      </c>
      <c r="R1882" s="2" t="n">
        <f aca="false">INDEX(Summary!$N$2:$N$201,MATCH($B1882,Summary!$A$2:$A$201,0))</f>
        <v>10.08</v>
      </c>
      <c r="S1882" s="3" t="n">
        <f aca="false">INDEX(Summary!$O$2:$O$201,MATCH($B1882,Summary!$A$2:$A$201,0))</f>
        <v>4</v>
      </c>
      <c r="T1882" s="3" t="n">
        <f aca="false">INDEX(Summary!$P$2:$P$201,MATCH($B1882,Summary!$A$2:$A$201,0))</f>
        <v>5</v>
      </c>
      <c r="U1882" s="2" t="n">
        <f aca="false">INDEX(Summary!$Q$2:$Q$201,MATCH($B1882,Summary!$A$2:$A$201,0))</f>
        <v>12.56</v>
      </c>
      <c r="V1882" s="2" t="n">
        <f aca="false">INDEX(Summary!$R$2:$R$201,MATCH($B1882,Summary!$A$2:$A$201,0))</f>
        <v>17.78</v>
      </c>
      <c r="W1882" s="0" t="str">
        <f aca="false">INDEX(Summary!$S$2:$S$201,MATCH($B1882,Summary!$A$2:$A$201,0))</f>
        <v>Bronze</v>
      </c>
      <c r="X1882" s="2" t="n">
        <f aca="false">INDEX(Summary!$T$2:$T$201,MATCH($B1882,Summary!$A$2:$A$201,0))</f>
        <v>43.37</v>
      </c>
      <c r="Y1882" s="0" t="str">
        <f aca="false">INDEX('Reward Model'!$E$18:$E$37,MATCH($E1882,'Reward Model'!$A$18:$A$37,0))</f>
        <v>Medium</v>
      </c>
      <c r="Z1882" s="4" t="n">
        <f aca="false">ROUND(MIN(1,MAX('Reward Model'!$B$2,INDEX('Reward Model'!$C$12:$C$14,MATCH($K1882,'Reward Model'!$A$12:$A$14,0))/$J1882)),3)</f>
        <v>0.838</v>
      </c>
      <c r="AA1882" s="2" t="n">
        <f aca="false">IF($I1882="Correct",ROUND(INDEX('Reward Model'!$B$12:$B$14,MATCH($K1882,'Reward Model'!$A$12:$A$14,0))*Z1882,2),0)</f>
        <v>0</v>
      </c>
      <c r="AB1882" s="2" t="n">
        <f aca="false">IF($I1882="Correct",ROUND(INDEX('Reward Model'!$B$12:$B$14,MATCH($Y1882,'Reward Model'!$A$12:$A$14,0))*Z1882,2),0)</f>
        <v>0</v>
      </c>
    </row>
    <row r="1883" customFormat="false" ht="15" hidden="false" customHeight="false" outlineLevel="0" collapsed="false">
      <c r="A1883" s="0" t="s">
        <v>318</v>
      </c>
      <c r="B1883" s="0" t="s">
        <v>319</v>
      </c>
      <c r="C1883" s="0" t="s">
        <v>30</v>
      </c>
      <c r="D1883" s="0" t="s">
        <v>275</v>
      </c>
      <c r="E1883" s="0" t="n">
        <v>2</v>
      </c>
      <c r="F1883" s="0" t="s">
        <v>36</v>
      </c>
      <c r="G1883" s="0" t="s">
        <v>94</v>
      </c>
      <c r="H1883" s="0" t="s">
        <v>38</v>
      </c>
      <c r="I1883" s="0" t="s">
        <v>39</v>
      </c>
      <c r="J1883" s="0" t="n">
        <v>1.21</v>
      </c>
      <c r="K1883" s="0" t="s">
        <v>35</v>
      </c>
      <c r="L1883" s="0" t="n">
        <f aca="false">INDEX(Summary!$F$2:$F$201,MATCH($B1883,Summary!$A$2:$A$201,0))</f>
        <v>20</v>
      </c>
      <c r="M1883" s="0" t="n">
        <f aca="false">INDEX(Summary!$I$2:$I$201,MATCH($B1883,Summary!$A$2:$A$201,0))</f>
        <v>2</v>
      </c>
      <c r="N1883" s="0" t="n">
        <f aca="false">INDEX(Summary!$J$2:$J$201,MATCH($B1883,Summary!$A$2:$A$201,0))</f>
        <v>3</v>
      </c>
      <c r="O1883" s="2" t="n">
        <f aca="false">INDEX(Summary!$K$2:$K$201,MATCH($B1883,Summary!$A$2:$A$201,0))</f>
        <v>9.21</v>
      </c>
      <c r="P1883" s="3" t="n">
        <f aca="false">INDEX(Summary!$L$2:$L$201,MATCH($B1883,Summary!$A$2:$A$201,0))</f>
        <v>3</v>
      </c>
      <c r="Q1883" s="3" t="n">
        <f aca="false">INDEX(Summary!$M$2:$M$201,MATCH($B1883,Summary!$A$2:$A$201,0))</f>
        <v>3</v>
      </c>
      <c r="R1883" s="2" t="n">
        <f aca="false">INDEX(Summary!$N$2:$N$201,MATCH($B1883,Summary!$A$2:$A$201,0))</f>
        <v>10.08</v>
      </c>
      <c r="S1883" s="3" t="n">
        <f aca="false">INDEX(Summary!$O$2:$O$201,MATCH($B1883,Summary!$A$2:$A$201,0))</f>
        <v>4</v>
      </c>
      <c r="T1883" s="3" t="n">
        <f aca="false">INDEX(Summary!$P$2:$P$201,MATCH($B1883,Summary!$A$2:$A$201,0))</f>
        <v>5</v>
      </c>
      <c r="U1883" s="2" t="n">
        <f aca="false">INDEX(Summary!$Q$2:$Q$201,MATCH($B1883,Summary!$A$2:$A$201,0))</f>
        <v>12.56</v>
      </c>
      <c r="V1883" s="2" t="n">
        <f aca="false">INDEX(Summary!$R$2:$R$201,MATCH($B1883,Summary!$A$2:$A$201,0))</f>
        <v>17.78</v>
      </c>
      <c r="W1883" s="0" t="str">
        <f aca="false">INDEX(Summary!$S$2:$S$201,MATCH($B1883,Summary!$A$2:$A$201,0))</f>
        <v>Bronze</v>
      </c>
      <c r="X1883" s="2" t="n">
        <f aca="false">INDEX(Summary!$T$2:$T$201,MATCH($B1883,Summary!$A$2:$A$201,0))</f>
        <v>43.37</v>
      </c>
      <c r="Y1883" s="0" t="str">
        <f aca="false">INDEX('Reward Model'!$E$18:$E$37,MATCH($E1883,'Reward Model'!$A$18:$A$37,0))</f>
        <v>Low</v>
      </c>
      <c r="Z1883" s="4" t="n">
        <f aca="false">ROUND(MIN(1,MAX('Reward Model'!$B$2,INDEX('Reward Model'!$C$12:$C$14,MATCH($K1883,'Reward Model'!$A$12:$A$14,0))/$J1883)),3)</f>
        <v>1</v>
      </c>
      <c r="AA1883" s="2" t="n">
        <f aca="false">IF($I1883="Correct",ROUND(INDEX('Reward Model'!$B$12:$B$14,MATCH($K1883,'Reward Model'!$A$12:$A$14,0))*Z1883,2),0)</f>
        <v>0</v>
      </c>
      <c r="AB1883" s="2" t="n">
        <f aca="false">IF($I1883="Correct",ROUND(INDEX('Reward Model'!$B$12:$B$14,MATCH($Y1883,'Reward Model'!$A$12:$A$14,0))*Z1883,2),0)</f>
        <v>0</v>
      </c>
    </row>
    <row r="1884" customFormat="false" ht="15" hidden="false" customHeight="false" outlineLevel="0" collapsed="false">
      <c r="A1884" s="0" t="s">
        <v>318</v>
      </c>
      <c r="B1884" s="0" t="s">
        <v>319</v>
      </c>
      <c r="C1884" s="0" t="s">
        <v>30</v>
      </c>
      <c r="D1884" s="0" t="s">
        <v>275</v>
      </c>
      <c r="E1884" s="0" t="n">
        <v>3</v>
      </c>
      <c r="F1884" s="0" t="s">
        <v>40</v>
      </c>
      <c r="G1884" s="0" t="s">
        <v>42</v>
      </c>
      <c r="H1884" s="0" t="s">
        <v>42</v>
      </c>
      <c r="I1884" s="0" t="s">
        <v>34</v>
      </c>
      <c r="J1884" s="0" t="n">
        <v>1.62</v>
      </c>
      <c r="K1884" s="0" t="s">
        <v>35</v>
      </c>
      <c r="L1884" s="0" t="n">
        <f aca="false">INDEX(Summary!$F$2:$F$201,MATCH($B1884,Summary!$A$2:$A$201,0))</f>
        <v>20</v>
      </c>
      <c r="M1884" s="0" t="n">
        <f aca="false">INDEX(Summary!$I$2:$I$201,MATCH($B1884,Summary!$A$2:$A$201,0))</f>
        <v>2</v>
      </c>
      <c r="N1884" s="0" t="n">
        <f aca="false">INDEX(Summary!$J$2:$J$201,MATCH($B1884,Summary!$A$2:$A$201,0))</f>
        <v>3</v>
      </c>
      <c r="O1884" s="2" t="n">
        <f aca="false">INDEX(Summary!$K$2:$K$201,MATCH($B1884,Summary!$A$2:$A$201,0))</f>
        <v>9.21</v>
      </c>
      <c r="P1884" s="3" t="n">
        <f aca="false">INDEX(Summary!$L$2:$L$201,MATCH($B1884,Summary!$A$2:$A$201,0))</f>
        <v>3</v>
      </c>
      <c r="Q1884" s="3" t="n">
        <f aca="false">INDEX(Summary!$M$2:$M$201,MATCH($B1884,Summary!$A$2:$A$201,0))</f>
        <v>3</v>
      </c>
      <c r="R1884" s="2" t="n">
        <f aca="false">INDEX(Summary!$N$2:$N$201,MATCH($B1884,Summary!$A$2:$A$201,0))</f>
        <v>10.08</v>
      </c>
      <c r="S1884" s="3" t="n">
        <f aca="false">INDEX(Summary!$O$2:$O$201,MATCH($B1884,Summary!$A$2:$A$201,0))</f>
        <v>4</v>
      </c>
      <c r="T1884" s="3" t="n">
        <f aca="false">INDEX(Summary!$P$2:$P$201,MATCH($B1884,Summary!$A$2:$A$201,0))</f>
        <v>5</v>
      </c>
      <c r="U1884" s="2" t="n">
        <f aca="false">INDEX(Summary!$Q$2:$Q$201,MATCH($B1884,Summary!$A$2:$A$201,0))</f>
        <v>12.56</v>
      </c>
      <c r="V1884" s="2" t="n">
        <f aca="false">INDEX(Summary!$R$2:$R$201,MATCH($B1884,Summary!$A$2:$A$201,0))</f>
        <v>17.78</v>
      </c>
      <c r="W1884" s="0" t="str">
        <f aca="false">INDEX(Summary!$S$2:$S$201,MATCH($B1884,Summary!$A$2:$A$201,0))</f>
        <v>Bronze</v>
      </c>
      <c r="X1884" s="2" t="n">
        <f aca="false">INDEX(Summary!$T$2:$T$201,MATCH($B1884,Summary!$A$2:$A$201,0))</f>
        <v>43.37</v>
      </c>
      <c r="Y1884" s="0" t="str">
        <f aca="false">INDEX('Reward Model'!$E$18:$E$37,MATCH($E1884,'Reward Model'!$A$18:$A$37,0))</f>
        <v>Medium</v>
      </c>
      <c r="Z1884" s="4" t="n">
        <f aca="false">ROUND(MIN(1,MAX('Reward Model'!$B$2,INDEX('Reward Model'!$C$12:$C$14,MATCH($K1884,'Reward Model'!$A$12:$A$14,0))/$J1884)),3)</f>
        <v>0.926</v>
      </c>
      <c r="AA1884" s="2" t="n">
        <f aca="false">IF($I1884="Correct",ROUND(INDEX('Reward Model'!$B$12:$B$14,MATCH($K1884,'Reward Model'!$A$12:$A$14,0))*Z1884,2),0)</f>
        <v>0.93</v>
      </c>
      <c r="AB1884" s="2" t="n">
        <f aca="false">IF($I1884="Correct",ROUND(INDEX('Reward Model'!$B$12:$B$14,MATCH($Y1884,'Reward Model'!$A$12:$A$14,0))*Z1884,2),0)</f>
        <v>1.85</v>
      </c>
    </row>
    <row r="1885" customFormat="false" ht="15" hidden="false" customHeight="false" outlineLevel="0" collapsed="false">
      <c r="A1885" s="0" t="s">
        <v>318</v>
      </c>
      <c r="B1885" s="0" t="s">
        <v>319</v>
      </c>
      <c r="C1885" s="0" t="s">
        <v>30</v>
      </c>
      <c r="D1885" s="0" t="s">
        <v>275</v>
      </c>
      <c r="E1885" s="0" t="n">
        <v>4</v>
      </c>
      <c r="F1885" s="0" t="s">
        <v>43</v>
      </c>
      <c r="G1885" s="0" t="s">
        <v>45</v>
      </c>
      <c r="H1885" s="0" t="s">
        <v>45</v>
      </c>
      <c r="I1885" s="0" t="s">
        <v>34</v>
      </c>
      <c r="J1885" s="0" t="n">
        <v>1.24</v>
      </c>
      <c r="K1885" s="0" t="s">
        <v>35</v>
      </c>
      <c r="L1885" s="0" t="n">
        <f aca="false">INDEX(Summary!$F$2:$F$201,MATCH($B1885,Summary!$A$2:$A$201,0))</f>
        <v>20</v>
      </c>
      <c r="M1885" s="0" t="n">
        <f aca="false">INDEX(Summary!$I$2:$I$201,MATCH($B1885,Summary!$A$2:$A$201,0))</f>
        <v>2</v>
      </c>
      <c r="N1885" s="0" t="n">
        <f aca="false">INDEX(Summary!$J$2:$J$201,MATCH($B1885,Summary!$A$2:$A$201,0))</f>
        <v>3</v>
      </c>
      <c r="O1885" s="2" t="n">
        <f aca="false">INDEX(Summary!$K$2:$K$201,MATCH($B1885,Summary!$A$2:$A$201,0))</f>
        <v>9.21</v>
      </c>
      <c r="P1885" s="3" t="n">
        <f aca="false">INDEX(Summary!$L$2:$L$201,MATCH($B1885,Summary!$A$2:$A$201,0))</f>
        <v>3</v>
      </c>
      <c r="Q1885" s="3" t="n">
        <f aca="false">INDEX(Summary!$M$2:$M$201,MATCH($B1885,Summary!$A$2:$A$201,0))</f>
        <v>3</v>
      </c>
      <c r="R1885" s="2" t="n">
        <f aca="false">INDEX(Summary!$N$2:$N$201,MATCH($B1885,Summary!$A$2:$A$201,0))</f>
        <v>10.08</v>
      </c>
      <c r="S1885" s="3" t="n">
        <f aca="false">INDEX(Summary!$O$2:$O$201,MATCH($B1885,Summary!$A$2:$A$201,0))</f>
        <v>4</v>
      </c>
      <c r="T1885" s="3" t="n">
        <f aca="false">INDEX(Summary!$P$2:$P$201,MATCH($B1885,Summary!$A$2:$A$201,0))</f>
        <v>5</v>
      </c>
      <c r="U1885" s="2" t="n">
        <f aca="false">INDEX(Summary!$Q$2:$Q$201,MATCH($B1885,Summary!$A$2:$A$201,0))</f>
        <v>12.56</v>
      </c>
      <c r="V1885" s="2" t="n">
        <f aca="false">INDEX(Summary!$R$2:$R$201,MATCH($B1885,Summary!$A$2:$A$201,0))</f>
        <v>17.78</v>
      </c>
      <c r="W1885" s="0" t="str">
        <f aca="false">INDEX(Summary!$S$2:$S$201,MATCH($B1885,Summary!$A$2:$A$201,0))</f>
        <v>Bronze</v>
      </c>
      <c r="X1885" s="2" t="n">
        <f aca="false">INDEX(Summary!$T$2:$T$201,MATCH($B1885,Summary!$A$2:$A$201,0))</f>
        <v>43.37</v>
      </c>
      <c r="Y1885" s="0" t="str">
        <f aca="false">INDEX('Reward Model'!$E$18:$E$37,MATCH($E1885,'Reward Model'!$A$18:$A$37,0))</f>
        <v>Low</v>
      </c>
      <c r="Z1885" s="4" t="n">
        <f aca="false">ROUND(MIN(1,MAX('Reward Model'!$B$2,INDEX('Reward Model'!$C$12:$C$14,MATCH($K1885,'Reward Model'!$A$12:$A$14,0))/$J1885)),3)</f>
        <v>1</v>
      </c>
      <c r="AA1885" s="2" t="n">
        <f aca="false">IF($I1885="Correct",ROUND(INDEX('Reward Model'!$B$12:$B$14,MATCH($K1885,'Reward Model'!$A$12:$A$14,0))*Z1885,2),0)</f>
        <v>1</v>
      </c>
      <c r="AB1885" s="2" t="n">
        <f aca="false">IF($I1885="Correct",ROUND(INDEX('Reward Model'!$B$12:$B$14,MATCH($Y1885,'Reward Model'!$A$12:$A$14,0))*Z1885,2),0)</f>
        <v>1</v>
      </c>
    </row>
    <row r="1886" customFormat="false" ht="15" hidden="false" customHeight="false" outlineLevel="0" collapsed="false">
      <c r="A1886" s="0" t="s">
        <v>318</v>
      </c>
      <c r="B1886" s="0" t="s">
        <v>319</v>
      </c>
      <c r="C1886" s="0" t="s">
        <v>30</v>
      </c>
      <c r="D1886" s="0" t="s">
        <v>275</v>
      </c>
      <c r="E1886" s="0" t="n">
        <v>5</v>
      </c>
      <c r="F1886" s="0" t="s">
        <v>46</v>
      </c>
      <c r="G1886" s="0" t="s">
        <v>164</v>
      </c>
      <c r="H1886" s="0" t="s">
        <v>47</v>
      </c>
      <c r="I1886" s="0" t="s">
        <v>39</v>
      </c>
      <c r="J1886" s="0" t="n">
        <v>1.17</v>
      </c>
      <c r="K1886" s="0" t="s">
        <v>35</v>
      </c>
      <c r="L1886" s="0" t="n">
        <f aca="false">INDEX(Summary!$F$2:$F$201,MATCH($B1886,Summary!$A$2:$A$201,0))</f>
        <v>20</v>
      </c>
      <c r="M1886" s="0" t="n">
        <f aca="false">INDEX(Summary!$I$2:$I$201,MATCH($B1886,Summary!$A$2:$A$201,0))</f>
        <v>2</v>
      </c>
      <c r="N1886" s="0" t="n">
        <f aca="false">INDEX(Summary!$J$2:$J$201,MATCH($B1886,Summary!$A$2:$A$201,0))</f>
        <v>3</v>
      </c>
      <c r="O1886" s="2" t="n">
        <f aca="false">INDEX(Summary!$K$2:$K$201,MATCH($B1886,Summary!$A$2:$A$201,0))</f>
        <v>9.21</v>
      </c>
      <c r="P1886" s="3" t="n">
        <f aca="false">INDEX(Summary!$L$2:$L$201,MATCH($B1886,Summary!$A$2:$A$201,0))</f>
        <v>3</v>
      </c>
      <c r="Q1886" s="3" t="n">
        <f aca="false">INDEX(Summary!$M$2:$M$201,MATCH($B1886,Summary!$A$2:$A$201,0))</f>
        <v>3</v>
      </c>
      <c r="R1886" s="2" t="n">
        <f aca="false">INDEX(Summary!$N$2:$N$201,MATCH($B1886,Summary!$A$2:$A$201,0))</f>
        <v>10.08</v>
      </c>
      <c r="S1886" s="3" t="n">
        <f aca="false">INDEX(Summary!$O$2:$O$201,MATCH($B1886,Summary!$A$2:$A$201,0))</f>
        <v>4</v>
      </c>
      <c r="T1886" s="3" t="n">
        <f aca="false">INDEX(Summary!$P$2:$P$201,MATCH($B1886,Summary!$A$2:$A$201,0))</f>
        <v>5</v>
      </c>
      <c r="U1886" s="2" t="n">
        <f aca="false">INDEX(Summary!$Q$2:$Q$201,MATCH($B1886,Summary!$A$2:$A$201,0))</f>
        <v>12.56</v>
      </c>
      <c r="V1886" s="2" t="n">
        <f aca="false">INDEX(Summary!$R$2:$R$201,MATCH($B1886,Summary!$A$2:$A$201,0))</f>
        <v>17.78</v>
      </c>
      <c r="W1886" s="0" t="str">
        <f aca="false">INDEX(Summary!$S$2:$S$201,MATCH($B1886,Summary!$A$2:$A$201,0))</f>
        <v>Bronze</v>
      </c>
      <c r="X1886" s="2" t="n">
        <f aca="false">INDEX(Summary!$T$2:$T$201,MATCH($B1886,Summary!$A$2:$A$201,0))</f>
        <v>43.37</v>
      </c>
      <c r="Y1886" s="0" t="str">
        <f aca="false">INDEX('Reward Model'!$E$18:$E$37,MATCH($E1886,'Reward Model'!$A$18:$A$37,0))</f>
        <v>Low</v>
      </c>
      <c r="Z1886" s="4" t="n">
        <f aca="false">ROUND(MIN(1,MAX('Reward Model'!$B$2,INDEX('Reward Model'!$C$12:$C$14,MATCH($K1886,'Reward Model'!$A$12:$A$14,0))/$J1886)),3)</f>
        <v>1</v>
      </c>
      <c r="AA1886" s="2" t="n">
        <f aca="false">IF($I1886="Correct",ROUND(INDEX('Reward Model'!$B$12:$B$14,MATCH($K1886,'Reward Model'!$A$12:$A$14,0))*Z1886,2),0)</f>
        <v>0</v>
      </c>
      <c r="AB1886" s="2" t="n">
        <f aca="false">IF($I1886="Correct",ROUND(INDEX('Reward Model'!$B$12:$B$14,MATCH($Y1886,'Reward Model'!$A$12:$A$14,0))*Z1886,2),0)</f>
        <v>0</v>
      </c>
    </row>
    <row r="1887" customFormat="false" ht="15" hidden="false" customHeight="false" outlineLevel="0" collapsed="false">
      <c r="A1887" s="0" t="s">
        <v>318</v>
      </c>
      <c r="B1887" s="0" t="s">
        <v>319</v>
      </c>
      <c r="C1887" s="0" t="s">
        <v>30</v>
      </c>
      <c r="D1887" s="0" t="s">
        <v>275</v>
      </c>
      <c r="E1887" s="0" t="n">
        <v>6</v>
      </c>
      <c r="F1887" s="0" t="s">
        <v>48</v>
      </c>
      <c r="G1887" s="0" t="s">
        <v>116</v>
      </c>
      <c r="H1887" s="0" t="s">
        <v>49</v>
      </c>
      <c r="I1887" s="0" t="s">
        <v>39</v>
      </c>
      <c r="J1887" s="0" t="n">
        <v>1.59</v>
      </c>
      <c r="K1887" s="0" t="s">
        <v>35</v>
      </c>
      <c r="L1887" s="0" t="n">
        <f aca="false">INDEX(Summary!$F$2:$F$201,MATCH($B1887,Summary!$A$2:$A$201,0))</f>
        <v>20</v>
      </c>
      <c r="M1887" s="0" t="n">
        <f aca="false">INDEX(Summary!$I$2:$I$201,MATCH($B1887,Summary!$A$2:$A$201,0))</f>
        <v>2</v>
      </c>
      <c r="N1887" s="0" t="n">
        <f aca="false">INDEX(Summary!$J$2:$J$201,MATCH($B1887,Summary!$A$2:$A$201,0))</f>
        <v>3</v>
      </c>
      <c r="O1887" s="2" t="n">
        <f aca="false">INDEX(Summary!$K$2:$K$201,MATCH($B1887,Summary!$A$2:$A$201,0))</f>
        <v>9.21</v>
      </c>
      <c r="P1887" s="3" t="n">
        <f aca="false">INDEX(Summary!$L$2:$L$201,MATCH($B1887,Summary!$A$2:$A$201,0))</f>
        <v>3</v>
      </c>
      <c r="Q1887" s="3" t="n">
        <f aca="false">INDEX(Summary!$M$2:$M$201,MATCH($B1887,Summary!$A$2:$A$201,0))</f>
        <v>3</v>
      </c>
      <c r="R1887" s="2" t="n">
        <f aca="false">INDEX(Summary!$N$2:$N$201,MATCH($B1887,Summary!$A$2:$A$201,0))</f>
        <v>10.08</v>
      </c>
      <c r="S1887" s="3" t="n">
        <f aca="false">INDEX(Summary!$O$2:$O$201,MATCH($B1887,Summary!$A$2:$A$201,0))</f>
        <v>4</v>
      </c>
      <c r="T1887" s="3" t="n">
        <f aca="false">INDEX(Summary!$P$2:$P$201,MATCH($B1887,Summary!$A$2:$A$201,0))</f>
        <v>5</v>
      </c>
      <c r="U1887" s="2" t="n">
        <f aca="false">INDEX(Summary!$Q$2:$Q$201,MATCH($B1887,Summary!$A$2:$A$201,0))</f>
        <v>12.56</v>
      </c>
      <c r="V1887" s="2" t="n">
        <f aca="false">INDEX(Summary!$R$2:$R$201,MATCH($B1887,Summary!$A$2:$A$201,0))</f>
        <v>17.78</v>
      </c>
      <c r="W1887" s="0" t="str">
        <f aca="false">INDEX(Summary!$S$2:$S$201,MATCH($B1887,Summary!$A$2:$A$201,0))</f>
        <v>Bronze</v>
      </c>
      <c r="X1887" s="2" t="n">
        <f aca="false">INDEX(Summary!$T$2:$T$201,MATCH($B1887,Summary!$A$2:$A$201,0))</f>
        <v>43.37</v>
      </c>
      <c r="Y1887" s="0" t="str">
        <f aca="false">INDEX('Reward Model'!$E$18:$E$37,MATCH($E1887,'Reward Model'!$A$18:$A$37,0))</f>
        <v>Medium</v>
      </c>
      <c r="Z1887" s="4" t="n">
        <f aca="false">ROUND(MIN(1,MAX('Reward Model'!$B$2,INDEX('Reward Model'!$C$12:$C$14,MATCH($K1887,'Reward Model'!$A$12:$A$14,0))/$J1887)),3)</f>
        <v>0.943</v>
      </c>
      <c r="AA1887" s="2" t="n">
        <f aca="false">IF($I1887="Correct",ROUND(INDEX('Reward Model'!$B$12:$B$14,MATCH($K1887,'Reward Model'!$A$12:$A$14,0))*Z1887,2),0)</f>
        <v>0</v>
      </c>
      <c r="AB1887" s="2" t="n">
        <f aca="false">IF($I1887="Correct",ROUND(INDEX('Reward Model'!$B$12:$B$14,MATCH($Y1887,'Reward Model'!$A$12:$A$14,0))*Z1887,2),0)</f>
        <v>0</v>
      </c>
    </row>
    <row r="1888" customFormat="false" ht="15" hidden="false" customHeight="false" outlineLevel="0" collapsed="false">
      <c r="A1888" s="0" t="s">
        <v>318</v>
      </c>
      <c r="B1888" s="0" t="s">
        <v>319</v>
      </c>
      <c r="C1888" s="0" t="s">
        <v>30</v>
      </c>
      <c r="D1888" s="0" t="s">
        <v>275</v>
      </c>
      <c r="E1888" s="0" t="n">
        <v>7</v>
      </c>
      <c r="F1888" s="0" t="s">
        <v>50</v>
      </c>
      <c r="G1888" s="0" t="s">
        <v>51</v>
      </c>
      <c r="H1888" s="0" t="s">
        <v>51</v>
      </c>
      <c r="I1888" s="0" t="s">
        <v>34</v>
      </c>
      <c r="J1888" s="0" t="n">
        <v>1.04</v>
      </c>
      <c r="K1888" s="0" t="s">
        <v>35</v>
      </c>
      <c r="L1888" s="0" t="n">
        <f aca="false">INDEX(Summary!$F$2:$F$201,MATCH($B1888,Summary!$A$2:$A$201,0))</f>
        <v>20</v>
      </c>
      <c r="M1888" s="0" t="n">
        <f aca="false">INDEX(Summary!$I$2:$I$201,MATCH($B1888,Summary!$A$2:$A$201,0))</f>
        <v>2</v>
      </c>
      <c r="N1888" s="0" t="n">
        <f aca="false">INDEX(Summary!$J$2:$J$201,MATCH($B1888,Summary!$A$2:$A$201,0))</f>
        <v>3</v>
      </c>
      <c r="O1888" s="2" t="n">
        <f aca="false">INDEX(Summary!$K$2:$K$201,MATCH($B1888,Summary!$A$2:$A$201,0))</f>
        <v>9.21</v>
      </c>
      <c r="P1888" s="3" t="n">
        <f aca="false">INDEX(Summary!$L$2:$L$201,MATCH($B1888,Summary!$A$2:$A$201,0))</f>
        <v>3</v>
      </c>
      <c r="Q1888" s="3" t="n">
        <f aca="false">INDEX(Summary!$M$2:$M$201,MATCH($B1888,Summary!$A$2:$A$201,0))</f>
        <v>3</v>
      </c>
      <c r="R1888" s="2" t="n">
        <f aca="false">INDEX(Summary!$N$2:$N$201,MATCH($B1888,Summary!$A$2:$A$201,0))</f>
        <v>10.08</v>
      </c>
      <c r="S1888" s="3" t="n">
        <f aca="false">INDEX(Summary!$O$2:$O$201,MATCH($B1888,Summary!$A$2:$A$201,0))</f>
        <v>4</v>
      </c>
      <c r="T1888" s="3" t="n">
        <f aca="false">INDEX(Summary!$P$2:$P$201,MATCH($B1888,Summary!$A$2:$A$201,0))</f>
        <v>5</v>
      </c>
      <c r="U1888" s="2" t="n">
        <f aca="false">INDEX(Summary!$Q$2:$Q$201,MATCH($B1888,Summary!$A$2:$A$201,0))</f>
        <v>12.56</v>
      </c>
      <c r="V1888" s="2" t="n">
        <f aca="false">INDEX(Summary!$R$2:$R$201,MATCH($B1888,Summary!$A$2:$A$201,0))</f>
        <v>17.78</v>
      </c>
      <c r="W1888" s="0" t="str">
        <f aca="false">INDEX(Summary!$S$2:$S$201,MATCH($B1888,Summary!$A$2:$A$201,0))</f>
        <v>Bronze</v>
      </c>
      <c r="X1888" s="2" t="n">
        <f aca="false">INDEX(Summary!$T$2:$T$201,MATCH($B1888,Summary!$A$2:$A$201,0))</f>
        <v>43.37</v>
      </c>
      <c r="Y1888" s="0" t="str">
        <f aca="false">INDEX('Reward Model'!$E$18:$E$37,MATCH($E1888,'Reward Model'!$A$18:$A$37,0))</f>
        <v>Low</v>
      </c>
      <c r="Z1888" s="4" t="n">
        <f aca="false">ROUND(MIN(1,MAX('Reward Model'!$B$2,INDEX('Reward Model'!$C$12:$C$14,MATCH($K1888,'Reward Model'!$A$12:$A$14,0))/$J1888)),3)</f>
        <v>1</v>
      </c>
      <c r="AA1888" s="2" t="n">
        <f aca="false">IF($I1888="Correct",ROUND(INDEX('Reward Model'!$B$12:$B$14,MATCH($K1888,'Reward Model'!$A$12:$A$14,0))*Z1888,2),0)</f>
        <v>1</v>
      </c>
      <c r="AB1888" s="2" t="n">
        <f aca="false">IF($I1888="Correct",ROUND(INDEX('Reward Model'!$B$12:$B$14,MATCH($Y1888,'Reward Model'!$A$12:$A$14,0))*Z1888,2),0)</f>
        <v>1</v>
      </c>
    </row>
    <row r="1889" customFormat="false" ht="15" hidden="false" customHeight="false" outlineLevel="0" collapsed="false">
      <c r="A1889" s="0" t="s">
        <v>318</v>
      </c>
      <c r="B1889" s="0" t="s">
        <v>319</v>
      </c>
      <c r="C1889" s="0" t="s">
        <v>30</v>
      </c>
      <c r="D1889" s="0" t="s">
        <v>275</v>
      </c>
      <c r="E1889" s="0" t="n">
        <v>8</v>
      </c>
      <c r="F1889" s="0" t="s">
        <v>52</v>
      </c>
      <c r="G1889" s="0" t="s">
        <v>53</v>
      </c>
      <c r="H1889" s="0" t="s">
        <v>54</v>
      </c>
      <c r="I1889" s="0" t="s">
        <v>39</v>
      </c>
      <c r="J1889" s="0" t="n">
        <v>1.67</v>
      </c>
      <c r="K1889" s="0" t="s">
        <v>35</v>
      </c>
      <c r="L1889" s="0" t="n">
        <f aca="false">INDEX(Summary!$F$2:$F$201,MATCH($B1889,Summary!$A$2:$A$201,0))</f>
        <v>20</v>
      </c>
      <c r="M1889" s="0" t="n">
        <f aca="false">INDEX(Summary!$I$2:$I$201,MATCH($B1889,Summary!$A$2:$A$201,0))</f>
        <v>2</v>
      </c>
      <c r="N1889" s="0" t="n">
        <f aca="false">INDEX(Summary!$J$2:$J$201,MATCH($B1889,Summary!$A$2:$A$201,0))</f>
        <v>3</v>
      </c>
      <c r="O1889" s="2" t="n">
        <f aca="false">INDEX(Summary!$K$2:$K$201,MATCH($B1889,Summary!$A$2:$A$201,0))</f>
        <v>9.21</v>
      </c>
      <c r="P1889" s="3" t="n">
        <f aca="false">INDEX(Summary!$L$2:$L$201,MATCH($B1889,Summary!$A$2:$A$201,0))</f>
        <v>3</v>
      </c>
      <c r="Q1889" s="3" t="n">
        <f aca="false">INDEX(Summary!$M$2:$M$201,MATCH($B1889,Summary!$A$2:$A$201,0))</f>
        <v>3</v>
      </c>
      <c r="R1889" s="2" t="n">
        <f aca="false">INDEX(Summary!$N$2:$N$201,MATCH($B1889,Summary!$A$2:$A$201,0))</f>
        <v>10.08</v>
      </c>
      <c r="S1889" s="3" t="n">
        <f aca="false">INDEX(Summary!$O$2:$O$201,MATCH($B1889,Summary!$A$2:$A$201,0))</f>
        <v>4</v>
      </c>
      <c r="T1889" s="3" t="n">
        <f aca="false">INDEX(Summary!$P$2:$P$201,MATCH($B1889,Summary!$A$2:$A$201,0))</f>
        <v>5</v>
      </c>
      <c r="U1889" s="2" t="n">
        <f aca="false">INDEX(Summary!$Q$2:$Q$201,MATCH($B1889,Summary!$A$2:$A$201,0))</f>
        <v>12.56</v>
      </c>
      <c r="V1889" s="2" t="n">
        <f aca="false">INDEX(Summary!$R$2:$R$201,MATCH($B1889,Summary!$A$2:$A$201,0))</f>
        <v>17.78</v>
      </c>
      <c r="W1889" s="0" t="str">
        <f aca="false">INDEX(Summary!$S$2:$S$201,MATCH($B1889,Summary!$A$2:$A$201,0))</f>
        <v>Bronze</v>
      </c>
      <c r="X1889" s="2" t="n">
        <f aca="false">INDEX(Summary!$T$2:$T$201,MATCH($B1889,Summary!$A$2:$A$201,0))</f>
        <v>43.37</v>
      </c>
      <c r="Y1889" s="0" t="str">
        <f aca="false">INDEX('Reward Model'!$E$18:$E$37,MATCH($E1889,'Reward Model'!$A$18:$A$37,0))</f>
        <v>Medium</v>
      </c>
      <c r="Z1889" s="4" t="n">
        <f aca="false">ROUND(MIN(1,MAX('Reward Model'!$B$2,INDEX('Reward Model'!$C$12:$C$14,MATCH($K1889,'Reward Model'!$A$12:$A$14,0))/$J1889)),3)</f>
        <v>0.898</v>
      </c>
      <c r="AA1889" s="2" t="n">
        <f aca="false">IF($I1889="Correct",ROUND(INDEX('Reward Model'!$B$12:$B$14,MATCH($K1889,'Reward Model'!$A$12:$A$14,0))*Z1889,2),0)</f>
        <v>0</v>
      </c>
      <c r="AB1889" s="2" t="n">
        <f aca="false">IF($I1889="Correct",ROUND(INDEX('Reward Model'!$B$12:$B$14,MATCH($Y1889,'Reward Model'!$A$12:$A$14,0))*Z1889,2),0)</f>
        <v>0</v>
      </c>
    </row>
    <row r="1890" customFormat="false" ht="15" hidden="false" customHeight="false" outlineLevel="0" collapsed="false">
      <c r="A1890" s="0" t="s">
        <v>318</v>
      </c>
      <c r="B1890" s="0" t="s">
        <v>319</v>
      </c>
      <c r="C1890" s="0" t="s">
        <v>30</v>
      </c>
      <c r="D1890" s="0" t="s">
        <v>275</v>
      </c>
      <c r="E1890" s="0" t="n">
        <v>9</v>
      </c>
      <c r="F1890" s="0" t="s">
        <v>55</v>
      </c>
      <c r="G1890" s="0" t="s">
        <v>57</v>
      </c>
      <c r="H1890" s="0" t="s">
        <v>57</v>
      </c>
      <c r="I1890" s="0" t="s">
        <v>34</v>
      </c>
      <c r="J1890" s="0" t="n">
        <v>1.23</v>
      </c>
      <c r="K1890" s="0" t="s">
        <v>35</v>
      </c>
      <c r="L1890" s="0" t="n">
        <f aca="false">INDEX(Summary!$F$2:$F$201,MATCH($B1890,Summary!$A$2:$A$201,0))</f>
        <v>20</v>
      </c>
      <c r="M1890" s="0" t="n">
        <f aca="false">INDEX(Summary!$I$2:$I$201,MATCH($B1890,Summary!$A$2:$A$201,0))</f>
        <v>2</v>
      </c>
      <c r="N1890" s="0" t="n">
        <f aca="false">INDEX(Summary!$J$2:$J$201,MATCH($B1890,Summary!$A$2:$A$201,0))</f>
        <v>3</v>
      </c>
      <c r="O1890" s="2" t="n">
        <f aca="false">INDEX(Summary!$K$2:$K$201,MATCH($B1890,Summary!$A$2:$A$201,0))</f>
        <v>9.21</v>
      </c>
      <c r="P1890" s="3" t="n">
        <f aca="false">INDEX(Summary!$L$2:$L$201,MATCH($B1890,Summary!$A$2:$A$201,0))</f>
        <v>3</v>
      </c>
      <c r="Q1890" s="3" t="n">
        <f aca="false">INDEX(Summary!$M$2:$M$201,MATCH($B1890,Summary!$A$2:$A$201,0))</f>
        <v>3</v>
      </c>
      <c r="R1890" s="2" t="n">
        <f aca="false">INDEX(Summary!$N$2:$N$201,MATCH($B1890,Summary!$A$2:$A$201,0))</f>
        <v>10.08</v>
      </c>
      <c r="S1890" s="3" t="n">
        <f aca="false">INDEX(Summary!$O$2:$O$201,MATCH($B1890,Summary!$A$2:$A$201,0))</f>
        <v>4</v>
      </c>
      <c r="T1890" s="3" t="n">
        <f aca="false">INDEX(Summary!$P$2:$P$201,MATCH($B1890,Summary!$A$2:$A$201,0))</f>
        <v>5</v>
      </c>
      <c r="U1890" s="2" t="n">
        <f aca="false">INDEX(Summary!$Q$2:$Q$201,MATCH($B1890,Summary!$A$2:$A$201,0))</f>
        <v>12.56</v>
      </c>
      <c r="V1890" s="2" t="n">
        <f aca="false">INDEX(Summary!$R$2:$R$201,MATCH($B1890,Summary!$A$2:$A$201,0))</f>
        <v>17.78</v>
      </c>
      <c r="W1890" s="0" t="str">
        <f aca="false">INDEX(Summary!$S$2:$S$201,MATCH($B1890,Summary!$A$2:$A$201,0))</f>
        <v>Bronze</v>
      </c>
      <c r="X1890" s="2" t="n">
        <f aca="false">INDEX(Summary!$T$2:$T$201,MATCH($B1890,Summary!$A$2:$A$201,0))</f>
        <v>43.37</v>
      </c>
      <c r="Y1890" s="0" t="str">
        <f aca="false">INDEX('Reward Model'!$E$18:$E$37,MATCH($E1890,'Reward Model'!$A$18:$A$37,0))</f>
        <v>Medium</v>
      </c>
      <c r="Z1890" s="4" t="n">
        <f aca="false">ROUND(MIN(1,MAX('Reward Model'!$B$2,INDEX('Reward Model'!$C$12:$C$14,MATCH($K1890,'Reward Model'!$A$12:$A$14,0))/$J1890)),3)</f>
        <v>1</v>
      </c>
      <c r="AA1890" s="2" t="n">
        <f aca="false">IF($I1890="Correct",ROUND(INDEX('Reward Model'!$B$12:$B$14,MATCH($K1890,'Reward Model'!$A$12:$A$14,0))*Z1890,2),0)</f>
        <v>1</v>
      </c>
      <c r="AB1890" s="2" t="n">
        <f aca="false">IF($I1890="Correct",ROUND(INDEX('Reward Model'!$B$12:$B$14,MATCH($Y1890,'Reward Model'!$A$12:$A$14,0))*Z1890,2),0)</f>
        <v>2</v>
      </c>
    </row>
    <row r="1891" customFormat="false" ht="15" hidden="false" customHeight="false" outlineLevel="0" collapsed="false">
      <c r="A1891" s="0" t="s">
        <v>318</v>
      </c>
      <c r="B1891" s="0" t="s">
        <v>319</v>
      </c>
      <c r="C1891" s="0" t="s">
        <v>30</v>
      </c>
      <c r="D1891" s="0" t="s">
        <v>275</v>
      </c>
      <c r="E1891" s="0" t="n">
        <v>10</v>
      </c>
      <c r="F1891" s="0" t="s">
        <v>58</v>
      </c>
      <c r="G1891" s="0" t="s">
        <v>138</v>
      </c>
      <c r="H1891" s="0" t="s">
        <v>59</v>
      </c>
      <c r="I1891" s="0" t="s">
        <v>39</v>
      </c>
      <c r="J1891" s="0" t="n">
        <v>1.92</v>
      </c>
      <c r="K1891" s="0" t="s">
        <v>60</v>
      </c>
      <c r="L1891" s="0" t="n">
        <f aca="false">INDEX(Summary!$F$2:$F$201,MATCH($B1891,Summary!$A$2:$A$201,0))</f>
        <v>20</v>
      </c>
      <c r="M1891" s="0" t="n">
        <f aca="false">INDEX(Summary!$I$2:$I$201,MATCH($B1891,Summary!$A$2:$A$201,0))</f>
        <v>2</v>
      </c>
      <c r="N1891" s="0" t="n">
        <f aca="false">INDEX(Summary!$J$2:$J$201,MATCH($B1891,Summary!$A$2:$A$201,0))</f>
        <v>3</v>
      </c>
      <c r="O1891" s="2" t="n">
        <f aca="false">INDEX(Summary!$K$2:$K$201,MATCH($B1891,Summary!$A$2:$A$201,0))</f>
        <v>9.21</v>
      </c>
      <c r="P1891" s="3" t="n">
        <f aca="false">INDEX(Summary!$L$2:$L$201,MATCH($B1891,Summary!$A$2:$A$201,0))</f>
        <v>3</v>
      </c>
      <c r="Q1891" s="3" t="n">
        <f aca="false">INDEX(Summary!$M$2:$M$201,MATCH($B1891,Summary!$A$2:$A$201,0))</f>
        <v>3</v>
      </c>
      <c r="R1891" s="2" t="n">
        <f aca="false">INDEX(Summary!$N$2:$N$201,MATCH($B1891,Summary!$A$2:$A$201,0))</f>
        <v>10.08</v>
      </c>
      <c r="S1891" s="3" t="n">
        <f aca="false">INDEX(Summary!$O$2:$O$201,MATCH($B1891,Summary!$A$2:$A$201,0))</f>
        <v>4</v>
      </c>
      <c r="T1891" s="3" t="n">
        <f aca="false">INDEX(Summary!$P$2:$P$201,MATCH($B1891,Summary!$A$2:$A$201,0))</f>
        <v>5</v>
      </c>
      <c r="U1891" s="2" t="n">
        <f aca="false">INDEX(Summary!$Q$2:$Q$201,MATCH($B1891,Summary!$A$2:$A$201,0))</f>
        <v>12.56</v>
      </c>
      <c r="V1891" s="2" t="n">
        <f aca="false">INDEX(Summary!$R$2:$R$201,MATCH($B1891,Summary!$A$2:$A$201,0))</f>
        <v>17.78</v>
      </c>
      <c r="W1891" s="0" t="str">
        <f aca="false">INDEX(Summary!$S$2:$S$201,MATCH($B1891,Summary!$A$2:$A$201,0))</f>
        <v>Bronze</v>
      </c>
      <c r="X1891" s="2" t="n">
        <f aca="false">INDEX(Summary!$T$2:$T$201,MATCH($B1891,Summary!$A$2:$A$201,0))</f>
        <v>43.37</v>
      </c>
      <c r="Y1891" s="0" t="str">
        <f aca="false">INDEX('Reward Model'!$E$18:$E$37,MATCH($E1891,'Reward Model'!$A$18:$A$37,0))</f>
        <v>Medium</v>
      </c>
      <c r="Z1891" s="4" t="n">
        <f aca="false">ROUND(MIN(1,MAX('Reward Model'!$B$2,INDEX('Reward Model'!$C$12:$C$14,MATCH($K1891,'Reward Model'!$A$12:$A$14,0))/$J1891)),3)</f>
        <v>0.938</v>
      </c>
      <c r="AA1891" s="2" t="n">
        <f aca="false">IF($I1891="Correct",ROUND(INDEX('Reward Model'!$B$12:$B$14,MATCH($K1891,'Reward Model'!$A$12:$A$14,0))*Z1891,2),0)</f>
        <v>0</v>
      </c>
      <c r="AB1891" s="2" t="n">
        <f aca="false">IF($I1891="Correct",ROUND(INDEX('Reward Model'!$B$12:$B$14,MATCH($Y1891,'Reward Model'!$A$12:$A$14,0))*Z1891,2),0)</f>
        <v>0</v>
      </c>
    </row>
    <row r="1892" customFormat="false" ht="15" hidden="false" customHeight="false" outlineLevel="0" collapsed="false">
      <c r="A1892" s="0" t="s">
        <v>318</v>
      </c>
      <c r="B1892" s="0" t="s">
        <v>319</v>
      </c>
      <c r="C1892" s="0" t="s">
        <v>30</v>
      </c>
      <c r="D1892" s="0" t="s">
        <v>275</v>
      </c>
      <c r="E1892" s="0" t="n">
        <v>11</v>
      </c>
      <c r="F1892" s="0" t="s">
        <v>61</v>
      </c>
      <c r="G1892" s="0" t="s">
        <v>145</v>
      </c>
      <c r="H1892" s="0" t="s">
        <v>63</v>
      </c>
      <c r="I1892" s="0" t="s">
        <v>39</v>
      </c>
      <c r="J1892" s="0" t="n">
        <v>1.51</v>
      </c>
      <c r="K1892" s="0" t="s">
        <v>60</v>
      </c>
      <c r="L1892" s="0" t="n">
        <f aca="false">INDEX(Summary!$F$2:$F$201,MATCH($B1892,Summary!$A$2:$A$201,0))</f>
        <v>20</v>
      </c>
      <c r="M1892" s="0" t="n">
        <f aca="false">INDEX(Summary!$I$2:$I$201,MATCH($B1892,Summary!$A$2:$A$201,0))</f>
        <v>2</v>
      </c>
      <c r="N1892" s="0" t="n">
        <f aca="false">INDEX(Summary!$J$2:$J$201,MATCH($B1892,Summary!$A$2:$A$201,0))</f>
        <v>3</v>
      </c>
      <c r="O1892" s="2" t="n">
        <f aca="false">INDEX(Summary!$K$2:$K$201,MATCH($B1892,Summary!$A$2:$A$201,0))</f>
        <v>9.21</v>
      </c>
      <c r="P1892" s="3" t="n">
        <f aca="false">INDEX(Summary!$L$2:$L$201,MATCH($B1892,Summary!$A$2:$A$201,0))</f>
        <v>3</v>
      </c>
      <c r="Q1892" s="3" t="n">
        <f aca="false">INDEX(Summary!$M$2:$M$201,MATCH($B1892,Summary!$A$2:$A$201,0))</f>
        <v>3</v>
      </c>
      <c r="R1892" s="2" t="n">
        <f aca="false">INDEX(Summary!$N$2:$N$201,MATCH($B1892,Summary!$A$2:$A$201,0))</f>
        <v>10.08</v>
      </c>
      <c r="S1892" s="3" t="n">
        <f aca="false">INDEX(Summary!$O$2:$O$201,MATCH($B1892,Summary!$A$2:$A$201,0))</f>
        <v>4</v>
      </c>
      <c r="T1892" s="3" t="n">
        <f aca="false">INDEX(Summary!$P$2:$P$201,MATCH($B1892,Summary!$A$2:$A$201,0))</f>
        <v>5</v>
      </c>
      <c r="U1892" s="2" t="n">
        <f aca="false">INDEX(Summary!$Q$2:$Q$201,MATCH($B1892,Summary!$A$2:$A$201,0))</f>
        <v>12.56</v>
      </c>
      <c r="V1892" s="2" t="n">
        <f aca="false">INDEX(Summary!$R$2:$R$201,MATCH($B1892,Summary!$A$2:$A$201,0))</f>
        <v>17.78</v>
      </c>
      <c r="W1892" s="0" t="str">
        <f aca="false">INDEX(Summary!$S$2:$S$201,MATCH($B1892,Summary!$A$2:$A$201,0))</f>
        <v>Bronze</v>
      </c>
      <c r="X1892" s="2" t="n">
        <f aca="false">INDEX(Summary!$T$2:$T$201,MATCH($B1892,Summary!$A$2:$A$201,0))</f>
        <v>43.37</v>
      </c>
      <c r="Y1892" s="0" t="str">
        <f aca="false">INDEX('Reward Model'!$E$18:$E$37,MATCH($E1892,'Reward Model'!$A$18:$A$37,0))</f>
        <v>Medium</v>
      </c>
      <c r="Z1892" s="4" t="n">
        <f aca="false">ROUND(MIN(1,MAX('Reward Model'!$B$2,INDEX('Reward Model'!$C$12:$C$14,MATCH($K1892,'Reward Model'!$A$12:$A$14,0))/$J1892)),3)</f>
        <v>1</v>
      </c>
      <c r="AA1892" s="2" t="n">
        <f aca="false">IF($I1892="Correct",ROUND(INDEX('Reward Model'!$B$12:$B$14,MATCH($K1892,'Reward Model'!$A$12:$A$14,0))*Z1892,2),0)</f>
        <v>0</v>
      </c>
      <c r="AB1892" s="2" t="n">
        <f aca="false">IF($I1892="Correct",ROUND(INDEX('Reward Model'!$B$12:$B$14,MATCH($Y1892,'Reward Model'!$A$12:$A$14,0))*Z1892,2),0)</f>
        <v>0</v>
      </c>
    </row>
    <row r="1893" customFormat="false" ht="15" hidden="false" customHeight="false" outlineLevel="0" collapsed="false">
      <c r="A1893" s="0" t="s">
        <v>318</v>
      </c>
      <c r="B1893" s="0" t="s">
        <v>319</v>
      </c>
      <c r="C1893" s="0" t="s">
        <v>30</v>
      </c>
      <c r="D1893" s="0" t="s">
        <v>275</v>
      </c>
      <c r="E1893" s="0" t="n">
        <v>12</v>
      </c>
      <c r="F1893" s="0" t="s">
        <v>64</v>
      </c>
      <c r="G1893" s="0" t="s">
        <v>65</v>
      </c>
      <c r="H1893" s="0" t="s">
        <v>65</v>
      </c>
      <c r="I1893" s="0" t="s">
        <v>34</v>
      </c>
      <c r="J1893" s="0" t="n">
        <v>1.32</v>
      </c>
      <c r="K1893" s="0" t="s">
        <v>60</v>
      </c>
      <c r="L1893" s="0" t="n">
        <f aca="false">INDEX(Summary!$F$2:$F$201,MATCH($B1893,Summary!$A$2:$A$201,0))</f>
        <v>20</v>
      </c>
      <c r="M1893" s="0" t="n">
        <f aca="false">INDEX(Summary!$I$2:$I$201,MATCH($B1893,Summary!$A$2:$A$201,0))</f>
        <v>2</v>
      </c>
      <c r="N1893" s="0" t="n">
        <f aca="false">INDEX(Summary!$J$2:$J$201,MATCH($B1893,Summary!$A$2:$A$201,0))</f>
        <v>3</v>
      </c>
      <c r="O1893" s="2" t="n">
        <f aca="false">INDEX(Summary!$K$2:$K$201,MATCH($B1893,Summary!$A$2:$A$201,0))</f>
        <v>9.21</v>
      </c>
      <c r="P1893" s="3" t="n">
        <f aca="false">INDEX(Summary!$L$2:$L$201,MATCH($B1893,Summary!$A$2:$A$201,0))</f>
        <v>3</v>
      </c>
      <c r="Q1893" s="3" t="n">
        <f aca="false">INDEX(Summary!$M$2:$M$201,MATCH($B1893,Summary!$A$2:$A$201,0))</f>
        <v>3</v>
      </c>
      <c r="R1893" s="2" t="n">
        <f aca="false">INDEX(Summary!$N$2:$N$201,MATCH($B1893,Summary!$A$2:$A$201,0))</f>
        <v>10.08</v>
      </c>
      <c r="S1893" s="3" t="n">
        <f aca="false">INDEX(Summary!$O$2:$O$201,MATCH($B1893,Summary!$A$2:$A$201,0))</f>
        <v>4</v>
      </c>
      <c r="T1893" s="3" t="n">
        <f aca="false">INDEX(Summary!$P$2:$P$201,MATCH($B1893,Summary!$A$2:$A$201,0))</f>
        <v>5</v>
      </c>
      <c r="U1893" s="2" t="n">
        <f aca="false">INDEX(Summary!$Q$2:$Q$201,MATCH($B1893,Summary!$A$2:$A$201,0))</f>
        <v>12.56</v>
      </c>
      <c r="V1893" s="2" t="n">
        <f aca="false">INDEX(Summary!$R$2:$R$201,MATCH($B1893,Summary!$A$2:$A$201,0))</f>
        <v>17.78</v>
      </c>
      <c r="W1893" s="0" t="str">
        <f aca="false">INDEX(Summary!$S$2:$S$201,MATCH($B1893,Summary!$A$2:$A$201,0))</f>
        <v>Bronze</v>
      </c>
      <c r="X1893" s="2" t="n">
        <f aca="false">INDEX(Summary!$T$2:$T$201,MATCH($B1893,Summary!$A$2:$A$201,0))</f>
        <v>43.37</v>
      </c>
      <c r="Y1893" s="0" t="str">
        <f aca="false">INDEX('Reward Model'!$E$18:$E$37,MATCH($E1893,'Reward Model'!$A$18:$A$37,0))</f>
        <v>Medium</v>
      </c>
      <c r="Z1893" s="4" t="n">
        <f aca="false">ROUND(MIN(1,MAX('Reward Model'!$B$2,INDEX('Reward Model'!$C$12:$C$14,MATCH($K1893,'Reward Model'!$A$12:$A$14,0))/$J1893)),3)</f>
        <v>1</v>
      </c>
      <c r="AA1893" s="2" t="n">
        <f aca="false">IF($I1893="Correct",ROUND(INDEX('Reward Model'!$B$12:$B$14,MATCH($K1893,'Reward Model'!$A$12:$A$14,0))*Z1893,2),0)</f>
        <v>2</v>
      </c>
      <c r="AB1893" s="2" t="n">
        <f aca="false">IF($I1893="Correct",ROUND(INDEX('Reward Model'!$B$12:$B$14,MATCH($Y1893,'Reward Model'!$A$12:$A$14,0))*Z1893,2),0)</f>
        <v>2</v>
      </c>
    </row>
    <row r="1894" customFormat="false" ht="15" hidden="false" customHeight="false" outlineLevel="0" collapsed="false">
      <c r="A1894" s="0" t="s">
        <v>318</v>
      </c>
      <c r="B1894" s="0" t="s">
        <v>319</v>
      </c>
      <c r="C1894" s="0" t="s">
        <v>30</v>
      </c>
      <c r="D1894" s="0" t="s">
        <v>275</v>
      </c>
      <c r="E1894" s="0" t="n">
        <v>13</v>
      </c>
      <c r="F1894" s="0" t="s">
        <v>66</v>
      </c>
      <c r="G1894" s="0" t="s">
        <v>67</v>
      </c>
      <c r="H1894" s="0" t="s">
        <v>67</v>
      </c>
      <c r="I1894" s="0" t="s">
        <v>34</v>
      </c>
      <c r="J1894" s="0" t="n">
        <v>1.87</v>
      </c>
      <c r="K1894" s="0" t="s">
        <v>60</v>
      </c>
      <c r="L1894" s="0" t="n">
        <f aca="false">INDEX(Summary!$F$2:$F$201,MATCH($B1894,Summary!$A$2:$A$201,0))</f>
        <v>20</v>
      </c>
      <c r="M1894" s="0" t="n">
        <f aca="false">INDEX(Summary!$I$2:$I$201,MATCH($B1894,Summary!$A$2:$A$201,0))</f>
        <v>2</v>
      </c>
      <c r="N1894" s="0" t="n">
        <f aca="false">INDEX(Summary!$J$2:$J$201,MATCH($B1894,Summary!$A$2:$A$201,0))</f>
        <v>3</v>
      </c>
      <c r="O1894" s="2" t="n">
        <f aca="false">INDEX(Summary!$K$2:$K$201,MATCH($B1894,Summary!$A$2:$A$201,0))</f>
        <v>9.21</v>
      </c>
      <c r="P1894" s="3" t="n">
        <f aca="false">INDEX(Summary!$L$2:$L$201,MATCH($B1894,Summary!$A$2:$A$201,0))</f>
        <v>3</v>
      </c>
      <c r="Q1894" s="3" t="n">
        <f aca="false">INDEX(Summary!$M$2:$M$201,MATCH($B1894,Summary!$A$2:$A$201,0))</f>
        <v>3</v>
      </c>
      <c r="R1894" s="2" t="n">
        <f aca="false">INDEX(Summary!$N$2:$N$201,MATCH($B1894,Summary!$A$2:$A$201,0))</f>
        <v>10.08</v>
      </c>
      <c r="S1894" s="3" t="n">
        <f aca="false">INDEX(Summary!$O$2:$O$201,MATCH($B1894,Summary!$A$2:$A$201,0))</f>
        <v>4</v>
      </c>
      <c r="T1894" s="3" t="n">
        <f aca="false">INDEX(Summary!$P$2:$P$201,MATCH($B1894,Summary!$A$2:$A$201,0))</f>
        <v>5</v>
      </c>
      <c r="U1894" s="2" t="n">
        <f aca="false">INDEX(Summary!$Q$2:$Q$201,MATCH($B1894,Summary!$A$2:$A$201,0))</f>
        <v>12.56</v>
      </c>
      <c r="V1894" s="2" t="n">
        <f aca="false">INDEX(Summary!$R$2:$R$201,MATCH($B1894,Summary!$A$2:$A$201,0))</f>
        <v>17.78</v>
      </c>
      <c r="W1894" s="0" t="str">
        <f aca="false">INDEX(Summary!$S$2:$S$201,MATCH($B1894,Summary!$A$2:$A$201,0))</f>
        <v>Bronze</v>
      </c>
      <c r="X1894" s="2" t="n">
        <f aca="false">INDEX(Summary!$T$2:$T$201,MATCH($B1894,Summary!$A$2:$A$201,0))</f>
        <v>43.37</v>
      </c>
      <c r="Y1894" s="0" t="str">
        <f aca="false">INDEX('Reward Model'!$E$18:$E$37,MATCH($E1894,'Reward Model'!$A$18:$A$37,0))</f>
        <v>Medium</v>
      </c>
      <c r="Z1894" s="4" t="n">
        <f aca="false">ROUND(MIN(1,MAX('Reward Model'!$B$2,INDEX('Reward Model'!$C$12:$C$14,MATCH($K1894,'Reward Model'!$A$12:$A$14,0))/$J1894)),3)</f>
        <v>0.963</v>
      </c>
      <c r="AA1894" s="2" t="n">
        <f aca="false">IF($I1894="Correct",ROUND(INDEX('Reward Model'!$B$12:$B$14,MATCH($K1894,'Reward Model'!$A$12:$A$14,0))*Z1894,2),0)</f>
        <v>1.93</v>
      </c>
      <c r="AB1894" s="2" t="n">
        <f aca="false">IF($I1894="Correct",ROUND(INDEX('Reward Model'!$B$12:$B$14,MATCH($Y1894,'Reward Model'!$A$12:$A$14,0))*Z1894,2),0)</f>
        <v>1.93</v>
      </c>
    </row>
    <row r="1895" customFormat="false" ht="15" hidden="false" customHeight="false" outlineLevel="0" collapsed="false">
      <c r="A1895" s="0" t="s">
        <v>318</v>
      </c>
      <c r="B1895" s="0" t="s">
        <v>319</v>
      </c>
      <c r="C1895" s="0" t="s">
        <v>30</v>
      </c>
      <c r="D1895" s="0" t="s">
        <v>275</v>
      </c>
      <c r="E1895" s="0" t="n">
        <v>14</v>
      </c>
      <c r="F1895" s="0" t="s">
        <v>68</v>
      </c>
      <c r="G1895" s="0" t="s">
        <v>100</v>
      </c>
      <c r="H1895" s="0" t="s">
        <v>51</v>
      </c>
      <c r="I1895" s="0" t="s">
        <v>39</v>
      </c>
      <c r="J1895" s="0" t="n">
        <v>1.79</v>
      </c>
      <c r="K1895" s="0" t="s">
        <v>60</v>
      </c>
      <c r="L1895" s="0" t="n">
        <f aca="false">INDEX(Summary!$F$2:$F$201,MATCH($B1895,Summary!$A$2:$A$201,0))</f>
        <v>20</v>
      </c>
      <c r="M1895" s="0" t="n">
        <f aca="false">INDEX(Summary!$I$2:$I$201,MATCH($B1895,Summary!$A$2:$A$201,0))</f>
        <v>2</v>
      </c>
      <c r="N1895" s="0" t="n">
        <f aca="false">INDEX(Summary!$J$2:$J$201,MATCH($B1895,Summary!$A$2:$A$201,0))</f>
        <v>3</v>
      </c>
      <c r="O1895" s="2" t="n">
        <f aca="false">INDEX(Summary!$K$2:$K$201,MATCH($B1895,Summary!$A$2:$A$201,0))</f>
        <v>9.21</v>
      </c>
      <c r="P1895" s="3" t="n">
        <f aca="false">INDEX(Summary!$L$2:$L$201,MATCH($B1895,Summary!$A$2:$A$201,0))</f>
        <v>3</v>
      </c>
      <c r="Q1895" s="3" t="n">
        <f aca="false">INDEX(Summary!$M$2:$M$201,MATCH($B1895,Summary!$A$2:$A$201,0))</f>
        <v>3</v>
      </c>
      <c r="R1895" s="2" t="n">
        <f aca="false">INDEX(Summary!$N$2:$N$201,MATCH($B1895,Summary!$A$2:$A$201,0))</f>
        <v>10.08</v>
      </c>
      <c r="S1895" s="3" t="n">
        <f aca="false">INDEX(Summary!$O$2:$O$201,MATCH($B1895,Summary!$A$2:$A$201,0))</f>
        <v>4</v>
      </c>
      <c r="T1895" s="3" t="n">
        <f aca="false">INDEX(Summary!$P$2:$P$201,MATCH($B1895,Summary!$A$2:$A$201,0))</f>
        <v>5</v>
      </c>
      <c r="U1895" s="2" t="n">
        <f aca="false">INDEX(Summary!$Q$2:$Q$201,MATCH($B1895,Summary!$A$2:$A$201,0))</f>
        <v>12.56</v>
      </c>
      <c r="V1895" s="2" t="n">
        <f aca="false">INDEX(Summary!$R$2:$R$201,MATCH($B1895,Summary!$A$2:$A$201,0))</f>
        <v>17.78</v>
      </c>
      <c r="W1895" s="0" t="str">
        <f aca="false">INDEX(Summary!$S$2:$S$201,MATCH($B1895,Summary!$A$2:$A$201,0))</f>
        <v>Bronze</v>
      </c>
      <c r="X1895" s="2" t="n">
        <f aca="false">INDEX(Summary!$T$2:$T$201,MATCH($B1895,Summary!$A$2:$A$201,0))</f>
        <v>43.37</v>
      </c>
      <c r="Y1895" s="0" t="str">
        <f aca="false">INDEX('Reward Model'!$E$18:$E$37,MATCH($E1895,'Reward Model'!$A$18:$A$37,0))</f>
        <v>Medium</v>
      </c>
      <c r="Z1895" s="4" t="n">
        <f aca="false">ROUND(MIN(1,MAX('Reward Model'!$B$2,INDEX('Reward Model'!$C$12:$C$14,MATCH($K1895,'Reward Model'!$A$12:$A$14,0))/$J1895)),3)</f>
        <v>1</v>
      </c>
      <c r="AA1895" s="2" t="n">
        <f aca="false">IF($I1895="Correct",ROUND(INDEX('Reward Model'!$B$12:$B$14,MATCH($K1895,'Reward Model'!$A$12:$A$14,0))*Z1895,2),0)</f>
        <v>0</v>
      </c>
      <c r="AB1895" s="2" t="n">
        <f aca="false">IF($I1895="Correct",ROUND(INDEX('Reward Model'!$B$12:$B$14,MATCH($Y1895,'Reward Model'!$A$12:$A$14,0))*Z1895,2),0)</f>
        <v>0</v>
      </c>
    </row>
    <row r="1896" customFormat="false" ht="15" hidden="false" customHeight="false" outlineLevel="0" collapsed="false">
      <c r="A1896" s="0" t="s">
        <v>318</v>
      </c>
      <c r="B1896" s="0" t="s">
        <v>319</v>
      </c>
      <c r="C1896" s="0" t="s">
        <v>30</v>
      </c>
      <c r="D1896" s="0" t="s">
        <v>275</v>
      </c>
      <c r="E1896" s="0" t="n">
        <v>15</v>
      </c>
      <c r="F1896" s="0" t="s">
        <v>69</v>
      </c>
      <c r="G1896" s="0" t="s">
        <v>70</v>
      </c>
      <c r="H1896" s="0" t="s">
        <v>70</v>
      </c>
      <c r="I1896" s="0" t="s">
        <v>34</v>
      </c>
      <c r="J1896" s="0" t="n">
        <v>1.67</v>
      </c>
      <c r="K1896" s="0" t="s">
        <v>60</v>
      </c>
      <c r="L1896" s="0" t="n">
        <f aca="false">INDEX(Summary!$F$2:$F$201,MATCH($B1896,Summary!$A$2:$A$201,0))</f>
        <v>20</v>
      </c>
      <c r="M1896" s="0" t="n">
        <f aca="false">INDEX(Summary!$I$2:$I$201,MATCH($B1896,Summary!$A$2:$A$201,0))</f>
        <v>2</v>
      </c>
      <c r="N1896" s="0" t="n">
        <f aca="false">INDEX(Summary!$J$2:$J$201,MATCH($B1896,Summary!$A$2:$A$201,0))</f>
        <v>3</v>
      </c>
      <c r="O1896" s="2" t="n">
        <f aca="false">INDEX(Summary!$K$2:$K$201,MATCH($B1896,Summary!$A$2:$A$201,0))</f>
        <v>9.21</v>
      </c>
      <c r="P1896" s="3" t="n">
        <f aca="false">INDEX(Summary!$L$2:$L$201,MATCH($B1896,Summary!$A$2:$A$201,0))</f>
        <v>3</v>
      </c>
      <c r="Q1896" s="3" t="n">
        <f aca="false">INDEX(Summary!$M$2:$M$201,MATCH($B1896,Summary!$A$2:$A$201,0))</f>
        <v>3</v>
      </c>
      <c r="R1896" s="2" t="n">
        <f aca="false">INDEX(Summary!$N$2:$N$201,MATCH($B1896,Summary!$A$2:$A$201,0))</f>
        <v>10.08</v>
      </c>
      <c r="S1896" s="3" t="n">
        <f aca="false">INDEX(Summary!$O$2:$O$201,MATCH($B1896,Summary!$A$2:$A$201,0))</f>
        <v>4</v>
      </c>
      <c r="T1896" s="3" t="n">
        <f aca="false">INDEX(Summary!$P$2:$P$201,MATCH($B1896,Summary!$A$2:$A$201,0))</f>
        <v>5</v>
      </c>
      <c r="U1896" s="2" t="n">
        <f aca="false">INDEX(Summary!$Q$2:$Q$201,MATCH($B1896,Summary!$A$2:$A$201,0))</f>
        <v>12.56</v>
      </c>
      <c r="V1896" s="2" t="n">
        <f aca="false">INDEX(Summary!$R$2:$R$201,MATCH($B1896,Summary!$A$2:$A$201,0))</f>
        <v>17.78</v>
      </c>
      <c r="W1896" s="0" t="str">
        <f aca="false">INDEX(Summary!$S$2:$S$201,MATCH($B1896,Summary!$A$2:$A$201,0))</f>
        <v>Bronze</v>
      </c>
      <c r="X1896" s="2" t="n">
        <f aca="false">INDEX(Summary!$T$2:$T$201,MATCH($B1896,Summary!$A$2:$A$201,0))</f>
        <v>43.37</v>
      </c>
      <c r="Y1896" s="0" t="str">
        <f aca="false">INDEX('Reward Model'!$E$18:$E$37,MATCH($E1896,'Reward Model'!$A$18:$A$37,0))</f>
        <v>Medium</v>
      </c>
      <c r="Z1896" s="4" t="n">
        <f aca="false">ROUND(MIN(1,MAX('Reward Model'!$B$2,INDEX('Reward Model'!$C$12:$C$14,MATCH($K1896,'Reward Model'!$A$12:$A$14,0))/$J1896)),3)</f>
        <v>1</v>
      </c>
      <c r="AA1896" s="2" t="n">
        <f aca="false">IF($I1896="Correct",ROUND(INDEX('Reward Model'!$B$12:$B$14,MATCH($K1896,'Reward Model'!$A$12:$A$14,0))*Z1896,2),0)</f>
        <v>2</v>
      </c>
      <c r="AB1896" s="2" t="n">
        <f aca="false">IF($I1896="Correct",ROUND(INDEX('Reward Model'!$B$12:$B$14,MATCH($Y1896,'Reward Model'!$A$12:$A$14,0))*Z1896,2),0)</f>
        <v>2</v>
      </c>
    </row>
    <row r="1897" customFormat="false" ht="15" hidden="false" customHeight="false" outlineLevel="0" collapsed="false">
      <c r="A1897" s="0" t="s">
        <v>318</v>
      </c>
      <c r="B1897" s="0" t="s">
        <v>319</v>
      </c>
      <c r="C1897" s="0" t="s">
        <v>30</v>
      </c>
      <c r="D1897" s="0" t="s">
        <v>275</v>
      </c>
      <c r="E1897" s="0" t="n">
        <v>16</v>
      </c>
      <c r="F1897" s="0" t="s">
        <v>71</v>
      </c>
      <c r="G1897" s="0" t="s">
        <v>101</v>
      </c>
      <c r="H1897" s="0" t="s">
        <v>72</v>
      </c>
      <c r="I1897" s="0" t="s">
        <v>39</v>
      </c>
      <c r="J1897" s="0" t="n">
        <v>1.65</v>
      </c>
      <c r="K1897" s="0" t="s">
        <v>73</v>
      </c>
      <c r="L1897" s="0" t="n">
        <f aca="false">INDEX(Summary!$F$2:$F$201,MATCH($B1897,Summary!$A$2:$A$201,0))</f>
        <v>20</v>
      </c>
      <c r="M1897" s="0" t="n">
        <f aca="false">INDEX(Summary!$I$2:$I$201,MATCH($B1897,Summary!$A$2:$A$201,0))</f>
        <v>2</v>
      </c>
      <c r="N1897" s="0" t="n">
        <f aca="false">INDEX(Summary!$J$2:$J$201,MATCH($B1897,Summary!$A$2:$A$201,0))</f>
        <v>3</v>
      </c>
      <c r="O1897" s="2" t="n">
        <f aca="false">INDEX(Summary!$K$2:$K$201,MATCH($B1897,Summary!$A$2:$A$201,0))</f>
        <v>9.21</v>
      </c>
      <c r="P1897" s="3" t="n">
        <f aca="false">INDEX(Summary!$L$2:$L$201,MATCH($B1897,Summary!$A$2:$A$201,0))</f>
        <v>3</v>
      </c>
      <c r="Q1897" s="3" t="n">
        <f aca="false">INDEX(Summary!$M$2:$M$201,MATCH($B1897,Summary!$A$2:$A$201,0))</f>
        <v>3</v>
      </c>
      <c r="R1897" s="2" t="n">
        <f aca="false">INDEX(Summary!$N$2:$N$201,MATCH($B1897,Summary!$A$2:$A$201,0))</f>
        <v>10.08</v>
      </c>
      <c r="S1897" s="3" t="n">
        <f aca="false">INDEX(Summary!$O$2:$O$201,MATCH($B1897,Summary!$A$2:$A$201,0))</f>
        <v>4</v>
      </c>
      <c r="T1897" s="3" t="n">
        <f aca="false">INDEX(Summary!$P$2:$P$201,MATCH($B1897,Summary!$A$2:$A$201,0))</f>
        <v>5</v>
      </c>
      <c r="U1897" s="2" t="n">
        <f aca="false">INDEX(Summary!$Q$2:$Q$201,MATCH($B1897,Summary!$A$2:$A$201,0))</f>
        <v>12.56</v>
      </c>
      <c r="V1897" s="2" t="n">
        <f aca="false">INDEX(Summary!$R$2:$R$201,MATCH($B1897,Summary!$A$2:$A$201,0))</f>
        <v>17.78</v>
      </c>
      <c r="W1897" s="0" t="str">
        <f aca="false">INDEX(Summary!$S$2:$S$201,MATCH($B1897,Summary!$A$2:$A$201,0))</f>
        <v>Bronze</v>
      </c>
      <c r="X1897" s="2" t="n">
        <f aca="false">INDEX(Summary!$T$2:$T$201,MATCH($B1897,Summary!$A$2:$A$201,0))</f>
        <v>43.37</v>
      </c>
      <c r="Y1897" s="0" t="str">
        <f aca="false">INDEX('Reward Model'!$E$18:$E$37,MATCH($E1897,'Reward Model'!$A$18:$A$37,0))</f>
        <v>High</v>
      </c>
      <c r="Z1897" s="4" t="n">
        <f aca="false">ROUND(MIN(1,MAX('Reward Model'!$B$2,INDEX('Reward Model'!$C$12:$C$14,MATCH($K1897,'Reward Model'!$A$12:$A$14,0))/$J1897)),3)</f>
        <v>1</v>
      </c>
      <c r="AA1897" s="2" t="n">
        <f aca="false">IF($I1897="Correct",ROUND(INDEX('Reward Model'!$B$12:$B$14,MATCH($K1897,'Reward Model'!$A$12:$A$14,0))*Z1897,2),0)</f>
        <v>0</v>
      </c>
      <c r="AB1897" s="2" t="n">
        <f aca="false">IF($I1897="Correct",ROUND(INDEX('Reward Model'!$B$12:$B$14,MATCH($Y1897,'Reward Model'!$A$12:$A$14,0))*Z1897,2),0)</f>
        <v>0</v>
      </c>
    </row>
    <row r="1898" customFormat="false" ht="15" hidden="false" customHeight="false" outlineLevel="0" collapsed="false">
      <c r="A1898" s="0" t="s">
        <v>318</v>
      </c>
      <c r="B1898" s="0" t="s">
        <v>319</v>
      </c>
      <c r="C1898" s="0" t="s">
        <v>30</v>
      </c>
      <c r="D1898" s="0" t="s">
        <v>275</v>
      </c>
      <c r="E1898" s="0" t="n">
        <v>17</v>
      </c>
      <c r="F1898" s="0" t="s">
        <v>74</v>
      </c>
      <c r="G1898" s="0" t="s">
        <v>75</v>
      </c>
      <c r="H1898" s="0" t="s">
        <v>75</v>
      </c>
      <c r="I1898" s="0" t="s">
        <v>34</v>
      </c>
      <c r="J1898" s="0" t="n">
        <v>1.9</v>
      </c>
      <c r="K1898" s="0" t="s">
        <v>73</v>
      </c>
      <c r="L1898" s="0" t="n">
        <f aca="false">INDEX(Summary!$F$2:$F$201,MATCH($B1898,Summary!$A$2:$A$201,0))</f>
        <v>20</v>
      </c>
      <c r="M1898" s="0" t="n">
        <f aca="false">INDEX(Summary!$I$2:$I$201,MATCH($B1898,Summary!$A$2:$A$201,0))</f>
        <v>2</v>
      </c>
      <c r="N1898" s="0" t="n">
        <f aca="false">INDEX(Summary!$J$2:$J$201,MATCH($B1898,Summary!$A$2:$A$201,0))</f>
        <v>3</v>
      </c>
      <c r="O1898" s="2" t="n">
        <f aca="false">INDEX(Summary!$K$2:$K$201,MATCH($B1898,Summary!$A$2:$A$201,0))</f>
        <v>9.21</v>
      </c>
      <c r="P1898" s="3" t="n">
        <f aca="false">INDEX(Summary!$L$2:$L$201,MATCH($B1898,Summary!$A$2:$A$201,0))</f>
        <v>3</v>
      </c>
      <c r="Q1898" s="3" t="n">
        <f aca="false">INDEX(Summary!$M$2:$M$201,MATCH($B1898,Summary!$A$2:$A$201,0))</f>
        <v>3</v>
      </c>
      <c r="R1898" s="2" t="n">
        <f aca="false">INDEX(Summary!$N$2:$N$201,MATCH($B1898,Summary!$A$2:$A$201,0))</f>
        <v>10.08</v>
      </c>
      <c r="S1898" s="3" t="n">
        <f aca="false">INDEX(Summary!$O$2:$O$201,MATCH($B1898,Summary!$A$2:$A$201,0))</f>
        <v>4</v>
      </c>
      <c r="T1898" s="3" t="n">
        <f aca="false">INDEX(Summary!$P$2:$P$201,MATCH($B1898,Summary!$A$2:$A$201,0))</f>
        <v>5</v>
      </c>
      <c r="U1898" s="2" t="n">
        <f aca="false">INDEX(Summary!$Q$2:$Q$201,MATCH($B1898,Summary!$A$2:$A$201,0))</f>
        <v>12.56</v>
      </c>
      <c r="V1898" s="2" t="n">
        <f aca="false">INDEX(Summary!$R$2:$R$201,MATCH($B1898,Summary!$A$2:$A$201,0))</f>
        <v>17.78</v>
      </c>
      <c r="W1898" s="0" t="str">
        <f aca="false">INDEX(Summary!$S$2:$S$201,MATCH($B1898,Summary!$A$2:$A$201,0))</f>
        <v>Bronze</v>
      </c>
      <c r="X1898" s="2" t="n">
        <f aca="false">INDEX(Summary!$T$2:$T$201,MATCH($B1898,Summary!$A$2:$A$201,0))</f>
        <v>43.37</v>
      </c>
      <c r="Y1898" s="0" t="str">
        <f aca="false">INDEX('Reward Model'!$E$18:$E$37,MATCH($E1898,'Reward Model'!$A$18:$A$37,0))</f>
        <v>High</v>
      </c>
      <c r="Z1898" s="4" t="n">
        <f aca="false">ROUND(MIN(1,MAX('Reward Model'!$B$2,INDEX('Reward Model'!$C$12:$C$14,MATCH($K1898,'Reward Model'!$A$12:$A$14,0))/$J1898)),3)</f>
        <v>1</v>
      </c>
      <c r="AA1898" s="2" t="n">
        <f aca="false">IF($I1898="Correct",ROUND(INDEX('Reward Model'!$B$12:$B$14,MATCH($K1898,'Reward Model'!$A$12:$A$14,0))*Z1898,2),0)</f>
        <v>3</v>
      </c>
      <c r="AB1898" s="2" t="n">
        <f aca="false">IF($I1898="Correct",ROUND(INDEX('Reward Model'!$B$12:$B$14,MATCH($Y1898,'Reward Model'!$A$12:$A$14,0))*Z1898,2),0)</f>
        <v>3</v>
      </c>
    </row>
    <row r="1899" customFormat="false" ht="15" hidden="false" customHeight="false" outlineLevel="0" collapsed="false">
      <c r="A1899" s="0" t="s">
        <v>318</v>
      </c>
      <c r="B1899" s="0" t="s">
        <v>319</v>
      </c>
      <c r="C1899" s="0" t="s">
        <v>30</v>
      </c>
      <c r="D1899" s="0" t="s">
        <v>275</v>
      </c>
      <c r="E1899" s="0" t="n">
        <v>18</v>
      </c>
      <c r="F1899" s="0" t="s">
        <v>76</v>
      </c>
      <c r="G1899" s="0" t="s">
        <v>77</v>
      </c>
      <c r="H1899" s="0" t="s">
        <v>77</v>
      </c>
      <c r="I1899" s="0" t="s">
        <v>34</v>
      </c>
      <c r="J1899" s="0" t="n">
        <v>1.8</v>
      </c>
      <c r="K1899" s="0" t="s">
        <v>73</v>
      </c>
      <c r="L1899" s="0" t="n">
        <f aca="false">INDEX(Summary!$F$2:$F$201,MATCH($B1899,Summary!$A$2:$A$201,0))</f>
        <v>20</v>
      </c>
      <c r="M1899" s="0" t="n">
        <f aca="false">INDEX(Summary!$I$2:$I$201,MATCH($B1899,Summary!$A$2:$A$201,0))</f>
        <v>2</v>
      </c>
      <c r="N1899" s="0" t="n">
        <f aca="false">INDEX(Summary!$J$2:$J$201,MATCH($B1899,Summary!$A$2:$A$201,0))</f>
        <v>3</v>
      </c>
      <c r="O1899" s="2" t="n">
        <f aca="false">INDEX(Summary!$K$2:$K$201,MATCH($B1899,Summary!$A$2:$A$201,0))</f>
        <v>9.21</v>
      </c>
      <c r="P1899" s="3" t="n">
        <f aca="false">INDEX(Summary!$L$2:$L$201,MATCH($B1899,Summary!$A$2:$A$201,0))</f>
        <v>3</v>
      </c>
      <c r="Q1899" s="3" t="n">
        <f aca="false">INDEX(Summary!$M$2:$M$201,MATCH($B1899,Summary!$A$2:$A$201,0))</f>
        <v>3</v>
      </c>
      <c r="R1899" s="2" t="n">
        <f aca="false">INDEX(Summary!$N$2:$N$201,MATCH($B1899,Summary!$A$2:$A$201,0))</f>
        <v>10.08</v>
      </c>
      <c r="S1899" s="3" t="n">
        <f aca="false">INDEX(Summary!$O$2:$O$201,MATCH($B1899,Summary!$A$2:$A$201,0))</f>
        <v>4</v>
      </c>
      <c r="T1899" s="3" t="n">
        <f aca="false">INDEX(Summary!$P$2:$P$201,MATCH($B1899,Summary!$A$2:$A$201,0))</f>
        <v>5</v>
      </c>
      <c r="U1899" s="2" t="n">
        <f aca="false">INDEX(Summary!$Q$2:$Q$201,MATCH($B1899,Summary!$A$2:$A$201,0))</f>
        <v>12.56</v>
      </c>
      <c r="V1899" s="2" t="n">
        <f aca="false">INDEX(Summary!$R$2:$R$201,MATCH($B1899,Summary!$A$2:$A$201,0))</f>
        <v>17.78</v>
      </c>
      <c r="W1899" s="0" t="str">
        <f aca="false">INDEX(Summary!$S$2:$S$201,MATCH($B1899,Summary!$A$2:$A$201,0))</f>
        <v>Bronze</v>
      </c>
      <c r="X1899" s="2" t="n">
        <f aca="false">INDEX(Summary!$T$2:$T$201,MATCH($B1899,Summary!$A$2:$A$201,0))</f>
        <v>43.37</v>
      </c>
      <c r="Y1899" s="0" t="str">
        <f aca="false">INDEX('Reward Model'!$E$18:$E$37,MATCH($E1899,'Reward Model'!$A$18:$A$37,0))</f>
        <v>High</v>
      </c>
      <c r="Z1899" s="4" t="n">
        <f aca="false">ROUND(MIN(1,MAX('Reward Model'!$B$2,INDEX('Reward Model'!$C$12:$C$14,MATCH($K1899,'Reward Model'!$A$12:$A$14,0))/$J1899)),3)</f>
        <v>1</v>
      </c>
      <c r="AA1899" s="2" t="n">
        <f aca="false">IF($I1899="Correct",ROUND(INDEX('Reward Model'!$B$12:$B$14,MATCH($K1899,'Reward Model'!$A$12:$A$14,0))*Z1899,2),0)</f>
        <v>3</v>
      </c>
      <c r="AB1899" s="2" t="n">
        <f aca="false">IF($I1899="Correct",ROUND(INDEX('Reward Model'!$B$12:$B$14,MATCH($Y1899,'Reward Model'!$A$12:$A$14,0))*Z1899,2),0)</f>
        <v>3</v>
      </c>
    </row>
    <row r="1900" customFormat="false" ht="15" hidden="false" customHeight="false" outlineLevel="0" collapsed="false">
      <c r="A1900" s="0" t="s">
        <v>318</v>
      </c>
      <c r="B1900" s="0" t="s">
        <v>319</v>
      </c>
      <c r="C1900" s="0" t="s">
        <v>30</v>
      </c>
      <c r="D1900" s="0" t="s">
        <v>275</v>
      </c>
      <c r="E1900" s="0" t="n">
        <v>19</v>
      </c>
      <c r="F1900" s="0" t="s">
        <v>78</v>
      </c>
      <c r="G1900" s="0" t="s">
        <v>132</v>
      </c>
      <c r="H1900" s="0" t="s">
        <v>80</v>
      </c>
      <c r="I1900" s="0" t="s">
        <v>39</v>
      </c>
      <c r="J1900" s="0" t="n">
        <v>2.1</v>
      </c>
      <c r="K1900" s="0" t="s">
        <v>73</v>
      </c>
      <c r="L1900" s="0" t="n">
        <f aca="false">INDEX(Summary!$F$2:$F$201,MATCH($B1900,Summary!$A$2:$A$201,0))</f>
        <v>20</v>
      </c>
      <c r="M1900" s="0" t="n">
        <f aca="false">INDEX(Summary!$I$2:$I$201,MATCH($B1900,Summary!$A$2:$A$201,0))</f>
        <v>2</v>
      </c>
      <c r="N1900" s="0" t="n">
        <f aca="false">INDEX(Summary!$J$2:$J$201,MATCH($B1900,Summary!$A$2:$A$201,0))</f>
        <v>3</v>
      </c>
      <c r="O1900" s="2" t="n">
        <f aca="false">INDEX(Summary!$K$2:$K$201,MATCH($B1900,Summary!$A$2:$A$201,0))</f>
        <v>9.21</v>
      </c>
      <c r="P1900" s="3" t="n">
        <f aca="false">INDEX(Summary!$L$2:$L$201,MATCH($B1900,Summary!$A$2:$A$201,0))</f>
        <v>3</v>
      </c>
      <c r="Q1900" s="3" t="n">
        <f aca="false">INDEX(Summary!$M$2:$M$201,MATCH($B1900,Summary!$A$2:$A$201,0))</f>
        <v>3</v>
      </c>
      <c r="R1900" s="2" t="n">
        <f aca="false">INDEX(Summary!$N$2:$N$201,MATCH($B1900,Summary!$A$2:$A$201,0))</f>
        <v>10.08</v>
      </c>
      <c r="S1900" s="3" t="n">
        <f aca="false">INDEX(Summary!$O$2:$O$201,MATCH($B1900,Summary!$A$2:$A$201,0))</f>
        <v>4</v>
      </c>
      <c r="T1900" s="3" t="n">
        <f aca="false">INDEX(Summary!$P$2:$P$201,MATCH($B1900,Summary!$A$2:$A$201,0))</f>
        <v>5</v>
      </c>
      <c r="U1900" s="2" t="n">
        <f aca="false">INDEX(Summary!$Q$2:$Q$201,MATCH($B1900,Summary!$A$2:$A$201,0))</f>
        <v>12.56</v>
      </c>
      <c r="V1900" s="2" t="n">
        <f aca="false">INDEX(Summary!$R$2:$R$201,MATCH($B1900,Summary!$A$2:$A$201,0))</f>
        <v>17.78</v>
      </c>
      <c r="W1900" s="0" t="str">
        <f aca="false">INDEX(Summary!$S$2:$S$201,MATCH($B1900,Summary!$A$2:$A$201,0))</f>
        <v>Bronze</v>
      </c>
      <c r="X1900" s="2" t="n">
        <f aca="false">INDEX(Summary!$T$2:$T$201,MATCH($B1900,Summary!$A$2:$A$201,0))</f>
        <v>43.37</v>
      </c>
      <c r="Y1900" s="0" t="str">
        <f aca="false">INDEX('Reward Model'!$E$18:$E$37,MATCH($E1900,'Reward Model'!$A$18:$A$37,0))</f>
        <v>High</v>
      </c>
      <c r="Z1900" s="4" t="n">
        <f aca="false">ROUND(MIN(1,MAX('Reward Model'!$B$2,INDEX('Reward Model'!$C$12:$C$14,MATCH($K1900,'Reward Model'!$A$12:$A$14,0))/$J1900)),3)</f>
        <v>0.952</v>
      </c>
      <c r="AA1900" s="2" t="n">
        <f aca="false">IF($I1900="Correct",ROUND(INDEX('Reward Model'!$B$12:$B$14,MATCH($K1900,'Reward Model'!$A$12:$A$14,0))*Z1900,2),0)</f>
        <v>0</v>
      </c>
      <c r="AB1900" s="2" t="n">
        <f aca="false">IF($I1900="Correct",ROUND(INDEX('Reward Model'!$B$12:$B$14,MATCH($Y1900,'Reward Model'!$A$12:$A$14,0))*Z1900,2),0)</f>
        <v>0</v>
      </c>
    </row>
    <row r="1901" customFormat="false" ht="15" hidden="false" customHeight="false" outlineLevel="0" collapsed="false">
      <c r="A1901" s="0" t="s">
        <v>318</v>
      </c>
      <c r="B1901" s="0" t="s">
        <v>319</v>
      </c>
      <c r="C1901" s="0" t="s">
        <v>30</v>
      </c>
      <c r="D1901" s="0" t="s">
        <v>275</v>
      </c>
      <c r="E1901" s="0" t="n">
        <v>20</v>
      </c>
      <c r="F1901" s="0" t="s">
        <v>81</v>
      </c>
      <c r="G1901" s="0" t="s">
        <v>82</v>
      </c>
      <c r="H1901" s="0" t="s">
        <v>83</v>
      </c>
      <c r="I1901" s="0" t="s">
        <v>39</v>
      </c>
      <c r="J1901" s="0" t="n">
        <v>1.76</v>
      </c>
      <c r="K1901" s="0" t="s">
        <v>73</v>
      </c>
      <c r="L1901" s="0" t="n">
        <f aca="false">INDEX(Summary!$F$2:$F$201,MATCH($B1901,Summary!$A$2:$A$201,0))</f>
        <v>20</v>
      </c>
      <c r="M1901" s="0" t="n">
        <f aca="false">INDEX(Summary!$I$2:$I$201,MATCH($B1901,Summary!$A$2:$A$201,0))</f>
        <v>2</v>
      </c>
      <c r="N1901" s="0" t="n">
        <f aca="false">INDEX(Summary!$J$2:$J$201,MATCH($B1901,Summary!$A$2:$A$201,0))</f>
        <v>3</v>
      </c>
      <c r="O1901" s="2" t="n">
        <f aca="false">INDEX(Summary!$K$2:$K$201,MATCH($B1901,Summary!$A$2:$A$201,0))</f>
        <v>9.21</v>
      </c>
      <c r="P1901" s="3" t="n">
        <f aca="false">INDEX(Summary!$L$2:$L$201,MATCH($B1901,Summary!$A$2:$A$201,0))</f>
        <v>3</v>
      </c>
      <c r="Q1901" s="3" t="n">
        <f aca="false">INDEX(Summary!$M$2:$M$201,MATCH($B1901,Summary!$A$2:$A$201,0))</f>
        <v>3</v>
      </c>
      <c r="R1901" s="2" t="n">
        <f aca="false">INDEX(Summary!$N$2:$N$201,MATCH($B1901,Summary!$A$2:$A$201,0))</f>
        <v>10.08</v>
      </c>
      <c r="S1901" s="3" t="n">
        <f aca="false">INDEX(Summary!$O$2:$O$201,MATCH($B1901,Summary!$A$2:$A$201,0))</f>
        <v>4</v>
      </c>
      <c r="T1901" s="3" t="n">
        <f aca="false">INDEX(Summary!$P$2:$P$201,MATCH($B1901,Summary!$A$2:$A$201,0))</f>
        <v>5</v>
      </c>
      <c r="U1901" s="2" t="n">
        <f aca="false">INDEX(Summary!$Q$2:$Q$201,MATCH($B1901,Summary!$A$2:$A$201,0))</f>
        <v>12.56</v>
      </c>
      <c r="V1901" s="2" t="n">
        <f aca="false">INDEX(Summary!$R$2:$R$201,MATCH($B1901,Summary!$A$2:$A$201,0))</f>
        <v>17.78</v>
      </c>
      <c r="W1901" s="0" t="str">
        <f aca="false">INDEX(Summary!$S$2:$S$201,MATCH($B1901,Summary!$A$2:$A$201,0))</f>
        <v>Bronze</v>
      </c>
      <c r="X1901" s="2" t="n">
        <f aca="false">INDEX(Summary!$T$2:$T$201,MATCH($B1901,Summary!$A$2:$A$201,0))</f>
        <v>43.37</v>
      </c>
      <c r="Y1901" s="0" t="str">
        <f aca="false">INDEX('Reward Model'!$E$18:$E$37,MATCH($E1901,'Reward Model'!$A$18:$A$37,0))</f>
        <v>High</v>
      </c>
      <c r="Z1901" s="4" t="n">
        <f aca="false">ROUND(MIN(1,MAX('Reward Model'!$B$2,INDEX('Reward Model'!$C$12:$C$14,MATCH($K1901,'Reward Model'!$A$12:$A$14,0))/$J1901)),3)</f>
        <v>1</v>
      </c>
      <c r="AA1901" s="2" t="n">
        <f aca="false">IF($I1901="Correct",ROUND(INDEX('Reward Model'!$B$12:$B$14,MATCH($K1901,'Reward Model'!$A$12:$A$14,0))*Z1901,2),0)</f>
        <v>0</v>
      </c>
      <c r="AB1901" s="2" t="n">
        <f aca="false">IF($I1901="Correct",ROUND(INDEX('Reward Model'!$B$12:$B$14,MATCH($Y1901,'Reward Model'!$A$12:$A$14,0))*Z1901,2),0)</f>
        <v>0</v>
      </c>
    </row>
    <row r="1902" customFormat="false" ht="15" hidden="false" customHeight="false" outlineLevel="0" collapsed="false">
      <c r="A1902" s="0" t="s">
        <v>320</v>
      </c>
      <c r="B1902" s="0" t="s">
        <v>321</v>
      </c>
      <c r="C1902" s="0" t="s">
        <v>322</v>
      </c>
      <c r="D1902" s="0" t="s">
        <v>31</v>
      </c>
      <c r="E1902" s="0" t="n">
        <v>1</v>
      </c>
      <c r="F1902" s="0" t="s">
        <v>32</v>
      </c>
      <c r="G1902" s="0" t="s">
        <v>33</v>
      </c>
      <c r="H1902" s="0" t="s">
        <v>33</v>
      </c>
      <c r="I1902" s="0" t="s">
        <v>34</v>
      </c>
      <c r="J1902" s="0" t="n">
        <v>1.54</v>
      </c>
      <c r="K1902" s="0" t="s">
        <v>35</v>
      </c>
      <c r="L1902" s="0" t="n">
        <f aca="false">INDEX(Summary!$F$2:$F$201,MATCH($B1902,Summary!$A$2:$A$201,0))</f>
        <v>20</v>
      </c>
      <c r="M1902" s="0" t="n">
        <f aca="false">INDEX(Summary!$I$2:$I$201,MATCH($B1902,Summary!$A$2:$A$201,0))</f>
        <v>1</v>
      </c>
      <c r="N1902" s="0" t="n">
        <f aca="false">INDEX(Summary!$J$2:$J$201,MATCH($B1902,Summary!$A$2:$A$201,0))</f>
        <v>4</v>
      </c>
      <c r="O1902" s="2" t="n">
        <f aca="false">INDEX(Summary!$K$2:$K$201,MATCH($B1902,Summary!$A$2:$A$201,0))</f>
        <v>9.01</v>
      </c>
      <c r="P1902" s="3" t="n">
        <f aca="false">INDEX(Summary!$L$2:$L$201,MATCH($B1902,Summary!$A$2:$A$201,0))</f>
        <v>4</v>
      </c>
      <c r="Q1902" s="3" t="n">
        <f aca="false">INDEX(Summary!$M$2:$M$201,MATCH($B1902,Summary!$A$2:$A$201,0))</f>
        <v>2</v>
      </c>
      <c r="R1902" s="2" t="n">
        <f aca="false">INDEX(Summary!$N$2:$N$201,MATCH($B1902,Summary!$A$2:$A$201,0))</f>
        <v>9.12</v>
      </c>
      <c r="S1902" s="3" t="n">
        <f aca="false">INDEX(Summary!$O$2:$O$201,MATCH($B1902,Summary!$A$2:$A$201,0))</f>
        <v>5</v>
      </c>
      <c r="T1902" s="3" t="n">
        <f aca="false">INDEX(Summary!$P$2:$P$201,MATCH($B1902,Summary!$A$2:$A$201,0))</f>
        <v>4</v>
      </c>
      <c r="U1902" s="2" t="n">
        <f aca="false">INDEX(Summary!$Q$2:$Q$201,MATCH($B1902,Summary!$A$2:$A$201,0))</f>
        <v>13.53</v>
      </c>
      <c r="V1902" s="2" t="n">
        <f aca="false">INDEX(Summary!$R$2:$R$201,MATCH($B1902,Summary!$A$2:$A$201,0))</f>
        <v>18.18</v>
      </c>
      <c r="W1902" s="0" t="str">
        <f aca="false">INDEX(Summary!$S$2:$S$201,MATCH($B1902,Summary!$A$2:$A$201,0))</f>
        <v>Bronze</v>
      </c>
      <c r="X1902" s="2" t="n">
        <f aca="false">INDEX(Summary!$T$2:$T$201,MATCH($B1902,Summary!$A$2:$A$201,0))</f>
        <v>44.34</v>
      </c>
      <c r="Y1902" s="0" t="str">
        <f aca="false">INDEX('Reward Model'!$E$18:$E$37,MATCH($E1902,'Reward Model'!$A$18:$A$37,0))</f>
        <v>Medium</v>
      </c>
      <c r="Z1902" s="4" t="n">
        <f aca="false">ROUND(MIN(1,MAX('Reward Model'!$B$2,INDEX('Reward Model'!$C$12:$C$14,MATCH($K1902,'Reward Model'!$A$12:$A$14,0))/$J1902)),3)</f>
        <v>0.974</v>
      </c>
      <c r="AA1902" s="2" t="n">
        <f aca="false">IF($I1902="Correct",ROUND(INDEX('Reward Model'!$B$12:$B$14,MATCH($K1902,'Reward Model'!$A$12:$A$14,0))*Z1902,2),0)</f>
        <v>0.97</v>
      </c>
      <c r="AB1902" s="2" t="n">
        <f aca="false">IF($I1902="Correct",ROUND(INDEX('Reward Model'!$B$12:$B$14,MATCH($Y1902,'Reward Model'!$A$12:$A$14,0))*Z1902,2),0)</f>
        <v>1.95</v>
      </c>
    </row>
    <row r="1903" customFormat="false" ht="15" hidden="false" customHeight="false" outlineLevel="0" collapsed="false">
      <c r="A1903" s="0" t="s">
        <v>320</v>
      </c>
      <c r="B1903" s="0" t="s">
        <v>321</v>
      </c>
      <c r="C1903" s="0" t="s">
        <v>322</v>
      </c>
      <c r="D1903" s="0" t="s">
        <v>31</v>
      </c>
      <c r="E1903" s="0" t="n">
        <v>2</v>
      </c>
      <c r="F1903" s="0" t="s">
        <v>36</v>
      </c>
      <c r="G1903" s="0" t="s">
        <v>38</v>
      </c>
      <c r="H1903" s="0" t="s">
        <v>38</v>
      </c>
      <c r="I1903" s="0" t="s">
        <v>34</v>
      </c>
      <c r="J1903" s="0" t="n">
        <v>1.01</v>
      </c>
      <c r="K1903" s="0" t="s">
        <v>35</v>
      </c>
      <c r="L1903" s="0" t="n">
        <f aca="false">INDEX(Summary!$F$2:$F$201,MATCH($B1903,Summary!$A$2:$A$201,0))</f>
        <v>20</v>
      </c>
      <c r="M1903" s="0" t="n">
        <f aca="false">INDEX(Summary!$I$2:$I$201,MATCH($B1903,Summary!$A$2:$A$201,0))</f>
        <v>1</v>
      </c>
      <c r="N1903" s="0" t="n">
        <f aca="false">INDEX(Summary!$J$2:$J$201,MATCH($B1903,Summary!$A$2:$A$201,0))</f>
        <v>4</v>
      </c>
      <c r="O1903" s="2" t="n">
        <f aca="false">INDEX(Summary!$K$2:$K$201,MATCH($B1903,Summary!$A$2:$A$201,0))</f>
        <v>9.01</v>
      </c>
      <c r="P1903" s="3" t="n">
        <f aca="false">INDEX(Summary!$L$2:$L$201,MATCH($B1903,Summary!$A$2:$A$201,0))</f>
        <v>4</v>
      </c>
      <c r="Q1903" s="3" t="n">
        <f aca="false">INDEX(Summary!$M$2:$M$201,MATCH($B1903,Summary!$A$2:$A$201,0))</f>
        <v>2</v>
      </c>
      <c r="R1903" s="2" t="n">
        <f aca="false">INDEX(Summary!$N$2:$N$201,MATCH($B1903,Summary!$A$2:$A$201,0))</f>
        <v>9.12</v>
      </c>
      <c r="S1903" s="3" t="n">
        <f aca="false">INDEX(Summary!$O$2:$O$201,MATCH($B1903,Summary!$A$2:$A$201,0))</f>
        <v>5</v>
      </c>
      <c r="T1903" s="3" t="n">
        <f aca="false">INDEX(Summary!$P$2:$P$201,MATCH($B1903,Summary!$A$2:$A$201,0))</f>
        <v>4</v>
      </c>
      <c r="U1903" s="2" t="n">
        <f aca="false">INDEX(Summary!$Q$2:$Q$201,MATCH($B1903,Summary!$A$2:$A$201,0))</f>
        <v>13.53</v>
      </c>
      <c r="V1903" s="2" t="n">
        <f aca="false">INDEX(Summary!$R$2:$R$201,MATCH($B1903,Summary!$A$2:$A$201,0))</f>
        <v>18.18</v>
      </c>
      <c r="W1903" s="0" t="str">
        <f aca="false">INDEX(Summary!$S$2:$S$201,MATCH($B1903,Summary!$A$2:$A$201,0))</f>
        <v>Bronze</v>
      </c>
      <c r="X1903" s="2" t="n">
        <f aca="false">INDEX(Summary!$T$2:$T$201,MATCH($B1903,Summary!$A$2:$A$201,0))</f>
        <v>44.34</v>
      </c>
      <c r="Y1903" s="0" t="str">
        <f aca="false">INDEX('Reward Model'!$E$18:$E$37,MATCH($E1903,'Reward Model'!$A$18:$A$37,0))</f>
        <v>Low</v>
      </c>
      <c r="Z1903" s="4" t="n">
        <f aca="false">ROUND(MIN(1,MAX('Reward Model'!$B$2,INDEX('Reward Model'!$C$12:$C$14,MATCH($K1903,'Reward Model'!$A$12:$A$14,0))/$J1903)),3)</f>
        <v>1</v>
      </c>
      <c r="AA1903" s="2" t="n">
        <f aca="false">IF($I1903="Correct",ROUND(INDEX('Reward Model'!$B$12:$B$14,MATCH($K1903,'Reward Model'!$A$12:$A$14,0))*Z1903,2),0)</f>
        <v>1</v>
      </c>
      <c r="AB1903" s="2" t="n">
        <f aca="false">IF($I1903="Correct",ROUND(INDEX('Reward Model'!$B$12:$B$14,MATCH($Y1903,'Reward Model'!$A$12:$A$14,0))*Z1903,2),0)</f>
        <v>1</v>
      </c>
    </row>
    <row r="1904" customFormat="false" ht="15" hidden="false" customHeight="false" outlineLevel="0" collapsed="false">
      <c r="A1904" s="0" t="s">
        <v>320</v>
      </c>
      <c r="B1904" s="0" t="s">
        <v>321</v>
      </c>
      <c r="C1904" s="0" t="s">
        <v>322</v>
      </c>
      <c r="D1904" s="0" t="s">
        <v>31</v>
      </c>
      <c r="E1904" s="0" t="n">
        <v>3</v>
      </c>
      <c r="F1904" s="0" t="s">
        <v>40</v>
      </c>
      <c r="G1904" s="0" t="s">
        <v>42</v>
      </c>
      <c r="H1904" s="0" t="s">
        <v>42</v>
      </c>
      <c r="I1904" s="0" t="s">
        <v>34</v>
      </c>
      <c r="J1904" s="0" t="n">
        <v>1.79</v>
      </c>
      <c r="K1904" s="0" t="s">
        <v>35</v>
      </c>
      <c r="L1904" s="0" t="n">
        <f aca="false">INDEX(Summary!$F$2:$F$201,MATCH($B1904,Summary!$A$2:$A$201,0))</f>
        <v>20</v>
      </c>
      <c r="M1904" s="0" t="n">
        <f aca="false">INDEX(Summary!$I$2:$I$201,MATCH($B1904,Summary!$A$2:$A$201,0))</f>
        <v>1</v>
      </c>
      <c r="N1904" s="0" t="n">
        <f aca="false">INDEX(Summary!$J$2:$J$201,MATCH($B1904,Summary!$A$2:$A$201,0))</f>
        <v>4</v>
      </c>
      <c r="O1904" s="2" t="n">
        <f aca="false">INDEX(Summary!$K$2:$K$201,MATCH($B1904,Summary!$A$2:$A$201,0))</f>
        <v>9.01</v>
      </c>
      <c r="P1904" s="3" t="n">
        <f aca="false">INDEX(Summary!$L$2:$L$201,MATCH($B1904,Summary!$A$2:$A$201,0))</f>
        <v>4</v>
      </c>
      <c r="Q1904" s="3" t="n">
        <f aca="false">INDEX(Summary!$M$2:$M$201,MATCH($B1904,Summary!$A$2:$A$201,0))</f>
        <v>2</v>
      </c>
      <c r="R1904" s="2" t="n">
        <f aca="false">INDEX(Summary!$N$2:$N$201,MATCH($B1904,Summary!$A$2:$A$201,0))</f>
        <v>9.12</v>
      </c>
      <c r="S1904" s="3" t="n">
        <f aca="false">INDEX(Summary!$O$2:$O$201,MATCH($B1904,Summary!$A$2:$A$201,0))</f>
        <v>5</v>
      </c>
      <c r="T1904" s="3" t="n">
        <f aca="false">INDEX(Summary!$P$2:$P$201,MATCH($B1904,Summary!$A$2:$A$201,0))</f>
        <v>4</v>
      </c>
      <c r="U1904" s="2" t="n">
        <f aca="false">INDEX(Summary!$Q$2:$Q$201,MATCH($B1904,Summary!$A$2:$A$201,0))</f>
        <v>13.53</v>
      </c>
      <c r="V1904" s="2" t="n">
        <f aca="false">INDEX(Summary!$R$2:$R$201,MATCH($B1904,Summary!$A$2:$A$201,0))</f>
        <v>18.18</v>
      </c>
      <c r="W1904" s="0" t="str">
        <f aca="false">INDEX(Summary!$S$2:$S$201,MATCH($B1904,Summary!$A$2:$A$201,0))</f>
        <v>Bronze</v>
      </c>
      <c r="X1904" s="2" t="n">
        <f aca="false">INDEX(Summary!$T$2:$T$201,MATCH($B1904,Summary!$A$2:$A$201,0))</f>
        <v>44.34</v>
      </c>
      <c r="Y1904" s="0" t="str">
        <f aca="false">INDEX('Reward Model'!$E$18:$E$37,MATCH($E1904,'Reward Model'!$A$18:$A$37,0))</f>
        <v>Medium</v>
      </c>
      <c r="Z1904" s="4" t="n">
        <f aca="false">ROUND(MIN(1,MAX('Reward Model'!$B$2,INDEX('Reward Model'!$C$12:$C$14,MATCH($K1904,'Reward Model'!$A$12:$A$14,0))/$J1904)),3)</f>
        <v>0.838</v>
      </c>
      <c r="AA1904" s="2" t="n">
        <f aca="false">IF($I1904="Correct",ROUND(INDEX('Reward Model'!$B$12:$B$14,MATCH($K1904,'Reward Model'!$A$12:$A$14,0))*Z1904,2),0)</f>
        <v>0.84</v>
      </c>
      <c r="AB1904" s="2" t="n">
        <f aca="false">IF($I1904="Correct",ROUND(INDEX('Reward Model'!$B$12:$B$14,MATCH($Y1904,'Reward Model'!$A$12:$A$14,0))*Z1904,2),0)</f>
        <v>1.68</v>
      </c>
    </row>
    <row r="1905" customFormat="false" ht="15" hidden="false" customHeight="false" outlineLevel="0" collapsed="false">
      <c r="A1905" s="0" t="s">
        <v>320</v>
      </c>
      <c r="B1905" s="0" t="s">
        <v>321</v>
      </c>
      <c r="C1905" s="0" t="s">
        <v>322</v>
      </c>
      <c r="D1905" s="0" t="s">
        <v>31</v>
      </c>
      <c r="E1905" s="0" t="n">
        <v>4</v>
      </c>
      <c r="F1905" s="0" t="s">
        <v>43</v>
      </c>
      <c r="G1905" s="0" t="s">
        <v>155</v>
      </c>
      <c r="H1905" s="0" t="s">
        <v>45</v>
      </c>
      <c r="I1905" s="0" t="s">
        <v>39</v>
      </c>
      <c r="J1905" s="0" t="n">
        <v>1.8</v>
      </c>
      <c r="K1905" s="0" t="s">
        <v>35</v>
      </c>
      <c r="L1905" s="0" t="n">
        <f aca="false">INDEX(Summary!$F$2:$F$201,MATCH($B1905,Summary!$A$2:$A$201,0))</f>
        <v>20</v>
      </c>
      <c r="M1905" s="0" t="n">
        <f aca="false">INDEX(Summary!$I$2:$I$201,MATCH($B1905,Summary!$A$2:$A$201,0))</f>
        <v>1</v>
      </c>
      <c r="N1905" s="0" t="n">
        <f aca="false">INDEX(Summary!$J$2:$J$201,MATCH($B1905,Summary!$A$2:$A$201,0))</f>
        <v>4</v>
      </c>
      <c r="O1905" s="2" t="n">
        <f aca="false">INDEX(Summary!$K$2:$K$201,MATCH($B1905,Summary!$A$2:$A$201,0))</f>
        <v>9.01</v>
      </c>
      <c r="P1905" s="3" t="n">
        <f aca="false">INDEX(Summary!$L$2:$L$201,MATCH($B1905,Summary!$A$2:$A$201,0))</f>
        <v>4</v>
      </c>
      <c r="Q1905" s="3" t="n">
        <f aca="false">INDEX(Summary!$M$2:$M$201,MATCH($B1905,Summary!$A$2:$A$201,0))</f>
        <v>2</v>
      </c>
      <c r="R1905" s="2" t="n">
        <f aca="false">INDEX(Summary!$N$2:$N$201,MATCH($B1905,Summary!$A$2:$A$201,0))</f>
        <v>9.12</v>
      </c>
      <c r="S1905" s="3" t="n">
        <f aca="false">INDEX(Summary!$O$2:$O$201,MATCH($B1905,Summary!$A$2:$A$201,0))</f>
        <v>5</v>
      </c>
      <c r="T1905" s="3" t="n">
        <f aca="false">INDEX(Summary!$P$2:$P$201,MATCH($B1905,Summary!$A$2:$A$201,0))</f>
        <v>4</v>
      </c>
      <c r="U1905" s="2" t="n">
        <f aca="false">INDEX(Summary!$Q$2:$Q$201,MATCH($B1905,Summary!$A$2:$A$201,0))</f>
        <v>13.53</v>
      </c>
      <c r="V1905" s="2" t="n">
        <f aca="false">INDEX(Summary!$R$2:$R$201,MATCH($B1905,Summary!$A$2:$A$201,0))</f>
        <v>18.18</v>
      </c>
      <c r="W1905" s="0" t="str">
        <f aca="false">INDEX(Summary!$S$2:$S$201,MATCH($B1905,Summary!$A$2:$A$201,0))</f>
        <v>Bronze</v>
      </c>
      <c r="X1905" s="2" t="n">
        <f aca="false">INDEX(Summary!$T$2:$T$201,MATCH($B1905,Summary!$A$2:$A$201,0))</f>
        <v>44.34</v>
      </c>
      <c r="Y1905" s="0" t="str">
        <f aca="false">INDEX('Reward Model'!$E$18:$E$37,MATCH($E1905,'Reward Model'!$A$18:$A$37,0))</f>
        <v>Low</v>
      </c>
      <c r="Z1905" s="4" t="n">
        <f aca="false">ROUND(MIN(1,MAX('Reward Model'!$B$2,INDEX('Reward Model'!$C$12:$C$14,MATCH($K1905,'Reward Model'!$A$12:$A$14,0))/$J1905)),3)</f>
        <v>0.833</v>
      </c>
      <c r="AA1905" s="2" t="n">
        <f aca="false">IF($I1905="Correct",ROUND(INDEX('Reward Model'!$B$12:$B$14,MATCH($K1905,'Reward Model'!$A$12:$A$14,0))*Z1905,2),0)</f>
        <v>0</v>
      </c>
      <c r="AB1905" s="2" t="n">
        <f aca="false">IF($I1905="Correct",ROUND(INDEX('Reward Model'!$B$12:$B$14,MATCH($Y1905,'Reward Model'!$A$12:$A$14,0))*Z1905,2),0)</f>
        <v>0</v>
      </c>
    </row>
    <row r="1906" customFormat="false" ht="15" hidden="false" customHeight="false" outlineLevel="0" collapsed="false">
      <c r="A1906" s="0" t="s">
        <v>320</v>
      </c>
      <c r="B1906" s="0" t="s">
        <v>321</v>
      </c>
      <c r="C1906" s="0" t="s">
        <v>322</v>
      </c>
      <c r="D1906" s="0" t="s">
        <v>31</v>
      </c>
      <c r="E1906" s="0" t="n">
        <v>5</v>
      </c>
      <c r="F1906" s="0" t="s">
        <v>46</v>
      </c>
      <c r="G1906" s="0" t="s">
        <v>47</v>
      </c>
      <c r="H1906" s="0" t="s">
        <v>47</v>
      </c>
      <c r="I1906" s="0" t="s">
        <v>34</v>
      </c>
      <c r="J1906" s="0" t="n">
        <v>1.72</v>
      </c>
      <c r="K1906" s="0" t="s">
        <v>35</v>
      </c>
      <c r="L1906" s="0" t="n">
        <f aca="false">INDEX(Summary!$F$2:$F$201,MATCH($B1906,Summary!$A$2:$A$201,0))</f>
        <v>20</v>
      </c>
      <c r="M1906" s="0" t="n">
        <f aca="false">INDEX(Summary!$I$2:$I$201,MATCH($B1906,Summary!$A$2:$A$201,0))</f>
        <v>1</v>
      </c>
      <c r="N1906" s="0" t="n">
        <f aca="false">INDEX(Summary!$J$2:$J$201,MATCH($B1906,Summary!$A$2:$A$201,0))</f>
        <v>4</v>
      </c>
      <c r="O1906" s="2" t="n">
        <f aca="false">INDEX(Summary!$K$2:$K$201,MATCH($B1906,Summary!$A$2:$A$201,0))</f>
        <v>9.01</v>
      </c>
      <c r="P1906" s="3" t="n">
        <f aca="false">INDEX(Summary!$L$2:$L$201,MATCH($B1906,Summary!$A$2:$A$201,0))</f>
        <v>4</v>
      </c>
      <c r="Q1906" s="3" t="n">
        <f aca="false">INDEX(Summary!$M$2:$M$201,MATCH($B1906,Summary!$A$2:$A$201,0))</f>
        <v>2</v>
      </c>
      <c r="R1906" s="2" t="n">
        <f aca="false">INDEX(Summary!$N$2:$N$201,MATCH($B1906,Summary!$A$2:$A$201,0))</f>
        <v>9.12</v>
      </c>
      <c r="S1906" s="3" t="n">
        <f aca="false">INDEX(Summary!$O$2:$O$201,MATCH($B1906,Summary!$A$2:$A$201,0))</f>
        <v>5</v>
      </c>
      <c r="T1906" s="3" t="n">
        <f aca="false">INDEX(Summary!$P$2:$P$201,MATCH($B1906,Summary!$A$2:$A$201,0))</f>
        <v>4</v>
      </c>
      <c r="U1906" s="2" t="n">
        <f aca="false">INDEX(Summary!$Q$2:$Q$201,MATCH($B1906,Summary!$A$2:$A$201,0))</f>
        <v>13.53</v>
      </c>
      <c r="V1906" s="2" t="n">
        <f aca="false">INDEX(Summary!$R$2:$R$201,MATCH($B1906,Summary!$A$2:$A$201,0))</f>
        <v>18.18</v>
      </c>
      <c r="W1906" s="0" t="str">
        <f aca="false">INDEX(Summary!$S$2:$S$201,MATCH($B1906,Summary!$A$2:$A$201,0))</f>
        <v>Bronze</v>
      </c>
      <c r="X1906" s="2" t="n">
        <f aca="false">INDEX(Summary!$T$2:$T$201,MATCH($B1906,Summary!$A$2:$A$201,0))</f>
        <v>44.34</v>
      </c>
      <c r="Y1906" s="0" t="str">
        <f aca="false">INDEX('Reward Model'!$E$18:$E$37,MATCH($E1906,'Reward Model'!$A$18:$A$37,0))</f>
        <v>Low</v>
      </c>
      <c r="Z1906" s="4" t="n">
        <f aca="false">ROUND(MIN(1,MAX('Reward Model'!$B$2,INDEX('Reward Model'!$C$12:$C$14,MATCH($K1906,'Reward Model'!$A$12:$A$14,0))/$J1906)),3)</f>
        <v>0.872</v>
      </c>
      <c r="AA1906" s="2" t="n">
        <f aca="false">IF($I1906="Correct",ROUND(INDEX('Reward Model'!$B$12:$B$14,MATCH($K1906,'Reward Model'!$A$12:$A$14,0))*Z1906,2),0)</f>
        <v>0.87</v>
      </c>
      <c r="AB1906" s="2" t="n">
        <f aca="false">IF($I1906="Correct",ROUND(INDEX('Reward Model'!$B$12:$B$14,MATCH($Y1906,'Reward Model'!$A$12:$A$14,0))*Z1906,2),0)</f>
        <v>0.87</v>
      </c>
    </row>
    <row r="1907" customFormat="false" ht="15" hidden="false" customHeight="false" outlineLevel="0" collapsed="false">
      <c r="A1907" s="0" t="s">
        <v>320</v>
      </c>
      <c r="B1907" s="0" t="s">
        <v>321</v>
      </c>
      <c r="C1907" s="0" t="s">
        <v>322</v>
      </c>
      <c r="D1907" s="0" t="s">
        <v>31</v>
      </c>
      <c r="E1907" s="0" t="n">
        <v>6</v>
      </c>
      <c r="F1907" s="0" t="s">
        <v>48</v>
      </c>
      <c r="G1907" s="0" t="s">
        <v>116</v>
      </c>
      <c r="H1907" s="0" t="s">
        <v>49</v>
      </c>
      <c r="I1907" s="0" t="s">
        <v>39</v>
      </c>
      <c r="J1907" s="0" t="n">
        <v>0.98</v>
      </c>
      <c r="K1907" s="0" t="s">
        <v>35</v>
      </c>
      <c r="L1907" s="0" t="n">
        <f aca="false">INDEX(Summary!$F$2:$F$201,MATCH($B1907,Summary!$A$2:$A$201,0))</f>
        <v>20</v>
      </c>
      <c r="M1907" s="0" t="n">
        <f aca="false">INDEX(Summary!$I$2:$I$201,MATCH($B1907,Summary!$A$2:$A$201,0))</f>
        <v>1</v>
      </c>
      <c r="N1907" s="0" t="n">
        <f aca="false">INDEX(Summary!$J$2:$J$201,MATCH($B1907,Summary!$A$2:$A$201,0))</f>
        <v>4</v>
      </c>
      <c r="O1907" s="2" t="n">
        <f aca="false">INDEX(Summary!$K$2:$K$201,MATCH($B1907,Summary!$A$2:$A$201,0))</f>
        <v>9.01</v>
      </c>
      <c r="P1907" s="3" t="n">
        <f aca="false">INDEX(Summary!$L$2:$L$201,MATCH($B1907,Summary!$A$2:$A$201,0))</f>
        <v>4</v>
      </c>
      <c r="Q1907" s="3" t="n">
        <f aca="false">INDEX(Summary!$M$2:$M$201,MATCH($B1907,Summary!$A$2:$A$201,0))</f>
        <v>2</v>
      </c>
      <c r="R1907" s="2" t="n">
        <f aca="false">INDEX(Summary!$N$2:$N$201,MATCH($B1907,Summary!$A$2:$A$201,0))</f>
        <v>9.12</v>
      </c>
      <c r="S1907" s="3" t="n">
        <f aca="false">INDEX(Summary!$O$2:$O$201,MATCH($B1907,Summary!$A$2:$A$201,0))</f>
        <v>5</v>
      </c>
      <c r="T1907" s="3" t="n">
        <f aca="false">INDEX(Summary!$P$2:$P$201,MATCH($B1907,Summary!$A$2:$A$201,0))</f>
        <v>4</v>
      </c>
      <c r="U1907" s="2" t="n">
        <f aca="false">INDEX(Summary!$Q$2:$Q$201,MATCH($B1907,Summary!$A$2:$A$201,0))</f>
        <v>13.53</v>
      </c>
      <c r="V1907" s="2" t="n">
        <f aca="false">INDEX(Summary!$R$2:$R$201,MATCH($B1907,Summary!$A$2:$A$201,0))</f>
        <v>18.18</v>
      </c>
      <c r="W1907" s="0" t="str">
        <f aca="false">INDEX(Summary!$S$2:$S$201,MATCH($B1907,Summary!$A$2:$A$201,0))</f>
        <v>Bronze</v>
      </c>
      <c r="X1907" s="2" t="n">
        <f aca="false">INDEX(Summary!$T$2:$T$201,MATCH($B1907,Summary!$A$2:$A$201,0))</f>
        <v>44.34</v>
      </c>
      <c r="Y1907" s="0" t="str">
        <f aca="false">INDEX('Reward Model'!$E$18:$E$37,MATCH($E1907,'Reward Model'!$A$18:$A$37,0))</f>
        <v>Medium</v>
      </c>
      <c r="Z1907" s="4" t="n">
        <f aca="false">ROUND(MIN(1,MAX('Reward Model'!$B$2,INDEX('Reward Model'!$C$12:$C$14,MATCH($K1907,'Reward Model'!$A$12:$A$14,0))/$J1907)),3)</f>
        <v>1</v>
      </c>
      <c r="AA1907" s="2" t="n">
        <f aca="false">IF($I1907="Correct",ROUND(INDEX('Reward Model'!$B$12:$B$14,MATCH($K1907,'Reward Model'!$A$12:$A$14,0))*Z1907,2),0)</f>
        <v>0</v>
      </c>
      <c r="AB1907" s="2" t="n">
        <f aca="false">IF($I1907="Correct",ROUND(INDEX('Reward Model'!$B$12:$B$14,MATCH($Y1907,'Reward Model'!$A$12:$A$14,0))*Z1907,2),0)</f>
        <v>0</v>
      </c>
    </row>
    <row r="1908" customFormat="false" ht="15" hidden="false" customHeight="false" outlineLevel="0" collapsed="false">
      <c r="A1908" s="0" t="s">
        <v>320</v>
      </c>
      <c r="B1908" s="0" t="s">
        <v>321</v>
      </c>
      <c r="C1908" s="0" t="s">
        <v>322</v>
      </c>
      <c r="D1908" s="0" t="s">
        <v>31</v>
      </c>
      <c r="E1908" s="0" t="n">
        <v>7</v>
      </c>
      <c r="F1908" s="0" t="s">
        <v>50</v>
      </c>
      <c r="G1908" s="0" t="s">
        <v>144</v>
      </c>
      <c r="H1908" s="0" t="s">
        <v>51</v>
      </c>
      <c r="I1908" s="0" t="s">
        <v>39</v>
      </c>
      <c r="J1908" s="0" t="n">
        <v>1.78</v>
      </c>
      <c r="K1908" s="0" t="s">
        <v>35</v>
      </c>
      <c r="L1908" s="0" t="n">
        <f aca="false">INDEX(Summary!$F$2:$F$201,MATCH($B1908,Summary!$A$2:$A$201,0))</f>
        <v>20</v>
      </c>
      <c r="M1908" s="0" t="n">
        <f aca="false">INDEX(Summary!$I$2:$I$201,MATCH($B1908,Summary!$A$2:$A$201,0))</f>
        <v>1</v>
      </c>
      <c r="N1908" s="0" t="n">
        <f aca="false">INDEX(Summary!$J$2:$J$201,MATCH($B1908,Summary!$A$2:$A$201,0))</f>
        <v>4</v>
      </c>
      <c r="O1908" s="2" t="n">
        <f aca="false">INDEX(Summary!$K$2:$K$201,MATCH($B1908,Summary!$A$2:$A$201,0))</f>
        <v>9.01</v>
      </c>
      <c r="P1908" s="3" t="n">
        <f aca="false">INDEX(Summary!$L$2:$L$201,MATCH($B1908,Summary!$A$2:$A$201,0))</f>
        <v>4</v>
      </c>
      <c r="Q1908" s="3" t="n">
        <f aca="false">INDEX(Summary!$M$2:$M$201,MATCH($B1908,Summary!$A$2:$A$201,0))</f>
        <v>2</v>
      </c>
      <c r="R1908" s="2" t="n">
        <f aca="false">INDEX(Summary!$N$2:$N$201,MATCH($B1908,Summary!$A$2:$A$201,0))</f>
        <v>9.12</v>
      </c>
      <c r="S1908" s="3" t="n">
        <f aca="false">INDEX(Summary!$O$2:$O$201,MATCH($B1908,Summary!$A$2:$A$201,0))</f>
        <v>5</v>
      </c>
      <c r="T1908" s="3" t="n">
        <f aca="false">INDEX(Summary!$P$2:$P$201,MATCH($B1908,Summary!$A$2:$A$201,0))</f>
        <v>4</v>
      </c>
      <c r="U1908" s="2" t="n">
        <f aca="false">INDEX(Summary!$Q$2:$Q$201,MATCH($B1908,Summary!$A$2:$A$201,0))</f>
        <v>13.53</v>
      </c>
      <c r="V1908" s="2" t="n">
        <f aca="false">INDEX(Summary!$R$2:$R$201,MATCH($B1908,Summary!$A$2:$A$201,0))</f>
        <v>18.18</v>
      </c>
      <c r="W1908" s="0" t="str">
        <f aca="false">INDEX(Summary!$S$2:$S$201,MATCH($B1908,Summary!$A$2:$A$201,0))</f>
        <v>Bronze</v>
      </c>
      <c r="X1908" s="2" t="n">
        <f aca="false">INDEX(Summary!$T$2:$T$201,MATCH($B1908,Summary!$A$2:$A$201,0))</f>
        <v>44.34</v>
      </c>
      <c r="Y1908" s="0" t="str">
        <f aca="false">INDEX('Reward Model'!$E$18:$E$37,MATCH($E1908,'Reward Model'!$A$18:$A$37,0))</f>
        <v>Low</v>
      </c>
      <c r="Z1908" s="4" t="n">
        <f aca="false">ROUND(MIN(1,MAX('Reward Model'!$B$2,INDEX('Reward Model'!$C$12:$C$14,MATCH($K1908,'Reward Model'!$A$12:$A$14,0))/$J1908)),3)</f>
        <v>0.843</v>
      </c>
      <c r="AA1908" s="2" t="n">
        <f aca="false">IF($I1908="Correct",ROUND(INDEX('Reward Model'!$B$12:$B$14,MATCH($K1908,'Reward Model'!$A$12:$A$14,0))*Z1908,2),0)</f>
        <v>0</v>
      </c>
      <c r="AB1908" s="2" t="n">
        <f aca="false">IF($I1908="Correct",ROUND(INDEX('Reward Model'!$B$12:$B$14,MATCH($Y1908,'Reward Model'!$A$12:$A$14,0))*Z1908,2),0)</f>
        <v>0</v>
      </c>
    </row>
    <row r="1909" customFormat="false" ht="15" hidden="false" customHeight="false" outlineLevel="0" collapsed="false">
      <c r="A1909" s="0" t="s">
        <v>320</v>
      </c>
      <c r="B1909" s="0" t="s">
        <v>321</v>
      </c>
      <c r="C1909" s="0" t="s">
        <v>322</v>
      </c>
      <c r="D1909" s="0" t="s">
        <v>31</v>
      </c>
      <c r="E1909" s="0" t="n">
        <v>8</v>
      </c>
      <c r="F1909" s="0" t="s">
        <v>52</v>
      </c>
      <c r="G1909" s="0" t="s">
        <v>137</v>
      </c>
      <c r="H1909" s="0" t="s">
        <v>54</v>
      </c>
      <c r="I1909" s="0" t="s">
        <v>39</v>
      </c>
      <c r="J1909" s="0" t="n">
        <v>1.95</v>
      </c>
      <c r="K1909" s="0" t="s">
        <v>35</v>
      </c>
      <c r="L1909" s="0" t="n">
        <f aca="false">INDEX(Summary!$F$2:$F$201,MATCH($B1909,Summary!$A$2:$A$201,0))</f>
        <v>20</v>
      </c>
      <c r="M1909" s="0" t="n">
        <f aca="false">INDEX(Summary!$I$2:$I$201,MATCH($B1909,Summary!$A$2:$A$201,0))</f>
        <v>1</v>
      </c>
      <c r="N1909" s="0" t="n">
        <f aca="false">INDEX(Summary!$J$2:$J$201,MATCH($B1909,Summary!$A$2:$A$201,0))</f>
        <v>4</v>
      </c>
      <c r="O1909" s="2" t="n">
        <f aca="false">INDEX(Summary!$K$2:$K$201,MATCH($B1909,Summary!$A$2:$A$201,0))</f>
        <v>9.01</v>
      </c>
      <c r="P1909" s="3" t="n">
        <f aca="false">INDEX(Summary!$L$2:$L$201,MATCH($B1909,Summary!$A$2:$A$201,0))</f>
        <v>4</v>
      </c>
      <c r="Q1909" s="3" t="n">
        <f aca="false">INDEX(Summary!$M$2:$M$201,MATCH($B1909,Summary!$A$2:$A$201,0))</f>
        <v>2</v>
      </c>
      <c r="R1909" s="2" t="n">
        <f aca="false">INDEX(Summary!$N$2:$N$201,MATCH($B1909,Summary!$A$2:$A$201,0))</f>
        <v>9.12</v>
      </c>
      <c r="S1909" s="3" t="n">
        <f aca="false">INDEX(Summary!$O$2:$O$201,MATCH($B1909,Summary!$A$2:$A$201,0))</f>
        <v>5</v>
      </c>
      <c r="T1909" s="3" t="n">
        <f aca="false">INDEX(Summary!$P$2:$P$201,MATCH($B1909,Summary!$A$2:$A$201,0))</f>
        <v>4</v>
      </c>
      <c r="U1909" s="2" t="n">
        <f aca="false">INDEX(Summary!$Q$2:$Q$201,MATCH($B1909,Summary!$A$2:$A$201,0))</f>
        <v>13.53</v>
      </c>
      <c r="V1909" s="2" t="n">
        <f aca="false">INDEX(Summary!$R$2:$R$201,MATCH($B1909,Summary!$A$2:$A$201,0))</f>
        <v>18.18</v>
      </c>
      <c r="W1909" s="0" t="str">
        <f aca="false">INDEX(Summary!$S$2:$S$201,MATCH($B1909,Summary!$A$2:$A$201,0))</f>
        <v>Bronze</v>
      </c>
      <c r="X1909" s="2" t="n">
        <f aca="false">INDEX(Summary!$T$2:$T$201,MATCH($B1909,Summary!$A$2:$A$201,0))</f>
        <v>44.34</v>
      </c>
      <c r="Y1909" s="0" t="str">
        <f aca="false">INDEX('Reward Model'!$E$18:$E$37,MATCH($E1909,'Reward Model'!$A$18:$A$37,0))</f>
        <v>Medium</v>
      </c>
      <c r="Z1909" s="4" t="n">
        <f aca="false">ROUND(MIN(1,MAX('Reward Model'!$B$2,INDEX('Reward Model'!$C$12:$C$14,MATCH($K1909,'Reward Model'!$A$12:$A$14,0))/$J1909)),3)</f>
        <v>0.769</v>
      </c>
      <c r="AA1909" s="2" t="n">
        <f aca="false">IF($I1909="Correct",ROUND(INDEX('Reward Model'!$B$12:$B$14,MATCH($K1909,'Reward Model'!$A$12:$A$14,0))*Z1909,2),0)</f>
        <v>0</v>
      </c>
      <c r="AB1909" s="2" t="n">
        <f aca="false">IF($I1909="Correct",ROUND(INDEX('Reward Model'!$B$12:$B$14,MATCH($Y1909,'Reward Model'!$A$12:$A$14,0))*Z1909,2),0)</f>
        <v>0</v>
      </c>
    </row>
    <row r="1910" customFormat="false" ht="15" hidden="false" customHeight="false" outlineLevel="0" collapsed="false">
      <c r="A1910" s="0" t="s">
        <v>320</v>
      </c>
      <c r="B1910" s="0" t="s">
        <v>321</v>
      </c>
      <c r="C1910" s="0" t="s">
        <v>322</v>
      </c>
      <c r="D1910" s="0" t="s">
        <v>31</v>
      </c>
      <c r="E1910" s="0" t="n">
        <v>9</v>
      </c>
      <c r="F1910" s="0" t="s">
        <v>55</v>
      </c>
      <c r="G1910" s="0" t="s">
        <v>57</v>
      </c>
      <c r="H1910" s="0" t="s">
        <v>57</v>
      </c>
      <c r="I1910" s="0" t="s">
        <v>34</v>
      </c>
      <c r="J1910" s="0" t="n">
        <v>0.96</v>
      </c>
      <c r="K1910" s="0" t="s">
        <v>35</v>
      </c>
      <c r="L1910" s="0" t="n">
        <f aca="false">INDEX(Summary!$F$2:$F$201,MATCH($B1910,Summary!$A$2:$A$201,0))</f>
        <v>20</v>
      </c>
      <c r="M1910" s="0" t="n">
        <f aca="false">INDEX(Summary!$I$2:$I$201,MATCH($B1910,Summary!$A$2:$A$201,0))</f>
        <v>1</v>
      </c>
      <c r="N1910" s="0" t="n">
        <f aca="false">INDEX(Summary!$J$2:$J$201,MATCH($B1910,Summary!$A$2:$A$201,0))</f>
        <v>4</v>
      </c>
      <c r="O1910" s="2" t="n">
        <f aca="false">INDEX(Summary!$K$2:$K$201,MATCH($B1910,Summary!$A$2:$A$201,0))</f>
        <v>9.01</v>
      </c>
      <c r="P1910" s="3" t="n">
        <f aca="false">INDEX(Summary!$L$2:$L$201,MATCH($B1910,Summary!$A$2:$A$201,0))</f>
        <v>4</v>
      </c>
      <c r="Q1910" s="3" t="n">
        <f aca="false">INDEX(Summary!$M$2:$M$201,MATCH($B1910,Summary!$A$2:$A$201,0))</f>
        <v>2</v>
      </c>
      <c r="R1910" s="2" t="n">
        <f aca="false">INDEX(Summary!$N$2:$N$201,MATCH($B1910,Summary!$A$2:$A$201,0))</f>
        <v>9.12</v>
      </c>
      <c r="S1910" s="3" t="n">
        <f aca="false">INDEX(Summary!$O$2:$O$201,MATCH($B1910,Summary!$A$2:$A$201,0))</f>
        <v>5</v>
      </c>
      <c r="T1910" s="3" t="n">
        <f aca="false">INDEX(Summary!$P$2:$P$201,MATCH($B1910,Summary!$A$2:$A$201,0))</f>
        <v>4</v>
      </c>
      <c r="U1910" s="2" t="n">
        <f aca="false">INDEX(Summary!$Q$2:$Q$201,MATCH($B1910,Summary!$A$2:$A$201,0))</f>
        <v>13.53</v>
      </c>
      <c r="V1910" s="2" t="n">
        <f aca="false">INDEX(Summary!$R$2:$R$201,MATCH($B1910,Summary!$A$2:$A$201,0))</f>
        <v>18.18</v>
      </c>
      <c r="W1910" s="0" t="str">
        <f aca="false">INDEX(Summary!$S$2:$S$201,MATCH($B1910,Summary!$A$2:$A$201,0))</f>
        <v>Bronze</v>
      </c>
      <c r="X1910" s="2" t="n">
        <f aca="false">INDEX(Summary!$T$2:$T$201,MATCH($B1910,Summary!$A$2:$A$201,0))</f>
        <v>44.34</v>
      </c>
      <c r="Y1910" s="0" t="str">
        <f aca="false">INDEX('Reward Model'!$E$18:$E$37,MATCH($E1910,'Reward Model'!$A$18:$A$37,0))</f>
        <v>Medium</v>
      </c>
      <c r="Z1910" s="4" t="n">
        <f aca="false">ROUND(MIN(1,MAX('Reward Model'!$B$2,INDEX('Reward Model'!$C$12:$C$14,MATCH($K1910,'Reward Model'!$A$12:$A$14,0))/$J1910)),3)</f>
        <v>1</v>
      </c>
      <c r="AA1910" s="2" t="n">
        <f aca="false">IF($I1910="Correct",ROUND(INDEX('Reward Model'!$B$12:$B$14,MATCH($K1910,'Reward Model'!$A$12:$A$14,0))*Z1910,2),0)</f>
        <v>1</v>
      </c>
      <c r="AB1910" s="2" t="n">
        <f aca="false">IF($I1910="Correct",ROUND(INDEX('Reward Model'!$B$12:$B$14,MATCH($Y1910,'Reward Model'!$A$12:$A$14,0))*Z1910,2),0)</f>
        <v>2</v>
      </c>
    </row>
    <row r="1911" customFormat="false" ht="15" hidden="false" customHeight="false" outlineLevel="0" collapsed="false">
      <c r="A1911" s="0" t="s">
        <v>320</v>
      </c>
      <c r="B1911" s="0" t="s">
        <v>321</v>
      </c>
      <c r="C1911" s="0" t="s">
        <v>322</v>
      </c>
      <c r="D1911" s="0" t="s">
        <v>31</v>
      </c>
      <c r="E1911" s="0" t="n">
        <v>10</v>
      </c>
      <c r="F1911" s="0" t="s">
        <v>58</v>
      </c>
      <c r="G1911" s="0" t="s">
        <v>59</v>
      </c>
      <c r="H1911" s="0" t="s">
        <v>59</v>
      </c>
      <c r="I1911" s="0" t="s">
        <v>34</v>
      </c>
      <c r="J1911" s="0" t="n">
        <v>1.14</v>
      </c>
      <c r="K1911" s="0" t="s">
        <v>60</v>
      </c>
      <c r="L1911" s="0" t="n">
        <f aca="false">INDEX(Summary!$F$2:$F$201,MATCH($B1911,Summary!$A$2:$A$201,0))</f>
        <v>20</v>
      </c>
      <c r="M1911" s="0" t="n">
        <f aca="false">INDEX(Summary!$I$2:$I$201,MATCH($B1911,Summary!$A$2:$A$201,0))</f>
        <v>1</v>
      </c>
      <c r="N1911" s="0" t="n">
        <f aca="false">INDEX(Summary!$J$2:$J$201,MATCH($B1911,Summary!$A$2:$A$201,0))</f>
        <v>4</v>
      </c>
      <c r="O1911" s="2" t="n">
        <f aca="false">INDEX(Summary!$K$2:$K$201,MATCH($B1911,Summary!$A$2:$A$201,0))</f>
        <v>9.01</v>
      </c>
      <c r="P1911" s="3" t="n">
        <f aca="false">INDEX(Summary!$L$2:$L$201,MATCH($B1911,Summary!$A$2:$A$201,0))</f>
        <v>4</v>
      </c>
      <c r="Q1911" s="3" t="n">
        <f aca="false">INDEX(Summary!$M$2:$M$201,MATCH($B1911,Summary!$A$2:$A$201,0))</f>
        <v>2</v>
      </c>
      <c r="R1911" s="2" t="n">
        <f aca="false">INDEX(Summary!$N$2:$N$201,MATCH($B1911,Summary!$A$2:$A$201,0))</f>
        <v>9.12</v>
      </c>
      <c r="S1911" s="3" t="n">
        <f aca="false">INDEX(Summary!$O$2:$O$201,MATCH($B1911,Summary!$A$2:$A$201,0))</f>
        <v>5</v>
      </c>
      <c r="T1911" s="3" t="n">
        <f aca="false">INDEX(Summary!$P$2:$P$201,MATCH($B1911,Summary!$A$2:$A$201,0))</f>
        <v>4</v>
      </c>
      <c r="U1911" s="2" t="n">
        <f aca="false">INDEX(Summary!$Q$2:$Q$201,MATCH($B1911,Summary!$A$2:$A$201,0))</f>
        <v>13.53</v>
      </c>
      <c r="V1911" s="2" t="n">
        <f aca="false">INDEX(Summary!$R$2:$R$201,MATCH($B1911,Summary!$A$2:$A$201,0))</f>
        <v>18.18</v>
      </c>
      <c r="W1911" s="0" t="str">
        <f aca="false">INDEX(Summary!$S$2:$S$201,MATCH($B1911,Summary!$A$2:$A$201,0))</f>
        <v>Bronze</v>
      </c>
      <c r="X1911" s="2" t="n">
        <f aca="false">INDEX(Summary!$T$2:$T$201,MATCH($B1911,Summary!$A$2:$A$201,0))</f>
        <v>44.34</v>
      </c>
      <c r="Y1911" s="0" t="str">
        <f aca="false">INDEX('Reward Model'!$E$18:$E$37,MATCH($E1911,'Reward Model'!$A$18:$A$37,0))</f>
        <v>Medium</v>
      </c>
      <c r="Z1911" s="4" t="n">
        <f aca="false">ROUND(MIN(1,MAX('Reward Model'!$B$2,INDEX('Reward Model'!$C$12:$C$14,MATCH($K1911,'Reward Model'!$A$12:$A$14,0))/$J1911)),3)</f>
        <v>1</v>
      </c>
      <c r="AA1911" s="2" t="n">
        <f aca="false">IF($I1911="Correct",ROUND(INDEX('Reward Model'!$B$12:$B$14,MATCH($K1911,'Reward Model'!$A$12:$A$14,0))*Z1911,2),0)</f>
        <v>2</v>
      </c>
      <c r="AB1911" s="2" t="n">
        <f aca="false">IF($I1911="Correct",ROUND(INDEX('Reward Model'!$B$12:$B$14,MATCH($Y1911,'Reward Model'!$A$12:$A$14,0))*Z1911,2),0)</f>
        <v>2</v>
      </c>
    </row>
    <row r="1912" customFormat="false" ht="15" hidden="false" customHeight="false" outlineLevel="0" collapsed="false">
      <c r="A1912" s="0" t="s">
        <v>320</v>
      </c>
      <c r="B1912" s="0" t="s">
        <v>321</v>
      </c>
      <c r="C1912" s="0" t="s">
        <v>322</v>
      </c>
      <c r="D1912" s="0" t="s">
        <v>31</v>
      </c>
      <c r="E1912" s="0" t="n">
        <v>11</v>
      </c>
      <c r="F1912" s="0" t="s">
        <v>61</v>
      </c>
      <c r="G1912" s="0" t="s">
        <v>145</v>
      </c>
      <c r="H1912" s="0" t="s">
        <v>63</v>
      </c>
      <c r="I1912" s="0" t="s">
        <v>39</v>
      </c>
      <c r="J1912" s="0" t="n">
        <v>1.51</v>
      </c>
      <c r="K1912" s="0" t="s">
        <v>60</v>
      </c>
      <c r="L1912" s="0" t="n">
        <f aca="false">INDEX(Summary!$F$2:$F$201,MATCH($B1912,Summary!$A$2:$A$201,0))</f>
        <v>20</v>
      </c>
      <c r="M1912" s="0" t="n">
        <f aca="false">INDEX(Summary!$I$2:$I$201,MATCH($B1912,Summary!$A$2:$A$201,0))</f>
        <v>1</v>
      </c>
      <c r="N1912" s="0" t="n">
        <f aca="false">INDEX(Summary!$J$2:$J$201,MATCH($B1912,Summary!$A$2:$A$201,0))</f>
        <v>4</v>
      </c>
      <c r="O1912" s="2" t="n">
        <f aca="false">INDEX(Summary!$K$2:$K$201,MATCH($B1912,Summary!$A$2:$A$201,0))</f>
        <v>9.01</v>
      </c>
      <c r="P1912" s="3" t="n">
        <f aca="false">INDEX(Summary!$L$2:$L$201,MATCH($B1912,Summary!$A$2:$A$201,0))</f>
        <v>4</v>
      </c>
      <c r="Q1912" s="3" t="n">
        <f aca="false">INDEX(Summary!$M$2:$M$201,MATCH($B1912,Summary!$A$2:$A$201,0))</f>
        <v>2</v>
      </c>
      <c r="R1912" s="2" t="n">
        <f aca="false">INDEX(Summary!$N$2:$N$201,MATCH($B1912,Summary!$A$2:$A$201,0))</f>
        <v>9.12</v>
      </c>
      <c r="S1912" s="3" t="n">
        <f aca="false">INDEX(Summary!$O$2:$O$201,MATCH($B1912,Summary!$A$2:$A$201,0))</f>
        <v>5</v>
      </c>
      <c r="T1912" s="3" t="n">
        <f aca="false">INDEX(Summary!$P$2:$P$201,MATCH($B1912,Summary!$A$2:$A$201,0))</f>
        <v>4</v>
      </c>
      <c r="U1912" s="2" t="n">
        <f aca="false">INDEX(Summary!$Q$2:$Q$201,MATCH($B1912,Summary!$A$2:$A$201,0))</f>
        <v>13.53</v>
      </c>
      <c r="V1912" s="2" t="n">
        <f aca="false">INDEX(Summary!$R$2:$R$201,MATCH($B1912,Summary!$A$2:$A$201,0))</f>
        <v>18.18</v>
      </c>
      <c r="W1912" s="0" t="str">
        <f aca="false">INDEX(Summary!$S$2:$S$201,MATCH($B1912,Summary!$A$2:$A$201,0))</f>
        <v>Bronze</v>
      </c>
      <c r="X1912" s="2" t="n">
        <f aca="false">INDEX(Summary!$T$2:$T$201,MATCH($B1912,Summary!$A$2:$A$201,0))</f>
        <v>44.34</v>
      </c>
      <c r="Y1912" s="0" t="str">
        <f aca="false">INDEX('Reward Model'!$E$18:$E$37,MATCH($E1912,'Reward Model'!$A$18:$A$37,0))</f>
        <v>Medium</v>
      </c>
      <c r="Z1912" s="4" t="n">
        <f aca="false">ROUND(MIN(1,MAX('Reward Model'!$B$2,INDEX('Reward Model'!$C$12:$C$14,MATCH($K1912,'Reward Model'!$A$12:$A$14,0))/$J1912)),3)</f>
        <v>1</v>
      </c>
      <c r="AA1912" s="2" t="n">
        <f aca="false">IF($I1912="Correct",ROUND(INDEX('Reward Model'!$B$12:$B$14,MATCH($K1912,'Reward Model'!$A$12:$A$14,0))*Z1912,2),0)</f>
        <v>0</v>
      </c>
      <c r="AB1912" s="2" t="n">
        <f aca="false">IF($I1912="Correct",ROUND(INDEX('Reward Model'!$B$12:$B$14,MATCH($Y1912,'Reward Model'!$A$12:$A$14,0))*Z1912,2),0)</f>
        <v>0</v>
      </c>
    </row>
    <row r="1913" customFormat="false" ht="15" hidden="false" customHeight="false" outlineLevel="0" collapsed="false">
      <c r="A1913" s="0" t="s">
        <v>320</v>
      </c>
      <c r="B1913" s="0" t="s">
        <v>321</v>
      </c>
      <c r="C1913" s="0" t="s">
        <v>322</v>
      </c>
      <c r="D1913" s="0" t="s">
        <v>31</v>
      </c>
      <c r="E1913" s="0" t="n">
        <v>12</v>
      </c>
      <c r="F1913" s="0" t="s">
        <v>64</v>
      </c>
      <c r="G1913" s="0" t="s">
        <v>65</v>
      </c>
      <c r="H1913" s="0" t="s">
        <v>65</v>
      </c>
      <c r="I1913" s="0" t="s">
        <v>34</v>
      </c>
      <c r="J1913" s="0" t="n">
        <v>2.14</v>
      </c>
      <c r="K1913" s="0" t="s">
        <v>60</v>
      </c>
      <c r="L1913" s="0" t="n">
        <f aca="false">INDEX(Summary!$F$2:$F$201,MATCH($B1913,Summary!$A$2:$A$201,0))</f>
        <v>20</v>
      </c>
      <c r="M1913" s="0" t="n">
        <f aca="false">INDEX(Summary!$I$2:$I$201,MATCH($B1913,Summary!$A$2:$A$201,0))</f>
        <v>1</v>
      </c>
      <c r="N1913" s="0" t="n">
        <f aca="false">INDEX(Summary!$J$2:$J$201,MATCH($B1913,Summary!$A$2:$A$201,0))</f>
        <v>4</v>
      </c>
      <c r="O1913" s="2" t="n">
        <f aca="false">INDEX(Summary!$K$2:$K$201,MATCH($B1913,Summary!$A$2:$A$201,0))</f>
        <v>9.01</v>
      </c>
      <c r="P1913" s="3" t="n">
        <f aca="false">INDEX(Summary!$L$2:$L$201,MATCH($B1913,Summary!$A$2:$A$201,0))</f>
        <v>4</v>
      </c>
      <c r="Q1913" s="3" t="n">
        <f aca="false">INDEX(Summary!$M$2:$M$201,MATCH($B1913,Summary!$A$2:$A$201,0))</f>
        <v>2</v>
      </c>
      <c r="R1913" s="2" t="n">
        <f aca="false">INDEX(Summary!$N$2:$N$201,MATCH($B1913,Summary!$A$2:$A$201,0))</f>
        <v>9.12</v>
      </c>
      <c r="S1913" s="3" t="n">
        <f aca="false">INDEX(Summary!$O$2:$O$201,MATCH($B1913,Summary!$A$2:$A$201,0))</f>
        <v>5</v>
      </c>
      <c r="T1913" s="3" t="n">
        <f aca="false">INDEX(Summary!$P$2:$P$201,MATCH($B1913,Summary!$A$2:$A$201,0))</f>
        <v>4</v>
      </c>
      <c r="U1913" s="2" t="n">
        <f aca="false">INDEX(Summary!$Q$2:$Q$201,MATCH($B1913,Summary!$A$2:$A$201,0))</f>
        <v>13.53</v>
      </c>
      <c r="V1913" s="2" t="n">
        <f aca="false">INDEX(Summary!$R$2:$R$201,MATCH($B1913,Summary!$A$2:$A$201,0))</f>
        <v>18.18</v>
      </c>
      <c r="W1913" s="0" t="str">
        <f aca="false">INDEX(Summary!$S$2:$S$201,MATCH($B1913,Summary!$A$2:$A$201,0))</f>
        <v>Bronze</v>
      </c>
      <c r="X1913" s="2" t="n">
        <f aca="false">INDEX(Summary!$T$2:$T$201,MATCH($B1913,Summary!$A$2:$A$201,0))</f>
        <v>44.34</v>
      </c>
      <c r="Y1913" s="0" t="str">
        <f aca="false">INDEX('Reward Model'!$E$18:$E$37,MATCH($E1913,'Reward Model'!$A$18:$A$37,0))</f>
        <v>Medium</v>
      </c>
      <c r="Z1913" s="4" t="n">
        <f aca="false">ROUND(MIN(1,MAX('Reward Model'!$B$2,INDEX('Reward Model'!$C$12:$C$14,MATCH($K1913,'Reward Model'!$A$12:$A$14,0))/$J1913)),3)</f>
        <v>0.841</v>
      </c>
      <c r="AA1913" s="2" t="n">
        <f aca="false">IF($I1913="Correct",ROUND(INDEX('Reward Model'!$B$12:$B$14,MATCH($K1913,'Reward Model'!$A$12:$A$14,0))*Z1913,2),0)</f>
        <v>1.68</v>
      </c>
      <c r="AB1913" s="2" t="n">
        <f aca="false">IF($I1913="Correct",ROUND(INDEX('Reward Model'!$B$12:$B$14,MATCH($Y1913,'Reward Model'!$A$12:$A$14,0))*Z1913,2),0)</f>
        <v>1.68</v>
      </c>
    </row>
    <row r="1914" customFormat="false" ht="15" hidden="false" customHeight="false" outlineLevel="0" collapsed="false">
      <c r="A1914" s="0" t="s">
        <v>320</v>
      </c>
      <c r="B1914" s="0" t="s">
        <v>321</v>
      </c>
      <c r="C1914" s="0" t="s">
        <v>322</v>
      </c>
      <c r="D1914" s="0" t="s">
        <v>31</v>
      </c>
      <c r="E1914" s="0" t="n">
        <v>13</v>
      </c>
      <c r="F1914" s="0" t="s">
        <v>66</v>
      </c>
      <c r="G1914" s="0" t="s">
        <v>67</v>
      </c>
      <c r="H1914" s="0" t="s">
        <v>67</v>
      </c>
      <c r="I1914" s="0" t="s">
        <v>34</v>
      </c>
      <c r="J1914" s="0" t="n">
        <v>1.39</v>
      </c>
      <c r="K1914" s="0" t="s">
        <v>60</v>
      </c>
      <c r="L1914" s="0" t="n">
        <f aca="false">INDEX(Summary!$F$2:$F$201,MATCH($B1914,Summary!$A$2:$A$201,0))</f>
        <v>20</v>
      </c>
      <c r="M1914" s="0" t="n">
        <f aca="false">INDEX(Summary!$I$2:$I$201,MATCH($B1914,Summary!$A$2:$A$201,0))</f>
        <v>1</v>
      </c>
      <c r="N1914" s="0" t="n">
        <f aca="false">INDEX(Summary!$J$2:$J$201,MATCH($B1914,Summary!$A$2:$A$201,0))</f>
        <v>4</v>
      </c>
      <c r="O1914" s="2" t="n">
        <f aca="false">INDEX(Summary!$K$2:$K$201,MATCH($B1914,Summary!$A$2:$A$201,0))</f>
        <v>9.01</v>
      </c>
      <c r="P1914" s="3" t="n">
        <f aca="false">INDEX(Summary!$L$2:$L$201,MATCH($B1914,Summary!$A$2:$A$201,0))</f>
        <v>4</v>
      </c>
      <c r="Q1914" s="3" t="n">
        <f aca="false">INDEX(Summary!$M$2:$M$201,MATCH($B1914,Summary!$A$2:$A$201,0))</f>
        <v>2</v>
      </c>
      <c r="R1914" s="2" t="n">
        <f aca="false">INDEX(Summary!$N$2:$N$201,MATCH($B1914,Summary!$A$2:$A$201,0))</f>
        <v>9.12</v>
      </c>
      <c r="S1914" s="3" t="n">
        <f aca="false">INDEX(Summary!$O$2:$O$201,MATCH($B1914,Summary!$A$2:$A$201,0))</f>
        <v>5</v>
      </c>
      <c r="T1914" s="3" t="n">
        <f aca="false">INDEX(Summary!$P$2:$P$201,MATCH($B1914,Summary!$A$2:$A$201,0))</f>
        <v>4</v>
      </c>
      <c r="U1914" s="2" t="n">
        <f aca="false">INDEX(Summary!$Q$2:$Q$201,MATCH($B1914,Summary!$A$2:$A$201,0))</f>
        <v>13.53</v>
      </c>
      <c r="V1914" s="2" t="n">
        <f aca="false">INDEX(Summary!$R$2:$R$201,MATCH($B1914,Summary!$A$2:$A$201,0))</f>
        <v>18.18</v>
      </c>
      <c r="W1914" s="0" t="str">
        <f aca="false">INDEX(Summary!$S$2:$S$201,MATCH($B1914,Summary!$A$2:$A$201,0))</f>
        <v>Bronze</v>
      </c>
      <c r="X1914" s="2" t="n">
        <f aca="false">INDEX(Summary!$T$2:$T$201,MATCH($B1914,Summary!$A$2:$A$201,0))</f>
        <v>44.34</v>
      </c>
      <c r="Y1914" s="0" t="str">
        <f aca="false">INDEX('Reward Model'!$E$18:$E$37,MATCH($E1914,'Reward Model'!$A$18:$A$37,0))</f>
        <v>Medium</v>
      </c>
      <c r="Z1914" s="4" t="n">
        <f aca="false">ROUND(MIN(1,MAX('Reward Model'!$B$2,INDEX('Reward Model'!$C$12:$C$14,MATCH($K1914,'Reward Model'!$A$12:$A$14,0))/$J1914)),3)</f>
        <v>1</v>
      </c>
      <c r="AA1914" s="2" t="n">
        <f aca="false">IF($I1914="Correct",ROUND(INDEX('Reward Model'!$B$12:$B$14,MATCH($K1914,'Reward Model'!$A$12:$A$14,0))*Z1914,2),0)</f>
        <v>2</v>
      </c>
      <c r="AB1914" s="2" t="n">
        <f aca="false">IF($I1914="Correct",ROUND(INDEX('Reward Model'!$B$12:$B$14,MATCH($Y1914,'Reward Model'!$A$12:$A$14,0))*Z1914,2),0)</f>
        <v>2</v>
      </c>
    </row>
    <row r="1915" customFormat="false" ht="15" hidden="false" customHeight="false" outlineLevel="0" collapsed="false">
      <c r="A1915" s="0" t="s">
        <v>320</v>
      </c>
      <c r="B1915" s="0" t="s">
        <v>321</v>
      </c>
      <c r="C1915" s="0" t="s">
        <v>322</v>
      </c>
      <c r="D1915" s="0" t="s">
        <v>31</v>
      </c>
      <c r="E1915" s="0" t="n">
        <v>14</v>
      </c>
      <c r="F1915" s="0" t="s">
        <v>68</v>
      </c>
      <c r="G1915" s="0" t="s">
        <v>51</v>
      </c>
      <c r="H1915" s="0" t="s">
        <v>51</v>
      </c>
      <c r="I1915" s="0" t="s">
        <v>34</v>
      </c>
      <c r="J1915" s="0" t="n">
        <v>1.76</v>
      </c>
      <c r="K1915" s="0" t="s">
        <v>60</v>
      </c>
      <c r="L1915" s="0" t="n">
        <f aca="false">INDEX(Summary!$F$2:$F$201,MATCH($B1915,Summary!$A$2:$A$201,0))</f>
        <v>20</v>
      </c>
      <c r="M1915" s="0" t="n">
        <f aca="false">INDEX(Summary!$I$2:$I$201,MATCH($B1915,Summary!$A$2:$A$201,0))</f>
        <v>1</v>
      </c>
      <c r="N1915" s="0" t="n">
        <f aca="false">INDEX(Summary!$J$2:$J$201,MATCH($B1915,Summary!$A$2:$A$201,0))</f>
        <v>4</v>
      </c>
      <c r="O1915" s="2" t="n">
        <f aca="false">INDEX(Summary!$K$2:$K$201,MATCH($B1915,Summary!$A$2:$A$201,0))</f>
        <v>9.01</v>
      </c>
      <c r="P1915" s="3" t="n">
        <f aca="false">INDEX(Summary!$L$2:$L$201,MATCH($B1915,Summary!$A$2:$A$201,0))</f>
        <v>4</v>
      </c>
      <c r="Q1915" s="3" t="n">
        <f aca="false">INDEX(Summary!$M$2:$M$201,MATCH($B1915,Summary!$A$2:$A$201,0))</f>
        <v>2</v>
      </c>
      <c r="R1915" s="2" t="n">
        <f aca="false">INDEX(Summary!$N$2:$N$201,MATCH($B1915,Summary!$A$2:$A$201,0))</f>
        <v>9.12</v>
      </c>
      <c r="S1915" s="3" t="n">
        <f aca="false">INDEX(Summary!$O$2:$O$201,MATCH($B1915,Summary!$A$2:$A$201,0))</f>
        <v>5</v>
      </c>
      <c r="T1915" s="3" t="n">
        <f aca="false">INDEX(Summary!$P$2:$P$201,MATCH($B1915,Summary!$A$2:$A$201,0))</f>
        <v>4</v>
      </c>
      <c r="U1915" s="2" t="n">
        <f aca="false">INDEX(Summary!$Q$2:$Q$201,MATCH($B1915,Summary!$A$2:$A$201,0))</f>
        <v>13.53</v>
      </c>
      <c r="V1915" s="2" t="n">
        <f aca="false">INDEX(Summary!$R$2:$R$201,MATCH($B1915,Summary!$A$2:$A$201,0))</f>
        <v>18.18</v>
      </c>
      <c r="W1915" s="0" t="str">
        <f aca="false">INDEX(Summary!$S$2:$S$201,MATCH($B1915,Summary!$A$2:$A$201,0))</f>
        <v>Bronze</v>
      </c>
      <c r="X1915" s="2" t="n">
        <f aca="false">INDEX(Summary!$T$2:$T$201,MATCH($B1915,Summary!$A$2:$A$201,0))</f>
        <v>44.34</v>
      </c>
      <c r="Y1915" s="0" t="str">
        <f aca="false">INDEX('Reward Model'!$E$18:$E$37,MATCH($E1915,'Reward Model'!$A$18:$A$37,0))</f>
        <v>Medium</v>
      </c>
      <c r="Z1915" s="4" t="n">
        <f aca="false">ROUND(MIN(1,MAX('Reward Model'!$B$2,INDEX('Reward Model'!$C$12:$C$14,MATCH($K1915,'Reward Model'!$A$12:$A$14,0))/$J1915)),3)</f>
        <v>1</v>
      </c>
      <c r="AA1915" s="2" t="n">
        <f aca="false">IF($I1915="Correct",ROUND(INDEX('Reward Model'!$B$12:$B$14,MATCH($K1915,'Reward Model'!$A$12:$A$14,0))*Z1915,2),0)</f>
        <v>2</v>
      </c>
      <c r="AB1915" s="2" t="n">
        <f aca="false">IF($I1915="Correct",ROUND(INDEX('Reward Model'!$B$12:$B$14,MATCH($Y1915,'Reward Model'!$A$12:$A$14,0))*Z1915,2),0)</f>
        <v>2</v>
      </c>
    </row>
    <row r="1916" customFormat="false" ht="15" hidden="false" customHeight="false" outlineLevel="0" collapsed="false">
      <c r="A1916" s="0" t="s">
        <v>320</v>
      </c>
      <c r="B1916" s="0" t="s">
        <v>321</v>
      </c>
      <c r="C1916" s="0" t="s">
        <v>322</v>
      </c>
      <c r="D1916" s="0" t="s">
        <v>31</v>
      </c>
      <c r="E1916" s="0" t="n">
        <v>15</v>
      </c>
      <c r="F1916" s="0" t="s">
        <v>69</v>
      </c>
      <c r="G1916" s="0" t="s">
        <v>131</v>
      </c>
      <c r="H1916" s="0" t="s">
        <v>70</v>
      </c>
      <c r="I1916" s="0" t="s">
        <v>39</v>
      </c>
      <c r="J1916" s="0" t="n">
        <v>1.18</v>
      </c>
      <c r="K1916" s="0" t="s">
        <v>60</v>
      </c>
      <c r="L1916" s="0" t="n">
        <f aca="false">INDEX(Summary!$F$2:$F$201,MATCH($B1916,Summary!$A$2:$A$201,0))</f>
        <v>20</v>
      </c>
      <c r="M1916" s="0" t="n">
        <f aca="false">INDEX(Summary!$I$2:$I$201,MATCH($B1916,Summary!$A$2:$A$201,0))</f>
        <v>1</v>
      </c>
      <c r="N1916" s="0" t="n">
        <f aca="false">INDEX(Summary!$J$2:$J$201,MATCH($B1916,Summary!$A$2:$A$201,0))</f>
        <v>4</v>
      </c>
      <c r="O1916" s="2" t="n">
        <f aca="false">INDEX(Summary!$K$2:$K$201,MATCH($B1916,Summary!$A$2:$A$201,0))</f>
        <v>9.01</v>
      </c>
      <c r="P1916" s="3" t="n">
        <f aca="false">INDEX(Summary!$L$2:$L$201,MATCH($B1916,Summary!$A$2:$A$201,0))</f>
        <v>4</v>
      </c>
      <c r="Q1916" s="3" t="n">
        <f aca="false">INDEX(Summary!$M$2:$M$201,MATCH($B1916,Summary!$A$2:$A$201,0))</f>
        <v>2</v>
      </c>
      <c r="R1916" s="2" t="n">
        <f aca="false">INDEX(Summary!$N$2:$N$201,MATCH($B1916,Summary!$A$2:$A$201,0))</f>
        <v>9.12</v>
      </c>
      <c r="S1916" s="3" t="n">
        <f aca="false">INDEX(Summary!$O$2:$O$201,MATCH($B1916,Summary!$A$2:$A$201,0))</f>
        <v>5</v>
      </c>
      <c r="T1916" s="3" t="n">
        <f aca="false">INDEX(Summary!$P$2:$P$201,MATCH($B1916,Summary!$A$2:$A$201,0))</f>
        <v>4</v>
      </c>
      <c r="U1916" s="2" t="n">
        <f aca="false">INDEX(Summary!$Q$2:$Q$201,MATCH($B1916,Summary!$A$2:$A$201,0))</f>
        <v>13.53</v>
      </c>
      <c r="V1916" s="2" t="n">
        <f aca="false">INDEX(Summary!$R$2:$R$201,MATCH($B1916,Summary!$A$2:$A$201,0))</f>
        <v>18.18</v>
      </c>
      <c r="W1916" s="0" t="str">
        <f aca="false">INDEX(Summary!$S$2:$S$201,MATCH($B1916,Summary!$A$2:$A$201,0))</f>
        <v>Bronze</v>
      </c>
      <c r="X1916" s="2" t="n">
        <f aca="false">INDEX(Summary!$T$2:$T$201,MATCH($B1916,Summary!$A$2:$A$201,0))</f>
        <v>44.34</v>
      </c>
      <c r="Y1916" s="0" t="str">
        <f aca="false">INDEX('Reward Model'!$E$18:$E$37,MATCH($E1916,'Reward Model'!$A$18:$A$37,0))</f>
        <v>Medium</v>
      </c>
      <c r="Z1916" s="4" t="n">
        <f aca="false">ROUND(MIN(1,MAX('Reward Model'!$B$2,INDEX('Reward Model'!$C$12:$C$14,MATCH($K1916,'Reward Model'!$A$12:$A$14,0))/$J1916)),3)</f>
        <v>1</v>
      </c>
      <c r="AA1916" s="2" t="n">
        <f aca="false">IF($I1916="Correct",ROUND(INDEX('Reward Model'!$B$12:$B$14,MATCH($K1916,'Reward Model'!$A$12:$A$14,0))*Z1916,2),0)</f>
        <v>0</v>
      </c>
      <c r="AB1916" s="2" t="n">
        <f aca="false">IF($I1916="Correct",ROUND(INDEX('Reward Model'!$B$12:$B$14,MATCH($Y1916,'Reward Model'!$A$12:$A$14,0))*Z1916,2),0)</f>
        <v>0</v>
      </c>
    </row>
    <row r="1917" customFormat="false" ht="15" hidden="false" customHeight="false" outlineLevel="0" collapsed="false">
      <c r="A1917" s="0" t="s">
        <v>320</v>
      </c>
      <c r="B1917" s="0" t="s">
        <v>321</v>
      </c>
      <c r="C1917" s="0" t="s">
        <v>322</v>
      </c>
      <c r="D1917" s="0" t="s">
        <v>31</v>
      </c>
      <c r="E1917" s="0" t="n">
        <v>16</v>
      </c>
      <c r="F1917" s="0" t="s">
        <v>71</v>
      </c>
      <c r="G1917" s="0" t="s">
        <v>104</v>
      </c>
      <c r="H1917" s="0" t="s">
        <v>72</v>
      </c>
      <c r="I1917" s="0" t="s">
        <v>39</v>
      </c>
      <c r="J1917" s="0" t="n">
        <v>1.21</v>
      </c>
      <c r="K1917" s="0" t="s">
        <v>73</v>
      </c>
      <c r="L1917" s="0" t="n">
        <f aca="false">INDEX(Summary!$F$2:$F$201,MATCH($B1917,Summary!$A$2:$A$201,0))</f>
        <v>20</v>
      </c>
      <c r="M1917" s="0" t="n">
        <f aca="false">INDEX(Summary!$I$2:$I$201,MATCH($B1917,Summary!$A$2:$A$201,0))</f>
        <v>1</v>
      </c>
      <c r="N1917" s="0" t="n">
        <f aca="false">INDEX(Summary!$J$2:$J$201,MATCH($B1917,Summary!$A$2:$A$201,0))</f>
        <v>4</v>
      </c>
      <c r="O1917" s="2" t="n">
        <f aca="false">INDEX(Summary!$K$2:$K$201,MATCH($B1917,Summary!$A$2:$A$201,0))</f>
        <v>9.01</v>
      </c>
      <c r="P1917" s="3" t="n">
        <f aca="false">INDEX(Summary!$L$2:$L$201,MATCH($B1917,Summary!$A$2:$A$201,0))</f>
        <v>4</v>
      </c>
      <c r="Q1917" s="3" t="n">
        <f aca="false">INDEX(Summary!$M$2:$M$201,MATCH($B1917,Summary!$A$2:$A$201,0))</f>
        <v>2</v>
      </c>
      <c r="R1917" s="2" t="n">
        <f aca="false">INDEX(Summary!$N$2:$N$201,MATCH($B1917,Summary!$A$2:$A$201,0))</f>
        <v>9.12</v>
      </c>
      <c r="S1917" s="3" t="n">
        <f aca="false">INDEX(Summary!$O$2:$O$201,MATCH($B1917,Summary!$A$2:$A$201,0))</f>
        <v>5</v>
      </c>
      <c r="T1917" s="3" t="n">
        <f aca="false">INDEX(Summary!$P$2:$P$201,MATCH($B1917,Summary!$A$2:$A$201,0))</f>
        <v>4</v>
      </c>
      <c r="U1917" s="2" t="n">
        <f aca="false">INDEX(Summary!$Q$2:$Q$201,MATCH($B1917,Summary!$A$2:$A$201,0))</f>
        <v>13.53</v>
      </c>
      <c r="V1917" s="2" t="n">
        <f aca="false">INDEX(Summary!$R$2:$R$201,MATCH($B1917,Summary!$A$2:$A$201,0))</f>
        <v>18.18</v>
      </c>
      <c r="W1917" s="0" t="str">
        <f aca="false">INDEX(Summary!$S$2:$S$201,MATCH($B1917,Summary!$A$2:$A$201,0))</f>
        <v>Bronze</v>
      </c>
      <c r="X1917" s="2" t="n">
        <f aca="false">INDEX(Summary!$T$2:$T$201,MATCH($B1917,Summary!$A$2:$A$201,0))</f>
        <v>44.34</v>
      </c>
      <c r="Y1917" s="0" t="str">
        <f aca="false">INDEX('Reward Model'!$E$18:$E$37,MATCH($E1917,'Reward Model'!$A$18:$A$37,0))</f>
        <v>High</v>
      </c>
      <c r="Z1917" s="4" t="n">
        <f aca="false">ROUND(MIN(1,MAX('Reward Model'!$B$2,INDEX('Reward Model'!$C$12:$C$14,MATCH($K1917,'Reward Model'!$A$12:$A$14,0))/$J1917)),3)</f>
        <v>1</v>
      </c>
      <c r="AA1917" s="2" t="n">
        <f aca="false">IF($I1917="Correct",ROUND(INDEX('Reward Model'!$B$12:$B$14,MATCH($K1917,'Reward Model'!$A$12:$A$14,0))*Z1917,2),0)</f>
        <v>0</v>
      </c>
      <c r="AB1917" s="2" t="n">
        <f aca="false">IF($I1917="Correct",ROUND(INDEX('Reward Model'!$B$12:$B$14,MATCH($Y1917,'Reward Model'!$A$12:$A$14,0))*Z1917,2),0)</f>
        <v>0</v>
      </c>
    </row>
    <row r="1918" customFormat="false" ht="15" hidden="false" customHeight="false" outlineLevel="0" collapsed="false">
      <c r="A1918" s="0" t="s">
        <v>320</v>
      </c>
      <c r="B1918" s="0" t="s">
        <v>321</v>
      </c>
      <c r="C1918" s="0" t="s">
        <v>322</v>
      </c>
      <c r="D1918" s="0" t="s">
        <v>31</v>
      </c>
      <c r="E1918" s="0" t="n">
        <v>17</v>
      </c>
      <c r="F1918" s="0" t="s">
        <v>74</v>
      </c>
      <c r="G1918" s="0" t="s">
        <v>105</v>
      </c>
      <c r="H1918" s="0" t="s">
        <v>75</v>
      </c>
      <c r="I1918" s="0" t="s">
        <v>39</v>
      </c>
      <c r="J1918" s="0" t="n">
        <v>2.38</v>
      </c>
      <c r="K1918" s="0" t="s">
        <v>73</v>
      </c>
      <c r="L1918" s="0" t="n">
        <f aca="false">INDEX(Summary!$F$2:$F$201,MATCH($B1918,Summary!$A$2:$A$201,0))</f>
        <v>20</v>
      </c>
      <c r="M1918" s="0" t="n">
        <f aca="false">INDEX(Summary!$I$2:$I$201,MATCH($B1918,Summary!$A$2:$A$201,0))</f>
        <v>1</v>
      </c>
      <c r="N1918" s="0" t="n">
        <f aca="false">INDEX(Summary!$J$2:$J$201,MATCH($B1918,Summary!$A$2:$A$201,0))</f>
        <v>4</v>
      </c>
      <c r="O1918" s="2" t="n">
        <f aca="false">INDEX(Summary!$K$2:$K$201,MATCH($B1918,Summary!$A$2:$A$201,0))</f>
        <v>9.01</v>
      </c>
      <c r="P1918" s="3" t="n">
        <f aca="false">INDEX(Summary!$L$2:$L$201,MATCH($B1918,Summary!$A$2:$A$201,0))</f>
        <v>4</v>
      </c>
      <c r="Q1918" s="3" t="n">
        <f aca="false">INDEX(Summary!$M$2:$M$201,MATCH($B1918,Summary!$A$2:$A$201,0))</f>
        <v>2</v>
      </c>
      <c r="R1918" s="2" t="n">
        <f aca="false">INDEX(Summary!$N$2:$N$201,MATCH($B1918,Summary!$A$2:$A$201,0))</f>
        <v>9.12</v>
      </c>
      <c r="S1918" s="3" t="n">
        <f aca="false">INDEX(Summary!$O$2:$O$201,MATCH($B1918,Summary!$A$2:$A$201,0))</f>
        <v>5</v>
      </c>
      <c r="T1918" s="3" t="n">
        <f aca="false">INDEX(Summary!$P$2:$P$201,MATCH($B1918,Summary!$A$2:$A$201,0))</f>
        <v>4</v>
      </c>
      <c r="U1918" s="2" t="n">
        <f aca="false">INDEX(Summary!$Q$2:$Q$201,MATCH($B1918,Summary!$A$2:$A$201,0))</f>
        <v>13.53</v>
      </c>
      <c r="V1918" s="2" t="n">
        <f aca="false">INDEX(Summary!$R$2:$R$201,MATCH($B1918,Summary!$A$2:$A$201,0))</f>
        <v>18.18</v>
      </c>
      <c r="W1918" s="0" t="str">
        <f aca="false">INDEX(Summary!$S$2:$S$201,MATCH($B1918,Summary!$A$2:$A$201,0))</f>
        <v>Bronze</v>
      </c>
      <c r="X1918" s="2" t="n">
        <f aca="false">INDEX(Summary!$T$2:$T$201,MATCH($B1918,Summary!$A$2:$A$201,0))</f>
        <v>44.34</v>
      </c>
      <c r="Y1918" s="0" t="str">
        <f aca="false">INDEX('Reward Model'!$E$18:$E$37,MATCH($E1918,'Reward Model'!$A$18:$A$37,0))</f>
        <v>High</v>
      </c>
      <c r="Z1918" s="4" t="n">
        <f aca="false">ROUND(MIN(1,MAX('Reward Model'!$B$2,INDEX('Reward Model'!$C$12:$C$14,MATCH($K1918,'Reward Model'!$A$12:$A$14,0))/$J1918)),3)</f>
        <v>0.84</v>
      </c>
      <c r="AA1918" s="2" t="n">
        <f aca="false">IF($I1918="Correct",ROUND(INDEX('Reward Model'!$B$12:$B$14,MATCH($K1918,'Reward Model'!$A$12:$A$14,0))*Z1918,2),0)</f>
        <v>0</v>
      </c>
      <c r="AB1918" s="2" t="n">
        <f aca="false">IF($I1918="Correct",ROUND(INDEX('Reward Model'!$B$12:$B$14,MATCH($Y1918,'Reward Model'!$A$12:$A$14,0))*Z1918,2),0)</f>
        <v>0</v>
      </c>
    </row>
    <row r="1919" customFormat="false" ht="15" hidden="false" customHeight="false" outlineLevel="0" collapsed="false">
      <c r="A1919" s="0" t="s">
        <v>320</v>
      </c>
      <c r="B1919" s="0" t="s">
        <v>321</v>
      </c>
      <c r="C1919" s="0" t="s">
        <v>322</v>
      </c>
      <c r="D1919" s="0" t="s">
        <v>31</v>
      </c>
      <c r="E1919" s="0" t="n">
        <v>18</v>
      </c>
      <c r="F1919" s="0" t="s">
        <v>76</v>
      </c>
      <c r="G1919" s="0" t="s">
        <v>77</v>
      </c>
      <c r="H1919" s="0" t="s">
        <v>77</v>
      </c>
      <c r="I1919" s="0" t="s">
        <v>34</v>
      </c>
      <c r="J1919" s="0" t="n">
        <v>1.43</v>
      </c>
      <c r="K1919" s="0" t="s">
        <v>73</v>
      </c>
      <c r="L1919" s="0" t="n">
        <f aca="false">INDEX(Summary!$F$2:$F$201,MATCH($B1919,Summary!$A$2:$A$201,0))</f>
        <v>20</v>
      </c>
      <c r="M1919" s="0" t="n">
        <f aca="false">INDEX(Summary!$I$2:$I$201,MATCH($B1919,Summary!$A$2:$A$201,0))</f>
        <v>1</v>
      </c>
      <c r="N1919" s="0" t="n">
        <f aca="false">INDEX(Summary!$J$2:$J$201,MATCH($B1919,Summary!$A$2:$A$201,0))</f>
        <v>4</v>
      </c>
      <c r="O1919" s="2" t="n">
        <f aca="false">INDEX(Summary!$K$2:$K$201,MATCH($B1919,Summary!$A$2:$A$201,0))</f>
        <v>9.01</v>
      </c>
      <c r="P1919" s="3" t="n">
        <f aca="false">INDEX(Summary!$L$2:$L$201,MATCH($B1919,Summary!$A$2:$A$201,0))</f>
        <v>4</v>
      </c>
      <c r="Q1919" s="3" t="n">
        <f aca="false">INDEX(Summary!$M$2:$M$201,MATCH($B1919,Summary!$A$2:$A$201,0))</f>
        <v>2</v>
      </c>
      <c r="R1919" s="2" t="n">
        <f aca="false">INDEX(Summary!$N$2:$N$201,MATCH($B1919,Summary!$A$2:$A$201,0))</f>
        <v>9.12</v>
      </c>
      <c r="S1919" s="3" t="n">
        <f aca="false">INDEX(Summary!$O$2:$O$201,MATCH($B1919,Summary!$A$2:$A$201,0))</f>
        <v>5</v>
      </c>
      <c r="T1919" s="3" t="n">
        <f aca="false">INDEX(Summary!$P$2:$P$201,MATCH($B1919,Summary!$A$2:$A$201,0))</f>
        <v>4</v>
      </c>
      <c r="U1919" s="2" t="n">
        <f aca="false">INDEX(Summary!$Q$2:$Q$201,MATCH($B1919,Summary!$A$2:$A$201,0))</f>
        <v>13.53</v>
      </c>
      <c r="V1919" s="2" t="n">
        <f aca="false">INDEX(Summary!$R$2:$R$201,MATCH($B1919,Summary!$A$2:$A$201,0))</f>
        <v>18.18</v>
      </c>
      <c r="W1919" s="0" t="str">
        <f aca="false">INDEX(Summary!$S$2:$S$201,MATCH($B1919,Summary!$A$2:$A$201,0))</f>
        <v>Bronze</v>
      </c>
      <c r="X1919" s="2" t="n">
        <f aca="false">INDEX(Summary!$T$2:$T$201,MATCH($B1919,Summary!$A$2:$A$201,0))</f>
        <v>44.34</v>
      </c>
      <c r="Y1919" s="0" t="str">
        <f aca="false">INDEX('Reward Model'!$E$18:$E$37,MATCH($E1919,'Reward Model'!$A$18:$A$37,0))</f>
        <v>High</v>
      </c>
      <c r="Z1919" s="4" t="n">
        <f aca="false">ROUND(MIN(1,MAX('Reward Model'!$B$2,INDEX('Reward Model'!$C$12:$C$14,MATCH($K1919,'Reward Model'!$A$12:$A$14,0))/$J1919)),3)</f>
        <v>1</v>
      </c>
      <c r="AA1919" s="2" t="n">
        <f aca="false">IF($I1919="Correct",ROUND(INDEX('Reward Model'!$B$12:$B$14,MATCH($K1919,'Reward Model'!$A$12:$A$14,0))*Z1919,2),0)</f>
        <v>3</v>
      </c>
      <c r="AB1919" s="2" t="n">
        <f aca="false">IF($I1919="Correct",ROUND(INDEX('Reward Model'!$B$12:$B$14,MATCH($Y1919,'Reward Model'!$A$12:$A$14,0))*Z1919,2),0)</f>
        <v>3</v>
      </c>
    </row>
    <row r="1920" customFormat="false" ht="15" hidden="false" customHeight="false" outlineLevel="0" collapsed="false">
      <c r="A1920" s="0" t="s">
        <v>320</v>
      </c>
      <c r="B1920" s="0" t="s">
        <v>321</v>
      </c>
      <c r="C1920" s="0" t="s">
        <v>322</v>
      </c>
      <c r="D1920" s="0" t="s">
        <v>31</v>
      </c>
      <c r="E1920" s="0" t="n">
        <v>19</v>
      </c>
      <c r="F1920" s="0" t="s">
        <v>78</v>
      </c>
      <c r="G1920" s="0" t="s">
        <v>79</v>
      </c>
      <c r="H1920" s="0" t="s">
        <v>80</v>
      </c>
      <c r="I1920" s="0" t="s">
        <v>39</v>
      </c>
      <c r="J1920" s="0" t="n">
        <v>1.69</v>
      </c>
      <c r="K1920" s="0" t="s">
        <v>73</v>
      </c>
      <c r="L1920" s="0" t="n">
        <f aca="false">INDEX(Summary!$F$2:$F$201,MATCH($B1920,Summary!$A$2:$A$201,0))</f>
        <v>20</v>
      </c>
      <c r="M1920" s="0" t="n">
        <f aca="false">INDEX(Summary!$I$2:$I$201,MATCH($B1920,Summary!$A$2:$A$201,0))</f>
        <v>1</v>
      </c>
      <c r="N1920" s="0" t="n">
        <f aca="false">INDEX(Summary!$J$2:$J$201,MATCH($B1920,Summary!$A$2:$A$201,0))</f>
        <v>4</v>
      </c>
      <c r="O1920" s="2" t="n">
        <f aca="false">INDEX(Summary!$K$2:$K$201,MATCH($B1920,Summary!$A$2:$A$201,0))</f>
        <v>9.01</v>
      </c>
      <c r="P1920" s="3" t="n">
        <f aca="false">INDEX(Summary!$L$2:$L$201,MATCH($B1920,Summary!$A$2:$A$201,0))</f>
        <v>4</v>
      </c>
      <c r="Q1920" s="3" t="n">
        <f aca="false">INDEX(Summary!$M$2:$M$201,MATCH($B1920,Summary!$A$2:$A$201,0))</f>
        <v>2</v>
      </c>
      <c r="R1920" s="2" t="n">
        <f aca="false">INDEX(Summary!$N$2:$N$201,MATCH($B1920,Summary!$A$2:$A$201,0))</f>
        <v>9.12</v>
      </c>
      <c r="S1920" s="3" t="n">
        <f aca="false">INDEX(Summary!$O$2:$O$201,MATCH($B1920,Summary!$A$2:$A$201,0))</f>
        <v>5</v>
      </c>
      <c r="T1920" s="3" t="n">
        <f aca="false">INDEX(Summary!$P$2:$P$201,MATCH($B1920,Summary!$A$2:$A$201,0))</f>
        <v>4</v>
      </c>
      <c r="U1920" s="2" t="n">
        <f aca="false">INDEX(Summary!$Q$2:$Q$201,MATCH($B1920,Summary!$A$2:$A$201,0))</f>
        <v>13.53</v>
      </c>
      <c r="V1920" s="2" t="n">
        <f aca="false">INDEX(Summary!$R$2:$R$201,MATCH($B1920,Summary!$A$2:$A$201,0))</f>
        <v>18.18</v>
      </c>
      <c r="W1920" s="0" t="str">
        <f aca="false">INDEX(Summary!$S$2:$S$201,MATCH($B1920,Summary!$A$2:$A$201,0))</f>
        <v>Bronze</v>
      </c>
      <c r="X1920" s="2" t="n">
        <f aca="false">INDEX(Summary!$T$2:$T$201,MATCH($B1920,Summary!$A$2:$A$201,0))</f>
        <v>44.34</v>
      </c>
      <c r="Y1920" s="0" t="str">
        <f aca="false">INDEX('Reward Model'!$E$18:$E$37,MATCH($E1920,'Reward Model'!$A$18:$A$37,0))</f>
        <v>High</v>
      </c>
      <c r="Z1920" s="4" t="n">
        <f aca="false">ROUND(MIN(1,MAX('Reward Model'!$B$2,INDEX('Reward Model'!$C$12:$C$14,MATCH($K1920,'Reward Model'!$A$12:$A$14,0))/$J1920)),3)</f>
        <v>1</v>
      </c>
      <c r="AA1920" s="2" t="n">
        <f aca="false">IF($I1920="Correct",ROUND(INDEX('Reward Model'!$B$12:$B$14,MATCH($K1920,'Reward Model'!$A$12:$A$14,0))*Z1920,2),0)</f>
        <v>0</v>
      </c>
      <c r="AB1920" s="2" t="n">
        <f aca="false">IF($I1920="Correct",ROUND(INDEX('Reward Model'!$B$12:$B$14,MATCH($Y1920,'Reward Model'!$A$12:$A$14,0))*Z1920,2),0)</f>
        <v>0</v>
      </c>
    </row>
    <row r="1921" customFormat="false" ht="15" hidden="false" customHeight="false" outlineLevel="0" collapsed="false">
      <c r="A1921" s="0" t="s">
        <v>320</v>
      </c>
      <c r="B1921" s="0" t="s">
        <v>321</v>
      </c>
      <c r="C1921" s="0" t="s">
        <v>322</v>
      </c>
      <c r="D1921" s="0" t="s">
        <v>31</v>
      </c>
      <c r="E1921" s="0" t="n">
        <v>20</v>
      </c>
      <c r="F1921" s="0" t="s">
        <v>81</v>
      </c>
      <c r="G1921" s="0" t="s">
        <v>82</v>
      </c>
      <c r="H1921" s="0" t="s">
        <v>83</v>
      </c>
      <c r="I1921" s="0" t="s">
        <v>39</v>
      </c>
      <c r="J1921" s="0" t="n">
        <v>2.3</v>
      </c>
      <c r="K1921" s="0" t="s">
        <v>73</v>
      </c>
      <c r="L1921" s="0" t="n">
        <f aca="false">INDEX(Summary!$F$2:$F$201,MATCH($B1921,Summary!$A$2:$A$201,0))</f>
        <v>20</v>
      </c>
      <c r="M1921" s="0" t="n">
        <f aca="false">INDEX(Summary!$I$2:$I$201,MATCH($B1921,Summary!$A$2:$A$201,0))</f>
        <v>1</v>
      </c>
      <c r="N1921" s="0" t="n">
        <f aca="false">INDEX(Summary!$J$2:$J$201,MATCH($B1921,Summary!$A$2:$A$201,0))</f>
        <v>4</v>
      </c>
      <c r="O1921" s="2" t="n">
        <f aca="false">INDEX(Summary!$K$2:$K$201,MATCH($B1921,Summary!$A$2:$A$201,0))</f>
        <v>9.01</v>
      </c>
      <c r="P1921" s="3" t="n">
        <f aca="false">INDEX(Summary!$L$2:$L$201,MATCH($B1921,Summary!$A$2:$A$201,0))</f>
        <v>4</v>
      </c>
      <c r="Q1921" s="3" t="n">
        <f aca="false">INDEX(Summary!$M$2:$M$201,MATCH($B1921,Summary!$A$2:$A$201,0))</f>
        <v>2</v>
      </c>
      <c r="R1921" s="2" t="n">
        <f aca="false">INDEX(Summary!$N$2:$N$201,MATCH($B1921,Summary!$A$2:$A$201,0))</f>
        <v>9.12</v>
      </c>
      <c r="S1921" s="3" t="n">
        <f aca="false">INDEX(Summary!$O$2:$O$201,MATCH($B1921,Summary!$A$2:$A$201,0))</f>
        <v>5</v>
      </c>
      <c r="T1921" s="3" t="n">
        <f aca="false">INDEX(Summary!$P$2:$P$201,MATCH($B1921,Summary!$A$2:$A$201,0))</f>
        <v>4</v>
      </c>
      <c r="U1921" s="2" t="n">
        <f aca="false">INDEX(Summary!$Q$2:$Q$201,MATCH($B1921,Summary!$A$2:$A$201,0))</f>
        <v>13.53</v>
      </c>
      <c r="V1921" s="2" t="n">
        <f aca="false">INDEX(Summary!$R$2:$R$201,MATCH($B1921,Summary!$A$2:$A$201,0))</f>
        <v>18.18</v>
      </c>
      <c r="W1921" s="0" t="str">
        <f aca="false">INDEX(Summary!$S$2:$S$201,MATCH($B1921,Summary!$A$2:$A$201,0))</f>
        <v>Bronze</v>
      </c>
      <c r="X1921" s="2" t="n">
        <f aca="false">INDEX(Summary!$T$2:$T$201,MATCH($B1921,Summary!$A$2:$A$201,0))</f>
        <v>44.34</v>
      </c>
      <c r="Y1921" s="0" t="str">
        <f aca="false">INDEX('Reward Model'!$E$18:$E$37,MATCH($E1921,'Reward Model'!$A$18:$A$37,0))</f>
        <v>High</v>
      </c>
      <c r="Z1921" s="4" t="n">
        <f aca="false">ROUND(MIN(1,MAX('Reward Model'!$B$2,INDEX('Reward Model'!$C$12:$C$14,MATCH($K1921,'Reward Model'!$A$12:$A$14,0))/$J1921)),3)</f>
        <v>0.87</v>
      </c>
      <c r="AA1921" s="2" t="n">
        <f aca="false">IF($I1921="Correct",ROUND(INDEX('Reward Model'!$B$12:$B$14,MATCH($K1921,'Reward Model'!$A$12:$A$14,0))*Z1921,2),0)</f>
        <v>0</v>
      </c>
      <c r="AB1921" s="2" t="n">
        <f aca="false">IF($I1921="Correct",ROUND(INDEX('Reward Model'!$B$12:$B$14,MATCH($Y1921,'Reward Model'!$A$12:$A$14,0))*Z1921,2),0)</f>
        <v>0</v>
      </c>
    </row>
    <row r="1922" customFormat="false" ht="15" hidden="false" customHeight="false" outlineLevel="0" collapsed="false">
      <c r="A1922" s="0" t="s">
        <v>323</v>
      </c>
      <c r="B1922" s="0" t="s">
        <v>324</v>
      </c>
      <c r="C1922" s="0" t="s">
        <v>322</v>
      </c>
      <c r="D1922" s="0" t="s">
        <v>31</v>
      </c>
      <c r="E1922" s="0" t="n">
        <v>1</v>
      </c>
      <c r="F1922" s="0" t="s">
        <v>32</v>
      </c>
      <c r="G1922" s="0" t="s">
        <v>33</v>
      </c>
      <c r="H1922" s="0" t="s">
        <v>33</v>
      </c>
      <c r="I1922" s="0" t="s">
        <v>34</v>
      </c>
      <c r="J1922" s="0" t="n">
        <v>1.25</v>
      </c>
      <c r="K1922" s="0" t="s">
        <v>35</v>
      </c>
      <c r="L1922" s="0" t="n">
        <f aca="false">INDEX(Summary!$F$2:$F$201,MATCH($B1922,Summary!$A$2:$A$201,0))</f>
        <v>20</v>
      </c>
      <c r="M1922" s="0" t="n">
        <f aca="false">INDEX(Summary!$I$2:$I$201,MATCH($B1922,Summary!$A$2:$A$201,0))</f>
        <v>2</v>
      </c>
      <c r="N1922" s="0" t="n">
        <f aca="false">INDEX(Summary!$J$2:$J$201,MATCH($B1922,Summary!$A$2:$A$201,0))</f>
        <v>3</v>
      </c>
      <c r="O1922" s="2" t="n">
        <f aca="false">INDEX(Summary!$K$2:$K$201,MATCH($B1922,Summary!$A$2:$A$201,0))</f>
        <v>9.55</v>
      </c>
      <c r="P1922" s="3" t="n">
        <f aca="false">INDEX(Summary!$L$2:$L$201,MATCH($B1922,Summary!$A$2:$A$201,0))</f>
        <v>5</v>
      </c>
      <c r="Q1922" s="3" t="n">
        <f aca="false">INDEX(Summary!$M$2:$M$201,MATCH($B1922,Summary!$A$2:$A$201,0))</f>
        <v>1</v>
      </c>
      <c r="R1922" s="2" t="n">
        <f aca="false">INDEX(Summary!$N$2:$N$201,MATCH($B1922,Summary!$A$2:$A$201,0))</f>
        <v>10.22</v>
      </c>
      <c r="S1922" s="3" t="n">
        <f aca="false">INDEX(Summary!$O$2:$O$201,MATCH($B1922,Summary!$A$2:$A$201,0))</f>
        <v>8</v>
      </c>
      <c r="T1922" s="3" t="n">
        <f aca="false">INDEX(Summary!$P$2:$P$201,MATCH($B1922,Summary!$A$2:$A$201,0))</f>
        <v>1</v>
      </c>
      <c r="U1922" s="2" t="n">
        <f aca="false">INDEX(Summary!$Q$2:$Q$201,MATCH($B1922,Summary!$A$2:$A$201,0))</f>
        <v>12.61</v>
      </c>
      <c r="V1922" s="2" t="n">
        <f aca="false">INDEX(Summary!$R$2:$R$201,MATCH($B1922,Summary!$A$2:$A$201,0))</f>
        <v>26.74</v>
      </c>
      <c r="W1922" s="0" t="str">
        <f aca="false">INDEX(Summary!$S$2:$S$201,MATCH($B1922,Summary!$A$2:$A$201,0))</f>
        <v>Silver</v>
      </c>
      <c r="X1922" s="2" t="n">
        <f aca="false">INDEX(Summary!$T$2:$T$201,MATCH($B1922,Summary!$A$2:$A$201,0))</f>
        <v>65.22</v>
      </c>
      <c r="Y1922" s="0" t="str">
        <f aca="false">INDEX('Reward Model'!$E$18:$E$37,MATCH($E1922,'Reward Model'!$A$18:$A$37,0))</f>
        <v>Medium</v>
      </c>
      <c r="Z1922" s="4" t="n">
        <f aca="false">ROUND(MIN(1,MAX('Reward Model'!$B$2,INDEX('Reward Model'!$C$12:$C$14,MATCH($K1922,'Reward Model'!$A$12:$A$14,0))/$J1922)),3)</f>
        <v>1</v>
      </c>
      <c r="AA1922" s="2" t="n">
        <f aca="false">IF($I1922="Correct",ROUND(INDEX('Reward Model'!$B$12:$B$14,MATCH($K1922,'Reward Model'!$A$12:$A$14,0))*Z1922,2),0)</f>
        <v>1</v>
      </c>
      <c r="AB1922" s="2" t="n">
        <f aca="false">IF($I1922="Correct",ROUND(INDEX('Reward Model'!$B$12:$B$14,MATCH($Y1922,'Reward Model'!$A$12:$A$14,0))*Z1922,2),0)</f>
        <v>2</v>
      </c>
    </row>
    <row r="1923" customFormat="false" ht="15" hidden="false" customHeight="false" outlineLevel="0" collapsed="false">
      <c r="A1923" s="0" t="s">
        <v>323</v>
      </c>
      <c r="B1923" s="0" t="s">
        <v>324</v>
      </c>
      <c r="C1923" s="0" t="s">
        <v>322</v>
      </c>
      <c r="D1923" s="0" t="s">
        <v>31</v>
      </c>
      <c r="E1923" s="0" t="n">
        <v>2</v>
      </c>
      <c r="F1923" s="0" t="s">
        <v>36</v>
      </c>
      <c r="G1923" s="0" t="s">
        <v>38</v>
      </c>
      <c r="H1923" s="0" t="s">
        <v>38</v>
      </c>
      <c r="I1923" s="0" t="s">
        <v>34</v>
      </c>
      <c r="J1923" s="0" t="n">
        <v>1.78</v>
      </c>
      <c r="K1923" s="0" t="s">
        <v>35</v>
      </c>
      <c r="L1923" s="0" t="n">
        <f aca="false">INDEX(Summary!$F$2:$F$201,MATCH($B1923,Summary!$A$2:$A$201,0))</f>
        <v>20</v>
      </c>
      <c r="M1923" s="0" t="n">
        <f aca="false">INDEX(Summary!$I$2:$I$201,MATCH($B1923,Summary!$A$2:$A$201,0))</f>
        <v>2</v>
      </c>
      <c r="N1923" s="0" t="n">
        <f aca="false">INDEX(Summary!$J$2:$J$201,MATCH($B1923,Summary!$A$2:$A$201,0))</f>
        <v>3</v>
      </c>
      <c r="O1923" s="2" t="n">
        <f aca="false">INDEX(Summary!$K$2:$K$201,MATCH($B1923,Summary!$A$2:$A$201,0))</f>
        <v>9.55</v>
      </c>
      <c r="P1923" s="3" t="n">
        <f aca="false">INDEX(Summary!$L$2:$L$201,MATCH($B1923,Summary!$A$2:$A$201,0))</f>
        <v>5</v>
      </c>
      <c r="Q1923" s="3" t="n">
        <f aca="false">INDEX(Summary!$M$2:$M$201,MATCH($B1923,Summary!$A$2:$A$201,0))</f>
        <v>1</v>
      </c>
      <c r="R1923" s="2" t="n">
        <f aca="false">INDEX(Summary!$N$2:$N$201,MATCH($B1923,Summary!$A$2:$A$201,0))</f>
        <v>10.22</v>
      </c>
      <c r="S1923" s="3" t="n">
        <f aca="false">INDEX(Summary!$O$2:$O$201,MATCH($B1923,Summary!$A$2:$A$201,0))</f>
        <v>8</v>
      </c>
      <c r="T1923" s="3" t="n">
        <f aca="false">INDEX(Summary!$P$2:$P$201,MATCH($B1923,Summary!$A$2:$A$201,0))</f>
        <v>1</v>
      </c>
      <c r="U1923" s="2" t="n">
        <f aca="false">INDEX(Summary!$Q$2:$Q$201,MATCH($B1923,Summary!$A$2:$A$201,0))</f>
        <v>12.61</v>
      </c>
      <c r="V1923" s="2" t="n">
        <f aca="false">INDEX(Summary!$R$2:$R$201,MATCH($B1923,Summary!$A$2:$A$201,0))</f>
        <v>26.74</v>
      </c>
      <c r="W1923" s="0" t="str">
        <f aca="false">INDEX(Summary!$S$2:$S$201,MATCH($B1923,Summary!$A$2:$A$201,0))</f>
        <v>Silver</v>
      </c>
      <c r="X1923" s="2" t="n">
        <f aca="false">INDEX(Summary!$T$2:$T$201,MATCH($B1923,Summary!$A$2:$A$201,0))</f>
        <v>65.22</v>
      </c>
      <c r="Y1923" s="0" t="str">
        <f aca="false">INDEX('Reward Model'!$E$18:$E$37,MATCH($E1923,'Reward Model'!$A$18:$A$37,0))</f>
        <v>Low</v>
      </c>
      <c r="Z1923" s="4" t="n">
        <f aca="false">ROUND(MIN(1,MAX('Reward Model'!$B$2,INDEX('Reward Model'!$C$12:$C$14,MATCH($K1923,'Reward Model'!$A$12:$A$14,0))/$J1923)),3)</f>
        <v>0.843</v>
      </c>
      <c r="AA1923" s="2" t="n">
        <f aca="false">IF($I1923="Correct",ROUND(INDEX('Reward Model'!$B$12:$B$14,MATCH($K1923,'Reward Model'!$A$12:$A$14,0))*Z1923,2),0)</f>
        <v>0.84</v>
      </c>
      <c r="AB1923" s="2" t="n">
        <f aca="false">IF($I1923="Correct",ROUND(INDEX('Reward Model'!$B$12:$B$14,MATCH($Y1923,'Reward Model'!$A$12:$A$14,0))*Z1923,2),0)</f>
        <v>0.84</v>
      </c>
    </row>
    <row r="1924" customFormat="false" ht="15" hidden="false" customHeight="false" outlineLevel="0" collapsed="false">
      <c r="A1924" s="0" t="s">
        <v>323</v>
      </c>
      <c r="B1924" s="0" t="s">
        <v>324</v>
      </c>
      <c r="C1924" s="0" t="s">
        <v>322</v>
      </c>
      <c r="D1924" s="0" t="s">
        <v>31</v>
      </c>
      <c r="E1924" s="0" t="n">
        <v>3</v>
      </c>
      <c r="F1924" s="0" t="s">
        <v>40</v>
      </c>
      <c r="G1924" s="0" t="s">
        <v>42</v>
      </c>
      <c r="H1924" s="0" t="s">
        <v>42</v>
      </c>
      <c r="I1924" s="0" t="s">
        <v>34</v>
      </c>
      <c r="J1924" s="0" t="n">
        <v>1.46</v>
      </c>
      <c r="K1924" s="0" t="s">
        <v>35</v>
      </c>
      <c r="L1924" s="0" t="n">
        <f aca="false">INDEX(Summary!$F$2:$F$201,MATCH($B1924,Summary!$A$2:$A$201,0))</f>
        <v>20</v>
      </c>
      <c r="M1924" s="0" t="n">
        <f aca="false">INDEX(Summary!$I$2:$I$201,MATCH($B1924,Summary!$A$2:$A$201,0))</f>
        <v>2</v>
      </c>
      <c r="N1924" s="0" t="n">
        <f aca="false">INDEX(Summary!$J$2:$J$201,MATCH($B1924,Summary!$A$2:$A$201,0))</f>
        <v>3</v>
      </c>
      <c r="O1924" s="2" t="n">
        <f aca="false">INDEX(Summary!$K$2:$K$201,MATCH($B1924,Summary!$A$2:$A$201,0))</f>
        <v>9.55</v>
      </c>
      <c r="P1924" s="3" t="n">
        <f aca="false">INDEX(Summary!$L$2:$L$201,MATCH($B1924,Summary!$A$2:$A$201,0))</f>
        <v>5</v>
      </c>
      <c r="Q1924" s="3" t="n">
        <f aca="false">INDEX(Summary!$M$2:$M$201,MATCH($B1924,Summary!$A$2:$A$201,0))</f>
        <v>1</v>
      </c>
      <c r="R1924" s="2" t="n">
        <f aca="false">INDEX(Summary!$N$2:$N$201,MATCH($B1924,Summary!$A$2:$A$201,0))</f>
        <v>10.22</v>
      </c>
      <c r="S1924" s="3" t="n">
        <f aca="false">INDEX(Summary!$O$2:$O$201,MATCH($B1924,Summary!$A$2:$A$201,0))</f>
        <v>8</v>
      </c>
      <c r="T1924" s="3" t="n">
        <f aca="false">INDEX(Summary!$P$2:$P$201,MATCH($B1924,Summary!$A$2:$A$201,0))</f>
        <v>1</v>
      </c>
      <c r="U1924" s="2" t="n">
        <f aca="false">INDEX(Summary!$Q$2:$Q$201,MATCH($B1924,Summary!$A$2:$A$201,0))</f>
        <v>12.61</v>
      </c>
      <c r="V1924" s="2" t="n">
        <f aca="false">INDEX(Summary!$R$2:$R$201,MATCH($B1924,Summary!$A$2:$A$201,0))</f>
        <v>26.74</v>
      </c>
      <c r="W1924" s="0" t="str">
        <f aca="false">INDEX(Summary!$S$2:$S$201,MATCH($B1924,Summary!$A$2:$A$201,0))</f>
        <v>Silver</v>
      </c>
      <c r="X1924" s="2" t="n">
        <f aca="false">INDEX(Summary!$T$2:$T$201,MATCH($B1924,Summary!$A$2:$A$201,0))</f>
        <v>65.22</v>
      </c>
      <c r="Y1924" s="0" t="str">
        <f aca="false">INDEX('Reward Model'!$E$18:$E$37,MATCH($E1924,'Reward Model'!$A$18:$A$37,0))</f>
        <v>Medium</v>
      </c>
      <c r="Z1924" s="4" t="n">
        <f aca="false">ROUND(MIN(1,MAX('Reward Model'!$B$2,INDEX('Reward Model'!$C$12:$C$14,MATCH($K1924,'Reward Model'!$A$12:$A$14,0))/$J1924)),3)</f>
        <v>1</v>
      </c>
      <c r="AA1924" s="2" t="n">
        <f aca="false">IF($I1924="Correct",ROUND(INDEX('Reward Model'!$B$12:$B$14,MATCH($K1924,'Reward Model'!$A$12:$A$14,0))*Z1924,2),0)</f>
        <v>1</v>
      </c>
      <c r="AB1924" s="2" t="n">
        <f aca="false">IF($I1924="Correct",ROUND(INDEX('Reward Model'!$B$12:$B$14,MATCH($Y1924,'Reward Model'!$A$12:$A$14,0))*Z1924,2),0)</f>
        <v>2</v>
      </c>
    </row>
    <row r="1925" customFormat="false" ht="15" hidden="false" customHeight="false" outlineLevel="0" collapsed="false">
      <c r="A1925" s="0" t="s">
        <v>323</v>
      </c>
      <c r="B1925" s="0" t="s">
        <v>324</v>
      </c>
      <c r="C1925" s="0" t="s">
        <v>322</v>
      </c>
      <c r="D1925" s="0" t="s">
        <v>31</v>
      </c>
      <c r="E1925" s="0" t="n">
        <v>4</v>
      </c>
      <c r="F1925" s="0" t="s">
        <v>43</v>
      </c>
      <c r="G1925" s="0" t="s">
        <v>45</v>
      </c>
      <c r="H1925" s="0" t="s">
        <v>45</v>
      </c>
      <c r="I1925" s="0" t="s">
        <v>34</v>
      </c>
      <c r="J1925" s="0" t="n">
        <v>1.53</v>
      </c>
      <c r="K1925" s="0" t="s">
        <v>35</v>
      </c>
      <c r="L1925" s="0" t="n">
        <f aca="false">INDEX(Summary!$F$2:$F$201,MATCH($B1925,Summary!$A$2:$A$201,0))</f>
        <v>20</v>
      </c>
      <c r="M1925" s="0" t="n">
        <f aca="false">INDEX(Summary!$I$2:$I$201,MATCH($B1925,Summary!$A$2:$A$201,0))</f>
        <v>2</v>
      </c>
      <c r="N1925" s="0" t="n">
        <f aca="false">INDEX(Summary!$J$2:$J$201,MATCH($B1925,Summary!$A$2:$A$201,0))</f>
        <v>3</v>
      </c>
      <c r="O1925" s="2" t="n">
        <f aca="false">INDEX(Summary!$K$2:$K$201,MATCH($B1925,Summary!$A$2:$A$201,0))</f>
        <v>9.55</v>
      </c>
      <c r="P1925" s="3" t="n">
        <f aca="false">INDEX(Summary!$L$2:$L$201,MATCH($B1925,Summary!$A$2:$A$201,0))</f>
        <v>5</v>
      </c>
      <c r="Q1925" s="3" t="n">
        <f aca="false">INDEX(Summary!$M$2:$M$201,MATCH($B1925,Summary!$A$2:$A$201,0))</f>
        <v>1</v>
      </c>
      <c r="R1925" s="2" t="n">
        <f aca="false">INDEX(Summary!$N$2:$N$201,MATCH($B1925,Summary!$A$2:$A$201,0))</f>
        <v>10.22</v>
      </c>
      <c r="S1925" s="3" t="n">
        <f aca="false">INDEX(Summary!$O$2:$O$201,MATCH($B1925,Summary!$A$2:$A$201,0))</f>
        <v>8</v>
      </c>
      <c r="T1925" s="3" t="n">
        <f aca="false">INDEX(Summary!$P$2:$P$201,MATCH($B1925,Summary!$A$2:$A$201,0))</f>
        <v>1</v>
      </c>
      <c r="U1925" s="2" t="n">
        <f aca="false">INDEX(Summary!$Q$2:$Q$201,MATCH($B1925,Summary!$A$2:$A$201,0))</f>
        <v>12.61</v>
      </c>
      <c r="V1925" s="2" t="n">
        <f aca="false">INDEX(Summary!$R$2:$R$201,MATCH($B1925,Summary!$A$2:$A$201,0))</f>
        <v>26.74</v>
      </c>
      <c r="W1925" s="0" t="str">
        <f aca="false">INDEX(Summary!$S$2:$S$201,MATCH($B1925,Summary!$A$2:$A$201,0))</f>
        <v>Silver</v>
      </c>
      <c r="X1925" s="2" t="n">
        <f aca="false">INDEX(Summary!$T$2:$T$201,MATCH($B1925,Summary!$A$2:$A$201,0))</f>
        <v>65.22</v>
      </c>
      <c r="Y1925" s="0" t="str">
        <f aca="false">INDEX('Reward Model'!$E$18:$E$37,MATCH($E1925,'Reward Model'!$A$18:$A$37,0))</f>
        <v>Low</v>
      </c>
      <c r="Z1925" s="4" t="n">
        <f aca="false">ROUND(MIN(1,MAX('Reward Model'!$B$2,INDEX('Reward Model'!$C$12:$C$14,MATCH($K1925,'Reward Model'!$A$12:$A$14,0))/$J1925)),3)</f>
        <v>0.98</v>
      </c>
      <c r="AA1925" s="2" t="n">
        <f aca="false">IF($I1925="Correct",ROUND(INDEX('Reward Model'!$B$12:$B$14,MATCH($K1925,'Reward Model'!$A$12:$A$14,0))*Z1925,2),0)</f>
        <v>0.98</v>
      </c>
      <c r="AB1925" s="2" t="n">
        <f aca="false">IF($I1925="Correct",ROUND(INDEX('Reward Model'!$B$12:$B$14,MATCH($Y1925,'Reward Model'!$A$12:$A$14,0))*Z1925,2),0)</f>
        <v>0.98</v>
      </c>
    </row>
    <row r="1926" customFormat="false" ht="15" hidden="false" customHeight="false" outlineLevel="0" collapsed="false">
      <c r="A1926" s="0" t="s">
        <v>323</v>
      </c>
      <c r="B1926" s="0" t="s">
        <v>324</v>
      </c>
      <c r="C1926" s="0" t="s">
        <v>322</v>
      </c>
      <c r="D1926" s="0" t="s">
        <v>31</v>
      </c>
      <c r="E1926" s="0" t="n">
        <v>5</v>
      </c>
      <c r="F1926" s="0" t="s">
        <v>46</v>
      </c>
      <c r="G1926" s="0" t="s">
        <v>47</v>
      </c>
      <c r="H1926" s="0" t="s">
        <v>47</v>
      </c>
      <c r="I1926" s="0" t="s">
        <v>34</v>
      </c>
      <c r="J1926" s="0" t="n">
        <v>1.67</v>
      </c>
      <c r="K1926" s="0" t="s">
        <v>35</v>
      </c>
      <c r="L1926" s="0" t="n">
        <f aca="false">INDEX(Summary!$F$2:$F$201,MATCH($B1926,Summary!$A$2:$A$201,0))</f>
        <v>20</v>
      </c>
      <c r="M1926" s="0" t="n">
        <f aca="false">INDEX(Summary!$I$2:$I$201,MATCH($B1926,Summary!$A$2:$A$201,0))</f>
        <v>2</v>
      </c>
      <c r="N1926" s="0" t="n">
        <f aca="false">INDEX(Summary!$J$2:$J$201,MATCH($B1926,Summary!$A$2:$A$201,0))</f>
        <v>3</v>
      </c>
      <c r="O1926" s="2" t="n">
        <f aca="false">INDEX(Summary!$K$2:$K$201,MATCH($B1926,Summary!$A$2:$A$201,0))</f>
        <v>9.55</v>
      </c>
      <c r="P1926" s="3" t="n">
        <f aca="false">INDEX(Summary!$L$2:$L$201,MATCH($B1926,Summary!$A$2:$A$201,0))</f>
        <v>5</v>
      </c>
      <c r="Q1926" s="3" t="n">
        <f aca="false">INDEX(Summary!$M$2:$M$201,MATCH($B1926,Summary!$A$2:$A$201,0))</f>
        <v>1</v>
      </c>
      <c r="R1926" s="2" t="n">
        <f aca="false">INDEX(Summary!$N$2:$N$201,MATCH($B1926,Summary!$A$2:$A$201,0))</f>
        <v>10.22</v>
      </c>
      <c r="S1926" s="3" t="n">
        <f aca="false">INDEX(Summary!$O$2:$O$201,MATCH($B1926,Summary!$A$2:$A$201,0))</f>
        <v>8</v>
      </c>
      <c r="T1926" s="3" t="n">
        <f aca="false">INDEX(Summary!$P$2:$P$201,MATCH($B1926,Summary!$A$2:$A$201,0))</f>
        <v>1</v>
      </c>
      <c r="U1926" s="2" t="n">
        <f aca="false">INDEX(Summary!$Q$2:$Q$201,MATCH($B1926,Summary!$A$2:$A$201,0))</f>
        <v>12.61</v>
      </c>
      <c r="V1926" s="2" t="n">
        <f aca="false">INDEX(Summary!$R$2:$R$201,MATCH($B1926,Summary!$A$2:$A$201,0))</f>
        <v>26.74</v>
      </c>
      <c r="W1926" s="0" t="str">
        <f aca="false">INDEX(Summary!$S$2:$S$201,MATCH($B1926,Summary!$A$2:$A$201,0))</f>
        <v>Silver</v>
      </c>
      <c r="X1926" s="2" t="n">
        <f aca="false">INDEX(Summary!$T$2:$T$201,MATCH($B1926,Summary!$A$2:$A$201,0))</f>
        <v>65.22</v>
      </c>
      <c r="Y1926" s="0" t="str">
        <f aca="false">INDEX('Reward Model'!$E$18:$E$37,MATCH($E1926,'Reward Model'!$A$18:$A$37,0))</f>
        <v>Low</v>
      </c>
      <c r="Z1926" s="4" t="n">
        <f aca="false">ROUND(MIN(1,MAX('Reward Model'!$B$2,INDEX('Reward Model'!$C$12:$C$14,MATCH($K1926,'Reward Model'!$A$12:$A$14,0))/$J1926)),3)</f>
        <v>0.898</v>
      </c>
      <c r="AA1926" s="2" t="n">
        <f aca="false">IF($I1926="Correct",ROUND(INDEX('Reward Model'!$B$12:$B$14,MATCH($K1926,'Reward Model'!$A$12:$A$14,0))*Z1926,2),0)</f>
        <v>0.9</v>
      </c>
      <c r="AB1926" s="2" t="n">
        <f aca="false">IF($I1926="Correct",ROUND(INDEX('Reward Model'!$B$12:$B$14,MATCH($Y1926,'Reward Model'!$A$12:$A$14,0))*Z1926,2),0)</f>
        <v>0.9</v>
      </c>
    </row>
    <row r="1927" customFormat="false" ht="15" hidden="false" customHeight="false" outlineLevel="0" collapsed="false">
      <c r="A1927" s="0" t="s">
        <v>323</v>
      </c>
      <c r="B1927" s="0" t="s">
        <v>324</v>
      </c>
      <c r="C1927" s="0" t="s">
        <v>322</v>
      </c>
      <c r="D1927" s="0" t="s">
        <v>31</v>
      </c>
      <c r="E1927" s="0" t="n">
        <v>6</v>
      </c>
      <c r="F1927" s="0" t="s">
        <v>48</v>
      </c>
      <c r="G1927" s="0" t="s">
        <v>169</v>
      </c>
      <c r="H1927" s="0" t="s">
        <v>49</v>
      </c>
      <c r="I1927" s="0" t="s">
        <v>39</v>
      </c>
      <c r="J1927" s="0" t="n">
        <v>1.22</v>
      </c>
      <c r="K1927" s="0" t="s">
        <v>35</v>
      </c>
      <c r="L1927" s="0" t="n">
        <f aca="false">INDEX(Summary!$F$2:$F$201,MATCH($B1927,Summary!$A$2:$A$201,0))</f>
        <v>20</v>
      </c>
      <c r="M1927" s="0" t="n">
        <f aca="false">INDEX(Summary!$I$2:$I$201,MATCH($B1927,Summary!$A$2:$A$201,0))</f>
        <v>2</v>
      </c>
      <c r="N1927" s="0" t="n">
        <f aca="false">INDEX(Summary!$J$2:$J$201,MATCH($B1927,Summary!$A$2:$A$201,0))</f>
        <v>3</v>
      </c>
      <c r="O1927" s="2" t="n">
        <f aca="false">INDEX(Summary!$K$2:$K$201,MATCH($B1927,Summary!$A$2:$A$201,0))</f>
        <v>9.55</v>
      </c>
      <c r="P1927" s="3" t="n">
        <f aca="false">INDEX(Summary!$L$2:$L$201,MATCH($B1927,Summary!$A$2:$A$201,0))</f>
        <v>5</v>
      </c>
      <c r="Q1927" s="3" t="n">
        <f aca="false">INDEX(Summary!$M$2:$M$201,MATCH($B1927,Summary!$A$2:$A$201,0))</f>
        <v>1</v>
      </c>
      <c r="R1927" s="2" t="n">
        <f aca="false">INDEX(Summary!$N$2:$N$201,MATCH($B1927,Summary!$A$2:$A$201,0))</f>
        <v>10.22</v>
      </c>
      <c r="S1927" s="3" t="n">
        <f aca="false">INDEX(Summary!$O$2:$O$201,MATCH($B1927,Summary!$A$2:$A$201,0))</f>
        <v>8</v>
      </c>
      <c r="T1927" s="3" t="n">
        <f aca="false">INDEX(Summary!$P$2:$P$201,MATCH($B1927,Summary!$A$2:$A$201,0))</f>
        <v>1</v>
      </c>
      <c r="U1927" s="2" t="n">
        <f aca="false">INDEX(Summary!$Q$2:$Q$201,MATCH($B1927,Summary!$A$2:$A$201,0))</f>
        <v>12.61</v>
      </c>
      <c r="V1927" s="2" t="n">
        <f aca="false">INDEX(Summary!$R$2:$R$201,MATCH($B1927,Summary!$A$2:$A$201,0))</f>
        <v>26.74</v>
      </c>
      <c r="W1927" s="0" t="str">
        <f aca="false">INDEX(Summary!$S$2:$S$201,MATCH($B1927,Summary!$A$2:$A$201,0))</f>
        <v>Silver</v>
      </c>
      <c r="X1927" s="2" t="n">
        <f aca="false">INDEX(Summary!$T$2:$T$201,MATCH($B1927,Summary!$A$2:$A$201,0))</f>
        <v>65.22</v>
      </c>
      <c r="Y1927" s="0" t="str">
        <f aca="false">INDEX('Reward Model'!$E$18:$E$37,MATCH($E1927,'Reward Model'!$A$18:$A$37,0))</f>
        <v>Medium</v>
      </c>
      <c r="Z1927" s="4" t="n">
        <f aca="false">ROUND(MIN(1,MAX('Reward Model'!$B$2,INDEX('Reward Model'!$C$12:$C$14,MATCH($K1927,'Reward Model'!$A$12:$A$14,0))/$J1927)),3)</f>
        <v>1</v>
      </c>
      <c r="AA1927" s="2" t="n">
        <f aca="false">IF($I1927="Correct",ROUND(INDEX('Reward Model'!$B$12:$B$14,MATCH($K1927,'Reward Model'!$A$12:$A$14,0))*Z1927,2),0)</f>
        <v>0</v>
      </c>
      <c r="AB1927" s="2" t="n">
        <f aca="false">IF($I1927="Correct",ROUND(INDEX('Reward Model'!$B$12:$B$14,MATCH($Y1927,'Reward Model'!$A$12:$A$14,0))*Z1927,2),0)</f>
        <v>0</v>
      </c>
    </row>
    <row r="1928" customFormat="false" ht="15" hidden="false" customHeight="false" outlineLevel="0" collapsed="false">
      <c r="A1928" s="0" t="s">
        <v>323</v>
      </c>
      <c r="B1928" s="0" t="s">
        <v>324</v>
      </c>
      <c r="C1928" s="0" t="s">
        <v>322</v>
      </c>
      <c r="D1928" s="0" t="s">
        <v>31</v>
      </c>
      <c r="E1928" s="0" t="n">
        <v>7</v>
      </c>
      <c r="F1928" s="0" t="s">
        <v>50</v>
      </c>
      <c r="G1928" s="0" t="s">
        <v>51</v>
      </c>
      <c r="H1928" s="0" t="s">
        <v>51</v>
      </c>
      <c r="I1928" s="0" t="s">
        <v>34</v>
      </c>
      <c r="J1928" s="0" t="n">
        <v>1.44</v>
      </c>
      <c r="K1928" s="0" t="s">
        <v>35</v>
      </c>
      <c r="L1928" s="0" t="n">
        <f aca="false">INDEX(Summary!$F$2:$F$201,MATCH($B1928,Summary!$A$2:$A$201,0))</f>
        <v>20</v>
      </c>
      <c r="M1928" s="0" t="n">
        <f aca="false">INDEX(Summary!$I$2:$I$201,MATCH($B1928,Summary!$A$2:$A$201,0))</f>
        <v>2</v>
      </c>
      <c r="N1928" s="0" t="n">
        <f aca="false">INDEX(Summary!$J$2:$J$201,MATCH($B1928,Summary!$A$2:$A$201,0))</f>
        <v>3</v>
      </c>
      <c r="O1928" s="2" t="n">
        <f aca="false">INDEX(Summary!$K$2:$K$201,MATCH($B1928,Summary!$A$2:$A$201,0))</f>
        <v>9.55</v>
      </c>
      <c r="P1928" s="3" t="n">
        <f aca="false">INDEX(Summary!$L$2:$L$201,MATCH($B1928,Summary!$A$2:$A$201,0))</f>
        <v>5</v>
      </c>
      <c r="Q1928" s="3" t="n">
        <f aca="false">INDEX(Summary!$M$2:$M$201,MATCH($B1928,Summary!$A$2:$A$201,0))</f>
        <v>1</v>
      </c>
      <c r="R1928" s="2" t="n">
        <f aca="false">INDEX(Summary!$N$2:$N$201,MATCH($B1928,Summary!$A$2:$A$201,0))</f>
        <v>10.22</v>
      </c>
      <c r="S1928" s="3" t="n">
        <f aca="false">INDEX(Summary!$O$2:$O$201,MATCH($B1928,Summary!$A$2:$A$201,0))</f>
        <v>8</v>
      </c>
      <c r="T1928" s="3" t="n">
        <f aca="false">INDEX(Summary!$P$2:$P$201,MATCH($B1928,Summary!$A$2:$A$201,0))</f>
        <v>1</v>
      </c>
      <c r="U1928" s="2" t="n">
        <f aca="false">INDEX(Summary!$Q$2:$Q$201,MATCH($B1928,Summary!$A$2:$A$201,0))</f>
        <v>12.61</v>
      </c>
      <c r="V1928" s="2" t="n">
        <f aca="false">INDEX(Summary!$R$2:$R$201,MATCH($B1928,Summary!$A$2:$A$201,0))</f>
        <v>26.74</v>
      </c>
      <c r="W1928" s="0" t="str">
        <f aca="false">INDEX(Summary!$S$2:$S$201,MATCH($B1928,Summary!$A$2:$A$201,0))</f>
        <v>Silver</v>
      </c>
      <c r="X1928" s="2" t="n">
        <f aca="false">INDEX(Summary!$T$2:$T$201,MATCH($B1928,Summary!$A$2:$A$201,0))</f>
        <v>65.22</v>
      </c>
      <c r="Y1928" s="0" t="str">
        <f aca="false">INDEX('Reward Model'!$E$18:$E$37,MATCH($E1928,'Reward Model'!$A$18:$A$37,0))</f>
        <v>Low</v>
      </c>
      <c r="Z1928" s="4" t="n">
        <f aca="false">ROUND(MIN(1,MAX('Reward Model'!$B$2,INDEX('Reward Model'!$C$12:$C$14,MATCH($K1928,'Reward Model'!$A$12:$A$14,0))/$J1928)),3)</f>
        <v>1</v>
      </c>
      <c r="AA1928" s="2" t="n">
        <f aca="false">IF($I1928="Correct",ROUND(INDEX('Reward Model'!$B$12:$B$14,MATCH($K1928,'Reward Model'!$A$12:$A$14,0))*Z1928,2),0)</f>
        <v>1</v>
      </c>
      <c r="AB1928" s="2" t="n">
        <f aca="false">IF($I1928="Correct",ROUND(INDEX('Reward Model'!$B$12:$B$14,MATCH($Y1928,'Reward Model'!$A$12:$A$14,0))*Z1928,2),0)</f>
        <v>1</v>
      </c>
    </row>
    <row r="1929" customFormat="false" ht="15" hidden="false" customHeight="false" outlineLevel="0" collapsed="false">
      <c r="A1929" s="0" t="s">
        <v>323</v>
      </c>
      <c r="B1929" s="0" t="s">
        <v>324</v>
      </c>
      <c r="C1929" s="0" t="s">
        <v>322</v>
      </c>
      <c r="D1929" s="0" t="s">
        <v>31</v>
      </c>
      <c r="E1929" s="0" t="n">
        <v>8</v>
      </c>
      <c r="F1929" s="0" t="s">
        <v>52</v>
      </c>
      <c r="G1929" s="0" t="s">
        <v>54</v>
      </c>
      <c r="H1929" s="0" t="s">
        <v>54</v>
      </c>
      <c r="I1929" s="0" t="s">
        <v>34</v>
      </c>
      <c r="J1929" s="0" t="n">
        <v>1.08</v>
      </c>
      <c r="K1929" s="0" t="s">
        <v>35</v>
      </c>
      <c r="L1929" s="0" t="n">
        <f aca="false">INDEX(Summary!$F$2:$F$201,MATCH($B1929,Summary!$A$2:$A$201,0))</f>
        <v>20</v>
      </c>
      <c r="M1929" s="0" t="n">
        <f aca="false">INDEX(Summary!$I$2:$I$201,MATCH($B1929,Summary!$A$2:$A$201,0))</f>
        <v>2</v>
      </c>
      <c r="N1929" s="0" t="n">
        <f aca="false">INDEX(Summary!$J$2:$J$201,MATCH($B1929,Summary!$A$2:$A$201,0))</f>
        <v>3</v>
      </c>
      <c r="O1929" s="2" t="n">
        <f aca="false">INDEX(Summary!$K$2:$K$201,MATCH($B1929,Summary!$A$2:$A$201,0))</f>
        <v>9.55</v>
      </c>
      <c r="P1929" s="3" t="n">
        <f aca="false">INDEX(Summary!$L$2:$L$201,MATCH($B1929,Summary!$A$2:$A$201,0))</f>
        <v>5</v>
      </c>
      <c r="Q1929" s="3" t="n">
        <f aca="false">INDEX(Summary!$M$2:$M$201,MATCH($B1929,Summary!$A$2:$A$201,0))</f>
        <v>1</v>
      </c>
      <c r="R1929" s="2" t="n">
        <f aca="false">INDEX(Summary!$N$2:$N$201,MATCH($B1929,Summary!$A$2:$A$201,0))</f>
        <v>10.22</v>
      </c>
      <c r="S1929" s="3" t="n">
        <f aca="false">INDEX(Summary!$O$2:$O$201,MATCH($B1929,Summary!$A$2:$A$201,0))</f>
        <v>8</v>
      </c>
      <c r="T1929" s="3" t="n">
        <f aca="false">INDEX(Summary!$P$2:$P$201,MATCH($B1929,Summary!$A$2:$A$201,0))</f>
        <v>1</v>
      </c>
      <c r="U1929" s="2" t="n">
        <f aca="false">INDEX(Summary!$Q$2:$Q$201,MATCH($B1929,Summary!$A$2:$A$201,0))</f>
        <v>12.61</v>
      </c>
      <c r="V1929" s="2" t="n">
        <f aca="false">INDEX(Summary!$R$2:$R$201,MATCH($B1929,Summary!$A$2:$A$201,0))</f>
        <v>26.74</v>
      </c>
      <c r="W1929" s="0" t="str">
        <f aca="false">INDEX(Summary!$S$2:$S$201,MATCH($B1929,Summary!$A$2:$A$201,0))</f>
        <v>Silver</v>
      </c>
      <c r="X1929" s="2" t="n">
        <f aca="false">INDEX(Summary!$T$2:$T$201,MATCH($B1929,Summary!$A$2:$A$201,0))</f>
        <v>65.22</v>
      </c>
      <c r="Y1929" s="0" t="str">
        <f aca="false">INDEX('Reward Model'!$E$18:$E$37,MATCH($E1929,'Reward Model'!$A$18:$A$37,0))</f>
        <v>Medium</v>
      </c>
      <c r="Z1929" s="4" t="n">
        <f aca="false">ROUND(MIN(1,MAX('Reward Model'!$B$2,INDEX('Reward Model'!$C$12:$C$14,MATCH($K1929,'Reward Model'!$A$12:$A$14,0))/$J1929)),3)</f>
        <v>1</v>
      </c>
      <c r="AA1929" s="2" t="n">
        <f aca="false">IF($I1929="Correct",ROUND(INDEX('Reward Model'!$B$12:$B$14,MATCH($K1929,'Reward Model'!$A$12:$A$14,0))*Z1929,2),0)</f>
        <v>1</v>
      </c>
      <c r="AB1929" s="2" t="n">
        <f aca="false">IF($I1929="Correct",ROUND(INDEX('Reward Model'!$B$12:$B$14,MATCH($Y1929,'Reward Model'!$A$12:$A$14,0))*Z1929,2),0)</f>
        <v>2</v>
      </c>
    </row>
    <row r="1930" customFormat="false" ht="15" hidden="false" customHeight="false" outlineLevel="0" collapsed="false">
      <c r="A1930" s="0" t="s">
        <v>323</v>
      </c>
      <c r="B1930" s="0" t="s">
        <v>324</v>
      </c>
      <c r="C1930" s="0" t="s">
        <v>322</v>
      </c>
      <c r="D1930" s="0" t="s">
        <v>31</v>
      </c>
      <c r="E1930" s="0" t="n">
        <v>9</v>
      </c>
      <c r="F1930" s="0" t="s">
        <v>55</v>
      </c>
      <c r="G1930" s="0" t="s">
        <v>57</v>
      </c>
      <c r="H1930" s="0" t="s">
        <v>57</v>
      </c>
      <c r="I1930" s="0" t="s">
        <v>34</v>
      </c>
      <c r="J1930" s="0" t="n">
        <v>1.18</v>
      </c>
      <c r="K1930" s="0" t="s">
        <v>35</v>
      </c>
      <c r="L1930" s="0" t="n">
        <f aca="false">INDEX(Summary!$F$2:$F$201,MATCH($B1930,Summary!$A$2:$A$201,0))</f>
        <v>20</v>
      </c>
      <c r="M1930" s="0" t="n">
        <f aca="false">INDEX(Summary!$I$2:$I$201,MATCH($B1930,Summary!$A$2:$A$201,0))</f>
        <v>2</v>
      </c>
      <c r="N1930" s="0" t="n">
        <f aca="false">INDEX(Summary!$J$2:$J$201,MATCH($B1930,Summary!$A$2:$A$201,0))</f>
        <v>3</v>
      </c>
      <c r="O1930" s="2" t="n">
        <f aca="false">INDEX(Summary!$K$2:$K$201,MATCH($B1930,Summary!$A$2:$A$201,0))</f>
        <v>9.55</v>
      </c>
      <c r="P1930" s="3" t="n">
        <f aca="false">INDEX(Summary!$L$2:$L$201,MATCH($B1930,Summary!$A$2:$A$201,0))</f>
        <v>5</v>
      </c>
      <c r="Q1930" s="3" t="n">
        <f aca="false">INDEX(Summary!$M$2:$M$201,MATCH($B1930,Summary!$A$2:$A$201,0))</f>
        <v>1</v>
      </c>
      <c r="R1930" s="2" t="n">
        <f aca="false">INDEX(Summary!$N$2:$N$201,MATCH($B1930,Summary!$A$2:$A$201,0))</f>
        <v>10.22</v>
      </c>
      <c r="S1930" s="3" t="n">
        <f aca="false">INDEX(Summary!$O$2:$O$201,MATCH($B1930,Summary!$A$2:$A$201,0))</f>
        <v>8</v>
      </c>
      <c r="T1930" s="3" t="n">
        <f aca="false">INDEX(Summary!$P$2:$P$201,MATCH($B1930,Summary!$A$2:$A$201,0))</f>
        <v>1</v>
      </c>
      <c r="U1930" s="2" t="n">
        <f aca="false">INDEX(Summary!$Q$2:$Q$201,MATCH($B1930,Summary!$A$2:$A$201,0))</f>
        <v>12.61</v>
      </c>
      <c r="V1930" s="2" t="n">
        <f aca="false">INDEX(Summary!$R$2:$R$201,MATCH($B1930,Summary!$A$2:$A$201,0))</f>
        <v>26.74</v>
      </c>
      <c r="W1930" s="0" t="str">
        <f aca="false">INDEX(Summary!$S$2:$S$201,MATCH($B1930,Summary!$A$2:$A$201,0))</f>
        <v>Silver</v>
      </c>
      <c r="X1930" s="2" t="n">
        <f aca="false">INDEX(Summary!$T$2:$T$201,MATCH($B1930,Summary!$A$2:$A$201,0))</f>
        <v>65.22</v>
      </c>
      <c r="Y1930" s="0" t="str">
        <f aca="false">INDEX('Reward Model'!$E$18:$E$37,MATCH($E1930,'Reward Model'!$A$18:$A$37,0))</f>
        <v>Medium</v>
      </c>
      <c r="Z1930" s="4" t="n">
        <f aca="false">ROUND(MIN(1,MAX('Reward Model'!$B$2,INDEX('Reward Model'!$C$12:$C$14,MATCH($K1930,'Reward Model'!$A$12:$A$14,0))/$J1930)),3)</f>
        <v>1</v>
      </c>
      <c r="AA1930" s="2" t="n">
        <f aca="false">IF($I1930="Correct",ROUND(INDEX('Reward Model'!$B$12:$B$14,MATCH($K1930,'Reward Model'!$A$12:$A$14,0))*Z1930,2),0)</f>
        <v>1</v>
      </c>
      <c r="AB1930" s="2" t="n">
        <f aca="false">IF($I1930="Correct",ROUND(INDEX('Reward Model'!$B$12:$B$14,MATCH($Y1930,'Reward Model'!$A$12:$A$14,0))*Z1930,2),0)</f>
        <v>2</v>
      </c>
    </row>
    <row r="1931" customFormat="false" ht="15" hidden="false" customHeight="false" outlineLevel="0" collapsed="false">
      <c r="A1931" s="0" t="s">
        <v>323</v>
      </c>
      <c r="B1931" s="0" t="s">
        <v>324</v>
      </c>
      <c r="C1931" s="0" t="s">
        <v>322</v>
      </c>
      <c r="D1931" s="0" t="s">
        <v>31</v>
      </c>
      <c r="E1931" s="0" t="n">
        <v>10</v>
      </c>
      <c r="F1931" s="0" t="s">
        <v>58</v>
      </c>
      <c r="G1931" s="0" t="s">
        <v>138</v>
      </c>
      <c r="H1931" s="0" t="s">
        <v>59</v>
      </c>
      <c r="I1931" s="0" t="s">
        <v>39</v>
      </c>
      <c r="J1931" s="0" t="n">
        <v>2.18</v>
      </c>
      <c r="K1931" s="0" t="s">
        <v>60</v>
      </c>
      <c r="L1931" s="0" t="n">
        <f aca="false">INDEX(Summary!$F$2:$F$201,MATCH($B1931,Summary!$A$2:$A$201,0))</f>
        <v>20</v>
      </c>
      <c r="M1931" s="0" t="n">
        <f aca="false">INDEX(Summary!$I$2:$I$201,MATCH($B1931,Summary!$A$2:$A$201,0))</f>
        <v>2</v>
      </c>
      <c r="N1931" s="0" t="n">
        <f aca="false">INDEX(Summary!$J$2:$J$201,MATCH($B1931,Summary!$A$2:$A$201,0))</f>
        <v>3</v>
      </c>
      <c r="O1931" s="2" t="n">
        <f aca="false">INDEX(Summary!$K$2:$K$201,MATCH($B1931,Summary!$A$2:$A$201,0))</f>
        <v>9.55</v>
      </c>
      <c r="P1931" s="3" t="n">
        <f aca="false">INDEX(Summary!$L$2:$L$201,MATCH($B1931,Summary!$A$2:$A$201,0))</f>
        <v>5</v>
      </c>
      <c r="Q1931" s="3" t="n">
        <f aca="false">INDEX(Summary!$M$2:$M$201,MATCH($B1931,Summary!$A$2:$A$201,0))</f>
        <v>1</v>
      </c>
      <c r="R1931" s="2" t="n">
        <f aca="false">INDEX(Summary!$N$2:$N$201,MATCH($B1931,Summary!$A$2:$A$201,0))</f>
        <v>10.22</v>
      </c>
      <c r="S1931" s="3" t="n">
        <f aca="false">INDEX(Summary!$O$2:$O$201,MATCH($B1931,Summary!$A$2:$A$201,0))</f>
        <v>8</v>
      </c>
      <c r="T1931" s="3" t="n">
        <f aca="false">INDEX(Summary!$P$2:$P$201,MATCH($B1931,Summary!$A$2:$A$201,0))</f>
        <v>1</v>
      </c>
      <c r="U1931" s="2" t="n">
        <f aca="false">INDEX(Summary!$Q$2:$Q$201,MATCH($B1931,Summary!$A$2:$A$201,0))</f>
        <v>12.61</v>
      </c>
      <c r="V1931" s="2" t="n">
        <f aca="false">INDEX(Summary!$R$2:$R$201,MATCH($B1931,Summary!$A$2:$A$201,0))</f>
        <v>26.74</v>
      </c>
      <c r="W1931" s="0" t="str">
        <f aca="false">INDEX(Summary!$S$2:$S$201,MATCH($B1931,Summary!$A$2:$A$201,0))</f>
        <v>Silver</v>
      </c>
      <c r="X1931" s="2" t="n">
        <f aca="false">INDEX(Summary!$T$2:$T$201,MATCH($B1931,Summary!$A$2:$A$201,0))</f>
        <v>65.22</v>
      </c>
      <c r="Y1931" s="0" t="str">
        <f aca="false">INDEX('Reward Model'!$E$18:$E$37,MATCH($E1931,'Reward Model'!$A$18:$A$37,0))</f>
        <v>Medium</v>
      </c>
      <c r="Z1931" s="4" t="n">
        <f aca="false">ROUND(MIN(1,MAX('Reward Model'!$B$2,INDEX('Reward Model'!$C$12:$C$14,MATCH($K1931,'Reward Model'!$A$12:$A$14,0))/$J1931)),3)</f>
        <v>0.826</v>
      </c>
      <c r="AA1931" s="2" t="n">
        <f aca="false">IF($I1931="Correct",ROUND(INDEX('Reward Model'!$B$12:$B$14,MATCH($K1931,'Reward Model'!$A$12:$A$14,0))*Z1931,2),0)</f>
        <v>0</v>
      </c>
      <c r="AB1931" s="2" t="n">
        <f aca="false">IF($I1931="Correct",ROUND(INDEX('Reward Model'!$B$12:$B$14,MATCH($Y1931,'Reward Model'!$A$12:$A$14,0))*Z1931,2),0)</f>
        <v>0</v>
      </c>
    </row>
    <row r="1932" customFormat="false" ht="15" hidden="false" customHeight="false" outlineLevel="0" collapsed="false">
      <c r="A1932" s="0" t="s">
        <v>323</v>
      </c>
      <c r="B1932" s="0" t="s">
        <v>324</v>
      </c>
      <c r="C1932" s="0" t="s">
        <v>322</v>
      </c>
      <c r="D1932" s="0" t="s">
        <v>31</v>
      </c>
      <c r="E1932" s="0" t="n">
        <v>11</v>
      </c>
      <c r="F1932" s="0" t="s">
        <v>61</v>
      </c>
      <c r="G1932" s="0" t="s">
        <v>63</v>
      </c>
      <c r="H1932" s="0" t="s">
        <v>63</v>
      </c>
      <c r="I1932" s="0" t="s">
        <v>34</v>
      </c>
      <c r="J1932" s="0" t="n">
        <v>1.98</v>
      </c>
      <c r="K1932" s="0" t="s">
        <v>60</v>
      </c>
      <c r="L1932" s="0" t="n">
        <f aca="false">INDEX(Summary!$F$2:$F$201,MATCH($B1932,Summary!$A$2:$A$201,0))</f>
        <v>20</v>
      </c>
      <c r="M1932" s="0" t="n">
        <f aca="false">INDEX(Summary!$I$2:$I$201,MATCH($B1932,Summary!$A$2:$A$201,0))</f>
        <v>2</v>
      </c>
      <c r="N1932" s="0" t="n">
        <f aca="false">INDEX(Summary!$J$2:$J$201,MATCH($B1932,Summary!$A$2:$A$201,0))</f>
        <v>3</v>
      </c>
      <c r="O1932" s="2" t="n">
        <f aca="false">INDEX(Summary!$K$2:$K$201,MATCH($B1932,Summary!$A$2:$A$201,0))</f>
        <v>9.55</v>
      </c>
      <c r="P1932" s="3" t="n">
        <f aca="false">INDEX(Summary!$L$2:$L$201,MATCH($B1932,Summary!$A$2:$A$201,0))</f>
        <v>5</v>
      </c>
      <c r="Q1932" s="3" t="n">
        <f aca="false">INDEX(Summary!$M$2:$M$201,MATCH($B1932,Summary!$A$2:$A$201,0))</f>
        <v>1</v>
      </c>
      <c r="R1932" s="2" t="n">
        <f aca="false">INDEX(Summary!$N$2:$N$201,MATCH($B1932,Summary!$A$2:$A$201,0))</f>
        <v>10.22</v>
      </c>
      <c r="S1932" s="3" t="n">
        <f aca="false">INDEX(Summary!$O$2:$O$201,MATCH($B1932,Summary!$A$2:$A$201,0))</f>
        <v>8</v>
      </c>
      <c r="T1932" s="3" t="n">
        <f aca="false">INDEX(Summary!$P$2:$P$201,MATCH($B1932,Summary!$A$2:$A$201,0))</f>
        <v>1</v>
      </c>
      <c r="U1932" s="2" t="n">
        <f aca="false">INDEX(Summary!$Q$2:$Q$201,MATCH($B1932,Summary!$A$2:$A$201,0))</f>
        <v>12.61</v>
      </c>
      <c r="V1932" s="2" t="n">
        <f aca="false">INDEX(Summary!$R$2:$R$201,MATCH($B1932,Summary!$A$2:$A$201,0))</f>
        <v>26.74</v>
      </c>
      <c r="W1932" s="0" t="str">
        <f aca="false">INDEX(Summary!$S$2:$S$201,MATCH($B1932,Summary!$A$2:$A$201,0))</f>
        <v>Silver</v>
      </c>
      <c r="X1932" s="2" t="n">
        <f aca="false">INDEX(Summary!$T$2:$T$201,MATCH($B1932,Summary!$A$2:$A$201,0))</f>
        <v>65.22</v>
      </c>
      <c r="Y1932" s="0" t="str">
        <f aca="false">INDEX('Reward Model'!$E$18:$E$37,MATCH($E1932,'Reward Model'!$A$18:$A$37,0))</f>
        <v>Medium</v>
      </c>
      <c r="Z1932" s="4" t="n">
        <f aca="false">ROUND(MIN(1,MAX('Reward Model'!$B$2,INDEX('Reward Model'!$C$12:$C$14,MATCH($K1932,'Reward Model'!$A$12:$A$14,0))/$J1932)),3)</f>
        <v>0.909</v>
      </c>
      <c r="AA1932" s="2" t="n">
        <f aca="false">IF($I1932="Correct",ROUND(INDEX('Reward Model'!$B$12:$B$14,MATCH($K1932,'Reward Model'!$A$12:$A$14,0))*Z1932,2),0)</f>
        <v>1.82</v>
      </c>
      <c r="AB1932" s="2" t="n">
        <f aca="false">IF($I1932="Correct",ROUND(INDEX('Reward Model'!$B$12:$B$14,MATCH($Y1932,'Reward Model'!$A$12:$A$14,0))*Z1932,2),0)</f>
        <v>1.82</v>
      </c>
    </row>
    <row r="1933" customFormat="false" ht="15" hidden="false" customHeight="false" outlineLevel="0" collapsed="false">
      <c r="A1933" s="0" t="s">
        <v>323</v>
      </c>
      <c r="B1933" s="0" t="s">
        <v>324</v>
      </c>
      <c r="C1933" s="0" t="s">
        <v>322</v>
      </c>
      <c r="D1933" s="0" t="s">
        <v>31</v>
      </c>
      <c r="E1933" s="0" t="n">
        <v>12</v>
      </c>
      <c r="F1933" s="0" t="s">
        <v>64</v>
      </c>
      <c r="G1933" s="0" t="s">
        <v>65</v>
      </c>
      <c r="H1933" s="0" t="s">
        <v>65</v>
      </c>
      <c r="I1933" s="0" t="s">
        <v>34</v>
      </c>
      <c r="J1933" s="0" t="n">
        <v>1.51</v>
      </c>
      <c r="K1933" s="0" t="s">
        <v>60</v>
      </c>
      <c r="L1933" s="0" t="n">
        <f aca="false">INDEX(Summary!$F$2:$F$201,MATCH($B1933,Summary!$A$2:$A$201,0))</f>
        <v>20</v>
      </c>
      <c r="M1933" s="0" t="n">
        <f aca="false">INDEX(Summary!$I$2:$I$201,MATCH($B1933,Summary!$A$2:$A$201,0))</f>
        <v>2</v>
      </c>
      <c r="N1933" s="0" t="n">
        <f aca="false">INDEX(Summary!$J$2:$J$201,MATCH($B1933,Summary!$A$2:$A$201,0))</f>
        <v>3</v>
      </c>
      <c r="O1933" s="2" t="n">
        <f aca="false">INDEX(Summary!$K$2:$K$201,MATCH($B1933,Summary!$A$2:$A$201,0))</f>
        <v>9.55</v>
      </c>
      <c r="P1933" s="3" t="n">
        <f aca="false">INDEX(Summary!$L$2:$L$201,MATCH($B1933,Summary!$A$2:$A$201,0))</f>
        <v>5</v>
      </c>
      <c r="Q1933" s="3" t="n">
        <f aca="false">INDEX(Summary!$M$2:$M$201,MATCH($B1933,Summary!$A$2:$A$201,0))</f>
        <v>1</v>
      </c>
      <c r="R1933" s="2" t="n">
        <f aca="false">INDEX(Summary!$N$2:$N$201,MATCH($B1933,Summary!$A$2:$A$201,0))</f>
        <v>10.22</v>
      </c>
      <c r="S1933" s="3" t="n">
        <f aca="false">INDEX(Summary!$O$2:$O$201,MATCH($B1933,Summary!$A$2:$A$201,0))</f>
        <v>8</v>
      </c>
      <c r="T1933" s="3" t="n">
        <f aca="false">INDEX(Summary!$P$2:$P$201,MATCH($B1933,Summary!$A$2:$A$201,0))</f>
        <v>1</v>
      </c>
      <c r="U1933" s="2" t="n">
        <f aca="false">INDEX(Summary!$Q$2:$Q$201,MATCH($B1933,Summary!$A$2:$A$201,0))</f>
        <v>12.61</v>
      </c>
      <c r="V1933" s="2" t="n">
        <f aca="false">INDEX(Summary!$R$2:$R$201,MATCH($B1933,Summary!$A$2:$A$201,0))</f>
        <v>26.74</v>
      </c>
      <c r="W1933" s="0" t="str">
        <f aca="false">INDEX(Summary!$S$2:$S$201,MATCH($B1933,Summary!$A$2:$A$201,0))</f>
        <v>Silver</v>
      </c>
      <c r="X1933" s="2" t="n">
        <f aca="false">INDEX(Summary!$T$2:$T$201,MATCH($B1933,Summary!$A$2:$A$201,0))</f>
        <v>65.22</v>
      </c>
      <c r="Y1933" s="0" t="str">
        <f aca="false">INDEX('Reward Model'!$E$18:$E$37,MATCH($E1933,'Reward Model'!$A$18:$A$37,0))</f>
        <v>Medium</v>
      </c>
      <c r="Z1933" s="4" t="n">
        <f aca="false">ROUND(MIN(1,MAX('Reward Model'!$B$2,INDEX('Reward Model'!$C$12:$C$14,MATCH($K1933,'Reward Model'!$A$12:$A$14,0))/$J1933)),3)</f>
        <v>1</v>
      </c>
      <c r="AA1933" s="2" t="n">
        <f aca="false">IF($I1933="Correct",ROUND(INDEX('Reward Model'!$B$12:$B$14,MATCH($K1933,'Reward Model'!$A$12:$A$14,0))*Z1933,2),0)</f>
        <v>2</v>
      </c>
      <c r="AB1933" s="2" t="n">
        <f aca="false">IF($I1933="Correct",ROUND(INDEX('Reward Model'!$B$12:$B$14,MATCH($Y1933,'Reward Model'!$A$12:$A$14,0))*Z1933,2),0)</f>
        <v>2</v>
      </c>
    </row>
    <row r="1934" customFormat="false" ht="15" hidden="false" customHeight="false" outlineLevel="0" collapsed="false">
      <c r="A1934" s="0" t="s">
        <v>323</v>
      </c>
      <c r="B1934" s="0" t="s">
        <v>324</v>
      </c>
      <c r="C1934" s="0" t="s">
        <v>322</v>
      </c>
      <c r="D1934" s="0" t="s">
        <v>31</v>
      </c>
      <c r="E1934" s="0" t="n">
        <v>13</v>
      </c>
      <c r="F1934" s="0" t="s">
        <v>66</v>
      </c>
      <c r="G1934" s="0" t="s">
        <v>67</v>
      </c>
      <c r="H1934" s="0" t="s">
        <v>67</v>
      </c>
      <c r="I1934" s="0" t="s">
        <v>34</v>
      </c>
      <c r="J1934" s="0" t="n">
        <v>1.22</v>
      </c>
      <c r="K1934" s="0" t="s">
        <v>60</v>
      </c>
      <c r="L1934" s="0" t="n">
        <f aca="false">INDEX(Summary!$F$2:$F$201,MATCH($B1934,Summary!$A$2:$A$201,0))</f>
        <v>20</v>
      </c>
      <c r="M1934" s="0" t="n">
        <f aca="false">INDEX(Summary!$I$2:$I$201,MATCH($B1934,Summary!$A$2:$A$201,0))</f>
        <v>2</v>
      </c>
      <c r="N1934" s="0" t="n">
        <f aca="false">INDEX(Summary!$J$2:$J$201,MATCH($B1934,Summary!$A$2:$A$201,0))</f>
        <v>3</v>
      </c>
      <c r="O1934" s="2" t="n">
        <f aca="false">INDEX(Summary!$K$2:$K$201,MATCH($B1934,Summary!$A$2:$A$201,0))</f>
        <v>9.55</v>
      </c>
      <c r="P1934" s="3" t="n">
        <f aca="false">INDEX(Summary!$L$2:$L$201,MATCH($B1934,Summary!$A$2:$A$201,0))</f>
        <v>5</v>
      </c>
      <c r="Q1934" s="3" t="n">
        <f aca="false">INDEX(Summary!$M$2:$M$201,MATCH($B1934,Summary!$A$2:$A$201,0))</f>
        <v>1</v>
      </c>
      <c r="R1934" s="2" t="n">
        <f aca="false">INDEX(Summary!$N$2:$N$201,MATCH($B1934,Summary!$A$2:$A$201,0))</f>
        <v>10.22</v>
      </c>
      <c r="S1934" s="3" t="n">
        <f aca="false">INDEX(Summary!$O$2:$O$201,MATCH($B1934,Summary!$A$2:$A$201,0))</f>
        <v>8</v>
      </c>
      <c r="T1934" s="3" t="n">
        <f aca="false">INDEX(Summary!$P$2:$P$201,MATCH($B1934,Summary!$A$2:$A$201,0))</f>
        <v>1</v>
      </c>
      <c r="U1934" s="2" t="n">
        <f aca="false">INDEX(Summary!$Q$2:$Q$201,MATCH($B1934,Summary!$A$2:$A$201,0))</f>
        <v>12.61</v>
      </c>
      <c r="V1934" s="2" t="n">
        <f aca="false">INDEX(Summary!$R$2:$R$201,MATCH($B1934,Summary!$A$2:$A$201,0))</f>
        <v>26.74</v>
      </c>
      <c r="W1934" s="0" t="str">
        <f aca="false">INDEX(Summary!$S$2:$S$201,MATCH($B1934,Summary!$A$2:$A$201,0))</f>
        <v>Silver</v>
      </c>
      <c r="X1934" s="2" t="n">
        <f aca="false">INDEX(Summary!$T$2:$T$201,MATCH($B1934,Summary!$A$2:$A$201,0))</f>
        <v>65.22</v>
      </c>
      <c r="Y1934" s="0" t="str">
        <f aca="false">INDEX('Reward Model'!$E$18:$E$37,MATCH($E1934,'Reward Model'!$A$18:$A$37,0))</f>
        <v>Medium</v>
      </c>
      <c r="Z1934" s="4" t="n">
        <f aca="false">ROUND(MIN(1,MAX('Reward Model'!$B$2,INDEX('Reward Model'!$C$12:$C$14,MATCH($K1934,'Reward Model'!$A$12:$A$14,0))/$J1934)),3)</f>
        <v>1</v>
      </c>
      <c r="AA1934" s="2" t="n">
        <f aca="false">IF($I1934="Correct",ROUND(INDEX('Reward Model'!$B$12:$B$14,MATCH($K1934,'Reward Model'!$A$12:$A$14,0))*Z1934,2),0)</f>
        <v>2</v>
      </c>
      <c r="AB1934" s="2" t="n">
        <f aca="false">IF($I1934="Correct",ROUND(INDEX('Reward Model'!$B$12:$B$14,MATCH($Y1934,'Reward Model'!$A$12:$A$14,0))*Z1934,2),0)</f>
        <v>2</v>
      </c>
    </row>
    <row r="1935" customFormat="false" ht="15" hidden="false" customHeight="false" outlineLevel="0" collapsed="false">
      <c r="A1935" s="0" t="s">
        <v>323</v>
      </c>
      <c r="B1935" s="0" t="s">
        <v>324</v>
      </c>
      <c r="C1935" s="0" t="s">
        <v>322</v>
      </c>
      <c r="D1935" s="0" t="s">
        <v>31</v>
      </c>
      <c r="E1935" s="0" t="n">
        <v>14</v>
      </c>
      <c r="F1935" s="0" t="s">
        <v>68</v>
      </c>
      <c r="G1935" s="0" t="s">
        <v>51</v>
      </c>
      <c r="H1935" s="0" t="s">
        <v>51</v>
      </c>
      <c r="I1935" s="0" t="s">
        <v>34</v>
      </c>
      <c r="J1935" s="0" t="n">
        <v>1.15</v>
      </c>
      <c r="K1935" s="0" t="s">
        <v>60</v>
      </c>
      <c r="L1935" s="0" t="n">
        <f aca="false">INDEX(Summary!$F$2:$F$201,MATCH($B1935,Summary!$A$2:$A$201,0))</f>
        <v>20</v>
      </c>
      <c r="M1935" s="0" t="n">
        <f aca="false">INDEX(Summary!$I$2:$I$201,MATCH($B1935,Summary!$A$2:$A$201,0))</f>
        <v>2</v>
      </c>
      <c r="N1935" s="0" t="n">
        <f aca="false">INDEX(Summary!$J$2:$J$201,MATCH($B1935,Summary!$A$2:$A$201,0))</f>
        <v>3</v>
      </c>
      <c r="O1935" s="2" t="n">
        <f aca="false">INDEX(Summary!$K$2:$K$201,MATCH($B1935,Summary!$A$2:$A$201,0))</f>
        <v>9.55</v>
      </c>
      <c r="P1935" s="3" t="n">
        <f aca="false">INDEX(Summary!$L$2:$L$201,MATCH($B1935,Summary!$A$2:$A$201,0))</f>
        <v>5</v>
      </c>
      <c r="Q1935" s="3" t="n">
        <f aca="false">INDEX(Summary!$M$2:$M$201,MATCH($B1935,Summary!$A$2:$A$201,0))</f>
        <v>1</v>
      </c>
      <c r="R1935" s="2" t="n">
        <f aca="false">INDEX(Summary!$N$2:$N$201,MATCH($B1935,Summary!$A$2:$A$201,0))</f>
        <v>10.22</v>
      </c>
      <c r="S1935" s="3" t="n">
        <f aca="false">INDEX(Summary!$O$2:$O$201,MATCH($B1935,Summary!$A$2:$A$201,0))</f>
        <v>8</v>
      </c>
      <c r="T1935" s="3" t="n">
        <f aca="false">INDEX(Summary!$P$2:$P$201,MATCH($B1935,Summary!$A$2:$A$201,0))</f>
        <v>1</v>
      </c>
      <c r="U1935" s="2" t="n">
        <f aca="false">INDEX(Summary!$Q$2:$Q$201,MATCH($B1935,Summary!$A$2:$A$201,0))</f>
        <v>12.61</v>
      </c>
      <c r="V1935" s="2" t="n">
        <f aca="false">INDEX(Summary!$R$2:$R$201,MATCH($B1935,Summary!$A$2:$A$201,0))</f>
        <v>26.74</v>
      </c>
      <c r="W1935" s="0" t="str">
        <f aca="false">INDEX(Summary!$S$2:$S$201,MATCH($B1935,Summary!$A$2:$A$201,0))</f>
        <v>Silver</v>
      </c>
      <c r="X1935" s="2" t="n">
        <f aca="false">INDEX(Summary!$T$2:$T$201,MATCH($B1935,Summary!$A$2:$A$201,0))</f>
        <v>65.22</v>
      </c>
      <c r="Y1935" s="0" t="str">
        <f aca="false">INDEX('Reward Model'!$E$18:$E$37,MATCH($E1935,'Reward Model'!$A$18:$A$37,0))</f>
        <v>Medium</v>
      </c>
      <c r="Z1935" s="4" t="n">
        <f aca="false">ROUND(MIN(1,MAX('Reward Model'!$B$2,INDEX('Reward Model'!$C$12:$C$14,MATCH($K1935,'Reward Model'!$A$12:$A$14,0))/$J1935)),3)</f>
        <v>1</v>
      </c>
      <c r="AA1935" s="2" t="n">
        <f aca="false">IF($I1935="Correct",ROUND(INDEX('Reward Model'!$B$12:$B$14,MATCH($K1935,'Reward Model'!$A$12:$A$14,0))*Z1935,2),0)</f>
        <v>2</v>
      </c>
      <c r="AB1935" s="2" t="n">
        <f aca="false">IF($I1935="Correct",ROUND(INDEX('Reward Model'!$B$12:$B$14,MATCH($Y1935,'Reward Model'!$A$12:$A$14,0))*Z1935,2),0)</f>
        <v>2</v>
      </c>
    </row>
    <row r="1936" customFormat="false" ht="15" hidden="false" customHeight="false" outlineLevel="0" collapsed="false">
      <c r="A1936" s="0" t="s">
        <v>323</v>
      </c>
      <c r="B1936" s="0" t="s">
        <v>324</v>
      </c>
      <c r="C1936" s="0" t="s">
        <v>322</v>
      </c>
      <c r="D1936" s="0" t="s">
        <v>31</v>
      </c>
      <c r="E1936" s="0" t="n">
        <v>15</v>
      </c>
      <c r="F1936" s="0" t="s">
        <v>69</v>
      </c>
      <c r="G1936" s="0" t="s">
        <v>70</v>
      </c>
      <c r="H1936" s="0" t="s">
        <v>70</v>
      </c>
      <c r="I1936" s="0" t="s">
        <v>34</v>
      </c>
      <c r="J1936" s="0" t="n">
        <v>2.18</v>
      </c>
      <c r="K1936" s="0" t="s">
        <v>60</v>
      </c>
      <c r="L1936" s="0" t="n">
        <f aca="false">INDEX(Summary!$F$2:$F$201,MATCH($B1936,Summary!$A$2:$A$201,0))</f>
        <v>20</v>
      </c>
      <c r="M1936" s="0" t="n">
        <f aca="false">INDEX(Summary!$I$2:$I$201,MATCH($B1936,Summary!$A$2:$A$201,0))</f>
        <v>2</v>
      </c>
      <c r="N1936" s="0" t="n">
        <f aca="false">INDEX(Summary!$J$2:$J$201,MATCH($B1936,Summary!$A$2:$A$201,0))</f>
        <v>3</v>
      </c>
      <c r="O1936" s="2" t="n">
        <f aca="false">INDEX(Summary!$K$2:$K$201,MATCH($B1936,Summary!$A$2:$A$201,0))</f>
        <v>9.55</v>
      </c>
      <c r="P1936" s="3" t="n">
        <f aca="false">INDEX(Summary!$L$2:$L$201,MATCH($B1936,Summary!$A$2:$A$201,0))</f>
        <v>5</v>
      </c>
      <c r="Q1936" s="3" t="n">
        <f aca="false">INDEX(Summary!$M$2:$M$201,MATCH($B1936,Summary!$A$2:$A$201,0))</f>
        <v>1</v>
      </c>
      <c r="R1936" s="2" t="n">
        <f aca="false">INDEX(Summary!$N$2:$N$201,MATCH($B1936,Summary!$A$2:$A$201,0))</f>
        <v>10.22</v>
      </c>
      <c r="S1936" s="3" t="n">
        <f aca="false">INDEX(Summary!$O$2:$O$201,MATCH($B1936,Summary!$A$2:$A$201,0))</f>
        <v>8</v>
      </c>
      <c r="T1936" s="3" t="n">
        <f aca="false">INDEX(Summary!$P$2:$P$201,MATCH($B1936,Summary!$A$2:$A$201,0))</f>
        <v>1</v>
      </c>
      <c r="U1936" s="2" t="n">
        <f aca="false">INDEX(Summary!$Q$2:$Q$201,MATCH($B1936,Summary!$A$2:$A$201,0))</f>
        <v>12.61</v>
      </c>
      <c r="V1936" s="2" t="n">
        <f aca="false">INDEX(Summary!$R$2:$R$201,MATCH($B1936,Summary!$A$2:$A$201,0))</f>
        <v>26.74</v>
      </c>
      <c r="W1936" s="0" t="str">
        <f aca="false">INDEX(Summary!$S$2:$S$201,MATCH($B1936,Summary!$A$2:$A$201,0))</f>
        <v>Silver</v>
      </c>
      <c r="X1936" s="2" t="n">
        <f aca="false">INDEX(Summary!$T$2:$T$201,MATCH($B1936,Summary!$A$2:$A$201,0))</f>
        <v>65.22</v>
      </c>
      <c r="Y1936" s="0" t="str">
        <f aca="false">INDEX('Reward Model'!$E$18:$E$37,MATCH($E1936,'Reward Model'!$A$18:$A$37,0))</f>
        <v>Medium</v>
      </c>
      <c r="Z1936" s="4" t="n">
        <f aca="false">ROUND(MIN(1,MAX('Reward Model'!$B$2,INDEX('Reward Model'!$C$12:$C$14,MATCH($K1936,'Reward Model'!$A$12:$A$14,0))/$J1936)),3)</f>
        <v>0.826</v>
      </c>
      <c r="AA1936" s="2" t="n">
        <f aca="false">IF($I1936="Correct",ROUND(INDEX('Reward Model'!$B$12:$B$14,MATCH($K1936,'Reward Model'!$A$12:$A$14,0))*Z1936,2),0)</f>
        <v>1.65</v>
      </c>
      <c r="AB1936" s="2" t="n">
        <f aca="false">IF($I1936="Correct",ROUND(INDEX('Reward Model'!$B$12:$B$14,MATCH($Y1936,'Reward Model'!$A$12:$A$14,0))*Z1936,2),0)</f>
        <v>1.65</v>
      </c>
    </row>
    <row r="1937" customFormat="false" ht="15" hidden="false" customHeight="false" outlineLevel="0" collapsed="false">
      <c r="A1937" s="0" t="s">
        <v>323</v>
      </c>
      <c r="B1937" s="0" t="s">
        <v>324</v>
      </c>
      <c r="C1937" s="0" t="s">
        <v>322</v>
      </c>
      <c r="D1937" s="0" t="s">
        <v>31</v>
      </c>
      <c r="E1937" s="0" t="n">
        <v>16</v>
      </c>
      <c r="F1937" s="0" t="s">
        <v>71</v>
      </c>
      <c r="G1937" s="0" t="s">
        <v>72</v>
      </c>
      <c r="H1937" s="0" t="s">
        <v>72</v>
      </c>
      <c r="I1937" s="0" t="s">
        <v>34</v>
      </c>
      <c r="J1937" s="0" t="n">
        <v>2.3</v>
      </c>
      <c r="K1937" s="0" t="s">
        <v>73</v>
      </c>
      <c r="L1937" s="0" t="n">
        <f aca="false">INDEX(Summary!$F$2:$F$201,MATCH($B1937,Summary!$A$2:$A$201,0))</f>
        <v>20</v>
      </c>
      <c r="M1937" s="0" t="n">
        <f aca="false">INDEX(Summary!$I$2:$I$201,MATCH($B1937,Summary!$A$2:$A$201,0))</f>
        <v>2</v>
      </c>
      <c r="N1937" s="0" t="n">
        <f aca="false">INDEX(Summary!$J$2:$J$201,MATCH($B1937,Summary!$A$2:$A$201,0))</f>
        <v>3</v>
      </c>
      <c r="O1937" s="2" t="n">
        <f aca="false">INDEX(Summary!$K$2:$K$201,MATCH($B1937,Summary!$A$2:$A$201,0))</f>
        <v>9.55</v>
      </c>
      <c r="P1937" s="3" t="n">
        <f aca="false">INDEX(Summary!$L$2:$L$201,MATCH($B1937,Summary!$A$2:$A$201,0))</f>
        <v>5</v>
      </c>
      <c r="Q1937" s="3" t="n">
        <f aca="false">INDEX(Summary!$M$2:$M$201,MATCH($B1937,Summary!$A$2:$A$201,0))</f>
        <v>1</v>
      </c>
      <c r="R1937" s="2" t="n">
        <f aca="false">INDEX(Summary!$N$2:$N$201,MATCH($B1937,Summary!$A$2:$A$201,0))</f>
        <v>10.22</v>
      </c>
      <c r="S1937" s="3" t="n">
        <f aca="false">INDEX(Summary!$O$2:$O$201,MATCH($B1937,Summary!$A$2:$A$201,0))</f>
        <v>8</v>
      </c>
      <c r="T1937" s="3" t="n">
        <f aca="false">INDEX(Summary!$P$2:$P$201,MATCH($B1937,Summary!$A$2:$A$201,0))</f>
        <v>1</v>
      </c>
      <c r="U1937" s="2" t="n">
        <f aca="false">INDEX(Summary!$Q$2:$Q$201,MATCH($B1937,Summary!$A$2:$A$201,0))</f>
        <v>12.61</v>
      </c>
      <c r="V1937" s="2" t="n">
        <f aca="false">INDEX(Summary!$R$2:$R$201,MATCH($B1937,Summary!$A$2:$A$201,0))</f>
        <v>26.74</v>
      </c>
      <c r="W1937" s="0" t="str">
        <f aca="false">INDEX(Summary!$S$2:$S$201,MATCH($B1937,Summary!$A$2:$A$201,0))</f>
        <v>Silver</v>
      </c>
      <c r="X1937" s="2" t="n">
        <f aca="false">INDEX(Summary!$T$2:$T$201,MATCH($B1937,Summary!$A$2:$A$201,0))</f>
        <v>65.22</v>
      </c>
      <c r="Y1937" s="0" t="str">
        <f aca="false">INDEX('Reward Model'!$E$18:$E$37,MATCH($E1937,'Reward Model'!$A$18:$A$37,0))</f>
        <v>High</v>
      </c>
      <c r="Z1937" s="4" t="n">
        <f aca="false">ROUND(MIN(1,MAX('Reward Model'!$B$2,INDEX('Reward Model'!$C$12:$C$14,MATCH($K1937,'Reward Model'!$A$12:$A$14,0))/$J1937)),3)</f>
        <v>0.87</v>
      </c>
      <c r="AA1937" s="2" t="n">
        <f aca="false">IF($I1937="Correct",ROUND(INDEX('Reward Model'!$B$12:$B$14,MATCH($K1937,'Reward Model'!$A$12:$A$14,0))*Z1937,2),0)</f>
        <v>2.61</v>
      </c>
      <c r="AB1937" s="2" t="n">
        <f aca="false">IF($I1937="Correct",ROUND(INDEX('Reward Model'!$B$12:$B$14,MATCH($Y1937,'Reward Model'!$A$12:$A$14,0))*Z1937,2),0)</f>
        <v>2.61</v>
      </c>
    </row>
    <row r="1938" customFormat="false" ht="15" hidden="false" customHeight="false" outlineLevel="0" collapsed="false">
      <c r="A1938" s="0" t="s">
        <v>323</v>
      </c>
      <c r="B1938" s="0" t="s">
        <v>324</v>
      </c>
      <c r="C1938" s="0" t="s">
        <v>322</v>
      </c>
      <c r="D1938" s="0" t="s">
        <v>31</v>
      </c>
      <c r="E1938" s="0" t="n">
        <v>17</v>
      </c>
      <c r="F1938" s="0" t="s">
        <v>74</v>
      </c>
      <c r="G1938" s="0" t="s">
        <v>75</v>
      </c>
      <c r="H1938" s="0" t="s">
        <v>75</v>
      </c>
      <c r="I1938" s="0" t="s">
        <v>34</v>
      </c>
      <c r="J1938" s="0" t="n">
        <v>2.04</v>
      </c>
      <c r="K1938" s="0" t="s">
        <v>73</v>
      </c>
      <c r="L1938" s="0" t="n">
        <f aca="false">INDEX(Summary!$F$2:$F$201,MATCH($B1938,Summary!$A$2:$A$201,0))</f>
        <v>20</v>
      </c>
      <c r="M1938" s="0" t="n">
        <f aca="false">INDEX(Summary!$I$2:$I$201,MATCH($B1938,Summary!$A$2:$A$201,0))</f>
        <v>2</v>
      </c>
      <c r="N1938" s="0" t="n">
        <f aca="false">INDEX(Summary!$J$2:$J$201,MATCH($B1938,Summary!$A$2:$A$201,0))</f>
        <v>3</v>
      </c>
      <c r="O1938" s="2" t="n">
        <f aca="false">INDEX(Summary!$K$2:$K$201,MATCH($B1938,Summary!$A$2:$A$201,0))</f>
        <v>9.55</v>
      </c>
      <c r="P1938" s="3" t="n">
        <f aca="false">INDEX(Summary!$L$2:$L$201,MATCH($B1938,Summary!$A$2:$A$201,0))</f>
        <v>5</v>
      </c>
      <c r="Q1938" s="3" t="n">
        <f aca="false">INDEX(Summary!$M$2:$M$201,MATCH($B1938,Summary!$A$2:$A$201,0))</f>
        <v>1</v>
      </c>
      <c r="R1938" s="2" t="n">
        <f aca="false">INDEX(Summary!$N$2:$N$201,MATCH($B1938,Summary!$A$2:$A$201,0))</f>
        <v>10.22</v>
      </c>
      <c r="S1938" s="3" t="n">
        <f aca="false">INDEX(Summary!$O$2:$O$201,MATCH($B1938,Summary!$A$2:$A$201,0))</f>
        <v>8</v>
      </c>
      <c r="T1938" s="3" t="n">
        <f aca="false">INDEX(Summary!$P$2:$P$201,MATCH($B1938,Summary!$A$2:$A$201,0))</f>
        <v>1</v>
      </c>
      <c r="U1938" s="2" t="n">
        <f aca="false">INDEX(Summary!$Q$2:$Q$201,MATCH($B1938,Summary!$A$2:$A$201,0))</f>
        <v>12.61</v>
      </c>
      <c r="V1938" s="2" t="n">
        <f aca="false">INDEX(Summary!$R$2:$R$201,MATCH($B1938,Summary!$A$2:$A$201,0))</f>
        <v>26.74</v>
      </c>
      <c r="W1938" s="0" t="str">
        <f aca="false">INDEX(Summary!$S$2:$S$201,MATCH($B1938,Summary!$A$2:$A$201,0))</f>
        <v>Silver</v>
      </c>
      <c r="X1938" s="2" t="n">
        <f aca="false">INDEX(Summary!$T$2:$T$201,MATCH($B1938,Summary!$A$2:$A$201,0))</f>
        <v>65.22</v>
      </c>
      <c r="Y1938" s="0" t="str">
        <f aca="false">INDEX('Reward Model'!$E$18:$E$37,MATCH($E1938,'Reward Model'!$A$18:$A$37,0))</f>
        <v>High</v>
      </c>
      <c r="Z1938" s="4" t="n">
        <f aca="false">ROUND(MIN(1,MAX('Reward Model'!$B$2,INDEX('Reward Model'!$C$12:$C$14,MATCH($K1938,'Reward Model'!$A$12:$A$14,0))/$J1938)),3)</f>
        <v>0.98</v>
      </c>
      <c r="AA1938" s="2" t="n">
        <f aca="false">IF($I1938="Correct",ROUND(INDEX('Reward Model'!$B$12:$B$14,MATCH($K1938,'Reward Model'!$A$12:$A$14,0))*Z1938,2),0)</f>
        <v>2.94</v>
      </c>
      <c r="AB1938" s="2" t="n">
        <f aca="false">IF($I1938="Correct",ROUND(INDEX('Reward Model'!$B$12:$B$14,MATCH($Y1938,'Reward Model'!$A$12:$A$14,0))*Z1938,2),0)</f>
        <v>2.94</v>
      </c>
    </row>
    <row r="1939" customFormat="false" ht="15" hidden="false" customHeight="false" outlineLevel="0" collapsed="false">
      <c r="A1939" s="0" t="s">
        <v>323</v>
      </c>
      <c r="B1939" s="0" t="s">
        <v>324</v>
      </c>
      <c r="C1939" s="0" t="s">
        <v>322</v>
      </c>
      <c r="D1939" s="0" t="s">
        <v>31</v>
      </c>
      <c r="E1939" s="0" t="n">
        <v>18</v>
      </c>
      <c r="F1939" s="0" t="s">
        <v>76</v>
      </c>
      <c r="G1939" s="0" t="s">
        <v>88</v>
      </c>
      <c r="H1939" s="0" t="s">
        <v>77</v>
      </c>
      <c r="I1939" s="0" t="s">
        <v>39</v>
      </c>
      <c r="J1939" s="0" t="n">
        <v>1.8</v>
      </c>
      <c r="K1939" s="0" t="s">
        <v>73</v>
      </c>
      <c r="L1939" s="0" t="n">
        <f aca="false">INDEX(Summary!$F$2:$F$201,MATCH($B1939,Summary!$A$2:$A$201,0))</f>
        <v>20</v>
      </c>
      <c r="M1939" s="0" t="n">
        <f aca="false">INDEX(Summary!$I$2:$I$201,MATCH($B1939,Summary!$A$2:$A$201,0))</f>
        <v>2</v>
      </c>
      <c r="N1939" s="0" t="n">
        <f aca="false">INDEX(Summary!$J$2:$J$201,MATCH($B1939,Summary!$A$2:$A$201,0))</f>
        <v>3</v>
      </c>
      <c r="O1939" s="2" t="n">
        <f aca="false">INDEX(Summary!$K$2:$K$201,MATCH($B1939,Summary!$A$2:$A$201,0))</f>
        <v>9.55</v>
      </c>
      <c r="P1939" s="3" t="n">
        <f aca="false">INDEX(Summary!$L$2:$L$201,MATCH($B1939,Summary!$A$2:$A$201,0))</f>
        <v>5</v>
      </c>
      <c r="Q1939" s="3" t="n">
        <f aca="false">INDEX(Summary!$M$2:$M$201,MATCH($B1939,Summary!$A$2:$A$201,0))</f>
        <v>1</v>
      </c>
      <c r="R1939" s="2" t="n">
        <f aca="false">INDEX(Summary!$N$2:$N$201,MATCH($B1939,Summary!$A$2:$A$201,0))</f>
        <v>10.22</v>
      </c>
      <c r="S1939" s="3" t="n">
        <f aca="false">INDEX(Summary!$O$2:$O$201,MATCH($B1939,Summary!$A$2:$A$201,0))</f>
        <v>8</v>
      </c>
      <c r="T1939" s="3" t="n">
        <f aca="false">INDEX(Summary!$P$2:$P$201,MATCH($B1939,Summary!$A$2:$A$201,0))</f>
        <v>1</v>
      </c>
      <c r="U1939" s="2" t="n">
        <f aca="false">INDEX(Summary!$Q$2:$Q$201,MATCH($B1939,Summary!$A$2:$A$201,0))</f>
        <v>12.61</v>
      </c>
      <c r="V1939" s="2" t="n">
        <f aca="false">INDEX(Summary!$R$2:$R$201,MATCH($B1939,Summary!$A$2:$A$201,0))</f>
        <v>26.74</v>
      </c>
      <c r="W1939" s="0" t="str">
        <f aca="false">INDEX(Summary!$S$2:$S$201,MATCH($B1939,Summary!$A$2:$A$201,0))</f>
        <v>Silver</v>
      </c>
      <c r="X1939" s="2" t="n">
        <f aca="false">INDEX(Summary!$T$2:$T$201,MATCH($B1939,Summary!$A$2:$A$201,0))</f>
        <v>65.22</v>
      </c>
      <c r="Y1939" s="0" t="str">
        <f aca="false">INDEX('Reward Model'!$E$18:$E$37,MATCH($E1939,'Reward Model'!$A$18:$A$37,0))</f>
        <v>High</v>
      </c>
      <c r="Z1939" s="4" t="n">
        <f aca="false">ROUND(MIN(1,MAX('Reward Model'!$B$2,INDEX('Reward Model'!$C$12:$C$14,MATCH($K1939,'Reward Model'!$A$12:$A$14,0))/$J1939)),3)</f>
        <v>1</v>
      </c>
      <c r="AA1939" s="2" t="n">
        <f aca="false">IF($I1939="Correct",ROUND(INDEX('Reward Model'!$B$12:$B$14,MATCH($K1939,'Reward Model'!$A$12:$A$14,0))*Z1939,2),0)</f>
        <v>0</v>
      </c>
      <c r="AB1939" s="2" t="n">
        <f aca="false">IF($I1939="Correct",ROUND(INDEX('Reward Model'!$B$12:$B$14,MATCH($Y1939,'Reward Model'!$A$12:$A$14,0))*Z1939,2),0)</f>
        <v>0</v>
      </c>
    </row>
    <row r="1940" customFormat="false" ht="15" hidden="false" customHeight="false" outlineLevel="0" collapsed="false">
      <c r="A1940" s="0" t="s">
        <v>323</v>
      </c>
      <c r="B1940" s="0" t="s">
        <v>324</v>
      </c>
      <c r="C1940" s="0" t="s">
        <v>322</v>
      </c>
      <c r="D1940" s="0" t="s">
        <v>31</v>
      </c>
      <c r="E1940" s="0" t="n">
        <v>19</v>
      </c>
      <c r="F1940" s="0" t="s">
        <v>78</v>
      </c>
      <c r="G1940" s="0" t="s">
        <v>132</v>
      </c>
      <c r="H1940" s="0" t="s">
        <v>80</v>
      </c>
      <c r="I1940" s="0" t="s">
        <v>39</v>
      </c>
      <c r="J1940" s="0" t="n">
        <v>1.33</v>
      </c>
      <c r="K1940" s="0" t="s">
        <v>73</v>
      </c>
      <c r="L1940" s="0" t="n">
        <f aca="false">INDEX(Summary!$F$2:$F$201,MATCH($B1940,Summary!$A$2:$A$201,0))</f>
        <v>20</v>
      </c>
      <c r="M1940" s="0" t="n">
        <f aca="false">INDEX(Summary!$I$2:$I$201,MATCH($B1940,Summary!$A$2:$A$201,0))</f>
        <v>2</v>
      </c>
      <c r="N1940" s="0" t="n">
        <f aca="false">INDEX(Summary!$J$2:$J$201,MATCH($B1940,Summary!$A$2:$A$201,0))</f>
        <v>3</v>
      </c>
      <c r="O1940" s="2" t="n">
        <f aca="false">INDEX(Summary!$K$2:$K$201,MATCH($B1940,Summary!$A$2:$A$201,0))</f>
        <v>9.55</v>
      </c>
      <c r="P1940" s="3" t="n">
        <f aca="false">INDEX(Summary!$L$2:$L$201,MATCH($B1940,Summary!$A$2:$A$201,0))</f>
        <v>5</v>
      </c>
      <c r="Q1940" s="3" t="n">
        <f aca="false">INDEX(Summary!$M$2:$M$201,MATCH($B1940,Summary!$A$2:$A$201,0))</f>
        <v>1</v>
      </c>
      <c r="R1940" s="2" t="n">
        <f aca="false">INDEX(Summary!$N$2:$N$201,MATCH($B1940,Summary!$A$2:$A$201,0))</f>
        <v>10.22</v>
      </c>
      <c r="S1940" s="3" t="n">
        <f aca="false">INDEX(Summary!$O$2:$O$201,MATCH($B1940,Summary!$A$2:$A$201,0))</f>
        <v>8</v>
      </c>
      <c r="T1940" s="3" t="n">
        <f aca="false">INDEX(Summary!$P$2:$P$201,MATCH($B1940,Summary!$A$2:$A$201,0))</f>
        <v>1</v>
      </c>
      <c r="U1940" s="2" t="n">
        <f aca="false">INDEX(Summary!$Q$2:$Q$201,MATCH($B1940,Summary!$A$2:$A$201,0))</f>
        <v>12.61</v>
      </c>
      <c r="V1940" s="2" t="n">
        <f aca="false">INDEX(Summary!$R$2:$R$201,MATCH($B1940,Summary!$A$2:$A$201,0))</f>
        <v>26.74</v>
      </c>
      <c r="W1940" s="0" t="str">
        <f aca="false">INDEX(Summary!$S$2:$S$201,MATCH($B1940,Summary!$A$2:$A$201,0))</f>
        <v>Silver</v>
      </c>
      <c r="X1940" s="2" t="n">
        <f aca="false">INDEX(Summary!$T$2:$T$201,MATCH($B1940,Summary!$A$2:$A$201,0))</f>
        <v>65.22</v>
      </c>
      <c r="Y1940" s="0" t="str">
        <f aca="false">INDEX('Reward Model'!$E$18:$E$37,MATCH($E1940,'Reward Model'!$A$18:$A$37,0))</f>
        <v>High</v>
      </c>
      <c r="Z1940" s="4" t="n">
        <f aca="false">ROUND(MIN(1,MAX('Reward Model'!$B$2,INDEX('Reward Model'!$C$12:$C$14,MATCH($K1940,'Reward Model'!$A$12:$A$14,0))/$J1940)),3)</f>
        <v>1</v>
      </c>
      <c r="AA1940" s="2" t="n">
        <f aca="false">IF($I1940="Correct",ROUND(INDEX('Reward Model'!$B$12:$B$14,MATCH($K1940,'Reward Model'!$A$12:$A$14,0))*Z1940,2),0)</f>
        <v>0</v>
      </c>
      <c r="AB1940" s="2" t="n">
        <f aca="false">IF($I1940="Correct",ROUND(INDEX('Reward Model'!$B$12:$B$14,MATCH($Y1940,'Reward Model'!$A$12:$A$14,0))*Z1940,2),0)</f>
        <v>0</v>
      </c>
    </row>
    <row r="1941" customFormat="false" ht="15" hidden="false" customHeight="false" outlineLevel="0" collapsed="false">
      <c r="A1941" s="0" t="s">
        <v>323</v>
      </c>
      <c r="B1941" s="0" t="s">
        <v>324</v>
      </c>
      <c r="C1941" s="0" t="s">
        <v>322</v>
      </c>
      <c r="D1941" s="0" t="s">
        <v>31</v>
      </c>
      <c r="E1941" s="0" t="n">
        <v>20</v>
      </c>
      <c r="F1941" s="0" t="s">
        <v>81</v>
      </c>
      <c r="G1941" s="0" t="s">
        <v>119</v>
      </c>
      <c r="H1941" s="0" t="s">
        <v>83</v>
      </c>
      <c r="I1941" s="0" t="s">
        <v>39</v>
      </c>
      <c r="J1941" s="0" t="n">
        <v>2.08</v>
      </c>
      <c r="K1941" s="0" t="s">
        <v>73</v>
      </c>
      <c r="L1941" s="0" t="n">
        <f aca="false">INDEX(Summary!$F$2:$F$201,MATCH($B1941,Summary!$A$2:$A$201,0))</f>
        <v>20</v>
      </c>
      <c r="M1941" s="0" t="n">
        <f aca="false">INDEX(Summary!$I$2:$I$201,MATCH($B1941,Summary!$A$2:$A$201,0))</f>
        <v>2</v>
      </c>
      <c r="N1941" s="0" t="n">
        <f aca="false">INDEX(Summary!$J$2:$J$201,MATCH($B1941,Summary!$A$2:$A$201,0))</f>
        <v>3</v>
      </c>
      <c r="O1941" s="2" t="n">
        <f aca="false">INDEX(Summary!$K$2:$K$201,MATCH($B1941,Summary!$A$2:$A$201,0))</f>
        <v>9.55</v>
      </c>
      <c r="P1941" s="3" t="n">
        <f aca="false">INDEX(Summary!$L$2:$L$201,MATCH($B1941,Summary!$A$2:$A$201,0))</f>
        <v>5</v>
      </c>
      <c r="Q1941" s="3" t="n">
        <f aca="false">INDEX(Summary!$M$2:$M$201,MATCH($B1941,Summary!$A$2:$A$201,0))</f>
        <v>1</v>
      </c>
      <c r="R1941" s="2" t="n">
        <f aca="false">INDEX(Summary!$N$2:$N$201,MATCH($B1941,Summary!$A$2:$A$201,0))</f>
        <v>10.22</v>
      </c>
      <c r="S1941" s="3" t="n">
        <f aca="false">INDEX(Summary!$O$2:$O$201,MATCH($B1941,Summary!$A$2:$A$201,0))</f>
        <v>8</v>
      </c>
      <c r="T1941" s="3" t="n">
        <f aca="false">INDEX(Summary!$P$2:$P$201,MATCH($B1941,Summary!$A$2:$A$201,0))</f>
        <v>1</v>
      </c>
      <c r="U1941" s="2" t="n">
        <f aca="false">INDEX(Summary!$Q$2:$Q$201,MATCH($B1941,Summary!$A$2:$A$201,0))</f>
        <v>12.61</v>
      </c>
      <c r="V1941" s="2" t="n">
        <f aca="false">INDEX(Summary!$R$2:$R$201,MATCH($B1941,Summary!$A$2:$A$201,0))</f>
        <v>26.74</v>
      </c>
      <c r="W1941" s="0" t="str">
        <f aca="false">INDEX(Summary!$S$2:$S$201,MATCH($B1941,Summary!$A$2:$A$201,0))</f>
        <v>Silver</v>
      </c>
      <c r="X1941" s="2" t="n">
        <f aca="false">INDEX(Summary!$T$2:$T$201,MATCH($B1941,Summary!$A$2:$A$201,0))</f>
        <v>65.22</v>
      </c>
      <c r="Y1941" s="0" t="str">
        <f aca="false">INDEX('Reward Model'!$E$18:$E$37,MATCH($E1941,'Reward Model'!$A$18:$A$37,0))</f>
        <v>High</v>
      </c>
      <c r="Z1941" s="4" t="n">
        <f aca="false">ROUND(MIN(1,MAX('Reward Model'!$B$2,INDEX('Reward Model'!$C$12:$C$14,MATCH($K1941,'Reward Model'!$A$12:$A$14,0))/$J1941)),3)</f>
        <v>0.962</v>
      </c>
      <c r="AA1941" s="2" t="n">
        <f aca="false">IF($I1941="Correct",ROUND(INDEX('Reward Model'!$B$12:$B$14,MATCH($K1941,'Reward Model'!$A$12:$A$14,0))*Z1941,2),0)</f>
        <v>0</v>
      </c>
      <c r="AB1941" s="2" t="n">
        <f aca="false">IF($I1941="Correct",ROUND(INDEX('Reward Model'!$B$12:$B$14,MATCH($Y1941,'Reward Model'!$A$12:$A$14,0))*Z1941,2),0)</f>
        <v>0</v>
      </c>
    </row>
    <row r="1942" customFormat="false" ht="15" hidden="false" customHeight="false" outlineLevel="0" collapsed="false">
      <c r="A1942" s="0" t="s">
        <v>325</v>
      </c>
      <c r="B1942" s="0" t="s">
        <v>326</v>
      </c>
      <c r="C1942" s="0" t="s">
        <v>322</v>
      </c>
      <c r="D1942" s="0" t="s">
        <v>31</v>
      </c>
      <c r="E1942" s="0" t="n">
        <v>1</v>
      </c>
      <c r="F1942" s="0" t="s">
        <v>32</v>
      </c>
      <c r="G1942" s="0" t="s">
        <v>91</v>
      </c>
      <c r="H1942" s="0" t="s">
        <v>33</v>
      </c>
      <c r="I1942" s="0" t="s">
        <v>39</v>
      </c>
      <c r="J1942" s="0" t="n">
        <v>0.99</v>
      </c>
      <c r="K1942" s="0" t="s">
        <v>35</v>
      </c>
      <c r="L1942" s="0" t="n">
        <f aca="false">INDEX(Summary!$F$2:$F$201,MATCH($B1942,Summary!$A$2:$A$201,0))</f>
        <v>20</v>
      </c>
      <c r="M1942" s="0" t="n">
        <f aca="false">INDEX(Summary!$I$2:$I$201,MATCH($B1942,Summary!$A$2:$A$201,0))</f>
        <v>2</v>
      </c>
      <c r="N1942" s="0" t="n">
        <f aca="false">INDEX(Summary!$J$2:$J$201,MATCH($B1942,Summary!$A$2:$A$201,0))</f>
        <v>3</v>
      </c>
      <c r="O1942" s="2" t="n">
        <f aca="false">INDEX(Summary!$K$2:$K$201,MATCH($B1942,Summary!$A$2:$A$201,0))</f>
        <v>8.3</v>
      </c>
      <c r="P1942" s="3" t="n">
        <f aca="false">INDEX(Summary!$L$2:$L$201,MATCH($B1942,Summary!$A$2:$A$201,0))</f>
        <v>4</v>
      </c>
      <c r="Q1942" s="3" t="n">
        <f aca="false">INDEX(Summary!$M$2:$M$201,MATCH($B1942,Summary!$A$2:$A$201,0))</f>
        <v>2</v>
      </c>
      <c r="R1942" s="2" t="n">
        <f aca="false">INDEX(Summary!$N$2:$N$201,MATCH($B1942,Summary!$A$2:$A$201,0))</f>
        <v>9.8</v>
      </c>
      <c r="S1942" s="3" t="n">
        <f aca="false">INDEX(Summary!$O$2:$O$201,MATCH($B1942,Summary!$A$2:$A$201,0))</f>
        <v>8</v>
      </c>
      <c r="T1942" s="3" t="n">
        <f aca="false">INDEX(Summary!$P$2:$P$201,MATCH($B1942,Summary!$A$2:$A$201,0))</f>
        <v>1</v>
      </c>
      <c r="U1942" s="2" t="n">
        <f aca="false">INDEX(Summary!$Q$2:$Q$201,MATCH($B1942,Summary!$A$2:$A$201,0))</f>
        <v>13.23</v>
      </c>
      <c r="V1942" s="2" t="n">
        <f aca="false">INDEX(Summary!$R$2:$R$201,MATCH($B1942,Summary!$A$2:$A$201,0))</f>
        <v>24.87</v>
      </c>
      <c r="W1942" s="0" t="str">
        <f aca="false">INDEX(Summary!$S$2:$S$201,MATCH($B1942,Summary!$A$2:$A$201,0))</f>
        <v>Silver</v>
      </c>
      <c r="X1942" s="2" t="n">
        <f aca="false">INDEX(Summary!$T$2:$T$201,MATCH($B1942,Summary!$A$2:$A$201,0))</f>
        <v>60.66</v>
      </c>
      <c r="Y1942" s="0" t="str">
        <f aca="false">INDEX('Reward Model'!$E$18:$E$37,MATCH($E1942,'Reward Model'!$A$18:$A$37,0))</f>
        <v>Medium</v>
      </c>
      <c r="Z1942" s="4" t="n">
        <f aca="false">ROUND(MIN(1,MAX('Reward Model'!$B$2,INDEX('Reward Model'!$C$12:$C$14,MATCH($K1942,'Reward Model'!$A$12:$A$14,0))/$J1942)),3)</f>
        <v>1</v>
      </c>
      <c r="AA1942" s="2" t="n">
        <f aca="false">IF($I1942="Correct",ROUND(INDEX('Reward Model'!$B$12:$B$14,MATCH($K1942,'Reward Model'!$A$12:$A$14,0))*Z1942,2),0)</f>
        <v>0</v>
      </c>
      <c r="AB1942" s="2" t="n">
        <f aca="false">IF($I1942="Correct",ROUND(INDEX('Reward Model'!$B$12:$B$14,MATCH($Y1942,'Reward Model'!$A$12:$A$14,0))*Z1942,2),0)</f>
        <v>0</v>
      </c>
    </row>
    <row r="1943" customFormat="false" ht="15" hidden="false" customHeight="false" outlineLevel="0" collapsed="false">
      <c r="A1943" s="0" t="s">
        <v>325</v>
      </c>
      <c r="B1943" s="0" t="s">
        <v>326</v>
      </c>
      <c r="C1943" s="0" t="s">
        <v>322</v>
      </c>
      <c r="D1943" s="0" t="s">
        <v>31</v>
      </c>
      <c r="E1943" s="0" t="n">
        <v>2</v>
      </c>
      <c r="F1943" s="0" t="s">
        <v>36</v>
      </c>
      <c r="G1943" s="0" t="s">
        <v>38</v>
      </c>
      <c r="H1943" s="0" t="s">
        <v>38</v>
      </c>
      <c r="I1943" s="0" t="s">
        <v>34</v>
      </c>
      <c r="J1943" s="0" t="n">
        <v>1.96</v>
      </c>
      <c r="K1943" s="0" t="s">
        <v>35</v>
      </c>
      <c r="L1943" s="0" t="n">
        <f aca="false">INDEX(Summary!$F$2:$F$201,MATCH($B1943,Summary!$A$2:$A$201,0))</f>
        <v>20</v>
      </c>
      <c r="M1943" s="0" t="n">
        <f aca="false">INDEX(Summary!$I$2:$I$201,MATCH($B1943,Summary!$A$2:$A$201,0))</f>
        <v>2</v>
      </c>
      <c r="N1943" s="0" t="n">
        <f aca="false">INDEX(Summary!$J$2:$J$201,MATCH($B1943,Summary!$A$2:$A$201,0))</f>
        <v>3</v>
      </c>
      <c r="O1943" s="2" t="n">
        <f aca="false">INDEX(Summary!$K$2:$K$201,MATCH($B1943,Summary!$A$2:$A$201,0))</f>
        <v>8.3</v>
      </c>
      <c r="P1943" s="3" t="n">
        <f aca="false">INDEX(Summary!$L$2:$L$201,MATCH($B1943,Summary!$A$2:$A$201,0))</f>
        <v>4</v>
      </c>
      <c r="Q1943" s="3" t="n">
        <f aca="false">INDEX(Summary!$M$2:$M$201,MATCH($B1943,Summary!$A$2:$A$201,0))</f>
        <v>2</v>
      </c>
      <c r="R1943" s="2" t="n">
        <f aca="false">INDEX(Summary!$N$2:$N$201,MATCH($B1943,Summary!$A$2:$A$201,0))</f>
        <v>9.8</v>
      </c>
      <c r="S1943" s="3" t="n">
        <f aca="false">INDEX(Summary!$O$2:$O$201,MATCH($B1943,Summary!$A$2:$A$201,0))</f>
        <v>8</v>
      </c>
      <c r="T1943" s="3" t="n">
        <f aca="false">INDEX(Summary!$P$2:$P$201,MATCH($B1943,Summary!$A$2:$A$201,0))</f>
        <v>1</v>
      </c>
      <c r="U1943" s="2" t="n">
        <f aca="false">INDEX(Summary!$Q$2:$Q$201,MATCH($B1943,Summary!$A$2:$A$201,0))</f>
        <v>13.23</v>
      </c>
      <c r="V1943" s="2" t="n">
        <f aca="false">INDEX(Summary!$R$2:$R$201,MATCH($B1943,Summary!$A$2:$A$201,0))</f>
        <v>24.87</v>
      </c>
      <c r="W1943" s="0" t="str">
        <f aca="false">INDEX(Summary!$S$2:$S$201,MATCH($B1943,Summary!$A$2:$A$201,0))</f>
        <v>Silver</v>
      </c>
      <c r="X1943" s="2" t="n">
        <f aca="false">INDEX(Summary!$T$2:$T$201,MATCH($B1943,Summary!$A$2:$A$201,0))</f>
        <v>60.66</v>
      </c>
      <c r="Y1943" s="0" t="str">
        <f aca="false">INDEX('Reward Model'!$E$18:$E$37,MATCH($E1943,'Reward Model'!$A$18:$A$37,0))</f>
        <v>Low</v>
      </c>
      <c r="Z1943" s="4" t="n">
        <f aca="false">ROUND(MIN(1,MAX('Reward Model'!$B$2,INDEX('Reward Model'!$C$12:$C$14,MATCH($K1943,'Reward Model'!$A$12:$A$14,0))/$J1943)),3)</f>
        <v>0.765</v>
      </c>
      <c r="AA1943" s="2" t="n">
        <f aca="false">IF($I1943="Correct",ROUND(INDEX('Reward Model'!$B$12:$B$14,MATCH($K1943,'Reward Model'!$A$12:$A$14,0))*Z1943,2),0)</f>
        <v>0.77</v>
      </c>
      <c r="AB1943" s="2" t="n">
        <f aca="false">IF($I1943="Correct",ROUND(INDEX('Reward Model'!$B$12:$B$14,MATCH($Y1943,'Reward Model'!$A$12:$A$14,0))*Z1943,2),0)</f>
        <v>0.77</v>
      </c>
    </row>
    <row r="1944" customFormat="false" ht="15" hidden="false" customHeight="false" outlineLevel="0" collapsed="false">
      <c r="A1944" s="0" t="s">
        <v>325</v>
      </c>
      <c r="B1944" s="0" t="s">
        <v>326</v>
      </c>
      <c r="C1944" s="0" t="s">
        <v>322</v>
      </c>
      <c r="D1944" s="0" t="s">
        <v>31</v>
      </c>
      <c r="E1944" s="0" t="n">
        <v>3</v>
      </c>
      <c r="F1944" s="0" t="s">
        <v>40</v>
      </c>
      <c r="G1944" s="0" t="s">
        <v>42</v>
      </c>
      <c r="H1944" s="0" t="s">
        <v>42</v>
      </c>
      <c r="I1944" s="0" t="s">
        <v>34</v>
      </c>
      <c r="J1944" s="0" t="n">
        <v>1.36</v>
      </c>
      <c r="K1944" s="0" t="s">
        <v>35</v>
      </c>
      <c r="L1944" s="0" t="n">
        <f aca="false">INDEX(Summary!$F$2:$F$201,MATCH($B1944,Summary!$A$2:$A$201,0))</f>
        <v>20</v>
      </c>
      <c r="M1944" s="0" t="n">
        <f aca="false">INDEX(Summary!$I$2:$I$201,MATCH($B1944,Summary!$A$2:$A$201,0))</f>
        <v>2</v>
      </c>
      <c r="N1944" s="0" t="n">
        <f aca="false">INDEX(Summary!$J$2:$J$201,MATCH($B1944,Summary!$A$2:$A$201,0))</f>
        <v>3</v>
      </c>
      <c r="O1944" s="2" t="n">
        <f aca="false">INDEX(Summary!$K$2:$K$201,MATCH($B1944,Summary!$A$2:$A$201,0))</f>
        <v>8.3</v>
      </c>
      <c r="P1944" s="3" t="n">
        <f aca="false">INDEX(Summary!$L$2:$L$201,MATCH($B1944,Summary!$A$2:$A$201,0))</f>
        <v>4</v>
      </c>
      <c r="Q1944" s="3" t="n">
        <f aca="false">INDEX(Summary!$M$2:$M$201,MATCH($B1944,Summary!$A$2:$A$201,0))</f>
        <v>2</v>
      </c>
      <c r="R1944" s="2" t="n">
        <f aca="false">INDEX(Summary!$N$2:$N$201,MATCH($B1944,Summary!$A$2:$A$201,0))</f>
        <v>9.8</v>
      </c>
      <c r="S1944" s="3" t="n">
        <f aca="false">INDEX(Summary!$O$2:$O$201,MATCH($B1944,Summary!$A$2:$A$201,0))</f>
        <v>8</v>
      </c>
      <c r="T1944" s="3" t="n">
        <f aca="false">INDEX(Summary!$P$2:$P$201,MATCH($B1944,Summary!$A$2:$A$201,0))</f>
        <v>1</v>
      </c>
      <c r="U1944" s="2" t="n">
        <f aca="false">INDEX(Summary!$Q$2:$Q$201,MATCH($B1944,Summary!$A$2:$A$201,0))</f>
        <v>13.23</v>
      </c>
      <c r="V1944" s="2" t="n">
        <f aca="false">INDEX(Summary!$R$2:$R$201,MATCH($B1944,Summary!$A$2:$A$201,0))</f>
        <v>24.87</v>
      </c>
      <c r="W1944" s="0" t="str">
        <f aca="false">INDEX(Summary!$S$2:$S$201,MATCH($B1944,Summary!$A$2:$A$201,0))</f>
        <v>Silver</v>
      </c>
      <c r="X1944" s="2" t="n">
        <f aca="false">INDEX(Summary!$T$2:$T$201,MATCH($B1944,Summary!$A$2:$A$201,0))</f>
        <v>60.66</v>
      </c>
      <c r="Y1944" s="0" t="str">
        <f aca="false">INDEX('Reward Model'!$E$18:$E$37,MATCH($E1944,'Reward Model'!$A$18:$A$37,0))</f>
        <v>Medium</v>
      </c>
      <c r="Z1944" s="4" t="n">
        <f aca="false">ROUND(MIN(1,MAX('Reward Model'!$B$2,INDEX('Reward Model'!$C$12:$C$14,MATCH($K1944,'Reward Model'!$A$12:$A$14,0))/$J1944)),3)</f>
        <v>1</v>
      </c>
      <c r="AA1944" s="2" t="n">
        <f aca="false">IF($I1944="Correct",ROUND(INDEX('Reward Model'!$B$12:$B$14,MATCH($K1944,'Reward Model'!$A$12:$A$14,0))*Z1944,2),0)</f>
        <v>1</v>
      </c>
      <c r="AB1944" s="2" t="n">
        <f aca="false">IF($I1944="Correct",ROUND(INDEX('Reward Model'!$B$12:$B$14,MATCH($Y1944,'Reward Model'!$A$12:$A$14,0))*Z1944,2),0)</f>
        <v>2</v>
      </c>
    </row>
    <row r="1945" customFormat="false" ht="15" hidden="false" customHeight="false" outlineLevel="0" collapsed="false">
      <c r="A1945" s="0" t="s">
        <v>325</v>
      </c>
      <c r="B1945" s="0" t="s">
        <v>326</v>
      </c>
      <c r="C1945" s="0" t="s">
        <v>322</v>
      </c>
      <c r="D1945" s="0" t="s">
        <v>31</v>
      </c>
      <c r="E1945" s="0" t="n">
        <v>4</v>
      </c>
      <c r="F1945" s="0" t="s">
        <v>43</v>
      </c>
      <c r="G1945" s="0" t="s">
        <v>45</v>
      </c>
      <c r="H1945" s="0" t="s">
        <v>45</v>
      </c>
      <c r="I1945" s="0" t="s">
        <v>34</v>
      </c>
      <c r="J1945" s="0" t="n">
        <v>1.28</v>
      </c>
      <c r="K1945" s="0" t="s">
        <v>35</v>
      </c>
      <c r="L1945" s="0" t="n">
        <f aca="false">INDEX(Summary!$F$2:$F$201,MATCH($B1945,Summary!$A$2:$A$201,0))</f>
        <v>20</v>
      </c>
      <c r="M1945" s="0" t="n">
        <f aca="false">INDEX(Summary!$I$2:$I$201,MATCH($B1945,Summary!$A$2:$A$201,0))</f>
        <v>2</v>
      </c>
      <c r="N1945" s="0" t="n">
        <f aca="false">INDEX(Summary!$J$2:$J$201,MATCH($B1945,Summary!$A$2:$A$201,0))</f>
        <v>3</v>
      </c>
      <c r="O1945" s="2" t="n">
        <f aca="false">INDEX(Summary!$K$2:$K$201,MATCH($B1945,Summary!$A$2:$A$201,0))</f>
        <v>8.3</v>
      </c>
      <c r="P1945" s="3" t="n">
        <f aca="false">INDEX(Summary!$L$2:$L$201,MATCH($B1945,Summary!$A$2:$A$201,0))</f>
        <v>4</v>
      </c>
      <c r="Q1945" s="3" t="n">
        <f aca="false">INDEX(Summary!$M$2:$M$201,MATCH($B1945,Summary!$A$2:$A$201,0))</f>
        <v>2</v>
      </c>
      <c r="R1945" s="2" t="n">
        <f aca="false">INDEX(Summary!$N$2:$N$201,MATCH($B1945,Summary!$A$2:$A$201,0))</f>
        <v>9.8</v>
      </c>
      <c r="S1945" s="3" t="n">
        <f aca="false">INDEX(Summary!$O$2:$O$201,MATCH($B1945,Summary!$A$2:$A$201,0))</f>
        <v>8</v>
      </c>
      <c r="T1945" s="3" t="n">
        <f aca="false">INDEX(Summary!$P$2:$P$201,MATCH($B1945,Summary!$A$2:$A$201,0))</f>
        <v>1</v>
      </c>
      <c r="U1945" s="2" t="n">
        <f aca="false">INDEX(Summary!$Q$2:$Q$201,MATCH($B1945,Summary!$A$2:$A$201,0))</f>
        <v>13.23</v>
      </c>
      <c r="V1945" s="2" t="n">
        <f aca="false">INDEX(Summary!$R$2:$R$201,MATCH($B1945,Summary!$A$2:$A$201,0))</f>
        <v>24.87</v>
      </c>
      <c r="W1945" s="0" t="str">
        <f aca="false">INDEX(Summary!$S$2:$S$201,MATCH($B1945,Summary!$A$2:$A$201,0))</f>
        <v>Silver</v>
      </c>
      <c r="X1945" s="2" t="n">
        <f aca="false">INDEX(Summary!$T$2:$T$201,MATCH($B1945,Summary!$A$2:$A$201,0))</f>
        <v>60.66</v>
      </c>
      <c r="Y1945" s="0" t="str">
        <f aca="false">INDEX('Reward Model'!$E$18:$E$37,MATCH($E1945,'Reward Model'!$A$18:$A$37,0))</f>
        <v>Low</v>
      </c>
      <c r="Z1945" s="4" t="n">
        <f aca="false">ROUND(MIN(1,MAX('Reward Model'!$B$2,INDEX('Reward Model'!$C$12:$C$14,MATCH($K1945,'Reward Model'!$A$12:$A$14,0))/$J1945)),3)</f>
        <v>1</v>
      </c>
      <c r="AA1945" s="2" t="n">
        <f aca="false">IF($I1945="Correct",ROUND(INDEX('Reward Model'!$B$12:$B$14,MATCH($K1945,'Reward Model'!$A$12:$A$14,0))*Z1945,2),0)</f>
        <v>1</v>
      </c>
      <c r="AB1945" s="2" t="n">
        <f aca="false">IF($I1945="Correct",ROUND(INDEX('Reward Model'!$B$12:$B$14,MATCH($Y1945,'Reward Model'!$A$12:$A$14,0))*Z1945,2),0)</f>
        <v>1</v>
      </c>
    </row>
    <row r="1946" customFormat="false" ht="15" hidden="false" customHeight="false" outlineLevel="0" collapsed="false">
      <c r="A1946" s="0" t="s">
        <v>325</v>
      </c>
      <c r="B1946" s="0" t="s">
        <v>326</v>
      </c>
      <c r="C1946" s="0" t="s">
        <v>322</v>
      </c>
      <c r="D1946" s="0" t="s">
        <v>31</v>
      </c>
      <c r="E1946" s="0" t="n">
        <v>5</v>
      </c>
      <c r="F1946" s="0" t="s">
        <v>46</v>
      </c>
      <c r="G1946" s="0" t="s">
        <v>47</v>
      </c>
      <c r="H1946" s="0" t="s">
        <v>47</v>
      </c>
      <c r="I1946" s="0" t="s">
        <v>34</v>
      </c>
      <c r="J1946" s="0" t="n">
        <v>1.8</v>
      </c>
      <c r="K1946" s="0" t="s">
        <v>35</v>
      </c>
      <c r="L1946" s="0" t="n">
        <f aca="false">INDEX(Summary!$F$2:$F$201,MATCH($B1946,Summary!$A$2:$A$201,0))</f>
        <v>20</v>
      </c>
      <c r="M1946" s="0" t="n">
        <f aca="false">INDEX(Summary!$I$2:$I$201,MATCH($B1946,Summary!$A$2:$A$201,0))</f>
        <v>2</v>
      </c>
      <c r="N1946" s="0" t="n">
        <f aca="false">INDEX(Summary!$J$2:$J$201,MATCH($B1946,Summary!$A$2:$A$201,0))</f>
        <v>3</v>
      </c>
      <c r="O1946" s="2" t="n">
        <f aca="false">INDEX(Summary!$K$2:$K$201,MATCH($B1946,Summary!$A$2:$A$201,0))</f>
        <v>8.3</v>
      </c>
      <c r="P1946" s="3" t="n">
        <f aca="false">INDEX(Summary!$L$2:$L$201,MATCH($B1946,Summary!$A$2:$A$201,0))</f>
        <v>4</v>
      </c>
      <c r="Q1946" s="3" t="n">
        <f aca="false">INDEX(Summary!$M$2:$M$201,MATCH($B1946,Summary!$A$2:$A$201,0))</f>
        <v>2</v>
      </c>
      <c r="R1946" s="2" t="n">
        <f aca="false">INDEX(Summary!$N$2:$N$201,MATCH($B1946,Summary!$A$2:$A$201,0))</f>
        <v>9.8</v>
      </c>
      <c r="S1946" s="3" t="n">
        <f aca="false">INDEX(Summary!$O$2:$O$201,MATCH($B1946,Summary!$A$2:$A$201,0))</f>
        <v>8</v>
      </c>
      <c r="T1946" s="3" t="n">
        <f aca="false">INDEX(Summary!$P$2:$P$201,MATCH($B1946,Summary!$A$2:$A$201,0))</f>
        <v>1</v>
      </c>
      <c r="U1946" s="2" t="n">
        <f aca="false">INDEX(Summary!$Q$2:$Q$201,MATCH($B1946,Summary!$A$2:$A$201,0))</f>
        <v>13.23</v>
      </c>
      <c r="V1946" s="2" t="n">
        <f aca="false">INDEX(Summary!$R$2:$R$201,MATCH($B1946,Summary!$A$2:$A$201,0))</f>
        <v>24.87</v>
      </c>
      <c r="W1946" s="0" t="str">
        <f aca="false">INDEX(Summary!$S$2:$S$201,MATCH($B1946,Summary!$A$2:$A$201,0))</f>
        <v>Silver</v>
      </c>
      <c r="X1946" s="2" t="n">
        <f aca="false">INDEX(Summary!$T$2:$T$201,MATCH($B1946,Summary!$A$2:$A$201,0))</f>
        <v>60.66</v>
      </c>
      <c r="Y1946" s="0" t="str">
        <f aca="false">INDEX('Reward Model'!$E$18:$E$37,MATCH($E1946,'Reward Model'!$A$18:$A$37,0))</f>
        <v>Low</v>
      </c>
      <c r="Z1946" s="4" t="n">
        <f aca="false">ROUND(MIN(1,MAX('Reward Model'!$B$2,INDEX('Reward Model'!$C$12:$C$14,MATCH($K1946,'Reward Model'!$A$12:$A$14,0))/$J1946)),3)</f>
        <v>0.833</v>
      </c>
      <c r="AA1946" s="2" t="n">
        <f aca="false">IF($I1946="Correct",ROUND(INDEX('Reward Model'!$B$12:$B$14,MATCH($K1946,'Reward Model'!$A$12:$A$14,0))*Z1946,2),0)</f>
        <v>0.83</v>
      </c>
      <c r="AB1946" s="2" t="n">
        <f aca="false">IF($I1946="Correct",ROUND(INDEX('Reward Model'!$B$12:$B$14,MATCH($Y1946,'Reward Model'!$A$12:$A$14,0))*Z1946,2),0)</f>
        <v>0.83</v>
      </c>
    </row>
    <row r="1947" customFormat="false" ht="15" hidden="false" customHeight="false" outlineLevel="0" collapsed="false">
      <c r="A1947" s="0" t="s">
        <v>325</v>
      </c>
      <c r="B1947" s="0" t="s">
        <v>326</v>
      </c>
      <c r="C1947" s="0" t="s">
        <v>322</v>
      </c>
      <c r="D1947" s="0" t="s">
        <v>31</v>
      </c>
      <c r="E1947" s="0" t="n">
        <v>6</v>
      </c>
      <c r="F1947" s="0" t="s">
        <v>48</v>
      </c>
      <c r="G1947" s="0" t="s">
        <v>49</v>
      </c>
      <c r="H1947" s="0" t="s">
        <v>49</v>
      </c>
      <c r="I1947" s="0" t="s">
        <v>34</v>
      </c>
      <c r="J1947" s="0" t="n">
        <v>1.17</v>
      </c>
      <c r="K1947" s="0" t="s">
        <v>35</v>
      </c>
      <c r="L1947" s="0" t="n">
        <f aca="false">INDEX(Summary!$F$2:$F$201,MATCH($B1947,Summary!$A$2:$A$201,0))</f>
        <v>20</v>
      </c>
      <c r="M1947" s="0" t="n">
        <f aca="false">INDEX(Summary!$I$2:$I$201,MATCH($B1947,Summary!$A$2:$A$201,0))</f>
        <v>2</v>
      </c>
      <c r="N1947" s="0" t="n">
        <f aca="false">INDEX(Summary!$J$2:$J$201,MATCH($B1947,Summary!$A$2:$A$201,0))</f>
        <v>3</v>
      </c>
      <c r="O1947" s="2" t="n">
        <f aca="false">INDEX(Summary!$K$2:$K$201,MATCH($B1947,Summary!$A$2:$A$201,0))</f>
        <v>8.3</v>
      </c>
      <c r="P1947" s="3" t="n">
        <f aca="false">INDEX(Summary!$L$2:$L$201,MATCH($B1947,Summary!$A$2:$A$201,0))</f>
        <v>4</v>
      </c>
      <c r="Q1947" s="3" t="n">
        <f aca="false">INDEX(Summary!$M$2:$M$201,MATCH($B1947,Summary!$A$2:$A$201,0))</f>
        <v>2</v>
      </c>
      <c r="R1947" s="2" t="n">
        <f aca="false">INDEX(Summary!$N$2:$N$201,MATCH($B1947,Summary!$A$2:$A$201,0))</f>
        <v>9.8</v>
      </c>
      <c r="S1947" s="3" t="n">
        <f aca="false">INDEX(Summary!$O$2:$O$201,MATCH($B1947,Summary!$A$2:$A$201,0))</f>
        <v>8</v>
      </c>
      <c r="T1947" s="3" t="n">
        <f aca="false">INDEX(Summary!$P$2:$P$201,MATCH($B1947,Summary!$A$2:$A$201,0))</f>
        <v>1</v>
      </c>
      <c r="U1947" s="2" t="n">
        <f aca="false">INDEX(Summary!$Q$2:$Q$201,MATCH($B1947,Summary!$A$2:$A$201,0))</f>
        <v>13.23</v>
      </c>
      <c r="V1947" s="2" t="n">
        <f aca="false">INDEX(Summary!$R$2:$R$201,MATCH($B1947,Summary!$A$2:$A$201,0))</f>
        <v>24.87</v>
      </c>
      <c r="W1947" s="0" t="str">
        <f aca="false">INDEX(Summary!$S$2:$S$201,MATCH($B1947,Summary!$A$2:$A$201,0))</f>
        <v>Silver</v>
      </c>
      <c r="X1947" s="2" t="n">
        <f aca="false">INDEX(Summary!$T$2:$T$201,MATCH($B1947,Summary!$A$2:$A$201,0))</f>
        <v>60.66</v>
      </c>
      <c r="Y1947" s="0" t="str">
        <f aca="false">INDEX('Reward Model'!$E$18:$E$37,MATCH($E1947,'Reward Model'!$A$18:$A$37,0))</f>
        <v>Medium</v>
      </c>
      <c r="Z1947" s="4" t="n">
        <f aca="false">ROUND(MIN(1,MAX('Reward Model'!$B$2,INDEX('Reward Model'!$C$12:$C$14,MATCH($K1947,'Reward Model'!$A$12:$A$14,0))/$J1947)),3)</f>
        <v>1</v>
      </c>
      <c r="AA1947" s="2" t="n">
        <f aca="false">IF($I1947="Correct",ROUND(INDEX('Reward Model'!$B$12:$B$14,MATCH($K1947,'Reward Model'!$A$12:$A$14,0))*Z1947,2),0)</f>
        <v>1</v>
      </c>
      <c r="AB1947" s="2" t="n">
        <f aca="false">IF($I1947="Correct",ROUND(INDEX('Reward Model'!$B$12:$B$14,MATCH($Y1947,'Reward Model'!$A$12:$A$14,0))*Z1947,2),0)</f>
        <v>2</v>
      </c>
    </row>
    <row r="1948" customFormat="false" ht="15" hidden="false" customHeight="false" outlineLevel="0" collapsed="false">
      <c r="A1948" s="0" t="s">
        <v>325</v>
      </c>
      <c r="B1948" s="0" t="s">
        <v>326</v>
      </c>
      <c r="C1948" s="0" t="s">
        <v>322</v>
      </c>
      <c r="D1948" s="0" t="s">
        <v>31</v>
      </c>
      <c r="E1948" s="0" t="n">
        <v>7</v>
      </c>
      <c r="F1948" s="0" t="s">
        <v>50</v>
      </c>
      <c r="G1948" s="0" t="s">
        <v>51</v>
      </c>
      <c r="H1948" s="0" t="s">
        <v>51</v>
      </c>
      <c r="I1948" s="0" t="s">
        <v>34</v>
      </c>
      <c r="J1948" s="0" t="n">
        <v>1.2</v>
      </c>
      <c r="K1948" s="0" t="s">
        <v>35</v>
      </c>
      <c r="L1948" s="0" t="n">
        <f aca="false">INDEX(Summary!$F$2:$F$201,MATCH($B1948,Summary!$A$2:$A$201,0))</f>
        <v>20</v>
      </c>
      <c r="M1948" s="0" t="n">
        <f aca="false">INDEX(Summary!$I$2:$I$201,MATCH($B1948,Summary!$A$2:$A$201,0))</f>
        <v>2</v>
      </c>
      <c r="N1948" s="0" t="n">
        <f aca="false">INDEX(Summary!$J$2:$J$201,MATCH($B1948,Summary!$A$2:$A$201,0))</f>
        <v>3</v>
      </c>
      <c r="O1948" s="2" t="n">
        <f aca="false">INDEX(Summary!$K$2:$K$201,MATCH($B1948,Summary!$A$2:$A$201,0))</f>
        <v>8.3</v>
      </c>
      <c r="P1948" s="3" t="n">
        <f aca="false">INDEX(Summary!$L$2:$L$201,MATCH($B1948,Summary!$A$2:$A$201,0))</f>
        <v>4</v>
      </c>
      <c r="Q1948" s="3" t="n">
        <f aca="false">INDEX(Summary!$M$2:$M$201,MATCH($B1948,Summary!$A$2:$A$201,0))</f>
        <v>2</v>
      </c>
      <c r="R1948" s="2" t="n">
        <f aca="false">INDEX(Summary!$N$2:$N$201,MATCH($B1948,Summary!$A$2:$A$201,0))</f>
        <v>9.8</v>
      </c>
      <c r="S1948" s="3" t="n">
        <f aca="false">INDEX(Summary!$O$2:$O$201,MATCH($B1948,Summary!$A$2:$A$201,0))</f>
        <v>8</v>
      </c>
      <c r="T1948" s="3" t="n">
        <f aca="false">INDEX(Summary!$P$2:$P$201,MATCH($B1948,Summary!$A$2:$A$201,0))</f>
        <v>1</v>
      </c>
      <c r="U1948" s="2" t="n">
        <f aca="false">INDEX(Summary!$Q$2:$Q$201,MATCH($B1948,Summary!$A$2:$A$201,0))</f>
        <v>13.23</v>
      </c>
      <c r="V1948" s="2" t="n">
        <f aca="false">INDEX(Summary!$R$2:$R$201,MATCH($B1948,Summary!$A$2:$A$201,0))</f>
        <v>24.87</v>
      </c>
      <c r="W1948" s="0" t="str">
        <f aca="false">INDEX(Summary!$S$2:$S$201,MATCH($B1948,Summary!$A$2:$A$201,0))</f>
        <v>Silver</v>
      </c>
      <c r="X1948" s="2" t="n">
        <f aca="false">INDEX(Summary!$T$2:$T$201,MATCH($B1948,Summary!$A$2:$A$201,0))</f>
        <v>60.66</v>
      </c>
      <c r="Y1948" s="0" t="str">
        <f aca="false">INDEX('Reward Model'!$E$18:$E$37,MATCH($E1948,'Reward Model'!$A$18:$A$37,0))</f>
        <v>Low</v>
      </c>
      <c r="Z1948" s="4" t="n">
        <f aca="false">ROUND(MIN(1,MAX('Reward Model'!$B$2,INDEX('Reward Model'!$C$12:$C$14,MATCH($K1948,'Reward Model'!$A$12:$A$14,0))/$J1948)),3)</f>
        <v>1</v>
      </c>
      <c r="AA1948" s="2" t="n">
        <f aca="false">IF($I1948="Correct",ROUND(INDEX('Reward Model'!$B$12:$B$14,MATCH($K1948,'Reward Model'!$A$12:$A$14,0))*Z1948,2),0)</f>
        <v>1</v>
      </c>
      <c r="AB1948" s="2" t="n">
        <f aca="false">IF($I1948="Correct",ROUND(INDEX('Reward Model'!$B$12:$B$14,MATCH($Y1948,'Reward Model'!$A$12:$A$14,0))*Z1948,2),0)</f>
        <v>1</v>
      </c>
    </row>
    <row r="1949" customFormat="false" ht="15" hidden="false" customHeight="false" outlineLevel="0" collapsed="false">
      <c r="A1949" s="0" t="s">
        <v>325</v>
      </c>
      <c r="B1949" s="0" t="s">
        <v>326</v>
      </c>
      <c r="C1949" s="0" t="s">
        <v>322</v>
      </c>
      <c r="D1949" s="0" t="s">
        <v>31</v>
      </c>
      <c r="E1949" s="0" t="n">
        <v>8</v>
      </c>
      <c r="F1949" s="0" t="s">
        <v>52</v>
      </c>
      <c r="G1949" s="0" t="s">
        <v>54</v>
      </c>
      <c r="H1949" s="0" t="s">
        <v>54</v>
      </c>
      <c r="I1949" s="0" t="s">
        <v>34</v>
      </c>
      <c r="J1949" s="0" t="n">
        <v>1.8</v>
      </c>
      <c r="K1949" s="0" t="s">
        <v>35</v>
      </c>
      <c r="L1949" s="0" t="n">
        <f aca="false">INDEX(Summary!$F$2:$F$201,MATCH($B1949,Summary!$A$2:$A$201,0))</f>
        <v>20</v>
      </c>
      <c r="M1949" s="0" t="n">
        <f aca="false">INDEX(Summary!$I$2:$I$201,MATCH($B1949,Summary!$A$2:$A$201,0))</f>
        <v>2</v>
      </c>
      <c r="N1949" s="0" t="n">
        <f aca="false">INDEX(Summary!$J$2:$J$201,MATCH($B1949,Summary!$A$2:$A$201,0))</f>
        <v>3</v>
      </c>
      <c r="O1949" s="2" t="n">
        <f aca="false">INDEX(Summary!$K$2:$K$201,MATCH($B1949,Summary!$A$2:$A$201,0))</f>
        <v>8.3</v>
      </c>
      <c r="P1949" s="3" t="n">
        <f aca="false">INDEX(Summary!$L$2:$L$201,MATCH($B1949,Summary!$A$2:$A$201,0))</f>
        <v>4</v>
      </c>
      <c r="Q1949" s="3" t="n">
        <f aca="false">INDEX(Summary!$M$2:$M$201,MATCH($B1949,Summary!$A$2:$A$201,0))</f>
        <v>2</v>
      </c>
      <c r="R1949" s="2" t="n">
        <f aca="false">INDEX(Summary!$N$2:$N$201,MATCH($B1949,Summary!$A$2:$A$201,0))</f>
        <v>9.8</v>
      </c>
      <c r="S1949" s="3" t="n">
        <f aca="false">INDEX(Summary!$O$2:$O$201,MATCH($B1949,Summary!$A$2:$A$201,0))</f>
        <v>8</v>
      </c>
      <c r="T1949" s="3" t="n">
        <f aca="false">INDEX(Summary!$P$2:$P$201,MATCH($B1949,Summary!$A$2:$A$201,0))</f>
        <v>1</v>
      </c>
      <c r="U1949" s="2" t="n">
        <f aca="false">INDEX(Summary!$Q$2:$Q$201,MATCH($B1949,Summary!$A$2:$A$201,0))</f>
        <v>13.23</v>
      </c>
      <c r="V1949" s="2" t="n">
        <f aca="false">INDEX(Summary!$R$2:$R$201,MATCH($B1949,Summary!$A$2:$A$201,0))</f>
        <v>24.87</v>
      </c>
      <c r="W1949" s="0" t="str">
        <f aca="false">INDEX(Summary!$S$2:$S$201,MATCH($B1949,Summary!$A$2:$A$201,0))</f>
        <v>Silver</v>
      </c>
      <c r="X1949" s="2" t="n">
        <f aca="false">INDEX(Summary!$T$2:$T$201,MATCH($B1949,Summary!$A$2:$A$201,0))</f>
        <v>60.66</v>
      </c>
      <c r="Y1949" s="0" t="str">
        <f aca="false">INDEX('Reward Model'!$E$18:$E$37,MATCH($E1949,'Reward Model'!$A$18:$A$37,0))</f>
        <v>Medium</v>
      </c>
      <c r="Z1949" s="4" t="n">
        <f aca="false">ROUND(MIN(1,MAX('Reward Model'!$B$2,INDEX('Reward Model'!$C$12:$C$14,MATCH($K1949,'Reward Model'!$A$12:$A$14,0))/$J1949)),3)</f>
        <v>0.833</v>
      </c>
      <c r="AA1949" s="2" t="n">
        <f aca="false">IF($I1949="Correct",ROUND(INDEX('Reward Model'!$B$12:$B$14,MATCH($K1949,'Reward Model'!$A$12:$A$14,0))*Z1949,2),0)</f>
        <v>0.83</v>
      </c>
      <c r="AB1949" s="2" t="n">
        <f aca="false">IF($I1949="Correct",ROUND(INDEX('Reward Model'!$B$12:$B$14,MATCH($Y1949,'Reward Model'!$A$12:$A$14,0))*Z1949,2),0)</f>
        <v>1.67</v>
      </c>
    </row>
    <row r="1950" customFormat="false" ht="15" hidden="false" customHeight="false" outlineLevel="0" collapsed="false">
      <c r="A1950" s="0" t="s">
        <v>325</v>
      </c>
      <c r="B1950" s="0" t="s">
        <v>326</v>
      </c>
      <c r="C1950" s="0" t="s">
        <v>322</v>
      </c>
      <c r="D1950" s="0" t="s">
        <v>31</v>
      </c>
      <c r="E1950" s="0" t="n">
        <v>9</v>
      </c>
      <c r="F1950" s="0" t="s">
        <v>55</v>
      </c>
      <c r="G1950" s="0" t="s">
        <v>57</v>
      </c>
      <c r="H1950" s="0" t="s">
        <v>57</v>
      </c>
      <c r="I1950" s="0" t="s">
        <v>34</v>
      </c>
      <c r="J1950" s="0" t="n">
        <v>1.67</v>
      </c>
      <c r="K1950" s="0" t="s">
        <v>35</v>
      </c>
      <c r="L1950" s="0" t="n">
        <f aca="false">INDEX(Summary!$F$2:$F$201,MATCH($B1950,Summary!$A$2:$A$201,0))</f>
        <v>20</v>
      </c>
      <c r="M1950" s="0" t="n">
        <f aca="false">INDEX(Summary!$I$2:$I$201,MATCH($B1950,Summary!$A$2:$A$201,0))</f>
        <v>2</v>
      </c>
      <c r="N1950" s="0" t="n">
        <f aca="false">INDEX(Summary!$J$2:$J$201,MATCH($B1950,Summary!$A$2:$A$201,0))</f>
        <v>3</v>
      </c>
      <c r="O1950" s="2" t="n">
        <f aca="false">INDEX(Summary!$K$2:$K$201,MATCH($B1950,Summary!$A$2:$A$201,0))</f>
        <v>8.3</v>
      </c>
      <c r="P1950" s="3" t="n">
        <f aca="false">INDEX(Summary!$L$2:$L$201,MATCH($B1950,Summary!$A$2:$A$201,0))</f>
        <v>4</v>
      </c>
      <c r="Q1950" s="3" t="n">
        <f aca="false">INDEX(Summary!$M$2:$M$201,MATCH($B1950,Summary!$A$2:$A$201,0))</f>
        <v>2</v>
      </c>
      <c r="R1950" s="2" t="n">
        <f aca="false">INDEX(Summary!$N$2:$N$201,MATCH($B1950,Summary!$A$2:$A$201,0))</f>
        <v>9.8</v>
      </c>
      <c r="S1950" s="3" t="n">
        <f aca="false">INDEX(Summary!$O$2:$O$201,MATCH($B1950,Summary!$A$2:$A$201,0))</f>
        <v>8</v>
      </c>
      <c r="T1950" s="3" t="n">
        <f aca="false">INDEX(Summary!$P$2:$P$201,MATCH($B1950,Summary!$A$2:$A$201,0))</f>
        <v>1</v>
      </c>
      <c r="U1950" s="2" t="n">
        <f aca="false">INDEX(Summary!$Q$2:$Q$201,MATCH($B1950,Summary!$A$2:$A$201,0))</f>
        <v>13.23</v>
      </c>
      <c r="V1950" s="2" t="n">
        <f aca="false">INDEX(Summary!$R$2:$R$201,MATCH($B1950,Summary!$A$2:$A$201,0))</f>
        <v>24.87</v>
      </c>
      <c r="W1950" s="0" t="str">
        <f aca="false">INDEX(Summary!$S$2:$S$201,MATCH($B1950,Summary!$A$2:$A$201,0))</f>
        <v>Silver</v>
      </c>
      <c r="X1950" s="2" t="n">
        <f aca="false">INDEX(Summary!$T$2:$T$201,MATCH($B1950,Summary!$A$2:$A$201,0))</f>
        <v>60.66</v>
      </c>
      <c r="Y1950" s="0" t="str">
        <f aca="false">INDEX('Reward Model'!$E$18:$E$37,MATCH($E1950,'Reward Model'!$A$18:$A$37,0))</f>
        <v>Medium</v>
      </c>
      <c r="Z1950" s="4" t="n">
        <f aca="false">ROUND(MIN(1,MAX('Reward Model'!$B$2,INDEX('Reward Model'!$C$12:$C$14,MATCH($K1950,'Reward Model'!$A$12:$A$14,0))/$J1950)),3)</f>
        <v>0.898</v>
      </c>
      <c r="AA1950" s="2" t="n">
        <f aca="false">IF($I1950="Correct",ROUND(INDEX('Reward Model'!$B$12:$B$14,MATCH($K1950,'Reward Model'!$A$12:$A$14,0))*Z1950,2),0)</f>
        <v>0.9</v>
      </c>
      <c r="AB1950" s="2" t="n">
        <f aca="false">IF($I1950="Correct",ROUND(INDEX('Reward Model'!$B$12:$B$14,MATCH($Y1950,'Reward Model'!$A$12:$A$14,0))*Z1950,2),0)</f>
        <v>1.8</v>
      </c>
    </row>
    <row r="1951" customFormat="false" ht="15" hidden="false" customHeight="false" outlineLevel="0" collapsed="false">
      <c r="A1951" s="0" t="s">
        <v>325</v>
      </c>
      <c r="B1951" s="0" t="s">
        <v>326</v>
      </c>
      <c r="C1951" s="0" t="s">
        <v>322</v>
      </c>
      <c r="D1951" s="0" t="s">
        <v>31</v>
      </c>
      <c r="E1951" s="0" t="n">
        <v>10</v>
      </c>
      <c r="F1951" s="0" t="s">
        <v>58</v>
      </c>
      <c r="G1951" s="0" t="s">
        <v>59</v>
      </c>
      <c r="H1951" s="0" t="s">
        <v>59</v>
      </c>
      <c r="I1951" s="0" t="s">
        <v>34</v>
      </c>
      <c r="J1951" s="0" t="n">
        <v>1.1</v>
      </c>
      <c r="K1951" s="0" t="s">
        <v>60</v>
      </c>
      <c r="L1951" s="0" t="n">
        <f aca="false">INDEX(Summary!$F$2:$F$201,MATCH($B1951,Summary!$A$2:$A$201,0))</f>
        <v>20</v>
      </c>
      <c r="M1951" s="0" t="n">
        <f aca="false">INDEX(Summary!$I$2:$I$201,MATCH($B1951,Summary!$A$2:$A$201,0))</f>
        <v>2</v>
      </c>
      <c r="N1951" s="0" t="n">
        <f aca="false">INDEX(Summary!$J$2:$J$201,MATCH($B1951,Summary!$A$2:$A$201,0))</f>
        <v>3</v>
      </c>
      <c r="O1951" s="2" t="n">
        <f aca="false">INDEX(Summary!$K$2:$K$201,MATCH($B1951,Summary!$A$2:$A$201,0))</f>
        <v>8.3</v>
      </c>
      <c r="P1951" s="3" t="n">
        <f aca="false">INDEX(Summary!$L$2:$L$201,MATCH($B1951,Summary!$A$2:$A$201,0))</f>
        <v>4</v>
      </c>
      <c r="Q1951" s="3" t="n">
        <f aca="false">INDEX(Summary!$M$2:$M$201,MATCH($B1951,Summary!$A$2:$A$201,0))</f>
        <v>2</v>
      </c>
      <c r="R1951" s="2" t="n">
        <f aca="false">INDEX(Summary!$N$2:$N$201,MATCH($B1951,Summary!$A$2:$A$201,0))</f>
        <v>9.8</v>
      </c>
      <c r="S1951" s="3" t="n">
        <f aca="false">INDEX(Summary!$O$2:$O$201,MATCH($B1951,Summary!$A$2:$A$201,0))</f>
        <v>8</v>
      </c>
      <c r="T1951" s="3" t="n">
        <f aca="false">INDEX(Summary!$P$2:$P$201,MATCH($B1951,Summary!$A$2:$A$201,0))</f>
        <v>1</v>
      </c>
      <c r="U1951" s="2" t="n">
        <f aca="false">INDEX(Summary!$Q$2:$Q$201,MATCH($B1951,Summary!$A$2:$A$201,0))</f>
        <v>13.23</v>
      </c>
      <c r="V1951" s="2" t="n">
        <f aca="false">INDEX(Summary!$R$2:$R$201,MATCH($B1951,Summary!$A$2:$A$201,0))</f>
        <v>24.87</v>
      </c>
      <c r="W1951" s="0" t="str">
        <f aca="false">INDEX(Summary!$S$2:$S$201,MATCH($B1951,Summary!$A$2:$A$201,0))</f>
        <v>Silver</v>
      </c>
      <c r="X1951" s="2" t="n">
        <f aca="false">INDEX(Summary!$T$2:$T$201,MATCH($B1951,Summary!$A$2:$A$201,0))</f>
        <v>60.66</v>
      </c>
      <c r="Y1951" s="0" t="str">
        <f aca="false">INDEX('Reward Model'!$E$18:$E$37,MATCH($E1951,'Reward Model'!$A$18:$A$37,0))</f>
        <v>Medium</v>
      </c>
      <c r="Z1951" s="4" t="n">
        <f aca="false">ROUND(MIN(1,MAX('Reward Model'!$B$2,INDEX('Reward Model'!$C$12:$C$14,MATCH($K1951,'Reward Model'!$A$12:$A$14,0))/$J1951)),3)</f>
        <v>1</v>
      </c>
      <c r="AA1951" s="2" t="n">
        <f aca="false">IF($I1951="Correct",ROUND(INDEX('Reward Model'!$B$12:$B$14,MATCH($K1951,'Reward Model'!$A$12:$A$14,0))*Z1951,2),0)</f>
        <v>2</v>
      </c>
      <c r="AB1951" s="2" t="n">
        <f aca="false">IF($I1951="Correct",ROUND(INDEX('Reward Model'!$B$12:$B$14,MATCH($Y1951,'Reward Model'!$A$12:$A$14,0))*Z1951,2),0)</f>
        <v>2</v>
      </c>
    </row>
    <row r="1952" customFormat="false" ht="15" hidden="false" customHeight="false" outlineLevel="0" collapsed="false">
      <c r="A1952" s="0" t="s">
        <v>325</v>
      </c>
      <c r="B1952" s="0" t="s">
        <v>326</v>
      </c>
      <c r="C1952" s="0" t="s">
        <v>322</v>
      </c>
      <c r="D1952" s="0" t="s">
        <v>31</v>
      </c>
      <c r="E1952" s="0" t="n">
        <v>11</v>
      </c>
      <c r="F1952" s="0" t="s">
        <v>61</v>
      </c>
      <c r="G1952" s="0" t="s">
        <v>63</v>
      </c>
      <c r="H1952" s="0" t="s">
        <v>63</v>
      </c>
      <c r="I1952" s="0" t="s">
        <v>34</v>
      </c>
      <c r="J1952" s="0" t="n">
        <v>1.49</v>
      </c>
      <c r="K1952" s="0" t="s">
        <v>60</v>
      </c>
      <c r="L1952" s="0" t="n">
        <f aca="false">INDEX(Summary!$F$2:$F$201,MATCH($B1952,Summary!$A$2:$A$201,0))</f>
        <v>20</v>
      </c>
      <c r="M1952" s="0" t="n">
        <f aca="false">INDEX(Summary!$I$2:$I$201,MATCH($B1952,Summary!$A$2:$A$201,0))</f>
        <v>2</v>
      </c>
      <c r="N1952" s="0" t="n">
        <f aca="false">INDEX(Summary!$J$2:$J$201,MATCH($B1952,Summary!$A$2:$A$201,0))</f>
        <v>3</v>
      </c>
      <c r="O1952" s="2" t="n">
        <f aca="false">INDEX(Summary!$K$2:$K$201,MATCH($B1952,Summary!$A$2:$A$201,0))</f>
        <v>8.3</v>
      </c>
      <c r="P1952" s="3" t="n">
        <f aca="false">INDEX(Summary!$L$2:$L$201,MATCH($B1952,Summary!$A$2:$A$201,0))</f>
        <v>4</v>
      </c>
      <c r="Q1952" s="3" t="n">
        <f aca="false">INDEX(Summary!$M$2:$M$201,MATCH($B1952,Summary!$A$2:$A$201,0))</f>
        <v>2</v>
      </c>
      <c r="R1952" s="2" t="n">
        <f aca="false">INDEX(Summary!$N$2:$N$201,MATCH($B1952,Summary!$A$2:$A$201,0))</f>
        <v>9.8</v>
      </c>
      <c r="S1952" s="3" t="n">
        <f aca="false">INDEX(Summary!$O$2:$O$201,MATCH($B1952,Summary!$A$2:$A$201,0))</f>
        <v>8</v>
      </c>
      <c r="T1952" s="3" t="n">
        <f aca="false">INDEX(Summary!$P$2:$P$201,MATCH($B1952,Summary!$A$2:$A$201,0))</f>
        <v>1</v>
      </c>
      <c r="U1952" s="2" t="n">
        <f aca="false">INDEX(Summary!$Q$2:$Q$201,MATCH($B1952,Summary!$A$2:$A$201,0))</f>
        <v>13.23</v>
      </c>
      <c r="V1952" s="2" t="n">
        <f aca="false">INDEX(Summary!$R$2:$R$201,MATCH($B1952,Summary!$A$2:$A$201,0))</f>
        <v>24.87</v>
      </c>
      <c r="W1952" s="0" t="str">
        <f aca="false">INDEX(Summary!$S$2:$S$201,MATCH($B1952,Summary!$A$2:$A$201,0))</f>
        <v>Silver</v>
      </c>
      <c r="X1952" s="2" t="n">
        <f aca="false">INDEX(Summary!$T$2:$T$201,MATCH($B1952,Summary!$A$2:$A$201,0))</f>
        <v>60.66</v>
      </c>
      <c r="Y1952" s="0" t="str">
        <f aca="false">INDEX('Reward Model'!$E$18:$E$37,MATCH($E1952,'Reward Model'!$A$18:$A$37,0))</f>
        <v>Medium</v>
      </c>
      <c r="Z1952" s="4" t="n">
        <f aca="false">ROUND(MIN(1,MAX('Reward Model'!$B$2,INDEX('Reward Model'!$C$12:$C$14,MATCH($K1952,'Reward Model'!$A$12:$A$14,0))/$J1952)),3)</f>
        <v>1</v>
      </c>
      <c r="AA1952" s="2" t="n">
        <f aca="false">IF($I1952="Correct",ROUND(INDEX('Reward Model'!$B$12:$B$14,MATCH($K1952,'Reward Model'!$A$12:$A$14,0))*Z1952,2),0)</f>
        <v>2</v>
      </c>
      <c r="AB1952" s="2" t="n">
        <f aca="false">IF($I1952="Correct",ROUND(INDEX('Reward Model'!$B$12:$B$14,MATCH($Y1952,'Reward Model'!$A$12:$A$14,0))*Z1952,2),0)</f>
        <v>2</v>
      </c>
    </row>
    <row r="1953" customFormat="false" ht="15" hidden="false" customHeight="false" outlineLevel="0" collapsed="false">
      <c r="A1953" s="0" t="s">
        <v>325</v>
      </c>
      <c r="B1953" s="0" t="s">
        <v>326</v>
      </c>
      <c r="C1953" s="0" t="s">
        <v>322</v>
      </c>
      <c r="D1953" s="0" t="s">
        <v>31</v>
      </c>
      <c r="E1953" s="0" t="n">
        <v>12</v>
      </c>
      <c r="F1953" s="0" t="s">
        <v>64</v>
      </c>
      <c r="G1953" s="0" t="s">
        <v>65</v>
      </c>
      <c r="H1953" s="0" t="s">
        <v>65</v>
      </c>
      <c r="I1953" s="0" t="s">
        <v>34</v>
      </c>
      <c r="J1953" s="0" t="n">
        <v>2</v>
      </c>
      <c r="K1953" s="0" t="s">
        <v>60</v>
      </c>
      <c r="L1953" s="0" t="n">
        <f aca="false">INDEX(Summary!$F$2:$F$201,MATCH($B1953,Summary!$A$2:$A$201,0))</f>
        <v>20</v>
      </c>
      <c r="M1953" s="0" t="n">
        <f aca="false">INDEX(Summary!$I$2:$I$201,MATCH($B1953,Summary!$A$2:$A$201,0))</f>
        <v>2</v>
      </c>
      <c r="N1953" s="0" t="n">
        <f aca="false">INDEX(Summary!$J$2:$J$201,MATCH($B1953,Summary!$A$2:$A$201,0))</f>
        <v>3</v>
      </c>
      <c r="O1953" s="2" t="n">
        <f aca="false">INDEX(Summary!$K$2:$K$201,MATCH($B1953,Summary!$A$2:$A$201,0))</f>
        <v>8.3</v>
      </c>
      <c r="P1953" s="3" t="n">
        <f aca="false">INDEX(Summary!$L$2:$L$201,MATCH($B1953,Summary!$A$2:$A$201,0))</f>
        <v>4</v>
      </c>
      <c r="Q1953" s="3" t="n">
        <f aca="false">INDEX(Summary!$M$2:$M$201,MATCH($B1953,Summary!$A$2:$A$201,0))</f>
        <v>2</v>
      </c>
      <c r="R1953" s="2" t="n">
        <f aca="false">INDEX(Summary!$N$2:$N$201,MATCH($B1953,Summary!$A$2:$A$201,0))</f>
        <v>9.8</v>
      </c>
      <c r="S1953" s="3" t="n">
        <f aca="false">INDEX(Summary!$O$2:$O$201,MATCH($B1953,Summary!$A$2:$A$201,0))</f>
        <v>8</v>
      </c>
      <c r="T1953" s="3" t="n">
        <f aca="false">INDEX(Summary!$P$2:$P$201,MATCH($B1953,Summary!$A$2:$A$201,0))</f>
        <v>1</v>
      </c>
      <c r="U1953" s="2" t="n">
        <f aca="false">INDEX(Summary!$Q$2:$Q$201,MATCH($B1953,Summary!$A$2:$A$201,0))</f>
        <v>13.23</v>
      </c>
      <c r="V1953" s="2" t="n">
        <f aca="false">INDEX(Summary!$R$2:$R$201,MATCH($B1953,Summary!$A$2:$A$201,0))</f>
        <v>24.87</v>
      </c>
      <c r="W1953" s="0" t="str">
        <f aca="false">INDEX(Summary!$S$2:$S$201,MATCH($B1953,Summary!$A$2:$A$201,0))</f>
        <v>Silver</v>
      </c>
      <c r="X1953" s="2" t="n">
        <f aca="false">INDEX(Summary!$T$2:$T$201,MATCH($B1953,Summary!$A$2:$A$201,0))</f>
        <v>60.66</v>
      </c>
      <c r="Y1953" s="0" t="str">
        <f aca="false">INDEX('Reward Model'!$E$18:$E$37,MATCH($E1953,'Reward Model'!$A$18:$A$37,0))</f>
        <v>Medium</v>
      </c>
      <c r="Z1953" s="4" t="n">
        <f aca="false">ROUND(MIN(1,MAX('Reward Model'!$B$2,INDEX('Reward Model'!$C$12:$C$14,MATCH($K1953,'Reward Model'!$A$12:$A$14,0))/$J1953)),3)</f>
        <v>0.9</v>
      </c>
      <c r="AA1953" s="2" t="n">
        <f aca="false">IF($I1953="Correct",ROUND(INDEX('Reward Model'!$B$12:$B$14,MATCH($K1953,'Reward Model'!$A$12:$A$14,0))*Z1953,2),0)</f>
        <v>1.8</v>
      </c>
      <c r="AB1953" s="2" t="n">
        <f aca="false">IF($I1953="Correct",ROUND(INDEX('Reward Model'!$B$12:$B$14,MATCH($Y1953,'Reward Model'!$A$12:$A$14,0))*Z1953,2),0)</f>
        <v>1.8</v>
      </c>
    </row>
    <row r="1954" customFormat="false" ht="15" hidden="false" customHeight="false" outlineLevel="0" collapsed="false">
      <c r="A1954" s="0" t="s">
        <v>325</v>
      </c>
      <c r="B1954" s="0" t="s">
        <v>326</v>
      </c>
      <c r="C1954" s="0" t="s">
        <v>322</v>
      </c>
      <c r="D1954" s="0" t="s">
        <v>31</v>
      </c>
      <c r="E1954" s="0" t="n">
        <v>13</v>
      </c>
      <c r="F1954" s="0" t="s">
        <v>66</v>
      </c>
      <c r="G1954" s="0" t="s">
        <v>165</v>
      </c>
      <c r="H1954" s="0" t="s">
        <v>67</v>
      </c>
      <c r="I1954" s="0" t="s">
        <v>39</v>
      </c>
      <c r="J1954" s="0" t="n">
        <v>1.57</v>
      </c>
      <c r="K1954" s="0" t="s">
        <v>60</v>
      </c>
      <c r="L1954" s="0" t="n">
        <f aca="false">INDEX(Summary!$F$2:$F$201,MATCH($B1954,Summary!$A$2:$A$201,0))</f>
        <v>20</v>
      </c>
      <c r="M1954" s="0" t="n">
        <f aca="false">INDEX(Summary!$I$2:$I$201,MATCH($B1954,Summary!$A$2:$A$201,0))</f>
        <v>2</v>
      </c>
      <c r="N1954" s="0" t="n">
        <f aca="false">INDEX(Summary!$J$2:$J$201,MATCH($B1954,Summary!$A$2:$A$201,0))</f>
        <v>3</v>
      </c>
      <c r="O1954" s="2" t="n">
        <f aca="false">INDEX(Summary!$K$2:$K$201,MATCH($B1954,Summary!$A$2:$A$201,0))</f>
        <v>8.3</v>
      </c>
      <c r="P1954" s="3" t="n">
        <f aca="false">INDEX(Summary!$L$2:$L$201,MATCH($B1954,Summary!$A$2:$A$201,0))</f>
        <v>4</v>
      </c>
      <c r="Q1954" s="3" t="n">
        <f aca="false">INDEX(Summary!$M$2:$M$201,MATCH($B1954,Summary!$A$2:$A$201,0))</f>
        <v>2</v>
      </c>
      <c r="R1954" s="2" t="n">
        <f aca="false">INDEX(Summary!$N$2:$N$201,MATCH($B1954,Summary!$A$2:$A$201,0))</f>
        <v>9.8</v>
      </c>
      <c r="S1954" s="3" t="n">
        <f aca="false">INDEX(Summary!$O$2:$O$201,MATCH($B1954,Summary!$A$2:$A$201,0))</f>
        <v>8</v>
      </c>
      <c r="T1954" s="3" t="n">
        <f aca="false">INDEX(Summary!$P$2:$P$201,MATCH($B1954,Summary!$A$2:$A$201,0))</f>
        <v>1</v>
      </c>
      <c r="U1954" s="2" t="n">
        <f aca="false">INDEX(Summary!$Q$2:$Q$201,MATCH($B1954,Summary!$A$2:$A$201,0))</f>
        <v>13.23</v>
      </c>
      <c r="V1954" s="2" t="n">
        <f aca="false">INDEX(Summary!$R$2:$R$201,MATCH($B1954,Summary!$A$2:$A$201,0))</f>
        <v>24.87</v>
      </c>
      <c r="W1954" s="0" t="str">
        <f aca="false">INDEX(Summary!$S$2:$S$201,MATCH($B1954,Summary!$A$2:$A$201,0))</f>
        <v>Silver</v>
      </c>
      <c r="X1954" s="2" t="n">
        <f aca="false">INDEX(Summary!$T$2:$T$201,MATCH($B1954,Summary!$A$2:$A$201,0))</f>
        <v>60.66</v>
      </c>
      <c r="Y1954" s="0" t="str">
        <f aca="false">INDEX('Reward Model'!$E$18:$E$37,MATCH($E1954,'Reward Model'!$A$18:$A$37,0))</f>
        <v>Medium</v>
      </c>
      <c r="Z1954" s="4" t="n">
        <f aca="false">ROUND(MIN(1,MAX('Reward Model'!$B$2,INDEX('Reward Model'!$C$12:$C$14,MATCH($K1954,'Reward Model'!$A$12:$A$14,0))/$J1954)),3)</f>
        <v>1</v>
      </c>
      <c r="AA1954" s="2" t="n">
        <f aca="false">IF($I1954="Correct",ROUND(INDEX('Reward Model'!$B$12:$B$14,MATCH($K1954,'Reward Model'!$A$12:$A$14,0))*Z1954,2),0)</f>
        <v>0</v>
      </c>
      <c r="AB1954" s="2" t="n">
        <f aca="false">IF($I1954="Correct",ROUND(INDEX('Reward Model'!$B$12:$B$14,MATCH($Y1954,'Reward Model'!$A$12:$A$14,0))*Z1954,2),0)</f>
        <v>0</v>
      </c>
    </row>
    <row r="1955" customFormat="false" ht="15" hidden="false" customHeight="false" outlineLevel="0" collapsed="false">
      <c r="A1955" s="0" t="s">
        <v>325</v>
      </c>
      <c r="B1955" s="0" t="s">
        <v>326</v>
      </c>
      <c r="C1955" s="0" t="s">
        <v>322</v>
      </c>
      <c r="D1955" s="0" t="s">
        <v>31</v>
      </c>
      <c r="E1955" s="0" t="n">
        <v>14</v>
      </c>
      <c r="F1955" s="0" t="s">
        <v>68</v>
      </c>
      <c r="G1955" s="0" t="s">
        <v>86</v>
      </c>
      <c r="H1955" s="0" t="s">
        <v>51</v>
      </c>
      <c r="I1955" s="0" t="s">
        <v>39</v>
      </c>
      <c r="J1955" s="0" t="n">
        <v>2.22</v>
      </c>
      <c r="K1955" s="0" t="s">
        <v>60</v>
      </c>
      <c r="L1955" s="0" t="n">
        <f aca="false">INDEX(Summary!$F$2:$F$201,MATCH($B1955,Summary!$A$2:$A$201,0))</f>
        <v>20</v>
      </c>
      <c r="M1955" s="0" t="n">
        <f aca="false">INDEX(Summary!$I$2:$I$201,MATCH($B1955,Summary!$A$2:$A$201,0))</f>
        <v>2</v>
      </c>
      <c r="N1955" s="0" t="n">
        <f aca="false">INDEX(Summary!$J$2:$J$201,MATCH($B1955,Summary!$A$2:$A$201,0))</f>
        <v>3</v>
      </c>
      <c r="O1955" s="2" t="n">
        <f aca="false">INDEX(Summary!$K$2:$K$201,MATCH($B1955,Summary!$A$2:$A$201,0))</f>
        <v>8.3</v>
      </c>
      <c r="P1955" s="3" t="n">
        <f aca="false">INDEX(Summary!$L$2:$L$201,MATCH($B1955,Summary!$A$2:$A$201,0))</f>
        <v>4</v>
      </c>
      <c r="Q1955" s="3" t="n">
        <f aca="false">INDEX(Summary!$M$2:$M$201,MATCH($B1955,Summary!$A$2:$A$201,0))</f>
        <v>2</v>
      </c>
      <c r="R1955" s="2" t="n">
        <f aca="false">INDEX(Summary!$N$2:$N$201,MATCH($B1955,Summary!$A$2:$A$201,0))</f>
        <v>9.8</v>
      </c>
      <c r="S1955" s="3" t="n">
        <f aca="false">INDEX(Summary!$O$2:$O$201,MATCH($B1955,Summary!$A$2:$A$201,0))</f>
        <v>8</v>
      </c>
      <c r="T1955" s="3" t="n">
        <f aca="false">INDEX(Summary!$P$2:$P$201,MATCH($B1955,Summary!$A$2:$A$201,0))</f>
        <v>1</v>
      </c>
      <c r="U1955" s="2" t="n">
        <f aca="false">INDEX(Summary!$Q$2:$Q$201,MATCH($B1955,Summary!$A$2:$A$201,0))</f>
        <v>13.23</v>
      </c>
      <c r="V1955" s="2" t="n">
        <f aca="false">INDEX(Summary!$R$2:$R$201,MATCH($B1955,Summary!$A$2:$A$201,0))</f>
        <v>24.87</v>
      </c>
      <c r="W1955" s="0" t="str">
        <f aca="false">INDEX(Summary!$S$2:$S$201,MATCH($B1955,Summary!$A$2:$A$201,0))</f>
        <v>Silver</v>
      </c>
      <c r="X1955" s="2" t="n">
        <f aca="false">INDEX(Summary!$T$2:$T$201,MATCH($B1955,Summary!$A$2:$A$201,0))</f>
        <v>60.66</v>
      </c>
      <c r="Y1955" s="0" t="str">
        <f aca="false">INDEX('Reward Model'!$E$18:$E$37,MATCH($E1955,'Reward Model'!$A$18:$A$37,0))</f>
        <v>Medium</v>
      </c>
      <c r="Z1955" s="4" t="n">
        <f aca="false">ROUND(MIN(1,MAX('Reward Model'!$B$2,INDEX('Reward Model'!$C$12:$C$14,MATCH($K1955,'Reward Model'!$A$12:$A$14,0))/$J1955)),3)</f>
        <v>0.811</v>
      </c>
      <c r="AA1955" s="2" t="n">
        <f aca="false">IF($I1955="Correct",ROUND(INDEX('Reward Model'!$B$12:$B$14,MATCH($K1955,'Reward Model'!$A$12:$A$14,0))*Z1955,2),0)</f>
        <v>0</v>
      </c>
      <c r="AB1955" s="2" t="n">
        <f aca="false">IF($I1955="Correct",ROUND(INDEX('Reward Model'!$B$12:$B$14,MATCH($Y1955,'Reward Model'!$A$12:$A$14,0))*Z1955,2),0)</f>
        <v>0</v>
      </c>
    </row>
    <row r="1956" customFormat="false" ht="15" hidden="false" customHeight="false" outlineLevel="0" collapsed="false">
      <c r="A1956" s="0" t="s">
        <v>325</v>
      </c>
      <c r="B1956" s="0" t="s">
        <v>326</v>
      </c>
      <c r="C1956" s="0" t="s">
        <v>322</v>
      </c>
      <c r="D1956" s="0" t="s">
        <v>31</v>
      </c>
      <c r="E1956" s="0" t="n">
        <v>15</v>
      </c>
      <c r="F1956" s="0" t="s">
        <v>69</v>
      </c>
      <c r="G1956" s="0" t="s">
        <v>70</v>
      </c>
      <c r="H1956" s="0" t="s">
        <v>70</v>
      </c>
      <c r="I1956" s="0" t="s">
        <v>34</v>
      </c>
      <c r="J1956" s="0" t="n">
        <v>1.42</v>
      </c>
      <c r="K1956" s="0" t="s">
        <v>60</v>
      </c>
      <c r="L1956" s="0" t="n">
        <f aca="false">INDEX(Summary!$F$2:$F$201,MATCH($B1956,Summary!$A$2:$A$201,0))</f>
        <v>20</v>
      </c>
      <c r="M1956" s="0" t="n">
        <f aca="false">INDEX(Summary!$I$2:$I$201,MATCH($B1956,Summary!$A$2:$A$201,0))</f>
        <v>2</v>
      </c>
      <c r="N1956" s="0" t="n">
        <f aca="false">INDEX(Summary!$J$2:$J$201,MATCH($B1956,Summary!$A$2:$A$201,0))</f>
        <v>3</v>
      </c>
      <c r="O1956" s="2" t="n">
        <f aca="false">INDEX(Summary!$K$2:$K$201,MATCH($B1956,Summary!$A$2:$A$201,0))</f>
        <v>8.3</v>
      </c>
      <c r="P1956" s="3" t="n">
        <f aca="false">INDEX(Summary!$L$2:$L$201,MATCH($B1956,Summary!$A$2:$A$201,0))</f>
        <v>4</v>
      </c>
      <c r="Q1956" s="3" t="n">
        <f aca="false">INDEX(Summary!$M$2:$M$201,MATCH($B1956,Summary!$A$2:$A$201,0))</f>
        <v>2</v>
      </c>
      <c r="R1956" s="2" t="n">
        <f aca="false">INDEX(Summary!$N$2:$N$201,MATCH($B1956,Summary!$A$2:$A$201,0))</f>
        <v>9.8</v>
      </c>
      <c r="S1956" s="3" t="n">
        <f aca="false">INDEX(Summary!$O$2:$O$201,MATCH($B1956,Summary!$A$2:$A$201,0))</f>
        <v>8</v>
      </c>
      <c r="T1956" s="3" t="n">
        <f aca="false">INDEX(Summary!$P$2:$P$201,MATCH($B1956,Summary!$A$2:$A$201,0))</f>
        <v>1</v>
      </c>
      <c r="U1956" s="2" t="n">
        <f aca="false">INDEX(Summary!$Q$2:$Q$201,MATCH($B1956,Summary!$A$2:$A$201,0))</f>
        <v>13.23</v>
      </c>
      <c r="V1956" s="2" t="n">
        <f aca="false">INDEX(Summary!$R$2:$R$201,MATCH($B1956,Summary!$A$2:$A$201,0))</f>
        <v>24.87</v>
      </c>
      <c r="W1956" s="0" t="str">
        <f aca="false">INDEX(Summary!$S$2:$S$201,MATCH($B1956,Summary!$A$2:$A$201,0))</f>
        <v>Silver</v>
      </c>
      <c r="X1956" s="2" t="n">
        <f aca="false">INDEX(Summary!$T$2:$T$201,MATCH($B1956,Summary!$A$2:$A$201,0))</f>
        <v>60.66</v>
      </c>
      <c r="Y1956" s="0" t="str">
        <f aca="false">INDEX('Reward Model'!$E$18:$E$37,MATCH($E1956,'Reward Model'!$A$18:$A$37,0))</f>
        <v>Medium</v>
      </c>
      <c r="Z1956" s="4" t="n">
        <f aca="false">ROUND(MIN(1,MAX('Reward Model'!$B$2,INDEX('Reward Model'!$C$12:$C$14,MATCH($K1956,'Reward Model'!$A$12:$A$14,0))/$J1956)),3)</f>
        <v>1</v>
      </c>
      <c r="AA1956" s="2" t="n">
        <f aca="false">IF($I1956="Correct",ROUND(INDEX('Reward Model'!$B$12:$B$14,MATCH($K1956,'Reward Model'!$A$12:$A$14,0))*Z1956,2),0)</f>
        <v>2</v>
      </c>
      <c r="AB1956" s="2" t="n">
        <f aca="false">IF($I1956="Correct",ROUND(INDEX('Reward Model'!$B$12:$B$14,MATCH($Y1956,'Reward Model'!$A$12:$A$14,0))*Z1956,2),0)</f>
        <v>2</v>
      </c>
    </row>
    <row r="1957" customFormat="false" ht="15" hidden="false" customHeight="false" outlineLevel="0" collapsed="false">
      <c r="A1957" s="0" t="s">
        <v>325</v>
      </c>
      <c r="B1957" s="0" t="s">
        <v>326</v>
      </c>
      <c r="C1957" s="0" t="s">
        <v>322</v>
      </c>
      <c r="D1957" s="0" t="s">
        <v>31</v>
      </c>
      <c r="E1957" s="0" t="n">
        <v>16</v>
      </c>
      <c r="F1957" s="0" t="s">
        <v>71</v>
      </c>
      <c r="G1957" s="0" t="s">
        <v>72</v>
      </c>
      <c r="H1957" s="0" t="s">
        <v>72</v>
      </c>
      <c r="I1957" s="0" t="s">
        <v>34</v>
      </c>
      <c r="J1957" s="0" t="n">
        <v>1.26</v>
      </c>
      <c r="K1957" s="0" t="s">
        <v>73</v>
      </c>
      <c r="L1957" s="0" t="n">
        <f aca="false">INDEX(Summary!$F$2:$F$201,MATCH($B1957,Summary!$A$2:$A$201,0))</f>
        <v>20</v>
      </c>
      <c r="M1957" s="0" t="n">
        <f aca="false">INDEX(Summary!$I$2:$I$201,MATCH($B1957,Summary!$A$2:$A$201,0))</f>
        <v>2</v>
      </c>
      <c r="N1957" s="0" t="n">
        <f aca="false">INDEX(Summary!$J$2:$J$201,MATCH($B1957,Summary!$A$2:$A$201,0))</f>
        <v>3</v>
      </c>
      <c r="O1957" s="2" t="n">
        <f aca="false">INDEX(Summary!$K$2:$K$201,MATCH($B1957,Summary!$A$2:$A$201,0))</f>
        <v>8.3</v>
      </c>
      <c r="P1957" s="3" t="n">
        <f aca="false">INDEX(Summary!$L$2:$L$201,MATCH($B1957,Summary!$A$2:$A$201,0))</f>
        <v>4</v>
      </c>
      <c r="Q1957" s="3" t="n">
        <f aca="false">INDEX(Summary!$M$2:$M$201,MATCH($B1957,Summary!$A$2:$A$201,0))</f>
        <v>2</v>
      </c>
      <c r="R1957" s="2" t="n">
        <f aca="false">INDEX(Summary!$N$2:$N$201,MATCH($B1957,Summary!$A$2:$A$201,0))</f>
        <v>9.8</v>
      </c>
      <c r="S1957" s="3" t="n">
        <f aca="false">INDEX(Summary!$O$2:$O$201,MATCH($B1957,Summary!$A$2:$A$201,0))</f>
        <v>8</v>
      </c>
      <c r="T1957" s="3" t="n">
        <f aca="false">INDEX(Summary!$P$2:$P$201,MATCH($B1957,Summary!$A$2:$A$201,0))</f>
        <v>1</v>
      </c>
      <c r="U1957" s="2" t="n">
        <f aca="false">INDEX(Summary!$Q$2:$Q$201,MATCH($B1957,Summary!$A$2:$A$201,0))</f>
        <v>13.23</v>
      </c>
      <c r="V1957" s="2" t="n">
        <f aca="false">INDEX(Summary!$R$2:$R$201,MATCH($B1957,Summary!$A$2:$A$201,0))</f>
        <v>24.87</v>
      </c>
      <c r="W1957" s="0" t="str">
        <f aca="false">INDEX(Summary!$S$2:$S$201,MATCH($B1957,Summary!$A$2:$A$201,0))</f>
        <v>Silver</v>
      </c>
      <c r="X1957" s="2" t="n">
        <f aca="false">INDEX(Summary!$T$2:$T$201,MATCH($B1957,Summary!$A$2:$A$201,0))</f>
        <v>60.66</v>
      </c>
      <c r="Y1957" s="0" t="str">
        <f aca="false">INDEX('Reward Model'!$E$18:$E$37,MATCH($E1957,'Reward Model'!$A$18:$A$37,0))</f>
        <v>High</v>
      </c>
      <c r="Z1957" s="4" t="n">
        <f aca="false">ROUND(MIN(1,MAX('Reward Model'!$B$2,INDEX('Reward Model'!$C$12:$C$14,MATCH($K1957,'Reward Model'!$A$12:$A$14,0))/$J1957)),3)</f>
        <v>1</v>
      </c>
      <c r="AA1957" s="2" t="n">
        <f aca="false">IF($I1957="Correct",ROUND(INDEX('Reward Model'!$B$12:$B$14,MATCH($K1957,'Reward Model'!$A$12:$A$14,0))*Z1957,2),0)</f>
        <v>3</v>
      </c>
      <c r="AB1957" s="2" t="n">
        <f aca="false">IF($I1957="Correct",ROUND(INDEX('Reward Model'!$B$12:$B$14,MATCH($Y1957,'Reward Model'!$A$12:$A$14,0))*Z1957,2),0)</f>
        <v>3</v>
      </c>
    </row>
    <row r="1958" customFormat="false" ht="15" hidden="false" customHeight="false" outlineLevel="0" collapsed="false">
      <c r="A1958" s="0" t="s">
        <v>325</v>
      </c>
      <c r="B1958" s="0" t="s">
        <v>326</v>
      </c>
      <c r="C1958" s="0" t="s">
        <v>322</v>
      </c>
      <c r="D1958" s="0" t="s">
        <v>31</v>
      </c>
      <c r="E1958" s="0" t="n">
        <v>17</v>
      </c>
      <c r="F1958" s="0" t="s">
        <v>74</v>
      </c>
      <c r="G1958" s="0" t="s">
        <v>105</v>
      </c>
      <c r="H1958" s="0" t="s">
        <v>75</v>
      </c>
      <c r="I1958" s="0" t="s">
        <v>39</v>
      </c>
      <c r="J1958" s="0" t="n">
        <v>1.65</v>
      </c>
      <c r="K1958" s="0" t="s">
        <v>73</v>
      </c>
      <c r="L1958" s="0" t="n">
        <f aca="false">INDEX(Summary!$F$2:$F$201,MATCH($B1958,Summary!$A$2:$A$201,0))</f>
        <v>20</v>
      </c>
      <c r="M1958" s="0" t="n">
        <f aca="false">INDEX(Summary!$I$2:$I$201,MATCH($B1958,Summary!$A$2:$A$201,0))</f>
        <v>2</v>
      </c>
      <c r="N1958" s="0" t="n">
        <f aca="false">INDEX(Summary!$J$2:$J$201,MATCH($B1958,Summary!$A$2:$A$201,0))</f>
        <v>3</v>
      </c>
      <c r="O1958" s="2" t="n">
        <f aca="false">INDEX(Summary!$K$2:$K$201,MATCH($B1958,Summary!$A$2:$A$201,0))</f>
        <v>8.3</v>
      </c>
      <c r="P1958" s="3" t="n">
        <f aca="false">INDEX(Summary!$L$2:$L$201,MATCH($B1958,Summary!$A$2:$A$201,0))</f>
        <v>4</v>
      </c>
      <c r="Q1958" s="3" t="n">
        <f aca="false">INDEX(Summary!$M$2:$M$201,MATCH($B1958,Summary!$A$2:$A$201,0))</f>
        <v>2</v>
      </c>
      <c r="R1958" s="2" t="n">
        <f aca="false">INDEX(Summary!$N$2:$N$201,MATCH($B1958,Summary!$A$2:$A$201,0))</f>
        <v>9.8</v>
      </c>
      <c r="S1958" s="3" t="n">
        <f aca="false">INDEX(Summary!$O$2:$O$201,MATCH($B1958,Summary!$A$2:$A$201,0))</f>
        <v>8</v>
      </c>
      <c r="T1958" s="3" t="n">
        <f aca="false">INDEX(Summary!$P$2:$P$201,MATCH($B1958,Summary!$A$2:$A$201,0))</f>
        <v>1</v>
      </c>
      <c r="U1958" s="2" t="n">
        <f aca="false">INDEX(Summary!$Q$2:$Q$201,MATCH($B1958,Summary!$A$2:$A$201,0))</f>
        <v>13.23</v>
      </c>
      <c r="V1958" s="2" t="n">
        <f aca="false">INDEX(Summary!$R$2:$R$201,MATCH($B1958,Summary!$A$2:$A$201,0))</f>
        <v>24.87</v>
      </c>
      <c r="W1958" s="0" t="str">
        <f aca="false">INDEX(Summary!$S$2:$S$201,MATCH($B1958,Summary!$A$2:$A$201,0))</f>
        <v>Silver</v>
      </c>
      <c r="X1958" s="2" t="n">
        <f aca="false">INDEX(Summary!$T$2:$T$201,MATCH($B1958,Summary!$A$2:$A$201,0))</f>
        <v>60.66</v>
      </c>
      <c r="Y1958" s="0" t="str">
        <f aca="false">INDEX('Reward Model'!$E$18:$E$37,MATCH($E1958,'Reward Model'!$A$18:$A$37,0))</f>
        <v>High</v>
      </c>
      <c r="Z1958" s="4" t="n">
        <f aca="false">ROUND(MIN(1,MAX('Reward Model'!$B$2,INDEX('Reward Model'!$C$12:$C$14,MATCH($K1958,'Reward Model'!$A$12:$A$14,0))/$J1958)),3)</f>
        <v>1</v>
      </c>
      <c r="AA1958" s="2" t="n">
        <f aca="false">IF($I1958="Correct",ROUND(INDEX('Reward Model'!$B$12:$B$14,MATCH($K1958,'Reward Model'!$A$12:$A$14,0))*Z1958,2),0)</f>
        <v>0</v>
      </c>
      <c r="AB1958" s="2" t="n">
        <f aca="false">IF($I1958="Correct",ROUND(INDEX('Reward Model'!$B$12:$B$14,MATCH($Y1958,'Reward Model'!$A$12:$A$14,0))*Z1958,2),0)</f>
        <v>0</v>
      </c>
    </row>
    <row r="1959" customFormat="false" ht="15" hidden="false" customHeight="false" outlineLevel="0" collapsed="false">
      <c r="A1959" s="0" t="s">
        <v>325</v>
      </c>
      <c r="B1959" s="0" t="s">
        <v>326</v>
      </c>
      <c r="C1959" s="0" t="s">
        <v>322</v>
      </c>
      <c r="D1959" s="0" t="s">
        <v>31</v>
      </c>
      <c r="E1959" s="0" t="n">
        <v>18</v>
      </c>
      <c r="F1959" s="0" t="s">
        <v>76</v>
      </c>
      <c r="G1959" s="0" t="s">
        <v>128</v>
      </c>
      <c r="H1959" s="0" t="s">
        <v>77</v>
      </c>
      <c r="I1959" s="0" t="s">
        <v>39</v>
      </c>
      <c r="J1959" s="0" t="n">
        <v>2.17</v>
      </c>
      <c r="K1959" s="0" t="s">
        <v>73</v>
      </c>
      <c r="L1959" s="0" t="n">
        <f aca="false">INDEX(Summary!$F$2:$F$201,MATCH($B1959,Summary!$A$2:$A$201,0))</f>
        <v>20</v>
      </c>
      <c r="M1959" s="0" t="n">
        <f aca="false">INDEX(Summary!$I$2:$I$201,MATCH($B1959,Summary!$A$2:$A$201,0))</f>
        <v>2</v>
      </c>
      <c r="N1959" s="0" t="n">
        <f aca="false">INDEX(Summary!$J$2:$J$201,MATCH($B1959,Summary!$A$2:$A$201,0))</f>
        <v>3</v>
      </c>
      <c r="O1959" s="2" t="n">
        <f aca="false">INDEX(Summary!$K$2:$K$201,MATCH($B1959,Summary!$A$2:$A$201,0))</f>
        <v>8.3</v>
      </c>
      <c r="P1959" s="3" t="n">
        <f aca="false">INDEX(Summary!$L$2:$L$201,MATCH($B1959,Summary!$A$2:$A$201,0))</f>
        <v>4</v>
      </c>
      <c r="Q1959" s="3" t="n">
        <f aca="false">INDEX(Summary!$M$2:$M$201,MATCH($B1959,Summary!$A$2:$A$201,0))</f>
        <v>2</v>
      </c>
      <c r="R1959" s="2" t="n">
        <f aca="false">INDEX(Summary!$N$2:$N$201,MATCH($B1959,Summary!$A$2:$A$201,0))</f>
        <v>9.8</v>
      </c>
      <c r="S1959" s="3" t="n">
        <f aca="false">INDEX(Summary!$O$2:$O$201,MATCH($B1959,Summary!$A$2:$A$201,0))</f>
        <v>8</v>
      </c>
      <c r="T1959" s="3" t="n">
        <f aca="false">INDEX(Summary!$P$2:$P$201,MATCH($B1959,Summary!$A$2:$A$201,0))</f>
        <v>1</v>
      </c>
      <c r="U1959" s="2" t="n">
        <f aca="false">INDEX(Summary!$Q$2:$Q$201,MATCH($B1959,Summary!$A$2:$A$201,0))</f>
        <v>13.23</v>
      </c>
      <c r="V1959" s="2" t="n">
        <f aca="false">INDEX(Summary!$R$2:$R$201,MATCH($B1959,Summary!$A$2:$A$201,0))</f>
        <v>24.87</v>
      </c>
      <c r="W1959" s="0" t="str">
        <f aca="false">INDEX(Summary!$S$2:$S$201,MATCH($B1959,Summary!$A$2:$A$201,0))</f>
        <v>Silver</v>
      </c>
      <c r="X1959" s="2" t="n">
        <f aca="false">INDEX(Summary!$T$2:$T$201,MATCH($B1959,Summary!$A$2:$A$201,0))</f>
        <v>60.66</v>
      </c>
      <c r="Y1959" s="0" t="str">
        <f aca="false">INDEX('Reward Model'!$E$18:$E$37,MATCH($E1959,'Reward Model'!$A$18:$A$37,0))</f>
        <v>High</v>
      </c>
      <c r="Z1959" s="4" t="n">
        <f aca="false">ROUND(MIN(1,MAX('Reward Model'!$B$2,INDEX('Reward Model'!$C$12:$C$14,MATCH($K1959,'Reward Model'!$A$12:$A$14,0))/$J1959)),3)</f>
        <v>0.922</v>
      </c>
      <c r="AA1959" s="2" t="n">
        <f aca="false">IF($I1959="Correct",ROUND(INDEX('Reward Model'!$B$12:$B$14,MATCH($K1959,'Reward Model'!$A$12:$A$14,0))*Z1959,2),0)</f>
        <v>0</v>
      </c>
      <c r="AB1959" s="2" t="n">
        <f aca="false">IF($I1959="Correct",ROUND(INDEX('Reward Model'!$B$12:$B$14,MATCH($Y1959,'Reward Model'!$A$12:$A$14,0))*Z1959,2),0)</f>
        <v>0</v>
      </c>
    </row>
    <row r="1960" customFormat="false" ht="15" hidden="false" customHeight="false" outlineLevel="0" collapsed="false">
      <c r="A1960" s="0" t="s">
        <v>325</v>
      </c>
      <c r="B1960" s="0" t="s">
        <v>326</v>
      </c>
      <c r="C1960" s="0" t="s">
        <v>322</v>
      </c>
      <c r="D1960" s="0" t="s">
        <v>31</v>
      </c>
      <c r="E1960" s="0" t="n">
        <v>19</v>
      </c>
      <c r="F1960" s="0" t="s">
        <v>78</v>
      </c>
      <c r="G1960" s="0" t="s">
        <v>132</v>
      </c>
      <c r="H1960" s="0" t="s">
        <v>80</v>
      </c>
      <c r="I1960" s="0" t="s">
        <v>39</v>
      </c>
      <c r="J1960" s="0" t="n">
        <v>1.53</v>
      </c>
      <c r="K1960" s="0" t="s">
        <v>73</v>
      </c>
      <c r="L1960" s="0" t="n">
        <f aca="false">INDEX(Summary!$F$2:$F$201,MATCH($B1960,Summary!$A$2:$A$201,0))</f>
        <v>20</v>
      </c>
      <c r="M1960" s="0" t="n">
        <f aca="false">INDEX(Summary!$I$2:$I$201,MATCH($B1960,Summary!$A$2:$A$201,0))</f>
        <v>2</v>
      </c>
      <c r="N1960" s="0" t="n">
        <f aca="false">INDEX(Summary!$J$2:$J$201,MATCH($B1960,Summary!$A$2:$A$201,0))</f>
        <v>3</v>
      </c>
      <c r="O1960" s="2" t="n">
        <f aca="false">INDEX(Summary!$K$2:$K$201,MATCH($B1960,Summary!$A$2:$A$201,0))</f>
        <v>8.3</v>
      </c>
      <c r="P1960" s="3" t="n">
        <f aca="false">INDEX(Summary!$L$2:$L$201,MATCH($B1960,Summary!$A$2:$A$201,0))</f>
        <v>4</v>
      </c>
      <c r="Q1960" s="3" t="n">
        <f aca="false">INDEX(Summary!$M$2:$M$201,MATCH($B1960,Summary!$A$2:$A$201,0))</f>
        <v>2</v>
      </c>
      <c r="R1960" s="2" t="n">
        <f aca="false">INDEX(Summary!$N$2:$N$201,MATCH($B1960,Summary!$A$2:$A$201,0))</f>
        <v>9.8</v>
      </c>
      <c r="S1960" s="3" t="n">
        <f aca="false">INDEX(Summary!$O$2:$O$201,MATCH($B1960,Summary!$A$2:$A$201,0))</f>
        <v>8</v>
      </c>
      <c r="T1960" s="3" t="n">
        <f aca="false">INDEX(Summary!$P$2:$P$201,MATCH($B1960,Summary!$A$2:$A$201,0))</f>
        <v>1</v>
      </c>
      <c r="U1960" s="2" t="n">
        <f aca="false">INDEX(Summary!$Q$2:$Q$201,MATCH($B1960,Summary!$A$2:$A$201,0))</f>
        <v>13.23</v>
      </c>
      <c r="V1960" s="2" t="n">
        <f aca="false">INDEX(Summary!$R$2:$R$201,MATCH($B1960,Summary!$A$2:$A$201,0))</f>
        <v>24.87</v>
      </c>
      <c r="W1960" s="0" t="str">
        <f aca="false">INDEX(Summary!$S$2:$S$201,MATCH($B1960,Summary!$A$2:$A$201,0))</f>
        <v>Silver</v>
      </c>
      <c r="X1960" s="2" t="n">
        <f aca="false">INDEX(Summary!$T$2:$T$201,MATCH($B1960,Summary!$A$2:$A$201,0))</f>
        <v>60.66</v>
      </c>
      <c r="Y1960" s="0" t="str">
        <f aca="false">INDEX('Reward Model'!$E$18:$E$37,MATCH($E1960,'Reward Model'!$A$18:$A$37,0))</f>
        <v>High</v>
      </c>
      <c r="Z1960" s="4" t="n">
        <f aca="false">ROUND(MIN(1,MAX('Reward Model'!$B$2,INDEX('Reward Model'!$C$12:$C$14,MATCH($K1960,'Reward Model'!$A$12:$A$14,0))/$J1960)),3)</f>
        <v>1</v>
      </c>
      <c r="AA1960" s="2" t="n">
        <f aca="false">IF($I1960="Correct",ROUND(INDEX('Reward Model'!$B$12:$B$14,MATCH($K1960,'Reward Model'!$A$12:$A$14,0))*Z1960,2),0)</f>
        <v>0</v>
      </c>
      <c r="AB1960" s="2" t="n">
        <f aca="false">IF($I1960="Correct",ROUND(INDEX('Reward Model'!$B$12:$B$14,MATCH($Y1960,'Reward Model'!$A$12:$A$14,0))*Z1960,2),0)</f>
        <v>0</v>
      </c>
    </row>
    <row r="1961" customFormat="false" ht="15" hidden="false" customHeight="false" outlineLevel="0" collapsed="false">
      <c r="A1961" s="0" t="s">
        <v>325</v>
      </c>
      <c r="B1961" s="0" t="s">
        <v>326</v>
      </c>
      <c r="C1961" s="0" t="s">
        <v>322</v>
      </c>
      <c r="D1961" s="0" t="s">
        <v>31</v>
      </c>
      <c r="E1961" s="0" t="n">
        <v>20</v>
      </c>
      <c r="F1961" s="0" t="s">
        <v>81</v>
      </c>
      <c r="G1961" s="0" t="s">
        <v>83</v>
      </c>
      <c r="H1961" s="0" t="s">
        <v>83</v>
      </c>
      <c r="I1961" s="0" t="s">
        <v>34</v>
      </c>
      <c r="J1961" s="0" t="n">
        <v>1.69</v>
      </c>
      <c r="K1961" s="0" t="s">
        <v>73</v>
      </c>
      <c r="L1961" s="0" t="n">
        <f aca="false">INDEX(Summary!$F$2:$F$201,MATCH($B1961,Summary!$A$2:$A$201,0))</f>
        <v>20</v>
      </c>
      <c r="M1961" s="0" t="n">
        <f aca="false">INDEX(Summary!$I$2:$I$201,MATCH($B1961,Summary!$A$2:$A$201,0))</f>
        <v>2</v>
      </c>
      <c r="N1961" s="0" t="n">
        <f aca="false">INDEX(Summary!$J$2:$J$201,MATCH($B1961,Summary!$A$2:$A$201,0))</f>
        <v>3</v>
      </c>
      <c r="O1961" s="2" t="n">
        <f aca="false">INDEX(Summary!$K$2:$K$201,MATCH($B1961,Summary!$A$2:$A$201,0))</f>
        <v>8.3</v>
      </c>
      <c r="P1961" s="3" t="n">
        <f aca="false">INDEX(Summary!$L$2:$L$201,MATCH($B1961,Summary!$A$2:$A$201,0))</f>
        <v>4</v>
      </c>
      <c r="Q1961" s="3" t="n">
        <f aca="false">INDEX(Summary!$M$2:$M$201,MATCH($B1961,Summary!$A$2:$A$201,0))</f>
        <v>2</v>
      </c>
      <c r="R1961" s="2" t="n">
        <f aca="false">INDEX(Summary!$N$2:$N$201,MATCH($B1961,Summary!$A$2:$A$201,0))</f>
        <v>9.8</v>
      </c>
      <c r="S1961" s="3" t="n">
        <f aca="false">INDEX(Summary!$O$2:$O$201,MATCH($B1961,Summary!$A$2:$A$201,0))</f>
        <v>8</v>
      </c>
      <c r="T1961" s="3" t="n">
        <f aca="false">INDEX(Summary!$P$2:$P$201,MATCH($B1961,Summary!$A$2:$A$201,0))</f>
        <v>1</v>
      </c>
      <c r="U1961" s="2" t="n">
        <f aca="false">INDEX(Summary!$Q$2:$Q$201,MATCH($B1961,Summary!$A$2:$A$201,0))</f>
        <v>13.23</v>
      </c>
      <c r="V1961" s="2" t="n">
        <f aca="false">INDEX(Summary!$R$2:$R$201,MATCH($B1961,Summary!$A$2:$A$201,0))</f>
        <v>24.87</v>
      </c>
      <c r="W1961" s="0" t="str">
        <f aca="false">INDEX(Summary!$S$2:$S$201,MATCH($B1961,Summary!$A$2:$A$201,0))</f>
        <v>Silver</v>
      </c>
      <c r="X1961" s="2" t="n">
        <f aca="false">INDEX(Summary!$T$2:$T$201,MATCH($B1961,Summary!$A$2:$A$201,0))</f>
        <v>60.66</v>
      </c>
      <c r="Y1961" s="0" t="str">
        <f aca="false">INDEX('Reward Model'!$E$18:$E$37,MATCH($E1961,'Reward Model'!$A$18:$A$37,0))</f>
        <v>High</v>
      </c>
      <c r="Z1961" s="4" t="n">
        <f aca="false">ROUND(MIN(1,MAX('Reward Model'!$B$2,INDEX('Reward Model'!$C$12:$C$14,MATCH($K1961,'Reward Model'!$A$12:$A$14,0))/$J1961)),3)</f>
        <v>1</v>
      </c>
      <c r="AA1961" s="2" t="n">
        <f aca="false">IF($I1961="Correct",ROUND(INDEX('Reward Model'!$B$12:$B$14,MATCH($K1961,'Reward Model'!$A$12:$A$14,0))*Z1961,2),0)</f>
        <v>3</v>
      </c>
      <c r="AB1961" s="2" t="n">
        <f aca="false">IF($I1961="Correct",ROUND(INDEX('Reward Model'!$B$12:$B$14,MATCH($Y1961,'Reward Model'!$A$12:$A$14,0))*Z1961,2),0)</f>
        <v>3</v>
      </c>
    </row>
    <row r="1962" customFormat="false" ht="15" hidden="false" customHeight="false" outlineLevel="0" collapsed="false">
      <c r="A1962" s="0" t="s">
        <v>327</v>
      </c>
      <c r="B1962" s="0" t="s">
        <v>328</v>
      </c>
      <c r="C1962" s="0" t="s">
        <v>322</v>
      </c>
      <c r="D1962" s="0" t="s">
        <v>31</v>
      </c>
      <c r="E1962" s="0" t="n">
        <v>1</v>
      </c>
      <c r="F1962" s="0" t="s">
        <v>32</v>
      </c>
      <c r="G1962" s="0" t="s">
        <v>33</v>
      </c>
      <c r="H1962" s="0" t="s">
        <v>33</v>
      </c>
      <c r="I1962" s="0" t="s">
        <v>34</v>
      </c>
      <c r="J1962" s="0" t="n">
        <v>1.93</v>
      </c>
      <c r="K1962" s="0" t="s">
        <v>35</v>
      </c>
      <c r="L1962" s="0" t="n">
        <f aca="false">INDEX(Summary!$F$2:$F$201,MATCH($B1962,Summary!$A$2:$A$201,0))</f>
        <v>20</v>
      </c>
      <c r="M1962" s="0" t="n">
        <f aca="false">INDEX(Summary!$I$2:$I$201,MATCH($B1962,Summary!$A$2:$A$201,0))</f>
        <v>3</v>
      </c>
      <c r="N1962" s="0" t="n">
        <f aca="false">INDEX(Summary!$J$2:$J$201,MATCH($B1962,Summary!$A$2:$A$201,0))</f>
        <v>2</v>
      </c>
      <c r="O1962" s="2" t="n">
        <f aca="false">INDEX(Summary!$K$2:$K$201,MATCH($B1962,Summary!$A$2:$A$201,0))</f>
        <v>8.59</v>
      </c>
      <c r="P1962" s="3" t="n">
        <f aca="false">INDEX(Summary!$L$2:$L$201,MATCH($B1962,Summary!$A$2:$A$201,0))</f>
        <v>5</v>
      </c>
      <c r="Q1962" s="3" t="n">
        <f aca="false">INDEX(Summary!$M$2:$M$201,MATCH($B1962,Summary!$A$2:$A$201,0))</f>
        <v>1</v>
      </c>
      <c r="R1962" s="2" t="n">
        <f aca="false">INDEX(Summary!$N$2:$N$201,MATCH($B1962,Summary!$A$2:$A$201,0))</f>
        <v>10.37</v>
      </c>
      <c r="S1962" s="3" t="n">
        <f aca="false">INDEX(Summary!$O$2:$O$201,MATCH($B1962,Summary!$A$2:$A$201,0))</f>
        <v>8</v>
      </c>
      <c r="T1962" s="3" t="n">
        <f aca="false">INDEX(Summary!$P$2:$P$201,MATCH($B1962,Summary!$A$2:$A$201,0))</f>
        <v>1</v>
      </c>
      <c r="U1962" s="2" t="n">
        <f aca="false">INDEX(Summary!$Q$2:$Q$201,MATCH($B1962,Summary!$A$2:$A$201,0))</f>
        <v>13.27</v>
      </c>
      <c r="V1962" s="2" t="n">
        <f aca="false">INDEX(Summary!$R$2:$R$201,MATCH($B1962,Summary!$A$2:$A$201,0))</f>
        <v>30.49</v>
      </c>
      <c r="W1962" s="0" t="str">
        <f aca="false">INDEX(Summary!$S$2:$S$201,MATCH($B1962,Summary!$A$2:$A$201,0))</f>
        <v>Gold</v>
      </c>
      <c r="X1962" s="2" t="n">
        <f aca="false">INDEX(Summary!$T$2:$T$201,MATCH($B1962,Summary!$A$2:$A$201,0))</f>
        <v>74.37</v>
      </c>
      <c r="Y1962" s="0" t="str">
        <f aca="false">INDEX('Reward Model'!$E$18:$E$37,MATCH($E1962,'Reward Model'!$A$18:$A$37,0))</f>
        <v>Medium</v>
      </c>
      <c r="Z1962" s="4" t="n">
        <f aca="false">ROUND(MIN(1,MAX('Reward Model'!$B$2,INDEX('Reward Model'!$C$12:$C$14,MATCH($K1962,'Reward Model'!$A$12:$A$14,0))/$J1962)),3)</f>
        <v>0.777</v>
      </c>
      <c r="AA1962" s="2" t="n">
        <f aca="false">IF($I1962="Correct",ROUND(INDEX('Reward Model'!$B$12:$B$14,MATCH($K1962,'Reward Model'!$A$12:$A$14,0))*Z1962,2),0)</f>
        <v>0.78</v>
      </c>
      <c r="AB1962" s="2" t="n">
        <f aca="false">IF($I1962="Correct",ROUND(INDEX('Reward Model'!$B$12:$B$14,MATCH($Y1962,'Reward Model'!$A$12:$A$14,0))*Z1962,2),0)</f>
        <v>1.55</v>
      </c>
    </row>
    <row r="1963" customFormat="false" ht="15" hidden="false" customHeight="false" outlineLevel="0" collapsed="false">
      <c r="A1963" s="0" t="s">
        <v>327</v>
      </c>
      <c r="B1963" s="0" t="s">
        <v>328</v>
      </c>
      <c r="C1963" s="0" t="s">
        <v>322</v>
      </c>
      <c r="D1963" s="0" t="s">
        <v>31</v>
      </c>
      <c r="E1963" s="0" t="n">
        <v>2</v>
      </c>
      <c r="F1963" s="0" t="s">
        <v>36</v>
      </c>
      <c r="G1963" s="0" t="s">
        <v>38</v>
      </c>
      <c r="H1963" s="0" t="s">
        <v>38</v>
      </c>
      <c r="I1963" s="0" t="s">
        <v>34</v>
      </c>
      <c r="J1963" s="0" t="n">
        <v>1.47</v>
      </c>
      <c r="K1963" s="0" t="s">
        <v>35</v>
      </c>
      <c r="L1963" s="0" t="n">
        <f aca="false">INDEX(Summary!$F$2:$F$201,MATCH($B1963,Summary!$A$2:$A$201,0))</f>
        <v>20</v>
      </c>
      <c r="M1963" s="0" t="n">
        <f aca="false">INDEX(Summary!$I$2:$I$201,MATCH($B1963,Summary!$A$2:$A$201,0))</f>
        <v>3</v>
      </c>
      <c r="N1963" s="0" t="n">
        <f aca="false">INDEX(Summary!$J$2:$J$201,MATCH($B1963,Summary!$A$2:$A$201,0))</f>
        <v>2</v>
      </c>
      <c r="O1963" s="2" t="n">
        <f aca="false">INDEX(Summary!$K$2:$K$201,MATCH($B1963,Summary!$A$2:$A$201,0))</f>
        <v>8.59</v>
      </c>
      <c r="P1963" s="3" t="n">
        <f aca="false">INDEX(Summary!$L$2:$L$201,MATCH($B1963,Summary!$A$2:$A$201,0))</f>
        <v>5</v>
      </c>
      <c r="Q1963" s="3" t="n">
        <f aca="false">INDEX(Summary!$M$2:$M$201,MATCH($B1963,Summary!$A$2:$A$201,0))</f>
        <v>1</v>
      </c>
      <c r="R1963" s="2" t="n">
        <f aca="false">INDEX(Summary!$N$2:$N$201,MATCH($B1963,Summary!$A$2:$A$201,0))</f>
        <v>10.37</v>
      </c>
      <c r="S1963" s="3" t="n">
        <f aca="false">INDEX(Summary!$O$2:$O$201,MATCH($B1963,Summary!$A$2:$A$201,0))</f>
        <v>8</v>
      </c>
      <c r="T1963" s="3" t="n">
        <f aca="false">INDEX(Summary!$P$2:$P$201,MATCH($B1963,Summary!$A$2:$A$201,0))</f>
        <v>1</v>
      </c>
      <c r="U1963" s="2" t="n">
        <f aca="false">INDEX(Summary!$Q$2:$Q$201,MATCH($B1963,Summary!$A$2:$A$201,0))</f>
        <v>13.27</v>
      </c>
      <c r="V1963" s="2" t="n">
        <f aca="false">INDEX(Summary!$R$2:$R$201,MATCH($B1963,Summary!$A$2:$A$201,0))</f>
        <v>30.49</v>
      </c>
      <c r="W1963" s="0" t="str">
        <f aca="false">INDEX(Summary!$S$2:$S$201,MATCH($B1963,Summary!$A$2:$A$201,0))</f>
        <v>Gold</v>
      </c>
      <c r="X1963" s="2" t="n">
        <f aca="false">INDEX(Summary!$T$2:$T$201,MATCH($B1963,Summary!$A$2:$A$201,0))</f>
        <v>74.37</v>
      </c>
      <c r="Y1963" s="0" t="str">
        <f aca="false">INDEX('Reward Model'!$E$18:$E$37,MATCH($E1963,'Reward Model'!$A$18:$A$37,0))</f>
        <v>Low</v>
      </c>
      <c r="Z1963" s="4" t="n">
        <f aca="false">ROUND(MIN(1,MAX('Reward Model'!$B$2,INDEX('Reward Model'!$C$12:$C$14,MATCH($K1963,'Reward Model'!$A$12:$A$14,0))/$J1963)),3)</f>
        <v>1</v>
      </c>
      <c r="AA1963" s="2" t="n">
        <f aca="false">IF($I1963="Correct",ROUND(INDEX('Reward Model'!$B$12:$B$14,MATCH($K1963,'Reward Model'!$A$12:$A$14,0))*Z1963,2),0)</f>
        <v>1</v>
      </c>
      <c r="AB1963" s="2" t="n">
        <f aca="false">IF($I1963="Correct",ROUND(INDEX('Reward Model'!$B$12:$B$14,MATCH($Y1963,'Reward Model'!$A$12:$A$14,0))*Z1963,2),0)</f>
        <v>1</v>
      </c>
    </row>
    <row r="1964" customFormat="false" ht="15" hidden="false" customHeight="false" outlineLevel="0" collapsed="false">
      <c r="A1964" s="0" t="s">
        <v>327</v>
      </c>
      <c r="B1964" s="0" t="s">
        <v>328</v>
      </c>
      <c r="C1964" s="0" t="s">
        <v>322</v>
      </c>
      <c r="D1964" s="0" t="s">
        <v>31</v>
      </c>
      <c r="E1964" s="0" t="n">
        <v>3</v>
      </c>
      <c r="F1964" s="0" t="s">
        <v>40</v>
      </c>
      <c r="G1964" s="0" t="s">
        <v>42</v>
      </c>
      <c r="H1964" s="0" t="s">
        <v>42</v>
      </c>
      <c r="I1964" s="0" t="s">
        <v>34</v>
      </c>
      <c r="J1964" s="0" t="n">
        <v>1.48</v>
      </c>
      <c r="K1964" s="0" t="s">
        <v>35</v>
      </c>
      <c r="L1964" s="0" t="n">
        <f aca="false">INDEX(Summary!$F$2:$F$201,MATCH($B1964,Summary!$A$2:$A$201,0))</f>
        <v>20</v>
      </c>
      <c r="M1964" s="0" t="n">
        <f aca="false">INDEX(Summary!$I$2:$I$201,MATCH($B1964,Summary!$A$2:$A$201,0))</f>
        <v>3</v>
      </c>
      <c r="N1964" s="0" t="n">
        <f aca="false">INDEX(Summary!$J$2:$J$201,MATCH($B1964,Summary!$A$2:$A$201,0))</f>
        <v>2</v>
      </c>
      <c r="O1964" s="2" t="n">
        <f aca="false">INDEX(Summary!$K$2:$K$201,MATCH($B1964,Summary!$A$2:$A$201,0))</f>
        <v>8.59</v>
      </c>
      <c r="P1964" s="3" t="n">
        <f aca="false">INDEX(Summary!$L$2:$L$201,MATCH($B1964,Summary!$A$2:$A$201,0))</f>
        <v>5</v>
      </c>
      <c r="Q1964" s="3" t="n">
        <f aca="false">INDEX(Summary!$M$2:$M$201,MATCH($B1964,Summary!$A$2:$A$201,0))</f>
        <v>1</v>
      </c>
      <c r="R1964" s="2" t="n">
        <f aca="false">INDEX(Summary!$N$2:$N$201,MATCH($B1964,Summary!$A$2:$A$201,0))</f>
        <v>10.37</v>
      </c>
      <c r="S1964" s="3" t="n">
        <f aca="false">INDEX(Summary!$O$2:$O$201,MATCH($B1964,Summary!$A$2:$A$201,0))</f>
        <v>8</v>
      </c>
      <c r="T1964" s="3" t="n">
        <f aca="false">INDEX(Summary!$P$2:$P$201,MATCH($B1964,Summary!$A$2:$A$201,0))</f>
        <v>1</v>
      </c>
      <c r="U1964" s="2" t="n">
        <f aca="false">INDEX(Summary!$Q$2:$Q$201,MATCH($B1964,Summary!$A$2:$A$201,0))</f>
        <v>13.27</v>
      </c>
      <c r="V1964" s="2" t="n">
        <f aca="false">INDEX(Summary!$R$2:$R$201,MATCH($B1964,Summary!$A$2:$A$201,0))</f>
        <v>30.49</v>
      </c>
      <c r="W1964" s="0" t="str">
        <f aca="false">INDEX(Summary!$S$2:$S$201,MATCH($B1964,Summary!$A$2:$A$201,0))</f>
        <v>Gold</v>
      </c>
      <c r="X1964" s="2" t="n">
        <f aca="false">INDEX(Summary!$T$2:$T$201,MATCH($B1964,Summary!$A$2:$A$201,0))</f>
        <v>74.37</v>
      </c>
      <c r="Y1964" s="0" t="str">
        <f aca="false">INDEX('Reward Model'!$E$18:$E$37,MATCH($E1964,'Reward Model'!$A$18:$A$37,0))</f>
        <v>Medium</v>
      </c>
      <c r="Z1964" s="4" t="n">
        <f aca="false">ROUND(MIN(1,MAX('Reward Model'!$B$2,INDEX('Reward Model'!$C$12:$C$14,MATCH($K1964,'Reward Model'!$A$12:$A$14,0))/$J1964)),3)</f>
        <v>1</v>
      </c>
      <c r="AA1964" s="2" t="n">
        <f aca="false">IF($I1964="Correct",ROUND(INDEX('Reward Model'!$B$12:$B$14,MATCH($K1964,'Reward Model'!$A$12:$A$14,0))*Z1964,2),0)</f>
        <v>1</v>
      </c>
      <c r="AB1964" s="2" t="n">
        <f aca="false">IF($I1964="Correct",ROUND(INDEX('Reward Model'!$B$12:$B$14,MATCH($Y1964,'Reward Model'!$A$12:$A$14,0))*Z1964,2),0)</f>
        <v>2</v>
      </c>
    </row>
    <row r="1965" customFormat="false" ht="15" hidden="false" customHeight="false" outlineLevel="0" collapsed="false">
      <c r="A1965" s="0" t="s">
        <v>327</v>
      </c>
      <c r="B1965" s="0" t="s">
        <v>328</v>
      </c>
      <c r="C1965" s="0" t="s">
        <v>322</v>
      </c>
      <c r="D1965" s="0" t="s">
        <v>31</v>
      </c>
      <c r="E1965" s="0" t="n">
        <v>4</v>
      </c>
      <c r="F1965" s="0" t="s">
        <v>43</v>
      </c>
      <c r="G1965" s="0" t="s">
        <v>45</v>
      </c>
      <c r="H1965" s="0" t="s">
        <v>45</v>
      </c>
      <c r="I1965" s="0" t="s">
        <v>34</v>
      </c>
      <c r="J1965" s="0" t="n">
        <v>1.01</v>
      </c>
      <c r="K1965" s="0" t="s">
        <v>35</v>
      </c>
      <c r="L1965" s="0" t="n">
        <f aca="false">INDEX(Summary!$F$2:$F$201,MATCH($B1965,Summary!$A$2:$A$201,0))</f>
        <v>20</v>
      </c>
      <c r="M1965" s="0" t="n">
        <f aca="false">INDEX(Summary!$I$2:$I$201,MATCH($B1965,Summary!$A$2:$A$201,0))</f>
        <v>3</v>
      </c>
      <c r="N1965" s="0" t="n">
        <f aca="false">INDEX(Summary!$J$2:$J$201,MATCH($B1965,Summary!$A$2:$A$201,0))</f>
        <v>2</v>
      </c>
      <c r="O1965" s="2" t="n">
        <f aca="false">INDEX(Summary!$K$2:$K$201,MATCH($B1965,Summary!$A$2:$A$201,0))</f>
        <v>8.59</v>
      </c>
      <c r="P1965" s="3" t="n">
        <f aca="false">INDEX(Summary!$L$2:$L$201,MATCH($B1965,Summary!$A$2:$A$201,0))</f>
        <v>5</v>
      </c>
      <c r="Q1965" s="3" t="n">
        <f aca="false">INDEX(Summary!$M$2:$M$201,MATCH($B1965,Summary!$A$2:$A$201,0))</f>
        <v>1</v>
      </c>
      <c r="R1965" s="2" t="n">
        <f aca="false">INDEX(Summary!$N$2:$N$201,MATCH($B1965,Summary!$A$2:$A$201,0))</f>
        <v>10.37</v>
      </c>
      <c r="S1965" s="3" t="n">
        <f aca="false">INDEX(Summary!$O$2:$O$201,MATCH($B1965,Summary!$A$2:$A$201,0))</f>
        <v>8</v>
      </c>
      <c r="T1965" s="3" t="n">
        <f aca="false">INDEX(Summary!$P$2:$P$201,MATCH($B1965,Summary!$A$2:$A$201,0))</f>
        <v>1</v>
      </c>
      <c r="U1965" s="2" t="n">
        <f aca="false">INDEX(Summary!$Q$2:$Q$201,MATCH($B1965,Summary!$A$2:$A$201,0))</f>
        <v>13.27</v>
      </c>
      <c r="V1965" s="2" t="n">
        <f aca="false">INDEX(Summary!$R$2:$R$201,MATCH($B1965,Summary!$A$2:$A$201,0))</f>
        <v>30.49</v>
      </c>
      <c r="W1965" s="0" t="str">
        <f aca="false">INDEX(Summary!$S$2:$S$201,MATCH($B1965,Summary!$A$2:$A$201,0))</f>
        <v>Gold</v>
      </c>
      <c r="X1965" s="2" t="n">
        <f aca="false">INDEX(Summary!$T$2:$T$201,MATCH($B1965,Summary!$A$2:$A$201,0))</f>
        <v>74.37</v>
      </c>
      <c r="Y1965" s="0" t="str">
        <f aca="false">INDEX('Reward Model'!$E$18:$E$37,MATCH($E1965,'Reward Model'!$A$18:$A$37,0))</f>
        <v>Low</v>
      </c>
      <c r="Z1965" s="4" t="n">
        <f aca="false">ROUND(MIN(1,MAX('Reward Model'!$B$2,INDEX('Reward Model'!$C$12:$C$14,MATCH($K1965,'Reward Model'!$A$12:$A$14,0))/$J1965)),3)</f>
        <v>1</v>
      </c>
      <c r="AA1965" s="2" t="n">
        <f aca="false">IF($I1965="Correct",ROUND(INDEX('Reward Model'!$B$12:$B$14,MATCH($K1965,'Reward Model'!$A$12:$A$14,0))*Z1965,2),0)</f>
        <v>1</v>
      </c>
      <c r="AB1965" s="2" t="n">
        <f aca="false">IF($I1965="Correct",ROUND(INDEX('Reward Model'!$B$12:$B$14,MATCH($Y1965,'Reward Model'!$A$12:$A$14,0))*Z1965,2),0)</f>
        <v>1</v>
      </c>
    </row>
    <row r="1966" customFormat="false" ht="15" hidden="false" customHeight="false" outlineLevel="0" collapsed="false">
      <c r="A1966" s="0" t="s">
        <v>327</v>
      </c>
      <c r="B1966" s="0" t="s">
        <v>328</v>
      </c>
      <c r="C1966" s="0" t="s">
        <v>322</v>
      </c>
      <c r="D1966" s="0" t="s">
        <v>31</v>
      </c>
      <c r="E1966" s="0" t="n">
        <v>5</v>
      </c>
      <c r="F1966" s="0" t="s">
        <v>46</v>
      </c>
      <c r="G1966" s="0" t="s">
        <v>149</v>
      </c>
      <c r="H1966" s="0" t="s">
        <v>47</v>
      </c>
      <c r="I1966" s="0" t="s">
        <v>39</v>
      </c>
      <c r="J1966" s="0" t="n">
        <v>1.19</v>
      </c>
      <c r="K1966" s="0" t="s">
        <v>35</v>
      </c>
      <c r="L1966" s="0" t="n">
        <f aca="false">INDEX(Summary!$F$2:$F$201,MATCH($B1966,Summary!$A$2:$A$201,0))</f>
        <v>20</v>
      </c>
      <c r="M1966" s="0" t="n">
        <f aca="false">INDEX(Summary!$I$2:$I$201,MATCH($B1966,Summary!$A$2:$A$201,0))</f>
        <v>3</v>
      </c>
      <c r="N1966" s="0" t="n">
        <f aca="false">INDEX(Summary!$J$2:$J$201,MATCH($B1966,Summary!$A$2:$A$201,0))</f>
        <v>2</v>
      </c>
      <c r="O1966" s="2" t="n">
        <f aca="false">INDEX(Summary!$K$2:$K$201,MATCH($B1966,Summary!$A$2:$A$201,0))</f>
        <v>8.59</v>
      </c>
      <c r="P1966" s="3" t="n">
        <f aca="false">INDEX(Summary!$L$2:$L$201,MATCH($B1966,Summary!$A$2:$A$201,0))</f>
        <v>5</v>
      </c>
      <c r="Q1966" s="3" t="n">
        <f aca="false">INDEX(Summary!$M$2:$M$201,MATCH($B1966,Summary!$A$2:$A$201,0))</f>
        <v>1</v>
      </c>
      <c r="R1966" s="2" t="n">
        <f aca="false">INDEX(Summary!$N$2:$N$201,MATCH($B1966,Summary!$A$2:$A$201,0))</f>
        <v>10.37</v>
      </c>
      <c r="S1966" s="3" t="n">
        <f aca="false">INDEX(Summary!$O$2:$O$201,MATCH($B1966,Summary!$A$2:$A$201,0))</f>
        <v>8</v>
      </c>
      <c r="T1966" s="3" t="n">
        <f aca="false">INDEX(Summary!$P$2:$P$201,MATCH($B1966,Summary!$A$2:$A$201,0))</f>
        <v>1</v>
      </c>
      <c r="U1966" s="2" t="n">
        <f aca="false">INDEX(Summary!$Q$2:$Q$201,MATCH($B1966,Summary!$A$2:$A$201,0))</f>
        <v>13.27</v>
      </c>
      <c r="V1966" s="2" t="n">
        <f aca="false">INDEX(Summary!$R$2:$R$201,MATCH($B1966,Summary!$A$2:$A$201,0))</f>
        <v>30.49</v>
      </c>
      <c r="W1966" s="0" t="str">
        <f aca="false">INDEX(Summary!$S$2:$S$201,MATCH($B1966,Summary!$A$2:$A$201,0))</f>
        <v>Gold</v>
      </c>
      <c r="X1966" s="2" t="n">
        <f aca="false">INDEX(Summary!$T$2:$T$201,MATCH($B1966,Summary!$A$2:$A$201,0))</f>
        <v>74.37</v>
      </c>
      <c r="Y1966" s="0" t="str">
        <f aca="false">INDEX('Reward Model'!$E$18:$E$37,MATCH($E1966,'Reward Model'!$A$18:$A$37,0))</f>
        <v>Low</v>
      </c>
      <c r="Z1966" s="4" t="n">
        <f aca="false">ROUND(MIN(1,MAX('Reward Model'!$B$2,INDEX('Reward Model'!$C$12:$C$14,MATCH($K1966,'Reward Model'!$A$12:$A$14,0))/$J1966)),3)</f>
        <v>1</v>
      </c>
      <c r="AA1966" s="2" t="n">
        <f aca="false">IF($I1966="Correct",ROUND(INDEX('Reward Model'!$B$12:$B$14,MATCH($K1966,'Reward Model'!$A$12:$A$14,0))*Z1966,2),0)</f>
        <v>0</v>
      </c>
      <c r="AB1966" s="2" t="n">
        <f aca="false">IF($I1966="Correct",ROUND(INDEX('Reward Model'!$B$12:$B$14,MATCH($Y1966,'Reward Model'!$A$12:$A$14,0))*Z1966,2),0)</f>
        <v>0</v>
      </c>
    </row>
    <row r="1967" customFormat="false" ht="15" hidden="false" customHeight="false" outlineLevel="0" collapsed="false">
      <c r="A1967" s="0" t="s">
        <v>327</v>
      </c>
      <c r="B1967" s="0" t="s">
        <v>328</v>
      </c>
      <c r="C1967" s="0" t="s">
        <v>322</v>
      </c>
      <c r="D1967" s="0" t="s">
        <v>31</v>
      </c>
      <c r="E1967" s="0" t="n">
        <v>6</v>
      </c>
      <c r="F1967" s="0" t="s">
        <v>48</v>
      </c>
      <c r="G1967" s="0" t="s">
        <v>49</v>
      </c>
      <c r="H1967" s="0" t="s">
        <v>49</v>
      </c>
      <c r="I1967" s="0" t="s">
        <v>34</v>
      </c>
      <c r="J1967" s="0" t="n">
        <v>1.43</v>
      </c>
      <c r="K1967" s="0" t="s">
        <v>35</v>
      </c>
      <c r="L1967" s="0" t="n">
        <f aca="false">INDEX(Summary!$F$2:$F$201,MATCH($B1967,Summary!$A$2:$A$201,0))</f>
        <v>20</v>
      </c>
      <c r="M1967" s="0" t="n">
        <f aca="false">INDEX(Summary!$I$2:$I$201,MATCH($B1967,Summary!$A$2:$A$201,0))</f>
        <v>3</v>
      </c>
      <c r="N1967" s="0" t="n">
        <f aca="false">INDEX(Summary!$J$2:$J$201,MATCH($B1967,Summary!$A$2:$A$201,0))</f>
        <v>2</v>
      </c>
      <c r="O1967" s="2" t="n">
        <f aca="false">INDEX(Summary!$K$2:$K$201,MATCH($B1967,Summary!$A$2:$A$201,0))</f>
        <v>8.59</v>
      </c>
      <c r="P1967" s="3" t="n">
        <f aca="false">INDEX(Summary!$L$2:$L$201,MATCH($B1967,Summary!$A$2:$A$201,0))</f>
        <v>5</v>
      </c>
      <c r="Q1967" s="3" t="n">
        <f aca="false">INDEX(Summary!$M$2:$M$201,MATCH($B1967,Summary!$A$2:$A$201,0))</f>
        <v>1</v>
      </c>
      <c r="R1967" s="2" t="n">
        <f aca="false">INDEX(Summary!$N$2:$N$201,MATCH($B1967,Summary!$A$2:$A$201,0))</f>
        <v>10.37</v>
      </c>
      <c r="S1967" s="3" t="n">
        <f aca="false">INDEX(Summary!$O$2:$O$201,MATCH($B1967,Summary!$A$2:$A$201,0))</f>
        <v>8</v>
      </c>
      <c r="T1967" s="3" t="n">
        <f aca="false">INDEX(Summary!$P$2:$P$201,MATCH($B1967,Summary!$A$2:$A$201,0))</f>
        <v>1</v>
      </c>
      <c r="U1967" s="2" t="n">
        <f aca="false">INDEX(Summary!$Q$2:$Q$201,MATCH($B1967,Summary!$A$2:$A$201,0))</f>
        <v>13.27</v>
      </c>
      <c r="V1967" s="2" t="n">
        <f aca="false">INDEX(Summary!$R$2:$R$201,MATCH($B1967,Summary!$A$2:$A$201,0))</f>
        <v>30.49</v>
      </c>
      <c r="W1967" s="0" t="str">
        <f aca="false">INDEX(Summary!$S$2:$S$201,MATCH($B1967,Summary!$A$2:$A$201,0))</f>
        <v>Gold</v>
      </c>
      <c r="X1967" s="2" t="n">
        <f aca="false">INDEX(Summary!$T$2:$T$201,MATCH($B1967,Summary!$A$2:$A$201,0))</f>
        <v>74.37</v>
      </c>
      <c r="Y1967" s="0" t="str">
        <f aca="false">INDEX('Reward Model'!$E$18:$E$37,MATCH($E1967,'Reward Model'!$A$18:$A$37,0))</f>
        <v>Medium</v>
      </c>
      <c r="Z1967" s="4" t="n">
        <f aca="false">ROUND(MIN(1,MAX('Reward Model'!$B$2,INDEX('Reward Model'!$C$12:$C$14,MATCH($K1967,'Reward Model'!$A$12:$A$14,0))/$J1967)),3)</f>
        <v>1</v>
      </c>
      <c r="AA1967" s="2" t="n">
        <f aca="false">IF($I1967="Correct",ROUND(INDEX('Reward Model'!$B$12:$B$14,MATCH($K1967,'Reward Model'!$A$12:$A$14,0))*Z1967,2),0)</f>
        <v>1</v>
      </c>
      <c r="AB1967" s="2" t="n">
        <f aca="false">IF($I1967="Correct",ROUND(INDEX('Reward Model'!$B$12:$B$14,MATCH($Y1967,'Reward Model'!$A$12:$A$14,0))*Z1967,2),0)</f>
        <v>2</v>
      </c>
    </row>
    <row r="1968" customFormat="false" ht="15" hidden="false" customHeight="false" outlineLevel="0" collapsed="false">
      <c r="A1968" s="0" t="s">
        <v>327</v>
      </c>
      <c r="B1968" s="0" t="s">
        <v>328</v>
      </c>
      <c r="C1968" s="0" t="s">
        <v>322</v>
      </c>
      <c r="D1968" s="0" t="s">
        <v>31</v>
      </c>
      <c r="E1968" s="0" t="n">
        <v>7</v>
      </c>
      <c r="F1968" s="0" t="s">
        <v>50</v>
      </c>
      <c r="G1968" s="0" t="s">
        <v>51</v>
      </c>
      <c r="H1968" s="0" t="s">
        <v>51</v>
      </c>
      <c r="I1968" s="0" t="s">
        <v>34</v>
      </c>
      <c r="J1968" s="0" t="n">
        <v>1.97</v>
      </c>
      <c r="K1968" s="0" t="s">
        <v>35</v>
      </c>
      <c r="L1968" s="0" t="n">
        <f aca="false">INDEX(Summary!$F$2:$F$201,MATCH($B1968,Summary!$A$2:$A$201,0))</f>
        <v>20</v>
      </c>
      <c r="M1968" s="0" t="n">
        <f aca="false">INDEX(Summary!$I$2:$I$201,MATCH($B1968,Summary!$A$2:$A$201,0))</f>
        <v>3</v>
      </c>
      <c r="N1968" s="0" t="n">
        <f aca="false">INDEX(Summary!$J$2:$J$201,MATCH($B1968,Summary!$A$2:$A$201,0))</f>
        <v>2</v>
      </c>
      <c r="O1968" s="2" t="n">
        <f aca="false">INDEX(Summary!$K$2:$K$201,MATCH($B1968,Summary!$A$2:$A$201,0))</f>
        <v>8.59</v>
      </c>
      <c r="P1968" s="3" t="n">
        <f aca="false">INDEX(Summary!$L$2:$L$201,MATCH($B1968,Summary!$A$2:$A$201,0))</f>
        <v>5</v>
      </c>
      <c r="Q1968" s="3" t="n">
        <f aca="false">INDEX(Summary!$M$2:$M$201,MATCH($B1968,Summary!$A$2:$A$201,0))</f>
        <v>1</v>
      </c>
      <c r="R1968" s="2" t="n">
        <f aca="false">INDEX(Summary!$N$2:$N$201,MATCH($B1968,Summary!$A$2:$A$201,0))</f>
        <v>10.37</v>
      </c>
      <c r="S1968" s="3" t="n">
        <f aca="false">INDEX(Summary!$O$2:$O$201,MATCH($B1968,Summary!$A$2:$A$201,0))</f>
        <v>8</v>
      </c>
      <c r="T1968" s="3" t="n">
        <f aca="false">INDEX(Summary!$P$2:$P$201,MATCH($B1968,Summary!$A$2:$A$201,0))</f>
        <v>1</v>
      </c>
      <c r="U1968" s="2" t="n">
        <f aca="false">INDEX(Summary!$Q$2:$Q$201,MATCH($B1968,Summary!$A$2:$A$201,0))</f>
        <v>13.27</v>
      </c>
      <c r="V1968" s="2" t="n">
        <f aca="false">INDEX(Summary!$R$2:$R$201,MATCH($B1968,Summary!$A$2:$A$201,0))</f>
        <v>30.49</v>
      </c>
      <c r="W1968" s="0" t="str">
        <f aca="false">INDEX(Summary!$S$2:$S$201,MATCH($B1968,Summary!$A$2:$A$201,0))</f>
        <v>Gold</v>
      </c>
      <c r="X1968" s="2" t="n">
        <f aca="false">INDEX(Summary!$T$2:$T$201,MATCH($B1968,Summary!$A$2:$A$201,0))</f>
        <v>74.37</v>
      </c>
      <c r="Y1968" s="0" t="str">
        <f aca="false">INDEX('Reward Model'!$E$18:$E$37,MATCH($E1968,'Reward Model'!$A$18:$A$37,0))</f>
        <v>Low</v>
      </c>
      <c r="Z1968" s="4" t="n">
        <f aca="false">ROUND(MIN(1,MAX('Reward Model'!$B$2,INDEX('Reward Model'!$C$12:$C$14,MATCH($K1968,'Reward Model'!$A$12:$A$14,0))/$J1968)),3)</f>
        <v>0.761</v>
      </c>
      <c r="AA1968" s="2" t="n">
        <f aca="false">IF($I1968="Correct",ROUND(INDEX('Reward Model'!$B$12:$B$14,MATCH($K1968,'Reward Model'!$A$12:$A$14,0))*Z1968,2),0)</f>
        <v>0.76</v>
      </c>
      <c r="AB1968" s="2" t="n">
        <f aca="false">IF($I1968="Correct",ROUND(INDEX('Reward Model'!$B$12:$B$14,MATCH($Y1968,'Reward Model'!$A$12:$A$14,0))*Z1968,2),0)</f>
        <v>0.76</v>
      </c>
    </row>
    <row r="1969" customFormat="false" ht="15" hidden="false" customHeight="false" outlineLevel="0" collapsed="false">
      <c r="A1969" s="0" t="s">
        <v>327</v>
      </c>
      <c r="B1969" s="0" t="s">
        <v>328</v>
      </c>
      <c r="C1969" s="0" t="s">
        <v>322</v>
      </c>
      <c r="D1969" s="0" t="s">
        <v>31</v>
      </c>
      <c r="E1969" s="0" t="n">
        <v>8</v>
      </c>
      <c r="F1969" s="0" t="s">
        <v>52</v>
      </c>
      <c r="G1969" s="0" t="s">
        <v>54</v>
      </c>
      <c r="H1969" s="0" t="s">
        <v>54</v>
      </c>
      <c r="I1969" s="0" t="s">
        <v>34</v>
      </c>
      <c r="J1969" s="0" t="n">
        <v>1.85</v>
      </c>
      <c r="K1969" s="0" t="s">
        <v>35</v>
      </c>
      <c r="L1969" s="0" t="n">
        <f aca="false">INDEX(Summary!$F$2:$F$201,MATCH($B1969,Summary!$A$2:$A$201,0))</f>
        <v>20</v>
      </c>
      <c r="M1969" s="0" t="n">
        <f aca="false">INDEX(Summary!$I$2:$I$201,MATCH($B1969,Summary!$A$2:$A$201,0))</f>
        <v>3</v>
      </c>
      <c r="N1969" s="0" t="n">
        <f aca="false">INDEX(Summary!$J$2:$J$201,MATCH($B1969,Summary!$A$2:$A$201,0))</f>
        <v>2</v>
      </c>
      <c r="O1969" s="2" t="n">
        <f aca="false">INDEX(Summary!$K$2:$K$201,MATCH($B1969,Summary!$A$2:$A$201,0))</f>
        <v>8.59</v>
      </c>
      <c r="P1969" s="3" t="n">
        <f aca="false">INDEX(Summary!$L$2:$L$201,MATCH($B1969,Summary!$A$2:$A$201,0))</f>
        <v>5</v>
      </c>
      <c r="Q1969" s="3" t="n">
        <f aca="false">INDEX(Summary!$M$2:$M$201,MATCH($B1969,Summary!$A$2:$A$201,0))</f>
        <v>1</v>
      </c>
      <c r="R1969" s="2" t="n">
        <f aca="false">INDEX(Summary!$N$2:$N$201,MATCH($B1969,Summary!$A$2:$A$201,0))</f>
        <v>10.37</v>
      </c>
      <c r="S1969" s="3" t="n">
        <f aca="false">INDEX(Summary!$O$2:$O$201,MATCH($B1969,Summary!$A$2:$A$201,0))</f>
        <v>8</v>
      </c>
      <c r="T1969" s="3" t="n">
        <f aca="false">INDEX(Summary!$P$2:$P$201,MATCH($B1969,Summary!$A$2:$A$201,0))</f>
        <v>1</v>
      </c>
      <c r="U1969" s="2" t="n">
        <f aca="false">INDEX(Summary!$Q$2:$Q$201,MATCH($B1969,Summary!$A$2:$A$201,0))</f>
        <v>13.27</v>
      </c>
      <c r="V1969" s="2" t="n">
        <f aca="false">INDEX(Summary!$R$2:$R$201,MATCH($B1969,Summary!$A$2:$A$201,0))</f>
        <v>30.49</v>
      </c>
      <c r="W1969" s="0" t="str">
        <f aca="false">INDEX(Summary!$S$2:$S$201,MATCH($B1969,Summary!$A$2:$A$201,0))</f>
        <v>Gold</v>
      </c>
      <c r="X1969" s="2" t="n">
        <f aca="false">INDEX(Summary!$T$2:$T$201,MATCH($B1969,Summary!$A$2:$A$201,0))</f>
        <v>74.37</v>
      </c>
      <c r="Y1969" s="0" t="str">
        <f aca="false">INDEX('Reward Model'!$E$18:$E$37,MATCH($E1969,'Reward Model'!$A$18:$A$37,0))</f>
        <v>Medium</v>
      </c>
      <c r="Z1969" s="4" t="n">
        <f aca="false">ROUND(MIN(1,MAX('Reward Model'!$B$2,INDEX('Reward Model'!$C$12:$C$14,MATCH($K1969,'Reward Model'!$A$12:$A$14,0))/$J1969)),3)</f>
        <v>0.811</v>
      </c>
      <c r="AA1969" s="2" t="n">
        <f aca="false">IF($I1969="Correct",ROUND(INDEX('Reward Model'!$B$12:$B$14,MATCH($K1969,'Reward Model'!$A$12:$A$14,0))*Z1969,2),0)</f>
        <v>0.81</v>
      </c>
      <c r="AB1969" s="2" t="n">
        <f aca="false">IF($I1969="Correct",ROUND(INDEX('Reward Model'!$B$12:$B$14,MATCH($Y1969,'Reward Model'!$A$12:$A$14,0))*Z1969,2),0)</f>
        <v>1.62</v>
      </c>
    </row>
    <row r="1970" customFormat="false" ht="15" hidden="false" customHeight="false" outlineLevel="0" collapsed="false">
      <c r="A1970" s="0" t="s">
        <v>327</v>
      </c>
      <c r="B1970" s="0" t="s">
        <v>328</v>
      </c>
      <c r="C1970" s="0" t="s">
        <v>322</v>
      </c>
      <c r="D1970" s="0" t="s">
        <v>31</v>
      </c>
      <c r="E1970" s="0" t="n">
        <v>9</v>
      </c>
      <c r="F1970" s="0" t="s">
        <v>55</v>
      </c>
      <c r="G1970" s="0" t="s">
        <v>57</v>
      </c>
      <c r="H1970" s="0" t="s">
        <v>57</v>
      </c>
      <c r="I1970" s="0" t="s">
        <v>34</v>
      </c>
      <c r="J1970" s="0" t="n">
        <v>0.94</v>
      </c>
      <c r="K1970" s="0" t="s">
        <v>35</v>
      </c>
      <c r="L1970" s="0" t="n">
        <f aca="false">INDEX(Summary!$F$2:$F$201,MATCH($B1970,Summary!$A$2:$A$201,0))</f>
        <v>20</v>
      </c>
      <c r="M1970" s="0" t="n">
        <f aca="false">INDEX(Summary!$I$2:$I$201,MATCH($B1970,Summary!$A$2:$A$201,0))</f>
        <v>3</v>
      </c>
      <c r="N1970" s="0" t="n">
        <f aca="false">INDEX(Summary!$J$2:$J$201,MATCH($B1970,Summary!$A$2:$A$201,0))</f>
        <v>2</v>
      </c>
      <c r="O1970" s="2" t="n">
        <f aca="false">INDEX(Summary!$K$2:$K$201,MATCH($B1970,Summary!$A$2:$A$201,0))</f>
        <v>8.59</v>
      </c>
      <c r="P1970" s="3" t="n">
        <f aca="false">INDEX(Summary!$L$2:$L$201,MATCH($B1970,Summary!$A$2:$A$201,0))</f>
        <v>5</v>
      </c>
      <c r="Q1970" s="3" t="n">
        <f aca="false">INDEX(Summary!$M$2:$M$201,MATCH($B1970,Summary!$A$2:$A$201,0))</f>
        <v>1</v>
      </c>
      <c r="R1970" s="2" t="n">
        <f aca="false">INDEX(Summary!$N$2:$N$201,MATCH($B1970,Summary!$A$2:$A$201,0))</f>
        <v>10.37</v>
      </c>
      <c r="S1970" s="3" t="n">
        <f aca="false">INDEX(Summary!$O$2:$O$201,MATCH($B1970,Summary!$A$2:$A$201,0))</f>
        <v>8</v>
      </c>
      <c r="T1970" s="3" t="n">
        <f aca="false">INDEX(Summary!$P$2:$P$201,MATCH($B1970,Summary!$A$2:$A$201,0))</f>
        <v>1</v>
      </c>
      <c r="U1970" s="2" t="n">
        <f aca="false">INDEX(Summary!$Q$2:$Q$201,MATCH($B1970,Summary!$A$2:$A$201,0))</f>
        <v>13.27</v>
      </c>
      <c r="V1970" s="2" t="n">
        <f aca="false">INDEX(Summary!$R$2:$R$201,MATCH($B1970,Summary!$A$2:$A$201,0))</f>
        <v>30.49</v>
      </c>
      <c r="W1970" s="0" t="str">
        <f aca="false">INDEX(Summary!$S$2:$S$201,MATCH($B1970,Summary!$A$2:$A$201,0))</f>
        <v>Gold</v>
      </c>
      <c r="X1970" s="2" t="n">
        <f aca="false">INDEX(Summary!$T$2:$T$201,MATCH($B1970,Summary!$A$2:$A$201,0))</f>
        <v>74.37</v>
      </c>
      <c r="Y1970" s="0" t="str">
        <f aca="false">INDEX('Reward Model'!$E$18:$E$37,MATCH($E1970,'Reward Model'!$A$18:$A$37,0))</f>
        <v>Medium</v>
      </c>
      <c r="Z1970" s="4" t="n">
        <f aca="false">ROUND(MIN(1,MAX('Reward Model'!$B$2,INDEX('Reward Model'!$C$12:$C$14,MATCH($K1970,'Reward Model'!$A$12:$A$14,0))/$J1970)),3)</f>
        <v>1</v>
      </c>
      <c r="AA1970" s="2" t="n">
        <f aca="false">IF($I1970="Correct",ROUND(INDEX('Reward Model'!$B$12:$B$14,MATCH($K1970,'Reward Model'!$A$12:$A$14,0))*Z1970,2),0)</f>
        <v>1</v>
      </c>
      <c r="AB1970" s="2" t="n">
        <f aca="false">IF($I1970="Correct",ROUND(INDEX('Reward Model'!$B$12:$B$14,MATCH($Y1970,'Reward Model'!$A$12:$A$14,0))*Z1970,2),0)</f>
        <v>2</v>
      </c>
    </row>
    <row r="1971" customFormat="false" ht="15" hidden="false" customHeight="false" outlineLevel="0" collapsed="false">
      <c r="A1971" s="0" t="s">
        <v>327</v>
      </c>
      <c r="B1971" s="0" t="s">
        <v>328</v>
      </c>
      <c r="C1971" s="0" t="s">
        <v>322</v>
      </c>
      <c r="D1971" s="0" t="s">
        <v>31</v>
      </c>
      <c r="E1971" s="0" t="n">
        <v>10</v>
      </c>
      <c r="F1971" s="0" t="s">
        <v>58</v>
      </c>
      <c r="G1971" s="0" t="s">
        <v>59</v>
      </c>
      <c r="H1971" s="0" t="s">
        <v>59</v>
      </c>
      <c r="I1971" s="0" t="s">
        <v>34</v>
      </c>
      <c r="J1971" s="0" t="n">
        <v>1.67</v>
      </c>
      <c r="K1971" s="0" t="s">
        <v>60</v>
      </c>
      <c r="L1971" s="0" t="n">
        <f aca="false">INDEX(Summary!$F$2:$F$201,MATCH($B1971,Summary!$A$2:$A$201,0))</f>
        <v>20</v>
      </c>
      <c r="M1971" s="0" t="n">
        <f aca="false">INDEX(Summary!$I$2:$I$201,MATCH($B1971,Summary!$A$2:$A$201,0))</f>
        <v>3</v>
      </c>
      <c r="N1971" s="0" t="n">
        <f aca="false">INDEX(Summary!$J$2:$J$201,MATCH($B1971,Summary!$A$2:$A$201,0))</f>
        <v>2</v>
      </c>
      <c r="O1971" s="2" t="n">
        <f aca="false">INDEX(Summary!$K$2:$K$201,MATCH($B1971,Summary!$A$2:$A$201,0))</f>
        <v>8.59</v>
      </c>
      <c r="P1971" s="3" t="n">
        <f aca="false">INDEX(Summary!$L$2:$L$201,MATCH($B1971,Summary!$A$2:$A$201,0))</f>
        <v>5</v>
      </c>
      <c r="Q1971" s="3" t="n">
        <f aca="false">INDEX(Summary!$M$2:$M$201,MATCH($B1971,Summary!$A$2:$A$201,0))</f>
        <v>1</v>
      </c>
      <c r="R1971" s="2" t="n">
        <f aca="false">INDEX(Summary!$N$2:$N$201,MATCH($B1971,Summary!$A$2:$A$201,0))</f>
        <v>10.37</v>
      </c>
      <c r="S1971" s="3" t="n">
        <f aca="false">INDEX(Summary!$O$2:$O$201,MATCH($B1971,Summary!$A$2:$A$201,0))</f>
        <v>8</v>
      </c>
      <c r="T1971" s="3" t="n">
        <f aca="false">INDEX(Summary!$P$2:$P$201,MATCH($B1971,Summary!$A$2:$A$201,0))</f>
        <v>1</v>
      </c>
      <c r="U1971" s="2" t="n">
        <f aca="false">INDEX(Summary!$Q$2:$Q$201,MATCH($B1971,Summary!$A$2:$A$201,0))</f>
        <v>13.27</v>
      </c>
      <c r="V1971" s="2" t="n">
        <f aca="false">INDEX(Summary!$R$2:$R$201,MATCH($B1971,Summary!$A$2:$A$201,0))</f>
        <v>30.49</v>
      </c>
      <c r="W1971" s="0" t="str">
        <f aca="false">INDEX(Summary!$S$2:$S$201,MATCH($B1971,Summary!$A$2:$A$201,0))</f>
        <v>Gold</v>
      </c>
      <c r="X1971" s="2" t="n">
        <f aca="false">INDEX(Summary!$T$2:$T$201,MATCH($B1971,Summary!$A$2:$A$201,0))</f>
        <v>74.37</v>
      </c>
      <c r="Y1971" s="0" t="str">
        <f aca="false">INDEX('Reward Model'!$E$18:$E$37,MATCH($E1971,'Reward Model'!$A$18:$A$37,0))</f>
        <v>Medium</v>
      </c>
      <c r="Z1971" s="4" t="n">
        <f aca="false">ROUND(MIN(1,MAX('Reward Model'!$B$2,INDEX('Reward Model'!$C$12:$C$14,MATCH($K1971,'Reward Model'!$A$12:$A$14,0))/$J1971)),3)</f>
        <v>1</v>
      </c>
      <c r="AA1971" s="2" t="n">
        <f aca="false">IF($I1971="Correct",ROUND(INDEX('Reward Model'!$B$12:$B$14,MATCH($K1971,'Reward Model'!$A$12:$A$14,0))*Z1971,2),0)</f>
        <v>2</v>
      </c>
      <c r="AB1971" s="2" t="n">
        <f aca="false">IF($I1971="Correct",ROUND(INDEX('Reward Model'!$B$12:$B$14,MATCH($Y1971,'Reward Model'!$A$12:$A$14,0))*Z1971,2),0)</f>
        <v>2</v>
      </c>
    </row>
    <row r="1972" customFormat="false" ht="15" hidden="false" customHeight="false" outlineLevel="0" collapsed="false">
      <c r="A1972" s="0" t="s">
        <v>327</v>
      </c>
      <c r="B1972" s="0" t="s">
        <v>328</v>
      </c>
      <c r="C1972" s="0" t="s">
        <v>322</v>
      </c>
      <c r="D1972" s="0" t="s">
        <v>31</v>
      </c>
      <c r="E1972" s="0" t="n">
        <v>11</v>
      </c>
      <c r="F1972" s="0" t="s">
        <v>61</v>
      </c>
      <c r="G1972" s="0" t="s">
        <v>63</v>
      </c>
      <c r="H1972" s="0" t="s">
        <v>63</v>
      </c>
      <c r="I1972" s="0" t="s">
        <v>34</v>
      </c>
      <c r="J1972" s="0" t="n">
        <v>1.9</v>
      </c>
      <c r="K1972" s="0" t="s">
        <v>60</v>
      </c>
      <c r="L1972" s="0" t="n">
        <f aca="false">INDEX(Summary!$F$2:$F$201,MATCH($B1972,Summary!$A$2:$A$201,0))</f>
        <v>20</v>
      </c>
      <c r="M1972" s="0" t="n">
        <f aca="false">INDEX(Summary!$I$2:$I$201,MATCH($B1972,Summary!$A$2:$A$201,0))</f>
        <v>3</v>
      </c>
      <c r="N1972" s="0" t="n">
        <f aca="false">INDEX(Summary!$J$2:$J$201,MATCH($B1972,Summary!$A$2:$A$201,0))</f>
        <v>2</v>
      </c>
      <c r="O1972" s="2" t="n">
        <f aca="false">INDEX(Summary!$K$2:$K$201,MATCH($B1972,Summary!$A$2:$A$201,0))</f>
        <v>8.59</v>
      </c>
      <c r="P1972" s="3" t="n">
        <f aca="false">INDEX(Summary!$L$2:$L$201,MATCH($B1972,Summary!$A$2:$A$201,0))</f>
        <v>5</v>
      </c>
      <c r="Q1972" s="3" t="n">
        <f aca="false">INDEX(Summary!$M$2:$M$201,MATCH($B1972,Summary!$A$2:$A$201,0))</f>
        <v>1</v>
      </c>
      <c r="R1972" s="2" t="n">
        <f aca="false">INDEX(Summary!$N$2:$N$201,MATCH($B1972,Summary!$A$2:$A$201,0))</f>
        <v>10.37</v>
      </c>
      <c r="S1972" s="3" t="n">
        <f aca="false">INDEX(Summary!$O$2:$O$201,MATCH($B1972,Summary!$A$2:$A$201,0))</f>
        <v>8</v>
      </c>
      <c r="T1972" s="3" t="n">
        <f aca="false">INDEX(Summary!$P$2:$P$201,MATCH($B1972,Summary!$A$2:$A$201,0))</f>
        <v>1</v>
      </c>
      <c r="U1972" s="2" t="n">
        <f aca="false">INDEX(Summary!$Q$2:$Q$201,MATCH($B1972,Summary!$A$2:$A$201,0))</f>
        <v>13.27</v>
      </c>
      <c r="V1972" s="2" t="n">
        <f aca="false">INDEX(Summary!$R$2:$R$201,MATCH($B1972,Summary!$A$2:$A$201,0))</f>
        <v>30.49</v>
      </c>
      <c r="W1972" s="0" t="str">
        <f aca="false">INDEX(Summary!$S$2:$S$201,MATCH($B1972,Summary!$A$2:$A$201,0))</f>
        <v>Gold</v>
      </c>
      <c r="X1972" s="2" t="n">
        <f aca="false">INDEX(Summary!$T$2:$T$201,MATCH($B1972,Summary!$A$2:$A$201,0))</f>
        <v>74.37</v>
      </c>
      <c r="Y1972" s="0" t="str">
        <f aca="false">INDEX('Reward Model'!$E$18:$E$37,MATCH($E1972,'Reward Model'!$A$18:$A$37,0))</f>
        <v>Medium</v>
      </c>
      <c r="Z1972" s="4" t="n">
        <f aca="false">ROUND(MIN(1,MAX('Reward Model'!$B$2,INDEX('Reward Model'!$C$12:$C$14,MATCH($K1972,'Reward Model'!$A$12:$A$14,0))/$J1972)),3)</f>
        <v>0.947</v>
      </c>
      <c r="AA1972" s="2" t="n">
        <f aca="false">IF($I1972="Correct",ROUND(INDEX('Reward Model'!$B$12:$B$14,MATCH($K1972,'Reward Model'!$A$12:$A$14,0))*Z1972,2),0)</f>
        <v>1.89</v>
      </c>
      <c r="AB1972" s="2" t="n">
        <f aca="false">IF($I1972="Correct",ROUND(INDEX('Reward Model'!$B$12:$B$14,MATCH($Y1972,'Reward Model'!$A$12:$A$14,0))*Z1972,2),0)</f>
        <v>1.89</v>
      </c>
    </row>
    <row r="1973" customFormat="false" ht="15" hidden="false" customHeight="false" outlineLevel="0" collapsed="false">
      <c r="A1973" s="0" t="s">
        <v>327</v>
      </c>
      <c r="B1973" s="0" t="s">
        <v>328</v>
      </c>
      <c r="C1973" s="0" t="s">
        <v>322</v>
      </c>
      <c r="D1973" s="0" t="s">
        <v>31</v>
      </c>
      <c r="E1973" s="0" t="n">
        <v>12</v>
      </c>
      <c r="F1973" s="0" t="s">
        <v>64</v>
      </c>
      <c r="G1973" s="0" t="s">
        <v>65</v>
      </c>
      <c r="H1973" s="0" t="s">
        <v>65</v>
      </c>
      <c r="I1973" s="0" t="s">
        <v>34</v>
      </c>
      <c r="J1973" s="0" t="n">
        <v>2.09</v>
      </c>
      <c r="K1973" s="0" t="s">
        <v>60</v>
      </c>
      <c r="L1973" s="0" t="n">
        <f aca="false">INDEX(Summary!$F$2:$F$201,MATCH($B1973,Summary!$A$2:$A$201,0))</f>
        <v>20</v>
      </c>
      <c r="M1973" s="0" t="n">
        <f aca="false">INDEX(Summary!$I$2:$I$201,MATCH($B1973,Summary!$A$2:$A$201,0))</f>
        <v>3</v>
      </c>
      <c r="N1973" s="0" t="n">
        <f aca="false">INDEX(Summary!$J$2:$J$201,MATCH($B1973,Summary!$A$2:$A$201,0))</f>
        <v>2</v>
      </c>
      <c r="O1973" s="2" t="n">
        <f aca="false">INDEX(Summary!$K$2:$K$201,MATCH($B1973,Summary!$A$2:$A$201,0))</f>
        <v>8.59</v>
      </c>
      <c r="P1973" s="3" t="n">
        <f aca="false">INDEX(Summary!$L$2:$L$201,MATCH($B1973,Summary!$A$2:$A$201,0))</f>
        <v>5</v>
      </c>
      <c r="Q1973" s="3" t="n">
        <f aca="false">INDEX(Summary!$M$2:$M$201,MATCH($B1973,Summary!$A$2:$A$201,0))</f>
        <v>1</v>
      </c>
      <c r="R1973" s="2" t="n">
        <f aca="false">INDEX(Summary!$N$2:$N$201,MATCH($B1973,Summary!$A$2:$A$201,0))</f>
        <v>10.37</v>
      </c>
      <c r="S1973" s="3" t="n">
        <f aca="false">INDEX(Summary!$O$2:$O$201,MATCH($B1973,Summary!$A$2:$A$201,0))</f>
        <v>8</v>
      </c>
      <c r="T1973" s="3" t="n">
        <f aca="false">INDEX(Summary!$P$2:$P$201,MATCH($B1973,Summary!$A$2:$A$201,0))</f>
        <v>1</v>
      </c>
      <c r="U1973" s="2" t="n">
        <f aca="false">INDEX(Summary!$Q$2:$Q$201,MATCH($B1973,Summary!$A$2:$A$201,0))</f>
        <v>13.27</v>
      </c>
      <c r="V1973" s="2" t="n">
        <f aca="false">INDEX(Summary!$R$2:$R$201,MATCH($B1973,Summary!$A$2:$A$201,0))</f>
        <v>30.49</v>
      </c>
      <c r="W1973" s="0" t="str">
        <f aca="false">INDEX(Summary!$S$2:$S$201,MATCH($B1973,Summary!$A$2:$A$201,0))</f>
        <v>Gold</v>
      </c>
      <c r="X1973" s="2" t="n">
        <f aca="false">INDEX(Summary!$T$2:$T$201,MATCH($B1973,Summary!$A$2:$A$201,0))</f>
        <v>74.37</v>
      </c>
      <c r="Y1973" s="0" t="str">
        <f aca="false">INDEX('Reward Model'!$E$18:$E$37,MATCH($E1973,'Reward Model'!$A$18:$A$37,0))</f>
        <v>Medium</v>
      </c>
      <c r="Z1973" s="4" t="n">
        <f aca="false">ROUND(MIN(1,MAX('Reward Model'!$B$2,INDEX('Reward Model'!$C$12:$C$14,MATCH($K1973,'Reward Model'!$A$12:$A$14,0))/$J1973)),3)</f>
        <v>0.861</v>
      </c>
      <c r="AA1973" s="2" t="n">
        <f aca="false">IF($I1973="Correct",ROUND(INDEX('Reward Model'!$B$12:$B$14,MATCH($K1973,'Reward Model'!$A$12:$A$14,0))*Z1973,2),0)</f>
        <v>1.72</v>
      </c>
      <c r="AB1973" s="2" t="n">
        <f aca="false">IF($I1973="Correct",ROUND(INDEX('Reward Model'!$B$12:$B$14,MATCH($Y1973,'Reward Model'!$A$12:$A$14,0))*Z1973,2),0)</f>
        <v>1.72</v>
      </c>
    </row>
    <row r="1974" customFormat="false" ht="15" hidden="false" customHeight="false" outlineLevel="0" collapsed="false">
      <c r="A1974" s="0" t="s">
        <v>327</v>
      </c>
      <c r="B1974" s="0" t="s">
        <v>328</v>
      </c>
      <c r="C1974" s="0" t="s">
        <v>322</v>
      </c>
      <c r="D1974" s="0" t="s">
        <v>31</v>
      </c>
      <c r="E1974" s="0" t="n">
        <v>13</v>
      </c>
      <c r="F1974" s="0" t="s">
        <v>66</v>
      </c>
      <c r="G1974" s="0" t="s">
        <v>117</v>
      </c>
      <c r="H1974" s="0" t="s">
        <v>67</v>
      </c>
      <c r="I1974" s="0" t="s">
        <v>39</v>
      </c>
      <c r="J1974" s="0" t="n">
        <v>1.25</v>
      </c>
      <c r="K1974" s="0" t="s">
        <v>60</v>
      </c>
      <c r="L1974" s="0" t="n">
        <f aca="false">INDEX(Summary!$F$2:$F$201,MATCH($B1974,Summary!$A$2:$A$201,0))</f>
        <v>20</v>
      </c>
      <c r="M1974" s="0" t="n">
        <f aca="false">INDEX(Summary!$I$2:$I$201,MATCH($B1974,Summary!$A$2:$A$201,0))</f>
        <v>3</v>
      </c>
      <c r="N1974" s="0" t="n">
        <f aca="false">INDEX(Summary!$J$2:$J$201,MATCH($B1974,Summary!$A$2:$A$201,0))</f>
        <v>2</v>
      </c>
      <c r="O1974" s="2" t="n">
        <f aca="false">INDEX(Summary!$K$2:$K$201,MATCH($B1974,Summary!$A$2:$A$201,0))</f>
        <v>8.59</v>
      </c>
      <c r="P1974" s="3" t="n">
        <f aca="false">INDEX(Summary!$L$2:$L$201,MATCH($B1974,Summary!$A$2:$A$201,0))</f>
        <v>5</v>
      </c>
      <c r="Q1974" s="3" t="n">
        <f aca="false">INDEX(Summary!$M$2:$M$201,MATCH($B1974,Summary!$A$2:$A$201,0))</f>
        <v>1</v>
      </c>
      <c r="R1974" s="2" t="n">
        <f aca="false">INDEX(Summary!$N$2:$N$201,MATCH($B1974,Summary!$A$2:$A$201,0))</f>
        <v>10.37</v>
      </c>
      <c r="S1974" s="3" t="n">
        <f aca="false">INDEX(Summary!$O$2:$O$201,MATCH($B1974,Summary!$A$2:$A$201,0))</f>
        <v>8</v>
      </c>
      <c r="T1974" s="3" t="n">
        <f aca="false">INDEX(Summary!$P$2:$P$201,MATCH($B1974,Summary!$A$2:$A$201,0))</f>
        <v>1</v>
      </c>
      <c r="U1974" s="2" t="n">
        <f aca="false">INDEX(Summary!$Q$2:$Q$201,MATCH($B1974,Summary!$A$2:$A$201,0))</f>
        <v>13.27</v>
      </c>
      <c r="V1974" s="2" t="n">
        <f aca="false">INDEX(Summary!$R$2:$R$201,MATCH($B1974,Summary!$A$2:$A$201,0))</f>
        <v>30.49</v>
      </c>
      <c r="W1974" s="0" t="str">
        <f aca="false">INDEX(Summary!$S$2:$S$201,MATCH($B1974,Summary!$A$2:$A$201,0))</f>
        <v>Gold</v>
      </c>
      <c r="X1974" s="2" t="n">
        <f aca="false">INDEX(Summary!$T$2:$T$201,MATCH($B1974,Summary!$A$2:$A$201,0))</f>
        <v>74.37</v>
      </c>
      <c r="Y1974" s="0" t="str">
        <f aca="false">INDEX('Reward Model'!$E$18:$E$37,MATCH($E1974,'Reward Model'!$A$18:$A$37,0))</f>
        <v>Medium</v>
      </c>
      <c r="Z1974" s="4" t="n">
        <f aca="false">ROUND(MIN(1,MAX('Reward Model'!$B$2,INDEX('Reward Model'!$C$12:$C$14,MATCH($K1974,'Reward Model'!$A$12:$A$14,0))/$J1974)),3)</f>
        <v>1</v>
      </c>
      <c r="AA1974" s="2" t="n">
        <f aca="false">IF($I1974="Correct",ROUND(INDEX('Reward Model'!$B$12:$B$14,MATCH($K1974,'Reward Model'!$A$12:$A$14,0))*Z1974,2),0)</f>
        <v>0</v>
      </c>
      <c r="AB1974" s="2" t="n">
        <f aca="false">IF($I1974="Correct",ROUND(INDEX('Reward Model'!$B$12:$B$14,MATCH($Y1974,'Reward Model'!$A$12:$A$14,0))*Z1974,2),0)</f>
        <v>0</v>
      </c>
    </row>
    <row r="1975" customFormat="false" ht="15" hidden="false" customHeight="false" outlineLevel="0" collapsed="false">
      <c r="A1975" s="0" t="s">
        <v>327</v>
      </c>
      <c r="B1975" s="0" t="s">
        <v>328</v>
      </c>
      <c r="C1975" s="0" t="s">
        <v>322</v>
      </c>
      <c r="D1975" s="0" t="s">
        <v>31</v>
      </c>
      <c r="E1975" s="0" t="n">
        <v>14</v>
      </c>
      <c r="F1975" s="0" t="s">
        <v>68</v>
      </c>
      <c r="G1975" s="0" t="s">
        <v>51</v>
      </c>
      <c r="H1975" s="0" t="s">
        <v>51</v>
      </c>
      <c r="I1975" s="0" t="s">
        <v>34</v>
      </c>
      <c r="J1975" s="0" t="n">
        <v>1.85</v>
      </c>
      <c r="K1975" s="0" t="s">
        <v>60</v>
      </c>
      <c r="L1975" s="0" t="n">
        <f aca="false">INDEX(Summary!$F$2:$F$201,MATCH($B1975,Summary!$A$2:$A$201,0))</f>
        <v>20</v>
      </c>
      <c r="M1975" s="0" t="n">
        <f aca="false">INDEX(Summary!$I$2:$I$201,MATCH($B1975,Summary!$A$2:$A$201,0))</f>
        <v>3</v>
      </c>
      <c r="N1975" s="0" t="n">
        <f aca="false">INDEX(Summary!$J$2:$J$201,MATCH($B1975,Summary!$A$2:$A$201,0))</f>
        <v>2</v>
      </c>
      <c r="O1975" s="2" t="n">
        <f aca="false">INDEX(Summary!$K$2:$K$201,MATCH($B1975,Summary!$A$2:$A$201,0))</f>
        <v>8.59</v>
      </c>
      <c r="P1975" s="3" t="n">
        <f aca="false">INDEX(Summary!$L$2:$L$201,MATCH($B1975,Summary!$A$2:$A$201,0))</f>
        <v>5</v>
      </c>
      <c r="Q1975" s="3" t="n">
        <f aca="false">INDEX(Summary!$M$2:$M$201,MATCH($B1975,Summary!$A$2:$A$201,0))</f>
        <v>1</v>
      </c>
      <c r="R1975" s="2" t="n">
        <f aca="false">INDEX(Summary!$N$2:$N$201,MATCH($B1975,Summary!$A$2:$A$201,0))</f>
        <v>10.37</v>
      </c>
      <c r="S1975" s="3" t="n">
        <f aca="false">INDEX(Summary!$O$2:$O$201,MATCH($B1975,Summary!$A$2:$A$201,0))</f>
        <v>8</v>
      </c>
      <c r="T1975" s="3" t="n">
        <f aca="false">INDEX(Summary!$P$2:$P$201,MATCH($B1975,Summary!$A$2:$A$201,0))</f>
        <v>1</v>
      </c>
      <c r="U1975" s="2" t="n">
        <f aca="false">INDEX(Summary!$Q$2:$Q$201,MATCH($B1975,Summary!$A$2:$A$201,0))</f>
        <v>13.27</v>
      </c>
      <c r="V1975" s="2" t="n">
        <f aca="false">INDEX(Summary!$R$2:$R$201,MATCH($B1975,Summary!$A$2:$A$201,0))</f>
        <v>30.49</v>
      </c>
      <c r="W1975" s="0" t="str">
        <f aca="false">INDEX(Summary!$S$2:$S$201,MATCH($B1975,Summary!$A$2:$A$201,0))</f>
        <v>Gold</v>
      </c>
      <c r="X1975" s="2" t="n">
        <f aca="false">INDEX(Summary!$T$2:$T$201,MATCH($B1975,Summary!$A$2:$A$201,0))</f>
        <v>74.37</v>
      </c>
      <c r="Y1975" s="0" t="str">
        <f aca="false">INDEX('Reward Model'!$E$18:$E$37,MATCH($E1975,'Reward Model'!$A$18:$A$37,0))</f>
        <v>Medium</v>
      </c>
      <c r="Z1975" s="4" t="n">
        <f aca="false">ROUND(MIN(1,MAX('Reward Model'!$B$2,INDEX('Reward Model'!$C$12:$C$14,MATCH($K1975,'Reward Model'!$A$12:$A$14,0))/$J1975)),3)</f>
        <v>0.973</v>
      </c>
      <c r="AA1975" s="2" t="n">
        <f aca="false">IF($I1975="Correct",ROUND(INDEX('Reward Model'!$B$12:$B$14,MATCH($K1975,'Reward Model'!$A$12:$A$14,0))*Z1975,2),0)</f>
        <v>1.95</v>
      </c>
      <c r="AB1975" s="2" t="n">
        <f aca="false">IF($I1975="Correct",ROUND(INDEX('Reward Model'!$B$12:$B$14,MATCH($Y1975,'Reward Model'!$A$12:$A$14,0))*Z1975,2),0)</f>
        <v>1.95</v>
      </c>
    </row>
    <row r="1976" customFormat="false" ht="15" hidden="false" customHeight="false" outlineLevel="0" collapsed="false">
      <c r="A1976" s="0" t="s">
        <v>327</v>
      </c>
      <c r="B1976" s="0" t="s">
        <v>328</v>
      </c>
      <c r="C1976" s="0" t="s">
        <v>322</v>
      </c>
      <c r="D1976" s="0" t="s">
        <v>31</v>
      </c>
      <c r="E1976" s="0" t="n">
        <v>15</v>
      </c>
      <c r="F1976" s="0" t="s">
        <v>69</v>
      </c>
      <c r="G1976" s="0" t="s">
        <v>70</v>
      </c>
      <c r="H1976" s="0" t="s">
        <v>70</v>
      </c>
      <c r="I1976" s="0" t="s">
        <v>34</v>
      </c>
      <c r="J1976" s="0" t="n">
        <v>1.61</v>
      </c>
      <c r="K1976" s="0" t="s">
        <v>60</v>
      </c>
      <c r="L1976" s="0" t="n">
        <f aca="false">INDEX(Summary!$F$2:$F$201,MATCH($B1976,Summary!$A$2:$A$201,0))</f>
        <v>20</v>
      </c>
      <c r="M1976" s="0" t="n">
        <f aca="false">INDEX(Summary!$I$2:$I$201,MATCH($B1976,Summary!$A$2:$A$201,0))</f>
        <v>3</v>
      </c>
      <c r="N1976" s="0" t="n">
        <f aca="false">INDEX(Summary!$J$2:$J$201,MATCH($B1976,Summary!$A$2:$A$201,0))</f>
        <v>2</v>
      </c>
      <c r="O1976" s="2" t="n">
        <f aca="false">INDEX(Summary!$K$2:$K$201,MATCH($B1976,Summary!$A$2:$A$201,0))</f>
        <v>8.59</v>
      </c>
      <c r="P1976" s="3" t="n">
        <f aca="false">INDEX(Summary!$L$2:$L$201,MATCH($B1976,Summary!$A$2:$A$201,0))</f>
        <v>5</v>
      </c>
      <c r="Q1976" s="3" t="n">
        <f aca="false">INDEX(Summary!$M$2:$M$201,MATCH($B1976,Summary!$A$2:$A$201,0))</f>
        <v>1</v>
      </c>
      <c r="R1976" s="2" t="n">
        <f aca="false">INDEX(Summary!$N$2:$N$201,MATCH($B1976,Summary!$A$2:$A$201,0))</f>
        <v>10.37</v>
      </c>
      <c r="S1976" s="3" t="n">
        <f aca="false">INDEX(Summary!$O$2:$O$201,MATCH($B1976,Summary!$A$2:$A$201,0))</f>
        <v>8</v>
      </c>
      <c r="T1976" s="3" t="n">
        <f aca="false">INDEX(Summary!$P$2:$P$201,MATCH($B1976,Summary!$A$2:$A$201,0))</f>
        <v>1</v>
      </c>
      <c r="U1976" s="2" t="n">
        <f aca="false">INDEX(Summary!$Q$2:$Q$201,MATCH($B1976,Summary!$A$2:$A$201,0))</f>
        <v>13.27</v>
      </c>
      <c r="V1976" s="2" t="n">
        <f aca="false">INDEX(Summary!$R$2:$R$201,MATCH($B1976,Summary!$A$2:$A$201,0))</f>
        <v>30.49</v>
      </c>
      <c r="W1976" s="0" t="str">
        <f aca="false">INDEX(Summary!$S$2:$S$201,MATCH($B1976,Summary!$A$2:$A$201,0))</f>
        <v>Gold</v>
      </c>
      <c r="X1976" s="2" t="n">
        <f aca="false">INDEX(Summary!$T$2:$T$201,MATCH($B1976,Summary!$A$2:$A$201,0))</f>
        <v>74.37</v>
      </c>
      <c r="Y1976" s="0" t="str">
        <f aca="false">INDEX('Reward Model'!$E$18:$E$37,MATCH($E1976,'Reward Model'!$A$18:$A$37,0))</f>
        <v>Medium</v>
      </c>
      <c r="Z1976" s="4" t="n">
        <f aca="false">ROUND(MIN(1,MAX('Reward Model'!$B$2,INDEX('Reward Model'!$C$12:$C$14,MATCH($K1976,'Reward Model'!$A$12:$A$14,0))/$J1976)),3)</f>
        <v>1</v>
      </c>
      <c r="AA1976" s="2" t="n">
        <f aca="false">IF($I1976="Correct",ROUND(INDEX('Reward Model'!$B$12:$B$14,MATCH($K1976,'Reward Model'!$A$12:$A$14,0))*Z1976,2),0)</f>
        <v>2</v>
      </c>
      <c r="AB1976" s="2" t="n">
        <f aca="false">IF($I1976="Correct",ROUND(INDEX('Reward Model'!$B$12:$B$14,MATCH($Y1976,'Reward Model'!$A$12:$A$14,0))*Z1976,2),0)</f>
        <v>2</v>
      </c>
    </row>
    <row r="1977" customFormat="false" ht="15" hidden="false" customHeight="false" outlineLevel="0" collapsed="false">
      <c r="A1977" s="0" t="s">
        <v>327</v>
      </c>
      <c r="B1977" s="0" t="s">
        <v>328</v>
      </c>
      <c r="C1977" s="0" t="s">
        <v>322</v>
      </c>
      <c r="D1977" s="0" t="s">
        <v>31</v>
      </c>
      <c r="E1977" s="0" t="n">
        <v>16</v>
      </c>
      <c r="F1977" s="0" t="s">
        <v>71</v>
      </c>
      <c r="G1977" s="0" t="s">
        <v>87</v>
      </c>
      <c r="H1977" s="0" t="s">
        <v>72</v>
      </c>
      <c r="I1977" s="0" t="s">
        <v>39</v>
      </c>
      <c r="J1977" s="0" t="n">
        <v>1.79</v>
      </c>
      <c r="K1977" s="0" t="s">
        <v>73</v>
      </c>
      <c r="L1977" s="0" t="n">
        <f aca="false">INDEX(Summary!$F$2:$F$201,MATCH($B1977,Summary!$A$2:$A$201,0))</f>
        <v>20</v>
      </c>
      <c r="M1977" s="0" t="n">
        <f aca="false">INDEX(Summary!$I$2:$I$201,MATCH($B1977,Summary!$A$2:$A$201,0))</f>
        <v>3</v>
      </c>
      <c r="N1977" s="0" t="n">
        <f aca="false">INDEX(Summary!$J$2:$J$201,MATCH($B1977,Summary!$A$2:$A$201,0))</f>
        <v>2</v>
      </c>
      <c r="O1977" s="2" t="n">
        <f aca="false">INDEX(Summary!$K$2:$K$201,MATCH($B1977,Summary!$A$2:$A$201,0))</f>
        <v>8.59</v>
      </c>
      <c r="P1977" s="3" t="n">
        <f aca="false">INDEX(Summary!$L$2:$L$201,MATCH($B1977,Summary!$A$2:$A$201,0))</f>
        <v>5</v>
      </c>
      <c r="Q1977" s="3" t="n">
        <f aca="false">INDEX(Summary!$M$2:$M$201,MATCH($B1977,Summary!$A$2:$A$201,0))</f>
        <v>1</v>
      </c>
      <c r="R1977" s="2" t="n">
        <f aca="false">INDEX(Summary!$N$2:$N$201,MATCH($B1977,Summary!$A$2:$A$201,0))</f>
        <v>10.37</v>
      </c>
      <c r="S1977" s="3" t="n">
        <f aca="false">INDEX(Summary!$O$2:$O$201,MATCH($B1977,Summary!$A$2:$A$201,0))</f>
        <v>8</v>
      </c>
      <c r="T1977" s="3" t="n">
        <f aca="false">INDEX(Summary!$P$2:$P$201,MATCH($B1977,Summary!$A$2:$A$201,0))</f>
        <v>1</v>
      </c>
      <c r="U1977" s="2" t="n">
        <f aca="false">INDEX(Summary!$Q$2:$Q$201,MATCH($B1977,Summary!$A$2:$A$201,0))</f>
        <v>13.27</v>
      </c>
      <c r="V1977" s="2" t="n">
        <f aca="false">INDEX(Summary!$R$2:$R$201,MATCH($B1977,Summary!$A$2:$A$201,0))</f>
        <v>30.49</v>
      </c>
      <c r="W1977" s="0" t="str">
        <f aca="false">INDEX(Summary!$S$2:$S$201,MATCH($B1977,Summary!$A$2:$A$201,0))</f>
        <v>Gold</v>
      </c>
      <c r="X1977" s="2" t="n">
        <f aca="false">INDEX(Summary!$T$2:$T$201,MATCH($B1977,Summary!$A$2:$A$201,0))</f>
        <v>74.37</v>
      </c>
      <c r="Y1977" s="0" t="str">
        <f aca="false">INDEX('Reward Model'!$E$18:$E$37,MATCH($E1977,'Reward Model'!$A$18:$A$37,0))</f>
        <v>High</v>
      </c>
      <c r="Z1977" s="4" t="n">
        <f aca="false">ROUND(MIN(1,MAX('Reward Model'!$B$2,INDEX('Reward Model'!$C$12:$C$14,MATCH($K1977,'Reward Model'!$A$12:$A$14,0))/$J1977)),3)</f>
        <v>1</v>
      </c>
      <c r="AA1977" s="2" t="n">
        <f aca="false">IF($I1977="Correct",ROUND(INDEX('Reward Model'!$B$12:$B$14,MATCH($K1977,'Reward Model'!$A$12:$A$14,0))*Z1977,2),0)</f>
        <v>0</v>
      </c>
      <c r="AB1977" s="2" t="n">
        <f aca="false">IF($I1977="Correct",ROUND(INDEX('Reward Model'!$B$12:$B$14,MATCH($Y1977,'Reward Model'!$A$12:$A$14,0))*Z1977,2),0)</f>
        <v>0</v>
      </c>
    </row>
    <row r="1978" customFormat="false" ht="15" hidden="false" customHeight="false" outlineLevel="0" collapsed="false">
      <c r="A1978" s="0" t="s">
        <v>327</v>
      </c>
      <c r="B1978" s="0" t="s">
        <v>328</v>
      </c>
      <c r="C1978" s="0" t="s">
        <v>322</v>
      </c>
      <c r="D1978" s="0" t="s">
        <v>31</v>
      </c>
      <c r="E1978" s="0" t="n">
        <v>17</v>
      </c>
      <c r="F1978" s="0" t="s">
        <v>74</v>
      </c>
      <c r="G1978" s="0" t="s">
        <v>75</v>
      </c>
      <c r="H1978" s="0" t="s">
        <v>75</v>
      </c>
      <c r="I1978" s="0" t="s">
        <v>34</v>
      </c>
      <c r="J1978" s="0" t="n">
        <v>1.75</v>
      </c>
      <c r="K1978" s="0" t="s">
        <v>73</v>
      </c>
      <c r="L1978" s="0" t="n">
        <f aca="false">INDEX(Summary!$F$2:$F$201,MATCH($B1978,Summary!$A$2:$A$201,0))</f>
        <v>20</v>
      </c>
      <c r="M1978" s="0" t="n">
        <f aca="false">INDEX(Summary!$I$2:$I$201,MATCH($B1978,Summary!$A$2:$A$201,0))</f>
        <v>3</v>
      </c>
      <c r="N1978" s="0" t="n">
        <f aca="false">INDEX(Summary!$J$2:$J$201,MATCH($B1978,Summary!$A$2:$A$201,0))</f>
        <v>2</v>
      </c>
      <c r="O1978" s="2" t="n">
        <f aca="false">INDEX(Summary!$K$2:$K$201,MATCH($B1978,Summary!$A$2:$A$201,0))</f>
        <v>8.59</v>
      </c>
      <c r="P1978" s="3" t="n">
        <f aca="false">INDEX(Summary!$L$2:$L$201,MATCH($B1978,Summary!$A$2:$A$201,0))</f>
        <v>5</v>
      </c>
      <c r="Q1978" s="3" t="n">
        <f aca="false">INDEX(Summary!$M$2:$M$201,MATCH($B1978,Summary!$A$2:$A$201,0))</f>
        <v>1</v>
      </c>
      <c r="R1978" s="2" t="n">
        <f aca="false">INDEX(Summary!$N$2:$N$201,MATCH($B1978,Summary!$A$2:$A$201,0))</f>
        <v>10.37</v>
      </c>
      <c r="S1978" s="3" t="n">
        <f aca="false">INDEX(Summary!$O$2:$O$201,MATCH($B1978,Summary!$A$2:$A$201,0))</f>
        <v>8</v>
      </c>
      <c r="T1978" s="3" t="n">
        <f aca="false">INDEX(Summary!$P$2:$P$201,MATCH($B1978,Summary!$A$2:$A$201,0))</f>
        <v>1</v>
      </c>
      <c r="U1978" s="2" t="n">
        <f aca="false">INDEX(Summary!$Q$2:$Q$201,MATCH($B1978,Summary!$A$2:$A$201,0))</f>
        <v>13.27</v>
      </c>
      <c r="V1978" s="2" t="n">
        <f aca="false">INDEX(Summary!$R$2:$R$201,MATCH($B1978,Summary!$A$2:$A$201,0))</f>
        <v>30.49</v>
      </c>
      <c r="W1978" s="0" t="str">
        <f aca="false">INDEX(Summary!$S$2:$S$201,MATCH($B1978,Summary!$A$2:$A$201,0))</f>
        <v>Gold</v>
      </c>
      <c r="X1978" s="2" t="n">
        <f aca="false">INDEX(Summary!$T$2:$T$201,MATCH($B1978,Summary!$A$2:$A$201,0))</f>
        <v>74.37</v>
      </c>
      <c r="Y1978" s="0" t="str">
        <f aca="false">INDEX('Reward Model'!$E$18:$E$37,MATCH($E1978,'Reward Model'!$A$18:$A$37,0))</f>
        <v>High</v>
      </c>
      <c r="Z1978" s="4" t="n">
        <f aca="false">ROUND(MIN(1,MAX('Reward Model'!$B$2,INDEX('Reward Model'!$C$12:$C$14,MATCH($K1978,'Reward Model'!$A$12:$A$14,0))/$J1978)),3)</f>
        <v>1</v>
      </c>
      <c r="AA1978" s="2" t="n">
        <f aca="false">IF($I1978="Correct",ROUND(INDEX('Reward Model'!$B$12:$B$14,MATCH($K1978,'Reward Model'!$A$12:$A$14,0))*Z1978,2),0)</f>
        <v>3</v>
      </c>
      <c r="AB1978" s="2" t="n">
        <f aca="false">IF($I1978="Correct",ROUND(INDEX('Reward Model'!$B$12:$B$14,MATCH($Y1978,'Reward Model'!$A$12:$A$14,0))*Z1978,2),0)</f>
        <v>3</v>
      </c>
    </row>
    <row r="1979" customFormat="false" ht="15" hidden="false" customHeight="false" outlineLevel="0" collapsed="false">
      <c r="A1979" s="0" t="s">
        <v>327</v>
      </c>
      <c r="B1979" s="0" t="s">
        <v>328</v>
      </c>
      <c r="C1979" s="0" t="s">
        <v>322</v>
      </c>
      <c r="D1979" s="0" t="s">
        <v>31</v>
      </c>
      <c r="E1979" s="0" t="n">
        <v>18</v>
      </c>
      <c r="F1979" s="0" t="s">
        <v>76</v>
      </c>
      <c r="G1979" s="0" t="s">
        <v>77</v>
      </c>
      <c r="H1979" s="0" t="s">
        <v>77</v>
      </c>
      <c r="I1979" s="0" t="s">
        <v>34</v>
      </c>
      <c r="J1979" s="0" t="n">
        <v>1.68</v>
      </c>
      <c r="K1979" s="0" t="s">
        <v>73</v>
      </c>
      <c r="L1979" s="0" t="n">
        <f aca="false">INDEX(Summary!$F$2:$F$201,MATCH($B1979,Summary!$A$2:$A$201,0))</f>
        <v>20</v>
      </c>
      <c r="M1979" s="0" t="n">
        <f aca="false">INDEX(Summary!$I$2:$I$201,MATCH($B1979,Summary!$A$2:$A$201,0))</f>
        <v>3</v>
      </c>
      <c r="N1979" s="0" t="n">
        <f aca="false">INDEX(Summary!$J$2:$J$201,MATCH($B1979,Summary!$A$2:$A$201,0))</f>
        <v>2</v>
      </c>
      <c r="O1979" s="2" t="n">
        <f aca="false">INDEX(Summary!$K$2:$K$201,MATCH($B1979,Summary!$A$2:$A$201,0))</f>
        <v>8.59</v>
      </c>
      <c r="P1979" s="3" t="n">
        <f aca="false">INDEX(Summary!$L$2:$L$201,MATCH($B1979,Summary!$A$2:$A$201,0))</f>
        <v>5</v>
      </c>
      <c r="Q1979" s="3" t="n">
        <f aca="false">INDEX(Summary!$M$2:$M$201,MATCH($B1979,Summary!$A$2:$A$201,0))</f>
        <v>1</v>
      </c>
      <c r="R1979" s="2" t="n">
        <f aca="false">INDEX(Summary!$N$2:$N$201,MATCH($B1979,Summary!$A$2:$A$201,0))</f>
        <v>10.37</v>
      </c>
      <c r="S1979" s="3" t="n">
        <f aca="false">INDEX(Summary!$O$2:$O$201,MATCH($B1979,Summary!$A$2:$A$201,0))</f>
        <v>8</v>
      </c>
      <c r="T1979" s="3" t="n">
        <f aca="false">INDEX(Summary!$P$2:$P$201,MATCH($B1979,Summary!$A$2:$A$201,0))</f>
        <v>1</v>
      </c>
      <c r="U1979" s="2" t="n">
        <f aca="false">INDEX(Summary!$Q$2:$Q$201,MATCH($B1979,Summary!$A$2:$A$201,0))</f>
        <v>13.27</v>
      </c>
      <c r="V1979" s="2" t="n">
        <f aca="false">INDEX(Summary!$R$2:$R$201,MATCH($B1979,Summary!$A$2:$A$201,0))</f>
        <v>30.49</v>
      </c>
      <c r="W1979" s="0" t="str">
        <f aca="false">INDEX(Summary!$S$2:$S$201,MATCH($B1979,Summary!$A$2:$A$201,0))</f>
        <v>Gold</v>
      </c>
      <c r="X1979" s="2" t="n">
        <f aca="false">INDEX(Summary!$T$2:$T$201,MATCH($B1979,Summary!$A$2:$A$201,0))</f>
        <v>74.37</v>
      </c>
      <c r="Y1979" s="0" t="str">
        <f aca="false">INDEX('Reward Model'!$E$18:$E$37,MATCH($E1979,'Reward Model'!$A$18:$A$37,0))</f>
        <v>High</v>
      </c>
      <c r="Z1979" s="4" t="n">
        <f aca="false">ROUND(MIN(1,MAX('Reward Model'!$B$2,INDEX('Reward Model'!$C$12:$C$14,MATCH($K1979,'Reward Model'!$A$12:$A$14,0))/$J1979)),3)</f>
        <v>1</v>
      </c>
      <c r="AA1979" s="2" t="n">
        <f aca="false">IF($I1979="Correct",ROUND(INDEX('Reward Model'!$B$12:$B$14,MATCH($K1979,'Reward Model'!$A$12:$A$14,0))*Z1979,2),0)</f>
        <v>3</v>
      </c>
      <c r="AB1979" s="2" t="n">
        <f aca="false">IF($I1979="Correct",ROUND(INDEX('Reward Model'!$B$12:$B$14,MATCH($Y1979,'Reward Model'!$A$12:$A$14,0))*Z1979,2),0)</f>
        <v>3</v>
      </c>
    </row>
    <row r="1980" customFormat="false" ht="15" hidden="false" customHeight="false" outlineLevel="0" collapsed="false">
      <c r="A1980" s="0" t="s">
        <v>327</v>
      </c>
      <c r="B1980" s="0" t="s">
        <v>328</v>
      </c>
      <c r="C1980" s="0" t="s">
        <v>322</v>
      </c>
      <c r="D1980" s="0" t="s">
        <v>31</v>
      </c>
      <c r="E1980" s="0" t="n">
        <v>19</v>
      </c>
      <c r="F1980" s="0" t="s">
        <v>78</v>
      </c>
      <c r="G1980" s="0" t="s">
        <v>80</v>
      </c>
      <c r="H1980" s="0" t="s">
        <v>80</v>
      </c>
      <c r="I1980" s="0" t="s">
        <v>34</v>
      </c>
      <c r="J1980" s="0" t="n">
        <v>1.97</v>
      </c>
      <c r="K1980" s="0" t="s">
        <v>73</v>
      </c>
      <c r="L1980" s="0" t="n">
        <f aca="false">INDEX(Summary!$F$2:$F$201,MATCH($B1980,Summary!$A$2:$A$201,0))</f>
        <v>20</v>
      </c>
      <c r="M1980" s="0" t="n">
        <f aca="false">INDEX(Summary!$I$2:$I$201,MATCH($B1980,Summary!$A$2:$A$201,0))</f>
        <v>3</v>
      </c>
      <c r="N1980" s="0" t="n">
        <f aca="false">INDEX(Summary!$J$2:$J$201,MATCH($B1980,Summary!$A$2:$A$201,0))</f>
        <v>2</v>
      </c>
      <c r="O1980" s="2" t="n">
        <f aca="false">INDEX(Summary!$K$2:$K$201,MATCH($B1980,Summary!$A$2:$A$201,0))</f>
        <v>8.59</v>
      </c>
      <c r="P1980" s="3" t="n">
        <f aca="false">INDEX(Summary!$L$2:$L$201,MATCH($B1980,Summary!$A$2:$A$201,0))</f>
        <v>5</v>
      </c>
      <c r="Q1980" s="3" t="n">
        <f aca="false">INDEX(Summary!$M$2:$M$201,MATCH($B1980,Summary!$A$2:$A$201,0))</f>
        <v>1</v>
      </c>
      <c r="R1980" s="2" t="n">
        <f aca="false">INDEX(Summary!$N$2:$N$201,MATCH($B1980,Summary!$A$2:$A$201,0))</f>
        <v>10.37</v>
      </c>
      <c r="S1980" s="3" t="n">
        <f aca="false">INDEX(Summary!$O$2:$O$201,MATCH($B1980,Summary!$A$2:$A$201,0))</f>
        <v>8</v>
      </c>
      <c r="T1980" s="3" t="n">
        <f aca="false">INDEX(Summary!$P$2:$P$201,MATCH($B1980,Summary!$A$2:$A$201,0))</f>
        <v>1</v>
      </c>
      <c r="U1980" s="2" t="n">
        <f aca="false">INDEX(Summary!$Q$2:$Q$201,MATCH($B1980,Summary!$A$2:$A$201,0))</f>
        <v>13.27</v>
      </c>
      <c r="V1980" s="2" t="n">
        <f aca="false">INDEX(Summary!$R$2:$R$201,MATCH($B1980,Summary!$A$2:$A$201,0))</f>
        <v>30.49</v>
      </c>
      <c r="W1980" s="0" t="str">
        <f aca="false">INDEX(Summary!$S$2:$S$201,MATCH($B1980,Summary!$A$2:$A$201,0))</f>
        <v>Gold</v>
      </c>
      <c r="X1980" s="2" t="n">
        <f aca="false">INDEX(Summary!$T$2:$T$201,MATCH($B1980,Summary!$A$2:$A$201,0))</f>
        <v>74.37</v>
      </c>
      <c r="Y1980" s="0" t="str">
        <f aca="false">INDEX('Reward Model'!$E$18:$E$37,MATCH($E1980,'Reward Model'!$A$18:$A$37,0))</f>
        <v>High</v>
      </c>
      <c r="Z1980" s="4" t="n">
        <f aca="false">ROUND(MIN(1,MAX('Reward Model'!$B$2,INDEX('Reward Model'!$C$12:$C$14,MATCH($K1980,'Reward Model'!$A$12:$A$14,0))/$J1980)),3)</f>
        <v>1</v>
      </c>
      <c r="AA1980" s="2" t="n">
        <f aca="false">IF($I1980="Correct",ROUND(INDEX('Reward Model'!$B$12:$B$14,MATCH($K1980,'Reward Model'!$A$12:$A$14,0))*Z1980,2),0)</f>
        <v>3</v>
      </c>
      <c r="AB1980" s="2" t="n">
        <f aca="false">IF($I1980="Correct",ROUND(INDEX('Reward Model'!$B$12:$B$14,MATCH($Y1980,'Reward Model'!$A$12:$A$14,0))*Z1980,2),0)</f>
        <v>3</v>
      </c>
    </row>
    <row r="1981" customFormat="false" ht="15" hidden="false" customHeight="false" outlineLevel="0" collapsed="false">
      <c r="A1981" s="0" t="s">
        <v>327</v>
      </c>
      <c r="B1981" s="0" t="s">
        <v>328</v>
      </c>
      <c r="C1981" s="0" t="s">
        <v>322</v>
      </c>
      <c r="D1981" s="0" t="s">
        <v>31</v>
      </c>
      <c r="E1981" s="0" t="n">
        <v>20</v>
      </c>
      <c r="F1981" s="0" t="s">
        <v>81</v>
      </c>
      <c r="G1981" s="0" t="s">
        <v>119</v>
      </c>
      <c r="H1981" s="0" t="s">
        <v>83</v>
      </c>
      <c r="I1981" s="0" t="s">
        <v>39</v>
      </c>
      <c r="J1981" s="0" t="n">
        <v>1.4</v>
      </c>
      <c r="K1981" s="0" t="s">
        <v>73</v>
      </c>
      <c r="L1981" s="0" t="n">
        <f aca="false">INDEX(Summary!$F$2:$F$201,MATCH($B1981,Summary!$A$2:$A$201,0))</f>
        <v>20</v>
      </c>
      <c r="M1981" s="0" t="n">
        <f aca="false">INDEX(Summary!$I$2:$I$201,MATCH($B1981,Summary!$A$2:$A$201,0))</f>
        <v>3</v>
      </c>
      <c r="N1981" s="0" t="n">
        <f aca="false">INDEX(Summary!$J$2:$J$201,MATCH($B1981,Summary!$A$2:$A$201,0))</f>
        <v>2</v>
      </c>
      <c r="O1981" s="2" t="n">
        <f aca="false">INDEX(Summary!$K$2:$K$201,MATCH($B1981,Summary!$A$2:$A$201,0))</f>
        <v>8.59</v>
      </c>
      <c r="P1981" s="3" t="n">
        <f aca="false">INDEX(Summary!$L$2:$L$201,MATCH($B1981,Summary!$A$2:$A$201,0))</f>
        <v>5</v>
      </c>
      <c r="Q1981" s="3" t="n">
        <f aca="false">INDEX(Summary!$M$2:$M$201,MATCH($B1981,Summary!$A$2:$A$201,0))</f>
        <v>1</v>
      </c>
      <c r="R1981" s="2" t="n">
        <f aca="false">INDEX(Summary!$N$2:$N$201,MATCH($B1981,Summary!$A$2:$A$201,0))</f>
        <v>10.37</v>
      </c>
      <c r="S1981" s="3" t="n">
        <f aca="false">INDEX(Summary!$O$2:$O$201,MATCH($B1981,Summary!$A$2:$A$201,0))</f>
        <v>8</v>
      </c>
      <c r="T1981" s="3" t="n">
        <f aca="false">INDEX(Summary!$P$2:$P$201,MATCH($B1981,Summary!$A$2:$A$201,0))</f>
        <v>1</v>
      </c>
      <c r="U1981" s="2" t="n">
        <f aca="false">INDEX(Summary!$Q$2:$Q$201,MATCH($B1981,Summary!$A$2:$A$201,0))</f>
        <v>13.27</v>
      </c>
      <c r="V1981" s="2" t="n">
        <f aca="false">INDEX(Summary!$R$2:$R$201,MATCH($B1981,Summary!$A$2:$A$201,0))</f>
        <v>30.49</v>
      </c>
      <c r="W1981" s="0" t="str">
        <f aca="false">INDEX(Summary!$S$2:$S$201,MATCH($B1981,Summary!$A$2:$A$201,0))</f>
        <v>Gold</v>
      </c>
      <c r="X1981" s="2" t="n">
        <f aca="false">INDEX(Summary!$T$2:$T$201,MATCH($B1981,Summary!$A$2:$A$201,0))</f>
        <v>74.37</v>
      </c>
      <c r="Y1981" s="0" t="str">
        <f aca="false">INDEX('Reward Model'!$E$18:$E$37,MATCH($E1981,'Reward Model'!$A$18:$A$37,0))</f>
        <v>High</v>
      </c>
      <c r="Z1981" s="4" t="n">
        <f aca="false">ROUND(MIN(1,MAX('Reward Model'!$B$2,INDEX('Reward Model'!$C$12:$C$14,MATCH($K1981,'Reward Model'!$A$12:$A$14,0))/$J1981)),3)</f>
        <v>1</v>
      </c>
      <c r="AA1981" s="2" t="n">
        <f aca="false">IF($I1981="Correct",ROUND(INDEX('Reward Model'!$B$12:$B$14,MATCH($K1981,'Reward Model'!$A$12:$A$14,0))*Z1981,2),0)</f>
        <v>0</v>
      </c>
      <c r="AB1981" s="2" t="n">
        <f aca="false">IF($I1981="Correct",ROUND(INDEX('Reward Model'!$B$12:$B$14,MATCH($Y1981,'Reward Model'!$A$12:$A$14,0))*Z1981,2),0)</f>
        <v>0</v>
      </c>
    </row>
    <row r="1982" customFormat="false" ht="15" hidden="false" customHeight="false" outlineLevel="0" collapsed="false">
      <c r="A1982" s="0" t="s">
        <v>329</v>
      </c>
      <c r="B1982" s="0" t="s">
        <v>330</v>
      </c>
      <c r="C1982" s="0" t="s">
        <v>322</v>
      </c>
      <c r="D1982" s="0" t="s">
        <v>31</v>
      </c>
      <c r="E1982" s="0" t="n">
        <v>1</v>
      </c>
      <c r="F1982" s="0" t="s">
        <v>32</v>
      </c>
      <c r="G1982" s="0" t="s">
        <v>33</v>
      </c>
      <c r="H1982" s="0" t="s">
        <v>33</v>
      </c>
      <c r="I1982" s="0" t="s">
        <v>34</v>
      </c>
      <c r="J1982" s="0" t="n">
        <v>1.25</v>
      </c>
      <c r="K1982" s="0" t="s">
        <v>35</v>
      </c>
      <c r="L1982" s="0" t="n">
        <f aca="false">INDEX(Summary!$F$2:$F$201,MATCH($B1982,Summary!$A$2:$A$201,0))</f>
        <v>20</v>
      </c>
      <c r="M1982" s="0" t="n">
        <f aca="false">INDEX(Summary!$I$2:$I$201,MATCH($B1982,Summary!$A$2:$A$201,0))</f>
        <v>1</v>
      </c>
      <c r="N1982" s="0" t="n">
        <f aca="false">INDEX(Summary!$J$2:$J$201,MATCH($B1982,Summary!$A$2:$A$201,0))</f>
        <v>4</v>
      </c>
      <c r="O1982" s="2" t="n">
        <f aca="false">INDEX(Summary!$K$2:$K$201,MATCH($B1982,Summary!$A$2:$A$201,0))</f>
        <v>8.5</v>
      </c>
      <c r="P1982" s="3" t="n">
        <f aca="false">INDEX(Summary!$L$2:$L$201,MATCH($B1982,Summary!$A$2:$A$201,0))</f>
        <v>2</v>
      </c>
      <c r="Q1982" s="3" t="n">
        <f aca="false">INDEX(Summary!$M$2:$M$201,MATCH($B1982,Summary!$A$2:$A$201,0))</f>
        <v>4</v>
      </c>
      <c r="R1982" s="2" t="n">
        <f aca="false">INDEX(Summary!$N$2:$N$201,MATCH($B1982,Summary!$A$2:$A$201,0))</f>
        <v>10.15</v>
      </c>
      <c r="S1982" s="3" t="n">
        <f aca="false">INDEX(Summary!$O$2:$O$201,MATCH($B1982,Summary!$A$2:$A$201,0))</f>
        <v>8</v>
      </c>
      <c r="T1982" s="3" t="n">
        <f aca="false">INDEX(Summary!$P$2:$P$201,MATCH($B1982,Summary!$A$2:$A$201,0))</f>
        <v>1</v>
      </c>
      <c r="U1982" s="2" t="n">
        <f aca="false">INDEX(Summary!$Q$2:$Q$201,MATCH($B1982,Summary!$A$2:$A$201,0))</f>
        <v>13.39</v>
      </c>
      <c r="V1982" s="2" t="n">
        <f aca="false">INDEX(Summary!$R$2:$R$201,MATCH($B1982,Summary!$A$2:$A$201,0))</f>
        <v>18.07</v>
      </c>
      <c r="W1982" s="0" t="str">
        <f aca="false">INDEX(Summary!$S$2:$S$201,MATCH($B1982,Summary!$A$2:$A$201,0))</f>
        <v>Bronze</v>
      </c>
      <c r="X1982" s="2" t="n">
        <f aca="false">INDEX(Summary!$T$2:$T$201,MATCH($B1982,Summary!$A$2:$A$201,0))</f>
        <v>44.07</v>
      </c>
      <c r="Y1982" s="0" t="str">
        <f aca="false">INDEX('Reward Model'!$E$18:$E$37,MATCH($E1982,'Reward Model'!$A$18:$A$37,0))</f>
        <v>Medium</v>
      </c>
      <c r="Z1982" s="4" t="n">
        <f aca="false">ROUND(MIN(1,MAX('Reward Model'!$B$2,INDEX('Reward Model'!$C$12:$C$14,MATCH($K1982,'Reward Model'!$A$12:$A$14,0))/$J1982)),3)</f>
        <v>1</v>
      </c>
      <c r="AA1982" s="2" t="n">
        <f aca="false">IF($I1982="Correct",ROUND(INDEX('Reward Model'!$B$12:$B$14,MATCH($K1982,'Reward Model'!$A$12:$A$14,0))*Z1982,2),0)</f>
        <v>1</v>
      </c>
      <c r="AB1982" s="2" t="n">
        <f aca="false">IF($I1982="Correct",ROUND(INDEX('Reward Model'!$B$12:$B$14,MATCH($Y1982,'Reward Model'!$A$12:$A$14,0))*Z1982,2),0)</f>
        <v>2</v>
      </c>
    </row>
    <row r="1983" customFormat="false" ht="15" hidden="false" customHeight="false" outlineLevel="0" collapsed="false">
      <c r="A1983" s="0" t="s">
        <v>329</v>
      </c>
      <c r="B1983" s="0" t="s">
        <v>330</v>
      </c>
      <c r="C1983" s="0" t="s">
        <v>322</v>
      </c>
      <c r="D1983" s="0" t="s">
        <v>31</v>
      </c>
      <c r="E1983" s="0" t="n">
        <v>2</v>
      </c>
      <c r="F1983" s="0" t="s">
        <v>36</v>
      </c>
      <c r="G1983" s="0" t="s">
        <v>38</v>
      </c>
      <c r="H1983" s="0" t="s">
        <v>38</v>
      </c>
      <c r="I1983" s="0" t="s">
        <v>34</v>
      </c>
      <c r="J1983" s="0" t="n">
        <v>1.83</v>
      </c>
      <c r="K1983" s="0" t="s">
        <v>35</v>
      </c>
      <c r="L1983" s="0" t="n">
        <f aca="false">INDEX(Summary!$F$2:$F$201,MATCH($B1983,Summary!$A$2:$A$201,0))</f>
        <v>20</v>
      </c>
      <c r="M1983" s="0" t="n">
        <f aca="false">INDEX(Summary!$I$2:$I$201,MATCH($B1983,Summary!$A$2:$A$201,0))</f>
        <v>1</v>
      </c>
      <c r="N1983" s="0" t="n">
        <f aca="false">INDEX(Summary!$J$2:$J$201,MATCH($B1983,Summary!$A$2:$A$201,0))</f>
        <v>4</v>
      </c>
      <c r="O1983" s="2" t="n">
        <f aca="false">INDEX(Summary!$K$2:$K$201,MATCH($B1983,Summary!$A$2:$A$201,0))</f>
        <v>8.5</v>
      </c>
      <c r="P1983" s="3" t="n">
        <f aca="false">INDEX(Summary!$L$2:$L$201,MATCH($B1983,Summary!$A$2:$A$201,0))</f>
        <v>2</v>
      </c>
      <c r="Q1983" s="3" t="n">
        <f aca="false">INDEX(Summary!$M$2:$M$201,MATCH($B1983,Summary!$A$2:$A$201,0))</f>
        <v>4</v>
      </c>
      <c r="R1983" s="2" t="n">
        <f aca="false">INDEX(Summary!$N$2:$N$201,MATCH($B1983,Summary!$A$2:$A$201,0))</f>
        <v>10.15</v>
      </c>
      <c r="S1983" s="3" t="n">
        <f aca="false">INDEX(Summary!$O$2:$O$201,MATCH($B1983,Summary!$A$2:$A$201,0))</f>
        <v>8</v>
      </c>
      <c r="T1983" s="3" t="n">
        <f aca="false">INDEX(Summary!$P$2:$P$201,MATCH($B1983,Summary!$A$2:$A$201,0))</f>
        <v>1</v>
      </c>
      <c r="U1983" s="2" t="n">
        <f aca="false">INDEX(Summary!$Q$2:$Q$201,MATCH($B1983,Summary!$A$2:$A$201,0))</f>
        <v>13.39</v>
      </c>
      <c r="V1983" s="2" t="n">
        <f aca="false">INDEX(Summary!$R$2:$R$201,MATCH($B1983,Summary!$A$2:$A$201,0))</f>
        <v>18.07</v>
      </c>
      <c r="W1983" s="0" t="str">
        <f aca="false">INDEX(Summary!$S$2:$S$201,MATCH($B1983,Summary!$A$2:$A$201,0))</f>
        <v>Bronze</v>
      </c>
      <c r="X1983" s="2" t="n">
        <f aca="false">INDEX(Summary!$T$2:$T$201,MATCH($B1983,Summary!$A$2:$A$201,0))</f>
        <v>44.07</v>
      </c>
      <c r="Y1983" s="0" t="str">
        <f aca="false">INDEX('Reward Model'!$E$18:$E$37,MATCH($E1983,'Reward Model'!$A$18:$A$37,0))</f>
        <v>Low</v>
      </c>
      <c r="Z1983" s="4" t="n">
        <f aca="false">ROUND(MIN(1,MAX('Reward Model'!$B$2,INDEX('Reward Model'!$C$12:$C$14,MATCH($K1983,'Reward Model'!$A$12:$A$14,0))/$J1983)),3)</f>
        <v>0.82</v>
      </c>
      <c r="AA1983" s="2" t="n">
        <f aca="false">IF($I1983="Correct",ROUND(INDEX('Reward Model'!$B$12:$B$14,MATCH($K1983,'Reward Model'!$A$12:$A$14,0))*Z1983,2),0)</f>
        <v>0.82</v>
      </c>
      <c r="AB1983" s="2" t="n">
        <f aca="false">IF($I1983="Correct",ROUND(INDEX('Reward Model'!$B$12:$B$14,MATCH($Y1983,'Reward Model'!$A$12:$A$14,0))*Z1983,2),0)</f>
        <v>0.82</v>
      </c>
    </row>
    <row r="1984" customFormat="false" ht="15" hidden="false" customHeight="false" outlineLevel="0" collapsed="false">
      <c r="A1984" s="0" t="s">
        <v>329</v>
      </c>
      <c r="B1984" s="0" t="s">
        <v>330</v>
      </c>
      <c r="C1984" s="0" t="s">
        <v>322</v>
      </c>
      <c r="D1984" s="0" t="s">
        <v>31</v>
      </c>
      <c r="E1984" s="0" t="n">
        <v>3</v>
      </c>
      <c r="F1984" s="0" t="s">
        <v>40</v>
      </c>
      <c r="G1984" s="0" t="s">
        <v>42</v>
      </c>
      <c r="H1984" s="0" t="s">
        <v>42</v>
      </c>
      <c r="I1984" s="0" t="s">
        <v>34</v>
      </c>
      <c r="J1984" s="0" t="n">
        <v>1.09</v>
      </c>
      <c r="K1984" s="0" t="s">
        <v>35</v>
      </c>
      <c r="L1984" s="0" t="n">
        <f aca="false">INDEX(Summary!$F$2:$F$201,MATCH($B1984,Summary!$A$2:$A$201,0))</f>
        <v>20</v>
      </c>
      <c r="M1984" s="0" t="n">
        <f aca="false">INDEX(Summary!$I$2:$I$201,MATCH($B1984,Summary!$A$2:$A$201,0))</f>
        <v>1</v>
      </c>
      <c r="N1984" s="0" t="n">
        <f aca="false">INDEX(Summary!$J$2:$J$201,MATCH($B1984,Summary!$A$2:$A$201,0))</f>
        <v>4</v>
      </c>
      <c r="O1984" s="2" t="n">
        <f aca="false">INDEX(Summary!$K$2:$K$201,MATCH($B1984,Summary!$A$2:$A$201,0))</f>
        <v>8.5</v>
      </c>
      <c r="P1984" s="3" t="n">
        <f aca="false">INDEX(Summary!$L$2:$L$201,MATCH($B1984,Summary!$A$2:$A$201,0))</f>
        <v>2</v>
      </c>
      <c r="Q1984" s="3" t="n">
        <f aca="false">INDEX(Summary!$M$2:$M$201,MATCH($B1984,Summary!$A$2:$A$201,0))</f>
        <v>4</v>
      </c>
      <c r="R1984" s="2" t="n">
        <f aca="false">INDEX(Summary!$N$2:$N$201,MATCH($B1984,Summary!$A$2:$A$201,0))</f>
        <v>10.15</v>
      </c>
      <c r="S1984" s="3" t="n">
        <f aca="false">INDEX(Summary!$O$2:$O$201,MATCH($B1984,Summary!$A$2:$A$201,0))</f>
        <v>8</v>
      </c>
      <c r="T1984" s="3" t="n">
        <f aca="false">INDEX(Summary!$P$2:$P$201,MATCH($B1984,Summary!$A$2:$A$201,0))</f>
        <v>1</v>
      </c>
      <c r="U1984" s="2" t="n">
        <f aca="false">INDEX(Summary!$Q$2:$Q$201,MATCH($B1984,Summary!$A$2:$A$201,0))</f>
        <v>13.39</v>
      </c>
      <c r="V1984" s="2" t="n">
        <f aca="false">INDEX(Summary!$R$2:$R$201,MATCH($B1984,Summary!$A$2:$A$201,0))</f>
        <v>18.07</v>
      </c>
      <c r="W1984" s="0" t="str">
        <f aca="false">INDEX(Summary!$S$2:$S$201,MATCH($B1984,Summary!$A$2:$A$201,0))</f>
        <v>Bronze</v>
      </c>
      <c r="X1984" s="2" t="n">
        <f aca="false">INDEX(Summary!$T$2:$T$201,MATCH($B1984,Summary!$A$2:$A$201,0))</f>
        <v>44.07</v>
      </c>
      <c r="Y1984" s="0" t="str">
        <f aca="false">INDEX('Reward Model'!$E$18:$E$37,MATCH($E1984,'Reward Model'!$A$18:$A$37,0))</f>
        <v>Medium</v>
      </c>
      <c r="Z1984" s="4" t="n">
        <f aca="false">ROUND(MIN(1,MAX('Reward Model'!$B$2,INDEX('Reward Model'!$C$12:$C$14,MATCH($K1984,'Reward Model'!$A$12:$A$14,0))/$J1984)),3)</f>
        <v>1</v>
      </c>
      <c r="AA1984" s="2" t="n">
        <f aca="false">IF($I1984="Correct",ROUND(INDEX('Reward Model'!$B$12:$B$14,MATCH($K1984,'Reward Model'!$A$12:$A$14,0))*Z1984,2),0)</f>
        <v>1</v>
      </c>
      <c r="AB1984" s="2" t="n">
        <f aca="false">IF($I1984="Correct",ROUND(INDEX('Reward Model'!$B$12:$B$14,MATCH($Y1984,'Reward Model'!$A$12:$A$14,0))*Z1984,2),0)</f>
        <v>2</v>
      </c>
    </row>
    <row r="1985" customFormat="false" ht="15" hidden="false" customHeight="false" outlineLevel="0" collapsed="false">
      <c r="A1985" s="0" t="s">
        <v>329</v>
      </c>
      <c r="B1985" s="0" t="s">
        <v>330</v>
      </c>
      <c r="C1985" s="0" t="s">
        <v>322</v>
      </c>
      <c r="D1985" s="0" t="s">
        <v>31</v>
      </c>
      <c r="E1985" s="0" t="n">
        <v>4</v>
      </c>
      <c r="F1985" s="0" t="s">
        <v>43</v>
      </c>
      <c r="G1985" s="0" t="s">
        <v>45</v>
      </c>
      <c r="H1985" s="0" t="s">
        <v>45</v>
      </c>
      <c r="I1985" s="0" t="s">
        <v>34</v>
      </c>
      <c r="J1985" s="0" t="n">
        <v>1.05</v>
      </c>
      <c r="K1985" s="0" t="s">
        <v>35</v>
      </c>
      <c r="L1985" s="0" t="n">
        <f aca="false">INDEX(Summary!$F$2:$F$201,MATCH($B1985,Summary!$A$2:$A$201,0))</f>
        <v>20</v>
      </c>
      <c r="M1985" s="0" t="n">
        <f aca="false">INDEX(Summary!$I$2:$I$201,MATCH($B1985,Summary!$A$2:$A$201,0))</f>
        <v>1</v>
      </c>
      <c r="N1985" s="0" t="n">
        <f aca="false">INDEX(Summary!$J$2:$J$201,MATCH($B1985,Summary!$A$2:$A$201,0))</f>
        <v>4</v>
      </c>
      <c r="O1985" s="2" t="n">
        <f aca="false">INDEX(Summary!$K$2:$K$201,MATCH($B1985,Summary!$A$2:$A$201,0))</f>
        <v>8.5</v>
      </c>
      <c r="P1985" s="3" t="n">
        <f aca="false">INDEX(Summary!$L$2:$L$201,MATCH($B1985,Summary!$A$2:$A$201,0))</f>
        <v>2</v>
      </c>
      <c r="Q1985" s="3" t="n">
        <f aca="false">INDEX(Summary!$M$2:$M$201,MATCH($B1985,Summary!$A$2:$A$201,0))</f>
        <v>4</v>
      </c>
      <c r="R1985" s="2" t="n">
        <f aca="false">INDEX(Summary!$N$2:$N$201,MATCH($B1985,Summary!$A$2:$A$201,0))</f>
        <v>10.15</v>
      </c>
      <c r="S1985" s="3" t="n">
        <f aca="false">INDEX(Summary!$O$2:$O$201,MATCH($B1985,Summary!$A$2:$A$201,0))</f>
        <v>8</v>
      </c>
      <c r="T1985" s="3" t="n">
        <f aca="false">INDEX(Summary!$P$2:$P$201,MATCH($B1985,Summary!$A$2:$A$201,0))</f>
        <v>1</v>
      </c>
      <c r="U1985" s="2" t="n">
        <f aca="false">INDEX(Summary!$Q$2:$Q$201,MATCH($B1985,Summary!$A$2:$A$201,0))</f>
        <v>13.39</v>
      </c>
      <c r="V1985" s="2" t="n">
        <f aca="false">INDEX(Summary!$R$2:$R$201,MATCH($B1985,Summary!$A$2:$A$201,0))</f>
        <v>18.07</v>
      </c>
      <c r="W1985" s="0" t="str">
        <f aca="false">INDEX(Summary!$S$2:$S$201,MATCH($B1985,Summary!$A$2:$A$201,0))</f>
        <v>Bronze</v>
      </c>
      <c r="X1985" s="2" t="n">
        <f aca="false">INDEX(Summary!$T$2:$T$201,MATCH($B1985,Summary!$A$2:$A$201,0))</f>
        <v>44.07</v>
      </c>
      <c r="Y1985" s="0" t="str">
        <f aca="false">INDEX('Reward Model'!$E$18:$E$37,MATCH($E1985,'Reward Model'!$A$18:$A$37,0))</f>
        <v>Low</v>
      </c>
      <c r="Z1985" s="4" t="n">
        <f aca="false">ROUND(MIN(1,MAX('Reward Model'!$B$2,INDEX('Reward Model'!$C$12:$C$14,MATCH($K1985,'Reward Model'!$A$12:$A$14,0))/$J1985)),3)</f>
        <v>1</v>
      </c>
      <c r="AA1985" s="2" t="n">
        <f aca="false">IF($I1985="Correct",ROUND(INDEX('Reward Model'!$B$12:$B$14,MATCH($K1985,'Reward Model'!$A$12:$A$14,0))*Z1985,2),0)</f>
        <v>1</v>
      </c>
      <c r="AB1985" s="2" t="n">
        <f aca="false">IF($I1985="Correct",ROUND(INDEX('Reward Model'!$B$12:$B$14,MATCH($Y1985,'Reward Model'!$A$12:$A$14,0))*Z1985,2),0)</f>
        <v>1</v>
      </c>
    </row>
    <row r="1986" customFormat="false" ht="15" hidden="false" customHeight="false" outlineLevel="0" collapsed="false">
      <c r="A1986" s="0" t="s">
        <v>329</v>
      </c>
      <c r="B1986" s="0" t="s">
        <v>330</v>
      </c>
      <c r="C1986" s="0" t="s">
        <v>322</v>
      </c>
      <c r="D1986" s="0" t="s">
        <v>31</v>
      </c>
      <c r="E1986" s="0" t="n">
        <v>5</v>
      </c>
      <c r="F1986" s="0" t="s">
        <v>46</v>
      </c>
      <c r="G1986" s="0" t="s">
        <v>47</v>
      </c>
      <c r="H1986" s="0" t="s">
        <v>47</v>
      </c>
      <c r="I1986" s="0" t="s">
        <v>34</v>
      </c>
      <c r="J1986" s="0" t="n">
        <v>1.64</v>
      </c>
      <c r="K1986" s="0" t="s">
        <v>35</v>
      </c>
      <c r="L1986" s="0" t="n">
        <f aca="false">INDEX(Summary!$F$2:$F$201,MATCH($B1986,Summary!$A$2:$A$201,0))</f>
        <v>20</v>
      </c>
      <c r="M1986" s="0" t="n">
        <f aca="false">INDEX(Summary!$I$2:$I$201,MATCH($B1986,Summary!$A$2:$A$201,0))</f>
        <v>1</v>
      </c>
      <c r="N1986" s="0" t="n">
        <f aca="false">INDEX(Summary!$J$2:$J$201,MATCH($B1986,Summary!$A$2:$A$201,0))</f>
        <v>4</v>
      </c>
      <c r="O1986" s="2" t="n">
        <f aca="false">INDEX(Summary!$K$2:$K$201,MATCH($B1986,Summary!$A$2:$A$201,0))</f>
        <v>8.5</v>
      </c>
      <c r="P1986" s="3" t="n">
        <f aca="false">INDEX(Summary!$L$2:$L$201,MATCH($B1986,Summary!$A$2:$A$201,0))</f>
        <v>2</v>
      </c>
      <c r="Q1986" s="3" t="n">
        <f aca="false">INDEX(Summary!$M$2:$M$201,MATCH($B1986,Summary!$A$2:$A$201,0))</f>
        <v>4</v>
      </c>
      <c r="R1986" s="2" t="n">
        <f aca="false">INDEX(Summary!$N$2:$N$201,MATCH($B1986,Summary!$A$2:$A$201,0))</f>
        <v>10.15</v>
      </c>
      <c r="S1986" s="3" t="n">
        <f aca="false">INDEX(Summary!$O$2:$O$201,MATCH($B1986,Summary!$A$2:$A$201,0))</f>
        <v>8</v>
      </c>
      <c r="T1986" s="3" t="n">
        <f aca="false">INDEX(Summary!$P$2:$P$201,MATCH($B1986,Summary!$A$2:$A$201,0))</f>
        <v>1</v>
      </c>
      <c r="U1986" s="2" t="n">
        <f aca="false">INDEX(Summary!$Q$2:$Q$201,MATCH($B1986,Summary!$A$2:$A$201,0))</f>
        <v>13.39</v>
      </c>
      <c r="V1986" s="2" t="n">
        <f aca="false">INDEX(Summary!$R$2:$R$201,MATCH($B1986,Summary!$A$2:$A$201,0))</f>
        <v>18.07</v>
      </c>
      <c r="W1986" s="0" t="str">
        <f aca="false">INDEX(Summary!$S$2:$S$201,MATCH($B1986,Summary!$A$2:$A$201,0))</f>
        <v>Bronze</v>
      </c>
      <c r="X1986" s="2" t="n">
        <f aca="false">INDEX(Summary!$T$2:$T$201,MATCH($B1986,Summary!$A$2:$A$201,0))</f>
        <v>44.07</v>
      </c>
      <c r="Y1986" s="0" t="str">
        <f aca="false">INDEX('Reward Model'!$E$18:$E$37,MATCH($E1986,'Reward Model'!$A$18:$A$37,0))</f>
        <v>Low</v>
      </c>
      <c r="Z1986" s="4" t="n">
        <f aca="false">ROUND(MIN(1,MAX('Reward Model'!$B$2,INDEX('Reward Model'!$C$12:$C$14,MATCH($K1986,'Reward Model'!$A$12:$A$14,0))/$J1986)),3)</f>
        <v>0.915</v>
      </c>
      <c r="AA1986" s="2" t="n">
        <f aca="false">IF($I1986="Correct",ROUND(INDEX('Reward Model'!$B$12:$B$14,MATCH($K1986,'Reward Model'!$A$12:$A$14,0))*Z1986,2),0)</f>
        <v>0.92</v>
      </c>
      <c r="AB1986" s="2" t="n">
        <f aca="false">IF($I1986="Correct",ROUND(INDEX('Reward Model'!$B$12:$B$14,MATCH($Y1986,'Reward Model'!$A$12:$A$14,0))*Z1986,2),0)</f>
        <v>0.92</v>
      </c>
    </row>
    <row r="1987" customFormat="false" ht="15" hidden="false" customHeight="false" outlineLevel="0" collapsed="false">
      <c r="A1987" s="0" t="s">
        <v>329</v>
      </c>
      <c r="B1987" s="0" t="s">
        <v>330</v>
      </c>
      <c r="C1987" s="0" t="s">
        <v>322</v>
      </c>
      <c r="D1987" s="0" t="s">
        <v>31</v>
      </c>
      <c r="E1987" s="0" t="n">
        <v>6</v>
      </c>
      <c r="F1987" s="0" t="s">
        <v>48</v>
      </c>
      <c r="G1987" s="0" t="s">
        <v>49</v>
      </c>
      <c r="H1987" s="0" t="s">
        <v>49</v>
      </c>
      <c r="I1987" s="0" t="s">
        <v>34</v>
      </c>
      <c r="J1987" s="0" t="n">
        <v>0.96</v>
      </c>
      <c r="K1987" s="0" t="s">
        <v>35</v>
      </c>
      <c r="L1987" s="0" t="n">
        <f aca="false">INDEX(Summary!$F$2:$F$201,MATCH($B1987,Summary!$A$2:$A$201,0))</f>
        <v>20</v>
      </c>
      <c r="M1987" s="0" t="n">
        <f aca="false">INDEX(Summary!$I$2:$I$201,MATCH($B1987,Summary!$A$2:$A$201,0))</f>
        <v>1</v>
      </c>
      <c r="N1987" s="0" t="n">
        <f aca="false">INDEX(Summary!$J$2:$J$201,MATCH($B1987,Summary!$A$2:$A$201,0))</f>
        <v>4</v>
      </c>
      <c r="O1987" s="2" t="n">
        <f aca="false">INDEX(Summary!$K$2:$K$201,MATCH($B1987,Summary!$A$2:$A$201,0))</f>
        <v>8.5</v>
      </c>
      <c r="P1987" s="3" t="n">
        <f aca="false">INDEX(Summary!$L$2:$L$201,MATCH($B1987,Summary!$A$2:$A$201,0))</f>
        <v>2</v>
      </c>
      <c r="Q1987" s="3" t="n">
        <f aca="false">INDEX(Summary!$M$2:$M$201,MATCH($B1987,Summary!$A$2:$A$201,0))</f>
        <v>4</v>
      </c>
      <c r="R1987" s="2" t="n">
        <f aca="false">INDEX(Summary!$N$2:$N$201,MATCH($B1987,Summary!$A$2:$A$201,0))</f>
        <v>10.15</v>
      </c>
      <c r="S1987" s="3" t="n">
        <f aca="false">INDEX(Summary!$O$2:$O$201,MATCH($B1987,Summary!$A$2:$A$201,0))</f>
        <v>8</v>
      </c>
      <c r="T1987" s="3" t="n">
        <f aca="false">INDEX(Summary!$P$2:$P$201,MATCH($B1987,Summary!$A$2:$A$201,0))</f>
        <v>1</v>
      </c>
      <c r="U1987" s="2" t="n">
        <f aca="false">INDEX(Summary!$Q$2:$Q$201,MATCH($B1987,Summary!$A$2:$A$201,0))</f>
        <v>13.39</v>
      </c>
      <c r="V1987" s="2" t="n">
        <f aca="false">INDEX(Summary!$R$2:$R$201,MATCH($B1987,Summary!$A$2:$A$201,0))</f>
        <v>18.07</v>
      </c>
      <c r="W1987" s="0" t="str">
        <f aca="false">INDEX(Summary!$S$2:$S$201,MATCH($B1987,Summary!$A$2:$A$201,0))</f>
        <v>Bronze</v>
      </c>
      <c r="X1987" s="2" t="n">
        <f aca="false">INDEX(Summary!$T$2:$T$201,MATCH($B1987,Summary!$A$2:$A$201,0))</f>
        <v>44.07</v>
      </c>
      <c r="Y1987" s="0" t="str">
        <f aca="false">INDEX('Reward Model'!$E$18:$E$37,MATCH($E1987,'Reward Model'!$A$18:$A$37,0))</f>
        <v>Medium</v>
      </c>
      <c r="Z1987" s="4" t="n">
        <f aca="false">ROUND(MIN(1,MAX('Reward Model'!$B$2,INDEX('Reward Model'!$C$12:$C$14,MATCH($K1987,'Reward Model'!$A$12:$A$14,0))/$J1987)),3)</f>
        <v>1</v>
      </c>
      <c r="AA1987" s="2" t="n">
        <f aca="false">IF($I1987="Correct",ROUND(INDEX('Reward Model'!$B$12:$B$14,MATCH($K1987,'Reward Model'!$A$12:$A$14,0))*Z1987,2),0)</f>
        <v>1</v>
      </c>
      <c r="AB1987" s="2" t="n">
        <f aca="false">IF($I1987="Correct",ROUND(INDEX('Reward Model'!$B$12:$B$14,MATCH($Y1987,'Reward Model'!$A$12:$A$14,0))*Z1987,2),0)</f>
        <v>2</v>
      </c>
    </row>
    <row r="1988" customFormat="false" ht="15" hidden="false" customHeight="false" outlineLevel="0" collapsed="false">
      <c r="A1988" s="0" t="s">
        <v>329</v>
      </c>
      <c r="B1988" s="0" t="s">
        <v>330</v>
      </c>
      <c r="C1988" s="0" t="s">
        <v>322</v>
      </c>
      <c r="D1988" s="0" t="s">
        <v>31</v>
      </c>
      <c r="E1988" s="0" t="n">
        <v>7</v>
      </c>
      <c r="F1988" s="0" t="s">
        <v>50</v>
      </c>
      <c r="G1988" s="0" t="s">
        <v>92</v>
      </c>
      <c r="H1988" s="0" t="s">
        <v>51</v>
      </c>
      <c r="I1988" s="0" t="s">
        <v>39</v>
      </c>
      <c r="J1988" s="0" t="n">
        <v>1.59</v>
      </c>
      <c r="K1988" s="0" t="s">
        <v>35</v>
      </c>
      <c r="L1988" s="0" t="n">
        <f aca="false">INDEX(Summary!$F$2:$F$201,MATCH($B1988,Summary!$A$2:$A$201,0))</f>
        <v>20</v>
      </c>
      <c r="M1988" s="0" t="n">
        <f aca="false">INDEX(Summary!$I$2:$I$201,MATCH($B1988,Summary!$A$2:$A$201,0))</f>
        <v>1</v>
      </c>
      <c r="N1988" s="0" t="n">
        <f aca="false">INDEX(Summary!$J$2:$J$201,MATCH($B1988,Summary!$A$2:$A$201,0))</f>
        <v>4</v>
      </c>
      <c r="O1988" s="2" t="n">
        <f aca="false">INDEX(Summary!$K$2:$K$201,MATCH($B1988,Summary!$A$2:$A$201,0))</f>
        <v>8.5</v>
      </c>
      <c r="P1988" s="3" t="n">
        <f aca="false">INDEX(Summary!$L$2:$L$201,MATCH($B1988,Summary!$A$2:$A$201,0))</f>
        <v>2</v>
      </c>
      <c r="Q1988" s="3" t="n">
        <f aca="false">INDEX(Summary!$M$2:$M$201,MATCH($B1988,Summary!$A$2:$A$201,0))</f>
        <v>4</v>
      </c>
      <c r="R1988" s="2" t="n">
        <f aca="false">INDEX(Summary!$N$2:$N$201,MATCH($B1988,Summary!$A$2:$A$201,0))</f>
        <v>10.15</v>
      </c>
      <c r="S1988" s="3" t="n">
        <f aca="false">INDEX(Summary!$O$2:$O$201,MATCH($B1988,Summary!$A$2:$A$201,0))</f>
        <v>8</v>
      </c>
      <c r="T1988" s="3" t="n">
        <f aca="false">INDEX(Summary!$P$2:$P$201,MATCH($B1988,Summary!$A$2:$A$201,0))</f>
        <v>1</v>
      </c>
      <c r="U1988" s="2" t="n">
        <f aca="false">INDEX(Summary!$Q$2:$Q$201,MATCH($B1988,Summary!$A$2:$A$201,0))</f>
        <v>13.39</v>
      </c>
      <c r="V1988" s="2" t="n">
        <f aca="false">INDEX(Summary!$R$2:$R$201,MATCH($B1988,Summary!$A$2:$A$201,0))</f>
        <v>18.07</v>
      </c>
      <c r="W1988" s="0" t="str">
        <f aca="false">INDEX(Summary!$S$2:$S$201,MATCH($B1988,Summary!$A$2:$A$201,0))</f>
        <v>Bronze</v>
      </c>
      <c r="X1988" s="2" t="n">
        <f aca="false">INDEX(Summary!$T$2:$T$201,MATCH($B1988,Summary!$A$2:$A$201,0))</f>
        <v>44.07</v>
      </c>
      <c r="Y1988" s="0" t="str">
        <f aca="false">INDEX('Reward Model'!$E$18:$E$37,MATCH($E1988,'Reward Model'!$A$18:$A$37,0))</f>
        <v>Low</v>
      </c>
      <c r="Z1988" s="4" t="n">
        <f aca="false">ROUND(MIN(1,MAX('Reward Model'!$B$2,INDEX('Reward Model'!$C$12:$C$14,MATCH($K1988,'Reward Model'!$A$12:$A$14,0))/$J1988)),3)</f>
        <v>0.943</v>
      </c>
      <c r="AA1988" s="2" t="n">
        <f aca="false">IF($I1988="Correct",ROUND(INDEX('Reward Model'!$B$12:$B$14,MATCH($K1988,'Reward Model'!$A$12:$A$14,0))*Z1988,2),0)</f>
        <v>0</v>
      </c>
      <c r="AB1988" s="2" t="n">
        <f aca="false">IF($I1988="Correct",ROUND(INDEX('Reward Model'!$B$12:$B$14,MATCH($Y1988,'Reward Model'!$A$12:$A$14,0))*Z1988,2),0)</f>
        <v>0</v>
      </c>
    </row>
    <row r="1989" customFormat="false" ht="15" hidden="false" customHeight="false" outlineLevel="0" collapsed="false">
      <c r="A1989" s="0" t="s">
        <v>329</v>
      </c>
      <c r="B1989" s="0" t="s">
        <v>330</v>
      </c>
      <c r="C1989" s="0" t="s">
        <v>322</v>
      </c>
      <c r="D1989" s="0" t="s">
        <v>31</v>
      </c>
      <c r="E1989" s="0" t="n">
        <v>8</v>
      </c>
      <c r="F1989" s="0" t="s">
        <v>52</v>
      </c>
      <c r="G1989" s="0" t="s">
        <v>54</v>
      </c>
      <c r="H1989" s="0" t="s">
        <v>54</v>
      </c>
      <c r="I1989" s="0" t="s">
        <v>34</v>
      </c>
      <c r="J1989" s="0" t="n">
        <v>1.99</v>
      </c>
      <c r="K1989" s="0" t="s">
        <v>35</v>
      </c>
      <c r="L1989" s="0" t="n">
        <f aca="false">INDEX(Summary!$F$2:$F$201,MATCH($B1989,Summary!$A$2:$A$201,0))</f>
        <v>20</v>
      </c>
      <c r="M1989" s="0" t="n">
        <f aca="false">INDEX(Summary!$I$2:$I$201,MATCH($B1989,Summary!$A$2:$A$201,0))</f>
        <v>1</v>
      </c>
      <c r="N1989" s="0" t="n">
        <f aca="false">INDEX(Summary!$J$2:$J$201,MATCH($B1989,Summary!$A$2:$A$201,0))</f>
        <v>4</v>
      </c>
      <c r="O1989" s="2" t="n">
        <f aca="false">INDEX(Summary!$K$2:$K$201,MATCH($B1989,Summary!$A$2:$A$201,0))</f>
        <v>8.5</v>
      </c>
      <c r="P1989" s="3" t="n">
        <f aca="false">INDEX(Summary!$L$2:$L$201,MATCH($B1989,Summary!$A$2:$A$201,0))</f>
        <v>2</v>
      </c>
      <c r="Q1989" s="3" t="n">
        <f aca="false">INDEX(Summary!$M$2:$M$201,MATCH($B1989,Summary!$A$2:$A$201,0))</f>
        <v>4</v>
      </c>
      <c r="R1989" s="2" t="n">
        <f aca="false">INDEX(Summary!$N$2:$N$201,MATCH($B1989,Summary!$A$2:$A$201,0))</f>
        <v>10.15</v>
      </c>
      <c r="S1989" s="3" t="n">
        <f aca="false">INDEX(Summary!$O$2:$O$201,MATCH($B1989,Summary!$A$2:$A$201,0))</f>
        <v>8</v>
      </c>
      <c r="T1989" s="3" t="n">
        <f aca="false">INDEX(Summary!$P$2:$P$201,MATCH($B1989,Summary!$A$2:$A$201,0))</f>
        <v>1</v>
      </c>
      <c r="U1989" s="2" t="n">
        <f aca="false">INDEX(Summary!$Q$2:$Q$201,MATCH($B1989,Summary!$A$2:$A$201,0))</f>
        <v>13.39</v>
      </c>
      <c r="V1989" s="2" t="n">
        <f aca="false">INDEX(Summary!$R$2:$R$201,MATCH($B1989,Summary!$A$2:$A$201,0))</f>
        <v>18.07</v>
      </c>
      <c r="W1989" s="0" t="str">
        <f aca="false">INDEX(Summary!$S$2:$S$201,MATCH($B1989,Summary!$A$2:$A$201,0))</f>
        <v>Bronze</v>
      </c>
      <c r="X1989" s="2" t="n">
        <f aca="false">INDEX(Summary!$T$2:$T$201,MATCH($B1989,Summary!$A$2:$A$201,0))</f>
        <v>44.07</v>
      </c>
      <c r="Y1989" s="0" t="str">
        <f aca="false">INDEX('Reward Model'!$E$18:$E$37,MATCH($E1989,'Reward Model'!$A$18:$A$37,0))</f>
        <v>Medium</v>
      </c>
      <c r="Z1989" s="4" t="n">
        <f aca="false">ROUND(MIN(1,MAX('Reward Model'!$B$2,INDEX('Reward Model'!$C$12:$C$14,MATCH($K1989,'Reward Model'!$A$12:$A$14,0))/$J1989)),3)</f>
        <v>0.754</v>
      </c>
      <c r="AA1989" s="2" t="n">
        <f aca="false">IF($I1989="Correct",ROUND(INDEX('Reward Model'!$B$12:$B$14,MATCH($K1989,'Reward Model'!$A$12:$A$14,0))*Z1989,2),0)</f>
        <v>0.75</v>
      </c>
      <c r="AB1989" s="2" t="n">
        <f aca="false">IF($I1989="Correct",ROUND(INDEX('Reward Model'!$B$12:$B$14,MATCH($Y1989,'Reward Model'!$A$12:$A$14,0))*Z1989,2),0)</f>
        <v>1.51</v>
      </c>
    </row>
    <row r="1990" customFormat="false" ht="15" hidden="false" customHeight="false" outlineLevel="0" collapsed="false">
      <c r="A1990" s="0" t="s">
        <v>329</v>
      </c>
      <c r="B1990" s="0" t="s">
        <v>330</v>
      </c>
      <c r="C1990" s="0" t="s">
        <v>322</v>
      </c>
      <c r="D1990" s="0" t="s">
        <v>31</v>
      </c>
      <c r="E1990" s="0" t="n">
        <v>9</v>
      </c>
      <c r="F1990" s="0" t="s">
        <v>55</v>
      </c>
      <c r="G1990" s="0" t="s">
        <v>57</v>
      </c>
      <c r="H1990" s="0" t="s">
        <v>57</v>
      </c>
      <c r="I1990" s="0" t="s">
        <v>34</v>
      </c>
      <c r="J1990" s="0" t="n">
        <v>1.99</v>
      </c>
      <c r="K1990" s="0" t="s">
        <v>35</v>
      </c>
      <c r="L1990" s="0" t="n">
        <f aca="false">INDEX(Summary!$F$2:$F$201,MATCH($B1990,Summary!$A$2:$A$201,0))</f>
        <v>20</v>
      </c>
      <c r="M1990" s="0" t="n">
        <f aca="false">INDEX(Summary!$I$2:$I$201,MATCH($B1990,Summary!$A$2:$A$201,0))</f>
        <v>1</v>
      </c>
      <c r="N1990" s="0" t="n">
        <f aca="false">INDEX(Summary!$J$2:$J$201,MATCH($B1990,Summary!$A$2:$A$201,0))</f>
        <v>4</v>
      </c>
      <c r="O1990" s="2" t="n">
        <f aca="false">INDEX(Summary!$K$2:$K$201,MATCH($B1990,Summary!$A$2:$A$201,0))</f>
        <v>8.5</v>
      </c>
      <c r="P1990" s="3" t="n">
        <f aca="false">INDEX(Summary!$L$2:$L$201,MATCH($B1990,Summary!$A$2:$A$201,0))</f>
        <v>2</v>
      </c>
      <c r="Q1990" s="3" t="n">
        <f aca="false">INDEX(Summary!$M$2:$M$201,MATCH($B1990,Summary!$A$2:$A$201,0))</f>
        <v>4</v>
      </c>
      <c r="R1990" s="2" t="n">
        <f aca="false">INDEX(Summary!$N$2:$N$201,MATCH($B1990,Summary!$A$2:$A$201,0))</f>
        <v>10.15</v>
      </c>
      <c r="S1990" s="3" t="n">
        <f aca="false">INDEX(Summary!$O$2:$O$201,MATCH($B1990,Summary!$A$2:$A$201,0))</f>
        <v>8</v>
      </c>
      <c r="T1990" s="3" t="n">
        <f aca="false">INDEX(Summary!$P$2:$P$201,MATCH($B1990,Summary!$A$2:$A$201,0))</f>
        <v>1</v>
      </c>
      <c r="U1990" s="2" t="n">
        <f aca="false">INDEX(Summary!$Q$2:$Q$201,MATCH($B1990,Summary!$A$2:$A$201,0))</f>
        <v>13.39</v>
      </c>
      <c r="V1990" s="2" t="n">
        <f aca="false">INDEX(Summary!$R$2:$R$201,MATCH($B1990,Summary!$A$2:$A$201,0))</f>
        <v>18.07</v>
      </c>
      <c r="W1990" s="0" t="str">
        <f aca="false">INDEX(Summary!$S$2:$S$201,MATCH($B1990,Summary!$A$2:$A$201,0))</f>
        <v>Bronze</v>
      </c>
      <c r="X1990" s="2" t="n">
        <f aca="false">INDEX(Summary!$T$2:$T$201,MATCH($B1990,Summary!$A$2:$A$201,0))</f>
        <v>44.07</v>
      </c>
      <c r="Y1990" s="0" t="str">
        <f aca="false">INDEX('Reward Model'!$E$18:$E$37,MATCH($E1990,'Reward Model'!$A$18:$A$37,0))</f>
        <v>Medium</v>
      </c>
      <c r="Z1990" s="4" t="n">
        <f aca="false">ROUND(MIN(1,MAX('Reward Model'!$B$2,INDEX('Reward Model'!$C$12:$C$14,MATCH($K1990,'Reward Model'!$A$12:$A$14,0))/$J1990)),3)</f>
        <v>0.754</v>
      </c>
      <c r="AA1990" s="2" t="n">
        <f aca="false">IF($I1990="Correct",ROUND(INDEX('Reward Model'!$B$12:$B$14,MATCH($K1990,'Reward Model'!$A$12:$A$14,0))*Z1990,2),0)</f>
        <v>0.75</v>
      </c>
      <c r="AB1990" s="2" t="n">
        <f aca="false">IF($I1990="Correct",ROUND(INDEX('Reward Model'!$B$12:$B$14,MATCH($Y1990,'Reward Model'!$A$12:$A$14,0))*Z1990,2),0)</f>
        <v>1.51</v>
      </c>
    </row>
    <row r="1991" customFormat="false" ht="15" hidden="false" customHeight="false" outlineLevel="0" collapsed="false">
      <c r="A1991" s="0" t="s">
        <v>329</v>
      </c>
      <c r="B1991" s="0" t="s">
        <v>330</v>
      </c>
      <c r="C1991" s="0" t="s">
        <v>322</v>
      </c>
      <c r="D1991" s="0" t="s">
        <v>31</v>
      </c>
      <c r="E1991" s="0" t="n">
        <v>10</v>
      </c>
      <c r="F1991" s="0" t="s">
        <v>58</v>
      </c>
      <c r="G1991" s="0" t="s">
        <v>138</v>
      </c>
      <c r="H1991" s="0" t="s">
        <v>59</v>
      </c>
      <c r="I1991" s="0" t="s">
        <v>39</v>
      </c>
      <c r="J1991" s="0" t="n">
        <v>1.94</v>
      </c>
      <c r="K1991" s="0" t="s">
        <v>60</v>
      </c>
      <c r="L1991" s="0" t="n">
        <f aca="false">INDEX(Summary!$F$2:$F$201,MATCH($B1991,Summary!$A$2:$A$201,0))</f>
        <v>20</v>
      </c>
      <c r="M1991" s="0" t="n">
        <f aca="false">INDEX(Summary!$I$2:$I$201,MATCH($B1991,Summary!$A$2:$A$201,0))</f>
        <v>1</v>
      </c>
      <c r="N1991" s="0" t="n">
        <f aca="false">INDEX(Summary!$J$2:$J$201,MATCH($B1991,Summary!$A$2:$A$201,0))</f>
        <v>4</v>
      </c>
      <c r="O1991" s="2" t="n">
        <f aca="false">INDEX(Summary!$K$2:$K$201,MATCH($B1991,Summary!$A$2:$A$201,0))</f>
        <v>8.5</v>
      </c>
      <c r="P1991" s="3" t="n">
        <f aca="false">INDEX(Summary!$L$2:$L$201,MATCH($B1991,Summary!$A$2:$A$201,0))</f>
        <v>2</v>
      </c>
      <c r="Q1991" s="3" t="n">
        <f aca="false">INDEX(Summary!$M$2:$M$201,MATCH($B1991,Summary!$A$2:$A$201,0))</f>
        <v>4</v>
      </c>
      <c r="R1991" s="2" t="n">
        <f aca="false">INDEX(Summary!$N$2:$N$201,MATCH($B1991,Summary!$A$2:$A$201,0))</f>
        <v>10.15</v>
      </c>
      <c r="S1991" s="3" t="n">
        <f aca="false">INDEX(Summary!$O$2:$O$201,MATCH($B1991,Summary!$A$2:$A$201,0))</f>
        <v>8</v>
      </c>
      <c r="T1991" s="3" t="n">
        <f aca="false">INDEX(Summary!$P$2:$P$201,MATCH($B1991,Summary!$A$2:$A$201,0))</f>
        <v>1</v>
      </c>
      <c r="U1991" s="2" t="n">
        <f aca="false">INDEX(Summary!$Q$2:$Q$201,MATCH($B1991,Summary!$A$2:$A$201,0))</f>
        <v>13.39</v>
      </c>
      <c r="V1991" s="2" t="n">
        <f aca="false">INDEX(Summary!$R$2:$R$201,MATCH($B1991,Summary!$A$2:$A$201,0))</f>
        <v>18.07</v>
      </c>
      <c r="W1991" s="0" t="str">
        <f aca="false">INDEX(Summary!$S$2:$S$201,MATCH($B1991,Summary!$A$2:$A$201,0))</f>
        <v>Bronze</v>
      </c>
      <c r="X1991" s="2" t="n">
        <f aca="false">INDEX(Summary!$T$2:$T$201,MATCH($B1991,Summary!$A$2:$A$201,0))</f>
        <v>44.07</v>
      </c>
      <c r="Y1991" s="0" t="str">
        <f aca="false">INDEX('Reward Model'!$E$18:$E$37,MATCH($E1991,'Reward Model'!$A$18:$A$37,0))</f>
        <v>Medium</v>
      </c>
      <c r="Z1991" s="4" t="n">
        <f aca="false">ROUND(MIN(1,MAX('Reward Model'!$B$2,INDEX('Reward Model'!$C$12:$C$14,MATCH($K1991,'Reward Model'!$A$12:$A$14,0))/$J1991)),3)</f>
        <v>0.928</v>
      </c>
      <c r="AA1991" s="2" t="n">
        <f aca="false">IF($I1991="Correct",ROUND(INDEX('Reward Model'!$B$12:$B$14,MATCH($K1991,'Reward Model'!$A$12:$A$14,0))*Z1991,2),0)</f>
        <v>0</v>
      </c>
      <c r="AB1991" s="2" t="n">
        <f aca="false">IF($I1991="Correct",ROUND(INDEX('Reward Model'!$B$12:$B$14,MATCH($Y1991,'Reward Model'!$A$12:$A$14,0))*Z1991,2),0)</f>
        <v>0</v>
      </c>
    </row>
    <row r="1992" customFormat="false" ht="15" hidden="false" customHeight="false" outlineLevel="0" collapsed="false">
      <c r="A1992" s="0" t="s">
        <v>329</v>
      </c>
      <c r="B1992" s="0" t="s">
        <v>330</v>
      </c>
      <c r="C1992" s="0" t="s">
        <v>322</v>
      </c>
      <c r="D1992" s="0" t="s">
        <v>31</v>
      </c>
      <c r="E1992" s="0" t="n">
        <v>11</v>
      </c>
      <c r="F1992" s="0" t="s">
        <v>61</v>
      </c>
      <c r="G1992" s="0" t="s">
        <v>63</v>
      </c>
      <c r="H1992" s="0" t="s">
        <v>63</v>
      </c>
      <c r="I1992" s="0" t="s">
        <v>34</v>
      </c>
      <c r="J1992" s="0" t="n">
        <v>2.24</v>
      </c>
      <c r="K1992" s="0" t="s">
        <v>60</v>
      </c>
      <c r="L1992" s="0" t="n">
        <f aca="false">INDEX(Summary!$F$2:$F$201,MATCH($B1992,Summary!$A$2:$A$201,0))</f>
        <v>20</v>
      </c>
      <c r="M1992" s="0" t="n">
        <f aca="false">INDEX(Summary!$I$2:$I$201,MATCH($B1992,Summary!$A$2:$A$201,0))</f>
        <v>1</v>
      </c>
      <c r="N1992" s="0" t="n">
        <f aca="false">INDEX(Summary!$J$2:$J$201,MATCH($B1992,Summary!$A$2:$A$201,0))</f>
        <v>4</v>
      </c>
      <c r="O1992" s="2" t="n">
        <f aca="false">INDEX(Summary!$K$2:$K$201,MATCH($B1992,Summary!$A$2:$A$201,0))</f>
        <v>8.5</v>
      </c>
      <c r="P1992" s="3" t="n">
        <f aca="false">INDEX(Summary!$L$2:$L$201,MATCH($B1992,Summary!$A$2:$A$201,0))</f>
        <v>2</v>
      </c>
      <c r="Q1992" s="3" t="n">
        <f aca="false">INDEX(Summary!$M$2:$M$201,MATCH($B1992,Summary!$A$2:$A$201,0))</f>
        <v>4</v>
      </c>
      <c r="R1992" s="2" t="n">
        <f aca="false">INDEX(Summary!$N$2:$N$201,MATCH($B1992,Summary!$A$2:$A$201,0))</f>
        <v>10.15</v>
      </c>
      <c r="S1992" s="3" t="n">
        <f aca="false">INDEX(Summary!$O$2:$O$201,MATCH($B1992,Summary!$A$2:$A$201,0))</f>
        <v>8</v>
      </c>
      <c r="T1992" s="3" t="n">
        <f aca="false">INDEX(Summary!$P$2:$P$201,MATCH($B1992,Summary!$A$2:$A$201,0))</f>
        <v>1</v>
      </c>
      <c r="U1992" s="2" t="n">
        <f aca="false">INDEX(Summary!$Q$2:$Q$201,MATCH($B1992,Summary!$A$2:$A$201,0))</f>
        <v>13.39</v>
      </c>
      <c r="V1992" s="2" t="n">
        <f aca="false">INDEX(Summary!$R$2:$R$201,MATCH($B1992,Summary!$A$2:$A$201,0))</f>
        <v>18.07</v>
      </c>
      <c r="W1992" s="0" t="str">
        <f aca="false">INDEX(Summary!$S$2:$S$201,MATCH($B1992,Summary!$A$2:$A$201,0))</f>
        <v>Bronze</v>
      </c>
      <c r="X1992" s="2" t="n">
        <f aca="false">INDEX(Summary!$T$2:$T$201,MATCH($B1992,Summary!$A$2:$A$201,0))</f>
        <v>44.07</v>
      </c>
      <c r="Y1992" s="0" t="str">
        <f aca="false">INDEX('Reward Model'!$E$18:$E$37,MATCH($E1992,'Reward Model'!$A$18:$A$37,0))</f>
        <v>Medium</v>
      </c>
      <c r="Z1992" s="4" t="n">
        <f aca="false">ROUND(MIN(1,MAX('Reward Model'!$B$2,INDEX('Reward Model'!$C$12:$C$14,MATCH($K1992,'Reward Model'!$A$12:$A$14,0))/$J1992)),3)</f>
        <v>0.804</v>
      </c>
      <c r="AA1992" s="2" t="n">
        <f aca="false">IF($I1992="Correct",ROUND(INDEX('Reward Model'!$B$12:$B$14,MATCH($K1992,'Reward Model'!$A$12:$A$14,0))*Z1992,2),0)</f>
        <v>1.61</v>
      </c>
      <c r="AB1992" s="2" t="n">
        <f aca="false">IF($I1992="Correct",ROUND(INDEX('Reward Model'!$B$12:$B$14,MATCH($Y1992,'Reward Model'!$A$12:$A$14,0))*Z1992,2),0)</f>
        <v>1.61</v>
      </c>
    </row>
    <row r="1993" customFormat="false" ht="15" hidden="false" customHeight="false" outlineLevel="0" collapsed="false">
      <c r="A1993" s="0" t="s">
        <v>329</v>
      </c>
      <c r="B1993" s="0" t="s">
        <v>330</v>
      </c>
      <c r="C1993" s="0" t="s">
        <v>322</v>
      </c>
      <c r="D1993" s="0" t="s">
        <v>31</v>
      </c>
      <c r="E1993" s="0" t="n">
        <v>12</v>
      </c>
      <c r="F1993" s="0" t="s">
        <v>64</v>
      </c>
      <c r="G1993" s="0" t="s">
        <v>65</v>
      </c>
      <c r="H1993" s="0" t="s">
        <v>65</v>
      </c>
      <c r="I1993" s="0" t="s">
        <v>34</v>
      </c>
      <c r="J1993" s="0" t="n">
        <v>1.8</v>
      </c>
      <c r="K1993" s="0" t="s">
        <v>60</v>
      </c>
      <c r="L1993" s="0" t="n">
        <f aca="false">INDEX(Summary!$F$2:$F$201,MATCH($B1993,Summary!$A$2:$A$201,0))</f>
        <v>20</v>
      </c>
      <c r="M1993" s="0" t="n">
        <f aca="false">INDEX(Summary!$I$2:$I$201,MATCH($B1993,Summary!$A$2:$A$201,0))</f>
        <v>1</v>
      </c>
      <c r="N1993" s="0" t="n">
        <f aca="false">INDEX(Summary!$J$2:$J$201,MATCH($B1993,Summary!$A$2:$A$201,0))</f>
        <v>4</v>
      </c>
      <c r="O1993" s="2" t="n">
        <f aca="false">INDEX(Summary!$K$2:$K$201,MATCH($B1993,Summary!$A$2:$A$201,0))</f>
        <v>8.5</v>
      </c>
      <c r="P1993" s="3" t="n">
        <f aca="false">INDEX(Summary!$L$2:$L$201,MATCH($B1993,Summary!$A$2:$A$201,0))</f>
        <v>2</v>
      </c>
      <c r="Q1993" s="3" t="n">
        <f aca="false">INDEX(Summary!$M$2:$M$201,MATCH($B1993,Summary!$A$2:$A$201,0))</f>
        <v>4</v>
      </c>
      <c r="R1993" s="2" t="n">
        <f aca="false">INDEX(Summary!$N$2:$N$201,MATCH($B1993,Summary!$A$2:$A$201,0))</f>
        <v>10.15</v>
      </c>
      <c r="S1993" s="3" t="n">
        <f aca="false">INDEX(Summary!$O$2:$O$201,MATCH($B1993,Summary!$A$2:$A$201,0))</f>
        <v>8</v>
      </c>
      <c r="T1993" s="3" t="n">
        <f aca="false">INDEX(Summary!$P$2:$P$201,MATCH($B1993,Summary!$A$2:$A$201,0))</f>
        <v>1</v>
      </c>
      <c r="U1993" s="2" t="n">
        <f aca="false">INDEX(Summary!$Q$2:$Q$201,MATCH($B1993,Summary!$A$2:$A$201,0))</f>
        <v>13.39</v>
      </c>
      <c r="V1993" s="2" t="n">
        <f aca="false">INDEX(Summary!$R$2:$R$201,MATCH($B1993,Summary!$A$2:$A$201,0))</f>
        <v>18.07</v>
      </c>
      <c r="W1993" s="0" t="str">
        <f aca="false">INDEX(Summary!$S$2:$S$201,MATCH($B1993,Summary!$A$2:$A$201,0))</f>
        <v>Bronze</v>
      </c>
      <c r="X1993" s="2" t="n">
        <f aca="false">INDEX(Summary!$T$2:$T$201,MATCH($B1993,Summary!$A$2:$A$201,0))</f>
        <v>44.07</v>
      </c>
      <c r="Y1993" s="0" t="str">
        <f aca="false">INDEX('Reward Model'!$E$18:$E$37,MATCH($E1993,'Reward Model'!$A$18:$A$37,0))</f>
        <v>Medium</v>
      </c>
      <c r="Z1993" s="4" t="n">
        <f aca="false">ROUND(MIN(1,MAX('Reward Model'!$B$2,INDEX('Reward Model'!$C$12:$C$14,MATCH($K1993,'Reward Model'!$A$12:$A$14,0))/$J1993)),3)</f>
        <v>1</v>
      </c>
      <c r="AA1993" s="2" t="n">
        <f aca="false">IF($I1993="Correct",ROUND(INDEX('Reward Model'!$B$12:$B$14,MATCH($K1993,'Reward Model'!$A$12:$A$14,0))*Z1993,2),0)</f>
        <v>2</v>
      </c>
      <c r="AB1993" s="2" t="n">
        <f aca="false">IF($I1993="Correct",ROUND(INDEX('Reward Model'!$B$12:$B$14,MATCH($Y1993,'Reward Model'!$A$12:$A$14,0))*Z1993,2),0)</f>
        <v>2</v>
      </c>
    </row>
    <row r="1994" customFormat="false" ht="15" hidden="false" customHeight="false" outlineLevel="0" collapsed="false">
      <c r="A1994" s="0" t="s">
        <v>329</v>
      </c>
      <c r="B1994" s="0" t="s">
        <v>330</v>
      </c>
      <c r="C1994" s="0" t="s">
        <v>322</v>
      </c>
      <c r="D1994" s="0" t="s">
        <v>31</v>
      </c>
      <c r="E1994" s="0" t="n">
        <v>13</v>
      </c>
      <c r="F1994" s="0" t="s">
        <v>66</v>
      </c>
      <c r="G1994" s="0" t="s">
        <v>117</v>
      </c>
      <c r="H1994" s="0" t="s">
        <v>67</v>
      </c>
      <c r="I1994" s="0" t="s">
        <v>39</v>
      </c>
      <c r="J1994" s="0" t="n">
        <v>1.13</v>
      </c>
      <c r="K1994" s="0" t="s">
        <v>60</v>
      </c>
      <c r="L1994" s="0" t="n">
        <f aca="false">INDEX(Summary!$F$2:$F$201,MATCH($B1994,Summary!$A$2:$A$201,0))</f>
        <v>20</v>
      </c>
      <c r="M1994" s="0" t="n">
        <f aca="false">INDEX(Summary!$I$2:$I$201,MATCH($B1994,Summary!$A$2:$A$201,0))</f>
        <v>1</v>
      </c>
      <c r="N1994" s="0" t="n">
        <f aca="false">INDEX(Summary!$J$2:$J$201,MATCH($B1994,Summary!$A$2:$A$201,0))</f>
        <v>4</v>
      </c>
      <c r="O1994" s="2" t="n">
        <f aca="false">INDEX(Summary!$K$2:$K$201,MATCH($B1994,Summary!$A$2:$A$201,0))</f>
        <v>8.5</v>
      </c>
      <c r="P1994" s="3" t="n">
        <f aca="false">INDEX(Summary!$L$2:$L$201,MATCH($B1994,Summary!$A$2:$A$201,0))</f>
        <v>2</v>
      </c>
      <c r="Q1994" s="3" t="n">
        <f aca="false">INDEX(Summary!$M$2:$M$201,MATCH($B1994,Summary!$A$2:$A$201,0))</f>
        <v>4</v>
      </c>
      <c r="R1994" s="2" t="n">
        <f aca="false">INDEX(Summary!$N$2:$N$201,MATCH($B1994,Summary!$A$2:$A$201,0))</f>
        <v>10.15</v>
      </c>
      <c r="S1994" s="3" t="n">
        <f aca="false">INDEX(Summary!$O$2:$O$201,MATCH($B1994,Summary!$A$2:$A$201,0))</f>
        <v>8</v>
      </c>
      <c r="T1994" s="3" t="n">
        <f aca="false">INDEX(Summary!$P$2:$P$201,MATCH($B1994,Summary!$A$2:$A$201,0))</f>
        <v>1</v>
      </c>
      <c r="U1994" s="2" t="n">
        <f aca="false">INDEX(Summary!$Q$2:$Q$201,MATCH($B1994,Summary!$A$2:$A$201,0))</f>
        <v>13.39</v>
      </c>
      <c r="V1994" s="2" t="n">
        <f aca="false">INDEX(Summary!$R$2:$R$201,MATCH($B1994,Summary!$A$2:$A$201,0))</f>
        <v>18.07</v>
      </c>
      <c r="W1994" s="0" t="str">
        <f aca="false">INDEX(Summary!$S$2:$S$201,MATCH($B1994,Summary!$A$2:$A$201,0))</f>
        <v>Bronze</v>
      </c>
      <c r="X1994" s="2" t="n">
        <f aca="false">INDEX(Summary!$T$2:$T$201,MATCH($B1994,Summary!$A$2:$A$201,0))</f>
        <v>44.07</v>
      </c>
      <c r="Y1994" s="0" t="str">
        <f aca="false">INDEX('Reward Model'!$E$18:$E$37,MATCH($E1994,'Reward Model'!$A$18:$A$37,0))</f>
        <v>Medium</v>
      </c>
      <c r="Z1994" s="4" t="n">
        <f aca="false">ROUND(MIN(1,MAX('Reward Model'!$B$2,INDEX('Reward Model'!$C$12:$C$14,MATCH($K1994,'Reward Model'!$A$12:$A$14,0))/$J1994)),3)</f>
        <v>1</v>
      </c>
      <c r="AA1994" s="2" t="n">
        <f aca="false">IF($I1994="Correct",ROUND(INDEX('Reward Model'!$B$12:$B$14,MATCH($K1994,'Reward Model'!$A$12:$A$14,0))*Z1994,2),0)</f>
        <v>0</v>
      </c>
      <c r="AB1994" s="2" t="n">
        <f aca="false">IF($I1994="Correct",ROUND(INDEX('Reward Model'!$B$12:$B$14,MATCH($Y1994,'Reward Model'!$A$12:$A$14,0))*Z1994,2),0)</f>
        <v>0</v>
      </c>
    </row>
    <row r="1995" customFormat="false" ht="15" hidden="false" customHeight="false" outlineLevel="0" collapsed="false">
      <c r="A1995" s="0" t="s">
        <v>329</v>
      </c>
      <c r="B1995" s="0" t="s">
        <v>330</v>
      </c>
      <c r="C1995" s="0" t="s">
        <v>322</v>
      </c>
      <c r="D1995" s="0" t="s">
        <v>31</v>
      </c>
      <c r="E1995" s="0" t="n">
        <v>14</v>
      </c>
      <c r="F1995" s="0" t="s">
        <v>68</v>
      </c>
      <c r="G1995" s="0" t="s">
        <v>100</v>
      </c>
      <c r="H1995" s="0" t="s">
        <v>51</v>
      </c>
      <c r="I1995" s="0" t="s">
        <v>39</v>
      </c>
      <c r="J1995" s="0" t="n">
        <v>1.4</v>
      </c>
      <c r="K1995" s="0" t="s">
        <v>60</v>
      </c>
      <c r="L1995" s="0" t="n">
        <f aca="false">INDEX(Summary!$F$2:$F$201,MATCH($B1995,Summary!$A$2:$A$201,0))</f>
        <v>20</v>
      </c>
      <c r="M1995" s="0" t="n">
        <f aca="false">INDEX(Summary!$I$2:$I$201,MATCH($B1995,Summary!$A$2:$A$201,0))</f>
        <v>1</v>
      </c>
      <c r="N1995" s="0" t="n">
        <f aca="false">INDEX(Summary!$J$2:$J$201,MATCH($B1995,Summary!$A$2:$A$201,0))</f>
        <v>4</v>
      </c>
      <c r="O1995" s="2" t="n">
        <f aca="false">INDEX(Summary!$K$2:$K$201,MATCH($B1995,Summary!$A$2:$A$201,0))</f>
        <v>8.5</v>
      </c>
      <c r="P1995" s="3" t="n">
        <f aca="false">INDEX(Summary!$L$2:$L$201,MATCH($B1995,Summary!$A$2:$A$201,0))</f>
        <v>2</v>
      </c>
      <c r="Q1995" s="3" t="n">
        <f aca="false">INDEX(Summary!$M$2:$M$201,MATCH($B1995,Summary!$A$2:$A$201,0))</f>
        <v>4</v>
      </c>
      <c r="R1995" s="2" t="n">
        <f aca="false">INDEX(Summary!$N$2:$N$201,MATCH($B1995,Summary!$A$2:$A$201,0))</f>
        <v>10.15</v>
      </c>
      <c r="S1995" s="3" t="n">
        <f aca="false">INDEX(Summary!$O$2:$O$201,MATCH($B1995,Summary!$A$2:$A$201,0))</f>
        <v>8</v>
      </c>
      <c r="T1995" s="3" t="n">
        <f aca="false">INDEX(Summary!$P$2:$P$201,MATCH($B1995,Summary!$A$2:$A$201,0))</f>
        <v>1</v>
      </c>
      <c r="U1995" s="2" t="n">
        <f aca="false">INDEX(Summary!$Q$2:$Q$201,MATCH($B1995,Summary!$A$2:$A$201,0))</f>
        <v>13.39</v>
      </c>
      <c r="V1995" s="2" t="n">
        <f aca="false">INDEX(Summary!$R$2:$R$201,MATCH($B1995,Summary!$A$2:$A$201,0))</f>
        <v>18.07</v>
      </c>
      <c r="W1995" s="0" t="str">
        <f aca="false">INDEX(Summary!$S$2:$S$201,MATCH($B1995,Summary!$A$2:$A$201,0))</f>
        <v>Bronze</v>
      </c>
      <c r="X1995" s="2" t="n">
        <f aca="false">INDEX(Summary!$T$2:$T$201,MATCH($B1995,Summary!$A$2:$A$201,0))</f>
        <v>44.07</v>
      </c>
      <c r="Y1995" s="0" t="str">
        <f aca="false">INDEX('Reward Model'!$E$18:$E$37,MATCH($E1995,'Reward Model'!$A$18:$A$37,0))</f>
        <v>Medium</v>
      </c>
      <c r="Z1995" s="4" t="n">
        <f aca="false">ROUND(MIN(1,MAX('Reward Model'!$B$2,INDEX('Reward Model'!$C$12:$C$14,MATCH($K1995,'Reward Model'!$A$12:$A$14,0))/$J1995)),3)</f>
        <v>1</v>
      </c>
      <c r="AA1995" s="2" t="n">
        <f aca="false">IF($I1995="Correct",ROUND(INDEX('Reward Model'!$B$12:$B$14,MATCH($K1995,'Reward Model'!$A$12:$A$14,0))*Z1995,2),0)</f>
        <v>0</v>
      </c>
      <c r="AB1995" s="2" t="n">
        <f aca="false">IF($I1995="Correct",ROUND(INDEX('Reward Model'!$B$12:$B$14,MATCH($Y1995,'Reward Model'!$A$12:$A$14,0))*Z1995,2),0)</f>
        <v>0</v>
      </c>
    </row>
    <row r="1996" customFormat="false" ht="15" hidden="false" customHeight="false" outlineLevel="0" collapsed="false">
      <c r="A1996" s="0" t="s">
        <v>329</v>
      </c>
      <c r="B1996" s="0" t="s">
        <v>330</v>
      </c>
      <c r="C1996" s="0" t="s">
        <v>322</v>
      </c>
      <c r="D1996" s="0" t="s">
        <v>31</v>
      </c>
      <c r="E1996" s="0" t="n">
        <v>15</v>
      </c>
      <c r="F1996" s="0" t="s">
        <v>69</v>
      </c>
      <c r="G1996" s="0" t="s">
        <v>131</v>
      </c>
      <c r="H1996" s="0" t="s">
        <v>70</v>
      </c>
      <c r="I1996" s="0" t="s">
        <v>39</v>
      </c>
      <c r="J1996" s="0" t="n">
        <v>1.64</v>
      </c>
      <c r="K1996" s="0" t="s">
        <v>60</v>
      </c>
      <c r="L1996" s="0" t="n">
        <f aca="false">INDEX(Summary!$F$2:$F$201,MATCH($B1996,Summary!$A$2:$A$201,0))</f>
        <v>20</v>
      </c>
      <c r="M1996" s="0" t="n">
        <f aca="false">INDEX(Summary!$I$2:$I$201,MATCH($B1996,Summary!$A$2:$A$201,0))</f>
        <v>1</v>
      </c>
      <c r="N1996" s="0" t="n">
        <f aca="false">INDEX(Summary!$J$2:$J$201,MATCH($B1996,Summary!$A$2:$A$201,0))</f>
        <v>4</v>
      </c>
      <c r="O1996" s="2" t="n">
        <f aca="false">INDEX(Summary!$K$2:$K$201,MATCH($B1996,Summary!$A$2:$A$201,0))</f>
        <v>8.5</v>
      </c>
      <c r="P1996" s="3" t="n">
        <f aca="false">INDEX(Summary!$L$2:$L$201,MATCH($B1996,Summary!$A$2:$A$201,0))</f>
        <v>2</v>
      </c>
      <c r="Q1996" s="3" t="n">
        <f aca="false">INDEX(Summary!$M$2:$M$201,MATCH($B1996,Summary!$A$2:$A$201,0))</f>
        <v>4</v>
      </c>
      <c r="R1996" s="2" t="n">
        <f aca="false">INDEX(Summary!$N$2:$N$201,MATCH($B1996,Summary!$A$2:$A$201,0))</f>
        <v>10.15</v>
      </c>
      <c r="S1996" s="3" t="n">
        <f aca="false">INDEX(Summary!$O$2:$O$201,MATCH($B1996,Summary!$A$2:$A$201,0))</f>
        <v>8</v>
      </c>
      <c r="T1996" s="3" t="n">
        <f aca="false">INDEX(Summary!$P$2:$P$201,MATCH($B1996,Summary!$A$2:$A$201,0))</f>
        <v>1</v>
      </c>
      <c r="U1996" s="2" t="n">
        <f aca="false">INDEX(Summary!$Q$2:$Q$201,MATCH($B1996,Summary!$A$2:$A$201,0))</f>
        <v>13.39</v>
      </c>
      <c r="V1996" s="2" t="n">
        <f aca="false">INDEX(Summary!$R$2:$R$201,MATCH($B1996,Summary!$A$2:$A$201,0))</f>
        <v>18.07</v>
      </c>
      <c r="W1996" s="0" t="str">
        <f aca="false">INDEX(Summary!$S$2:$S$201,MATCH($B1996,Summary!$A$2:$A$201,0))</f>
        <v>Bronze</v>
      </c>
      <c r="X1996" s="2" t="n">
        <f aca="false">INDEX(Summary!$T$2:$T$201,MATCH($B1996,Summary!$A$2:$A$201,0))</f>
        <v>44.07</v>
      </c>
      <c r="Y1996" s="0" t="str">
        <f aca="false">INDEX('Reward Model'!$E$18:$E$37,MATCH($E1996,'Reward Model'!$A$18:$A$37,0))</f>
        <v>Medium</v>
      </c>
      <c r="Z1996" s="4" t="n">
        <f aca="false">ROUND(MIN(1,MAX('Reward Model'!$B$2,INDEX('Reward Model'!$C$12:$C$14,MATCH($K1996,'Reward Model'!$A$12:$A$14,0))/$J1996)),3)</f>
        <v>1</v>
      </c>
      <c r="AA1996" s="2" t="n">
        <f aca="false">IF($I1996="Correct",ROUND(INDEX('Reward Model'!$B$12:$B$14,MATCH($K1996,'Reward Model'!$A$12:$A$14,0))*Z1996,2),0)</f>
        <v>0</v>
      </c>
      <c r="AB1996" s="2" t="n">
        <f aca="false">IF($I1996="Correct",ROUND(INDEX('Reward Model'!$B$12:$B$14,MATCH($Y1996,'Reward Model'!$A$12:$A$14,0))*Z1996,2),0)</f>
        <v>0</v>
      </c>
    </row>
    <row r="1997" customFormat="false" ht="15" hidden="false" customHeight="false" outlineLevel="0" collapsed="false">
      <c r="A1997" s="0" t="s">
        <v>329</v>
      </c>
      <c r="B1997" s="0" t="s">
        <v>330</v>
      </c>
      <c r="C1997" s="0" t="s">
        <v>322</v>
      </c>
      <c r="D1997" s="0" t="s">
        <v>31</v>
      </c>
      <c r="E1997" s="0" t="n">
        <v>16</v>
      </c>
      <c r="F1997" s="0" t="s">
        <v>71</v>
      </c>
      <c r="G1997" s="0" t="s">
        <v>87</v>
      </c>
      <c r="H1997" s="0" t="s">
        <v>72</v>
      </c>
      <c r="I1997" s="0" t="s">
        <v>39</v>
      </c>
      <c r="J1997" s="0" t="n">
        <v>1.5</v>
      </c>
      <c r="K1997" s="0" t="s">
        <v>73</v>
      </c>
      <c r="L1997" s="0" t="n">
        <f aca="false">INDEX(Summary!$F$2:$F$201,MATCH($B1997,Summary!$A$2:$A$201,0))</f>
        <v>20</v>
      </c>
      <c r="M1997" s="0" t="n">
        <f aca="false">INDEX(Summary!$I$2:$I$201,MATCH($B1997,Summary!$A$2:$A$201,0))</f>
        <v>1</v>
      </c>
      <c r="N1997" s="0" t="n">
        <f aca="false">INDEX(Summary!$J$2:$J$201,MATCH($B1997,Summary!$A$2:$A$201,0))</f>
        <v>4</v>
      </c>
      <c r="O1997" s="2" t="n">
        <f aca="false">INDEX(Summary!$K$2:$K$201,MATCH($B1997,Summary!$A$2:$A$201,0))</f>
        <v>8.5</v>
      </c>
      <c r="P1997" s="3" t="n">
        <f aca="false">INDEX(Summary!$L$2:$L$201,MATCH($B1997,Summary!$A$2:$A$201,0))</f>
        <v>2</v>
      </c>
      <c r="Q1997" s="3" t="n">
        <f aca="false">INDEX(Summary!$M$2:$M$201,MATCH($B1997,Summary!$A$2:$A$201,0))</f>
        <v>4</v>
      </c>
      <c r="R1997" s="2" t="n">
        <f aca="false">INDEX(Summary!$N$2:$N$201,MATCH($B1997,Summary!$A$2:$A$201,0))</f>
        <v>10.15</v>
      </c>
      <c r="S1997" s="3" t="n">
        <f aca="false">INDEX(Summary!$O$2:$O$201,MATCH($B1997,Summary!$A$2:$A$201,0))</f>
        <v>8</v>
      </c>
      <c r="T1997" s="3" t="n">
        <f aca="false">INDEX(Summary!$P$2:$P$201,MATCH($B1997,Summary!$A$2:$A$201,0))</f>
        <v>1</v>
      </c>
      <c r="U1997" s="2" t="n">
        <f aca="false">INDEX(Summary!$Q$2:$Q$201,MATCH($B1997,Summary!$A$2:$A$201,0))</f>
        <v>13.39</v>
      </c>
      <c r="V1997" s="2" t="n">
        <f aca="false">INDEX(Summary!$R$2:$R$201,MATCH($B1997,Summary!$A$2:$A$201,0))</f>
        <v>18.07</v>
      </c>
      <c r="W1997" s="0" t="str">
        <f aca="false">INDEX(Summary!$S$2:$S$201,MATCH($B1997,Summary!$A$2:$A$201,0))</f>
        <v>Bronze</v>
      </c>
      <c r="X1997" s="2" t="n">
        <f aca="false">INDEX(Summary!$T$2:$T$201,MATCH($B1997,Summary!$A$2:$A$201,0))</f>
        <v>44.07</v>
      </c>
      <c r="Y1997" s="0" t="str">
        <f aca="false">INDEX('Reward Model'!$E$18:$E$37,MATCH($E1997,'Reward Model'!$A$18:$A$37,0))</f>
        <v>High</v>
      </c>
      <c r="Z1997" s="4" t="n">
        <f aca="false">ROUND(MIN(1,MAX('Reward Model'!$B$2,INDEX('Reward Model'!$C$12:$C$14,MATCH($K1997,'Reward Model'!$A$12:$A$14,0))/$J1997)),3)</f>
        <v>1</v>
      </c>
      <c r="AA1997" s="2" t="n">
        <f aca="false">IF($I1997="Correct",ROUND(INDEX('Reward Model'!$B$12:$B$14,MATCH($K1997,'Reward Model'!$A$12:$A$14,0))*Z1997,2),0)</f>
        <v>0</v>
      </c>
      <c r="AB1997" s="2" t="n">
        <f aca="false">IF($I1997="Correct",ROUND(INDEX('Reward Model'!$B$12:$B$14,MATCH($Y1997,'Reward Model'!$A$12:$A$14,0))*Z1997,2),0)</f>
        <v>0</v>
      </c>
    </row>
    <row r="1998" customFormat="false" ht="15" hidden="false" customHeight="false" outlineLevel="0" collapsed="false">
      <c r="A1998" s="0" t="s">
        <v>329</v>
      </c>
      <c r="B1998" s="0" t="s">
        <v>330</v>
      </c>
      <c r="C1998" s="0" t="s">
        <v>322</v>
      </c>
      <c r="D1998" s="0" t="s">
        <v>31</v>
      </c>
      <c r="E1998" s="0" t="n">
        <v>17</v>
      </c>
      <c r="F1998" s="0" t="s">
        <v>74</v>
      </c>
      <c r="G1998" s="0" t="s">
        <v>105</v>
      </c>
      <c r="H1998" s="0" t="s">
        <v>75</v>
      </c>
      <c r="I1998" s="0" t="s">
        <v>39</v>
      </c>
      <c r="J1998" s="0" t="n">
        <v>2.18</v>
      </c>
      <c r="K1998" s="0" t="s">
        <v>73</v>
      </c>
      <c r="L1998" s="0" t="n">
        <f aca="false">INDEX(Summary!$F$2:$F$201,MATCH($B1998,Summary!$A$2:$A$201,0))</f>
        <v>20</v>
      </c>
      <c r="M1998" s="0" t="n">
        <f aca="false">INDEX(Summary!$I$2:$I$201,MATCH($B1998,Summary!$A$2:$A$201,0))</f>
        <v>1</v>
      </c>
      <c r="N1998" s="0" t="n">
        <f aca="false">INDEX(Summary!$J$2:$J$201,MATCH($B1998,Summary!$A$2:$A$201,0))</f>
        <v>4</v>
      </c>
      <c r="O1998" s="2" t="n">
        <f aca="false">INDEX(Summary!$K$2:$K$201,MATCH($B1998,Summary!$A$2:$A$201,0))</f>
        <v>8.5</v>
      </c>
      <c r="P1998" s="3" t="n">
        <f aca="false">INDEX(Summary!$L$2:$L$201,MATCH($B1998,Summary!$A$2:$A$201,0))</f>
        <v>2</v>
      </c>
      <c r="Q1998" s="3" t="n">
        <f aca="false">INDEX(Summary!$M$2:$M$201,MATCH($B1998,Summary!$A$2:$A$201,0))</f>
        <v>4</v>
      </c>
      <c r="R1998" s="2" t="n">
        <f aca="false">INDEX(Summary!$N$2:$N$201,MATCH($B1998,Summary!$A$2:$A$201,0))</f>
        <v>10.15</v>
      </c>
      <c r="S1998" s="3" t="n">
        <f aca="false">INDEX(Summary!$O$2:$O$201,MATCH($B1998,Summary!$A$2:$A$201,0))</f>
        <v>8</v>
      </c>
      <c r="T1998" s="3" t="n">
        <f aca="false">INDEX(Summary!$P$2:$P$201,MATCH($B1998,Summary!$A$2:$A$201,0))</f>
        <v>1</v>
      </c>
      <c r="U1998" s="2" t="n">
        <f aca="false">INDEX(Summary!$Q$2:$Q$201,MATCH($B1998,Summary!$A$2:$A$201,0))</f>
        <v>13.39</v>
      </c>
      <c r="V1998" s="2" t="n">
        <f aca="false">INDEX(Summary!$R$2:$R$201,MATCH($B1998,Summary!$A$2:$A$201,0))</f>
        <v>18.07</v>
      </c>
      <c r="W1998" s="0" t="str">
        <f aca="false">INDEX(Summary!$S$2:$S$201,MATCH($B1998,Summary!$A$2:$A$201,0))</f>
        <v>Bronze</v>
      </c>
      <c r="X1998" s="2" t="n">
        <f aca="false">INDEX(Summary!$T$2:$T$201,MATCH($B1998,Summary!$A$2:$A$201,0))</f>
        <v>44.07</v>
      </c>
      <c r="Y1998" s="0" t="str">
        <f aca="false">INDEX('Reward Model'!$E$18:$E$37,MATCH($E1998,'Reward Model'!$A$18:$A$37,0))</f>
        <v>High</v>
      </c>
      <c r="Z1998" s="4" t="n">
        <f aca="false">ROUND(MIN(1,MAX('Reward Model'!$B$2,INDEX('Reward Model'!$C$12:$C$14,MATCH($K1998,'Reward Model'!$A$12:$A$14,0))/$J1998)),3)</f>
        <v>0.917</v>
      </c>
      <c r="AA1998" s="2" t="n">
        <f aca="false">IF($I1998="Correct",ROUND(INDEX('Reward Model'!$B$12:$B$14,MATCH($K1998,'Reward Model'!$A$12:$A$14,0))*Z1998,2),0)</f>
        <v>0</v>
      </c>
      <c r="AB1998" s="2" t="n">
        <f aca="false">IF($I1998="Correct",ROUND(INDEX('Reward Model'!$B$12:$B$14,MATCH($Y1998,'Reward Model'!$A$12:$A$14,0))*Z1998,2),0)</f>
        <v>0</v>
      </c>
    </row>
    <row r="1999" customFormat="false" ht="15" hidden="false" customHeight="false" outlineLevel="0" collapsed="false">
      <c r="A1999" s="0" t="s">
        <v>329</v>
      </c>
      <c r="B1999" s="0" t="s">
        <v>330</v>
      </c>
      <c r="C1999" s="0" t="s">
        <v>322</v>
      </c>
      <c r="D1999" s="0" t="s">
        <v>31</v>
      </c>
      <c r="E1999" s="0" t="n">
        <v>18</v>
      </c>
      <c r="F1999" s="0" t="s">
        <v>76</v>
      </c>
      <c r="G1999" s="0" t="s">
        <v>77</v>
      </c>
      <c r="H1999" s="0" t="s">
        <v>77</v>
      </c>
      <c r="I1999" s="0" t="s">
        <v>34</v>
      </c>
      <c r="J1999" s="0" t="n">
        <v>2.22</v>
      </c>
      <c r="K1999" s="0" t="s">
        <v>73</v>
      </c>
      <c r="L1999" s="0" t="n">
        <f aca="false">INDEX(Summary!$F$2:$F$201,MATCH($B1999,Summary!$A$2:$A$201,0))</f>
        <v>20</v>
      </c>
      <c r="M1999" s="0" t="n">
        <f aca="false">INDEX(Summary!$I$2:$I$201,MATCH($B1999,Summary!$A$2:$A$201,0))</f>
        <v>1</v>
      </c>
      <c r="N1999" s="0" t="n">
        <f aca="false">INDEX(Summary!$J$2:$J$201,MATCH($B1999,Summary!$A$2:$A$201,0))</f>
        <v>4</v>
      </c>
      <c r="O1999" s="2" t="n">
        <f aca="false">INDEX(Summary!$K$2:$K$201,MATCH($B1999,Summary!$A$2:$A$201,0))</f>
        <v>8.5</v>
      </c>
      <c r="P1999" s="3" t="n">
        <f aca="false">INDEX(Summary!$L$2:$L$201,MATCH($B1999,Summary!$A$2:$A$201,0))</f>
        <v>2</v>
      </c>
      <c r="Q1999" s="3" t="n">
        <f aca="false">INDEX(Summary!$M$2:$M$201,MATCH($B1999,Summary!$A$2:$A$201,0))</f>
        <v>4</v>
      </c>
      <c r="R1999" s="2" t="n">
        <f aca="false">INDEX(Summary!$N$2:$N$201,MATCH($B1999,Summary!$A$2:$A$201,0))</f>
        <v>10.15</v>
      </c>
      <c r="S1999" s="3" t="n">
        <f aca="false">INDEX(Summary!$O$2:$O$201,MATCH($B1999,Summary!$A$2:$A$201,0))</f>
        <v>8</v>
      </c>
      <c r="T1999" s="3" t="n">
        <f aca="false">INDEX(Summary!$P$2:$P$201,MATCH($B1999,Summary!$A$2:$A$201,0))</f>
        <v>1</v>
      </c>
      <c r="U1999" s="2" t="n">
        <f aca="false">INDEX(Summary!$Q$2:$Q$201,MATCH($B1999,Summary!$A$2:$A$201,0))</f>
        <v>13.39</v>
      </c>
      <c r="V1999" s="2" t="n">
        <f aca="false">INDEX(Summary!$R$2:$R$201,MATCH($B1999,Summary!$A$2:$A$201,0))</f>
        <v>18.07</v>
      </c>
      <c r="W1999" s="0" t="str">
        <f aca="false">INDEX(Summary!$S$2:$S$201,MATCH($B1999,Summary!$A$2:$A$201,0))</f>
        <v>Bronze</v>
      </c>
      <c r="X1999" s="2" t="n">
        <f aca="false">INDEX(Summary!$T$2:$T$201,MATCH($B1999,Summary!$A$2:$A$201,0))</f>
        <v>44.07</v>
      </c>
      <c r="Y1999" s="0" t="str">
        <f aca="false">INDEX('Reward Model'!$E$18:$E$37,MATCH($E1999,'Reward Model'!$A$18:$A$37,0))</f>
        <v>High</v>
      </c>
      <c r="Z1999" s="4" t="n">
        <f aca="false">ROUND(MIN(1,MAX('Reward Model'!$B$2,INDEX('Reward Model'!$C$12:$C$14,MATCH($K1999,'Reward Model'!$A$12:$A$14,0))/$J1999)),3)</f>
        <v>0.901</v>
      </c>
      <c r="AA1999" s="2" t="n">
        <f aca="false">IF($I1999="Correct",ROUND(INDEX('Reward Model'!$B$12:$B$14,MATCH($K1999,'Reward Model'!$A$12:$A$14,0))*Z1999,2),0)</f>
        <v>2.7</v>
      </c>
      <c r="AB1999" s="2" t="n">
        <f aca="false">IF($I1999="Correct",ROUND(INDEX('Reward Model'!$B$12:$B$14,MATCH($Y1999,'Reward Model'!$A$12:$A$14,0))*Z1999,2),0)</f>
        <v>2.7</v>
      </c>
    </row>
    <row r="2000" customFormat="false" ht="15" hidden="false" customHeight="false" outlineLevel="0" collapsed="false">
      <c r="A2000" s="0" t="s">
        <v>329</v>
      </c>
      <c r="B2000" s="0" t="s">
        <v>330</v>
      </c>
      <c r="C2000" s="0" t="s">
        <v>322</v>
      </c>
      <c r="D2000" s="0" t="s">
        <v>31</v>
      </c>
      <c r="E2000" s="0" t="n">
        <v>19</v>
      </c>
      <c r="F2000" s="0" t="s">
        <v>78</v>
      </c>
      <c r="G2000" s="0" t="s">
        <v>79</v>
      </c>
      <c r="H2000" s="0" t="s">
        <v>80</v>
      </c>
      <c r="I2000" s="0" t="s">
        <v>39</v>
      </c>
      <c r="J2000" s="0" t="n">
        <v>1.35</v>
      </c>
      <c r="K2000" s="0" t="s">
        <v>73</v>
      </c>
      <c r="L2000" s="0" t="n">
        <f aca="false">INDEX(Summary!$F$2:$F$201,MATCH($B2000,Summary!$A$2:$A$201,0))</f>
        <v>20</v>
      </c>
      <c r="M2000" s="0" t="n">
        <f aca="false">INDEX(Summary!$I$2:$I$201,MATCH($B2000,Summary!$A$2:$A$201,0))</f>
        <v>1</v>
      </c>
      <c r="N2000" s="0" t="n">
        <f aca="false">INDEX(Summary!$J$2:$J$201,MATCH($B2000,Summary!$A$2:$A$201,0))</f>
        <v>4</v>
      </c>
      <c r="O2000" s="2" t="n">
        <f aca="false">INDEX(Summary!$K$2:$K$201,MATCH($B2000,Summary!$A$2:$A$201,0))</f>
        <v>8.5</v>
      </c>
      <c r="P2000" s="3" t="n">
        <f aca="false">INDEX(Summary!$L$2:$L$201,MATCH($B2000,Summary!$A$2:$A$201,0))</f>
        <v>2</v>
      </c>
      <c r="Q2000" s="3" t="n">
        <f aca="false">INDEX(Summary!$M$2:$M$201,MATCH($B2000,Summary!$A$2:$A$201,0))</f>
        <v>4</v>
      </c>
      <c r="R2000" s="2" t="n">
        <f aca="false">INDEX(Summary!$N$2:$N$201,MATCH($B2000,Summary!$A$2:$A$201,0))</f>
        <v>10.15</v>
      </c>
      <c r="S2000" s="3" t="n">
        <f aca="false">INDEX(Summary!$O$2:$O$201,MATCH($B2000,Summary!$A$2:$A$201,0))</f>
        <v>8</v>
      </c>
      <c r="T2000" s="3" t="n">
        <f aca="false">INDEX(Summary!$P$2:$P$201,MATCH($B2000,Summary!$A$2:$A$201,0))</f>
        <v>1</v>
      </c>
      <c r="U2000" s="2" t="n">
        <f aca="false">INDEX(Summary!$Q$2:$Q$201,MATCH($B2000,Summary!$A$2:$A$201,0))</f>
        <v>13.39</v>
      </c>
      <c r="V2000" s="2" t="n">
        <f aca="false">INDEX(Summary!$R$2:$R$201,MATCH($B2000,Summary!$A$2:$A$201,0))</f>
        <v>18.07</v>
      </c>
      <c r="W2000" s="0" t="str">
        <f aca="false">INDEX(Summary!$S$2:$S$201,MATCH($B2000,Summary!$A$2:$A$201,0))</f>
        <v>Bronze</v>
      </c>
      <c r="X2000" s="2" t="n">
        <f aca="false">INDEX(Summary!$T$2:$T$201,MATCH($B2000,Summary!$A$2:$A$201,0))</f>
        <v>44.07</v>
      </c>
      <c r="Y2000" s="0" t="str">
        <f aca="false">INDEX('Reward Model'!$E$18:$E$37,MATCH($E2000,'Reward Model'!$A$18:$A$37,0))</f>
        <v>High</v>
      </c>
      <c r="Z2000" s="4" t="n">
        <f aca="false">ROUND(MIN(1,MAX('Reward Model'!$B$2,INDEX('Reward Model'!$C$12:$C$14,MATCH($K2000,'Reward Model'!$A$12:$A$14,0))/$J2000)),3)</f>
        <v>1</v>
      </c>
      <c r="AA2000" s="2" t="n">
        <f aca="false">IF($I2000="Correct",ROUND(INDEX('Reward Model'!$B$12:$B$14,MATCH($K2000,'Reward Model'!$A$12:$A$14,0))*Z2000,2),0)</f>
        <v>0</v>
      </c>
      <c r="AB2000" s="2" t="n">
        <f aca="false">IF($I2000="Correct",ROUND(INDEX('Reward Model'!$B$12:$B$14,MATCH($Y2000,'Reward Model'!$A$12:$A$14,0))*Z2000,2),0)</f>
        <v>0</v>
      </c>
    </row>
    <row r="2001" customFormat="false" ht="15" hidden="false" customHeight="false" outlineLevel="0" collapsed="false">
      <c r="A2001" s="0" t="s">
        <v>329</v>
      </c>
      <c r="B2001" s="0" t="s">
        <v>330</v>
      </c>
      <c r="C2001" s="0" t="s">
        <v>322</v>
      </c>
      <c r="D2001" s="0" t="s">
        <v>31</v>
      </c>
      <c r="E2001" s="0" t="n">
        <v>20</v>
      </c>
      <c r="F2001" s="0" t="s">
        <v>81</v>
      </c>
      <c r="G2001" s="0" t="s">
        <v>166</v>
      </c>
      <c r="H2001" s="0" t="s">
        <v>83</v>
      </c>
      <c r="I2001" s="0" t="s">
        <v>39</v>
      </c>
      <c r="J2001" s="0" t="n">
        <v>1.25</v>
      </c>
      <c r="K2001" s="0" t="s">
        <v>73</v>
      </c>
      <c r="L2001" s="0" t="n">
        <f aca="false">INDEX(Summary!$F$2:$F$201,MATCH($B2001,Summary!$A$2:$A$201,0))</f>
        <v>20</v>
      </c>
      <c r="M2001" s="0" t="n">
        <f aca="false">INDEX(Summary!$I$2:$I$201,MATCH($B2001,Summary!$A$2:$A$201,0))</f>
        <v>1</v>
      </c>
      <c r="N2001" s="0" t="n">
        <f aca="false">INDEX(Summary!$J$2:$J$201,MATCH($B2001,Summary!$A$2:$A$201,0))</f>
        <v>4</v>
      </c>
      <c r="O2001" s="2" t="n">
        <f aca="false">INDEX(Summary!$K$2:$K$201,MATCH($B2001,Summary!$A$2:$A$201,0))</f>
        <v>8.5</v>
      </c>
      <c r="P2001" s="3" t="n">
        <f aca="false">INDEX(Summary!$L$2:$L$201,MATCH($B2001,Summary!$A$2:$A$201,0))</f>
        <v>2</v>
      </c>
      <c r="Q2001" s="3" t="n">
        <f aca="false">INDEX(Summary!$M$2:$M$201,MATCH($B2001,Summary!$A$2:$A$201,0))</f>
        <v>4</v>
      </c>
      <c r="R2001" s="2" t="n">
        <f aca="false">INDEX(Summary!$N$2:$N$201,MATCH($B2001,Summary!$A$2:$A$201,0))</f>
        <v>10.15</v>
      </c>
      <c r="S2001" s="3" t="n">
        <f aca="false">INDEX(Summary!$O$2:$O$201,MATCH($B2001,Summary!$A$2:$A$201,0))</f>
        <v>8</v>
      </c>
      <c r="T2001" s="3" t="n">
        <f aca="false">INDEX(Summary!$P$2:$P$201,MATCH($B2001,Summary!$A$2:$A$201,0))</f>
        <v>1</v>
      </c>
      <c r="U2001" s="2" t="n">
        <f aca="false">INDEX(Summary!$Q$2:$Q$201,MATCH($B2001,Summary!$A$2:$A$201,0))</f>
        <v>13.39</v>
      </c>
      <c r="V2001" s="2" t="n">
        <f aca="false">INDEX(Summary!$R$2:$R$201,MATCH($B2001,Summary!$A$2:$A$201,0))</f>
        <v>18.07</v>
      </c>
      <c r="W2001" s="0" t="str">
        <f aca="false">INDEX(Summary!$S$2:$S$201,MATCH($B2001,Summary!$A$2:$A$201,0))</f>
        <v>Bronze</v>
      </c>
      <c r="X2001" s="2" t="n">
        <f aca="false">INDEX(Summary!$T$2:$T$201,MATCH($B2001,Summary!$A$2:$A$201,0))</f>
        <v>44.07</v>
      </c>
      <c r="Y2001" s="0" t="str">
        <f aca="false">INDEX('Reward Model'!$E$18:$E$37,MATCH($E2001,'Reward Model'!$A$18:$A$37,0))</f>
        <v>High</v>
      </c>
      <c r="Z2001" s="4" t="n">
        <f aca="false">ROUND(MIN(1,MAX('Reward Model'!$B$2,INDEX('Reward Model'!$C$12:$C$14,MATCH($K2001,'Reward Model'!$A$12:$A$14,0))/$J2001)),3)</f>
        <v>1</v>
      </c>
      <c r="AA2001" s="2" t="n">
        <f aca="false">IF($I2001="Correct",ROUND(INDEX('Reward Model'!$B$12:$B$14,MATCH($K2001,'Reward Model'!$A$12:$A$14,0))*Z2001,2),0)</f>
        <v>0</v>
      </c>
      <c r="AB2001" s="2" t="n">
        <f aca="false">IF($I2001="Correct",ROUND(INDEX('Reward Model'!$B$12:$B$14,MATCH($Y2001,'Reward Model'!$A$12:$A$14,0))*Z2001,2),0)</f>
        <v>0</v>
      </c>
    </row>
    <row r="2002" customFormat="false" ht="15" hidden="false" customHeight="false" outlineLevel="0" collapsed="false">
      <c r="A2002" s="0" t="s">
        <v>331</v>
      </c>
      <c r="B2002" s="0" t="s">
        <v>332</v>
      </c>
      <c r="C2002" s="0" t="s">
        <v>322</v>
      </c>
      <c r="D2002" s="0" t="s">
        <v>31</v>
      </c>
      <c r="E2002" s="0" t="n">
        <v>1</v>
      </c>
      <c r="F2002" s="0" t="s">
        <v>32</v>
      </c>
      <c r="G2002" s="0" t="s">
        <v>97</v>
      </c>
      <c r="H2002" s="0" t="s">
        <v>33</v>
      </c>
      <c r="I2002" s="0" t="s">
        <v>39</v>
      </c>
      <c r="J2002" s="0" t="n">
        <v>1.61</v>
      </c>
      <c r="K2002" s="0" t="s">
        <v>35</v>
      </c>
      <c r="L2002" s="0" t="n">
        <f aca="false">INDEX(Summary!$F$2:$F$201,MATCH($B2002,Summary!$A$2:$A$201,0))</f>
        <v>20</v>
      </c>
      <c r="M2002" s="0" t="n">
        <f aca="false">INDEX(Summary!$I$2:$I$201,MATCH($B2002,Summary!$A$2:$A$201,0))</f>
        <v>4</v>
      </c>
      <c r="N2002" s="0" t="n">
        <f aca="false">INDEX(Summary!$J$2:$J$201,MATCH($B2002,Summary!$A$2:$A$201,0))</f>
        <v>1</v>
      </c>
      <c r="O2002" s="2" t="n">
        <f aca="false">INDEX(Summary!$K$2:$K$201,MATCH($B2002,Summary!$A$2:$A$201,0))</f>
        <v>9.87</v>
      </c>
      <c r="P2002" s="3" t="n">
        <f aca="false">INDEX(Summary!$L$2:$L$201,MATCH($B2002,Summary!$A$2:$A$201,0))</f>
        <v>4</v>
      </c>
      <c r="Q2002" s="3" t="n">
        <f aca="false">INDEX(Summary!$M$2:$M$201,MATCH($B2002,Summary!$A$2:$A$201,0))</f>
        <v>2</v>
      </c>
      <c r="R2002" s="2" t="n">
        <f aca="false">INDEX(Summary!$N$2:$N$201,MATCH($B2002,Summary!$A$2:$A$201,0))</f>
        <v>10.06</v>
      </c>
      <c r="S2002" s="3" t="n">
        <f aca="false">INDEX(Summary!$O$2:$O$201,MATCH($B2002,Summary!$A$2:$A$201,0))</f>
        <v>8</v>
      </c>
      <c r="T2002" s="3" t="n">
        <f aca="false">INDEX(Summary!$P$2:$P$201,MATCH($B2002,Summary!$A$2:$A$201,0))</f>
        <v>1</v>
      </c>
      <c r="U2002" s="2" t="n">
        <f aca="false">INDEX(Summary!$Q$2:$Q$201,MATCH($B2002,Summary!$A$2:$A$201,0))</f>
        <v>13.31</v>
      </c>
      <c r="V2002" s="2" t="n">
        <f aca="false">INDEX(Summary!$R$2:$R$201,MATCH($B2002,Summary!$A$2:$A$201,0))</f>
        <v>29.61</v>
      </c>
      <c r="W2002" s="0" t="str">
        <f aca="false">INDEX(Summary!$S$2:$S$201,MATCH($B2002,Summary!$A$2:$A$201,0))</f>
        <v>Gold</v>
      </c>
      <c r="X2002" s="2" t="n">
        <f aca="false">INDEX(Summary!$T$2:$T$201,MATCH($B2002,Summary!$A$2:$A$201,0))</f>
        <v>72.22</v>
      </c>
      <c r="Y2002" s="0" t="str">
        <f aca="false">INDEX('Reward Model'!$E$18:$E$37,MATCH($E2002,'Reward Model'!$A$18:$A$37,0))</f>
        <v>Medium</v>
      </c>
      <c r="Z2002" s="4" t="n">
        <f aca="false">ROUND(MIN(1,MAX('Reward Model'!$B$2,INDEX('Reward Model'!$C$12:$C$14,MATCH($K2002,'Reward Model'!$A$12:$A$14,0))/$J2002)),3)</f>
        <v>0.932</v>
      </c>
      <c r="AA2002" s="2" t="n">
        <f aca="false">IF($I2002="Correct",ROUND(INDEX('Reward Model'!$B$12:$B$14,MATCH($K2002,'Reward Model'!$A$12:$A$14,0))*Z2002,2),0)</f>
        <v>0</v>
      </c>
      <c r="AB2002" s="2" t="n">
        <f aca="false">IF($I2002="Correct",ROUND(INDEX('Reward Model'!$B$12:$B$14,MATCH($Y2002,'Reward Model'!$A$12:$A$14,0))*Z2002,2),0)</f>
        <v>0</v>
      </c>
    </row>
    <row r="2003" customFormat="false" ht="15" hidden="false" customHeight="false" outlineLevel="0" collapsed="false">
      <c r="A2003" s="0" t="s">
        <v>331</v>
      </c>
      <c r="B2003" s="0" t="s">
        <v>332</v>
      </c>
      <c r="C2003" s="0" t="s">
        <v>322</v>
      </c>
      <c r="D2003" s="0" t="s">
        <v>31</v>
      </c>
      <c r="E2003" s="0" t="n">
        <v>2</v>
      </c>
      <c r="F2003" s="0" t="s">
        <v>36</v>
      </c>
      <c r="G2003" s="0" t="s">
        <v>38</v>
      </c>
      <c r="H2003" s="0" t="s">
        <v>38</v>
      </c>
      <c r="I2003" s="0" t="s">
        <v>34</v>
      </c>
      <c r="J2003" s="0" t="n">
        <v>1.01</v>
      </c>
      <c r="K2003" s="0" t="s">
        <v>35</v>
      </c>
      <c r="L2003" s="0" t="n">
        <f aca="false">INDEX(Summary!$F$2:$F$201,MATCH($B2003,Summary!$A$2:$A$201,0))</f>
        <v>20</v>
      </c>
      <c r="M2003" s="0" t="n">
        <f aca="false">INDEX(Summary!$I$2:$I$201,MATCH($B2003,Summary!$A$2:$A$201,0))</f>
        <v>4</v>
      </c>
      <c r="N2003" s="0" t="n">
        <f aca="false">INDEX(Summary!$J$2:$J$201,MATCH($B2003,Summary!$A$2:$A$201,0))</f>
        <v>1</v>
      </c>
      <c r="O2003" s="2" t="n">
        <f aca="false">INDEX(Summary!$K$2:$K$201,MATCH($B2003,Summary!$A$2:$A$201,0))</f>
        <v>9.87</v>
      </c>
      <c r="P2003" s="3" t="n">
        <f aca="false">INDEX(Summary!$L$2:$L$201,MATCH($B2003,Summary!$A$2:$A$201,0))</f>
        <v>4</v>
      </c>
      <c r="Q2003" s="3" t="n">
        <f aca="false">INDEX(Summary!$M$2:$M$201,MATCH($B2003,Summary!$A$2:$A$201,0))</f>
        <v>2</v>
      </c>
      <c r="R2003" s="2" t="n">
        <f aca="false">INDEX(Summary!$N$2:$N$201,MATCH($B2003,Summary!$A$2:$A$201,0))</f>
        <v>10.06</v>
      </c>
      <c r="S2003" s="3" t="n">
        <f aca="false">INDEX(Summary!$O$2:$O$201,MATCH($B2003,Summary!$A$2:$A$201,0))</f>
        <v>8</v>
      </c>
      <c r="T2003" s="3" t="n">
        <f aca="false">INDEX(Summary!$P$2:$P$201,MATCH($B2003,Summary!$A$2:$A$201,0))</f>
        <v>1</v>
      </c>
      <c r="U2003" s="2" t="n">
        <f aca="false">INDEX(Summary!$Q$2:$Q$201,MATCH($B2003,Summary!$A$2:$A$201,0))</f>
        <v>13.31</v>
      </c>
      <c r="V2003" s="2" t="n">
        <f aca="false">INDEX(Summary!$R$2:$R$201,MATCH($B2003,Summary!$A$2:$A$201,0))</f>
        <v>29.61</v>
      </c>
      <c r="W2003" s="0" t="str">
        <f aca="false">INDEX(Summary!$S$2:$S$201,MATCH($B2003,Summary!$A$2:$A$201,0))</f>
        <v>Gold</v>
      </c>
      <c r="X2003" s="2" t="n">
        <f aca="false">INDEX(Summary!$T$2:$T$201,MATCH($B2003,Summary!$A$2:$A$201,0))</f>
        <v>72.22</v>
      </c>
      <c r="Y2003" s="0" t="str">
        <f aca="false">INDEX('Reward Model'!$E$18:$E$37,MATCH($E2003,'Reward Model'!$A$18:$A$37,0))</f>
        <v>Low</v>
      </c>
      <c r="Z2003" s="4" t="n">
        <f aca="false">ROUND(MIN(1,MAX('Reward Model'!$B$2,INDEX('Reward Model'!$C$12:$C$14,MATCH($K2003,'Reward Model'!$A$12:$A$14,0))/$J2003)),3)</f>
        <v>1</v>
      </c>
      <c r="AA2003" s="2" t="n">
        <f aca="false">IF($I2003="Correct",ROUND(INDEX('Reward Model'!$B$12:$B$14,MATCH($K2003,'Reward Model'!$A$12:$A$14,0))*Z2003,2),0)</f>
        <v>1</v>
      </c>
      <c r="AB2003" s="2" t="n">
        <f aca="false">IF($I2003="Correct",ROUND(INDEX('Reward Model'!$B$12:$B$14,MATCH($Y2003,'Reward Model'!$A$12:$A$14,0))*Z2003,2),0)</f>
        <v>1</v>
      </c>
    </row>
    <row r="2004" customFormat="false" ht="15" hidden="false" customHeight="false" outlineLevel="0" collapsed="false">
      <c r="A2004" s="0" t="s">
        <v>331</v>
      </c>
      <c r="B2004" s="0" t="s">
        <v>332</v>
      </c>
      <c r="C2004" s="0" t="s">
        <v>322</v>
      </c>
      <c r="D2004" s="0" t="s">
        <v>31</v>
      </c>
      <c r="E2004" s="0" t="n">
        <v>3</v>
      </c>
      <c r="F2004" s="0" t="s">
        <v>40</v>
      </c>
      <c r="G2004" s="0" t="s">
        <v>42</v>
      </c>
      <c r="H2004" s="0" t="s">
        <v>42</v>
      </c>
      <c r="I2004" s="0" t="s">
        <v>34</v>
      </c>
      <c r="J2004" s="0" t="n">
        <v>1.86</v>
      </c>
      <c r="K2004" s="0" t="s">
        <v>35</v>
      </c>
      <c r="L2004" s="0" t="n">
        <f aca="false">INDEX(Summary!$F$2:$F$201,MATCH($B2004,Summary!$A$2:$A$201,0))</f>
        <v>20</v>
      </c>
      <c r="M2004" s="0" t="n">
        <f aca="false">INDEX(Summary!$I$2:$I$201,MATCH($B2004,Summary!$A$2:$A$201,0))</f>
        <v>4</v>
      </c>
      <c r="N2004" s="0" t="n">
        <f aca="false">INDEX(Summary!$J$2:$J$201,MATCH($B2004,Summary!$A$2:$A$201,0))</f>
        <v>1</v>
      </c>
      <c r="O2004" s="2" t="n">
        <f aca="false">INDEX(Summary!$K$2:$K$201,MATCH($B2004,Summary!$A$2:$A$201,0))</f>
        <v>9.87</v>
      </c>
      <c r="P2004" s="3" t="n">
        <f aca="false">INDEX(Summary!$L$2:$L$201,MATCH($B2004,Summary!$A$2:$A$201,0))</f>
        <v>4</v>
      </c>
      <c r="Q2004" s="3" t="n">
        <f aca="false">INDEX(Summary!$M$2:$M$201,MATCH($B2004,Summary!$A$2:$A$201,0))</f>
        <v>2</v>
      </c>
      <c r="R2004" s="2" t="n">
        <f aca="false">INDEX(Summary!$N$2:$N$201,MATCH($B2004,Summary!$A$2:$A$201,0))</f>
        <v>10.06</v>
      </c>
      <c r="S2004" s="3" t="n">
        <f aca="false">INDEX(Summary!$O$2:$O$201,MATCH($B2004,Summary!$A$2:$A$201,0))</f>
        <v>8</v>
      </c>
      <c r="T2004" s="3" t="n">
        <f aca="false">INDEX(Summary!$P$2:$P$201,MATCH($B2004,Summary!$A$2:$A$201,0))</f>
        <v>1</v>
      </c>
      <c r="U2004" s="2" t="n">
        <f aca="false">INDEX(Summary!$Q$2:$Q$201,MATCH($B2004,Summary!$A$2:$A$201,0))</f>
        <v>13.31</v>
      </c>
      <c r="V2004" s="2" t="n">
        <f aca="false">INDEX(Summary!$R$2:$R$201,MATCH($B2004,Summary!$A$2:$A$201,0))</f>
        <v>29.61</v>
      </c>
      <c r="W2004" s="0" t="str">
        <f aca="false">INDEX(Summary!$S$2:$S$201,MATCH($B2004,Summary!$A$2:$A$201,0))</f>
        <v>Gold</v>
      </c>
      <c r="X2004" s="2" t="n">
        <f aca="false">INDEX(Summary!$T$2:$T$201,MATCH($B2004,Summary!$A$2:$A$201,0))</f>
        <v>72.22</v>
      </c>
      <c r="Y2004" s="0" t="str">
        <f aca="false">INDEX('Reward Model'!$E$18:$E$37,MATCH($E2004,'Reward Model'!$A$18:$A$37,0))</f>
        <v>Medium</v>
      </c>
      <c r="Z2004" s="4" t="n">
        <f aca="false">ROUND(MIN(1,MAX('Reward Model'!$B$2,INDEX('Reward Model'!$C$12:$C$14,MATCH($K2004,'Reward Model'!$A$12:$A$14,0))/$J2004)),3)</f>
        <v>0.806</v>
      </c>
      <c r="AA2004" s="2" t="n">
        <f aca="false">IF($I2004="Correct",ROUND(INDEX('Reward Model'!$B$12:$B$14,MATCH($K2004,'Reward Model'!$A$12:$A$14,0))*Z2004,2),0)</f>
        <v>0.81</v>
      </c>
      <c r="AB2004" s="2" t="n">
        <f aca="false">IF($I2004="Correct",ROUND(INDEX('Reward Model'!$B$12:$B$14,MATCH($Y2004,'Reward Model'!$A$12:$A$14,0))*Z2004,2),0)</f>
        <v>1.61</v>
      </c>
    </row>
    <row r="2005" customFormat="false" ht="15" hidden="false" customHeight="false" outlineLevel="0" collapsed="false">
      <c r="A2005" s="0" t="s">
        <v>331</v>
      </c>
      <c r="B2005" s="0" t="s">
        <v>332</v>
      </c>
      <c r="C2005" s="0" t="s">
        <v>322</v>
      </c>
      <c r="D2005" s="0" t="s">
        <v>31</v>
      </c>
      <c r="E2005" s="0" t="n">
        <v>4</v>
      </c>
      <c r="F2005" s="0" t="s">
        <v>43</v>
      </c>
      <c r="G2005" s="0" t="s">
        <v>45</v>
      </c>
      <c r="H2005" s="0" t="s">
        <v>45</v>
      </c>
      <c r="I2005" s="0" t="s">
        <v>34</v>
      </c>
      <c r="J2005" s="0" t="n">
        <v>1.38</v>
      </c>
      <c r="K2005" s="0" t="s">
        <v>35</v>
      </c>
      <c r="L2005" s="0" t="n">
        <f aca="false">INDEX(Summary!$F$2:$F$201,MATCH($B2005,Summary!$A$2:$A$201,0))</f>
        <v>20</v>
      </c>
      <c r="M2005" s="0" t="n">
        <f aca="false">INDEX(Summary!$I$2:$I$201,MATCH($B2005,Summary!$A$2:$A$201,0))</f>
        <v>4</v>
      </c>
      <c r="N2005" s="0" t="n">
        <f aca="false">INDEX(Summary!$J$2:$J$201,MATCH($B2005,Summary!$A$2:$A$201,0))</f>
        <v>1</v>
      </c>
      <c r="O2005" s="2" t="n">
        <f aca="false">INDEX(Summary!$K$2:$K$201,MATCH($B2005,Summary!$A$2:$A$201,0))</f>
        <v>9.87</v>
      </c>
      <c r="P2005" s="3" t="n">
        <f aca="false">INDEX(Summary!$L$2:$L$201,MATCH($B2005,Summary!$A$2:$A$201,0))</f>
        <v>4</v>
      </c>
      <c r="Q2005" s="3" t="n">
        <f aca="false">INDEX(Summary!$M$2:$M$201,MATCH($B2005,Summary!$A$2:$A$201,0))</f>
        <v>2</v>
      </c>
      <c r="R2005" s="2" t="n">
        <f aca="false">INDEX(Summary!$N$2:$N$201,MATCH($B2005,Summary!$A$2:$A$201,0))</f>
        <v>10.06</v>
      </c>
      <c r="S2005" s="3" t="n">
        <f aca="false">INDEX(Summary!$O$2:$O$201,MATCH($B2005,Summary!$A$2:$A$201,0))</f>
        <v>8</v>
      </c>
      <c r="T2005" s="3" t="n">
        <f aca="false">INDEX(Summary!$P$2:$P$201,MATCH($B2005,Summary!$A$2:$A$201,0))</f>
        <v>1</v>
      </c>
      <c r="U2005" s="2" t="n">
        <f aca="false">INDEX(Summary!$Q$2:$Q$201,MATCH($B2005,Summary!$A$2:$A$201,0))</f>
        <v>13.31</v>
      </c>
      <c r="V2005" s="2" t="n">
        <f aca="false">INDEX(Summary!$R$2:$R$201,MATCH($B2005,Summary!$A$2:$A$201,0))</f>
        <v>29.61</v>
      </c>
      <c r="W2005" s="0" t="str">
        <f aca="false">INDEX(Summary!$S$2:$S$201,MATCH($B2005,Summary!$A$2:$A$201,0))</f>
        <v>Gold</v>
      </c>
      <c r="X2005" s="2" t="n">
        <f aca="false">INDEX(Summary!$T$2:$T$201,MATCH($B2005,Summary!$A$2:$A$201,0))</f>
        <v>72.22</v>
      </c>
      <c r="Y2005" s="0" t="str">
        <f aca="false">INDEX('Reward Model'!$E$18:$E$37,MATCH($E2005,'Reward Model'!$A$18:$A$37,0))</f>
        <v>Low</v>
      </c>
      <c r="Z2005" s="4" t="n">
        <f aca="false">ROUND(MIN(1,MAX('Reward Model'!$B$2,INDEX('Reward Model'!$C$12:$C$14,MATCH($K2005,'Reward Model'!$A$12:$A$14,0))/$J2005)),3)</f>
        <v>1</v>
      </c>
      <c r="AA2005" s="2" t="n">
        <f aca="false">IF($I2005="Correct",ROUND(INDEX('Reward Model'!$B$12:$B$14,MATCH($K2005,'Reward Model'!$A$12:$A$14,0))*Z2005,2),0)</f>
        <v>1</v>
      </c>
      <c r="AB2005" s="2" t="n">
        <f aca="false">IF($I2005="Correct",ROUND(INDEX('Reward Model'!$B$12:$B$14,MATCH($Y2005,'Reward Model'!$A$12:$A$14,0))*Z2005,2),0)</f>
        <v>1</v>
      </c>
    </row>
    <row r="2006" customFormat="false" ht="15" hidden="false" customHeight="false" outlineLevel="0" collapsed="false">
      <c r="A2006" s="0" t="s">
        <v>331</v>
      </c>
      <c r="B2006" s="0" t="s">
        <v>332</v>
      </c>
      <c r="C2006" s="0" t="s">
        <v>322</v>
      </c>
      <c r="D2006" s="0" t="s">
        <v>31</v>
      </c>
      <c r="E2006" s="0" t="n">
        <v>5</v>
      </c>
      <c r="F2006" s="0" t="s">
        <v>46</v>
      </c>
      <c r="G2006" s="0" t="s">
        <v>47</v>
      </c>
      <c r="H2006" s="0" t="s">
        <v>47</v>
      </c>
      <c r="I2006" s="0" t="s">
        <v>34</v>
      </c>
      <c r="J2006" s="0" t="n">
        <v>1.76</v>
      </c>
      <c r="K2006" s="0" t="s">
        <v>35</v>
      </c>
      <c r="L2006" s="0" t="n">
        <f aca="false">INDEX(Summary!$F$2:$F$201,MATCH($B2006,Summary!$A$2:$A$201,0))</f>
        <v>20</v>
      </c>
      <c r="M2006" s="0" t="n">
        <f aca="false">INDEX(Summary!$I$2:$I$201,MATCH($B2006,Summary!$A$2:$A$201,0))</f>
        <v>4</v>
      </c>
      <c r="N2006" s="0" t="n">
        <f aca="false">INDEX(Summary!$J$2:$J$201,MATCH($B2006,Summary!$A$2:$A$201,0))</f>
        <v>1</v>
      </c>
      <c r="O2006" s="2" t="n">
        <f aca="false">INDEX(Summary!$K$2:$K$201,MATCH($B2006,Summary!$A$2:$A$201,0))</f>
        <v>9.87</v>
      </c>
      <c r="P2006" s="3" t="n">
        <f aca="false">INDEX(Summary!$L$2:$L$201,MATCH($B2006,Summary!$A$2:$A$201,0))</f>
        <v>4</v>
      </c>
      <c r="Q2006" s="3" t="n">
        <f aca="false">INDEX(Summary!$M$2:$M$201,MATCH($B2006,Summary!$A$2:$A$201,0))</f>
        <v>2</v>
      </c>
      <c r="R2006" s="2" t="n">
        <f aca="false">INDEX(Summary!$N$2:$N$201,MATCH($B2006,Summary!$A$2:$A$201,0))</f>
        <v>10.06</v>
      </c>
      <c r="S2006" s="3" t="n">
        <f aca="false">INDEX(Summary!$O$2:$O$201,MATCH($B2006,Summary!$A$2:$A$201,0))</f>
        <v>8</v>
      </c>
      <c r="T2006" s="3" t="n">
        <f aca="false">INDEX(Summary!$P$2:$P$201,MATCH($B2006,Summary!$A$2:$A$201,0))</f>
        <v>1</v>
      </c>
      <c r="U2006" s="2" t="n">
        <f aca="false">INDEX(Summary!$Q$2:$Q$201,MATCH($B2006,Summary!$A$2:$A$201,0))</f>
        <v>13.31</v>
      </c>
      <c r="V2006" s="2" t="n">
        <f aca="false">INDEX(Summary!$R$2:$R$201,MATCH($B2006,Summary!$A$2:$A$201,0))</f>
        <v>29.61</v>
      </c>
      <c r="W2006" s="0" t="str">
        <f aca="false">INDEX(Summary!$S$2:$S$201,MATCH($B2006,Summary!$A$2:$A$201,0))</f>
        <v>Gold</v>
      </c>
      <c r="X2006" s="2" t="n">
        <f aca="false">INDEX(Summary!$T$2:$T$201,MATCH($B2006,Summary!$A$2:$A$201,0))</f>
        <v>72.22</v>
      </c>
      <c r="Y2006" s="0" t="str">
        <f aca="false">INDEX('Reward Model'!$E$18:$E$37,MATCH($E2006,'Reward Model'!$A$18:$A$37,0))</f>
        <v>Low</v>
      </c>
      <c r="Z2006" s="4" t="n">
        <f aca="false">ROUND(MIN(1,MAX('Reward Model'!$B$2,INDEX('Reward Model'!$C$12:$C$14,MATCH($K2006,'Reward Model'!$A$12:$A$14,0))/$J2006)),3)</f>
        <v>0.852</v>
      </c>
      <c r="AA2006" s="2" t="n">
        <f aca="false">IF($I2006="Correct",ROUND(INDEX('Reward Model'!$B$12:$B$14,MATCH($K2006,'Reward Model'!$A$12:$A$14,0))*Z2006,2),0)</f>
        <v>0.85</v>
      </c>
      <c r="AB2006" s="2" t="n">
        <f aca="false">IF($I2006="Correct",ROUND(INDEX('Reward Model'!$B$12:$B$14,MATCH($Y2006,'Reward Model'!$A$12:$A$14,0))*Z2006,2),0)</f>
        <v>0.85</v>
      </c>
    </row>
    <row r="2007" customFormat="false" ht="15" hidden="false" customHeight="false" outlineLevel="0" collapsed="false">
      <c r="A2007" s="0" t="s">
        <v>331</v>
      </c>
      <c r="B2007" s="0" t="s">
        <v>332</v>
      </c>
      <c r="C2007" s="0" t="s">
        <v>322</v>
      </c>
      <c r="D2007" s="0" t="s">
        <v>31</v>
      </c>
      <c r="E2007" s="0" t="n">
        <v>6</v>
      </c>
      <c r="F2007" s="0" t="s">
        <v>48</v>
      </c>
      <c r="G2007" s="0" t="s">
        <v>49</v>
      </c>
      <c r="H2007" s="0" t="s">
        <v>49</v>
      </c>
      <c r="I2007" s="0" t="s">
        <v>34</v>
      </c>
      <c r="J2007" s="0" t="n">
        <v>0.96</v>
      </c>
      <c r="K2007" s="0" t="s">
        <v>35</v>
      </c>
      <c r="L2007" s="0" t="n">
        <f aca="false">INDEX(Summary!$F$2:$F$201,MATCH($B2007,Summary!$A$2:$A$201,0))</f>
        <v>20</v>
      </c>
      <c r="M2007" s="0" t="n">
        <f aca="false">INDEX(Summary!$I$2:$I$201,MATCH($B2007,Summary!$A$2:$A$201,0))</f>
        <v>4</v>
      </c>
      <c r="N2007" s="0" t="n">
        <f aca="false">INDEX(Summary!$J$2:$J$201,MATCH($B2007,Summary!$A$2:$A$201,0))</f>
        <v>1</v>
      </c>
      <c r="O2007" s="2" t="n">
        <f aca="false">INDEX(Summary!$K$2:$K$201,MATCH($B2007,Summary!$A$2:$A$201,0))</f>
        <v>9.87</v>
      </c>
      <c r="P2007" s="3" t="n">
        <f aca="false">INDEX(Summary!$L$2:$L$201,MATCH($B2007,Summary!$A$2:$A$201,0))</f>
        <v>4</v>
      </c>
      <c r="Q2007" s="3" t="n">
        <f aca="false">INDEX(Summary!$M$2:$M$201,MATCH($B2007,Summary!$A$2:$A$201,0))</f>
        <v>2</v>
      </c>
      <c r="R2007" s="2" t="n">
        <f aca="false">INDEX(Summary!$N$2:$N$201,MATCH($B2007,Summary!$A$2:$A$201,0))</f>
        <v>10.06</v>
      </c>
      <c r="S2007" s="3" t="n">
        <f aca="false">INDEX(Summary!$O$2:$O$201,MATCH($B2007,Summary!$A$2:$A$201,0))</f>
        <v>8</v>
      </c>
      <c r="T2007" s="3" t="n">
        <f aca="false">INDEX(Summary!$P$2:$P$201,MATCH($B2007,Summary!$A$2:$A$201,0))</f>
        <v>1</v>
      </c>
      <c r="U2007" s="2" t="n">
        <f aca="false">INDEX(Summary!$Q$2:$Q$201,MATCH($B2007,Summary!$A$2:$A$201,0))</f>
        <v>13.31</v>
      </c>
      <c r="V2007" s="2" t="n">
        <f aca="false">INDEX(Summary!$R$2:$R$201,MATCH($B2007,Summary!$A$2:$A$201,0))</f>
        <v>29.61</v>
      </c>
      <c r="W2007" s="0" t="str">
        <f aca="false">INDEX(Summary!$S$2:$S$201,MATCH($B2007,Summary!$A$2:$A$201,0))</f>
        <v>Gold</v>
      </c>
      <c r="X2007" s="2" t="n">
        <f aca="false">INDEX(Summary!$T$2:$T$201,MATCH($B2007,Summary!$A$2:$A$201,0))</f>
        <v>72.22</v>
      </c>
      <c r="Y2007" s="0" t="str">
        <f aca="false">INDEX('Reward Model'!$E$18:$E$37,MATCH($E2007,'Reward Model'!$A$18:$A$37,0))</f>
        <v>Medium</v>
      </c>
      <c r="Z2007" s="4" t="n">
        <f aca="false">ROUND(MIN(1,MAX('Reward Model'!$B$2,INDEX('Reward Model'!$C$12:$C$14,MATCH($K2007,'Reward Model'!$A$12:$A$14,0))/$J2007)),3)</f>
        <v>1</v>
      </c>
      <c r="AA2007" s="2" t="n">
        <f aca="false">IF($I2007="Correct",ROUND(INDEX('Reward Model'!$B$12:$B$14,MATCH($K2007,'Reward Model'!$A$12:$A$14,0))*Z2007,2),0)</f>
        <v>1</v>
      </c>
      <c r="AB2007" s="2" t="n">
        <f aca="false">IF($I2007="Correct",ROUND(INDEX('Reward Model'!$B$12:$B$14,MATCH($Y2007,'Reward Model'!$A$12:$A$14,0))*Z2007,2),0)</f>
        <v>2</v>
      </c>
    </row>
    <row r="2008" customFormat="false" ht="15" hidden="false" customHeight="false" outlineLevel="0" collapsed="false">
      <c r="A2008" s="0" t="s">
        <v>331</v>
      </c>
      <c r="B2008" s="0" t="s">
        <v>332</v>
      </c>
      <c r="C2008" s="0" t="s">
        <v>322</v>
      </c>
      <c r="D2008" s="0" t="s">
        <v>31</v>
      </c>
      <c r="E2008" s="0" t="n">
        <v>7</v>
      </c>
      <c r="F2008" s="0" t="s">
        <v>50</v>
      </c>
      <c r="G2008" s="0" t="s">
        <v>51</v>
      </c>
      <c r="H2008" s="0" t="s">
        <v>51</v>
      </c>
      <c r="I2008" s="0" t="s">
        <v>34</v>
      </c>
      <c r="J2008" s="0" t="n">
        <v>1.55</v>
      </c>
      <c r="K2008" s="0" t="s">
        <v>35</v>
      </c>
      <c r="L2008" s="0" t="n">
        <f aca="false">INDEX(Summary!$F$2:$F$201,MATCH($B2008,Summary!$A$2:$A$201,0))</f>
        <v>20</v>
      </c>
      <c r="M2008" s="0" t="n">
        <f aca="false">INDEX(Summary!$I$2:$I$201,MATCH($B2008,Summary!$A$2:$A$201,0))</f>
        <v>4</v>
      </c>
      <c r="N2008" s="0" t="n">
        <f aca="false">INDEX(Summary!$J$2:$J$201,MATCH($B2008,Summary!$A$2:$A$201,0))</f>
        <v>1</v>
      </c>
      <c r="O2008" s="2" t="n">
        <f aca="false">INDEX(Summary!$K$2:$K$201,MATCH($B2008,Summary!$A$2:$A$201,0))</f>
        <v>9.87</v>
      </c>
      <c r="P2008" s="3" t="n">
        <f aca="false">INDEX(Summary!$L$2:$L$201,MATCH($B2008,Summary!$A$2:$A$201,0))</f>
        <v>4</v>
      </c>
      <c r="Q2008" s="3" t="n">
        <f aca="false">INDEX(Summary!$M$2:$M$201,MATCH($B2008,Summary!$A$2:$A$201,0))</f>
        <v>2</v>
      </c>
      <c r="R2008" s="2" t="n">
        <f aca="false">INDEX(Summary!$N$2:$N$201,MATCH($B2008,Summary!$A$2:$A$201,0))</f>
        <v>10.06</v>
      </c>
      <c r="S2008" s="3" t="n">
        <f aca="false">INDEX(Summary!$O$2:$O$201,MATCH($B2008,Summary!$A$2:$A$201,0))</f>
        <v>8</v>
      </c>
      <c r="T2008" s="3" t="n">
        <f aca="false">INDEX(Summary!$P$2:$P$201,MATCH($B2008,Summary!$A$2:$A$201,0))</f>
        <v>1</v>
      </c>
      <c r="U2008" s="2" t="n">
        <f aca="false">INDEX(Summary!$Q$2:$Q$201,MATCH($B2008,Summary!$A$2:$A$201,0))</f>
        <v>13.31</v>
      </c>
      <c r="V2008" s="2" t="n">
        <f aca="false">INDEX(Summary!$R$2:$R$201,MATCH($B2008,Summary!$A$2:$A$201,0))</f>
        <v>29.61</v>
      </c>
      <c r="W2008" s="0" t="str">
        <f aca="false">INDEX(Summary!$S$2:$S$201,MATCH($B2008,Summary!$A$2:$A$201,0))</f>
        <v>Gold</v>
      </c>
      <c r="X2008" s="2" t="n">
        <f aca="false">INDEX(Summary!$T$2:$T$201,MATCH($B2008,Summary!$A$2:$A$201,0))</f>
        <v>72.22</v>
      </c>
      <c r="Y2008" s="0" t="str">
        <f aca="false">INDEX('Reward Model'!$E$18:$E$37,MATCH($E2008,'Reward Model'!$A$18:$A$37,0))</f>
        <v>Low</v>
      </c>
      <c r="Z2008" s="4" t="n">
        <f aca="false">ROUND(MIN(1,MAX('Reward Model'!$B$2,INDEX('Reward Model'!$C$12:$C$14,MATCH($K2008,'Reward Model'!$A$12:$A$14,0))/$J2008)),3)</f>
        <v>0.968</v>
      </c>
      <c r="AA2008" s="2" t="n">
        <f aca="false">IF($I2008="Correct",ROUND(INDEX('Reward Model'!$B$12:$B$14,MATCH($K2008,'Reward Model'!$A$12:$A$14,0))*Z2008,2),0)</f>
        <v>0.97</v>
      </c>
      <c r="AB2008" s="2" t="n">
        <f aca="false">IF($I2008="Correct",ROUND(INDEX('Reward Model'!$B$12:$B$14,MATCH($Y2008,'Reward Model'!$A$12:$A$14,0))*Z2008,2),0)</f>
        <v>0.97</v>
      </c>
    </row>
    <row r="2009" customFormat="false" ht="15" hidden="false" customHeight="false" outlineLevel="0" collapsed="false">
      <c r="A2009" s="0" t="s">
        <v>331</v>
      </c>
      <c r="B2009" s="0" t="s">
        <v>332</v>
      </c>
      <c r="C2009" s="0" t="s">
        <v>322</v>
      </c>
      <c r="D2009" s="0" t="s">
        <v>31</v>
      </c>
      <c r="E2009" s="0" t="n">
        <v>8</v>
      </c>
      <c r="F2009" s="0" t="s">
        <v>52</v>
      </c>
      <c r="G2009" s="0" t="s">
        <v>54</v>
      </c>
      <c r="H2009" s="0" t="s">
        <v>54</v>
      </c>
      <c r="I2009" s="0" t="s">
        <v>34</v>
      </c>
      <c r="J2009" s="0" t="n">
        <v>1.79</v>
      </c>
      <c r="K2009" s="0" t="s">
        <v>35</v>
      </c>
      <c r="L2009" s="0" t="n">
        <f aca="false">INDEX(Summary!$F$2:$F$201,MATCH($B2009,Summary!$A$2:$A$201,0))</f>
        <v>20</v>
      </c>
      <c r="M2009" s="0" t="n">
        <f aca="false">INDEX(Summary!$I$2:$I$201,MATCH($B2009,Summary!$A$2:$A$201,0))</f>
        <v>4</v>
      </c>
      <c r="N2009" s="0" t="n">
        <f aca="false">INDEX(Summary!$J$2:$J$201,MATCH($B2009,Summary!$A$2:$A$201,0))</f>
        <v>1</v>
      </c>
      <c r="O2009" s="2" t="n">
        <f aca="false">INDEX(Summary!$K$2:$K$201,MATCH($B2009,Summary!$A$2:$A$201,0))</f>
        <v>9.87</v>
      </c>
      <c r="P2009" s="3" t="n">
        <f aca="false">INDEX(Summary!$L$2:$L$201,MATCH($B2009,Summary!$A$2:$A$201,0))</f>
        <v>4</v>
      </c>
      <c r="Q2009" s="3" t="n">
        <f aca="false">INDEX(Summary!$M$2:$M$201,MATCH($B2009,Summary!$A$2:$A$201,0))</f>
        <v>2</v>
      </c>
      <c r="R2009" s="2" t="n">
        <f aca="false">INDEX(Summary!$N$2:$N$201,MATCH($B2009,Summary!$A$2:$A$201,0))</f>
        <v>10.06</v>
      </c>
      <c r="S2009" s="3" t="n">
        <f aca="false">INDEX(Summary!$O$2:$O$201,MATCH($B2009,Summary!$A$2:$A$201,0))</f>
        <v>8</v>
      </c>
      <c r="T2009" s="3" t="n">
        <f aca="false">INDEX(Summary!$P$2:$P$201,MATCH($B2009,Summary!$A$2:$A$201,0))</f>
        <v>1</v>
      </c>
      <c r="U2009" s="2" t="n">
        <f aca="false">INDEX(Summary!$Q$2:$Q$201,MATCH($B2009,Summary!$A$2:$A$201,0))</f>
        <v>13.31</v>
      </c>
      <c r="V2009" s="2" t="n">
        <f aca="false">INDEX(Summary!$R$2:$R$201,MATCH($B2009,Summary!$A$2:$A$201,0))</f>
        <v>29.61</v>
      </c>
      <c r="W2009" s="0" t="str">
        <f aca="false">INDEX(Summary!$S$2:$S$201,MATCH($B2009,Summary!$A$2:$A$201,0))</f>
        <v>Gold</v>
      </c>
      <c r="X2009" s="2" t="n">
        <f aca="false">INDEX(Summary!$T$2:$T$201,MATCH($B2009,Summary!$A$2:$A$201,0))</f>
        <v>72.22</v>
      </c>
      <c r="Y2009" s="0" t="str">
        <f aca="false">INDEX('Reward Model'!$E$18:$E$37,MATCH($E2009,'Reward Model'!$A$18:$A$37,0))</f>
        <v>Medium</v>
      </c>
      <c r="Z2009" s="4" t="n">
        <f aca="false">ROUND(MIN(1,MAX('Reward Model'!$B$2,INDEX('Reward Model'!$C$12:$C$14,MATCH($K2009,'Reward Model'!$A$12:$A$14,0))/$J2009)),3)</f>
        <v>0.838</v>
      </c>
      <c r="AA2009" s="2" t="n">
        <f aca="false">IF($I2009="Correct",ROUND(INDEX('Reward Model'!$B$12:$B$14,MATCH($K2009,'Reward Model'!$A$12:$A$14,0))*Z2009,2),0)</f>
        <v>0.84</v>
      </c>
      <c r="AB2009" s="2" t="n">
        <f aca="false">IF($I2009="Correct",ROUND(INDEX('Reward Model'!$B$12:$B$14,MATCH($Y2009,'Reward Model'!$A$12:$A$14,0))*Z2009,2),0)</f>
        <v>1.68</v>
      </c>
    </row>
    <row r="2010" customFormat="false" ht="15" hidden="false" customHeight="false" outlineLevel="0" collapsed="false">
      <c r="A2010" s="0" t="s">
        <v>331</v>
      </c>
      <c r="B2010" s="0" t="s">
        <v>332</v>
      </c>
      <c r="C2010" s="0" t="s">
        <v>322</v>
      </c>
      <c r="D2010" s="0" t="s">
        <v>31</v>
      </c>
      <c r="E2010" s="0" t="n">
        <v>9</v>
      </c>
      <c r="F2010" s="0" t="s">
        <v>55</v>
      </c>
      <c r="G2010" s="0" t="s">
        <v>57</v>
      </c>
      <c r="H2010" s="0" t="s">
        <v>57</v>
      </c>
      <c r="I2010" s="0" t="s">
        <v>34</v>
      </c>
      <c r="J2010" s="0" t="n">
        <v>1.39</v>
      </c>
      <c r="K2010" s="0" t="s">
        <v>35</v>
      </c>
      <c r="L2010" s="0" t="n">
        <f aca="false">INDEX(Summary!$F$2:$F$201,MATCH($B2010,Summary!$A$2:$A$201,0))</f>
        <v>20</v>
      </c>
      <c r="M2010" s="0" t="n">
        <f aca="false">INDEX(Summary!$I$2:$I$201,MATCH($B2010,Summary!$A$2:$A$201,0))</f>
        <v>4</v>
      </c>
      <c r="N2010" s="0" t="n">
        <f aca="false">INDEX(Summary!$J$2:$J$201,MATCH($B2010,Summary!$A$2:$A$201,0))</f>
        <v>1</v>
      </c>
      <c r="O2010" s="2" t="n">
        <f aca="false">INDEX(Summary!$K$2:$K$201,MATCH($B2010,Summary!$A$2:$A$201,0))</f>
        <v>9.87</v>
      </c>
      <c r="P2010" s="3" t="n">
        <f aca="false">INDEX(Summary!$L$2:$L$201,MATCH($B2010,Summary!$A$2:$A$201,0))</f>
        <v>4</v>
      </c>
      <c r="Q2010" s="3" t="n">
        <f aca="false">INDEX(Summary!$M$2:$M$201,MATCH($B2010,Summary!$A$2:$A$201,0))</f>
        <v>2</v>
      </c>
      <c r="R2010" s="2" t="n">
        <f aca="false">INDEX(Summary!$N$2:$N$201,MATCH($B2010,Summary!$A$2:$A$201,0))</f>
        <v>10.06</v>
      </c>
      <c r="S2010" s="3" t="n">
        <f aca="false">INDEX(Summary!$O$2:$O$201,MATCH($B2010,Summary!$A$2:$A$201,0))</f>
        <v>8</v>
      </c>
      <c r="T2010" s="3" t="n">
        <f aca="false">INDEX(Summary!$P$2:$P$201,MATCH($B2010,Summary!$A$2:$A$201,0))</f>
        <v>1</v>
      </c>
      <c r="U2010" s="2" t="n">
        <f aca="false">INDEX(Summary!$Q$2:$Q$201,MATCH($B2010,Summary!$A$2:$A$201,0))</f>
        <v>13.31</v>
      </c>
      <c r="V2010" s="2" t="n">
        <f aca="false">INDEX(Summary!$R$2:$R$201,MATCH($B2010,Summary!$A$2:$A$201,0))</f>
        <v>29.61</v>
      </c>
      <c r="W2010" s="0" t="str">
        <f aca="false">INDEX(Summary!$S$2:$S$201,MATCH($B2010,Summary!$A$2:$A$201,0))</f>
        <v>Gold</v>
      </c>
      <c r="X2010" s="2" t="n">
        <f aca="false">INDEX(Summary!$T$2:$T$201,MATCH($B2010,Summary!$A$2:$A$201,0))</f>
        <v>72.22</v>
      </c>
      <c r="Y2010" s="0" t="str">
        <f aca="false">INDEX('Reward Model'!$E$18:$E$37,MATCH($E2010,'Reward Model'!$A$18:$A$37,0))</f>
        <v>Medium</v>
      </c>
      <c r="Z2010" s="4" t="n">
        <f aca="false">ROUND(MIN(1,MAX('Reward Model'!$B$2,INDEX('Reward Model'!$C$12:$C$14,MATCH($K2010,'Reward Model'!$A$12:$A$14,0))/$J2010)),3)</f>
        <v>1</v>
      </c>
      <c r="AA2010" s="2" t="n">
        <f aca="false">IF($I2010="Correct",ROUND(INDEX('Reward Model'!$B$12:$B$14,MATCH($K2010,'Reward Model'!$A$12:$A$14,0))*Z2010,2),0)</f>
        <v>1</v>
      </c>
      <c r="AB2010" s="2" t="n">
        <f aca="false">IF($I2010="Correct",ROUND(INDEX('Reward Model'!$B$12:$B$14,MATCH($Y2010,'Reward Model'!$A$12:$A$14,0))*Z2010,2),0)</f>
        <v>2</v>
      </c>
    </row>
    <row r="2011" customFormat="false" ht="15" hidden="false" customHeight="false" outlineLevel="0" collapsed="false">
      <c r="A2011" s="0" t="s">
        <v>331</v>
      </c>
      <c r="B2011" s="0" t="s">
        <v>332</v>
      </c>
      <c r="C2011" s="0" t="s">
        <v>322</v>
      </c>
      <c r="D2011" s="0" t="s">
        <v>31</v>
      </c>
      <c r="E2011" s="0" t="n">
        <v>10</v>
      </c>
      <c r="F2011" s="0" t="s">
        <v>58</v>
      </c>
      <c r="G2011" s="0" t="s">
        <v>59</v>
      </c>
      <c r="H2011" s="0" t="s">
        <v>59</v>
      </c>
      <c r="I2011" s="0" t="s">
        <v>34</v>
      </c>
      <c r="J2011" s="0" t="n">
        <v>2.25</v>
      </c>
      <c r="K2011" s="0" t="s">
        <v>60</v>
      </c>
      <c r="L2011" s="0" t="n">
        <f aca="false">INDEX(Summary!$F$2:$F$201,MATCH($B2011,Summary!$A$2:$A$201,0))</f>
        <v>20</v>
      </c>
      <c r="M2011" s="0" t="n">
        <f aca="false">INDEX(Summary!$I$2:$I$201,MATCH($B2011,Summary!$A$2:$A$201,0))</f>
        <v>4</v>
      </c>
      <c r="N2011" s="0" t="n">
        <f aca="false">INDEX(Summary!$J$2:$J$201,MATCH($B2011,Summary!$A$2:$A$201,0))</f>
        <v>1</v>
      </c>
      <c r="O2011" s="2" t="n">
        <f aca="false">INDEX(Summary!$K$2:$K$201,MATCH($B2011,Summary!$A$2:$A$201,0))</f>
        <v>9.87</v>
      </c>
      <c r="P2011" s="3" t="n">
        <f aca="false">INDEX(Summary!$L$2:$L$201,MATCH($B2011,Summary!$A$2:$A$201,0))</f>
        <v>4</v>
      </c>
      <c r="Q2011" s="3" t="n">
        <f aca="false">INDEX(Summary!$M$2:$M$201,MATCH($B2011,Summary!$A$2:$A$201,0))</f>
        <v>2</v>
      </c>
      <c r="R2011" s="2" t="n">
        <f aca="false">INDEX(Summary!$N$2:$N$201,MATCH($B2011,Summary!$A$2:$A$201,0))</f>
        <v>10.06</v>
      </c>
      <c r="S2011" s="3" t="n">
        <f aca="false">INDEX(Summary!$O$2:$O$201,MATCH($B2011,Summary!$A$2:$A$201,0))</f>
        <v>8</v>
      </c>
      <c r="T2011" s="3" t="n">
        <f aca="false">INDEX(Summary!$P$2:$P$201,MATCH($B2011,Summary!$A$2:$A$201,0))</f>
        <v>1</v>
      </c>
      <c r="U2011" s="2" t="n">
        <f aca="false">INDEX(Summary!$Q$2:$Q$201,MATCH($B2011,Summary!$A$2:$A$201,0))</f>
        <v>13.31</v>
      </c>
      <c r="V2011" s="2" t="n">
        <f aca="false">INDEX(Summary!$R$2:$R$201,MATCH($B2011,Summary!$A$2:$A$201,0))</f>
        <v>29.61</v>
      </c>
      <c r="W2011" s="0" t="str">
        <f aca="false">INDEX(Summary!$S$2:$S$201,MATCH($B2011,Summary!$A$2:$A$201,0))</f>
        <v>Gold</v>
      </c>
      <c r="X2011" s="2" t="n">
        <f aca="false">INDEX(Summary!$T$2:$T$201,MATCH($B2011,Summary!$A$2:$A$201,0))</f>
        <v>72.22</v>
      </c>
      <c r="Y2011" s="0" t="str">
        <f aca="false">INDEX('Reward Model'!$E$18:$E$37,MATCH($E2011,'Reward Model'!$A$18:$A$37,0))</f>
        <v>Medium</v>
      </c>
      <c r="Z2011" s="4" t="n">
        <f aca="false">ROUND(MIN(1,MAX('Reward Model'!$B$2,INDEX('Reward Model'!$C$12:$C$14,MATCH($K2011,'Reward Model'!$A$12:$A$14,0))/$J2011)),3)</f>
        <v>0.8</v>
      </c>
      <c r="AA2011" s="2" t="n">
        <f aca="false">IF($I2011="Correct",ROUND(INDEX('Reward Model'!$B$12:$B$14,MATCH($K2011,'Reward Model'!$A$12:$A$14,0))*Z2011,2),0)</f>
        <v>1.6</v>
      </c>
      <c r="AB2011" s="2" t="n">
        <f aca="false">IF($I2011="Correct",ROUND(INDEX('Reward Model'!$B$12:$B$14,MATCH($Y2011,'Reward Model'!$A$12:$A$14,0))*Z2011,2),0)</f>
        <v>1.6</v>
      </c>
    </row>
    <row r="2012" customFormat="false" ht="15" hidden="false" customHeight="false" outlineLevel="0" collapsed="false">
      <c r="A2012" s="0" t="s">
        <v>331</v>
      </c>
      <c r="B2012" s="0" t="s">
        <v>332</v>
      </c>
      <c r="C2012" s="0" t="s">
        <v>322</v>
      </c>
      <c r="D2012" s="0" t="s">
        <v>31</v>
      </c>
      <c r="E2012" s="0" t="n">
        <v>11</v>
      </c>
      <c r="F2012" s="0" t="s">
        <v>61</v>
      </c>
      <c r="G2012" s="0" t="s">
        <v>63</v>
      </c>
      <c r="H2012" s="0" t="s">
        <v>63</v>
      </c>
      <c r="I2012" s="0" t="s">
        <v>34</v>
      </c>
      <c r="J2012" s="0" t="n">
        <v>1.8</v>
      </c>
      <c r="K2012" s="0" t="s">
        <v>60</v>
      </c>
      <c r="L2012" s="0" t="n">
        <f aca="false">INDEX(Summary!$F$2:$F$201,MATCH($B2012,Summary!$A$2:$A$201,0))</f>
        <v>20</v>
      </c>
      <c r="M2012" s="0" t="n">
        <f aca="false">INDEX(Summary!$I$2:$I$201,MATCH($B2012,Summary!$A$2:$A$201,0))</f>
        <v>4</v>
      </c>
      <c r="N2012" s="0" t="n">
        <f aca="false">INDEX(Summary!$J$2:$J$201,MATCH($B2012,Summary!$A$2:$A$201,0))</f>
        <v>1</v>
      </c>
      <c r="O2012" s="2" t="n">
        <f aca="false">INDEX(Summary!$K$2:$K$201,MATCH($B2012,Summary!$A$2:$A$201,0))</f>
        <v>9.87</v>
      </c>
      <c r="P2012" s="3" t="n">
        <f aca="false">INDEX(Summary!$L$2:$L$201,MATCH($B2012,Summary!$A$2:$A$201,0))</f>
        <v>4</v>
      </c>
      <c r="Q2012" s="3" t="n">
        <f aca="false">INDEX(Summary!$M$2:$M$201,MATCH($B2012,Summary!$A$2:$A$201,0))</f>
        <v>2</v>
      </c>
      <c r="R2012" s="2" t="n">
        <f aca="false">INDEX(Summary!$N$2:$N$201,MATCH($B2012,Summary!$A$2:$A$201,0))</f>
        <v>10.06</v>
      </c>
      <c r="S2012" s="3" t="n">
        <f aca="false">INDEX(Summary!$O$2:$O$201,MATCH($B2012,Summary!$A$2:$A$201,0))</f>
        <v>8</v>
      </c>
      <c r="T2012" s="3" t="n">
        <f aca="false">INDEX(Summary!$P$2:$P$201,MATCH($B2012,Summary!$A$2:$A$201,0))</f>
        <v>1</v>
      </c>
      <c r="U2012" s="2" t="n">
        <f aca="false">INDEX(Summary!$Q$2:$Q$201,MATCH($B2012,Summary!$A$2:$A$201,0))</f>
        <v>13.31</v>
      </c>
      <c r="V2012" s="2" t="n">
        <f aca="false">INDEX(Summary!$R$2:$R$201,MATCH($B2012,Summary!$A$2:$A$201,0))</f>
        <v>29.61</v>
      </c>
      <c r="W2012" s="0" t="str">
        <f aca="false">INDEX(Summary!$S$2:$S$201,MATCH($B2012,Summary!$A$2:$A$201,0))</f>
        <v>Gold</v>
      </c>
      <c r="X2012" s="2" t="n">
        <f aca="false">INDEX(Summary!$T$2:$T$201,MATCH($B2012,Summary!$A$2:$A$201,0))</f>
        <v>72.22</v>
      </c>
      <c r="Y2012" s="0" t="str">
        <f aca="false">INDEX('Reward Model'!$E$18:$E$37,MATCH($E2012,'Reward Model'!$A$18:$A$37,0))</f>
        <v>Medium</v>
      </c>
      <c r="Z2012" s="4" t="n">
        <f aca="false">ROUND(MIN(1,MAX('Reward Model'!$B$2,INDEX('Reward Model'!$C$12:$C$14,MATCH($K2012,'Reward Model'!$A$12:$A$14,0))/$J2012)),3)</f>
        <v>1</v>
      </c>
      <c r="AA2012" s="2" t="n">
        <f aca="false">IF($I2012="Correct",ROUND(INDEX('Reward Model'!$B$12:$B$14,MATCH($K2012,'Reward Model'!$A$12:$A$14,0))*Z2012,2),0)</f>
        <v>2</v>
      </c>
      <c r="AB2012" s="2" t="n">
        <f aca="false">IF($I2012="Correct",ROUND(INDEX('Reward Model'!$B$12:$B$14,MATCH($Y2012,'Reward Model'!$A$12:$A$14,0))*Z2012,2),0)</f>
        <v>2</v>
      </c>
    </row>
    <row r="2013" customFormat="false" ht="15" hidden="false" customHeight="false" outlineLevel="0" collapsed="false">
      <c r="A2013" s="0" t="s">
        <v>331</v>
      </c>
      <c r="B2013" s="0" t="s">
        <v>332</v>
      </c>
      <c r="C2013" s="0" t="s">
        <v>322</v>
      </c>
      <c r="D2013" s="0" t="s">
        <v>31</v>
      </c>
      <c r="E2013" s="0" t="n">
        <v>12</v>
      </c>
      <c r="F2013" s="0" t="s">
        <v>64</v>
      </c>
      <c r="G2013" s="0" t="s">
        <v>65</v>
      </c>
      <c r="H2013" s="0" t="s">
        <v>65</v>
      </c>
      <c r="I2013" s="0" t="s">
        <v>34</v>
      </c>
      <c r="J2013" s="0" t="n">
        <v>2.1</v>
      </c>
      <c r="K2013" s="0" t="s">
        <v>60</v>
      </c>
      <c r="L2013" s="0" t="n">
        <f aca="false">INDEX(Summary!$F$2:$F$201,MATCH($B2013,Summary!$A$2:$A$201,0))</f>
        <v>20</v>
      </c>
      <c r="M2013" s="0" t="n">
        <f aca="false">INDEX(Summary!$I$2:$I$201,MATCH($B2013,Summary!$A$2:$A$201,0))</f>
        <v>4</v>
      </c>
      <c r="N2013" s="0" t="n">
        <f aca="false">INDEX(Summary!$J$2:$J$201,MATCH($B2013,Summary!$A$2:$A$201,0))</f>
        <v>1</v>
      </c>
      <c r="O2013" s="2" t="n">
        <f aca="false">INDEX(Summary!$K$2:$K$201,MATCH($B2013,Summary!$A$2:$A$201,0))</f>
        <v>9.87</v>
      </c>
      <c r="P2013" s="3" t="n">
        <f aca="false">INDEX(Summary!$L$2:$L$201,MATCH($B2013,Summary!$A$2:$A$201,0))</f>
        <v>4</v>
      </c>
      <c r="Q2013" s="3" t="n">
        <f aca="false">INDEX(Summary!$M$2:$M$201,MATCH($B2013,Summary!$A$2:$A$201,0))</f>
        <v>2</v>
      </c>
      <c r="R2013" s="2" t="n">
        <f aca="false">INDEX(Summary!$N$2:$N$201,MATCH($B2013,Summary!$A$2:$A$201,0))</f>
        <v>10.06</v>
      </c>
      <c r="S2013" s="3" t="n">
        <f aca="false">INDEX(Summary!$O$2:$O$201,MATCH($B2013,Summary!$A$2:$A$201,0))</f>
        <v>8</v>
      </c>
      <c r="T2013" s="3" t="n">
        <f aca="false">INDEX(Summary!$P$2:$P$201,MATCH($B2013,Summary!$A$2:$A$201,0))</f>
        <v>1</v>
      </c>
      <c r="U2013" s="2" t="n">
        <f aca="false">INDEX(Summary!$Q$2:$Q$201,MATCH($B2013,Summary!$A$2:$A$201,0))</f>
        <v>13.31</v>
      </c>
      <c r="V2013" s="2" t="n">
        <f aca="false">INDEX(Summary!$R$2:$R$201,MATCH($B2013,Summary!$A$2:$A$201,0))</f>
        <v>29.61</v>
      </c>
      <c r="W2013" s="0" t="str">
        <f aca="false">INDEX(Summary!$S$2:$S$201,MATCH($B2013,Summary!$A$2:$A$201,0))</f>
        <v>Gold</v>
      </c>
      <c r="X2013" s="2" t="n">
        <f aca="false">INDEX(Summary!$T$2:$T$201,MATCH($B2013,Summary!$A$2:$A$201,0))</f>
        <v>72.22</v>
      </c>
      <c r="Y2013" s="0" t="str">
        <f aca="false">INDEX('Reward Model'!$E$18:$E$37,MATCH($E2013,'Reward Model'!$A$18:$A$37,0))</f>
        <v>Medium</v>
      </c>
      <c r="Z2013" s="4" t="n">
        <f aca="false">ROUND(MIN(1,MAX('Reward Model'!$B$2,INDEX('Reward Model'!$C$12:$C$14,MATCH($K2013,'Reward Model'!$A$12:$A$14,0))/$J2013)),3)</f>
        <v>0.857</v>
      </c>
      <c r="AA2013" s="2" t="n">
        <f aca="false">IF($I2013="Correct",ROUND(INDEX('Reward Model'!$B$12:$B$14,MATCH($K2013,'Reward Model'!$A$12:$A$14,0))*Z2013,2),0)</f>
        <v>1.71</v>
      </c>
      <c r="AB2013" s="2" t="n">
        <f aca="false">IF($I2013="Correct",ROUND(INDEX('Reward Model'!$B$12:$B$14,MATCH($Y2013,'Reward Model'!$A$12:$A$14,0))*Z2013,2),0)</f>
        <v>1.71</v>
      </c>
    </row>
    <row r="2014" customFormat="false" ht="15" hidden="false" customHeight="false" outlineLevel="0" collapsed="false">
      <c r="A2014" s="0" t="s">
        <v>331</v>
      </c>
      <c r="B2014" s="0" t="s">
        <v>332</v>
      </c>
      <c r="C2014" s="0" t="s">
        <v>322</v>
      </c>
      <c r="D2014" s="0" t="s">
        <v>31</v>
      </c>
      <c r="E2014" s="0" t="n">
        <v>13</v>
      </c>
      <c r="F2014" s="0" t="s">
        <v>66</v>
      </c>
      <c r="G2014" s="0" t="s">
        <v>124</v>
      </c>
      <c r="H2014" s="0" t="s">
        <v>67</v>
      </c>
      <c r="I2014" s="0" t="s">
        <v>39</v>
      </c>
      <c r="J2014" s="0" t="n">
        <v>1.56</v>
      </c>
      <c r="K2014" s="0" t="s">
        <v>60</v>
      </c>
      <c r="L2014" s="0" t="n">
        <f aca="false">INDEX(Summary!$F$2:$F$201,MATCH($B2014,Summary!$A$2:$A$201,0))</f>
        <v>20</v>
      </c>
      <c r="M2014" s="0" t="n">
        <f aca="false">INDEX(Summary!$I$2:$I$201,MATCH($B2014,Summary!$A$2:$A$201,0))</f>
        <v>4</v>
      </c>
      <c r="N2014" s="0" t="n">
        <f aca="false">INDEX(Summary!$J$2:$J$201,MATCH($B2014,Summary!$A$2:$A$201,0))</f>
        <v>1</v>
      </c>
      <c r="O2014" s="2" t="n">
        <f aca="false">INDEX(Summary!$K$2:$K$201,MATCH($B2014,Summary!$A$2:$A$201,0))</f>
        <v>9.87</v>
      </c>
      <c r="P2014" s="3" t="n">
        <f aca="false">INDEX(Summary!$L$2:$L$201,MATCH($B2014,Summary!$A$2:$A$201,0))</f>
        <v>4</v>
      </c>
      <c r="Q2014" s="3" t="n">
        <f aca="false">INDEX(Summary!$M$2:$M$201,MATCH($B2014,Summary!$A$2:$A$201,0))</f>
        <v>2</v>
      </c>
      <c r="R2014" s="2" t="n">
        <f aca="false">INDEX(Summary!$N$2:$N$201,MATCH($B2014,Summary!$A$2:$A$201,0))</f>
        <v>10.06</v>
      </c>
      <c r="S2014" s="3" t="n">
        <f aca="false">INDEX(Summary!$O$2:$O$201,MATCH($B2014,Summary!$A$2:$A$201,0))</f>
        <v>8</v>
      </c>
      <c r="T2014" s="3" t="n">
        <f aca="false">INDEX(Summary!$P$2:$P$201,MATCH($B2014,Summary!$A$2:$A$201,0))</f>
        <v>1</v>
      </c>
      <c r="U2014" s="2" t="n">
        <f aca="false">INDEX(Summary!$Q$2:$Q$201,MATCH($B2014,Summary!$A$2:$A$201,0))</f>
        <v>13.31</v>
      </c>
      <c r="V2014" s="2" t="n">
        <f aca="false">INDEX(Summary!$R$2:$R$201,MATCH($B2014,Summary!$A$2:$A$201,0))</f>
        <v>29.61</v>
      </c>
      <c r="W2014" s="0" t="str">
        <f aca="false">INDEX(Summary!$S$2:$S$201,MATCH($B2014,Summary!$A$2:$A$201,0))</f>
        <v>Gold</v>
      </c>
      <c r="X2014" s="2" t="n">
        <f aca="false">INDEX(Summary!$T$2:$T$201,MATCH($B2014,Summary!$A$2:$A$201,0))</f>
        <v>72.22</v>
      </c>
      <c r="Y2014" s="0" t="str">
        <f aca="false">INDEX('Reward Model'!$E$18:$E$37,MATCH($E2014,'Reward Model'!$A$18:$A$37,0))</f>
        <v>Medium</v>
      </c>
      <c r="Z2014" s="4" t="n">
        <f aca="false">ROUND(MIN(1,MAX('Reward Model'!$B$2,INDEX('Reward Model'!$C$12:$C$14,MATCH($K2014,'Reward Model'!$A$12:$A$14,0))/$J2014)),3)</f>
        <v>1</v>
      </c>
      <c r="AA2014" s="2" t="n">
        <f aca="false">IF($I2014="Correct",ROUND(INDEX('Reward Model'!$B$12:$B$14,MATCH($K2014,'Reward Model'!$A$12:$A$14,0))*Z2014,2),0)</f>
        <v>0</v>
      </c>
      <c r="AB2014" s="2" t="n">
        <f aca="false">IF($I2014="Correct",ROUND(INDEX('Reward Model'!$B$12:$B$14,MATCH($Y2014,'Reward Model'!$A$12:$A$14,0))*Z2014,2),0)</f>
        <v>0</v>
      </c>
    </row>
    <row r="2015" customFormat="false" ht="15" hidden="false" customHeight="false" outlineLevel="0" collapsed="false">
      <c r="A2015" s="0" t="s">
        <v>331</v>
      </c>
      <c r="B2015" s="0" t="s">
        <v>332</v>
      </c>
      <c r="C2015" s="0" t="s">
        <v>322</v>
      </c>
      <c r="D2015" s="0" t="s">
        <v>31</v>
      </c>
      <c r="E2015" s="0" t="n">
        <v>14</v>
      </c>
      <c r="F2015" s="0" t="s">
        <v>68</v>
      </c>
      <c r="G2015" s="0" t="s">
        <v>118</v>
      </c>
      <c r="H2015" s="0" t="s">
        <v>51</v>
      </c>
      <c r="I2015" s="0" t="s">
        <v>39</v>
      </c>
      <c r="J2015" s="0" t="n">
        <v>1.15</v>
      </c>
      <c r="K2015" s="0" t="s">
        <v>60</v>
      </c>
      <c r="L2015" s="0" t="n">
        <f aca="false">INDEX(Summary!$F$2:$F$201,MATCH($B2015,Summary!$A$2:$A$201,0))</f>
        <v>20</v>
      </c>
      <c r="M2015" s="0" t="n">
        <f aca="false">INDEX(Summary!$I$2:$I$201,MATCH($B2015,Summary!$A$2:$A$201,0))</f>
        <v>4</v>
      </c>
      <c r="N2015" s="0" t="n">
        <f aca="false">INDEX(Summary!$J$2:$J$201,MATCH($B2015,Summary!$A$2:$A$201,0))</f>
        <v>1</v>
      </c>
      <c r="O2015" s="2" t="n">
        <f aca="false">INDEX(Summary!$K$2:$K$201,MATCH($B2015,Summary!$A$2:$A$201,0))</f>
        <v>9.87</v>
      </c>
      <c r="P2015" s="3" t="n">
        <f aca="false">INDEX(Summary!$L$2:$L$201,MATCH($B2015,Summary!$A$2:$A$201,0))</f>
        <v>4</v>
      </c>
      <c r="Q2015" s="3" t="n">
        <f aca="false">INDEX(Summary!$M$2:$M$201,MATCH($B2015,Summary!$A$2:$A$201,0))</f>
        <v>2</v>
      </c>
      <c r="R2015" s="2" t="n">
        <f aca="false">INDEX(Summary!$N$2:$N$201,MATCH($B2015,Summary!$A$2:$A$201,0))</f>
        <v>10.06</v>
      </c>
      <c r="S2015" s="3" t="n">
        <f aca="false">INDEX(Summary!$O$2:$O$201,MATCH($B2015,Summary!$A$2:$A$201,0))</f>
        <v>8</v>
      </c>
      <c r="T2015" s="3" t="n">
        <f aca="false">INDEX(Summary!$P$2:$P$201,MATCH($B2015,Summary!$A$2:$A$201,0))</f>
        <v>1</v>
      </c>
      <c r="U2015" s="2" t="n">
        <f aca="false">INDEX(Summary!$Q$2:$Q$201,MATCH($B2015,Summary!$A$2:$A$201,0))</f>
        <v>13.31</v>
      </c>
      <c r="V2015" s="2" t="n">
        <f aca="false">INDEX(Summary!$R$2:$R$201,MATCH($B2015,Summary!$A$2:$A$201,0))</f>
        <v>29.61</v>
      </c>
      <c r="W2015" s="0" t="str">
        <f aca="false">INDEX(Summary!$S$2:$S$201,MATCH($B2015,Summary!$A$2:$A$201,0))</f>
        <v>Gold</v>
      </c>
      <c r="X2015" s="2" t="n">
        <f aca="false">INDEX(Summary!$T$2:$T$201,MATCH($B2015,Summary!$A$2:$A$201,0))</f>
        <v>72.22</v>
      </c>
      <c r="Y2015" s="0" t="str">
        <f aca="false">INDEX('Reward Model'!$E$18:$E$37,MATCH($E2015,'Reward Model'!$A$18:$A$37,0))</f>
        <v>Medium</v>
      </c>
      <c r="Z2015" s="4" t="n">
        <f aca="false">ROUND(MIN(1,MAX('Reward Model'!$B$2,INDEX('Reward Model'!$C$12:$C$14,MATCH($K2015,'Reward Model'!$A$12:$A$14,0))/$J2015)),3)</f>
        <v>1</v>
      </c>
      <c r="AA2015" s="2" t="n">
        <f aca="false">IF($I2015="Correct",ROUND(INDEX('Reward Model'!$B$12:$B$14,MATCH($K2015,'Reward Model'!$A$12:$A$14,0))*Z2015,2),0)</f>
        <v>0</v>
      </c>
      <c r="AB2015" s="2" t="n">
        <f aca="false">IF($I2015="Correct",ROUND(INDEX('Reward Model'!$B$12:$B$14,MATCH($Y2015,'Reward Model'!$A$12:$A$14,0))*Z2015,2),0)</f>
        <v>0</v>
      </c>
    </row>
    <row r="2016" customFormat="false" ht="15" hidden="false" customHeight="false" outlineLevel="0" collapsed="false">
      <c r="A2016" s="0" t="s">
        <v>331</v>
      </c>
      <c r="B2016" s="0" t="s">
        <v>332</v>
      </c>
      <c r="C2016" s="0" t="s">
        <v>322</v>
      </c>
      <c r="D2016" s="0" t="s">
        <v>31</v>
      </c>
      <c r="E2016" s="0" t="n">
        <v>15</v>
      </c>
      <c r="F2016" s="0" t="s">
        <v>69</v>
      </c>
      <c r="G2016" s="0" t="s">
        <v>70</v>
      </c>
      <c r="H2016" s="0" t="s">
        <v>70</v>
      </c>
      <c r="I2016" s="0" t="s">
        <v>34</v>
      </c>
      <c r="J2016" s="0" t="n">
        <v>1.2</v>
      </c>
      <c r="K2016" s="0" t="s">
        <v>60</v>
      </c>
      <c r="L2016" s="0" t="n">
        <f aca="false">INDEX(Summary!$F$2:$F$201,MATCH($B2016,Summary!$A$2:$A$201,0))</f>
        <v>20</v>
      </c>
      <c r="M2016" s="0" t="n">
        <f aca="false">INDEX(Summary!$I$2:$I$201,MATCH($B2016,Summary!$A$2:$A$201,0))</f>
        <v>4</v>
      </c>
      <c r="N2016" s="0" t="n">
        <f aca="false">INDEX(Summary!$J$2:$J$201,MATCH($B2016,Summary!$A$2:$A$201,0))</f>
        <v>1</v>
      </c>
      <c r="O2016" s="2" t="n">
        <f aca="false">INDEX(Summary!$K$2:$K$201,MATCH($B2016,Summary!$A$2:$A$201,0))</f>
        <v>9.87</v>
      </c>
      <c r="P2016" s="3" t="n">
        <f aca="false">INDEX(Summary!$L$2:$L$201,MATCH($B2016,Summary!$A$2:$A$201,0))</f>
        <v>4</v>
      </c>
      <c r="Q2016" s="3" t="n">
        <f aca="false">INDEX(Summary!$M$2:$M$201,MATCH($B2016,Summary!$A$2:$A$201,0))</f>
        <v>2</v>
      </c>
      <c r="R2016" s="2" t="n">
        <f aca="false">INDEX(Summary!$N$2:$N$201,MATCH($B2016,Summary!$A$2:$A$201,0))</f>
        <v>10.06</v>
      </c>
      <c r="S2016" s="3" t="n">
        <f aca="false">INDEX(Summary!$O$2:$O$201,MATCH($B2016,Summary!$A$2:$A$201,0))</f>
        <v>8</v>
      </c>
      <c r="T2016" s="3" t="n">
        <f aca="false">INDEX(Summary!$P$2:$P$201,MATCH($B2016,Summary!$A$2:$A$201,0))</f>
        <v>1</v>
      </c>
      <c r="U2016" s="2" t="n">
        <f aca="false">INDEX(Summary!$Q$2:$Q$201,MATCH($B2016,Summary!$A$2:$A$201,0))</f>
        <v>13.31</v>
      </c>
      <c r="V2016" s="2" t="n">
        <f aca="false">INDEX(Summary!$R$2:$R$201,MATCH($B2016,Summary!$A$2:$A$201,0))</f>
        <v>29.61</v>
      </c>
      <c r="W2016" s="0" t="str">
        <f aca="false">INDEX(Summary!$S$2:$S$201,MATCH($B2016,Summary!$A$2:$A$201,0))</f>
        <v>Gold</v>
      </c>
      <c r="X2016" s="2" t="n">
        <f aca="false">INDEX(Summary!$T$2:$T$201,MATCH($B2016,Summary!$A$2:$A$201,0))</f>
        <v>72.22</v>
      </c>
      <c r="Y2016" s="0" t="str">
        <f aca="false">INDEX('Reward Model'!$E$18:$E$37,MATCH($E2016,'Reward Model'!$A$18:$A$37,0))</f>
        <v>Medium</v>
      </c>
      <c r="Z2016" s="4" t="n">
        <f aca="false">ROUND(MIN(1,MAX('Reward Model'!$B$2,INDEX('Reward Model'!$C$12:$C$14,MATCH($K2016,'Reward Model'!$A$12:$A$14,0))/$J2016)),3)</f>
        <v>1</v>
      </c>
      <c r="AA2016" s="2" t="n">
        <f aca="false">IF($I2016="Correct",ROUND(INDEX('Reward Model'!$B$12:$B$14,MATCH($K2016,'Reward Model'!$A$12:$A$14,0))*Z2016,2),0)</f>
        <v>2</v>
      </c>
      <c r="AB2016" s="2" t="n">
        <f aca="false">IF($I2016="Correct",ROUND(INDEX('Reward Model'!$B$12:$B$14,MATCH($Y2016,'Reward Model'!$A$12:$A$14,0))*Z2016,2),0)</f>
        <v>2</v>
      </c>
    </row>
    <row r="2017" customFormat="false" ht="15" hidden="false" customHeight="false" outlineLevel="0" collapsed="false">
      <c r="A2017" s="0" t="s">
        <v>331</v>
      </c>
      <c r="B2017" s="0" t="s">
        <v>332</v>
      </c>
      <c r="C2017" s="0" t="s">
        <v>322</v>
      </c>
      <c r="D2017" s="0" t="s">
        <v>31</v>
      </c>
      <c r="E2017" s="0" t="n">
        <v>16</v>
      </c>
      <c r="F2017" s="0" t="s">
        <v>71</v>
      </c>
      <c r="G2017" s="0" t="s">
        <v>72</v>
      </c>
      <c r="H2017" s="0" t="s">
        <v>72</v>
      </c>
      <c r="I2017" s="0" t="s">
        <v>34</v>
      </c>
      <c r="J2017" s="0" t="n">
        <v>2.32</v>
      </c>
      <c r="K2017" s="0" t="s">
        <v>73</v>
      </c>
      <c r="L2017" s="0" t="n">
        <f aca="false">INDEX(Summary!$F$2:$F$201,MATCH($B2017,Summary!$A$2:$A$201,0))</f>
        <v>20</v>
      </c>
      <c r="M2017" s="0" t="n">
        <f aca="false">INDEX(Summary!$I$2:$I$201,MATCH($B2017,Summary!$A$2:$A$201,0))</f>
        <v>4</v>
      </c>
      <c r="N2017" s="0" t="n">
        <f aca="false">INDEX(Summary!$J$2:$J$201,MATCH($B2017,Summary!$A$2:$A$201,0))</f>
        <v>1</v>
      </c>
      <c r="O2017" s="2" t="n">
        <f aca="false">INDEX(Summary!$K$2:$K$201,MATCH($B2017,Summary!$A$2:$A$201,0))</f>
        <v>9.87</v>
      </c>
      <c r="P2017" s="3" t="n">
        <f aca="false">INDEX(Summary!$L$2:$L$201,MATCH($B2017,Summary!$A$2:$A$201,0))</f>
        <v>4</v>
      </c>
      <c r="Q2017" s="3" t="n">
        <f aca="false">INDEX(Summary!$M$2:$M$201,MATCH($B2017,Summary!$A$2:$A$201,0))</f>
        <v>2</v>
      </c>
      <c r="R2017" s="2" t="n">
        <f aca="false">INDEX(Summary!$N$2:$N$201,MATCH($B2017,Summary!$A$2:$A$201,0))</f>
        <v>10.06</v>
      </c>
      <c r="S2017" s="3" t="n">
        <f aca="false">INDEX(Summary!$O$2:$O$201,MATCH($B2017,Summary!$A$2:$A$201,0))</f>
        <v>8</v>
      </c>
      <c r="T2017" s="3" t="n">
        <f aca="false">INDEX(Summary!$P$2:$P$201,MATCH($B2017,Summary!$A$2:$A$201,0))</f>
        <v>1</v>
      </c>
      <c r="U2017" s="2" t="n">
        <f aca="false">INDEX(Summary!$Q$2:$Q$201,MATCH($B2017,Summary!$A$2:$A$201,0))</f>
        <v>13.31</v>
      </c>
      <c r="V2017" s="2" t="n">
        <f aca="false">INDEX(Summary!$R$2:$R$201,MATCH($B2017,Summary!$A$2:$A$201,0))</f>
        <v>29.61</v>
      </c>
      <c r="W2017" s="0" t="str">
        <f aca="false">INDEX(Summary!$S$2:$S$201,MATCH($B2017,Summary!$A$2:$A$201,0))</f>
        <v>Gold</v>
      </c>
      <c r="X2017" s="2" t="n">
        <f aca="false">INDEX(Summary!$T$2:$T$201,MATCH($B2017,Summary!$A$2:$A$201,0))</f>
        <v>72.22</v>
      </c>
      <c r="Y2017" s="0" t="str">
        <f aca="false">INDEX('Reward Model'!$E$18:$E$37,MATCH($E2017,'Reward Model'!$A$18:$A$37,0))</f>
        <v>High</v>
      </c>
      <c r="Z2017" s="4" t="n">
        <f aca="false">ROUND(MIN(1,MAX('Reward Model'!$B$2,INDEX('Reward Model'!$C$12:$C$14,MATCH($K2017,'Reward Model'!$A$12:$A$14,0))/$J2017)),3)</f>
        <v>0.862</v>
      </c>
      <c r="AA2017" s="2" t="n">
        <f aca="false">IF($I2017="Correct",ROUND(INDEX('Reward Model'!$B$12:$B$14,MATCH($K2017,'Reward Model'!$A$12:$A$14,0))*Z2017,2),0)</f>
        <v>2.59</v>
      </c>
      <c r="AB2017" s="2" t="n">
        <f aca="false">IF($I2017="Correct",ROUND(INDEX('Reward Model'!$B$12:$B$14,MATCH($Y2017,'Reward Model'!$A$12:$A$14,0))*Z2017,2),0)</f>
        <v>2.59</v>
      </c>
    </row>
    <row r="2018" customFormat="false" ht="15" hidden="false" customHeight="false" outlineLevel="0" collapsed="false">
      <c r="A2018" s="0" t="s">
        <v>331</v>
      </c>
      <c r="B2018" s="0" t="s">
        <v>332</v>
      </c>
      <c r="C2018" s="0" t="s">
        <v>322</v>
      </c>
      <c r="D2018" s="0" t="s">
        <v>31</v>
      </c>
      <c r="E2018" s="0" t="n">
        <v>17</v>
      </c>
      <c r="F2018" s="0" t="s">
        <v>74</v>
      </c>
      <c r="G2018" s="0" t="s">
        <v>91</v>
      </c>
      <c r="H2018" s="0" t="s">
        <v>75</v>
      </c>
      <c r="I2018" s="0" t="s">
        <v>39</v>
      </c>
      <c r="J2018" s="0" t="n">
        <v>1.95</v>
      </c>
      <c r="K2018" s="0" t="s">
        <v>73</v>
      </c>
      <c r="L2018" s="0" t="n">
        <f aca="false">INDEX(Summary!$F$2:$F$201,MATCH($B2018,Summary!$A$2:$A$201,0))</f>
        <v>20</v>
      </c>
      <c r="M2018" s="0" t="n">
        <f aca="false">INDEX(Summary!$I$2:$I$201,MATCH($B2018,Summary!$A$2:$A$201,0))</f>
        <v>4</v>
      </c>
      <c r="N2018" s="0" t="n">
        <f aca="false">INDEX(Summary!$J$2:$J$201,MATCH($B2018,Summary!$A$2:$A$201,0))</f>
        <v>1</v>
      </c>
      <c r="O2018" s="2" t="n">
        <f aca="false">INDEX(Summary!$K$2:$K$201,MATCH($B2018,Summary!$A$2:$A$201,0))</f>
        <v>9.87</v>
      </c>
      <c r="P2018" s="3" t="n">
        <f aca="false">INDEX(Summary!$L$2:$L$201,MATCH($B2018,Summary!$A$2:$A$201,0))</f>
        <v>4</v>
      </c>
      <c r="Q2018" s="3" t="n">
        <f aca="false">INDEX(Summary!$M$2:$M$201,MATCH($B2018,Summary!$A$2:$A$201,0))</f>
        <v>2</v>
      </c>
      <c r="R2018" s="2" t="n">
        <f aca="false">INDEX(Summary!$N$2:$N$201,MATCH($B2018,Summary!$A$2:$A$201,0))</f>
        <v>10.06</v>
      </c>
      <c r="S2018" s="3" t="n">
        <f aca="false">INDEX(Summary!$O$2:$O$201,MATCH($B2018,Summary!$A$2:$A$201,0))</f>
        <v>8</v>
      </c>
      <c r="T2018" s="3" t="n">
        <f aca="false">INDEX(Summary!$P$2:$P$201,MATCH($B2018,Summary!$A$2:$A$201,0))</f>
        <v>1</v>
      </c>
      <c r="U2018" s="2" t="n">
        <f aca="false">INDEX(Summary!$Q$2:$Q$201,MATCH($B2018,Summary!$A$2:$A$201,0))</f>
        <v>13.31</v>
      </c>
      <c r="V2018" s="2" t="n">
        <f aca="false">INDEX(Summary!$R$2:$R$201,MATCH($B2018,Summary!$A$2:$A$201,0))</f>
        <v>29.61</v>
      </c>
      <c r="W2018" s="0" t="str">
        <f aca="false">INDEX(Summary!$S$2:$S$201,MATCH($B2018,Summary!$A$2:$A$201,0))</f>
        <v>Gold</v>
      </c>
      <c r="X2018" s="2" t="n">
        <f aca="false">INDEX(Summary!$T$2:$T$201,MATCH($B2018,Summary!$A$2:$A$201,0))</f>
        <v>72.22</v>
      </c>
      <c r="Y2018" s="0" t="str">
        <f aca="false">INDEX('Reward Model'!$E$18:$E$37,MATCH($E2018,'Reward Model'!$A$18:$A$37,0))</f>
        <v>High</v>
      </c>
      <c r="Z2018" s="4" t="n">
        <f aca="false">ROUND(MIN(1,MAX('Reward Model'!$B$2,INDEX('Reward Model'!$C$12:$C$14,MATCH($K2018,'Reward Model'!$A$12:$A$14,0))/$J2018)),3)</f>
        <v>1</v>
      </c>
      <c r="AA2018" s="2" t="n">
        <f aca="false">IF($I2018="Correct",ROUND(INDEX('Reward Model'!$B$12:$B$14,MATCH($K2018,'Reward Model'!$A$12:$A$14,0))*Z2018,2),0)</f>
        <v>0</v>
      </c>
      <c r="AB2018" s="2" t="n">
        <f aca="false">IF($I2018="Correct",ROUND(INDEX('Reward Model'!$B$12:$B$14,MATCH($Y2018,'Reward Model'!$A$12:$A$14,0))*Z2018,2),0)</f>
        <v>0</v>
      </c>
    </row>
    <row r="2019" customFormat="false" ht="15" hidden="false" customHeight="false" outlineLevel="0" collapsed="false">
      <c r="A2019" s="0" t="s">
        <v>331</v>
      </c>
      <c r="B2019" s="0" t="s">
        <v>332</v>
      </c>
      <c r="C2019" s="0" t="s">
        <v>322</v>
      </c>
      <c r="D2019" s="0" t="s">
        <v>31</v>
      </c>
      <c r="E2019" s="0" t="n">
        <v>18</v>
      </c>
      <c r="F2019" s="0" t="s">
        <v>76</v>
      </c>
      <c r="G2019" s="0" t="s">
        <v>77</v>
      </c>
      <c r="H2019" s="0" t="s">
        <v>77</v>
      </c>
      <c r="I2019" s="0" t="s">
        <v>34</v>
      </c>
      <c r="J2019" s="0" t="n">
        <v>1.89</v>
      </c>
      <c r="K2019" s="0" t="s">
        <v>73</v>
      </c>
      <c r="L2019" s="0" t="n">
        <f aca="false">INDEX(Summary!$F$2:$F$201,MATCH($B2019,Summary!$A$2:$A$201,0))</f>
        <v>20</v>
      </c>
      <c r="M2019" s="0" t="n">
        <f aca="false">INDEX(Summary!$I$2:$I$201,MATCH($B2019,Summary!$A$2:$A$201,0))</f>
        <v>4</v>
      </c>
      <c r="N2019" s="0" t="n">
        <f aca="false">INDEX(Summary!$J$2:$J$201,MATCH($B2019,Summary!$A$2:$A$201,0))</f>
        <v>1</v>
      </c>
      <c r="O2019" s="2" t="n">
        <f aca="false">INDEX(Summary!$K$2:$K$201,MATCH($B2019,Summary!$A$2:$A$201,0))</f>
        <v>9.87</v>
      </c>
      <c r="P2019" s="3" t="n">
        <f aca="false">INDEX(Summary!$L$2:$L$201,MATCH($B2019,Summary!$A$2:$A$201,0))</f>
        <v>4</v>
      </c>
      <c r="Q2019" s="3" t="n">
        <f aca="false">INDEX(Summary!$M$2:$M$201,MATCH($B2019,Summary!$A$2:$A$201,0))</f>
        <v>2</v>
      </c>
      <c r="R2019" s="2" t="n">
        <f aca="false">INDEX(Summary!$N$2:$N$201,MATCH($B2019,Summary!$A$2:$A$201,0))</f>
        <v>10.06</v>
      </c>
      <c r="S2019" s="3" t="n">
        <f aca="false">INDEX(Summary!$O$2:$O$201,MATCH($B2019,Summary!$A$2:$A$201,0))</f>
        <v>8</v>
      </c>
      <c r="T2019" s="3" t="n">
        <f aca="false">INDEX(Summary!$P$2:$P$201,MATCH($B2019,Summary!$A$2:$A$201,0))</f>
        <v>1</v>
      </c>
      <c r="U2019" s="2" t="n">
        <f aca="false">INDEX(Summary!$Q$2:$Q$201,MATCH($B2019,Summary!$A$2:$A$201,0))</f>
        <v>13.31</v>
      </c>
      <c r="V2019" s="2" t="n">
        <f aca="false">INDEX(Summary!$R$2:$R$201,MATCH($B2019,Summary!$A$2:$A$201,0))</f>
        <v>29.61</v>
      </c>
      <c r="W2019" s="0" t="str">
        <f aca="false">INDEX(Summary!$S$2:$S$201,MATCH($B2019,Summary!$A$2:$A$201,0))</f>
        <v>Gold</v>
      </c>
      <c r="X2019" s="2" t="n">
        <f aca="false">INDEX(Summary!$T$2:$T$201,MATCH($B2019,Summary!$A$2:$A$201,0))</f>
        <v>72.22</v>
      </c>
      <c r="Y2019" s="0" t="str">
        <f aca="false">INDEX('Reward Model'!$E$18:$E$37,MATCH($E2019,'Reward Model'!$A$18:$A$37,0))</f>
        <v>High</v>
      </c>
      <c r="Z2019" s="4" t="n">
        <f aca="false">ROUND(MIN(1,MAX('Reward Model'!$B$2,INDEX('Reward Model'!$C$12:$C$14,MATCH($K2019,'Reward Model'!$A$12:$A$14,0))/$J2019)),3)</f>
        <v>1</v>
      </c>
      <c r="AA2019" s="2" t="n">
        <f aca="false">IF($I2019="Correct",ROUND(INDEX('Reward Model'!$B$12:$B$14,MATCH($K2019,'Reward Model'!$A$12:$A$14,0))*Z2019,2),0)</f>
        <v>3</v>
      </c>
      <c r="AB2019" s="2" t="n">
        <f aca="false">IF($I2019="Correct",ROUND(INDEX('Reward Model'!$B$12:$B$14,MATCH($Y2019,'Reward Model'!$A$12:$A$14,0))*Z2019,2),0)</f>
        <v>3</v>
      </c>
    </row>
    <row r="2020" customFormat="false" ht="15" hidden="false" customHeight="false" outlineLevel="0" collapsed="false">
      <c r="A2020" s="0" t="s">
        <v>331</v>
      </c>
      <c r="B2020" s="0" t="s">
        <v>332</v>
      </c>
      <c r="C2020" s="0" t="s">
        <v>322</v>
      </c>
      <c r="D2020" s="0" t="s">
        <v>31</v>
      </c>
      <c r="E2020" s="0" t="n">
        <v>19</v>
      </c>
      <c r="F2020" s="0" t="s">
        <v>78</v>
      </c>
      <c r="G2020" s="0" t="s">
        <v>80</v>
      </c>
      <c r="H2020" s="0" t="s">
        <v>80</v>
      </c>
      <c r="I2020" s="0" t="s">
        <v>34</v>
      </c>
      <c r="J2020" s="0" t="n">
        <v>2.31</v>
      </c>
      <c r="K2020" s="0" t="s">
        <v>73</v>
      </c>
      <c r="L2020" s="0" t="n">
        <f aca="false">INDEX(Summary!$F$2:$F$201,MATCH($B2020,Summary!$A$2:$A$201,0))</f>
        <v>20</v>
      </c>
      <c r="M2020" s="0" t="n">
        <f aca="false">INDEX(Summary!$I$2:$I$201,MATCH($B2020,Summary!$A$2:$A$201,0))</f>
        <v>4</v>
      </c>
      <c r="N2020" s="0" t="n">
        <f aca="false">INDEX(Summary!$J$2:$J$201,MATCH($B2020,Summary!$A$2:$A$201,0))</f>
        <v>1</v>
      </c>
      <c r="O2020" s="2" t="n">
        <f aca="false">INDEX(Summary!$K$2:$K$201,MATCH($B2020,Summary!$A$2:$A$201,0))</f>
        <v>9.87</v>
      </c>
      <c r="P2020" s="3" t="n">
        <f aca="false">INDEX(Summary!$L$2:$L$201,MATCH($B2020,Summary!$A$2:$A$201,0))</f>
        <v>4</v>
      </c>
      <c r="Q2020" s="3" t="n">
        <f aca="false">INDEX(Summary!$M$2:$M$201,MATCH($B2020,Summary!$A$2:$A$201,0))</f>
        <v>2</v>
      </c>
      <c r="R2020" s="2" t="n">
        <f aca="false">INDEX(Summary!$N$2:$N$201,MATCH($B2020,Summary!$A$2:$A$201,0))</f>
        <v>10.06</v>
      </c>
      <c r="S2020" s="3" t="n">
        <f aca="false">INDEX(Summary!$O$2:$O$201,MATCH($B2020,Summary!$A$2:$A$201,0))</f>
        <v>8</v>
      </c>
      <c r="T2020" s="3" t="n">
        <f aca="false">INDEX(Summary!$P$2:$P$201,MATCH($B2020,Summary!$A$2:$A$201,0))</f>
        <v>1</v>
      </c>
      <c r="U2020" s="2" t="n">
        <f aca="false">INDEX(Summary!$Q$2:$Q$201,MATCH($B2020,Summary!$A$2:$A$201,0))</f>
        <v>13.31</v>
      </c>
      <c r="V2020" s="2" t="n">
        <f aca="false">INDEX(Summary!$R$2:$R$201,MATCH($B2020,Summary!$A$2:$A$201,0))</f>
        <v>29.61</v>
      </c>
      <c r="W2020" s="0" t="str">
        <f aca="false">INDEX(Summary!$S$2:$S$201,MATCH($B2020,Summary!$A$2:$A$201,0))</f>
        <v>Gold</v>
      </c>
      <c r="X2020" s="2" t="n">
        <f aca="false">INDEX(Summary!$T$2:$T$201,MATCH($B2020,Summary!$A$2:$A$201,0))</f>
        <v>72.22</v>
      </c>
      <c r="Y2020" s="0" t="str">
        <f aca="false">INDEX('Reward Model'!$E$18:$E$37,MATCH($E2020,'Reward Model'!$A$18:$A$37,0))</f>
        <v>High</v>
      </c>
      <c r="Z2020" s="4" t="n">
        <f aca="false">ROUND(MIN(1,MAX('Reward Model'!$B$2,INDEX('Reward Model'!$C$12:$C$14,MATCH($K2020,'Reward Model'!$A$12:$A$14,0))/$J2020)),3)</f>
        <v>0.866</v>
      </c>
      <c r="AA2020" s="2" t="n">
        <f aca="false">IF($I2020="Correct",ROUND(INDEX('Reward Model'!$B$12:$B$14,MATCH($K2020,'Reward Model'!$A$12:$A$14,0))*Z2020,2),0)</f>
        <v>2.6</v>
      </c>
      <c r="AB2020" s="2" t="n">
        <f aca="false">IF($I2020="Correct",ROUND(INDEX('Reward Model'!$B$12:$B$14,MATCH($Y2020,'Reward Model'!$A$12:$A$14,0))*Z2020,2),0)</f>
        <v>2.6</v>
      </c>
    </row>
    <row r="2021" customFormat="false" ht="15" hidden="false" customHeight="false" outlineLevel="0" collapsed="false">
      <c r="A2021" s="0" t="s">
        <v>331</v>
      </c>
      <c r="B2021" s="0" t="s">
        <v>332</v>
      </c>
      <c r="C2021" s="0" t="s">
        <v>322</v>
      </c>
      <c r="D2021" s="0" t="s">
        <v>31</v>
      </c>
      <c r="E2021" s="0" t="n">
        <v>20</v>
      </c>
      <c r="F2021" s="0" t="s">
        <v>81</v>
      </c>
      <c r="G2021" s="0" t="s">
        <v>83</v>
      </c>
      <c r="H2021" s="0" t="s">
        <v>83</v>
      </c>
      <c r="I2021" s="0" t="s">
        <v>34</v>
      </c>
      <c r="J2021" s="0" t="n">
        <v>1.4</v>
      </c>
      <c r="K2021" s="0" t="s">
        <v>73</v>
      </c>
      <c r="L2021" s="0" t="n">
        <f aca="false">INDEX(Summary!$F$2:$F$201,MATCH($B2021,Summary!$A$2:$A$201,0))</f>
        <v>20</v>
      </c>
      <c r="M2021" s="0" t="n">
        <f aca="false">INDEX(Summary!$I$2:$I$201,MATCH($B2021,Summary!$A$2:$A$201,0))</f>
        <v>4</v>
      </c>
      <c r="N2021" s="0" t="n">
        <f aca="false">INDEX(Summary!$J$2:$J$201,MATCH($B2021,Summary!$A$2:$A$201,0))</f>
        <v>1</v>
      </c>
      <c r="O2021" s="2" t="n">
        <f aca="false">INDEX(Summary!$K$2:$K$201,MATCH($B2021,Summary!$A$2:$A$201,0))</f>
        <v>9.87</v>
      </c>
      <c r="P2021" s="3" t="n">
        <f aca="false">INDEX(Summary!$L$2:$L$201,MATCH($B2021,Summary!$A$2:$A$201,0))</f>
        <v>4</v>
      </c>
      <c r="Q2021" s="3" t="n">
        <f aca="false">INDEX(Summary!$M$2:$M$201,MATCH($B2021,Summary!$A$2:$A$201,0))</f>
        <v>2</v>
      </c>
      <c r="R2021" s="2" t="n">
        <f aca="false">INDEX(Summary!$N$2:$N$201,MATCH($B2021,Summary!$A$2:$A$201,0))</f>
        <v>10.06</v>
      </c>
      <c r="S2021" s="3" t="n">
        <f aca="false">INDEX(Summary!$O$2:$O$201,MATCH($B2021,Summary!$A$2:$A$201,0))</f>
        <v>8</v>
      </c>
      <c r="T2021" s="3" t="n">
        <f aca="false">INDEX(Summary!$P$2:$P$201,MATCH($B2021,Summary!$A$2:$A$201,0))</f>
        <v>1</v>
      </c>
      <c r="U2021" s="2" t="n">
        <f aca="false">INDEX(Summary!$Q$2:$Q$201,MATCH($B2021,Summary!$A$2:$A$201,0))</f>
        <v>13.31</v>
      </c>
      <c r="V2021" s="2" t="n">
        <f aca="false">INDEX(Summary!$R$2:$R$201,MATCH($B2021,Summary!$A$2:$A$201,0))</f>
        <v>29.61</v>
      </c>
      <c r="W2021" s="0" t="str">
        <f aca="false">INDEX(Summary!$S$2:$S$201,MATCH($B2021,Summary!$A$2:$A$201,0))</f>
        <v>Gold</v>
      </c>
      <c r="X2021" s="2" t="n">
        <f aca="false">INDEX(Summary!$T$2:$T$201,MATCH($B2021,Summary!$A$2:$A$201,0))</f>
        <v>72.22</v>
      </c>
      <c r="Y2021" s="0" t="str">
        <f aca="false">INDEX('Reward Model'!$E$18:$E$37,MATCH($E2021,'Reward Model'!$A$18:$A$37,0))</f>
        <v>High</v>
      </c>
      <c r="Z2021" s="4" t="n">
        <f aca="false">ROUND(MIN(1,MAX('Reward Model'!$B$2,INDEX('Reward Model'!$C$12:$C$14,MATCH($K2021,'Reward Model'!$A$12:$A$14,0))/$J2021)),3)</f>
        <v>1</v>
      </c>
      <c r="AA2021" s="2" t="n">
        <f aca="false">IF($I2021="Correct",ROUND(INDEX('Reward Model'!$B$12:$B$14,MATCH($K2021,'Reward Model'!$A$12:$A$14,0))*Z2021,2),0)</f>
        <v>3</v>
      </c>
      <c r="AB2021" s="2" t="n">
        <f aca="false">IF($I2021="Correct",ROUND(INDEX('Reward Model'!$B$12:$B$14,MATCH($Y2021,'Reward Model'!$A$12:$A$14,0))*Z2021,2),0)</f>
        <v>3</v>
      </c>
    </row>
    <row r="2022" customFormat="false" ht="15" hidden="false" customHeight="false" outlineLevel="0" collapsed="false">
      <c r="A2022" s="0" t="s">
        <v>333</v>
      </c>
      <c r="B2022" s="0" t="s">
        <v>334</v>
      </c>
      <c r="C2022" s="0" t="s">
        <v>322</v>
      </c>
      <c r="D2022" s="0" t="s">
        <v>31</v>
      </c>
      <c r="E2022" s="0" t="n">
        <v>1</v>
      </c>
      <c r="F2022" s="0" t="s">
        <v>32</v>
      </c>
      <c r="G2022" s="0" t="s">
        <v>33</v>
      </c>
      <c r="H2022" s="0" t="s">
        <v>33</v>
      </c>
      <c r="I2022" s="0" t="s">
        <v>34</v>
      </c>
      <c r="J2022" s="0" t="n">
        <v>1.56</v>
      </c>
      <c r="K2022" s="0" t="s">
        <v>35</v>
      </c>
      <c r="L2022" s="0" t="n">
        <f aca="false">INDEX(Summary!$F$2:$F$201,MATCH($B2022,Summary!$A$2:$A$201,0))</f>
        <v>20</v>
      </c>
      <c r="M2022" s="0" t="n">
        <f aca="false">INDEX(Summary!$I$2:$I$201,MATCH($B2022,Summary!$A$2:$A$201,0))</f>
        <v>4</v>
      </c>
      <c r="N2022" s="0" t="n">
        <f aca="false">INDEX(Summary!$J$2:$J$201,MATCH($B2022,Summary!$A$2:$A$201,0))</f>
        <v>1</v>
      </c>
      <c r="O2022" s="2" t="n">
        <f aca="false">INDEX(Summary!$K$2:$K$201,MATCH($B2022,Summary!$A$2:$A$201,0))</f>
        <v>8.87</v>
      </c>
      <c r="P2022" s="3" t="n">
        <f aca="false">INDEX(Summary!$L$2:$L$201,MATCH($B2022,Summary!$A$2:$A$201,0))</f>
        <v>4</v>
      </c>
      <c r="Q2022" s="3" t="n">
        <f aca="false">INDEX(Summary!$M$2:$M$201,MATCH($B2022,Summary!$A$2:$A$201,0))</f>
        <v>2</v>
      </c>
      <c r="R2022" s="2" t="n">
        <f aca="false">INDEX(Summary!$N$2:$N$201,MATCH($B2022,Summary!$A$2:$A$201,0))</f>
        <v>10.12</v>
      </c>
      <c r="S2022" s="3" t="n">
        <f aca="false">INDEX(Summary!$O$2:$O$201,MATCH($B2022,Summary!$A$2:$A$201,0))</f>
        <v>7</v>
      </c>
      <c r="T2022" s="3" t="n">
        <f aca="false">INDEX(Summary!$P$2:$P$201,MATCH($B2022,Summary!$A$2:$A$201,0))</f>
        <v>2</v>
      </c>
      <c r="U2022" s="2" t="n">
        <f aca="false">INDEX(Summary!$Q$2:$Q$201,MATCH($B2022,Summary!$A$2:$A$201,0))</f>
        <v>13.66</v>
      </c>
      <c r="V2022" s="2" t="n">
        <f aca="false">INDEX(Summary!$R$2:$R$201,MATCH($B2022,Summary!$A$2:$A$201,0))</f>
        <v>28.41</v>
      </c>
      <c r="W2022" s="0" t="str">
        <f aca="false">INDEX(Summary!$S$2:$S$201,MATCH($B2022,Summary!$A$2:$A$201,0))</f>
        <v>Silver</v>
      </c>
      <c r="X2022" s="2" t="n">
        <f aca="false">INDEX(Summary!$T$2:$T$201,MATCH($B2022,Summary!$A$2:$A$201,0))</f>
        <v>69.29</v>
      </c>
      <c r="Y2022" s="0" t="str">
        <f aca="false">INDEX('Reward Model'!$E$18:$E$37,MATCH($E2022,'Reward Model'!$A$18:$A$37,0))</f>
        <v>Medium</v>
      </c>
      <c r="Z2022" s="4" t="n">
        <f aca="false">ROUND(MIN(1,MAX('Reward Model'!$B$2,INDEX('Reward Model'!$C$12:$C$14,MATCH($K2022,'Reward Model'!$A$12:$A$14,0))/$J2022)),3)</f>
        <v>0.962</v>
      </c>
      <c r="AA2022" s="2" t="n">
        <f aca="false">IF($I2022="Correct",ROUND(INDEX('Reward Model'!$B$12:$B$14,MATCH($K2022,'Reward Model'!$A$12:$A$14,0))*Z2022,2),0)</f>
        <v>0.96</v>
      </c>
      <c r="AB2022" s="2" t="n">
        <f aca="false">IF($I2022="Correct",ROUND(INDEX('Reward Model'!$B$12:$B$14,MATCH($Y2022,'Reward Model'!$A$12:$A$14,0))*Z2022,2),0)</f>
        <v>1.92</v>
      </c>
    </row>
    <row r="2023" customFormat="false" ht="15" hidden="false" customHeight="false" outlineLevel="0" collapsed="false">
      <c r="A2023" s="0" t="s">
        <v>333</v>
      </c>
      <c r="B2023" s="0" t="s">
        <v>334</v>
      </c>
      <c r="C2023" s="0" t="s">
        <v>322</v>
      </c>
      <c r="D2023" s="0" t="s">
        <v>31</v>
      </c>
      <c r="E2023" s="0" t="n">
        <v>2</v>
      </c>
      <c r="F2023" s="0" t="s">
        <v>36</v>
      </c>
      <c r="G2023" s="0" t="s">
        <v>38</v>
      </c>
      <c r="H2023" s="0" t="s">
        <v>38</v>
      </c>
      <c r="I2023" s="0" t="s">
        <v>34</v>
      </c>
      <c r="J2023" s="0" t="n">
        <v>1.83</v>
      </c>
      <c r="K2023" s="0" t="s">
        <v>35</v>
      </c>
      <c r="L2023" s="0" t="n">
        <f aca="false">INDEX(Summary!$F$2:$F$201,MATCH($B2023,Summary!$A$2:$A$201,0))</f>
        <v>20</v>
      </c>
      <c r="M2023" s="0" t="n">
        <f aca="false">INDEX(Summary!$I$2:$I$201,MATCH($B2023,Summary!$A$2:$A$201,0))</f>
        <v>4</v>
      </c>
      <c r="N2023" s="0" t="n">
        <f aca="false">INDEX(Summary!$J$2:$J$201,MATCH($B2023,Summary!$A$2:$A$201,0))</f>
        <v>1</v>
      </c>
      <c r="O2023" s="2" t="n">
        <f aca="false">INDEX(Summary!$K$2:$K$201,MATCH($B2023,Summary!$A$2:$A$201,0))</f>
        <v>8.87</v>
      </c>
      <c r="P2023" s="3" t="n">
        <f aca="false">INDEX(Summary!$L$2:$L$201,MATCH($B2023,Summary!$A$2:$A$201,0))</f>
        <v>4</v>
      </c>
      <c r="Q2023" s="3" t="n">
        <f aca="false">INDEX(Summary!$M$2:$M$201,MATCH($B2023,Summary!$A$2:$A$201,0))</f>
        <v>2</v>
      </c>
      <c r="R2023" s="2" t="n">
        <f aca="false">INDEX(Summary!$N$2:$N$201,MATCH($B2023,Summary!$A$2:$A$201,0))</f>
        <v>10.12</v>
      </c>
      <c r="S2023" s="3" t="n">
        <f aca="false">INDEX(Summary!$O$2:$O$201,MATCH($B2023,Summary!$A$2:$A$201,0))</f>
        <v>7</v>
      </c>
      <c r="T2023" s="3" t="n">
        <f aca="false">INDEX(Summary!$P$2:$P$201,MATCH($B2023,Summary!$A$2:$A$201,0))</f>
        <v>2</v>
      </c>
      <c r="U2023" s="2" t="n">
        <f aca="false">INDEX(Summary!$Q$2:$Q$201,MATCH($B2023,Summary!$A$2:$A$201,0))</f>
        <v>13.66</v>
      </c>
      <c r="V2023" s="2" t="n">
        <f aca="false">INDEX(Summary!$R$2:$R$201,MATCH($B2023,Summary!$A$2:$A$201,0))</f>
        <v>28.41</v>
      </c>
      <c r="W2023" s="0" t="str">
        <f aca="false">INDEX(Summary!$S$2:$S$201,MATCH($B2023,Summary!$A$2:$A$201,0))</f>
        <v>Silver</v>
      </c>
      <c r="X2023" s="2" t="n">
        <f aca="false">INDEX(Summary!$T$2:$T$201,MATCH($B2023,Summary!$A$2:$A$201,0))</f>
        <v>69.29</v>
      </c>
      <c r="Y2023" s="0" t="str">
        <f aca="false">INDEX('Reward Model'!$E$18:$E$37,MATCH($E2023,'Reward Model'!$A$18:$A$37,0))</f>
        <v>Low</v>
      </c>
      <c r="Z2023" s="4" t="n">
        <f aca="false">ROUND(MIN(1,MAX('Reward Model'!$B$2,INDEX('Reward Model'!$C$12:$C$14,MATCH($K2023,'Reward Model'!$A$12:$A$14,0))/$J2023)),3)</f>
        <v>0.82</v>
      </c>
      <c r="AA2023" s="2" t="n">
        <f aca="false">IF($I2023="Correct",ROUND(INDEX('Reward Model'!$B$12:$B$14,MATCH($K2023,'Reward Model'!$A$12:$A$14,0))*Z2023,2),0)</f>
        <v>0.82</v>
      </c>
      <c r="AB2023" s="2" t="n">
        <f aca="false">IF($I2023="Correct",ROUND(INDEX('Reward Model'!$B$12:$B$14,MATCH($Y2023,'Reward Model'!$A$12:$A$14,0))*Z2023,2),0)</f>
        <v>0.82</v>
      </c>
    </row>
    <row r="2024" customFormat="false" ht="15" hidden="false" customHeight="false" outlineLevel="0" collapsed="false">
      <c r="A2024" s="0" t="s">
        <v>333</v>
      </c>
      <c r="B2024" s="0" t="s">
        <v>334</v>
      </c>
      <c r="C2024" s="0" t="s">
        <v>322</v>
      </c>
      <c r="D2024" s="0" t="s">
        <v>31</v>
      </c>
      <c r="E2024" s="0" t="n">
        <v>3</v>
      </c>
      <c r="F2024" s="0" t="s">
        <v>40</v>
      </c>
      <c r="G2024" s="0" t="s">
        <v>42</v>
      </c>
      <c r="H2024" s="0" t="s">
        <v>42</v>
      </c>
      <c r="I2024" s="0" t="s">
        <v>34</v>
      </c>
      <c r="J2024" s="0" t="n">
        <v>1.96</v>
      </c>
      <c r="K2024" s="0" t="s">
        <v>35</v>
      </c>
      <c r="L2024" s="0" t="n">
        <f aca="false">INDEX(Summary!$F$2:$F$201,MATCH($B2024,Summary!$A$2:$A$201,0))</f>
        <v>20</v>
      </c>
      <c r="M2024" s="0" t="n">
        <f aca="false">INDEX(Summary!$I$2:$I$201,MATCH($B2024,Summary!$A$2:$A$201,0))</f>
        <v>4</v>
      </c>
      <c r="N2024" s="0" t="n">
        <f aca="false">INDEX(Summary!$J$2:$J$201,MATCH($B2024,Summary!$A$2:$A$201,0))</f>
        <v>1</v>
      </c>
      <c r="O2024" s="2" t="n">
        <f aca="false">INDEX(Summary!$K$2:$K$201,MATCH($B2024,Summary!$A$2:$A$201,0))</f>
        <v>8.87</v>
      </c>
      <c r="P2024" s="3" t="n">
        <f aca="false">INDEX(Summary!$L$2:$L$201,MATCH($B2024,Summary!$A$2:$A$201,0))</f>
        <v>4</v>
      </c>
      <c r="Q2024" s="3" t="n">
        <f aca="false">INDEX(Summary!$M$2:$M$201,MATCH($B2024,Summary!$A$2:$A$201,0))</f>
        <v>2</v>
      </c>
      <c r="R2024" s="2" t="n">
        <f aca="false">INDEX(Summary!$N$2:$N$201,MATCH($B2024,Summary!$A$2:$A$201,0))</f>
        <v>10.12</v>
      </c>
      <c r="S2024" s="3" t="n">
        <f aca="false">INDEX(Summary!$O$2:$O$201,MATCH($B2024,Summary!$A$2:$A$201,0))</f>
        <v>7</v>
      </c>
      <c r="T2024" s="3" t="n">
        <f aca="false">INDEX(Summary!$P$2:$P$201,MATCH($B2024,Summary!$A$2:$A$201,0))</f>
        <v>2</v>
      </c>
      <c r="U2024" s="2" t="n">
        <f aca="false">INDEX(Summary!$Q$2:$Q$201,MATCH($B2024,Summary!$A$2:$A$201,0))</f>
        <v>13.66</v>
      </c>
      <c r="V2024" s="2" t="n">
        <f aca="false">INDEX(Summary!$R$2:$R$201,MATCH($B2024,Summary!$A$2:$A$201,0))</f>
        <v>28.41</v>
      </c>
      <c r="W2024" s="0" t="str">
        <f aca="false">INDEX(Summary!$S$2:$S$201,MATCH($B2024,Summary!$A$2:$A$201,0))</f>
        <v>Silver</v>
      </c>
      <c r="X2024" s="2" t="n">
        <f aca="false">INDEX(Summary!$T$2:$T$201,MATCH($B2024,Summary!$A$2:$A$201,0))</f>
        <v>69.29</v>
      </c>
      <c r="Y2024" s="0" t="str">
        <f aca="false">INDEX('Reward Model'!$E$18:$E$37,MATCH($E2024,'Reward Model'!$A$18:$A$37,0))</f>
        <v>Medium</v>
      </c>
      <c r="Z2024" s="4" t="n">
        <f aca="false">ROUND(MIN(1,MAX('Reward Model'!$B$2,INDEX('Reward Model'!$C$12:$C$14,MATCH($K2024,'Reward Model'!$A$12:$A$14,0))/$J2024)),3)</f>
        <v>0.765</v>
      </c>
      <c r="AA2024" s="2" t="n">
        <f aca="false">IF($I2024="Correct",ROUND(INDEX('Reward Model'!$B$12:$B$14,MATCH($K2024,'Reward Model'!$A$12:$A$14,0))*Z2024,2),0)</f>
        <v>0.77</v>
      </c>
      <c r="AB2024" s="2" t="n">
        <f aca="false">IF($I2024="Correct",ROUND(INDEX('Reward Model'!$B$12:$B$14,MATCH($Y2024,'Reward Model'!$A$12:$A$14,0))*Z2024,2),0)</f>
        <v>1.53</v>
      </c>
    </row>
    <row r="2025" customFormat="false" ht="15" hidden="false" customHeight="false" outlineLevel="0" collapsed="false">
      <c r="A2025" s="0" t="s">
        <v>333</v>
      </c>
      <c r="B2025" s="0" t="s">
        <v>334</v>
      </c>
      <c r="C2025" s="0" t="s">
        <v>322</v>
      </c>
      <c r="D2025" s="0" t="s">
        <v>31</v>
      </c>
      <c r="E2025" s="0" t="n">
        <v>4</v>
      </c>
      <c r="F2025" s="0" t="s">
        <v>43</v>
      </c>
      <c r="G2025" s="0" t="s">
        <v>45</v>
      </c>
      <c r="H2025" s="0" t="s">
        <v>45</v>
      </c>
      <c r="I2025" s="0" t="s">
        <v>34</v>
      </c>
      <c r="J2025" s="0" t="n">
        <v>1.35</v>
      </c>
      <c r="K2025" s="0" t="s">
        <v>35</v>
      </c>
      <c r="L2025" s="0" t="n">
        <f aca="false">INDEX(Summary!$F$2:$F$201,MATCH($B2025,Summary!$A$2:$A$201,0))</f>
        <v>20</v>
      </c>
      <c r="M2025" s="0" t="n">
        <f aca="false">INDEX(Summary!$I$2:$I$201,MATCH($B2025,Summary!$A$2:$A$201,0))</f>
        <v>4</v>
      </c>
      <c r="N2025" s="0" t="n">
        <f aca="false">INDEX(Summary!$J$2:$J$201,MATCH($B2025,Summary!$A$2:$A$201,0))</f>
        <v>1</v>
      </c>
      <c r="O2025" s="2" t="n">
        <f aca="false">INDEX(Summary!$K$2:$K$201,MATCH($B2025,Summary!$A$2:$A$201,0))</f>
        <v>8.87</v>
      </c>
      <c r="P2025" s="3" t="n">
        <f aca="false">INDEX(Summary!$L$2:$L$201,MATCH($B2025,Summary!$A$2:$A$201,0))</f>
        <v>4</v>
      </c>
      <c r="Q2025" s="3" t="n">
        <f aca="false">INDEX(Summary!$M$2:$M$201,MATCH($B2025,Summary!$A$2:$A$201,0))</f>
        <v>2</v>
      </c>
      <c r="R2025" s="2" t="n">
        <f aca="false">INDEX(Summary!$N$2:$N$201,MATCH($B2025,Summary!$A$2:$A$201,0))</f>
        <v>10.12</v>
      </c>
      <c r="S2025" s="3" t="n">
        <f aca="false">INDEX(Summary!$O$2:$O$201,MATCH($B2025,Summary!$A$2:$A$201,0))</f>
        <v>7</v>
      </c>
      <c r="T2025" s="3" t="n">
        <f aca="false">INDEX(Summary!$P$2:$P$201,MATCH($B2025,Summary!$A$2:$A$201,0))</f>
        <v>2</v>
      </c>
      <c r="U2025" s="2" t="n">
        <f aca="false">INDEX(Summary!$Q$2:$Q$201,MATCH($B2025,Summary!$A$2:$A$201,0))</f>
        <v>13.66</v>
      </c>
      <c r="V2025" s="2" t="n">
        <f aca="false">INDEX(Summary!$R$2:$R$201,MATCH($B2025,Summary!$A$2:$A$201,0))</f>
        <v>28.41</v>
      </c>
      <c r="W2025" s="0" t="str">
        <f aca="false">INDEX(Summary!$S$2:$S$201,MATCH($B2025,Summary!$A$2:$A$201,0))</f>
        <v>Silver</v>
      </c>
      <c r="X2025" s="2" t="n">
        <f aca="false">INDEX(Summary!$T$2:$T$201,MATCH($B2025,Summary!$A$2:$A$201,0))</f>
        <v>69.29</v>
      </c>
      <c r="Y2025" s="0" t="str">
        <f aca="false">INDEX('Reward Model'!$E$18:$E$37,MATCH($E2025,'Reward Model'!$A$18:$A$37,0))</f>
        <v>Low</v>
      </c>
      <c r="Z2025" s="4" t="n">
        <f aca="false">ROUND(MIN(1,MAX('Reward Model'!$B$2,INDEX('Reward Model'!$C$12:$C$14,MATCH($K2025,'Reward Model'!$A$12:$A$14,0))/$J2025)),3)</f>
        <v>1</v>
      </c>
      <c r="AA2025" s="2" t="n">
        <f aca="false">IF($I2025="Correct",ROUND(INDEX('Reward Model'!$B$12:$B$14,MATCH($K2025,'Reward Model'!$A$12:$A$14,0))*Z2025,2),0)</f>
        <v>1</v>
      </c>
      <c r="AB2025" s="2" t="n">
        <f aca="false">IF($I2025="Correct",ROUND(INDEX('Reward Model'!$B$12:$B$14,MATCH($Y2025,'Reward Model'!$A$12:$A$14,0))*Z2025,2),0)</f>
        <v>1</v>
      </c>
    </row>
    <row r="2026" customFormat="false" ht="15" hidden="false" customHeight="false" outlineLevel="0" collapsed="false">
      <c r="A2026" s="0" t="s">
        <v>333</v>
      </c>
      <c r="B2026" s="0" t="s">
        <v>334</v>
      </c>
      <c r="C2026" s="0" t="s">
        <v>322</v>
      </c>
      <c r="D2026" s="0" t="s">
        <v>31</v>
      </c>
      <c r="E2026" s="0" t="n">
        <v>5</v>
      </c>
      <c r="F2026" s="0" t="s">
        <v>46</v>
      </c>
      <c r="G2026" s="0" t="s">
        <v>47</v>
      </c>
      <c r="H2026" s="0" t="s">
        <v>47</v>
      </c>
      <c r="I2026" s="0" t="s">
        <v>34</v>
      </c>
      <c r="J2026" s="0" t="n">
        <v>1.42</v>
      </c>
      <c r="K2026" s="0" t="s">
        <v>35</v>
      </c>
      <c r="L2026" s="0" t="n">
        <f aca="false">INDEX(Summary!$F$2:$F$201,MATCH($B2026,Summary!$A$2:$A$201,0))</f>
        <v>20</v>
      </c>
      <c r="M2026" s="0" t="n">
        <f aca="false">INDEX(Summary!$I$2:$I$201,MATCH($B2026,Summary!$A$2:$A$201,0))</f>
        <v>4</v>
      </c>
      <c r="N2026" s="0" t="n">
        <f aca="false">INDEX(Summary!$J$2:$J$201,MATCH($B2026,Summary!$A$2:$A$201,0))</f>
        <v>1</v>
      </c>
      <c r="O2026" s="2" t="n">
        <f aca="false">INDEX(Summary!$K$2:$K$201,MATCH($B2026,Summary!$A$2:$A$201,0))</f>
        <v>8.87</v>
      </c>
      <c r="P2026" s="3" t="n">
        <f aca="false">INDEX(Summary!$L$2:$L$201,MATCH($B2026,Summary!$A$2:$A$201,0))</f>
        <v>4</v>
      </c>
      <c r="Q2026" s="3" t="n">
        <f aca="false">INDEX(Summary!$M$2:$M$201,MATCH($B2026,Summary!$A$2:$A$201,0))</f>
        <v>2</v>
      </c>
      <c r="R2026" s="2" t="n">
        <f aca="false">INDEX(Summary!$N$2:$N$201,MATCH($B2026,Summary!$A$2:$A$201,0))</f>
        <v>10.12</v>
      </c>
      <c r="S2026" s="3" t="n">
        <f aca="false">INDEX(Summary!$O$2:$O$201,MATCH($B2026,Summary!$A$2:$A$201,0))</f>
        <v>7</v>
      </c>
      <c r="T2026" s="3" t="n">
        <f aca="false">INDEX(Summary!$P$2:$P$201,MATCH($B2026,Summary!$A$2:$A$201,0))</f>
        <v>2</v>
      </c>
      <c r="U2026" s="2" t="n">
        <f aca="false">INDEX(Summary!$Q$2:$Q$201,MATCH($B2026,Summary!$A$2:$A$201,0))</f>
        <v>13.66</v>
      </c>
      <c r="V2026" s="2" t="n">
        <f aca="false">INDEX(Summary!$R$2:$R$201,MATCH($B2026,Summary!$A$2:$A$201,0))</f>
        <v>28.41</v>
      </c>
      <c r="W2026" s="0" t="str">
        <f aca="false">INDEX(Summary!$S$2:$S$201,MATCH($B2026,Summary!$A$2:$A$201,0))</f>
        <v>Silver</v>
      </c>
      <c r="X2026" s="2" t="n">
        <f aca="false">INDEX(Summary!$T$2:$T$201,MATCH($B2026,Summary!$A$2:$A$201,0))</f>
        <v>69.29</v>
      </c>
      <c r="Y2026" s="0" t="str">
        <f aca="false">INDEX('Reward Model'!$E$18:$E$37,MATCH($E2026,'Reward Model'!$A$18:$A$37,0))</f>
        <v>Low</v>
      </c>
      <c r="Z2026" s="4" t="n">
        <f aca="false">ROUND(MIN(1,MAX('Reward Model'!$B$2,INDEX('Reward Model'!$C$12:$C$14,MATCH($K2026,'Reward Model'!$A$12:$A$14,0))/$J2026)),3)</f>
        <v>1</v>
      </c>
      <c r="AA2026" s="2" t="n">
        <f aca="false">IF($I2026="Correct",ROUND(INDEX('Reward Model'!$B$12:$B$14,MATCH($K2026,'Reward Model'!$A$12:$A$14,0))*Z2026,2),0)</f>
        <v>1</v>
      </c>
      <c r="AB2026" s="2" t="n">
        <f aca="false">IF($I2026="Correct",ROUND(INDEX('Reward Model'!$B$12:$B$14,MATCH($Y2026,'Reward Model'!$A$12:$A$14,0))*Z2026,2),0)</f>
        <v>1</v>
      </c>
    </row>
    <row r="2027" customFormat="false" ht="15" hidden="false" customHeight="false" outlineLevel="0" collapsed="false">
      <c r="A2027" s="0" t="s">
        <v>333</v>
      </c>
      <c r="B2027" s="0" t="s">
        <v>334</v>
      </c>
      <c r="C2027" s="0" t="s">
        <v>322</v>
      </c>
      <c r="D2027" s="0" t="s">
        <v>31</v>
      </c>
      <c r="E2027" s="0" t="n">
        <v>6</v>
      </c>
      <c r="F2027" s="0" t="s">
        <v>48</v>
      </c>
      <c r="G2027" s="0" t="s">
        <v>143</v>
      </c>
      <c r="H2027" s="0" t="s">
        <v>49</v>
      </c>
      <c r="I2027" s="0" t="s">
        <v>39</v>
      </c>
      <c r="J2027" s="0" t="n">
        <v>0.92</v>
      </c>
      <c r="K2027" s="0" t="s">
        <v>35</v>
      </c>
      <c r="L2027" s="0" t="n">
        <f aca="false">INDEX(Summary!$F$2:$F$201,MATCH($B2027,Summary!$A$2:$A$201,0))</f>
        <v>20</v>
      </c>
      <c r="M2027" s="0" t="n">
        <f aca="false">INDEX(Summary!$I$2:$I$201,MATCH($B2027,Summary!$A$2:$A$201,0))</f>
        <v>4</v>
      </c>
      <c r="N2027" s="0" t="n">
        <f aca="false">INDEX(Summary!$J$2:$J$201,MATCH($B2027,Summary!$A$2:$A$201,0))</f>
        <v>1</v>
      </c>
      <c r="O2027" s="2" t="n">
        <f aca="false">INDEX(Summary!$K$2:$K$201,MATCH($B2027,Summary!$A$2:$A$201,0))</f>
        <v>8.87</v>
      </c>
      <c r="P2027" s="3" t="n">
        <f aca="false">INDEX(Summary!$L$2:$L$201,MATCH($B2027,Summary!$A$2:$A$201,0))</f>
        <v>4</v>
      </c>
      <c r="Q2027" s="3" t="n">
        <f aca="false">INDEX(Summary!$M$2:$M$201,MATCH($B2027,Summary!$A$2:$A$201,0))</f>
        <v>2</v>
      </c>
      <c r="R2027" s="2" t="n">
        <f aca="false">INDEX(Summary!$N$2:$N$201,MATCH($B2027,Summary!$A$2:$A$201,0))</f>
        <v>10.12</v>
      </c>
      <c r="S2027" s="3" t="n">
        <f aca="false">INDEX(Summary!$O$2:$O$201,MATCH($B2027,Summary!$A$2:$A$201,0))</f>
        <v>7</v>
      </c>
      <c r="T2027" s="3" t="n">
        <f aca="false">INDEX(Summary!$P$2:$P$201,MATCH($B2027,Summary!$A$2:$A$201,0))</f>
        <v>2</v>
      </c>
      <c r="U2027" s="2" t="n">
        <f aca="false">INDEX(Summary!$Q$2:$Q$201,MATCH($B2027,Summary!$A$2:$A$201,0))</f>
        <v>13.66</v>
      </c>
      <c r="V2027" s="2" t="n">
        <f aca="false">INDEX(Summary!$R$2:$R$201,MATCH($B2027,Summary!$A$2:$A$201,0))</f>
        <v>28.41</v>
      </c>
      <c r="W2027" s="0" t="str">
        <f aca="false">INDEX(Summary!$S$2:$S$201,MATCH($B2027,Summary!$A$2:$A$201,0))</f>
        <v>Silver</v>
      </c>
      <c r="X2027" s="2" t="n">
        <f aca="false">INDEX(Summary!$T$2:$T$201,MATCH($B2027,Summary!$A$2:$A$201,0))</f>
        <v>69.29</v>
      </c>
      <c r="Y2027" s="0" t="str">
        <f aca="false">INDEX('Reward Model'!$E$18:$E$37,MATCH($E2027,'Reward Model'!$A$18:$A$37,0))</f>
        <v>Medium</v>
      </c>
      <c r="Z2027" s="4" t="n">
        <f aca="false">ROUND(MIN(1,MAX('Reward Model'!$B$2,INDEX('Reward Model'!$C$12:$C$14,MATCH($K2027,'Reward Model'!$A$12:$A$14,0))/$J2027)),3)</f>
        <v>1</v>
      </c>
      <c r="AA2027" s="2" t="n">
        <f aca="false">IF($I2027="Correct",ROUND(INDEX('Reward Model'!$B$12:$B$14,MATCH($K2027,'Reward Model'!$A$12:$A$14,0))*Z2027,2),0)</f>
        <v>0</v>
      </c>
      <c r="AB2027" s="2" t="n">
        <f aca="false">IF($I2027="Correct",ROUND(INDEX('Reward Model'!$B$12:$B$14,MATCH($Y2027,'Reward Model'!$A$12:$A$14,0))*Z2027,2),0)</f>
        <v>0</v>
      </c>
    </row>
    <row r="2028" customFormat="false" ht="15" hidden="false" customHeight="false" outlineLevel="0" collapsed="false">
      <c r="A2028" s="0" t="s">
        <v>333</v>
      </c>
      <c r="B2028" s="0" t="s">
        <v>334</v>
      </c>
      <c r="C2028" s="0" t="s">
        <v>322</v>
      </c>
      <c r="D2028" s="0" t="s">
        <v>31</v>
      </c>
      <c r="E2028" s="0" t="n">
        <v>7</v>
      </c>
      <c r="F2028" s="0" t="s">
        <v>50</v>
      </c>
      <c r="G2028" s="0" t="s">
        <v>51</v>
      </c>
      <c r="H2028" s="0" t="s">
        <v>51</v>
      </c>
      <c r="I2028" s="0" t="s">
        <v>34</v>
      </c>
      <c r="J2028" s="0" t="n">
        <v>1.68</v>
      </c>
      <c r="K2028" s="0" t="s">
        <v>35</v>
      </c>
      <c r="L2028" s="0" t="n">
        <f aca="false">INDEX(Summary!$F$2:$F$201,MATCH($B2028,Summary!$A$2:$A$201,0))</f>
        <v>20</v>
      </c>
      <c r="M2028" s="0" t="n">
        <f aca="false">INDEX(Summary!$I$2:$I$201,MATCH($B2028,Summary!$A$2:$A$201,0))</f>
        <v>4</v>
      </c>
      <c r="N2028" s="0" t="n">
        <f aca="false">INDEX(Summary!$J$2:$J$201,MATCH($B2028,Summary!$A$2:$A$201,0))</f>
        <v>1</v>
      </c>
      <c r="O2028" s="2" t="n">
        <f aca="false">INDEX(Summary!$K$2:$K$201,MATCH($B2028,Summary!$A$2:$A$201,0))</f>
        <v>8.87</v>
      </c>
      <c r="P2028" s="3" t="n">
        <f aca="false">INDEX(Summary!$L$2:$L$201,MATCH($B2028,Summary!$A$2:$A$201,0))</f>
        <v>4</v>
      </c>
      <c r="Q2028" s="3" t="n">
        <f aca="false">INDEX(Summary!$M$2:$M$201,MATCH($B2028,Summary!$A$2:$A$201,0))</f>
        <v>2</v>
      </c>
      <c r="R2028" s="2" t="n">
        <f aca="false">INDEX(Summary!$N$2:$N$201,MATCH($B2028,Summary!$A$2:$A$201,0))</f>
        <v>10.12</v>
      </c>
      <c r="S2028" s="3" t="n">
        <f aca="false">INDEX(Summary!$O$2:$O$201,MATCH($B2028,Summary!$A$2:$A$201,0))</f>
        <v>7</v>
      </c>
      <c r="T2028" s="3" t="n">
        <f aca="false">INDEX(Summary!$P$2:$P$201,MATCH($B2028,Summary!$A$2:$A$201,0))</f>
        <v>2</v>
      </c>
      <c r="U2028" s="2" t="n">
        <f aca="false">INDEX(Summary!$Q$2:$Q$201,MATCH($B2028,Summary!$A$2:$A$201,0))</f>
        <v>13.66</v>
      </c>
      <c r="V2028" s="2" t="n">
        <f aca="false">INDEX(Summary!$R$2:$R$201,MATCH($B2028,Summary!$A$2:$A$201,0))</f>
        <v>28.41</v>
      </c>
      <c r="W2028" s="0" t="str">
        <f aca="false">INDEX(Summary!$S$2:$S$201,MATCH($B2028,Summary!$A$2:$A$201,0))</f>
        <v>Silver</v>
      </c>
      <c r="X2028" s="2" t="n">
        <f aca="false">INDEX(Summary!$T$2:$T$201,MATCH($B2028,Summary!$A$2:$A$201,0))</f>
        <v>69.29</v>
      </c>
      <c r="Y2028" s="0" t="str">
        <f aca="false">INDEX('Reward Model'!$E$18:$E$37,MATCH($E2028,'Reward Model'!$A$18:$A$37,0))</f>
        <v>Low</v>
      </c>
      <c r="Z2028" s="4" t="n">
        <f aca="false">ROUND(MIN(1,MAX('Reward Model'!$B$2,INDEX('Reward Model'!$C$12:$C$14,MATCH($K2028,'Reward Model'!$A$12:$A$14,0))/$J2028)),3)</f>
        <v>0.893</v>
      </c>
      <c r="AA2028" s="2" t="n">
        <f aca="false">IF($I2028="Correct",ROUND(INDEX('Reward Model'!$B$12:$B$14,MATCH($K2028,'Reward Model'!$A$12:$A$14,0))*Z2028,2),0)</f>
        <v>0.89</v>
      </c>
      <c r="AB2028" s="2" t="n">
        <f aca="false">IF($I2028="Correct",ROUND(INDEX('Reward Model'!$B$12:$B$14,MATCH($Y2028,'Reward Model'!$A$12:$A$14,0))*Z2028,2),0)</f>
        <v>0.89</v>
      </c>
    </row>
    <row r="2029" customFormat="false" ht="15" hidden="false" customHeight="false" outlineLevel="0" collapsed="false">
      <c r="A2029" s="0" t="s">
        <v>333</v>
      </c>
      <c r="B2029" s="0" t="s">
        <v>334</v>
      </c>
      <c r="C2029" s="0" t="s">
        <v>322</v>
      </c>
      <c r="D2029" s="0" t="s">
        <v>31</v>
      </c>
      <c r="E2029" s="0" t="n">
        <v>8</v>
      </c>
      <c r="F2029" s="0" t="s">
        <v>52</v>
      </c>
      <c r="G2029" s="0" t="s">
        <v>93</v>
      </c>
      <c r="H2029" s="0" t="s">
        <v>54</v>
      </c>
      <c r="I2029" s="0" t="s">
        <v>39</v>
      </c>
      <c r="J2029" s="0" t="n">
        <v>1.39</v>
      </c>
      <c r="K2029" s="0" t="s">
        <v>35</v>
      </c>
      <c r="L2029" s="0" t="n">
        <f aca="false">INDEX(Summary!$F$2:$F$201,MATCH($B2029,Summary!$A$2:$A$201,0))</f>
        <v>20</v>
      </c>
      <c r="M2029" s="0" t="n">
        <f aca="false">INDEX(Summary!$I$2:$I$201,MATCH($B2029,Summary!$A$2:$A$201,0))</f>
        <v>4</v>
      </c>
      <c r="N2029" s="0" t="n">
        <f aca="false">INDEX(Summary!$J$2:$J$201,MATCH($B2029,Summary!$A$2:$A$201,0))</f>
        <v>1</v>
      </c>
      <c r="O2029" s="2" t="n">
        <f aca="false">INDEX(Summary!$K$2:$K$201,MATCH($B2029,Summary!$A$2:$A$201,0))</f>
        <v>8.87</v>
      </c>
      <c r="P2029" s="3" t="n">
        <f aca="false">INDEX(Summary!$L$2:$L$201,MATCH($B2029,Summary!$A$2:$A$201,0))</f>
        <v>4</v>
      </c>
      <c r="Q2029" s="3" t="n">
        <f aca="false">INDEX(Summary!$M$2:$M$201,MATCH($B2029,Summary!$A$2:$A$201,0))</f>
        <v>2</v>
      </c>
      <c r="R2029" s="2" t="n">
        <f aca="false">INDEX(Summary!$N$2:$N$201,MATCH($B2029,Summary!$A$2:$A$201,0))</f>
        <v>10.12</v>
      </c>
      <c r="S2029" s="3" t="n">
        <f aca="false">INDEX(Summary!$O$2:$O$201,MATCH($B2029,Summary!$A$2:$A$201,0))</f>
        <v>7</v>
      </c>
      <c r="T2029" s="3" t="n">
        <f aca="false">INDEX(Summary!$P$2:$P$201,MATCH($B2029,Summary!$A$2:$A$201,0))</f>
        <v>2</v>
      </c>
      <c r="U2029" s="2" t="n">
        <f aca="false">INDEX(Summary!$Q$2:$Q$201,MATCH($B2029,Summary!$A$2:$A$201,0))</f>
        <v>13.66</v>
      </c>
      <c r="V2029" s="2" t="n">
        <f aca="false">INDEX(Summary!$R$2:$R$201,MATCH($B2029,Summary!$A$2:$A$201,0))</f>
        <v>28.41</v>
      </c>
      <c r="W2029" s="0" t="str">
        <f aca="false">INDEX(Summary!$S$2:$S$201,MATCH($B2029,Summary!$A$2:$A$201,0))</f>
        <v>Silver</v>
      </c>
      <c r="X2029" s="2" t="n">
        <f aca="false">INDEX(Summary!$T$2:$T$201,MATCH($B2029,Summary!$A$2:$A$201,0))</f>
        <v>69.29</v>
      </c>
      <c r="Y2029" s="0" t="str">
        <f aca="false">INDEX('Reward Model'!$E$18:$E$37,MATCH($E2029,'Reward Model'!$A$18:$A$37,0))</f>
        <v>Medium</v>
      </c>
      <c r="Z2029" s="4" t="n">
        <f aca="false">ROUND(MIN(1,MAX('Reward Model'!$B$2,INDEX('Reward Model'!$C$12:$C$14,MATCH($K2029,'Reward Model'!$A$12:$A$14,0))/$J2029)),3)</f>
        <v>1</v>
      </c>
      <c r="AA2029" s="2" t="n">
        <f aca="false">IF($I2029="Correct",ROUND(INDEX('Reward Model'!$B$12:$B$14,MATCH($K2029,'Reward Model'!$A$12:$A$14,0))*Z2029,2),0)</f>
        <v>0</v>
      </c>
      <c r="AB2029" s="2" t="n">
        <f aca="false">IF($I2029="Correct",ROUND(INDEX('Reward Model'!$B$12:$B$14,MATCH($Y2029,'Reward Model'!$A$12:$A$14,0))*Z2029,2),0)</f>
        <v>0</v>
      </c>
    </row>
    <row r="2030" customFormat="false" ht="15" hidden="false" customHeight="false" outlineLevel="0" collapsed="false">
      <c r="A2030" s="0" t="s">
        <v>333</v>
      </c>
      <c r="B2030" s="0" t="s">
        <v>334</v>
      </c>
      <c r="C2030" s="0" t="s">
        <v>322</v>
      </c>
      <c r="D2030" s="0" t="s">
        <v>31</v>
      </c>
      <c r="E2030" s="0" t="n">
        <v>9</v>
      </c>
      <c r="F2030" s="0" t="s">
        <v>55</v>
      </c>
      <c r="G2030" s="0" t="s">
        <v>57</v>
      </c>
      <c r="H2030" s="0" t="s">
        <v>57</v>
      </c>
      <c r="I2030" s="0" t="s">
        <v>34</v>
      </c>
      <c r="J2030" s="0" t="n">
        <v>1.55</v>
      </c>
      <c r="K2030" s="0" t="s">
        <v>35</v>
      </c>
      <c r="L2030" s="0" t="n">
        <f aca="false">INDEX(Summary!$F$2:$F$201,MATCH($B2030,Summary!$A$2:$A$201,0))</f>
        <v>20</v>
      </c>
      <c r="M2030" s="0" t="n">
        <f aca="false">INDEX(Summary!$I$2:$I$201,MATCH($B2030,Summary!$A$2:$A$201,0))</f>
        <v>4</v>
      </c>
      <c r="N2030" s="0" t="n">
        <f aca="false">INDEX(Summary!$J$2:$J$201,MATCH($B2030,Summary!$A$2:$A$201,0))</f>
        <v>1</v>
      </c>
      <c r="O2030" s="2" t="n">
        <f aca="false">INDEX(Summary!$K$2:$K$201,MATCH($B2030,Summary!$A$2:$A$201,0))</f>
        <v>8.87</v>
      </c>
      <c r="P2030" s="3" t="n">
        <f aca="false">INDEX(Summary!$L$2:$L$201,MATCH($B2030,Summary!$A$2:$A$201,0))</f>
        <v>4</v>
      </c>
      <c r="Q2030" s="3" t="n">
        <f aca="false">INDEX(Summary!$M$2:$M$201,MATCH($B2030,Summary!$A$2:$A$201,0))</f>
        <v>2</v>
      </c>
      <c r="R2030" s="2" t="n">
        <f aca="false">INDEX(Summary!$N$2:$N$201,MATCH($B2030,Summary!$A$2:$A$201,0))</f>
        <v>10.12</v>
      </c>
      <c r="S2030" s="3" t="n">
        <f aca="false">INDEX(Summary!$O$2:$O$201,MATCH($B2030,Summary!$A$2:$A$201,0))</f>
        <v>7</v>
      </c>
      <c r="T2030" s="3" t="n">
        <f aca="false">INDEX(Summary!$P$2:$P$201,MATCH($B2030,Summary!$A$2:$A$201,0))</f>
        <v>2</v>
      </c>
      <c r="U2030" s="2" t="n">
        <f aca="false">INDEX(Summary!$Q$2:$Q$201,MATCH($B2030,Summary!$A$2:$A$201,0))</f>
        <v>13.66</v>
      </c>
      <c r="V2030" s="2" t="n">
        <f aca="false">INDEX(Summary!$R$2:$R$201,MATCH($B2030,Summary!$A$2:$A$201,0))</f>
        <v>28.41</v>
      </c>
      <c r="W2030" s="0" t="str">
        <f aca="false">INDEX(Summary!$S$2:$S$201,MATCH($B2030,Summary!$A$2:$A$201,0))</f>
        <v>Silver</v>
      </c>
      <c r="X2030" s="2" t="n">
        <f aca="false">INDEX(Summary!$T$2:$T$201,MATCH($B2030,Summary!$A$2:$A$201,0))</f>
        <v>69.29</v>
      </c>
      <c r="Y2030" s="0" t="str">
        <f aca="false">INDEX('Reward Model'!$E$18:$E$37,MATCH($E2030,'Reward Model'!$A$18:$A$37,0))</f>
        <v>Medium</v>
      </c>
      <c r="Z2030" s="4" t="n">
        <f aca="false">ROUND(MIN(1,MAX('Reward Model'!$B$2,INDEX('Reward Model'!$C$12:$C$14,MATCH($K2030,'Reward Model'!$A$12:$A$14,0))/$J2030)),3)</f>
        <v>0.968</v>
      </c>
      <c r="AA2030" s="2" t="n">
        <f aca="false">IF($I2030="Correct",ROUND(INDEX('Reward Model'!$B$12:$B$14,MATCH($K2030,'Reward Model'!$A$12:$A$14,0))*Z2030,2),0)</f>
        <v>0.97</v>
      </c>
      <c r="AB2030" s="2" t="n">
        <f aca="false">IF($I2030="Correct",ROUND(INDEX('Reward Model'!$B$12:$B$14,MATCH($Y2030,'Reward Model'!$A$12:$A$14,0))*Z2030,2),0)</f>
        <v>1.94</v>
      </c>
    </row>
    <row r="2031" customFormat="false" ht="15" hidden="false" customHeight="false" outlineLevel="0" collapsed="false">
      <c r="A2031" s="0" t="s">
        <v>333</v>
      </c>
      <c r="B2031" s="0" t="s">
        <v>334</v>
      </c>
      <c r="C2031" s="0" t="s">
        <v>322</v>
      </c>
      <c r="D2031" s="0" t="s">
        <v>31</v>
      </c>
      <c r="E2031" s="0" t="n">
        <v>10</v>
      </c>
      <c r="F2031" s="0" t="s">
        <v>58</v>
      </c>
      <c r="G2031" s="0" t="s">
        <v>59</v>
      </c>
      <c r="H2031" s="0" t="s">
        <v>59</v>
      </c>
      <c r="I2031" s="0" t="s">
        <v>34</v>
      </c>
      <c r="J2031" s="0" t="n">
        <v>1.21</v>
      </c>
      <c r="K2031" s="0" t="s">
        <v>60</v>
      </c>
      <c r="L2031" s="0" t="n">
        <f aca="false">INDEX(Summary!$F$2:$F$201,MATCH($B2031,Summary!$A$2:$A$201,0))</f>
        <v>20</v>
      </c>
      <c r="M2031" s="0" t="n">
        <f aca="false">INDEX(Summary!$I$2:$I$201,MATCH($B2031,Summary!$A$2:$A$201,0))</f>
        <v>4</v>
      </c>
      <c r="N2031" s="0" t="n">
        <f aca="false">INDEX(Summary!$J$2:$J$201,MATCH($B2031,Summary!$A$2:$A$201,0))</f>
        <v>1</v>
      </c>
      <c r="O2031" s="2" t="n">
        <f aca="false">INDEX(Summary!$K$2:$K$201,MATCH($B2031,Summary!$A$2:$A$201,0))</f>
        <v>8.87</v>
      </c>
      <c r="P2031" s="3" t="n">
        <f aca="false">INDEX(Summary!$L$2:$L$201,MATCH($B2031,Summary!$A$2:$A$201,0))</f>
        <v>4</v>
      </c>
      <c r="Q2031" s="3" t="n">
        <f aca="false">INDEX(Summary!$M$2:$M$201,MATCH($B2031,Summary!$A$2:$A$201,0))</f>
        <v>2</v>
      </c>
      <c r="R2031" s="2" t="n">
        <f aca="false">INDEX(Summary!$N$2:$N$201,MATCH($B2031,Summary!$A$2:$A$201,0))</f>
        <v>10.12</v>
      </c>
      <c r="S2031" s="3" t="n">
        <f aca="false">INDEX(Summary!$O$2:$O$201,MATCH($B2031,Summary!$A$2:$A$201,0))</f>
        <v>7</v>
      </c>
      <c r="T2031" s="3" t="n">
        <f aca="false">INDEX(Summary!$P$2:$P$201,MATCH($B2031,Summary!$A$2:$A$201,0))</f>
        <v>2</v>
      </c>
      <c r="U2031" s="2" t="n">
        <f aca="false">INDEX(Summary!$Q$2:$Q$201,MATCH($B2031,Summary!$A$2:$A$201,0))</f>
        <v>13.66</v>
      </c>
      <c r="V2031" s="2" t="n">
        <f aca="false">INDEX(Summary!$R$2:$R$201,MATCH($B2031,Summary!$A$2:$A$201,0))</f>
        <v>28.41</v>
      </c>
      <c r="W2031" s="0" t="str">
        <f aca="false">INDEX(Summary!$S$2:$S$201,MATCH($B2031,Summary!$A$2:$A$201,0))</f>
        <v>Silver</v>
      </c>
      <c r="X2031" s="2" t="n">
        <f aca="false">INDEX(Summary!$T$2:$T$201,MATCH($B2031,Summary!$A$2:$A$201,0))</f>
        <v>69.29</v>
      </c>
      <c r="Y2031" s="0" t="str">
        <f aca="false">INDEX('Reward Model'!$E$18:$E$37,MATCH($E2031,'Reward Model'!$A$18:$A$37,0))</f>
        <v>Medium</v>
      </c>
      <c r="Z2031" s="4" t="n">
        <f aca="false">ROUND(MIN(1,MAX('Reward Model'!$B$2,INDEX('Reward Model'!$C$12:$C$14,MATCH($K2031,'Reward Model'!$A$12:$A$14,0))/$J2031)),3)</f>
        <v>1</v>
      </c>
      <c r="AA2031" s="2" t="n">
        <f aca="false">IF($I2031="Correct",ROUND(INDEX('Reward Model'!$B$12:$B$14,MATCH($K2031,'Reward Model'!$A$12:$A$14,0))*Z2031,2),0)</f>
        <v>2</v>
      </c>
      <c r="AB2031" s="2" t="n">
        <f aca="false">IF($I2031="Correct",ROUND(INDEX('Reward Model'!$B$12:$B$14,MATCH($Y2031,'Reward Model'!$A$12:$A$14,0))*Z2031,2),0)</f>
        <v>2</v>
      </c>
    </row>
    <row r="2032" customFormat="false" ht="15" hidden="false" customHeight="false" outlineLevel="0" collapsed="false">
      <c r="A2032" s="0" t="s">
        <v>333</v>
      </c>
      <c r="B2032" s="0" t="s">
        <v>334</v>
      </c>
      <c r="C2032" s="0" t="s">
        <v>322</v>
      </c>
      <c r="D2032" s="0" t="s">
        <v>31</v>
      </c>
      <c r="E2032" s="0" t="n">
        <v>11</v>
      </c>
      <c r="F2032" s="0" t="s">
        <v>61</v>
      </c>
      <c r="G2032" s="0" t="s">
        <v>62</v>
      </c>
      <c r="H2032" s="0" t="s">
        <v>63</v>
      </c>
      <c r="I2032" s="0" t="s">
        <v>39</v>
      </c>
      <c r="J2032" s="0" t="n">
        <v>1.22</v>
      </c>
      <c r="K2032" s="0" t="s">
        <v>60</v>
      </c>
      <c r="L2032" s="0" t="n">
        <f aca="false">INDEX(Summary!$F$2:$F$201,MATCH($B2032,Summary!$A$2:$A$201,0))</f>
        <v>20</v>
      </c>
      <c r="M2032" s="0" t="n">
        <f aca="false">INDEX(Summary!$I$2:$I$201,MATCH($B2032,Summary!$A$2:$A$201,0))</f>
        <v>4</v>
      </c>
      <c r="N2032" s="0" t="n">
        <f aca="false">INDEX(Summary!$J$2:$J$201,MATCH($B2032,Summary!$A$2:$A$201,0))</f>
        <v>1</v>
      </c>
      <c r="O2032" s="2" t="n">
        <f aca="false">INDEX(Summary!$K$2:$K$201,MATCH($B2032,Summary!$A$2:$A$201,0))</f>
        <v>8.87</v>
      </c>
      <c r="P2032" s="3" t="n">
        <f aca="false">INDEX(Summary!$L$2:$L$201,MATCH($B2032,Summary!$A$2:$A$201,0))</f>
        <v>4</v>
      </c>
      <c r="Q2032" s="3" t="n">
        <f aca="false">INDEX(Summary!$M$2:$M$201,MATCH($B2032,Summary!$A$2:$A$201,0))</f>
        <v>2</v>
      </c>
      <c r="R2032" s="2" t="n">
        <f aca="false">INDEX(Summary!$N$2:$N$201,MATCH($B2032,Summary!$A$2:$A$201,0))</f>
        <v>10.12</v>
      </c>
      <c r="S2032" s="3" t="n">
        <f aca="false">INDEX(Summary!$O$2:$O$201,MATCH($B2032,Summary!$A$2:$A$201,0))</f>
        <v>7</v>
      </c>
      <c r="T2032" s="3" t="n">
        <f aca="false">INDEX(Summary!$P$2:$P$201,MATCH($B2032,Summary!$A$2:$A$201,0))</f>
        <v>2</v>
      </c>
      <c r="U2032" s="2" t="n">
        <f aca="false">INDEX(Summary!$Q$2:$Q$201,MATCH($B2032,Summary!$A$2:$A$201,0))</f>
        <v>13.66</v>
      </c>
      <c r="V2032" s="2" t="n">
        <f aca="false">INDEX(Summary!$R$2:$R$201,MATCH($B2032,Summary!$A$2:$A$201,0))</f>
        <v>28.41</v>
      </c>
      <c r="W2032" s="0" t="str">
        <f aca="false">INDEX(Summary!$S$2:$S$201,MATCH($B2032,Summary!$A$2:$A$201,0))</f>
        <v>Silver</v>
      </c>
      <c r="X2032" s="2" t="n">
        <f aca="false">INDEX(Summary!$T$2:$T$201,MATCH($B2032,Summary!$A$2:$A$201,0))</f>
        <v>69.29</v>
      </c>
      <c r="Y2032" s="0" t="str">
        <f aca="false">INDEX('Reward Model'!$E$18:$E$37,MATCH($E2032,'Reward Model'!$A$18:$A$37,0))</f>
        <v>Medium</v>
      </c>
      <c r="Z2032" s="4" t="n">
        <f aca="false">ROUND(MIN(1,MAX('Reward Model'!$B$2,INDEX('Reward Model'!$C$12:$C$14,MATCH($K2032,'Reward Model'!$A$12:$A$14,0))/$J2032)),3)</f>
        <v>1</v>
      </c>
      <c r="AA2032" s="2" t="n">
        <f aca="false">IF($I2032="Correct",ROUND(INDEX('Reward Model'!$B$12:$B$14,MATCH($K2032,'Reward Model'!$A$12:$A$14,0))*Z2032,2),0)</f>
        <v>0</v>
      </c>
      <c r="AB2032" s="2" t="n">
        <f aca="false">IF($I2032="Correct",ROUND(INDEX('Reward Model'!$B$12:$B$14,MATCH($Y2032,'Reward Model'!$A$12:$A$14,0))*Z2032,2),0)</f>
        <v>0</v>
      </c>
    </row>
    <row r="2033" customFormat="false" ht="15" hidden="false" customHeight="false" outlineLevel="0" collapsed="false">
      <c r="A2033" s="0" t="s">
        <v>333</v>
      </c>
      <c r="B2033" s="0" t="s">
        <v>334</v>
      </c>
      <c r="C2033" s="0" t="s">
        <v>322</v>
      </c>
      <c r="D2033" s="0" t="s">
        <v>31</v>
      </c>
      <c r="E2033" s="0" t="n">
        <v>12</v>
      </c>
      <c r="F2033" s="0" t="s">
        <v>64</v>
      </c>
      <c r="G2033" s="0" t="s">
        <v>127</v>
      </c>
      <c r="H2033" s="0" t="s">
        <v>65</v>
      </c>
      <c r="I2033" s="0" t="s">
        <v>39</v>
      </c>
      <c r="J2033" s="0" t="n">
        <v>2.21</v>
      </c>
      <c r="K2033" s="0" t="s">
        <v>60</v>
      </c>
      <c r="L2033" s="0" t="n">
        <f aca="false">INDEX(Summary!$F$2:$F$201,MATCH($B2033,Summary!$A$2:$A$201,0))</f>
        <v>20</v>
      </c>
      <c r="M2033" s="0" t="n">
        <f aca="false">INDEX(Summary!$I$2:$I$201,MATCH($B2033,Summary!$A$2:$A$201,0))</f>
        <v>4</v>
      </c>
      <c r="N2033" s="0" t="n">
        <f aca="false">INDEX(Summary!$J$2:$J$201,MATCH($B2033,Summary!$A$2:$A$201,0))</f>
        <v>1</v>
      </c>
      <c r="O2033" s="2" t="n">
        <f aca="false">INDEX(Summary!$K$2:$K$201,MATCH($B2033,Summary!$A$2:$A$201,0))</f>
        <v>8.87</v>
      </c>
      <c r="P2033" s="3" t="n">
        <f aca="false">INDEX(Summary!$L$2:$L$201,MATCH($B2033,Summary!$A$2:$A$201,0))</f>
        <v>4</v>
      </c>
      <c r="Q2033" s="3" t="n">
        <f aca="false">INDEX(Summary!$M$2:$M$201,MATCH($B2033,Summary!$A$2:$A$201,0))</f>
        <v>2</v>
      </c>
      <c r="R2033" s="2" t="n">
        <f aca="false">INDEX(Summary!$N$2:$N$201,MATCH($B2033,Summary!$A$2:$A$201,0))</f>
        <v>10.12</v>
      </c>
      <c r="S2033" s="3" t="n">
        <f aca="false">INDEX(Summary!$O$2:$O$201,MATCH($B2033,Summary!$A$2:$A$201,0))</f>
        <v>7</v>
      </c>
      <c r="T2033" s="3" t="n">
        <f aca="false">INDEX(Summary!$P$2:$P$201,MATCH($B2033,Summary!$A$2:$A$201,0))</f>
        <v>2</v>
      </c>
      <c r="U2033" s="2" t="n">
        <f aca="false">INDEX(Summary!$Q$2:$Q$201,MATCH($B2033,Summary!$A$2:$A$201,0))</f>
        <v>13.66</v>
      </c>
      <c r="V2033" s="2" t="n">
        <f aca="false">INDEX(Summary!$R$2:$R$201,MATCH($B2033,Summary!$A$2:$A$201,0))</f>
        <v>28.41</v>
      </c>
      <c r="W2033" s="0" t="str">
        <f aca="false">INDEX(Summary!$S$2:$S$201,MATCH($B2033,Summary!$A$2:$A$201,0))</f>
        <v>Silver</v>
      </c>
      <c r="X2033" s="2" t="n">
        <f aca="false">INDEX(Summary!$T$2:$T$201,MATCH($B2033,Summary!$A$2:$A$201,0))</f>
        <v>69.29</v>
      </c>
      <c r="Y2033" s="0" t="str">
        <f aca="false">INDEX('Reward Model'!$E$18:$E$37,MATCH($E2033,'Reward Model'!$A$18:$A$37,0))</f>
        <v>Medium</v>
      </c>
      <c r="Z2033" s="4" t="n">
        <f aca="false">ROUND(MIN(1,MAX('Reward Model'!$B$2,INDEX('Reward Model'!$C$12:$C$14,MATCH($K2033,'Reward Model'!$A$12:$A$14,0))/$J2033)),3)</f>
        <v>0.814</v>
      </c>
      <c r="AA2033" s="2" t="n">
        <f aca="false">IF($I2033="Correct",ROUND(INDEX('Reward Model'!$B$12:$B$14,MATCH($K2033,'Reward Model'!$A$12:$A$14,0))*Z2033,2),0)</f>
        <v>0</v>
      </c>
      <c r="AB2033" s="2" t="n">
        <f aca="false">IF($I2033="Correct",ROUND(INDEX('Reward Model'!$B$12:$B$14,MATCH($Y2033,'Reward Model'!$A$12:$A$14,0))*Z2033,2),0)</f>
        <v>0</v>
      </c>
    </row>
    <row r="2034" customFormat="false" ht="15" hidden="false" customHeight="false" outlineLevel="0" collapsed="false">
      <c r="A2034" s="0" t="s">
        <v>333</v>
      </c>
      <c r="B2034" s="0" t="s">
        <v>334</v>
      </c>
      <c r="C2034" s="0" t="s">
        <v>322</v>
      </c>
      <c r="D2034" s="0" t="s">
        <v>31</v>
      </c>
      <c r="E2034" s="0" t="n">
        <v>13</v>
      </c>
      <c r="F2034" s="0" t="s">
        <v>66</v>
      </c>
      <c r="G2034" s="0" t="s">
        <v>67</v>
      </c>
      <c r="H2034" s="0" t="s">
        <v>67</v>
      </c>
      <c r="I2034" s="0" t="s">
        <v>34</v>
      </c>
      <c r="J2034" s="0" t="n">
        <v>1.99</v>
      </c>
      <c r="K2034" s="0" t="s">
        <v>60</v>
      </c>
      <c r="L2034" s="0" t="n">
        <f aca="false">INDEX(Summary!$F$2:$F$201,MATCH($B2034,Summary!$A$2:$A$201,0))</f>
        <v>20</v>
      </c>
      <c r="M2034" s="0" t="n">
        <f aca="false">INDEX(Summary!$I$2:$I$201,MATCH($B2034,Summary!$A$2:$A$201,0))</f>
        <v>4</v>
      </c>
      <c r="N2034" s="0" t="n">
        <f aca="false">INDEX(Summary!$J$2:$J$201,MATCH($B2034,Summary!$A$2:$A$201,0))</f>
        <v>1</v>
      </c>
      <c r="O2034" s="2" t="n">
        <f aca="false">INDEX(Summary!$K$2:$K$201,MATCH($B2034,Summary!$A$2:$A$201,0))</f>
        <v>8.87</v>
      </c>
      <c r="P2034" s="3" t="n">
        <f aca="false">INDEX(Summary!$L$2:$L$201,MATCH($B2034,Summary!$A$2:$A$201,0))</f>
        <v>4</v>
      </c>
      <c r="Q2034" s="3" t="n">
        <f aca="false">INDEX(Summary!$M$2:$M$201,MATCH($B2034,Summary!$A$2:$A$201,0))</f>
        <v>2</v>
      </c>
      <c r="R2034" s="2" t="n">
        <f aca="false">INDEX(Summary!$N$2:$N$201,MATCH($B2034,Summary!$A$2:$A$201,0))</f>
        <v>10.12</v>
      </c>
      <c r="S2034" s="3" t="n">
        <f aca="false">INDEX(Summary!$O$2:$O$201,MATCH($B2034,Summary!$A$2:$A$201,0))</f>
        <v>7</v>
      </c>
      <c r="T2034" s="3" t="n">
        <f aca="false">INDEX(Summary!$P$2:$P$201,MATCH($B2034,Summary!$A$2:$A$201,0))</f>
        <v>2</v>
      </c>
      <c r="U2034" s="2" t="n">
        <f aca="false">INDEX(Summary!$Q$2:$Q$201,MATCH($B2034,Summary!$A$2:$A$201,0))</f>
        <v>13.66</v>
      </c>
      <c r="V2034" s="2" t="n">
        <f aca="false">INDEX(Summary!$R$2:$R$201,MATCH($B2034,Summary!$A$2:$A$201,0))</f>
        <v>28.41</v>
      </c>
      <c r="W2034" s="0" t="str">
        <f aca="false">INDEX(Summary!$S$2:$S$201,MATCH($B2034,Summary!$A$2:$A$201,0))</f>
        <v>Silver</v>
      </c>
      <c r="X2034" s="2" t="n">
        <f aca="false">INDEX(Summary!$T$2:$T$201,MATCH($B2034,Summary!$A$2:$A$201,0))</f>
        <v>69.29</v>
      </c>
      <c r="Y2034" s="0" t="str">
        <f aca="false">INDEX('Reward Model'!$E$18:$E$37,MATCH($E2034,'Reward Model'!$A$18:$A$37,0))</f>
        <v>Medium</v>
      </c>
      <c r="Z2034" s="4" t="n">
        <f aca="false">ROUND(MIN(1,MAX('Reward Model'!$B$2,INDEX('Reward Model'!$C$12:$C$14,MATCH($K2034,'Reward Model'!$A$12:$A$14,0))/$J2034)),3)</f>
        <v>0.905</v>
      </c>
      <c r="AA2034" s="2" t="n">
        <f aca="false">IF($I2034="Correct",ROUND(INDEX('Reward Model'!$B$12:$B$14,MATCH($K2034,'Reward Model'!$A$12:$A$14,0))*Z2034,2),0)</f>
        <v>1.81</v>
      </c>
      <c r="AB2034" s="2" t="n">
        <f aca="false">IF($I2034="Correct",ROUND(INDEX('Reward Model'!$B$12:$B$14,MATCH($Y2034,'Reward Model'!$A$12:$A$14,0))*Z2034,2),0)</f>
        <v>1.81</v>
      </c>
    </row>
    <row r="2035" customFormat="false" ht="15" hidden="false" customHeight="false" outlineLevel="0" collapsed="false">
      <c r="A2035" s="0" t="s">
        <v>333</v>
      </c>
      <c r="B2035" s="0" t="s">
        <v>334</v>
      </c>
      <c r="C2035" s="0" t="s">
        <v>322</v>
      </c>
      <c r="D2035" s="0" t="s">
        <v>31</v>
      </c>
      <c r="E2035" s="0" t="n">
        <v>14</v>
      </c>
      <c r="F2035" s="0" t="s">
        <v>68</v>
      </c>
      <c r="G2035" s="0" t="s">
        <v>51</v>
      </c>
      <c r="H2035" s="0" t="s">
        <v>51</v>
      </c>
      <c r="I2035" s="0" t="s">
        <v>34</v>
      </c>
      <c r="J2035" s="0" t="n">
        <v>1.52</v>
      </c>
      <c r="K2035" s="0" t="s">
        <v>60</v>
      </c>
      <c r="L2035" s="0" t="n">
        <f aca="false">INDEX(Summary!$F$2:$F$201,MATCH($B2035,Summary!$A$2:$A$201,0))</f>
        <v>20</v>
      </c>
      <c r="M2035" s="0" t="n">
        <f aca="false">INDEX(Summary!$I$2:$I$201,MATCH($B2035,Summary!$A$2:$A$201,0))</f>
        <v>4</v>
      </c>
      <c r="N2035" s="0" t="n">
        <f aca="false">INDEX(Summary!$J$2:$J$201,MATCH($B2035,Summary!$A$2:$A$201,0))</f>
        <v>1</v>
      </c>
      <c r="O2035" s="2" t="n">
        <f aca="false">INDEX(Summary!$K$2:$K$201,MATCH($B2035,Summary!$A$2:$A$201,0))</f>
        <v>8.87</v>
      </c>
      <c r="P2035" s="3" t="n">
        <f aca="false">INDEX(Summary!$L$2:$L$201,MATCH($B2035,Summary!$A$2:$A$201,0))</f>
        <v>4</v>
      </c>
      <c r="Q2035" s="3" t="n">
        <f aca="false">INDEX(Summary!$M$2:$M$201,MATCH($B2035,Summary!$A$2:$A$201,0))</f>
        <v>2</v>
      </c>
      <c r="R2035" s="2" t="n">
        <f aca="false">INDEX(Summary!$N$2:$N$201,MATCH($B2035,Summary!$A$2:$A$201,0))</f>
        <v>10.12</v>
      </c>
      <c r="S2035" s="3" t="n">
        <f aca="false">INDEX(Summary!$O$2:$O$201,MATCH($B2035,Summary!$A$2:$A$201,0))</f>
        <v>7</v>
      </c>
      <c r="T2035" s="3" t="n">
        <f aca="false">INDEX(Summary!$P$2:$P$201,MATCH($B2035,Summary!$A$2:$A$201,0))</f>
        <v>2</v>
      </c>
      <c r="U2035" s="2" t="n">
        <f aca="false">INDEX(Summary!$Q$2:$Q$201,MATCH($B2035,Summary!$A$2:$A$201,0))</f>
        <v>13.66</v>
      </c>
      <c r="V2035" s="2" t="n">
        <f aca="false">INDEX(Summary!$R$2:$R$201,MATCH($B2035,Summary!$A$2:$A$201,0))</f>
        <v>28.41</v>
      </c>
      <c r="W2035" s="0" t="str">
        <f aca="false">INDEX(Summary!$S$2:$S$201,MATCH($B2035,Summary!$A$2:$A$201,0))</f>
        <v>Silver</v>
      </c>
      <c r="X2035" s="2" t="n">
        <f aca="false">INDEX(Summary!$T$2:$T$201,MATCH($B2035,Summary!$A$2:$A$201,0))</f>
        <v>69.29</v>
      </c>
      <c r="Y2035" s="0" t="str">
        <f aca="false">INDEX('Reward Model'!$E$18:$E$37,MATCH($E2035,'Reward Model'!$A$18:$A$37,0))</f>
        <v>Medium</v>
      </c>
      <c r="Z2035" s="4" t="n">
        <f aca="false">ROUND(MIN(1,MAX('Reward Model'!$B$2,INDEX('Reward Model'!$C$12:$C$14,MATCH($K2035,'Reward Model'!$A$12:$A$14,0))/$J2035)),3)</f>
        <v>1</v>
      </c>
      <c r="AA2035" s="2" t="n">
        <f aca="false">IF($I2035="Correct",ROUND(INDEX('Reward Model'!$B$12:$B$14,MATCH($K2035,'Reward Model'!$A$12:$A$14,0))*Z2035,2),0)</f>
        <v>2</v>
      </c>
      <c r="AB2035" s="2" t="n">
        <f aca="false">IF($I2035="Correct",ROUND(INDEX('Reward Model'!$B$12:$B$14,MATCH($Y2035,'Reward Model'!$A$12:$A$14,0))*Z2035,2),0)</f>
        <v>2</v>
      </c>
    </row>
    <row r="2036" customFormat="false" ht="15" hidden="false" customHeight="false" outlineLevel="0" collapsed="false">
      <c r="A2036" s="0" t="s">
        <v>333</v>
      </c>
      <c r="B2036" s="0" t="s">
        <v>334</v>
      </c>
      <c r="C2036" s="0" t="s">
        <v>322</v>
      </c>
      <c r="D2036" s="0" t="s">
        <v>31</v>
      </c>
      <c r="E2036" s="0" t="n">
        <v>15</v>
      </c>
      <c r="F2036" s="0" t="s">
        <v>69</v>
      </c>
      <c r="G2036" s="0" t="s">
        <v>70</v>
      </c>
      <c r="H2036" s="0" t="s">
        <v>70</v>
      </c>
      <c r="I2036" s="0" t="s">
        <v>34</v>
      </c>
      <c r="J2036" s="0" t="n">
        <v>1.97</v>
      </c>
      <c r="K2036" s="0" t="s">
        <v>60</v>
      </c>
      <c r="L2036" s="0" t="n">
        <f aca="false">INDEX(Summary!$F$2:$F$201,MATCH($B2036,Summary!$A$2:$A$201,0))</f>
        <v>20</v>
      </c>
      <c r="M2036" s="0" t="n">
        <f aca="false">INDEX(Summary!$I$2:$I$201,MATCH($B2036,Summary!$A$2:$A$201,0))</f>
        <v>4</v>
      </c>
      <c r="N2036" s="0" t="n">
        <f aca="false">INDEX(Summary!$J$2:$J$201,MATCH($B2036,Summary!$A$2:$A$201,0))</f>
        <v>1</v>
      </c>
      <c r="O2036" s="2" t="n">
        <f aca="false">INDEX(Summary!$K$2:$K$201,MATCH($B2036,Summary!$A$2:$A$201,0))</f>
        <v>8.87</v>
      </c>
      <c r="P2036" s="3" t="n">
        <f aca="false">INDEX(Summary!$L$2:$L$201,MATCH($B2036,Summary!$A$2:$A$201,0))</f>
        <v>4</v>
      </c>
      <c r="Q2036" s="3" t="n">
        <f aca="false">INDEX(Summary!$M$2:$M$201,MATCH($B2036,Summary!$A$2:$A$201,0))</f>
        <v>2</v>
      </c>
      <c r="R2036" s="2" t="n">
        <f aca="false">INDEX(Summary!$N$2:$N$201,MATCH($B2036,Summary!$A$2:$A$201,0))</f>
        <v>10.12</v>
      </c>
      <c r="S2036" s="3" t="n">
        <f aca="false">INDEX(Summary!$O$2:$O$201,MATCH($B2036,Summary!$A$2:$A$201,0))</f>
        <v>7</v>
      </c>
      <c r="T2036" s="3" t="n">
        <f aca="false">INDEX(Summary!$P$2:$P$201,MATCH($B2036,Summary!$A$2:$A$201,0))</f>
        <v>2</v>
      </c>
      <c r="U2036" s="2" t="n">
        <f aca="false">INDEX(Summary!$Q$2:$Q$201,MATCH($B2036,Summary!$A$2:$A$201,0))</f>
        <v>13.66</v>
      </c>
      <c r="V2036" s="2" t="n">
        <f aca="false">INDEX(Summary!$R$2:$R$201,MATCH($B2036,Summary!$A$2:$A$201,0))</f>
        <v>28.41</v>
      </c>
      <c r="W2036" s="0" t="str">
        <f aca="false">INDEX(Summary!$S$2:$S$201,MATCH($B2036,Summary!$A$2:$A$201,0))</f>
        <v>Silver</v>
      </c>
      <c r="X2036" s="2" t="n">
        <f aca="false">INDEX(Summary!$T$2:$T$201,MATCH($B2036,Summary!$A$2:$A$201,0))</f>
        <v>69.29</v>
      </c>
      <c r="Y2036" s="0" t="str">
        <f aca="false">INDEX('Reward Model'!$E$18:$E$37,MATCH($E2036,'Reward Model'!$A$18:$A$37,0))</f>
        <v>Medium</v>
      </c>
      <c r="Z2036" s="4" t="n">
        <f aca="false">ROUND(MIN(1,MAX('Reward Model'!$B$2,INDEX('Reward Model'!$C$12:$C$14,MATCH($K2036,'Reward Model'!$A$12:$A$14,0))/$J2036)),3)</f>
        <v>0.914</v>
      </c>
      <c r="AA2036" s="2" t="n">
        <f aca="false">IF($I2036="Correct",ROUND(INDEX('Reward Model'!$B$12:$B$14,MATCH($K2036,'Reward Model'!$A$12:$A$14,0))*Z2036,2),0)</f>
        <v>1.83</v>
      </c>
      <c r="AB2036" s="2" t="n">
        <f aca="false">IF($I2036="Correct",ROUND(INDEX('Reward Model'!$B$12:$B$14,MATCH($Y2036,'Reward Model'!$A$12:$A$14,0))*Z2036,2),0)</f>
        <v>1.83</v>
      </c>
    </row>
    <row r="2037" customFormat="false" ht="15" hidden="false" customHeight="false" outlineLevel="0" collapsed="false">
      <c r="A2037" s="0" t="s">
        <v>333</v>
      </c>
      <c r="B2037" s="0" t="s">
        <v>334</v>
      </c>
      <c r="C2037" s="0" t="s">
        <v>322</v>
      </c>
      <c r="D2037" s="0" t="s">
        <v>31</v>
      </c>
      <c r="E2037" s="0" t="n">
        <v>16</v>
      </c>
      <c r="F2037" s="0" t="s">
        <v>71</v>
      </c>
      <c r="G2037" s="0" t="s">
        <v>101</v>
      </c>
      <c r="H2037" s="0" t="s">
        <v>72</v>
      </c>
      <c r="I2037" s="0" t="s">
        <v>39</v>
      </c>
      <c r="J2037" s="0" t="n">
        <v>1.27</v>
      </c>
      <c r="K2037" s="0" t="s">
        <v>73</v>
      </c>
      <c r="L2037" s="0" t="n">
        <f aca="false">INDEX(Summary!$F$2:$F$201,MATCH($B2037,Summary!$A$2:$A$201,0))</f>
        <v>20</v>
      </c>
      <c r="M2037" s="0" t="n">
        <f aca="false">INDEX(Summary!$I$2:$I$201,MATCH($B2037,Summary!$A$2:$A$201,0))</f>
        <v>4</v>
      </c>
      <c r="N2037" s="0" t="n">
        <f aca="false">INDEX(Summary!$J$2:$J$201,MATCH($B2037,Summary!$A$2:$A$201,0))</f>
        <v>1</v>
      </c>
      <c r="O2037" s="2" t="n">
        <f aca="false">INDEX(Summary!$K$2:$K$201,MATCH($B2037,Summary!$A$2:$A$201,0))</f>
        <v>8.87</v>
      </c>
      <c r="P2037" s="3" t="n">
        <f aca="false">INDEX(Summary!$L$2:$L$201,MATCH($B2037,Summary!$A$2:$A$201,0))</f>
        <v>4</v>
      </c>
      <c r="Q2037" s="3" t="n">
        <f aca="false">INDEX(Summary!$M$2:$M$201,MATCH($B2037,Summary!$A$2:$A$201,0))</f>
        <v>2</v>
      </c>
      <c r="R2037" s="2" t="n">
        <f aca="false">INDEX(Summary!$N$2:$N$201,MATCH($B2037,Summary!$A$2:$A$201,0))</f>
        <v>10.12</v>
      </c>
      <c r="S2037" s="3" t="n">
        <f aca="false">INDEX(Summary!$O$2:$O$201,MATCH($B2037,Summary!$A$2:$A$201,0))</f>
        <v>7</v>
      </c>
      <c r="T2037" s="3" t="n">
        <f aca="false">INDEX(Summary!$P$2:$P$201,MATCH($B2037,Summary!$A$2:$A$201,0))</f>
        <v>2</v>
      </c>
      <c r="U2037" s="2" t="n">
        <f aca="false">INDEX(Summary!$Q$2:$Q$201,MATCH($B2037,Summary!$A$2:$A$201,0))</f>
        <v>13.66</v>
      </c>
      <c r="V2037" s="2" t="n">
        <f aca="false">INDEX(Summary!$R$2:$R$201,MATCH($B2037,Summary!$A$2:$A$201,0))</f>
        <v>28.41</v>
      </c>
      <c r="W2037" s="0" t="str">
        <f aca="false">INDEX(Summary!$S$2:$S$201,MATCH($B2037,Summary!$A$2:$A$201,0))</f>
        <v>Silver</v>
      </c>
      <c r="X2037" s="2" t="n">
        <f aca="false">INDEX(Summary!$T$2:$T$201,MATCH($B2037,Summary!$A$2:$A$201,0))</f>
        <v>69.29</v>
      </c>
      <c r="Y2037" s="0" t="str">
        <f aca="false">INDEX('Reward Model'!$E$18:$E$37,MATCH($E2037,'Reward Model'!$A$18:$A$37,0))</f>
        <v>High</v>
      </c>
      <c r="Z2037" s="4" t="n">
        <f aca="false">ROUND(MIN(1,MAX('Reward Model'!$B$2,INDEX('Reward Model'!$C$12:$C$14,MATCH($K2037,'Reward Model'!$A$12:$A$14,0))/$J2037)),3)</f>
        <v>1</v>
      </c>
      <c r="AA2037" s="2" t="n">
        <f aca="false">IF($I2037="Correct",ROUND(INDEX('Reward Model'!$B$12:$B$14,MATCH($K2037,'Reward Model'!$A$12:$A$14,0))*Z2037,2),0)</f>
        <v>0</v>
      </c>
      <c r="AB2037" s="2" t="n">
        <f aca="false">IF($I2037="Correct",ROUND(INDEX('Reward Model'!$B$12:$B$14,MATCH($Y2037,'Reward Model'!$A$12:$A$14,0))*Z2037,2),0)</f>
        <v>0</v>
      </c>
    </row>
    <row r="2038" customFormat="false" ht="15" hidden="false" customHeight="false" outlineLevel="0" collapsed="false">
      <c r="A2038" s="0" t="s">
        <v>333</v>
      </c>
      <c r="B2038" s="0" t="s">
        <v>334</v>
      </c>
      <c r="C2038" s="0" t="s">
        <v>322</v>
      </c>
      <c r="D2038" s="0" t="s">
        <v>31</v>
      </c>
      <c r="E2038" s="0" t="n">
        <v>17</v>
      </c>
      <c r="F2038" s="0" t="s">
        <v>74</v>
      </c>
      <c r="G2038" s="0" t="s">
        <v>75</v>
      </c>
      <c r="H2038" s="0" t="s">
        <v>75</v>
      </c>
      <c r="I2038" s="0" t="s">
        <v>34</v>
      </c>
      <c r="J2038" s="0" t="n">
        <v>1.82</v>
      </c>
      <c r="K2038" s="0" t="s">
        <v>73</v>
      </c>
      <c r="L2038" s="0" t="n">
        <f aca="false">INDEX(Summary!$F$2:$F$201,MATCH($B2038,Summary!$A$2:$A$201,0))</f>
        <v>20</v>
      </c>
      <c r="M2038" s="0" t="n">
        <f aca="false">INDEX(Summary!$I$2:$I$201,MATCH($B2038,Summary!$A$2:$A$201,0))</f>
        <v>4</v>
      </c>
      <c r="N2038" s="0" t="n">
        <f aca="false">INDEX(Summary!$J$2:$J$201,MATCH($B2038,Summary!$A$2:$A$201,0))</f>
        <v>1</v>
      </c>
      <c r="O2038" s="2" t="n">
        <f aca="false">INDEX(Summary!$K$2:$K$201,MATCH($B2038,Summary!$A$2:$A$201,0))</f>
        <v>8.87</v>
      </c>
      <c r="P2038" s="3" t="n">
        <f aca="false">INDEX(Summary!$L$2:$L$201,MATCH($B2038,Summary!$A$2:$A$201,0))</f>
        <v>4</v>
      </c>
      <c r="Q2038" s="3" t="n">
        <f aca="false">INDEX(Summary!$M$2:$M$201,MATCH($B2038,Summary!$A$2:$A$201,0))</f>
        <v>2</v>
      </c>
      <c r="R2038" s="2" t="n">
        <f aca="false">INDEX(Summary!$N$2:$N$201,MATCH($B2038,Summary!$A$2:$A$201,0))</f>
        <v>10.12</v>
      </c>
      <c r="S2038" s="3" t="n">
        <f aca="false">INDEX(Summary!$O$2:$O$201,MATCH($B2038,Summary!$A$2:$A$201,0))</f>
        <v>7</v>
      </c>
      <c r="T2038" s="3" t="n">
        <f aca="false">INDEX(Summary!$P$2:$P$201,MATCH($B2038,Summary!$A$2:$A$201,0))</f>
        <v>2</v>
      </c>
      <c r="U2038" s="2" t="n">
        <f aca="false">INDEX(Summary!$Q$2:$Q$201,MATCH($B2038,Summary!$A$2:$A$201,0))</f>
        <v>13.66</v>
      </c>
      <c r="V2038" s="2" t="n">
        <f aca="false">INDEX(Summary!$R$2:$R$201,MATCH($B2038,Summary!$A$2:$A$201,0))</f>
        <v>28.41</v>
      </c>
      <c r="W2038" s="0" t="str">
        <f aca="false">INDEX(Summary!$S$2:$S$201,MATCH($B2038,Summary!$A$2:$A$201,0))</f>
        <v>Silver</v>
      </c>
      <c r="X2038" s="2" t="n">
        <f aca="false">INDEX(Summary!$T$2:$T$201,MATCH($B2038,Summary!$A$2:$A$201,0))</f>
        <v>69.29</v>
      </c>
      <c r="Y2038" s="0" t="str">
        <f aca="false">INDEX('Reward Model'!$E$18:$E$37,MATCH($E2038,'Reward Model'!$A$18:$A$37,0))</f>
        <v>High</v>
      </c>
      <c r="Z2038" s="4" t="n">
        <f aca="false">ROUND(MIN(1,MAX('Reward Model'!$B$2,INDEX('Reward Model'!$C$12:$C$14,MATCH($K2038,'Reward Model'!$A$12:$A$14,0))/$J2038)),3)</f>
        <v>1</v>
      </c>
      <c r="AA2038" s="2" t="n">
        <f aca="false">IF($I2038="Correct",ROUND(INDEX('Reward Model'!$B$12:$B$14,MATCH($K2038,'Reward Model'!$A$12:$A$14,0))*Z2038,2),0)</f>
        <v>3</v>
      </c>
      <c r="AB2038" s="2" t="n">
        <f aca="false">IF($I2038="Correct",ROUND(INDEX('Reward Model'!$B$12:$B$14,MATCH($Y2038,'Reward Model'!$A$12:$A$14,0))*Z2038,2),0)</f>
        <v>3</v>
      </c>
    </row>
    <row r="2039" customFormat="false" ht="15" hidden="false" customHeight="false" outlineLevel="0" collapsed="false">
      <c r="A2039" s="0" t="s">
        <v>333</v>
      </c>
      <c r="B2039" s="0" t="s">
        <v>334</v>
      </c>
      <c r="C2039" s="0" t="s">
        <v>322</v>
      </c>
      <c r="D2039" s="0" t="s">
        <v>31</v>
      </c>
      <c r="E2039" s="0" t="n">
        <v>18</v>
      </c>
      <c r="F2039" s="0" t="s">
        <v>76</v>
      </c>
      <c r="G2039" s="0" t="s">
        <v>77</v>
      </c>
      <c r="H2039" s="0" t="s">
        <v>77</v>
      </c>
      <c r="I2039" s="0" t="s">
        <v>34</v>
      </c>
      <c r="J2039" s="0" t="n">
        <v>1.58</v>
      </c>
      <c r="K2039" s="0" t="s">
        <v>73</v>
      </c>
      <c r="L2039" s="0" t="n">
        <f aca="false">INDEX(Summary!$F$2:$F$201,MATCH($B2039,Summary!$A$2:$A$201,0))</f>
        <v>20</v>
      </c>
      <c r="M2039" s="0" t="n">
        <f aca="false">INDEX(Summary!$I$2:$I$201,MATCH($B2039,Summary!$A$2:$A$201,0))</f>
        <v>4</v>
      </c>
      <c r="N2039" s="0" t="n">
        <f aca="false">INDEX(Summary!$J$2:$J$201,MATCH($B2039,Summary!$A$2:$A$201,0))</f>
        <v>1</v>
      </c>
      <c r="O2039" s="2" t="n">
        <f aca="false">INDEX(Summary!$K$2:$K$201,MATCH($B2039,Summary!$A$2:$A$201,0))</f>
        <v>8.87</v>
      </c>
      <c r="P2039" s="3" t="n">
        <f aca="false">INDEX(Summary!$L$2:$L$201,MATCH($B2039,Summary!$A$2:$A$201,0))</f>
        <v>4</v>
      </c>
      <c r="Q2039" s="3" t="n">
        <f aca="false">INDEX(Summary!$M$2:$M$201,MATCH($B2039,Summary!$A$2:$A$201,0))</f>
        <v>2</v>
      </c>
      <c r="R2039" s="2" t="n">
        <f aca="false">INDEX(Summary!$N$2:$N$201,MATCH($B2039,Summary!$A$2:$A$201,0))</f>
        <v>10.12</v>
      </c>
      <c r="S2039" s="3" t="n">
        <f aca="false">INDEX(Summary!$O$2:$O$201,MATCH($B2039,Summary!$A$2:$A$201,0))</f>
        <v>7</v>
      </c>
      <c r="T2039" s="3" t="n">
        <f aca="false">INDEX(Summary!$P$2:$P$201,MATCH($B2039,Summary!$A$2:$A$201,0))</f>
        <v>2</v>
      </c>
      <c r="U2039" s="2" t="n">
        <f aca="false">INDEX(Summary!$Q$2:$Q$201,MATCH($B2039,Summary!$A$2:$A$201,0))</f>
        <v>13.66</v>
      </c>
      <c r="V2039" s="2" t="n">
        <f aca="false">INDEX(Summary!$R$2:$R$201,MATCH($B2039,Summary!$A$2:$A$201,0))</f>
        <v>28.41</v>
      </c>
      <c r="W2039" s="0" t="str">
        <f aca="false">INDEX(Summary!$S$2:$S$201,MATCH($B2039,Summary!$A$2:$A$201,0))</f>
        <v>Silver</v>
      </c>
      <c r="X2039" s="2" t="n">
        <f aca="false">INDEX(Summary!$T$2:$T$201,MATCH($B2039,Summary!$A$2:$A$201,0))</f>
        <v>69.29</v>
      </c>
      <c r="Y2039" s="0" t="str">
        <f aca="false">INDEX('Reward Model'!$E$18:$E$37,MATCH($E2039,'Reward Model'!$A$18:$A$37,0))</f>
        <v>High</v>
      </c>
      <c r="Z2039" s="4" t="n">
        <f aca="false">ROUND(MIN(1,MAX('Reward Model'!$B$2,INDEX('Reward Model'!$C$12:$C$14,MATCH($K2039,'Reward Model'!$A$12:$A$14,0))/$J2039)),3)</f>
        <v>1</v>
      </c>
      <c r="AA2039" s="2" t="n">
        <f aca="false">IF($I2039="Correct",ROUND(INDEX('Reward Model'!$B$12:$B$14,MATCH($K2039,'Reward Model'!$A$12:$A$14,0))*Z2039,2),0)</f>
        <v>3</v>
      </c>
      <c r="AB2039" s="2" t="n">
        <f aca="false">IF($I2039="Correct",ROUND(INDEX('Reward Model'!$B$12:$B$14,MATCH($Y2039,'Reward Model'!$A$12:$A$14,0))*Z2039,2),0)</f>
        <v>3</v>
      </c>
    </row>
    <row r="2040" customFormat="false" ht="15" hidden="false" customHeight="false" outlineLevel="0" collapsed="false">
      <c r="A2040" s="0" t="s">
        <v>333</v>
      </c>
      <c r="B2040" s="0" t="s">
        <v>334</v>
      </c>
      <c r="C2040" s="0" t="s">
        <v>322</v>
      </c>
      <c r="D2040" s="0" t="s">
        <v>31</v>
      </c>
      <c r="E2040" s="0" t="n">
        <v>19</v>
      </c>
      <c r="F2040" s="0" t="s">
        <v>78</v>
      </c>
      <c r="G2040" s="0" t="s">
        <v>80</v>
      </c>
      <c r="H2040" s="0" t="s">
        <v>80</v>
      </c>
      <c r="I2040" s="0" t="s">
        <v>34</v>
      </c>
      <c r="J2040" s="0" t="n">
        <v>1.95</v>
      </c>
      <c r="K2040" s="0" t="s">
        <v>73</v>
      </c>
      <c r="L2040" s="0" t="n">
        <f aca="false">INDEX(Summary!$F$2:$F$201,MATCH($B2040,Summary!$A$2:$A$201,0))</f>
        <v>20</v>
      </c>
      <c r="M2040" s="0" t="n">
        <f aca="false">INDEX(Summary!$I$2:$I$201,MATCH($B2040,Summary!$A$2:$A$201,0))</f>
        <v>4</v>
      </c>
      <c r="N2040" s="0" t="n">
        <f aca="false">INDEX(Summary!$J$2:$J$201,MATCH($B2040,Summary!$A$2:$A$201,0))</f>
        <v>1</v>
      </c>
      <c r="O2040" s="2" t="n">
        <f aca="false">INDEX(Summary!$K$2:$K$201,MATCH($B2040,Summary!$A$2:$A$201,0))</f>
        <v>8.87</v>
      </c>
      <c r="P2040" s="3" t="n">
        <f aca="false">INDEX(Summary!$L$2:$L$201,MATCH($B2040,Summary!$A$2:$A$201,0))</f>
        <v>4</v>
      </c>
      <c r="Q2040" s="3" t="n">
        <f aca="false">INDEX(Summary!$M$2:$M$201,MATCH($B2040,Summary!$A$2:$A$201,0))</f>
        <v>2</v>
      </c>
      <c r="R2040" s="2" t="n">
        <f aca="false">INDEX(Summary!$N$2:$N$201,MATCH($B2040,Summary!$A$2:$A$201,0))</f>
        <v>10.12</v>
      </c>
      <c r="S2040" s="3" t="n">
        <f aca="false">INDEX(Summary!$O$2:$O$201,MATCH($B2040,Summary!$A$2:$A$201,0))</f>
        <v>7</v>
      </c>
      <c r="T2040" s="3" t="n">
        <f aca="false">INDEX(Summary!$P$2:$P$201,MATCH($B2040,Summary!$A$2:$A$201,0))</f>
        <v>2</v>
      </c>
      <c r="U2040" s="2" t="n">
        <f aca="false">INDEX(Summary!$Q$2:$Q$201,MATCH($B2040,Summary!$A$2:$A$201,0))</f>
        <v>13.66</v>
      </c>
      <c r="V2040" s="2" t="n">
        <f aca="false">INDEX(Summary!$R$2:$R$201,MATCH($B2040,Summary!$A$2:$A$201,0))</f>
        <v>28.41</v>
      </c>
      <c r="W2040" s="0" t="str">
        <f aca="false">INDEX(Summary!$S$2:$S$201,MATCH($B2040,Summary!$A$2:$A$201,0))</f>
        <v>Silver</v>
      </c>
      <c r="X2040" s="2" t="n">
        <f aca="false">INDEX(Summary!$T$2:$T$201,MATCH($B2040,Summary!$A$2:$A$201,0))</f>
        <v>69.29</v>
      </c>
      <c r="Y2040" s="0" t="str">
        <f aca="false">INDEX('Reward Model'!$E$18:$E$37,MATCH($E2040,'Reward Model'!$A$18:$A$37,0))</f>
        <v>High</v>
      </c>
      <c r="Z2040" s="4" t="n">
        <f aca="false">ROUND(MIN(1,MAX('Reward Model'!$B$2,INDEX('Reward Model'!$C$12:$C$14,MATCH($K2040,'Reward Model'!$A$12:$A$14,0))/$J2040)),3)</f>
        <v>1</v>
      </c>
      <c r="AA2040" s="2" t="n">
        <f aca="false">IF($I2040="Correct",ROUND(INDEX('Reward Model'!$B$12:$B$14,MATCH($K2040,'Reward Model'!$A$12:$A$14,0))*Z2040,2),0)</f>
        <v>3</v>
      </c>
      <c r="AB2040" s="2" t="n">
        <f aca="false">IF($I2040="Correct",ROUND(INDEX('Reward Model'!$B$12:$B$14,MATCH($Y2040,'Reward Model'!$A$12:$A$14,0))*Z2040,2),0)</f>
        <v>3</v>
      </c>
    </row>
    <row r="2041" customFormat="false" ht="15" hidden="false" customHeight="false" outlineLevel="0" collapsed="false">
      <c r="A2041" s="0" t="s">
        <v>333</v>
      </c>
      <c r="B2041" s="0" t="s">
        <v>334</v>
      </c>
      <c r="C2041" s="0" t="s">
        <v>322</v>
      </c>
      <c r="D2041" s="0" t="s">
        <v>31</v>
      </c>
      <c r="E2041" s="0" t="n">
        <v>20</v>
      </c>
      <c r="F2041" s="0" t="s">
        <v>81</v>
      </c>
      <c r="G2041" s="0" t="s">
        <v>83</v>
      </c>
      <c r="H2041" s="0" t="s">
        <v>83</v>
      </c>
      <c r="I2041" s="0" t="s">
        <v>34</v>
      </c>
      <c r="J2041" s="0" t="n">
        <v>2.25</v>
      </c>
      <c r="K2041" s="0" t="s">
        <v>73</v>
      </c>
      <c r="L2041" s="0" t="n">
        <f aca="false">INDEX(Summary!$F$2:$F$201,MATCH($B2041,Summary!$A$2:$A$201,0))</f>
        <v>20</v>
      </c>
      <c r="M2041" s="0" t="n">
        <f aca="false">INDEX(Summary!$I$2:$I$201,MATCH($B2041,Summary!$A$2:$A$201,0))</f>
        <v>4</v>
      </c>
      <c r="N2041" s="0" t="n">
        <f aca="false">INDEX(Summary!$J$2:$J$201,MATCH($B2041,Summary!$A$2:$A$201,0))</f>
        <v>1</v>
      </c>
      <c r="O2041" s="2" t="n">
        <f aca="false">INDEX(Summary!$K$2:$K$201,MATCH($B2041,Summary!$A$2:$A$201,0))</f>
        <v>8.87</v>
      </c>
      <c r="P2041" s="3" t="n">
        <f aca="false">INDEX(Summary!$L$2:$L$201,MATCH($B2041,Summary!$A$2:$A$201,0))</f>
        <v>4</v>
      </c>
      <c r="Q2041" s="3" t="n">
        <f aca="false">INDEX(Summary!$M$2:$M$201,MATCH($B2041,Summary!$A$2:$A$201,0))</f>
        <v>2</v>
      </c>
      <c r="R2041" s="2" t="n">
        <f aca="false">INDEX(Summary!$N$2:$N$201,MATCH($B2041,Summary!$A$2:$A$201,0))</f>
        <v>10.12</v>
      </c>
      <c r="S2041" s="3" t="n">
        <f aca="false">INDEX(Summary!$O$2:$O$201,MATCH($B2041,Summary!$A$2:$A$201,0))</f>
        <v>7</v>
      </c>
      <c r="T2041" s="3" t="n">
        <f aca="false">INDEX(Summary!$P$2:$P$201,MATCH($B2041,Summary!$A$2:$A$201,0))</f>
        <v>2</v>
      </c>
      <c r="U2041" s="2" t="n">
        <f aca="false">INDEX(Summary!$Q$2:$Q$201,MATCH($B2041,Summary!$A$2:$A$201,0))</f>
        <v>13.66</v>
      </c>
      <c r="V2041" s="2" t="n">
        <f aca="false">INDEX(Summary!$R$2:$R$201,MATCH($B2041,Summary!$A$2:$A$201,0))</f>
        <v>28.41</v>
      </c>
      <c r="W2041" s="0" t="str">
        <f aca="false">INDEX(Summary!$S$2:$S$201,MATCH($B2041,Summary!$A$2:$A$201,0))</f>
        <v>Silver</v>
      </c>
      <c r="X2041" s="2" t="n">
        <f aca="false">INDEX(Summary!$T$2:$T$201,MATCH($B2041,Summary!$A$2:$A$201,0))</f>
        <v>69.29</v>
      </c>
      <c r="Y2041" s="0" t="str">
        <f aca="false">INDEX('Reward Model'!$E$18:$E$37,MATCH($E2041,'Reward Model'!$A$18:$A$37,0))</f>
        <v>High</v>
      </c>
      <c r="Z2041" s="4" t="n">
        <f aca="false">ROUND(MIN(1,MAX('Reward Model'!$B$2,INDEX('Reward Model'!$C$12:$C$14,MATCH($K2041,'Reward Model'!$A$12:$A$14,0))/$J2041)),3)</f>
        <v>0.889</v>
      </c>
      <c r="AA2041" s="2" t="n">
        <f aca="false">IF($I2041="Correct",ROUND(INDEX('Reward Model'!$B$12:$B$14,MATCH($K2041,'Reward Model'!$A$12:$A$14,0))*Z2041,2),0)</f>
        <v>2.67</v>
      </c>
      <c r="AB2041" s="2" t="n">
        <f aca="false">IF($I2041="Correct",ROUND(INDEX('Reward Model'!$B$12:$B$14,MATCH($Y2041,'Reward Model'!$A$12:$A$14,0))*Z2041,2),0)</f>
        <v>2.67</v>
      </c>
    </row>
    <row r="2042" customFormat="false" ht="15" hidden="false" customHeight="false" outlineLevel="0" collapsed="false">
      <c r="A2042" s="0" t="s">
        <v>335</v>
      </c>
      <c r="B2042" s="0" t="s">
        <v>336</v>
      </c>
      <c r="C2042" s="0" t="s">
        <v>322</v>
      </c>
      <c r="D2042" s="0" t="s">
        <v>31</v>
      </c>
      <c r="E2042" s="0" t="n">
        <v>1</v>
      </c>
      <c r="F2042" s="0" t="s">
        <v>32</v>
      </c>
      <c r="G2042" s="0" t="s">
        <v>91</v>
      </c>
      <c r="H2042" s="0" t="s">
        <v>33</v>
      </c>
      <c r="I2042" s="0" t="s">
        <v>39</v>
      </c>
      <c r="J2042" s="0" t="n">
        <v>1.94</v>
      </c>
      <c r="K2042" s="0" t="s">
        <v>35</v>
      </c>
      <c r="L2042" s="0" t="n">
        <f aca="false">INDEX(Summary!$F$2:$F$201,MATCH($B2042,Summary!$A$2:$A$201,0))</f>
        <v>20</v>
      </c>
      <c r="M2042" s="0" t="n">
        <f aca="false">INDEX(Summary!$I$2:$I$201,MATCH($B2042,Summary!$A$2:$A$201,0))</f>
        <v>2</v>
      </c>
      <c r="N2042" s="0" t="n">
        <f aca="false">INDEX(Summary!$J$2:$J$201,MATCH($B2042,Summary!$A$2:$A$201,0))</f>
        <v>3</v>
      </c>
      <c r="O2042" s="2" t="n">
        <f aca="false">INDEX(Summary!$K$2:$K$201,MATCH($B2042,Summary!$A$2:$A$201,0))</f>
        <v>10</v>
      </c>
      <c r="P2042" s="3" t="n">
        <f aca="false">INDEX(Summary!$L$2:$L$201,MATCH($B2042,Summary!$A$2:$A$201,0))</f>
        <v>5</v>
      </c>
      <c r="Q2042" s="3" t="n">
        <f aca="false">INDEX(Summary!$M$2:$M$201,MATCH($B2042,Summary!$A$2:$A$201,0))</f>
        <v>1</v>
      </c>
      <c r="R2042" s="2" t="n">
        <f aca="false">INDEX(Summary!$N$2:$N$201,MATCH($B2042,Summary!$A$2:$A$201,0))</f>
        <v>10.77</v>
      </c>
      <c r="S2042" s="3" t="n">
        <f aca="false">INDEX(Summary!$O$2:$O$201,MATCH($B2042,Summary!$A$2:$A$201,0))</f>
        <v>5</v>
      </c>
      <c r="T2042" s="3" t="n">
        <f aca="false">INDEX(Summary!$P$2:$P$201,MATCH($B2042,Summary!$A$2:$A$201,0))</f>
        <v>4</v>
      </c>
      <c r="U2042" s="2" t="n">
        <f aca="false">INDEX(Summary!$Q$2:$Q$201,MATCH($B2042,Summary!$A$2:$A$201,0))</f>
        <v>13.26</v>
      </c>
      <c r="V2042" s="2" t="n">
        <f aca="false">INDEX(Summary!$R$2:$R$201,MATCH($B2042,Summary!$A$2:$A$201,0))</f>
        <v>22.55</v>
      </c>
      <c r="W2042" s="0" t="str">
        <f aca="false">INDEX(Summary!$S$2:$S$201,MATCH($B2042,Summary!$A$2:$A$201,0))</f>
        <v>Silver</v>
      </c>
      <c r="X2042" s="2" t="n">
        <f aca="false">INDEX(Summary!$T$2:$T$201,MATCH($B2042,Summary!$A$2:$A$201,0))</f>
        <v>55</v>
      </c>
      <c r="Y2042" s="0" t="str">
        <f aca="false">INDEX('Reward Model'!$E$18:$E$37,MATCH($E2042,'Reward Model'!$A$18:$A$37,0))</f>
        <v>Medium</v>
      </c>
      <c r="Z2042" s="4" t="n">
        <f aca="false">ROUND(MIN(1,MAX('Reward Model'!$B$2,INDEX('Reward Model'!$C$12:$C$14,MATCH($K2042,'Reward Model'!$A$12:$A$14,0))/$J2042)),3)</f>
        <v>0.773</v>
      </c>
      <c r="AA2042" s="2" t="n">
        <f aca="false">IF($I2042="Correct",ROUND(INDEX('Reward Model'!$B$12:$B$14,MATCH($K2042,'Reward Model'!$A$12:$A$14,0))*Z2042,2),0)</f>
        <v>0</v>
      </c>
      <c r="AB2042" s="2" t="n">
        <f aca="false">IF($I2042="Correct",ROUND(INDEX('Reward Model'!$B$12:$B$14,MATCH($Y2042,'Reward Model'!$A$12:$A$14,0))*Z2042,2),0)</f>
        <v>0</v>
      </c>
    </row>
    <row r="2043" customFormat="false" ht="15" hidden="false" customHeight="false" outlineLevel="0" collapsed="false">
      <c r="A2043" s="0" t="s">
        <v>335</v>
      </c>
      <c r="B2043" s="0" t="s">
        <v>336</v>
      </c>
      <c r="C2043" s="0" t="s">
        <v>322</v>
      </c>
      <c r="D2043" s="0" t="s">
        <v>31</v>
      </c>
      <c r="E2043" s="0" t="n">
        <v>2</v>
      </c>
      <c r="F2043" s="0" t="s">
        <v>36</v>
      </c>
      <c r="G2043" s="0" t="s">
        <v>190</v>
      </c>
      <c r="H2043" s="0" t="s">
        <v>38</v>
      </c>
      <c r="I2043" s="0" t="s">
        <v>39</v>
      </c>
      <c r="J2043" s="0" t="n">
        <v>1.19</v>
      </c>
      <c r="K2043" s="0" t="s">
        <v>35</v>
      </c>
      <c r="L2043" s="0" t="n">
        <f aca="false">INDEX(Summary!$F$2:$F$201,MATCH($B2043,Summary!$A$2:$A$201,0))</f>
        <v>20</v>
      </c>
      <c r="M2043" s="0" t="n">
        <f aca="false">INDEX(Summary!$I$2:$I$201,MATCH($B2043,Summary!$A$2:$A$201,0))</f>
        <v>2</v>
      </c>
      <c r="N2043" s="0" t="n">
        <f aca="false">INDEX(Summary!$J$2:$J$201,MATCH($B2043,Summary!$A$2:$A$201,0))</f>
        <v>3</v>
      </c>
      <c r="O2043" s="2" t="n">
        <f aca="false">INDEX(Summary!$K$2:$K$201,MATCH($B2043,Summary!$A$2:$A$201,0))</f>
        <v>10</v>
      </c>
      <c r="P2043" s="3" t="n">
        <f aca="false">INDEX(Summary!$L$2:$L$201,MATCH($B2043,Summary!$A$2:$A$201,0))</f>
        <v>5</v>
      </c>
      <c r="Q2043" s="3" t="n">
        <f aca="false">INDEX(Summary!$M$2:$M$201,MATCH($B2043,Summary!$A$2:$A$201,0))</f>
        <v>1</v>
      </c>
      <c r="R2043" s="2" t="n">
        <f aca="false">INDEX(Summary!$N$2:$N$201,MATCH($B2043,Summary!$A$2:$A$201,0))</f>
        <v>10.77</v>
      </c>
      <c r="S2043" s="3" t="n">
        <f aca="false">INDEX(Summary!$O$2:$O$201,MATCH($B2043,Summary!$A$2:$A$201,0))</f>
        <v>5</v>
      </c>
      <c r="T2043" s="3" t="n">
        <f aca="false">INDEX(Summary!$P$2:$P$201,MATCH($B2043,Summary!$A$2:$A$201,0))</f>
        <v>4</v>
      </c>
      <c r="U2043" s="2" t="n">
        <f aca="false">INDEX(Summary!$Q$2:$Q$201,MATCH($B2043,Summary!$A$2:$A$201,0))</f>
        <v>13.26</v>
      </c>
      <c r="V2043" s="2" t="n">
        <f aca="false">INDEX(Summary!$R$2:$R$201,MATCH($B2043,Summary!$A$2:$A$201,0))</f>
        <v>22.55</v>
      </c>
      <c r="W2043" s="0" t="str">
        <f aca="false">INDEX(Summary!$S$2:$S$201,MATCH($B2043,Summary!$A$2:$A$201,0))</f>
        <v>Silver</v>
      </c>
      <c r="X2043" s="2" t="n">
        <f aca="false">INDEX(Summary!$T$2:$T$201,MATCH($B2043,Summary!$A$2:$A$201,0))</f>
        <v>55</v>
      </c>
      <c r="Y2043" s="0" t="str">
        <f aca="false">INDEX('Reward Model'!$E$18:$E$37,MATCH($E2043,'Reward Model'!$A$18:$A$37,0))</f>
        <v>Low</v>
      </c>
      <c r="Z2043" s="4" t="n">
        <f aca="false">ROUND(MIN(1,MAX('Reward Model'!$B$2,INDEX('Reward Model'!$C$12:$C$14,MATCH($K2043,'Reward Model'!$A$12:$A$14,0))/$J2043)),3)</f>
        <v>1</v>
      </c>
      <c r="AA2043" s="2" t="n">
        <f aca="false">IF($I2043="Correct",ROUND(INDEX('Reward Model'!$B$12:$B$14,MATCH($K2043,'Reward Model'!$A$12:$A$14,0))*Z2043,2),0)</f>
        <v>0</v>
      </c>
      <c r="AB2043" s="2" t="n">
        <f aca="false">IF($I2043="Correct",ROUND(INDEX('Reward Model'!$B$12:$B$14,MATCH($Y2043,'Reward Model'!$A$12:$A$14,0))*Z2043,2),0)</f>
        <v>0</v>
      </c>
    </row>
    <row r="2044" customFormat="false" ht="15" hidden="false" customHeight="false" outlineLevel="0" collapsed="false">
      <c r="A2044" s="0" t="s">
        <v>335</v>
      </c>
      <c r="B2044" s="0" t="s">
        <v>336</v>
      </c>
      <c r="C2044" s="0" t="s">
        <v>322</v>
      </c>
      <c r="D2044" s="0" t="s">
        <v>31</v>
      </c>
      <c r="E2044" s="0" t="n">
        <v>3</v>
      </c>
      <c r="F2044" s="0" t="s">
        <v>40</v>
      </c>
      <c r="G2044" s="0" t="s">
        <v>42</v>
      </c>
      <c r="H2044" s="0" t="s">
        <v>42</v>
      </c>
      <c r="I2044" s="0" t="s">
        <v>34</v>
      </c>
      <c r="J2044" s="0" t="n">
        <v>1.06</v>
      </c>
      <c r="K2044" s="0" t="s">
        <v>35</v>
      </c>
      <c r="L2044" s="0" t="n">
        <f aca="false">INDEX(Summary!$F$2:$F$201,MATCH($B2044,Summary!$A$2:$A$201,0))</f>
        <v>20</v>
      </c>
      <c r="M2044" s="0" t="n">
        <f aca="false">INDEX(Summary!$I$2:$I$201,MATCH($B2044,Summary!$A$2:$A$201,0))</f>
        <v>2</v>
      </c>
      <c r="N2044" s="0" t="n">
        <f aca="false">INDEX(Summary!$J$2:$J$201,MATCH($B2044,Summary!$A$2:$A$201,0))</f>
        <v>3</v>
      </c>
      <c r="O2044" s="2" t="n">
        <f aca="false">INDEX(Summary!$K$2:$K$201,MATCH($B2044,Summary!$A$2:$A$201,0))</f>
        <v>10</v>
      </c>
      <c r="P2044" s="3" t="n">
        <f aca="false">INDEX(Summary!$L$2:$L$201,MATCH($B2044,Summary!$A$2:$A$201,0))</f>
        <v>5</v>
      </c>
      <c r="Q2044" s="3" t="n">
        <f aca="false">INDEX(Summary!$M$2:$M$201,MATCH($B2044,Summary!$A$2:$A$201,0))</f>
        <v>1</v>
      </c>
      <c r="R2044" s="2" t="n">
        <f aca="false">INDEX(Summary!$N$2:$N$201,MATCH($B2044,Summary!$A$2:$A$201,0))</f>
        <v>10.77</v>
      </c>
      <c r="S2044" s="3" t="n">
        <f aca="false">INDEX(Summary!$O$2:$O$201,MATCH($B2044,Summary!$A$2:$A$201,0))</f>
        <v>5</v>
      </c>
      <c r="T2044" s="3" t="n">
        <f aca="false">INDEX(Summary!$P$2:$P$201,MATCH($B2044,Summary!$A$2:$A$201,0))</f>
        <v>4</v>
      </c>
      <c r="U2044" s="2" t="n">
        <f aca="false">INDEX(Summary!$Q$2:$Q$201,MATCH($B2044,Summary!$A$2:$A$201,0))</f>
        <v>13.26</v>
      </c>
      <c r="V2044" s="2" t="n">
        <f aca="false">INDEX(Summary!$R$2:$R$201,MATCH($B2044,Summary!$A$2:$A$201,0))</f>
        <v>22.55</v>
      </c>
      <c r="W2044" s="0" t="str">
        <f aca="false">INDEX(Summary!$S$2:$S$201,MATCH($B2044,Summary!$A$2:$A$201,0))</f>
        <v>Silver</v>
      </c>
      <c r="X2044" s="2" t="n">
        <f aca="false">INDEX(Summary!$T$2:$T$201,MATCH($B2044,Summary!$A$2:$A$201,0))</f>
        <v>55</v>
      </c>
      <c r="Y2044" s="0" t="str">
        <f aca="false">INDEX('Reward Model'!$E$18:$E$37,MATCH($E2044,'Reward Model'!$A$18:$A$37,0))</f>
        <v>Medium</v>
      </c>
      <c r="Z2044" s="4" t="n">
        <f aca="false">ROUND(MIN(1,MAX('Reward Model'!$B$2,INDEX('Reward Model'!$C$12:$C$14,MATCH($K2044,'Reward Model'!$A$12:$A$14,0))/$J2044)),3)</f>
        <v>1</v>
      </c>
      <c r="AA2044" s="2" t="n">
        <f aca="false">IF($I2044="Correct",ROUND(INDEX('Reward Model'!$B$12:$B$14,MATCH($K2044,'Reward Model'!$A$12:$A$14,0))*Z2044,2),0)</f>
        <v>1</v>
      </c>
      <c r="AB2044" s="2" t="n">
        <f aca="false">IF($I2044="Correct",ROUND(INDEX('Reward Model'!$B$12:$B$14,MATCH($Y2044,'Reward Model'!$A$12:$A$14,0))*Z2044,2),0)</f>
        <v>2</v>
      </c>
    </row>
    <row r="2045" customFormat="false" ht="15" hidden="false" customHeight="false" outlineLevel="0" collapsed="false">
      <c r="A2045" s="0" t="s">
        <v>335</v>
      </c>
      <c r="B2045" s="0" t="s">
        <v>336</v>
      </c>
      <c r="C2045" s="0" t="s">
        <v>322</v>
      </c>
      <c r="D2045" s="0" t="s">
        <v>31</v>
      </c>
      <c r="E2045" s="0" t="n">
        <v>4</v>
      </c>
      <c r="F2045" s="0" t="s">
        <v>43</v>
      </c>
      <c r="G2045" s="0" t="s">
        <v>45</v>
      </c>
      <c r="H2045" s="0" t="s">
        <v>45</v>
      </c>
      <c r="I2045" s="0" t="s">
        <v>34</v>
      </c>
      <c r="J2045" s="0" t="n">
        <v>1.26</v>
      </c>
      <c r="K2045" s="0" t="s">
        <v>35</v>
      </c>
      <c r="L2045" s="0" t="n">
        <f aca="false">INDEX(Summary!$F$2:$F$201,MATCH($B2045,Summary!$A$2:$A$201,0))</f>
        <v>20</v>
      </c>
      <c r="M2045" s="0" t="n">
        <f aca="false">INDEX(Summary!$I$2:$I$201,MATCH($B2045,Summary!$A$2:$A$201,0))</f>
        <v>2</v>
      </c>
      <c r="N2045" s="0" t="n">
        <f aca="false">INDEX(Summary!$J$2:$J$201,MATCH($B2045,Summary!$A$2:$A$201,0))</f>
        <v>3</v>
      </c>
      <c r="O2045" s="2" t="n">
        <f aca="false">INDEX(Summary!$K$2:$K$201,MATCH($B2045,Summary!$A$2:$A$201,0))</f>
        <v>10</v>
      </c>
      <c r="P2045" s="3" t="n">
        <f aca="false">INDEX(Summary!$L$2:$L$201,MATCH($B2045,Summary!$A$2:$A$201,0))</f>
        <v>5</v>
      </c>
      <c r="Q2045" s="3" t="n">
        <f aca="false">INDEX(Summary!$M$2:$M$201,MATCH($B2045,Summary!$A$2:$A$201,0))</f>
        <v>1</v>
      </c>
      <c r="R2045" s="2" t="n">
        <f aca="false">INDEX(Summary!$N$2:$N$201,MATCH($B2045,Summary!$A$2:$A$201,0))</f>
        <v>10.77</v>
      </c>
      <c r="S2045" s="3" t="n">
        <f aca="false">INDEX(Summary!$O$2:$O$201,MATCH($B2045,Summary!$A$2:$A$201,0))</f>
        <v>5</v>
      </c>
      <c r="T2045" s="3" t="n">
        <f aca="false">INDEX(Summary!$P$2:$P$201,MATCH($B2045,Summary!$A$2:$A$201,0))</f>
        <v>4</v>
      </c>
      <c r="U2045" s="2" t="n">
        <f aca="false">INDEX(Summary!$Q$2:$Q$201,MATCH($B2045,Summary!$A$2:$A$201,0))</f>
        <v>13.26</v>
      </c>
      <c r="V2045" s="2" t="n">
        <f aca="false">INDEX(Summary!$R$2:$R$201,MATCH($B2045,Summary!$A$2:$A$201,0))</f>
        <v>22.55</v>
      </c>
      <c r="W2045" s="0" t="str">
        <f aca="false">INDEX(Summary!$S$2:$S$201,MATCH($B2045,Summary!$A$2:$A$201,0))</f>
        <v>Silver</v>
      </c>
      <c r="X2045" s="2" t="n">
        <f aca="false">INDEX(Summary!$T$2:$T$201,MATCH($B2045,Summary!$A$2:$A$201,0))</f>
        <v>55</v>
      </c>
      <c r="Y2045" s="0" t="str">
        <f aca="false">INDEX('Reward Model'!$E$18:$E$37,MATCH($E2045,'Reward Model'!$A$18:$A$37,0))</f>
        <v>Low</v>
      </c>
      <c r="Z2045" s="4" t="n">
        <f aca="false">ROUND(MIN(1,MAX('Reward Model'!$B$2,INDEX('Reward Model'!$C$12:$C$14,MATCH($K2045,'Reward Model'!$A$12:$A$14,0))/$J2045)),3)</f>
        <v>1</v>
      </c>
      <c r="AA2045" s="2" t="n">
        <f aca="false">IF($I2045="Correct",ROUND(INDEX('Reward Model'!$B$12:$B$14,MATCH($K2045,'Reward Model'!$A$12:$A$14,0))*Z2045,2),0)</f>
        <v>1</v>
      </c>
      <c r="AB2045" s="2" t="n">
        <f aca="false">IF($I2045="Correct",ROUND(INDEX('Reward Model'!$B$12:$B$14,MATCH($Y2045,'Reward Model'!$A$12:$A$14,0))*Z2045,2),0)</f>
        <v>1</v>
      </c>
    </row>
    <row r="2046" customFormat="false" ht="15" hidden="false" customHeight="false" outlineLevel="0" collapsed="false">
      <c r="A2046" s="0" t="s">
        <v>335</v>
      </c>
      <c r="B2046" s="0" t="s">
        <v>336</v>
      </c>
      <c r="C2046" s="0" t="s">
        <v>322</v>
      </c>
      <c r="D2046" s="0" t="s">
        <v>31</v>
      </c>
      <c r="E2046" s="0" t="n">
        <v>5</v>
      </c>
      <c r="F2046" s="0" t="s">
        <v>46</v>
      </c>
      <c r="G2046" s="0" t="s">
        <v>164</v>
      </c>
      <c r="H2046" s="0" t="s">
        <v>47</v>
      </c>
      <c r="I2046" s="0" t="s">
        <v>39</v>
      </c>
      <c r="J2046" s="0" t="n">
        <v>1.8</v>
      </c>
      <c r="K2046" s="0" t="s">
        <v>35</v>
      </c>
      <c r="L2046" s="0" t="n">
        <f aca="false">INDEX(Summary!$F$2:$F$201,MATCH($B2046,Summary!$A$2:$A$201,0))</f>
        <v>20</v>
      </c>
      <c r="M2046" s="0" t="n">
        <f aca="false">INDEX(Summary!$I$2:$I$201,MATCH($B2046,Summary!$A$2:$A$201,0))</f>
        <v>2</v>
      </c>
      <c r="N2046" s="0" t="n">
        <f aca="false">INDEX(Summary!$J$2:$J$201,MATCH($B2046,Summary!$A$2:$A$201,0))</f>
        <v>3</v>
      </c>
      <c r="O2046" s="2" t="n">
        <f aca="false">INDEX(Summary!$K$2:$K$201,MATCH($B2046,Summary!$A$2:$A$201,0))</f>
        <v>10</v>
      </c>
      <c r="P2046" s="3" t="n">
        <f aca="false">INDEX(Summary!$L$2:$L$201,MATCH($B2046,Summary!$A$2:$A$201,0))</f>
        <v>5</v>
      </c>
      <c r="Q2046" s="3" t="n">
        <f aca="false">INDEX(Summary!$M$2:$M$201,MATCH($B2046,Summary!$A$2:$A$201,0))</f>
        <v>1</v>
      </c>
      <c r="R2046" s="2" t="n">
        <f aca="false">INDEX(Summary!$N$2:$N$201,MATCH($B2046,Summary!$A$2:$A$201,0))</f>
        <v>10.77</v>
      </c>
      <c r="S2046" s="3" t="n">
        <f aca="false">INDEX(Summary!$O$2:$O$201,MATCH($B2046,Summary!$A$2:$A$201,0))</f>
        <v>5</v>
      </c>
      <c r="T2046" s="3" t="n">
        <f aca="false">INDEX(Summary!$P$2:$P$201,MATCH($B2046,Summary!$A$2:$A$201,0))</f>
        <v>4</v>
      </c>
      <c r="U2046" s="2" t="n">
        <f aca="false">INDEX(Summary!$Q$2:$Q$201,MATCH($B2046,Summary!$A$2:$A$201,0))</f>
        <v>13.26</v>
      </c>
      <c r="V2046" s="2" t="n">
        <f aca="false">INDEX(Summary!$R$2:$R$201,MATCH($B2046,Summary!$A$2:$A$201,0))</f>
        <v>22.55</v>
      </c>
      <c r="W2046" s="0" t="str">
        <f aca="false">INDEX(Summary!$S$2:$S$201,MATCH($B2046,Summary!$A$2:$A$201,0))</f>
        <v>Silver</v>
      </c>
      <c r="X2046" s="2" t="n">
        <f aca="false">INDEX(Summary!$T$2:$T$201,MATCH($B2046,Summary!$A$2:$A$201,0))</f>
        <v>55</v>
      </c>
      <c r="Y2046" s="0" t="str">
        <f aca="false">INDEX('Reward Model'!$E$18:$E$37,MATCH($E2046,'Reward Model'!$A$18:$A$37,0))</f>
        <v>Low</v>
      </c>
      <c r="Z2046" s="4" t="n">
        <f aca="false">ROUND(MIN(1,MAX('Reward Model'!$B$2,INDEX('Reward Model'!$C$12:$C$14,MATCH($K2046,'Reward Model'!$A$12:$A$14,0))/$J2046)),3)</f>
        <v>0.833</v>
      </c>
      <c r="AA2046" s="2" t="n">
        <f aca="false">IF($I2046="Correct",ROUND(INDEX('Reward Model'!$B$12:$B$14,MATCH($K2046,'Reward Model'!$A$12:$A$14,0))*Z2046,2),0)</f>
        <v>0</v>
      </c>
      <c r="AB2046" s="2" t="n">
        <f aca="false">IF($I2046="Correct",ROUND(INDEX('Reward Model'!$B$12:$B$14,MATCH($Y2046,'Reward Model'!$A$12:$A$14,0))*Z2046,2),0)</f>
        <v>0</v>
      </c>
    </row>
    <row r="2047" customFormat="false" ht="15" hidden="false" customHeight="false" outlineLevel="0" collapsed="false">
      <c r="A2047" s="0" t="s">
        <v>335</v>
      </c>
      <c r="B2047" s="0" t="s">
        <v>336</v>
      </c>
      <c r="C2047" s="0" t="s">
        <v>322</v>
      </c>
      <c r="D2047" s="0" t="s">
        <v>31</v>
      </c>
      <c r="E2047" s="0" t="n">
        <v>6</v>
      </c>
      <c r="F2047" s="0" t="s">
        <v>48</v>
      </c>
      <c r="G2047" s="0" t="s">
        <v>49</v>
      </c>
      <c r="H2047" s="0" t="s">
        <v>49</v>
      </c>
      <c r="I2047" s="0" t="s">
        <v>34</v>
      </c>
      <c r="J2047" s="0" t="n">
        <v>0.97</v>
      </c>
      <c r="K2047" s="0" t="s">
        <v>35</v>
      </c>
      <c r="L2047" s="0" t="n">
        <f aca="false">INDEX(Summary!$F$2:$F$201,MATCH($B2047,Summary!$A$2:$A$201,0))</f>
        <v>20</v>
      </c>
      <c r="M2047" s="0" t="n">
        <f aca="false">INDEX(Summary!$I$2:$I$201,MATCH($B2047,Summary!$A$2:$A$201,0))</f>
        <v>2</v>
      </c>
      <c r="N2047" s="0" t="n">
        <f aca="false">INDEX(Summary!$J$2:$J$201,MATCH($B2047,Summary!$A$2:$A$201,0))</f>
        <v>3</v>
      </c>
      <c r="O2047" s="2" t="n">
        <f aca="false">INDEX(Summary!$K$2:$K$201,MATCH($B2047,Summary!$A$2:$A$201,0))</f>
        <v>10</v>
      </c>
      <c r="P2047" s="3" t="n">
        <f aca="false">INDEX(Summary!$L$2:$L$201,MATCH($B2047,Summary!$A$2:$A$201,0))</f>
        <v>5</v>
      </c>
      <c r="Q2047" s="3" t="n">
        <f aca="false">INDEX(Summary!$M$2:$M$201,MATCH($B2047,Summary!$A$2:$A$201,0))</f>
        <v>1</v>
      </c>
      <c r="R2047" s="2" t="n">
        <f aca="false">INDEX(Summary!$N$2:$N$201,MATCH($B2047,Summary!$A$2:$A$201,0))</f>
        <v>10.77</v>
      </c>
      <c r="S2047" s="3" t="n">
        <f aca="false">INDEX(Summary!$O$2:$O$201,MATCH($B2047,Summary!$A$2:$A$201,0))</f>
        <v>5</v>
      </c>
      <c r="T2047" s="3" t="n">
        <f aca="false">INDEX(Summary!$P$2:$P$201,MATCH($B2047,Summary!$A$2:$A$201,0))</f>
        <v>4</v>
      </c>
      <c r="U2047" s="2" t="n">
        <f aca="false">INDEX(Summary!$Q$2:$Q$201,MATCH($B2047,Summary!$A$2:$A$201,0))</f>
        <v>13.26</v>
      </c>
      <c r="V2047" s="2" t="n">
        <f aca="false">INDEX(Summary!$R$2:$R$201,MATCH($B2047,Summary!$A$2:$A$201,0))</f>
        <v>22.55</v>
      </c>
      <c r="W2047" s="0" t="str">
        <f aca="false">INDEX(Summary!$S$2:$S$201,MATCH($B2047,Summary!$A$2:$A$201,0))</f>
        <v>Silver</v>
      </c>
      <c r="X2047" s="2" t="n">
        <f aca="false">INDEX(Summary!$T$2:$T$201,MATCH($B2047,Summary!$A$2:$A$201,0))</f>
        <v>55</v>
      </c>
      <c r="Y2047" s="0" t="str">
        <f aca="false">INDEX('Reward Model'!$E$18:$E$37,MATCH($E2047,'Reward Model'!$A$18:$A$37,0))</f>
        <v>Medium</v>
      </c>
      <c r="Z2047" s="4" t="n">
        <f aca="false">ROUND(MIN(1,MAX('Reward Model'!$B$2,INDEX('Reward Model'!$C$12:$C$14,MATCH($K2047,'Reward Model'!$A$12:$A$14,0))/$J2047)),3)</f>
        <v>1</v>
      </c>
      <c r="AA2047" s="2" t="n">
        <f aca="false">IF($I2047="Correct",ROUND(INDEX('Reward Model'!$B$12:$B$14,MATCH($K2047,'Reward Model'!$A$12:$A$14,0))*Z2047,2),0)</f>
        <v>1</v>
      </c>
      <c r="AB2047" s="2" t="n">
        <f aca="false">IF($I2047="Correct",ROUND(INDEX('Reward Model'!$B$12:$B$14,MATCH($Y2047,'Reward Model'!$A$12:$A$14,0))*Z2047,2),0)</f>
        <v>2</v>
      </c>
    </row>
    <row r="2048" customFormat="false" ht="15" hidden="false" customHeight="false" outlineLevel="0" collapsed="false">
      <c r="A2048" s="0" t="s">
        <v>335</v>
      </c>
      <c r="B2048" s="0" t="s">
        <v>336</v>
      </c>
      <c r="C2048" s="0" t="s">
        <v>322</v>
      </c>
      <c r="D2048" s="0" t="s">
        <v>31</v>
      </c>
      <c r="E2048" s="0" t="n">
        <v>7</v>
      </c>
      <c r="F2048" s="0" t="s">
        <v>50</v>
      </c>
      <c r="G2048" s="0" t="s">
        <v>51</v>
      </c>
      <c r="H2048" s="0" t="s">
        <v>51</v>
      </c>
      <c r="I2048" s="0" t="s">
        <v>34</v>
      </c>
      <c r="J2048" s="0" t="n">
        <v>1.97</v>
      </c>
      <c r="K2048" s="0" t="s">
        <v>35</v>
      </c>
      <c r="L2048" s="0" t="n">
        <f aca="false">INDEX(Summary!$F$2:$F$201,MATCH($B2048,Summary!$A$2:$A$201,0))</f>
        <v>20</v>
      </c>
      <c r="M2048" s="0" t="n">
        <f aca="false">INDEX(Summary!$I$2:$I$201,MATCH($B2048,Summary!$A$2:$A$201,0))</f>
        <v>2</v>
      </c>
      <c r="N2048" s="0" t="n">
        <f aca="false">INDEX(Summary!$J$2:$J$201,MATCH($B2048,Summary!$A$2:$A$201,0))</f>
        <v>3</v>
      </c>
      <c r="O2048" s="2" t="n">
        <f aca="false">INDEX(Summary!$K$2:$K$201,MATCH($B2048,Summary!$A$2:$A$201,0))</f>
        <v>10</v>
      </c>
      <c r="P2048" s="3" t="n">
        <f aca="false">INDEX(Summary!$L$2:$L$201,MATCH($B2048,Summary!$A$2:$A$201,0))</f>
        <v>5</v>
      </c>
      <c r="Q2048" s="3" t="n">
        <f aca="false">INDEX(Summary!$M$2:$M$201,MATCH($B2048,Summary!$A$2:$A$201,0))</f>
        <v>1</v>
      </c>
      <c r="R2048" s="2" t="n">
        <f aca="false">INDEX(Summary!$N$2:$N$201,MATCH($B2048,Summary!$A$2:$A$201,0))</f>
        <v>10.77</v>
      </c>
      <c r="S2048" s="3" t="n">
        <f aca="false">INDEX(Summary!$O$2:$O$201,MATCH($B2048,Summary!$A$2:$A$201,0))</f>
        <v>5</v>
      </c>
      <c r="T2048" s="3" t="n">
        <f aca="false">INDEX(Summary!$P$2:$P$201,MATCH($B2048,Summary!$A$2:$A$201,0))</f>
        <v>4</v>
      </c>
      <c r="U2048" s="2" t="n">
        <f aca="false">INDEX(Summary!$Q$2:$Q$201,MATCH($B2048,Summary!$A$2:$A$201,0))</f>
        <v>13.26</v>
      </c>
      <c r="V2048" s="2" t="n">
        <f aca="false">INDEX(Summary!$R$2:$R$201,MATCH($B2048,Summary!$A$2:$A$201,0))</f>
        <v>22.55</v>
      </c>
      <c r="W2048" s="0" t="str">
        <f aca="false">INDEX(Summary!$S$2:$S$201,MATCH($B2048,Summary!$A$2:$A$201,0))</f>
        <v>Silver</v>
      </c>
      <c r="X2048" s="2" t="n">
        <f aca="false">INDEX(Summary!$T$2:$T$201,MATCH($B2048,Summary!$A$2:$A$201,0))</f>
        <v>55</v>
      </c>
      <c r="Y2048" s="0" t="str">
        <f aca="false">INDEX('Reward Model'!$E$18:$E$37,MATCH($E2048,'Reward Model'!$A$18:$A$37,0))</f>
        <v>Low</v>
      </c>
      <c r="Z2048" s="4" t="n">
        <f aca="false">ROUND(MIN(1,MAX('Reward Model'!$B$2,INDEX('Reward Model'!$C$12:$C$14,MATCH($K2048,'Reward Model'!$A$12:$A$14,0))/$J2048)),3)</f>
        <v>0.761</v>
      </c>
      <c r="AA2048" s="2" t="n">
        <f aca="false">IF($I2048="Correct",ROUND(INDEX('Reward Model'!$B$12:$B$14,MATCH($K2048,'Reward Model'!$A$12:$A$14,0))*Z2048,2),0)</f>
        <v>0.76</v>
      </c>
      <c r="AB2048" s="2" t="n">
        <f aca="false">IF($I2048="Correct",ROUND(INDEX('Reward Model'!$B$12:$B$14,MATCH($Y2048,'Reward Model'!$A$12:$A$14,0))*Z2048,2),0)</f>
        <v>0.76</v>
      </c>
    </row>
    <row r="2049" customFormat="false" ht="15" hidden="false" customHeight="false" outlineLevel="0" collapsed="false">
      <c r="A2049" s="0" t="s">
        <v>335</v>
      </c>
      <c r="B2049" s="0" t="s">
        <v>336</v>
      </c>
      <c r="C2049" s="0" t="s">
        <v>322</v>
      </c>
      <c r="D2049" s="0" t="s">
        <v>31</v>
      </c>
      <c r="E2049" s="0" t="n">
        <v>8</v>
      </c>
      <c r="F2049" s="0" t="s">
        <v>52</v>
      </c>
      <c r="G2049" s="0" t="s">
        <v>53</v>
      </c>
      <c r="H2049" s="0" t="s">
        <v>54</v>
      </c>
      <c r="I2049" s="0" t="s">
        <v>39</v>
      </c>
      <c r="J2049" s="0" t="n">
        <v>1.53</v>
      </c>
      <c r="K2049" s="0" t="s">
        <v>35</v>
      </c>
      <c r="L2049" s="0" t="n">
        <f aca="false">INDEX(Summary!$F$2:$F$201,MATCH($B2049,Summary!$A$2:$A$201,0))</f>
        <v>20</v>
      </c>
      <c r="M2049" s="0" t="n">
        <f aca="false">INDEX(Summary!$I$2:$I$201,MATCH($B2049,Summary!$A$2:$A$201,0))</f>
        <v>2</v>
      </c>
      <c r="N2049" s="0" t="n">
        <f aca="false">INDEX(Summary!$J$2:$J$201,MATCH($B2049,Summary!$A$2:$A$201,0))</f>
        <v>3</v>
      </c>
      <c r="O2049" s="2" t="n">
        <f aca="false">INDEX(Summary!$K$2:$K$201,MATCH($B2049,Summary!$A$2:$A$201,0))</f>
        <v>10</v>
      </c>
      <c r="P2049" s="3" t="n">
        <f aca="false">INDEX(Summary!$L$2:$L$201,MATCH($B2049,Summary!$A$2:$A$201,0))</f>
        <v>5</v>
      </c>
      <c r="Q2049" s="3" t="n">
        <f aca="false">INDEX(Summary!$M$2:$M$201,MATCH($B2049,Summary!$A$2:$A$201,0))</f>
        <v>1</v>
      </c>
      <c r="R2049" s="2" t="n">
        <f aca="false">INDEX(Summary!$N$2:$N$201,MATCH($B2049,Summary!$A$2:$A$201,0))</f>
        <v>10.77</v>
      </c>
      <c r="S2049" s="3" t="n">
        <f aca="false">INDEX(Summary!$O$2:$O$201,MATCH($B2049,Summary!$A$2:$A$201,0))</f>
        <v>5</v>
      </c>
      <c r="T2049" s="3" t="n">
        <f aca="false">INDEX(Summary!$P$2:$P$201,MATCH($B2049,Summary!$A$2:$A$201,0))</f>
        <v>4</v>
      </c>
      <c r="U2049" s="2" t="n">
        <f aca="false">INDEX(Summary!$Q$2:$Q$201,MATCH($B2049,Summary!$A$2:$A$201,0))</f>
        <v>13.26</v>
      </c>
      <c r="V2049" s="2" t="n">
        <f aca="false">INDEX(Summary!$R$2:$R$201,MATCH($B2049,Summary!$A$2:$A$201,0))</f>
        <v>22.55</v>
      </c>
      <c r="W2049" s="0" t="str">
        <f aca="false">INDEX(Summary!$S$2:$S$201,MATCH($B2049,Summary!$A$2:$A$201,0))</f>
        <v>Silver</v>
      </c>
      <c r="X2049" s="2" t="n">
        <f aca="false">INDEX(Summary!$T$2:$T$201,MATCH($B2049,Summary!$A$2:$A$201,0))</f>
        <v>55</v>
      </c>
      <c r="Y2049" s="0" t="str">
        <f aca="false">INDEX('Reward Model'!$E$18:$E$37,MATCH($E2049,'Reward Model'!$A$18:$A$37,0))</f>
        <v>Medium</v>
      </c>
      <c r="Z2049" s="4" t="n">
        <f aca="false">ROUND(MIN(1,MAX('Reward Model'!$B$2,INDEX('Reward Model'!$C$12:$C$14,MATCH($K2049,'Reward Model'!$A$12:$A$14,0))/$J2049)),3)</f>
        <v>0.98</v>
      </c>
      <c r="AA2049" s="2" t="n">
        <f aca="false">IF($I2049="Correct",ROUND(INDEX('Reward Model'!$B$12:$B$14,MATCH($K2049,'Reward Model'!$A$12:$A$14,0))*Z2049,2),0)</f>
        <v>0</v>
      </c>
      <c r="AB2049" s="2" t="n">
        <f aca="false">IF($I2049="Correct",ROUND(INDEX('Reward Model'!$B$12:$B$14,MATCH($Y2049,'Reward Model'!$A$12:$A$14,0))*Z2049,2),0)</f>
        <v>0</v>
      </c>
    </row>
    <row r="2050" customFormat="false" ht="15" hidden="false" customHeight="false" outlineLevel="0" collapsed="false">
      <c r="A2050" s="0" t="s">
        <v>335</v>
      </c>
      <c r="B2050" s="0" t="s">
        <v>336</v>
      </c>
      <c r="C2050" s="0" t="s">
        <v>322</v>
      </c>
      <c r="D2050" s="0" t="s">
        <v>31</v>
      </c>
      <c r="E2050" s="0" t="n">
        <v>9</v>
      </c>
      <c r="F2050" s="0" t="s">
        <v>55</v>
      </c>
      <c r="G2050" s="0" t="s">
        <v>57</v>
      </c>
      <c r="H2050" s="0" t="s">
        <v>57</v>
      </c>
      <c r="I2050" s="0" t="s">
        <v>34</v>
      </c>
      <c r="J2050" s="0" t="n">
        <v>1.54</v>
      </c>
      <c r="K2050" s="0" t="s">
        <v>35</v>
      </c>
      <c r="L2050" s="0" t="n">
        <f aca="false">INDEX(Summary!$F$2:$F$201,MATCH($B2050,Summary!$A$2:$A$201,0))</f>
        <v>20</v>
      </c>
      <c r="M2050" s="0" t="n">
        <f aca="false">INDEX(Summary!$I$2:$I$201,MATCH($B2050,Summary!$A$2:$A$201,0))</f>
        <v>2</v>
      </c>
      <c r="N2050" s="0" t="n">
        <f aca="false">INDEX(Summary!$J$2:$J$201,MATCH($B2050,Summary!$A$2:$A$201,0))</f>
        <v>3</v>
      </c>
      <c r="O2050" s="2" t="n">
        <f aca="false">INDEX(Summary!$K$2:$K$201,MATCH($B2050,Summary!$A$2:$A$201,0))</f>
        <v>10</v>
      </c>
      <c r="P2050" s="3" t="n">
        <f aca="false">INDEX(Summary!$L$2:$L$201,MATCH($B2050,Summary!$A$2:$A$201,0))</f>
        <v>5</v>
      </c>
      <c r="Q2050" s="3" t="n">
        <f aca="false">INDEX(Summary!$M$2:$M$201,MATCH($B2050,Summary!$A$2:$A$201,0))</f>
        <v>1</v>
      </c>
      <c r="R2050" s="2" t="n">
        <f aca="false">INDEX(Summary!$N$2:$N$201,MATCH($B2050,Summary!$A$2:$A$201,0))</f>
        <v>10.77</v>
      </c>
      <c r="S2050" s="3" t="n">
        <f aca="false">INDEX(Summary!$O$2:$O$201,MATCH($B2050,Summary!$A$2:$A$201,0))</f>
        <v>5</v>
      </c>
      <c r="T2050" s="3" t="n">
        <f aca="false">INDEX(Summary!$P$2:$P$201,MATCH($B2050,Summary!$A$2:$A$201,0))</f>
        <v>4</v>
      </c>
      <c r="U2050" s="2" t="n">
        <f aca="false">INDEX(Summary!$Q$2:$Q$201,MATCH($B2050,Summary!$A$2:$A$201,0))</f>
        <v>13.26</v>
      </c>
      <c r="V2050" s="2" t="n">
        <f aca="false">INDEX(Summary!$R$2:$R$201,MATCH($B2050,Summary!$A$2:$A$201,0))</f>
        <v>22.55</v>
      </c>
      <c r="W2050" s="0" t="str">
        <f aca="false">INDEX(Summary!$S$2:$S$201,MATCH($B2050,Summary!$A$2:$A$201,0))</f>
        <v>Silver</v>
      </c>
      <c r="X2050" s="2" t="n">
        <f aca="false">INDEX(Summary!$T$2:$T$201,MATCH($B2050,Summary!$A$2:$A$201,0))</f>
        <v>55</v>
      </c>
      <c r="Y2050" s="0" t="str">
        <f aca="false">INDEX('Reward Model'!$E$18:$E$37,MATCH($E2050,'Reward Model'!$A$18:$A$37,0))</f>
        <v>Medium</v>
      </c>
      <c r="Z2050" s="4" t="n">
        <f aca="false">ROUND(MIN(1,MAX('Reward Model'!$B$2,INDEX('Reward Model'!$C$12:$C$14,MATCH($K2050,'Reward Model'!$A$12:$A$14,0))/$J2050)),3)</f>
        <v>0.974</v>
      </c>
      <c r="AA2050" s="2" t="n">
        <f aca="false">IF($I2050="Correct",ROUND(INDEX('Reward Model'!$B$12:$B$14,MATCH($K2050,'Reward Model'!$A$12:$A$14,0))*Z2050,2),0)</f>
        <v>0.97</v>
      </c>
      <c r="AB2050" s="2" t="n">
        <f aca="false">IF($I2050="Correct",ROUND(INDEX('Reward Model'!$B$12:$B$14,MATCH($Y2050,'Reward Model'!$A$12:$A$14,0))*Z2050,2),0)</f>
        <v>1.95</v>
      </c>
    </row>
    <row r="2051" customFormat="false" ht="15" hidden="false" customHeight="false" outlineLevel="0" collapsed="false">
      <c r="A2051" s="0" t="s">
        <v>335</v>
      </c>
      <c r="B2051" s="0" t="s">
        <v>336</v>
      </c>
      <c r="C2051" s="0" t="s">
        <v>322</v>
      </c>
      <c r="D2051" s="0" t="s">
        <v>31</v>
      </c>
      <c r="E2051" s="0" t="n">
        <v>10</v>
      </c>
      <c r="F2051" s="0" t="s">
        <v>58</v>
      </c>
      <c r="G2051" s="0" t="s">
        <v>59</v>
      </c>
      <c r="H2051" s="0" t="s">
        <v>59</v>
      </c>
      <c r="I2051" s="0" t="s">
        <v>34</v>
      </c>
      <c r="J2051" s="0" t="n">
        <v>2.24</v>
      </c>
      <c r="K2051" s="0" t="s">
        <v>60</v>
      </c>
      <c r="L2051" s="0" t="n">
        <f aca="false">INDEX(Summary!$F$2:$F$201,MATCH($B2051,Summary!$A$2:$A$201,0))</f>
        <v>20</v>
      </c>
      <c r="M2051" s="0" t="n">
        <f aca="false">INDEX(Summary!$I$2:$I$201,MATCH($B2051,Summary!$A$2:$A$201,0))</f>
        <v>2</v>
      </c>
      <c r="N2051" s="0" t="n">
        <f aca="false">INDEX(Summary!$J$2:$J$201,MATCH($B2051,Summary!$A$2:$A$201,0))</f>
        <v>3</v>
      </c>
      <c r="O2051" s="2" t="n">
        <f aca="false">INDEX(Summary!$K$2:$K$201,MATCH($B2051,Summary!$A$2:$A$201,0))</f>
        <v>10</v>
      </c>
      <c r="P2051" s="3" t="n">
        <f aca="false">INDEX(Summary!$L$2:$L$201,MATCH($B2051,Summary!$A$2:$A$201,0))</f>
        <v>5</v>
      </c>
      <c r="Q2051" s="3" t="n">
        <f aca="false">INDEX(Summary!$M$2:$M$201,MATCH($B2051,Summary!$A$2:$A$201,0))</f>
        <v>1</v>
      </c>
      <c r="R2051" s="2" t="n">
        <f aca="false">INDEX(Summary!$N$2:$N$201,MATCH($B2051,Summary!$A$2:$A$201,0))</f>
        <v>10.77</v>
      </c>
      <c r="S2051" s="3" t="n">
        <f aca="false">INDEX(Summary!$O$2:$O$201,MATCH($B2051,Summary!$A$2:$A$201,0))</f>
        <v>5</v>
      </c>
      <c r="T2051" s="3" t="n">
        <f aca="false">INDEX(Summary!$P$2:$P$201,MATCH($B2051,Summary!$A$2:$A$201,0))</f>
        <v>4</v>
      </c>
      <c r="U2051" s="2" t="n">
        <f aca="false">INDEX(Summary!$Q$2:$Q$201,MATCH($B2051,Summary!$A$2:$A$201,0))</f>
        <v>13.26</v>
      </c>
      <c r="V2051" s="2" t="n">
        <f aca="false">INDEX(Summary!$R$2:$R$201,MATCH($B2051,Summary!$A$2:$A$201,0))</f>
        <v>22.55</v>
      </c>
      <c r="W2051" s="0" t="str">
        <f aca="false">INDEX(Summary!$S$2:$S$201,MATCH($B2051,Summary!$A$2:$A$201,0))</f>
        <v>Silver</v>
      </c>
      <c r="X2051" s="2" t="n">
        <f aca="false">INDEX(Summary!$T$2:$T$201,MATCH($B2051,Summary!$A$2:$A$201,0))</f>
        <v>55</v>
      </c>
      <c r="Y2051" s="0" t="str">
        <f aca="false">INDEX('Reward Model'!$E$18:$E$37,MATCH($E2051,'Reward Model'!$A$18:$A$37,0))</f>
        <v>Medium</v>
      </c>
      <c r="Z2051" s="4" t="n">
        <f aca="false">ROUND(MIN(1,MAX('Reward Model'!$B$2,INDEX('Reward Model'!$C$12:$C$14,MATCH($K2051,'Reward Model'!$A$12:$A$14,0))/$J2051)),3)</f>
        <v>0.804</v>
      </c>
      <c r="AA2051" s="2" t="n">
        <f aca="false">IF($I2051="Correct",ROUND(INDEX('Reward Model'!$B$12:$B$14,MATCH($K2051,'Reward Model'!$A$12:$A$14,0))*Z2051,2),0)</f>
        <v>1.61</v>
      </c>
      <c r="AB2051" s="2" t="n">
        <f aca="false">IF($I2051="Correct",ROUND(INDEX('Reward Model'!$B$12:$B$14,MATCH($Y2051,'Reward Model'!$A$12:$A$14,0))*Z2051,2),0)</f>
        <v>1.61</v>
      </c>
    </row>
    <row r="2052" customFormat="false" ht="15" hidden="false" customHeight="false" outlineLevel="0" collapsed="false">
      <c r="A2052" s="0" t="s">
        <v>335</v>
      </c>
      <c r="B2052" s="0" t="s">
        <v>336</v>
      </c>
      <c r="C2052" s="0" t="s">
        <v>322</v>
      </c>
      <c r="D2052" s="0" t="s">
        <v>31</v>
      </c>
      <c r="E2052" s="0" t="n">
        <v>11</v>
      </c>
      <c r="F2052" s="0" t="s">
        <v>61</v>
      </c>
      <c r="G2052" s="0" t="s">
        <v>63</v>
      </c>
      <c r="H2052" s="0" t="s">
        <v>63</v>
      </c>
      <c r="I2052" s="0" t="s">
        <v>34</v>
      </c>
      <c r="J2052" s="0" t="n">
        <v>2.05</v>
      </c>
      <c r="K2052" s="0" t="s">
        <v>60</v>
      </c>
      <c r="L2052" s="0" t="n">
        <f aca="false">INDEX(Summary!$F$2:$F$201,MATCH($B2052,Summary!$A$2:$A$201,0))</f>
        <v>20</v>
      </c>
      <c r="M2052" s="0" t="n">
        <f aca="false">INDEX(Summary!$I$2:$I$201,MATCH($B2052,Summary!$A$2:$A$201,0))</f>
        <v>2</v>
      </c>
      <c r="N2052" s="0" t="n">
        <f aca="false">INDEX(Summary!$J$2:$J$201,MATCH($B2052,Summary!$A$2:$A$201,0))</f>
        <v>3</v>
      </c>
      <c r="O2052" s="2" t="n">
        <f aca="false">INDEX(Summary!$K$2:$K$201,MATCH($B2052,Summary!$A$2:$A$201,0))</f>
        <v>10</v>
      </c>
      <c r="P2052" s="3" t="n">
        <f aca="false">INDEX(Summary!$L$2:$L$201,MATCH($B2052,Summary!$A$2:$A$201,0))</f>
        <v>5</v>
      </c>
      <c r="Q2052" s="3" t="n">
        <f aca="false">INDEX(Summary!$M$2:$M$201,MATCH($B2052,Summary!$A$2:$A$201,0))</f>
        <v>1</v>
      </c>
      <c r="R2052" s="2" t="n">
        <f aca="false">INDEX(Summary!$N$2:$N$201,MATCH($B2052,Summary!$A$2:$A$201,0))</f>
        <v>10.77</v>
      </c>
      <c r="S2052" s="3" t="n">
        <f aca="false">INDEX(Summary!$O$2:$O$201,MATCH($B2052,Summary!$A$2:$A$201,0))</f>
        <v>5</v>
      </c>
      <c r="T2052" s="3" t="n">
        <f aca="false">INDEX(Summary!$P$2:$P$201,MATCH($B2052,Summary!$A$2:$A$201,0))</f>
        <v>4</v>
      </c>
      <c r="U2052" s="2" t="n">
        <f aca="false">INDEX(Summary!$Q$2:$Q$201,MATCH($B2052,Summary!$A$2:$A$201,0))</f>
        <v>13.26</v>
      </c>
      <c r="V2052" s="2" t="n">
        <f aca="false">INDEX(Summary!$R$2:$R$201,MATCH($B2052,Summary!$A$2:$A$201,0))</f>
        <v>22.55</v>
      </c>
      <c r="W2052" s="0" t="str">
        <f aca="false">INDEX(Summary!$S$2:$S$201,MATCH($B2052,Summary!$A$2:$A$201,0))</f>
        <v>Silver</v>
      </c>
      <c r="X2052" s="2" t="n">
        <f aca="false">INDEX(Summary!$T$2:$T$201,MATCH($B2052,Summary!$A$2:$A$201,0))</f>
        <v>55</v>
      </c>
      <c r="Y2052" s="0" t="str">
        <f aca="false">INDEX('Reward Model'!$E$18:$E$37,MATCH($E2052,'Reward Model'!$A$18:$A$37,0))</f>
        <v>Medium</v>
      </c>
      <c r="Z2052" s="4" t="n">
        <f aca="false">ROUND(MIN(1,MAX('Reward Model'!$B$2,INDEX('Reward Model'!$C$12:$C$14,MATCH($K2052,'Reward Model'!$A$12:$A$14,0))/$J2052)),3)</f>
        <v>0.878</v>
      </c>
      <c r="AA2052" s="2" t="n">
        <f aca="false">IF($I2052="Correct",ROUND(INDEX('Reward Model'!$B$12:$B$14,MATCH($K2052,'Reward Model'!$A$12:$A$14,0))*Z2052,2),0)</f>
        <v>1.76</v>
      </c>
      <c r="AB2052" s="2" t="n">
        <f aca="false">IF($I2052="Correct",ROUND(INDEX('Reward Model'!$B$12:$B$14,MATCH($Y2052,'Reward Model'!$A$12:$A$14,0))*Z2052,2),0)</f>
        <v>1.76</v>
      </c>
    </row>
    <row r="2053" customFormat="false" ht="15" hidden="false" customHeight="false" outlineLevel="0" collapsed="false">
      <c r="A2053" s="0" t="s">
        <v>335</v>
      </c>
      <c r="B2053" s="0" t="s">
        <v>336</v>
      </c>
      <c r="C2053" s="0" t="s">
        <v>322</v>
      </c>
      <c r="D2053" s="0" t="s">
        <v>31</v>
      </c>
      <c r="E2053" s="0" t="n">
        <v>12</v>
      </c>
      <c r="F2053" s="0" t="s">
        <v>64</v>
      </c>
      <c r="G2053" s="0" t="s">
        <v>65</v>
      </c>
      <c r="H2053" s="0" t="s">
        <v>65</v>
      </c>
      <c r="I2053" s="0" t="s">
        <v>34</v>
      </c>
      <c r="J2053" s="0" t="n">
        <v>2.08</v>
      </c>
      <c r="K2053" s="0" t="s">
        <v>60</v>
      </c>
      <c r="L2053" s="0" t="n">
        <f aca="false">INDEX(Summary!$F$2:$F$201,MATCH($B2053,Summary!$A$2:$A$201,0))</f>
        <v>20</v>
      </c>
      <c r="M2053" s="0" t="n">
        <f aca="false">INDEX(Summary!$I$2:$I$201,MATCH($B2053,Summary!$A$2:$A$201,0))</f>
        <v>2</v>
      </c>
      <c r="N2053" s="0" t="n">
        <f aca="false">INDEX(Summary!$J$2:$J$201,MATCH($B2053,Summary!$A$2:$A$201,0))</f>
        <v>3</v>
      </c>
      <c r="O2053" s="2" t="n">
        <f aca="false">INDEX(Summary!$K$2:$K$201,MATCH($B2053,Summary!$A$2:$A$201,0))</f>
        <v>10</v>
      </c>
      <c r="P2053" s="3" t="n">
        <f aca="false">INDEX(Summary!$L$2:$L$201,MATCH($B2053,Summary!$A$2:$A$201,0))</f>
        <v>5</v>
      </c>
      <c r="Q2053" s="3" t="n">
        <f aca="false">INDEX(Summary!$M$2:$M$201,MATCH($B2053,Summary!$A$2:$A$201,0))</f>
        <v>1</v>
      </c>
      <c r="R2053" s="2" t="n">
        <f aca="false">INDEX(Summary!$N$2:$N$201,MATCH($B2053,Summary!$A$2:$A$201,0))</f>
        <v>10.77</v>
      </c>
      <c r="S2053" s="3" t="n">
        <f aca="false">INDEX(Summary!$O$2:$O$201,MATCH($B2053,Summary!$A$2:$A$201,0))</f>
        <v>5</v>
      </c>
      <c r="T2053" s="3" t="n">
        <f aca="false">INDEX(Summary!$P$2:$P$201,MATCH($B2053,Summary!$A$2:$A$201,0))</f>
        <v>4</v>
      </c>
      <c r="U2053" s="2" t="n">
        <f aca="false">INDEX(Summary!$Q$2:$Q$201,MATCH($B2053,Summary!$A$2:$A$201,0))</f>
        <v>13.26</v>
      </c>
      <c r="V2053" s="2" t="n">
        <f aca="false">INDEX(Summary!$R$2:$R$201,MATCH($B2053,Summary!$A$2:$A$201,0))</f>
        <v>22.55</v>
      </c>
      <c r="W2053" s="0" t="str">
        <f aca="false">INDEX(Summary!$S$2:$S$201,MATCH($B2053,Summary!$A$2:$A$201,0))</f>
        <v>Silver</v>
      </c>
      <c r="X2053" s="2" t="n">
        <f aca="false">INDEX(Summary!$T$2:$T$201,MATCH($B2053,Summary!$A$2:$A$201,0))</f>
        <v>55</v>
      </c>
      <c r="Y2053" s="0" t="str">
        <f aca="false">INDEX('Reward Model'!$E$18:$E$37,MATCH($E2053,'Reward Model'!$A$18:$A$37,0))</f>
        <v>Medium</v>
      </c>
      <c r="Z2053" s="4" t="n">
        <f aca="false">ROUND(MIN(1,MAX('Reward Model'!$B$2,INDEX('Reward Model'!$C$12:$C$14,MATCH($K2053,'Reward Model'!$A$12:$A$14,0))/$J2053)),3)</f>
        <v>0.865</v>
      </c>
      <c r="AA2053" s="2" t="n">
        <f aca="false">IF($I2053="Correct",ROUND(INDEX('Reward Model'!$B$12:$B$14,MATCH($K2053,'Reward Model'!$A$12:$A$14,0))*Z2053,2),0)</f>
        <v>1.73</v>
      </c>
      <c r="AB2053" s="2" t="n">
        <f aca="false">IF($I2053="Correct",ROUND(INDEX('Reward Model'!$B$12:$B$14,MATCH($Y2053,'Reward Model'!$A$12:$A$14,0))*Z2053,2),0)</f>
        <v>1.73</v>
      </c>
    </row>
    <row r="2054" customFormat="false" ht="15" hidden="false" customHeight="false" outlineLevel="0" collapsed="false">
      <c r="A2054" s="0" t="s">
        <v>335</v>
      </c>
      <c r="B2054" s="0" t="s">
        <v>336</v>
      </c>
      <c r="C2054" s="0" t="s">
        <v>322</v>
      </c>
      <c r="D2054" s="0" t="s">
        <v>31</v>
      </c>
      <c r="E2054" s="0" t="n">
        <v>13</v>
      </c>
      <c r="F2054" s="0" t="s">
        <v>66</v>
      </c>
      <c r="G2054" s="0" t="s">
        <v>67</v>
      </c>
      <c r="H2054" s="0" t="s">
        <v>67</v>
      </c>
      <c r="I2054" s="0" t="s">
        <v>34</v>
      </c>
      <c r="J2054" s="0" t="n">
        <v>1.42</v>
      </c>
      <c r="K2054" s="0" t="s">
        <v>60</v>
      </c>
      <c r="L2054" s="0" t="n">
        <f aca="false">INDEX(Summary!$F$2:$F$201,MATCH($B2054,Summary!$A$2:$A$201,0))</f>
        <v>20</v>
      </c>
      <c r="M2054" s="0" t="n">
        <f aca="false">INDEX(Summary!$I$2:$I$201,MATCH($B2054,Summary!$A$2:$A$201,0))</f>
        <v>2</v>
      </c>
      <c r="N2054" s="0" t="n">
        <f aca="false">INDEX(Summary!$J$2:$J$201,MATCH($B2054,Summary!$A$2:$A$201,0))</f>
        <v>3</v>
      </c>
      <c r="O2054" s="2" t="n">
        <f aca="false">INDEX(Summary!$K$2:$K$201,MATCH($B2054,Summary!$A$2:$A$201,0))</f>
        <v>10</v>
      </c>
      <c r="P2054" s="3" t="n">
        <f aca="false">INDEX(Summary!$L$2:$L$201,MATCH($B2054,Summary!$A$2:$A$201,0))</f>
        <v>5</v>
      </c>
      <c r="Q2054" s="3" t="n">
        <f aca="false">INDEX(Summary!$M$2:$M$201,MATCH($B2054,Summary!$A$2:$A$201,0))</f>
        <v>1</v>
      </c>
      <c r="R2054" s="2" t="n">
        <f aca="false">INDEX(Summary!$N$2:$N$201,MATCH($B2054,Summary!$A$2:$A$201,0))</f>
        <v>10.77</v>
      </c>
      <c r="S2054" s="3" t="n">
        <f aca="false">INDEX(Summary!$O$2:$O$201,MATCH($B2054,Summary!$A$2:$A$201,0))</f>
        <v>5</v>
      </c>
      <c r="T2054" s="3" t="n">
        <f aca="false">INDEX(Summary!$P$2:$P$201,MATCH($B2054,Summary!$A$2:$A$201,0))</f>
        <v>4</v>
      </c>
      <c r="U2054" s="2" t="n">
        <f aca="false">INDEX(Summary!$Q$2:$Q$201,MATCH($B2054,Summary!$A$2:$A$201,0))</f>
        <v>13.26</v>
      </c>
      <c r="V2054" s="2" t="n">
        <f aca="false">INDEX(Summary!$R$2:$R$201,MATCH($B2054,Summary!$A$2:$A$201,0))</f>
        <v>22.55</v>
      </c>
      <c r="W2054" s="0" t="str">
        <f aca="false">INDEX(Summary!$S$2:$S$201,MATCH($B2054,Summary!$A$2:$A$201,0))</f>
        <v>Silver</v>
      </c>
      <c r="X2054" s="2" t="n">
        <f aca="false">INDEX(Summary!$T$2:$T$201,MATCH($B2054,Summary!$A$2:$A$201,0))</f>
        <v>55</v>
      </c>
      <c r="Y2054" s="0" t="str">
        <f aca="false">INDEX('Reward Model'!$E$18:$E$37,MATCH($E2054,'Reward Model'!$A$18:$A$37,0))</f>
        <v>Medium</v>
      </c>
      <c r="Z2054" s="4" t="n">
        <f aca="false">ROUND(MIN(1,MAX('Reward Model'!$B$2,INDEX('Reward Model'!$C$12:$C$14,MATCH($K2054,'Reward Model'!$A$12:$A$14,0))/$J2054)),3)</f>
        <v>1</v>
      </c>
      <c r="AA2054" s="2" t="n">
        <f aca="false">IF($I2054="Correct",ROUND(INDEX('Reward Model'!$B$12:$B$14,MATCH($K2054,'Reward Model'!$A$12:$A$14,0))*Z2054,2),0)</f>
        <v>2</v>
      </c>
      <c r="AB2054" s="2" t="n">
        <f aca="false">IF($I2054="Correct",ROUND(INDEX('Reward Model'!$B$12:$B$14,MATCH($Y2054,'Reward Model'!$A$12:$A$14,0))*Z2054,2),0)</f>
        <v>2</v>
      </c>
    </row>
    <row r="2055" customFormat="false" ht="15" hidden="false" customHeight="false" outlineLevel="0" collapsed="false">
      <c r="A2055" s="0" t="s">
        <v>335</v>
      </c>
      <c r="B2055" s="0" t="s">
        <v>336</v>
      </c>
      <c r="C2055" s="0" t="s">
        <v>322</v>
      </c>
      <c r="D2055" s="0" t="s">
        <v>31</v>
      </c>
      <c r="E2055" s="0" t="n">
        <v>14</v>
      </c>
      <c r="F2055" s="0" t="s">
        <v>68</v>
      </c>
      <c r="G2055" s="0" t="s">
        <v>51</v>
      </c>
      <c r="H2055" s="0" t="s">
        <v>51</v>
      </c>
      <c r="I2055" s="0" t="s">
        <v>34</v>
      </c>
      <c r="J2055" s="0" t="n">
        <v>1.35</v>
      </c>
      <c r="K2055" s="0" t="s">
        <v>60</v>
      </c>
      <c r="L2055" s="0" t="n">
        <f aca="false">INDEX(Summary!$F$2:$F$201,MATCH($B2055,Summary!$A$2:$A$201,0))</f>
        <v>20</v>
      </c>
      <c r="M2055" s="0" t="n">
        <f aca="false">INDEX(Summary!$I$2:$I$201,MATCH($B2055,Summary!$A$2:$A$201,0))</f>
        <v>2</v>
      </c>
      <c r="N2055" s="0" t="n">
        <f aca="false">INDEX(Summary!$J$2:$J$201,MATCH($B2055,Summary!$A$2:$A$201,0))</f>
        <v>3</v>
      </c>
      <c r="O2055" s="2" t="n">
        <f aca="false">INDEX(Summary!$K$2:$K$201,MATCH($B2055,Summary!$A$2:$A$201,0))</f>
        <v>10</v>
      </c>
      <c r="P2055" s="3" t="n">
        <f aca="false">INDEX(Summary!$L$2:$L$201,MATCH($B2055,Summary!$A$2:$A$201,0))</f>
        <v>5</v>
      </c>
      <c r="Q2055" s="3" t="n">
        <f aca="false">INDEX(Summary!$M$2:$M$201,MATCH($B2055,Summary!$A$2:$A$201,0))</f>
        <v>1</v>
      </c>
      <c r="R2055" s="2" t="n">
        <f aca="false">INDEX(Summary!$N$2:$N$201,MATCH($B2055,Summary!$A$2:$A$201,0))</f>
        <v>10.77</v>
      </c>
      <c r="S2055" s="3" t="n">
        <f aca="false">INDEX(Summary!$O$2:$O$201,MATCH($B2055,Summary!$A$2:$A$201,0))</f>
        <v>5</v>
      </c>
      <c r="T2055" s="3" t="n">
        <f aca="false">INDEX(Summary!$P$2:$P$201,MATCH($B2055,Summary!$A$2:$A$201,0))</f>
        <v>4</v>
      </c>
      <c r="U2055" s="2" t="n">
        <f aca="false">INDEX(Summary!$Q$2:$Q$201,MATCH($B2055,Summary!$A$2:$A$201,0))</f>
        <v>13.26</v>
      </c>
      <c r="V2055" s="2" t="n">
        <f aca="false">INDEX(Summary!$R$2:$R$201,MATCH($B2055,Summary!$A$2:$A$201,0))</f>
        <v>22.55</v>
      </c>
      <c r="W2055" s="0" t="str">
        <f aca="false">INDEX(Summary!$S$2:$S$201,MATCH($B2055,Summary!$A$2:$A$201,0))</f>
        <v>Silver</v>
      </c>
      <c r="X2055" s="2" t="n">
        <f aca="false">INDEX(Summary!$T$2:$T$201,MATCH($B2055,Summary!$A$2:$A$201,0))</f>
        <v>55</v>
      </c>
      <c r="Y2055" s="0" t="str">
        <f aca="false">INDEX('Reward Model'!$E$18:$E$37,MATCH($E2055,'Reward Model'!$A$18:$A$37,0))</f>
        <v>Medium</v>
      </c>
      <c r="Z2055" s="4" t="n">
        <f aca="false">ROUND(MIN(1,MAX('Reward Model'!$B$2,INDEX('Reward Model'!$C$12:$C$14,MATCH($K2055,'Reward Model'!$A$12:$A$14,0))/$J2055)),3)</f>
        <v>1</v>
      </c>
      <c r="AA2055" s="2" t="n">
        <f aca="false">IF($I2055="Correct",ROUND(INDEX('Reward Model'!$B$12:$B$14,MATCH($K2055,'Reward Model'!$A$12:$A$14,0))*Z2055,2),0)</f>
        <v>2</v>
      </c>
      <c r="AB2055" s="2" t="n">
        <f aca="false">IF($I2055="Correct",ROUND(INDEX('Reward Model'!$B$12:$B$14,MATCH($Y2055,'Reward Model'!$A$12:$A$14,0))*Z2055,2),0)</f>
        <v>2</v>
      </c>
    </row>
    <row r="2056" customFormat="false" ht="15" hidden="false" customHeight="false" outlineLevel="0" collapsed="false">
      <c r="A2056" s="0" t="s">
        <v>335</v>
      </c>
      <c r="B2056" s="0" t="s">
        <v>336</v>
      </c>
      <c r="C2056" s="0" t="s">
        <v>322</v>
      </c>
      <c r="D2056" s="0" t="s">
        <v>31</v>
      </c>
      <c r="E2056" s="0" t="n">
        <v>15</v>
      </c>
      <c r="F2056" s="0" t="s">
        <v>69</v>
      </c>
      <c r="G2056" s="0" t="s">
        <v>131</v>
      </c>
      <c r="H2056" s="0" t="s">
        <v>70</v>
      </c>
      <c r="I2056" s="0" t="s">
        <v>39</v>
      </c>
      <c r="J2056" s="0" t="n">
        <v>1.63</v>
      </c>
      <c r="K2056" s="0" t="s">
        <v>60</v>
      </c>
      <c r="L2056" s="0" t="n">
        <f aca="false">INDEX(Summary!$F$2:$F$201,MATCH($B2056,Summary!$A$2:$A$201,0))</f>
        <v>20</v>
      </c>
      <c r="M2056" s="0" t="n">
        <f aca="false">INDEX(Summary!$I$2:$I$201,MATCH($B2056,Summary!$A$2:$A$201,0))</f>
        <v>2</v>
      </c>
      <c r="N2056" s="0" t="n">
        <f aca="false">INDEX(Summary!$J$2:$J$201,MATCH($B2056,Summary!$A$2:$A$201,0))</f>
        <v>3</v>
      </c>
      <c r="O2056" s="2" t="n">
        <f aca="false">INDEX(Summary!$K$2:$K$201,MATCH($B2056,Summary!$A$2:$A$201,0))</f>
        <v>10</v>
      </c>
      <c r="P2056" s="3" t="n">
        <f aca="false">INDEX(Summary!$L$2:$L$201,MATCH($B2056,Summary!$A$2:$A$201,0))</f>
        <v>5</v>
      </c>
      <c r="Q2056" s="3" t="n">
        <f aca="false">INDEX(Summary!$M$2:$M$201,MATCH($B2056,Summary!$A$2:$A$201,0))</f>
        <v>1</v>
      </c>
      <c r="R2056" s="2" t="n">
        <f aca="false">INDEX(Summary!$N$2:$N$201,MATCH($B2056,Summary!$A$2:$A$201,0))</f>
        <v>10.77</v>
      </c>
      <c r="S2056" s="3" t="n">
        <f aca="false">INDEX(Summary!$O$2:$O$201,MATCH($B2056,Summary!$A$2:$A$201,0))</f>
        <v>5</v>
      </c>
      <c r="T2056" s="3" t="n">
        <f aca="false">INDEX(Summary!$P$2:$P$201,MATCH($B2056,Summary!$A$2:$A$201,0))</f>
        <v>4</v>
      </c>
      <c r="U2056" s="2" t="n">
        <f aca="false">INDEX(Summary!$Q$2:$Q$201,MATCH($B2056,Summary!$A$2:$A$201,0))</f>
        <v>13.26</v>
      </c>
      <c r="V2056" s="2" t="n">
        <f aca="false">INDEX(Summary!$R$2:$R$201,MATCH($B2056,Summary!$A$2:$A$201,0))</f>
        <v>22.55</v>
      </c>
      <c r="W2056" s="0" t="str">
        <f aca="false">INDEX(Summary!$S$2:$S$201,MATCH($B2056,Summary!$A$2:$A$201,0))</f>
        <v>Silver</v>
      </c>
      <c r="X2056" s="2" t="n">
        <f aca="false">INDEX(Summary!$T$2:$T$201,MATCH($B2056,Summary!$A$2:$A$201,0))</f>
        <v>55</v>
      </c>
      <c r="Y2056" s="0" t="str">
        <f aca="false">INDEX('Reward Model'!$E$18:$E$37,MATCH($E2056,'Reward Model'!$A$18:$A$37,0))</f>
        <v>Medium</v>
      </c>
      <c r="Z2056" s="4" t="n">
        <f aca="false">ROUND(MIN(1,MAX('Reward Model'!$B$2,INDEX('Reward Model'!$C$12:$C$14,MATCH($K2056,'Reward Model'!$A$12:$A$14,0))/$J2056)),3)</f>
        <v>1</v>
      </c>
      <c r="AA2056" s="2" t="n">
        <f aca="false">IF($I2056="Correct",ROUND(INDEX('Reward Model'!$B$12:$B$14,MATCH($K2056,'Reward Model'!$A$12:$A$14,0))*Z2056,2),0)</f>
        <v>0</v>
      </c>
      <c r="AB2056" s="2" t="n">
        <f aca="false">IF($I2056="Correct",ROUND(INDEX('Reward Model'!$B$12:$B$14,MATCH($Y2056,'Reward Model'!$A$12:$A$14,0))*Z2056,2),0)</f>
        <v>0</v>
      </c>
    </row>
    <row r="2057" customFormat="false" ht="15" hidden="false" customHeight="false" outlineLevel="0" collapsed="false">
      <c r="A2057" s="0" t="s">
        <v>335</v>
      </c>
      <c r="B2057" s="0" t="s">
        <v>336</v>
      </c>
      <c r="C2057" s="0" t="s">
        <v>322</v>
      </c>
      <c r="D2057" s="0" t="s">
        <v>31</v>
      </c>
      <c r="E2057" s="0" t="n">
        <v>16</v>
      </c>
      <c r="F2057" s="0" t="s">
        <v>71</v>
      </c>
      <c r="G2057" s="0" t="s">
        <v>72</v>
      </c>
      <c r="H2057" s="0" t="s">
        <v>72</v>
      </c>
      <c r="I2057" s="0" t="s">
        <v>34</v>
      </c>
      <c r="J2057" s="0" t="n">
        <v>2.19</v>
      </c>
      <c r="K2057" s="0" t="s">
        <v>73</v>
      </c>
      <c r="L2057" s="0" t="n">
        <f aca="false">INDEX(Summary!$F$2:$F$201,MATCH($B2057,Summary!$A$2:$A$201,0))</f>
        <v>20</v>
      </c>
      <c r="M2057" s="0" t="n">
        <f aca="false">INDEX(Summary!$I$2:$I$201,MATCH($B2057,Summary!$A$2:$A$201,0))</f>
        <v>2</v>
      </c>
      <c r="N2057" s="0" t="n">
        <f aca="false">INDEX(Summary!$J$2:$J$201,MATCH($B2057,Summary!$A$2:$A$201,0))</f>
        <v>3</v>
      </c>
      <c r="O2057" s="2" t="n">
        <f aca="false">INDEX(Summary!$K$2:$K$201,MATCH($B2057,Summary!$A$2:$A$201,0))</f>
        <v>10</v>
      </c>
      <c r="P2057" s="3" t="n">
        <f aca="false">INDEX(Summary!$L$2:$L$201,MATCH($B2057,Summary!$A$2:$A$201,0))</f>
        <v>5</v>
      </c>
      <c r="Q2057" s="3" t="n">
        <f aca="false">INDEX(Summary!$M$2:$M$201,MATCH($B2057,Summary!$A$2:$A$201,0))</f>
        <v>1</v>
      </c>
      <c r="R2057" s="2" t="n">
        <f aca="false">INDEX(Summary!$N$2:$N$201,MATCH($B2057,Summary!$A$2:$A$201,0))</f>
        <v>10.77</v>
      </c>
      <c r="S2057" s="3" t="n">
        <f aca="false">INDEX(Summary!$O$2:$O$201,MATCH($B2057,Summary!$A$2:$A$201,0))</f>
        <v>5</v>
      </c>
      <c r="T2057" s="3" t="n">
        <f aca="false">INDEX(Summary!$P$2:$P$201,MATCH($B2057,Summary!$A$2:$A$201,0))</f>
        <v>4</v>
      </c>
      <c r="U2057" s="2" t="n">
        <f aca="false">INDEX(Summary!$Q$2:$Q$201,MATCH($B2057,Summary!$A$2:$A$201,0))</f>
        <v>13.26</v>
      </c>
      <c r="V2057" s="2" t="n">
        <f aca="false">INDEX(Summary!$R$2:$R$201,MATCH($B2057,Summary!$A$2:$A$201,0))</f>
        <v>22.55</v>
      </c>
      <c r="W2057" s="0" t="str">
        <f aca="false">INDEX(Summary!$S$2:$S$201,MATCH($B2057,Summary!$A$2:$A$201,0))</f>
        <v>Silver</v>
      </c>
      <c r="X2057" s="2" t="n">
        <f aca="false">INDEX(Summary!$T$2:$T$201,MATCH($B2057,Summary!$A$2:$A$201,0))</f>
        <v>55</v>
      </c>
      <c r="Y2057" s="0" t="str">
        <f aca="false">INDEX('Reward Model'!$E$18:$E$37,MATCH($E2057,'Reward Model'!$A$18:$A$37,0))</f>
        <v>High</v>
      </c>
      <c r="Z2057" s="4" t="n">
        <f aca="false">ROUND(MIN(1,MAX('Reward Model'!$B$2,INDEX('Reward Model'!$C$12:$C$14,MATCH($K2057,'Reward Model'!$A$12:$A$14,0))/$J2057)),3)</f>
        <v>0.913</v>
      </c>
      <c r="AA2057" s="2" t="n">
        <f aca="false">IF($I2057="Correct",ROUND(INDEX('Reward Model'!$B$12:$B$14,MATCH($K2057,'Reward Model'!$A$12:$A$14,0))*Z2057,2),0)</f>
        <v>2.74</v>
      </c>
      <c r="AB2057" s="2" t="n">
        <f aca="false">IF($I2057="Correct",ROUND(INDEX('Reward Model'!$B$12:$B$14,MATCH($Y2057,'Reward Model'!$A$12:$A$14,0))*Z2057,2),0)</f>
        <v>2.74</v>
      </c>
    </row>
    <row r="2058" customFormat="false" ht="15" hidden="false" customHeight="false" outlineLevel="0" collapsed="false">
      <c r="A2058" s="0" t="s">
        <v>335</v>
      </c>
      <c r="B2058" s="0" t="s">
        <v>336</v>
      </c>
      <c r="C2058" s="0" t="s">
        <v>322</v>
      </c>
      <c r="D2058" s="0" t="s">
        <v>31</v>
      </c>
      <c r="E2058" s="0" t="n">
        <v>17</v>
      </c>
      <c r="F2058" s="0" t="s">
        <v>74</v>
      </c>
      <c r="G2058" s="0" t="s">
        <v>91</v>
      </c>
      <c r="H2058" s="0" t="s">
        <v>75</v>
      </c>
      <c r="I2058" s="0" t="s">
        <v>39</v>
      </c>
      <c r="J2058" s="0" t="n">
        <v>2.06</v>
      </c>
      <c r="K2058" s="0" t="s">
        <v>73</v>
      </c>
      <c r="L2058" s="0" t="n">
        <f aca="false">INDEX(Summary!$F$2:$F$201,MATCH($B2058,Summary!$A$2:$A$201,0))</f>
        <v>20</v>
      </c>
      <c r="M2058" s="0" t="n">
        <f aca="false">INDEX(Summary!$I$2:$I$201,MATCH($B2058,Summary!$A$2:$A$201,0))</f>
        <v>2</v>
      </c>
      <c r="N2058" s="0" t="n">
        <f aca="false">INDEX(Summary!$J$2:$J$201,MATCH($B2058,Summary!$A$2:$A$201,0))</f>
        <v>3</v>
      </c>
      <c r="O2058" s="2" t="n">
        <f aca="false">INDEX(Summary!$K$2:$K$201,MATCH($B2058,Summary!$A$2:$A$201,0))</f>
        <v>10</v>
      </c>
      <c r="P2058" s="3" t="n">
        <f aca="false">INDEX(Summary!$L$2:$L$201,MATCH($B2058,Summary!$A$2:$A$201,0))</f>
        <v>5</v>
      </c>
      <c r="Q2058" s="3" t="n">
        <f aca="false">INDEX(Summary!$M$2:$M$201,MATCH($B2058,Summary!$A$2:$A$201,0))</f>
        <v>1</v>
      </c>
      <c r="R2058" s="2" t="n">
        <f aca="false">INDEX(Summary!$N$2:$N$201,MATCH($B2058,Summary!$A$2:$A$201,0))</f>
        <v>10.77</v>
      </c>
      <c r="S2058" s="3" t="n">
        <f aca="false">INDEX(Summary!$O$2:$O$201,MATCH($B2058,Summary!$A$2:$A$201,0))</f>
        <v>5</v>
      </c>
      <c r="T2058" s="3" t="n">
        <f aca="false">INDEX(Summary!$P$2:$P$201,MATCH($B2058,Summary!$A$2:$A$201,0))</f>
        <v>4</v>
      </c>
      <c r="U2058" s="2" t="n">
        <f aca="false">INDEX(Summary!$Q$2:$Q$201,MATCH($B2058,Summary!$A$2:$A$201,0))</f>
        <v>13.26</v>
      </c>
      <c r="V2058" s="2" t="n">
        <f aca="false">INDEX(Summary!$R$2:$R$201,MATCH($B2058,Summary!$A$2:$A$201,0))</f>
        <v>22.55</v>
      </c>
      <c r="W2058" s="0" t="str">
        <f aca="false">INDEX(Summary!$S$2:$S$201,MATCH($B2058,Summary!$A$2:$A$201,0))</f>
        <v>Silver</v>
      </c>
      <c r="X2058" s="2" t="n">
        <f aca="false">INDEX(Summary!$T$2:$T$201,MATCH($B2058,Summary!$A$2:$A$201,0))</f>
        <v>55</v>
      </c>
      <c r="Y2058" s="0" t="str">
        <f aca="false">INDEX('Reward Model'!$E$18:$E$37,MATCH($E2058,'Reward Model'!$A$18:$A$37,0))</f>
        <v>High</v>
      </c>
      <c r="Z2058" s="4" t="n">
        <f aca="false">ROUND(MIN(1,MAX('Reward Model'!$B$2,INDEX('Reward Model'!$C$12:$C$14,MATCH($K2058,'Reward Model'!$A$12:$A$14,0))/$J2058)),3)</f>
        <v>0.971</v>
      </c>
      <c r="AA2058" s="2" t="n">
        <f aca="false">IF($I2058="Correct",ROUND(INDEX('Reward Model'!$B$12:$B$14,MATCH($K2058,'Reward Model'!$A$12:$A$14,0))*Z2058,2),0)</f>
        <v>0</v>
      </c>
      <c r="AB2058" s="2" t="n">
        <f aca="false">IF($I2058="Correct",ROUND(INDEX('Reward Model'!$B$12:$B$14,MATCH($Y2058,'Reward Model'!$A$12:$A$14,0))*Z2058,2),0)</f>
        <v>0</v>
      </c>
    </row>
    <row r="2059" customFormat="false" ht="15" hidden="false" customHeight="false" outlineLevel="0" collapsed="false">
      <c r="A2059" s="0" t="s">
        <v>335</v>
      </c>
      <c r="B2059" s="0" t="s">
        <v>336</v>
      </c>
      <c r="C2059" s="0" t="s">
        <v>322</v>
      </c>
      <c r="D2059" s="0" t="s">
        <v>31</v>
      </c>
      <c r="E2059" s="0" t="n">
        <v>18</v>
      </c>
      <c r="F2059" s="0" t="s">
        <v>76</v>
      </c>
      <c r="G2059" s="0" t="s">
        <v>88</v>
      </c>
      <c r="H2059" s="0" t="s">
        <v>77</v>
      </c>
      <c r="I2059" s="0" t="s">
        <v>39</v>
      </c>
      <c r="J2059" s="0" t="n">
        <v>1.53</v>
      </c>
      <c r="K2059" s="0" t="s">
        <v>73</v>
      </c>
      <c r="L2059" s="0" t="n">
        <f aca="false">INDEX(Summary!$F$2:$F$201,MATCH($B2059,Summary!$A$2:$A$201,0))</f>
        <v>20</v>
      </c>
      <c r="M2059" s="0" t="n">
        <f aca="false">INDEX(Summary!$I$2:$I$201,MATCH($B2059,Summary!$A$2:$A$201,0))</f>
        <v>2</v>
      </c>
      <c r="N2059" s="0" t="n">
        <f aca="false">INDEX(Summary!$J$2:$J$201,MATCH($B2059,Summary!$A$2:$A$201,0))</f>
        <v>3</v>
      </c>
      <c r="O2059" s="2" t="n">
        <f aca="false">INDEX(Summary!$K$2:$K$201,MATCH($B2059,Summary!$A$2:$A$201,0))</f>
        <v>10</v>
      </c>
      <c r="P2059" s="3" t="n">
        <f aca="false">INDEX(Summary!$L$2:$L$201,MATCH($B2059,Summary!$A$2:$A$201,0))</f>
        <v>5</v>
      </c>
      <c r="Q2059" s="3" t="n">
        <f aca="false">INDEX(Summary!$M$2:$M$201,MATCH($B2059,Summary!$A$2:$A$201,0))</f>
        <v>1</v>
      </c>
      <c r="R2059" s="2" t="n">
        <f aca="false">INDEX(Summary!$N$2:$N$201,MATCH($B2059,Summary!$A$2:$A$201,0))</f>
        <v>10.77</v>
      </c>
      <c r="S2059" s="3" t="n">
        <f aca="false">INDEX(Summary!$O$2:$O$201,MATCH($B2059,Summary!$A$2:$A$201,0))</f>
        <v>5</v>
      </c>
      <c r="T2059" s="3" t="n">
        <f aca="false">INDEX(Summary!$P$2:$P$201,MATCH($B2059,Summary!$A$2:$A$201,0))</f>
        <v>4</v>
      </c>
      <c r="U2059" s="2" t="n">
        <f aca="false">INDEX(Summary!$Q$2:$Q$201,MATCH($B2059,Summary!$A$2:$A$201,0))</f>
        <v>13.26</v>
      </c>
      <c r="V2059" s="2" t="n">
        <f aca="false">INDEX(Summary!$R$2:$R$201,MATCH($B2059,Summary!$A$2:$A$201,0))</f>
        <v>22.55</v>
      </c>
      <c r="W2059" s="0" t="str">
        <f aca="false">INDEX(Summary!$S$2:$S$201,MATCH($B2059,Summary!$A$2:$A$201,0))</f>
        <v>Silver</v>
      </c>
      <c r="X2059" s="2" t="n">
        <f aca="false">INDEX(Summary!$T$2:$T$201,MATCH($B2059,Summary!$A$2:$A$201,0))</f>
        <v>55</v>
      </c>
      <c r="Y2059" s="0" t="str">
        <f aca="false">INDEX('Reward Model'!$E$18:$E$37,MATCH($E2059,'Reward Model'!$A$18:$A$37,0))</f>
        <v>High</v>
      </c>
      <c r="Z2059" s="4" t="n">
        <f aca="false">ROUND(MIN(1,MAX('Reward Model'!$B$2,INDEX('Reward Model'!$C$12:$C$14,MATCH($K2059,'Reward Model'!$A$12:$A$14,0))/$J2059)),3)</f>
        <v>1</v>
      </c>
      <c r="AA2059" s="2" t="n">
        <f aca="false">IF($I2059="Correct",ROUND(INDEX('Reward Model'!$B$12:$B$14,MATCH($K2059,'Reward Model'!$A$12:$A$14,0))*Z2059,2),0)</f>
        <v>0</v>
      </c>
      <c r="AB2059" s="2" t="n">
        <f aca="false">IF($I2059="Correct",ROUND(INDEX('Reward Model'!$B$12:$B$14,MATCH($Y2059,'Reward Model'!$A$12:$A$14,0))*Z2059,2),0)</f>
        <v>0</v>
      </c>
    </row>
    <row r="2060" customFormat="false" ht="15" hidden="false" customHeight="false" outlineLevel="0" collapsed="false">
      <c r="A2060" s="0" t="s">
        <v>335</v>
      </c>
      <c r="B2060" s="0" t="s">
        <v>336</v>
      </c>
      <c r="C2060" s="0" t="s">
        <v>322</v>
      </c>
      <c r="D2060" s="0" t="s">
        <v>31</v>
      </c>
      <c r="E2060" s="0" t="n">
        <v>19</v>
      </c>
      <c r="F2060" s="0" t="s">
        <v>78</v>
      </c>
      <c r="G2060" s="0" t="s">
        <v>80</v>
      </c>
      <c r="H2060" s="0" t="s">
        <v>80</v>
      </c>
      <c r="I2060" s="0" t="s">
        <v>34</v>
      </c>
      <c r="J2060" s="0" t="n">
        <v>1.87</v>
      </c>
      <c r="K2060" s="0" t="s">
        <v>73</v>
      </c>
      <c r="L2060" s="0" t="n">
        <f aca="false">INDEX(Summary!$F$2:$F$201,MATCH($B2060,Summary!$A$2:$A$201,0))</f>
        <v>20</v>
      </c>
      <c r="M2060" s="0" t="n">
        <f aca="false">INDEX(Summary!$I$2:$I$201,MATCH($B2060,Summary!$A$2:$A$201,0))</f>
        <v>2</v>
      </c>
      <c r="N2060" s="0" t="n">
        <f aca="false">INDEX(Summary!$J$2:$J$201,MATCH($B2060,Summary!$A$2:$A$201,0))</f>
        <v>3</v>
      </c>
      <c r="O2060" s="2" t="n">
        <f aca="false">INDEX(Summary!$K$2:$K$201,MATCH($B2060,Summary!$A$2:$A$201,0))</f>
        <v>10</v>
      </c>
      <c r="P2060" s="3" t="n">
        <f aca="false">INDEX(Summary!$L$2:$L$201,MATCH($B2060,Summary!$A$2:$A$201,0))</f>
        <v>5</v>
      </c>
      <c r="Q2060" s="3" t="n">
        <f aca="false">INDEX(Summary!$M$2:$M$201,MATCH($B2060,Summary!$A$2:$A$201,0))</f>
        <v>1</v>
      </c>
      <c r="R2060" s="2" t="n">
        <f aca="false">INDEX(Summary!$N$2:$N$201,MATCH($B2060,Summary!$A$2:$A$201,0))</f>
        <v>10.77</v>
      </c>
      <c r="S2060" s="3" t="n">
        <f aca="false">INDEX(Summary!$O$2:$O$201,MATCH($B2060,Summary!$A$2:$A$201,0))</f>
        <v>5</v>
      </c>
      <c r="T2060" s="3" t="n">
        <f aca="false">INDEX(Summary!$P$2:$P$201,MATCH($B2060,Summary!$A$2:$A$201,0))</f>
        <v>4</v>
      </c>
      <c r="U2060" s="2" t="n">
        <f aca="false">INDEX(Summary!$Q$2:$Q$201,MATCH($B2060,Summary!$A$2:$A$201,0))</f>
        <v>13.26</v>
      </c>
      <c r="V2060" s="2" t="n">
        <f aca="false">INDEX(Summary!$R$2:$R$201,MATCH($B2060,Summary!$A$2:$A$201,0))</f>
        <v>22.55</v>
      </c>
      <c r="W2060" s="0" t="str">
        <f aca="false">INDEX(Summary!$S$2:$S$201,MATCH($B2060,Summary!$A$2:$A$201,0))</f>
        <v>Silver</v>
      </c>
      <c r="X2060" s="2" t="n">
        <f aca="false">INDEX(Summary!$T$2:$T$201,MATCH($B2060,Summary!$A$2:$A$201,0))</f>
        <v>55</v>
      </c>
      <c r="Y2060" s="0" t="str">
        <f aca="false">INDEX('Reward Model'!$E$18:$E$37,MATCH($E2060,'Reward Model'!$A$18:$A$37,0))</f>
        <v>High</v>
      </c>
      <c r="Z2060" s="4" t="n">
        <f aca="false">ROUND(MIN(1,MAX('Reward Model'!$B$2,INDEX('Reward Model'!$C$12:$C$14,MATCH($K2060,'Reward Model'!$A$12:$A$14,0))/$J2060)),3)</f>
        <v>1</v>
      </c>
      <c r="AA2060" s="2" t="n">
        <f aca="false">IF($I2060="Correct",ROUND(INDEX('Reward Model'!$B$12:$B$14,MATCH($K2060,'Reward Model'!$A$12:$A$14,0))*Z2060,2),0)</f>
        <v>3</v>
      </c>
      <c r="AB2060" s="2" t="n">
        <f aca="false">IF($I2060="Correct",ROUND(INDEX('Reward Model'!$B$12:$B$14,MATCH($Y2060,'Reward Model'!$A$12:$A$14,0))*Z2060,2),0)</f>
        <v>3</v>
      </c>
    </row>
    <row r="2061" customFormat="false" ht="15" hidden="false" customHeight="false" outlineLevel="0" collapsed="false">
      <c r="A2061" s="0" t="s">
        <v>335</v>
      </c>
      <c r="B2061" s="0" t="s">
        <v>336</v>
      </c>
      <c r="C2061" s="0" t="s">
        <v>322</v>
      </c>
      <c r="D2061" s="0" t="s">
        <v>31</v>
      </c>
      <c r="E2061" s="0" t="n">
        <v>20</v>
      </c>
      <c r="F2061" s="0" t="s">
        <v>81</v>
      </c>
      <c r="G2061" s="0" t="s">
        <v>119</v>
      </c>
      <c r="H2061" s="0" t="s">
        <v>83</v>
      </c>
      <c r="I2061" s="0" t="s">
        <v>39</v>
      </c>
      <c r="J2061" s="0" t="n">
        <v>2.35</v>
      </c>
      <c r="K2061" s="0" t="s">
        <v>73</v>
      </c>
      <c r="L2061" s="0" t="n">
        <f aca="false">INDEX(Summary!$F$2:$F$201,MATCH($B2061,Summary!$A$2:$A$201,0))</f>
        <v>20</v>
      </c>
      <c r="M2061" s="0" t="n">
        <f aca="false">INDEX(Summary!$I$2:$I$201,MATCH($B2061,Summary!$A$2:$A$201,0))</f>
        <v>2</v>
      </c>
      <c r="N2061" s="0" t="n">
        <f aca="false">INDEX(Summary!$J$2:$J$201,MATCH($B2061,Summary!$A$2:$A$201,0))</f>
        <v>3</v>
      </c>
      <c r="O2061" s="2" t="n">
        <f aca="false">INDEX(Summary!$K$2:$K$201,MATCH($B2061,Summary!$A$2:$A$201,0))</f>
        <v>10</v>
      </c>
      <c r="P2061" s="3" t="n">
        <f aca="false">INDEX(Summary!$L$2:$L$201,MATCH($B2061,Summary!$A$2:$A$201,0))</f>
        <v>5</v>
      </c>
      <c r="Q2061" s="3" t="n">
        <f aca="false">INDEX(Summary!$M$2:$M$201,MATCH($B2061,Summary!$A$2:$A$201,0))</f>
        <v>1</v>
      </c>
      <c r="R2061" s="2" t="n">
        <f aca="false">INDEX(Summary!$N$2:$N$201,MATCH($B2061,Summary!$A$2:$A$201,0))</f>
        <v>10.77</v>
      </c>
      <c r="S2061" s="3" t="n">
        <f aca="false">INDEX(Summary!$O$2:$O$201,MATCH($B2061,Summary!$A$2:$A$201,0))</f>
        <v>5</v>
      </c>
      <c r="T2061" s="3" t="n">
        <f aca="false">INDEX(Summary!$P$2:$P$201,MATCH($B2061,Summary!$A$2:$A$201,0))</f>
        <v>4</v>
      </c>
      <c r="U2061" s="2" t="n">
        <f aca="false">INDEX(Summary!$Q$2:$Q$201,MATCH($B2061,Summary!$A$2:$A$201,0))</f>
        <v>13.26</v>
      </c>
      <c r="V2061" s="2" t="n">
        <f aca="false">INDEX(Summary!$R$2:$R$201,MATCH($B2061,Summary!$A$2:$A$201,0))</f>
        <v>22.55</v>
      </c>
      <c r="W2061" s="0" t="str">
        <f aca="false">INDEX(Summary!$S$2:$S$201,MATCH($B2061,Summary!$A$2:$A$201,0))</f>
        <v>Silver</v>
      </c>
      <c r="X2061" s="2" t="n">
        <f aca="false">INDEX(Summary!$T$2:$T$201,MATCH($B2061,Summary!$A$2:$A$201,0))</f>
        <v>55</v>
      </c>
      <c r="Y2061" s="0" t="str">
        <f aca="false">INDEX('Reward Model'!$E$18:$E$37,MATCH($E2061,'Reward Model'!$A$18:$A$37,0))</f>
        <v>High</v>
      </c>
      <c r="Z2061" s="4" t="n">
        <f aca="false">ROUND(MIN(1,MAX('Reward Model'!$B$2,INDEX('Reward Model'!$C$12:$C$14,MATCH($K2061,'Reward Model'!$A$12:$A$14,0))/$J2061)),3)</f>
        <v>0.851</v>
      </c>
      <c r="AA2061" s="2" t="n">
        <f aca="false">IF($I2061="Correct",ROUND(INDEX('Reward Model'!$B$12:$B$14,MATCH($K2061,'Reward Model'!$A$12:$A$14,0))*Z2061,2),0)</f>
        <v>0</v>
      </c>
      <c r="AB2061" s="2" t="n">
        <f aca="false">IF($I2061="Correct",ROUND(INDEX('Reward Model'!$B$12:$B$14,MATCH($Y2061,'Reward Model'!$A$12:$A$14,0))*Z2061,2),0)</f>
        <v>0</v>
      </c>
    </row>
    <row r="2062" customFormat="false" ht="15" hidden="false" customHeight="false" outlineLevel="0" collapsed="false">
      <c r="A2062" s="0" t="s">
        <v>337</v>
      </c>
      <c r="B2062" s="0" t="s">
        <v>338</v>
      </c>
      <c r="C2062" s="0" t="s">
        <v>322</v>
      </c>
      <c r="D2062" s="0" t="s">
        <v>31</v>
      </c>
      <c r="E2062" s="0" t="n">
        <v>1</v>
      </c>
      <c r="F2062" s="0" t="s">
        <v>32</v>
      </c>
      <c r="G2062" s="0" t="s">
        <v>33</v>
      </c>
      <c r="H2062" s="0" t="s">
        <v>33</v>
      </c>
      <c r="I2062" s="0" t="s">
        <v>34</v>
      </c>
      <c r="J2062" s="0" t="n">
        <v>1.52</v>
      </c>
      <c r="K2062" s="0" t="s">
        <v>35</v>
      </c>
      <c r="L2062" s="0" t="n">
        <f aca="false">INDEX(Summary!$F$2:$F$201,MATCH($B2062,Summary!$A$2:$A$201,0))</f>
        <v>20</v>
      </c>
      <c r="M2062" s="0" t="n">
        <f aca="false">INDEX(Summary!$I$2:$I$201,MATCH($B2062,Summary!$A$2:$A$201,0))</f>
        <v>2</v>
      </c>
      <c r="N2062" s="0" t="n">
        <f aca="false">INDEX(Summary!$J$2:$J$201,MATCH($B2062,Summary!$A$2:$A$201,0))</f>
        <v>3</v>
      </c>
      <c r="O2062" s="2" t="n">
        <f aca="false">INDEX(Summary!$K$2:$K$201,MATCH($B2062,Summary!$A$2:$A$201,0))</f>
        <v>8.87</v>
      </c>
      <c r="P2062" s="3" t="n">
        <f aca="false">INDEX(Summary!$L$2:$L$201,MATCH($B2062,Summary!$A$2:$A$201,0))</f>
        <v>1</v>
      </c>
      <c r="Q2062" s="3" t="n">
        <f aca="false">INDEX(Summary!$M$2:$M$201,MATCH($B2062,Summary!$A$2:$A$201,0))</f>
        <v>5</v>
      </c>
      <c r="R2062" s="2" t="n">
        <f aca="false">INDEX(Summary!$N$2:$N$201,MATCH($B2062,Summary!$A$2:$A$201,0))</f>
        <v>9.35</v>
      </c>
      <c r="S2062" s="3" t="n">
        <f aca="false">INDEX(Summary!$O$2:$O$201,MATCH($B2062,Summary!$A$2:$A$201,0))</f>
        <v>4</v>
      </c>
      <c r="T2062" s="3" t="n">
        <f aca="false">INDEX(Summary!$P$2:$P$201,MATCH($B2062,Summary!$A$2:$A$201,0))</f>
        <v>5</v>
      </c>
      <c r="U2062" s="2" t="n">
        <f aca="false">INDEX(Summary!$Q$2:$Q$201,MATCH($B2062,Summary!$A$2:$A$201,0))</f>
        <v>13.7</v>
      </c>
      <c r="V2062" s="2" t="n">
        <f aca="false">INDEX(Summary!$R$2:$R$201,MATCH($B2062,Summary!$A$2:$A$201,0))</f>
        <v>12.85</v>
      </c>
      <c r="W2062" s="0" t="str">
        <f aca="false">INDEX(Summary!$S$2:$S$201,MATCH($B2062,Summary!$A$2:$A$201,0))</f>
        <v>Bronze</v>
      </c>
      <c r="X2062" s="2" t="n">
        <f aca="false">INDEX(Summary!$T$2:$T$201,MATCH($B2062,Summary!$A$2:$A$201,0))</f>
        <v>31.34</v>
      </c>
      <c r="Y2062" s="0" t="str">
        <f aca="false">INDEX('Reward Model'!$E$18:$E$37,MATCH($E2062,'Reward Model'!$A$18:$A$37,0))</f>
        <v>Medium</v>
      </c>
      <c r="Z2062" s="4" t="n">
        <f aca="false">ROUND(MIN(1,MAX('Reward Model'!$B$2,INDEX('Reward Model'!$C$12:$C$14,MATCH($K2062,'Reward Model'!$A$12:$A$14,0))/$J2062)),3)</f>
        <v>0.987</v>
      </c>
      <c r="AA2062" s="2" t="n">
        <f aca="false">IF($I2062="Correct",ROUND(INDEX('Reward Model'!$B$12:$B$14,MATCH($K2062,'Reward Model'!$A$12:$A$14,0))*Z2062,2),0)</f>
        <v>0.99</v>
      </c>
      <c r="AB2062" s="2" t="n">
        <f aca="false">IF($I2062="Correct",ROUND(INDEX('Reward Model'!$B$12:$B$14,MATCH($Y2062,'Reward Model'!$A$12:$A$14,0))*Z2062,2),0)</f>
        <v>1.97</v>
      </c>
    </row>
    <row r="2063" customFormat="false" ht="15" hidden="false" customHeight="false" outlineLevel="0" collapsed="false">
      <c r="A2063" s="0" t="s">
        <v>337</v>
      </c>
      <c r="B2063" s="0" t="s">
        <v>338</v>
      </c>
      <c r="C2063" s="0" t="s">
        <v>322</v>
      </c>
      <c r="D2063" s="0" t="s">
        <v>31</v>
      </c>
      <c r="E2063" s="0" t="n">
        <v>2</v>
      </c>
      <c r="F2063" s="0" t="s">
        <v>36</v>
      </c>
      <c r="G2063" s="0" t="s">
        <v>38</v>
      </c>
      <c r="H2063" s="0" t="s">
        <v>38</v>
      </c>
      <c r="I2063" s="0" t="s">
        <v>34</v>
      </c>
      <c r="J2063" s="0" t="n">
        <v>0.92</v>
      </c>
      <c r="K2063" s="0" t="s">
        <v>35</v>
      </c>
      <c r="L2063" s="0" t="n">
        <f aca="false">INDEX(Summary!$F$2:$F$201,MATCH($B2063,Summary!$A$2:$A$201,0))</f>
        <v>20</v>
      </c>
      <c r="M2063" s="0" t="n">
        <f aca="false">INDEX(Summary!$I$2:$I$201,MATCH($B2063,Summary!$A$2:$A$201,0))</f>
        <v>2</v>
      </c>
      <c r="N2063" s="0" t="n">
        <f aca="false">INDEX(Summary!$J$2:$J$201,MATCH($B2063,Summary!$A$2:$A$201,0))</f>
        <v>3</v>
      </c>
      <c r="O2063" s="2" t="n">
        <f aca="false">INDEX(Summary!$K$2:$K$201,MATCH($B2063,Summary!$A$2:$A$201,0))</f>
        <v>8.87</v>
      </c>
      <c r="P2063" s="3" t="n">
        <f aca="false">INDEX(Summary!$L$2:$L$201,MATCH($B2063,Summary!$A$2:$A$201,0))</f>
        <v>1</v>
      </c>
      <c r="Q2063" s="3" t="n">
        <f aca="false">INDEX(Summary!$M$2:$M$201,MATCH($B2063,Summary!$A$2:$A$201,0))</f>
        <v>5</v>
      </c>
      <c r="R2063" s="2" t="n">
        <f aca="false">INDEX(Summary!$N$2:$N$201,MATCH($B2063,Summary!$A$2:$A$201,0))</f>
        <v>9.35</v>
      </c>
      <c r="S2063" s="3" t="n">
        <f aca="false">INDEX(Summary!$O$2:$O$201,MATCH($B2063,Summary!$A$2:$A$201,0))</f>
        <v>4</v>
      </c>
      <c r="T2063" s="3" t="n">
        <f aca="false">INDEX(Summary!$P$2:$P$201,MATCH($B2063,Summary!$A$2:$A$201,0))</f>
        <v>5</v>
      </c>
      <c r="U2063" s="2" t="n">
        <f aca="false">INDEX(Summary!$Q$2:$Q$201,MATCH($B2063,Summary!$A$2:$A$201,0))</f>
        <v>13.7</v>
      </c>
      <c r="V2063" s="2" t="n">
        <f aca="false">INDEX(Summary!$R$2:$R$201,MATCH($B2063,Summary!$A$2:$A$201,0))</f>
        <v>12.85</v>
      </c>
      <c r="W2063" s="0" t="str">
        <f aca="false">INDEX(Summary!$S$2:$S$201,MATCH($B2063,Summary!$A$2:$A$201,0))</f>
        <v>Bronze</v>
      </c>
      <c r="X2063" s="2" t="n">
        <f aca="false">INDEX(Summary!$T$2:$T$201,MATCH($B2063,Summary!$A$2:$A$201,0))</f>
        <v>31.34</v>
      </c>
      <c r="Y2063" s="0" t="str">
        <f aca="false">INDEX('Reward Model'!$E$18:$E$37,MATCH($E2063,'Reward Model'!$A$18:$A$37,0))</f>
        <v>Low</v>
      </c>
      <c r="Z2063" s="4" t="n">
        <f aca="false">ROUND(MIN(1,MAX('Reward Model'!$B$2,INDEX('Reward Model'!$C$12:$C$14,MATCH($K2063,'Reward Model'!$A$12:$A$14,0))/$J2063)),3)</f>
        <v>1</v>
      </c>
      <c r="AA2063" s="2" t="n">
        <f aca="false">IF($I2063="Correct",ROUND(INDEX('Reward Model'!$B$12:$B$14,MATCH($K2063,'Reward Model'!$A$12:$A$14,0))*Z2063,2),0)</f>
        <v>1</v>
      </c>
      <c r="AB2063" s="2" t="n">
        <f aca="false">IF($I2063="Correct",ROUND(INDEX('Reward Model'!$B$12:$B$14,MATCH($Y2063,'Reward Model'!$A$12:$A$14,0))*Z2063,2),0)</f>
        <v>1</v>
      </c>
    </row>
    <row r="2064" customFormat="false" ht="15" hidden="false" customHeight="false" outlineLevel="0" collapsed="false">
      <c r="A2064" s="0" t="s">
        <v>337</v>
      </c>
      <c r="B2064" s="0" t="s">
        <v>338</v>
      </c>
      <c r="C2064" s="0" t="s">
        <v>322</v>
      </c>
      <c r="D2064" s="0" t="s">
        <v>31</v>
      </c>
      <c r="E2064" s="0" t="n">
        <v>3</v>
      </c>
      <c r="F2064" s="0" t="s">
        <v>40</v>
      </c>
      <c r="G2064" s="0" t="s">
        <v>142</v>
      </c>
      <c r="H2064" s="0" t="s">
        <v>42</v>
      </c>
      <c r="I2064" s="0" t="s">
        <v>39</v>
      </c>
      <c r="J2064" s="0" t="n">
        <v>1.35</v>
      </c>
      <c r="K2064" s="0" t="s">
        <v>35</v>
      </c>
      <c r="L2064" s="0" t="n">
        <f aca="false">INDEX(Summary!$F$2:$F$201,MATCH($B2064,Summary!$A$2:$A$201,0))</f>
        <v>20</v>
      </c>
      <c r="M2064" s="0" t="n">
        <f aca="false">INDEX(Summary!$I$2:$I$201,MATCH($B2064,Summary!$A$2:$A$201,0))</f>
        <v>2</v>
      </c>
      <c r="N2064" s="0" t="n">
        <f aca="false">INDEX(Summary!$J$2:$J$201,MATCH($B2064,Summary!$A$2:$A$201,0))</f>
        <v>3</v>
      </c>
      <c r="O2064" s="2" t="n">
        <f aca="false">INDEX(Summary!$K$2:$K$201,MATCH($B2064,Summary!$A$2:$A$201,0))</f>
        <v>8.87</v>
      </c>
      <c r="P2064" s="3" t="n">
        <f aca="false">INDEX(Summary!$L$2:$L$201,MATCH($B2064,Summary!$A$2:$A$201,0))</f>
        <v>1</v>
      </c>
      <c r="Q2064" s="3" t="n">
        <f aca="false">INDEX(Summary!$M$2:$M$201,MATCH($B2064,Summary!$A$2:$A$201,0))</f>
        <v>5</v>
      </c>
      <c r="R2064" s="2" t="n">
        <f aca="false">INDEX(Summary!$N$2:$N$201,MATCH($B2064,Summary!$A$2:$A$201,0))</f>
        <v>9.35</v>
      </c>
      <c r="S2064" s="3" t="n">
        <f aca="false">INDEX(Summary!$O$2:$O$201,MATCH($B2064,Summary!$A$2:$A$201,0))</f>
        <v>4</v>
      </c>
      <c r="T2064" s="3" t="n">
        <f aca="false">INDEX(Summary!$P$2:$P$201,MATCH($B2064,Summary!$A$2:$A$201,0))</f>
        <v>5</v>
      </c>
      <c r="U2064" s="2" t="n">
        <f aca="false">INDEX(Summary!$Q$2:$Q$201,MATCH($B2064,Summary!$A$2:$A$201,0))</f>
        <v>13.7</v>
      </c>
      <c r="V2064" s="2" t="n">
        <f aca="false">INDEX(Summary!$R$2:$R$201,MATCH($B2064,Summary!$A$2:$A$201,0))</f>
        <v>12.85</v>
      </c>
      <c r="W2064" s="0" t="str">
        <f aca="false">INDEX(Summary!$S$2:$S$201,MATCH($B2064,Summary!$A$2:$A$201,0))</f>
        <v>Bronze</v>
      </c>
      <c r="X2064" s="2" t="n">
        <f aca="false">INDEX(Summary!$T$2:$T$201,MATCH($B2064,Summary!$A$2:$A$201,0))</f>
        <v>31.34</v>
      </c>
      <c r="Y2064" s="0" t="str">
        <f aca="false">INDEX('Reward Model'!$E$18:$E$37,MATCH($E2064,'Reward Model'!$A$18:$A$37,0))</f>
        <v>Medium</v>
      </c>
      <c r="Z2064" s="4" t="n">
        <f aca="false">ROUND(MIN(1,MAX('Reward Model'!$B$2,INDEX('Reward Model'!$C$12:$C$14,MATCH($K2064,'Reward Model'!$A$12:$A$14,0))/$J2064)),3)</f>
        <v>1</v>
      </c>
      <c r="AA2064" s="2" t="n">
        <f aca="false">IF($I2064="Correct",ROUND(INDEX('Reward Model'!$B$12:$B$14,MATCH($K2064,'Reward Model'!$A$12:$A$14,0))*Z2064,2),0)</f>
        <v>0</v>
      </c>
      <c r="AB2064" s="2" t="n">
        <f aca="false">IF($I2064="Correct",ROUND(INDEX('Reward Model'!$B$12:$B$14,MATCH($Y2064,'Reward Model'!$A$12:$A$14,0))*Z2064,2),0)</f>
        <v>0</v>
      </c>
    </row>
    <row r="2065" customFormat="false" ht="15" hidden="false" customHeight="false" outlineLevel="0" collapsed="false">
      <c r="A2065" s="0" t="s">
        <v>337</v>
      </c>
      <c r="B2065" s="0" t="s">
        <v>338</v>
      </c>
      <c r="C2065" s="0" t="s">
        <v>322</v>
      </c>
      <c r="D2065" s="0" t="s">
        <v>31</v>
      </c>
      <c r="E2065" s="0" t="n">
        <v>4</v>
      </c>
      <c r="F2065" s="0" t="s">
        <v>43</v>
      </c>
      <c r="G2065" s="0" t="s">
        <v>45</v>
      </c>
      <c r="H2065" s="0" t="s">
        <v>45</v>
      </c>
      <c r="I2065" s="0" t="s">
        <v>34</v>
      </c>
      <c r="J2065" s="0" t="n">
        <v>1.77</v>
      </c>
      <c r="K2065" s="0" t="s">
        <v>35</v>
      </c>
      <c r="L2065" s="0" t="n">
        <f aca="false">INDEX(Summary!$F$2:$F$201,MATCH($B2065,Summary!$A$2:$A$201,0))</f>
        <v>20</v>
      </c>
      <c r="M2065" s="0" t="n">
        <f aca="false">INDEX(Summary!$I$2:$I$201,MATCH($B2065,Summary!$A$2:$A$201,0))</f>
        <v>2</v>
      </c>
      <c r="N2065" s="0" t="n">
        <f aca="false">INDEX(Summary!$J$2:$J$201,MATCH($B2065,Summary!$A$2:$A$201,0))</f>
        <v>3</v>
      </c>
      <c r="O2065" s="2" t="n">
        <f aca="false">INDEX(Summary!$K$2:$K$201,MATCH($B2065,Summary!$A$2:$A$201,0))</f>
        <v>8.87</v>
      </c>
      <c r="P2065" s="3" t="n">
        <f aca="false">INDEX(Summary!$L$2:$L$201,MATCH($B2065,Summary!$A$2:$A$201,0))</f>
        <v>1</v>
      </c>
      <c r="Q2065" s="3" t="n">
        <f aca="false">INDEX(Summary!$M$2:$M$201,MATCH($B2065,Summary!$A$2:$A$201,0))</f>
        <v>5</v>
      </c>
      <c r="R2065" s="2" t="n">
        <f aca="false">INDEX(Summary!$N$2:$N$201,MATCH($B2065,Summary!$A$2:$A$201,0))</f>
        <v>9.35</v>
      </c>
      <c r="S2065" s="3" t="n">
        <f aca="false">INDEX(Summary!$O$2:$O$201,MATCH($B2065,Summary!$A$2:$A$201,0))</f>
        <v>4</v>
      </c>
      <c r="T2065" s="3" t="n">
        <f aca="false">INDEX(Summary!$P$2:$P$201,MATCH($B2065,Summary!$A$2:$A$201,0))</f>
        <v>5</v>
      </c>
      <c r="U2065" s="2" t="n">
        <f aca="false">INDEX(Summary!$Q$2:$Q$201,MATCH($B2065,Summary!$A$2:$A$201,0))</f>
        <v>13.7</v>
      </c>
      <c r="V2065" s="2" t="n">
        <f aca="false">INDEX(Summary!$R$2:$R$201,MATCH($B2065,Summary!$A$2:$A$201,0))</f>
        <v>12.85</v>
      </c>
      <c r="W2065" s="0" t="str">
        <f aca="false">INDEX(Summary!$S$2:$S$201,MATCH($B2065,Summary!$A$2:$A$201,0))</f>
        <v>Bronze</v>
      </c>
      <c r="X2065" s="2" t="n">
        <f aca="false">INDEX(Summary!$T$2:$T$201,MATCH($B2065,Summary!$A$2:$A$201,0))</f>
        <v>31.34</v>
      </c>
      <c r="Y2065" s="0" t="str">
        <f aca="false">INDEX('Reward Model'!$E$18:$E$37,MATCH($E2065,'Reward Model'!$A$18:$A$37,0))</f>
        <v>Low</v>
      </c>
      <c r="Z2065" s="4" t="n">
        <f aca="false">ROUND(MIN(1,MAX('Reward Model'!$B$2,INDEX('Reward Model'!$C$12:$C$14,MATCH($K2065,'Reward Model'!$A$12:$A$14,0))/$J2065)),3)</f>
        <v>0.847</v>
      </c>
      <c r="AA2065" s="2" t="n">
        <f aca="false">IF($I2065="Correct",ROUND(INDEX('Reward Model'!$B$12:$B$14,MATCH($K2065,'Reward Model'!$A$12:$A$14,0))*Z2065,2),0)</f>
        <v>0.85</v>
      </c>
      <c r="AB2065" s="2" t="n">
        <f aca="false">IF($I2065="Correct",ROUND(INDEX('Reward Model'!$B$12:$B$14,MATCH($Y2065,'Reward Model'!$A$12:$A$14,0))*Z2065,2),0)</f>
        <v>0.85</v>
      </c>
    </row>
    <row r="2066" customFormat="false" ht="15" hidden="false" customHeight="false" outlineLevel="0" collapsed="false">
      <c r="A2066" s="0" t="s">
        <v>337</v>
      </c>
      <c r="B2066" s="0" t="s">
        <v>338</v>
      </c>
      <c r="C2066" s="0" t="s">
        <v>322</v>
      </c>
      <c r="D2066" s="0" t="s">
        <v>31</v>
      </c>
      <c r="E2066" s="0" t="n">
        <v>5</v>
      </c>
      <c r="F2066" s="0" t="s">
        <v>46</v>
      </c>
      <c r="G2066" s="0" t="s">
        <v>149</v>
      </c>
      <c r="H2066" s="0" t="s">
        <v>47</v>
      </c>
      <c r="I2066" s="0" t="s">
        <v>39</v>
      </c>
      <c r="J2066" s="0" t="n">
        <v>1.8</v>
      </c>
      <c r="K2066" s="0" t="s">
        <v>35</v>
      </c>
      <c r="L2066" s="0" t="n">
        <f aca="false">INDEX(Summary!$F$2:$F$201,MATCH($B2066,Summary!$A$2:$A$201,0))</f>
        <v>20</v>
      </c>
      <c r="M2066" s="0" t="n">
        <f aca="false">INDEX(Summary!$I$2:$I$201,MATCH($B2066,Summary!$A$2:$A$201,0))</f>
        <v>2</v>
      </c>
      <c r="N2066" s="0" t="n">
        <f aca="false">INDEX(Summary!$J$2:$J$201,MATCH($B2066,Summary!$A$2:$A$201,0))</f>
        <v>3</v>
      </c>
      <c r="O2066" s="2" t="n">
        <f aca="false">INDEX(Summary!$K$2:$K$201,MATCH($B2066,Summary!$A$2:$A$201,0))</f>
        <v>8.87</v>
      </c>
      <c r="P2066" s="3" t="n">
        <f aca="false">INDEX(Summary!$L$2:$L$201,MATCH($B2066,Summary!$A$2:$A$201,0))</f>
        <v>1</v>
      </c>
      <c r="Q2066" s="3" t="n">
        <f aca="false">INDEX(Summary!$M$2:$M$201,MATCH($B2066,Summary!$A$2:$A$201,0))</f>
        <v>5</v>
      </c>
      <c r="R2066" s="2" t="n">
        <f aca="false">INDEX(Summary!$N$2:$N$201,MATCH($B2066,Summary!$A$2:$A$201,0))</f>
        <v>9.35</v>
      </c>
      <c r="S2066" s="3" t="n">
        <f aca="false">INDEX(Summary!$O$2:$O$201,MATCH($B2066,Summary!$A$2:$A$201,0))</f>
        <v>4</v>
      </c>
      <c r="T2066" s="3" t="n">
        <f aca="false">INDEX(Summary!$P$2:$P$201,MATCH($B2066,Summary!$A$2:$A$201,0))</f>
        <v>5</v>
      </c>
      <c r="U2066" s="2" t="n">
        <f aca="false">INDEX(Summary!$Q$2:$Q$201,MATCH($B2066,Summary!$A$2:$A$201,0))</f>
        <v>13.7</v>
      </c>
      <c r="V2066" s="2" t="n">
        <f aca="false">INDEX(Summary!$R$2:$R$201,MATCH($B2066,Summary!$A$2:$A$201,0))</f>
        <v>12.85</v>
      </c>
      <c r="W2066" s="0" t="str">
        <f aca="false">INDEX(Summary!$S$2:$S$201,MATCH($B2066,Summary!$A$2:$A$201,0))</f>
        <v>Bronze</v>
      </c>
      <c r="X2066" s="2" t="n">
        <f aca="false">INDEX(Summary!$T$2:$T$201,MATCH($B2066,Summary!$A$2:$A$201,0))</f>
        <v>31.34</v>
      </c>
      <c r="Y2066" s="0" t="str">
        <f aca="false">INDEX('Reward Model'!$E$18:$E$37,MATCH($E2066,'Reward Model'!$A$18:$A$37,0))</f>
        <v>Low</v>
      </c>
      <c r="Z2066" s="4" t="n">
        <f aca="false">ROUND(MIN(1,MAX('Reward Model'!$B$2,INDEX('Reward Model'!$C$12:$C$14,MATCH($K2066,'Reward Model'!$A$12:$A$14,0))/$J2066)),3)</f>
        <v>0.833</v>
      </c>
      <c r="AA2066" s="2" t="n">
        <f aca="false">IF($I2066="Correct",ROUND(INDEX('Reward Model'!$B$12:$B$14,MATCH($K2066,'Reward Model'!$A$12:$A$14,0))*Z2066,2),0)</f>
        <v>0</v>
      </c>
      <c r="AB2066" s="2" t="n">
        <f aca="false">IF($I2066="Correct",ROUND(INDEX('Reward Model'!$B$12:$B$14,MATCH($Y2066,'Reward Model'!$A$12:$A$14,0))*Z2066,2),0)</f>
        <v>0</v>
      </c>
    </row>
    <row r="2067" customFormat="false" ht="15" hidden="false" customHeight="false" outlineLevel="0" collapsed="false">
      <c r="A2067" s="0" t="s">
        <v>337</v>
      </c>
      <c r="B2067" s="0" t="s">
        <v>338</v>
      </c>
      <c r="C2067" s="0" t="s">
        <v>322</v>
      </c>
      <c r="D2067" s="0" t="s">
        <v>31</v>
      </c>
      <c r="E2067" s="0" t="n">
        <v>6</v>
      </c>
      <c r="F2067" s="0" t="s">
        <v>48</v>
      </c>
      <c r="G2067" s="0" t="s">
        <v>49</v>
      </c>
      <c r="H2067" s="0" t="s">
        <v>49</v>
      </c>
      <c r="I2067" s="0" t="s">
        <v>34</v>
      </c>
      <c r="J2067" s="0" t="n">
        <v>1.93</v>
      </c>
      <c r="K2067" s="0" t="s">
        <v>35</v>
      </c>
      <c r="L2067" s="0" t="n">
        <f aca="false">INDEX(Summary!$F$2:$F$201,MATCH($B2067,Summary!$A$2:$A$201,0))</f>
        <v>20</v>
      </c>
      <c r="M2067" s="0" t="n">
        <f aca="false">INDEX(Summary!$I$2:$I$201,MATCH($B2067,Summary!$A$2:$A$201,0))</f>
        <v>2</v>
      </c>
      <c r="N2067" s="0" t="n">
        <f aca="false">INDEX(Summary!$J$2:$J$201,MATCH($B2067,Summary!$A$2:$A$201,0))</f>
        <v>3</v>
      </c>
      <c r="O2067" s="2" t="n">
        <f aca="false">INDEX(Summary!$K$2:$K$201,MATCH($B2067,Summary!$A$2:$A$201,0))</f>
        <v>8.87</v>
      </c>
      <c r="P2067" s="3" t="n">
        <f aca="false">INDEX(Summary!$L$2:$L$201,MATCH($B2067,Summary!$A$2:$A$201,0))</f>
        <v>1</v>
      </c>
      <c r="Q2067" s="3" t="n">
        <f aca="false">INDEX(Summary!$M$2:$M$201,MATCH($B2067,Summary!$A$2:$A$201,0))</f>
        <v>5</v>
      </c>
      <c r="R2067" s="2" t="n">
        <f aca="false">INDEX(Summary!$N$2:$N$201,MATCH($B2067,Summary!$A$2:$A$201,0))</f>
        <v>9.35</v>
      </c>
      <c r="S2067" s="3" t="n">
        <f aca="false">INDEX(Summary!$O$2:$O$201,MATCH($B2067,Summary!$A$2:$A$201,0))</f>
        <v>4</v>
      </c>
      <c r="T2067" s="3" t="n">
        <f aca="false">INDEX(Summary!$P$2:$P$201,MATCH($B2067,Summary!$A$2:$A$201,0))</f>
        <v>5</v>
      </c>
      <c r="U2067" s="2" t="n">
        <f aca="false">INDEX(Summary!$Q$2:$Q$201,MATCH($B2067,Summary!$A$2:$A$201,0))</f>
        <v>13.7</v>
      </c>
      <c r="V2067" s="2" t="n">
        <f aca="false">INDEX(Summary!$R$2:$R$201,MATCH($B2067,Summary!$A$2:$A$201,0))</f>
        <v>12.85</v>
      </c>
      <c r="W2067" s="0" t="str">
        <f aca="false">INDEX(Summary!$S$2:$S$201,MATCH($B2067,Summary!$A$2:$A$201,0))</f>
        <v>Bronze</v>
      </c>
      <c r="X2067" s="2" t="n">
        <f aca="false">INDEX(Summary!$T$2:$T$201,MATCH($B2067,Summary!$A$2:$A$201,0))</f>
        <v>31.34</v>
      </c>
      <c r="Y2067" s="0" t="str">
        <f aca="false">INDEX('Reward Model'!$E$18:$E$37,MATCH($E2067,'Reward Model'!$A$18:$A$37,0))</f>
        <v>Medium</v>
      </c>
      <c r="Z2067" s="4" t="n">
        <f aca="false">ROUND(MIN(1,MAX('Reward Model'!$B$2,INDEX('Reward Model'!$C$12:$C$14,MATCH($K2067,'Reward Model'!$A$12:$A$14,0))/$J2067)),3)</f>
        <v>0.777</v>
      </c>
      <c r="AA2067" s="2" t="n">
        <f aca="false">IF($I2067="Correct",ROUND(INDEX('Reward Model'!$B$12:$B$14,MATCH($K2067,'Reward Model'!$A$12:$A$14,0))*Z2067,2),0)</f>
        <v>0.78</v>
      </c>
      <c r="AB2067" s="2" t="n">
        <f aca="false">IF($I2067="Correct",ROUND(INDEX('Reward Model'!$B$12:$B$14,MATCH($Y2067,'Reward Model'!$A$12:$A$14,0))*Z2067,2),0)</f>
        <v>1.55</v>
      </c>
    </row>
    <row r="2068" customFormat="false" ht="15" hidden="false" customHeight="false" outlineLevel="0" collapsed="false">
      <c r="A2068" s="0" t="s">
        <v>337</v>
      </c>
      <c r="B2068" s="0" t="s">
        <v>338</v>
      </c>
      <c r="C2068" s="0" t="s">
        <v>322</v>
      </c>
      <c r="D2068" s="0" t="s">
        <v>31</v>
      </c>
      <c r="E2068" s="0" t="n">
        <v>7</v>
      </c>
      <c r="F2068" s="0" t="s">
        <v>50</v>
      </c>
      <c r="G2068" s="0" t="s">
        <v>144</v>
      </c>
      <c r="H2068" s="0" t="s">
        <v>51</v>
      </c>
      <c r="I2068" s="0" t="s">
        <v>39</v>
      </c>
      <c r="J2068" s="0" t="n">
        <v>1.49</v>
      </c>
      <c r="K2068" s="0" t="s">
        <v>35</v>
      </c>
      <c r="L2068" s="0" t="n">
        <f aca="false">INDEX(Summary!$F$2:$F$201,MATCH($B2068,Summary!$A$2:$A$201,0))</f>
        <v>20</v>
      </c>
      <c r="M2068" s="0" t="n">
        <f aca="false">INDEX(Summary!$I$2:$I$201,MATCH($B2068,Summary!$A$2:$A$201,0))</f>
        <v>2</v>
      </c>
      <c r="N2068" s="0" t="n">
        <f aca="false">INDEX(Summary!$J$2:$J$201,MATCH($B2068,Summary!$A$2:$A$201,0))</f>
        <v>3</v>
      </c>
      <c r="O2068" s="2" t="n">
        <f aca="false">INDEX(Summary!$K$2:$K$201,MATCH($B2068,Summary!$A$2:$A$201,0))</f>
        <v>8.87</v>
      </c>
      <c r="P2068" s="3" t="n">
        <f aca="false">INDEX(Summary!$L$2:$L$201,MATCH($B2068,Summary!$A$2:$A$201,0))</f>
        <v>1</v>
      </c>
      <c r="Q2068" s="3" t="n">
        <f aca="false">INDEX(Summary!$M$2:$M$201,MATCH($B2068,Summary!$A$2:$A$201,0))</f>
        <v>5</v>
      </c>
      <c r="R2068" s="2" t="n">
        <f aca="false">INDEX(Summary!$N$2:$N$201,MATCH($B2068,Summary!$A$2:$A$201,0))</f>
        <v>9.35</v>
      </c>
      <c r="S2068" s="3" t="n">
        <f aca="false">INDEX(Summary!$O$2:$O$201,MATCH($B2068,Summary!$A$2:$A$201,0))</f>
        <v>4</v>
      </c>
      <c r="T2068" s="3" t="n">
        <f aca="false">INDEX(Summary!$P$2:$P$201,MATCH($B2068,Summary!$A$2:$A$201,0))</f>
        <v>5</v>
      </c>
      <c r="U2068" s="2" t="n">
        <f aca="false">INDEX(Summary!$Q$2:$Q$201,MATCH($B2068,Summary!$A$2:$A$201,0))</f>
        <v>13.7</v>
      </c>
      <c r="V2068" s="2" t="n">
        <f aca="false">INDEX(Summary!$R$2:$R$201,MATCH($B2068,Summary!$A$2:$A$201,0))</f>
        <v>12.85</v>
      </c>
      <c r="W2068" s="0" t="str">
        <f aca="false">INDEX(Summary!$S$2:$S$201,MATCH($B2068,Summary!$A$2:$A$201,0))</f>
        <v>Bronze</v>
      </c>
      <c r="X2068" s="2" t="n">
        <f aca="false">INDEX(Summary!$T$2:$T$201,MATCH($B2068,Summary!$A$2:$A$201,0))</f>
        <v>31.34</v>
      </c>
      <c r="Y2068" s="0" t="str">
        <f aca="false">INDEX('Reward Model'!$E$18:$E$37,MATCH($E2068,'Reward Model'!$A$18:$A$37,0))</f>
        <v>Low</v>
      </c>
      <c r="Z2068" s="4" t="n">
        <f aca="false">ROUND(MIN(1,MAX('Reward Model'!$B$2,INDEX('Reward Model'!$C$12:$C$14,MATCH($K2068,'Reward Model'!$A$12:$A$14,0))/$J2068)),3)</f>
        <v>1</v>
      </c>
      <c r="AA2068" s="2" t="n">
        <f aca="false">IF($I2068="Correct",ROUND(INDEX('Reward Model'!$B$12:$B$14,MATCH($K2068,'Reward Model'!$A$12:$A$14,0))*Z2068,2),0)</f>
        <v>0</v>
      </c>
      <c r="AB2068" s="2" t="n">
        <f aca="false">IF($I2068="Correct",ROUND(INDEX('Reward Model'!$B$12:$B$14,MATCH($Y2068,'Reward Model'!$A$12:$A$14,0))*Z2068,2),0)</f>
        <v>0</v>
      </c>
    </row>
    <row r="2069" customFormat="false" ht="15" hidden="false" customHeight="false" outlineLevel="0" collapsed="false">
      <c r="A2069" s="0" t="s">
        <v>337</v>
      </c>
      <c r="B2069" s="0" t="s">
        <v>338</v>
      </c>
      <c r="C2069" s="0" t="s">
        <v>322</v>
      </c>
      <c r="D2069" s="0" t="s">
        <v>31</v>
      </c>
      <c r="E2069" s="0" t="n">
        <v>8</v>
      </c>
      <c r="F2069" s="0" t="s">
        <v>52</v>
      </c>
      <c r="G2069" s="0" t="s">
        <v>53</v>
      </c>
      <c r="H2069" s="0" t="s">
        <v>54</v>
      </c>
      <c r="I2069" s="0" t="s">
        <v>39</v>
      </c>
      <c r="J2069" s="0" t="n">
        <v>1.82</v>
      </c>
      <c r="K2069" s="0" t="s">
        <v>35</v>
      </c>
      <c r="L2069" s="0" t="n">
        <f aca="false">INDEX(Summary!$F$2:$F$201,MATCH($B2069,Summary!$A$2:$A$201,0))</f>
        <v>20</v>
      </c>
      <c r="M2069" s="0" t="n">
        <f aca="false">INDEX(Summary!$I$2:$I$201,MATCH($B2069,Summary!$A$2:$A$201,0))</f>
        <v>2</v>
      </c>
      <c r="N2069" s="0" t="n">
        <f aca="false">INDEX(Summary!$J$2:$J$201,MATCH($B2069,Summary!$A$2:$A$201,0))</f>
        <v>3</v>
      </c>
      <c r="O2069" s="2" t="n">
        <f aca="false">INDEX(Summary!$K$2:$K$201,MATCH($B2069,Summary!$A$2:$A$201,0))</f>
        <v>8.87</v>
      </c>
      <c r="P2069" s="3" t="n">
        <f aca="false">INDEX(Summary!$L$2:$L$201,MATCH($B2069,Summary!$A$2:$A$201,0))</f>
        <v>1</v>
      </c>
      <c r="Q2069" s="3" t="n">
        <f aca="false">INDEX(Summary!$M$2:$M$201,MATCH($B2069,Summary!$A$2:$A$201,0))</f>
        <v>5</v>
      </c>
      <c r="R2069" s="2" t="n">
        <f aca="false">INDEX(Summary!$N$2:$N$201,MATCH($B2069,Summary!$A$2:$A$201,0))</f>
        <v>9.35</v>
      </c>
      <c r="S2069" s="3" t="n">
        <f aca="false">INDEX(Summary!$O$2:$O$201,MATCH($B2069,Summary!$A$2:$A$201,0))</f>
        <v>4</v>
      </c>
      <c r="T2069" s="3" t="n">
        <f aca="false">INDEX(Summary!$P$2:$P$201,MATCH($B2069,Summary!$A$2:$A$201,0))</f>
        <v>5</v>
      </c>
      <c r="U2069" s="2" t="n">
        <f aca="false">INDEX(Summary!$Q$2:$Q$201,MATCH($B2069,Summary!$A$2:$A$201,0))</f>
        <v>13.7</v>
      </c>
      <c r="V2069" s="2" t="n">
        <f aca="false">INDEX(Summary!$R$2:$R$201,MATCH($B2069,Summary!$A$2:$A$201,0))</f>
        <v>12.85</v>
      </c>
      <c r="W2069" s="0" t="str">
        <f aca="false">INDEX(Summary!$S$2:$S$201,MATCH($B2069,Summary!$A$2:$A$201,0))</f>
        <v>Bronze</v>
      </c>
      <c r="X2069" s="2" t="n">
        <f aca="false">INDEX(Summary!$T$2:$T$201,MATCH($B2069,Summary!$A$2:$A$201,0))</f>
        <v>31.34</v>
      </c>
      <c r="Y2069" s="0" t="str">
        <f aca="false">INDEX('Reward Model'!$E$18:$E$37,MATCH($E2069,'Reward Model'!$A$18:$A$37,0))</f>
        <v>Medium</v>
      </c>
      <c r="Z2069" s="4" t="n">
        <f aca="false">ROUND(MIN(1,MAX('Reward Model'!$B$2,INDEX('Reward Model'!$C$12:$C$14,MATCH($K2069,'Reward Model'!$A$12:$A$14,0))/$J2069)),3)</f>
        <v>0.824</v>
      </c>
      <c r="AA2069" s="2" t="n">
        <f aca="false">IF($I2069="Correct",ROUND(INDEX('Reward Model'!$B$12:$B$14,MATCH($K2069,'Reward Model'!$A$12:$A$14,0))*Z2069,2),0)</f>
        <v>0</v>
      </c>
      <c r="AB2069" s="2" t="n">
        <f aca="false">IF($I2069="Correct",ROUND(INDEX('Reward Model'!$B$12:$B$14,MATCH($Y2069,'Reward Model'!$A$12:$A$14,0))*Z2069,2),0)</f>
        <v>0</v>
      </c>
    </row>
    <row r="2070" customFormat="false" ht="15" hidden="false" customHeight="false" outlineLevel="0" collapsed="false">
      <c r="A2070" s="0" t="s">
        <v>337</v>
      </c>
      <c r="B2070" s="0" t="s">
        <v>338</v>
      </c>
      <c r="C2070" s="0" t="s">
        <v>322</v>
      </c>
      <c r="D2070" s="0" t="s">
        <v>31</v>
      </c>
      <c r="E2070" s="0" t="n">
        <v>9</v>
      </c>
      <c r="F2070" s="0" t="s">
        <v>55</v>
      </c>
      <c r="G2070" s="0" t="s">
        <v>56</v>
      </c>
      <c r="H2070" s="0" t="s">
        <v>57</v>
      </c>
      <c r="I2070" s="0" t="s">
        <v>39</v>
      </c>
      <c r="J2070" s="0" t="n">
        <v>1.1</v>
      </c>
      <c r="K2070" s="0" t="s">
        <v>35</v>
      </c>
      <c r="L2070" s="0" t="n">
        <f aca="false">INDEX(Summary!$F$2:$F$201,MATCH($B2070,Summary!$A$2:$A$201,0))</f>
        <v>20</v>
      </c>
      <c r="M2070" s="0" t="n">
        <f aca="false">INDEX(Summary!$I$2:$I$201,MATCH($B2070,Summary!$A$2:$A$201,0))</f>
        <v>2</v>
      </c>
      <c r="N2070" s="0" t="n">
        <f aca="false">INDEX(Summary!$J$2:$J$201,MATCH($B2070,Summary!$A$2:$A$201,0))</f>
        <v>3</v>
      </c>
      <c r="O2070" s="2" t="n">
        <f aca="false">INDEX(Summary!$K$2:$K$201,MATCH($B2070,Summary!$A$2:$A$201,0))</f>
        <v>8.87</v>
      </c>
      <c r="P2070" s="3" t="n">
        <f aca="false">INDEX(Summary!$L$2:$L$201,MATCH($B2070,Summary!$A$2:$A$201,0))</f>
        <v>1</v>
      </c>
      <c r="Q2070" s="3" t="n">
        <f aca="false">INDEX(Summary!$M$2:$M$201,MATCH($B2070,Summary!$A$2:$A$201,0))</f>
        <v>5</v>
      </c>
      <c r="R2070" s="2" t="n">
        <f aca="false">INDEX(Summary!$N$2:$N$201,MATCH($B2070,Summary!$A$2:$A$201,0))</f>
        <v>9.35</v>
      </c>
      <c r="S2070" s="3" t="n">
        <f aca="false">INDEX(Summary!$O$2:$O$201,MATCH($B2070,Summary!$A$2:$A$201,0))</f>
        <v>4</v>
      </c>
      <c r="T2070" s="3" t="n">
        <f aca="false">INDEX(Summary!$P$2:$P$201,MATCH($B2070,Summary!$A$2:$A$201,0))</f>
        <v>5</v>
      </c>
      <c r="U2070" s="2" t="n">
        <f aca="false">INDEX(Summary!$Q$2:$Q$201,MATCH($B2070,Summary!$A$2:$A$201,0))</f>
        <v>13.7</v>
      </c>
      <c r="V2070" s="2" t="n">
        <f aca="false">INDEX(Summary!$R$2:$R$201,MATCH($B2070,Summary!$A$2:$A$201,0))</f>
        <v>12.85</v>
      </c>
      <c r="W2070" s="0" t="str">
        <f aca="false">INDEX(Summary!$S$2:$S$201,MATCH($B2070,Summary!$A$2:$A$201,0))</f>
        <v>Bronze</v>
      </c>
      <c r="X2070" s="2" t="n">
        <f aca="false">INDEX(Summary!$T$2:$T$201,MATCH($B2070,Summary!$A$2:$A$201,0))</f>
        <v>31.34</v>
      </c>
      <c r="Y2070" s="0" t="str">
        <f aca="false">INDEX('Reward Model'!$E$18:$E$37,MATCH($E2070,'Reward Model'!$A$18:$A$37,0))</f>
        <v>Medium</v>
      </c>
      <c r="Z2070" s="4" t="n">
        <f aca="false">ROUND(MIN(1,MAX('Reward Model'!$B$2,INDEX('Reward Model'!$C$12:$C$14,MATCH($K2070,'Reward Model'!$A$12:$A$14,0))/$J2070)),3)</f>
        <v>1</v>
      </c>
      <c r="AA2070" s="2" t="n">
        <f aca="false">IF($I2070="Correct",ROUND(INDEX('Reward Model'!$B$12:$B$14,MATCH($K2070,'Reward Model'!$A$12:$A$14,0))*Z2070,2),0)</f>
        <v>0</v>
      </c>
      <c r="AB2070" s="2" t="n">
        <f aca="false">IF($I2070="Correct",ROUND(INDEX('Reward Model'!$B$12:$B$14,MATCH($Y2070,'Reward Model'!$A$12:$A$14,0))*Z2070,2),0)</f>
        <v>0</v>
      </c>
    </row>
    <row r="2071" customFormat="false" ht="15" hidden="false" customHeight="false" outlineLevel="0" collapsed="false">
      <c r="A2071" s="0" t="s">
        <v>337</v>
      </c>
      <c r="B2071" s="0" t="s">
        <v>338</v>
      </c>
      <c r="C2071" s="0" t="s">
        <v>322</v>
      </c>
      <c r="D2071" s="0" t="s">
        <v>31</v>
      </c>
      <c r="E2071" s="0" t="n">
        <v>10</v>
      </c>
      <c r="F2071" s="0" t="s">
        <v>58</v>
      </c>
      <c r="G2071" s="0" t="s">
        <v>59</v>
      </c>
      <c r="H2071" s="0" t="s">
        <v>59</v>
      </c>
      <c r="I2071" s="0" t="s">
        <v>34</v>
      </c>
      <c r="J2071" s="0" t="n">
        <v>1.24</v>
      </c>
      <c r="K2071" s="0" t="s">
        <v>60</v>
      </c>
      <c r="L2071" s="0" t="n">
        <f aca="false">INDEX(Summary!$F$2:$F$201,MATCH($B2071,Summary!$A$2:$A$201,0))</f>
        <v>20</v>
      </c>
      <c r="M2071" s="0" t="n">
        <f aca="false">INDEX(Summary!$I$2:$I$201,MATCH($B2071,Summary!$A$2:$A$201,0))</f>
        <v>2</v>
      </c>
      <c r="N2071" s="0" t="n">
        <f aca="false">INDEX(Summary!$J$2:$J$201,MATCH($B2071,Summary!$A$2:$A$201,0))</f>
        <v>3</v>
      </c>
      <c r="O2071" s="2" t="n">
        <f aca="false">INDEX(Summary!$K$2:$K$201,MATCH($B2071,Summary!$A$2:$A$201,0))</f>
        <v>8.87</v>
      </c>
      <c r="P2071" s="3" t="n">
        <f aca="false">INDEX(Summary!$L$2:$L$201,MATCH($B2071,Summary!$A$2:$A$201,0))</f>
        <v>1</v>
      </c>
      <c r="Q2071" s="3" t="n">
        <f aca="false">INDEX(Summary!$M$2:$M$201,MATCH($B2071,Summary!$A$2:$A$201,0))</f>
        <v>5</v>
      </c>
      <c r="R2071" s="2" t="n">
        <f aca="false">INDEX(Summary!$N$2:$N$201,MATCH($B2071,Summary!$A$2:$A$201,0))</f>
        <v>9.35</v>
      </c>
      <c r="S2071" s="3" t="n">
        <f aca="false">INDEX(Summary!$O$2:$O$201,MATCH($B2071,Summary!$A$2:$A$201,0))</f>
        <v>4</v>
      </c>
      <c r="T2071" s="3" t="n">
        <f aca="false">INDEX(Summary!$P$2:$P$201,MATCH($B2071,Summary!$A$2:$A$201,0))</f>
        <v>5</v>
      </c>
      <c r="U2071" s="2" t="n">
        <f aca="false">INDEX(Summary!$Q$2:$Q$201,MATCH($B2071,Summary!$A$2:$A$201,0))</f>
        <v>13.7</v>
      </c>
      <c r="V2071" s="2" t="n">
        <f aca="false">INDEX(Summary!$R$2:$R$201,MATCH($B2071,Summary!$A$2:$A$201,0))</f>
        <v>12.85</v>
      </c>
      <c r="W2071" s="0" t="str">
        <f aca="false">INDEX(Summary!$S$2:$S$201,MATCH($B2071,Summary!$A$2:$A$201,0))</f>
        <v>Bronze</v>
      </c>
      <c r="X2071" s="2" t="n">
        <f aca="false">INDEX(Summary!$T$2:$T$201,MATCH($B2071,Summary!$A$2:$A$201,0))</f>
        <v>31.34</v>
      </c>
      <c r="Y2071" s="0" t="str">
        <f aca="false">INDEX('Reward Model'!$E$18:$E$37,MATCH($E2071,'Reward Model'!$A$18:$A$37,0))</f>
        <v>Medium</v>
      </c>
      <c r="Z2071" s="4" t="n">
        <f aca="false">ROUND(MIN(1,MAX('Reward Model'!$B$2,INDEX('Reward Model'!$C$12:$C$14,MATCH($K2071,'Reward Model'!$A$12:$A$14,0))/$J2071)),3)</f>
        <v>1</v>
      </c>
      <c r="AA2071" s="2" t="n">
        <f aca="false">IF($I2071="Correct",ROUND(INDEX('Reward Model'!$B$12:$B$14,MATCH($K2071,'Reward Model'!$A$12:$A$14,0))*Z2071,2),0)</f>
        <v>2</v>
      </c>
      <c r="AB2071" s="2" t="n">
        <f aca="false">IF($I2071="Correct",ROUND(INDEX('Reward Model'!$B$12:$B$14,MATCH($Y2071,'Reward Model'!$A$12:$A$14,0))*Z2071,2),0)</f>
        <v>2</v>
      </c>
    </row>
    <row r="2072" customFormat="false" ht="15" hidden="false" customHeight="false" outlineLevel="0" collapsed="false">
      <c r="A2072" s="0" t="s">
        <v>337</v>
      </c>
      <c r="B2072" s="0" t="s">
        <v>338</v>
      </c>
      <c r="C2072" s="0" t="s">
        <v>322</v>
      </c>
      <c r="D2072" s="0" t="s">
        <v>31</v>
      </c>
      <c r="E2072" s="0" t="n">
        <v>11</v>
      </c>
      <c r="F2072" s="0" t="s">
        <v>61</v>
      </c>
      <c r="G2072" s="0" t="s">
        <v>150</v>
      </c>
      <c r="H2072" s="0" t="s">
        <v>63</v>
      </c>
      <c r="I2072" s="0" t="s">
        <v>39</v>
      </c>
      <c r="J2072" s="0" t="n">
        <v>1.7</v>
      </c>
      <c r="K2072" s="0" t="s">
        <v>60</v>
      </c>
      <c r="L2072" s="0" t="n">
        <f aca="false">INDEX(Summary!$F$2:$F$201,MATCH($B2072,Summary!$A$2:$A$201,0))</f>
        <v>20</v>
      </c>
      <c r="M2072" s="0" t="n">
        <f aca="false">INDEX(Summary!$I$2:$I$201,MATCH($B2072,Summary!$A$2:$A$201,0))</f>
        <v>2</v>
      </c>
      <c r="N2072" s="0" t="n">
        <f aca="false">INDEX(Summary!$J$2:$J$201,MATCH($B2072,Summary!$A$2:$A$201,0))</f>
        <v>3</v>
      </c>
      <c r="O2072" s="2" t="n">
        <f aca="false">INDEX(Summary!$K$2:$K$201,MATCH($B2072,Summary!$A$2:$A$201,0))</f>
        <v>8.87</v>
      </c>
      <c r="P2072" s="3" t="n">
        <f aca="false">INDEX(Summary!$L$2:$L$201,MATCH($B2072,Summary!$A$2:$A$201,0))</f>
        <v>1</v>
      </c>
      <c r="Q2072" s="3" t="n">
        <f aca="false">INDEX(Summary!$M$2:$M$201,MATCH($B2072,Summary!$A$2:$A$201,0))</f>
        <v>5</v>
      </c>
      <c r="R2072" s="2" t="n">
        <f aca="false">INDEX(Summary!$N$2:$N$201,MATCH($B2072,Summary!$A$2:$A$201,0))</f>
        <v>9.35</v>
      </c>
      <c r="S2072" s="3" t="n">
        <f aca="false">INDEX(Summary!$O$2:$O$201,MATCH($B2072,Summary!$A$2:$A$201,0))</f>
        <v>4</v>
      </c>
      <c r="T2072" s="3" t="n">
        <f aca="false">INDEX(Summary!$P$2:$P$201,MATCH($B2072,Summary!$A$2:$A$201,0))</f>
        <v>5</v>
      </c>
      <c r="U2072" s="2" t="n">
        <f aca="false">INDEX(Summary!$Q$2:$Q$201,MATCH($B2072,Summary!$A$2:$A$201,0))</f>
        <v>13.7</v>
      </c>
      <c r="V2072" s="2" t="n">
        <f aca="false">INDEX(Summary!$R$2:$R$201,MATCH($B2072,Summary!$A$2:$A$201,0))</f>
        <v>12.85</v>
      </c>
      <c r="W2072" s="0" t="str">
        <f aca="false">INDEX(Summary!$S$2:$S$201,MATCH($B2072,Summary!$A$2:$A$201,0))</f>
        <v>Bronze</v>
      </c>
      <c r="X2072" s="2" t="n">
        <f aca="false">INDEX(Summary!$T$2:$T$201,MATCH($B2072,Summary!$A$2:$A$201,0))</f>
        <v>31.34</v>
      </c>
      <c r="Y2072" s="0" t="str">
        <f aca="false">INDEX('Reward Model'!$E$18:$E$37,MATCH($E2072,'Reward Model'!$A$18:$A$37,0))</f>
        <v>Medium</v>
      </c>
      <c r="Z2072" s="4" t="n">
        <f aca="false">ROUND(MIN(1,MAX('Reward Model'!$B$2,INDEX('Reward Model'!$C$12:$C$14,MATCH($K2072,'Reward Model'!$A$12:$A$14,0))/$J2072)),3)</f>
        <v>1</v>
      </c>
      <c r="AA2072" s="2" t="n">
        <f aca="false">IF($I2072="Correct",ROUND(INDEX('Reward Model'!$B$12:$B$14,MATCH($K2072,'Reward Model'!$A$12:$A$14,0))*Z2072,2),0)</f>
        <v>0</v>
      </c>
      <c r="AB2072" s="2" t="n">
        <f aca="false">IF($I2072="Correct",ROUND(INDEX('Reward Model'!$B$12:$B$14,MATCH($Y2072,'Reward Model'!$A$12:$A$14,0))*Z2072,2),0)</f>
        <v>0</v>
      </c>
    </row>
    <row r="2073" customFormat="false" ht="15" hidden="false" customHeight="false" outlineLevel="0" collapsed="false">
      <c r="A2073" s="0" t="s">
        <v>337</v>
      </c>
      <c r="B2073" s="0" t="s">
        <v>338</v>
      </c>
      <c r="C2073" s="0" t="s">
        <v>322</v>
      </c>
      <c r="D2073" s="0" t="s">
        <v>31</v>
      </c>
      <c r="E2073" s="0" t="n">
        <v>12</v>
      </c>
      <c r="F2073" s="0" t="s">
        <v>64</v>
      </c>
      <c r="G2073" s="0" t="s">
        <v>127</v>
      </c>
      <c r="H2073" s="0" t="s">
        <v>65</v>
      </c>
      <c r="I2073" s="0" t="s">
        <v>39</v>
      </c>
      <c r="J2073" s="0" t="n">
        <v>1.53</v>
      </c>
      <c r="K2073" s="0" t="s">
        <v>60</v>
      </c>
      <c r="L2073" s="0" t="n">
        <f aca="false">INDEX(Summary!$F$2:$F$201,MATCH($B2073,Summary!$A$2:$A$201,0))</f>
        <v>20</v>
      </c>
      <c r="M2073" s="0" t="n">
        <f aca="false">INDEX(Summary!$I$2:$I$201,MATCH($B2073,Summary!$A$2:$A$201,0))</f>
        <v>2</v>
      </c>
      <c r="N2073" s="0" t="n">
        <f aca="false">INDEX(Summary!$J$2:$J$201,MATCH($B2073,Summary!$A$2:$A$201,0))</f>
        <v>3</v>
      </c>
      <c r="O2073" s="2" t="n">
        <f aca="false">INDEX(Summary!$K$2:$K$201,MATCH($B2073,Summary!$A$2:$A$201,0))</f>
        <v>8.87</v>
      </c>
      <c r="P2073" s="3" t="n">
        <f aca="false">INDEX(Summary!$L$2:$L$201,MATCH($B2073,Summary!$A$2:$A$201,0))</f>
        <v>1</v>
      </c>
      <c r="Q2073" s="3" t="n">
        <f aca="false">INDEX(Summary!$M$2:$M$201,MATCH($B2073,Summary!$A$2:$A$201,0))</f>
        <v>5</v>
      </c>
      <c r="R2073" s="2" t="n">
        <f aca="false">INDEX(Summary!$N$2:$N$201,MATCH($B2073,Summary!$A$2:$A$201,0))</f>
        <v>9.35</v>
      </c>
      <c r="S2073" s="3" t="n">
        <f aca="false">INDEX(Summary!$O$2:$O$201,MATCH($B2073,Summary!$A$2:$A$201,0))</f>
        <v>4</v>
      </c>
      <c r="T2073" s="3" t="n">
        <f aca="false">INDEX(Summary!$P$2:$P$201,MATCH($B2073,Summary!$A$2:$A$201,0))</f>
        <v>5</v>
      </c>
      <c r="U2073" s="2" t="n">
        <f aca="false">INDEX(Summary!$Q$2:$Q$201,MATCH($B2073,Summary!$A$2:$A$201,0))</f>
        <v>13.7</v>
      </c>
      <c r="V2073" s="2" t="n">
        <f aca="false">INDEX(Summary!$R$2:$R$201,MATCH($B2073,Summary!$A$2:$A$201,0))</f>
        <v>12.85</v>
      </c>
      <c r="W2073" s="0" t="str">
        <f aca="false">INDEX(Summary!$S$2:$S$201,MATCH($B2073,Summary!$A$2:$A$201,0))</f>
        <v>Bronze</v>
      </c>
      <c r="X2073" s="2" t="n">
        <f aca="false">INDEX(Summary!$T$2:$T$201,MATCH($B2073,Summary!$A$2:$A$201,0))</f>
        <v>31.34</v>
      </c>
      <c r="Y2073" s="0" t="str">
        <f aca="false">INDEX('Reward Model'!$E$18:$E$37,MATCH($E2073,'Reward Model'!$A$18:$A$37,0))</f>
        <v>Medium</v>
      </c>
      <c r="Z2073" s="4" t="n">
        <f aca="false">ROUND(MIN(1,MAX('Reward Model'!$B$2,INDEX('Reward Model'!$C$12:$C$14,MATCH($K2073,'Reward Model'!$A$12:$A$14,0))/$J2073)),3)</f>
        <v>1</v>
      </c>
      <c r="AA2073" s="2" t="n">
        <f aca="false">IF($I2073="Correct",ROUND(INDEX('Reward Model'!$B$12:$B$14,MATCH($K2073,'Reward Model'!$A$12:$A$14,0))*Z2073,2),0)</f>
        <v>0</v>
      </c>
      <c r="AB2073" s="2" t="n">
        <f aca="false">IF($I2073="Correct",ROUND(INDEX('Reward Model'!$B$12:$B$14,MATCH($Y2073,'Reward Model'!$A$12:$A$14,0))*Z2073,2),0)</f>
        <v>0</v>
      </c>
    </row>
    <row r="2074" customFormat="false" ht="15" hidden="false" customHeight="false" outlineLevel="0" collapsed="false">
      <c r="A2074" s="0" t="s">
        <v>337</v>
      </c>
      <c r="B2074" s="0" t="s">
        <v>338</v>
      </c>
      <c r="C2074" s="0" t="s">
        <v>322</v>
      </c>
      <c r="D2074" s="0" t="s">
        <v>31</v>
      </c>
      <c r="E2074" s="0" t="n">
        <v>13</v>
      </c>
      <c r="F2074" s="0" t="s">
        <v>66</v>
      </c>
      <c r="G2074" s="0" t="s">
        <v>124</v>
      </c>
      <c r="H2074" s="0" t="s">
        <v>67</v>
      </c>
      <c r="I2074" s="0" t="s">
        <v>39</v>
      </c>
      <c r="J2074" s="0" t="n">
        <v>1.74</v>
      </c>
      <c r="K2074" s="0" t="s">
        <v>60</v>
      </c>
      <c r="L2074" s="0" t="n">
        <f aca="false">INDEX(Summary!$F$2:$F$201,MATCH($B2074,Summary!$A$2:$A$201,0))</f>
        <v>20</v>
      </c>
      <c r="M2074" s="0" t="n">
        <f aca="false">INDEX(Summary!$I$2:$I$201,MATCH($B2074,Summary!$A$2:$A$201,0))</f>
        <v>2</v>
      </c>
      <c r="N2074" s="0" t="n">
        <f aca="false">INDEX(Summary!$J$2:$J$201,MATCH($B2074,Summary!$A$2:$A$201,0))</f>
        <v>3</v>
      </c>
      <c r="O2074" s="2" t="n">
        <f aca="false">INDEX(Summary!$K$2:$K$201,MATCH($B2074,Summary!$A$2:$A$201,0))</f>
        <v>8.87</v>
      </c>
      <c r="P2074" s="3" t="n">
        <f aca="false">INDEX(Summary!$L$2:$L$201,MATCH($B2074,Summary!$A$2:$A$201,0))</f>
        <v>1</v>
      </c>
      <c r="Q2074" s="3" t="n">
        <f aca="false">INDEX(Summary!$M$2:$M$201,MATCH($B2074,Summary!$A$2:$A$201,0))</f>
        <v>5</v>
      </c>
      <c r="R2074" s="2" t="n">
        <f aca="false">INDEX(Summary!$N$2:$N$201,MATCH($B2074,Summary!$A$2:$A$201,0))</f>
        <v>9.35</v>
      </c>
      <c r="S2074" s="3" t="n">
        <f aca="false">INDEX(Summary!$O$2:$O$201,MATCH($B2074,Summary!$A$2:$A$201,0))</f>
        <v>4</v>
      </c>
      <c r="T2074" s="3" t="n">
        <f aca="false">INDEX(Summary!$P$2:$P$201,MATCH($B2074,Summary!$A$2:$A$201,0))</f>
        <v>5</v>
      </c>
      <c r="U2074" s="2" t="n">
        <f aca="false">INDEX(Summary!$Q$2:$Q$201,MATCH($B2074,Summary!$A$2:$A$201,0))</f>
        <v>13.7</v>
      </c>
      <c r="V2074" s="2" t="n">
        <f aca="false">INDEX(Summary!$R$2:$R$201,MATCH($B2074,Summary!$A$2:$A$201,0))</f>
        <v>12.85</v>
      </c>
      <c r="W2074" s="0" t="str">
        <f aca="false">INDEX(Summary!$S$2:$S$201,MATCH($B2074,Summary!$A$2:$A$201,0))</f>
        <v>Bronze</v>
      </c>
      <c r="X2074" s="2" t="n">
        <f aca="false">INDEX(Summary!$T$2:$T$201,MATCH($B2074,Summary!$A$2:$A$201,0))</f>
        <v>31.34</v>
      </c>
      <c r="Y2074" s="0" t="str">
        <f aca="false">INDEX('Reward Model'!$E$18:$E$37,MATCH($E2074,'Reward Model'!$A$18:$A$37,0))</f>
        <v>Medium</v>
      </c>
      <c r="Z2074" s="4" t="n">
        <f aca="false">ROUND(MIN(1,MAX('Reward Model'!$B$2,INDEX('Reward Model'!$C$12:$C$14,MATCH($K2074,'Reward Model'!$A$12:$A$14,0))/$J2074)),3)</f>
        <v>1</v>
      </c>
      <c r="AA2074" s="2" t="n">
        <f aca="false">IF($I2074="Correct",ROUND(INDEX('Reward Model'!$B$12:$B$14,MATCH($K2074,'Reward Model'!$A$12:$A$14,0))*Z2074,2),0)</f>
        <v>0</v>
      </c>
      <c r="AB2074" s="2" t="n">
        <f aca="false">IF($I2074="Correct",ROUND(INDEX('Reward Model'!$B$12:$B$14,MATCH($Y2074,'Reward Model'!$A$12:$A$14,0))*Z2074,2),0)</f>
        <v>0</v>
      </c>
    </row>
    <row r="2075" customFormat="false" ht="15" hidden="false" customHeight="false" outlineLevel="0" collapsed="false">
      <c r="A2075" s="0" t="s">
        <v>337</v>
      </c>
      <c r="B2075" s="0" t="s">
        <v>338</v>
      </c>
      <c r="C2075" s="0" t="s">
        <v>322</v>
      </c>
      <c r="D2075" s="0" t="s">
        <v>31</v>
      </c>
      <c r="E2075" s="0" t="n">
        <v>14</v>
      </c>
      <c r="F2075" s="0" t="s">
        <v>68</v>
      </c>
      <c r="G2075" s="0" t="s">
        <v>86</v>
      </c>
      <c r="H2075" s="0" t="s">
        <v>51</v>
      </c>
      <c r="I2075" s="0" t="s">
        <v>39</v>
      </c>
      <c r="J2075" s="0" t="n">
        <v>1.14</v>
      </c>
      <c r="K2075" s="0" t="s">
        <v>60</v>
      </c>
      <c r="L2075" s="0" t="n">
        <f aca="false">INDEX(Summary!$F$2:$F$201,MATCH($B2075,Summary!$A$2:$A$201,0))</f>
        <v>20</v>
      </c>
      <c r="M2075" s="0" t="n">
        <f aca="false">INDEX(Summary!$I$2:$I$201,MATCH($B2075,Summary!$A$2:$A$201,0))</f>
        <v>2</v>
      </c>
      <c r="N2075" s="0" t="n">
        <f aca="false">INDEX(Summary!$J$2:$J$201,MATCH($B2075,Summary!$A$2:$A$201,0))</f>
        <v>3</v>
      </c>
      <c r="O2075" s="2" t="n">
        <f aca="false">INDEX(Summary!$K$2:$K$201,MATCH($B2075,Summary!$A$2:$A$201,0))</f>
        <v>8.87</v>
      </c>
      <c r="P2075" s="3" t="n">
        <f aca="false">INDEX(Summary!$L$2:$L$201,MATCH($B2075,Summary!$A$2:$A$201,0))</f>
        <v>1</v>
      </c>
      <c r="Q2075" s="3" t="n">
        <f aca="false">INDEX(Summary!$M$2:$M$201,MATCH($B2075,Summary!$A$2:$A$201,0))</f>
        <v>5</v>
      </c>
      <c r="R2075" s="2" t="n">
        <f aca="false">INDEX(Summary!$N$2:$N$201,MATCH($B2075,Summary!$A$2:$A$201,0))</f>
        <v>9.35</v>
      </c>
      <c r="S2075" s="3" t="n">
        <f aca="false">INDEX(Summary!$O$2:$O$201,MATCH($B2075,Summary!$A$2:$A$201,0))</f>
        <v>4</v>
      </c>
      <c r="T2075" s="3" t="n">
        <f aca="false">INDEX(Summary!$P$2:$P$201,MATCH($B2075,Summary!$A$2:$A$201,0))</f>
        <v>5</v>
      </c>
      <c r="U2075" s="2" t="n">
        <f aca="false">INDEX(Summary!$Q$2:$Q$201,MATCH($B2075,Summary!$A$2:$A$201,0))</f>
        <v>13.7</v>
      </c>
      <c r="V2075" s="2" t="n">
        <f aca="false">INDEX(Summary!$R$2:$R$201,MATCH($B2075,Summary!$A$2:$A$201,0))</f>
        <v>12.85</v>
      </c>
      <c r="W2075" s="0" t="str">
        <f aca="false">INDEX(Summary!$S$2:$S$201,MATCH($B2075,Summary!$A$2:$A$201,0))</f>
        <v>Bronze</v>
      </c>
      <c r="X2075" s="2" t="n">
        <f aca="false">INDEX(Summary!$T$2:$T$201,MATCH($B2075,Summary!$A$2:$A$201,0))</f>
        <v>31.34</v>
      </c>
      <c r="Y2075" s="0" t="str">
        <f aca="false">INDEX('Reward Model'!$E$18:$E$37,MATCH($E2075,'Reward Model'!$A$18:$A$37,0))</f>
        <v>Medium</v>
      </c>
      <c r="Z2075" s="4" t="n">
        <f aca="false">ROUND(MIN(1,MAX('Reward Model'!$B$2,INDEX('Reward Model'!$C$12:$C$14,MATCH($K2075,'Reward Model'!$A$12:$A$14,0))/$J2075)),3)</f>
        <v>1</v>
      </c>
      <c r="AA2075" s="2" t="n">
        <f aca="false">IF($I2075="Correct",ROUND(INDEX('Reward Model'!$B$12:$B$14,MATCH($K2075,'Reward Model'!$A$12:$A$14,0))*Z2075,2),0)</f>
        <v>0</v>
      </c>
      <c r="AB2075" s="2" t="n">
        <f aca="false">IF($I2075="Correct",ROUND(INDEX('Reward Model'!$B$12:$B$14,MATCH($Y2075,'Reward Model'!$A$12:$A$14,0))*Z2075,2),0)</f>
        <v>0</v>
      </c>
    </row>
    <row r="2076" customFormat="false" ht="15" hidden="false" customHeight="false" outlineLevel="0" collapsed="false">
      <c r="A2076" s="0" t="s">
        <v>337</v>
      </c>
      <c r="B2076" s="0" t="s">
        <v>338</v>
      </c>
      <c r="C2076" s="0" t="s">
        <v>322</v>
      </c>
      <c r="D2076" s="0" t="s">
        <v>31</v>
      </c>
      <c r="E2076" s="0" t="n">
        <v>15</v>
      </c>
      <c r="F2076" s="0" t="s">
        <v>69</v>
      </c>
      <c r="G2076" s="0" t="s">
        <v>139</v>
      </c>
      <c r="H2076" s="0" t="s">
        <v>70</v>
      </c>
      <c r="I2076" s="0" t="s">
        <v>39</v>
      </c>
      <c r="J2076" s="0" t="n">
        <v>2</v>
      </c>
      <c r="K2076" s="0" t="s">
        <v>60</v>
      </c>
      <c r="L2076" s="0" t="n">
        <f aca="false">INDEX(Summary!$F$2:$F$201,MATCH($B2076,Summary!$A$2:$A$201,0))</f>
        <v>20</v>
      </c>
      <c r="M2076" s="0" t="n">
        <f aca="false">INDEX(Summary!$I$2:$I$201,MATCH($B2076,Summary!$A$2:$A$201,0))</f>
        <v>2</v>
      </c>
      <c r="N2076" s="0" t="n">
        <f aca="false">INDEX(Summary!$J$2:$J$201,MATCH($B2076,Summary!$A$2:$A$201,0))</f>
        <v>3</v>
      </c>
      <c r="O2076" s="2" t="n">
        <f aca="false">INDEX(Summary!$K$2:$K$201,MATCH($B2076,Summary!$A$2:$A$201,0))</f>
        <v>8.87</v>
      </c>
      <c r="P2076" s="3" t="n">
        <f aca="false">INDEX(Summary!$L$2:$L$201,MATCH($B2076,Summary!$A$2:$A$201,0))</f>
        <v>1</v>
      </c>
      <c r="Q2076" s="3" t="n">
        <f aca="false">INDEX(Summary!$M$2:$M$201,MATCH($B2076,Summary!$A$2:$A$201,0))</f>
        <v>5</v>
      </c>
      <c r="R2076" s="2" t="n">
        <f aca="false">INDEX(Summary!$N$2:$N$201,MATCH($B2076,Summary!$A$2:$A$201,0))</f>
        <v>9.35</v>
      </c>
      <c r="S2076" s="3" t="n">
        <f aca="false">INDEX(Summary!$O$2:$O$201,MATCH($B2076,Summary!$A$2:$A$201,0))</f>
        <v>4</v>
      </c>
      <c r="T2076" s="3" t="n">
        <f aca="false">INDEX(Summary!$P$2:$P$201,MATCH($B2076,Summary!$A$2:$A$201,0))</f>
        <v>5</v>
      </c>
      <c r="U2076" s="2" t="n">
        <f aca="false">INDEX(Summary!$Q$2:$Q$201,MATCH($B2076,Summary!$A$2:$A$201,0))</f>
        <v>13.7</v>
      </c>
      <c r="V2076" s="2" t="n">
        <f aca="false">INDEX(Summary!$R$2:$R$201,MATCH($B2076,Summary!$A$2:$A$201,0))</f>
        <v>12.85</v>
      </c>
      <c r="W2076" s="0" t="str">
        <f aca="false">INDEX(Summary!$S$2:$S$201,MATCH($B2076,Summary!$A$2:$A$201,0))</f>
        <v>Bronze</v>
      </c>
      <c r="X2076" s="2" t="n">
        <f aca="false">INDEX(Summary!$T$2:$T$201,MATCH($B2076,Summary!$A$2:$A$201,0))</f>
        <v>31.34</v>
      </c>
      <c r="Y2076" s="0" t="str">
        <f aca="false">INDEX('Reward Model'!$E$18:$E$37,MATCH($E2076,'Reward Model'!$A$18:$A$37,0))</f>
        <v>Medium</v>
      </c>
      <c r="Z2076" s="4" t="n">
        <f aca="false">ROUND(MIN(1,MAX('Reward Model'!$B$2,INDEX('Reward Model'!$C$12:$C$14,MATCH($K2076,'Reward Model'!$A$12:$A$14,0))/$J2076)),3)</f>
        <v>0.9</v>
      </c>
      <c r="AA2076" s="2" t="n">
        <f aca="false">IF($I2076="Correct",ROUND(INDEX('Reward Model'!$B$12:$B$14,MATCH($K2076,'Reward Model'!$A$12:$A$14,0))*Z2076,2),0)</f>
        <v>0</v>
      </c>
      <c r="AB2076" s="2" t="n">
        <f aca="false">IF($I2076="Correct",ROUND(INDEX('Reward Model'!$B$12:$B$14,MATCH($Y2076,'Reward Model'!$A$12:$A$14,0))*Z2076,2),0)</f>
        <v>0</v>
      </c>
    </row>
    <row r="2077" customFormat="false" ht="15" hidden="false" customHeight="false" outlineLevel="0" collapsed="false">
      <c r="A2077" s="0" t="s">
        <v>337</v>
      </c>
      <c r="B2077" s="0" t="s">
        <v>338</v>
      </c>
      <c r="C2077" s="0" t="s">
        <v>322</v>
      </c>
      <c r="D2077" s="0" t="s">
        <v>31</v>
      </c>
      <c r="E2077" s="0" t="n">
        <v>16</v>
      </c>
      <c r="F2077" s="0" t="s">
        <v>71</v>
      </c>
      <c r="G2077" s="0" t="s">
        <v>72</v>
      </c>
      <c r="H2077" s="0" t="s">
        <v>72</v>
      </c>
      <c r="I2077" s="0" t="s">
        <v>34</v>
      </c>
      <c r="J2077" s="0" t="n">
        <v>1.67</v>
      </c>
      <c r="K2077" s="0" t="s">
        <v>73</v>
      </c>
      <c r="L2077" s="0" t="n">
        <f aca="false">INDEX(Summary!$F$2:$F$201,MATCH($B2077,Summary!$A$2:$A$201,0))</f>
        <v>20</v>
      </c>
      <c r="M2077" s="0" t="n">
        <f aca="false">INDEX(Summary!$I$2:$I$201,MATCH($B2077,Summary!$A$2:$A$201,0))</f>
        <v>2</v>
      </c>
      <c r="N2077" s="0" t="n">
        <f aca="false">INDEX(Summary!$J$2:$J$201,MATCH($B2077,Summary!$A$2:$A$201,0))</f>
        <v>3</v>
      </c>
      <c r="O2077" s="2" t="n">
        <f aca="false">INDEX(Summary!$K$2:$K$201,MATCH($B2077,Summary!$A$2:$A$201,0))</f>
        <v>8.87</v>
      </c>
      <c r="P2077" s="3" t="n">
        <f aca="false">INDEX(Summary!$L$2:$L$201,MATCH($B2077,Summary!$A$2:$A$201,0))</f>
        <v>1</v>
      </c>
      <c r="Q2077" s="3" t="n">
        <f aca="false">INDEX(Summary!$M$2:$M$201,MATCH($B2077,Summary!$A$2:$A$201,0))</f>
        <v>5</v>
      </c>
      <c r="R2077" s="2" t="n">
        <f aca="false">INDEX(Summary!$N$2:$N$201,MATCH($B2077,Summary!$A$2:$A$201,0))</f>
        <v>9.35</v>
      </c>
      <c r="S2077" s="3" t="n">
        <f aca="false">INDEX(Summary!$O$2:$O$201,MATCH($B2077,Summary!$A$2:$A$201,0))</f>
        <v>4</v>
      </c>
      <c r="T2077" s="3" t="n">
        <f aca="false">INDEX(Summary!$P$2:$P$201,MATCH($B2077,Summary!$A$2:$A$201,0))</f>
        <v>5</v>
      </c>
      <c r="U2077" s="2" t="n">
        <f aca="false">INDEX(Summary!$Q$2:$Q$201,MATCH($B2077,Summary!$A$2:$A$201,0))</f>
        <v>13.7</v>
      </c>
      <c r="V2077" s="2" t="n">
        <f aca="false">INDEX(Summary!$R$2:$R$201,MATCH($B2077,Summary!$A$2:$A$201,0))</f>
        <v>12.85</v>
      </c>
      <c r="W2077" s="0" t="str">
        <f aca="false">INDEX(Summary!$S$2:$S$201,MATCH($B2077,Summary!$A$2:$A$201,0))</f>
        <v>Bronze</v>
      </c>
      <c r="X2077" s="2" t="n">
        <f aca="false">INDEX(Summary!$T$2:$T$201,MATCH($B2077,Summary!$A$2:$A$201,0))</f>
        <v>31.34</v>
      </c>
      <c r="Y2077" s="0" t="str">
        <f aca="false">INDEX('Reward Model'!$E$18:$E$37,MATCH($E2077,'Reward Model'!$A$18:$A$37,0))</f>
        <v>High</v>
      </c>
      <c r="Z2077" s="4" t="n">
        <f aca="false">ROUND(MIN(1,MAX('Reward Model'!$B$2,INDEX('Reward Model'!$C$12:$C$14,MATCH($K2077,'Reward Model'!$A$12:$A$14,0))/$J2077)),3)</f>
        <v>1</v>
      </c>
      <c r="AA2077" s="2" t="n">
        <f aca="false">IF($I2077="Correct",ROUND(INDEX('Reward Model'!$B$12:$B$14,MATCH($K2077,'Reward Model'!$A$12:$A$14,0))*Z2077,2),0)</f>
        <v>3</v>
      </c>
      <c r="AB2077" s="2" t="n">
        <f aca="false">IF($I2077="Correct",ROUND(INDEX('Reward Model'!$B$12:$B$14,MATCH($Y2077,'Reward Model'!$A$12:$A$14,0))*Z2077,2),0)</f>
        <v>3</v>
      </c>
    </row>
    <row r="2078" customFormat="false" ht="15" hidden="false" customHeight="false" outlineLevel="0" collapsed="false">
      <c r="A2078" s="0" t="s">
        <v>337</v>
      </c>
      <c r="B2078" s="0" t="s">
        <v>338</v>
      </c>
      <c r="C2078" s="0" t="s">
        <v>322</v>
      </c>
      <c r="D2078" s="0" t="s">
        <v>31</v>
      </c>
      <c r="E2078" s="0" t="n">
        <v>17</v>
      </c>
      <c r="F2078" s="0" t="s">
        <v>74</v>
      </c>
      <c r="G2078" s="0" t="s">
        <v>75</v>
      </c>
      <c r="H2078" s="0" t="s">
        <v>75</v>
      </c>
      <c r="I2078" s="0" t="s">
        <v>34</v>
      </c>
      <c r="J2078" s="0" t="n">
        <v>2.42</v>
      </c>
      <c r="K2078" s="0" t="s">
        <v>73</v>
      </c>
      <c r="L2078" s="0" t="n">
        <f aca="false">INDEX(Summary!$F$2:$F$201,MATCH($B2078,Summary!$A$2:$A$201,0))</f>
        <v>20</v>
      </c>
      <c r="M2078" s="0" t="n">
        <f aca="false">INDEX(Summary!$I$2:$I$201,MATCH($B2078,Summary!$A$2:$A$201,0))</f>
        <v>2</v>
      </c>
      <c r="N2078" s="0" t="n">
        <f aca="false">INDEX(Summary!$J$2:$J$201,MATCH($B2078,Summary!$A$2:$A$201,0))</f>
        <v>3</v>
      </c>
      <c r="O2078" s="2" t="n">
        <f aca="false">INDEX(Summary!$K$2:$K$201,MATCH($B2078,Summary!$A$2:$A$201,0))</f>
        <v>8.87</v>
      </c>
      <c r="P2078" s="3" t="n">
        <f aca="false">INDEX(Summary!$L$2:$L$201,MATCH($B2078,Summary!$A$2:$A$201,0))</f>
        <v>1</v>
      </c>
      <c r="Q2078" s="3" t="n">
        <f aca="false">INDEX(Summary!$M$2:$M$201,MATCH($B2078,Summary!$A$2:$A$201,0))</f>
        <v>5</v>
      </c>
      <c r="R2078" s="2" t="n">
        <f aca="false">INDEX(Summary!$N$2:$N$201,MATCH($B2078,Summary!$A$2:$A$201,0))</f>
        <v>9.35</v>
      </c>
      <c r="S2078" s="3" t="n">
        <f aca="false">INDEX(Summary!$O$2:$O$201,MATCH($B2078,Summary!$A$2:$A$201,0))</f>
        <v>4</v>
      </c>
      <c r="T2078" s="3" t="n">
        <f aca="false">INDEX(Summary!$P$2:$P$201,MATCH($B2078,Summary!$A$2:$A$201,0))</f>
        <v>5</v>
      </c>
      <c r="U2078" s="2" t="n">
        <f aca="false">INDEX(Summary!$Q$2:$Q$201,MATCH($B2078,Summary!$A$2:$A$201,0))</f>
        <v>13.7</v>
      </c>
      <c r="V2078" s="2" t="n">
        <f aca="false">INDEX(Summary!$R$2:$R$201,MATCH($B2078,Summary!$A$2:$A$201,0))</f>
        <v>12.85</v>
      </c>
      <c r="W2078" s="0" t="str">
        <f aca="false">INDEX(Summary!$S$2:$S$201,MATCH($B2078,Summary!$A$2:$A$201,0))</f>
        <v>Bronze</v>
      </c>
      <c r="X2078" s="2" t="n">
        <f aca="false">INDEX(Summary!$T$2:$T$201,MATCH($B2078,Summary!$A$2:$A$201,0))</f>
        <v>31.34</v>
      </c>
      <c r="Y2078" s="0" t="str">
        <f aca="false">INDEX('Reward Model'!$E$18:$E$37,MATCH($E2078,'Reward Model'!$A$18:$A$37,0))</f>
        <v>High</v>
      </c>
      <c r="Z2078" s="4" t="n">
        <f aca="false">ROUND(MIN(1,MAX('Reward Model'!$B$2,INDEX('Reward Model'!$C$12:$C$14,MATCH($K2078,'Reward Model'!$A$12:$A$14,0))/$J2078)),3)</f>
        <v>0.826</v>
      </c>
      <c r="AA2078" s="2" t="n">
        <f aca="false">IF($I2078="Correct",ROUND(INDEX('Reward Model'!$B$12:$B$14,MATCH($K2078,'Reward Model'!$A$12:$A$14,0))*Z2078,2),0)</f>
        <v>2.48</v>
      </c>
      <c r="AB2078" s="2" t="n">
        <f aca="false">IF($I2078="Correct",ROUND(INDEX('Reward Model'!$B$12:$B$14,MATCH($Y2078,'Reward Model'!$A$12:$A$14,0))*Z2078,2),0)</f>
        <v>2.48</v>
      </c>
    </row>
    <row r="2079" customFormat="false" ht="15" hidden="false" customHeight="false" outlineLevel="0" collapsed="false">
      <c r="A2079" s="0" t="s">
        <v>337</v>
      </c>
      <c r="B2079" s="0" t="s">
        <v>338</v>
      </c>
      <c r="C2079" s="0" t="s">
        <v>322</v>
      </c>
      <c r="D2079" s="0" t="s">
        <v>31</v>
      </c>
      <c r="E2079" s="0" t="n">
        <v>18</v>
      </c>
      <c r="F2079" s="0" t="s">
        <v>76</v>
      </c>
      <c r="G2079" s="0" t="s">
        <v>128</v>
      </c>
      <c r="H2079" s="0" t="s">
        <v>77</v>
      </c>
      <c r="I2079" s="0" t="s">
        <v>39</v>
      </c>
      <c r="J2079" s="0" t="n">
        <v>1.96</v>
      </c>
      <c r="K2079" s="0" t="s">
        <v>73</v>
      </c>
      <c r="L2079" s="0" t="n">
        <f aca="false">INDEX(Summary!$F$2:$F$201,MATCH($B2079,Summary!$A$2:$A$201,0))</f>
        <v>20</v>
      </c>
      <c r="M2079" s="0" t="n">
        <f aca="false">INDEX(Summary!$I$2:$I$201,MATCH($B2079,Summary!$A$2:$A$201,0))</f>
        <v>2</v>
      </c>
      <c r="N2079" s="0" t="n">
        <f aca="false">INDEX(Summary!$J$2:$J$201,MATCH($B2079,Summary!$A$2:$A$201,0))</f>
        <v>3</v>
      </c>
      <c r="O2079" s="2" t="n">
        <f aca="false">INDEX(Summary!$K$2:$K$201,MATCH($B2079,Summary!$A$2:$A$201,0))</f>
        <v>8.87</v>
      </c>
      <c r="P2079" s="3" t="n">
        <f aca="false">INDEX(Summary!$L$2:$L$201,MATCH($B2079,Summary!$A$2:$A$201,0))</f>
        <v>1</v>
      </c>
      <c r="Q2079" s="3" t="n">
        <f aca="false">INDEX(Summary!$M$2:$M$201,MATCH($B2079,Summary!$A$2:$A$201,0))</f>
        <v>5</v>
      </c>
      <c r="R2079" s="2" t="n">
        <f aca="false">INDEX(Summary!$N$2:$N$201,MATCH($B2079,Summary!$A$2:$A$201,0))</f>
        <v>9.35</v>
      </c>
      <c r="S2079" s="3" t="n">
        <f aca="false">INDEX(Summary!$O$2:$O$201,MATCH($B2079,Summary!$A$2:$A$201,0))</f>
        <v>4</v>
      </c>
      <c r="T2079" s="3" t="n">
        <f aca="false">INDEX(Summary!$P$2:$P$201,MATCH($B2079,Summary!$A$2:$A$201,0))</f>
        <v>5</v>
      </c>
      <c r="U2079" s="2" t="n">
        <f aca="false">INDEX(Summary!$Q$2:$Q$201,MATCH($B2079,Summary!$A$2:$A$201,0))</f>
        <v>13.7</v>
      </c>
      <c r="V2079" s="2" t="n">
        <f aca="false">INDEX(Summary!$R$2:$R$201,MATCH($B2079,Summary!$A$2:$A$201,0))</f>
        <v>12.85</v>
      </c>
      <c r="W2079" s="0" t="str">
        <f aca="false">INDEX(Summary!$S$2:$S$201,MATCH($B2079,Summary!$A$2:$A$201,0))</f>
        <v>Bronze</v>
      </c>
      <c r="X2079" s="2" t="n">
        <f aca="false">INDEX(Summary!$T$2:$T$201,MATCH($B2079,Summary!$A$2:$A$201,0))</f>
        <v>31.34</v>
      </c>
      <c r="Y2079" s="0" t="str">
        <f aca="false">INDEX('Reward Model'!$E$18:$E$37,MATCH($E2079,'Reward Model'!$A$18:$A$37,0))</f>
        <v>High</v>
      </c>
      <c r="Z2079" s="4" t="n">
        <f aca="false">ROUND(MIN(1,MAX('Reward Model'!$B$2,INDEX('Reward Model'!$C$12:$C$14,MATCH($K2079,'Reward Model'!$A$12:$A$14,0))/$J2079)),3)</f>
        <v>1</v>
      </c>
      <c r="AA2079" s="2" t="n">
        <f aca="false">IF($I2079="Correct",ROUND(INDEX('Reward Model'!$B$12:$B$14,MATCH($K2079,'Reward Model'!$A$12:$A$14,0))*Z2079,2),0)</f>
        <v>0</v>
      </c>
      <c r="AB2079" s="2" t="n">
        <f aca="false">IF($I2079="Correct",ROUND(INDEX('Reward Model'!$B$12:$B$14,MATCH($Y2079,'Reward Model'!$A$12:$A$14,0))*Z2079,2),0)</f>
        <v>0</v>
      </c>
    </row>
    <row r="2080" customFormat="false" ht="15" hidden="false" customHeight="false" outlineLevel="0" collapsed="false">
      <c r="A2080" s="0" t="s">
        <v>337</v>
      </c>
      <c r="B2080" s="0" t="s">
        <v>338</v>
      </c>
      <c r="C2080" s="0" t="s">
        <v>322</v>
      </c>
      <c r="D2080" s="0" t="s">
        <v>31</v>
      </c>
      <c r="E2080" s="0" t="n">
        <v>19</v>
      </c>
      <c r="F2080" s="0" t="s">
        <v>78</v>
      </c>
      <c r="G2080" s="0" t="s">
        <v>51</v>
      </c>
      <c r="H2080" s="0" t="s">
        <v>80</v>
      </c>
      <c r="I2080" s="0" t="s">
        <v>39</v>
      </c>
      <c r="J2080" s="0" t="n">
        <v>1.22</v>
      </c>
      <c r="K2080" s="0" t="s">
        <v>73</v>
      </c>
      <c r="L2080" s="0" t="n">
        <f aca="false">INDEX(Summary!$F$2:$F$201,MATCH($B2080,Summary!$A$2:$A$201,0))</f>
        <v>20</v>
      </c>
      <c r="M2080" s="0" t="n">
        <f aca="false">INDEX(Summary!$I$2:$I$201,MATCH($B2080,Summary!$A$2:$A$201,0))</f>
        <v>2</v>
      </c>
      <c r="N2080" s="0" t="n">
        <f aca="false">INDEX(Summary!$J$2:$J$201,MATCH($B2080,Summary!$A$2:$A$201,0))</f>
        <v>3</v>
      </c>
      <c r="O2080" s="2" t="n">
        <f aca="false">INDEX(Summary!$K$2:$K$201,MATCH($B2080,Summary!$A$2:$A$201,0))</f>
        <v>8.87</v>
      </c>
      <c r="P2080" s="3" t="n">
        <f aca="false">INDEX(Summary!$L$2:$L$201,MATCH($B2080,Summary!$A$2:$A$201,0))</f>
        <v>1</v>
      </c>
      <c r="Q2080" s="3" t="n">
        <f aca="false">INDEX(Summary!$M$2:$M$201,MATCH($B2080,Summary!$A$2:$A$201,0))</f>
        <v>5</v>
      </c>
      <c r="R2080" s="2" t="n">
        <f aca="false">INDEX(Summary!$N$2:$N$201,MATCH($B2080,Summary!$A$2:$A$201,0))</f>
        <v>9.35</v>
      </c>
      <c r="S2080" s="3" t="n">
        <f aca="false">INDEX(Summary!$O$2:$O$201,MATCH($B2080,Summary!$A$2:$A$201,0))</f>
        <v>4</v>
      </c>
      <c r="T2080" s="3" t="n">
        <f aca="false">INDEX(Summary!$P$2:$P$201,MATCH($B2080,Summary!$A$2:$A$201,0))</f>
        <v>5</v>
      </c>
      <c r="U2080" s="2" t="n">
        <f aca="false">INDEX(Summary!$Q$2:$Q$201,MATCH($B2080,Summary!$A$2:$A$201,0))</f>
        <v>13.7</v>
      </c>
      <c r="V2080" s="2" t="n">
        <f aca="false">INDEX(Summary!$R$2:$R$201,MATCH($B2080,Summary!$A$2:$A$201,0))</f>
        <v>12.85</v>
      </c>
      <c r="W2080" s="0" t="str">
        <f aca="false">INDEX(Summary!$S$2:$S$201,MATCH($B2080,Summary!$A$2:$A$201,0))</f>
        <v>Bronze</v>
      </c>
      <c r="X2080" s="2" t="n">
        <f aca="false">INDEX(Summary!$T$2:$T$201,MATCH($B2080,Summary!$A$2:$A$201,0))</f>
        <v>31.34</v>
      </c>
      <c r="Y2080" s="0" t="str">
        <f aca="false">INDEX('Reward Model'!$E$18:$E$37,MATCH($E2080,'Reward Model'!$A$18:$A$37,0))</f>
        <v>High</v>
      </c>
      <c r="Z2080" s="4" t="n">
        <f aca="false">ROUND(MIN(1,MAX('Reward Model'!$B$2,INDEX('Reward Model'!$C$12:$C$14,MATCH($K2080,'Reward Model'!$A$12:$A$14,0))/$J2080)),3)</f>
        <v>1</v>
      </c>
      <c r="AA2080" s="2" t="n">
        <f aca="false">IF($I2080="Correct",ROUND(INDEX('Reward Model'!$B$12:$B$14,MATCH($K2080,'Reward Model'!$A$12:$A$14,0))*Z2080,2),0)</f>
        <v>0</v>
      </c>
      <c r="AB2080" s="2" t="n">
        <f aca="false">IF($I2080="Correct",ROUND(INDEX('Reward Model'!$B$12:$B$14,MATCH($Y2080,'Reward Model'!$A$12:$A$14,0))*Z2080,2),0)</f>
        <v>0</v>
      </c>
    </row>
    <row r="2081" customFormat="false" ht="15" hidden="false" customHeight="false" outlineLevel="0" collapsed="false">
      <c r="A2081" s="0" t="s">
        <v>337</v>
      </c>
      <c r="B2081" s="0" t="s">
        <v>338</v>
      </c>
      <c r="C2081" s="0" t="s">
        <v>322</v>
      </c>
      <c r="D2081" s="0" t="s">
        <v>31</v>
      </c>
      <c r="E2081" s="0" t="n">
        <v>20</v>
      </c>
      <c r="F2081" s="0" t="s">
        <v>81</v>
      </c>
      <c r="G2081" s="0" t="s">
        <v>119</v>
      </c>
      <c r="H2081" s="0" t="s">
        <v>83</v>
      </c>
      <c r="I2081" s="0" t="s">
        <v>39</v>
      </c>
      <c r="J2081" s="0" t="n">
        <v>1.6</v>
      </c>
      <c r="K2081" s="0" t="s">
        <v>73</v>
      </c>
      <c r="L2081" s="0" t="n">
        <f aca="false">INDEX(Summary!$F$2:$F$201,MATCH($B2081,Summary!$A$2:$A$201,0))</f>
        <v>20</v>
      </c>
      <c r="M2081" s="0" t="n">
        <f aca="false">INDEX(Summary!$I$2:$I$201,MATCH($B2081,Summary!$A$2:$A$201,0))</f>
        <v>2</v>
      </c>
      <c r="N2081" s="0" t="n">
        <f aca="false">INDEX(Summary!$J$2:$J$201,MATCH($B2081,Summary!$A$2:$A$201,0))</f>
        <v>3</v>
      </c>
      <c r="O2081" s="2" t="n">
        <f aca="false">INDEX(Summary!$K$2:$K$201,MATCH($B2081,Summary!$A$2:$A$201,0))</f>
        <v>8.87</v>
      </c>
      <c r="P2081" s="3" t="n">
        <f aca="false">INDEX(Summary!$L$2:$L$201,MATCH($B2081,Summary!$A$2:$A$201,0))</f>
        <v>1</v>
      </c>
      <c r="Q2081" s="3" t="n">
        <f aca="false">INDEX(Summary!$M$2:$M$201,MATCH($B2081,Summary!$A$2:$A$201,0))</f>
        <v>5</v>
      </c>
      <c r="R2081" s="2" t="n">
        <f aca="false">INDEX(Summary!$N$2:$N$201,MATCH($B2081,Summary!$A$2:$A$201,0))</f>
        <v>9.35</v>
      </c>
      <c r="S2081" s="3" t="n">
        <f aca="false">INDEX(Summary!$O$2:$O$201,MATCH($B2081,Summary!$A$2:$A$201,0))</f>
        <v>4</v>
      </c>
      <c r="T2081" s="3" t="n">
        <f aca="false">INDEX(Summary!$P$2:$P$201,MATCH($B2081,Summary!$A$2:$A$201,0))</f>
        <v>5</v>
      </c>
      <c r="U2081" s="2" t="n">
        <f aca="false">INDEX(Summary!$Q$2:$Q$201,MATCH($B2081,Summary!$A$2:$A$201,0))</f>
        <v>13.7</v>
      </c>
      <c r="V2081" s="2" t="n">
        <f aca="false">INDEX(Summary!$R$2:$R$201,MATCH($B2081,Summary!$A$2:$A$201,0))</f>
        <v>12.85</v>
      </c>
      <c r="W2081" s="0" t="str">
        <f aca="false">INDEX(Summary!$S$2:$S$201,MATCH($B2081,Summary!$A$2:$A$201,0))</f>
        <v>Bronze</v>
      </c>
      <c r="X2081" s="2" t="n">
        <f aca="false">INDEX(Summary!$T$2:$T$201,MATCH($B2081,Summary!$A$2:$A$201,0))</f>
        <v>31.34</v>
      </c>
      <c r="Y2081" s="0" t="str">
        <f aca="false">INDEX('Reward Model'!$E$18:$E$37,MATCH($E2081,'Reward Model'!$A$18:$A$37,0))</f>
        <v>High</v>
      </c>
      <c r="Z2081" s="4" t="n">
        <f aca="false">ROUND(MIN(1,MAX('Reward Model'!$B$2,INDEX('Reward Model'!$C$12:$C$14,MATCH($K2081,'Reward Model'!$A$12:$A$14,0))/$J2081)),3)</f>
        <v>1</v>
      </c>
      <c r="AA2081" s="2" t="n">
        <f aca="false">IF($I2081="Correct",ROUND(INDEX('Reward Model'!$B$12:$B$14,MATCH($K2081,'Reward Model'!$A$12:$A$14,0))*Z2081,2),0)</f>
        <v>0</v>
      </c>
      <c r="AB2081" s="2" t="n">
        <f aca="false">IF($I2081="Correct",ROUND(INDEX('Reward Model'!$B$12:$B$14,MATCH($Y2081,'Reward Model'!$A$12:$A$14,0))*Z2081,2),0)</f>
        <v>0</v>
      </c>
    </row>
    <row r="2082" customFormat="false" ht="15" hidden="false" customHeight="false" outlineLevel="0" collapsed="false">
      <c r="A2082" s="0" t="s">
        <v>339</v>
      </c>
      <c r="B2082" s="0" t="s">
        <v>340</v>
      </c>
      <c r="C2082" s="0" t="s">
        <v>322</v>
      </c>
      <c r="D2082" s="0" t="s">
        <v>31</v>
      </c>
      <c r="E2082" s="0" t="n">
        <v>1</v>
      </c>
      <c r="F2082" s="0" t="s">
        <v>32</v>
      </c>
      <c r="G2082" s="0" t="s">
        <v>33</v>
      </c>
      <c r="H2082" s="0" t="s">
        <v>33</v>
      </c>
      <c r="I2082" s="0" t="s">
        <v>34</v>
      </c>
      <c r="J2082" s="0" t="n">
        <v>1.5</v>
      </c>
      <c r="K2082" s="0" t="s">
        <v>35</v>
      </c>
      <c r="L2082" s="0" t="n">
        <f aca="false">INDEX(Summary!$F$2:$F$201,MATCH($B2082,Summary!$A$2:$A$201,0))</f>
        <v>20</v>
      </c>
      <c r="M2082" s="0" t="n">
        <f aca="false">INDEX(Summary!$I$2:$I$201,MATCH($B2082,Summary!$A$2:$A$201,0))</f>
        <v>2</v>
      </c>
      <c r="N2082" s="0" t="n">
        <f aca="false">INDEX(Summary!$J$2:$J$201,MATCH($B2082,Summary!$A$2:$A$201,0))</f>
        <v>3</v>
      </c>
      <c r="O2082" s="2" t="n">
        <f aca="false">INDEX(Summary!$K$2:$K$201,MATCH($B2082,Summary!$A$2:$A$201,0))</f>
        <v>9.78</v>
      </c>
      <c r="P2082" s="3" t="n">
        <f aca="false">INDEX(Summary!$L$2:$L$201,MATCH($B2082,Summary!$A$2:$A$201,0))</f>
        <v>4</v>
      </c>
      <c r="Q2082" s="3" t="n">
        <f aca="false">INDEX(Summary!$M$2:$M$201,MATCH($B2082,Summary!$A$2:$A$201,0))</f>
        <v>2</v>
      </c>
      <c r="R2082" s="2" t="n">
        <f aca="false">INDEX(Summary!$N$2:$N$201,MATCH($B2082,Summary!$A$2:$A$201,0))</f>
        <v>10.19</v>
      </c>
      <c r="S2082" s="3" t="n">
        <f aca="false">INDEX(Summary!$O$2:$O$201,MATCH($B2082,Summary!$A$2:$A$201,0))</f>
        <v>6</v>
      </c>
      <c r="T2082" s="3" t="n">
        <f aca="false">INDEX(Summary!$P$2:$P$201,MATCH($B2082,Summary!$A$2:$A$201,0))</f>
        <v>3</v>
      </c>
      <c r="U2082" s="2" t="n">
        <f aca="false">INDEX(Summary!$Q$2:$Q$201,MATCH($B2082,Summary!$A$2:$A$201,0))</f>
        <v>14.66</v>
      </c>
      <c r="V2082" s="2" t="n">
        <f aca="false">INDEX(Summary!$R$2:$R$201,MATCH($B2082,Summary!$A$2:$A$201,0))</f>
        <v>22.32</v>
      </c>
      <c r="W2082" s="0" t="str">
        <f aca="false">INDEX(Summary!$S$2:$S$201,MATCH($B2082,Summary!$A$2:$A$201,0))</f>
        <v>Silver</v>
      </c>
      <c r="X2082" s="2" t="n">
        <f aca="false">INDEX(Summary!$T$2:$T$201,MATCH($B2082,Summary!$A$2:$A$201,0))</f>
        <v>54.44</v>
      </c>
      <c r="Y2082" s="0" t="str">
        <f aca="false">INDEX('Reward Model'!$E$18:$E$37,MATCH($E2082,'Reward Model'!$A$18:$A$37,0))</f>
        <v>Medium</v>
      </c>
      <c r="Z2082" s="4" t="n">
        <f aca="false">ROUND(MIN(1,MAX('Reward Model'!$B$2,INDEX('Reward Model'!$C$12:$C$14,MATCH($K2082,'Reward Model'!$A$12:$A$14,0))/$J2082)),3)</f>
        <v>1</v>
      </c>
      <c r="AA2082" s="2" t="n">
        <f aca="false">IF($I2082="Correct",ROUND(INDEX('Reward Model'!$B$12:$B$14,MATCH($K2082,'Reward Model'!$A$12:$A$14,0))*Z2082,2),0)</f>
        <v>1</v>
      </c>
      <c r="AB2082" s="2" t="n">
        <f aca="false">IF($I2082="Correct",ROUND(INDEX('Reward Model'!$B$12:$B$14,MATCH($Y2082,'Reward Model'!$A$12:$A$14,0))*Z2082,2),0)</f>
        <v>2</v>
      </c>
    </row>
    <row r="2083" customFormat="false" ht="15" hidden="false" customHeight="false" outlineLevel="0" collapsed="false">
      <c r="A2083" s="0" t="s">
        <v>339</v>
      </c>
      <c r="B2083" s="0" t="s">
        <v>340</v>
      </c>
      <c r="C2083" s="0" t="s">
        <v>322</v>
      </c>
      <c r="D2083" s="0" t="s">
        <v>31</v>
      </c>
      <c r="E2083" s="0" t="n">
        <v>2</v>
      </c>
      <c r="F2083" s="0" t="s">
        <v>36</v>
      </c>
      <c r="G2083" s="0" t="s">
        <v>190</v>
      </c>
      <c r="H2083" s="0" t="s">
        <v>38</v>
      </c>
      <c r="I2083" s="0" t="s">
        <v>39</v>
      </c>
      <c r="J2083" s="0" t="n">
        <v>1.59</v>
      </c>
      <c r="K2083" s="0" t="s">
        <v>35</v>
      </c>
      <c r="L2083" s="0" t="n">
        <f aca="false">INDEX(Summary!$F$2:$F$201,MATCH($B2083,Summary!$A$2:$A$201,0))</f>
        <v>20</v>
      </c>
      <c r="M2083" s="0" t="n">
        <f aca="false">INDEX(Summary!$I$2:$I$201,MATCH($B2083,Summary!$A$2:$A$201,0))</f>
        <v>2</v>
      </c>
      <c r="N2083" s="0" t="n">
        <f aca="false">INDEX(Summary!$J$2:$J$201,MATCH($B2083,Summary!$A$2:$A$201,0))</f>
        <v>3</v>
      </c>
      <c r="O2083" s="2" t="n">
        <f aca="false">INDEX(Summary!$K$2:$K$201,MATCH($B2083,Summary!$A$2:$A$201,0))</f>
        <v>9.78</v>
      </c>
      <c r="P2083" s="3" t="n">
        <f aca="false">INDEX(Summary!$L$2:$L$201,MATCH($B2083,Summary!$A$2:$A$201,0))</f>
        <v>4</v>
      </c>
      <c r="Q2083" s="3" t="n">
        <f aca="false">INDEX(Summary!$M$2:$M$201,MATCH($B2083,Summary!$A$2:$A$201,0))</f>
        <v>2</v>
      </c>
      <c r="R2083" s="2" t="n">
        <f aca="false">INDEX(Summary!$N$2:$N$201,MATCH($B2083,Summary!$A$2:$A$201,0))</f>
        <v>10.19</v>
      </c>
      <c r="S2083" s="3" t="n">
        <f aca="false">INDEX(Summary!$O$2:$O$201,MATCH($B2083,Summary!$A$2:$A$201,0))</f>
        <v>6</v>
      </c>
      <c r="T2083" s="3" t="n">
        <f aca="false">INDEX(Summary!$P$2:$P$201,MATCH($B2083,Summary!$A$2:$A$201,0))</f>
        <v>3</v>
      </c>
      <c r="U2083" s="2" t="n">
        <f aca="false">INDEX(Summary!$Q$2:$Q$201,MATCH($B2083,Summary!$A$2:$A$201,0))</f>
        <v>14.66</v>
      </c>
      <c r="V2083" s="2" t="n">
        <f aca="false">INDEX(Summary!$R$2:$R$201,MATCH($B2083,Summary!$A$2:$A$201,0))</f>
        <v>22.32</v>
      </c>
      <c r="W2083" s="0" t="str">
        <f aca="false">INDEX(Summary!$S$2:$S$201,MATCH($B2083,Summary!$A$2:$A$201,0))</f>
        <v>Silver</v>
      </c>
      <c r="X2083" s="2" t="n">
        <f aca="false">INDEX(Summary!$T$2:$T$201,MATCH($B2083,Summary!$A$2:$A$201,0))</f>
        <v>54.44</v>
      </c>
      <c r="Y2083" s="0" t="str">
        <f aca="false">INDEX('Reward Model'!$E$18:$E$37,MATCH($E2083,'Reward Model'!$A$18:$A$37,0))</f>
        <v>Low</v>
      </c>
      <c r="Z2083" s="4" t="n">
        <f aca="false">ROUND(MIN(1,MAX('Reward Model'!$B$2,INDEX('Reward Model'!$C$12:$C$14,MATCH($K2083,'Reward Model'!$A$12:$A$14,0))/$J2083)),3)</f>
        <v>0.943</v>
      </c>
      <c r="AA2083" s="2" t="n">
        <f aca="false">IF($I2083="Correct",ROUND(INDEX('Reward Model'!$B$12:$B$14,MATCH($K2083,'Reward Model'!$A$12:$A$14,0))*Z2083,2),0)</f>
        <v>0</v>
      </c>
      <c r="AB2083" s="2" t="n">
        <f aca="false">IF($I2083="Correct",ROUND(INDEX('Reward Model'!$B$12:$B$14,MATCH($Y2083,'Reward Model'!$A$12:$A$14,0))*Z2083,2),0)</f>
        <v>0</v>
      </c>
    </row>
    <row r="2084" customFormat="false" ht="15" hidden="false" customHeight="false" outlineLevel="0" collapsed="false">
      <c r="A2084" s="0" t="s">
        <v>339</v>
      </c>
      <c r="B2084" s="0" t="s">
        <v>340</v>
      </c>
      <c r="C2084" s="0" t="s">
        <v>322</v>
      </c>
      <c r="D2084" s="0" t="s">
        <v>31</v>
      </c>
      <c r="E2084" s="0" t="n">
        <v>3</v>
      </c>
      <c r="F2084" s="0" t="s">
        <v>40</v>
      </c>
      <c r="G2084" s="0" t="s">
        <v>42</v>
      </c>
      <c r="H2084" s="0" t="s">
        <v>42</v>
      </c>
      <c r="I2084" s="0" t="s">
        <v>34</v>
      </c>
      <c r="J2084" s="0" t="n">
        <v>1.76</v>
      </c>
      <c r="K2084" s="0" t="s">
        <v>35</v>
      </c>
      <c r="L2084" s="0" t="n">
        <f aca="false">INDEX(Summary!$F$2:$F$201,MATCH($B2084,Summary!$A$2:$A$201,0))</f>
        <v>20</v>
      </c>
      <c r="M2084" s="0" t="n">
        <f aca="false">INDEX(Summary!$I$2:$I$201,MATCH($B2084,Summary!$A$2:$A$201,0))</f>
        <v>2</v>
      </c>
      <c r="N2084" s="0" t="n">
        <f aca="false">INDEX(Summary!$J$2:$J$201,MATCH($B2084,Summary!$A$2:$A$201,0))</f>
        <v>3</v>
      </c>
      <c r="O2084" s="2" t="n">
        <f aca="false">INDEX(Summary!$K$2:$K$201,MATCH($B2084,Summary!$A$2:$A$201,0))</f>
        <v>9.78</v>
      </c>
      <c r="P2084" s="3" t="n">
        <f aca="false">INDEX(Summary!$L$2:$L$201,MATCH($B2084,Summary!$A$2:$A$201,0))</f>
        <v>4</v>
      </c>
      <c r="Q2084" s="3" t="n">
        <f aca="false">INDEX(Summary!$M$2:$M$201,MATCH($B2084,Summary!$A$2:$A$201,0))</f>
        <v>2</v>
      </c>
      <c r="R2084" s="2" t="n">
        <f aca="false">INDEX(Summary!$N$2:$N$201,MATCH($B2084,Summary!$A$2:$A$201,0))</f>
        <v>10.19</v>
      </c>
      <c r="S2084" s="3" t="n">
        <f aca="false">INDEX(Summary!$O$2:$O$201,MATCH($B2084,Summary!$A$2:$A$201,0))</f>
        <v>6</v>
      </c>
      <c r="T2084" s="3" t="n">
        <f aca="false">INDEX(Summary!$P$2:$P$201,MATCH($B2084,Summary!$A$2:$A$201,0))</f>
        <v>3</v>
      </c>
      <c r="U2084" s="2" t="n">
        <f aca="false">INDEX(Summary!$Q$2:$Q$201,MATCH($B2084,Summary!$A$2:$A$201,0))</f>
        <v>14.66</v>
      </c>
      <c r="V2084" s="2" t="n">
        <f aca="false">INDEX(Summary!$R$2:$R$201,MATCH($B2084,Summary!$A$2:$A$201,0))</f>
        <v>22.32</v>
      </c>
      <c r="W2084" s="0" t="str">
        <f aca="false">INDEX(Summary!$S$2:$S$201,MATCH($B2084,Summary!$A$2:$A$201,0))</f>
        <v>Silver</v>
      </c>
      <c r="X2084" s="2" t="n">
        <f aca="false">INDEX(Summary!$T$2:$T$201,MATCH($B2084,Summary!$A$2:$A$201,0))</f>
        <v>54.44</v>
      </c>
      <c r="Y2084" s="0" t="str">
        <f aca="false">INDEX('Reward Model'!$E$18:$E$37,MATCH($E2084,'Reward Model'!$A$18:$A$37,0))</f>
        <v>Medium</v>
      </c>
      <c r="Z2084" s="4" t="n">
        <f aca="false">ROUND(MIN(1,MAX('Reward Model'!$B$2,INDEX('Reward Model'!$C$12:$C$14,MATCH($K2084,'Reward Model'!$A$12:$A$14,0))/$J2084)),3)</f>
        <v>0.852</v>
      </c>
      <c r="AA2084" s="2" t="n">
        <f aca="false">IF($I2084="Correct",ROUND(INDEX('Reward Model'!$B$12:$B$14,MATCH($K2084,'Reward Model'!$A$12:$A$14,0))*Z2084,2),0)</f>
        <v>0.85</v>
      </c>
      <c r="AB2084" s="2" t="n">
        <f aca="false">IF($I2084="Correct",ROUND(INDEX('Reward Model'!$B$12:$B$14,MATCH($Y2084,'Reward Model'!$A$12:$A$14,0))*Z2084,2),0)</f>
        <v>1.7</v>
      </c>
    </row>
    <row r="2085" customFormat="false" ht="15" hidden="false" customHeight="false" outlineLevel="0" collapsed="false">
      <c r="A2085" s="0" t="s">
        <v>339</v>
      </c>
      <c r="B2085" s="0" t="s">
        <v>340</v>
      </c>
      <c r="C2085" s="0" t="s">
        <v>322</v>
      </c>
      <c r="D2085" s="0" t="s">
        <v>31</v>
      </c>
      <c r="E2085" s="0" t="n">
        <v>4</v>
      </c>
      <c r="F2085" s="0" t="s">
        <v>43</v>
      </c>
      <c r="G2085" s="0" t="s">
        <v>45</v>
      </c>
      <c r="H2085" s="0" t="s">
        <v>45</v>
      </c>
      <c r="I2085" s="0" t="s">
        <v>34</v>
      </c>
      <c r="J2085" s="0" t="n">
        <v>1.25</v>
      </c>
      <c r="K2085" s="0" t="s">
        <v>35</v>
      </c>
      <c r="L2085" s="0" t="n">
        <f aca="false">INDEX(Summary!$F$2:$F$201,MATCH($B2085,Summary!$A$2:$A$201,0))</f>
        <v>20</v>
      </c>
      <c r="M2085" s="0" t="n">
        <f aca="false">INDEX(Summary!$I$2:$I$201,MATCH($B2085,Summary!$A$2:$A$201,0))</f>
        <v>2</v>
      </c>
      <c r="N2085" s="0" t="n">
        <f aca="false">INDEX(Summary!$J$2:$J$201,MATCH($B2085,Summary!$A$2:$A$201,0))</f>
        <v>3</v>
      </c>
      <c r="O2085" s="2" t="n">
        <f aca="false">INDEX(Summary!$K$2:$K$201,MATCH($B2085,Summary!$A$2:$A$201,0))</f>
        <v>9.78</v>
      </c>
      <c r="P2085" s="3" t="n">
        <f aca="false">INDEX(Summary!$L$2:$L$201,MATCH($B2085,Summary!$A$2:$A$201,0))</f>
        <v>4</v>
      </c>
      <c r="Q2085" s="3" t="n">
        <f aca="false">INDEX(Summary!$M$2:$M$201,MATCH($B2085,Summary!$A$2:$A$201,0))</f>
        <v>2</v>
      </c>
      <c r="R2085" s="2" t="n">
        <f aca="false">INDEX(Summary!$N$2:$N$201,MATCH($B2085,Summary!$A$2:$A$201,0))</f>
        <v>10.19</v>
      </c>
      <c r="S2085" s="3" t="n">
        <f aca="false">INDEX(Summary!$O$2:$O$201,MATCH($B2085,Summary!$A$2:$A$201,0))</f>
        <v>6</v>
      </c>
      <c r="T2085" s="3" t="n">
        <f aca="false">INDEX(Summary!$P$2:$P$201,MATCH($B2085,Summary!$A$2:$A$201,0))</f>
        <v>3</v>
      </c>
      <c r="U2085" s="2" t="n">
        <f aca="false">INDEX(Summary!$Q$2:$Q$201,MATCH($B2085,Summary!$A$2:$A$201,0))</f>
        <v>14.66</v>
      </c>
      <c r="V2085" s="2" t="n">
        <f aca="false">INDEX(Summary!$R$2:$R$201,MATCH($B2085,Summary!$A$2:$A$201,0))</f>
        <v>22.32</v>
      </c>
      <c r="W2085" s="0" t="str">
        <f aca="false">INDEX(Summary!$S$2:$S$201,MATCH($B2085,Summary!$A$2:$A$201,0))</f>
        <v>Silver</v>
      </c>
      <c r="X2085" s="2" t="n">
        <f aca="false">INDEX(Summary!$T$2:$T$201,MATCH($B2085,Summary!$A$2:$A$201,0))</f>
        <v>54.44</v>
      </c>
      <c r="Y2085" s="0" t="str">
        <f aca="false">INDEX('Reward Model'!$E$18:$E$37,MATCH($E2085,'Reward Model'!$A$18:$A$37,0))</f>
        <v>Low</v>
      </c>
      <c r="Z2085" s="4" t="n">
        <f aca="false">ROUND(MIN(1,MAX('Reward Model'!$B$2,INDEX('Reward Model'!$C$12:$C$14,MATCH($K2085,'Reward Model'!$A$12:$A$14,0))/$J2085)),3)</f>
        <v>1</v>
      </c>
      <c r="AA2085" s="2" t="n">
        <f aca="false">IF($I2085="Correct",ROUND(INDEX('Reward Model'!$B$12:$B$14,MATCH($K2085,'Reward Model'!$A$12:$A$14,0))*Z2085,2),0)</f>
        <v>1</v>
      </c>
      <c r="AB2085" s="2" t="n">
        <f aca="false">IF($I2085="Correct",ROUND(INDEX('Reward Model'!$B$12:$B$14,MATCH($Y2085,'Reward Model'!$A$12:$A$14,0))*Z2085,2),0)</f>
        <v>1</v>
      </c>
    </row>
    <row r="2086" customFormat="false" ht="15" hidden="false" customHeight="false" outlineLevel="0" collapsed="false">
      <c r="A2086" s="0" t="s">
        <v>339</v>
      </c>
      <c r="B2086" s="0" t="s">
        <v>340</v>
      </c>
      <c r="C2086" s="0" t="s">
        <v>322</v>
      </c>
      <c r="D2086" s="0" t="s">
        <v>31</v>
      </c>
      <c r="E2086" s="0" t="n">
        <v>5</v>
      </c>
      <c r="F2086" s="0" t="s">
        <v>46</v>
      </c>
      <c r="G2086" s="0" t="s">
        <v>47</v>
      </c>
      <c r="H2086" s="0" t="s">
        <v>47</v>
      </c>
      <c r="I2086" s="0" t="s">
        <v>34</v>
      </c>
      <c r="J2086" s="0" t="n">
        <v>1.8</v>
      </c>
      <c r="K2086" s="0" t="s">
        <v>35</v>
      </c>
      <c r="L2086" s="0" t="n">
        <f aca="false">INDEX(Summary!$F$2:$F$201,MATCH($B2086,Summary!$A$2:$A$201,0))</f>
        <v>20</v>
      </c>
      <c r="M2086" s="0" t="n">
        <f aca="false">INDEX(Summary!$I$2:$I$201,MATCH($B2086,Summary!$A$2:$A$201,0))</f>
        <v>2</v>
      </c>
      <c r="N2086" s="0" t="n">
        <f aca="false">INDEX(Summary!$J$2:$J$201,MATCH($B2086,Summary!$A$2:$A$201,0))</f>
        <v>3</v>
      </c>
      <c r="O2086" s="2" t="n">
        <f aca="false">INDEX(Summary!$K$2:$K$201,MATCH($B2086,Summary!$A$2:$A$201,0))</f>
        <v>9.78</v>
      </c>
      <c r="P2086" s="3" t="n">
        <f aca="false">INDEX(Summary!$L$2:$L$201,MATCH($B2086,Summary!$A$2:$A$201,0))</f>
        <v>4</v>
      </c>
      <c r="Q2086" s="3" t="n">
        <f aca="false">INDEX(Summary!$M$2:$M$201,MATCH($B2086,Summary!$A$2:$A$201,0))</f>
        <v>2</v>
      </c>
      <c r="R2086" s="2" t="n">
        <f aca="false">INDEX(Summary!$N$2:$N$201,MATCH($B2086,Summary!$A$2:$A$201,0))</f>
        <v>10.19</v>
      </c>
      <c r="S2086" s="3" t="n">
        <f aca="false">INDEX(Summary!$O$2:$O$201,MATCH($B2086,Summary!$A$2:$A$201,0))</f>
        <v>6</v>
      </c>
      <c r="T2086" s="3" t="n">
        <f aca="false">INDEX(Summary!$P$2:$P$201,MATCH($B2086,Summary!$A$2:$A$201,0))</f>
        <v>3</v>
      </c>
      <c r="U2086" s="2" t="n">
        <f aca="false">INDEX(Summary!$Q$2:$Q$201,MATCH($B2086,Summary!$A$2:$A$201,0))</f>
        <v>14.66</v>
      </c>
      <c r="V2086" s="2" t="n">
        <f aca="false">INDEX(Summary!$R$2:$R$201,MATCH($B2086,Summary!$A$2:$A$201,0))</f>
        <v>22.32</v>
      </c>
      <c r="W2086" s="0" t="str">
        <f aca="false">INDEX(Summary!$S$2:$S$201,MATCH($B2086,Summary!$A$2:$A$201,0))</f>
        <v>Silver</v>
      </c>
      <c r="X2086" s="2" t="n">
        <f aca="false">INDEX(Summary!$T$2:$T$201,MATCH($B2086,Summary!$A$2:$A$201,0))</f>
        <v>54.44</v>
      </c>
      <c r="Y2086" s="0" t="str">
        <f aca="false">INDEX('Reward Model'!$E$18:$E$37,MATCH($E2086,'Reward Model'!$A$18:$A$37,0))</f>
        <v>Low</v>
      </c>
      <c r="Z2086" s="4" t="n">
        <f aca="false">ROUND(MIN(1,MAX('Reward Model'!$B$2,INDEX('Reward Model'!$C$12:$C$14,MATCH($K2086,'Reward Model'!$A$12:$A$14,0))/$J2086)),3)</f>
        <v>0.833</v>
      </c>
      <c r="AA2086" s="2" t="n">
        <f aca="false">IF($I2086="Correct",ROUND(INDEX('Reward Model'!$B$12:$B$14,MATCH($K2086,'Reward Model'!$A$12:$A$14,0))*Z2086,2),0)</f>
        <v>0.83</v>
      </c>
      <c r="AB2086" s="2" t="n">
        <f aca="false">IF($I2086="Correct",ROUND(INDEX('Reward Model'!$B$12:$B$14,MATCH($Y2086,'Reward Model'!$A$12:$A$14,0))*Z2086,2),0)</f>
        <v>0.83</v>
      </c>
    </row>
    <row r="2087" customFormat="false" ht="15" hidden="false" customHeight="false" outlineLevel="0" collapsed="false">
      <c r="A2087" s="0" t="s">
        <v>339</v>
      </c>
      <c r="B2087" s="0" t="s">
        <v>340</v>
      </c>
      <c r="C2087" s="0" t="s">
        <v>322</v>
      </c>
      <c r="D2087" s="0" t="s">
        <v>31</v>
      </c>
      <c r="E2087" s="0" t="n">
        <v>6</v>
      </c>
      <c r="F2087" s="0" t="s">
        <v>48</v>
      </c>
      <c r="G2087" s="0" t="s">
        <v>49</v>
      </c>
      <c r="H2087" s="0" t="s">
        <v>49</v>
      </c>
      <c r="I2087" s="0" t="s">
        <v>34</v>
      </c>
      <c r="J2087" s="0" t="n">
        <v>1.46</v>
      </c>
      <c r="K2087" s="0" t="s">
        <v>35</v>
      </c>
      <c r="L2087" s="0" t="n">
        <f aca="false">INDEX(Summary!$F$2:$F$201,MATCH($B2087,Summary!$A$2:$A$201,0))</f>
        <v>20</v>
      </c>
      <c r="M2087" s="0" t="n">
        <f aca="false">INDEX(Summary!$I$2:$I$201,MATCH($B2087,Summary!$A$2:$A$201,0))</f>
        <v>2</v>
      </c>
      <c r="N2087" s="0" t="n">
        <f aca="false">INDEX(Summary!$J$2:$J$201,MATCH($B2087,Summary!$A$2:$A$201,0))</f>
        <v>3</v>
      </c>
      <c r="O2087" s="2" t="n">
        <f aca="false">INDEX(Summary!$K$2:$K$201,MATCH($B2087,Summary!$A$2:$A$201,0))</f>
        <v>9.78</v>
      </c>
      <c r="P2087" s="3" t="n">
        <f aca="false">INDEX(Summary!$L$2:$L$201,MATCH($B2087,Summary!$A$2:$A$201,0))</f>
        <v>4</v>
      </c>
      <c r="Q2087" s="3" t="n">
        <f aca="false">INDEX(Summary!$M$2:$M$201,MATCH($B2087,Summary!$A$2:$A$201,0))</f>
        <v>2</v>
      </c>
      <c r="R2087" s="2" t="n">
        <f aca="false">INDEX(Summary!$N$2:$N$201,MATCH($B2087,Summary!$A$2:$A$201,0))</f>
        <v>10.19</v>
      </c>
      <c r="S2087" s="3" t="n">
        <f aca="false">INDEX(Summary!$O$2:$O$201,MATCH($B2087,Summary!$A$2:$A$201,0))</f>
        <v>6</v>
      </c>
      <c r="T2087" s="3" t="n">
        <f aca="false">INDEX(Summary!$P$2:$P$201,MATCH($B2087,Summary!$A$2:$A$201,0))</f>
        <v>3</v>
      </c>
      <c r="U2087" s="2" t="n">
        <f aca="false">INDEX(Summary!$Q$2:$Q$201,MATCH($B2087,Summary!$A$2:$A$201,0))</f>
        <v>14.66</v>
      </c>
      <c r="V2087" s="2" t="n">
        <f aca="false">INDEX(Summary!$R$2:$R$201,MATCH($B2087,Summary!$A$2:$A$201,0))</f>
        <v>22.32</v>
      </c>
      <c r="W2087" s="0" t="str">
        <f aca="false">INDEX(Summary!$S$2:$S$201,MATCH($B2087,Summary!$A$2:$A$201,0))</f>
        <v>Silver</v>
      </c>
      <c r="X2087" s="2" t="n">
        <f aca="false">INDEX(Summary!$T$2:$T$201,MATCH($B2087,Summary!$A$2:$A$201,0))</f>
        <v>54.44</v>
      </c>
      <c r="Y2087" s="0" t="str">
        <f aca="false">INDEX('Reward Model'!$E$18:$E$37,MATCH($E2087,'Reward Model'!$A$18:$A$37,0))</f>
        <v>Medium</v>
      </c>
      <c r="Z2087" s="4" t="n">
        <f aca="false">ROUND(MIN(1,MAX('Reward Model'!$B$2,INDEX('Reward Model'!$C$12:$C$14,MATCH($K2087,'Reward Model'!$A$12:$A$14,0))/$J2087)),3)</f>
        <v>1</v>
      </c>
      <c r="AA2087" s="2" t="n">
        <f aca="false">IF($I2087="Correct",ROUND(INDEX('Reward Model'!$B$12:$B$14,MATCH($K2087,'Reward Model'!$A$12:$A$14,0))*Z2087,2),0)</f>
        <v>1</v>
      </c>
      <c r="AB2087" s="2" t="n">
        <f aca="false">IF($I2087="Correct",ROUND(INDEX('Reward Model'!$B$12:$B$14,MATCH($Y2087,'Reward Model'!$A$12:$A$14,0))*Z2087,2),0)</f>
        <v>2</v>
      </c>
    </row>
    <row r="2088" customFormat="false" ht="15" hidden="false" customHeight="false" outlineLevel="0" collapsed="false">
      <c r="A2088" s="0" t="s">
        <v>339</v>
      </c>
      <c r="B2088" s="0" t="s">
        <v>340</v>
      </c>
      <c r="C2088" s="0" t="s">
        <v>322</v>
      </c>
      <c r="D2088" s="0" t="s">
        <v>31</v>
      </c>
      <c r="E2088" s="0" t="n">
        <v>7</v>
      </c>
      <c r="F2088" s="0" t="s">
        <v>50</v>
      </c>
      <c r="G2088" s="0" t="s">
        <v>100</v>
      </c>
      <c r="H2088" s="0" t="s">
        <v>51</v>
      </c>
      <c r="I2088" s="0" t="s">
        <v>39</v>
      </c>
      <c r="J2088" s="0" t="n">
        <v>1.91</v>
      </c>
      <c r="K2088" s="0" t="s">
        <v>35</v>
      </c>
      <c r="L2088" s="0" t="n">
        <f aca="false">INDEX(Summary!$F$2:$F$201,MATCH($B2088,Summary!$A$2:$A$201,0))</f>
        <v>20</v>
      </c>
      <c r="M2088" s="0" t="n">
        <f aca="false">INDEX(Summary!$I$2:$I$201,MATCH($B2088,Summary!$A$2:$A$201,0))</f>
        <v>2</v>
      </c>
      <c r="N2088" s="0" t="n">
        <f aca="false">INDEX(Summary!$J$2:$J$201,MATCH($B2088,Summary!$A$2:$A$201,0))</f>
        <v>3</v>
      </c>
      <c r="O2088" s="2" t="n">
        <f aca="false">INDEX(Summary!$K$2:$K$201,MATCH($B2088,Summary!$A$2:$A$201,0))</f>
        <v>9.78</v>
      </c>
      <c r="P2088" s="3" t="n">
        <f aca="false">INDEX(Summary!$L$2:$L$201,MATCH($B2088,Summary!$A$2:$A$201,0))</f>
        <v>4</v>
      </c>
      <c r="Q2088" s="3" t="n">
        <f aca="false">INDEX(Summary!$M$2:$M$201,MATCH($B2088,Summary!$A$2:$A$201,0))</f>
        <v>2</v>
      </c>
      <c r="R2088" s="2" t="n">
        <f aca="false">INDEX(Summary!$N$2:$N$201,MATCH($B2088,Summary!$A$2:$A$201,0))</f>
        <v>10.19</v>
      </c>
      <c r="S2088" s="3" t="n">
        <f aca="false">INDEX(Summary!$O$2:$O$201,MATCH($B2088,Summary!$A$2:$A$201,0))</f>
        <v>6</v>
      </c>
      <c r="T2088" s="3" t="n">
        <f aca="false">INDEX(Summary!$P$2:$P$201,MATCH($B2088,Summary!$A$2:$A$201,0))</f>
        <v>3</v>
      </c>
      <c r="U2088" s="2" t="n">
        <f aca="false">INDEX(Summary!$Q$2:$Q$201,MATCH($B2088,Summary!$A$2:$A$201,0))</f>
        <v>14.66</v>
      </c>
      <c r="V2088" s="2" t="n">
        <f aca="false">INDEX(Summary!$R$2:$R$201,MATCH($B2088,Summary!$A$2:$A$201,0))</f>
        <v>22.32</v>
      </c>
      <c r="W2088" s="0" t="str">
        <f aca="false">INDEX(Summary!$S$2:$S$201,MATCH($B2088,Summary!$A$2:$A$201,0))</f>
        <v>Silver</v>
      </c>
      <c r="X2088" s="2" t="n">
        <f aca="false">INDEX(Summary!$T$2:$T$201,MATCH($B2088,Summary!$A$2:$A$201,0))</f>
        <v>54.44</v>
      </c>
      <c r="Y2088" s="0" t="str">
        <f aca="false">INDEX('Reward Model'!$E$18:$E$37,MATCH($E2088,'Reward Model'!$A$18:$A$37,0))</f>
        <v>Low</v>
      </c>
      <c r="Z2088" s="4" t="n">
        <f aca="false">ROUND(MIN(1,MAX('Reward Model'!$B$2,INDEX('Reward Model'!$C$12:$C$14,MATCH($K2088,'Reward Model'!$A$12:$A$14,0))/$J2088)),3)</f>
        <v>0.785</v>
      </c>
      <c r="AA2088" s="2" t="n">
        <f aca="false">IF($I2088="Correct",ROUND(INDEX('Reward Model'!$B$12:$B$14,MATCH($K2088,'Reward Model'!$A$12:$A$14,0))*Z2088,2),0)</f>
        <v>0</v>
      </c>
      <c r="AB2088" s="2" t="n">
        <f aca="false">IF($I2088="Correct",ROUND(INDEX('Reward Model'!$B$12:$B$14,MATCH($Y2088,'Reward Model'!$A$12:$A$14,0))*Z2088,2),0)</f>
        <v>0</v>
      </c>
    </row>
    <row r="2089" customFormat="false" ht="15" hidden="false" customHeight="false" outlineLevel="0" collapsed="false">
      <c r="A2089" s="0" t="s">
        <v>339</v>
      </c>
      <c r="B2089" s="0" t="s">
        <v>340</v>
      </c>
      <c r="C2089" s="0" t="s">
        <v>322</v>
      </c>
      <c r="D2089" s="0" t="s">
        <v>31</v>
      </c>
      <c r="E2089" s="0" t="n">
        <v>8</v>
      </c>
      <c r="F2089" s="0" t="s">
        <v>52</v>
      </c>
      <c r="G2089" s="0" t="s">
        <v>54</v>
      </c>
      <c r="H2089" s="0" t="s">
        <v>54</v>
      </c>
      <c r="I2089" s="0" t="s">
        <v>34</v>
      </c>
      <c r="J2089" s="0" t="n">
        <v>1.43</v>
      </c>
      <c r="K2089" s="0" t="s">
        <v>35</v>
      </c>
      <c r="L2089" s="0" t="n">
        <f aca="false">INDEX(Summary!$F$2:$F$201,MATCH($B2089,Summary!$A$2:$A$201,0))</f>
        <v>20</v>
      </c>
      <c r="M2089" s="0" t="n">
        <f aca="false">INDEX(Summary!$I$2:$I$201,MATCH($B2089,Summary!$A$2:$A$201,0))</f>
        <v>2</v>
      </c>
      <c r="N2089" s="0" t="n">
        <f aca="false">INDEX(Summary!$J$2:$J$201,MATCH($B2089,Summary!$A$2:$A$201,0))</f>
        <v>3</v>
      </c>
      <c r="O2089" s="2" t="n">
        <f aca="false">INDEX(Summary!$K$2:$K$201,MATCH($B2089,Summary!$A$2:$A$201,0))</f>
        <v>9.78</v>
      </c>
      <c r="P2089" s="3" t="n">
        <f aca="false">INDEX(Summary!$L$2:$L$201,MATCH($B2089,Summary!$A$2:$A$201,0))</f>
        <v>4</v>
      </c>
      <c r="Q2089" s="3" t="n">
        <f aca="false">INDEX(Summary!$M$2:$M$201,MATCH($B2089,Summary!$A$2:$A$201,0))</f>
        <v>2</v>
      </c>
      <c r="R2089" s="2" t="n">
        <f aca="false">INDEX(Summary!$N$2:$N$201,MATCH($B2089,Summary!$A$2:$A$201,0))</f>
        <v>10.19</v>
      </c>
      <c r="S2089" s="3" t="n">
        <f aca="false">INDEX(Summary!$O$2:$O$201,MATCH($B2089,Summary!$A$2:$A$201,0))</f>
        <v>6</v>
      </c>
      <c r="T2089" s="3" t="n">
        <f aca="false">INDEX(Summary!$P$2:$P$201,MATCH($B2089,Summary!$A$2:$A$201,0))</f>
        <v>3</v>
      </c>
      <c r="U2089" s="2" t="n">
        <f aca="false">INDEX(Summary!$Q$2:$Q$201,MATCH($B2089,Summary!$A$2:$A$201,0))</f>
        <v>14.66</v>
      </c>
      <c r="V2089" s="2" t="n">
        <f aca="false">INDEX(Summary!$R$2:$R$201,MATCH($B2089,Summary!$A$2:$A$201,0))</f>
        <v>22.32</v>
      </c>
      <c r="W2089" s="0" t="str">
        <f aca="false">INDEX(Summary!$S$2:$S$201,MATCH($B2089,Summary!$A$2:$A$201,0))</f>
        <v>Silver</v>
      </c>
      <c r="X2089" s="2" t="n">
        <f aca="false">INDEX(Summary!$T$2:$T$201,MATCH($B2089,Summary!$A$2:$A$201,0))</f>
        <v>54.44</v>
      </c>
      <c r="Y2089" s="0" t="str">
        <f aca="false">INDEX('Reward Model'!$E$18:$E$37,MATCH($E2089,'Reward Model'!$A$18:$A$37,0))</f>
        <v>Medium</v>
      </c>
      <c r="Z2089" s="4" t="n">
        <f aca="false">ROUND(MIN(1,MAX('Reward Model'!$B$2,INDEX('Reward Model'!$C$12:$C$14,MATCH($K2089,'Reward Model'!$A$12:$A$14,0))/$J2089)),3)</f>
        <v>1</v>
      </c>
      <c r="AA2089" s="2" t="n">
        <f aca="false">IF($I2089="Correct",ROUND(INDEX('Reward Model'!$B$12:$B$14,MATCH($K2089,'Reward Model'!$A$12:$A$14,0))*Z2089,2),0)</f>
        <v>1</v>
      </c>
      <c r="AB2089" s="2" t="n">
        <f aca="false">IF($I2089="Correct",ROUND(INDEX('Reward Model'!$B$12:$B$14,MATCH($Y2089,'Reward Model'!$A$12:$A$14,0))*Z2089,2),0)</f>
        <v>2</v>
      </c>
    </row>
    <row r="2090" customFormat="false" ht="15" hidden="false" customHeight="false" outlineLevel="0" collapsed="false">
      <c r="A2090" s="0" t="s">
        <v>339</v>
      </c>
      <c r="B2090" s="0" t="s">
        <v>340</v>
      </c>
      <c r="C2090" s="0" t="s">
        <v>322</v>
      </c>
      <c r="D2090" s="0" t="s">
        <v>31</v>
      </c>
      <c r="E2090" s="0" t="n">
        <v>9</v>
      </c>
      <c r="F2090" s="0" t="s">
        <v>55</v>
      </c>
      <c r="G2090" s="0" t="s">
        <v>341</v>
      </c>
      <c r="H2090" s="0" t="s">
        <v>57</v>
      </c>
      <c r="I2090" s="0" t="s">
        <v>39</v>
      </c>
      <c r="J2090" s="0" t="n">
        <v>1.96</v>
      </c>
      <c r="K2090" s="0" t="s">
        <v>35</v>
      </c>
      <c r="L2090" s="0" t="n">
        <f aca="false">INDEX(Summary!$F$2:$F$201,MATCH($B2090,Summary!$A$2:$A$201,0))</f>
        <v>20</v>
      </c>
      <c r="M2090" s="0" t="n">
        <f aca="false">INDEX(Summary!$I$2:$I$201,MATCH($B2090,Summary!$A$2:$A$201,0))</f>
        <v>2</v>
      </c>
      <c r="N2090" s="0" t="n">
        <f aca="false">INDEX(Summary!$J$2:$J$201,MATCH($B2090,Summary!$A$2:$A$201,0))</f>
        <v>3</v>
      </c>
      <c r="O2090" s="2" t="n">
        <f aca="false">INDEX(Summary!$K$2:$K$201,MATCH($B2090,Summary!$A$2:$A$201,0))</f>
        <v>9.78</v>
      </c>
      <c r="P2090" s="3" t="n">
        <f aca="false">INDEX(Summary!$L$2:$L$201,MATCH($B2090,Summary!$A$2:$A$201,0))</f>
        <v>4</v>
      </c>
      <c r="Q2090" s="3" t="n">
        <f aca="false">INDEX(Summary!$M$2:$M$201,MATCH($B2090,Summary!$A$2:$A$201,0))</f>
        <v>2</v>
      </c>
      <c r="R2090" s="2" t="n">
        <f aca="false">INDEX(Summary!$N$2:$N$201,MATCH($B2090,Summary!$A$2:$A$201,0))</f>
        <v>10.19</v>
      </c>
      <c r="S2090" s="3" t="n">
        <f aca="false">INDEX(Summary!$O$2:$O$201,MATCH($B2090,Summary!$A$2:$A$201,0))</f>
        <v>6</v>
      </c>
      <c r="T2090" s="3" t="n">
        <f aca="false">INDEX(Summary!$P$2:$P$201,MATCH($B2090,Summary!$A$2:$A$201,0))</f>
        <v>3</v>
      </c>
      <c r="U2090" s="2" t="n">
        <f aca="false">INDEX(Summary!$Q$2:$Q$201,MATCH($B2090,Summary!$A$2:$A$201,0))</f>
        <v>14.66</v>
      </c>
      <c r="V2090" s="2" t="n">
        <f aca="false">INDEX(Summary!$R$2:$R$201,MATCH($B2090,Summary!$A$2:$A$201,0))</f>
        <v>22.32</v>
      </c>
      <c r="W2090" s="0" t="str">
        <f aca="false">INDEX(Summary!$S$2:$S$201,MATCH($B2090,Summary!$A$2:$A$201,0))</f>
        <v>Silver</v>
      </c>
      <c r="X2090" s="2" t="n">
        <f aca="false">INDEX(Summary!$T$2:$T$201,MATCH($B2090,Summary!$A$2:$A$201,0))</f>
        <v>54.44</v>
      </c>
      <c r="Y2090" s="0" t="str">
        <f aca="false">INDEX('Reward Model'!$E$18:$E$37,MATCH($E2090,'Reward Model'!$A$18:$A$37,0))</f>
        <v>Medium</v>
      </c>
      <c r="Z2090" s="4" t="n">
        <f aca="false">ROUND(MIN(1,MAX('Reward Model'!$B$2,INDEX('Reward Model'!$C$12:$C$14,MATCH($K2090,'Reward Model'!$A$12:$A$14,0))/$J2090)),3)</f>
        <v>0.765</v>
      </c>
      <c r="AA2090" s="2" t="n">
        <f aca="false">IF($I2090="Correct",ROUND(INDEX('Reward Model'!$B$12:$B$14,MATCH($K2090,'Reward Model'!$A$12:$A$14,0))*Z2090,2),0)</f>
        <v>0</v>
      </c>
      <c r="AB2090" s="2" t="n">
        <f aca="false">IF($I2090="Correct",ROUND(INDEX('Reward Model'!$B$12:$B$14,MATCH($Y2090,'Reward Model'!$A$12:$A$14,0))*Z2090,2),0)</f>
        <v>0</v>
      </c>
    </row>
    <row r="2091" customFormat="false" ht="15" hidden="false" customHeight="false" outlineLevel="0" collapsed="false">
      <c r="A2091" s="0" t="s">
        <v>339</v>
      </c>
      <c r="B2091" s="0" t="s">
        <v>340</v>
      </c>
      <c r="C2091" s="0" t="s">
        <v>322</v>
      </c>
      <c r="D2091" s="0" t="s">
        <v>31</v>
      </c>
      <c r="E2091" s="0" t="n">
        <v>10</v>
      </c>
      <c r="F2091" s="0" t="s">
        <v>58</v>
      </c>
      <c r="G2091" s="0" t="s">
        <v>59</v>
      </c>
      <c r="H2091" s="0" t="s">
        <v>59</v>
      </c>
      <c r="I2091" s="0" t="s">
        <v>34</v>
      </c>
      <c r="J2091" s="0" t="n">
        <v>2.21</v>
      </c>
      <c r="K2091" s="0" t="s">
        <v>60</v>
      </c>
      <c r="L2091" s="0" t="n">
        <f aca="false">INDEX(Summary!$F$2:$F$201,MATCH($B2091,Summary!$A$2:$A$201,0))</f>
        <v>20</v>
      </c>
      <c r="M2091" s="0" t="n">
        <f aca="false">INDEX(Summary!$I$2:$I$201,MATCH($B2091,Summary!$A$2:$A$201,0))</f>
        <v>2</v>
      </c>
      <c r="N2091" s="0" t="n">
        <f aca="false">INDEX(Summary!$J$2:$J$201,MATCH($B2091,Summary!$A$2:$A$201,0))</f>
        <v>3</v>
      </c>
      <c r="O2091" s="2" t="n">
        <f aca="false">INDEX(Summary!$K$2:$K$201,MATCH($B2091,Summary!$A$2:$A$201,0))</f>
        <v>9.78</v>
      </c>
      <c r="P2091" s="3" t="n">
        <f aca="false">INDEX(Summary!$L$2:$L$201,MATCH($B2091,Summary!$A$2:$A$201,0))</f>
        <v>4</v>
      </c>
      <c r="Q2091" s="3" t="n">
        <f aca="false">INDEX(Summary!$M$2:$M$201,MATCH($B2091,Summary!$A$2:$A$201,0))</f>
        <v>2</v>
      </c>
      <c r="R2091" s="2" t="n">
        <f aca="false">INDEX(Summary!$N$2:$N$201,MATCH($B2091,Summary!$A$2:$A$201,0))</f>
        <v>10.19</v>
      </c>
      <c r="S2091" s="3" t="n">
        <f aca="false">INDEX(Summary!$O$2:$O$201,MATCH($B2091,Summary!$A$2:$A$201,0))</f>
        <v>6</v>
      </c>
      <c r="T2091" s="3" t="n">
        <f aca="false">INDEX(Summary!$P$2:$P$201,MATCH($B2091,Summary!$A$2:$A$201,0))</f>
        <v>3</v>
      </c>
      <c r="U2091" s="2" t="n">
        <f aca="false">INDEX(Summary!$Q$2:$Q$201,MATCH($B2091,Summary!$A$2:$A$201,0))</f>
        <v>14.66</v>
      </c>
      <c r="V2091" s="2" t="n">
        <f aca="false">INDEX(Summary!$R$2:$R$201,MATCH($B2091,Summary!$A$2:$A$201,0))</f>
        <v>22.32</v>
      </c>
      <c r="W2091" s="0" t="str">
        <f aca="false">INDEX(Summary!$S$2:$S$201,MATCH($B2091,Summary!$A$2:$A$201,0))</f>
        <v>Silver</v>
      </c>
      <c r="X2091" s="2" t="n">
        <f aca="false">INDEX(Summary!$T$2:$T$201,MATCH($B2091,Summary!$A$2:$A$201,0))</f>
        <v>54.44</v>
      </c>
      <c r="Y2091" s="0" t="str">
        <f aca="false">INDEX('Reward Model'!$E$18:$E$37,MATCH($E2091,'Reward Model'!$A$18:$A$37,0))</f>
        <v>Medium</v>
      </c>
      <c r="Z2091" s="4" t="n">
        <f aca="false">ROUND(MIN(1,MAX('Reward Model'!$B$2,INDEX('Reward Model'!$C$12:$C$14,MATCH($K2091,'Reward Model'!$A$12:$A$14,0))/$J2091)),3)</f>
        <v>0.814</v>
      </c>
      <c r="AA2091" s="2" t="n">
        <f aca="false">IF($I2091="Correct",ROUND(INDEX('Reward Model'!$B$12:$B$14,MATCH($K2091,'Reward Model'!$A$12:$A$14,0))*Z2091,2),0)</f>
        <v>1.63</v>
      </c>
      <c r="AB2091" s="2" t="n">
        <f aca="false">IF($I2091="Correct",ROUND(INDEX('Reward Model'!$B$12:$B$14,MATCH($Y2091,'Reward Model'!$A$12:$A$14,0))*Z2091,2),0)</f>
        <v>1.63</v>
      </c>
    </row>
    <row r="2092" customFormat="false" ht="15" hidden="false" customHeight="false" outlineLevel="0" collapsed="false">
      <c r="A2092" s="0" t="s">
        <v>339</v>
      </c>
      <c r="B2092" s="0" t="s">
        <v>340</v>
      </c>
      <c r="C2092" s="0" t="s">
        <v>322</v>
      </c>
      <c r="D2092" s="0" t="s">
        <v>31</v>
      </c>
      <c r="E2092" s="0" t="n">
        <v>11</v>
      </c>
      <c r="F2092" s="0" t="s">
        <v>61</v>
      </c>
      <c r="G2092" s="0" t="s">
        <v>63</v>
      </c>
      <c r="H2092" s="0" t="s">
        <v>63</v>
      </c>
      <c r="I2092" s="0" t="s">
        <v>34</v>
      </c>
      <c r="J2092" s="0" t="n">
        <v>2.08</v>
      </c>
      <c r="K2092" s="0" t="s">
        <v>60</v>
      </c>
      <c r="L2092" s="0" t="n">
        <f aca="false">INDEX(Summary!$F$2:$F$201,MATCH($B2092,Summary!$A$2:$A$201,0))</f>
        <v>20</v>
      </c>
      <c r="M2092" s="0" t="n">
        <f aca="false">INDEX(Summary!$I$2:$I$201,MATCH($B2092,Summary!$A$2:$A$201,0))</f>
        <v>2</v>
      </c>
      <c r="N2092" s="0" t="n">
        <f aca="false">INDEX(Summary!$J$2:$J$201,MATCH($B2092,Summary!$A$2:$A$201,0))</f>
        <v>3</v>
      </c>
      <c r="O2092" s="2" t="n">
        <f aca="false">INDEX(Summary!$K$2:$K$201,MATCH($B2092,Summary!$A$2:$A$201,0))</f>
        <v>9.78</v>
      </c>
      <c r="P2092" s="3" t="n">
        <f aca="false">INDEX(Summary!$L$2:$L$201,MATCH($B2092,Summary!$A$2:$A$201,0))</f>
        <v>4</v>
      </c>
      <c r="Q2092" s="3" t="n">
        <f aca="false">INDEX(Summary!$M$2:$M$201,MATCH($B2092,Summary!$A$2:$A$201,0))</f>
        <v>2</v>
      </c>
      <c r="R2092" s="2" t="n">
        <f aca="false">INDEX(Summary!$N$2:$N$201,MATCH($B2092,Summary!$A$2:$A$201,0))</f>
        <v>10.19</v>
      </c>
      <c r="S2092" s="3" t="n">
        <f aca="false">INDEX(Summary!$O$2:$O$201,MATCH($B2092,Summary!$A$2:$A$201,0))</f>
        <v>6</v>
      </c>
      <c r="T2092" s="3" t="n">
        <f aca="false">INDEX(Summary!$P$2:$P$201,MATCH($B2092,Summary!$A$2:$A$201,0))</f>
        <v>3</v>
      </c>
      <c r="U2092" s="2" t="n">
        <f aca="false">INDEX(Summary!$Q$2:$Q$201,MATCH($B2092,Summary!$A$2:$A$201,0))</f>
        <v>14.66</v>
      </c>
      <c r="V2092" s="2" t="n">
        <f aca="false">INDEX(Summary!$R$2:$R$201,MATCH($B2092,Summary!$A$2:$A$201,0))</f>
        <v>22.32</v>
      </c>
      <c r="W2092" s="0" t="str">
        <f aca="false">INDEX(Summary!$S$2:$S$201,MATCH($B2092,Summary!$A$2:$A$201,0))</f>
        <v>Silver</v>
      </c>
      <c r="X2092" s="2" t="n">
        <f aca="false">INDEX(Summary!$T$2:$T$201,MATCH($B2092,Summary!$A$2:$A$201,0))</f>
        <v>54.44</v>
      </c>
      <c r="Y2092" s="0" t="str">
        <f aca="false">INDEX('Reward Model'!$E$18:$E$37,MATCH($E2092,'Reward Model'!$A$18:$A$37,0))</f>
        <v>Medium</v>
      </c>
      <c r="Z2092" s="4" t="n">
        <f aca="false">ROUND(MIN(1,MAX('Reward Model'!$B$2,INDEX('Reward Model'!$C$12:$C$14,MATCH($K2092,'Reward Model'!$A$12:$A$14,0))/$J2092)),3)</f>
        <v>0.865</v>
      </c>
      <c r="AA2092" s="2" t="n">
        <f aca="false">IF($I2092="Correct",ROUND(INDEX('Reward Model'!$B$12:$B$14,MATCH($K2092,'Reward Model'!$A$12:$A$14,0))*Z2092,2),0)</f>
        <v>1.73</v>
      </c>
      <c r="AB2092" s="2" t="n">
        <f aca="false">IF($I2092="Correct",ROUND(INDEX('Reward Model'!$B$12:$B$14,MATCH($Y2092,'Reward Model'!$A$12:$A$14,0))*Z2092,2),0)</f>
        <v>1.73</v>
      </c>
    </row>
    <row r="2093" customFormat="false" ht="15" hidden="false" customHeight="false" outlineLevel="0" collapsed="false">
      <c r="A2093" s="0" t="s">
        <v>339</v>
      </c>
      <c r="B2093" s="0" t="s">
        <v>340</v>
      </c>
      <c r="C2093" s="0" t="s">
        <v>322</v>
      </c>
      <c r="D2093" s="0" t="s">
        <v>31</v>
      </c>
      <c r="E2093" s="0" t="n">
        <v>12</v>
      </c>
      <c r="F2093" s="0" t="s">
        <v>64</v>
      </c>
      <c r="G2093" s="0" t="s">
        <v>65</v>
      </c>
      <c r="H2093" s="0" t="s">
        <v>65</v>
      </c>
      <c r="I2093" s="0" t="s">
        <v>34</v>
      </c>
      <c r="J2093" s="0" t="n">
        <v>1.18</v>
      </c>
      <c r="K2093" s="0" t="s">
        <v>60</v>
      </c>
      <c r="L2093" s="0" t="n">
        <f aca="false">INDEX(Summary!$F$2:$F$201,MATCH($B2093,Summary!$A$2:$A$201,0))</f>
        <v>20</v>
      </c>
      <c r="M2093" s="0" t="n">
        <f aca="false">INDEX(Summary!$I$2:$I$201,MATCH($B2093,Summary!$A$2:$A$201,0))</f>
        <v>2</v>
      </c>
      <c r="N2093" s="0" t="n">
        <f aca="false">INDEX(Summary!$J$2:$J$201,MATCH($B2093,Summary!$A$2:$A$201,0))</f>
        <v>3</v>
      </c>
      <c r="O2093" s="2" t="n">
        <f aca="false">INDEX(Summary!$K$2:$K$201,MATCH($B2093,Summary!$A$2:$A$201,0))</f>
        <v>9.78</v>
      </c>
      <c r="P2093" s="3" t="n">
        <f aca="false">INDEX(Summary!$L$2:$L$201,MATCH($B2093,Summary!$A$2:$A$201,0))</f>
        <v>4</v>
      </c>
      <c r="Q2093" s="3" t="n">
        <f aca="false">INDEX(Summary!$M$2:$M$201,MATCH($B2093,Summary!$A$2:$A$201,0))</f>
        <v>2</v>
      </c>
      <c r="R2093" s="2" t="n">
        <f aca="false">INDEX(Summary!$N$2:$N$201,MATCH($B2093,Summary!$A$2:$A$201,0))</f>
        <v>10.19</v>
      </c>
      <c r="S2093" s="3" t="n">
        <f aca="false">INDEX(Summary!$O$2:$O$201,MATCH($B2093,Summary!$A$2:$A$201,0))</f>
        <v>6</v>
      </c>
      <c r="T2093" s="3" t="n">
        <f aca="false">INDEX(Summary!$P$2:$P$201,MATCH($B2093,Summary!$A$2:$A$201,0))</f>
        <v>3</v>
      </c>
      <c r="U2093" s="2" t="n">
        <f aca="false">INDEX(Summary!$Q$2:$Q$201,MATCH($B2093,Summary!$A$2:$A$201,0))</f>
        <v>14.66</v>
      </c>
      <c r="V2093" s="2" t="n">
        <f aca="false">INDEX(Summary!$R$2:$R$201,MATCH($B2093,Summary!$A$2:$A$201,0))</f>
        <v>22.32</v>
      </c>
      <c r="W2093" s="0" t="str">
        <f aca="false">INDEX(Summary!$S$2:$S$201,MATCH($B2093,Summary!$A$2:$A$201,0))</f>
        <v>Silver</v>
      </c>
      <c r="X2093" s="2" t="n">
        <f aca="false">INDEX(Summary!$T$2:$T$201,MATCH($B2093,Summary!$A$2:$A$201,0))</f>
        <v>54.44</v>
      </c>
      <c r="Y2093" s="0" t="str">
        <f aca="false">INDEX('Reward Model'!$E$18:$E$37,MATCH($E2093,'Reward Model'!$A$18:$A$37,0))</f>
        <v>Medium</v>
      </c>
      <c r="Z2093" s="4" t="n">
        <f aca="false">ROUND(MIN(1,MAX('Reward Model'!$B$2,INDEX('Reward Model'!$C$12:$C$14,MATCH($K2093,'Reward Model'!$A$12:$A$14,0))/$J2093)),3)</f>
        <v>1</v>
      </c>
      <c r="AA2093" s="2" t="n">
        <f aca="false">IF($I2093="Correct",ROUND(INDEX('Reward Model'!$B$12:$B$14,MATCH($K2093,'Reward Model'!$A$12:$A$14,0))*Z2093,2),0)</f>
        <v>2</v>
      </c>
      <c r="AB2093" s="2" t="n">
        <f aca="false">IF($I2093="Correct",ROUND(INDEX('Reward Model'!$B$12:$B$14,MATCH($Y2093,'Reward Model'!$A$12:$A$14,0))*Z2093,2),0)</f>
        <v>2</v>
      </c>
    </row>
    <row r="2094" customFormat="false" ht="15" hidden="false" customHeight="false" outlineLevel="0" collapsed="false">
      <c r="A2094" s="0" t="s">
        <v>339</v>
      </c>
      <c r="B2094" s="0" t="s">
        <v>340</v>
      </c>
      <c r="C2094" s="0" t="s">
        <v>322</v>
      </c>
      <c r="D2094" s="0" t="s">
        <v>31</v>
      </c>
      <c r="E2094" s="0" t="n">
        <v>13</v>
      </c>
      <c r="F2094" s="0" t="s">
        <v>66</v>
      </c>
      <c r="G2094" s="0" t="s">
        <v>165</v>
      </c>
      <c r="H2094" s="0" t="s">
        <v>67</v>
      </c>
      <c r="I2094" s="0" t="s">
        <v>39</v>
      </c>
      <c r="J2094" s="0" t="n">
        <v>1.35</v>
      </c>
      <c r="K2094" s="0" t="s">
        <v>60</v>
      </c>
      <c r="L2094" s="0" t="n">
        <f aca="false">INDEX(Summary!$F$2:$F$201,MATCH($B2094,Summary!$A$2:$A$201,0))</f>
        <v>20</v>
      </c>
      <c r="M2094" s="0" t="n">
        <f aca="false">INDEX(Summary!$I$2:$I$201,MATCH($B2094,Summary!$A$2:$A$201,0))</f>
        <v>2</v>
      </c>
      <c r="N2094" s="0" t="n">
        <f aca="false">INDEX(Summary!$J$2:$J$201,MATCH($B2094,Summary!$A$2:$A$201,0))</f>
        <v>3</v>
      </c>
      <c r="O2094" s="2" t="n">
        <f aca="false">INDEX(Summary!$K$2:$K$201,MATCH($B2094,Summary!$A$2:$A$201,0))</f>
        <v>9.78</v>
      </c>
      <c r="P2094" s="3" t="n">
        <f aca="false">INDEX(Summary!$L$2:$L$201,MATCH($B2094,Summary!$A$2:$A$201,0))</f>
        <v>4</v>
      </c>
      <c r="Q2094" s="3" t="n">
        <f aca="false">INDEX(Summary!$M$2:$M$201,MATCH($B2094,Summary!$A$2:$A$201,0))</f>
        <v>2</v>
      </c>
      <c r="R2094" s="2" t="n">
        <f aca="false">INDEX(Summary!$N$2:$N$201,MATCH($B2094,Summary!$A$2:$A$201,0))</f>
        <v>10.19</v>
      </c>
      <c r="S2094" s="3" t="n">
        <f aca="false">INDEX(Summary!$O$2:$O$201,MATCH($B2094,Summary!$A$2:$A$201,0))</f>
        <v>6</v>
      </c>
      <c r="T2094" s="3" t="n">
        <f aca="false">INDEX(Summary!$P$2:$P$201,MATCH($B2094,Summary!$A$2:$A$201,0))</f>
        <v>3</v>
      </c>
      <c r="U2094" s="2" t="n">
        <f aca="false">INDEX(Summary!$Q$2:$Q$201,MATCH($B2094,Summary!$A$2:$A$201,0))</f>
        <v>14.66</v>
      </c>
      <c r="V2094" s="2" t="n">
        <f aca="false">INDEX(Summary!$R$2:$R$201,MATCH($B2094,Summary!$A$2:$A$201,0))</f>
        <v>22.32</v>
      </c>
      <c r="W2094" s="0" t="str">
        <f aca="false">INDEX(Summary!$S$2:$S$201,MATCH($B2094,Summary!$A$2:$A$201,0))</f>
        <v>Silver</v>
      </c>
      <c r="X2094" s="2" t="n">
        <f aca="false">INDEX(Summary!$T$2:$T$201,MATCH($B2094,Summary!$A$2:$A$201,0))</f>
        <v>54.44</v>
      </c>
      <c r="Y2094" s="0" t="str">
        <f aca="false">INDEX('Reward Model'!$E$18:$E$37,MATCH($E2094,'Reward Model'!$A$18:$A$37,0))</f>
        <v>Medium</v>
      </c>
      <c r="Z2094" s="4" t="n">
        <f aca="false">ROUND(MIN(1,MAX('Reward Model'!$B$2,INDEX('Reward Model'!$C$12:$C$14,MATCH($K2094,'Reward Model'!$A$12:$A$14,0))/$J2094)),3)</f>
        <v>1</v>
      </c>
      <c r="AA2094" s="2" t="n">
        <f aca="false">IF($I2094="Correct",ROUND(INDEX('Reward Model'!$B$12:$B$14,MATCH($K2094,'Reward Model'!$A$12:$A$14,0))*Z2094,2),0)</f>
        <v>0</v>
      </c>
      <c r="AB2094" s="2" t="n">
        <f aca="false">IF($I2094="Correct",ROUND(INDEX('Reward Model'!$B$12:$B$14,MATCH($Y2094,'Reward Model'!$A$12:$A$14,0))*Z2094,2),0)</f>
        <v>0</v>
      </c>
    </row>
    <row r="2095" customFormat="false" ht="15" hidden="false" customHeight="false" outlineLevel="0" collapsed="false">
      <c r="A2095" s="0" t="s">
        <v>339</v>
      </c>
      <c r="B2095" s="0" t="s">
        <v>340</v>
      </c>
      <c r="C2095" s="0" t="s">
        <v>322</v>
      </c>
      <c r="D2095" s="0" t="s">
        <v>31</v>
      </c>
      <c r="E2095" s="0" t="n">
        <v>14</v>
      </c>
      <c r="F2095" s="0" t="s">
        <v>68</v>
      </c>
      <c r="G2095" s="0" t="s">
        <v>86</v>
      </c>
      <c r="H2095" s="0" t="s">
        <v>51</v>
      </c>
      <c r="I2095" s="0" t="s">
        <v>39</v>
      </c>
      <c r="J2095" s="0" t="n">
        <v>1.1</v>
      </c>
      <c r="K2095" s="0" t="s">
        <v>60</v>
      </c>
      <c r="L2095" s="0" t="n">
        <f aca="false">INDEX(Summary!$F$2:$F$201,MATCH($B2095,Summary!$A$2:$A$201,0))</f>
        <v>20</v>
      </c>
      <c r="M2095" s="0" t="n">
        <f aca="false">INDEX(Summary!$I$2:$I$201,MATCH($B2095,Summary!$A$2:$A$201,0))</f>
        <v>2</v>
      </c>
      <c r="N2095" s="0" t="n">
        <f aca="false">INDEX(Summary!$J$2:$J$201,MATCH($B2095,Summary!$A$2:$A$201,0))</f>
        <v>3</v>
      </c>
      <c r="O2095" s="2" t="n">
        <f aca="false">INDEX(Summary!$K$2:$K$201,MATCH($B2095,Summary!$A$2:$A$201,0))</f>
        <v>9.78</v>
      </c>
      <c r="P2095" s="3" t="n">
        <f aca="false">INDEX(Summary!$L$2:$L$201,MATCH($B2095,Summary!$A$2:$A$201,0))</f>
        <v>4</v>
      </c>
      <c r="Q2095" s="3" t="n">
        <f aca="false">INDEX(Summary!$M$2:$M$201,MATCH($B2095,Summary!$A$2:$A$201,0))</f>
        <v>2</v>
      </c>
      <c r="R2095" s="2" t="n">
        <f aca="false">INDEX(Summary!$N$2:$N$201,MATCH($B2095,Summary!$A$2:$A$201,0))</f>
        <v>10.19</v>
      </c>
      <c r="S2095" s="3" t="n">
        <f aca="false">INDEX(Summary!$O$2:$O$201,MATCH($B2095,Summary!$A$2:$A$201,0))</f>
        <v>6</v>
      </c>
      <c r="T2095" s="3" t="n">
        <f aca="false">INDEX(Summary!$P$2:$P$201,MATCH($B2095,Summary!$A$2:$A$201,0))</f>
        <v>3</v>
      </c>
      <c r="U2095" s="2" t="n">
        <f aca="false">INDEX(Summary!$Q$2:$Q$201,MATCH($B2095,Summary!$A$2:$A$201,0))</f>
        <v>14.66</v>
      </c>
      <c r="V2095" s="2" t="n">
        <f aca="false">INDEX(Summary!$R$2:$R$201,MATCH($B2095,Summary!$A$2:$A$201,0))</f>
        <v>22.32</v>
      </c>
      <c r="W2095" s="0" t="str">
        <f aca="false">INDEX(Summary!$S$2:$S$201,MATCH($B2095,Summary!$A$2:$A$201,0))</f>
        <v>Silver</v>
      </c>
      <c r="X2095" s="2" t="n">
        <f aca="false">INDEX(Summary!$T$2:$T$201,MATCH($B2095,Summary!$A$2:$A$201,0))</f>
        <v>54.44</v>
      </c>
      <c r="Y2095" s="0" t="str">
        <f aca="false">INDEX('Reward Model'!$E$18:$E$37,MATCH($E2095,'Reward Model'!$A$18:$A$37,0))</f>
        <v>Medium</v>
      </c>
      <c r="Z2095" s="4" t="n">
        <f aca="false">ROUND(MIN(1,MAX('Reward Model'!$B$2,INDEX('Reward Model'!$C$12:$C$14,MATCH($K2095,'Reward Model'!$A$12:$A$14,0))/$J2095)),3)</f>
        <v>1</v>
      </c>
      <c r="AA2095" s="2" t="n">
        <f aca="false">IF($I2095="Correct",ROUND(INDEX('Reward Model'!$B$12:$B$14,MATCH($K2095,'Reward Model'!$A$12:$A$14,0))*Z2095,2),0)</f>
        <v>0</v>
      </c>
      <c r="AB2095" s="2" t="n">
        <f aca="false">IF($I2095="Correct",ROUND(INDEX('Reward Model'!$B$12:$B$14,MATCH($Y2095,'Reward Model'!$A$12:$A$14,0))*Z2095,2),0)</f>
        <v>0</v>
      </c>
    </row>
    <row r="2096" customFormat="false" ht="15" hidden="false" customHeight="false" outlineLevel="0" collapsed="false">
      <c r="A2096" s="0" t="s">
        <v>339</v>
      </c>
      <c r="B2096" s="0" t="s">
        <v>340</v>
      </c>
      <c r="C2096" s="0" t="s">
        <v>322</v>
      </c>
      <c r="D2096" s="0" t="s">
        <v>31</v>
      </c>
      <c r="E2096" s="0" t="n">
        <v>15</v>
      </c>
      <c r="F2096" s="0" t="s">
        <v>69</v>
      </c>
      <c r="G2096" s="0" t="s">
        <v>70</v>
      </c>
      <c r="H2096" s="0" t="s">
        <v>70</v>
      </c>
      <c r="I2096" s="0" t="s">
        <v>34</v>
      </c>
      <c r="J2096" s="0" t="n">
        <v>2.27</v>
      </c>
      <c r="K2096" s="0" t="s">
        <v>60</v>
      </c>
      <c r="L2096" s="0" t="n">
        <f aca="false">INDEX(Summary!$F$2:$F$201,MATCH($B2096,Summary!$A$2:$A$201,0))</f>
        <v>20</v>
      </c>
      <c r="M2096" s="0" t="n">
        <f aca="false">INDEX(Summary!$I$2:$I$201,MATCH($B2096,Summary!$A$2:$A$201,0))</f>
        <v>2</v>
      </c>
      <c r="N2096" s="0" t="n">
        <f aca="false">INDEX(Summary!$J$2:$J$201,MATCH($B2096,Summary!$A$2:$A$201,0))</f>
        <v>3</v>
      </c>
      <c r="O2096" s="2" t="n">
        <f aca="false">INDEX(Summary!$K$2:$K$201,MATCH($B2096,Summary!$A$2:$A$201,0))</f>
        <v>9.78</v>
      </c>
      <c r="P2096" s="3" t="n">
        <f aca="false">INDEX(Summary!$L$2:$L$201,MATCH($B2096,Summary!$A$2:$A$201,0))</f>
        <v>4</v>
      </c>
      <c r="Q2096" s="3" t="n">
        <f aca="false">INDEX(Summary!$M$2:$M$201,MATCH($B2096,Summary!$A$2:$A$201,0))</f>
        <v>2</v>
      </c>
      <c r="R2096" s="2" t="n">
        <f aca="false">INDEX(Summary!$N$2:$N$201,MATCH($B2096,Summary!$A$2:$A$201,0))</f>
        <v>10.19</v>
      </c>
      <c r="S2096" s="3" t="n">
        <f aca="false">INDEX(Summary!$O$2:$O$201,MATCH($B2096,Summary!$A$2:$A$201,0))</f>
        <v>6</v>
      </c>
      <c r="T2096" s="3" t="n">
        <f aca="false">INDEX(Summary!$P$2:$P$201,MATCH($B2096,Summary!$A$2:$A$201,0))</f>
        <v>3</v>
      </c>
      <c r="U2096" s="2" t="n">
        <f aca="false">INDEX(Summary!$Q$2:$Q$201,MATCH($B2096,Summary!$A$2:$A$201,0))</f>
        <v>14.66</v>
      </c>
      <c r="V2096" s="2" t="n">
        <f aca="false">INDEX(Summary!$R$2:$R$201,MATCH($B2096,Summary!$A$2:$A$201,0))</f>
        <v>22.32</v>
      </c>
      <c r="W2096" s="0" t="str">
        <f aca="false">INDEX(Summary!$S$2:$S$201,MATCH($B2096,Summary!$A$2:$A$201,0))</f>
        <v>Silver</v>
      </c>
      <c r="X2096" s="2" t="n">
        <f aca="false">INDEX(Summary!$T$2:$T$201,MATCH($B2096,Summary!$A$2:$A$201,0))</f>
        <v>54.44</v>
      </c>
      <c r="Y2096" s="0" t="str">
        <f aca="false">INDEX('Reward Model'!$E$18:$E$37,MATCH($E2096,'Reward Model'!$A$18:$A$37,0))</f>
        <v>Medium</v>
      </c>
      <c r="Z2096" s="4" t="n">
        <f aca="false">ROUND(MIN(1,MAX('Reward Model'!$B$2,INDEX('Reward Model'!$C$12:$C$14,MATCH($K2096,'Reward Model'!$A$12:$A$14,0))/$J2096)),3)</f>
        <v>0.793</v>
      </c>
      <c r="AA2096" s="2" t="n">
        <f aca="false">IF($I2096="Correct",ROUND(INDEX('Reward Model'!$B$12:$B$14,MATCH($K2096,'Reward Model'!$A$12:$A$14,0))*Z2096,2),0)</f>
        <v>1.59</v>
      </c>
      <c r="AB2096" s="2" t="n">
        <f aca="false">IF($I2096="Correct",ROUND(INDEX('Reward Model'!$B$12:$B$14,MATCH($Y2096,'Reward Model'!$A$12:$A$14,0))*Z2096,2),0)</f>
        <v>1.59</v>
      </c>
    </row>
    <row r="2097" customFormat="false" ht="15" hidden="false" customHeight="false" outlineLevel="0" collapsed="false">
      <c r="A2097" s="0" t="s">
        <v>339</v>
      </c>
      <c r="B2097" s="0" t="s">
        <v>340</v>
      </c>
      <c r="C2097" s="0" t="s">
        <v>322</v>
      </c>
      <c r="D2097" s="0" t="s">
        <v>31</v>
      </c>
      <c r="E2097" s="0" t="n">
        <v>16</v>
      </c>
      <c r="F2097" s="0" t="s">
        <v>71</v>
      </c>
      <c r="G2097" s="0" t="s">
        <v>87</v>
      </c>
      <c r="H2097" s="0" t="s">
        <v>72</v>
      </c>
      <c r="I2097" s="0" t="s">
        <v>39</v>
      </c>
      <c r="J2097" s="0" t="n">
        <v>2.38</v>
      </c>
      <c r="K2097" s="0" t="s">
        <v>73</v>
      </c>
      <c r="L2097" s="0" t="n">
        <f aca="false">INDEX(Summary!$F$2:$F$201,MATCH($B2097,Summary!$A$2:$A$201,0))</f>
        <v>20</v>
      </c>
      <c r="M2097" s="0" t="n">
        <f aca="false">INDEX(Summary!$I$2:$I$201,MATCH($B2097,Summary!$A$2:$A$201,0))</f>
        <v>2</v>
      </c>
      <c r="N2097" s="0" t="n">
        <f aca="false">INDEX(Summary!$J$2:$J$201,MATCH($B2097,Summary!$A$2:$A$201,0))</f>
        <v>3</v>
      </c>
      <c r="O2097" s="2" t="n">
        <f aca="false">INDEX(Summary!$K$2:$K$201,MATCH($B2097,Summary!$A$2:$A$201,0))</f>
        <v>9.78</v>
      </c>
      <c r="P2097" s="3" t="n">
        <f aca="false">INDEX(Summary!$L$2:$L$201,MATCH($B2097,Summary!$A$2:$A$201,0))</f>
        <v>4</v>
      </c>
      <c r="Q2097" s="3" t="n">
        <f aca="false">INDEX(Summary!$M$2:$M$201,MATCH($B2097,Summary!$A$2:$A$201,0))</f>
        <v>2</v>
      </c>
      <c r="R2097" s="2" t="n">
        <f aca="false">INDEX(Summary!$N$2:$N$201,MATCH($B2097,Summary!$A$2:$A$201,0))</f>
        <v>10.19</v>
      </c>
      <c r="S2097" s="3" t="n">
        <f aca="false">INDEX(Summary!$O$2:$O$201,MATCH($B2097,Summary!$A$2:$A$201,0))</f>
        <v>6</v>
      </c>
      <c r="T2097" s="3" t="n">
        <f aca="false">INDEX(Summary!$P$2:$P$201,MATCH($B2097,Summary!$A$2:$A$201,0))</f>
        <v>3</v>
      </c>
      <c r="U2097" s="2" t="n">
        <f aca="false">INDEX(Summary!$Q$2:$Q$201,MATCH($B2097,Summary!$A$2:$A$201,0))</f>
        <v>14.66</v>
      </c>
      <c r="V2097" s="2" t="n">
        <f aca="false">INDEX(Summary!$R$2:$R$201,MATCH($B2097,Summary!$A$2:$A$201,0))</f>
        <v>22.32</v>
      </c>
      <c r="W2097" s="0" t="str">
        <f aca="false">INDEX(Summary!$S$2:$S$201,MATCH($B2097,Summary!$A$2:$A$201,0))</f>
        <v>Silver</v>
      </c>
      <c r="X2097" s="2" t="n">
        <f aca="false">INDEX(Summary!$T$2:$T$201,MATCH($B2097,Summary!$A$2:$A$201,0))</f>
        <v>54.44</v>
      </c>
      <c r="Y2097" s="0" t="str">
        <f aca="false">INDEX('Reward Model'!$E$18:$E$37,MATCH($E2097,'Reward Model'!$A$18:$A$37,0))</f>
        <v>High</v>
      </c>
      <c r="Z2097" s="4" t="n">
        <f aca="false">ROUND(MIN(1,MAX('Reward Model'!$B$2,INDEX('Reward Model'!$C$12:$C$14,MATCH($K2097,'Reward Model'!$A$12:$A$14,0))/$J2097)),3)</f>
        <v>0.84</v>
      </c>
      <c r="AA2097" s="2" t="n">
        <f aca="false">IF($I2097="Correct",ROUND(INDEX('Reward Model'!$B$12:$B$14,MATCH($K2097,'Reward Model'!$A$12:$A$14,0))*Z2097,2),0)</f>
        <v>0</v>
      </c>
      <c r="AB2097" s="2" t="n">
        <f aca="false">IF($I2097="Correct",ROUND(INDEX('Reward Model'!$B$12:$B$14,MATCH($Y2097,'Reward Model'!$A$12:$A$14,0))*Z2097,2),0)</f>
        <v>0</v>
      </c>
    </row>
    <row r="2098" customFormat="false" ht="15" hidden="false" customHeight="false" outlineLevel="0" collapsed="false">
      <c r="A2098" s="0" t="s">
        <v>339</v>
      </c>
      <c r="B2098" s="0" t="s">
        <v>340</v>
      </c>
      <c r="C2098" s="0" t="s">
        <v>322</v>
      </c>
      <c r="D2098" s="0" t="s">
        <v>31</v>
      </c>
      <c r="E2098" s="0" t="n">
        <v>17</v>
      </c>
      <c r="F2098" s="0" t="s">
        <v>74</v>
      </c>
      <c r="G2098" s="0" t="s">
        <v>75</v>
      </c>
      <c r="H2098" s="0" t="s">
        <v>75</v>
      </c>
      <c r="I2098" s="0" t="s">
        <v>34</v>
      </c>
      <c r="J2098" s="0" t="n">
        <v>1.33</v>
      </c>
      <c r="K2098" s="0" t="s">
        <v>73</v>
      </c>
      <c r="L2098" s="0" t="n">
        <f aca="false">INDEX(Summary!$F$2:$F$201,MATCH($B2098,Summary!$A$2:$A$201,0))</f>
        <v>20</v>
      </c>
      <c r="M2098" s="0" t="n">
        <f aca="false">INDEX(Summary!$I$2:$I$201,MATCH($B2098,Summary!$A$2:$A$201,0))</f>
        <v>2</v>
      </c>
      <c r="N2098" s="0" t="n">
        <f aca="false">INDEX(Summary!$J$2:$J$201,MATCH($B2098,Summary!$A$2:$A$201,0))</f>
        <v>3</v>
      </c>
      <c r="O2098" s="2" t="n">
        <f aca="false">INDEX(Summary!$K$2:$K$201,MATCH($B2098,Summary!$A$2:$A$201,0))</f>
        <v>9.78</v>
      </c>
      <c r="P2098" s="3" t="n">
        <f aca="false">INDEX(Summary!$L$2:$L$201,MATCH($B2098,Summary!$A$2:$A$201,0))</f>
        <v>4</v>
      </c>
      <c r="Q2098" s="3" t="n">
        <f aca="false">INDEX(Summary!$M$2:$M$201,MATCH($B2098,Summary!$A$2:$A$201,0))</f>
        <v>2</v>
      </c>
      <c r="R2098" s="2" t="n">
        <f aca="false">INDEX(Summary!$N$2:$N$201,MATCH($B2098,Summary!$A$2:$A$201,0))</f>
        <v>10.19</v>
      </c>
      <c r="S2098" s="3" t="n">
        <f aca="false">INDEX(Summary!$O$2:$O$201,MATCH($B2098,Summary!$A$2:$A$201,0))</f>
        <v>6</v>
      </c>
      <c r="T2098" s="3" t="n">
        <f aca="false">INDEX(Summary!$P$2:$P$201,MATCH($B2098,Summary!$A$2:$A$201,0))</f>
        <v>3</v>
      </c>
      <c r="U2098" s="2" t="n">
        <f aca="false">INDEX(Summary!$Q$2:$Q$201,MATCH($B2098,Summary!$A$2:$A$201,0))</f>
        <v>14.66</v>
      </c>
      <c r="V2098" s="2" t="n">
        <f aca="false">INDEX(Summary!$R$2:$R$201,MATCH($B2098,Summary!$A$2:$A$201,0))</f>
        <v>22.32</v>
      </c>
      <c r="W2098" s="0" t="str">
        <f aca="false">INDEX(Summary!$S$2:$S$201,MATCH($B2098,Summary!$A$2:$A$201,0))</f>
        <v>Silver</v>
      </c>
      <c r="X2098" s="2" t="n">
        <f aca="false">INDEX(Summary!$T$2:$T$201,MATCH($B2098,Summary!$A$2:$A$201,0))</f>
        <v>54.44</v>
      </c>
      <c r="Y2098" s="0" t="str">
        <f aca="false">INDEX('Reward Model'!$E$18:$E$37,MATCH($E2098,'Reward Model'!$A$18:$A$37,0))</f>
        <v>High</v>
      </c>
      <c r="Z2098" s="4" t="n">
        <f aca="false">ROUND(MIN(1,MAX('Reward Model'!$B$2,INDEX('Reward Model'!$C$12:$C$14,MATCH($K2098,'Reward Model'!$A$12:$A$14,0))/$J2098)),3)</f>
        <v>1</v>
      </c>
      <c r="AA2098" s="2" t="n">
        <f aca="false">IF($I2098="Correct",ROUND(INDEX('Reward Model'!$B$12:$B$14,MATCH($K2098,'Reward Model'!$A$12:$A$14,0))*Z2098,2),0)</f>
        <v>3</v>
      </c>
      <c r="AB2098" s="2" t="n">
        <f aca="false">IF($I2098="Correct",ROUND(INDEX('Reward Model'!$B$12:$B$14,MATCH($Y2098,'Reward Model'!$A$12:$A$14,0))*Z2098,2),0)</f>
        <v>3</v>
      </c>
    </row>
    <row r="2099" customFormat="false" ht="15" hidden="false" customHeight="false" outlineLevel="0" collapsed="false">
      <c r="A2099" s="0" t="s">
        <v>339</v>
      </c>
      <c r="B2099" s="0" t="s">
        <v>340</v>
      </c>
      <c r="C2099" s="0" t="s">
        <v>322</v>
      </c>
      <c r="D2099" s="0" t="s">
        <v>31</v>
      </c>
      <c r="E2099" s="0" t="n">
        <v>18</v>
      </c>
      <c r="F2099" s="0" t="s">
        <v>76</v>
      </c>
      <c r="G2099" s="0" t="s">
        <v>77</v>
      </c>
      <c r="H2099" s="0" t="s">
        <v>77</v>
      </c>
      <c r="I2099" s="0" t="s">
        <v>34</v>
      </c>
      <c r="J2099" s="0" t="n">
        <v>2.11</v>
      </c>
      <c r="K2099" s="0" t="s">
        <v>73</v>
      </c>
      <c r="L2099" s="0" t="n">
        <f aca="false">INDEX(Summary!$F$2:$F$201,MATCH($B2099,Summary!$A$2:$A$201,0))</f>
        <v>20</v>
      </c>
      <c r="M2099" s="0" t="n">
        <f aca="false">INDEX(Summary!$I$2:$I$201,MATCH($B2099,Summary!$A$2:$A$201,0))</f>
        <v>2</v>
      </c>
      <c r="N2099" s="0" t="n">
        <f aca="false">INDEX(Summary!$J$2:$J$201,MATCH($B2099,Summary!$A$2:$A$201,0))</f>
        <v>3</v>
      </c>
      <c r="O2099" s="2" t="n">
        <f aca="false">INDEX(Summary!$K$2:$K$201,MATCH($B2099,Summary!$A$2:$A$201,0))</f>
        <v>9.78</v>
      </c>
      <c r="P2099" s="3" t="n">
        <f aca="false">INDEX(Summary!$L$2:$L$201,MATCH($B2099,Summary!$A$2:$A$201,0))</f>
        <v>4</v>
      </c>
      <c r="Q2099" s="3" t="n">
        <f aca="false">INDEX(Summary!$M$2:$M$201,MATCH($B2099,Summary!$A$2:$A$201,0))</f>
        <v>2</v>
      </c>
      <c r="R2099" s="2" t="n">
        <f aca="false">INDEX(Summary!$N$2:$N$201,MATCH($B2099,Summary!$A$2:$A$201,0))</f>
        <v>10.19</v>
      </c>
      <c r="S2099" s="3" t="n">
        <f aca="false">INDEX(Summary!$O$2:$O$201,MATCH($B2099,Summary!$A$2:$A$201,0))</f>
        <v>6</v>
      </c>
      <c r="T2099" s="3" t="n">
        <f aca="false">INDEX(Summary!$P$2:$P$201,MATCH($B2099,Summary!$A$2:$A$201,0))</f>
        <v>3</v>
      </c>
      <c r="U2099" s="2" t="n">
        <f aca="false">INDEX(Summary!$Q$2:$Q$201,MATCH($B2099,Summary!$A$2:$A$201,0))</f>
        <v>14.66</v>
      </c>
      <c r="V2099" s="2" t="n">
        <f aca="false">INDEX(Summary!$R$2:$R$201,MATCH($B2099,Summary!$A$2:$A$201,0))</f>
        <v>22.32</v>
      </c>
      <c r="W2099" s="0" t="str">
        <f aca="false">INDEX(Summary!$S$2:$S$201,MATCH($B2099,Summary!$A$2:$A$201,0))</f>
        <v>Silver</v>
      </c>
      <c r="X2099" s="2" t="n">
        <f aca="false">INDEX(Summary!$T$2:$T$201,MATCH($B2099,Summary!$A$2:$A$201,0))</f>
        <v>54.44</v>
      </c>
      <c r="Y2099" s="0" t="str">
        <f aca="false">INDEX('Reward Model'!$E$18:$E$37,MATCH($E2099,'Reward Model'!$A$18:$A$37,0))</f>
        <v>High</v>
      </c>
      <c r="Z2099" s="4" t="n">
        <f aca="false">ROUND(MIN(1,MAX('Reward Model'!$B$2,INDEX('Reward Model'!$C$12:$C$14,MATCH($K2099,'Reward Model'!$A$12:$A$14,0))/$J2099)),3)</f>
        <v>0.948</v>
      </c>
      <c r="AA2099" s="2" t="n">
        <f aca="false">IF($I2099="Correct",ROUND(INDEX('Reward Model'!$B$12:$B$14,MATCH($K2099,'Reward Model'!$A$12:$A$14,0))*Z2099,2),0)</f>
        <v>2.84</v>
      </c>
      <c r="AB2099" s="2" t="n">
        <f aca="false">IF($I2099="Correct",ROUND(INDEX('Reward Model'!$B$12:$B$14,MATCH($Y2099,'Reward Model'!$A$12:$A$14,0))*Z2099,2),0)</f>
        <v>2.84</v>
      </c>
    </row>
    <row r="2100" customFormat="false" ht="15" hidden="false" customHeight="false" outlineLevel="0" collapsed="false">
      <c r="A2100" s="0" t="s">
        <v>339</v>
      </c>
      <c r="B2100" s="0" t="s">
        <v>340</v>
      </c>
      <c r="C2100" s="0" t="s">
        <v>322</v>
      </c>
      <c r="D2100" s="0" t="s">
        <v>31</v>
      </c>
      <c r="E2100" s="0" t="n">
        <v>19</v>
      </c>
      <c r="F2100" s="0" t="s">
        <v>78</v>
      </c>
      <c r="G2100" s="0" t="s">
        <v>132</v>
      </c>
      <c r="H2100" s="0" t="s">
        <v>80</v>
      </c>
      <c r="I2100" s="0" t="s">
        <v>39</v>
      </c>
      <c r="J2100" s="0" t="n">
        <v>2.33</v>
      </c>
      <c r="K2100" s="0" t="s">
        <v>73</v>
      </c>
      <c r="L2100" s="0" t="n">
        <f aca="false">INDEX(Summary!$F$2:$F$201,MATCH($B2100,Summary!$A$2:$A$201,0))</f>
        <v>20</v>
      </c>
      <c r="M2100" s="0" t="n">
        <f aca="false">INDEX(Summary!$I$2:$I$201,MATCH($B2100,Summary!$A$2:$A$201,0))</f>
        <v>2</v>
      </c>
      <c r="N2100" s="0" t="n">
        <f aca="false">INDEX(Summary!$J$2:$J$201,MATCH($B2100,Summary!$A$2:$A$201,0))</f>
        <v>3</v>
      </c>
      <c r="O2100" s="2" t="n">
        <f aca="false">INDEX(Summary!$K$2:$K$201,MATCH($B2100,Summary!$A$2:$A$201,0))</f>
        <v>9.78</v>
      </c>
      <c r="P2100" s="3" t="n">
        <f aca="false">INDEX(Summary!$L$2:$L$201,MATCH($B2100,Summary!$A$2:$A$201,0))</f>
        <v>4</v>
      </c>
      <c r="Q2100" s="3" t="n">
        <f aca="false">INDEX(Summary!$M$2:$M$201,MATCH($B2100,Summary!$A$2:$A$201,0))</f>
        <v>2</v>
      </c>
      <c r="R2100" s="2" t="n">
        <f aca="false">INDEX(Summary!$N$2:$N$201,MATCH($B2100,Summary!$A$2:$A$201,0))</f>
        <v>10.19</v>
      </c>
      <c r="S2100" s="3" t="n">
        <f aca="false">INDEX(Summary!$O$2:$O$201,MATCH($B2100,Summary!$A$2:$A$201,0))</f>
        <v>6</v>
      </c>
      <c r="T2100" s="3" t="n">
        <f aca="false">INDEX(Summary!$P$2:$P$201,MATCH($B2100,Summary!$A$2:$A$201,0))</f>
        <v>3</v>
      </c>
      <c r="U2100" s="2" t="n">
        <f aca="false">INDEX(Summary!$Q$2:$Q$201,MATCH($B2100,Summary!$A$2:$A$201,0))</f>
        <v>14.66</v>
      </c>
      <c r="V2100" s="2" t="n">
        <f aca="false">INDEX(Summary!$R$2:$R$201,MATCH($B2100,Summary!$A$2:$A$201,0))</f>
        <v>22.32</v>
      </c>
      <c r="W2100" s="0" t="str">
        <f aca="false">INDEX(Summary!$S$2:$S$201,MATCH($B2100,Summary!$A$2:$A$201,0))</f>
        <v>Silver</v>
      </c>
      <c r="X2100" s="2" t="n">
        <f aca="false">INDEX(Summary!$T$2:$T$201,MATCH($B2100,Summary!$A$2:$A$201,0))</f>
        <v>54.44</v>
      </c>
      <c r="Y2100" s="0" t="str">
        <f aca="false">INDEX('Reward Model'!$E$18:$E$37,MATCH($E2100,'Reward Model'!$A$18:$A$37,0))</f>
        <v>High</v>
      </c>
      <c r="Z2100" s="4" t="n">
        <f aca="false">ROUND(MIN(1,MAX('Reward Model'!$B$2,INDEX('Reward Model'!$C$12:$C$14,MATCH($K2100,'Reward Model'!$A$12:$A$14,0))/$J2100)),3)</f>
        <v>0.858</v>
      </c>
      <c r="AA2100" s="2" t="n">
        <f aca="false">IF($I2100="Correct",ROUND(INDEX('Reward Model'!$B$12:$B$14,MATCH($K2100,'Reward Model'!$A$12:$A$14,0))*Z2100,2),0)</f>
        <v>0</v>
      </c>
      <c r="AB2100" s="2" t="n">
        <f aca="false">IF($I2100="Correct",ROUND(INDEX('Reward Model'!$B$12:$B$14,MATCH($Y2100,'Reward Model'!$A$12:$A$14,0))*Z2100,2),0)</f>
        <v>0</v>
      </c>
    </row>
    <row r="2101" customFormat="false" ht="15" hidden="false" customHeight="false" outlineLevel="0" collapsed="false">
      <c r="A2101" s="0" t="s">
        <v>339</v>
      </c>
      <c r="B2101" s="0" t="s">
        <v>340</v>
      </c>
      <c r="C2101" s="0" t="s">
        <v>322</v>
      </c>
      <c r="D2101" s="0" t="s">
        <v>31</v>
      </c>
      <c r="E2101" s="0" t="n">
        <v>20</v>
      </c>
      <c r="F2101" s="0" t="s">
        <v>81</v>
      </c>
      <c r="G2101" s="0" t="s">
        <v>119</v>
      </c>
      <c r="H2101" s="0" t="s">
        <v>83</v>
      </c>
      <c r="I2101" s="0" t="s">
        <v>39</v>
      </c>
      <c r="J2101" s="0" t="n">
        <v>1.63</v>
      </c>
      <c r="K2101" s="0" t="s">
        <v>73</v>
      </c>
      <c r="L2101" s="0" t="n">
        <f aca="false">INDEX(Summary!$F$2:$F$201,MATCH($B2101,Summary!$A$2:$A$201,0))</f>
        <v>20</v>
      </c>
      <c r="M2101" s="0" t="n">
        <f aca="false">INDEX(Summary!$I$2:$I$201,MATCH($B2101,Summary!$A$2:$A$201,0))</f>
        <v>2</v>
      </c>
      <c r="N2101" s="0" t="n">
        <f aca="false">INDEX(Summary!$J$2:$J$201,MATCH($B2101,Summary!$A$2:$A$201,0))</f>
        <v>3</v>
      </c>
      <c r="O2101" s="2" t="n">
        <f aca="false">INDEX(Summary!$K$2:$K$201,MATCH($B2101,Summary!$A$2:$A$201,0))</f>
        <v>9.78</v>
      </c>
      <c r="P2101" s="3" t="n">
        <f aca="false">INDEX(Summary!$L$2:$L$201,MATCH($B2101,Summary!$A$2:$A$201,0))</f>
        <v>4</v>
      </c>
      <c r="Q2101" s="3" t="n">
        <f aca="false">INDEX(Summary!$M$2:$M$201,MATCH($B2101,Summary!$A$2:$A$201,0))</f>
        <v>2</v>
      </c>
      <c r="R2101" s="2" t="n">
        <f aca="false">INDEX(Summary!$N$2:$N$201,MATCH($B2101,Summary!$A$2:$A$201,0))</f>
        <v>10.19</v>
      </c>
      <c r="S2101" s="3" t="n">
        <f aca="false">INDEX(Summary!$O$2:$O$201,MATCH($B2101,Summary!$A$2:$A$201,0))</f>
        <v>6</v>
      </c>
      <c r="T2101" s="3" t="n">
        <f aca="false">INDEX(Summary!$P$2:$P$201,MATCH($B2101,Summary!$A$2:$A$201,0))</f>
        <v>3</v>
      </c>
      <c r="U2101" s="2" t="n">
        <f aca="false">INDEX(Summary!$Q$2:$Q$201,MATCH($B2101,Summary!$A$2:$A$201,0))</f>
        <v>14.66</v>
      </c>
      <c r="V2101" s="2" t="n">
        <f aca="false">INDEX(Summary!$R$2:$R$201,MATCH($B2101,Summary!$A$2:$A$201,0))</f>
        <v>22.32</v>
      </c>
      <c r="W2101" s="0" t="str">
        <f aca="false">INDEX(Summary!$S$2:$S$201,MATCH($B2101,Summary!$A$2:$A$201,0))</f>
        <v>Silver</v>
      </c>
      <c r="X2101" s="2" t="n">
        <f aca="false">INDEX(Summary!$T$2:$T$201,MATCH($B2101,Summary!$A$2:$A$201,0))</f>
        <v>54.44</v>
      </c>
      <c r="Y2101" s="0" t="str">
        <f aca="false">INDEX('Reward Model'!$E$18:$E$37,MATCH($E2101,'Reward Model'!$A$18:$A$37,0))</f>
        <v>High</v>
      </c>
      <c r="Z2101" s="4" t="n">
        <f aca="false">ROUND(MIN(1,MAX('Reward Model'!$B$2,INDEX('Reward Model'!$C$12:$C$14,MATCH($K2101,'Reward Model'!$A$12:$A$14,0))/$J2101)),3)</f>
        <v>1</v>
      </c>
      <c r="AA2101" s="2" t="n">
        <f aca="false">IF($I2101="Correct",ROUND(INDEX('Reward Model'!$B$12:$B$14,MATCH($K2101,'Reward Model'!$A$12:$A$14,0))*Z2101,2),0)</f>
        <v>0</v>
      </c>
      <c r="AB2101" s="2" t="n">
        <f aca="false">IF($I2101="Correct",ROUND(INDEX('Reward Model'!$B$12:$B$14,MATCH($Y2101,'Reward Model'!$A$12:$A$14,0))*Z2101,2),0)</f>
        <v>0</v>
      </c>
    </row>
    <row r="2102" customFormat="false" ht="15" hidden="false" customHeight="false" outlineLevel="0" collapsed="false">
      <c r="A2102" s="0" t="s">
        <v>342</v>
      </c>
      <c r="B2102" s="0" t="s">
        <v>343</v>
      </c>
      <c r="C2102" s="0" t="s">
        <v>322</v>
      </c>
      <c r="D2102" s="0" t="s">
        <v>31</v>
      </c>
      <c r="E2102" s="0" t="n">
        <v>1</v>
      </c>
      <c r="F2102" s="0" t="s">
        <v>32</v>
      </c>
      <c r="G2102" s="0" t="s">
        <v>33</v>
      </c>
      <c r="H2102" s="0" t="s">
        <v>33</v>
      </c>
      <c r="I2102" s="0" t="s">
        <v>34</v>
      </c>
      <c r="J2102" s="0" t="n">
        <v>1.42</v>
      </c>
      <c r="K2102" s="0" t="s">
        <v>35</v>
      </c>
      <c r="L2102" s="0" t="n">
        <f aca="false">INDEX(Summary!$F$2:$F$201,MATCH($B2102,Summary!$A$2:$A$201,0))</f>
        <v>20</v>
      </c>
      <c r="M2102" s="0" t="n">
        <f aca="false">INDEX(Summary!$I$2:$I$201,MATCH($B2102,Summary!$A$2:$A$201,0))</f>
        <v>1</v>
      </c>
      <c r="N2102" s="0" t="n">
        <f aca="false">INDEX(Summary!$J$2:$J$201,MATCH($B2102,Summary!$A$2:$A$201,0))</f>
        <v>4</v>
      </c>
      <c r="O2102" s="2" t="n">
        <f aca="false">INDEX(Summary!$K$2:$K$201,MATCH($B2102,Summary!$A$2:$A$201,0))</f>
        <v>10.98</v>
      </c>
      <c r="P2102" s="3" t="n">
        <f aca="false">INDEX(Summary!$L$2:$L$201,MATCH($B2102,Summary!$A$2:$A$201,0))</f>
        <v>1</v>
      </c>
      <c r="Q2102" s="3" t="n">
        <f aca="false">INDEX(Summary!$M$2:$M$201,MATCH($B2102,Summary!$A$2:$A$201,0))</f>
        <v>5</v>
      </c>
      <c r="R2102" s="2" t="n">
        <f aca="false">INDEX(Summary!$N$2:$N$201,MATCH($B2102,Summary!$A$2:$A$201,0))</f>
        <v>10.02</v>
      </c>
      <c r="S2102" s="3" t="n">
        <f aca="false">INDEX(Summary!$O$2:$O$201,MATCH($B2102,Summary!$A$2:$A$201,0))</f>
        <v>6</v>
      </c>
      <c r="T2102" s="3" t="n">
        <f aca="false">INDEX(Summary!$P$2:$P$201,MATCH($B2102,Summary!$A$2:$A$201,0))</f>
        <v>3</v>
      </c>
      <c r="U2102" s="2" t="n">
        <f aca="false">INDEX(Summary!$Q$2:$Q$201,MATCH($B2102,Summary!$A$2:$A$201,0))</f>
        <v>13.14</v>
      </c>
      <c r="V2102" s="2" t="n">
        <f aca="false">INDEX(Summary!$R$2:$R$201,MATCH($B2102,Summary!$A$2:$A$201,0))</f>
        <v>11.83</v>
      </c>
      <c r="W2102" s="0" t="str">
        <f aca="false">INDEX(Summary!$S$2:$S$201,MATCH($B2102,Summary!$A$2:$A$201,0))</f>
        <v>Bronze</v>
      </c>
      <c r="X2102" s="2" t="n">
        <f aca="false">INDEX(Summary!$T$2:$T$201,MATCH($B2102,Summary!$A$2:$A$201,0))</f>
        <v>28.85</v>
      </c>
      <c r="Y2102" s="0" t="str">
        <f aca="false">INDEX('Reward Model'!$E$18:$E$37,MATCH($E2102,'Reward Model'!$A$18:$A$37,0))</f>
        <v>Medium</v>
      </c>
      <c r="Z2102" s="4" t="n">
        <f aca="false">ROUND(MIN(1,MAX('Reward Model'!$B$2,INDEX('Reward Model'!$C$12:$C$14,MATCH($K2102,'Reward Model'!$A$12:$A$14,0))/$J2102)),3)</f>
        <v>1</v>
      </c>
      <c r="AA2102" s="2" t="n">
        <f aca="false">IF($I2102="Correct",ROUND(INDEX('Reward Model'!$B$12:$B$14,MATCH($K2102,'Reward Model'!$A$12:$A$14,0))*Z2102,2),0)</f>
        <v>1</v>
      </c>
      <c r="AB2102" s="2" t="n">
        <f aca="false">IF($I2102="Correct",ROUND(INDEX('Reward Model'!$B$12:$B$14,MATCH($Y2102,'Reward Model'!$A$12:$A$14,0))*Z2102,2),0)</f>
        <v>2</v>
      </c>
    </row>
    <row r="2103" customFormat="false" ht="15" hidden="false" customHeight="false" outlineLevel="0" collapsed="false">
      <c r="A2103" s="0" t="s">
        <v>342</v>
      </c>
      <c r="B2103" s="0" t="s">
        <v>343</v>
      </c>
      <c r="C2103" s="0" t="s">
        <v>322</v>
      </c>
      <c r="D2103" s="0" t="s">
        <v>31</v>
      </c>
      <c r="E2103" s="0" t="n">
        <v>2</v>
      </c>
      <c r="F2103" s="0" t="s">
        <v>36</v>
      </c>
      <c r="G2103" s="0" t="s">
        <v>38</v>
      </c>
      <c r="H2103" s="0" t="s">
        <v>38</v>
      </c>
      <c r="I2103" s="0" t="s">
        <v>34</v>
      </c>
      <c r="J2103" s="0" t="n">
        <v>1.79</v>
      </c>
      <c r="K2103" s="0" t="s">
        <v>35</v>
      </c>
      <c r="L2103" s="0" t="n">
        <f aca="false">INDEX(Summary!$F$2:$F$201,MATCH($B2103,Summary!$A$2:$A$201,0))</f>
        <v>20</v>
      </c>
      <c r="M2103" s="0" t="n">
        <f aca="false">INDEX(Summary!$I$2:$I$201,MATCH($B2103,Summary!$A$2:$A$201,0))</f>
        <v>1</v>
      </c>
      <c r="N2103" s="0" t="n">
        <f aca="false">INDEX(Summary!$J$2:$J$201,MATCH($B2103,Summary!$A$2:$A$201,0))</f>
        <v>4</v>
      </c>
      <c r="O2103" s="2" t="n">
        <f aca="false">INDEX(Summary!$K$2:$K$201,MATCH($B2103,Summary!$A$2:$A$201,0))</f>
        <v>10.98</v>
      </c>
      <c r="P2103" s="3" t="n">
        <f aca="false">INDEX(Summary!$L$2:$L$201,MATCH($B2103,Summary!$A$2:$A$201,0))</f>
        <v>1</v>
      </c>
      <c r="Q2103" s="3" t="n">
        <f aca="false">INDEX(Summary!$M$2:$M$201,MATCH($B2103,Summary!$A$2:$A$201,0))</f>
        <v>5</v>
      </c>
      <c r="R2103" s="2" t="n">
        <f aca="false">INDEX(Summary!$N$2:$N$201,MATCH($B2103,Summary!$A$2:$A$201,0))</f>
        <v>10.02</v>
      </c>
      <c r="S2103" s="3" t="n">
        <f aca="false">INDEX(Summary!$O$2:$O$201,MATCH($B2103,Summary!$A$2:$A$201,0))</f>
        <v>6</v>
      </c>
      <c r="T2103" s="3" t="n">
        <f aca="false">INDEX(Summary!$P$2:$P$201,MATCH($B2103,Summary!$A$2:$A$201,0))</f>
        <v>3</v>
      </c>
      <c r="U2103" s="2" t="n">
        <f aca="false">INDEX(Summary!$Q$2:$Q$201,MATCH($B2103,Summary!$A$2:$A$201,0))</f>
        <v>13.14</v>
      </c>
      <c r="V2103" s="2" t="n">
        <f aca="false">INDEX(Summary!$R$2:$R$201,MATCH($B2103,Summary!$A$2:$A$201,0))</f>
        <v>11.83</v>
      </c>
      <c r="W2103" s="0" t="str">
        <f aca="false">INDEX(Summary!$S$2:$S$201,MATCH($B2103,Summary!$A$2:$A$201,0))</f>
        <v>Bronze</v>
      </c>
      <c r="X2103" s="2" t="n">
        <f aca="false">INDEX(Summary!$T$2:$T$201,MATCH($B2103,Summary!$A$2:$A$201,0))</f>
        <v>28.85</v>
      </c>
      <c r="Y2103" s="0" t="str">
        <f aca="false">INDEX('Reward Model'!$E$18:$E$37,MATCH($E2103,'Reward Model'!$A$18:$A$37,0))</f>
        <v>Low</v>
      </c>
      <c r="Z2103" s="4" t="n">
        <f aca="false">ROUND(MIN(1,MAX('Reward Model'!$B$2,INDEX('Reward Model'!$C$12:$C$14,MATCH($K2103,'Reward Model'!$A$12:$A$14,0))/$J2103)),3)</f>
        <v>0.838</v>
      </c>
      <c r="AA2103" s="2" t="n">
        <f aca="false">IF($I2103="Correct",ROUND(INDEX('Reward Model'!$B$12:$B$14,MATCH($K2103,'Reward Model'!$A$12:$A$14,0))*Z2103,2),0)</f>
        <v>0.84</v>
      </c>
      <c r="AB2103" s="2" t="n">
        <f aca="false">IF($I2103="Correct",ROUND(INDEX('Reward Model'!$B$12:$B$14,MATCH($Y2103,'Reward Model'!$A$12:$A$14,0))*Z2103,2),0)</f>
        <v>0.84</v>
      </c>
    </row>
    <row r="2104" customFormat="false" ht="15" hidden="false" customHeight="false" outlineLevel="0" collapsed="false">
      <c r="A2104" s="0" t="s">
        <v>342</v>
      </c>
      <c r="B2104" s="0" t="s">
        <v>343</v>
      </c>
      <c r="C2104" s="0" t="s">
        <v>322</v>
      </c>
      <c r="D2104" s="0" t="s">
        <v>31</v>
      </c>
      <c r="E2104" s="0" t="n">
        <v>3</v>
      </c>
      <c r="F2104" s="0" t="s">
        <v>40</v>
      </c>
      <c r="G2104" s="0" t="s">
        <v>41</v>
      </c>
      <c r="H2104" s="0" t="s">
        <v>42</v>
      </c>
      <c r="I2104" s="0" t="s">
        <v>39</v>
      </c>
      <c r="J2104" s="0" t="n">
        <v>1.4</v>
      </c>
      <c r="K2104" s="0" t="s">
        <v>35</v>
      </c>
      <c r="L2104" s="0" t="n">
        <f aca="false">INDEX(Summary!$F$2:$F$201,MATCH($B2104,Summary!$A$2:$A$201,0))</f>
        <v>20</v>
      </c>
      <c r="M2104" s="0" t="n">
        <f aca="false">INDEX(Summary!$I$2:$I$201,MATCH($B2104,Summary!$A$2:$A$201,0))</f>
        <v>1</v>
      </c>
      <c r="N2104" s="0" t="n">
        <f aca="false">INDEX(Summary!$J$2:$J$201,MATCH($B2104,Summary!$A$2:$A$201,0))</f>
        <v>4</v>
      </c>
      <c r="O2104" s="2" t="n">
        <f aca="false">INDEX(Summary!$K$2:$K$201,MATCH($B2104,Summary!$A$2:$A$201,0))</f>
        <v>10.98</v>
      </c>
      <c r="P2104" s="3" t="n">
        <f aca="false">INDEX(Summary!$L$2:$L$201,MATCH($B2104,Summary!$A$2:$A$201,0))</f>
        <v>1</v>
      </c>
      <c r="Q2104" s="3" t="n">
        <f aca="false">INDEX(Summary!$M$2:$M$201,MATCH($B2104,Summary!$A$2:$A$201,0))</f>
        <v>5</v>
      </c>
      <c r="R2104" s="2" t="n">
        <f aca="false">INDEX(Summary!$N$2:$N$201,MATCH($B2104,Summary!$A$2:$A$201,0))</f>
        <v>10.02</v>
      </c>
      <c r="S2104" s="3" t="n">
        <f aca="false">INDEX(Summary!$O$2:$O$201,MATCH($B2104,Summary!$A$2:$A$201,0))</f>
        <v>6</v>
      </c>
      <c r="T2104" s="3" t="n">
        <f aca="false">INDEX(Summary!$P$2:$P$201,MATCH($B2104,Summary!$A$2:$A$201,0))</f>
        <v>3</v>
      </c>
      <c r="U2104" s="2" t="n">
        <f aca="false">INDEX(Summary!$Q$2:$Q$201,MATCH($B2104,Summary!$A$2:$A$201,0))</f>
        <v>13.14</v>
      </c>
      <c r="V2104" s="2" t="n">
        <f aca="false">INDEX(Summary!$R$2:$R$201,MATCH($B2104,Summary!$A$2:$A$201,0))</f>
        <v>11.83</v>
      </c>
      <c r="W2104" s="0" t="str">
        <f aca="false">INDEX(Summary!$S$2:$S$201,MATCH($B2104,Summary!$A$2:$A$201,0))</f>
        <v>Bronze</v>
      </c>
      <c r="X2104" s="2" t="n">
        <f aca="false">INDEX(Summary!$T$2:$T$201,MATCH($B2104,Summary!$A$2:$A$201,0))</f>
        <v>28.85</v>
      </c>
      <c r="Y2104" s="0" t="str">
        <f aca="false">INDEX('Reward Model'!$E$18:$E$37,MATCH($E2104,'Reward Model'!$A$18:$A$37,0))</f>
        <v>Medium</v>
      </c>
      <c r="Z2104" s="4" t="n">
        <f aca="false">ROUND(MIN(1,MAX('Reward Model'!$B$2,INDEX('Reward Model'!$C$12:$C$14,MATCH($K2104,'Reward Model'!$A$12:$A$14,0))/$J2104)),3)</f>
        <v>1</v>
      </c>
      <c r="AA2104" s="2" t="n">
        <f aca="false">IF($I2104="Correct",ROUND(INDEX('Reward Model'!$B$12:$B$14,MATCH($K2104,'Reward Model'!$A$12:$A$14,0))*Z2104,2),0)</f>
        <v>0</v>
      </c>
      <c r="AB2104" s="2" t="n">
        <f aca="false">IF($I2104="Correct",ROUND(INDEX('Reward Model'!$B$12:$B$14,MATCH($Y2104,'Reward Model'!$A$12:$A$14,0))*Z2104,2),0)</f>
        <v>0</v>
      </c>
    </row>
    <row r="2105" customFormat="false" ht="15" hidden="false" customHeight="false" outlineLevel="0" collapsed="false">
      <c r="A2105" s="0" t="s">
        <v>342</v>
      </c>
      <c r="B2105" s="0" t="s">
        <v>343</v>
      </c>
      <c r="C2105" s="0" t="s">
        <v>322</v>
      </c>
      <c r="D2105" s="0" t="s">
        <v>31</v>
      </c>
      <c r="E2105" s="0" t="n">
        <v>4</v>
      </c>
      <c r="F2105" s="0" t="s">
        <v>43</v>
      </c>
      <c r="G2105" s="0" t="s">
        <v>45</v>
      </c>
      <c r="H2105" s="0" t="s">
        <v>45</v>
      </c>
      <c r="I2105" s="0" t="s">
        <v>34</v>
      </c>
      <c r="J2105" s="0" t="n">
        <v>1.31</v>
      </c>
      <c r="K2105" s="0" t="s">
        <v>35</v>
      </c>
      <c r="L2105" s="0" t="n">
        <f aca="false">INDEX(Summary!$F$2:$F$201,MATCH($B2105,Summary!$A$2:$A$201,0))</f>
        <v>20</v>
      </c>
      <c r="M2105" s="0" t="n">
        <f aca="false">INDEX(Summary!$I$2:$I$201,MATCH($B2105,Summary!$A$2:$A$201,0))</f>
        <v>1</v>
      </c>
      <c r="N2105" s="0" t="n">
        <f aca="false">INDEX(Summary!$J$2:$J$201,MATCH($B2105,Summary!$A$2:$A$201,0))</f>
        <v>4</v>
      </c>
      <c r="O2105" s="2" t="n">
        <f aca="false">INDEX(Summary!$K$2:$K$201,MATCH($B2105,Summary!$A$2:$A$201,0))</f>
        <v>10.98</v>
      </c>
      <c r="P2105" s="3" t="n">
        <f aca="false">INDEX(Summary!$L$2:$L$201,MATCH($B2105,Summary!$A$2:$A$201,0))</f>
        <v>1</v>
      </c>
      <c r="Q2105" s="3" t="n">
        <f aca="false">INDEX(Summary!$M$2:$M$201,MATCH($B2105,Summary!$A$2:$A$201,0))</f>
        <v>5</v>
      </c>
      <c r="R2105" s="2" t="n">
        <f aca="false">INDEX(Summary!$N$2:$N$201,MATCH($B2105,Summary!$A$2:$A$201,0))</f>
        <v>10.02</v>
      </c>
      <c r="S2105" s="3" t="n">
        <f aca="false">INDEX(Summary!$O$2:$O$201,MATCH($B2105,Summary!$A$2:$A$201,0))</f>
        <v>6</v>
      </c>
      <c r="T2105" s="3" t="n">
        <f aca="false">INDEX(Summary!$P$2:$P$201,MATCH($B2105,Summary!$A$2:$A$201,0))</f>
        <v>3</v>
      </c>
      <c r="U2105" s="2" t="n">
        <f aca="false">INDEX(Summary!$Q$2:$Q$201,MATCH($B2105,Summary!$A$2:$A$201,0))</f>
        <v>13.14</v>
      </c>
      <c r="V2105" s="2" t="n">
        <f aca="false">INDEX(Summary!$R$2:$R$201,MATCH($B2105,Summary!$A$2:$A$201,0))</f>
        <v>11.83</v>
      </c>
      <c r="W2105" s="0" t="str">
        <f aca="false">INDEX(Summary!$S$2:$S$201,MATCH($B2105,Summary!$A$2:$A$201,0))</f>
        <v>Bronze</v>
      </c>
      <c r="X2105" s="2" t="n">
        <f aca="false">INDEX(Summary!$T$2:$T$201,MATCH($B2105,Summary!$A$2:$A$201,0))</f>
        <v>28.85</v>
      </c>
      <c r="Y2105" s="0" t="str">
        <f aca="false">INDEX('Reward Model'!$E$18:$E$37,MATCH($E2105,'Reward Model'!$A$18:$A$37,0))</f>
        <v>Low</v>
      </c>
      <c r="Z2105" s="4" t="n">
        <f aca="false">ROUND(MIN(1,MAX('Reward Model'!$B$2,INDEX('Reward Model'!$C$12:$C$14,MATCH($K2105,'Reward Model'!$A$12:$A$14,0))/$J2105)),3)</f>
        <v>1</v>
      </c>
      <c r="AA2105" s="2" t="n">
        <f aca="false">IF($I2105="Correct",ROUND(INDEX('Reward Model'!$B$12:$B$14,MATCH($K2105,'Reward Model'!$A$12:$A$14,0))*Z2105,2),0)</f>
        <v>1</v>
      </c>
      <c r="AB2105" s="2" t="n">
        <f aca="false">IF($I2105="Correct",ROUND(INDEX('Reward Model'!$B$12:$B$14,MATCH($Y2105,'Reward Model'!$A$12:$A$14,0))*Z2105,2),0)</f>
        <v>1</v>
      </c>
    </row>
    <row r="2106" customFormat="false" ht="15" hidden="false" customHeight="false" outlineLevel="0" collapsed="false">
      <c r="A2106" s="0" t="s">
        <v>342</v>
      </c>
      <c r="B2106" s="0" t="s">
        <v>343</v>
      </c>
      <c r="C2106" s="0" t="s">
        <v>322</v>
      </c>
      <c r="D2106" s="0" t="s">
        <v>31</v>
      </c>
      <c r="E2106" s="0" t="n">
        <v>5</v>
      </c>
      <c r="F2106" s="0" t="s">
        <v>46</v>
      </c>
      <c r="G2106" s="0" t="s">
        <v>47</v>
      </c>
      <c r="H2106" s="0" t="s">
        <v>47</v>
      </c>
      <c r="I2106" s="0" t="s">
        <v>34</v>
      </c>
      <c r="J2106" s="0" t="n">
        <v>1.83</v>
      </c>
      <c r="K2106" s="0" t="s">
        <v>35</v>
      </c>
      <c r="L2106" s="0" t="n">
        <f aca="false">INDEX(Summary!$F$2:$F$201,MATCH($B2106,Summary!$A$2:$A$201,0))</f>
        <v>20</v>
      </c>
      <c r="M2106" s="0" t="n">
        <f aca="false">INDEX(Summary!$I$2:$I$201,MATCH($B2106,Summary!$A$2:$A$201,0))</f>
        <v>1</v>
      </c>
      <c r="N2106" s="0" t="n">
        <f aca="false">INDEX(Summary!$J$2:$J$201,MATCH($B2106,Summary!$A$2:$A$201,0))</f>
        <v>4</v>
      </c>
      <c r="O2106" s="2" t="n">
        <f aca="false">INDEX(Summary!$K$2:$K$201,MATCH($B2106,Summary!$A$2:$A$201,0))</f>
        <v>10.98</v>
      </c>
      <c r="P2106" s="3" t="n">
        <f aca="false">INDEX(Summary!$L$2:$L$201,MATCH($B2106,Summary!$A$2:$A$201,0))</f>
        <v>1</v>
      </c>
      <c r="Q2106" s="3" t="n">
        <f aca="false">INDEX(Summary!$M$2:$M$201,MATCH($B2106,Summary!$A$2:$A$201,0))</f>
        <v>5</v>
      </c>
      <c r="R2106" s="2" t="n">
        <f aca="false">INDEX(Summary!$N$2:$N$201,MATCH($B2106,Summary!$A$2:$A$201,0))</f>
        <v>10.02</v>
      </c>
      <c r="S2106" s="3" t="n">
        <f aca="false">INDEX(Summary!$O$2:$O$201,MATCH($B2106,Summary!$A$2:$A$201,0))</f>
        <v>6</v>
      </c>
      <c r="T2106" s="3" t="n">
        <f aca="false">INDEX(Summary!$P$2:$P$201,MATCH($B2106,Summary!$A$2:$A$201,0))</f>
        <v>3</v>
      </c>
      <c r="U2106" s="2" t="n">
        <f aca="false">INDEX(Summary!$Q$2:$Q$201,MATCH($B2106,Summary!$A$2:$A$201,0))</f>
        <v>13.14</v>
      </c>
      <c r="V2106" s="2" t="n">
        <f aca="false">INDEX(Summary!$R$2:$R$201,MATCH($B2106,Summary!$A$2:$A$201,0))</f>
        <v>11.83</v>
      </c>
      <c r="W2106" s="0" t="str">
        <f aca="false">INDEX(Summary!$S$2:$S$201,MATCH($B2106,Summary!$A$2:$A$201,0))</f>
        <v>Bronze</v>
      </c>
      <c r="X2106" s="2" t="n">
        <f aca="false">INDEX(Summary!$T$2:$T$201,MATCH($B2106,Summary!$A$2:$A$201,0))</f>
        <v>28.85</v>
      </c>
      <c r="Y2106" s="0" t="str">
        <f aca="false">INDEX('Reward Model'!$E$18:$E$37,MATCH($E2106,'Reward Model'!$A$18:$A$37,0))</f>
        <v>Low</v>
      </c>
      <c r="Z2106" s="4" t="n">
        <f aca="false">ROUND(MIN(1,MAX('Reward Model'!$B$2,INDEX('Reward Model'!$C$12:$C$14,MATCH($K2106,'Reward Model'!$A$12:$A$14,0))/$J2106)),3)</f>
        <v>0.82</v>
      </c>
      <c r="AA2106" s="2" t="n">
        <f aca="false">IF($I2106="Correct",ROUND(INDEX('Reward Model'!$B$12:$B$14,MATCH($K2106,'Reward Model'!$A$12:$A$14,0))*Z2106,2),0)</f>
        <v>0.82</v>
      </c>
      <c r="AB2106" s="2" t="n">
        <f aca="false">IF($I2106="Correct",ROUND(INDEX('Reward Model'!$B$12:$B$14,MATCH($Y2106,'Reward Model'!$A$12:$A$14,0))*Z2106,2),0)</f>
        <v>0.82</v>
      </c>
    </row>
    <row r="2107" customFormat="false" ht="15" hidden="false" customHeight="false" outlineLevel="0" collapsed="false">
      <c r="A2107" s="0" t="s">
        <v>342</v>
      </c>
      <c r="B2107" s="0" t="s">
        <v>343</v>
      </c>
      <c r="C2107" s="0" t="s">
        <v>322</v>
      </c>
      <c r="D2107" s="0" t="s">
        <v>31</v>
      </c>
      <c r="E2107" s="0" t="n">
        <v>6</v>
      </c>
      <c r="F2107" s="0" t="s">
        <v>48</v>
      </c>
      <c r="G2107" s="0" t="s">
        <v>169</v>
      </c>
      <c r="H2107" s="0" t="s">
        <v>49</v>
      </c>
      <c r="I2107" s="0" t="s">
        <v>39</v>
      </c>
      <c r="J2107" s="0" t="n">
        <v>1.18</v>
      </c>
      <c r="K2107" s="0" t="s">
        <v>35</v>
      </c>
      <c r="L2107" s="0" t="n">
        <f aca="false">INDEX(Summary!$F$2:$F$201,MATCH($B2107,Summary!$A$2:$A$201,0))</f>
        <v>20</v>
      </c>
      <c r="M2107" s="0" t="n">
        <f aca="false">INDEX(Summary!$I$2:$I$201,MATCH($B2107,Summary!$A$2:$A$201,0))</f>
        <v>1</v>
      </c>
      <c r="N2107" s="0" t="n">
        <f aca="false">INDEX(Summary!$J$2:$J$201,MATCH($B2107,Summary!$A$2:$A$201,0))</f>
        <v>4</v>
      </c>
      <c r="O2107" s="2" t="n">
        <f aca="false">INDEX(Summary!$K$2:$K$201,MATCH($B2107,Summary!$A$2:$A$201,0))</f>
        <v>10.98</v>
      </c>
      <c r="P2107" s="3" t="n">
        <f aca="false">INDEX(Summary!$L$2:$L$201,MATCH($B2107,Summary!$A$2:$A$201,0))</f>
        <v>1</v>
      </c>
      <c r="Q2107" s="3" t="n">
        <f aca="false">INDEX(Summary!$M$2:$M$201,MATCH($B2107,Summary!$A$2:$A$201,0))</f>
        <v>5</v>
      </c>
      <c r="R2107" s="2" t="n">
        <f aca="false">INDEX(Summary!$N$2:$N$201,MATCH($B2107,Summary!$A$2:$A$201,0))</f>
        <v>10.02</v>
      </c>
      <c r="S2107" s="3" t="n">
        <f aca="false">INDEX(Summary!$O$2:$O$201,MATCH($B2107,Summary!$A$2:$A$201,0))</f>
        <v>6</v>
      </c>
      <c r="T2107" s="3" t="n">
        <f aca="false">INDEX(Summary!$P$2:$P$201,MATCH($B2107,Summary!$A$2:$A$201,0))</f>
        <v>3</v>
      </c>
      <c r="U2107" s="2" t="n">
        <f aca="false">INDEX(Summary!$Q$2:$Q$201,MATCH($B2107,Summary!$A$2:$A$201,0))</f>
        <v>13.14</v>
      </c>
      <c r="V2107" s="2" t="n">
        <f aca="false">INDEX(Summary!$R$2:$R$201,MATCH($B2107,Summary!$A$2:$A$201,0))</f>
        <v>11.83</v>
      </c>
      <c r="W2107" s="0" t="str">
        <f aca="false">INDEX(Summary!$S$2:$S$201,MATCH($B2107,Summary!$A$2:$A$201,0))</f>
        <v>Bronze</v>
      </c>
      <c r="X2107" s="2" t="n">
        <f aca="false">INDEX(Summary!$T$2:$T$201,MATCH($B2107,Summary!$A$2:$A$201,0))</f>
        <v>28.85</v>
      </c>
      <c r="Y2107" s="0" t="str">
        <f aca="false">INDEX('Reward Model'!$E$18:$E$37,MATCH($E2107,'Reward Model'!$A$18:$A$37,0))</f>
        <v>Medium</v>
      </c>
      <c r="Z2107" s="4" t="n">
        <f aca="false">ROUND(MIN(1,MAX('Reward Model'!$B$2,INDEX('Reward Model'!$C$12:$C$14,MATCH($K2107,'Reward Model'!$A$12:$A$14,0))/$J2107)),3)</f>
        <v>1</v>
      </c>
      <c r="AA2107" s="2" t="n">
        <f aca="false">IF($I2107="Correct",ROUND(INDEX('Reward Model'!$B$12:$B$14,MATCH($K2107,'Reward Model'!$A$12:$A$14,0))*Z2107,2),0)</f>
        <v>0</v>
      </c>
      <c r="AB2107" s="2" t="n">
        <f aca="false">IF($I2107="Correct",ROUND(INDEX('Reward Model'!$B$12:$B$14,MATCH($Y2107,'Reward Model'!$A$12:$A$14,0))*Z2107,2),0)</f>
        <v>0</v>
      </c>
    </row>
    <row r="2108" customFormat="false" ht="15" hidden="false" customHeight="false" outlineLevel="0" collapsed="false">
      <c r="A2108" s="0" t="s">
        <v>342</v>
      </c>
      <c r="B2108" s="0" t="s">
        <v>343</v>
      </c>
      <c r="C2108" s="0" t="s">
        <v>322</v>
      </c>
      <c r="D2108" s="0" t="s">
        <v>31</v>
      </c>
      <c r="E2108" s="0" t="n">
        <v>7</v>
      </c>
      <c r="F2108" s="0" t="s">
        <v>50</v>
      </c>
      <c r="G2108" s="0" t="s">
        <v>51</v>
      </c>
      <c r="H2108" s="0" t="s">
        <v>51</v>
      </c>
      <c r="I2108" s="0" t="s">
        <v>34</v>
      </c>
      <c r="J2108" s="0" t="n">
        <v>1.32</v>
      </c>
      <c r="K2108" s="0" t="s">
        <v>35</v>
      </c>
      <c r="L2108" s="0" t="n">
        <f aca="false">INDEX(Summary!$F$2:$F$201,MATCH($B2108,Summary!$A$2:$A$201,0))</f>
        <v>20</v>
      </c>
      <c r="M2108" s="0" t="n">
        <f aca="false">INDEX(Summary!$I$2:$I$201,MATCH($B2108,Summary!$A$2:$A$201,0))</f>
        <v>1</v>
      </c>
      <c r="N2108" s="0" t="n">
        <f aca="false">INDEX(Summary!$J$2:$J$201,MATCH($B2108,Summary!$A$2:$A$201,0))</f>
        <v>4</v>
      </c>
      <c r="O2108" s="2" t="n">
        <f aca="false">INDEX(Summary!$K$2:$K$201,MATCH($B2108,Summary!$A$2:$A$201,0))</f>
        <v>10.98</v>
      </c>
      <c r="P2108" s="3" t="n">
        <f aca="false">INDEX(Summary!$L$2:$L$201,MATCH($B2108,Summary!$A$2:$A$201,0))</f>
        <v>1</v>
      </c>
      <c r="Q2108" s="3" t="n">
        <f aca="false">INDEX(Summary!$M$2:$M$201,MATCH($B2108,Summary!$A$2:$A$201,0))</f>
        <v>5</v>
      </c>
      <c r="R2108" s="2" t="n">
        <f aca="false">INDEX(Summary!$N$2:$N$201,MATCH($B2108,Summary!$A$2:$A$201,0))</f>
        <v>10.02</v>
      </c>
      <c r="S2108" s="3" t="n">
        <f aca="false">INDEX(Summary!$O$2:$O$201,MATCH($B2108,Summary!$A$2:$A$201,0))</f>
        <v>6</v>
      </c>
      <c r="T2108" s="3" t="n">
        <f aca="false">INDEX(Summary!$P$2:$P$201,MATCH($B2108,Summary!$A$2:$A$201,0))</f>
        <v>3</v>
      </c>
      <c r="U2108" s="2" t="n">
        <f aca="false">INDEX(Summary!$Q$2:$Q$201,MATCH($B2108,Summary!$A$2:$A$201,0))</f>
        <v>13.14</v>
      </c>
      <c r="V2108" s="2" t="n">
        <f aca="false">INDEX(Summary!$R$2:$R$201,MATCH($B2108,Summary!$A$2:$A$201,0))</f>
        <v>11.83</v>
      </c>
      <c r="W2108" s="0" t="str">
        <f aca="false">INDEX(Summary!$S$2:$S$201,MATCH($B2108,Summary!$A$2:$A$201,0))</f>
        <v>Bronze</v>
      </c>
      <c r="X2108" s="2" t="n">
        <f aca="false">INDEX(Summary!$T$2:$T$201,MATCH($B2108,Summary!$A$2:$A$201,0))</f>
        <v>28.85</v>
      </c>
      <c r="Y2108" s="0" t="str">
        <f aca="false">INDEX('Reward Model'!$E$18:$E$37,MATCH($E2108,'Reward Model'!$A$18:$A$37,0))</f>
        <v>Low</v>
      </c>
      <c r="Z2108" s="4" t="n">
        <f aca="false">ROUND(MIN(1,MAX('Reward Model'!$B$2,INDEX('Reward Model'!$C$12:$C$14,MATCH($K2108,'Reward Model'!$A$12:$A$14,0))/$J2108)),3)</f>
        <v>1</v>
      </c>
      <c r="AA2108" s="2" t="n">
        <f aca="false">IF($I2108="Correct",ROUND(INDEX('Reward Model'!$B$12:$B$14,MATCH($K2108,'Reward Model'!$A$12:$A$14,0))*Z2108,2),0)</f>
        <v>1</v>
      </c>
      <c r="AB2108" s="2" t="n">
        <f aca="false">IF($I2108="Correct",ROUND(INDEX('Reward Model'!$B$12:$B$14,MATCH($Y2108,'Reward Model'!$A$12:$A$14,0))*Z2108,2),0)</f>
        <v>1</v>
      </c>
    </row>
    <row r="2109" customFormat="false" ht="15" hidden="false" customHeight="false" outlineLevel="0" collapsed="false">
      <c r="A2109" s="0" t="s">
        <v>342</v>
      </c>
      <c r="B2109" s="0" t="s">
        <v>343</v>
      </c>
      <c r="C2109" s="0" t="s">
        <v>322</v>
      </c>
      <c r="D2109" s="0" t="s">
        <v>31</v>
      </c>
      <c r="E2109" s="0" t="n">
        <v>8</v>
      </c>
      <c r="F2109" s="0" t="s">
        <v>52</v>
      </c>
      <c r="G2109" s="0" t="s">
        <v>54</v>
      </c>
      <c r="H2109" s="0" t="s">
        <v>54</v>
      </c>
      <c r="I2109" s="0" t="s">
        <v>34</v>
      </c>
      <c r="J2109" s="0" t="n">
        <v>1.04</v>
      </c>
      <c r="K2109" s="0" t="s">
        <v>35</v>
      </c>
      <c r="L2109" s="0" t="n">
        <f aca="false">INDEX(Summary!$F$2:$F$201,MATCH($B2109,Summary!$A$2:$A$201,0))</f>
        <v>20</v>
      </c>
      <c r="M2109" s="0" t="n">
        <f aca="false">INDEX(Summary!$I$2:$I$201,MATCH($B2109,Summary!$A$2:$A$201,0))</f>
        <v>1</v>
      </c>
      <c r="N2109" s="0" t="n">
        <f aca="false">INDEX(Summary!$J$2:$J$201,MATCH($B2109,Summary!$A$2:$A$201,0))</f>
        <v>4</v>
      </c>
      <c r="O2109" s="2" t="n">
        <f aca="false">INDEX(Summary!$K$2:$K$201,MATCH($B2109,Summary!$A$2:$A$201,0))</f>
        <v>10.98</v>
      </c>
      <c r="P2109" s="3" t="n">
        <f aca="false">INDEX(Summary!$L$2:$L$201,MATCH($B2109,Summary!$A$2:$A$201,0))</f>
        <v>1</v>
      </c>
      <c r="Q2109" s="3" t="n">
        <f aca="false">INDEX(Summary!$M$2:$M$201,MATCH($B2109,Summary!$A$2:$A$201,0))</f>
        <v>5</v>
      </c>
      <c r="R2109" s="2" t="n">
        <f aca="false">INDEX(Summary!$N$2:$N$201,MATCH($B2109,Summary!$A$2:$A$201,0))</f>
        <v>10.02</v>
      </c>
      <c r="S2109" s="3" t="n">
        <f aca="false">INDEX(Summary!$O$2:$O$201,MATCH($B2109,Summary!$A$2:$A$201,0))</f>
        <v>6</v>
      </c>
      <c r="T2109" s="3" t="n">
        <f aca="false">INDEX(Summary!$P$2:$P$201,MATCH($B2109,Summary!$A$2:$A$201,0))</f>
        <v>3</v>
      </c>
      <c r="U2109" s="2" t="n">
        <f aca="false">INDEX(Summary!$Q$2:$Q$201,MATCH($B2109,Summary!$A$2:$A$201,0))</f>
        <v>13.14</v>
      </c>
      <c r="V2109" s="2" t="n">
        <f aca="false">INDEX(Summary!$R$2:$R$201,MATCH($B2109,Summary!$A$2:$A$201,0))</f>
        <v>11.83</v>
      </c>
      <c r="W2109" s="0" t="str">
        <f aca="false">INDEX(Summary!$S$2:$S$201,MATCH($B2109,Summary!$A$2:$A$201,0))</f>
        <v>Bronze</v>
      </c>
      <c r="X2109" s="2" t="n">
        <f aca="false">INDEX(Summary!$T$2:$T$201,MATCH($B2109,Summary!$A$2:$A$201,0))</f>
        <v>28.85</v>
      </c>
      <c r="Y2109" s="0" t="str">
        <f aca="false">INDEX('Reward Model'!$E$18:$E$37,MATCH($E2109,'Reward Model'!$A$18:$A$37,0))</f>
        <v>Medium</v>
      </c>
      <c r="Z2109" s="4" t="n">
        <f aca="false">ROUND(MIN(1,MAX('Reward Model'!$B$2,INDEX('Reward Model'!$C$12:$C$14,MATCH($K2109,'Reward Model'!$A$12:$A$14,0))/$J2109)),3)</f>
        <v>1</v>
      </c>
      <c r="AA2109" s="2" t="n">
        <f aca="false">IF($I2109="Correct",ROUND(INDEX('Reward Model'!$B$12:$B$14,MATCH($K2109,'Reward Model'!$A$12:$A$14,0))*Z2109,2),0)</f>
        <v>1</v>
      </c>
      <c r="AB2109" s="2" t="n">
        <f aca="false">IF($I2109="Correct",ROUND(INDEX('Reward Model'!$B$12:$B$14,MATCH($Y2109,'Reward Model'!$A$12:$A$14,0))*Z2109,2),0)</f>
        <v>2</v>
      </c>
    </row>
    <row r="2110" customFormat="false" ht="15" hidden="false" customHeight="false" outlineLevel="0" collapsed="false">
      <c r="A2110" s="0" t="s">
        <v>342</v>
      </c>
      <c r="B2110" s="0" t="s">
        <v>343</v>
      </c>
      <c r="C2110" s="0" t="s">
        <v>322</v>
      </c>
      <c r="D2110" s="0" t="s">
        <v>31</v>
      </c>
      <c r="E2110" s="0" t="n">
        <v>9</v>
      </c>
      <c r="F2110" s="0" t="s">
        <v>55</v>
      </c>
      <c r="G2110" s="0" t="s">
        <v>56</v>
      </c>
      <c r="H2110" s="0" t="s">
        <v>57</v>
      </c>
      <c r="I2110" s="0" t="s">
        <v>39</v>
      </c>
      <c r="J2110" s="0" t="n">
        <v>1.85</v>
      </c>
      <c r="K2110" s="0" t="s">
        <v>35</v>
      </c>
      <c r="L2110" s="0" t="n">
        <f aca="false">INDEX(Summary!$F$2:$F$201,MATCH($B2110,Summary!$A$2:$A$201,0))</f>
        <v>20</v>
      </c>
      <c r="M2110" s="0" t="n">
        <f aca="false">INDEX(Summary!$I$2:$I$201,MATCH($B2110,Summary!$A$2:$A$201,0))</f>
        <v>1</v>
      </c>
      <c r="N2110" s="0" t="n">
        <f aca="false">INDEX(Summary!$J$2:$J$201,MATCH($B2110,Summary!$A$2:$A$201,0))</f>
        <v>4</v>
      </c>
      <c r="O2110" s="2" t="n">
        <f aca="false">INDEX(Summary!$K$2:$K$201,MATCH($B2110,Summary!$A$2:$A$201,0))</f>
        <v>10.98</v>
      </c>
      <c r="P2110" s="3" t="n">
        <f aca="false">INDEX(Summary!$L$2:$L$201,MATCH($B2110,Summary!$A$2:$A$201,0))</f>
        <v>1</v>
      </c>
      <c r="Q2110" s="3" t="n">
        <f aca="false">INDEX(Summary!$M$2:$M$201,MATCH($B2110,Summary!$A$2:$A$201,0))</f>
        <v>5</v>
      </c>
      <c r="R2110" s="2" t="n">
        <f aca="false">INDEX(Summary!$N$2:$N$201,MATCH($B2110,Summary!$A$2:$A$201,0))</f>
        <v>10.02</v>
      </c>
      <c r="S2110" s="3" t="n">
        <f aca="false">INDEX(Summary!$O$2:$O$201,MATCH($B2110,Summary!$A$2:$A$201,0))</f>
        <v>6</v>
      </c>
      <c r="T2110" s="3" t="n">
        <f aca="false">INDEX(Summary!$P$2:$P$201,MATCH($B2110,Summary!$A$2:$A$201,0))</f>
        <v>3</v>
      </c>
      <c r="U2110" s="2" t="n">
        <f aca="false">INDEX(Summary!$Q$2:$Q$201,MATCH($B2110,Summary!$A$2:$A$201,0))</f>
        <v>13.14</v>
      </c>
      <c r="V2110" s="2" t="n">
        <f aca="false">INDEX(Summary!$R$2:$R$201,MATCH($B2110,Summary!$A$2:$A$201,0))</f>
        <v>11.83</v>
      </c>
      <c r="W2110" s="0" t="str">
        <f aca="false">INDEX(Summary!$S$2:$S$201,MATCH($B2110,Summary!$A$2:$A$201,0))</f>
        <v>Bronze</v>
      </c>
      <c r="X2110" s="2" t="n">
        <f aca="false">INDEX(Summary!$T$2:$T$201,MATCH($B2110,Summary!$A$2:$A$201,0))</f>
        <v>28.85</v>
      </c>
      <c r="Y2110" s="0" t="str">
        <f aca="false">INDEX('Reward Model'!$E$18:$E$37,MATCH($E2110,'Reward Model'!$A$18:$A$37,0))</f>
        <v>Medium</v>
      </c>
      <c r="Z2110" s="4" t="n">
        <f aca="false">ROUND(MIN(1,MAX('Reward Model'!$B$2,INDEX('Reward Model'!$C$12:$C$14,MATCH($K2110,'Reward Model'!$A$12:$A$14,0))/$J2110)),3)</f>
        <v>0.811</v>
      </c>
      <c r="AA2110" s="2" t="n">
        <f aca="false">IF($I2110="Correct",ROUND(INDEX('Reward Model'!$B$12:$B$14,MATCH($K2110,'Reward Model'!$A$12:$A$14,0))*Z2110,2),0)</f>
        <v>0</v>
      </c>
      <c r="AB2110" s="2" t="n">
        <f aca="false">IF($I2110="Correct",ROUND(INDEX('Reward Model'!$B$12:$B$14,MATCH($Y2110,'Reward Model'!$A$12:$A$14,0))*Z2110,2),0)</f>
        <v>0</v>
      </c>
    </row>
    <row r="2111" customFormat="false" ht="15" hidden="false" customHeight="false" outlineLevel="0" collapsed="false">
      <c r="A2111" s="0" t="s">
        <v>342</v>
      </c>
      <c r="B2111" s="0" t="s">
        <v>343</v>
      </c>
      <c r="C2111" s="0" t="s">
        <v>322</v>
      </c>
      <c r="D2111" s="0" t="s">
        <v>31</v>
      </c>
      <c r="E2111" s="0" t="n">
        <v>10</v>
      </c>
      <c r="F2111" s="0" t="s">
        <v>58</v>
      </c>
      <c r="G2111" s="0" t="s">
        <v>138</v>
      </c>
      <c r="H2111" s="0" t="s">
        <v>59</v>
      </c>
      <c r="I2111" s="0" t="s">
        <v>39</v>
      </c>
      <c r="J2111" s="0" t="n">
        <v>1.15</v>
      </c>
      <c r="K2111" s="0" t="s">
        <v>60</v>
      </c>
      <c r="L2111" s="0" t="n">
        <f aca="false">INDEX(Summary!$F$2:$F$201,MATCH($B2111,Summary!$A$2:$A$201,0))</f>
        <v>20</v>
      </c>
      <c r="M2111" s="0" t="n">
        <f aca="false">INDEX(Summary!$I$2:$I$201,MATCH($B2111,Summary!$A$2:$A$201,0))</f>
        <v>1</v>
      </c>
      <c r="N2111" s="0" t="n">
        <f aca="false">INDEX(Summary!$J$2:$J$201,MATCH($B2111,Summary!$A$2:$A$201,0))</f>
        <v>4</v>
      </c>
      <c r="O2111" s="2" t="n">
        <f aca="false">INDEX(Summary!$K$2:$K$201,MATCH($B2111,Summary!$A$2:$A$201,0))</f>
        <v>10.98</v>
      </c>
      <c r="P2111" s="3" t="n">
        <f aca="false">INDEX(Summary!$L$2:$L$201,MATCH($B2111,Summary!$A$2:$A$201,0))</f>
        <v>1</v>
      </c>
      <c r="Q2111" s="3" t="n">
        <f aca="false">INDEX(Summary!$M$2:$M$201,MATCH($B2111,Summary!$A$2:$A$201,0))</f>
        <v>5</v>
      </c>
      <c r="R2111" s="2" t="n">
        <f aca="false">INDEX(Summary!$N$2:$N$201,MATCH($B2111,Summary!$A$2:$A$201,0))</f>
        <v>10.02</v>
      </c>
      <c r="S2111" s="3" t="n">
        <f aca="false">INDEX(Summary!$O$2:$O$201,MATCH($B2111,Summary!$A$2:$A$201,0))</f>
        <v>6</v>
      </c>
      <c r="T2111" s="3" t="n">
        <f aca="false">INDEX(Summary!$P$2:$P$201,MATCH($B2111,Summary!$A$2:$A$201,0))</f>
        <v>3</v>
      </c>
      <c r="U2111" s="2" t="n">
        <f aca="false">INDEX(Summary!$Q$2:$Q$201,MATCH($B2111,Summary!$A$2:$A$201,0))</f>
        <v>13.14</v>
      </c>
      <c r="V2111" s="2" t="n">
        <f aca="false">INDEX(Summary!$R$2:$R$201,MATCH($B2111,Summary!$A$2:$A$201,0))</f>
        <v>11.83</v>
      </c>
      <c r="W2111" s="0" t="str">
        <f aca="false">INDEX(Summary!$S$2:$S$201,MATCH($B2111,Summary!$A$2:$A$201,0))</f>
        <v>Bronze</v>
      </c>
      <c r="X2111" s="2" t="n">
        <f aca="false">INDEX(Summary!$T$2:$T$201,MATCH($B2111,Summary!$A$2:$A$201,0))</f>
        <v>28.85</v>
      </c>
      <c r="Y2111" s="0" t="str">
        <f aca="false">INDEX('Reward Model'!$E$18:$E$37,MATCH($E2111,'Reward Model'!$A$18:$A$37,0))</f>
        <v>Medium</v>
      </c>
      <c r="Z2111" s="4" t="n">
        <f aca="false">ROUND(MIN(1,MAX('Reward Model'!$B$2,INDEX('Reward Model'!$C$12:$C$14,MATCH($K2111,'Reward Model'!$A$12:$A$14,0))/$J2111)),3)</f>
        <v>1</v>
      </c>
      <c r="AA2111" s="2" t="n">
        <f aca="false">IF($I2111="Correct",ROUND(INDEX('Reward Model'!$B$12:$B$14,MATCH($K2111,'Reward Model'!$A$12:$A$14,0))*Z2111,2),0)</f>
        <v>0</v>
      </c>
      <c r="AB2111" s="2" t="n">
        <f aca="false">IF($I2111="Correct",ROUND(INDEX('Reward Model'!$B$12:$B$14,MATCH($Y2111,'Reward Model'!$A$12:$A$14,0))*Z2111,2),0)</f>
        <v>0</v>
      </c>
    </row>
    <row r="2112" customFormat="false" ht="15" hidden="false" customHeight="false" outlineLevel="0" collapsed="false">
      <c r="A2112" s="0" t="s">
        <v>342</v>
      </c>
      <c r="B2112" s="0" t="s">
        <v>343</v>
      </c>
      <c r="C2112" s="0" t="s">
        <v>322</v>
      </c>
      <c r="D2112" s="0" t="s">
        <v>31</v>
      </c>
      <c r="E2112" s="0" t="n">
        <v>11</v>
      </c>
      <c r="F2112" s="0" t="s">
        <v>61</v>
      </c>
      <c r="G2112" s="0" t="s">
        <v>63</v>
      </c>
      <c r="H2112" s="0" t="s">
        <v>63</v>
      </c>
      <c r="I2112" s="0" t="s">
        <v>34</v>
      </c>
      <c r="J2112" s="0" t="n">
        <v>2.14</v>
      </c>
      <c r="K2112" s="0" t="s">
        <v>60</v>
      </c>
      <c r="L2112" s="0" t="n">
        <f aca="false">INDEX(Summary!$F$2:$F$201,MATCH($B2112,Summary!$A$2:$A$201,0))</f>
        <v>20</v>
      </c>
      <c r="M2112" s="0" t="n">
        <f aca="false">INDEX(Summary!$I$2:$I$201,MATCH($B2112,Summary!$A$2:$A$201,0))</f>
        <v>1</v>
      </c>
      <c r="N2112" s="0" t="n">
        <f aca="false">INDEX(Summary!$J$2:$J$201,MATCH($B2112,Summary!$A$2:$A$201,0))</f>
        <v>4</v>
      </c>
      <c r="O2112" s="2" t="n">
        <f aca="false">INDEX(Summary!$K$2:$K$201,MATCH($B2112,Summary!$A$2:$A$201,0))</f>
        <v>10.98</v>
      </c>
      <c r="P2112" s="3" t="n">
        <f aca="false">INDEX(Summary!$L$2:$L$201,MATCH($B2112,Summary!$A$2:$A$201,0))</f>
        <v>1</v>
      </c>
      <c r="Q2112" s="3" t="n">
        <f aca="false">INDEX(Summary!$M$2:$M$201,MATCH($B2112,Summary!$A$2:$A$201,0))</f>
        <v>5</v>
      </c>
      <c r="R2112" s="2" t="n">
        <f aca="false">INDEX(Summary!$N$2:$N$201,MATCH($B2112,Summary!$A$2:$A$201,0))</f>
        <v>10.02</v>
      </c>
      <c r="S2112" s="3" t="n">
        <f aca="false">INDEX(Summary!$O$2:$O$201,MATCH($B2112,Summary!$A$2:$A$201,0))</f>
        <v>6</v>
      </c>
      <c r="T2112" s="3" t="n">
        <f aca="false">INDEX(Summary!$P$2:$P$201,MATCH($B2112,Summary!$A$2:$A$201,0))</f>
        <v>3</v>
      </c>
      <c r="U2112" s="2" t="n">
        <f aca="false">INDEX(Summary!$Q$2:$Q$201,MATCH($B2112,Summary!$A$2:$A$201,0))</f>
        <v>13.14</v>
      </c>
      <c r="V2112" s="2" t="n">
        <f aca="false">INDEX(Summary!$R$2:$R$201,MATCH($B2112,Summary!$A$2:$A$201,0))</f>
        <v>11.83</v>
      </c>
      <c r="W2112" s="0" t="str">
        <f aca="false">INDEX(Summary!$S$2:$S$201,MATCH($B2112,Summary!$A$2:$A$201,0))</f>
        <v>Bronze</v>
      </c>
      <c r="X2112" s="2" t="n">
        <f aca="false">INDEX(Summary!$T$2:$T$201,MATCH($B2112,Summary!$A$2:$A$201,0))</f>
        <v>28.85</v>
      </c>
      <c r="Y2112" s="0" t="str">
        <f aca="false">INDEX('Reward Model'!$E$18:$E$37,MATCH($E2112,'Reward Model'!$A$18:$A$37,0))</f>
        <v>Medium</v>
      </c>
      <c r="Z2112" s="4" t="n">
        <f aca="false">ROUND(MIN(1,MAX('Reward Model'!$B$2,INDEX('Reward Model'!$C$12:$C$14,MATCH($K2112,'Reward Model'!$A$12:$A$14,0))/$J2112)),3)</f>
        <v>0.841</v>
      </c>
      <c r="AA2112" s="2" t="n">
        <f aca="false">IF($I2112="Correct",ROUND(INDEX('Reward Model'!$B$12:$B$14,MATCH($K2112,'Reward Model'!$A$12:$A$14,0))*Z2112,2),0)</f>
        <v>1.68</v>
      </c>
      <c r="AB2112" s="2" t="n">
        <f aca="false">IF($I2112="Correct",ROUND(INDEX('Reward Model'!$B$12:$B$14,MATCH($Y2112,'Reward Model'!$A$12:$A$14,0))*Z2112,2),0)</f>
        <v>1.68</v>
      </c>
    </row>
    <row r="2113" customFormat="false" ht="15" hidden="false" customHeight="false" outlineLevel="0" collapsed="false">
      <c r="A2113" s="0" t="s">
        <v>342</v>
      </c>
      <c r="B2113" s="0" t="s">
        <v>343</v>
      </c>
      <c r="C2113" s="0" t="s">
        <v>322</v>
      </c>
      <c r="D2113" s="0" t="s">
        <v>31</v>
      </c>
      <c r="E2113" s="0" t="n">
        <v>12</v>
      </c>
      <c r="F2113" s="0" t="s">
        <v>64</v>
      </c>
      <c r="G2113" s="0" t="s">
        <v>112</v>
      </c>
      <c r="H2113" s="0" t="s">
        <v>65</v>
      </c>
      <c r="I2113" s="0" t="s">
        <v>39</v>
      </c>
      <c r="J2113" s="0" t="n">
        <v>1.6</v>
      </c>
      <c r="K2113" s="0" t="s">
        <v>60</v>
      </c>
      <c r="L2113" s="0" t="n">
        <f aca="false">INDEX(Summary!$F$2:$F$201,MATCH($B2113,Summary!$A$2:$A$201,0))</f>
        <v>20</v>
      </c>
      <c r="M2113" s="0" t="n">
        <f aca="false">INDEX(Summary!$I$2:$I$201,MATCH($B2113,Summary!$A$2:$A$201,0))</f>
        <v>1</v>
      </c>
      <c r="N2113" s="0" t="n">
        <f aca="false">INDEX(Summary!$J$2:$J$201,MATCH($B2113,Summary!$A$2:$A$201,0))</f>
        <v>4</v>
      </c>
      <c r="O2113" s="2" t="n">
        <f aca="false">INDEX(Summary!$K$2:$K$201,MATCH($B2113,Summary!$A$2:$A$201,0))</f>
        <v>10.98</v>
      </c>
      <c r="P2113" s="3" t="n">
        <f aca="false">INDEX(Summary!$L$2:$L$201,MATCH($B2113,Summary!$A$2:$A$201,0))</f>
        <v>1</v>
      </c>
      <c r="Q2113" s="3" t="n">
        <f aca="false">INDEX(Summary!$M$2:$M$201,MATCH($B2113,Summary!$A$2:$A$201,0))</f>
        <v>5</v>
      </c>
      <c r="R2113" s="2" t="n">
        <f aca="false">INDEX(Summary!$N$2:$N$201,MATCH($B2113,Summary!$A$2:$A$201,0))</f>
        <v>10.02</v>
      </c>
      <c r="S2113" s="3" t="n">
        <f aca="false">INDEX(Summary!$O$2:$O$201,MATCH($B2113,Summary!$A$2:$A$201,0))</f>
        <v>6</v>
      </c>
      <c r="T2113" s="3" t="n">
        <f aca="false">INDEX(Summary!$P$2:$P$201,MATCH($B2113,Summary!$A$2:$A$201,0))</f>
        <v>3</v>
      </c>
      <c r="U2113" s="2" t="n">
        <f aca="false">INDEX(Summary!$Q$2:$Q$201,MATCH($B2113,Summary!$A$2:$A$201,0))</f>
        <v>13.14</v>
      </c>
      <c r="V2113" s="2" t="n">
        <f aca="false">INDEX(Summary!$R$2:$R$201,MATCH($B2113,Summary!$A$2:$A$201,0))</f>
        <v>11.83</v>
      </c>
      <c r="W2113" s="0" t="str">
        <f aca="false">INDEX(Summary!$S$2:$S$201,MATCH($B2113,Summary!$A$2:$A$201,0))</f>
        <v>Bronze</v>
      </c>
      <c r="X2113" s="2" t="n">
        <f aca="false">INDEX(Summary!$T$2:$T$201,MATCH($B2113,Summary!$A$2:$A$201,0))</f>
        <v>28.85</v>
      </c>
      <c r="Y2113" s="0" t="str">
        <f aca="false">INDEX('Reward Model'!$E$18:$E$37,MATCH($E2113,'Reward Model'!$A$18:$A$37,0))</f>
        <v>Medium</v>
      </c>
      <c r="Z2113" s="4" t="n">
        <f aca="false">ROUND(MIN(1,MAX('Reward Model'!$B$2,INDEX('Reward Model'!$C$12:$C$14,MATCH($K2113,'Reward Model'!$A$12:$A$14,0))/$J2113)),3)</f>
        <v>1</v>
      </c>
      <c r="AA2113" s="2" t="n">
        <f aca="false">IF($I2113="Correct",ROUND(INDEX('Reward Model'!$B$12:$B$14,MATCH($K2113,'Reward Model'!$A$12:$A$14,0))*Z2113,2),0)</f>
        <v>0</v>
      </c>
      <c r="AB2113" s="2" t="n">
        <f aca="false">IF($I2113="Correct",ROUND(INDEX('Reward Model'!$B$12:$B$14,MATCH($Y2113,'Reward Model'!$A$12:$A$14,0))*Z2113,2),0)</f>
        <v>0</v>
      </c>
    </row>
    <row r="2114" customFormat="false" ht="15" hidden="false" customHeight="false" outlineLevel="0" collapsed="false">
      <c r="A2114" s="0" t="s">
        <v>342</v>
      </c>
      <c r="B2114" s="0" t="s">
        <v>343</v>
      </c>
      <c r="C2114" s="0" t="s">
        <v>322</v>
      </c>
      <c r="D2114" s="0" t="s">
        <v>31</v>
      </c>
      <c r="E2114" s="0" t="n">
        <v>13</v>
      </c>
      <c r="F2114" s="0" t="s">
        <v>66</v>
      </c>
      <c r="G2114" s="0" t="s">
        <v>117</v>
      </c>
      <c r="H2114" s="0" t="s">
        <v>67</v>
      </c>
      <c r="I2114" s="0" t="s">
        <v>39</v>
      </c>
      <c r="J2114" s="0" t="n">
        <v>1.97</v>
      </c>
      <c r="K2114" s="0" t="s">
        <v>60</v>
      </c>
      <c r="L2114" s="0" t="n">
        <f aca="false">INDEX(Summary!$F$2:$F$201,MATCH($B2114,Summary!$A$2:$A$201,0))</f>
        <v>20</v>
      </c>
      <c r="M2114" s="0" t="n">
        <f aca="false">INDEX(Summary!$I$2:$I$201,MATCH($B2114,Summary!$A$2:$A$201,0))</f>
        <v>1</v>
      </c>
      <c r="N2114" s="0" t="n">
        <f aca="false">INDEX(Summary!$J$2:$J$201,MATCH($B2114,Summary!$A$2:$A$201,0))</f>
        <v>4</v>
      </c>
      <c r="O2114" s="2" t="n">
        <f aca="false">INDEX(Summary!$K$2:$K$201,MATCH($B2114,Summary!$A$2:$A$201,0))</f>
        <v>10.98</v>
      </c>
      <c r="P2114" s="3" t="n">
        <f aca="false">INDEX(Summary!$L$2:$L$201,MATCH($B2114,Summary!$A$2:$A$201,0))</f>
        <v>1</v>
      </c>
      <c r="Q2114" s="3" t="n">
        <f aca="false">INDEX(Summary!$M$2:$M$201,MATCH($B2114,Summary!$A$2:$A$201,0))</f>
        <v>5</v>
      </c>
      <c r="R2114" s="2" t="n">
        <f aca="false">INDEX(Summary!$N$2:$N$201,MATCH($B2114,Summary!$A$2:$A$201,0))</f>
        <v>10.02</v>
      </c>
      <c r="S2114" s="3" t="n">
        <f aca="false">INDEX(Summary!$O$2:$O$201,MATCH($B2114,Summary!$A$2:$A$201,0))</f>
        <v>6</v>
      </c>
      <c r="T2114" s="3" t="n">
        <f aca="false">INDEX(Summary!$P$2:$P$201,MATCH($B2114,Summary!$A$2:$A$201,0))</f>
        <v>3</v>
      </c>
      <c r="U2114" s="2" t="n">
        <f aca="false">INDEX(Summary!$Q$2:$Q$201,MATCH($B2114,Summary!$A$2:$A$201,0))</f>
        <v>13.14</v>
      </c>
      <c r="V2114" s="2" t="n">
        <f aca="false">INDEX(Summary!$R$2:$R$201,MATCH($B2114,Summary!$A$2:$A$201,0))</f>
        <v>11.83</v>
      </c>
      <c r="W2114" s="0" t="str">
        <f aca="false">INDEX(Summary!$S$2:$S$201,MATCH($B2114,Summary!$A$2:$A$201,0))</f>
        <v>Bronze</v>
      </c>
      <c r="X2114" s="2" t="n">
        <f aca="false">INDEX(Summary!$T$2:$T$201,MATCH($B2114,Summary!$A$2:$A$201,0))</f>
        <v>28.85</v>
      </c>
      <c r="Y2114" s="0" t="str">
        <f aca="false">INDEX('Reward Model'!$E$18:$E$37,MATCH($E2114,'Reward Model'!$A$18:$A$37,0))</f>
        <v>Medium</v>
      </c>
      <c r="Z2114" s="4" t="n">
        <f aca="false">ROUND(MIN(1,MAX('Reward Model'!$B$2,INDEX('Reward Model'!$C$12:$C$14,MATCH($K2114,'Reward Model'!$A$12:$A$14,0))/$J2114)),3)</f>
        <v>0.914</v>
      </c>
      <c r="AA2114" s="2" t="n">
        <f aca="false">IF($I2114="Correct",ROUND(INDEX('Reward Model'!$B$12:$B$14,MATCH($K2114,'Reward Model'!$A$12:$A$14,0))*Z2114,2),0)</f>
        <v>0</v>
      </c>
      <c r="AB2114" s="2" t="n">
        <f aca="false">IF($I2114="Correct",ROUND(INDEX('Reward Model'!$B$12:$B$14,MATCH($Y2114,'Reward Model'!$A$12:$A$14,0))*Z2114,2),0)</f>
        <v>0</v>
      </c>
    </row>
    <row r="2115" customFormat="false" ht="15" hidden="false" customHeight="false" outlineLevel="0" collapsed="false">
      <c r="A2115" s="0" t="s">
        <v>342</v>
      </c>
      <c r="B2115" s="0" t="s">
        <v>343</v>
      </c>
      <c r="C2115" s="0" t="s">
        <v>322</v>
      </c>
      <c r="D2115" s="0" t="s">
        <v>31</v>
      </c>
      <c r="E2115" s="0" t="n">
        <v>14</v>
      </c>
      <c r="F2115" s="0" t="s">
        <v>68</v>
      </c>
      <c r="G2115" s="0" t="s">
        <v>100</v>
      </c>
      <c r="H2115" s="0" t="s">
        <v>51</v>
      </c>
      <c r="I2115" s="0" t="s">
        <v>39</v>
      </c>
      <c r="J2115" s="0" t="n">
        <v>1.47</v>
      </c>
      <c r="K2115" s="0" t="s">
        <v>60</v>
      </c>
      <c r="L2115" s="0" t="n">
        <f aca="false">INDEX(Summary!$F$2:$F$201,MATCH($B2115,Summary!$A$2:$A$201,0))</f>
        <v>20</v>
      </c>
      <c r="M2115" s="0" t="n">
        <f aca="false">INDEX(Summary!$I$2:$I$201,MATCH($B2115,Summary!$A$2:$A$201,0))</f>
        <v>1</v>
      </c>
      <c r="N2115" s="0" t="n">
        <f aca="false">INDEX(Summary!$J$2:$J$201,MATCH($B2115,Summary!$A$2:$A$201,0))</f>
        <v>4</v>
      </c>
      <c r="O2115" s="2" t="n">
        <f aca="false">INDEX(Summary!$K$2:$K$201,MATCH($B2115,Summary!$A$2:$A$201,0))</f>
        <v>10.98</v>
      </c>
      <c r="P2115" s="3" t="n">
        <f aca="false">INDEX(Summary!$L$2:$L$201,MATCH($B2115,Summary!$A$2:$A$201,0))</f>
        <v>1</v>
      </c>
      <c r="Q2115" s="3" t="n">
        <f aca="false">INDEX(Summary!$M$2:$M$201,MATCH($B2115,Summary!$A$2:$A$201,0))</f>
        <v>5</v>
      </c>
      <c r="R2115" s="2" t="n">
        <f aca="false">INDEX(Summary!$N$2:$N$201,MATCH($B2115,Summary!$A$2:$A$201,0))</f>
        <v>10.02</v>
      </c>
      <c r="S2115" s="3" t="n">
        <f aca="false">INDEX(Summary!$O$2:$O$201,MATCH($B2115,Summary!$A$2:$A$201,0))</f>
        <v>6</v>
      </c>
      <c r="T2115" s="3" t="n">
        <f aca="false">INDEX(Summary!$P$2:$P$201,MATCH($B2115,Summary!$A$2:$A$201,0))</f>
        <v>3</v>
      </c>
      <c r="U2115" s="2" t="n">
        <f aca="false">INDEX(Summary!$Q$2:$Q$201,MATCH($B2115,Summary!$A$2:$A$201,0))</f>
        <v>13.14</v>
      </c>
      <c r="V2115" s="2" t="n">
        <f aca="false">INDEX(Summary!$R$2:$R$201,MATCH($B2115,Summary!$A$2:$A$201,0))</f>
        <v>11.83</v>
      </c>
      <c r="W2115" s="0" t="str">
        <f aca="false">INDEX(Summary!$S$2:$S$201,MATCH($B2115,Summary!$A$2:$A$201,0))</f>
        <v>Bronze</v>
      </c>
      <c r="X2115" s="2" t="n">
        <f aca="false">INDEX(Summary!$T$2:$T$201,MATCH($B2115,Summary!$A$2:$A$201,0))</f>
        <v>28.85</v>
      </c>
      <c r="Y2115" s="0" t="str">
        <f aca="false">INDEX('Reward Model'!$E$18:$E$37,MATCH($E2115,'Reward Model'!$A$18:$A$37,0))</f>
        <v>Medium</v>
      </c>
      <c r="Z2115" s="4" t="n">
        <f aca="false">ROUND(MIN(1,MAX('Reward Model'!$B$2,INDEX('Reward Model'!$C$12:$C$14,MATCH($K2115,'Reward Model'!$A$12:$A$14,0))/$J2115)),3)</f>
        <v>1</v>
      </c>
      <c r="AA2115" s="2" t="n">
        <f aca="false">IF($I2115="Correct",ROUND(INDEX('Reward Model'!$B$12:$B$14,MATCH($K2115,'Reward Model'!$A$12:$A$14,0))*Z2115,2),0)</f>
        <v>0</v>
      </c>
      <c r="AB2115" s="2" t="n">
        <f aca="false">IF($I2115="Correct",ROUND(INDEX('Reward Model'!$B$12:$B$14,MATCH($Y2115,'Reward Model'!$A$12:$A$14,0))*Z2115,2),0)</f>
        <v>0</v>
      </c>
    </row>
    <row r="2116" customFormat="false" ht="15" hidden="false" customHeight="false" outlineLevel="0" collapsed="false">
      <c r="A2116" s="0" t="s">
        <v>342</v>
      </c>
      <c r="B2116" s="0" t="s">
        <v>343</v>
      </c>
      <c r="C2116" s="0" t="s">
        <v>322</v>
      </c>
      <c r="D2116" s="0" t="s">
        <v>31</v>
      </c>
      <c r="E2116" s="0" t="n">
        <v>15</v>
      </c>
      <c r="F2116" s="0" t="s">
        <v>69</v>
      </c>
      <c r="G2116" s="0" t="s">
        <v>94</v>
      </c>
      <c r="H2116" s="0" t="s">
        <v>70</v>
      </c>
      <c r="I2116" s="0" t="s">
        <v>39</v>
      </c>
      <c r="J2116" s="0" t="n">
        <v>1.69</v>
      </c>
      <c r="K2116" s="0" t="s">
        <v>60</v>
      </c>
      <c r="L2116" s="0" t="n">
        <f aca="false">INDEX(Summary!$F$2:$F$201,MATCH($B2116,Summary!$A$2:$A$201,0))</f>
        <v>20</v>
      </c>
      <c r="M2116" s="0" t="n">
        <f aca="false">INDEX(Summary!$I$2:$I$201,MATCH($B2116,Summary!$A$2:$A$201,0))</f>
        <v>1</v>
      </c>
      <c r="N2116" s="0" t="n">
        <f aca="false">INDEX(Summary!$J$2:$J$201,MATCH($B2116,Summary!$A$2:$A$201,0))</f>
        <v>4</v>
      </c>
      <c r="O2116" s="2" t="n">
        <f aca="false">INDEX(Summary!$K$2:$K$201,MATCH($B2116,Summary!$A$2:$A$201,0))</f>
        <v>10.98</v>
      </c>
      <c r="P2116" s="3" t="n">
        <f aca="false">INDEX(Summary!$L$2:$L$201,MATCH($B2116,Summary!$A$2:$A$201,0))</f>
        <v>1</v>
      </c>
      <c r="Q2116" s="3" t="n">
        <f aca="false">INDEX(Summary!$M$2:$M$201,MATCH($B2116,Summary!$A$2:$A$201,0))</f>
        <v>5</v>
      </c>
      <c r="R2116" s="2" t="n">
        <f aca="false">INDEX(Summary!$N$2:$N$201,MATCH($B2116,Summary!$A$2:$A$201,0))</f>
        <v>10.02</v>
      </c>
      <c r="S2116" s="3" t="n">
        <f aca="false">INDEX(Summary!$O$2:$O$201,MATCH($B2116,Summary!$A$2:$A$201,0))</f>
        <v>6</v>
      </c>
      <c r="T2116" s="3" t="n">
        <f aca="false">INDEX(Summary!$P$2:$P$201,MATCH($B2116,Summary!$A$2:$A$201,0))</f>
        <v>3</v>
      </c>
      <c r="U2116" s="2" t="n">
        <f aca="false">INDEX(Summary!$Q$2:$Q$201,MATCH($B2116,Summary!$A$2:$A$201,0))</f>
        <v>13.14</v>
      </c>
      <c r="V2116" s="2" t="n">
        <f aca="false">INDEX(Summary!$R$2:$R$201,MATCH($B2116,Summary!$A$2:$A$201,0))</f>
        <v>11.83</v>
      </c>
      <c r="W2116" s="0" t="str">
        <f aca="false">INDEX(Summary!$S$2:$S$201,MATCH($B2116,Summary!$A$2:$A$201,0))</f>
        <v>Bronze</v>
      </c>
      <c r="X2116" s="2" t="n">
        <f aca="false">INDEX(Summary!$T$2:$T$201,MATCH($B2116,Summary!$A$2:$A$201,0))</f>
        <v>28.85</v>
      </c>
      <c r="Y2116" s="0" t="str">
        <f aca="false">INDEX('Reward Model'!$E$18:$E$37,MATCH($E2116,'Reward Model'!$A$18:$A$37,0))</f>
        <v>Medium</v>
      </c>
      <c r="Z2116" s="4" t="n">
        <f aca="false">ROUND(MIN(1,MAX('Reward Model'!$B$2,INDEX('Reward Model'!$C$12:$C$14,MATCH($K2116,'Reward Model'!$A$12:$A$14,0))/$J2116)),3)</f>
        <v>1</v>
      </c>
      <c r="AA2116" s="2" t="n">
        <f aca="false">IF($I2116="Correct",ROUND(INDEX('Reward Model'!$B$12:$B$14,MATCH($K2116,'Reward Model'!$A$12:$A$14,0))*Z2116,2),0)</f>
        <v>0</v>
      </c>
      <c r="AB2116" s="2" t="n">
        <f aca="false">IF($I2116="Correct",ROUND(INDEX('Reward Model'!$B$12:$B$14,MATCH($Y2116,'Reward Model'!$A$12:$A$14,0))*Z2116,2),0)</f>
        <v>0</v>
      </c>
    </row>
    <row r="2117" customFormat="false" ht="15" hidden="false" customHeight="false" outlineLevel="0" collapsed="false">
      <c r="A2117" s="0" t="s">
        <v>342</v>
      </c>
      <c r="B2117" s="0" t="s">
        <v>343</v>
      </c>
      <c r="C2117" s="0" t="s">
        <v>322</v>
      </c>
      <c r="D2117" s="0" t="s">
        <v>31</v>
      </c>
      <c r="E2117" s="0" t="n">
        <v>16</v>
      </c>
      <c r="F2117" s="0" t="s">
        <v>71</v>
      </c>
      <c r="G2117" s="0" t="s">
        <v>87</v>
      </c>
      <c r="H2117" s="0" t="s">
        <v>72</v>
      </c>
      <c r="I2117" s="0" t="s">
        <v>39</v>
      </c>
      <c r="J2117" s="0" t="n">
        <v>2.56</v>
      </c>
      <c r="K2117" s="0" t="s">
        <v>73</v>
      </c>
      <c r="L2117" s="0" t="n">
        <f aca="false">INDEX(Summary!$F$2:$F$201,MATCH($B2117,Summary!$A$2:$A$201,0))</f>
        <v>20</v>
      </c>
      <c r="M2117" s="0" t="n">
        <f aca="false">INDEX(Summary!$I$2:$I$201,MATCH($B2117,Summary!$A$2:$A$201,0))</f>
        <v>1</v>
      </c>
      <c r="N2117" s="0" t="n">
        <f aca="false">INDEX(Summary!$J$2:$J$201,MATCH($B2117,Summary!$A$2:$A$201,0))</f>
        <v>4</v>
      </c>
      <c r="O2117" s="2" t="n">
        <f aca="false">INDEX(Summary!$K$2:$K$201,MATCH($B2117,Summary!$A$2:$A$201,0))</f>
        <v>10.98</v>
      </c>
      <c r="P2117" s="3" t="n">
        <f aca="false">INDEX(Summary!$L$2:$L$201,MATCH($B2117,Summary!$A$2:$A$201,0))</f>
        <v>1</v>
      </c>
      <c r="Q2117" s="3" t="n">
        <f aca="false">INDEX(Summary!$M$2:$M$201,MATCH($B2117,Summary!$A$2:$A$201,0))</f>
        <v>5</v>
      </c>
      <c r="R2117" s="2" t="n">
        <f aca="false">INDEX(Summary!$N$2:$N$201,MATCH($B2117,Summary!$A$2:$A$201,0))</f>
        <v>10.02</v>
      </c>
      <c r="S2117" s="3" t="n">
        <f aca="false">INDEX(Summary!$O$2:$O$201,MATCH($B2117,Summary!$A$2:$A$201,0))</f>
        <v>6</v>
      </c>
      <c r="T2117" s="3" t="n">
        <f aca="false">INDEX(Summary!$P$2:$P$201,MATCH($B2117,Summary!$A$2:$A$201,0))</f>
        <v>3</v>
      </c>
      <c r="U2117" s="2" t="n">
        <f aca="false">INDEX(Summary!$Q$2:$Q$201,MATCH($B2117,Summary!$A$2:$A$201,0))</f>
        <v>13.14</v>
      </c>
      <c r="V2117" s="2" t="n">
        <f aca="false">INDEX(Summary!$R$2:$R$201,MATCH($B2117,Summary!$A$2:$A$201,0))</f>
        <v>11.83</v>
      </c>
      <c r="W2117" s="0" t="str">
        <f aca="false">INDEX(Summary!$S$2:$S$201,MATCH($B2117,Summary!$A$2:$A$201,0))</f>
        <v>Bronze</v>
      </c>
      <c r="X2117" s="2" t="n">
        <f aca="false">INDEX(Summary!$T$2:$T$201,MATCH($B2117,Summary!$A$2:$A$201,0))</f>
        <v>28.85</v>
      </c>
      <c r="Y2117" s="0" t="str">
        <f aca="false">INDEX('Reward Model'!$E$18:$E$37,MATCH($E2117,'Reward Model'!$A$18:$A$37,0))</f>
        <v>High</v>
      </c>
      <c r="Z2117" s="4" t="n">
        <f aca="false">ROUND(MIN(1,MAX('Reward Model'!$B$2,INDEX('Reward Model'!$C$12:$C$14,MATCH($K2117,'Reward Model'!$A$12:$A$14,0))/$J2117)),3)</f>
        <v>0.781</v>
      </c>
      <c r="AA2117" s="2" t="n">
        <f aca="false">IF($I2117="Correct",ROUND(INDEX('Reward Model'!$B$12:$B$14,MATCH($K2117,'Reward Model'!$A$12:$A$14,0))*Z2117,2),0)</f>
        <v>0</v>
      </c>
      <c r="AB2117" s="2" t="n">
        <f aca="false">IF($I2117="Correct",ROUND(INDEX('Reward Model'!$B$12:$B$14,MATCH($Y2117,'Reward Model'!$A$12:$A$14,0))*Z2117,2),0)</f>
        <v>0</v>
      </c>
    </row>
    <row r="2118" customFormat="false" ht="15" hidden="false" customHeight="false" outlineLevel="0" collapsed="false">
      <c r="A2118" s="0" t="s">
        <v>342</v>
      </c>
      <c r="B2118" s="0" t="s">
        <v>343</v>
      </c>
      <c r="C2118" s="0" t="s">
        <v>322</v>
      </c>
      <c r="D2118" s="0" t="s">
        <v>31</v>
      </c>
      <c r="E2118" s="0" t="n">
        <v>17</v>
      </c>
      <c r="F2118" s="0" t="s">
        <v>74</v>
      </c>
      <c r="G2118" s="0" t="s">
        <v>75</v>
      </c>
      <c r="H2118" s="0" t="s">
        <v>75</v>
      </c>
      <c r="I2118" s="0" t="s">
        <v>34</v>
      </c>
      <c r="J2118" s="0" t="n">
        <v>2.41</v>
      </c>
      <c r="K2118" s="0" t="s">
        <v>73</v>
      </c>
      <c r="L2118" s="0" t="n">
        <f aca="false">INDEX(Summary!$F$2:$F$201,MATCH($B2118,Summary!$A$2:$A$201,0))</f>
        <v>20</v>
      </c>
      <c r="M2118" s="0" t="n">
        <f aca="false">INDEX(Summary!$I$2:$I$201,MATCH($B2118,Summary!$A$2:$A$201,0))</f>
        <v>1</v>
      </c>
      <c r="N2118" s="0" t="n">
        <f aca="false">INDEX(Summary!$J$2:$J$201,MATCH($B2118,Summary!$A$2:$A$201,0))</f>
        <v>4</v>
      </c>
      <c r="O2118" s="2" t="n">
        <f aca="false">INDEX(Summary!$K$2:$K$201,MATCH($B2118,Summary!$A$2:$A$201,0))</f>
        <v>10.98</v>
      </c>
      <c r="P2118" s="3" t="n">
        <f aca="false">INDEX(Summary!$L$2:$L$201,MATCH($B2118,Summary!$A$2:$A$201,0))</f>
        <v>1</v>
      </c>
      <c r="Q2118" s="3" t="n">
        <f aca="false">INDEX(Summary!$M$2:$M$201,MATCH($B2118,Summary!$A$2:$A$201,0))</f>
        <v>5</v>
      </c>
      <c r="R2118" s="2" t="n">
        <f aca="false">INDEX(Summary!$N$2:$N$201,MATCH($B2118,Summary!$A$2:$A$201,0))</f>
        <v>10.02</v>
      </c>
      <c r="S2118" s="3" t="n">
        <f aca="false">INDEX(Summary!$O$2:$O$201,MATCH($B2118,Summary!$A$2:$A$201,0))</f>
        <v>6</v>
      </c>
      <c r="T2118" s="3" t="n">
        <f aca="false">INDEX(Summary!$P$2:$P$201,MATCH($B2118,Summary!$A$2:$A$201,0))</f>
        <v>3</v>
      </c>
      <c r="U2118" s="2" t="n">
        <f aca="false">INDEX(Summary!$Q$2:$Q$201,MATCH($B2118,Summary!$A$2:$A$201,0))</f>
        <v>13.14</v>
      </c>
      <c r="V2118" s="2" t="n">
        <f aca="false">INDEX(Summary!$R$2:$R$201,MATCH($B2118,Summary!$A$2:$A$201,0))</f>
        <v>11.83</v>
      </c>
      <c r="W2118" s="0" t="str">
        <f aca="false">INDEX(Summary!$S$2:$S$201,MATCH($B2118,Summary!$A$2:$A$201,0))</f>
        <v>Bronze</v>
      </c>
      <c r="X2118" s="2" t="n">
        <f aca="false">INDEX(Summary!$T$2:$T$201,MATCH($B2118,Summary!$A$2:$A$201,0))</f>
        <v>28.85</v>
      </c>
      <c r="Y2118" s="0" t="str">
        <f aca="false">INDEX('Reward Model'!$E$18:$E$37,MATCH($E2118,'Reward Model'!$A$18:$A$37,0))</f>
        <v>High</v>
      </c>
      <c r="Z2118" s="4" t="n">
        <f aca="false">ROUND(MIN(1,MAX('Reward Model'!$B$2,INDEX('Reward Model'!$C$12:$C$14,MATCH($K2118,'Reward Model'!$A$12:$A$14,0))/$J2118)),3)</f>
        <v>0.83</v>
      </c>
      <c r="AA2118" s="2" t="n">
        <f aca="false">IF($I2118="Correct",ROUND(INDEX('Reward Model'!$B$12:$B$14,MATCH($K2118,'Reward Model'!$A$12:$A$14,0))*Z2118,2),0)</f>
        <v>2.49</v>
      </c>
      <c r="AB2118" s="2" t="n">
        <f aca="false">IF($I2118="Correct",ROUND(INDEX('Reward Model'!$B$12:$B$14,MATCH($Y2118,'Reward Model'!$A$12:$A$14,0))*Z2118,2),0)</f>
        <v>2.49</v>
      </c>
    </row>
    <row r="2119" customFormat="false" ht="15" hidden="false" customHeight="false" outlineLevel="0" collapsed="false">
      <c r="A2119" s="0" t="s">
        <v>342</v>
      </c>
      <c r="B2119" s="0" t="s">
        <v>343</v>
      </c>
      <c r="C2119" s="0" t="s">
        <v>322</v>
      </c>
      <c r="D2119" s="0" t="s">
        <v>31</v>
      </c>
      <c r="E2119" s="0" t="n">
        <v>18</v>
      </c>
      <c r="F2119" s="0" t="s">
        <v>76</v>
      </c>
      <c r="G2119" s="0" t="s">
        <v>88</v>
      </c>
      <c r="H2119" s="0" t="s">
        <v>77</v>
      </c>
      <c r="I2119" s="0" t="s">
        <v>39</v>
      </c>
      <c r="J2119" s="0" t="n">
        <v>2.37</v>
      </c>
      <c r="K2119" s="0" t="s">
        <v>73</v>
      </c>
      <c r="L2119" s="0" t="n">
        <f aca="false">INDEX(Summary!$F$2:$F$201,MATCH($B2119,Summary!$A$2:$A$201,0))</f>
        <v>20</v>
      </c>
      <c r="M2119" s="0" t="n">
        <f aca="false">INDEX(Summary!$I$2:$I$201,MATCH($B2119,Summary!$A$2:$A$201,0))</f>
        <v>1</v>
      </c>
      <c r="N2119" s="0" t="n">
        <f aca="false">INDEX(Summary!$J$2:$J$201,MATCH($B2119,Summary!$A$2:$A$201,0))</f>
        <v>4</v>
      </c>
      <c r="O2119" s="2" t="n">
        <f aca="false">INDEX(Summary!$K$2:$K$201,MATCH($B2119,Summary!$A$2:$A$201,0))</f>
        <v>10.98</v>
      </c>
      <c r="P2119" s="3" t="n">
        <f aca="false">INDEX(Summary!$L$2:$L$201,MATCH($B2119,Summary!$A$2:$A$201,0))</f>
        <v>1</v>
      </c>
      <c r="Q2119" s="3" t="n">
        <f aca="false">INDEX(Summary!$M$2:$M$201,MATCH($B2119,Summary!$A$2:$A$201,0))</f>
        <v>5</v>
      </c>
      <c r="R2119" s="2" t="n">
        <f aca="false">INDEX(Summary!$N$2:$N$201,MATCH($B2119,Summary!$A$2:$A$201,0))</f>
        <v>10.02</v>
      </c>
      <c r="S2119" s="3" t="n">
        <f aca="false">INDEX(Summary!$O$2:$O$201,MATCH($B2119,Summary!$A$2:$A$201,0))</f>
        <v>6</v>
      </c>
      <c r="T2119" s="3" t="n">
        <f aca="false">INDEX(Summary!$P$2:$P$201,MATCH($B2119,Summary!$A$2:$A$201,0))</f>
        <v>3</v>
      </c>
      <c r="U2119" s="2" t="n">
        <f aca="false">INDEX(Summary!$Q$2:$Q$201,MATCH($B2119,Summary!$A$2:$A$201,0))</f>
        <v>13.14</v>
      </c>
      <c r="V2119" s="2" t="n">
        <f aca="false">INDEX(Summary!$R$2:$R$201,MATCH($B2119,Summary!$A$2:$A$201,0))</f>
        <v>11.83</v>
      </c>
      <c r="W2119" s="0" t="str">
        <f aca="false">INDEX(Summary!$S$2:$S$201,MATCH($B2119,Summary!$A$2:$A$201,0))</f>
        <v>Bronze</v>
      </c>
      <c r="X2119" s="2" t="n">
        <f aca="false">INDEX(Summary!$T$2:$T$201,MATCH($B2119,Summary!$A$2:$A$201,0))</f>
        <v>28.85</v>
      </c>
      <c r="Y2119" s="0" t="str">
        <f aca="false">INDEX('Reward Model'!$E$18:$E$37,MATCH($E2119,'Reward Model'!$A$18:$A$37,0))</f>
        <v>High</v>
      </c>
      <c r="Z2119" s="4" t="n">
        <f aca="false">ROUND(MIN(1,MAX('Reward Model'!$B$2,INDEX('Reward Model'!$C$12:$C$14,MATCH($K2119,'Reward Model'!$A$12:$A$14,0))/$J2119)),3)</f>
        <v>0.844</v>
      </c>
      <c r="AA2119" s="2" t="n">
        <f aca="false">IF($I2119="Correct",ROUND(INDEX('Reward Model'!$B$12:$B$14,MATCH($K2119,'Reward Model'!$A$12:$A$14,0))*Z2119,2),0)</f>
        <v>0</v>
      </c>
      <c r="AB2119" s="2" t="n">
        <f aca="false">IF($I2119="Correct",ROUND(INDEX('Reward Model'!$B$12:$B$14,MATCH($Y2119,'Reward Model'!$A$12:$A$14,0))*Z2119,2),0)</f>
        <v>0</v>
      </c>
    </row>
    <row r="2120" customFormat="false" ht="15" hidden="false" customHeight="false" outlineLevel="0" collapsed="false">
      <c r="A2120" s="0" t="s">
        <v>342</v>
      </c>
      <c r="B2120" s="0" t="s">
        <v>343</v>
      </c>
      <c r="C2120" s="0" t="s">
        <v>322</v>
      </c>
      <c r="D2120" s="0" t="s">
        <v>31</v>
      </c>
      <c r="E2120" s="0" t="n">
        <v>19</v>
      </c>
      <c r="F2120" s="0" t="s">
        <v>78</v>
      </c>
      <c r="G2120" s="0" t="s">
        <v>51</v>
      </c>
      <c r="H2120" s="0" t="s">
        <v>80</v>
      </c>
      <c r="I2120" s="0" t="s">
        <v>39</v>
      </c>
      <c r="J2120" s="0" t="n">
        <v>2.27</v>
      </c>
      <c r="K2120" s="0" t="s">
        <v>73</v>
      </c>
      <c r="L2120" s="0" t="n">
        <f aca="false">INDEX(Summary!$F$2:$F$201,MATCH($B2120,Summary!$A$2:$A$201,0))</f>
        <v>20</v>
      </c>
      <c r="M2120" s="0" t="n">
        <f aca="false">INDEX(Summary!$I$2:$I$201,MATCH($B2120,Summary!$A$2:$A$201,0))</f>
        <v>1</v>
      </c>
      <c r="N2120" s="0" t="n">
        <f aca="false">INDEX(Summary!$J$2:$J$201,MATCH($B2120,Summary!$A$2:$A$201,0))</f>
        <v>4</v>
      </c>
      <c r="O2120" s="2" t="n">
        <f aca="false">INDEX(Summary!$K$2:$K$201,MATCH($B2120,Summary!$A$2:$A$201,0))</f>
        <v>10.98</v>
      </c>
      <c r="P2120" s="3" t="n">
        <f aca="false">INDEX(Summary!$L$2:$L$201,MATCH($B2120,Summary!$A$2:$A$201,0))</f>
        <v>1</v>
      </c>
      <c r="Q2120" s="3" t="n">
        <f aca="false">INDEX(Summary!$M$2:$M$201,MATCH($B2120,Summary!$A$2:$A$201,0))</f>
        <v>5</v>
      </c>
      <c r="R2120" s="2" t="n">
        <f aca="false">INDEX(Summary!$N$2:$N$201,MATCH($B2120,Summary!$A$2:$A$201,0))</f>
        <v>10.02</v>
      </c>
      <c r="S2120" s="3" t="n">
        <f aca="false">INDEX(Summary!$O$2:$O$201,MATCH($B2120,Summary!$A$2:$A$201,0))</f>
        <v>6</v>
      </c>
      <c r="T2120" s="3" t="n">
        <f aca="false">INDEX(Summary!$P$2:$P$201,MATCH($B2120,Summary!$A$2:$A$201,0))</f>
        <v>3</v>
      </c>
      <c r="U2120" s="2" t="n">
        <f aca="false">INDEX(Summary!$Q$2:$Q$201,MATCH($B2120,Summary!$A$2:$A$201,0))</f>
        <v>13.14</v>
      </c>
      <c r="V2120" s="2" t="n">
        <f aca="false">INDEX(Summary!$R$2:$R$201,MATCH($B2120,Summary!$A$2:$A$201,0))</f>
        <v>11.83</v>
      </c>
      <c r="W2120" s="0" t="str">
        <f aca="false">INDEX(Summary!$S$2:$S$201,MATCH($B2120,Summary!$A$2:$A$201,0))</f>
        <v>Bronze</v>
      </c>
      <c r="X2120" s="2" t="n">
        <f aca="false">INDEX(Summary!$T$2:$T$201,MATCH($B2120,Summary!$A$2:$A$201,0))</f>
        <v>28.85</v>
      </c>
      <c r="Y2120" s="0" t="str">
        <f aca="false">INDEX('Reward Model'!$E$18:$E$37,MATCH($E2120,'Reward Model'!$A$18:$A$37,0))</f>
        <v>High</v>
      </c>
      <c r="Z2120" s="4" t="n">
        <f aca="false">ROUND(MIN(1,MAX('Reward Model'!$B$2,INDEX('Reward Model'!$C$12:$C$14,MATCH($K2120,'Reward Model'!$A$12:$A$14,0))/$J2120)),3)</f>
        <v>0.881</v>
      </c>
      <c r="AA2120" s="2" t="n">
        <f aca="false">IF($I2120="Correct",ROUND(INDEX('Reward Model'!$B$12:$B$14,MATCH($K2120,'Reward Model'!$A$12:$A$14,0))*Z2120,2),0)</f>
        <v>0</v>
      </c>
      <c r="AB2120" s="2" t="n">
        <f aca="false">IF($I2120="Correct",ROUND(INDEX('Reward Model'!$B$12:$B$14,MATCH($Y2120,'Reward Model'!$A$12:$A$14,0))*Z2120,2),0)</f>
        <v>0</v>
      </c>
    </row>
    <row r="2121" customFormat="false" ht="15" hidden="false" customHeight="false" outlineLevel="0" collapsed="false">
      <c r="A2121" s="0" t="s">
        <v>342</v>
      </c>
      <c r="B2121" s="0" t="s">
        <v>343</v>
      </c>
      <c r="C2121" s="0" t="s">
        <v>322</v>
      </c>
      <c r="D2121" s="0" t="s">
        <v>31</v>
      </c>
      <c r="E2121" s="0" t="n">
        <v>20</v>
      </c>
      <c r="F2121" s="0" t="s">
        <v>81</v>
      </c>
      <c r="G2121" s="0" t="s">
        <v>119</v>
      </c>
      <c r="H2121" s="0" t="s">
        <v>83</v>
      </c>
      <c r="I2121" s="0" t="s">
        <v>39</v>
      </c>
      <c r="J2121" s="0" t="n">
        <v>1.37</v>
      </c>
      <c r="K2121" s="0" t="s">
        <v>73</v>
      </c>
      <c r="L2121" s="0" t="n">
        <f aca="false">INDEX(Summary!$F$2:$F$201,MATCH($B2121,Summary!$A$2:$A$201,0))</f>
        <v>20</v>
      </c>
      <c r="M2121" s="0" t="n">
        <f aca="false">INDEX(Summary!$I$2:$I$201,MATCH($B2121,Summary!$A$2:$A$201,0))</f>
        <v>1</v>
      </c>
      <c r="N2121" s="0" t="n">
        <f aca="false">INDEX(Summary!$J$2:$J$201,MATCH($B2121,Summary!$A$2:$A$201,0))</f>
        <v>4</v>
      </c>
      <c r="O2121" s="2" t="n">
        <f aca="false">INDEX(Summary!$K$2:$K$201,MATCH($B2121,Summary!$A$2:$A$201,0))</f>
        <v>10.98</v>
      </c>
      <c r="P2121" s="3" t="n">
        <f aca="false">INDEX(Summary!$L$2:$L$201,MATCH($B2121,Summary!$A$2:$A$201,0))</f>
        <v>1</v>
      </c>
      <c r="Q2121" s="3" t="n">
        <f aca="false">INDEX(Summary!$M$2:$M$201,MATCH($B2121,Summary!$A$2:$A$201,0))</f>
        <v>5</v>
      </c>
      <c r="R2121" s="2" t="n">
        <f aca="false">INDEX(Summary!$N$2:$N$201,MATCH($B2121,Summary!$A$2:$A$201,0))</f>
        <v>10.02</v>
      </c>
      <c r="S2121" s="3" t="n">
        <f aca="false">INDEX(Summary!$O$2:$O$201,MATCH($B2121,Summary!$A$2:$A$201,0))</f>
        <v>6</v>
      </c>
      <c r="T2121" s="3" t="n">
        <f aca="false">INDEX(Summary!$P$2:$P$201,MATCH($B2121,Summary!$A$2:$A$201,0))</f>
        <v>3</v>
      </c>
      <c r="U2121" s="2" t="n">
        <f aca="false">INDEX(Summary!$Q$2:$Q$201,MATCH($B2121,Summary!$A$2:$A$201,0))</f>
        <v>13.14</v>
      </c>
      <c r="V2121" s="2" t="n">
        <f aca="false">INDEX(Summary!$R$2:$R$201,MATCH($B2121,Summary!$A$2:$A$201,0))</f>
        <v>11.83</v>
      </c>
      <c r="W2121" s="0" t="str">
        <f aca="false">INDEX(Summary!$S$2:$S$201,MATCH($B2121,Summary!$A$2:$A$201,0))</f>
        <v>Bronze</v>
      </c>
      <c r="X2121" s="2" t="n">
        <f aca="false">INDEX(Summary!$T$2:$T$201,MATCH($B2121,Summary!$A$2:$A$201,0))</f>
        <v>28.85</v>
      </c>
      <c r="Y2121" s="0" t="str">
        <f aca="false">INDEX('Reward Model'!$E$18:$E$37,MATCH($E2121,'Reward Model'!$A$18:$A$37,0))</f>
        <v>High</v>
      </c>
      <c r="Z2121" s="4" t="n">
        <f aca="false">ROUND(MIN(1,MAX('Reward Model'!$B$2,INDEX('Reward Model'!$C$12:$C$14,MATCH($K2121,'Reward Model'!$A$12:$A$14,0))/$J2121)),3)</f>
        <v>1</v>
      </c>
      <c r="AA2121" s="2" t="n">
        <f aca="false">IF($I2121="Correct",ROUND(INDEX('Reward Model'!$B$12:$B$14,MATCH($K2121,'Reward Model'!$A$12:$A$14,0))*Z2121,2),0)</f>
        <v>0</v>
      </c>
      <c r="AB2121" s="2" t="n">
        <f aca="false">IF($I2121="Correct",ROUND(INDEX('Reward Model'!$B$12:$B$14,MATCH($Y2121,'Reward Model'!$A$12:$A$14,0))*Z2121,2),0)</f>
        <v>0</v>
      </c>
    </row>
    <row r="2122" customFormat="false" ht="15" hidden="false" customHeight="false" outlineLevel="0" collapsed="false">
      <c r="A2122" s="0" t="s">
        <v>344</v>
      </c>
      <c r="B2122" s="0" t="s">
        <v>345</v>
      </c>
      <c r="C2122" s="0" t="s">
        <v>322</v>
      </c>
      <c r="D2122" s="0" t="s">
        <v>31</v>
      </c>
      <c r="E2122" s="0" t="n">
        <v>1</v>
      </c>
      <c r="F2122" s="0" t="s">
        <v>32</v>
      </c>
      <c r="G2122" s="0" t="s">
        <v>91</v>
      </c>
      <c r="H2122" s="0" t="s">
        <v>33</v>
      </c>
      <c r="I2122" s="0" t="s">
        <v>39</v>
      </c>
      <c r="J2122" s="0" t="n">
        <v>2</v>
      </c>
      <c r="K2122" s="0" t="s">
        <v>35</v>
      </c>
      <c r="L2122" s="0" t="n">
        <f aca="false">INDEX(Summary!$F$2:$F$201,MATCH($B2122,Summary!$A$2:$A$201,0))</f>
        <v>20</v>
      </c>
      <c r="M2122" s="0" t="n">
        <f aca="false">INDEX(Summary!$I$2:$I$201,MATCH($B2122,Summary!$A$2:$A$201,0))</f>
        <v>2</v>
      </c>
      <c r="N2122" s="0" t="n">
        <f aca="false">INDEX(Summary!$J$2:$J$201,MATCH($B2122,Summary!$A$2:$A$201,0))</f>
        <v>3</v>
      </c>
      <c r="O2122" s="2" t="n">
        <f aca="false">INDEX(Summary!$K$2:$K$201,MATCH($B2122,Summary!$A$2:$A$201,0))</f>
        <v>9.37</v>
      </c>
      <c r="P2122" s="3" t="n">
        <f aca="false">INDEX(Summary!$L$2:$L$201,MATCH($B2122,Summary!$A$2:$A$201,0))</f>
        <v>4</v>
      </c>
      <c r="Q2122" s="3" t="n">
        <f aca="false">INDEX(Summary!$M$2:$M$201,MATCH($B2122,Summary!$A$2:$A$201,0))</f>
        <v>2</v>
      </c>
      <c r="R2122" s="2" t="n">
        <f aca="false">INDEX(Summary!$N$2:$N$201,MATCH($B2122,Summary!$A$2:$A$201,0))</f>
        <v>9.3</v>
      </c>
      <c r="S2122" s="3" t="n">
        <f aca="false">INDEX(Summary!$O$2:$O$201,MATCH($B2122,Summary!$A$2:$A$201,0))</f>
        <v>7</v>
      </c>
      <c r="T2122" s="3" t="n">
        <f aca="false">INDEX(Summary!$P$2:$P$201,MATCH($B2122,Summary!$A$2:$A$201,0))</f>
        <v>2</v>
      </c>
      <c r="U2122" s="2" t="n">
        <f aca="false">INDEX(Summary!$Q$2:$Q$201,MATCH($B2122,Summary!$A$2:$A$201,0))</f>
        <v>13.59</v>
      </c>
      <c r="V2122" s="2" t="n">
        <f aca="false">INDEX(Summary!$R$2:$R$201,MATCH($B2122,Summary!$A$2:$A$201,0))</f>
        <v>24.36</v>
      </c>
      <c r="W2122" s="0" t="str">
        <f aca="false">INDEX(Summary!$S$2:$S$201,MATCH($B2122,Summary!$A$2:$A$201,0))</f>
        <v>Silver</v>
      </c>
      <c r="X2122" s="2" t="n">
        <f aca="false">INDEX(Summary!$T$2:$T$201,MATCH($B2122,Summary!$A$2:$A$201,0))</f>
        <v>59.41</v>
      </c>
      <c r="Y2122" s="0" t="str">
        <f aca="false">INDEX('Reward Model'!$E$18:$E$37,MATCH($E2122,'Reward Model'!$A$18:$A$37,0))</f>
        <v>Medium</v>
      </c>
      <c r="Z2122" s="4" t="n">
        <f aca="false">ROUND(MIN(1,MAX('Reward Model'!$B$2,INDEX('Reward Model'!$C$12:$C$14,MATCH($K2122,'Reward Model'!$A$12:$A$14,0))/$J2122)),3)</f>
        <v>0.75</v>
      </c>
      <c r="AA2122" s="2" t="n">
        <f aca="false">IF($I2122="Correct",ROUND(INDEX('Reward Model'!$B$12:$B$14,MATCH($K2122,'Reward Model'!$A$12:$A$14,0))*Z2122,2),0)</f>
        <v>0</v>
      </c>
      <c r="AB2122" s="2" t="n">
        <f aca="false">IF($I2122="Correct",ROUND(INDEX('Reward Model'!$B$12:$B$14,MATCH($Y2122,'Reward Model'!$A$12:$A$14,0))*Z2122,2),0)</f>
        <v>0</v>
      </c>
    </row>
    <row r="2123" customFormat="false" ht="15" hidden="false" customHeight="false" outlineLevel="0" collapsed="false">
      <c r="A2123" s="0" t="s">
        <v>344</v>
      </c>
      <c r="B2123" s="0" t="s">
        <v>345</v>
      </c>
      <c r="C2123" s="0" t="s">
        <v>322</v>
      </c>
      <c r="D2123" s="0" t="s">
        <v>31</v>
      </c>
      <c r="E2123" s="0" t="n">
        <v>2</v>
      </c>
      <c r="F2123" s="0" t="s">
        <v>36</v>
      </c>
      <c r="G2123" s="0" t="s">
        <v>37</v>
      </c>
      <c r="H2123" s="0" t="s">
        <v>38</v>
      </c>
      <c r="I2123" s="0" t="s">
        <v>39</v>
      </c>
      <c r="J2123" s="0" t="n">
        <v>1.54</v>
      </c>
      <c r="K2123" s="0" t="s">
        <v>35</v>
      </c>
      <c r="L2123" s="0" t="n">
        <f aca="false">INDEX(Summary!$F$2:$F$201,MATCH($B2123,Summary!$A$2:$A$201,0))</f>
        <v>20</v>
      </c>
      <c r="M2123" s="0" t="n">
        <f aca="false">INDEX(Summary!$I$2:$I$201,MATCH($B2123,Summary!$A$2:$A$201,0))</f>
        <v>2</v>
      </c>
      <c r="N2123" s="0" t="n">
        <f aca="false">INDEX(Summary!$J$2:$J$201,MATCH($B2123,Summary!$A$2:$A$201,0))</f>
        <v>3</v>
      </c>
      <c r="O2123" s="2" t="n">
        <f aca="false">INDEX(Summary!$K$2:$K$201,MATCH($B2123,Summary!$A$2:$A$201,0))</f>
        <v>9.37</v>
      </c>
      <c r="P2123" s="3" t="n">
        <f aca="false">INDEX(Summary!$L$2:$L$201,MATCH($B2123,Summary!$A$2:$A$201,0))</f>
        <v>4</v>
      </c>
      <c r="Q2123" s="3" t="n">
        <f aca="false">INDEX(Summary!$M$2:$M$201,MATCH($B2123,Summary!$A$2:$A$201,0))</f>
        <v>2</v>
      </c>
      <c r="R2123" s="2" t="n">
        <f aca="false">INDEX(Summary!$N$2:$N$201,MATCH($B2123,Summary!$A$2:$A$201,0))</f>
        <v>9.3</v>
      </c>
      <c r="S2123" s="3" t="n">
        <f aca="false">INDEX(Summary!$O$2:$O$201,MATCH($B2123,Summary!$A$2:$A$201,0))</f>
        <v>7</v>
      </c>
      <c r="T2123" s="3" t="n">
        <f aca="false">INDEX(Summary!$P$2:$P$201,MATCH($B2123,Summary!$A$2:$A$201,0))</f>
        <v>2</v>
      </c>
      <c r="U2123" s="2" t="n">
        <f aca="false">INDEX(Summary!$Q$2:$Q$201,MATCH($B2123,Summary!$A$2:$A$201,0))</f>
        <v>13.59</v>
      </c>
      <c r="V2123" s="2" t="n">
        <f aca="false">INDEX(Summary!$R$2:$R$201,MATCH($B2123,Summary!$A$2:$A$201,0))</f>
        <v>24.36</v>
      </c>
      <c r="W2123" s="0" t="str">
        <f aca="false">INDEX(Summary!$S$2:$S$201,MATCH($B2123,Summary!$A$2:$A$201,0))</f>
        <v>Silver</v>
      </c>
      <c r="X2123" s="2" t="n">
        <f aca="false">INDEX(Summary!$T$2:$T$201,MATCH($B2123,Summary!$A$2:$A$201,0))</f>
        <v>59.41</v>
      </c>
      <c r="Y2123" s="0" t="str">
        <f aca="false">INDEX('Reward Model'!$E$18:$E$37,MATCH($E2123,'Reward Model'!$A$18:$A$37,0))</f>
        <v>Low</v>
      </c>
      <c r="Z2123" s="4" t="n">
        <f aca="false">ROUND(MIN(1,MAX('Reward Model'!$B$2,INDEX('Reward Model'!$C$12:$C$14,MATCH($K2123,'Reward Model'!$A$12:$A$14,0))/$J2123)),3)</f>
        <v>0.974</v>
      </c>
      <c r="AA2123" s="2" t="n">
        <f aca="false">IF($I2123="Correct",ROUND(INDEX('Reward Model'!$B$12:$B$14,MATCH($K2123,'Reward Model'!$A$12:$A$14,0))*Z2123,2),0)</f>
        <v>0</v>
      </c>
      <c r="AB2123" s="2" t="n">
        <f aca="false">IF($I2123="Correct",ROUND(INDEX('Reward Model'!$B$12:$B$14,MATCH($Y2123,'Reward Model'!$A$12:$A$14,0))*Z2123,2),0)</f>
        <v>0</v>
      </c>
    </row>
    <row r="2124" customFormat="false" ht="15" hidden="false" customHeight="false" outlineLevel="0" collapsed="false">
      <c r="A2124" s="0" t="s">
        <v>344</v>
      </c>
      <c r="B2124" s="0" t="s">
        <v>345</v>
      </c>
      <c r="C2124" s="0" t="s">
        <v>322</v>
      </c>
      <c r="D2124" s="0" t="s">
        <v>31</v>
      </c>
      <c r="E2124" s="0" t="n">
        <v>3</v>
      </c>
      <c r="F2124" s="0" t="s">
        <v>40</v>
      </c>
      <c r="G2124" s="0" t="s">
        <v>42</v>
      </c>
      <c r="H2124" s="0" t="s">
        <v>42</v>
      </c>
      <c r="I2124" s="0" t="s">
        <v>34</v>
      </c>
      <c r="J2124" s="0" t="n">
        <v>1.07</v>
      </c>
      <c r="K2124" s="0" t="s">
        <v>35</v>
      </c>
      <c r="L2124" s="0" t="n">
        <f aca="false">INDEX(Summary!$F$2:$F$201,MATCH($B2124,Summary!$A$2:$A$201,0))</f>
        <v>20</v>
      </c>
      <c r="M2124" s="0" t="n">
        <f aca="false">INDEX(Summary!$I$2:$I$201,MATCH($B2124,Summary!$A$2:$A$201,0))</f>
        <v>2</v>
      </c>
      <c r="N2124" s="0" t="n">
        <f aca="false">INDEX(Summary!$J$2:$J$201,MATCH($B2124,Summary!$A$2:$A$201,0))</f>
        <v>3</v>
      </c>
      <c r="O2124" s="2" t="n">
        <f aca="false">INDEX(Summary!$K$2:$K$201,MATCH($B2124,Summary!$A$2:$A$201,0))</f>
        <v>9.37</v>
      </c>
      <c r="P2124" s="3" t="n">
        <f aca="false">INDEX(Summary!$L$2:$L$201,MATCH($B2124,Summary!$A$2:$A$201,0))</f>
        <v>4</v>
      </c>
      <c r="Q2124" s="3" t="n">
        <f aca="false">INDEX(Summary!$M$2:$M$201,MATCH($B2124,Summary!$A$2:$A$201,0))</f>
        <v>2</v>
      </c>
      <c r="R2124" s="2" t="n">
        <f aca="false">INDEX(Summary!$N$2:$N$201,MATCH($B2124,Summary!$A$2:$A$201,0))</f>
        <v>9.3</v>
      </c>
      <c r="S2124" s="3" t="n">
        <f aca="false">INDEX(Summary!$O$2:$O$201,MATCH($B2124,Summary!$A$2:$A$201,0))</f>
        <v>7</v>
      </c>
      <c r="T2124" s="3" t="n">
        <f aca="false">INDEX(Summary!$P$2:$P$201,MATCH($B2124,Summary!$A$2:$A$201,0))</f>
        <v>2</v>
      </c>
      <c r="U2124" s="2" t="n">
        <f aca="false">INDEX(Summary!$Q$2:$Q$201,MATCH($B2124,Summary!$A$2:$A$201,0))</f>
        <v>13.59</v>
      </c>
      <c r="V2124" s="2" t="n">
        <f aca="false">INDEX(Summary!$R$2:$R$201,MATCH($B2124,Summary!$A$2:$A$201,0))</f>
        <v>24.36</v>
      </c>
      <c r="W2124" s="0" t="str">
        <f aca="false">INDEX(Summary!$S$2:$S$201,MATCH($B2124,Summary!$A$2:$A$201,0))</f>
        <v>Silver</v>
      </c>
      <c r="X2124" s="2" t="n">
        <f aca="false">INDEX(Summary!$T$2:$T$201,MATCH($B2124,Summary!$A$2:$A$201,0))</f>
        <v>59.41</v>
      </c>
      <c r="Y2124" s="0" t="str">
        <f aca="false">INDEX('Reward Model'!$E$18:$E$37,MATCH($E2124,'Reward Model'!$A$18:$A$37,0))</f>
        <v>Medium</v>
      </c>
      <c r="Z2124" s="4" t="n">
        <f aca="false">ROUND(MIN(1,MAX('Reward Model'!$B$2,INDEX('Reward Model'!$C$12:$C$14,MATCH($K2124,'Reward Model'!$A$12:$A$14,0))/$J2124)),3)</f>
        <v>1</v>
      </c>
      <c r="AA2124" s="2" t="n">
        <f aca="false">IF($I2124="Correct",ROUND(INDEX('Reward Model'!$B$12:$B$14,MATCH($K2124,'Reward Model'!$A$12:$A$14,0))*Z2124,2),0)</f>
        <v>1</v>
      </c>
      <c r="AB2124" s="2" t="n">
        <f aca="false">IF($I2124="Correct",ROUND(INDEX('Reward Model'!$B$12:$B$14,MATCH($Y2124,'Reward Model'!$A$12:$A$14,0))*Z2124,2),0)</f>
        <v>2</v>
      </c>
    </row>
    <row r="2125" customFormat="false" ht="15" hidden="false" customHeight="false" outlineLevel="0" collapsed="false">
      <c r="A2125" s="0" t="s">
        <v>344</v>
      </c>
      <c r="B2125" s="0" t="s">
        <v>345</v>
      </c>
      <c r="C2125" s="0" t="s">
        <v>322</v>
      </c>
      <c r="D2125" s="0" t="s">
        <v>31</v>
      </c>
      <c r="E2125" s="0" t="n">
        <v>4</v>
      </c>
      <c r="F2125" s="0" t="s">
        <v>43</v>
      </c>
      <c r="G2125" s="0" t="s">
        <v>45</v>
      </c>
      <c r="H2125" s="0" t="s">
        <v>45</v>
      </c>
      <c r="I2125" s="0" t="s">
        <v>34</v>
      </c>
      <c r="J2125" s="0" t="n">
        <v>1.69</v>
      </c>
      <c r="K2125" s="0" t="s">
        <v>35</v>
      </c>
      <c r="L2125" s="0" t="n">
        <f aca="false">INDEX(Summary!$F$2:$F$201,MATCH($B2125,Summary!$A$2:$A$201,0))</f>
        <v>20</v>
      </c>
      <c r="M2125" s="0" t="n">
        <f aca="false">INDEX(Summary!$I$2:$I$201,MATCH($B2125,Summary!$A$2:$A$201,0))</f>
        <v>2</v>
      </c>
      <c r="N2125" s="0" t="n">
        <f aca="false">INDEX(Summary!$J$2:$J$201,MATCH($B2125,Summary!$A$2:$A$201,0))</f>
        <v>3</v>
      </c>
      <c r="O2125" s="2" t="n">
        <f aca="false">INDEX(Summary!$K$2:$K$201,MATCH($B2125,Summary!$A$2:$A$201,0))</f>
        <v>9.37</v>
      </c>
      <c r="P2125" s="3" t="n">
        <f aca="false">INDEX(Summary!$L$2:$L$201,MATCH($B2125,Summary!$A$2:$A$201,0))</f>
        <v>4</v>
      </c>
      <c r="Q2125" s="3" t="n">
        <f aca="false">INDEX(Summary!$M$2:$M$201,MATCH($B2125,Summary!$A$2:$A$201,0))</f>
        <v>2</v>
      </c>
      <c r="R2125" s="2" t="n">
        <f aca="false">INDEX(Summary!$N$2:$N$201,MATCH($B2125,Summary!$A$2:$A$201,0))</f>
        <v>9.3</v>
      </c>
      <c r="S2125" s="3" t="n">
        <f aca="false">INDEX(Summary!$O$2:$O$201,MATCH($B2125,Summary!$A$2:$A$201,0))</f>
        <v>7</v>
      </c>
      <c r="T2125" s="3" t="n">
        <f aca="false">INDEX(Summary!$P$2:$P$201,MATCH($B2125,Summary!$A$2:$A$201,0))</f>
        <v>2</v>
      </c>
      <c r="U2125" s="2" t="n">
        <f aca="false">INDEX(Summary!$Q$2:$Q$201,MATCH($B2125,Summary!$A$2:$A$201,0))</f>
        <v>13.59</v>
      </c>
      <c r="V2125" s="2" t="n">
        <f aca="false">INDEX(Summary!$R$2:$R$201,MATCH($B2125,Summary!$A$2:$A$201,0))</f>
        <v>24.36</v>
      </c>
      <c r="W2125" s="0" t="str">
        <f aca="false">INDEX(Summary!$S$2:$S$201,MATCH($B2125,Summary!$A$2:$A$201,0))</f>
        <v>Silver</v>
      </c>
      <c r="X2125" s="2" t="n">
        <f aca="false">INDEX(Summary!$T$2:$T$201,MATCH($B2125,Summary!$A$2:$A$201,0))</f>
        <v>59.41</v>
      </c>
      <c r="Y2125" s="0" t="str">
        <f aca="false">INDEX('Reward Model'!$E$18:$E$37,MATCH($E2125,'Reward Model'!$A$18:$A$37,0))</f>
        <v>Low</v>
      </c>
      <c r="Z2125" s="4" t="n">
        <f aca="false">ROUND(MIN(1,MAX('Reward Model'!$B$2,INDEX('Reward Model'!$C$12:$C$14,MATCH($K2125,'Reward Model'!$A$12:$A$14,0))/$J2125)),3)</f>
        <v>0.888</v>
      </c>
      <c r="AA2125" s="2" t="n">
        <f aca="false">IF($I2125="Correct",ROUND(INDEX('Reward Model'!$B$12:$B$14,MATCH($K2125,'Reward Model'!$A$12:$A$14,0))*Z2125,2),0)</f>
        <v>0.89</v>
      </c>
      <c r="AB2125" s="2" t="n">
        <f aca="false">IF($I2125="Correct",ROUND(INDEX('Reward Model'!$B$12:$B$14,MATCH($Y2125,'Reward Model'!$A$12:$A$14,0))*Z2125,2),0)</f>
        <v>0.89</v>
      </c>
    </row>
    <row r="2126" customFormat="false" ht="15" hidden="false" customHeight="false" outlineLevel="0" collapsed="false">
      <c r="A2126" s="0" t="s">
        <v>344</v>
      </c>
      <c r="B2126" s="0" t="s">
        <v>345</v>
      </c>
      <c r="C2126" s="0" t="s">
        <v>322</v>
      </c>
      <c r="D2126" s="0" t="s">
        <v>31</v>
      </c>
      <c r="E2126" s="0" t="n">
        <v>5</v>
      </c>
      <c r="F2126" s="0" t="s">
        <v>46</v>
      </c>
      <c r="G2126" s="0" t="s">
        <v>47</v>
      </c>
      <c r="H2126" s="0" t="s">
        <v>47</v>
      </c>
      <c r="I2126" s="0" t="s">
        <v>34</v>
      </c>
      <c r="J2126" s="0" t="n">
        <v>1.61</v>
      </c>
      <c r="K2126" s="0" t="s">
        <v>35</v>
      </c>
      <c r="L2126" s="0" t="n">
        <f aca="false">INDEX(Summary!$F$2:$F$201,MATCH($B2126,Summary!$A$2:$A$201,0))</f>
        <v>20</v>
      </c>
      <c r="M2126" s="0" t="n">
        <f aca="false">INDEX(Summary!$I$2:$I$201,MATCH($B2126,Summary!$A$2:$A$201,0))</f>
        <v>2</v>
      </c>
      <c r="N2126" s="0" t="n">
        <f aca="false">INDEX(Summary!$J$2:$J$201,MATCH($B2126,Summary!$A$2:$A$201,0))</f>
        <v>3</v>
      </c>
      <c r="O2126" s="2" t="n">
        <f aca="false">INDEX(Summary!$K$2:$K$201,MATCH($B2126,Summary!$A$2:$A$201,0))</f>
        <v>9.37</v>
      </c>
      <c r="P2126" s="3" t="n">
        <f aca="false">INDEX(Summary!$L$2:$L$201,MATCH($B2126,Summary!$A$2:$A$201,0))</f>
        <v>4</v>
      </c>
      <c r="Q2126" s="3" t="n">
        <f aca="false">INDEX(Summary!$M$2:$M$201,MATCH($B2126,Summary!$A$2:$A$201,0))</f>
        <v>2</v>
      </c>
      <c r="R2126" s="2" t="n">
        <f aca="false">INDEX(Summary!$N$2:$N$201,MATCH($B2126,Summary!$A$2:$A$201,0))</f>
        <v>9.3</v>
      </c>
      <c r="S2126" s="3" t="n">
        <f aca="false">INDEX(Summary!$O$2:$O$201,MATCH($B2126,Summary!$A$2:$A$201,0))</f>
        <v>7</v>
      </c>
      <c r="T2126" s="3" t="n">
        <f aca="false">INDEX(Summary!$P$2:$P$201,MATCH($B2126,Summary!$A$2:$A$201,0))</f>
        <v>2</v>
      </c>
      <c r="U2126" s="2" t="n">
        <f aca="false">INDEX(Summary!$Q$2:$Q$201,MATCH($B2126,Summary!$A$2:$A$201,0))</f>
        <v>13.59</v>
      </c>
      <c r="V2126" s="2" t="n">
        <f aca="false">INDEX(Summary!$R$2:$R$201,MATCH($B2126,Summary!$A$2:$A$201,0))</f>
        <v>24.36</v>
      </c>
      <c r="W2126" s="0" t="str">
        <f aca="false">INDEX(Summary!$S$2:$S$201,MATCH($B2126,Summary!$A$2:$A$201,0))</f>
        <v>Silver</v>
      </c>
      <c r="X2126" s="2" t="n">
        <f aca="false">INDEX(Summary!$T$2:$T$201,MATCH($B2126,Summary!$A$2:$A$201,0))</f>
        <v>59.41</v>
      </c>
      <c r="Y2126" s="0" t="str">
        <f aca="false">INDEX('Reward Model'!$E$18:$E$37,MATCH($E2126,'Reward Model'!$A$18:$A$37,0))</f>
        <v>Low</v>
      </c>
      <c r="Z2126" s="4" t="n">
        <f aca="false">ROUND(MIN(1,MAX('Reward Model'!$B$2,INDEX('Reward Model'!$C$12:$C$14,MATCH($K2126,'Reward Model'!$A$12:$A$14,0))/$J2126)),3)</f>
        <v>0.932</v>
      </c>
      <c r="AA2126" s="2" t="n">
        <f aca="false">IF($I2126="Correct",ROUND(INDEX('Reward Model'!$B$12:$B$14,MATCH($K2126,'Reward Model'!$A$12:$A$14,0))*Z2126,2),0)</f>
        <v>0.93</v>
      </c>
      <c r="AB2126" s="2" t="n">
        <f aca="false">IF($I2126="Correct",ROUND(INDEX('Reward Model'!$B$12:$B$14,MATCH($Y2126,'Reward Model'!$A$12:$A$14,0))*Z2126,2),0)</f>
        <v>0.93</v>
      </c>
    </row>
    <row r="2127" customFormat="false" ht="15" hidden="false" customHeight="false" outlineLevel="0" collapsed="false">
      <c r="A2127" s="0" t="s">
        <v>344</v>
      </c>
      <c r="B2127" s="0" t="s">
        <v>345</v>
      </c>
      <c r="C2127" s="0" t="s">
        <v>322</v>
      </c>
      <c r="D2127" s="0" t="s">
        <v>31</v>
      </c>
      <c r="E2127" s="0" t="n">
        <v>6</v>
      </c>
      <c r="F2127" s="0" t="s">
        <v>48</v>
      </c>
      <c r="G2127" s="0" t="s">
        <v>49</v>
      </c>
      <c r="H2127" s="0" t="s">
        <v>49</v>
      </c>
      <c r="I2127" s="0" t="s">
        <v>34</v>
      </c>
      <c r="J2127" s="0" t="n">
        <v>1.74</v>
      </c>
      <c r="K2127" s="0" t="s">
        <v>35</v>
      </c>
      <c r="L2127" s="0" t="n">
        <f aca="false">INDEX(Summary!$F$2:$F$201,MATCH($B2127,Summary!$A$2:$A$201,0))</f>
        <v>20</v>
      </c>
      <c r="M2127" s="0" t="n">
        <f aca="false">INDEX(Summary!$I$2:$I$201,MATCH($B2127,Summary!$A$2:$A$201,0))</f>
        <v>2</v>
      </c>
      <c r="N2127" s="0" t="n">
        <f aca="false">INDEX(Summary!$J$2:$J$201,MATCH($B2127,Summary!$A$2:$A$201,0))</f>
        <v>3</v>
      </c>
      <c r="O2127" s="2" t="n">
        <f aca="false">INDEX(Summary!$K$2:$K$201,MATCH($B2127,Summary!$A$2:$A$201,0))</f>
        <v>9.37</v>
      </c>
      <c r="P2127" s="3" t="n">
        <f aca="false">INDEX(Summary!$L$2:$L$201,MATCH($B2127,Summary!$A$2:$A$201,0))</f>
        <v>4</v>
      </c>
      <c r="Q2127" s="3" t="n">
        <f aca="false">INDEX(Summary!$M$2:$M$201,MATCH($B2127,Summary!$A$2:$A$201,0))</f>
        <v>2</v>
      </c>
      <c r="R2127" s="2" t="n">
        <f aca="false">INDEX(Summary!$N$2:$N$201,MATCH($B2127,Summary!$A$2:$A$201,0))</f>
        <v>9.3</v>
      </c>
      <c r="S2127" s="3" t="n">
        <f aca="false">INDEX(Summary!$O$2:$O$201,MATCH($B2127,Summary!$A$2:$A$201,0))</f>
        <v>7</v>
      </c>
      <c r="T2127" s="3" t="n">
        <f aca="false">INDEX(Summary!$P$2:$P$201,MATCH($B2127,Summary!$A$2:$A$201,0))</f>
        <v>2</v>
      </c>
      <c r="U2127" s="2" t="n">
        <f aca="false">INDEX(Summary!$Q$2:$Q$201,MATCH($B2127,Summary!$A$2:$A$201,0))</f>
        <v>13.59</v>
      </c>
      <c r="V2127" s="2" t="n">
        <f aca="false">INDEX(Summary!$R$2:$R$201,MATCH($B2127,Summary!$A$2:$A$201,0))</f>
        <v>24.36</v>
      </c>
      <c r="W2127" s="0" t="str">
        <f aca="false">INDEX(Summary!$S$2:$S$201,MATCH($B2127,Summary!$A$2:$A$201,0))</f>
        <v>Silver</v>
      </c>
      <c r="X2127" s="2" t="n">
        <f aca="false">INDEX(Summary!$T$2:$T$201,MATCH($B2127,Summary!$A$2:$A$201,0))</f>
        <v>59.41</v>
      </c>
      <c r="Y2127" s="0" t="str">
        <f aca="false">INDEX('Reward Model'!$E$18:$E$37,MATCH($E2127,'Reward Model'!$A$18:$A$37,0))</f>
        <v>Medium</v>
      </c>
      <c r="Z2127" s="4" t="n">
        <f aca="false">ROUND(MIN(1,MAX('Reward Model'!$B$2,INDEX('Reward Model'!$C$12:$C$14,MATCH($K2127,'Reward Model'!$A$12:$A$14,0))/$J2127)),3)</f>
        <v>0.862</v>
      </c>
      <c r="AA2127" s="2" t="n">
        <f aca="false">IF($I2127="Correct",ROUND(INDEX('Reward Model'!$B$12:$B$14,MATCH($K2127,'Reward Model'!$A$12:$A$14,0))*Z2127,2),0)</f>
        <v>0.86</v>
      </c>
      <c r="AB2127" s="2" t="n">
        <f aca="false">IF($I2127="Correct",ROUND(INDEX('Reward Model'!$B$12:$B$14,MATCH($Y2127,'Reward Model'!$A$12:$A$14,0))*Z2127,2),0)</f>
        <v>1.72</v>
      </c>
    </row>
    <row r="2128" customFormat="false" ht="15" hidden="false" customHeight="false" outlineLevel="0" collapsed="false">
      <c r="A2128" s="0" t="s">
        <v>344</v>
      </c>
      <c r="B2128" s="0" t="s">
        <v>345</v>
      </c>
      <c r="C2128" s="0" t="s">
        <v>322</v>
      </c>
      <c r="D2128" s="0" t="s">
        <v>31</v>
      </c>
      <c r="E2128" s="0" t="n">
        <v>7</v>
      </c>
      <c r="F2128" s="0" t="s">
        <v>50</v>
      </c>
      <c r="G2128" s="0" t="s">
        <v>51</v>
      </c>
      <c r="H2128" s="0" t="s">
        <v>51</v>
      </c>
      <c r="I2128" s="0" t="s">
        <v>34</v>
      </c>
      <c r="J2128" s="0" t="n">
        <v>1.39</v>
      </c>
      <c r="K2128" s="0" t="s">
        <v>35</v>
      </c>
      <c r="L2128" s="0" t="n">
        <f aca="false">INDEX(Summary!$F$2:$F$201,MATCH($B2128,Summary!$A$2:$A$201,0))</f>
        <v>20</v>
      </c>
      <c r="M2128" s="0" t="n">
        <f aca="false">INDEX(Summary!$I$2:$I$201,MATCH($B2128,Summary!$A$2:$A$201,0))</f>
        <v>2</v>
      </c>
      <c r="N2128" s="0" t="n">
        <f aca="false">INDEX(Summary!$J$2:$J$201,MATCH($B2128,Summary!$A$2:$A$201,0))</f>
        <v>3</v>
      </c>
      <c r="O2128" s="2" t="n">
        <f aca="false">INDEX(Summary!$K$2:$K$201,MATCH($B2128,Summary!$A$2:$A$201,0))</f>
        <v>9.37</v>
      </c>
      <c r="P2128" s="3" t="n">
        <f aca="false">INDEX(Summary!$L$2:$L$201,MATCH($B2128,Summary!$A$2:$A$201,0))</f>
        <v>4</v>
      </c>
      <c r="Q2128" s="3" t="n">
        <f aca="false">INDEX(Summary!$M$2:$M$201,MATCH($B2128,Summary!$A$2:$A$201,0))</f>
        <v>2</v>
      </c>
      <c r="R2128" s="2" t="n">
        <f aca="false">INDEX(Summary!$N$2:$N$201,MATCH($B2128,Summary!$A$2:$A$201,0))</f>
        <v>9.3</v>
      </c>
      <c r="S2128" s="3" t="n">
        <f aca="false">INDEX(Summary!$O$2:$O$201,MATCH($B2128,Summary!$A$2:$A$201,0))</f>
        <v>7</v>
      </c>
      <c r="T2128" s="3" t="n">
        <f aca="false">INDEX(Summary!$P$2:$P$201,MATCH($B2128,Summary!$A$2:$A$201,0))</f>
        <v>2</v>
      </c>
      <c r="U2128" s="2" t="n">
        <f aca="false">INDEX(Summary!$Q$2:$Q$201,MATCH($B2128,Summary!$A$2:$A$201,0))</f>
        <v>13.59</v>
      </c>
      <c r="V2128" s="2" t="n">
        <f aca="false">INDEX(Summary!$R$2:$R$201,MATCH($B2128,Summary!$A$2:$A$201,0))</f>
        <v>24.36</v>
      </c>
      <c r="W2128" s="0" t="str">
        <f aca="false">INDEX(Summary!$S$2:$S$201,MATCH($B2128,Summary!$A$2:$A$201,0))</f>
        <v>Silver</v>
      </c>
      <c r="X2128" s="2" t="n">
        <f aca="false">INDEX(Summary!$T$2:$T$201,MATCH($B2128,Summary!$A$2:$A$201,0))</f>
        <v>59.41</v>
      </c>
      <c r="Y2128" s="0" t="str">
        <f aca="false">INDEX('Reward Model'!$E$18:$E$37,MATCH($E2128,'Reward Model'!$A$18:$A$37,0))</f>
        <v>Low</v>
      </c>
      <c r="Z2128" s="4" t="n">
        <f aca="false">ROUND(MIN(1,MAX('Reward Model'!$B$2,INDEX('Reward Model'!$C$12:$C$14,MATCH($K2128,'Reward Model'!$A$12:$A$14,0))/$J2128)),3)</f>
        <v>1</v>
      </c>
      <c r="AA2128" s="2" t="n">
        <f aca="false">IF($I2128="Correct",ROUND(INDEX('Reward Model'!$B$12:$B$14,MATCH($K2128,'Reward Model'!$A$12:$A$14,0))*Z2128,2),0)</f>
        <v>1</v>
      </c>
      <c r="AB2128" s="2" t="n">
        <f aca="false">IF($I2128="Correct",ROUND(INDEX('Reward Model'!$B$12:$B$14,MATCH($Y2128,'Reward Model'!$A$12:$A$14,0))*Z2128,2),0)</f>
        <v>1</v>
      </c>
    </row>
    <row r="2129" customFormat="false" ht="15" hidden="false" customHeight="false" outlineLevel="0" collapsed="false">
      <c r="A2129" s="0" t="s">
        <v>344</v>
      </c>
      <c r="B2129" s="0" t="s">
        <v>345</v>
      </c>
      <c r="C2129" s="0" t="s">
        <v>322</v>
      </c>
      <c r="D2129" s="0" t="s">
        <v>31</v>
      </c>
      <c r="E2129" s="0" t="n">
        <v>8</v>
      </c>
      <c r="F2129" s="0" t="s">
        <v>52</v>
      </c>
      <c r="G2129" s="0" t="s">
        <v>54</v>
      </c>
      <c r="H2129" s="0" t="s">
        <v>54</v>
      </c>
      <c r="I2129" s="0" t="s">
        <v>34</v>
      </c>
      <c r="J2129" s="0" t="n">
        <v>1.18</v>
      </c>
      <c r="K2129" s="0" t="s">
        <v>35</v>
      </c>
      <c r="L2129" s="0" t="n">
        <f aca="false">INDEX(Summary!$F$2:$F$201,MATCH($B2129,Summary!$A$2:$A$201,0))</f>
        <v>20</v>
      </c>
      <c r="M2129" s="0" t="n">
        <f aca="false">INDEX(Summary!$I$2:$I$201,MATCH($B2129,Summary!$A$2:$A$201,0))</f>
        <v>2</v>
      </c>
      <c r="N2129" s="0" t="n">
        <f aca="false">INDEX(Summary!$J$2:$J$201,MATCH($B2129,Summary!$A$2:$A$201,0))</f>
        <v>3</v>
      </c>
      <c r="O2129" s="2" t="n">
        <f aca="false">INDEX(Summary!$K$2:$K$201,MATCH($B2129,Summary!$A$2:$A$201,0))</f>
        <v>9.37</v>
      </c>
      <c r="P2129" s="3" t="n">
        <f aca="false">INDEX(Summary!$L$2:$L$201,MATCH($B2129,Summary!$A$2:$A$201,0))</f>
        <v>4</v>
      </c>
      <c r="Q2129" s="3" t="n">
        <f aca="false">INDEX(Summary!$M$2:$M$201,MATCH($B2129,Summary!$A$2:$A$201,0))</f>
        <v>2</v>
      </c>
      <c r="R2129" s="2" t="n">
        <f aca="false">INDEX(Summary!$N$2:$N$201,MATCH($B2129,Summary!$A$2:$A$201,0))</f>
        <v>9.3</v>
      </c>
      <c r="S2129" s="3" t="n">
        <f aca="false">INDEX(Summary!$O$2:$O$201,MATCH($B2129,Summary!$A$2:$A$201,0))</f>
        <v>7</v>
      </c>
      <c r="T2129" s="3" t="n">
        <f aca="false">INDEX(Summary!$P$2:$P$201,MATCH($B2129,Summary!$A$2:$A$201,0))</f>
        <v>2</v>
      </c>
      <c r="U2129" s="2" t="n">
        <f aca="false">INDEX(Summary!$Q$2:$Q$201,MATCH($B2129,Summary!$A$2:$A$201,0))</f>
        <v>13.59</v>
      </c>
      <c r="V2129" s="2" t="n">
        <f aca="false">INDEX(Summary!$R$2:$R$201,MATCH($B2129,Summary!$A$2:$A$201,0))</f>
        <v>24.36</v>
      </c>
      <c r="W2129" s="0" t="str">
        <f aca="false">INDEX(Summary!$S$2:$S$201,MATCH($B2129,Summary!$A$2:$A$201,0))</f>
        <v>Silver</v>
      </c>
      <c r="X2129" s="2" t="n">
        <f aca="false">INDEX(Summary!$T$2:$T$201,MATCH($B2129,Summary!$A$2:$A$201,0))</f>
        <v>59.41</v>
      </c>
      <c r="Y2129" s="0" t="str">
        <f aca="false">INDEX('Reward Model'!$E$18:$E$37,MATCH($E2129,'Reward Model'!$A$18:$A$37,0))</f>
        <v>Medium</v>
      </c>
      <c r="Z2129" s="4" t="n">
        <f aca="false">ROUND(MIN(1,MAX('Reward Model'!$B$2,INDEX('Reward Model'!$C$12:$C$14,MATCH($K2129,'Reward Model'!$A$12:$A$14,0))/$J2129)),3)</f>
        <v>1</v>
      </c>
      <c r="AA2129" s="2" t="n">
        <f aca="false">IF($I2129="Correct",ROUND(INDEX('Reward Model'!$B$12:$B$14,MATCH($K2129,'Reward Model'!$A$12:$A$14,0))*Z2129,2),0)</f>
        <v>1</v>
      </c>
      <c r="AB2129" s="2" t="n">
        <f aca="false">IF($I2129="Correct",ROUND(INDEX('Reward Model'!$B$12:$B$14,MATCH($Y2129,'Reward Model'!$A$12:$A$14,0))*Z2129,2),0)</f>
        <v>2</v>
      </c>
    </row>
    <row r="2130" customFormat="false" ht="15" hidden="false" customHeight="false" outlineLevel="0" collapsed="false">
      <c r="A2130" s="0" t="s">
        <v>344</v>
      </c>
      <c r="B2130" s="0" t="s">
        <v>345</v>
      </c>
      <c r="C2130" s="0" t="s">
        <v>322</v>
      </c>
      <c r="D2130" s="0" t="s">
        <v>31</v>
      </c>
      <c r="E2130" s="0" t="n">
        <v>9</v>
      </c>
      <c r="F2130" s="0" t="s">
        <v>55</v>
      </c>
      <c r="G2130" s="0" t="s">
        <v>57</v>
      </c>
      <c r="H2130" s="0" t="s">
        <v>57</v>
      </c>
      <c r="I2130" s="0" t="s">
        <v>34</v>
      </c>
      <c r="J2130" s="0" t="n">
        <v>1.37</v>
      </c>
      <c r="K2130" s="0" t="s">
        <v>35</v>
      </c>
      <c r="L2130" s="0" t="n">
        <f aca="false">INDEX(Summary!$F$2:$F$201,MATCH($B2130,Summary!$A$2:$A$201,0))</f>
        <v>20</v>
      </c>
      <c r="M2130" s="0" t="n">
        <f aca="false">INDEX(Summary!$I$2:$I$201,MATCH($B2130,Summary!$A$2:$A$201,0))</f>
        <v>2</v>
      </c>
      <c r="N2130" s="0" t="n">
        <f aca="false">INDEX(Summary!$J$2:$J$201,MATCH($B2130,Summary!$A$2:$A$201,0))</f>
        <v>3</v>
      </c>
      <c r="O2130" s="2" t="n">
        <f aca="false">INDEX(Summary!$K$2:$K$201,MATCH($B2130,Summary!$A$2:$A$201,0))</f>
        <v>9.37</v>
      </c>
      <c r="P2130" s="3" t="n">
        <f aca="false">INDEX(Summary!$L$2:$L$201,MATCH($B2130,Summary!$A$2:$A$201,0))</f>
        <v>4</v>
      </c>
      <c r="Q2130" s="3" t="n">
        <f aca="false">INDEX(Summary!$M$2:$M$201,MATCH($B2130,Summary!$A$2:$A$201,0))</f>
        <v>2</v>
      </c>
      <c r="R2130" s="2" t="n">
        <f aca="false">INDEX(Summary!$N$2:$N$201,MATCH($B2130,Summary!$A$2:$A$201,0))</f>
        <v>9.3</v>
      </c>
      <c r="S2130" s="3" t="n">
        <f aca="false">INDEX(Summary!$O$2:$O$201,MATCH($B2130,Summary!$A$2:$A$201,0))</f>
        <v>7</v>
      </c>
      <c r="T2130" s="3" t="n">
        <f aca="false">INDEX(Summary!$P$2:$P$201,MATCH($B2130,Summary!$A$2:$A$201,0))</f>
        <v>2</v>
      </c>
      <c r="U2130" s="2" t="n">
        <f aca="false">INDEX(Summary!$Q$2:$Q$201,MATCH($B2130,Summary!$A$2:$A$201,0))</f>
        <v>13.59</v>
      </c>
      <c r="V2130" s="2" t="n">
        <f aca="false">INDEX(Summary!$R$2:$R$201,MATCH($B2130,Summary!$A$2:$A$201,0))</f>
        <v>24.36</v>
      </c>
      <c r="W2130" s="0" t="str">
        <f aca="false">INDEX(Summary!$S$2:$S$201,MATCH($B2130,Summary!$A$2:$A$201,0))</f>
        <v>Silver</v>
      </c>
      <c r="X2130" s="2" t="n">
        <f aca="false">INDEX(Summary!$T$2:$T$201,MATCH($B2130,Summary!$A$2:$A$201,0))</f>
        <v>59.41</v>
      </c>
      <c r="Y2130" s="0" t="str">
        <f aca="false">INDEX('Reward Model'!$E$18:$E$37,MATCH($E2130,'Reward Model'!$A$18:$A$37,0))</f>
        <v>Medium</v>
      </c>
      <c r="Z2130" s="4" t="n">
        <f aca="false">ROUND(MIN(1,MAX('Reward Model'!$B$2,INDEX('Reward Model'!$C$12:$C$14,MATCH($K2130,'Reward Model'!$A$12:$A$14,0))/$J2130)),3)</f>
        <v>1</v>
      </c>
      <c r="AA2130" s="2" t="n">
        <f aca="false">IF($I2130="Correct",ROUND(INDEX('Reward Model'!$B$12:$B$14,MATCH($K2130,'Reward Model'!$A$12:$A$14,0))*Z2130,2),0)</f>
        <v>1</v>
      </c>
      <c r="AB2130" s="2" t="n">
        <f aca="false">IF($I2130="Correct",ROUND(INDEX('Reward Model'!$B$12:$B$14,MATCH($Y2130,'Reward Model'!$A$12:$A$14,0))*Z2130,2),0)</f>
        <v>2</v>
      </c>
    </row>
    <row r="2131" customFormat="false" ht="15" hidden="false" customHeight="false" outlineLevel="0" collapsed="false">
      <c r="A2131" s="0" t="s">
        <v>344</v>
      </c>
      <c r="B2131" s="0" t="s">
        <v>345</v>
      </c>
      <c r="C2131" s="0" t="s">
        <v>322</v>
      </c>
      <c r="D2131" s="0" t="s">
        <v>31</v>
      </c>
      <c r="E2131" s="0" t="n">
        <v>10</v>
      </c>
      <c r="F2131" s="0" t="s">
        <v>58</v>
      </c>
      <c r="G2131" s="0" t="s">
        <v>59</v>
      </c>
      <c r="H2131" s="0" t="s">
        <v>59</v>
      </c>
      <c r="I2131" s="0" t="s">
        <v>34</v>
      </c>
      <c r="J2131" s="0" t="n">
        <v>1.53</v>
      </c>
      <c r="K2131" s="0" t="s">
        <v>60</v>
      </c>
      <c r="L2131" s="0" t="n">
        <f aca="false">INDEX(Summary!$F$2:$F$201,MATCH($B2131,Summary!$A$2:$A$201,0))</f>
        <v>20</v>
      </c>
      <c r="M2131" s="0" t="n">
        <f aca="false">INDEX(Summary!$I$2:$I$201,MATCH($B2131,Summary!$A$2:$A$201,0))</f>
        <v>2</v>
      </c>
      <c r="N2131" s="0" t="n">
        <f aca="false">INDEX(Summary!$J$2:$J$201,MATCH($B2131,Summary!$A$2:$A$201,0))</f>
        <v>3</v>
      </c>
      <c r="O2131" s="2" t="n">
        <f aca="false">INDEX(Summary!$K$2:$K$201,MATCH($B2131,Summary!$A$2:$A$201,0))</f>
        <v>9.37</v>
      </c>
      <c r="P2131" s="3" t="n">
        <f aca="false">INDEX(Summary!$L$2:$L$201,MATCH($B2131,Summary!$A$2:$A$201,0))</f>
        <v>4</v>
      </c>
      <c r="Q2131" s="3" t="n">
        <f aca="false">INDEX(Summary!$M$2:$M$201,MATCH($B2131,Summary!$A$2:$A$201,0))</f>
        <v>2</v>
      </c>
      <c r="R2131" s="2" t="n">
        <f aca="false">INDEX(Summary!$N$2:$N$201,MATCH($B2131,Summary!$A$2:$A$201,0))</f>
        <v>9.3</v>
      </c>
      <c r="S2131" s="3" t="n">
        <f aca="false">INDEX(Summary!$O$2:$O$201,MATCH($B2131,Summary!$A$2:$A$201,0))</f>
        <v>7</v>
      </c>
      <c r="T2131" s="3" t="n">
        <f aca="false">INDEX(Summary!$P$2:$P$201,MATCH($B2131,Summary!$A$2:$A$201,0))</f>
        <v>2</v>
      </c>
      <c r="U2131" s="2" t="n">
        <f aca="false">INDEX(Summary!$Q$2:$Q$201,MATCH($B2131,Summary!$A$2:$A$201,0))</f>
        <v>13.59</v>
      </c>
      <c r="V2131" s="2" t="n">
        <f aca="false">INDEX(Summary!$R$2:$R$201,MATCH($B2131,Summary!$A$2:$A$201,0))</f>
        <v>24.36</v>
      </c>
      <c r="W2131" s="0" t="str">
        <f aca="false">INDEX(Summary!$S$2:$S$201,MATCH($B2131,Summary!$A$2:$A$201,0))</f>
        <v>Silver</v>
      </c>
      <c r="X2131" s="2" t="n">
        <f aca="false">INDEX(Summary!$T$2:$T$201,MATCH($B2131,Summary!$A$2:$A$201,0))</f>
        <v>59.41</v>
      </c>
      <c r="Y2131" s="0" t="str">
        <f aca="false">INDEX('Reward Model'!$E$18:$E$37,MATCH($E2131,'Reward Model'!$A$18:$A$37,0))</f>
        <v>Medium</v>
      </c>
      <c r="Z2131" s="4" t="n">
        <f aca="false">ROUND(MIN(1,MAX('Reward Model'!$B$2,INDEX('Reward Model'!$C$12:$C$14,MATCH($K2131,'Reward Model'!$A$12:$A$14,0))/$J2131)),3)</f>
        <v>1</v>
      </c>
      <c r="AA2131" s="2" t="n">
        <f aca="false">IF($I2131="Correct",ROUND(INDEX('Reward Model'!$B$12:$B$14,MATCH($K2131,'Reward Model'!$A$12:$A$14,0))*Z2131,2),0)</f>
        <v>2</v>
      </c>
      <c r="AB2131" s="2" t="n">
        <f aca="false">IF($I2131="Correct",ROUND(INDEX('Reward Model'!$B$12:$B$14,MATCH($Y2131,'Reward Model'!$A$12:$A$14,0))*Z2131,2),0)</f>
        <v>2</v>
      </c>
    </row>
    <row r="2132" customFormat="false" ht="15" hidden="false" customHeight="false" outlineLevel="0" collapsed="false">
      <c r="A2132" s="0" t="s">
        <v>344</v>
      </c>
      <c r="B2132" s="0" t="s">
        <v>345</v>
      </c>
      <c r="C2132" s="0" t="s">
        <v>322</v>
      </c>
      <c r="D2132" s="0" t="s">
        <v>31</v>
      </c>
      <c r="E2132" s="0" t="n">
        <v>11</v>
      </c>
      <c r="F2132" s="0" t="s">
        <v>61</v>
      </c>
      <c r="G2132" s="0" t="s">
        <v>145</v>
      </c>
      <c r="H2132" s="0" t="s">
        <v>63</v>
      </c>
      <c r="I2132" s="0" t="s">
        <v>39</v>
      </c>
      <c r="J2132" s="0" t="n">
        <v>2.19</v>
      </c>
      <c r="K2132" s="0" t="s">
        <v>60</v>
      </c>
      <c r="L2132" s="0" t="n">
        <f aca="false">INDEX(Summary!$F$2:$F$201,MATCH($B2132,Summary!$A$2:$A$201,0))</f>
        <v>20</v>
      </c>
      <c r="M2132" s="0" t="n">
        <f aca="false">INDEX(Summary!$I$2:$I$201,MATCH($B2132,Summary!$A$2:$A$201,0))</f>
        <v>2</v>
      </c>
      <c r="N2132" s="0" t="n">
        <f aca="false">INDEX(Summary!$J$2:$J$201,MATCH($B2132,Summary!$A$2:$A$201,0))</f>
        <v>3</v>
      </c>
      <c r="O2132" s="2" t="n">
        <f aca="false">INDEX(Summary!$K$2:$K$201,MATCH($B2132,Summary!$A$2:$A$201,0))</f>
        <v>9.37</v>
      </c>
      <c r="P2132" s="3" t="n">
        <f aca="false">INDEX(Summary!$L$2:$L$201,MATCH($B2132,Summary!$A$2:$A$201,0))</f>
        <v>4</v>
      </c>
      <c r="Q2132" s="3" t="n">
        <f aca="false">INDEX(Summary!$M$2:$M$201,MATCH($B2132,Summary!$A$2:$A$201,0))</f>
        <v>2</v>
      </c>
      <c r="R2132" s="2" t="n">
        <f aca="false">INDEX(Summary!$N$2:$N$201,MATCH($B2132,Summary!$A$2:$A$201,0))</f>
        <v>9.3</v>
      </c>
      <c r="S2132" s="3" t="n">
        <f aca="false">INDEX(Summary!$O$2:$O$201,MATCH($B2132,Summary!$A$2:$A$201,0))</f>
        <v>7</v>
      </c>
      <c r="T2132" s="3" t="n">
        <f aca="false">INDEX(Summary!$P$2:$P$201,MATCH($B2132,Summary!$A$2:$A$201,0))</f>
        <v>2</v>
      </c>
      <c r="U2132" s="2" t="n">
        <f aca="false">INDEX(Summary!$Q$2:$Q$201,MATCH($B2132,Summary!$A$2:$A$201,0))</f>
        <v>13.59</v>
      </c>
      <c r="V2132" s="2" t="n">
        <f aca="false">INDEX(Summary!$R$2:$R$201,MATCH($B2132,Summary!$A$2:$A$201,0))</f>
        <v>24.36</v>
      </c>
      <c r="W2132" s="0" t="str">
        <f aca="false">INDEX(Summary!$S$2:$S$201,MATCH($B2132,Summary!$A$2:$A$201,0))</f>
        <v>Silver</v>
      </c>
      <c r="X2132" s="2" t="n">
        <f aca="false">INDEX(Summary!$T$2:$T$201,MATCH($B2132,Summary!$A$2:$A$201,0))</f>
        <v>59.41</v>
      </c>
      <c r="Y2132" s="0" t="str">
        <f aca="false">INDEX('Reward Model'!$E$18:$E$37,MATCH($E2132,'Reward Model'!$A$18:$A$37,0))</f>
        <v>Medium</v>
      </c>
      <c r="Z2132" s="4" t="n">
        <f aca="false">ROUND(MIN(1,MAX('Reward Model'!$B$2,INDEX('Reward Model'!$C$12:$C$14,MATCH($K2132,'Reward Model'!$A$12:$A$14,0))/$J2132)),3)</f>
        <v>0.822</v>
      </c>
      <c r="AA2132" s="2" t="n">
        <f aca="false">IF($I2132="Correct",ROUND(INDEX('Reward Model'!$B$12:$B$14,MATCH($K2132,'Reward Model'!$A$12:$A$14,0))*Z2132,2),0)</f>
        <v>0</v>
      </c>
      <c r="AB2132" s="2" t="n">
        <f aca="false">IF($I2132="Correct",ROUND(INDEX('Reward Model'!$B$12:$B$14,MATCH($Y2132,'Reward Model'!$A$12:$A$14,0))*Z2132,2),0)</f>
        <v>0</v>
      </c>
    </row>
    <row r="2133" customFormat="false" ht="15" hidden="false" customHeight="false" outlineLevel="0" collapsed="false">
      <c r="A2133" s="0" t="s">
        <v>344</v>
      </c>
      <c r="B2133" s="0" t="s">
        <v>345</v>
      </c>
      <c r="C2133" s="0" t="s">
        <v>322</v>
      </c>
      <c r="D2133" s="0" t="s">
        <v>31</v>
      </c>
      <c r="E2133" s="0" t="n">
        <v>12</v>
      </c>
      <c r="F2133" s="0" t="s">
        <v>64</v>
      </c>
      <c r="G2133" s="0" t="s">
        <v>146</v>
      </c>
      <c r="H2133" s="0" t="s">
        <v>65</v>
      </c>
      <c r="I2133" s="0" t="s">
        <v>39</v>
      </c>
      <c r="J2133" s="0" t="n">
        <v>1.16</v>
      </c>
      <c r="K2133" s="0" t="s">
        <v>60</v>
      </c>
      <c r="L2133" s="0" t="n">
        <f aca="false">INDEX(Summary!$F$2:$F$201,MATCH($B2133,Summary!$A$2:$A$201,0))</f>
        <v>20</v>
      </c>
      <c r="M2133" s="0" t="n">
        <f aca="false">INDEX(Summary!$I$2:$I$201,MATCH($B2133,Summary!$A$2:$A$201,0))</f>
        <v>2</v>
      </c>
      <c r="N2133" s="0" t="n">
        <f aca="false">INDEX(Summary!$J$2:$J$201,MATCH($B2133,Summary!$A$2:$A$201,0))</f>
        <v>3</v>
      </c>
      <c r="O2133" s="2" t="n">
        <f aca="false">INDEX(Summary!$K$2:$K$201,MATCH($B2133,Summary!$A$2:$A$201,0))</f>
        <v>9.37</v>
      </c>
      <c r="P2133" s="3" t="n">
        <f aca="false">INDEX(Summary!$L$2:$L$201,MATCH($B2133,Summary!$A$2:$A$201,0))</f>
        <v>4</v>
      </c>
      <c r="Q2133" s="3" t="n">
        <f aca="false">INDEX(Summary!$M$2:$M$201,MATCH($B2133,Summary!$A$2:$A$201,0))</f>
        <v>2</v>
      </c>
      <c r="R2133" s="2" t="n">
        <f aca="false">INDEX(Summary!$N$2:$N$201,MATCH($B2133,Summary!$A$2:$A$201,0))</f>
        <v>9.3</v>
      </c>
      <c r="S2133" s="3" t="n">
        <f aca="false">INDEX(Summary!$O$2:$O$201,MATCH($B2133,Summary!$A$2:$A$201,0))</f>
        <v>7</v>
      </c>
      <c r="T2133" s="3" t="n">
        <f aca="false">INDEX(Summary!$P$2:$P$201,MATCH($B2133,Summary!$A$2:$A$201,0))</f>
        <v>2</v>
      </c>
      <c r="U2133" s="2" t="n">
        <f aca="false">INDEX(Summary!$Q$2:$Q$201,MATCH($B2133,Summary!$A$2:$A$201,0))</f>
        <v>13.59</v>
      </c>
      <c r="V2133" s="2" t="n">
        <f aca="false">INDEX(Summary!$R$2:$R$201,MATCH($B2133,Summary!$A$2:$A$201,0))</f>
        <v>24.36</v>
      </c>
      <c r="W2133" s="0" t="str">
        <f aca="false">INDEX(Summary!$S$2:$S$201,MATCH($B2133,Summary!$A$2:$A$201,0))</f>
        <v>Silver</v>
      </c>
      <c r="X2133" s="2" t="n">
        <f aca="false">INDEX(Summary!$T$2:$T$201,MATCH($B2133,Summary!$A$2:$A$201,0))</f>
        <v>59.41</v>
      </c>
      <c r="Y2133" s="0" t="str">
        <f aca="false">INDEX('Reward Model'!$E$18:$E$37,MATCH($E2133,'Reward Model'!$A$18:$A$37,0))</f>
        <v>Medium</v>
      </c>
      <c r="Z2133" s="4" t="n">
        <f aca="false">ROUND(MIN(1,MAX('Reward Model'!$B$2,INDEX('Reward Model'!$C$12:$C$14,MATCH($K2133,'Reward Model'!$A$12:$A$14,0))/$J2133)),3)</f>
        <v>1</v>
      </c>
      <c r="AA2133" s="2" t="n">
        <f aca="false">IF($I2133="Correct",ROUND(INDEX('Reward Model'!$B$12:$B$14,MATCH($K2133,'Reward Model'!$A$12:$A$14,0))*Z2133,2),0)</f>
        <v>0</v>
      </c>
      <c r="AB2133" s="2" t="n">
        <f aca="false">IF($I2133="Correct",ROUND(INDEX('Reward Model'!$B$12:$B$14,MATCH($Y2133,'Reward Model'!$A$12:$A$14,0))*Z2133,2),0)</f>
        <v>0</v>
      </c>
    </row>
    <row r="2134" customFormat="false" ht="15" hidden="false" customHeight="false" outlineLevel="0" collapsed="false">
      <c r="A2134" s="0" t="s">
        <v>344</v>
      </c>
      <c r="B2134" s="0" t="s">
        <v>345</v>
      </c>
      <c r="C2134" s="0" t="s">
        <v>322</v>
      </c>
      <c r="D2134" s="0" t="s">
        <v>31</v>
      </c>
      <c r="E2134" s="0" t="n">
        <v>13</v>
      </c>
      <c r="F2134" s="0" t="s">
        <v>66</v>
      </c>
      <c r="G2134" s="0" t="s">
        <v>67</v>
      </c>
      <c r="H2134" s="0" t="s">
        <v>67</v>
      </c>
      <c r="I2134" s="0" t="s">
        <v>34</v>
      </c>
      <c r="J2134" s="0" t="n">
        <v>1.91</v>
      </c>
      <c r="K2134" s="0" t="s">
        <v>60</v>
      </c>
      <c r="L2134" s="0" t="n">
        <f aca="false">INDEX(Summary!$F$2:$F$201,MATCH($B2134,Summary!$A$2:$A$201,0))</f>
        <v>20</v>
      </c>
      <c r="M2134" s="0" t="n">
        <f aca="false">INDEX(Summary!$I$2:$I$201,MATCH($B2134,Summary!$A$2:$A$201,0))</f>
        <v>2</v>
      </c>
      <c r="N2134" s="0" t="n">
        <f aca="false">INDEX(Summary!$J$2:$J$201,MATCH($B2134,Summary!$A$2:$A$201,0))</f>
        <v>3</v>
      </c>
      <c r="O2134" s="2" t="n">
        <f aca="false">INDEX(Summary!$K$2:$K$201,MATCH($B2134,Summary!$A$2:$A$201,0))</f>
        <v>9.37</v>
      </c>
      <c r="P2134" s="3" t="n">
        <f aca="false">INDEX(Summary!$L$2:$L$201,MATCH($B2134,Summary!$A$2:$A$201,0))</f>
        <v>4</v>
      </c>
      <c r="Q2134" s="3" t="n">
        <f aca="false">INDEX(Summary!$M$2:$M$201,MATCH($B2134,Summary!$A$2:$A$201,0))</f>
        <v>2</v>
      </c>
      <c r="R2134" s="2" t="n">
        <f aca="false">INDEX(Summary!$N$2:$N$201,MATCH($B2134,Summary!$A$2:$A$201,0))</f>
        <v>9.3</v>
      </c>
      <c r="S2134" s="3" t="n">
        <f aca="false">INDEX(Summary!$O$2:$O$201,MATCH($B2134,Summary!$A$2:$A$201,0))</f>
        <v>7</v>
      </c>
      <c r="T2134" s="3" t="n">
        <f aca="false">INDEX(Summary!$P$2:$P$201,MATCH($B2134,Summary!$A$2:$A$201,0))</f>
        <v>2</v>
      </c>
      <c r="U2134" s="2" t="n">
        <f aca="false">INDEX(Summary!$Q$2:$Q$201,MATCH($B2134,Summary!$A$2:$A$201,0))</f>
        <v>13.59</v>
      </c>
      <c r="V2134" s="2" t="n">
        <f aca="false">INDEX(Summary!$R$2:$R$201,MATCH($B2134,Summary!$A$2:$A$201,0))</f>
        <v>24.36</v>
      </c>
      <c r="W2134" s="0" t="str">
        <f aca="false">INDEX(Summary!$S$2:$S$201,MATCH($B2134,Summary!$A$2:$A$201,0))</f>
        <v>Silver</v>
      </c>
      <c r="X2134" s="2" t="n">
        <f aca="false">INDEX(Summary!$T$2:$T$201,MATCH($B2134,Summary!$A$2:$A$201,0))</f>
        <v>59.41</v>
      </c>
      <c r="Y2134" s="0" t="str">
        <f aca="false">INDEX('Reward Model'!$E$18:$E$37,MATCH($E2134,'Reward Model'!$A$18:$A$37,0))</f>
        <v>Medium</v>
      </c>
      <c r="Z2134" s="4" t="n">
        <f aca="false">ROUND(MIN(1,MAX('Reward Model'!$B$2,INDEX('Reward Model'!$C$12:$C$14,MATCH($K2134,'Reward Model'!$A$12:$A$14,0))/$J2134)),3)</f>
        <v>0.942</v>
      </c>
      <c r="AA2134" s="2" t="n">
        <f aca="false">IF($I2134="Correct",ROUND(INDEX('Reward Model'!$B$12:$B$14,MATCH($K2134,'Reward Model'!$A$12:$A$14,0))*Z2134,2),0)</f>
        <v>1.88</v>
      </c>
      <c r="AB2134" s="2" t="n">
        <f aca="false">IF($I2134="Correct",ROUND(INDEX('Reward Model'!$B$12:$B$14,MATCH($Y2134,'Reward Model'!$A$12:$A$14,0))*Z2134,2),0)</f>
        <v>1.88</v>
      </c>
    </row>
    <row r="2135" customFormat="false" ht="15" hidden="false" customHeight="false" outlineLevel="0" collapsed="false">
      <c r="A2135" s="0" t="s">
        <v>344</v>
      </c>
      <c r="B2135" s="0" t="s">
        <v>345</v>
      </c>
      <c r="C2135" s="0" t="s">
        <v>322</v>
      </c>
      <c r="D2135" s="0" t="s">
        <v>31</v>
      </c>
      <c r="E2135" s="0" t="n">
        <v>14</v>
      </c>
      <c r="F2135" s="0" t="s">
        <v>68</v>
      </c>
      <c r="G2135" s="0" t="s">
        <v>51</v>
      </c>
      <c r="H2135" s="0" t="s">
        <v>51</v>
      </c>
      <c r="I2135" s="0" t="s">
        <v>34</v>
      </c>
      <c r="J2135" s="0" t="n">
        <v>1.35</v>
      </c>
      <c r="K2135" s="0" t="s">
        <v>60</v>
      </c>
      <c r="L2135" s="0" t="n">
        <f aca="false">INDEX(Summary!$F$2:$F$201,MATCH($B2135,Summary!$A$2:$A$201,0))</f>
        <v>20</v>
      </c>
      <c r="M2135" s="0" t="n">
        <f aca="false">INDEX(Summary!$I$2:$I$201,MATCH($B2135,Summary!$A$2:$A$201,0))</f>
        <v>2</v>
      </c>
      <c r="N2135" s="0" t="n">
        <f aca="false">INDEX(Summary!$J$2:$J$201,MATCH($B2135,Summary!$A$2:$A$201,0))</f>
        <v>3</v>
      </c>
      <c r="O2135" s="2" t="n">
        <f aca="false">INDEX(Summary!$K$2:$K$201,MATCH($B2135,Summary!$A$2:$A$201,0))</f>
        <v>9.37</v>
      </c>
      <c r="P2135" s="3" t="n">
        <f aca="false">INDEX(Summary!$L$2:$L$201,MATCH($B2135,Summary!$A$2:$A$201,0))</f>
        <v>4</v>
      </c>
      <c r="Q2135" s="3" t="n">
        <f aca="false">INDEX(Summary!$M$2:$M$201,MATCH($B2135,Summary!$A$2:$A$201,0))</f>
        <v>2</v>
      </c>
      <c r="R2135" s="2" t="n">
        <f aca="false">INDEX(Summary!$N$2:$N$201,MATCH($B2135,Summary!$A$2:$A$201,0))</f>
        <v>9.3</v>
      </c>
      <c r="S2135" s="3" t="n">
        <f aca="false">INDEX(Summary!$O$2:$O$201,MATCH($B2135,Summary!$A$2:$A$201,0))</f>
        <v>7</v>
      </c>
      <c r="T2135" s="3" t="n">
        <f aca="false">INDEX(Summary!$P$2:$P$201,MATCH($B2135,Summary!$A$2:$A$201,0))</f>
        <v>2</v>
      </c>
      <c r="U2135" s="2" t="n">
        <f aca="false">INDEX(Summary!$Q$2:$Q$201,MATCH($B2135,Summary!$A$2:$A$201,0))</f>
        <v>13.59</v>
      </c>
      <c r="V2135" s="2" t="n">
        <f aca="false">INDEX(Summary!$R$2:$R$201,MATCH($B2135,Summary!$A$2:$A$201,0))</f>
        <v>24.36</v>
      </c>
      <c r="W2135" s="0" t="str">
        <f aca="false">INDEX(Summary!$S$2:$S$201,MATCH($B2135,Summary!$A$2:$A$201,0))</f>
        <v>Silver</v>
      </c>
      <c r="X2135" s="2" t="n">
        <f aca="false">INDEX(Summary!$T$2:$T$201,MATCH($B2135,Summary!$A$2:$A$201,0))</f>
        <v>59.41</v>
      </c>
      <c r="Y2135" s="0" t="str">
        <f aca="false">INDEX('Reward Model'!$E$18:$E$37,MATCH($E2135,'Reward Model'!$A$18:$A$37,0))</f>
        <v>Medium</v>
      </c>
      <c r="Z2135" s="4" t="n">
        <f aca="false">ROUND(MIN(1,MAX('Reward Model'!$B$2,INDEX('Reward Model'!$C$12:$C$14,MATCH($K2135,'Reward Model'!$A$12:$A$14,0))/$J2135)),3)</f>
        <v>1</v>
      </c>
      <c r="AA2135" s="2" t="n">
        <f aca="false">IF($I2135="Correct",ROUND(INDEX('Reward Model'!$B$12:$B$14,MATCH($K2135,'Reward Model'!$A$12:$A$14,0))*Z2135,2),0)</f>
        <v>2</v>
      </c>
      <c r="AB2135" s="2" t="n">
        <f aca="false">IF($I2135="Correct",ROUND(INDEX('Reward Model'!$B$12:$B$14,MATCH($Y2135,'Reward Model'!$A$12:$A$14,0))*Z2135,2),0)</f>
        <v>2</v>
      </c>
    </row>
    <row r="2136" customFormat="false" ht="15" hidden="false" customHeight="false" outlineLevel="0" collapsed="false">
      <c r="A2136" s="0" t="s">
        <v>344</v>
      </c>
      <c r="B2136" s="0" t="s">
        <v>345</v>
      </c>
      <c r="C2136" s="0" t="s">
        <v>322</v>
      </c>
      <c r="D2136" s="0" t="s">
        <v>31</v>
      </c>
      <c r="E2136" s="0" t="n">
        <v>15</v>
      </c>
      <c r="F2136" s="0" t="s">
        <v>69</v>
      </c>
      <c r="G2136" s="0" t="s">
        <v>70</v>
      </c>
      <c r="H2136" s="0" t="s">
        <v>70</v>
      </c>
      <c r="I2136" s="0" t="s">
        <v>34</v>
      </c>
      <c r="J2136" s="0" t="n">
        <v>1.16</v>
      </c>
      <c r="K2136" s="0" t="s">
        <v>60</v>
      </c>
      <c r="L2136" s="0" t="n">
        <f aca="false">INDEX(Summary!$F$2:$F$201,MATCH($B2136,Summary!$A$2:$A$201,0))</f>
        <v>20</v>
      </c>
      <c r="M2136" s="0" t="n">
        <f aca="false">INDEX(Summary!$I$2:$I$201,MATCH($B2136,Summary!$A$2:$A$201,0))</f>
        <v>2</v>
      </c>
      <c r="N2136" s="0" t="n">
        <f aca="false">INDEX(Summary!$J$2:$J$201,MATCH($B2136,Summary!$A$2:$A$201,0))</f>
        <v>3</v>
      </c>
      <c r="O2136" s="2" t="n">
        <f aca="false">INDEX(Summary!$K$2:$K$201,MATCH($B2136,Summary!$A$2:$A$201,0))</f>
        <v>9.37</v>
      </c>
      <c r="P2136" s="3" t="n">
        <f aca="false">INDEX(Summary!$L$2:$L$201,MATCH($B2136,Summary!$A$2:$A$201,0))</f>
        <v>4</v>
      </c>
      <c r="Q2136" s="3" t="n">
        <f aca="false">INDEX(Summary!$M$2:$M$201,MATCH($B2136,Summary!$A$2:$A$201,0))</f>
        <v>2</v>
      </c>
      <c r="R2136" s="2" t="n">
        <f aca="false">INDEX(Summary!$N$2:$N$201,MATCH($B2136,Summary!$A$2:$A$201,0))</f>
        <v>9.3</v>
      </c>
      <c r="S2136" s="3" t="n">
        <f aca="false">INDEX(Summary!$O$2:$O$201,MATCH($B2136,Summary!$A$2:$A$201,0))</f>
        <v>7</v>
      </c>
      <c r="T2136" s="3" t="n">
        <f aca="false">INDEX(Summary!$P$2:$P$201,MATCH($B2136,Summary!$A$2:$A$201,0))</f>
        <v>2</v>
      </c>
      <c r="U2136" s="2" t="n">
        <f aca="false">INDEX(Summary!$Q$2:$Q$201,MATCH($B2136,Summary!$A$2:$A$201,0))</f>
        <v>13.59</v>
      </c>
      <c r="V2136" s="2" t="n">
        <f aca="false">INDEX(Summary!$R$2:$R$201,MATCH($B2136,Summary!$A$2:$A$201,0))</f>
        <v>24.36</v>
      </c>
      <c r="W2136" s="0" t="str">
        <f aca="false">INDEX(Summary!$S$2:$S$201,MATCH($B2136,Summary!$A$2:$A$201,0))</f>
        <v>Silver</v>
      </c>
      <c r="X2136" s="2" t="n">
        <f aca="false">INDEX(Summary!$T$2:$T$201,MATCH($B2136,Summary!$A$2:$A$201,0))</f>
        <v>59.41</v>
      </c>
      <c r="Y2136" s="0" t="str">
        <f aca="false">INDEX('Reward Model'!$E$18:$E$37,MATCH($E2136,'Reward Model'!$A$18:$A$37,0))</f>
        <v>Medium</v>
      </c>
      <c r="Z2136" s="4" t="n">
        <f aca="false">ROUND(MIN(1,MAX('Reward Model'!$B$2,INDEX('Reward Model'!$C$12:$C$14,MATCH($K2136,'Reward Model'!$A$12:$A$14,0))/$J2136)),3)</f>
        <v>1</v>
      </c>
      <c r="AA2136" s="2" t="n">
        <f aca="false">IF($I2136="Correct",ROUND(INDEX('Reward Model'!$B$12:$B$14,MATCH($K2136,'Reward Model'!$A$12:$A$14,0))*Z2136,2),0)</f>
        <v>2</v>
      </c>
      <c r="AB2136" s="2" t="n">
        <f aca="false">IF($I2136="Correct",ROUND(INDEX('Reward Model'!$B$12:$B$14,MATCH($Y2136,'Reward Model'!$A$12:$A$14,0))*Z2136,2),0)</f>
        <v>2</v>
      </c>
    </row>
    <row r="2137" customFormat="false" ht="15" hidden="false" customHeight="false" outlineLevel="0" collapsed="false">
      <c r="A2137" s="0" t="s">
        <v>344</v>
      </c>
      <c r="B2137" s="0" t="s">
        <v>345</v>
      </c>
      <c r="C2137" s="0" t="s">
        <v>322</v>
      </c>
      <c r="D2137" s="0" t="s">
        <v>31</v>
      </c>
      <c r="E2137" s="0" t="n">
        <v>16</v>
      </c>
      <c r="F2137" s="0" t="s">
        <v>71</v>
      </c>
      <c r="G2137" s="0" t="s">
        <v>72</v>
      </c>
      <c r="H2137" s="0" t="s">
        <v>72</v>
      </c>
      <c r="I2137" s="0" t="s">
        <v>34</v>
      </c>
      <c r="J2137" s="0" t="n">
        <v>1.59</v>
      </c>
      <c r="K2137" s="0" t="s">
        <v>73</v>
      </c>
      <c r="L2137" s="0" t="n">
        <f aca="false">INDEX(Summary!$F$2:$F$201,MATCH($B2137,Summary!$A$2:$A$201,0))</f>
        <v>20</v>
      </c>
      <c r="M2137" s="0" t="n">
        <f aca="false">INDEX(Summary!$I$2:$I$201,MATCH($B2137,Summary!$A$2:$A$201,0))</f>
        <v>2</v>
      </c>
      <c r="N2137" s="0" t="n">
        <f aca="false">INDEX(Summary!$J$2:$J$201,MATCH($B2137,Summary!$A$2:$A$201,0))</f>
        <v>3</v>
      </c>
      <c r="O2137" s="2" t="n">
        <f aca="false">INDEX(Summary!$K$2:$K$201,MATCH($B2137,Summary!$A$2:$A$201,0))</f>
        <v>9.37</v>
      </c>
      <c r="P2137" s="3" t="n">
        <f aca="false">INDEX(Summary!$L$2:$L$201,MATCH($B2137,Summary!$A$2:$A$201,0))</f>
        <v>4</v>
      </c>
      <c r="Q2137" s="3" t="n">
        <f aca="false">INDEX(Summary!$M$2:$M$201,MATCH($B2137,Summary!$A$2:$A$201,0))</f>
        <v>2</v>
      </c>
      <c r="R2137" s="2" t="n">
        <f aca="false">INDEX(Summary!$N$2:$N$201,MATCH($B2137,Summary!$A$2:$A$201,0))</f>
        <v>9.3</v>
      </c>
      <c r="S2137" s="3" t="n">
        <f aca="false">INDEX(Summary!$O$2:$O$201,MATCH($B2137,Summary!$A$2:$A$201,0))</f>
        <v>7</v>
      </c>
      <c r="T2137" s="3" t="n">
        <f aca="false">INDEX(Summary!$P$2:$P$201,MATCH($B2137,Summary!$A$2:$A$201,0))</f>
        <v>2</v>
      </c>
      <c r="U2137" s="2" t="n">
        <f aca="false">INDEX(Summary!$Q$2:$Q$201,MATCH($B2137,Summary!$A$2:$A$201,0))</f>
        <v>13.59</v>
      </c>
      <c r="V2137" s="2" t="n">
        <f aca="false">INDEX(Summary!$R$2:$R$201,MATCH($B2137,Summary!$A$2:$A$201,0))</f>
        <v>24.36</v>
      </c>
      <c r="W2137" s="0" t="str">
        <f aca="false">INDEX(Summary!$S$2:$S$201,MATCH($B2137,Summary!$A$2:$A$201,0))</f>
        <v>Silver</v>
      </c>
      <c r="X2137" s="2" t="n">
        <f aca="false">INDEX(Summary!$T$2:$T$201,MATCH($B2137,Summary!$A$2:$A$201,0))</f>
        <v>59.41</v>
      </c>
      <c r="Y2137" s="0" t="str">
        <f aca="false">INDEX('Reward Model'!$E$18:$E$37,MATCH($E2137,'Reward Model'!$A$18:$A$37,0))</f>
        <v>High</v>
      </c>
      <c r="Z2137" s="4" t="n">
        <f aca="false">ROUND(MIN(1,MAX('Reward Model'!$B$2,INDEX('Reward Model'!$C$12:$C$14,MATCH($K2137,'Reward Model'!$A$12:$A$14,0))/$J2137)),3)</f>
        <v>1</v>
      </c>
      <c r="AA2137" s="2" t="n">
        <f aca="false">IF($I2137="Correct",ROUND(INDEX('Reward Model'!$B$12:$B$14,MATCH($K2137,'Reward Model'!$A$12:$A$14,0))*Z2137,2),0)</f>
        <v>3</v>
      </c>
      <c r="AB2137" s="2" t="n">
        <f aca="false">IF($I2137="Correct",ROUND(INDEX('Reward Model'!$B$12:$B$14,MATCH($Y2137,'Reward Model'!$A$12:$A$14,0))*Z2137,2),0)</f>
        <v>3</v>
      </c>
    </row>
    <row r="2138" customFormat="false" ht="15" hidden="false" customHeight="false" outlineLevel="0" collapsed="false">
      <c r="A2138" s="0" t="s">
        <v>344</v>
      </c>
      <c r="B2138" s="0" t="s">
        <v>345</v>
      </c>
      <c r="C2138" s="0" t="s">
        <v>322</v>
      </c>
      <c r="D2138" s="0" t="s">
        <v>31</v>
      </c>
      <c r="E2138" s="0" t="n">
        <v>17</v>
      </c>
      <c r="F2138" s="0" t="s">
        <v>74</v>
      </c>
      <c r="G2138" s="0" t="s">
        <v>75</v>
      </c>
      <c r="H2138" s="0" t="s">
        <v>75</v>
      </c>
      <c r="I2138" s="0" t="s">
        <v>34</v>
      </c>
      <c r="J2138" s="0" t="n">
        <v>2.04</v>
      </c>
      <c r="K2138" s="0" t="s">
        <v>73</v>
      </c>
      <c r="L2138" s="0" t="n">
        <f aca="false">INDEX(Summary!$F$2:$F$201,MATCH($B2138,Summary!$A$2:$A$201,0))</f>
        <v>20</v>
      </c>
      <c r="M2138" s="0" t="n">
        <f aca="false">INDEX(Summary!$I$2:$I$201,MATCH($B2138,Summary!$A$2:$A$201,0))</f>
        <v>2</v>
      </c>
      <c r="N2138" s="0" t="n">
        <f aca="false">INDEX(Summary!$J$2:$J$201,MATCH($B2138,Summary!$A$2:$A$201,0))</f>
        <v>3</v>
      </c>
      <c r="O2138" s="2" t="n">
        <f aca="false">INDEX(Summary!$K$2:$K$201,MATCH($B2138,Summary!$A$2:$A$201,0))</f>
        <v>9.37</v>
      </c>
      <c r="P2138" s="3" t="n">
        <f aca="false">INDEX(Summary!$L$2:$L$201,MATCH($B2138,Summary!$A$2:$A$201,0))</f>
        <v>4</v>
      </c>
      <c r="Q2138" s="3" t="n">
        <f aca="false">INDEX(Summary!$M$2:$M$201,MATCH($B2138,Summary!$A$2:$A$201,0))</f>
        <v>2</v>
      </c>
      <c r="R2138" s="2" t="n">
        <f aca="false">INDEX(Summary!$N$2:$N$201,MATCH($B2138,Summary!$A$2:$A$201,0))</f>
        <v>9.3</v>
      </c>
      <c r="S2138" s="3" t="n">
        <f aca="false">INDEX(Summary!$O$2:$O$201,MATCH($B2138,Summary!$A$2:$A$201,0))</f>
        <v>7</v>
      </c>
      <c r="T2138" s="3" t="n">
        <f aca="false">INDEX(Summary!$P$2:$P$201,MATCH($B2138,Summary!$A$2:$A$201,0))</f>
        <v>2</v>
      </c>
      <c r="U2138" s="2" t="n">
        <f aca="false">INDEX(Summary!$Q$2:$Q$201,MATCH($B2138,Summary!$A$2:$A$201,0))</f>
        <v>13.59</v>
      </c>
      <c r="V2138" s="2" t="n">
        <f aca="false">INDEX(Summary!$R$2:$R$201,MATCH($B2138,Summary!$A$2:$A$201,0))</f>
        <v>24.36</v>
      </c>
      <c r="W2138" s="0" t="str">
        <f aca="false">INDEX(Summary!$S$2:$S$201,MATCH($B2138,Summary!$A$2:$A$201,0))</f>
        <v>Silver</v>
      </c>
      <c r="X2138" s="2" t="n">
        <f aca="false">INDEX(Summary!$T$2:$T$201,MATCH($B2138,Summary!$A$2:$A$201,0))</f>
        <v>59.41</v>
      </c>
      <c r="Y2138" s="0" t="str">
        <f aca="false">INDEX('Reward Model'!$E$18:$E$37,MATCH($E2138,'Reward Model'!$A$18:$A$37,0))</f>
        <v>High</v>
      </c>
      <c r="Z2138" s="4" t="n">
        <f aca="false">ROUND(MIN(1,MAX('Reward Model'!$B$2,INDEX('Reward Model'!$C$12:$C$14,MATCH($K2138,'Reward Model'!$A$12:$A$14,0))/$J2138)),3)</f>
        <v>0.98</v>
      </c>
      <c r="AA2138" s="2" t="n">
        <f aca="false">IF($I2138="Correct",ROUND(INDEX('Reward Model'!$B$12:$B$14,MATCH($K2138,'Reward Model'!$A$12:$A$14,0))*Z2138,2),0)</f>
        <v>2.94</v>
      </c>
      <c r="AB2138" s="2" t="n">
        <f aca="false">IF($I2138="Correct",ROUND(INDEX('Reward Model'!$B$12:$B$14,MATCH($Y2138,'Reward Model'!$A$12:$A$14,0))*Z2138,2),0)</f>
        <v>2.94</v>
      </c>
    </row>
    <row r="2139" customFormat="false" ht="15" hidden="false" customHeight="false" outlineLevel="0" collapsed="false">
      <c r="A2139" s="0" t="s">
        <v>344</v>
      </c>
      <c r="B2139" s="0" t="s">
        <v>345</v>
      </c>
      <c r="C2139" s="0" t="s">
        <v>322</v>
      </c>
      <c r="D2139" s="0" t="s">
        <v>31</v>
      </c>
      <c r="E2139" s="0" t="n">
        <v>18</v>
      </c>
      <c r="F2139" s="0" t="s">
        <v>76</v>
      </c>
      <c r="G2139" s="0" t="s">
        <v>56</v>
      </c>
      <c r="H2139" s="0" t="s">
        <v>77</v>
      </c>
      <c r="I2139" s="0" t="s">
        <v>39</v>
      </c>
      <c r="J2139" s="0" t="n">
        <v>2.2</v>
      </c>
      <c r="K2139" s="0" t="s">
        <v>73</v>
      </c>
      <c r="L2139" s="0" t="n">
        <f aca="false">INDEX(Summary!$F$2:$F$201,MATCH($B2139,Summary!$A$2:$A$201,0))</f>
        <v>20</v>
      </c>
      <c r="M2139" s="0" t="n">
        <f aca="false">INDEX(Summary!$I$2:$I$201,MATCH($B2139,Summary!$A$2:$A$201,0))</f>
        <v>2</v>
      </c>
      <c r="N2139" s="0" t="n">
        <f aca="false">INDEX(Summary!$J$2:$J$201,MATCH($B2139,Summary!$A$2:$A$201,0))</f>
        <v>3</v>
      </c>
      <c r="O2139" s="2" t="n">
        <f aca="false">INDEX(Summary!$K$2:$K$201,MATCH($B2139,Summary!$A$2:$A$201,0))</f>
        <v>9.37</v>
      </c>
      <c r="P2139" s="3" t="n">
        <f aca="false">INDEX(Summary!$L$2:$L$201,MATCH($B2139,Summary!$A$2:$A$201,0))</f>
        <v>4</v>
      </c>
      <c r="Q2139" s="3" t="n">
        <f aca="false">INDEX(Summary!$M$2:$M$201,MATCH($B2139,Summary!$A$2:$A$201,0))</f>
        <v>2</v>
      </c>
      <c r="R2139" s="2" t="n">
        <f aca="false">INDEX(Summary!$N$2:$N$201,MATCH($B2139,Summary!$A$2:$A$201,0))</f>
        <v>9.3</v>
      </c>
      <c r="S2139" s="3" t="n">
        <f aca="false">INDEX(Summary!$O$2:$O$201,MATCH($B2139,Summary!$A$2:$A$201,0))</f>
        <v>7</v>
      </c>
      <c r="T2139" s="3" t="n">
        <f aca="false">INDEX(Summary!$P$2:$P$201,MATCH($B2139,Summary!$A$2:$A$201,0))</f>
        <v>2</v>
      </c>
      <c r="U2139" s="2" t="n">
        <f aca="false">INDEX(Summary!$Q$2:$Q$201,MATCH($B2139,Summary!$A$2:$A$201,0))</f>
        <v>13.59</v>
      </c>
      <c r="V2139" s="2" t="n">
        <f aca="false">INDEX(Summary!$R$2:$R$201,MATCH($B2139,Summary!$A$2:$A$201,0))</f>
        <v>24.36</v>
      </c>
      <c r="W2139" s="0" t="str">
        <f aca="false">INDEX(Summary!$S$2:$S$201,MATCH($B2139,Summary!$A$2:$A$201,0))</f>
        <v>Silver</v>
      </c>
      <c r="X2139" s="2" t="n">
        <f aca="false">INDEX(Summary!$T$2:$T$201,MATCH($B2139,Summary!$A$2:$A$201,0))</f>
        <v>59.41</v>
      </c>
      <c r="Y2139" s="0" t="str">
        <f aca="false">INDEX('Reward Model'!$E$18:$E$37,MATCH($E2139,'Reward Model'!$A$18:$A$37,0))</f>
        <v>High</v>
      </c>
      <c r="Z2139" s="4" t="n">
        <f aca="false">ROUND(MIN(1,MAX('Reward Model'!$B$2,INDEX('Reward Model'!$C$12:$C$14,MATCH($K2139,'Reward Model'!$A$12:$A$14,0))/$J2139)),3)</f>
        <v>0.909</v>
      </c>
      <c r="AA2139" s="2" t="n">
        <f aca="false">IF($I2139="Correct",ROUND(INDEX('Reward Model'!$B$12:$B$14,MATCH($K2139,'Reward Model'!$A$12:$A$14,0))*Z2139,2),0)</f>
        <v>0</v>
      </c>
      <c r="AB2139" s="2" t="n">
        <f aca="false">IF($I2139="Correct",ROUND(INDEX('Reward Model'!$B$12:$B$14,MATCH($Y2139,'Reward Model'!$A$12:$A$14,0))*Z2139,2),0)</f>
        <v>0</v>
      </c>
    </row>
    <row r="2140" customFormat="false" ht="15" hidden="false" customHeight="false" outlineLevel="0" collapsed="false">
      <c r="A2140" s="0" t="s">
        <v>344</v>
      </c>
      <c r="B2140" s="0" t="s">
        <v>345</v>
      </c>
      <c r="C2140" s="0" t="s">
        <v>322</v>
      </c>
      <c r="D2140" s="0" t="s">
        <v>31</v>
      </c>
      <c r="E2140" s="0" t="n">
        <v>19</v>
      </c>
      <c r="F2140" s="0" t="s">
        <v>78</v>
      </c>
      <c r="G2140" s="0" t="s">
        <v>132</v>
      </c>
      <c r="H2140" s="0" t="s">
        <v>80</v>
      </c>
      <c r="I2140" s="0" t="s">
        <v>39</v>
      </c>
      <c r="J2140" s="0" t="n">
        <v>1.94</v>
      </c>
      <c r="K2140" s="0" t="s">
        <v>73</v>
      </c>
      <c r="L2140" s="0" t="n">
        <f aca="false">INDEX(Summary!$F$2:$F$201,MATCH($B2140,Summary!$A$2:$A$201,0))</f>
        <v>20</v>
      </c>
      <c r="M2140" s="0" t="n">
        <f aca="false">INDEX(Summary!$I$2:$I$201,MATCH($B2140,Summary!$A$2:$A$201,0))</f>
        <v>2</v>
      </c>
      <c r="N2140" s="0" t="n">
        <f aca="false">INDEX(Summary!$J$2:$J$201,MATCH($B2140,Summary!$A$2:$A$201,0))</f>
        <v>3</v>
      </c>
      <c r="O2140" s="2" t="n">
        <f aca="false">INDEX(Summary!$K$2:$K$201,MATCH($B2140,Summary!$A$2:$A$201,0))</f>
        <v>9.37</v>
      </c>
      <c r="P2140" s="3" t="n">
        <f aca="false">INDEX(Summary!$L$2:$L$201,MATCH($B2140,Summary!$A$2:$A$201,0))</f>
        <v>4</v>
      </c>
      <c r="Q2140" s="3" t="n">
        <f aca="false">INDEX(Summary!$M$2:$M$201,MATCH($B2140,Summary!$A$2:$A$201,0))</f>
        <v>2</v>
      </c>
      <c r="R2140" s="2" t="n">
        <f aca="false">INDEX(Summary!$N$2:$N$201,MATCH($B2140,Summary!$A$2:$A$201,0))</f>
        <v>9.3</v>
      </c>
      <c r="S2140" s="3" t="n">
        <f aca="false">INDEX(Summary!$O$2:$O$201,MATCH($B2140,Summary!$A$2:$A$201,0))</f>
        <v>7</v>
      </c>
      <c r="T2140" s="3" t="n">
        <f aca="false">INDEX(Summary!$P$2:$P$201,MATCH($B2140,Summary!$A$2:$A$201,0))</f>
        <v>2</v>
      </c>
      <c r="U2140" s="2" t="n">
        <f aca="false">INDEX(Summary!$Q$2:$Q$201,MATCH($B2140,Summary!$A$2:$A$201,0))</f>
        <v>13.59</v>
      </c>
      <c r="V2140" s="2" t="n">
        <f aca="false">INDEX(Summary!$R$2:$R$201,MATCH($B2140,Summary!$A$2:$A$201,0))</f>
        <v>24.36</v>
      </c>
      <c r="W2140" s="0" t="str">
        <f aca="false">INDEX(Summary!$S$2:$S$201,MATCH($B2140,Summary!$A$2:$A$201,0))</f>
        <v>Silver</v>
      </c>
      <c r="X2140" s="2" t="n">
        <f aca="false">INDEX(Summary!$T$2:$T$201,MATCH($B2140,Summary!$A$2:$A$201,0))</f>
        <v>59.41</v>
      </c>
      <c r="Y2140" s="0" t="str">
        <f aca="false">INDEX('Reward Model'!$E$18:$E$37,MATCH($E2140,'Reward Model'!$A$18:$A$37,0))</f>
        <v>High</v>
      </c>
      <c r="Z2140" s="4" t="n">
        <f aca="false">ROUND(MIN(1,MAX('Reward Model'!$B$2,INDEX('Reward Model'!$C$12:$C$14,MATCH($K2140,'Reward Model'!$A$12:$A$14,0))/$J2140)),3)</f>
        <v>1</v>
      </c>
      <c r="AA2140" s="2" t="n">
        <f aca="false">IF($I2140="Correct",ROUND(INDEX('Reward Model'!$B$12:$B$14,MATCH($K2140,'Reward Model'!$A$12:$A$14,0))*Z2140,2),0)</f>
        <v>0</v>
      </c>
      <c r="AB2140" s="2" t="n">
        <f aca="false">IF($I2140="Correct",ROUND(INDEX('Reward Model'!$B$12:$B$14,MATCH($Y2140,'Reward Model'!$A$12:$A$14,0))*Z2140,2),0)</f>
        <v>0</v>
      </c>
    </row>
    <row r="2141" customFormat="false" ht="15" hidden="false" customHeight="false" outlineLevel="0" collapsed="false">
      <c r="A2141" s="0" t="s">
        <v>344</v>
      </c>
      <c r="B2141" s="0" t="s">
        <v>345</v>
      </c>
      <c r="C2141" s="0" t="s">
        <v>322</v>
      </c>
      <c r="D2141" s="0" t="s">
        <v>31</v>
      </c>
      <c r="E2141" s="0" t="n">
        <v>20</v>
      </c>
      <c r="F2141" s="0" t="s">
        <v>81</v>
      </c>
      <c r="G2141" s="0" t="s">
        <v>119</v>
      </c>
      <c r="H2141" s="0" t="s">
        <v>83</v>
      </c>
      <c r="I2141" s="0" t="s">
        <v>39</v>
      </c>
      <c r="J2141" s="0" t="n">
        <v>1.6</v>
      </c>
      <c r="K2141" s="0" t="s">
        <v>73</v>
      </c>
      <c r="L2141" s="0" t="n">
        <f aca="false">INDEX(Summary!$F$2:$F$201,MATCH($B2141,Summary!$A$2:$A$201,0))</f>
        <v>20</v>
      </c>
      <c r="M2141" s="0" t="n">
        <f aca="false">INDEX(Summary!$I$2:$I$201,MATCH($B2141,Summary!$A$2:$A$201,0))</f>
        <v>2</v>
      </c>
      <c r="N2141" s="0" t="n">
        <f aca="false">INDEX(Summary!$J$2:$J$201,MATCH($B2141,Summary!$A$2:$A$201,0))</f>
        <v>3</v>
      </c>
      <c r="O2141" s="2" t="n">
        <f aca="false">INDEX(Summary!$K$2:$K$201,MATCH($B2141,Summary!$A$2:$A$201,0))</f>
        <v>9.37</v>
      </c>
      <c r="P2141" s="3" t="n">
        <f aca="false">INDEX(Summary!$L$2:$L$201,MATCH($B2141,Summary!$A$2:$A$201,0))</f>
        <v>4</v>
      </c>
      <c r="Q2141" s="3" t="n">
        <f aca="false">INDEX(Summary!$M$2:$M$201,MATCH($B2141,Summary!$A$2:$A$201,0))</f>
        <v>2</v>
      </c>
      <c r="R2141" s="2" t="n">
        <f aca="false">INDEX(Summary!$N$2:$N$201,MATCH($B2141,Summary!$A$2:$A$201,0))</f>
        <v>9.3</v>
      </c>
      <c r="S2141" s="3" t="n">
        <f aca="false">INDEX(Summary!$O$2:$O$201,MATCH($B2141,Summary!$A$2:$A$201,0))</f>
        <v>7</v>
      </c>
      <c r="T2141" s="3" t="n">
        <f aca="false">INDEX(Summary!$P$2:$P$201,MATCH($B2141,Summary!$A$2:$A$201,0))</f>
        <v>2</v>
      </c>
      <c r="U2141" s="2" t="n">
        <f aca="false">INDEX(Summary!$Q$2:$Q$201,MATCH($B2141,Summary!$A$2:$A$201,0))</f>
        <v>13.59</v>
      </c>
      <c r="V2141" s="2" t="n">
        <f aca="false">INDEX(Summary!$R$2:$R$201,MATCH($B2141,Summary!$A$2:$A$201,0))</f>
        <v>24.36</v>
      </c>
      <c r="W2141" s="0" t="str">
        <f aca="false">INDEX(Summary!$S$2:$S$201,MATCH($B2141,Summary!$A$2:$A$201,0))</f>
        <v>Silver</v>
      </c>
      <c r="X2141" s="2" t="n">
        <f aca="false">INDEX(Summary!$T$2:$T$201,MATCH($B2141,Summary!$A$2:$A$201,0))</f>
        <v>59.41</v>
      </c>
      <c r="Y2141" s="0" t="str">
        <f aca="false">INDEX('Reward Model'!$E$18:$E$37,MATCH($E2141,'Reward Model'!$A$18:$A$37,0))</f>
        <v>High</v>
      </c>
      <c r="Z2141" s="4" t="n">
        <f aca="false">ROUND(MIN(1,MAX('Reward Model'!$B$2,INDEX('Reward Model'!$C$12:$C$14,MATCH($K2141,'Reward Model'!$A$12:$A$14,0))/$J2141)),3)</f>
        <v>1</v>
      </c>
      <c r="AA2141" s="2" t="n">
        <f aca="false">IF($I2141="Correct",ROUND(INDEX('Reward Model'!$B$12:$B$14,MATCH($K2141,'Reward Model'!$A$12:$A$14,0))*Z2141,2),0)</f>
        <v>0</v>
      </c>
      <c r="AB2141" s="2" t="n">
        <f aca="false">IF($I2141="Correct",ROUND(INDEX('Reward Model'!$B$12:$B$14,MATCH($Y2141,'Reward Model'!$A$12:$A$14,0))*Z2141,2),0)</f>
        <v>0</v>
      </c>
    </row>
    <row r="2142" customFormat="false" ht="15" hidden="false" customHeight="false" outlineLevel="0" collapsed="false">
      <c r="A2142" s="0" t="s">
        <v>346</v>
      </c>
      <c r="B2142" s="0" t="s">
        <v>347</v>
      </c>
      <c r="C2142" s="0" t="s">
        <v>322</v>
      </c>
      <c r="D2142" s="0" t="s">
        <v>31</v>
      </c>
      <c r="E2142" s="0" t="n">
        <v>1</v>
      </c>
      <c r="F2142" s="0" t="s">
        <v>32</v>
      </c>
      <c r="G2142" s="0" t="s">
        <v>33</v>
      </c>
      <c r="H2142" s="0" t="s">
        <v>33</v>
      </c>
      <c r="I2142" s="0" t="s">
        <v>34</v>
      </c>
      <c r="J2142" s="0" t="n">
        <v>1.41</v>
      </c>
      <c r="K2142" s="0" t="s">
        <v>35</v>
      </c>
      <c r="L2142" s="0" t="n">
        <f aca="false">INDEX(Summary!$F$2:$F$201,MATCH($B2142,Summary!$A$2:$A$201,0))</f>
        <v>20</v>
      </c>
      <c r="M2142" s="0" t="n">
        <f aca="false">INDEX(Summary!$I$2:$I$201,MATCH($B2142,Summary!$A$2:$A$201,0))</f>
        <v>3</v>
      </c>
      <c r="N2142" s="0" t="n">
        <f aca="false">INDEX(Summary!$J$2:$J$201,MATCH($B2142,Summary!$A$2:$A$201,0))</f>
        <v>2</v>
      </c>
      <c r="O2142" s="2" t="n">
        <f aca="false">INDEX(Summary!$K$2:$K$201,MATCH($B2142,Summary!$A$2:$A$201,0))</f>
        <v>7.37</v>
      </c>
      <c r="P2142" s="3" t="n">
        <f aca="false">INDEX(Summary!$L$2:$L$201,MATCH($B2142,Summary!$A$2:$A$201,0))</f>
        <v>3</v>
      </c>
      <c r="Q2142" s="3" t="n">
        <f aca="false">INDEX(Summary!$M$2:$M$201,MATCH($B2142,Summary!$A$2:$A$201,0))</f>
        <v>3</v>
      </c>
      <c r="R2142" s="2" t="n">
        <f aca="false">INDEX(Summary!$N$2:$N$201,MATCH($B2142,Summary!$A$2:$A$201,0))</f>
        <v>10.71</v>
      </c>
      <c r="S2142" s="3" t="n">
        <f aca="false">INDEX(Summary!$O$2:$O$201,MATCH($B2142,Summary!$A$2:$A$201,0))</f>
        <v>7</v>
      </c>
      <c r="T2142" s="3" t="n">
        <f aca="false">INDEX(Summary!$P$2:$P$201,MATCH($B2142,Summary!$A$2:$A$201,0))</f>
        <v>2</v>
      </c>
      <c r="U2142" s="2" t="n">
        <f aca="false">INDEX(Summary!$Q$2:$Q$201,MATCH($B2142,Summary!$A$2:$A$201,0))</f>
        <v>14.02</v>
      </c>
      <c r="V2142" s="2" t="n">
        <f aca="false">INDEX(Summary!$R$2:$R$201,MATCH($B2142,Summary!$A$2:$A$201,0))</f>
        <v>23.6</v>
      </c>
      <c r="W2142" s="0" t="str">
        <f aca="false">INDEX(Summary!$S$2:$S$201,MATCH($B2142,Summary!$A$2:$A$201,0))</f>
        <v>Silver</v>
      </c>
      <c r="X2142" s="2" t="n">
        <f aca="false">INDEX(Summary!$T$2:$T$201,MATCH($B2142,Summary!$A$2:$A$201,0))</f>
        <v>57.56</v>
      </c>
      <c r="Y2142" s="0" t="str">
        <f aca="false">INDEX('Reward Model'!$E$18:$E$37,MATCH($E2142,'Reward Model'!$A$18:$A$37,0))</f>
        <v>Medium</v>
      </c>
      <c r="Z2142" s="4" t="n">
        <f aca="false">ROUND(MIN(1,MAX('Reward Model'!$B$2,INDEX('Reward Model'!$C$12:$C$14,MATCH($K2142,'Reward Model'!$A$12:$A$14,0))/$J2142)),3)</f>
        <v>1</v>
      </c>
      <c r="AA2142" s="2" t="n">
        <f aca="false">IF($I2142="Correct",ROUND(INDEX('Reward Model'!$B$12:$B$14,MATCH($K2142,'Reward Model'!$A$12:$A$14,0))*Z2142,2),0)</f>
        <v>1</v>
      </c>
      <c r="AB2142" s="2" t="n">
        <f aca="false">IF($I2142="Correct",ROUND(INDEX('Reward Model'!$B$12:$B$14,MATCH($Y2142,'Reward Model'!$A$12:$A$14,0))*Z2142,2),0)</f>
        <v>2</v>
      </c>
    </row>
    <row r="2143" customFormat="false" ht="15" hidden="false" customHeight="false" outlineLevel="0" collapsed="false">
      <c r="A2143" s="0" t="s">
        <v>346</v>
      </c>
      <c r="B2143" s="0" t="s">
        <v>347</v>
      </c>
      <c r="C2143" s="0" t="s">
        <v>322</v>
      </c>
      <c r="D2143" s="0" t="s">
        <v>31</v>
      </c>
      <c r="E2143" s="0" t="n">
        <v>2</v>
      </c>
      <c r="F2143" s="0" t="s">
        <v>36</v>
      </c>
      <c r="G2143" s="0" t="s">
        <v>38</v>
      </c>
      <c r="H2143" s="0" t="s">
        <v>38</v>
      </c>
      <c r="I2143" s="0" t="s">
        <v>34</v>
      </c>
      <c r="J2143" s="0" t="n">
        <v>1.73</v>
      </c>
      <c r="K2143" s="0" t="s">
        <v>35</v>
      </c>
      <c r="L2143" s="0" t="n">
        <f aca="false">INDEX(Summary!$F$2:$F$201,MATCH($B2143,Summary!$A$2:$A$201,0))</f>
        <v>20</v>
      </c>
      <c r="M2143" s="0" t="n">
        <f aca="false">INDEX(Summary!$I$2:$I$201,MATCH($B2143,Summary!$A$2:$A$201,0))</f>
        <v>3</v>
      </c>
      <c r="N2143" s="0" t="n">
        <f aca="false">INDEX(Summary!$J$2:$J$201,MATCH($B2143,Summary!$A$2:$A$201,0))</f>
        <v>2</v>
      </c>
      <c r="O2143" s="2" t="n">
        <f aca="false">INDEX(Summary!$K$2:$K$201,MATCH($B2143,Summary!$A$2:$A$201,0))</f>
        <v>7.37</v>
      </c>
      <c r="P2143" s="3" t="n">
        <f aca="false">INDEX(Summary!$L$2:$L$201,MATCH($B2143,Summary!$A$2:$A$201,0))</f>
        <v>3</v>
      </c>
      <c r="Q2143" s="3" t="n">
        <f aca="false">INDEX(Summary!$M$2:$M$201,MATCH($B2143,Summary!$A$2:$A$201,0))</f>
        <v>3</v>
      </c>
      <c r="R2143" s="2" t="n">
        <f aca="false">INDEX(Summary!$N$2:$N$201,MATCH($B2143,Summary!$A$2:$A$201,0))</f>
        <v>10.71</v>
      </c>
      <c r="S2143" s="3" t="n">
        <f aca="false">INDEX(Summary!$O$2:$O$201,MATCH($B2143,Summary!$A$2:$A$201,0))</f>
        <v>7</v>
      </c>
      <c r="T2143" s="3" t="n">
        <f aca="false">INDEX(Summary!$P$2:$P$201,MATCH($B2143,Summary!$A$2:$A$201,0))</f>
        <v>2</v>
      </c>
      <c r="U2143" s="2" t="n">
        <f aca="false">INDEX(Summary!$Q$2:$Q$201,MATCH($B2143,Summary!$A$2:$A$201,0))</f>
        <v>14.02</v>
      </c>
      <c r="V2143" s="2" t="n">
        <f aca="false">INDEX(Summary!$R$2:$R$201,MATCH($B2143,Summary!$A$2:$A$201,0))</f>
        <v>23.6</v>
      </c>
      <c r="W2143" s="0" t="str">
        <f aca="false">INDEX(Summary!$S$2:$S$201,MATCH($B2143,Summary!$A$2:$A$201,0))</f>
        <v>Silver</v>
      </c>
      <c r="X2143" s="2" t="n">
        <f aca="false">INDEX(Summary!$T$2:$T$201,MATCH($B2143,Summary!$A$2:$A$201,0))</f>
        <v>57.56</v>
      </c>
      <c r="Y2143" s="0" t="str">
        <f aca="false">INDEX('Reward Model'!$E$18:$E$37,MATCH($E2143,'Reward Model'!$A$18:$A$37,0))</f>
        <v>Low</v>
      </c>
      <c r="Z2143" s="4" t="n">
        <f aca="false">ROUND(MIN(1,MAX('Reward Model'!$B$2,INDEX('Reward Model'!$C$12:$C$14,MATCH($K2143,'Reward Model'!$A$12:$A$14,0))/$J2143)),3)</f>
        <v>0.867</v>
      </c>
      <c r="AA2143" s="2" t="n">
        <f aca="false">IF($I2143="Correct",ROUND(INDEX('Reward Model'!$B$12:$B$14,MATCH($K2143,'Reward Model'!$A$12:$A$14,0))*Z2143,2),0)</f>
        <v>0.87</v>
      </c>
      <c r="AB2143" s="2" t="n">
        <f aca="false">IF($I2143="Correct",ROUND(INDEX('Reward Model'!$B$12:$B$14,MATCH($Y2143,'Reward Model'!$A$12:$A$14,0))*Z2143,2),0)</f>
        <v>0.87</v>
      </c>
    </row>
    <row r="2144" customFormat="false" ht="15" hidden="false" customHeight="false" outlineLevel="0" collapsed="false">
      <c r="A2144" s="0" t="s">
        <v>346</v>
      </c>
      <c r="B2144" s="0" t="s">
        <v>347</v>
      </c>
      <c r="C2144" s="0" t="s">
        <v>322</v>
      </c>
      <c r="D2144" s="0" t="s">
        <v>31</v>
      </c>
      <c r="E2144" s="0" t="n">
        <v>3</v>
      </c>
      <c r="F2144" s="0" t="s">
        <v>40</v>
      </c>
      <c r="G2144" s="0" t="s">
        <v>42</v>
      </c>
      <c r="H2144" s="0" t="s">
        <v>42</v>
      </c>
      <c r="I2144" s="0" t="s">
        <v>34</v>
      </c>
      <c r="J2144" s="0" t="n">
        <v>1.83</v>
      </c>
      <c r="K2144" s="0" t="s">
        <v>35</v>
      </c>
      <c r="L2144" s="0" t="n">
        <f aca="false">INDEX(Summary!$F$2:$F$201,MATCH($B2144,Summary!$A$2:$A$201,0))</f>
        <v>20</v>
      </c>
      <c r="M2144" s="0" t="n">
        <f aca="false">INDEX(Summary!$I$2:$I$201,MATCH($B2144,Summary!$A$2:$A$201,0))</f>
        <v>3</v>
      </c>
      <c r="N2144" s="0" t="n">
        <f aca="false">INDEX(Summary!$J$2:$J$201,MATCH($B2144,Summary!$A$2:$A$201,0))</f>
        <v>2</v>
      </c>
      <c r="O2144" s="2" t="n">
        <f aca="false">INDEX(Summary!$K$2:$K$201,MATCH($B2144,Summary!$A$2:$A$201,0))</f>
        <v>7.37</v>
      </c>
      <c r="P2144" s="3" t="n">
        <f aca="false">INDEX(Summary!$L$2:$L$201,MATCH($B2144,Summary!$A$2:$A$201,0))</f>
        <v>3</v>
      </c>
      <c r="Q2144" s="3" t="n">
        <f aca="false">INDEX(Summary!$M$2:$M$201,MATCH($B2144,Summary!$A$2:$A$201,0))</f>
        <v>3</v>
      </c>
      <c r="R2144" s="2" t="n">
        <f aca="false">INDEX(Summary!$N$2:$N$201,MATCH($B2144,Summary!$A$2:$A$201,0))</f>
        <v>10.71</v>
      </c>
      <c r="S2144" s="3" t="n">
        <f aca="false">INDEX(Summary!$O$2:$O$201,MATCH($B2144,Summary!$A$2:$A$201,0))</f>
        <v>7</v>
      </c>
      <c r="T2144" s="3" t="n">
        <f aca="false">INDEX(Summary!$P$2:$P$201,MATCH($B2144,Summary!$A$2:$A$201,0))</f>
        <v>2</v>
      </c>
      <c r="U2144" s="2" t="n">
        <f aca="false">INDEX(Summary!$Q$2:$Q$201,MATCH($B2144,Summary!$A$2:$A$201,0))</f>
        <v>14.02</v>
      </c>
      <c r="V2144" s="2" t="n">
        <f aca="false">INDEX(Summary!$R$2:$R$201,MATCH($B2144,Summary!$A$2:$A$201,0))</f>
        <v>23.6</v>
      </c>
      <c r="W2144" s="0" t="str">
        <f aca="false">INDEX(Summary!$S$2:$S$201,MATCH($B2144,Summary!$A$2:$A$201,0))</f>
        <v>Silver</v>
      </c>
      <c r="X2144" s="2" t="n">
        <f aca="false">INDEX(Summary!$T$2:$T$201,MATCH($B2144,Summary!$A$2:$A$201,0))</f>
        <v>57.56</v>
      </c>
      <c r="Y2144" s="0" t="str">
        <f aca="false">INDEX('Reward Model'!$E$18:$E$37,MATCH($E2144,'Reward Model'!$A$18:$A$37,0))</f>
        <v>Medium</v>
      </c>
      <c r="Z2144" s="4" t="n">
        <f aca="false">ROUND(MIN(1,MAX('Reward Model'!$B$2,INDEX('Reward Model'!$C$12:$C$14,MATCH($K2144,'Reward Model'!$A$12:$A$14,0))/$J2144)),3)</f>
        <v>0.82</v>
      </c>
      <c r="AA2144" s="2" t="n">
        <f aca="false">IF($I2144="Correct",ROUND(INDEX('Reward Model'!$B$12:$B$14,MATCH($K2144,'Reward Model'!$A$12:$A$14,0))*Z2144,2),0)</f>
        <v>0.82</v>
      </c>
      <c r="AB2144" s="2" t="n">
        <f aca="false">IF($I2144="Correct",ROUND(INDEX('Reward Model'!$B$12:$B$14,MATCH($Y2144,'Reward Model'!$A$12:$A$14,0))*Z2144,2),0)</f>
        <v>1.64</v>
      </c>
    </row>
    <row r="2145" customFormat="false" ht="15" hidden="false" customHeight="false" outlineLevel="0" collapsed="false">
      <c r="A2145" s="0" t="s">
        <v>346</v>
      </c>
      <c r="B2145" s="0" t="s">
        <v>347</v>
      </c>
      <c r="C2145" s="0" t="s">
        <v>322</v>
      </c>
      <c r="D2145" s="0" t="s">
        <v>31</v>
      </c>
      <c r="E2145" s="0" t="n">
        <v>4</v>
      </c>
      <c r="F2145" s="0" t="s">
        <v>43</v>
      </c>
      <c r="G2145" s="0" t="s">
        <v>45</v>
      </c>
      <c r="H2145" s="0" t="s">
        <v>45</v>
      </c>
      <c r="I2145" s="0" t="s">
        <v>34</v>
      </c>
      <c r="J2145" s="0" t="n">
        <v>0.96</v>
      </c>
      <c r="K2145" s="0" t="s">
        <v>35</v>
      </c>
      <c r="L2145" s="0" t="n">
        <f aca="false">INDEX(Summary!$F$2:$F$201,MATCH($B2145,Summary!$A$2:$A$201,0))</f>
        <v>20</v>
      </c>
      <c r="M2145" s="0" t="n">
        <f aca="false">INDEX(Summary!$I$2:$I$201,MATCH($B2145,Summary!$A$2:$A$201,0))</f>
        <v>3</v>
      </c>
      <c r="N2145" s="0" t="n">
        <f aca="false">INDEX(Summary!$J$2:$J$201,MATCH($B2145,Summary!$A$2:$A$201,0))</f>
        <v>2</v>
      </c>
      <c r="O2145" s="2" t="n">
        <f aca="false">INDEX(Summary!$K$2:$K$201,MATCH($B2145,Summary!$A$2:$A$201,0))</f>
        <v>7.37</v>
      </c>
      <c r="P2145" s="3" t="n">
        <f aca="false">INDEX(Summary!$L$2:$L$201,MATCH($B2145,Summary!$A$2:$A$201,0))</f>
        <v>3</v>
      </c>
      <c r="Q2145" s="3" t="n">
        <f aca="false">INDEX(Summary!$M$2:$M$201,MATCH($B2145,Summary!$A$2:$A$201,0))</f>
        <v>3</v>
      </c>
      <c r="R2145" s="2" t="n">
        <f aca="false">INDEX(Summary!$N$2:$N$201,MATCH($B2145,Summary!$A$2:$A$201,0))</f>
        <v>10.71</v>
      </c>
      <c r="S2145" s="3" t="n">
        <f aca="false">INDEX(Summary!$O$2:$O$201,MATCH($B2145,Summary!$A$2:$A$201,0))</f>
        <v>7</v>
      </c>
      <c r="T2145" s="3" t="n">
        <f aca="false">INDEX(Summary!$P$2:$P$201,MATCH($B2145,Summary!$A$2:$A$201,0))</f>
        <v>2</v>
      </c>
      <c r="U2145" s="2" t="n">
        <f aca="false">INDEX(Summary!$Q$2:$Q$201,MATCH($B2145,Summary!$A$2:$A$201,0))</f>
        <v>14.02</v>
      </c>
      <c r="V2145" s="2" t="n">
        <f aca="false">INDEX(Summary!$R$2:$R$201,MATCH($B2145,Summary!$A$2:$A$201,0))</f>
        <v>23.6</v>
      </c>
      <c r="W2145" s="0" t="str">
        <f aca="false">INDEX(Summary!$S$2:$S$201,MATCH($B2145,Summary!$A$2:$A$201,0))</f>
        <v>Silver</v>
      </c>
      <c r="X2145" s="2" t="n">
        <f aca="false">INDEX(Summary!$T$2:$T$201,MATCH($B2145,Summary!$A$2:$A$201,0))</f>
        <v>57.56</v>
      </c>
      <c r="Y2145" s="0" t="str">
        <f aca="false">INDEX('Reward Model'!$E$18:$E$37,MATCH($E2145,'Reward Model'!$A$18:$A$37,0))</f>
        <v>Low</v>
      </c>
      <c r="Z2145" s="4" t="n">
        <f aca="false">ROUND(MIN(1,MAX('Reward Model'!$B$2,INDEX('Reward Model'!$C$12:$C$14,MATCH($K2145,'Reward Model'!$A$12:$A$14,0))/$J2145)),3)</f>
        <v>1</v>
      </c>
      <c r="AA2145" s="2" t="n">
        <f aca="false">IF($I2145="Correct",ROUND(INDEX('Reward Model'!$B$12:$B$14,MATCH($K2145,'Reward Model'!$A$12:$A$14,0))*Z2145,2),0)</f>
        <v>1</v>
      </c>
      <c r="AB2145" s="2" t="n">
        <f aca="false">IF($I2145="Correct",ROUND(INDEX('Reward Model'!$B$12:$B$14,MATCH($Y2145,'Reward Model'!$A$12:$A$14,0))*Z2145,2),0)</f>
        <v>1</v>
      </c>
    </row>
    <row r="2146" customFormat="false" ht="15" hidden="false" customHeight="false" outlineLevel="0" collapsed="false">
      <c r="A2146" s="0" t="s">
        <v>346</v>
      </c>
      <c r="B2146" s="0" t="s">
        <v>347</v>
      </c>
      <c r="C2146" s="0" t="s">
        <v>322</v>
      </c>
      <c r="D2146" s="0" t="s">
        <v>31</v>
      </c>
      <c r="E2146" s="0" t="n">
        <v>5</v>
      </c>
      <c r="F2146" s="0" t="s">
        <v>46</v>
      </c>
      <c r="G2146" s="0" t="s">
        <v>47</v>
      </c>
      <c r="H2146" s="0" t="s">
        <v>47</v>
      </c>
      <c r="I2146" s="0" t="s">
        <v>34</v>
      </c>
      <c r="J2146" s="0" t="n">
        <v>1.76</v>
      </c>
      <c r="K2146" s="0" t="s">
        <v>35</v>
      </c>
      <c r="L2146" s="0" t="n">
        <f aca="false">INDEX(Summary!$F$2:$F$201,MATCH($B2146,Summary!$A$2:$A$201,0))</f>
        <v>20</v>
      </c>
      <c r="M2146" s="0" t="n">
        <f aca="false">INDEX(Summary!$I$2:$I$201,MATCH($B2146,Summary!$A$2:$A$201,0))</f>
        <v>3</v>
      </c>
      <c r="N2146" s="0" t="n">
        <f aca="false">INDEX(Summary!$J$2:$J$201,MATCH($B2146,Summary!$A$2:$A$201,0))</f>
        <v>2</v>
      </c>
      <c r="O2146" s="2" t="n">
        <f aca="false">INDEX(Summary!$K$2:$K$201,MATCH($B2146,Summary!$A$2:$A$201,0))</f>
        <v>7.37</v>
      </c>
      <c r="P2146" s="3" t="n">
        <f aca="false">INDEX(Summary!$L$2:$L$201,MATCH($B2146,Summary!$A$2:$A$201,0))</f>
        <v>3</v>
      </c>
      <c r="Q2146" s="3" t="n">
        <f aca="false">INDEX(Summary!$M$2:$M$201,MATCH($B2146,Summary!$A$2:$A$201,0))</f>
        <v>3</v>
      </c>
      <c r="R2146" s="2" t="n">
        <f aca="false">INDEX(Summary!$N$2:$N$201,MATCH($B2146,Summary!$A$2:$A$201,0))</f>
        <v>10.71</v>
      </c>
      <c r="S2146" s="3" t="n">
        <f aca="false">INDEX(Summary!$O$2:$O$201,MATCH($B2146,Summary!$A$2:$A$201,0))</f>
        <v>7</v>
      </c>
      <c r="T2146" s="3" t="n">
        <f aca="false">INDEX(Summary!$P$2:$P$201,MATCH($B2146,Summary!$A$2:$A$201,0))</f>
        <v>2</v>
      </c>
      <c r="U2146" s="2" t="n">
        <f aca="false">INDEX(Summary!$Q$2:$Q$201,MATCH($B2146,Summary!$A$2:$A$201,0))</f>
        <v>14.02</v>
      </c>
      <c r="V2146" s="2" t="n">
        <f aca="false">INDEX(Summary!$R$2:$R$201,MATCH($B2146,Summary!$A$2:$A$201,0))</f>
        <v>23.6</v>
      </c>
      <c r="W2146" s="0" t="str">
        <f aca="false">INDEX(Summary!$S$2:$S$201,MATCH($B2146,Summary!$A$2:$A$201,0))</f>
        <v>Silver</v>
      </c>
      <c r="X2146" s="2" t="n">
        <f aca="false">INDEX(Summary!$T$2:$T$201,MATCH($B2146,Summary!$A$2:$A$201,0))</f>
        <v>57.56</v>
      </c>
      <c r="Y2146" s="0" t="str">
        <f aca="false">INDEX('Reward Model'!$E$18:$E$37,MATCH($E2146,'Reward Model'!$A$18:$A$37,0))</f>
        <v>Low</v>
      </c>
      <c r="Z2146" s="4" t="n">
        <f aca="false">ROUND(MIN(1,MAX('Reward Model'!$B$2,INDEX('Reward Model'!$C$12:$C$14,MATCH($K2146,'Reward Model'!$A$12:$A$14,0))/$J2146)),3)</f>
        <v>0.852</v>
      </c>
      <c r="AA2146" s="2" t="n">
        <f aca="false">IF($I2146="Correct",ROUND(INDEX('Reward Model'!$B$12:$B$14,MATCH($K2146,'Reward Model'!$A$12:$A$14,0))*Z2146,2),0)</f>
        <v>0.85</v>
      </c>
      <c r="AB2146" s="2" t="n">
        <f aca="false">IF($I2146="Correct",ROUND(INDEX('Reward Model'!$B$12:$B$14,MATCH($Y2146,'Reward Model'!$A$12:$A$14,0))*Z2146,2),0)</f>
        <v>0.85</v>
      </c>
    </row>
    <row r="2147" customFormat="false" ht="15" hidden="false" customHeight="false" outlineLevel="0" collapsed="false">
      <c r="A2147" s="0" t="s">
        <v>346</v>
      </c>
      <c r="B2147" s="0" t="s">
        <v>347</v>
      </c>
      <c r="C2147" s="0" t="s">
        <v>322</v>
      </c>
      <c r="D2147" s="0" t="s">
        <v>31</v>
      </c>
      <c r="E2147" s="0" t="n">
        <v>6</v>
      </c>
      <c r="F2147" s="0" t="s">
        <v>48</v>
      </c>
      <c r="G2147" s="0" t="s">
        <v>116</v>
      </c>
      <c r="H2147" s="0" t="s">
        <v>49</v>
      </c>
      <c r="I2147" s="0" t="s">
        <v>39</v>
      </c>
      <c r="J2147" s="0" t="n">
        <v>1.91</v>
      </c>
      <c r="K2147" s="0" t="s">
        <v>35</v>
      </c>
      <c r="L2147" s="0" t="n">
        <f aca="false">INDEX(Summary!$F$2:$F$201,MATCH($B2147,Summary!$A$2:$A$201,0))</f>
        <v>20</v>
      </c>
      <c r="M2147" s="0" t="n">
        <f aca="false">INDEX(Summary!$I$2:$I$201,MATCH($B2147,Summary!$A$2:$A$201,0))</f>
        <v>3</v>
      </c>
      <c r="N2147" s="0" t="n">
        <f aca="false">INDEX(Summary!$J$2:$J$201,MATCH($B2147,Summary!$A$2:$A$201,0))</f>
        <v>2</v>
      </c>
      <c r="O2147" s="2" t="n">
        <f aca="false">INDEX(Summary!$K$2:$K$201,MATCH($B2147,Summary!$A$2:$A$201,0))</f>
        <v>7.37</v>
      </c>
      <c r="P2147" s="3" t="n">
        <f aca="false">INDEX(Summary!$L$2:$L$201,MATCH($B2147,Summary!$A$2:$A$201,0))</f>
        <v>3</v>
      </c>
      <c r="Q2147" s="3" t="n">
        <f aca="false">INDEX(Summary!$M$2:$M$201,MATCH($B2147,Summary!$A$2:$A$201,0))</f>
        <v>3</v>
      </c>
      <c r="R2147" s="2" t="n">
        <f aca="false">INDEX(Summary!$N$2:$N$201,MATCH($B2147,Summary!$A$2:$A$201,0))</f>
        <v>10.71</v>
      </c>
      <c r="S2147" s="3" t="n">
        <f aca="false">INDEX(Summary!$O$2:$O$201,MATCH($B2147,Summary!$A$2:$A$201,0))</f>
        <v>7</v>
      </c>
      <c r="T2147" s="3" t="n">
        <f aca="false">INDEX(Summary!$P$2:$P$201,MATCH($B2147,Summary!$A$2:$A$201,0))</f>
        <v>2</v>
      </c>
      <c r="U2147" s="2" t="n">
        <f aca="false">INDEX(Summary!$Q$2:$Q$201,MATCH($B2147,Summary!$A$2:$A$201,0))</f>
        <v>14.02</v>
      </c>
      <c r="V2147" s="2" t="n">
        <f aca="false">INDEX(Summary!$R$2:$R$201,MATCH($B2147,Summary!$A$2:$A$201,0))</f>
        <v>23.6</v>
      </c>
      <c r="W2147" s="0" t="str">
        <f aca="false">INDEX(Summary!$S$2:$S$201,MATCH($B2147,Summary!$A$2:$A$201,0))</f>
        <v>Silver</v>
      </c>
      <c r="X2147" s="2" t="n">
        <f aca="false">INDEX(Summary!$T$2:$T$201,MATCH($B2147,Summary!$A$2:$A$201,0))</f>
        <v>57.56</v>
      </c>
      <c r="Y2147" s="0" t="str">
        <f aca="false">INDEX('Reward Model'!$E$18:$E$37,MATCH($E2147,'Reward Model'!$A$18:$A$37,0))</f>
        <v>Medium</v>
      </c>
      <c r="Z2147" s="4" t="n">
        <f aca="false">ROUND(MIN(1,MAX('Reward Model'!$B$2,INDEX('Reward Model'!$C$12:$C$14,MATCH($K2147,'Reward Model'!$A$12:$A$14,0))/$J2147)),3)</f>
        <v>0.785</v>
      </c>
      <c r="AA2147" s="2" t="n">
        <f aca="false">IF($I2147="Correct",ROUND(INDEX('Reward Model'!$B$12:$B$14,MATCH($K2147,'Reward Model'!$A$12:$A$14,0))*Z2147,2),0)</f>
        <v>0</v>
      </c>
      <c r="AB2147" s="2" t="n">
        <f aca="false">IF($I2147="Correct",ROUND(INDEX('Reward Model'!$B$12:$B$14,MATCH($Y2147,'Reward Model'!$A$12:$A$14,0))*Z2147,2),0)</f>
        <v>0</v>
      </c>
    </row>
    <row r="2148" customFormat="false" ht="15" hidden="false" customHeight="false" outlineLevel="0" collapsed="false">
      <c r="A2148" s="0" t="s">
        <v>346</v>
      </c>
      <c r="B2148" s="0" t="s">
        <v>347</v>
      </c>
      <c r="C2148" s="0" t="s">
        <v>322</v>
      </c>
      <c r="D2148" s="0" t="s">
        <v>31</v>
      </c>
      <c r="E2148" s="0" t="n">
        <v>7</v>
      </c>
      <c r="F2148" s="0" t="s">
        <v>50</v>
      </c>
      <c r="G2148" s="0" t="s">
        <v>51</v>
      </c>
      <c r="H2148" s="0" t="s">
        <v>51</v>
      </c>
      <c r="I2148" s="0" t="s">
        <v>34</v>
      </c>
      <c r="J2148" s="0" t="n">
        <v>1.89</v>
      </c>
      <c r="K2148" s="0" t="s">
        <v>35</v>
      </c>
      <c r="L2148" s="0" t="n">
        <f aca="false">INDEX(Summary!$F$2:$F$201,MATCH($B2148,Summary!$A$2:$A$201,0))</f>
        <v>20</v>
      </c>
      <c r="M2148" s="0" t="n">
        <f aca="false">INDEX(Summary!$I$2:$I$201,MATCH($B2148,Summary!$A$2:$A$201,0))</f>
        <v>3</v>
      </c>
      <c r="N2148" s="0" t="n">
        <f aca="false">INDEX(Summary!$J$2:$J$201,MATCH($B2148,Summary!$A$2:$A$201,0))</f>
        <v>2</v>
      </c>
      <c r="O2148" s="2" t="n">
        <f aca="false">INDEX(Summary!$K$2:$K$201,MATCH($B2148,Summary!$A$2:$A$201,0))</f>
        <v>7.37</v>
      </c>
      <c r="P2148" s="3" t="n">
        <f aca="false">INDEX(Summary!$L$2:$L$201,MATCH($B2148,Summary!$A$2:$A$201,0))</f>
        <v>3</v>
      </c>
      <c r="Q2148" s="3" t="n">
        <f aca="false">INDEX(Summary!$M$2:$M$201,MATCH($B2148,Summary!$A$2:$A$201,0))</f>
        <v>3</v>
      </c>
      <c r="R2148" s="2" t="n">
        <f aca="false">INDEX(Summary!$N$2:$N$201,MATCH($B2148,Summary!$A$2:$A$201,0))</f>
        <v>10.71</v>
      </c>
      <c r="S2148" s="3" t="n">
        <f aca="false">INDEX(Summary!$O$2:$O$201,MATCH($B2148,Summary!$A$2:$A$201,0))</f>
        <v>7</v>
      </c>
      <c r="T2148" s="3" t="n">
        <f aca="false">INDEX(Summary!$P$2:$P$201,MATCH($B2148,Summary!$A$2:$A$201,0))</f>
        <v>2</v>
      </c>
      <c r="U2148" s="2" t="n">
        <f aca="false">INDEX(Summary!$Q$2:$Q$201,MATCH($B2148,Summary!$A$2:$A$201,0))</f>
        <v>14.02</v>
      </c>
      <c r="V2148" s="2" t="n">
        <f aca="false">INDEX(Summary!$R$2:$R$201,MATCH($B2148,Summary!$A$2:$A$201,0))</f>
        <v>23.6</v>
      </c>
      <c r="W2148" s="0" t="str">
        <f aca="false">INDEX(Summary!$S$2:$S$201,MATCH($B2148,Summary!$A$2:$A$201,0))</f>
        <v>Silver</v>
      </c>
      <c r="X2148" s="2" t="n">
        <f aca="false">INDEX(Summary!$T$2:$T$201,MATCH($B2148,Summary!$A$2:$A$201,0))</f>
        <v>57.56</v>
      </c>
      <c r="Y2148" s="0" t="str">
        <f aca="false">INDEX('Reward Model'!$E$18:$E$37,MATCH($E2148,'Reward Model'!$A$18:$A$37,0))</f>
        <v>Low</v>
      </c>
      <c r="Z2148" s="4" t="n">
        <f aca="false">ROUND(MIN(1,MAX('Reward Model'!$B$2,INDEX('Reward Model'!$C$12:$C$14,MATCH($K2148,'Reward Model'!$A$12:$A$14,0))/$J2148)),3)</f>
        <v>0.794</v>
      </c>
      <c r="AA2148" s="2" t="n">
        <f aca="false">IF($I2148="Correct",ROUND(INDEX('Reward Model'!$B$12:$B$14,MATCH($K2148,'Reward Model'!$A$12:$A$14,0))*Z2148,2),0)</f>
        <v>0.79</v>
      </c>
      <c r="AB2148" s="2" t="n">
        <f aca="false">IF($I2148="Correct",ROUND(INDEX('Reward Model'!$B$12:$B$14,MATCH($Y2148,'Reward Model'!$A$12:$A$14,0))*Z2148,2),0)</f>
        <v>0.79</v>
      </c>
    </row>
    <row r="2149" customFormat="false" ht="15" hidden="false" customHeight="false" outlineLevel="0" collapsed="false">
      <c r="A2149" s="0" t="s">
        <v>346</v>
      </c>
      <c r="B2149" s="0" t="s">
        <v>347</v>
      </c>
      <c r="C2149" s="0" t="s">
        <v>322</v>
      </c>
      <c r="D2149" s="0" t="s">
        <v>31</v>
      </c>
      <c r="E2149" s="0" t="n">
        <v>8</v>
      </c>
      <c r="F2149" s="0" t="s">
        <v>52</v>
      </c>
      <c r="G2149" s="0" t="s">
        <v>54</v>
      </c>
      <c r="H2149" s="0" t="s">
        <v>54</v>
      </c>
      <c r="I2149" s="0" t="s">
        <v>34</v>
      </c>
      <c r="J2149" s="0" t="n">
        <v>1.47</v>
      </c>
      <c r="K2149" s="0" t="s">
        <v>35</v>
      </c>
      <c r="L2149" s="0" t="n">
        <f aca="false">INDEX(Summary!$F$2:$F$201,MATCH($B2149,Summary!$A$2:$A$201,0))</f>
        <v>20</v>
      </c>
      <c r="M2149" s="0" t="n">
        <f aca="false">INDEX(Summary!$I$2:$I$201,MATCH($B2149,Summary!$A$2:$A$201,0))</f>
        <v>3</v>
      </c>
      <c r="N2149" s="0" t="n">
        <f aca="false">INDEX(Summary!$J$2:$J$201,MATCH($B2149,Summary!$A$2:$A$201,0))</f>
        <v>2</v>
      </c>
      <c r="O2149" s="2" t="n">
        <f aca="false">INDEX(Summary!$K$2:$K$201,MATCH($B2149,Summary!$A$2:$A$201,0))</f>
        <v>7.37</v>
      </c>
      <c r="P2149" s="3" t="n">
        <f aca="false">INDEX(Summary!$L$2:$L$201,MATCH($B2149,Summary!$A$2:$A$201,0))</f>
        <v>3</v>
      </c>
      <c r="Q2149" s="3" t="n">
        <f aca="false">INDEX(Summary!$M$2:$M$201,MATCH($B2149,Summary!$A$2:$A$201,0))</f>
        <v>3</v>
      </c>
      <c r="R2149" s="2" t="n">
        <f aca="false">INDEX(Summary!$N$2:$N$201,MATCH($B2149,Summary!$A$2:$A$201,0))</f>
        <v>10.71</v>
      </c>
      <c r="S2149" s="3" t="n">
        <f aca="false">INDEX(Summary!$O$2:$O$201,MATCH($B2149,Summary!$A$2:$A$201,0))</f>
        <v>7</v>
      </c>
      <c r="T2149" s="3" t="n">
        <f aca="false">INDEX(Summary!$P$2:$P$201,MATCH($B2149,Summary!$A$2:$A$201,0))</f>
        <v>2</v>
      </c>
      <c r="U2149" s="2" t="n">
        <f aca="false">INDEX(Summary!$Q$2:$Q$201,MATCH($B2149,Summary!$A$2:$A$201,0))</f>
        <v>14.02</v>
      </c>
      <c r="V2149" s="2" t="n">
        <f aca="false">INDEX(Summary!$R$2:$R$201,MATCH($B2149,Summary!$A$2:$A$201,0))</f>
        <v>23.6</v>
      </c>
      <c r="W2149" s="0" t="str">
        <f aca="false">INDEX(Summary!$S$2:$S$201,MATCH($B2149,Summary!$A$2:$A$201,0))</f>
        <v>Silver</v>
      </c>
      <c r="X2149" s="2" t="n">
        <f aca="false">INDEX(Summary!$T$2:$T$201,MATCH($B2149,Summary!$A$2:$A$201,0))</f>
        <v>57.56</v>
      </c>
      <c r="Y2149" s="0" t="str">
        <f aca="false">INDEX('Reward Model'!$E$18:$E$37,MATCH($E2149,'Reward Model'!$A$18:$A$37,0))</f>
        <v>Medium</v>
      </c>
      <c r="Z2149" s="4" t="n">
        <f aca="false">ROUND(MIN(1,MAX('Reward Model'!$B$2,INDEX('Reward Model'!$C$12:$C$14,MATCH($K2149,'Reward Model'!$A$12:$A$14,0))/$J2149)),3)</f>
        <v>1</v>
      </c>
      <c r="AA2149" s="2" t="n">
        <f aca="false">IF($I2149="Correct",ROUND(INDEX('Reward Model'!$B$12:$B$14,MATCH($K2149,'Reward Model'!$A$12:$A$14,0))*Z2149,2),0)</f>
        <v>1</v>
      </c>
      <c r="AB2149" s="2" t="n">
        <f aca="false">IF($I2149="Correct",ROUND(INDEX('Reward Model'!$B$12:$B$14,MATCH($Y2149,'Reward Model'!$A$12:$A$14,0))*Z2149,2),0)</f>
        <v>2</v>
      </c>
    </row>
    <row r="2150" customFormat="false" ht="15" hidden="false" customHeight="false" outlineLevel="0" collapsed="false">
      <c r="A2150" s="0" t="s">
        <v>346</v>
      </c>
      <c r="B2150" s="0" t="s">
        <v>347</v>
      </c>
      <c r="C2150" s="0" t="s">
        <v>322</v>
      </c>
      <c r="D2150" s="0" t="s">
        <v>31</v>
      </c>
      <c r="E2150" s="0" t="n">
        <v>9</v>
      </c>
      <c r="F2150" s="0" t="s">
        <v>55</v>
      </c>
      <c r="G2150" s="0" t="s">
        <v>56</v>
      </c>
      <c r="H2150" s="0" t="s">
        <v>57</v>
      </c>
      <c r="I2150" s="0" t="s">
        <v>39</v>
      </c>
      <c r="J2150" s="0" t="n">
        <v>1.06</v>
      </c>
      <c r="K2150" s="0" t="s">
        <v>35</v>
      </c>
      <c r="L2150" s="0" t="n">
        <f aca="false">INDEX(Summary!$F$2:$F$201,MATCH($B2150,Summary!$A$2:$A$201,0))</f>
        <v>20</v>
      </c>
      <c r="M2150" s="0" t="n">
        <f aca="false">INDEX(Summary!$I$2:$I$201,MATCH($B2150,Summary!$A$2:$A$201,0))</f>
        <v>3</v>
      </c>
      <c r="N2150" s="0" t="n">
        <f aca="false">INDEX(Summary!$J$2:$J$201,MATCH($B2150,Summary!$A$2:$A$201,0))</f>
        <v>2</v>
      </c>
      <c r="O2150" s="2" t="n">
        <f aca="false">INDEX(Summary!$K$2:$K$201,MATCH($B2150,Summary!$A$2:$A$201,0))</f>
        <v>7.37</v>
      </c>
      <c r="P2150" s="3" t="n">
        <f aca="false">INDEX(Summary!$L$2:$L$201,MATCH($B2150,Summary!$A$2:$A$201,0))</f>
        <v>3</v>
      </c>
      <c r="Q2150" s="3" t="n">
        <f aca="false">INDEX(Summary!$M$2:$M$201,MATCH($B2150,Summary!$A$2:$A$201,0))</f>
        <v>3</v>
      </c>
      <c r="R2150" s="2" t="n">
        <f aca="false">INDEX(Summary!$N$2:$N$201,MATCH($B2150,Summary!$A$2:$A$201,0))</f>
        <v>10.71</v>
      </c>
      <c r="S2150" s="3" t="n">
        <f aca="false">INDEX(Summary!$O$2:$O$201,MATCH($B2150,Summary!$A$2:$A$201,0))</f>
        <v>7</v>
      </c>
      <c r="T2150" s="3" t="n">
        <f aca="false">INDEX(Summary!$P$2:$P$201,MATCH($B2150,Summary!$A$2:$A$201,0))</f>
        <v>2</v>
      </c>
      <c r="U2150" s="2" t="n">
        <f aca="false">INDEX(Summary!$Q$2:$Q$201,MATCH($B2150,Summary!$A$2:$A$201,0))</f>
        <v>14.02</v>
      </c>
      <c r="V2150" s="2" t="n">
        <f aca="false">INDEX(Summary!$R$2:$R$201,MATCH($B2150,Summary!$A$2:$A$201,0))</f>
        <v>23.6</v>
      </c>
      <c r="W2150" s="0" t="str">
        <f aca="false">INDEX(Summary!$S$2:$S$201,MATCH($B2150,Summary!$A$2:$A$201,0))</f>
        <v>Silver</v>
      </c>
      <c r="X2150" s="2" t="n">
        <f aca="false">INDEX(Summary!$T$2:$T$201,MATCH($B2150,Summary!$A$2:$A$201,0))</f>
        <v>57.56</v>
      </c>
      <c r="Y2150" s="0" t="str">
        <f aca="false">INDEX('Reward Model'!$E$18:$E$37,MATCH($E2150,'Reward Model'!$A$18:$A$37,0))</f>
        <v>Medium</v>
      </c>
      <c r="Z2150" s="4" t="n">
        <f aca="false">ROUND(MIN(1,MAX('Reward Model'!$B$2,INDEX('Reward Model'!$C$12:$C$14,MATCH($K2150,'Reward Model'!$A$12:$A$14,0))/$J2150)),3)</f>
        <v>1</v>
      </c>
      <c r="AA2150" s="2" t="n">
        <f aca="false">IF($I2150="Correct",ROUND(INDEX('Reward Model'!$B$12:$B$14,MATCH($K2150,'Reward Model'!$A$12:$A$14,0))*Z2150,2),0)</f>
        <v>0</v>
      </c>
      <c r="AB2150" s="2" t="n">
        <f aca="false">IF($I2150="Correct",ROUND(INDEX('Reward Model'!$B$12:$B$14,MATCH($Y2150,'Reward Model'!$A$12:$A$14,0))*Z2150,2),0)</f>
        <v>0</v>
      </c>
    </row>
    <row r="2151" customFormat="false" ht="15" hidden="false" customHeight="false" outlineLevel="0" collapsed="false">
      <c r="A2151" s="0" t="s">
        <v>346</v>
      </c>
      <c r="B2151" s="0" t="s">
        <v>347</v>
      </c>
      <c r="C2151" s="0" t="s">
        <v>322</v>
      </c>
      <c r="D2151" s="0" t="s">
        <v>31</v>
      </c>
      <c r="E2151" s="0" t="n">
        <v>10</v>
      </c>
      <c r="F2151" s="0" t="s">
        <v>58</v>
      </c>
      <c r="G2151" s="0" t="s">
        <v>99</v>
      </c>
      <c r="H2151" s="0" t="s">
        <v>59</v>
      </c>
      <c r="I2151" s="0" t="s">
        <v>39</v>
      </c>
      <c r="J2151" s="0" t="n">
        <v>2.29</v>
      </c>
      <c r="K2151" s="0" t="s">
        <v>60</v>
      </c>
      <c r="L2151" s="0" t="n">
        <f aca="false">INDEX(Summary!$F$2:$F$201,MATCH($B2151,Summary!$A$2:$A$201,0))</f>
        <v>20</v>
      </c>
      <c r="M2151" s="0" t="n">
        <f aca="false">INDEX(Summary!$I$2:$I$201,MATCH($B2151,Summary!$A$2:$A$201,0))</f>
        <v>3</v>
      </c>
      <c r="N2151" s="0" t="n">
        <f aca="false">INDEX(Summary!$J$2:$J$201,MATCH($B2151,Summary!$A$2:$A$201,0))</f>
        <v>2</v>
      </c>
      <c r="O2151" s="2" t="n">
        <f aca="false">INDEX(Summary!$K$2:$K$201,MATCH($B2151,Summary!$A$2:$A$201,0))</f>
        <v>7.37</v>
      </c>
      <c r="P2151" s="3" t="n">
        <f aca="false">INDEX(Summary!$L$2:$L$201,MATCH($B2151,Summary!$A$2:$A$201,0))</f>
        <v>3</v>
      </c>
      <c r="Q2151" s="3" t="n">
        <f aca="false">INDEX(Summary!$M$2:$M$201,MATCH($B2151,Summary!$A$2:$A$201,0))</f>
        <v>3</v>
      </c>
      <c r="R2151" s="2" t="n">
        <f aca="false">INDEX(Summary!$N$2:$N$201,MATCH($B2151,Summary!$A$2:$A$201,0))</f>
        <v>10.71</v>
      </c>
      <c r="S2151" s="3" t="n">
        <f aca="false">INDEX(Summary!$O$2:$O$201,MATCH($B2151,Summary!$A$2:$A$201,0))</f>
        <v>7</v>
      </c>
      <c r="T2151" s="3" t="n">
        <f aca="false">INDEX(Summary!$P$2:$P$201,MATCH($B2151,Summary!$A$2:$A$201,0))</f>
        <v>2</v>
      </c>
      <c r="U2151" s="2" t="n">
        <f aca="false">INDEX(Summary!$Q$2:$Q$201,MATCH($B2151,Summary!$A$2:$A$201,0))</f>
        <v>14.02</v>
      </c>
      <c r="V2151" s="2" t="n">
        <f aca="false">INDEX(Summary!$R$2:$R$201,MATCH($B2151,Summary!$A$2:$A$201,0))</f>
        <v>23.6</v>
      </c>
      <c r="W2151" s="0" t="str">
        <f aca="false">INDEX(Summary!$S$2:$S$201,MATCH($B2151,Summary!$A$2:$A$201,0))</f>
        <v>Silver</v>
      </c>
      <c r="X2151" s="2" t="n">
        <f aca="false">INDEX(Summary!$T$2:$T$201,MATCH($B2151,Summary!$A$2:$A$201,0))</f>
        <v>57.56</v>
      </c>
      <c r="Y2151" s="0" t="str">
        <f aca="false">INDEX('Reward Model'!$E$18:$E$37,MATCH($E2151,'Reward Model'!$A$18:$A$37,0))</f>
        <v>Medium</v>
      </c>
      <c r="Z2151" s="4" t="n">
        <f aca="false">ROUND(MIN(1,MAX('Reward Model'!$B$2,INDEX('Reward Model'!$C$12:$C$14,MATCH($K2151,'Reward Model'!$A$12:$A$14,0))/$J2151)),3)</f>
        <v>0.786</v>
      </c>
      <c r="AA2151" s="2" t="n">
        <f aca="false">IF($I2151="Correct",ROUND(INDEX('Reward Model'!$B$12:$B$14,MATCH($K2151,'Reward Model'!$A$12:$A$14,0))*Z2151,2),0)</f>
        <v>0</v>
      </c>
      <c r="AB2151" s="2" t="n">
        <f aca="false">IF($I2151="Correct",ROUND(INDEX('Reward Model'!$B$12:$B$14,MATCH($Y2151,'Reward Model'!$A$12:$A$14,0))*Z2151,2),0)</f>
        <v>0</v>
      </c>
    </row>
    <row r="2152" customFormat="false" ht="15" hidden="false" customHeight="false" outlineLevel="0" collapsed="false">
      <c r="A2152" s="0" t="s">
        <v>346</v>
      </c>
      <c r="B2152" s="0" t="s">
        <v>347</v>
      </c>
      <c r="C2152" s="0" t="s">
        <v>322</v>
      </c>
      <c r="D2152" s="0" t="s">
        <v>31</v>
      </c>
      <c r="E2152" s="0" t="n">
        <v>11</v>
      </c>
      <c r="F2152" s="0" t="s">
        <v>61</v>
      </c>
      <c r="G2152" s="0" t="s">
        <v>145</v>
      </c>
      <c r="H2152" s="0" t="s">
        <v>63</v>
      </c>
      <c r="I2152" s="0" t="s">
        <v>39</v>
      </c>
      <c r="J2152" s="0" t="n">
        <v>1.84</v>
      </c>
      <c r="K2152" s="0" t="s">
        <v>60</v>
      </c>
      <c r="L2152" s="0" t="n">
        <f aca="false">INDEX(Summary!$F$2:$F$201,MATCH($B2152,Summary!$A$2:$A$201,0))</f>
        <v>20</v>
      </c>
      <c r="M2152" s="0" t="n">
        <f aca="false">INDEX(Summary!$I$2:$I$201,MATCH($B2152,Summary!$A$2:$A$201,0))</f>
        <v>3</v>
      </c>
      <c r="N2152" s="0" t="n">
        <f aca="false">INDEX(Summary!$J$2:$J$201,MATCH($B2152,Summary!$A$2:$A$201,0))</f>
        <v>2</v>
      </c>
      <c r="O2152" s="2" t="n">
        <f aca="false">INDEX(Summary!$K$2:$K$201,MATCH($B2152,Summary!$A$2:$A$201,0))</f>
        <v>7.37</v>
      </c>
      <c r="P2152" s="3" t="n">
        <f aca="false">INDEX(Summary!$L$2:$L$201,MATCH($B2152,Summary!$A$2:$A$201,0))</f>
        <v>3</v>
      </c>
      <c r="Q2152" s="3" t="n">
        <f aca="false">INDEX(Summary!$M$2:$M$201,MATCH($B2152,Summary!$A$2:$A$201,0))</f>
        <v>3</v>
      </c>
      <c r="R2152" s="2" t="n">
        <f aca="false">INDEX(Summary!$N$2:$N$201,MATCH($B2152,Summary!$A$2:$A$201,0))</f>
        <v>10.71</v>
      </c>
      <c r="S2152" s="3" t="n">
        <f aca="false">INDEX(Summary!$O$2:$O$201,MATCH($B2152,Summary!$A$2:$A$201,0))</f>
        <v>7</v>
      </c>
      <c r="T2152" s="3" t="n">
        <f aca="false">INDEX(Summary!$P$2:$P$201,MATCH($B2152,Summary!$A$2:$A$201,0))</f>
        <v>2</v>
      </c>
      <c r="U2152" s="2" t="n">
        <f aca="false">INDEX(Summary!$Q$2:$Q$201,MATCH($B2152,Summary!$A$2:$A$201,0))</f>
        <v>14.02</v>
      </c>
      <c r="V2152" s="2" t="n">
        <f aca="false">INDEX(Summary!$R$2:$R$201,MATCH($B2152,Summary!$A$2:$A$201,0))</f>
        <v>23.6</v>
      </c>
      <c r="W2152" s="0" t="str">
        <f aca="false">INDEX(Summary!$S$2:$S$201,MATCH($B2152,Summary!$A$2:$A$201,0))</f>
        <v>Silver</v>
      </c>
      <c r="X2152" s="2" t="n">
        <f aca="false">INDEX(Summary!$T$2:$T$201,MATCH($B2152,Summary!$A$2:$A$201,0))</f>
        <v>57.56</v>
      </c>
      <c r="Y2152" s="0" t="str">
        <f aca="false">INDEX('Reward Model'!$E$18:$E$37,MATCH($E2152,'Reward Model'!$A$18:$A$37,0))</f>
        <v>Medium</v>
      </c>
      <c r="Z2152" s="4" t="n">
        <f aca="false">ROUND(MIN(1,MAX('Reward Model'!$B$2,INDEX('Reward Model'!$C$12:$C$14,MATCH($K2152,'Reward Model'!$A$12:$A$14,0))/$J2152)),3)</f>
        <v>0.978</v>
      </c>
      <c r="AA2152" s="2" t="n">
        <f aca="false">IF($I2152="Correct",ROUND(INDEX('Reward Model'!$B$12:$B$14,MATCH($K2152,'Reward Model'!$A$12:$A$14,0))*Z2152,2),0)</f>
        <v>0</v>
      </c>
      <c r="AB2152" s="2" t="n">
        <f aca="false">IF($I2152="Correct",ROUND(INDEX('Reward Model'!$B$12:$B$14,MATCH($Y2152,'Reward Model'!$A$12:$A$14,0))*Z2152,2),0)</f>
        <v>0</v>
      </c>
    </row>
    <row r="2153" customFormat="false" ht="15" hidden="false" customHeight="false" outlineLevel="0" collapsed="false">
      <c r="A2153" s="0" t="s">
        <v>346</v>
      </c>
      <c r="B2153" s="0" t="s">
        <v>347</v>
      </c>
      <c r="C2153" s="0" t="s">
        <v>322</v>
      </c>
      <c r="D2153" s="0" t="s">
        <v>31</v>
      </c>
      <c r="E2153" s="0" t="n">
        <v>12</v>
      </c>
      <c r="F2153" s="0" t="s">
        <v>64</v>
      </c>
      <c r="G2153" s="0" t="s">
        <v>65</v>
      </c>
      <c r="H2153" s="0" t="s">
        <v>65</v>
      </c>
      <c r="I2153" s="0" t="s">
        <v>34</v>
      </c>
      <c r="J2153" s="0" t="n">
        <v>2.18</v>
      </c>
      <c r="K2153" s="0" t="s">
        <v>60</v>
      </c>
      <c r="L2153" s="0" t="n">
        <f aca="false">INDEX(Summary!$F$2:$F$201,MATCH($B2153,Summary!$A$2:$A$201,0))</f>
        <v>20</v>
      </c>
      <c r="M2153" s="0" t="n">
        <f aca="false">INDEX(Summary!$I$2:$I$201,MATCH($B2153,Summary!$A$2:$A$201,0))</f>
        <v>3</v>
      </c>
      <c r="N2153" s="0" t="n">
        <f aca="false">INDEX(Summary!$J$2:$J$201,MATCH($B2153,Summary!$A$2:$A$201,0))</f>
        <v>2</v>
      </c>
      <c r="O2153" s="2" t="n">
        <f aca="false">INDEX(Summary!$K$2:$K$201,MATCH($B2153,Summary!$A$2:$A$201,0))</f>
        <v>7.37</v>
      </c>
      <c r="P2153" s="3" t="n">
        <f aca="false">INDEX(Summary!$L$2:$L$201,MATCH($B2153,Summary!$A$2:$A$201,0))</f>
        <v>3</v>
      </c>
      <c r="Q2153" s="3" t="n">
        <f aca="false">INDEX(Summary!$M$2:$M$201,MATCH($B2153,Summary!$A$2:$A$201,0))</f>
        <v>3</v>
      </c>
      <c r="R2153" s="2" t="n">
        <f aca="false">INDEX(Summary!$N$2:$N$201,MATCH($B2153,Summary!$A$2:$A$201,0))</f>
        <v>10.71</v>
      </c>
      <c r="S2153" s="3" t="n">
        <f aca="false">INDEX(Summary!$O$2:$O$201,MATCH($B2153,Summary!$A$2:$A$201,0))</f>
        <v>7</v>
      </c>
      <c r="T2153" s="3" t="n">
        <f aca="false">INDEX(Summary!$P$2:$P$201,MATCH($B2153,Summary!$A$2:$A$201,0))</f>
        <v>2</v>
      </c>
      <c r="U2153" s="2" t="n">
        <f aca="false">INDEX(Summary!$Q$2:$Q$201,MATCH($B2153,Summary!$A$2:$A$201,0))</f>
        <v>14.02</v>
      </c>
      <c r="V2153" s="2" t="n">
        <f aca="false">INDEX(Summary!$R$2:$R$201,MATCH($B2153,Summary!$A$2:$A$201,0))</f>
        <v>23.6</v>
      </c>
      <c r="W2153" s="0" t="str">
        <f aca="false">INDEX(Summary!$S$2:$S$201,MATCH($B2153,Summary!$A$2:$A$201,0))</f>
        <v>Silver</v>
      </c>
      <c r="X2153" s="2" t="n">
        <f aca="false">INDEX(Summary!$T$2:$T$201,MATCH($B2153,Summary!$A$2:$A$201,0))</f>
        <v>57.56</v>
      </c>
      <c r="Y2153" s="0" t="str">
        <f aca="false">INDEX('Reward Model'!$E$18:$E$37,MATCH($E2153,'Reward Model'!$A$18:$A$37,0))</f>
        <v>Medium</v>
      </c>
      <c r="Z2153" s="4" t="n">
        <f aca="false">ROUND(MIN(1,MAX('Reward Model'!$B$2,INDEX('Reward Model'!$C$12:$C$14,MATCH($K2153,'Reward Model'!$A$12:$A$14,0))/$J2153)),3)</f>
        <v>0.826</v>
      </c>
      <c r="AA2153" s="2" t="n">
        <f aca="false">IF($I2153="Correct",ROUND(INDEX('Reward Model'!$B$12:$B$14,MATCH($K2153,'Reward Model'!$A$12:$A$14,0))*Z2153,2),0)</f>
        <v>1.65</v>
      </c>
      <c r="AB2153" s="2" t="n">
        <f aca="false">IF($I2153="Correct",ROUND(INDEX('Reward Model'!$B$12:$B$14,MATCH($Y2153,'Reward Model'!$A$12:$A$14,0))*Z2153,2),0)</f>
        <v>1.65</v>
      </c>
    </row>
    <row r="2154" customFormat="false" ht="15" hidden="false" customHeight="false" outlineLevel="0" collapsed="false">
      <c r="A2154" s="0" t="s">
        <v>346</v>
      </c>
      <c r="B2154" s="0" t="s">
        <v>347</v>
      </c>
      <c r="C2154" s="0" t="s">
        <v>322</v>
      </c>
      <c r="D2154" s="0" t="s">
        <v>31</v>
      </c>
      <c r="E2154" s="0" t="n">
        <v>13</v>
      </c>
      <c r="F2154" s="0" t="s">
        <v>66</v>
      </c>
      <c r="G2154" s="0" t="s">
        <v>67</v>
      </c>
      <c r="H2154" s="0" t="s">
        <v>67</v>
      </c>
      <c r="I2154" s="0" t="s">
        <v>34</v>
      </c>
      <c r="J2154" s="0" t="n">
        <v>2</v>
      </c>
      <c r="K2154" s="0" t="s">
        <v>60</v>
      </c>
      <c r="L2154" s="0" t="n">
        <f aca="false">INDEX(Summary!$F$2:$F$201,MATCH($B2154,Summary!$A$2:$A$201,0))</f>
        <v>20</v>
      </c>
      <c r="M2154" s="0" t="n">
        <f aca="false">INDEX(Summary!$I$2:$I$201,MATCH($B2154,Summary!$A$2:$A$201,0))</f>
        <v>3</v>
      </c>
      <c r="N2154" s="0" t="n">
        <f aca="false">INDEX(Summary!$J$2:$J$201,MATCH($B2154,Summary!$A$2:$A$201,0))</f>
        <v>2</v>
      </c>
      <c r="O2154" s="2" t="n">
        <f aca="false">INDEX(Summary!$K$2:$K$201,MATCH($B2154,Summary!$A$2:$A$201,0))</f>
        <v>7.37</v>
      </c>
      <c r="P2154" s="3" t="n">
        <f aca="false">INDEX(Summary!$L$2:$L$201,MATCH($B2154,Summary!$A$2:$A$201,0))</f>
        <v>3</v>
      </c>
      <c r="Q2154" s="3" t="n">
        <f aca="false">INDEX(Summary!$M$2:$M$201,MATCH($B2154,Summary!$A$2:$A$201,0))</f>
        <v>3</v>
      </c>
      <c r="R2154" s="2" t="n">
        <f aca="false">INDEX(Summary!$N$2:$N$201,MATCH($B2154,Summary!$A$2:$A$201,0))</f>
        <v>10.71</v>
      </c>
      <c r="S2154" s="3" t="n">
        <f aca="false">INDEX(Summary!$O$2:$O$201,MATCH($B2154,Summary!$A$2:$A$201,0))</f>
        <v>7</v>
      </c>
      <c r="T2154" s="3" t="n">
        <f aca="false">INDEX(Summary!$P$2:$P$201,MATCH($B2154,Summary!$A$2:$A$201,0))</f>
        <v>2</v>
      </c>
      <c r="U2154" s="2" t="n">
        <f aca="false">INDEX(Summary!$Q$2:$Q$201,MATCH($B2154,Summary!$A$2:$A$201,0))</f>
        <v>14.02</v>
      </c>
      <c r="V2154" s="2" t="n">
        <f aca="false">INDEX(Summary!$R$2:$R$201,MATCH($B2154,Summary!$A$2:$A$201,0))</f>
        <v>23.6</v>
      </c>
      <c r="W2154" s="0" t="str">
        <f aca="false">INDEX(Summary!$S$2:$S$201,MATCH($B2154,Summary!$A$2:$A$201,0))</f>
        <v>Silver</v>
      </c>
      <c r="X2154" s="2" t="n">
        <f aca="false">INDEX(Summary!$T$2:$T$201,MATCH($B2154,Summary!$A$2:$A$201,0))</f>
        <v>57.56</v>
      </c>
      <c r="Y2154" s="0" t="str">
        <f aca="false">INDEX('Reward Model'!$E$18:$E$37,MATCH($E2154,'Reward Model'!$A$18:$A$37,0))</f>
        <v>Medium</v>
      </c>
      <c r="Z2154" s="4" t="n">
        <f aca="false">ROUND(MIN(1,MAX('Reward Model'!$B$2,INDEX('Reward Model'!$C$12:$C$14,MATCH($K2154,'Reward Model'!$A$12:$A$14,0))/$J2154)),3)</f>
        <v>0.9</v>
      </c>
      <c r="AA2154" s="2" t="n">
        <f aca="false">IF($I2154="Correct",ROUND(INDEX('Reward Model'!$B$12:$B$14,MATCH($K2154,'Reward Model'!$A$12:$A$14,0))*Z2154,2),0)</f>
        <v>1.8</v>
      </c>
      <c r="AB2154" s="2" t="n">
        <f aca="false">IF($I2154="Correct",ROUND(INDEX('Reward Model'!$B$12:$B$14,MATCH($Y2154,'Reward Model'!$A$12:$A$14,0))*Z2154,2),0)</f>
        <v>1.8</v>
      </c>
    </row>
    <row r="2155" customFormat="false" ht="15" hidden="false" customHeight="false" outlineLevel="0" collapsed="false">
      <c r="A2155" s="0" t="s">
        <v>346</v>
      </c>
      <c r="B2155" s="0" t="s">
        <v>347</v>
      </c>
      <c r="C2155" s="0" t="s">
        <v>322</v>
      </c>
      <c r="D2155" s="0" t="s">
        <v>31</v>
      </c>
      <c r="E2155" s="0" t="n">
        <v>14</v>
      </c>
      <c r="F2155" s="0" t="s">
        <v>68</v>
      </c>
      <c r="G2155" s="0" t="s">
        <v>51</v>
      </c>
      <c r="H2155" s="0" t="s">
        <v>51</v>
      </c>
      <c r="I2155" s="0" t="s">
        <v>34</v>
      </c>
      <c r="J2155" s="0" t="n">
        <v>1.27</v>
      </c>
      <c r="K2155" s="0" t="s">
        <v>60</v>
      </c>
      <c r="L2155" s="0" t="n">
        <f aca="false">INDEX(Summary!$F$2:$F$201,MATCH($B2155,Summary!$A$2:$A$201,0))</f>
        <v>20</v>
      </c>
      <c r="M2155" s="0" t="n">
        <f aca="false">INDEX(Summary!$I$2:$I$201,MATCH($B2155,Summary!$A$2:$A$201,0))</f>
        <v>3</v>
      </c>
      <c r="N2155" s="0" t="n">
        <f aca="false">INDEX(Summary!$J$2:$J$201,MATCH($B2155,Summary!$A$2:$A$201,0))</f>
        <v>2</v>
      </c>
      <c r="O2155" s="2" t="n">
        <f aca="false">INDEX(Summary!$K$2:$K$201,MATCH($B2155,Summary!$A$2:$A$201,0))</f>
        <v>7.37</v>
      </c>
      <c r="P2155" s="3" t="n">
        <f aca="false">INDEX(Summary!$L$2:$L$201,MATCH($B2155,Summary!$A$2:$A$201,0))</f>
        <v>3</v>
      </c>
      <c r="Q2155" s="3" t="n">
        <f aca="false">INDEX(Summary!$M$2:$M$201,MATCH($B2155,Summary!$A$2:$A$201,0))</f>
        <v>3</v>
      </c>
      <c r="R2155" s="2" t="n">
        <f aca="false">INDEX(Summary!$N$2:$N$201,MATCH($B2155,Summary!$A$2:$A$201,0))</f>
        <v>10.71</v>
      </c>
      <c r="S2155" s="3" t="n">
        <f aca="false">INDEX(Summary!$O$2:$O$201,MATCH($B2155,Summary!$A$2:$A$201,0))</f>
        <v>7</v>
      </c>
      <c r="T2155" s="3" t="n">
        <f aca="false">INDEX(Summary!$P$2:$P$201,MATCH($B2155,Summary!$A$2:$A$201,0))</f>
        <v>2</v>
      </c>
      <c r="U2155" s="2" t="n">
        <f aca="false">INDEX(Summary!$Q$2:$Q$201,MATCH($B2155,Summary!$A$2:$A$201,0))</f>
        <v>14.02</v>
      </c>
      <c r="V2155" s="2" t="n">
        <f aca="false">INDEX(Summary!$R$2:$R$201,MATCH($B2155,Summary!$A$2:$A$201,0))</f>
        <v>23.6</v>
      </c>
      <c r="W2155" s="0" t="str">
        <f aca="false">INDEX(Summary!$S$2:$S$201,MATCH($B2155,Summary!$A$2:$A$201,0))</f>
        <v>Silver</v>
      </c>
      <c r="X2155" s="2" t="n">
        <f aca="false">INDEX(Summary!$T$2:$T$201,MATCH($B2155,Summary!$A$2:$A$201,0))</f>
        <v>57.56</v>
      </c>
      <c r="Y2155" s="0" t="str">
        <f aca="false">INDEX('Reward Model'!$E$18:$E$37,MATCH($E2155,'Reward Model'!$A$18:$A$37,0))</f>
        <v>Medium</v>
      </c>
      <c r="Z2155" s="4" t="n">
        <f aca="false">ROUND(MIN(1,MAX('Reward Model'!$B$2,INDEX('Reward Model'!$C$12:$C$14,MATCH($K2155,'Reward Model'!$A$12:$A$14,0))/$J2155)),3)</f>
        <v>1</v>
      </c>
      <c r="AA2155" s="2" t="n">
        <f aca="false">IF($I2155="Correct",ROUND(INDEX('Reward Model'!$B$12:$B$14,MATCH($K2155,'Reward Model'!$A$12:$A$14,0))*Z2155,2),0)</f>
        <v>2</v>
      </c>
      <c r="AB2155" s="2" t="n">
        <f aca="false">IF($I2155="Correct",ROUND(INDEX('Reward Model'!$B$12:$B$14,MATCH($Y2155,'Reward Model'!$A$12:$A$14,0))*Z2155,2),0)</f>
        <v>2</v>
      </c>
    </row>
    <row r="2156" customFormat="false" ht="15" hidden="false" customHeight="false" outlineLevel="0" collapsed="false">
      <c r="A2156" s="0" t="s">
        <v>346</v>
      </c>
      <c r="B2156" s="0" t="s">
        <v>347</v>
      </c>
      <c r="C2156" s="0" t="s">
        <v>322</v>
      </c>
      <c r="D2156" s="0" t="s">
        <v>31</v>
      </c>
      <c r="E2156" s="0" t="n">
        <v>15</v>
      </c>
      <c r="F2156" s="0" t="s">
        <v>69</v>
      </c>
      <c r="G2156" s="0" t="s">
        <v>94</v>
      </c>
      <c r="H2156" s="0" t="s">
        <v>70</v>
      </c>
      <c r="I2156" s="0" t="s">
        <v>39</v>
      </c>
      <c r="J2156" s="0" t="n">
        <v>1.13</v>
      </c>
      <c r="K2156" s="0" t="s">
        <v>60</v>
      </c>
      <c r="L2156" s="0" t="n">
        <f aca="false">INDEX(Summary!$F$2:$F$201,MATCH($B2156,Summary!$A$2:$A$201,0))</f>
        <v>20</v>
      </c>
      <c r="M2156" s="0" t="n">
        <f aca="false">INDEX(Summary!$I$2:$I$201,MATCH($B2156,Summary!$A$2:$A$201,0))</f>
        <v>3</v>
      </c>
      <c r="N2156" s="0" t="n">
        <f aca="false">INDEX(Summary!$J$2:$J$201,MATCH($B2156,Summary!$A$2:$A$201,0))</f>
        <v>2</v>
      </c>
      <c r="O2156" s="2" t="n">
        <f aca="false">INDEX(Summary!$K$2:$K$201,MATCH($B2156,Summary!$A$2:$A$201,0))</f>
        <v>7.37</v>
      </c>
      <c r="P2156" s="3" t="n">
        <f aca="false">INDEX(Summary!$L$2:$L$201,MATCH($B2156,Summary!$A$2:$A$201,0))</f>
        <v>3</v>
      </c>
      <c r="Q2156" s="3" t="n">
        <f aca="false">INDEX(Summary!$M$2:$M$201,MATCH($B2156,Summary!$A$2:$A$201,0))</f>
        <v>3</v>
      </c>
      <c r="R2156" s="2" t="n">
        <f aca="false">INDEX(Summary!$N$2:$N$201,MATCH($B2156,Summary!$A$2:$A$201,0))</f>
        <v>10.71</v>
      </c>
      <c r="S2156" s="3" t="n">
        <f aca="false">INDEX(Summary!$O$2:$O$201,MATCH($B2156,Summary!$A$2:$A$201,0))</f>
        <v>7</v>
      </c>
      <c r="T2156" s="3" t="n">
        <f aca="false">INDEX(Summary!$P$2:$P$201,MATCH($B2156,Summary!$A$2:$A$201,0))</f>
        <v>2</v>
      </c>
      <c r="U2156" s="2" t="n">
        <f aca="false">INDEX(Summary!$Q$2:$Q$201,MATCH($B2156,Summary!$A$2:$A$201,0))</f>
        <v>14.02</v>
      </c>
      <c r="V2156" s="2" t="n">
        <f aca="false">INDEX(Summary!$R$2:$R$201,MATCH($B2156,Summary!$A$2:$A$201,0))</f>
        <v>23.6</v>
      </c>
      <c r="W2156" s="0" t="str">
        <f aca="false">INDEX(Summary!$S$2:$S$201,MATCH($B2156,Summary!$A$2:$A$201,0))</f>
        <v>Silver</v>
      </c>
      <c r="X2156" s="2" t="n">
        <f aca="false">INDEX(Summary!$T$2:$T$201,MATCH($B2156,Summary!$A$2:$A$201,0))</f>
        <v>57.56</v>
      </c>
      <c r="Y2156" s="0" t="str">
        <f aca="false">INDEX('Reward Model'!$E$18:$E$37,MATCH($E2156,'Reward Model'!$A$18:$A$37,0))</f>
        <v>Medium</v>
      </c>
      <c r="Z2156" s="4" t="n">
        <f aca="false">ROUND(MIN(1,MAX('Reward Model'!$B$2,INDEX('Reward Model'!$C$12:$C$14,MATCH($K2156,'Reward Model'!$A$12:$A$14,0))/$J2156)),3)</f>
        <v>1</v>
      </c>
      <c r="AA2156" s="2" t="n">
        <f aca="false">IF($I2156="Correct",ROUND(INDEX('Reward Model'!$B$12:$B$14,MATCH($K2156,'Reward Model'!$A$12:$A$14,0))*Z2156,2),0)</f>
        <v>0</v>
      </c>
      <c r="AB2156" s="2" t="n">
        <f aca="false">IF($I2156="Correct",ROUND(INDEX('Reward Model'!$B$12:$B$14,MATCH($Y2156,'Reward Model'!$A$12:$A$14,0))*Z2156,2),0)</f>
        <v>0</v>
      </c>
    </row>
    <row r="2157" customFormat="false" ht="15" hidden="false" customHeight="false" outlineLevel="0" collapsed="false">
      <c r="A2157" s="0" t="s">
        <v>346</v>
      </c>
      <c r="B2157" s="0" t="s">
        <v>347</v>
      </c>
      <c r="C2157" s="0" t="s">
        <v>322</v>
      </c>
      <c r="D2157" s="0" t="s">
        <v>31</v>
      </c>
      <c r="E2157" s="0" t="n">
        <v>16</v>
      </c>
      <c r="F2157" s="0" t="s">
        <v>71</v>
      </c>
      <c r="G2157" s="0" t="s">
        <v>72</v>
      </c>
      <c r="H2157" s="0" t="s">
        <v>72</v>
      </c>
      <c r="I2157" s="0" t="s">
        <v>34</v>
      </c>
      <c r="J2157" s="0" t="n">
        <v>1.61</v>
      </c>
      <c r="K2157" s="0" t="s">
        <v>73</v>
      </c>
      <c r="L2157" s="0" t="n">
        <f aca="false">INDEX(Summary!$F$2:$F$201,MATCH($B2157,Summary!$A$2:$A$201,0))</f>
        <v>20</v>
      </c>
      <c r="M2157" s="0" t="n">
        <f aca="false">INDEX(Summary!$I$2:$I$201,MATCH($B2157,Summary!$A$2:$A$201,0))</f>
        <v>3</v>
      </c>
      <c r="N2157" s="0" t="n">
        <f aca="false">INDEX(Summary!$J$2:$J$201,MATCH($B2157,Summary!$A$2:$A$201,0))</f>
        <v>2</v>
      </c>
      <c r="O2157" s="2" t="n">
        <f aca="false">INDEX(Summary!$K$2:$K$201,MATCH($B2157,Summary!$A$2:$A$201,0))</f>
        <v>7.37</v>
      </c>
      <c r="P2157" s="3" t="n">
        <f aca="false">INDEX(Summary!$L$2:$L$201,MATCH($B2157,Summary!$A$2:$A$201,0))</f>
        <v>3</v>
      </c>
      <c r="Q2157" s="3" t="n">
        <f aca="false">INDEX(Summary!$M$2:$M$201,MATCH($B2157,Summary!$A$2:$A$201,0))</f>
        <v>3</v>
      </c>
      <c r="R2157" s="2" t="n">
        <f aca="false">INDEX(Summary!$N$2:$N$201,MATCH($B2157,Summary!$A$2:$A$201,0))</f>
        <v>10.71</v>
      </c>
      <c r="S2157" s="3" t="n">
        <f aca="false">INDEX(Summary!$O$2:$O$201,MATCH($B2157,Summary!$A$2:$A$201,0))</f>
        <v>7</v>
      </c>
      <c r="T2157" s="3" t="n">
        <f aca="false">INDEX(Summary!$P$2:$P$201,MATCH($B2157,Summary!$A$2:$A$201,0))</f>
        <v>2</v>
      </c>
      <c r="U2157" s="2" t="n">
        <f aca="false">INDEX(Summary!$Q$2:$Q$201,MATCH($B2157,Summary!$A$2:$A$201,0))</f>
        <v>14.02</v>
      </c>
      <c r="V2157" s="2" t="n">
        <f aca="false">INDEX(Summary!$R$2:$R$201,MATCH($B2157,Summary!$A$2:$A$201,0))</f>
        <v>23.6</v>
      </c>
      <c r="W2157" s="0" t="str">
        <f aca="false">INDEX(Summary!$S$2:$S$201,MATCH($B2157,Summary!$A$2:$A$201,0))</f>
        <v>Silver</v>
      </c>
      <c r="X2157" s="2" t="n">
        <f aca="false">INDEX(Summary!$T$2:$T$201,MATCH($B2157,Summary!$A$2:$A$201,0))</f>
        <v>57.56</v>
      </c>
      <c r="Y2157" s="0" t="str">
        <f aca="false">INDEX('Reward Model'!$E$18:$E$37,MATCH($E2157,'Reward Model'!$A$18:$A$37,0))</f>
        <v>High</v>
      </c>
      <c r="Z2157" s="4" t="n">
        <f aca="false">ROUND(MIN(1,MAX('Reward Model'!$B$2,INDEX('Reward Model'!$C$12:$C$14,MATCH($K2157,'Reward Model'!$A$12:$A$14,0))/$J2157)),3)</f>
        <v>1</v>
      </c>
      <c r="AA2157" s="2" t="n">
        <f aca="false">IF($I2157="Correct",ROUND(INDEX('Reward Model'!$B$12:$B$14,MATCH($K2157,'Reward Model'!$A$12:$A$14,0))*Z2157,2),0)</f>
        <v>3</v>
      </c>
      <c r="AB2157" s="2" t="n">
        <f aca="false">IF($I2157="Correct",ROUND(INDEX('Reward Model'!$B$12:$B$14,MATCH($Y2157,'Reward Model'!$A$12:$A$14,0))*Z2157,2),0)</f>
        <v>3</v>
      </c>
    </row>
    <row r="2158" customFormat="false" ht="15" hidden="false" customHeight="false" outlineLevel="0" collapsed="false">
      <c r="A2158" s="0" t="s">
        <v>346</v>
      </c>
      <c r="B2158" s="0" t="s">
        <v>347</v>
      </c>
      <c r="C2158" s="0" t="s">
        <v>322</v>
      </c>
      <c r="D2158" s="0" t="s">
        <v>31</v>
      </c>
      <c r="E2158" s="0" t="n">
        <v>17</v>
      </c>
      <c r="F2158" s="0" t="s">
        <v>74</v>
      </c>
      <c r="G2158" s="0" t="s">
        <v>75</v>
      </c>
      <c r="H2158" s="0" t="s">
        <v>75</v>
      </c>
      <c r="I2158" s="0" t="s">
        <v>34</v>
      </c>
      <c r="J2158" s="0" t="n">
        <v>1.3</v>
      </c>
      <c r="K2158" s="0" t="s">
        <v>73</v>
      </c>
      <c r="L2158" s="0" t="n">
        <f aca="false">INDEX(Summary!$F$2:$F$201,MATCH($B2158,Summary!$A$2:$A$201,0))</f>
        <v>20</v>
      </c>
      <c r="M2158" s="0" t="n">
        <f aca="false">INDEX(Summary!$I$2:$I$201,MATCH($B2158,Summary!$A$2:$A$201,0))</f>
        <v>3</v>
      </c>
      <c r="N2158" s="0" t="n">
        <f aca="false">INDEX(Summary!$J$2:$J$201,MATCH($B2158,Summary!$A$2:$A$201,0))</f>
        <v>2</v>
      </c>
      <c r="O2158" s="2" t="n">
        <f aca="false">INDEX(Summary!$K$2:$K$201,MATCH($B2158,Summary!$A$2:$A$201,0))</f>
        <v>7.37</v>
      </c>
      <c r="P2158" s="3" t="n">
        <f aca="false">INDEX(Summary!$L$2:$L$201,MATCH($B2158,Summary!$A$2:$A$201,0))</f>
        <v>3</v>
      </c>
      <c r="Q2158" s="3" t="n">
        <f aca="false">INDEX(Summary!$M$2:$M$201,MATCH($B2158,Summary!$A$2:$A$201,0))</f>
        <v>3</v>
      </c>
      <c r="R2158" s="2" t="n">
        <f aca="false">INDEX(Summary!$N$2:$N$201,MATCH($B2158,Summary!$A$2:$A$201,0))</f>
        <v>10.71</v>
      </c>
      <c r="S2158" s="3" t="n">
        <f aca="false">INDEX(Summary!$O$2:$O$201,MATCH($B2158,Summary!$A$2:$A$201,0))</f>
        <v>7</v>
      </c>
      <c r="T2158" s="3" t="n">
        <f aca="false">INDEX(Summary!$P$2:$P$201,MATCH($B2158,Summary!$A$2:$A$201,0))</f>
        <v>2</v>
      </c>
      <c r="U2158" s="2" t="n">
        <f aca="false">INDEX(Summary!$Q$2:$Q$201,MATCH($B2158,Summary!$A$2:$A$201,0))</f>
        <v>14.02</v>
      </c>
      <c r="V2158" s="2" t="n">
        <f aca="false">INDEX(Summary!$R$2:$R$201,MATCH($B2158,Summary!$A$2:$A$201,0))</f>
        <v>23.6</v>
      </c>
      <c r="W2158" s="0" t="str">
        <f aca="false">INDEX(Summary!$S$2:$S$201,MATCH($B2158,Summary!$A$2:$A$201,0))</f>
        <v>Silver</v>
      </c>
      <c r="X2158" s="2" t="n">
        <f aca="false">INDEX(Summary!$T$2:$T$201,MATCH($B2158,Summary!$A$2:$A$201,0))</f>
        <v>57.56</v>
      </c>
      <c r="Y2158" s="0" t="str">
        <f aca="false">INDEX('Reward Model'!$E$18:$E$37,MATCH($E2158,'Reward Model'!$A$18:$A$37,0))</f>
        <v>High</v>
      </c>
      <c r="Z2158" s="4" t="n">
        <f aca="false">ROUND(MIN(1,MAX('Reward Model'!$B$2,INDEX('Reward Model'!$C$12:$C$14,MATCH($K2158,'Reward Model'!$A$12:$A$14,0))/$J2158)),3)</f>
        <v>1</v>
      </c>
      <c r="AA2158" s="2" t="n">
        <f aca="false">IF($I2158="Correct",ROUND(INDEX('Reward Model'!$B$12:$B$14,MATCH($K2158,'Reward Model'!$A$12:$A$14,0))*Z2158,2),0)</f>
        <v>3</v>
      </c>
      <c r="AB2158" s="2" t="n">
        <f aca="false">IF($I2158="Correct",ROUND(INDEX('Reward Model'!$B$12:$B$14,MATCH($Y2158,'Reward Model'!$A$12:$A$14,0))*Z2158,2),0)</f>
        <v>3</v>
      </c>
    </row>
    <row r="2159" customFormat="false" ht="15" hidden="false" customHeight="false" outlineLevel="0" collapsed="false">
      <c r="A2159" s="0" t="s">
        <v>346</v>
      </c>
      <c r="B2159" s="0" t="s">
        <v>347</v>
      </c>
      <c r="C2159" s="0" t="s">
        <v>322</v>
      </c>
      <c r="D2159" s="0" t="s">
        <v>31</v>
      </c>
      <c r="E2159" s="0" t="n">
        <v>18</v>
      </c>
      <c r="F2159" s="0" t="s">
        <v>76</v>
      </c>
      <c r="G2159" s="0" t="s">
        <v>56</v>
      </c>
      <c r="H2159" s="0" t="s">
        <v>77</v>
      </c>
      <c r="I2159" s="0" t="s">
        <v>39</v>
      </c>
      <c r="J2159" s="0" t="n">
        <v>1.98</v>
      </c>
      <c r="K2159" s="0" t="s">
        <v>73</v>
      </c>
      <c r="L2159" s="0" t="n">
        <f aca="false">INDEX(Summary!$F$2:$F$201,MATCH($B2159,Summary!$A$2:$A$201,0))</f>
        <v>20</v>
      </c>
      <c r="M2159" s="0" t="n">
        <f aca="false">INDEX(Summary!$I$2:$I$201,MATCH($B2159,Summary!$A$2:$A$201,0))</f>
        <v>3</v>
      </c>
      <c r="N2159" s="0" t="n">
        <f aca="false">INDEX(Summary!$J$2:$J$201,MATCH($B2159,Summary!$A$2:$A$201,0))</f>
        <v>2</v>
      </c>
      <c r="O2159" s="2" t="n">
        <f aca="false">INDEX(Summary!$K$2:$K$201,MATCH($B2159,Summary!$A$2:$A$201,0))</f>
        <v>7.37</v>
      </c>
      <c r="P2159" s="3" t="n">
        <f aca="false">INDEX(Summary!$L$2:$L$201,MATCH($B2159,Summary!$A$2:$A$201,0))</f>
        <v>3</v>
      </c>
      <c r="Q2159" s="3" t="n">
        <f aca="false">INDEX(Summary!$M$2:$M$201,MATCH($B2159,Summary!$A$2:$A$201,0))</f>
        <v>3</v>
      </c>
      <c r="R2159" s="2" t="n">
        <f aca="false">INDEX(Summary!$N$2:$N$201,MATCH($B2159,Summary!$A$2:$A$201,0))</f>
        <v>10.71</v>
      </c>
      <c r="S2159" s="3" t="n">
        <f aca="false">INDEX(Summary!$O$2:$O$201,MATCH($B2159,Summary!$A$2:$A$201,0))</f>
        <v>7</v>
      </c>
      <c r="T2159" s="3" t="n">
        <f aca="false">INDEX(Summary!$P$2:$P$201,MATCH($B2159,Summary!$A$2:$A$201,0))</f>
        <v>2</v>
      </c>
      <c r="U2159" s="2" t="n">
        <f aca="false">INDEX(Summary!$Q$2:$Q$201,MATCH($B2159,Summary!$A$2:$A$201,0))</f>
        <v>14.02</v>
      </c>
      <c r="V2159" s="2" t="n">
        <f aca="false">INDEX(Summary!$R$2:$R$201,MATCH($B2159,Summary!$A$2:$A$201,0))</f>
        <v>23.6</v>
      </c>
      <c r="W2159" s="0" t="str">
        <f aca="false">INDEX(Summary!$S$2:$S$201,MATCH($B2159,Summary!$A$2:$A$201,0))</f>
        <v>Silver</v>
      </c>
      <c r="X2159" s="2" t="n">
        <f aca="false">INDEX(Summary!$T$2:$T$201,MATCH($B2159,Summary!$A$2:$A$201,0))</f>
        <v>57.56</v>
      </c>
      <c r="Y2159" s="0" t="str">
        <f aca="false">INDEX('Reward Model'!$E$18:$E$37,MATCH($E2159,'Reward Model'!$A$18:$A$37,0))</f>
        <v>High</v>
      </c>
      <c r="Z2159" s="4" t="n">
        <f aca="false">ROUND(MIN(1,MAX('Reward Model'!$B$2,INDEX('Reward Model'!$C$12:$C$14,MATCH($K2159,'Reward Model'!$A$12:$A$14,0))/$J2159)),3)</f>
        <v>1</v>
      </c>
      <c r="AA2159" s="2" t="n">
        <f aca="false">IF($I2159="Correct",ROUND(INDEX('Reward Model'!$B$12:$B$14,MATCH($K2159,'Reward Model'!$A$12:$A$14,0))*Z2159,2),0)</f>
        <v>0</v>
      </c>
      <c r="AB2159" s="2" t="n">
        <f aca="false">IF($I2159="Correct",ROUND(INDEX('Reward Model'!$B$12:$B$14,MATCH($Y2159,'Reward Model'!$A$12:$A$14,0))*Z2159,2),0)</f>
        <v>0</v>
      </c>
    </row>
    <row r="2160" customFormat="false" ht="15" hidden="false" customHeight="false" outlineLevel="0" collapsed="false">
      <c r="A2160" s="0" t="s">
        <v>346</v>
      </c>
      <c r="B2160" s="0" t="s">
        <v>347</v>
      </c>
      <c r="C2160" s="0" t="s">
        <v>322</v>
      </c>
      <c r="D2160" s="0" t="s">
        <v>31</v>
      </c>
      <c r="E2160" s="0" t="n">
        <v>19</v>
      </c>
      <c r="F2160" s="0" t="s">
        <v>78</v>
      </c>
      <c r="G2160" s="0" t="s">
        <v>80</v>
      </c>
      <c r="H2160" s="0" t="s">
        <v>80</v>
      </c>
      <c r="I2160" s="0" t="s">
        <v>34</v>
      </c>
      <c r="J2160" s="0" t="n">
        <v>1.24</v>
      </c>
      <c r="K2160" s="0" t="s">
        <v>73</v>
      </c>
      <c r="L2160" s="0" t="n">
        <f aca="false">INDEX(Summary!$F$2:$F$201,MATCH($B2160,Summary!$A$2:$A$201,0))</f>
        <v>20</v>
      </c>
      <c r="M2160" s="0" t="n">
        <f aca="false">INDEX(Summary!$I$2:$I$201,MATCH($B2160,Summary!$A$2:$A$201,0))</f>
        <v>3</v>
      </c>
      <c r="N2160" s="0" t="n">
        <f aca="false">INDEX(Summary!$J$2:$J$201,MATCH($B2160,Summary!$A$2:$A$201,0))</f>
        <v>2</v>
      </c>
      <c r="O2160" s="2" t="n">
        <f aca="false">INDEX(Summary!$K$2:$K$201,MATCH($B2160,Summary!$A$2:$A$201,0))</f>
        <v>7.37</v>
      </c>
      <c r="P2160" s="3" t="n">
        <f aca="false">INDEX(Summary!$L$2:$L$201,MATCH($B2160,Summary!$A$2:$A$201,0))</f>
        <v>3</v>
      </c>
      <c r="Q2160" s="3" t="n">
        <f aca="false">INDEX(Summary!$M$2:$M$201,MATCH($B2160,Summary!$A$2:$A$201,0))</f>
        <v>3</v>
      </c>
      <c r="R2160" s="2" t="n">
        <f aca="false">INDEX(Summary!$N$2:$N$201,MATCH($B2160,Summary!$A$2:$A$201,0))</f>
        <v>10.71</v>
      </c>
      <c r="S2160" s="3" t="n">
        <f aca="false">INDEX(Summary!$O$2:$O$201,MATCH($B2160,Summary!$A$2:$A$201,0))</f>
        <v>7</v>
      </c>
      <c r="T2160" s="3" t="n">
        <f aca="false">INDEX(Summary!$P$2:$P$201,MATCH($B2160,Summary!$A$2:$A$201,0))</f>
        <v>2</v>
      </c>
      <c r="U2160" s="2" t="n">
        <f aca="false">INDEX(Summary!$Q$2:$Q$201,MATCH($B2160,Summary!$A$2:$A$201,0))</f>
        <v>14.02</v>
      </c>
      <c r="V2160" s="2" t="n">
        <f aca="false">INDEX(Summary!$R$2:$R$201,MATCH($B2160,Summary!$A$2:$A$201,0))</f>
        <v>23.6</v>
      </c>
      <c r="W2160" s="0" t="str">
        <f aca="false">INDEX(Summary!$S$2:$S$201,MATCH($B2160,Summary!$A$2:$A$201,0))</f>
        <v>Silver</v>
      </c>
      <c r="X2160" s="2" t="n">
        <f aca="false">INDEX(Summary!$T$2:$T$201,MATCH($B2160,Summary!$A$2:$A$201,0))</f>
        <v>57.56</v>
      </c>
      <c r="Y2160" s="0" t="str">
        <f aca="false">INDEX('Reward Model'!$E$18:$E$37,MATCH($E2160,'Reward Model'!$A$18:$A$37,0))</f>
        <v>High</v>
      </c>
      <c r="Z2160" s="4" t="n">
        <f aca="false">ROUND(MIN(1,MAX('Reward Model'!$B$2,INDEX('Reward Model'!$C$12:$C$14,MATCH($K2160,'Reward Model'!$A$12:$A$14,0))/$J2160)),3)</f>
        <v>1</v>
      </c>
      <c r="AA2160" s="2" t="n">
        <f aca="false">IF($I2160="Correct",ROUND(INDEX('Reward Model'!$B$12:$B$14,MATCH($K2160,'Reward Model'!$A$12:$A$14,0))*Z2160,2),0)</f>
        <v>3</v>
      </c>
      <c r="AB2160" s="2" t="n">
        <f aca="false">IF($I2160="Correct",ROUND(INDEX('Reward Model'!$B$12:$B$14,MATCH($Y2160,'Reward Model'!$A$12:$A$14,0))*Z2160,2),0)</f>
        <v>3</v>
      </c>
    </row>
    <row r="2161" customFormat="false" ht="15" hidden="false" customHeight="false" outlineLevel="0" collapsed="false">
      <c r="A2161" s="0" t="s">
        <v>346</v>
      </c>
      <c r="B2161" s="0" t="s">
        <v>347</v>
      </c>
      <c r="C2161" s="0" t="s">
        <v>322</v>
      </c>
      <c r="D2161" s="0" t="s">
        <v>31</v>
      </c>
      <c r="E2161" s="0" t="n">
        <v>20</v>
      </c>
      <c r="F2161" s="0" t="s">
        <v>81</v>
      </c>
      <c r="G2161" s="0" t="s">
        <v>166</v>
      </c>
      <c r="H2161" s="0" t="s">
        <v>83</v>
      </c>
      <c r="I2161" s="0" t="s">
        <v>39</v>
      </c>
      <c r="J2161" s="0" t="n">
        <v>1.24</v>
      </c>
      <c r="K2161" s="0" t="s">
        <v>73</v>
      </c>
      <c r="L2161" s="0" t="n">
        <f aca="false">INDEX(Summary!$F$2:$F$201,MATCH($B2161,Summary!$A$2:$A$201,0))</f>
        <v>20</v>
      </c>
      <c r="M2161" s="0" t="n">
        <f aca="false">INDEX(Summary!$I$2:$I$201,MATCH($B2161,Summary!$A$2:$A$201,0))</f>
        <v>3</v>
      </c>
      <c r="N2161" s="0" t="n">
        <f aca="false">INDEX(Summary!$J$2:$J$201,MATCH($B2161,Summary!$A$2:$A$201,0))</f>
        <v>2</v>
      </c>
      <c r="O2161" s="2" t="n">
        <f aca="false">INDEX(Summary!$K$2:$K$201,MATCH($B2161,Summary!$A$2:$A$201,0))</f>
        <v>7.37</v>
      </c>
      <c r="P2161" s="3" t="n">
        <f aca="false">INDEX(Summary!$L$2:$L$201,MATCH($B2161,Summary!$A$2:$A$201,0))</f>
        <v>3</v>
      </c>
      <c r="Q2161" s="3" t="n">
        <f aca="false">INDEX(Summary!$M$2:$M$201,MATCH($B2161,Summary!$A$2:$A$201,0))</f>
        <v>3</v>
      </c>
      <c r="R2161" s="2" t="n">
        <f aca="false">INDEX(Summary!$N$2:$N$201,MATCH($B2161,Summary!$A$2:$A$201,0))</f>
        <v>10.71</v>
      </c>
      <c r="S2161" s="3" t="n">
        <f aca="false">INDEX(Summary!$O$2:$O$201,MATCH($B2161,Summary!$A$2:$A$201,0))</f>
        <v>7</v>
      </c>
      <c r="T2161" s="3" t="n">
        <f aca="false">INDEX(Summary!$P$2:$P$201,MATCH($B2161,Summary!$A$2:$A$201,0))</f>
        <v>2</v>
      </c>
      <c r="U2161" s="2" t="n">
        <f aca="false">INDEX(Summary!$Q$2:$Q$201,MATCH($B2161,Summary!$A$2:$A$201,0))</f>
        <v>14.02</v>
      </c>
      <c r="V2161" s="2" t="n">
        <f aca="false">INDEX(Summary!$R$2:$R$201,MATCH($B2161,Summary!$A$2:$A$201,0))</f>
        <v>23.6</v>
      </c>
      <c r="W2161" s="0" t="str">
        <f aca="false">INDEX(Summary!$S$2:$S$201,MATCH($B2161,Summary!$A$2:$A$201,0))</f>
        <v>Silver</v>
      </c>
      <c r="X2161" s="2" t="n">
        <f aca="false">INDEX(Summary!$T$2:$T$201,MATCH($B2161,Summary!$A$2:$A$201,0))</f>
        <v>57.56</v>
      </c>
      <c r="Y2161" s="0" t="str">
        <f aca="false">INDEX('Reward Model'!$E$18:$E$37,MATCH($E2161,'Reward Model'!$A$18:$A$37,0))</f>
        <v>High</v>
      </c>
      <c r="Z2161" s="4" t="n">
        <f aca="false">ROUND(MIN(1,MAX('Reward Model'!$B$2,INDEX('Reward Model'!$C$12:$C$14,MATCH($K2161,'Reward Model'!$A$12:$A$14,0))/$J2161)),3)</f>
        <v>1</v>
      </c>
      <c r="AA2161" s="2" t="n">
        <f aca="false">IF($I2161="Correct",ROUND(INDEX('Reward Model'!$B$12:$B$14,MATCH($K2161,'Reward Model'!$A$12:$A$14,0))*Z2161,2),0)</f>
        <v>0</v>
      </c>
      <c r="AB2161" s="2" t="n">
        <f aca="false">IF($I2161="Correct",ROUND(INDEX('Reward Model'!$B$12:$B$14,MATCH($Y2161,'Reward Model'!$A$12:$A$14,0))*Z2161,2),0)</f>
        <v>0</v>
      </c>
    </row>
    <row r="2162" customFormat="false" ht="15" hidden="false" customHeight="false" outlineLevel="0" collapsed="false">
      <c r="A2162" s="0" t="s">
        <v>348</v>
      </c>
      <c r="B2162" s="0" t="s">
        <v>349</v>
      </c>
      <c r="C2162" s="0" t="s">
        <v>322</v>
      </c>
      <c r="D2162" s="0" t="s">
        <v>31</v>
      </c>
      <c r="E2162" s="0" t="n">
        <v>1</v>
      </c>
      <c r="F2162" s="0" t="s">
        <v>32</v>
      </c>
      <c r="G2162" s="0" t="s">
        <v>33</v>
      </c>
      <c r="H2162" s="0" t="s">
        <v>33</v>
      </c>
      <c r="I2162" s="0" t="s">
        <v>34</v>
      </c>
      <c r="J2162" s="0" t="n">
        <v>1.55</v>
      </c>
      <c r="K2162" s="0" t="s">
        <v>35</v>
      </c>
      <c r="L2162" s="0" t="n">
        <f aca="false">INDEX(Summary!$F$2:$F$201,MATCH($B2162,Summary!$A$2:$A$201,0))</f>
        <v>20</v>
      </c>
      <c r="M2162" s="0" t="n">
        <f aca="false">INDEX(Summary!$I$2:$I$201,MATCH($B2162,Summary!$A$2:$A$201,0))</f>
        <v>2</v>
      </c>
      <c r="N2162" s="0" t="n">
        <f aca="false">INDEX(Summary!$J$2:$J$201,MATCH($B2162,Summary!$A$2:$A$201,0))</f>
        <v>3</v>
      </c>
      <c r="O2162" s="2" t="n">
        <f aca="false">INDEX(Summary!$K$2:$K$201,MATCH($B2162,Summary!$A$2:$A$201,0))</f>
        <v>8.37</v>
      </c>
      <c r="P2162" s="3" t="n">
        <f aca="false">INDEX(Summary!$L$2:$L$201,MATCH($B2162,Summary!$A$2:$A$201,0))</f>
        <v>2</v>
      </c>
      <c r="Q2162" s="3" t="n">
        <f aca="false">INDEX(Summary!$M$2:$M$201,MATCH($B2162,Summary!$A$2:$A$201,0))</f>
        <v>4</v>
      </c>
      <c r="R2162" s="2" t="n">
        <f aca="false">INDEX(Summary!$N$2:$N$201,MATCH($B2162,Summary!$A$2:$A$201,0))</f>
        <v>9.99</v>
      </c>
      <c r="S2162" s="3" t="n">
        <f aca="false">INDEX(Summary!$O$2:$O$201,MATCH($B2162,Summary!$A$2:$A$201,0))</f>
        <v>7</v>
      </c>
      <c r="T2162" s="3" t="n">
        <f aca="false">INDEX(Summary!$P$2:$P$201,MATCH($B2162,Summary!$A$2:$A$201,0))</f>
        <v>2</v>
      </c>
      <c r="U2162" s="2" t="n">
        <f aca="false">INDEX(Summary!$Q$2:$Q$201,MATCH($B2162,Summary!$A$2:$A$201,0))</f>
        <v>14.23</v>
      </c>
      <c r="V2162" s="2" t="n">
        <f aca="false">INDEX(Summary!$R$2:$R$201,MATCH($B2162,Summary!$A$2:$A$201,0))</f>
        <v>19.58</v>
      </c>
      <c r="W2162" s="0" t="str">
        <f aca="false">INDEX(Summary!$S$2:$S$201,MATCH($B2162,Summary!$A$2:$A$201,0))</f>
        <v>Bronze</v>
      </c>
      <c r="X2162" s="2" t="n">
        <f aca="false">INDEX(Summary!$T$2:$T$201,MATCH($B2162,Summary!$A$2:$A$201,0))</f>
        <v>47.76</v>
      </c>
      <c r="Y2162" s="0" t="str">
        <f aca="false">INDEX('Reward Model'!$E$18:$E$37,MATCH($E2162,'Reward Model'!$A$18:$A$37,0))</f>
        <v>Medium</v>
      </c>
      <c r="Z2162" s="4" t="n">
        <f aca="false">ROUND(MIN(1,MAX('Reward Model'!$B$2,INDEX('Reward Model'!$C$12:$C$14,MATCH($K2162,'Reward Model'!$A$12:$A$14,0))/$J2162)),3)</f>
        <v>0.968</v>
      </c>
      <c r="AA2162" s="2" t="n">
        <f aca="false">IF($I2162="Correct",ROUND(INDEX('Reward Model'!$B$12:$B$14,MATCH($K2162,'Reward Model'!$A$12:$A$14,0))*Z2162,2),0)</f>
        <v>0.97</v>
      </c>
      <c r="AB2162" s="2" t="n">
        <f aca="false">IF($I2162="Correct",ROUND(INDEX('Reward Model'!$B$12:$B$14,MATCH($Y2162,'Reward Model'!$A$12:$A$14,0))*Z2162,2),0)</f>
        <v>1.94</v>
      </c>
    </row>
    <row r="2163" customFormat="false" ht="15" hidden="false" customHeight="false" outlineLevel="0" collapsed="false">
      <c r="A2163" s="0" t="s">
        <v>348</v>
      </c>
      <c r="B2163" s="0" t="s">
        <v>349</v>
      </c>
      <c r="C2163" s="0" t="s">
        <v>322</v>
      </c>
      <c r="D2163" s="0" t="s">
        <v>31</v>
      </c>
      <c r="E2163" s="0" t="n">
        <v>2</v>
      </c>
      <c r="F2163" s="0" t="s">
        <v>36</v>
      </c>
      <c r="G2163" s="0" t="s">
        <v>38</v>
      </c>
      <c r="H2163" s="0" t="s">
        <v>38</v>
      </c>
      <c r="I2163" s="0" t="s">
        <v>34</v>
      </c>
      <c r="J2163" s="0" t="n">
        <v>1.19</v>
      </c>
      <c r="K2163" s="0" t="s">
        <v>35</v>
      </c>
      <c r="L2163" s="0" t="n">
        <f aca="false">INDEX(Summary!$F$2:$F$201,MATCH($B2163,Summary!$A$2:$A$201,0))</f>
        <v>20</v>
      </c>
      <c r="M2163" s="0" t="n">
        <f aca="false">INDEX(Summary!$I$2:$I$201,MATCH($B2163,Summary!$A$2:$A$201,0))</f>
        <v>2</v>
      </c>
      <c r="N2163" s="0" t="n">
        <f aca="false">INDEX(Summary!$J$2:$J$201,MATCH($B2163,Summary!$A$2:$A$201,0))</f>
        <v>3</v>
      </c>
      <c r="O2163" s="2" t="n">
        <f aca="false">INDEX(Summary!$K$2:$K$201,MATCH($B2163,Summary!$A$2:$A$201,0))</f>
        <v>8.37</v>
      </c>
      <c r="P2163" s="3" t="n">
        <f aca="false">INDEX(Summary!$L$2:$L$201,MATCH($B2163,Summary!$A$2:$A$201,0))</f>
        <v>2</v>
      </c>
      <c r="Q2163" s="3" t="n">
        <f aca="false">INDEX(Summary!$M$2:$M$201,MATCH($B2163,Summary!$A$2:$A$201,0))</f>
        <v>4</v>
      </c>
      <c r="R2163" s="2" t="n">
        <f aca="false">INDEX(Summary!$N$2:$N$201,MATCH($B2163,Summary!$A$2:$A$201,0))</f>
        <v>9.99</v>
      </c>
      <c r="S2163" s="3" t="n">
        <f aca="false">INDEX(Summary!$O$2:$O$201,MATCH($B2163,Summary!$A$2:$A$201,0))</f>
        <v>7</v>
      </c>
      <c r="T2163" s="3" t="n">
        <f aca="false">INDEX(Summary!$P$2:$P$201,MATCH($B2163,Summary!$A$2:$A$201,0))</f>
        <v>2</v>
      </c>
      <c r="U2163" s="2" t="n">
        <f aca="false">INDEX(Summary!$Q$2:$Q$201,MATCH($B2163,Summary!$A$2:$A$201,0))</f>
        <v>14.23</v>
      </c>
      <c r="V2163" s="2" t="n">
        <f aca="false">INDEX(Summary!$R$2:$R$201,MATCH($B2163,Summary!$A$2:$A$201,0))</f>
        <v>19.58</v>
      </c>
      <c r="W2163" s="0" t="str">
        <f aca="false">INDEX(Summary!$S$2:$S$201,MATCH($B2163,Summary!$A$2:$A$201,0))</f>
        <v>Bronze</v>
      </c>
      <c r="X2163" s="2" t="n">
        <f aca="false">INDEX(Summary!$T$2:$T$201,MATCH($B2163,Summary!$A$2:$A$201,0))</f>
        <v>47.76</v>
      </c>
      <c r="Y2163" s="0" t="str">
        <f aca="false">INDEX('Reward Model'!$E$18:$E$37,MATCH($E2163,'Reward Model'!$A$18:$A$37,0))</f>
        <v>Low</v>
      </c>
      <c r="Z2163" s="4" t="n">
        <f aca="false">ROUND(MIN(1,MAX('Reward Model'!$B$2,INDEX('Reward Model'!$C$12:$C$14,MATCH($K2163,'Reward Model'!$A$12:$A$14,0))/$J2163)),3)</f>
        <v>1</v>
      </c>
      <c r="AA2163" s="2" t="n">
        <f aca="false">IF($I2163="Correct",ROUND(INDEX('Reward Model'!$B$12:$B$14,MATCH($K2163,'Reward Model'!$A$12:$A$14,0))*Z2163,2),0)</f>
        <v>1</v>
      </c>
      <c r="AB2163" s="2" t="n">
        <f aca="false">IF($I2163="Correct",ROUND(INDEX('Reward Model'!$B$12:$B$14,MATCH($Y2163,'Reward Model'!$A$12:$A$14,0))*Z2163,2),0)</f>
        <v>1</v>
      </c>
    </row>
    <row r="2164" customFormat="false" ht="15" hidden="false" customHeight="false" outlineLevel="0" collapsed="false">
      <c r="A2164" s="0" t="s">
        <v>348</v>
      </c>
      <c r="B2164" s="0" t="s">
        <v>349</v>
      </c>
      <c r="C2164" s="0" t="s">
        <v>322</v>
      </c>
      <c r="D2164" s="0" t="s">
        <v>31</v>
      </c>
      <c r="E2164" s="0" t="n">
        <v>3</v>
      </c>
      <c r="F2164" s="0" t="s">
        <v>40</v>
      </c>
      <c r="G2164" s="0" t="s">
        <v>42</v>
      </c>
      <c r="H2164" s="0" t="s">
        <v>42</v>
      </c>
      <c r="I2164" s="0" t="s">
        <v>34</v>
      </c>
      <c r="J2164" s="0" t="n">
        <v>1.47</v>
      </c>
      <c r="K2164" s="0" t="s">
        <v>35</v>
      </c>
      <c r="L2164" s="0" t="n">
        <f aca="false">INDEX(Summary!$F$2:$F$201,MATCH($B2164,Summary!$A$2:$A$201,0))</f>
        <v>20</v>
      </c>
      <c r="M2164" s="0" t="n">
        <f aca="false">INDEX(Summary!$I$2:$I$201,MATCH($B2164,Summary!$A$2:$A$201,0))</f>
        <v>2</v>
      </c>
      <c r="N2164" s="0" t="n">
        <f aca="false">INDEX(Summary!$J$2:$J$201,MATCH($B2164,Summary!$A$2:$A$201,0))</f>
        <v>3</v>
      </c>
      <c r="O2164" s="2" t="n">
        <f aca="false">INDEX(Summary!$K$2:$K$201,MATCH($B2164,Summary!$A$2:$A$201,0))</f>
        <v>8.37</v>
      </c>
      <c r="P2164" s="3" t="n">
        <f aca="false">INDEX(Summary!$L$2:$L$201,MATCH($B2164,Summary!$A$2:$A$201,0))</f>
        <v>2</v>
      </c>
      <c r="Q2164" s="3" t="n">
        <f aca="false">INDEX(Summary!$M$2:$M$201,MATCH($B2164,Summary!$A$2:$A$201,0))</f>
        <v>4</v>
      </c>
      <c r="R2164" s="2" t="n">
        <f aca="false">INDEX(Summary!$N$2:$N$201,MATCH($B2164,Summary!$A$2:$A$201,0))</f>
        <v>9.99</v>
      </c>
      <c r="S2164" s="3" t="n">
        <f aca="false">INDEX(Summary!$O$2:$O$201,MATCH($B2164,Summary!$A$2:$A$201,0))</f>
        <v>7</v>
      </c>
      <c r="T2164" s="3" t="n">
        <f aca="false">INDEX(Summary!$P$2:$P$201,MATCH($B2164,Summary!$A$2:$A$201,0))</f>
        <v>2</v>
      </c>
      <c r="U2164" s="2" t="n">
        <f aca="false">INDEX(Summary!$Q$2:$Q$201,MATCH($B2164,Summary!$A$2:$A$201,0))</f>
        <v>14.23</v>
      </c>
      <c r="V2164" s="2" t="n">
        <f aca="false">INDEX(Summary!$R$2:$R$201,MATCH($B2164,Summary!$A$2:$A$201,0))</f>
        <v>19.58</v>
      </c>
      <c r="W2164" s="0" t="str">
        <f aca="false">INDEX(Summary!$S$2:$S$201,MATCH($B2164,Summary!$A$2:$A$201,0))</f>
        <v>Bronze</v>
      </c>
      <c r="X2164" s="2" t="n">
        <f aca="false">INDEX(Summary!$T$2:$T$201,MATCH($B2164,Summary!$A$2:$A$201,0))</f>
        <v>47.76</v>
      </c>
      <c r="Y2164" s="0" t="str">
        <f aca="false">INDEX('Reward Model'!$E$18:$E$37,MATCH($E2164,'Reward Model'!$A$18:$A$37,0))</f>
        <v>Medium</v>
      </c>
      <c r="Z2164" s="4" t="n">
        <f aca="false">ROUND(MIN(1,MAX('Reward Model'!$B$2,INDEX('Reward Model'!$C$12:$C$14,MATCH($K2164,'Reward Model'!$A$12:$A$14,0))/$J2164)),3)</f>
        <v>1</v>
      </c>
      <c r="AA2164" s="2" t="n">
        <f aca="false">IF($I2164="Correct",ROUND(INDEX('Reward Model'!$B$12:$B$14,MATCH($K2164,'Reward Model'!$A$12:$A$14,0))*Z2164,2),0)</f>
        <v>1</v>
      </c>
      <c r="AB2164" s="2" t="n">
        <f aca="false">IF($I2164="Correct",ROUND(INDEX('Reward Model'!$B$12:$B$14,MATCH($Y2164,'Reward Model'!$A$12:$A$14,0))*Z2164,2),0)</f>
        <v>2</v>
      </c>
    </row>
    <row r="2165" customFormat="false" ht="15" hidden="false" customHeight="false" outlineLevel="0" collapsed="false">
      <c r="A2165" s="0" t="s">
        <v>348</v>
      </c>
      <c r="B2165" s="0" t="s">
        <v>349</v>
      </c>
      <c r="C2165" s="0" t="s">
        <v>322</v>
      </c>
      <c r="D2165" s="0" t="s">
        <v>31</v>
      </c>
      <c r="E2165" s="0" t="n">
        <v>4</v>
      </c>
      <c r="F2165" s="0" t="s">
        <v>43</v>
      </c>
      <c r="G2165" s="0" t="s">
        <v>111</v>
      </c>
      <c r="H2165" s="0" t="s">
        <v>45</v>
      </c>
      <c r="I2165" s="0" t="s">
        <v>39</v>
      </c>
      <c r="J2165" s="0" t="n">
        <v>1.29</v>
      </c>
      <c r="K2165" s="0" t="s">
        <v>35</v>
      </c>
      <c r="L2165" s="0" t="n">
        <f aca="false">INDEX(Summary!$F$2:$F$201,MATCH($B2165,Summary!$A$2:$A$201,0))</f>
        <v>20</v>
      </c>
      <c r="M2165" s="0" t="n">
        <f aca="false">INDEX(Summary!$I$2:$I$201,MATCH($B2165,Summary!$A$2:$A$201,0))</f>
        <v>2</v>
      </c>
      <c r="N2165" s="0" t="n">
        <f aca="false">INDEX(Summary!$J$2:$J$201,MATCH($B2165,Summary!$A$2:$A$201,0))</f>
        <v>3</v>
      </c>
      <c r="O2165" s="2" t="n">
        <f aca="false">INDEX(Summary!$K$2:$K$201,MATCH($B2165,Summary!$A$2:$A$201,0))</f>
        <v>8.37</v>
      </c>
      <c r="P2165" s="3" t="n">
        <f aca="false">INDEX(Summary!$L$2:$L$201,MATCH($B2165,Summary!$A$2:$A$201,0))</f>
        <v>2</v>
      </c>
      <c r="Q2165" s="3" t="n">
        <f aca="false">INDEX(Summary!$M$2:$M$201,MATCH($B2165,Summary!$A$2:$A$201,0))</f>
        <v>4</v>
      </c>
      <c r="R2165" s="2" t="n">
        <f aca="false">INDEX(Summary!$N$2:$N$201,MATCH($B2165,Summary!$A$2:$A$201,0))</f>
        <v>9.99</v>
      </c>
      <c r="S2165" s="3" t="n">
        <f aca="false">INDEX(Summary!$O$2:$O$201,MATCH($B2165,Summary!$A$2:$A$201,0))</f>
        <v>7</v>
      </c>
      <c r="T2165" s="3" t="n">
        <f aca="false">INDEX(Summary!$P$2:$P$201,MATCH($B2165,Summary!$A$2:$A$201,0))</f>
        <v>2</v>
      </c>
      <c r="U2165" s="2" t="n">
        <f aca="false">INDEX(Summary!$Q$2:$Q$201,MATCH($B2165,Summary!$A$2:$A$201,0))</f>
        <v>14.23</v>
      </c>
      <c r="V2165" s="2" t="n">
        <f aca="false">INDEX(Summary!$R$2:$R$201,MATCH($B2165,Summary!$A$2:$A$201,0))</f>
        <v>19.58</v>
      </c>
      <c r="W2165" s="0" t="str">
        <f aca="false">INDEX(Summary!$S$2:$S$201,MATCH($B2165,Summary!$A$2:$A$201,0))</f>
        <v>Bronze</v>
      </c>
      <c r="X2165" s="2" t="n">
        <f aca="false">INDEX(Summary!$T$2:$T$201,MATCH($B2165,Summary!$A$2:$A$201,0))</f>
        <v>47.76</v>
      </c>
      <c r="Y2165" s="0" t="str">
        <f aca="false">INDEX('Reward Model'!$E$18:$E$37,MATCH($E2165,'Reward Model'!$A$18:$A$37,0))</f>
        <v>Low</v>
      </c>
      <c r="Z2165" s="4" t="n">
        <f aca="false">ROUND(MIN(1,MAX('Reward Model'!$B$2,INDEX('Reward Model'!$C$12:$C$14,MATCH($K2165,'Reward Model'!$A$12:$A$14,0))/$J2165)),3)</f>
        <v>1</v>
      </c>
      <c r="AA2165" s="2" t="n">
        <f aca="false">IF($I2165="Correct",ROUND(INDEX('Reward Model'!$B$12:$B$14,MATCH($K2165,'Reward Model'!$A$12:$A$14,0))*Z2165,2),0)</f>
        <v>0</v>
      </c>
      <c r="AB2165" s="2" t="n">
        <f aca="false">IF($I2165="Correct",ROUND(INDEX('Reward Model'!$B$12:$B$14,MATCH($Y2165,'Reward Model'!$A$12:$A$14,0))*Z2165,2),0)</f>
        <v>0</v>
      </c>
    </row>
    <row r="2166" customFormat="false" ht="15" hidden="false" customHeight="false" outlineLevel="0" collapsed="false">
      <c r="A2166" s="0" t="s">
        <v>348</v>
      </c>
      <c r="B2166" s="0" t="s">
        <v>349</v>
      </c>
      <c r="C2166" s="0" t="s">
        <v>322</v>
      </c>
      <c r="D2166" s="0" t="s">
        <v>31</v>
      </c>
      <c r="E2166" s="0" t="n">
        <v>5</v>
      </c>
      <c r="F2166" s="0" t="s">
        <v>46</v>
      </c>
      <c r="G2166" s="0" t="s">
        <v>47</v>
      </c>
      <c r="H2166" s="0" t="s">
        <v>47</v>
      </c>
      <c r="I2166" s="0" t="s">
        <v>34</v>
      </c>
      <c r="J2166" s="0" t="n">
        <v>1.22</v>
      </c>
      <c r="K2166" s="0" t="s">
        <v>35</v>
      </c>
      <c r="L2166" s="0" t="n">
        <f aca="false">INDEX(Summary!$F$2:$F$201,MATCH($B2166,Summary!$A$2:$A$201,0))</f>
        <v>20</v>
      </c>
      <c r="M2166" s="0" t="n">
        <f aca="false">INDEX(Summary!$I$2:$I$201,MATCH($B2166,Summary!$A$2:$A$201,0))</f>
        <v>2</v>
      </c>
      <c r="N2166" s="0" t="n">
        <f aca="false">INDEX(Summary!$J$2:$J$201,MATCH($B2166,Summary!$A$2:$A$201,0))</f>
        <v>3</v>
      </c>
      <c r="O2166" s="2" t="n">
        <f aca="false">INDEX(Summary!$K$2:$K$201,MATCH($B2166,Summary!$A$2:$A$201,0))</f>
        <v>8.37</v>
      </c>
      <c r="P2166" s="3" t="n">
        <f aca="false">INDEX(Summary!$L$2:$L$201,MATCH($B2166,Summary!$A$2:$A$201,0))</f>
        <v>2</v>
      </c>
      <c r="Q2166" s="3" t="n">
        <f aca="false">INDEX(Summary!$M$2:$M$201,MATCH($B2166,Summary!$A$2:$A$201,0))</f>
        <v>4</v>
      </c>
      <c r="R2166" s="2" t="n">
        <f aca="false">INDEX(Summary!$N$2:$N$201,MATCH($B2166,Summary!$A$2:$A$201,0))</f>
        <v>9.99</v>
      </c>
      <c r="S2166" s="3" t="n">
        <f aca="false">INDEX(Summary!$O$2:$O$201,MATCH($B2166,Summary!$A$2:$A$201,0))</f>
        <v>7</v>
      </c>
      <c r="T2166" s="3" t="n">
        <f aca="false">INDEX(Summary!$P$2:$P$201,MATCH($B2166,Summary!$A$2:$A$201,0))</f>
        <v>2</v>
      </c>
      <c r="U2166" s="2" t="n">
        <f aca="false">INDEX(Summary!$Q$2:$Q$201,MATCH($B2166,Summary!$A$2:$A$201,0))</f>
        <v>14.23</v>
      </c>
      <c r="V2166" s="2" t="n">
        <f aca="false">INDEX(Summary!$R$2:$R$201,MATCH($B2166,Summary!$A$2:$A$201,0))</f>
        <v>19.58</v>
      </c>
      <c r="W2166" s="0" t="str">
        <f aca="false">INDEX(Summary!$S$2:$S$201,MATCH($B2166,Summary!$A$2:$A$201,0))</f>
        <v>Bronze</v>
      </c>
      <c r="X2166" s="2" t="n">
        <f aca="false">INDEX(Summary!$T$2:$T$201,MATCH($B2166,Summary!$A$2:$A$201,0))</f>
        <v>47.76</v>
      </c>
      <c r="Y2166" s="0" t="str">
        <f aca="false">INDEX('Reward Model'!$E$18:$E$37,MATCH($E2166,'Reward Model'!$A$18:$A$37,0))</f>
        <v>Low</v>
      </c>
      <c r="Z2166" s="4" t="n">
        <f aca="false">ROUND(MIN(1,MAX('Reward Model'!$B$2,INDEX('Reward Model'!$C$12:$C$14,MATCH($K2166,'Reward Model'!$A$12:$A$14,0))/$J2166)),3)</f>
        <v>1</v>
      </c>
      <c r="AA2166" s="2" t="n">
        <f aca="false">IF($I2166="Correct",ROUND(INDEX('Reward Model'!$B$12:$B$14,MATCH($K2166,'Reward Model'!$A$12:$A$14,0))*Z2166,2),0)</f>
        <v>1</v>
      </c>
      <c r="AB2166" s="2" t="n">
        <f aca="false">IF($I2166="Correct",ROUND(INDEX('Reward Model'!$B$12:$B$14,MATCH($Y2166,'Reward Model'!$A$12:$A$14,0))*Z2166,2),0)</f>
        <v>1</v>
      </c>
    </row>
    <row r="2167" customFormat="false" ht="15" hidden="false" customHeight="false" outlineLevel="0" collapsed="false">
      <c r="A2167" s="0" t="s">
        <v>348</v>
      </c>
      <c r="B2167" s="0" t="s">
        <v>349</v>
      </c>
      <c r="C2167" s="0" t="s">
        <v>322</v>
      </c>
      <c r="D2167" s="0" t="s">
        <v>31</v>
      </c>
      <c r="E2167" s="0" t="n">
        <v>6</v>
      </c>
      <c r="F2167" s="0" t="s">
        <v>48</v>
      </c>
      <c r="G2167" s="0" t="s">
        <v>49</v>
      </c>
      <c r="H2167" s="0" t="s">
        <v>49</v>
      </c>
      <c r="I2167" s="0" t="s">
        <v>34</v>
      </c>
      <c r="J2167" s="0" t="n">
        <v>1.96</v>
      </c>
      <c r="K2167" s="0" t="s">
        <v>35</v>
      </c>
      <c r="L2167" s="0" t="n">
        <f aca="false">INDEX(Summary!$F$2:$F$201,MATCH($B2167,Summary!$A$2:$A$201,0))</f>
        <v>20</v>
      </c>
      <c r="M2167" s="0" t="n">
        <f aca="false">INDEX(Summary!$I$2:$I$201,MATCH($B2167,Summary!$A$2:$A$201,0))</f>
        <v>2</v>
      </c>
      <c r="N2167" s="0" t="n">
        <f aca="false">INDEX(Summary!$J$2:$J$201,MATCH($B2167,Summary!$A$2:$A$201,0))</f>
        <v>3</v>
      </c>
      <c r="O2167" s="2" t="n">
        <f aca="false">INDEX(Summary!$K$2:$K$201,MATCH($B2167,Summary!$A$2:$A$201,0))</f>
        <v>8.37</v>
      </c>
      <c r="P2167" s="3" t="n">
        <f aca="false">INDEX(Summary!$L$2:$L$201,MATCH($B2167,Summary!$A$2:$A$201,0))</f>
        <v>2</v>
      </c>
      <c r="Q2167" s="3" t="n">
        <f aca="false">INDEX(Summary!$M$2:$M$201,MATCH($B2167,Summary!$A$2:$A$201,0))</f>
        <v>4</v>
      </c>
      <c r="R2167" s="2" t="n">
        <f aca="false">INDEX(Summary!$N$2:$N$201,MATCH($B2167,Summary!$A$2:$A$201,0))</f>
        <v>9.99</v>
      </c>
      <c r="S2167" s="3" t="n">
        <f aca="false">INDEX(Summary!$O$2:$O$201,MATCH($B2167,Summary!$A$2:$A$201,0))</f>
        <v>7</v>
      </c>
      <c r="T2167" s="3" t="n">
        <f aca="false">INDEX(Summary!$P$2:$P$201,MATCH($B2167,Summary!$A$2:$A$201,0))</f>
        <v>2</v>
      </c>
      <c r="U2167" s="2" t="n">
        <f aca="false">INDEX(Summary!$Q$2:$Q$201,MATCH($B2167,Summary!$A$2:$A$201,0))</f>
        <v>14.23</v>
      </c>
      <c r="V2167" s="2" t="n">
        <f aca="false">INDEX(Summary!$R$2:$R$201,MATCH($B2167,Summary!$A$2:$A$201,0))</f>
        <v>19.58</v>
      </c>
      <c r="W2167" s="0" t="str">
        <f aca="false">INDEX(Summary!$S$2:$S$201,MATCH($B2167,Summary!$A$2:$A$201,0))</f>
        <v>Bronze</v>
      </c>
      <c r="X2167" s="2" t="n">
        <f aca="false">INDEX(Summary!$T$2:$T$201,MATCH($B2167,Summary!$A$2:$A$201,0))</f>
        <v>47.76</v>
      </c>
      <c r="Y2167" s="0" t="str">
        <f aca="false">INDEX('Reward Model'!$E$18:$E$37,MATCH($E2167,'Reward Model'!$A$18:$A$37,0))</f>
        <v>Medium</v>
      </c>
      <c r="Z2167" s="4" t="n">
        <f aca="false">ROUND(MIN(1,MAX('Reward Model'!$B$2,INDEX('Reward Model'!$C$12:$C$14,MATCH($K2167,'Reward Model'!$A$12:$A$14,0))/$J2167)),3)</f>
        <v>0.765</v>
      </c>
      <c r="AA2167" s="2" t="n">
        <f aca="false">IF($I2167="Correct",ROUND(INDEX('Reward Model'!$B$12:$B$14,MATCH($K2167,'Reward Model'!$A$12:$A$14,0))*Z2167,2),0)</f>
        <v>0.77</v>
      </c>
      <c r="AB2167" s="2" t="n">
        <f aca="false">IF($I2167="Correct",ROUND(INDEX('Reward Model'!$B$12:$B$14,MATCH($Y2167,'Reward Model'!$A$12:$A$14,0))*Z2167,2),0)</f>
        <v>1.53</v>
      </c>
    </row>
    <row r="2168" customFormat="false" ht="15" hidden="false" customHeight="false" outlineLevel="0" collapsed="false">
      <c r="A2168" s="0" t="s">
        <v>348</v>
      </c>
      <c r="B2168" s="0" t="s">
        <v>349</v>
      </c>
      <c r="C2168" s="0" t="s">
        <v>322</v>
      </c>
      <c r="D2168" s="0" t="s">
        <v>31</v>
      </c>
      <c r="E2168" s="0" t="n">
        <v>7</v>
      </c>
      <c r="F2168" s="0" t="s">
        <v>50</v>
      </c>
      <c r="G2168" s="0" t="s">
        <v>51</v>
      </c>
      <c r="H2168" s="0" t="s">
        <v>51</v>
      </c>
      <c r="I2168" s="0" t="s">
        <v>34</v>
      </c>
      <c r="J2168" s="0" t="n">
        <v>1.92</v>
      </c>
      <c r="K2168" s="0" t="s">
        <v>35</v>
      </c>
      <c r="L2168" s="0" t="n">
        <f aca="false">INDEX(Summary!$F$2:$F$201,MATCH($B2168,Summary!$A$2:$A$201,0))</f>
        <v>20</v>
      </c>
      <c r="M2168" s="0" t="n">
        <f aca="false">INDEX(Summary!$I$2:$I$201,MATCH($B2168,Summary!$A$2:$A$201,0))</f>
        <v>2</v>
      </c>
      <c r="N2168" s="0" t="n">
        <f aca="false">INDEX(Summary!$J$2:$J$201,MATCH($B2168,Summary!$A$2:$A$201,0))</f>
        <v>3</v>
      </c>
      <c r="O2168" s="2" t="n">
        <f aca="false">INDEX(Summary!$K$2:$K$201,MATCH($B2168,Summary!$A$2:$A$201,0))</f>
        <v>8.37</v>
      </c>
      <c r="P2168" s="3" t="n">
        <f aca="false">INDEX(Summary!$L$2:$L$201,MATCH($B2168,Summary!$A$2:$A$201,0))</f>
        <v>2</v>
      </c>
      <c r="Q2168" s="3" t="n">
        <f aca="false">INDEX(Summary!$M$2:$M$201,MATCH($B2168,Summary!$A$2:$A$201,0))</f>
        <v>4</v>
      </c>
      <c r="R2168" s="2" t="n">
        <f aca="false">INDEX(Summary!$N$2:$N$201,MATCH($B2168,Summary!$A$2:$A$201,0))</f>
        <v>9.99</v>
      </c>
      <c r="S2168" s="3" t="n">
        <f aca="false">INDEX(Summary!$O$2:$O$201,MATCH($B2168,Summary!$A$2:$A$201,0))</f>
        <v>7</v>
      </c>
      <c r="T2168" s="3" t="n">
        <f aca="false">INDEX(Summary!$P$2:$P$201,MATCH($B2168,Summary!$A$2:$A$201,0))</f>
        <v>2</v>
      </c>
      <c r="U2168" s="2" t="n">
        <f aca="false">INDEX(Summary!$Q$2:$Q$201,MATCH($B2168,Summary!$A$2:$A$201,0))</f>
        <v>14.23</v>
      </c>
      <c r="V2168" s="2" t="n">
        <f aca="false">INDEX(Summary!$R$2:$R$201,MATCH($B2168,Summary!$A$2:$A$201,0))</f>
        <v>19.58</v>
      </c>
      <c r="W2168" s="0" t="str">
        <f aca="false">INDEX(Summary!$S$2:$S$201,MATCH($B2168,Summary!$A$2:$A$201,0))</f>
        <v>Bronze</v>
      </c>
      <c r="X2168" s="2" t="n">
        <f aca="false">INDEX(Summary!$T$2:$T$201,MATCH($B2168,Summary!$A$2:$A$201,0))</f>
        <v>47.76</v>
      </c>
      <c r="Y2168" s="0" t="str">
        <f aca="false">INDEX('Reward Model'!$E$18:$E$37,MATCH($E2168,'Reward Model'!$A$18:$A$37,0))</f>
        <v>Low</v>
      </c>
      <c r="Z2168" s="4" t="n">
        <f aca="false">ROUND(MIN(1,MAX('Reward Model'!$B$2,INDEX('Reward Model'!$C$12:$C$14,MATCH($K2168,'Reward Model'!$A$12:$A$14,0))/$J2168)),3)</f>
        <v>0.781</v>
      </c>
      <c r="AA2168" s="2" t="n">
        <f aca="false">IF($I2168="Correct",ROUND(INDEX('Reward Model'!$B$12:$B$14,MATCH($K2168,'Reward Model'!$A$12:$A$14,0))*Z2168,2),0)</f>
        <v>0.78</v>
      </c>
      <c r="AB2168" s="2" t="n">
        <f aca="false">IF($I2168="Correct",ROUND(INDEX('Reward Model'!$B$12:$B$14,MATCH($Y2168,'Reward Model'!$A$12:$A$14,0))*Z2168,2),0)</f>
        <v>0.78</v>
      </c>
    </row>
    <row r="2169" customFormat="false" ht="15" hidden="false" customHeight="false" outlineLevel="0" collapsed="false">
      <c r="A2169" s="0" t="s">
        <v>348</v>
      </c>
      <c r="B2169" s="0" t="s">
        <v>349</v>
      </c>
      <c r="C2169" s="0" t="s">
        <v>322</v>
      </c>
      <c r="D2169" s="0" t="s">
        <v>31</v>
      </c>
      <c r="E2169" s="0" t="n">
        <v>8</v>
      </c>
      <c r="F2169" s="0" t="s">
        <v>52</v>
      </c>
      <c r="G2169" s="0" t="s">
        <v>54</v>
      </c>
      <c r="H2169" s="0" t="s">
        <v>54</v>
      </c>
      <c r="I2169" s="0" t="s">
        <v>34</v>
      </c>
      <c r="J2169" s="0" t="n">
        <v>1.77</v>
      </c>
      <c r="K2169" s="0" t="s">
        <v>35</v>
      </c>
      <c r="L2169" s="0" t="n">
        <f aca="false">INDEX(Summary!$F$2:$F$201,MATCH($B2169,Summary!$A$2:$A$201,0))</f>
        <v>20</v>
      </c>
      <c r="M2169" s="0" t="n">
        <f aca="false">INDEX(Summary!$I$2:$I$201,MATCH($B2169,Summary!$A$2:$A$201,0))</f>
        <v>2</v>
      </c>
      <c r="N2169" s="0" t="n">
        <f aca="false">INDEX(Summary!$J$2:$J$201,MATCH($B2169,Summary!$A$2:$A$201,0))</f>
        <v>3</v>
      </c>
      <c r="O2169" s="2" t="n">
        <f aca="false">INDEX(Summary!$K$2:$K$201,MATCH($B2169,Summary!$A$2:$A$201,0))</f>
        <v>8.37</v>
      </c>
      <c r="P2169" s="3" t="n">
        <f aca="false">INDEX(Summary!$L$2:$L$201,MATCH($B2169,Summary!$A$2:$A$201,0))</f>
        <v>2</v>
      </c>
      <c r="Q2169" s="3" t="n">
        <f aca="false">INDEX(Summary!$M$2:$M$201,MATCH($B2169,Summary!$A$2:$A$201,0))</f>
        <v>4</v>
      </c>
      <c r="R2169" s="2" t="n">
        <f aca="false">INDEX(Summary!$N$2:$N$201,MATCH($B2169,Summary!$A$2:$A$201,0))</f>
        <v>9.99</v>
      </c>
      <c r="S2169" s="3" t="n">
        <f aca="false">INDEX(Summary!$O$2:$O$201,MATCH($B2169,Summary!$A$2:$A$201,0))</f>
        <v>7</v>
      </c>
      <c r="T2169" s="3" t="n">
        <f aca="false">INDEX(Summary!$P$2:$P$201,MATCH($B2169,Summary!$A$2:$A$201,0))</f>
        <v>2</v>
      </c>
      <c r="U2169" s="2" t="n">
        <f aca="false">INDEX(Summary!$Q$2:$Q$201,MATCH($B2169,Summary!$A$2:$A$201,0))</f>
        <v>14.23</v>
      </c>
      <c r="V2169" s="2" t="n">
        <f aca="false">INDEX(Summary!$R$2:$R$201,MATCH($B2169,Summary!$A$2:$A$201,0))</f>
        <v>19.58</v>
      </c>
      <c r="W2169" s="0" t="str">
        <f aca="false">INDEX(Summary!$S$2:$S$201,MATCH($B2169,Summary!$A$2:$A$201,0))</f>
        <v>Bronze</v>
      </c>
      <c r="X2169" s="2" t="n">
        <f aca="false">INDEX(Summary!$T$2:$T$201,MATCH($B2169,Summary!$A$2:$A$201,0))</f>
        <v>47.76</v>
      </c>
      <c r="Y2169" s="0" t="str">
        <f aca="false">INDEX('Reward Model'!$E$18:$E$37,MATCH($E2169,'Reward Model'!$A$18:$A$37,0))</f>
        <v>Medium</v>
      </c>
      <c r="Z2169" s="4" t="n">
        <f aca="false">ROUND(MIN(1,MAX('Reward Model'!$B$2,INDEX('Reward Model'!$C$12:$C$14,MATCH($K2169,'Reward Model'!$A$12:$A$14,0))/$J2169)),3)</f>
        <v>0.847</v>
      </c>
      <c r="AA2169" s="2" t="n">
        <f aca="false">IF($I2169="Correct",ROUND(INDEX('Reward Model'!$B$12:$B$14,MATCH($K2169,'Reward Model'!$A$12:$A$14,0))*Z2169,2),0)</f>
        <v>0.85</v>
      </c>
      <c r="AB2169" s="2" t="n">
        <f aca="false">IF($I2169="Correct",ROUND(INDEX('Reward Model'!$B$12:$B$14,MATCH($Y2169,'Reward Model'!$A$12:$A$14,0))*Z2169,2),0)</f>
        <v>1.69</v>
      </c>
    </row>
    <row r="2170" customFormat="false" ht="15" hidden="false" customHeight="false" outlineLevel="0" collapsed="false">
      <c r="A2170" s="0" t="s">
        <v>348</v>
      </c>
      <c r="B2170" s="0" t="s">
        <v>349</v>
      </c>
      <c r="C2170" s="0" t="s">
        <v>322</v>
      </c>
      <c r="D2170" s="0" t="s">
        <v>31</v>
      </c>
      <c r="E2170" s="0" t="n">
        <v>9</v>
      </c>
      <c r="F2170" s="0" t="s">
        <v>55</v>
      </c>
      <c r="G2170" s="0" t="s">
        <v>56</v>
      </c>
      <c r="H2170" s="0" t="s">
        <v>57</v>
      </c>
      <c r="I2170" s="0" t="s">
        <v>39</v>
      </c>
      <c r="J2170" s="0" t="n">
        <v>1.86</v>
      </c>
      <c r="K2170" s="0" t="s">
        <v>35</v>
      </c>
      <c r="L2170" s="0" t="n">
        <f aca="false">INDEX(Summary!$F$2:$F$201,MATCH($B2170,Summary!$A$2:$A$201,0))</f>
        <v>20</v>
      </c>
      <c r="M2170" s="0" t="n">
        <f aca="false">INDEX(Summary!$I$2:$I$201,MATCH($B2170,Summary!$A$2:$A$201,0))</f>
        <v>2</v>
      </c>
      <c r="N2170" s="0" t="n">
        <f aca="false">INDEX(Summary!$J$2:$J$201,MATCH($B2170,Summary!$A$2:$A$201,0))</f>
        <v>3</v>
      </c>
      <c r="O2170" s="2" t="n">
        <f aca="false">INDEX(Summary!$K$2:$K$201,MATCH($B2170,Summary!$A$2:$A$201,0))</f>
        <v>8.37</v>
      </c>
      <c r="P2170" s="3" t="n">
        <f aca="false">INDEX(Summary!$L$2:$L$201,MATCH($B2170,Summary!$A$2:$A$201,0))</f>
        <v>2</v>
      </c>
      <c r="Q2170" s="3" t="n">
        <f aca="false">INDEX(Summary!$M$2:$M$201,MATCH($B2170,Summary!$A$2:$A$201,0))</f>
        <v>4</v>
      </c>
      <c r="R2170" s="2" t="n">
        <f aca="false">INDEX(Summary!$N$2:$N$201,MATCH($B2170,Summary!$A$2:$A$201,0))</f>
        <v>9.99</v>
      </c>
      <c r="S2170" s="3" t="n">
        <f aca="false">INDEX(Summary!$O$2:$O$201,MATCH($B2170,Summary!$A$2:$A$201,0))</f>
        <v>7</v>
      </c>
      <c r="T2170" s="3" t="n">
        <f aca="false">INDEX(Summary!$P$2:$P$201,MATCH($B2170,Summary!$A$2:$A$201,0))</f>
        <v>2</v>
      </c>
      <c r="U2170" s="2" t="n">
        <f aca="false">INDEX(Summary!$Q$2:$Q$201,MATCH($B2170,Summary!$A$2:$A$201,0))</f>
        <v>14.23</v>
      </c>
      <c r="V2170" s="2" t="n">
        <f aca="false">INDEX(Summary!$R$2:$R$201,MATCH($B2170,Summary!$A$2:$A$201,0))</f>
        <v>19.58</v>
      </c>
      <c r="W2170" s="0" t="str">
        <f aca="false">INDEX(Summary!$S$2:$S$201,MATCH($B2170,Summary!$A$2:$A$201,0))</f>
        <v>Bronze</v>
      </c>
      <c r="X2170" s="2" t="n">
        <f aca="false">INDEX(Summary!$T$2:$T$201,MATCH($B2170,Summary!$A$2:$A$201,0))</f>
        <v>47.76</v>
      </c>
      <c r="Y2170" s="0" t="str">
        <f aca="false">INDEX('Reward Model'!$E$18:$E$37,MATCH($E2170,'Reward Model'!$A$18:$A$37,0))</f>
        <v>Medium</v>
      </c>
      <c r="Z2170" s="4" t="n">
        <f aca="false">ROUND(MIN(1,MAX('Reward Model'!$B$2,INDEX('Reward Model'!$C$12:$C$14,MATCH($K2170,'Reward Model'!$A$12:$A$14,0))/$J2170)),3)</f>
        <v>0.806</v>
      </c>
      <c r="AA2170" s="2" t="n">
        <f aca="false">IF($I2170="Correct",ROUND(INDEX('Reward Model'!$B$12:$B$14,MATCH($K2170,'Reward Model'!$A$12:$A$14,0))*Z2170,2),0)</f>
        <v>0</v>
      </c>
      <c r="AB2170" s="2" t="n">
        <f aca="false">IF($I2170="Correct",ROUND(INDEX('Reward Model'!$B$12:$B$14,MATCH($Y2170,'Reward Model'!$A$12:$A$14,0))*Z2170,2),0)</f>
        <v>0</v>
      </c>
    </row>
    <row r="2171" customFormat="false" ht="15" hidden="false" customHeight="false" outlineLevel="0" collapsed="false">
      <c r="A2171" s="0" t="s">
        <v>348</v>
      </c>
      <c r="B2171" s="0" t="s">
        <v>349</v>
      </c>
      <c r="C2171" s="0" t="s">
        <v>322</v>
      </c>
      <c r="D2171" s="0" t="s">
        <v>31</v>
      </c>
      <c r="E2171" s="0" t="n">
        <v>10</v>
      </c>
      <c r="F2171" s="0" t="s">
        <v>58</v>
      </c>
      <c r="G2171" s="0" t="s">
        <v>99</v>
      </c>
      <c r="H2171" s="0" t="s">
        <v>59</v>
      </c>
      <c r="I2171" s="0" t="s">
        <v>39</v>
      </c>
      <c r="J2171" s="0" t="n">
        <v>2.24</v>
      </c>
      <c r="K2171" s="0" t="s">
        <v>60</v>
      </c>
      <c r="L2171" s="0" t="n">
        <f aca="false">INDEX(Summary!$F$2:$F$201,MATCH($B2171,Summary!$A$2:$A$201,0))</f>
        <v>20</v>
      </c>
      <c r="M2171" s="0" t="n">
        <f aca="false">INDEX(Summary!$I$2:$I$201,MATCH($B2171,Summary!$A$2:$A$201,0))</f>
        <v>2</v>
      </c>
      <c r="N2171" s="0" t="n">
        <f aca="false">INDEX(Summary!$J$2:$J$201,MATCH($B2171,Summary!$A$2:$A$201,0))</f>
        <v>3</v>
      </c>
      <c r="O2171" s="2" t="n">
        <f aca="false">INDEX(Summary!$K$2:$K$201,MATCH($B2171,Summary!$A$2:$A$201,0))</f>
        <v>8.37</v>
      </c>
      <c r="P2171" s="3" t="n">
        <f aca="false">INDEX(Summary!$L$2:$L$201,MATCH($B2171,Summary!$A$2:$A$201,0))</f>
        <v>2</v>
      </c>
      <c r="Q2171" s="3" t="n">
        <f aca="false">INDEX(Summary!$M$2:$M$201,MATCH($B2171,Summary!$A$2:$A$201,0))</f>
        <v>4</v>
      </c>
      <c r="R2171" s="2" t="n">
        <f aca="false">INDEX(Summary!$N$2:$N$201,MATCH($B2171,Summary!$A$2:$A$201,0))</f>
        <v>9.99</v>
      </c>
      <c r="S2171" s="3" t="n">
        <f aca="false">INDEX(Summary!$O$2:$O$201,MATCH($B2171,Summary!$A$2:$A$201,0))</f>
        <v>7</v>
      </c>
      <c r="T2171" s="3" t="n">
        <f aca="false">INDEX(Summary!$P$2:$P$201,MATCH($B2171,Summary!$A$2:$A$201,0))</f>
        <v>2</v>
      </c>
      <c r="U2171" s="2" t="n">
        <f aca="false">INDEX(Summary!$Q$2:$Q$201,MATCH($B2171,Summary!$A$2:$A$201,0))</f>
        <v>14.23</v>
      </c>
      <c r="V2171" s="2" t="n">
        <f aca="false">INDEX(Summary!$R$2:$R$201,MATCH($B2171,Summary!$A$2:$A$201,0))</f>
        <v>19.58</v>
      </c>
      <c r="W2171" s="0" t="str">
        <f aca="false">INDEX(Summary!$S$2:$S$201,MATCH($B2171,Summary!$A$2:$A$201,0))</f>
        <v>Bronze</v>
      </c>
      <c r="X2171" s="2" t="n">
        <f aca="false">INDEX(Summary!$T$2:$T$201,MATCH($B2171,Summary!$A$2:$A$201,0))</f>
        <v>47.76</v>
      </c>
      <c r="Y2171" s="0" t="str">
        <f aca="false">INDEX('Reward Model'!$E$18:$E$37,MATCH($E2171,'Reward Model'!$A$18:$A$37,0))</f>
        <v>Medium</v>
      </c>
      <c r="Z2171" s="4" t="n">
        <f aca="false">ROUND(MIN(1,MAX('Reward Model'!$B$2,INDEX('Reward Model'!$C$12:$C$14,MATCH($K2171,'Reward Model'!$A$12:$A$14,0))/$J2171)),3)</f>
        <v>0.804</v>
      </c>
      <c r="AA2171" s="2" t="n">
        <f aca="false">IF($I2171="Correct",ROUND(INDEX('Reward Model'!$B$12:$B$14,MATCH($K2171,'Reward Model'!$A$12:$A$14,0))*Z2171,2),0)</f>
        <v>0</v>
      </c>
      <c r="AB2171" s="2" t="n">
        <f aca="false">IF($I2171="Correct",ROUND(INDEX('Reward Model'!$B$12:$B$14,MATCH($Y2171,'Reward Model'!$A$12:$A$14,0))*Z2171,2),0)</f>
        <v>0</v>
      </c>
    </row>
    <row r="2172" customFormat="false" ht="15" hidden="false" customHeight="false" outlineLevel="0" collapsed="false">
      <c r="A2172" s="0" t="s">
        <v>348</v>
      </c>
      <c r="B2172" s="0" t="s">
        <v>349</v>
      </c>
      <c r="C2172" s="0" t="s">
        <v>322</v>
      </c>
      <c r="D2172" s="0" t="s">
        <v>31</v>
      </c>
      <c r="E2172" s="0" t="n">
        <v>11</v>
      </c>
      <c r="F2172" s="0" t="s">
        <v>61</v>
      </c>
      <c r="G2172" s="0" t="s">
        <v>63</v>
      </c>
      <c r="H2172" s="0" t="s">
        <v>63</v>
      </c>
      <c r="I2172" s="0" t="s">
        <v>34</v>
      </c>
      <c r="J2172" s="0" t="n">
        <v>2.19</v>
      </c>
      <c r="K2172" s="0" t="s">
        <v>60</v>
      </c>
      <c r="L2172" s="0" t="n">
        <f aca="false">INDEX(Summary!$F$2:$F$201,MATCH($B2172,Summary!$A$2:$A$201,0))</f>
        <v>20</v>
      </c>
      <c r="M2172" s="0" t="n">
        <f aca="false">INDEX(Summary!$I$2:$I$201,MATCH($B2172,Summary!$A$2:$A$201,0))</f>
        <v>2</v>
      </c>
      <c r="N2172" s="0" t="n">
        <f aca="false">INDEX(Summary!$J$2:$J$201,MATCH($B2172,Summary!$A$2:$A$201,0))</f>
        <v>3</v>
      </c>
      <c r="O2172" s="2" t="n">
        <f aca="false">INDEX(Summary!$K$2:$K$201,MATCH($B2172,Summary!$A$2:$A$201,0))</f>
        <v>8.37</v>
      </c>
      <c r="P2172" s="3" t="n">
        <f aca="false">INDEX(Summary!$L$2:$L$201,MATCH($B2172,Summary!$A$2:$A$201,0))</f>
        <v>2</v>
      </c>
      <c r="Q2172" s="3" t="n">
        <f aca="false">INDEX(Summary!$M$2:$M$201,MATCH($B2172,Summary!$A$2:$A$201,0))</f>
        <v>4</v>
      </c>
      <c r="R2172" s="2" t="n">
        <f aca="false">INDEX(Summary!$N$2:$N$201,MATCH($B2172,Summary!$A$2:$A$201,0))</f>
        <v>9.99</v>
      </c>
      <c r="S2172" s="3" t="n">
        <f aca="false">INDEX(Summary!$O$2:$O$201,MATCH($B2172,Summary!$A$2:$A$201,0))</f>
        <v>7</v>
      </c>
      <c r="T2172" s="3" t="n">
        <f aca="false">INDEX(Summary!$P$2:$P$201,MATCH($B2172,Summary!$A$2:$A$201,0))</f>
        <v>2</v>
      </c>
      <c r="U2172" s="2" t="n">
        <f aca="false">INDEX(Summary!$Q$2:$Q$201,MATCH($B2172,Summary!$A$2:$A$201,0))</f>
        <v>14.23</v>
      </c>
      <c r="V2172" s="2" t="n">
        <f aca="false">INDEX(Summary!$R$2:$R$201,MATCH($B2172,Summary!$A$2:$A$201,0))</f>
        <v>19.58</v>
      </c>
      <c r="W2172" s="0" t="str">
        <f aca="false">INDEX(Summary!$S$2:$S$201,MATCH($B2172,Summary!$A$2:$A$201,0))</f>
        <v>Bronze</v>
      </c>
      <c r="X2172" s="2" t="n">
        <f aca="false">INDEX(Summary!$T$2:$T$201,MATCH($B2172,Summary!$A$2:$A$201,0))</f>
        <v>47.76</v>
      </c>
      <c r="Y2172" s="0" t="str">
        <f aca="false">INDEX('Reward Model'!$E$18:$E$37,MATCH($E2172,'Reward Model'!$A$18:$A$37,0))</f>
        <v>Medium</v>
      </c>
      <c r="Z2172" s="4" t="n">
        <f aca="false">ROUND(MIN(1,MAX('Reward Model'!$B$2,INDEX('Reward Model'!$C$12:$C$14,MATCH($K2172,'Reward Model'!$A$12:$A$14,0))/$J2172)),3)</f>
        <v>0.822</v>
      </c>
      <c r="AA2172" s="2" t="n">
        <f aca="false">IF($I2172="Correct",ROUND(INDEX('Reward Model'!$B$12:$B$14,MATCH($K2172,'Reward Model'!$A$12:$A$14,0))*Z2172,2),0)</f>
        <v>1.64</v>
      </c>
      <c r="AB2172" s="2" t="n">
        <f aca="false">IF($I2172="Correct",ROUND(INDEX('Reward Model'!$B$12:$B$14,MATCH($Y2172,'Reward Model'!$A$12:$A$14,0))*Z2172,2),0)</f>
        <v>1.64</v>
      </c>
    </row>
    <row r="2173" customFormat="false" ht="15" hidden="false" customHeight="false" outlineLevel="0" collapsed="false">
      <c r="A2173" s="0" t="s">
        <v>348</v>
      </c>
      <c r="B2173" s="0" t="s">
        <v>349</v>
      </c>
      <c r="C2173" s="0" t="s">
        <v>322</v>
      </c>
      <c r="D2173" s="0" t="s">
        <v>31</v>
      </c>
      <c r="E2173" s="0" t="n">
        <v>12</v>
      </c>
      <c r="F2173" s="0" t="s">
        <v>64</v>
      </c>
      <c r="G2173" s="0" t="s">
        <v>127</v>
      </c>
      <c r="H2173" s="0" t="s">
        <v>65</v>
      </c>
      <c r="I2173" s="0" t="s">
        <v>39</v>
      </c>
      <c r="J2173" s="0" t="n">
        <v>1.4</v>
      </c>
      <c r="K2173" s="0" t="s">
        <v>60</v>
      </c>
      <c r="L2173" s="0" t="n">
        <f aca="false">INDEX(Summary!$F$2:$F$201,MATCH($B2173,Summary!$A$2:$A$201,0))</f>
        <v>20</v>
      </c>
      <c r="M2173" s="0" t="n">
        <f aca="false">INDEX(Summary!$I$2:$I$201,MATCH($B2173,Summary!$A$2:$A$201,0))</f>
        <v>2</v>
      </c>
      <c r="N2173" s="0" t="n">
        <f aca="false">INDEX(Summary!$J$2:$J$201,MATCH($B2173,Summary!$A$2:$A$201,0))</f>
        <v>3</v>
      </c>
      <c r="O2173" s="2" t="n">
        <f aca="false">INDEX(Summary!$K$2:$K$201,MATCH($B2173,Summary!$A$2:$A$201,0))</f>
        <v>8.37</v>
      </c>
      <c r="P2173" s="3" t="n">
        <f aca="false">INDEX(Summary!$L$2:$L$201,MATCH($B2173,Summary!$A$2:$A$201,0))</f>
        <v>2</v>
      </c>
      <c r="Q2173" s="3" t="n">
        <f aca="false">INDEX(Summary!$M$2:$M$201,MATCH($B2173,Summary!$A$2:$A$201,0))</f>
        <v>4</v>
      </c>
      <c r="R2173" s="2" t="n">
        <f aca="false">INDEX(Summary!$N$2:$N$201,MATCH($B2173,Summary!$A$2:$A$201,0))</f>
        <v>9.99</v>
      </c>
      <c r="S2173" s="3" t="n">
        <f aca="false">INDEX(Summary!$O$2:$O$201,MATCH($B2173,Summary!$A$2:$A$201,0))</f>
        <v>7</v>
      </c>
      <c r="T2173" s="3" t="n">
        <f aca="false">INDEX(Summary!$P$2:$P$201,MATCH($B2173,Summary!$A$2:$A$201,0))</f>
        <v>2</v>
      </c>
      <c r="U2173" s="2" t="n">
        <f aca="false">INDEX(Summary!$Q$2:$Q$201,MATCH($B2173,Summary!$A$2:$A$201,0))</f>
        <v>14.23</v>
      </c>
      <c r="V2173" s="2" t="n">
        <f aca="false">INDEX(Summary!$R$2:$R$201,MATCH($B2173,Summary!$A$2:$A$201,0))</f>
        <v>19.58</v>
      </c>
      <c r="W2173" s="0" t="str">
        <f aca="false">INDEX(Summary!$S$2:$S$201,MATCH($B2173,Summary!$A$2:$A$201,0))</f>
        <v>Bronze</v>
      </c>
      <c r="X2173" s="2" t="n">
        <f aca="false">INDEX(Summary!$T$2:$T$201,MATCH($B2173,Summary!$A$2:$A$201,0))</f>
        <v>47.76</v>
      </c>
      <c r="Y2173" s="0" t="str">
        <f aca="false">INDEX('Reward Model'!$E$18:$E$37,MATCH($E2173,'Reward Model'!$A$18:$A$37,0))</f>
        <v>Medium</v>
      </c>
      <c r="Z2173" s="4" t="n">
        <f aca="false">ROUND(MIN(1,MAX('Reward Model'!$B$2,INDEX('Reward Model'!$C$12:$C$14,MATCH($K2173,'Reward Model'!$A$12:$A$14,0))/$J2173)),3)</f>
        <v>1</v>
      </c>
      <c r="AA2173" s="2" t="n">
        <f aca="false">IF($I2173="Correct",ROUND(INDEX('Reward Model'!$B$12:$B$14,MATCH($K2173,'Reward Model'!$A$12:$A$14,0))*Z2173,2),0)</f>
        <v>0</v>
      </c>
      <c r="AB2173" s="2" t="n">
        <f aca="false">IF($I2173="Correct",ROUND(INDEX('Reward Model'!$B$12:$B$14,MATCH($Y2173,'Reward Model'!$A$12:$A$14,0))*Z2173,2),0)</f>
        <v>0</v>
      </c>
    </row>
    <row r="2174" customFormat="false" ht="15" hidden="false" customHeight="false" outlineLevel="0" collapsed="false">
      <c r="A2174" s="0" t="s">
        <v>348</v>
      </c>
      <c r="B2174" s="0" t="s">
        <v>349</v>
      </c>
      <c r="C2174" s="0" t="s">
        <v>322</v>
      </c>
      <c r="D2174" s="0" t="s">
        <v>31</v>
      </c>
      <c r="E2174" s="0" t="n">
        <v>13</v>
      </c>
      <c r="F2174" s="0" t="s">
        <v>66</v>
      </c>
      <c r="G2174" s="0" t="s">
        <v>67</v>
      </c>
      <c r="H2174" s="0" t="s">
        <v>67</v>
      </c>
      <c r="I2174" s="0" t="s">
        <v>34</v>
      </c>
      <c r="J2174" s="0" t="n">
        <v>1.16</v>
      </c>
      <c r="K2174" s="0" t="s">
        <v>60</v>
      </c>
      <c r="L2174" s="0" t="n">
        <f aca="false">INDEX(Summary!$F$2:$F$201,MATCH($B2174,Summary!$A$2:$A$201,0))</f>
        <v>20</v>
      </c>
      <c r="M2174" s="0" t="n">
        <f aca="false">INDEX(Summary!$I$2:$I$201,MATCH($B2174,Summary!$A$2:$A$201,0))</f>
        <v>2</v>
      </c>
      <c r="N2174" s="0" t="n">
        <f aca="false">INDEX(Summary!$J$2:$J$201,MATCH($B2174,Summary!$A$2:$A$201,0))</f>
        <v>3</v>
      </c>
      <c r="O2174" s="2" t="n">
        <f aca="false">INDEX(Summary!$K$2:$K$201,MATCH($B2174,Summary!$A$2:$A$201,0))</f>
        <v>8.37</v>
      </c>
      <c r="P2174" s="3" t="n">
        <f aca="false">INDEX(Summary!$L$2:$L$201,MATCH($B2174,Summary!$A$2:$A$201,0))</f>
        <v>2</v>
      </c>
      <c r="Q2174" s="3" t="n">
        <f aca="false">INDEX(Summary!$M$2:$M$201,MATCH($B2174,Summary!$A$2:$A$201,0))</f>
        <v>4</v>
      </c>
      <c r="R2174" s="2" t="n">
        <f aca="false">INDEX(Summary!$N$2:$N$201,MATCH($B2174,Summary!$A$2:$A$201,0))</f>
        <v>9.99</v>
      </c>
      <c r="S2174" s="3" t="n">
        <f aca="false">INDEX(Summary!$O$2:$O$201,MATCH($B2174,Summary!$A$2:$A$201,0))</f>
        <v>7</v>
      </c>
      <c r="T2174" s="3" t="n">
        <f aca="false">INDEX(Summary!$P$2:$P$201,MATCH($B2174,Summary!$A$2:$A$201,0))</f>
        <v>2</v>
      </c>
      <c r="U2174" s="2" t="n">
        <f aca="false">INDEX(Summary!$Q$2:$Q$201,MATCH($B2174,Summary!$A$2:$A$201,0))</f>
        <v>14.23</v>
      </c>
      <c r="V2174" s="2" t="n">
        <f aca="false">INDEX(Summary!$R$2:$R$201,MATCH($B2174,Summary!$A$2:$A$201,0))</f>
        <v>19.58</v>
      </c>
      <c r="W2174" s="0" t="str">
        <f aca="false">INDEX(Summary!$S$2:$S$201,MATCH($B2174,Summary!$A$2:$A$201,0))</f>
        <v>Bronze</v>
      </c>
      <c r="X2174" s="2" t="n">
        <f aca="false">INDEX(Summary!$T$2:$T$201,MATCH($B2174,Summary!$A$2:$A$201,0))</f>
        <v>47.76</v>
      </c>
      <c r="Y2174" s="0" t="str">
        <f aca="false">INDEX('Reward Model'!$E$18:$E$37,MATCH($E2174,'Reward Model'!$A$18:$A$37,0))</f>
        <v>Medium</v>
      </c>
      <c r="Z2174" s="4" t="n">
        <f aca="false">ROUND(MIN(1,MAX('Reward Model'!$B$2,INDEX('Reward Model'!$C$12:$C$14,MATCH($K2174,'Reward Model'!$A$12:$A$14,0))/$J2174)),3)</f>
        <v>1</v>
      </c>
      <c r="AA2174" s="2" t="n">
        <f aca="false">IF($I2174="Correct",ROUND(INDEX('Reward Model'!$B$12:$B$14,MATCH($K2174,'Reward Model'!$A$12:$A$14,0))*Z2174,2),0)</f>
        <v>2</v>
      </c>
      <c r="AB2174" s="2" t="n">
        <f aca="false">IF($I2174="Correct",ROUND(INDEX('Reward Model'!$B$12:$B$14,MATCH($Y2174,'Reward Model'!$A$12:$A$14,0))*Z2174,2),0)</f>
        <v>2</v>
      </c>
    </row>
    <row r="2175" customFormat="false" ht="15" hidden="false" customHeight="false" outlineLevel="0" collapsed="false">
      <c r="A2175" s="0" t="s">
        <v>348</v>
      </c>
      <c r="B2175" s="0" t="s">
        <v>349</v>
      </c>
      <c r="C2175" s="0" t="s">
        <v>322</v>
      </c>
      <c r="D2175" s="0" t="s">
        <v>31</v>
      </c>
      <c r="E2175" s="0" t="n">
        <v>14</v>
      </c>
      <c r="F2175" s="0" t="s">
        <v>68</v>
      </c>
      <c r="G2175" s="0" t="s">
        <v>118</v>
      </c>
      <c r="H2175" s="0" t="s">
        <v>51</v>
      </c>
      <c r="I2175" s="0" t="s">
        <v>39</v>
      </c>
      <c r="J2175" s="0" t="n">
        <v>1.79</v>
      </c>
      <c r="K2175" s="0" t="s">
        <v>60</v>
      </c>
      <c r="L2175" s="0" t="n">
        <f aca="false">INDEX(Summary!$F$2:$F$201,MATCH($B2175,Summary!$A$2:$A$201,0))</f>
        <v>20</v>
      </c>
      <c r="M2175" s="0" t="n">
        <f aca="false">INDEX(Summary!$I$2:$I$201,MATCH($B2175,Summary!$A$2:$A$201,0))</f>
        <v>2</v>
      </c>
      <c r="N2175" s="0" t="n">
        <f aca="false">INDEX(Summary!$J$2:$J$201,MATCH($B2175,Summary!$A$2:$A$201,0))</f>
        <v>3</v>
      </c>
      <c r="O2175" s="2" t="n">
        <f aca="false">INDEX(Summary!$K$2:$K$201,MATCH($B2175,Summary!$A$2:$A$201,0))</f>
        <v>8.37</v>
      </c>
      <c r="P2175" s="3" t="n">
        <f aca="false">INDEX(Summary!$L$2:$L$201,MATCH($B2175,Summary!$A$2:$A$201,0))</f>
        <v>2</v>
      </c>
      <c r="Q2175" s="3" t="n">
        <f aca="false">INDEX(Summary!$M$2:$M$201,MATCH($B2175,Summary!$A$2:$A$201,0))</f>
        <v>4</v>
      </c>
      <c r="R2175" s="2" t="n">
        <f aca="false">INDEX(Summary!$N$2:$N$201,MATCH($B2175,Summary!$A$2:$A$201,0))</f>
        <v>9.99</v>
      </c>
      <c r="S2175" s="3" t="n">
        <f aca="false">INDEX(Summary!$O$2:$O$201,MATCH($B2175,Summary!$A$2:$A$201,0))</f>
        <v>7</v>
      </c>
      <c r="T2175" s="3" t="n">
        <f aca="false">INDEX(Summary!$P$2:$P$201,MATCH($B2175,Summary!$A$2:$A$201,0))</f>
        <v>2</v>
      </c>
      <c r="U2175" s="2" t="n">
        <f aca="false">INDEX(Summary!$Q$2:$Q$201,MATCH($B2175,Summary!$A$2:$A$201,0))</f>
        <v>14.23</v>
      </c>
      <c r="V2175" s="2" t="n">
        <f aca="false">INDEX(Summary!$R$2:$R$201,MATCH($B2175,Summary!$A$2:$A$201,0))</f>
        <v>19.58</v>
      </c>
      <c r="W2175" s="0" t="str">
        <f aca="false">INDEX(Summary!$S$2:$S$201,MATCH($B2175,Summary!$A$2:$A$201,0))</f>
        <v>Bronze</v>
      </c>
      <c r="X2175" s="2" t="n">
        <f aca="false">INDEX(Summary!$T$2:$T$201,MATCH($B2175,Summary!$A$2:$A$201,0))</f>
        <v>47.76</v>
      </c>
      <c r="Y2175" s="0" t="str">
        <f aca="false">INDEX('Reward Model'!$E$18:$E$37,MATCH($E2175,'Reward Model'!$A$18:$A$37,0))</f>
        <v>Medium</v>
      </c>
      <c r="Z2175" s="4" t="n">
        <f aca="false">ROUND(MIN(1,MAX('Reward Model'!$B$2,INDEX('Reward Model'!$C$12:$C$14,MATCH($K2175,'Reward Model'!$A$12:$A$14,0))/$J2175)),3)</f>
        <v>1</v>
      </c>
      <c r="AA2175" s="2" t="n">
        <f aca="false">IF($I2175="Correct",ROUND(INDEX('Reward Model'!$B$12:$B$14,MATCH($K2175,'Reward Model'!$A$12:$A$14,0))*Z2175,2),0)</f>
        <v>0</v>
      </c>
      <c r="AB2175" s="2" t="n">
        <f aca="false">IF($I2175="Correct",ROUND(INDEX('Reward Model'!$B$12:$B$14,MATCH($Y2175,'Reward Model'!$A$12:$A$14,0))*Z2175,2),0)</f>
        <v>0</v>
      </c>
    </row>
    <row r="2176" customFormat="false" ht="15" hidden="false" customHeight="false" outlineLevel="0" collapsed="false">
      <c r="A2176" s="0" t="s">
        <v>348</v>
      </c>
      <c r="B2176" s="0" t="s">
        <v>349</v>
      </c>
      <c r="C2176" s="0" t="s">
        <v>322</v>
      </c>
      <c r="D2176" s="0" t="s">
        <v>31</v>
      </c>
      <c r="E2176" s="0" t="n">
        <v>15</v>
      </c>
      <c r="F2176" s="0" t="s">
        <v>69</v>
      </c>
      <c r="G2176" s="0" t="s">
        <v>139</v>
      </c>
      <c r="H2176" s="0" t="s">
        <v>70</v>
      </c>
      <c r="I2176" s="0" t="s">
        <v>39</v>
      </c>
      <c r="J2176" s="0" t="n">
        <v>1.21</v>
      </c>
      <c r="K2176" s="0" t="s">
        <v>60</v>
      </c>
      <c r="L2176" s="0" t="n">
        <f aca="false">INDEX(Summary!$F$2:$F$201,MATCH($B2176,Summary!$A$2:$A$201,0))</f>
        <v>20</v>
      </c>
      <c r="M2176" s="0" t="n">
        <f aca="false">INDEX(Summary!$I$2:$I$201,MATCH($B2176,Summary!$A$2:$A$201,0))</f>
        <v>2</v>
      </c>
      <c r="N2176" s="0" t="n">
        <f aca="false">INDEX(Summary!$J$2:$J$201,MATCH($B2176,Summary!$A$2:$A$201,0))</f>
        <v>3</v>
      </c>
      <c r="O2176" s="2" t="n">
        <f aca="false">INDEX(Summary!$K$2:$K$201,MATCH($B2176,Summary!$A$2:$A$201,0))</f>
        <v>8.37</v>
      </c>
      <c r="P2176" s="3" t="n">
        <f aca="false">INDEX(Summary!$L$2:$L$201,MATCH($B2176,Summary!$A$2:$A$201,0))</f>
        <v>2</v>
      </c>
      <c r="Q2176" s="3" t="n">
        <f aca="false">INDEX(Summary!$M$2:$M$201,MATCH($B2176,Summary!$A$2:$A$201,0))</f>
        <v>4</v>
      </c>
      <c r="R2176" s="2" t="n">
        <f aca="false">INDEX(Summary!$N$2:$N$201,MATCH($B2176,Summary!$A$2:$A$201,0))</f>
        <v>9.99</v>
      </c>
      <c r="S2176" s="3" t="n">
        <f aca="false">INDEX(Summary!$O$2:$O$201,MATCH($B2176,Summary!$A$2:$A$201,0))</f>
        <v>7</v>
      </c>
      <c r="T2176" s="3" t="n">
        <f aca="false">INDEX(Summary!$P$2:$P$201,MATCH($B2176,Summary!$A$2:$A$201,0))</f>
        <v>2</v>
      </c>
      <c r="U2176" s="2" t="n">
        <f aca="false">INDEX(Summary!$Q$2:$Q$201,MATCH($B2176,Summary!$A$2:$A$201,0))</f>
        <v>14.23</v>
      </c>
      <c r="V2176" s="2" t="n">
        <f aca="false">INDEX(Summary!$R$2:$R$201,MATCH($B2176,Summary!$A$2:$A$201,0))</f>
        <v>19.58</v>
      </c>
      <c r="W2176" s="0" t="str">
        <f aca="false">INDEX(Summary!$S$2:$S$201,MATCH($B2176,Summary!$A$2:$A$201,0))</f>
        <v>Bronze</v>
      </c>
      <c r="X2176" s="2" t="n">
        <f aca="false">INDEX(Summary!$T$2:$T$201,MATCH($B2176,Summary!$A$2:$A$201,0))</f>
        <v>47.76</v>
      </c>
      <c r="Y2176" s="0" t="str">
        <f aca="false">INDEX('Reward Model'!$E$18:$E$37,MATCH($E2176,'Reward Model'!$A$18:$A$37,0))</f>
        <v>Medium</v>
      </c>
      <c r="Z2176" s="4" t="n">
        <f aca="false">ROUND(MIN(1,MAX('Reward Model'!$B$2,INDEX('Reward Model'!$C$12:$C$14,MATCH($K2176,'Reward Model'!$A$12:$A$14,0))/$J2176)),3)</f>
        <v>1</v>
      </c>
      <c r="AA2176" s="2" t="n">
        <f aca="false">IF($I2176="Correct",ROUND(INDEX('Reward Model'!$B$12:$B$14,MATCH($K2176,'Reward Model'!$A$12:$A$14,0))*Z2176,2),0)</f>
        <v>0</v>
      </c>
      <c r="AB2176" s="2" t="n">
        <f aca="false">IF($I2176="Correct",ROUND(INDEX('Reward Model'!$B$12:$B$14,MATCH($Y2176,'Reward Model'!$A$12:$A$14,0))*Z2176,2),0)</f>
        <v>0</v>
      </c>
    </row>
    <row r="2177" customFormat="false" ht="15" hidden="false" customHeight="false" outlineLevel="0" collapsed="false">
      <c r="A2177" s="0" t="s">
        <v>348</v>
      </c>
      <c r="B2177" s="0" t="s">
        <v>349</v>
      </c>
      <c r="C2177" s="0" t="s">
        <v>322</v>
      </c>
      <c r="D2177" s="0" t="s">
        <v>31</v>
      </c>
      <c r="E2177" s="0" t="n">
        <v>16</v>
      </c>
      <c r="F2177" s="0" t="s">
        <v>71</v>
      </c>
      <c r="G2177" s="0" t="s">
        <v>101</v>
      </c>
      <c r="H2177" s="0" t="s">
        <v>72</v>
      </c>
      <c r="I2177" s="0" t="s">
        <v>39</v>
      </c>
      <c r="J2177" s="0" t="n">
        <v>1.64</v>
      </c>
      <c r="K2177" s="0" t="s">
        <v>73</v>
      </c>
      <c r="L2177" s="0" t="n">
        <f aca="false">INDEX(Summary!$F$2:$F$201,MATCH($B2177,Summary!$A$2:$A$201,0))</f>
        <v>20</v>
      </c>
      <c r="M2177" s="0" t="n">
        <f aca="false">INDEX(Summary!$I$2:$I$201,MATCH($B2177,Summary!$A$2:$A$201,0))</f>
        <v>2</v>
      </c>
      <c r="N2177" s="0" t="n">
        <f aca="false">INDEX(Summary!$J$2:$J$201,MATCH($B2177,Summary!$A$2:$A$201,0))</f>
        <v>3</v>
      </c>
      <c r="O2177" s="2" t="n">
        <f aca="false">INDEX(Summary!$K$2:$K$201,MATCH($B2177,Summary!$A$2:$A$201,0))</f>
        <v>8.37</v>
      </c>
      <c r="P2177" s="3" t="n">
        <f aca="false">INDEX(Summary!$L$2:$L$201,MATCH($B2177,Summary!$A$2:$A$201,0))</f>
        <v>2</v>
      </c>
      <c r="Q2177" s="3" t="n">
        <f aca="false">INDEX(Summary!$M$2:$M$201,MATCH($B2177,Summary!$A$2:$A$201,0))</f>
        <v>4</v>
      </c>
      <c r="R2177" s="2" t="n">
        <f aca="false">INDEX(Summary!$N$2:$N$201,MATCH($B2177,Summary!$A$2:$A$201,0))</f>
        <v>9.99</v>
      </c>
      <c r="S2177" s="3" t="n">
        <f aca="false">INDEX(Summary!$O$2:$O$201,MATCH($B2177,Summary!$A$2:$A$201,0))</f>
        <v>7</v>
      </c>
      <c r="T2177" s="3" t="n">
        <f aca="false">INDEX(Summary!$P$2:$P$201,MATCH($B2177,Summary!$A$2:$A$201,0))</f>
        <v>2</v>
      </c>
      <c r="U2177" s="2" t="n">
        <f aca="false">INDEX(Summary!$Q$2:$Q$201,MATCH($B2177,Summary!$A$2:$A$201,0))</f>
        <v>14.23</v>
      </c>
      <c r="V2177" s="2" t="n">
        <f aca="false">INDEX(Summary!$R$2:$R$201,MATCH($B2177,Summary!$A$2:$A$201,0))</f>
        <v>19.58</v>
      </c>
      <c r="W2177" s="0" t="str">
        <f aca="false">INDEX(Summary!$S$2:$S$201,MATCH($B2177,Summary!$A$2:$A$201,0))</f>
        <v>Bronze</v>
      </c>
      <c r="X2177" s="2" t="n">
        <f aca="false">INDEX(Summary!$T$2:$T$201,MATCH($B2177,Summary!$A$2:$A$201,0))</f>
        <v>47.76</v>
      </c>
      <c r="Y2177" s="0" t="str">
        <f aca="false">INDEX('Reward Model'!$E$18:$E$37,MATCH($E2177,'Reward Model'!$A$18:$A$37,0))</f>
        <v>High</v>
      </c>
      <c r="Z2177" s="4" t="n">
        <f aca="false">ROUND(MIN(1,MAX('Reward Model'!$B$2,INDEX('Reward Model'!$C$12:$C$14,MATCH($K2177,'Reward Model'!$A$12:$A$14,0))/$J2177)),3)</f>
        <v>1</v>
      </c>
      <c r="AA2177" s="2" t="n">
        <f aca="false">IF($I2177="Correct",ROUND(INDEX('Reward Model'!$B$12:$B$14,MATCH($K2177,'Reward Model'!$A$12:$A$14,0))*Z2177,2),0)</f>
        <v>0</v>
      </c>
      <c r="AB2177" s="2" t="n">
        <f aca="false">IF($I2177="Correct",ROUND(INDEX('Reward Model'!$B$12:$B$14,MATCH($Y2177,'Reward Model'!$A$12:$A$14,0))*Z2177,2),0)</f>
        <v>0</v>
      </c>
    </row>
    <row r="2178" customFormat="false" ht="15" hidden="false" customHeight="false" outlineLevel="0" collapsed="false">
      <c r="A2178" s="0" t="s">
        <v>348</v>
      </c>
      <c r="B2178" s="0" t="s">
        <v>349</v>
      </c>
      <c r="C2178" s="0" t="s">
        <v>322</v>
      </c>
      <c r="D2178" s="0" t="s">
        <v>31</v>
      </c>
      <c r="E2178" s="0" t="n">
        <v>17</v>
      </c>
      <c r="F2178" s="0" t="s">
        <v>74</v>
      </c>
      <c r="G2178" s="0" t="s">
        <v>75</v>
      </c>
      <c r="H2178" s="0" t="s">
        <v>75</v>
      </c>
      <c r="I2178" s="0" t="s">
        <v>34</v>
      </c>
      <c r="J2178" s="0" t="n">
        <v>1.64</v>
      </c>
      <c r="K2178" s="0" t="s">
        <v>73</v>
      </c>
      <c r="L2178" s="0" t="n">
        <f aca="false">INDEX(Summary!$F$2:$F$201,MATCH($B2178,Summary!$A$2:$A$201,0))</f>
        <v>20</v>
      </c>
      <c r="M2178" s="0" t="n">
        <f aca="false">INDEX(Summary!$I$2:$I$201,MATCH($B2178,Summary!$A$2:$A$201,0))</f>
        <v>2</v>
      </c>
      <c r="N2178" s="0" t="n">
        <f aca="false">INDEX(Summary!$J$2:$J$201,MATCH($B2178,Summary!$A$2:$A$201,0))</f>
        <v>3</v>
      </c>
      <c r="O2178" s="2" t="n">
        <f aca="false">INDEX(Summary!$K$2:$K$201,MATCH($B2178,Summary!$A$2:$A$201,0))</f>
        <v>8.37</v>
      </c>
      <c r="P2178" s="3" t="n">
        <f aca="false">INDEX(Summary!$L$2:$L$201,MATCH($B2178,Summary!$A$2:$A$201,0))</f>
        <v>2</v>
      </c>
      <c r="Q2178" s="3" t="n">
        <f aca="false">INDEX(Summary!$M$2:$M$201,MATCH($B2178,Summary!$A$2:$A$201,0))</f>
        <v>4</v>
      </c>
      <c r="R2178" s="2" t="n">
        <f aca="false">INDEX(Summary!$N$2:$N$201,MATCH($B2178,Summary!$A$2:$A$201,0))</f>
        <v>9.99</v>
      </c>
      <c r="S2178" s="3" t="n">
        <f aca="false">INDEX(Summary!$O$2:$O$201,MATCH($B2178,Summary!$A$2:$A$201,0))</f>
        <v>7</v>
      </c>
      <c r="T2178" s="3" t="n">
        <f aca="false">INDEX(Summary!$P$2:$P$201,MATCH($B2178,Summary!$A$2:$A$201,0))</f>
        <v>2</v>
      </c>
      <c r="U2178" s="2" t="n">
        <f aca="false">INDEX(Summary!$Q$2:$Q$201,MATCH($B2178,Summary!$A$2:$A$201,0))</f>
        <v>14.23</v>
      </c>
      <c r="V2178" s="2" t="n">
        <f aca="false">INDEX(Summary!$R$2:$R$201,MATCH($B2178,Summary!$A$2:$A$201,0))</f>
        <v>19.58</v>
      </c>
      <c r="W2178" s="0" t="str">
        <f aca="false">INDEX(Summary!$S$2:$S$201,MATCH($B2178,Summary!$A$2:$A$201,0))</f>
        <v>Bronze</v>
      </c>
      <c r="X2178" s="2" t="n">
        <f aca="false">INDEX(Summary!$T$2:$T$201,MATCH($B2178,Summary!$A$2:$A$201,0))</f>
        <v>47.76</v>
      </c>
      <c r="Y2178" s="0" t="str">
        <f aca="false">INDEX('Reward Model'!$E$18:$E$37,MATCH($E2178,'Reward Model'!$A$18:$A$37,0))</f>
        <v>High</v>
      </c>
      <c r="Z2178" s="4" t="n">
        <f aca="false">ROUND(MIN(1,MAX('Reward Model'!$B$2,INDEX('Reward Model'!$C$12:$C$14,MATCH($K2178,'Reward Model'!$A$12:$A$14,0))/$J2178)),3)</f>
        <v>1</v>
      </c>
      <c r="AA2178" s="2" t="n">
        <f aca="false">IF($I2178="Correct",ROUND(INDEX('Reward Model'!$B$12:$B$14,MATCH($K2178,'Reward Model'!$A$12:$A$14,0))*Z2178,2),0)</f>
        <v>3</v>
      </c>
      <c r="AB2178" s="2" t="n">
        <f aca="false">IF($I2178="Correct",ROUND(INDEX('Reward Model'!$B$12:$B$14,MATCH($Y2178,'Reward Model'!$A$12:$A$14,0))*Z2178,2),0)</f>
        <v>3</v>
      </c>
    </row>
    <row r="2179" customFormat="false" ht="15" hidden="false" customHeight="false" outlineLevel="0" collapsed="false">
      <c r="A2179" s="0" t="s">
        <v>348</v>
      </c>
      <c r="B2179" s="0" t="s">
        <v>349</v>
      </c>
      <c r="C2179" s="0" t="s">
        <v>322</v>
      </c>
      <c r="D2179" s="0" t="s">
        <v>31</v>
      </c>
      <c r="E2179" s="0" t="n">
        <v>18</v>
      </c>
      <c r="F2179" s="0" t="s">
        <v>76</v>
      </c>
      <c r="G2179" s="0" t="s">
        <v>128</v>
      </c>
      <c r="H2179" s="0" t="s">
        <v>77</v>
      </c>
      <c r="I2179" s="0" t="s">
        <v>39</v>
      </c>
      <c r="J2179" s="0" t="n">
        <v>1.23</v>
      </c>
      <c r="K2179" s="0" t="s">
        <v>73</v>
      </c>
      <c r="L2179" s="0" t="n">
        <f aca="false">INDEX(Summary!$F$2:$F$201,MATCH($B2179,Summary!$A$2:$A$201,0))</f>
        <v>20</v>
      </c>
      <c r="M2179" s="0" t="n">
        <f aca="false">INDEX(Summary!$I$2:$I$201,MATCH($B2179,Summary!$A$2:$A$201,0))</f>
        <v>2</v>
      </c>
      <c r="N2179" s="0" t="n">
        <f aca="false">INDEX(Summary!$J$2:$J$201,MATCH($B2179,Summary!$A$2:$A$201,0))</f>
        <v>3</v>
      </c>
      <c r="O2179" s="2" t="n">
        <f aca="false">INDEX(Summary!$K$2:$K$201,MATCH($B2179,Summary!$A$2:$A$201,0))</f>
        <v>8.37</v>
      </c>
      <c r="P2179" s="3" t="n">
        <f aca="false">INDEX(Summary!$L$2:$L$201,MATCH($B2179,Summary!$A$2:$A$201,0))</f>
        <v>2</v>
      </c>
      <c r="Q2179" s="3" t="n">
        <f aca="false">INDEX(Summary!$M$2:$M$201,MATCH($B2179,Summary!$A$2:$A$201,0))</f>
        <v>4</v>
      </c>
      <c r="R2179" s="2" t="n">
        <f aca="false">INDEX(Summary!$N$2:$N$201,MATCH($B2179,Summary!$A$2:$A$201,0))</f>
        <v>9.99</v>
      </c>
      <c r="S2179" s="3" t="n">
        <f aca="false">INDEX(Summary!$O$2:$O$201,MATCH($B2179,Summary!$A$2:$A$201,0))</f>
        <v>7</v>
      </c>
      <c r="T2179" s="3" t="n">
        <f aca="false">INDEX(Summary!$P$2:$P$201,MATCH($B2179,Summary!$A$2:$A$201,0))</f>
        <v>2</v>
      </c>
      <c r="U2179" s="2" t="n">
        <f aca="false">INDEX(Summary!$Q$2:$Q$201,MATCH($B2179,Summary!$A$2:$A$201,0))</f>
        <v>14.23</v>
      </c>
      <c r="V2179" s="2" t="n">
        <f aca="false">INDEX(Summary!$R$2:$R$201,MATCH($B2179,Summary!$A$2:$A$201,0))</f>
        <v>19.58</v>
      </c>
      <c r="W2179" s="0" t="str">
        <f aca="false">INDEX(Summary!$S$2:$S$201,MATCH($B2179,Summary!$A$2:$A$201,0))</f>
        <v>Bronze</v>
      </c>
      <c r="X2179" s="2" t="n">
        <f aca="false">INDEX(Summary!$T$2:$T$201,MATCH($B2179,Summary!$A$2:$A$201,0))</f>
        <v>47.76</v>
      </c>
      <c r="Y2179" s="0" t="str">
        <f aca="false">INDEX('Reward Model'!$E$18:$E$37,MATCH($E2179,'Reward Model'!$A$18:$A$37,0))</f>
        <v>High</v>
      </c>
      <c r="Z2179" s="4" t="n">
        <f aca="false">ROUND(MIN(1,MAX('Reward Model'!$B$2,INDEX('Reward Model'!$C$12:$C$14,MATCH($K2179,'Reward Model'!$A$12:$A$14,0))/$J2179)),3)</f>
        <v>1</v>
      </c>
      <c r="AA2179" s="2" t="n">
        <f aca="false">IF($I2179="Correct",ROUND(INDEX('Reward Model'!$B$12:$B$14,MATCH($K2179,'Reward Model'!$A$12:$A$14,0))*Z2179,2),0)</f>
        <v>0</v>
      </c>
      <c r="AB2179" s="2" t="n">
        <f aca="false">IF($I2179="Correct",ROUND(INDEX('Reward Model'!$B$12:$B$14,MATCH($Y2179,'Reward Model'!$A$12:$A$14,0))*Z2179,2),0)</f>
        <v>0</v>
      </c>
    </row>
    <row r="2180" customFormat="false" ht="15" hidden="false" customHeight="false" outlineLevel="0" collapsed="false">
      <c r="A2180" s="0" t="s">
        <v>348</v>
      </c>
      <c r="B2180" s="0" t="s">
        <v>349</v>
      </c>
      <c r="C2180" s="0" t="s">
        <v>322</v>
      </c>
      <c r="D2180" s="0" t="s">
        <v>31</v>
      </c>
      <c r="E2180" s="0" t="n">
        <v>19</v>
      </c>
      <c r="F2180" s="0" t="s">
        <v>78</v>
      </c>
      <c r="G2180" s="0" t="s">
        <v>79</v>
      </c>
      <c r="H2180" s="0" t="s">
        <v>80</v>
      </c>
      <c r="I2180" s="0" t="s">
        <v>39</v>
      </c>
      <c r="J2180" s="0" t="n">
        <v>2.28</v>
      </c>
      <c r="K2180" s="0" t="s">
        <v>73</v>
      </c>
      <c r="L2180" s="0" t="n">
        <f aca="false">INDEX(Summary!$F$2:$F$201,MATCH($B2180,Summary!$A$2:$A$201,0))</f>
        <v>20</v>
      </c>
      <c r="M2180" s="0" t="n">
        <f aca="false">INDEX(Summary!$I$2:$I$201,MATCH($B2180,Summary!$A$2:$A$201,0))</f>
        <v>2</v>
      </c>
      <c r="N2180" s="0" t="n">
        <f aca="false">INDEX(Summary!$J$2:$J$201,MATCH($B2180,Summary!$A$2:$A$201,0))</f>
        <v>3</v>
      </c>
      <c r="O2180" s="2" t="n">
        <f aca="false">INDEX(Summary!$K$2:$K$201,MATCH($B2180,Summary!$A$2:$A$201,0))</f>
        <v>8.37</v>
      </c>
      <c r="P2180" s="3" t="n">
        <f aca="false">INDEX(Summary!$L$2:$L$201,MATCH($B2180,Summary!$A$2:$A$201,0))</f>
        <v>2</v>
      </c>
      <c r="Q2180" s="3" t="n">
        <f aca="false">INDEX(Summary!$M$2:$M$201,MATCH($B2180,Summary!$A$2:$A$201,0))</f>
        <v>4</v>
      </c>
      <c r="R2180" s="2" t="n">
        <f aca="false">INDEX(Summary!$N$2:$N$201,MATCH($B2180,Summary!$A$2:$A$201,0))</f>
        <v>9.99</v>
      </c>
      <c r="S2180" s="3" t="n">
        <f aca="false">INDEX(Summary!$O$2:$O$201,MATCH($B2180,Summary!$A$2:$A$201,0))</f>
        <v>7</v>
      </c>
      <c r="T2180" s="3" t="n">
        <f aca="false">INDEX(Summary!$P$2:$P$201,MATCH($B2180,Summary!$A$2:$A$201,0))</f>
        <v>2</v>
      </c>
      <c r="U2180" s="2" t="n">
        <f aca="false">INDEX(Summary!$Q$2:$Q$201,MATCH($B2180,Summary!$A$2:$A$201,0))</f>
        <v>14.23</v>
      </c>
      <c r="V2180" s="2" t="n">
        <f aca="false">INDEX(Summary!$R$2:$R$201,MATCH($B2180,Summary!$A$2:$A$201,0))</f>
        <v>19.58</v>
      </c>
      <c r="W2180" s="0" t="str">
        <f aca="false">INDEX(Summary!$S$2:$S$201,MATCH($B2180,Summary!$A$2:$A$201,0))</f>
        <v>Bronze</v>
      </c>
      <c r="X2180" s="2" t="n">
        <f aca="false">INDEX(Summary!$T$2:$T$201,MATCH($B2180,Summary!$A$2:$A$201,0))</f>
        <v>47.76</v>
      </c>
      <c r="Y2180" s="0" t="str">
        <f aca="false">INDEX('Reward Model'!$E$18:$E$37,MATCH($E2180,'Reward Model'!$A$18:$A$37,0))</f>
        <v>High</v>
      </c>
      <c r="Z2180" s="4" t="n">
        <f aca="false">ROUND(MIN(1,MAX('Reward Model'!$B$2,INDEX('Reward Model'!$C$12:$C$14,MATCH($K2180,'Reward Model'!$A$12:$A$14,0))/$J2180)),3)</f>
        <v>0.877</v>
      </c>
      <c r="AA2180" s="2" t="n">
        <f aca="false">IF($I2180="Correct",ROUND(INDEX('Reward Model'!$B$12:$B$14,MATCH($K2180,'Reward Model'!$A$12:$A$14,0))*Z2180,2),0)</f>
        <v>0</v>
      </c>
      <c r="AB2180" s="2" t="n">
        <f aca="false">IF($I2180="Correct",ROUND(INDEX('Reward Model'!$B$12:$B$14,MATCH($Y2180,'Reward Model'!$A$12:$A$14,0))*Z2180,2),0)</f>
        <v>0</v>
      </c>
    </row>
    <row r="2181" customFormat="false" ht="15" hidden="false" customHeight="false" outlineLevel="0" collapsed="false">
      <c r="A2181" s="0" t="s">
        <v>348</v>
      </c>
      <c r="B2181" s="0" t="s">
        <v>349</v>
      </c>
      <c r="C2181" s="0" t="s">
        <v>322</v>
      </c>
      <c r="D2181" s="0" t="s">
        <v>31</v>
      </c>
      <c r="E2181" s="0" t="n">
        <v>20</v>
      </c>
      <c r="F2181" s="0" t="s">
        <v>81</v>
      </c>
      <c r="G2181" s="0" t="s">
        <v>83</v>
      </c>
      <c r="H2181" s="0" t="s">
        <v>83</v>
      </c>
      <c r="I2181" s="0" t="s">
        <v>34</v>
      </c>
      <c r="J2181" s="0" t="n">
        <v>1.58</v>
      </c>
      <c r="K2181" s="0" t="s">
        <v>73</v>
      </c>
      <c r="L2181" s="0" t="n">
        <f aca="false">INDEX(Summary!$F$2:$F$201,MATCH($B2181,Summary!$A$2:$A$201,0))</f>
        <v>20</v>
      </c>
      <c r="M2181" s="0" t="n">
        <f aca="false">INDEX(Summary!$I$2:$I$201,MATCH($B2181,Summary!$A$2:$A$201,0))</f>
        <v>2</v>
      </c>
      <c r="N2181" s="0" t="n">
        <f aca="false">INDEX(Summary!$J$2:$J$201,MATCH($B2181,Summary!$A$2:$A$201,0))</f>
        <v>3</v>
      </c>
      <c r="O2181" s="2" t="n">
        <f aca="false">INDEX(Summary!$K$2:$K$201,MATCH($B2181,Summary!$A$2:$A$201,0))</f>
        <v>8.37</v>
      </c>
      <c r="P2181" s="3" t="n">
        <f aca="false">INDEX(Summary!$L$2:$L$201,MATCH($B2181,Summary!$A$2:$A$201,0))</f>
        <v>2</v>
      </c>
      <c r="Q2181" s="3" t="n">
        <f aca="false">INDEX(Summary!$M$2:$M$201,MATCH($B2181,Summary!$A$2:$A$201,0))</f>
        <v>4</v>
      </c>
      <c r="R2181" s="2" t="n">
        <f aca="false">INDEX(Summary!$N$2:$N$201,MATCH($B2181,Summary!$A$2:$A$201,0))</f>
        <v>9.99</v>
      </c>
      <c r="S2181" s="3" t="n">
        <f aca="false">INDEX(Summary!$O$2:$O$201,MATCH($B2181,Summary!$A$2:$A$201,0))</f>
        <v>7</v>
      </c>
      <c r="T2181" s="3" t="n">
        <f aca="false">INDEX(Summary!$P$2:$P$201,MATCH($B2181,Summary!$A$2:$A$201,0))</f>
        <v>2</v>
      </c>
      <c r="U2181" s="2" t="n">
        <f aca="false">INDEX(Summary!$Q$2:$Q$201,MATCH($B2181,Summary!$A$2:$A$201,0))</f>
        <v>14.23</v>
      </c>
      <c r="V2181" s="2" t="n">
        <f aca="false">INDEX(Summary!$R$2:$R$201,MATCH($B2181,Summary!$A$2:$A$201,0))</f>
        <v>19.58</v>
      </c>
      <c r="W2181" s="0" t="str">
        <f aca="false">INDEX(Summary!$S$2:$S$201,MATCH($B2181,Summary!$A$2:$A$201,0))</f>
        <v>Bronze</v>
      </c>
      <c r="X2181" s="2" t="n">
        <f aca="false">INDEX(Summary!$T$2:$T$201,MATCH($B2181,Summary!$A$2:$A$201,0))</f>
        <v>47.76</v>
      </c>
      <c r="Y2181" s="0" t="str">
        <f aca="false">INDEX('Reward Model'!$E$18:$E$37,MATCH($E2181,'Reward Model'!$A$18:$A$37,0))</f>
        <v>High</v>
      </c>
      <c r="Z2181" s="4" t="n">
        <f aca="false">ROUND(MIN(1,MAX('Reward Model'!$B$2,INDEX('Reward Model'!$C$12:$C$14,MATCH($K2181,'Reward Model'!$A$12:$A$14,0))/$J2181)),3)</f>
        <v>1</v>
      </c>
      <c r="AA2181" s="2" t="n">
        <f aca="false">IF($I2181="Correct",ROUND(INDEX('Reward Model'!$B$12:$B$14,MATCH($K2181,'Reward Model'!$A$12:$A$14,0))*Z2181,2),0)</f>
        <v>3</v>
      </c>
      <c r="AB2181" s="2" t="n">
        <f aca="false">IF($I2181="Correct",ROUND(INDEX('Reward Model'!$B$12:$B$14,MATCH($Y2181,'Reward Model'!$A$12:$A$14,0))*Z2181,2),0)</f>
        <v>3</v>
      </c>
    </row>
    <row r="2182" customFormat="false" ht="15" hidden="false" customHeight="false" outlineLevel="0" collapsed="false">
      <c r="A2182" s="0" t="s">
        <v>350</v>
      </c>
      <c r="B2182" s="0" t="s">
        <v>351</v>
      </c>
      <c r="C2182" s="0" t="s">
        <v>322</v>
      </c>
      <c r="D2182" s="0" t="s">
        <v>31</v>
      </c>
      <c r="E2182" s="0" t="n">
        <v>1</v>
      </c>
      <c r="F2182" s="0" t="s">
        <v>32</v>
      </c>
      <c r="G2182" s="0" t="s">
        <v>33</v>
      </c>
      <c r="H2182" s="0" t="s">
        <v>33</v>
      </c>
      <c r="I2182" s="0" t="s">
        <v>34</v>
      </c>
      <c r="J2182" s="0" t="n">
        <v>1.07</v>
      </c>
      <c r="K2182" s="0" t="s">
        <v>35</v>
      </c>
      <c r="L2182" s="0" t="n">
        <f aca="false">INDEX(Summary!$F$2:$F$201,MATCH($B2182,Summary!$A$2:$A$201,0))</f>
        <v>20</v>
      </c>
      <c r="M2182" s="0" t="n">
        <f aca="false">INDEX(Summary!$I$2:$I$201,MATCH($B2182,Summary!$A$2:$A$201,0))</f>
        <v>3</v>
      </c>
      <c r="N2182" s="0" t="n">
        <f aca="false">INDEX(Summary!$J$2:$J$201,MATCH($B2182,Summary!$A$2:$A$201,0))</f>
        <v>2</v>
      </c>
      <c r="O2182" s="2" t="n">
        <f aca="false">INDEX(Summary!$K$2:$K$201,MATCH($B2182,Summary!$A$2:$A$201,0))</f>
        <v>9.32</v>
      </c>
      <c r="P2182" s="3" t="n">
        <f aca="false">INDEX(Summary!$L$2:$L$201,MATCH($B2182,Summary!$A$2:$A$201,0))</f>
        <v>5</v>
      </c>
      <c r="Q2182" s="3" t="n">
        <f aca="false">INDEX(Summary!$M$2:$M$201,MATCH($B2182,Summary!$A$2:$A$201,0))</f>
        <v>1</v>
      </c>
      <c r="R2182" s="2" t="n">
        <f aca="false">INDEX(Summary!$N$2:$N$201,MATCH($B2182,Summary!$A$2:$A$201,0))</f>
        <v>10.46</v>
      </c>
      <c r="S2182" s="3" t="n">
        <f aca="false">INDEX(Summary!$O$2:$O$201,MATCH($B2182,Summary!$A$2:$A$201,0))</f>
        <v>8</v>
      </c>
      <c r="T2182" s="3" t="n">
        <f aca="false">INDEX(Summary!$P$2:$P$201,MATCH($B2182,Summary!$A$2:$A$201,0))</f>
        <v>1</v>
      </c>
      <c r="U2182" s="2" t="n">
        <f aca="false">INDEX(Summary!$Q$2:$Q$201,MATCH($B2182,Summary!$A$2:$A$201,0))</f>
        <v>13.78</v>
      </c>
      <c r="V2182" s="2" t="n">
        <f aca="false">INDEX(Summary!$R$2:$R$201,MATCH($B2182,Summary!$A$2:$A$201,0))</f>
        <v>28.99</v>
      </c>
      <c r="W2182" s="0" t="str">
        <f aca="false">INDEX(Summary!$S$2:$S$201,MATCH($B2182,Summary!$A$2:$A$201,0))</f>
        <v>Gold</v>
      </c>
      <c r="X2182" s="2" t="n">
        <f aca="false">INDEX(Summary!$T$2:$T$201,MATCH($B2182,Summary!$A$2:$A$201,0))</f>
        <v>70.71</v>
      </c>
      <c r="Y2182" s="0" t="str">
        <f aca="false">INDEX('Reward Model'!$E$18:$E$37,MATCH($E2182,'Reward Model'!$A$18:$A$37,0))</f>
        <v>Medium</v>
      </c>
      <c r="Z2182" s="4" t="n">
        <f aca="false">ROUND(MIN(1,MAX('Reward Model'!$B$2,INDEX('Reward Model'!$C$12:$C$14,MATCH($K2182,'Reward Model'!$A$12:$A$14,0))/$J2182)),3)</f>
        <v>1</v>
      </c>
      <c r="AA2182" s="2" t="n">
        <f aca="false">IF($I2182="Correct",ROUND(INDEX('Reward Model'!$B$12:$B$14,MATCH($K2182,'Reward Model'!$A$12:$A$14,0))*Z2182,2),0)</f>
        <v>1</v>
      </c>
      <c r="AB2182" s="2" t="n">
        <f aca="false">IF($I2182="Correct",ROUND(INDEX('Reward Model'!$B$12:$B$14,MATCH($Y2182,'Reward Model'!$A$12:$A$14,0))*Z2182,2),0)</f>
        <v>2</v>
      </c>
    </row>
    <row r="2183" customFormat="false" ht="15" hidden="false" customHeight="false" outlineLevel="0" collapsed="false">
      <c r="A2183" s="0" t="s">
        <v>350</v>
      </c>
      <c r="B2183" s="0" t="s">
        <v>351</v>
      </c>
      <c r="C2183" s="0" t="s">
        <v>322</v>
      </c>
      <c r="D2183" s="0" t="s">
        <v>31</v>
      </c>
      <c r="E2183" s="0" t="n">
        <v>2</v>
      </c>
      <c r="F2183" s="0" t="s">
        <v>36</v>
      </c>
      <c r="G2183" s="0" t="s">
        <v>38</v>
      </c>
      <c r="H2183" s="0" t="s">
        <v>38</v>
      </c>
      <c r="I2183" s="0" t="s">
        <v>34</v>
      </c>
      <c r="J2183" s="0" t="n">
        <v>1.84</v>
      </c>
      <c r="K2183" s="0" t="s">
        <v>35</v>
      </c>
      <c r="L2183" s="0" t="n">
        <f aca="false">INDEX(Summary!$F$2:$F$201,MATCH($B2183,Summary!$A$2:$A$201,0))</f>
        <v>20</v>
      </c>
      <c r="M2183" s="0" t="n">
        <f aca="false">INDEX(Summary!$I$2:$I$201,MATCH($B2183,Summary!$A$2:$A$201,0))</f>
        <v>3</v>
      </c>
      <c r="N2183" s="0" t="n">
        <f aca="false">INDEX(Summary!$J$2:$J$201,MATCH($B2183,Summary!$A$2:$A$201,0))</f>
        <v>2</v>
      </c>
      <c r="O2183" s="2" t="n">
        <f aca="false">INDEX(Summary!$K$2:$K$201,MATCH($B2183,Summary!$A$2:$A$201,0))</f>
        <v>9.32</v>
      </c>
      <c r="P2183" s="3" t="n">
        <f aca="false">INDEX(Summary!$L$2:$L$201,MATCH($B2183,Summary!$A$2:$A$201,0))</f>
        <v>5</v>
      </c>
      <c r="Q2183" s="3" t="n">
        <f aca="false">INDEX(Summary!$M$2:$M$201,MATCH($B2183,Summary!$A$2:$A$201,0))</f>
        <v>1</v>
      </c>
      <c r="R2183" s="2" t="n">
        <f aca="false">INDEX(Summary!$N$2:$N$201,MATCH($B2183,Summary!$A$2:$A$201,0))</f>
        <v>10.46</v>
      </c>
      <c r="S2183" s="3" t="n">
        <f aca="false">INDEX(Summary!$O$2:$O$201,MATCH($B2183,Summary!$A$2:$A$201,0))</f>
        <v>8</v>
      </c>
      <c r="T2183" s="3" t="n">
        <f aca="false">INDEX(Summary!$P$2:$P$201,MATCH($B2183,Summary!$A$2:$A$201,0))</f>
        <v>1</v>
      </c>
      <c r="U2183" s="2" t="n">
        <f aca="false">INDEX(Summary!$Q$2:$Q$201,MATCH($B2183,Summary!$A$2:$A$201,0))</f>
        <v>13.78</v>
      </c>
      <c r="V2183" s="2" t="n">
        <f aca="false">INDEX(Summary!$R$2:$R$201,MATCH($B2183,Summary!$A$2:$A$201,0))</f>
        <v>28.99</v>
      </c>
      <c r="W2183" s="0" t="str">
        <f aca="false">INDEX(Summary!$S$2:$S$201,MATCH($B2183,Summary!$A$2:$A$201,0))</f>
        <v>Gold</v>
      </c>
      <c r="X2183" s="2" t="n">
        <f aca="false">INDEX(Summary!$T$2:$T$201,MATCH($B2183,Summary!$A$2:$A$201,0))</f>
        <v>70.71</v>
      </c>
      <c r="Y2183" s="0" t="str">
        <f aca="false">INDEX('Reward Model'!$E$18:$E$37,MATCH($E2183,'Reward Model'!$A$18:$A$37,0))</f>
        <v>Low</v>
      </c>
      <c r="Z2183" s="4" t="n">
        <f aca="false">ROUND(MIN(1,MAX('Reward Model'!$B$2,INDEX('Reward Model'!$C$12:$C$14,MATCH($K2183,'Reward Model'!$A$12:$A$14,0))/$J2183)),3)</f>
        <v>0.815</v>
      </c>
      <c r="AA2183" s="2" t="n">
        <f aca="false">IF($I2183="Correct",ROUND(INDEX('Reward Model'!$B$12:$B$14,MATCH($K2183,'Reward Model'!$A$12:$A$14,0))*Z2183,2),0)</f>
        <v>0.82</v>
      </c>
      <c r="AB2183" s="2" t="n">
        <f aca="false">IF($I2183="Correct",ROUND(INDEX('Reward Model'!$B$12:$B$14,MATCH($Y2183,'Reward Model'!$A$12:$A$14,0))*Z2183,2),0)</f>
        <v>0.82</v>
      </c>
    </row>
    <row r="2184" customFormat="false" ht="15" hidden="false" customHeight="false" outlineLevel="0" collapsed="false">
      <c r="A2184" s="0" t="s">
        <v>350</v>
      </c>
      <c r="B2184" s="0" t="s">
        <v>351</v>
      </c>
      <c r="C2184" s="0" t="s">
        <v>322</v>
      </c>
      <c r="D2184" s="0" t="s">
        <v>31</v>
      </c>
      <c r="E2184" s="0" t="n">
        <v>3</v>
      </c>
      <c r="F2184" s="0" t="s">
        <v>40</v>
      </c>
      <c r="G2184" s="0" t="s">
        <v>42</v>
      </c>
      <c r="H2184" s="0" t="s">
        <v>42</v>
      </c>
      <c r="I2184" s="0" t="s">
        <v>34</v>
      </c>
      <c r="J2184" s="0" t="n">
        <v>1.31</v>
      </c>
      <c r="K2184" s="0" t="s">
        <v>35</v>
      </c>
      <c r="L2184" s="0" t="n">
        <f aca="false">INDEX(Summary!$F$2:$F$201,MATCH($B2184,Summary!$A$2:$A$201,0))</f>
        <v>20</v>
      </c>
      <c r="M2184" s="0" t="n">
        <f aca="false">INDEX(Summary!$I$2:$I$201,MATCH($B2184,Summary!$A$2:$A$201,0))</f>
        <v>3</v>
      </c>
      <c r="N2184" s="0" t="n">
        <f aca="false">INDEX(Summary!$J$2:$J$201,MATCH($B2184,Summary!$A$2:$A$201,0))</f>
        <v>2</v>
      </c>
      <c r="O2184" s="2" t="n">
        <f aca="false">INDEX(Summary!$K$2:$K$201,MATCH($B2184,Summary!$A$2:$A$201,0))</f>
        <v>9.32</v>
      </c>
      <c r="P2184" s="3" t="n">
        <f aca="false">INDEX(Summary!$L$2:$L$201,MATCH($B2184,Summary!$A$2:$A$201,0))</f>
        <v>5</v>
      </c>
      <c r="Q2184" s="3" t="n">
        <f aca="false">INDEX(Summary!$M$2:$M$201,MATCH($B2184,Summary!$A$2:$A$201,0))</f>
        <v>1</v>
      </c>
      <c r="R2184" s="2" t="n">
        <f aca="false">INDEX(Summary!$N$2:$N$201,MATCH($B2184,Summary!$A$2:$A$201,0))</f>
        <v>10.46</v>
      </c>
      <c r="S2184" s="3" t="n">
        <f aca="false">INDEX(Summary!$O$2:$O$201,MATCH($B2184,Summary!$A$2:$A$201,0))</f>
        <v>8</v>
      </c>
      <c r="T2184" s="3" t="n">
        <f aca="false">INDEX(Summary!$P$2:$P$201,MATCH($B2184,Summary!$A$2:$A$201,0))</f>
        <v>1</v>
      </c>
      <c r="U2184" s="2" t="n">
        <f aca="false">INDEX(Summary!$Q$2:$Q$201,MATCH($B2184,Summary!$A$2:$A$201,0))</f>
        <v>13.78</v>
      </c>
      <c r="V2184" s="2" t="n">
        <f aca="false">INDEX(Summary!$R$2:$R$201,MATCH($B2184,Summary!$A$2:$A$201,0))</f>
        <v>28.99</v>
      </c>
      <c r="W2184" s="0" t="str">
        <f aca="false">INDEX(Summary!$S$2:$S$201,MATCH($B2184,Summary!$A$2:$A$201,0))</f>
        <v>Gold</v>
      </c>
      <c r="X2184" s="2" t="n">
        <f aca="false">INDEX(Summary!$T$2:$T$201,MATCH($B2184,Summary!$A$2:$A$201,0))</f>
        <v>70.71</v>
      </c>
      <c r="Y2184" s="0" t="str">
        <f aca="false">INDEX('Reward Model'!$E$18:$E$37,MATCH($E2184,'Reward Model'!$A$18:$A$37,0))</f>
        <v>Medium</v>
      </c>
      <c r="Z2184" s="4" t="n">
        <f aca="false">ROUND(MIN(1,MAX('Reward Model'!$B$2,INDEX('Reward Model'!$C$12:$C$14,MATCH($K2184,'Reward Model'!$A$12:$A$14,0))/$J2184)),3)</f>
        <v>1</v>
      </c>
      <c r="AA2184" s="2" t="n">
        <f aca="false">IF($I2184="Correct",ROUND(INDEX('Reward Model'!$B$12:$B$14,MATCH($K2184,'Reward Model'!$A$12:$A$14,0))*Z2184,2),0)</f>
        <v>1</v>
      </c>
      <c r="AB2184" s="2" t="n">
        <f aca="false">IF($I2184="Correct",ROUND(INDEX('Reward Model'!$B$12:$B$14,MATCH($Y2184,'Reward Model'!$A$12:$A$14,0))*Z2184,2),0)</f>
        <v>2</v>
      </c>
    </row>
    <row r="2185" customFormat="false" ht="15" hidden="false" customHeight="false" outlineLevel="0" collapsed="false">
      <c r="A2185" s="0" t="s">
        <v>350</v>
      </c>
      <c r="B2185" s="0" t="s">
        <v>351</v>
      </c>
      <c r="C2185" s="0" t="s">
        <v>322</v>
      </c>
      <c r="D2185" s="0" t="s">
        <v>31</v>
      </c>
      <c r="E2185" s="0" t="n">
        <v>4</v>
      </c>
      <c r="F2185" s="0" t="s">
        <v>43</v>
      </c>
      <c r="G2185" s="0" t="s">
        <v>45</v>
      </c>
      <c r="H2185" s="0" t="s">
        <v>45</v>
      </c>
      <c r="I2185" s="0" t="s">
        <v>34</v>
      </c>
      <c r="J2185" s="0" t="n">
        <v>1.32</v>
      </c>
      <c r="K2185" s="0" t="s">
        <v>35</v>
      </c>
      <c r="L2185" s="0" t="n">
        <f aca="false">INDEX(Summary!$F$2:$F$201,MATCH($B2185,Summary!$A$2:$A$201,0))</f>
        <v>20</v>
      </c>
      <c r="M2185" s="0" t="n">
        <f aca="false">INDEX(Summary!$I$2:$I$201,MATCH($B2185,Summary!$A$2:$A$201,0))</f>
        <v>3</v>
      </c>
      <c r="N2185" s="0" t="n">
        <f aca="false">INDEX(Summary!$J$2:$J$201,MATCH($B2185,Summary!$A$2:$A$201,0))</f>
        <v>2</v>
      </c>
      <c r="O2185" s="2" t="n">
        <f aca="false">INDEX(Summary!$K$2:$K$201,MATCH($B2185,Summary!$A$2:$A$201,0))</f>
        <v>9.32</v>
      </c>
      <c r="P2185" s="3" t="n">
        <f aca="false">INDEX(Summary!$L$2:$L$201,MATCH($B2185,Summary!$A$2:$A$201,0))</f>
        <v>5</v>
      </c>
      <c r="Q2185" s="3" t="n">
        <f aca="false">INDEX(Summary!$M$2:$M$201,MATCH($B2185,Summary!$A$2:$A$201,0))</f>
        <v>1</v>
      </c>
      <c r="R2185" s="2" t="n">
        <f aca="false">INDEX(Summary!$N$2:$N$201,MATCH($B2185,Summary!$A$2:$A$201,0))</f>
        <v>10.46</v>
      </c>
      <c r="S2185" s="3" t="n">
        <f aca="false">INDEX(Summary!$O$2:$O$201,MATCH($B2185,Summary!$A$2:$A$201,0))</f>
        <v>8</v>
      </c>
      <c r="T2185" s="3" t="n">
        <f aca="false">INDEX(Summary!$P$2:$P$201,MATCH($B2185,Summary!$A$2:$A$201,0))</f>
        <v>1</v>
      </c>
      <c r="U2185" s="2" t="n">
        <f aca="false">INDEX(Summary!$Q$2:$Q$201,MATCH($B2185,Summary!$A$2:$A$201,0))</f>
        <v>13.78</v>
      </c>
      <c r="V2185" s="2" t="n">
        <f aca="false">INDEX(Summary!$R$2:$R$201,MATCH($B2185,Summary!$A$2:$A$201,0))</f>
        <v>28.99</v>
      </c>
      <c r="W2185" s="0" t="str">
        <f aca="false">INDEX(Summary!$S$2:$S$201,MATCH($B2185,Summary!$A$2:$A$201,0))</f>
        <v>Gold</v>
      </c>
      <c r="X2185" s="2" t="n">
        <f aca="false">INDEX(Summary!$T$2:$T$201,MATCH($B2185,Summary!$A$2:$A$201,0))</f>
        <v>70.71</v>
      </c>
      <c r="Y2185" s="0" t="str">
        <f aca="false">INDEX('Reward Model'!$E$18:$E$37,MATCH($E2185,'Reward Model'!$A$18:$A$37,0))</f>
        <v>Low</v>
      </c>
      <c r="Z2185" s="4" t="n">
        <f aca="false">ROUND(MIN(1,MAX('Reward Model'!$B$2,INDEX('Reward Model'!$C$12:$C$14,MATCH($K2185,'Reward Model'!$A$12:$A$14,0))/$J2185)),3)</f>
        <v>1</v>
      </c>
      <c r="AA2185" s="2" t="n">
        <f aca="false">IF($I2185="Correct",ROUND(INDEX('Reward Model'!$B$12:$B$14,MATCH($K2185,'Reward Model'!$A$12:$A$14,0))*Z2185,2),0)</f>
        <v>1</v>
      </c>
      <c r="AB2185" s="2" t="n">
        <f aca="false">IF($I2185="Correct",ROUND(INDEX('Reward Model'!$B$12:$B$14,MATCH($Y2185,'Reward Model'!$A$12:$A$14,0))*Z2185,2),0)</f>
        <v>1</v>
      </c>
    </row>
    <row r="2186" customFormat="false" ht="15" hidden="false" customHeight="false" outlineLevel="0" collapsed="false">
      <c r="A2186" s="0" t="s">
        <v>350</v>
      </c>
      <c r="B2186" s="0" t="s">
        <v>351</v>
      </c>
      <c r="C2186" s="0" t="s">
        <v>322</v>
      </c>
      <c r="D2186" s="0" t="s">
        <v>31</v>
      </c>
      <c r="E2186" s="0" t="n">
        <v>5</v>
      </c>
      <c r="F2186" s="0" t="s">
        <v>46</v>
      </c>
      <c r="G2186" s="0" t="s">
        <v>47</v>
      </c>
      <c r="H2186" s="0" t="s">
        <v>47</v>
      </c>
      <c r="I2186" s="0" t="s">
        <v>34</v>
      </c>
      <c r="J2186" s="0" t="n">
        <v>2</v>
      </c>
      <c r="K2186" s="0" t="s">
        <v>35</v>
      </c>
      <c r="L2186" s="0" t="n">
        <f aca="false">INDEX(Summary!$F$2:$F$201,MATCH($B2186,Summary!$A$2:$A$201,0))</f>
        <v>20</v>
      </c>
      <c r="M2186" s="0" t="n">
        <f aca="false">INDEX(Summary!$I$2:$I$201,MATCH($B2186,Summary!$A$2:$A$201,0))</f>
        <v>3</v>
      </c>
      <c r="N2186" s="0" t="n">
        <f aca="false">INDEX(Summary!$J$2:$J$201,MATCH($B2186,Summary!$A$2:$A$201,0))</f>
        <v>2</v>
      </c>
      <c r="O2186" s="2" t="n">
        <f aca="false">INDEX(Summary!$K$2:$K$201,MATCH($B2186,Summary!$A$2:$A$201,0))</f>
        <v>9.32</v>
      </c>
      <c r="P2186" s="3" t="n">
        <f aca="false">INDEX(Summary!$L$2:$L$201,MATCH($B2186,Summary!$A$2:$A$201,0))</f>
        <v>5</v>
      </c>
      <c r="Q2186" s="3" t="n">
        <f aca="false">INDEX(Summary!$M$2:$M$201,MATCH($B2186,Summary!$A$2:$A$201,0))</f>
        <v>1</v>
      </c>
      <c r="R2186" s="2" t="n">
        <f aca="false">INDEX(Summary!$N$2:$N$201,MATCH($B2186,Summary!$A$2:$A$201,0))</f>
        <v>10.46</v>
      </c>
      <c r="S2186" s="3" t="n">
        <f aca="false">INDEX(Summary!$O$2:$O$201,MATCH($B2186,Summary!$A$2:$A$201,0))</f>
        <v>8</v>
      </c>
      <c r="T2186" s="3" t="n">
        <f aca="false">INDEX(Summary!$P$2:$P$201,MATCH($B2186,Summary!$A$2:$A$201,0))</f>
        <v>1</v>
      </c>
      <c r="U2186" s="2" t="n">
        <f aca="false">INDEX(Summary!$Q$2:$Q$201,MATCH($B2186,Summary!$A$2:$A$201,0))</f>
        <v>13.78</v>
      </c>
      <c r="V2186" s="2" t="n">
        <f aca="false">INDEX(Summary!$R$2:$R$201,MATCH($B2186,Summary!$A$2:$A$201,0))</f>
        <v>28.99</v>
      </c>
      <c r="W2186" s="0" t="str">
        <f aca="false">INDEX(Summary!$S$2:$S$201,MATCH($B2186,Summary!$A$2:$A$201,0))</f>
        <v>Gold</v>
      </c>
      <c r="X2186" s="2" t="n">
        <f aca="false">INDEX(Summary!$T$2:$T$201,MATCH($B2186,Summary!$A$2:$A$201,0))</f>
        <v>70.71</v>
      </c>
      <c r="Y2186" s="0" t="str">
        <f aca="false">INDEX('Reward Model'!$E$18:$E$37,MATCH($E2186,'Reward Model'!$A$18:$A$37,0))</f>
        <v>Low</v>
      </c>
      <c r="Z2186" s="4" t="n">
        <f aca="false">ROUND(MIN(1,MAX('Reward Model'!$B$2,INDEX('Reward Model'!$C$12:$C$14,MATCH($K2186,'Reward Model'!$A$12:$A$14,0))/$J2186)),3)</f>
        <v>0.75</v>
      </c>
      <c r="AA2186" s="2" t="n">
        <f aca="false">IF($I2186="Correct",ROUND(INDEX('Reward Model'!$B$12:$B$14,MATCH($K2186,'Reward Model'!$A$12:$A$14,0))*Z2186,2),0)</f>
        <v>0.75</v>
      </c>
      <c r="AB2186" s="2" t="n">
        <f aca="false">IF($I2186="Correct",ROUND(INDEX('Reward Model'!$B$12:$B$14,MATCH($Y2186,'Reward Model'!$A$12:$A$14,0))*Z2186,2),0)</f>
        <v>0.75</v>
      </c>
    </row>
    <row r="2187" customFormat="false" ht="15" hidden="false" customHeight="false" outlineLevel="0" collapsed="false">
      <c r="A2187" s="0" t="s">
        <v>350</v>
      </c>
      <c r="B2187" s="0" t="s">
        <v>351</v>
      </c>
      <c r="C2187" s="0" t="s">
        <v>322</v>
      </c>
      <c r="D2187" s="0" t="s">
        <v>31</v>
      </c>
      <c r="E2187" s="0" t="n">
        <v>6</v>
      </c>
      <c r="F2187" s="0" t="s">
        <v>48</v>
      </c>
      <c r="G2187" s="0" t="s">
        <v>49</v>
      </c>
      <c r="H2187" s="0" t="s">
        <v>49</v>
      </c>
      <c r="I2187" s="0" t="s">
        <v>34</v>
      </c>
      <c r="J2187" s="0" t="n">
        <v>1.83</v>
      </c>
      <c r="K2187" s="0" t="s">
        <v>35</v>
      </c>
      <c r="L2187" s="0" t="n">
        <f aca="false">INDEX(Summary!$F$2:$F$201,MATCH($B2187,Summary!$A$2:$A$201,0))</f>
        <v>20</v>
      </c>
      <c r="M2187" s="0" t="n">
        <f aca="false">INDEX(Summary!$I$2:$I$201,MATCH($B2187,Summary!$A$2:$A$201,0))</f>
        <v>3</v>
      </c>
      <c r="N2187" s="0" t="n">
        <f aca="false">INDEX(Summary!$J$2:$J$201,MATCH($B2187,Summary!$A$2:$A$201,0))</f>
        <v>2</v>
      </c>
      <c r="O2187" s="2" t="n">
        <f aca="false">INDEX(Summary!$K$2:$K$201,MATCH($B2187,Summary!$A$2:$A$201,0))</f>
        <v>9.32</v>
      </c>
      <c r="P2187" s="3" t="n">
        <f aca="false">INDEX(Summary!$L$2:$L$201,MATCH($B2187,Summary!$A$2:$A$201,0))</f>
        <v>5</v>
      </c>
      <c r="Q2187" s="3" t="n">
        <f aca="false">INDEX(Summary!$M$2:$M$201,MATCH($B2187,Summary!$A$2:$A$201,0))</f>
        <v>1</v>
      </c>
      <c r="R2187" s="2" t="n">
        <f aca="false">INDEX(Summary!$N$2:$N$201,MATCH($B2187,Summary!$A$2:$A$201,0))</f>
        <v>10.46</v>
      </c>
      <c r="S2187" s="3" t="n">
        <f aca="false">INDEX(Summary!$O$2:$O$201,MATCH($B2187,Summary!$A$2:$A$201,0))</f>
        <v>8</v>
      </c>
      <c r="T2187" s="3" t="n">
        <f aca="false">INDEX(Summary!$P$2:$P$201,MATCH($B2187,Summary!$A$2:$A$201,0))</f>
        <v>1</v>
      </c>
      <c r="U2187" s="2" t="n">
        <f aca="false">INDEX(Summary!$Q$2:$Q$201,MATCH($B2187,Summary!$A$2:$A$201,0))</f>
        <v>13.78</v>
      </c>
      <c r="V2187" s="2" t="n">
        <f aca="false">INDEX(Summary!$R$2:$R$201,MATCH($B2187,Summary!$A$2:$A$201,0))</f>
        <v>28.99</v>
      </c>
      <c r="W2187" s="0" t="str">
        <f aca="false">INDEX(Summary!$S$2:$S$201,MATCH($B2187,Summary!$A$2:$A$201,0))</f>
        <v>Gold</v>
      </c>
      <c r="X2187" s="2" t="n">
        <f aca="false">INDEX(Summary!$T$2:$T$201,MATCH($B2187,Summary!$A$2:$A$201,0))</f>
        <v>70.71</v>
      </c>
      <c r="Y2187" s="0" t="str">
        <f aca="false">INDEX('Reward Model'!$E$18:$E$37,MATCH($E2187,'Reward Model'!$A$18:$A$37,0))</f>
        <v>Medium</v>
      </c>
      <c r="Z2187" s="4" t="n">
        <f aca="false">ROUND(MIN(1,MAX('Reward Model'!$B$2,INDEX('Reward Model'!$C$12:$C$14,MATCH($K2187,'Reward Model'!$A$12:$A$14,0))/$J2187)),3)</f>
        <v>0.82</v>
      </c>
      <c r="AA2187" s="2" t="n">
        <f aca="false">IF($I2187="Correct",ROUND(INDEX('Reward Model'!$B$12:$B$14,MATCH($K2187,'Reward Model'!$A$12:$A$14,0))*Z2187,2),0)</f>
        <v>0.82</v>
      </c>
      <c r="AB2187" s="2" t="n">
        <f aca="false">IF($I2187="Correct",ROUND(INDEX('Reward Model'!$B$12:$B$14,MATCH($Y2187,'Reward Model'!$A$12:$A$14,0))*Z2187,2),0)</f>
        <v>1.64</v>
      </c>
    </row>
    <row r="2188" customFormat="false" ht="15" hidden="false" customHeight="false" outlineLevel="0" collapsed="false">
      <c r="A2188" s="0" t="s">
        <v>350</v>
      </c>
      <c r="B2188" s="0" t="s">
        <v>351</v>
      </c>
      <c r="C2188" s="0" t="s">
        <v>322</v>
      </c>
      <c r="D2188" s="0" t="s">
        <v>31</v>
      </c>
      <c r="E2188" s="0" t="n">
        <v>7</v>
      </c>
      <c r="F2188" s="0" t="s">
        <v>50</v>
      </c>
      <c r="G2188" s="0" t="s">
        <v>51</v>
      </c>
      <c r="H2188" s="0" t="s">
        <v>51</v>
      </c>
      <c r="I2188" s="0" t="s">
        <v>34</v>
      </c>
      <c r="J2188" s="0" t="n">
        <v>1.55</v>
      </c>
      <c r="K2188" s="0" t="s">
        <v>35</v>
      </c>
      <c r="L2188" s="0" t="n">
        <f aca="false">INDEX(Summary!$F$2:$F$201,MATCH($B2188,Summary!$A$2:$A$201,0))</f>
        <v>20</v>
      </c>
      <c r="M2188" s="0" t="n">
        <f aca="false">INDEX(Summary!$I$2:$I$201,MATCH($B2188,Summary!$A$2:$A$201,0))</f>
        <v>3</v>
      </c>
      <c r="N2188" s="0" t="n">
        <f aca="false">INDEX(Summary!$J$2:$J$201,MATCH($B2188,Summary!$A$2:$A$201,0))</f>
        <v>2</v>
      </c>
      <c r="O2188" s="2" t="n">
        <f aca="false">INDEX(Summary!$K$2:$K$201,MATCH($B2188,Summary!$A$2:$A$201,0))</f>
        <v>9.32</v>
      </c>
      <c r="P2188" s="3" t="n">
        <f aca="false">INDEX(Summary!$L$2:$L$201,MATCH($B2188,Summary!$A$2:$A$201,0))</f>
        <v>5</v>
      </c>
      <c r="Q2188" s="3" t="n">
        <f aca="false">INDEX(Summary!$M$2:$M$201,MATCH($B2188,Summary!$A$2:$A$201,0))</f>
        <v>1</v>
      </c>
      <c r="R2188" s="2" t="n">
        <f aca="false">INDEX(Summary!$N$2:$N$201,MATCH($B2188,Summary!$A$2:$A$201,0))</f>
        <v>10.46</v>
      </c>
      <c r="S2188" s="3" t="n">
        <f aca="false">INDEX(Summary!$O$2:$O$201,MATCH($B2188,Summary!$A$2:$A$201,0))</f>
        <v>8</v>
      </c>
      <c r="T2188" s="3" t="n">
        <f aca="false">INDEX(Summary!$P$2:$P$201,MATCH($B2188,Summary!$A$2:$A$201,0))</f>
        <v>1</v>
      </c>
      <c r="U2188" s="2" t="n">
        <f aca="false">INDEX(Summary!$Q$2:$Q$201,MATCH($B2188,Summary!$A$2:$A$201,0))</f>
        <v>13.78</v>
      </c>
      <c r="V2188" s="2" t="n">
        <f aca="false">INDEX(Summary!$R$2:$R$201,MATCH($B2188,Summary!$A$2:$A$201,0))</f>
        <v>28.99</v>
      </c>
      <c r="W2188" s="0" t="str">
        <f aca="false">INDEX(Summary!$S$2:$S$201,MATCH($B2188,Summary!$A$2:$A$201,0))</f>
        <v>Gold</v>
      </c>
      <c r="X2188" s="2" t="n">
        <f aca="false">INDEX(Summary!$T$2:$T$201,MATCH($B2188,Summary!$A$2:$A$201,0))</f>
        <v>70.71</v>
      </c>
      <c r="Y2188" s="0" t="str">
        <f aca="false">INDEX('Reward Model'!$E$18:$E$37,MATCH($E2188,'Reward Model'!$A$18:$A$37,0))</f>
        <v>Low</v>
      </c>
      <c r="Z2188" s="4" t="n">
        <f aca="false">ROUND(MIN(1,MAX('Reward Model'!$B$2,INDEX('Reward Model'!$C$12:$C$14,MATCH($K2188,'Reward Model'!$A$12:$A$14,0))/$J2188)),3)</f>
        <v>0.968</v>
      </c>
      <c r="AA2188" s="2" t="n">
        <f aca="false">IF($I2188="Correct",ROUND(INDEX('Reward Model'!$B$12:$B$14,MATCH($K2188,'Reward Model'!$A$12:$A$14,0))*Z2188,2),0)</f>
        <v>0.97</v>
      </c>
      <c r="AB2188" s="2" t="n">
        <f aca="false">IF($I2188="Correct",ROUND(INDEX('Reward Model'!$B$12:$B$14,MATCH($Y2188,'Reward Model'!$A$12:$A$14,0))*Z2188,2),0)</f>
        <v>0.97</v>
      </c>
    </row>
    <row r="2189" customFormat="false" ht="15" hidden="false" customHeight="false" outlineLevel="0" collapsed="false">
      <c r="A2189" s="0" t="s">
        <v>350</v>
      </c>
      <c r="B2189" s="0" t="s">
        <v>351</v>
      </c>
      <c r="C2189" s="0" t="s">
        <v>322</v>
      </c>
      <c r="D2189" s="0" t="s">
        <v>31</v>
      </c>
      <c r="E2189" s="0" t="n">
        <v>8</v>
      </c>
      <c r="F2189" s="0" t="s">
        <v>52</v>
      </c>
      <c r="G2189" s="0" t="s">
        <v>53</v>
      </c>
      <c r="H2189" s="0" t="s">
        <v>54</v>
      </c>
      <c r="I2189" s="0" t="s">
        <v>39</v>
      </c>
      <c r="J2189" s="0" t="n">
        <v>1.7</v>
      </c>
      <c r="K2189" s="0" t="s">
        <v>35</v>
      </c>
      <c r="L2189" s="0" t="n">
        <f aca="false">INDEX(Summary!$F$2:$F$201,MATCH($B2189,Summary!$A$2:$A$201,0))</f>
        <v>20</v>
      </c>
      <c r="M2189" s="0" t="n">
        <f aca="false">INDEX(Summary!$I$2:$I$201,MATCH($B2189,Summary!$A$2:$A$201,0))</f>
        <v>3</v>
      </c>
      <c r="N2189" s="0" t="n">
        <f aca="false">INDEX(Summary!$J$2:$J$201,MATCH($B2189,Summary!$A$2:$A$201,0))</f>
        <v>2</v>
      </c>
      <c r="O2189" s="2" t="n">
        <f aca="false">INDEX(Summary!$K$2:$K$201,MATCH($B2189,Summary!$A$2:$A$201,0))</f>
        <v>9.32</v>
      </c>
      <c r="P2189" s="3" t="n">
        <f aca="false">INDEX(Summary!$L$2:$L$201,MATCH($B2189,Summary!$A$2:$A$201,0))</f>
        <v>5</v>
      </c>
      <c r="Q2189" s="3" t="n">
        <f aca="false">INDEX(Summary!$M$2:$M$201,MATCH($B2189,Summary!$A$2:$A$201,0))</f>
        <v>1</v>
      </c>
      <c r="R2189" s="2" t="n">
        <f aca="false">INDEX(Summary!$N$2:$N$201,MATCH($B2189,Summary!$A$2:$A$201,0))</f>
        <v>10.46</v>
      </c>
      <c r="S2189" s="3" t="n">
        <f aca="false">INDEX(Summary!$O$2:$O$201,MATCH($B2189,Summary!$A$2:$A$201,0))</f>
        <v>8</v>
      </c>
      <c r="T2189" s="3" t="n">
        <f aca="false">INDEX(Summary!$P$2:$P$201,MATCH($B2189,Summary!$A$2:$A$201,0))</f>
        <v>1</v>
      </c>
      <c r="U2189" s="2" t="n">
        <f aca="false">INDEX(Summary!$Q$2:$Q$201,MATCH($B2189,Summary!$A$2:$A$201,0))</f>
        <v>13.78</v>
      </c>
      <c r="V2189" s="2" t="n">
        <f aca="false">INDEX(Summary!$R$2:$R$201,MATCH($B2189,Summary!$A$2:$A$201,0))</f>
        <v>28.99</v>
      </c>
      <c r="W2189" s="0" t="str">
        <f aca="false">INDEX(Summary!$S$2:$S$201,MATCH($B2189,Summary!$A$2:$A$201,0))</f>
        <v>Gold</v>
      </c>
      <c r="X2189" s="2" t="n">
        <f aca="false">INDEX(Summary!$T$2:$T$201,MATCH($B2189,Summary!$A$2:$A$201,0))</f>
        <v>70.71</v>
      </c>
      <c r="Y2189" s="0" t="str">
        <f aca="false">INDEX('Reward Model'!$E$18:$E$37,MATCH($E2189,'Reward Model'!$A$18:$A$37,0))</f>
        <v>Medium</v>
      </c>
      <c r="Z2189" s="4" t="n">
        <f aca="false">ROUND(MIN(1,MAX('Reward Model'!$B$2,INDEX('Reward Model'!$C$12:$C$14,MATCH($K2189,'Reward Model'!$A$12:$A$14,0))/$J2189)),3)</f>
        <v>0.882</v>
      </c>
      <c r="AA2189" s="2" t="n">
        <f aca="false">IF($I2189="Correct",ROUND(INDEX('Reward Model'!$B$12:$B$14,MATCH($K2189,'Reward Model'!$A$12:$A$14,0))*Z2189,2),0)</f>
        <v>0</v>
      </c>
      <c r="AB2189" s="2" t="n">
        <f aca="false">IF($I2189="Correct",ROUND(INDEX('Reward Model'!$B$12:$B$14,MATCH($Y2189,'Reward Model'!$A$12:$A$14,0))*Z2189,2),0)</f>
        <v>0</v>
      </c>
    </row>
    <row r="2190" customFormat="false" ht="15" hidden="false" customHeight="false" outlineLevel="0" collapsed="false">
      <c r="A2190" s="0" t="s">
        <v>350</v>
      </c>
      <c r="B2190" s="0" t="s">
        <v>351</v>
      </c>
      <c r="C2190" s="0" t="s">
        <v>322</v>
      </c>
      <c r="D2190" s="0" t="s">
        <v>31</v>
      </c>
      <c r="E2190" s="0" t="n">
        <v>9</v>
      </c>
      <c r="F2190" s="0" t="s">
        <v>55</v>
      </c>
      <c r="G2190" s="0" t="s">
        <v>57</v>
      </c>
      <c r="H2190" s="0" t="s">
        <v>57</v>
      </c>
      <c r="I2190" s="0" t="s">
        <v>34</v>
      </c>
      <c r="J2190" s="0" t="n">
        <v>1.16</v>
      </c>
      <c r="K2190" s="0" t="s">
        <v>35</v>
      </c>
      <c r="L2190" s="0" t="n">
        <f aca="false">INDEX(Summary!$F$2:$F$201,MATCH($B2190,Summary!$A$2:$A$201,0))</f>
        <v>20</v>
      </c>
      <c r="M2190" s="0" t="n">
        <f aca="false">INDEX(Summary!$I$2:$I$201,MATCH($B2190,Summary!$A$2:$A$201,0))</f>
        <v>3</v>
      </c>
      <c r="N2190" s="0" t="n">
        <f aca="false">INDEX(Summary!$J$2:$J$201,MATCH($B2190,Summary!$A$2:$A$201,0))</f>
        <v>2</v>
      </c>
      <c r="O2190" s="2" t="n">
        <f aca="false">INDEX(Summary!$K$2:$K$201,MATCH($B2190,Summary!$A$2:$A$201,0))</f>
        <v>9.32</v>
      </c>
      <c r="P2190" s="3" t="n">
        <f aca="false">INDEX(Summary!$L$2:$L$201,MATCH($B2190,Summary!$A$2:$A$201,0))</f>
        <v>5</v>
      </c>
      <c r="Q2190" s="3" t="n">
        <f aca="false">INDEX(Summary!$M$2:$M$201,MATCH($B2190,Summary!$A$2:$A$201,0))</f>
        <v>1</v>
      </c>
      <c r="R2190" s="2" t="n">
        <f aca="false">INDEX(Summary!$N$2:$N$201,MATCH($B2190,Summary!$A$2:$A$201,0))</f>
        <v>10.46</v>
      </c>
      <c r="S2190" s="3" t="n">
        <f aca="false">INDEX(Summary!$O$2:$O$201,MATCH($B2190,Summary!$A$2:$A$201,0))</f>
        <v>8</v>
      </c>
      <c r="T2190" s="3" t="n">
        <f aca="false">INDEX(Summary!$P$2:$P$201,MATCH($B2190,Summary!$A$2:$A$201,0))</f>
        <v>1</v>
      </c>
      <c r="U2190" s="2" t="n">
        <f aca="false">INDEX(Summary!$Q$2:$Q$201,MATCH($B2190,Summary!$A$2:$A$201,0))</f>
        <v>13.78</v>
      </c>
      <c r="V2190" s="2" t="n">
        <f aca="false">INDEX(Summary!$R$2:$R$201,MATCH($B2190,Summary!$A$2:$A$201,0))</f>
        <v>28.99</v>
      </c>
      <c r="W2190" s="0" t="str">
        <f aca="false">INDEX(Summary!$S$2:$S$201,MATCH($B2190,Summary!$A$2:$A$201,0))</f>
        <v>Gold</v>
      </c>
      <c r="X2190" s="2" t="n">
        <f aca="false">INDEX(Summary!$T$2:$T$201,MATCH($B2190,Summary!$A$2:$A$201,0))</f>
        <v>70.71</v>
      </c>
      <c r="Y2190" s="0" t="str">
        <f aca="false">INDEX('Reward Model'!$E$18:$E$37,MATCH($E2190,'Reward Model'!$A$18:$A$37,0))</f>
        <v>Medium</v>
      </c>
      <c r="Z2190" s="4" t="n">
        <f aca="false">ROUND(MIN(1,MAX('Reward Model'!$B$2,INDEX('Reward Model'!$C$12:$C$14,MATCH($K2190,'Reward Model'!$A$12:$A$14,0))/$J2190)),3)</f>
        <v>1</v>
      </c>
      <c r="AA2190" s="2" t="n">
        <f aca="false">IF($I2190="Correct",ROUND(INDEX('Reward Model'!$B$12:$B$14,MATCH($K2190,'Reward Model'!$A$12:$A$14,0))*Z2190,2),0)</f>
        <v>1</v>
      </c>
      <c r="AB2190" s="2" t="n">
        <f aca="false">IF($I2190="Correct",ROUND(INDEX('Reward Model'!$B$12:$B$14,MATCH($Y2190,'Reward Model'!$A$12:$A$14,0))*Z2190,2),0)</f>
        <v>2</v>
      </c>
    </row>
    <row r="2191" customFormat="false" ht="15" hidden="false" customHeight="false" outlineLevel="0" collapsed="false">
      <c r="A2191" s="0" t="s">
        <v>350</v>
      </c>
      <c r="B2191" s="0" t="s">
        <v>351</v>
      </c>
      <c r="C2191" s="0" t="s">
        <v>322</v>
      </c>
      <c r="D2191" s="0" t="s">
        <v>31</v>
      </c>
      <c r="E2191" s="0" t="n">
        <v>10</v>
      </c>
      <c r="F2191" s="0" t="s">
        <v>58</v>
      </c>
      <c r="G2191" s="0" t="s">
        <v>59</v>
      </c>
      <c r="H2191" s="0" t="s">
        <v>59</v>
      </c>
      <c r="I2191" s="0" t="s">
        <v>34</v>
      </c>
      <c r="J2191" s="0" t="n">
        <v>1.62</v>
      </c>
      <c r="K2191" s="0" t="s">
        <v>60</v>
      </c>
      <c r="L2191" s="0" t="n">
        <f aca="false">INDEX(Summary!$F$2:$F$201,MATCH($B2191,Summary!$A$2:$A$201,0))</f>
        <v>20</v>
      </c>
      <c r="M2191" s="0" t="n">
        <f aca="false">INDEX(Summary!$I$2:$I$201,MATCH($B2191,Summary!$A$2:$A$201,0))</f>
        <v>3</v>
      </c>
      <c r="N2191" s="0" t="n">
        <f aca="false">INDEX(Summary!$J$2:$J$201,MATCH($B2191,Summary!$A$2:$A$201,0))</f>
        <v>2</v>
      </c>
      <c r="O2191" s="2" t="n">
        <f aca="false">INDEX(Summary!$K$2:$K$201,MATCH($B2191,Summary!$A$2:$A$201,0))</f>
        <v>9.32</v>
      </c>
      <c r="P2191" s="3" t="n">
        <f aca="false">INDEX(Summary!$L$2:$L$201,MATCH($B2191,Summary!$A$2:$A$201,0))</f>
        <v>5</v>
      </c>
      <c r="Q2191" s="3" t="n">
        <f aca="false">INDEX(Summary!$M$2:$M$201,MATCH($B2191,Summary!$A$2:$A$201,0))</f>
        <v>1</v>
      </c>
      <c r="R2191" s="2" t="n">
        <f aca="false">INDEX(Summary!$N$2:$N$201,MATCH($B2191,Summary!$A$2:$A$201,0))</f>
        <v>10.46</v>
      </c>
      <c r="S2191" s="3" t="n">
        <f aca="false">INDEX(Summary!$O$2:$O$201,MATCH($B2191,Summary!$A$2:$A$201,0))</f>
        <v>8</v>
      </c>
      <c r="T2191" s="3" t="n">
        <f aca="false">INDEX(Summary!$P$2:$P$201,MATCH($B2191,Summary!$A$2:$A$201,0))</f>
        <v>1</v>
      </c>
      <c r="U2191" s="2" t="n">
        <f aca="false">INDEX(Summary!$Q$2:$Q$201,MATCH($B2191,Summary!$A$2:$A$201,0))</f>
        <v>13.78</v>
      </c>
      <c r="V2191" s="2" t="n">
        <f aca="false">INDEX(Summary!$R$2:$R$201,MATCH($B2191,Summary!$A$2:$A$201,0))</f>
        <v>28.99</v>
      </c>
      <c r="W2191" s="0" t="str">
        <f aca="false">INDEX(Summary!$S$2:$S$201,MATCH($B2191,Summary!$A$2:$A$201,0))</f>
        <v>Gold</v>
      </c>
      <c r="X2191" s="2" t="n">
        <f aca="false">INDEX(Summary!$T$2:$T$201,MATCH($B2191,Summary!$A$2:$A$201,0))</f>
        <v>70.71</v>
      </c>
      <c r="Y2191" s="0" t="str">
        <f aca="false">INDEX('Reward Model'!$E$18:$E$37,MATCH($E2191,'Reward Model'!$A$18:$A$37,0))</f>
        <v>Medium</v>
      </c>
      <c r="Z2191" s="4" t="n">
        <f aca="false">ROUND(MIN(1,MAX('Reward Model'!$B$2,INDEX('Reward Model'!$C$12:$C$14,MATCH($K2191,'Reward Model'!$A$12:$A$14,0))/$J2191)),3)</f>
        <v>1</v>
      </c>
      <c r="AA2191" s="2" t="n">
        <f aca="false">IF($I2191="Correct",ROUND(INDEX('Reward Model'!$B$12:$B$14,MATCH($K2191,'Reward Model'!$A$12:$A$14,0))*Z2191,2),0)</f>
        <v>2</v>
      </c>
      <c r="AB2191" s="2" t="n">
        <f aca="false">IF($I2191="Correct",ROUND(INDEX('Reward Model'!$B$12:$B$14,MATCH($Y2191,'Reward Model'!$A$12:$A$14,0))*Z2191,2),0)</f>
        <v>2</v>
      </c>
    </row>
    <row r="2192" customFormat="false" ht="15" hidden="false" customHeight="false" outlineLevel="0" collapsed="false">
      <c r="A2192" s="0" t="s">
        <v>350</v>
      </c>
      <c r="B2192" s="0" t="s">
        <v>351</v>
      </c>
      <c r="C2192" s="0" t="s">
        <v>322</v>
      </c>
      <c r="D2192" s="0" t="s">
        <v>31</v>
      </c>
      <c r="E2192" s="0" t="n">
        <v>11</v>
      </c>
      <c r="F2192" s="0" t="s">
        <v>61</v>
      </c>
      <c r="G2192" s="0" t="s">
        <v>63</v>
      </c>
      <c r="H2192" s="0" t="s">
        <v>63</v>
      </c>
      <c r="I2192" s="0" t="s">
        <v>34</v>
      </c>
      <c r="J2192" s="0" t="n">
        <v>1.98</v>
      </c>
      <c r="K2192" s="0" t="s">
        <v>60</v>
      </c>
      <c r="L2192" s="0" t="n">
        <f aca="false">INDEX(Summary!$F$2:$F$201,MATCH($B2192,Summary!$A$2:$A$201,0))</f>
        <v>20</v>
      </c>
      <c r="M2192" s="0" t="n">
        <f aca="false">INDEX(Summary!$I$2:$I$201,MATCH($B2192,Summary!$A$2:$A$201,0))</f>
        <v>3</v>
      </c>
      <c r="N2192" s="0" t="n">
        <f aca="false">INDEX(Summary!$J$2:$J$201,MATCH($B2192,Summary!$A$2:$A$201,0))</f>
        <v>2</v>
      </c>
      <c r="O2192" s="2" t="n">
        <f aca="false">INDEX(Summary!$K$2:$K$201,MATCH($B2192,Summary!$A$2:$A$201,0))</f>
        <v>9.32</v>
      </c>
      <c r="P2192" s="3" t="n">
        <f aca="false">INDEX(Summary!$L$2:$L$201,MATCH($B2192,Summary!$A$2:$A$201,0))</f>
        <v>5</v>
      </c>
      <c r="Q2192" s="3" t="n">
        <f aca="false">INDEX(Summary!$M$2:$M$201,MATCH($B2192,Summary!$A$2:$A$201,0))</f>
        <v>1</v>
      </c>
      <c r="R2192" s="2" t="n">
        <f aca="false">INDEX(Summary!$N$2:$N$201,MATCH($B2192,Summary!$A$2:$A$201,0))</f>
        <v>10.46</v>
      </c>
      <c r="S2192" s="3" t="n">
        <f aca="false">INDEX(Summary!$O$2:$O$201,MATCH($B2192,Summary!$A$2:$A$201,0))</f>
        <v>8</v>
      </c>
      <c r="T2192" s="3" t="n">
        <f aca="false">INDEX(Summary!$P$2:$P$201,MATCH($B2192,Summary!$A$2:$A$201,0))</f>
        <v>1</v>
      </c>
      <c r="U2192" s="2" t="n">
        <f aca="false">INDEX(Summary!$Q$2:$Q$201,MATCH($B2192,Summary!$A$2:$A$201,0))</f>
        <v>13.78</v>
      </c>
      <c r="V2192" s="2" t="n">
        <f aca="false">INDEX(Summary!$R$2:$R$201,MATCH($B2192,Summary!$A$2:$A$201,0))</f>
        <v>28.99</v>
      </c>
      <c r="W2192" s="0" t="str">
        <f aca="false">INDEX(Summary!$S$2:$S$201,MATCH($B2192,Summary!$A$2:$A$201,0))</f>
        <v>Gold</v>
      </c>
      <c r="X2192" s="2" t="n">
        <f aca="false">INDEX(Summary!$T$2:$T$201,MATCH($B2192,Summary!$A$2:$A$201,0))</f>
        <v>70.71</v>
      </c>
      <c r="Y2192" s="0" t="str">
        <f aca="false">INDEX('Reward Model'!$E$18:$E$37,MATCH($E2192,'Reward Model'!$A$18:$A$37,0))</f>
        <v>Medium</v>
      </c>
      <c r="Z2192" s="4" t="n">
        <f aca="false">ROUND(MIN(1,MAX('Reward Model'!$B$2,INDEX('Reward Model'!$C$12:$C$14,MATCH($K2192,'Reward Model'!$A$12:$A$14,0))/$J2192)),3)</f>
        <v>0.909</v>
      </c>
      <c r="AA2192" s="2" t="n">
        <f aca="false">IF($I2192="Correct",ROUND(INDEX('Reward Model'!$B$12:$B$14,MATCH($K2192,'Reward Model'!$A$12:$A$14,0))*Z2192,2),0)</f>
        <v>1.82</v>
      </c>
      <c r="AB2192" s="2" t="n">
        <f aca="false">IF($I2192="Correct",ROUND(INDEX('Reward Model'!$B$12:$B$14,MATCH($Y2192,'Reward Model'!$A$12:$A$14,0))*Z2192,2),0)</f>
        <v>1.82</v>
      </c>
    </row>
    <row r="2193" customFormat="false" ht="15" hidden="false" customHeight="false" outlineLevel="0" collapsed="false">
      <c r="A2193" s="0" t="s">
        <v>350</v>
      </c>
      <c r="B2193" s="0" t="s">
        <v>351</v>
      </c>
      <c r="C2193" s="0" t="s">
        <v>322</v>
      </c>
      <c r="D2193" s="0" t="s">
        <v>31</v>
      </c>
      <c r="E2193" s="0" t="n">
        <v>12</v>
      </c>
      <c r="F2193" s="0" t="s">
        <v>64</v>
      </c>
      <c r="G2193" s="0" t="s">
        <v>65</v>
      </c>
      <c r="H2193" s="0" t="s">
        <v>65</v>
      </c>
      <c r="I2193" s="0" t="s">
        <v>34</v>
      </c>
      <c r="J2193" s="0" t="n">
        <v>2.23</v>
      </c>
      <c r="K2193" s="0" t="s">
        <v>60</v>
      </c>
      <c r="L2193" s="0" t="n">
        <f aca="false">INDEX(Summary!$F$2:$F$201,MATCH($B2193,Summary!$A$2:$A$201,0))</f>
        <v>20</v>
      </c>
      <c r="M2193" s="0" t="n">
        <f aca="false">INDEX(Summary!$I$2:$I$201,MATCH($B2193,Summary!$A$2:$A$201,0))</f>
        <v>3</v>
      </c>
      <c r="N2193" s="0" t="n">
        <f aca="false">INDEX(Summary!$J$2:$J$201,MATCH($B2193,Summary!$A$2:$A$201,0))</f>
        <v>2</v>
      </c>
      <c r="O2193" s="2" t="n">
        <f aca="false">INDEX(Summary!$K$2:$K$201,MATCH($B2193,Summary!$A$2:$A$201,0))</f>
        <v>9.32</v>
      </c>
      <c r="P2193" s="3" t="n">
        <f aca="false">INDEX(Summary!$L$2:$L$201,MATCH($B2193,Summary!$A$2:$A$201,0))</f>
        <v>5</v>
      </c>
      <c r="Q2193" s="3" t="n">
        <f aca="false">INDEX(Summary!$M$2:$M$201,MATCH($B2193,Summary!$A$2:$A$201,0))</f>
        <v>1</v>
      </c>
      <c r="R2193" s="2" t="n">
        <f aca="false">INDEX(Summary!$N$2:$N$201,MATCH($B2193,Summary!$A$2:$A$201,0))</f>
        <v>10.46</v>
      </c>
      <c r="S2193" s="3" t="n">
        <f aca="false">INDEX(Summary!$O$2:$O$201,MATCH($B2193,Summary!$A$2:$A$201,0))</f>
        <v>8</v>
      </c>
      <c r="T2193" s="3" t="n">
        <f aca="false">INDEX(Summary!$P$2:$P$201,MATCH($B2193,Summary!$A$2:$A$201,0))</f>
        <v>1</v>
      </c>
      <c r="U2193" s="2" t="n">
        <f aca="false">INDEX(Summary!$Q$2:$Q$201,MATCH($B2193,Summary!$A$2:$A$201,0))</f>
        <v>13.78</v>
      </c>
      <c r="V2193" s="2" t="n">
        <f aca="false">INDEX(Summary!$R$2:$R$201,MATCH($B2193,Summary!$A$2:$A$201,0))</f>
        <v>28.99</v>
      </c>
      <c r="W2193" s="0" t="str">
        <f aca="false">INDEX(Summary!$S$2:$S$201,MATCH($B2193,Summary!$A$2:$A$201,0))</f>
        <v>Gold</v>
      </c>
      <c r="X2193" s="2" t="n">
        <f aca="false">INDEX(Summary!$T$2:$T$201,MATCH($B2193,Summary!$A$2:$A$201,0))</f>
        <v>70.71</v>
      </c>
      <c r="Y2193" s="0" t="str">
        <f aca="false">INDEX('Reward Model'!$E$18:$E$37,MATCH($E2193,'Reward Model'!$A$18:$A$37,0))</f>
        <v>Medium</v>
      </c>
      <c r="Z2193" s="4" t="n">
        <f aca="false">ROUND(MIN(1,MAX('Reward Model'!$B$2,INDEX('Reward Model'!$C$12:$C$14,MATCH($K2193,'Reward Model'!$A$12:$A$14,0))/$J2193)),3)</f>
        <v>0.807</v>
      </c>
      <c r="AA2193" s="2" t="n">
        <f aca="false">IF($I2193="Correct",ROUND(INDEX('Reward Model'!$B$12:$B$14,MATCH($K2193,'Reward Model'!$A$12:$A$14,0))*Z2193,2),0)</f>
        <v>1.61</v>
      </c>
      <c r="AB2193" s="2" t="n">
        <f aca="false">IF($I2193="Correct",ROUND(INDEX('Reward Model'!$B$12:$B$14,MATCH($Y2193,'Reward Model'!$A$12:$A$14,0))*Z2193,2),0)</f>
        <v>1.61</v>
      </c>
    </row>
    <row r="2194" customFormat="false" ht="15" hidden="false" customHeight="false" outlineLevel="0" collapsed="false">
      <c r="A2194" s="0" t="s">
        <v>350</v>
      </c>
      <c r="B2194" s="0" t="s">
        <v>351</v>
      </c>
      <c r="C2194" s="0" t="s">
        <v>322</v>
      </c>
      <c r="D2194" s="0" t="s">
        <v>31</v>
      </c>
      <c r="E2194" s="0" t="n">
        <v>13</v>
      </c>
      <c r="F2194" s="0" t="s">
        <v>66</v>
      </c>
      <c r="G2194" s="0" t="s">
        <v>67</v>
      </c>
      <c r="H2194" s="0" t="s">
        <v>67</v>
      </c>
      <c r="I2194" s="0" t="s">
        <v>34</v>
      </c>
      <c r="J2194" s="0" t="n">
        <v>2.07</v>
      </c>
      <c r="K2194" s="0" t="s">
        <v>60</v>
      </c>
      <c r="L2194" s="0" t="n">
        <f aca="false">INDEX(Summary!$F$2:$F$201,MATCH($B2194,Summary!$A$2:$A$201,0))</f>
        <v>20</v>
      </c>
      <c r="M2194" s="0" t="n">
        <f aca="false">INDEX(Summary!$I$2:$I$201,MATCH($B2194,Summary!$A$2:$A$201,0))</f>
        <v>3</v>
      </c>
      <c r="N2194" s="0" t="n">
        <f aca="false">INDEX(Summary!$J$2:$J$201,MATCH($B2194,Summary!$A$2:$A$201,0))</f>
        <v>2</v>
      </c>
      <c r="O2194" s="2" t="n">
        <f aca="false">INDEX(Summary!$K$2:$K$201,MATCH($B2194,Summary!$A$2:$A$201,0))</f>
        <v>9.32</v>
      </c>
      <c r="P2194" s="3" t="n">
        <f aca="false">INDEX(Summary!$L$2:$L$201,MATCH($B2194,Summary!$A$2:$A$201,0))</f>
        <v>5</v>
      </c>
      <c r="Q2194" s="3" t="n">
        <f aca="false">INDEX(Summary!$M$2:$M$201,MATCH($B2194,Summary!$A$2:$A$201,0))</f>
        <v>1</v>
      </c>
      <c r="R2194" s="2" t="n">
        <f aca="false">INDEX(Summary!$N$2:$N$201,MATCH($B2194,Summary!$A$2:$A$201,0))</f>
        <v>10.46</v>
      </c>
      <c r="S2194" s="3" t="n">
        <f aca="false">INDEX(Summary!$O$2:$O$201,MATCH($B2194,Summary!$A$2:$A$201,0))</f>
        <v>8</v>
      </c>
      <c r="T2194" s="3" t="n">
        <f aca="false">INDEX(Summary!$P$2:$P$201,MATCH($B2194,Summary!$A$2:$A$201,0))</f>
        <v>1</v>
      </c>
      <c r="U2194" s="2" t="n">
        <f aca="false">INDEX(Summary!$Q$2:$Q$201,MATCH($B2194,Summary!$A$2:$A$201,0))</f>
        <v>13.78</v>
      </c>
      <c r="V2194" s="2" t="n">
        <f aca="false">INDEX(Summary!$R$2:$R$201,MATCH($B2194,Summary!$A$2:$A$201,0))</f>
        <v>28.99</v>
      </c>
      <c r="W2194" s="0" t="str">
        <f aca="false">INDEX(Summary!$S$2:$S$201,MATCH($B2194,Summary!$A$2:$A$201,0))</f>
        <v>Gold</v>
      </c>
      <c r="X2194" s="2" t="n">
        <f aca="false">INDEX(Summary!$T$2:$T$201,MATCH($B2194,Summary!$A$2:$A$201,0))</f>
        <v>70.71</v>
      </c>
      <c r="Y2194" s="0" t="str">
        <f aca="false">INDEX('Reward Model'!$E$18:$E$37,MATCH($E2194,'Reward Model'!$A$18:$A$37,0))</f>
        <v>Medium</v>
      </c>
      <c r="Z2194" s="4" t="n">
        <f aca="false">ROUND(MIN(1,MAX('Reward Model'!$B$2,INDEX('Reward Model'!$C$12:$C$14,MATCH($K2194,'Reward Model'!$A$12:$A$14,0))/$J2194)),3)</f>
        <v>0.87</v>
      </c>
      <c r="AA2194" s="2" t="n">
        <f aca="false">IF($I2194="Correct",ROUND(INDEX('Reward Model'!$B$12:$B$14,MATCH($K2194,'Reward Model'!$A$12:$A$14,0))*Z2194,2),0)</f>
        <v>1.74</v>
      </c>
      <c r="AB2194" s="2" t="n">
        <f aca="false">IF($I2194="Correct",ROUND(INDEX('Reward Model'!$B$12:$B$14,MATCH($Y2194,'Reward Model'!$A$12:$A$14,0))*Z2194,2),0)</f>
        <v>1.74</v>
      </c>
    </row>
    <row r="2195" customFormat="false" ht="15" hidden="false" customHeight="false" outlineLevel="0" collapsed="false">
      <c r="A2195" s="0" t="s">
        <v>350</v>
      </c>
      <c r="B2195" s="0" t="s">
        <v>351</v>
      </c>
      <c r="C2195" s="0" t="s">
        <v>322</v>
      </c>
      <c r="D2195" s="0" t="s">
        <v>31</v>
      </c>
      <c r="E2195" s="0" t="n">
        <v>14</v>
      </c>
      <c r="F2195" s="0" t="s">
        <v>68</v>
      </c>
      <c r="G2195" s="0" t="s">
        <v>51</v>
      </c>
      <c r="H2195" s="0" t="s">
        <v>51</v>
      </c>
      <c r="I2195" s="0" t="s">
        <v>34</v>
      </c>
      <c r="J2195" s="0" t="n">
        <v>1.24</v>
      </c>
      <c r="K2195" s="0" t="s">
        <v>60</v>
      </c>
      <c r="L2195" s="0" t="n">
        <f aca="false">INDEX(Summary!$F$2:$F$201,MATCH($B2195,Summary!$A$2:$A$201,0))</f>
        <v>20</v>
      </c>
      <c r="M2195" s="0" t="n">
        <f aca="false">INDEX(Summary!$I$2:$I$201,MATCH($B2195,Summary!$A$2:$A$201,0))</f>
        <v>3</v>
      </c>
      <c r="N2195" s="0" t="n">
        <f aca="false">INDEX(Summary!$J$2:$J$201,MATCH($B2195,Summary!$A$2:$A$201,0))</f>
        <v>2</v>
      </c>
      <c r="O2195" s="2" t="n">
        <f aca="false">INDEX(Summary!$K$2:$K$201,MATCH($B2195,Summary!$A$2:$A$201,0))</f>
        <v>9.32</v>
      </c>
      <c r="P2195" s="3" t="n">
        <f aca="false">INDEX(Summary!$L$2:$L$201,MATCH($B2195,Summary!$A$2:$A$201,0))</f>
        <v>5</v>
      </c>
      <c r="Q2195" s="3" t="n">
        <f aca="false">INDEX(Summary!$M$2:$M$201,MATCH($B2195,Summary!$A$2:$A$201,0))</f>
        <v>1</v>
      </c>
      <c r="R2195" s="2" t="n">
        <f aca="false">INDEX(Summary!$N$2:$N$201,MATCH($B2195,Summary!$A$2:$A$201,0))</f>
        <v>10.46</v>
      </c>
      <c r="S2195" s="3" t="n">
        <f aca="false">INDEX(Summary!$O$2:$O$201,MATCH($B2195,Summary!$A$2:$A$201,0))</f>
        <v>8</v>
      </c>
      <c r="T2195" s="3" t="n">
        <f aca="false">INDEX(Summary!$P$2:$P$201,MATCH($B2195,Summary!$A$2:$A$201,0))</f>
        <v>1</v>
      </c>
      <c r="U2195" s="2" t="n">
        <f aca="false">INDEX(Summary!$Q$2:$Q$201,MATCH($B2195,Summary!$A$2:$A$201,0))</f>
        <v>13.78</v>
      </c>
      <c r="V2195" s="2" t="n">
        <f aca="false">INDEX(Summary!$R$2:$R$201,MATCH($B2195,Summary!$A$2:$A$201,0))</f>
        <v>28.99</v>
      </c>
      <c r="W2195" s="0" t="str">
        <f aca="false">INDEX(Summary!$S$2:$S$201,MATCH($B2195,Summary!$A$2:$A$201,0))</f>
        <v>Gold</v>
      </c>
      <c r="X2195" s="2" t="n">
        <f aca="false">INDEX(Summary!$T$2:$T$201,MATCH($B2195,Summary!$A$2:$A$201,0))</f>
        <v>70.71</v>
      </c>
      <c r="Y2195" s="0" t="str">
        <f aca="false">INDEX('Reward Model'!$E$18:$E$37,MATCH($E2195,'Reward Model'!$A$18:$A$37,0))</f>
        <v>Medium</v>
      </c>
      <c r="Z2195" s="4" t="n">
        <f aca="false">ROUND(MIN(1,MAX('Reward Model'!$B$2,INDEX('Reward Model'!$C$12:$C$14,MATCH($K2195,'Reward Model'!$A$12:$A$14,0))/$J2195)),3)</f>
        <v>1</v>
      </c>
      <c r="AA2195" s="2" t="n">
        <f aca="false">IF($I2195="Correct",ROUND(INDEX('Reward Model'!$B$12:$B$14,MATCH($K2195,'Reward Model'!$A$12:$A$14,0))*Z2195,2),0)</f>
        <v>2</v>
      </c>
      <c r="AB2195" s="2" t="n">
        <f aca="false">IF($I2195="Correct",ROUND(INDEX('Reward Model'!$B$12:$B$14,MATCH($Y2195,'Reward Model'!$A$12:$A$14,0))*Z2195,2),0)</f>
        <v>2</v>
      </c>
    </row>
    <row r="2196" customFormat="false" ht="15" hidden="false" customHeight="false" outlineLevel="0" collapsed="false">
      <c r="A2196" s="0" t="s">
        <v>350</v>
      </c>
      <c r="B2196" s="0" t="s">
        <v>351</v>
      </c>
      <c r="C2196" s="0" t="s">
        <v>322</v>
      </c>
      <c r="D2196" s="0" t="s">
        <v>31</v>
      </c>
      <c r="E2196" s="0" t="n">
        <v>15</v>
      </c>
      <c r="F2196" s="0" t="s">
        <v>69</v>
      </c>
      <c r="G2196" s="0" t="s">
        <v>94</v>
      </c>
      <c r="H2196" s="0" t="s">
        <v>70</v>
      </c>
      <c r="I2196" s="0" t="s">
        <v>39</v>
      </c>
      <c r="J2196" s="0" t="n">
        <v>1.32</v>
      </c>
      <c r="K2196" s="0" t="s">
        <v>60</v>
      </c>
      <c r="L2196" s="0" t="n">
        <f aca="false">INDEX(Summary!$F$2:$F$201,MATCH($B2196,Summary!$A$2:$A$201,0))</f>
        <v>20</v>
      </c>
      <c r="M2196" s="0" t="n">
        <f aca="false">INDEX(Summary!$I$2:$I$201,MATCH($B2196,Summary!$A$2:$A$201,0))</f>
        <v>3</v>
      </c>
      <c r="N2196" s="0" t="n">
        <f aca="false">INDEX(Summary!$J$2:$J$201,MATCH($B2196,Summary!$A$2:$A$201,0))</f>
        <v>2</v>
      </c>
      <c r="O2196" s="2" t="n">
        <f aca="false">INDEX(Summary!$K$2:$K$201,MATCH($B2196,Summary!$A$2:$A$201,0))</f>
        <v>9.32</v>
      </c>
      <c r="P2196" s="3" t="n">
        <f aca="false">INDEX(Summary!$L$2:$L$201,MATCH($B2196,Summary!$A$2:$A$201,0))</f>
        <v>5</v>
      </c>
      <c r="Q2196" s="3" t="n">
        <f aca="false">INDEX(Summary!$M$2:$M$201,MATCH($B2196,Summary!$A$2:$A$201,0))</f>
        <v>1</v>
      </c>
      <c r="R2196" s="2" t="n">
        <f aca="false">INDEX(Summary!$N$2:$N$201,MATCH($B2196,Summary!$A$2:$A$201,0))</f>
        <v>10.46</v>
      </c>
      <c r="S2196" s="3" t="n">
        <f aca="false">INDEX(Summary!$O$2:$O$201,MATCH($B2196,Summary!$A$2:$A$201,0))</f>
        <v>8</v>
      </c>
      <c r="T2196" s="3" t="n">
        <f aca="false">INDEX(Summary!$P$2:$P$201,MATCH($B2196,Summary!$A$2:$A$201,0))</f>
        <v>1</v>
      </c>
      <c r="U2196" s="2" t="n">
        <f aca="false">INDEX(Summary!$Q$2:$Q$201,MATCH($B2196,Summary!$A$2:$A$201,0))</f>
        <v>13.78</v>
      </c>
      <c r="V2196" s="2" t="n">
        <f aca="false">INDEX(Summary!$R$2:$R$201,MATCH($B2196,Summary!$A$2:$A$201,0))</f>
        <v>28.99</v>
      </c>
      <c r="W2196" s="0" t="str">
        <f aca="false">INDEX(Summary!$S$2:$S$201,MATCH($B2196,Summary!$A$2:$A$201,0))</f>
        <v>Gold</v>
      </c>
      <c r="X2196" s="2" t="n">
        <f aca="false">INDEX(Summary!$T$2:$T$201,MATCH($B2196,Summary!$A$2:$A$201,0))</f>
        <v>70.71</v>
      </c>
      <c r="Y2196" s="0" t="str">
        <f aca="false">INDEX('Reward Model'!$E$18:$E$37,MATCH($E2196,'Reward Model'!$A$18:$A$37,0))</f>
        <v>Medium</v>
      </c>
      <c r="Z2196" s="4" t="n">
        <f aca="false">ROUND(MIN(1,MAX('Reward Model'!$B$2,INDEX('Reward Model'!$C$12:$C$14,MATCH($K2196,'Reward Model'!$A$12:$A$14,0))/$J2196)),3)</f>
        <v>1</v>
      </c>
      <c r="AA2196" s="2" t="n">
        <f aca="false">IF($I2196="Correct",ROUND(INDEX('Reward Model'!$B$12:$B$14,MATCH($K2196,'Reward Model'!$A$12:$A$14,0))*Z2196,2),0)</f>
        <v>0</v>
      </c>
      <c r="AB2196" s="2" t="n">
        <f aca="false">IF($I2196="Correct",ROUND(INDEX('Reward Model'!$B$12:$B$14,MATCH($Y2196,'Reward Model'!$A$12:$A$14,0))*Z2196,2),0)</f>
        <v>0</v>
      </c>
    </row>
    <row r="2197" customFormat="false" ht="15" hidden="false" customHeight="false" outlineLevel="0" collapsed="false">
      <c r="A2197" s="0" t="s">
        <v>350</v>
      </c>
      <c r="B2197" s="0" t="s">
        <v>351</v>
      </c>
      <c r="C2197" s="0" t="s">
        <v>322</v>
      </c>
      <c r="D2197" s="0" t="s">
        <v>31</v>
      </c>
      <c r="E2197" s="0" t="n">
        <v>16</v>
      </c>
      <c r="F2197" s="0" t="s">
        <v>71</v>
      </c>
      <c r="G2197" s="0" t="s">
        <v>101</v>
      </c>
      <c r="H2197" s="0" t="s">
        <v>72</v>
      </c>
      <c r="I2197" s="0" t="s">
        <v>39</v>
      </c>
      <c r="J2197" s="0" t="n">
        <v>1.81</v>
      </c>
      <c r="K2197" s="0" t="s">
        <v>73</v>
      </c>
      <c r="L2197" s="0" t="n">
        <f aca="false">INDEX(Summary!$F$2:$F$201,MATCH($B2197,Summary!$A$2:$A$201,0))</f>
        <v>20</v>
      </c>
      <c r="M2197" s="0" t="n">
        <f aca="false">INDEX(Summary!$I$2:$I$201,MATCH($B2197,Summary!$A$2:$A$201,0))</f>
        <v>3</v>
      </c>
      <c r="N2197" s="0" t="n">
        <f aca="false">INDEX(Summary!$J$2:$J$201,MATCH($B2197,Summary!$A$2:$A$201,0))</f>
        <v>2</v>
      </c>
      <c r="O2197" s="2" t="n">
        <f aca="false">INDEX(Summary!$K$2:$K$201,MATCH($B2197,Summary!$A$2:$A$201,0))</f>
        <v>9.32</v>
      </c>
      <c r="P2197" s="3" t="n">
        <f aca="false">INDEX(Summary!$L$2:$L$201,MATCH($B2197,Summary!$A$2:$A$201,0))</f>
        <v>5</v>
      </c>
      <c r="Q2197" s="3" t="n">
        <f aca="false">INDEX(Summary!$M$2:$M$201,MATCH($B2197,Summary!$A$2:$A$201,0))</f>
        <v>1</v>
      </c>
      <c r="R2197" s="2" t="n">
        <f aca="false">INDEX(Summary!$N$2:$N$201,MATCH($B2197,Summary!$A$2:$A$201,0))</f>
        <v>10.46</v>
      </c>
      <c r="S2197" s="3" t="n">
        <f aca="false">INDEX(Summary!$O$2:$O$201,MATCH($B2197,Summary!$A$2:$A$201,0))</f>
        <v>8</v>
      </c>
      <c r="T2197" s="3" t="n">
        <f aca="false">INDEX(Summary!$P$2:$P$201,MATCH($B2197,Summary!$A$2:$A$201,0))</f>
        <v>1</v>
      </c>
      <c r="U2197" s="2" t="n">
        <f aca="false">INDEX(Summary!$Q$2:$Q$201,MATCH($B2197,Summary!$A$2:$A$201,0))</f>
        <v>13.78</v>
      </c>
      <c r="V2197" s="2" t="n">
        <f aca="false">INDEX(Summary!$R$2:$R$201,MATCH($B2197,Summary!$A$2:$A$201,0))</f>
        <v>28.99</v>
      </c>
      <c r="W2197" s="0" t="str">
        <f aca="false">INDEX(Summary!$S$2:$S$201,MATCH($B2197,Summary!$A$2:$A$201,0))</f>
        <v>Gold</v>
      </c>
      <c r="X2197" s="2" t="n">
        <f aca="false">INDEX(Summary!$T$2:$T$201,MATCH($B2197,Summary!$A$2:$A$201,0))</f>
        <v>70.71</v>
      </c>
      <c r="Y2197" s="0" t="str">
        <f aca="false">INDEX('Reward Model'!$E$18:$E$37,MATCH($E2197,'Reward Model'!$A$18:$A$37,0))</f>
        <v>High</v>
      </c>
      <c r="Z2197" s="4" t="n">
        <f aca="false">ROUND(MIN(1,MAX('Reward Model'!$B$2,INDEX('Reward Model'!$C$12:$C$14,MATCH($K2197,'Reward Model'!$A$12:$A$14,0))/$J2197)),3)</f>
        <v>1</v>
      </c>
      <c r="AA2197" s="2" t="n">
        <f aca="false">IF($I2197="Correct",ROUND(INDEX('Reward Model'!$B$12:$B$14,MATCH($K2197,'Reward Model'!$A$12:$A$14,0))*Z2197,2),0)</f>
        <v>0</v>
      </c>
      <c r="AB2197" s="2" t="n">
        <f aca="false">IF($I2197="Correct",ROUND(INDEX('Reward Model'!$B$12:$B$14,MATCH($Y2197,'Reward Model'!$A$12:$A$14,0))*Z2197,2),0)</f>
        <v>0</v>
      </c>
    </row>
    <row r="2198" customFormat="false" ht="15" hidden="false" customHeight="false" outlineLevel="0" collapsed="false">
      <c r="A2198" s="0" t="s">
        <v>350</v>
      </c>
      <c r="B2198" s="0" t="s">
        <v>351</v>
      </c>
      <c r="C2198" s="0" t="s">
        <v>322</v>
      </c>
      <c r="D2198" s="0" t="s">
        <v>31</v>
      </c>
      <c r="E2198" s="0" t="n">
        <v>17</v>
      </c>
      <c r="F2198" s="0" t="s">
        <v>74</v>
      </c>
      <c r="G2198" s="0" t="s">
        <v>91</v>
      </c>
      <c r="H2198" s="0" t="s">
        <v>75</v>
      </c>
      <c r="I2198" s="0" t="s">
        <v>39</v>
      </c>
      <c r="J2198" s="0" t="n">
        <v>1.83</v>
      </c>
      <c r="K2198" s="0" t="s">
        <v>73</v>
      </c>
      <c r="L2198" s="0" t="n">
        <f aca="false">INDEX(Summary!$F$2:$F$201,MATCH($B2198,Summary!$A$2:$A$201,0))</f>
        <v>20</v>
      </c>
      <c r="M2198" s="0" t="n">
        <f aca="false">INDEX(Summary!$I$2:$I$201,MATCH($B2198,Summary!$A$2:$A$201,0))</f>
        <v>3</v>
      </c>
      <c r="N2198" s="0" t="n">
        <f aca="false">INDEX(Summary!$J$2:$J$201,MATCH($B2198,Summary!$A$2:$A$201,0))</f>
        <v>2</v>
      </c>
      <c r="O2198" s="2" t="n">
        <f aca="false">INDEX(Summary!$K$2:$K$201,MATCH($B2198,Summary!$A$2:$A$201,0))</f>
        <v>9.32</v>
      </c>
      <c r="P2198" s="3" t="n">
        <f aca="false">INDEX(Summary!$L$2:$L$201,MATCH($B2198,Summary!$A$2:$A$201,0))</f>
        <v>5</v>
      </c>
      <c r="Q2198" s="3" t="n">
        <f aca="false">INDEX(Summary!$M$2:$M$201,MATCH($B2198,Summary!$A$2:$A$201,0))</f>
        <v>1</v>
      </c>
      <c r="R2198" s="2" t="n">
        <f aca="false">INDEX(Summary!$N$2:$N$201,MATCH($B2198,Summary!$A$2:$A$201,0))</f>
        <v>10.46</v>
      </c>
      <c r="S2198" s="3" t="n">
        <f aca="false">INDEX(Summary!$O$2:$O$201,MATCH($B2198,Summary!$A$2:$A$201,0))</f>
        <v>8</v>
      </c>
      <c r="T2198" s="3" t="n">
        <f aca="false">INDEX(Summary!$P$2:$P$201,MATCH($B2198,Summary!$A$2:$A$201,0))</f>
        <v>1</v>
      </c>
      <c r="U2198" s="2" t="n">
        <f aca="false">INDEX(Summary!$Q$2:$Q$201,MATCH($B2198,Summary!$A$2:$A$201,0))</f>
        <v>13.78</v>
      </c>
      <c r="V2198" s="2" t="n">
        <f aca="false">INDEX(Summary!$R$2:$R$201,MATCH($B2198,Summary!$A$2:$A$201,0))</f>
        <v>28.99</v>
      </c>
      <c r="W2198" s="0" t="str">
        <f aca="false">INDEX(Summary!$S$2:$S$201,MATCH($B2198,Summary!$A$2:$A$201,0))</f>
        <v>Gold</v>
      </c>
      <c r="X2198" s="2" t="n">
        <f aca="false">INDEX(Summary!$T$2:$T$201,MATCH($B2198,Summary!$A$2:$A$201,0))</f>
        <v>70.71</v>
      </c>
      <c r="Y2198" s="0" t="str">
        <f aca="false">INDEX('Reward Model'!$E$18:$E$37,MATCH($E2198,'Reward Model'!$A$18:$A$37,0))</f>
        <v>High</v>
      </c>
      <c r="Z2198" s="4" t="n">
        <f aca="false">ROUND(MIN(1,MAX('Reward Model'!$B$2,INDEX('Reward Model'!$C$12:$C$14,MATCH($K2198,'Reward Model'!$A$12:$A$14,0))/$J2198)),3)</f>
        <v>1</v>
      </c>
      <c r="AA2198" s="2" t="n">
        <f aca="false">IF($I2198="Correct",ROUND(INDEX('Reward Model'!$B$12:$B$14,MATCH($K2198,'Reward Model'!$A$12:$A$14,0))*Z2198,2),0)</f>
        <v>0</v>
      </c>
      <c r="AB2198" s="2" t="n">
        <f aca="false">IF($I2198="Correct",ROUND(INDEX('Reward Model'!$B$12:$B$14,MATCH($Y2198,'Reward Model'!$A$12:$A$14,0))*Z2198,2),0)</f>
        <v>0</v>
      </c>
    </row>
    <row r="2199" customFormat="false" ht="15" hidden="false" customHeight="false" outlineLevel="0" collapsed="false">
      <c r="A2199" s="0" t="s">
        <v>350</v>
      </c>
      <c r="B2199" s="0" t="s">
        <v>351</v>
      </c>
      <c r="C2199" s="0" t="s">
        <v>322</v>
      </c>
      <c r="D2199" s="0" t="s">
        <v>31</v>
      </c>
      <c r="E2199" s="0" t="n">
        <v>18</v>
      </c>
      <c r="F2199" s="0" t="s">
        <v>76</v>
      </c>
      <c r="G2199" s="0" t="s">
        <v>77</v>
      </c>
      <c r="H2199" s="0" t="s">
        <v>77</v>
      </c>
      <c r="I2199" s="0" t="s">
        <v>34</v>
      </c>
      <c r="J2199" s="0" t="n">
        <v>1.47</v>
      </c>
      <c r="K2199" s="0" t="s">
        <v>73</v>
      </c>
      <c r="L2199" s="0" t="n">
        <f aca="false">INDEX(Summary!$F$2:$F$201,MATCH($B2199,Summary!$A$2:$A$201,0))</f>
        <v>20</v>
      </c>
      <c r="M2199" s="0" t="n">
        <f aca="false">INDEX(Summary!$I$2:$I$201,MATCH($B2199,Summary!$A$2:$A$201,0))</f>
        <v>3</v>
      </c>
      <c r="N2199" s="0" t="n">
        <f aca="false">INDEX(Summary!$J$2:$J$201,MATCH($B2199,Summary!$A$2:$A$201,0))</f>
        <v>2</v>
      </c>
      <c r="O2199" s="2" t="n">
        <f aca="false">INDEX(Summary!$K$2:$K$201,MATCH($B2199,Summary!$A$2:$A$201,0))</f>
        <v>9.32</v>
      </c>
      <c r="P2199" s="3" t="n">
        <f aca="false">INDEX(Summary!$L$2:$L$201,MATCH($B2199,Summary!$A$2:$A$201,0))</f>
        <v>5</v>
      </c>
      <c r="Q2199" s="3" t="n">
        <f aca="false">INDEX(Summary!$M$2:$M$201,MATCH($B2199,Summary!$A$2:$A$201,0))</f>
        <v>1</v>
      </c>
      <c r="R2199" s="2" t="n">
        <f aca="false">INDEX(Summary!$N$2:$N$201,MATCH($B2199,Summary!$A$2:$A$201,0))</f>
        <v>10.46</v>
      </c>
      <c r="S2199" s="3" t="n">
        <f aca="false">INDEX(Summary!$O$2:$O$201,MATCH($B2199,Summary!$A$2:$A$201,0))</f>
        <v>8</v>
      </c>
      <c r="T2199" s="3" t="n">
        <f aca="false">INDEX(Summary!$P$2:$P$201,MATCH($B2199,Summary!$A$2:$A$201,0))</f>
        <v>1</v>
      </c>
      <c r="U2199" s="2" t="n">
        <f aca="false">INDEX(Summary!$Q$2:$Q$201,MATCH($B2199,Summary!$A$2:$A$201,0))</f>
        <v>13.78</v>
      </c>
      <c r="V2199" s="2" t="n">
        <f aca="false">INDEX(Summary!$R$2:$R$201,MATCH($B2199,Summary!$A$2:$A$201,0))</f>
        <v>28.99</v>
      </c>
      <c r="W2199" s="0" t="str">
        <f aca="false">INDEX(Summary!$S$2:$S$201,MATCH($B2199,Summary!$A$2:$A$201,0))</f>
        <v>Gold</v>
      </c>
      <c r="X2199" s="2" t="n">
        <f aca="false">INDEX(Summary!$T$2:$T$201,MATCH($B2199,Summary!$A$2:$A$201,0))</f>
        <v>70.71</v>
      </c>
      <c r="Y2199" s="0" t="str">
        <f aca="false">INDEX('Reward Model'!$E$18:$E$37,MATCH($E2199,'Reward Model'!$A$18:$A$37,0))</f>
        <v>High</v>
      </c>
      <c r="Z2199" s="4" t="n">
        <f aca="false">ROUND(MIN(1,MAX('Reward Model'!$B$2,INDEX('Reward Model'!$C$12:$C$14,MATCH($K2199,'Reward Model'!$A$12:$A$14,0))/$J2199)),3)</f>
        <v>1</v>
      </c>
      <c r="AA2199" s="2" t="n">
        <f aca="false">IF($I2199="Correct",ROUND(INDEX('Reward Model'!$B$12:$B$14,MATCH($K2199,'Reward Model'!$A$12:$A$14,0))*Z2199,2),0)</f>
        <v>3</v>
      </c>
      <c r="AB2199" s="2" t="n">
        <f aca="false">IF($I2199="Correct",ROUND(INDEX('Reward Model'!$B$12:$B$14,MATCH($Y2199,'Reward Model'!$A$12:$A$14,0))*Z2199,2),0)</f>
        <v>3</v>
      </c>
    </row>
    <row r="2200" customFormat="false" ht="15" hidden="false" customHeight="false" outlineLevel="0" collapsed="false">
      <c r="A2200" s="0" t="s">
        <v>350</v>
      </c>
      <c r="B2200" s="0" t="s">
        <v>351</v>
      </c>
      <c r="C2200" s="0" t="s">
        <v>322</v>
      </c>
      <c r="D2200" s="0" t="s">
        <v>31</v>
      </c>
      <c r="E2200" s="0" t="n">
        <v>19</v>
      </c>
      <c r="F2200" s="0" t="s">
        <v>78</v>
      </c>
      <c r="G2200" s="0" t="s">
        <v>80</v>
      </c>
      <c r="H2200" s="0" t="s">
        <v>80</v>
      </c>
      <c r="I2200" s="0" t="s">
        <v>34</v>
      </c>
      <c r="J2200" s="0" t="n">
        <v>1.94</v>
      </c>
      <c r="K2200" s="0" t="s">
        <v>73</v>
      </c>
      <c r="L2200" s="0" t="n">
        <f aca="false">INDEX(Summary!$F$2:$F$201,MATCH($B2200,Summary!$A$2:$A$201,0))</f>
        <v>20</v>
      </c>
      <c r="M2200" s="0" t="n">
        <f aca="false">INDEX(Summary!$I$2:$I$201,MATCH($B2200,Summary!$A$2:$A$201,0))</f>
        <v>3</v>
      </c>
      <c r="N2200" s="0" t="n">
        <f aca="false">INDEX(Summary!$J$2:$J$201,MATCH($B2200,Summary!$A$2:$A$201,0))</f>
        <v>2</v>
      </c>
      <c r="O2200" s="2" t="n">
        <f aca="false">INDEX(Summary!$K$2:$K$201,MATCH($B2200,Summary!$A$2:$A$201,0))</f>
        <v>9.32</v>
      </c>
      <c r="P2200" s="3" t="n">
        <f aca="false">INDEX(Summary!$L$2:$L$201,MATCH($B2200,Summary!$A$2:$A$201,0))</f>
        <v>5</v>
      </c>
      <c r="Q2200" s="3" t="n">
        <f aca="false">INDEX(Summary!$M$2:$M$201,MATCH($B2200,Summary!$A$2:$A$201,0))</f>
        <v>1</v>
      </c>
      <c r="R2200" s="2" t="n">
        <f aca="false">INDEX(Summary!$N$2:$N$201,MATCH($B2200,Summary!$A$2:$A$201,0))</f>
        <v>10.46</v>
      </c>
      <c r="S2200" s="3" t="n">
        <f aca="false">INDEX(Summary!$O$2:$O$201,MATCH($B2200,Summary!$A$2:$A$201,0))</f>
        <v>8</v>
      </c>
      <c r="T2200" s="3" t="n">
        <f aca="false">INDEX(Summary!$P$2:$P$201,MATCH($B2200,Summary!$A$2:$A$201,0))</f>
        <v>1</v>
      </c>
      <c r="U2200" s="2" t="n">
        <f aca="false">INDEX(Summary!$Q$2:$Q$201,MATCH($B2200,Summary!$A$2:$A$201,0))</f>
        <v>13.78</v>
      </c>
      <c r="V2200" s="2" t="n">
        <f aca="false">INDEX(Summary!$R$2:$R$201,MATCH($B2200,Summary!$A$2:$A$201,0))</f>
        <v>28.99</v>
      </c>
      <c r="W2200" s="0" t="str">
        <f aca="false">INDEX(Summary!$S$2:$S$201,MATCH($B2200,Summary!$A$2:$A$201,0))</f>
        <v>Gold</v>
      </c>
      <c r="X2200" s="2" t="n">
        <f aca="false">INDEX(Summary!$T$2:$T$201,MATCH($B2200,Summary!$A$2:$A$201,0))</f>
        <v>70.71</v>
      </c>
      <c r="Y2200" s="0" t="str">
        <f aca="false">INDEX('Reward Model'!$E$18:$E$37,MATCH($E2200,'Reward Model'!$A$18:$A$37,0))</f>
        <v>High</v>
      </c>
      <c r="Z2200" s="4" t="n">
        <f aca="false">ROUND(MIN(1,MAX('Reward Model'!$B$2,INDEX('Reward Model'!$C$12:$C$14,MATCH($K2200,'Reward Model'!$A$12:$A$14,0))/$J2200)),3)</f>
        <v>1</v>
      </c>
      <c r="AA2200" s="2" t="n">
        <f aca="false">IF($I2200="Correct",ROUND(INDEX('Reward Model'!$B$12:$B$14,MATCH($K2200,'Reward Model'!$A$12:$A$14,0))*Z2200,2),0)</f>
        <v>3</v>
      </c>
      <c r="AB2200" s="2" t="n">
        <f aca="false">IF($I2200="Correct",ROUND(INDEX('Reward Model'!$B$12:$B$14,MATCH($Y2200,'Reward Model'!$A$12:$A$14,0))*Z2200,2),0)</f>
        <v>3</v>
      </c>
    </row>
    <row r="2201" customFormat="false" ht="15" hidden="false" customHeight="false" outlineLevel="0" collapsed="false">
      <c r="A2201" s="0" t="s">
        <v>350</v>
      </c>
      <c r="B2201" s="0" t="s">
        <v>351</v>
      </c>
      <c r="C2201" s="0" t="s">
        <v>322</v>
      </c>
      <c r="D2201" s="0" t="s">
        <v>31</v>
      </c>
      <c r="E2201" s="0" t="n">
        <v>20</v>
      </c>
      <c r="F2201" s="0" t="s">
        <v>81</v>
      </c>
      <c r="G2201" s="0" t="s">
        <v>83</v>
      </c>
      <c r="H2201" s="0" t="s">
        <v>83</v>
      </c>
      <c r="I2201" s="0" t="s">
        <v>34</v>
      </c>
      <c r="J2201" s="0" t="n">
        <v>2.27</v>
      </c>
      <c r="K2201" s="0" t="s">
        <v>73</v>
      </c>
      <c r="L2201" s="0" t="n">
        <f aca="false">INDEX(Summary!$F$2:$F$201,MATCH($B2201,Summary!$A$2:$A$201,0))</f>
        <v>20</v>
      </c>
      <c r="M2201" s="0" t="n">
        <f aca="false">INDEX(Summary!$I$2:$I$201,MATCH($B2201,Summary!$A$2:$A$201,0))</f>
        <v>3</v>
      </c>
      <c r="N2201" s="0" t="n">
        <f aca="false">INDEX(Summary!$J$2:$J$201,MATCH($B2201,Summary!$A$2:$A$201,0))</f>
        <v>2</v>
      </c>
      <c r="O2201" s="2" t="n">
        <f aca="false">INDEX(Summary!$K$2:$K$201,MATCH($B2201,Summary!$A$2:$A$201,0))</f>
        <v>9.32</v>
      </c>
      <c r="P2201" s="3" t="n">
        <f aca="false">INDEX(Summary!$L$2:$L$201,MATCH($B2201,Summary!$A$2:$A$201,0))</f>
        <v>5</v>
      </c>
      <c r="Q2201" s="3" t="n">
        <f aca="false">INDEX(Summary!$M$2:$M$201,MATCH($B2201,Summary!$A$2:$A$201,0))</f>
        <v>1</v>
      </c>
      <c r="R2201" s="2" t="n">
        <f aca="false">INDEX(Summary!$N$2:$N$201,MATCH($B2201,Summary!$A$2:$A$201,0))</f>
        <v>10.46</v>
      </c>
      <c r="S2201" s="3" t="n">
        <f aca="false">INDEX(Summary!$O$2:$O$201,MATCH($B2201,Summary!$A$2:$A$201,0))</f>
        <v>8</v>
      </c>
      <c r="T2201" s="3" t="n">
        <f aca="false">INDEX(Summary!$P$2:$P$201,MATCH($B2201,Summary!$A$2:$A$201,0))</f>
        <v>1</v>
      </c>
      <c r="U2201" s="2" t="n">
        <f aca="false">INDEX(Summary!$Q$2:$Q$201,MATCH($B2201,Summary!$A$2:$A$201,0))</f>
        <v>13.78</v>
      </c>
      <c r="V2201" s="2" t="n">
        <f aca="false">INDEX(Summary!$R$2:$R$201,MATCH($B2201,Summary!$A$2:$A$201,0))</f>
        <v>28.99</v>
      </c>
      <c r="W2201" s="0" t="str">
        <f aca="false">INDEX(Summary!$S$2:$S$201,MATCH($B2201,Summary!$A$2:$A$201,0))</f>
        <v>Gold</v>
      </c>
      <c r="X2201" s="2" t="n">
        <f aca="false">INDEX(Summary!$T$2:$T$201,MATCH($B2201,Summary!$A$2:$A$201,0))</f>
        <v>70.71</v>
      </c>
      <c r="Y2201" s="0" t="str">
        <f aca="false">INDEX('Reward Model'!$E$18:$E$37,MATCH($E2201,'Reward Model'!$A$18:$A$37,0))</f>
        <v>High</v>
      </c>
      <c r="Z2201" s="4" t="n">
        <f aca="false">ROUND(MIN(1,MAX('Reward Model'!$B$2,INDEX('Reward Model'!$C$12:$C$14,MATCH($K2201,'Reward Model'!$A$12:$A$14,0))/$J2201)),3)</f>
        <v>0.881</v>
      </c>
      <c r="AA2201" s="2" t="n">
        <f aca="false">IF($I2201="Correct",ROUND(INDEX('Reward Model'!$B$12:$B$14,MATCH($K2201,'Reward Model'!$A$12:$A$14,0))*Z2201,2),0)</f>
        <v>2.64</v>
      </c>
      <c r="AB2201" s="2" t="n">
        <f aca="false">IF($I2201="Correct",ROUND(INDEX('Reward Model'!$B$12:$B$14,MATCH($Y2201,'Reward Model'!$A$12:$A$14,0))*Z2201,2),0)</f>
        <v>2.64</v>
      </c>
    </row>
    <row r="2202" customFormat="false" ht="15" hidden="false" customHeight="false" outlineLevel="0" collapsed="false">
      <c r="A2202" s="0" t="s">
        <v>352</v>
      </c>
      <c r="B2202" s="0" t="s">
        <v>353</v>
      </c>
      <c r="C2202" s="0" t="s">
        <v>322</v>
      </c>
      <c r="D2202" s="0" t="s">
        <v>31</v>
      </c>
      <c r="E2202" s="0" t="n">
        <v>1</v>
      </c>
      <c r="F2202" s="0" t="s">
        <v>32</v>
      </c>
      <c r="G2202" s="0" t="s">
        <v>122</v>
      </c>
      <c r="H2202" s="0" t="s">
        <v>33</v>
      </c>
      <c r="I2202" s="0" t="s">
        <v>39</v>
      </c>
      <c r="J2202" s="0" t="n">
        <v>1.33</v>
      </c>
      <c r="K2202" s="0" t="s">
        <v>35</v>
      </c>
      <c r="L2202" s="0" t="n">
        <f aca="false">INDEX(Summary!$F$2:$F$201,MATCH($B2202,Summary!$A$2:$A$201,0))</f>
        <v>20</v>
      </c>
      <c r="M2202" s="0" t="n">
        <f aca="false">INDEX(Summary!$I$2:$I$201,MATCH($B2202,Summary!$A$2:$A$201,0))</f>
        <v>1</v>
      </c>
      <c r="N2202" s="0" t="n">
        <f aca="false">INDEX(Summary!$J$2:$J$201,MATCH($B2202,Summary!$A$2:$A$201,0))</f>
        <v>4</v>
      </c>
      <c r="O2202" s="2" t="n">
        <f aca="false">INDEX(Summary!$K$2:$K$201,MATCH($B2202,Summary!$A$2:$A$201,0))</f>
        <v>10.02</v>
      </c>
      <c r="P2202" s="3" t="n">
        <f aca="false">INDEX(Summary!$L$2:$L$201,MATCH($B2202,Summary!$A$2:$A$201,0))</f>
        <v>3</v>
      </c>
      <c r="Q2202" s="3" t="n">
        <f aca="false">INDEX(Summary!$M$2:$M$201,MATCH($B2202,Summary!$A$2:$A$201,0))</f>
        <v>3</v>
      </c>
      <c r="R2202" s="2" t="n">
        <f aca="false">INDEX(Summary!$N$2:$N$201,MATCH($B2202,Summary!$A$2:$A$201,0))</f>
        <v>10.68</v>
      </c>
      <c r="S2202" s="3" t="n">
        <f aca="false">INDEX(Summary!$O$2:$O$201,MATCH($B2202,Summary!$A$2:$A$201,0))</f>
        <v>5</v>
      </c>
      <c r="T2202" s="3" t="n">
        <f aca="false">INDEX(Summary!$P$2:$P$201,MATCH($B2202,Summary!$A$2:$A$201,0))</f>
        <v>4</v>
      </c>
      <c r="U2202" s="2" t="n">
        <f aca="false">INDEX(Summary!$Q$2:$Q$201,MATCH($B2202,Summary!$A$2:$A$201,0))</f>
        <v>13.73</v>
      </c>
      <c r="V2202" s="2" t="n">
        <f aca="false">INDEX(Summary!$R$2:$R$201,MATCH($B2202,Summary!$A$2:$A$201,0))</f>
        <v>16.07</v>
      </c>
      <c r="W2202" s="0" t="str">
        <f aca="false">INDEX(Summary!$S$2:$S$201,MATCH($B2202,Summary!$A$2:$A$201,0))</f>
        <v>Bronze</v>
      </c>
      <c r="X2202" s="2" t="n">
        <f aca="false">INDEX(Summary!$T$2:$T$201,MATCH($B2202,Summary!$A$2:$A$201,0))</f>
        <v>39.2</v>
      </c>
      <c r="Y2202" s="0" t="str">
        <f aca="false">INDEX('Reward Model'!$E$18:$E$37,MATCH($E2202,'Reward Model'!$A$18:$A$37,0))</f>
        <v>Medium</v>
      </c>
      <c r="Z2202" s="4" t="n">
        <f aca="false">ROUND(MIN(1,MAX('Reward Model'!$B$2,INDEX('Reward Model'!$C$12:$C$14,MATCH($K2202,'Reward Model'!$A$12:$A$14,0))/$J2202)),3)</f>
        <v>1</v>
      </c>
      <c r="AA2202" s="2" t="n">
        <f aca="false">IF($I2202="Correct",ROUND(INDEX('Reward Model'!$B$12:$B$14,MATCH($K2202,'Reward Model'!$A$12:$A$14,0))*Z2202,2),0)</f>
        <v>0</v>
      </c>
      <c r="AB2202" s="2" t="n">
        <f aca="false">IF($I2202="Correct",ROUND(INDEX('Reward Model'!$B$12:$B$14,MATCH($Y2202,'Reward Model'!$A$12:$A$14,0))*Z2202,2),0)</f>
        <v>0</v>
      </c>
    </row>
    <row r="2203" customFormat="false" ht="15" hidden="false" customHeight="false" outlineLevel="0" collapsed="false">
      <c r="A2203" s="0" t="s">
        <v>352</v>
      </c>
      <c r="B2203" s="0" t="s">
        <v>353</v>
      </c>
      <c r="C2203" s="0" t="s">
        <v>322</v>
      </c>
      <c r="D2203" s="0" t="s">
        <v>31</v>
      </c>
      <c r="E2203" s="0" t="n">
        <v>2</v>
      </c>
      <c r="F2203" s="0" t="s">
        <v>36</v>
      </c>
      <c r="G2203" s="0" t="s">
        <v>37</v>
      </c>
      <c r="H2203" s="0" t="s">
        <v>38</v>
      </c>
      <c r="I2203" s="0" t="s">
        <v>39</v>
      </c>
      <c r="J2203" s="0" t="n">
        <v>1.15</v>
      </c>
      <c r="K2203" s="0" t="s">
        <v>35</v>
      </c>
      <c r="L2203" s="0" t="n">
        <f aca="false">INDEX(Summary!$F$2:$F$201,MATCH($B2203,Summary!$A$2:$A$201,0))</f>
        <v>20</v>
      </c>
      <c r="M2203" s="0" t="n">
        <f aca="false">INDEX(Summary!$I$2:$I$201,MATCH($B2203,Summary!$A$2:$A$201,0))</f>
        <v>1</v>
      </c>
      <c r="N2203" s="0" t="n">
        <f aca="false">INDEX(Summary!$J$2:$J$201,MATCH($B2203,Summary!$A$2:$A$201,0))</f>
        <v>4</v>
      </c>
      <c r="O2203" s="2" t="n">
        <f aca="false">INDEX(Summary!$K$2:$K$201,MATCH($B2203,Summary!$A$2:$A$201,0))</f>
        <v>10.02</v>
      </c>
      <c r="P2203" s="3" t="n">
        <f aca="false">INDEX(Summary!$L$2:$L$201,MATCH($B2203,Summary!$A$2:$A$201,0))</f>
        <v>3</v>
      </c>
      <c r="Q2203" s="3" t="n">
        <f aca="false">INDEX(Summary!$M$2:$M$201,MATCH($B2203,Summary!$A$2:$A$201,0))</f>
        <v>3</v>
      </c>
      <c r="R2203" s="2" t="n">
        <f aca="false">INDEX(Summary!$N$2:$N$201,MATCH($B2203,Summary!$A$2:$A$201,0))</f>
        <v>10.68</v>
      </c>
      <c r="S2203" s="3" t="n">
        <f aca="false">INDEX(Summary!$O$2:$O$201,MATCH($B2203,Summary!$A$2:$A$201,0))</f>
        <v>5</v>
      </c>
      <c r="T2203" s="3" t="n">
        <f aca="false">INDEX(Summary!$P$2:$P$201,MATCH($B2203,Summary!$A$2:$A$201,0))</f>
        <v>4</v>
      </c>
      <c r="U2203" s="2" t="n">
        <f aca="false">INDEX(Summary!$Q$2:$Q$201,MATCH($B2203,Summary!$A$2:$A$201,0))</f>
        <v>13.73</v>
      </c>
      <c r="V2203" s="2" t="n">
        <f aca="false">INDEX(Summary!$R$2:$R$201,MATCH($B2203,Summary!$A$2:$A$201,0))</f>
        <v>16.07</v>
      </c>
      <c r="W2203" s="0" t="str">
        <f aca="false">INDEX(Summary!$S$2:$S$201,MATCH($B2203,Summary!$A$2:$A$201,0))</f>
        <v>Bronze</v>
      </c>
      <c r="X2203" s="2" t="n">
        <f aca="false">INDEX(Summary!$T$2:$T$201,MATCH($B2203,Summary!$A$2:$A$201,0))</f>
        <v>39.2</v>
      </c>
      <c r="Y2203" s="0" t="str">
        <f aca="false">INDEX('Reward Model'!$E$18:$E$37,MATCH($E2203,'Reward Model'!$A$18:$A$37,0))</f>
        <v>Low</v>
      </c>
      <c r="Z2203" s="4" t="n">
        <f aca="false">ROUND(MIN(1,MAX('Reward Model'!$B$2,INDEX('Reward Model'!$C$12:$C$14,MATCH($K2203,'Reward Model'!$A$12:$A$14,0))/$J2203)),3)</f>
        <v>1</v>
      </c>
      <c r="AA2203" s="2" t="n">
        <f aca="false">IF($I2203="Correct",ROUND(INDEX('Reward Model'!$B$12:$B$14,MATCH($K2203,'Reward Model'!$A$12:$A$14,0))*Z2203,2),0)</f>
        <v>0</v>
      </c>
      <c r="AB2203" s="2" t="n">
        <f aca="false">IF($I2203="Correct",ROUND(INDEX('Reward Model'!$B$12:$B$14,MATCH($Y2203,'Reward Model'!$A$12:$A$14,0))*Z2203,2),0)</f>
        <v>0</v>
      </c>
    </row>
    <row r="2204" customFormat="false" ht="15" hidden="false" customHeight="false" outlineLevel="0" collapsed="false">
      <c r="A2204" s="0" t="s">
        <v>352</v>
      </c>
      <c r="B2204" s="0" t="s">
        <v>353</v>
      </c>
      <c r="C2204" s="0" t="s">
        <v>322</v>
      </c>
      <c r="D2204" s="0" t="s">
        <v>31</v>
      </c>
      <c r="E2204" s="0" t="n">
        <v>3</v>
      </c>
      <c r="F2204" s="0" t="s">
        <v>40</v>
      </c>
      <c r="G2204" s="0" t="s">
        <v>42</v>
      </c>
      <c r="H2204" s="0" t="s">
        <v>42</v>
      </c>
      <c r="I2204" s="0" t="s">
        <v>34</v>
      </c>
      <c r="J2204" s="0" t="n">
        <v>1.37</v>
      </c>
      <c r="K2204" s="0" t="s">
        <v>35</v>
      </c>
      <c r="L2204" s="0" t="n">
        <f aca="false">INDEX(Summary!$F$2:$F$201,MATCH($B2204,Summary!$A$2:$A$201,0))</f>
        <v>20</v>
      </c>
      <c r="M2204" s="0" t="n">
        <f aca="false">INDEX(Summary!$I$2:$I$201,MATCH($B2204,Summary!$A$2:$A$201,0))</f>
        <v>1</v>
      </c>
      <c r="N2204" s="0" t="n">
        <f aca="false">INDEX(Summary!$J$2:$J$201,MATCH($B2204,Summary!$A$2:$A$201,0))</f>
        <v>4</v>
      </c>
      <c r="O2204" s="2" t="n">
        <f aca="false">INDEX(Summary!$K$2:$K$201,MATCH($B2204,Summary!$A$2:$A$201,0))</f>
        <v>10.02</v>
      </c>
      <c r="P2204" s="3" t="n">
        <f aca="false">INDEX(Summary!$L$2:$L$201,MATCH($B2204,Summary!$A$2:$A$201,0))</f>
        <v>3</v>
      </c>
      <c r="Q2204" s="3" t="n">
        <f aca="false">INDEX(Summary!$M$2:$M$201,MATCH($B2204,Summary!$A$2:$A$201,0))</f>
        <v>3</v>
      </c>
      <c r="R2204" s="2" t="n">
        <f aca="false">INDEX(Summary!$N$2:$N$201,MATCH($B2204,Summary!$A$2:$A$201,0))</f>
        <v>10.68</v>
      </c>
      <c r="S2204" s="3" t="n">
        <f aca="false">INDEX(Summary!$O$2:$O$201,MATCH($B2204,Summary!$A$2:$A$201,0))</f>
        <v>5</v>
      </c>
      <c r="T2204" s="3" t="n">
        <f aca="false">INDEX(Summary!$P$2:$P$201,MATCH($B2204,Summary!$A$2:$A$201,0))</f>
        <v>4</v>
      </c>
      <c r="U2204" s="2" t="n">
        <f aca="false">INDEX(Summary!$Q$2:$Q$201,MATCH($B2204,Summary!$A$2:$A$201,0))</f>
        <v>13.73</v>
      </c>
      <c r="V2204" s="2" t="n">
        <f aca="false">INDEX(Summary!$R$2:$R$201,MATCH($B2204,Summary!$A$2:$A$201,0))</f>
        <v>16.07</v>
      </c>
      <c r="W2204" s="0" t="str">
        <f aca="false">INDEX(Summary!$S$2:$S$201,MATCH($B2204,Summary!$A$2:$A$201,0))</f>
        <v>Bronze</v>
      </c>
      <c r="X2204" s="2" t="n">
        <f aca="false">INDEX(Summary!$T$2:$T$201,MATCH($B2204,Summary!$A$2:$A$201,0))</f>
        <v>39.2</v>
      </c>
      <c r="Y2204" s="0" t="str">
        <f aca="false">INDEX('Reward Model'!$E$18:$E$37,MATCH($E2204,'Reward Model'!$A$18:$A$37,0))</f>
        <v>Medium</v>
      </c>
      <c r="Z2204" s="4" t="n">
        <f aca="false">ROUND(MIN(1,MAX('Reward Model'!$B$2,INDEX('Reward Model'!$C$12:$C$14,MATCH($K2204,'Reward Model'!$A$12:$A$14,0))/$J2204)),3)</f>
        <v>1</v>
      </c>
      <c r="AA2204" s="2" t="n">
        <f aca="false">IF($I2204="Correct",ROUND(INDEX('Reward Model'!$B$12:$B$14,MATCH($K2204,'Reward Model'!$A$12:$A$14,0))*Z2204,2),0)</f>
        <v>1</v>
      </c>
      <c r="AB2204" s="2" t="n">
        <f aca="false">IF($I2204="Correct",ROUND(INDEX('Reward Model'!$B$12:$B$14,MATCH($Y2204,'Reward Model'!$A$12:$A$14,0))*Z2204,2),0)</f>
        <v>2</v>
      </c>
    </row>
    <row r="2205" customFormat="false" ht="15" hidden="false" customHeight="false" outlineLevel="0" collapsed="false">
      <c r="A2205" s="0" t="s">
        <v>352</v>
      </c>
      <c r="B2205" s="0" t="s">
        <v>353</v>
      </c>
      <c r="C2205" s="0" t="s">
        <v>322</v>
      </c>
      <c r="D2205" s="0" t="s">
        <v>31</v>
      </c>
      <c r="E2205" s="0" t="n">
        <v>4</v>
      </c>
      <c r="F2205" s="0" t="s">
        <v>43</v>
      </c>
      <c r="G2205" s="0" t="s">
        <v>44</v>
      </c>
      <c r="H2205" s="0" t="s">
        <v>45</v>
      </c>
      <c r="I2205" s="0" t="s">
        <v>39</v>
      </c>
      <c r="J2205" s="0" t="n">
        <v>1.82</v>
      </c>
      <c r="K2205" s="0" t="s">
        <v>35</v>
      </c>
      <c r="L2205" s="0" t="n">
        <f aca="false">INDEX(Summary!$F$2:$F$201,MATCH($B2205,Summary!$A$2:$A$201,0))</f>
        <v>20</v>
      </c>
      <c r="M2205" s="0" t="n">
        <f aca="false">INDEX(Summary!$I$2:$I$201,MATCH($B2205,Summary!$A$2:$A$201,0))</f>
        <v>1</v>
      </c>
      <c r="N2205" s="0" t="n">
        <f aca="false">INDEX(Summary!$J$2:$J$201,MATCH($B2205,Summary!$A$2:$A$201,0))</f>
        <v>4</v>
      </c>
      <c r="O2205" s="2" t="n">
        <f aca="false">INDEX(Summary!$K$2:$K$201,MATCH($B2205,Summary!$A$2:$A$201,0))</f>
        <v>10.02</v>
      </c>
      <c r="P2205" s="3" t="n">
        <f aca="false">INDEX(Summary!$L$2:$L$201,MATCH($B2205,Summary!$A$2:$A$201,0))</f>
        <v>3</v>
      </c>
      <c r="Q2205" s="3" t="n">
        <f aca="false">INDEX(Summary!$M$2:$M$201,MATCH($B2205,Summary!$A$2:$A$201,0))</f>
        <v>3</v>
      </c>
      <c r="R2205" s="2" t="n">
        <f aca="false">INDEX(Summary!$N$2:$N$201,MATCH($B2205,Summary!$A$2:$A$201,0))</f>
        <v>10.68</v>
      </c>
      <c r="S2205" s="3" t="n">
        <f aca="false">INDEX(Summary!$O$2:$O$201,MATCH($B2205,Summary!$A$2:$A$201,0))</f>
        <v>5</v>
      </c>
      <c r="T2205" s="3" t="n">
        <f aca="false">INDEX(Summary!$P$2:$P$201,MATCH($B2205,Summary!$A$2:$A$201,0))</f>
        <v>4</v>
      </c>
      <c r="U2205" s="2" t="n">
        <f aca="false">INDEX(Summary!$Q$2:$Q$201,MATCH($B2205,Summary!$A$2:$A$201,0))</f>
        <v>13.73</v>
      </c>
      <c r="V2205" s="2" t="n">
        <f aca="false">INDEX(Summary!$R$2:$R$201,MATCH($B2205,Summary!$A$2:$A$201,0))</f>
        <v>16.07</v>
      </c>
      <c r="W2205" s="0" t="str">
        <f aca="false">INDEX(Summary!$S$2:$S$201,MATCH($B2205,Summary!$A$2:$A$201,0))</f>
        <v>Bronze</v>
      </c>
      <c r="X2205" s="2" t="n">
        <f aca="false">INDEX(Summary!$T$2:$T$201,MATCH($B2205,Summary!$A$2:$A$201,0))</f>
        <v>39.2</v>
      </c>
      <c r="Y2205" s="0" t="str">
        <f aca="false">INDEX('Reward Model'!$E$18:$E$37,MATCH($E2205,'Reward Model'!$A$18:$A$37,0))</f>
        <v>Low</v>
      </c>
      <c r="Z2205" s="4" t="n">
        <f aca="false">ROUND(MIN(1,MAX('Reward Model'!$B$2,INDEX('Reward Model'!$C$12:$C$14,MATCH($K2205,'Reward Model'!$A$12:$A$14,0))/$J2205)),3)</f>
        <v>0.824</v>
      </c>
      <c r="AA2205" s="2" t="n">
        <f aca="false">IF($I2205="Correct",ROUND(INDEX('Reward Model'!$B$12:$B$14,MATCH($K2205,'Reward Model'!$A$12:$A$14,0))*Z2205,2),0)</f>
        <v>0</v>
      </c>
      <c r="AB2205" s="2" t="n">
        <f aca="false">IF($I2205="Correct",ROUND(INDEX('Reward Model'!$B$12:$B$14,MATCH($Y2205,'Reward Model'!$A$12:$A$14,0))*Z2205,2),0)</f>
        <v>0</v>
      </c>
    </row>
    <row r="2206" customFormat="false" ht="15" hidden="false" customHeight="false" outlineLevel="0" collapsed="false">
      <c r="A2206" s="0" t="s">
        <v>352</v>
      </c>
      <c r="B2206" s="0" t="s">
        <v>353</v>
      </c>
      <c r="C2206" s="0" t="s">
        <v>322</v>
      </c>
      <c r="D2206" s="0" t="s">
        <v>31</v>
      </c>
      <c r="E2206" s="0" t="n">
        <v>5</v>
      </c>
      <c r="F2206" s="0" t="s">
        <v>46</v>
      </c>
      <c r="G2206" s="0" t="s">
        <v>47</v>
      </c>
      <c r="H2206" s="0" t="s">
        <v>47</v>
      </c>
      <c r="I2206" s="0" t="s">
        <v>34</v>
      </c>
      <c r="J2206" s="0" t="n">
        <v>1.75</v>
      </c>
      <c r="K2206" s="0" t="s">
        <v>35</v>
      </c>
      <c r="L2206" s="0" t="n">
        <f aca="false">INDEX(Summary!$F$2:$F$201,MATCH($B2206,Summary!$A$2:$A$201,0))</f>
        <v>20</v>
      </c>
      <c r="M2206" s="0" t="n">
        <f aca="false">INDEX(Summary!$I$2:$I$201,MATCH($B2206,Summary!$A$2:$A$201,0))</f>
        <v>1</v>
      </c>
      <c r="N2206" s="0" t="n">
        <f aca="false">INDEX(Summary!$J$2:$J$201,MATCH($B2206,Summary!$A$2:$A$201,0))</f>
        <v>4</v>
      </c>
      <c r="O2206" s="2" t="n">
        <f aca="false">INDEX(Summary!$K$2:$K$201,MATCH($B2206,Summary!$A$2:$A$201,0))</f>
        <v>10.02</v>
      </c>
      <c r="P2206" s="3" t="n">
        <f aca="false">INDEX(Summary!$L$2:$L$201,MATCH($B2206,Summary!$A$2:$A$201,0))</f>
        <v>3</v>
      </c>
      <c r="Q2206" s="3" t="n">
        <f aca="false">INDEX(Summary!$M$2:$M$201,MATCH($B2206,Summary!$A$2:$A$201,0))</f>
        <v>3</v>
      </c>
      <c r="R2206" s="2" t="n">
        <f aca="false">INDEX(Summary!$N$2:$N$201,MATCH($B2206,Summary!$A$2:$A$201,0))</f>
        <v>10.68</v>
      </c>
      <c r="S2206" s="3" t="n">
        <f aca="false">INDEX(Summary!$O$2:$O$201,MATCH($B2206,Summary!$A$2:$A$201,0))</f>
        <v>5</v>
      </c>
      <c r="T2206" s="3" t="n">
        <f aca="false">INDEX(Summary!$P$2:$P$201,MATCH($B2206,Summary!$A$2:$A$201,0))</f>
        <v>4</v>
      </c>
      <c r="U2206" s="2" t="n">
        <f aca="false">INDEX(Summary!$Q$2:$Q$201,MATCH($B2206,Summary!$A$2:$A$201,0))</f>
        <v>13.73</v>
      </c>
      <c r="V2206" s="2" t="n">
        <f aca="false">INDEX(Summary!$R$2:$R$201,MATCH($B2206,Summary!$A$2:$A$201,0))</f>
        <v>16.07</v>
      </c>
      <c r="W2206" s="0" t="str">
        <f aca="false">INDEX(Summary!$S$2:$S$201,MATCH($B2206,Summary!$A$2:$A$201,0))</f>
        <v>Bronze</v>
      </c>
      <c r="X2206" s="2" t="n">
        <f aca="false">INDEX(Summary!$T$2:$T$201,MATCH($B2206,Summary!$A$2:$A$201,0))</f>
        <v>39.2</v>
      </c>
      <c r="Y2206" s="0" t="str">
        <f aca="false">INDEX('Reward Model'!$E$18:$E$37,MATCH($E2206,'Reward Model'!$A$18:$A$37,0))</f>
        <v>Low</v>
      </c>
      <c r="Z2206" s="4" t="n">
        <f aca="false">ROUND(MIN(1,MAX('Reward Model'!$B$2,INDEX('Reward Model'!$C$12:$C$14,MATCH($K2206,'Reward Model'!$A$12:$A$14,0))/$J2206)),3)</f>
        <v>0.857</v>
      </c>
      <c r="AA2206" s="2" t="n">
        <f aca="false">IF($I2206="Correct",ROUND(INDEX('Reward Model'!$B$12:$B$14,MATCH($K2206,'Reward Model'!$A$12:$A$14,0))*Z2206,2),0)</f>
        <v>0.86</v>
      </c>
      <c r="AB2206" s="2" t="n">
        <f aca="false">IF($I2206="Correct",ROUND(INDEX('Reward Model'!$B$12:$B$14,MATCH($Y2206,'Reward Model'!$A$12:$A$14,0))*Z2206,2),0)</f>
        <v>0.86</v>
      </c>
    </row>
    <row r="2207" customFormat="false" ht="15" hidden="false" customHeight="false" outlineLevel="0" collapsed="false">
      <c r="A2207" s="0" t="s">
        <v>352</v>
      </c>
      <c r="B2207" s="0" t="s">
        <v>353</v>
      </c>
      <c r="C2207" s="0" t="s">
        <v>322</v>
      </c>
      <c r="D2207" s="0" t="s">
        <v>31</v>
      </c>
      <c r="E2207" s="0" t="n">
        <v>6</v>
      </c>
      <c r="F2207" s="0" t="s">
        <v>48</v>
      </c>
      <c r="G2207" s="0" t="s">
        <v>116</v>
      </c>
      <c r="H2207" s="0" t="s">
        <v>49</v>
      </c>
      <c r="I2207" s="0" t="s">
        <v>39</v>
      </c>
      <c r="J2207" s="0" t="n">
        <v>1.9</v>
      </c>
      <c r="K2207" s="0" t="s">
        <v>35</v>
      </c>
      <c r="L2207" s="0" t="n">
        <f aca="false">INDEX(Summary!$F$2:$F$201,MATCH($B2207,Summary!$A$2:$A$201,0))</f>
        <v>20</v>
      </c>
      <c r="M2207" s="0" t="n">
        <f aca="false">INDEX(Summary!$I$2:$I$201,MATCH($B2207,Summary!$A$2:$A$201,0))</f>
        <v>1</v>
      </c>
      <c r="N2207" s="0" t="n">
        <f aca="false">INDEX(Summary!$J$2:$J$201,MATCH($B2207,Summary!$A$2:$A$201,0))</f>
        <v>4</v>
      </c>
      <c r="O2207" s="2" t="n">
        <f aca="false">INDEX(Summary!$K$2:$K$201,MATCH($B2207,Summary!$A$2:$A$201,0))</f>
        <v>10.02</v>
      </c>
      <c r="P2207" s="3" t="n">
        <f aca="false">INDEX(Summary!$L$2:$L$201,MATCH($B2207,Summary!$A$2:$A$201,0))</f>
        <v>3</v>
      </c>
      <c r="Q2207" s="3" t="n">
        <f aca="false">INDEX(Summary!$M$2:$M$201,MATCH($B2207,Summary!$A$2:$A$201,0))</f>
        <v>3</v>
      </c>
      <c r="R2207" s="2" t="n">
        <f aca="false">INDEX(Summary!$N$2:$N$201,MATCH($B2207,Summary!$A$2:$A$201,0))</f>
        <v>10.68</v>
      </c>
      <c r="S2207" s="3" t="n">
        <f aca="false">INDEX(Summary!$O$2:$O$201,MATCH($B2207,Summary!$A$2:$A$201,0))</f>
        <v>5</v>
      </c>
      <c r="T2207" s="3" t="n">
        <f aca="false">INDEX(Summary!$P$2:$P$201,MATCH($B2207,Summary!$A$2:$A$201,0))</f>
        <v>4</v>
      </c>
      <c r="U2207" s="2" t="n">
        <f aca="false">INDEX(Summary!$Q$2:$Q$201,MATCH($B2207,Summary!$A$2:$A$201,0))</f>
        <v>13.73</v>
      </c>
      <c r="V2207" s="2" t="n">
        <f aca="false">INDEX(Summary!$R$2:$R$201,MATCH($B2207,Summary!$A$2:$A$201,0))</f>
        <v>16.07</v>
      </c>
      <c r="W2207" s="0" t="str">
        <f aca="false">INDEX(Summary!$S$2:$S$201,MATCH($B2207,Summary!$A$2:$A$201,0))</f>
        <v>Bronze</v>
      </c>
      <c r="X2207" s="2" t="n">
        <f aca="false">INDEX(Summary!$T$2:$T$201,MATCH($B2207,Summary!$A$2:$A$201,0))</f>
        <v>39.2</v>
      </c>
      <c r="Y2207" s="0" t="str">
        <f aca="false">INDEX('Reward Model'!$E$18:$E$37,MATCH($E2207,'Reward Model'!$A$18:$A$37,0))</f>
        <v>Medium</v>
      </c>
      <c r="Z2207" s="4" t="n">
        <f aca="false">ROUND(MIN(1,MAX('Reward Model'!$B$2,INDEX('Reward Model'!$C$12:$C$14,MATCH($K2207,'Reward Model'!$A$12:$A$14,0))/$J2207)),3)</f>
        <v>0.789</v>
      </c>
      <c r="AA2207" s="2" t="n">
        <f aca="false">IF($I2207="Correct",ROUND(INDEX('Reward Model'!$B$12:$B$14,MATCH($K2207,'Reward Model'!$A$12:$A$14,0))*Z2207,2),0)</f>
        <v>0</v>
      </c>
      <c r="AB2207" s="2" t="n">
        <f aca="false">IF($I2207="Correct",ROUND(INDEX('Reward Model'!$B$12:$B$14,MATCH($Y2207,'Reward Model'!$A$12:$A$14,0))*Z2207,2),0)</f>
        <v>0</v>
      </c>
    </row>
    <row r="2208" customFormat="false" ht="15" hidden="false" customHeight="false" outlineLevel="0" collapsed="false">
      <c r="A2208" s="0" t="s">
        <v>352</v>
      </c>
      <c r="B2208" s="0" t="s">
        <v>353</v>
      </c>
      <c r="C2208" s="0" t="s">
        <v>322</v>
      </c>
      <c r="D2208" s="0" t="s">
        <v>31</v>
      </c>
      <c r="E2208" s="0" t="n">
        <v>7</v>
      </c>
      <c r="F2208" s="0" t="s">
        <v>50</v>
      </c>
      <c r="G2208" s="0" t="s">
        <v>51</v>
      </c>
      <c r="H2208" s="0" t="s">
        <v>51</v>
      </c>
      <c r="I2208" s="0" t="s">
        <v>34</v>
      </c>
      <c r="J2208" s="0" t="n">
        <v>1.7</v>
      </c>
      <c r="K2208" s="0" t="s">
        <v>35</v>
      </c>
      <c r="L2208" s="0" t="n">
        <f aca="false">INDEX(Summary!$F$2:$F$201,MATCH($B2208,Summary!$A$2:$A$201,0))</f>
        <v>20</v>
      </c>
      <c r="M2208" s="0" t="n">
        <f aca="false">INDEX(Summary!$I$2:$I$201,MATCH($B2208,Summary!$A$2:$A$201,0))</f>
        <v>1</v>
      </c>
      <c r="N2208" s="0" t="n">
        <f aca="false">INDEX(Summary!$J$2:$J$201,MATCH($B2208,Summary!$A$2:$A$201,0))</f>
        <v>4</v>
      </c>
      <c r="O2208" s="2" t="n">
        <f aca="false">INDEX(Summary!$K$2:$K$201,MATCH($B2208,Summary!$A$2:$A$201,0))</f>
        <v>10.02</v>
      </c>
      <c r="P2208" s="3" t="n">
        <f aca="false">INDEX(Summary!$L$2:$L$201,MATCH($B2208,Summary!$A$2:$A$201,0))</f>
        <v>3</v>
      </c>
      <c r="Q2208" s="3" t="n">
        <f aca="false">INDEX(Summary!$M$2:$M$201,MATCH($B2208,Summary!$A$2:$A$201,0))</f>
        <v>3</v>
      </c>
      <c r="R2208" s="2" t="n">
        <f aca="false">INDEX(Summary!$N$2:$N$201,MATCH($B2208,Summary!$A$2:$A$201,0))</f>
        <v>10.68</v>
      </c>
      <c r="S2208" s="3" t="n">
        <f aca="false">INDEX(Summary!$O$2:$O$201,MATCH($B2208,Summary!$A$2:$A$201,0))</f>
        <v>5</v>
      </c>
      <c r="T2208" s="3" t="n">
        <f aca="false">INDEX(Summary!$P$2:$P$201,MATCH($B2208,Summary!$A$2:$A$201,0))</f>
        <v>4</v>
      </c>
      <c r="U2208" s="2" t="n">
        <f aca="false">INDEX(Summary!$Q$2:$Q$201,MATCH($B2208,Summary!$A$2:$A$201,0))</f>
        <v>13.73</v>
      </c>
      <c r="V2208" s="2" t="n">
        <f aca="false">INDEX(Summary!$R$2:$R$201,MATCH($B2208,Summary!$A$2:$A$201,0))</f>
        <v>16.07</v>
      </c>
      <c r="W2208" s="0" t="str">
        <f aca="false">INDEX(Summary!$S$2:$S$201,MATCH($B2208,Summary!$A$2:$A$201,0))</f>
        <v>Bronze</v>
      </c>
      <c r="X2208" s="2" t="n">
        <f aca="false">INDEX(Summary!$T$2:$T$201,MATCH($B2208,Summary!$A$2:$A$201,0))</f>
        <v>39.2</v>
      </c>
      <c r="Y2208" s="0" t="str">
        <f aca="false">INDEX('Reward Model'!$E$18:$E$37,MATCH($E2208,'Reward Model'!$A$18:$A$37,0))</f>
        <v>Low</v>
      </c>
      <c r="Z2208" s="4" t="n">
        <f aca="false">ROUND(MIN(1,MAX('Reward Model'!$B$2,INDEX('Reward Model'!$C$12:$C$14,MATCH($K2208,'Reward Model'!$A$12:$A$14,0))/$J2208)),3)</f>
        <v>0.882</v>
      </c>
      <c r="AA2208" s="2" t="n">
        <f aca="false">IF($I2208="Correct",ROUND(INDEX('Reward Model'!$B$12:$B$14,MATCH($K2208,'Reward Model'!$A$12:$A$14,0))*Z2208,2),0)</f>
        <v>0.88</v>
      </c>
      <c r="AB2208" s="2" t="n">
        <f aca="false">IF($I2208="Correct",ROUND(INDEX('Reward Model'!$B$12:$B$14,MATCH($Y2208,'Reward Model'!$A$12:$A$14,0))*Z2208,2),0)</f>
        <v>0.88</v>
      </c>
    </row>
    <row r="2209" customFormat="false" ht="15" hidden="false" customHeight="false" outlineLevel="0" collapsed="false">
      <c r="A2209" s="0" t="s">
        <v>352</v>
      </c>
      <c r="B2209" s="0" t="s">
        <v>353</v>
      </c>
      <c r="C2209" s="0" t="s">
        <v>322</v>
      </c>
      <c r="D2209" s="0" t="s">
        <v>31</v>
      </c>
      <c r="E2209" s="0" t="n">
        <v>8</v>
      </c>
      <c r="F2209" s="0" t="s">
        <v>52</v>
      </c>
      <c r="G2209" s="0" t="s">
        <v>54</v>
      </c>
      <c r="H2209" s="0" t="s">
        <v>54</v>
      </c>
      <c r="I2209" s="0" t="s">
        <v>34</v>
      </c>
      <c r="J2209" s="0" t="n">
        <v>1.77</v>
      </c>
      <c r="K2209" s="0" t="s">
        <v>35</v>
      </c>
      <c r="L2209" s="0" t="n">
        <f aca="false">INDEX(Summary!$F$2:$F$201,MATCH($B2209,Summary!$A$2:$A$201,0))</f>
        <v>20</v>
      </c>
      <c r="M2209" s="0" t="n">
        <f aca="false">INDEX(Summary!$I$2:$I$201,MATCH($B2209,Summary!$A$2:$A$201,0))</f>
        <v>1</v>
      </c>
      <c r="N2209" s="0" t="n">
        <f aca="false">INDEX(Summary!$J$2:$J$201,MATCH($B2209,Summary!$A$2:$A$201,0))</f>
        <v>4</v>
      </c>
      <c r="O2209" s="2" t="n">
        <f aca="false">INDEX(Summary!$K$2:$K$201,MATCH($B2209,Summary!$A$2:$A$201,0))</f>
        <v>10.02</v>
      </c>
      <c r="P2209" s="3" t="n">
        <f aca="false">INDEX(Summary!$L$2:$L$201,MATCH($B2209,Summary!$A$2:$A$201,0))</f>
        <v>3</v>
      </c>
      <c r="Q2209" s="3" t="n">
        <f aca="false">INDEX(Summary!$M$2:$M$201,MATCH($B2209,Summary!$A$2:$A$201,0))</f>
        <v>3</v>
      </c>
      <c r="R2209" s="2" t="n">
        <f aca="false">INDEX(Summary!$N$2:$N$201,MATCH($B2209,Summary!$A$2:$A$201,0))</f>
        <v>10.68</v>
      </c>
      <c r="S2209" s="3" t="n">
        <f aca="false">INDEX(Summary!$O$2:$O$201,MATCH($B2209,Summary!$A$2:$A$201,0))</f>
        <v>5</v>
      </c>
      <c r="T2209" s="3" t="n">
        <f aca="false">INDEX(Summary!$P$2:$P$201,MATCH($B2209,Summary!$A$2:$A$201,0))</f>
        <v>4</v>
      </c>
      <c r="U2209" s="2" t="n">
        <f aca="false">INDEX(Summary!$Q$2:$Q$201,MATCH($B2209,Summary!$A$2:$A$201,0))</f>
        <v>13.73</v>
      </c>
      <c r="V2209" s="2" t="n">
        <f aca="false">INDEX(Summary!$R$2:$R$201,MATCH($B2209,Summary!$A$2:$A$201,0))</f>
        <v>16.07</v>
      </c>
      <c r="W2209" s="0" t="str">
        <f aca="false">INDEX(Summary!$S$2:$S$201,MATCH($B2209,Summary!$A$2:$A$201,0))</f>
        <v>Bronze</v>
      </c>
      <c r="X2209" s="2" t="n">
        <f aca="false">INDEX(Summary!$T$2:$T$201,MATCH($B2209,Summary!$A$2:$A$201,0))</f>
        <v>39.2</v>
      </c>
      <c r="Y2209" s="0" t="str">
        <f aca="false">INDEX('Reward Model'!$E$18:$E$37,MATCH($E2209,'Reward Model'!$A$18:$A$37,0))</f>
        <v>Medium</v>
      </c>
      <c r="Z2209" s="4" t="n">
        <f aca="false">ROUND(MIN(1,MAX('Reward Model'!$B$2,INDEX('Reward Model'!$C$12:$C$14,MATCH($K2209,'Reward Model'!$A$12:$A$14,0))/$J2209)),3)</f>
        <v>0.847</v>
      </c>
      <c r="AA2209" s="2" t="n">
        <f aca="false">IF($I2209="Correct",ROUND(INDEX('Reward Model'!$B$12:$B$14,MATCH($K2209,'Reward Model'!$A$12:$A$14,0))*Z2209,2),0)</f>
        <v>0.85</v>
      </c>
      <c r="AB2209" s="2" t="n">
        <f aca="false">IF($I2209="Correct",ROUND(INDEX('Reward Model'!$B$12:$B$14,MATCH($Y2209,'Reward Model'!$A$12:$A$14,0))*Z2209,2),0)</f>
        <v>1.69</v>
      </c>
    </row>
    <row r="2210" customFormat="false" ht="15" hidden="false" customHeight="false" outlineLevel="0" collapsed="false">
      <c r="A2210" s="0" t="s">
        <v>352</v>
      </c>
      <c r="B2210" s="0" t="s">
        <v>353</v>
      </c>
      <c r="C2210" s="0" t="s">
        <v>322</v>
      </c>
      <c r="D2210" s="0" t="s">
        <v>31</v>
      </c>
      <c r="E2210" s="0" t="n">
        <v>9</v>
      </c>
      <c r="F2210" s="0" t="s">
        <v>55</v>
      </c>
      <c r="G2210" s="0" t="s">
        <v>57</v>
      </c>
      <c r="H2210" s="0" t="s">
        <v>57</v>
      </c>
      <c r="I2210" s="0" t="s">
        <v>34</v>
      </c>
      <c r="J2210" s="0" t="n">
        <v>0.94</v>
      </c>
      <c r="K2210" s="0" t="s">
        <v>35</v>
      </c>
      <c r="L2210" s="0" t="n">
        <f aca="false">INDEX(Summary!$F$2:$F$201,MATCH($B2210,Summary!$A$2:$A$201,0))</f>
        <v>20</v>
      </c>
      <c r="M2210" s="0" t="n">
        <f aca="false">INDEX(Summary!$I$2:$I$201,MATCH($B2210,Summary!$A$2:$A$201,0))</f>
        <v>1</v>
      </c>
      <c r="N2210" s="0" t="n">
        <f aca="false">INDEX(Summary!$J$2:$J$201,MATCH($B2210,Summary!$A$2:$A$201,0))</f>
        <v>4</v>
      </c>
      <c r="O2210" s="2" t="n">
        <f aca="false">INDEX(Summary!$K$2:$K$201,MATCH($B2210,Summary!$A$2:$A$201,0))</f>
        <v>10.02</v>
      </c>
      <c r="P2210" s="3" t="n">
        <f aca="false">INDEX(Summary!$L$2:$L$201,MATCH($B2210,Summary!$A$2:$A$201,0))</f>
        <v>3</v>
      </c>
      <c r="Q2210" s="3" t="n">
        <f aca="false">INDEX(Summary!$M$2:$M$201,MATCH($B2210,Summary!$A$2:$A$201,0))</f>
        <v>3</v>
      </c>
      <c r="R2210" s="2" t="n">
        <f aca="false">INDEX(Summary!$N$2:$N$201,MATCH($B2210,Summary!$A$2:$A$201,0))</f>
        <v>10.68</v>
      </c>
      <c r="S2210" s="3" t="n">
        <f aca="false">INDEX(Summary!$O$2:$O$201,MATCH($B2210,Summary!$A$2:$A$201,0))</f>
        <v>5</v>
      </c>
      <c r="T2210" s="3" t="n">
        <f aca="false">INDEX(Summary!$P$2:$P$201,MATCH($B2210,Summary!$A$2:$A$201,0))</f>
        <v>4</v>
      </c>
      <c r="U2210" s="2" t="n">
        <f aca="false">INDEX(Summary!$Q$2:$Q$201,MATCH($B2210,Summary!$A$2:$A$201,0))</f>
        <v>13.73</v>
      </c>
      <c r="V2210" s="2" t="n">
        <f aca="false">INDEX(Summary!$R$2:$R$201,MATCH($B2210,Summary!$A$2:$A$201,0))</f>
        <v>16.07</v>
      </c>
      <c r="W2210" s="0" t="str">
        <f aca="false">INDEX(Summary!$S$2:$S$201,MATCH($B2210,Summary!$A$2:$A$201,0))</f>
        <v>Bronze</v>
      </c>
      <c r="X2210" s="2" t="n">
        <f aca="false">INDEX(Summary!$T$2:$T$201,MATCH($B2210,Summary!$A$2:$A$201,0))</f>
        <v>39.2</v>
      </c>
      <c r="Y2210" s="0" t="str">
        <f aca="false">INDEX('Reward Model'!$E$18:$E$37,MATCH($E2210,'Reward Model'!$A$18:$A$37,0))</f>
        <v>Medium</v>
      </c>
      <c r="Z2210" s="4" t="n">
        <f aca="false">ROUND(MIN(1,MAX('Reward Model'!$B$2,INDEX('Reward Model'!$C$12:$C$14,MATCH($K2210,'Reward Model'!$A$12:$A$14,0))/$J2210)),3)</f>
        <v>1</v>
      </c>
      <c r="AA2210" s="2" t="n">
        <f aca="false">IF($I2210="Correct",ROUND(INDEX('Reward Model'!$B$12:$B$14,MATCH($K2210,'Reward Model'!$A$12:$A$14,0))*Z2210,2),0)</f>
        <v>1</v>
      </c>
      <c r="AB2210" s="2" t="n">
        <f aca="false">IF($I2210="Correct",ROUND(INDEX('Reward Model'!$B$12:$B$14,MATCH($Y2210,'Reward Model'!$A$12:$A$14,0))*Z2210,2),0)</f>
        <v>2</v>
      </c>
    </row>
    <row r="2211" customFormat="false" ht="15" hidden="false" customHeight="false" outlineLevel="0" collapsed="false">
      <c r="A2211" s="0" t="s">
        <v>352</v>
      </c>
      <c r="B2211" s="0" t="s">
        <v>353</v>
      </c>
      <c r="C2211" s="0" t="s">
        <v>322</v>
      </c>
      <c r="D2211" s="0" t="s">
        <v>31</v>
      </c>
      <c r="E2211" s="0" t="n">
        <v>10</v>
      </c>
      <c r="F2211" s="0" t="s">
        <v>58</v>
      </c>
      <c r="G2211" s="0" t="s">
        <v>174</v>
      </c>
      <c r="H2211" s="0" t="s">
        <v>59</v>
      </c>
      <c r="I2211" s="0" t="s">
        <v>39</v>
      </c>
      <c r="J2211" s="0" t="n">
        <v>1.46</v>
      </c>
      <c r="K2211" s="0" t="s">
        <v>60</v>
      </c>
      <c r="L2211" s="0" t="n">
        <f aca="false">INDEX(Summary!$F$2:$F$201,MATCH($B2211,Summary!$A$2:$A$201,0))</f>
        <v>20</v>
      </c>
      <c r="M2211" s="0" t="n">
        <f aca="false">INDEX(Summary!$I$2:$I$201,MATCH($B2211,Summary!$A$2:$A$201,0))</f>
        <v>1</v>
      </c>
      <c r="N2211" s="0" t="n">
        <f aca="false">INDEX(Summary!$J$2:$J$201,MATCH($B2211,Summary!$A$2:$A$201,0))</f>
        <v>4</v>
      </c>
      <c r="O2211" s="2" t="n">
        <f aca="false">INDEX(Summary!$K$2:$K$201,MATCH($B2211,Summary!$A$2:$A$201,0))</f>
        <v>10.02</v>
      </c>
      <c r="P2211" s="3" t="n">
        <f aca="false">INDEX(Summary!$L$2:$L$201,MATCH($B2211,Summary!$A$2:$A$201,0))</f>
        <v>3</v>
      </c>
      <c r="Q2211" s="3" t="n">
        <f aca="false">INDEX(Summary!$M$2:$M$201,MATCH($B2211,Summary!$A$2:$A$201,0))</f>
        <v>3</v>
      </c>
      <c r="R2211" s="2" t="n">
        <f aca="false">INDEX(Summary!$N$2:$N$201,MATCH($B2211,Summary!$A$2:$A$201,0))</f>
        <v>10.68</v>
      </c>
      <c r="S2211" s="3" t="n">
        <f aca="false">INDEX(Summary!$O$2:$O$201,MATCH($B2211,Summary!$A$2:$A$201,0))</f>
        <v>5</v>
      </c>
      <c r="T2211" s="3" t="n">
        <f aca="false">INDEX(Summary!$P$2:$P$201,MATCH($B2211,Summary!$A$2:$A$201,0))</f>
        <v>4</v>
      </c>
      <c r="U2211" s="2" t="n">
        <f aca="false">INDEX(Summary!$Q$2:$Q$201,MATCH($B2211,Summary!$A$2:$A$201,0))</f>
        <v>13.73</v>
      </c>
      <c r="V2211" s="2" t="n">
        <f aca="false">INDEX(Summary!$R$2:$R$201,MATCH($B2211,Summary!$A$2:$A$201,0))</f>
        <v>16.07</v>
      </c>
      <c r="W2211" s="0" t="str">
        <f aca="false">INDEX(Summary!$S$2:$S$201,MATCH($B2211,Summary!$A$2:$A$201,0))</f>
        <v>Bronze</v>
      </c>
      <c r="X2211" s="2" t="n">
        <f aca="false">INDEX(Summary!$T$2:$T$201,MATCH($B2211,Summary!$A$2:$A$201,0))</f>
        <v>39.2</v>
      </c>
      <c r="Y2211" s="0" t="str">
        <f aca="false">INDEX('Reward Model'!$E$18:$E$37,MATCH($E2211,'Reward Model'!$A$18:$A$37,0))</f>
        <v>Medium</v>
      </c>
      <c r="Z2211" s="4" t="n">
        <f aca="false">ROUND(MIN(1,MAX('Reward Model'!$B$2,INDEX('Reward Model'!$C$12:$C$14,MATCH($K2211,'Reward Model'!$A$12:$A$14,0))/$J2211)),3)</f>
        <v>1</v>
      </c>
      <c r="AA2211" s="2" t="n">
        <f aca="false">IF($I2211="Correct",ROUND(INDEX('Reward Model'!$B$12:$B$14,MATCH($K2211,'Reward Model'!$A$12:$A$14,0))*Z2211,2),0)</f>
        <v>0</v>
      </c>
      <c r="AB2211" s="2" t="n">
        <f aca="false">IF($I2211="Correct",ROUND(INDEX('Reward Model'!$B$12:$B$14,MATCH($Y2211,'Reward Model'!$A$12:$A$14,0))*Z2211,2),0)</f>
        <v>0</v>
      </c>
    </row>
    <row r="2212" customFormat="false" ht="15" hidden="false" customHeight="false" outlineLevel="0" collapsed="false">
      <c r="A2212" s="0" t="s">
        <v>352</v>
      </c>
      <c r="B2212" s="0" t="s">
        <v>353</v>
      </c>
      <c r="C2212" s="0" t="s">
        <v>322</v>
      </c>
      <c r="D2212" s="0" t="s">
        <v>31</v>
      </c>
      <c r="E2212" s="0" t="n">
        <v>11</v>
      </c>
      <c r="F2212" s="0" t="s">
        <v>61</v>
      </c>
      <c r="G2212" s="0" t="s">
        <v>63</v>
      </c>
      <c r="H2212" s="0" t="s">
        <v>63</v>
      </c>
      <c r="I2212" s="0" t="s">
        <v>34</v>
      </c>
      <c r="J2212" s="0" t="n">
        <v>1.67</v>
      </c>
      <c r="K2212" s="0" t="s">
        <v>60</v>
      </c>
      <c r="L2212" s="0" t="n">
        <f aca="false">INDEX(Summary!$F$2:$F$201,MATCH($B2212,Summary!$A$2:$A$201,0))</f>
        <v>20</v>
      </c>
      <c r="M2212" s="0" t="n">
        <f aca="false">INDEX(Summary!$I$2:$I$201,MATCH($B2212,Summary!$A$2:$A$201,0))</f>
        <v>1</v>
      </c>
      <c r="N2212" s="0" t="n">
        <f aca="false">INDEX(Summary!$J$2:$J$201,MATCH($B2212,Summary!$A$2:$A$201,0))</f>
        <v>4</v>
      </c>
      <c r="O2212" s="2" t="n">
        <f aca="false">INDEX(Summary!$K$2:$K$201,MATCH($B2212,Summary!$A$2:$A$201,0))</f>
        <v>10.02</v>
      </c>
      <c r="P2212" s="3" t="n">
        <f aca="false">INDEX(Summary!$L$2:$L$201,MATCH($B2212,Summary!$A$2:$A$201,0))</f>
        <v>3</v>
      </c>
      <c r="Q2212" s="3" t="n">
        <f aca="false">INDEX(Summary!$M$2:$M$201,MATCH($B2212,Summary!$A$2:$A$201,0))</f>
        <v>3</v>
      </c>
      <c r="R2212" s="2" t="n">
        <f aca="false">INDEX(Summary!$N$2:$N$201,MATCH($B2212,Summary!$A$2:$A$201,0))</f>
        <v>10.68</v>
      </c>
      <c r="S2212" s="3" t="n">
        <f aca="false">INDEX(Summary!$O$2:$O$201,MATCH($B2212,Summary!$A$2:$A$201,0))</f>
        <v>5</v>
      </c>
      <c r="T2212" s="3" t="n">
        <f aca="false">INDEX(Summary!$P$2:$P$201,MATCH($B2212,Summary!$A$2:$A$201,0))</f>
        <v>4</v>
      </c>
      <c r="U2212" s="2" t="n">
        <f aca="false">INDEX(Summary!$Q$2:$Q$201,MATCH($B2212,Summary!$A$2:$A$201,0))</f>
        <v>13.73</v>
      </c>
      <c r="V2212" s="2" t="n">
        <f aca="false">INDEX(Summary!$R$2:$R$201,MATCH($B2212,Summary!$A$2:$A$201,0))</f>
        <v>16.07</v>
      </c>
      <c r="W2212" s="0" t="str">
        <f aca="false">INDEX(Summary!$S$2:$S$201,MATCH($B2212,Summary!$A$2:$A$201,0))</f>
        <v>Bronze</v>
      </c>
      <c r="X2212" s="2" t="n">
        <f aca="false">INDEX(Summary!$T$2:$T$201,MATCH($B2212,Summary!$A$2:$A$201,0))</f>
        <v>39.2</v>
      </c>
      <c r="Y2212" s="0" t="str">
        <f aca="false">INDEX('Reward Model'!$E$18:$E$37,MATCH($E2212,'Reward Model'!$A$18:$A$37,0))</f>
        <v>Medium</v>
      </c>
      <c r="Z2212" s="4" t="n">
        <f aca="false">ROUND(MIN(1,MAX('Reward Model'!$B$2,INDEX('Reward Model'!$C$12:$C$14,MATCH($K2212,'Reward Model'!$A$12:$A$14,0))/$J2212)),3)</f>
        <v>1</v>
      </c>
      <c r="AA2212" s="2" t="n">
        <f aca="false">IF($I2212="Correct",ROUND(INDEX('Reward Model'!$B$12:$B$14,MATCH($K2212,'Reward Model'!$A$12:$A$14,0))*Z2212,2),0)</f>
        <v>2</v>
      </c>
      <c r="AB2212" s="2" t="n">
        <f aca="false">IF($I2212="Correct",ROUND(INDEX('Reward Model'!$B$12:$B$14,MATCH($Y2212,'Reward Model'!$A$12:$A$14,0))*Z2212,2),0)</f>
        <v>2</v>
      </c>
    </row>
    <row r="2213" customFormat="false" ht="15" hidden="false" customHeight="false" outlineLevel="0" collapsed="false">
      <c r="A2213" s="0" t="s">
        <v>352</v>
      </c>
      <c r="B2213" s="0" t="s">
        <v>353</v>
      </c>
      <c r="C2213" s="0" t="s">
        <v>322</v>
      </c>
      <c r="D2213" s="0" t="s">
        <v>31</v>
      </c>
      <c r="E2213" s="0" t="n">
        <v>12</v>
      </c>
      <c r="F2213" s="0" t="s">
        <v>64</v>
      </c>
      <c r="G2213" s="0" t="s">
        <v>65</v>
      </c>
      <c r="H2213" s="0" t="s">
        <v>65</v>
      </c>
      <c r="I2213" s="0" t="s">
        <v>34</v>
      </c>
      <c r="J2213" s="0" t="n">
        <v>2.19</v>
      </c>
      <c r="K2213" s="0" t="s">
        <v>60</v>
      </c>
      <c r="L2213" s="0" t="n">
        <f aca="false">INDEX(Summary!$F$2:$F$201,MATCH($B2213,Summary!$A$2:$A$201,0))</f>
        <v>20</v>
      </c>
      <c r="M2213" s="0" t="n">
        <f aca="false">INDEX(Summary!$I$2:$I$201,MATCH($B2213,Summary!$A$2:$A$201,0))</f>
        <v>1</v>
      </c>
      <c r="N2213" s="0" t="n">
        <f aca="false">INDEX(Summary!$J$2:$J$201,MATCH($B2213,Summary!$A$2:$A$201,0))</f>
        <v>4</v>
      </c>
      <c r="O2213" s="2" t="n">
        <f aca="false">INDEX(Summary!$K$2:$K$201,MATCH($B2213,Summary!$A$2:$A$201,0))</f>
        <v>10.02</v>
      </c>
      <c r="P2213" s="3" t="n">
        <f aca="false">INDEX(Summary!$L$2:$L$201,MATCH($B2213,Summary!$A$2:$A$201,0))</f>
        <v>3</v>
      </c>
      <c r="Q2213" s="3" t="n">
        <f aca="false">INDEX(Summary!$M$2:$M$201,MATCH($B2213,Summary!$A$2:$A$201,0))</f>
        <v>3</v>
      </c>
      <c r="R2213" s="2" t="n">
        <f aca="false">INDEX(Summary!$N$2:$N$201,MATCH($B2213,Summary!$A$2:$A$201,0))</f>
        <v>10.68</v>
      </c>
      <c r="S2213" s="3" t="n">
        <f aca="false">INDEX(Summary!$O$2:$O$201,MATCH($B2213,Summary!$A$2:$A$201,0))</f>
        <v>5</v>
      </c>
      <c r="T2213" s="3" t="n">
        <f aca="false">INDEX(Summary!$P$2:$P$201,MATCH($B2213,Summary!$A$2:$A$201,0))</f>
        <v>4</v>
      </c>
      <c r="U2213" s="2" t="n">
        <f aca="false">INDEX(Summary!$Q$2:$Q$201,MATCH($B2213,Summary!$A$2:$A$201,0))</f>
        <v>13.73</v>
      </c>
      <c r="V2213" s="2" t="n">
        <f aca="false">INDEX(Summary!$R$2:$R$201,MATCH($B2213,Summary!$A$2:$A$201,0))</f>
        <v>16.07</v>
      </c>
      <c r="W2213" s="0" t="str">
        <f aca="false">INDEX(Summary!$S$2:$S$201,MATCH($B2213,Summary!$A$2:$A$201,0))</f>
        <v>Bronze</v>
      </c>
      <c r="X2213" s="2" t="n">
        <f aca="false">INDEX(Summary!$T$2:$T$201,MATCH($B2213,Summary!$A$2:$A$201,0))</f>
        <v>39.2</v>
      </c>
      <c r="Y2213" s="0" t="str">
        <f aca="false">INDEX('Reward Model'!$E$18:$E$37,MATCH($E2213,'Reward Model'!$A$18:$A$37,0))</f>
        <v>Medium</v>
      </c>
      <c r="Z2213" s="4" t="n">
        <f aca="false">ROUND(MIN(1,MAX('Reward Model'!$B$2,INDEX('Reward Model'!$C$12:$C$14,MATCH($K2213,'Reward Model'!$A$12:$A$14,0))/$J2213)),3)</f>
        <v>0.822</v>
      </c>
      <c r="AA2213" s="2" t="n">
        <f aca="false">IF($I2213="Correct",ROUND(INDEX('Reward Model'!$B$12:$B$14,MATCH($K2213,'Reward Model'!$A$12:$A$14,0))*Z2213,2),0)</f>
        <v>1.64</v>
      </c>
      <c r="AB2213" s="2" t="n">
        <f aca="false">IF($I2213="Correct",ROUND(INDEX('Reward Model'!$B$12:$B$14,MATCH($Y2213,'Reward Model'!$A$12:$A$14,0))*Z2213,2),0)</f>
        <v>1.64</v>
      </c>
    </row>
    <row r="2214" customFormat="false" ht="15" hidden="false" customHeight="false" outlineLevel="0" collapsed="false">
      <c r="A2214" s="0" t="s">
        <v>352</v>
      </c>
      <c r="B2214" s="0" t="s">
        <v>353</v>
      </c>
      <c r="C2214" s="0" t="s">
        <v>322</v>
      </c>
      <c r="D2214" s="0" t="s">
        <v>31</v>
      </c>
      <c r="E2214" s="0" t="n">
        <v>13</v>
      </c>
      <c r="F2214" s="0" t="s">
        <v>66</v>
      </c>
      <c r="G2214" s="0" t="s">
        <v>124</v>
      </c>
      <c r="H2214" s="0" t="s">
        <v>67</v>
      </c>
      <c r="I2214" s="0" t="s">
        <v>39</v>
      </c>
      <c r="J2214" s="0" t="n">
        <v>2.1</v>
      </c>
      <c r="K2214" s="0" t="s">
        <v>60</v>
      </c>
      <c r="L2214" s="0" t="n">
        <f aca="false">INDEX(Summary!$F$2:$F$201,MATCH($B2214,Summary!$A$2:$A$201,0))</f>
        <v>20</v>
      </c>
      <c r="M2214" s="0" t="n">
        <f aca="false">INDEX(Summary!$I$2:$I$201,MATCH($B2214,Summary!$A$2:$A$201,0))</f>
        <v>1</v>
      </c>
      <c r="N2214" s="0" t="n">
        <f aca="false">INDEX(Summary!$J$2:$J$201,MATCH($B2214,Summary!$A$2:$A$201,0))</f>
        <v>4</v>
      </c>
      <c r="O2214" s="2" t="n">
        <f aca="false">INDEX(Summary!$K$2:$K$201,MATCH($B2214,Summary!$A$2:$A$201,0))</f>
        <v>10.02</v>
      </c>
      <c r="P2214" s="3" t="n">
        <f aca="false">INDEX(Summary!$L$2:$L$201,MATCH($B2214,Summary!$A$2:$A$201,0))</f>
        <v>3</v>
      </c>
      <c r="Q2214" s="3" t="n">
        <f aca="false">INDEX(Summary!$M$2:$M$201,MATCH($B2214,Summary!$A$2:$A$201,0))</f>
        <v>3</v>
      </c>
      <c r="R2214" s="2" t="n">
        <f aca="false">INDEX(Summary!$N$2:$N$201,MATCH($B2214,Summary!$A$2:$A$201,0))</f>
        <v>10.68</v>
      </c>
      <c r="S2214" s="3" t="n">
        <f aca="false">INDEX(Summary!$O$2:$O$201,MATCH($B2214,Summary!$A$2:$A$201,0))</f>
        <v>5</v>
      </c>
      <c r="T2214" s="3" t="n">
        <f aca="false">INDEX(Summary!$P$2:$P$201,MATCH($B2214,Summary!$A$2:$A$201,0))</f>
        <v>4</v>
      </c>
      <c r="U2214" s="2" t="n">
        <f aca="false">INDEX(Summary!$Q$2:$Q$201,MATCH($B2214,Summary!$A$2:$A$201,0))</f>
        <v>13.73</v>
      </c>
      <c r="V2214" s="2" t="n">
        <f aca="false">INDEX(Summary!$R$2:$R$201,MATCH($B2214,Summary!$A$2:$A$201,0))</f>
        <v>16.07</v>
      </c>
      <c r="W2214" s="0" t="str">
        <f aca="false">INDEX(Summary!$S$2:$S$201,MATCH($B2214,Summary!$A$2:$A$201,0))</f>
        <v>Bronze</v>
      </c>
      <c r="X2214" s="2" t="n">
        <f aca="false">INDEX(Summary!$T$2:$T$201,MATCH($B2214,Summary!$A$2:$A$201,0))</f>
        <v>39.2</v>
      </c>
      <c r="Y2214" s="0" t="str">
        <f aca="false">INDEX('Reward Model'!$E$18:$E$37,MATCH($E2214,'Reward Model'!$A$18:$A$37,0))</f>
        <v>Medium</v>
      </c>
      <c r="Z2214" s="4" t="n">
        <f aca="false">ROUND(MIN(1,MAX('Reward Model'!$B$2,INDEX('Reward Model'!$C$12:$C$14,MATCH($K2214,'Reward Model'!$A$12:$A$14,0))/$J2214)),3)</f>
        <v>0.857</v>
      </c>
      <c r="AA2214" s="2" t="n">
        <f aca="false">IF($I2214="Correct",ROUND(INDEX('Reward Model'!$B$12:$B$14,MATCH($K2214,'Reward Model'!$A$12:$A$14,0))*Z2214,2),0)</f>
        <v>0</v>
      </c>
      <c r="AB2214" s="2" t="n">
        <f aca="false">IF($I2214="Correct",ROUND(INDEX('Reward Model'!$B$12:$B$14,MATCH($Y2214,'Reward Model'!$A$12:$A$14,0))*Z2214,2),0)</f>
        <v>0</v>
      </c>
    </row>
    <row r="2215" customFormat="false" ht="15" hidden="false" customHeight="false" outlineLevel="0" collapsed="false">
      <c r="A2215" s="0" t="s">
        <v>352</v>
      </c>
      <c r="B2215" s="0" t="s">
        <v>353</v>
      </c>
      <c r="C2215" s="0" t="s">
        <v>322</v>
      </c>
      <c r="D2215" s="0" t="s">
        <v>31</v>
      </c>
      <c r="E2215" s="0" t="n">
        <v>14</v>
      </c>
      <c r="F2215" s="0" t="s">
        <v>68</v>
      </c>
      <c r="G2215" s="0" t="s">
        <v>118</v>
      </c>
      <c r="H2215" s="0" t="s">
        <v>51</v>
      </c>
      <c r="I2215" s="0" t="s">
        <v>39</v>
      </c>
      <c r="J2215" s="0" t="n">
        <v>1.54</v>
      </c>
      <c r="K2215" s="0" t="s">
        <v>60</v>
      </c>
      <c r="L2215" s="0" t="n">
        <f aca="false">INDEX(Summary!$F$2:$F$201,MATCH($B2215,Summary!$A$2:$A$201,0))</f>
        <v>20</v>
      </c>
      <c r="M2215" s="0" t="n">
        <f aca="false">INDEX(Summary!$I$2:$I$201,MATCH($B2215,Summary!$A$2:$A$201,0))</f>
        <v>1</v>
      </c>
      <c r="N2215" s="0" t="n">
        <f aca="false">INDEX(Summary!$J$2:$J$201,MATCH($B2215,Summary!$A$2:$A$201,0))</f>
        <v>4</v>
      </c>
      <c r="O2215" s="2" t="n">
        <f aca="false">INDEX(Summary!$K$2:$K$201,MATCH($B2215,Summary!$A$2:$A$201,0))</f>
        <v>10.02</v>
      </c>
      <c r="P2215" s="3" t="n">
        <f aca="false">INDEX(Summary!$L$2:$L$201,MATCH($B2215,Summary!$A$2:$A$201,0))</f>
        <v>3</v>
      </c>
      <c r="Q2215" s="3" t="n">
        <f aca="false">INDEX(Summary!$M$2:$M$201,MATCH($B2215,Summary!$A$2:$A$201,0))</f>
        <v>3</v>
      </c>
      <c r="R2215" s="2" t="n">
        <f aca="false">INDEX(Summary!$N$2:$N$201,MATCH($B2215,Summary!$A$2:$A$201,0))</f>
        <v>10.68</v>
      </c>
      <c r="S2215" s="3" t="n">
        <f aca="false">INDEX(Summary!$O$2:$O$201,MATCH($B2215,Summary!$A$2:$A$201,0))</f>
        <v>5</v>
      </c>
      <c r="T2215" s="3" t="n">
        <f aca="false">INDEX(Summary!$P$2:$P$201,MATCH($B2215,Summary!$A$2:$A$201,0))</f>
        <v>4</v>
      </c>
      <c r="U2215" s="2" t="n">
        <f aca="false">INDEX(Summary!$Q$2:$Q$201,MATCH($B2215,Summary!$A$2:$A$201,0))</f>
        <v>13.73</v>
      </c>
      <c r="V2215" s="2" t="n">
        <f aca="false">INDEX(Summary!$R$2:$R$201,MATCH($B2215,Summary!$A$2:$A$201,0))</f>
        <v>16.07</v>
      </c>
      <c r="W2215" s="0" t="str">
        <f aca="false">INDEX(Summary!$S$2:$S$201,MATCH($B2215,Summary!$A$2:$A$201,0))</f>
        <v>Bronze</v>
      </c>
      <c r="X2215" s="2" t="n">
        <f aca="false">INDEX(Summary!$T$2:$T$201,MATCH($B2215,Summary!$A$2:$A$201,0))</f>
        <v>39.2</v>
      </c>
      <c r="Y2215" s="0" t="str">
        <f aca="false">INDEX('Reward Model'!$E$18:$E$37,MATCH($E2215,'Reward Model'!$A$18:$A$37,0))</f>
        <v>Medium</v>
      </c>
      <c r="Z2215" s="4" t="n">
        <f aca="false">ROUND(MIN(1,MAX('Reward Model'!$B$2,INDEX('Reward Model'!$C$12:$C$14,MATCH($K2215,'Reward Model'!$A$12:$A$14,0))/$J2215)),3)</f>
        <v>1</v>
      </c>
      <c r="AA2215" s="2" t="n">
        <f aca="false">IF($I2215="Correct",ROUND(INDEX('Reward Model'!$B$12:$B$14,MATCH($K2215,'Reward Model'!$A$12:$A$14,0))*Z2215,2),0)</f>
        <v>0</v>
      </c>
      <c r="AB2215" s="2" t="n">
        <f aca="false">IF($I2215="Correct",ROUND(INDEX('Reward Model'!$B$12:$B$14,MATCH($Y2215,'Reward Model'!$A$12:$A$14,0))*Z2215,2),0)</f>
        <v>0</v>
      </c>
    </row>
    <row r="2216" customFormat="false" ht="15" hidden="false" customHeight="false" outlineLevel="0" collapsed="false">
      <c r="A2216" s="0" t="s">
        <v>352</v>
      </c>
      <c r="B2216" s="0" t="s">
        <v>353</v>
      </c>
      <c r="C2216" s="0" t="s">
        <v>322</v>
      </c>
      <c r="D2216" s="0" t="s">
        <v>31</v>
      </c>
      <c r="E2216" s="0" t="n">
        <v>15</v>
      </c>
      <c r="F2216" s="0" t="s">
        <v>69</v>
      </c>
      <c r="G2216" s="0" t="s">
        <v>70</v>
      </c>
      <c r="H2216" s="0" t="s">
        <v>70</v>
      </c>
      <c r="I2216" s="0" t="s">
        <v>34</v>
      </c>
      <c r="J2216" s="0" t="n">
        <v>1.72</v>
      </c>
      <c r="K2216" s="0" t="s">
        <v>60</v>
      </c>
      <c r="L2216" s="0" t="n">
        <f aca="false">INDEX(Summary!$F$2:$F$201,MATCH($B2216,Summary!$A$2:$A$201,0))</f>
        <v>20</v>
      </c>
      <c r="M2216" s="0" t="n">
        <f aca="false">INDEX(Summary!$I$2:$I$201,MATCH($B2216,Summary!$A$2:$A$201,0))</f>
        <v>1</v>
      </c>
      <c r="N2216" s="0" t="n">
        <f aca="false">INDEX(Summary!$J$2:$J$201,MATCH($B2216,Summary!$A$2:$A$201,0))</f>
        <v>4</v>
      </c>
      <c r="O2216" s="2" t="n">
        <f aca="false">INDEX(Summary!$K$2:$K$201,MATCH($B2216,Summary!$A$2:$A$201,0))</f>
        <v>10.02</v>
      </c>
      <c r="P2216" s="3" t="n">
        <f aca="false">INDEX(Summary!$L$2:$L$201,MATCH($B2216,Summary!$A$2:$A$201,0))</f>
        <v>3</v>
      </c>
      <c r="Q2216" s="3" t="n">
        <f aca="false">INDEX(Summary!$M$2:$M$201,MATCH($B2216,Summary!$A$2:$A$201,0))</f>
        <v>3</v>
      </c>
      <c r="R2216" s="2" t="n">
        <f aca="false">INDEX(Summary!$N$2:$N$201,MATCH($B2216,Summary!$A$2:$A$201,0))</f>
        <v>10.68</v>
      </c>
      <c r="S2216" s="3" t="n">
        <f aca="false">INDEX(Summary!$O$2:$O$201,MATCH($B2216,Summary!$A$2:$A$201,0))</f>
        <v>5</v>
      </c>
      <c r="T2216" s="3" t="n">
        <f aca="false">INDEX(Summary!$P$2:$P$201,MATCH($B2216,Summary!$A$2:$A$201,0))</f>
        <v>4</v>
      </c>
      <c r="U2216" s="2" t="n">
        <f aca="false">INDEX(Summary!$Q$2:$Q$201,MATCH($B2216,Summary!$A$2:$A$201,0))</f>
        <v>13.73</v>
      </c>
      <c r="V2216" s="2" t="n">
        <f aca="false">INDEX(Summary!$R$2:$R$201,MATCH($B2216,Summary!$A$2:$A$201,0))</f>
        <v>16.07</v>
      </c>
      <c r="W2216" s="0" t="str">
        <f aca="false">INDEX(Summary!$S$2:$S$201,MATCH($B2216,Summary!$A$2:$A$201,0))</f>
        <v>Bronze</v>
      </c>
      <c r="X2216" s="2" t="n">
        <f aca="false">INDEX(Summary!$T$2:$T$201,MATCH($B2216,Summary!$A$2:$A$201,0))</f>
        <v>39.2</v>
      </c>
      <c r="Y2216" s="0" t="str">
        <f aca="false">INDEX('Reward Model'!$E$18:$E$37,MATCH($E2216,'Reward Model'!$A$18:$A$37,0))</f>
        <v>Medium</v>
      </c>
      <c r="Z2216" s="4" t="n">
        <f aca="false">ROUND(MIN(1,MAX('Reward Model'!$B$2,INDEX('Reward Model'!$C$12:$C$14,MATCH($K2216,'Reward Model'!$A$12:$A$14,0))/$J2216)),3)</f>
        <v>1</v>
      </c>
      <c r="AA2216" s="2" t="n">
        <f aca="false">IF($I2216="Correct",ROUND(INDEX('Reward Model'!$B$12:$B$14,MATCH($K2216,'Reward Model'!$A$12:$A$14,0))*Z2216,2),0)</f>
        <v>2</v>
      </c>
      <c r="AB2216" s="2" t="n">
        <f aca="false">IF($I2216="Correct",ROUND(INDEX('Reward Model'!$B$12:$B$14,MATCH($Y2216,'Reward Model'!$A$12:$A$14,0))*Z2216,2),0)</f>
        <v>2</v>
      </c>
    </row>
    <row r="2217" customFormat="false" ht="15" hidden="false" customHeight="false" outlineLevel="0" collapsed="false">
      <c r="A2217" s="0" t="s">
        <v>352</v>
      </c>
      <c r="B2217" s="0" t="s">
        <v>353</v>
      </c>
      <c r="C2217" s="0" t="s">
        <v>322</v>
      </c>
      <c r="D2217" s="0" t="s">
        <v>31</v>
      </c>
      <c r="E2217" s="0" t="n">
        <v>16</v>
      </c>
      <c r="F2217" s="0" t="s">
        <v>71</v>
      </c>
      <c r="G2217" s="0" t="s">
        <v>104</v>
      </c>
      <c r="H2217" s="0" t="s">
        <v>72</v>
      </c>
      <c r="I2217" s="0" t="s">
        <v>39</v>
      </c>
      <c r="J2217" s="0" t="n">
        <v>1.99</v>
      </c>
      <c r="K2217" s="0" t="s">
        <v>73</v>
      </c>
      <c r="L2217" s="0" t="n">
        <f aca="false">INDEX(Summary!$F$2:$F$201,MATCH($B2217,Summary!$A$2:$A$201,0))</f>
        <v>20</v>
      </c>
      <c r="M2217" s="0" t="n">
        <f aca="false">INDEX(Summary!$I$2:$I$201,MATCH($B2217,Summary!$A$2:$A$201,0))</f>
        <v>1</v>
      </c>
      <c r="N2217" s="0" t="n">
        <f aca="false">INDEX(Summary!$J$2:$J$201,MATCH($B2217,Summary!$A$2:$A$201,0))</f>
        <v>4</v>
      </c>
      <c r="O2217" s="2" t="n">
        <f aca="false">INDEX(Summary!$K$2:$K$201,MATCH($B2217,Summary!$A$2:$A$201,0))</f>
        <v>10.02</v>
      </c>
      <c r="P2217" s="3" t="n">
        <f aca="false">INDEX(Summary!$L$2:$L$201,MATCH($B2217,Summary!$A$2:$A$201,0))</f>
        <v>3</v>
      </c>
      <c r="Q2217" s="3" t="n">
        <f aca="false">INDEX(Summary!$M$2:$M$201,MATCH($B2217,Summary!$A$2:$A$201,0))</f>
        <v>3</v>
      </c>
      <c r="R2217" s="2" t="n">
        <f aca="false">INDEX(Summary!$N$2:$N$201,MATCH($B2217,Summary!$A$2:$A$201,0))</f>
        <v>10.68</v>
      </c>
      <c r="S2217" s="3" t="n">
        <f aca="false">INDEX(Summary!$O$2:$O$201,MATCH($B2217,Summary!$A$2:$A$201,0))</f>
        <v>5</v>
      </c>
      <c r="T2217" s="3" t="n">
        <f aca="false">INDEX(Summary!$P$2:$P$201,MATCH($B2217,Summary!$A$2:$A$201,0))</f>
        <v>4</v>
      </c>
      <c r="U2217" s="2" t="n">
        <f aca="false">INDEX(Summary!$Q$2:$Q$201,MATCH($B2217,Summary!$A$2:$A$201,0))</f>
        <v>13.73</v>
      </c>
      <c r="V2217" s="2" t="n">
        <f aca="false">INDEX(Summary!$R$2:$R$201,MATCH($B2217,Summary!$A$2:$A$201,0))</f>
        <v>16.07</v>
      </c>
      <c r="W2217" s="0" t="str">
        <f aca="false">INDEX(Summary!$S$2:$S$201,MATCH($B2217,Summary!$A$2:$A$201,0))</f>
        <v>Bronze</v>
      </c>
      <c r="X2217" s="2" t="n">
        <f aca="false">INDEX(Summary!$T$2:$T$201,MATCH($B2217,Summary!$A$2:$A$201,0))</f>
        <v>39.2</v>
      </c>
      <c r="Y2217" s="0" t="str">
        <f aca="false">INDEX('Reward Model'!$E$18:$E$37,MATCH($E2217,'Reward Model'!$A$18:$A$37,0))</f>
        <v>High</v>
      </c>
      <c r="Z2217" s="4" t="n">
        <f aca="false">ROUND(MIN(1,MAX('Reward Model'!$B$2,INDEX('Reward Model'!$C$12:$C$14,MATCH($K2217,'Reward Model'!$A$12:$A$14,0))/$J2217)),3)</f>
        <v>1</v>
      </c>
      <c r="AA2217" s="2" t="n">
        <f aca="false">IF($I2217="Correct",ROUND(INDEX('Reward Model'!$B$12:$B$14,MATCH($K2217,'Reward Model'!$A$12:$A$14,0))*Z2217,2),0)</f>
        <v>0</v>
      </c>
      <c r="AB2217" s="2" t="n">
        <f aca="false">IF($I2217="Correct",ROUND(INDEX('Reward Model'!$B$12:$B$14,MATCH($Y2217,'Reward Model'!$A$12:$A$14,0))*Z2217,2),0)</f>
        <v>0</v>
      </c>
    </row>
    <row r="2218" customFormat="false" ht="15" hidden="false" customHeight="false" outlineLevel="0" collapsed="false">
      <c r="A2218" s="0" t="s">
        <v>352</v>
      </c>
      <c r="B2218" s="0" t="s">
        <v>353</v>
      </c>
      <c r="C2218" s="0" t="s">
        <v>322</v>
      </c>
      <c r="D2218" s="0" t="s">
        <v>31</v>
      </c>
      <c r="E2218" s="0" t="n">
        <v>17</v>
      </c>
      <c r="F2218" s="0" t="s">
        <v>74</v>
      </c>
      <c r="G2218" s="0" t="s">
        <v>113</v>
      </c>
      <c r="H2218" s="0" t="s">
        <v>75</v>
      </c>
      <c r="I2218" s="0" t="s">
        <v>39</v>
      </c>
      <c r="J2218" s="0" t="n">
        <v>2.56</v>
      </c>
      <c r="K2218" s="0" t="s">
        <v>73</v>
      </c>
      <c r="L2218" s="0" t="n">
        <f aca="false">INDEX(Summary!$F$2:$F$201,MATCH($B2218,Summary!$A$2:$A$201,0))</f>
        <v>20</v>
      </c>
      <c r="M2218" s="0" t="n">
        <f aca="false">INDEX(Summary!$I$2:$I$201,MATCH($B2218,Summary!$A$2:$A$201,0))</f>
        <v>1</v>
      </c>
      <c r="N2218" s="0" t="n">
        <f aca="false">INDEX(Summary!$J$2:$J$201,MATCH($B2218,Summary!$A$2:$A$201,0))</f>
        <v>4</v>
      </c>
      <c r="O2218" s="2" t="n">
        <f aca="false">INDEX(Summary!$K$2:$K$201,MATCH($B2218,Summary!$A$2:$A$201,0))</f>
        <v>10.02</v>
      </c>
      <c r="P2218" s="3" t="n">
        <f aca="false">INDEX(Summary!$L$2:$L$201,MATCH($B2218,Summary!$A$2:$A$201,0))</f>
        <v>3</v>
      </c>
      <c r="Q2218" s="3" t="n">
        <f aca="false">INDEX(Summary!$M$2:$M$201,MATCH($B2218,Summary!$A$2:$A$201,0))</f>
        <v>3</v>
      </c>
      <c r="R2218" s="2" t="n">
        <f aca="false">INDEX(Summary!$N$2:$N$201,MATCH($B2218,Summary!$A$2:$A$201,0))</f>
        <v>10.68</v>
      </c>
      <c r="S2218" s="3" t="n">
        <f aca="false">INDEX(Summary!$O$2:$O$201,MATCH($B2218,Summary!$A$2:$A$201,0))</f>
        <v>5</v>
      </c>
      <c r="T2218" s="3" t="n">
        <f aca="false">INDEX(Summary!$P$2:$P$201,MATCH($B2218,Summary!$A$2:$A$201,0))</f>
        <v>4</v>
      </c>
      <c r="U2218" s="2" t="n">
        <f aca="false">INDEX(Summary!$Q$2:$Q$201,MATCH($B2218,Summary!$A$2:$A$201,0))</f>
        <v>13.73</v>
      </c>
      <c r="V2218" s="2" t="n">
        <f aca="false">INDEX(Summary!$R$2:$R$201,MATCH($B2218,Summary!$A$2:$A$201,0))</f>
        <v>16.07</v>
      </c>
      <c r="W2218" s="0" t="str">
        <f aca="false">INDEX(Summary!$S$2:$S$201,MATCH($B2218,Summary!$A$2:$A$201,0))</f>
        <v>Bronze</v>
      </c>
      <c r="X2218" s="2" t="n">
        <f aca="false">INDEX(Summary!$T$2:$T$201,MATCH($B2218,Summary!$A$2:$A$201,0))</f>
        <v>39.2</v>
      </c>
      <c r="Y2218" s="0" t="str">
        <f aca="false">INDEX('Reward Model'!$E$18:$E$37,MATCH($E2218,'Reward Model'!$A$18:$A$37,0))</f>
        <v>High</v>
      </c>
      <c r="Z2218" s="4" t="n">
        <f aca="false">ROUND(MIN(1,MAX('Reward Model'!$B$2,INDEX('Reward Model'!$C$12:$C$14,MATCH($K2218,'Reward Model'!$A$12:$A$14,0))/$J2218)),3)</f>
        <v>0.781</v>
      </c>
      <c r="AA2218" s="2" t="n">
        <f aca="false">IF($I2218="Correct",ROUND(INDEX('Reward Model'!$B$12:$B$14,MATCH($K2218,'Reward Model'!$A$12:$A$14,0))*Z2218,2),0)</f>
        <v>0</v>
      </c>
      <c r="AB2218" s="2" t="n">
        <f aca="false">IF($I2218="Correct",ROUND(INDEX('Reward Model'!$B$12:$B$14,MATCH($Y2218,'Reward Model'!$A$12:$A$14,0))*Z2218,2),0)</f>
        <v>0</v>
      </c>
    </row>
    <row r="2219" customFormat="false" ht="15" hidden="false" customHeight="false" outlineLevel="0" collapsed="false">
      <c r="A2219" s="0" t="s">
        <v>352</v>
      </c>
      <c r="B2219" s="0" t="s">
        <v>353</v>
      </c>
      <c r="C2219" s="0" t="s">
        <v>322</v>
      </c>
      <c r="D2219" s="0" t="s">
        <v>31</v>
      </c>
      <c r="E2219" s="0" t="n">
        <v>18</v>
      </c>
      <c r="F2219" s="0" t="s">
        <v>76</v>
      </c>
      <c r="G2219" s="0" t="s">
        <v>88</v>
      </c>
      <c r="H2219" s="0" t="s">
        <v>77</v>
      </c>
      <c r="I2219" s="0" t="s">
        <v>39</v>
      </c>
      <c r="J2219" s="0" t="n">
        <v>2.42</v>
      </c>
      <c r="K2219" s="0" t="s">
        <v>73</v>
      </c>
      <c r="L2219" s="0" t="n">
        <f aca="false">INDEX(Summary!$F$2:$F$201,MATCH($B2219,Summary!$A$2:$A$201,0))</f>
        <v>20</v>
      </c>
      <c r="M2219" s="0" t="n">
        <f aca="false">INDEX(Summary!$I$2:$I$201,MATCH($B2219,Summary!$A$2:$A$201,0))</f>
        <v>1</v>
      </c>
      <c r="N2219" s="0" t="n">
        <f aca="false">INDEX(Summary!$J$2:$J$201,MATCH($B2219,Summary!$A$2:$A$201,0))</f>
        <v>4</v>
      </c>
      <c r="O2219" s="2" t="n">
        <f aca="false">INDEX(Summary!$K$2:$K$201,MATCH($B2219,Summary!$A$2:$A$201,0))</f>
        <v>10.02</v>
      </c>
      <c r="P2219" s="3" t="n">
        <f aca="false">INDEX(Summary!$L$2:$L$201,MATCH($B2219,Summary!$A$2:$A$201,0))</f>
        <v>3</v>
      </c>
      <c r="Q2219" s="3" t="n">
        <f aca="false">INDEX(Summary!$M$2:$M$201,MATCH($B2219,Summary!$A$2:$A$201,0))</f>
        <v>3</v>
      </c>
      <c r="R2219" s="2" t="n">
        <f aca="false">INDEX(Summary!$N$2:$N$201,MATCH($B2219,Summary!$A$2:$A$201,0))</f>
        <v>10.68</v>
      </c>
      <c r="S2219" s="3" t="n">
        <f aca="false">INDEX(Summary!$O$2:$O$201,MATCH($B2219,Summary!$A$2:$A$201,0))</f>
        <v>5</v>
      </c>
      <c r="T2219" s="3" t="n">
        <f aca="false">INDEX(Summary!$P$2:$P$201,MATCH($B2219,Summary!$A$2:$A$201,0))</f>
        <v>4</v>
      </c>
      <c r="U2219" s="2" t="n">
        <f aca="false">INDEX(Summary!$Q$2:$Q$201,MATCH($B2219,Summary!$A$2:$A$201,0))</f>
        <v>13.73</v>
      </c>
      <c r="V2219" s="2" t="n">
        <f aca="false">INDEX(Summary!$R$2:$R$201,MATCH($B2219,Summary!$A$2:$A$201,0))</f>
        <v>16.07</v>
      </c>
      <c r="W2219" s="0" t="str">
        <f aca="false">INDEX(Summary!$S$2:$S$201,MATCH($B2219,Summary!$A$2:$A$201,0))</f>
        <v>Bronze</v>
      </c>
      <c r="X2219" s="2" t="n">
        <f aca="false">INDEX(Summary!$T$2:$T$201,MATCH($B2219,Summary!$A$2:$A$201,0))</f>
        <v>39.2</v>
      </c>
      <c r="Y2219" s="0" t="str">
        <f aca="false">INDEX('Reward Model'!$E$18:$E$37,MATCH($E2219,'Reward Model'!$A$18:$A$37,0))</f>
        <v>High</v>
      </c>
      <c r="Z2219" s="4" t="n">
        <f aca="false">ROUND(MIN(1,MAX('Reward Model'!$B$2,INDEX('Reward Model'!$C$12:$C$14,MATCH($K2219,'Reward Model'!$A$12:$A$14,0))/$J2219)),3)</f>
        <v>0.826</v>
      </c>
      <c r="AA2219" s="2" t="n">
        <f aca="false">IF($I2219="Correct",ROUND(INDEX('Reward Model'!$B$12:$B$14,MATCH($K2219,'Reward Model'!$A$12:$A$14,0))*Z2219,2),0)</f>
        <v>0</v>
      </c>
      <c r="AB2219" s="2" t="n">
        <f aca="false">IF($I2219="Correct",ROUND(INDEX('Reward Model'!$B$12:$B$14,MATCH($Y2219,'Reward Model'!$A$12:$A$14,0))*Z2219,2),0)</f>
        <v>0</v>
      </c>
    </row>
    <row r="2220" customFormat="false" ht="15" hidden="false" customHeight="false" outlineLevel="0" collapsed="false">
      <c r="A2220" s="0" t="s">
        <v>352</v>
      </c>
      <c r="B2220" s="0" t="s">
        <v>353</v>
      </c>
      <c r="C2220" s="0" t="s">
        <v>322</v>
      </c>
      <c r="D2220" s="0" t="s">
        <v>31</v>
      </c>
      <c r="E2220" s="0" t="n">
        <v>19</v>
      </c>
      <c r="F2220" s="0" t="s">
        <v>78</v>
      </c>
      <c r="G2220" s="0" t="s">
        <v>80</v>
      </c>
      <c r="H2220" s="0" t="s">
        <v>80</v>
      </c>
      <c r="I2220" s="0" t="s">
        <v>34</v>
      </c>
      <c r="J2220" s="0" t="n">
        <v>1.27</v>
      </c>
      <c r="K2220" s="0" t="s">
        <v>73</v>
      </c>
      <c r="L2220" s="0" t="n">
        <f aca="false">INDEX(Summary!$F$2:$F$201,MATCH($B2220,Summary!$A$2:$A$201,0))</f>
        <v>20</v>
      </c>
      <c r="M2220" s="0" t="n">
        <f aca="false">INDEX(Summary!$I$2:$I$201,MATCH($B2220,Summary!$A$2:$A$201,0))</f>
        <v>1</v>
      </c>
      <c r="N2220" s="0" t="n">
        <f aca="false">INDEX(Summary!$J$2:$J$201,MATCH($B2220,Summary!$A$2:$A$201,0))</f>
        <v>4</v>
      </c>
      <c r="O2220" s="2" t="n">
        <f aca="false">INDEX(Summary!$K$2:$K$201,MATCH($B2220,Summary!$A$2:$A$201,0))</f>
        <v>10.02</v>
      </c>
      <c r="P2220" s="3" t="n">
        <f aca="false">INDEX(Summary!$L$2:$L$201,MATCH($B2220,Summary!$A$2:$A$201,0))</f>
        <v>3</v>
      </c>
      <c r="Q2220" s="3" t="n">
        <f aca="false">INDEX(Summary!$M$2:$M$201,MATCH($B2220,Summary!$A$2:$A$201,0))</f>
        <v>3</v>
      </c>
      <c r="R2220" s="2" t="n">
        <f aca="false">INDEX(Summary!$N$2:$N$201,MATCH($B2220,Summary!$A$2:$A$201,0))</f>
        <v>10.68</v>
      </c>
      <c r="S2220" s="3" t="n">
        <f aca="false">INDEX(Summary!$O$2:$O$201,MATCH($B2220,Summary!$A$2:$A$201,0))</f>
        <v>5</v>
      </c>
      <c r="T2220" s="3" t="n">
        <f aca="false">INDEX(Summary!$P$2:$P$201,MATCH($B2220,Summary!$A$2:$A$201,0))</f>
        <v>4</v>
      </c>
      <c r="U2220" s="2" t="n">
        <f aca="false">INDEX(Summary!$Q$2:$Q$201,MATCH($B2220,Summary!$A$2:$A$201,0))</f>
        <v>13.73</v>
      </c>
      <c r="V2220" s="2" t="n">
        <f aca="false">INDEX(Summary!$R$2:$R$201,MATCH($B2220,Summary!$A$2:$A$201,0))</f>
        <v>16.07</v>
      </c>
      <c r="W2220" s="0" t="str">
        <f aca="false">INDEX(Summary!$S$2:$S$201,MATCH($B2220,Summary!$A$2:$A$201,0))</f>
        <v>Bronze</v>
      </c>
      <c r="X2220" s="2" t="n">
        <f aca="false">INDEX(Summary!$T$2:$T$201,MATCH($B2220,Summary!$A$2:$A$201,0))</f>
        <v>39.2</v>
      </c>
      <c r="Y2220" s="0" t="str">
        <f aca="false">INDEX('Reward Model'!$E$18:$E$37,MATCH($E2220,'Reward Model'!$A$18:$A$37,0))</f>
        <v>High</v>
      </c>
      <c r="Z2220" s="4" t="n">
        <f aca="false">ROUND(MIN(1,MAX('Reward Model'!$B$2,INDEX('Reward Model'!$C$12:$C$14,MATCH($K2220,'Reward Model'!$A$12:$A$14,0))/$J2220)),3)</f>
        <v>1</v>
      </c>
      <c r="AA2220" s="2" t="n">
        <f aca="false">IF($I2220="Correct",ROUND(INDEX('Reward Model'!$B$12:$B$14,MATCH($K2220,'Reward Model'!$A$12:$A$14,0))*Z2220,2),0)</f>
        <v>3</v>
      </c>
      <c r="AB2220" s="2" t="n">
        <f aca="false">IF($I2220="Correct",ROUND(INDEX('Reward Model'!$B$12:$B$14,MATCH($Y2220,'Reward Model'!$A$12:$A$14,0))*Z2220,2),0)</f>
        <v>3</v>
      </c>
    </row>
    <row r="2221" customFormat="false" ht="15" hidden="false" customHeight="false" outlineLevel="0" collapsed="false">
      <c r="A2221" s="0" t="s">
        <v>352</v>
      </c>
      <c r="B2221" s="0" t="s">
        <v>353</v>
      </c>
      <c r="C2221" s="0" t="s">
        <v>322</v>
      </c>
      <c r="D2221" s="0" t="s">
        <v>31</v>
      </c>
      <c r="E2221" s="0" t="n">
        <v>20</v>
      </c>
      <c r="F2221" s="0" t="s">
        <v>81</v>
      </c>
      <c r="G2221" s="0" t="s">
        <v>119</v>
      </c>
      <c r="H2221" s="0" t="s">
        <v>83</v>
      </c>
      <c r="I2221" s="0" t="s">
        <v>39</v>
      </c>
      <c r="J2221" s="0" t="n">
        <v>1.78</v>
      </c>
      <c r="K2221" s="0" t="s">
        <v>73</v>
      </c>
      <c r="L2221" s="0" t="n">
        <f aca="false">INDEX(Summary!$F$2:$F$201,MATCH($B2221,Summary!$A$2:$A$201,0))</f>
        <v>20</v>
      </c>
      <c r="M2221" s="0" t="n">
        <f aca="false">INDEX(Summary!$I$2:$I$201,MATCH($B2221,Summary!$A$2:$A$201,0))</f>
        <v>1</v>
      </c>
      <c r="N2221" s="0" t="n">
        <f aca="false">INDEX(Summary!$J$2:$J$201,MATCH($B2221,Summary!$A$2:$A$201,0))</f>
        <v>4</v>
      </c>
      <c r="O2221" s="2" t="n">
        <f aca="false">INDEX(Summary!$K$2:$K$201,MATCH($B2221,Summary!$A$2:$A$201,0))</f>
        <v>10.02</v>
      </c>
      <c r="P2221" s="3" t="n">
        <f aca="false">INDEX(Summary!$L$2:$L$201,MATCH($B2221,Summary!$A$2:$A$201,0))</f>
        <v>3</v>
      </c>
      <c r="Q2221" s="3" t="n">
        <f aca="false">INDEX(Summary!$M$2:$M$201,MATCH($B2221,Summary!$A$2:$A$201,0))</f>
        <v>3</v>
      </c>
      <c r="R2221" s="2" t="n">
        <f aca="false">INDEX(Summary!$N$2:$N$201,MATCH($B2221,Summary!$A$2:$A$201,0))</f>
        <v>10.68</v>
      </c>
      <c r="S2221" s="3" t="n">
        <f aca="false">INDEX(Summary!$O$2:$O$201,MATCH($B2221,Summary!$A$2:$A$201,0))</f>
        <v>5</v>
      </c>
      <c r="T2221" s="3" t="n">
        <f aca="false">INDEX(Summary!$P$2:$P$201,MATCH($B2221,Summary!$A$2:$A$201,0))</f>
        <v>4</v>
      </c>
      <c r="U2221" s="2" t="n">
        <f aca="false">INDEX(Summary!$Q$2:$Q$201,MATCH($B2221,Summary!$A$2:$A$201,0))</f>
        <v>13.73</v>
      </c>
      <c r="V2221" s="2" t="n">
        <f aca="false">INDEX(Summary!$R$2:$R$201,MATCH($B2221,Summary!$A$2:$A$201,0))</f>
        <v>16.07</v>
      </c>
      <c r="W2221" s="0" t="str">
        <f aca="false">INDEX(Summary!$S$2:$S$201,MATCH($B2221,Summary!$A$2:$A$201,0))</f>
        <v>Bronze</v>
      </c>
      <c r="X2221" s="2" t="n">
        <f aca="false">INDEX(Summary!$T$2:$T$201,MATCH($B2221,Summary!$A$2:$A$201,0))</f>
        <v>39.2</v>
      </c>
      <c r="Y2221" s="0" t="str">
        <f aca="false">INDEX('Reward Model'!$E$18:$E$37,MATCH($E2221,'Reward Model'!$A$18:$A$37,0))</f>
        <v>High</v>
      </c>
      <c r="Z2221" s="4" t="n">
        <f aca="false">ROUND(MIN(1,MAX('Reward Model'!$B$2,INDEX('Reward Model'!$C$12:$C$14,MATCH($K2221,'Reward Model'!$A$12:$A$14,0))/$J2221)),3)</f>
        <v>1</v>
      </c>
      <c r="AA2221" s="2" t="n">
        <f aca="false">IF($I2221="Correct",ROUND(INDEX('Reward Model'!$B$12:$B$14,MATCH($K2221,'Reward Model'!$A$12:$A$14,0))*Z2221,2),0)</f>
        <v>0</v>
      </c>
      <c r="AB2221" s="2" t="n">
        <f aca="false">IF($I2221="Correct",ROUND(INDEX('Reward Model'!$B$12:$B$14,MATCH($Y2221,'Reward Model'!$A$12:$A$14,0))*Z2221,2),0)</f>
        <v>0</v>
      </c>
    </row>
    <row r="2222" customFormat="false" ht="15" hidden="false" customHeight="false" outlineLevel="0" collapsed="false">
      <c r="A2222" s="0" t="s">
        <v>354</v>
      </c>
      <c r="B2222" s="0" t="s">
        <v>355</v>
      </c>
      <c r="C2222" s="0" t="s">
        <v>322</v>
      </c>
      <c r="D2222" s="0" t="s">
        <v>31</v>
      </c>
      <c r="E2222" s="0" t="n">
        <v>1</v>
      </c>
      <c r="F2222" s="0" t="s">
        <v>32</v>
      </c>
      <c r="G2222" s="0" t="s">
        <v>33</v>
      </c>
      <c r="H2222" s="0" t="s">
        <v>33</v>
      </c>
      <c r="I2222" s="0" t="s">
        <v>34</v>
      </c>
      <c r="J2222" s="0" t="n">
        <v>1.73</v>
      </c>
      <c r="K2222" s="0" t="s">
        <v>35</v>
      </c>
      <c r="L2222" s="0" t="n">
        <f aca="false">INDEX(Summary!$F$2:$F$201,MATCH($B2222,Summary!$A$2:$A$201,0))</f>
        <v>20</v>
      </c>
      <c r="M2222" s="0" t="n">
        <f aca="false">INDEX(Summary!$I$2:$I$201,MATCH($B2222,Summary!$A$2:$A$201,0))</f>
        <v>2</v>
      </c>
      <c r="N2222" s="0" t="n">
        <f aca="false">INDEX(Summary!$J$2:$J$201,MATCH($B2222,Summary!$A$2:$A$201,0))</f>
        <v>3</v>
      </c>
      <c r="O2222" s="2" t="n">
        <f aca="false">INDEX(Summary!$K$2:$K$201,MATCH($B2222,Summary!$A$2:$A$201,0))</f>
        <v>8.15</v>
      </c>
      <c r="P2222" s="3" t="n">
        <f aca="false">INDEX(Summary!$L$2:$L$201,MATCH($B2222,Summary!$A$2:$A$201,0))</f>
        <v>4</v>
      </c>
      <c r="Q2222" s="3" t="n">
        <f aca="false">INDEX(Summary!$M$2:$M$201,MATCH($B2222,Summary!$A$2:$A$201,0))</f>
        <v>2</v>
      </c>
      <c r="R2222" s="2" t="n">
        <f aca="false">INDEX(Summary!$N$2:$N$201,MATCH($B2222,Summary!$A$2:$A$201,0))</f>
        <v>10.34</v>
      </c>
      <c r="S2222" s="3" t="n">
        <f aca="false">INDEX(Summary!$O$2:$O$201,MATCH($B2222,Summary!$A$2:$A$201,0))</f>
        <v>8</v>
      </c>
      <c r="T2222" s="3" t="n">
        <f aca="false">INDEX(Summary!$P$2:$P$201,MATCH($B2222,Summary!$A$2:$A$201,0))</f>
        <v>1</v>
      </c>
      <c r="U2222" s="2" t="n">
        <f aca="false">INDEX(Summary!$Q$2:$Q$201,MATCH($B2222,Summary!$A$2:$A$201,0))</f>
        <v>14.01</v>
      </c>
      <c r="V2222" s="2" t="n">
        <f aca="false">INDEX(Summary!$R$2:$R$201,MATCH($B2222,Summary!$A$2:$A$201,0))</f>
        <v>25.17</v>
      </c>
      <c r="W2222" s="0" t="str">
        <f aca="false">INDEX(Summary!$S$2:$S$201,MATCH($B2222,Summary!$A$2:$A$201,0))</f>
        <v>Silver</v>
      </c>
      <c r="X2222" s="2" t="n">
        <f aca="false">INDEX(Summary!$T$2:$T$201,MATCH($B2222,Summary!$A$2:$A$201,0))</f>
        <v>61.39</v>
      </c>
      <c r="Y2222" s="0" t="str">
        <f aca="false">INDEX('Reward Model'!$E$18:$E$37,MATCH($E2222,'Reward Model'!$A$18:$A$37,0))</f>
        <v>Medium</v>
      </c>
      <c r="Z2222" s="4" t="n">
        <f aca="false">ROUND(MIN(1,MAX('Reward Model'!$B$2,INDEX('Reward Model'!$C$12:$C$14,MATCH($K2222,'Reward Model'!$A$12:$A$14,0))/$J2222)),3)</f>
        <v>0.867</v>
      </c>
      <c r="AA2222" s="2" t="n">
        <f aca="false">IF($I2222="Correct",ROUND(INDEX('Reward Model'!$B$12:$B$14,MATCH($K2222,'Reward Model'!$A$12:$A$14,0))*Z2222,2),0)</f>
        <v>0.87</v>
      </c>
      <c r="AB2222" s="2" t="n">
        <f aca="false">IF($I2222="Correct",ROUND(INDEX('Reward Model'!$B$12:$B$14,MATCH($Y2222,'Reward Model'!$A$12:$A$14,0))*Z2222,2),0)</f>
        <v>1.73</v>
      </c>
    </row>
    <row r="2223" customFormat="false" ht="15" hidden="false" customHeight="false" outlineLevel="0" collapsed="false">
      <c r="A2223" s="0" t="s">
        <v>354</v>
      </c>
      <c r="B2223" s="0" t="s">
        <v>355</v>
      </c>
      <c r="C2223" s="0" t="s">
        <v>322</v>
      </c>
      <c r="D2223" s="0" t="s">
        <v>31</v>
      </c>
      <c r="E2223" s="0" t="n">
        <v>2</v>
      </c>
      <c r="F2223" s="0" t="s">
        <v>36</v>
      </c>
      <c r="G2223" s="0" t="s">
        <v>38</v>
      </c>
      <c r="H2223" s="0" t="s">
        <v>38</v>
      </c>
      <c r="I2223" s="0" t="s">
        <v>34</v>
      </c>
      <c r="J2223" s="0" t="n">
        <v>1.94</v>
      </c>
      <c r="K2223" s="0" t="s">
        <v>35</v>
      </c>
      <c r="L2223" s="0" t="n">
        <f aca="false">INDEX(Summary!$F$2:$F$201,MATCH($B2223,Summary!$A$2:$A$201,0))</f>
        <v>20</v>
      </c>
      <c r="M2223" s="0" t="n">
        <f aca="false">INDEX(Summary!$I$2:$I$201,MATCH($B2223,Summary!$A$2:$A$201,0))</f>
        <v>2</v>
      </c>
      <c r="N2223" s="0" t="n">
        <f aca="false">INDEX(Summary!$J$2:$J$201,MATCH($B2223,Summary!$A$2:$A$201,0))</f>
        <v>3</v>
      </c>
      <c r="O2223" s="2" t="n">
        <f aca="false">INDEX(Summary!$K$2:$K$201,MATCH($B2223,Summary!$A$2:$A$201,0))</f>
        <v>8.15</v>
      </c>
      <c r="P2223" s="3" t="n">
        <f aca="false">INDEX(Summary!$L$2:$L$201,MATCH($B2223,Summary!$A$2:$A$201,0))</f>
        <v>4</v>
      </c>
      <c r="Q2223" s="3" t="n">
        <f aca="false">INDEX(Summary!$M$2:$M$201,MATCH($B2223,Summary!$A$2:$A$201,0))</f>
        <v>2</v>
      </c>
      <c r="R2223" s="2" t="n">
        <f aca="false">INDEX(Summary!$N$2:$N$201,MATCH($B2223,Summary!$A$2:$A$201,0))</f>
        <v>10.34</v>
      </c>
      <c r="S2223" s="3" t="n">
        <f aca="false">INDEX(Summary!$O$2:$O$201,MATCH($B2223,Summary!$A$2:$A$201,0))</f>
        <v>8</v>
      </c>
      <c r="T2223" s="3" t="n">
        <f aca="false">INDEX(Summary!$P$2:$P$201,MATCH($B2223,Summary!$A$2:$A$201,0))</f>
        <v>1</v>
      </c>
      <c r="U2223" s="2" t="n">
        <f aca="false">INDEX(Summary!$Q$2:$Q$201,MATCH($B2223,Summary!$A$2:$A$201,0))</f>
        <v>14.01</v>
      </c>
      <c r="V2223" s="2" t="n">
        <f aca="false">INDEX(Summary!$R$2:$R$201,MATCH($B2223,Summary!$A$2:$A$201,0))</f>
        <v>25.17</v>
      </c>
      <c r="W2223" s="0" t="str">
        <f aca="false">INDEX(Summary!$S$2:$S$201,MATCH($B2223,Summary!$A$2:$A$201,0))</f>
        <v>Silver</v>
      </c>
      <c r="X2223" s="2" t="n">
        <f aca="false">INDEX(Summary!$T$2:$T$201,MATCH($B2223,Summary!$A$2:$A$201,0))</f>
        <v>61.39</v>
      </c>
      <c r="Y2223" s="0" t="str">
        <f aca="false">INDEX('Reward Model'!$E$18:$E$37,MATCH($E2223,'Reward Model'!$A$18:$A$37,0))</f>
        <v>Low</v>
      </c>
      <c r="Z2223" s="4" t="n">
        <f aca="false">ROUND(MIN(1,MAX('Reward Model'!$B$2,INDEX('Reward Model'!$C$12:$C$14,MATCH($K2223,'Reward Model'!$A$12:$A$14,0))/$J2223)),3)</f>
        <v>0.773</v>
      </c>
      <c r="AA2223" s="2" t="n">
        <f aca="false">IF($I2223="Correct",ROUND(INDEX('Reward Model'!$B$12:$B$14,MATCH($K2223,'Reward Model'!$A$12:$A$14,0))*Z2223,2),0)</f>
        <v>0.77</v>
      </c>
      <c r="AB2223" s="2" t="n">
        <f aca="false">IF($I2223="Correct",ROUND(INDEX('Reward Model'!$B$12:$B$14,MATCH($Y2223,'Reward Model'!$A$12:$A$14,0))*Z2223,2),0)</f>
        <v>0.77</v>
      </c>
    </row>
    <row r="2224" customFormat="false" ht="15" hidden="false" customHeight="false" outlineLevel="0" collapsed="false">
      <c r="A2224" s="0" t="s">
        <v>354</v>
      </c>
      <c r="B2224" s="0" t="s">
        <v>355</v>
      </c>
      <c r="C2224" s="0" t="s">
        <v>322</v>
      </c>
      <c r="D2224" s="0" t="s">
        <v>31</v>
      </c>
      <c r="E2224" s="0" t="n">
        <v>3</v>
      </c>
      <c r="F2224" s="0" t="s">
        <v>40</v>
      </c>
      <c r="G2224" s="0" t="s">
        <v>42</v>
      </c>
      <c r="H2224" s="0" t="s">
        <v>42</v>
      </c>
      <c r="I2224" s="0" t="s">
        <v>34</v>
      </c>
      <c r="J2224" s="0" t="n">
        <v>1.06</v>
      </c>
      <c r="K2224" s="0" t="s">
        <v>35</v>
      </c>
      <c r="L2224" s="0" t="n">
        <f aca="false">INDEX(Summary!$F$2:$F$201,MATCH($B2224,Summary!$A$2:$A$201,0))</f>
        <v>20</v>
      </c>
      <c r="M2224" s="0" t="n">
        <f aca="false">INDEX(Summary!$I$2:$I$201,MATCH($B2224,Summary!$A$2:$A$201,0))</f>
        <v>2</v>
      </c>
      <c r="N2224" s="0" t="n">
        <f aca="false">INDEX(Summary!$J$2:$J$201,MATCH($B2224,Summary!$A$2:$A$201,0))</f>
        <v>3</v>
      </c>
      <c r="O2224" s="2" t="n">
        <f aca="false">INDEX(Summary!$K$2:$K$201,MATCH($B2224,Summary!$A$2:$A$201,0))</f>
        <v>8.15</v>
      </c>
      <c r="P2224" s="3" t="n">
        <f aca="false">INDEX(Summary!$L$2:$L$201,MATCH($B2224,Summary!$A$2:$A$201,0))</f>
        <v>4</v>
      </c>
      <c r="Q2224" s="3" t="n">
        <f aca="false">INDEX(Summary!$M$2:$M$201,MATCH($B2224,Summary!$A$2:$A$201,0))</f>
        <v>2</v>
      </c>
      <c r="R2224" s="2" t="n">
        <f aca="false">INDEX(Summary!$N$2:$N$201,MATCH($B2224,Summary!$A$2:$A$201,0))</f>
        <v>10.34</v>
      </c>
      <c r="S2224" s="3" t="n">
        <f aca="false">INDEX(Summary!$O$2:$O$201,MATCH($B2224,Summary!$A$2:$A$201,0))</f>
        <v>8</v>
      </c>
      <c r="T2224" s="3" t="n">
        <f aca="false">INDEX(Summary!$P$2:$P$201,MATCH($B2224,Summary!$A$2:$A$201,0))</f>
        <v>1</v>
      </c>
      <c r="U2224" s="2" t="n">
        <f aca="false">INDEX(Summary!$Q$2:$Q$201,MATCH($B2224,Summary!$A$2:$A$201,0))</f>
        <v>14.01</v>
      </c>
      <c r="V2224" s="2" t="n">
        <f aca="false">INDEX(Summary!$R$2:$R$201,MATCH($B2224,Summary!$A$2:$A$201,0))</f>
        <v>25.17</v>
      </c>
      <c r="W2224" s="0" t="str">
        <f aca="false">INDEX(Summary!$S$2:$S$201,MATCH($B2224,Summary!$A$2:$A$201,0))</f>
        <v>Silver</v>
      </c>
      <c r="X2224" s="2" t="n">
        <f aca="false">INDEX(Summary!$T$2:$T$201,MATCH($B2224,Summary!$A$2:$A$201,0))</f>
        <v>61.39</v>
      </c>
      <c r="Y2224" s="0" t="str">
        <f aca="false">INDEX('Reward Model'!$E$18:$E$37,MATCH($E2224,'Reward Model'!$A$18:$A$37,0))</f>
        <v>Medium</v>
      </c>
      <c r="Z2224" s="4" t="n">
        <f aca="false">ROUND(MIN(1,MAX('Reward Model'!$B$2,INDEX('Reward Model'!$C$12:$C$14,MATCH($K2224,'Reward Model'!$A$12:$A$14,0))/$J2224)),3)</f>
        <v>1</v>
      </c>
      <c r="AA2224" s="2" t="n">
        <f aca="false">IF($I2224="Correct",ROUND(INDEX('Reward Model'!$B$12:$B$14,MATCH($K2224,'Reward Model'!$A$12:$A$14,0))*Z2224,2),0)</f>
        <v>1</v>
      </c>
      <c r="AB2224" s="2" t="n">
        <f aca="false">IF($I2224="Correct",ROUND(INDEX('Reward Model'!$B$12:$B$14,MATCH($Y2224,'Reward Model'!$A$12:$A$14,0))*Z2224,2),0)</f>
        <v>2</v>
      </c>
    </row>
    <row r="2225" customFormat="false" ht="15" hidden="false" customHeight="false" outlineLevel="0" collapsed="false">
      <c r="A2225" s="0" t="s">
        <v>354</v>
      </c>
      <c r="B2225" s="0" t="s">
        <v>355</v>
      </c>
      <c r="C2225" s="0" t="s">
        <v>322</v>
      </c>
      <c r="D2225" s="0" t="s">
        <v>31</v>
      </c>
      <c r="E2225" s="0" t="n">
        <v>4</v>
      </c>
      <c r="F2225" s="0" t="s">
        <v>43</v>
      </c>
      <c r="G2225" s="0" t="s">
        <v>111</v>
      </c>
      <c r="H2225" s="0" t="s">
        <v>45</v>
      </c>
      <c r="I2225" s="0" t="s">
        <v>39</v>
      </c>
      <c r="J2225" s="0" t="n">
        <v>1.48</v>
      </c>
      <c r="K2225" s="0" t="s">
        <v>35</v>
      </c>
      <c r="L2225" s="0" t="n">
        <f aca="false">INDEX(Summary!$F$2:$F$201,MATCH($B2225,Summary!$A$2:$A$201,0))</f>
        <v>20</v>
      </c>
      <c r="M2225" s="0" t="n">
        <f aca="false">INDEX(Summary!$I$2:$I$201,MATCH($B2225,Summary!$A$2:$A$201,0))</f>
        <v>2</v>
      </c>
      <c r="N2225" s="0" t="n">
        <f aca="false">INDEX(Summary!$J$2:$J$201,MATCH($B2225,Summary!$A$2:$A$201,0))</f>
        <v>3</v>
      </c>
      <c r="O2225" s="2" t="n">
        <f aca="false">INDEX(Summary!$K$2:$K$201,MATCH($B2225,Summary!$A$2:$A$201,0))</f>
        <v>8.15</v>
      </c>
      <c r="P2225" s="3" t="n">
        <f aca="false">INDEX(Summary!$L$2:$L$201,MATCH($B2225,Summary!$A$2:$A$201,0))</f>
        <v>4</v>
      </c>
      <c r="Q2225" s="3" t="n">
        <f aca="false">INDEX(Summary!$M$2:$M$201,MATCH($B2225,Summary!$A$2:$A$201,0))</f>
        <v>2</v>
      </c>
      <c r="R2225" s="2" t="n">
        <f aca="false">INDEX(Summary!$N$2:$N$201,MATCH($B2225,Summary!$A$2:$A$201,0))</f>
        <v>10.34</v>
      </c>
      <c r="S2225" s="3" t="n">
        <f aca="false">INDEX(Summary!$O$2:$O$201,MATCH($B2225,Summary!$A$2:$A$201,0))</f>
        <v>8</v>
      </c>
      <c r="T2225" s="3" t="n">
        <f aca="false">INDEX(Summary!$P$2:$P$201,MATCH($B2225,Summary!$A$2:$A$201,0))</f>
        <v>1</v>
      </c>
      <c r="U2225" s="2" t="n">
        <f aca="false">INDEX(Summary!$Q$2:$Q$201,MATCH($B2225,Summary!$A$2:$A$201,0))</f>
        <v>14.01</v>
      </c>
      <c r="V2225" s="2" t="n">
        <f aca="false">INDEX(Summary!$R$2:$R$201,MATCH($B2225,Summary!$A$2:$A$201,0))</f>
        <v>25.17</v>
      </c>
      <c r="W2225" s="0" t="str">
        <f aca="false">INDEX(Summary!$S$2:$S$201,MATCH($B2225,Summary!$A$2:$A$201,0))</f>
        <v>Silver</v>
      </c>
      <c r="X2225" s="2" t="n">
        <f aca="false">INDEX(Summary!$T$2:$T$201,MATCH($B2225,Summary!$A$2:$A$201,0))</f>
        <v>61.39</v>
      </c>
      <c r="Y2225" s="0" t="str">
        <f aca="false">INDEX('Reward Model'!$E$18:$E$37,MATCH($E2225,'Reward Model'!$A$18:$A$37,0))</f>
        <v>Low</v>
      </c>
      <c r="Z2225" s="4" t="n">
        <f aca="false">ROUND(MIN(1,MAX('Reward Model'!$B$2,INDEX('Reward Model'!$C$12:$C$14,MATCH($K2225,'Reward Model'!$A$12:$A$14,0))/$J2225)),3)</f>
        <v>1</v>
      </c>
      <c r="AA2225" s="2" t="n">
        <f aca="false">IF($I2225="Correct",ROUND(INDEX('Reward Model'!$B$12:$B$14,MATCH($K2225,'Reward Model'!$A$12:$A$14,0))*Z2225,2),0)</f>
        <v>0</v>
      </c>
      <c r="AB2225" s="2" t="n">
        <f aca="false">IF($I2225="Correct",ROUND(INDEX('Reward Model'!$B$12:$B$14,MATCH($Y2225,'Reward Model'!$A$12:$A$14,0))*Z2225,2),0)</f>
        <v>0</v>
      </c>
    </row>
    <row r="2226" customFormat="false" ht="15" hidden="false" customHeight="false" outlineLevel="0" collapsed="false">
      <c r="A2226" s="0" t="s">
        <v>354</v>
      </c>
      <c r="B2226" s="0" t="s">
        <v>355</v>
      </c>
      <c r="C2226" s="0" t="s">
        <v>322</v>
      </c>
      <c r="D2226" s="0" t="s">
        <v>31</v>
      </c>
      <c r="E2226" s="0" t="n">
        <v>5</v>
      </c>
      <c r="F2226" s="0" t="s">
        <v>46</v>
      </c>
      <c r="G2226" s="0" t="s">
        <v>47</v>
      </c>
      <c r="H2226" s="0" t="s">
        <v>47</v>
      </c>
      <c r="I2226" s="0" t="s">
        <v>34</v>
      </c>
      <c r="J2226" s="0" t="n">
        <v>1.77</v>
      </c>
      <c r="K2226" s="0" t="s">
        <v>35</v>
      </c>
      <c r="L2226" s="0" t="n">
        <f aca="false">INDEX(Summary!$F$2:$F$201,MATCH($B2226,Summary!$A$2:$A$201,0))</f>
        <v>20</v>
      </c>
      <c r="M2226" s="0" t="n">
        <f aca="false">INDEX(Summary!$I$2:$I$201,MATCH($B2226,Summary!$A$2:$A$201,0))</f>
        <v>2</v>
      </c>
      <c r="N2226" s="0" t="n">
        <f aca="false">INDEX(Summary!$J$2:$J$201,MATCH($B2226,Summary!$A$2:$A$201,0))</f>
        <v>3</v>
      </c>
      <c r="O2226" s="2" t="n">
        <f aca="false">INDEX(Summary!$K$2:$K$201,MATCH($B2226,Summary!$A$2:$A$201,0))</f>
        <v>8.15</v>
      </c>
      <c r="P2226" s="3" t="n">
        <f aca="false">INDEX(Summary!$L$2:$L$201,MATCH($B2226,Summary!$A$2:$A$201,0))</f>
        <v>4</v>
      </c>
      <c r="Q2226" s="3" t="n">
        <f aca="false">INDEX(Summary!$M$2:$M$201,MATCH($B2226,Summary!$A$2:$A$201,0))</f>
        <v>2</v>
      </c>
      <c r="R2226" s="2" t="n">
        <f aca="false">INDEX(Summary!$N$2:$N$201,MATCH($B2226,Summary!$A$2:$A$201,0))</f>
        <v>10.34</v>
      </c>
      <c r="S2226" s="3" t="n">
        <f aca="false">INDEX(Summary!$O$2:$O$201,MATCH($B2226,Summary!$A$2:$A$201,0))</f>
        <v>8</v>
      </c>
      <c r="T2226" s="3" t="n">
        <f aca="false">INDEX(Summary!$P$2:$P$201,MATCH($B2226,Summary!$A$2:$A$201,0))</f>
        <v>1</v>
      </c>
      <c r="U2226" s="2" t="n">
        <f aca="false">INDEX(Summary!$Q$2:$Q$201,MATCH($B2226,Summary!$A$2:$A$201,0))</f>
        <v>14.01</v>
      </c>
      <c r="V2226" s="2" t="n">
        <f aca="false">INDEX(Summary!$R$2:$R$201,MATCH($B2226,Summary!$A$2:$A$201,0))</f>
        <v>25.17</v>
      </c>
      <c r="W2226" s="0" t="str">
        <f aca="false">INDEX(Summary!$S$2:$S$201,MATCH($B2226,Summary!$A$2:$A$201,0))</f>
        <v>Silver</v>
      </c>
      <c r="X2226" s="2" t="n">
        <f aca="false">INDEX(Summary!$T$2:$T$201,MATCH($B2226,Summary!$A$2:$A$201,0))</f>
        <v>61.39</v>
      </c>
      <c r="Y2226" s="0" t="str">
        <f aca="false">INDEX('Reward Model'!$E$18:$E$37,MATCH($E2226,'Reward Model'!$A$18:$A$37,0))</f>
        <v>Low</v>
      </c>
      <c r="Z2226" s="4" t="n">
        <f aca="false">ROUND(MIN(1,MAX('Reward Model'!$B$2,INDEX('Reward Model'!$C$12:$C$14,MATCH($K2226,'Reward Model'!$A$12:$A$14,0))/$J2226)),3)</f>
        <v>0.847</v>
      </c>
      <c r="AA2226" s="2" t="n">
        <f aca="false">IF($I2226="Correct",ROUND(INDEX('Reward Model'!$B$12:$B$14,MATCH($K2226,'Reward Model'!$A$12:$A$14,0))*Z2226,2),0)</f>
        <v>0.85</v>
      </c>
      <c r="AB2226" s="2" t="n">
        <f aca="false">IF($I2226="Correct",ROUND(INDEX('Reward Model'!$B$12:$B$14,MATCH($Y2226,'Reward Model'!$A$12:$A$14,0))*Z2226,2),0)</f>
        <v>0.85</v>
      </c>
    </row>
    <row r="2227" customFormat="false" ht="15" hidden="false" customHeight="false" outlineLevel="0" collapsed="false">
      <c r="A2227" s="0" t="s">
        <v>354</v>
      </c>
      <c r="B2227" s="0" t="s">
        <v>355</v>
      </c>
      <c r="C2227" s="0" t="s">
        <v>322</v>
      </c>
      <c r="D2227" s="0" t="s">
        <v>31</v>
      </c>
      <c r="E2227" s="0" t="n">
        <v>6</v>
      </c>
      <c r="F2227" s="0" t="s">
        <v>48</v>
      </c>
      <c r="G2227" s="0" t="s">
        <v>49</v>
      </c>
      <c r="H2227" s="0" t="s">
        <v>49</v>
      </c>
      <c r="I2227" s="0" t="s">
        <v>34</v>
      </c>
      <c r="J2227" s="0" t="n">
        <v>1.26</v>
      </c>
      <c r="K2227" s="0" t="s">
        <v>35</v>
      </c>
      <c r="L2227" s="0" t="n">
        <f aca="false">INDEX(Summary!$F$2:$F$201,MATCH($B2227,Summary!$A$2:$A$201,0))</f>
        <v>20</v>
      </c>
      <c r="M2227" s="0" t="n">
        <f aca="false">INDEX(Summary!$I$2:$I$201,MATCH($B2227,Summary!$A$2:$A$201,0))</f>
        <v>2</v>
      </c>
      <c r="N2227" s="0" t="n">
        <f aca="false">INDEX(Summary!$J$2:$J$201,MATCH($B2227,Summary!$A$2:$A$201,0))</f>
        <v>3</v>
      </c>
      <c r="O2227" s="2" t="n">
        <f aca="false">INDEX(Summary!$K$2:$K$201,MATCH($B2227,Summary!$A$2:$A$201,0))</f>
        <v>8.15</v>
      </c>
      <c r="P2227" s="3" t="n">
        <f aca="false">INDEX(Summary!$L$2:$L$201,MATCH($B2227,Summary!$A$2:$A$201,0))</f>
        <v>4</v>
      </c>
      <c r="Q2227" s="3" t="n">
        <f aca="false">INDEX(Summary!$M$2:$M$201,MATCH($B2227,Summary!$A$2:$A$201,0))</f>
        <v>2</v>
      </c>
      <c r="R2227" s="2" t="n">
        <f aca="false">INDEX(Summary!$N$2:$N$201,MATCH($B2227,Summary!$A$2:$A$201,0))</f>
        <v>10.34</v>
      </c>
      <c r="S2227" s="3" t="n">
        <f aca="false">INDEX(Summary!$O$2:$O$201,MATCH($B2227,Summary!$A$2:$A$201,0))</f>
        <v>8</v>
      </c>
      <c r="T2227" s="3" t="n">
        <f aca="false">INDEX(Summary!$P$2:$P$201,MATCH($B2227,Summary!$A$2:$A$201,0))</f>
        <v>1</v>
      </c>
      <c r="U2227" s="2" t="n">
        <f aca="false">INDEX(Summary!$Q$2:$Q$201,MATCH($B2227,Summary!$A$2:$A$201,0))</f>
        <v>14.01</v>
      </c>
      <c r="V2227" s="2" t="n">
        <f aca="false">INDEX(Summary!$R$2:$R$201,MATCH($B2227,Summary!$A$2:$A$201,0))</f>
        <v>25.17</v>
      </c>
      <c r="W2227" s="0" t="str">
        <f aca="false">INDEX(Summary!$S$2:$S$201,MATCH($B2227,Summary!$A$2:$A$201,0))</f>
        <v>Silver</v>
      </c>
      <c r="X2227" s="2" t="n">
        <f aca="false">INDEX(Summary!$T$2:$T$201,MATCH($B2227,Summary!$A$2:$A$201,0))</f>
        <v>61.39</v>
      </c>
      <c r="Y2227" s="0" t="str">
        <f aca="false">INDEX('Reward Model'!$E$18:$E$37,MATCH($E2227,'Reward Model'!$A$18:$A$37,0))</f>
        <v>Medium</v>
      </c>
      <c r="Z2227" s="4" t="n">
        <f aca="false">ROUND(MIN(1,MAX('Reward Model'!$B$2,INDEX('Reward Model'!$C$12:$C$14,MATCH($K2227,'Reward Model'!$A$12:$A$14,0))/$J2227)),3)</f>
        <v>1</v>
      </c>
      <c r="AA2227" s="2" t="n">
        <f aca="false">IF($I2227="Correct",ROUND(INDEX('Reward Model'!$B$12:$B$14,MATCH($K2227,'Reward Model'!$A$12:$A$14,0))*Z2227,2),0)</f>
        <v>1</v>
      </c>
      <c r="AB2227" s="2" t="n">
        <f aca="false">IF($I2227="Correct",ROUND(INDEX('Reward Model'!$B$12:$B$14,MATCH($Y2227,'Reward Model'!$A$12:$A$14,0))*Z2227,2),0)</f>
        <v>2</v>
      </c>
    </row>
    <row r="2228" customFormat="false" ht="15" hidden="false" customHeight="false" outlineLevel="0" collapsed="false">
      <c r="A2228" s="0" t="s">
        <v>354</v>
      </c>
      <c r="B2228" s="0" t="s">
        <v>355</v>
      </c>
      <c r="C2228" s="0" t="s">
        <v>322</v>
      </c>
      <c r="D2228" s="0" t="s">
        <v>31</v>
      </c>
      <c r="E2228" s="0" t="n">
        <v>7</v>
      </c>
      <c r="F2228" s="0" t="s">
        <v>50</v>
      </c>
      <c r="G2228" s="0" t="s">
        <v>51</v>
      </c>
      <c r="H2228" s="0" t="s">
        <v>51</v>
      </c>
      <c r="I2228" s="0" t="s">
        <v>34</v>
      </c>
      <c r="J2228" s="0" t="n">
        <v>1.88</v>
      </c>
      <c r="K2228" s="0" t="s">
        <v>35</v>
      </c>
      <c r="L2228" s="0" t="n">
        <f aca="false">INDEX(Summary!$F$2:$F$201,MATCH($B2228,Summary!$A$2:$A$201,0))</f>
        <v>20</v>
      </c>
      <c r="M2228" s="0" t="n">
        <f aca="false">INDEX(Summary!$I$2:$I$201,MATCH($B2228,Summary!$A$2:$A$201,0))</f>
        <v>2</v>
      </c>
      <c r="N2228" s="0" t="n">
        <f aca="false">INDEX(Summary!$J$2:$J$201,MATCH($B2228,Summary!$A$2:$A$201,0))</f>
        <v>3</v>
      </c>
      <c r="O2228" s="2" t="n">
        <f aca="false">INDEX(Summary!$K$2:$K$201,MATCH($B2228,Summary!$A$2:$A$201,0))</f>
        <v>8.15</v>
      </c>
      <c r="P2228" s="3" t="n">
        <f aca="false">INDEX(Summary!$L$2:$L$201,MATCH($B2228,Summary!$A$2:$A$201,0))</f>
        <v>4</v>
      </c>
      <c r="Q2228" s="3" t="n">
        <f aca="false">INDEX(Summary!$M$2:$M$201,MATCH($B2228,Summary!$A$2:$A$201,0))</f>
        <v>2</v>
      </c>
      <c r="R2228" s="2" t="n">
        <f aca="false">INDEX(Summary!$N$2:$N$201,MATCH($B2228,Summary!$A$2:$A$201,0))</f>
        <v>10.34</v>
      </c>
      <c r="S2228" s="3" t="n">
        <f aca="false">INDEX(Summary!$O$2:$O$201,MATCH($B2228,Summary!$A$2:$A$201,0))</f>
        <v>8</v>
      </c>
      <c r="T2228" s="3" t="n">
        <f aca="false">INDEX(Summary!$P$2:$P$201,MATCH($B2228,Summary!$A$2:$A$201,0))</f>
        <v>1</v>
      </c>
      <c r="U2228" s="2" t="n">
        <f aca="false">INDEX(Summary!$Q$2:$Q$201,MATCH($B2228,Summary!$A$2:$A$201,0))</f>
        <v>14.01</v>
      </c>
      <c r="V2228" s="2" t="n">
        <f aca="false">INDEX(Summary!$R$2:$R$201,MATCH($B2228,Summary!$A$2:$A$201,0))</f>
        <v>25.17</v>
      </c>
      <c r="W2228" s="0" t="str">
        <f aca="false">INDEX(Summary!$S$2:$S$201,MATCH($B2228,Summary!$A$2:$A$201,0))</f>
        <v>Silver</v>
      </c>
      <c r="X2228" s="2" t="n">
        <f aca="false">INDEX(Summary!$T$2:$T$201,MATCH($B2228,Summary!$A$2:$A$201,0))</f>
        <v>61.39</v>
      </c>
      <c r="Y2228" s="0" t="str">
        <f aca="false">INDEX('Reward Model'!$E$18:$E$37,MATCH($E2228,'Reward Model'!$A$18:$A$37,0))</f>
        <v>Low</v>
      </c>
      <c r="Z2228" s="4" t="n">
        <f aca="false">ROUND(MIN(1,MAX('Reward Model'!$B$2,INDEX('Reward Model'!$C$12:$C$14,MATCH($K2228,'Reward Model'!$A$12:$A$14,0))/$J2228)),3)</f>
        <v>0.798</v>
      </c>
      <c r="AA2228" s="2" t="n">
        <f aca="false">IF($I2228="Correct",ROUND(INDEX('Reward Model'!$B$12:$B$14,MATCH($K2228,'Reward Model'!$A$12:$A$14,0))*Z2228,2),0)</f>
        <v>0.8</v>
      </c>
      <c r="AB2228" s="2" t="n">
        <f aca="false">IF($I2228="Correct",ROUND(INDEX('Reward Model'!$B$12:$B$14,MATCH($Y2228,'Reward Model'!$A$12:$A$14,0))*Z2228,2),0)</f>
        <v>0.8</v>
      </c>
    </row>
    <row r="2229" customFormat="false" ht="15" hidden="false" customHeight="false" outlineLevel="0" collapsed="false">
      <c r="A2229" s="0" t="s">
        <v>354</v>
      </c>
      <c r="B2229" s="0" t="s">
        <v>355</v>
      </c>
      <c r="C2229" s="0" t="s">
        <v>322</v>
      </c>
      <c r="D2229" s="0" t="s">
        <v>31</v>
      </c>
      <c r="E2229" s="0" t="n">
        <v>8</v>
      </c>
      <c r="F2229" s="0" t="s">
        <v>52</v>
      </c>
      <c r="G2229" s="0" t="s">
        <v>54</v>
      </c>
      <c r="H2229" s="0" t="s">
        <v>54</v>
      </c>
      <c r="I2229" s="0" t="s">
        <v>34</v>
      </c>
      <c r="J2229" s="0" t="n">
        <v>1.14</v>
      </c>
      <c r="K2229" s="0" t="s">
        <v>35</v>
      </c>
      <c r="L2229" s="0" t="n">
        <f aca="false">INDEX(Summary!$F$2:$F$201,MATCH($B2229,Summary!$A$2:$A$201,0))</f>
        <v>20</v>
      </c>
      <c r="M2229" s="0" t="n">
        <f aca="false">INDEX(Summary!$I$2:$I$201,MATCH($B2229,Summary!$A$2:$A$201,0))</f>
        <v>2</v>
      </c>
      <c r="N2229" s="0" t="n">
        <f aca="false">INDEX(Summary!$J$2:$J$201,MATCH($B2229,Summary!$A$2:$A$201,0))</f>
        <v>3</v>
      </c>
      <c r="O2229" s="2" t="n">
        <f aca="false">INDEX(Summary!$K$2:$K$201,MATCH($B2229,Summary!$A$2:$A$201,0))</f>
        <v>8.15</v>
      </c>
      <c r="P2229" s="3" t="n">
        <f aca="false">INDEX(Summary!$L$2:$L$201,MATCH($B2229,Summary!$A$2:$A$201,0))</f>
        <v>4</v>
      </c>
      <c r="Q2229" s="3" t="n">
        <f aca="false">INDEX(Summary!$M$2:$M$201,MATCH($B2229,Summary!$A$2:$A$201,0))</f>
        <v>2</v>
      </c>
      <c r="R2229" s="2" t="n">
        <f aca="false">INDEX(Summary!$N$2:$N$201,MATCH($B2229,Summary!$A$2:$A$201,0))</f>
        <v>10.34</v>
      </c>
      <c r="S2229" s="3" t="n">
        <f aca="false">INDEX(Summary!$O$2:$O$201,MATCH($B2229,Summary!$A$2:$A$201,0))</f>
        <v>8</v>
      </c>
      <c r="T2229" s="3" t="n">
        <f aca="false">INDEX(Summary!$P$2:$P$201,MATCH($B2229,Summary!$A$2:$A$201,0))</f>
        <v>1</v>
      </c>
      <c r="U2229" s="2" t="n">
        <f aca="false">INDEX(Summary!$Q$2:$Q$201,MATCH($B2229,Summary!$A$2:$A$201,0))</f>
        <v>14.01</v>
      </c>
      <c r="V2229" s="2" t="n">
        <f aca="false">INDEX(Summary!$R$2:$R$201,MATCH($B2229,Summary!$A$2:$A$201,0))</f>
        <v>25.17</v>
      </c>
      <c r="W2229" s="0" t="str">
        <f aca="false">INDEX(Summary!$S$2:$S$201,MATCH($B2229,Summary!$A$2:$A$201,0))</f>
        <v>Silver</v>
      </c>
      <c r="X2229" s="2" t="n">
        <f aca="false">INDEX(Summary!$T$2:$T$201,MATCH($B2229,Summary!$A$2:$A$201,0))</f>
        <v>61.39</v>
      </c>
      <c r="Y2229" s="0" t="str">
        <f aca="false">INDEX('Reward Model'!$E$18:$E$37,MATCH($E2229,'Reward Model'!$A$18:$A$37,0))</f>
        <v>Medium</v>
      </c>
      <c r="Z2229" s="4" t="n">
        <f aca="false">ROUND(MIN(1,MAX('Reward Model'!$B$2,INDEX('Reward Model'!$C$12:$C$14,MATCH($K2229,'Reward Model'!$A$12:$A$14,0))/$J2229)),3)</f>
        <v>1</v>
      </c>
      <c r="AA2229" s="2" t="n">
        <f aca="false">IF($I2229="Correct",ROUND(INDEX('Reward Model'!$B$12:$B$14,MATCH($K2229,'Reward Model'!$A$12:$A$14,0))*Z2229,2),0)</f>
        <v>1</v>
      </c>
      <c r="AB2229" s="2" t="n">
        <f aca="false">IF($I2229="Correct",ROUND(INDEX('Reward Model'!$B$12:$B$14,MATCH($Y2229,'Reward Model'!$A$12:$A$14,0))*Z2229,2),0)</f>
        <v>2</v>
      </c>
    </row>
    <row r="2230" customFormat="false" ht="15" hidden="false" customHeight="false" outlineLevel="0" collapsed="false">
      <c r="A2230" s="0" t="s">
        <v>354</v>
      </c>
      <c r="B2230" s="0" t="s">
        <v>355</v>
      </c>
      <c r="C2230" s="0" t="s">
        <v>322</v>
      </c>
      <c r="D2230" s="0" t="s">
        <v>31</v>
      </c>
      <c r="E2230" s="0" t="n">
        <v>9</v>
      </c>
      <c r="F2230" s="0" t="s">
        <v>55</v>
      </c>
      <c r="G2230" s="0" t="s">
        <v>57</v>
      </c>
      <c r="H2230" s="0" t="s">
        <v>57</v>
      </c>
      <c r="I2230" s="0" t="s">
        <v>34</v>
      </c>
      <c r="J2230" s="0" t="n">
        <v>1.75</v>
      </c>
      <c r="K2230" s="0" t="s">
        <v>35</v>
      </c>
      <c r="L2230" s="0" t="n">
        <f aca="false">INDEX(Summary!$F$2:$F$201,MATCH($B2230,Summary!$A$2:$A$201,0))</f>
        <v>20</v>
      </c>
      <c r="M2230" s="0" t="n">
        <f aca="false">INDEX(Summary!$I$2:$I$201,MATCH($B2230,Summary!$A$2:$A$201,0))</f>
        <v>2</v>
      </c>
      <c r="N2230" s="0" t="n">
        <f aca="false">INDEX(Summary!$J$2:$J$201,MATCH($B2230,Summary!$A$2:$A$201,0))</f>
        <v>3</v>
      </c>
      <c r="O2230" s="2" t="n">
        <f aca="false">INDEX(Summary!$K$2:$K$201,MATCH($B2230,Summary!$A$2:$A$201,0))</f>
        <v>8.15</v>
      </c>
      <c r="P2230" s="3" t="n">
        <f aca="false">INDEX(Summary!$L$2:$L$201,MATCH($B2230,Summary!$A$2:$A$201,0))</f>
        <v>4</v>
      </c>
      <c r="Q2230" s="3" t="n">
        <f aca="false">INDEX(Summary!$M$2:$M$201,MATCH($B2230,Summary!$A$2:$A$201,0))</f>
        <v>2</v>
      </c>
      <c r="R2230" s="2" t="n">
        <f aca="false">INDEX(Summary!$N$2:$N$201,MATCH($B2230,Summary!$A$2:$A$201,0))</f>
        <v>10.34</v>
      </c>
      <c r="S2230" s="3" t="n">
        <f aca="false">INDEX(Summary!$O$2:$O$201,MATCH($B2230,Summary!$A$2:$A$201,0))</f>
        <v>8</v>
      </c>
      <c r="T2230" s="3" t="n">
        <f aca="false">INDEX(Summary!$P$2:$P$201,MATCH($B2230,Summary!$A$2:$A$201,0))</f>
        <v>1</v>
      </c>
      <c r="U2230" s="2" t="n">
        <f aca="false">INDEX(Summary!$Q$2:$Q$201,MATCH($B2230,Summary!$A$2:$A$201,0))</f>
        <v>14.01</v>
      </c>
      <c r="V2230" s="2" t="n">
        <f aca="false">INDEX(Summary!$R$2:$R$201,MATCH($B2230,Summary!$A$2:$A$201,0))</f>
        <v>25.17</v>
      </c>
      <c r="W2230" s="0" t="str">
        <f aca="false">INDEX(Summary!$S$2:$S$201,MATCH($B2230,Summary!$A$2:$A$201,0))</f>
        <v>Silver</v>
      </c>
      <c r="X2230" s="2" t="n">
        <f aca="false">INDEX(Summary!$T$2:$T$201,MATCH($B2230,Summary!$A$2:$A$201,0))</f>
        <v>61.39</v>
      </c>
      <c r="Y2230" s="0" t="str">
        <f aca="false">INDEX('Reward Model'!$E$18:$E$37,MATCH($E2230,'Reward Model'!$A$18:$A$37,0))</f>
        <v>Medium</v>
      </c>
      <c r="Z2230" s="4" t="n">
        <f aca="false">ROUND(MIN(1,MAX('Reward Model'!$B$2,INDEX('Reward Model'!$C$12:$C$14,MATCH($K2230,'Reward Model'!$A$12:$A$14,0))/$J2230)),3)</f>
        <v>0.857</v>
      </c>
      <c r="AA2230" s="2" t="n">
        <f aca="false">IF($I2230="Correct",ROUND(INDEX('Reward Model'!$B$12:$B$14,MATCH($K2230,'Reward Model'!$A$12:$A$14,0))*Z2230,2),0)</f>
        <v>0.86</v>
      </c>
      <c r="AB2230" s="2" t="n">
        <f aca="false">IF($I2230="Correct",ROUND(INDEX('Reward Model'!$B$12:$B$14,MATCH($Y2230,'Reward Model'!$A$12:$A$14,0))*Z2230,2),0)</f>
        <v>1.71</v>
      </c>
    </row>
    <row r="2231" customFormat="false" ht="15" hidden="false" customHeight="false" outlineLevel="0" collapsed="false">
      <c r="A2231" s="0" t="s">
        <v>354</v>
      </c>
      <c r="B2231" s="0" t="s">
        <v>355</v>
      </c>
      <c r="C2231" s="0" t="s">
        <v>322</v>
      </c>
      <c r="D2231" s="0" t="s">
        <v>31</v>
      </c>
      <c r="E2231" s="0" t="n">
        <v>10</v>
      </c>
      <c r="F2231" s="0" t="s">
        <v>58</v>
      </c>
      <c r="G2231" s="0" t="s">
        <v>174</v>
      </c>
      <c r="H2231" s="0" t="s">
        <v>59</v>
      </c>
      <c r="I2231" s="0" t="s">
        <v>39</v>
      </c>
      <c r="J2231" s="0" t="n">
        <v>1.32</v>
      </c>
      <c r="K2231" s="0" t="s">
        <v>60</v>
      </c>
      <c r="L2231" s="0" t="n">
        <f aca="false">INDEX(Summary!$F$2:$F$201,MATCH($B2231,Summary!$A$2:$A$201,0))</f>
        <v>20</v>
      </c>
      <c r="M2231" s="0" t="n">
        <f aca="false">INDEX(Summary!$I$2:$I$201,MATCH($B2231,Summary!$A$2:$A$201,0))</f>
        <v>2</v>
      </c>
      <c r="N2231" s="0" t="n">
        <f aca="false">INDEX(Summary!$J$2:$J$201,MATCH($B2231,Summary!$A$2:$A$201,0))</f>
        <v>3</v>
      </c>
      <c r="O2231" s="2" t="n">
        <f aca="false">INDEX(Summary!$K$2:$K$201,MATCH($B2231,Summary!$A$2:$A$201,0))</f>
        <v>8.15</v>
      </c>
      <c r="P2231" s="3" t="n">
        <f aca="false">INDEX(Summary!$L$2:$L$201,MATCH($B2231,Summary!$A$2:$A$201,0))</f>
        <v>4</v>
      </c>
      <c r="Q2231" s="3" t="n">
        <f aca="false">INDEX(Summary!$M$2:$M$201,MATCH($B2231,Summary!$A$2:$A$201,0))</f>
        <v>2</v>
      </c>
      <c r="R2231" s="2" t="n">
        <f aca="false">INDEX(Summary!$N$2:$N$201,MATCH($B2231,Summary!$A$2:$A$201,0))</f>
        <v>10.34</v>
      </c>
      <c r="S2231" s="3" t="n">
        <f aca="false">INDEX(Summary!$O$2:$O$201,MATCH($B2231,Summary!$A$2:$A$201,0))</f>
        <v>8</v>
      </c>
      <c r="T2231" s="3" t="n">
        <f aca="false">INDEX(Summary!$P$2:$P$201,MATCH($B2231,Summary!$A$2:$A$201,0))</f>
        <v>1</v>
      </c>
      <c r="U2231" s="2" t="n">
        <f aca="false">INDEX(Summary!$Q$2:$Q$201,MATCH($B2231,Summary!$A$2:$A$201,0))</f>
        <v>14.01</v>
      </c>
      <c r="V2231" s="2" t="n">
        <f aca="false">INDEX(Summary!$R$2:$R$201,MATCH($B2231,Summary!$A$2:$A$201,0))</f>
        <v>25.17</v>
      </c>
      <c r="W2231" s="0" t="str">
        <f aca="false">INDEX(Summary!$S$2:$S$201,MATCH($B2231,Summary!$A$2:$A$201,0))</f>
        <v>Silver</v>
      </c>
      <c r="X2231" s="2" t="n">
        <f aca="false">INDEX(Summary!$T$2:$T$201,MATCH($B2231,Summary!$A$2:$A$201,0))</f>
        <v>61.39</v>
      </c>
      <c r="Y2231" s="0" t="str">
        <f aca="false">INDEX('Reward Model'!$E$18:$E$37,MATCH($E2231,'Reward Model'!$A$18:$A$37,0))</f>
        <v>Medium</v>
      </c>
      <c r="Z2231" s="4" t="n">
        <f aca="false">ROUND(MIN(1,MAX('Reward Model'!$B$2,INDEX('Reward Model'!$C$12:$C$14,MATCH($K2231,'Reward Model'!$A$12:$A$14,0))/$J2231)),3)</f>
        <v>1</v>
      </c>
      <c r="AA2231" s="2" t="n">
        <f aca="false">IF($I2231="Correct",ROUND(INDEX('Reward Model'!$B$12:$B$14,MATCH($K2231,'Reward Model'!$A$12:$A$14,0))*Z2231,2),0)</f>
        <v>0</v>
      </c>
      <c r="AB2231" s="2" t="n">
        <f aca="false">IF($I2231="Correct",ROUND(INDEX('Reward Model'!$B$12:$B$14,MATCH($Y2231,'Reward Model'!$A$12:$A$14,0))*Z2231,2),0)</f>
        <v>0</v>
      </c>
    </row>
    <row r="2232" customFormat="false" ht="15" hidden="false" customHeight="false" outlineLevel="0" collapsed="false">
      <c r="A2232" s="0" t="s">
        <v>354</v>
      </c>
      <c r="B2232" s="0" t="s">
        <v>355</v>
      </c>
      <c r="C2232" s="0" t="s">
        <v>322</v>
      </c>
      <c r="D2232" s="0" t="s">
        <v>31</v>
      </c>
      <c r="E2232" s="0" t="n">
        <v>11</v>
      </c>
      <c r="F2232" s="0" t="s">
        <v>61</v>
      </c>
      <c r="G2232" s="0" t="s">
        <v>63</v>
      </c>
      <c r="H2232" s="0" t="s">
        <v>63</v>
      </c>
      <c r="I2232" s="0" t="s">
        <v>34</v>
      </c>
      <c r="J2232" s="0" t="n">
        <v>2.26</v>
      </c>
      <c r="K2232" s="0" t="s">
        <v>60</v>
      </c>
      <c r="L2232" s="0" t="n">
        <f aca="false">INDEX(Summary!$F$2:$F$201,MATCH($B2232,Summary!$A$2:$A$201,0))</f>
        <v>20</v>
      </c>
      <c r="M2232" s="0" t="n">
        <f aca="false">INDEX(Summary!$I$2:$I$201,MATCH($B2232,Summary!$A$2:$A$201,0))</f>
        <v>2</v>
      </c>
      <c r="N2232" s="0" t="n">
        <f aca="false">INDEX(Summary!$J$2:$J$201,MATCH($B2232,Summary!$A$2:$A$201,0))</f>
        <v>3</v>
      </c>
      <c r="O2232" s="2" t="n">
        <f aca="false">INDEX(Summary!$K$2:$K$201,MATCH($B2232,Summary!$A$2:$A$201,0))</f>
        <v>8.15</v>
      </c>
      <c r="P2232" s="3" t="n">
        <f aca="false">INDEX(Summary!$L$2:$L$201,MATCH($B2232,Summary!$A$2:$A$201,0))</f>
        <v>4</v>
      </c>
      <c r="Q2232" s="3" t="n">
        <f aca="false">INDEX(Summary!$M$2:$M$201,MATCH($B2232,Summary!$A$2:$A$201,0))</f>
        <v>2</v>
      </c>
      <c r="R2232" s="2" t="n">
        <f aca="false">INDEX(Summary!$N$2:$N$201,MATCH($B2232,Summary!$A$2:$A$201,0))</f>
        <v>10.34</v>
      </c>
      <c r="S2232" s="3" t="n">
        <f aca="false">INDEX(Summary!$O$2:$O$201,MATCH($B2232,Summary!$A$2:$A$201,0))</f>
        <v>8</v>
      </c>
      <c r="T2232" s="3" t="n">
        <f aca="false">INDEX(Summary!$P$2:$P$201,MATCH($B2232,Summary!$A$2:$A$201,0))</f>
        <v>1</v>
      </c>
      <c r="U2232" s="2" t="n">
        <f aca="false">INDEX(Summary!$Q$2:$Q$201,MATCH($B2232,Summary!$A$2:$A$201,0))</f>
        <v>14.01</v>
      </c>
      <c r="V2232" s="2" t="n">
        <f aca="false">INDEX(Summary!$R$2:$R$201,MATCH($B2232,Summary!$A$2:$A$201,0))</f>
        <v>25.17</v>
      </c>
      <c r="W2232" s="0" t="str">
        <f aca="false">INDEX(Summary!$S$2:$S$201,MATCH($B2232,Summary!$A$2:$A$201,0))</f>
        <v>Silver</v>
      </c>
      <c r="X2232" s="2" t="n">
        <f aca="false">INDEX(Summary!$T$2:$T$201,MATCH($B2232,Summary!$A$2:$A$201,0))</f>
        <v>61.39</v>
      </c>
      <c r="Y2232" s="0" t="str">
        <f aca="false">INDEX('Reward Model'!$E$18:$E$37,MATCH($E2232,'Reward Model'!$A$18:$A$37,0))</f>
        <v>Medium</v>
      </c>
      <c r="Z2232" s="4" t="n">
        <f aca="false">ROUND(MIN(1,MAX('Reward Model'!$B$2,INDEX('Reward Model'!$C$12:$C$14,MATCH($K2232,'Reward Model'!$A$12:$A$14,0))/$J2232)),3)</f>
        <v>0.796</v>
      </c>
      <c r="AA2232" s="2" t="n">
        <f aca="false">IF($I2232="Correct",ROUND(INDEX('Reward Model'!$B$12:$B$14,MATCH($K2232,'Reward Model'!$A$12:$A$14,0))*Z2232,2),0)</f>
        <v>1.59</v>
      </c>
      <c r="AB2232" s="2" t="n">
        <f aca="false">IF($I2232="Correct",ROUND(INDEX('Reward Model'!$B$12:$B$14,MATCH($Y2232,'Reward Model'!$A$12:$A$14,0))*Z2232,2),0)</f>
        <v>1.59</v>
      </c>
    </row>
    <row r="2233" customFormat="false" ht="15" hidden="false" customHeight="false" outlineLevel="0" collapsed="false">
      <c r="A2233" s="0" t="s">
        <v>354</v>
      </c>
      <c r="B2233" s="0" t="s">
        <v>355</v>
      </c>
      <c r="C2233" s="0" t="s">
        <v>322</v>
      </c>
      <c r="D2233" s="0" t="s">
        <v>31</v>
      </c>
      <c r="E2233" s="0" t="n">
        <v>12</v>
      </c>
      <c r="F2233" s="0" t="s">
        <v>64</v>
      </c>
      <c r="G2233" s="0" t="s">
        <v>112</v>
      </c>
      <c r="H2233" s="0" t="s">
        <v>65</v>
      </c>
      <c r="I2233" s="0" t="s">
        <v>39</v>
      </c>
      <c r="J2233" s="0" t="n">
        <v>1.92</v>
      </c>
      <c r="K2233" s="0" t="s">
        <v>60</v>
      </c>
      <c r="L2233" s="0" t="n">
        <f aca="false">INDEX(Summary!$F$2:$F$201,MATCH($B2233,Summary!$A$2:$A$201,0))</f>
        <v>20</v>
      </c>
      <c r="M2233" s="0" t="n">
        <f aca="false">INDEX(Summary!$I$2:$I$201,MATCH($B2233,Summary!$A$2:$A$201,0))</f>
        <v>2</v>
      </c>
      <c r="N2233" s="0" t="n">
        <f aca="false">INDEX(Summary!$J$2:$J$201,MATCH($B2233,Summary!$A$2:$A$201,0))</f>
        <v>3</v>
      </c>
      <c r="O2233" s="2" t="n">
        <f aca="false">INDEX(Summary!$K$2:$K$201,MATCH($B2233,Summary!$A$2:$A$201,0))</f>
        <v>8.15</v>
      </c>
      <c r="P2233" s="3" t="n">
        <f aca="false">INDEX(Summary!$L$2:$L$201,MATCH($B2233,Summary!$A$2:$A$201,0))</f>
        <v>4</v>
      </c>
      <c r="Q2233" s="3" t="n">
        <f aca="false">INDEX(Summary!$M$2:$M$201,MATCH($B2233,Summary!$A$2:$A$201,0))</f>
        <v>2</v>
      </c>
      <c r="R2233" s="2" t="n">
        <f aca="false">INDEX(Summary!$N$2:$N$201,MATCH($B2233,Summary!$A$2:$A$201,0))</f>
        <v>10.34</v>
      </c>
      <c r="S2233" s="3" t="n">
        <f aca="false">INDEX(Summary!$O$2:$O$201,MATCH($B2233,Summary!$A$2:$A$201,0))</f>
        <v>8</v>
      </c>
      <c r="T2233" s="3" t="n">
        <f aca="false">INDEX(Summary!$P$2:$P$201,MATCH($B2233,Summary!$A$2:$A$201,0))</f>
        <v>1</v>
      </c>
      <c r="U2233" s="2" t="n">
        <f aca="false">INDEX(Summary!$Q$2:$Q$201,MATCH($B2233,Summary!$A$2:$A$201,0))</f>
        <v>14.01</v>
      </c>
      <c r="V2233" s="2" t="n">
        <f aca="false">INDEX(Summary!$R$2:$R$201,MATCH($B2233,Summary!$A$2:$A$201,0))</f>
        <v>25.17</v>
      </c>
      <c r="W2233" s="0" t="str">
        <f aca="false">INDEX(Summary!$S$2:$S$201,MATCH($B2233,Summary!$A$2:$A$201,0))</f>
        <v>Silver</v>
      </c>
      <c r="X2233" s="2" t="n">
        <f aca="false">INDEX(Summary!$T$2:$T$201,MATCH($B2233,Summary!$A$2:$A$201,0))</f>
        <v>61.39</v>
      </c>
      <c r="Y2233" s="0" t="str">
        <f aca="false">INDEX('Reward Model'!$E$18:$E$37,MATCH($E2233,'Reward Model'!$A$18:$A$37,0))</f>
        <v>Medium</v>
      </c>
      <c r="Z2233" s="4" t="n">
        <f aca="false">ROUND(MIN(1,MAX('Reward Model'!$B$2,INDEX('Reward Model'!$C$12:$C$14,MATCH($K2233,'Reward Model'!$A$12:$A$14,0))/$J2233)),3)</f>
        <v>0.938</v>
      </c>
      <c r="AA2233" s="2" t="n">
        <f aca="false">IF($I2233="Correct",ROUND(INDEX('Reward Model'!$B$12:$B$14,MATCH($K2233,'Reward Model'!$A$12:$A$14,0))*Z2233,2),0)</f>
        <v>0</v>
      </c>
      <c r="AB2233" s="2" t="n">
        <f aca="false">IF($I2233="Correct",ROUND(INDEX('Reward Model'!$B$12:$B$14,MATCH($Y2233,'Reward Model'!$A$12:$A$14,0))*Z2233,2),0)</f>
        <v>0</v>
      </c>
    </row>
    <row r="2234" customFormat="false" ht="15" hidden="false" customHeight="false" outlineLevel="0" collapsed="false">
      <c r="A2234" s="0" t="s">
        <v>354</v>
      </c>
      <c r="B2234" s="0" t="s">
        <v>355</v>
      </c>
      <c r="C2234" s="0" t="s">
        <v>322</v>
      </c>
      <c r="D2234" s="0" t="s">
        <v>31</v>
      </c>
      <c r="E2234" s="0" t="n">
        <v>13</v>
      </c>
      <c r="F2234" s="0" t="s">
        <v>66</v>
      </c>
      <c r="G2234" s="0" t="s">
        <v>67</v>
      </c>
      <c r="H2234" s="0" t="s">
        <v>67</v>
      </c>
      <c r="I2234" s="0" t="s">
        <v>34</v>
      </c>
      <c r="J2234" s="0" t="n">
        <v>2.09</v>
      </c>
      <c r="K2234" s="0" t="s">
        <v>60</v>
      </c>
      <c r="L2234" s="0" t="n">
        <f aca="false">INDEX(Summary!$F$2:$F$201,MATCH($B2234,Summary!$A$2:$A$201,0))</f>
        <v>20</v>
      </c>
      <c r="M2234" s="0" t="n">
        <f aca="false">INDEX(Summary!$I$2:$I$201,MATCH($B2234,Summary!$A$2:$A$201,0))</f>
        <v>2</v>
      </c>
      <c r="N2234" s="0" t="n">
        <f aca="false">INDEX(Summary!$J$2:$J$201,MATCH($B2234,Summary!$A$2:$A$201,0))</f>
        <v>3</v>
      </c>
      <c r="O2234" s="2" t="n">
        <f aca="false">INDEX(Summary!$K$2:$K$201,MATCH($B2234,Summary!$A$2:$A$201,0))</f>
        <v>8.15</v>
      </c>
      <c r="P2234" s="3" t="n">
        <f aca="false">INDEX(Summary!$L$2:$L$201,MATCH($B2234,Summary!$A$2:$A$201,0))</f>
        <v>4</v>
      </c>
      <c r="Q2234" s="3" t="n">
        <f aca="false">INDEX(Summary!$M$2:$M$201,MATCH($B2234,Summary!$A$2:$A$201,0))</f>
        <v>2</v>
      </c>
      <c r="R2234" s="2" t="n">
        <f aca="false">INDEX(Summary!$N$2:$N$201,MATCH($B2234,Summary!$A$2:$A$201,0))</f>
        <v>10.34</v>
      </c>
      <c r="S2234" s="3" t="n">
        <f aca="false">INDEX(Summary!$O$2:$O$201,MATCH($B2234,Summary!$A$2:$A$201,0))</f>
        <v>8</v>
      </c>
      <c r="T2234" s="3" t="n">
        <f aca="false">INDEX(Summary!$P$2:$P$201,MATCH($B2234,Summary!$A$2:$A$201,0))</f>
        <v>1</v>
      </c>
      <c r="U2234" s="2" t="n">
        <f aca="false">INDEX(Summary!$Q$2:$Q$201,MATCH($B2234,Summary!$A$2:$A$201,0))</f>
        <v>14.01</v>
      </c>
      <c r="V2234" s="2" t="n">
        <f aca="false">INDEX(Summary!$R$2:$R$201,MATCH($B2234,Summary!$A$2:$A$201,0))</f>
        <v>25.17</v>
      </c>
      <c r="W2234" s="0" t="str">
        <f aca="false">INDEX(Summary!$S$2:$S$201,MATCH($B2234,Summary!$A$2:$A$201,0))</f>
        <v>Silver</v>
      </c>
      <c r="X2234" s="2" t="n">
        <f aca="false">INDEX(Summary!$T$2:$T$201,MATCH($B2234,Summary!$A$2:$A$201,0))</f>
        <v>61.39</v>
      </c>
      <c r="Y2234" s="0" t="str">
        <f aca="false">INDEX('Reward Model'!$E$18:$E$37,MATCH($E2234,'Reward Model'!$A$18:$A$37,0))</f>
        <v>Medium</v>
      </c>
      <c r="Z2234" s="4" t="n">
        <f aca="false">ROUND(MIN(1,MAX('Reward Model'!$B$2,INDEX('Reward Model'!$C$12:$C$14,MATCH($K2234,'Reward Model'!$A$12:$A$14,0))/$J2234)),3)</f>
        <v>0.861</v>
      </c>
      <c r="AA2234" s="2" t="n">
        <f aca="false">IF($I2234="Correct",ROUND(INDEX('Reward Model'!$B$12:$B$14,MATCH($K2234,'Reward Model'!$A$12:$A$14,0))*Z2234,2),0)</f>
        <v>1.72</v>
      </c>
      <c r="AB2234" s="2" t="n">
        <f aca="false">IF($I2234="Correct",ROUND(INDEX('Reward Model'!$B$12:$B$14,MATCH($Y2234,'Reward Model'!$A$12:$A$14,0))*Z2234,2),0)</f>
        <v>1.72</v>
      </c>
    </row>
    <row r="2235" customFormat="false" ht="15" hidden="false" customHeight="false" outlineLevel="0" collapsed="false">
      <c r="A2235" s="0" t="s">
        <v>354</v>
      </c>
      <c r="B2235" s="0" t="s">
        <v>355</v>
      </c>
      <c r="C2235" s="0" t="s">
        <v>322</v>
      </c>
      <c r="D2235" s="0" t="s">
        <v>31</v>
      </c>
      <c r="E2235" s="0" t="n">
        <v>14</v>
      </c>
      <c r="F2235" s="0" t="s">
        <v>68</v>
      </c>
      <c r="G2235" s="0" t="s">
        <v>51</v>
      </c>
      <c r="H2235" s="0" t="s">
        <v>51</v>
      </c>
      <c r="I2235" s="0" t="s">
        <v>34</v>
      </c>
      <c r="J2235" s="0" t="n">
        <v>1.5</v>
      </c>
      <c r="K2235" s="0" t="s">
        <v>60</v>
      </c>
      <c r="L2235" s="0" t="n">
        <f aca="false">INDEX(Summary!$F$2:$F$201,MATCH($B2235,Summary!$A$2:$A$201,0))</f>
        <v>20</v>
      </c>
      <c r="M2235" s="0" t="n">
        <f aca="false">INDEX(Summary!$I$2:$I$201,MATCH($B2235,Summary!$A$2:$A$201,0))</f>
        <v>2</v>
      </c>
      <c r="N2235" s="0" t="n">
        <f aca="false">INDEX(Summary!$J$2:$J$201,MATCH($B2235,Summary!$A$2:$A$201,0))</f>
        <v>3</v>
      </c>
      <c r="O2235" s="2" t="n">
        <f aca="false">INDEX(Summary!$K$2:$K$201,MATCH($B2235,Summary!$A$2:$A$201,0))</f>
        <v>8.15</v>
      </c>
      <c r="P2235" s="3" t="n">
        <f aca="false">INDEX(Summary!$L$2:$L$201,MATCH($B2235,Summary!$A$2:$A$201,0))</f>
        <v>4</v>
      </c>
      <c r="Q2235" s="3" t="n">
        <f aca="false">INDEX(Summary!$M$2:$M$201,MATCH($B2235,Summary!$A$2:$A$201,0))</f>
        <v>2</v>
      </c>
      <c r="R2235" s="2" t="n">
        <f aca="false">INDEX(Summary!$N$2:$N$201,MATCH($B2235,Summary!$A$2:$A$201,0))</f>
        <v>10.34</v>
      </c>
      <c r="S2235" s="3" t="n">
        <f aca="false">INDEX(Summary!$O$2:$O$201,MATCH($B2235,Summary!$A$2:$A$201,0))</f>
        <v>8</v>
      </c>
      <c r="T2235" s="3" t="n">
        <f aca="false">INDEX(Summary!$P$2:$P$201,MATCH($B2235,Summary!$A$2:$A$201,0))</f>
        <v>1</v>
      </c>
      <c r="U2235" s="2" t="n">
        <f aca="false">INDEX(Summary!$Q$2:$Q$201,MATCH($B2235,Summary!$A$2:$A$201,0))</f>
        <v>14.01</v>
      </c>
      <c r="V2235" s="2" t="n">
        <f aca="false">INDEX(Summary!$R$2:$R$201,MATCH($B2235,Summary!$A$2:$A$201,0))</f>
        <v>25.17</v>
      </c>
      <c r="W2235" s="0" t="str">
        <f aca="false">INDEX(Summary!$S$2:$S$201,MATCH($B2235,Summary!$A$2:$A$201,0))</f>
        <v>Silver</v>
      </c>
      <c r="X2235" s="2" t="n">
        <f aca="false">INDEX(Summary!$T$2:$T$201,MATCH($B2235,Summary!$A$2:$A$201,0))</f>
        <v>61.39</v>
      </c>
      <c r="Y2235" s="0" t="str">
        <f aca="false">INDEX('Reward Model'!$E$18:$E$37,MATCH($E2235,'Reward Model'!$A$18:$A$37,0))</f>
        <v>Medium</v>
      </c>
      <c r="Z2235" s="4" t="n">
        <f aca="false">ROUND(MIN(1,MAX('Reward Model'!$B$2,INDEX('Reward Model'!$C$12:$C$14,MATCH($K2235,'Reward Model'!$A$12:$A$14,0))/$J2235)),3)</f>
        <v>1</v>
      </c>
      <c r="AA2235" s="2" t="n">
        <f aca="false">IF($I2235="Correct",ROUND(INDEX('Reward Model'!$B$12:$B$14,MATCH($K2235,'Reward Model'!$A$12:$A$14,0))*Z2235,2),0)</f>
        <v>2</v>
      </c>
      <c r="AB2235" s="2" t="n">
        <f aca="false">IF($I2235="Correct",ROUND(INDEX('Reward Model'!$B$12:$B$14,MATCH($Y2235,'Reward Model'!$A$12:$A$14,0))*Z2235,2),0)</f>
        <v>2</v>
      </c>
    </row>
    <row r="2236" customFormat="false" ht="15" hidden="false" customHeight="false" outlineLevel="0" collapsed="false">
      <c r="A2236" s="0" t="s">
        <v>354</v>
      </c>
      <c r="B2236" s="0" t="s">
        <v>355</v>
      </c>
      <c r="C2236" s="0" t="s">
        <v>322</v>
      </c>
      <c r="D2236" s="0" t="s">
        <v>31</v>
      </c>
      <c r="E2236" s="0" t="n">
        <v>15</v>
      </c>
      <c r="F2236" s="0" t="s">
        <v>69</v>
      </c>
      <c r="G2236" s="0" t="s">
        <v>70</v>
      </c>
      <c r="H2236" s="0" t="s">
        <v>70</v>
      </c>
      <c r="I2236" s="0" t="s">
        <v>34</v>
      </c>
      <c r="J2236" s="0" t="n">
        <v>1.25</v>
      </c>
      <c r="K2236" s="0" t="s">
        <v>60</v>
      </c>
      <c r="L2236" s="0" t="n">
        <f aca="false">INDEX(Summary!$F$2:$F$201,MATCH($B2236,Summary!$A$2:$A$201,0))</f>
        <v>20</v>
      </c>
      <c r="M2236" s="0" t="n">
        <f aca="false">INDEX(Summary!$I$2:$I$201,MATCH($B2236,Summary!$A$2:$A$201,0))</f>
        <v>2</v>
      </c>
      <c r="N2236" s="0" t="n">
        <f aca="false">INDEX(Summary!$J$2:$J$201,MATCH($B2236,Summary!$A$2:$A$201,0))</f>
        <v>3</v>
      </c>
      <c r="O2236" s="2" t="n">
        <f aca="false">INDEX(Summary!$K$2:$K$201,MATCH($B2236,Summary!$A$2:$A$201,0))</f>
        <v>8.15</v>
      </c>
      <c r="P2236" s="3" t="n">
        <f aca="false">INDEX(Summary!$L$2:$L$201,MATCH($B2236,Summary!$A$2:$A$201,0))</f>
        <v>4</v>
      </c>
      <c r="Q2236" s="3" t="n">
        <f aca="false">INDEX(Summary!$M$2:$M$201,MATCH($B2236,Summary!$A$2:$A$201,0))</f>
        <v>2</v>
      </c>
      <c r="R2236" s="2" t="n">
        <f aca="false">INDEX(Summary!$N$2:$N$201,MATCH($B2236,Summary!$A$2:$A$201,0))</f>
        <v>10.34</v>
      </c>
      <c r="S2236" s="3" t="n">
        <f aca="false">INDEX(Summary!$O$2:$O$201,MATCH($B2236,Summary!$A$2:$A$201,0))</f>
        <v>8</v>
      </c>
      <c r="T2236" s="3" t="n">
        <f aca="false">INDEX(Summary!$P$2:$P$201,MATCH($B2236,Summary!$A$2:$A$201,0))</f>
        <v>1</v>
      </c>
      <c r="U2236" s="2" t="n">
        <f aca="false">INDEX(Summary!$Q$2:$Q$201,MATCH($B2236,Summary!$A$2:$A$201,0))</f>
        <v>14.01</v>
      </c>
      <c r="V2236" s="2" t="n">
        <f aca="false">INDEX(Summary!$R$2:$R$201,MATCH($B2236,Summary!$A$2:$A$201,0))</f>
        <v>25.17</v>
      </c>
      <c r="W2236" s="0" t="str">
        <f aca="false">INDEX(Summary!$S$2:$S$201,MATCH($B2236,Summary!$A$2:$A$201,0))</f>
        <v>Silver</v>
      </c>
      <c r="X2236" s="2" t="n">
        <f aca="false">INDEX(Summary!$T$2:$T$201,MATCH($B2236,Summary!$A$2:$A$201,0))</f>
        <v>61.39</v>
      </c>
      <c r="Y2236" s="0" t="str">
        <f aca="false">INDEX('Reward Model'!$E$18:$E$37,MATCH($E2236,'Reward Model'!$A$18:$A$37,0))</f>
        <v>Medium</v>
      </c>
      <c r="Z2236" s="4" t="n">
        <f aca="false">ROUND(MIN(1,MAX('Reward Model'!$B$2,INDEX('Reward Model'!$C$12:$C$14,MATCH($K2236,'Reward Model'!$A$12:$A$14,0))/$J2236)),3)</f>
        <v>1</v>
      </c>
      <c r="AA2236" s="2" t="n">
        <f aca="false">IF($I2236="Correct",ROUND(INDEX('Reward Model'!$B$12:$B$14,MATCH($K2236,'Reward Model'!$A$12:$A$14,0))*Z2236,2),0)</f>
        <v>2</v>
      </c>
      <c r="AB2236" s="2" t="n">
        <f aca="false">IF($I2236="Correct",ROUND(INDEX('Reward Model'!$B$12:$B$14,MATCH($Y2236,'Reward Model'!$A$12:$A$14,0))*Z2236,2),0)</f>
        <v>2</v>
      </c>
    </row>
    <row r="2237" customFormat="false" ht="15" hidden="false" customHeight="false" outlineLevel="0" collapsed="false">
      <c r="A2237" s="0" t="s">
        <v>354</v>
      </c>
      <c r="B2237" s="0" t="s">
        <v>355</v>
      </c>
      <c r="C2237" s="0" t="s">
        <v>322</v>
      </c>
      <c r="D2237" s="0" t="s">
        <v>31</v>
      </c>
      <c r="E2237" s="0" t="n">
        <v>16</v>
      </c>
      <c r="F2237" s="0" t="s">
        <v>71</v>
      </c>
      <c r="G2237" s="0" t="s">
        <v>101</v>
      </c>
      <c r="H2237" s="0" t="s">
        <v>72</v>
      </c>
      <c r="I2237" s="0" t="s">
        <v>39</v>
      </c>
      <c r="J2237" s="0" t="n">
        <v>1.7</v>
      </c>
      <c r="K2237" s="0" t="s">
        <v>73</v>
      </c>
      <c r="L2237" s="0" t="n">
        <f aca="false">INDEX(Summary!$F$2:$F$201,MATCH($B2237,Summary!$A$2:$A$201,0))</f>
        <v>20</v>
      </c>
      <c r="M2237" s="0" t="n">
        <f aca="false">INDEX(Summary!$I$2:$I$201,MATCH($B2237,Summary!$A$2:$A$201,0))</f>
        <v>2</v>
      </c>
      <c r="N2237" s="0" t="n">
        <f aca="false">INDEX(Summary!$J$2:$J$201,MATCH($B2237,Summary!$A$2:$A$201,0))</f>
        <v>3</v>
      </c>
      <c r="O2237" s="2" t="n">
        <f aca="false">INDEX(Summary!$K$2:$K$201,MATCH($B2237,Summary!$A$2:$A$201,0))</f>
        <v>8.15</v>
      </c>
      <c r="P2237" s="3" t="n">
        <f aca="false">INDEX(Summary!$L$2:$L$201,MATCH($B2237,Summary!$A$2:$A$201,0))</f>
        <v>4</v>
      </c>
      <c r="Q2237" s="3" t="n">
        <f aca="false">INDEX(Summary!$M$2:$M$201,MATCH($B2237,Summary!$A$2:$A$201,0))</f>
        <v>2</v>
      </c>
      <c r="R2237" s="2" t="n">
        <f aca="false">INDEX(Summary!$N$2:$N$201,MATCH($B2237,Summary!$A$2:$A$201,0))</f>
        <v>10.34</v>
      </c>
      <c r="S2237" s="3" t="n">
        <f aca="false">INDEX(Summary!$O$2:$O$201,MATCH($B2237,Summary!$A$2:$A$201,0))</f>
        <v>8</v>
      </c>
      <c r="T2237" s="3" t="n">
        <f aca="false">INDEX(Summary!$P$2:$P$201,MATCH($B2237,Summary!$A$2:$A$201,0))</f>
        <v>1</v>
      </c>
      <c r="U2237" s="2" t="n">
        <f aca="false">INDEX(Summary!$Q$2:$Q$201,MATCH($B2237,Summary!$A$2:$A$201,0))</f>
        <v>14.01</v>
      </c>
      <c r="V2237" s="2" t="n">
        <f aca="false">INDEX(Summary!$R$2:$R$201,MATCH($B2237,Summary!$A$2:$A$201,0))</f>
        <v>25.17</v>
      </c>
      <c r="W2237" s="0" t="str">
        <f aca="false">INDEX(Summary!$S$2:$S$201,MATCH($B2237,Summary!$A$2:$A$201,0))</f>
        <v>Silver</v>
      </c>
      <c r="X2237" s="2" t="n">
        <f aca="false">INDEX(Summary!$T$2:$T$201,MATCH($B2237,Summary!$A$2:$A$201,0))</f>
        <v>61.39</v>
      </c>
      <c r="Y2237" s="0" t="str">
        <f aca="false">INDEX('Reward Model'!$E$18:$E$37,MATCH($E2237,'Reward Model'!$A$18:$A$37,0))</f>
        <v>High</v>
      </c>
      <c r="Z2237" s="4" t="n">
        <f aca="false">ROUND(MIN(1,MAX('Reward Model'!$B$2,INDEX('Reward Model'!$C$12:$C$14,MATCH($K2237,'Reward Model'!$A$12:$A$14,0))/$J2237)),3)</f>
        <v>1</v>
      </c>
      <c r="AA2237" s="2" t="n">
        <f aca="false">IF($I2237="Correct",ROUND(INDEX('Reward Model'!$B$12:$B$14,MATCH($K2237,'Reward Model'!$A$12:$A$14,0))*Z2237,2),0)</f>
        <v>0</v>
      </c>
      <c r="AB2237" s="2" t="n">
        <f aca="false">IF($I2237="Correct",ROUND(INDEX('Reward Model'!$B$12:$B$14,MATCH($Y2237,'Reward Model'!$A$12:$A$14,0))*Z2237,2),0)</f>
        <v>0</v>
      </c>
    </row>
    <row r="2238" customFormat="false" ht="15" hidden="false" customHeight="false" outlineLevel="0" collapsed="false">
      <c r="A2238" s="0" t="s">
        <v>354</v>
      </c>
      <c r="B2238" s="0" t="s">
        <v>355</v>
      </c>
      <c r="C2238" s="0" t="s">
        <v>322</v>
      </c>
      <c r="D2238" s="0" t="s">
        <v>31</v>
      </c>
      <c r="E2238" s="0" t="n">
        <v>17</v>
      </c>
      <c r="F2238" s="0" t="s">
        <v>74</v>
      </c>
      <c r="G2238" s="0" t="s">
        <v>75</v>
      </c>
      <c r="H2238" s="0" t="s">
        <v>75</v>
      </c>
      <c r="I2238" s="0" t="s">
        <v>34</v>
      </c>
      <c r="J2238" s="0" t="n">
        <v>1.46</v>
      </c>
      <c r="K2238" s="0" t="s">
        <v>73</v>
      </c>
      <c r="L2238" s="0" t="n">
        <f aca="false">INDEX(Summary!$F$2:$F$201,MATCH($B2238,Summary!$A$2:$A$201,0))</f>
        <v>20</v>
      </c>
      <c r="M2238" s="0" t="n">
        <f aca="false">INDEX(Summary!$I$2:$I$201,MATCH($B2238,Summary!$A$2:$A$201,0))</f>
        <v>2</v>
      </c>
      <c r="N2238" s="0" t="n">
        <f aca="false">INDEX(Summary!$J$2:$J$201,MATCH($B2238,Summary!$A$2:$A$201,0))</f>
        <v>3</v>
      </c>
      <c r="O2238" s="2" t="n">
        <f aca="false">INDEX(Summary!$K$2:$K$201,MATCH($B2238,Summary!$A$2:$A$201,0))</f>
        <v>8.15</v>
      </c>
      <c r="P2238" s="3" t="n">
        <f aca="false">INDEX(Summary!$L$2:$L$201,MATCH($B2238,Summary!$A$2:$A$201,0))</f>
        <v>4</v>
      </c>
      <c r="Q2238" s="3" t="n">
        <f aca="false">INDEX(Summary!$M$2:$M$201,MATCH($B2238,Summary!$A$2:$A$201,0))</f>
        <v>2</v>
      </c>
      <c r="R2238" s="2" t="n">
        <f aca="false">INDEX(Summary!$N$2:$N$201,MATCH($B2238,Summary!$A$2:$A$201,0))</f>
        <v>10.34</v>
      </c>
      <c r="S2238" s="3" t="n">
        <f aca="false">INDEX(Summary!$O$2:$O$201,MATCH($B2238,Summary!$A$2:$A$201,0))</f>
        <v>8</v>
      </c>
      <c r="T2238" s="3" t="n">
        <f aca="false">INDEX(Summary!$P$2:$P$201,MATCH($B2238,Summary!$A$2:$A$201,0))</f>
        <v>1</v>
      </c>
      <c r="U2238" s="2" t="n">
        <f aca="false">INDEX(Summary!$Q$2:$Q$201,MATCH($B2238,Summary!$A$2:$A$201,0))</f>
        <v>14.01</v>
      </c>
      <c r="V2238" s="2" t="n">
        <f aca="false">INDEX(Summary!$R$2:$R$201,MATCH($B2238,Summary!$A$2:$A$201,0))</f>
        <v>25.17</v>
      </c>
      <c r="W2238" s="0" t="str">
        <f aca="false">INDEX(Summary!$S$2:$S$201,MATCH($B2238,Summary!$A$2:$A$201,0))</f>
        <v>Silver</v>
      </c>
      <c r="X2238" s="2" t="n">
        <f aca="false">INDEX(Summary!$T$2:$T$201,MATCH($B2238,Summary!$A$2:$A$201,0))</f>
        <v>61.39</v>
      </c>
      <c r="Y2238" s="0" t="str">
        <f aca="false">INDEX('Reward Model'!$E$18:$E$37,MATCH($E2238,'Reward Model'!$A$18:$A$37,0))</f>
        <v>High</v>
      </c>
      <c r="Z2238" s="4" t="n">
        <f aca="false">ROUND(MIN(1,MAX('Reward Model'!$B$2,INDEX('Reward Model'!$C$12:$C$14,MATCH($K2238,'Reward Model'!$A$12:$A$14,0))/$J2238)),3)</f>
        <v>1</v>
      </c>
      <c r="AA2238" s="2" t="n">
        <f aca="false">IF($I2238="Correct",ROUND(INDEX('Reward Model'!$B$12:$B$14,MATCH($K2238,'Reward Model'!$A$12:$A$14,0))*Z2238,2),0)</f>
        <v>3</v>
      </c>
      <c r="AB2238" s="2" t="n">
        <f aca="false">IF($I2238="Correct",ROUND(INDEX('Reward Model'!$B$12:$B$14,MATCH($Y2238,'Reward Model'!$A$12:$A$14,0))*Z2238,2),0)</f>
        <v>3</v>
      </c>
    </row>
    <row r="2239" customFormat="false" ht="15" hidden="false" customHeight="false" outlineLevel="0" collapsed="false">
      <c r="A2239" s="0" t="s">
        <v>354</v>
      </c>
      <c r="B2239" s="0" t="s">
        <v>355</v>
      </c>
      <c r="C2239" s="0" t="s">
        <v>322</v>
      </c>
      <c r="D2239" s="0" t="s">
        <v>31</v>
      </c>
      <c r="E2239" s="0" t="n">
        <v>18</v>
      </c>
      <c r="F2239" s="0" t="s">
        <v>76</v>
      </c>
      <c r="G2239" s="0" t="s">
        <v>77</v>
      </c>
      <c r="H2239" s="0" t="s">
        <v>77</v>
      </c>
      <c r="I2239" s="0" t="s">
        <v>34</v>
      </c>
      <c r="J2239" s="0" t="n">
        <v>1.45</v>
      </c>
      <c r="K2239" s="0" t="s">
        <v>73</v>
      </c>
      <c r="L2239" s="0" t="n">
        <f aca="false">INDEX(Summary!$F$2:$F$201,MATCH($B2239,Summary!$A$2:$A$201,0))</f>
        <v>20</v>
      </c>
      <c r="M2239" s="0" t="n">
        <f aca="false">INDEX(Summary!$I$2:$I$201,MATCH($B2239,Summary!$A$2:$A$201,0))</f>
        <v>2</v>
      </c>
      <c r="N2239" s="0" t="n">
        <f aca="false">INDEX(Summary!$J$2:$J$201,MATCH($B2239,Summary!$A$2:$A$201,0))</f>
        <v>3</v>
      </c>
      <c r="O2239" s="2" t="n">
        <f aca="false">INDEX(Summary!$K$2:$K$201,MATCH($B2239,Summary!$A$2:$A$201,0))</f>
        <v>8.15</v>
      </c>
      <c r="P2239" s="3" t="n">
        <f aca="false">INDEX(Summary!$L$2:$L$201,MATCH($B2239,Summary!$A$2:$A$201,0))</f>
        <v>4</v>
      </c>
      <c r="Q2239" s="3" t="n">
        <f aca="false">INDEX(Summary!$M$2:$M$201,MATCH($B2239,Summary!$A$2:$A$201,0))</f>
        <v>2</v>
      </c>
      <c r="R2239" s="2" t="n">
        <f aca="false">INDEX(Summary!$N$2:$N$201,MATCH($B2239,Summary!$A$2:$A$201,0))</f>
        <v>10.34</v>
      </c>
      <c r="S2239" s="3" t="n">
        <f aca="false">INDEX(Summary!$O$2:$O$201,MATCH($B2239,Summary!$A$2:$A$201,0))</f>
        <v>8</v>
      </c>
      <c r="T2239" s="3" t="n">
        <f aca="false">INDEX(Summary!$P$2:$P$201,MATCH($B2239,Summary!$A$2:$A$201,0))</f>
        <v>1</v>
      </c>
      <c r="U2239" s="2" t="n">
        <f aca="false">INDEX(Summary!$Q$2:$Q$201,MATCH($B2239,Summary!$A$2:$A$201,0))</f>
        <v>14.01</v>
      </c>
      <c r="V2239" s="2" t="n">
        <f aca="false">INDEX(Summary!$R$2:$R$201,MATCH($B2239,Summary!$A$2:$A$201,0))</f>
        <v>25.17</v>
      </c>
      <c r="W2239" s="0" t="str">
        <f aca="false">INDEX(Summary!$S$2:$S$201,MATCH($B2239,Summary!$A$2:$A$201,0))</f>
        <v>Silver</v>
      </c>
      <c r="X2239" s="2" t="n">
        <f aca="false">INDEX(Summary!$T$2:$T$201,MATCH($B2239,Summary!$A$2:$A$201,0))</f>
        <v>61.39</v>
      </c>
      <c r="Y2239" s="0" t="str">
        <f aca="false">INDEX('Reward Model'!$E$18:$E$37,MATCH($E2239,'Reward Model'!$A$18:$A$37,0))</f>
        <v>High</v>
      </c>
      <c r="Z2239" s="4" t="n">
        <f aca="false">ROUND(MIN(1,MAX('Reward Model'!$B$2,INDEX('Reward Model'!$C$12:$C$14,MATCH($K2239,'Reward Model'!$A$12:$A$14,0))/$J2239)),3)</f>
        <v>1</v>
      </c>
      <c r="AA2239" s="2" t="n">
        <f aca="false">IF($I2239="Correct",ROUND(INDEX('Reward Model'!$B$12:$B$14,MATCH($K2239,'Reward Model'!$A$12:$A$14,0))*Z2239,2),0)</f>
        <v>3</v>
      </c>
      <c r="AB2239" s="2" t="n">
        <f aca="false">IF($I2239="Correct",ROUND(INDEX('Reward Model'!$B$12:$B$14,MATCH($Y2239,'Reward Model'!$A$12:$A$14,0))*Z2239,2),0)</f>
        <v>3</v>
      </c>
    </row>
    <row r="2240" customFormat="false" ht="15" hidden="false" customHeight="false" outlineLevel="0" collapsed="false">
      <c r="A2240" s="0" t="s">
        <v>354</v>
      </c>
      <c r="B2240" s="0" t="s">
        <v>355</v>
      </c>
      <c r="C2240" s="0" t="s">
        <v>322</v>
      </c>
      <c r="D2240" s="0" t="s">
        <v>31</v>
      </c>
      <c r="E2240" s="0" t="n">
        <v>19</v>
      </c>
      <c r="F2240" s="0" t="s">
        <v>78</v>
      </c>
      <c r="G2240" s="0" t="s">
        <v>132</v>
      </c>
      <c r="H2240" s="0" t="s">
        <v>80</v>
      </c>
      <c r="I2240" s="0" t="s">
        <v>39</v>
      </c>
      <c r="J2240" s="0" t="n">
        <v>1.23</v>
      </c>
      <c r="K2240" s="0" t="s">
        <v>73</v>
      </c>
      <c r="L2240" s="0" t="n">
        <f aca="false">INDEX(Summary!$F$2:$F$201,MATCH($B2240,Summary!$A$2:$A$201,0))</f>
        <v>20</v>
      </c>
      <c r="M2240" s="0" t="n">
        <f aca="false">INDEX(Summary!$I$2:$I$201,MATCH($B2240,Summary!$A$2:$A$201,0))</f>
        <v>2</v>
      </c>
      <c r="N2240" s="0" t="n">
        <f aca="false">INDEX(Summary!$J$2:$J$201,MATCH($B2240,Summary!$A$2:$A$201,0))</f>
        <v>3</v>
      </c>
      <c r="O2240" s="2" t="n">
        <f aca="false">INDEX(Summary!$K$2:$K$201,MATCH($B2240,Summary!$A$2:$A$201,0))</f>
        <v>8.15</v>
      </c>
      <c r="P2240" s="3" t="n">
        <f aca="false">INDEX(Summary!$L$2:$L$201,MATCH($B2240,Summary!$A$2:$A$201,0))</f>
        <v>4</v>
      </c>
      <c r="Q2240" s="3" t="n">
        <f aca="false">INDEX(Summary!$M$2:$M$201,MATCH($B2240,Summary!$A$2:$A$201,0))</f>
        <v>2</v>
      </c>
      <c r="R2240" s="2" t="n">
        <f aca="false">INDEX(Summary!$N$2:$N$201,MATCH($B2240,Summary!$A$2:$A$201,0))</f>
        <v>10.34</v>
      </c>
      <c r="S2240" s="3" t="n">
        <f aca="false">INDEX(Summary!$O$2:$O$201,MATCH($B2240,Summary!$A$2:$A$201,0))</f>
        <v>8</v>
      </c>
      <c r="T2240" s="3" t="n">
        <f aca="false">INDEX(Summary!$P$2:$P$201,MATCH($B2240,Summary!$A$2:$A$201,0))</f>
        <v>1</v>
      </c>
      <c r="U2240" s="2" t="n">
        <f aca="false">INDEX(Summary!$Q$2:$Q$201,MATCH($B2240,Summary!$A$2:$A$201,0))</f>
        <v>14.01</v>
      </c>
      <c r="V2240" s="2" t="n">
        <f aca="false">INDEX(Summary!$R$2:$R$201,MATCH($B2240,Summary!$A$2:$A$201,0))</f>
        <v>25.17</v>
      </c>
      <c r="W2240" s="0" t="str">
        <f aca="false">INDEX(Summary!$S$2:$S$201,MATCH($B2240,Summary!$A$2:$A$201,0))</f>
        <v>Silver</v>
      </c>
      <c r="X2240" s="2" t="n">
        <f aca="false">INDEX(Summary!$T$2:$T$201,MATCH($B2240,Summary!$A$2:$A$201,0))</f>
        <v>61.39</v>
      </c>
      <c r="Y2240" s="0" t="str">
        <f aca="false">INDEX('Reward Model'!$E$18:$E$37,MATCH($E2240,'Reward Model'!$A$18:$A$37,0))</f>
        <v>High</v>
      </c>
      <c r="Z2240" s="4" t="n">
        <f aca="false">ROUND(MIN(1,MAX('Reward Model'!$B$2,INDEX('Reward Model'!$C$12:$C$14,MATCH($K2240,'Reward Model'!$A$12:$A$14,0))/$J2240)),3)</f>
        <v>1</v>
      </c>
      <c r="AA2240" s="2" t="n">
        <f aca="false">IF($I2240="Correct",ROUND(INDEX('Reward Model'!$B$12:$B$14,MATCH($K2240,'Reward Model'!$A$12:$A$14,0))*Z2240,2),0)</f>
        <v>0</v>
      </c>
      <c r="AB2240" s="2" t="n">
        <f aca="false">IF($I2240="Correct",ROUND(INDEX('Reward Model'!$B$12:$B$14,MATCH($Y2240,'Reward Model'!$A$12:$A$14,0))*Z2240,2),0)</f>
        <v>0</v>
      </c>
    </row>
    <row r="2241" customFormat="false" ht="15" hidden="false" customHeight="false" outlineLevel="0" collapsed="false">
      <c r="A2241" s="0" t="s">
        <v>354</v>
      </c>
      <c r="B2241" s="0" t="s">
        <v>355</v>
      </c>
      <c r="C2241" s="0" t="s">
        <v>322</v>
      </c>
      <c r="D2241" s="0" t="s">
        <v>31</v>
      </c>
      <c r="E2241" s="0" t="n">
        <v>20</v>
      </c>
      <c r="F2241" s="0" t="s">
        <v>81</v>
      </c>
      <c r="G2241" s="0" t="s">
        <v>82</v>
      </c>
      <c r="H2241" s="0" t="s">
        <v>83</v>
      </c>
      <c r="I2241" s="0" t="s">
        <v>39</v>
      </c>
      <c r="J2241" s="0" t="n">
        <v>2.31</v>
      </c>
      <c r="K2241" s="0" t="s">
        <v>73</v>
      </c>
      <c r="L2241" s="0" t="n">
        <f aca="false">INDEX(Summary!$F$2:$F$201,MATCH($B2241,Summary!$A$2:$A$201,0))</f>
        <v>20</v>
      </c>
      <c r="M2241" s="0" t="n">
        <f aca="false">INDEX(Summary!$I$2:$I$201,MATCH($B2241,Summary!$A$2:$A$201,0))</f>
        <v>2</v>
      </c>
      <c r="N2241" s="0" t="n">
        <f aca="false">INDEX(Summary!$J$2:$J$201,MATCH($B2241,Summary!$A$2:$A$201,0))</f>
        <v>3</v>
      </c>
      <c r="O2241" s="2" t="n">
        <f aca="false">INDEX(Summary!$K$2:$K$201,MATCH($B2241,Summary!$A$2:$A$201,0))</f>
        <v>8.15</v>
      </c>
      <c r="P2241" s="3" t="n">
        <f aca="false">INDEX(Summary!$L$2:$L$201,MATCH($B2241,Summary!$A$2:$A$201,0))</f>
        <v>4</v>
      </c>
      <c r="Q2241" s="3" t="n">
        <f aca="false">INDEX(Summary!$M$2:$M$201,MATCH($B2241,Summary!$A$2:$A$201,0))</f>
        <v>2</v>
      </c>
      <c r="R2241" s="2" t="n">
        <f aca="false">INDEX(Summary!$N$2:$N$201,MATCH($B2241,Summary!$A$2:$A$201,0))</f>
        <v>10.34</v>
      </c>
      <c r="S2241" s="3" t="n">
        <f aca="false">INDEX(Summary!$O$2:$O$201,MATCH($B2241,Summary!$A$2:$A$201,0))</f>
        <v>8</v>
      </c>
      <c r="T2241" s="3" t="n">
        <f aca="false">INDEX(Summary!$P$2:$P$201,MATCH($B2241,Summary!$A$2:$A$201,0))</f>
        <v>1</v>
      </c>
      <c r="U2241" s="2" t="n">
        <f aca="false">INDEX(Summary!$Q$2:$Q$201,MATCH($B2241,Summary!$A$2:$A$201,0))</f>
        <v>14.01</v>
      </c>
      <c r="V2241" s="2" t="n">
        <f aca="false">INDEX(Summary!$R$2:$R$201,MATCH($B2241,Summary!$A$2:$A$201,0))</f>
        <v>25.17</v>
      </c>
      <c r="W2241" s="0" t="str">
        <f aca="false">INDEX(Summary!$S$2:$S$201,MATCH($B2241,Summary!$A$2:$A$201,0))</f>
        <v>Silver</v>
      </c>
      <c r="X2241" s="2" t="n">
        <f aca="false">INDEX(Summary!$T$2:$T$201,MATCH($B2241,Summary!$A$2:$A$201,0))</f>
        <v>61.39</v>
      </c>
      <c r="Y2241" s="0" t="str">
        <f aca="false">INDEX('Reward Model'!$E$18:$E$37,MATCH($E2241,'Reward Model'!$A$18:$A$37,0))</f>
        <v>High</v>
      </c>
      <c r="Z2241" s="4" t="n">
        <f aca="false">ROUND(MIN(1,MAX('Reward Model'!$B$2,INDEX('Reward Model'!$C$12:$C$14,MATCH($K2241,'Reward Model'!$A$12:$A$14,0))/$J2241)),3)</f>
        <v>0.866</v>
      </c>
      <c r="AA2241" s="2" t="n">
        <f aca="false">IF($I2241="Correct",ROUND(INDEX('Reward Model'!$B$12:$B$14,MATCH($K2241,'Reward Model'!$A$12:$A$14,0))*Z2241,2),0)</f>
        <v>0</v>
      </c>
      <c r="AB2241" s="2" t="n">
        <f aca="false">IF($I2241="Correct",ROUND(INDEX('Reward Model'!$B$12:$B$14,MATCH($Y2241,'Reward Model'!$A$12:$A$14,0))*Z2241,2),0)</f>
        <v>0</v>
      </c>
    </row>
    <row r="2242" customFormat="false" ht="15" hidden="false" customHeight="false" outlineLevel="0" collapsed="false">
      <c r="A2242" s="0" t="s">
        <v>356</v>
      </c>
      <c r="B2242" s="0" t="s">
        <v>357</v>
      </c>
      <c r="C2242" s="0" t="s">
        <v>322</v>
      </c>
      <c r="D2242" s="0" t="s">
        <v>31</v>
      </c>
      <c r="E2242" s="0" t="n">
        <v>1</v>
      </c>
      <c r="F2242" s="0" t="s">
        <v>32</v>
      </c>
      <c r="G2242" s="0" t="s">
        <v>33</v>
      </c>
      <c r="H2242" s="0" t="s">
        <v>33</v>
      </c>
      <c r="I2242" s="0" t="s">
        <v>34</v>
      </c>
      <c r="J2242" s="0" t="n">
        <v>1.15</v>
      </c>
      <c r="K2242" s="0" t="s">
        <v>35</v>
      </c>
      <c r="L2242" s="0" t="n">
        <f aca="false">INDEX(Summary!$F$2:$F$201,MATCH($B2242,Summary!$A$2:$A$201,0))</f>
        <v>20</v>
      </c>
      <c r="M2242" s="0" t="n">
        <f aca="false">INDEX(Summary!$I$2:$I$201,MATCH($B2242,Summary!$A$2:$A$201,0))</f>
        <v>4</v>
      </c>
      <c r="N2242" s="0" t="n">
        <f aca="false">INDEX(Summary!$J$2:$J$201,MATCH($B2242,Summary!$A$2:$A$201,0))</f>
        <v>1</v>
      </c>
      <c r="O2242" s="2" t="n">
        <f aca="false">INDEX(Summary!$K$2:$K$201,MATCH($B2242,Summary!$A$2:$A$201,0))</f>
        <v>8.55</v>
      </c>
      <c r="P2242" s="3" t="n">
        <f aca="false">INDEX(Summary!$L$2:$L$201,MATCH($B2242,Summary!$A$2:$A$201,0))</f>
        <v>4</v>
      </c>
      <c r="Q2242" s="3" t="n">
        <f aca="false">INDEX(Summary!$M$2:$M$201,MATCH($B2242,Summary!$A$2:$A$201,0))</f>
        <v>2</v>
      </c>
      <c r="R2242" s="2" t="n">
        <f aca="false">INDEX(Summary!$N$2:$N$201,MATCH($B2242,Summary!$A$2:$A$201,0))</f>
        <v>10.09</v>
      </c>
      <c r="S2242" s="3" t="n">
        <f aca="false">INDEX(Summary!$O$2:$O$201,MATCH($B2242,Summary!$A$2:$A$201,0))</f>
        <v>8</v>
      </c>
      <c r="T2242" s="3" t="n">
        <f aca="false">INDEX(Summary!$P$2:$P$201,MATCH($B2242,Summary!$A$2:$A$201,0))</f>
        <v>1</v>
      </c>
      <c r="U2242" s="2" t="n">
        <f aca="false">INDEX(Summary!$Q$2:$Q$201,MATCH($B2242,Summary!$A$2:$A$201,0))</f>
        <v>12.65</v>
      </c>
      <c r="V2242" s="2" t="n">
        <f aca="false">INDEX(Summary!$R$2:$R$201,MATCH($B2242,Summary!$A$2:$A$201,0))</f>
        <v>30.63</v>
      </c>
      <c r="W2242" s="0" t="str">
        <f aca="false">INDEX(Summary!$S$2:$S$201,MATCH($B2242,Summary!$A$2:$A$201,0))</f>
        <v>Gold</v>
      </c>
      <c r="X2242" s="2" t="n">
        <f aca="false">INDEX(Summary!$T$2:$T$201,MATCH($B2242,Summary!$A$2:$A$201,0))</f>
        <v>74.71</v>
      </c>
      <c r="Y2242" s="0" t="str">
        <f aca="false">INDEX('Reward Model'!$E$18:$E$37,MATCH($E2242,'Reward Model'!$A$18:$A$37,0))</f>
        <v>Medium</v>
      </c>
      <c r="Z2242" s="4" t="n">
        <f aca="false">ROUND(MIN(1,MAX('Reward Model'!$B$2,INDEX('Reward Model'!$C$12:$C$14,MATCH($K2242,'Reward Model'!$A$12:$A$14,0))/$J2242)),3)</f>
        <v>1</v>
      </c>
      <c r="AA2242" s="2" t="n">
        <f aca="false">IF($I2242="Correct",ROUND(INDEX('Reward Model'!$B$12:$B$14,MATCH($K2242,'Reward Model'!$A$12:$A$14,0))*Z2242,2),0)</f>
        <v>1</v>
      </c>
      <c r="AB2242" s="2" t="n">
        <f aca="false">IF($I2242="Correct",ROUND(INDEX('Reward Model'!$B$12:$B$14,MATCH($Y2242,'Reward Model'!$A$12:$A$14,0))*Z2242,2),0)</f>
        <v>2</v>
      </c>
    </row>
    <row r="2243" customFormat="false" ht="15" hidden="false" customHeight="false" outlineLevel="0" collapsed="false">
      <c r="A2243" s="0" t="s">
        <v>356</v>
      </c>
      <c r="B2243" s="0" t="s">
        <v>357</v>
      </c>
      <c r="C2243" s="0" t="s">
        <v>322</v>
      </c>
      <c r="D2243" s="0" t="s">
        <v>31</v>
      </c>
      <c r="E2243" s="0" t="n">
        <v>2</v>
      </c>
      <c r="F2243" s="0" t="s">
        <v>36</v>
      </c>
      <c r="G2243" s="0" t="s">
        <v>38</v>
      </c>
      <c r="H2243" s="0" t="s">
        <v>38</v>
      </c>
      <c r="I2243" s="0" t="s">
        <v>34</v>
      </c>
      <c r="J2243" s="0" t="n">
        <v>1.64</v>
      </c>
      <c r="K2243" s="0" t="s">
        <v>35</v>
      </c>
      <c r="L2243" s="0" t="n">
        <f aca="false">INDEX(Summary!$F$2:$F$201,MATCH($B2243,Summary!$A$2:$A$201,0))</f>
        <v>20</v>
      </c>
      <c r="M2243" s="0" t="n">
        <f aca="false">INDEX(Summary!$I$2:$I$201,MATCH($B2243,Summary!$A$2:$A$201,0))</f>
        <v>4</v>
      </c>
      <c r="N2243" s="0" t="n">
        <f aca="false">INDEX(Summary!$J$2:$J$201,MATCH($B2243,Summary!$A$2:$A$201,0))</f>
        <v>1</v>
      </c>
      <c r="O2243" s="2" t="n">
        <f aca="false">INDEX(Summary!$K$2:$K$201,MATCH($B2243,Summary!$A$2:$A$201,0))</f>
        <v>8.55</v>
      </c>
      <c r="P2243" s="3" t="n">
        <f aca="false">INDEX(Summary!$L$2:$L$201,MATCH($B2243,Summary!$A$2:$A$201,0))</f>
        <v>4</v>
      </c>
      <c r="Q2243" s="3" t="n">
        <f aca="false">INDEX(Summary!$M$2:$M$201,MATCH($B2243,Summary!$A$2:$A$201,0))</f>
        <v>2</v>
      </c>
      <c r="R2243" s="2" t="n">
        <f aca="false">INDEX(Summary!$N$2:$N$201,MATCH($B2243,Summary!$A$2:$A$201,0))</f>
        <v>10.09</v>
      </c>
      <c r="S2243" s="3" t="n">
        <f aca="false">INDEX(Summary!$O$2:$O$201,MATCH($B2243,Summary!$A$2:$A$201,0))</f>
        <v>8</v>
      </c>
      <c r="T2243" s="3" t="n">
        <f aca="false">INDEX(Summary!$P$2:$P$201,MATCH($B2243,Summary!$A$2:$A$201,0))</f>
        <v>1</v>
      </c>
      <c r="U2243" s="2" t="n">
        <f aca="false">INDEX(Summary!$Q$2:$Q$201,MATCH($B2243,Summary!$A$2:$A$201,0))</f>
        <v>12.65</v>
      </c>
      <c r="V2243" s="2" t="n">
        <f aca="false">INDEX(Summary!$R$2:$R$201,MATCH($B2243,Summary!$A$2:$A$201,0))</f>
        <v>30.63</v>
      </c>
      <c r="W2243" s="0" t="str">
        <f aca="false">INDEX(Summary!$S$2:$S$201,MATCH($B2243,Summary!$A$2:$A$201,0))</f>
        <v>Gold</v>
      </c>
      <c r="X2243" s="2" t="n">
        <f aca="false">INDEX(Summary!$T$2:$T$201,MATCH($B2243,Summary!$A$2:$A$201,0))</f>
        <v>74.71</v>
      </c>
      <c r="Y2243" s="0" t="str">
        <f aca="false">INDEX('Reward Model'!$E$18:$E$37,MATCH($E2243,'Reward Model'!$A$18:$A$37,0))</f>
        <v>Low</v>
      </c>
      <c r="Z2243" s="4" t="n">
        <f aca="false">ROUND(MIN(1,MAX('Reward Model'!$B$2,INDEX('Reward Model'!$C$12:$C$14,MATCH($K2243,'Reward Model'!$A$12:$A$14,0))/$J2243)),3)</f>
        <v>0.915</v>
      </c>
      <c r="AA2243" s="2" t="n">
        <f aca="false">IF($I2243="Correct",ROUND(INDEX('Reward Model'!$B$12:$B$14,MATCH($K2243,'Reward Model'!$A$12:$A$14,0))*Z2243,2),0)</f>
        <v>0.92</v>
      </c>
      <c r="AB2243" s="2" t="n">
        <f aca="false">IF($I2243="Correct",ROUND(INDEX('Reward Model'!$B$12:$B$14,MATCH($Y2243,'Reward Model'!$A$12:$A$14,0))*Z2243,2),0)</f>
        <v>0.92</v>
      </c>
    </row>
    <row r="2244" customFormat="false" ht="15" hidden="false" customHeight="false" outlineLevel="0" collapsed="false">
      <c r="A2244" s="0" t="s">
        <v>356</v>
      </c>
      <c r="B2244" s="0" t="s">
        <v>357</v>
      </c>
      <c r="C2244" s="0" t="s">
        <v>322</v>
      </c>
      <c r="D2244" s="0" t="s">
        <v>31</v>
      </c>
      <c r="E2244" s="0" t="n">
        <v>3</v>
      </c>
      <c r="F2244" s="0" t="s">
        <v>40</v>
      </c>
      <c r="G2244" s="0" t="s">
        <v>42</v>
      </c>
      <c r="H2244" s="0" t="s">
        <v>42</v>
      </c>
      <c r="I2244" s="0" t="s">
        <v>34</v>
      </c>
      <c r="J2244" s="0" t="n">
        <v>1.9</v>
      </c>
      <c r="K2244" s="0" t="s">
        <v>35</v>
      </c>
      <c r="L2244" s="0" t="n">
        <f aca="false">INDEX(Summary!$F$2:$F$201,MATCH($B2244,Summary!$A$2:$A$201,0))</f>
        <v>20</v>
      </c>
      <c r="M2244" s="0" t="n">
        <f aca="false">INDEX(Summary!$I$2:$I$201,MATCH($B2244,Summary!$A$2:$A$201,0))</f>
        <v>4</v>
      </c>
      <c r="N2244" s="0" t="n">
        <f aca="false">INDEX(Summary!$J$2:$J$201,MATCH($B2244,Summary!$A$2:$A$201,0))</f>
        <v>1</v>
      </c>
      <c r="O2244" s="2" t="n">
        <f aca="false">INDEX(Summary!$K$2:$K$201,MATCH($B2244,Summary!$A$2:$A$201,0))</f>
        <v>8.55</v>
      </c>
      <c r="P2244" s="3" t="n">
        <f aca="false">INDEX(Summary!$L$2:$L$201,MATCH($B2244,Summary!$A$2:$A$201,0))</f>
        <v>4</v>
      </c>
      <c r="Q2244" s="3" t="n">
        <f aca="false">INDEX(Summary!$M$2:$M$201,MATCH($B2244,Summary!$A$2:$A$201,0))</f>
        <v>2</v>
      </c>
      <c r="R2244" s="2" t="n">
        <f aca="false">INDEX(Summary!$N$2:$N$201,MATCH($B2244,Summary!$A$2:$A$201,0))</f>
        <v>10.09</v>
      </c>
      <c r="S2244" s="3" t="n">
        <f aca="false">INDEX(Summary!$O$2:$O$201,MATCH($B2244,Summary!$A$2:$A$201,0))</f>
        <v>8</v>
      </c>
      <c r="T2244" s="3" t="n">
        <f aca="false">INDEX(Summary!$P$2:$P$201,MATCH($B2244,Summary!$A$2:$A$201,0))</f>
        <v>1</v>
      </c>
      <c r="U2244" s="2" t="n">
        <f aca="false">INDEX(Summary!$Q$2:$Q$201,MATCH($B2244,Summary!$A$2:$A$201,0))</f>
        <v>12.65</v>
      </c>
      <c r="V2244" s="2" t="n">
        <f aca="false">INDEX(Summary!$R$2:$R$201,MATCH($B2244,Summary!$A$2:$A$201,0))</f>
        <v>30.63</v>
      </c>
      <c r="W2244" s="0" t="str">
        <f aca="false">INDEX(Summary!$S$2:$S$201,MATCH($B2244,Summary!$A$2:$A$201,0))</f>
        <v>Gold</v>
      </c>
      <c r="X2244" s="2" t="n">
        <f aca="false">INDEX(Summary!$T$2:$T$201,MATCH($B2244,Summary!$A$2:$A$201,0))</f>
        <v>74.71</v>
      </c>
      <c r="Y2244" s="0" t="str">
        <f aca="false">INDEX('Reward Model'!$E$18:$E$37,MATCH($E2244,'Reward Model'!$A$18:$A$37,0))</f>
        <v>Medium</v>
      </c>
      <c r="Z2244" s="4" t="n">
        <f aca="false">ROUND(MIN(1,MAX('Reward Model'!$B$2,INDEX('Reward Model'!$C$12:$C$14,MATCH($K2244,'Reward Model'!$A$12:$A$14,0))/$J2244)),3)</f>
        <v>0.789</v>
      </c>
      <c r="AA2244" s="2" t="n">
        <f aca="false">IF($I2244="Correct",ROUND(INDEX('Reward Model'!$B$12:$B$14,MATCH($K2244,'Reward Model'!$A$12:$A$14,0))*Z2244,2),0)</f>
        <v>0.79</v>
      </c>
      <c r="AB2244" s="2" t="n">
        <f aca="false">IF($I2244="Correct",ROUND(INDEX('Reward Model'!$B$12:$B$14,MATCH($Y2244,'Reward Model'!$A$12:$A$14,0))*Z2244,2),0)</f>
        <v>1.58</v>
      </c>
    </row>
    <row r="2245" customFormat="false" ht="15" hidden="false" customHeight="false" outlineLevel="0" collapsed="false">
      <c r="A2245" s="0" t="s">
        <v>356</v>
      </c>
      <c r="B2245" s="0" t="s">
        <v>357</v>
      </c>
      <c r="C2245" s="0" t="s">
        <v>322</v>
      </c>
      <c r="D2245" s="0" t="s">
        <v>31</v>
      </c>
      <c r="E2245" s="0" t="n">
        <v>4</v>
      </c>
      <c r="F2245" s="0" t="s">
        <v>43</v>
      </c>
      <c r="G2245" s="0" t="s">
        <v>45</v>
      </c>
      <c r="H2245" s="0" t="s">
        <v>45</v>
      </c>
      <c r="I2245" s="0" t="s">
        <v>34</v>
      </c>
      <c r="J2245" s="0" t="n">
        <v>0.91</v>
      </c>
      <c r="K2245" s="0" t="s">
        <v>35</v>
      </c>
      <c r="L2245" s="0" t="n">
        <f aca="false">INDEX(Summary!$F$2:$F$201,MATCH($B2245,Summary!$A$2:$A$201,0))</f>
        <v>20</v>
      </c>
      <c r="M2245" s="0" t="n">
        <f aca="false">INDEX(Summary!$I$2:$I$201,MATCH($B2245,Summary!$A$2:$A$201,0))</f>
        <v>4</v>
      </c>
      <c r="N2245" s="0" t="n">
        <f aca="false">INDEX(Summary!$J$2:$J$201,MATCH($B2245,Summary!$A$2:$A$201,0))</f>
        <v>1</v>
      </c>
      <c r="O2245" s="2" t="n">
        <f aca="false">INDEX(Summary!$K$2:$K$201,MATCH($B2245,Summary!$A$2:$A$201,0))</f>
        <v>8.55</v>
      </c>
      <c r="P2245" s="3" t="n">
        <f aca="false">INDEX(Summary!$L$2:$L$201,MATCH($B2245,Summary!$A$2:$A$201,0))</f>
        <v>4</v>
      </c>
      <c r="Q2245" s="3" t="n">
        <f aca="false">INDEX(Summary!$M$2:$M$201,MATCH($B2245,Summary!$A$2:$A$201,0))</f>
        <v>2</v>
      </c>
      <c r="R2245" s="2" t="n">
        <f aca="false">INDEX(Summary!$N$2:$N$201,MATCH($B2245,Summary!$A$2:$A$201,0))</f>
        <v>10.09</v>
      </c>
      <c r="S2245" s="3" t="n">
        <f aca="false">INDEX(Summary!$O$2:$O$201,MATCH($B2245,Summary!$A$2:$A$201,0))</f>
        <v>8</v>
      </c>
      <c r="T2245" s="3" t="n">
        <f aca="false">INDEX(Summary!$P$2:$P$201,MATCH($B2245,Summary!$A$2:$A$201,0))</f>
        <v>1</v>
      </c>
      <c r="U2245" s="2" t="n">
        <f aca="false">INDEX(Summary!$Q$2:$Q$201,MATCH($B2245,Summary!$A$2:$A$201,0))</f>
        <v>12.65</v>
      </c>
      <c r="V2245" s="2" t="n">
        <f aca="false">INDEX(Summary!$R$2:$R$201,MATCH($B2245,Summary!$A$2:$A$201,0))</f>
        <v>30.63</v>
      </c>
      <c r="W2245" s="0" t="str">
        <f aca="false">INDEX(Summary!$S$2:$S$201,MATCH($B2245,Summary!$A$2:$A$201,0))</f>
        <v>Gold</v>
      </c>
      <c r="X2245" s="2" t="n">
        <f aca="false">INDEX(Summary!$T$2:$T$201,MATCH($B2245,Summary!$A$2:$A$201,0))</f>
        <v>74.71</v>
      </c>
      <c r="Y2245" s="0" t="str">
        <f aca="false">INDEX('Reward Model'!$E$18:$E$37,MATCH($E2245,'Reward Model'!$A$18:$A$37,0))</f>
        <v>Low</v>
      </c>
      <c r="Z2245" s="4" t="n">
        <f aca="false">ROUND(MIN(1,MAX('Reward Model'!$B$2,INDEX('Reward Model'!$C$12:$C$14,MATCH($K2245,'Reward Model'!$A$12:$A$14,0))/$J2245)),3)</f>
        <v>1</v>
      </c>
      <c r="AA2245" s="2" t="n">
        <f aca="false">IF($I2245="Correct",ROUND(INDEX('Reward Model'!$B$12:$B$14,MATCH($K2245,'Reward Model'!$A$12:$A$14,0))*Z2245,2),0)</f>
        <v>1</v>
      </c>
      <c r="AB2245" s="2" t="n">
        <f aca="false">IF($I2245="Correct",ROUND(INDEX('Reward Model'!$B$12:$B$14,MATCH($Y2245,'Reward Model'!$A$12:$A$14,0))*Z2245,2),0)</f>
        <v>1</v>
      </c>
    </row>
    <row r="2246" customFormat="false" ht="15" hidden="false" customHeight="false" outlineLevel="0" collapsed="false">
      <c r="A2246" s="0" t="s">
        <v>356</v>
      </c>
      <c r="B2246" s="0" t="s">
        <v>357</v>
      </c>
      <c r="C2246" s="0" t="s">
        <v>322</v>
      </c>
      <c r="D2246" s="0" t="s">
        <v>31</v>
      </c>
      <c r="E2246" s="0" t="n">
        <v>5</v>
      </c>
      <c r="F2246" s="0" t="s">
        <v>46</v>
      </c>
      <c r="G2246" s="0" t="s">
        <v>47</v>
      </c>
      <c r="H2246" s="0" t="s">
        <v>47</v>
      </c>
      <c r="I2246" s="0" t="s">
        <v>34</v>
      </c>
      <c r="J2246" s="0" t="n">
        <v>1.05</v>
      </c>
      <c r="K2246" s="0" t="s">
        <v>35</v>
      </c>
      <c r="L2246" s="0" t="n">
        <f aca="false">INDEX(Summary!$F$2:$F$201,MATCH($B2246,Summary!$A$2:$A$201,0))</f>
        <v>20</v>
      </c>
      <c r="M2246" s="0" t="n">
        <f aca="false">INDEX(Summary!$I$2:$I$201,MATCH($B2246,Summary!$A$2:$A$201,0))</f>
        <v>4</v>
      </c>
      <c r="N2246" s="0" t="n">
        <f aca="false">INDEX(Summary!$J$2:$J$201,MATCH($B2246,Summary!$A$2:$A$201,0))</f>
        <v>1</v>
      </c>
      <c r="O2246" s="2" t="n">
        <f aca="false">INDEX(Summary!$K$2:$K$201,MATCH($B2246,Summary!$A$2:$A$201,0))</f>
        <v>8.55</v>
      </c>
      <c r="P2246" s="3" t="n">
        <f aca="false">INDEX(Summary!$L$2:$L$201,MATCH($B2246,Summary!$A$2:$A$201,0))</f>
        <v>4</v>
      </c>
      <c r="Q2246" s="3" t="n">
        <f aca="false">INDEX(Summary!$M$2:$M$201,MATCH($B2246,Summary!$A$2:$A$201,0))</f>
        <v>2</v>
      </c>
      <c r="R2246" s="2" t="n">
        <f aca="false">INDEX(Summary!$N$2:$N$201,MATCH($B2246,Summary!$A$2:$A$201,0))</f>
        <v>10.09</v>
      </c>
      <c r="S2246" s="3" t="n">
        <f aca="false">INDEX(Summary!$O$2:$O$201,MATCH($B2246,Summary!$A$2:$A$201,0))</f>
        <v>8</v>
      </c>
      <c r="T2246" s="3" t="n">
        <f aca="false">INDEX(Summary!$P$2:$P$201,MATCH($B2246,Summary!$A$2:$A$201,0))</f>
        <v>1</v>
      </c>
      <c r="U2246" s="2" t="n">
        <f aca="false">INDEX(Summary!$Q$2:$Q$201,MATCH($B2246,Summary!$A$2:$A$201,0))</f>
        <v>12.65</v>
      </c>
      <c r="V2246" s="2" t="n">
        <f aca="false">INDEX(Summary!$R$2:$R$201,MATCH($B2246,Summary!$A$2:$A$201,0))</f>
        <v>30.63</v>
      </c>
      <c r="W2246" s="0" t="str">
        <f aca="false">INDEX(Summary!$S$2:$S$201,MATCH($B2246,Summary!$A$2:$A$201,0))</f>
        <v>Gold</v>
      </c>
      <c r="X2246" s="2" t="n">
        <f aca="false">INDEX(Summary!$T$2:$T$201,MATCH($B2246,Summary!$A$2:$A$201,0))</f>
        <v>74.71</v>
      </c>
      <c r="Y2246" s="0" t="str">
        <f aca="false">INDEX('Reward Model'!$E$18:$E$37,MATCH($E2246,'Reward Model'!$A$18:$A$37,0))</f>
        <v>Low</v>
      </c>
      <c r="Z2246" s="4" t="n">
        <f aca="false">ROUND(MIN(1,MAX('Reward Model'!$B$2,INDEX('Reward Model'!$C$12:$C$14,MATCH($K2246,'Reward Model'!$A$12:$A$14,0))/$J2246)),3)</f>
        <v>1</v>
      </c>
      <c r="AA2246" s="2" t="n">
        <f aca="false">IF($I2246="Correct",ROUND(INDEX('Reward Model'!$B$12:$B$14,MATCH($K2246,'Reward Model'!$A$12:$A$14,0))*Z2246,2),0)</f>
        <v>1</v>
      </c>
      <c r="AB2246" s="2" t="n">
        <f aca="false">IF($I2246="Correct",ROUND(INDEX('Reward Model'!$B$12:$B$14,MATCH($Y2246,'Reward Model'!$A$12:$A$14,0))*Z2246,2),0)</f>
        <v>1</v>
      </c>
    </row>
    <row r="2247" customFormat="false" ht="15" hidden="false" customHeight="false" outlineLevel="0" collapsed="false">
      <c r="A2247" s="0" t="s">
        <v>356</v>
      </c>
      <c r="B2247" s="0" t="s">
        <v>357</v>
      </c>
      <c r="C2247" s="0" t="s">
        <v>322</v>
      </c>
      <c r="D2247" s="0" t="s">
        <v>31</v>
      </c>
      <c r="E2247" s="0" t="n">
        <v>6</v>
      </c>
      <c r="F2247" s="0" t="s">
        <v>48</v>
      </c>
      <c r="G2247" s="0" t="s">
        <v>49</v>
      </c>
      <c r="H2247" s="0" t="s">
        <v>49</v>
      </c>
      <c r="I2247" s="0" t="s">
        <v>34</v>
      </c>
      <c r="J2247" s="0" t="n">
        <v>1.45</v>
      </c>
      <c r="K2247" s="0" t="s">
        <v>35</v>
      </c>
      <c r="L2247" s="0" t="n">
        <f aca="false">INDEX(Summary!$F$2:$F$201,MATCH($B2247,Summary!$A$2:$A$201,0))</f>
        <v>20</v>
      </c>
      <c r="M2247" s="0" t="n">
        <f aca="false">INDEX(Summary!$I$2:$I$201,MATCH($B2247,Summary!$A$2:$A$201,0))</f>
        <v>4</v>
      </c>
      <c r="N2247" s="0" t="n">
        <f aca="false">INDEX(Summary!$J$2:$J$201,MATCH($B2247,Summary!$A$2:$A$201,0))</f>
        <v>1</v>
      </c>
      <c r="O2247" s="2" t="n">
        <f aca="false">INDEX(Summary!$K$2:$K$201,MATCH($B2247,Summary!$A$2:$A$201,0))</f>
        <v>8.55</v>
      </c>
      <c r="P2247" s="3" t="n">
        <f aca="false">INDEX(Summary!$L$2:$L$201,MATCH($B2247,Summary!$A$2:$A$201,0))</f>
        <v>4</v>
      </c>
      <c r="Q2247" s="3" t="n">
        <f aca="false">INDEX(Summary!$M$2:$M$201,MATCH($B2247,Summary!$A$2:$A$201,0))</f>
        <v>2</v>
      </c>
      <c r="R2247" s="2" t="n">
        <f aca="false">INDEX(Summary!$N$2:$N$201,MATCH($B2247,Summary!$A$2:$A$201,0))</f>
        <v>10.09</v>
      </c>
      <c r="S2247" s="3" t="n">
        <f aca="false">INDEX(Summary!$O$2:$O$201,MATCH($B2247,Summary!$A$2:$A$201,0))</f>
        <v>8</v>
      </c>
      <c r="T2247" s="3" t="n">
        <f aca="false">INDEX(Summary!$P$2:$P$201,MATCH($B2247,Summary!$A$2:$A$201,0))</f>
        <v>1</v>
      </c>
      <c r="U2247" s="2" t="n">
        <f aca="false">INDEX(Summary!$Q$2:$Q$201,MATCH($B2247,Summary!$A$2:$A$201,0))</f>
        <v>12.65</v>
      </c>
      <c r="V2247" s="2" t="n">
        <f aca="false">INDEX(Summary!$R$2:$R$201,MATCH($B2247,Summary!$A$2:$A$201,0))</f>
        <v>30.63</v>
      </c>
      <c r="W2247" s="0" t="str">
        <f aca="false">INDEX(Summary!$S$2:$S$201,MATCH($B2247,Summary!$A$2:$A$201,0))</f>
        <v>Gold</v>
      </c>
      <c r="X2247" s="2" t="n">
        <f aca="false">INDEX(Summary!$T$2:$T$201,MATCH($B2247,Summary!$A$2:$A$201,0))</f>
        <v>74.71</v>
      </c>
      <c r="Y2247" s="0" t="str">
        <f aca="false">INDEX('Reward Model'!$E$18:$E$37,MATCH($E2247,'Reward Model'!$A$18:$A$37,0))</f>
        <v>Medium</v>
      </c>
      <c r="Z2247" s="4" t="n">
        <f aca="false">ROUND(MIN(1,MAX('Reward Model'!$B$2,INDEX('Reward Model'!$C$12:$C$14,MATCH($K2247,'Reward Model'!$A$12:$A$14,0))/$J2247)),3)</f>
        <v>1</v>
      </c>
      <c r="AA2247" s="2" t="n">
        <f aca="false">IF($I2247="Correct",ROUND(INDEX('Reward Model'!$B$12:$B$14,MATCH($K2247,'Reward Model'!$A$12:$A$14,0))*Z2247,2),0)</f>
        <v>1</v>
      </c>
      <c r="AB2247" s="2" t="n">
        <f aca="false">IF($I2247="Correct",ROUND(INDEX('Reward Model'!$B$12:$B$14,MATCH($Y2247,'Reward Model'!$A$12:$A$14,0))*Z2247,2),0)</f>
        <v>2</v>
      </c>
    </row>
    <row r="2248" customFormat="false" ht="15" hidden="false" customHeight="false" outlineLevel="0" collapsed="false">
      <c r="A2248" s="0" t="s">
        <v>356</v>
      </c>
      <c r="B2248" s="0" t="s">
        <v>357</v>
      </c>
      <c r="C2248" s="0" t="s">
        <v>322</v>
      </c>
      <c r="D2248" s="0" t="s">
        <v>31</v>
      </c>
      <c r="E2248" s="0" t="n">
        <v>7</v>
      </c>
      <c r="F2248" s="0" t="s">
        <v>50</v>
      </c>
      <c r="G2248" s="0" t="s">
        <v>51</v>
      </c>
      <c r="H2248" s="0" t="s">
        <v>51</v>
      </c>
      <c r="I2248" s="0" t="s">
        <v>34</v>
      </c>
      <c r="J2248" s="0" t="n">
        <v>1.62</v>
      </c>
      <c r="K2248" s="0" t="s">
        <v>35</v>
      </c>
      <c r="L2248" s="0" t="n">
        <f aca="false">INDEX(Summary!$F$2:$F$201,MATCH($B2248,Summary!$A$2:$A$201,0))</f>
        <v>20</v>
      </c>
      <c r="M2248" s="0" t="n">
        <f aca="false">INDEX(Summary!$I$2:$I$201,MATCH($B2248,Summary!$A$2:$A$201,0))</f>
        <v>4</v>
      </c>
      <c r="N2248" s="0" t="n">
        <f aca="false">INDEX(Summary!$J$2:$J$201,MATCH($B2248,Summary!$A$2:$A$201,0))</f>
        <v>1</v>
      </c>
      <c r="O2248" s="2" t="n">
        <f aca="false">INDEX(Summary!$K$2:$K$201,MATCH($B2248,Summary!$A$2:$A$201,0))</f>
        <v>8.55</v>
      </c>
      <c r="P2248" s="3" t="n">
        <f aca="false">INDEX(Summary!$L$2:$L$201,MATCH($B2248,Summary!$A$2:$A$201,0))</f>
        <v>4</v>
      </c>
      <c r="Q2248" s="3" t="n">
        <f aca="false">INDEX(Summary!$M$2:$M$201,MATCH($B2248,Summary!$A$2:$A$201,0))</f>
        <v>2</v>
      </c>
      <c r="R2248" s="2" t="n">
        <f aca="false">INDEX(Summary!$N$2:$N$201,MATCH($B2248,Summary!$A$2:$A$201,0))</f>
        <v>10.09</v>
      </c>
      <c r="S2248" s="3" t="n">
        <f aca="false">INDEX(Summary!$O$2:$O$201,MATCH($B2248,Summary!$A$2:$A$201,0))</f>
        <v>8</v>
      </c>
      <c r="T2248" s="3" t="n">
        <f aca="false">INDEX(Summary!$P$2:$P$201,MATCH($B2248,Summary!$A$2:$A$201,0))</f>
        <v>1</v>
      </c>
      <c r="U2248" s="2" t="n">
        <f aca="false">INDEX(Summary!$Q$2:$Q$201,MATCH($B2248,Summary!$A$2:$A$201,0))</f>
        <v>12.65</v>
      </c>
      <c r="V2248" s="2" t="n">
        <f aca="false">INDEX(Summary!$R$2:$R$201,MATCH($B2248,Summary!$A$2:$A$201,0))</f>
        <v>30.63</v>
      </c>
      <c r="W2248" s="0" t="str">
        <f aca="false">INDEX(Summary!$S$2:$S$201,MATCH($B2248,Summary!$A$2:$A$201,0))</f>
        <v>Gold</v>
      </c>
      <c r="X2248" s="2" t="n">
        <f aca="false">INDEX(Summary!$T$2:$T$201,MATCH($B2248,Summary!$A$2:$A$201,0))</f>
        <v>74.71</v>
      </c>
      <c r="Y2248" s="0" t="str">
        <f aca="false">INDEX('Reward Model'!$E$18:$E$37,MATCH($E2248,'Reward Model'!$A$18:$A$37,0))</f>
        <v>Low</v>
      </c>
      <c r="Z2248" s="4" t="n">
        <f aca="false">ROUND(MIN(1,MAX('Reward Model'!$B$2,INDEX('Reward Model'!$C$12:$C$14,MATCH($K2248,'Reward Model'!$A$12:$A$14,0))/$J2248)),3)</f>
        <v>0.926</v>
      </c>
      <c r="AA2248" s="2" t="n">
        <f aca="false">IF($I2248="Correct",ROUND(INDEX('Reward Model'!$B$12:$B$14,MATCH($K2248,'Reward Model'!$A$12:$A$14,0))*Z2248,2),0)</f>
        <v>0.93</v>
      </c>
      <c r="AB2248" s="2" t="n">
        <f aca="false">IF($I2248="Correct",ROUND(INDEX('Reward Model'!$B$12:$B$14,MATCH($Y2248,'Reward Model'!$A$12:$A$14,0))*Z2248,2),0)</f>
        <v>0.93</v>
      </c>
    </row>
    <row r="2249" customFormat="false" ht="15" hidden="false" customHeight="false" outlineLevel="0" collapsed="false">
      <c r="A2249" s="0" t="s">
        <v>356</v>
      </c>
      <c r="B2249" s="0" t="s">
        <v>357</v>
      </c>
      <c r="C2249" s="0" t="s">
        <v>322</v>
      </c>
      <c r="D2249" s="0" t="s">
        <v>31</v>
      </c>
      <c r="E2249" s="0" t="n">
        <v>8</v>
      </c>
      <c r="F2249" s="0" t="s">
        <v>52</v>
      </c>
      <c r="G2249" s="0" t="s">
        <v>53</v>
      </c>
      <c r="H2249" s="0" t="s">
        <v>54</v>
      </c>
      <c r="I2249" s="0" t="s">
        <v>39</v>
      </c>
      <c r="J2249" s="0" t="n">
        <v>1.93</v>
      </c>
      <c r="K2249" s="0" t="s">
        <v>35</v>
      </c>
      <c r="L2249" s="0" t="n">
        <f aca="false">INDEX(Summary!$F$2:$F$201,MATCH($B2249,Summary!$A$2:$A$201,0))</f>
        <v>20</v>
      </c>
      <c r="M2249" s="0" t="n">
        <f aca="false">INDEX(Summary!$I$2:$I$201,MATCH($B2249,Summary!$A$2:$A$201,0))</f>
        <v>4</v>
      </c>
      <c r="N2249" s="0" t="n">
        <f aca="false">INDEX(Summary!$J$2:$J$201,MATCH($B2249,Summary!$A$2:$A$201,0))</f>
        <v>1</v>
      </c>
      <c r="O2249" s="2" t="n">
        <f aca="false">INDEX(Summary!$K$2:$K$201,MATCH($B2249,Summary!$A$2:$A$201,0))</f>
        <v>8.55</v>
      </c>
      <c r="P2249" s="3" t="n">
        <f aca="false">INDEX(Summary!$L$2:$L$201,MATCH($B2249,Summary!$A$2:$A$201,0))</f>
        <v>4</v>
      </c>
      <c r="Q2249" s="3" t="n">
        <f aca="false">INDEX(Summary!$M$2:$M$201,MATCH($B2249,Summary!$A$2:$A$201,0))</f>
        <v>2</v>
      </c>
      <c r="R2249" s="2" t="n">
        <f aca="false">INDEX(Summary!$N$2:$N$201,MATCH($B2249,Summary!$A$2:$A$201,0))</f>
        <v>10.09</v>
      </c>
      <c r="S2249" s="3" t="n">
        <f aca="false">INDEX(Summary!$O$2:$O$201,MATCH($B2249,Summary!$A$2:$A$201,0))</f>
        <v>8</v>
      </c>
      <c r="T2249" s="3" t="n">
        <f aca="false">INDEX(Summary!$P$2:$P$201,MATCH($B2249,Summary!$A$2:$A$201,0))</f>
        <v>1</v>
      </c>
      <c r="U2249" s="2" t="n">
        <f aca="false">INDEX(Summary!$Q$2:$Q$201,MATCH($B2249,Summary!$A$2:$A$201,0))</f>
        <v>12.65</v>
      </c>
      <c r="V2249" s="2" t="n">
        <f aca="false">INDEX(Summary!$R$2:$R$201,MATCH($B2249,Summary!$A$2:$A$201,0))</f>
        <v>30.63</v>
      </c>
      <c r="W2249" s="0" t="str">
        <f aca="false">INDEX(Summary!$S$2:$S$201,MATCH($B2249,Summary!$A$2:$A$201,0))</f>
        <v>Gold</v>
      </c>
      <c r="X2249" s="2" t="n">
        <f aca="false">INDEX(Summary!$T$2:$T$201,MATCH($B2249,Summary!$A$2:$A$201,0))</f>
        <v>74.71</v>
      </c>
      <c r="Y2249" s="0" t="str">
        <f aca="false">INDEX('Reward Model'!$E$18:$E$37,MATCH($E2249,'Reward Model'!$A$18:$A$37,0))</f>
        <v>Medium</v>
      </c>
      <c r="Z2249" s="4" t="n">
        <f aca="false">ROUND(MIN(1,MAX('Reward Model'!$B$2,INDEX('Reward Model'!$C$12:$C$14,MATCH($K2249,'Reward Model'!$A$12:$A$14,0))/$J2249)),3)</f>
        <v>0.777</v>
      </c>
      <c r="AA2249" s="2" t="n">
        <f aca="false">IF($I2249="Correct",ROUND(INDEX('Reward Model'!$B$12:$B$14,MATCH($K2249,'Reward Model'!$A$12:$A$14,0))*Z2249,2),0)</f>
        <v>0</v>
      </c>
      <c r="AB2249" s="2" t="n">
        <f aca="false">IF($I2249="Correct",ROUND(INDEX('Reward Model'!$B$12:$B$14,MATCH($Y2249,'Reward Model'!$A$12:$A$14,0))*Z2249,2),0)</f>
        <v>0</v>
      </c>
    </row>
    <row r="2250" customFormat="false" ht="15" hidden="false" customHeight="false" outlineLevel="0" collapsed="false">
      <c r="A2250" s="0" t="s">
        <v>356</v>
      </c>
      <c r="B2250" s="0" t="s">
        <v>357</v>
      </c>
      <c r="C2250" s="0" t="s">
        <v>322</v>
      </c>
      <c r="D2250" s="0" t="s">
        <v>31</v>
      </c>
      <c r="E2250" s="0" t="n">
        <v>9</v>
      </c>
      <c r="F2250" s="0" t="s">
        <v>55</v>
      </c>
      <c r="G2250" s="0" t="s">
        <v>57</v>
      </c>
      <c r="H2250" s="0" t="s">
        <v>57</v>
      </c>
      <c r="I2250" s="0" t="s">
        <v>34</v>
      </c>
      <c r="J2250" s="0" t="n">
        <v>1</v>
      </c>
      <c r="K2250" s="0" t="s">
        <v>35</v>
      </c>
      <c r="L2250" s="0" t="n">
        <f aca="false">INDEX(Summary!$F$2:$F$201,MATCH($B2250,Summary!$A$2:$A$201,0))</f>
        <v>20</v>
      </c>
      <c r="M2250" s="0" t="n">
        <f aca="false">INDEX(Summary!$I$2:$I$201,MATCH($B2250,Summary!$A$2:$A$201,0))</f>
        <v>4</v>
      </c>
      <c r="N2250" s="0" t="n">
        <f aca="false">INDEX(Summary!$J$2:$J$201,MATCH($B2250,Summary!$A$2:$A$201,0))</f>
        <v>1</v>
      </c>
      <c r="O2250" s="2" t="n">
        <f aca="false">INDEX(Summary!$K$2:$K$201,MATCH($B2250,Summary!$A$2:$A$201,0))</f>
        <v>8.55</v>
      </c>
      <c r="P2250" s="3" t="n">
        <f aca="false">INDEX(Summary!$L$2:$L$201,MATCH($B2250,Summary!$A$2:$A$201,0))</f>
        <v>4</v>
      </c>
      <c r="Q2250" s="3" t="n">
        <f aca="false">INDEX(Summary!$M$2:$M$201,MATCH($B2250,Summary!$A$2:$A$201,0))</f>
        <v>2</v>
      </c>
      <c r="R2250" s="2" t="n">
        <f aca="false">INDEX(Summary!$N$2:$N$201,MATCH($B2250,Summary!$A$2:$A$201,0))</f>
        <v>10.09</v>
      </c>
      <c r="S2250" s="3" t="n">
        <f aca="false">INDEX(Summary!$O$2:$O$201,MATCH($B2250,Summary!$A$2:$A$201,0))</f>
        <v>8</v>
      </c>
      <c r="T2250" s="3" t="n">
        <f aca="false">INDEX(Summary!$P$2:$P$201,MATCH($B2250,Summary!$A$2:$A$201,0))</f>
        <v>1</v>
      </c>
      <c r="U2250" s="2" t="n">
        <f aca="false">INDEX(Summary!$Q$2:$Q$201,MATCH($B2250,Summary!$A$2:$A$201,0))</f>
        <v>12.65</v>
      </c>
      <c r="V2250" s="2" t="n">
        <f aca="false">INDEX(Summary!$R$2:$R$201,MATCH($B2250,Summary!$A$2:$A$201,0))</f>
        <v>30.63</v>
      </c>
      <c r="W2250" s="0" t="str">
        <f aca="false">INDEX(Summary!$S$2:$S$201,MATCH($B2250,Summary!$A$2:$A$201,0))</f>
        <v>Gold</v>
      </c>
      <c r="X2250" s="2" t="n">
        <f aca="false">INDEX(Summary!$T$2:$T$201,MATCH($B2250,Summary!$A$2:$A$201,0))</f>
        <v>74.71</v>
      </c>
      <c r="Y2250" s="0" t="str">
        <f aca="false">INDEX('Reward Model'!$E$18:$E$37,MATCH($E2250,'Reward Model'!$A$18:$A$37,0))</f>
        <v>Medium</v>
      </c>
      <c r="Z2250" s="4" t="n">
        <f aca="false">ROUND(MIN(1,MAX('Reward Model'!$B$2,INDEX('Reward Model'!$C$12:$C$14,MATCH($K2250,'Reward Model'!$A$12:$A$14,0))/$J2250)),3)</f>
        <v>1</v>
      </c>
      <c r="AA2250" s="2" t="n">
        <f aca="false">IF($I2250="Correct",ROUND(INDEX('Reward Model'!$B$12:$B$14,MATCH($K2250,'Reward Model'!$A$12:$A$14,0))*Z2250,2),0)</f>
        <v>1</v>
      </c>
      <c r="AB2250" s="2" t="n">
        <f aca="false">IF($I2250="Correct",ROUND(INDEX('Reward Model'!$B$12:$B$14,MATCH($Y2250,'Reward Model'!$A$12:$A$14,0))*Z2250,2),0)</f>
        <v>2</v>
      </c>
    </row>
    <row r="2251" customFormat="false" ht="15" hidden="false" customHeight="false" outlineLevel="0" collapsed="false">
      <c r="A2251" s="0" t="s">
        <v>356</v>
      </c>
      <c r="B2251" s="0" t="s">
        <v>357</v>
      </c>
      <c r="C2251" s="0" t="s">
        <v>322</v>
      </c>
      <c r="D2251" s="0" t="s">
        <v>31</v>
      </c>
      <c r="E2251" s="0" t="n">
        <v>10</v>
      </c>
      <c r="F2251" s="0" t="s">
        <v>58</v>
      </c>
      <c r="G2251" s="0" t="s">
        <v>59</v>
      </c>
      <c r="H2251" s="0" t="s">
        <v>59</v>
      </c>
      <c r="I2251" s="0" t="s">
        <v>34</v>
      </c>
      <c r="J2251" s="0" t="n">
        <v>2.02</v>
      </c>
      <c r="K2251" s="0" t="s">
        <v>60</v>
      </c>
      <c r="L2251" s="0" t="n">
        <f aca="false">INDEX(Summary!$F$2:$F$201,MATCH($B2251,Summary!$A$2:$A$201,0))</f>
        <v>20</v>
      </c>
      <c r="M2251" s="0" t="n">
        <f aca="false">INDEX(Summary!$I$2:$I$201,MATCH($B2251,Summary!$A$2:$A$201,0))</f>
        <v>4</v>
      </c>
      <c r="N2251" s="0" t="n">
        <f aca="false">INDEX(Summary!$J$2:$J$201,MATCH($B2251,Summary!$A$2:$A$201,0))</f>
        <v>1</v>
      </c>
      <c r="O2251" s="2" t="n">
        <f aca="false">INDEX(Summary!$K$2:$K$201,MATCH($B2251,Summary!$A$2:$A$201,0))</f>
        <v>8.55</v>
      </c>
      <c r="P2251" s="3" t="n">
        <f aca="false">INDEX(Summary!$L$2:$L$201,MATCH($B2251,Summary!$A$2:$A$201,0))</f>
        <v>4</v>
      </c>
      <c r="Q2251" s="3" t="n">
        <f aca="false">INDEX(Summary!$M$2:$M$201,MATCH($B2251,Summary!$A$2:$A$201,0))</f>
        <v>2</v>
      </c>
      <c r="R2251" s="2" t="n">
        <f aca="false">INDEX(Summary!$N$2:$N$201,MATCH($B2251,Summary!$A$2:$A$201,0))</f>
        <v>10.09</v>
      </c>
      <c r="S2251" s="3" t="n">
        <f aca="false">INDEX(Summary!$O$2:$O$201,MATCH($B2251,Summary!$A$2:$A$201,0))</f>
        <v>8</v>
      </c>
      <c r="T2251" s="3" t="n">
        <f aca="false">INDEX(Summary!$P$2:$P$201,MATCH($B2251,Summary!$A$2:$A$201,0))</f>
        <v>1</v>
      </c>
      <c r="U2251" s="2" t="n">
        <f aca="false">INDEX(Summary!$Q$2:$Q$201,MATCH($B2251,Summary!$A$2:$A$201,0))</f>
        <v>12.65</v>
      </c>
      <c r="V2251" s="2" t="n">
        <f aca="false">INDEX(Summary!$R$2:$R$201,MATCH($B2251,Summary!$A$2:$A$201,0))</f>
        <v>30.63</v>
      </c>
      <c r="W2251" s="0" t="str">
        <f aca="false">INDEX(Summary!$S$2:$S$201,MATCH($B2251,Summary!$A$2:$A$201,0))</f>
        <v>Gold</v>
      </c>
      <c r="X2251" s="2" t="n">
        <f aca="false">INDEX(Summary!$T$2:$T$201,MATCH($B2251,Summary!$A$2:$A$201,0))</f>
        <v>74.71</v>
      </c>
      <c r="Y2251" s="0" t="str">
        <f aca="false">INDEX('Reward Model'!$E$18:$E$37,MATCH($E2251,'Reward Model'!$A$18:$A$37,0))</f>
        <v>Medium</v>
      </c>
      <c r="Z2251" s="4" t="n">
        <f aca="false">ROUND(MIN(1,MAX('Reward Model'!$B$2,INDEX('Reward Model'!$C$12:$C$14,MATCH($K2251,'Reward Model'!$A$12:$A$14,0))/$J2251)),3)</f>
        <v>0.891</v>
      </c>
      <c r="AA2251" s="2" t="n">
        <f aca="false">IF($I2251="Correct",ROUND(INDEX('Reward Model'!$B$12:$B$14,MATCH($K2251,'Reward Model'!$A$12:$A$14,0))*Z2251,2),0)</f>
        <v>1.78</v>
      </c>
      <c r="AB2251" s="2" t="n">
        <f aca="false">IF($I2251="Correct",ROUND(INDEX('Reward Model'!$B$12:$B$14,MATCH($Y2251,'Reward Model'!$A$12:$A$14,0))*Z2251,2),0)</f>
        <v>1.78</v>
      </c>
    </row>
    <row r="2252" customFormat="false" ht="15" hidden="false" customHeight="false" outlineLevel="0" collapsed="false">
      <c r="A2252" s="0" t="s">
        <v>356</v>
      </c>
      <c r="B2252" s="0" t="s">
        <v>357</v>
      </c>
      <c r="C2252" s="0" t="s">
        <v>322</v>
      </c>
      <c r="D2252" s="0" t="s">
        <v>31</v>
      </c>
      <c r="E2252" s="0" t="n">
        <v>11</v>
      </c>
      <c r="F2252" s="0" t="s">
        <v>61</v>
      </c>
      <c r="G2252" s="0" t="s">
        <v>63</v>
      </c>
      <c r="H2252" s="0" t="s">
        <v>63</v>
      </c>
      <c r="I2252" s="0" t="s">
        <v>34</v>
      </c>
      <c r="J2252" s="0" t="n">
        <v>2.13</v>
      </c>
      <c r="K2252" s="0" t="s">
        <v>60</v>
      </c>
      <c r="L2252" s="0" t="n">
        <f aca="false">INDEX(Summary!$F$2:$F$201,MATCH($B2252,Summary!$A$2:$A$201,0))</f>
        <v>20</v>
      </c>
      <c r="M2252" s="0" t="n">
        <f aca="false">INDEX(Summary!$I$2:$I$201,MATCH($B2252,Summary!$A$2:$A$201,0))</f>
        <v>4</v>
      </c>
      <c r="N2252" s="0" t="n">
        <f aca="false">INDEX(Summary!$J$2:$J$201,MATCH($B2252,Summary!$A$2:$A$201,0))</f>
        <v>1</v>
      </c>
      <c r="O2252" s="2" t="n">
        <f aca="false">INDEX(Summary!$K$2:$K$201,MATCH($B2252,Summary!$A$2:$A$201,0))</f>
        <v>8.55</v>
      </c>
      <c r="P2252" s="3" t="n">
        <f aca="false">INDEX(Summary!$L$2:$L$201,MATCH($B2252,Summary!$A$2:$A$201,0))</f>
        <v>4</v>
      </c>
      <c r="Q2252" s="3" t="n">
        <f aca="false">INDEX(Summary!$M$2:$M$201,MATCH($B2252,Summary!$A$2:$A$201,0))</f>
        <v>2</v>
      </c>
      <c r="R2252" s="2" t="n">
        <f aca="false">INDEX(Summary!$N$2:$N$201,MATCH($B2252,Summary!$A$2:$A$201,0))</f>
        <v>10.09</v>
      </c>
      <c r="S2252" s="3" t="n">
        <f aca="false">INDEX(Summary!$O$2:$O$201,MATCH($B2252,Summary!$A$2:$A$201,0))</f>
        <v>8</v>
      </c>
      <c r="T2252" s="3" t="n">
        <f aca="false">INDEX(Summary!$P$2:$P$201,MATCH($B2252,Summary!$A$2:$A$201,0))</f>
        <v>1</v>
      </c>
      <c r="U2252" s="2" t="n">
        <f aca="false">INDEX(Summary!$Q$2:$Q$201,MATCH($B2252,Summary!$A$2:$A$201,0))</f>
        <v>12.65</v>
      </c>
      <c r="V2252" s="2" t="n">
        <f aca="false">INDEX(Summary!$R$2:$R$201,MATCH($B2252,Summary!$A$2:$A$201,0))</f>
        <v>30.63</v>
      </c>
      <c r="W2252" s="0" t="str">
        <f aca="false">INDEX(Summary!$S$2:$S$201,MATCH($B2252,Summary!$A$2:$A$201,0))</f>
        <v>Gold</v>
      </c>
      <c r="X2252" s="2" t="n">
        <f aca="false">INDEX(Summary!$T$2:$T$201,MATCH($B2252,Summary!$A$2:$A$201,0))</f>
        <v>74.71</v>
      </c>
      <c r="Y2252" s="0" t="str">
        <f aca="false">INDEX('Reward Model'!$E$18:$E$37,MATCH($E2252,'Reward Model'!$A$18:$A$37,0))</f>
        <v>Medium</v>
      </c>
      <c r="Z2252" s="4" t="n">
        <f aca="false">ROUND(MIN(1,MAX('Reward Model'!$B$2,INDEX('Reward Model'!$C$12:$C$14,MATCH($K2252,'Reward Model'!$A$12:$A$14,0))/$J2252)),3)</f>
        <v>0.845</v>
      </c>
      <c r="AA2252" s="2" t="n">
        <f aca="false">IF($I2252="Correct",ROUND(INDEX('Reward Model'!$B$12:$B$14,MATCH($K2252,'Reward Model'!$A$12:$A$14,0))*Z2252,2),0)</f>
        <v>1.69</v>
      </c>
      <c r="AB2252" s="2" t="n">
        <f aca="false">IF($I2252="Correct",ROUND(INDEX('Reward Model'!$B$12:$B$14,MATCH($Y2252,'Reward Model'!$A$12:$A$14,0))*Z2252,2),0)</f>
        <v>1.69</v>
      </c>
    </row>
    <row r="2253" customFormat="false" ht="15" hidden="false" customHeight="false" outlineLevel="0" collapsed="false">
      <c r="A2253" s="0" t="s">
        <v>356</v>
      </c>
      <c r="B2253" s="0" t="s">
        <v>357</v>
      </c>
      <c r="C2253" s="0" t="s">
        <v>322</v>
      </c>
      <c r="D2253" s="0" t="s">
        <v>31</v>
      </c>
      <c r="E2253" s="0" t="n">
        <v>12</v>
      </c>
      <c r="F2253" s="0" t="s">
        <v>64</v>
      </c>
      <c r="G2253" s="0" t="s">
        <v>127</v>
      </c>
      <c r="H2253" s="0" t="s">
        <v>65</v>
      </c>
      <c r="I2253" s="0" t="s">
        <v>39</v>
      </c>
      <c r="J2253" s="0" t="n">
        <v>1.79</v>
      </c>
      <c r="K2253" s="0" t="s">
        <v>60</v>
      </c>
      <c r="L2253" s="0" t="n">
        <f aca="false">INDEX(Summary!$F$2:$F$201,MATCH($B2253,Summary!$A$2:$A$201,0))</f>
        <v>20</v>
      </c>
      <c r="M2253" s="0" t="n">
        <f aca="false">INDEX(Summary!$I$2:$I$201,MATCH($B2253,Summary!$A$2:$A$201,0))</f>
        <v>4</v>
      </c>
      <c r="N2253" s="0" t="n">
        <f aca="false">INDEX(Summary!$J$2:$J$201,MATCH($B2253,Summary!$A$2:$A$201,0))</f>
        <v>1</v>
      </c>
      <c r="O2253" s="2" t="n">
        <f aca="false">INDEX(Summary!$K$2:$K$201,MATCH($B2253,Summary!$A$2:$A$201,0))</f>
        <v>8.55</v>
      </c>
      <c r="P2253" s="3" t="n">
        <f aca="false">INDEX(Summary!$L$2:$L$201,MATCH($B2253,Summary!$A$2:$A$201,0))</f>
        <v>4</v>
      </c>
      <c r="Q2253" s="3" t="n">
        <f aca="false">INDEX(Summary!$M$2:$M$201,MATCH($B2253,Summary!$A$2:$A$201,0))</f>
        <v>2</v>
      </c>
      <c r="R2253" s="2" t="n">
        <f aca="false">INDEX(Summary!$N$2:$N$201,MATCH($B2253,Summary!$A$2:$A$201,0))</f>
        <v>10.09</v>
      </c>
      <c r="S2253" s="3" t="n">
        <f aca="false">INDEX(Summary!$O$2:$O$201,MATCH($B2253,Summary!$A$2:$A$201,0))</f>
        <v>8</v>
      </c>
      <c r="T2253" s="3" t="n">
        <f aca="false">INDEX(Summary!$P$2:$P$201,MATCH($B2253,Summary!$A$2:$A$201,0))</f>
        <v>1</v>
      </c>
      <c r="U2253" s="2" t="n">
        <f aca="false">INDEX(Summary!$Q$2:$Q$201,MATCH($B2253,Summary!$A$2:$A$201,0))</f>
        <v>12.65</v>
      </c>
      <c r="V2253" s="2" t="n">
        <f aca="false">INDEX(Summary!$R$2:$R$201,MATCH($B2253,Summary!$A$2:$A$201,0))</f>
        <v>30.63</v>
      </c>
      <c r="W2253" s="0" t="str">
        <f aca="false">INDEX(Summary!$S$2:$S$201,MATCH($B2253,Summary!$A$2:$A$201,0))</f>
        <v>Gold</v>
      </c>
      <c r="X2253" s="2" t="n">
        <f aca="false">INDEX(Summary!$T$2:$T$201,MATCH($B2253,Summary!$A$2:$A$201,0))</f>
        <v>74.71</v>
      </c>
      <c r="Y2253" s="0" t="str">
        <f aca="false">INDEX('Reward Model'!$E$18:$E$37,MATCH($E2253,'Reward Model'!$A$18:$A$37,0))</f>
        <v>Medium</v>
      </c>
      <c r="Z2253" s="4" t="n">
        <f aca="false">ROUND(MIN(1,MAX('Reward Model'!$B$2,INDEX('Reward Model'!$C$12:$C$14,MATCH($K2253,'Reward Model'!$A$12:$A$14,0))/$J2253)),3)</f>
        <v>1</v>
      </c>
      <c r="AA2253" s="2" t="n">
        <f aca="false">IF($I2253="Correct",ROUND(INDEX('Reward Model'!$B$12:$B$14,MATCH($K2253,'Reward Model'!$A$12:$A$14,0))*Z2253,2),0)</f>
        <v>0</v>
      </c>
      <c r="AB2253" s="2" t="n">
        <f aca="false">IF($I2253="Correct",ROUND(INDEX('Reward Model'!$B$12:$B$14,MATCH($Y2253,'Reward Model'!$A$12:$A$14,0))*Z2253,2),0)</f>
        <v>0</v>
      </c>
    </row>
    <row r="2254" customFormat="false" ht="15" hidden="false" customHeight="false" outlineLevel="0" collapsed="false">
      <c r="A2254" s="0" t="s">
        <v>356</v>
      </c>
      <c r="B2254" s="0" t="s">
        <v>357</v>
      </c>
      <c r="C2254" s="0" t="s">
        <v>322</v>
      </c>
      <c r="D2254" s="0" t="s">
        <v>31</v>
      </c>
      <c r="E2254" s="0" t="n">
        <v>13</v>
      </c>
      <c r="F2254" s="0" t="s">
        <v>66</v>
      </c>
      <c r="G2254" s="0" t="s">
        <v>67</v>
      </c>
      <c r="H2254" s="0" t="s">
        <v>67</v>
      </c>
      <c r="I2254" s="0" t="s">
        <v>34</v>
      </c>
      <c r="J2254" s="0" t="n">
        <v>1.22</v>
      </c>
      <c r="K2254" s="0" t="s">
        <v>60</v>
      </c>
      <c r="L2254" s="0" t="n">
        <f aca="false">INDEX(Summary!$F$2:$F$201,MATCH($B2254,Summary!$A$2:$A$201,0))</f>
        <v>20</v>
      </c>
      <c r="M2254" s="0" t="n">
        <f aca="false">INDEX(Summary!$I$2:$I$201,MATCH($B2254,Summary!$A$2:$A$201,0))</f>
        <v>4</v>
      </c>
      <c r="N2254" s="0" t="n">
        <f aca="false">INDEX(Summary!$J$2:$J$201,MATCH($B2254,Summary!$A$2:$A$201,0))</f>
        <v>1</v>
      </c>
      <c r="O2254" s="2" t="n">
        <f aca="false">INDEX(Summary!$K$2:$K$201,MATCH($B2254,Summary!$A$2:$A$201,0))</f>
        <v>8.55</v>
      </c>
      <c r="P2254" s="3" t="n">
        <f aca="false">INDEX(Summary!$L$2:$L$201,MATCH($B2254,Summary!$A$2:$A$201,0))</f>
        <v>4</v>
      </c>
      <c r="Q2254" s="3" t="n">
        <f aca="false">INDEX(Summary!$M$2:$M$201,MATCH($B2254,Summary!$A$2:$A$201,0))</f>
        <v>2</v>
      </c>
      <c r="R2254" s="2" t="n">
        <f aca="false">INDEX(Summary!$N$2:$N$201,MATCH($B2254,Summary!$A$2:$A$201,0))</f>
        <v>10.09</v>
      </c>
      <c r="S2254" s="3" t="n">
        <f aca="false">INDEX(Summary!$O$2:$O$201,MATCH($B2254,Summary!$A$2:$A$201,0))</f>
        <v>8</v>
      </c>
      <c r="T2254" s="3" t="n">
        <f aca="false">INDEX(Summary!$P$2:$P$201,MATCH($B2254,Summary!$A$2:$A$201,0))</f>
        <v>1</v>
      </c>
      <c r="U2254" s="2" t="n">
        <f aca="false">INDEX(Summary!$Q$2:$Q$201,MATCH($B2254,Summary!$A$2:$A$201,0))</f>
        <v>12.65</v>
      </c>
      <c r="V2254" s="2" t="n">
        <f aca="false">INDEX(Summary!$R$2:$R$201,MATCH($B2254,Summary!$A$2:$A$201,0))</f>
        <v>30.63</v>
      </c>
      <c r="W2254" s="0" t="str">
        <f aca="false">INDEX(Summary!$S$2:$S$201,MATCH($B2254,Summary!$A$2:$A$201,0))</f>
        <v>Gold</v>
      </c>
      <c r="X2254" s="2" t="n">
        <f aca="false">INDEX(Summary!$T$2:$T$201,MATCH($B2254,Summary!$A$2:$A$201,0))</f>
        <v>74.71</v>
      </c>
      <c r="Y2254" s="0" t="str">
        <f aca="false">INDEX('Reward Model'!$E$18:$E$37,MATCH($E2254,'Reward Model'!$A$18:$A$37,0))</f>
        <v>Medium</v>
      </c>
      <c r="Z2254" s="4" t="n">
        <f aca="false">ROUND(MIN(1,MAX('Reward Model'!$B$2,INDEX('Reward Model'!$C$12:$C$14,MATCH($K2254,'Reward Model'!$A$12:$A$14,0))/$J2254)),3)</f>
        <v>1</v>
      </c>
      <c r="AA2254" s="2" t="n">
        <f aca="false">IF($I2254="Correct",ROUND(INDEX('Reward Model'!$B$12:$B$14,MATCH($K2254,'Reward Model'!$A$12:$A$14,0))*Z2254,2),0)</f>
        <v>2</v>
      </c>
      <c r="AB2254" s="2" t="n">
        <f aca="false">IF($I2254="Correct",ROUND(INDEX('Reward Model'!$B$12:$B$14,MATCH($Y2254,'Reward Model'!$A$12:$A$14,0))*Z2254,2),0)</f>
        <v>2</v>
      </c>
    </row>
    <row r="2255" customFormat="false" ht="15" hidden="false" customHeight="false" outlineLevel="0" collapsed="false">
      <c r="A2255" s="0" t="s">
        <v>356</v>
      </c>
      <c r="B2255" s="0" t="s">
        <v>357</v>
      </c>
      <c r="C2255" s="0" t="s">
        <v>322</v>
      </c>
      <c r="D2255" s="0" t="s">
        <v>31</v>
      </c>
      <c r="E2255" s="0" t="n">
        <v>14</v>
      </c>
      <c r="F2255" s="0" t="s">
        <v>68</v>
      </c>
      <c r="G2255" s="0" t="s">
        <v>51</v>
      </c>
      <c r="H2255" s="0" t="s">
        <v>51</v>
      </c>
      <c r="I2255" s="0" t="s">
        <v>34</v>
      </c>
      <c r="J2255" s="0" t="n">
        <v>1.79</v>
      </c>
      <c r="K2255" s="0" t="s">
        <v>60</v>
      </c>
      <c r="L2255" s="0" t="n">
        <f aca="false">INDEX(Summary!$F$2:$F$201,MATCH($B2255,Summary!$A$2:$A$201,0))</f>
        <v>20</v>
      </c>
      <c r="M2255" s="0" t="n">
        <f aca="false">INDEX(Summary!$I$2:$I$201,MATCH($B2255,Summary!$A$2:$A$201,0))</f>
        <v>4</v>
      </c>
      <c r="N2255" s="0" t="n">
        <f aca="false">INDEX(Summary!$J$2:$J$201,MATCH($B2255,Summary!$A$2:$A$201,0))</f>
        <v>1</v>
      </c>
      <c r="O2255" s="2" t="n">
        <f aca="false">INDEX(Summary!$K$2:$K$201,MATCH($B2255,Summary!$A$2:$A$201,0))</f>
        <v>8.55</v>
      </c>
      <c r="P2255" s="3" t="n">
        <f aca="false">INDEX(Summary!$L$2:$L$201,MATCH($B2255,Summary!$A$2:$A$201,0))</f>
        <v>4</v>
      </c>
      <c r="Q2255" s="3" t="n">
        <f aca="false">INDEX(Summary!$M$2:$M$201,MATCH($B2255,Summary!$A$2:$A$201,0))</f>
        <v>2</v>
      </c>
      <c r="R2255" s="2" t="n">
        <f aca="false">INDEX(Summary!$N$2:$N$201,MATCH($B2255,Summary!$A$2:$A$201,0))</f>
        <v>10.09</v>
      </c>
      <c r="S2255" s="3" t="n">
        <f aca="false">INDEX(Summary!$O$2:$O$201,MATCH($B2255,Summary!$A$2:$A$201,0))</f>
        <v>8</v>
      </c>
      <c r="T2255" s="3" t="n">
        <f aca="false">INDEX(Summary!$P$2:$P$201,MATCH($B2255,Summary!$A$2:$A$201,0))</f>
        <v>1</v>
      </c>
      <c r="U2255" s="2" t="n">
        <f aca="false">INDEX(Summary!$Q$2:$Q$201,MATCH($B2255,Summary!$A$2:$A$201,0))</f>
        <v>12.65</v>
      </c>
      <c r="V2255" s="2" t="n">
        <f aca="false">INDEX(Summary!$R$2:$R$201,MATCH($B2255,Summary!$A$2:$A$201,0))</f>
        <v>30.63</v>
      </c>
      <c r="W2255" s="0" t="str">
        <f aca="false">INDEX(Summary!$S$2:$S$201,MATCH($B2255,Summary!$A$2:$A$201,0))</f>
        <v>Gold</v>
      </c>
      <c r="X2255" s="2" t="n">
        <f aca="false">INDEX(Summary!$T$2:$T$201,MATCH($B2255,Summary!$A$2:$A$201,0))</f>
        <v>74.71</v>
      </c>
      <c r="Y2255" s="0" t="str">
        <f aca="false">INDEX('Reward Model'!$E$18:$E$37,MATCH($E2255,'Reward Model'!$A$18:$A$37,0))</f>
        <v>Medium</v>
      </c>
      <c r="Z2255" s="4" t="n">
        <f aca="false">ROUND(MIN(1,MAX('Reward Model'!$B$2,INDEX('Reward Model'!$C$12:$C$14,MATCH($K2255,'Reward Model'!$A$12:$A$14,0))/$J2255)),3)</f>
        <v>1</v>
      </c>
      <c r="AA2255" s="2" t="n">
        <f aca="false">IF($I2255="Correct",ROUND(INDEX('Reward Model'!$B$12:$B$14,MATCH($K2255,'Reward Model'!$A$12:$A$14,0))*Z2255,2),0)</f>
        <v>2</v>
      </c>
      <c r="AB2255" s="2" t="n">
        <f aca="false">IF($I2255="Correct",ROUND(INDEX('Reward Model'!$B$12:$B$14,MATCH($Y2255,'Reward Model'!$A$12:$A$14,0))*Z2255,2),0)</f>
        <v>2</v>
      </c>
    </row>
    <row r="2256" customFormat="false" ht="15" hidden="false" customHeight="false" outlineLevel="0" collapsed="false">
      <c r="A2256" s="0" t="s">
        <v>356</v>
      </c>
      <c r="B2256" s="0" t="s">
        <v>357</v>
      </c>
      <c r="C2256" s="0" t="s">
        <v>322</v>
      </c>
      <c r="D2256" s="0" t="s">
        <v>31</v>
      </c>
      <c r="E2256" s="0" t="n">
        <v>15</v>
      </c>
      <c r="F2256" s="0" t="s">
        <v>69</v>
      </c>
      <c r="G2256" s="0" t="s">
        <v>131</v>
      </c>
      <c r="H2256" s="0" t="s">
        <v>70</v>
      </c>
      <c r="I2256" s="0" t="s">
        <v>39</v>
      </c>
      <c r="J2256" s="0" t="n">
        <v>1.14</v>
      </c>
      <c r="K2256" s="0" t="s">
        <v>60</v>
      </c>
      <c r="L2256" s="0" t="n">
        <f aca="false">INDEX(Summary!$F$2:$F$201,MATCH($B2256,Summary!$A$2:$A$201,0))</f>
        <v>20</v>
      </c>
      <c r="M2256" s="0" t="n">
        <f aca="false">INDEX(Summary!$I$2:$I$201,MATCH($B2256,Summary!$A$2:$A$201,0))</f>
        <v>4</v>
      </c>
      <c r="N2256" s="0" t="n">
        <f aca="false">INDEX(Summary!$J$2:$J$201,MATCH($B2256,Summary!$A$2:$A$201,0))</f>
        <v>1</v>
      </c>
      <c r="O2256" s="2" t="n">
        <f aca="false">INDEX(Summary!$K$2:$K$201,MATCH($B2256,Summary!$A$2:$A$201,0))</f>
        <v>8.55</v>
      </c>
      <c r="P2256" s="3" t="n">
        <f aca="false">INDEX(Summary!$L$2:$L$201,MATCH($B2256,Summary!$A$2:$A$201,0))</f>
        <v>4</v>
      </c>
      <c r="Q2256" s="3" t="n">
        <f aca="false">INDEX(Summary!$M$2:$M$201,MATCH($B2256,Summary!$A$2:$A$201,0))</f>
        <v>2</v>
      </c>
      <c r="R2256" s="2" t="n">
        <f aca="false">INDEX(Summary!$N$2:$N$201,MATCH($B2256,Summary!$A$2:$A$201,0))</f>
        <v>10.09</v>
      </c>
      <c r="S2256" s="3" t="n">
        <f aca="false">INDEX(Summary!$O$2:$O$201,MATCH($B2256,Summary!$A$2:$A$201,0))</f>
        <v>8</v>
      </c>
      <c r="T2256" s="3" t="n">
        <f aca="false">INDEX(Summary!$P$2:$P$201,MATCH($B2256,Summary!$A$2:$A$201,0))</f>
        <v>1</v>
      </c>
      <c r="U2256" s="2" t="n">
        <f aca="false">INDEX(Summary!$Q$2:$Q$201,MATCH($B2256,Summary!$A$2:$A$201,0))</f>
        <v>12.65</v>
      </c>
      <c r="V2256" s="2" t="n">
        <f aca="false">INDEX(Summary!$R$2:$R$201,MATCH($B2256,Summary!$A$2:$A$201,0))</f>
        <v>30.63</v>
      </c>
      <c r="W2256" s="0" t="str">
        <f aca="false">INDEX(Summary!$S$2:$S$201,MATCH($B2256,Summary!$A$2:$A$201,0))</f>
        <v>Gold</v>
      </c>
      <c r="X2256" s="2" t="n">
        <f aca="false">INDEX(Summary!$T$2:$T$201,MATCH($B2256,Summary!$A$2:$A$201,0))</f>
        <v>74.71</v>
      </c>
      <c r="Y2256" s="0" t="str">
        <f aca="false">INDEX('Reward Model'!$E$18:$E$37,MATCH($E2256,'Reward Model'!$A$18:$A$37,0))</f>
        <v>Medium</v>
      </c>
      <c r="Z2256" s="4" t="n">
        <f aca="false">ROUND(MIN(1,MAX('Reward Model'!$B$2,INDEX('Reward Model'!$C$12:$C$14,MATCH($K2256,'Reward Model'!$A$12:$A$14,0))/$J2256)),3)</f>
        <v>1</v>
      </c>
      <c r="AA2256" s="2" t="n">
        <f aca="false">IF($I2256="Correct",ROUND(INDEX('Reward Model'!$B$12:$B$14,MATCH($K2256,'Reward Model'!$A$12:$A$14,0))*Z2256,2),0)</f>
        <v>0</v>
      </c>
      <c r="AB2256" s="2" t="n">
        <f aca="false">IF($I2256="Correct",ROUND(INDEX('Reward Model'!$B$12:$B$14,MATCH($Y2256,'Reward Model'!$A$12:$A$14,0))*Z2256,2),0)</f>
        <v>0</v>
      </c>
    </row>
    <row r="2257" customFormat="false" ht="15" hidden="false" customHeight="false" outlineLevel="0" collapsed="false">
      <c r="A2257" s="0" t="s">
        <v>356</v>
      </c>
      <c r="B2257" s="0" t="s">
        <v>357</v>
      </c>
      <c r="C2257" s="0" t="s">
        <v>322</v>
      </c>
      <c r="D2257" s="0" t="s">
        <v>31</v>
      </c>
      <c r="E2257" s="0" t="n">
        <v>16</v>
      </c>
      <c r="F2257" s="0" t="s">
        <v>71</v>
      </c>
      <c r="G2257" s="0" t="s">
        <v>72</v>
      </c>
      <c r="H2257" s="0" t="s">
        <v>72</v>
      </c>
      <c r="I2257" s="0" t="s">
        <v>34</v>
      </c>
      <c r="J2257" s="0" t="n">
        <v>2.06</v>
      </c>
      <c r="K2257" s="0" t="s">
        <v>73</v>
      </c>
      <c r="L2257" s="0" t="n">
        <f aca="false">INDEX(Summary!$F$2:$F$201,MATCH($B2257,Summary!$A$2:$A$201,0))</f>
        <v>20</v>
      </c>
      <c r="M2257" s="0" t="n">
        <f aca="false">INDEX(Summary!$I$2:$I$201,MATCH($B2257,Summary!$A$2:$A$201,0))</f>
        <v>4</v>
      </c>
      <c r="N2257" s="0" t="n">
        <f aca="false">INDEX(Summary!$J$2:$J$201,MATCH($B2257,Summary!$A$2:$A$201,0))</f>
        <v>1</v>
      </c>
      <c r="O2257" s="2" t="n">
        <f aca="false">INDEX(Summary!$K$2:$K$201,MATCH($B2257,Summary!$A$2:$A$201,0))</f>
        <v>8.55</v>
      </c>
      <c r="P2257" s="3" t="n">
        <f aca="false">INDEX(Summary!$L$2:$L$201,MATCH($B2257,Summary!$A$2:$A$201,0))</f>
        <v>4</v>
      </c>
      <c r="Q2257" s="3" t="n">
        <f aca="false">INDEX(Summary!$M$2:$M$201,MATCH($B2257,Summary!$A$2:$A$201,0))</f>
        <v>2</v>
      </c>
      <c r="R2257" s="2" t="n">
        <f aca="false">INDEX(Summary!$N$2:$N$201,MATCH($B2257,Summary!$A$2:$A$201,0))</f>
        <v>10.09</v>
      </c>
      <c r="S2257" s="3" t="n">
        <f aca="false">INDEX(Summary!$O$2:$O$201,MATCH($B2257,Summary!$A$2:$A$201,0))</f>
        <v>8</v>
      </c>
      <c r="T2257" s="3" t="n">
        <f aca="false">INDEX(Summary!$P$2:$P$201,MATCH($B2257,Summary!$A$2:$A$201,0))</f>
        <v>1</v>
      </c>
      <c r="U2257" s="2" t="n">
        <f aca="false">INDEX(Summary!$Q$2:$Q$201,MATCH($B2257,Summary!$A$2:$A$201,0))</f>
        <v>12.65</v>
      </c>
      <c r="V2257" s="2" t="n">
        <f aca="false">INDEX(Summary!$R$2:$R$201,MATCH($B2257,Summary!$A$2:$A$201,0))</f>
        <v>30.63</v>
      </c>
      <c r="W2257" s="0" t="str">
        <f aca="false">INDEX(Summary!$S$2:$S$201,MATCH($B2257,Summary!$A$2:$A$201,0))</f>
        <v>Gold</v>
      </c>
      <c r="X2257" s="2" t="n">
        <f aca="false">INDEX(Summary!$T$2:$T$201,MATCH($B2257,Summary!$A$2:$A$201,0))</f>
        <v>74.71</v>
      </c>
      <c r="Y2257" s="0" t="str">
        <f aca="false">INDEX('Reward Model'!$E$18:$E$37,MATCH($E2257,'Reward Model'!$A$18:$A$37,0))</f>
        <v>High</v>
      </c>
      <c r="Z2257" s="4" t="n">
        <f aca="false">ROUND(MIN(1,MAX('Reward Model'!$B$2,INDEX('Reward Model'!$C$12:$C$14,MATCH($K2257,'Reward Model'!$A$12:$A$14,0))/$J2257)),3)</f>
        <v>0.971</v>
      </c>
      <c r="AA2257" s="2" t="n">
        <f aca="false">IF($I2257="Correct",ROUND(INDEX('Reward Model'!$B$12:$B$14,MATCH($K2257,'Reward Model'!$A$12:$A$14,0))*Z2257,2),0)</f>
        <v>2.91</v>
      </c>
      <c r="AB2257" s="2" t="n">
        <f aca="false">IF($I2257="Correct",ROUND(INDEX('Reward Model'!$B$12:$B$14,MATCH($Y2257,'Reward Model'!$A$12:$A$14,0))*Z2257,2),0)</f>
        <v>2.91</v>
      </c>
    </row>
    <row r="2258" customFormat="false" ht="15" hidden="false" customHeight="false" outlineLevel="0" collapsed="false">
      <c r="A2258" s="0" t="s">
        <v>356</v>
      </c>
      <c r="B2258" s="0" t="s">
        <v>357</v>
      </c>
      <c r="C2258" s="0" t="s">
        <v>322</v>
      </c>
      <c r="D2258" s="0" t="s">
        <v>31</v>
      </c>
      <c r="E2258" s="0" t="n">
        <v>17</v>
      </c>
      <c r="F2258" s="0" t="s">
        <v>74</v>
      </c>
      <c r="G2258" s="0" t="s">
        <v>75</v>
      </c>
      <c r="H2258" s="0" t="s">
        <v>75</v>
      </c>
      <c r="I2258" s="0" t="s">
        <v>34</v>
      </c>
      <c r="J2258" s="0" t="n">
        <v>1.37</v>
      </c>
      <c r="K2258" s="0" t="s">
        <v>73</v>
      </c>
      <c r="L2258" s="0" t="n">
        <f aca="false">INDEX(Summary!$F$2:$F$201,MATCH($B2258,Summary!$A$2:$A$201,0))</f>
        <v>20</v>
      </c>
      <c r="M2258" s="0" t="n">
        <f aca="false">INDEX(Summary!$I$2:$I$201,MATCH($B2258,Summary!$A$2:$A$201,0))</f>
        <v>4</v>
      </c>
      <c r="N2258" s="0" t="n">
        <f aca="false">INDEX(Summary!$J$2:$J$201,MATCH($B2258,Summary!$A$2:$A$201,0))</f>
        <v>1</v>
      </c>
      <c r="O2258" s="2" t="n">
        <f aca="false">INDEX(Summary!$K$2:$K$201,MATCH($B2258,Summary!$A$2:$A$201,0))</f>
        <v>8.55</v>
      </c>
      <c r="P2258" s="3" t="n">
        <f aca="false">INDEX(Summary!$L$2:$L$201,MATCH($B2258,Summary!$A$2:$A$201,0))</f>
        <v>4</v>
      </c>
      <c r="Q2258" s="3" t="n">
        <f aca="false">INDEX(Summary!$M$2:$M$201,MATCH($B2258,Summary!$A$2:$A$201,0))</f>
        <v>2</v>
      </c>
      <c r="R2258" s="2" t="n">
        <f aca="false">INDEX(Summary!$N$2:$N$201,MATCH($B2258,Summary!$A$2:$A$201,0))</f>
        <v>10.09</v>
      </c>
      <c r="S2258" s="3" t="n">
        <f aca="false">INDEX(Summary!$O$2:$O$201,MATCH($B2258,Summary!$A$2:$A$201,0))</f>
        <v>8</v>
      </c>
      <c r="T2258" s="3" t="n">
        <f aca="false">INDEX(Summary!$P$2:$P$201,MATCH($B2258,Summary!$A$2:$A$201,0))</f>
        <v>1</v>
      </c>
      <c r="U2258" s="2" t="n">
        <f aca="false">INDEX(Summary!$Q$2:$Q$201,MATCH($B2258,Summary!$A$2:$A$201,0))</f>
        <v>12.65</v>
      </c>
      <c r="V2258" s="2" t="n">
        <f aca="false">INDEX(Summary!$R$2:$R$201,MATCH($B2258,Summary!$A$2:$A$201,0))</f>
        <v>30.63</v>
      </c>
      <c r="W2258" s="0" t="str">
        <f aca="false">INDEX(Summary!$S$2:$S$201,MATCH($B2258,Summary!$A$2:$A$201,0))</f>
        <v>Gold</v>
      </c>
      <c r="X2258" s="2" t="n">
        <f aca="false">INDEX(Summary!$T$2:$T$201,MATCH($B2258,Summary!$A$2:$A$201,0))</f>
        <v>74.71</v>
      </c>
      <c r="Y2258" s="0" t="str">
        <f aca="false">INDEX('Reward Model'!$E$18:$E$37,MATCH($E2258,'Reward Model'!$A$18:$A$37,0))</f>
        <v>High</v>
      </c>
      <c r="Z2258" s="4" t="n">
        <f aca="false">ROUND(MIN(1,MAX('Reward Model'!$B$2,INDEX('Reward Model'!$C$12:$C$14,MATCH($K2258,'Reward Model'!$A$12:$A$14,0))/$J2258)),3)</f>
        <v>1</v>
      </c>
      <c r="AA2258" s="2" t="n">
        <f aca="false">IF($I2258="Correct",ROUND(INDEX('Reward Model'!$B$12:$B$14,MATCH($K2258,'Reward Model'!$A$12:$A$14,0))*Z2258,2),0)</f>
        <v>3</v>
      </c>
      <c r="AB2258" s="2" t="n">
        <f aca="false">IF($I2258="Correct",ROUND(INDEX('Reward Model'!$B$12:$B$14,MATCH($Y2258,'Reward Model'!$A$12:$A$14,0))*Z2258,2),0)</f>
        <v>3</v>
      </c>
    </row>
    <row r="2259" customFormat="false" ht="15" hidden="false" customHeight="false" outlineLevel="0" collapsed="false">
      <c r="A2259" s="0" t="s">
        <v>356</v>
      </c>
      <c r="B2259" s="0" t="s">
        <v>357</v>
      </c>
      <c r="C2259" s="0" t="s">
        <v>322</v>
      </c>
      <c r="D2259" s="0" t="s">
        <v>31</v>
      </c>
      <c r="E2259" s="0" t="n">
        <v>18</v>
      </c>
      <c r="F2259" s="0" t="s">
        <v>76</v>
      </c>
      <c r="G2259" s="0" t="s">
        <v>128</v>
      </c>
      <c r="H2259" s="0" t="s">
        <v>77</v>
      </c>
      <c r="I2259" s="0" t="s">
        <v>39</v>
      </c>
      <c r="J2259" s="0" t="n">
        <v>1.78</v>
      </c>
      <c r="K2259" s="0" t="s">
        <v>73</v>
      </c>
      <c r="L2259" s="0" t="n">
        <f aca="false">INDEX(Summary!$F$2:$F$201,MATCH($B2259,Summary!$A$2:$A$201,0))</f>
        <v>20</v>
      </c>
      <c r="M2259" s="0" t="n">
        <f aca="false">INDEX(Summary!$I$2:$I$201,MATCH($B2259,Summary!$A$2:$A$201,0))</f>
        <v>4</v>
      </c>
      <c r="N2259" s="0" t="n">
        <f aca="false">INDEX(Summary!$J$2:$J$201,MATCH($B2259,Summary!$A$2:$A$201,0))</f>
        <v>1</v>
      </c>
      <c r="O2259" s="2" t="n">
        <f aca="false">INDEX(Summary!$K$2:$K$201,MATCH($B2259,Summary!$A$2:$A$201,0))</f>
        <v>8.55</v>
      </c>
      <c r="P2259" s="3" t="n">
        <f aca="false">INDEX(Summary!$L$2:$L$201,MATCH($B2259,Summary!$A$2:$A$201,0))</f>
        <v>4</v>
      </c>
      <c r="Q2259" s="3" t="n">
        <f aca="false">INDEX(Summary!$M$2:$M$201,MATCH($B2259,Summary!$A$2:$A$201,0))</f>
        <v>2</v>
      </c>
      <c r="R2259" s="2" t="n">
        <f aca="false">INDEX(Summary!$N$2:$N$201,MATCH($B2259,Summary!$A$2:$A$201,0))</f>
        <v>10.09</v>
      </c>
      <c r="S2259" s="3" t="n">
        <f aca="false">INDEX(Summary!$O$2:$O$201,MATCH($B2259,Summary!$A$2:$A$201,0))</f>
        <v>8</v>
      </c>
      <c r="T2259" s="3" t="n">
        <f aca="false">INDEX(Summary!$P$2:$P$201,MATCH($B2259,Summary!$A$2:$A$201,0))</f>
        <v>1</v>
      </c>
      <c r="U2259" s="2" t="n">
        <f aca="false">INDEX(Summary!$Q$2:$Q$201,MATCH($B2259,Summary!$A$2:$A$201,0))</f>
        <v>12.65</v>
      </c>
      <c r="V2259" s="2" t="n">
        <f aca="false">INDEX(Summary!$R$2:$R$201,MATCH($B2259,Summary!$A$2:$A$201,0))</f>
        <v>30.63</v>
      </c>
      <c r="W2259" s="0" t="str">
        <f aca="false">INDEX(Summary!$S$2:$S$201,MATCH($B2259,Summary!$A$2:$A$201,0))</f>
        <v>Gold</v>
      </c>
      <c r="X2259" s="2" t="n">
        <f aca="false">INDEX(Summary!$T$2:$T$201,MATCH($B2259,Summary!$A$2:$A$201,0))</f>
        <v>74.71</v>
      </c>
      <c r="Y2259" s="0" t="str">
        <f aca="false">INDEX('Reward Model'!$E$18:$E$37,MATCH($E2259,'Reward Model'!$A$18:$A$37,0))</f>
        <v>High</v>
      </c>
      <c r="Z2259" s="4" t="n">
        <f aca="false">ROUND(MIN(1,MAX('Reward Model'!$B$2,INDEX('Reward Model'!$C$12:$C$14,MATCH($K2259,'Reward Model'!$A$12:$A$14,0))/$J2259)),3)</f>
        <v>1</v>
      </c>
      <c r="AA2259" s="2" t="n">
        <f aca="false">IF($I2259="Correct",ROUND(INDEX('Reward Model'!$B$12:$B$14,MATCH($K2259,'Reward Model'!$A$12:$A$14,0))*Z2259,2),0)</f>
        <v>0</v>
      </c>
      <c r="AB2259" s="2" t="n">
        <f aca="false">IF($I2259="Correct",ROUND(INDEX('Reward Model'!$B$12:$B$14,MATCH($Y2259,'Reward Model'!$A$12:$A$14,0))*Z2259,2),0)</f>
        <v>0</v>
      </c>
    </row>
    <row r="2260" customFormat="false" ht="15" hidden="false" customHeight="false" outlineLevel="0" collapsed="false">
      <c r="A2260" s="0" t="s">
        <v>356</v>
      </c>
      <c r="B2260" s="0" t="s">
        <v>357</v>
      </c>
      <c r="C2260" s="0" t="s">
        <v>322</v>
      </c>
      <c r="D2260" s="0" t="s">
        <v>31</v>
      </c>
      <c r="E2260" s="0" t="n">
        <v>19</v>
      </c>
      <c r="F2260" s="0" t="s">
        <v>78</v>
      </c>
      <c r="G2260" s="0" t="s">
        <v>80</v>
      </c>
      <c r="H2260" s="0" t="s">
        <v>80</v>
      </c>
      <c r="I2260" s="0" t="s">
        <v>34</v>
      </c>
      <c r="J2260" s="0" t="n">
        <v>2.13</v>
      </c>
      <c r="K2260" s="0" t="s">
        <v>73</v>
      </c>
      <c r="L2260" s="0" t="n">
        <f aca="false">INDEX(Summary!$F$2:$F$201,MATCH($B2260,Summary!$A$2:$A$201,0))</f>
        <v>20</v>
      </c>
      <c r="M2260" s="0" t="n">
        <f aca="false">INDEX(Summary!$I$2:$I$201,MATCH($B2260,Summary!$A$2:$A$201,0))</f>
        <v>4</v>
      </c>
      <c r="N2260" s="0" t="n">
        <f aca="false">INDEX(Summary!$J$2:$J$201,MATCH($B2260,Summary!$A$2:$A$201,0))</f>
        <v>1</v>
      </c>
      <c r="O2260" s="2" t="n">
        <f aca="false">INDEX(Summary!$K$2:$K$201,MATCH($B2260,Summary!$A$2:$A$201,0))</f>
        <v>8.55</v>
      </c>
      <c r="P2260" s="3" t="n">
        <f aca="false">INDEX(Summary!$L$2:$L$201,MATCH($B2260,Summary!$A$2:$A$201,0))</f>
        <v>4</v>
      </c>
      <c r="Q2260" s="3" t="n">
        <f aca="false">INDEX(Summary!$M$2:$M$201,MATCH($B2260,Summary!$A$2:$A$201,0))</f>
        <v>2</v>
      </c>
      <c r="R2260" s="2" t="n">
        <f aca="false">INDEX(Summary!$N$2:$N$201,MATCH($B2260,Summary!$A$2:$A$201,0))</f>
        <v>10.09</v>
      </c>
      <c r="S2260" s="3" t="n">
        <f aca="false">INDEX(Summary!$O$2:$O$201,MATCH($B2260,Summary!$A$2:$A$201,0))</f>
        <v>8</v>
      </c>
      <c r="T2260" s="3" t="n">
        <f aca="false">INDEX(Summary!$P$2:$P$201,MATCH($B2260,Summary!$A$2:$A$201,0))</f>
        <v>1</v>
      </c>
      <c r="U2260" s="2" t="n">
        <f aca="false">INDEX(Summary!$Q$2:$Q$201,MATCH($B2260,Summary!$A$2:$A$201,0))</f>
        <v>12.65</v>
      </c>
      <c r="V2260" s="2" t="n">
        <f aca="false">INDEX(Summary!$R$2:$R$201,MATCH($B2260,Summary!$A$2:$A$201,0))</f>
        <v>30.63</v>
      </c>
      <c r="W2260" s="0" t="str">
        <f aca="false">INDEX(Summary!$S$2:$S$201,MATCH($B2260,Summary!$A$2:$A$201,0))</f>
        <v>Gold</v>
      </c>
      <c r="X2260" s="2" t="n">
        <f aca="false">INDEX(Summary!$T$2:$T$201,MATCH($B2260,Summary!$A$2:$A$201,0))</f>
        <v>74.71</v>
      </c>
      <c r="Y2260" s="0" t="str">
        <f aca="false">INDEX('Reward Model'!$E$18:$E$37,MATCH($E2260,'Reward Model'!$A$18:$A$37,0))</f>
        <v>High</v>
      </c>
      <c r="Z2260" s="4" t="n">
        <f aca="false">ROUND(MIN(1,MAX('Reward Model'!$B$2,INDEX('Reward Model'!$C$12:$C$14,MATCH($K2260,'Reward Model'!$A$12:$A$14,0))/$J2260)),3)</f>
        <v>0.939</v>
      </c>
      <c r="AA2260" s="2" t="n">
        <f aca="false">IF($I2260="Correct",ROUND(INDEX('Reward Model'!$B$12:$B$14,MATCH($K2260,'Reward Model'!$A$12:$A$14,0))*Z2260,2),0)</f>
        <v>2.82</v>
      </c>
      <c r="AB2260" s="2" t="n">
        <f aca="false">IF($I2260="Correct",ROUND(INDEX('Reward Model'!$B$12:$B$14,MATCH($Y2260,'Reward Model'!$A$12:$A$14,0))*Z2260,2),0)</f>
        <v>2.82</v>
      </c>
    </row>
    <row r="2261" customFormat="false" ht="15" hidden="false" customHeight="false" outlineLevel="0" collapsed="false">
      <c r="A2261" s="0" t="s">
        <v>356</v>
      </c>
      <c r="B2261" s="0" t="s">
        <v>357</v>
      </c>
      <c r="C2261" s="0" t="s">
        <v>322</v>
      </c>
      <c r="D2261" s="0" t="s">
        <v>31</v>
      </c>
      <c r="E2261" s="0" t="n">
        <v>20</v>
      </c>
      <c r="F2261" s="0" t="s">
        <v>81</v>
      </c>
      <c r="G2261" s="0" t="s">
        <v>83</v>
      </c>
      <c r="H2261" s="0" t="s">
        <v>83</v>
      </c>
      <c r="I2261" s="0" t="s">
        <v>34</v>
      </c>
      <c r="J2261" s="0" t="n">
        <v>1.21</v>
      </c>
      <c r="K2261" s="0" t="s">
        <v>73</v>
      </c>
      <c r="L2261" s="0" t="n">
        <f aca="false">INDEX(Summary!$F$2:$F$201,MATCH($B2261,Summary!$A$2:$A$201,0))</f>
        <v>20</v>
      </c>
      <c r="M2261" s="0" t="n">
        <f aca="false">INDEX(Summary!$I$2:$I$201,MATCH($B2261,Summary!$A$2:$A$201,0))</f>
        <v>4</v>
      </c>
      <c r="N2261" s="0" t="n">
        <f aca="false">INDEX(Summary!$J$2:$J$201,MATCH($B2261,Summary!$A$2:$A$201,0))</f>
        <v>1</v>
      </c>
      <c r="O2261" s="2" t="n">
        <f aca="false">INDEX(Summary!$K$2:$K$201,MATCH($B2261,Summary!$A$2:$A$201,0))</f>
        <v>8.55</v>
      </c>
      <c r="P2261" s="3" t="n">
        <f aca="false">INDEX(Summary!$L$2:$L$201,MATCH($B2261,Summary!$A$2:$A$201,0))</f>
        <v>4</v>
      </c>
      <c r="Q2261" s="3" t="n">
        <f aca="false">INDEX(Summary!$M$2:$M$201,MATCH($B2261,Summary!$A$2:$A$201,0))</f>
        <v>2</v>
      </c>
      <c r="R2261" s="2" t="n">
        <f aca="false">INDEX(Summary!$N$2:$N$201,MATCH($B2261,Summary!$A$2:$A$201,0))</f>
        <v>10.09</v>
      </c>
      <c r="S2261" s="3" t="n">
        <f aca="false">INDEX(Summary!$O$2:$O$201,MATCH($B2261,Summary!$A$2:$A$201,0))</f>
        <v>8</v>
      </c>
      <c r="T2261" s="3" t="n">
        <f aca="false">INDEX(Summary!$P$2:$P$201,MATCH($B2261,Summary!$A$2:$A$201,0))</f>
        <v>1</v>
      </c>
      <c r="U2261" s="2" t="n">
        <f aca="false">INDEX(Summary!$Q$2:$Q$201,MATCH($B2261,Summary!$A$2:$A$201,0))</f>
        <v>12.65</v>
      </c>
      <c r="V2261" s="2" t="n">
        <f aca="false">INDEX(Summary!$R$2:$R$201,MATCH($B2261,Summary!$A$2:$A$201,0))</f>
        <v>30.63</v>
      </c>
      <c r="W2261" s="0" t="str">
        <f aca="false">INDEX(Summary!$S$2:$S$201,MATCH($B2261,Summary!$A$2:$A$201,0))</f>
        <v>Gold</v>
      </c>
      <c r="X2261" s="2" t="n">
        <f aca="false">INDEX(Summary!$T$2:$T$201,MATCH($B2261,Summary!$A$2:$A$201,0))</f>
        <v>74.71</v>
      </c>
      <c r="Y2261" s="0" t="str">
        <f aca="false">INDEX('Reward Model'!$E$18:$E$37,MATCH($E2261,'Reward Model'!$A$18:$A$37,0))</f>
        <v>High</v>
      </c>
      <c r="Z2261" s="4" t="n">
        <f aca="false">ROUND(MIN(1,MAX('Reward Model'!$B$2,INDEX('Reward Model'!$C$12:$C$14,MATCH($K2261,'Reward Model'!$A$12:$A$14,0))/$J2261)),3)</f>
        <v>1</v>
      </c>
      <c r="AA2261" s="2" t="n">
        <f aca="false">IF($I2261="Correct",ROUND(INDEX('Reward Model'!$B$12:$B$14,MATCH($K2261,'Reward Model'!$A$12:$A$14,0))*Z2261,2),0)</f>
        <v>3</v>
      </c>
      <c r="AB2261" s="2" t="n">
        <f aca="false">IF($I2261="Correct",ROUND(INDEX('Reward Model'!$B$12:$B$14,MATCH($Y2261,'Reward Model'!$A$12:$A$14,0))*Z2261,2),0)</f>
        <v>3</v>
      </c>
    </row>
    <row r="2262" customFormat="false" ht="15" hidden="false" customHeight="false" outlineLevel="0" collapsed="false">
      <c r="A2262" s="0" t="s">
        <v>358</v>
      </c>
      <c r="B2262" s="0" t="s">
        <v>359</v>
      </c>
      <c r="C2262" s="0" t="s">
        <v>322</v>
      </c>
      <c r="D2262" s="0" t="s">
        <v>31</v>
      </c>
      <c r="E2262" s="0" t="n">
        <v>1</v>
      </c>
      <c r="F2262" s="0" t="s">
        <v>32</v>
      </c>
      <c r="G2262" s="0" t="s">
        <v>33</v>
      </c>
      <c r="H2262" s="0" t="s">
        <v>33</v>
      </c>
      <c r="I2262" s="0" t="s">
        <v>34</v>
      </c>
      <c r="J2262" s="0" t="n">
        <v>1.75</v>
      </c>
      <c r="K2262" s="0" t="s">
        <v>35</v>
      </c>
      <c r="L2262" s="0" t="n">
        <f aca="false">INDEX(Summary!$F$2:$F$201,MATCH($B2262,Summary!$A$2:$A$201,0))</f>
        <v>20</v>
      </c>
      <c r="M2262" s="0" t="n">
        <f aca="false">INDEX(Summary!$I$2:$I$201,MATCH($B2262,Summary!$A$2:$A$201,0))</f>
        <v>1</v>
      </c>
      <c r="N2262" s="0" t="n">
        <f aca="false">INDEX(Summary!$J$2:$J$201,MATCH($B2262,Summary!$A$2:$A$201,0))</f>
        <v>4</v>
      </c>
      <c r="O2262" s="2" t="n">
        <f aca="false">INDEX(Summary!$K$2:$K$201,MATCH($B2262,Summary!$A$2:$A$201,0))</f>
        <v>9.48</v>
      </c>
      <c r="P2262" s="3" t="n">
        <f aca="false">INDEX(Summary!$L$2:$L$201,MATCH($B2262,Summary!$A$2:$A$201,0))</f>
        <v>5</v>
      </c>
      <c r="Q2262" s="3" t="n">
        <f aca="false">INDEX(Summary!$M$2:$M$201,MATCH($B2262,Summary!$A$2:$A$201,0))</f>
        <v>1</v>
      </c>
      <c r="R2262" s="2" t="n">
        <f aca="false">INDEX(Summary!$N$2:$N$201,MATCH($B2262,Summary!$A$2:$A$201,0))</f>
        <v>9.43</v>
      </c>
      <c r="S2262" s="3" t="n">
        <f aca="false">INDEX(Summary!$O$2:$O$201,MATCH($B2262,Summary!$A$2:$A$201,0))</f>
        <v>8</v>
      </c>
      <c r="T2262" s="3" t="n">
        <f aca="false">INDEX(Summary!$P$2:$P$201,MATCH($B2262,Summary!$A$2:$A$201,0))</f>
        <v>1</v>
      </c>
      <c r="U2262" s="2" t="n">
        <f aca="false">INDEX(Summary!$Q$2:$Q$201,MATCH($B2262,Summary!$A$2:$A$201,0))</f>
        <v>12.73</v>
      </c>
      <c r="V2262" s="2" t="n">
        <f aca="false">INDEX(Summary!$R$2:$R$201,MATCH($B2262,Summary!$A$2:$A$201,0))</f>
        <v>24.99</v>
      </c>
      <c r="W2262" s="0" t="str">
        <f aca="false">INDEX(Summary!$S$2:$S$201,MATCH($B2262,Summary!$A$2:$A$201,0))</f>
        <v>Silver</v>
      </c>
      <c r="X2262" s="2" t="n">
        <f aca="false">INDEX(Summary!$T$2:$T$201,MATCH($B2262,Summary!$A$2:$A$201,0))</f>
        <v>60.95</v>
      </c>
      <c r="Y2262" s="0" t="str">
        <f aca="false">INDEX('Reward Model'!$E$18:$E$37,MATCH($E2262,'Reward Model'!$A$18:$A$37,0))</f>
        <v>Medium</v>
      </c>
      <c r="Z2262" s="4" t="n">
        <f aca="false">ROUND(MIN(1,MAX('Reward Model'!$B$2,INDEX('Reward Model'!$C$12:$C$14,MATCH($K2262,'Reward Model'!$A$12:$A$14,0))/$J2262)),3)</f>
        <v>0.857</v>
      </c>
      <c r="AA2262" s="2" t="n">
        <f aca="false">IF($I2262="Correct",ROUND(INDEX('Reward Model'!$B$12:$B$14,MATCH($K2262,'Reward Model'!$A$12:$A$14,0))*Z2262,2),0)</f>
        <v>0.86</v>
      </c>
      <c r="AB2262" s="2" t="n">
        <f aca="false">IF($I2262="Correct",ROUND(INDEX('Reward Model'!$B$12:$B$14,MATCH($Y2262,'Reward Model'!$A$12:$A$14,0))*Z2262,2),0)</f>
        <v>1.71</v>
      </c>
    </row>
    <row r="2263" customFormat="false" ht="15" hidden="false" customHeight="false" outlineLevel="0" collapsed="false">
      <c r="A2263" s="0" t="s">
        <v>358</v>
      </c>
      <c r="B2263" s="0" t="s">
        <v>359</v>
      </c>
      <c r="C2263" s="0" t="s">
        <v>322</v>
      </c>
      <c r="D2263" s="0" t="s">
        <v>31</v>
      </c>
      <c r="E2263" s="0" t="n">
        <v>2</v>
      </c>
      <c r="F2263" s="0" t="s">
        <v>36</v>
      </c>
      <c r="G2263" s="0" t="s">
        <v>94</v>
      </c>
      <c r="H2263" s="0" t="s">
        <v>38</v>
      </c>
      <c r="I2263" s="0" t="s">
        <v>39</v>
      </c>
      <c r="J2263" s="0" t="n">
        <v>1.71</v>
      </c>
      <c r="K2263" s="0" t="s">
        <v>35</v>
      </c>
      <c r="L2263" s="0" t="n">
        <f aca="false">INDEX(Summary!$F$2:$F$201,MATCH($B2263,Summary!$A$2:$A$201,0))</f>
        <v>20</v>
      </c>
      <c r="M2263" s="0" t="n">
        <f aca="false">INDEX(Summary!$I$2:$I$201,MATCH($B2263,Summary!$A$2:$A$201,0))</f>
        <v>1</v>
      </c>
      <c r="N2263" s="0" t="n">
        <f aca="false">INDEX(Summary!$J$2:$J$201,MATCH($B2263,Summary!$A$2:$A$201,0))</f>
        <v>4</v>
      </c>
      <c r="O2263" s="2" t="n">
        <f aca="false">INDEX(Summary!$K$2:$K$201,MATCH($B2263,Summary!$A$2:$A$201,0))</f>
        <v>9.48</v>
      </c>
      <c r="P2263" s="3" t="n">
        <f aca="false">INDEX(Summary!$L$2:$L$201,MATCH($B2263,Summary!$A$2:$A$201,0))</f>
        <v>5</v>
      </c>
      <c r="Q2263" s="3" t="n">
        <f aca="false">INDEX(Summary!$M$2:$M$201,MATCH($B2263,Summary!$A$2:$A$201,0))</f>
        <v>1</v>
      </c>
      <c r="R2263" s="2" t="n">
        <f aca="false">INDEX(Summary!$N$2:$N$201,MATCH($B2263,Summary!$A$2:$A$201,0))</f>
        <v>9.43</v>
      </c>
      <c r="S2263" s="3" t="n">
        <f aca="false">INDEX(Summary!$O$2:$O$201,MATCH($B2263,Summary!$A$2:$A$201,0))</f>
        <v>8</v>
      </c>
      <c r="T2263" s="3" t="n">
        <f aca="false">INDEX(Summary!$P$2:$P$201,MATCH($B2263,Summary!$A$2:$A$201,0))</f>
        <v>1</v>
      </c>
      <c r="U2263" s="2" t="n">
        <f aca="false">INDEX(Summary!$Q$2:$Q$201,MATCH($B2263,Summary!$A$2:$A$201,0))</f>
        <v>12.73</v>
      </c>
      <c r="V2263" s="2" t="n">
        <f aca="false">INDEX(Summary!$R$2:$R$201,MATCH($B2263,Summary!$A$2:$A$201,0))</f>
        <v>24.99</v>
      </c>
      <c r="W2263" s="0" t="str">
        <f aca="false">INDEX(Summary!$S$2:$S$201,MATCH($B2263,Summary!$A$2:$A$201,0))</f>
        <v>Silver</v>
      </c>
      <c r="X2263" s="2" t="n">
        <f aca="false">INDEX(Summary!$T$2:$T$201,MATCH($B2263,Summary!$A$2:$A$201,0))</f>
        <v>60.95</v>
      </c>
      <c r="Y2263" s="0" t="str">
        <f aca="false">INDEX('Reward Model'!$E$18:$E$37,MATCH($E2263,'Reward Model'!$A$18:$A$37,0))</f>
        <v>Low</v>
      </c>
      <c r="Z2263" s="4" t="n">
        <f aca="false">ROUND(MIN(1,MAX('Reward Model'!$B$2,INDEX('Reward Model'!$C$12:$C$14,MATCH($K2263,'Reward Model'!$A$12:$A$14,0))/$J2263)),3)</f>
        <v>0.877</v>
      </c>
      <c r="AA2263" s="2" t="n">
        <f aca="false">IF($I2263="Correct",ROUND(INDEX('Reward Model'!$B$12:$B$14,MATCH($K2263,'Reward Model'!$A$12:$A$14,0))*Z2263,2),0)</f>
        <v>0</v>
      </c>
      <c r="AB2263" s="2" t="n">
        <f aca="false">IF($I2263="Correct",ROUND(INDEX('Reward Model'!$B$12:$B$14,MATCH($Y2263,'Reward Model'!$A$12:$A$14,0))*Z2263,2),0)</f>
        <v>0</v>
      </c>
    </row>
    <row r="2264" customFormat="false" ht="15" hidden="false" customHeight="false" outlineLevel="0" collapsed="false">
      <c r="A2264" s="0" t="s">
        <v>358</v>
      </c>
      <c r="B2264" s="0" t="s">
        <v>359</v>
      </c>
      <c r="C2264" s="0" t="s">
        <v>322</v>
      </c>
      <c r="D2264" s="0" t="s">
        <v>31</v>
      </c>
      <c r="E2264" s="0" t="n">
        <v>3</v>
      </c>
      <c r="F2264" s="0" t="s">
        <v>40</v>
      </c>
      <c r="G2264" s="0" t="s">
        <v>42</v>
      </c>
      <c r="H2264" s="0" t="s">
        <v>42</v>
      </c>
      <c r="I2264" s="0" t="s">
        <v>34</v>
      </c>
      <c r="J2264" s="0" t="n">
        <v>1.07</v>
      </c>
      <c r="K2264" s="0" t="s">
        <v>35</v>
      </c>
      <c r="L2264" s="0" t="n">
        <f aca="false">INDEX(Summary!$F$2:$F$201,MATCH($B2264,Summary!$A$2:$A$201,0))</f>
        <v>20</v>
      </c>
      <c r="M2264" s="0" t="n">
        <f aca="false">INDEX(Summary!$I$2:$I$201,MATCH($B2264,Summary!$A$2:$A$201,0))</f>
        <v>1</v>
      </c>
      <c r="N2264" s="0" t="n">
        <f aca="false">INDEX(Summary!$J$2:$J$201,MATCH($B2264,Summary!$A$2:$A$201,0))</f>
        <v>4</v>
      </c>
      <c r="O2264" s="2" t="n">
        <f aca="false">INDEX(Summary!$K$2:$K$201,MATCH($B2264,Summary!$A$2:$A$201,0))</f>
        <v>9.48</v>
      </c>
      <c r="P2264" s="3" t="n">
        <f aca="false">INDEX(Summary!$L$2:$L$201,MATCH($B2264,Summary!$A$2:$A$201,0))</f>
        <v>5</v>
      </c>
      <c r="Q2264" s="3" t="n">
        <f aca="false">INDEX(Summary!$M$2:$M$201,MATCH($B2264,Summary!$A$2:$A$201,0))</f>
        <v>1</v>
      </c>
      <c r="R2264" s="2" t="n">
        <f aca="false">INDEX(Summary!$N$2:$N$201,MATCH($B2264,Summary!$A$2:$A$201,0))</f>
        <v>9.43</v>
      </c>
      <c r="S2264" s="3" t="n">
        <f aca="false">INDEX(Summary!$O$2:$O$201,MATCH($B2264,Summary!$A$2:$A$201,0))</f>
        <v>8</v>
      </c>
      <c r="T2264" s="3" t="n">
        <f aca="false">INDEX(Summary!$P$2:$P$201,MATCH($B2264,Summary!$A$2:$A$201,0))</f>
        <v>1</v>
      </c>
      <c r="U2264" s="2" t="n">
        <f aca="false">INDEX(Summary!$Q$2:$Q$201,MATCH($B2264,Summary!$A$2:$A$201,0))</f>
        <v>12.73</v>
      </c>
      <c r="V2264" s="2" t="n">
        <f aca="false">INDEX(Summary!$R$2:$R$201,MATCH($B2264,Summary!$A$2:$A$201,0))</f>
        <v>24.99</v>
      </c>
      <c r="W2264" s="0" t="str">
        <f aca="false">INDEX(Summary!$S$2:$S$201,MATCH($B2264,Summary!$A$2:$A$201,0))</f>
        <v>Silver</v>
      </c>
      <c r="X2264" s="2" t="n">
        <f aca="false">INDEX(Summary!$T$2:$T$201,MATCH($B2264,Summary!$A$2:$A$201,0))</f>
        <v>60.95</v>
      </c>
      <c r="Y2264" s="0" t="str">
        <f aca="false">INDEX('Reward Model'!$E$18:$E$37,MATCH($E2264,'Reward Model'!$A$18:$A$37,0))</f>
        <v>Medium</v>
      </c>
      <c r="Z2264" s="4" t="n">
        <f aca="false">ROUND(MIN(1,MAX('Reward Model'!$B$2,INDEX('Reward Model'!$C$12:$C$14,MATCH($K2264,'Reward Model'!$A$12:$A$14,0))/$J2264)),3)</f>
        <v>1</v>
      </c>
      <c r="AA2264" s="2" t="n">
        <f aca="false">IF($I2264="Correct",ROUND(INDEX('Reward Model'!$B$12:$B$14,MATCH($K2264,'Reward Model'!$A$12:$A$14,0))*Z2264,2),0)</f>
        <v>1</v>
      </c>
      <c r="AB2264" s="2" t="n">
        <f aca="false">IF($I2264="Correct",ROUND(INDEX('Reward Model'!$B$12:$B$14,MATCH($Y2264,'Reward Model'!$A$12:$A$14,0))*Z2264,2),0)</f>
        <v>2</v>
      </c>
    </row>
    <row r="2265" customFormat="false" ht="15" hidden="false" customHeight="false" outlineLevel="0" collapsed="false">
      <c r="A2265" s="0" t="s">
        <v>358</v>
      </c>
      <c r="B2265" s="0" t="s">
        <v>359</v>
      </c>
      <c r="C2265" s="0" t="s">
        <v>322</v>
      </c>
      <c r="D2265" s="0" t="s">
        <v>31</v>
      </c>
      <c r="E2265" s="0" t="n">
        <v>4</v>
      </c>
      <c r="F2265" s="0" t="s">
        <v>43</v>
      </c>
      <c r="G2265" s="0" t="s">
        <v>45</v>
      </c>
      <c r="H2265" s="0" t="s">
        <v>45</v>
      </c>
      <c r="I2265" s="0" t="s">
        <v>34</v>
      </c>
      <c r="J2265" s="0" t="n">
        <v>0.94</v>
      </c>
      <c r="K2265" s="0" t="s">
        <v>35</v>
      </c>
      <c r="L2265" s="0" t="n">
        <f aca="false">INDEX(Summary!$F$2:$F$201,MATCH($B2265,Summary!$A$2:$A$201,0))</f>
        <v>20</v>
      </c>
      <c r="M2265" s="0" t="n">
        <f aca="false">INDEX(Summary!$I$2:$I$201,MATCH($B2265,Summary!$A$2:$A$201,0))</f>
        <v>1</v>
      </c>
      <c r="N2265" s="0" t="n">
        <f aca="false">INDEX(Summary!$J$2:$J$201,MATCH($B2265,Summary!$A$2:$A$201,0))</f>
        <v>4</v>
      </c>
      <c r="O2265" s="2" t="n">
        <f aca="false">INDEX(Summary!$K$2:$K$201,MATCH($B2265,Summary!$A$2:$A$201,0))</f>
        <v>9.48</v>
      </c>
      <c r="P2265" s="3" t="n">
        <f aca="false">INDEX(Summary!$L$2:$L$201,MATCH($B2265,Summary!$A$2:$A$201,0))</f>
        <v>5</v>
      </c>
      <c r="Q2265" s="3" t="n">
        <f aca="false">INDEX(Summary!$M$2:$M$201,MATCH($B2265,Summary!$A$2:$A$201,0))</f>
        <v>1</v>
      </c>
      <c r="R2265" s="2" t="n">
        <f aca="false">INDEX(Summary!$N$2:$N$201,MATCH($B2265,Summary!$A$2:$A$201,0))</f>
        <v>9.43</v>
      </c>
      <c r="S2265" s="3" t="n">
        <f aca="false">INDEX(Summary!$O$2:$O$201,MATCH($B2265,Summary!$A$2:$A$201,0))</f>
        <v>8</v>
      </c>
      <c r="T2265" s="3" t="n">
        <f aca="false">INDEX(Summary!$P$2:$P$201,MATCH($B2265,Summary!$A$2:$A$201,0))</f>
        <v>1</v>
      </c>
      <c r="U2265" s="2" t="n">
        <f aca="false">INDEX(Summary!$Q$2:$Q$201,MATCH($B2265,Summary!$A$2:$A$201,0))</f>
        <v>12.73</v>
      </c>
      <c r="V2265" s="2" t="n">
        <f aca="false">INDEX(Summary!$R$2:$R$201,MATCH($B2265,Summary!$A$2:$A$201,0))</f>
        <v>24.99</v>
      </c>
      <c r="W2265" s="0" t="str">
        <f aca="false">INDEX(Summary!$S$2:$S$201,MATCH($B2265,Summary!$A$2:$A$201,0))</f>
        <v>Silver</v>
      </c>
      <c r="X2265" s="2" t="n">
        <f aca="false">INDEX(Summary!$T$2:$T$201,MATCH($B2265,Summary!$A$2:$A$201,0))</f>
        <v>60.95</v>
      </c>
      <c r="Y2265" s="0" t="str">
        <f aca="false">INDEX('Reward Model'!$E$18:$E$37,MATCH($E2265,'Reward Model'!$A$18:$A$37,0))</f>
        <v>Low</v>
      </c>
      <c r="Z2265" s="4" t="n">
        <f aca="false">ROUND(MIN(1,MAX('Reward Model'!$B$2,INDEX('Reward Model'!$C$12:$C$14,MATCH($K2265,'Reward Model'!$A$12:$A$14,0))/$J2265)),3)</f>
        <v>1</v>
      </c>
      <c r="AA2265" s="2" t="n">
        <f aca="false">IF($I2265="Correct",ROUND(INDEX('Reward Model'!$B$12:$B$14,MATCH($K2265,'Reward Model'!$A$12:$A$14,0))*Z2265,2),0)</f>
        <v>1</v>
      </c>
      <c r="AB2265" s="2" t="n">
        <f aca="false">IF($I2265="Correct",ROUND(INDEX('Reward Model'!$B$12:$B$14,MATCH($Y2265,'Reward Model'!$A$12:$A$14,0))*Z2265,2),0)</f>
        <v>1</v>
      </c>
    </row>
    <row r="2266" customFormat="false" ht="15" hidden="false" customHeight="false" outlineLevel="0" collapsed="false">
      <c r="A2266" s="0" t="s">
        <v>358</v>
      </c>
      <c r="B2266" s="0" t="s">
        <v>359</v>
      </c>
      <c r="C2266" s="0" t="s">
        <v>322</v>
      </c>
      <c r="D2266" s="0" t="s">
        <v>31</v>
      </c>
      <c r="E2266" s="0" t="n">
        <v>5</v>
      </c>
      <c r="F2266" s="0" t="s">
        <v>46</v>
      </c>
      <c r="G2266" s="0" t="s">
        <v>47</v>
      </c>
      <c r="H2266" s="0" t="s">
        <v>47</v>
      </c>
      <c r="I2266" s="0" t="s">
        <v>34</v>
      </c>
      <c r="J2266" s="0" t="n">
        <v>1.92</v>
      </c>
      <c r="K2266" s="0" t="s">
        <v>35</v>
      </c>
      <c r="L2266" s="0" t="n">
        <f aca="false">INDEX(Summary!$F$2:$F$201,MATCH($B2266,Summary!$A$2:$A$201,0))</f>
        <v>20</v>
      </c>
      <c r="M2266" s="0" t="n">
        <f aca="false">INDEX(Summary!$I$2:$I$201,MATCH($B2266,Summary!$A$2:$A$201,0))</f>
        <v>1</v>
      </c>
      <c r="N2266" s="0" t="n">
        <f aca="false">INDEX(Summary!$J$2:$J$201,MATCH($B2266,Summary!$A$2:$A$201,0))</f>
        <v>4</v>
      </c>
      <c r="O2266" s="2" t="n">
        <f aca="false">INDEX(Summary!$K$2:$K$201,MATCH($B2266,Summary!$A$2:$A$201,0))</f>
        <v>9.48</v>
      </c>
      <c r="P2266" s="3" t="n">
        <f aca="false">INDEX(Summary!$L$2:$L$201,MATCH($B2266,Summary!$A$2:$A$201,0))</f>
        <v>5</v>
      </c>
      <c r="Q2266" s="3" t="n">
        <f aca="false">INDEX(Summary!$M$2:$M$201,MATCH($B2266,Summary!$A$2:$A$201,0))</f>
        <v>1</v>
      </c>
      <c r="R2266" s="2" t="n">
        <f aca="false">INDEX(Summary!$N$2:$N$201,MATCH($B2266,Summary!$A$2:$A$201,0))</f>
        <v>9.43</v>
      </c>
      <c r="S2266" s="3" t="n">
        <f aca="false">INDEX(Summary!$O$2:$O$201,MATCH($B2266,Summary!$A$2:$A$201,0))</f>
        <v>8</v>
      </c>
      <c r="T2266" s="3" t="n">
        <f aca="false">INDEX(Summary!$P$2:$P$201,MATCH($B2266,Summary!$A$2:$A$201,0))</f>
        <v>1</v>
      </c>
      <c r="U2266" s="2" t="n">
        <f aca="false">INDEX(Summary!$Q$2:$Q$201,MATCH($B2266,Summary!$A$2:$A$201,0))</f>
        <v>12.73</v>
      </c>
      <c r="V2266" s="2" t="n">
        <f aca="false">INDEX(Summary!$R$2:$R$201,MATCH($B2266,Summary!$A$2:$A$201,0))</f>
        <v>24.99</v>
      </c>
      <c r="W2266" s="0" t="str">
        <f aca="false">INDEX(Summary!$S$2:$S$201,MATCH($B2266,Summary!$A$2:$A$201,0))</f>
        <v>Silver</v>
      </c>
      <c r="X2266" s="2" t="n">
        <f aca="false">INDEX(Summary!$T$2:$T$201,MATCH($B2266,Summary!$A$2:$A$201,0))</f>
        <v>60.95</v>
      </c>
      <c r="Y2266" s="0" t="str">
        <f aca="false">INDEX('Reward Model'!$E$18:$E$37,MATCH($E2266,'Reward Model'!$A$18:$A$37,0))</f>
        <v>Low</v>
      </c>
      <c r="Z2266" s="4" t="n">
        <f aca="false">ROUND(MIN(1,MAX('Reward Model'!$B$2,INDEX('Reward Model'!$C$12:$C$14,MATCH($K2266,'Reward Model'!$A$12:$A$14,0))/$J2266)),3)</f>
        <v>0.781</v>
      </c>
      <c r="AA2266" s="2" t="n">
        <f aca="false">IF($I2266="Correct",ROUND(INDEX('Reward Model'!$B$12:$B$14,MATCH($K2266,'Reward Model'!$A$12:$A$14,0))*Z2266,2),0)</f>
        <v>0.78</v>
      </c>
      <c r="AB2266" s="2" t="n">
        <f aca="false">IF($I2266="Correct",ROUND(INDEX('Reward Model'!$B$12:$B$14,MATCH($Y2266,'Reward Model'!$A$12:$A$14,0))*Z2266,2),0)</f>
        <v>0.78</v>
      </c>
    </row>
    <row r="2267" customFormat="false" ht="15" hidden="false" customHeight="false" outlineLevel="0" collapsed="false">
      <c r="A2267" s="0" t="s">
        <v>358</v>
      </c>
      <c r="B2267" s="0" t="s">
        <v>359</v>
      </c>
      <c r="C2267" s="0" t="s">
        <v>322</v>
      </c>
      <c r="D2267" s="0" t="s">
        <v>31</v>
      </c>
      <c r="E2267" s="0" t="n">
        <v>6</v>
      </c>
      <c r="F2267" s="0" t="s">
        <v>48</v>
      </c>
      <c r="G2267" s="0" t="s">
        <v>49</v>
      </c>
      <c r="H2267" s="0" t="s">
        <v>49</v>
      </c>
      <c r="I2267" s="0" t="s">
        <v>34</v>
      </c>
      <c r="J2267" s="0" t="n">
        <v>1.38</v>
      </c>
      <c r="K2267" s="0" t="s">
        <v>35</v>
      </c>
      <c r="L2267" s="0" t="n">
        <f aca="false">INDEX(Summary!$F$2:$F$201,MATCH($B2267,Summary!$A$2:$A$201,0))</f>
        <v>20</v>
      </c>
      <c r="M2267" s="0" t="n">
        <f aca="false">INDEX(Summary!$I$2:$I$201,MATCH($B2267,Summary!$A$2:$A$201,0))</f>
        <v>1</v>
      </c>
      <c r="N2267" s="0" t="n">
        <f aca="false">INDEX(Summary!$J$2:$J$201,MATCH($B2267,Summary!$A$2:$A$201,0))</f>
        <v>4</v>
      </c>
      <c r="O2267" s="2" t="n">
        <f aca="false">INDEX(Summary!$K$2:$K$201,MATCH($B2267,Summary!$A$2:$A$201,0))</f>
        <v>9.48</v>
      </c>
      <c r="P2267" s="3" t="n">
        <f aca="false">INDEX(Summary!$L$2:$L$201,MATCH($B2267,Summary!$A$2:$A$201,0))</f>
        <v>5</v>
      </c>
      <c r="Q2267" s="3" t="n">
        <f aca="false">INDEX(Summary!$M$2:$M$201,MATCH($B2267,Summary!$A$2:$A$201,0))</f>
        <v>1</v>
      </c>
      <c r="R2267" s="2" t="n">
        <f aca="false">INDEX(Summary!$N$2:$N$201,MATCH($B2267,Summary!$A$2:$A$201,0))</f>
        <v>9.43</v>
      </c>
      <c r="S2267" s="3" t="n">
        <f aca="false">INDEX(Summary!$O$2:$O$201,MATCH($B2267,Summary!$A$2:$A$201,0))</f>
        <v>8</v>
      </c>
      <c r="T2267" s="3" t="n">
        <f aca="false">INDEX(Summary!$P$2:$P$201,MATCH($B2267,Summary!$A$2:$A$201,0))</f>
        <v>1</v>
      </c>
      <c r="U2267" s="2" t="n">
        <f aca="false">INDEX(Summary!$Q$2:$Q$201,MATCH($B2267,Summary!$A$2:$A$201,0))</f>
        <v>12.73</v>
      </c>
      <c r="V2267" s="2" t="n">
        <f aca="false">INDEX(Summary!$R$2:$R$201,MATCH($B2267,Summary!$A$2:$A$201,0))</f>
        <v>24.99</v>
      </c>
      <c r="W2267" s="0" t="str">
        <f aca="false">INDEX(Summary!$S$2:$S$201,MATCH($B2267,Summary!$A$2:$A$201,0))</f>
        <v>Silver</v>
      </c>
      <c r="X2267" s="2" t="n">
        <f aca="false">INDEX(Summary!$T$2:$T$201,MATCH($B2267,Summary!$A$2:$A$201,0))</f>
        <v>60.95</v>
      </c>
      <c r="Y2267" s="0" t="str">
        <f aca="false">INDEX('Reward Model'!$E$18:$E$37,MATCH($E2267,'Reward Model'!$A$18:$A$37,0))</f>
        <v>Medium</v>
      </c>
      <c r="Z2267" s="4" t="n">
        <f aca="false">ROUND(MIN(1,MAX('Reward Model'!$B$2,INDEX('Reward Model'!$C$12:$C$14,MATCH($K2267,'Reward Model'!$A$12:$A$14,0))/$J2267)),3)</f>
        <v>1</v>
      </c>
      <c r="AA2267" s="2" t="n">
        <f aca="false">IF($I2267="Correct",ROUND(INDEX('Reward Model'!$B$12:$B$14,MATCH($K2267,'Reward Model'!$A$12:$A$14,0))*Z2267,2),0)</f>
        <v>1</v>
      </c>
      <c r="AB2267" s="2" t="n">
        <f aca="false">IF($I2267="Correct",ROUND(INDEX('Reward Model'!$B$12:$B$14,MATCH($Y2267,'Reward Model'!$A$12:$A$14,0))*Z2267,2),0)</f>
        <v>2</v>
      </c>
    </row>
    <row r="2268" customFormat="false" ht="15" hidden="false" customHeight="false" outlineLevel="0" collapsed="false">
      <c r="A2268" s="0" t="s">
        <v>358</v>
      </c>
      <c r="B2268" s="0" t="s">
        <v>359</v>
      </c>
      <c r="C2268" s="0" t="s">
        <v>322</v>
      </c>
      <c r="D2268" s="0" t="s">
        <v>31</v>
      </c>
      <c r="E2268" s="0" t="n">
        <v>7</v>
      </c>
      <c r="F2268" s="0" t="s">
        <v>50</v>
      </c>
      <c r="G2268" s="0" t="s">
        <v>51</v>
      </c>
      <c r="H2268" s="0" t="s">
        <v>51</v>
      </c>
      <c r="I2268" s="0" t="s">
        <v>34</v>
      </c>
      <c r="J2268" s="0" t="n">
        <v>1.3</v>
      </c>
      <c r="K2268" s="0" t="s">
        <v>35</v>
      </c>
      <c r="L2268" s="0" t="n">
        <f aca="false">INDEX(Summary!$F$2:$F$201,MATCH($B2268,Summary!$A$2:$A$201,0))</f>
        <v>20</v>
      </c>
      <c r="M2268" s="0" t="n">
        <f aca="false">INDEX(Summary!$I$2:$I$201,MATCH($B2268,Summary!$A$2:$A$201,0))</f>
        <v>1</v>
      </c>
      <c r="N2268" s="0" t="n">
        <f aca="false">INDEX(Summary!$J$2:$J$201,MATCH($B2268,Summary!$A$2:$A$201,0))</f>
        <v>4</v>
      </c>
      <c r="O2268" s="2" t="n">
        <f aca="false">INDEX(Summary!$K$2:$K$201,MATCH($B2268,Summary!$A$2:$A$201,0))</f>
        <v>9.48</v>
      </c>
      <c r="P2268" s="3" t="n">
        <f aca="false">INDEX(Summary!$L$2:$L$201,MATCH($B2268,Summary!$A$2:$A$201,0))</f>
        <v>5</v>
      </c>
      <c r="Q2268" s="3" t="n">
        <f aca="false">INDEX(Summary!$M$2:$M$201,MATCH($B2268,Summary!$A$2:$A$201,0))</f>
        <v>1</v>
      </c>
      <c r="R2268" s="2" t="n">
        <f aca="false">INDEX(Summary!$N$2:$N$201,MATCH($B2268,Summary!$A$2:$A$201,0))</f>
        <v>9.43</v>
      </c>
      <c r="S2268" s="3" t="n">
        <f aca="false">INDEX(Summary!$O$2:$O$201,MATCH($B2268,Summary!$A$2:$A$201,0))</f>
        <v>8</v>
      </c>
      <c r="T2268" s="3" t="n">
        <f aca="false">INDEX(Summary!$P$2:$P$201,MATCH($B2268,Summary!$A$2:$A$201,0))</f>
        <v>1</v>
      </c>
      <c r="U2268" s="2" t="n">
        <f aca="false">INDEX(Summary!$Q$2:$Q$201,MATCH($B2268,Summary!$A$2:$A$201,0))</f>
        <v>12.73</v>
      </c>
      <c r="V2268" s="2" t="n">
        <f aca="false">INDEX(Summary!$R$2:$R$201,MATCH($B2268,Summary!$A$2:$A$201,0))</f>
        <v>24.99</v>
      </c>
      <c r="W2268" s="0" t="str">
        <f aca="false">INDEX(Summary!$S$2:$S$201,MATCH($B2268,Summary!$A$2:$A$201,0))</f>
        <v>Silver</v>
      </c>
      <c r="X2268" s="2" t="n">
        <f aca="false">INDEX(Summary!$T$2:$T$201,MATCH($B2268,Summary!$A$2:$A$201,0))</f>
        <v>60.95</v>
      </c>
      <c r="Y2268" s="0" t="str">
        <f aca="false">INDEX('Reward Model'!$E$18:$E$37,MATCH($E2268,'Reward Model'!$A$18:$A$37,0))</f>
        <v>Low</v>
      </c>
      <c r="Z2268" s="4" t="n">
        <f aca="false">ROUND(MIN(1,MAX('Reward Model'!$B$2,INDEX('Reward Model'!$C$12:$C$14,MATCH($K2268,'Reward Model'!$A$12:$A$14,0))/$J2268)),3)</f>
        <v>1</v>
      </c>
      <c r="AA2268" s="2" t="n">
        <f aca="false">IF($I2268="Correct",ROUND(INDEX('Reward Model'!$B$12:$B$14,MATCH($K2268,'Reward Model'!$A$12:$A$14,0))*Z2268,2),0)</f>
        <v>1</v>
      </c>
      <c r="AB2268" s="2" t="n">
        <f aca="false">IF($I2268="Correct",ROUND(INDEX('Reward Model'!$B$12:$B$14,MATCH($Y2268,'Reward Model'!$A$12:$A$14,0))*Z2268,2),0)</f>
        <v>1</v>
      </c>
    </row>
    <row r="2269" customFormat="false" ht="15" hidden="false" customHeight="false" outlineLevel="0" collapsed="false">
      <c r="A2269" s="0" t="s">
        <v>358</v>
      </c>
      <c r="B2269" s="0" t="s">
        <v>359</v>
      </c>
      <c r="C2269" s="0" t="s">
        <v>322</v>
      </c>
      <c r="D2269" s="0" t="s">
        <v>31</v>
      </c>
      <c r="E2269" s="0" t="n">
        <v>8</v>
      </c>
      <c r="F2269" s="0" t="s">
        <v>52</v>
      </c>
      <c r="G2269" s="0" t="s">
        <v>54</v>
      </c>
      <c r="H2269" s="0" t="s">
        <v>54</v>
      </c>
      <c r="I2269" s="0" t="s">
        <v>34</v>
      </c>
      <c r="J2269" s="0" t="n">
        <v>1.06</v>
      </c>
      <c r="K2269" s="0" t="s">
        <v>35</v>
      </c>
      <c r="L2269" s="0" t="n">
        <f aca="false">INDEX(Summary!$F$2:$F$201,MATCH($B2269,Summary!$A$2:$A$201,0))</f>
        <v>20</v>
      </c>
      <c r="M2269" s="0" t="n">
        <f aca="false">INDEX(Summary!$I$2:$I$201,MATCH($B2269,Summary!$A$2:$A$201,0))</f>
        <v>1</v>
      </c>
      <c r="N2269" s="0" t="n">
        <f aca="false">INDEX(Summary!$J$2:$J$201,MATCH($B2269,Summary!$A$2:$A$201,0))</f>
        <v>4</v>
      </c>
      <c r="O2269" s="2" t="n">
        <f aca="false">INDEX(Summary!$K$2:$K$201,MATCH($B2269,Summary!$A$2:$A$201,0))</f>
        <v>9.48</v>
      </c>
      <c r="P2269" s="3" t="n">
        <f aca="false">INDEX(Summary!$L$2:$L$201,MATCH($B2269,Summary!$A$2:$A$201,0))</f>
        <v>5</v>
      </c>
      <c r="Q2269" s="3" t="n">
        <f aca="false">INDEX(Summary!$M$2:$M$201,MATCH($B2269,Summary!$A$2:$A$201,0))</f>
        <v>1</v>
      </c>
      <c r="R2269" s="2" t="n">
        <f aca="false">INDEX(Summary!$N$2:$N$201,MATCH($B2269,Summary!$A$2:$A$201,0))</f>
        <v>9.43</v>
      </c>
      <c r="S2269" s="3" t="n">
        <f aca="false">INDEX(Summary!$O$2:$O$201,MATCH($B2269,Summary!$A$2:$A$201,0))</f>
        <v>8</v>
      </c>
      <c r="T2269" s="3" t="n">
        <f aca="false">INDEX(Summary!$P$2:$P$201,MATCH($B2269,Summary!$A$2:$A$201,0))</f>
        <v>1</v>
      </c>
      <c r="U2269" s="2" t="n">
        <f aca="false">INDEX(Summary!$Q$2:$Q$201,MATCH($B2269,Summary!$A$2:$A$201,0))</f>
        <v>12.73</v>
      </c>
      <c r="V2269" s="2" t="n">
        <f aca="false">INDEX(Summary!$R$2:$R$201,MATCH($B2269,Summary!$A$2:$A$201,0))</f>
        <v>24.99</v>
      </c>
      <c r="W2269" s="0" t="str">
        <f aca="false">INDEX(Summary!$S$2:$S$201,MATCH($B2269,Summary!$A$2:$A$201,0))</f>
        <v>Silver</v>
      </c>
      <c r="X2269" s="2" t="n">
        <f aca="false">INDEX(Summary!$T$2:$T$201,MATCH($B2269,Summary!$A$2:$A$201,0))</f>
        <v>60.95</v>
      </c>
      <c r="Y2269" s="0" t="str">
        <f aca="false">INDEX('Reward Model'!$E$18:$E$37,MATCH($E2269,'Reward Model'!$A$18:$A$37,0))</f>
        <v>Medium</v>
      </c>
      <c r="Z2269" s="4" t="n">
        <f aca="false">ROUND(MIN(1,MAX('Reward Model'!$B$2,INDEX('Reward Model'!$C$12:$C$14,MATCH($K2269,'Reward Model'!$A$12:$A$14,0))/$J2269)),3)</f>
        <v>1</v>
      </c>
      <c r="AA2269" s="2" t="n">
        <f aca="false">IF($I2269="Correct",ROUND(INDEX('Reward Model'!$B$12:$B$14,MATCH($K2269,'Reward Model'!$A$12:$A$14,0))*Z2269,2),0)</f>
        <v>1</v>
      </c>
      <c r="AB2269" s="2" t="n">
        <f aca="false">IF($I2269="Correct",ROUND(INDEX('Reward Model'!$B$12:$B$14,MATCH($Y2269,'Reward Model'!$A$12:$A$14,0))*Z2269,2),0)</f>
        <v>2</v>
      </c>
    </row>
    <row r="2270" customFormat="false" ht="15" hidden="false" customHeight="false" outlineLevel="0" collapsed="false">
      <c r="A2270" s="0" t="s">
        <v>358</v>
      </c>
      <c r="B2270" s="0" t="s">
        <v>359</v>
      </c>
      <c r="C2270" s="0" t="s">
        <v>322</v>
      </c>
      <c r="D2270" s="0" t="s">
        <v>31</v>
      </c>
      <c r="E2270" s="0" t="n">
        <v>9</v>
      </c>
      <c r="F2270" s="0" t="s">
        <v>55</v>
      </c>
      <c r="G2270" s="0" t="s">
        <v>57</v>
      </c>
      <c r="H2270" s="0" t="s">
        <v>57</v>
      </c>
      <c r="I2270" s="0" t="s">
        <v>34</v>
      </c>
      <c r="J2270" s="0" t="n">
        <v>1.6</v>
      </c>
      <c r="K2270" s="0" t="s">
        <v>35</v>
      </c>
      <c r="L2270" s="0" t="n">
        <f aca="false">INDEX(Summary!$F$2:$F$201,MATCH($B2270,Summary!$A$2:$A$201,0))</f>
        <v>20</v>
      </c>
      <c r="M2270" s="0" t="n">
        <f aca="false">INDEX(Summary!$I$2:$I$201,MATCH($B2270,Summary!$A$2:$A$201,0))</f>
        <v>1</v>
      </c>
      <c r="N2270" s="0" t="n">
        <f aca="false">INDEX(Summary!$J$2:$J$201,MATCH($B2270,Summary!$A$2:$A$201,0))</f>
        <v>4</v>
      </c>
      <c r="O2270" s="2" t="n">
        <f aca="false">INDEX(Summary!$K$2:$K$201,MATCH($B2270,Summary!$A$2:$A$201,0))</f>
        <v>9.48</v>
      </c>
      <c r="P2270" s="3" t="n">
        <f aca="false">INDEX(Summary!$L$2:$L$201,MATCH($B2270,Summary!$A$2:$A$201,0))</f>
        <v>5</v>
      </c>
      <c r="Q2270" s="3" t="n">
        <f aca="false">INDEX(Summary!$M$2:$M$201,MATCH($B2270,Summary!$A$2:$A$201,0))</f>
        <v>1</v>
      </c>
      <c r="R2270" s="2" t="n">
        <f aca="false">INDEX(Summary!$N$2:$N$201,MATCH($B2270,Summary!$A$2:$A$201,0))</f>
        <v>9.43</v>
      </c>
      <c r="S2270" s="3" t="n">
        <f aca="false">INDEX(Summary!$O$2:$O$201,MATCH($B2270,Summary!$A$2:$A$201,0))</f>
        <v>8</v>
      </c>
      <c r="T2270" s="3" t="n">
        <f aca="false">INDEX(Summary!$P$2:$P$201,MATCH($B2270,Summary!$A$2:$A$201,0))</f>
        <v>1</v>
      </c>
      <c r="U2270" s="2" t="n">
        <f aca="false">INDEX(Summary!$Q$2:$Q$201,MATCH($B2270,Summary!$A$2:$A$201,0))</f>
        <v>12.73</v>
      </c>
      <c r="V2270" s="2" t="n">
        <f aca="false">INDEX(Summary!$R$2:$R$201,MATCH($B2270,Summary!$A$2:$A$201,0))</f>
        <v>24.99</v>
      </c>
      <c r="W2270" s="0" t="str">
        <f aca="false">INDEX(Summary!$S$2:$S$201,MATCH($B2270,Summary!$A$2:$A$201,0))</f>
        <v>Silver</v>
      </c>
      <c r="X2270" s="2" t="n">
        <f aca="false">INDEX(Summary!$T$2:$T$201,MATCH($B2270,Summary!$A$2:$A$201,0))</f>
        <v>60.95</v>
      </c>
      <c r="Y2270" s="0" t="str">
        <f aca="false">INDEX('Reward Model'!$E$18:$E$37,MATCH($E2270,'Reward Model'!$A$18:$A$37,0))</f>
        <v>Medium</v>
      </c>
      <c r="Z2270" s="4" t="n">
        <f aca="false">ROUND(MIN(1,MAX('Reward Model'!$B$2,INDEX('Reward Model'!$C$12:$C$14,MATCH($K2270,'Reward Model'!$A$12:$A$14,0))/$J2270)),3)</f>
        <v>0.938</v>
      </c>
      <c r="AA2270" s="2" t="n">
        <f aca="false">IF($I2270="Correct",ROUND(INDEX('Reward Model'!$B$12:$B$14,MATCH($K2270,'Reward Model'!$A$12:$A$14,0))*Z2270,2),0)</f>
        <v>0.94</v>
      </c>
      <c r="AB2270" s="2" t="n">
        <f aca="false">IF($I2270="Correct",ROUND(INDEX('Reward Model'!$B$12:$B$14,MATCH($Y2270,'Reward Model'!$A$12:$A$14,0))*Z2270,2),0)</f>
        <v>1.88</v>
      </c>
    </row>
    <row r="2271" customFormat="false" ht="15" hidden="false" customHeight="false" outlineLevel="0" collapsed="false">
      <c r="A2271" s="0" t="s">
        <v>358</v>
      </c>
      <c r="B2271" s="0" t="s">
        <v>359</v>
      </c>
      <c r="C2271" s="0" t="s">
        <v>322</v>
      </c>
      <c r="D2271" s="0" t="s">
        <v>31</v>
      </c>
      <c r="E2271" s="0" t="n">
        <v>10</v>
      </c>
      <c r="F2271" s="0" t="s">
        <v>58</v>
      </c>
      <c r="G2271" s="0" t="s">
        <v>59</v>
      </c>
      <c r="H2271" s="0" t="s">
        <v>59</v>
      </c>
      <c r="I2271" s="0" t="s">
        <v>34</v>
      </c>
      <c r="J2271" s="0" t="n">
        <v>2.1</v>
      </c>
      <c r="K2271" s="0" t="s">
        <v>60</v>
      </c>
      <c r="L2271" s="0" t="n">
        <f aca="false">INDEX(Summary!$F$2:$F$201,MATCH($B2271,Summary!$A$2:$A$201,0))</f>
        <v>20</v>
      </c>
      <c r="M2271" s="0" t="n">
        <f aca="false">INDEX(Summary!$I$2:$I$201,MATCH($B2271,Summary!$A$2:$A$201,0))</f>
        <v>1</v>
      </c>
      <c r="N2271" s="0" t="n">
        <f aca="false">INDEX(Summary!$J$2:$J$201,MATCH($B2271,Summary!$A$2:$A$201,0))</f>
        <v>4</v>
      </c>
      <c r="O2271" s="2" t="n">
        <f aca="false">INDEX(Summary!$K$2:$K$201,MATCH($B2271,Summary!$A$2:$A$201,0))</f>
        <v>9.48</v>
      </c>
      <c r="P2271" s="3" t="n">
        <f aca="false">INDEX(Summary!$L$2:$L$201,MATCH($B2271,Summary!$A$2:$A$201,0))</f>
        <v>5</v>
      </c>
      <c r="Q2271" s="3" t="n">
        <f aca="false">INDEX(Summary!$M$2:$M$201,MATCH($B2271,Summary!$A$2:$A$201,0))</f>
        <v>1</v>
      </c>
      <c r="R2271" s="2" t="n">
        <f aca="false">INDEX(Summary!$N$2:$N$201,MATCH($B2271,Summary!$A$2:$A$201,0))</f>
        <v>9.43</v>
      </c>
      <c r="S2271" s="3" t="n">
        <f aca="false">INDEX(Summary!$O$2:$O$201,MATCH($B2271,Summary!$A$2:$A$201,0))</f>
        <v>8</v>
      </c>
      <c r="T2271" s="3" t="n">
        <f aca="false">INDEX(Summary!$P$2:$P$201,MATCH($B2271,Summary!$A$2:$A$201,0))</f>
        <v>1</v>
      </c>
      <c r="U2271" s="2" t="n">
        <f aca="false">INDEX(Summary!$Q$2:$Q$201,MATCH($B2271,Summary!$A$2:$A$201,0))</f>
        <v>12.73</v>
      </c>
      <c r="V2271" s="2" t="n">
        <f aca="false">INDEX(Summary!$R$2:$R$201,MATCH($B2271,Summary!$A$2:$A$201,0))</f>
        <v>24.99</v>
      </c>
      <c r="W2271" s="0" t="str">
        <f aca="false">INDEX(Summary!$S$2:$S$201,MATCH($B2271,Summary!$A$2:$A$201,0))</f>
        <v>Silver</v>
      </c>
      <c r="X2271" s="2" t="n">
        <f aca="false">INDEX(Summary!$T$2:$T$201,MATCH($B2271,Summary!$A$2:$A$201,0))</f>
        <v>60.95</v>
      </c>
      <c r="Y2271" s="0" t="str">
        <f aca="false">INDEX('Reward Model'!$E$18:$E$37,MATCH($E2271,'Reward Model'!$A$18:$A$37,0))</f>
        <v>Medium</v>
      </c>
      <c r="Z2271" s="4" t="n">
        <f aca="false">ROUND(MIN(1,MAX('Reward Model'!$B$2,INDEX('Reward Model'!$C$12:$C$14,MATCH($K2271,'Reward Model'!$A$12:$A$14,0))/$J2271)),3)</f>
        <v>0.857</v>
      </c>
      <c r="AA2271" s="2" t="n">
        <f aca="false">IF($I2271="Correct",ROUND(INDEX('Reward Model'!$B$12:$B$14,MATCH($K2271,'Reward Model'!$A$12:$A$14,0))*Z2271,2),0)</f>
        <v>1.71</v>
      </c>
      <c r="AB2271" s="2" t="n">
        <f aca="false">IF($I2271="Correct",ROUND(INDEX('Reward Model'!$B$12:$B$14,MATCH($Y2271,'Reward Model'!$A$12:$A$14,0))*Z2271,2),0)</f>
        <v>1.71</v>
      </c>
    </row>
    <row r="2272" customFormat="false" ht="15" hidden="false" customHeight="false" outlineLevel="0" collapsed="false">
      <c r="A2272" s="0" t="s">
        <v>358</v>
      </c>
      <c r="B2272" s="0" t="s">
        <v>359</v>
      </c>
      <c r="C2272" s="0" t="s">
        <v>322</v>
      </c>
      <c r="D2272" s="0" t="s">
        <v>31</v>
      </c>
      <c r="E2272" s="0" t="n">
        <v>11</v>
      </c>
      <c r="F2272" s="0" t="s">
        <v>61</v>
      </c>
      <c r="G2272" s="0" t="s">
        <v>63</v>
      </c>
      <c r="H2272" s="0" t="s">
        <v>63</v>
      </c>
      <c r="I2272" s="0" t="s">
        <v>34</v>
      </c>
      <c r="J2272" s="0" t="n">
        <v>1.23</v>
      </c>
      <c r="K2272" s="0" t="s">
        <v>60</v>
      </c>
      <c r="L2272" s="0" t="n">
        <f aca="false">INDEX(Summary!$F$2:$F$201,MATCH($B2272,Summary!$A$2:$A$201,0))</f>
        <v>20</v>
      </c>
      <c r="M2272" s="0" t="n">
        <f aca="false">INDEX(Summary!$I$2:$I$201,MATCH($B2272,Summary!$A$2:$A$201,0))</f>
        <v>1</v>
      </c>
      <c r="N2272" s="0" t="n">
        <f aca="false">INDEX(Summary!$J$2:$J$201,MATCH($B2272,Summary!$A$2:$A$201,0))</f>
        <v>4</v>
      </c>
      <c r="O2272" s="2" t="n">
        <f aca="false">INDEX(Summary!$K$2:$K$201,MATCH($B2272,Summary!$A$2:$A$201,0))</f>
        <v>9.48</v>
      </c>
      <c r="P2272" s="3" t="n">
        <f aca="false">INDEX(Summary!$L$2:$L$201,MATCH($B2272,Summary!$A$2:$A$201,0))</f>
        <v>5</v>
      </c>
      <c r="Q2272" s="3" t="n">
        <f aca="false">INDEX(Summary!$M$2:$M$201,MATCH($B2272,Summary!$A$2:$A$201,0))</f>
        <v>1</v>
      </c>
      <c r="R2272" s="2" t="n">
        <f aca="false">INDEX(Summary!$N$2:$N$201,MATCH($B2272,Summary!$A$2:$A$201,0))</f>
        <v>9.43</v>
      </c>
      <c r="S2272" s="3" t="n">
        <f aca="false">INDEX(Summary!$O$2:$O$201,MATCH($B2272,Summary!$A$2:$A$201,0))</f>
        <v>8</v>
      </c>
      <c r="T2272" s="3" t="n">
        <f aca="false">INDEX(Summary!$P$2:$P$201,MATCH($B2272,Summary!$A$2:$A$201,0))</f>
        <v>1</v>
      </c>
      <c r="U2272" s="2" t="n">
        <f aca="false">INDEX(Summary!$Q$2:$Q$201,MATCH($B2272,Summary!$A$2:$A$201,0))</f>
        <v>12.73</v>
      </c>
      <c r="V2272" s="2" t="n">
        <f aca="false">INDEX(Summary!$R$2:$R$201,MATCH($B2272,Summary!$A$2:$A$201,0))</f>
        <v>24.99</v>
      </c>
      <c r="W2272" s="0" t="str">
        <f aca="false">INDEX(Summary!$S$2:$S$201,MATCH($B2272,Summary!$A$2:$A$201,0))</f>
        <v>Silver</v>
      </c>
      <c r="X2272" s="2" t="n">
        <f aca="false">INDEX(Summary!$T$2:$T$201,MATCH($B2272,Summary!$A$2:$A$201,0))</f>
        <v>60.95</v>
      </c>
      <c r="Y2272" s="0" t="str">
        <f aca="false">INDEX('Reward Model'!$E$18:$E$37,MATCH($E2272,'Reward Model'!$A$18:$A$37,0))</f>
        <v>Medium</v>
      </c>
      <c r="Z2272" s="4" t="n">
        <f aca="false">ROUND(MIN(1,MAX('Reward Model'!$B$2,INDEX('Reward Model'!$C$12:$C$14,MATCH($K2272,'Reward Model'!$A$12:$A$14,0))/$J2272)),3)</f>
        <v>1</v>
      </c>
      <c r="AA2272" s="2" t="n">
        <f aca="false">IF($I2272="Correct",ROUND(INDEX('Reward Model'!$B$12:$B$14,MATCH($K2272,'Reward Model'!$A$12:$A$14,0))*Z2272,2),0)</f>
        <v>2</v>
      </c>
      <c r="AB2272" s="2" t="n">
        <f aca="false">IF($I2272="Correct",ROUND(INDEX('Reward Model'!$B$12:$B$14,MATCH($Y2272,'Reward Model'!$A$12:$A$14,0))*Z2272,2),0)</f>
        <v>2</v>
      </c>
    </row>
    <row r="2273" customFormat="false" ht="15" hidden="false" customHeight="false" outlineLevel="0" collapsed="false">
      <c r="A2273" s="0" t="s">
        <v>358</v>
      </c>
      <c r="B2273" s="0" t="s">
        <v>359</v>
      </c>
      <c r="C2273" s="0" t="s">
        <v>322</v>
      </c>
      <c r="D2273" s="0" t="s">
        <v>31</v>
      </c>
      <c r="E2273" s="0" t="n">
        <v>12</v>
      </c>
      <c r="F2273" s="0" t="s">
        <v>64</v>
      </c>
      <c r="G2273" s="0" t="s">
        <v>127</v>
      </c>
      <c r="H2273" s="0" t="s">
        <v>65</v>
      </c>
      <c r="I2273" s="0" t="s">
        <v>39</v>
      </c>
      <c r="J2273" s="0" t="n">
        <v>1.28</v>
      </c>
      <c r="K2273" s="0" t="s">
        <v>60</v>
      </c>
      <c r="L2273" s="0" t="n">
        <f aca="false">INDEX(Summary!$F$2:$F$201,MATCH($B2273,Summary!$A$2:$A$201,0))</f>
        <v>20</v>
      </c>
      <c r="M2273" s="0" t="n">
        <f aca="false">INDEX(Summary!$I$2:$I$201,MATCH($B2273,Summary!$A$2:$A$201,0))</f>
        <v>1</v>
      </c>
      <c r="N2273" s="0" t="n">
        <f aca="false">INDEX(Summary!$J$2:$J$201,MATCH($B2273,Summary!$A$2:$A$201,0))</f>
        <v>4</v>
      </c>
      <c r="O2273" s="2" t="n">
        <f aca="false">INDEX(Summary!$K$2:$K$201,MATCH($B2273,Summary!$A$2:$A$201,0))</f>
        <v>9.48</v>
      </c>
      <c r="P2273" s="3" t="n">
        <f aca="false">INDEX(Summary!$L$2:$L$201,MATCH($B2273,Summary!$A$2:$A$201,0))</f>
        <v>5</v>
      </c>
      <c r="Q2273" s="3" t="n">
        <f aca="false">INDEX(Summary!$M$2:$M$201,MATCH($B2273,Summary!$A$2:$A$201,0))</f>
        <v>1</v>
      </c>
      <c r="R2273" s="2" t="n">
        <f aca="false">INDEX(Summary!$N$2:$N$201,MATCH($B2273,Summary!$A$2:$A$201,0))</f>
        <v>9.43</v>
      </c>
      <c r="S2273" s="3" t="n">
        <f aca="false">INDEX(Summary!$O$2:$O$201,MATCH($B2273,Summary!$A$2:$A$201,0))</f>
        <v>8</v>
      </c>
      <c r="T2273" s="3" t="n">
        <f aca="false">INDEX(Summary!$P$2:$P$201,MATCH($B2273,Summary!$A$2:$A$201,0))</f>
        <v>1</v>
      </c>
      <c r="U2273" s="2" t="n">
        <f aca="false">INDEX(Summary!$Q$2:$Q$201,MATCH($B2273,Summary!$A$2:$A$201,0))</f>
        <v>12.73</v>
      </c>
      <c r="V2273" s="2" t="n">
        <f aca="false">INDEX(Summary!$R$2:$R$201,MATCH($B2273,Summary!$A$2:$A$201,0))</f>
        <v>24.99</v>
      </c>
      <c r="W2273" s="0" t="str">
        <f aca="false">INDEX(Summary!$S$2:$S$201,MATCH($B2273,Summary!$A$2:$A$201,0))</f>
        <v>Silver</v>
      </c>
      <c r="X2273" s="2" t="n">
        <f aca="false">INDEX(Summary!$T$2:$T$201,MATCH($B2273,Summary!$A$2:$A$201,0))</f>
        <v>60.95</v>
      </c>
      <c r="Y2273" s="0" t="str">
        <f aca="false">INDEX('Reward Model'!$E$18:$E$37,MATCH($E2273,'Reward Model'!$A$18:$A$37,0))</f>
        <v>Medium</v>
      </c>
      <c r="Z2273" s="4" t="n">
        <f aca="false">ROUND(MIN(1,MAX('Reward Model'!$B$2,INDEX('Reward Model'!$C$12:$C$14,MATCH($K2273,'Reward Model'!$A$12:$A$14,0))/$J2273)),3)</f>
        <v>1</v>
      </c>
      <c r="AA2273" s="2" t="n">
        <f aca="false">IF($I2273="Correct",ROUND(INDEX('Reward Model'!$B$12:$B$14,MATCH($K2273,'Reward Model'!$A$12:$A$14,0))*Z2273,2),0)</f>
        <v>0</v>
      </c>
      <c r="AB2273" s="2" t="n">
        <f aca="false">IF($I2273="Correct",ROUND(INDEX('Reward Model'!$B$12:$B$14,MATCH($Y2273,'Reward Model'!$A$12:$A$14,0))*Z2273,2),0)</f>
        <v>0</v>
      </c>
    </row>
    <row r="2274" customFormat="false" ht="15" hidden="false" customHeight="false" outlineLevel="0" collapsed="false">
      <c r="A2274" s="0" t="s">
        <v>358</v>
      </c>
      <c r="B2274" s="0" t="s">
        <v>359</v>
      </c>
      <c r="C2274" s="0" t="s">
        <v>322</v>
      </c>
      <c r="D2274" s="0" t="s">
        <v>31</v>
      </c>
      <c r="E2274" s="0" t="n">
        <v>13</v>
      </c>
      <c r="F2274" s="0" t="s">
        <v>66</v>
      </c>
      <c r="G2274" s="0" t="s">
        <v>67</v>
      </c>
      <c r="H2274" s="0" t="s">
        <v>67</v>
      </c>
      <c r="I2274" s="0" t="s">
        <v>34</v>
      </c>
      <c r="J2274" s="0" t="n">
        <v>1.53</v>
      </c>
      <c r="K2274" s="0" t="s">
        <v>60</v>
      </c>
      <c r="L2274" s="0" t="n">
        <f aca="false">INDEX(Summary!$F$2:$F$201,MATCH($B2274,Summary!$A$2:$A$201,0))</f>
        <v>20</v>
      </c>
      <c r="M2274" s="0" t="n">
        <f aca="false">INDEX(Summary!$I$2:$I$201,MATCH($B2274,Summary!$A$2:$A$201,0))</f>
        <v>1</v>
      </c>
      <c r="N2274" s="0" t="n">
        <f aca="false">INDEX(Summary!$J$2:$J$201,MATCH($B2274,Summary!$A$2:$A$201,0))</f>
        <v>4</v>
      </c>
      <c r="O2274" s="2" t="n">
        <f aca="false">INDEX(Summary!$K$2:$K$201,MATCH($B2274,Summary!$A$2:$A$201,0))</f>
        <v>9.48</v>
      </c>
      <c r="P2274" s="3" t="n">
        <f aca="false">INDEX(Summary!$L$2:$L$201,MATCH($B2274,Summary!$A$2:$A$201,0))</f>
        <v>5</v>
      </c>
      <c r="Q2274" s="3" t="n">
        <f aca="false">INDEX(Summary!$M$2:$M$201,MATCH($B2274,Summary!$A$2:$A$201,0))</f>
        <v>1</v>
      </c>
      <c r="R2274" s="2" t="n">
        <f aca="false">INDEX(Summary!$N$2:$N$201,MATCH($B2274,Summary!$A$2:$A$201,0))</f>
        <v>9.43</v>
      </c>
      <c r="S2274" s="3" t="n">
        <f aca="false">INDEX(Summary!$O$2:$O$201,MATCH($B2274,Summary!$A$2:$A$201,0))</f>
        <v>8</v>
      </c>
      <c r="T2274" s="3" t="n">
        <f aca="false">INDEX(Summary!$P$2:$P$201,MATCH($B2274,Summary!$A$2:$A$201,0))</f>
        <v>1</v>
      </c>
      <c r="U2274" s="2" t="n">
        <f aca="false">INDEX(Summary!$Q$2:$Q$201,MATCH($B2274,Summary!$A$2:$A$201,0))</f>
        <v>12.73</v>
      </c>
      <c r="V2274" s="2" t="n">
        <f aca="false">INDEX(Summary!$R$2:$R$201,MATCH($B2274,Summary!$A$2:$A$201,0))</f>
        <v>24.99</v>
      </c>
      <c r="W2274" s="0" t="str">
        <f aca="false">INDEX(Summary!$S$2:$S$201,MATCH($B2274,Summary!$A$2:$A$201,0))</f>
        <v>Silver</v>
      </c>
      <c r="X2274" s="2" t="n">
        <f aca="false">INDEX(Summary!$T$2:$T$201,MATCH($B2274,Summary!$A$2:$A$201,0))</f>
        <v>60.95</v>
      </c>
      <c r="Y2274" s="0" t="str">
        <f aca="false">INDEX('Reward Model'!$E$18:$E$37,MATCH($E2274,'Reward Model'!$A$18:$A$37,0))</f>
        <v>Medium</v>
      </c>
      <c r="Z2274" s="4" t="n">
        <f aca="false">ROUND(MIN(1,MAX('Reward Model'!$B$2,INDEX('Reward Model'!$C$12:$C$14,MATCH($K2274,'Reward Model'!$A$12:$A$14,0))/$J2274)),3)</f>
        <v>1</v>
      </c>
      <c r="AA2274" s="2" t="n">
        <f aca="false">IF($I2274="Correct",ROUND(INDEX('Reward Model'!$B$12:$B$14,MATCH($K2274,'Reward Model'!$A$12:$A$14,0))*Z2274,2),0)</f>
        <v>2</v>
      </c>
      <c r="AB2274" s="2" t="n">
        <f aca="false">IF($I2274="Correct",ROUND(INDEX('Reward Model'!$B$12:$B$14,MATCH($Y2274,'Reward Model'!$A$12:$A$14,0))*Z2274,2),0)</f>
        <v>2</v>
      </c>
    </row>
    <row r="2275" customFormat="false" ht="15" hidden="false" customHeight="false" outlineLevel="0" collapsed="false">
      <c r="A2275" s="0" t="s">
        <v>358</v>
      </c>
      <c r="B2275" s="0" t="s">
        <v>359</v>
      </c>
      <c r="C2275" s="0" t="s">
        <v>322</v>
      </c>
      <c r="D2275" s="0" t="s">
        <v>31</v>
      </c>
      <c r="E2275" s="0" t="n">
        <v>14</v>
      </c>
      <c r="F2275" s="0" t="s">
        <v>68</v>
      </c>
      <c r="G2275" s="0" t="s">
        <v>51</v>
      </c>
      <c r="H2275" s="0" t="s">
        <v>51</v>
      </c>
      <c r="I2275" s="0" t="s">
        <v>34</v>
      </c>
      <c r="J2275" s="0" t="n">
        <v>1.41</v>
      </c>
      <c r="K2275" s="0" t="s">
        <v>60</v>
      </c>
      <c r="L2275" s="0" t="n">
        <f aca="false">INDEX(Summary!$F$2:$F$201,MATCH($B2275,Summary!$A$2:$A$201,0))</f>
        <v>20</v>
      </c>
      <c r="M2275" s="0" t="n">
        <f aca="false">INDEX(Summary!$I$2:$I$201,MATCH($B2275,Summary!$A$2:$A$201,0))</f>
        <v>1</v>
      </c>
      <c r="N2275" s="0" t="n">
        <f aca="false">INDEX(Summary!$J$2:$J$201,MATCH($B2275,Summary!$A$2:$A$201,0))</f>
        <v>4</v>
      </c>
      <c r="O2275" s="2" t="n">
        <f aca="false">INDEX(Summary!$K$2:$K$201,MATCH($B2275,Summary!$A$2:$A$201,0))</f>
        <v>9.48</v>
      </c>
      <c r="P2275" s="3" t="n">
        <f aca="false">INDEX(Summary!$L$2:$L$201,MATCH($B2275,Summary!$A$2:$A$201,0))</f>
        <v>5</v>
      </c>
      <c r="Q2275" s="3" t="n">
        <f aca="false">INDEX(Summary!$M$2:$M$201,MATCH($B2275,Summary!$A$2:$A$201,0))</f>
        <v>1</v>
      </c>
      <c r="R2275" s="2" t="n">
        <f aca="false">INDEX(Summary!$N$2:$N$201,MATCH($B2275,Summary!$A$2:$A$201,0))</f>
        <v>9.43</v>
      </c>
      <c r="S2275" s="3" t="n">
        <f aca="false">INDEX(Summary!$O$2:$O$201,MATCH($B2275,Summary!$A$2:$A$201,0))</f>
        <v>8</v>
      </c>
      <c r="T2275" s="3" t="n">
        <f aca="false">INDEX(Summary!$P$2:$P$201,MATCH($B2275,Summary!$A$2:$A$201,0))</f>
        <v>1</v>
      </c>
      <c r="U2275" s="2" t="n">
        <f aca="false">INDEX(Summary!$Q$2:$Q$201,MATCH($B2275,Summary!$A$2:$A$201,0))</f>
        <v>12.73</v>
      </c>
      <c r="V2275" s="2" t="n">
        <f aca="false">INDEX(Summary!$R$2:$R$201,MATCH($B2275,Summary!$A$2:$A$201,0))</f>
        <v>24.99</v>
      </c>
      <c r="W2275" s="0" t="str">
        <f aca="false">INDEX(Summary!$S$2:$S$201,MATCH($B2275,Summary!$A$2:$A$201,0))</f>
        <v>Silver</v>
      </c>
      <c r="X2275" s="2" t="n">
        <f aca="false">INDEX(Summary!$T$2:$T$201,MATCH($B2275,Summary!$A$2:$A$201,0))</f>
        <v>60.95</v>
      </c>
      <c r="Y2275" s="0" t="str">
        <f aca="false">INDEX('Reward Model'!$E$18:$E$37,MATCH($E2275,'Reward Model'!$A$18:$A$37,0))</f>
        <v>Medium</v>
      </c>
      <c r="Z2275" s="4" t="n">
        <f aca="false">ROUND(MIN(1,MAX('Reward Model'!$B$2,INDEX('Reward Model'!$C$12:$C$14,MATCH($K2275,'Reward Model'!$A$12:$A$14,0))/$J2275)),3)</f>
        <v>1</v>
      </c>
      <c r="AA2275" s="2" t="n">
        <f aca="false">IF($I2275="Correct",ROUND(INDEX('Reward Model'!$B$12:$B$14,MATCH($K2275,'Reward Model'!$A$12:$A$14,0))*Z2275,2),0)</f>
        <v>2</v>
      </c>
      <c r="AB2275" s="2" t="n">
        <f aca="false">IF($I2275="Correct",ROUND(INDEX('Reward Model'!$B$12:$B$14,MATCH($Y2275,'Reward Model'!$A$12:$A$14,0))*Z2275,2),0)</f>
        <v>2</v>
      </c>
    </row>
    <row r="2276" customFormat="false" ht="15" hidden="false" customHeight="false" outlineLevel="0" collapsed="false">
      <c r="A2276" s="0" t="s">
        <v>358</v>
      </c>
      <c r="B2276" s="0" t="s">
        <v>359</v>
      </c>
      <c r="C2276" s="0" t="s">
        <v>322</v>
      </c>
      <c r="D2276" s="0" t="s">
        <v>31</v>
      </c>
      <c r="E2276" s="0" t="n">
        <v>15</v>
      </c>
      <c r="F2276" s="0" t="s">
        <v>69</v>
      </c>
      <c r="G2276" s="0" t="s">
        <v>70</v>
      </c>
      <c r="H2276" s="0" t="s">
        <v>70</v>
      </c>
      <c r="I2276" s="0" t="s">
        <v>34</v>
      </c>
      <c r="J2276" s="0" t="n">
        <v>1.88</v>
      </c>
      <c r="K2276" s="0" t="s">
        <v>60</v>
      </c>
      <c r="L2276" s="0" t="n">
        <f aca="false">INDEX(Summary!$F$2:$F$201,MATCH($B2276,Summary!$A$2:$A$201,0))</f>
        <v>20</v>
      </c>
      <c r="M2276" s="0" t="n">
        <f aca="false">INDEX(Summary!$I$2:$I$201,MATCH($B2276,Summary!$A$2:$A$201,0))</f>
        <v>1</v>
      </c>
      <c r="N2276" s="0" t="n">
        <f aca="false">INDEX(Summary!$J$2:$J$201,MATCH($B2276,Summary!$A$2:$A$201,0))</f>
        <v>4</v>
      </c>
      <c r="O2276" s="2" t="n">
        <f aca="false">INDEX(Summary!$K$2:$K$201,MATCH($B2276,Summary!$A$2:$A$201,0))</f>
        <v>9.48</v>
      </c>
      <c r="P2276" s="3" t="n">
        <f aca="false">INDEX(Summary!$L$2:$L$201,MATCH($B2276,Summary!$A$2:$A$201,0))</f>
        <v>5</v>
      </c>
      <c r="Q2276" s="3" t="n">
        <f aca="false">INDEX(Summary!$M$2:$M$201,MATCH($B2276,Summary!$A$2:$A$201,0))</f>
        <v>1</v>
      </c>
      <c r="R2276" s="2" t="n">
        <f aca="false">INDEX(Summary!$N$2:$N$201,MATCH($B2276,Summary!$A$2:$A$201,0))</f>
        <v>9.43</v>
      </c>
      <c r="S2276" s="3" t="n">
        <f aca="false">INDEX(Summary!$O$2:$O$201,MATCH($B2276,Summary!$A$2:$A$201,0))</f>
        <v>8</v>
      </c>
      <c r="T2276" s="3" t="n">
        <f aca="false">INDEX(Summary!$P$2:$P$201,MATCH($B2276,Summary!$A$2:$A$201,0))</f>
        <v>1</v>
      </c>
      <c r="U2276" s="2" t="n">
        <f aca="false">INDEX(Summary!$Q$2:$Q$201,MATCH($B2276,Summary!$A$2:$A$201,0))</f>
        <v>12.73</v>
      </c>
      <c r="V2276" s="2" t="n">
        <f aca="false">INDEX(Summary!$R$2:$R$201,MATCH($B2276,Summary!$A$2:$A$201,0))</f>
        <v>24.99</v>
      </c>
      <c r="W2276" s="0" t="str">
        <f aca="false">INDEX(Summary!$S$2:$S$201,MATCH($B2276,Summary!$A$2:$A$201,0))</f>
        <v>Silver</v>
      </c>
      <c r="X2276" s="2" t="n">
        <f aca="false">INDEX(Summary!$T$2:$T$201,MATCH($B2276,Summary!$A$2:$A$201,0))</f>
        <v>60.95</v>
      </c>
      <c r="Y2276" s="0" t="str">
        <f aca="false">INDEX('Reward Model'!$E$18:$E$37,MATCH($E2276,'Reward Model'!$A$18:$A$37,0))</f>
        <v>Medium</v>
      </c>
      <c r="Z2276" s="4" t="n">
        <f aca="false">ROUND(MIN(1,MAX('Reward Model'!$B$2,INDEX('Reward Model'!$C$12:$C$14,MATCH($K2276,'Reward Model'!$A$12:$A$14,0))/$J2276)),3)</f>
        <v>0.957</v>
      </c>
      <c r="AA2276" s="2" t="n">
        <f aca="false">IF($I2276="Correct",ROUND(INDEX('Reward Model'!$B$12:$B$14,MATCH($K2276,'Reward Model'!$A$12:$A$14,0))*Z2276,2),0)</f>
        <v>1.91</v>
      </c>
      <c r="AB2276" s="2" t="n">
        <f aca="false">IF($I2276="Correct",ROUND(INDEX('Reward Model'!$B$12:$B$14,MATCH($Y2276,'Reward Model'!$A$12:$A$14,0))*Z2276,2),0)</f>
        <v>1.91</v>
      </c>
    </row>
    <row r="2277" customFormat="false" ht="15" hidden="false" customHeight="false" outlineLevel="0" collapsed="false">
      <c r="A2277" s="0" t="s">
        <v>358</v>
      </c>
      <c r="B2277" s="0" t="s">
        <v>359</v>
      </c>
      <c r="C2277" s="0" t="s">
        <v>322</v>
      </c>
      <c r="D2277" s="0" t="s">
        <v>31</v>
      </c>
      <c r="E2277" s="0" t="n">
        <v>16</v>
      </c>
      <c r="F2277" s="0" t="s">
        <v>71</v>
      </c>
      <c r="G2277" s="0" t="s">
        <v>104</v>
      </c>
      <c r="H2277" s="0" t="s">
        <v>72</v>
      </c>
      <c r="I2277" s="0" t="s">
        <v>39</v>
      </c>
      <c r="J2277" s="0" t="n">
        <v>2.49</v>
      </c>
      <c r="K2277" s="0" t="s">
        <v>73</v>
      </c>
      <c r="L2277" s="0" t="n">
        <f aca="false">INDEX(Summary!$F$2:$F$201,MATCH($B2277,Summary!$A$2:$A$201,0))</f>
        <v>20</v>
      </c>
      <c r="M2277" s="0" t="n">
        <f aca="false">INDEX(Summary!$I$2:$I$201,MATCH($B2277,Summary!$A$2:$A$201,0))</f>
        <v>1</v>
      </c>
      <c r="N2277" s="0" t="n">
        <f aca="false">INDEX(Summary!$J$2:$J$201,MATCH($B2277,Summary!$A$2:$A$201,0))</f>
        <v>4</v>
      </c>
      <c r="O2277" s="2" t="n">
        <f aca="false">INDEX(Summary!$K$2:$K$201,MATCH($B2277,Summary!$A$2:$A$201,0))</f>
        <v>9.48</v>
      </c>
      <c r="P2277" s="3" t="n">
        <f aca="false">INDEX(Summary!$L$2:$L$201,MATCH($B2277,Summary!$A$2:$A$201,0))</f>
        <v>5</v>
      </c>
      <c r="Q2277" s="3" t="n">
        <f aca="false">INDEX(Summary!$M$2:$M$201,MATCH($B2277,Summary!$A$2:$A$201,0))</f>
        <v>1</v>
      </c>
      <c r="R2277" s="2" t="n">
        <f aca="false">INDEX(Summary!$N$2:$N$201,MATCH($B2277,Summary!$A$2:$A$201,0))</f>
        <v>9.43</v>
      </c>
      <c r="S2277" s="3" t="n">
        <f aca="false">INDEX(Summary!$O$2:$O$201,MATCH($B2277,Summary!$A$2:$A$201,0))</f>
        <v>8</v>
      </c>
      <c r="T2277" s="3" t="n">
        <f aca="false">INDEX(Summary!$P$2:$P$201,MATCH($B2277,Summary!$A$2:$A$201,0))</f>
        <v>1</v>
      </c>
      <c r="U2277" s="2" t="n">
        <f aca="false">INDEX(Summary!$Q$2:$Q$201,MATCH($B2277,Summary!$A$2:$A$201,0))</f>
        <v>12.73</v>
      </c>
      <c r="V2277" s="2" t="n">
        <f aca="false">INDEX(Summary!$R$2:$R$201,MATCH($B2277,Summary!$A$2:$A$201,0))</f>
        <v>24.99</v>
      </c>
      <c r="W2277" s="0" t="str">
        <f aca="false">INDEX(Summary!$S$2:$S$201,MATCH($B2277,Summary!$A$2:$A$201,0))</f>
        <v>Silver</v>
      </c>
      <c r="X2277" s="2" t="n">
        <f aca="false">INDEX(Summary!$T$2:$T$201,MATCH($B2277,Summary!$A$2:$A$201,0))</f>
        <v>60.95</v>
      </c>
      <c r="Y2277" s="0" t="str">
        <f aca="false">INDEX('Reward Model'!$E$18:$E$37,MATCH($E2277,'Reward Model'!$A$18:$A$37,0))</f>
        <v>High</v>
      </c>
      <c r="Z2277" s="4" t="n">
        <f aca="false">ROUND(MIN(1,MAX('Reward Model'!$B$2,INDEX('Reward Model'!$C$12:$C$14,MATCH($K2277,'Reward Model'!$A$12:$A$14,0))/$J2277)),3)</f>
        <v>0.803</v>
      </c>
      <c r="AA2277" s="2" t="n">
        <f aca="false">IF($I2277="Correct",ROUND(INDEX('Reward Model'!$B$12:$B$14,MATCH($K2277,'Reward Model'!$A$12:$A$14,0))*Z2277,2),0)</f>
        <v>0</v>
      </c>
      <c r="AB2277" s="2" t="n">
        <f aca="false">IF($I2277="Correct",ROUND(INDEX('Reward Model'!$B$12:$B$14,MATCH($Y2277,'Reward Model'!$A$12:$A$14,0))*Z2277,2),0)</f>
        <v>0</v>
      </c>
    </row>
    <row r="2278" customFormat="false" ht="15" hidden="false" customHeight="false" outlineLevel="0" collapsed="false">
      <c r="A2278" s="0" t="s">
        <v>358</v>
      </c>
      <c r="B2278" s="0" t="s">
        <v>359</v>
      </c>
      <c r="C2278" s="0" t="s">
        <v>322</v>
      </c>
      <c r="D2278" s="0" t="s">
        <v>31</v>
      </c>
      <c r="E2278" s="0" t="n">
        <v>17</v>
      </c>
      <c r="F2278" s="0" t="s">
        <v>74</v>
      </c>
      <c r="G2278" s="0" t="s">
        <v>105</v>
      </c>
      <c r="H2278" s="0" t="s">
        <v>75</v>
      </c>
      <c r="I2278" s="0" t="s">
        <v>39</v>
      </c>
      <c r="J2278" s="0" t="n">
        <v>2.04</v>
      </c>
      <c r="K2278" s="0" t="s">
        <v>73</v>
      </c>
      <c r="L2278" s="0" t="n">
        <f aca="false">INDEX(Summary!$F$2:$F$201,MATCH($B2278,Summary!$A$2:$A$201,0))</f>
        <v>20</v>
      </c>
      <c r="M2278" s="0" t="n">
        <f aca="false">INDEX(Summary!$I$2:$I$201,MATCH($B2278,Summary!$A$2:$A$201,0))</f>
        <v>1</v>
      </c>
      <c r="N2278" s="0" t="n">
        <f aca="false">INDEX(Summary!$J$2:$J$201,MATCH($B2278,Summary!$A$2:$A$201,0))</f>
        <v>4</v>
      </c>
      <c r="O2278" s="2" t="n">
        <f aca="false">INDEX(Summary!$K$2:$K$201,MATCH($B2278,Summary!$A$2:$A$201,0))</f>
        <v>9.48</v>
      </c>
      <c r="P2278" s="3" t="n">
        <f aca="false">INDEX(Summary!$L$2:$L$201,MATCH($B2278,Summary!$A$2:$A$201,0))</f>
        <v>5</v>
      </c>
      <c r="Q2278" s="3" t="n">
        <f aca="false">INDEX(Summary!$M$2:$M$201,MATCH($B2278,Summary!$A$2:$A$201,0))</f>
        <v>1</v>
      </c>
      <c r="R2278" s="2" t="n">
        <f aca="false">INDEX(Summary!$N$2:$N$201,MATCH($B2278,Summary!$A$2:$A$201,0))</f>
        <v>9.43</v>
      </c>
      <c r="S2278" s="3" t="n">
        <f aca="false">INDEX(Summary!$O$2:$O$201,MATCH($B2278,Summary!$A$2:$A$201,0))</f>
        <v>8</v>
      </c>
      <c r="T2278" s="3" t="n">
        <f aca="false">INDEX(Summary!$P$2:$P$201,MATCH($B2278,Summary!$A$2:$A$201,0))</f>
        <v>1</v>
      </c>
      <c r="U2278" s="2" t="n">
        <f aca="false">INDEX(Summary!$Q$2:$Q$201,MATCH($B2278,Summary!$A$2:$A$201,0))</f>
        <v>12.73</v>
      </c>
      <c r="V2278" s="2" t="n">
        <f aca="false">INDEX(Summary!$R$2:$R$201,MATCH($B2278,Summary!$A$2:$A$201,0))</f>
        <v>24.99</v>
      </c>
      <c r="W2278" s="0" t="str">
        <f aca="false">INDEX(Summary!$S$2:$S$201,MATCH($B2278,Summary!$A$2:$A$201,0))</f>
        <v>Silver</v>
      </c>
      <c r="X2278" s="2" t="n">
        <f aca="false">INDEX(Summary!$T$2:$T$201,MATCH($B2278,Summary!$A$2:$A$201,0))</f>
        <v>60.95</v>
      </c>
      <c r="Y2278" s="0" t="str">
        <f aca="false">INDEX('Reward Model'!$E$18:$E$37,MATCH($E2278,'Reward Model'!$A$18:$A$37,0))</f>
        <v>High</v>
      </c>
      <c r="Z2278" s="4" t="n">
        <f aca="false">ROUND(MIN(1,MAX('Reward Model'!$B$2,INDEX('Reward Model'!$C$12:$C$14,MATCH($K2278,'Reward Model'!$A$12:$A$14,0))/$J2278)),3)</f>
        <v>0.98</v>
      </c>
      <c r="AA2278" s="2" t="n">
        <f aca="false">IF($I2278="Correct",ROUND(INDEX('Reward Model'!$B$12:$B$14,MATCH($K2278,'Reward Model'!$A$12:$A$14,0))*Z2278,2),0)</f>
        <v>0</v>
      </c>
      <c r="AB2278" s="2" t="n">
        <f aca="false">IF($I2278="Correct",ROUND(INDEX('Reward Model'!$B$12:$B$14,MATCH($Y2278,'Reward Model'!$A$12:$A$14,0))*Z2278,2),0)</f>
        <v>0</v>
      </c>
    </row>
    <row r="2279" customFormat="false" ht="15" hidden="false" customHeight="false" outlineLevel="0" collapsed="false">
      <c r="A2279" s="0" t="s">
        <v>358</v>
      </c>
      <c r="B2279" s="0" t="s">
        <v>359</v>
      </c>
      <c r="C2279" s="0" t="s">
        <v>322</v>
      </c>
      <c r="D2279" s="0" t="s">
        <v>31</v>
      </c>
      <c r="E2279" s="0" t="n">
        <v>18</v>
      </c>
      <c r="F2279" s="0" t="s">
        <v>76</v>
      </c>
      <c r="G2279" s="0" t="s">
        <v>128</v>
      </c>
      <c r="H2279" s="0" t="s">
        <v>77</v>
      </c>
      <c r="I2279" s="0" t="s">
        <v>39</v>
      </c>
      <c r="J2279" s="0" t="n">
        <v>1.67</v>
      </c>
      <c r="K2279" s="0" t="s">
        <v>73</v>
      </c>
      <c r="L2279" s="0" t="n">
        <f aca="false">INDEX(Summary!$F$2:$F$201,MATCH($B2279,Summary!$A$2:$A$201,0))</f>
        <v>20</v>
      </c>
      <c r="M2279" s="0" t="n">
        <f aca="false">INDEX(Summary!$I$2:$I$201,MATCH($B2279,Summary!$A$2:$A$201,0))</f>
        <v>1</v>
      </c>
      <c r="N2279" s="0" t="n">
        <f aca="false">INDEX(Summary!$J$2:$J$201,MATCH($B2279,Summary!$A$2:$A$201,0))</f>
        <v>4</v>
      </c>
      <c r="O2279" s="2" t="n">
        <f aca="false">INDEX(Summary!$K$2:$K$201,MATCH($B2279,Summary!$A$2:$A$201,0))</f>
        <v>9.48</v>
      </c>
      <c r="P2279" s="3" t="n">
        <f aca="false">INDEX(Summary!$L$2:$L$201,MATCH($B2279,Summary!$A$2:$A$201,0))</f>
        <v>5</v>
      </c>
      <c r="Q2279" s="3" t="n">
        <f aca="false">INDEX(Summary!$M$2:$M$201,MATCH($B2279,Summary!$A$2:$A$201,0))</f>
        <v>1</v>
      </c>
      <c r="R2279" s="2" t="n">
        <f aca="false">INDEX(Summary!$N$2:$N$201,MATCH($B2279,Summary!$A$2:$A$201,0))</f>
        <v>9.43</v>
      </c>
      <c r="S2279" s="3" t="n">
        <f aca="false">INDEX(Summary!$O$2:$O$201,MATCH($B2279,Summary!$A$2:$A$201,0))</f>
        <v>8</v>
      </c>
      <c r="T2279" s="3" t="n">
        <f aca="false">INDEX(Summary!$P$2:$P$201,MATCH($B2279,Summary!$A$2:$A$201,0))</f>
        <v>1</v>
      </c>
      <c r="U2279" s="2" t="n">
        <f aca="false">INDEX(Summary!$Q$2:$Q$201,MATCH($B2279,Summary!$A$2:$A$201,0))</f>
        <v>12.73</v>
      </c>
      <c r="V2279" s="2" t="n">
        <f aca="false">INDEX(Summary!$R$2:$R$201,MATCH($B2279,Summary!$A$2:$A$201,0))</f>
        <v>24.99</v>
      </c>
      <c r="W2279" s="0" t="str">
        <f aca="false">INDEX(Summary!$S$2:$S$201,MATCH($B2279,Summary!$A$2:$A$201,0))</f>
        <v>Silver</v>
      </c>
      <c r="X2279" s="2" t="n">
        <f aca="false">INDEX(Summary!$T$2:$T$201,MATCH($B2279,Summary!$A$2:$A$201,0))</f>
        <v>60.95</v>
      </c>
      <c r="Y2279" s="0" t="str">
        <f aca="false">INDEX('Reward Model'!$E$18:$E$37,MATCH($E2279,'Reward Model'!$A$18:$A$37,0))</f>
        <v>High</v>
      </c>
      <c r="Z2279" s="4" t="n">
        <f aca="false">ROUND(MIN(1,MAX('Reward Model'!$B$2,INDEX('Reward Model'!$C$12:$C$14,MATCH($K2279,'Reward Model'!$A$12:$A$14,0))/$J2279)),3)</f>
        <v>1</v>
      </c>
      <c r="AA2279" s="2" t="n">
        <f aca="false">IF($I2279="Correct",ROUND(INDEX('Reward Model'!$B$12:$B$14,MATCH($K2279,'Reward Model'!$A$12:$A$14,0))*Z2279,2),0)</f>
        <v>0</v>
      </c>
      <c r="AB2279" s="2" t="n">
        <f aca="false">IF($I2279="Correct",ROUND(INDEX('Reward Model'!$B$12:$B$14,MATCH($Y2279,'Reward Model'!$A$12:$A$14,0))*Z2279,2),0)</f>
        <v>0</v>
      </c>
    </row>
    <row r="2280" customFormat="false" ht="15" hidden="false" customHeight="false" outlineLevel="0" collapsed="false">
      <c r="A2280" s="0" t="s">
        <v>358</v>
      </c>
      <c r="B2280" s="0" t="s">
        <v>359</v>
      </c>
      <c r="C2280" s="0" t="s">
        <v>322</v>
      </c>
      <c r="D2280" s="0" t="s">
        <v>31</v>
      </c>
      <c r="E2280" s="0" t="n">
        <v>19</v>
      </c>
      <c r="F2280" s="0" t="s">
        <v>78</v>
      </c>
      <c r="G2280" s="0" t="s">
        <v>80</v>
      </c>
      <c r="H2280" s="0" t="s">
        <v>80</v>
      </c>
      <c r="I2280" s="0" t="s">
        <v>34</v>
      </c>
      <c r="J2280" s="0" t="n">
        <v>1.84</v>
      </c>
      <c r="K2280" s="0" t="s">
        <v>73</v>
      </c>
      <c r="L2280" s="0" t="n">
        <f aca="false">INDEX(Summary!$F$2:$F$201,MATCH($B2280,Summary!$A$2:$A$201,0))</f>
        <v>20</v>
      </c>
      <c r="M2280" s="0" t="n">
        <f aca="false">INDEX(Summary!$I$2:$I$201,MATCH($B2280,Summary!$A$2:$A$201,0))</f>
        <v>1</v>
      </c>
      <c r="N2280" s="0" t="n">
        <f aca="false">INDEX(Summary!$J$2:$J$201,MATCH($B2280,Summary!$A$2:$A$201,0))</f>
        <v>4</v>
      </c>
      <c r="O2280" s="2" t="n">
        <f aca="false">INDEX(Summary!$K$2:$K$201,MATCH($B2280,Summary!$A$2:$A$201,0))</f>
        <v>9.48</v>
      </c>
      <c r="P2280" s="3" t="n">
        <f aca="false">INDEX(Summary!$L$2:$L$201,MATCH($B2280,Summary!$A$2:$A$201,0))</f>
        <v>5</v>
      </c>
      <c r="Q2280" s="3" t="n">
        <f aca="false">INDEX(Summary!$M$2:$M$201,MATCH($B2280,Summary!$A$2:$A$201,0))</f>
        <v>1</v>
      </c>
      <c r="R2280" s="2" t="n">
        <f aca="false">INDEX(Summary!$N$2:$N$201,MATCH($B2280,Summary!$A$2:$A$201,0))</f>
        <v>9.43</v>
      </c>
      <c r="S2280" s="3" t="n">
        <f aca="false">INDEX(Summary!$O$2:$O$201,MATCH($B2280,Summary!$A$2:$A$201,0))</f>
        <v>8</v>
      </c>
      <c r="T2280" s="3" t="n">
        <f aca="false">INDEX(Summary!$P$2:$P$201,MATCH($B2280,Summary!$A$2:$A$201,0))</f>
        <v>1</v>
      </c>
      <c r="U2280" s="2" t="n">
        <f aca="false">INDEX(Summary!$Q$2:$Q$201,MATCH($B2280,Summary!$A$2:$A$201,0))</f>
        <v>12.73</v>
      </c>
      <c r="V2280" s="2" t="n">
        <f aca="false">INDEX(Summary!$R$2:$R$201,MATCH($B2280,Summary!$A$2:$A$201,0))</f>
        <v>24.99</v>
      </c>
      <c r="W2280" s="0" t="str">
        <f aca="false">INDEX(Summary!$S$2:$S$201,MATCH($B2280,Summary!$A$2:$A$201,0))</f>
        <v>Silver</v>
      </c>
      <c r="X2280" s="2" t="n">
        <f aca="false">INDEX(Summary!$T$2:$T$201,MATCH($B2280,Summary!$A$2:$A$201,0))</f>
        <v>60.95</v>
      </c>
      <c r="Y2280" s="0" t="str">
        <f aca="false">INDEX('Reward Model'!$E$18:$E$37,MATCH($E2280,'Reward Model'!$A$18:$A$37,0))</f>
        <v>High</v>
      </c>
      <c r="Z2280" s="4" t="n">
        <f aca="false">ROUND(MIN(1,MAX('Reward Model'!$B$2,INDEX('Reward Model'!$C$12:$C$14,MATCH($K2280,'Reward Model'!$A$12:$A$14,0))/$J2280)),3)</f>
        <v>1</v>
      </c>
      <c r="AA2280" s="2" t="n">
        <f aca="false">IF($I2280="Correct",ROUND(INDEX('Reward Model'!$B$12:$B$14,MATCH($K2280,'Reward Model'!$A$12:$A$14,0))*Z2280,2),0)</f>
        <v>3</v>
      </c>
      <c r="AB2280" s="2" t="n">
        <f aca="false">IF($I2280="Correct",ROUND(INDEX('Reward Model'!$B$12:$B$14,MATCH($Y2280,'Reward Model'!$A$12:$A$14,0))*Z2280,2),0)</f>
        <v>3</v>
      </c>
    </row>
    <row r="2281" customFormat="false" ht="15" hidden="false" customHeight="false" outlineLevel="0" collapsed="false">
      <c r="A2281" s="0" t="s">
        <v>358</v>
      </c>
      <c r="B2281" s="0" t="s">
        <v>359</v>
      </c>
      <c r="C2281" s="0" t="s">
        <v>322</v>
      </c>
      <c r="D2281" s="0" t="s">
        <v>31</v>
      </c>
      <c r="E2281" s="0" t="n">
        <v>20</v>
      </c>
      <c r="F2281" s="0" t="s">
        <v>81</v>
      </c>
      <c r="G2281" s="0" t="s">
        <v>166</v>
      </c>
      <c r="H2281" s="0" t="s">
        <v>83</v>
      </c>
      <c r="I2281" s="0" t="s">
        <v>39</v>
      </c>
      <c r="J2281" s="0" t="n">
        <v>1.44</v>
      </c>
      <c r="K2281" s="0" t="s">
        <v>73</v>
      </c>
      <c r="L2281" s="0" t="n">
        <f aca="false">INDEX(Summary!$F$2:$F$201,MATCH($B2281,Summary!$A$2:$A$201,0))</f>
        <v>20</v>
      </c>
      <c r="M2281" s="0" t="n">
        <f aca="false">INDEX(Summary!$I$2:$I$201,MATCH($B2281,Summary!$A$2:$A$201,0))</f>
        <v>1</v>
      </c>
      <c r="N2281" s="0" t="n">
        <f aca="false">INDEX(Summary!$J$2:$J$201,MATCH($B2281,Summary!$A$2:$A$201,0))</f>
        <v>4</v>
      </c>
      <c r="O2281" s="2" t="n">
        <f aca="false">INDEX(Summary!$K$2:$K$201,MATCH($B2281,Summary!$A$2:$A$201,0))</f>
        <v>9.48</v>
      </c>
      <c r="P2281" s="3" t="n">
        <f aca="false">INDEX(Summary!$L$2:$L$201,MATCH($B2281,Summary!$A$2:$A$201,0))</f>
        <v>5</v>
      </c>
      <c r="Q2281" s="3" t="n">
        <f aca="false">INDEX(Summary!$M$2:$M$201,MATCH($B2281,Summary!$A$2:$A$201,0))</f>
        <v>1</v>
      </c>
      <c r="R2281" s="2" t="n">
        <f aca="false">INDEX(Summary!$N$2:$N$201,MATCH($B2281,Summary!$A$2:$A$201,0))</f>
        <v>9.43</v>
      </c>
      <c r="S2281" s="3" t="n">
        <f aca="false">INDEX(Summary!$O$2:$O$201,MATCH($B2281,Summary!$A$2:$A$201,0))</f>
        <v>8</v>
      </c>
      <c r="T2281" s="3" t="n">
        <f aca="false">INDEX(Summary!$P$2:$P$201,MATCH($B2281,Summary!$A$2:$A$201,0))</f>
        <v>1</v>
      </c>
      <c r="U2281" s="2" t="n">
        <f aca="false">INDEX(Summary!$Q$2:$Q$201,MATCH($B2281,Summary!$A$2:$A$201,0))</f>
        <v>12.73</v>
      </c>
      <c r="V2281" s="2" t="n">
        <f aca="false">INDEX(Summary!$R$2:$R$201,MATCH($B2281,Summary!$A$2:$A$201,0))</f>
        <v>24.99</v>
      </c>
      <c r="W2281" s="0" t="str">
        <f aca="false">INDEX(Summary!$S$2:$S$201,MATCH($B2281,Summary!$A$2:$A$201,0))</f>
        <v>Silver</v>
      </c>
      <c r="X2281" s="2" t="n">
        <f aca="false">INDEX(Summary!$T$2:$T$201,MATCH($B2281,Summary!$A$2:$A$201,0))</f>
        <v>60.95</v>
      </c>
      <c r="Y2281" s="0" t="str">
        <f aca="false">INDEX('Reward Model'!$E$18:$E$37,MATCH($E2281,'Reward Model'!$A$18:$A$37,0))</f>
        <v>High</v>
      </c>
      <c r="Z2281" s="4" t="n">
        <f aca="false">ROUND(MIN(1,MAX('Reward Model'!$B$2,INDEX('Reward Model'!$C$12:$C$14,MATCH($K2281,'Reward Model'!$A$12:$A$14,0))/$J2281)),3)</f>
        <v>1</v>
      </c>
      <c r="AA2281" s="2" t="n">
        <f aca="false">IF($I2281="Correct",ROUND(INDEX('Reward Model'!$B$12:$B$14,MATCH($K2281,'Reward Model'!$A$12:$A$14,0))*Z2281,2),0)</f>
        <v>0</v>
      </c>
      <c r="AB2281" s="2" t="n">
        <f aca="false">IF($I2281="Correct",ROUND(INDEX('Reward Model'!$B$12:$B$14,MATCH($Y2281,'Reward Model'!$A$12:$A$14,0))*Z2281,2),0)</f>
        <v>0</v>
      </c>
    </row>
    <row r="2282" customFormat="false" ht="15" hidden="false" customHeight="false" outlineLevel="0" collapsed="false">
      <c r="A2282" s="0" t="s">
        <v>360</v>
      </c>
      <c r="B2282" s="0" t="s">
        <v>361</v>
      </c>
      <c r="C2282" s="0" t="s">
        <v>322</v>
      </c>
      <c r="D2282" s="0" t="s">
        <v>31</v>
      </c>
      <c r="E2282" s="0" t="n">
        <v>1</v>
      </c>
      <c r="F2282" s="0" t="s">
        <v>32</v>
      </c>
      <c r="G2282" s="0" t="s">
        <v>33</v>
      </c>
      <c r="H2282" s="0" t="s">
        <v>33</v>
      </c>
      <c r="I2282" s="0" t="s">
        <v>34</v>
      </c>
      <c r="J2282" s="0" t="n">
        <v>1.17</v>
      </c>
      <c r="K2282" s="0" t="s">
        <v>35</v>
      </c>
      <c r="L2282" s="0" t="n">
        <f aca="false">INDEX(Summary!$F$2:$F$201,MATCH($B2282,Summary!$A$2:$A$201,0))</f>
        <v>20</v>
      </c>
      <c r="M2282" s="0" t="n">
        <f aca="false">INDEX(Summary!$I$2:$I$201,MATCH($B2282,Summary!$A$2:$A$201,0))</f>
        <v>4</v>
      </c>
      <c r="N2282" s="0" t="n">
        <f aca="false">INDEX(Summary!$J$2:$J$201,MATCH($B2282,Summary!$A$2:$A$201,0))</f>
        <v>1</v>
      </c>
      <c r="O2282" s="2" t="n">
        <f aca="false">INDEX(Summary!$K$2:$K$201,MATCH($B2282,Summary!$A$2:$A$201,0))</f>
        <v>8.71</v>
      </c>
      <c r="P2282" s="3" t="n">
        <f aca="false">INDEX(Summary!$L$2:$L$201,MATCH($B2282,Summary!$A$2:$A$201,0))</f>
        <v>4</v>
      </c>
      <c r="Q2282" s="3" t="n">
        <f aca="false">INDEX(Summary!$M$2:$M$201,MATCH($B2282,Summary!$A$2:$A$201,0))</f>
        <v>2</v>
      </c>
      <c r="R2282" s="2" t="n">
        <f aca="false">INDEX(Summary!$N$2:$N$201,MATCH($B2282,Summary!$A$2:$A$201,0))</f>
        <v>10.32</v>
      </c>
      <c r="S2282" s="3" t="n">
        <f aca="false">INDEX(Summary!$O$2:$O$201,MATCH($B2282,Summary!$A$2:$A$201,0))</f>
        <v>8</v>
      </c>
      <c r="T2282" s="3" t="n">
        <f aca="false">INDEX(Summary!$P$2:$P$201,MATCH($B2282,Summary!$A$2:$A$201,0))</f>
        <v>1</v>
      </c>
      <c r="U2282" s="2" t="n">
        <f aca="false">INDEX(Summary!$Q$2:$Q$201,MATCH($B2282,Summary!$A$2:$A$201,0))</f>
        <v>14.78</v>
      </c>
      <c r="V2282" s="2" t="n">
        <f aca="false">INDEX(Summary!$R$2:$R$201,MATCH($B2282,Summary!$A$2:$A$201,0))</f>
        <v>31.31</v>
      </c>
      <c r="W2282" s="0" t="str">
        <f aca="false">INDEX(Summary!$S$2:$S$201,MATCH($B2282,Summary!$A$2:$A$201,0))</f>
        <v>Gold</v>
      </c>
      <c r="X2282" s="2" t="n">
        <f aca="false">INDEX(Summary!$T$2:$T$201,MATCH($B2282,Summary!$A$2:$A$201,0))</f>
        <v>76.37</v>
      </c>
      <c r="Y2282" s="0" t="str">
        <f aca="false">INDEX('Reward Model'!$E$18:$E$37,MATCH($E2282,'Reward Model'!$A$18:$A$37,0))</f>
        <v>Medium</v>
      </c>
      <c r="Z2282" s="4" t="n">
        <f aca="false">ROUND(MIN(1,MAX('Reward Model'!$B$2,INDEX('Reward Model'!$C$12:$C$14,MATCH($K2282,'Reward Model'!$A$12:$A$14,0))/$J2282)),3)</f>
        <v>1</v>
      </c>
      <c r="AA2282" s="2" t="n">
        <f aca="false">IF($I2282="Correct",ROUND(INDEX('Reward Model'!$B$12:$B$14,MATCH($K2282,'Reward Model'!$A$12:$A$14,0))*Z2282,2),0)</f>
        <v>1</v>
      </c>
      <c r="AB2282" s="2" t="n">
        <f aca="false">IF($I2282="Correct",ROUND(INDEX('Reward Model'!$B$12:$B$14,MATCH($Y2282,'Reward Model'!$A$12:$A$14,0))*Z2282,2),0)</f>
        <v>2</v>
      </c>
    </row>
    <row r="2283" customFormat="false" ht="15" hidden="false" customHeight="false" outlineLevel="0" collapsed="false">
      <c r="A2283" s="0" t="s">
        <v>360</v>
      </c>
      <c r="B2283" s="0" t="s">
        <v>361</v>
      </c>
      <c r="C2283" s="0" t="s">
        <v>322</v>
      </c>
      <c r="D2283" s="0" t="s">
        <v>31</v>
      </c>
      <c r="E2283" s="0" t="n">
        <v>2</v>
      </c>
      <c r="F2283" s="0" t="s">
        <v>36</v>
      </c>
      <c r="G2283" s="0" t="s">
        <v>38</v>
      </c>
      <c r="H2283" s="0" t="s">
        <v>38</v>
      </c>
      <c r="I2283" s="0" t="s">
        <v>34</v>
      </c>
      <c r="J2283" s="0" t="n">
        <v>1.76</v>
      </c>
      <c r="K2283" s="0" t="s">
        <v>35</v>
      </c>
      <c r="L2283" s="0" t="n">
        <f aca="false">INDEX(Summary!$F$2:$F$201,MATCH($B2283,Summary!$A$2:$A$201,0))</f>
        <v>20</v>
      </c>
      <c r="M2283" s="0" t="n">
        <f aca="false">INDEX(Summary!$I$2:$I$201,MATCH($B2283,Summary!$A$2:$A$201,0))</f>
        <v>4</v>
      </c>
      <c r="N2283" s="0" t="n">
        <f aca="false">INDEX(Summary!$J$2:$J$201,MATCH($B2283,Summary!$A$2:$A$201,0))</f>
        <v>1</v>
      </c>
      <c r="O2283" s="2" t="n">
        <f aca="false">INDEX(Summary!$K$2:$K$201,MATCH($B2283,Summary!$A$2:$A$201,0))</f>
        <v>8.71</v>
      </c>
      <c r="P2283" s="3" t="n">
        <f aca="false">INDEX(Summary!$L$2:$L$201,MATCH($B2283,Summary!$A$2:$A$201,0))</f>
        <v>4</v>
      </c>
      <c r="Q2283" s="3" t="n">
        <f aca="false">INDEX(Summary!$M$2:$M$201,MATCH($B2283,Summary!$A$2:$A$201,0))</f>
        <v>2</v>
      </c>
      <c r="R2283" s="2" t="n">
        <f aca="false">INDEX(Summary!$N$2:$N$201,MATCH($B2283,Summary!$A$2:$A$201,0))</f>
        <v>10.32</v>
      </c>
      <c r="S2283" s="3" t="n">
        <f aca="false">INDEX(Summary!$O$2:$O$201,MATCH($B2283,Summary!$A$2:$A$201,0))</f>
        <v>8</v>
      </c>
      <c r="T2283" s="3" t="n">
        <f aca="false">INDEX(Summary!$P$2:$P$201,MATCH($B2283,Summary!$A$2:$A$201,0))</f>
        <v>1</v>
      </c>
      <c r="U2283" s="2" t="n">
        <f aca="false">INDEX(Summary!$Q$2:$Q$201,MATCH($B2283,Summary!$A$2:$A$201,0))</f>
        <v>14.78</v>
      </c>
      <c r="V2283" s="2" t="n">
        <f aca="false">INDEX(Summary!$R$2:$R$201,MATCH($B2283,Summary!$A$2:$A$201,0))</f>
        <v>31.31</v>
      </c>
      <c r="W2283" s="0" t="str">
        <f aca="false">INDEX(Summary!$S$2:$S$201,MATCH($B2283,Summary!$A$2:$A$201,0))</f>
        <v>Gold</v>
      </c>
      <c r="X2283" s="2" t="n">
        <f aca="false">INDEX(Summary!$T$2:$T$201,MATCH($B2283,Summary!$A$2:$A$201,0))</f>
        <v>76.37</v>
      </c>
      <c r="Y2283" s="0" t="str">
        <f aca="false">INDEX('Reward Model'!$E$18:$E$37,MATCH($E2283,'Reward Model'!$A$18:$A$37,0))</f>
        <v>Low</v>
      </c>
      <c r="Z2283" s="4" t="n">
        <f aca="false">ROUND(MIN(1,MAX('Reward Model'!$B$2,INDEX('Reward Model'!$C$12:$C$14,MATCH($K2283,'Reward Model'!$A$12:$A$14,0))/$J2283)),3)</f>
        <v>0.852</v>
      </c>
      <c r="AA2283" s="2" t="n">
        <f aca="false">IF($I2283="Correct",ROUND(INDEX('Reward Model'!$B$12:$B$14,MATCH($K2283,'Reward Model'!$A$12:$A$14,0))*Z2283,2),0)</f>
        <v>0.85</v>
      </c>
      <c r="AB2283" s="2" t="n">
        <f aca="false">IF($I2283="Correct",ROUND(INDEX('Reward Model'!$B$12:$B$14,MATCH($Y2283,'Reward Model'!$A$12:$A$14,0))*Z2283,2),0)</f>
        <v>0.85</v>
      </c>
    </row>
    <row r="2284" customFormat="false" ht="15" hidden="false" customHeight="false" outlineLevel="0" collapsed="false">
      <c r="A2284" s="0" t="s">
        <v>360</v>
      </c>
      <c r="B2284" s="0" t="s">
        <v>361</v>
      </c>
      <c r="C2284" s="0" t="s">
        <v>322</v>
      </c>
      <c r="D2284" s="0" t="s">
        <v>31</v>
      </c>
      <c r="E2284" s="0" t="n">
        <v>3</v>
      </c>
      <c r="F2284" s="0" t="s">
        <v>40</v>
      </c>
      <c r="G2284" s="0" t="s">
        <v>42</v>
      </c>
      <c r="H2284" s="0" t="s">
        <v>42</v>
      </c>
      <c r="I2284" s="0" t="s">
        <v>34</v>
      </c>
      <c r="J2284" s="0" t="n">
        <v>1.29</v>
      </c>
      <c r="K2284" s="0" t="s">
        <v>35</v>
      </c>
      <c r="L2284" s="0" t="n">
        <f aca="false">INDEX(Summary!$F$2:$F$201,MATCH($B2284,Summary!$A$2:$A$201,0))</f>
        <v>20</v>
      </c>
      <c r="M2284" s="0" t="n">
        <f aca="false">INDEX(Summary!$I$2:$I$201,MATCH($B2284,Summary!$A$2:$A$201,0))</f>
        <v>4</v>
      </c>
      <c r="N2284" s="0" t="n">
        <f aca="false">INDEX(Summary!$J$2:$J$201,MATCH($B2284,Summary!$A$2:$A$201,0))</f>
        <v>1</v>
      </c>
      <c r="O2284" s="2" t="n">
        <f aca="false">INDEX(Summary!$K$2:$K$201,MATCH($B2284,Summary!$A$2:$A$201,0))</f>
        <v>8.71</v>
      </c>
      <c r="P2284" s="3" t="n">
        <f aca="false">INDEX(Summary!$L$2:$L$201,MATCH($B2284,Summary!$A$2:$A$201,0))</f>
        <v>4</v>
      </c>
      <c r="Q2284" s="3" t="n">
        <f aca="false">INDEX(Summary!$M$2:$M$201,MATCH($B2284,Summary!$A$2:$A$201,0))</f>
        <v>2</v>
      </c>
      <c r="R2284" s="2" t="n">
        <f aca="false">INDEX(Summary!$N$2:$N$201,MATCH($B2284,Summary!$A$2:$A$201,0))</f>
        <v>10.32</v>
      </c>
      <c r="S2284" s="3" t="n">
        <f aca="false">INDEX(Summary!$O$2:$O$201,MATCH($B2284,Summary!$A$2:$A$201,0))</f>
        <v>8</v>
      </c>
      <c r="T2284" s="3" t="n">
        <f aca="false">INDEX(Summary!$P$2:$P$201,MATCH($B2284,Summary!$A$2:$A$201,0))</f>
        <v>1</v>
      </c>
      <c r="U2284" s="2" t="n">
        <f aca="false">INDEX(Summary!$Q$2:$Q$201,MATCH($B2284,Summary!$A$2:$A$201,0))</f>
        <v>14.78</v>
      </c>
      <c r="V2284" s="2" t="n">
        <f aca="false">INDEX(Summary!$R$2:$R$201,MATCH($B2284,Summary!$A$2:$A$201,0))</f>
        <v>31.31</v>
      </c>
      <c r="W2284" s="0" t="str">
        <f aca="false">INDEX(Summary!$S$2:$S$201,MATCH($B2284,Summary!$A$2:$A$201,0))</f>
        <v>Gold</v>
      </c>
      <c r="X2284" s="2" t="n">
        <f aca="false">INDEX(Summary!$T$2:$T$201,MATCH($B2284,Summary!$A$2:$A$201,0))</f>
        <v>76.37</v>
      </c>
      <c r="Y2284" s="0" t="str">
        <f aca="false">INDEX('Reward Model'!$E$18:$E$37,MATCH($E2284,'Reward Model'!$A$18:$A$37,0))</f>
        <v>Medium</v>
      </c>
      <c r="Z2284" s="4" t="n">
        <f aca="false">ROUND(MIN(1,MAX('Reward Model'!$B$2,INDEX('Reward Model'!$C$12:$C$14,MATCH($K2284,'Reward Model'!$A$12:$A$14,0))/$J2284)),3)</f>
        <v>1</v>
      </c>
      <c r="AA2284" s="2" t="n">
        <f aca="false">IF($I2284="Correct",ROUND(INDEX('Reward Model'!$B$12:$B$14,MATCH($K2284,'Reward Model'!$A$12:$A$14,0))*Z2284,2),0)</f>
        <v>1</v>
      </c>
      <c r="AB2284" s="2" t="n">
        <f aca="false">IF($I2284="Correct",ROUND(INDEX('Reward Model'!$B$12:$B$14,MATCH($Y2284,'Reward Model'!$A$12:$A$14,0))*Z2284,2),0)</f>
        <v>2</v>
      </c>
    </row>
    <row r="2285" customFormat="false" ht="15" hidden="false" customHeight="false" outlineLevel="0" collapsed="false">
      <c r="A2285" s="0" t="s">
        <v>360</v>
      </c>
      <c r="B2285" s="0" t="s">
        <v>361</v>
      </c>
      <c r="C2285" s="0" t="s">
        <v>322</v>
      </c>
      <c r="D2285" s="0" t="s">
        <v>31</v>
      </c>
      <c r="E2285" s="0" t="n">
        <v>4</v>
      </c>
      <c r="F2285" s="0" t="s">
        <v>43</v>
      </c>
      <c r="G2285" s="0" t="s">
        <v>45</v>
      </c>
      <c r="H2285" s="0" t="s">
        <v>45</v>
      </c>
      <c r="I2285" s="0" t="s">
        <v>34</v>
      </c>
      <c r="J2285" s="0" t="n">
        <v>1.52</v>
      </c>
      <c r="K2285" s="0" t="s">
        <v>35</v>
      </c>
      <c r="L2285" s="0" t="n">
        <f aca="false">INDEX(Summary!$F$2:$F$201,MATCH($B2285,Summary!$A$2:$A$201,0))</f>
        <v>20</v>
      </c>
      <c r="M2285" s="0" t="n">
        <f aca="false">INDEX(Summary!$I$2:$I$201,MATCH($B2285,Summary!$A$2:$A$201,0))</f>
        <v>4</v>
      </c>
      <c r="N2285" s="0" t="n">
        <f aca="false">INDEX(Summary!$J$2:$J$201,MATCH($B2285,Summary!$A$2:$A$201,0))</f>
        <v>1</v>
      </c>
      <c r="O2285" s="2" t="n">
        <f aca="false">INDEX(Summary!$K$2:$K$201,MATCH($B2285,Summary!$A$2:$A$201,0))</f>
        <v>8.71</v>
      </c>
      <c r="P2285" s="3" t="n">
        <f aca="false">INDEX(Summary!$L$2:$L$201,MATCH($B2285,Summary!$A$2:$A$201,0))</f>
        <v>4</v>
      </c>
      <c r="Q2285" s="3" t="n">
        <f aca="false">INDEX(Summary!$M$2:$M$201,MATCH($B2285,Summary!$A$2:$A$201,0))</f>
        <v>2</v>
      </c>
      <c r="R2285" s="2" t="n">
        <f aca="false">INDEX(Summary!$N$2:$N$201,MATCH($B2285,Summary!$A$2:$A$201,0))</f>
        <v>10.32</v>
      </c>
      <c r="S2285" s="3" t="n">
        <f aca="false">INDEX(Summary!$O$2:$O$201,MATCH($B2285,Summary!$A$2:$A$201,0))</f>
        <v>8</v>
      </c>
      <c r="T2285" s="3" t="n">
        <f aca="false">INDEX(Summary!$P$2:$P$201,MATCH($B2285,Summary!$A$2:$A$201,0))</f>
        <v>1</v>
      </c>
      <c r="U2285" s="2" t="n">
        <f aca="false">INDEX(Summary!$Q$2:$Q$201,MATCH($B2285,Summary!$A$2:$A$201,0))</f>
        <v>14.78</v>
      </c>
      <c r="V2285" s="2" t="n">
        <f aca="false">INDEX(Summary!$R$2:$R$201,MATCH($B2285,Summary!$A$2:$A$201,0))</f>
        <v>31.31</v>
      </c>
      <c r="W2285" s="0" t="str">
        <f aca="false">INDEX(Summary!$S$2:$S$201,MATCH($B2285,Summary!$A$2:$A$201,0))</f>
        <v>Gold</v>
      </c>
      <c r="X2285" s="2" t="n">
        <f aca="false">INDEX(Summary!$T$2:$T$201,MATCH($B2285,Summary!$A$2:$A$201,0))</f>
        <v>76.37</v>
      </c>
      <c r="Y2285" s="0" t="str">
        <f aca="false">INDEX('Reward Model'!$E$18:$E$37,MATCH($E2285,'Reward Model'!$A$18:$A$37,0))</f>
        <v>Low</v>
      </c>
      <c r="Z2285" s="4" t="n">
        <f aca="false">ROUND(MIN(1,MAX('Reward Model'!$B$2,INDEX('Reward Model'!$C$12:$C$14,MATCH($K2285,'Reward Model'!$A$12:$A$14,0))/$J2285)),3)</f>
        <v>0.987</v>
      </c>
      <c r="AA2285" s="2" t="n">
        <f aca="false">IF($I2285="Correct",ROUND(INDEX('Reward Model'!$B$12:$B$14,MATCH($K2285,'Reward Model'!$A$12:$A$14,0))*Z2285,2),0)</f>
        <v>0.99</v>
      </c>
      <c r="AB2285" s="2" t="n">
        <f aca="false">IF($I2285="Correct",ROUND(INDEX('Reward Model'!$B$12:$B$14,MATCH($Y2285,'Reward Model'!$A$12:$A$14,0))*Z2285,2),0)</f>
        <v>0.99</v>
      </c>
    </row>
    <row r="2286" customFormat="false" ht="15" hidden="false" customHeight="false" outlineLevel="0" collapsed="false">
      <c r="A2286" s="0" t="s">
        <v>360</v>
      </c>
      <c r="B2286" s="0" t="s">
        <v>361</v>
      </c>
      <c r="C2286" s="0" t="s">
        <v>322</v>
      </c>
      <c r="D2286" s="0" t="s">
        <v>31</v>
      </c>
      <c r="E2286" s="0" t="n">
        <v>5</v>
      </c>
      <c r="F2286" s="0" t="s">
        <v>46</v>
      </c>
      <c r="G2286" s="0" t="s">
        <v>47</v>
      </c>
      <c r="H2286" s="0" t="s">
        <v>47</v>
      </c>
      <c r="I2286" s="0" t="s">
        <v>34</v>
      </c>
      <c r="J2286" s="0" t="n">
        <v>1.68</v>
      </c>
      <c r="K2286" s="0" t="s">
        <v>35</v>
      </c>
      <c r="L2286" s="0" t="n">
        <f aca="false">INDEX(Summary!$F$2:$F$201,MATCH($B2286,Summary!$A$2:$A$201,0))</f>
        <v>20</v>
      </c>
      <c r="M2286" s="0" t="n">
        <f aca="false">INDEX(Summary!$I$2:$I$201,MATCH($B2286,Summary!$A$2:$A$201,0))</f>
        <v>4</v>
      </c>
      <c r="N2286" s="0" t="n">
        <f aca="false">INDEX(Summary!$J$2:$J$201,MATCH($B2286,Summary!$A$2:$A$201,0))</f>
        <v>1</v>
      </c>
      <c r="O2286" s="2" t="n">
        <f aca="false">INDEX(Summary!$K$2:$K$201,MATCH($B2286,Summary!$A$2:$A$201,0))</f>
        <v>8.71</v>
      </c>
      <c r="P2286" s="3" t="n">
        <f aca="false">INDEX(Summary!$L$2:$L$201,MATCH($B2286,Summary!$A$2:$A$201,0))</f>
        <v>4</v>
      </c>
      <c r="Q2286" s="3" t="n">
        <f aca="false">INDEX(Summary!$M$2:$M$201,MATCH($B2286,Summary!$A$2:$A$201,0))</f>
        <v>2</v>
      </c>
      <c r="R2286" s="2" t="n">
        <f aca="false">INDEX(Summary!$N$2:$N$201,MATCH($B2286,Summary!$A$2:$A$201,0))</f>
        <v>10.32</v>
      </c>
      <c r="S2286" s="3" t="n">
        <f aca="false">INDEX(Summary!$O$2:$O$201,MATCH($B2286,Summary!$A$2:$A$201,0))</f>
        <v>8</v>
      </c>
      <c r="T2286" s="3" t="n">
        <f aca="false">INDEX(Summary!$P$2:$P$201,MATCH($B2286,Summary!$A$2:$A$201,0))</f>
        <v>1</v>
      </c>
      <c r="U2286" s="2" t="n">
        <f aca="false">INDEX(Summary!$Q$2:$Q$201,MATCH($B2286,Summary!$A$2:$A$201,0))</f>
        <v>14.78</v>
      </c>
      <c r="V2286" s="2" t="n">
        <f aca="false">INDEX(Summary!$R$2:$R$201,MATCH($B2286,Summary!$A$2:$A$201,0))</f>
        <v>31.31</v>
      </c>
      <c r="W2286" s="0" t="str">
        <f aca="false">INDEX(Summary!$S$2:$S$201,MATCH($B2286,Summary!$A$2:$A$201,0))</f>
        <v>Gold</v>
      </c>
      <c r="X2286" s="2" t="n">
        <f aca="false">INDEX(Summary!$T$2:$T$201,MATCH($B2286,Summary!$A$2:$A$201,0))</f>
        <v>76.37</v>
      </c>
      <c r="Y2286" s="0" t="str">
        <f aca="false">INDEX('Reward Model'!$E$18:$E$37,MATCH($E2286,'Reward Model'!$A$18:$A$37,0))</f>
        <v>Low</v>
      </c>
      <c r="Z2286" s="4" t="n">
        <f aca="false">ROUND(MIN(1,MAX('Reward Model'!$B$2,INDEX('Reward Model'!$C$12:$C$14,MATCH($K2286,'Reward Model'!$A$12:$A$14,0))/$J2286)),3)</f>
        <v>0.893</v>
      </c>
      <c r="AA2286" s="2" t="n">
        <f aca="false">IF($I2286="Correct",ROUND(INDEX('Reward Model'!$B$12:$B$14,MATCH($K2286,'Reward Model'!$A$12:$A$14,0))*Z2286,2),0)</f>
        <v>0.89</v>
      </c>
      <c r="AB2286" s="2" t="n">
        <f aca="false">IF($I2286="Correct",ROUND(INDEX('Reward Model'!$B$12:$B$14,MATCH($Y2286,'Reward Model'!$A$12:$A$14,0))*Z2286,2),0)</f>
        <v>0.89</v>
      </c>
    </row>
    <row r="2287" customFormat="false" ht="15" hidden="false" customHeight="false" outlineLevel="0" collapsed="false">
      <c r="A2287" s="0" t="s">
        <v>360</v>
      </c>
      <c r="B2287" s="0" t="s">
        <v>361</v>
      </c>
      <c r="C2287" s="0" t="s">
        <v>322</v>
      </c>
      <c r="D2287" s="0" t="s">
        <v>31</v>
      </c>
      <c r="E2287" s="0" t="n">
        <v>6</v>
      </c>
      <c r="F2287" s="0" t="s">
        <v>48</v>
      </c>
      <c r="G2287" s="0" t="s">
        <v>49</v>
      </c>
      <c r="H2287" s="0" t="s">
        <v>49</v>
      </c>
      <c r="I2287" s="0" t="s">
        <v>34</v>
      </c>
      <c r="J2287" s="0" t="n">
        <v>1.73</v>
      </c>
      <c r="K2287" s="0" t="s">
        <v>35</v>
      </c>
      <c r="L2287" s="0" t="n">
        <f aca="false">INDEX(Summary!$F$2:$F$201,MATCH($B2287,Summary!$A$2:$A$201,0))</f>
        <v>20</v>
      </c>
      <c r="M2287" s="0" t="n">
        <f aca="false">INDEX(Summary!$I$2:$I$201,MATCH($B2287,Summary!$A$2:$A$201,0))</f>
        <v>4</v>
      </c>
      <c r="N2287" s="0" t="n">
        <f aca="false">INDEX(Summary!$J$2:$J$201,MATCH($B2287,Summary!$A$2:$A$201,0))</f>
        <v>1</v>
      </c>
      <c r="O2287" s="2" t="n">
        <f aca="false">INDEX(Summary!$K$2:$K$201,MATCH($B2287,Summary!$A$2:$A$201,0))</f>
        <v>8.71</v>
      </c>
      <c r="P2287" s="3" t="n">
        <f aca="false">INDEX(Summary!$L$2:$L$201,MATCH($B2287,Summary!$A$2:$A$201,0))</f>
        <v>4</v>
      </c>
      <c r="Q2287" s="3" t="n">
        <f aca="false">INDEX(Summary!$M$2:$M$201,MATCH($B2287,Summary!$A$2:$A$201,0))</f>
        <v>2</v>
      </c>
      <c r="R2287" s="2" t="n">
        <f aca="false">INDEX(Summary!$N$2:$N$201,MATCH($B2287,Summary!$A$2:$A$201,0))</f>
        <v>10.32</v>
      </c>
      <c r="S2287" s="3" t="n">
        <f aca="false">INDEX(Summary!$O$2:$O$201,MATCH($B2287,Summary!$A$2:$A$201,0))</f>
        <v>8</v>
      </c>
      <c r="T2287" s="3" t="n">
        <f aca="false">INDEX(Summary!$P$2:$P$201,MATCH($B2287,Summary!$A$2:$A$201,0))</f>
        <v>1</v>
      </c>
      <c r="U2287" s="2" t="n">
        <f aca="false">INDEX(Summary!$Q$2:$Q$201,MATCH($B2287,Summary!$A$2:$A$201,0))</f>
        <v>14.78</v>
      </c>
      <c r="V2287" s="2" t="n">
        <f aca="false">INDEX(Summary!$R$2:$R$201,MATCH($B2287,Summary!$A$2:$A$201,0))</f>
        <v>31.31</v>
      </c>
      <c r="W2287" s="0" t="str">
        <f aca="false">INDEX(Summary!$S$2:$S$201,MATCH($B2287,Summary!$A$2:$A$201,0))</f>
        <v>Gold</v>
      </c>
      <c r="X2287" s="2" t="n">
        <f aca="false">INDEX(Summary!$T$2:$T$201,MATCH($B2287,Summary!$A$2:$A$201,0))</f>
        <v>76.37</v>
      </c>
      <c r="Y2287" s="0" t="str">
        <f aca="false">INDEX('Reward Model'!$E$18:$E$37,MATCH($E2287,'Reward Model'!$A$18:$A$37,0))</f>
        <v>Medium</v>
      </c>
      <c r="Z2287" s="4" t="n">
        <f aca="false">ROUND(MIN(1,MAX('Reward Model'!$B$2,INDEX('Reward Model'!$C$12:$C$14,MATCH($K2287,'Reward Model'!$A$12:$A$14,0))/$J2287)),3)</f>
        <v>0.867</v>
      </c>
      <c r="AA2287" s="2" t="n">
        <f aca="false">IF($I2287="Correct",ROUND(INDEX('Reward Model'!$B$12:$B$14,MATCH($K2287,'Reward Model'!$A$12:$A$14,0))*Z2287,2),0)</f>
        <v>0.87</v>
      </c>
      <c r="AB2287" s="2" t="n">
        <f aca="false">IF($I2287="Correct",ROUND(INDEX('Reward Model'!$B$12:$B$14,MATCH($Y2287,'Reward Model'!$A$12:$A$14,0))*Z2287,2),0)</f>
        <v>1.73</v>
      </c>
    </row>
    <row r="2288" customFormat="false" ht="15" hidden="false" customHeight="false" outlineLevel="0" collapsed="false">
      <c r="A2288" s="0" t="s">
        <v>360</v>
      </c>
      <c r="B2288" s="0" t="s">
        <v>361</v>
      </c>
      <c r="C2288" s="0" t="s">
        <v>322</v>
      </c>
      <c r="D2288" s="0" t="s">
        <v>31</v>
      </c>
      <c r="E2288" s="0" t="n">
        <v>7</v>
      </c>
      <c r="F2288" s="0" t="s">
        <v>50</v>
      </c>
      <c r="G2288" s="0" t="s">
        <v>92</v>
      </c>
      <c r="H2288" s="0" t="s">
        <v>51</v>
      </c>
      <c r="I2288" s="0" t="s">
        <v>39</v>
      </c>
      <c r="J2288" s="0" t="n">
        <v>1.92</v>
      </c>
      <c r="K2288" s="0" t="s">
        <v>35</v>
      </c>
      <c r="L2288" s="0" t="n">
        <f aca="false">INDEX(Summary!$F$2:$F$201,MATCH($B2288,Summary!$A$2:$A$201,0))</f>
        <v>20</v>
      </c>
      <c r="M2288" s="0" t="n">
        <f aca="false">INDEX(Summary!$I$2:$I$201,MATCH($B2288,Summary!$A$2:$A$201,0))</f>
        <v>4</v>
      </c>
      <c r="N2288" s="0" t="n">
        <f aca="false">INDEX(Summary!$J$2:$J$201,MATCH($B2288,Summary!$A$2:$A$201,0))</f>
        <v>1</v>
      </c>
      <c r="O2288" s="2" t="n">
        <f aca="false">INDEX(Summary!$K$2:$K$201,MATCH($B2288,Summary!$A$2:$A$201,0))</f>
        <v>8.71</v>
      </c>
      <c r="P2288" s="3" t="n">
        <f aca="false">INDEX(Summary!$L$2:$L$201,MATCH($B2288,Summary!$A$2:$A$201,0))</f>
        <v>4</v>
      </c>
      <c r="Q2288" s="3" t="n">
        <f aca="false">INDEX(Summary!$M$2:$M$201,MATCH($B2288,Summary!$A$2:$A$201,0))</f>
        <v>2</v>
      </c>
      <c r="R2288" s="2" t="n">
        <f aca="false">INDEX(Summary!$N$2:$N$201,MATCH($B2288,Summary!$A$2:$A$201,0))</f>
        <v>10.32</v>
      </c>
      <c r="S2288" s="3" t="n">
        <f aca="false">INDEX(Summary!$O$2:$O$201,MATCH($B2288,Summary!$A$2:$A$201,0))</f>
        <v>8</v>
      </c>
      <c r="T2288" s="3" t="n">
        <f aca="false">INDEX(Summary!$P$2:$P$201,MATCH($B2288,Summary!$A$2:$A$201,0))</f>
        <v>1</v>
      </c>
      <c r="U2288" s="2" t="n">
        <f aca="false">INDEX(Summary!$Q$2:$Q$201,MATCH($B2288,Summary!$A$2:$A$201,0))</f>
        <v>14.78</v>
      </c>
      <c r="V2288" s="2" t="n">
        <f aca="false">INDEX(Summary!$R$2:$R$201,MATCH($B2288,Summary!$A$2:$A$201,0))</f>
        <v>31.31</v>
      </c>
      <c r="W2288" s="0" t="str">
        <f aca="false">INDEX(Summary!$S$2:$S$201,MATCH($B2288,Summary!$A$2:$A$201,0))</f>
        <v>Gold</v>
      </c>
      <c r="X2288" s="2" t="n">
        <f aca="false">INDEX(Summary!$T$2:$T$201,MATCH($B2288,Summary!$A$2:$A$201,0))</f>
        <v>76.37</v>
      </c>
      <c r="Y2288" s="0" t="str">
        <f aca="false">INDEX('Reward Model'!$E$18:$E$37,MATCH($E2288,'Reward Model'!$A$18:$A$37,0))</f>
        <v>Low</v>
      </c>
      <c r="Z2288" s="4" t="n">
        <f aca="false">ROUND(MIN(1,MAX('Reward Model'!$B$2,INDEX('Reward Model'!$C$12:$C$14,MATCH($K2288,'Reward Model'!$A$12:$A$14,0))/$J2288)),3)</f>
        <v>0.781</v>
      </c>
      <c r="AA2288" s="2" t="n">
        <f aca="false">IF($I2288="Correct",ROUND(INDEX('Reward Model'!$B$12:$B$14,MATCH($K2288,'Reward Model'!$A$12:$A$14,0))*Z2288,2),0)</f>
        <v>0</v>
      </c>
      <c r="AB2288" s="2" t="n">
        <f aca="false">IF($I2288="Correct",ROUND(INDEX('Reward Model'!$B$12:$B$14,MATCH($Y2288,'Reward Model'!$A$12:$A$14,0))*Z2288,2),0)</f>
        <v>0</v>
      </c>
    </row>
    <row r="2289" customFormat="false" ht="15" hidden="false" customHeight="false" outlineLevel="0" collapsed="false">
      <c r="A2289" s="0" t="s">
        <v>360</v>
      </c>
      <c r="B2289" s="0" t="s">
        <v>361</v>
      </c>
      <c r="C2289" s="0" t="s">
        <v>322</v>
      </c>
      <c r="D2289" s="0" t="s">
        <v>31</v>
      </c>
      <c r="E2289" s="0" t="n">
        <v>8</v>
      </c>
      <c r="F2289" s="0" t="s">
        <v>52</v>
      </c>
      <c r="G2289" s="0" t="s">
        <v>54</v>
      </c>
      <c r="H2289" s="0" t="s">
        <v>54</v>
      </c>
      <c r="I2289" s="0" t="s">
        <v>34</v>
      </c>
      <c r="J2289" s="0" t="n">
        <v>1.83</v>
      </c>
      <c r="K2289" s="0" t="s">
        <v>35</v>
      </c>
      <c r="L2289" s="0" t="n">
        <f aca="false">INDEX(Summary!$F$2:$F$201,MATCH($B2289,Summary!$A$2:$A$201,0))</f>
        <v>20</v>
      </c>
      <c r="M2289" s="0" t="n">
        <f aca="false">INDEX(Summary!$I$2:$I$201,MATCH($B2289,Summary!$A$2:$A$201,0))</f>
        <v>4</v>
      </c>
      <c r="N2289" s="0" t="n">
        <f aca="false">INDEX(Summary!$J$2:$J$201,MATCH($B2289,Summary!$A$2:$A$201,0))</f>
        <v>1</v>
      </c>
      <c r="O2289" s="2" t="n">
        <f aca="false">INDEX(Summary!$K$2:$K$201,MATCH($B2289,Summary!$A$2:$A$201,0))</f>
        <v>8.71</v>
      </c>
      <c r="P2289" s="3" t="n">
        <f aca="false">INDEX(Summary!$L$2:$L$201,MATCH($B2289,Summary!$A$2:$A$201,0))</f>
        <v>4</v>
      </c>
      <c r="Q2289" s="3" t="n">
        <f aca="false">INDEX(Summary!$M$2:$M$201,MATCH($B2289,Summary!$A$2:$A$201,0))</f>
        <v>2</v>
      </c>
      <c r="R2289" s="2" t="n">
        <f aca="false">INDEX(Summary!$N$2:$N$201,MATCH($B2289,Summary!$A$2:$A$201,0))</f>
        <v>10.32</v>
      </c>
      <c r="S2289" s="3" t="n">
        <f aca="false">INDEX(Summary!$O$2:$O$201,MATCH($B2289,Summary!$A$2:$A$201,0))</f>
        <v>8</v>
      </c>
      <c r="T2289" s="3" t="n">
        <f aca="false">INDEX(Summary!$P$2:$P$201,MATCH($B2289,Summary!$A$2:$A$201,0))</f>
        <v>1</v>
      </c>
      <c r="U2289" s="2" t="n">
        <f aca="false">INDEX(Summary!$Q$2:$Q$201,MATCH($B2289,Summary!$A$2:$A$201,0))</f>
        <v>14.78</v>
      </c>
      <c r="V2289" s="2" t="n">
        <f aca="false">INDEX(Summary!$R$2:$R$201,MATCH($B2289,Summary!$A$2:$A$201,0))</f>
        <v>31.31</v>
      </c>
      <c r="W2289" s="0" t="str">
        <f aca="false">INDEX(Summary!$S$2:$S$201,MATCH($B2289,Summary!$A$2:$A$201,0))</f>
        <v>Gold</v>
      </c>
      <c r="X2289" s="2" t="n">
        <f aca="false">INDEX(Summary!$T$2:$T$201,MATCH($B2289,Summary!$A$2:$A$201,0))</f>
        <v>76.37</v>
      </c>
      <c r="Y2289" s="0" t="str">
        <f aca="false">INDEX('Reward Model'!$E$18:$E$37,MATCH($E2289,'Reward Model'!$A$18:$A$37,0))</f>
        <v>Medium</v>
      </c>
      <c r="Z2289" s="4" t="n">
        <f aca="false">ROUND(MIN(1,MAX('Reward Model'!$B$2,INDEX('Reward Model'!$C$12:$C$14,MATCH($K2289,'Reward Model'!$A$12:$A$14,0))/$J2289)),3)</f>
        <v>0.82</v>
      </c>
      <c r="AA2289" s="2" t="n">
        <f aca="false">IF($I2289="Correct",ROUND(INDEX('Reward Model'!$B$12:$B$14,MATCH($K2289,'Reward Model'!$A$12:$A$14,0))*Z2289,2),0)</f>
        <v>0.82</v>
      </c>
      <c r="AB2289" s="2" t="n">
        <f aca="false">IF($I2289="Correct",ROUND(INDEX('Reward Model'!$B$12:$B$14,MATCH($Y2289,'Reward Model'!$A$12:$A$14,0))*Z2289,2),0)</f>
        <v>1.64</v>
      </c>
    </row>
    <row r="2290" customFormat="false" ht="15" hidden="false" customHeight="false" outlineLevel="0" collapsed="false">
      <c r="A2290" s="0" t="s">
        <v>360</v>
      </c>
      <c r="B2290" s="0" t="s">
        <v>361</v>
      </c>
      <c r="C2290" s="0" t="s">
        <v>322</v>
      </c>
      <c r="D2290" s="0" t="s">
        <v>31</v>
      </c>
      <c r="E2290" s="0" t="n">
        <v>9</v>
      </c>
      <c r="F2290" s="0" t="s">
        <v>55</v>
      </c>
      <c r="G2290" s="0" t="s">
        <v>57</v>
      </c>
      <c r="H2290" s="0" t="s">
        <v>57</v>
      </c>
      <c r="I2290" s="0" t="s">
        <v>34</v>
      </c>
      <c r="J2290" s="0" t="n">
        <v>1.88</v>
      </c>
      <c r="K2290" s="0" t="s">
        <v>35</v>
      </c>
      <c r="L2290" s="0" t="n">
        <f aca="false">INDEX(Summary!$F$2:$F$201,MATCH($B2290,Summary!$A$2:$A$201,0))</f>
        <v>20</v>
      </c>
      <c r="M2290" s="0" t="n">
        <f aca="false">INDEX(Summary!$I$2:$I$201,MATCH($B2290,Summary!$A$2:$A$201,0))</f>
        <v>4</v>
      </c>
      <c r="N2290" s="0" t="n">
        <f aca="false">INDEX(Summary!$J$2:$J$201,MATCH($B2290,Summary!$A$2:$A$201,0))</f>
        <v>1</v>
      </c>
      <c r="O2290" s="2" t="n">
        <f aca="false">INDEX(Summary!$K$2:$K$201,MATCH($B2290,Summary!$A$2:$A$201,0))</f>
        <v>8.71</v>
      </c>
      <c r="P2290" s="3" t="n">
        <f aca="false">INDEX(Summary!$L$2:$L$201,MATCH($B2290,Summary!$A$2:$A$201,0))</f>
        <v>4</v>
      </c>
      <c r="Q2290" s="3" t="n">
        <f aca="false">INDEX(Summary!$M$2:$M$201,MATCH($B2290,Summary!$A$2:$A$201,0))</f>
        <v>2</v>
      </c>
      <c r="R2290" s="2" t="n">
        <f aca="false">INDEX(Summary!$N$2:$N$201,MATCH($B2290,Summary!$A$2:$A$201,0))</f>
        <v>10.32</v>
      </c>
      <c r="S2290" s="3" t="n">
        <f aca="false">INDEX(Summary!$O$2:$O$201,MATCH($B2290,Summary!$A$2:$A$201,0))</f>
        <v>8</v>
      </c>
      <c r="T2290" s="3" t="n">
        <f aca="false">INDEX(Summary!$P$2:$P$201,MATCH($B2290,Summary!$A$2:$A$201,0))</f>
        <v>1</v>
      </c>
      <c r="U2290" s="2" t="n">
        <f aca="false">INDEX(Summary!$Q$2:$Q$201,MATCH($B2290,Summary!$A$2:$A$201,0))</f>
        <v>14.78</v>
      </c>
      <c r="V2290" s="2" t="n">
        <f aca="false">INDEX(Summary!$R$2:$R$201,MATCH($B2290,Summary!$A$2:$A$201,0))</f>
        <v>31.31</v>
      </c>
      <c r="W2290" s="0" t="str">
        <f aca="false">INDEX(Summary!$S$2:$S$201,MATCH($B2290,Summary!$A$2:$A$201,0))</f>
        <v>Gold</v>
      </c>
      <c r="X2290" s="2" t="n">
        <f aca="false">INDEX(Summary!$T$2:$T$201,MATCH($B2290,Summary!$A$2:$A$201,0))</f>
        <v>76.37</v>
      </c>
      <c r="Y2290" s="0" t="str">
        <f aca="false">INDEX('Reward Model'!$E$18:$E$37,MATCH($E2290,'Reward Model'!$A$18:$A$37,0))</f>
        <v>Medium</v>
      </c>
      <c r="Z2290" s="4" t="n">
        <f aca="false">ROUND(MIN(1,MAX('Reward Model'!$B$2,INDEX('Reward Model'!$C$12:$C$14,MATCH($K2290,'Reward Model'!$A$12:$A$14,0))/$J2290)),3)</f>
        <v>0.798</v>
      </c>
      <c r="AA2290" s="2" t="n">
        <f aca="false">IF($I2290="Correct",ROUND(INDEX('Reward Model'!$B$12:$B$14,MATCH($K2290,'Reward Model'!$A$12:$A$14,0))*Z2290,2),0)</f>
        <v>0.8</v>
      </c>
      <c r="AB2290" s="2" t="n">
        <f aca="false">IF($I2290="Correct",ROUND(INDEX('Reward Model'!$B$12:$B$14,MATCH($Y2290,'Reward Model'!$A$12:$A$14,0))*Z2290,2),0)</f>
        <v>1.6</v>
      </c>
    </row>
    <row r="2291" customFormat="false" ht="15" hidden="false" customHeight="false" outlineLevel="0" collapsed="false">
      <c r="A2291" s="0" t="s">
        <v>360</v>
      </c>
      <c r="B2291" s="0" t="s">
        <v>361</v>
      </c>
      <c r="C2291" s="0" t="s">
        <v>322</v>
      </c>
      <c r="D2291" s="0" t="s">
        <v>31</v>
      </c>
      <c r="E2291" s="0" t="n">
        <v>10</v>
      </c>
      <c r="F2291" s="0" t="s">
        <v>58</v>
      </c>
      <c r="G2291" s="0" t="s">
        <v>59</v>
      </c>
      <c r="H2291" s="0" t="s">
        <v>59</v>
      </c>
      <c r="I2291" s="0" t="s">
        <v>34</v>
      </c>
      <c r="J2291" s="0" t="n">
        <v>2.14</v>
      </c>
      <c r="K2291" s="0" t="s">
        <v>60</v>
      </c>
      <c r="L2291" s="0" t="n">
        <f aca="false">INDEX(Summary!$F$2:$F$201,MATCH($B2291,Summary!$A$2:$A$201,0))</f>
        <v>20</v>
      </c>
      <c r="M2291" s="0" t="n">
        <f aca="false">INDEX(Summary!$I$2:$I$201,MATCH($B2291,Summary!$A$2:$A$201,0))</f>
        <v>4</v>
      </c>
      <c r="N2291" s="0" t="n">
        <f aca="false">INDEX(Summary!$J$2:$J$201,MATCH($B2291,Summary!$A$2:$A$201,0))</f>
        <v>1</v>
      </c>
      <c r="O2291" s="2" t="n">
        <f aca="false">INDEX(Summary!$K$2:$K$201,MATCH($B2291,Summary!$A$2:$A$201,0))</f>
        <v>8.71</v>
      </c>
      <c r="P2291" s="3" t="n">
        <f aca="false">INDEX(Summary!$L$2:$L$201,MATCH($B2291,Summary!$A$2:$A$201,0))</f>
        <v>4</v>
      </c>
      <c r="Q2291" s="3" t="n">
        <f aca="false">INDEX(Summary!$M$2:$M$201,MATCH($B2291,Summary!$A$2:$A$201,0))</f>
        <v>2</v>
      </c>
      <c r="R2291" s="2" t="n">
        <f aca="false">INDEX(Summary!$N$2:$N$201,MATCH($B2291,Summary!$A$2:$A$201,0))</f>
        <v>10.32</v>
      </c>
      <c r="S2291" s="3" t="n">
        <f aca="false">INDEX(Summary!$O$2:$O$201,MATCH($B2291,Summary!$A$2:$A$201,0))</f>
        <v>8</v>
      </c>
      <c r="T2291" s="3" t="n">
        <f aca="false">INDEX(Summary!$P$2:$P$201,MATCH($B2291,Summary!$A$2:$A$201,0))</f>
        <v>1</v>
      </c>
      <c r="U2291" s="2" t="n">
        <f aca="false">INDEX(Summary!$Q$2:$Q$201,MATCH($B2291,Summary!$A$2:$A$201,0))</f>
        <v>14.78</v>
      </c>
      <c r="V2291" s="2" t="n">
        <f aca="false">INDEX(Summary!$R$2:$R$201,MATCH($B2291,Summary!$A$2:$A$201,0))</f>
        <v>31.31</v>
      </c>
      <c r="W2291" s="0" t="str">
        <f aca="false">INDEX(Summary!$S$2:$S$201,MATCH($B2291,Summary!$A$2:$A$201,0))</f>
        <v>Gold</v>
      </c>
      <c r="X2291" s="2" t="n">
        <f aca="false">INDEX(Summary!$T$2:$T$201,MATCH($B2291,Summary!$A$2:$A$201,0))</f>
        <v>76.37</v>
      </c>
      <c r="Y2291" s="0" t="str">
        <f aca="false">INDEX('Reward Model'!$E$18:$E$37,MATCH($E2291,'Reward Model'!$A$18:$A$37,0))</f>
        <v>Medium</v>
      </c>
      <c r="Z2291" s="4" t="n">
        <f aca="false">ROUND(MIN(1,MAX('Reward Model'!$B$2,INDEX('Reward Model'!$C$12:$C$14,MATCH($K2291,'Reward Model'!$A$12:$A$14,0))/$J2291)),3)</f>
        <v>0.841</v>
      </c>
      <c r="AA2291" s="2" t="n">
        <f aca="false">IF($I2291="Correct",ROUND(INDEX('Reward Model'!$B$12:$B$14,MATCH($K2291,'Reward Model'!$A$12:$A$14,0))*Z2291,2),0)</f>
        <v>1.68</v>
      </c>
      <c r="AB2291" s="2" t="n">
        <f aca="false">IF($I2291="Correct",ROUND(INDEX('Reward Model'!$B$12:$B$14,MATCH($Y2291,'Reward Model'!$A$12:$A$14,0))*Z2291,2),0)</f>
        <v>1.68</v>
      </c>
    </row>
    <row r="2292" customFormat="false" ht="15" hidden="false" customHeight="false" outlineLevel="0" collapsed="false">
      <c r="A2292" s="0" t="s">
        <v>360</v>
      </c>
      <c r="B2292" s="0" t="s">
        <v>361</v>
      </c>
      <c r="C2292" s="0" t="s">
        <v>322</v>
      </c>
      <c r="D2292" s="0" t="s">
        <v>31</v>
      </c>
      <c r="E2292" s="0" t="n">
        <v>11</v>
      </c>
      <c r="F2292" s="0" t="s">
        <v>61</v>
      </c>
      <c r="G2292" s="0" t="s">
        <v>62</v>
      </c>
      <c r="H2292" s="0" t="s">
        <v>63</v>
      </c>
      <c r="I2292" s="0" t="s">
        <v>39</v>
      </c>
      <c r="J2292" s="0" t="n">
        <v>1.38</v>
      </c>
      <c r="K2292" s="0" t="s">
        <v>60</v>
      </c>
      <c r="L2292" s="0" t="n">
        <f aca="false">INDEX(Summary!$F$2:$F$201,MATCH($B2292,Summary!$A$2:$A$201,0))</f>
        <v>20</v>
      </c>
      <c r="M2292" s="0" t="n">
        <f aca="false">INDEX(Summary!$I$2:$I$201,MATCH($B2292,Summary!$A$2:$A$201,0))</f>
        <v>4</v>
      </c>
      <c r="N2292" s="0" t="n">
        <f aca="false">INDEX(Summary!$J$2:$J$201,MATCH($B2292,Summary!$A$2:$A$201,0))</f>
        <v>1</v>
      </c>
      <c r="O2292" s="2" t="n">
        <f aca="false">INDEX(Summary!$K$2:$K$201,MATCH($B2292,Summary!$A$2:$A$201,0))</f>
        <v>8.71</v>
      </c>
      <c r="P2292" s="3" t="n">
        <f aca="false">INDEX(Summary!$L$2:$L$201,MATCH($B2292,Summary!$A$2:$A$201,0))</f>
        <v>4</v>
      </c>
      <c r="Q2292" s="3" t="n">
        <f aca="false">INDEX(Summary!$M$2:$M$201,MATCH($B2292,Summary!$A$2:$A$201,0))</f>
        <v>2</v>
      </c>
      <c r="R2292" s="2" t="n">
        <f aca="false">INDEX(Summary!$N$2:$N$201,MATCH($B2292,Summary!$A$2:$A$201,0))</f>
        <v>10.32</v>
      </c>
      <c r="S2292" s="3" t="n">
        <f aca="false">INDEX(Summary!$O$2:$O$201,MATCH($B2292,Summary!$A$2:$A$201,0))</f>
        <v>8</v>
      </c>
      <c r="T2292" s="3" t="n">
        <f aca="false">INDEX(Summary!$P$2:$P$201,MATCH($B2292,Summary!$A$2:$A$201,0))</f>
        <v>1</v>
      </c>
      <c r="U2292" s="2" t="n">
        <f aca="false">INDEX(Summary!$Q$2:$Q$201,MATCH($B2292,Summary!$A$2:$A$201,0))</f>
        <v>14.78</v>
      </c>
      <c r="V2292" s="2" t="n">
        <f aca="false">INDEX(Summary!$R$2:$R$201,MATCH($B2292,Summary!$A$2:$A$201,0))</f>
        <v>31.31</v>
      </c>
      <c r="W2292" s="0" t="str">
        <f aca="false">INDEX(Summary!$S$2:$S$201,MATCH($B2292,Summary!$A$2:$A$201,0))</f>
        <v>Gold</v>
      </c>
      <c r="X2292" s="2" t="n">
        <f aca="false">INDEX(Summary!$T$2:$T$201,MATCH($B2292,Summary!$A$2:$A$201,0))</f>
        <v>76.37</v>
      </c>
      <c r="Y2292" s="0" t="str">
        <f aca="false">INDEX('Reward Model'!$E$18:$E$37,MATCH($E2292,'Reward Model'!$A$18:$A$37,0))</f>
        <v>Medium</v>
      </c>
      <c r="Z2292" s="4" t="n">
        <f aca="false">ROUND(MIN(1,MAX('Reward Model'!$B$2,INDEX('Reward Model'!$C$12:$C$14,MATCH($K2292,'Reward Model'!$A$12:$A$14,0))/$J2292)),3)</f>
        <v>1</v>
      </c>
      <c r="AA2292" s="2" t="n">
        <f aca="false">IF($I2292="Correct",ROUND(INDEX('Reward Model'!$B$12:$B$14,MATCH($K2292,'Reward Model'!$A$12:$A$14,0))*Z2292,2),0)</f>
        <v>0</v>
      </c>
      <c r="AB2292" s="2" t="n">
        <f aca="false">IF($I2292="Correct",ROUND(INDEX('Reward Model'!$B$12:$B$14,MATCH($Y2292,'Reward Model'!$A$12:$A$14,0))*Z2292,2),0)</f>
        <v>0</v>
      </c>
    </row>
    <row r="2293" customFormat="false" ht="15" hidden="false" customHeight="false" outlineLevel="0" collapsed="false">
      <c r="A2293" s="0" t="s">
        <v>360</v>
      </c>
      <c r="B2293" s="0" t="s">
        <v>361</v>
      </c>
      <c r="C2293" s="0" t="s">
        <v>322</v>
      </c>
      <c r="D2293" s="0" t="s">
        <v>31</v>
      </c>
      <c r="E2293" s="0" t="n">
        <v>12</v>
      </c>
      <c r="F2293" s="0" t="s">
        <v>64</v>
      </c>
      <c r="G2293" s="0" t="s">
        <v>65</v>
      </c>
      <c r="H2293" s="0" t="s">
        <v>65</v>
      </c>
      <c r="I2293" s="0" t="s">
        <v>34</v>
      </c>
      <c r="J2293" s="0" t="n">
        <v>1.75</v>
      </c>
      <c r="K2293" s="0" t="s">
        <v>60</v>
      </c>
      <c r="L2293" s="0" t="n">
        <f aca="false">INDEX(Summary!$F$2:$F$201,MATCH($B2293,Summary!$A$2:$A$201,0))</f>
        <v>20</v>
      </c>
      <c r="M2293" s="0" t="n">
        <f aca="false">INDEX(Summary!$I$2:$I$201,MATCH($B2293,Summary!$A$2:$A$201,0))</f>
        <v>4</v>
      </c>
      <c r="N2293" s="0" t="n">
        <f aca="false">INDEX(Summary!$J$2:$J$201,MATCH($B2293,Summary!$A$2:$A$201,0))</f>
        <v>1</v>
      </c>
      <c r="O2293" s="2" t="n">
        <f aca="false">INDEX(Summary!$K$2:$K$201,MATCH($B2293,Summary!$A$2:$A$201,0))</f>
        <v>8.71</v>
      </c>
      <c r="P2293" s="3" t="n">
        <f aca="false">INDEX(Summary!$L$2:$L$201,MATCH($B2293,Summary!$A$2:$A$201,0))</f>
        <v>4</v>
      </c>
      <c r="Q2293" s="3" t="n">
        <f aca="false">INDEX(Summary!$M$2:$M$201,MATCH($B2293,Summary!$A$2:$A$201,0))</f>
        <v>2</v>
      </c>
      <c r="R2293" s="2" t="n">
        <f aca="false">INDEX(Summary!$N$2:$N$201,MATCH($B2293,Summary!$A$2:$A$201,0))</f>
        <v>10.32</v>
      </c>
      <c r="S2293" s="3" t="n">
        <f aca="false">INDEX(Summary!$O$2:$O$201,MATCH($B2293,Summary!$A$2:$A$201,0))</f>
        <v>8</v>
      </c>
      <c r="T2293" s="3" t="n">
        <f aca="false">INDEX(Summary!$P$2:$P$201,MATCH($B2293,Summary!$A$2:$A$201,0))</f>
        <v>1</v>
      </c>
      <c r="U2293" s="2" t="n">
        <f aca="false">INDEX(Summary!$Q$2:$Q$201,MATCH($B2293,Summary!$A$2:$A$201,0))</f>
        <v>14.78</v>
      </c>
      <c r="V2293" s="2" t="n">
        <f aca="false">INDEX(Summary!$R$2:$R$201,MATCH($B2293,Summary!$A$2:$A$201,0))</f>
        <v>31.31</v>
      </c>
      <c r="W2293" s="0" t="str">
        <f aca="false">INDEX(Summary!$S$2:$S$201,MATCH($B2293,Summary!$A$2:$A$201,0))</f>
        <v>Gold</v>
      </c>
      <c r="X2293" s="2" t="n">
        <f aca="false">INDEX(Summary!$T$2:$T$201,MATCH($B2293,Summary!$A$2:$A$201,0))</f>
        <v>76.37</v>
      </c>
      <c r="Y2293" s="0" t="str">
        <f aca="false">INDEX('Reward Model'!$E$18:$E$37,MATCH($E2293,'Reward Model'!$A$18:$A$37,0))</f>
        <v>Medium</v>
      </c>
      <c r="Z2293" s="4" t="n">
        <f aca="false">ROUND(MIN(1,MAX('Reward Model'!$B$2,INDEX('Reward Model'!$C$12:$C$14,MATCH($K2293,'Reward Model'!$A$12:$A$14,0))/$J2293)),3)</f>
        <v>1</v>
      </c>
      <c r="AA2293" s="2" t="n">
        <f aca="false">IF($I2293="Correct",ROUND(INDEX('Reward Model'!$B$12:$B$14,MATCH($K2293,'Reward Model'!$A$12:$A$14,0))*Z2293,2),0)</f>
        <v>2</v>
      </c>
      <c r="AB2293" s="2" t="n">
        <f aca="false">IF($I2293="Correct",ROUND(INDEX('Reward Model'!$B$12:$B$14,MATCH($Y2293,'Reward Model'!$A$12:$A$14,0))*Z2293,2),0)</f>
        <v>2</v>
      </c>
    </row>
    <row r="2294" customFormat="false" ht="15" hidden="false" customHeight="false" outlineLevel="0" collapsed="false">
      <c r="A2294" s="0" t="s">
        <v>360</v>
      </c>
      <c r="B2294" s="0" t="s">
        <v>361</v>
      </c>
      <c r="C2294" s="0" t="s">
        <v>322</v>
      </c>
      <c r="D2294" s="0" t="s">
        <v>31</v>
      </c>
      <c r="E2294" s="0" t="n">
        <v>13</v>
      </c>
      <c r="F2294" s="0" t="s">
        <v>66</v>
      </c>
      <c r="G2294" s="0" t="s">
        <v>67</v>
      </c>
      <c r="H2294" s="0" t="s">
        <v>67</v>
      </c>
      <c r="I2294" s="0" t="s">
        <v>34</v>
      </c>
      <c r="J2294" s="0" t="n">
        <v>1.64</v>
      </c>
      <c r="K2294" s="0" t="s">
        <v>60</v>
      </c>
      <c r="L2294" s="0" t="n">
        <f aca="false">INDEX(Summary!$F$2:$F$201,MATCH($B2294,Summary!$A$2:$A$201,0))</f>
        <v>20</v>
      </c>
      <c r="M2294" s="0" t="n">
        <f aca="false">INDEX(Summary!$I$2:$I$201,MATCH($B2294,Summary!$A$2:$A$201,0))</f>
        <v>4</v>
      </c>
      <c r="N2294" s="0" t="n">
        <f aca="false">INDEX(Summary!$J$2:$J$201,MATCH($B2294,Summary!$A$2:$A$201,0))</f>
        <v>1</v>
      </c>
      <c r="O2294" s="2" t="n">
        <f aca="false">INDEX(Summary!$K$2:$K$201,MATCH($B2294,Summary!$A$2:$A$201,0))</f>
        <v>8.71</v>
      </c>
      <c r="P2294" s="3" t="n">
        <f aca="false">INDEX(Summary!$L$2:$L$201,MATCH($B2294,Summary!$A$2:$A$201,0))</f>
        <v>4</v>
      </c>
      <c r="Q2294" s="3" t="n">
        <f aca="false">INDEX(Summary!$M$2:$M$201,MATCH($B2294,Summary!$A$2:$A$201,0))</f>
        <v>2</v>
      </c>
      <c r="R2294" s="2" t="n">
        <f aca="false">INDEX(Summary!$N$2:$N$201,MATCH($B2294,Summary!$A$2:$A$201,0))</f>
        <v>10.32</v>
      </c>
      <c r="S2294" s="3" t="n">
        <f aca="false">INDEX(Summary!$O$2:$O$201,MATCH($B2294,Summary!$A$2:$A$201,0))</f>
        <v>8</v>
      </c>
      <c r="T2294" s="3" t="n">
        <f aca="false">INDEX(Summary!$P$2:$P$201,MATCH($B2294,Summary!$A$2:$A$201,0))</f>
        <v>1</v>
      </c>
      <c r="U2294" s="2" t="n">
        <f aca="false">INDEX(Summary!$Q$2:$Q$201,MATCH($B2294,Summary!$A$2:$A$201,0))</f>
        <v>14.78</v>
      </c>
      <c r="V2294" s="2" t="n">
        <f aca="false">INDEX(Summary!$R$2:$R$201,MATCH($B2294,Summary!$A$2:$A$201,0))</f>
        <v>31.31</v>
      </c>
      <c r="W2294" s="0" t="str">
        <f aca="false">INDEX(Summary!$S$2:$S$201,MATCH($B2294,Summary!$A$2:$A$201,0))</f>
        <v>Gold</v>
      </c>
      <c r="X2294" s="2" t="n">
        <f aca="false">INDEX(Summary!$T$2:$T$201,MATCH($B2294,Summary!$A$2:$A$201,0))</f>
        <v>76.37</v>
      </c>
      <c r="Y2294" s="0" t="str">
        <f aca="false">INDEX('Reward Model'!$E$18:$E$37,MATCH($E2294,'Reward Model'!$A$18:$A$37,0))</f>
        <v>Medium</v>
      </c>
      <c r="Z2294" s="4" t="n">
        <f aca="false">ROUND(MIN(1,MAX('Reward Model'!$B$2,INDEX('Reward Model'!$C$12:$C$14,MATCH($K2294,'Reward Model'!$A$12:$A$14,0))/$J2294)),3)</f>
        <v>1</v>
      </c>
      <c r="AA2294" s="2" t="n">
        <f aca="false">IF($I2294="Correct",ROUND(INDEX('Reward Model'!$B$12:$B$14,MATCH($K2294,'Reward Model'!$A$12:$A$14,0))*Z2294,2),0)</f>
        <v>2</v>
      </c>
      <c r="AB2294" s="2" t="n">
        <f aca="false">IF($I2294="Correct",ROUND(INDEX('Reward Model'!$B$12:$B$14,MATCH($Y2294,'Reward Model'!$A$12:$A$14,0))*Z2294,2),0)</f>
        <v>2</v>
      </c>
    </row>
    <row r="2295" customFormat="false" ht="15" hidden="false" customHeight="false" outlineLevel="0" collapsed="false">
      <c r="A2295" s="0" t="s">
        <v>360</v>
      </c>
      <c r="B2295" s="0" t="s">
        <v>361</v>
      </c>
      <c r="C2295" s="0" t="s">
        <v>322</v>
      </c>
      <c r="D2295" s="0" t="s">
        <v>31</v>
      </c>
      <c r="E2295" s="0" t="n">
        <v>14</v>
      </c>
      <c r="F2295" s="0" t="s">
        <v>68</v>
      </c>
      <c r="G2295" s="0" t="s">
        <v>100</v>
      </c>
      <c r="H2295" s="0" t="s">
        <v>51</v>
      </c>
      <c r="I2295" s="0" t="s">
        <v>39</v>
      </c>
      <c r="J2295" s="0" t="n">
        <v>1.54</v>
      </c>
      <c r="K2295" s="0" t="s">
        <v>60</v>
      </c>
      <c r="L2295" s="0" t="n">
        <f aca="false">INDEX(Summary!$F$2:$F$201,MATCH($B2295,Summary!$A$2:$A$201,0))</f>
        <v>20</v>
      </c>
      <c r="M2295" s="0" t="n">
        <f aca="false">INDEX(Summary!$I$2:$I$201,MATCH($B2295,Summary!$A$2:$A$201,0))</f>
        <v>4</v>
      </c>
      <c r="N2295" s="0" t="n">
        <f aca="false">INDEX(Summary!$J$2:$J$201,MATCH($B2295,Summary!$A$2:$A$201,0))</f>
        <v>1</v>
      </c>
      <c r="O2295" s="2" t="n">
        <f aca="false">INDEX(Summary!$K$2:$K$201,MATCH($B2295,Summary!$A$2:$A$201,0))</f>
        <v>8.71</v>
      </c>
      <c r="P2295" s="3" t="n">
        <f aca="false">INDEX(Summary!$L$2:$L$201,MATCH($B2295,Summary!$A$2:$A$201,0))</f>
        <v>4</v>
      </c>
      <c r="Q2295" s="3" t="n">
        <f aca="false">INDEX(Summary!$M$2:$M$201,MATCH($B2295,Summary!$A$2:$A$201,0))</f>
        <v>2</v>
      </c>
      <c r="R2295" s="2" t="n">
        <f aca="false">INDEX(Summary!$N$2:$N$201,MATCH($B2295,Summary!$A$2:$A$201,0))</f>
        <v>10.32</v>
      </c>
      <c r="S2295" s="3" t="n">
        <f aca="false">INDEX(Summary!$O$2:$O$201,MATCH($B2295,Summary!$A$2:$A$201,0))</f>
        <v>8</v>
      </c>
      <c r="T2295" s="3" t="n">
        <f aca="false">INDEX(Summary!$P$2:$P$201,MATCH($B2295,Summary!$A$2:$A$201,0))</f>
        <v>1</v>
      </c>
      <c r="U2295" s="2" t="n">
        <f aca="false">INDEX(Summary!$Q$2:$Q$201,MATCH($B2295,Summary!$A$2:$A$201,0))</f>
        <v>14.78</v>
      </c>
      <c r="V2295" s="2" t="n">
        <f aca="false">INDEX(Summary!$R$2:$R$201,MATCH($B2295,Summary!$A$2:$A$201,0))</f>
        <v>31.31</v>
      </c>
      <c r="W2295" s="0" t="str">
        <f aca="false">INDEX(Summary!$S$2:$S$201,MATCH($B2295,Summary!$A$2:$A$201,0))</f>
        <v>Gold</v>
      </c>
      <c r="X2295" s="2" t="n">
        <f aca="false">INDEX(Summary!$T$2:$T$201,MATCH($B2295,Summary!$A$2:$A$201,0))</f>
        <v>76.37</v>
      </c>
      <c r="Y2295" s="0" t="str">
        <f aca="false">INDEX('Reward Model'!$E$18:$E$37,MATCH($E2295,'Reward Model'!$A$18:$A$37,0))</f>
        <v>Medium</v>
      </c>
      <c r="Z2295" s="4" t="n">
        <f aca="false">ROUND(MIN(1,MAX('Reward Model'!$B$2,INDEX('Reward Model'!$C$12:$C$14,MATCH($K2295,'Reward Model'!$A$12:$A$14,0))/$J2295)),3)</f>
        <v>1</v>
      </c>
      <c r="AA2295" s="2" t="n">
        <f aca="false">IF($I2295="Correct",ROUND(INDEX('Reward Model'!$B$12:$B$14,MATCH($K2295,'Reward Model'!$A$12:$A$14,0))*Z2295,2),0)</f>
        <v>0</v>
      </c>
      <c r="AB2295" s="2" t="n">
        <f aca="false">IF($I2295="Correct",ROUND(INDEX('Reward Model'!$B$12:$B$14,MATCH($Y2295,'Reward Model'!$A$12:$A$14,0))*Z2295,2),0)</f>
        <v>0</v>
      </c>
    </row>
    <row r="2296" customFormat="false" ht="15" hidden="false" customHeight="false" outlineLevel="0" collapsed="false">
      <c r="A2296" s="0" t="s">
        <v>360</v>
      </c>
      <c r="B2296" s="0" t="s">
        <v>361</v>
      </c>
      <c r="C2296" s="0" t="s">
        <v>322</v>
      </c>
      <c r="D2296" s="0" t="s">
        <v>31</v>
      </c>
      <c r="E2296" s="0" t="n">
        <v>15</v>
      </c>
      <c r="F2296" s="0" t="s">
        <v>69</v>
      </c>
      <c r="G2296" s="0" t="s">
        <v>70</v>
      </c>
      <c r="H2296" s="0" t="s">
        <v>70</v>
      </c>
      <c r="I2296" s="0" t="s">
        <v>34</v>
      </c>
      <c r="J2296" s="0" t="n">
        <v>1.87</v>
      </c>
      <c r="K2296" s="0" t="s">
        <v>60</v>
      </c>
      <c r="L2296" s="0" t="n">
        <f aca="false">INDEX(Summary!$F$2:$F$201,MATCH($B2296,Summary!$A$2:$A$201,0))</f>
        <v>20</v>
      </c>
      <c r="M2296" s="0" t="n">
        <f aca="false">INDEX(Summary!$I$2:$I$201,MATCH($B2296,Summary!$A$2:$A$201,0))</f>
        <v>4</v>
      </c>
      <c r="N2296" s="0" t="n">
        <f aca="false">INDEX(Summary!$J$2:$J$201,MATCH($B2296,Summary!$A$2:$A$201,0))</f>
        <v>1</v>
      </c>
      <c r="O2296" s="2" t="n">
        <f aca="false">INDEX(Summary!$K$2:$K$201,MATCH($B2296,Summary!$A$2:$A$201,0))</f>
        <v>8.71</v>
      </c>
      <c r="P2296" s="3" t="n">
        <f aca="false">INDEX(Summary!$L$2:$L$201,MATCH($B2296,Summary!$A$2:$A$201,0))</f>
        <v>4</v>
      </c>
      <c r="Q2296" s="3" t="n">
        <f aca="false">INDEX(Summary!$M$2:$M$201,MATCH($B2296,Summary!$A$2:$A$201,0))</f>
        <v>2</v>
      </c>
      <c r="R2296" s="2" t="n">
        <f aca="false">INDEX(Summary!$N$2:$N$201,MATCH($B2296,Summary!$A$2:$A$201,0))</f>
        <v>10.32</v>
      </c>
      <c r="S2296" s="3" t="n">
        <f aca="false">INDEX(Summary!$O$2:$O$201,MATCH($B2296,Summary!$A$2:$A$201,0))</f>
        <v>8</v>
      </c>
      <c r="T2296" s="3" t="n">
        <f aca="false">INDEX(Summary!$P$2:$P$201,MATCH($B2296,Summary!$A$2:$A$201,0))</f>
        <v>1</v>
      </c>
      <c r="U2296" s="2" t="n">
        <f aca="false">INDEX(Summary!$Q$2:$Q$201,MATCH($B2296,Summary!$A$2:$A$201,0))</f>
        <v>14.78</v>
      </c>
      <c r="V2296" s="2" t="n">
        <f aca="false">INDEX(Summary!$R$2:$R$201,MATCH($B2296,Summary!$A$2:$A$201,0))</f>
        <v>31.31</v>
      </c>
      <c r="W2296" s="0" t="str">
        <f aca="false">INDEX(Summary!$S$2:$S$201,MATCH($B2296,Summary!$A$2:$A$201,0))</f>
        <v>Gold</v>
      </c>
      <c r="X2296" s="2" t="n">
        <f aca="false">INDEX(Summary!$T$2:$T$201,MATCH($B2296,Summary!$A$2:$A$201,0))</f>
        <v>76.37</v>
      </c>
      <c r="Y2296" s="0" t="str">
        <f aca="false">INDEX('Reward Model'!$E$18:$E$37,MATCH($E2296,'Reward Model'!$A$18:$A$37,0))</f>
        <v>Medium</v>
      </c>
      <c r="Z2296" s="4" t="n">
        <f aca="false">ROUND(MIN(1,MAX('Reward Model'!$B$2,INDEX('Reward Model'!$C$12:$C$14,MATCH($K2296,'Reward Model'!$A$12:$A$14,0))/$J2296)),3)</f>
        <v>0.963</v>
      </c>
      <c r="AA2296" s="2" t="n">
        <f aca="false">IF($I2296="Correct",ROUND(INDEX('Reward Model'!$B$12:$B$14,MATCH($K2296,'Reward Model'!$A$12:$A$14,0))*Z2296,2),0)</f>
        <v>1.93</v>
      </c>
      <c r="AB2296" s="2" t="n">
        <f aca="false">IF($I2296="Correct",ROUND(INDEX('Reward Model'!$B$12:$B$14,MATCH($Y2296,'Reward Model'!$A$12:$A$14,0))*Z2296,2),0)</f>
        <v>1.93</v>
      </c>
    </row>
    <row r="2297" customFormat="false" ht="15" hidden="false" customHeight="false" outlineLevel="0" collapsed="false">
      <c r="A2297" s="0" t="s">
        <v>360</v>
      </c>
      <c r="B2297" s="0" t="s">
        <v>361</v>
      </c>
      <c r="C2297" s="0" t="s">
        <v>322</v>
      </c>
      <c r="D2297" s="0" t="s">
        <v>31</v>
      </c>
      <c r="E2297" s="0" t="n">
        <v>16</v>
      </c>
      <c r="F2297" s="0" t="s">
        <v>71</v>
      </c>
      <c r="G2297" s="0" t="s">
        <v>101</v>
      </c>
      <c r="H2297" s="0" t="s">
        <v>72</v>
      </c>
      <c r="I2297" s="0" t="s">
        <v>39</v>
      </c>
      <c r="J2297" s="0" t="n">
        <v>2.37</v>
      </c>
      <c r="K2297" s="0" t="s">
        <v>73</v>
      </c>
      <c r="L2297" s="0" t="n">
        <f aca="false">INDEX(Summary!$F$2:$F$201,MATCH($B2297,Summary!$A$2:$A$201,0))</f>
        <v>20</v>
      </c>
      <c r="M2297" s="0" t="n">
        <f aca="false">INDEX(Summary!$I$2:$I$201,MATCH($B2297,Summary!$A$2:$A$201,0))</f>
        <v>4</v>
      </c>
      <c r="N2297" s="0" t="n">
        <f aca="false">INDEX(Summary!$J$2:$J$201,MATCH($B2297,Summary!$A$2:$A$201,0))</f>
        <v>1</v>
      </c>
      <c r="O2297" s="2" t="n">
        <f aca="false">INDEX(Summary!$K$2:$K$201,MATCH($B2297,Summary!$A$2:$A$201,0))</f>
        <v>8.71</v>
      </c>
      <c r="P2297" s="3" t="n">
        <f aca="false">INDEX(Summary!$L$2:$L$201,MATCH($B2297,Summary!$A$2:$A$201,0))</f>
        <v>4</v>
      </c>
      <c r="Q2297" s="3" t="n">
        <f aca="false">INDEX(Summary!$M$2:$M$201,MATCH($B2297,Summary!$A$2:$A$201,0))</f>
        <v>2</v>
      </c>
      <c r="R2297" s="2" t="n">
        <f aca="false">INDEX(Summary!$N$2:$N$201,MATCH($B2297,Summary!$A$2:$A$201,0))</f>
        <v>10.32</v>
      </c>
      <c r="S2297" s="3" t="n">
        <f aca="false">INDEX(Summary!$O$2:$O$201,MATCH($B2297,Summary!$A$2:$A$201,0))</f>
        <v>8</v>
      </c>
      <c r="T2297" s="3" t="n">
        <f aca="false">INDEX(Summary!$P$2:$P$201,MATCH($B2297,Summary!$A$2:$A$201,0))</f>
        <v>1</v>
      </c>
      <c r="U2297" s="2" t="n">
        <f aca="false">INDEX(Summary!$Q$2:$Q$201,MATCH($B2297,Summary!$A$2:$A$201,0))</f>
        <v>14.78</v>
      </c>
      <c r="V2297" s="2" t="n">
        <f aca="false">INDEX(Summary!$R$2:$R$201,MATCH($B2297,Summary!$A$2:$A$201,0))</f>
        <v>31.31</v>
      </c>
      <c r="W2297" s="0" t="str">
        <f aca="false">INDEX(Summary!$S$2:$S$201,MATCH($B2297,Summary!$A$2:$A$201,0))</f>
        <v>Gold</v>
      </c>
      <c r="X2297" s="2" t="n">
        <f aca="false">INDEX(Summary!$T$2:$T$201,MATCH($B2297,Summary!$A$2:$A$201,0))</f>
        <v>76.37</v>
      </c>
      <c r="Y2297" s="0" t="str">
        <f aca="false">INDEX('Reward Model'!$E$18:$E$37,MATCH($E2297,'Reward Model'!$A$18:$A$37,0))</f>
        <v>High</v>
      </c>
      <c r="Z2297" s="4" t="n">
        <f aca="false">ROUND(MIN(1,MAX('Reward Model'!$B$2,INDEX('Reward Model'!$C$12:$C$14,MATCH($K2297,'Reward Model'!$A$12:$A$14,0))/$J2297)),3)</f>
        <v>0.844</v>
      </c>
      <c r="AA2297" s="2" t="n">
        <f aca="false">IF($I2297="Correct",ROUND(INDEX('Reward Model'!$B$12:$B$14,MATCH($K2297,'Reward Model'!$A$12:$A$14,0))*Z2297,2),0)</f>
        <v>0</v>
      </c>
      <c r="AB2297" s="2" t="n">
        <f aca="false">IF($I2297="Correct",ROUND(INDEX('Reward Model'!$B$12:$B$14,MATCH($Y2297,'Reward Model'!$A$12:$A$14,0))*Z2297,2),0)</f>
        <v>0</v>
      </c>
    </row>
    <row r="2298" customFormat="false" ht="15" hidden="false" customHeight="false" outlineLevel="0" collapsed="false">
      <c r="A2298" s="0" t="s">
        <v>360</v>
      </c>
      <c r="B2298" s="0" t="s">
        <v>361</v>
      </c>
      <c r="C2298" s="0" t="s">
        <v>322</v>
      </c>
      <c r="D2298" s="0" t="s">
        <v>31</v>
      </c>
      <c r="E2298" s="0" t="n">
        <v>17</v>
      </c>
      <c r="F2298" s="0" t="s">
        <v>74</v>
      </c>
      <c r="G2298" s="0" t="s">
        <v>75</v>
      </c>
      <c r="H2298" s="0" t="s">
        <v>75</v>
      </c>
      <c r="I2298" s="0" t="s">
        <v>34</v>
      </c>
      <c r="J2298" s="0" t="n">
        <v>1.34</v>
      </c>
      <c r="K2298" s="0" t="s">
        <v>73</v>
      </c>
      <c r="L2298" s="0" t="n">
        <f aca="false">INDEX(Summary!$F$2:$F$201,MATCH($B2298,Summary!$A$2:$A$201,0))</f>
        <v>20</v>
      </c>
      <c r="M2298" s="0" t="n">
        <f aca="false">INDEX(Summary!$I$2:$I$201,MATCH($B2298,Summary!$A$2:$A$201,0))</f>
        <v>4</v>
      </c>
      <c r="N2298" s="0" t="n">
        <f aca="false">INDEX(Summary!$J$2:$J$201,MATCH($B2298,Summary!$A$2:$A$201,0))</f>
        <v>1</v>
      </c>
      <c r="O2298" s="2" t="n">
        <f aca="false">INDEX(Summary!$K$2:$K$201,MATCH($B2298,Summary!$A$2:$A$201,0))</f>
        <v>8.71</v>
      </c>
      <c r="P2298" s="3" t="n">
        <f aca="false">INDEX(Summary!$L$2:$L$201,MATCH($B2298,Summary!$A$2:$A$201,0))</f>
        <v>4</v>
      </c>
      <c r="Q2298" s="3" t="n">
        <f aca="false">INDEX(Summary!$M$2:$M$201,MATCH($B2298,Summary!$A$2:$A$201,0))</f>
        <v>2</v>
      </c>
      <c r="R2298" s="2" t="n">
        <f aca="false">INDEX(Summary!$N$2:$N$201,MATCH($B2298,Summary!$A$2:$A$201,0))</f>
        <v>10.32</v>
      </c>
      <c r="S2298" s="3" t="n">
        <f aca="false">INDEX(Summary!$O$2:$O$201,MATCH($B2298,Summary!$A$2:$A$201,0))</f>
        <v>8</v>
      </c>
      <c r="T2298" s="3" t="n">
        <f aca="false">INDEX(Summary!$P$2:$P$201,MATCH($B2298,Summary!$A$2:$A$201,0))</f>
        <v>1</v>
      </c>
      <c r="U2298" s="2" t="n">
        <f aca="false">INDEX(Summary!$Q$2:$Q$201,MATCH($B2298,Summary!$A$2:$A$201,0))</f>
        <v>14.78</v>
      </c>
      <c r="V2298" s="2" t="n">
        <f aca="false">INDEX(Summary!$R$2:$R$201,MATCH($B2298,Summary!$A$2:$A$201,0))</f>
        <v>31.31</v>
      </c>
      <c r="W2298" s="0" t="str">
        <f aca="false">INDEX(Summary!$S$2:$S$201,MATCH($B2298,Summary!$A$2:$A$201,0))</f>
        <v>Gold</v>
      </c>
      <c r="X2298" s="2" t="n">
        <f aca="false">INDEX(Summary!$T$2:$T$201,MATCH($B2298,Summary!$A$2:$A$201,0))</f>
        <v>76.37</v>
      </c>
      <c r="Y2298" s="0" t="str">
        <f aca="false">INDEX('Reward Model'!$E$18:$E$37,MATCH($E2298,'Reward Model'!$A$18:$A$37,0))</f>
        <v>High</v>
      </c>
      <c r="Z2298" s="4" t="n">
        <f aca="false">ROUND(MIN(1,MAX('Reward Model'!$B$2,INDEX('Reward Model'!$C$12:$C$14,MATCH($K2298,'Reward Model'!$A$12:$A$14,0))/$J2298)),3)</f>
        <v>1</v>
      </c>
      <c r="AA2298" s="2" t="n">
        <f aca="false">IF($I2298="Correct",ROUND(INDEX('Reward Model'!$B$12:$B$14,MATCH($K2298,'Reward Model'!$A$12:$A$14,0))*Z2298,2),0)</f>
        <v>3</v>
      </c>
      <c r="AB2298" s="2" t="n">
        <f aca="false">IF($I2298="Correct",ROUND(INDEX('Reward Model'!$B$12:$B$14,MATCH($Y2298,'Reward Model'!$A$12:$A$14,0))*Z2298,2),0)</f>
        <v>3</v>
      </c>
    </row>
    <row r="2299" customFormat="false" ht="15" hidden="false" customHeight="false" outlineLevel="0" collapsed="false">
      <c r="A2299" s="0" t="s">
        <v>360</v>
      </c>
      <c r="B2299" s="0" t="s">
        <v>361</v>
      </c>
      <c r="C2299" s="0" t="s">
        <v>322</v>
      </c>
      <c r="D2299" s="0" t="s">
        <v>31</v>
      </c>
      <c r="E2299" s="0" t="n">
        <v>18</v>
      </c>
      <c r="F2299" s="0" t="s">
        <v>76</v>
      </c>
      <c r="G2299" s="0" t="s">
        <v>77</v>
      </c>
      <c r="H2299" s="0" t="s">
        <v>77</v>
      </c>
      <c r="I2299" s="0" t="s">
        <v>34</v>
      </c>
      <c r="J2299" s="0" t="n">
        <v>1.28</v>
      </c>
      <c r="K2299" s="0" t="s">
        <v>73</v>
      </c>
      <c r="L2299" s="0" t="n">
        <f aca="false">INDEX(Summary!$F$2:$F$201,MATCH($B2299,Summary!$A$2:$A$201,0))</f>
        <v>20</v>
      </c>
      <c r="M2299" s="0" t="n">
        <f aca="false">INDEX(Summary!$I$2:$I$201,MATCH($B2299,Summary!$A$2:$A$201,0))</f>
        <v>4</v>
      </c>
      <c r="N2299" s="0" t="n">
        <f aca="false">INDEX(Summary!$J$2:$J$201,MATCH($B2299,Summary!$A$2:$A$201,0))</f>
        <v>1</v>
      </c>
      <c r="O2299" s="2" t="n">
        <f aca="false">INDEX(Summary!$K$2:$K$201,MATCH($B2299,Summary!$A$2:$A$201,0))</f>
        <v>8.71</v>
      </c>
      <c r="P2299" s="3" t="n">
        <f aca="false">INDEX(Summary!$L$2:$L$201,MATCH($B2299,Summary!$A$2:$A$201,0))</f>
        <v>4</v>
      </c>
      <c r="Q2299" s="3" t="n">
        <f aca="false">INDEX(Summary!$M$2:$M$201,MATCH($B2299,Summary!$A$2:$A$201,0))</f>
        <v>2</v>
      </c>
      <c r="R2299" s="2" t="n">
        <f aca="false">INDEX(Summary!$N$2:$N$201,MATCH($B2299,Summary!$A$2:$A$201,0))</f>
        <v>10.32</v>
      </c>
      <c r="S2299" s="3" t="n">
        <f aca="false">INDEX(Summary!$O$2:$O$201,MATCH($B2299,Summary!$A$2:$A$201,0))</f>
        <v>8</v>
      </c>
      <c r="T2299" s="3" t="n">
        <f aca="false">INDEX(Summary!$P$2:$P$201,MATCH($B2299,Summary!$A$2:$A$201,0))</f>
        <v>1</v>
      </c>
      <c r="U2299" s="2" t="n">
        <f aca="false">INDEX(Summary!$Q$2:$Q$201,MATCH($B2299,Summary!$A$2:$A$201,0))</f>
        <v>14.78</v>
      </c>
      <c r="V2299" s="2" t="n">
        <f aca="false">INDEX(Summary!$R$2:$R$201,MATCH($B2299,Summary!$A$2:$A$201,0))</f>
        <v>31.31</v>
      </c>
      <c r="W2299" s="0" t="str">
        <f aca="false">INDEX(Summary!$S$2:$S$201,MATCH($B2299,Summary!$A$2:$A$201,0))</f>
        <v>Gold</v>
      </c>
      <c r="X2299" s="2" t="n">
        <f aca="false">INDEX(Summary!$T$2:$T$201,MATCH($B2299,Summary!$A$2:$A$201,0))</f>
        <v>76.37</v>
      </c>
      <c r="Y2299" s="0" t="str">
        <f aca="false">INDEX('Reward Model'!$E$18:$E$37,MATCH($E2299,'Reward Model'!$A$18:$A$37,0))</f>
        <v>High</v>
      </c>
      <c r="Z2299" s="4" t="n">
        <f aca="false">ROUND(MIN(1,MAX('Reward Model'!$B$2,INDEX('Reward Model'!$C$12:$C$14,MATCH($K2299,'Reward Model'!$A$12:$A$14,0))/$J2299)),3)</f>
        <v>1</v>
      </c>
      <c r="AA2299" s="2" t="n">
        <f aca="false">IF($I2299="Correct",ROUND(INDEX('Reward Model'!$B$12:$B$14,MATCH($K2299,'Reward Model'!$A$12:$A$14,0))*Z2299,2),0)</f>
        <v>3</v>
      </c>
      <c r="AB2299" s="2" t="n">
        <f aca="false">IF($I2299="Correct",ROUND(INDEX('Reward Model'!$B$12:$B$14,MATCH($Y2299,'Reward Model'!$A$12:$A$14,0))*Z2299,2),0)</f>
        <v>3</v>
      </c>
    </row>
    <row r="2300" customFormat="false" ht="15" hidden="false" customHeight="false" outlineLevel="0" collapsed="false">
      <c r="A2300" s="0" t="s">
        <v>360</v>
      </c>
      <c r="B2300" s="0" t="s">
        <v>361</v>
      </c>
      <c r="C2300" s="0" t="s">
        <v>322</v>
      </c>
      <c r="D2300" s="0" t="s">
        <v>31</v>
      </c>
      <c r="E2300" s="0" t="n">
        <v>19</v>
      </c>
      <c r="F2300" s="0" t="s">
        <v>78</v>
      </c>
      <c r="G2300" s="0" t="s">
        <v>80</v>
      </c>
      <c r="H2300" s="0" t="s">
        <v>80</v>
      </c>
      <c r="I2300" s="0" t="s">
        <v>34</v>
      </c>
      <c r="J2300" s="0" t="n">
        <v>1.96</v>
      </c>
      <c r="K2300" s="0" t="s">
        <v>73</v>
      </c>
      <c r="L2300" s="0" t="n">
        <f aca="false">INDEX(Summary!$F$2:$F$201,MATCH($B2300,Summary!$A$2:$A$201,0))</f>
        <v>20</v>
      </c>
      <c r="M2300" s="0" t="n">
        <f aca="false">INDEX(Summary!$I$2:$I$201,MATCH($B2300,Summary!$A$2:$A$201,0))</f>
        <v>4</v>
      </c>
      <c r="N2300" s="0" t="n">
        <f aca="false">INDEX(Summary!$J$2:$J$201,MATCH($B2300,Summary!$A$2:$A$201,0))</f>
        <v>1</v>
      </c>
      <c r="O2300" s="2" t="n">
        <f aca="false">INDEX(Summary!$K$2:$K$201,MATCH($B2300,Summary!$A$2:$A$201,0))</f>
        <v>8.71</v>
      </c>
      <c r="P2300" s="3" t="n">
        <f aca="false">INDEX(Summary!$L$2:$L$201,MATCH($B2300,Summary!$A$2:$A$201,0))</f>
        <v>4</v>
      </c>
      <c r="Q2300" s="3" t="n">
        <f aca="false">INDEX(Summary!$M$2:$M$201,MATCH($B2300,Summary!$A$2:$A$201,0))</f>
        <v>2</v>
      </c>
      <c r="R2300" s="2" t="n">
        <f aca="false">INDEX(Summary!$N$2:$N$201,MATCH($B2300,Summary!$A$2:$A$201,0))</f>
        <v>10.32</v>
      </c>
      <c r="S2300" s="3" t="n">
        <f aca="false">INDEX(Summary!$O$2:$O$201,MATCH($B2300,Summary!$A$2:$A$201,0))</f>
        <v>8</v>
      </c>
      <c r="T2300" s="3" t="n">
        <f aca="false">INDEX(Summary!$P$2:$P$201,MATCH($B2300,Summary!$A$2:$A$201,0))</f>
        <v>1</v>
      </c>
      <c r="U2300" s="2" t="n">
        <f aca="false">INDEX(Summary!$Q$2:$Q$201,MATCH($B2300,Summary!$A$2:$A$201,0))</f>
        <v>14.78</v>
      </c>
      <c r="V2300" s="2" t="n">
        <f aca="false">INDEX(Summary!$R$2:$R$201,MATCH($B2300,Summary!$A$2:$A$201,0))</f>
        <v>31.31</v>
      </c>
      <c r="W2300" s="0" t="str">
        <f aca="false">INDEX(Summary!$S$2:$S$201,MATCH($B2300,Summary!$A$2:$A$201,0))</f>
        <v>Gold</v>
      </c>
      <c r="X2300" s="2" t="n">
        <f aca="false">INDEX(Summary!$T$2:$T$201,MATCH($B2300,Summary!$A$2:$A$201,0))</f>
        <v>76.37</v>
      </c>
      <c r="Y2300" s="0" t="str">
        <f aca="false">INDEX('Reward Model'!$E$18:$E$37,MATCH($E2300,'Reward Model'!$A$18:$A$37,0))</f>
        <v>High</v>
      </c>
      <c r="Z2300" s="4" t="n">
        <f aca="false">ROUND(MIN(1,MAX('Reward Model'!$B$2,INDEX('Reward Model'!$C$12:$C$14,MATCH($K2300,'Reward Model'!$A$12:$A$14,0))/$J2300)),3)</f>
        <v>1</v>
      </c>
      <c r="AA2300" s="2" t="n">
        <f aca="false">IF($I2300="Correct",ROUND(INDEX('Reward Model'!$B$12:$B$14,MATCH($K2300,'Reward Model'!$A$12:$A$14,0))*Z2300,2),0)</f>
        <v>3</v>
      </c>
      <c r="AB2300" s="2" t="n">
        <f aca="false">IF($I2300="Correct",ROUND(INDEX('Reward Model'!$B$12:$B$14,MATCH($Y2300,'Reward Model'!$A$12:$A$14,0))*Z2300,2),0)</f>
        <v>3</v>
      </c>
    </row>
    <row r="2301" customFormat="false" ht="15" hidden="false" customHeight="false" outlineLevel="0" collapsed="false">
      <c r="A2301" s="0" t="s">
        <v>360</v>
      </c>
      <c r="B2301" s="0" t="s">
        <v>361</v>
      </c>
      <c r="C2301" s="0" t="s">
        <v>322</v>
      </c>
      <c r="D2301" s="0" t="s">
        <v>31</v>
      </c>
      <c r="E2301" s="0" t="n">
        <v>20</v>
      </c>
      <c r="F2301" s="0" t="s">
        <v>81</v>
      </c>
      <c r="G2301" s="0" t="s">
        <v>83</v>
      </c>
      <c r="H2301" s="0" t="s">
        <v>83</v>
      </c>
      <c r="I2301" s="0" t="s">
        <v>34</v>
      </c>
      <c r="J2301" s="0" t="n">
        <v>1.76</v>
      </c>
      <c r="K2301" s="0" t="s">
        <v>73</v>
      </c>
      <c r="L2301" s="0" t="n">
        <f aca="false">INDEX(Summary!$F$2:$F$201,MATCH($B2301,Summary!$A$2:$A$201,0))</f>
        <v>20</v>
      </c>
      <c r="M2301" s="0" t="n">
        <f aca="false">INDEX(Summary!$I$2:$I$201,MATCH($B2301,Summary!$A$2:$A$201,0))</f>
        <v>4</v>
      </c>
      <c r="N2301" s="0" t="n">
        <f aca="false">INDEX(Summary!$J$2:$J$201,MATCH($B2301,Summary!$A$2:$A$201,0))</f>
        <v>1</v>
      </c>
      <c r="O2301" s="2" t="n">
        <f aca="false">INDEX(Summary!$K$2:$K$201,MATCH($B2301,Summary!$A$2:$A$201,0))</f>
        <v>8.71</v>
      </c>
      <c r="P2301" s="3" t="n">
        <f aca="false">INDEX(Summary!$L$2:$L$201,MATCH($B2301,Summary!$A$2:$A$201,0))</f>
        <v>4</v>
      </c>
      <c r="Q2301" s="3" t="n">
        <f aca="false">INDEX(Summary!$M$2:$M$201,MATCH($B2301,Summary!$A$2:$A$201,0))</f>
        <v>2</v>
      </c>
      <c r="R2301" s="2" t="n">
        <f aca="false">INDEX(Summary!$N$2:$N$201,MATCH($B2301,Summary!$A$2:$A$201,0))</f>
        <v>10.32</v>
      </c>
      <c r="S2301" s="3" t="n">
        <f aca="false">INDEX(Summary!$O$2:$O$201,MATCH($B2301,Summary!$A$2:$A$201,0))</f>
        <v>8</v>
      </c>
      <c r="T2301" s="3" t="n">
        <f aca="false">INDEX(Summary!$P$2:$P$201,MATCH($B2301,Summary!$A$2:$A$201,0))</f>
        <v>1</v>
      </c>
      <c r="U2301" s="2" t="n">
        <f aca="false">INDEX(Summary!$Q$2:$Q$201,MATCH($B2301,Summary!$A$2:$A$201,0))</f>
        <v>14.78</v>
      </c>
      <c r="V2301" s="2" t="n">
        <f aca="false">INDEX(Summary!$R$2:$R$201,MATCH($B2301,Summary!$A$2:$A$201,0))</f>
        <v>31.31</v>
      </c>
      <c r="W2301" s="0" t="str">
        <f aca="false">INDEX(Summary!$S$2:$S$201,MATCH($B2301,Summary!$A$2:$A$201,0))</f>
        <v>Gold</v>
      </c>
      <c r="X2301" s="2" t="n">
        <f aca="false">INDEX(Summary!$T$2:$T$201,MATCH($B2301,Summary!$A$2:$A$201,0))</f>
        <v>76.37</v>
      </c>
      <c r="Y2301" s="0" t="str">
        <f aca="false">INDEX('Reward Model'!$E$18:$E$37,MATCH($E2301,'Reward Model'!$A$18:$A$37,0))</f>
        <v>High</v>
      </c>
      <c r="Z2301" s="4" t="n">
        <f aca="false">ROUND(MIN(1,MAX('Reward Model'!$B$2,INDEX('Reward Model'!$C$12:$C$14,MATCH($K2301,'Reward Model'!$A$12:$A$14,0))/$J2301)),3)</f>
        <v>1</v>
      </c>
      <c r="AA2301" s="2" t="n">
        <f aca="false">IF($I2301="Correct",ROUND(INDEX('Reward Model'!$B$12:$B$14,MATCH($K2301,'Reward Model'!$A$12:$A$14,0))*Z2301,2),0)</f>
        <v>3</v>
      </c>
      <c r="AB2301" s="2" t="n">
        <f aca="false">IF($I2301="Correct",ROUND(INDEX('Reward Model'!$B$12:$B$14,MATCH($Y2301,'Reward Model'!$A$12:$A$14,0))*Z2301,2),0)</f>
        <v>3</v>
      </c>
    </row>
    <row r="2302" customFormat="false" ht="15" hidden="false" customHeight="false" outlineLevel="0" collapsed="false">
      <c r="A2302" s="0" t="s">
        <v>362</v>
      </c>
      <c r="B2302" s="0" t="s">
        <v>363</v>
      </c>
      <c r="C2302" s="0" t="s">
        <v>322</v>
      </c>
      <c r="D2302" s="0" t="s">
        <v>31</v>
      </c>
      <c r="E2302" s="0" t="n">
        <v>1</v>
      </c>
      <c r="F2302" s="0" t="s">
        <v>32</v>
      </c>
      <c r="G2302" s="0" t="s">
        <v>33</v>
      </c>
      <c r="H2302" s="0" t="s">
        <v>33</v>
      </c>
      <c r="I2302" s="0" t="s">
        <v>34</v>
      </c>
      <c r="J2302" s="0" t="n">
        <v>1.24</v>
      </c>
      <c r="K2302" s="0" t="s">
        <v>35</v>
      </c>
      <c r="L2302" s="0" t="n">
        <f aca="false">INDEX(Summary!$F$2:$F$201,MATCH($B2302,Summary!$A$2:$A$201,0))</f>
        <v>20</v>
      </c>
      <c r="M2302" s="0" t="n">
        <f aca="false">INDEX(Summary!$I$2:$I$201,MATCH($B2302,Summary!$A$2:$A$201,0))</f>
        <v>2</v>
      </c>
      <c r="N2302" s="0" t="n">
        <f aca="false">INDEX(Summary!$J$2:$J$201,MATCH($B2302,Summary!$A$2:$A$201,0))</f>
        <v>3</v>
      </c>
      <c r="O2302" s="2" t="n">
        <f aca="false">INDEX(Summary!$K$2:$K$201,MATCH($B2302,Summary!$A$2:$A$201,0))</f>
        <v>9.48</v>
      </c>
      <c r="P2302" s="3" t="n">
        <f aca="false">INDEX(Summary!$L$2:$L$201,MATCH($B2302,Summary!$A$2:$A$201,0))</f>
        <v>2</v>
      </c>
      <c r="Q2302" s="3" t="n">
        <f aca="false">INDEX(Summary!$M$2:$M$201,MATCH($B2302,Summary!$A$2:$A$201,0))</f>
        <v>4</v>
      </c>
      <c r="R2302" s="2" t="n">
        <f aca="false">INDEX(Summary!$N$2:$N$201,MATCH($B2302,Summary!$A$2:$A$201,0))</f>
        <v>10.01</v>
      </c>
      <c r="S2302" s="3" t="n">
        <f aca="false">INDEX(Summary!$O$2:$O$201,MATCH($B2302,Summary!$A$2:$A$201,0))</f>
        <v>7</v>
      </c>
      <c r="T2302" s="3" t="n">
        <f aca="false">INDEX(Summary!$P$2:$P$201,MATCH($B2302,Summary!$A$2:$A$201,0))</f>
        <v>2</v>
      </c>
      <c r="U2302" s="2" t="n">
        <f aca="false">INDEX(Summary!$Q$2:$Q$201,MATCH($B2302,Summary!$A$2:$A$201,0))</f>
        <v>12.94</v>
      </c>
      <c r="V2302" s="2" t="n">
        <f aca="false">INDEX(Summary!$R$2:$R$201,MATCH($B2302,Summary!$A$2:$A$201,0))</f>
        <v>19.73</v>
      </c>
      <c r="W2302" s="0" t="str">
        <f aca="false">INDEX(Summary!$S$2:$S$201,MATCH($B2302,Summary!$A$2:$A$201,0))</f>
        <v>Bronze</v>
      </c>
      <c r="X2302" s="2" t="n">
        <f aca="false">INDEX(Summary!$T$2:$T$201,MATCH($B2302,Summary!$A$2:$A$201,0))</f>
        <v>48.12</v>
      </c>
      <c r="Y2302" s="0" t="str">
        <f aca="false">INDEX('Reward Model'!$E$18:$E$37,MATCH($E2302,'Reward Model'!$A$18:$A$37,0))</f>
        <v>Medium</v>
      </c>
      <c r="Z2302" s="4" t="n">
        <f aca="false">ROUND(MIN(1,MAX('Reward Model'!$B$2,INDEX('Reward Model'!$C$12:$C$14,MATCH($K2302,'Reward Model'!$A$12:$A$14,0))/$J2302)),3)</f>
        <v>1</v>
      </c>
      <c r="AA2302" s="2" t="n">
        <f aca="false">IF($I2302="Correct",ROUND(INDEX('Reward Model'!$B$12:$B$14,MATCH($K2302,'Reward Model'!$A$12:$A$14,0))*Z2302,2),0)</f>
        <v>1</v>
      </c>
      <c r="AB2302" s="2" t="n">
        <f aca="false">IF($I2302="Correct",ROUND(INDEX('Reward Model'!$B$12:$B$14,MATCH($Y2302,'Reward Model'!$A$12:$A$14,0))*Z2302,2),0)</f>
        <v>2</v>
      </c>
    </row>
    <row r="2303" customFormat="false" ht="15" hidden="false" customHeight="false" outlineLevel="0" collapsed="false">
      <c r="A2303" s="0" t="s">
        <v>362</v>
      </c>
      <c r="B2303" s="0" t="s">
        <v>363</v>
      </c>
      <c r="C2303" s="0" t="s">
        <v>322</v>
      </c>
      <c r="D2303" s="0" t="s">
        <v>31</v>
      </c>
      <c r="E2303" s="0" t="n">
        <v>2</v>
      </c>
      <c r="F2303" s="0" t="s">
        <v>36</v>
      </c>
      <c r="G2303" s="0" t="s">
        <v>38</v>
      </c>
      <c r="H2303" s="0" t="s">
        <v>38</v>
      </c>
      <c r="I2303" s="0" t="s">
        <v>34</v>
      </c>
      <c r="J2303" s="0" t="n">
        <v>1.43</v>
      </c>
      <c r="K2303" s="0" t="s">
        <v>35</v>
      </c>
      <c r="L2303" s="0" t="n">
        <f aca="false">INDEX(Summary!$F$2:$F$201,MATCH($B2303,Summary!$A$2:$A$201,0))</f>
        <v>20</v>
      </c>
      <c r="M2303" s="0" t="n">
        <f aca="false">INDEX(Summary!$I$2:$I$201,MATCH($B2303,Summary!$A$2:$A$201,0))</f>
        <v>2</v>
      </c>
      <c r="N2303" s="0" t="n">
        <f aca="false">INDEX(Summary!$J$2:$J$201,MATCH($B2303,Summary!$A$2:$A$201,0))</f>
        <v>3</v>
      </c>
      <c r="O2303" s="2" t="n">
        <f aca="false">INDEX(Summary!$K$2:$K$201,MATCH($B2303,Summary!$A$2:$A$201,0))</f>
        <v>9.48</v>
      </c>
      <c r="P2303" s="3" t="n">
        <f aca="false">INDEX(Summary!$L$2:$L$201,MATCH($B2303,Summary!$A$2:$A$201,0))</f>
        <v>2</v>
      </c>
      <c r="Q2303" s="3" t="n">
        <f aca="false">INDEX(Summary!$M$2:$M$201,MATCH($B2303,Summary!$A$2:$A$201,0))</f>
        <v>4</v>
      </c>
      <c r="R2303" s="2" t="n">
        <f aca="false">INDEX(Summary!$N$2:$N$201,MATCH($B2303,Summary!$A$2:$A$201,0))</f>
        <v>10.01</v>
      </c>
      <c r="S2303" s="3" t="n">
        <f aca="false">INDEX(Summary!$O$2:$O$201,MATCH($B2303,Summary!$A$2:$A$201,0))</f>
        <v>7</v>
      </c>
      <c r="T2303" s="3" t="n">
        <f aca="false">INDEX(Summary!$P$2:$P$201,MATCH($B2303,Summary!$A$2:$A$201,0))</f>
        <v>2</v>
      </c>
      <c r="U2303" s="2" t="n">
        <f aca="false">INDEX(Summary!$Q$2:$Q$201,MATCH($B2303,Summary!$A$2:$A$201,0))</f>
        <v>12.94</v>
      </c>
      <c r="V2303" s="2" t="n">
        <f aca="false">INDEX(Summary!$R$2:$R$201,MATCH($B2303,Summary!$A$2:$A$201,0))</f>
        <v>19.73</v>
      </c>
      <c r="W2303" s="0" t="str">
        <f aca="false">INDEX(Summary!$S$2:$S$201,MATCH($B2303,Summary!$A$2:$A$201,0))</f>
        <v>Bronze</v>
      </c>
      <c r="X2303" s="2" t="n">
        <f aca="false">INDEX(Summary!$T$2:$T$201,MATCH($B2303,Summary!$A$2:$A$201,0))</f>
        <v>48.12</v>
      </c>
      <c r="Y2303" s="0" t="str">
        <f aca="false">INDEX('Reward Model'!$E$18:$E$37,MATCH($E2303,'Reward Model'!$A$18:$A$37,0))</f>
        <v>Low</v>
      </c>
      <c r="Z2303" s="4" t="n">
        <f aca="false">ROUND(MIN(1,MAX('Reward Model'!$B$2,INDEX('Reward Model'!$C$12:$C$14,MATCH($K2303,'Reward Model'!$A$12:$A$14,0))/$J2303)),3)</f>
        <v>1</v>
      </c>
      <c r="AA2303" s="2" t="n">
        <f aca="false">IF($I2303="Correct",ROUND(INDEX('Reward Model'!$B$12:$B$14,MATCH($K2303,'Reward Model'!$A$12:$A$14,0))*Z2303,2),0)</f>
        <v>1</v>
      </c>
      <c r="AB2303" s="2" t="n">
        <f aca="false">IF($I2303="Correct",ROUND(INDEX('Reward Model'!$B$12:$B$14,MATCH($Y2303,'Reward Model'!$A$12:$A$14,0))*Z2303,2),0)</f>
        <v>1</v>
      </c>
    </row>
    <row r="2304" customFormat="false" ht="15" hidden="false" customHeight="false" outlineLevel="0" collapsed="false">
      <c r="A2304" s="0" t="s">
        <v>362</v>
      </c>
      <c r="B2304" s="0" t="s">
        <v>363</v>
      </c>
      <c r="C2304" s="0" t="s">
        <v>322</v>
      </c>
      <c r="D2304" s="0" t="s">
        <v>31</v>
      </c>
      <c r="E2304" s="0" t="n">
        <v>3</v>
      </c>
      <c r="F2304" s="0" t="s">
        <v>40</v>
      </c>
      <c r="G2304" s="0" t="s">
        <v>42</v>
      </c>
      <c r="H2304" s="0" t="s">
        <v>42</v>
      </c>
      <c r="I2304" s="0" t="s">
        <v>34</v>
      </c>
      <c r="J2304" s="0" t="n">
        <v>1.58</v>
      </c>
      <c r="K2304" s="0" t="s">
        <v>35</v>
      </c>
      <c r="L2304" s="0" t="n">
        <f aca="false">INDEX(Summary!$F$2:$F$201,MATCH($B2304,Summary!$A$2:$A$201,0))</f>
        <v>20</v>
      </c>
      <c r="M2304" s="0" t="n">
        <f aca="false">INDEX(Summary!$I$2:$I$201,MATCH($B2304,Summary!$A$2:$A$201,0))</f>
        <v>2</v>
      </c>
      <c r="N2304" s="0" t="n">
        <f aca="false">INDEX(Summary!$J$2:$J$201,MATCH($B2304,Summary!$A$2:$A$201,0))</f>
        <v>3</v>
      </c>
      <c r="O2304" s="2" t="n">
        <f aca="false">INDEX(Summary!$K$2:$K$201,MATCH($B2304,Summary!$A$2:$A$201,0))</f>
        <v>9.48</v>
      </c>
      <c r="P2304" s="3" t="n">
        <f aca="false">INDEX(Summary!$L$2:$L$201,MATCH($B2304,Summary!$A$2:$A$201,0))</f>
        <v>2</v>
      </c>
      <c r="Q2304" s="3" t="n">
        <f aca="false">INDEX(Summary!$M$2:$M$201,MATCH($B2304,Summary!$A$2:$A$201,0))</f>
        <v>4</v>
      </c>
      <c r="R2304" s="2" t="n">
        <f aca="false">INDEX(Summary!$N$2:$N$201,MATCH($B2304,Summary!$A$2:$A$201,0))</f>
        <v>10.01</v>
      </c>
      <c r="S2304" s="3" t="n">
        <f aca="false">INDEX(Summary!$O$2:$O$201,MATCH($B2304,Summary!$A$2:$A$201,0))</f>
        <v>7</v>
      </c>
      <c r="T2304" s="3" t="n">
        <f aca="false">INDEX(Summary!$P$2:$P$201,MATCH($B2304,Summary!$A$2:$A$201,0))</f>
        <v>2</v>
      </c>
      <c r="U2304" s="2" t="n">
        <f aca="false">INDEX(Summary!$Q$2:$Q$201,MATCH($B2304,Summary!$A$2:$A$201,0))</f>
        <v>12.94</v>
      </c>
      <c r="V2304" s="2" t="n">
        <f aca="false">INDEX(Summary!$R$2:$R$201,MATCH($B2304,Summary!$A$2:$A$201,0))</f>
        <v>19.73</v>
      </c>
      <c r="W2304" s="0" t="str">
        <f aca="false">INDEX(Summary!$S$2:$S$201,MATCH($B2304,Summary!$A$2:$A$201,0))</f>
        <v>Bronze</v>
      </c>
      <c r="X2304" s="2" t="n">
        <f aca="false">INDEX(Summary!$T$2:$T$201,MATCH($B2304,Summary!$A$2:$A$201,0))</f>
        <v>48.12</v>
      </c>
      <c r="Y2304" s="0" t="str">
        <f aca="false">INDEX('Reward Model'!$E$18:$E$37,MATCH($E2304,'Reward Model'!$A$18:$A$37,0))</f>
        <v>Medium</v>
      </c>
      <c r="Z2304" s="4" t="n">
        <f aca="false">ROUND(MIN(1,MAX('Reward Model'!$B$2,INDEX('Reward Model'!$C$12:$C$14,MATCH($K2304,'Reward Model'!$A$12:$A$14,0))/$J2304)),3)</f>
        <v>0.949</v>
      </c>
      <c r="AA2304" s="2" t="n">
        <f aca="false">IF($I2304="Correct",ROUND(INDEX('Reward Model'!$B$12:$B$14,MATCH($K2304,'Reward Model'!$A$12:$A$14,0))*Z2304,2),0)</f>
        <v>0.95</v>
      </c>
      <c r="AB2304" s="2" t="n">
        <f aca="false">IF($I2304="Correct",ROUND(INDEX('Reward Model'!$B$12:$B$14,MATCH($Y2304,'Reward Model'!$A$12:$A$14,0))*Z2304,2),0)</f>
        <v>1.9</v>
      </c>
    </row>
    <row r="2305" customFormat="false" ht="15" hidden="false" customHeight="false" outlineLevel="0" collapsed="false">
      <c r="A2305" s="0" t="s">
        <v>362</v>
      </c>
      <c r="B2305" s="0" t="s">
        <v>363</v>
      </c>
      <c r="C2305" s="0" t="s">
        <v>322</v>
      </c>
      <c r="D2305" s="0" t="s">
        <v>31</v>
      </c>
      <c r="E2305" s="0" t="n">
        <v>4</v>
      </c>
      <c r="F2305" s="0" t="s">
        <v>43</v>
      </c>
      <c r="G2305" s="0" t="s">
        <v>45</v>
      </c>
      <c r="H2305" s="0" t="s">
        <v>45</v>
      </c>
      <c r="I2305" s="0" t="s">
        <v>34</v>
      </c>
      <c r="J2305" s="0" t="n">
        <v>1.92</v>
      </c>
      <c r="K2305" s="0" t="s">
        <v>35</v>
      </c>
      <c r="L2305" s="0" t="n">
        <f aca="false">INDEX(Summary!$F$2:$F$201,MATCH($B2305,Summary!$A$2:$A$201,0))</f>
        <v>20</v>
      </c>
      <c r="M2305" s="0" t="n">
        <f aca="false">INDEX(Summary!$I$2:$I$201,MATCH($B2305,Summary!$A$2:$A$201,0))</f>
        <v>2</v>
      </c>
      <c r="N2305" s="0" t="n">
        <f aca="false">INDEX(Summary!$J$2:$J$201,MATCH($B2305,Summary!$A$2:$A$201,0))</f>
        <v>3</v>
      </c>
      <c r="O2305" s="2" t="n">
        <f aca="false">INDEX(Summary!$K$2:$K$201,MATCH($B2305,Summary!$A$2:$A$201,0))</f>
        <v>9.48</v>
      </c>
      <c r="P2305" s="3" t="n">
        <f aca="false">INDEX(Summary!$L$2:$L$201,MATCH($B2305,Summary!$A$2:$A$201,0))</f>
        <v>2</v>
      </c>
      <c r="Q2305" s="3" t="n">
        <f aca="false">INDEX(Summary!$M$2:$M$201,MATCH($B2305,Summary!$A$2:$A$201,0))</f>
        <v>4</v>
      </c>
      <c r="R2305" s="2" t="n">
        <f aca="false">INDEX(Summary!$N$2:$N$201,MATCH($B2305,Summary!$A$2:$A$201,0))</f>
        <v>10.01</v>
      </c>
      <c r="S2305" s="3" t="n">
        <f aca="false">INDEX(Summary!$O$2:$O$201,MATCH($B2305,Summary!$A$2:$A$201,0))</f>
        <v>7</v>
      </c>
      <c r="T2305" s="3" t="n">
        <f aca="false">INDEX(Summary!$P$2:$P$201,MATCH($B2305,Summary!$A$2:$A$201,0))</f>
        <v>2</v>
      </c>
      <c r="U2305" s="2" t="n">
        <f aca="false">INDEX(Summary!$Q$2:$Q$201,MATCH($B2305,Summary!$A$2:$A$201,0))</f>
        <v>12.94</v>
      </c>
      <c r="V2305" s="2" t="n">
        <f aca="false">INDEX(Summary!$R$2:$R$201,MATCH($B2305,Summary!$A$2:$A$201,0))</f>
        <v>19.73</v>
      </c>
      <c r="W2305" s="0" t="str">
        <f aca="false">INDEX(Summary!$S$2:$S$201,MATCH($B2305,Summary!$A$2:$A$201,0))</f>
        <v>Bronze</v>
      </c>
      <c r="X2305" s="2" t="n">
        <f aca="false">INDEX(Summary!$T$2:$T$201,MATCH($B2305,Summary!$A$2:$A$201,0))</f>
        <v>48.12</v>
      </c>
      <c r="Y2305" s="0" t="str">
        <f aca="false">INDEX('Reward Model'!$E$18:$E$37,MATCH($E2305,'Reward Model'!$A$18:$A$37,0))</f>
        <v>Low</v>
      </c>
      <c r="Z2305" s="4" t="n">
        <f aca="false">ROUND(MIN(1,MAX('Reward Model'!$B$2,INDEX('Reward Model'!$C$12:$C$14,MATCH($K2305,'Reward Model'!$A$12:$A$14,0))/$J2305)),3)</f>
        <v>0.781</v>
      </c>
      <c r="AA2305" s="2" t="n">
        <f aca="false">IF($I2305="Correct",ROUND(INDEX('Reward Model'!$B$12:$B$14,MATCH($K2305,'Reward Model'!$A$12:$A$14,0))*Z2305,2),0)</f>
        <v>0.78</v>
      </c>
      <c r="AB2305" s="2" t="n">
        <f aca="false">IF($I2305="Correct",ROUND(INDEX('Reward Model'!$B$12:$B$14,MATCH($Y2305,'Reward Model'!$A$12:$A$14,0))*Z2305,2),0)</f>
        <v>0.78</v>
      </c>
    </row>
    <row r="2306" customFormat="false" ht="15" hidden="false" customHeight="false" outlineLevel="0" collapsed="false">
      <c r="A2306" s="0" t="s">
        <v>362</v>
      </c>
      <c r="B2306" s="0" t="s">
        <v>363</v>
      </c>
      <c r="C2306" s="0" t="s">
        <v>322</v>
      </c>
      <c r="D2306" s="0" t="s">
        <v>31</v>
      </c>
      <c r="E2306" s="0" t="n">
        <v>5</v>
      </c>
      <c r="F2306" s="0" t="s">
        <v>46</v>
      </c>
      <c r="G2306" s="0" t="s">
        <v>149</v>
      </c>
      <c r="H2306" s="0" t="s">
        <v>47</v>
      </c>
      <c r="I2306" s="0" t="s">
        <v>39</v>
      </c>
      <c r="J2306" s="0" t="n">
        <v>1.39</v>
      </c>
      <c r="K2306" s="0" t="s">
        <v>35</v>
      </c>
      <c r="L2306" s="0" t="n">
        <f aca="false">INDEX(Summary!$F$2:$F$201,MATCH($B2306,Summary!$A$2:$A$201,0))</f>
        <v>20</v>
      </c>
      <c r="M2306" s="0" t="n">
        <f aca="false">INDEX(Summary!$I$2:$I$201,MATCH($B2306,Summary!$A$2:$A$201,0))</f>
        <v>2</v>
      </c>
      <c r="N2306" s="0" t="n">
        <f aca="false">INDEX(Summary!$J$2:$J$201,MATCH($B2306,Summary!$A$2:$A$201,0))</f>
        <v>3</v>
      </c>
      <c r="O2306" s="2" t="n">
        <f aca="false">INDEX(Summary!$K$2:$K$201,MATCH($B2306,Summary!$A$2:$A$201,0))</f>
        <v>9.48</v>
      </c>
      <c r="P2306" s="3" t="n">
        <f aca="false">INDEX(Summary!$L$2:$L$201,MATCH($B2306,Summary!$A$2:$A$201,0))</f>
        <v>2</v>
      </c>
      <c r="Q2306" s="3" t="n">
        <f aca="false">INDEX(Summary!$M$2:$M$201,MATCH($B2306,Summary!$A$2:$A$201,0))</f>
        <v>4</v>
      </c>
      <c r="R2306" s="2" t="n">
        <f aca="false">INDEX(Summary!$N$2:$N$201,MATCH($B2306,Summary!$A$2:$A$201,0))</f>
        <v>10.01</v>
      </c>
      <c r="S2306" s="3" t="n">
        <f aca="false">INDEX(Summary!$O$2:$O$201,MATCH($B2306,Summary!$A$2:$A$201,0))</f>
        <v>7</v>
      </c>
      <c r="T2306" s="3" t="n">
        <f aca="false">INDEX(Summary!$P$2:$P$201,MATCH($B2306,Summary!$A$2:$A$201,0))</f>
        <v>2</v>
      </c>
      <c r="U2306" s="2" t="n">
        <f aca="false">INDEX(Summary!$Q$2:$Q$201,MATCH($B2306,Summary!$A$2:$A$201,0))</f>
        <v>12.94</v>
      </c>
      <c r="V2306" s="2" t="n">
        <f aca="false">INDEX(Summary!$R$2:$R$201,MATCH($B2306,Summary!$A$2:$A$201,0))</f>
        <v>19.73</v>
      </c>
      <c r="W2306" s="0" t="str">
        <f aca="false">INDEX(Summary!$S$2:$S$201,MATCH($B2306,Summary!$A$2:$A$201,0))</f>
        <v>Bronze</v>
      </c>
      <c r="X2306" s="2" t="n">
        <f aca="false">INDEX(Summary!$T$2:$T$201,MATCH($B2306,Summary!$A$2:$A$201,0))</f>
        <v>48.12</v>
      </c>
      <c r="Y2306" s="0" t="str">
        <f aca="false">INDEX('Reward Model'!$E$18:$E$37,MATCH($E2306,'Reward Model'!$A$18:$A$37,0))</f>
        <v>Low</v>
      </c>
      <c r="Z2306" s="4" t="n">
        <f aca="false">ROUND(MIN(1,MAX('Reward Model'!$B$2,INDEX('Reward Model'!$C$12:$C$14,MATCH($K2306,'Reward Model'!$A$12:$A$14,0))/$J2306)),3)</f>
        <v>1</v>
      </c>
      <c r="AA2306" s="2" t="n">
        <f aca="false">IF($I2306="Correct",ROUND(INDEX('Reward Model'!$B$12:$B$14,MATCH($K2306,'Reward Model'!$A$12:$A$14,0))*Z2306,2),0)</f>
        <v>0</v>
      </c>
      <c r="AB2306" s="2" t="n">
        <f aca="false">IF($I2306="Correct",ROUND(INDEX('Reward Model'!$B$12:$B$14,MATCH($Y2306,'Reward Model'!$A$12:$A$14,0))*Z2306,2),0)</f>
        <v>0</v>
      </c>
    </row>
    <row r="2307" customFormat="false" ht="15" hidden="false" customHeight="false" outlineLevel="0" collapsed="false">
      <c r="A2307" s="0" t="s">
        <v>362</v>
      </c>
      <c r="B2307" s="0" t="s">
        <v>363</v>
      </c>
      <c r="C2307" s="0" t="s">
        <v>322</v>
      </c>
      <c r="D2307" s="0" t="s">
        <v>31</v>
      </c>
      <c r="E2307" s="0" t="n">
        <v>6</v>
      </c>
      <c r="F2307" s="0" t="s">
        <v>48</v>
      </c>
      <c r="G2307" s="0" t="s">
        <v>49</v>
      </c>
      <c r="H2307" s="0" t="s">
        <v>49</v>
      </c>
      <c r="I2307" s="0" t="s">
        <v>34</v>
      </c>
      <c r="J2307" s="0" t="n">
        <v>0.9</v>
      </c>
      <c r="K2307" s="0" t="s">
        <v>35</v>
      </c>
      <c r="L2307" s="0" t="n">
        <f aca="false">INDEX(Summary!$F$2:$F$201,MATCH($B2307,Summary!$A$2:$A$201,0))</f>
        <v>20</v>
      </c>
      <c r="M2307" s="0" t="n">
        <f aca="false">INDEX(Summary!$I$2:$I$201,MATCH($B2307,Summary!$A$2:$A$201,0))</f>
        <v>2</v>
      </c>
      <c r="N2307" s="0" t="n">
        <f aca="false">INDEX(Summary!$J$2:$J$201,MATCH($B2307,Summary!$A$2:$A$201,0))</f>
        <v>3</v>
      </c>
      <c r="O2307" s="2" t="n">
        <f aca="false">INDEX(Summary!$K$2:$K$201,MATCH($B2307,Summary!$A$2:$A$201,0))</f>
        <v>9.48</v>
      </c>
      <c r="P2307" s="3" t="n">
        <f aca="false">INDEX(Summary!$L$2:$L$201,MATCH($B2307,Summary!$A$2:$A$201,0))</f>
        <v>2</v>
      </c>
      <c r="Q2307" s="3" t="n">
        <f aca="false">INDEX(Summary!$M$2:$M$201,MATCH($B2307,Summary!$A$2:$A$201,0))</f>
        <v>4</v>
      </c>
      <c r="R2307" s="2" t="n">
        <f aca="false">INDEX(Summary!$N$2:$N$201,MATCH($B2307,Summary!$A$2:$A$201,0))</f>
        <v>10.01</v>
      </c>
      <c r="S2307" s="3" t="n">
        <f aca="false">INDEX(Summary!$O$2:$O$201,MATCH($B2307,Summary!$A$2:$A$201,0))</f>
        <v>7</v>
      </c>
      <c r="T2307" s="3" t="n">
        <f aca="false">INDEX(Summary!$P$2:$P$201,MATCH($B2307,Summary!$A$2:$A$201,0))</f>
        <v>2</v>
      </c>
      <c r="U2307" s="2" t="n">
        <f aca="false">INDEX(Summary!$Q$2:$Q$201,MATCH($B2307,Summary!$A$2:$A$201,0))</f>
        <v>12.94</v>
      </c>
      <c r="V2307" s="2" t="n">
        <f aca="false">INDEX(Summary!$R$2:$R$201,MATCH($B2307,Summary!$A$2:$A$201,0))</f>
        <v>19.73</v>
      </c>
      <c r="W2307" s="0" t="str">
        <f aca="false">INDEX(Summary!$S$2:$S$201,MATCH($B2307,Summary!$A$2:$A$201,0))</f>
        <v>Bronze</v>
      </c>
      <c r="X2307" s="2" t="n">
        <f aca="false">INDEX(Summary!$T$2:$T$201,MATCH($B2307,Summary!$A$2:$A$201,0))</f>
        <v>48.12</v>
      </c>
      <c r="Y2307" s="0" t="str">
        <f aca="false">INDEX('Reward Model'!$E$18:$E$37,MATCH($E2307,'Reward Model'!$A$18:$A$37,0))</f>
        <v>Medium</v>
      </c>
      <c r="Z2307" s="4" t="n">
        <f aca="false">ROUND(MIN(1,MAX('Reward Model'!$B$2,INDEX('Reward Model'!$C$12:$C$14,MATCH($K2307,'Reward Model'!$A$12:$A$14,0))/$J2307)),3)</f>
        <v>1</v>
      </c>
      <c r="AA2307" s="2" t="n">
        <f aca="false">IF($I2307="Correct",ROUND(INDEX('Reward Model'!$B$12:$B$14,MATCH($K2307,'Reward Model'!$A$12:$A$14,0))*Z2307,2),0)</f>
        <v>1</v>
      </c>
      <c r="AB2307" s="2" t="n">
        <f aca="false">IF($I2307="Correct",ROUND(INDEX('Reward Model'!$B$12:$B$14,MATCH($Y2307,'Reward Model'!$A$12:$A$14,0))*Z2307,2),0)</f>
        <v>2</v>
      </c>
    </row>
    <row r="2308" customFormat="false" ht="15" hidden="false" customHeight="false" outlineLevel="0" collapsed="false">
      <c r="A2308" s="0" t="s">
        <v>362</v>
      </c>
      <c r="B2308" s="0" t="s">
        <v>363</v>
      </c>
      <c r="C2308" s="0" t="s">
        <v>322</v>
      </c>
      <c r="D2308" s="0" t="s">
        <v>31</v>
      </c>
      <c r="E2308" s="0" t="n">
        <v>7</v>
      </c>
      <c r="F2308" s="0" t="s">
        <v>50</v>
      </c>
      <c r="G2308" s="0" t="s">
        <v>51</v>
      </c>
      <c r="H2308" s="0" t="s">
        <v>51</v>
      </c>
      <c r="I2308" s="0" t="s">
        <v>34</v>
      </c>
      <c r="J2308" s="0" t="n">
        <v>1.27</v>
      </c>
      <c r="K2308" s="0" t="s">
        <v>35</v>
      </c>
      <c r="L2308" s="0" t="n">
        <f aca="false">INDEX(Summary!$F$2:$F$201,MATCH($B2308,Summary!$A$2:$A$201,0))</f>
        <v>20</v>
      </c>
      <c r="M2308" s="0" t="n">
        <f aca="false">INDEX(Summary!$I$2:$I$201,MATCH($B2308,Summary!$A$2:$A$201,0))</f>
        <v>2</v>
      </c>
      <c r="N2308" s="0" t="n">
        <f aca="false">INDEX(Summary!$J$2:$J$201,MATCH($B2308,Summary!$A$2:$A$201,0))</f>
        <v>3</v>
      </c>
      <c r="O2308" s="2" t="n">
        <f aca="false">INDEX(Summary!$K$2:$K$201,MATCH($B2308,Summary!$A$2:$A$201,0))</f>
        <v>9.48</v>
      </c>
      <c r="P2308" s="3" t="n">
        <f aca="false">INDEX(Summary!$L$2:$L$201,MATCH($B2308,Summary!$A$2:$A$201,0))</f>
        <v>2</v>
      </c>
      <c r="Q2308" s="3" t="n">
        <f aca="false">INDEX(Summary!$M$2:$M$201,MATCH($B2308,Summary!$A$2:$A$201,0))</f>
        <v>4</v>
      </c>
      <c r="R2308" s="2" t="n">
        <f aca="false">INDEX(Summary!$N$2:$N$201,MATCH($B2308,Summary!$A$2:$A$201,0))</f>
        <v>10.01</v>
      </c>
      <c r="S2308" s="3" t="n">
        <f aca="false">INDEX(Summary!$O$2:$O$201,MATCH($B2308,Summary!$A$2:$A$201,0))</f>
        <v>7</v>
      </c>
      <c r="T2308" s="3" t="n">
        <f aca="false">INDEX(Summary!$P$2:$P$201,MATCH($B2308,Summary!$A$2:$A$201,0))</f>
        <v>2</v>
      </c>
      <c r="U2308" s="2" t="n">
        <f aca="false">INDEX(Summary!$Q$2:$Q$201,MATCH($B2308,Summary!$A$2:$A$201,0))</f>
        <v>12.94</v>
      </c>
      <c r="V2308" s="2" t="n">
        <f aca="false">INDEX(Summary!$R$2:$R$201,MATCH($B2308,Summary!$A$2:$A$201,0))</f>
        <v>19.73</v>
      </c>
      <c r="W2308" s="0" t="str">
        <f aca="false">INDEX(Summary!$S$2:$S$201,MATCH($B2308,Summary!$A$2:$A$201,0))</f>
        <v>Bronze</v>
      </c>
      <c r="X2308" s="2" t="n">
        <f aca="false">INDEX(Summary!$T$2:$T$201,MATCH($B2308,Summary!$A$2:$A$201,0))</f>
        <v>48.12</v>
      </c>
      <c r="Y2308" s="0" t="str">
        <f aca="false">INDEX('Reward Model'!$E$18:$E$37,MATCH($E2308,'Reward Model'!$A$18:$A$37,0))</f>
        <v>Low</v>
      </c>
      <c r="Z2308" s="4" t="n">
        <f aca="false">ROUND(MIN(1,MAX('Reward Model'!$B$2,INDEX('Reward Model'!$C$12:$C$14,MATCH($K2308,'Reward Model'!$A$12:$A$14,0))/$J2308)),3)</f>
        <v>1</v>
      </c>
      <c r="AA2308" s="2" t="n">
        <f aca="false">IF($I2308="Correct",ROUND(INDEX('Reward Model'!$B$12:$B$14,MATCH($K2308,'Reward Model'!$A$12:$A$14,0))*Z2308,2),0)</f>
        <v>1</v>
      </c>
      <c r="AB2308" s="2" t="n">
        <f aca="false">IF($I2308="Correct",ROUND(INDEX('Reward Model'!$B$12:$B$14,MATCH($Y2308,'Reward Model'!$A$12:$A$14,0))*Z2308,2),0)</f>
        <v>1</v>
      </c>
    </row>
    <row r="2309" customFormat="false" ht="15" hidden="false" customHeight="false" outlineLevel="0" collapsed="false">
      <c r="A2309" s="0" t="s">
        <v>362</v>
      </c>
      <c r="B2309" s="0" t="s">
        <v>363</v>
      </c>
      <c r="C2309" s="0" t="s">
        <v>322</v>
      </c>
      <c r="D2309" s="0" t="s">
        <v>31</v>
      </c>
      <c r="E2309" s="0" t="n">
        <v>8</v>
      </c>
      <c r="F2309" s="0" t="s">
        <v>52</v>
      </c>
      <c r="G2309" s="0" t="s">
        <v>137</v>
      </c>
      <c r="H2309" s="0" t="s">
        <v>54</v>
      </c>
      <c r="I2309" s="0" t="s">
        <v>39</v>
      </c>
      <c r="J2309" s="0" t="n">
        <v>1.28</v>
      </c>
      <c r="K2309" s="0" t="s">
        <v>35</v>
      </c>
      <c r="L2309" s="0" t="n">
        <f aca="false">INDEX(Summary!$F$2:$F$201,MATCH($B2309,Summary!$A$2:$A$201,0))</f>
        <v>20</v>
      </c>
      <c r="M2309" s="0" t="n">
        <f aca="false">INDEX(Summary!$I$2:$I$201,MATCH($B2309,Summary!$A$2:$A$201,0))</f>
        <v>2</v>
      </c>
      <c r="N2309" s="0" t="n">
        <f aca="false">INDEX(Summary!$J$2:$J$201,MATCH($B2309,Summary!$A$2:$A$201,0))</f>
        <v>3</v>
      </c>
      <c r="O2309" s="2" t="n">
        <f aca="false">INDEX(Summary!$K$2:$K$201,MATCH($B2309,Summary!$A$2:$A$201,0))</f>
        <v>9.48</v>
      </c>
      <c r="P2309" s="3" t="n">
        <f aca="false">INDEX(Summary!$L$2:$L$201,MATCH($B2309,Summary!$A$2:$A$201,0))</f>
        <v>2</v>
      </c>
      <c r="Q2309" s="3" t="n">
        <f aca="false">INDEX(Summary!$M$2:$M$201,MATCH($B2309,Summary!$A$2:$A$201,0))</f>
        <v>4</v>
      </c>
      <c r="R2309" s="2" t="n">
        <f aca="false">INDEX(Summary!$N$2:$N$201,MATCH($B2309,Summary!$A$2:$A$201,0))</f>
        <v>10.01</v>
      </c>
      <c r="S2309" s="3" t="n">
        <f aca="false">INDEX(Summary!$O$2:$O$201,MATCH($B2309,Summary!$A$2:$A$201,0))</f>
        <v>7</v>
      </c>
      <c r="T2309" s="3" t="n">
        <f aca="false">INDEX(Summary!$P$2:$P$201,MATCH($B2309,Summary!$A$2:$A$201,0))</f>
        <v>2</v>
      </c>
      <c r="U2309" s="2" t="n">
        <f aca="false">INDEX(Summary!$Q$2:$Q$201,MATCH($B2309,Summary!$A$2:$A$201,0))</f>
        <v>12.94</v>
      </c>
      <c r="V2309" s="2" t="n">
        <f aca="false">INDEX(Summary!$R$2:$R$201,MATCH($B2309,Summary!$A$2:$A$201,0))</f>
        <v>19.73</v>
      </c>
      <c r="W2309" s="0" t="str">
        <f aca="false">INDEX(Summary!$S$2:$S$201,MATCH($B2309,Summary!$A$2:$A$201,0))</f>
        <v>Bronze</v>
      </c>
      <c r="X2309" s="2" t="n">
        <f aca="false">INDEX(Summary!$T$2:$T$201,MATCH($B2309,Summary!$A$2:$A$201,0))</f>
        <v>48.12</v>
      </c>
      <c r="Y2309" s="0" t="str">
        <f aca="false">INDEX('Reward Model'!$E$18:$E$37,MATCH($E2309,'Reward Model'!$A$18:$A$37,0))</f>
        <v>Medium</v>
      </c>
      <c r="Z2309" s="4" t="n">
        <f aca="false">ROUND(MIN(1,MAX('Reward Model'!$B$2,INDEX('Reward Model'!$C$12:$C$14,MATCH($K2309,'Reward Model'!$A$12:$A$14,0))/$J2309)),3)</f>
        <v>1</v>
      </c>
      <c r="AA2309" s="2" t="n">
        <f aca="false">IF($I2309="Correct",ROUND(INDEX('Reward Model'!$B$12:$B$14,MATCH($K2309,'Reward Model'!$A$12:$A$14,0))*Z2309,2),0)</f>
        <v>0</v>
      </c>
      <c r="AB2309" s="2" t="n">
        <f aca="false">IF($I2309="Correct",ROUND(INDEX('Reward Model'!$B$12:$B$14,MATCH($Y2309,'Reward Model'!$A$12:$A$14,0))*Z2309,2),0)</f>
        <v>0</v>
      </c>
    </row>
    <row r="2310" customFormat="false" ht="15" hidden="false" customHeight="false" outlineLevel="0" collapsed="false">
      <c r="A2310" s="0" t="s">
        <v>362</v>
      </c>
      <c r="B2310" s="0" t="s">
        <v>363</v>
      </c>
      <c r="C2310" s="0" t="s">
        <v>322</v>
      </c>
      <c r="D2310" s="0" t="s">
        <v>31</v>
      </c>
      <c r="E2310" s="0" t="n">
        <v>9</v>
      </c>
      <c r="F2310" s="0" t="s">
        <v>55</v>
      </c>
      <c r="G2310" s="0" t="s">
        <v>57</v>
      </c>
      <c r="H2310" s="0" t="s">
        <v>57</v>
      </c>
      <c r="I2310" s="0" t="s">
        <v>34</v>
      </c>
      <c r="J2310" s="0" t="n">
        <v>1.93</v>
      </c>
      <c r="K2310" s="0" t="s">
        <v>35</v>
      </c>
      <c r="L2310" s="0" t="n">
        <f aca="false">INDEX(Summary!$F$2:$F$201,MATCH($B2310,Summary!$A$2:$A$201,0))</f>
        <v>20</v>
      </c>
      <c r="M2310" s="0" t="n">
        <f aca="false">INDEX(Summary!$I$2:$I$201,MATCH($B2310,Summary!$A$2:$A$201,0))</f>
        <v>2</v>
      </c>
      <c r="N2310" s="0" t="n">
        <f aca="false">INDEX(Summary!$J$2:$J$201,MATCH($B2310,Summary!$A$2:$A$201,0))</f>
        <v>3</v>
      </c>
      <c r="O2310" s="2" t="n">
        <f aca="false">INDEX(Summary!$K$2:$K$201,MATCH($B2310,Summary!$A$2:$A$201,0))</f>
        <v>9.48</v>
      </c>
      <c r="P2310" s="3" t="n">
        <f aca="false">INDEX(Summary!$L$2:$L$201,MATCH($B2310,Summary!$A$2:$A$201,0))</f>
        <v>2</v>
      </c>
      <c r="Q2310" s="3" t="n">
        <f aca="false">INDEX(Summary!$M$2:$M$201,MATCH($B2310,Summary!$A$2:$A$201,0))</f>
        <v>4</v>
      </c>
      <c r="R2310" s="2" t="n">
        <f aca="false">INDEX(Summary!$N$2:$N$201,MATCH($B2310,Summary!$A$2:$A$201,0))</f>
        <v>10.01</v>
      </c>
      <c r="S2310" s="3" t="n">
        <f aca="false">INDEX(Summary!$O$2:$O$201,MATCH($B2310,Summary!$A$2:$A$201,0))</f>
        <v>7</v>
      </c>
      <c r="T2310" s="3" t="n">
        <f aca="false">INDEX(Summary!$P$2:$P$201,MATCH($B2310,Summary!$A$2:$A$201,0))</f>
        <v>2</v>
      </c>
      <c r="U2310" s="2" t="n">
        <f aca="false">INDEX(Summary!$Q$2:$Q$201,MATCH($B2310,Summary!$A$2:$A$201,0))</f>
        <v>12.94</v>
      </c>
      <c r="V2310" s="2" t="n">
        <f aca="false">INDEX(Summary!$R$2:$R$201,MATCH($B2310,Summary!$A$2:$A$201,0))</f>
        <v>19.73</v>
      </c>
      <c r="W2310" s="0" t="str">
        <f aca="false">INDEX(Summary!$S$2:$S$201,MATCH($B2310,Summary!$A$2:$A$201,0))</f>
        <v>Bronze</v>
      </c>
      <c r="X2310" s="2" t="n">
        <f aca="false">INDEX(Summary!$T$2:$T$201,MATCH($B2310,Summary!$A$2:$A$201,0))</f>
        <v>48.12</v>
      </c>
      <c r="Y2310" s="0" t="str">
        <f aca="false">INDEX('Reward Model'!$E$18:$E$37,MATCH($E2310,'Reward Model'!$A$18:$A$37,0))</f>
        <v>Medium</v>
      </c>
      <c r="Z2310" s="4" t="n">
        <f aca="false">ROUND(MIN(1,MAX('Reward Model'!$B$2,INDEX('Reward Model'!$C$12:$C$14,MATCH($K2310,'Reward Model'!$A$12:$A$14,0))/$J2310)),3)</f>
        <v>0.777</v>
      </c>
      <c r="AA2310" s="2" t="n">
        <f aca="false">IF($I2310="Correct",ROUND(INDEX('Reward Model'!$B$12:$B$14,MATCH($K2310,'Reward Model'!$A$12:$A$14,0))*Z2310,2),0)</f>
        <v>0.78</v>
      </c>
      <c r="AB2310" s="2" t="n">
        <f aca="false">IF($I2310="Correct",ROUND(INDEX('Reward Model'!$B$12:$B$14,MATCH($Y2310,'Reward Model'!$A$12:$A$14,0))*Z2310,2),0)</f>
        <v>1.55</v>
      </c>
    </row>
    <row r="2311" customFormat="false" ht="15" hidden="false" customHeight="false" outlineLevel="0" collapsed="false">
      <c r="A2311" s="0" t="s">
        <v>362</v>
      </c>
      <c r="B2311" s="0" t="s">
        <v>363</v>
      </c>
      <c r="C2311" s="0" t="s">
        <v>322</v>
      </c>
      <c r="D2311" s="0" t="s">
        <v>31</v>
      </c>
      <c r="E2311" s="0" t="n">
        <v>10</v>
      </c>
      <c r="F2311" s="0" t="s">
        <v>58</v>
      </c>
      <c r="G2311" s="0" t="s">
        <v>99</v>
      </c>
      <c r="H2311" s="0" t="s">
        <v>59</v>
      </c>
      <c r="I2311" s="0" t="s">
        <v>39</v>
      </c>
      <c r="J2311" s="0" t="n">
        <v>1.53</v>
      </c>
      <c r="K2311" s="0" t="s">
        <v>60</v>
      </c>
      <c r="L2311" s="0" t="n">
        <f aca="false">INDEX(Summary!$F$2:$F$201,MATCH($B2311,Summary!$A$2:$A$201,0))</f>
        <v>20</v>
      </c>
      <c r="M2311" s="0" t="n">
        <f aca="false">INDEX(Summary!$I$2:$I$201,MATCH($B2311,Summary!$A$2:$A$201,0))</f>
        <v>2</v>
      </c>
      <c r="N2311" s="0" t="n">
        <f aca="false">INDEX(Summary!$J$2:$J$201,MATCH($B2311,Summary!$A$2:$A$201,0))</f>
        <v>3</v>
      </c>
      <c r="O2311" s="2" t="n">
        <f aca="false">INDEX(Summary!$K$2:$K$201,MATCH($B2311,Summary!$A$2:$A$201,0))</f>
        <v>9.48</v>
      </c>
      <c r="P2311" s="3" t="n">
        <f aca="false">INDEX(Summary!$L$2:$L$201,MATCH($B2311,Summary!$A$2:$A$201,0))</f>
        <v>2</v>
      </c>
      <c r="Q2311" s="3" t="n">
        <f aca="false">INDEX(Summary!$M$2:$M$201,MATCH($B2311,Summary!$A$2:$A$201,0))</f>
        <v>4</v>
      </c>
      <c r="R2311" s="2" t="n">
        <f aca="false">INDEX(Summary!$N$2:$N$201,MATCH($B2311,Summary!$A$2:$A$201,0))</f>
        <v>10.01</v>
      </c>
      <c r="S2311" s="3" t="n">
        <f aca="false">INDEX(Summary!$O$2:$O$201,MATCH($B2311,Summary!$A$2:$A$201,0))</f>
        <v>7</v>
      </c>
      <c r="T2311" s="3" t="n">
        <f aca="false">INDEX(Summary!$P$2:$P$201,MATCH($B2311,Summary!$A$2:$A$201,0))</f>
        <v>2</v>
      </c>
      <c r="U2311" s="2" t="n">
        <f aca="false">INDEX(Summary!$Q$2:$Q$201,MATCH($B2311,Summary!$A$2:$A$201,0))</f>
        <v>12.94</v>
      </c>
      <c r="V2311" s="2" t="n">
        <f aca="false">INDEX(Summary!$R$2:$R$201,MATCH($B2311,Summary!$A$2:$A$201,0))</f>
        <v>19.73</v>
      </c>
      <c r="W2311" s="0" t="str">
        <f aca="false">INDEX(Summary!$S$2:$S$201,MATCH($B2311,Summary!$A$2:$A$201,0))</f>
        <v>Bronze</v>
      </c>
      <c r="X2311" s="2" t="n">
        <f aca="false">INDEX(Summary!$T$2:$T$201,MATCH($B2311,Summary!$A$2:$A$201,0))</f>
        <v>48.12</v>
      </c>
      <c r="Y2311" s="0" t="str">
        <f aca="false">INDEX('Reward Model'!$E$18:$E$37,MATCH($E2311,'Reward Model'!$A$18:$A$37,0))</f>
        <v>Medium</v>
      </c>
      <c r="Z2311" s="4" t="n">
        <f aca="false">ROUND(MIN(1,MAX('Reward Model'!$B$2,INDEX('Reward Model'!$C$12:$C$14,MATCH($K2311,'Reward Model'!$A$12:$A$14,0))/$J2311)),3)</f>
        <v>1</v>
      </c>
      <c r="AA2311" s="2" t="n">
        <f aca="false">IF($I2311="Correct",ROUND(INDEX('Reward Model'!$B$12:$B$14,MATCH($K2311,'Reward Model'!$A$12:$A$14,0))*Z2311,2),0)</f>
        <v>0</v>
      </c>
      <c r="AB2311" s="2" t="n">
        <f aca="false">IF($I2311="Correct",ROUND(INDEX('Reward Model'!$B$12:$B$14,MATCH($Y2311,'Reward Model'!$A$12:$A$14,0))*Z2311,2),0)</f>
        <v>0</v>
      </c>
    </row>
    <row r="2312" customFormat="false" ht="15" hidden="false" customHeight="false" outlineLevel="0" collapsed="false">
      <c r="A2312" s="0" t="s">
        <v>362</v>
      </c>
      <c r="B2312" s="0" t="s">
        <v>363</v>
      </c>
      <c r="C2312" s="0" t="s">
        <v>322</v>
      </c>
      <c r="D2312" s="0" t="s">
        <v>31</v>
      </c>
      <c r="E2312" s="0" t="n">
        <v>11</v>
      </c>
      <c r="F2312" s="0" t="s">
        <v>61</v>
      </c>
      <c r="G2312" s="0" t="s">
        <v>63</v>
      </c>
      <c r="H2312" s="0" t="s">
        <v>63</v>
      </c>
      <c r="I2312" s="0" t="s">
        <v>34</v>
      </c>
      <c r="J2312" s="0" t="n">
        <v>1.99</v>
      </c>
      <c r="K2312" s="0" t="s">
        <v>60</v>
      </c>
      <c r="L2312" s="0" t="n">
        <f aca="false">INDEX(Summary!$F$2:$F$201,MATCH($B2312,Summary!$A$2:$A$201,0))</f>
        <v>20</v>
      </c>
      <c r="M2312" s="0" t="n">
        <f aca="false">INDEX(Summary!$I$2:$I$201,MATCH($B2312,Summary!$A$2:$A$201,0))</f>
        <v>2</v>
      </c>
      <c r="N2312" s="0" t="n">
        <f aca="false">INDEX(Summary!$J$2:$J$201,MATCH($B2312,Summary!$A$2:$A$201,0))</f>
        <v>3</v>
      </c>
      <c r="O2312" s="2" t="n">
        <f aca="false">INDEX(Summary!$K$2:$K$201,MATCH($B2312,Summary!$A$2:$A$201,0))</f>
        <v>9.48</v>
      </c>
      <c r="P2312" s="3" t="n">
        <f aca="false">INDEX(Summary!$L$2:$L$201,MATCH($B2312,Summary!$A$2:$A$201,0))</f>
        <v>2</v>
      </c>
      <c r="Q2312" s="3" t="n">
        <f aca="false">INDEX(Summary!$M$2:$M$201,MATCH($B2312,Summary!$A$2:$A$201,0))</f>
        <v>4</v>
      </c>
      <c r="R2312" s="2" t="n">
        <f aca="false">INDEX(Summary!$N$2:$N$201,MATCH($B2312,Summary!$A$2:$A$201,0))</f>
        <v>10.01</v>
      </c>
      <c r="S2312" s="3" t="n">
        <f aca="false">INDEX(Summary!$O$2:$O$201,MATCH($B2312,Summary!$A$2:$A$201,0))</f>
        <v>7</v>
      </c>
      <c r="T2312" s="3" t="n">
        <f aca="false">INDEX(Summary!$P$2:$P$201,MATCH($B2312,Summary!$A$2:$A$201,0))</f>
        <v>2</v>
      </c>
      <c r="U2312" s="2" t="n">
        <f aca="false">INDEX(Summary!$Q$2:$Q$201,MATCH($B2312,Summary!$A$2:$A$201,0))</f>
        <v>12.94</v>
      </c>
      <c r="V2312" s="2" t="n">
        <f aca="false">INDEX(Summary!$R$2:$R$201,MATCH($B2312,Summary!$A$2:$A$201,0))</f>
        <v>19.73</v>
      </c>
      <c r="W2312" s="0" t="str">
        <f aca="false">INDEX(Summary!$S$2:$S$201,MATCH($B2312,Summary!$A$2:$A$201,0))</f>
        <v>Bronze</v>
      </c>
      <c r="X2312" s="2" t="n">
        <f aca="false">INDEX(Summary!$T$2:$T$201,MATCH($B2312,Summary!$A$2:$A$201,0))</f>
        <v>48.12</v>
      </c>
      <c r="Y2312" s="0" t="str">
        <f aca="false">INDEX('Reward Model'!$E$18:$E$37,MATCH($E2312,'Reward Model'!$A$18:$A$37,0))</f>
        <v>Medium</v>
      </c>
      <c r="Z2312" s="4" t="n">
        <f aca="false">ROUND(MIN(1,MAX('Reward Model'!$B$2,INDEX('Reward Model'!$C$12:$C$14,MATCH($K2312,'Reward Model'!$A$12:$A$14,0))/$J2312)),3)</f>
        <v>0.905</v>
      </c>
      <c r="AA2312" s="2" t="n">
        <f aca="false">IF($I2312="Correct",ROUND(INDEX('Reward Model'!$B$12:$B$14,MATCH($K2312,'Reward Model'!$A$12:$A$14,0))*Z2312,2),0)</f>
        <v>1.81</v>
      </c>
      <c r="AB2312" s="2" t="n">
        <f aca="false">IF($I2312="Correct",ROUND(INDEX('Reward Model'!$B$12:$B$14,MATCH($Y2312,'Reward Model'!$A$12:$A$14,0))*Z2312,2),0)</f>
        <v>1.81</v>
      </c>
    </row>
    <row r="2313" customFormat="false" ht="15" hidden="false" customHeight="false" outlineLevel="0" collapsed="false">
      <c r="A2313" s="0" t="s">
        <v>362</v>
      </c>
      <c r="B2313" s="0" t="s">
        <v>363</v>
      </c>
      <c r="C2313" s="0" t="s">
        <v>322</v>
      </c>
      <c r="D2313" s="0" t="s">
        <v>31</v>
      </c>
      <c r="E2313" s="0" t="n">
        <v>12</v>
      </c>
      <c r="F2313" s="0" t="s">
        <v>64</v>
      </c>
      <c r="G2313" s="0" t="s">
        <v>127</v>
      </c>
      <c r="H2313" s="0" t="s">
        <v>65</v>
      </c>
      <c r="I2313" s="0" t="s">
        <v>39</v>
      </c>
      <c r="J2313" s="0" t="n">
        <v>1.55</v>
      </c>
      <c r="K2313" s="0" t="s">
        <v>60</v>
      </c>
      <c r="L2313" s="0" t="n">
        <f aca="false">INDEX(Summary!$F$2:$F$201,MATCH($B2313,Summary!$A$2:$A$201,0))</f>
        <v>20</v>
      </c>
      <c r="M2313" s="0" t="n">
        <f aca="false">INDEX(Summary!$I$2:$I$201,MATCH($B2313,Summary!$A$2:$A$201,0))</f>
        <v>2</v>
      </c>
      <c r="N2313" s="0" t="n">
        <f aca="false">INDEX(Summary!$J$2:$J$201,MATCH($B2313,Summary!$A$2:$A$201,0))</f>
        <v>3</v>
      </c>
      <c r="O2313" s="2" t="n">
        <f aca="false">INDEX(Summary!$K$2:$K$201,MATCH($B2313,Summary!$A$2:$A$201,0))</f>
        <v>9.48</v>
      </c>
      <c r="P2313" s="3" t="n">
        <f aca="false">INDEX(Summary!$L$2:$L$201,MATCH($B2313,Summary!$A$2:$A$201,0))</f>
        <v>2</v>
      </c>
      <c r="Q2313" s="3" t="n">
        <f aca="false">INDEX(Summary!$M$2:$M$201,MATCH($B2313,Summary!$A$2:$A$201,0))</f>
        <v>4</v>
      </c>
      <c r="R2313" s="2" t="n">
        <f aca="false">INDEX(Summary!$N$2:$N$201,MATCH($B2313,Summary!$A$2:$A$201,0))</f>
        <v>10.01</v>
      </c>
      <c r="S2313" s="3" t="n">
        <f aca="false">INDEX(Summary!$O$2:$O$201,MATCH($B2313,Summary!$A$2:$A$201,0))</f>
        <v>7</v>
      </c>
      <c r="T2313" s="3" t="n">
        <f aca="false">INDEX(Summary!$P$2:$P$201,MATCH($B2313,Summary!$A$2:$A$201,0))</f>
        <v>2</v>
      </c>
      <c r="U2313" s="2" t="n">
        <f aca="false">INDEX(Summary!$Q$2:$Q$201,MATCH($B2313,Summary!$A$2:$A$201,0))</f>
        <v>12.94</v>
      </c>
      <c r="V2313" s="2" t="n">
        <f aca="false">INDEX(Summary!$R$2:$R$201,MATCH($B2313,Summary!$A$2:$A$201,0))</f>
        <v>19.73</v>
      </c>
      <c r="W2313" s="0" t="str">
        <f aca="false">INDEX(Summary!$S$2:$S$201,MATCH($B2313,Summary!$A$2:$A$201,0))</f>
        <v>Bronze</v>
      </c>
      <c r="X2313" s="2" t="n">
        <f aca="false">INDEX(Summary!$T$2:$T$201,MATCH($B2313,Summary!$A$2:$A$201,0))</f>
        <v>48.12</v>
      </c>
      <c r="Y2313" s="0" t="str">
        <f aca="false">INDEX('Reward Model'!$E$18:$E$37,MATCH($E2313,'Reward Model'!$A$18:$A$37,0))</f>
        <v>Medium</v>
      </c>
      <c r="Z2313" s="4" t="n">
        <f aca="false">ROUND(MIN(1,MAX('Reward Model'!$B$2,INDEX('Reward Model'!$C$12:$C$14,MATCH($K2313,'Reward Model'!$A$12:$A$14,0))/$J2313)),3)</f>
        <v>1</v>
      </c>
      <c r="AA2313" s="2" t="n">
        <f aca="false">IF($I2313="Correct",ROUND(INDEX('Reward Model'!$B$12:$B$14,MATCH($K2313,'Reward Model'!$A$12:$A$14,0))*Z2313,2),0)</f>
        <v>0</v>
      </c>
      <c r="AB2313" s="2" t="n">
        <f aca="false">IF($I2313="Correct",ROUND(INDEX('Reward Model'!$B$12:$B$14,MATCH($Y2313,'Reward Model'!$A$12:$A$14,0))*Z2313,2),0)</f>
        <v>0</v>
      </c>
    </row>
    <row r="2314" customFormat="false" ht="15" hidden="false" customHeight="false" outlineLevel="0" collapsed="false">
      <c r="A2314" s="0" t="s">
        <v>362</v>
      </c>
      <c r="B2314" s="0" t="s">
        <v>363</v>
      </c>
      <c r="C2314" s="0" t="s">
        <v>322</v>
      </c>
      <c r="D2314" s="0" t="s">
        <v>31</v>
      </c>
      <c r="E2314" s="0" t="n">
        <v>13</v>
      </c>
      <c r="F2314" s="0" t="s">
        <v>66</v>
      </c>
      <c r="G2314" s="0" t="s">
        <v>117</v>
      </c>
      <c r="H2314" s="0" t="s">
        <v>67</v>
      </c>
      <c r="I2314" s="0" t="s">
        <v>39</v>
      </c>
      <c r="J2314" s="0" t="n">
        <v>1.5</v>
      </c>
      <c r="K2314" s="0" t="s">
        <v>60</v>
      </c>
      <c r="L2314" s="0" t="n">
        <f aca="false">INDEX(Summary!$F$2:$F$201,MATCH($B2314,Summary!$A$2:$A$201,0))</f>
        <v>20</v>
      </c>
      <c r="M2314" s="0" t="n">
        <f aca="false">INDEX(Summary!$I$2:$I$201,MATCH($B2314,Summary!$A$2:$A$201,0))</f>
        <v>2</v>
      </c>
      <c r="N2314" s="0" t="n">
        <f aca="false">INDEX(Summary!$J$2:$J$201,MATCH($B2314,Summary!$A$2:$A$201,0))</f>
        <v>3</v>
      </c>
      <c r="O2314" s="2" t="n">
        <f aca="false">INDEX(Summary!$K$2:$K$201,MATCH($B2314,Summary!$A$2:$A$201,0))</f>
        <v>9.48</v>
      </c>
      <c r="P2314" s="3" t="n">
        <f aca="false">INDEX(Summary!$L$2:$L$201,MATCH($B2314,Summary!$A$2:$A$201,0))</f>
        <v>2</v>
      </c>
      <c r="Q2314" s="3" t="n">
        <f aca="false">INDEX(Summary!$M$2:$M$201,MATCH($B2314,Summary!$A$2:$A$201,0))</f>
        <v>4</v>
      </c>
      <c r="R2314" s="2" t="n">
        <f aca="false">INDEX(Summary!$N$2:$N$201,MATCH($B2314,Summary!$A$2:$A$201,0))</f>
        <v>10.01</v>
      </c>
      <c r="S2314" s="3" t="n">
        <f aca="false">INDEX(Summary!$O$2:$O$201,MATCH($B2314,Summary!$A$2:$A$201,0))</f>
        <v>7</v>
      </c>
      <c r="T2314" s="3" t="n">
        <f aca="false">INDEX(Summary!$P$2:$P$201,MATCH($B2314,Summary!$A$2:$A$201,0))</f>
        <v>2</v>
      </c>
      <c r="U2314" s="2" t="n">
        <f aca="false">INDEX(Summary!$Q$2:$Q$201,MATCH($B2314,Summary!$A$2:$A$201,0))</f>
        <v>12.94</v>
      </c>
      <c r="V2314" s="2" t="n">
        <f aca="false">INDEX(Summary!$R$2:$R$201,MATCH($B2314,Summary!$A$2:$A$201,0))</f>
        <v>19.73</v>
      </c>
      <c r="W2314" s="0" t="str">
        <f aca="false">INDEX(Summary!$S$2:$S$201,MATCH($B2314,Summary!$A$2:$A$201,0))</f>
        <v>Bronze</v>
      </c>
      <c r="X2314" s="2" t="n">
        <f aca="false">INDEX(Summary!$T$2:$T$201,MATCH($B2314,Summary!$A$2:$A$201,0))</f>
        <v>48.12</v>
      </c>
      <c r="Y2314" s="0" t="str">
        <f aca="false">INDEX('Reward Model'!$E$18:$E$37,MATCH($E2314,'Reward Model'!$A$18:$A$37,0))</f>
        <v>Medium</v>
      </c>
      <c r="Z2314" s="4" t="n">
        <f aca="false">ROUND(MIN(1,MAX('Reward Model'!$B$2,INDEX('Reward Model'!$C$12:$C$14,MATCH($K2314,'Reward Model'!$A$12:$A$14,0))/$J2314)),3)</f>
        <v>1</v>
      </c>
      <c r="AA2314" s="2" t="n">
        <f aca="false">IF($I2314="Correct",ROUND(INDEX('Reward Model'!$B$12:$B$14,MATCH($K2314,'Reward Model'!$A$12:$A$14,0))*Z2314,2),0)</f>
        <v>0</v>
      </c>
      <c r="AB2314" s="2" t="n">
        <f aca="false">IF($I2314="Correct",ROUND(INDEX('Reward Model'!$B$12:$B$14,MATCH($Y2314,'Reward Model'!$A$12:$A$14,0))*Z2314,2),0)</f>
        <v>0</v>
      </c>
    </row>
    <row r="2315" customFormat="false" ht="15" hidden="false" customHeight="false" outlineLevel="0" collapsed="false">
      <c r="A2315" s="0" t="s">
        <v>362</v>
      </c>
      <c r="B2315" s="0" t="s">
        <v>363</v>
      </c>
      <c r="C2315" s="0" t="s">
        <v>322</v>
      </c>
      <c r="D2315" s="0" t="s">
        <v>31</v>
      </c>
      <c r="E2315" s="0" t="n">
        <v>14</v>
      </c>
      <c r="F2315" s="0" t="s">
        <v>68</v>
      </c>
      <c r="G2315" s="0" t="s">
        <v>118</v>
      </c>
      <c r="H2315" s="0" t="s">
        <v>51</v>
      </c>
      <c r="I2315" s="0" t="s">
        <v>39</v>
      </c>
      <c r="J2315" s="0" t="n">
        <v>2.26</v>
      </c>
      <c r="K2315" s="0" t="s">
        <v>60</v>
      </c>
      <c r="L2315" s="0" t="n">
        <f aca="false">INDEX(Summary!$F$2:$F$201,MATCH($B2315,Summary!$A$2:$A$201,0))</f>
        <v>20</v>
      </c>
      <c r="M2315" s="0" t="n">
        <f aca="false">INDEX(Summary!$I$2:$I$201,MATCH($B2315,Summary!$A$2:$A$201,0))</f>
        <v>2</v>
      </c>
      <c r="N2315" s="0" t="n">
        <f aca="false">INDEX(Summary!$J$2:$J$201,MATCH($B2315,Summary!$A$2:$A$201,0))</f>
        <v>3</v>
      </c>
      <c r="O2315" s="2" t="n">
        <f aca="false">INDEX(Summary!$K$2:$K$201,MATCH($B2315,Summary!$A$2:$A$201,0))</f>
        <v>9.48</v>
      </c>
      <c r="P2315" s="3" t="n">
        <f aca="false">INDEX(Summary!$L$2:$L$201,MATCH($B2315,Summary!$A$2:$A$201,0))</f>
        <v>2</v>
      </c>
      <c r="Q2315" s="3" t="n">
        <f aca="false">INDEX(Summary!$M$2:$M$201,MATCH($B2315,Summary!$A$2:$A$201,0))</f>
        <v>4</v>
      </c>
      <c r="R2315" s="2" t="n">
        <f aca="false">INDEX(Summary!$N$2:$N$201,MATCH($B2315,Summary!$A$2:$A$201,0))</f>
        <v>10.01</v>
      </c>
      <c r="S2315" s="3" t="n">
        <f aca="false">INDEX(Summary!$O$2:$O$201,MATCH($B2315,Summary!$A$2:$A$201,0))</f>
        <v>7</v>
      </c>
      <c r="T2315" s="3" t="n">
        <f aca="false">INDEX(Summary!$P$2:$P$201,MATCH($B2315,Summary!$A$2:$A$201,0))</f>
        <v>2</v>
      </c>
      <c r="U2315" s="2" t="n">
        <f aca="false">INDEX(Summary!$Q$2:$Q$201,MATCH($B2315,Summary!$A$2:$A$201,0))</f>
        <v>12.94</v>
      </c>
      <c r="V2315" s="2" t="n">
        <f aca="false">INDEX(Summary!$R$2:$R$201,MATCH($B2315,Summary!$A$2:$A$201,0))</f>
        <v>19.73</v>
      </c>
      <c r="W2315" s="0" t="str">
        <f aca="false">INDEX(Summary!$S$2:$S$201,MATCH($B2315,Summary!$A$2:$A$201,0))</f>
        <v>Bronze</v>
      </c>
      <c r="X2315" s="2" t="n">
        <f aca="false">INDEX(Summary!$T$2:$T$201,MATCH($B2315,Summary!$A$2:$A$201,0))</f>
        <v>48.12</v>
      </c>
      <c r="Y2315" s="0" t="str">
        <f aca="false">INDEX('Reward Model'!$E$18:$E$37,MATCH($E2315,'Reward Model'!$A$18:$A$37,0))</f>
        <v>Medium</v>
      </c>
      <c r="Z2315" s="4" t="n">
        <f aca="false">ROUND(MIN(1,MAX('Reward Model'!$B$2,INDEX('Reward Model'!$C$12:$C$14,MATCH($K2315,'Reward Model'!$A$12:$A$14,0))/$J2315)),3)</f>
        <v>0.796</v>
      </c>
      <c r="AA2315" s="2" t="n">
        <f aca="false">IF($I2315="Correct",ROUND(INDEX('Reward Model'!$B$12:$B$14,MATCH($K2315,'Reward Model'!$A$12:$A$14,0))*Z2315,2),0)</f>
        <v>0</v>
      </c>
      <c r="AB2315" s="2" t="n">
        <f aca="false">IF($I2315="Correct",ROUND(INDEX('Reward Model'!$B$12:$B$14,MATCH($Y2315,'Reward Model'!$A$12:$A$14,0))*Z2315,2),0)</f>
        <v>0</v>
      </c>
    </row>
    <row r="2316" customFormat="false" ht="15" hidden="false" customHeight="false" outlineLevel="0" collapsed="false">
      <c r="A2316" s="0" t="s">
        <v>362</v>
      </c>
      <c r="B2316" s="0" t="s">
        <v>363</v>
      </c>
      <c r="C2316" s="0" t="s">
        <v>322</v>
      </c>
      <c r="D2316" s="0" t="s">
        <v>31</v>
      </c>
      <c r="E2316" s="0" t="n">
        <v>15</v>
      </c>
      <c r="F2316" s="0" t="s">
        <v>69</v>
      </c>
      <c r="G2316" s="0" t="s">
        <v>70</v>
      </c>
      <c r="H2316" s="0" t="s">
        <v>70</v>
      </c>
      <c r="I2316" s="0" t="s">
        <v>34</v>
      </c>
      <c r="J2316" s="0" t="n">
        <v>1.18</v>
      </c>
      <c r="K2316" s="0" t="s">
        <v>60</v>
      </c>
      <c r="L2316" s="0" t="n">
        <f aca="false">INDEX(Summary!$F$2:$F$201,MATCH($B2316,Summary!$A$2:$A$201,0))</f>
        <v>20</v>
      </c>
      <c r="M2316" s="0" t="n">
        <f aca="false">INDEX(Summary!$I$2:$I$201,MATCH($B2316,Summary!$A$2:$A$201,0))</f>
        <v>2</v>
      </c>
      <c r="N2316" s="0" t="n">
        <f aca="false">INDEX(Summary!$J$2:$J$201,MATCH($B2316,Summary!$A$2:$A$201,0))</f>
        <v>3</v>
      </c>
      <c r="O2316" s="2" t="n">
        <f aca="false">INDEX(Summary!$K$2:$K$201,MATCH($B2316,Summary!$A$2:$A$201,0))</f>
        <v>9.48</v>
      </c>
      <c r="P2316" s="3" t="n">
        <f aca="false">INDEX(Summary!$L$2:$L$201,MATCH($B2316,Summary!$A$2:$A$201,0))</f>
        <v>2</v>
      </c>
      <c r="Q2316" s="3" t="n">
        <f aca="false">INDEX(Summary!$M$2:$M$201,MATCH($B2316,Summary!$A$2:$A$201,0))</f>
        <v>4</v>
      </c>
      <c r="R2316" s="2" t="n">
        <f aca="false">INDEX(Summary!$N$2:$N$201,MATCH($B2316,Summary!$A$2:$A$201,0))</f>
        <v>10.01</v>
      </c>
      <c r="S2316" s="3" t="n">
        <f aca="false">INDEX(Summary!$O$2:$O$201,MATCH($B2316,Summary!$A$2:$A$201,0))</f>
        <v>7</v>
      </c>
      <c r="T2316" s="3" t="n">
        <f aca="false">INDEX(Summary!$P$2:$P$201,MATCH($B2316,Summary!$A$2:$A$201,0))</f>
        <v>2</v>
      </c>
      <c r="U2316" s="2" t="n">
        <f aca="false">INDEX(Summary!$Q$2:$Q$201,MATCH($B2316,Summary!$A$2:$A$201,0))</f>
        <v>12.94</v>
      </c>
      <c r="V2316" s="2" t="n">
        <f aca="false">INDEX(Summary!$R$2:$R$201,MATCH($B2316,Summary!$A$2:$A$201,0))</f>
        <v>19.73</v>
      </c>
      <c r="W2316" s="0" t="str">
        <f aca="false">INDEX(Summary!$S$2:$S$201,MATCH($B2316,Summary!$A$2:$A$201,0))</f>
        <v>Bronze</v>
      </c>
      <c r="X2316" s="2" t="n">
        <f aca="false">INDEX(Summary!$T$2:$T$201,MATCH($B2316,Summary!$A$2:$A$201,0))</f>
        <v>48.12</v>
      </c>
      <c r="Y2316" s="0" t="str">
        <f aca="false">INDEX('Reward Model'!$E$18:$E$37,MATCH($E2316,'Reward Model'!$A$18:$A$37,0))</f>
        <v>Medium</v>
      </c>
      <c r="Z2316" s="4" t="n">
        <f aca="false">ROUND(MIN(1,MAX('Reward Model'!$B$2,INDEX('Reward Model'!$C$12:$C$14,MATCH($K2316,'Reward Model'!$A$12:$A$14,0))/$J2316)),3)</f>
        <v>1</v>
      </c>
      <c r="AA2316" s="2" t="n">
        <f aca="false">IF($I2316="Correct",ROUND(INDEX('Reward Model'!$B$12:$B$14,MATCH($K2316,'Reward Model'!$A$12:$A$14,0))*Z2316,2),0)</f>
        <v>2</v>
      </c>
      <c r="AB2316" s="2" t="n">
        <f aca="false">IF($I2316="Correct",ROUND(INDEX('Reward Model'!$B$12:$B$14,MATCH($Y2316,'Reward Model'!$A$12:$A$14,0))*Z2316,2),0)</f>
        <v>2</v>
      </c>
    </row>
    <row r="2317" customFormat="false" ht="15" hidden="false" customHeight="false" outlineLevel="0" collapsed="false">
      <c r="A2317" s="0" t="s">
        <v>362</v>
      </c>
      <c r="B2317" s="0" t="s">
        <v>363</v>
      </c>
      <c r="C2317" s="0" t="s">
        <v>322</v>
      </c>
      <c r="D2317" s="0" t="s">
        <v>31</v>
      </c>
      <c r="E2317" s="0" t="n">
        <v>16</v>
      </c>
      <c r="F2317" s="0" t="s">
        <v>71</v>
      </c>
      <c r="G2317" s="0" t="s">
        <v>101</v>
      </c>
      <c r="H2317" s="0" t="s">
        <v>72</v>
      </c>
      <c r="I2317" s="0" t="s">
        <v>39</v>
      </c>
      <c r="J2317" s="0" t="n">
        <v>2.43</v>
      </c>
      <c r="K2317" s="0" t="s">
        <v>73</v>
      </c>
      <c r="L2317" s="0" t="n">
        <f aca="false">INDEX(Summary!$F$2:$F$201,MATCH($B2317,Summary!$A$2:$A$201,0))</f>
        <v>20</v>
      </c>
      <c r="M2317" s="0" t="n">
        <f aca="false">INDEX(Summary!$I$2:$I$201,MATCH($B2317,Summary!$A$2:$A$201,0))</f>
        <v>2</v>
      </c>
      <c r="N2317" s="0" t="n">
        <f aca="false">INDEX(Summary!$J$2:$J$201,MATCH($B2317,Summary!$A$2:$A$201,0))</f>
        <v>3</v>
      </c>
      <c r="O2317" s="2" t="n">
        <f aca="false">INDEX(Summary!$K$2:$K$201,MATCH($B2317,Summary!$A$2:$A$201,0))</f>
        <v>9.48</v>
      </c>
      <c r="P2317" s="3" t="n">
        <f aca="false">INDEX(Summary!$L$2:$L$201,MATCH($B2317,Summary!$A$2:$A$201,0))</f>
        <v>2</v>
      </c>
      <c r="Q2317" s="3" t="n">
        <f aca="false">INDEX(Summary!$M$2:$M$201,MATCH($B2317,Summary!$A$2:$A$201,0))</f>
        <v>4</v>
      </c>
      <c r="R2317" s="2" t="n">
        <f aca="false">INDEX(Summary!$N$2:$N$201,MATCH($B2317,Summary!$A$2:$A$201,0))</f>
        <v>10.01</v>
      </c>
      <c r="S2317" s="3" t="n">
        <f aca="false">INDEX(Summary!$O$2:$O$201,MATCH($B2317,Summary!$A$2:$A$201,0))</f>
        <v>7</v>
      </c>
      <c r="T2317" s="3" t="n">
        <f aca="false">INDEX(Summary!$P$2:$P$201,MATCH($B2317,Summary!$A$2:$A$201,0))</f>
        <v>2</v>
      </c>
      <c r="U2317" s="2" t="n">
        <f aca="false">INDEX(Summary!$Q$2:$Q$201,MATCH($B2317,Summary!$A$2:$A$201,0))</f>
        <v>12.94</v>
      </c>
      <c r="V2317" s="2" t="n">
        <f aca="false">INDEX(Summary!$R$2:$R$201,MATCH($B2317,Summary!$A$2:$A$201,0))</f>
        <v>19.73</v>
      </c>
      <c r="W2317" s="0" t="str">
        <f aca="false">INDEX(Summary!$S$2:$S$201,MATCH($B2317,Summary!$A$2:$A$201,0))</f>
        <v>Bronze</v>
      </c>
      <c r="X2317" s="2" t="n">
        <f aca="false">INDEX(Summary!$T$2:$T$201,MATCH($B2317,Summary!$A$2:$A$201,0))</f>
        <v>48.12</v>
      </c>
      <c r="Y2317" s="0" t="str">
        <f aca="false">INDEX('Reward Model'!$E$18:$E$37,MATCH($E2317,'Reward Model'!$A$18:$A$37,0))</f>
        <v>High</v>
      </c>
      <c r="Z2317" s="4" t="n">
        <f aca="false">ROUND(MIN(1,MAX('Reward Model'!$B$2,INDEX('Reward Model'!$C$12:$C$14,MATCH($K2317,'Reward Model'!$A$12:$A$14,0))/$J2317)),3)</f>
        <v>0.823</v>
      </c>
      <c r="AA2317" s="2" t="n">
        <f aca="false">IF($I2317="Correct",ROUND(INDEX('Reward Model'!$B$12:$B$14,MATCH($K2317,'Reward Model'!$A$12:$A$14,0))*Z2317,2),0)</f>
        <v>0</v>
      </c>
      <c r="AB2317" s="2" t="n">
        <f aca="false">IF($I2317="Correct",ROUND(INDEX('Reward Model'!$B$12:$B$14,MATCH($Y2317,'Reward Model'!$A$12:$A$14,0))*Z2317,2),0)</f>
        <v>0</v>
      </c>
    </row>
    <row r="2318" customFormat="false" ht="15" hidden="false" customHeight="false" outlineLevel="0" collapsed="false">
      <c r="A2318" s="0" t="s">
        <v>362</v>
      </c>
      <c r="B2318" s="0" t="s">
        <v>363</v>
      </c>
      <c r="C2318" s="0" t="s">
        <v>322</v>
      </c>
      <c r="D2318" s="0" t="s">
        <v>31</v>
      </c>
      <c r="E2318" s="0" t="n">
        <v>17</v>
      </c>
      <c r="F2318" s="0" t="s">
        <v>74</v>
      </c>
      <c r="G2318" s="0" t="s">
        <v>75</v>
      </c>
      <c r="H2318" s="0" t="s">
        <v>75</v>
      </c>
      <c r="I2318" s="0" t="s">
        <v>34</v>
      </c>
      <c r="J2318" s="0" t="n">
        <v>1.31</v>
      </c>
      <c r="K2318" s="0" t="s">
        <v>73</v>
      </c>
      <c r="L2318" s="0" t="n">
        <f aca="false">INDEX(Summary!$F$2:$F$201,MATCH($B2318,Summary!$A$2:$A$201,0))</f>
        <v>20</v>
      </c>
      <c r="M2318" s="0" t="n">
        <f aca="false">INDEX(Summary!$I$2:$I$201,MATCH($B2318,Summary!$A$2:$A$201,0))</f>
        <v>2</v>
      </c>
      <c r="N2318" s="0" t="n">
        <f aca="false">INDEX(Summary!$J$2:$J$201,MATCH($B2318,Summary!$A$2:$A$201,0))</f>
        <v>3</v>
      </c>
      <c r="O2318" s="2" t="n">
        <f aca="false">INDEX(Summary!$K$2:$K$201,MATCH($B2318,Summary!$A$2:$A$201,0))</f>
        <v>9.48</v>
      </c>
      <c r="P2318" s="3" t="n">
        <f aca="false">INDEX(Summary!$L$2:$L$201,MATCH($B2318,Summary!$A$2:$A$201,0))</f>
        <v>2</v>
      </c>
      <c r="Q2318" s="3" t="n">
        <f aca="false">INDEX(Summary!$M$2:$M$201,MATCH($B2318,Summary!$A$2:$A$201,0))</f>
        <v>4</v>
      </c>
      <c r="R2318" s="2" t="n">
        <f aca="false">INDEX(Summary!$N$2:$N$201,MATCH($B2318,Summary!$A$2:$A$201,0))</f>
        <v>10.01</v>
      </c>
      <c r="S2318" s="3" t="n">
        <f aca="false">INDEX(Summary!$O$2:$O$201,MATCH($B2318,Summary!$A$2:$A$201,0))</f>
        <v>7</v>
      </c>
      <c r="T2318" s="3" t="n">
        <f aca="false">INDEX(Summary!$P$2:$P$201,MATCH($B2318,Summary!$A$2:$A$201,0))</f>
        <v>2</v>
      </c>
      <c r="U2318" s="2" t="n">
        <f aca="false">INDEX(Summary!$Q$2:$Q$201,MATCH($B2318,Summary!$A$2:$A$201,0))</f>
        <v>12.94</v>
      </c>
      <c r="V2318" s="2" t="n">
        <f aca="false">INDEX(Summary!$R$2:$R$201,MATCH($B2318,Summary!$A$2:$A$201,0))</f>
        <v>19.73</v>
      </c>
      <c r="W2318" s="0" t="str">
        <f aca="false">INDEX(Summary!$S$2:$S$201,MATCH($B2318,Summary!$A$2:$A$201,0))</f>
        <v>Bronze</v>
      </c>
      <c r="X2318" s="2" t="n">
        <f aca="false">INDEX(Summary!$T$2:$T$201,MATCH($B2318,Summary!$A$2:$A$201,0))</f>
        <v>48.12</v>
      </c>
      <c r="Y2318" s="0" t="str">
        <f aca="false">INDEX('Reward Model'!$E$18:$E$37,MATCH($E2318,'Reward Model'!$A$18:$A$37,0))</f>
        <v>High</v>
      </c>
      <c r="Z2318" s="4" t="n">
        <f aca="false">ROUND(MIN(1,MAX('Reward Model'!$B$2,INDEX('Reward Model'!$C$12:$C$14,MATCH($K2318,'Reward Model'!$A$12:$A$14,0))/$J2318)),3)</f>
        <v>1</v>
      </c>
      <c r="AA2318" s="2" t="n">
        <f aca="false">IF($I2318="Correct",ROUND(INDEX('Reward Model'!$B$12:$B$14,MATCH($K2318,'Reward Model'!$A$12:$A$14,0))*Z2318,2),0)</f>
        <v>3</v>
      </c>
      <c r="AB2318" s="2" t="n">
        <f aca="false">IF($I2318="Correct",ROUND(INDEX('Reward Model'!$B$12:$B$14,MATCH($Y2318,'Reward Model'!$A$12:$A$14,0))*Z2318,2),0)</f>
        <v>3</v>
      </c>
    </row>
    <row r="2319" customFormat="false" ht="15" hidden="false" customHeight="false" outlineLevel="0" collapsed="false">
      <c r="A2319" s="0" t="s">
        <v>362</v>
      </c>
      <c r="B2319" s="0" t="s">
        <v>363</v>
      </c>
      <c r="C2319" s="0" t="s">
        <v>322</v>
      </c>
      <c r="D2319" s="0" t="s">
        <v>31</v>
      </c>
      <c r="E2319" s="0" t="n">
        <v>18</v>
      </c>
      <c r="F2319" s="0" t="s">
        <v>76</v>
      </c>
      <c r="G2319" s="0" t="s">
        <v>88</v>
      </c>
      <c r="H2319" s="0" t="s">
        <v>77</v>
      </c>
      <c r="I2319" s="0" t="s">
        <v>39</v>
      </c>
      <c r="J2319" s="0" t="n">
        <v>2.1</v>
      </c>
      <c r="K2319" s="0" t="s">
        <v>73</v>
      </c>
      <c r="L2319" s="0" t="n">
        <f aca="false">INDEX(Summary!$F$2:$F$201,MATCH($B2319,Summary!$A$2:$A$201,0))</f>
        <v>20</v>
      </c>
      <c r="M2319" s="0" t="n">
        <f aca="false">INDEX(Summary!$I$2:$I$201,MATCH($B2319,Summary!$A$2:$A$201,0))</f>
        <v>2</v>
      </c>
      <c r="N2319" s="0" t="n">
        <f aca="false">INDEX(Summary!$J$2:$J$201,MATCH($B2319,Summary!$A$2:$A$201,0))</f>
        <v>3</v>
      </c>
      <c r="O2319" s="2" t="n">
        <f aca="false">INDEX(Summary!$K$2:$K$201,MATCH($B2319,Summary!$A$2:$A$201,0))</f>
        <v>9.48</v>
      </c>
      <c r="P2319" s="3" t="n">
        <f aca="false">INDEX(Summary!$L$2:$L$201,MATCH($B2319,Summary!$A$2:$A$201,0))</f>
        <v>2</v>
      </c>
      <c r="Q2319" s="3" t="n">
        <f aca="false">INDEX(Summary!$M$2:$M$201,MATCH($B2319,Summary!$A$2:$A$201,0))</f>
        <v>4</v>
      </c>
      <c r="R2319" s="2" t="n">
        <f aca="false">INDEX(Summary!$N$2:$N$201,MATCH($B2319,Summary!$A$2:$A$201,0))</f>
        <v>10.01</v>
      </c>
      <c r="S2319" s="3" t="n">
        <f aca="false">INDEX(Summary!$O$2:$O$201,MATCH($B2319,Summary!$A$2:$A$201,0))</f>
        <v>7</v>
      </c>
      <c r="T2319" s="3" t="n">
        <f aca="false">INDEX(Summary!$P$2:$P$201,MATCH($B2319,Summary!$A$2:$A$201,0))</f>
        <v>2</v>
      </c>
      <c r="U2319" s="2" t="n">
        <f aca="false">INDEX(Summary!$Q$2:$Q$201,MATCH($B2319,Summary!$A$2:$A$201,0))</f>
        <v>12.94</v>
      </c>
      <c r="V2319" s="2" t="n">
        <f aca="false">INDEX(Summary!$R$2:$R$201,MATCH($B2319,Summary!$A$2:$A$201,0))</f>
        <v>19.73</v>
      </c>
      <c r="W2319" s="0" t="str">
        <f aca="false">INDEX(Summary!$S$2:$S$201,MATCH($B2319,Summary!$A$2:$A$201,0))</f>
        <v>Bronze</v>
      </c>
      <c r="X2319" s="2" t="n">
        <f aca="false">INDEX(Summary!$T$2:$T$201,MATCH($B2319,Summary!$A$2:$A$201,0))</f>
        <v>48.12</v>
      </c>
      <c r="Y2319" s="0" t="str">
        <f aca="false">INDEX('Reward Model'!$E$18:$E$37,MATCH($E2319,'Reward Model'!$A$18:$A$37,0))</f>
        <v>High</v>
      </c>
      <c r="Z2319" s="4" t="n">
        <f aca="false">ROUND(MIN(1,MAX('Reward Model'!$B$2,INDEX('Reward Model'!$C$12:$C$14,MATCH($K2319,'Reward Model'!$A$12:$A$14,0))/$J2319)),3)</f>
        <v>0.952</v>
      </c>
      <c r="AA2319" s="2" t="n">
        <f aca="false">IF($I2319="Correct",ROUND(INDEX('Reward Model'!$B$12:$B$14,MATCH($K2319,'Reward Model'!$A$12:$A$14,0))*Z2319,2),0)</f>
        <v>0</v>
      </c>
      <c r="AB2319" s="2" t="n">
        <f aca="false">IF($I2319="Correct",ROUND(INDEX('Reward Model'!$B$12:$B$14,MATCH($Y2319,'Reward Model'!$A$12:$A$14,0))*Z2319,2),0)</f>
        <v>0</v>
      </c>
    </row>
    <row r="2320" customFormat="false" ht="15" hidden="false" customHeight="false" outlineLevel="0" collapsed="false">
      <c r="A2320" s="0" t="s">
        <v>362</v>
      </c>
      <c r="B2320" s="0" t="s">
        <v>363</v>
      </c>
      <c r="C2320" s="0" t="s">
        <v>322</v>
      </c>
      <c r="D2320" s="0" t="s">
        <v>31</v>
      </c>
      <c r="E2320" s="0" t="n">
        <v>19</v>
      </c>
      <c r="F2320" s="0" t="s">
        <v>78</v>
      </c>
      <c r="G2320" s="0" t="s">
        <v>80</v>
      </c>
      <c r="H2320" s="0" t="s">
        <v>80</v>
      </c>
      <c r="I2320" s="0" t="s">
        <v>34</v>
      </c>
      <c r="J2320" s="0" t="n">
        <v>2.23</v>
      </c>
      <c r="K2320" s="0" t="s">
        <v>73</v>
      </c>
      <c r="L2320" s="0" t="n">
        <f aca="false">INDEX(Summary!$F$2:$F$201,MATCH($B2320,Summary!$A$2:$A$201,0))</f>
        <v>20</v>
      </c>
      <c r="M2320" s="0" t="n">
        <f aca="false">INDEX(Summary!$I$2:$I$201,MATCH($B2320,Summary!$A$2:$A$201,0))</f>
        <v>2</v>
      </c>
      <c r="N2320" s="0" t="n">
        <f aca="false">INDEX(Summary!$J$2:$J$201,MATCH($B2320,Summary!$A$2:$A$201,0))</f>
        <v>3</v>
      </c>
      <c r="O2320" s="2" t="n">
        <f aca="false">INDEX(Summary!$K$2:$K$201,MATCH($B2320,Summary!$A$2:$A$201,0))</f>
        <v>9.48</v>
      </c>
      <c r="P2320" s="3" t="n">
        <f aca="false">INDEX(Summary!$L$2:$L$201,MATCH($B2320,Summary!$A$2:$A$201,0))</f>
        <v>2</v>
      </c>
      <c r="Q2320" s="3" t="n">
        <f aca="false">INDEX(Summary!$M$2:$M$201,MATCH($B2320,Summary!$A$2:$A$201,0))</f>
        <v>4</v>
      </c>
      <c r="R2320" s="2" t="n">
        <f aca="false">INDEX(Summary!$N$2:$N$201,MATCH($B2320,Summary!$A$2:$A$201,0))</f>
        <v>10.01</v>
      </c>
      <c r="S2320" s="3" t="n">
        <f aca="false">INDEX(Summary!$O$2:$O$201,MATCH($B2320,Summary!$A$2:$A$201,0))</f>
        <v>7</v>
      </c>
      <c r="T2320" s="3" t="n">
        <f aca="false">INDEX(Summary!$P$2:$P$201,MATCH($B2320,Summary!$A$2:$A$201,0))</f>
        <v>2</v>
      </c>
      <c r="U2320" s="2" t="n">
        <f aca="false">INDEX(Summary!$Q$2:$Q$201,MATCH($B2320,Summary!$A$2:$A$201,0))</f>
        <v>12.94</v>
      </c>
      <c r="V2320" s="2" t="n">
        <f aca="false">INDEX(Summary!$R$2:$R$201,MATCH($B2320,Summary!$A$2:$A$201,0))</f>
        <v>19.73</v>
      </c>
      <c r="W2320" s="0" t="str">
        <f aca="false">INDEX(Summary!$S$2:$S$201,MATCH($B2320,Summary!$A$2:$A$201,0))</f>
        <v>Bronze</v>
      </c>
      <c r="X2320" s="2" t="n">
        <f aca="false">INDEX(Summary!$T$2:$T$201,MATCH($B2320,Summary!$A$2:$A$201,0))</f>
        <v>48.12</v>
      </c>
      <c r="Y2320" s="0" t="str">
        <f aca="false">INDEX('Reward Model'!$E$18:$E$37,MATCH($E2320,'Reward Model'!$A$18:$A$37,0))</f>
        <v>High</v>
      </c>
      <c r="Z2320" s="4" t="n">
        <f aca="false">ROUND(MIN(1,MAX('Reward Model'!$B$2,INDEX('Reward Model'!$C$12:$C$14,MATCH($K2320,'Reward Model'!$A$12:$A$14,0))/$J2320)),3)</f>
        <v>0.897</v>
      </c>
      <c r="AA2320" s="2" t="n">
        <f aca="false">IF($I2320="Correct",ROUND(INDEX('Reward Model'!$B$12:$B$14,MATCH($K2320,'Reward Model'!$A$12:$A$14,0))*Z2320,2),0)</f>
        <v>2.69</v>
      </c>
      <c r="AB2320" s="2" t="n">
        <f aca="false">IF($I2320="Correct",ROUND(INDEX('Reward Model'!$B$12:$B$14,MATCH($Y2320,'Reward Model'!$A$12:$A$14,0))*Z2320,2),0)</f>
        <v>2.69</v>
      </c>
    </row>
    <row r="2321" customFormat="false" ht="15" hidden="false" customHeight="false" outlineLevel="0" collapsed="false">
      <c r="A2321" s="0" t="s">
        <v>362</v>
      </c>
      <c r="B2321" s="0" t="s">
        <v>363</v>
      </c>
      <c r="C2321" s="0" t="s">
        <v>322</v>
      </c>
      <c r="D2321" s="0" t="s">
        <v>31</v>
      </c>
      <c r="E2321" s="0" t="n">
        <v>20</v>
      </c>
      <c r="F2321" s="0" t="s">
        <v>81</v>
      </c>
      <c r="G2321" s="0" t="s">
        <v>119</v>
      </c>
      <c r="H2321" s="0" t="s">
        <v>83</v>
      </c>
      <c r="I2321" s="0" t="s">
        <v>39</v>
      </c>
      <c r="J2321" s="0" t="n">
        <v>1.41</v>
      </c>
      <c r="K2321" s="0" t="s">
        <v>73</v>
      </c>
      <c r="L2321" s="0" t="n">
        <f aca="false">INDEX(Summary!$F$2:$F$201,MATCH($B2321,Summary!$A$2:$A$201,0))</f>
        <v>20</v>
      </c>
      <c r="M2321" s="0" t="n">
        <f aca="false">INDEX(Summary!$I$2:$I$201,MATCH($B2321,Summary!$A$2:$A$201,0))</f>
        <v>2</v>
      </c>
      <c r="N2321" s="0" t="n">
        <f aca="false">INDEX(Summary!$J$2:$J$201,MATCH($B2321,Summary!$A$2:$A$201,0))</f>
        <v>3</v>
      </c>
      <c r="O2321" s="2" t="n">
        <f aca="false">INDEX(Summary!$K$2:$K$201,MATCH($B2321,Summary!$A$2:$A$201,0))</f>
        <v>9.48</v>
      </c>
      <c r="P2321" s="3" t="n">
        <f aca="false">INDEX(Summary!$L$2:$L$201,MATCH($B2321,Summary!$A$2:$A$201,0))</f>
        <v>2</v>
      </c>
      <c r="Q2321" s="3" t="n">
        <f aca="false">INDEX(Summary!$M$2:$M$201,MATCH($B2321,Summary!$A$2:$A$201,0))</f>
        <v>4</v>
      </c>
      <c r="R2321" s="2" t="n">
        <f aca="false">INDEX(Summary!$N$2:$N$201,MATCH($B2321,Summary!$A$2:$A$201,0))</f>
        <v>10.01</v>
      </c>
      <c r="S2321" s="3" t="n">
        <f aca="false">INDEX(Summary!$O$2:$O$201,MATCH($B2321,Summary!$A$2:$A$201,0))</f>
        <v>7</v>
      </c>
      <c r="T2321" s="3" t="n">
        <f aca="false">INDEX(Summary!$P$2:$P$201,MATCH($B2321,Summary!$A$2:$A$201,0))</f>
        <v>2</v>
      </c>
      <c r="U2321" s="2" t="n">
        <f aca="false">INDEX(Summary!$Q$2:$Q$201,MATCH($B2321,Summary!$A$2:$A$201,0))</f>
        <v>12.94</v>
      </c>
      <c r="V2321" s="2" t="n">
        <f aca="false">INDEX(Summary!$R$2:$R$201,MATCH($B2321,Summary!$A$2:$A$201,0))</f>
        <v>19.73</v>
      </c>
      <c r="W2321" s="0" t="str">
        <f aca="false">INDEX(Summary!$S$2:$S$201,MATCH($B2321,Summary!$A$2:$A$201,0))</f>
        <v>Bronze</v>
      </c>
      <c r="X2321" s="2" t="n">
        <f aca="false">INDEX(Summary!$T$2:$T$201,MATCH($B2321,Summary!$A$2:$A$201,0))</f>
        <v>48.12</v>
      </c>
      <c r="Y2321" s="0" t="str">
        <f aca="false">INDEX('Reward Model'!$E$18:$E$37,MATCH($E2321,'Reward Model'!$A$18:$A$37,0))</f>
        <v>High</v>
      </c>
      <c r="Z2321" s="4" t="n">
        <f aca="false">ROUND(MIN(1,MAX('Reward Model'!$B$2,INDEX('Reward Model'!$C$12:$C$14,MATCH($K2321,'Reward Model'!$A$12:$A$14,0))/$J2321)),3)</f>
        <v>1</v>
      </c>
      <c r="AA2321" s="2" t="n">
        <f aca="false">IF($I2321="Correct",ROUND(INDEX('Reward Model'!$B$12:$B$14,MATCH($K2321,'Reward Model'!$A$12:$A$14,0))*Z2321,2),0)</f>
        <v>0</v>
      </c>
      <c r="AB2321" s="2" t="n">
        <f aca="false">IF($I2321="Correct",ROUND(INDEX('Reward Model'!$B$12:$B$14,MATCH($Y2321,'Reward Model'!$A$12:$A$14,0))*Z2321,2),0)</f>
        <v>0</v>
      </c>
    </row>
    <row r="2322" customFormat="false" ht="15" hidden="false" customHeight="false" outlineLevel="0" collapsed="false">
      <c r="A2322" s="0" t="s">
        <v>364</v>
      </c>
      <c r="B2322" s="0" t="s">
        <v>365</v>
      </c>
      <c r="C2322" s="0" t="s">
        <v>322</v>
      </c>
      <c r="D2322" s="0" t="s">
        <v>31</v>
      </c>
      <c r="E2322" s="0" t="n">
        <v>1</v>
      </c>
      <c r="F2322" s="0" t="s">
        <v>32</v>
      </c>
      <c r="G2322" s="0" t="s">
        <v>33</v>
      </c>
      <c r="H2322" s="0" t="s">
        <v>33</v>
      </c>
      <c r="I2322" s="0" t="s">
        <v>34</v>
      </c>
      <c r="J2322" s="0" t="n">
        <v>1.43</v>
      </c>
      <c r="K2322" s="0" t="s">
        <v>35</v>
      </c>
      <c r="L2322" s="0" t="n">
        <f aca="false">INDEX(Summary!$F$2:$F$201,MATCH($B2322,Summary!$A$2:$A$201,0))</f>
        <v>20</v>
      </c>
      <c r="M2322" s="0" t="n">
        <f aca="false">INDEX(Summary!$I$2:$I$201,MATCH($B2322,Summary!$A$2:$A$201,0))</f>
        <v>2</v>
      </c>
      <c r="N2322" s="0" t="n">
        <f aca="false">INDEX(Summary!$J$2:$J$201,MATCH($B2322,Summary!$A$2:$A$201,0))</f>
        <v>3</v>
      </c>
      <c r="O2322" s="2" t="n">
        <f aca="false">INDEX(Summary!$K$2:$K$201,MATCH($B2322,Summary!$A$2:$A$201,0))</f>
        <v>8.45</v>
      </c>
      <c r="P2322" s="3" t="n">
        <f aca="false">INDEX(Summary!$L$2:$L$201,MATCH($B2322,Summary!$A$2:$A$201,0))</f>
        <v>4</v>
      </c>
      <c r="Q2322" s="3" t="n">
        <f aca="false">INDEX(Summary!$M$2:$M$201,MATCH($B2322,Summary!$A$2:$A$201,0))</f>
        <v>2</v>
      </c>
      <c r="R2322" s="2" t="n">
        <f aca="false">INDEX(Summary!$N$2:$N$201,MATCH($B2322,Summary!$A$2:$A$201,0))</f>
        <v>10.21</v>
      </c>
      <c r="S2322" s="3" t="n">
        <f aca="false">INDEX(Summary!$O$2:$O$201,MATCH($B2322,Summary!$A$2:$A$201,0))</f>
        <v>8</v>
      </c>
      <c r="T2322" s="3" t="n">
        <f aca="false">INDEX(Summary!$P$2:$P$201,MATCH($B2322,Summary!$A$2:$A$201,0))</f>
        <v>1</v>
      </c>
      <c r="U2322" s="2" t="n">
        <f aca="false">INDEX(Summary!$Q$2:$Q$201,MATCH($B2322,Summary!$A$2:$A$201,0))</f>
        <v>13.33</v>
      </c>
      <c r="V2322" s="2" t="n">
        <f aca="false">INDEX(Summary!$R$2:$R$201,MATCH($B2322,Summary!$A$2:$A$201,0))</f>
        <v>24.97</v>
      </c>
      <c r="W2322" s="0" t="str">
        <f aca="false">INDEX(Summary!$S$2:$S$201,MATCH($B2322,Summary!$A$2:$A$201,0))</f>
        <v>Silver</v>
      </c>
      <c r="X2322" s="2" t="n">
        <f aca="false">INDEX(Summary!$T$2:$T$201,MATCH($B2322,Summary!$A$2:$A$201,0))</f>
        <v>60.9</v>
      </c>
      <c r="Y2322" s="0" t="str">
        <f aca="false">INDEX('Reward Model'!$E$18:$E$37,MATCH($E2322,'Reward Model'!$A$18:$A$37,0))</f>
        <v>Medium</v>
      </c>
      <c r="Z2322" s="4" t="n">
        <f aca="false">ROUND(MIN(1,MAX('Reward Model'!$B$2,INDEX('Reward Model'!$C$12:$C$14,MATCH($K2322,'Reward Model'!$A$12:$A$14,0))/$J2322)),3)</f>
        <v>1</v>
      </c>
      <c r="AA2322" s="2" t="n">
        <f aca="false">IF($I2322="Correct",ROUND(INDEX('Reward Model'!$B$12:$B$14,MATCH($K2322,'Reward Model'!$A$12:$A$14,0))*Z2322,2),0)</f>
        <v>1</v>
      </c>
      <c r="AB2322" s="2" t="n">
        <f aca="false">IF($I2322="Correct",ROUND(INDEX('Reward Model'!$B$12:$B$14,MATCH($Y2322,'Reward Model'!$A$12:$A$14,0))*Z2322,2),0)</f>
        <v>2</v>
      </c>
    </row>
    <row r="2323" customFormat="false" ht="15" hidden="false" customHeight="false" outlineLevel="0" collapsed="false">
      <c r="A2323" s="0" t="s">
        <v>364</v>
      </c>
      <c r="B2323" s="0" t="s">
        <v>365</v>
      </c>
      <c r="C2323" s="0" t="s">
        <v>322</v>
      </c>
      <c r="D2323" s="0" t="s">
        <v>31</v>
      </c>
      <c r="E2323" s="0" t="n">
        <v>2</v>
      </c>
      <c r="F2323" s="0" t="s">
        <v>36</v>
      </c>
      <c r="G2323" s="0" t="s">
        <v>38</v>
      </c>
      <c r="H2323" s="0" t="s">
        <v>38</v>
      </c>
      <c r="I2323" s="0" t="s">
        <v>34</v>
      </c>
      <c r="J2323" s="0" t="n">
        <v>1.4</v>
      </c>
      <c r="K2323" s="0" t="s">
        <v>35</v>
      </c>
      <c r="L2323" s="0" t="n">
        <f aca="false">INDEX(Summary!$F$2:$F$201,MATCH($B2323,Summary!$A$2:$A$201,0))</f>
        <v>20</v>
      </c>
      <c r="M2323" s="0" t="n">
        <f aca="false">INDEX(Summary!$I$2:$I$201,MATCH($B2323,Summary!$A$2:$A$201,0))</f>
        <v>2</v>
      </c>
      <c r="N2323" s="0" t="n">
        <f aca="false">INDEX(Summary!$J$2:$J$201,MATCH($B2323,Summary!$A$2:$A$201,0))</f>
        <v>3</v>
      </c>
      <c r="O2323" s="2" t="n">
        <f aca="false">INDEX(Summary!$K$2:$K$201,MATCH($B2323,Summary!$A$2:$A$201,0))</f>
        <v>8.45</v>
      </c>
      <c r="P2323" s="3" t="n">
        <f aca="false">INDEX(Summary!$L$2:$L$201,MATCH($B2323,Summary!$A$2:$A$201,0))</f>
        <v>4</v>
      </c>
      <c r="Q2323" s="3" t="n">
        <f aca="false">INDEX(Summary!$M$2:$M$201,MATCH($B2323,Summary!$A$2:$A$201,0))</f>
        <v>2</v>
      </c>
      <c r="R2323" s="2" t="n">
        <f aca="false">INDEX(Summary!$N$2:$N$201,MATCH($B2323,Summary!$A$2:$A$201,0))</f>
        <v>10.21</v>
      </c>
      <c r="S2323" s="3" t="n">
        <f aca="false">INDEX(Summary!$O$2:$O$201,MATCH($B2323,Summary!$A$2:$A$201,0))</f>
        <v>8</v>
      </c>
      <c r="T2323" s="3" t="n">
        <f aca="false">INDEX(Summary!$P$2:$P$201,MATCH($B2323,Summary!$A$2:$A$201,0))</f>
        <v>1</v>
      </c>
      <c r="U2323" s="2" t="n">
        <f aca="false">INDEX(Summary!$Q$2:$Q$201,MATCH($B2323,Summary!$A$2:$A$201,0))</f>
        <v>13.33</v>
      </c>
      <c r="V2323" s="2" t="n">
        <f aca="false">INDEX(Summary!$R$2:$R$201,MATCH($B2323,Summary!$A$2:$A$201,0))</f>
        <v>24.97</v>
      </c>
      <c r="W2323" s="0" t="str">
        <f aca="false">INDEX(Summary!$S$2:$S$201,MATCH($B2323,Summary!$A$2:$A$201,0))</f>
        <v>Silver</v>
      </c>
      <c r="X2323" s="2" t="n">
        <f aca="false">INDEX(Summary!$T$2:$T$201,MATCH($B2323,Summary!$A$2:$A$201,0))</f>
        <v>60.9</v>
      </c>
      <c r="Y2323" s="0" t="str">
        <f aca="false">INDEX('Reward Model'!$E$18:$E$37,MATCH($E2323,'Reward Model'!$A$18:$A$37,0))</f>
        <v>Low</v>
      </c>
      <c r="Z2323" s="4" t="n">
        <f aca="false">ROUND(MIN(1,MAX('Reward Model'!$B$2,INDEX('Reward Model'!$C$12:$C$14,MATCH($K2323,'Reward Model'!$A$12:$A$14,0))/$J2323)),3)</f>
        <v>1</v>
      </c>
      <c r="AA2323" s="2" t="n">
        <f aca="false">IF($I2323="Correct",ROUND(INDEX('Reward Model'!$B$12:$B$14,MATCH($K2323,'Reward Model'!$A$12:$A$14,0))*Z2323,2),0)</f>
        <v>1</v>
      </c>
      <c r="AB2323" s="2" t="n">
        <f aca="false">IF($I2323="Correct",ROUND(INDEX('Reward Model'!$B$12:$B$14,MATCH($Y2323,'Reward Model'!$A$12:$A$14,0))*Z2323,2),0)</f>
        <v>1</v>
      </c>
    </row>
    <row r="2324" customFormat="false" ht="15" hidden="false" customHeight="false" outlineLevel="0" collapsed="false">
      <c r="A2324" s="0" t="s">
        <v>364</v>
      </c>
      <c r="B2324" s="0" t="s">
        <v>365</v>
      </c>
      <c r="C2324" s="0" t="s">
        <v>322</v>
      </c>
      <c r="D2324" s="0" t="s">
        <v>31</v>
      </c>
      <c r="E2324" s="0" t="n">
        <v>3</v>
      </c>
      <c r="F2324" s="0" t="s">
        <v>40</v>
      </c>
      <c r="G2324" s="0" t="s">
        <v>42</v>
      </c>
      <c r="H2324" s="0" t="s">
        <v>42</v>
      </c>
      <c r="I2324" s="0" t="s">
        <v>34</v>
      </c>
      <c r="J2324" s="0" t="n">
        <v>1.65</v>
      </c>
      <c r="K2324" s="0" t="s">
        <v>35</v>
      </c>
      <c r="L2324" s="0" t="n">
        <f aca="false">INDEX(Summary!$F$2:$F$201,MATCH($B2324,Summary!$A$2:$A$201,0))</f>
        <v>20</v>
      </c>
      <c r="M2324" s="0" t="n">
        <f aca="false">INDEX(Summary!$I$2:$I$201,MATCH($B2324,Summary!$A$2:$A$201,0))</f>
        <v>2</v>
      </c>
      <c r="N2324" s="0" t="n">
        <f aca="false">INDEX(Summary!$J$2:$J$201,MATCH($B2324,Summary!$A$2:$A$201,0))</f>
        <v>3</v>
      </c>
      <c r="O2324" s="2" t="n">
        <f aca="false">INDEX(Summary!$K$2:$K$201,MATCH($B2324,Summary!$A$2:$A$201,0))</f>
        <v>8.45</v>
      </c>
      <c r="P2324" s="3" t="n">
        <f aca="false">INDEX(Summary!$L$2:$L$201,MATCH($B2324,Summary!$A$2:$A$201,0))</f>
        <v>4</v>
      </c>
      <c r="Q2324" s="3" t="n">
        <f aca="false">INDEX(Summary!$M$2:$M$201,MATCH($B2324,Summary!$A$2:$A$201,0))</f>
        <v>2</v>
      </c>
      <c r="R2324" s="2" t="n">
        <f aca="false">INDEX(Summary!$N$2:$N$201,MATCH($B2324,Summary!$A$2:$A$201,0))</f>
        <v>10.21</v>
      </c>
      <c r="S2324" s="3" t="n">
        <f aca="false">INDEX(Summary!$O$2:$O$201,MATCH($B2324,Summary!$A$2:$A$201,0))</f>
        <v>8</v>
      </c>
      <c r="T2324" s="3" t="n">
        <f aca="false">INDEX(Summary!$P$2:$P$201,MATCH($B2324,Summary!$A$2:$A$201,0))</f>
        <v>1</v>
      </c>
      <c r="U2324" s="2" t="n">
        <f aca="false">INDEX(Summary!$Q$2:$Q$201,MATCH($B2324,Summary!$A$2:$A$201,0))</f>
        <v>13.33</v>
      </c>
      <c r="V2324" s="2" t="n">
        <f aca="false">INDEX(Summary!$R$2:$R$201,MATCH($B2324,Summary!$A$2:$A$201,0))</f>
        <v>24.97</v>
      </c>
      <c r="W2324" s="0" t="str">
        <f aca="false">INDEX(Summary!$S$2:$S$201,MATCH($B2324,Summary!$A$2:$A$201,0))</f>
        <v>Silver</v>
      </c>
      <c r="X2324" s="2" t="n">
        <f aca="false">INDEX(Summary!$T$2:$T$201,MATCH($B2324,Summary!$A$2:$A$201,0))</f>
        <v>60.9</v>
      </c>
      <c r="Y2324" s="0" t="str">
        <f aca="false">INDEX('Reward Model'!$E$18:$E$37,MATCH($E2324,'Reward Model'!$A$18:$A$37,0))</f>
        <v>Medium</v>
      </c>
      <c r="Z2324" s="4" t="n">
        <f aca="false">ROUND(MIN(1,MAX('Reward Model'!$B$2,INDEX('Reward Model'!$C$12:$C$14,MATCH($K2324,'Reward Model'!$A$12:$A$14,0))/$J2324)),3)</f>
        <v>0.909</v>
      </c>
      <c r="AA2324" s="2" t="n">
        <f aca="false">IF($I2324="Correct",ROUND(INDEX('Reward Model'!$B$12:$B$14,MATCH($K2324,'Reward Model'!$A$12:$A$14,0))*Z2324,2),0)</f>
        <v>0.91</v>
      </c>
      <c r="AB2324" s="2" t="n">
        <f aca="false">IF($I2324="Correct",ROUND(INDEX('Reward Model'!$B$12:$B$14,MATCH($Y2324,'Reward Model'!$A$12:$A$14,0))*Z2324,2),0)</f>
        <v>1.82</v>
      </c>
    </row>
    <row r="2325" customFormat="false" ht="15" hidden="false" customHeight="false" outlineLevel="0" collapsed="false">
      <c r="A2325" s="0" t="s">
        <v>364</v>
      </c>
      <c r="B2325" s="0" t="s">
        <v>365</v>
      </c>
      <c r="C2325" s="0" t="s">
        <v>322</v>
      </c>
      <c r="D2325" s="0" t="s">
        <v>31</v>
      </c>
      <c r="E2325" s="0" t="n">
        <v>4</v>
      </c>
      <c r="F2325" s="0" t="s">
        <v>43</v>
      </c>
      <c r="G2325" s="0" t="s">
        <v>155</v>
      </c>
      <c r="H2325" s="0" t="s">
        <v>45</v>
      </c>
      <c r="I2325" s="0" t="s">
        <v>39</v>
      </c>
      <c r="J2325" s="0" t="n">
        <v>1.42</v>
      </c>
      <c r="K2325" s="0" t="s">
        <v>35</v>
      </c>
      <c r="L2325" s="0" t="n">
        <f aca="false">INDEX(Summary!$F$2:$F$201,MATCH($B2325,Summary!$A$2:$A$201,0))</f>
        <v>20</v>
      </c>
      <c r="M2325" s="0" t="n">
        <f aca="false">INDEX(Summary!$I$2:$I$201,MATCH($B2325,Summary!$A$2:$A$201,0))</f>
        <v>2</v>
      </c>
      <c r="N2325" s="0" t="n">
        <f aca="false">INDEX(Summary!$J$2:$J$201,MATCH($B2325,Summary!$A$2:$A$201,0))</f>
        <v>3</v>
      </c>
      <c r="O2325" s="2" t="n">
        <f aca="false">INDEX(Summary!$K$2:$K$201,MATCH($B2325,Summary!$A$2:$A$201,0))</f>
        <v>8.45</v>
      </c>
      <c r="P2325" s="3" t="n">
        <f aca="false">INDEX(Summary!$L$2:$L$201,MATCH($B2325,Summary!$A$2:$A$201,0))</f>
        <v>4</v>
      </c>
      <c r="Q2325" s="3" t="n">
        <f aca="false">INDEX(Summary!$M$2:$M$201,MATCH($B2325,Summary!$A$2:$A$201,0))</f>
        <v>2</v>
      </c>
      <c r="R2325" s="2" t="n">
        <f aca="false">INDEX(Summary!$N$2:$N$201,MATCH($B2325,Summary!$A$2:$A$201,0))</f>
        <v>10.21</v>
      </c>
      <c r="S2325" s="3" t="n">
        <f aca="false">INDEX(Summary!$O$2:$O$201,MATCH($B2325,Summary!$A$2:$A$201,0))</f>
        <v>8</v>
      </c>
      <c r="T2325" s="3" t="n">
        <f aca="false">INDEX(Summary!$P$2:$P$201,MATCH($B2325,Summary!$A$2:$A$201,0))</f>
        <v>1</v>
      </c>
      <c r="U2325" s="2" t="n">
        <f aca="false">INDEX(Summary!$Q$2:$Q$201,MATCH($B2325,Summary!$A$2:$A$201,0))</f>
        <v>13.33</v>
      </c>
      <c r="V2325" s="2" t="n">
        <f aca="false">INDEX(Summary!$R$2:$R$201,MATCH($B2325,Summary!$A$2:$A$201,0))</f>
        <v>24.97</v>
      </c>
      <c r="W2325" s="0" t="str">
        <f aca="false">INDEX(Summary!$S$2:$S$201,MATCH($B2325,Summary!$A$2:$A$201,0))</f>
        <v>Silver</v>
      </c>
      <c r="X2325" s="2" t="n">
        <f aca="false">INDEX(Summary!$T$2:$T$201,MATCH($B2325,Summary!$A$2:$A$201,0))</f>
        <v>60.9</v>
      </c>
      <c r="Y2325" s="0" t="str">
        <f aca="false">INDEX('Reward Model'!$E$18:$E$37,MATCH($E2325,'Reward Model'!$A$18:$A$37,0))</f>
        <v>Low</v>
      </c>
      <c r="Z2325" s="4" t="n">
        <f aca="false">ROUND(MIN(1,MAX('Reward Model'!$B$2,INDEX('Reward Model'!$C$12:$C$14,MATCH($K2325,'Reward Model'!$A$12:$A$14,0))/$J2325)),3)</f>
        <v>1</v>
      </c>
      <c r="AA2325" s="2" t="n">
        <f aca="false">IF($I2325="Correct",ROUND(INDEX('Reward Model'!$B$12:$B$14,MATCH($K2325,'Reward Model'!$A$12:$A$14,0))*Z2325,2),0)</f>
        <v>0</v>
      </c>
      <c r="AB2325" s="2" t="n">
        <f aca="false">IF($I2325="Correct",ROUND(INDEX('Reward Model'!$B$12:$B$14,MATCH($Y2325,'Reward Model'!$A$12:$A$14,0))*Z2325,2),0)</f>
        <v>0</v>
      </c>
    </row>
    <row r="2326" customFormat="false" ht="15" hidden="false" customHeight="false" outlineLevel="0" collapsed="false">
      <c r="A2326" s="0" t="s">
        <v>364</v>
      </c>
      <c r="B2326" s="0" t="s">
        <v>365</v>
      </c>
      <c r="C2326" s="0" t="s">
        <v>322</v>
      </c>
      <c r="D2326" s="0" t="s">
        <v>31</v>
      </c>
      <c r="E2326" s="0" t="n">
        <v>5</v>
      </c>
      <c r="F2326" s="0" t="s">
        <v>46</v>
      </c>
      <c r="G2326" s="0" t="s">
        <v>47</v>
      </c>
      <c r="H2326" s="0" t="s">
        <v>47</v>
      </c>
      <c r="I2326" s="0" t="s">
        <v>34</v>
      </c>
      <c r="J2326" s="0" t="n">
        <v>1.1</v>
      </c>
      <c r="K2326" s="0" t="s">
        <v>35</v>
      </c>
      <c r="L2326" s="0" t="n">
        <f aca="false">INDEX(Summary!$F$2:$F$201,MATCH($B2326,Summary!$A$2:$A$201,0))</f>
        <v>20</v>
      </c>
      <c r="M2326" s="0" t="n">
        <f aca="false">INDEX(Summary!$I$2:$I$201,MATCH($B2326,Summary!$A$2:$A$201,0))</f>
        <v>2</v>
      </c>
      <c r="N2326" s="0" t="n">
        <f aca="false">INDEX(Summary!$J$2:$J$201,MATCH($B2326,Summary!$A$2:$A$201,0))</f>
        <v>3</v>
      </c>
      <c r="O2326" s="2" t="n">
        <f aca="false">INDEX(Summary!$K$2:$K$201,MATCH($B2326,Summary!$A$2:$A$201,0))</f>
        <v>8.45</v>
      </c>
      <c r="P2326" s="3" t="n">
        <f aca="false">INDEX(Summary!$L$2:$L$201,MATCH($B2326,Summary!$A$2:$A$201,0))</f>
        <v>4</v>
      </c>
      <c r="Q2326" s="3" t="n">
        <f aca="false">INDEX(Summary!$M$2:$M$201,MATCH($B2326,Summary!$A$2:$A$201,0))</f>
        <v>2</v>
      </c>
      <c r="R2326" s="2" t="n">
        <f aca="false">INDEX(Summary!$N$2:$N$201,MATCH($B2326,Summary!$A$2:$A$201,0))</f>
        <v>10.21</v>
      </c>
      <c r="S2326" s="3" t="n">
        <f aca="false">INDEX(Summary!$O$2:$O$201,MATCH($B2326,Summary!$A$2:$A$201,0))</f>
        <v>8</v>
      </c>
      <c r="T2326" s="3" t="n">
        <f aca="false">INDEX(Summary!$P$2:$P$201,MATCH($B2326,Summary!$A$2:$A$201,0))</f>
        <v>1</v>
      </c>
      <c r="U2326" s="2" t="n">
        <f aca="false">INDEX(Summary!$Q$2:$Q$201,MATCH($B2326,Summary!$A$2:$A$201,0))</f>
        <v>13.33</v>
      </c>
      <c r="V2326" s="2" t="n">
        <f aca="false">INDEX(Summary!$R$2:$R$201,MATCH($B2326,Summary!$A$2:$A$201,0))</f>
        <v>24.97</v>
      </c>
      <c r="W2326" s="0" t="str">
        <f aca="false">INDEX(Summary!$S$2:$S$201,MATCH($B2326,Summary!$A$2:$A$201,0))</f>
        <v>Silver</v>
      </c>
      <c r="X2326" s="2" t="n">
        <f aca="false">INDEX(Summary!$T$2:$T$201,MATCH($B2326,Summary!$A$2:$A$201,0))</f>
        <v>60.9</v>
      </c>
      <c r="Y2326" s="0" t="str">
        <f aca="false">INDEX('Reward Model'!$E$18:$E$37,MATCH($E2326,'Reward Model'!$A$18:$A$37,0))</f>
        <v>Low</v>
      </c>
      <c r="Z2326" s="4" t="n">
        <f aca="false">ROUND(MIN(1,MAX('Reward Model'!$B$2,INDEX('Reward Model'!$C$12:$C$14,MATCH($K2326,'Reward Model'!$A$12:$A$14,0))/$J2326)),3)</f>
        <v>1</v>
      </c>
      <c r="AA2326" s="2" t="n">
        <f aca="false">IF($I2326="Correct",ROUND(INDEX('Reward Model'!$B$12:$B$14,MATCH($K2326,'Reward Model'!$A$12:$A$14,0))*Z2326,2),0)</f>
        <v>1</v>
      </c>
      <c r="AB2326" s="2" t="n">
        <f aca="false">IF($I2326="Correct",ROUND(INDEX('Reward Model'!$B$12:$B$14,MATCH($Y2326,'Reward Model'!$A$12:$A$14,0))*Z2326,2),0)</f>
        <v>1</v>
      </c>
    </row>
    <row r="2327" customFormat="false" ht="15" hidden="false" customHeight="false" outlineLevel="0" collapsed="false">
      <c r="A2327" s="0" t="s">
        <v>364</v>
      </c>
      <c r="B2327" s="0" t="s">
        <v>365</v>
      </c>
      <c r="C2327" s="0" t="s">
        <v>322</v>
      </c>
      <c r="D2327" s="0" t="s">
        <v>31</v>
      </c>
      <c r="E2327" s="0" t="n">
        <v>6</v>
      </c>
      <c r="F2327" s="0" t="s">
        <v>48</v>
      </c>
      <c r="G2327" s="0" t="s">
        <v>49</v>
      </c>
      <c r="H2327" s="0" t="s">
        <v>49</v>
      </c>
      <c r="I2327" s="0" t="s">
        <v>34</v>
      </c>
      <c r="J2327" s="0" t="n">
        <v>1.88</v>
      </c>
      <c r="K2327" s="0" t="s">
        <v>35</v>
      </c>
      <c r="L2327" s="0" t="n">
        <f aca="false">INDEX(Summary!$F$2:$F$201,MATCH($B2327,Summary!$A$2:$A$201,0))</f>
        <v>20</v>
      </c>
      <c r="M2327" s="0" t="n">
        <f aca="false">INDEX(Summary!$I$2:$I$201,MATCH($B2327,Summary!$A$2:$A$201,0))</f>
        <v>2</v>
      </c>
      <c r="N2327" s="0" t="n">
        <f aca="false">INDEX(Summary!$J$2:$J$201,MATCH($B2327,Summary!$A$2:$A$201,0))</f>
        <v>3</v>
      </c>
      <c r="O2327" s="2" t="n">
        <f aca="false">INDEX(Summary!$K$2:$K$201,MATCH($B2327,Summary!$A$2:$A$201,0))</f>
        <v>8.45</v>
      </c>
      <c r="P2327" s="3" t="n">
        <f aca="false">INDEX(Summary!$L$2:$L$201,MATCH($B2327,Summary!$A$2:$A$201,0))</f>
        <v>4</v>
      </c>
      <c r="Q2327" s="3" t="n">
        <f aca="false">INDEX(Summary!$M$2:$M$201,MATCH($B2327,Summary!$A$2:$A$201,0))</f>
        <v>2</v>
      </c>
      <c r="R2327" s="2" t="n">
        <f aca="false">INDEX(Summary!$N$2:$N$201,MATCH($B2327,Summary!$A$2:$A$201,0))</f>
        <v>10.21</v>
      </c>
      <c r="S2327" s="3" t="n">
        <f aca="false">INDEX(Summary!$O$2:$O$201,MATCH($B2327,Summary!$A$2:$A$201,0))</f>
        <v>8</v>
      </c>
      <c r="T2327" s="3" t="n">
        <f aca="false">INDEX(Summary!$P$2:$P$201,MATCH($B2327,Summary!$A$2:$A$201,0))</f>
        <v>1</v>
      </c>
      <c r="U2327" s="2" t="n">
        <f aca="false">INDEX(Summary!$Q$2:$Q$201,MATCH($B2327,Summary!$A$2:$A$201,0))</f>
        <v>13.33</v>
      </c>
      <c r="V2327" s="2" t="n">
        <f aca="false">INDEX(Summary!$R$2:$R$201,MATCH($B2327,Summary!$A$2:$A$201,0))</f>
        <v>24.97</v>
      </c>
      <c r="W2327" s="0" t="str">
        <f aca="false">INDEX(Summary!$S$2:$S$201,MATCH($B2327,Summary!$A$2:$A$201,0))</f>
        <v>Silver</v>
      </c>
      <c r="X2327" s="2" t="n">
        <f aca="false">INDEX(Summary!$T$2:$T$201,MATCH($B2327,Summary!$A$2:$A$201,0))</f>
        <v>60.9</v>
      </c>
      <c r="Y2327" s="0" t="str">
        <f aca="false">INDEX('Reward Model'!$E$18:$E$37,MATCH($E2327,'Reward Model'!$A$18:$A$37,0))</f>
        <v>Medium</v>
      </c>
      <c r="Z2327" s="4" t="n">
        <f aca="false">ROUND(MIN(1,MAX('Reward Model'!$B$2,INDEX('Reward Model'!$C$12:$C$14,MATCH($K2327,'Reward Model'!$A$12:$A$14,0))/$J2327)),3)</f>
        <v>0.798</v>
      </c>
      <c r="AA2327" s="2" t="n">
        <f aca="false">IF($I2327="Correct",ROUND(INDEX('Reward Model'!$B$12:$B$14,MATCH($K2327,'Reward Model'!$A$12:$A$14,0))*Z2327,2),0)</f>
        <v>0.8</v>
      </c>
      <c r="AB2327" s="2" t="n">
        <f aca="false">IF($I2327="Correct",ROUND(INDEX('Reward Model'!$B$12:$B$14,MATCH($Y2327,'Reward Model'!$A$12:$A$14,0))*Z2327,2),0)</f>
        <v>1.6</v>
      </c>
    </row>
    <row r="2328" customFormat="false" ht="15" hidden="false" customHeight="false" outlineLevel="0" collapsed="false">
      <c r="A2328" s="0" t="s">
        <v>364</v>
      </c>
      <c r="B2328" s="0" t="s">
        <v>365</v>
      </c>
      <c r="C2328" s="0" t="s">
        <v>322</v>
      </c>
      <c r="D2328" s="0" t="s">
        <v>31</v>
      </c>
      <c r="E2328" s="0" t="n">
        <v>7</v>
      </c>
      <c r="F2328" s="0" t="s">
        <v>50</v>
      </c>
      <c r="G2328" s="0" t="s">
        <v>51</v>
      </c>
      <c r="H2328" s="0" t="s">
        <v>51</v>
      </c>
      <c r="I2328" s="0" t="s">
        <v>34</v>
      </c>
      <c r="J2328" s="0" t="n">
        <v>1.08</v>
      </c>
      <c r="K2328" s="0" t="s">
        <v>35</v>
      </c>
      <c r="L2328" s="0" t="n">
        <f aca="false">INDEX(Summary!$F$2:$F$201,MATCH($B2328,Summary!$A$2:$A$201,0))</f>
        <v>20</v>
      </c>
      <c r="M2328" s="0" t="n">
        <f aca="false">INDEX(Summary!$I$2:$I$201,MATCH($B2328,Summary!$A$2:$A$201,0))</f>
        <v>2</v>
      </c>
      <c r="N2328" s="0" t="n">
        <f aca="false">INDEX(Summary!$J$2:$J$201,MATCH($B2328,Summary!$A$2:$A$201,0))</f>
        <v>3</v>
      </c>
      <c r="O2328" s="2" t="n">
        <f aca="false">INDEX(Summary!$K$2:$K$201,MATCH($B2328,Summary!$A$2:$A$201,0))</f>
        <v>8.45</v>
      </c>
      <c r="P2328" s="3" t="n">
        <f aca="false">INDEX(Summary!$L$2:$L$201,MATCH($B2328,Summary!$A$2:$A$201,0))</f>
        <v>4</v>
      </c>
      <c r="Q2328" s="3" t="n">
        <f aca="false">INDEX(Summary!$M$2:$M$201,MATCH($B2328,Summary!$A$2:$A$201,0))</f>
        <v>2</v>
      </c>
      <c r="R2328" s="2" t="n">
        <f aca="false">INDEX(Summary!$N$2:$N$201,MATCH($B2328,Summary!$A$2:$A$201,0))</f>
        <v>10.21</v>
      </c>
      <c r="S2328" s="3" t="n">
        <f aca="false">INDEX(Summary!$O$2:$O$201,MATCH($B2328,Summary!$A$2:$A$201,0))</f>
        <v>8</v>
      </c>
      <c r="T2328" s="3" t="n">
        <f aca="false">INDEX(Summary!$P$2:$P$201,MATCH($B2328,Summary!$A$2:$A$201,0))</f>
        <v>1</v>
      </c>
      <c r="U2328" s="2" t="n">
        <f aca="false">INDEX(Summary!$Q$2:$Q$201,MATCH($B2328,Summary!$A$2:$A$201,0))</f>
        <v>13.33</v>
      </c>
      <c r="V2328" s="2" t="n">
        <f aca="false">INDEX(Summary!$R$2:$R$201,MATCH($B2328,Summary!$A$2:$A$201,0))</f>
        <v>24.97</v>
      </c>
      <c r="W2328" s="0" t="str">
        <f aca="false">INDEX(Summary!$S$2:$S$201,MATCH($B2328,Summary!$A$2:$A$201,0))</f>
        <v>Silver</v>
      </c>
      <c r="X2328" s="2" t="n">
        <f aca="false">INDEX(Summary!$T$2:$T$201,MATCH($B2328,Summary!$A$2:$A$201,0))</f>
        <v>60.9</v>
      </c>
      <c r="Y2328" s="0" t="str">
        <f aca="false">INDEX('Reward Model'!$E$18:$E$37,MATCH($E2328,'Reward Model'!$A$18:$A$37,0))</f>
        <v>Low</v>
      </c>
      <c r="Z2328" s="4" t="n">
        <f aca="false">ROUND(MIN(1,MAX('Reward Model'!$B$2,INDEX('Reward Model'!$C$12:$C$14,MATCH($K2328,'Reward Model'!$A$12:$A$14,0))/$J2328)),3)</f>
        <v>1</v>
      </c>
      <c r="AA2328" s="2" t="n">
        <f aca="false">IF($I2328="Correct",ROUND(INDEX('Reward Model'!$B$12:$B$14,MATCH($K2328,'Reward Model'!$A$12:$A$14,0))*Z2328,2),0)</f>
        <v>1</v>
      </c>
      <c r="AB2328" s="2" t="n">
        <f aca="false">IF($I2328="Correct",ROUND(INDEX('Reward Model'!$B$12:$B$14,MATCH($Y2328,'Reward Model'!$A$12:$A$14,0))*Z2328,2),0)</f>
        <v>1</v>
      </c>
    </row>
    <row r="2329" customFormat="false" ht="15" hidden="false" customHeight="false" outlineLevel="0" collapsed="false">
      <c r="A2329" s="0" t="s">
        <v>364</v>
      </c>
      <c r="B2329" s="0" t="s">
        <v>365</v>
      </c>
      <c r="C2329" s="0" t="s">
        <v>322</v>
      </c>
      <c r="D2329" s="0" t="s">
        <v>31</v>
      </c>
      <c r="E2329" s="0" t="n">
        <v>8</v>
      </c>
      <c r="F2329" s="0" t="s">
        <v>52</v>
      </c>
      <c r="G2329" s="0" t="s">
        <v>54</v>
      </c>
      <c r="H2329" s="0" t="s">
        <v>54</v>
      </c>
      <c r="I2329" s="0" t="s">
        <v>34</v>
      </c>
      <c r="J2329" s="0" t="n">
        <v>1.71</v>
      </c>
      <c r="K2329" s="0" t="s">
        <v>35</v>
      </c>
      <c r="L2329" s="0" t="n">
        <f aca="false">INDEX(Summary!$F$2:$F$201,MATCH($B2329,Summary!$A$2:$A$201,0))</f>
        <v>20</v>
      </c>
      <c r="M2329" s="0" t="n">
        <f aca="false">INDEX(Summary!$I$2:$I$201,MATCH($B2329,Summary!$A$2:$A$201,0))</f>
        <v>2</v>
      </c>
      <c r="N2329" s="0" t="n">
        <f aca="false">INDEX(Summary!$J$2:$J$201,MATCH($B2329,Summary!$A$2:$A$201,0))</f>
        <v>3</v>
      </c>
      <c r="O2329" s="2" t="n">
        <f aca="false">INDEX(Summary!$K$2:$K$201,MATCH($B2329,Summary!$A$2:$A$201,0))</f>
        <v>8.45</v>
      </c>
      <c r="P2329" s="3" t="n">
        <f aca="false">INDEX(Summary!$L$2:$L$201,MATCH($B2329,Summary!$A$2:$A$201,0))</f>
        <v>4</v>
      </c>
      <c r="Q2329" s="3" t="n">
        <f aca="false">INDEX(Summary!$M$2:$M$201,MATCH($B2329,Summary!$A$2:$A$201,0))</f>
        <v>2</v>
      </c>
      <c r="R2329" s="2" t="n">
        <f aca="false">INDEX(Summary!$N$2:$N$201,MATCH($B2329,Summary!$A$2:$A$201,0))</f>
        <v>10.21</v>
      </c>
      <c r="S2329" s="3" t="n">
        <f aca="false">INDEX(Summary!$O$2:$O$201,MATCH($B2329,Summary!$A$2:$A$201,0))</f>
        <v>8</v>
      </c>
      <c r="T2329" s="3" t="n">
        <f aca="false">INDEX(Summary!$P$2:$P$201,MATCH($B2329,Summary!$A$2:$A$201,0))</f>
        <v>1</v>
      </c>
      <c r="U2329" s="2" t="n">
        <f aca="false">INDEX(Summary!$Q$2:$Q$201,MATCH($B2329,Summary!$A$2:$A$201,0))</f>
        <v>13.33</v>
      </c>
      <c r="V2329" s="2" t="n">
        <f aca="false">INDEX(Summary!$R$2:$R$201,MATCH($B2329,Summary!$A$2:$A$201,0))</f>
        <v>24.97</v>
      </c>
      <c r="W2329" s="0" t="str">
        <f aca="false">INDEX(Summary!$S$2:$S$201,MATCH($B2329,Summary!$A$2:$A$201,0))</f>
        <v>Silver</v>
      </c>
      <c r="X2329" s="2" t="n">
        <f aca="false">INDEX(Summary!$T$2:$T$201,MATCH($B2329,Summary!$A$2:$A$201,0))</f>
        <v>60.9</v>
      </c>
      <c r="Y2329" s="0" t="str">
        <f aca="false">INDEX('Reward Model'!$E$18:$E$37,MATCH($E2329,'Reward Model'!$A$18:$A$37,0))</f>
        <v>Medium</v>
      </c>
      <c r="Z2329" s="4" t="n">
        <f aca="false">ROUND(MIN(1,MAX('Reward Model'!$B$2,INDEX('Reward Model'!$C$12:$C$14,MATCH($K2329,'Reward Model'!$A$12:$A$14,0))/$J2329)),3)</f>
        <v>0.877</v>
      </c>
      <c r="AA2329" s="2" t="n">
        <f aca="false">IF($I2329="Correct",ROUND(INDEX('Reward Model'!$B$12:$B$14,MATCH($K2329,'Reward Model'!$A$12:$A$14,0))*Z2329,2),0)</f>
        <v>0.88</v>
      </c>
      <c r="AB2329" s="2" t="n">
        <f aca="false">IF($I2329="Correct",ROUND(INDEX('Reward Model'!$B$12:$B$14,MATCH($Y2329,'Reward Model'!$A$12:$A$14,0))*Z2329,2),0)</f>
        <v>1.75</v>
      </c>
    </row>
    <row r="2330" customFormat="false" ht="15" hidden="false" customHeight="false" outlineLevel="0" collapsed="false">
      <c r="A2330" s="0" t="s">
        <v>364</v>
      </c>
      <c r="B2330" s="0" t="s">
        <v>365</v>
      </c>
      <c r="C2330" s="0" t="s">
        <v>322</v>
      </c>
      <c r="D2330" s="0" t="s">
        <v>31</v>
      </c>
      <c r="E2330" s="0" t="n">
        <v>9</v>
      </c>
      <c r="F2330" s="0" t="s">
        <v>55</v>
      </c>
      <c r="G2330" s="0" t="s">
        <v>57</v>
      </c>
      <c r="H2330" s="0" t="s">
        <v>57</v>
      </c>
      <c r="I2330" s="0" t="s">
        <v>34</v>
      </c>
      <c r="J2330" s="0" t="n">
        <v>1.66</v>
      </c>
      <c r="K2330" s="0" t="s">
        <v>35</v>
      </c>
      <c r="L2330" s="0" t="n">
        <f aca="false">INDEX(Summary!$F$2:$F$201,MATCH($B2330,Summary!$A$2:$A$201,0))</f>
        <v>20</v>
      </c>
      <c r="M2330" s="0" t="n">
        <f aca="false">INDEX(Summary!$I$2:$I$201,MATCH($B2330,Summary!$A$2:$A$201,0))</f>
        <v>2</v>
      </c>
      <c r="N2330" s="0" t="n">
        <f aca="false">INDEX(Summary!$J$2:$J$201,MATCH($B2330,Summary!$A$2:$A$201,0))</f>
        <v>3</v>
      </c>
      <c r="O2330" s="2" t="n">
        <f aca="false">INDEX(Summary!$K$2:$K$201,MATCH($B2330,Summary!$A$2:$A$201,0))</f>
        <v>8.45</v>
      </c>
      <c r="P2330" s="3" t="n">
        <f aca="false">INDEX(Summary!$L$2:$L$201,MATCH($B2330,Summary!$A$2:$A$201,0))</f>
        <v>4</v>
      </c>
      <c r="Q2330" s="3" t="n">
        <f aca="false">INDEX(Summary!$M$2:$M$201,MATCH($B2330,Summary!$A$2:$A$201,0))</f>
        <v>2</v>
      </c>
      <c r="R2330" s="2" t="n">
        <f aca="false">INDEX(Summary!$N$2:$N$201,MATCH($B2330,Summary!$A$2:$A$201,0))</f>
        <v>10.21</v>
      </c>
      <c r="S2330" s="3" t="n">
        <f aca="false">INDEX(Summary!$O$2:$O$201,MATCH($B2330,Summary!$A$2:$A$201,0))</f>
        <v>8</v>
      </c>
      <c r="T2330" s="3" t="n">
        <f aca="false">INDEX(Summary!$P$2:$P$201,MATCH($B2330,Summary!$A$2:$A$201,0))</f>
        <v>1</v>
      </c>
      <c r="U2330" s="2" t="n">
        <f aca="false">INDEX(Summary!$Q$2:$Q$201,MATCH($B2330,Summary!$A$2:$A$201,0))</f>
        <v>13.33</v>
      </c>
      <c r="V2330" s="2" t="n">
        <f aca="false">INDEX(Summary!$R$2:$R$201,MATCH($B2330,Summary!$A$2:$A$201,0))</f>
        <v>24.97</v>
      </c>
      <c r="W2330" s="0" t="str">
        <f aca="false">INDEX(Summary!$S$2:$S$201,MATCH($B2330,Summary!$A$2:$A$201,0))</f>
        <v>Silver</v>
      </c>
      <c r="X2330" s="2" t="n">
        <f aca="false">INDEX(Summary!$T$2:$T$201,MATCH($B2330,Summary!$A$2:$A$201,0))</f>
        <v>60.9</v>
      </c>
      <c r="Y2330" s="0" t="str">
        <f aca="false">INDEX('Reward Model'!$E$18:$E$37,MATCH($E2330,'Reward Model'!$A$18:$A$37,0))</f>
        <v>Medium</v>
      </c>
      <c r="Z2330" s="4" t="n">
        <f aca="false">ROUND(MIN(1,MAX('Reward Model'!$B$2,INDEX('Reward Model'!$C$12:$C$14,MATCH($K2330,'Reward Model'!$A$12:$A$14,0))/$J2330)),3)</f>
        <v>0.904</v>
      </c>
      <c r="AA2330" s="2" t="n">
        <f aca="false">IF($I2330="Correct",ROUND(INDEX('Reward Model'!$B$12:$B$14,MATCH($K2330,'Reward Model'!$A$12:$A$14,0))*Z2330,2),0)</f>
        <v>0.9</v>
      </c>
      <c r="AB2330" s="2" t="n">
        <f aca="false">IF($I2330="Correct",ROUND(INDEX('Reward Model'!$B$12:$B$14,MATCH($Y2330,'Reward Model'!$A$12:$A$14,0))*Z2330,2),0)</f>
        <v>1.81</v>
      </c>
    </row>
    <row r="2331" customFormat="false" ht="15" hidden="false" customHeight="false" outlineLevel="0" collapsed="false">
      <c r="A2331" s="0" t="s">
        <v>364</v>
      </c>
      <c r="B2331" s="0" t="s">
        <v>365</v>
      </c>
      <c r="C2331" s="0" t="s">
        <v>322</v>
      </c>
      <c r="D2331" s="0" t="s">
        <v>31</v>
      </c>
      <c r="E2331" s="0" t="n">
        <v>10</v>
      </c>
      <c r="F2331" s="0" t="s">
        <v>58</v>
      </c>
      <c r="G2331" s="0" t="s">
        <v>59</v>
      </c>
      <c r="H2331" s="0" t="s">
        <v>59</v>
      </c>
      <c r="I2331" s="0" t="s">
        <v>34</v>
      </c>
      <c r="J2331" s="0" t="n">
        <v>1.37</v>
      </c>
      <c r="K2331" s="0" t="s">
        <v>60</v>
      </c>
      <c r="L2331" s="0" t="n">
        <f aca="false">INDEX(Summary!$F$2:$F$201,MATCH($B2331,Summary!$A$2:$A$201,0))</f>
        <v>20</v>
      </c>
      <c r="M2331" s="0" t="n">
        <f aca="false">INDEX(Summary!$I$2:$I$201,MATCH($B2331,Summary!$A$2:$A$201,0))</f>
        <v>2</v>
      </c>
      <c r="N2331" s="0" t="n">
        <f aca="false">INDEX(Summary!$J$2:$J$201,MATCH($B2331,Summary!$A$2:$A$201,0))</f>
        <v>3</v>
      </c>
      <c r="O2331" s="2" t="n">
        <f aca="false">INDEX(Summary!$K$2:$K$201,MATCH($B2331,Summary!$A$2:$A$201,0))</f>
        <v>8.45</v>
      </c>
      <c r="P2331" s="3" t="n">
        <f aca="false">INDEX(Summary!$L$2:$L$201,MATCH($B2331,Summary!$A$2:$A$201,0))</f>
        <v>4</v>
      </c>
      <c r="Q2331" s="3" t="n">
        <f aca="false">INDEX(Summary!$M$2:$M$201,MATCH($B2331,Summary!$A$2:$A$201,0))</f>
        <v>2</v>
      </c>
      <c r="R2331" s="2" t="n">
        <f aca="false">INDEX(Summary!$N$2:$N$201,MATCH($B2331,Summary!$A$2:$A$201,0))</f>
        <v>10.21</v>
      </c>
      <c r="S2331" s="3" t="n">
        <f aca="false">INDEX(Summary!$O$2:$O$201,MATCH($B2331,Summary!$A$2:$A$201,0))</f>
        <v>8</v>
      </c>
      <c r="T2331" s="3" t="n">
        <f aca="false">INDEX(Summary!$P$2:$P$201,MATCH($B2331,Summary!$A$2:$A$201,0))</f>
        <v>1</v>
      </c>
      <c r="U2331" s="2" t="n">
        <f aca="false">INDEX(Summary!$Q$2:$Q$201,MATCH($B2331,Summary!$A$2:$A$201,0))</f>
        <v>13.33</v>
      </c>
      <c r="V2331" s="2" t="n">
        <f aca="false">INDEX(Summary!$R$2:$R$201,MATCH($B2331,Summary!$A$2:$A$201,0))</f>
        <v>24.97</v>
      </c>
      <c r="W2331" s="0" t="str">
        <f aca="false">INDEX(Summary!$S$2:$S$201,MATCH($B2331,Summary!$A$2:$A$201,0))</f>
        <v>Silver</v>
      </c>
      <c r="X2331" s="2" t="n">
        <f aca="false">INDEX(Summary!$T$2:$T$201,MATCH($B2331,Summary!$A$2:$A$201,0))</f>
        <v>60.9</v>
      </c>
      <c r="Y2331" s="0" t="str">
        <f aca="false">INDEX('Reward Model'!$E$18:$E$37,MATCH($E2331,'Reward Model'!$A$18:$A$37,0))</f>
        <v>Medium</v>
      </c>
      <c r="Z2331" s="4" t="n">
        <f aca="false">ROUND(MIN(1,MAX('Reward Model'!$B$2,INDEX('Reward Model'!$C$12:$C$14,MATCH($K2331,'Reward Model'!$A$12:$A$14,0))/$J2331)),3)</f>
        <v>1</v>
      </c>
      <c r="AA2331" s="2" t="n">
        <f aca="false">IF($I2331="Correct",ROUND(INDEX('Reward Model'!$B$12:$B$14,MATCH($K2331,'Reward Model'!$A$12:$A$14,0))*Z2331,2),0)</f>
        <v>2</v>
      </c>
      <c r="AB2331" s="2" t="n">
        <f aca="false">IF($I2331="Correct",ROUND(INDEX('Reward Model'!$B$12:$B$14,MATCH($Y2331,'Reward Model'!$A$12:$A$14,0))*Z2331,2),0)</f>
        <v>2</v>
      </c>
    </row>
    <row r="2332" customFormat="false" ht="15" hidden="false" customHeight="false" outlineLevel="0" collapsed="false">
      <c r="A2332" s="0" t="s">
        <v>364</v>
      </c>
      <c r="B2332" s="0" t="s">
        <v>365</v>
      </c>
      <c r="C2332" s="0" t="s">
        <v>322</v>
      </c>
      <c r="D2332" s="0" t="s">
        <v>31</v>
      </c>
      <c r="E2332" s="0" t="n">
        <v>11</v>
      </c>
      <c r="F2332" s="0" t="s">
        <v>61</v>
      </c>
      <c r="G2332" s="0" t="s">
        <v>62</v>
      </c>
      <c r="H2332" s="0" t="s">
        <v>63</v>
      </c>
      <c r="I2332" s="0" t="s">
        <v>39</v>
      </c>
      <c r="J2332" s="0" t="n">
        <v>1.38</v>
      </c>
      <c r="K2332" s="0" t="s">
        <v>60</v>
      </c>
      <c r="L2332" s="0" t="n">
        <f aca="false">INDEX(Summary!$F$2:$F$201,MATCH($B2332,Summary!$A$2:$A$201,0))</f>
        <v>20</v>
      </c>
      <c r="M2332" s="0" t="n">
        <f aca="false">INDEX(Summary!$I$2:$I$201,MATCH($B2332,Summary!$A$2:$A$201,0))</f>
        <v>2</v>
      </c>
      <c r="N2332" s="0" t="n">
        <f aca="false">INDEX(Summary!$J$2:$J$201,MATCH($B2332,Summary!$A$2:$A$201,0))</f>
        <v>3</v>
      </c>
      <c r="O2332" s="2" t="n">
        <f aca="false">INDEX(Summary!$K$2:$K$201,MATCH($B2332,Summary!$A$2:$A$201,0))</f>
        <v>8.45</v>
      </c>
      <c r="P2332" s="3" t="n">
        <f aca="false">INDEX(Summary!$L$2:$L$201,MATCH($B2332,Summary!$A$2:$A$201,0))</f>
        <v>4</v>
      </c>
      <c r="Q2332" s="3" t="n">
        <f aca="false">INDEX(Summary!$M$2:$M$201,MATCH($B2332,Summary!$A$2:$A$201,0))</f>
        <v>2</v>
      </c>
      <c r="R2332" s="2" t="n">
        <f aca="false">INDEX(Summary!$N$2:$N$201,MATCH($B2332,Summary!$A$2:$A$201,0))</f>
        <v>10.21</v>
      </c>
      <c r="S2332" s="3" t="n">
        <f aca="false">INDEX(Summary!$O$2:$O$201,MATCH($B2332,Summary!$A$2:$A$201,0))</f>
        <v>8</v>
      </c>
      <c r="T2332" s="3" t="n">
        <f aca="false">INDEX(Summary!$P$2:$P$201,MATCH($B2332,Summary!$A$2:$A$201,0))</f>
        <v>1</v>
      </c>
      <c r="U2332" s="2" t="n">
        <f aca="false">INDEX(Summary!$Q$2:$Q$201,MATCH($B2332,Summary!$A$2:$A$201,0))</f>
        <v>13.33</v>
      </c>
      <c r="V2332" s="2" t="n">
        <f aca="false">INDEX(Summary!$R$2:$R$201,MATCH($B2332,Summary!$A$2:$A$201,0))</f>
        <v>24.97</v>
      </c>
      <c r="W2332" s="0" t="str">
        <f aca="false">INDEX(Summary!$S$2:$S$201,MATCH($B2332,Summary!$A$2:$A$201,0))</f>
        <v>Silver</v>
      </c>
      <c r="X2332" s="2" t="n">
        <f aca="false">INDEX(Summary!$T$2:$T$201,MATCH($B2332,Summary!$A$2:$A$201,0))</f>
        <v>60.9</v>
      </c>
      <c r="Y2332" s="0" t="str">
        <f aca="false">INDEX('Reward Model'!$E$18:$E$37,MATCH($E2332,'Reward Model'!$A$18:$A$37,0))</f>
        <v>Medium</v>
      </c>
      <c r="Z2332" s="4" t="n">
        <f aca="false">ROUND(MIN(1,MAX('Reward Model'!$B$2,INDEX('Reward Model'!$C$12:$C$14,MATCH($K2332,'Reward Model'!$A$12:$A$14,0))/$J2332)),3)</f>
        <v>1</v>
      </c>
      <c r="AA2332" s="2" t="n">
        <f aca="false">IF($I2332="Correct",ROUND(INDEX('Reward Model'!$B$12:$B$14,MATCH($K2332,'Reward Model'!$A$12:$A$14,0))*Z2332,2),0)</f>
        <v>0</v>
      </c>
      <c r="AB2332" s="2" t="n">
        <f aca="false">IF($I2332="Correct",ROUND(INDEX('Reward Model'!$B$12:$B$14,MATCH($Y2332,'Reward Model'!$A$12:$A$14,0))*Z2332,2),0)</f>
        <v>0</v>
      </c>
    </row>
    <row r="2333" customFormat="false" ht="15" hidden="false" customHeight="false" outlineLevel="0" collapsed="false">
      <c r="A2333" s="0" t="s">
        <v>364</v>
      </c>
      <c r="B2333" s="0" t="s">
        <v>365</v>
      </c>
      <c r="C2333" s="0" t="s">
        <v>322</v>
      </c>
      <c r="D2333" s="0" t="s">
        <v>31</v>
      </c>
      <c r="E2333" s="0" t="n">
        <v>12</v>
      </c>
      <c r="F2333" s="0" t="s">
        <v>64</v>
      </c>
      <c r="G2333" s="0" t="s">
        <v>65</v>
      </c>
      <c r="H2333" s="0" t="s">
        <v>65</v>
      </c>
      <c r="I2333" s="0" t="s">
        <v>34</v>
      </c>
      <c r="J2333" s="0" t="n">
        <v>2.13</v>
      </c>
      <c r="K2333" s="0" t="s">
        <v>60</v>
      </c>
      <c r="L2333" s="0" t="n">
        <f aca="false">INDEX(Summary!$F$2:$F$201,MATCH($B2333,Summary!$A$2:$A$201,0))</f>
        <v>20</v>
      </c>
      <c r="M2333" s="0" t="n">
        <f aca="false">INDEX(Summary!$I$2:$I$201,MATCH($B2333,Summary!$A$2:$A$201,0))</f>
        <v>2</v>
      </c>
      <c r="N2333" s="0" t="n">
        <f aca="false">INDEX(Summary!$J$2:$J$201,MATCH($B2333,Summary!$A$2:$A$201,0))</f>
        <v>3</v>
      </c>
      <c r="O2333" s="2" t="n">
        <f aca="false">INDEX(Summary!$K$2:$K$201,MATCH($B2333,Summary!$A$2:$A$201,0))</f>
        <v>8.45</v>
      </c>
      <c r="P2333" s="3" t="n">
        <f aca="false">INDEX(Summary!$L$2:$L$201,MATCH($B2333,Summary!$A$2:$A$201,0))</f>
        <v>4</v>
      </c>
      <c r="Q2333" s="3" t="n">
        <f aca="false">INDEX(Summary!$M$2:$M$201,MATCH($B2333,Summary!$A$2:$A$201,0))</f>
        <v>2</v>
      </c>
      <c r="R2333" s="2" t="n">
        <f aca="false">INDEX(Summary!$N$2:$N$201,MATCH($B2333,Summary!$A$2:$A$201,0))</f>
        <v>10.21</v>
      </c>
      <c r="S2333" s="3" t="n">
        <f aca="false">INDEX(Summary!$O$2:$O$201,MATCH($B2333,Summary!$A$2:$A$201,0))</f>
        <v>8</v>
      </c>
      <c r="T2333" s="3" t="n">
        <f aca="false">INDEX(Summary!$P$2:$P$201,MATCH($B2333,Summary!$A$2:$A$201,0))</f>
        <v>1</v>
      </c>
      <c r="U2333" s="2" t="n">
        <f aca="false">INDEX(Summary!$Q$2:$Q$201,MATCH($B2333,Summary!$A$2:$A$201,0))</f>
        <v>13.33</v>
      </c>
      <c r="V2333" s="2" t="n">
        <f aca="false">INDEX(Summary!$R$2:$R$201,MATCH($B2333,Summary!$A$2:$A$201,0))</f>
        <v>24.97</v>
      </c>
      <c r="W2333" s="0" t="str">
        <f aca="false">INDEX(Summary!$S$2:$S$201,MATCH($B2333,Summary!$A$2:$A$201,0))</f>
        <v>Silver</v>
      </c>
      <c r="X2333" s="2" t="n">
        <f aca="false">INDEX(Summary!$T$2:$T$201,MATCH($B2333,Summary!$A$2:$A$201,0))</f>
        <v>60.9</v>
      </c>
      <c r="Y2333" s="0" t="str">
        <f aca="false">INDEX('Reward Model'!$E$18:$E$37,MATCH($E2333,'Reward Model'!$A$18:$A$37,0))</f>
        <v>Medium</v>
      </c>
      <c r="Z2333" s="4" t="n">
        <f aca="false">ROUND(MIN(1,MAX('Reward Model'!$B$2,INDEX('Reward Model'!$C$12:$C$14,MATCH($K2333,'Reward Model'!$A$12:$A$14,0))/$J2333)),3)</f>
        <v>0.845</v>
      </c>
      <c r="AA2333" s="2" t="n">
        <f aca="false">IF($I2333="Correct",ROUND(INDEX('Reward Model'!$B$12:$B$14,MATCH($K2333,'Reward Model'!$A$12:$A$14,0))*Z2333,2),0)</f>
        <v>1.69</v>
      </c>
      <c r="AB2333" s="2" t="n">
        <f aca="false">IF($I2333="Correct",ROUND(INDEX('Reward Model'!$B$12:$B$14,MATCH($Y2333,'Reward Model'!$A$12:$A$14,0))*Z2333,2),0)</f>
        <v>1.69</v>
      </c>
    </row>
    <row r="2334" customFormat="false" ht="15" hidden="false" customHeight="false" outlineLevel="0" collapsed="false">
      <c r="A2334" s="0" t="s">
        <v>364</v>
      </c>
      <c r="B2334" s="0" t="s">
        <v>365</v>
      </c>
      <c r="C2334" s="0" t="s">
        <v>322</v>
      </c>
      <c r="D2334" s="0" t="s">
        <v>31</v>
      </c>
      <c r="E2334" s="0" t="n">
        <v>13</v>
      </c>
      <c r="F2334" s="0" t="s">
        <v>66</v>
      </c>
      <c r="G2334" s="0" t="s">
        <v>67</v>
      </c>
      <c r="H2334" s="0" t="s">
        <v>67</v>
      </c>
      <c r="I2334" s="0" t="s">
        <v>34</v>
      </c>
      <c r="J2334" s="0" t="n">
        <v>1.97</v>
      </c>
      <c r="K2334" s="0" t="s">
        <v>60</v>
      </c>
      <c r="L2334" s="0" t="n">
        <f aca="false">INDEX(Summary!$F$2:$F$201,MATCH($B2334,Summary!$A$2:$A$201,0))</f>
        <v>20</v>
      </c>
      <c r="M2334" s="0" t="n">
        <f aca="false">INDEX(Summary!$I$2:$I$201,MATCH($B2334,Summary!$A$2:$A$201,0))</f>
        <v>2</v>
      </c>
      <c r="N2334" s="0" t="n">
        <f aca="false">INDEX(Summary!$J$2:$J$201,MATCH($B2334,Summary!$A$2:$A$201,0))</f>
        <v>3</v>
      </c>
      <c r="O2334" s="2" t="n">
        <f aca="false">INDEX(Summary!$K$2:$K$201,MATCH($B2334,Summary!$A$2:$A$201,0))</f>
        <v>8.45</v>
      </c>
      <c r="P2334" s="3" t="n">
        <f aca="false">INDEX(Summary!$L$2:$L$201,MATCH($B2334,Summary!$A$2:$A$201,0))</f>
        <v>4</v>
      </c>
      <c r="Q2334" s="3" t="n">
        <f aca="false">INDEX(Summary!$M$2:$M$201,MATCH($B2334,Summary!$A$2:$A$201,0))</f>
        <v>2</v>
      </c>
      <c r="R2334" s="2" t="n">
        <f aca="false">INDEX(Summary!$N$2:$N$201,MATCH($B2334,Summary!$A$2:$A$201,0))</f>
        <v>10.21</v>
      </c>
      <c r="S2334" s="3" t="n">
        <f aca="false">INDEX(Summary!$O$2:$O$201,MATCH($B2334,Summary!$A$2:$A$201,0))</f>
        <v>8</v>
      </c>
      <c r="T2334" s="3" t="n">
        <f aca="false">INDEX(Summary!$P$2:$P$201,MATCH($B2334,Summary!$A$2:$A$201,0))</f>
        <v>1</v>
      </c>
      <c r="U2334" s="2" t="n">
        <f aca="false">INDEX(Summary!$Q$2:$Q$201,MATCH($B2334,Summary!$A$2:$A$201,0))</f>
        <v>13.33</v>
      </c>
      <c r="V2334" s="2" t="n">
        <f aca="false">INDEX(Summary!$R$2:$R$201,MATCH($B2334,Summary!$A$2:$A$201,0))</f>
        <v>24.97</v>
      </c>
      <c r="W2334" s="0" t="str">
        <f aca="false">INDEX(Summary!$S$2:$S$201,MATCH($B2334,Summary!$A$2:$A$201,0))</f>
        <v>Silver</v>
      </c>
      <c r="X2334" s="2" t="n">
        <f aca="false">INDEX(Summary!$T$2:$T$201,MATCH($B2334,Summary!$A$2:$A$201,0))</f>
        <v>60.9</v>
      </c>
      <c r="Y2334" s="0" t="str">
        <f aca="false">INDEX('Reward Model'!$E$18:$E$37,MATCH($E2334,'Reward Model'!$A$18:$A$37,0))</f>
        <v>Medium</v>
      </c>
      <c r="Z2334" s="4" t="n">
        <f aca="false">ROUND(MIN(1,MAX('Reward Model'!$B$2,INDEX('Reward Model'!$C$12:$C$14,MATCH($K2334,'Reward Model'!$A$12:$A$14,0))/$J2334)),3)</f>
        <v>0.914</v>
      </c>
      <c r="AA2334" s="2" t="n">
        <f aca="false">IF($I2334="Correct",ROUND(INDEX('Reward Model'!$B$12:$B$14,MATCH($K2334,'Reward Model'!$A$12:$A$14,0))*Z2334,2),0)</f>
        <v>1.83</v>
      </c>
      <c r="AB2334" s="2" t="n">
        <f aca="false">IF($I2334="Correct",ROUND(INDEX('Reward Model'!$B$12:$B$14,MATCH($Y2334,'Reward Model'!$A$12:$A$14,0))*Z2334,2),0)</f>
        <v>1.83</v>
      </c>
    </row>
    <row r="2335" customFormat="false" ht="15" hidden="false" customHeight="false" outlineLevel="0" collapsed="false">
      <c r="A2335" s="0" t="s">
        <v>364</v>
      </c>
      <c r="B2335" s="0" t="s">
        <v>365</v>
      </c>
      <c r="C2335" s="0" t="s">
        <v>322</v>
      </c>
      <c r="D2335" s="0" t="s">
        <v>31</v>
      </c>
      <c r="E2335" s="0" t="n">
        <v>14</v>
      </c>
      <c r="F2335" s="0" t="s">
        <v>68</v>
      </c>
      <c r="G2335" s="0" t="s">
        <v>51</v>
      </c>
      <c r="H2335" s="0" t="s">
        <v>51</v>
      </c>
      <c r="I2335" s="0" t="s">
        <v>34</v>
      </c>
      <c r="J2335" s="0" t="n">
        <v>1.3</v>
      </c>
      <c r="K2335" s="0" t="s">
        <v>60</v>
      </c>
      <c r="L2335" s="0" t="n">
        <f aca="false">INDEX(Summary!$F$2:$F$201,MATCH($B2335,Summary!$A$2:$A$201,0))</f>
        <v>20</v>
      </c>
      <c r="M2335" s="0" t="n">
        <f aca="false">INDEX(Summary!$I$2:$I$201,MATCH($B2335,Summary!$A$2:$A$201,0))</f>
        <v>2</v>
      </c>
      <c r="N2335" s="0" t="n">
        <f aca="false">INDEX(Summary!$J$2:$J$201,MATCH($B2335,Summary!$A$2:$A$201,0))</f>
        <v>3</v>
      </c>
      <c r="O2335" s="2" t="n">
        <f aca="false">INDEX(Summary!$K$2:$K$201,MATCH($B2335,Summary!$A$2:$A$201,0))</f>
        <v>8.45</v>
      </c>
      <c r="P2335" s="3" t="n">
        <f aca="false">INDEX(Summary!$L$2:$L$201,MATCH($B2335,Summary!$A$2:$A$201,0))</f>
        <v>4</v>
      </c>
      <c r="Q2335" s="3" t="n">
        <f aca="false">INDEX(Summary!$M$2:$M$201,MATCH($B2335,Summary!$A$2:$A$201,0))</f>
        <v>2</v>
      </c>
      <c r="R2335" s="2" t="n">
        <f aca="false">INDEX(Summary!$N$2:$N$201,MATCH($B2335,Summary!$A$2:$A$201,0))</f>
        <v>10.21</v>
      </c>
      <c r="S2335" s="3" t="n">
        <f aca="false">INDEX(Summary!$O$2:$O$201,MATCH($B2335,Summary!$A$2:$A$201,0))</f>
        <v>8</v>
      </c>
      <c r="T2335" s="3" t="n">
        <f aca="false">INDEX(Summary!$P$2:$P$201,MATCH($B2335,Summary!$A$2:$A$201,0))</f>
        <v>1</v>
      </c>
      <c r="U2335" s="2" t="n">
        <f aca="false">INDEX(Summary!$Q$2:$Q$201,MATCH($B2335,Summary!$A$2:$A$201,0))</f>
        <v>13.33</v>
      </c>
      <c r="V2335" s="2" t="n">
        <f aca="false">INDEX(Summary!$R$2:$R$201,MATCH($B2335,Summary!$A$2:$A$201,0))</f>
        <v>24.97</v>
      </c>
      <c r="W2335" s="0" t="str">
        <f aca="false">INDEX(Summary!$S$2:$S$201,MATCH($B2335,Summary!$A$2:$A$201,0))</f>
        <v>Silver</v>
      </c>
      <c r="X2335" s="2" t="n">
        <f aca="false">INDEX(Summary!$T$2:$T$201,MATCH($B2335,Summary!$A$2:$A$201,0))</f>
        <v>60.9</v>
      </c>
      <c r="Y2335" s="0" t="str">
        <f aca="false">INDEX('Reward Model'!$E$18:$E$37,MATCH($E2335,'Reward Model'!$A$18:$A$37,0))</f>
        <v>Medium</v>
      </c>
      <c r="Z2335" s="4" t="n">
        <f aca="false">ROUND(MIN(1,MAX('Reward Model'!$B$2,INDEX('Reward Model'!$C$12:$C$14,MATCH($K2335,'Reward Model'!$A$12:$A$14,0))/$J2335)),3)</f>
        <v>1</v>
      </c>
      <c r="AA2335" s="2" t="n">
        <f aca="false">IF($I2335="Correct",ROUND(INDEX('Reward Model'!$B$12:$B$14,MATCH($K2335,'Reward Model'!$A$12:$A$14,0))*Z2335,2),0)</f>
        <v>2</v>
      </c>
      <c r="AB2335" s="2" t="n">
        <f aca="false">IF($I2335="Correct",ROUND(INDEX('Reward Model'!$B$12:$B$14,MATCH($Y2335,'Reward Model'!$A$12:$A$14,0))*Z2335,2),0)</f>
        <v>2</v>
      </c>
    </row>
    <row r="2336" customFormat="false" ht="15" hidden="false" customHeight="false" outlineLevel="0" collapsed="false">
      <c r="A2336" s="0" t="s">
        <v>364</v>
      </c>
      <c r="B2336" s="0" t="s">
        <v>365</v>
      </c>
      <c r="C2336" s="0" t="s">
        <v>322</v>
      </c>
      <c r="D2336" s="0" t="s">
        <v>31</v>
      </c>
      <c r="E2336" s="0" t="n">
        <v>15</v>
      </c>
      <c r="F2336" s="0" t="s">
        <v>69</v>
      </c>
      <c r="G2336" s="0" t="s">
        <v>94</v>
      </c>
      <c r="H2336" s="0" t="s">
        <v>70</v>
      </c>
      <c r="I2336" s="0" t="s">
        <v>39</v>
      </c>
      <c r="J2336" s="0" t="n">
        <v>2.06</v>
      </c>
      <c r="K2336" s="0" t="s">
        <v>60</v>
      </c>
      <c r="L2336" s="0" t="n">
        <f aca="false">INDEX(Summary!$F$2:$F$201,MATCH($B2336,Summary!$A$2:$A$201,0))</f>
        <v>20</v>
      </c>
      <c r="M2336" s="0" t="n">
        <f aca="false">INDEX(Summary!$I$2:$I$201,MATCH($B2336,Summary!$A$2:$A$201,0))</f>
        <v>2</v>
      </c>
      <c r="N2336" s="0" t="n">
        <f aca="false">INDEX(Summary!$J$2:$J$201,MATCH($B2336,Summary!$A$2:$A$201,0))</f>
        <v>3</v>
      </c>
      <c r="O2336" s="2" t="n">
        <f aca="false">INDEX(Summary!$K$2:$K$201,MATCH($B2336,Summary!$A$2:$A$201,0))</f>
        <v>8.45</v>
      </c>
      <c r="P2336" s="3" t="n">
        <f aca="false">INDEX(Summary!$L$2:$L$201,MATCH($B2336,Summary!$A$2:$A$201,0))</f>
        <v>4</v>
      </c>
      <c r="Q2336" s="3" t="n">
        <f aca="false">INDEX(Summary!$M$2:$M$201,MATCH($B2336,Summary!$A$2:$A$201,0))</f>
        <v>2</v>
      </c>
      <c r="R2336" s="2" t="n">
        <f aca="false">INDEX(Summary!$N$2:$N$201,MATCH($B2336,Summary!$A$2:$A$201,0))</f>
        <v>10.21</v>
      </c>
      <c r="S2336" s="3" t="n">
        <f aca="false">INDEX(Summary!$O$2:$O$201,MATCH($B2336,Summary!$A$2:$A$201,0))</f>
        <v>8</v>
      </c>
      <c r="T2336" s="3" t="n">
        <f aca="false">INDEX(Summary!$P$2:$P$201,MATCH($B2336,Summary!$A$2:$A$201,0))</f>
        <v>1</v>
      </c>
      <c r="U2336" s="2" t="n">
        <f aca="false">INDEX(Summary!$Q$2:$Q$201,MATCH($B2336,Summary!$A$2:$A$201,0))</f>
        <v>13.33</v>
      </c>
      <c r="V2336" s="2" t="n">
        <f aca="false">INDEX(Summary!$R$2:$R$201,MATCH($B2336,Summary!$A$2:$A$201,0))</f>
        <v>24.97</v>
      </c>
      <c r="W2336" s="0" t="str">
        <f aca="false">INDEX(Summary!$S$2:$S$201,MATCH($B2336,Summary!$A$2:$A$201,0))</f>
        <v>Silver</v>
      </c>
      <c r="X2336" s="2" t="n">
        <f aca="false">INDEX(Summary!$T$2:$T$201,MATCH($B2336,Summary!$A$2:$A$201,0))</f>
        <v>60.9</v>
      </c>
      <c r="Y2336" s="0" t="str">
        <f aca="false">INDEX('Reward Model'!$E$18:$E$37,MATCH($E2336,'Reward Model'!$A$18:$A$37,0))</f>
        <v>Medium</v>
      </c>
      <c r="Z2336" s="4" t="n">
        <f aca="false">ROUND(MIN(1,MAX('Reward Model'!$B$2,INDEX('Reward Model'!$C$12:$C$14,MATCH($K2336,'Reward Model'!$A$12:$A$14,0))/$J2336)),3)</f>
        <v>0.874</v>
      </c>
      <c r="AA2336" s="2" t="n">
        <f aca="false">IF($I2336="Correct",ROUND(INDEX('Reward Model'!$B$12:$B$14,MATCH($K2336,'Reward Model'!$A$12:$A$14,0))*Z2336,2),0)</f>
        <v>0</v>
      </c>
      <c r="AB2336" s="2" t="n">
        <f aca="false">IF($I2336="Correct",ROUND(INDEX('Reward Model'!$B$12:$B$14,MATCH($Y2336,'Reward Model'!$A$12:$A$14,0))*Z2336,2),0)</f>
        <v>0</v>
      </c>
    </row>
    <row r="2337" customFormat="false" ht="15" hidden="false" customHeight="false" outlineLevel="0" collapsed="false">
      <c r="A2337" s="0" t="s">
        <v>364</v>
      </c>
      <c r="B2337" s="0" t="s">
        <v>365</v>
      </c>
      <c r="C2337" s="0" t="s">
        <v>322</v>
      </c>
      <c r="D2337" s="0" t="s">
        <v>31</v>
      </c>
      <c r="E2337" s="0" t="n">
        <v>16</v>
      </c>
      <c r="F2337" s="0" t="s">
        <v>71</v>
      </c>
      <c r="G2337" s="0" t="s">
        <v>87</v>
      </c>
      <c r="H2337" s="0" t="s">
        <v>72</v>
      </c>
      <c r="I2337" s="0" t="s">
        <v>39</v>
      </c>
      <c r="J2337" s="0" t="n">
        <v>1.38</v>
      </c>
      <c r="K2337" s="0" t="s">
        <v>73</v>
      </c>
      <c r="L2337" s="0" t="n">
        <f aca="false">INDEX(Summary!$F$2:$F$201,MATCH($B2337,Summary!$A$2:$A$201,0))</f>
        <v>20</v>
      </c>
      <c r="M2337" s="0" t="n">
        <f aca="false">INDEX(Summary!$I$2:$I$201,MATCH($B2337,Summary!$A$2:$A$201,0))</f>
        <v>2</v>
      </c>
      <c r="N2337" s="0" t="n">
        <f aca="false">INDEX(Summary!$J$2:$J$201,MATCH($B2337,Summary!$A$2:$A$201,0))</f>
        <v>3</v>
      </c>
      <c r="O2337" s="2" t="n">
        <f aca="false">INDEX(Summary!$K$2:$K$201,MATCH($B2337,Summary!$A$2:$A$201,0))</f>
        <v>8.45</v>
      </c>
      <c r="P2337" s="3" t="n">
        <f aca="false">INDEX(Summary!$L$2:$L$201,MATCH($B2337,Summary!$A$2:$A$201,0))</f>
        <v>4</v>
      </c>
      <c r="Q2337" s="3" t="n">
        <f aca="false">INDEX(Summary!$M$2:$M$201,MATCH($B2337,Summary!$A$2:$A$201,0))</f>
        <v>2</v>
      </c>
      <c r="R2337" s="2" t="n">
        <f aca="false">INDEX(Summary!$N$2:$N$201,MATCH($B2337,Summary!$A$2:$A$201,0))</f>
        <v>10.21</v>
      </c>
      <c r="S2337" s="3" t="n">
        <f aca="false">INDEX(Summary!$O$2:$O$201,MATCH($B2337,Summary!$A$2:$A$201,0))</f>
        <v>8</v>
      </c>
      <c r="T2337" s="3" t="n">
        <f aca="false">INDEX(Summary!$P$2:$P$201,MATCH($B2337,Summary!$A$2:$A$201,0))</f>
        <v>1</v>
      </c>
      <c r="U2337" s="2" t="n">
        <f aca="false">INDEX(Summary!$Q$2:$Q$201,MATCH($B2337,Summary!$A$2:$A$201,0))</f>
        <v>13.33</v>
      </c>
      <c r="V2337" s="2" t="n">
        <f aca="false">INDEX(Summary!$R$2:$R$201,MATCH($B2337,Summary!$A$2:$A$201,0))</f>
        <v>24.97</v>
      </c>
      <c r="W2337" s="0" t="str">
        <f aca="false">INDEX(Summary!$S$2:$S$201,MATCH($B2337,Summary!$A$2:$A$201,0))</f>
        <v>Silver</v>
      </c>
      <c r="X2337" s="2" t="n">
        <f aca="false">INDEX(Summary!$T$2:$T$201,MATCH($B2337,Summary!$A$2:$A$201,0))</f>
        <v>60.9</v>
      </c>
      <c r="Y2337" s="0" t="str">
        <f aca="false">INDEX('Reward Model'!$E$18:$E$37,MATCH($E2337,'Reward Model'!$A$18:$A$37,0))</f>
        <v>High</v>
      </c>
      <c r="Z2337" s="4" t="n">
        <f aca="false">ROUND(MIN(1,MAX('Reward Model'!$B$2,INDEX('Reward Model'!$C$12:$C$14,MATCH($K2337,'Reward Model'!$A$12:$A$14,0))/$J2337)),3)</f>
        <v>1</v>
      </c>
      <c r="AA2337" s="2" t="n">
        <f aca="false">IF($I2337="Correct",ROUND(INDEX('Reward Model'!$B$12:$B$14,MATCH($K2337,'Reward Model'!$A$12:$A$14,0))*Z2337,2),0)</f>
        <v>0</v>
      </c>
      <c r="AB2337" s="2" t="n">
        <f aca="false">IF($I2337="Correct",ROUND(INDEX('Reward Model'!$B$12:$B$14,MATCH($Y2337,'Reward Model'!$A$12:$A$14,0))*Z2337,2),0)</f>
        <v>0</v>
      </c>
    </row>
    <row r="2338" customFormat="false" ht="15" hidden="false" customHeight="false" outlineLevel="0" collapsed="false">
      <c r="A2338" s="0" t="s">
        <v>364</v>
      </c>
      <c r="B2338" s="0" t="s">
        <v>365</v>
      </c>
      <c r="C2338" s="0" t="s">
        <v>322</v>
      </c>
      <c r="D2338" s="0" t="s">
        <v>31</v>
      </c>
      <c r="E2338" s="0" t="n">
        <v>17</v>
      </c>
      <c r="F2338" s="0" t="s">
        <v>74</v>
      </c>
      <c r="G2338" s="0" t="s">
        <v>75</v>
      </c>
      <c r="H2338" s="0" t="s">
        <v>75</v>
      </c>
      <c r="I2338" s="0" t="s">
        <v>34</v>
      </c>
      <c r="J2338" s="0" t="n">
        <v>1.24</v>
      </c>
      <c r="K2338" s="0" t="s">
        <v>73</v>
      </c>
      <c r="L2338" s="0" t="n">
        <f aca="false">INDEX(Summary!$F$2:$F$201,MATCH($B2338,Summary!$A$2:$A$201,0))</f>
        <v>20</v>
      </c>
      <c r="M2338" s="0" t="n">
        <f aca="false">INDEX(Summary!$I$2:$I$201,MATCH($B2338,Summary!$A$2:$A$201,0))</f>
        <v>2</v>
      </c>
      <c r="N2338" s="0" t="n">
        <f aca="false">INDEX(Summary!$J$2:$J$201,MATCH($B2338,Summary!$A$2:$A$201,0))</f>
        <v>3</v>
      </c>
      <c r="O2338" s="2" t="n">
        <f aca="false">INDEX(Summary!$K$2:$K$201,MATCH($B2338,Summary!$A$2:$A$201,0))</f>
        <v>8.45</v>
      </c>
      <c r="P2338" s="3" t="n">
        <f aca="false">INDEX(Summary!$L$2:$L$201,MATCH($B2338,Summary!$A$2:$A$201,0))</f>
        <v>4</v>
      </c>
      <c r="Q2338" s="3" t="n">
        <f aca="false">INDEX(Summary!$M$2:$M$201,MATCH($B2338,Summary!$A$2:$A$201,0))</f>
        <v>2</v>
      </c>
      <c r="R2338" s="2" t="n">
        <f aca="false">INDEX(Summary!$N$2:$N$201,MATCH($B2338,Summary!$A$2:$A$201,0))</f>
        <v>10.21</v>
      </c>
      <c r="S2338" s="3" t="n">
        <f aca="false">INDEX(Summary!$O$2:$O$201,MATCH($B2338,Summary!$A$2:$A$201,0))</f>
        <v>8</v>
      </c>
      <c r="T2338" s="3" t="n">
        <f aca="false">INDEX(Summary!$P$2:$P$201,MATCH($B2338,Summary!$A$2:$A$201,0))</f>
        <v>1</v>
      </c>
      <c r="U2338" s="2" t="n">
        <f aca="false">INDEX(Summary!$Q$2:$Q$201,MATCH($B2338,Summary!$A$2:$A$201,0))</f>
        <v>13.33</v>
      </c>
      <c r="V2338" s="2" t="n">
        <f aca="false">INDEX(Summary!$R$2:$R$201,MATCH($B2338,Summary!$A$2:$A$201,0))</f>
        <v>24.97</v>
      </c>
      <c r="W2338" s="0" t="str">
        <f aca="false">INDEX(Summary!$S$2:$S$201,MATCH($B2338,Summary!$A$2:$A$201,0))</f>
        <v>Silver</v>
      </c>
      <c r="X2338" s="2" t="n">
        <f aca="false">INDEX(Summary!$T$2:$T$201,MATCH($B2338,Summary!$A$2:$A$201,0))</f>
        <v>60.9</v>
      </c>
      <c r="Y2338" s="0" t="str">
        <f aca="false">INDEX('Reward Model'!$E$18:$E$37,MATCH($E2338,'Reward Model'!$A$18:$A$37,0))</f>
        <v>High</v>
      </c>
      <c r="Z2338" s="4" t="n">
        <f aca="false">ROUND(MIN(1,MAX('Reward Model'!$B$2,INDEX('Reward Model'!$C$12:$C$14,MATCH($K2338,'Reward Model'!$A$12:$A$14,0))/$J2338)),3)</f>
        <v>1</v>
      </c>
      <c r="AA2338" s="2" t="n">
        <f aca="false">IF($I2338="Correct",ROUND(INDEX('Reward Model'!$B$12:$B$14,MATCH($K2338,'Reward Model'!$A$12:$A$14,0))*Z2338,2),0)</f>
        <v>3</v>
      </c>
      <c r="AB2338" s="2" t="n">
        <f aca="false">IF($I2338="Correct",ROUND(INDEX('Reward Model'!$B$12:$B$14,MATCH($Y2338,'Reward Model'!$A$12:$A$14,0))*Z2338,2),0)</f>
        <v>3</v>
      </c>
    </row>
    <row r="2339" customFormat="false" ht="15" hidden="false" customHeight="false" outlineLevel="0" collapsed="false">
      <c r="A2339" s="0" t="s">
        <v>364</v>
      </c>
      <c r="B2339" s="0" t="s">
        <v>365</v>
      </c>
      <c r="C2339" s="0" t="s">
        <v>322</v>
      </c>
      <c r="D2339" s="0" t="s">
        <v>31</v>
      </c>
      <c r="E2339" s="0" t="n">
        <v>18</v>
      </c>
      <c r="F2339" s="0" t="s">
        <v>76</v>
      </c>
      <c r="G2339" s="0" t="s">
        <v>128</v>
      </c>
      <c r="H2339" s="0" t="s">
        <v>77</v>
      </c>
      <c r="I2339" s="0" t="s">
        <v>39</v>
      </c>
      <c r="J2339" s="0" t="n">
        <v>1.3</v>
      </c>
      <c r="K2339" s="0" t="s">
        <v>73</v>
      </c>
      <c r="L2339" s="0" t="n">
        <f aca="false">INDEX(Summary!$F$2:$F$201,MATCH($B2339,Summary!$A$2:$A$201,0))</f>
        <v>20</v>
      </c>
      <c r="M2339" s="0" t="n">
        <f aca="false">INDEX(Summary!$I$2:$I$201,MATCH($B2339,Summary!$A$2:$A$201,0))</f>
        <v>2</v>
      </c>
      <c r="N2339" s="0" t="n">
        <f aca="false">INDEX(Summary!$J$2:$J$201,MATCH($B2339,Summary!$A$2:$A$201,0))</f>
        <v>3</v>
      </c>
      <c r="O2339" s="2" t="n">
        <f aca="false">INDEX(Summary!$K$2:$K$201,MATCH($B2339,Summary!$A$2:$A$201,0))</f>
        <v>8.45</v>
      </c>
      <c r="P2339" s="3" t="n">
        <f aca="false">INDEX(Summary!$L$2:$L$201,MATCH($B2339,Summary!$A$2:$A$201,0))</f>
        <v>4</v>
      </c>
      <c r="Q2339" s="3" t="n">
        <f aca="false">INDEX(Summary!$M$2:$M$201,MATCH($B2339,Summary!$A$2:$A$201,0))</f>
        <v>2</v>
      </c>
      <c r="R2339" s="2" t="n">
        <f aca="false">INDEX(Summary!$N$2:$N$201,MATCH($B2339,Summary!$A$2:$A$201,0))</f>
        <v>10.21</v>
      </c>
      <c r="S2339" s="3" t="n">
        <f aca="false">INDEX(Summary!$O$2:$O$201,MATCH($B2339,Summary!$A$2:$A$201,0))</f>
        <v>8</v>
      </c>
      <c r="T2339" s="3" t="n">
        <f aca="false">INDEX(Summary!$P$2:$P$201,MATCH($B2339,Summary!$A$2:$A$201,0))</f>
        <v>1</v>
      </c>
      <c r="U2339" s="2" t="n">
        <f aca="false">INDEX(Summary!$Q$2:$Q$201,MATCH($B2339,Summary!$A$2:$A$201,0))</f>
        <v>13.33</v>
      </c>
      <c r="V2339" s="2" t="n">
        <f aca="false">INDEX(Summary!$R$2:$R$201,MATCH($B2339,Summary!$A$2:$A$201,0))</f>
        <v>24.97</v>
      </c>
      <c r="W2339" s="0" t="str">
        <f aca="false">INDEX(Summary!$S$2:$S$201,MATCH($B2339,Summary!$A$2:$A$201,0))</f>
        <v>Silver</v>
      </c>
      <c r="X2339" s="2" t="n">
        <f aca="false">INDEX(Summary!$T$2:$T$201,MATCH($B2339,Summary!$A$2:$A$201,0))</f>
        <v>60.9</v>
      </c>
      <c r="Y2339" s="0" t="str">
        <f aca="false">INDEX('Reward Model'!$E$18:$E$37,MATCH($E2339,'Reward Model'!$A$18:$A$37,0))</f>
        <v>High</v>
      </c>
      <c r="Z2339" s="4" t="n">
        <f aca="false">ROUND(MIN(1,MAX('Reward Model'!$B$2,INDEX('Reward Model'!$C$12:$C$14,MATCH($K2339,'Reward Model'!$A$12:$A$14,0))/$J2339)),3)</f>
        <v>1</v>
      </c>
      <c r="AA2339" s="2" t="n">
        <f aca="false">IF($I2339="Correct",ROUND(INDEX('Reward Model'!$B$12:$B$14,MATCH($K2339,'Reward Model'!$A$12:$A$14,0))*Z2339,2),0)</f>
        <v>0</v>
      </c>
      <c r="AB2339" s="2" t="n">
        <f aca="false">IF($I2339="Correct",ROUND(INDEX('Reward Model'!$B$12:$B$14,MATCH($Y2339,'Reward Model'!$A$12:$A$14,0))*Z2339,2),0)</f>
        <v>0</v>
      </c>
    </row>
    <row r="2340" customFormat="false" ht="15" hidden="false" customHeight="false" outlineLevel="0" collapsed="false">
      <c r="A2340" s="0" t="s">
        <v>364</v>
      </c>
      <c r="B2340" s="0" t="s">
        <v>365</v>
      </c>
      <c r="C2340" s="0" t="s">
        <v>322</v>
      </c>
      <c r="D2340" s="0" t="s">
        <v>31</v>
      </c>
      <c r="E2340" s="0" t="n">
        <v>19</v>
      </c>
      <c r="F2340" s="0" t="s">
        <v>78</v>
      </c>
      <c r="G2340" s="0" t="s">
        <v>80</v>
      </c>
      <c r="H2340" s="0" t="s">
        <v>80</v>
      </c>
      <c r="I2340" s="0" t="s">
        <v>34</v>
      </c>
      <c r="J2340" s="0" t="n">
        <v>2.43</v>
      </c>
      <c r="K2340" s="0" t="s">
        <v>73</v>
      </c>
      <c r="L2340" s="0" t="n">
        <f aca="false">INDEX(Summary!$F$2:$F$201,MATCH($B2340,Summary!$A$2:$A$201,0))</f>
        <v>20</v>
      </c>
      <c r="M2340" s="0" t="n">
        <f aca="false">INDEX(Summary!$I$2:$I$201,MATCH($B2340,Summary!$A$2:$A$201,0))</f>
        <v>2</v>
      </c>
      <c r="N2340" s="0" t="n">
        <f aca="false">INDEX(Summary!$J$2:$J$201,MATCH($B2340,Summary!$A$2:$A$201,0))</f>
        <v>3</v>
      </c>
      <c r="O2340" s="2" t="n">
        <f aca="false">INDEX(Summary!$K$2:$K$201,MATCH($B2340,Summary!$A$2:$A$201,0))</f>
        <v>8.45</v>
      </c>
      <c r="P2340" s="3" t="n">
        <f aca="false">INDEX(Summary!$L$2:$L$201,MATCH($B2340,Summary!$A$2:$A$201,0))</f>
        <v>4</v>
      </c>
      <c r="Q2340" s="3" t="n">
        <f aca="false">INDEX(Summary!$M$2:$M$201,MATCH($B2340,Summary!$A$2:$A$201,0))</f>
        <v>2</v>
      </c>
      <c r="R2340" s="2" t="n">
        <f aca="false">INDEX(Summary!$N$2:$N$201,MATCH($B2340,Summary!$A$2:$A$201,0))</f>
        <v>10.21</v>
      </c>
      <c r="S2340" s="3" t="n">
        <f aca="false">INDEX(Summary!$O$2:$O$201,MATCH($B2340,Summary!$A$2:$A$201,0))</f>
        <v>8</v>
      </c>
      <c r="T2340" s="3" t="n">
        <f aca="false">INDEX(Summary!$P$2:$P$201,MATCH($B2340,Summary!$A$2:$A$201,0))</f>
        <v>1</v>
      </c>
      <c r="U2340" s="2" t="n">
        <f aca="false">INDEX(Summary!$Q$2:$Q$201,MATCH($B2340,Summary!$A$2:$A$201,0))</f>
        <v>13.33</v>
      </c>
      <c r="V2340" s="2" t="n">
        <f aca="false">INDEX(Summary!$R$2:$R$201,MATCH($B2340,Summary!$A$2:$A$201,0))</f>
        <v>24.97</v>
      </c>
      <c r="W2340" s="0" t="str">
        <f aca="false">INDEX(Summary!$S$2:$S$201,MATCH($B2340,Summary!$A$2:$A$201,0))</f>
        <v>Silver</v>
      </c>
      <c r="X2340" s="2" t="n">
        <f aca="false">INDEX(Summary!$T$2:$T$201,MATCH($B2340,Summary!$A$2:$A$201,0))</f>
        <v>60.9</v>
      </c>
      <c r="Y2340" s="0" t="str">
        <f aca="false">INDEX('Reward Model'!$E$18:$E$37,MATCH($E2340,'Reward Model'!$A$18:$A$37,0))</f>
        <v>High</v>
      </c>
      <c r="Z2340" s="4" t="n">
        <f aca="false">ROUND(MIN(1,MAX('Reward Model'!$B$2,INDEX('Reward Model'!$C$12:$C$14,MATCH($K2340,'Reward Model'!$A$12:$A$14,0))/$J2340)),3)</f>
        <v>0.823</v>
      </c>
      <c r="AA2340" s="2" t="n">
        <f aca="false">IF($I2340="Correct",ROUND(INDEX('Reward Model'!$B$12:$B$14,MATCH($K2340,'Reward Model'!$A$12:$A$14,0))*Z2340,2),0)</f>
        <v>2.47</v>
      </c>
      <c r="AB2340" s="2" t="n">
        <f aca="false">IF($I2340="Correct",ROUND(INDEX('Reward Model'!$B$12:$B$14,MATCH($Y2340,'Reward Model'!$A$12:$A$14,0))*Z2340,2),0)</f>
        <v>2.47</v>
      </c>
    </row>
    <row r="2341" customFormat="false" ht="15" hidden="false" customHeight="false" outlineLevel="0" collapsed="false">
      <c r="A2341" s="0" t="s">
        <v>364</v>
      </c>
      <c r="B2341" s="0" t="s">
        <v>365</v>
      </c>
      <c r="C2341" s="0" t="s">
        <v>322</v>
      </c>
      <c r="D2341" s="0" t="s">
        <v>31</v>
      </c>
      <c r="E2341" s="0" t="n">
        <v>20</v>
      </c>
      <c r="F2341" s="0" t="s">
        <v>81</v>
      </c>
      <c r="G2341" s="0" t="s">
        <v>166</v>
      </c>
      <c r="H2341" s="0" t="s">
        <v>83</v>
      </c>
      <c r="I2341" s="0" t="s">
        <v>39</v>
      </c>
      <c r="J2341" s="0" t="n">
        <v>2.1</v>
      </c>
      <c r="K2341" s="0" t="s">
        <v>73</v>
      </c>
      <c r="L2341" s="0" t="n">
        <f aca="false">INDEX(Summary!$F$2:$F$201,MATCH($B2341,Summary!$A$2:$A$201,0))</f>
        <v>20</v>
      </c>
      <c r="M2341" s="0" t="n">
        <f aca="false">INDEX(Summary!$I$2:$I$201,MATCH($B2341,Summary!$A$2:$A$201,0))</f>
        <v>2</v>
      </c>
      <c r="N2341" s="0" t="n">
        <f aca="false">INDEX(Summary!$J$2:$J$201,MATCH($B2341,Summary!$A$2:$A$201,0))</f>
        <v>3</v>
      </c>
      <c r="O2341" s="2" t="n">
        <f aca="false">INDEX(Summary!$K$2:$K$201,MATCH($B2341,Summary!$A$2:$A$201,0))</f>
        <v>8.45</v>
      </c>
      <c r="P2341" s="3" t="n">
        <f aca="false">INDEX(Summary!$L$2:$L$201,MATCH($B2341,Summary!$A$2:$A$201,0))</f>
        <v>4</v>
      </c>
      <c r="Q2341" s="3" t="n">
        <f aca="false">INDEX(Summary!$M$2:$M$201,MATCH($B2341,Summary!$A$2:$A$201,0))</f>
        <v>2</v>
      </c>
      <c r="R2341" s="2" t="n">
        <f aca="false">INDEX(Summary!$N$2:$N$201,MATCH($B2341,Summary!$A$2:$A$201,0))</f>
        <v>10.21</v>
      </c>
      <c r="S2341" s="3" t="n">
        <f aca="false">INDEX(Summary!$O$2:$O$201,MATCH($B2341,Summary!$A$2:$A$201,0))</f>
        <v>8</v>
      </c>
      <c r="T2341" s="3" t="n">
        <f aca="false">INDEX(Summary!$P$2:$P$201,MATCH($B2341,Summary!$A$2:$A$201,0))</f>
        <v>1</v>
      </c>
      <c r="U2341" s="2" t="n">
        <f aca="false">INDEX(Summary!$Q$2:$Q$201,MATCH($B2341,Summary!$A$2:$A$201,0))</f>
        <v>13.33</v>
      </c>
      <c r="V2341" s="2" t="n">
        <f aca="false">INDEX(Summary!$R$2:$R$201,MATCH($B2341,Summary!$A$2:$A$201,0))</f>
        <v>24.97</v>
      </c>
      <c r="W2341" s="0" t="str">
        <f aca="false">INDEX(Summary!$S$2:$S$201,MATCH($B2341,Summary!$A$2:$A$201,0))</f>
        <v>Silver</v>
      </c>
      <c r="X2341" s="2" t="n">
        <f aca="false">INDEX(Summary!$T$2:$T$201,MATCH($B2341,Summary!$A$2:$A$201,0))</f>
        <v>60.9</v>
      </c>
      <c r="Y2341" s="0" t="str">
        <f aca="false">INDEX('Reward Model'!$E$18:$E$37,MATCH($E2341,'Reward Model'!$A$18:$A$37,0))</f>
        <v>High</v>
      </c>
      <c r="Z2341" s="4" t="n">
        <f aca="false">ROUND(MIN(1,MAX('Reward Model'!$B$2,INDEX('Reward Model'!$C$12:$C$14,MATCH($K2341,'Reward Model'!$A$12:$A$14,0))/$J2341)),3)</f>
        <v>0.952</v>
      </c>
      <c r="AA2341" s="2" t="n">
        <f aca="false">IF($I2341="Correct",ROUND(INDEX('Reward Model'!$B$12:$B$14,MATCH($K2341,'Reward Model'!$A$12:$A$14,0))*Z2341,2),0)</f>
        <v>0</v>
      </c>
      <c r="AB2341" s="2" t="n">
        <f aca="false">IF($I2341="Correct",ROUND(INDEX('Reward Model'!$B$12:$B$14,MATCH($Y2341,'Reward Model'!$A$12:$A$14,0))*Z2341,2),0)</f>
        <v>0</v>
      </c>
    </row>
    <row r="2342" customFormat="false" ht="15" hidden="false" customHeight="false" outlineLevel="0" collapsed="false">
      <c r="A2342" s="0" t="s">
        <v>366</v>
      </c>
      <c r="B2342" s="0" t="s">
        <v>367</v>
      </c>
      <c r="C2342" s="0" t="s">
        <v>322</v>
      </c>
      <c r="D2342" s="0" t="s">
        <v>31</v>
      </c>
      <c r="E2342" s="0" t="n">
        <v>1</v>
      </c>
      <c r="F2342" s="0" t="s">
        <v>32</v>
      </c>
      <c r="G2342" s="0" t="s">
        <v>97</v>
      </c>
      <c r="H2342" s="0" t="s">
        <v>33</v>
      </c>
      <c r="I2342" s="0" t="s">
        <v>39</v>
      </c>
      <c r="J2342" s="0" t="n">
        <v>1.54</v>
      </c>
      <c r="K2342" s="0" t="s">
        <v>35</v>
      </c>
      <c r="L2342" s="0" t="n">
        <f aca="false">INDEX(Summary!$F$2:$F$201,MATCH($B2342,Summary!$A$2:$A$201,0))</f>
        <v>20</v>
      </c>
      <c r="M2342" s="0" t="n">
        <f aca="false">INDEX(Summary!$I$2:$I$201,MATCH($B2342,Summary!$A$2:$A$201,0))</f>
        <v>1</v>
      </c>
      <c r="N2342" s="0" t="n">
        <f aca="false">INDEX(Summary!$J$2:$J$201,MATCH($B2342,Summary!$A$2:$A$201,0))</f>
        <v>4</v>
      </c>
      <c r="O2342" s="2" t="n">
        <f aca="false">INDEX(Summary!$K$2:$K$201,MATCH($B2342,Summary!$A$2:$A$201,0))</f>
        <v>9.03</v>
      </c>
      <c r="P2342" s="3" t="n">
        <f aca="false">INDEX(Summary!$L$2:$L$201,MATCH($B2342,Summary!$A$2:$A$201,0))</f>
        <v>5</v>
      </c>
      <c r="Q2342" s="3" t="n">
        <f aca="false">INDEX(Summary!$M$2:$M$201,MATCH($B2342,Summary!$A$2:$A$201,0))</f>
        <v>1</v>
      </c>
      <c r="R2342" s="2" t="n">
        <f aca="false">INDEX(Summary!$N$2:$N$201,MATCH($B2342,Summary!$A$2:$A$201,0))</f>
        <v>11.63</v>
      </c>
      <c r="S2342" s="3" t="n">
        <f aca="false">INDEX(Summary!$O$2:$O$201,MATCH($B2342,Summary!$A$2:$A$201,0))</f>
        <v>4</v>
      </c>
      <c r="T2342" s="3" t="n">
        <f aca="false">INDEX(Summary!$P$2:$P$201,MATCH($B2342,Summary!$A$2:$A$201,0))</f>
        <v>5</v>
      </c>
      <c r="U2342" s="2" t="n">
        <f aca="false">INDEX(Summary!$Q$2:$Q$201,MATCH($B2342,Summary!$A$2:$A$201,0))</f>
        <v>13.77</v>
      </c>
      <c r="V2342" s="2" t="n">
        <f aca="false">INDEX(Summary!$R$2:$R$201,MATCH($B2342,Summary!$A$2:$A$201,0))</f>
        <v>17.49</v>
      </c>
      <c r="W2342" s="0" t="str">
        <f aca="false">INDEX(Summary!$S$2:$S$201,MATCH($B2342,Summary!$A$2:$A$201,0))</f>
        <v>Bronze</v>
      </c>
      <c r="X2342" s="2" t="n">
        <f aca="false">INDEX(Summary!$T$2:$T$201,MATCH($B2342,Summary!$A$2:$A$201,0))</f>
        <v>42.66</v>
      </c>
      <c r="Y2342" s="0" t="str">
        <f aca="false">INDEX('Reward Model'!$E$18:$E$37,MATCH($E2342,'Reward Model'!$A$18:$A$37,0))</f>
        <v>Medium</v>
      </c>
      <c r="Z2342" s="4" t="n">
        <f aca="false">ROUND(MIN(1,MAX('Reward Model'!$B$2,INDEX('Reward Model'!$C$12:$C$14,MATCH($K2342,'Reward Model'!$A$12:$A$14,0))/$J2342)),3)</f>
        <v>0.974</v>
      </c>
      <c r="AA2342" s="2" t="n">
        <f aca="false">IF($I2342="Correct",ROUND(INDEX('Reward Model'!$B$12:$B$14,MATCH($K2342,'Reward Model'!$A$12:$A$14,0))*Z2342,2),0)</f>
        <v>0</v>
      </c>
      <c r="AB2342" s="2" t="n">
        <f aca="false">IF($I2342="Correct",ROUND(INDEX('Reward Model'!$B$12:$B$14,MATCH($Y2342,'Reward Model'!$A$12:$A$14,0))*Z2342,2),0)</f>
        <v>0</v>
      </c>
    </row>
    <row r="2343" customFormat="false" ht="15" hidden="false" customHeight="false" outlineLevel="0" collapsed="false">
      <c r="A2343" s="0" t="s">
        <v>366</v>
      </c>
      <c r="B2343" s="0" t="s">
        <v>367</v>
      </c>
      <c r="C2343" s="0" t="s">
        <v>322</v>
      </c>
      <c r="D2343" s="0" t="s">
        <v>31</v>
      </c>
      <c r="E2343" s="0" t="n">
        <v>2</v>
      </c>
      <c r="F2343" s="0" t="s">
        <v>36</v>
      </c>
      <c r="G2343" s="0" t="s">
        <v>38</v>
      </c>
      <c r="H2343" s="0" t="s">
        <v>38</v>
      </c>
      <c r="I2343" s="0" t="s">
        <v>34</v>
      </c>
      <c r="J2343" s="0" t="n">
        <v>1.92</v>
      </c>
      <c r="K2343" s="0" t="s">
        <v>35</v>
      </c>
      <c r="L2343" s="0" t="n">
        <f aca="false">INDEX(Summary!$F$2:$F$201,MATCH($B2343,Summary!$A$2:$A$201,0))</f>
        <v>20</v>
      </c>
      <c r="M2343" s="0" t="n">
        <f aca="false">INDEX(Summary!$I$2:$I$201,MATCH($B2343,Summary!$A$2:$A$201,0))</f>
        <v>1</v>
      </c>
      <c r="N2343" s="0" t="n">
        <f aca="false">INDEX(Summary!$J$2:$J$201,MATCH($B2343,Summary!$A$2:$A$201,0))</f>
        <v>4</v>
      </c>
      <c r="O2343" s="2" t="n">
        <f aca="false">INDEX(Summary!$K$2:$K$201,MATCH($B2343,Summary!$A$2:$A$201,0))</f>
        <v>9.03</v>
      </c>
      <c r="P2343" s="3" t="n">
        <f aca="false">INDEX(Summary!$L$2:$L$201,MATCH($B2343,Summary!$A$2:$A$201,0))</f>
        <v>5</v>
      </c>
      <c r="Q2343" s="3" t="n">
        <f aca="false">INDEX(Summary!$M$2:$M$201,MATCH($B2343,Summary!$A$2:$A$201,0))</f>
        <v>1</v>
      </c>
      <c r="R2343" s="2" t="n">
        <f aca="false">INDEX(Summary!$N$2:$N$201,MATCH($B2343,Summary!$A$2:$A$201,0))</f>
        <v>11.63</v>
      </c>
      <c r="S2343" s="3" t="n">
        <f aca="false">INDEX(Summary!$O$2:$O$201,MATCH($B2343,Summary!$A$2:$A$201,0))</f>
        <v>4</v>
      </c>
      <c r="T2343" s="3" t="n">
        <f aca="false">INDEX(Summary!$P$2:$P$201,MATCH($B2343,Summary!$A$2:$A$201,0))</f>
        <v>5</v>
      </c>
      <c r="U2343" s="2" t="n">
        <f aca="false">INDEX(Summary!$Q$2:$Q$201,MATCH($B2343,Summary!$A$2:$A$201,0))</f>
        <v>13.77</v>
      </c>
      <c r="V2343" s="2" t="n">
        <f aca="false">INDEX(Summary!$R$2:$R$201,MATCH($B2343,Summary!$A$2:$A$201,0))</f>
        <v>17.49</v>
      </c>
      <c r="W2343" s="0" t="str">
        <f aca="false">INDEX(Summary!$S$2:$S$201,MATCH($B2343,Summary!$A$2:$A$201,0))</f>
        <v>Bronze</v>
      </c>
      <c r="X2343" s="2" t="n">
        <f aca="false">INDEX(Summary!$T$2:$T$201,MATCH($B2343,Summary!$A$2:$A$201,0))</f>
        <v>42.66</v>
      </c>
      <c r="Y2343" s="0" t="str">
        <f aca="false">INDEX('Reward Model'!$E$18:$E$37,MATCH($E2343,'Reward Model'!$A$18:$A$37,0))</f>
        <v>Low</v>
      </c>
      <c r="Z2343" s="4" t="n">
        <f aca="false">ROUND(MIN(1,MAX('Reward Model'!$B$2,INDEX('Reward Model'!$C$12:$C$14,MATCH($K2343,'Reward Model'!$A$12:$A$14,0))/$J2343)),3)</f>
        <v>0.781</v>
      </c>
      <c r="AA2343" s="2" t="n">
        <f aca="false">IF($I2343="Correct",ROUND(INDEX('Reward Model'!$B$12:$B$14,MATCH($K2343,'Reward Model'!$A$12:$A$14,0))*Z2343,2),0)</f>
        <v>0.78</v>
      </c>
      <c r="AB2343" s="2" t="n">
        <f aca="false">IF($I2343="Correct",ROUND(INDEX('Reward Model'!$B$12:$B$14,MATCH($Y2343,'Reward Model'!$A$12:$A$14,0))*Z2343,2),0)</f>
        <v>0.78</v>
      </c>
    </row>
    <row r="2344" customFormat="false" ht="15" hidden="false" customHeight="false" outlineLevel="0" collapsed="false">
      <c r="A2344" s="0" t="s">
        <v>366</v>
      </c>
      <c r="B2344" s="0" t="s">
        <v>367</v>
      </c>
      <c r="C2344" s="0" t="s">
        <v>322</v>
      </c>
      <c r="D2344" s="0" t="s">
        <v>31</v>
      </c>
      <c r="E2344" s="0" t="n">
        <v>3</v>
      </c>
      <c r="F2344" s="0" t="s">
        <v>40</v>
      </c>
      <c r="G2344" s="0" t="s">
        <v>42</v>
      </c>
      <c r="H2344" s="0" t="s">
        <v>42</v>
      </c>
      <c r="I2344" s="0" t="s">
        <v>34</v>
      </c>
      <c r="J2344" s="0" t="n">
        <v>1.14</v>
      </c>
      <c r="K2344" s="0" t="s">
        <v>35</v>
      </c>
      <c r="L2344" s="0" t="n">
        <f aca="false">INDEX(Summary!$F$2:$F$201,MATCH($B2344,Summary!$A$2:$A$201,0))</f>
        <v>20</v>
      </c>
      <c r="M2344" s="0" t="n">
        <f aca="false">INDEX(Summary!$I$2:$I$201,MATCH($B2344,Summary!$A$2:$A$201,0))</f>
        <v>1</v>
      </c>
      <c r="N2344" s="0" t="n">
        <f aca="false">INDEX(Summary!$J$2:$J$201,MATCH($B2344,Summary!$A$2:$A$201,0))</f>
        <v>4</v>
      </c>
      <c r="O2344" s="2" t="n">
        <f aca="false">INDEX(Summary!$K$2:$K$201,MATCH($B2344,Summary!$A$2:$A$201,0))</f>
        <v>9.03</v>
      </c>
      <c r="P2344" s="3" t="n">
        <f aca="false">INDEX(Summary!$L$2:$L$201,MATCH($B2344,Summary!$A$2:$A$201,0))</f>
        <v>5</v>
      </c>
      <c r="Q2344" s="3" t="n">
        <f aca="false">INDEX(Summary!$M$2:$M$201,MATCH($B2344,Summary!$A$2:$A$201,0))</f>
        <v>1</v>
      </c>
      <c r="R2344" s="2" t="n">
        <f aca="false">INDEX(Summary!$N$2:$N$201,MATCH($B2344,Summary!$A$2:$A$201,0))</f>
        <v>11.63</v>
      </c>
      <c r="S2344" s="3" t="n">
        <f aca="false">INDEX(Summary!$O$2:$O$201,MATCH($B2344,Summary!$A$2:$A$201,0))</f>
        <v>4</v>
      </c>
      <c r="T2344" s="3" t="n">
        <f aca="false">INDEX(Summary!$P$2:$P$201,MATCH($B2344,Summary!$A$2:$A$201,0))</f>
        <v>5</v>
      </c>
      <c r="U2344" s="2" t="n">
        <f aca="false">INDEX(Summary!$Q$2:$Q$201,MATCH($B2344,Summary!$A$2:$A$201,0))</f>
        <v>13.77</v>
      </c>
      <c r="V2344" s="2" t="n">
        <f aca="false">INDEX(Summary!$R$2:$R$201,MATCH($B2344,Summary!$A$2:$A$201,0))</f>
        <v>17.49</v>
      </c>
      <c r="W2344" s="0" t="str">
        <f aca="false">INDEX(Summary!$S$2:$S$201,MATCH($B2344,Summary!$A$2:$A$201,0))</f>
        <v>Bronze</v>
      </c>
      <c r="X2344" s="2" t="n">
        <f aca="false">INDEX(Summary!$T$2:$T$201,MATCH($B2344,Summary!$A$2:$A$201,0))</f>
        <v>42.66</v>
      </c>
      <c r="Y2344" s="0" t="str">
        <f aca="false">INDEX('Reward Model'!$E$18:$E$37,MATCH($E2344,'Reward Model'!$A$18:$A$37,0))</f>
        <v>Medium</v>
      </c>
      <c r="Z2344" s="4" t="n">
        <f aca="false">ROUND(MIN(1,MAX('Reward Model'!$B$2,INDEX('Reward Model'!$C$12:$C$14,MATCH($K2344,'Reward Model'!$A$12:$A$14,0))/$J2344)),3)</f>
        <v>1</v>
      </c>
      <c r="AA2344" s="2" t="n">
        <f aca="false">IF($I2344="Correct",ROUND(INDEX('Reward Model'!$B$12:$B$14,MATCH($K2344,'Reward Model'!$A$12:$A$14,0))*Z2344,2),0)</f>
        <v>1</v>
      </c>
      <c r="AB2344" s="2" t="n">
        <f aca="false">IF($I2344="Correct",ROUND(INDEX('Reward Model'!$B$12:$B$14,MATCH($Y2344,'Reward Model'!$A$12:$A$14,0))*Z2344,2),0)</f>
        <v>2</v>
      </c>
    </row>
    <row r="2345" customFormat="false" ht="15" hidden="false" customHeight="false" outlineLevel="0" collapsed="false">
      <c r="A2345" s="0" t="s">
        <v>366</v>
      </c>
      <c r="B2345" s="0" t="s">
        <v>367</v>
      </c>
      <c r="C2345" s="0" t="s">
        <v>322</v>
      </c>
      <c r="D2345" s="0" t="s">
        <v>31</v>
      </c>
      <c r="E2345" s="0" t="n">
        <v>4</v>
      </c>
      <c r="F2345" s="0" t="s">
        <v>43</v>
      </c>
      <c r="G2345" s="0" t="s">
        <v>45</v>
      </c>
      <c r="H2345" s="0" t="s">
        <v>45</v>
      </c>
      <c r="I2345" s="0" t="s">
        <v>34</v>
      </c>
      <c r="J2345" s="0" t="n">
        <v>2</v>
      </c>
      <c r="K2345" s="0" t="s">
        <v>35</v>
      </c>
      <c r="L2345" s="0" t="n">
        <f aca="false">INDEX(Summary!$F$2:$F$201,MATCH($B2345,Summary!$A$2:$A$201,0))</f>
        <v>20</v>
      </c>
      <c r="M2345" s="0" t="n">
        <f aca="false">INDEX(Summary!$I$2:$I$201,MATCH($B2345,Summary!$A$2:$A$201,0))</f>
        <v>1</v>
      </c>
      <c r="N2345" s="0" t="n">
        <f aca="false">INDEX(Summary!$J$2:$J$201,MATCH($B2345,Summary!$A$2:$A$201,0))</f>
        <v>4</v>
      </c>
      <c r="O2345" s="2" t="n">
        <f aca="false">INDEX(Summary!$K$2:$K$201,MATCH($B2345,Summary!$A$2:$A$201,0))</f>
        <v>9.03</v>
      </c>
      <c r="P2345" s="3" t="n">
        <f aca="false">INDEX(Summary!$L$2:$L$201,MATCH($B2345,Summary!$A$2:$A$201,0))</f>
        <v>5</v>
      </c>
      <c r="Q2345" s="3" t="n">
        <f aca="false">INDEX(Summary!$M$2:$M$201,MATCH($B2345,Summary!$A$2:$A$201,0))</f>
        <v>1</v>
      </c>
      <c r="R2345" s="2" t="n">
        <f aca="false">INDEX(Summary!$N$2:$N$201,MATCH($B2345,Summary!$A$2:$A$201,0))</f>
        <v>11.63</v>
      </c>
      <c r="S2345" s="3" t="n">
        <f aca="false">INDEX(Summary!$O$2:$O$201,MATCH($B2345,Summary!$A$2:$A$201,0))</f>
        <v>4</v>
      </c>
      <c r="T2345" s="3" t="n">
        <f aca="false">INDEX(Summary!$P$2:$P$201,MATCH($B2345,Summary!$A$2:$A$201,0))</f>
        <v>5</v>
      </c>
      <c r="U2345" s="2" t="n">
        <f aca="false">INDEX(Summary!$Q$2:$Q$201,MATCH($B2345,Summary!$A$2:$A$201,0))</f>
        <v>13.77</v>
      </c>
      <c r="V2345" s="2" t="n">
        <f aca="false">INDEX(Summary!$R$2:$R$201,MATCH($B2345,Summary!$A$2:$A$201,0))</f>
        <v>17.49</v>
      </c>
      <c r="W2345" s="0" t="str">
        <f aca="false">INDEX(Summary!$S$2:$S$201,MATCH($B2345,Summary!$A$2:$A$201,0))</f>
        <v>Bronze</v>
      </c>
      <c r="X2345" s="2" t="n">
        <f aca="false">INDEX(Summary!$T$2:$T$201,MATCH($B2345,Summary!$A$2:$A$201,0))</f>
        <v>42.66</v>
      </c>
      <c r="Y2345" s="0" t="str">
        <f aca="false">INDEX('Reward Model'!$E$18:$E$37,MATCH($E2345,'Reward Model'!$A$18:$A$37,0))</f>
        <v>Low</v>
      </c>
      <c r="Z2345" s="4" t="n">
        <f aca="false">ROUND(MIN(1,MAX('Reward Model'!$B$2,INDEX('Reward Model'!$C$12:$C$14,MATCH($K2345,'Reward Model'!$A$12:$A$14,0))/$J2345)),3)</f>
        <v>0.75</v>
      </c>
      <c r="AA2345" s="2" t="n">
        <f aca="false">IF($I2345="Correct",ROUND(INDEX('Reward Model'!$B$12:$B$14,MATCH($K2345,'Reward Model'!$A$12:$A$14,0))*Z2345,2),0)</f>
        <v>0.75</v>
      </c>
      <c r="AB2345" s="2" t="n">
        <f aca="false">IF($I2345="Correct",ROUND(INDEX('Reward Model'!$B$12:$B$14,MATCH($Y2345,'Reward Model'!$A$12:$A$14,0))*Z2345,2),0)</f>
        <v>0.75</v>
      </c>
    </row>
    <row r="2346" customFormat="false" ht="15" hidden="false" customHeight="false" outlineLevel="0" collapsed="false">
      <c r="A2346" s="0" t="s">
        <v>366</v>
      </c>
      <c r="B2346" s="0" t="s">
        <v>367</v>
      </c>
      <c r="C2346" s="0" t="s">
        <v>322</v>
      </c>
      <c r="D2346" s="0" t="s">
        <v>31</v>
      </c>
      <c r="E2346" s="0" t="n">
        <v>5</v>
      </c>
      <c r="F2346" s="0" t="s">
        <v>46</v>
      </c>
      <c r="G2346" s="0" t="s">
        <v>149</v>
      </c>
      <c r="H2346" s="0" t="s">
        <v>47</v>
      </c>
      <c r="I2346" s="0" t="s">
        <v>39</v>
      </c>
      <c r="J2346" s="0" t="n">
        <v>0.93</v>
      </c>
      <c r="K2346" s="0" t="s">
        <v>35</v>
      </c>
      <c r="L2346" s="0" t="n">
        <f aca="false">INDEX(Summary!$F$2:$F$201,MATCH($B2346,Summary!$A$2:$A$201,0))</f>
        <v>20</v>
      </c>
      <c r="M2346" s="0" t="n">
        <f aca="false">INDEX(Summary!$I$2:$I$201,MATCH($B2346,Summary!$A$2:$A$201,0))</f>
        <v>1</v>
      </c>
      <c r="N2346" s="0" t="n">
        <f aca="false">INDEX(Summary!$J$2:$J$201,MATCH($B2346,Summary!$A$2:$A$201,0))</f>
        <v>4</v>
      </c>
      <c r="O2346" s="2" t="n">
        <f aca="false">INDEX(Summary!$K$2:$K$201,MATCH($B2346,Summary!$A$2:$A$201,0))</f>
        <v>9.03</v>
      </c>
      <c r="P2346" s="3" t="n">
        <f aca="false">INDEX(Summary!$L$2:$L$201,MATCH($B2346,Summary!$A$2:$A$201,0))</f>
        <v>5</v>
      </c>
      <c r="Q2346" s="3" t="n">
        <f aca="false">INDEX(Summary!$M$2:$M$201,MATCH($B2346,Summary!$A$2:$A$201,0))</f>
        <v>1</v>
      </c>
      <c r="R2346" s="2" t="n">
        <f aca="false">INDEX(Summary!$N$2:$N$201,MATCH($B2346,Summary!$A$2:$A$201,0))</f>
        <v>11.63</v>
      </c>
      <c r="S2346" s="3" t="n">
        <f aca="false">INDEX(Summary!$O$2:$O$201,MATCH($B2346,Summary!$A$2:$A$201,0))</f>
        <v>4</v>
      </c>
      <c r="T2346" s="3" t="n">
        <f aca="false">INDEX(Summary!$P$2:$P$201,MATCH($B2346,Summary!$A$2:$A$201,0))</f>
        <v>5</v>
      </c>
      <c r="U2346" s="2" t="n">
        <f aca="false">INDEX(Summary!$Q$2:$Q$201,MATCH($B2346,Summary!$A$2:$A$201,0))</f>
        <v>13.77</v>
      </c>
      <c r="V2346" s="2" t="n">
        <f aca="false">INDEX(Summary!$R$2:$R$201,MATCH($B2346,Summary!$A$2:$A$201,0))</f>
        <v>17.49</v>
      </c>
      <c r="W2346" s="0" t="str">
        <f aca="false">INDEX(Summary!$S$2:$S$201,MATCH($B2346,Summary!$A$2:$A$201,0))</f>
        <v>Bronze</v>
      </c>
      <c r="X2346" s="2" t="n">
        <f aca="false">INDEX(Summary!$T$2:$T$201,MATCH($B2346,Summary!$A$2:$A$201,0))</f>
        <v>42.66</v>
      </c>
      <c r="Y2346" s="0" t="str">
        <f aca="false">INDEX('Reward Model'!$E$18:$E$37,MATCH($E2346,'Reward Model'!$A$18:$A$37,0))</f>
        <v>Low</v>
      </c>
      <c r="Z2346" s="4" t="n">
        <f aca="false">ROUND(MIN(1,MAX('Reward Model'!$B$2,INDEX('Reward Model'!$C$12:$C$14,MATCH($K2346,'Reward Model'!$A$12:$A$14,0))/$J2346)),3)</f>
        <v>1</v>
      </c>
      <c r="AA2346" s="2" t="n">
        <f aca="false">IF($I2346="Correct",ROUND(INDEX('Reward Model'!$B$12:$B$14,MATCH($K2346,'Reward Model'!$A$12:$A$14,0))*Z2346,2),0)</f>
        <v>0</v>
      </c>
      <c r="AB2346" s="2" t="n">
        <f aca="false">IF($I2346="Correct",ROUND(INDEX('Reward Model'!$B$12:$B$14,MATCH($Y2346,'Reward Model'!$A$12:$A$14,0))*Z2346,2),0)</f>
        <v>0</v>
      </c>
    </row>
    <row r="2347" customFormat="false" ht="15" hidden="false" customHeight="false" outlineLevel="0" collapsed="false">
      <c r="A2347" s="0" t="s">
        <v>366</v>
      </c>
      <c r="B2347" s="0" t="s">
        <v>367</v>
      </c>
      <c r="C2347" s="0" t="s">
        <v>322</v>
      </c>
      <c r="D2347" s="0" t="s">
        <v>31</v>
      </c>
      <c r="E2347" s="0" t="n">
        <v>6</v>
      </c>
      <c r="F2347" s="0" t="s">
        <v>48</v>
      </c>
      <c r="G2347" s="0" t="s">
        <v>49</v>
      </c>
      <c r="H2347" s="0" t="s">
        <v>49</v>
      </c>
      <c r="I2347" s="0" t="s">
        <v>34</v>
      </c>
      <c r="J2347" s="0" t="n">
        <v>1.9</v>
      </c>
      <c r="K2347" s="0" t="s">
        <v>35</v>
      </c>
      <c r="L2347" s="0" t="n">
        <f aca="false">INDEX(Summary!$F$2:$F$201,MATCH($B2347,Summary!$A$2:$A$201,0))</f>
        <v>20</v>
      </c>
      <c r="M2347" s="0" t="n">
        <f aca="false">INDEX(Summary!$I$2:$I$201,MATCH($B2347,Summary!$A$2:$A$201,0))</f>
        <v>1</v>
      </c>
      <c r="N2347" s="0" t="n">
        <f aca="false">INDEX(Summary!$J$2:$J$201,MATCH($B2347,Summary!$A$2:$A$201,0))</f>
        <v>4</v>
      </c>
      <c r="O2347" s="2" t="n">
        <f aca="false">INDEX(Summary!$K$2:$K$201,MATCH($B2347,Summary!$A$2:$A$201,0))</f>
        <v>9.03</v>
      </c>
      <c r="P2347" s="3" t="n">
        <f aca="false">INDEX(Summary!$L$2:$L$201,MATCH($B2347,Summary!$A$2:$A$201,0))</f>
        <v>5</v>
      </c>
      <c r="Q2347" s="3" t="n">
        <f aca="false">INDEX(Summary!$M$2:$M$201,MATCH($B2347,Summary!$A$2:$A$201,0))</f>
        <v>1</v>
      </c>
      <c r="R2347" s="2" t="n">
        <f aca="false">INDEX(Summary!$N$2:$N$201,MATCH($B2347,Summary!$A$2:$A$201,0))</f>
        <v>11.63</v>
      </c>
      <c r="S2347" s="3" t="n">
        <f aca="false">INDEX(Summary!$O$2:$O$201,MATCH($B2347,Summary!$A$2:$A$201,0))</f>
        <v>4</v>
      </c>
      <c r="T2347" s="3" t="n">
        <f aca="false">INDEX(Summary!$P$2:$P$201,MATCH($B2347,Summary!$A$2:$A$201,0))</f>
        <v>5</v>
      </c>
      <c r="U2347" s="2" t="n">
        <f aca="false">INDEX(Summary!$Q$2:$Q$201,MATCH($B2347,Summary!$A$2:$A$201,0))</f>
        <v>13.77</v>
      </c>
      <c r="V2347" s="2" t="n">
        <f aca="false">INDEX(Summary!$R$2:$R$201,MATCH($B2347,Summary!$A$2:$A$201,0))</f>
        <v>17.49</v>
      </c>
      <c r="W2347" s="0" t="str">
        <f aca="false">INDEX(Summary!$S$2:$S$201,MATCH($B2347,Summary!$A$2:$A$201,0))</f>
        <v>Bronze</v>
      </c>
      <c r="X2347" s="2" t="n">
        <f aca="false">INDEX(Summary!$T$2:$T$201,MATCH($B2347,Summary!$A$2:$A$201,0))</f>
        <v>42.66</v>
      </c>
      <c r="Y2347" s="0" t="str">
        <f aca="false">INDEX('Reward Model'!$E$18:$E$37,MATCH($E2347,'Reward Model'!$A$18:$A$37,0))</f>
        <v>Medium</v>
      </c>
      <c r="Z2347" s="4" t="n">
        <f aca="false">ROUND(MIN(1,MAX('Reward Model'!$B$2,INDEX('Reward Model'!$C$12:$C$14,MATCH($K2347,'Reward Model'!$A$12:$A$14,0))/$J2347)),3)</f>
        <v>0.789</v>
      </c>
      <c r="AA2347" s="2" t="n">
        <f aca="false">IF($I2347="Correct",ROUND(INDEX('Reward Model'!$B$12:$B$14,MATCH($K2347,'Reward Model'!$A$12:$A$14,0))*Z2347,2),0)</f>
        <v>0.79</v>
      </c>
      <c r="AB2347" s="2" t="n">
        <f aca="false">IF($I2347="Correct",ROUND(INDEX('Reward Model'!$B$12:$B$14,MATCH($Y2347,'Reward Model'!$A$12:$A$14,0))*Z2347,2),0)</f>
        <v>1.58</v>
      </c>
    </row>
    <row r="2348" customFormat="false" ht="15" hidden="false" customHeight="false" outlineLevel="0" collapsed="false">
      <c r="A2348" s="0" t="s">
        <v>366</v>
      </c>
      <c r="B2348" s="0" t="s">
        <v>367</v>
      </c>
      <c r="C2348" s="0" t="s">
        <v>322</v>
      </c>
      <c r="D2348" s="0" t="s">
        <v>31</v>
      </c>
      <c r="E2348" s="0" t="n">
        <v>7</v>
      </c>
      <c r="F2348" s="0" t="s">
        <v>50</v>
      </c>
      <c r="G2348" s="0" t="s">
        <v>100</v>
      </c>
      <c r="H2348" s="0" t="s">
        <v>51</v>
      </c>
      <c r="I2348" s="0" t="s">
        <v>39</v>
      </c>
      <c r="J2348" s="0" t="n">
        <v>1.76</v>
      </c>
      <c r="K2348" s="0" t="s">
        <v>35</v>
      </c>
      <c r="L2348" s="0" t="n">
        <f aca="false">INDEX(Summary!$F$2:$F$201,MATCH($B2348,Summary!$A$2:$A$201,0))</f>
        <v>20</v>
      </c>
      <c r="M2348" s="0" t="n">
        <f aca="false">INDEX(Summary!$I$2:$I$201,MATCH($B2348,Summary!$A$2:$A$201,0))</f>
        <v>1</v>
      </c>
      <c r="N2348" s="0" t="n">
        <f aca="false">INDEX(Summary!$J$2:$J$201,MATCH($B2348,Summary!$A$2:$A$201,0))</f>
        <v>4</v>
      </c>
      <c r="O2348" s="2" t="n">
        <f aca="false">INDEX(Summary!$K$2:$K$201,MATCH($B2348,Summary!$A$2:$A$201,0))</f>
        <v>9.03</v>
      </c>
      <c r="P2348" s="3" t="n">
        <f aca="false">INDEX(Summary!$L$2:$L$201,MATCH($B2348,Summary!$A$2:$A$201,0))</f>
        <v>5</v>
      </c>
      <c r="Q2348" s="3" t="n">
        <f aca="false">INDEX(Summary!$M$2:$M$201,MATCH($B2348,Summary!$A$2:$A$201,0))</f>
        <v>1</v>
      </c>
      <c r="R2348" s="2" t="n">
        <f aca="false">INDEX(Summary!$N$2:$N$201,MATCH($B2348,Summary!$A$2:$A$201,0))</f>
        <v>11.63</v>
      </c>
      <c r="S2348" s="3" t="n">
        <f aca="false">INDEX(Summary!$O$2:$O$201,MATCH($B2348,Summary!$A$2:$A$201,0))</f>
        <v>4</v>
      </c>
      <c r="T2348" s="3" t="n">
        <f aca="false">INDEX(Summary!$P$2:$P$201,MATCH($B2348,Summary!$A$2:$A$201,0))</f>
        <v>5</v>
      </c>
      <c r="U2348" s="2" t="n">
        <f aca="false">INDEX(Summary!$Q$2:$Q$201,MATCH($B2348,Summary!$A$2:$A$201,0))</f>
        <v>13.77</v>
      </c>
      <c r="V2348" s="2" t="n">
        <f aca="false">INDEX(Summary!$R$2:$R$201,MATCH($B2348,Summary!$A$2:$A$201,0))</f>
        <v>17.49</v>
      </c>
      <c r="W2348" s="0" t="str">
        <f aca="false">INDEX(Summary!$S$2:$S$201,MATCH($B2348,Summary!$A$2:$A$201,0))</f>
        <v>Bronze</v>
      </c>
      <c r="X2348" s="2" t="n">
        <f aca="false">INDEX(Summary!$T$2:$T$201,MATCH($B2348,Summary!$A$2:$A$201,0))</f>
        <v>42.66</v>
      </c>
      <c r="Y2348" s="0" t="str">
        <f aca="false">INDEX('Reward Model'!$E$18:$E$37,MATCH($E2348,'Reward Model'!$A$18:$A$37,0))</f>
        <v>Low</v>
      </c>
      <c r="Z2348" s="4" t="n">
        <f aca="false">ROUND(MIN(1,MAX('Reward Model'!$B$2,INDEX('Reward Model'!$C$12:$C$14,MATCH($K2348,'Reward Model'!$A$12:$A$14,0))/$J2348)),3)</f>
        <v>0.852</v>
      </c>
      <c r="AA2348" s="2" t="n">
        <f aca="false">IF($I2348="Correct",ROUND(INDEX('Reward Model'!$B$12:$B$14,MATCH($K2348,'Reward Model'!$A$12:$A$14,0))*Z2348,2),0)</f>
        <v>0</v>
      </c>
      <c r="AB2348" s="2" t="n">
        <f aca="false">IF($I2348="Correct",ROUND(INDEX('Reward Model'!$B$12:$B$14,MATCH($Y2348,'Reward Model'!$A$12:$A$14,0))*Z2348,2),0)</f>
        <v>0</v>
      </c>
    </row>
    <row r="2349" customFormat="false" ht="15" hidden="false" customHeight="false" outlineLevel="0" collapsed="false">
      <c r="A2349" s="0" t="s">
        <v>366</v>
      </c>
      <c r="B2349" s="0" t="s">
        <v>367</v>
      </c>
      <c r="C2349" s="0" t="s">
        <v>322</v>
      </c>
      <c r="D2349" s="0" t="s">
        <v>31</v>
      </c>
      <c r="E2349" s="0" t="n">
        <v>8</v>
      </c>
      <c r="F2349" s="0" t="s">
        <v>52</v>
      </c>
      <c r="G2349" s="0" t="s">
        <v>93</v>
      </c>
      <c r="H2349" s="0" t="s">
        <v>54</v>
      </c>
      <c r="I2349" s="0" t="s">
        <v>39</v>
      </c>
      <c r="J2349" s="0" t="n">
        <v>1.24</v>
      </c>
      <c r="K2349" s="0" t="s">
        <v>35</v>
      </c>
      <c r="L2349" s="0" t="n">
        <f aca="false">INDEX(Summary!$F$2:$F$201,MATCH($B2349,Summary!$A$2:$A$201,0))</f>
        <v>20</v>
      </c>
      <c r="M2349" s="0" t="n">
        <f aca="false">INDEX(Summary!$I$2:$I$201,MATCH($B2349,Summary!$A$2:$A$201,0))</f>
        <v>1</v>
      </c>
      <c r="N2349" s="0" t="n">
        <f aca="false">INDEX(Summary!$J$2:$J$201,MATCH($B2349,Summary!$A$2:$A$201,0))</f>
        <v>4</v>
      </c>
      <c r="O2349" s="2" t="n">
        <f aca="false">INDEX(Summary!$K$2:$K$201,MATCH($B2349,Summary!$A$2:$A$201,0))</f>
        <v>9.03</v>
      </c>
      <c r="P2349" s="3" t="n">
        <f aca="false">INDEX(Summary!$L$2:$L$201,MATCH($B2349,Summary!$A$2:$A$201,0))</f>
        <v>5</v>
      </c>
      <c r="Q2349" s="3" t="n">
        <f aca="false">INDEX(Summary!$M$2:$M$201,MATCH($B2349,Summary!$A$2:$A$201,0))</f>
        <v>1</v>
      </c>
      <c r="R2349" s="2" t="n">
        <f aca="false">INDEX(Summary!$N$2:$N$201,MATCH($B2349,Summary!$A$2:$A$201,0))</f>
        <v>11.63</v>
      </c>
      <c r="S2349" s="3" t="n">
        <f aca="false">INDEX(Summary!$O$2:$O$201,MATCH($B2349,Summary!$A$2:$A$201,0))</f>
        <v>4</v>
      </c>
      <c r="T2349" s="3" t="n">
        <f aca="false">INDEX(Summary!$P$2:$P$201,MATCH($B2349,Summary!$A$2:$A$201,0))</f>
        <v>5</v>
      </c>
      <c r="U2349" s="2" t="n">
        <f aca="false">INDEX(Summary!$Q$2:$Q$201,MATCH($B2349,Summary!$A$2:$A$201,0))</f>
        <v>13.77</v>
      </c>
      <c r="V2349" s="2" t="n">
        <f aca="false">INDEX(Summary!$R$2:$R$201,MATCH($B2349,Summary!$A$2:$A$201,0))</f>
        <v>17.49</v>
      </c>
      <c r="W2349" s="0" t="str">
        <f aca="false">INDEX(Summary!$S$2:$S$201,MATCH($B2349,Summary!$A$2:$A$201,0))</f>
        <v>Bronze</v>
      </c>
      <c r="X2349" s="2" t="n">
        <f aca="false">INDEX(Summary!$T$2:$T$201,MATCH($B2349,Summary!$A$2:$A$201,0))</f>
        <v>42.66</v>
      </c>
      <c r="Y2349" s="0" t="str">
        <f aca="false">INDEX('Reward Model'!$E$18:$E$37,MATCH($E2349,'Reward Model'!$A$18:$A$37,0))</f>
        <v>Medium</v>
      </c>
      <c r="Z2349" s="4" t="n">
        <f aca="false">ROUND(MIN(1,MAX('Reward Model'!$B$2,INDEX('Reward Model'!$C$12:$C$14,MATCH($K2349,'Reward Model'!$A$12:$A$14,0))/$J2349)),3)</f>
        <v>1</v>
      </c>
      <c r="AA2349" s="2" t="n">
        <f aca="false">IF($I2349="Correct",ROUND(INDEX('Reward Model'!$B$12:$B$14,MATCH($K2349,'Reward Model'!$A$12:$A$14,0))*Z2349,2),0)</f>
        <v>0</v>
      </c>
      <c r="AB2349" s="2" t="n">
        <f aca="false">IF($I2349="Correct",ROUND(INDEX('Reward Model'!$B$12:$B$14,MATCH($Y2349,'Reward Model'!$A$12:$A$14,0))*Z2349,2),0)</f>
        <v>0</v>
      </c>
    </row>
    <row r="2350" customFormat="false" ht="15" hidden="false" customHeight="false" outlineLevel="0" collapsed="false">
      <c r="A2350" s="0" t="s">
        <v>366</v>
      </c>
      <c r="B2350" s="0" t="s">
        <v>367</v>
      </c>
      <c r="C2350" s="0" t="s">
        <v>322</v>
      </c>
      <c r="D2350" s="0" t="s">
        <v>31</v>
      </c>
      <c r="E2350" s="0" t="n">
        <v>9</v>
      </c>
      <c r="F2350" s="0" t="s">
        <v>55</v>
      </c>
      <c r="G2350" s="0" t="s">
        <v>341</v>
      </c>
      <c r="H2350" s="0" t="s">
        <v>57</v>
      </c>
      <c r="I2350" s="0" t="s">
        <v>39</v>
      </c>
      <c r="J2350" s="0" t="n">
        <v>1.34</v>
      </c>
      <c r="K2350" s="0" t="s">
        <v>35</v>
      </c>
      <c r="L2350" s="0" t="n">
        <f aca="false">INDEX(Summary!$F$2:$F$201,MATCH($B2350,Summary!$A$2:$A$201,0))</f>
        <v>20</v>
      </c>
      <c r="M2350" s="0" t="n">
        <f aca="false">INDEX(Summary!$I$2:$I$201,MATCH($B2350,Summary!$A$2:$A$201,0))</f>
        <v>1</v>
      </c>
      <c r="N2350" s="0" t="n">
        <f aca="false">INDEX(Summary!$J$2:$J$201,MATCH($B2350,Summary!$A$2:$A$201,0))</f>
        <v>4</v>
      </c>
      <c r="O2350" s="2" t="n">
        <f aca="false">INDEX(Summary!$K$2:$K$201,MATCH($B2350,Summary!$A$2:$A$201,0))</f>
        <v>9.03</v>
      </c>
      <c r="P2350" s="3" t="n">
        <f aca="false">INDEX(Summary!$L$2:$L$201,MATCH($B2350,Summary!$A$2:$A$201,0))</f>
        <v>5</v>
      </c>
      <c r="Q2350" s="3" t="n">
        <f aca="false">INDEX(Summary!$M$2:$M$201,MATCH($B2350,Summary!$A$2:$A$201,0))</f>
        <v>1</v>
      </c>
      <c r="R2350" s="2" t="n">
        <f aca="false">INDEX(Summary!$N$2:$N$201,MATCH($B2350,Summary!$A$2:$A$201,0))</f>
        <v>11.63</v>
      </c>
      <c r="S2350" s="3" t="n">
        <f aca="false">INDEX(Summary!$O$2:$O$201,MATCH($B2350,Summary!$A$2:$A$201,0))</f>
        <v>4</v>
      </c>
      <c r="T2350" s="3" t="n">
        <f aca="false">INDEX(Summary!$P$2:$P$201,MATCH($B2350,Summary!$A$2:$A$201,0))</f>
        <v>5</v>
      </c>
      <c r="U2350" s="2" t="n">
        <f aca="false">INDEX(Summary!$Q$2:$Q$201,MATCH($B2350,Summary!$A$2:$A$201,0))</f>
        <v>13.77</v>
      </c>
      <c r="V2350" s="2" t="n">
        <f aca="false">INDEX(Summary!$R$2:$R$201,MATCH($B2350,Summary!$A$2:$A$201,0))</f>
        <v>17.49</v>
      </c>
      <c r="W2350" s="0" t="str">
        <f aca="false">INDEX(Summary!$S$2:$S$201,MATCH($B2350,Summary!$A$2:$A$201,0))</f>
        <v>Bronze</v>
      </c>
      <c r="X2350" s="2" t="n">
        <f aca="false">INDEX(Summary!$T$2:$T$201,MATCH($B2350,Summary!$A$2:$A$201,0))</f>
        <v>42.66</v>
      </c>
      <c r="Y2350" s="0" t="str">
        <f aca="false">INDEX('Reward Model'!$E$18:$E$37,MATCH($E2350,'Reward Model'!$A$18:$A$37,0))</f>
        <v>Medium</v>
      </c>
      <c r="Z2350" s="4" t="n">
        <f aca="false">ROUND(MIN(1,MAX('Reward Model'!$B$2,INDEX('Reward Model'!$C$12:$C$14,MATCH($K2350,'Reward Model'!$A$12:$A$14,0))/$J2350)),3)</f>
        <v>1</v>
      </c>
      <c r="AA2350" s="2" t="n">
        <f aca="false">IF($I2350="Correct",ROUND(INDEX('Reward Model'!$B$12:$B$14,MATCH($K2350,'Reward Model'!$A$12:$A$14,0))*Z2350,2),0)</f>
        <v>0</v>
      </c>
      <c r="AB2350" s="2" t="n">
        <f aca="false">IF($I2350="Correct",ROUND(INDEX('Reward Model'!$B$12:$B$14,MATCH($Y2350,'Reward Model'!$A$12:$A$14,0))*Z2350,2),0)</f>
        <v>0</v>
      </c>
    </row>
    <row r="2351" customFormat="false" ht="15" hidden="false" customHeight="false" outlineLevel="0" collapsed="false">
      <c r="A2351" s="0" t="s">
        <v>366</v>
      </c>
      <c r="B2351" s="0" t="s">
        <v>367</v>
      </c>
      <c r="C2351" s="0" t="s">
        <v>322</v>
      </c>
      <c r="D2351" s="0" t="s">
        <v>31</v>
      </c>
      <c r="E2351" s="0" t="n">
        <v>10</v>
      </c>
      <c r="F2351" s="0" t="s">
        <v>58</v>
      </c>
      <c r="G2351" s="0" t="s">
        <v>59</v>
      </c>
      <c r="H2351" s="0" t="s">
        <v>59</v>
      </c>
      <c r="I2351" s="0" t="s">
        <v>34</v>
      </c>
      <c r="J2351" s="0" t="n">
        <v>1.61</v>
      </c>
      <c r="K2351" s="0" t="s">
        <v>60</v>
      </c>
      <c r="L2351" s="0" t="n">
        <f aca="false">INDEX(Summary!$F$2:$F$201,MATCH($B2351,Summary!$A$2:$A$201,0))</f>
        <v>20</v>
      </c>
      <c r="M2351" s="0" t="n">
        <f aca="false">INDEX(Summary!$I$2:$I$201,MATCH($B2351,Summary!$A$2:$A$201,0))</f>
        <v>1</v>
      </c>
      <c r="N2351" s="0" t="n">
        <f aca="false">INDEX(Summary!$J$2:$J$201,MATCH($B2351,Summary!$A$2:$A$201,0))</f>
        <v>4</v>
      </c>
      <c r="O2351" s="2" t="n">
        <f aca="false">INDEX(Summary!$K$2:$K$201,MATCH($B2351,Summary!$A$2:$A$201,0))</f>
        <v>9.03</v>
      </c>
      <c r="P2351" s="3" t="n">
        <f aca="false">INDEX(Summary!$L$2:$L$201,MATCH($B2351,Summary!$A$2:$A$201,0))</f>
        <v>5</v>
      </c>
      <c r="Q2351" s="3" t="n">
        <f aca="false">INDEX(Summary!$M$2:$M$201,MATCH($B2351,Summary!$A$2:$A$201,0))</f>
        <v>1</v>
      </c>
      <c r="R2351" s="2" t="n">
        <f aca="false">INDEX(Summary!$N$2:$N$201,MATCH($B2351,Summary!$A$2:$A$201,0))</f>
        <v>11.63</v>
      </c>
      <c r="S2351" s="3" t="n">
        <f aca="false">INDEX(Summary!$O$2:$O$201,MATCH($B2351,Summary!$A$2:$A$201,0))</f>
        <v>4</v>
      </c>
      <c r="T2351" s="3" t="n">
        <f aca="false">INDEX(Summary!$P$2:$P$201,MATCH($B2351,Summary!$A$2:$A$201,0))</f>
        <v>5</v>
      </c>
      <c r="U2351" s="2" t="n">
        <f aca="false">INDEX(Summary!$Q$2:$Q$201,MATCH($B2351,Summary!$A$2:$A$201,0))</f>
        <v>13.77</v>
      </c>
      <c r="V2351" s="2" t="n">
        <f aca="false">INDEX(Summary!$R$2:$R$201,MATCH($B2351,Summary!$A$2:$A$201,0))</f>
        <v>17.49</v>
      </c>
      <c r="W2351" s="0" t="str">
        <f aca="false">INDEX(Summary!$S$2:$S$201,MATCH($B2351,Summary!$A$2:$A$201,0))</f>
        <v>Bronze</v>
      </c>
      <c r="X2351" s="2" t="n">
        <f aca="false">INDEX(Summary!$T$2:$T$201,MATCH($B2351,Summary!$A$2:$A$201,0))</f>
        <v>42.66</v>
      </c>
      <c r="Y2351" s="0" t="str">
        <f aca="false">INDEX('Reward Model'!$E$18:$E$37,MATCH($E2351,'Reward Model'!$A$18:$A$37,0))</f>
        <v>Medium</v>
      </c>
      <c r="Z2351" s="4" t="n">
        <f aca="false">ROUND(MIN(1,MAX('Reward Model'!$B$2,INDEX('Reward Model'!$C$12:$C$14,MATCH($K2351,'Reward Model'!$A$12:$A$14,0))/$J2351)),3)</f>
        <v>1</v>
      </c>
      <c r="AA2351" s="2" t="n">
        <f aca="false">IF($I2351="Correct",ROUND(INDEX('Reward Model'!$B$12:$B$14,MATCH($K2351,'Reward Model'!$A$12:$A$14,0))*Z2351,2),0)</f>
        <v>2</v>
      </c>
      <c r="AB2351" s="2" t="n">
        <f aca="false">IF($I2351="Correct",ROUND(INDEX('Reward Model'!$B$12:$B$14,MATCH($Y2351,'Reward Model'!$A$12:$A$14,0))*Z2351,2),0)</f>
        <v>2</v>
      </c>
    </row>
    <row r="2352" customFormat="false" ht="15" hidden="false" customHeight="false" outlineLevel="0" collapsed="false">
      <c r="A2352" s="0" t="s">
        <v>366</v>
      </c>
      <c r="B2352" s="0" t="s">
        <v>367</v>
      </c>
      <c r="C2352" s="0" t="s">
        <v>322</v>
      </c>
      <c r="D2352" s="0" t="s">
        <v>31</v>
      </c>
      <c r="E2352" s="0" t="n">
        <v>11</v>
      </c>
      <c r="F2352" s="0" t="s">
        <v>61</v>
      </c>
      <c r="G2352" s="0" t="s">
        <v>63</v>
      </c>
      <c r="H2352" s="0" t="s">
        <v>63</v>
      </c>
      <c r="I2352" s="0" t="s">
        <v>34</v>
      </c>
      <c r="J2352" s="0" t="n">
        <v>1.72</v>
      </c>
      <c r="K2352" s="0" t="s">
        <v>60</v>
      </c>
      <c r="L2352" s="0" t="n">
        <f aca="false">INDEX(Summary!$F$2:$F$201,MATCH($B2352,Summary!$A$2:$A$201,0))</f>
        <v>20</v>
      </c>
      <c r="M2352" s="0" t="n">
        <f aca="false">INDEX(Summary!$I$2:$I$201,MATCH($B2352,Summary!$A$2:$A$201,0))</f>
        <v>1</v>
      </c>
      <c r="N2352" s="0" t="n">
        <f aca="false">INDEX(Summary!$J$2:$J$201,MATCH($B2352,Summary!$A$2:$A$201,0))</f>
        <v>4</v>
      </c>
      <c r="O2352" s="2" t="n">
        <f aca="false">INDEX(Summary!$K$2:$K$201,MATCH($B2352,Summary!$A$2:$A$201,0))</f>
        <v>9.03</v>
      </c>
      <c r="P2352" s="3" t="n">
        <f aca="false">INDEX(Summary!$L$2:$L$201,MATCH($B2352,Summary!$A$2:$A$201,0))</f>
        <v>5</v>
      </c>
      <c r="Q2352" s="3" t="n">
        <f aca="false">INDEX(Summary!$M$2:$M$201,MATCH($B2352,Summary!$A$2:$A$201,0))</f>
        <v>1</v>
      </c>
      <c r="R2352" s="2" t="n">
        <f aca="false">INDEX(Summary!$N$2:$N$201,MATCH($B2352,Summary!$A$2:$A$201,0))</f>
        <v>11.63</v>
      </c>
      <c r="S2352" s="3" t="n">
        <f aca="false">INDEX(Summary!$O$2:$O$201,MATCH($B2352,Summary!$A$2:$A$201,0))</f>
        <v>4</v>
      </c>
      <c r="T2352" s="3" t="n">
        <f aca="false">INDEX(Summary!$P$2:$P$201,MATCH($B2352,Summary!$A$2:$A$201,0))</f>
        <v>5</v>
      </c>
      <c r="U2352" s="2" t="n">
        <f aca="false">INDEX(Summary!$Q$2:$Q$201,MATCH($B2352,Summary!$A$2:$A$201,0))</f>
        <v>13.77</v>
      </c>
      <c r="V2352" s="2" t="n">
        <f aca="false">INDEX(Summary!$R$2:$R$201,MATCH($B2352,Summary!$A$2:$A$201,0))</f>
        <v>17.49</v>
      </c>
      <c r="W2352" s="0" t="str">
        <f aca="false">INDEX(Summary!$S$2:$S$201,MATCH($B2352,Summary!$A$2:$A$201,0))</f>
        <v>Bronze</v>
      </c>
      <c r="X2352" s="2" t="n">
        <f aca="false">INDEX(Summary!$T$2:$T$201,MATCH($B2352,Summary!$A$2:$A$201,0))</f>
        <v>42.66</v>
      </c>
      <c r="Y2352" s="0" t="str">
        <f aca="false">INDEX('Reward Model'!$E$18:$E$37,MATCH($E2352,'Reward Model'!$A$18:$A$37,0))</f>
        <v>Medium</v>
      </c>
      <c r="Z2352" s="4" t="n">
        <f aca="false">ROUND(MIN(1,MAX('Reward Model'!$B$2,INDEX('Reward Model'!$C$12:$C$14,MATCH($K2352,'Reward Model'!$A$12:$A$14,0))/$J2352)),3)</f>
        <v>1</v>
      </c>
      <c r="AA2352" s="2" t="n">
        <f aca="false">IF($I2352="Correct",ROUND(INDEX('Reward Model'!$B$12:$B$14,MATCH($K2352,'Reward Model'!$A$12:$A$14,0))*Z2352,2),0)</f>
        <v>2</v>
      </c>
      <c r="AB2352" s="2" t="n">
        <f aca="false">IF($I2352="Correct",ROUND(INDEX('Reward Model'!$B$12:$B$14,MATCH($Y2352,'Reward Model'!$A$12:$A$14,0))*Z2352,2),0)</f>
        <v>2</v>
      </c>
    </row>
    <row r="2353" customFormat="false" ht="15" hidden="false" customHeight="false" outlineLevel="0" collapsed="false">
      <c r="A2353" s="0" t="s">
        <v>366</v>
      </c>
      <c r="B2353" s="0" t="s">
        <v>367</v>
      </c>
      <c r="C2353" s="0" t="s">
        <v>322</v>
      </c>
      <c r="D2353" s="0" t="s">
        <v>31</v>
      </c>
      <c r="E2353" s="0" t="n">
        <v>12</v>
      </c>
      <c r="F2353" s="0" t="s">
        <v>64</v>
      </c>
      <c r="G2353" s="0" t="s">
        <v>65</v>
      </c>
      <c r="H2353" s="0" t="s">
        <v>65</v>
      </c>
      <c r="I2353" s="0" t="s">
        <v>34</v>
      </c>
      <c r="J2353" s="0" t="n">
        <v>2.16</v>
      </c>
      <c r="K2353" s="0" t="s">
        <v>60</v>
      </c>
      <c r="L2353" s="0" t="n">
        <f aca="false">INDEX(Summary!$F$2:$F$201,MATCH($B2353,Summary!$A$2:$A$201,0))</f>
        <v>20</v>
      </c>
      <c r="M2353" s="0" t="n">
        <f aca="false">INDEX(Summary!$I$2:$I$201,MATCH($B2353,Summary!$A$2:$A$201,0))</f>
        <v>1</v>
      </c>
      <c r="N2353" s="0" t="n">
        <f aca="false">INDEX(Summary!$J$2:$J$201,MATCH($B2353,Summary!$A$2:$A$201,0))</f>
        <v>4</v>
      </c>
      <c r="O2353" s="2" t="n">
        <f aca="false">INDEX(Summary!$K$2:$K$201,MATCH($B2353,Summary!$A$2:$A$201,0))</f>
        <v>9.03</v>
      </c>
      <c r="P2353" s="3" t="n">
        <f aca="false">INDEX(Summary!$L$2:$L$201,MATCH($B2353,Summary!$A$2:$A$201,0))</f>
        <v>5</v>
      </c>
      <c r="Q2353" s="3" t="n">
        <f aca="false">INDEX(Summary!$M$2:$M$201,MATCH($B2353,Summary!$A$2:$A$201,0))</f>
        <v>1</v>
      </c>
      <c r="R2353" s="2" t="n">
        <f aca="false">INDEX(Summary!$N$2:$N$201,MATCH($B2353,Summary!$A$2:$A$201,0))</f>
        <v>11.63</v>
      </c>
      <c r="S2353" s="3" t="n">
        <f aca="false">INDEX(Summary!$O$2:$O$201,MATCH($B2353,Summary!$A$2:$A$201,0))</f>
        <v>4</v>
      </c>
      <c r="T2353" s="3" t="n">
        <f aca="false">INDEX(Summary!$P$2:$P$201,MATCH($B2353,Summary!$A$2:$A$201,0))</f>
        <v>5</v>
      </c>
      <c r="U2353" s="2" t="n">
        <f aca="false">INDEX(Summary!$Q$2:$Q$201,MATCH($B2353,Summary!$A$2:$A$201,0))</f>
        <v>13.77</v>
      </c>
      <c r="V2353" s="2" t="n">
        <f aca="false">INDEX(Summary!$R$2:$R$201,MATCH($B2353,Summary!$A$2:$A$201,0))</f>
        <v>17.49</v>
      </c>
      <c r="W2353" s="0" t="str">
        <f aca="false">INDEX(Summary!$S$2:$S$201,MATCH($B2353,Summary!$A$2:$A$201,0))</f>
        <v>Bronze</v>
      </c>
      <c r="X2353" s="2" t="n">
        <f aca="false">INDEX(Summary!$T$2:$T$201,MATCH($B2353,Summary!$A$2:$A$201,0))</f>
        <v>42.66</v>
      </c>
      <c r="Y2353" s="0" t="str">
        <f aca="false">INDEX('Reward Model'!$E$18:$E$37,MATCH($E2353,'Reward Model'!$A$18:$A$37,0))</f>
        <v>Medium</v>
      </c>
      <c r="Z2353" s="4" t="n">
        <f aca="false">ROUND(MIN(1,MAX('Reward Model'!$B$2,INDEX('Reward Model'!$C$12:$C$14,MATCH($K2353,'Reward Model'!$A$12:$A$14,0))/$J2353)),3)</f>
        <v>0.833</v>
      </c>
      <c r="AA2353" s="2" t="n">
        <f aca="false">IF($I2353="Correct",ROUND(INDEX('Reward Model'!$B$12:$B$14,MATCH($K2353,'Reward Model'!$A$12:$A$14,0))*Z2353,2),0)</f>
        <v>1.67</v>
      </c>
      <c r="AB2353" s="2" t="n">
        <f aca="false">IF($I2353="Correct",ROUND(INDEX('Reward Model'!$B$12:$B$14,MATCH($Y2353,'Reward Model'!$A$12:$A$14,0))*Z2353,2),0)</f>
        <v>1.67</v>
      </c>
    </row>
    <row r="2354" customFormat="false" ht="15" hidden="false" customHeight="false" outlineLevel="0" collapsed="false">
      <c r="A2354" s="0" t="s">
        <v>366</v>
      </c>
      <c r="B2354" s="0" t="s">
        <v>367</v>
      </c>
      <c r="C2354" s="0" t="s">
        <v>322</v>
      </c>
      <c r="D2354" s="0" t="s">
        <v>31</v>
      </c>
      <c r="E2354" s="0" t="n">
        <v>13</v>
      </c>
      <c r="F2354" s="0" t="s">
        <v>66</v>
      </c>
      <c r="G2354" s="0" t="s">
        <v>67</v>
      </c>
      <c r="H2354" s="0" t="s">
        <v>67</v>
      </c>
      <c r="I2354" s="0" t="s">
        <v>34</v>
      </c>
      <c r="J2354" s="0" t="n">
        <v>1.98</v>
      </c>
      <c r="K2354" s="0" t="s">
        <v>60</v>
      </c>
      <c r="L2354" s="0" t="n">
        <f aca="false">INDEX(Summary!$F$2:$F$201,MATCH($B2354,Summary!$A$2:$A$201,0))</f>
        <v>20</v>
      </c>
      <c r="M2354" s="0" t="n">
        <f aca="false">INDEX(Summary!$I$2:$I$201,MATCH($B2354,Summary!$A$2:$A$201,0))</f>
        <v>1</v>
      </c>
      <c r="N2354" s="0" t="n">
        <f aca="false">INDEX(Summary!$J$2:$J$201,MATCH($B2354,Summary!$A$2:$A$201,0))</f>
        <v>4</v>
      </c>
      <c r="O2354" s="2" t="n">
        <f aca="false">INDEX(Summary!$K$2:$K$201,MATCH($B2354,Summary!$A$2:$A$201,0))</f>
        <v>9.03</v>
      </c>
      <c r="P2354" s="3" t="n">
        <f aca="false">INDEX(Summary!$L$2:$L$201,MATCH($B2354,Summary!$A$2:$A$201,0))</f>
        <v>5</v>
      </c>
      <c r="Q2354" s="3" t="n">
        <f aca="false">INDEX(Summary!$M$2:$M$201,MATCH($B2354,Summary!$A$2:$A$201,0))</f>
        <v>1</v>
      </c>
      <c r="R2354" s="2" t="n">
        <f aca="false">INDEX(Summary!$N$2:$N$201,MATCH($B2354,Summary!$A$2:$A$201,0))</f>
        <v>11.63</v>
      </c>
      <c r="S2354" s="3" t="n">
        <f aca="false">INDEX(Summary!$O$2:$O$201,MATCH($B2354,Summary!$A$2:$A$201,0))</f>
        <v>4</v>
      </c>
      <c r="T2354" s="3" t="n">
        <f aca="false">INDEX(Summary!$P$2:$P$201,MATCH($B2354,Summary!$A$2:$A$201,0))</f>
        <v>5</v>
      </c>
      <c r="U2354" s="2" t="n">
        <f aca="false">INDEX(Summary!$Q$2:$Q$201,MATCH($B2354,Summary!$A$2:$A$201,0))</f>
        <v>13.77</v>
      </c>
      <c r="V2354" s="2" t="n">
        <f aca="false">INDEX(Summary!$R$2:$R$201,MATCH($B2354,Summary!$A$2:$A$201,0))</f>
        <v>17.49</v>
      </c>
      <c r="W2354" s="0" t="str">
        <f aca="false">INDEX(Summary!$S$2:$S$201,MATCH($B2354,Summary!$A$2:$A$201,0))</f>
        <v>Bronze</v>
      </c>
      <c r="X2354" s="2" t="n">
        <f aca="false">INDEX(Summary!$T$2:$T$201,MATCH($B2354,Summary!$A$2:$A$201,0))</f>
        <v>42.66</v>
      </c>
      <c r="Y2354" s="0" t="str">
        <f aca="false">INDEX('Reward Model'!$E$18:$E$37,MATCH($E2354,'Reward Model'!$A$18:$A$37,0))</f>
        <v>Medium</v>
      </c>
      <c r="Z2354" s="4" t="n">
        <f aca="false">ROUND(MIN(1,MAX('Reward Model'!$B$2,INDEX('Reward Model'!$C$12:$C$14,MATCH($K2354,'Reward Model'!$A$12:$A$14,0))/$J2354)),3)</f>
        <v>0.909</v>
      </c>
      <c r="AA2354" s="2" t="n">
        <f aca="false">IF($I2354="Correct",ROUND(INDEX('Reward Model'!$B$12:$B$14,MATCH($K2354,'Reward Model'!$A$12:$A$14,0))*Z2354,2),0)</f>
        <v>1.82</v>
      </c>
      <c r="AB2354" s="2" t="n">
        <f aca="false">IF($I2354="Correct",ROUND(INDEX('Reward Model'!$B$12:$B$14,MATCH($Y2354,'Reward Model'!$A$12:$A$14,0))*Z2354,2),0)</f>
        <v>1.82</v>
      </c>
    </row>
    <row r="2355" customFormat="false" ht="15" hidden="false" customHeight="false" outlineLevel="0" collapsed="false">
      <c r="A2355" s="0" t="s">
        <v>366</v>
      </c>
      <c r="B2355" s="0" t="s">
        <v>367</v>
      </c>
      <c r="C2355" s="0" t="s">
        <v>322</v>
      </c>
      <c r="D2355" s="0" t="s">
        <v>31</v>
      </c>
      <c r="E2355" s="0" t="n">
        <v>14</v>
      </c>
      <c r="F2355" s="0" t="s">
        <v>68</v>
      </c>
      <c r="G2355" s="0" t="s">
        <v>51</v>
      </c>
      <c r="H2355" s="0" t="s">
        <v>51</v>
      </c>
      <c r="I2355" s="0" t="s">
        <v>34</v>
      </c>
      <c r="J2355" s="0" t="n">
        <v>1.9</v>
      </c>
      <c r="K2355" s="0" t="s">
        <v>60</v>
      </c>
      <c r="L2355" s="0" t="n">
        <f aca="false">INDEX(Summary!$F$2:$F$201,MATCH($B2355,Summary!$A$2:$A$201,0))</f>
        <v>20</v>
      </c>
      <c r="M2355" s="0" t="n">
        <f aca="false">INDEX(Summary!$I$2:$I$201,MATCH($B2355,Summary!$A$2:$A$201,0))</f>
        <v>1</v>
      </c>
      <c r="N2355" s="0" t="n">
        <f aca="false">INDEX(Summary!$J$2:$J$201,MATCH($B2355,Summary!$A$2:$A$201,0))</f>
        <v>4</v>
      </c>
      <c r="O2355" s="2" t="n">
        <f aca="false">INDEX(Summary!$K$2:$K$201,MATCH($B2355,Summary!$A$2:$A$201,0))</f>
        <v>9.03</v>
      </c>
      <c r="P2355" s="3" t="n">
        <f aca="false">INDEX(Summary!$L$2:$L$201,MATCH($B2355,Summary!$A$2:$A$201,0))</f>
        <v>5</v>
      </c>
      <c r="Q2355" s="3" t="n">
        <f aca="false">INDEX(Summary!$M$2:$M$201,MATCH($B2355,Summary!$A$2:$A$201,0))</f>
        <v>1</v>
      </c>
      <c r="R2355" s="2" t="n">
        <f aca="false">INDEX(Summary!$N$2:$N$201,MATCH($B2355,Summary!$A$2:$A$201,0))</f>
        <v>11.63</v>
      </c>
      <c r="S2355" s="3" t="n">
        <f aca="false">INDEX(Summary!$O$2:$O$201,MATCH($B2355,Summary!$A$2:$A$201,0))</f>
        <v>4</v>
      </c>
      <c r="T2355" s="3" t="n">
        <f aca="false">INDEX(Summary!$P$2:$P$201,MATCH($B2355,Summary!$A$2:$A$201,0))</f>
        <v>5</v>
      </c>
      <c r="U2355" s="2" t="n">
        <f aca="false">INDEX(Summary!$Q$2:$Q$201,MATCH($B2355,Summary!$A$2:$A$201,0))</f>
        <v>13.77</v>
      </c>
      <c r="V2355" s="2" t="n">
        <f aca="false">INDEX(Summary!$R$2:$R$201,MATCH($B2355,Summary!$A$2:$A$201,0))</f>
        <v>17.49</v>
      </c>
      <c r="W2355" s="0" t="str">
        <f aca="false">INDEX(Summary!$S$2:$S$201,MATCH($B2355,Summary!$A$2:$A$201,0))</f>
        <v>Bronze</v>
      </c>
      <c r="X2355" s="2" t="n">
        <f aca="false">INDEX(Summary!$T$2:$T$201,MATCH($B2355,Summary!$A$2:$A$201,0))</f>
        <v>42.66</v>
      </c>
      <c r="Y2355" s="0" t="str">
        <f aca="false">INDEX('Reward Model'!$E$18:$E$37,MATCH($E2355,'Reward Model'!$A$18:$A$37,0))</f>
        <v>Medium</v>
      </c>
      <c r="Z2355" s="4" t="n">
        <f aca="false">ROUND(MIN(1,MAX('Reward Model'!$B$2,INDEX('Reward Model'!$C$12:$C$14,MATCH($K2355,'Reward Model'!$A$12:$A$14,0))/$J2355)),3)</f>
        <v>0.947</v>
      </c>
      <c r="AA2355" s="2" t="n">
        <f aca="false">IF($I2355="Correct",ROUND(INDEX('Reward Model'!$B$12:$B$14,MATCH($K2355,'Reward Model'!$A$12:$A$14,0))*Z2355,2),0)</f>
        <v>1.89</v>
      </c>
      <c r="AB2355" s="2" t="n">
        <f aca="false">IF($I2355="Correct",ROUND(INDEX('Reward Model'!$B$12:$B$14,MATCH($Y2355,'Reward Model'!$A$12:$A$14,0))*Z2355,2),0)</f>
        <v>1.89</v>
      </c>
    </row>
    <row r="2356" customFormat="false" ht="15" hidden="false" customHeight="false" outlineLevel="0" collapsed="false">
      <c r="A2356" s="0" t="s">
        <v>366</v>
      </c>
      <c r="B2356" s="0" t="s">
        <v>367</v>
      </c>
      <c r="C2356" s="0" t="s">
        <v>322</v>
      </c>
      <c r="D2356" s="0" t="s">
        <v>31</v>
      </c>
      <c r="E2356" s="0" t="n">
        <v>15</v>
      </c>
      <c r="F2356" s="0" t="s">
        <v>69</v>
      </c>
      <c r="G2356" s="0" t="s">
        <v>94</v>
      </c>
      <c r="H2356" s="0" t="s">
        <v>70</v>
      </c>
      <c r="I2356" s="0" t="s">
        <v>39</v>
      </c>
      <c r="J2356" s="0" t="n">
        <v>2.26</v>
      </c>
      <c r="K2356" s="0" t="s">
        <v>60</v>
      </c>
      <c r="L2356" s="0" t="n">
        <f aca="false">INDEX(Summary!$F$2:$F$201,MATCH($B2356,Summary!$A$2:$A$201,0))</f>
        <v>20</v>
      </c>
      <c r="M2356" s="0" t="n">
        <f aca="false">INDEX(Summary!$I$2:$I$201,MATCH($B2356,Summary!$A$2:$A$201,0))</f>
        <v>1</v>
      </c>
      <c r="N2356" s="0" t="n">
        <f aca="false">INDEX(Summary!$J$2:$J$201,MATCH($B2356,Summary!$A$2:$A$201,0))</f>
        <v>4</v>
      </c>
      <c r="O2356" s="2" t="n">
        <f aca="false">INDEX(Summary!$K$2:$K$201,MATCH($B2356,Summary!$A$2:$A$201,0))</f>
        <v>9.03</v>
      </c>
      <c r="P2356" s="3" t="n">
        <f aca="false">INDEX(Summary!$L$2:$L$201,MATCH($B2356,Summary!$A$2:$A$201,0))</f>
        <v>5</v>
      </c>
      <c r="Q2356" s="3" t="n">
        <f aca="false">INDEX(Summary!$M$2:$M$201,MATCH($B2356,Summary!$A$2:$A$201,0))</f>
        <v>1</v>
      </c>
      <c r="R2356" s="2" t="n">
        <f aca="false">INDEX(Summary!$N$2:$N$201,MATCH($B2356,Summary!$A$2:$A$201,0))</f>
        <v>11.63</v>
      </c>
      <c r="S2356" s="3" t="n">
        <f aca="false">INDEX(Summary!$O$2:$O$201,MATCH($B2356,Summary!$A$2:$A$201,0))</f>
        <v>4</v>
      </c>
      <c r="T2356" s="3" t="n">
        <f aca="false">INDEX(Summary!$P$2:$P$201,MATCH($B2356,Summary!$A$2:$A$201,0))</f>
        <v>5</v>
      </c>
      <c r="U2356" s="2" t="n">
        <f aca="false">INDEX(Summary!$Q$2:$Q$201,MATCH($B2356,Summary!$A$2:$A$201,0))</f>
        <v>13.77</v>
      </c>
      <c r="V2356" s="2" t="n">
        <f aca="false">INDEX(Summary!$R$2:$R$201,MATCH($B2356,Summary!$A$2:$A$201,0))</f>
        <v>17.49</v>
      </c>
      <c r="W2356" s="0" t="str">
        <f aca="false">INDEX(Summary!$S$2:$S$201,MATCH($B2356,Summary!$A$2:$A$201,0))</f>
        <v>Bronze</v>
      </c>
      <c r="X2356" s="2" t="n">
        <f aca="false">INDEX(Summary!$T$2:$T$201,MATCH($B2356,Summary!$A$2:$A$201,0))</f>
        <v>42.66</v>
      </c>
      <c r="Y2356" s="0" t="str">
        <f aca="false">INDEX('Reward Model'!$E$18:$E$37,MATCH($E2356,'Reward Model'!$A$18:$A$37,0))</f>
        <v>Medium</v>
      </c>
      <c r="Z2356" s="4" t="n">
        <f aca="false">ROUND(MIN(1,MAX('Reward Model'!$B$2,INDEX('Reward Model'!$C$12:$C$14,MATCH($K2356,'Reward Model'!$A$12:$A$14,0))/$J2356)),3)</f>
        <v>0.796</v>
      </c>
      <c r="AA2356" s="2" t="n">
        <f aca="false">IF($I2356="Correct",ROUND(INDEX('Reward Model'!$B$12:$B$14,MATCH($K2356,'Reward Model'!$A$12:$A$14,0))*Z2356,2),0)</f>
        <v>0</v>
      </c>
      <c r="AB2356" s="2" t="n">
        <f aca="false">IF($I2356="Correct",ROUND(INDEX('Reward Model'!$B$12:$B$14,MATCH($Y2356,'Reward Model'!$A$12:$A$14,0))*Z2356,2),0)</f>
        <v>0</v>
      </c>
    </row>
    <row r="2357" customFormat="false" ht="15" hidden="false" customHeight="false" outlineLevel="0" collapsed="false">
      <c r="A2357" s="0" t="s">
        <v>366</v>
      </c>
      <c r="B2357" s="0" t="s">
        <v>367</v>
      </c>
      <c r="C2357" s="0" t="s">
        <v>322</v>
      </c>
      <c r="D2357" s="0" t="s">
        <v>31</v>
      </c>
      <c r="E2357" s="0" t="n">
        <v>16</v>
      </c>
      <c r="F2357" s="0" t="s">
        <v>71</v>
      </c>
      <c r="G2357" s="0" t="s">
        <v>72</v>
      </c>
      <c r="H2357" s="0" t="s">
        <v>72</v>
      </c>
      <c r="I2357" s="0" t="s">
        <v>34</v>
      </c>
      <c r="J2357" s="0" t="n">
        <v>1.38</v>
      </c>
      <c r="K2357" s="0" t="s">
        <v>73</v>
      </c>
      <c r="L2357" s="0" t="n">
        <f aca="false">INDEX(Summary!$F$2:$F$201,MATCH($B2357,Summary!$A$2:$A$201,0))</f>
        <v>20</v>
      </c>
      <c r="M2357" s="0" t="n">
        <f aca="false">INDEX(Summary!$I$2:$I$201,MATCH($B2357,Summary!$A$2:$A$201,0))</f>
        <v>1</v>
      </c>
      <c r="N2357" s="0" t="n">
        <f aca="false">INDEX(Summary!$J$2:$J$201,MATCH($B2357,Summary!$A$2:$A$201,0))</f>
        <v>4</v>
      </c>
      <c r="O2357" s="2" t="n">
        <f aca="false">INDEX(Summary!$K$2:$K$201,MATCH($B2357,Summary!$A$2:$A$201,0))</f>
        <v>9.03</v>
      </c>
      <c r="P2357" s="3" t="n">
        <f aca="false">INDEX(Summary!$L$2:$L$201,MATCH($B2357,Summary!$A$2:$A$201,0))</f>
        <v>5</v>
      </c>
      <c r="Q2357" s="3" t="n">
        <f aca="false">INDEX(Summary!$M$2:$M$201,MATCH($B2357,Summary!$A$2:$A$201,0))</f>
        <v>1</v>
      </c>
      <c r="R2357" s="2" t="n">
        <f aca="false">INDEX(Summary!$N$2:$N$201,MATCH($B2357,Summary!$A$2:$A$201,0))</f>
        <v>11.63</v>
      </c>
      <c r="S2357" s="3" t="n">
        <f aca="false">INDEX(Summary!$O$2:$O$201,MATCH($B2357,Summary!$A$2:$A$201,0))</f>
        <v>4</v>
      </c>
      <c r="T2357" s="3" t="n">
        <f aca="false">INDEX(Summary!$P$2:$P$201,MATCH($B2357,Summary!$A$2:$A$201,0))</f>
        <v>5</v>
      </c>
      <c r="U2357" s="2" t="n">
        <f aca="false">INDEX(Summary!$Q$2:$Q$201,MATCH($B2357,Summary!$A$2:$A$201,0))</f>
        <v>13.77</v>
      </c>
      <c r="V2357" s="2" t="n">
        <f aca="false">INDEX(Summary!$R$2:$R$201,MATCH($B2357,Summary!$A$2:$A$201,0))</f>
        <v>17.49</v>
      </c>
      <c r="W2357" s="0" t="str">
        <f aca="false">INDEX(Summary!$S$2:$S$201,MATCH($B2357,Summary!$A$2:$A$201,0))</f>
        <v>Bronze</v>
      </c>
      <c r="X2357" s="2" t="n">
        <f aca="false">INDEX(Summary!$T$2:$T$201,MATCH($B2357,Summary!$A$2:$A$201,0))</f>
        <v>42.66</v>
      </c>
      <c r="Y2357" s="0" t="str">
        <f aca="false">INDEX('Reward Model'!$E$18:$E$37,MATCH($E2357,'Reward Model'!$A$18:$A$37,0))</f>
        <v>High</v>
      </c>
      <c r="Z2357" s="4" t="n">
        <f aca="false">ROUND(MIN(1,MAX('Reward Model'!$B$2,INDEX('Reward Model'!$C$12:$C$14,MATCH($K2357,'Reward Model'!$A$12:$A$14,0))/$J2357)),3)</f>
        <v>1</v>
      </c>
      <c r="AA2357" s="2" t="n">
        <f aca="false">IF($I2357="Correct",ROUND(INDEX('Reward Model'!$B$12:$B$14,MATCH($K2357,'Reward Model'!$A$12:$A$14,0))*Z2357,2),0)</f>
        <v>3</v>
      </c>
      <c r="AB2357" s="2" t="n">
        <f aca="false">IF($I2357="Correct",ROUND(INDEX('Reward Model'!$B$12:$B$14,MATCH($Y2357,'Reward Model'!$A$12:$A$14,0))*Z2357,2),0)</f>
        <v>3</v>
      </c>
    </row>
    <row r="2358" customFormat="false" ht="15" hidden="false" customHeight="false" outlineLevel="0" collapsed="false">
      <c r="A2358" s="0" t="s">
        <v>366</v>
      </c>
      <c r="B2358" s="0" t="s">
        <v>367</v>
      </c>
      <c r="C2358" s="0" t="s">
        <v>322</v>
      </c>
      <c r="D2358" s="0" t="s">
        <v>31</v>
      </c>
      <c r="E2358" s="0" t="n">
        <v>17</v>
      </c>
      <c r="F2358" s="0" t="s">
        <v>74</v>
      </c>
      <c r="G2358" s="0" t="s">
        <v>113</v>
      </c>
      <c r="H2358" s="0" t="s">
        <v>75</v>
      </c>
      <c r="I2358" s="0" t="s">
        <v>39</v>
      </c>
      <c r="J2358" s="0" t="n">
        <v>1.31</v>
      </c>
      <c r="K2358" s="0" t="s">
        <v>73</v>
      </c>
      <c r="L2358" s="0" t="n">
        <f aca="false">INDEX(Summary!$F$2:$F$201,MATCH($B2358,Summary!$A$2:$A$201,0))</f>
        <v>20</v>
      </c>
      <c r="M2358" s="0" t="n">
        <f aca="false">INDEX(Summary!$I$2:$I$201,MATCH($B2358,Summary!$A$2:$A$201,0))</f>
        <v>1</v>
      </c>
      <c r="N2358" s="0" t="n">
        <f aca="false">INDEX(Summary!$J$2:$J$201,MATCH($B2358,Summary!$A$2:$A$201,0))</f>
        <v>4</v>
      </c>
      <c r="O2358" s="2" t="n">
        <f aca="false">INDEX(Summary!$K$2:$K$201,MATCH($B2358,Summary!$A$2:$A$201,0))</f>
        <v>9.03</v>
      </c>
      <c r="P2358" s="3" t="n">
        <f aca="false">INDEX(Summary!$L$2:$L$201,MATCH($B2358,Summary!$A$2:$A$201,0))</f>
        <v>5</v>
      </c>
      <c r="Q2358" s="3" t="n">
        <f aca="false">INDEX(Summary!$M$2:$M$201,MATCH($B2358,Summary!$A$2:$A$201,0))</f>
        <v>1</v>
      </c>
      <c r="R2358" s="2" t="n">
        <f aca="false">INDEX(Summary!$N$2:$N$201,MATCH($B2358,Summary!$A$2:$A$201,0))</f>
        <v>11.63</v>
      </c>
      <c r="S2358" s="3" t="n">
        <f aca="false">INDEX(Summary!$O$2:$O$201,MATCH($B2358,Summary!$A$2:$A$201,0))</f>
        <v>4</v>
      </c>
      <c r="T2358" s="3" t="n">
        <f aca="false">INDEX(Summary!$P$2:$P$201,MATCH($B2358,Summary!$A$2:$A$201,0))</f>
        <v>5</v>
      </c>
      <c r="U2358" s="2" t="n">
        <f aca="false">INDEX(Summary!$Q$2:$Q$201,MATCH($B2358,Summary!$A$2:$A$201,0))</f>
        <v>13.77</v>
      </c>
      <c r="V2358" s="2" t="n">
        <f aca="false">INDEX(Summary!$R$2:$R$201,MATCH($B2358,Summary!$A$2:$A$201,0))</f>
        <v>17.49</v>
      </c>
      <c r="W2358" s="0" t="str">
        <f aca="false">INDEX(Summary!$S$2:$S$201,MATCH($B2358,Summary!$A$2:$A$201,0))</f>
        <v>Bronze</v>
      </c>
      <c r="X2358" s="2" t="n">
        <f aca="false">INDEX(Summary!$T$2:$T$201,MATCH($B2358,Summary!$A$2:$A$201,0))</f>
        <v>42.66</v>
      </c>
      <c r="Y2358" s="0" t="str">
        <f aca="false">INDEX('Reward Model'!$E$18:$E$37,MATCH($E2358,'Reward Model'!$A$18:$A$37,0))</f>
        <v>High</v>
      </c>
      <c r="Z2358" s="4" t="n">
        <f aca="false">ROUND(MIN(1,MAX('Reward Model'!$B$2,INDEX('Reward Model'!$C$12:$C$14,MATCH($K2358,'Reward Model'!$A$12:$A$14,0))/$J2358)),3)</f>
        <v>1</v>
      </c>
      <c r="AA2358" s="2" t="n">
        <f aca="false">IF($I2358="Correct",ROUND(INDEX('Reward Model'!$B$12:$B$14,MATCH($K2358,'Reward Model'!$A$12:$A$14,0))*Z2358,2),0)</f>
        <v>0</v>
      </c>
      <c r="AB2358" s="2" t="n">
        <f aca="false">IF($I2358="Correct",ROUND(INDEX('Reward Model'!$B$12:$B$14,MATCH($Y2358,'Reward Model'!$A$12:$A$14,0))*Z2358,2),0)</f>
        <v>0</v>
      </c>
    </row>
    <row r="2359" customFormat="false" ht="15" hidden="false" customHeight="false" outlineLevel="0" collapsed="false">
      <c r="A2359" s="0" t="s">
        <v>366</v>
      </c>
      <c r="B2359" s="0" t="s">
        <v>367</v>
      </c>
      <c r="C2359" s="0" t="s">
        <v>322</v>
      </c>
      <c r="D2359" s="0" t="s">
        <v>31</v>
      </c>
      <c r="E2359" s="0" t="n">
        <v>18</v>
      </c>
      <c r="F2359" s="0" t="s">
        <v>76</v>
      </c>
      <c r="G2359" s="0" t="s">
        <v>88</v>
      </c>
      <c r="H2359" s="0" t="s">
        <v>77</v>
      </c>
      <c r="I2359" s="0" t="s">
        <v>39</v>
      </c>
      <c r="J2359" s="0" t="n">
        <v>2.42</v>
      </c>
      <c r="K2359" s="0" t="s">
        <v>73</v>
      </c>
      <c r="L2359" s="0" t="n">
        <f aca="false">INDEX(Summary!$F$2:$F$201,MATCH($B2359,Summary!$A$2:$A$201,0))</f>
        <v>20</v>
      </c>
      <c r="M2359" s="0" t="n">
        <f aca="false">INDEX(Summary!$I$2:$I$201,MATCH($B2359,Summary!$A$2:$A$201,0))</f>
        <v>1</v>
      </c>
      <c r="N2359" s="0" t="n">
        <f aca="false">INDEX(Summary!$J$2:$J$201,MATCH($B2359,Summary!$A$2:$A$201,0))</f>
        <v>4</v>
      </c>
      <c r="O2359" s="2" t="n">
        <f aca="false">INDEX(Summary!$K$2:$K$201,MATCH($B2359,Summary!$A$2:$A$201,0))</f>
        <v>9.03</v>
      </c>
      <c r="P2359" s="3" t="n">
        <f aca="false">INDEX(Summary!$L$2:$L$201,MATCH($B2359,Summary!$A$2:$A$201,0))</f>
        <v>5</v>
      </c>
      <c r="Q2359" s="3" t="n">
        <f aca="false">INDEX(Summary!$M$2:$M$201,MATCH($B2359,Summary!$A$2:$A$201,0))</f>
        <v>1</v>
      </c>
      <c r="R2359" s="2" t="n">
        <f aca="false">INDEX(Summary!$N$2:$N$201,MATCH($B2359,Summary!$A$2:$A$201,0))</f>
        <v>11.63</v>
      </c>
      <c r="S2359" s="3" t="n">
        <f aca="false">INDEX(Summary!$O$2:$O$201,MATCH($B2359,Summary!$A$2:$A$201,0))</f>
        <v>4</v>
      </c>
      <c r="T2359" s="3" t="n">
        <f aca="false">INDEX(Summary!$P$2:$P$201,MATCH($B2359,Summary!$A$2:$A$201,0))</f>
        <v>5</v>
      </c>
      <c r="U2359" s="2" t="n">
        <f aca="false">INDEX(Summary!$Q$2:$Q$201,MATCH($B2359,Summary!$A$2:$A$201,0))</f>
        <v>13.77</v>
      </c>
      <c r="V2359" s="2" t="n">
        <f aca="false">INDEX(Summary!$R$2:$R$201,MATCH($B2359,Summary!$A$2:$A$201,0))</f>
        <v>17.49</v>
      </c>
      <c r="W2359" s="0" t="str">
        <f aca="false">INDEX(Summary!$S$2:$S$201,MATCH($B2359,Summary!$A$2:$A$201,0))</f>
        <v>Bronze</v>
      </c>
      <c r="X2359" s="2" t="n">
        <f aca="false">INDEX(Summary!$T$2:$T$201,MATCH($B2359,Summary!$A$2:$A$201,0))</f>
        <v>42.66</v>
      </c>
      <c r="Y2359" s="0" t="str">
        <f aca="false">INDEX('Reward Model'!$E$18:$E$37,MATCH($E2359,'Reward Model'!$A$18:$A$37,0))</f>
        <v>High</v>
      </c>
      <c r="Z2359" s="4" t="n">
        <f aca="false">ROUND(MIN(1,MAX('Reward Model'!$B$2,INDEX('Reward Model'!$C$12:$C$14,MATCH($K2359,'Reward Model'!$A$12:$A$14,0))/$J2359)),3)</f>
        <v>0.826</v>
      </c>
      <c r="AA2359" s="2" t="n">
        <f aca="false">IF($I2359="Correct",ROUND(INDEX('Reward Model'!$B$12:$B$14,MATCH($K2359,'Reward Model'!$A$12:$A$14,0))*Z2359,2),0)</f>
        <v>0</v>
      </c>
      <c r="AB2359" s="2" t="n">
        <f aca="false">IF($I2359="Correct",ROUND(INDEX('Reward Model'!$B$12:$B$14,MATCH($Y2359,'Reward Model'!$A$12:$A$14,0))*Z2359,2),0)</f>
        <v>0</v>
      </c>
    </row>
    <row r="2360" customFormat="false" ht="15" hidden="false" customHeight="false" outlineLevel="0" collapsed="false">
      <c r="A2360" s="0" t="s">
        <v>366</v>
      </c>
      <c r="B2360" s="0" t="s">
        <v>367</v>
      </c>
      <c r="C2360" s="0" t="s">
        <v>322</v>
      </c>
      <c r="D2360" s="0" t="s">
        <v>31</v>
      </c>
      <c r="E2360" s="0" t="n">
        <v>19</v>
      </c>
      <c r="F2360" s="0" t="s">
        <v>78</v>
      </c>
      <c r="G2360" s="0" t="s">
        <v>132</v>
      </c>
      <c r="H2360" s="0" t="s">
        <v>80</v>
      </c>
      <c r="I2360" s="0" t="s">
        <v>39</v>
      </c>
      <c r="J2360" s="0" t="n">
        <v>2.04</v>
      </c>
      <c r="K2360" s="0" t="s">
        <v>73</v>
      </c>
      <c r="L2360" s="0" t="n">
        <f aca="false">INDEX(Summary!$F$2:$F$201,MATCH($B2360,Summary!$A$2:$A$201,0))</f>
        <v>20</v>
      </c>
      <c r="M2360" s="0" t="n">
        <f aca="false">INDEX(Summary!$I$2:$I$201,MATCH($B2360,Summary!$A$2:$A$201,0))</f>
        <v>1</v>
      </c>
      <c r="N2360" s="0" t="n">
        <f aca="false">INDEX(Summary!$J$2:$J$201,MATCH($B2360,Summary!$A$2:$A$201,0))</f>
        <v>4</v>
      </c>
      <c r="O2360" s="2" t="n">
        <f aca="false">INDEX(Summary!$K$2:$K$201,MATCH($B2360,Summary!$A$2:$A$201,0))</f>
        <v>9.03</v>
      </c>
      <c r="P2360" s="3" t="n">
        <f aca="false">INDEX(Summary!$L$2:$L$201,MATCH($B2360,Summary!$A$2:$A$201,0))</f>
        <v>5</v>
      </c>
      <c r="Q2360" s="3" t="n">
        <f aca="false">INDEX(Summary!$M$2:$M$201,MATCH($B2360,Summary!$A$2:$A$201,0))</f>
        <v>1</v>
      </c>
      <c r="R2360" s="2" t="n">
        <f aca="false">INDEX(Summary!$N$2:$N$201,MATCH($B2360,Summary!$A$2:$A$201,0))</f>
        <v>11.63</v>
      </c>
      <c r="S2360" s="3" t="n">
        <f aca="false">INDEX(Summary!$O$2:$O$201,MATCH($B2360,Summary!$A$2:$A$201,0))</f>
        <v>4</v>
      </c>
      <c r="T2360" s="3" t="n">
        <f aca="false">INDEX(Summary!$P$2:$P$201,MATCH($B2360,Summary!$A$2:$A$201,0))</f>
        <v>5</v>
      </c>
      <c r="U2360" s="2" t="n">
        <f aca="false">INDEX(Summary!$Q$2:$Q$201,MATCH($B2360,Summary!$A$2:$A$201,0))</f>
        <v>13.77</v>
      </c>
      <c r="V2360" s="2" t="n">
        <f aca="false">INDEX(Summary!$R$2:$R$201,MATCH($B2360,Summary!$A$2:$A$201,0))</f>
        <v>17.49</v>
      </c>
      <c r="W2360" s="0" t="str">
        <f aca="false">INDEX(Summary!$S$2:$S$201,MATCH($B2360,Summary!$A$2:$A$201,0))</f>
        <v>Bronze</v>
      </c>
      <c r="X2360" s="2" t="n">
        <f aca="false">INDEX(Summary!$T$2:$T$201,MATCH($B2360,Summary!$A$2:$A$201,0))</f>
        <v>42.66</v>
      </c>
      <c r="Y2360" s="0" t="str">
        <f aca="false">INDEX('Reward Model'!$E$18:$E$37,MATCH($E2360,'Reward Model'!$A$18:$A$37,0))</f>
        <v>High</v>
      </c>
      <c r="Z2360" s="4" t="n">
        <f aca="false">ROUND(MIN(1,MAX('Reward Model'!$B$2,INDEX('Reward Model'!$C$12:$C$14,MATCH($K2360,'Reward Model'!$A$12:$A$14,0))/$J2360)),3)</f>
        <v>0.98</v>
      </c>
      <c r="AA2360" s="2" t="n">
        <f aca="false">IF($I2360="Correct",ROUND(INDEX('Reward Model'!$B$12:$B$14,MATCH($K2360,'Reward Model'!$A$12:$A$14,0))*Z2360,2),0)</f>
        <v>0</v>
      </c>
      <c r="AB2360" s="2" t="n">
        <f aca="false">IF($I2360="Correct",ROUND(INDEX('Reward Model'!$B$12:$B$14,MATCH($Y2360,'Reward Model'!$A$12:$A$14,0))*Z2360,2),0)</f>
        <v>0</v>
      </c>
    </row>
    <row r="2361" customFormat="false" ht="15" hidden="false" customHeight="false" outlineLevel="0" collapsed="false">
      <c r="A2361" s="0" t="s">
        <v>366</v>
      </c>
      <c r="B2361" s="0" t="s">
        <v>367</v>
      </c>
      <c r="C2361" s="0" t="s">
        <v>322</v>
      </c>
      <c r="D2361" s="0" t="s">
        <v>31</v>
      </c>
      <c r="E2361" s="0" t="n">
        <v>20</v>
      </c>
      <c r="F2361" s="0" t="s">
        <v>81</v>
      </c>
      <c r="G2361" s="0" t="s">
        <v>166</v>
      </c>
      <c r="H2361" s="0" t="s">
        <v>83</v>
      </c>
      <c r="I2361" s="0" t="s">
        <v>39</v>
      </c>
      <c r="J2361" s="0" t="n">
        <v>1.88</v>
      </c>
      <c r="K2361" s="0" t="s">
        <v>73</v>
      </c>
      <c r="L2361" s="0" t="n">
        <f aca="false">INDEX(Summary!$F$2:$F$201,MATCH($B2361,Summary!$A$2:$A$201,0))</f>
        <v>20</v>
      </c>
      <c r="M2361" s="0" t="n">
        <f aca="false">INDEX(Summary!$I$2:$I$201,MATCH($B2361,Summary!$A$2:$A$201,0))</f>
        <v>1</v>
      </c>
      <c r="N2361" s="0" t="n">
        <f aca="false">INDEX(Summary!$J$2:$J$201,MATCH($B2361,Summary!$A$2:$A$201,0))</f>
        <v>4</v>
      </c>
      <c r="O2361" s="2" t="n">
        <f aca="false">INDEX(Summary!$K$2:$K$201,MATCH($B2361,Summary!$A$2:$A$201,0))</f>
        <v>9.03</v>
      </c>
      <c r="P2361" s="3" t="n">
        <f aca="false">INDEX(Summary!$L$2:$L$201,MATCH($B2361,Summary!$A$2:$A$201,0))</f>
        <v>5</v>
      </c>
      <c r="Q2361" s="3" t="n">
        <f aca="false">INDEX(Summary!$M$2:$M$201,MATCH($B2361,Summary!$A$2:$A$201,0))</f>
        <v>1</v>
      </c>
      <c r="R2361" s="2" t="n">
        <f aca="false">INDEX(Summary!$N$2:$N$201,MATCH($B2361,Summary!$A$2:$A$201,0))</f>
        <v>11.63</v>
      </c>
      <c r="S2361" s="3" t="n">
        <f aca="false">INDEX(Summary!$O$2:$O$201,MATCH($B2361,Summary!$A$2:$A$201,0))</f>
        <v>4</v>
      </c>
      <c r="T2361" s="3" t="n">
        <f aca="false">INDEX(Summary!$P$2:$P$201,MATCH($B2361,Summary!$A$2:$A$201,0))</f>
        <v>5</v>
      </c>
      <c r="U2361" s="2" t="n">
        <f aca="false">INDEX(Summary!$Q$2:$Q$201,MATCH($B2361,Summary!$A$2:$A$201,0))</f>
        <v>13.77</v>
      </c>
      <c r="V2361" s="2" t="n">
        <f aca="false">INDEX(Summary!$R$2:$R$201,MATCH($B2361,Summary!$A$2:$A$201,0))</f>
        <v>17.49</v>
      </c>
      <c r="W2361" s="0" t="str">
        <f aca="false">INDEX(Summary!$S$2:$S$201,MATCH($B2361,Summary!$A$2:$A$201,0))</f>
        <v>Bronze</v>
      </c>
      <c r="X2361" s="2" t="n">
        <f aca="false">INDEX(Summary!$T$2:$T$201,MATCH($B2361,Summary!$A$2:$A$201,0))</f>
        <v>42.66</v>
      </c>
      <c r="Y2361" s="0" t="str">
        <f aca="false">INDEX('Reward Model'!$E$18:$E$37,MATCH($E2361,'Reward Model'!$A$18:$A$37,0))</f>
        <v>High</v>
      </c>
      <c r="Z2361" s="4" t="n">
        <f aca="false">ROUND(MIN(1,MAX('Reward Model'!$B$2,INDEX('Reward Model'!$C$12:$C$14,MATCH($K2361,'Reward Model'!$A$12:$A$14,0))/$J2361)),3)</f>
        <v>1</v>
      </c>
      <c r="AA2361" s="2" t="n">
        <f aca="false">IF($I2361="Correct",ROUND(INDEX('Reward Model'!$B$12:$B$14,MATCH($K2361,'Reward Model'!$A$12:$A$14,0))*Z2361,2),0)</f>
        <v>0</v>
      </c>
      <c r="AB2361" s="2" t="n">
        <f aca="false">IF($I2361="Correct",ROUND(INDEX('Reward Model'!$B$12:$B$14,MATCH($Y2361,'Reward Model'!$A$12:$A$14,0))*Z2361,2),0)</f>
        <v>0</v>
      </c>
    </row>
    <row r="2362" customFormat="false" ht="15" hidden="false" customHeight="false" outlineLevel="0" collapsed="false">
      <c r="A2362" s="0" t="s">
        <v>368</v>
      </c>
      <c r="B2362" s="0" t="s">
        <v>369</v>
      </c>
      <c r="C2362" s="0" t="s">
        <v>322</v>
      </c>
      <c r="D2362" s="0" t="s">
        <v>31</v>
      </c>
      <c r="E2362" s="0" t="n">
        <v>1</v>
      </c>
      <c r="F2362" s="0" t="s">
        <v>32</v>
      </c>
      <c r="G2362" s="0" t="s">
        <v>33</v>
      </c>
      <c r="H2362" s="0" t="s">
        <v>33</v>
      </c>
      <c r="I2362" s="0" t="s">
        <v>34</v>
      </c>
      <c r="J2362" s="0" t="n">
        <v>1.9</v>
      </c>
      <c r="K2362" s="0" t="s">
        <v>35</v>
      </c>
      <c r="L2362" s="0" t="n">
        <f aca="false">INDEX(Summary!$F$2:$F$201,MATCH($B2362,Summary!$A$2:$A$201,0))</f>
        <v>20</v>
      </c>
      <c r="M2362" s="0" t="n">
        <f aca="false">INDEX(Summary!$I$2:$I$201,MATCH($B2362,Summary!$A$2:$A$201,0))</f>
        <v>1</v>
      </c>
      <c r="N2362" s="0" t="n">
        <f aca="false">INDEX(Summary!$J$2:$J$201,MATCH($B2362,Summary!$A$2:$A$201,0))</f>
        <v>4</v>
      </c>
      <c r="O2362" s="2" t="n">
        <f aca="false">INDEX(Summary!$K$2:$K$201,MATCH($B2362,Summary!$A$2:$A$201,0))</f>
        <v>10.82</v>
      </c>
      <c r="P2362" s="3" t="n">
        <f aca="false">INDEX(Summary!$L$2:$L$201,MATCH($B2362,Summary!$A$2:$A$201,0))</f>
        <v>4</v>
      </c>
      <c r="Q2362" s="3" t="n">
        <f aca="false">INDEX(Summary!$M$2:$M$201,MATCH($B2362,Summary!$A$2:$A$201,0))</f>
        <v>2</v>
      </c>
      <c r="R2362" s="2" t="n">
        <f aca="false">INDEX(Summary!$N$2:$N$201,MATCH($B2362,Summary!$A$2:$A$201,0))</f>
        <v>10.15</v>
      </c>
      <c r="S2362" s="3" t="n">
        <f aca="false">INDEX(Summary!$O$2:$O$201,MATCH($B2362,Summary!$A$2:$A$201,0))</f>
        <v>8</v>
      </c>
      <c r="T2362" s="3" t="n">
        <f aca="false">INDEX(Summary!$P$2:$P$201,MATCH($B2362,Summary!$A$2:$A$201,0))</f>
        <v>1</v>
      </c>
      <c r="U2362" s="2" t="n">
        <f aca="false">INDEX(Summary!$Q$2:$Q$201,MATCH($B2362,Summary!$A$2:$A$201,0))</f>
        <v>14.37</v>
      </c>
      <c r="V2362" s="2" t="n">
        <f aca="false">INDEX(Summary!$R$2:$R$201,MATCH($B2362,Summary!$A$2:$A$201,0))</f>
        <v>21.41</v>
      </c>
      <c r="W2362" s="0" t="str">
        <f aca="false">INDEX(Summary!$S$2:$S$201,MATCH($B2362,Summary!$A$2:$A$201,0))</f>
        <v>Silver</v>
      </c>
      <c r="X2362" s="2" t="n">
        <f aca="false">INDEX(Summary!$T$2:$T$201,MATCH($B2362,Summary!$A$2:$A$201,0))</f>
        <v>52.22</v>
      </c>
      <c r="Y2362" s="0" t="str">
        <f aca="false">INDEX('Reward Model'!$E$18:$E$37,MATCH($E2362,'Reward Model'!$A$18:$A$37,0))</f>
        <v>Medium</v>
      </c>
      <c r="Z2362" s="4" t="n">
        <f aca="false">ROUND(MIN(1,MAX('Reward Model'!$B$2,INDEX('Reward Model'!$C$12:$C$14,MATCH($K2362,'Reward Model'!$A$12:$A$14,0))/$J2362)),3)</f>
        <v>0.789</v>
      </c>
      <c r="AA2362" s="2" t="n">
        <f aca="false">IF($I2362="Correct",ROUND(INDEX('Reward Model'!$B$12:$B$14,MATCH($K2362,'Reward Model'!$A$12:$A$14,0))*Z2362,2),0)</f>
        <v>0.79</v>
      </c>
      <c r="AB2362" s="2" t="n">
        <f aca="false">IF($I2362="Correct",ROUND(INDEX('Reward Model'!$B$12:$B$14,MATCH($Y2362,'Reward Model'!$A$12:$A$14,0))*Z2362,2),0)</f>
        <v>1.58</v>
      </c>
    </row>
    <row r="2363" customFormat="false" ht="15" hidden="false" customHeight="false" outlineLevel="0" collapsed="false">
      <c r="A2363" s="0" t="s">
        <v>368</v>
      </c>
      <c r="B2363" s="0" t="s">
        <v>369</v>
      </c>
      <c r="C2363" s="0" t="s">
        <v>322</v>
      </c>
      <c r="D2363" s="0" t="s">
        <v>31</v>
      </c>
      <c r="E2363" s="0" t="n">
        <v>2</v>
      </c>
      <c r="F2363" s="0" t="s">
        <v>36</v>
      </c>
      <c r="G2363" s="0" t="s">
        <v>38</v>
      </c>
      <c r="H2363" s="0" t="s">
        <v>38</v>
      </c>
      <c r="I2363" s="0" t="s">
        <v>34</v>
      </c>
      <c r="J2363" s="0" t="n">
        <v>1.5</v>
      </c>
      <c r="K2363" s="0" t="s">
        <v>35</v>
      </c>
      <c r="L2363" s="0" t="n">
        <f aca="false">INDEX(Summary!$F$2:$F$201,MATCH($B2363,Summary!$A$2:$A$201,0))</f>
        <v>20</v>
      </c>
      <c r="M2363" s="0" t="n">
        <f aca="false">INDEX(Summary!$I$2:$I$201,MATCH($B2363,Summary!$A$2:$A$201,0))</f>
        <v>1</v>
      </c>
      <c r="N2363" s="0" t="n">
        <f aca="false">INDEX(Summary!$J$2:$J$201,MATCH($B2363,Summary!$A$2:$A$201,0))</f>
        <v>4</v>
      </c>
      <c r="O2363" s="2" t="n">
        <f aca="false">INDEX(Summary!$K$2:$K$201,MATCH($B2363,Summary!$A$2:$A$201,0))</f>
        <v>10.82</v>
      </c>
      <c r="P2363" s="3" t="n">
        <f aca="false">INDEX(Summary!$L$2:$L$201,MATCH($B2363,Summary!$A$2:$A$201,0))</f>
        <v>4</v>
      </c>
      <c r="Q2363" s="3" t="n">
        <f aca="false">INDEX(Summary!$M$2:$M$201,MATCH($B2363,Summary!$A$2:$A$201,0))</f>
        <v>2</v>
      </c>
      <c r="R2363" s="2" t="n">
        <f aca="false">INDEX(Summary!$N$2:$N$201,MATCH($B2363,Summary!$A$2:$A$201,0))</f>
        <v>10.15</v>
      </c>
      <c r="S2363" s="3" t="n">
        <f aca="false">INDEX(Summary!$O$2:$O$201,MATCH($B2363,Summary!$A$2:$A$201,0))</f>
        <v>8</v>
      </c>
      <c r="T2363" s="3" t="n">
        <f aca="false">INDEX(Summary!$P$2:$P$201,MATCH($B2363,Summary!$A$2:$A$201,0))</f>
        <v>1</v>
      </c>
      <c r="U2363" s="2" t="n">
        <f aca="false">INDEX(Summary!$Q$2:$Q$201,MATCH($B2363,Summary!$A$2:$A$201,0))</f>
        <v>14.37</v>
      </c>
      <c r="V2363" s="2" t="n">
        <f aca="false">INDEX(Summary!$R$2:$R$201,MATCH($B2363,Summary!$A$2:$A$201,0))</f>
        <v>21.41</v>
      </c>
      <c r="W2363" s="0" t="str">
        <f aca="false">INDEX(Summary!$S$2:$S$201,MATCH($B2363,Summary!$A$2:$A$201,0))</f>
        <v>Silver</v>
      </c>
      <c r="X2363" s="2" t="n">
        <f aca="false">INDEX(Summary!$T$2:$T$201,MATCH($B2363,Summary!$A$2:$A$201,0))</f>
        <v>52.22</v>
      </c>
      <c r="Y2363" s="0" t="str">
        <f aca="false">INDEX('Reward Model'!$E$18:$E$37,MATCH($E2363,'Reward Model'!$A$18:$A$37,0))</f>
        <v>Low</v>
      </c>
      <c r="Z2363" s="4" t="n">
        <f aca="false">ROUND(MIN(1,MAX('Reward Model'!$B$2,INDEX('Reward Model'!$C$12:$C$14,MATCH($K2363,'Reward Model'!$A$12:$A$14,0))/$J2363)),3)</f>
        <v>1</v>
      </c>
      <c r="AA2363" s="2" t="n">
        <f aca="false">IF($I2363="Correct",ROUND(INDEX('Reward Model'!$B$12:$B$14,MATCH($K2363,'Reward Model'!$A$12:$A$14,0))*Z2363,2),0)</f>
        <v>1</v>
      </c>
      <c r="AB2363" s="2" t="n">
        <f aca="false">IF($I2363="Correct",ROUND(INDEX('Reward Model'!$B$12:$B$14,MATCH($Y2363,'Reward Model'!$A$12:$A$14,0))*Z2363,2),0)</f>
        <v>1</v>
      </c>
    </row>
    <row r="2364" customFormat="false" ht="15" hidden="false" customHeight="false" outlineLevel="0" collapsed="false">
      <c r="A2364" s="0" t="s">
        <v>368</v>
      </c>
      <c r="B2364" s="0" t="s">
        <v>369</v>
      </c>
      <c r="C2364" s="0" t="s">
        <v>322</v>
      </c>
      <c r="D2364" s="0" t="s">
        <v>31</v>
      </c>
      <c r="E2364" s="0" t="n">
        <v>3</v>
      </c>
      <c r="F2364" s="0" t="s">
        <v>40</v>
      </c>
      <c r="G2364" s="0" t="s">
        <v>42</v>
      </c>
      <c r="H2364" s="0" t="s">
        <v>42</v>
      </c>
      <c r="I2364" s="0" t="s">
        <v>34</v>
      </c>
      <c r="J2364" s="0" t="n">
        <v>1.73</v>
      </c>
      <c r="K2364" s="0" t="s">
        <v>35</v>
      </c>
      <c r="L2364" s="0" t="n">
        <f aca="false">INDEX(Summary!$F$2:$F$201,MATCH($B2364,Summary!$A$2:$A$201,0))</f>
        <v>20</v>
      </c>
      <c r="M2364" s="0" t="n">
        <f aca="false">INDEX(Summary!$I$2:$I$201,MATCH($B2364,Summary!$A$2:$A$201,0))</f>
        <v>1</v>
      </c>
      <c r="N2364" s="0" t="n">
        <f aca="false">INDEX(Summary!$J$2:$J$201,MATCH($B2364,Summary!$A$2:$A$201,0))</f>
        <v>4</v>
      </c>
      <c r="O2364" s="2" t="n">
        <f aca="false">INDEX(Summary!$K$2:$K$201,MATCH($B2364,Summary!$A$2:$A$201,0))</f>
        <v>10.82</v>
      </c>
      <c r="P2364" s="3" t="n">
        <f aca="false">INDEX(Summary!$L$2:$L$201,MATCH($B2364,Summary!$A$2:$A$201,0))</f>
        <v>4</v>
      </c>
      <c r="Q2364" s="3" t="n">
        <f aca="false">INDEX(Summary!$M$2:$M$201,MATCH($B2364,Summary!$A$2:$A$201,0))</f>
        <v>2</v>
      </c>
      <c r="R2364" s="2" t="n">
        <f aca="false">INDEX(Summary!$N$2:$N$201,MATCH($B2364,Summary!$A$2:$A$201,0))</f>
        <v>10.15</v>
      </c>
      <c r="S2364" s="3" t="n">
        <f aca="false">INDEX(Summary!$O$2:$O$201,MATCH($B2364,Summary!$A$2:$A$201,0))</f>
        <v>8</v>
      </c>
      <c r="T2364" s="3" t="n">
        <f aca="false">INDEX(Summary!$P$2:$P$201,MATCH($B2364,Summary!$A$2:$A$201,0))</f>
        <v>1</v>
      </c>
      <c r="U2364" s="2" t="n">
        <f aca="false">INDEX(Summary!$Q$2:$Q$201,MATCH($B2364,Summary!$A$2:$A$201,0))</f>
        <v>14.37</v>
      </c>
      <c r="V2364" s="2" t="n">
        <f aca="false">INDEX(Summary!$R$2:$R$201,MATCH($B2364,Summary!$A$2:$A$201,0))</f>
        <v>21.41</v>
      </c>
      <c r="W2364" s="0" t="str">
        <f aca="false">INDEX(Summary!$S$2:$S$201,MATCH($B2364,Summary!$A$2:$A$201,0))</f>
        <v>Silver</v>
      </c>
      <c r="X2364" s="2" t="n">
        <f aca="false">INDEX(Summary!$T$2:$T$201,MATCH($B2364,Summary!$A$2:$A$201,0))</f>
        <v>52.22</v>
      </c>
      <c r="Y2364" s="0" t="str">
        <f aca="false">INDEX('Reward Model'!$E$18:$E$37,MATCH($E2364,'Reward Model'!$A$18:$A$37,0))</f>
        <v>Medium</v>
      </c>
      <c r="Z2364" s="4" t="n">
        <f aca="false">ROUND(MIN(1,MAX('Reward Model'!$B$2,INDEX('Reward Model'!$C$12:$C$14,MATCH($K2364,'Reward Model'!$A$12:$A$14,0))/$J2364)),3)</f>
        <v>0.867</v>
      </c>
      <c r="AA2364" s="2" t="n">
        <f aca="false">IF($I2364="Correct",ROUND(INDEX('Reward Model'!$B$12:$B$14,MATCH($K2364,'Reward Model'!$A$12:$A$14,0))*Z2364,2),0)</f>
        <v>0.87</v>
      </c>
      <c r="AB2364" s="2" t="n">
        <f aca="false">IF($I2364="Correct",ROUND(INDEX('Reward Model'!$B$12:$B$14,MATCH($Y2364,'Reward Model'!$A$12:$A$14,0))*Z2364,2),0)</f>
        <v>1.73</v>
      </c>
    </row>
    <row r="2365" customFormat="false" ht="15" hidden="false" customHeight="false" outlineLevel="0" collapsed="false">
      <c r="A2365" s="0" t="s">
        <v>368</v>
      </c>
      <c r="B2365" s="0" t="s">
        <v>369</v>
      </c>
      <c r="C2365" s="0" t="s">
        <v>322</v>
      </c>
      <c r="D2365" s="0" t="s">
        <v>31</v>
      </c>
      <c r="E2365" s="0" t="n">
        <v>4</v>
      </c>
      <c r="F2365" s="0" t="s">
        <v>43</v>
      </c>
      <c r="G2365" s="0" t="s">
        <v>45</v>
      </c>
      <c r="H2365" s="0" t="s">
        <v>45</v>
      </c>
      <c r="I2365" s="0" t="s">
        <v>34</v>
      </c>
      <c r="J2365" s="0" t="n">
        <v>1.74</v>
      </c>
      <c r="K2365" s="0" t="s">
        <v>35</v>
      </c>
      <c r="L2365" s="0" t="n">
        <f aca="false">INDEX(Summary!$F$2:$F$201,MATCH($B2365,Summary!$A$2:$A$201,0))</f>
        <v>20</v>
      </c>
      <c r="M2365" s="0" t="n">
        <f aca="false">INDEX(Summary!$I$2:$I$201,MATCH($B2365,Summary!$A$2:$A$201,0))</f>
        <v>1</v>
      </c>
      <c r="N2365" s="0" t="n">
        <f aca="false">INDEX(Summary!$J$2:$J$201,MATCH($B2365,Summary!$A$2:$A$201,0))</f>
        <v>4</v>
      </c>
      <c r="O2365" s="2" t="n">
        <f aca="false">INDEX(Summary!$K$2:$K$201,MATCH($B2365,Summary!$A$2:$A$201,0))</f>
        <v>10.82</v>
      </c>
      <c r="P2365" s="3" t="n">
        <f aca="false">INDEX(Summary!$L$2:$L$201,MATCH($B2365,Summary!$A$2:$A$201,0))</f>
        <v>4</v>
      </c>
      <c r="Q2365" s="3" t="n">
        <f aca="false">INDEX(Summary!$M$2:$M$201,MATCH($B2365,Summary!$A$2:$A$201,0))</f>
        <v>2</v>
      </c>
      <c r="R2365" s="2" t="n">
        <f aca="false">INDEX(Summary!$N$2:$N$201,MATCH($B2365,Summary!$A$2:$A$201,0))</f>
        <v>10.15</v>
      </c>
      <c r="S2365" s="3" t="n">
        <f aca="false">INDEX(Summary!$O$2:$O$201,MATCH($B2365,Summary!$A$2:$A$201,0))</f>
        <v>8</v>
      </c>
      <c r="T2365" s="3" t="n">
        <f aca="false">INDEX(Summary!$P$2:$P$201,MATCH($B2365,Summary!$A$2:$A$201,0))</f>
        <v>1</v>
      </c>
      <c r="U2365" s="2" t="n">
        <f aca="false">INDEX(Summary!$Q$2:$Q$201,MATCH($B2365,Summary!$A$2:$A$201,0))</f>
        <v>14.37</v>
      </c>
      <c r="V2365" s="2" t="n">
        <f aca="false">INDEX(Summary!$R$2:$R$201,MATCH($B2365,Summary!$A$2:$A$201,0))</f>
        <v>21.41</v>
      </c>
      <c r="W2365" s="0" t="str">
        <f aca="false">INDEX(Summary!$S$2:$S$201,MATCH($B2365,Summary!$A$2:$A$201,0))</f>
        <v>Silver</v>
      </c>
      <c r="X2365" s="2" t="n">
        <f aca="false">INDEX(Summary!$T$2:$T$201,MATCH($B2365,Summary!$A$2:$A$201,0))</f>
        <v>52.22</v>
      </c>
      <c r="Y2365" s="0" t="str">
        <f aca="false">INDEX('Reward Model'!$E$18:$E$37,MATCH($E2365,'Reward Model'!$A$18:$A$37,0))</f>
        <v>Low</v>
      </c>
      <c r="Z2365" s="4" t="n">
        <f aca="false">ROUND(MIN(1,MAX('Reward Model'!$B$2,INDEX('Reward Model'!$C$12:$C$14,MATCH($K2365,'Reward Model'!$A$12:$A$14,0))/$J2365)),3)</f>
        <v>0.862</v>
      </c>
      <c r="AA2365" s="2" t="n">
        <f aca="false">IF($I2365="Correct",ROUND(INDEX('Reward Model'!$B$12:$B$14,MATCH($K2365,'Reward Model'!$A$12:$A$14,0))*Z2365,2),0)</f>
        <v>0.86</v>
      </c>
      <c r="AB2365" s="2" t="n">
        <f aca="false">IF($I2365="Correct",ROUND(INDEX('Reward Model'!$B$12:$B$14,MATCH($Y2365,'Reward Model'!$A$12:$A$14,0))*Z2365,2),0)</f>
        <v>0.86</v>
      </c>
    </row>
    <row r="2366" customFormat="false" ht="15" hidden="false" customHeight="false" outlineLevel="0" collapsed="false">
      <c r="A2366" s="0" t="s">
        <v>368</v>
      </c>
      <c r="B2366" s="0" t="s">
        <v>369</v>
      </c>
      <c r="C2366" s="0" t="s">
        <v>322</v>
      </c>
      <c r="D2366" s="0" t="s">
        <v>31</v>
      </c>
      <c r="E2366" s="0" t="n">
        <v>5</v>
      </c>
      <c r="F2366" s="0" t="s">
        <v>46</v>
      </c>
      <c r="G2366" s="0" t="s">
        <v>47</v>
      </c>
      <c r="H2366" s="0" t="s">
        <v>47</v>
      </c>
      <c r="I2366" s="0" t="s">
        <v>34</v>
      </c>
      <c r="J2366" s="0" t="n">
        <v>1.89</v>
      </c>
      <c r="K2366" s="0" t="s">
        <v>35</v>
      </c>
      <c r="L2366" s="0" t="n">
        <f aca="false">INDEX(Summary!$F$2:$F$201,MATCH($B2366,Summary!$A$2:$A$201,0))</f>
        <v>20</v>
      </c>
      <c r="M2366" s="0" t="n">
        <f aca="false">INDEX(Summary!$I$2:$I$201,MATCH($B2366,Summary!$A$2:$A$201,0))</f>
        <v>1</v>
      </c>
      <c r="N2366" s="0" t="n">
        <f aca="false">INDEX(Summary!$J$2:$J$201,MATCH($B2366,Summary!$A$2:$A$201,0))</f>
        <v>4</v>
      </c>
      <c r="O2366" s="2" t="n">
        <f aca="false">INDEX(Summary!$K$2:$K$201,MATCH($B2366,Summary!$A$2:$A$201,0))</f>
        <v>10.82</v>
      </c>
      <c r="P2366" s="3" t="n">
        <f aca="false">INDEX(Summary!$L$2:$L$201,MATCH($B2366,Summary!$A$2:$A$201,0))</f>
        <v>4</v>
      </c>
      <c r="Q2366" s="3" t="n">
        <f aca="false">INDEX(Summary!$M$2:$M$201,MATCH($B2366,Summary!$A$2:$A$201,0))</f>
        <v>2</v>
      </c>
      <c r="R2366" s="2" t="n">
        <f aca="false">INDEX(Summary!$N$2:$N$201,MATCH($B2366,Summary!$A$2:$A$201,0))</f>
        <v>10.15</v>
      </c>
      <c r="S2366" s="3" t="n">
        <f aca="false">INDEX(Summary!$O$2:$O$201,MATCH($B2366,Summary!$A$2:$A$201,0))</f>
        <v>8</v>
      </c>
      <c r="T2366" s="3" t="n">
        <f aca="false">INDEX(Summary!$P$2:$P$201,MATCH($B2366,Summary!$A$2:$A$201,0))</f>
        <v>1</v>
      </c>
      <c r="U2366" s="2" t="n">
        <f aca="false">INDEX(Summary!$Q$2:$Q$201,MATCH($B2366,Summary!$A$2:$A$201,0))</f>
        <v>14.37</v>
      </c>
      <c r="V2366" s="2" t="n">
        <f aca="false">INDEX(Summary!$R$2:$R$201,MATCH($B2366,Summary!$A$2:$A$201,0))</f>
        <v>21.41</v>
      </c>
      <c r="W2366" s="0" t="str">
        <f aca="false">INDEX(Summary!$S$2:$S$201,MATCH($B2366,Summary!$A$2:$A$201,0))</f>
        <v>Silver</v>
      </c>
      <c r="X2366" s="2" t="n">
        <f aca="false">INDEX(Summary!$T$2:$T$201,MATCH($B2366,Summary!$A$2:$A$201,0))</f>
        <v>52.22</v>
      </c>
      <c r="Y2366" s="0" t="str">
        <f aca="false">INDEX('Reward Model'!$E$18:$E$37,MATCH($E2366,'Reward Model'!$A$18:$A$37,0))</f>
        <v>Low</v>
      </c>
      <c r="Z2366" s="4" t="n">
        <f aca="false">ROUND(MIN(1,MAX('Reward Model'!$B$2,INDEX('Reward Model'!$C$12:$C$14,MATCH($K2366,'Reward Model'!$A$12:$A$14,0))/$J2366)),3)</f>
        <v>0.794</v>
      </c>
      <c r="AA2366" s="2" t="n">
        <f aca="false">IF($I2366="Correct",ROUND(INDEX('Reward Model'!$B$12:$B$14,MATCH($K2366,'Reward Model'!$A$12:$A$14,0))*Z2366,2),0)</f>
        <v>0.79</v>
      </c>
      <c r="AB2366" s="2" t="n">
        <f aca="false">IF($I2366="Correct",ROUND(INDEX('Reward Model'!$B$12:$B$14,MATCH($Y2366,'Reward Model'!$A$12:$A$14,0))*Z2366,2),0)</f>
        <v>0.79</v>
      </c>
    </row>
    <row r="2367" customFormat="false" ht="15" hidden="false" customHeight="false" outlineLevel="0" collapsed="false">
      <c r="A2367" s="0" t="s">
        <v>368</v>
      </c>
      <c r="B2367" s="0" t="s">
        <v>369</v>
      </c>
      <c r="C2367" s="0" t="s">
        <v>322</v>
      </c>
      <c r="D2367" s="0" t="s">
        <v>31</v>
      </c>
      <c r="E2367" s="0" t="n">
        <v>6</v>
      </c>
      <c r="F2367" s="0" t="s">
        <v>48</v>
      </c>
      <c r="G2367" s="0" t="s">
        <v>49</v>
      </c>
      <c r="H2367" s="0" t="s">
        <v>49</v>
      </c>
      <c r="I2367" s="0" t="s">
        <v>34</v>
      </c>
      <c r="J2367" s="0" t="n">
        <v>1.62</v>
      </c>
      <c r="K2367" s="0" t="s">
        <v>35</v>
      </c>
      <c r="L2367" s="0" t="n">
        <f aca="false">INDEX(Summary!$F$2:$F$201,MATCH($B2367,Summary!$A$2:$A$201,0))</f>
        <v>20</v>
      </c>
      <c r="M2367" s="0" t="n">
        <f aca="false">INDEX(Summary!$I$2:$I$201,MATCH($B2367,Summary!$A$2:$A$201,0))</f>
        <v>1</v>
      </c>
      <c r="N2367" s="0" t="n">
        <f aca="false">INDEX(Summary!$J$2:$J$201,MATCH($B2367,Summary!$A$2:$A$201,0))</f>
        <v>4</v>
      </c>
      <c r="O2367" s="2" t="n">
        <f aca="false">INDEX(Summary!$K$2:$K$201,MATCH($B2367,Summary!$A$2:$A$201,0))</f>
        <v>10.82</v>
      </c>
      <c r="P2367" s="3" t="n">
        <f aca="false">INDEX(Summary!$L$2:$L$201,MATCH($B2367,Summary!$A$2:$A$201,0))</f>
        <v>4</v>
      </c>
      <c r="Q2367" s="3" t="n">
        <f aca="false">INDEX(Summary!$M$2:$M$201,MATCH($B2367,Summary!$A$2:$A$201,0))</f>
        <v>2</v>
      </c>
      <c r="R2367" s="2" t="n">
        <f aca="false">INDEX(Summary!$N$2:$N$201,MATCH($B2367,Summary!$A$2:$A$201,0))</f>
        <v>10.15</v>
      </c>
      <c r="S2367" s="3" t="n">
        <f aca="false">INDEX(Summary!$O$2:$O$201,MATCH($B2367,Summary!$A$2:$A$201,0))</f>
        <v>8</v>
      </c>
      <c r="T2367" s="3" t="n">
        <f aca="false">INDEX(Summary!$P$2:$P$201,MATCH($B2367,Summary!$A$2:$A$201,0))</f>
        <v>1</v>
      </c>
      <c r="U2367" s="2" t="n">
        <f aca="false">INDEX(Summary!$Q$2:$Q$201,MATCH($B2367,Summary!$A$2:$A$201,0))</f>
        <v>14.37</v>
      </c>
      <c r="V2367" s="2" t="n">
        <f aca="false">INDEX(Summary!$R$2:$R$201,MATCH($B2367,Summary!$A$2:$A$201,0))</f>
        <v>21.41</v>
      </c>
      <c r="W2367" s="0" t="str">
        <f aca="false">INDEX(Summary!$S$2:$S$201,MATCH($B2367,Summary!$A$2:$A$201,0))</f>
        <v>Silver</v>
      </c>
      <c r="X2367" s="2" t="n">
        <f aca="false">INDEX(Summary!$T$2:$T$201,MATCH($B2367,Summary!$A$2:$A$201,0))</f>
        <v>52.22</v>
      </c>
      <c r="Y2367" s="0" t="str">
        <f aca="false">INDEX('Reward Model'!$E$18:$E$37,MATCH($E2367,'Reward Model'!$A$18:$A$37,0))</f>
        <v>Medium</v>
      </c>
      <c r="Z2367" s="4" t="n">
        <f aca="false">ROUND(MIN(1,MAX('Reward Model'!$B$2,INDEX('Reward Model'!$C$12:$C$14,MATCH($K2367,'Reward Model'!$A$12:$A$14,0))/$J2367)),3)</f>
        <v>0.926</v>
      </c>
      <c r="AA2367" s="2" t="n">
        <f aca="false">IF($I2367="Correct",ROUND(INDEX('Reward Model'!$B$12:$B$14,MATCH($K2367,'Reward Model'!$A$12:$A$14,0))*Z2367,2),0)</f>
        <v>0.93</v>
      </c>
      <c r="AB2367" s="2" t="n">
        <f aca="false">IF($I2367="Correct",ROUND(INDEX('Reward Model'!$B$12:$B$14,MATCH($Y2367,'Reward Model'!$A$12:$A$14,0))*Z2367,2),0)</f>
        <v>1.85</v>
      </c>
    </row>
    <row r="2368" customFormat="false" ht="15" hidden="false" customHeight="false" outlineLevel="0" collapsed="false">
      <c r="A2368" s="0" t="s">
        <v>368</v>
      </c>
      <c r="B2368" s="0" t="s">
        <v>369</v>
      </c>
      <c r="C2368" s="0" t="s">
        <v>322</v>
      </c>
      <c r="D2368" s="0" t="s">
        <v>31</v>
      </c>
      <c r="E2368" s="0" t="n">
        <v>7</v>
      </c>
      <c r="F2368" s="0" t="s">
        <v>50</v>
      </c>
      <c r="G2368" s="0" t="s">
        <v>51</v>
      </c>
      <c r="H2368" s="0" t="s">
        <v>51</v>
      </c>
      <c r="I2368" s="0" t="s">
        <v>34</v>
      </c>
      <c r="J2368" s="0" t="n">
        <v>1.12</v>
      </c>
      <c r="K2368" s="0" t="s">
        <v>35</v>
      </c>
      <c r="L2368" s="0" t="n">
        <f aca="false">INDEX(Summary!$F$2:$F$201,MATCH($B2368,Summary!$A$2:$A$201,0))</f>
        <v>20</v>
      </c>
      <c r="M2368" s="0" t="n">
        <f aca="false">INDEX(Summary!$I$2:$I$201,MATCH($B2368,Summary!$A$2:$A$201,0))</f>
        <v>1</v>
      </c>
      <c r="N2368" s="0" t="n">
        <f aca="false">INDEX(Summary!$J$2:$J$201,MATCH($B2368,Summary!$A$2:$A$201,0))</f>
        <v>4</v>
      </c>
      <c r="O2368" s="2" t="n">
        <f aca="false">INDEX(Summary!$K$2:$K$201,MATCH($B2368,Summary!$A$2:$A$201,0))</f>
        <v>10.82</v>
      </c>
      <c r="P2368" s="3" t="n">
        <f aca="false">INDEX(Summary!$L$2:$L$201,MATCH($B2368,Summary!$A$2:$A$201,0))</f>
        <v>4</v>
      </c>
      <c r="Q2368" s="3" t="n">
        <f aca="false">INDEX(Summary!$M$2:$M$201,MATCH($B2368,Summary!$A$2:$A$201,0))</f>
        <v>2</v>
      </c>
      <c r="R2368" s="2" t="n">
        <f aca="false">INDEX(Summary!$N$2:$N$201,MATCH($B2368,Summary!$A$2:$A$201,0))</f>
        <v>10.15</v>
      </c>
      <c r="S2368" s="3" t="n">
        <f aca="false">INDEX(Summary!$O$2:$O$201,MATCH($B2368,Summary!$A$2:$A$201,0))</f>
        <v>8</v>
      </c>
      <c r="T2368" s="3" t="n">
        <f aca="false">INDEX(Summary!$P$2:$P$201,MATCH($B2368,Summary!$A$2:$A$201,0))</f>
        <v>1</v>
      </c>
      <c r="U2368" s="2" t="n">
        <f aca="false">INDEX(Summary!$Q$2:$Q$201,MATCH($B2368,Summary!$A$2:$A$201,0))</f>
        <v>14.37</v>
      </c>
      <c r="V2368" s="2" t="n">
        <f aca="false">INDEX(Summary!$R$2:$R$201,MATCH($B2368,Summary!$A$2:$A$201,0))</f>
        <v>21.41</v>
      </c>
      <c r="W2368" s="0" t="str">
        <f aca="false">INDEX(Summary!$S$2:$S$201,MATCH($B2368,Summary!$A$2:$A$201,0))</f>
        <v>Silver</v>
      </c>
      <c r="X2368" s="2" t="n">
        <f aca="false">INDEX(Summary!$T$2:$T$201,MATCH($B2368,Summary!$A$2:$A$201,0))</f>
        <v>52.22</v>
      </c>
      <c r="Y2368" s="0" t="str">
        <f aca="false">INDEX('Reward Model'!$E$18:$E$37,MATCH($E2368,'Reward Model'!$A$18:$A$37,0))</f>
        <v>Low</v>
      </c>
      <c r="Z2368" s="4" t="n">
        <f aca="false">ROUND(MIN(1,MAX('Reward Model'!$B$2,INDEX('Reward Model'!$C$12:$C$14,MATCH($K2368,'Reward Model'!$A$12:$A$14,0))/$J2368)),3)</f>
        <v>1</v>
      </c>
      <c r="AA2368" s="2" t="n">
        <f aca="false">IF($I2368="Correct",ROUND(INDEX('Reward Model'!$B$12:$B$14,MATCH($K2368,'Reward Model'!$A$12:$A$14,0))*Z2368,2),0)</f>
        <v>1</v>
      </c>
      <c r="AB2368" s="2" t="n">
        <f aca="false">IF($I2368="Correct",ROUND(INDEX('Reward Model'!$B$12:$B$14,MATCH($Y2368,'Reward Model'!$A$12:$A$14,0))*Z2368,2),0)</f>
        <v>1</v>
      </c>
    </row>
    <row r="2369" customFormat="false" ht="15" hidden="false" customHeight="false" outlineLevel="0" collapsed="false">
      <c r="A2369" s="0" t="s">
        <v>368</v>
      </c>
      <c r="B2369" s="0" t="s">
        <v>369</v>
      </c>
      <c r="C2369" s="0" t="s">
        <v>322</v>
      </c>
      <c r="D2369" s="0" t="s">
        <v>31</v>
      </c>
      <c r="E2369" s="0" t="n">
        <v>8</v>
      </c>
      <c r="F2369" s="0" t="s">
        <v>52</v>
      </c>
      <c r="G2369" s="0" t="s">
        <v>54</v>
      </c>
      <c r="H2369" s="0" t="s">
        <v>54</v>
      </c>
      <c r="I2369" s="0" t="s">
        <v>34</v>
      </c>
      <c r="J2369" s="0" t="n">
        <v>1.37</v>
      </c>
      <c r="K2369" s="0" t="s">
        <v>35</v>
      </c>
      <c r="L2369" s="0" t="n">
        <f aca="false">INDEX(Summary!$F$2:$F$201,MATCH($B2369,Summary!$A$2:$A$201,0))</f>
        <v>20</v>
      </c>
      <c r="M2369" s="0" t="n">
        <f aca="false">INDEX(Summary!$I$2:$I$201,MATCH($B2369,Summary!$A$2:$A$201,0))</f>
        <v>1</v>
      </c>
      <c r="N2369" s="0" t="n">
        <f aca="false">INDEX(Summary!$J$2:$J$201,MATCH($B2369,Summary!$A$2:$A$201,0))</f>
        <v>4</v>
      </c>
      <c r="O2369" s="2" t="n">
        <f aca="false">INDEX(Summary!$K$2:$K$201,MATCH($B2369,Summary!$A$2:$A$201,0))</f>
        <v>10.82</v>
      </c>
      <c r="P2369" s="3" t="n">
        <f aca="false">INDEX(Summary!$L$2:$L$201,MATCH($B2369,Summary!$A$2:$A$201,0))</f>
        <v>4</v>
      </c>
      <c r="Q2369" s="3" t="n">
        <f aca="false">INDEX(Summary!$M$2:$M$201,MATCH($B2369,Summary!$A$2:$A$201,0))</f>
        <v>2</v>
      </c>
      <c r="R2369" s="2" t="n">
        <f aca="false">INDEX(Summary!$N$2:$N$201,MATCH($B2369,Summary!$A$2:$A$201,0))</f>
        <v>10.15</v>
      </c>
      <c r="S2369" s="3" t="n">
        <f aca="false">INDEX(Summary!$O$2:$O$201,MATCH($B2369,Summary!$A$2:$A$201,0))</f>
        <v>8</v>
      </c>
      <c r="T2369" s="3" t="n">
        <f aca="false">INDEX(Summary!$P$2:$P$201,MATCH($B2369,Summary!$A$2:$A$201,0))</f>
        <v>1</v>
      </c>
      <c r="U2369" s="2" t="n">
        <f aca="false">INDEX(Summary!$Q$2:$Q$201,MATCH($B2369,Summary!$A$2:$A$201,0))</f>
        <v>14.37</v>
      </c>
      <c r="V2369" s="2" t="n">
        <f aca="false">INDEX(Summary!$R$2:$R$201,MATCH($B2369,Summary!$A$2:$A$201,0))</f>
        <v>21.41</v>
      </c>
      <c r="W2369" s="0" t="str">
        <f aca="false">INDEX(Summary!$S$2:$S$201,MATCH($B2369,Summary!$A$2:$A$201,0))</f>
        <v>Silver</v>
      </c>
      <c r="X2369" s="2" t="n">
        <f aca="false">INDEX(Summary!$T$2:$T$201,MATCH($B2369,Summary!$A$2:$A$201,0))</f>
        <v>52.22</v>
      </c>
      <c r="Y2369" s="0" t="str">
        <f aca="false">INDEX('Reward Model'!$E$18:$E$37,MATCH($E2369,'Reward Model'!$A$18:$A$37,0))</f>
        <v>Medium</v>
      </c>
      <c r="Z2369" s="4" t="n">
        <f aca="false">ROUND(MIN(1,MAX('Reward Model'!$B$2,INDEX('Reward Model'!$C$12:$C$14,MATCH($K2369,'Reward Model'!$A$12:$A$14,0))/$J2369)),3)</f>
        <v>1</v>
      </c>
      <c r="AA2369" s="2" t="n">
        <f aca="false">IF($I2369="Correct",ROUND(INDEX('Reward Model'!$B$12:$B$14,MATCH($K2369,'Reward Model'!$A$12:$A$14,0))*Z2369,2),0)</f>
        <v>1</v>
      </c>
      <c r="AB2369" s="2" t="n">
        <f aca="false">IF($I2369="Correct",ROUND(INDEX('Reward Model'!$B$12:$B$14,MATCH($Y2369,'Reward Model'!$A$12:$A$14,0))*Z2369,2),0)</f>
        <v>2</v>
      </c>
    </row>
    <row r="2370" customFormat="false" ht="15" hidden="false" customHeight="false" outlineLevel="0" collapsed="false">
      <c r="A2370" s="0" t="s">
        <v>368</v>
      </c>
      <c r="B2370" s="0" t="s">
        <v>369</v>
      </c>
      <c r="C2370" s="0" t="s">
        <v>322</v>
      </c>
      <c r="D2370" s="0" t="s">
        <v>31</v>
      </c>
      <c r="E2370" s="0" t="n">
        <v>9</v>
      </c>
      <c r="F2370" s="0" t="s">
        <v>55</v>
      </c>
      <c r="G2370" s="0" t="s">
        <v>341</v>
      </c>
      <c r="H2370" s="0" t="s">
        <v>57</v>
      </c>
      <c r="I2370" s="0" t="s">
        <v>39</v>
      </c>
      <c r="J2370" s="0" t="n">
        <v>1.5</v>
      </c>
      <c r="K2370" s="0" t="s">
        <v>35</v>
      </c>
      <c r="L2370" s="0" t="n">
        <f aca="false">INDEX(Summary!$F$2:$F$201,MATCH($B2370,Summary!$A$2:$A$201,0))</f>
        <v>20</v>
      </c>
      <c r="M2370" s="0" t="n">
        <f aca="false">INDEX(Summary!$I$2:$I$201,MATCH($B2370,Summary!$A$2:$A$201,0))</f>
        <v>1</v>
      </c>
      <c r="N2370" s="0" t="n">
        <f aca="false">INDEX(Summary!$J$2:$J$201,MATCH($B2370,Summary!$A$2:$A$201,0))</f>
        <v>4</v>
      </c>
      <c r="O2370" s="2" t="n">
        <f aca="false">INDEX(Summary!$K$2:$K$201,MATCH($B2370,Summary!$A$2:$A$201,0))</f>
        <v>10.82</v>
      </c>
      <c r="P2370" s="3" t="n">
        <f aca="false">INDEX(Summary!$L$2:$L$201,MATCH($B2370,Summary!$A$2:$A$201,0))</f>
        <v>4</v>
      </c>
      <c r="Q2370" s="3" t="n">
        <f aca="false">INDEX(Summary!$M$2:$M$201,MATCH($B2370,Summary!$A$2:$A$201,0))</f>
        <v>2</v>
      </c>
      <c r="R2370" s="2" t="n">
        <f aca="false">INDEX(Summary!$N$2:$N$201,MATCH($B2370,Summary!$A$2:$A$201,0))</f>
        <v>10.15</v>
      </c>
      <c r="S2370" s="3" t="n">
        <f aca="false">INDEX(Summary!$O$2:$O$201,MATCH($B2370,Summary!$A$2:$A$201,0))</f>
        <v>8</v>
      </c>
      <c r="T2370" s="3" t="n">
        <f aca="false">INDEX(Summary!$P$2:$P$201,MATCH($B2370,Summary!$A$2:$A$201,0))</f>
        <v>1</v>
      </c>
      <c r="U2370" s="2" t="n">
        <f aca="false">INDEX(Summary!$Q$2:$Q$201,MATCH($B2370,Summary!$A$2:$A$201,0))</f>
        <v>14.37</v>
      </c>
      <c r="V2370" s="2" t="n">
        <f aca="false">INDEX(Summary!$R$2:$R$201,MATCH($B2370,Summary!$A$2:$A$201,0))</f>
        <v>21.41</v>
      </c>
      <c r="W2370" s="0" t="str">
        <f aca="false">INDEX(Summary!$S$2:$S$201,MATCH($B2370,Summary!$A$2:$A$201,0))</f>
        <v>Silver</v>
      </c>
      <c r="X2370" s="2" t="n">
        <f aca="false">INDEX(Summary!$T$2:$T$201,MATCH($B2370,Summary!$A$2:$A$201,0))</f>
        <v>52.22</v>
      </c>
      <c r="Y2370" s="0" t="str">
        <f aca="false">INDEX('Reward Model'!$E$18:$E$37,MATCH($E2370,'Reward Model'!$A$18:$A$37,0))</f>
        <v>Medium</v>
      </c>
      <c r="Z2370" s="4" t="n">
        <f aca="false">ROUND(MIN(1,MAX('Reward Model'!$B$2,INDEX('Reward Model'!$C$12:$C$14,MATCH($K2370,'Reward Model'!$A$12:$A$14,0))/$J2370)),3)</f>
        <v>1</v>
      </c>
      <c r="AA2370" s="2" t="n">
        <f aca="false">IF($I2370="Correct",ROUND(INDEX('Reward Model'!$B$12:$B$14,MATCH($K2370,'Reward Model'!$A$12:$A$14,0))*Z2370,2),0)</f>
        <v>0</v>
      </c>
      <c r="AB2370" s="2" t="n">
        <f aca="false">IF($I2370="Correct",ROUND(INDEX('Reward Model'!$B$12:$B$14,MATCH($Y2370,'Reward Model'!$A$12:$A$14,0))*Z2370,2),0)</f>
        <v>0</v>
      </c>
    </row>
    <row r="2371" customFormat="false" ht="15" hidden="false" customHeight="false" outlineLevel="0" collapsed="false">
      <c r="A2371" s="0" t="s">
        <v>368</v>
      </c>
      <c r="B2371" s="0" t="s">
        <v>369</v>
      </c>
      <c r="C2371" s="0" t="s">
        <v>322</v>
      </c>
      <c r="D2371" s="0" t="s">
        <v>31</v>
      </c>
      <c r="E2371" s="0" t="n">
        <v>10</v>
      </c>
      <c r="F2371" s="0" t="s">
        <v>58</v>
      </c>
      <c r="G2371" s="0" t="s">
        <v>59</v>
      </c>
      <c r="H2371" s="0" t="s">
        <v>59</v>
      </c>
      <c r="I2371" s="0" t="s">
        <v>34</v>
      </c>
      <c r="J2371" s="0" t="n">
        <v>1.81</v>
      </c>
      <c r="K2371" s="0" t="s">
        <v>60</v>
      </c>
      <c r="L2371" s="0" t="n">
        <f aca="false">INDEX(Summary!$F$2:$F$201,MATCH($B2371,Summary!$A$2:$A$201,0))</f>
        <v>20</v>
      </c>
      <c r="M2371" s="0" t="n">
        <f aca="false">INDEX(Summary!$I$2:$I$201,MATCH($B2371,Summary!$A$2:$A$201,0))</f>
        <v>1</v>
      </c>
      <c r="N2371" s="0" t="n">
        <f aca="false">INDEX(Summary!$J$2:$J$201,MATCH($B2371,Summary!$A$2:$A$201,0))</f>
        <v>4</v>
      </c>
      <c r="O2371" s="2" t="n">
        <f aca="false">INDEX(Summary!$K$2:$K$201,MATCH($B2371,Summary!$A$2:$A$201,0))</f>
        <v>10.82</v>
      </c>
      <c r="P2371" s="3" t="n">
        <f aca="false">INDEX(Summary!$L$2:$L$201,MATCH($B2371,Summary!$A$2:$A$201,0))</f>
        <v>4</v>
      </c>
      <c r="Q2371" s="3" t="n">
        <f aca="false">INDEX(Summary!$M$2:$M$201,MATCH($B2371,Summary!$A$2:$A$201,0))</f>
        <v>2</v>
      </c>
      <c r="R2371" s="2" t="n">
        <f aca="false">INDEX(Summary!$N$2:$N$201,MATCH($B2371,Summary!$A$2:$A$201,0))</f>
        <v>10.15</v>
      </c>
      <c r="S2371" s="3" t="n">
        <f aca="false">INDEX(Summary!$O$2:$O$201,MATCH($B2371,Summary!$A$2:$A$201,0))</f>
        <v>8</v>
      </c>
      <c r="T2371" s="3" t="n">
        <f aca="false">INDEX(Summary!$P$2:$P$201,MATCH($B2371,Summary!$A$2:$A$201,0))</f>
        <v>1</v>
      </c>
      <c r="U2371" s="2" t="n">
        <f aca="false">INDEX(Summary!$Q$2:$Q$201,MATCH($B2371,Summary!$A$2:$A$201,0))</f>
        <v>14.37</v>
      </c>
      <c r="V2371" s="2" t="n">
        <f aca="false">INDEX(Summary!$R$2:$R$201,MATCH($B2371,Summary!$A$2:$A$201,0))</f>
        <v>21.41</v>
      </c>
      <c r="W2371" s="0" t="str">
        <f aca="false">INDEX(Summary!$S$2:$S$201,MATCH($B2371,Summary!$A$2:$A$201,0))</f>
        <v>Silver</v>
      </c>
      <c r="X2371" s="2" t="n">
        <f aca="false">INDEX(Summary!$T$2:$T$201,MATCH($B2371,Summary!$A$2:$A$201,0))</f>
        <v>52.22</v>
      </c>
      <c r="Y2371" s="0" t="str">
        <f aca="false">INDEX('Reward Model'!$E$18:$E$37,MATCH($E2371,'Reward Model'!$A$18:$A$37,0))</f>
        <v>Medium</v>
      </c>
      <c r="Z2371" s="4" t="n">
        <f aca="false">ROUND(MIN(1,MAX('Reward Model'!$B$2,INDEX('Reward Model'!$C$12:$C$14,MATCH($K2371,'Reward Model'!$A$12:$A$14,0))/$J2371)),3)</f>
        <v>0.994</v>
      </c>
      <c r="AA2371" s="2" t="n">
        <f aca="false">IF($I2371="Correct",ROUND(INDEX('Reward Model'!$B$12:$B$14,MATCH($K2371,'Reward Model'!$A$12:$A$14,0))*Z2371,2),0)</f>
        <v>1.99</v>
      </c>
      <c r="AB2371" s="2" t="n">
        <f aca="false">IF($I2371="Correct",ROUND(INDEX('Reward Model'!$B$12:$B$14,MATCH($Y2371,'Reward Model'!$A$12:$A$14,0))*Z2371,2),0)</f>
        <v>1.99</v>
      </c>
    </row>
    <row r="2372" customFormat="false" ht="15" hidden="false" customHeight="false" outlineLevel="0" collapsed="false">
      <c r="A2372" s="0" t="s">
        <v>368</v>
      </c>
      <c r="B2372" s="0" t="s">
        <v>369</v>
      </c>
      <c r="C2372" s="0" t="s">
        <v>322</v>
      </c>
      <c r="D2372" s="0" t="s">
        <v>31</v>
      </c>
      <c r="E2372" s="0" t="n">
        <v>11</v>
      </c>
      <c r="F2372" s="0" t="s">
        <v>61</v>
      </c>
      <c r="G2372" s="0" t="s">
        <v>63</v>
      </c>
      <c r="H2372" s="0" t="s">
        <v>63</v>
      </c>
      <c r="I2372" s="0" t="s">
        <v>34</v>
      </c>
      <c r="J2372" s="0" t="n">
        <v>1.49</v>
      </c>
      <c r="K2372" s="0" t="s">
        <v>60</v>
      </c>
      <c r="L2372" s="0" t="n">
        <f aca="false">INDEX(Summary!$F$2:$F$201,MATCH($B2372,Summary!$A$2:$A$201,0))</f>
        <v>20</v>
      </c>
      <c r="M2372" s="0" t="n">
        <f aca="false">INDEX(Summary!$I$2:$I$201,MATCH($B2372,Summary!$A$2:$A$201,0))</f>
        <v>1</v>
      </c>
      <c r="N2372" s="0" t="n">
        <f aca="false">INDEX(Summary!$J$2:$J$201,MATCH($B2372,Summary!$A$2:$A$201,0))</f>
        <v>4</v>
      </c>
      <c r="O2372" s="2" t="n">
        <f aca="false">INDEX(Summary!$K$2:$K$201,MATCH($B2372,Summary!$A$2:$A$201,0))</f>
        <v>10.82</v>
      </c>
      <c r="P2372" s="3" t="n">
        <f aca="false">INDEX(Summary!$L$2:$L$201,MATCH($B2372,Summary!$A$2:$A$201,0))</f>
        <v>4</v>
      </c>
      <c r="Q2372" s="3" t="n">
        <f aca="false">INDEX(Summary!$M$2:$M$201,MATCH($B2372,Summary!$A$2:$A$201,0))</f>
        <v>2</v>
      </c>
      <c r="R2372" s="2" t="n">
        <f aca="false">INDEX(Summary!$N$2:$N$201,MATCH($B2372,Summary!$A$2:$A$201,0))</f>
        <v>10.15</v>
      </c>
      <c r="S2372" s="3" t="n">
        <f aca="false">INDEX(Summary!$O$2:$O$201,MATCH($B2372,Summary!$A$2:$A$201,0))</f>
        <v>8</v>
      </c>
      <c r="T2372" s="3" t="n">
        <f aca="false">INDEX(Summary!$P$2:$P$201,MATCH($B2372,Summary!$A$2:$A$201,0))</f>
        <v>1</v>
      </c>
      <c r="U2372" s="2" t="n">
        <f aca="false">INDEX(Summary!$Q$2:$Q$201,MATCH($B2372,Summary!$A$2:$A$201,0))</f>
        <v>14.37</v>
      </c>
      <c r="V2372" s="2" t="n">
        <f aca="false">INDEX(Summary!$R$2:$R$201,MATCH($B2372,Summary!$A$2:$A$201,0))</f>
        <v>21.41</v>
      </c>
      <c r="W2372" s="0" t="str">
        <f aca="false">INDEX(Summary!$S$2:$S$201,MATCH($B2372,Summary!$A$2:$A$201,0))</f>
        <v>Silver</v>
      </c>
      <c r="X2372" s="2" t="n">
        <f aca="false">INDEX(Summary!$T$2:$T$201,MATCH($B2372,Summary!$A$2:$A$201,0))</f>
        <v>52.22</v>
      </c>
      <c r="Y2372" s="0" t="str">
        <f aca="false">INDEX('Reward Model'!$E$18:$E$37,MATCH($E2372,'Reward Model'!$A$18:$A$37,0))</f>
        <v>Medium</v>
      </c>
      <c r="Z2372" s="4" t="n">
        <f aca="false">ROUND(MIN(1,MAX('Reward Model'!$B$2,INDEX('Reward Model'!$C$12:$C$14,MATCH($K2372,'Reward Model'!$A$12:$A$14,0))/$J2372)),3)</f>
        <v>1</v>
      </c>
      <c r="AA2372" s="2" t="n">
        <f aca="false">IF($I2372="Correct",ROUND(INDEX('Reward Model'!$B$12:$B$14,MATCH($K2372,'Reward Model'!$A$12:$A$14,0))*Z2372,2),0)</f>
        <v>2</v>
      </c>
      <c r="AB2372" s="2" t="n">
        <f aca="false">IF($I2372="Correct",ROUND(INDEX('Reward Model'!$B$12:$B$14,MATCH($Y2372,'Reward Model'!$A$12:$A$14,0))*Z2372,2),0)</f>
        <v>2</v>
      </c>
    </row>
    <row r="2373" customFormat="false" ht="15" hidden="false" customHeight="false" outlineLevel="0" collapsed="false">
      <c r="A2373" s="0" t="s">
        <v>368</v>
      </c>
      <c r="B2373" s="0" t="s">
        <v>369</v>
      </c>
      <c r="C2373" s="0" t="s">
        <v>322</v>
      </c>
      <c r="D2373" s="0" t="s">
        <v>31</v>
      </c>
      <c r="E2373" s="0" t="n">
        <v>12</v>
      </c>
      <c r="F2373" s="0" t="s">
        <v>64</v>
      </c>
      <c r="G2373" s="0" t="s">
        <v>65</v>
      </c>
      <c r="H2373" s="0" t="s">
        <v>65</v>
      </c>
      <c r="I2373" s="0" t="s">
        <v>34</v>
      </c>
      <c r="J2373" s="0" t="n">
        <v>1.73</v>
      </c>
      <c r="K2373" s="0" t="s">
        <v>60</v>
      </c>
      <c r="L2373" s="0" t="n">
        <f aca="false">INDEX(Summary!$F$2:$F$201,MATCH($B2373,Summary!$A$2:$A$201,0))</f>
        <v>20</v>
      </c>
      <c r="M2373" s="0" t="n">
        <f aca="false">INDEX(Summary!$I$2:$I$201,MATCH($B2373,Summary!$A$2:$A$201,0))</f>
        <v>1</v>
      </c>
      <c r="N2373" s="0" t="n">
        <f aca="false">INDEX(Summary!$J$2:$J$201,MATCH($B2373,Summary!$A$2:$A$201,0))</f>
        <v>4</v>
      </c>
      <c r="O2373" s="2" t="n">
        <f aca="false">INDEX(Summary!$K$2:$K$201,MATCH($B2373,Summary!$A$2:$A$201,0))</f>
        <v>10.82</v>
      </c>
      <c r="P2373" s="3" t="n">
        <f aca="false">INDEX(Summary!$L$2:$L$201,MATCH($B2373,Summary!$A$2:$A$201,0))</f>
        <v>4</v>
      </c>
      <c r="Q2373" s="3" t="n">
        <f aca="false">INDEX(Summary!$M$2:$M$201,MATCH($B2373,Summary!$A$2:$A$201,0))</f>
        <v>2</v>
      </c>
      <c r="R2373" s="2" t="n">
        <f aca="false">INDEX(Summary!$N$2:$N$201,MATCH($B2373,Summary!$A$2:$A$201,0))</f>
        <v>10.15</v>
      </c>
      <c r="S2373" s="3" t="n">
        <f aca="false">INDEX(Summary!$O$2:$O$201,MATCH($B2373,Summary!$A$2:$A$201,0))</f>
        <v>8</v>
      </c>
      <c r="T2373" s="3" t="n">
        <f aca="false">INDEX(Summary!$P$2:$P$201,MATCH($B2373,Summary!$A$2:$A$201,0))</f>
        <v>1</v>
      </c>
      <c r="U2373" s="2" t="n">
        <f aca="false">INDEX(Summary!$Q$2:$Q$201,MATCH($B2373,Summary!$A$2:$A$201,0))</f>
        <v>14.37</v>
      </c>
      <c r="V2373" s="2" t="n">
        <f aca="false">INDEX(Summary!$R$2:$R$201,MATCH($B2373,Summary!$A$2:$A$201,0))</f>
        <v>21.41</v>
      </c>
      <c r="W2373" s="0" t="str">
        <f aca="false">INDEX(Summary!$S$2:$S$201,MATCH($B2373,Summary!$A$2:$A$201,0))</f>
        <v>Silver</v>
      </c>
      <c r="X2373" s="2" t="n">
        <f aca="false">INDEX(Summary!$T$2:$T$201,MATCH($B2373,Summary!$A$2:$A$201,0))</f>
        <v>52.22</v>
      </c>
      <c r="Y2373" s="0" t="str">
        <f aca="false">INDEX('Reward Model'!$E$18:$E$37,MATCH($E2373,'Reward Model'!$A$18:$A$37,0))</f>
        <v>Medium</v>
      </c>
      <c r="Z2373" s="4" t="n">
        <f aca="false">ROUND(MIN(1,MAX('Reward Model'!$B$2,INDEX('Reward Model'!$C$12:$C$14,MATCH($K2373,'Reward Model'!$A$12:$A$14,0))/$J2373)),3)</f>
        <v>1</v>
      </c>
      <c r="AA2373" s="2" t="n">
        <f aca="false">IF($I2373="Correct",ROUND(INDEX('Reward Model'!$B$12:$B$14,MATCH($K2373,'Reward Model'!$A$12:$A$14,0))*Z2373,2),0)</f>
        <v>2</v>
      </c>
      <c r="AB2373" s="2" t="n">
        <f aca="false">IF($I2373="Correct",ROUND(INDEX('Reward Model'!$B$12:$B$14,MATCH($Y2373,'Reward Model'!$A$12:$A$14,0))*Z2373,2),0)</f>
        <v>2</v>
      </c>
    </row>
    <row r="2374" customFormat="false" ht="15" hidden="false" customHeight="false" outlineLevel="0" collapsed="false">
      <c r="A2374" s="0" t="s">
        <v>368</v>
      </c>
      <c r="B2374" s="0" t="s">
        <v>369</v>
      </c>
      <c r="C2374" s="0" t="s">
        <v>322</v>
      </c>
      <c r="D2374" s="0" t="s">
        <v>31</v>
      </c>
      <c r="E2374" s="0" t="n">
        <v>13</v>
      </c>
      <c r="F2374" s="0" t="s">
        <v>66</v>
      </c>
      <c r="G2374" s="0" t="s">
        <v>117</v>
      </c>
      <c r="H2374" s="0" t="s">
        <v>67</v>
      </c>
      <c r="I2374" s="0" t="s">
        <v>39</v>
      </c>
      <c r="J2374" s="0" t="n">
        <v>2.19</v>
      </c>
      <c r="K2374" s="0" t="s">
        <v>60</v>
      </c>
      <c r="L2374" s="0" t="n">
        <f aca="false">INDEX(Summary!$F$2:$F$201,MATCH($B2374,Summary!$A$2:$A$201,0))</f>
        <v>20</v>
      </c>
      <c r="M2374" s="0" t="n">
        <f aca="false">INDEX(Summary!$I$2:$I$201,MATCH($B2374,Summary!$A$2:$A$201,0))</f>
        <v>1</v>
      </c>
      <c r="N2374" s="0" t="n">
        <f aca="false">INDEX(Summary!$J$2:$J$201,MATCH($B2374,Summary!$A$2:$A$201,0))</f>
        <v>4</v>
      </c>
      <c r="O2374" s="2" t="n">
        <f aca="false">INDEX(Summary!$K$2:$K$201,MATCH($B2374,Summary!$A$2:$A$201,0))</f>
        <v>10.82</v>
      </c>
      <c r="P2374" s="3" t="n">
        <f aca="false">INDEX(Summary!$L$2:$L$201,MATCH($B2374,Summary!$A$2:$A$201,0))</f>
        <v>4</v>
      </c>
      <c r="Q2374" s="3" t="n">
        <f aca="false">INDEX(Summary!$M$2:$M$201,MATCH($B2374,Summary!$A$2:$A$201,0))</f>
        <v>2</v>
      </c>
      <c r="R2374" s="2" t="n">
        <f aca="false">INDEX(Summary!$N$2:$N$201,MATCH($B2374,Summary!$A$2:$A$201,0))</f>
        <v>10.15</v>
      </c>
      <c r="S2374" s="3" t="n">
        <f aca="false">INDEX(Summary!$O$2:$O$201,MATCH($B2374,Summary!$A$2:$A$201,0))</f>
        <v>8</v>
      </c>
      <c r="T2374" s="3" t="n">
        <f aca="false">INDEX(Summary!$P$2:$P$201,MATCH($B2374,Summary!$A$2:$A$201,0))</f>
        <v>1</v>
      </c>
      <c r="U2374" s="2" t="n">
        <f aca="false">INDEX(Summary!$Q$2:$Q$201,MATCH($B2374,Summary!$A$2:$A$201,0))</f>
        <v>14.37</v>
      </c>
      <c r="V2374" s="2" t="n">
        <f aca="false">INDEX(Summary!$R$2:$R$201,MATCH($B2374,Summary!$A$2:$A$201,0))</f>
        <v>21.41</v>
      </c>
      <c r="W2374" s="0" t="str">
        <f aca="false">INDEX(Summary!$S$2:$S$201,MATCH($B2374,Summary!$A$2:$A$201,0))</f>
        <v>Silver</v>
      </c>
      <c r="X2374" s="2" t="n">
        <f aca="false">INDEX(Summary!$T$2:$T$201,MATCH($B2374,Summary!$A$2:$A$201,0))</f>
        <v>52.22</v>
      </c>
      <c r="Y2374" s="0" t="str">
        <f aca="false">INDEX('Reward Model'!$E$18:$E$37,MATCH($E2374,'Reward Model'!$A$18:$A$37,0))</f>
        <v>Medium</v>
      </c>
      <c r="Z2374" s="4" t="n">
        <f aca="false">ROUND(MIN(1,MAX('Reward Model'!$B$2,INDEX('Reward Model'!$C$12:$C$14,MATCH($K2374,'Reward Model'!$A$12:$A$14,0))/$J2374)),3)</f>
        <v>0.822</v>
      </c>
      <c r="AA2374" s="2" t="n">
        <f aca="false">IF($I2374="Correct",ROUND(INDEX('Reward Model'!$B$12:$B$14,MATCH($K2374,'Reward Model'!$A$12:$A$14,0))*Z2374,2),0)</f>
        <v>0</v>
      </c>
      <c r="AB2374" s="2" t="n">
        <f aca="false">IF($I2374="Correct",ROUND(INDEX('Reward Model'!$B$12:$B$14,MATCH($Y2374,'Reward Model'!$A$12:$A$14,0))*Z2374,2),0)</f>
        <v>0</v>
      </c>
    </row>
    <row r="2375" customFormat="false" ht="15" hidden="false" customHeight="false" outlineLevel="0" collapsed="false">
      <c r="A2375" s="0" t="s">
        <v>368</v>
      </c>
      <c r="B2375" s="0" t="s">
        <v>369</v>
      </c>
      <c r="C2375" s="0" t="s">
        <v>322</v>
      </c>
      <c r="D2375" s="0" t="s">
        <v>31</v>
      </c>
      <c r="E2375" s="0" t="n">
        <v>14</v>
      </c>
      <c r="F2375" s="0" t="s">
        <v>68</v>
      </c>
      <c r="G2375" s="0" t="s">
        <v>51</v>
      </c>
      <c r="H2375" s="0" t="s">
        <v>51</v>
      </c>
      <c r="I2375" s="0" t="s">
        <v>34</v>
      </c>
      <c r="J2375" s="0" t="n">
        <v>1.45</v>
      </c>
      <c r="K2375" s="0" t="s">
        <v>60</v>
      </c>
      <c r="L2375" s="0" t="n">
        <f aca="false">INDEX(Summary!$F$2:$F$201,MATCH($B2375,Summary!$A$2:$A$201,0))</f>
        <v>20</v>
      </c>
      <c r="M2375" s="0" t="n">
        <f aca="false">INDEX(Summary!$I$2:$I$201,MATCH($B2375,Summary!$A$2:$A$201,0))</f>
        <v>1</v>
      </c>
      <c r="N2375" s="0" t="n">
        <f aca="false">INDEX(Summary!$J$2:$J$201,MATCH($B2375,Summary!$A$2:$A$201,0))</f>
        <v>4</v>
      </c>
      <c r="O2375" s="2" t="n">
        <f aca="false">INDEX(Summary!$K$2:$K$201,MATCH($B2375,Summary!$A$2:$A$201,0))</f>
        <v>10.82</v>
      </c>
      <c r="P2375" s="3" t="n">
        <f aca="false">INDEX(Summary!$L$2:$L$201,MATCH($B2375,Summary!$A$2:$A$201,0))</f>
        <v>4</v>
      </c>
      <c r="Q2375" s="3" t="n">
        <f aca="false">INDEX(Summary!$M$2:$M$201,MATCH($B2375,Summary!$A$2:$A$201,0))</f>
        <v>2</v>
      </c>
      <c r="R2375" s="2" t="n">
        <f aca="false">INDEX(Summary!$N$2:$N$201,MATCH($B2375,Summary!$A$2:$A$201,0))</f>
        <v>10.15</v>
      </c>
      <c r="S2375" s="3" t="n">
        <f aca="false">INDEX(Summary!$O$2:$O$201,MATCH($B2375,Summary!$A$2:$A$201,0))</f>
        <v>8</v>
      </c>
      <c r="T2375" s="3" t="n">
        <f aca="false">INDEX(Summary!$P$2:$P$201,MATCH($B2375,Summary!$A$2:$A$201,0))</f>
        <v>1</v>
      </c>
      <c r="U2375" s="2" t="n">
        <f aca="false">INDEX(Summary!$Q$2:$Q$201,MATCH($B2375,Summary!$A$2:$A$201,0))</f>
        <v>14.37</v>
      </c>
      <c r="V2375" s="2" t="n">
        <f aca="false">INDEX(Summary!$R$2:$R$201,MATCH($B2375,Summary!$A$2:$A$201,0))</f>
        <v>21.41</v>
      </c>
      <c r="W2375" s="0" t="str">
        <f aca="false">INDEX(Summary!$S$2:$S$201,MATCH($B2375,Summary!$A$2:$A$201,0))</f>
        <v>Silver</v>
      </c>
      <c r="X2375" s="2" t="n">
        <f aca="false">INDEX(Summary!$T$2:$T$201,MATCH($B2375,Summary!$A$2:$A$201,0))</f>
        <v>52.22</v>
      </c>
      <c r="Y2375" s="0" t="str">
        <f aca="false">INDEX('Reward Model'!$E$18:$E$37,MATCH($E2375,'Reward Model'!$A$18:$A$37,0))</f>
        <v>Medium</v>
      </c>
      <c r="Z2375" s="4" t="n">
        <f aca="false">ROUND(MIN(1,MAX('Reward Model'!$B$2,INDEX('Reward Model'!$C$12:$C$14,MATCH($K2375,'Reward Model'!$A$12:$A$14,0))/$J2375)),3)</f>
        <v>1</v>
      </c>
      <c r="AA2375" s="2" t="n">
        <f aca="false">IF($I2375="Correct",ROUND(INDEX('Reward Model'!$B$12:$B$14,MATCH($K2375,'Reward Model'!$A$12:$A$14,0))*Z2375,2),0)</f>
        <v>2</v>
      </c>
      <c r="AB2375" s="2" t="n">
        <f aca="false">IF($I2375="Correct",ROUND(INDEX('Reward Model'!$B$12:$B$14,MATCH($Y2375,'Reward Model'!$A$12:$A$14,0))*Z2375,2),0)</f>
        <v>2</v>
      </c>
    </row>
    <row r="2376" customFormat="false" ht="15" hidden="false" customHeight="false" outlineLevel="0" collapsed="false">
      <c r="A2376" s="0" t="s">
        <v>368</v>
      </c>
      <c r="B2376" s="0" t="s">
        <v>369</v>
      </c>
      <c r="C2376" s="0" t="s">
        <v>322</v>
      </c>
      <c r="D2376" s="0" t="s">
        <v>31</v>
      </c>
      <c r="E2376" s="0" t="n">
        <v>15</v>
      </c>
      <c r="F2376" s="0" t="s">
        <v>69</v>
      </c>
      <c r="G2376" s="0" t="s">
        <v>131</v>
      </c>
      <c r="H2376" s="0" t="s">
        <v>70</v>
      </c>
      <c r="I2376" s="0" t="s">
        <v>39</v>
      </c>
      <c r="J2376" s="0" t="n">
        <v>1.48</v>
      </c>
      <c r="K2376" s="0" t="s">
        <v>60</v>
      </c>
      <c r="L2376" s="0" t="n">
        <f aca="false">INDEX(Summary!$F$2:$F$201,MATCH($B2376,Summary!$A$2:$A$201,0))</f>
        <v>20</v>
      </c>
      <c r="M2376" s="0" t="n">
        <f aca="false">INDEX(Summary!$I$2:$I$201,MATCH($B2376,Summary!$A$2:$A$201,0))</f>
        <v>1</v>
      </c>
      <c r="N2376" s="0" t="n">
        <f aca="false">INDEX(Summary!$J$2:$J$201,MATCH($B2376,Summary!$A$2:$A$201,0))</f>
        <v>4</v>
      </c>
      <c r="O2376" s="2" t="n">
        <f aca="false">INDEX(Summary!$K$2:$K$201,MATCH($B2376,Summary!$A$2:$A$201,0))</f>
        <v>10.82</v>
      </c>
      <c r="P2376" s="3" t="n">
        <f aca="false">INDEX(Summary!$L$2:$L$201,MATCH($B2376,Summary!$A$2:$A$201,0))</f>
        <v>4</v>
      </c>
      <c r="Q2376" s="3" t="n">
        <f aca="false">INDEX(Summary!$M$2:$M$201,MATCH($B2376,Summary!$A$2:$A$201,0))</f>
        <v>2</v>
      </c>
      <c r="R2376" s="2" t="n">
        <f aca="false">INDEX(Summary!$N$2:$N$201,MATCH($B2376,Summary!$A$2:$A$201,0))</f>
        <v>10.15</v>
      </c>
      <c r="S2376" s="3" t="n">
        <f aca="false">INDEX(Summary!$O$2:$O$201,MATCH($B2376,Summary!$A$2:$A$201,0))</f>
        <v>8</v>
      </c>
      <c r="T2376" s="3" t="n">
        <f aca="false">INDEX(Summary!$P$2:$P$201,MATCH($B2376,Summary!$A$2:$A$201,0))</f>
        <v>1</v>
      </c>
      <c r="U2376" s="2" t="n">
        <f aca="false">INDEX(Summary!$Q$2:$Q$201,MATCH($B2376,Summary!$A$2:$A$201,0))</f>
        <v>14.37</v>
      </c>
      <c r="V2376" s="2" t="n">
        <f aca="false">INDEX(Summary!$R$2:$R$201,MATCH($B2376,Summary!$A$2:$A$201,0))</f>
        <v>21.41</v>
      </c>
      <c r="W2376" s="0" t="str">
        <f aca="false">INDEX(Summary!$S$2:$S$201,MATCH($B2376,Summary!$A$2:$A$201,0))</f>
        <v>Silver</v>
      </c>
      <c r="X2376" s="2" t="n">
        <f aca="false">INDEX(Summary!$T$2:$T$201,MATCH($B2376,Summary!$A$2:$A$201,0))</f>
        <v>52.22</v>
      </c>
      <c r="Y2376" s="0" t="str">
        <f aca="false">INDEX('Reward Model'!$E$18:$E$37,MATCH($E2376,'Reward Model'!$A$18:$A$37,0))</f>
        <v>Medium</v>
      </c>
      <c r="Z2376" s="4" t="n">
        <f aca="false">ROUND(MIN(1,MAX('Reward Model'!$B$2,INDEX('Reward Model'!$C$12:$C$14,MATCH($K2376,'Reward Model'!$A$12:$A$14,0))/$J2376)),3)</f>
        <v>1</v>
      </c>
      <c r="AA2376" s="2" t="n">
        <f aca="false">IF($I2376="Correct",ROUND(INDEX('Reward Model'!$B$12:$B$14,MATCH($K2376,'Reward Model'!$A$12:$A$14,0))*Z2376,2),0)</f>
        <v>0</v>
      </c>
      <c r="AB2376" s="2" t="n">
        <f aca="false">IF($I2376="Correct",ROUND(INDEX('Reward Model'!$B$12:$B$14,MATCH($Y2376,'Reward Model'!$A$12:$A$14,0))*Z2376,2),0)</f>
        <v>0</v>
      </c>
    </row>
    <row r="2377" customFormat="false" ht="15" hidden="false" customHeight="false" outlineLevel="0" collapsed="false">
      <c r="A2377" s="0" t="s">
        <v>368</v>
      </c>
      <c r="B2377" s="0" t="s">
        <v>369</v>
      </c>
      <c r="C2377" s="0" t="s">
        <v>322</v>
      </c>
      <c r="D2377" s="0" t="s">
        <v>31</v>
      </c>
      <c r="E2377" s="0" t="n">
        <v>16</v>
      </c>
      <c r="F2377" s="0" t="s">
        <v>71</v>
      </c>
      <c r="G2377" s="0" t="s">
        <v>104</v>
      </c>
      <c r="H2377" s="0" t="s">
        <v>72</v>
      </c>
      <c r="I2377" s="0" t="s">
        <v>39</v>
      </c>
      <c r="J2377" s="0" t="n">
        <v>1.41</v>
      </c>
      <c r="K2377" s="0" t="s">
        <v>73</v>
      </c>
      <c r="L2377" s="0" t="n">
        <f aca="false">INDEX(Summary!$F$2:$F$201,MATCH($B2377,Summary!$A$2:$A$201,0))</f>
        <v>20</v>
      </c>
      <c r="M2377" s="0" t="n">
        <f aca="false">INDEX(Summary!$I$2:$I$201,MATCH($B2377,Summary!$A$2:$A$201,0))</f>
        <v>1</v>
      </c>
      <c r="N2377" s="0" t="n">
        <f aca="false">INDEX(Summary!$J$2:$J$201,MATCH($B2377,Summary!$A$2:$A$201,0))</f>
        <v>4</v>
      </c>
      <c r="O2377" s="2" t="n">
        <f aca="false">INDEX(Summary!$K$2:$K$201,MATCH($B2377,Summary!$A$2:$A$201,0))</f>
        <v>10.82</v>
      </c>
      <c r="P2377" s="3" t="n">
        <f aca="false">INDEX(Summary!$L$2:$L$201,MATCH($B2377,Summary!$A$2:$A$201,0))</f>
        <v>4</v>
      </c>
      <c r="Q2377" s="3" t="n">
        <f aca="false">INDEX(Summary!$M$2:$M$201,MATCH($B2377,Summary!$A$2:$A$201,0))</f>
        <v>2</v>
      </c>
      <c r="R2377" s="2" t="n">
        <f aca="false">INDEX(Summary!$N$2:$N$201,MATCH($B2377,Summary!$A$2:$A$201,0))</f>
        <v>10.15</v>
      </c>
      <c r="S2377" s="3" t="n">
        <f aca="false">INDEX(Summary!$O$2:$O$201,MATCH($B2377,Summary!$A$2:$A$201,0))</f>
        <v>8</v>
      </c>
      <c r="T2377" s="3" t="n">
        <f aca="false">INDEX(Summary!$P$2:$P$201,MATCH($B2377,Summary!$A$2:$A$201,0))</f>
        <v>1</v>
      </c>
      <c r="U2377" s="2" t="n">
        <f aca="false">INDEX(Summary!$Q$2:$Q$201,MATCH($B2377,Summary!$A$2:$A$201,0))</f>
        <v>14.37</v>
      </c>
      <c r="V2377" s="2" t="n">
        <f aca="false">INDEX(Summary!$R$2:$R$201,MATCH($B2377,Summary!$A$2:$A$201,0))</f>
        <v>21.41</v>
      </c>
      <c r="W2377" s="0" t="str">
        <f aca="false">INDEX(Summary!$S$2:$S$201,MATCH($B2377,Summary!$A$2:$A$201,0))</f>
        <v>Silver</v>
      </c>
      <c r="X2377" s="2" t="n">
        <f aca="false">INDEX(Summary!$T$2:$T$201,MATCH($B2377,Summary!$A$2:$A$201,0))</f>
        <v>52.22</v>
      </c>
      <c r="Y2377" s="0" t="str">
        <f aca="false">INDEX('Reward Model'!$E$18:$E$37,MATCH($E2377,'Reward Model'!$A$18:$A$37,0))</f>
        <v>High</v>
      </c>
      <c r="Z2377" s="4" t="n">
        <f aca="false">ROUND(MIN(1,MAX('Reward Model'!$B$2,INDEX('Reward Model'!$C$12:$C$14,MATCH($K2377,'Reward Model'!$A$12:$A$14,0))/$J2377)),3)</f>
        <v>1</v>
      </c>
      <c r="AA2377" s="2" t="n">
        <f aca="false">IF($I2377="Correct",ROUND(INDEX('Reward Model'!$B$12:$B$14,MATCH($K2377,'Reward Model'!$A$12:$A$14,0))*Z2377,2),0)</f>
        <v>0</v>
      </c>
      <c r="AB2377" s="2" t="n">
        <f aca="false">IF($I2377="Correct",ROUND(INDEX('Reward Model'!$B$12:$B$14,MATCH($Y2377,'Reward Model'!$A$12:$A$14,0))*Z2377,2),0)</f>
        <v>0</v>
      </c>
    </row>
    <row r="2378" customFormat="false" ht="15" hidden="false" customHeight="false" outlineLevel="0" collapsed="false">
      <c r="A2378" s="0" t="s">
        <v>368</v>
      </c>
      <c r="B2378" s="0" t="s">
        <v>369</v>
      </c>
      <c r="C2378" s="0" t="s">
        <v>322</v>
      </c>
      <c r="D2378" s="0" t="s">
        <v>31</v>
      </c>
      <c r="E2378" s="0" t="n">
        <v>17</v>
      </c>
      <c r="F2378" s="0" t="s">
        <v>74</v>
      </c>
      <c r="G2378" s="0" t="s">
        <v>105</v>
      </c>
      <c r="H2378" s="0" t="s">
        <v>75</v>
      </c>
      <c r="I2378" s="0" t="s">
        <v>39</v>
      </c>
      <c r="J2378" s="0" t="n">
        <v>2.24</v>
      </c>
      <c r="K2378" s="0" t="s">
        <v>73</v>
      </c>
      <c r="L2378" s="0" t="n">
        <f aca="false">INDEX(Summary!$F$2:$F$201,MATCH($B2378,Summary!$A$2:$A$201,0))</f>
        <v>20</v>
      </c>
      <c r="M2378" s="0" t="n">
        <f aca="false">INDEX(Summary!$I$2:$I$201,MATCH($B2378,Summary!$A$2:$A$201,0))</f>
        <v>1</v>
      </c>
      <c r="N2378" s="0" t="n">
        <f aca="false">INDEX(Summary!$J$2:$J$201,MATCH($B2378,Summary!$A$2:$A$201,0))</f>
        <v>4</v>
      </c>
      <c r="O2378" s="2" t="n">
        <f aca="false">INDEX(Summary!$K$2:$K$201,MATCH($B2378,Summary!$A$2:$A$201,0))</f>
        <v>10.82</v>
      </c>
      <c r="P2378" s="3" t="n">
        <f aca="false">INDEX(Summary!$L$2:$L$201,MATCH($B2378,Summary!$A$2:$A$201,0))</f>
        <v>4</v>
      </c>
      <c r="Q2378" s="3" t="n">
        <f aca="false">INDEX(Summary!$M$2:$M$201,MATCH($B2378,Summary!$A$2:$A$201,0))</f>
        <v>2</v>
      </c>
      <c r="R2378" s="2" t="n">
        <f aca="false">INDEX(Summary!$N$2:$N$201,MATCH($B2378,Summary!$A$2:$A$201,0))</f>
        <v>10.15</v>
      </c>
      <c r="S2378" s="3" t="n">
        <f aca="false">INDEX(Summary!$O$2:$O$201,MATCH($B2378,Summary!$A$2:$A$201,0))</f>
        <v>8</v>
      </c>
      <c r="T2378" s="3" t="n">
        <f aca="false">INDEX(Summary!$P$2:$P$201,MATCH($B2378,Summary!$A$2:$A$201,0))</f>
        <v>1</v>
      </c>
      <c r="U2378" s="2" t="n">
        <f aca="false">INDEX(Summary!$Q$2:$Q$201,MATCH($B2378,Summary!$A$2:$A$201,0))</f>
        <v>14.37</v>
      </c>
      <c r="V2378" s="2" t="n">
        <f aca="false">INDEX(Summary!$R$2:$R$201,MATCH($B2378,Summary!$A$2:$A$201,0))</f>
        <v>21.41</v>
      </c>
      <c r="W2378" s="0" t="str">
        <f aca="false">INDEX(Summary!$S$2:$S$201,MATCH($B2378,Summary!$A$2:$A$201,0))</f>
        <v>Silver</v>
      </c>
      <c r="X2378" s="2" t="n">
        <f aca="false">INDEX(Summary!$T$2:$T$201,MATCH($B2378,Summary!$A$2:$A$201,0))</f>
        <v>52.22</v>
      </c>
      <c r="Y2378" s="0" t="str">
        <f aca="false">INDEX('Reward Model'!$E$18:$E$37,MATCH($E2378,'Reward Model'!$A$18:$A$37,0))</f>
        <v>High</v>
      </c>
      <c r="Z2378" s="4" t="n">
        <f aca="false">ROUND(MIN(1,MAX('Reward Model'!$B$2,INDEX('Reward Model'!$C$12:$C$14,MATCH($K2378,'Reward Model'!$A$12:$A$14,0))/$J2378)),3)</f>
        <v>0.893</v>
      </c>
      <c r="AA2378" s="2" t="n">
        <f aca="false">IF($I2378="Correct",ROUND(INDEX('Reward Model'!$B$12:$B$14,MATCH($K2378,'Reward Model'!$A$12:$A$14,0))*Z2378,2),0)</f>
        <v>0</v>
      </c>
      <c r="AB2378" s="2" t="n">
        <f aca="false">IF($I2378="Correct",ROUND(INDEX('Reward Model'!$B$12:$B$14,MATCH($Y2378,'Reward Model'!$A$12:$A$14,0))*Z2378,2),0)</f>
        <v>0</v>
      </c>
    </row>
    <row r="2379" customFormat="false" ht="15" hidden="false" customHeight="false" outlineLevel="0" collapsed="false">
      <c r="A2379" s="0" t="s">
        <v>368</v>
      </c>
      <c r="B2379" s="0" t="s">
        <v>369</v>
      </c>
      <c r="C2379" s="0" t="s">
        <v>322</v>
      </c>
      <c r="D2379" s="0" t="s">
        <v>31</v>
      </c>
      <c r="E2379" s="0" t="n">
        <v>18</v>
      </c>
      <c r="F2379" s="0" t="s">
        <v>76</v>
      </c>
      <c r="G2379" s="0" t="s">
        <v>128</v>
      </c>
      <c r="H2379" s="0" t="s">
        <v>77</v>
      </c>
      <c r="I2379" s="0" t="s">
        <v>39</v>
      </c>
      <c r="J2379" s="0" t="n">
        <v>2.57</v>
      </c>
      <c r="K2379" s="0" t="s">
        <v>73</v>
      </c>
      <c r="L2379" s="0" t="n">
        <f aca="false">INDEX(Summary!$F$2:$F$201,MATCH($B2379,Summary!$A$2:$A$201,0))</f>
        <v>20</v>
      </c>
      <c r="M2379" s="0" t="n">
        <f aca="false">INDEX(Summary!$I$2:$I$201,MATCH($B2379,Summary!$A$2:$A$201,0))</f>
        <v>1</v>
      </c>
      <c r="N2379" s="0" t="n">
        <f aca="false">INDEX(Summary!$J$2:$J$201,MATCH($B2379,Summary!$A$2:$A$201,0))</f>
        <v>4</v>
      </c>
      <c r="O2379" s="2" t="n">
        <f aca="false">INDEX(Summary!$K$2:$K$201,MATCH($B2379,Summary!$A$2:$A$201,0))</f>
        <v>10.82</v>
      </c>
      <c r="P2379" s="3" t="n">
        <f aca="false">INDEX(Summary!$L$2:$L$201,MATCH($B2379,Summary!$A$2:$A$201,0))</f>
        <v>4</v>
      </c>
      <c r="Q2379" s="3" t="n">
        <f aca="false">INDEX(Summary!$M$2:$M$201,MATCH($B2379,Summary!$A$2:$A$201,0))</f>
        <v>2</v>
      </c>
      <c r="R2379" s="2" t="n">
        <f aca="false">INDEX(Summary!$N$2:$N$201,MATCH($B2379,Summary!$A$2:$A$201,0))</f>
        <v>10.15</v>
      </c>
      <c r="S2379" s="3" t="n">
        <f aca="false">INDEX(Summary!$O$2:$O$201,MATCH($B2379,Summary!$A$2:$A$201,0))</f>
        <v>8</v>
      </c>
      <c r="T2379" s="3" t="n">
        <f aca="false">INDEX(Summary!$P$2:$P$201,MATCH($B2379,Summary!$A$2:$A$201,0))</f>
        <v>1</v>
      </c>
      <c r="U2379" s="2" t="n">
        <f aca="false">INDEX(Summary!$Q$2:$Q$201,MATCH($B2379,Summary!$A$2:$A$201,0))</f>
        <v>14.37</v>
      </c>
      <c r="V2379" s="2" t="n">
        <f aca="false">INDEX(Summary!$R$2:$R$201,MATCH($B2379,Summary!$A$2:$A$201,0))</f>
        <v>21.41</v>
      </c>
      <c r="W2379" s="0" t="str">
        <f aca="false">INDEX(Summary!$S$2:$S$201,MATCH($B2379,Summary!$A$2:$A$201,0))</f>
        <v>Silver</v>
      </c>
      <c r="X2379" s="2" t="n">
        <f aca="false">INDEX(Summary!$T$2:$T$201,MATCH($B2379,Summary!$A$2:$A$201,0))</f>
        <v>52.22</v>
      </c>
      <c r="Y2379" s="0" t="str">
        <f aca="false">INDEX('Reward Model'!$E$18:$E$37,MATCH($E2379,'Reward Model'!$A$18:$A$37,0))</f>
        <v>High</v>
      </c>
      <c r="Z2379" s="4" t="n">
        <f aca="false">ROUND(MIN(1,MAX('Reward Model'!$B$2,INDEX('Reward Model'!$C$12:$C$14,MATCH($K2379,'Reward Model'!$A$12:$A$14,0))/$J2379)),3)</f>
        <v>0.778</v>
      </c>
      <c r="AA2379" s="2" t="n">
        <f aca="false">IF($I2379="Correct",ROUND(INDEX('Reward Model'!$B$12:$B$14,MATCH($K2379,'Reward Model'!$A$12:$A$14,0))*Z2379,2),0)</f>
        <v>0</v>
      </c>
      <c r="AB2379" s="2" t="n">
        <f aca="false">IF($I2379="Correct",ROUND(INDEX('Reward Model'!$B$12:$B$14,MATCH($Y2379,'Reward Model'!$A$12:$A$14,0))*Z2379,2),0)</f>
        <v>0</v>
      </c>
    </row>
    <row r="2380" customFormat="false" ht="15" hidden="false" customHeight="false" outlineLevel="0" collapsed="false">
      <c r="A2380" s="0" t="s">
        <v>368</v>
      </c>
      <c r="B2380" s="0" t="s">
        <v>369</v>
      </c>
      <c r="C2380" s="0" t="s">
        <v>322</v>
      </c>
      <c r="D2380" s="0" t="s">
        <v>31</v>
      </c>
      <c r="E2380" s="0" t="n">
        <v>19</v>
      </c>
      <c r="F2380" s="0" t="s">
        <v>78</v>
      </c>
      <c r="G2380" s="0" t="s">
        <v>79</v>
      </c>
      <c r="H2380" s="0" t="s">
        <v>80</v>
      </c>
      <c r="I2380" s="0" t="s">
        <v>39</v>
      </c>
      <c r="J2380" s="0" t="n">
        <v>2.3</v>
      </c>
      <c r="K2380" s="0" t="s">
        <v>73</v>
      </c>
      <c r="L2380" s="0" t="n">
        <f aca="false">INDEX(Summary!$F$2:$F$201,MATCH($B2380,Summary!$A$2:$A$201,0))</f>
        <v>20</v>
      </c>
      <c r="M2380" s="0" t="n">
        <f aca="false">INDEX(Summary!$I$2:$I$201,MATCH($B2380,Summary!$A$2:$A$201,0))</f>
        <v>1</v>
      </c>
      <c r="N2380" s="0" t="n">
        <f aca="false">INDEX(Summary!$J$2:$J$201,MATCH($B2380,Summary!$A$2:$A$201,0))</f>
        <v>4</v>
      </c>
      <c r="O2380" s="2" t="n">
        <f aca="false">INDEX(Summary!$K$2:$K$201,MATCH($B2380,Summary!$A$2:$A$201,0))</f>
        <v>10.82</v>
      </c>
      <c r="P2380" s="3" t="n">
        <f aca="false">INDEX(Summary!$L$2:$L$201,MATCH($B2380,Summary!$A$2:$A$201,0))</f>
        <v>4</v>
      </c>
      <c r="Q2380" s="3" t="n">
        <f aca="false">INDEX(Summary!$M$2:$M$201,MATCH($B2380,Summary!$A$2:$A$201,0))</f>
        <v>2</v>
      </c>
      <c r="R2380" s="2" t="n">
        <f aca="false">INDEX(Summary!$N$2:$N$201,MATCH($B2380,Summary!$A$2:$A$201,0))</f>
        <v>10.15</v>
      </c>
      <c r="S2380" s="3" t="n">
        <f aca="false">INDEX(Summary!$O$2:$O$201,MATCH($B2380,Summary!$A$2:$A$201,0))</f>
        <v>8</v>
      </c>
      <c r="T2380" s="3" t="n">
        <f aca="false">INDEX(Summary!$P$2:$P$201,MATCH($B2380,Summary!$A$2:$A$201,0))</f>
        <v>1</v>
      </c>
      <c r="U2380" s="2" t="n">
        <f aca="false">INDEX(Summary!$Q$2:$Q$201,MATCH($B2380,Summary!$A$2:$A$201,0))</f>
        <v>14.37</v>
      </c>
      <c r="V2380" s="2" t="n">
        <f aca="false">INDEX(Summary!$R$2:$R$201,MATCH($B2380,Summary!$A$2:$A$201,0))</f>
        <v>21.41</v>
      </c>
      <c r="W2380" s="0" t="str">
        <f aca="false">INDEX(Summary!$S$2:$S$201,MATCH($B2380,Summary!$A$2:$A$201,0))</f>
        <v>Silver</v>
      </c>
      <c r="X2380" s="2" t="n">
        <f aca="false">INDEX(Summary!$T$2:$T$201,MATCH($B2380,Summary!$A$2:$A$201,0))</f>
        <v>52.22</v>
      </c>
      <c r="Y2380" s="0" t="str">
        <f aca="false">INDEX('Reward Model'!$E$18:$E$37,MATCH($E2380,'Reward Model'!$A$18:$A$37,0))</f>
        <v>High</v>
      </c>
      <c r="Z2380" s="4" t="n">
        <f aca="false">ROUND(MIN(1,MAX('Reward Model'!$B$2,INDEX('Reward Model'!$C$12:$C$14,MATCH($K2380,'Reward Model'!$A$12:$A$14,0))/$J2380)),3)</f>
        <v>0.87</v>
      </c>
      <c r="AA2380" s="2" t="n">
        <f aca="false">IF($I2380="Correct",ROUND(INDEX('Reward Model'!$B$12:$B$14,MATCH($K2380,'Reward Model'!$A$12:$A$14,0))*Z2380,2),0)</f>
        <v>0</v>
      </c>
      <c r="AB2380" s="2" t="n">
        <f aca="false">IF($I2380="Correct",ROUND(INDEX('Reward Model'!$B$12:$B$14,MATCH($Y2380,'Reward Model'!$A$12:$A$14,0))*Z2380,2),0)</f>
        <v>0</v>
      </c>
    </row>
    <row r="2381" customFormat="false" ht="15" hidden="false" customHeight="false" outlineLevel="0" collapsed="false">
      <c r="A2381" s="0" t="s">
        <v>368</v>
      </c>
      <c r="B2381" s="0" t="s">
        <v>369</v>
      </c>
      <c r="C2381" s="0" t="s">
        <v>322</v>
      </c>
      <c r="D2381" s="0" t="s">
        <v>31</v>
      </c>
      <c r="E2381" s="0" t="n">
        <v>20</v>
      </c>
      <c r="F2381" s="0" t="s">
        <v>81</v>
      </c>
      <c r="G2381" s="0" t="s">
        <v>83</v>
      </c>
      <c r="H2381" s="0" t="s">
        <v>83</v>
      </c>
      <c r="I2381" s="0" t="s">
        <v>34</v>
      </c>
      <c r="J2381" s="0" t="n">
        <v>2.3</v>
      </c>
      <c r="K2381" s="0" t="s">
        <v>73</v>
      </c>
      <c r="L2381" s="0" t="n">
        <f aca="false">INDEX(Summary!$F$2:$F$201,MATCH($B2381,Summary!$A$2:$A$201,0))</f>
        <v>20</v>
      </c>
      <c r="M2381" s="0" t="n">
        <f aca="false">INDEX(Summary!$I$2:$I$201,MATCH($B2381,Summary!$A$2:$A$201,0))</f>
        <v>1</v>
      </c>
      <c r="N2381" s="0" t="n">
        <f aca="false">INDEX(Summary!$J$2:$J$201,MATCH($B2381,Summary!$A$2:$A$201,0))</f>
        <v>4</v>
      </c>
      <c r="O2381" s="2" t="n">
        <f aca="false">INDEX(Summary!$K$2:$K$201,MATCH($B2381,Summary!$A$2:$A$201,0))</f>
        <v>10.82</v>
      </c>
      <c r="P2381" s="3" t="n">
        <f aca="false">INDEX(Summary!$L$2:$L$201,MATCH($B2381,Summary!$A$2:$A$201,0))</f>
        <v>4</v>
      </c>
      <c r="Q2381" s="3" t="n">
        <f aca="false">INDEX(Summary!$M$2:$M$201,MATCH($B2381,Summary!$A$2:$A$201,0))</f>
        <v>2</v>
      </c>
      <c r="R2381" s="2" t="n">
        <f aca="false">INDEX(Summary!$N$2:$N$201,MATCH($B2381,Summary!$A$2:$A$201,0))</f>
        <v>10.15</v>
      </c>
      <c r="S2381" s="3" t="n">
        <f aca="false">INDEX(Summary!$O$2:$O$201,MATCH($B2381,Summary!$A$2:$A$201,0))</f>
        <v>8</v>
      </c>
      <c r="T2381" s="3" t="n">
        <f aca="false">INDEX(Summary!$P$2:$P$201,MATCH($B2381,Summary!$A$2:$A$201,0))</f>
        <v>1</v>
      </c>
      <c r="U2381" s="2" t="n">
        <f aca="false">INDEX(Summary!$Q$2:$Q$201,MATCH($B2381,Summary!$A$2:$A$201,0))</f>
        <v>14.37</v>
      </c>
      <c r="V2381" s="2" t="n">
        <f aca="false">INDEX(Summary!$R$2:$R$201,MATCH($B2381,Summary!$A$2:$A$201,0))</f>
        <v>21.41</v>
      </c>
      <c r="W2381" s="0" t="str">
        <f aca="false">INDEX(Summary!$S$2:$S$201,MATCH($B2381,Summary!$A$2:$A$201,0))</f>
        <v>Silver</v>
      </c>
      <c r="X2381" s="2" t="n">
        <f aca="false">INDEX(Summary!$T$2:$T$201,MATCH($B2381,Summary!$A$2:$A$201,0))</f>
        <v>52.22</v>
      </c>
      <c r="Y2381" s="0" t="str">
        <f aca="false">INDEX('Reward Model'!$E$18:$E$37,MATCH($E2381,'Reward Model'!$A$18:$A$37,0))</f>
        <v>High</v>
      </c>
      <c r="Z2381" s="4" t="n">
        <f aca="false">ROUND(MIN(1,MAX('Reward Model'!$B$2,INDEX('Reward Model'!$C$12:$C$14,MATCH($K2381,'Reward Model'!$A$12:$A$14,0))/$J2381)),3)</f>
        <v>0.87</v>
      </c>
      <c r="AA2381" s="2" t="n">
        <f aca="false">IF($I2381="Correct",ROUND(INDEX('Reward Model'!$B$12:$B$14,MATCH($K2381,'Reward Model'!$A$12:$A$14,0))*Z2381,2),0)</f>
        <v>2.61</v>
      </c>
      <c r="AB2381" s="2" t="n">
        <f aca="false">IF($I2381="Correct",ROUND(INDEX('Reward Model'!$B$12:$B$14,MATCH($Y2381,'Reward Model'!$A$12:$A$14,0))*Z2381,2),0)</f>
        <v>2.61</v>
      </c>
    </row>
    <row r="2382" customFormat="false" ht="15" hidden="false" customHeight="false" outlineLevel="0" collapsed="false">
      <c r="A2382" s="0" t="s">
        <v>370</v>
      </c>
      <c r="B2382" s="0" t="s">
        <v>371</v>
      </c>
      <c r="C2382" s="0" t="s">
        <v>322</v>
      </c>
      <c r="D2382" s="0" t="s">
        <v>31</v>
      </c>
      <c r="E2382" s="0" t="n">
        <v>1</v>
      </c>
      <c r="F2382" s="0" t="s">
        <v>32</v>
      </c>
      <c r="G2382" s="0" t="s">
        <v>97</v>
      </c>
      <c r="H2382" s="0" t="s">
        <v>33</v>
      </c>
      <c r="I2382" s="0" t="s">
        <v>39</v>
      </c>
      <c r="J2382" s="0" t="n">
        <v>1.21</v>
      </c>
      <c r="K2382" s="0" t="s">
        <v>35</v>
      </c>
      <c r="L2382" s="0" t="n">
        <f aca="false">INDEX(Summary!$F$2:$F$201,MATCH($B2382,Summary!$A$2:$A$201,0))</f>
        <v>20</v>
      </c>
      <c r="M2382" s="0" t="n">
        <f aca="false">INDEX(Summary!$I$2:$I$201,MATCH($B2382,Summary!$A$2:$A$201,0))</f>
        <v>2</v>
      </c>
      <c r="N2382" s="0" t="n">
        <f aca="false">INDEX(Summary!$J$2:$J$201,MATCH($B2382,Summary!$A$2:$A$201,0))</f>
        <v>3</v>
      </c>
      <c r="O2382" s="2" t="n">
        <f aca="false">INDEX(Summary!$K$2:$K$201,MATCH($B2382,Summary!$A$2:$A$201,0))</f>
        <v>9.23</v>
      </c>
      <c r="P2382" s="3" t="n">
        <f aca="false">INDEX(Summary!$L$2:$L$201,MATCH($B2382,Summary!$A$2:$A$201,0))</f>
        <v>4</v>
      </c>
      <c r="Q2382" s="3" t="n">
        <f aca="false">INDEX(Summary!$M$2:$M$201,MATCH($B2382,Summary!$A$2:$A$201,0))</f>
        <v>2</v>
      </c>
      <c r="R2382" s="2" t="n">
        <f aca="false">INDEX(Summary!$N$2:$N$201,MATCH($B2382,Summary!$A$2:$A$201,0))</f>
        <v>10.58</v>
      </c>
      <c r="S2382" s="3" t="n">
        <f aca="false">INDEX(Summary!$O$2:$O$201,MATCH($B2382,Summary!$A$2:$A$201,0))</f>
        <v>5</v>
      </c>
      <c r="T2382" s="3" t="n">
        <f aca="false">INDEX(Summary!$P$2:$P$201,MATCH($B2382,Summary!$A$2:$A$201,0))</f>
        <v>4</v>
      </c>
      <c r="U2382" s="2" t="n">
        <f aca="false">INDEX(Summary!$Q$2:$Q$201,MATCH($B2382,Summary!$A$2:$A$201,0))</f>
        <v>13.97</v>
      </c>
      <c r="V2382" s="2" t="n">
        <f aca="false">INDEX(Summary!$R$2:$R$201,MATCH($B2382,Summary!$A$2:$A$201,0))</f>
        <v>20.62</v>
      </c>
      <c r="W2382" s="0" t="str">
        <f aca="false">INDEX(Summary!$S$2:$S$201,MATCH($B2382,Summary!$A$2:$A$201,0))</f>
        <v>Silver</v>
      </c>
      <c r="X2382" s="2" t="n">
        <f aca="false">INDEX(Summary!$T$2:$T$201,MATCH($B2382,Summary!$A$2:$A$201,0))</f>
        <v>50.29</v>
      </c>
      <c r="Y2382" s="0" t="str">
        <f aca="false">INDEX('Reward Model'!$E$18:$E$37,MATCH($E2382,'Reward Model'!$A$18:$A$37,0))</f>
        <v>Medium</v>
      </c>
      <c r="Z2382" s="4" t="n">
        <f aca="false">ROUND(MIN(1,MAX('Reward Model'!$B$2,INDEX('Reward Model'!$C$12:$C$14,MATCH($K2382,'Reward Model'!$A$12:$A$14,0))/$J2382)),3)</f>
        <v>1</v>
      </c>
      <c r="AA2382" s="2" t="n">
        <f aca="false">IF($I2382="Correct",ROUND(INDEX('Reward Model'!$B$12:$B$14,MATCH($K2382,'Reward Model'!$A$12:$A$14,0))*Z2382,2),0)</f>
        <v>0</v>
      </c>
      <c r="AB2382" s="2" t="n">
        <f aca="false">IF($I2382="Correct",ROUND(INDEX('Reward Model'!$B$12:$B$14,MATCH($Y2382,'Reward Model'!$A$12:$A$14,0))*Z2382,2),0)</f>
        <v>0</v>
      </c>
    </row>
    <row r="2383" customFormat="false" ht="15" hidden="false" customHeight="false" outlineLevel="0" collapsed="false">
      <c r="A2383" s="0" t="s">
        <v>370</v>
      </c>
      <c r="B2383" s="0" t="s">
        <v>371</v>
      </c>
      <c r="C2383" s="0" t="s">
        <v>322</v>
      </c>
      <c r="D2383" s="0" t="s">
        <v>31</v>
      </c>
      <c r="E2383" s="0" t="n">
        <v>2</v>
      </c>
      <c r="F2383" s="0" t="s">
        <v>36</v>
      </c>
      <c r="G2383" s="0" t="s">
        <v>38</v>
      </c>
      <c r="H2383" s="0" t="s">
        <v>38</v>
      </c>
      <c r="I2383" s="0" t="s">
        <v>34</v>
      </c>
      <c r="J2383" s="0" t="n">
        <v>1.16</v>
      </c>
      <c r="K2383" s="0" t="s">
        <v>35</v>
      </c>
      <c r="L2383" s="0" t="n">
        <f aca="false">INDEX(Summary!$F$2:$F$201,MATCH($B2383,Summary!$A$2:$A$201,0))</f>
        <v>20</v>
      </c>
      <c r="M2383" s="0" t="n">
        <f aca="false">INDEX(Summary!$I$2:$I$201,MATCH($B2383,Summary!$A$2:$A$201,0))</f>
        <v>2</v>
      </c>
      <c r="N2383" s="0" t="n">
        <f aca="false">INDEX(Summary!$J$2:$J$201,MATCH($B2383,Summary!$A$2:$A$201,0))</f>
        <v>3</v>
      </c>
      <c r="O2383" s="2" t="n">
        <f aca="false">INDEX(Summary!$K$2:$K$201,MATCH($B2383,Summary!$A$2:$A$201,0))</f>
        <v>9.23</v>
      </c>
      <c r="P2383" s="3" t="n">
        <f aca="false">INDEX(Summary!$L$2:$L$201,MATCH($B2383,Summary!$A$2:$A$201,0))</f>
        <v>4</v>
      </c>
      <c r="Q2383" s="3" t="n">
        <f aca="false">INDEX(Summary!$M$2:$M$201,MATCH($B2383,Summary!$A$2:$A$201,0))</f>
        <v>2</v>
      </c>
      <c r="R2383" s="2" t="n">
        <f aca="false">INDEX(Summary!$N$2:$N$201,MATCH($B2383,Summary!$A$2:$A$201,0))</f>
        <v>10.58</v>
      </c>
      <c r="S2383" s="3" t="n">
        <f aca="false">INDEX(Summary!$O$2:$O$201,MATCH($B2383,Summary!$A$2:$A$201,0))</f>
        <v>5</v>
      </c>
      <c r="T2383" s="3" t="n">
        <f aca="false">INDEX(Summary!$P$2:$P$201,MATCH($B2383,Summary!$A$2:$A$201,0))</f>
        <v>4</v>
      </c>
      <c r="U2383" s="2" t="n">
        <f aca="false">INDEX(Summary!$Q$2:$Q$201,MATCH($B2383,Summary!$A$2:$A$201,0))</f>
        <v>13.97</v>
      </c>
      <c r="V2383" s="2" t="n">
        <f aca="false">INDEX(Summary!$R$2:$R$201,MATCH($B2383,Summary!$A$2:$A$201,0))</f>
        <v>20.62</v>
      </c>
      <c r="W2383" s="0" t="str">
        <f aca="false">INDEX(Summary!$S$2:$S$201,MATCH($B2383,Summary!$A$2:$A$201,0))</f>
        <v>Silver</v>
      </c>
      <c r="X2383" s="2" t="n">
        <f aca="false">INDEX(Summary!$T$2:$T$201,MATCH($B2383,Summary!$A$2:$A$201,0))</f>
        <v>50.29</v>
      </c>
      <c r="Y2383" s="0" t="str">
        <f aca="false">INDEX('Reward Model'!$E$18:$E$37,MATCH($E2383,'Reward Model'!$A$18:$A$37,0))</f>
        <v>Low</v>
      </c>
      <c r="Z2383" s="4" t="n">
        <f aca="false">ROUND(MIN(1,MAX('Reward Model'!$B$2,INDEX('Reward Model'!$C$12:$C$14,MATCH($K2383,'Reward Model'!$A$12:$A$14,0))/$J2383)),3)</f>
        <v>1</v>
      </c>
      <c r="AA2383" s="2" t="n">
        <f aca="false">IF($I2383="Correct",ROUND(INDEX('Reward Model'!$B$12:$B$14,MATCH($K2383,'Reward Model'!$A$12:$A$14,0))*Z2383,2),0)</f>
        <v>1</v>
      </c>
      <c r="AB2383" s="2" t="n">
        <f aca="false">IF($I2383="Correct",ROUND(INDEX('Reward Model'!$B$12:$B$14,MATCH($Y2383,'Reward Model'!$A$12:$A$14,0))*Z2383,2),0)</f>
        <v>1</v>
      </c>
    </row>
    <row r="2384" customFormat="false" ht="15" hidden="false" customHeight="false" outlineLevel="0" collapsed="false">
      <c r="A2384" s="0" t="s">
        <v>370</v>
      </c>
      <c r="B2384" s="0" t="s">
        <v>371</v>
      </c>
      <c r="C2384" s="0" t="s">
        <v>322</v>
      </c>
      <c r="D2384" s="0" t="s">
        <v>31</v>
      </c>
      <c r="E2384" s="0" t="n">
        <v>3</v>
      </c>
      <c r="F2384" s="0" t="s">
        <v>40</v>
      </c>
      <c r="G2384" s="0" t="s">
        <v>42</v>
      </c>
      <c r="H2384" s="0" t="s">
        <v>42</v>
      </c>
      <c r="I2384" s="0" t="s">
        <v>34</v>
      </c>
      <c r="J2384" s="0" t="n">
        <v>1.53</v>
      </c>
      <c r="K2384" s="0" t="s">
        <v>35</v>
      </c>
      <c r="L2384" s="0" t="n">
        <f aca="false">INDEX(Summary!$F$2:$F$201,MATCH($B2384,Summary!$A$2:$A$201,0))</f>
        <v>20</v>
      </c>
      <c r="M2384" s="0" t="n">
        <f aca="false">INDEX(Summary!$I$2:$I$201,MATCH($B2384,Summary!$A$2:$A$201,0))</f>
        <v>2</v>
      </c>
      <c r="N2384" s="0" t="n">
        <f aca="false">INDEX(Summary!$J$2:$J$201,MATCH($B2384,Summary!$A$2:$A$201,0))</f>
        <v>3</v>
      </c>
      <c r="O2384" s="2" t="n">
        <f aca="false">INDEX(Summary!$K$2:$K$201,MATCH($B2384,Summary!$A$2:$A$201,0))</f>
        <v>9.23</v>
      </c>
      <c r="P2384" s="3" t="n">
        <f aca="false">INDEX(Summary!$L$2:$L$201,MATCH($B2384,Summary!$A$2:$A$201,0))</f>
        <v>4</v>
      </c>
      <c r="Q2384" s="3" t="n">
        <f aca="false">INDEX(Summary!$M$2:$M$201,MATCH($B2384,Summary!$A$2:$A$201,0))</f>
        <v>2</v>
      </c>
      <c r="R2384" s="2" t="n">
        <f aca="false">INDEX(Summary!$N$2:$N$201,MATCH($B2384,Summary!$A$2:$A$201,0))</f>
        <v>10.58</v>
      </c>
      <c r="S2384" s="3" t="n">
        <f aca="false">INDEX(Summary!$O$2:$O$201,MATCH($B2384,Summary!$A$2:$A$201,0))</f>
        <v>5</v>
      </c>
      <c r="T2384" s="3" t="n">
        <f aca="false">INDEX(Summary!$P$2:$P$201,MATCH($B2384,Summary!$A$2:$A$201,0))</f>
        <v>4</v>
      </c>
      <c r="U2384" s="2" t="n">
        <f aca="false">INDEX(Summary!$Q$2:$Q$201,MATCH($B2384,Summary!$A$2:$A$201,0))</f>
        <v>13.97</v>
      </c>
      <c r="V2384" s="2" t="n">
        <f aca="false">INDEX(Summary!$R$2:$R$201,MATCH($B2384,Summary!$A$2:$A$201,0))</f>
        <v>20.62</v>
      </c>
      <c r="W2384" s="0" t="str">
        <f aca="false">INDEX(Summary!$S$2:$S$201,MATCH($B2384,Summary!$A$2:$A$201,0))</f>
        <v>Silver</v>
      </c>
      <c r="X2384" s="2" t="n">
        <f aca="false">INDEX(Summary!$T$2:$T$201,MATCH($B2384,Summary!$A$2:$A$201,0))</f>
        <v>50.29</v>
      </c>
      <c r="Y2384" s="0" t="str">
        <f aca="false">INDEX('Reward Model'!$E$18:$E$37,MATCH($E2384,'Reward Model'!$A$18:$A$37,0))</f>
        <v>Medium</v>
      </c>
      <c r="Z2384" s="4" t="n">
        <f aca="false">ROUND(MIN(1,MAX('Reward Model'!$B$2,INDEX('Reward Model'!$C$12:$C$14,MATCH($K2384,'Reward Model'!$A$12:$A$14,0))/$J2384)),3)</f>
        <v>0.98</v>
      </c>
      <c r="AA2384" s="2" t="n">
        <f aca="false">IF($I2384="Correct",ROUND(INDEX('Reward Model'!$B$12:$B$14,MATCH($K2384,'Reward Model'!$A$12:$A$14,0))*Z2384,2),0)</f>
        <v>0.98</v>
      </c>
      <c r="AB2384" s="2" t="n">
        <f aca="false">IF($I2384="Correct",ROUND(INDEX('Reward Model'!$B$12:$B$14,MATCH($Y2384,'Reward Model'!$A$12:$A$14,0))*Z2384,2),0)</f>
        <v>1.96</v>
      </c>
    </row>
    <row r="2385" customFormat="false" ht="15" hidden="false" customHeight="false" outlineLevel="0" collapsed="false">
      <c r="A2385" s="0" t="s">
        <v>370</v>
      </c>
      <c r="B2385" s="0" t="s">
        <v>371</v>
      </c>
      <c r="C2385" s="0" t="s">
        <v>322</v>
      </c>
      <c r="D2385" s="0" t="s">
        <v>31</v>
      </c>
      <c r="E2385" s="0" t="n">
        <v>4</v>
      </c>
      <c r="F2385" s="0" t="s">
        <v>43</v>
      </c>
      <c r="G2385" s="0" t="s">
        <v>155</v>
      </c>
      <c r="H2385" s="0" t="s">
        <v>45</v>
      </c>
      <c r="I2385" s="0" t="s">
        <v>39</v>
      </c>
      <c r="J2385" s="0" t="n">
        <v>1.82</v>
      </c>
      <c r="K2385" s="0" t="s">
        <v>35</v>
      </c>
      <c r="L2385" s="0" t="n">
        <f aca="false">INDEX(Summary!$F$2:$F$201,MATCH($B2385,Summary!$A$2:$A$201,0))</f>
        <v>20</v>
      </c>
      <c r="M2385" s="0" t="n">
        <f aca="false">INDEX(Summary!$I$2:$I$201,MATCH($B2385,Summary!$A$2:$A$201,0))</f>
        <v>2</v>
      </c>
      <c r="N2385" s="0" t="n">
        <f aca="false">INDEX(Summary!$J$2:$J$201,MATCH($B2385,Summary!$A$2:$A$201,0))</f>
        <v>3</v>
      </c>
      <c r="O2385" s="2" t="n">
        <f aca="false">INDEX(Summary!$K$2:$K$201,MATCH($B2385,Summary!$A$2:$A$201,0))</f>
        <v>9.23</v>
      </c>
      <c r="P2385" s="3" t="n">
        <f aca="false">INDEX(Summary!$L$2:$L$201,MATCH($B2385,Summary!$A$2:$A$201,0))</f>
        <v>4</v>
      </c>
      <c r="Q2385" s="3" t="n">
        <f aca="false">INDEX(Summary!$M$2:$M$201,MATCH($B2385,Summary!$A$2:$A$201,0))</f>
        <v>2</v>
      </c>
      <c r="R2385" s="2" t="n">
        <f aca="false">INDEX(Summary!$N$2:$N$201,MATCH($B2385,Summary!$A$2:$A$201,0))</f>
        <v>10.58</v>
      </c>
      <c r="S2385" s="3" t="n">
        <f aca="false">INDEX(Summary!$O$2:$O$201,MATCH($B2385,Summary!$A$2:$A$201,0))</f>
        <v>5</v>
      </c>
      <c r="T2385" s="3" t="n">
        <f aca="false">INDEX(Summary!$P$2:$P$201,MATCH($B2385,Summary!$A$2:$A$201,0))</f>
        <v>4</v>
      </c>
      <c r="U2385" s="2" t="n">
        <f aca="false">INDEX(Summary!$Q$2:$Q$201,MATCH($B2385,Summary!$A$2:$A$201,0))</f>
        <v>13.97</v>
      </c>
      <c r="V2385" s="2" t="n">
        <f aca="false">INDEX(Summary!$R$2:$R$201,MATCH($B2385,Summary!$A$2:$A$201,0))</f>
        <v>20.62</v>
      </c>
      <c r="W2385" s="0" t="str">
        <f aca="false">INDEX(Summary!$S$2:$S$201,MATCH($B2385,Summary!$A$2:$A$201,0))</f>
        <v>Silver</v>
      </c>
      <c r="X2385" s="2" t="n">
        <f aca="false">INDEX(Summary!$T$2:$T$201,MATCH($B2385,Summary!$A$2:$A$201,0))</f>
        <v>50.29</v>
      </c>
      <c r="Y2385" s="0" t="str">
        <f aca="false">INDEX('Reward Model'!$E$18:$E$37,MATCH($E2385,'Reward Model'!$A$18:$A$37,0))</f>
        <v>Low</v>
      </c>
      <c r="Z2385" s="4" t="n">
        <f aca="false">ROUND(MIN(1,MAX('Reward Model'!$B$2,INDEX('Reward Model'!$C$12:$C$14,MATCH($K2385,'Reward Model'!$A$12:$A$14,0))/$J2385)),3)</f>
        <v>0.824</v>
      </c>
      <c r="AA2385" s="2" t="n">
        <f aca="false">IF($I2385="Correct",ROUND(INDEX('Reward Model'!$B$12:$B$14,MATCH($K2385,'Reward Model'!$A$12:$A$14,0))*Z2385,2),0)</f>
        <v>0</v>
      </c>
      <c r="AB2385" s="2" t="n">
        <f aca="false">IF($I2385="Correct",ROUND(INDEX('Reward Model'!$B$12:$B$14,MATCH($Y2385,'Reward Model'!$A$12:$A$14,0))*Z2385,2),0)</f>
        <v>0</v>
      </c>
    </row>
    <row r="2386" customFormat="false" ht="15" hidden="false" customHeight="false" outlineLevel="0" collapsed="false">
      <c r="A2386" s="0" t="s">
        <v>370</v>
      </c>
      <c r="B2386" s="0" t="s">
        <v>371</v>
      </c>
      <c r="C2386" s="0" t="s">
        <v>322</v>
      </c>
      <c r="D2386" s="0" t="s">
        <v>31</v>
      </c>
      <c r="E2386" s="0" t="n">
        <v>5</v>
      </c>
      <c r="F2386" s="0" t="s">
        <v>46</v>
      </c>
      <c r="G2386" s="0" t="s">
        <v>47</v>
      </c>
      <c r="H2386" s="0" t="s">
        <v>47</v>
      </c>
      <c r="I2386" s="0" t="s">
        <v>34</v>
      </c>
      <c r="J2386" s="0" t="n">
        <v>1.91</v>
      </c>
      <c r="K2386" s="0" t="s">
        <v>35</v>
      </c>
      <c r="L2386" s="0" t="n">
        <f aca="false">INDEX(Summary!$F$2:$F$201,MATCH($B2386,Summary!$A$2:$A$201,0))</f>
        <v>20</v>
      </c>
      <c r="M2386" s="0" t="n">
        <f aca="false">INDEX(Summary!$I$2:$I$201,MATCH($B2386,Summary!$A$2:$A$201,0))</f>
        <v>2</v>
      </c>
      <c r="N2386" s="0" t="n">
        <f aca="false">INDEX(Summary!$J$2:$J$201,MATCH($B2386,Summary!$A$2:$A$201,0))</f>
        <v>3</v>
      </c>
      <c r="O2386" s="2" t="n">
        <f aca="false">INDEX(Summary!$K$2:$K$201,MATCH($B2386,Summary!$A$2:$A$201,0))</f>
        <v>9.23</v>
      </c>
      <c r="P2386" s="3" t="n">
        <f aca="false">INDEX(Summary!$L$2:$L$201,MATCH($B2386,Summary!$A$2:$A$201,0))</f>
        <v>4</v>
      </c>
      <c r="Q2386" s="3" t="n">
        <f aca="false">INDEX(Summary!$M$2:$M$201,MATCH($B2386,Summary!$A$2:$A$201,0))</f>
        <v>2</v>
      </c>
      <c r="R2386" s="2" t="n">
        <f aca="false">INDEX(Summary!$N$2:$N$201,MATCH($B2386,Summary!$A$2:$A$201,0))</f>
        <v>10.58</v>
      </c>
      <c r="S2386" s="3" t="n">
        <f aca="false">INDEX(Summary!$O$2:$O$201,MATCH($B2386,Summary!$A$2:$A$201,0))</f>
        <v>5</v>
      </c>
      <c r="T2386" s="3" t="n">
        <f aca="false">INDEX(Summary!$P$2:$P$201,MATCH($B2386,Summary!$A$2:$A$201,0))</f>
        <v>4</v>
      </c>
      <c r="U2386" s="2" t="n">
        <f aca="false">INDEX(Summary!$Q$2:$Q$201,MATCH($B2386,Summary!$A$2:$A$201,0))</f>
        <v>13.97</v>
      </c>
      <c r="V2386" s="2" t="n">
        <f aca="false">INDEX(Summary!$R$2:$R$201,MATCH($B2386,Summary!$A$2:$A$201,0))</f>
        <v>20.62</v>
      </c>
      <c r="W2386" s="0" t="str">
        <f aca="false">INDEX(Summary!$S$2:$S$201,MATCH($B2386,Summary!$A$2:$A$201,0))</f>
        <v>Silver</v>
      </c>
      <c r="X2386" s="2" t="n">
        <f aca="false">INDEX(Summary!$T$2:$T$201,MATCH($B2386,Summary!$A$2:$A$201,0))</f>
        <v>50.29</v>
      </c>
      <c r="Y2386" s="0" t="str">
        <f aca="false">INDEX('Reward Model'!$E$18:$E$37,MATCH($E2386,'Reward Model'!$A$18:$A$37,0))</f>
        <v>Low</v>
      </c>
      <c r="Z2386" s="4" t="n">
        <f aca="false">ROUND(MIN(1,MAX('Reward Model'!$B$2,INDEX('Reward Model'!$C$12:$C$14,MATCH($K2386,'Reward Model'!$A$12:$A$14,0))/$J2386)),3)</f>
        <v>0.785</v>
      </c>
      <c r="AA2386" s="2" t="n">
        <f aca="false">IF($I2386="Correct",ROUND(INDEX('Reward Model'!$B$12:$B$14,MATCH($K2386,'Reward Model'!$A$12:$A$14,0))*Z2386,2),0)</f>
        <v>0.79</v>
      </c>
      <c r="AB2386" s="2" t="n">
        <f aca="false">IF($I2386="Correct",ROUND(INDEX('Reward Model'!$B$12:$B$14,MATCH($Y2386,'Reward Model'!$A$12:$A$14,0))*Z2386,2),0)</f>
        <v>0.79</v>
      </c>
    </row>
    <row r="2387" customFormat="false" ht="15" hidden="false" customHeight="false" outlineLevel="0" collapsed="false">
      <c r="A2387" s="0" t="s">
        <v>370</v>
      </c>
      <c r="B2387" s="0" t="s">
        <v>371</v>
      </c>
      <c r="C2387" s="0" t="s">
        <v>322</v>
      </c>
      <c r="D2387" s="0" t="s">
        <v>31</v>
      </c>
      <c r="E2387" s="0" t="n">
        <v>6</v>
      </c>
      <c r="F2387" s="0" t="s">
        <v>48</v>
      </c>
      <c r="G2387" s="0" t="s">
        <v>116</v>
      </c>
      <c r="H2387" s="0" t="s">
        <v>49</v>
      </c>
      <c r="I2387" s="0" t="s">
        <v>39</v>
      </c>
      <c r="J2387" s="0" t="n">
        <v>1.68</v>
      </c>
      <c r="K2387" s="0" t="s">
        <v>35</v>
      </c>
      <c r="L2387" s="0" t="n">
        <f aca="false">INDEX(Summary!$F$2:$F$201,MATCH($B2387,Summary!$A$2:$A$201,0))</f>
        <v>20</v>
      </c>
      <c r="M2387" s="0" t="n">
        <f aca="false">INDEX(Summary!$I$2:$I$201,MATCH($B2387,Summary!$A$2:$A$201,0))</f>
        <v>2</v>
      </c>
      <c r="N2387" s="0" t="n">
        <f aca="false">INDEX(Summary!$J$2:$J$201,MATCH($B2387,Summary!$A$2:$A$201,0))</f>
        <v>3</v>
      </c>
      <c r="O2387" s="2" t="n">
        <f aca="false">INDEX(Summary!$K$2:$K$201,MATCH($B2387,Summary!$A$2:$A$201,0))</f>
        <v>9.23</v>
      </c>
      <c r="P2387" s="3" t="n">
        <f aca="false">INDEX(Summary!$L$2:$L$201,MATCH($B2387,Summary!$A$2:$A$201,0))</f>
        <v>4</v>
      </c>
      <c r="Q2387" s="3" t="n">
        <f aca="false">INDEX(Summary!$M$2:$M$201,MATCH($B2387,Summary!$A$2:$A$201,0))</f>
        <v>2</v>
      </c>
      <c r="R2387" s="2" t="n">
        <f aca="false">INDEX(Summary!$N$2:$N$201,MATCH($B2387,Summary!$A$2:$A$201,0))</f>
        <v>10.58</v>
      </c>
      <c r="S2387" s="3" t="n">
        <f aca="false">INDEX(Summary!$O$2:$O$201,MATCH($B2387,Summary!$A$2:$A$201,0))</f>
        <v>5</v>
      </c>
      <c r="T2387" s="3" t="n">
        <f aca="false">INDEX(Summary!$P$2:$P$201,MATCH($B2387,Summary!$A$2:$A$201,0))</f>
        <v>4</v>
      </c>
      <c r="U2387" s="2" t="n">
        <f aca="false">INDEX(Summary!$Q$2:$Q$201,MATCH($B2387,Summary!$A$2:$A$201,0))</f>
        <v>13.97</v>
      </c>
      <c r="V2387" s="2" t="n">
        <f aca="false">INDEX(Summary!$R$2:$R$201,MATCH($B2387,Summary!$A$2:$A$201,0))</f>
        <v>20.62</v>
      </c>
      <c r="W2387" s="0" t="str">
        <f aca="false">INDEX(Summary!$S$2:$S$201,MATCH($B2387,Summary!$A$2:$A$201,0))</f>
        <v>Silver</v>
      </c>
      <c r="X2387" s="2" t="n">
        <f aca="false">INDEX(Summary!$T$2:$T$201,MATCH($B2387,Summary!$A$2:$A$201,0))</f>
        <v>50.29</v>
      </c>
      <c r="Y2387" s="0" t="str">
        <f aca="false">INDEX('Reward Model'!$E$18:$E$37,MATCH($E2387,'Reward Model'!$A$18:$A$37,0))</f>
        <v>Medium</v>
      </c>
      <c r="Z2387" s="4" t="n">
        <f aca="false">ROUND(MIN(1,MAX('Reward Model'!$B$2,INDEX('Reward Model'!$C$12:$C$14,MATCH($K2387,'Reward Model'!$A$12:$A$14,0))/$J2387)),3)</f>
        <v>0.893</v>
      </c>
      <c r="AA2387" s="2" t="n">
        <f aca="false">IF($I2387="Correct",ROUND(INDEX('Reward Model'!$B$12:$B$14,MATCH($K2387,'Reward Model'!$A$12:$A$14,0))*Z2387,2),0)</f>
        <v>0</v>
      </c>
      <c r="AB2387" s="2" t="n">
        <f aca="false">IF($I2387="Correct",ROUND(INDEX('Reward Model'!$B$12:$B$14,MATCH($Y2387,'Reward Model'!$A$12:$A$14,0))*Z2387,2),0)</f>
        <v>0</v>
      </c>
    </row>
    <row r="2388" customFormat="false" ht="15" hidden="false" customHeight="false" outlineLevel="0" collapsed="false">
      <c r="A2388" s="0" t="s">
        <v>370</v>
      </c>
      <c r="B2388" s="0" t="s">
        <v>371</v>
      </c>
      <c r="C2388" s="0" t="s">
        <v>322</v>
      </c>
      <c r="D2388" s="0" t="s">
        <v>31</v>
      </c>
      <c r="E2388" s="0" t="n">
        <v>7</v>
      </c>
      <c r="F2388" s="0" t="s">
        <v>50</v>
      </c>
      <c r="G2388" s="0" t="s">
        <v>51</v>
      </c>
      <c r="H2388" s="0" t="s">
        <v>51</v>
      </c>
      <c r="I2388" s="0" t="s">
        <v>34</v>
      </c>
      <c r="J2388" s="0" t="n">
        <v>1.41</v>
      </c>
      <c r="K2388" s="0" t="s">
        <v>35</v>
      </c>
      <c r="L2388" s="0" t="n">
        <f aca="false">INDEX(Summary!$F$2:$F$201,MATCH($B2388,Summary!$A$2:$A$201,0))</f>
        <v>20</v>
      </c>
      <c r="M2388" s="0" t="n">
        <f aca="false">INDEX(Summary!$I$2:$I$201,MATCH($B2388,Summary!$A$2:$A$201,0))</f>
        <v>2</v>
      </c>
      <c r="N2388" s="0" t="n">
        <f aca="false">INDEX(Summary!$J$2:$J$201,MATCH($B2388,Summary!$A$2:$A$201,0))</f>
        <v>3</v>
      </c>
      <c r="O2388" s="2" t="n">
        <f aca="false">INDEX(Summary!$K$2:$K$201,MATCH($B2388,Summary!$A$2:$A$201,0))</f>
        <v>9.23</v>
      </c>
      <c r="P2388" s="3" t="n">
        <f aca="false">INDEX(Summary!$L$2:$L$201,MATCH($B2388,Summary!$A$2:$A$201,0))</f>
        <v>4</v>
      </c>
      <c r="Q2388" s="3" t="n">
        <f aca="false">INDEX(Summary!$M$2:$M$201,MATCH($B2388,Summary!$A$2:$A$201,0))</f>
        <v>2</v>
      </c>
      <c r="R2388" s="2" t="n">
        <f aca="false">INDEX(Summary!$N$2:$N$201,MATCH($B2388,Summary!$A$2:$A$201,0))</f>
        <v>10.58</v>
      </c>
      <c r="S2388" s="3" t="n">
        <f aca="false">INDEX(Summary!$O$2:$O$201,MATCH($B2388,Summary!$A$2:$A$201,0))</f>
        <v>5</v>
      </c>
      <c r="T2388" s="3" t="n">
        <f aca="false">INDEX(Summary!$P$2:$P$201,MATCH($B2388,Summary!$A$2:$A$201,0))</f>
        <v>4</v>
      </c>
      <c r="U2388" s="2" t="n">
        <f aca="false">INDEX(Summary!$Q$2:$Q$201,MATCH($B2388,Summary!$A$2:$A$201,0))</f>
        <v>13.97</v>
      </c>
      <c r="V2388" s="2" t="n">
        <f aca="false">INDEX(Summary!$R$2:$R$201,MATCH($B2388,Summary!$A$2:$A$201,0))</f>
        <v>20.62</v>
      </c>
      <c r="W2388" s="0" t="str">
        <f aca="false">INDEX(Summary!$S$2:$S$201,MATCH($B2388,Summary!$A$2:$A$201,0))</f>
        <v>Silver</v>
      </c>
      <c r="X2388" s="2" t="n">
        <f aca="false">INDEX(Summary!$T$2:$T$201,MATCH($B2388,Summary!$A$2:$A$201,0))</f>
        <v>50.29</v>
      </c>
      <c r="Y2388" s="0" t="str">
        <f aca="false">INDEX('Reward Model'!$E$18:$E$37,MATCH($E2388,'Reward Model'!$A$18:$A$37,0))</f>
        <v>Low</v>
      </c>
      <c r="Z2388" s="4" t="n">
        <f aca="false">ROUND(MIN(1,MAX('Reward Model'!$B$2,INDEX('Reward Model'!$C$12:$C$14,MATCH($K2388,'Reward Model'!$A$12:$A$14,0))/$J2388)),3)</f>
        <v>1</v>
      </c>
      <c r="AA2388" s="2" t="n">
        <f aca="false">IF($I2388="Correct",ROUND(INDEX('Reward Model'!$B$12:$B$14,MATCH($K2388,'Reward Model'!$A$12:$A$14,0))*Z2388,2),0)</f>
        <v>1</v>
      </c>
      <c r="AB2388" s="2" t="n">
        <f aca="false">IF($I2388="Correct",ROUND(INDEX('Reward Model'!$B$12:$B$14,MATCH($Y2388,'Reward Model'!$A$12:$A$14,0))*Z2388,2),0)</f>
        <v>1</v>
      </c>
    </row>
    <row r="2389" customFormat="false" ht="15" hidden="false" customHeight="false" outlineLevel="0" collapsed="false">
      <c r="A2389" s="0" t="s">
        <v>370</v>
      </c>
      <c r="B2389" s="0" t="s">
        <v>371</v>
      </c>
      <c r="C2389" s="0" t="s">
        <v>322</v>
      </c>
      <c r="D2389" s="0" t="s">
        <v>31</v>
      </c>
      <c r="E2389" s="0" t="n">
        <v>8</v>
      </c>
      <c r="F2389" s="0" t="s">
        <v>52</v>
      </c>
      <c r="G2389" s="0" t="s">
        <v>54</v>
      </c>
      <c r="H2389" s="0" t="s">
        <v>54</v>
      </c>
      <c r="I2389" s="0" t="s">
        <v>34</v>
      </c>
      <c r="J2389" s="0" t="n">
        <v>1.29</v>
      </c>
      <c r="K2389" s="0" t="s">
        <v>35</v>
      </c>
      <c r="L2389" s="0" t="n">
        <f aca="false">INDEX(Summary!$F$2:$F$201,MATCH($B2389,Summary!$A$2:$A$201,0))</f>
        <v>20</v>
      </c>
      <c r="M2389" s="0" t="n">
        <f aca="false">INDEX(Summary!$I$2:$I$201,MATCH($B2389,Summary!$A$2:$A$201,0))</f>
        <v>2</v>
      </c>
      <c r="N2389" s="0" t="n">
        <f aca="false">INDEX(Summary!$J$2:$J$201,MATCH($B2389,Summary!$A$2:$A$201,0))</f>
        <v>3</v>
      </c>
      <c r="O2389" s="2" t="n">
        <f aca="false">INDEX(Summary!$K$2:$K$201,MATCH($B2389,Summary!$A$2:$A$201,0))</f>
        <v>9.23</v>
      </c>
      <c r="P2389" s="3" t="n">
        <f aca="false">INDEX(Summary!$L$2:$L$201,MATCH($B2389,Summary!$A$2:$A$201,0))</f>
        <v>4</v>
      </c>
      <c r="Q2389" s="3" t="n">
        <f aca="false">INDEX(Summary!$M$2:$M$201,MATCH($B2389,Summary!$A$2:$A$201,0))</f>
        <v>2</v>
      </c>
      <c r="R2389" s="2" t="n">
        <f aca="false">INDEX(Summary!$N$2:$N$201,MATCH($B2389,Summary!$A$2:$A$201,0))</f>
        <v>10.58</v>
      </c>
      <c r="S2389" s="3" t="n">
        <f aca="false">INDEX(Summary!$O$2:$O$201,MATCH($B2389,Summary!$A$2:$A$201,0))</f>
        <v>5</v>
      </c>
      <c r="T2389" s="3" t="n">
        <f aca="false">INDEX(Summary!$P$2:$P$201,MATCH($B2389,Summary!$A$2:$A$201,0))</f>
        <v>4</v>
      </c>
      <c r="U2389" s="2" t="n">
        <f aca="false">INDEX(Summary!$Q$2:$Q$201,MATCH($B2389,Summary!$A$2:$A$201,0))</f>
        <v>13.97</v>
      </c>
      <c r="V2389" s="2" t="n">
        <f aca="false">INDEX(Summary!$R$2:$R$201,MATCH($B2389,Summary!$A$2:$A$201,0))</f>
        <v>20.62</v>
      </c>
      <c r="W2389" s="0" t="str">
        <f aca="false">INDEX(Summary!$S$2:$S$201,MATCH($B2389,Summary!$A$2:$A$201,0))</f>
        <v>Silver</v>
      </c>
      <c r="X2389" s="2" t="n">
        <f aca="false">INDEX(Summary!$T$2:$T$201,MATCH($B2389,Summary!$A$2:$A$201,0))</f>
        <v>50.29</v>
      </c>
      <c r="Y2389" s="0" t="str">
        <f aca="false">INDEX('Reward Model'!$E$18:$E$37,MATCH($E2389,'Reward Model'!$A$18:$A$37,0))</f>
        <v>Medium</v>
      </c>
      <c r="Z2389" s="4" t="n">
        <f aca="false">ROUND(MIN(1,MAX('Reward Model'!$B$2,INDEX('Reward Model'!$C$12:$C$14,MATCH($K2389,'Reward Model'!$A$12:$A$14,0))/$J2389)),3)</f>
        <v>1</v>
      </c>
      <c r="AA2389" s="2" t="n">
        <f aca="false">IF($I2389="Correct",ROUND(INDEX('Reward Model'!$B$12:$B$14,MATCH($K2389,'Reward Model'!$A$12:$A$14,0))*Z2389,2),0)</f>
        <v>1</v>
      </c>
      <c r="AB2389" s="2" t="n">
        <f aca="false">IF($I2389="Correct",ROUND(INDEX('Reward Model'!$B$12:$B$14,MATCH($Y2389,'Reward Model'!$A$12:$A$14,0))*Z2389,2),0)</f>
        <v>2</v>
      </c>
    </row>
    <row r="2390" customFormat="false" ht="15" hidden="false" customHeight="false" outlineLevel="0" collapsed="false">
      <c r="A2390" s="0" t="s">
        <v>370</v>
      </c>
      <c r="B2390" s="0" t="s">
        <v>371</v>
      </c>
      <c r="C2390" s="0" t="s">
        <v>322</v>
      </c>
      <c r="D2390" s="0" t="s">
        <v>31</v>
      </c>
      <c r="E2390" s="0" t="n">
        <v>9</v>
      </c>
      <c r="F2390" s="0" t="s">
        <v>55</v>
      </c>
      <c r="G2390" s="0" t="s">
        <v>56</v>
      </c>
      <c r="H2390" s="0" t="s">
        <v>57</v>
      </c>
      <c r="I2390" s="0" t="s">
        <v>39</v>
      </c>
      <c r="J2390" s="0" t="n">
        <v>1.96</v>
      </c>
      <c r="K2390" s="0" t="s">
        <v>35</v>
      </c>
      <c r="L2390" s="0" t="n">
        <f aca="false">INDEX(Summary!$F$2:$F$201,MATCH($B2390,Summary!$A$2:$A$201,0))</f>
        <v>20</v>
      </c>
      <c r="M2390" s="0" t="n">
        <f aca="false">INDEX(Summary!$I$2:$I$201,MATCH($B2390,Summary!$A$2:$A$201,0))</f>
        <v>2</v>
      </c>
      <c r="N2390" s="0" t="n">
        <f aca="false">INDEX(Summary!$J$2:$J$201,MATCH($B2390,Summary!$A$2:$A$201,0))</f>
        <v>3</v>
      </c>
      <c r="O2390" s="2" t="n">
        <f aca="false">INDEX(Summary!$K$2:$K$201,MATCH($B2390,Summary!$A$2:$A$201,0))</f>
        <v>9.23</v>
      </c>
      <c r="P2390" s="3" t="n">
        <f aca="false">INDEX(Summary!$L$2:$L$201,MATCH($B2390,Summary!$A$2:$A$201,0))</f>
        <v>4</v>
      </c>
      <c r="Q2390" s="3" t="n">
        <f aca="false">INDEX(Summary!$M$2:$M$201,MATCH($B2390,Summary!$A$2:$A$201,0))</f>
        <v>2</v>
      </c>
      <c r="R2390" s="2" t="n">
        <f aca="false">INDEX(Summary!$N$2:$N$201,MATCH($B2390,Summary!$A$2:$A$201,0))</f>
        <v>10.58</v>
      </c>
      <c r="S2390" s="3" t="n">
        <f aca="false">INDEX(Summary!$O$2:$O$201,MATCH($B2390,Summary!$A$2:$A$201,0))</f>
        <v>5</v>
      </c>
      <c r="T2390" s="3" t="n">
        <f aca="false">INDEX(Summary!$P$2:$P$201,MATCH($B2390,Summary!$A$2:$A$201,0))</f>
        <v>4</v>
      </c>
      <c r="U2390" s="2" t="n">
        <f aca="false">INDEX(Summary!$Q$2:$Q$201,MATCH($B2390,Summary!$A$2:$A$201,0))</f>
        <v>13.97</v>
      </c>
      <c r="V2390" s="2" t="n">
        <f aca="false">INDEX(Summary!$R$2:$R$201,MATCH($B2390,Summary!$A$2:$A$201,0))</f>
        <v>20.62</v>
      </c>
      <c r="W2390" s="0" t="str">
        <f aca="false">INDEX(Summary!$S$2:$S$201,MATCH($B2390,Summary!$A$2:$A$201,0))</f>
        <v>Silver</v>
      </c>
      <c r="X2390" s="2" t="n">
        <f aca="false">INDEX(Summary!$T$2:$T$201,MATCH($B2390,Summary!$A$2:$A$201,0))</f>
        <v>50.29</v>
      </c>
      <c r="Y2390" s="0" t="str">
        <f aca="false">INDEX('Reward Model'!$E$18:$E$37,MATCH($E2390,'Reward Model'!$A$18:$A$37,0))</f>
        <v>Medium</v>
      </c>
      <c r="Z2390" s="4" t="n">
        <f aca="false">ROUND(MIN(1,MAX('Reward Model'!$B$2,INDEX('Reward Model'!$C$12:$C$14,MATCH($K2390,'Reward Model'!$A$12:$A$14,0))/$J2390)),3)</f>
        <v>0.765</v>
      </c>
      <c r="AA2390" s="2" t="n">
        <f aca="false">IF($I2390="Correct",ROUND(INDEX('Reward Model'!$B$12:$B$14,MATCH($K2390,'Reward Model'!$A$12:$A$14,0))*Z2390,2),0)</f>
        <v>0</v>
      </c>
      <c r="AB2390" s="2" t="n">
        <f aca="false">IF($I2390="Correct",ROUND(INDEX('Reward Model'!$B$12:$B$14,MATCH($Y2390,'Reward Model'!$A$12:$A$14,0))*Z2390,2),0)</f>
        <v>0</v>
      </c>
    </row>
    <row r="2391" customFormat="false" ht="15" hidden="false" customHeight="false" outlineLevel="0" collapsed="false">
      <c r="A2391" s="0" t="s">
        <v>370</v>
      </c>
      <c r="B2391" s="0" t="s">
        <v>371</v>
      </c>
      <c r="C2391" s="0" t="s">
        <v>322</v>
      </c>
      <c r="D2391" s="0" t="s">
        <v>31</v>
      </c>
      <c r="E2391" s="0" t="n">
        <v>10</v>
      </c>
      <c r="F2391" s="0" t="s">
        <v>58</v>
      </c>
      <c r="G2391" s="0" t="s">
        <v>138</v>
      </c>
      <c r="H2391" s="0" t="s">
        <v>59</v>
      </c>
      <c r="I2391" s="0" t="s">
        <v>39</v>
      </c>
      <c r="J2391" s="0" t="n">
        <v>1.93</v>
      </c>
      <c r="K2391" s="0" t="s">
        <v>60</v>
      </c>
      <c r="L2391" s="0" t="n">
        <f aca="false">INDEX(Summary!$F$2:$F$201,MATCH($B2391,Summary!$A$2:$A$201,0))</f>
        <v>20</v>
      </c>
      <c r="M2391" s="0" t="n">
        <f aca="false">INDEX(Summary!$I$2:$I$201,MATCH($B2391,Summary!$A$2:$A$201,0))</f>
        <v>2</v>
      </c>
      <c r="N2391" s="0" t="n">
        <f aca="false">INDEX(Summary!$J$2:$J$201,MATCH($B2391,Summary!$A$2:$A$201,0))</f>
        <v>3</v>
      </c>
      <c r="O2391" s="2" t="n">
        <f aca="false">INDEX(Summary!$K$2:$K$201,MATCH($B2391,Summary!$A$2:$A$201,0))</f>
        <v>9.23</v>
      </c>
      <c r="P2391" s="3" t="n">
        <f aca="false">INDEX(Summary!$L$2:$L$201,MATCH($B2391,Summary!$A$2:$A$201,0))</f>
        <v>4</v>
      </c>
      <c r="Q2391" s="3" t="n">
        <f aca="false">INDEX(Summary!$M$2:$M$201,MATCH($B2391,Summary!$A$2:$A$201,0))</f>
        <v>2</v>
      </c>
      <c r="R2391" s="2" t="n">
        <f aca="false">INDEX(Summary!$N$2:$N$201,MATCH($B2391,Summary!$A$2:$A$201,0))</f>
        <v>10.58</v>
      </c>
      <c r="S2391" s="3" t="n">
        <f aca="false">INDEX(Summary!$O$2:$O$201,MATCH($B2391,Summary!$A$2:$A$201,0))</f>
        <v>5</v>
      </c>
      <c r="T2391" s="3" t="n">
        <f aca="false">INDEX(Summary!$P$2:$P$201,MATCH($B2391,Summary!$A$2:$A$201,0))</f>
        <v>4</v>
      </c>
      <c r="U2391" s="2" t="n">
        <f aca="false">INDEX(Summary!$Q$2:$Q$201,MATCH($B2391,Summary!$A$2:$A$201,0))</f>
        <v>13.97</v>
      </c>
      <c r="V2391" s="2" t="n">
        <f aca="false">INDEX(Summary!$R$2:$R$201,MATCH($B2391,Summary!$A$2:$A$201,0))</f>
        <v>20.62</v>
      </c>
      <c r="W2391" s="0" t="str">
        <f aca="false">INDEX(Summary!$S$2:$S$201,MATCH($B2391,Summary!$A$2:$A$201,0))</f>
        <v>Silver</v>
      </c>
      <c r="X2391" s="2" t="n">
        <f aca="false">INDEX(Summary!$T$2:$T$201,MATCH($B2391,Summary!$A$2:$A$201,0))</f>
        <v>50.29</v>
      </c>
      <c r="Y2391" s="0" t="str">
        <f aca="false">INDEX('Reward Model'!$E$18:$E$37,MATCH($E2391,'Reward Model'!$A$18:$A$37,0))</f>
        <v>Medium</v>
      </c>
      <c r="Z2391" s="4" t="n">
        <f aca="false">ROUND(MIN(1,MAX('Reward Model'!$B$2,INDEX('Reward Model'!$C$12:$C$14,MATCH($K2391,'Reward Model'!$A$12:$A$14,0))/$J2391)),3)</f>
        <v>0.933</v>
      </c>
      <c r="AA2391" s="2" t="n">
        <f aca="false">IF($I2391="Correct",ROUND(INDEX('Reward Model'!$B$12:$B$14,MATCH($K2391,'Reward Model'!$A$12:$A$14,0))*Z2391,2),0)</f>
        <v>0</v>
      </c>
      <c r="AB2391" s="2" t="n">
        <f aca="false">IF($I2391="Correct",ROUND(INDEX('Reward Model'!$B$12:$B$14,MATCH($Y2391,'Reward Model'!$A$12:$A$14,0))*Z2391,2),0)</f>
        <v>0</v>
      </c>
    </row>
    <row r="2392" customFormat="false" ht="15" hidden="false" customHeight="false" outlineLevel="0" collapsed="false">
      <c r="A2392" s="0" t="s">
        <v>370</v>
      </c>
      <c r="B2392" s="0" t="s">
        <v>371</v>
      </c>
      <c r="C2392" s="0" t="s">
        <v>322</v>
      </c>
      <c r="D2392" s="0" t="s">
        <v>31</v>
      </c>
      <c r="E2392" s="0" t="n">
        <v>11</v>
      </c>
      <c r="F2392" s="0" t="s">
        <v>61</v>
      </c>
      <c r="G2392" s="0" t="s">
        <v>62</v>
      </c>
      <c r="H2392" s="0" t="s">
        <v>63</v>
      </c>
      <c r="I2392" s="0" t="s">
        <v>39</v>
      </c>
      <c r="J2392" s="0" t="n">
        <v>2.22</v>
      </c>
      <c r="K2392" s="0" t="s">
        <v>60</v>
      </c>
      <c r="L2392" s="0" t="n">
        <f aca="false">INDEX(Summary!$F$2:$F$201,MATCH($B2392,Summary!$A$2:$A$201,0))</f>
        <v>20</v>
      </c>
      <c r="M2392" s="0" t="n">
        <f aca="false">INDEX(Summary!$I$2:$I$201,MATCH($B2392,Summary!$A$2:$A$201,0))</f>
        <v>2</v>
      </c>
      <c r="N2392" s="0" t="n">
        <f aca="false">INDEX(Summary!$J$2:$J$201,MATCH($B2392,Summary!$A$2:$A$201,0))</f>
        <v>3</v>
      </c>
      <c r="O2392" s="2" t="n">
        <f aca="false">INDEX(Summary!$K$2:$K$201,MATCH($B2392,Summary!$A$2:$A$201,0))</f>
        <v>9.23</v>
      </c>
      <c r="P2392" s="3" t="n">
        <f aca="false">INDEX(Summary!$L$2:$L$201,MATCH($B2392,Summary!$A$2:$A$201,0))</f>
        <v>4</v>
      </c>
      <c r="Q2392" s="3" t="n">
        <f aca="false">INDEX(Summary!$M$2:$M$201,MATCH($B2392,Summary!$A$2:$A$201,0))</f>
        <v>2</v>
      </c>
      <c r="R2392" s="2" t="n">
        <f aca="false">INDEX(Summary!$N$2:$N$201,MATCH($B2392,Summary!$A$2:$A$201,0))</f>
        <v>10.58</v>
      </c>
      <c r="S2392" s="3" t="n">
        <f aca="false">INDEX(Summary!$O$2:$O$201,MATCH($B2392,Summary!$A$2:$A$201,0))</f>
        <v>5</v>
      </c>
      <c r="T2392" s="3" t="n">
        <f aca="false">INDEX(Summary!$P$2:$P$201,MATCH($B2392,Summary!$A$2:$A$201,0))</f>
        <v>4</v>
      </c>
      <c r="U2392" s="2" t="n">
        <f aca="false">INDEX(Summary!$Q$2:$Q$201,MATCH($B2392,Summary!$A$2:$A$201,0))</f>
        <v>13.97</v>
      </c>
      <c r="V2392" s="2" t="n">
        <f aca="false">INDEX(Summary!$R$2:$R$201,MATCH($B2392,Summary!$A$2:$A$201,0))</f>
        <v>20.62</v>
      </c>
      <c r="W2392" s="0" t="str">
        <f aca="false">INDEX(Summary!$S$2:$S$201,MATCH($B2392,Summary!$A$2:$A$201,0))</f>
        <v>Silver</v>
      </c>
      <c r="X2392" s="2" t="n">
        <f aca="false">INDEX(Summary!$T$2:$T$201,MATCH($B2392,Summary!$A$2:$A$201,0))</f>
        <v>50.29</v>
      </c>
      <c r="Y2392" s="0" t="str">
        <f aca="false">INDEX('Reward Model'!$E$18:$E$37,MATCH($E2392,'Reward Model'!$A$18:$A$37,0))</f>
        <v>Medium</v>
      </c>
      <c r="Z2392" s="4" t="n">
        <f aca="false">ROUND(MIN(1,MAX('Reward Model'!$B$2,INDEX('Reward Model'!$C$12:$C$14,MATCH($K2392,'Reward Model'!$A$12:$A$14,0))/$J2392)),3)</f>
        <v>0.811</v>
      </c>
      <c r="AA2392" s="2" t="n">
        <f aca="false">IF($I2392="Correct",ROUND(INDEX('Reward Model'!$B$12:$B$14,MATCH($K2392,'Reward Model'!$A$12:$A$14,0))*Z2392,2),0)</f>
        <v>0</v>
      </c>
      <c r="AB2392" s="2" t="n">
        <f aca="false">IF($I2392="Correct",ROUND(INDEX('Reward Model'!$B$12:$B$14,MATCH($Y2392,'Reward Model'!$A$12:$A$14,0))*Z2392,2),0)</f>
        <v>0</v>
      </c>
    </row>
    <row r="2393" customFormat="false" ht="15" hidden="false" customHeight="false" outlineLevel="0" collapsed="false">
      <c r="A2393" s="0" t="s">
        <v>370</v>
      </c>
      <c r="B2393" s="0" t="s">
        <v>371</v>
      </c>
      <c r="C2393" s="0" t="s">
        <v>322</v>
      </c>
      <c r="D2393" s="0" t="s">
        <v>31</v>
      </c>
      <c r="E2393" s="0" t="n">
        <v>12</v>
      </c>
      <c r="F2393" s="0" t="s">
        <v>64</v>
      </c>
      <c r="G2393" s="0" t="s">
        <v>65</v>
      </c>
      <c r="H2393" s="0" t="s">
        <v>65</v>
      </c>
      <c r="I2393" s="0" t="s">
        <v>34</v>
      </c>
      <c r="J2393" s="0" t="n">
        <v>1.15</v>
      </c>
      <c r="K2393" s="0" t="s">
        <v>60</v>
      </c>
      <c r="L2393" s="0" t="n">
        <f aca="false">INDEX(Summary!$F$2:$F$201,MATCH($B2393,Summary!$A$2:$A$201,0))</f>
        <v>20</v>
      </c>
      <c r="M2393" s="0" t="n">
        <f aca="false">INDEX(Summary!$I$2:$I$201,MATCH($B2393,Summary!$A$2:$A$201,0))</f>
        <v>2</v>
      </c>
      <c r="N2393" s="0" t="n">
        <f aca="false">INDEX(Summary!$J$2:$J$201,MATCH($B2393,Summary!$A$2:$A$201,0))</f>
        <v>3</v>
      </c>
      <c r="O2393" s="2" t="n">
        <f aca="false">INDEX(Summary!$K$2:$K$201,MATCH($B2393,Summary!$A$2:$A$201,0))</f>
        <v>9.23</v>
      </c>
      <c r="P2393" s="3" t="n">
        <f aca="false">INDEX(Summary!$L$2:$L$201,MATCH($B2393,Summary!$A$2:$A$201,0))</f>
        <v>4</v>
      </c>
      <c r="Q2393" s="3" t="n">
        <f aca="false">INDEX(Summary!$M$2:$M$201,MATCH($B2393,Summary!$A$2:$A$201,0))</f>
        <v>2</v>
      </c>
      <c r="R2393" s="2" t="n">
        <f aca="false">INDEX(Summary!$N$2:$N$201,MATCH($B2393,Summary!$A$2:$A$201,0))</f>
        <v>10.58</v>
      </c>
      <c r="S2393" s="3" t="n">
        <f aca="false">INDEX(Summary!$O$2:$O$201,MATCH($B2393,Summary!$A$2:$A$201,0))</f>
        <v>5</v>
      </c>
      <c r="T2393" s="3" t="n">
        <f aca="false">INDEX(Summary!$P$2:$P$201,MATCH($B2393,Summary!$A$2:$A$201,0))</f>
        <v>4</v>
      </c>
      <c r="U2393" s="2" t="n">
        <f aca="false">INDEX(Summary!$Q$2:$Q$201,MATCH($B2393,Summary!$A$2:$A$201,0))</f>
        <v>13.97</v>
      </c>
      <c r="V2393" s="2" t="n">
        <f aca="false">INDEX(Summary!$R$2:$R$201,MATCH($B2393,Summary!$A$2:$A$201,0))</f>
        <v>20.62</v>
      </c>
      <c r="W2393" s="0" t="str">
        <f aca="false">INDEX(Summary!$S$2:$S$201,MATCH($B2393,Summary!$A$2:$A$201,0))</f>
        <v>Silver</v>
      </c>
      <c r="X2393" s="2" t="n">
        <f aca="false">INDEX(Summary!$T$2:$T$201,MATCH($B2393,Summary!$A$2:$A$201,0))</f>
        <v>50.29</v>
      </c>
      <c r="Y2393" s="0" t="str">
        <f aca="false">INDEX('Reward Model'!$E$18:$E$37,MATCH($E2393,'Reward Model'!$A$18:$A$37,0))</f>
        <v>Medium</v>
      </c>
      <c r="Z2393" s="4" t="n">
        <f aca="false">ROUND(MIN(1,MAX('Reward Model'!$B$2,INDEX('Reward Model'!$C$12:$C$14,MATCH($K2393,'Reward Model'!$A$12:$A$14,0))/$J2393)),3)</f>
        <v>1</v>
      </c>
      <c r="AA2393" s="2" t="n">
        <f aca="false">IF($I2393="Correct",ROUND(INDEX('Reward Model'!$B$12:$B$14,MATCH($K2393,'Reward Model'!$A$12:$A$14,0))*Z2393,2),0)</f>
        <v>2</v>
      </c>
      <c r="AB2393" s="2" t="n">
        <f aca="false">IF($I2393="Correct",ROUND(INDEX('Reward Model'!$B$12:$B$14,MATCH($Y2393,'Reward Model'!$A$12:$A$14,0))*Z2393,2),0)</f>
        <v>2</v>
      </c>
    </row>
    <row r="2394" customFormat="false" ht="15" hidden="false" customHeight="false" outlineLevel="0" collapsed="false">
      <c r="A2394" s="0" t="s">
        <v>370</v>
      </c>
      <c r="B2394" s="0" t="s">
        <v>371</v>
      </c>
      <c r="C2394" s="0" t="s">
        <v>322</v>
      </c>
      <c r="D2394" s="0" t="s">
        <v>31</v>
      </c>
      <c r="E2394" s="0" t="n">
        <v>13</v>
      </c>
      <c r="F2394" s="0" t="s">
        <v>66</v>
      </c>
      <c r="G2394" s="0" t="s">
        <v>67</v>
      </c>
      <c r="H2394" s="0" t="s">
        <v>67</v>
      </c>
      <c r="I2394" s="0" t="s">
        <v>34</v>
      </c>
      <c r="J2394" s="0" t="n">
        <v>1.56</v>
      </c>
      <c r="K2394" s="0" t="s">
        <v>60</v>
      </c>
      <c r="L2394" s="0" t="n">
        <f aca="false">INDEX(Summary!$F$2:$F$201,MATCH($B2394,Summary!$A$2:$A$201,0))</f>
        <v>20</v>
      </c>
      <c r="M2394" s="0" t="n">
        <f aca="false">INDEX(Summary!$I$2:$I$201,MATCH($B2394,Summary!$A$2:$A$201,0))</f>
        <v>2</v>
      </c>
      <c r="N2394" s="0" t="n">
        <f aca="false">INDEX(Summary!$J$2:$J$201,MATCH($B2394,Summary!$A$2:$A$201,0))</f>
        <v>3</v>
      </c>
      <c r="O2394" s="2" t="n">
        <f aca="false">INDEX(Summary!$K$2:$K$201,MATCH($B2394,Summary!$A$2:$A$201,0))</f>
        <v>9.23</v>
      </c>
      <c r="P2394" s="3" t="n">
        <f aca="false">INDEX(Summary!$L$2:$L$201,MATCH($B2394,Summary!$A$2:$A$201,0))</f>
        <v>4</v>
      </c>
      <c r="Q2394" s="3" t="n">
        <f aca="false">INDEX(Summary!$M$2:$M$201,MATCH($B2394,Summary!$A$2:$A$201,0))</f>
        <v>2</v>
      </c>
      <c r="R2394" s="2" t="n">
        <f aca="false">INDEX(Summary!$N$2:$N$201,MATCH($B2394,Summary!$A$2:$A$201,0))</f>
        <v>10.58</v>
      </c>
      <c r="S2394" s="3" t="n">
        <f aca="false">INDEX(Summary!$O$2:$O$201,MATCH($B2394,Summary!$A$2:$A$201,0))</f>
        <v>5</v>
      </c>
      <c r="T2394" s="3" t="n">
        <f aca="false">INDEX(Summary!$P$2:$P$201,MATCH($B2394,Summary!$A$2:$A$201,0))</f>
        <v>4</v>
      </c>
      <c r="U2394" s="2" t="n">
        <f aca="false">INDEX(Summary!$Q$2:$Q$201,MATCH($B2394,Summary!$A$2:$A$201,0))</f>
        <v>13.97</v>
      </c>
      <c r="V2394" s="2" t="n">
        <f aca="false">INDEX(Summary!$R$2:$R$201,MATCH($B2394,Summary!$A$2:$A$201,0))</f>
        <v>20.62</v>
      </c>
      <c r="W2394" s="0" t="str">
        <f aca="false">INDEX(Summary!$S$2:$S$201,MATCH($B2394,Summary!$A$2:$A$201,0))</f>
        <v>Silver</v>
      </c>
      <c r="X2394" s="2" t="n">
        <f aca="false">INDEX(Summary!$T$2:$T$201,MATCH($B2394,Summary!$A$2:$A$201,0))</f>
        <v>50.29</v>
      </c>
      <c r="Y2394" s="0" t="str">
        <f aca="false">INDEX('Reward Model'!$E$18:$E$37,MATCH($E2394,'Reward Model'!$A$18:$A$37,0))</f>
        <v>Medium</v>
      </c>
      <c r="Z2394" s="4" t="n">
        <f aca="false">ROUND(MIN(1,MAX('Reward Model'!$B$2,INDEX('Reward Model'!$C$12:$C$14,MATCH($K2394,'Reward Model'!$A$12:$A$14,0))/$J2394)),3)</f>
        <v>1</v>
      </c>
      <c r="AA2394" s="2" t="n">
        <f aca="false">IF($I2394="Correct",ROUND(INDEX('Reward Model'!$B$12:$B$14,MATCH($K2394,'Reward Model'!$A$12:$A$14,0))*Z2394,2),0)</f>
        <v>2</v>
      </c>
      <c r="AB2394" s="2" t="n">
        <f aca="false">IF($I2394="Correct",ROUND(INDEX('Reward Model'!$B$12:$B$14,MATCH($Y2394,'Reward Model'!$A$12:$A$14,0))*Z2394,2),0)</f>
        <v>2</v>
      </c>
    </row>
    <row r="2395" customFormat="false" ht="15" hidden="false" customHeight="false" outlineLevel="0" collapsed="false">
      <c r="A2395" s="0" t="s">
        <v>370</v>
      </c>
      <c r="B2395" s="0" t="s">
        <v>371</v>
      </c>
      <c r="C2395" s="0" t="s">
        <v>322</v>
      </c>
      <c r="D2395" s="0" t="s">
        <v>31</v>
      </c>
      <c r="E2395" s="0" t="n">
        <v>14</v>
      </c>
      <c r="F2395" s="0" t="s">
        <v>68</v>
      </c>
      <c r="G2395" s="0" t="s">
        <v>51</v>
      </c>
      <c r="H2395" s="0" t="s">
        <v>51</v>
      </c>
      <c r="I2395" s="0" t="s">
        <v>34</v>
      </c>
      <c r="J2395" s="0" t="n">
        <v>1.9</v>
      </c>
      <c r="K2395" s="0" t="s">
        <v>60</v>
      </c>
      <c r="L2395" s="0" t="n">
        <f aca="false">INDEX(Summary!$F$2:$F$201,MATCH($B2395,Summary!$A$2:$A$201,0))</f>
        <v>20</v>
      </c>
      <c r="M2395" s="0" t="n">
        <f aca="false">INDEX(Summary!$I$2:$I$201,MATCH($B2395,Summary!$A$2:$A$201,0))</f>
        <v>2</v>
      </c>
      <c r="N2395" s="0" t="n">
        <f aca="false">INDEX(Summary!$J$2:$J$201,MATCH($B2395,Summary!$A$2:$A$201,0))</f>
        <v>3</v>
      </c>
      <c r="O2395" s="2" t="n">
        <f aca="false">INDEX(Summary!$K$2:$K$201,MATCH($B2395,Summary!$A$2:$A$201,0))</f>
        <v>9.23</v>
      </c>
      <c r="P2395" s="3" t="n">
        <f aca="false">INDEX(Summary!$L$2:$L$201,MATCH($B2395,Summary!$A$2:$A$201,0))</f>
        <v>4</v>
      </c>
      <c r="Q2395" s="3" t="n">
        <f aca="false">INDEX(Summary!$M$2:$M$201,MATCH($B2395,Summary!$A$2:$A$201,0))</f>
        <v>2</v>
      </c>
      <c r="R2395" s="2" t="n">
        <f aca="false">INDEX(Summary!$N$2:$N$201,MATCH($B2395,Summary!$A$2:$A$201,0))</f>
        <v>10.58</v>
      </c>
      <c r="S2395" s="3" t="n">
        <f aca="false">INDEX(Summary!$O$2:$O$201,MATCH($B2395,Summary!$A$2:$A$201,0))</f>
        <v>5</v>
      </c>
      <c r="T2395" s="3" t="n">
        <f aca="false">INDEX(Summary!$P$2:$P$201,MATCH($B2395,Summary!$A$2:$A$201,0))</f>
        <v>4</v>
      </c>
      <c r="U2395" s="2" t="n">
        <f aca="false">INDEX(Summary!$Q$2:$Q$201,MATCH($B2395,Summary!$A$2:$A$201,0))</f>
        <v>13.97</v>
      </c>
      <c r="V2395" s="2" t="n">
        <f aca="false">INDEX(Summary!$R$2:$R$201,MATCH($B2395,Summary!$A$2:$A$201,0))</f>
        <v>20.62</v>
      </c>
      <c r="W2395" s="0" t="str">
        <f aca="false">INDEX(Summary!$S$2:$S$201,MATCH($B2395,Summary!$A$2:$A$201,0))</f>
        <v>Silver</v>
      </c>
      <c r="X2395" s="2" t="n">
        <f aca="false">INDEX(Summary!$T$2:$T$201,MATCH($B2395,Summary!$A$2:$A$201,0))</f>
        <v>50.29</v>
      </c>
      <c r="Y2395" s="0" t="str">
        <f aca="false">INDEX('Reward Model'!$E$18:$E$37,MATCH($E2395,'Reward Model'!$A$18:$A$37,0))</f>
        <v>Medium</v>
      </c>
      <c r="Z2395" s="4" t="n">
        <f aca="false">ROUND(MIN(1,MAX('Reward Model'!$B$2,INDEX('Reward Model'!$C$12:$C$14,MATCH($K2395,'Reward Model'!$A$12:$A$14,0))/$J2395)),3)</f>
        <v>0.947</v>
      </c>
      <c r="AA2395" s="2" t="n">
        <f aca="false">IF($I2395="Correct",ROUND(INDEX('Reward Model'!$B$12:$B$14,MATCH($K2395,'Reward Model'!$A$12:$A$14,0))*Z2395,2),0)</f>
        <v>1.89</v>
      </c>
      <c r="AB2395" s="2" t="n">
        <f aca="false">IF($I2395="Correct",ROUND(INDEX('Reward Model'!$B$12:$B$14,MATCH($Y2395,'Reward Model'!$A$12:$A$14,0))*Z2395,2),0)</f>
        <v>1.89</v>
      </c>
    </row>
    <row r="2396" customFormat="false" ht="15" hidden="false" customHeight="false" outlineLevel="0" collapsed="false">
      <c r="A2396" s="0" t="s">
        <v>370</v>
      </c>
      <c r="B2396" s="0" t="s">
        <v>371</v>
      </c>
      <c r="C2396" s="0" t="s">
        <v>322</v>
      </c>
      <c r="D2396" s="0" t="s">
        <v>31</v>
      </c>
      <c r="E2396" s="0" t="n">
        <v>15</v>
      </c>
      <c r="F2396" s="0" t="s">
        <v>69</v>
      </c>
      <c r="G2396" s="0" t="s">
        <v>70</v>
      </c>
      <c r="H2396" s="0" t="s">
        <v>70</v>
      </c>
      <c r="I2396" s="0" t="s">
        <v>34</v>
      </c>
      <c r="J2396" s="0" t="n">
        <v>1.82</v>
      </c>
      <c r="K2396" s="0" t="s">
        <v>60</v>
      </c>
      <c r="L2396" s="0" t="n">
        <f aca="false">INDEX(Summary!$F$2:$F$201,MATCH($B2396,Summary!$A$2:$A$201,0))</f>
        <v>20</v>
      </c>
      <c r="M2396" s="0" t="n">
        <f aca="false">INDEX(Summary!$I$2:$I$201,MATCH($B2396,Summary!$A$2:$A$201,0))</f>
        <v>2</v>
      </c>
      <c r="N2396" s="0" t="n">
        <f aca="false">INDEX(Summary!$J$2:$J$201,MATCH($B2396,Summary!$A$2:$A$201,0))</f>
        <v>3</v>
      </c>
      <c r="O2396" s="2" t="n">
        <f aca="false">INDEX(Summary!$K$2:$K$201,MATCH($B2396,Summary!$A$2:$A$201,0))</f>
        <v>9.23</v>
      </c>
      <c r="P2396" s="3" t="n">
        <f aca="false">INDEX(Summary!$L$2:$L$201,MATCH($B2396,Summary!$A$2:$A$201,0))</f>
        <v>4</v>
      </c>
      <c r="Q2396" s="3" t="n">
        <f aca="false">INDEX(Summary!$M$2:$M$201,MATCH($B2396,Summary!$A$2:$A$201,0))</f>
        <v>2</v>
      </c>
      <c r="R2396" s="2" t="n">
        <f aca="false">INDEX(Summary!$N$2:$N$201,MATCH($B2396,Summary!$A$2:$A$201,0))</f>
        <v>10.58</v>
      </c>
      <c r="S2396" s="3" t="n">
        <f aca="false">INDEX(Summary!$O$2:$O$201,MATCH($B2396,Summary!$A$2:$A$201,0))</f>
        <v>5</v>
      </c>
      <c r="T2396" s="3" t="n">
        <f aca="false">INDEX(Summary!$P$2:$P$201,MATCH($B2396,Summary!$A$2:$A$201,0))</f>
        <v>4</v>
      </c>
      <c r="U2396" s="2" t="n">
        <f aca="false">INDEX(Summary!$Q$2:$Q$201,MATCH($B2396,Summary!$A$2:$A$201,0))</f>
        <v>13.97</v>
      </c>
      <c r="V2396" s="2" t="n">
        <f aca="false">INDEX(Summary!$R$2:$R$201,MATCH($B2396,Summary!$A$2:$A$201,0))</f>
        <v>20.62</v>
      </c>
      <c r="W2396" s="0" t="str">
        <f aca="false">INDEX(Summary!$S$2:$S$201,MATCH($B2396,Summary!$A$2:$A$201,0))</f>
        <v>Silver</v>
      </c>
      <c r="X2396" s="2" t="n">
        <f aca="false">INDEX(Summary!$T$2:$T$201,MATCH($B2396,Summary!$A$2:$A$201,0))</f>
        <v>50.29</v>
      </c>
      <c r="Y2396" s="0" t="str">
        <f aca="false">INDEX('Reward Model'!$E$18:$E$37,MATCH($E2396,'Reward Model'!$A$18:$A$37,0))</f>
        <v>Medium</v>
      </c>
      <c r="Z2396" s="4" t="n">
        <f aca="false">ROUND(MIN(1,MAX('Reward Model'!$B$2,INDEX('Reward Model'!$C$12:$C$14,MATCH($K2396,'Reward Model'!$A$12:$A$14,0))/$J2396)),3)</f>
        <v>0.989</v>
      </c>
      <c r="AA2396" s="2" t="n">
        <f aca="false">IF($I2396="Correct",ROUND(INDEX('Reward Model'!$B$12:$B$14,MATCH($K2396,'Reward Model'!$A$12:$A$14,0))*Z2396,2),0)</f>
        <v>1.98</v>
      </c>
      <c r="AB2396" s="2" t="n">
        <f aca="false">IF($I2396="Correct",ROUND(INDEX('Reward Model'!$B$12:$B$14,MATCH($Y2396,'Reward Model'!$A$12:$A$14,0))*Z2396,2),0)</f>
        <v>1.98</v>
      </c>
    </row>
    <row r="2397" customFormat="false" ht="15" hidden="false" customHeight="false" outlineLevel="0" collapsed="false">
      <c r="A2397" s="0" t="s">
        <v>370</v>
      </c>
      <c r="B2397" s="0" t="s">
        <v>371</v>
      </c>
      <c r="C2397" s="0" t="s">
        <v>322</v>
      </c>
      <c r="D2397" s="0" t="s">
        <v>31</v>
      </c>
      <c r="E2397" s="0" t="n">
        <v>16</v>
      </c>
      <c r="F2397" s="0" t="s">
        <v>71</v>
      </c>
      <c r="G2397" s="0" t="s">
        <v>72</v>
      </c>
      <c r="H2397" s="0" t="s">
        <v>72</v>
      </c>
      <c r="I2397" s="0" t="s">
        <v>34</v>
      </c>
      <c r="J2397" s="0" t="n">
        <v>1.68</v>
      </c>
      <c r="K2397" s="0" t="s">
        <v>73</v>
      </c>
      <c r="L2397" s="0" t="n">
        <f aca="false">INDEX(Summary!$F$2:$F$201,MATCH($B2397,Summary!$A$2:$A$201,0))</f>
        <v>20</v>
      </c>
      <c r="M2397" s="0" t="n">
        <f aca="false">INDEX(Summary!$I$2:$I$201,MATCH($B2397,Summary!$A$2:$A$201,0))</f>
        <v>2</v>
      </c>
      <c r="N2397" s="0" t="n">
        <f aca="false">INDEX(Summary!$J$2:$J$201,MATCH($B2397,Summary!$A$2:$A$201,0))</f>
        <v>3</v>
      </c>
      <c r="O2397" s="2" t="n">
        <f aca="false">INDEX(Summary!$K$2:$K$201,MATCH($B2397,Summary!$A$2:$A$201,0))</f>
        <v>9.23</v>
      </c>
      <c r="P2397" s="3" t="n">
        <f aca="false">INDEX(Summary!$L$2:$L$201,MATCH($B2397,Summary!$A$2:$A$201,0))</f>
        <v>4</v>
      </c>
      <c r="Q2397" s="3" t="n">
        <f aca="false">INDEX(Summary!$M$2:$M$201,MATCH($B2397,Summary!$A$2:$A$201,0))</f>
        <v>2</v>
      </c>
      <c r="R2397" s="2" t="n">
        <f aca="false">INDEX(Summary!$N$2:$N$201,MATCH($B2397,Summary!$A$2:$A$201,0))</f>
        <v>10.58</v>
      </c>
      <c r="S2397" s="3" t="n">
        <f aca="false">INDEX(Summary!$O$2:$O$201,MATCH($B2397,Summary!$A$2:$A$201,0))</f>
        <v>5</v>
      </c>
      <c r="T2397" s="3" t="n">
        <f aca="false">INDEX(Summary!$P$2:$P$201,MATCH($B2397,Summary!$A$2:$A$201,0))</f>
        <v>4</v>
      </c>
      <c r="U2397" s="2" t="n">
        <f aca="false">INDEX(Summary!$Q$2:$Q$201,MATCH($B2397,Summary!$A$2:$A$201,0))</f>
        <v>13.97</v>
      </c>
      <c r="V2397" s="2" t="n">
        <f aca="false">INDEX(Summary!$R$2:$R$201,MATCH($B2397,Summary!$A$2:$A$201,0))</f>
        <v>20.62</v>
      </c>
      <c r="W2397" s="0" t="str">
        <f aca="false">INDEX(Summary!$S$2:$S$201,MATCH($B2397,Summary!$A$2:$A$201,0))</f>
        <v>Silver</v>
      </c>
      <c r="X2397" s="2" t="n">
        <f aca="false">INDEX(Summary!$T$2:$T$201,MATCH($B2397,Summary!$A$2:$A$201,0))</f>
        <v>50.29</v>
      </c>
      <c r="Y2397" s="0" t="str">
        <f aca="false">INDEX('Reward Model'!$E$18:$E$37,MATCH($E2397,'Reward Model'!$A$18:$A$37,0))</f>
        <v>High</v>
      </c>
      <c r="Z2397" s="4" t="n">
        <f aca="false">ROUND(MIN(1,MAX('Reward Model'!$B$2,INDEX('Reward Model'!$C$12:$C$14,MATCH($K2397,'Reward Model'!$A$12:$A$14,0))/$J2397)),3)</f>
        <v>1</v>
      </c>
      <c r="AA2397" s="2" t="n">
        <f aca="false">IF($I2397="Correct",ROUND(INDEX('Reward Model'!$B$12:$B$14,MATCH($K2397,'Reward Model'!$A$12:$A$14,0))*Z2397,2),0)</f>
        <v>3</v>
      </c>
      <c r="AB2397" s="2" t="n">
        <f aca="false">IF($I2397="Correct",ROUND(INDEX('Reward Model'!$B$12:$B$14,MATCH($Y2397,'Reward Model'!$A$12:$A$14,0))*Z2397,2),0)</f>
        <v>3</v>
      </c>
    </row>
    <row r="2398" customFormat="false" ht="15" hidden="false" customHeight="false" outlineLevel="0" collapsed="false">
      <c r="A2398" s="0" t="s">
        <v>370</v>
      </c>
      <c r="B2398" s="0" t="s">
        <v>371</v>
      </c>
      <c r="C2398" s="0" t="s">
        <v>322</v>
      </c>
      <c r="D2398" s="0" t="s">
        <v>31</v>
      </c>
      <c r="E2398" s="0" t="n">
        <v>17</v>
      </c>
      <c r="F2398" s="0" t="s">
        <v>74</v>
      </c>
      <c r="G2398" s="0" t="s">
        <v>75</v>
      </c>
      <c r="H2398" s="0" t="s">
        <v>75</v>
      </c>
      <c r="I2398" s="0" t="s">
        <v>34</v>
      </c>
      <c r="J2398" s="0" t="n">
        <v>1.22</v>
      </c>
      <c r="K2398" s="0" t="s">
        <v>73</v>
      </c>
      <c r="L2398" s="0" t="n">
        <f aca="false">INDEX(Summary!$F$2:$F$201,MATCH($B2398,Summary!$A$2:$A$201,0))</f>
        <v>20</v>
      </c>
      <c r="M2398" s="0" t="n">
        <f aca="false">INDEX(Summary!$I$2:$I$201,MATCH($B2398,Summary!$A$2:$A$201,0))</f>
        <v>2</v>
      </c>
      <c r="N2398" s="0" t="n">
        <f aca="false">INDEX(Summary!$J$2:$J$201,MATCH($B2398,Summary!$A$2:$A$201,0))</f>
        <v>3</v>
      </c>
      <c r="O2398" s="2" t="n">
        <f aca="false">INDEX(Summary!$K$2:$K$201,MATCH($B2398,Summary!$A$2:$A$201,0))</f>
        <v>9.23</v>
      </c>
      <c r="P2398" s="3" t="n">
        <f aca="false">INDEX(Summary!$L$2:$L$201,MATCH($B2398,Summary!$A$2:$A$201,0))</f>
        <v>4</v>
      </c>
      <c r="Q2398" s="3" t="n">
        <f aca="false">INDEX(Summary!$M$2:$M$201,MATCH($B2398,Summary!$A$2:$A$201,0))</f>
        <v>2</v>
      </c>
      <c r="R2398" s="2" t="n">
        <f aca="false">INDEX(Summary!$N$2:$N$201,MATCH($B2398,Summary!$A$2:$A$201,0))</f>
        <v>10.58</v>
      </c>
      <c r="S2398" s="3" t="n">
        <f aca="false">INDEX(Summary!$O$2:$O$201,MATCH($B2398,Summary!$A$2:$A$201,0))</f>
        <v>5</v>
      </c>
      <c r="T2398" s="3" t="n">
        <f aca="false">INDEX(Summary!$P$2:$P$201,MATCH($B2398,Summary!$A$2:$A$201,0))</f>
        <v>4</v>
      </c>
      <c r="U2398" s="2" t="n">
        <f aca="false">INDEX(Summary!$Q$2:$Q$201,MATCH($B2398,Summary!$A$2:$A$201,0))</f>
        <v>13.97</v>
      </c>
      <c r="V2398" s="2" t="n">
        <f aca="false">INDEX(Summary!$R$2:$R$201,MATCH($B2398,Summary!$A$2:$A$201,0))</f>
        <v>20.62</v>
      </c>
      <c r="W2398" s="0" t="str">
        <f aca="false">INDEX(Summary!$S$2:$S$201,MATCH($B2398,Summary!$A$2:$A$201,0))</f>
        <v>Silver</v>
      </c>
      <c r="X2398" s="2" t="n">
        <f aca="false">INDEX(Summary!$T$2:$T$201,MATCH($B2398,Summary!$A$2:$A$201,0))</f>
        <v>50.29</v>
      </c>
      <c r="Y2398" s="0" t="str">
        <f aca="false">INDEX('Reward Model'!$E$18:$E$37,MATCH($E2398,'Reward Model'!$A$18:$A$37,0))</f>
        <v>High</v>
      </c>
      <c r="Z2398" s="4" t="n">
        <f aca="false">ROUND(MIN(1,MAX('Reward Model'!$B$2,INDEX('Reward Model'!$C$12:$C$14,MATCH($K2398,'Reward Model'!$A$12:$A$14,0))/$J2398)),3)</f>
        <v>1</v>
      </c>
      <c r="AA2398" s="2" t="n">
        <f aca="false">IF($I2398="Correct",ROUND(INDEX('Reward Model'!$B$12:$B$14,MATCH($K2398,'Reward Model'!$A$12:$A$14,0))*Z2398,2),0)</f>
        <v>3</v>
      </c>
      <c r="AB2398" s="2" t="n">
        <f aca="false">IF($I2398="Correct",ROUND(INDEX('Reward Model'!$B$12:$B$14,MATCH($Y2398,'Reward Model'!$A$12:$A$14,0))*Z2398,2),0)</f>
        <v>3</v>
      </c>
    </row>
    <row r="2399" customFormat="false" ht="15" hidden="false" customHeight="false" outlineLevel="0" collapsed="false">
      <c r="A2399" s="0" t="s">
        <v>370</v>
      </c>
      <c r="B2399" s="0" t="s">
        <v>371</v>
      </c>
      <c r="C2399" s="0" t="s">
        <v>322</v>
      </c>
      <c r="D2399" s="0" t="s">
        <v>31</v>
      </c>
      <c r="E2399" s="0" t="n">
        <v>18</v>
      </c>
      <c r="F2399" s="0" t="s">
        <v>76</v>
      </c>
      <c r="G2399" s="0" t="s">
        <v>128</v>
      </c>
      <c r="H2399" s="0" t="s">
        <v>77</v>
      </c>
      <c r="I2399" s="0" t="s">
        <v>39</v>
      </c>
      <c r="J2399" s="0" t="n">
        <v>1.79</v>
      </c>
      <c r="K2399" s="0" t="s">
        <v>73</v>
      </c>
      <c r="L2399" s="0" t="n">
        <f aca="false">INDEX(Summary!$F$2:$F$201,MATCH($B2399,Summary!$A$2:$A$201,0))</f>
        <v>20</v>
      </c>
      <c r="M2399" s="0" t="n">
        <f aca="false">INDEX(Summary!$I$2:$I$201,MATCH($B2399,Summary!$A$2:$A$201,0))</f>
        <v>2</v>
      </c>
      <c r="N2399" s="0" t="n">
        <f aca="false">INDEX(Summary!$J$2:$J$201,MATCH($B2399,Summary!$A$2:$A$201,0))</f>
        <v>3</v>
      </c>
      <c r="O2399" s="2" t="n">
        <f aca="false">INDEX(Summary!$K$2:$K$201,MATCH($B2399,Summary!$A$2:$A$201,0))</f>
        <v>9.23</v>
      </c>
      <c r="P2399" s="3" t="n">
        <f aca="false">INDEX(Summary!$L$2:$L$201,MATCH($B2399,Summary!$A$2:$A$201,0))</f>
        <v>4</v>
      </c>
      <c r="Q2399" s="3" t="n">
        <f aca="false">INDEX(Summary!$M$2:$M$201,MATCH($B2399,Summary!$A$2:$A$201,0))</f>
        <v>2</v>
      </c>
      <c r="R2399" s="2" t="n">
        <f aca="false">INDEX(Summary!$N$2:$N$201,MATCH($B2399,Summary!$A$2:$A$201,0))</f>
        <v>10.58</v>
      </c>
      <c r="S2399" s="3" t="n">
        <f aca="false">INDEX(Summary!$O$2:$O$201,MATCH($B2399,Summary!$A$2:$A$201,0))</f>
        <v>5</v>
      </c>
      <c r="T2399" s="3" t="n">
        <f aca="false">INDEX(Summary!$P$2:$P$201,MATCH($B2399,Summary!$A$2:$A$201,0))</f>
        <v>4</v>
      </c>
      <c r="U2399" s="2" t="n">
        <f aca="false">INDEX(Summary!$Q$2:$Q$201,MATCH($B2399,Summary!$A$2:$A$201,0))</f>
        <v>13.97</v>
      </c>
      <c r="V2399" s="2" t="n">
        <f aca="false">INDEX(Summary!$R$2:$R$201,MATCH($B2399,Summary!$A$2:$A$201,0))</f>
        <v>20.62</v>
      </c>
      <c r="W2399" s="0" t="str">
        <f aca="false">INDEX(Summary!$S$2:$S$201,MATCH($B2399,Summary!$A$2:$A$201,0))</f>
        <v>Silver</v>
      </c>
      <c r="X2399" s="2" t="n">
        <f aca="false">INDEX(Summary!$T$2:$T$201,MATCH($B2399,Summary!$A$2:$A$201,0))</f>
        <v>50.29</v>
      </c>
      <c r="Y2399" s="0" t="str">
        <f aca="false">INDEX('Reward Model'!$E$18:$E$37,MATCH($E2399,'Reward Model'!$A$18:$A$37,0))</f>
        <v>High</v>
      </c>
      <c r="Z2399" s="4" t="n">
        <f aca="false">ROUND(MIN(1,MAX('Reward Model'!$B$2,INDEX('Reward Model'!$C$12:$C$14,MATCH($K2399,'Reward Model'!$A$12:$A$14,0))/$J2399)),3)</f>
        <v>1</v>
      </c>
      <c r="AA2399" s="2" t="n">
        <f aca="false">IF($I2399="Correct",ROUND(INDEX('Reward Model'!$B$12:$B$14,MATCH($K2399,'Reward Model'!$A$12:$A$14,0))*Z2399,2),0)</f>
        <v>0</v>
      </c>
      <c r="AB2399" s="2" t="n">
        <f aca="false">IF($I2399="Correct",ROUND(INDEX('Reward Model'!$B$12:$B$14,MATCH($Y2399,'Reward Model'!$A$12:$A$14,0))*Z2399,2),0)</f>
        <v>0</v>
      </c>
    </row>
    <row r="2400" customFormat="false" ht="15" hidden="false" customHeight="false" outlineLevel="0" collapsed="false">
      <c r="A2400" s="0" t="s">
        <v>370</v>
      </c>
      <c r="B2400" s="0" t="s">
        <v>371</v>
      </c>
      <c r="C2400" s="0" t="s">
        <v>322</v>
      </c>
      <c r="D2400" s="0" t="s">
        <v>31</v>
      </c>
      <c r="E2400" s="0" t="n">
        <v>19</v>
      </c>
      <c r="F2400" s="0" t="s">
        <v>78</v>
      </c>
      <c r="G2400" s="0" t="s">
        <v>51</v>
      </c>
      <c r="H2400" s="0" t="s">
        <v>80</v>
      </c>
      <c r="I2400" s="0" t="s">
        <v>39</v>
      </c>
      <c r="J2400" s="0" t="n">
        <v>2.22</v>
      </c>
      <c r="K2400" s="0" t="s">
        <v>73</v>
      </c>
      <c r="L2400" s="0" t="n">
        <f aca="false">INDEX(Summary!$F$2:$F$201,MATCH($B2400,Summary!$A$2:$A$201,0))</f>
        <v>20</v>
      </c>
      <c r="M2400" s="0" t="n">
        <f aca="false">INDEX(Summary!$I$2:$I$201,MATCH($B2400,Summary!$A$2:$A$201,0))</f>
        <v>2</v>
      </c>
      <c r="N2400" s="0" t="n">
        <f aca="false">INDEX(Summary!$J$2:$J$201,MATCH($B2400,Summary!$A$2:$A$201,0))</f>
        <v>3</v>
      </c>
      <c r="O2400" s="2" t="n">
        <f aca="false">INDEX(Summary!$K$2:$K$201,MATCH($B2400,Summary!$A$2:$A$201,0))</f>
        <v>9.23</v>
      </c>
      <c r="P2400" s="3" t="n">
        <f aca="false">INDEX(Summary!$L$2:$L$201,MATCH($B2400,Summary!$A$2:$A$201,0))</f>
        <v>4</v>
      </c>
      <c r="Q2400" s="3" t="n">
        <f aca="false">INDEX(Summary!$M$2:$M$201,MATCH($B2400,Summary!$A$2:$A$201,0))</f>
        <v>2</v>
      </c>
      <c r="R2400" s="2" t="n">
        <f aca="false">INDEX(Summary!$N$2:$N$201,MATCH($B2400,Summary!$A$2:$A$201,0))</f>
        <v>10.58</v>
      </c>
      <c r="S2400" s="3" t="n">
        <f aca="false">INDEX(Summary!$O$2:$O$201,MATCH($B2400,Summary!$A$2:$A$201,0))</f>
        <v>5</v>
      </c>
      <c r="T2400" s="3" t="n">
        <f aca="false">INDEX(Summary!$P$2:$P$201,MATCH($B2400,Summary!$A$2:$A$201,0))</f>
        <v>4</v>
      </c>
      <c r="U2400" s="2" t="n">
        <f aca="false">INDEX(Summary!$Q$2:$Q$201,MATCH($B2400,Summary!$A$2:$A$201,0))</f>
        <v>13.97</v>
      </c>
      <c r="V2400" s="2" t="n">
        <f aca="false">INDEX(Summary!$R$2:$R$201,MATCH($B2400,Summary!$A$2:$A$201,0))</f>
        <v>20.62</v>
      </c>
      <c r="W2400" s="0" t="str">
        <f aca="false">INDEX(Summary!$S$2:$S$201,MATCH($B2400,Summary!$A$2:$A$201,0))</f>
        <v>Silver</v>
      </c>
      <c r="X2400" s="2" t="n">
        <f aca="false">INDEX(Summary!$T$2:$T$201,MATCH($B2400,Summary!$A$2:$A$201,0))</f>
        <v>50.29</v>
      </c>
      <c r="Y2400" s="0" t="str">
        <f aca="false">INDEX('Reward Model'!$E$18:$E$37,MATCH($E2400,'Reward Model'!$A$18:$A$37,0))</f>
        <v>High</v>
      </c>
      <c r="Z2400" s="4" t="n">
        <f aca="false">ROUND(MIN(1,MAX('Reward Model'!$B$2,INDEX('Reward Model'!$C$12:$C$14,MATCH($K2400,'Reward Model'!$A$12:$A$14,0))/$J2400)),3)</f>
        <v>0.901</v>
      </c>
      <c r="AA2400" s="2" t="n">
        <f aca="false">IF($I2400="Correct",ROUND(INDEX('Reward Model'!$B$12:$B$14,MATCH($K2400,'Reward Model'!$A$12:$A$14,0))*Z2400,2),0)</f>
        <v>0</v>
      </c>
      <c r="AB2400" s="2" t="n">
        <f aca="false">IF($I2400="Correct",ROUND(INDEX('Reward Model'!$B$12:$B$14,MATCH($Y2400,'Reward Model'!$A$12:$A$14,0))*Z2400,2),0)</f>
        <v>0</v>
      </c>
    </row>
    <row r="2401" customFormat="false" ht="15" hidden="false" customHeight="false" outlineLevel="0" collapsed="false">
      <c r="A2401" s="0" t="s">
        <v>370</v>
      </c>
      <c r="B2401" s="0" t="s">
        <v>371</v>
      </c>
      <c r="C2401" s="0" t="s">
        <v>322</v>
      </c>
      <c r="D2401" s="0" t="s">
        <v>31</v>
      </c>
      <c r="E2401" s="0" t="n">
        <v>20</v>
      </c>
      <c r="F2401" s="0" t="s">
        <v>81</v>
      </c>
      <c r="G2401" s="0" t="s">
        <v>166</v>
      </c>
      <c r="H2401" s="0" t="s">
        <v>83</v>
      </c>
      <c r="I2401" s="0" t="s">
        <v>39</v>
      </c>
      <c r="J2401" s="0" t="n">
        <v>2.32</v>
      </c>
      <c r="K2401" s="0" t="s">
        <v>73</v>
      </c>
      <c r="L2401" s="0" t="n">
        <f aca="false">INDEX(Summary!$F$2:$F$201,MATCH($B2401,Summary!$A$2:$A$201,0))</f>
        <v>20</v>
      </c>
      <c r="M2401" s="0" t="n">
        <f aca="false">INDEX(Summary!$I$2:$I$201,MATCH($B2401,Summary!$A$2:$A$201,0))</f>
        <v>2</v>
      </c>
      <c r="N2401" s="0" t="n">
        <f aca="false">INDEX(Summary!$J$2:$J$201,MATCH($B2401,Summary!$A$2:$A$201,0))</f>
        <v>3</v>
      </c>
      <c r="O2401" s="2" t="n">
        <f aca="false">INDEX(Summary!$K$2:$K$201,MATCH($B2401,Summary!$A$2:$A$201,0))</f>
        <v>9.23</v>
      </c>
      <c r="P2401" s="3" t="n">
        <f aca="false">INDEX(Summary!$L$2:$L$201,MATCH($B2401,Summary!$A$2:$A$201,0))</f>
        <v>4</v>
      </c>
      <c r="Q2401" s="3" t="n">
        <f aca="false">INDEX(Summary!$M$2:$M$201,MATCH($B2401,Summary!$A$2:$A$201,0))</f>
        <v>2</v>
      </c>
      <c r="R2401" s="2" t="n">
        <f aca="false">INDEX(Summary!$N$2:$N$201,MATCH($B2401,Summary!$A$2:$A$201,0))</f>
        <v>10.58</v>
      </c>
      <c r="S2401" s="3" t="n">
        <f aca="false">INDEX(Summary!$O$2:$O$201,MATCH($B2401,Summary!$A$2:$A$201,0))</f>
        <v>5</v>
      </c>
      <c r="T2401" s="3" t="n">
        <f aca="false">INDEX(Summary!$P$2:$P$201,MATCH($B2401,Summary!$A$2:$A$201,0))</f>
        <v>4</v>
      </c>
      <c r="U2401" s="2" t="n">
        <f aca="false">INDEX(Summary!$Q$2:$Q$201,MATCH($B2401,Summary!$A$2:$A$201,0))</f>
        <v>13.97</v>
      </c>
      <c r="V2401" s="2" t="n">
        <f aca="false">INDEX(Summary!$R$2:$R$201,MATCH($B2401,Summary!$A$2:$A$201,0))</f>
        <v>20.62</v>
      </c>
      <c r="W2401" s="0" t="str">
        <f aca="false">INDEX(Summary!$S$2:$S$201,MATCH($B2401,Summary!$A$2:$A$201,0))</f>
        <v>Silver</v>
      </c>
      <c r="X2401" s="2" t="n">
        <f aca="false">INDEX(Summary!$T$2:$T$201,MATCH($B2401,Summary!$A$2:$A$201,0))</f>
        <v>50.29</v>
      </c>
      <c r="Y2401" s="0" t="str">
        <f aca="false">INDEX('Reward Model'!$E$18:$E$37,MATCH($E2401,'Reward Model'!$A$18:$A$37,0))</f>
        <v>High</v>
      </c>
      <c r="Z2401" s="4" t="n">
        <f aca="false">ROUND(MIN(1,MAX('Reward Model'!$B$2,INDEX('Reward Model'!$C$12:$C$14,MATCH($K2401,'Reward Model'!$A$12:$A$14,0))/$J2401)),3)</f>
        <v>0.862</v>
      </c>
      <c r="AA2401" s="2" t="n">
        <f aca="false">IF($I2401="Correct",ROUND(INDEX('Reward Model'!$B$12:$B$14,MATCH($K2401,'Reward Model'!$A$12:$A$14,0))*Z2401,2),0)</f>
        <v>0</v>
      </c>
      <c r="AB2401" s="2" t="n">
        <f aca="false">IF($I2401="Correct",ROUND(INDEX('Reward Model'!$B$12:$B$14,MATCH($Y2401,'Reward Model'!$A$12:$A$14,0))*Z2401,2),0)</f>
        <v>0</v>
      </c>
    </row>
    <row r="2402" customFormat="false" ht="15" hidden="false" customHeight="false" outlineLevel="0" collapsed="false">
      <c r="A2402" s="0" t="s">
        <v>372</v>
      </c>
      <c r="B2402" s="0" t="s">
        <v>373</v>
      </c>
      <c r="C2402" s="0" t="s">
        <v>322</v>
      </c>
      <c r="D2402" s="0" t="s">
        <v>31</v>
      </c>
      <c r="E2402" s="0" t="n">
        <v>1</v>
      </c>
      <c r="F2402" s="0" t="s">
        <v>32</v>
      </c>
      <c r="G2402" s="0" t="s">
        <v>33</v>
      </c>
      <c r="H2402" s="0" t="s">
        <v>33</v>
      </c>
      <c r="I2402" s="0" t="s">
        <v>34</v>
      </c>
      <c r="J2402" s="0" t="n">
        <v>1.77</v>
      </c>
      <c r="K2402" s="0" t="s">
        <v>35</v>
      </c>
      <c r="L2402" s="0" t="n">
        <f aca="false">INDEX(Summary!$F$2:$F$201,MATCH($B2402,Summary!$A$2:$A$201,0))</f>
        <v>20</v>
      </c>
      <c r="M2402" s="0" t="n">
        <f aca="false">INDEX(Summary!$I$2:$I$201,MATCH($B2402,Summary!$A$2:$A$201,0))</f>
        <v>3</v>
      </c>
      <c r="N2402" s="0" t="n">
        <f aca="false">INDEX(Summary!$J$2:$J$201,MATCH($B2402,Summary!$A$2:$A$201,0))</f>
        <v>2</v>
      </c>
      <c r="O2402" s="2" t="n">
        <f aca="false">INDEX(Summary!$K$2:$K$201,MATCH($B2402,Summary!$A$2:$A$201,0))</f>
        <v>9.9</v>
      </c>
      <c r="P2402" s="3" t="n">
        <f aca="false">INDEX(Summary!$L$2:$L$201,MATCH($B2402,Summary!$A$2:$A$201,0))</f>
        <v>4</v>
      </c>
      <c r="Q2402" s="3" t="n">
        <f aca="false">INDEX(Summary!$M$2:$M$201,MATCH($B2402,Summary!$A$2:$A$201,0))</f>
        <v>2</v>
      </c>
      <c r="R2402" s="2" t="n">
        <f aca="false">INDEX(Summary!$N$2:$N$201,MATCH($B2402,Summary!$A$2:$A$201,0))</f>
        <v>9.73</v>
      </c>
      <c r="S2402" s="3" t="n">
        <f aca="false">INDEX(Summary!$O$2:$O$201,MATCH($B2402,Summary!$A$2:$A$201,0))</f>
        <v>8</v>
      </c>
      <c r="T2402" s="3" t="n">
        <f aca="false">INDEX(Summary!$P$2:$P$201,MATCH($B2402,Summary!$A$2:$A$201,0))</f>
        <v>1</v>
      </c>
      <c r="U2402" s="2" t="n">
        <f aca="false">INDEX(Summary!$Q$2:$Q$201,MATCH($B2402,Summary!$A$2:$A$201,0))</f>
        <v>13.12</v>
      </c>
      <c r="V2402" s="2" t="n">
        <f aca="false">INDEX(Summary!$R$2:$R$201,MATCH($B2402,Summary!$A$2:$A$201,0))</f>
        <v>28.54</v>
      </c>
      <c r="W2402" s="0" t="str">
        <f aca="false">INDEX(Summary!$S$2:$S$201,MATCH($B2402,Summary!$A$2:$A$201,0))</f>
        <v>Silver</v>
      </c>
      <c r="X2402" s="2" t="n">
        <f aca="false">INDEX(Summary!$T$2:$T$201,MATCH($B2402,Summary!$A$2:$A$201,0))</f>
        <v>69.61</v>
      </c>
      <c r="Y2402" s="0" t="str">
        <f aca="false">INDEX('Reward Model'!$E$18:$E$37,MATCH($E2402,'Reward Model'!$A$18:$A$37,0))</f>
        <v>Medium</v>
      </c>
      <c r="Z2402" s="4" t="n">
        <f aca="false">ROUND(MIN(1,MAX('Reward Model'!$B$2,INDEX('Reward Model'!$C$12:$C$14,MATCH($K2402,'Reward Model'!$A$12:$A$14,0))/$J2402)),3)</f>
        <v>0.847</v>
      </c>
      <c r="AA2402" s="2" t="n">
        <f aca="false">IF($I2402="Correct",ROUND(INDEX('Reward Model'!$B$12:$B$14,MATCH($K2402,'Reward Model'!$A$12:$A$14,0))*Z2402,2),0)</f>
        <v>0.85</v>
      </c>
      <c r="AB2402" s="2" t="n">
        <f aca="false">IF($I2402="Correct",ROUND(INDEX('Reward Model'!$B$12:$B$14,MATCH($Y2402,'Reward Model'!$A$12:$A$14,0))*Z2402,2),0)</f>
        <v>1.69</v>
      </c>
    </row>
    <row r="2403" customFormat="false" ht="15" hidden="false" customHeight="false" outlineLevel="0" collapsed="false">
      <c r="A2403" s="0" t="s">
        <v>372</v>
      </c>
      <c r="B2403" s="0" t="s">
        <v>373</v>
      </c>
      <c r="C2403" s="0" t="s">
        <v>322</v>
      </c>
      <c r="D2403" s="0" t="s">
        <v>31</v>
      </c>
      <c r="E2403" s="0" t="n">
        <v>2</v>
      </c>
      <c r="F2403" s="0" t="s">
        <v>36</v>
      </c>
      <c r="G2403" s="0" t="s">
        <v>94</v>
      </c>
      <c r="H2403" s="0" t="s">
        <v>38</v>
      </c>
      <c r="I2403" s="0" t="s">
        <v>39</v>
      </c>
      <c r="J2403" s="0" t="n">
        <v>1.55</v>
      </c>
      <c r="K2403" s="0" t="s">
        <v>35</v>
      </c>
      <c r="L2403" s="0" t="n">
        <f aca="false">INDEX(Summary!$F$2:$F$201,MATCH($B2403,Summary!$A$2:$A$201,0))</f>
        <v>20</v>
      </c>
      <c r="M2403" s="0" t="n">
        <f aca="false">INDEX(Summary!$I$2:$I$201,MATCH($B2403,Summary!$A$2:$A$201,0))</f>
        <v>3</v>
      </c>
      <c r="N2403" s="0" t="n">
        <f aca="false">INDEX(Summary!$J$2:$J$201,MATCH($B2403,Summary!$A$2:$A$201,0))</f>
        <v>2</v>
      </c>
      <c r="O2403" s="2" t="n">
        <f aca="false">INDEX(Summary!$K$2:$K$201,MATCH($B2403,Summary!$A$2:$A$201,0))</f>
        <v>9.9</v>
      </c>
      <c r="P2403" s="3" t="n">
        <f aca="false">INDEX(Summary!$L$2:$L$201,MATCH($B2403,Summary!$A$2:$A$201,0))</f>
        <v>4</v>
      </c>
      <c r="Q2403" s="3" t="n">
        <f aca="false">INDEX(Summary!$M$2:$M$201,MATCH($B2403,Summary!$A$2:$A$201,0))</f>
        <v>2</v>
      </c>
      <c r="R2403" s="2" t="n">
        <f aca="false">INDEX(Summary!$N$2:$N$201,MATCH($B2403,Summary!$A$2:$A$201,0))</f>
        <v>9.73</v>
      </c>
      <c r="S2403" s="3" t="n">
        <f aca="false">INDEX(Summary!$O$2:$O$201,MATCH($B2403,Summary!$A$2:$A$201,0))</f>
        <v>8</v>
      </c>
      <c r="T2403" s="3" t="n">
        <f aca="false">INDEX(Summary!$P$2:$P$201,MATCH($B2403,Summary!$A$2:$A$201,0))</f>
        <v>1</v>
      </c>
      <c r="U2403" s="2" t="n">
        <f aca="false">INDEX(Summary!$Q$2:$Q$201,MATCH($B2403,Summary!$A$2:$A$201,0))</f>
        <v>13.12</v>
      </c>
      <c r="V2403" s="2" t="n">
        <f aca="false">INDEX(Summary!$R$2:$R$201,MATCH($B2403,Summary!$A$2:$A$201,0))</f>
        <v>28.54</v>
      </c>
      <c r="W2403" s="0" t="str">
        <f aca="false">INDEX(Summary!$S$2:$S$201,MATCH($B2403,Summary!$A$2:$A$201,0))</f>
        <v>Silver</v>
      </c>
      <c r="X2403" s="2" t="n">
        <f aca="false">INDEX(Summary!$T$2:$T$201,MATCH($B2403,Summary!$A$2:$A$201,0))</f>
        <v>69.61</v>
      </c>
      <c r="Y2403" s="0" t="str">
        <f aca="false">INDEX('Reward Model'!$E$18:$E$37,MATCH($E2403,'Reward Model'!$A$18:$A$37,0))</f>
        <v>Low</v>
      </c>
      <c r="Z2403" s="4" t="n">
        <f aca="false">ROUND(MIN(1,MAX('Reward Model'!$B$2,INDEX('Reward Model'!$C$12:$C$14,MATCH($K2403,'Reward Model'!$A$12:$A$14,0))/$J2403)),3)</f>
        <v>0.968</v>
      </c>
      <c r="AA2403" s="2" t="n">
        <f aca="false">IF($I2403="Correct",ROUND(INDEX('Reward Model'!$B$12:$B$14,MATCH($K2403,'Reward Model'!$A$12:$A$14,0))*Z2403,2),0)</f>
        <v>0</v>
      </c>
      <c r="AB2403" s="2" t="n">
        <f aca="false">IF($I2403="Correct",ROUND(INDEX('Reward Model'!$B$12:$B$14,MATCH($Y2403,'Reward Model'!$A$12:$A$14,0))*Z2403,2),0)</f>
        <v>0</v>
      </c>
    </row>
    <row r="2404" customFormat="false" ht="15" hidden="false" customHeight="false" outlineLevel="0" collapsed="false">
      <c r="A2404" s="0" t="s">
        <v>372</v>
      </c>
      <c r="B2404" s="0" t="s">
        <v>373</v>
      </c>
      <c r="C2404" s="0" t="s">
        <v>322</v>
      </c>
      <c r="D2404" s="0" t="s">
        <v>31</v>
      </c>
      <c r="E2404" s="0" t="n">
        <v>3</v>
      </c>
      <c r="F2404" s="0" t="s">
        <v>40</v>
      </c>
      <c r="G2404" s="0" t="s">
        <v>42</v>
      </c>
      <c r="H2404" s="0" t="s">
        <v>42</v>
      </c>
      <c r="I2404" s="0" t="s">
        <v>34</v>
      </c>
      <c r="J2404" s="0" t="n">
        <v>1.36</v>
      </c>
      <c r="K2404" s="0" t="s">
        <v>35</v>
      </c>
      <c r="L2404" s="0" t="n">
        <f aca="false">INDEX(Summary!$F$2:$F$201,MATCH($B2404,Summary!$A$2:$A$201,0))</f>
        <v>20</v>
      </c>
      <c r="M2404" s="0" t="n">
        <f aca="false">INDEX(Summary!$I$2:$I$201,MATCH($B2404,Summary!$A$2:$A$201,0))</f>
        <v>3</v>
      </c>
      <c r="N2404" s="0" t="n">
        <f aca="false">INDEX(Summary!$J$2:$J$201,MATCH($B2404,Summary!$A$2:$A$201,0))</f>
        <v>2</v>
      </c>
      <c r="O2404" s="2" t="n">
        <f aca="false">INDEX(Summary!$K$2:$K$201,MATCH($B2404,Summary!$A$2:$A$201,0))</f>
        <v>9.9</v>
      </c>
      <c r="P2404" s="3" t="n">
        <f aca="false">INDEX(Summary!$L$2:$L$201,MATCH($B2404,Summary!$A$2:$A$201,0))</f>
        <v>4</v>
      </c>
      <c r="Q2404" s="3" t="n">
        <f aca="false">INDEX(Summary!$M$2:$M$201,MATCH($B2404,Summary!$A$2:$A$201,0))</f>
        <v>2</v>
      </c>
      <c r="R2404" s="2" t="n">
        <f aca="false">INDEX(Summary!$N$2:$N$201,MATCH($B2404,Summary!$A$2:$A$201,0))</f>
        <v>9.73</v>
      </c>
      <c r="S2404" s="3" t="n">
        <f aca="false">INDEX(Summary!$O$2:$O$201,MATCH($B2404,Summary!$A$2:$A$201,0))</f>
        <v>8</v>
      </c>
      <c r="T2404" s="3" t="n">
        <f aca="false">INDEX(Summary!$P$2:$P$201,MATCH($B2404,Summary!$A$2:$A$201,0))</f>
        <v>1</v>
      </c>
      <c r="U2404" s="2" t="n">
        <f aca="false">INDEX(Summary!$Q$2:$Q$201,MATCH($B2404,Summary!$A$2:$A$201,0))</f>
        <v>13.12</v>
      </c>
      <c r="V2404" s="2" t="n">
        <f aca="false">INDEX(Summary!$R$2:$R$201,MATCH($B2404,Summary!$A$2:$A$201,0))</f>
        <v>28.54</v>
      </c>
      <c r="W2404" s="0" t="str">
        <f aca="false">INDEX(Summary!$S$2:$S$201,MATCH($B2404,Summary!$A$2:$A$201,0))</f>
        <v>Silver</v>
      </c>
      <c r="X2404" s="2" t="n">
        <f aca="false">INDEX(Summary!$T$2:$T$201,MATCH($B2404,Summary!$A$2:$A$201,0))</f>
        <v>69.61</v>
      </c>
      <c r="Y2404" s="0" t="str">
        <f aca="false">INDEX('Reward Model'!$E$18:$E$37,MATCH($E2404,'Reward Model'!$A$18:$A$37,0))</f>
        <v>Medium</v>
      </c>
      <c r="Z2404" s="4" t="n">
        <f aca="false">ROUND(MIN(1,MAX('Reward Model'!$B$2,INDEX('Reward Model'!$C$12:$C$14,MATCH($K2404,'Reward Model'!$A$12:$A$14,0))/$J2404)),3)</f>
        <v>1</v>
      </c>
      <c r="AA2404" s="2" t="n">
        <f aca="false">IF($I2404="Correct",ROUND(INDEX('Reward Model'!$B$12:$B$14,MATCH($K2404,'Reward Model'!$A$12:$A$14,0))*Z2404,2),0)</f>
        <v>1</v>
      </c>
      <c r="AB2404" s="2" t="n">
        <f aca="false">IF($I2404="Correct",ROUND(INDEX('Reward Model'!$B$12:$B$14,MATCH($Y2404,'Reward Model'!$A$12:$A$14,0))*Z2404,2),0)</f>
        <v>2</v>
      </c>
    </row>
    <row r="2405" customFormat="false" ht="15" hidden="false" customHeight="false" outlineLevel="0" collapsed="false">
      <c r="A2405" s="0" t="s">
        <v>372</v>
      </c>
      <c r="B2405" s="0" t="s">
        <v>373</v>
      </c>
      <c r="C2405" s="0" t="s">
        <v>322</v>
      </c>
      <c r="D2405" s="0" t="s">
        <v>31</v>
      </c>
      <c r="E2405" s="0" t="n">
        <v>4</v>
      </c>
      <c r="F2405" s="0" t="s">
        <v>43</v>
      </c>
      <c r="G2405" s="0" t="s">
        <v>45</v>
      </c>
      <c r="H2405" s="0" t="s">
        <v>45</v>
      </c>
      <c r="I2405" s="0" t="s">
        <v>34</v>
      </c>
      <c r="J2405" s="0" t="n">
        <v>1.81</v>
      </c>
      <c r="K2405" s="0" t="s">
        <v>35</v>
      </c>
      <c r="L2405" s="0" t="n">
        <f aca="false">INDEX(Summary!$F$2:$F$201,MATCH($B2405,Summary!$A$2:$A$201,0))</f>
        <v>20</v>
      </c>
      <c r="M2405" s="0" t="n">
        <f aca="false">INDEX(Summary!$I$2:$I$201,MATCH($B2405,Summary!$A$2:$A$201,0))</f>
        <v>3</v>
      </c>
      <c r="N2405" s="0" t="n">
        <f aca="false">INDEX(Summary!$J$2:$J$201,MATCH($B2405,Summary!$A$2:$A$201,0))</f>
        <v>2</v>
      </c>
      <c r="O2405" s="2" t="n">
        <f aca="false">INDEX(Summary!$K$2:$K$201,MATCH($B2405,Summary!$A$2:$A$201,0))</f>
        <v>9.9</v>
      </c>
      <c r="P2405" s="3" t="n">
        <f aca="false">INDEX(Summary!$L$2:$L$201,MATCH($B2405,Summary!$A$2:$A$201,0))</f>
        <v>4</v>
      </c>
      <c r="Q2405" s="3" t="n">
        <f aca="false">INDEX(Summary!$M$2:$M$201,MATCH($B2405,Summary!$A$2:$A$201,0))</f>
        <v>2</v>
      </c>
      <c r="R2405" s="2" t="n">
        <f aca="false">INDEX(Summary!$N$2:$N$201,MATCH($B2405,Summary!$A$2:$A$201,0))</f>
        <v>9.73</v>
      </c>
      <c r="S2405" s="3" t="n">
        <f aca="false">INDEX(Summary!$O$2:$O$201,MATCH($B2405,Summary!$A$2:$A$201,0))</f>
        <v>8</v>
      </c>
      <c r="T2405" s="3" t="n">
        <f aca="false">INDEX(Summary!$P$2:$P$201,MATCH($B2405,Summary!$A$2:$A$201,0))</f>
        <v>1</v>
      </c>
      <c r="U2405" s="2" t="n">
        <f aca="false">INDEX(Summary!$Q$2:$Q$201,MATCH($B2405,Summary!$A$2:$A$201,0))</f>
        <v>13.12</v>
      </c>
      <c r="V2405" s="2" t="n">
        <f aca="false">INDEX(Summary!$R$2:$R$201,MATCH($B2405,Summary!$A$2:$A$201,0))</f>
        <v>28.54</v>
      </c>
      <c r="W2405" s="0" t="str">
        <f aca="false">INDEX(Summary!$S$2:$S$201,MATCH($B2405,Summary!$A$2:$A$201,0))</f>
        <v>Silver</v>
      </c>
      <c r="X2405" s="2" t="n">
        <f aca="false">INDEX(Summary!$T$2:$T$201,MATCH($B2405,Summary!$A$2:$A$201,0))</f>
        <v>69.61</v>
      </c>
      <c r="Y2405" s="0" t="str">
        <f aca="false">INDEX('Reward Model'!$E$18:$E$37,MATCH($E2405,'Reward Model'!$A$18:$A$37,0))</f>
        <v>Low</v>
      </c>
      <c r="Z2405" s="4" t="n">
        <f aca="false">ROUND(MIN(1,MAX('Reward Model'!$B$2,INDEX('Reward Model'!$C$12:$C$14,MATCH($K2405,'Reward Model'!$A$12:$A$14,0))/$J2405)),3)</f>
        <v>0.829</v>
      </c>
      <c r="AA2405" s="2" t="n">
        <f aca="false">IF($I2405="Correct",ROUND(INDEX('Reward Model'!$B$12:$B$14,MATCH($K2405,'Reward Model'!$A$12:$A$14,0))*Z2405,2),0)</f>
        <v>0.83</v>
      </c>
      <c r="AB2405" s="2" t="n">
        <f aca="false">IF($I2405="Correct",ROUND(INDEX('Reward Model'!$B$12:$B$14,MATCH($Y2405,'Reward Model'!$A$12:$A$14,0))*Z2405,2),0)</f>
        <v>0.83</v>
      </c>
    </row>
    <row r="2406" customFormat="false" ht="15" hidden="false" customHeight="false" outlineLevel="0" collapsed="false">
      <c r="A2406" s="0" t="s">
        <v>372</v>
      </c>
      <c r="B2406" s="0" t="s">
        <v>373</v>
      </c>
      <c r="C2406" s="0" t="s">
        <v>322</v>
      </c>
      <c r="D2406" s="0" t="s">
        <v>31</v>
      </c>
      <c r="E2406" s="0" t="n">
        <v>5</v>
      </c>
      <c r="F2406" s="0" t="s">
        <v>46</v>
      </c>
      <c r="G2406" s="0" t="s">
        <v>47</v>
      </c>
      <c r="H2406" s="0" t="s">
        <v>47</v>
      </c>
      <c r="I2406" s="0" t="s">
        <v>34</v>
      </c>
      <c r="J2406" s="0" t="n">
        <v>1.45</v>
      </c>
      <c r="K2406" s="0" t="s">
        <v>35</v>
      </c>
      <c r="L2406" s="0" t="n">
        <f aca="false">INDEX(Summary!$F$2:$F$201,MATCH($B2406,Summary!$A$2:$A$201,0))</f>
        <v>20</v>
      </c>
      <c r="M2406" s="0" t="n">
        <f aca="false">INDEX(Summary!$I$2:$I$201,MATCH($B2406,Summary!$A$2:$A$201,0))</f>
        <v>3</v>
      </c>
      <c r="N2406" s="0" t="n">
        <f aca="false">INDEX(Summary!$J$2:$J$201,MATCH($B2406,Summary!$A$2:$A$201,0))</f>
        <v>2</v>
      </c>
      <c r="O2406" s="2" t="n">
        <f aca="false">INDEX(Summary!$K$2:$K$201,MATCH($B2406,Summary!$A$2:$A$201,0))</f>
        <v>9.9</v>
      </c>
      <c r="P2406" s="3" t="n">
        <f aca="false">INDEX(Summary!$L$2:$L$201,MATCH($B2406,Summary!$A$2:$A$201,0))</f>
        <v>4</v>
      </c>
      <c r="Q2406" s="3" t="n">
        <f aca="false">INDEX(Summary!$M$2:$M$201,MATCH($B2406,Summary!$A$2:$A$201,0))</f>
        <v>2</v>
      </c>
      <c r="R2406" s="2" t="n">
        <f aca="false">INDEX(Summary!$N$2:$N$201,MATCH($B2406,Summary!$A$2:$A$201,0))</f>
        <v>9.73</v>
      </c>
      <c r="S2406" s="3" t="n">
        <f aca="false">INDEX(Summary!$O$2:$O$201,MATCH($B2406,Summary!$A$2:$A$201,0))</f>
        <v>8</v>
      </c>
      <c r="T2406" s="3" t="n">
        <f aca="false">INDEX(Summary!$P$2:$P$201,MATCH($B2406,Summary!$A$2:$A$201,0))</f>
        <v>1</v>
      </c>
      <c r="U2406" s="2" t="n">
        <f aca="false">INDEX(Summary!$Q$2:$Q$201,MATCH($B2406,Summary!$A$2:$A$201,0))</f>
        <v>13.12</v>
      </c>
      <c r="V2406" s="2" t="n">
        <f aca="false">INDEX(Summary!$R$2:$R$201,MATCH($B2406,Summary!$A$2:$A$201,0))</f>
        <v>28.54</v>
      </c>
      <c r="W2406" s="0" t="str">
        <f aca="false">INDEX(Summary!$S$2:$S$201,MATCH($B2406,Summary!$A$2:$A$201,0))</f>
        <v>Silver</v>
      </c>
      <c r="X2406" s="2" t="n">
        <f aca="false">INDEX(Summary!$T$2:$T$201,MATCH($B2406,Summary!$A$2:$A$201,0))</f>
        <v>69.61</v>
      </c>
      <c r="Y2406" s="0" t="str">
        <f aca="false">INDEX('Reward Model'!$E$18:$E$37,MATCH($E2406,'Reward Model'!$A$18:$A$37,0))</f>
        <v>Low</v>
      </c>
      <c r="Z2406" s="4" t="n">
        <f aca="false">ROUND(MIN(1,MAX('Reward Model'!$B$2,INDEX('Reward Model'!$C$12:$C$14,MATCH($K2406,'Reward Model'!$A$12:$A$14,0))/$J2406)),3)</f>
        <v>1</v>
      </c>
      <c r="AA2406" s="2" t="n">
        <f aca="false">IF($I2406="Correct",ROUND(INDEX('Reward Model'!$B$12:$B$14,MATCH($K2406,'Reward Model'!$A$12:$A$14,0))*Z2406,2),0)</f>
        <v>1</v>
      </c>
      <c r="AB2406" s="2" t="n">
        <f aca="false">IF($I2406="Correct",ROUND(INDEX('Reward Model'!$B$12:$B$14,MATCH($Y2406,'Reward Model'!$A$12:$A$14,0))*Z2406,2),0)</f>
        <v>1</v>
      </c>
    </row>
    <row r="2407" customFormat="false" ht="15" hidden="false" customHeight="false" outlineLevel="0" collapsed="false">
      <c r="A2407" s="0" t="s">
        <v>372</v>
      </c>
      <c r="B2407" s="0" t="s">
        <v>373</v>
      </c>
      <c r="C2407" s="0" t="s">
        <v>322</v>
      </c>
      <c r="D2407" s="0" t="s">
        <v>31</v>
      </c>
      <c r="E2407" s="0" t="n">
        <v>6</v>
      </c>
      <c r="F2407" s="0" t="s">
        <v>48</v>
      </c>
      <c r="G2407" s="0" t="s">
        <v>49</v>
      </c>
      <c r="H2407" s="0" t="s">
        <v>49</v>
      </c>
      <c r="I2407" s="0" t="s">
        <v>34</v>
      </c>
      <c r="J2407" s="0" t="n">
        <v>0.98</v>
      </c>
      <c r="K2407" s="0" t="s">
        <v>35</v>
      </c>
      <c r="L2407" s="0" t="n">
        <f aca="false">INDEX(Summary!$F$2:$F$201,MATCH($B2407,Summary!$A$2:$A$201,0))</f>
        <v>20</v>
      </c>
      <c r="M2407" s="0" t="n">
        <f aca="false">INDEX(Summary!$I$2:$I$201,MATCH($B2407,Summary!$A$2:$A$201,0))</f>
        <v>3</v>
      </c>
      <c r="N2407" s="0" t="n">
        <f aca="false">INDEX(Summary!$J$2:$J$201,MATCH($B2407,Summary!$A$2:$A$201,0))</f>
        <v>2</v>
      </c>
      <c r="O2407" s="2" t="n">
        <f aca="false">INDEX(Summary!$K$2:$K$201,MATCH($B2407,Summary!$A$2:$A$201,0))</f>
        <v>9.9</v>
      </c>
      <c r="P2407" s="3" t="n">
        <f aca="false">INDEX(Summary!$L$2:$L$201,MATCH($B2407,Summary!$A$2:$A$201,0))</f>
        <v>4</v>
      </c>
      <c r="Q2407" s="3" t="n">
        <f aca="false">INDEX(Summary!$M$2:$M$201,MATCH($B2407,Summary!$A$2:$A$201,0))</f>
        <v>2</v>
      </c>
      <c r="R2407" s="2" t="n">
        <f aca="false">INDEX(Summary!$N$2:$N$201,MATCH($B2407,Summary!$A$2:$A$201,0))</f>
        <v>9.73</v>
      </c>
      <c r="S2407" s="3" t="n">
        <f aca="false">INDEX(Summary!$O$2:$O$201,MATCH($B2407,Summary!$A$2:$A$201,0))</f>
        <v>8</v>
      </c>
      <c r="T2407" s="3" t="n">
        <f aca="false">INDEX(Summary!$P$2:$P$201,MATCH($B2407,Summary!$A$2:$A$201,0))</f>
        <v>1</v>
      </c>
      <c r="U2407" s="2" t="n">
        <f aca="false">INDEX(Summary!$Q$2:$Q$201,MATCH($B2407,Summary!$A$2:$A$201,0))</f>
        <v>13.12</v>
      </c>
      <c r="V2407" s="2" t="n">
        <f aca="false">INDEX(Summary!$R$2:$R$201,MATCH($B2407,Summary!$A$2:$A$201,0))</f>
        <v>28.54</v>
      </c>
      <c r="W2407" s="0" t="str">
        <f aca="false">INDEX(Summary!$S$2:$S$201,MATCH($B2407,Summary!$A$2:$A$201,0))</f>
        <v>Silver</v>
      </c>
      <c r="X2407" s="2" t="n">
        <f aca="false">INDEX(Summary!$T$2:$T$201,MATCH($B2407,Summary!$A$2:$A$201,0))</f>
        <v>69.61</v>
      </c>
      <c r="Y2407" s="0" t="str">
        <f aca="false">INDEX('Reward Model'!$E$18:$E$37,MATCH($E2407,'Reward Model'!$A$18:$A$37,0))</f>
        <v>Medium</v>
      </c>
      <c r="Z2407" s="4" t="n">
        <f aca="false">ROUND(MIN(1,MAX('Reward Model'!$B$2,INDEX('Reward Model'!$C$12:$C$14,MATCH($K2407,'Reward Model'!$A$12:$A$14,0))/$J2407)),3)</f>
        <v>1</v>
      </c>
      <c r="AA2407" s="2" t="n">
        <f aca="false">IF($I2407="Correct",ROUND(INDEX('Reward Model'!$B$12:$B$14,MATCH($K2407,'Reward Model'!$A$12:$A$14,0))*Z2407,2),0)</f>
        <v>1</v>
      </c>
      <c r="AB2407" s="2" t="n">
        <f aca="false">IF($I2407="Correct",ROUND(INDEX('Reward Model'!$B$12:$B$14,MATCH($Y2407,'Reward Model'!$A$12:$A$14,0))*Z2407,2),0)</f>
        <v>2</v>
      </c>
    </row>
    <row r="2408" customFormat="false" ht="15" hidden="false" customHeight="false" outlineLevel="0" collapsed="false">
      <c r="A2408" s="0" t="s">
        <v>372</v>
      </c>
      <c r="B2408" s="0" t="s">
        <v>373</v>
      </c>
      <c r="C2408" s="0" t="s">
        <v>322</v>
      </c>
      <c r="D2408" s="0" t="s">
        <v>31</v>
      </c>
      <c r="E2408" s="0" t="n">
        <v>7</v>
      </c>
      <c r="F2408" s="0" t="s">
        <v>50</v>
      </c>
      <c r="G2408" s="0" t="s">
        <v>51</v>
      </c>
      <c r="H2408" s="0" t="s">
        <v>51</v>
      </c>
      <c r="I2408" s="0" t="s">
        <v>34</v>
      </c>
      <c r="J2408" s="0" t="n">
        <v>1.54</v>
      </c>
      <c r="K2408" s="0" t="s">
        <v>35</v>
      </c>
      <c r="L2408" s="0" t="n">
        <f aca="false">INDEX(Summary!$F$2:$F$201,MATCH($B2408,Summary!$A$2:$A$201,0))</f>
        <v>20</v>
      </c>
      <c r="M2408" s="0" t="n">
        <f aca="false">INDEX(Summary!$I$2:$I$201,MATCH($B2408,Summary!$A$2:$A$201,0))</f>
        <v>3</v>
      </c>
      <c r="N2408" s="0" t="n">
        <f aca="false">INDEX(Summary!$J$2:$J$201,MATCH($B2408,Summary!$A$2:$A$201,0))</f>
        <v>2</v>
      </c>
      <c r="O2408" s="2" t="n">
        <f aca="false">INDEX(Summary!$K$2:$K$201,MATCH($B2408,Summary!$A$2:$A$201,0))</f>
        <v>9.9</v>
      </c>
      <c r="P2408" s="3" t="n">
        <f aca="false">INDEX(Summary!$L$2:$L$201,MATCH($B2408,Summary!$A$2:$A$201,0))</f>
        <v>4</v>
      </c>
      <c r="Q2408" s="3" t="n">
        <f aca="false">INDEX(Summary!$M$2:$M$201,MATCH($B2408,Summary!$A$2:$A$201,0))</f>
        <v>2</v>
      </c>
      <c r="R2408" s="2" t="n">
        <f aca="false">INDEX(Summary!$N$2:$N$201,MATCH($B2408,Summary!$A$2:$A$201,0))</f>
        <v>9.73</v>
      </c>
      <c r="S2408" s="3" t="n">
        <f aca="false">INDEX(Summary!$O$2:$O$201,MATCH($B2408,Summary!$A$2:$A$201,0))</f>
        <v>8</v>
      </c>
      <c r="T2408" s="3" t="n">
        <f aca="false">INDEX(Summary!$P$2:$P$201,MATCH($B2408,Summary!$A$2:$A$201,0))</f>
        <v>1</v>
      </c>
      <c r="U2408" s="2" t="n">
        <f aca="false">INDEX(Summary!$Q$2:$Q$201,MATCH($B2408,Summary!$A$2:$A$201,0))</f>
        <v>13.12</v>
      </c>
      <c r="V2408" s="2" t="n">
        <f aca="false">INDEX(Summary!$R$2:$R$201,MATCH($B2408,Summary!$A$2:$A$201,0))</f>
        <v>28.54</v>
      </c>
      <c r="W2408" s="0" t="str">
        <f aca="false">INDEX(Summary!$S$2:$S$201,MATCH($B2408,Summary!$A$2:$A$201,0))</f>
        <v>Silver</v>
      </c>
      <c r="X2408" s="2" t="n">
        <f aca="false">INDEX(Summary!$T$2:$T$201,MATCH($B2408,Summary!$A$2:$A$201,0))</f>
        <v>69.61</v>
      </c>
      <c r="Y2408" s="0" t="str">
        <f aca="false">INDEX('Reward Model'!$E$18:$E$37,MATCH($E2408,'Reward Model'!$A$18:$A$37,0))</f>
        <v>Low</v>
      </c>
      <c r="Z2408" s="4" t="n">
        <f aca="false">ROUND(MIN(1,MAX('Reward Model'!$B$2,INDEX('Reward Model'!$C$12:$C$14,MATCH($K2408,'Reward Model'!$A$12:$A$14,0))/$J2408)),3)</f>
        <v>0.974</v>
      </c>
      <c r="AA2408" s="2" t="n">
        <f aca="false">IF($I2408="Correct",ROUND(INDEX('Reward Model'!$B$12:$B$14,MATCH($K2408,'Reward Model'!$A$12:$A$14,0))*Z2408,2),0)</f>
        <v>0.97</v>
      </c>
      <c r="AB2408" s="2" t="n">
        <f aca="false">IF($I2408="Correct",ROUND(INDEX('Reward Model'!$B$12:$B$14,MATCH($Y2408,'Reward Model'!$A$12:$A$14,0))*Z2408,2),0)</f>
        <v>0.97</v>
      </c>
    </row>
    <row r="2409" customFormat="false" ht="15" hidden="false" customHeight="false" outlineLevel="0" collapsed="false">
      <c r="A2409" s="0" t="s">
        <v>372</v>
      </c>
      <c r="B2409" s="0" t="s">
        <v>373</v>
      </c>
      <c r="C2409" s="0" t="s">
        <v>322</v>
      </c>
      <c r="D2409" s="0" t="s">
        <v>31</v>
      </c>
      <c r="E2409" s="0" t="n">
        <v>8</v>
      </c>
      <c r="F2409" s="0" t="s">
        <v>52</v>
      </c>
      <c r="G2409" s="0" t="s">
        <v>54</v>
      </c>
      <c r="H2409" s="0" t="s">
        <v>54</v>
      </c>
      <c r="I2409" s="0" t="s">
        <v>34</v>
      </c>
      <c r="J2409" s="0" t="n">
        <v>1.28</v>
      </c>
      <c r="K2409" s="0" t="s">
        <v>35</v>
      </c>
      <c r="L2409" s="0" t="n">
        <f aca="false">INDEX(Summary!$F$2:$F$201,MATCH($B2409,Summary!$A$2:$A$201,0))</f>
        <v>20</v>
      </c>
      <c r="M2409" s="0" t="n">
        <f aca="false">INDEX(Summary!$I$2:$I$201,MATCH($B2409,Summary!$A$2:$A$201,0))</f>
        <v>3</v>
      </c>
      <c r="N2409" s="0" t="n">
        <f aca="false">INDEX(Summary!$J$2:$J$201,MATCH($B2409,Summary!$A$2:$A$201,0))</f>
        <v>2</v>
      </c>
      <c r="O2409" s="2" t="n">
        <f aca="false">INDEX(Summary!$K$2:$K$201,MATCH($B2409,Summary!$A$2:$A$201,0))</f>
        <v>9.9</v>
      </c>
      <c r="P2409" s="3" t="n">
        <f aca="false">INDEX(Summary!$L$2:$L$201,MATCH($B2409,Summary!$A$2:$A$201,0))</f>
        <v>4</v>
      </c>
      <c r="Q2409" s="3" t="n">
        <f aca="false">INDEX(Summary!$M$2:$M$201,MATCH($B2409,Summary!$A$2:$A$201,0))</f>
        <v>2</v>
      </c>
      <c r="R2409" s="2" t="n">
        <f aca="false">INDEX(Summary!$N$2:$N$201,MATCH($B2409,Summary!$A$2:$A$201,0))</f>
        <v>9.73</v>
      </c>
      <c r="S2409" s="3" t="n">
        <f aca="false">INDEX(Summary!$O$2:$O$201,MATCH($B2409,Summary!$A$2:$A$201,0))</f>
        <v>8</v>
      </c>
      <c r="T2409" s="3" t="n">
        <f aca="false">INDEX(Summary!$P$2:$P$201,MATCH($B2409,Summary!$A$2:$A$201,0))</f>
        <v>1</v>
      </c>
      <c r="U2409" s="2" t="n">
        <f aca="false">INDEX(Summary!$Q$2:$Q$201,MATCH($B2409,Summary!$A$2:$A$201,0))</f>
        <v>13.12</v>
      </c>
      <c r="V2409" s="2" t="n">
        <f aca="false">INDEX(Summary!$R$2:$R$201,MATCH($B2409,Summary!$A$2:$A$201,0))</f>
        <v>28.54</v>
      </c>
      <c r="W2409" s="0" t="str">
        <f aca="false">INDEX(Summary!$S$2:$S$201,MATCH($B2409,Summary!$A$2:$A$201,0))</f>
        <v>Silver</v>
      </c>
      <c r="X2409" s="2" t="n">
        <f aca="false">INDEX(Summary!$T$2:$T$201,MATCH($B2409,Summary!$A$2:$A$201,0))</f>
        <v>69.61</v>
      </c>
      <c r="Y2409" s="0" t="str">
        <f aca="false">INDEX('Reward Model'!$E$18:$E$37,MATCH($E2409,'Reward Model'!$A$18:$A$37,0))</f>
        <v>Medium</v>
      </c>
      <c r="Z2409" s="4" t="n">
        <f aca="false">ROUND(MIN(1,MAX('Reward Model'!$B$2,INDEX('Reward Model'!$C$12:$C$14,MATCH($K2409,'Reward Model'!$A$12:$A$14,0))/$J2409)),3)</f>
        <v>1</v>
      </c>
      <c r="AA2409" s="2" t="n">
        <f aca="false">IF($I2409="Correct",ROUND(INDEX('Reward Model'!$B$12:$B$14,MATCH($K2409,'Reward Model'!$A$12:$A$14,0))*Z2409,2),0)</f>
        <v>1</v>
      </c>
      <c r="AB2409" s="2" t="n">
        <f aca="false">IF($I2409="Correct",ROUND(INDEX('Reward Model'!$B$12:$B$14,MATCH($Y2409,'Reward Model'!$A$12:$A$14,0))*Z2409,2),0)</f>
        <v>2</v>
      </c>
    </row>
    <row r="2410" customFormat="false" ht="15" hidden="false" customHeight="false" outlineLevel="0" collapsed="false">
      <c r="A2410" s="0" t="s">
        <v>372</v>
      </c>
      <c r="B2410" s="0" t="s">
        <v>373</v>
      </c>
      <c r="C2410" s="0" t="s">
        <v>322</v>
      </c>
      <c r="D2410" s="0" t="s">
        <v>31</v>
      </c>
      <c r="E2410" s="0" t="n">
        <v>9</v>
      </c>
      <c r="F2410" s="0" t="s">
        <v>55</v>
      </c>
      <c r="G2410" s="0" t="s">
        <v>57</v>
      </c>
      <c r="H2410" s="0" t="s">
        <v>57</v>
      </c>
      <c r="I2410" s="0" t="s">
        <v>34</v>
      </c>
      <c r="J2410" s="0" t="n">
        <v>1.38</v>
      </c>
      <c r="K2410" s="0" t="s">
        <v>35</v>
      </c>
      <c r="L2410" s="0" t="n">
        <f aca="false">INDEX(Summary!$F$2:$F$201,MATCH($B2410,Summary!$A$2:$A$201,0))</f>
        <v>20</v>
      </c>
      <c r="M2410" s="0" t="n">
        <f aca="false">INDEX(Summary!$I$2:$I$201,MATCH($B2410,Summary!$A$2:$A$201,0))</f>
        <v>3</v>
      </c>
      <c r="N2410" s="0" t="n">
        <f aca="false">INDEX(Summary!$J$2:$J$201,MATCH($B2410,Summary!$A$2:$A$201,0))</f>
        <v>2</v>
      </c>
      <c r="O2410" s="2" t="n">
        <f aca="false">INDEX(Summary!$K$2:$K$201,MATCH($B2410,Summary!$A$2:$A$201,0))</f>
        <v>9.9</v>
      </c>
      <c r="P2410" s="3" t="n">
        <f aca="false">INDEX(Summary!$L$2:$L$201,MATCH($B2410,Summary!$A$2:$A$201,0))</f>
        <v>4</v>
      </c>
      <c r="Q2410" s="3" t="n">
        <f aca="false">INDEX(Summary!$M$2:$M$201,MATCH($B2410,Summary!$A$2:$A$201,0))</f>
        <v>2</v>
      </c>
      <c r="R2410" s="2" t="n">
        <f aca="false">INDEX(Summary!$N$2:$N$201,MATCH($B2410,Summary!$A$2:$A$201,0))</f>
        <v>9.73</v>
      </c>
      <c r="S2410" s="3" t="n">
        <f aca="false">INDEX(Summary!$O$2:$O$201,MATCH($B2410,Summary!$A$2:$A$201,0))</f>
        <v>8</v>
      </c>
      <c r="T2410" s="3" t="n">
        <f aca="false">INDEX(Summary!$P$2:$P$201,MATCH($B2410,Summary!$A$2:$A$201,0))</f>
        <v>1</v>
      </c>
      <c r="U2410" s="2" t="n">
        <f aca="false">INDEX(Summary!$Q$2:$Q$201,MATCH($B2410,Summary!$A$2:$A$201,0))</f>
        <v>13.12</v>
      </c>
      <c r="V2410" s="2" t="n">
        <f aca="false">INDEX(Summary!$R$2:$R$201,MATCH($B2410,Summary!$A$2:$A$201,0))</f>
        <v>28.54</v>
      </c>
      <c r="W2410" s="0" t="str">
        <f aca="false">INDEX(Summary!$S$2:$S$201,MATCH($B2410,Summary!$A$2:$A$201,0))</f>
        <v>Silver</v>
      </c>
      <c r="X2410" s="2" t="n">
        <f aca="false">INDEX(Summary!$T$2:$T$201,MATCH($B2410,Summary!$A$2:$A$201,0))</f>
        <v>69.61</v>
      </c>
      <c r="Y2410" s="0" t="str">
        <f aca="false">INDEX('Reward Model'!$E$18:$E$37,MATCH($E2410,'Reward Model'!$A$18:$A$37,0))</f>
        <v>Medium</v>
      </c>
      <c r="Z2410" s="4" t="n">
        <f aca="false">ROUND(MIN(1,MAX('Reward Model'!$B$2,INDEX('Reward Model'!$C$12:$C$14,MATCH($K2410,'Reward Model'!$A$12:$A$14,0))/$J2410)),3)</f>
        <v>1</v>
      </c>
      <c r="AA2410" s="2" t="n">
        <f aca="false">IF($I2410="Correct",ROUND(INDEX('Reward Model'!$B$12:$B$14,MATCH($K2410,'Reward Model'!$A$12:$A$14,0))*Z2410,2),0)</f>
        <v>1</v>
      </c>
      <c r="AB2410" s="2" t="n">
        <f aca="false">IF($I2410="Correct",ROUND(INDEX('Reward Model'!$B$12:$B$14,MATCH($Y2410,'Reward Model'!$A$12:$A$14,0))*Z2410,2),0)</f>
        <v>2</v>
      </c>
    </row>
    <row r="2411" customFormat="false" ht="15" hidden="false" customHeight="false" outlineLevel="0" collapsed="false">
      <c r="A2411" s="0" t="s">
        <v>372</v>
      </c>
      <c r="B2411" s="0" t="s">
        <v>373</v>
      </c>
      <c r="C2411" s="0" t="s">
        <v>322</v>
      </c>
      <c r="D2411" s="0" t="s">
        <v>31</v>
      </c>
      <c r="E2411" s="0" t="n">
        <v>10</v>
      </c>
      <c r="F2411" s="0" t="s">
        <v>58</v>
      </c>
      <c r="G2411" s="0" t="s">
        <v>99</v>
      </c>
      <c r="H2411" s="0" t="s">
        <v>59</v>
      </c>
      <c r="I2411" s="0" t="s">
        <v>39</v>
      </c>
      <c r="J2411" s="0" t="n">
        <v>1.17</v>
      </c>
      <c r="K2411" s="0" t="s">
        <v>60</v>
      </c>
      <c r="L2411" s="0" t="n">
        <f aca="false">INDEX(Summary!$F$2:$F$201,MATCH($B2411,Summary!$A$2:$A$201,0))</f>
        <v>20</v>
      </c>
      <c r="M2411" s="0" t="n">
        <f aca="false">INDEX(Summary!$I$2:$I$201,MATCH($B2411,Summary!$A$2:$A$201,0))</f>
        <v>3</v>
      </c>
      <c r="N2411" s="0" t="n">
        <f aca="false">INDEX(Summary!$J$2:$J$201,MATCH($B2411,Summary!$A$2:$A$201,0))</f>
        <v>2</v>
      </c>
      <c r="O2411" s="2" t="n">
        <f aca="false">INDEX(Summary!$K$2:$K$201,MATCH($B2411,Summary!$A$2:$A$201,0))</f>
        <v>9.9</v>
      </c>
      <c r="P2411" s="3" t="n">
        <f aca="false">INDEX(Summary!$L$2:$L$201,MATCH($B2411,Summary!$A$2:$A$201,0))</f>
        <v>4</v>
      </c>
      <c r="Q2411" s="3" t="n">
        <f aca="false">INDEX(Summary!$M$2:$M$201,MATCH($B2411,Summary!$A$2:$A$201,0))</f>
        <v>2</v>
      </c>
      <c r="R2411" s="2" t="n">
        <f aca="false">INDEX(Summary!$N$2:$N$201,MATCH($B2411,Summary!$A$2:$A$201,0))</f>
        <v>9.73</v>
      </c>
      <c r="S2411" s="3" t="n">
        <f aca="false">INDEX(Summary!$O$2:$O$201,MATCH($B2411,Summary!$A$2:$A$201,0))</f>
        <v>8</v>
      </c>
      <c r="T2411" s="3" t="n">
        <f aca="false">INDEX(Summary!$P$2:$P$201,MATCH($B2411,Summary!$A$2:$A$201,0))</f>
        <v>1</v>
      </c>
      <c r="U2411" s="2" t="n">
        <f aca="false">INDEX(Summary!$Q$2:$Q$201,MATCH($B2411,Summary!$A$2:$A$201,0))</f>
        <v>13.12</v>
      </c>
      <c r="V2411" s="2" t="n">
        <f aca="false">INDEX(Summary!$R$2:$R$201,MATCH($B2411,Summary!$A$2:$A$201,0))</f>
        <v>28.54</v>
      </c>
      <c r="W2411" s="0" t="str">
        <f aca="false">INDEX(Summary!$S$2:$S$201,MATCH($B2411,Summary!$A$2:$A$201,0))</f>
        <v>Silver</v>
      </c>
      <c r="X2411" s="2" t="n">
        <f aca="false">INDEX(Summary!$T$2:$T$201,MATCH($B2411,Summary!$A$2:$A$201,0))</f>
        <v>69.61</v>
      </c>
      <c r="Y2411" s="0" t="str">
        <f aca="false">INDEX('Reward Model'!$E$18:$E$37,MATCH($E2411,'Reward Model'!$A$18:$A$37,0))</f>
        <v>Medium</v>
      </c>
      <c r="Z2411" s="4" t="n">
        <f aca="false">ROUND(MIN(1,MAX('Reward Model'!$B$2,INDEX('Reward Model'!$C$12:$C$14,MATCH($K2411,'Reward Model'!$A$12:$A$14,0))/$J2411)),3)</f>
        <v>1</v>
      </c>
      <c r="AA2411" s="2" t="n">
        <f aca="false">IF($I2411="Correct",ROUND(INDEX('Reward Model'!$B$12:$B$14,MATCH($K2411,'Reward Model'!$A$12:$A$14,0))*Z2411,2),0)</f>
        <v>0</v>
      </c>
      <c r="AB2411" s="2" t="n">
        <f aca="false">IF($I2411="Correct",ROUND(INDEX('Reward Model'!$B$12:$B$14,MATCH($Y2411,'Reward Model'!$A$12:$A$14,0))*Z2411,2),0)</f>
        <v>0</v>
      </c>
    </row>
    <row r="2412" customFormat="false" ht="15" hidden="false" customHeight="false" outlineLevel="0" collapsed="false">
      <c r="A2412" s="0" t="s">
        <v>372</v>
      </c>
      <c r="B2412" s="0" t="s">
        <v>373</v>
      </c>
      <c r="C2412" s="0" t="s">
        <v>322</v>
      </c>
      <c r="D2412" s="0" t="s">
        <v>31</v>
      </c>
      <c r="E2412" s="0" t="n">
        <v>11</v>
      </c>
      <c r="F2412" s="0" t="s">
        <v>61</v>
      </c>
      <c r="G2412" s="0" t="s">
        <v>150</v>
      </c>
      <c r="H2412" s="0" t="s">
        <v>63</v>
      </c>
      <c r="I2412" s="0" t="s">
        <v>39</v>
      </c>
      <c r="J2412" s="0" t="n">
        <v>1.37</v>
      </c>
      <c r="K2412" s="0" t="s">
        <v>60</v>
      </c>
      <c r="L2412" s="0" t="n">
        <f aca="false">INDEX(Summary!$F$2:$F$201,MATCH($B2412,Summary!$A$2:$A$201,0))</f>
        <v>20</v>
      </c>
      <c r="M2412" s="0" t="n">
        <f aca="false">INDEX(Summary!$I$2:$I$201,MATCH($B2412,Summary!$A$2:$A$201,0))</f>
        <v>3</v>
      </c>
      <c r="N2412" s="0" t="n">
        <f aca="false">INDEX(Summary!$J$2:$J$201,MATCH($B2412,Summary!$A$2:$A$201,0))</f>
        <v>2</v>
      </c>
      <c r="O2412" s="2" t="n">
        <f aca="false">INDEX(Summary!$K$2:$K$201,MATCH($B2412,Summary!$A$2:$A$201,0))</f>
        <v>9.9</v>
      </c>
      <c r="P2412" s="3" t="n">
        <f aca="false">INDEX(Summary!$L$2:$L$201,MATCH($B2412,Summary!$A$2:$A$201,0))</f>
        <v>4</v>
      </c>
      <c r="Q2412" s="3" t="n">
        <f aca="false">INDEX(Summary!$M$2:$M$201,MATCH($B2412,Summary!$A$2:$A$201,0))</f>
        <v>2</v>
      </c>
      <c r="R2412" s="2" t="n">
        <f aca="false">INDEX(Summary!$N$2:$N$201,MATCH($B2412,Summary!$A$2:$A$201,0))</f>
        <v>9.73</v>
      </c>
      <c r="S2412" s="3" t="n">
        <f aca="false">INDEX(Summary!$O$2:$O$201,MATCH($B2412,Summary!$A$2:$A$201,0))</f>
        <v>8</v>
      </c>
      <c r="T2412" s="3" t="n">
        <f aca="false">INDEX(Summary!$P$2:$P$201,MATCH($B2412,Summary!$A$2:$A$201,0))</f>
        <v>1</v>
      </c>
      <c r="U2412" s="2" t="n">
        <f aca="false">INDEX(Summary!$Q$2:$Q$201,MATCH($B2412,Summary!$A$2:$A$201,0))</f>
        <v>13.12</v>
      </c>
      <c r="V2412" s="2" t="n">
        <f aca="false">INDEX(Summary!$R$2:$R$201,MATCH($B2412,Summary!$A$2:$A$201,0))</f>
        <v>28.54</v>
      </c>
      <c r="W2412" s="0" t="str">
        <f aca="false">INDEX(Summary!$S$2:$S$201,MATCH($B2412,Summary!$A$2:$A$201,0))</f>
        <v>Silver</v>
      </c>
      <c r="X2412" s="2" t="n">
        <f aca="false">INDEX(Summary!$T$2:$T$201,MATCH($B2412,Summary!$A$2:$A$201,0))</f>
        <v>69.61</v>
      </c>
      <c r="Y2412" s="0" t="str">
        <f aca="false">INDEX('Reward Model'!$E$18:$E$37,MATCH($E2412,'Reward Model'!$A$18:$A$37,0))</f>
        <v>Medium</v>
      </c>
      <c r="Z2412" s="4" t="n">
        <f aca="false">ROUND(MIN(1,MAX('Reward Model'!$B$2,INDEX('Reward Model'!$C$12:$C$14,MATCH($K2412,'Reward Model'!$A$12:$A$14,0))/$J2412)),3)</f>
        <v>1</v>
      </c>
      <c r="AA2412" s="2" t="n">
        <f aca="false">IF($I2412="Correct",ROUND(INDEX('Reward Model'!$B$12:$B$14,MATCH($K2412,'Reward Model'!$A$12:$A$14,0))*Z2412,2),0)</f>
        <v>0</v>
      </c>
      <c r="AB2412" s="2" t="n">
        <f aca="false">IF($I2412="Correct",ROUND(INDEX('Reward Model'!$B$12:$B$14,MATCH($Y2412,'Reward Model'!$A$12:$A$14,0))*Z2412,2),0)</f>
        <v>0</v>
      </c>
    </row>
    <row r="2413" customFormat="false" ht="15" hidden="false" customHeight="false" outlineLevel="0" collapsed="false">
      <c r="A2413" s="0" t="s">
        <v>372</v>
      </c>
      <c r="B2413" s="0" t="s">
        <v>373</v>
      </c>
      <c r="C2413" s="0" t="s">
        <v>322</v>
      </c>
      <c r="D2413" s="0" t="s">
        <v>31</v>
      </c>
      <c r="E2413" s="0" t="n">
        <v>12</v>
      </c>
      <c r="F2413" s="0" t="s">
        <v>64</v>
      </c>
      <c r="G2413" s="0" t="s">
        <v>65</v>
      </c>
      <c r="H2413" s="0" t="s">
        <v>65</v>
      </c>
      <c r="I2413" s="0" t="s">
        <v>34</v>
      </c>
      <c r="J2413" s="0" t="n">
        <v>2.29</v>
      </c>
      <c r="K2413" s="0" t="s">
        <v>60</v>
      </c>
      <c r="L2413" s="0" t="n">
        <f aca="false">INDEX(Summary!$F$2:$F$201,MATCH($B2413,Summary!$A$2:$A$201,0))</f>
        <v>20</v>
      </c>
      <c r="M2413" s="0" t="n">
        <f aca="false">INDEX(Summary!$I$2:$I$201,MATCH($B2413,Summary!$A$2:$A$201,0))</f>
        <v>3</v>
      </c>
      <c r="N2413" s="0" t="n">
        <f aca="false">INDEX(Summary!$J$2:$J$201,MATCH($B2413,Summary!$A$2:$A$201,0))</f>
        <v>2</v>
      </c>
      <c r="O2413" s="2" t="n">
        <f aca="false">INDEX(Summary!$K$2:$K$201,MATCH($B2413,Summary!$A$2:$A$201,0))</f>
        <v>9.9</v>
      </c>
      <c r="P2413" s="3" t="n">
        <f aca="false">INDEX(Summary!$L$2:$L$201,MATCH($B2413,Summary!$A$2:$A$201,0))</f>
        <v>4</v>
      </c>
      <c r="Q2413" s="3" t="n">
        <f aca="false">INDEX(Summary!$M$2:$M$201,MATCH($B2413,Summary!$A$2:$A$201,0))</f>
        <v>2</v>
      </c>
      <c r="R2413" s="2" t="n">
        <f aca="false">INDEX(Summary!$N$2:$N$201,MATCH($B2413,Summary!$A$2:$A$201,0))</f>
        <v>9.73</v>
      </c>
      <c r="S2413" s="3" t="n">
        <f aca="false">INDEX(Summary!$O$2:$O$201,MATCH($B2413,Summary!$A$2:$A$201,0))</f>
        <v>8</v>
      </c>
      <c r="T2413" s="3" t="n">
        <f aca="false">INDEX(Summary!$P$2:$P$201,MATCH($B2413,Summary!$A$2:$A$201,0))</f>
        <v>1</v>
      </c>
      <c r="U2413" s="2" t="n">
        <f aca="false">INDEX(Summary!$Q$2:$Q$201,MATCH($B2413,Summary!$A$2:$A$201,0))</f>
        <v>13.12</v>
      </c>
      <c r="V2413" s="2" t="n">
        <f aca="false">INDEX(Summary!$R$2:$R$201,MATCH($B2413,Summary!$A$2:$A$201,0))</f>
        <v>28.54</v>
      </c>
      <c r="W2413" s="0" t="str">
        <f aca="false">INDEX(Summary!$S$2:$S$201,MATCH($B2413,Summary!$A$2:$A$201,0))</f>
        <v>Silver</v>
      </c>
      <c r="X2413" s="2" t="n">
        <f aca="false">INDEX(Summary!$T$2:$T$201,MATCH($B2413,Summary!$A$2:$A$201,0))</f>
        <v>69.61</v>
      </c>
      <c r="Y2413" s="0" t="str">
        <f aca="false">INDEX('Reward Model'!$E$18:$E$37,MATCH($E2413,'Reward Model'!$A$18:$A$37,0))</f>
        <v>Medium</v>
      </c>
      <c r="Z2413" s="4" t="n">
        <f aca="false">ROUND(MIN(1,MAX('Reward Model'!$B$2,INDEX('Reward Model'!$C$12:$C$14,MATCH($K2413,'Reward Model'!$A$12:$A$14,0))/$J2413)),3)</f>
        <v>0.786</v>
      </c>
      <c r="AA2413" s="2" t="n">
        <f aca="false">IF($I2413="Correct",ROUND(INDEX('Reward Model'!$B$12:$B$14,MATCH($K2413,'Reward Model'!$A$12:$A$14,0))*Z2413,2),0)</f>
        <v>1.57</v>
      </c>
      <c r="AB2413" s="2" t="n">
        <f aca="false">IF($I2413="Correct",ROUND(INDEX('Reward Model'!$B$12:$B$14,MATCH($Y2413,'Reward Model'!$A$12:$A$14,0))*Z2413,2),0)</f>
        <v>1.57</v>
      </c>
    </row>
    <row r="2414" customFormat="false" ht="15" hidden="false" customHeight="false" outlineLevel="0" collapsed="false">
      <c r="A2414" s="0" t="s">
        <v>372</v>
      </c>
      <c r="B2414" s="0" t="s">
        <v>373</v>
      </c>
      <c r="C2414" s="0" t="s">
        <v>322</v>
      </c>
      <c r="D2414" s="0" t="s">
        <v>31</v>
      </c>
      <c r="E2414" s="0" t="n">
        <v>13</v>
      </c>
      <c r="F2414" s="0" t="s">
        <v>66</v>
      </c>
      <c r="G2414" s="0" t="s">
        <v>67</v>
      </c>
      <c r="H2414" s="0" t="s">
        <v>67</v>
      </c>
      <c r="I2414" s="0" t="s">
        <v>34</v>
      </c>
      <c r="J2414" s="0" t="n">
        <v>1.36</v>
      </c>
      <c r="K2414" s="0" t="s">
        <v>60</v>
      </c>
      <c r="L2414" s="0" t="n">
        <f aca="false">INDEX(Summary!$F$2:$F$201,MATCH($B2414,Summary!$A$2:$A$201,0))</f>
        <v>20</v>
      </c>
      <c r="M2414" s="0" t="n">
        <f aca="false">INDEX(Summary!$I$2:$I$201,MATCH($B2414,Summary!$A$2:$A$201,0))</f>
        <v>3</v>
      </c>
      <c r="N2414" s="0" t="n">
        <f aca="false">INDEX(Summary!$J$2:$J$201,MATCH($B2414,Summary!$A$2:$A$201,0))</f>
        <v>2</v>
      </c>
      <c r="O2414" s="2" t="n">
        <f aca="false">INDEX(Summary!$K$2:$K$201,MATCH($B2414,Summary!$A$2:$A$201,0))</f>
        <v>9.9</v>
      </c>
      <c r="P2414" s="3" t="n">
        <f aca="false">INDEX(Summary!$L$2:$L$201,MATCH($B2414,Summary!$A$2:$A$201,0))</f>
        <v>4</v>
      </c>
      <c r="Q2414" s="3" t="n">
        <f aca="false">INDEX(Summary!$M$2:$M$201,MATCH($B2414,Summary!$A$2:$A$201,0))</f>
        <v>2</v>
      </c>
      <c r="R2414" s="2" t="n">
        <f aca="false">INDEX(Summary!$N$2:$N$201,MATCH($B2414,Summary!$A$2:$A$201,0))</f>
        <v>9.73</v>
      </c>
      <c r="S2414" s="3" t="n">
        <f aca="false">INDEX(Summary!$O$2:$O$201,MATCH($B2414,Summary!$A$2:$A$201,0))</f>
        <v>8</v>
      </c>
      <c r="T2414" s="3" t="n">
        <f aca="false">INDEX(Summary!$P$2:$P$201,MATCH($B2414,Summary!$A$2:$A$201,0))</f>
        <v>1</v>
      </c>
      <c r="U2414" s="2" t="n">
        <f aca="false">INDEX(Summary!$Q$2:$Q$201,MATCH($B2414,Summary!$A$2:$A$201,0))</f>
        <v>13.12</v>
      </c>
      <c r="V2414" s="2" t="n">
        <f aca="false">INDEX(Summary!$R$2:$R$201,MATCH($B2414,Summary!$A$2:$A$201,0))</f>
        <v>28.54</v>
      </c>
      <c r="W2414" s="0" t="str">
        <f aca="false">INDEX(Summary!$S$2:$S$201,MATCH($B2414,Summary!$A$2:$A$201,0))</f>
        <v>Silver</v>
      </c>
      <c r="X2414" s="2" t="n">
        <f aca="false">INDEX(Summary!$T$2:$T$201,MATCH($B2414,Summary!$A$2:$A$201,0))</f>
        <v>69.61</v>
      </c>
      <c r="Y2414" s="0" t="str">
        <f aca="false">INDEX('Reward Model'!$E$18:$E$37,MATCH($E2414,'Reward Model'!$A$18:$A$37,0))</f>
        <v>Medium</v>
      </c>
      <c r="Z2414" s="4" t="n">
        <f aca="false">ROUND(MIN(1,MAX('Reward Model'!$B$2,INDEX('Reward Model'!$C$12:$C$14,MATCH($K2414,'Reward Model'!$A$12:$A$14,0))/$J2414)),3)</f>
        <v>1</v>
      </c>
      <c r="AA2414" s="2" t="n">
        <f aca="false">IF($I2414="Correct",ROUND(INDEX('Reward Model'!$B$12:$B$14,MATCH($K2414,'Reward Model'!$A$12:$A$14,0))*Z2414,2),0)</f>
        <v>2</v>
      </c>
      <c r="AB2414" s="2" t="n">
        <f aca="false">IF($I2414="Correct",ROUND(INDEX('Reward Model'!$B$12:$B$14,MATCH($Y2414,'Reward Model'!$A$12:$A$14,0))*Z2414,2),0)</f>
        <v>2</v>
      </c>
    </row>
    <row r="2415" customFormat="false" ht="15" hidden="false" customHeight="false" outlineLevel="0" collapsed="false">
      <c r="A2415" s="0" t="s">
        <v>372</v>
      </c>
      <c r="B2415" s="0" t="s">
        <v>373</v>
      </c>
      <c r="C2415" s="0" t="s">
        <v>322</v>
      </c>
      <c r="D2415" s="0" t="s">
        <v>31</v>
      </c>
      <c r="E2415" s="0" t="n">
        <v>14</v>
      </c>
      <c r="F2415" s="0" t="s">
        <v>68</v>
      </c>
      <c r="G2415" s="0" t="s">
        <v>51</v>
      </c>
      <c r="H2415" s="0" t="s">
        <v>51</v>
      </c>
      <c r="I2415" s="0" t="s">
        <v>34</v>
      </c>
      <c r="J2415" s="0" t="n">
        <v>1.63</v>
      </c>
      <c r="K2415" s="0" t="s">
        <v>60</v>
      </c>
      <c r="L2415" s="0" t="n">
        <f aca="false">INDEX(Summary!$F$2:$F$201,MATCH($B2415,Summary!$A$2:$A$201,0))</f>
        <v>20</v>
      </c>
      <c r="M2415" s="0" t="n">
        <f aca="false">INDEX(Summary!$I$2:$I$201,MATCH($B2415,Summary!$A$2:$A$201,0))</f>
        <v>3</v>
      </c>
      <c r="N2415" s="0" t="n">
        <f aca="false">INDEX(Summary!$J$2:$J$201,MATCH($B2415,Summary!$A$2:$A$201,0))</f>
        <v>2</v>
      </c>
      <c r="O2415" s="2" t="n">
        <f aca="false">INDEX(Summary!$K$2:$K$201,MATCH($B2415,Summary!$A$2:$A$201,0))</f>
        <v>9.9</v>
      </c>
      <c r="P2415" s="3" t="n">
        <f aca="false">INDEX(Summary!$L$2:$L$201,MATCH($B2415,Summary!$A$2:$A$201,0))</f>
        <v>4</v>
      </c>
      <c r="Q2415" s="3" t="n">
        <f aca="false">INDEX(Summary!$M$2:$M$201,MATCH($B2415,Summary!$A$2:$A$201,0))</f>
        <v>2</v>
      </c>
      <c r="R2415" s="2" t="n">
        <f aca="false">INDEX(Summary!$N$2:$N$201,MATCH($B2415,Summary!$A$2:$A$201,0))</f>
        <v>9.73</v>
      </c>
      <c r="S2415" s="3" t="n">
        <f aca="false">INDEX(Summary!$O$2:$O$201,MATCH($B2415,Summary!$A$2:$A$201,0))</f>
        <v>8</v>
      </c>
      <c r="T2415" s="3" t="n">
        <f aca="false">INDEX(Summary!$P$2:$P$201,MATCH($B2415,Summary!$A$2:$A$201,0))</f>
        <v>1</v>
      </c>
      <c r="U2415" s="2" t="n">
        <f aca="false">INDEX(Summary!$Q$2:$Q$201,MATCH($B2415,Summary!$A$2:$A$201,0))</f>
        <v>13.12</v>
      </c>
      <c r="V2415" s="2" t="n">
        <f aca="false">INDEX(Summary!$R$2:$R$201,MATCH($B2415,Summary!$A$2:$A$201,0))</f>
        <v>28.54</v>
      </c>
      <c r="W2415" s="0" t="str">
        <f aca="false">INDEX(Summary!$S$2:$S$201,MATCH($B2415,Summary!$A$2:$A$201,0))</f>
        <v>Silver</v>
      </c>
      <c r="X2415" s="2" t="n">
        <f aca="false">INDEX(Summary!$T$2:$T$201,MATCH($B2415,Summary!$A$2:$A$201,0))</f>
        <v>69.61</v>
      </c>
      <c r="Y2415" s="0" t="str">
        <f aca="false">INDEX('Reward Model'!$E$18:$E$37,MATCH($E2415,'Reward Model'!$A$18:$A$37,0))</f>
        <v>Medium</v>
      </c>
      <c r="Z2415" s="4" t="n">
        <f aca="false">ROUND(MIN(1,MAX('Reward Model'!$B$2,INDEX('Reward Model'!$C$12:$C$14,MATCH($K2415,'Reward Model'!$A$12:$A$14,0))/$J2415)),3)</f>
        <v>1</v>
      </c>
      <c r="AA2415" s="2" t="n">
        <f aca="false">IF($I2415="Correct",ROUND(INDEX('Reward Model'!$B$12:$B$14,MATCH($K2415,'Reward Model'!$A$12:$A$14,0))*Z2415,2),0)</f>
        <v>2</v>
      </c>
      <c r="AB2415" s="2" t="n">
        <f aca="false">IF($I2415="Correct",ROUND(INDEX('Reward Model'!$B$12:$B$14,MATCH($Y2415,'Reward Model'!$A$12:$A$14,0))*Z2415,2),0)</f>
        <v>2</v>
      </c>
    </row>
    <row r="2416" customFormat="false" ht="15" hidden="false" customHeight="false" outlineLevel="0" collapsed="false">
      <c r="A2416" s="0" t="s">
        <v>372</v>
      </c>
      <c r="B2416" s="0" t="s">
        <v>373</v>
      </c>
      <c r="C2416" s="0" t="s">
        <v>322</v>
      </c>
      <c r="D2416" s="0" t="s">
        <v>31</v>
      </c>
      <c r="E2416" s="0" t="n">
        <v>15</v>
      </c>
      <c r="F2416" s="0" t="s">
        <v>69</v>
      </c>
      <c r="G2416" s="0" t="s">
        <v>70</v>
      </c>
      <c r="H2416" s="0" t="s">
        <v>70</v>
      </c>
      <c r="I2416" s="0" t="s">
        <v>34</v>
      </c>
      <c r="J2416" s="0" t="n">
        <v>1.91</v>
      </c>
      <c r="K2416" s="0" t="s">
        <v>60</v>
      </c>
      <c r="L2416" s="0" t="n">
        <f aca="false">INDEX(Summary!$F$2:$F$201,MATCH($B2416,Summary!$A$2:$A$201,0))</f>
        <v>20</v>
      </c>
      <c r="M2416" s="0" t="n">
        <f aca="false">INDEX(Summary!$I$2:$I$201,MATCH($B2416,Summary!$A$2:$A$201,0))</f>
        <v>3</v>
      </c>
      <c r="N2416" s="0" t="n">
        <f aca="false">INDEX(Summary!$J$2:$J$201,MATCH($B2416,Summary!$A$2:$A$201,0))</f>
        <v>2</v>
      </c>
      <c r="O2416" s="2" t="n">
        <f aca="false">INDEX(Summary!$K$2:$K$201,MATCH($B2416,Summary!$A$2:$A$201,0))</f>
        <v>9.9</v>
      </c>
      <c r="P2416" s="3" t="n">
        <f aca="false">INDEX(Summary!$L$2:$L$201,MATCH($B2416,Summary!$A$2:$A$201,0))</f>
        <v>4</v>
      </c>
      <c r="Q2416" s="3" t="n">
        <f aca="false">INDEX(Summary!$M$2:$M$201,MATCH($B2416,Summary!$A$2:$A$201,0))</f>
        <v>2</v>
      </c>
      <c r="R2416" s="2" t="n">
        <f aca="false">INDEX(Summary!$N$2:$N$201,MATCH($B2416,Summary!$A$2:$A$201,0))</f>
        <v>9.73</v>
      </c>
      <c r="S2416" s="3" t="n">
        <f aca="false">INDEX(Summary!$O$2:$O$201,MATCH($B2416,Summary!$A$2:$A$201,0))</f>
        <v>8</v>
      </c>
      <c r="T2416" s="3" t="n">
        <f aca="false">INDEX(Summary!$P$2:$P$201,MATCH($B2416,Summary!$A$2:$A$201,0))</f>
        <v>1</v>
      </c>
      <c r="U2416" s="2" t="n">
        <f aca="false">INDEX(Summary!$Q$2:$Q$201,MATCH($B2416,Summary!$A$2:$A$201,0))</f>
        <v>13.12</v>
      </c>
      <c r="V2416" s="2" t="n">
        <f aca="false">INDEX(Summary!$R$2:$R$201,MATCH($B2416,Summary!$A$2:$A$201,0))</f>
        <v>28.54</v>
      </c>
      <c r="W2416" s="0" t="str">
        <f aca="false">INDEX(Summary!$S$2:$S$201,MATCH($B2416,Summary!$A$2:$A$201,0))</f>
        <v>Silver</v>
      </c>
      <c r="X2416" s="2" t="n">
        <f aca="false">INDEX(Summary!$T$2:$T$201,MATCH($B2416,Summary!$A$2:$A$201,0))</f>
        <v>69.61</v>
      </c>
      <c r="Y2416" s="0" t="str">
        <f aca="false">INDEX('Reward Model'!$E$18:$E$37,MATCH($E2416,'Reward Model'!$A$18:$A$37,0))</f>
        <v>Medium</v>
      </c>
      <c r="Z2416" s="4" t="n">
        <f aca="false">ROUND(MIN(1,MAX('Reward Model'!$B$2,INDEX('Reward Model'!$C$12:$C$14,MATCH($K2416,'Reward Model'!$A$12:$A$14,0))/$J2416)),3)</f>
        <v>0.942</v>
      </c>
      <c r="AA2416" s="2" t="n">
        <f aca="false">IF($I2416="Correct",ROUND(INDEX('Reward Model'!$B$12:$B$14,MATCH($K2416,'Reward Model'!$A$12:$A$14,0))*Z2416,2),0)</f>
        <v>1.88</v>
      </c>
      <c r="AB2416" s="2" t="n">
        <f aca="false">IF($I2416="Correct",ROUND(INDEX('Reward Model'!$B$12:$B$14,MATCH($Y2416,'Reward Model'!$A$12:$A$14,0))*Z2416,2),0)</f>
        <v>1.88</v>
      </c>
    </row>
    <row r="2417" customFormat="false" ht="15" hidden="false" customHeight="false" outlineLevel="0" collapsed="false">
      <c r="A2417" s="0" t="s">
        <v>372</v>
      </c>
      <c r="B2417" s="0" t="s">
        <v>373</v>
      </c>
      <c r="C2417" s="0" t="s">
        <v>322</v>
      </c>
      <c r="D2417" s="0" t="s">
        <v>31</v>
      </c>
      <c r="E2417" s="0" t="n">
        <v>16</v>
      </c>
      <c r="F2417" s="0" t="s">
        <v>71</v>
      </c>
      <c r="G2417" s="0" t="s">
        <v>101</v>
      </c>
      <c r="H2417" s="0" t="s">
        <v>72</v>
      </c>
      <c r="I2417" s="0" t="s">
        <v>39</v>
      </c>
      <c r="J2417" s="0" t="n">
        <v>2.51</v>
      </c>
      <c r="K2417" s="0" t="s">
        <v>73</v>
      </c>
      <c r="L2417" s="0" t="n">
        <f aca="false">INDEX(Summary!$F$2:$F$201,MATCH($B2417,Summary!$A$2:$A$201,0))</f>
        <v>20</v>
      </c>
      <c r="M2417" s="0" t="n">
        <f aca="false">INDEX(Summary!$I$2:$I$201,MATCH($B2417,Summary!$A$2:$A$201,0))</f>
        <v>3</v>
      </c>
      <c r="N2417" s="0" t="n">
        <f aca="false">INDEX(Summary!$J$2:$J$201,MATCH($B2417,Summary!$A$2:$A$201,0))</f>
        <v>2</v>
      </c>
      <c r="O2417" s="2" t="n">
        <f aca="false">INDEX(Summary!$K$2:$K$201,MATCH($B2417,Summary!$A$2:$A$201,0))</f>
        <v>9.9</v>
      </c>
      <c r="P2417" s="3" t="n">
        <f aca="false">INDEX(Summary!$L$2:$L$201,MATCH($B2417,Summary!$A$2:$A$201,0))</f>
        <v>4</v>
      </c>
      <c r="Q2417" s="3" t="n">
        <f aca="false">INDEX(Summary!$M$2:$M$201,MATCH($B2417,Summary!$A$2:$A$201,0))</f>
        <v>2</v>
      </c>
      <c r="R2417" s="2" t="n">
        <f aca="false">INDEX(Summary!$N$2:$N$201,MATCH($B2417,Summary!$A$2:$A$201,0))</f>
        <v>9.73</v>
      </c>
      <c r="S2417" s="3" t="n">
        <f aca="false">INDEX(Summary!$O$2:$O$201,MATCH($B2417,Summary!$A$2:$A$201,0))</f>
        <v>8</v>
      </c>
      <c r="T2417" s="3" t="n">
        <f aca="false">INDEX(Summary!$P$2:$P$201,MATCH($B2417,Summary!$A$2:$A$201,0))</f>
        <v>1</v>
      </c>
      <c r="U2417" s="2" t="n">
        <f aca="false">INDEX(Summary!$Q$2:$Q$201,MATCH($B2417,Summary!$A$2:$A$201,0))</f>
        <v>13.12</v>
      </c>
      <c r="V2417" s="2" t="n">
        <f aca="false">INDEX(Summary!$R$2:$R$201,MATCH($B2417,Summary!$A$2:$A$201,0))</f>
        <v>28.54</v>
      </c>
      <c r="W2417" s="0" t="str">
        <f aca="false">INDEX(Summary!$S$2:$S$201,MATCH($B2417,Summary!$A$2:$A$201,0))</f>
        <v>Silver</v>
      </c>
      <c r="X2417" s="2" t="n">
        <f aca="false">INDEX(Summary!$T$2:$T$201,MATCH($B2417,Summary!$A$2:$A$201,0))</f>
        <v>69.61</v>
      </c>
      <c r="Y2417" s="0" t="str">
        <f aca="false">INDEX('Reward Model'!$E$18:$E$37,MATCH($E2417,'Reward Model'!$A$18:$A$37,0))</f>
        <v>High</v>
      </c>
      <c r="Z2417" s="4" t="n">
        <f aca="false">ROUND(MIN(1,MAX('Reward Model'!$B$2,INDEX('Reward Model'!$C$12:$C$14,MATCH($K2417,'Reward Model'!$A$12:$A$14,0))/$J2417)),3)</f>
        <v>0.797</v>
      </c>
      <c r="AA2417" s="2" t="n">
        <f aca="false">IF($I2417="Correct",ROUND(INDEX('Reward Model'!$B$12:$B$14,MATCH($K2417,'Reward Model'!$A$12:$A$14,0))*Z2417,2),0)</f>
        <v>0</v>
      </c>
      <c r="AB2417" s="2" t="n">
        <f aca="false">IF($I2417="Correct",ROUND(INDEX('Reward Model'!$B$12:$B$14,MATCH($Y2417,'Reward Model'!$A$12:$A$14,0))*Z2417,2),0)</f>
        <v>0</v>
      </c>
    </row>
    <row r="2418" customFormat="false" ht="15" hidden="false" customHeight="false" outlineLevel="0" collapsed="false">
      <c r="A2418" s="0" t="s">
        <v>372</v>
      </c>
      <c r="B2418" s="0" t="s">
        <v>373</v>
      </c>
      <c r="C2418" s="0" t="s">
        <v>322</v>
      </c>
      <c r="D2418" s="0" t="s">
        <v>31</v>
      </c>
      <c r="E2418" s="0" t="n">
        <v>17</v>
      </c>
      <c r="F2418" s="0" t="s">
        <v>74</v>
      </c>
      <c r="G2418" s="0" t="s">
        <v>113</v>
      </c>
      <c r="H2418" s="0" t="s">
        <v>75</v>
      </c>
      <c r="I2418" s="0" t="s">
        <v>39</v>
      </c>
      <c r="J2418" s="0" t="n">
        <v>2.36</v>
      </c>
      <c r="K2418" s="0" t="s">
        <v>73</v>
      </c>
      <c r="L2418" s="0" t="n">
        <f aca="false">INDEX(Summary!$F$2:$F$201,MATCH($B2418,Summary!$A$2:$A$201,0))</f>
        <v>20</v>
      </c>
      <c r="M2418" s="0" t="n">
        <f aca="false">INDEX(Summary!$I$2:$I$201,MATCH($B2418,Summary!$A$2:$A$201,0))</f>
        <v>3</v>
      </c>
      <c r="N2418" s="0" t="n">
        <f aca="false">INDEX(Summary!$J$2:$J$201,MATCH($B2418,Summary!$A$2:$A$201,0))</f>
        <v>2</v>
      </c>
      <c r="O2418" s="2" t="n">
        <f aca="false">INDEX(Summary!$K$2:$K$201,MATCH($B2418,Summary!$A$2:$A$201,0))</f>
        <v>9.9</v>
      </c>
      <c r="P2418" s="3" t="n">
        <f aca="false">INDEX(Summary!$L$2:$L$201,MATCH($B2418,Summary!$A$2:$A$201,0))</f>
        <v>4</v>
      </c>
      <c r="Q2418" s="3" t="n">
        <f aca="false">INDEX(Summary!$M$2:$M$201,MATCH($B2418,Summary!$A$2:$A$201,0))</f>
        <v>2</v>
      </c>
      <c r="R2418" s="2" t="n">
        <f aca="false">INDEX(Summary!$N$2:$N$201,MATCH($B2418,Summary!$A$2:$A$201,0))</f>
        <v>9.73</v>
      </c>
      <c r="S2418" s="3" t="n">
        <f aca="false">INDEX(Summary!$O$2:$O$201,MATCH($B2418,Summary!$A$2:$A$201,0))</f>
        <v>8</v>
      </c>
      <c r="T2418" s="3" t="n">
        <f aca="false">INDEX(Summary!$P$2:$P$201,MATCH($B2418,Summary!$A$2:$A$201,0))</f>
        <v>1</v>
      </c>
      <c r="U2418" s="2" t="n">
        <f aca="false">INDEX(Summary!$Q$2:$Q$201,MATCH($B2418,Summary!$A$2:$A$201,0))</f>
        <v>13.12</v>
      </c>
      <c r="V2418" s="2" t="n">
        <f aca="false">INDEX(Summary!$R$2:$R$201,MATCH($B2418,Summary!$A$2:$A$201,0))</f>
        <v>28.54</v>
      </c>
      <c r="W2418" s="0" t="str">
        <f aca="false">INDEX(Summary!$S$2:$S$201,MATCH($B2418,Summary!$A$2:$A$201,0))</f>
        <v>Silver</v>
      </c>
      <c r="X2418" s="2" t="n">
        <f aca="false">INDEX(Summary!$T$2:$T$201,MATCH($B2418,Summary!$A$2:$A$201,0))</f>
        <v>69.61</v>
      </c>
      <c r="Y2418" s="0" t="str">
        <f aca="false">INDEX('Reward Model'!$E$18:$E$37,MATCH($E2418,'Reward Model'!$A$18:$A$37,0))</f>
        <v>High</v>
      </c>
      <c r="Z2418" s="4" t="n">
        <f aca="false">ROUND(MIN(1,MAX('Reward Model'!$B$2,INDEX('Reward Model'!$C$12:$C$14,MATCH($K2418,'Reward Model'!$A$12:$A$14,0))/$J2418)),3)</f>
        <v>0.847</v>
      </c>
      <c r="AA2418" s="2" t="n">
        <f aca="false">IF($I2418="Correct",ROUND(INDEX('Reward Model'!$B$12:$B$14,MATCH($K2418,'Reward Model'!$A$12:$A$14,0))*Z2418,2),0)</f>
        <v>0</v>
      </c>
      <c r="AB2418" s="2" t="n">
        <f aca="false">IF($I2418="Correct",ROUND(INDEX('Reward Model'!$B$12:$B$14,MATCH($Y2418,'Reward Model'!$A$12:$A$14,0))*Z2418,2),0)</f>
        <v>0</v>
      </c>
    </row>
    <row r="2419" customFormat="false" ht="15" hidden="false" customHeight="false" outlineLevel="0" collapsed="false">
      <c r="A2419" s="0" t="s">
        <v>372</v>
      </c>
      <c r="B2419" s="0" t="s">
        <v>373</v>
      </c>
      <c r="C2419" s="0" t="s">
        <v>322</v>
      </c>
      <c r="D2419" s="0" t="s">
        <v>31</v>
      </c>
      <c r="E2419" s="0" t="n">
        <v>18</v>
      </c>
      <c r="F2419" s="0" t="s">
        <v>76</v>
      </c>
      <c r="G2419" s="0" t="s">
        <v>77</v>
      </c>
      <c r="H2419" s="0" t="s">
        <v>77</v>
      </c>
      <c r="I2419" s="0" t="s">
        <v>34</v>
      </c>
      <c r="J2419" s="0" t="n">
        <v>1.42</v>
      </c>
      <c r="K2419" s="0" t="s">
        <v>73</v>
      </c>
      <c r="L2419" s="0" t="n">
        <f aca="false">INDEX(Summary!$F$2:$F$201,MATCH($B2419,Summary!$A$2:$A$201,0))</f>
        <v>20</v>
      </c>
      <c r="M2419" s="0" t="n">
        <f aca="false">INDEX(Summary!$I$2:$I$201,MATCH($B2419,Summary!$A$2:$A$201,0))</f>
        <v>3</v>
      </c>
      <c r="N2419" s="0" t="n">
        <f aca="false">INDEX(Summary!$J$2:$J$201,MATCH($B2419,Summary!$A$2:$A$201,0))</f>
        <v>2</v>
      </c>
      <c r="O2419" s="2" t="n">
        <f aca="false">INDEX(Summary!$K$2:$K$201,MATCH($B2419,Summary!$A$2:$A$201,0))</f>
        <v>9.9</v>
      </c>
      <c r="P2419" s="3" t="n">
        <f aca="false">INDEX(Summary!$L$2:$L$201,MATCH($B2419,Summary!$A$2:$A$201,0))</f>
        <v>4</v>
      </c>
      <c r="Q2419" s="3" t="n">
        <f aca="false">INDEX(Summary!$M$2:$M$201,MATCH($B2419,Summary!$A$2:$A$201,0))</f>
        <v>2</v>
      </c>
      <c r="R2419" s="2" t="n">
        <f aca="false">INDEX(Summary!$N$2:$N$201,MATCH($B2419,Summary!$A$2:$A$201,0))</f>
        <v>9.73</v>
      </c>
      <c r="S2419" s="3" t="n">
        <f aca="false">INDEX(Summary!$O$2:$O$201,MATCH($B2419,Summary!$A$2:$A$201,0))</f>
        <v>8</v>
      </c>
      <c r="T2419" s="3" t="n">
        <f aca="false">INDEX(Summary!$P$2:$P$201,MATCH($B2419,Summary!$A$2:$A$201,0))</f>
        <v>1</v>
      </c>
      <c r="U2419" s="2" t="n">
        <f aca="false">INDEX(Summary!$Q$2:$Q$201,MATCH($B2419,Summary!$A$2:$A$201,0))</f>
        <v>13.12</v>
      </c>
      <c r="V2419" s="2" t="n">
        <f aca="false">INDEX(Summary!$R$2:$R$201,MATCH($B2419,Summary!$A$2:$A$201,0))</f>
        <v>28.54</v>
      </c>
      <c r="W2419" s="0" t="str">
        <f aca="false">INDEX(Summary!$S$2:$S$201,MATCH($B2419,Summary!$A$2:$A$201,0))</f>
        <v>Silver</v>
      </c>
      <c r="X2419" s="2" t="n">
        <f aca="false">INDEX(Summary!$T$2:$T$201,MATCH($B2419,Summary!$A$2:$A$201,0))</f>
        <v>69.61</v>
      </c>
      <c r="Y2419" s="0" t="str">
        <f aca="false">INDEX('Reward Model'!$E$18:$E$37,MATCH($E2419,'Reward Model'!$A$18:$A$37,0))</f>
        <v>High</v>
      </c>
      <c r="Z2419" s="4" t="n">
        <f aca="false">ROUND(MIN(1,MAX('Reward Model'!$B$2,INDEX('Reward Model'!$C$12:$C$14,MATCH($K2419,'Reward Model'!$A$12:$A$14,0))/$J2419)),3)</f>
        <v>1</v>
      </c>
      <c r="AA2419" s="2" t="n">
        <f aca="false">IF($I2419="Correct",ROUND(INDEX('Reward Model'!$B$12:$B$14,MATCH($K2419,'Reward Model'!$A$12:$A$14,0))*Z2419,2),0)</f>
        <v>3</v>
      </c>
      <c r="AB2419" s="2" t="n">
        <f aca="false">IF($I2419="Correct",ROUND(INDEX('Reward Model'!$B$12:$B$14,MATCH($Y2419,'Reward Model'!$A$12:$A$14,0))*Z2419,2),0)</f>
        <v>3</v>
      </c>
    </row>
    <row r="2420" customFormat="false" ht="15" hidden="false" customHeight="false" outlineLevel="0" collapsed="false">
      <c r="A2420" s="0" t="s">
        <v>372</v>
      </c>
      <c r="B2420" s="0" t="s">
        <v>373</v>
      </c>
      <c r="C2420" s="0" t="s">
        <v>322</v>
      </c>
      <c r="D2420" s="0" t="s">
        <v>31</v>
      </c>
      <c r="E2420" s="0" t="n">
        <v>19</v>
      </c>
      <c r="F2420" s="0" t="s">
        <v>78</v>
      </c>
      <c r="G2420" s="0" t="s">
        <v>80</v>
      </c>
      <c r="H2420" s="0" t="s">
        <v>80</v>
      </c>
      <c r="I2420" s="0" t="s">
        <v>34</v>
      </c>
      <c r="J2420" s="0" t="n">
        <v>2.31</v>
      </c>
      <c r="K2420" s="0" t="s">
        <v>73</v>
      </c>
      <c r="L2420" s="0" t="n">
        <f aca="false">INDEX(Summary!$F$2:$F$201,MATCH($B2420,Summary!$A$2:$A$201,0))</f>
        <v>20</v>
      </c>
      <c r="M2420" s="0" t="n">
        <f aca="false">INDEX(Summary!$I$2:$I$201,MATCH($B2420,Summary!$A$2:$A$201,0))</f>
        <v>3</v>
      </c>
      <c r="N2420" s="0" t="n">
        <f aca="false">INDEX(Summary!$J$2:$J$201,MATCH($B2420,Summary!$A$2:$A$201,0))</f>
        <v>2</v>
      </c>
      <c r="O2420" s="2" t="n">
        <f aca="false">INDEX(Summary!$K$2:$K$201,MATCH($B2420,Summary!$A$2:$A$201,0))</f>
        <v>9.9</v>
      </c>
      <c r="P2420" s="3" t="n">
        <f aca="false">INDEX(Summary!$L$2:$L$201,MATCH($B2420,Summary!$A$2:$A$201,0))</f>
        <v>4</v>
      </c>
      <c r="Q2420" s="3" t="n">
        <f aca="false">INDEX(Summary!$M$2:$M$201,MATCH($B2420,Summary!$A$2:$A$201,0))</f>
        <v>2</v>
      </c>
      <c r="R2420" s="2" t="n">
        <f aca="false">INDEX(Summary!$N$2:$N$201,MATCH($B2420,Summary!$A$2:$A$201,0))</f>
        <v>9.73</v>
      </c>
      <c r="S2420" s="3" t="n">
        <f aca="false">INDEX(Summary!$O$2:$O$201,MATCH($B2420,Summary!$A$2:$A$201,0))</f>
        <v>8</v>
      </c>
      <c r="T2420" s="3" t="n">
        <f aca="false">INDEX(Summary!$P$2:$P$201,MATCH($B2420,Summary!$A$2:$A$201,0))</f>
        <v>1</v>
      </c>
      <c r="U2420" s="2" t="n">
        <f aca="false">INDEX(Summary!$Q$2:$Q$201,MATCH($B2420,Summary!$A$2:$A$201,0))</f>
        <v>13.12</v>
      </c>
      <c r="V2420" s="2" t="n">
        <f aca="false">INDEX(Summary!$R$2:$R$201,MATCH($B2420,Summary!$A$2:$A$201,0))</f>
        <v>28.54</v>
      </c>
      <c r="W2420" s="0" t="str">
        <f aca="false">INDEX(Summary!$S$2:$S$201,MATCH($B2420,Summary!$A$2:$A$201,0))</f>
        <v>Silver</v>
      </c>
      <c r="X2420" s="2" t="n">
        <f aca="false">INDEX(Summary!$T$2:$T$201,MATCH($B2420,Summary!$A$2:$A$201,0))</f>
        <v>69.61</v>
      </c>
      <c r="Y2420" s="0" t="str">
        <f aca="false">INDEX('Reward Model'!$E$18:$E$37,MATCH($E2420,'Reward Model'!$A$18:$A$37,0))</f>
        <v>High</v>
      </c>
      <c r="Z2420" s="4" t="n">
        <f aca="false">ROUND(MIN(1,MAX('Reward Model'!$B$2,INDEX('Reward Model'!$C$12:$C$14,MATCH($K2420,'Reward Model'!$A$12:$A$14,0))/$J2420)),3)</f>
        <v>0.866</v>
      </c>
      <c r="AA2420" s="2" t="n">
        <f aca="false">IF($I2420="Correct",ROUND(INDEX('Reward Model'!$B$12:$B$14,MATCH($K2420,'Reward Model'!$A$12:$A$14,0))*Z2420,2),0)</f>
        <v>2.6</v>
      </c>
      <c r="AB2420" s="2" t="n">
        <f aca="false">IF($I2420="Correct",ROUND(INDEX('Reward Model'!$B$12:$B$14,MATCH($Y2420,'Reward Model'!$A$12:$A$14,0))*Z2420,2),0)</f>
        <v>2.6</v>
      </c>
    </row>
    <row r="2421" customFormat="false" ht="15" hidden="false" customHeight="false" outlineLevel="0" collapsed="false">
      <c r="A2421" s="0" t="s">
        <v>372</v>
      </c>
      <c r="B2421" s="0" t="s">
        <v>373</v>
      </c>
      <c r="C2421" s="0" t="s">
        <v>322</v>
      </c>
      <c r="D2421" s="0" t="s">
        <v>31</v>
      </c>
      <c r="E2421" s="0" t="n">
        <v>20</v>
      </c>
      <c r="F2421" s="0" t="s">
        <v>81</v>
      </c>
      <c r="G2421" s="0" t="s">
        <v>83</v>
      </c>
      <c r="H2421" s="0" t="s">
        <v>83</v>
      </c>
      <c r="I2421" s="0" t="s">
        <v>34</v>
      </c>
      <c r="J2421" s="0" t="n">
        <v>1.3</v>
      </c>
      <c r="K2421" s="0" t="s">
        <v>73</v>
      </c>
      <c r="L2421" s="0" t="n">
        <f aca="false">INDEX(Summary!$F$2:$F$201,MATCH($B2421,Summary!$A$2:$A$201,0))</f>
        <v>20</v>
      </c>
      <c r="M2421" s="0" t="n">
        <f aca="false">INDEX(Summary!$I$2:$I$201,MATCH($B2421,Summary!$A$2:$A$201,0))</f>
        <v>3</v>
      </c>
      <c r="N2421" s="0" t="n">
        <f aca="false">INDEX(Summary!$J$2:$J$201,MATCH($B2421,Summary!$A$2:$A$201,0))</f>
        <v>2</v>
      </c>
      <c r="O2421" s="2" t="n">
        <f aca="false">INDEX(Summary!$K$2:$K$201,MATCH($B2421,Summary!$A$2:$A$201,0))</f>
        <v>9.9</v>
      </c>
      <c r="P2421" s="3" t="n">
        <f aca="false">INDEX(Summary!$L$2:$L$201,MATCH($B2421,Summary!$A$2:$A$201,0))</f>
        <v>4</v>
      </c>
      <c r="Q2421" s="3" t="n">
        <f aca="false">INDEX(Summary!$M$2:$M$201,MATCH($B2421,Summary!$A$2:$A$201,0))</f>
        <v>2</v>
      </c>
      <c r="R2421" s="2" t="n">
        <f aca="false">INDEX(Summary!$N$2:$N$201,MATCH($B2421,Summary!$A$2:$A$201,0))</f>
        <v>9.73</v>
      </c>
      <c r="S2421" s="3" t="n">
        <f aca="false">INDEX(Summary!$O$2:$O$201,MATCH($B2421,Summary!$A$2:$A$201,0))</f>
        <v>8</v>
      </c>
      <c r="T2421" s="3" t="n">
        <f aca="false">INDEX(Summary!$P$2:$P$201,MATCH($B2421,Summary!$A$2:$A$201,0))</f>
        <v>1</v>
      </c>
      <c r="U2421" s="2" t="n">
        <f aca="false">INDEX(Summary!$Q$2:$Q$201,MATCH($B2421,Summary!$A$2:$A$201,0))</f>
        <v>13.12</v>
      </c>
      <c r="V2421" s="2" t="n">
        <f aca="false">INDEX(Summary!$R$2:$R$201,MATCH($B2421,Summary!$A$2:$A$201,0))</f>
        <v>28.54</v>
      </c>
      <c r="W2421" s="0" t="str">
        <f aca="false">INDEX(Summary!$S$2:$S$201,MATCH($B2421,Summary!$A$2:$A$201,0))</f>
        <v>Silver</v>
      </c>
      <c r="X2421" s="2" t="n">
        <f aca="false">INDEX(Summary!$T$2:$T$201,MATCH($B2421,Summary!$A$2:$A$201,0))</f>
        <v>69.61</v>
      </c>
      <c r="Y2421" s="0" t="str">
        <f aca="false">INDEX('Reward Model'!$E$18:$E$37,MATCH($E2421,'Reward Model'!$A$18:$A$37,0))</f>
        <v>High</v>
      </c>
      <c r="Z2421" s="4" t="n">
        <f aca="false">ROUND(MIN(1,MAX('Reward Model'!$B$2,INDEX('Reward Model'!$C$12:$C$14,MATCH($K2421,'Reward Model'!$A$12:$A$14,0))/$J2421)),3)</f>
        <v>1</v>
      </c>
      <c r="AA2421" s="2" t="n">
        <f aca="false">IF($I2421="Correct",ROUND(INDEX('Reward Model'!$B$12:$B$14,MATCH($K2421,'Reward Model'!$A$12:$A$14,0))*Z2421,2),0)</f>
        <v>3</v>
      </c>
      <c r="AB2421" s="2" t="n">
        <f aca="false">IF($I2421="Correct",ROUND(INDEX('Reward Model'!$B$12:$B$14,MATCH($Y2421,'Reward Model'!$A$12:$A$14,0))*Z2421,2),0)</f>
        <v>3</v>
      </c>
    </row>
    <row r="2422" customFormat="false" ht="15" hidden="false" customHeight="false" outlineLevel="0" collapsed="false">
      <c r="A2422" s="0" t="s">
        <v>374</v>
      </c>
      <c r="B2422" s="0" t="s">
        <v>375</v>
      </c>
      <c r="C2422" s="0" t="s">
        <v>322</v>
      </c>
      <c r="D2422" s="0" t="s">
        <v>31</v>
      </c>
      <c r="E2422" s="0" t="n">
        <v>1</v>
      </c>
      <c r="F2422" s="0" t="s">
        <v>32</v>
      </c>
      <c r="G2422" s="0" t="s">
        <v>33</v>
      </c>
      <c r="H2422" s="0" t="s">
        <v>33</v>
      </c>
      <c r="I2422" s="0" t="s">
        <v>34</v>
      </c>
      <c r="J2422" s="0" t="n">
        <v>1.3</v>
      </c>
      <c r="K2422" s="0" t="s">
        <v>35</v>
      </c>
      <c r="L2422" s="0" t="n">
        <f aca="false">INDEX(Summary!$F$2:$F$201,MATCH($B2422,Summary!$A$2:$A$201,0))</f>
        <v>20</v>
      </c>
      <c r="M2422" s="0" t="n">
        <f aca="false">INDEX(Summary!$I$2:$I$201,MATCH($B2422,Summary!$A$2:$A$201,0))</f>
        <v>4</v>
      </c>
      <c r="N2422" s="0" t="n">
        <f aca="false">INDEX(Summary!$J$2:$J$201,MATCH($B2422,Summary!$A$2:$A$201,0))</f>
        <v>1</v>
      </c>
      <c r="O2422" s="2" t="n">
        <f aca="false">INDEX(Summary!$K$2:$K$201,MATCH($B2422,Summary!$A$2:$A$201,0))</f>
        <v>10.19</v>
      </c>
      <c r="P2422" s="3" t="n">
        <f aca="false">INDEX(Summary!$L$2:$L$201,MATCH($B2422,Summary!$A$2:$A$201,0))</f>
        <v>5</v>
      </c>
      <c r="Q2422" s="3" t="n">
        <f aca="false">INDEX(Summary!$M$2:$M$201,MATCH($B2422,Summary!$A$2:$A$201,0))</f>
        <v>1</v>
      </c>
      <c r="R2422" s="2" t="n">
        <f aca="false">INDEX(Summary!$N$2:$N$201,MATCH($B2422,Summary!$A$2:$A$201,0))</f>
        <v>9.57</v>
      </c>
      <c r="S2422" s="3" t="n">
        <f aca="false">INDEX(Summary!$O$2:$O$201,MATCH($B2422,Summary!$A$2:$A$201,0))</f>
        <v>8</v>
      </c>
      <c r="T2422" s="3" t="n">
        <f aca="false">INDEX(Summary!$P$2:$P$201,MATCH($B2422,Summary!$A$2:$A$201,0))</f>
        <v>1</v>
      </c>
      <c r="U2422" s="2" t="n">
        <f aca="false">INDEX(Summary!$Q$2:$Q$201,MATCH($B2422,Summary!$A$2:$A$201,0))</f>
        <v>13.79</v>
      </c>
      <c r="V2422" s="2" t="n">
        <f aca="false">INDEX(Summary!$R$2:$R$201,MATCH($B2422,Summary!$A$2:$A$201,0))</f>
        <v>31.47</v>
      </c>
      <c r="W2422" s="0" t="str">
        <f aca="false">INDEX(Summary!$S$2:$S$201,MATCH($B2422,Summary!$A$2:$A$201,0))</f>
        <v>Gold</v>
      </c>
      <c r="X2422" s="2" t="n">
        <f aca="false">INDEX(Summary!$T$2:$T$201,MATCH($B2422,Summary!$A$2:$A$201,0))</f>
        <v>76.76</v>
      </c>
      <c r="Y2422" s="0" t="str">
        <f aca="false">INDEX('Reward Model'!$E$18:$E$37,MATCH($E2422,'Reward Model'!$A$18:$A$37,0))</f>
        <v>Medium</v>
      </c>
      <c r="Z2422" s="4" t="n">
        <f aca="false">ROUND(MIN(1,MAX('Reward Model'!$B$2,INDEX('Reward Model'!$C$12:$C$14,MATCH($K2422,'Reward Model'!$A$12:$A$14,0))/$J2422)),3)</f>
        <v>1</v>
      </c>
      <c r="AA2422" s="2" t="n">
        <f aca="false">IF($I2422="Correct",ROUND(INDEX('Reward Model'!$B$12:$B$14,MATCH($K2422,'Reward Model'!$A$12:$A$14,0))*Z2422,2),0)</f>
        <v>1</v>
      </c>
      <c r="AB2422" s="2" t="n">
        <f aca="false">IF($I2422="Correct",ROUND(INDEX('Reward Model'!$B$12:$B$14,MATCH($Y2422,'Reward Model'!$A$12:$A$14,0))*Z2422,2),0)</f>
        <v>2</v>
      </c>
    </row>
    <row r="2423" customFormat="false" ht="15" hidden="false" customHeight="false" outlineLevel="0" collapsed="false">
      <c r="A2423" s="0" t="s">
        <v>374</v>
      </c>
      <c r="B2423" s="0" t="s">
        <v>375</v>
      </c>
      <c r="C2423" s="0" t="s">
        <v>322</v>
      </c>
      <c r="D2423" s="0" t="s">
        <v>31</v>
      </c>
      <c r="E2423" s="0" t="n">
        <v>2</v>
      </c>
      <c r="F2423" s="0" t="s">
        <v>36</v>
      </c>
      <c r="G2423" s="0" t="s">
        <v>38</v>
      </c>
      <c r="H2423" s="0" t="s">
        <v>38</v>
      </c>
      <c r="I2423" s="0" t="s">
        <v>34</v>
      </c>
      <c r="J2423" s="0" t="n">
        <v>1.86</v>
      </c>
      <c r="K2423" s="0" t="s">
        <v>35</v>
      </c>
      <c r="L2423" s="0" t="n">
        <f aca="false">INDEX(Summary!$F$2:$F$201,MATCH($B2423,Summary!$A$2:$A$201,0))</f>
        <v>20</v>
      </c>
      <c r="M2423" s="0" t="n">
        <f aca="false">INDEX(Summary!$I$2:$I$201,MATCH($B2423,Summary!$A$2:$A$201,0))</f>
        <v>4</v>
      </c>
      <c r="N2423" s="0" t="n">
        <f aca="false">INDEX(Summary!$J$2:$J$201,MATCH($B2423,Summary!$A$2:$A$201,0))</f>
        <v>1</v>
      </c>
      <c r="O2423" s="2" t="n">
        <f aca="false">INDEX(Summary!$K$2:$K$201,MATCH($B2423,Summary!$A$2:$A$201,0))</f>
        <v>10.19</v>
      </c>
      <c r="P2423" s="3" t="n">
        <f aca="false">INDEX(Summary!$L$2:$L$201,MATCH($B2423,Summary!$A$2:$A$201,0))</f>
        <v>5</v>
      </c>
      <c r="Q2423" s="3" t="n">
        <f aca="false">INDEX(Summary!$M$2:$M$201,MATCH($B2423,Summary!$A$2:$A$201,0))</f>
        <v>1</v>
      </c>
      <c r="R2423" s="2" t="n">
        <f aca="false">INDEX(Summary!$N$2:$N$201,MATCH($B2423,Summary!$A$2:$A$201,0))</f>
        <v>9.57</v>
      </c>
      <c r="S2423" s="3" t="n">
        <f aca="false">INDEX(Summary!$O$2:$O$201,MATCH($B2423,Summary!$A$2:$A$201,0))</f>
        <v>8</v>
      </c>
      <c r="T2423" s="3" t="n">
        <f aca="false">INDEX(Summary!$P$2:$P$201,MATCH($B2423,Summary!$A$2:$A$201,0))</f>
        <v>1</v>
      </c>
      <c r="U2423" s="2" t="n">
        <f aca="false">INDEX(Summary!$Q$2:$Q$201,MATCH($B2423,Summary!$A$2:$A$201,0))</f>
        <v>13.79</v>
      </c>
      <c r="V2423" s="2" t="n">
        <f aca="false">INDEX(Summary!$R$2:$R$201,MATCH($B2423,Summary!$A$2:$A$201,0))</f>
        <v>31.47</v>
      </c>
      <c r="W2423" s="0" t="str">
        <f aca="false">INDEX(Summary!$S$2:$S$201,MATCH($B2423,Summary!$A$2:$A$201,0))</f>
        <v>Gold</v>
      </c>
      <c r="X2423" s="2" t="n">
        <f aca="false">INDEX(Summary!$T$2:$T$201,MATCH($B2423,Summary!$A$2:$A$201,0))</f>
        <v>76.76</v>
      </c>
      <c r="Y2423" s="0" t="str">
        <f aca="false">INDEX('Reward Model'!$E$18:$E$37,MATCH($E2423,'Reward Model'!$A$18:$A$37,0))</f>
        <v>Low</v>
      </c>
      <c r="Z2423" s="4" t="n">
        <f aca="false">ROUND(MIN(1,MAX('Reward Model'!$B$2,INDEX('Reward Model'!$C$12:$C$14,MATCH($K2423,'Reward Model'!$A$12:$A$14,0))/$J2423)),3)</f>
        <v>0.806</v>
      </c>
      <c r="AA2423" s="2" t="n">
        <f aca="false">IF($I2423="Correct",ROUND(INDEX('Reward Model'!$B$12:$B$14,MATCH($K2423,'Reward Model'!$A$12:$A$14,0))*Z2423,2),0)</f>
        <v>0.81</v>
      </c>
      <c r="AB2423" s="2" t="n">
        <f aca="false">IF($I2423="Correct",ROUND(INDEX('Reward Model'!$B$12:$B$14,MATCH($Y2423,'Reward Model'!$A$12:$A$14,0))*Z2423,2),0)</f>
        <v>0.81</v>
      </c>
    </row>
    <row r="2424" customFormat="false" ht="15" hidden="false" customHeight="false" outlineLevel="0" collapsed="false">
      <c r="A2424" s="0" t="s">
        <v>374</v>
      </c>
      <c r="B2424" s="0" t="s">
        <v>375</v>
      </c>
      <c r="C2424" s="0" t="s">
        <v>322</v>
      </c>
      <c r="D2424" s="0" t="s">
        <v>31</v>
      </c>
      <c r="E2424" s="0" t="n">
        <v>3</v>
      </c>
      <c r="F2424" s="0" t="s">
        <v>40</v>
      </c>
      <c r="G2424" s="0" t="s">
        <v>42</v>
      </c>
      <c r="H2424" s="0" t="s">
        <v>42</v>
      </c>
      <c r="I2424" s="0" t="s">
        <v>34</v>
      </c>
      <c r="J2424" s="0" t="n">
        <v>1.27</v>
      </c>
      <c r="K2424" s="0" t="s">
        <v>35</v>
      </c>
      <c r="L2424" s="0" t="n">
        <f aca="false">INDEX(Summary!$F$2:$F$201,MATCH($B2424,Summary!$A$2:$A$201,0))</f>
        <v>20</v>
      </c>
      <c r="M2424" s="0" t="n">
        <f aca="false">INDEX(Summary!$I$2:$I$201,MATCH($B2424,Summary!$A$2:$A$201,0))</f>
        <v>4</v>
      </c>
      <c r="N2424" s="0" t="n">
        <f aca="false">INDEX(Summary!$J$2:$J$201,MATCH($B2424,Summary!$A$2:$A$201,0))</f>
        <v>1</v>
      </c>
      <c r="O2424" s="2" t="n">
        <f aca="false">INDEX(Summary!$K$2:$K$201,MATCH($B2424,Summary!$A$2:$A$201,0))</f>
        <v>10.19</v>
      </c>
      <c r="P2424" s="3" t="n">
        <f aca="false">INDEX(Summary!$L$2:$L$201,MATCH($B2424,Summary!$A$2:$A$201,0))</f>
        <v>5</v>
      </c>
      <c r="Q2424" s="3" t="n">
        <f aca="false">INDEX(Summary!$M$2:$M$201,MATCH($B2424,Summary!$A$2:$A$201,0))</f>
        <v>1</v>
      </c>
      <c r="R2424" s="2" t="n">
        <f aca="false">INDEX(Summary!$N$2:$N$201,MATCH($B2424,Summary!$A$2:$A$201,0))</f>
        <v>9.57</v>
      </c>
      <c r="S2424" s="3" t="n">
        <f aca="false">INDEX(Summary!$O$2:$O$201,MATCH($B2424,Summary!$A$2:$A$201,0))</f>
        <v>8</v>
      </c>
      <c r="T2424" s="3" t="n">
        <f aca="false">INDEX(Summary!$P$2:$P$201,MATCH($B2424,Summary!$A$2:$A$201,0))</f>
        <v>1</v>
      </c>
      <c r="U2424" s="2" t="n">
        <f aca="false">INDEX(Summary!$Q$2:$Q$201,MATCH($B2424,Summary!$A$2:$A$201,0))</f>
        <v>13.79</v>
      </c>
      <c r="V2424" s="2" t="n">
        <f aca="false">INDEX(Summary!$R$2:$R$201,MATCH($B2424,Summary!$A$2:$A$201,0))</f>
        <v>31.47</v>
      </c>
      <c r="W2424" s="0" t="str">
        <f aca="false">INDEX(Summary!$S$2:$S$201,MATCH($B2424,Summary!$A$2:$A$201,0))</f>
        <v>Gold</v>
      </c>
      <c r="X2424" s="2" t="n">
        <f aca="false">INDEX(Summary!$T$2:$T$201,MATCH($B2424,Summary!$A$2:$A$201,0))</f>
        <v>76.76</v>
      </c>
      <c r="Y2424" s="0" t="str">
        <f aca="false">INDEX('Reward Model'!$E$18:$E$37,MATCH($E2424,'Reward Model'!$A$18:$A$37,0))</f>
        <v>Medium</v>
      </c>
      <c r="Z2424" s="4" t="n">
        <f aca="false">ROUND(MIN(1,MAX('Reward Model'!$B$2,INDEX('Reward Model'!$C$12:$C$14,MATCH($K2424,'Reward Model'!$A$12:$A$14,0))/$J2424)),3)</f>
        <v>1</v>
      </c>
      <c r="AA2424" s="2" t="n">
        <f aca="false">IF($I2424="Correct",ROUND(INDEX('Reward Model'!$B$12:$B$14,MATCH($K2424,'Reward Model'!$A$12:$A$14,0))*Z2424,2),0)</f>
        <v>1</v>
      </c>
      <c r="AB2424" s="2" t="n">
        <f aca="false">IF($I2424="Correct",ROUND(INDEX('Reward Model'!$B$12:$B$14,MATCH($Y2424,'Reward Model'!$A$12:$A$14,0))*Z2424,2),0)</f>
        <v>2</v>
      </c>
    </row>
    <row r="2425" customFormat="false" ht="15" hidden="false" customHeight="false" outlineLevel="0" collapsed="false">
      <c r="A2425" s="0" t="s">
        <v>374</v>
      </c>
      <c r="B2425" s="0" t="s">
        <v>375</v>
      </c>
      <c r="C2425" s="0" t="s">
        <v>322</v>
      </c>
      <c r="D2425" s="0" t="s">
        <v>31</v>
      </c>
      <c r="E2425" s="0" t="n">
        <v>4</v>
      </c>
      <c r="F2425" s="0" t="s">
        <v>43</v>
      </c>
      <c r="G2425" s="0" t="s">
        <v>45</v>
      </c>
      <c r="H2425" s="0" t="s">
        <v>45</v>
      </c>
      <c r="I2425" s="0" t="s">
        <v>34</v>
      </c>
      <c r="J2425" s="0" t="n">
        <v>1.76</v>
      </c>
      <c r="K2425" s="0" t="s">
        <v>35</v>
      </c>
      <c r="L2425" s="0" t="n">
        <f aca="false">INDEX(Summary!$F$2:$F$201,MATCH($B2425,Summary!$A$2:$A$201,0))</f>
        <v>20</v>
      </c>
      <c r="M2425" s="0" t="n">
        <f aca="false">INDEX(Summary!$I$2:$I$201,MATCH($B2425,Summary!$A$2:$A$201,0))</f>
        <v>4</v>
      </c>
      <c r="N2425" s="0" t="n">
        <f aca="false">INDEX(Summary!$J$2:$J$201,MATCH($B2425,Summary!$A$2:$A$201,0))</f>
        <v>1</v>
      </c>
      <c r="O2425" s="2" t="n">
        <f aca="false">INDEX(Summary!$K$2:$K$201,MATCH($B2425,Summary!$A$2:$A$201,0))</f>
        <v>10.19</v>
      </c>
      <c r="P2425" s="3" t="n">
        <f aca="false">INDEX(Summary!$L$2:$L$201,MATCH($B2425,Summary!$A$2:$A$201,0))</f>
        <v>5</v>
      </c>
      <c r="Q2425" s="3" t="n">
        <f aca="false">INDEX(Summary!$M$2:$M$201,MATCH($B2425,Summary!$A$2:$A$201,0))</f>
        <v>1</v>
      </c>
      <c r="R2425" s="2" t="n">
        <f aca="false">INDEX(Summary!$N$2:$N$201,MATCH($B2425,Summary!$A$2:$A$201,0))</f>
        <v>9.57</v>
      </c>
      <c r="S2425" s="3" t="n">
        <f aca="false">INDEX(Summary!$O$2:$O$201,MATCH($B2425,Summary!$A$2:$A$201,0))</f>
        <v>8</v>
      </c>
      <c r="T2425" s="3" t="n">
        <f aca="false">INDEX(Summary!$P$2:$P$201,MATCH($B2425,Summary!$A$2:$A$201,0))</f>
        <v>1</v>
      </c>
      <c r="U2425" s="2" t="n">
        <f aca="false">INDEX(Summary!$Q$2:$Q$201,MATCH($B2425,Summary!$A$2:$A$201,0))</f>
        <v>13.79</v>
      </c>
      <c r="V2425" s="2" t="n">
        <f aca="false">INDEX(Summary!$R$2:$R$201,MATCH($B2425,Summary!$A$2:$A$201,0))</f>
        <v>31.47</v>
      </c>
      <c r="W2425" s="0" t="str">
        <f aca="false">INDEX(Summary!$S$2:$S$201,MATCH($B2425,Summary!$A$2:$A$201,0))</f>
        <v>Gold</v>
      </c>
      <c r="X2425" s="2" t="n">
        <f aca="false">INDEX(Summary!$T$2:$T$201,MATCH($B2425,Summary!$A$2:$A$201,0))</f>
        <v>76.76</v>
      </c>
      <c r="Y2425" s="0" t="str">
        <f aca="false">INDEX('Reward Model'!$E$18:$E$37,MATCH($E2425,'Reward Model'!$A$18:$A$37,0))</f>
        <v>Low</v>
      </c>
      <c r="Z2425" s="4" t="n">
        <f aca="false">ROUND(MIN(1,MAX('Reward Model'!$B$2,INDEX('Reward Model'!$C$12:$C$14,MATCH($K2425,'Reward Model'!$A$12:$A$14,0))/$J2425)),3)</f>
        <v>0.852</v>
      </c>
      <c r="AA2425" s="2" t="n">
        <f aca="false">IF($I2425="Correct",ROUND(INDEX('Reward Model'!$B$12:$B$14,MATCH($K2425,'Reward Model'!$A$12:$A$14,0))*Z2425,2),0)</f>
        <v>0.85</v>
      </c>
      <c r="AB2425" s="2" t="n">
        <f aca="false">IF($I2425="Correct",ROUND(INDEX('Reward Model'!$B$12:$B$14,MATCH($Y2425,'Reward Model'!$A$12:$A$14,0))*Z2425,2),0)</f>
        <v>0.85</v>
      </c>
    </row>
    <row r="2426" customFormat="false" ht="15" hidden="false" customHeight="false" outlineLevel="0" collapsed="false">
      <c r="A2426" s="0" t="s">
        <v>374</v>
      </c>
      <c r="B2426" s="0" t="s">
        <v>375</v>
      </c>
      <c r="C2426" s="0" t="s">
        <v>322</v>
      </c>
      <c r="D2426" s="0" t="s">
        <v>31</v>
      </c>
      <c r="E2426" s="0" t="n">
        <v>5</v>
      </c>
      <c r="F2426" s="0" t="s">
        <v>46</v>
      </c>
      <c r="G2426" s="0" t="s">
        <v>47</v>
      </c>
      <c r="H2426" s="0" t="s">
        <v>47</v>
      </c>
      <c r="I2426" s="0" t="s">
        <v>34</v>
      </c>
      <c r="J2426" s="0" t="n">
        <v>1.02</v>
      </c>
      <c r="K2426" s="0" t="s">
        <v>35</v>
      </c>
      <c r="L2426" s="0" t="n">
        <f aca="false">INDEX(Summary!$F$2:$F$201,MATCH($B2426,Summary!$A$2:$A$201,0))</f>
        <v>20</v>
      </c>
      <c r="M2426" s="0" t="n">
        <f aca="false">INDEX(Summary!$I$2:$I$201,MATCH($B2426,Summary!$A$2:$A$201,0))</f>
        <v>4</v>
      </c>
      <c r="N2426" s="0" t="n">
        <f aca="false">INDEX(Summary!$J$2:$J$201,MATCH($B2426,Summary!$A$2:$A$201,0))</f>
        <v>1</v>
      </c>
      <c r="O2426" s="2" t="n">
        <f aca="false">INDEX(Summary!$K$2:$K$201,MATCH($B2426,Summary!$A$2:$A$201,0))</f>
        <v>10.19</v>
      </c>
      <c r="P2426" s="3" t="n">
        <f aca="false">INDEX(Summary!$L$2:$L$201,MATCH($B2426,Summary!$A$2:$A$201,0))</f>
        <v>5</v>
      </c>
      <c r="Q2426" s="3" t="n">
        <f aca="false">INDEX(Summary!$M$2:$M$201,MATCH($B2426,Summary!$A$2:$A$201,0))</f>
        <v>1</v>
      </c>
      <c r="R2426" s="2" t="n">
        <f aca="false">INDEX(Summary!$N$2:$N$201,MATCH($B2426,Summary!$A$2:$A$201,0))</f>
        <v>9.57</v>
      </c>
      <c r="S2426" s="3" t="n">
        <f aca="false">INDEX(Summary!$O$2:$O$201,MATCH($B2426,Summary!$A$2:$A$201,0))</f>
        <v>8</v>
      </c>
      <c r="T2426" s="3" t="n">
        <f aca="false">INDEX(Summary!$P$2:$P$201,MATCH($B2426,Summary!$A$2:$A$201,0))</f>
        <v>1</v>
      </c>
      <c r="U2426" s="2" t="n">
        <f aca="false">INDEX(Summary!$Q$2:$Q$201,MATCH($B2426,Summary!$A$2:$A$201,0))</f>
        <v>13.79</v>
      </c>
      <c r="V2426" s="2" t="n">
        <f aca="false">INDEX(Summary!$R$2:$R$201,MATCH($B2426,Summary!$A$2:$A$201,0))</f>
        <v>31.47</v>
      </c>
      <c r="W2426" s="0" t="str">
        <f aca="false">INDEX(Summary!$S$2:$S$201,MATCH($B2426,Summary!$A$2:$A$201,0))</f>
        <v>Gold</v>
      </c>
      <c r="X2426" s="2" t="n">
        <f aca="false">INDEX(Summary!$T$2:$T$201,MATCH($B2426,Summary!$A$2:$A$201,0))</f>
        <v>76.76</v>
      </c>
      <c r="Y2426" s="0" t="str">
        <f aca="false">INDEX('Reward Model'!$E$18:$E$37,MATCH($E2426,'Reward Model'!$A$18:$A$37,0))</f>
        <v>Low</v>
      </c>
      <c r="Z2426" s="4" t="n">
        <f aca="false">ROUND(MIN(1,MAX('Reward Model'!$B$2,INDEX('Reward Model'!$C$12:$C$14,MATCH($K2426,'Reward Model'!$A$12:$A$14,0))/$J2426)),3)</f>
        <v>1</v>
      </c>
      <c r="AA2426" s="2" t="n">
        <f aca="false">IF($I2426="Correct",ROUND(INDEX('Reward Model'!$B$12:$B$14,MATCH($K2426,'Reward Model'!$A$12:$A$14,0))*Z2426,2),0)</f>
        <v>1</v>
      </c>
      <c r="AB2426" s="2" t="n">
        <f aca="false">IF($I2426="Correct",ROUND(INDEX('Reward Model'!$B$12:$B$14,MATCH($Y2426,'Reward Model'!$A$12:$A$14,0))*Z2426,2),0)</f>
        <v>1</v>
      </c>
    </row>
    <row r="2427" customFormat="false" ht="15" hidden="false" customHeight="false" outlineLevel="0" collapsed="false">
      <c r="A2427" s="0" t="s">
        <v>374</v>
      </c>
      <c r="B2427" s="0" t="s">
        <v>375</v>
      </c>
      <c r="C2427" s="0" t="s">
        <v>322</v>
      </c>
      <c r="D2427" s="0" t="s">
        <v>31</v>
      </c>
      <c r="E2427" s="0" t="n">
        <v>6</v>
      </c>
      <c r="F2427" s="0" t="s">
        <v>48</v>
      </c>
      <c r="G2427" s="0" t="s">
        <v>116</v>
      </c>
      <c r="H2427" s="0" t="s">
        <v>49</v>
      </c>
      <c r="I2427" s="0" t="s">
        <v>39</v>
      </c>
      <c r="J2427" s="0" t="n">
        <v>1.2</v>
      </c>
      <c r="K2427" s="0" t="s">
        <v>35</v>
      </c>
      <c r="L2427" s="0" t="n">
        <f aca="false">INDEX(Summary!$F$2:$F$201,MATCH($B2427,Summary!$A$2:$A$201,0))</f>
        <v>20</v>
      </c>
      <c r="M2427" s="0" t="n">
        <f aca="false">INDEX(Summary!$I$2:$I$201,MATCH($B2427,Summary!$A$2:$A$201,0))</f>
        <v>4</v>
      </c>
      <c r="N2427" s="0" t="n">
        <f aca="false">INDEX(Summary!$J$2:$J$201,MATCH($B2427,Summary!$A$2:$A$201,0))</f>
        <v>1</v>
      </c>
      <c r="O2427" s="2" t="n">
        <f aca="false">INDEX(Summary!$K$2:$K$201,MATCH($B2427,Summary!$A$2:$A$201,0))</f>
        <v>10.19</v>
      </c>
      <c r="P2427" s="3" t="n">
        <f aca="false">INDEX(Summary!$L$2:$L$201,MATCH($B2427,Summary!$A$2:$A$201,0))</f>
        <v>5</v>
      </c>
      <c r="Q2427" s="3" t="n">
        <f aca="false">INDEX(Summary!$M$2:$M$201,MATCH($B2427,Summary!$A$2:$A$201,0))</f>
        <v>1</v>
      </c>
      <c r="R2427" s="2" t="n">
        <f aca="false">INDEX(Summary!$N$2:$N$201,MATCH($B2427,Summary!$A$2:$A$201,0))</f>
        <v>9.57</v>
      </c>
      <c r="S2427" s="3" t="n">
        <f aca="false">INDEX(Summary!$O$2:$O$201,MATCH($B2427,Summary!$A$2:$A$201,0))</f>
        <v>8</v>
      </c>
      <c r="T2427" s="3" t="n">
        <f aca="false">INDEX(Summary!$P$2:$P$201,MATCH($B2427,Summary!$A$2:$A$201,0))</f>
        <v>1</v>
      </c>
      <c r="U2427" s="2" t="n">
        <f aca="false">INDEX(Summary!$Q$2:$Q$201,MATCH($B2427,Summary!$A$2:$A$201,0))</f>
        <v>13.79</v>
      </c>
      <c r="V2427" s="2" t="n">
        <f aca="false">INDEX(Summary!$R$2:$R$201,MATCH($B2427,Summary!$A$2:$A$201,0))</f>
        <v>31.47</v>
      </c>
      <c r="W2427" s="0" t="str">
        <f aca="false">INDEX(Summary!$S$2:$S$201,MATCH($B2427,Summary!$A$2:$A$201,0))</f>
        <v>Gold</v>
      </c>
      <c r="X2427" s="2" t="n">
        <f aca="false">INDEX(Summary!$T$2:$T$201,MATCH($B2427,Summary!$A$2:$A$201,0))</f>
        <v>76.76</v>
      </c>
      <c r="Y2427" s="0" t="str">
        <f aca="false">INDEX('Reward Model'!$E$18:$E$37,MATCH($E2427,'Reward Model'!$A$18:$A$37,0))</f>
        <v>Medium</v>
      </c>
      <c r="Z2427" s="4" t="n">
        <f aca="false">ROUND(MIN(1,MAX('Reward Model'!$B$2,INDEX('Reward Model'!$C$12:$C$14,MATCH($K2427,'Reward Model'!$A$12:$A$14,0))/$J2427)),3)</f>
        <v>1</v>
      </c>
      <c r="AA2427" s="2" t="n">
        <f aca="false">IF($I2427="Correct",ROUND(INDEX('Reward Model'!$B$12:$B$14,MATCH($K2427,'Reward Model'!$A$12:$A$14,0))*Z2427,2),0)</f>
        <v>0</v>
      </c>
      <c r="AB2427" s="2" t="n">
        <f aca="false">IF($I2427="Correct",ROUND(INDEX('Reward Model'!$B$12:$B$14,MATCH($Y2427,'Reward Model'!$A$12:$A$14,0))*Z2427,2),0)</f>
        <v>0</v>
      </c>
    </row>
    <row r="2428" customFormat="false" ht="15" hidden="false" customHeight="false" outlineLevel="0" collapsed="false">
      <c r="A2428" s="0" t="s">
        <v>374</v>
      </c>
      <c r="B2428" s="0" t="s">
        <v>375</v>
      </c>
      <c r="C2428" s="0" t="s">
        <v>322</v>
      </c>
      <c r="D2428" s="0" t="s">
        <v>31</v>
      </c>
      <c r="E2428" s="0" t="n">
        <v>7</v>
      </c>
      <c r="F2428" s="0" t="s">
        <v>50</v>
      </c>
      <c r="G2428" s="0" t="s">
        <v>51</v>
      </c>
      <c r="H2428" s="0" t="s">
        <v>51</v>
      </c>
      <c r="I2428" s="0" t="s">
        <v>34</v>
      </c>
      <c r="J2428" s="0" t="n">
        <v>1.96</v>
      </c>
      <c r="K2428" s="0" t="s">
        <v>35</v>
      </c>
      <c r="L2428" s="0" t="n">
        <f aca="false">INDEX(Summary!$F$2:$F$201,MATCH($B2428,Summary!$A$2:$A$201,0))</f>
        <v>20</v>
      </c>
      <c r="M2428" s="0" t="n">
        <f aca="false">INDEX(Summary!$I$2:$I$201,MATCH($B2428,Summary!$A$2:$A$201,0))</f>
        <v>4</v>
      </c>
      <c r="N2428" s="0" t="n">
        <f aca="false">INDEX(Summary!$J$2:$J$201,MATCH($B2428,Summary!$A$2:$A$201,0))</f>
        <v>1</v>
      </c>
      <c r="O2428" s="2" t="n">
        <f aca="false">INDEX(Summary!$K$2:$K$201,MATCH($B2428,Summary!$A$2:$A$201,0))</f>
        <v>10.19</v>
      </c>
      <c r="P2428" s="3" t="n">
        <f aca="false">INDEX(Summary!$L$2:$L$201,MATCH($B2428,Summary!$A$2:$A$201,0))</f>
        <v>5</v>
      </c>
      <c r="Q2428" s="3" t="n">
        <f aca="false">INDEX(Summary!$M$2:$M$201,MATCH($B2428,Summary!$A$2:$A$201,0))</f>
        <v>1</v>
      </c>
      <c r="R2428" s="2" t="n">
        <f aca="false">INDEX(Summary!$N$2:$N$201,MATCH($B2428,Summary!$A$2:$A$201,0))</f>
        <v>9.57</v>
      </c>
      <c r="S2428" s="3" t="n">
        <f aca="false">INDEX(Summary!$O$2:$O$201,MATCH($B2428,Summary!$A$2:$A$201,0))</f>
        <v>8</v>
      </c>
      <c r="T2428" s="3" t="n">
        <f aca="false">INDEX(Summary!$P$2:$P$201,MATCH($B2428,Summary!$A$2:$A$201,0))</f>
        <v>1</v>
      </c>
      <c r="U2428" s="2" t="n">
        <f aca="false">INDEX(Summary!$Q$2:$Q$201,MATCH($B2428,Summary!$A$2:$A$201,0))</f>
        <v>13.79</v>
      </c>
      <c r="V2428" s="2" t="n">
        <f aca="false">INDEX(Summary!$R$2:$R$201,MATCH($B2428,Summary!$A$2:$A$201,0))</f>
        <v>31.47</v>
      </c>
      <c r="W2428" s="0" t="str">
        <f aca="false">INDEX(Summary!$S$2:$S$201,MATCH($B2428,Summary!$A$2:$A$201,0))</f>
        <v>Gold</v>
      </c>
      <c r="X2428" s="2" t="n">
        <f aca="false">INDEX(Summary!$T$2:$T$201,MATCH($B2428,Summary!$A$2:$A$201,0))</f>
        <v>76.76</v>
      </c>
      <c r="Y2428" s="0" t="str">
        <f aca="false">INDEX('Reward Model'!$E$18:$E$37,MATCH($E2428,'Reward Model'!$A$18:$A$37,0))</f>
        <v>Low</v>
      </c>
      <c r="Z2428" s="4" t="n">
        <f aca="false">ROUND(MIN(1,MAX('Reward Model'!$B$2,INDEX('Reward Model'!$C$12:$C$14,MATCH($K2428,'Reward Model'!$A$12:$A$14,0))/$J2428)),3)</f>
        <v>0.765</v>
      </c>
      <c r="AA2428" s="2" t="n">
        <f aca="false">IF($I2428="Correct",ROUND(INDEX('Reward Model'!$B$12:$B$14,MATCH($K2428,'Reward Model'!$A$12:$A$14,0))*Z2428,2),0)</f>
        <v>0.77</v>
      </c>
      <c r="AB2428" s="2" t="n">
        <f aca="false">IF($I2428="Correct",ROUND(INDEX('Reward Model'!$B$12:$B$14,MATCH($Y2428,'Reward Model'!$A$12:$A$14,0))*Z2428,2),0)</f>
        <v>0.77</v>
      </c>
    </row>
    <row r="2429" customFormat="false" ht="15" hidden="false" customHeight="false" outlineLevel="0" collapsed="false">
      <c r="A2429" s="0" t="s">
        <v>374</v>
      </c>
      <c r="B2429" s="0" t="s">
        <v>375</v>
      </c>
      <c r="C2429" s="0" t="s">
        <v>322</v>
      </c>
      <c r="D2429" s="0" t="s">
        <v>31</v>
      </c>
      <c r="E2429" s="0" t="n">
        <v>8</v>
      </c>
      <c r="F2429" s="0" t="s">
        <v>52</v>
      </c>
      <c r="G2429" s="0" t="s">
        <v>54</v>
      </c>
      <c r="H2429" s="0" t="s">
        <v>54</v>
      </c>
      <c r="I2429" s="0" t="s">
        <v>34</v>
      </c>
      <c r="J2429" s="0" t="n">
        <v>1.68</v>
      </c>
      <c r="K2429" s="0" t="s">
        <v>35</v>
      </c>
      <c r="L2429" s="0" t="n">
        <f aca="false">INDEX(Summary!$F$2:$F$201,MATCH($B2429,Summary!$A$2:$A$201,0))</f>
        <v>20</v>
      </c>
      <c r="M2429" s="0" t="n">
        <f aca="false">INDEX(Summary!$I$2:$I$201,MATCH($B2429,Summary!$A$2:$A$201,0))</f>
        <v>4</v>
      </c>
      <c r="N2429" s="0" t="n">
        <f aca="false">INDEX(Summary!$J$2:$J$201,MATCH($B2429,Summary!$A$2:$A$201,0))</f>
        <v>1</v>
      </c>
      <c r="O2429" s="2" t="n">
        <f aca="false">INDEX(Summary!$K$2:$K$201,MATCH($B2429,Summary!$A$2:$A$201,0))</f>
        <v>10.19</v>
      </c>
      <c r="P2429" s="3" t="n">
        <f aca="false">INDEX(Summary!$L$2:$L$201,MATCH($B2429,Summary!$A$2:$A$201,0))</f>
        <v>5</v>
      </c>
      <c r="Q2429" s="3" t="n">
        <f aca="false">INDEX(Summary!$M$2:$M$201,MATCH($B2429,Summary!$A$2:$A$201,0))</f>
        <v>1</v>
      </c>
      <c r="R2429" s="2" t="n">
        <f aca="false">INDEX(Summary!$N$2:$N$201,MATCH($B2429,Summary!$A$2:$A$201,0))</f>
        <v>9.57</v>
      </c>
      <c r="S2429" s="3" t="n">
        <f aca="false">INDEX(Summary!$O$2:$O$201,MATCH($B2429,Summary!$A$2:$A$201,0))</f>
        <v>8</v>
      </c>
      <c r="T2429" s="3" t="n">
        <f aca="false">INDEX(Summary!$P$2:$P$201,MATCH($B2429,Summary!$A$2:$A$201,0))</f>
        <v>1</v>
      </c>
      <c r="U2429" s="2" t="n">
        <f aca="false">INDEX(Summary!$Q$2:$Q$201,MATCH($B2429,Summary!$A$2:$A$201,0))</f>
        <v>13.79</v>
      </c>
      <c r="V2429" s="2" t="n">
        <f aca="false">INDEX(Summary!$R$2:$R$201,MATCH($B2429,Summary!$A$2:$A$201,0))</f>
        <v>31.47</v>
      </c>
      <c r="W2429" s="0" t="str">
        <f aca="false">INDEX(Summary!$S$2:$S$201,MATCH($B2429,Summary!$A$2:$A$201,0))</f>
        <v>Gold</v>
      </c>
      <c r="X2429" s="2" t="n">
        <f aca="false">INDEX(Summary!$T$2:$T$201,MATCH($B2429,Summary!$A$2:$A$201,0))</f>
        <v>76.76</v>
      </c>
      <c r="Y2429" s="0" t="str">
        <f aca="false">INDEX('Reward Model'!$E$18:$E$37,MATCH($E2429,'Reward Model'!$A$18:$A$37,0))</f>
        <v>Medium</v>
      </c>
      <c r="Z2429" s="4" t="n">
        <f aca="false">ROUND(MIN(1,MAX('Reward Model'!$B$2,INDEX('Reward Model'!$C$12:$C$14,MATCH($K2429,'Reward Model'!$A$12:$A$14,0))/$J2429)),3)</f>
        <v>0.893</v>
      </c>
      <c r="AA2429" s="2" t="n">
        <f aca="false">IF($I2429="Correct",ROUND(INDEX('Reward Model'!$B$12:$B$14,MATCH($K2429,'Reward Model'!$A$12:$A$14,0))*Z2429,2),0)</f>
        <v>0.89</v>
      </c>
      <c r="AB2429" s="2" t="n">
        <f aca="false">IF($I2429="Correct",ROUND(INDEX('Reward Model'!$B$12:$B$14,MATCH($Y2429,'Reward Model'!$A$12:$A$14,0))*Z2429,2),0)</f>
        <v>1.79</v>
      </c>
    </row>
    <row r="2430" customFormat="false" ht="15" hidden="false" customHeight="false" outlineLevel="0" collapsed="false">
      <c r="A2430" s="0" t="s">
        <v>374</v>
      </c>
      <c r="B2430" s="0" t="s">
        <v>375</v>
      </c>
      <c r="C2430" s="0" t="s">
        <v>322</v>
      </c>
      <c r="D2430" s="0" t="s">
        <v>31</v>
      </c>
      <c r="E2430" s="0" t="n">
        <v>9</v>
      </c>
      <c r="F2430" s="0" t="s">
        <v>55</v>
      </c>
      <c r="G2430" s="0" t="s">
        <v>57</v>
      </c>
      <c r="H2430" s="0" t="s">
        <v>57</v>
      </c>
      <c r="I2430" s="0" t="s">
        <v>34</v>
      </c>
      <c r="J2430" s="0" t="n">
        <v>1.74</v>
      </c>
      <c r="K2430" s="0" t="s">
        <v>35</v>
      </c>
      <c r="L2430" s="0" t="n">
        <f aca="false">INDEX(Summary!$F$2:$F$201,MATCH($B2430,Summary!$A$2:$A$201,0))</f>
        <v>20</v>
      </c>
      <c r="M2430" s="0" t="n">
        <f aca="false">INDEX(Summary!$I$2:$I$201,MATCH($B2430,Summary!$A$2:$A$201,0))</f>
        <v>4</v>
      </c>
      <c r="N2430" s="0" t="n">
        <f aca="false">INDEX(Summary!$J$2:$J$201,MATCH($B2430,Summary!$A$2:$A$201,0))</f>
        <v>1</v>
      </c>
      <c r="O2430" s="2" t="n">
        <f aca="false">INDEX(Summary!$K$2:$K$201,MATCH($B2430,Summary!$A$2:$A$201,0))</f>
        <v>10.19</v>
      </c>
      <c r="P2430" s="3" t="n">
        <f aca="false">INDEX(Summary!$L$2:$L$201,MATCH($B2430,Summary!$A$2:$A$201,0))</f>
        <v>5</v>
      </c>
      <c r="Q2430" s="3" t="n">
        <f aca="false">INDEX(Summary!$M$2:$M$201,MATCH($B2430,Summary!$A$2:$A$201,0))</f>
        <v>1</v>
      </c>
      <c r="R2430" s="2" t="n">
        <f aca="false">INDEX(Summary!$N$2:$N$201,MATCH($B2430,Summary!$A$2:$A$201,0))</f>
        <v>9.57</v>
      </c>
      <c r="S2430" s="3" t="n">
        <f aca="false">INDEX(Summary!$O$2:$O$201,MATCH($B2430,Summary!$A$2:$A$201,0))</f>
        <v>8</v>
      </c>
      <c r="T2430" s="3" t="n">
        <f aca="false">INDEX(Summary!$P$2:$P$201,MATCH($B2430,Summary!$A$2:$A$201,0))</f>
        <v>1</v>
      </c>
      <c r="U2430" s="2" t="n">
        <f aca="false">INDEX(Summary!$Q$2:$Q$201,MATCH($B2430,Summary!$A$2:$A$201,0))</f>
        <v>13.79</v>
      </c>
      <c r="V2430" s="2" t="n">
        <f aca="false">INDEX(Summary!$R$2:$R$201,MATCH($B2430,Summary!$A$2:$A$201,0))</f>
        <v>31.47</v>
      </c>
      <c r="W2430" s="0" t="str">
        <f aca="false">INDEX(Summary!$S$2:$S$201,MATCH($B2430,Summary!$A$2:$A$201,0))</f>
        <v>Gold</v>
      </c>
      <c r="X2430" s="2" t="n">
        <f aca="false">INDEX(Summary!$T$2:$T$201,MATCH($B2430,Summary!$A$2:$A$201,0))</f>
        <v>76.76</v>
      </c>
      <c r="Y2430" s="0" t="str">
        <f aca="false">INDEX('Reward Model'!$E$18:$E$37,MATCH($E2430,'Reward Model'!$A$18:$A$37,0))</f>
        <v>Medium</v>
      </c>
      <c r="Z2430" s="4" t="n">
        <f aca="false">ROUND(MIN(1,MAX('Reward Model'!$B$2,INDEX('Reward Model'!$C$12:$C$14,MATCH($K2430,'Reward Model'!$A$12:$A$14,0))/$J2430)),3)</f>
        <v>0.862</v>
      </c>
      <c r="AA2430" s="2" t="n">
        <f aca="false">IF($I2430="Correct",ROUND(INDEX('Reward Model'!$B$12:$B$14,MATCH($K2430,'Reward Model'!$A$12:$A$14,0))*Z2430,2),0)</f>
        <v>0.86</v>
      </c>
      <c r="AB2430" s="2" t="n">
        <f aca="false">IF($I2430="Correct",ROUND(INDEX('Reward Model'!$B$12:$B$14,MATCH($Y2430,'Reward Model'!$A$12:$A$14,0))*Z2430,2),0)</f>
        <v>1.72</v>
      </c>
    </row>
    <row r="2431" customFormat="false" ht="15" hidden="false" customHeight="false" outlineLevel="0" collapsed="false">
      <c r="A2431" s="0" t="s">
        <v>374</v>
      </c>
      <c r="B2431" s="0" t="s">
        <v>375</v>
      </c>
      <c r="C2431" s="0" t="s">
        <v>322</v>
      </c>
      <c r="D2431" s="0" t="s">
        <v>31</v>
      </c>
      <c r="E2431" s="0" t="n">
        <v>10</v>
      </c>
      <c r="F2431" s="0" t="s">
        <v>58</v>
      </c>
      <c r="G2431" s="0" t="s">
        <v>59</v>
      </c>
      <c r="H2431" s="0" t="s">
        <v>59</v>
      </c>
      <c r="I2431" s="0" t="s">
        <v>34</v>
      </c>
      <c r="J2431" s="0" t="n">
        <v>1.99</v>
      </c>
      <c r="K2431" s="0" t="s">
        <v>60</v>
      </c>
      <c r="L2431" s="0" t="n">
        <f aca="false">INDEX(Summary!$F$2:$F$201,MATCH($B2431,Summary!$A$2:$A$201,0))</f>
        <v>20</v>
      </c>
      <c r="M2431" s="0" t="n">
        <f aca="false">INDEX(Summary!$I$2:$I$201,MATCH($B2431,Summary!$A$2:$A$201,0))</f>
        <v>4</v>
      </c>
      <c r="N2431" s="0" t="n">
        <f aca="false">INDEX(Summary!$J$2:$J$201,MATCH($B2431,Summary!$A$2:$A$201,0))</f>
        <v>1</v>
      </c>
      <c r="O2431" s="2" t="n">
        <f aca="false">INDEX(Summary!$K$2:$K$201,MATCH($B2431,Summary!$A$2:$A$201,0))</f>
        <v>10.19</v>
      </c>
      <c r="P2431" s="3" t="n">
        <f aca="false">INDEX(Summary!$L$2:$L$201,MATCH($B2431,Summary!$A$2:$A$201,0))</f>
        <v>5</v>
      </c>
      <c r="Q2431" s="3" t="n">
        <f aca="false">INDEX(Summary!$M$2:$M$201,MATCH($B2431,Summary!$A$2:$A$201,0))</f>
        <v>1</v>
      </c>
      <c r="R2431" s="2" t="n">
        <f aca="false">INDEX(Summary!$N$2:$N$201,MATCH($B2431,Summary!$A$2:$A$201,0))</f>
        <v>9.57</v>
      </c>
      <c r="S2431" s="3" t="n">
        <f aca="false">INDEX(Summary!$O$2:$O$201,MATCH($B2431,Summary!$A$2:$A$201,0))</f>
        <v>8</v>
      </c>
      <c r="T2431" s="3" t="n">
        <f aca="false">INDEX(Summary!$P$2:$P$201,MATCH($B2431,Summary!$A$2:$A$201,0))</f>
        <v>1</v>
      </c>
      <c r="U2431" s="2" t="n">
        <f aca="false">INDEX(Summary!$Q$2:$Q$201,MATCH($B2431,Summary!$A$2:$A$201,0))</f>
        <v>13.79</v>
      </c>
      <c r="V2431" s="2" t="n">
        <f aca="false">INDEX(Summary!$R$2:$R$201,MATCH($B2431,Summary!$A$2:$A$201,0))</f>
        <v>31.47</v>
      </c>
      <c r="W2431" s="0" t="str">
        <f aca="false">INDEX(Summary!$S$2:$S$201,MATCH($B2431,Summary!$A$2:$A$201,0))</f>
        <v>Gold</v>
      </c>
      <c r="X2431" s="2" t="n">
        <f aca="false">INDEX(Summary!$T$2:$T$201,MATCH($B2431,Summary!$A$2:$A$201,0))</f>
        <v>76.76</v>
      </c>
      <c r="Y2431" s="0" t="str">
        <f aca="false">INDEX('Reward Model'!$E$18:$E$37,MATCH($E2431,'Reward Model'!$A$18:$A$37,0))</f>
        <v>Medium</v>
      </c>
      <c r="Z2431" s="4" t="n">
        <f aca="false">ROUND(MIN(1,MAX('Reward Model'!$B$2,INDEX('Reward Model'!$C$12:$C$14,MATCH($K2431,'Reward Model'!$A$12:$A$14,0))/$J2431)),3)</f>
        <v>0.905</v>
      </c>
      <c r="AA2431" s="2" t="n">
        <f aca="false">IF($I2431="Correct",ROUND(INDEX('Reward Model'!$B$12:$B$14,MATCH($K2431,'Reward Model'!$A$12:$A$14,0))*Z2431,2),0)</f>
        <v>1.81</v>
      </c>
      <c r="AB2431" s="2" t="n">
        <f aca="false">IF($I2431="Correct",ROUND(INDEX('Reward Model'!$B$12:$B$14,MATCH($Y2431,'Reward Model'!$A$12:$A$14,0))*Z2431,2),0)</f>
        <v>1.81</v>
      </c>
    </row>
    <row r="2432" customFormat="false" ht="15" hidden="false" customHeight="false" outlineLevel="0" collapsed="false">
      <c r="A2432" s="0" t="s">
        <v>374</v>
      </c>
      <c r="B2432" s="0" t="s">
        <v>375</v>
      </c>
      <c r="C2432" s="0" t="s">
        <v>322</v>
      </c>
      <c r="D2432" s="0" t="s">
        <v>31</v>
      </c>
      <c r="E2432" s="0" t="n">
        <v>11</v>
      </c>
      <c r="F2432" s="0" t="s">
        <v>61</v>
      </c>
      <c r="G2432" s="0" t="s">
        <v>63</v>
      </c>
      <c r="H2432" s="0" t="s">
        <v>63</v>
      </c>
      <c r="I2432" s="0" t="s">
        <v>34</v>
      </c>
      <c r="J2432" s="0" t="n">
        <v>1.23</v>
      </c>
      <c r="K2432" s="0" t="s">
        <v>60</v>
      </c>
      <c r="L2432" s="0" t="n">
        <f aca="false">INDEX(Summary!$F$2:$F$201,MATCH($B2432,Summary!$A$2:$A$201,0))</f>
        <v>20</v>
      </c>
      <c r="M2432" s="0" t="n">
        <f aca="false">INDEX(Summary!$I$2:$I$201,MATCH($B2432,Summary!$A$2:$A$201,0))</f>
        <v>4</v>
      </c>
      <c r="N2432" s="0" t="n">
        <f aca="false">INDEX(Summary!$J$2:$J$201,MATCH($B2432,Summary!$A$2:$A$201,0))</f>
        <v>1</v>
      </c>
      <c r="O2432" s="2" t="n">
        <f aca="false">INDEX(Summary!$K$2:$K$201,MATCH($B2432,Summary!$A$2:$A$201,0))</f>
        <v>10.19</v>
      </c>
      <c r="P2432" s="3" t="n">
        <f aca="false">INDEX(Summary!$L$2:$L$201,MATCH($B2432,Summary!$A$2:$A$201,0))</f>
        <v>5</v>
      </c>
      <c r="Q2432" s="3" t="n">
        <f aca="false">INDEX(Summary!$M$2:$M$201,MATCH($B2432,Summary!$A$2:$A$201,0))</f>
        <v>1</v>
      </c>
      <c r="R2432" s="2" t="n">
        <f aca="false">INDEX(Summary!$N$2:$N$201,MATCH($B2432,Summary!$A$2:$A$201,0))</f>
        <v>9.57</v>
      </c>
      <c r="S2432" s="3" t="n">
        <f aca="false">INDEX(Summary!$O$2:$O$201,MATCH($B2432,Summary!$A$2:$A$201,0))</f>
        <v>8</v>
      </c>
      <c r="T2432" s="3" t="n">
        <f aca="false">INDEX(Summary!$P$2:$P$201,MATCH($B2432,Summary!$A$2:$A$201,0))</f>
        <v>1</v>
      </c>
      <c r="U2432" s="2" t="n">
        <f aca="false">INDEX(Summary!$Q$2:$Q$201,MATCH($B2432,Summary!$A$2:$A$201,0))</f>
        <v>13.79</v>
      </c>
      <c r="V2432" s="2" t="n">
        <f aca="false">INDEX(Summary!$R$2:$R$201,MATCH($B2432,Summary!$A$2:$A$201,0))</f>
        <v>31.47</v>
      </c>
      <c r="W2432" s="0" t="str">
        <f aca="false">INDEX(Summary!$S$2:$S$201,MATCH($B2432,Summary!$A$2:$A$201,0))</f>
        <v>Gold</v>
      </c>
      <c r="X2432" s="2" t="n">
        <f aca="false">INDEX(Summary!$T$2:$T$201,MATCH($B2432,Summary!$A$2:$A$201,0))</f>
        <v>76.76</v>
      </c>
      <c r="Y2432" s="0" t="str">
        <f aca="false">INDEX('Reward Model'!$E$18:$E$37,MATCH($E2432,'Reward Model'!$A$18:$A$37,0))</f>
        <v>Medium</v>
      </c>
      <c r="Z2432" s="4" t="n">
        <f aca="false">ROUND(MIN(1,MAX('Reward Model'!$B$2,INDEX('Reward Model'!$C$12:$C$14,MATCH($K2432,'Reward Model'!$A$12:$A$14,0))/$J2432)),3)</f>
        <v>1</v>
      </c>
      <c r="AA2432" s="2" t="n">
        <f aca="false">IF($I2432="Correct",ROUND(INDEX('Reward Model'!$B$12:$B$14,MATCH($K2432,'Reward Model'!$A$12:$A$14,0))*Z2432,2),0)</f>
        <v>2</v>
      </c>
      <c r="AB2432" s="2" t="n">
        <f aca="false">IF($I2432="Correct",ROUND(INDEX('Reward Model'!$B$12:$B$14,MATCH($Y2432,'Reward Model'!$A$12:$A$14,0))*Z2432,2),0)</f>
        <v>2</v>
      </c>
    </row>
    <row r="2433" customFormat="false" ht="15" hidden="false" customHeight="false" outlineLevel="0" collapsed="false">
      <c r="A2433" s="0" t="s">
        <v>374</v>
      </c>
      <c r="B2433" s="0" t="s">
        <v>375</v>
      </c>
      <c r="C2433" s="0" t="s">
        <v>322</v>
      </c>
      <c r="D2433" s="0" t="s">
        <v>31</v>
      </c>
      <c r="E2433" s="0" t="n">
        <v>12</v>
      </c>
      <c r="F2433" s="0" t="s">
        <v>64</v>
      </c>
      <c r="G2433" s="0" t="s">
        <v>65</v>
      </c>
      <c r="H2433" s="0" t="s">
        <v>65</v>
      </c>
      <c r="I2433" s="0" t="s">
        <v>34</v>
      </c>
      <c r="J2433" s="0" t="n">
        <v>1.22</v>
      </c>
      <c r="K2433" s="0" t="s">
        <v>60</v>
      </c>
      <c r="L2433" s="0" t="n">
        <f aca="false">INDEX(Summary!$F$2:$F$201,MATCH($B2433,Summary!$A$2:$A$201,0))</f>
        <v>20</v>
      </c>
      <c r="M2433" s="0" t="n">
        <f aca="false">INDEX(Summary!$I$2:$I$201,MATCH($B2433,Summary!$A$2:$A$201,0))</f>
        <v>4</v>
      </c>
      <c r="N2433" s="0" t="n">
        <f aca="false">INDEX(Summary!$J$2:$J$201,MATCH($B2433,Summary!$A$2:$A$201,0))</f>
        <v>1</v>
      </c>
      <c r="O2433" s="2" t="n">
        <f aca="false">INDEX(Summary!$K$2:$K$201,MATCH($B2433,Summary!$A$2:$A$201,0))</f>
        <v>10.19</v>
      </c>
      <c r="P2433" s="3" t="n">
        <f aca="false">INDEX(Summary!$L$2:$L$201,MATCH($B2433,Summary!$A$2:$A$201,0))</f>
        <v>5</v>
      </c>
      <c r="Q2433" s="3" t="n">
        <f aca="false">INDEX(Summary!$M$2:$M$201,MATCH($B2433,Summary!$A$2:$A$201,0))</f>
        <v>1</v>
      </c>
      <c r="R2433" s="2" t="n">
        <f aca="false">INDEX(Summary!$N$2:$N$201,MATCH($B2433,Summary!$A$2:$A$201,0))</f>
        <v>9.57</v>
      </c>
      <c r="S2433" s="3" t="n">
        <f aca="false">INDEX(Summary!$O$2:$O$201,MATCH($B2433,Summary!$A$2:$A$201,0))</f>
        <v>8</v>
      </c>
      <c r="T2433" s="3" t="n">
        <f aca="false">INDEX(Summary!$P$2:$P$201,MATCH($B2433,Summary!$A$2:$A$201,0))</f>
        <v>1</v>
      </c>
      <c r="U2433" s="2" t="n">
        <f aca="false">INDEX(Summary!$Q$2:$Q$201,MATCH($B2433,Summary!$A$2:$A$201,0))</f>
        <v>13.79</v>
      </c>
      <c r="V2433" s="2" t="n">
        <f aca="false">INDEX(Summary!$R$2:$R$201,MATCH($B2433,Summary!$A$2:$A$201,0))</f>
        <v>31.47</v>
      </c>
      <c r="W2433" s="0" t="str">
        <f aca="false">INDEX(Summary!$S$2:$S$201,MATCH($B2433,Summary!$A$2:$A$201,0))</f>
        <v>Gold</v>
      </c>
      <c r="X2433" s="2" t="n">
        <f aca="false">INDEX(Summary!$T$2:$T$201,MATCH($B2433,Summary!$A$2:$A$201,0))</f>
        <v>76.76</v>
      </c>
      <c r="Y2433" s="0" t="str">
        <f aca="false">INDEX('Reward Model'!$E$18:$E$37,MATCH($E2433,'Reward Model'!$A$18:$A$37,0))</f>
        <v>Medium</v>
      </c>
      <c r="Z2433" s="4" t="n">
        <f aca="false">ROUND(MIN(1,MAX('Reward Model'!$B$2,INDEX('Reward Model'!$C$12:$C$14,MATCH($K2433,'Reward Model'!$A$12:$A$14,0))/$J2433)),3)</f>
        <v>1</v>
      </c>
      <c r="AA2433" s="2" t="n">
        <f aca="false">IF($I2433="Correct",ROUND(INDEX('Reward Model'!$B$12:$B$14,MATCH($K2433,'Reward Model'!$A$12:$A$14,0))*Z2433,2),0)</f>
        <v>2</v>
      </c>
      <c r="AB2433" s="2" t="n">
        <f aca="false">IF($I2433="Correct",ROUND(INDEX('Reward Model'!$B$12:$B$14,MATCH($Y2433,'Reward Model'!$A$12:$A$14,0))*Z2433,2),0)</f>
        <v>2</v>
      </c>
    </row>
    <row r="2434" customFormat="false" ht="15" hidden="false" customHeight="false" outlineLevel="0" collapsed="false">
      <c r="A2434" s="0" t="s">
        <v>374</v>
      </c>
      <c r="B2434" s="0" t="s">
        <v>375</v>
      </c>
      <c r="C2434" s="0" t="s">
        <v>322</v>
      </c>
      <c r="D2434" s="0" t="s">
        <v>31</v>
      </c>
      <c r="E2434" s="0" t="n">
        <v>13</v>
      </c>
      <c r="F2434" s="0" t="s">
        <v>66</v>
      </c>
      <c r="G2434" s="0" t="s">
        <v>117</v>
      </c>
      <c r="H2434" s="0" t="s">
        <v>67</v>
      </c>
      <c r="I2434" s="0" t="s">
        <v>39</v>
      </c>
      <c r="J2434" s="0" t="n">
        <v>1.95</v>
      </c>
      <c r="K2434" s="0" t="s">
        <v>60</v>
      </c>
      <c r="L2434" s="0" t="n">
        <f aca="false">INDEX(Summary!$F$2:$F$201,MATCH($B2434,Summary!$A$2:$A$201,0))</f>
        <v>20</v>
      </c>
      <c r="M2434" s="0" t="n">
        <f aca="false">INDEX(Summary!$I$2:$I$201,MATCH($B2434,Summary!$A$2:$A$201,0))</f>
        <v>4</v>
      </c>
      <c r="N2434" s="0" t="n">
        <f aca="false">INDEX(Summary!$J$2:$J$201,MATCH($B2434,Summary!$A$2:$A$201,0))</f>
        <v>1</v>
      </c>
      <c r="O2434" s="2" t="n">
        <f aca="false">INDEX(Summary!$K$2:$K$201,MATCH($B2434,Summary!$A$2:$A$201,0))</f>
        <v>10.19</v>
      </c>
      <c r="P2434" s="3" t="n">
        <f aca="false">INDEX(Summary!$L$2:$L$201,MATCH($B2434,Summary!$A$2:$A$201,0))</f>
        <v>5</v>
      </c>
      <c r="Q2434" s="3" t="n">
        <f aca="false">INDEX(Summary!$M$2:$M$201,MATCH($B2434,Summary!$A$2:$A$201,0))</f>
        <v>1</v>
      </c>
      <c r="R2434" s="2" t="n">
        <f aca="false">INDEX(Summary!$N$2:$N$201,MATCH($B2434,Summary!$A$2:$A$201,0))</f>
        <v>9.57</v>
      </c>
      <c r="S2434" s="3" t="n">
        <f aca="false">INDEX(Summary!$O$2:$O$201,MATCH($B2434,Summary!$A$2:$A$201,0))</f>
        <v>8</v>
      </c>
      <c r="T2434" s="3" t="n">
        <f aca="false">INDEX(Summary!$P$2:$P$201,MATCH($B2434,Summary!$A$2:$A$201,0))</f>
        <v>1</v>
      </c>
      <c r="U2434" s="2" t="n">
        <f aca="false">INDEX(Summary!$Q$2:$Q$201,MATCH($B2434,Summary!$A$2:$A$201,0))</f>
        <v>13.79</v>
      </c>
      <c r="V2434" s="2" t="n">
        <f aca="false">INDEX(Summary!$R$2:$R$201,MATCH($B2434,Summary!$A$2:$A$201,0))</f>
        <v>31.47</v>
      </c>
      <c r="W2434" s="0" t="str">
        <f aca="false">INDEX(Summary!$S$2:$S$201,MATCH($B2434,Summary!$A$2:$A$201,0))</f>
        <v>Gold</v>
      </c>
      <c r="X2434" s="2" t="n">
        <f aca="false">INDEX(Summary!$T$2:$T$201,MATCH($B2434,Summary!$A$2:$A$201,0))</f>
        <v>76.76</v>
      </c>
      <c r="Y2434" s="0" t="str">
        <f aca="false">INDEX('Reward Model'!$E$18:$E$37,MATCH($E2434,'Reward Model'!$A$18:$A$37,0))</f>
        <v>Medium</v>
      </c>
      <c r="Z2434" s="4" t="n">
        <f aca="false">ROUND(MIN(1,MAX('Reward Model'!$B$2,INDEX('Reward Model'!$C$12:$C$14,MATCH($K2434,'Reward Model'!$A$12:$A$14,0))/$J2434)),3)</f>
        <v>0.923</v>
      </c>
      <c r="AA2434" s="2" t="n">
        <f aca="false">IF($I2434="Correct",ROUND(INDEX('Reward Model'!$B$12:$B$14,MATCH($K2434,'Reward Model'!$A$12:$A$14,0))*Z2434,2),0)</f>
        <v>0</v>
      </c>
      <c r="AB2434" s="2" t="n">
        <f aca="false">IF($I2434="Correct",ROUND(INDEX('Reward Model'!$B$12:$B$14,MATCH($Y2434,'Reward Model'!$A$12:$A$14,0))*Z2434,2),0)</f>
        <v>0</v>
      </c>
    </row>
    <row r="2435" customFormat="false" ht="15" hidden="false" customHeight="false" outlineLevel="0" collapsed="false">
      <c r="A2435" s="0" t="s">
        <v>374</v>
      </c>
      <c r="B2435" s="0" t="s">
        <v>375</v>
      </c>
      <c r="C2435" s="0" t="s">
        <v>322</v>
      </c>
      <c r="D2435" s="0" t="s">
        <v>31</v>
      </c>
      <c r="E2435" s="0" t="n">
        <v>14</v>
      </c>
      <c r="F2435" s="0" t="s">
        <v>68</v>
      </c>
      <c r="G2435" s="0" t="s">
        <v>51</v>
      </c>
      <c r="H2435" s="0" t="s">
        <v>51</v>
      </c>
      <c r="I2435" s="0" t="s">
        <v>34</v>
      </c>
      <c r="J2435" s="0" t="n">
        <v>1.98</v>
      </c>
      <c r="K2435" s="0" t="s">
        <v>60</v>
      </c>
      <c r="L2435" s="0" t="n">
        <f aca="false">INDEX(Summary!$F$2:$F$201,MATCH($B2435,Summary!$A$2:$A$201,0))</f>
        <v>20</v>
      </c>
      <c r="M2435" s="0" t="n">
        <f aca="false">INDEX(Summary!$I$2:$I$201,MATCH($B2435,Summary!$A$2:$A$201,0))</f>
        <v>4</v>
      </c>
      <c r="N2435" s="0" t="n">
        <f aca="false">INDEX(Summary!$J$2:$J$201,MATCH($B2435,Summary!$A$2:$A$201,0))</f>
        <v>1</v>
      </c>
      <c r="O2435" s="2" t="n">
        <f aca="false">INDEX(Summary!$K$2:$K$201,MATCH($B2435,Summary!$A$2:$A$201,0))</f>
        <v>10.19</v>
      </c>
      <c r="P2435" s="3" t="n">
        <f aca="false">INDEX(Summary!$L$2:$L$201,MATCH($B2435,Summary!$A$2:$A$201,0))</f>
        <v>5</v>
      </c>
      <c r="Q2435" s="3" t="n">
        <f aca="false">INDEX(Summary!$M$2:$M$201,MATCH($B2435,Summary!$A$2:$A$201,0))</f>
        <v>1</v>
      </c>
      <c r="R2435" s="2" t="n">
        <f aca="false">INDEX(Summary!$N$2:$N$201,MATCH($B2435,Summary!$A$2:$A$201,0))</f>
        <v>9.57</v>
      </c>
      <c r="S2435" s="3" t="n">
        <f aca="false">INDEX(Summary!$O$2:$O$201,MATCH($B2435,Summary!$A$2:$A$201,0))</f>
        <v>8</v>
      </c>
      <c r="T2435" s="3" t="n">
        <f aca="false">INDEX(Summary!$P$2:$P$201,MATCH($B2435,Summary!$A$2:$A$201,0))</f>
        <v>1</v>
      </c>
      <c r="U2435" s="2" t="n">
        <f aca="false">INDEX(Summary!$Q$2:$Q$201,MATCH($B2435,Summary!$A$2:$A$201,0))</f>
        <v>13.79</v>
      </c>
      <c r="V2435" s="2" t="n">
        <f aca="false">INDEX(Summary!$R$2:$R$201,MATCH($B2435,Summary!$A$2:$A$201,0))</f>
        <v>31.47</v>
      </c>
      <c r="W2435" s="0" t="str">
        <f aca="false">INDEX(Summary!$S$2:$S$201,MATCH($B2435,Summary!$A$2:$A$201,0))</f>
        <v>Gold</v>
      </c>
      <c r="X2435" s="2" t="n">
        <f aca="false">INDEX(Summary!$T$2:$T$201,MATCH($B2435,Summary!$A$2:$A$201,0))</f>
        <v>76.76</v>
      </c>
      <c r="Y2435" s="0" t="str">
        <f aca="false">INDEX('Reward Model'!$E$18:$E$37,MATCH($E2435,'Reward Model'!$A$18:$A$37,0))</f>
        <v>Medium</v>
      </c>
      <c r="Z2435" s="4" t="n">
        <f aca="false">ROUND(MIN(1,MAX('Reward Model'!$B$2,INDEX('Reward Model'!$C$12:$C$14,MATCH($K2435,'Reward Model'!$A$12:$A$14,0))/$J2435)),3)</f>
        <v>0.909</v>
      </c>
      <c r="AA2435" s="2" t="n">
        <f aca="false">IF($I2435="Correct",ROUND(INDEX('Reward Model'!$B$12:$B$14,MATCH($K2435,'Reward Model'!$A$12:$A$14,0))*Z2435,2),0)</f>
        <v>1.82</v>
      </c>
      <c r="AB2435" s="2" t="n">
        <f aca="false">IF($I2435="Correct",ROUND(INDEX('Reward Model'!$B$12:$B$14,MATCH($Y2435,'Reward Model'!$A$12:$A$14,0))*Z2435,2),0)</f>
        <v>1.82</v>
      </c>
    </row>
    <row r="2436" customFormat="false" ht="15" hidden="false" customHeight="false" outlineLevel="0" collapsed="false">
      <c r="A2436" s="0" t="s">
        <v>374</v>
      </c>
      <c r="B2436" s="0" t="s">
        <v>375</v>
      </c>
      <c r="C2436" s="0" t="s">
        <v>322</v>
      </c>
      <c r="D2436" s="0" t="s">
        <v>31</v>
      </c>
      <c r="E2436" s="0" t="n">
        <v>15</v>
      </c>
      <c r="F2436" s="0" t="s">
        <v>69</v>
      </c>
      <c r="G2436" s="0" t="s">
        <v>70</v>
      </c>
      <c r="H2436" s="0" t="s">
        <v>70</v>
      </c>
      <c r="I2436" s="0" t="s">
        <v>34</v>
      </c>
      <c r="J2436" s="0" t="n">
        <v>1.2</v>
      </c>
      <c r="K2436" s="0" t="s">
        <v>60</v>
      </c>
      <c r="L2436" s="0" t="n">
        <f aca="false">INDEX(Summary!$F$2:$F$201,MATCH($B2436,Summary!$A$2:$A$201,0))</f>
        <v>20</v>
      </c>
      <c r="M2436" s="0" t="n">
        <f aca="false">INDEX(Summary!$I$2:$I$201,MATCH($B2436,Summary!$A$2:$A$201,0))</f>
        <v>4</v>
      </c>
      <c r="N2436" s="0" t="n">
        <f aca="false">INDEX(Summary!$J$2:$J$201,MATCH($B2436,Summary!$A$2:$A$201,0))</f>
        <v>1</v>
      </c>
      <c r="O2436" s="2" t="n">
        <f aca="false">INDEX(Summary!$K$2:$K$201,MATCH($B2436,Summary!$A$2:$A$201,0))</f>
        <v>10.19</v>
      </c>
      <c r="P2436" s="3" t="n">
        <f aca="false">INDEX(Summary!$L$2:$L$201,MATCH($B2436,Summary!$A$2:$A$201,0))</f>
        <v>5</v>
      </c>
      <c r="Q2436" s="3" t="n">
        <f aca="false">INDEX(Summary!$M$2:$M$201,MATCH($B2436,Summary!$A$2:$A$201,0))</f>
        <v>1</v>
      </c>
      <c r="R2436" s="2" t="n">
        <f aca="false">INDEX(Summary!$N$2:$N$201,MATCH($B2436,Summary!$A$2:$A$201,0))</f>
        <v>9.57</v>
      </c>
      <c r="S2436" s="3" t="n">
        <f aca="false">INDEX(Summary!$O$2:$O$201,MATCH($B2436,Summary!$A$2:$A$201,0))</f>
        <v>8</v>
      </c>
      <c r="T2436" s="3" t="n">
        <f aca="false">INDEX(Summary!$P$2:$P$201,MATCH($B2436,Summary!$A$2:$A$201,0))</f>
        <v>1</v>
      </c>
      <c r="U2436" s="2" t="n">
        <f aca="false">INDEX(Summary!$Q$2:$Q$201,MATCH($B2436,Summary!$A$2:$A$201,0))</f>
        <v>13.79</v>
      </c>
      <c r="V2436" s="2" t="n">
        <f aca="false">INDEX(Summary!$R$2:$R$201,MATCH($B2436,Summary!$A$2:$A$201,0))</f>
        <v>31.47</v>
      </c>
      <c r="W2436" s="0" t="str">
        <f aca="false">INDEX(Summary!$S$2:$S$201,MATCH($B2436,Summary!$A$2:$A$201,0))</f>
        <v>Gold</v>
      </c>
      <c r="X2436" s="2" t="n">
        <f aca="false">INDEX(Summary!$T$2:$T$201,MATCH($B2436,Summary!$A$2:$A$201,0))</f>
        <v>76.76</v>
      </c>
      <c r="Y2436" s="0" t="str">
        <f aca="false">INDEX('Reward Model'!$E$18:$E$37,MATCH($E2436,'Reward Model'!$A$18:$A$37,0))</f>
        <v>Medium</v>
      </c>
      <c r="Z2436" s="4" t="n">
        <f aca="false">ROUND(MIN(1,MAX('Reward Model'!$B$2,INDEX('Reward Model'!$C$12:$C$14,MATCH($K2436,'Reward Model'!$A$12:$A$14,0))/$J2436)),3)</f>
        <v>1</v>
      </c>
      <c r="AA2436" s="2" t="n">
        <f aca="false">IF($I2436="Correct",ROUND(INDEX('Reward Model'!$B$12:$B$14,MATCH($K2436,'Reward Model'!$A$12:$A$14,0))*Z2436,2),0)</f>
        <v>2</v>
      </c>
      <c r="AB2436" s="2" t="n">
        <f aca="false">IF($I2436="Correct",ROUND(INDEX('Reward Model'!$B$12:$B$14,MATCH($Y2436,'Reward Model'!$A$12:$A$14,0))*Z2436,2),0)</f>
        <v>2</v>
      </c>
    </row>
    <row r="2437" customFormat="false" ht="15" hidden="false" customHeight="false" outlineLevel="0" collapsed="false">
      <c r="A2437" s="0" t="s">
        <v>374</v>
      </c>
      <c r="B2437" s="0" t="s">
        <v>375</v>
      </c>
      <c r="C2437" s="0" t="s">
        <v>322</v>
      </c>
      <c r="D2437" s="0" t="s">
        <v>31</v>
      </c>
      <c r="E2437" s="0" t="n">
        <v>16</v>
      </c>
      <c r="F2437" s="0" t="s">
        <v>71</v>
      </c>
      <c r="G2437" s="0" t="s">
        <v>72</v>
      </c>
      <c r="H2437" s="0" t="s">
        <v>72</v>
      </c>
      <c r="I2437" s="0" t="s">
        <v>34</v>
      </c>
      <c r="J2437" s="0" t="n">
        <v>2.26</v>
      </c>
      <c r="K2437" s="0" t="s">
        <v>73</v>
      </c>
      <c r="L2437" s="0" t="n">
        <f aca="false">INDEX(Summary!$F$2:$F$201,MATCH($B2437,Summary!$A$2:$A$201,0))</f>
        <v>20</v>
      </c>
      <c r="M2437" s="0" t="n">
        <f aca="false">INDEX(Summary!$I$2:$I$201,MATCH($B2437,Summary!$A$2:$A$201,0))</f>
        <v>4</v>
      </c>
      <c r="N2437" s="0" t="n">
        <f aca="false">INDEX(Summary!$J$2:$J$201,MATCH($B2437,Summary!$A$2:$A$201,0))</f>
        <v>1</v>
      </c>
      <c r="O2437" s="2" t="n">
        <f aca="false">INDEX(Summary!$K$2:$K$201,MATCH($B2437,Summary!$A$2:$A$201,0))</f>
        <v>10.19</v>
      </c>
      <c r="P2437" s="3" t="n">
        <f aca="false">INDEX(Summary!$L$2:$L$201,MATCH($B2437,Summary!$A$2:$A$201,0))</f>
        <v>5</v>
      </c>
      <c r="Q2437" s="3" t="n">
        <f aca="false">INDEX(Summary!$M$2:$M$201,MATCH($B2437,Summary!$A$2:$A$201,0))</f>
        <v>1</v>
      </c>
      <c r="R2437" s="2" t="n">
        <f aca="false">INDEX(Summary!$N$2:$N$201,MATCH($B2437,Summary!$A$2:$A$201,0))</f>
        <v>9.57</v>
      </c>
      <c r="S2437" s="3" t="n">
        <f aca="false">INDEX(Summary!$O$2:$O$201,MATCH($B2437,Summary!$A$2:$A$201,0))</f>
        <v>8</v>
      </c>
      <c r="T2437" s="3" t="n">
        <f aca="false">INDEX(Summary!$P$2:$P$201,MATCH($B2437,Summary!$A$2:$A$201,0))</f>
        <v>1</v>
      </c>
      <c r="U2437" s="2" t="n">
        <f aca="false">INDEX(Summary!$Q$2:$Q$201,MATCH($B2437,Summary!$A$2:$A$201,0))</f>
        <v>13.79</v>
      </c>
      <c r="V2437" s="2" t="n">
        <f aca="false">INDEX(Summary!$R$2:$R$201,MATCH($B2437,Summary!$A$2:$A$201,0))</f>
        <v>31.47</v>
      </c>
      <c r="W2437" s="0" t="str">
        <f aca="false">INDEX(Summary!$S$2:$S$201,MATCH($B2437,Summary!$A$2:$A$201,0))</f>
        <v>Gold</v>
      </c>
      <c r="X2437" s="2" t="n">
        <f aca="false">INDEX(Summary!$T$2:$T$201,MATCH($B2437,Summary!$A$2:$A$201,0))</f>
        <v>76.76</v>
      </c>
      <c r="Y2437" s="0" t="str">
        <f aca="false">INDEX('Reward Model'!$E$18:$E$37,MATCH($E2437,'Reward Model'!$A$18:$A$37,0))</f>
        <v>High</v>
      </c>
      <c r="Z2437" s="4" t="n">
        <f aca="false">ROUND(MIN(1,MAX('Reward Model'!$B$2,INDEX('Reward Model'!$C$12:$C$14,MATCH($K2437,'Reward Model'!$A$12:$A$14,0))/$J2437)),3)</f>
        <v>0.885</v>
      </c>
      <c r="AA2437" s="2" t="n">
        <f aca="false">IF($I2437="Correct",ROUND(INDEX('Reward Model'!$B$12:$B$14,MATCH($K2437,'Reward Model'!$A$12:$A$14,0))*Z2437,2),0)</f>
        <v>2.66</v>
      </c>
      <c r="AB2437" s="2" t="n">
        <f aca="false">IF($I2437="Correct",ROUND(INDEX('Reward Model'!$B$12:$B$14,MATCH($Y2437,'Reward Model'!$A$12:$A$14,0))*Z2437,2),0)</f>
        <v>2.66</v>
      </c>
    </row>
    <row r="2438" customFormat="false" ht="15" hidden="false" customHeight="false" outlineLevel="0" collapsed="false">
      <c r="A2438" s="0" t="s">
        <v>374</v>
      </c>
      <c r="B2438" s="0" t="s">
        <v>375</v>
      </c>
      <c r="C2438" s="0" t="s">
        <v>322</v>
      </c>
      <c r="D2438" s="0" t="s">
        <v>31</v>
      </c>
      <c r="E2438" s="0" t="n">
        <v>17</v>
      </c>
      <c r="F2438" s="0" t="s">
        <v>74</v>
      </c>
      <c r="G2438" s="0" t="s">
        <v>75</v>
      </c>
      <c r="H2438" s="0" t="s">
        <v>75</v>
      </c>
      <c r="I2438" s="0" t="s">
        <v>34</v>
      </c>
      <c r="J2438" s="0" t="n">
        <v>2.39</v>
      </c>
      <c r="K2438" s="0" t="s">
        <v>73</v>
      </c>
      <c r="L2438" s="0" t="n">
        <f aca="false">INDEX(Summary!$F$2:$F$201,MATCH($B2438,Summary!$A$2:$A$201,0))</f>
        <v>20</v>
      </c>
      <c r="M2438" s="0" t="n">
        <f aca="false">INDEX(Summary!$I$2:$I$201,MATCH($B2438,Summary!$A$2:$A$201,0))</f>
        <v>4</v>
      </c>
      <c r="N2438" s="0" t="n">
        <f aca="false">INDEX(Summary!$J$2:$J$201,MATCH($B2438,Summary!$A$2:$A$201,0))</f>
        <v>1</v>
      </c>
      <c r="O2438" s="2" t="n">
        <f aca="false">INDEX(Summary!$K$2:$K$201,MATCH($B2438,Summary!$A$2:$A$201,0))</f>
        <v>10.19</v>
      </c>
      <c r="P2438" s="3" t="n">
        <f aca="false">INDEX(Summary!$L$2:$L$201,MATCH($B2438,Summary!$A$2:$A$201,0))</f>
        <v>5</v>
      </c>
      <c r="Q2438" s="3" t="n">
        <f aca="false">INDEX(Summary!$M$2:$M$201,MATCH($B2438,Summary!$A$2:$A$201,0))</f>
        <v>1</v>
      </c>
      <c r="R2438" s="2" t="n">
        <f aca="false">INDEX(Summary!$N$2:$N$201,MATCH($B2438,Summary!$A$2:$A$201,0))</f>
        <v>9.57</v>
      </c>
      <c r="S2438" s="3" t="n">
        <f aca="false">INDEX(Summary!$O$2:$O$201,MATCH($B2438,Summary!$A$2:$A$201,0))</f>
        <v>8</v>
      </c>
      <c r="T2438" s="3" t="n">
        <f aca="false">INDEX(Summary!$P$2:$P$201,MATCH($B2438,Summary!$A$2:$A$201,0))</f>
        <v>1</v>
      </c>
      <c r="U2438" s="2" t="n">
        <f aca="false">INDEX(Summary!$Q$2:$Q$201,MATCH($B2438,Summary!$A$2:$A$201,0))</f>
        <v>13.79</v>
      </c>
      <c r="V2438" s="2" t="n">
        <f aca="false">INDEX(Summary!$R$2:$R$201,MATCH($B2438,Summary!$A$2:$A$201,0))</f>
        <v>31.47</v>
      </c>
      <c r="W2438" s="0" t="str">
        <f aca="false">INDEX(Summary!$S$2:$S$201,MATCH($B2438,Summary!$A$2:$A$201,0))</f>
        <v>Gold</v>
      </c>
      <c r="X2438" s="2" t="n">
        <f aca="false">INDEX(Summary!$T$2:$T$201,MATCH($B2438,Summary!$A$2:$A$201,0))</f>
        <v>76.76</v>
      </c>
      <c r="Y2438" s="0" t="str">
        <f aca="false">INDEX('Reward Model'!$E$18:$E$37,MATCH($E2438,'Reward Model'!$A$18:$A$37,0))</f>
        <v>High</v>
      </c>
      <c r="Z2438" s="4" t="n">
        <f aca="false">ROUND(MIN(1,MAX('Reward Model'!$B$2,INDEX('Reward Model'!$C$12:$C$14,MATCH($K2438,'Reward Model'!$A$12:$A$14,0))/$J2438)),3)</f>
        <v>0.837</v>
      </c>
      <c r="AA2438" s="2" t="n">
        <f aca="false">IF($I2438="Correct",ROUND(INDEX('Reward Model'!$B$12:$B$14,MATCH($K2438,'Reward Model'!$A$12:$A$14,0))*Z2438,2),0)</f>
        <v>2.51</v>
      </c>
      <c r="AB2438" s="2" t="n">
        <f aca="false">IF($I2438="Correct",ROUND(INDEX('Reward Model'!$B$12:$B$14,MATCH($Y2438,'Reward Model'!$A$12:$A$14,0))*Z2438,2),0)</f>
        <v>2.51</v>
      </c>
    </row>
    <row r="2439" customFormat="false" ht="15" hidden="false" customHeight="false" outlineLevel="0" collapsed="false">
      <c r="A2439" s="0" t="s">
        <v>374</v>
      </c>
      <c r="B2439" s="0" t="s">
        <v>375</v>
      </c>
      <c r="C2439" s="0" t="s">
        <v>322</v>
      </c>
      <c r="D2439" s="0" t="s">
        <v>31</v>
      </c>
      <c r="E2439" s="0" t="n">
        <v>18</v>
      </c>
      <c r="F2439" s="0" t="s">
        <v>76</v>
      </c>
      <c r="G2439" s="0" t="s">
        <v>77</v>
      </c>
      <c r="H2439" s="0" t="s">
        <v>77</v>
      </c>
      <c r="I2439" s="0" t="s">
        <v>34</v>
      </c>
      <c r="J2439" s="0" t="n">
        <v>1.42</v>
      </c>
      <c r="K2439" s="0" t="s">
        <v>73</v>
      </c>
      <c r="L2439" s="0" t="n">
        <f aca="false">INDEX(Summary!$F$2:$F$201,MATCH($B2439,Summary!$A$2:$A$201,0))</f>
        <v>20</v>
      </c>
      <c r="M2439" s="0" t="n">
        <f aca="false">INDEX(Summary!$I$2:$I$201,MATCH($B2439,Summary!$A$2:$A$201,0))</f>
        <v>4</v>
      </c>
      <c r="N2439" s="0" t="n">
        <f aca="false">INDEX(Summary!$J$2:$J$201,MATCH($B2439,Summary!$A$2:$A$201,0))</f>
        <v>1</v>
      </c>
      <c r="O2439" s="2" t="n">
        <f aca="false">INDEX(Summary!$K$2:$K$201,MATCH($B2439,Summary!$A$2:$A$201,0))</f>
        <v>10.19</v>
      </c>
      <c r="P2439" s="3" t="n">
        <f aca="false">INDEX(Summary!$L$2:$L$201,MATCH($B2439,Summary!$A$2:$A$201,0))</f>
        <v>5</v>
      </c>
      <c r="Q2439" s="3" t="n">
        <f aca="false">INDEX(Summary!$M$2:$M$201,MATCH($B2439,Summary!$A$2:$A$201,0))</f>
        <v>1</v>
      </c>
      <c r="R2439" s="2" t="n">
        <f aca="false">INDEX(Summary!$N$2:$N$201,MATCH($B2439,Summary!$A$2:$A$201,0))</f>
        <v>9.57</v>
      </c>
      <c r="S2439" s="3" t="n">
        <f aca="false">INDEX(Summary!$O$2:$O$201,MATCH($B2439,Summary!$A$2:$A$201,0))</f>
        <v>8</v>
      </c>
      <c r="T2439" s="3" t="n">
        <f aca="false">INDEX(Summary!$P$2:$P$201,MATCH($B2439,Summary!$A$2:$A$201,0))</f>
        <v>1</v>
      </c>
      <c r="U2439" s="2" t="n">
        <f aca="false">INDEX(Summary!$Q$2:$Q$201,MATCH($B2439,Summary!$A$2:$A$201,0))</f>
        <v>13.79</v>
      </c>
      <c r="V2439" s="2" t="n">
        <f aca="false">INDEX(Summary!$R$2:$R$201,MATCH($B2439,Summary!$A$2:$A$201,0))</f>
        <v>31.47</v>
      </c>
      <c r="W2439" s="0" t="str">
        <f aca="false">INDEX(Summary!$S$2:$S$201,MATCH($B2439,Summary!$A$2:$A$201,0))</f>
        <v>Gold</v>
      </c>
      <c r="X2439" s="2" t="n">
        <f aca="false">INDEX(Summary!$T$2:$T$201,MATCH($B2439,Summary!$A$2:$A$201,0))</f>
        <v>76.76</v>
      </c>
      <c r="Y2439" s="0" t="str">
        <f aca="false">INDEX('Reward Model'!$E$18:$E$37,MATCH($E2439,'Reward Model'!$A$18:$A$37,0))</f>
        <v>High</v>
      </c>
      <c r="Z2439" s="4" t="n">
        <f aca="false">ROUND(MIN(1,MAX('Reward Model'!$B$2,INDEX('Reward Model'!$C$12:$C$14,MATCH($K2439,'Reward Model'!$A$12:$A$14,0))/$J2439)),3)</f>
        <v>1</v>
      </c>
      <c r="AA2439" s="2" t="n">
        <f aca="false">IF($I2439="Correct",ROUND(INDEX('Reward Model'!$B$12:$B$14,MATCH($K2439,'Reward Model'!$A$12:$A$14,0))*Z2439,2),0)</f>
        <v>3</v>
      </c>
      <c r="AB2439" s="2" t="n">
        <f aca="false">IF($I2439="Correct",ROUND(INDEX('Reward Model'!$B$12:$B$14,MATCH($Y2439,'Reward Model'!$A$12:$A$14,0))*Z2439,2),0)</f>
        <v>3</v>
      </c>
    </row>
    <row r="2440" customFormat="false" ht="15" hidden="false" customHeight="false" outlineLevel="0" collapsed="false">
      <c r="A2440" s="0" t="s">
        <v>374</v>
      </c>
      <c r="B2440" s="0" t="s">
        <v>375</v>
      </c>
      <c r="C2440" s="0" t="s">
        <v>322</v>
      </c>
      <c r="D2440" s="0" t="s">
        <v>31</v>
      </c>
      <c r="E2440" s="0" t="n">
        <v>19</v>
      </c>
      <c r="F2440" s="0" t="s">
        <v>78</v>
      </c>
      <c r="G2440" s="0" t="s">
        <v>79</v>
      </c>
      <c r="H2440" s="0" t="s">
        <v>80</v>
      </c>
      <c r="I2440" s="0" t="s">
        <v>39</v>
      </c>
      <c r="J2440" s="0" t="n">
        <v>1.92</v>
      </c>
      <c r="K2440" s="0" t="s">
        <v>73</v>
      </c>
      <c r="L2440" s="0" t="n">
        <f aca="false">INDEX(Summary!$F$2:$F$201,MATCH($B2440,Summary!$A$2:$A$201,0))</f>
        <v>20</v>
      </c>
      <c r="M2440" s="0" t="n">
        <f aca="false">INDEX(Summary!$I$2:$I$201,MATCH($B2440,Summary!$A$2:$A$201,0))</f>
        <v>4</v>
      </c>
      <c r="N2440" s="0" t="n">
        <f aca="false">INDEX(Summary!$J$2:$J$201,MATCH($B2440,Summary!$A$2:$A$201,0))</f>
        <v>1</v>
      </c>
      <c r="O2440" s="2" t="n">
        <f aca="false">INDEX(Summary!$K$2:$K$201,MATCH($B2440,Summary!$A$2:$A$201,0))</f>
        <v>10.19</v>
      </c>
      <c r="P2440" s="3" t="n">
        <f aca="false">INDEX(Summary!$L$2:$L$201,MATCH($B2440,Summary!$A$2:$A$201,0))</f>
        <v>5</v>
      </c>
      <c r="Q2440" s="3" t="n">
        <f aca="false">INDEX(Summary!$M$2:$M$201,MATCH($B2440,Summary!$A$2:$A$201,0))</f>
        <v>1</v>
      </c>
      <c r="R2440" s="2" t="n">
        <f aca="false">INDEX(Summary!$N$2:$N$201,MATCH($B2440,Summary!$A$2:$A$201,0))</f>
        <v>9.57</v>
      </c>
      <c r="S2440" s="3" t="n">
        <f aca="false">INDEX(Summary!$O$2:$O$201,MATCH($B2440,Summary!$A$2:$A$201,0))</f>
        <v>8</v>
      </c>
      <c r="T2440" s="3" t="n">
        <f aca="false">INDEX(Summary!$P$2:$P$201,MATCH($B2440,Summary!$A$2:$A$201,0))</f>
        <v>1</v>
      </c>
      <c r="U2440" s="2" t="n">
        <f aca="false">INDEX(Summary!$Q$2:$Q$201,MATCH($B2440,Summary!$A$2:$A$201,0))</f>
        <v>13.79</v>
      </c>
      <c r="V2440" s="2" t="n">
        <f aca="false">INDEX(Summary!$R$2:$R$201,MATCH($B2440,Summary!$A$2:$A$201,0))</f>
        <v>31.47</v>
      </c>
      <c r="W2440" s="0" t="str">
        <f aca="false">INDEX(Summary!$S$2:$S$201,MATCH($B2440,Summary!$A$2:$A$201,0))</f>
        <v>Gold</v>
      </c>
      <c r="X2440" s="2" t="n">
        <f aca="false">INDEX(Summary!$T$2:$T$201,MATCH($B2440,Summary!$A$2:$A$201,0))</f>
        <v>76.76</v>
      </c>
      <c r="Y2440" s="0" t="str">
        <f aca="false">INDEX('Reward Model'!$E$18:$E$37,MATCH($E2440,'Reward Model'!$A$18:$A$37,0))</f>
        <v>High</v>
      </c>
      <c r="Z2440" s="4" t="n">
        <f aca="false">ROUND(MIN(1,MAX('Reward Model'!$B$2,INDEX('Reward Model'!$C$12:$C$14,MATCH($K2440,'Reward Model'!$A$12:$A$14,0))/$J2440)),3)</f>
        <v>1</v>
      </c>
      <c r="AA2440" s="2" t="n">
        <f aca="false">IF($I2440="Correct",ROUND(INDEX('Reward Model'!$B$12:$B$14,MATCH($K2440,'Reward Model'!$A$12:$A$14,0))*Z2440,2),0)</f>
        <v>0</v>
      </c>
      <c r="AB2440" s="2" t="n">
        <f aca="false">IF($I2440="Correct",ROUND(INDEX('Reward Model'!$B$12:$B$14,MATCH($Y2440,'Reward Model'!$A$12:$A$14,0))*Z2440,2),0)</f>
        <v>0</v>
      </c>
    </row>
    <row r="2441" customFormat="false" ht="15" hidden="false" customHeight="false" outlineLevel="0" collapsed="false">
      <c r="A2441" s="0" t="s">
        <v>374</v>
      </c>
      <c r="B2441" s="0" t="s">
        <v>375</v>
      </c>
      <c r="C2441" s="0" t="s">
        <v>322</v>
      </c>
      <c r="D2441" s="0" t="s">
        <v>31</v>
      </c>
      <c r="E2441" s="0" t="n">
        <v>20</v>
      </c>
      <c r="F2441" s="0" t="s">
        <v>81</v>
      </c>
      <c r="G2441" s="0" t="s">
        <v>83</v>
      </c>
      <c r="H2441" s="0" t="s">
        <v>83</v>
      </c>
      <c r="I2441" s="0" t="s">
        <v>34</v>
      </c>
      <c r="J2441" s="0" t="n">
        <v>2.2</v>
      </c>
      <c r="K2441" s="0" t="s">
        <v>73</v>
      </c>
      <c r="L2441" s="0" t="n">
        <f aca="false">INDEX(Summary!$F$2:$F$201,MATCH($B2441,Summary!$A$2:$A$201,0))</f>
        <v>20</v>
      </c>
      <c r="M2441" s="0" t="n">
        <f aca="false">INDEX(Summary!$I$2:$I$201,MATCH($B2441,Summary!$A$2:$A$201,0))</f>
        <v>4</v>
      </c>
      <c r="N2441" s="0" t="n">
        <f aca="false">INDEX(Summary!$J$2:$J$201,MATCH($B2441,Summary!$A$2:$A$201,0))</f>
        <v>1</v>
      </c>
      <c r="O2441" s="2" t="n">
        <f aca="false">INDEX(Summary!$K$2:$K$201,MATCH($B2441,Summary!$A$2:$A$201,0))</f>
        <v>10.19</v>
      </c>
      <c r="P2441" s="3" t="n">
        <f aca="false">INDEX(Summary!$L$2:$L$201,MATCH($B2441,Summary!$A$2:$A$201,0))</f>
        <v>5</v>
      </c>
      <c r="Q2441" s="3" t="n">
        <f aca="false">INDEX(Summary!$M$2:$M$201,MATCH($B2441,Summary!$A$2:$A$201,0))</f>
        <v>1</v>
      </c>
      <c r="R2441" s="2" t="n">
        <f aca="false">INDEX(Summary!$N$2:$N$201,MATCH($B2441,Summary!$A$2:$A$201,0))</f>
        <v>9.57</v>
      </c>
      <c r="S2441" s="3" t="n">
        <f aca="false">INDEX(Summary!$O$2:$O$201,MATCH($B2441,Summary!$A$2:$A$201,0))</f>
        <v>8</v>
      </c>
      <c r="T2441" s="3" t="n">
        <f aca="false">INDEX(Summary!$P$2:$P$201,MATCH($B2441,Summary!$A$2:$A$201,0))</f>
        <v>1</v>
      </c>
      <c r="U2441" s="2" t="n">
        <f aca="false">INDEX(Summary!$Q$2:$Q$201,MATCH($B2441,Summary!$A$2:$A$201,0))</f>
        <v>13.79</v>
      </c>
      <c r="V2441" s="2" t="n">
        <f aca="false">INDEX(Summary!$R$2:$R$201,MATCH($B2441,Summary!$A$2:$A$201,0))</f>
        <v>31.47</v>
      </c>
      <c r="W2441" s="0" t="str">
        <f aca="false">INDEX(Summary!$S$2:$S$201,MATCH($B2441,Summary!$A$2:$A$201,0))</f>
        <v>Gold</v>
      </c>
      <c r="X2441" s="2" t="n">
        <f aca="false">INDEX(Summary!$T$2:$T$201,MATCH($B2441,Summary!$A$2:$A$201,0))</f>
        <v>76.76</v>
      </c>
      <c r="Y2441" s="0" t="str">
        <f aca="false">INDEX('Reward Model'!$E$18:$E$37,MATCH($E2441,'Reward Model'!$A$18:$A$37,0))</f>
        <v>High</v>
      </c>
      <c r="Z2441" s="4" t="n">
        <f aca="false">ROUND(MIN(1,MAX('Reward Model'!$B$2,INDEX('Reward Model'!$C$12:$C$14,MATCH($K2441,'Reward Model'!$A$12:$A$14,0))/$J2441)),3)</f>
        <v>0.909</v>
      </c>
      <c r="AA2441" s="2" t="n">
        <f aca="false">IF($I2441="Correct",ROUND(INDEX('Reward Model'!$B$12:$B$14,MATCH($K2441,'Reward Model'!$A$12:$A$14,0))*Z2441,2),0)</f>
        <v>2.73</v>
      </c>
      <c r="AB2441" s="2" t="n">
        <f aca="false">IF($I2441="Correct",ROUND(INDEX('Reward Model'!$B$12:$B$14,MATCH($Y2441,'Reward Model'!$A$12:$A$14,0))*Z2441,2),0)</f>
        <v>2.73</v>
      </c>
    </row>
    <row r="2442" customFormat="false" ht="15" hidden="false" customHeight="false" outlineLevel="0" collapsed="false">
      <c r="A2442" s="0" t="s">
        <v>376</v>
      </c>
      <c r="B2442" s="0" t="s">
        <v>377</v>
      </c>
      <c r="C2442" s="0" t="s">
        <v>322</v>
      </c>
      <c r="D2442" s="0" t="s">
        <v>31</v>
      </c>
      <c r="E2442" s="0" t="n">
        <v>1</v>
      </c>
      <c r="F2442" s="0" t="s">
        <v>32</v>
      </c>
      <c r="G2442" s="0" t="s">
        <v>33</v>
      </c>
      <c r="H2442" s="0" t="s">
        <v>33</v>
      </c>
      <c r="I2442" s="0" t="s">
        <v>34</v>
      </c>
      <c r="J2442" s="0" t="n">
        <v>1.67</v>
      </c>
      <c r="K2442" s="0" t="s">
        <v>35</v>
      </c>
      <c r="L2442" s="0" t="n">
        <f aca="false">INDEX(Summary!$F$2:$F$201,MATCH($B2442,Summary!$A$2:$A$201,0))</f>
        <v>20</v>
      </c>
      <c r="M2442" s="0" t="n">
        <f aca="false">INDEX(Summary!$I$2:$I$201,MATCH($B2442,Summary!$A$2:$A$201,0))</f>
        <v>2</v>
      </c>
      <c r="N2442" s="0" t="n">
        <f aca="false">INDEX(Summary!$J$2:$J$201,MATCH($B2442,Summary!$A$2:$A$201,0))</f>
        <v>3</v>
      </c>
      <c r="O2442" s="2" t="n">
        <f aca="false">INDEX(Summary!$K$2:$K$201,MATCH($B2442,Summary!$A$2:$A$201,0))</f>
        <v>8.8</v>
      </c>
      <c r="P2442" s="3" t="n">
        <f aca="false">INDEX(Summary!$L$2:$L$201,MATCH($B2442,Summary!$A$2:$A$201,0))</f>
        <v>4</v>
      </c>
      <c r="Q2442" s="3" t="n">
        <f aca="false">INDEX(Summary!$M$2:$M$201,MATCH($B2442,Summary!$A$2:$A$201,0))</f>
        <v>2</v>
      </c>
      <c r="R2442" s="2" t="n">
        <f aca="false">INDEX(Summary!$N$2:$N$201,MATCH($B2442,Summary!$A$2:$A$201,0))</f>
        <v>10.46</v>
      </c>
      <c r="S2442" s="3" t="n">
        <f aca="false">INDEX(Summary!$O$2:$O$201,MATCH($B2442,Summary!$A$2:$A$201,0))</f>
        <v>8</v>
      </c>
      <c r="T2442" s="3" t="n">
        <f aca="false">INDEX(Summary!$P$2:$P$201,MATCH($B2442,Summary!$A$2:$A$201,0))</f>
        <v>1</v>
      </c>
      <c r="U2442" s="2" t="n">
        <f aca="false">INDEX(Summary!$Q$2:$Q$201,MATCH($B2442,Summary!$A$2:$A$201,0))</f>
        <v>11.88</v>
      </c>
      <c r="V2442" s="2" t="n">
        <f aca="false">INDEX(Summary!$R$2:$R$201,MATCH($B2442,Summary!$A$2:$A$201,0))</f>
        <v>26.14</v>
      </c>
      <c r="W2442" s="0" t="str">
        <f aca="false">INDEX(Summary!$S$2:$S$201,MATCH($B2442,Summary!$A$2:$A$201,0))</f>
        <v>Silver</v>
      </c>
      <c r="X2442" s="2" t="n">
        <f aca="false">INDEX(Summary!$T$2:$T$201,MATCH($B2442,Summary!$A$2:$A$201,0))</f>
        <v>63.76</v>
      </c>
      <c r="Y2442" s="0" t="str">
        <f aca="false">INDEX('Reward Model'!$E$18:$E$37,MATCH($E2442,'Reward Model'!$A$18:$A$37,0))</f>
        <v>Medium</v>
      </c>
      <c r="Z2442" s="4" t="n">
        <f aca="false">ROUND(MIN(1,MAX('Reward Model'!$B$2,INDEX('Reward Model'!$C$12:$C$14,MATCH($K2442,'Reward Model'!$A$12:$A$14,0))/$J2442)),3)</f>
        <v>0.898</v>
      </c>
      <c r="AA2442" s="2" t="n">
        <f aca="false">IF($I2442="Correct",ROUND(INDEX('Reward Model'!$B$12:$B$14,MATCH($K2442,'Reward Model'!$A$12:$A$14,0))*Z2442,2),0)</f>
        <v>0.9</v>
      </c>
      <c r="AB2442" s="2" t="n">
        <f aca="false">IF($I2442="Correct",ROUND(INDEX('Reward Model'!$B$12:$B$14,MATCH($Y2442,'Reward Model'!$A$12:$A$14,0))*Z2442,2),0)</f>
        <v>1.8</v>
      </c>
    </row>
    <row r="2443" customFormat="false" ht="15" hidden="false" customHeight="false" outlineLevel="0" collapsed="false">
      <c r="A2443" s="0" t="s">
        <v>376</v>
      </c>
      <c r="B2443" s="0" t="s">
        <v>377</v>
      </c>
      <c r="C2443" s="0" t="s">
        <v>322</v>
      </c>
      <c r="D2443" s="0" t="s">
        <v>31</v>
      </c>
      <c r="E2443" s="0" t="n">
        <v>2</v>
      </c>
      <c r="F2443" s="0" t="s">
        <v>36</v>
      </c>
      <c r="G2443" s="0" t="s">
        <v>94</v>
      </c>
      <c r="H2443" s="0" t="s">
        <v>38</v>
      </c>
      <c r="I2443" s="0" t="s">
        <v>39</v>
      </c>
      <c r="J2443" s="0" t="n">
        <v>1.05</v>
      </c>
      <c r="K2443" s="0" t="s">
        <v>35</v>
      </c>
      <c r="L2443" s="0" t="n">
        <f aca="false">INDEX(Summary!$F$2:$F$201,MATCH($B2443,Summary!$A$2:$A$201,0))</f>
        <v>20</v>
      </c>
      <c r="M2443" s="0" t="n">
        <f aca="false">INDEX(Summary!$I$2:$I$201,MATCH($B2443,Summary!$A$2:$A$201,0))</f>
        <v>2</v>
      </c>
      <c r="N2443" s="0" t="n">
        <f aca="false">INDEX(Summary!$J$2:$J$201,MATCH($B2443,Summary!$A$2:$A$201,0))</f>
        <v>3</v>
      </c>
      <c r="O2443" s="2" t="n">
        <f aca="false">INDEX(Summary!$K$2:$K$201,MATCH($B2443,Summary!$A$2:$A$201,0))</f>
        <v>8.8</v>
      </c>
      <c r="P2443" s="3" t="n">
        <f aca="false">INDEX(Summary!$L$2:$L$201,MATCH($B2443,Summary!$A$2:$A$201,0))</f>
        <v>4</v>
      </c>
      <c r="Q2443" s="3" t="n">
        <f aca="false">INDEX(Summary!$M$2:$M$201,MATCH($B2443,Summary!$A$2:$A$201,0))</f>
        <v>2</v>
      </c>
      <c r="R2443" s="2" t="n">
        <f aca="false">INDEX(Summary!$N$2:$N$201,MATCH($B2443,Summary!$A$2:$A$201,0))</f>
        <v>10.46</v>
      </c>
      <c r="S2443" s="3" t="n">
        <f aca="false">INDEX(Summary!$O$2:$O$201,MATCH($B2443,Summary!$A$2:$A$201,0))</f>
        <v>8</v>
      </c>
      <c r="T2443" s="3" t="n">
        <f aca="false">INDEX(Summary!$P$2:$P$201,MATCH($B2443,Summary!$A$2:$A$201,0))</f>
        <v>1</v>
      </c>
      <c r="U2443" s="2" t="n">
        <f aca="false">INDEX(Summary!$Q$2:$Q$201,MATCH($B2443,Summary!$A$2:$A$201,0))</f>
        <v>11.88</v>
      </c>
      <c r="V2443" s="2" t="n">
        <f aca="false">INDEX(Summary!$R$2:$R$201,MATCH($B2443,Summary!$A$2:$A$201,0))</f>
        <v>26.14</v>
      </c>
      <c r="W2443" s="0" t="str">
        <f aca="false">INDEX(Summary!$S$2:$S$201,MATCH($B2443,Summary!$A$2:$A$201,0))</f>
        <v>Silver</v>
      </c>
      <c r="X2443" s="2" t="n">
        <f aca="false">INDEX(Summary!$T$2:$T$201,MATCH($B2443,Summary!$A$2:$A$201,0))</f>
        <v>63.76</v>
      </c>
      <c r="Y2443" s="0" t="str">
        <f aca="false">INDEX('Reward Model'!$E$18:$E$37,MATCH($E2443,'Reward Model'!$A$18:$A$37,0))</f>
        <v>Low</v>
      </c>
      <c r="Z2443" s="4" t="n">
        <f aca="false">ROUND(MIN(1,MAX('Reward Model'!$B$2,INDEX('Reward Model'!$C$12:$C$14,MATCH($K2443,'Reward Model'!$A$12:$A$14,0))/$J2443)),3)</f>
        <v>1</v>
      </c>
      <c r="AA2443" s="2" t="n">
        <f aca="false">IF($I2443="Correct",ROUND(INDEX('Reward Model'!$B$12:$B$14,MATCH($K2443,'Reward Model'!$A$12:$A$14,0))*Z2443,2),0)</f>
        <v>0</v>
      </c>
      <c r="AB2443" s="2" t="n">
        <f aca="false">IF($I2443="Correct",ROUND(INDEX('Reward Model'!$B$12:$B$14,MATCH($Y2443,'Reward Model'!$A$12:$A$14,0))*Z2443,2),0)</f>
        <v>0</v>
      </c>
    </row>
    <row r="2444" customFormat="false" ht="15" hidden="false" customHeight="false" outlineLevel="0" collapsed="false">
      <c r="A2444" s="0" t="s">
        <v>376</v>
      </c>
      <c r="B2444" s="0" t="s">
        <v>377</v>
      </c>
      <c r="C2444" s="0" t="s">
        <v>322</v>
      </c>
      <c r="D2444" s="0" t="s">
        <v>31</v>
      </c>
      <c r="E2444" s="0" t="n">
        <v>3</v>
      </c>
      <c r="F2444" s="0" t="s">
        <v>40</v>
      </c>
      <c r="G2444" s="0" t="s">
        <v>42</v>
      </c>
      <c r="H2444" s="0" t="s">
        <v>42</v>
      </c>
      <c r="I2444" s="0" t="s">
        <v>34</v>
      </c>
      <c r="J2444" s="0" t="n">
        <v>1.5</v>
      </c>
      <c r="K2444" s="0" t="s">
        <v>35</v>
      </c>
      <c r="L2444" s="0" t="n">
        <f aca="false">INDEX(Summary!$F$2:$F$201,MATCH($B2444,Summary!$A$2:$A$201,0))</f>
        <v>20</v>
      </c>
      <c r="M2444" s="0" t="n">
        <f aca="false">INDEX(Summary!$I$2:$I$201,MATCH($B2444,Summary!$A$2:$A$201,0))</f>
        <v>2</v>
      </c>
      <c r="N2444" s="0" t="n">
        <f aca="false">INDEX(Summary!$J$2:$J$201,MATCH($B2444,Summary!$A$2:$A$201,0))</f>
        <v>3</v>
      </c>
      <c r="O2444" s="2" t="n">
        <f aca="false">INDEX(Summary!$K$2:$K$201,MATCH($B2444,Summary!$A$2:$A$201,0))</f>
        <v>8.8</v>
      </c>
      <c r="P2444" s="3" t="n">
        <f aca="false">INDEX(Summary!$L$2:$L$201,MATCH($B2444,Summary!$A$2:$A$201,0))</f>
        <v>4</v>
      </c>
      <c r="Q2444" s="3" t="n">
        <f aca="false">INDEX(Summary!$M$2:$M$201,MATCH($B2444,Summary!$A$2:$A$201,0))</f>
        <v>2</v>
      </c>
      <c r="R2444" s="2" t="n">
        <f aca="false">INDEX(Summary!$N$2:$N$201,MATCH($B2444,Summary!$A$2:$A$201,0))</f>
        <v>10.46</v>
      </c>
      <c r="S2444" s="3" t="n">
        <f aca="false">INDEX(Summary!$O$2:$O$201,MATCH($B2444,Summary!$A$2:$A$201,0))</f>
        <v>8</v>
      </c>
      <c r="T2444" s="3" t="n">
        <f aca="false">INDEX(Summary!$P$2:$P$201,MATCH($B2444,Summary!$A$2:$A$201,0))</f>
        <v>1</v>
      </c>
      <c r="U2444" s="2" t="n">
        <f aca="false">INDEX(Summary!$Q$2:$Q$201,MATCH($B2444,Summary!$A$2:$A$201,0))</f>
        <v>11.88</v>
      </c>
      <c r="V2444" s="2" t="n">
        <f aca="false">INDEX(Summary!$R$2:$R$201,MATCH($B2444,Summary!$A$2:$A$201,0))</f>
        <v>26.14</v>
      </c>
      <c r="W2444" s="0" t="str">
        <f aca="false">INDEX(Summary!$S$2:$S$201,MATCH($B2444,Summary!$A$2:$A$201,0))</f>
        <v>Silver</v>
      </c>
      <c r="X2444" s="2" t="n">
        <f aca="false">INDEX(Summary!$T$2:$T$201,MATCH($B2444,Summary!$A$2:$A$201,0))</f>
        <v>63.76</v>
      </c>
      <c r="Y2444" s="0" t="str">
        <f aca="false">INDEX('Reward Model'!$E$18:$E$37,MATCH($E2444,'Reward Model'!$A$18:$A$37,0))</f>
        <v>Medium</v>
      </c>
      <c r="Z2444" s="4" t="n">
        <f aca="false">ROUND(MIN(1,MAX('Reward Model'!$B$2,INDEX('Reward Model'!$C$12:$C$14,MATCH($K2444,'Reward Model'!$A$12:$A$14,0))/$J2444)),3)</f>
        <v>1</v>
      </c>
      <c r="AA2444" s="2" t="n">
        <f aca="false">IF($I2444="Correct",ROUND(INDEX('Reward Model'!$B$12:$B$14,MATCH($K2444,'Reward Model'!$A$12:$A$14,0))*Z2444,2),0)</f>
        <v>1</v>
      </c>
      <c r="AB2444" s="2" t="n">
        <f aca="false">IF($I2444="Correct",ROUND(INDEX('Reward Model'!$B$12:$B$14,MATCH($Y2444,'Reward Model'!$A$12:$A$14,0))*Z2444,2),0)</f>
        <v>2</v>
      </c>
    </row>
    <row r="2445" customFormat="false" ht="15" hidden="false" customHeight="false" outlineLevel="0" collapsed="false">
      <c r="A2445" s="0" t="s">
        <v>376</v>
      </c>
      <c r="B2445" s="0" t="s">
        <v>377</v>
      </c>
      <c r="C2445" s="0" t="s">
        <v>322</v>
      </c>
      <c r="D2445" s="0" t="s">
        <v>31</v>
      </c>
      <c r="E2445" s="0" t="n">
        <v>4</v>
      </c>
      <c r="F2445" s="0" t="s">
        <v>43</v>
      </c>
      <c r="G2445" s="0" t="s">
        <v>45</v>
      </c>
      <c r="H2445" s="0" t="s">
        <v>45</v>
      </c>
      <c r="I2445" s="0" t="s">
        <v>34</v>
      </c>
      <c r="J2445" s="0" t="n">
        <v>1.22</v>
      </c>
      <c r="K2445" s="0" t="s">
        <v>35</v>
      </c>
      <c r="L2445" s="0" t="n">
        <f aca="false">INDEX(Summary!$F$2:$F$201,MATCH($B2445,Summary!$A$2:$A$201,0))</f>
        <v>20</v>
      </c>
      <c r="M2445" s="0" t="n">
        <f aca="false">INDEX(Summary!$I$2:$I$201,MATCH($B2445,Summary!$A$2:$A$201,0))</f>
        <v>2</v>
      </c>
      <c r="N2445" s="0" t="n">
        <f aca="false">INDEX(Summary!$J$2:$J$201,MATCH($B2445,Summary!$A$2:$A$201,0))</f>
        <v>3</v>
      </c>
      <c r="O2445" s="2" t="n">
        <f aca="false">INDEX(Summary!$K$2:$K$201,MATCH($B2445,Summary!$A$2:$A$201,0))</f>
        <v>8.8</v>
      </c>
      <c r="P2445" s="3" t="n">
        <f aca="false">INDEX(Summary!$L$2:$L$201,MATCH($B2445,Summary!$A$2:$A$201,0))</f>
        <v>4</v>
      </c>
      <c r="Q2445" s="3" t="n">
        <f aca="false">INDEX(Summary!$M$2:$M$201,MATCH($B2445,Summary!$A$2:$A$201,0))</f>
        <v>2</v>
      </c>
      <c r="R2445" s="2" t="n">
        <f aca="false">INDEX(Summary!$N$2:$N$201,MATCH($B2445,Summary!$A$2:$A$201,0))</f>
        <v>10.46</v>
      </c>
      <c r="S2445" s="3" t="n">
        <f aca="false">INDEX(Summary!$O$2:$O$201,MATCH($B2445,Summary!$A$2:$A$201,0))</f>
        <v>8</v>
      </c>
      <c r="T2445" s="3" t="n">
        <f aca="false">INDEX(Summary!$P$2:$P$201,MATCH($B2445,Summary!$A$2:$A$201,0))</f>
        <v>1</v>
      </c>
      <c r="U2445" s="2" t="n">
        <f aca="false">INDEX(Summary!$Q$2:$Q$201,MATCH($B2445,Summary!$A$2:$A$201,0))</f>
        <v>11.88</v>
      </c>
      <c r="V2445" s="2" t="n">
        <f aca="false">INDEX(Summary!$R$2:$R$201,MATCH($B2445,Summary!$A$2:$A$201,0))</f>
        <v>26.14</v>
      </c>
      <c r="W2445" s="0" t="str">
        <f aca="false">INDEX(Summary!$S$2:$S$201,MATCH($B2445,Summary!$A$2:$A$201,0))</f>
        <v>Silver</v>
      </c>
      <c r="X2445" s="2" t="n">
        <f aca="false">INDEX(Summary!$T$2:$T$201,MATCH($B2445,Summary!$A$2:$A$201,0))</f>
        <v>63.76</v>
      </c>
      <c r="Y2445" s="0" t="str">
        <f aca="false">INDEX('Reward Model'!$E$18:$E$37,MATCH($E2445,'Reward Model'!$A$18:$A$37,0))</f>
        <v>Low</v>
      </c>
      <c r="Z2445" s="4" t="n">
        <f aca="false">ROUND(MIN(1,MAX('Reward Model'!$B$2,INDEX('Reward Model'!$C$12:$C$14,MATCH($K2445,'Reward Model'!$A$12:$A$14,0))/$J2445)),3)</f>
        <v>1</v>
      </c>
      <c r="AA2445" s="2" t="n">
        <f aca="false">IF($I2445="Correct",ROUND(INDEX('Reward Model'!$B$12:$B$14,MATCH($K2445,'Reward Model'!$A$12:$A$14,0))*Z2445,2),0)</f>
        <v>1</v>
      </c>
      <c r="AB2445" s="2" t="n">
        <f aca="false">IF($I2445="Correct",ROUND(INDEX('Reward Model'!$B$12:$B$14,MATCH($Y2445,'Reward Model'!$A$12:$A$14,0))*Z2445,2),0)</f>
        <v>1</v>
      </c>
    </row>
    <row r="2446" customFormat="false" ht="15" hidden="false" customHeight="false" outlineLevel="0" collapsed="false">
      <c r="A2446" s="0" t="s">
        <v>376</v>
      </c>
      <c r="B2446" s="0" t="s">
        <v>377</v>
      </c>
      <c r="C2446" s="0" t="s">
        <v>322</v>
      </c>
      <c r="D2446" s="0" t="s">
        <v>31</v>
      </c>
      <c r="E2446" s="0" t="n">
        <v>5</v>
      </c>
      <c r="F2446" s="0" t="s">
        <v>46</v>
      </c>
      <c r="G2446" s="0" t="s">
        <v>47</v>
      </c>
      <c r="H2446" s="0" t="s">
        <v>47</v>
      </c>
      <c r="I2446" s="0" t="s">
        <v>34</v>
      </c>
      <c r="J2446" s="0" t="n">
        <v>1.45</v>
      </c>
      <c r="K2446" s="0" t="s">
        <v>35</v>
      </c>
      <c r="L2446" s="0" t="n">
        <f aca="false">INDEX(Summary!$F$2:$F$201,MATCH($B2446,Summary!$A$2:$A$201,0))</f>
        <v>20</v>
      </c>
      <c r="M2446" s="0" t="n">
        <f aca="false">INDEX(Summary!$I$2:$I$201,MATCH($B2446,Summary!$A$2:$A$201,0))</f>
        <v>2</v>
      </c>
      <c r="N2446" s="0" t="n">
        <f aca="false">INDEX(Summary!$J$2:$J$201,MATCH($B2446,Summary!$A$2:$A$201,0))</f>
        <v>3</v>
      </c>
      <c r="O2446" s="2" t="n">
        <f aca="false">INDEX(Summary!$K$2:$K$201,MATCH($B2446,Summary!$A$2:$A$201,0))</f>
        <v>8.8</v>
      </c>
      <c r="P2446" s="3" t="n">
        <f aca="false">INDEX(Summary!$L$2:$L$201,MATCH($B2446,Summary!$A$2:$A$201,0))</f>
        <v>4</v>
      </c>
      <c r="Q2446" s="3" t="n">
        <f aca="false">INDEX(Summary!$M$2:$M$201,MATCH($B2446,Summary!$A$2:$A$201,0))</f>
        <v>2</v>
      </c>
      <c r="R2446" s="2" t="n">
        <f aca="false">INDEX(Summary!$N$2:$N$201,MATCH($B2446,Summary!$A$2:$A$201,0))</f>
        <v>10.46</v>
      </c>
      <c r="S2446" s="3" t="n">
        <f aca="false">INDEX(Summary!$O$2:$O$201,MATCH($B2446,Summary!$A$2:$A$201,0))</f>
        <v>8</v>
      </c>
      <c r="T2446" s="3" t="n">
        <f aca="false">INDEX(Summary!$P$2:$P$201,MATCH($B2446,Summary!$A$2:$A$201,0))</f>
        <v>1</v>
      </c>
      <c r="U2446" s="2" t="n">
        <f aca="false">INDEX(Summary!$Q$2:$Q$201,MATCH($B2446,Summary!$A$2:$A$201,0))</f>
        <v>11.88</v>
      </c>
      <c r="V2446" s="2" t="n">
        <f aca="false">INDEX(Summary!$R$2:$R$201,MATCH($B2446,Summary!$A$2:$A$201,0))</f>
        <v>26.14</v>
      </c>
      <c r="W2446" s="0" t="str">
        <f aca="false">INDEX(Summary!$S$2:$S$201,MATCH($B2446,Summary!$A$2:$A$201,0))</f>
        <v>Silver</v>
      </c>
      <c r="X2446" s="2" t="n">
        <f aca="false">INDEX(Summary!$T$2:$T$201,MATCH($B2446,Summary!$A$2:$A$201,0))</f>
        <v>63.76</v>
      </c>
      <c r="Y2446" s="0" t="str">
        <f aca="false">INDEX('Reward Model'!$E$18:$E$37,MATCH($E2446,'Reward Model'!$A$18:$A$37,0))</f>
        <v>Low</v>
      </c>
      <c r="Z2446" s="4" t="n">
        <f aca="false">ROUND(MIN(1,MAX('Reward Model'!$B$2,INDEX('Reward Model'!$C$12:$C$14,MATCH($K2446,'Reward Model'!$A$12:$A$14,0))/$J2446)),3)</f>
        <v>1</v>
      </c>
      <c r="AA2446" s="2" t="n">
        <f aca="false">IF($I2446="Correct",ROUND(INDEX('Reward Model'!$B$12:$B$14,MATCH($K2446,'Reward Model'!$A$12:$A$14,0))*Z2446,2),0)</f>
        <v>1</v>
      </c>
      <c r="AB2446" s="2" t="n">
        <f aca="false">IF($I2446="Correct",ROUND(INDEX('Reward Model'!$B$12:$B$14,MATCH($Y2446,'Reward Model'!$A$12:$A$14,0))*Z2446,2),0)</f>
        <v>1</v>
      </c>
    </row>
    <row r="2447" customFormat="false" ht="15" hidden="false" customHeight="false" outlineLevel="0" collapsed="false">
      <c r="A2447" s="0" t="s">
        <v>376</v>
      </c>
      <c r="B2447" s="0" t="s">
        <v>377</v>
      </c>
      <c r="C2447" s="0" t="s">
        <v>322</v>
      </c>
      <c r="D2447" s="0" t="s">
        <v>31</v>
      </c>
      <c r="E2447" s="0" t="n">
        <v>6</v>
      </c>
      <c r="F2447" s="0" t="s">
        <v>48</v>
      </c>
      <c r="G2447" s="0" t="s">
        <v>49</v>
      </c>
      <c r="H2447" s="0" t="s">
        <v>49</v>
      </c>
      <c r="I2447" s="0" t="s">
        <v>34</v>
      </c>
      <c r="J2447" s="0" t="n">
        <v>1.26</v>
      </c>
      <c r="K2447" s="0" t="s">
        <v>35</v>
      </c>
      <c r="L2447" s="0" t="n">
        <f aca="false">INDEX(Summary!$F$2:$F$201,MATCH($B2447,Summary!$A$2:$A$201,0))</f>
        <v>20</v>
      </c>
      <c r="M2447" s="0" t="n">
        <f aca="false">INDEX(Summary!$I$2:$I$201,MATCH($B2447,Summary!$A$2:$A$201,0))</f>
        <v>2</v>
      </c>
      <c r="N2447" s="0" t="n">
        <f aca="false">INDEX(Summary!$J$2:$J$201,MATCH($B2447,Summary!$A$2:$A$201,0))</f>
        <v>3</v>
      </c>
      <c r="O2447" s="2" t="n">
        <f aca="false">INDEX(Summary!$K$2:$K$201,MATCH($B2447,Summary!$A$2:$A$201,0))</f>
        <v>8.8</v>
      </c>
      <c r="P2447" s="3" t="n">
        <f aca="false">INDEX(Summary!$L$2:$L$201,MATCH($B2447,Summary!$A$2:$A$201,0))</f>
        <v>4</v>
      </c>
      <c r="Q2447" s="3" t="n">
        <f aca="false">INDEX(Summary!$M$2:$M$201,MATCH($B2447,Summary!$A$2:$A$201,0))</f>
        <v>2</v>
      </c>
      <c r="R2447" s="2" t="n">
        <f aca="false">INDEX(Summary!$N$2:$N$201,MATCH($B2447,Summary!$A$2:$A$201,0))</f>
        <v>10.46</v>
      </c>
      <c r="S2447" s="3" t="n">
        <f aca="false">INDEX(Summary!$O$2:$O$201,MATCH($B2447,Summary!$A$2:$A$201,0))</f>
        <v>8</v>
      </c>
      <c r="T2447" s="3" t="n">
        <f aca="false">INDEX(Summary!$P$2:$P$201,MATCH($B2447,Summary!$A$2:$A$201,0))</f>
        <v>1</v>
      </c>
      <c r="U2447" s="2" t="n">
        <f aca="false">INDEX(Summary!$Q$2:$Q$201,MATCH($B2447,Summary!$A$2:$A$201,0))</f>
        <v>11.88</v>
      </c>
      <c r="V2447" s="2" t="n">
        <f aca="false">INDEX(Summary!$R$2:$R$201,MATCH($B2447,Summary!$A$2:$A$201,0))</f>
        <v>26.14</v>
      </c>
      <c r="W2447" s="0" t="str">
        <f aca="false">INDEX(Summary!$S$2:$S$201,MATCH($B2447,Summary!$A$2:$A$201,0))</f>
        <v>Silver</v>
      </c>
      <c r="X2447" s="2" t="n">
        <f aca="false">INDEX(Summary!$T$2:$T$201,MATCH($B2447,Summary!$A$2:$A$201,0))</f>
        <v>63.76</v>
      </c>
      <c r="Y2447" s="0" t="str">
        <f aca="false">INDEX('Reward Model'!$E$18:$E$37,MATCH($E2447,'Reward Model'!$A$18:$A$37,0))</f>
        <v>Medium</v>
      </c>
      <c r="Z2447" s="4" t="n">
        <f aca="false">ROUND(MIN(1,MAX('Reward Model'!$B$2,INDEX('Reward Model'!$C$12:$C$14,MATCH($K2447,'Reward Model'!$A$12:$A$14,0))/$J2447)),3)</f>
        <v>1</v>
      </c>
      <c r="AA2447" s="2" t="n">
        <f aca="false">IF($I2447="Correct",ROUND(INDEX('Reward Model'!$B$12:$B$14,MATCH($K2447,'Reward Model'!$A$12:$A$14,0))*Z2447,2),0)</f>
        <v>1</v>
      </c>
      <c r="AB2447" s="2" t="n">
        <f aca="false">IF($I2447="Correct",ROUND(INDEX('Reward Model'!$B$12:$B$14,MATCH($Y2447,'Reward Model'!$A$12:$A$14,0))*Z2447,2),0)</f>
        <v>2</v>
      </c>
    </row>
    <row r="2448" customFormat="false" ht="15" hidden="false" customHeight="false" outlineLevel="0" collapsed="false">
      <c r="A2448" s="0" t="s">
        <v>376</v>
      </c>
      <c r="B2448" s="0" t="s">
        <v>377</v>
      </c>
      <c r="C2448" s="0" t="s">
        <v>322</v>
      </c>
      <c r="D2448" s="0" t="s">
        <v>31</v>
      </c>
      <c r="E2448" s="0" t="n">
        <v>7</v>
      </c>
      <c r="F2448" s="0" t="s">
        <v>50</v>
      </c>
      <c r="G2448" s="0" t="s">
        <v>51</v>
      </c>
      <c r="H2448" s="0" t="s">
        <v>51</v>
      </c>
      <c r="I2448" s="0" t="s">
        <v>34</v>
      </c>
      <c r="J2448" s="0" t="n">
        <v>0.93</v>
      </c>
      <c r="K2448" s="0" t="s">
        <v>35</v>
      </c>
      <c r="L2448" s="0" t="n">
        <f aca="false">INDEX(Summary!$F$2:$F$201,MATCH($B2448,Summary!$A$2:$A$201,0))</f>
        <v>20</v>
      </c>
      <c r="M2448" s="0" t="n">
        <f aca="false">INDEX(Summary!$I$2:$I$201,MATCH($B2448,Summary!$A$2:$A$201,0))</f>
        <v>2</v>
      </c>
      <c r="N2448" s="0" t="n">
        <f aca="false">INDEX(Summary!$J$2:$J$201,MATCH($B2448,Summary!$A$2:$A$201,0))</f>
        <v>3</v>
      </c>
      <c r="O2448" s="2" t="n">
        <f aca="false">INDEX(Summary!$K$2:$K$201,MATCH($B2448,Summary!$A$2:$A$201,0))</f>
        <v>8.8</v>
      </c>
      <c r="P2448" s="3" t="n">
        <f aca="false">INDEX(Summary!$L$2:$L$201,MATCH($B2448,Summary!$A$2:$A$201,0))</f>
        <v>4</v>
      </c>
      <c r="Q2448" s="3" t="n">
        <f aca="false">INDEX(Summary!$M$2:$M$201,MATCH($B2448,Summary!$A$2:$A$201,0))</f>
        <v>2</v>
      </c>
      <c r="R2448" s="2" t="n">
        <f aca="false">INDEX(Summary!$N$2:$N$201,MATCH($B2448,Summary!$A$2:$A$201,0))</f>
        <v>10.46</v>
      </c>
      <c r="S2448" s="3" t="n">
        <f aca="false">INDEX(Summary!$O$2:$O$201,MATCH($B2448,Summary!$A$2:$A$201,0))</f>
        <v>8</v>
      </c>
      <c r="T2448" s="3" t="n">
        <f aca="false">INDEX(Summary!$P$2:$P$201,MATCH($B2448,Summary!$A$2:$A$201,0))</f>
        <v>1</v>
      </c>
      <c r="U2448" s="2" t="n">
        <f aca="false">INDEX(Summary!$Q$2:$Q$201,MATCH($B2448,Summary!$A$2:$A$201,0))</f>
        <v>11.88</v>
      </c>
      <c r="V2448" s="2" t="n">
        <f aca="false">INDEX(Summary!$R$2:$R$201,MATCH($B2448,Summary!$A$2:$A$201,0))</f>
        <v>26.14</v>
      </c>
      <c r="W2448" s="0" t="str">
        <f aca="false">INDEX(Summary!$S$2:$S$201,MATCH($B2448,Summary!$A$2:$A$201,0))</f>
        <v>Silver</v>
      </c>
      <c r="X2448" s="2" t="n">
        <f aca="false">INDEX(Summary!$T$2:$T$201,MATCH($B2448,Summary!$A$2:$A$201,0))</f>
        <v>63.76</v>
      </c>
      <c r="Y2448" s="0" t="str">
        <f aca="false">INDEX('Reward Model'!$E$18:$E$37,MATCH($E2448,'Reward Model'!$A$18:$A$37,0))</f>
        <v>Low</v>
      </c>
      <c r="Z2448" s="4" t="n">
        <f aca="false">ROUND(MIN(1,MAX('Reward Model'!$B$2,INDEX('Reward Model'!$C$12:$C$14,MATCH($K2448,'Reward Model'!$A$12:$A$14,0))/$J2448)),3)</f>
        <v>1</v>
      </c>
      <c r="AA2448" s="2" t="n">
        <f aca="false">IF($I2448="Correct",ROUND(INDEX('Reward Model'!$B$12:$B$14,MATCH($K2448,'Reward Model'!$A$12:$A$14,0))*Z2448,2),0)</f>
        <v>1</v>
      </c>
      <c r="AB2448" s="2" t="n">
        <f aca="false">IF($I2448="Correct",ROUND(INDEX('Reward Model'!$B$12:$B$14,MATCH($Y2448,'Reward Model'!$A$12:$A$14,0))*Z2448,2),0)</f>
        <v>1</v>
      </c>
    </row>
    <row r="2449" customFormat="false" ht="15" hidden="false" customHeight="false" outlineLevel="0" collapsed="false">
      <c r="A2449" s="0" t="s">
        <v>376</v>
      </c>
      <c r="B2449" s="0" t="s">
        <v>377</v>
      </c>
      <c r="C2449" s="0" t="s">
        <v>322</v>
      </c>
      <c r="D2449" s="0" t="s">
        <v>31</v>
      </c>
      <c r="E2449" s="0" t="n">
        <v>8</v>
      </c>
      <c r="F2449" s="0" t="s">
        <v>52</v>
      </c>
      <c r="G2449" s="0" t="s">
        <v>54</v>
      </c>
      <c r="H2449" s="0" t="s">
        <v>54</v>
      </c>
      <c r="I2449" s="0" t="s">
        <v>34</v>
      </c>
      <c r="J2449" s="0" t="n">
        <v>1.15</v>
      </c>
      <c r="K2449" s="0" t="s">
        <v>35</v>
      </c>
      <c r="L2449" s="0" t="n">
        <f aca="false">INDEX(Summary!$F$2:$F$201,MATCH($B2449,Summary!$A$2:$A$201,0))</f>
        <v>20</v>
      </c>
      <c r="M2449" s="0" t="n">
        <f aca="false">INDEX(Summary!$I$2:$I$201,MATCH($B2449,Summary!$A$2:$A$201,0))</f>
        <v>2</v>
      </c>
      <c r="N2449" s="0" t="n">
        <f aca="false">INDEX(Summary!$J$2:$J$201,MATCH($B2449,Summary!$A$2:$A$201,0))</f>
        <v>3</v>
      </c>
      <c r="O2449" s="2" t="n">
        <f aca="false">INDEX(Summary!$K$2:$K$201,MATCH($B2449,Summary!$A$2:$A$201,0))</f>
        <v>8.8</v>
      </c>
      <c r="P2449" s="3" t="n">
        <f aca="false">INDEX(Summary!$L$2:$L$201,MATCH($B2449,Summary!$A$2:$A$201,0))</f>
        <v>4</v>
      </c>
      <c r="Q2449" s="3" t="n">
        <f aca="false">INDEX(Summary!$M$2:$M$201,MATCH($B2449,Summary!$A$2:$A$201,0))</f>
        <v>2</v>
      </c>
      <c r="R2449" s="2" t="n">
        <f aca="false">INDEX(Summary!$N$2:$N$201,MATCH($B2449,Summary!$A$2:$A$201,0))</f>
        <v>10.46</v>
      </c>
      <c r="S2449" s="3" t="n">
        <f aca="false">INDEX(Summary!$O$2:$O$201,MATCH($B2449,Summary!$A$2:$A$201,0))</f>
        <v>8</v>
      </c>
      <c r="T2449" s="3" t="n">
        <f aca="false">INDEX(Summary!$P$2:$P$201,MATCH($B2449,Summary!$A$2:$A$201,0))</f>
        <v>1</v>
      </c>
      <c r="U2449" s="2" t="n">
        <f aca="false">INDEX(Summary!$Q$2:$Q$201,MATCH($B2449,Summary!$A$2:$A$201,0))</f>
        <v>11.88</v>
      </c>
      <c r="V2449" s="2" t="n">
        <f aca="false">INDEX(Summary!$R$2:$R$201,MATCH($B2449,Summary!$A$2:$A$201,0))</f>
        <v>26.14</v>
      </c>
      <c r="W2449" s="0" t="str">
        <f aca="false">INDEX(Summary!$S$2:$S$201,MATCH($B2449,Summary!$A$2:$A$201,0))</f>
        <v>Silver</v>
      </c>
      <c r="X2449" s="2" t="n">
        <f aca="false">INDEX(Summary!$T$2:$T$201,MATCH($B2449,Summary!$A$2:$A$201,0))</f>
        <v>63.76</v>
      </c>
      <c r="Y2449" s="0" t="str">
        <f aca="false">INDEX('Reward Model'!$E$18:$E$37,MATCH($E2449,'Reward Model'!$A$18:$A$37,0))</f>
        <v>Medium</v>
      </c>
      <c r="Z2449" s="4" t="n">
        <f aca="false">ROUND(MIN(1,MAX('Reward Model'!$B$2,INDEX('Reward Model'!$C$12:$C$14,MATCH($K2449,'Reward Model'!$A$12:$A$14,0))/$J2449)),3)</f>
        <v>1</v>
      </c>
      <c r="AA2449" s="2" t="n">
        <f aca="false">IF($I2449="Correct",ROUND(INDEX('Reward Model'!$B$12:$B$14,MATCH($K2449,'Reward Model'!$A$12:$A$14,0))*Z2449,2),0)</f>
        <v>1</v>
      </c>
      <c r="AB2449" s="2" t="n">
        <f aca="false">IF($I2449="Correct",ROUND(INDEX('Reward Model'!$B$12:$B$14,MATCH($Y2449,'Reward Model'!$A$12:$A$14,0))*Z2449,2),0)</f>
        <v>2</v>
      </c>
    </row>
    <row r="2450" customFormat="false" ht="15" hidden="false" customHeight="false" outlineLevel="0" collapsed="false">
      <c r="A2450" s="0" t="s">
        <v>376</v>
      </c>
      <c r="B2450" s="0" t="s">
        <v>377</v>
      </c>
      <c r="C2450" s="0" t="s">
        <v>322</v>
      </c>
      <c r="D2450" s="0" t="s">
        <v>31</v>
      </c>
      <c r="E2450" s="0" t="n">
        <v>9</v>
      </c>
      <c r="F2450" s="0" t="s">
        <v>55</v>
      </c>
      <c r="G2450" s="0" t="s">
        <v>57</v>
      </c>
      <c r="H2450" s="0" t="s">
        <v>57</v>
      </c>
      <c r="I2450" s="0" t="s">
        <v>34</v>
      </c>
      <c r="J2450" s="0" t="n">
        <v>1.65</v>
      </c>
      <c r="K2450" s="0" t="s">
        <v>35</v>
      </c>
      <c r="L2450" s="0" t="n">
        <f aca="false">INDEX(Summary!$F$2:$F$201,MATCH($B2450,Summary!$A$2:$A$201,0))</f>
        <v>20</v>
      </c>
      <c r="M2450" s="0" t="n">
        <f aca="false">INDEX(Summary!$I$2:$I$201,MATCH($B2450,Summary!$A$2:$A$201,0))</f>
        <v>2</v>
      </c>
      <c r="N2450" s="0" t="n">
        <f aca="false">INDEX(Summary!$J$2:$J$201,MATCH($B2450,Summary!$A$2:$A$201,0))</f>
        <v>3</v>
      </c>
      <c r="O2450" s="2" t="n">
        <f aca="false">INDEX(Summary!$K$2:$K$201,MATCH($B2450,Summary!$A$2:$A$201,0))</f>
        <v>8.8</v>
      </c>
      <c r="P2450" s="3" t="n">
        <f aca="false">INDEX(Summary!$L$2:$L$201,MATCH($B2450,Summary!$A$2:$A$201,0))</f>
        <v>4</v>
      </c>
      <c r="Q2450" s="3" t="n">
        <f aca="false">INDEX(Summary!$M$2:$M$201,MATCH($B2450,Summary!$A$2:$A$201,0))</f>
        <v>2</v>
      </c>
      <c r="R2450" s="2" t="n">
        <f aca="false">INDEX(Summary!$N$2:$N$201,MATCH($B2450,Summary!$A$2:$A$201,0))</f>
        <v>10.46</v>
      </c>
      <c r="S2450" s="3" t="n">
        <f aca="false">INDEX(Summary!$O$2:$O$201,MATCH($B2450,Summary!$A$2:$A$201,0))</f>
        <v>8</v>
      </c>
      <c r="T2450" s="3" t="n">
        <f aca="false">INDEX(Summary!$P$2:$P$201,MATCH($B2450,Summary!$A$2:$A$201,0))</f>
        <v>1</v>
      </c>
      <c r="U2450" s="2" t="n">
        <f aca="false">INDEX(Summary!$Q$2:$Q$201,MATCH($B2450,Summary!$A$2:$A$201,0))</f>
        <v>11.88</v>
      </c>
      <c r="V2450" s="2" t="n">
        <f aca="false">INDEX(Summary!$R$2:$R$201,MATCH($B2450,Summary!$A$2:$A$201,0))</f>
        <v>26.14</v>
      </c>
      <c r="W2450" s="0" t="str">
        <f aca="false">INDEX(Summary!$S$2:$S$201,MATCH($B2450,Summary!$A$2:$A$201,0))</f>
        <v>Silver</v>
      </c>
      <c r="X2450" s="2" t="n">
        <f aca="false">INDEX(Summary!$T$2:$T$201,MATCH($B2450,Summary!$A$2:$A$201,0))</f>
        <v>63.76</v>
      </c>
      <c r="Y2450" s="0" t="str">
        <f aca="false">INDEX('Reward Model'!$E$18:$E$37,MATCH($E2450,'Reward Model'!$A$18:$A$37,0))</f>
        <v>Medium</v>
      </c>
      <c r="Z2450" s="4" t="n">
        <f aca="false">ROUND(MIN(1,MAX('Reward Model'!$B$2,INDEX('Reward Model'!$C$12:$C$14,MATCH($K2450,'Reward Model'!$A$12:$A$14,0))/$J2450)),3)</f>
        <v>0.909</v>
      </c>
      <c r="AA2450" s="2" t="n">
        <f aca="false">IF($I2450="Correct",ROUND(INDEX('Reward Model'!$B$12:$B$14,MATCH($K2450,'Reward Model'!$A$12:$A$14,0))*Z2450,2),0)</f>
        <v>0.91</v>
      </c>
      <c r="AB2450" s="2" t="n">
        <f aca="false">IF($I2450="Correct",ROUND(INDEX('Reward Model'!$B$12:$B$14,MATCH($Y2450,'Reward Model'!$A$12:$A$14,0))*Z2450,2),0)</f>
        <v>1.82</v>
      </c>
    </row>
    <row r="2451" customFormat="false" ht="15" hidden="false" customHeight="false" outlineLevel="0" collapsed="false">
      <c r="A2451" s="0" t="s">
        <v>376</v>
      </c>
      <c r="B2451" s="0" t="s">
        <v>377</v>
      </c>
      <c r="C2451" s="0" t="s">
        <v>322</v>
      </c>
      <c r="D2451" s="0" t="s">
        <v>31</v>
      </c>
      <c r="E2451" s="0" t="n">
        <v>10</v>
      </c>
      <c r="F2451" s="0" t="s">
        <v>58</v>
      </c>
      <c r="G2451" s="0" t="s">
        <v>138</v>
      </c>
      <c r="H2451" s="0" t="s">
        <v>59</v>
      </c>
      <c r="I2451" s="0" t="s">
        <v>39</v>
      </c>
      <c r="J2451" s="0" t="n">
        <v>1.87</v>
      </c>
      <c r="K2451" s="0" t="s">
        <v>60</v>
      </c>
      <c r="L2451" s="0" t="n">
        <f aca="false">INDEX(Summary!$F$2:$F$201,MATCH($B2451,Summary!$A$2:$A$201,0))</f>
        <v>20</v>
      </c>
      <c r="M2451" s="0" t="n">
        <f aca="false">INDEX(Summary!$I$2:$I$201,MATCH($B2451,Summary!$A$2:$A$201,0))</f>
        <v>2</v>
      </c>
      <c r="N2451" s="0" t="n">
        <f aca="false">INDEX(Summary!$J$2:$J$201,MATCH($B2451,Summary!$A$2:$A$201,0))</f>
        <v>3</v>
      </c>
      <c r="O2451" s="2" t="n">
        <f aca="false">INDEX(Summary!$K$2:$K$201,MATCH($B2451,Summary!$A$2:$A$201,0))</f>
        <v>8.8</v>
      </c>
      <c r="P2451" s="3" t="n">
        <f aca="false">INDEX(Summary!$L$2:$L$201,MATCH($B2451,Summary!$A$2:$A$201,0))</f>
        <v>4</v>
      </c>
      <c r="Q2451" s="3" t="n">
        <f aca="false">INDEX(Summary!$M$2:$M$201,MATCH($B2451,Summary!$A$2:$A$201,0))</f>
        <v>2</v>
      </c>
      <c r="R2451" s="2" t="n">
        <f aca="false">INDEX(Summary!$N$2:$N$201,MATCH($B2451,Summary!$A$2:$A$201,0))</f>
        <v>10.46</v>
      </c>
      <c r="S2451" s="3" t="n">
        <f aca="false">INDEX(Summary!$O$2:$O$201,MATCH($B2451,Summary!$A$2:$A$201,0))</f>
        <v>8</v>
      </c>
      <c r="T2451" s="3" t="n">
        <f aca="false">INDEX(Summary!$P$2:$P$201,MATCH($B2451,Summary!$A$2:$A$201,0))</f>
        <v>1</v>
      </c>
      <c r="U2451" s="2" t="n">
        <f aca="false">INDEX(Summary!$Q$2:$Q$201,MATCH($B2451,Summary!$A$2:$A$201,0))</f>
        <v>11.88</v>
      </c>
      <c r="V2451" s="2" t="n">
        <f aca="false">INDEX(Summary!$R$2:$R$201,MATCH($B2451,Summary!$A$2:$A$201,0))</f>
        <v>26.14</v>
      </c>
      <c r="W2451" s="0" t="str">
        <f aca="false">INDEX(Summary!$S$2:$S$201,MATCH($B2451,Summary!$A$2:$A$201,0))</f>
        <v>Silver</v>
      </c>
      <c r="X2451" s="2" t="n">
        <f aca="false">INDEX(Summary!$T$2:$T$201,MATCH($B2451,Summary!$A$2:$A$201,0))</f>
        <v>63.76</v>
      </c>
      <c r="Y2451" s="0" t="str">
        <f aca="false">INDEX('Reward Model'!$E$18:$E$37,MATCH($E2451,'Reward Model'!$A$18:$A$37,0))</f>
        <v>Medium</v>
      </c>
      <c r="Z2451" s="4" t="n">
        <f aca="false">ROUND(MIN(1,MAX('Reward Model'!$B$2,INDEX('Reward Model'!$C$12:$C$14,MATCH($K2451,'Reward Model'!$A$12:$A$14,0))/$J2451)),3)</f>
        <v>0.963</v>
      </c>
      <c r="AA2451" s="2" t="n">
        <f aca="false">IF($I2451="Correct",ROUND(INDEX('Reward Model'!$B$12:$B$14,MATCH($K2451,'Reward Model'!$A$12:$A$14,0))*Z2451,2),0)</f>
        <v>0</v>
      </c>
      <c r="AB2451" s="2" t="n">
        <f aca="false">IF($I2451="Correct",ROUND(INDEX('Reward Model'!$B$12:$B$14,MATCH($Y2451,'Reward Model'!$A$12:$A$14,0))*Z2451,2),0)</f>
        <v>0</v>
      </c>
    </row>
    <row r="2452" customFormat="false" ht="15" hidden="false" customHeight="false" outlineLevel="0" collapsed="false">
      <c r="A2452" s="0" t="s">
        <v>376</v>
      </c>
      <c r="B2452" s="0" t="s">
        <v>377</v>
      </c>
      <c r="C2452" s="0" t="s">
        <v>322</v>
      </c>
      <c r="D2452" s="0" t="s">
        <v>31</v>
      </c>
      <c r="E2452" s="0" t="n">
        <v>11</v>
      </c>
      <c r="F2452" s="0" t="s">
        <v>61</v>
      </c>
      <c r="G2452" s="0" t="s">
        <v>63</v>
      </c>
      <c r="H2452" s="0" t="s">
        <v>63</v>
      </c>
      <c r="I2452" s="0" t="s">
        <v>34</v>
      </c>
      <c r="J2452" s="0" t="n">
        <v>1.38</v>
      </c>
      <c r="K2452" s="0" t="s">
        <v>60</v>
      </c>
      <c r="L2452" s="0" t="n">
        <f aca="false">INDEX(Summary!$F$2:$F$201,MATCH($B2452,Summary!$A$2:$A$201,0))</f>
        <v>20</v>
      </c>
      <c r="M2452" s="0" t="n">
        <f aca="false">INDEX(Summary!$I$2:$I$201,MATCH($B2452,Summary!$A$2:$A$201,0))</f>
        <v>2</v>
      </c>
      <c r="N2452" s="0" t="n">
        <f aca="false">INDEX(Summary!$J$2:$J$201,MATCH($B2452,Summary!$A$2:$A$201,0))</f>
        <v>3</v>
      </c>
      <c r="O2452" s="2" t="n">
        <f aca="false">INDEX(Summary!$K$2:$K$201,MATCH($B2452,Summary!$A$2:$A$201,0))</f>
        <v>8.8</v>
      </c>
      <c r="P2452" s="3" t="n">
        <f aca="false">INDEX(Summary!$L$2:$L$201,MATCH($B2452,Summary!$A$2:$A$201,0))</f>
        <v>4</v>
      </c>
      <c r="Q2452" s="3" t="n">
        <f aca="false">INDEX(Summary!$M$2:$M$201,MATCH($B2452,Summary!$A$2:$A$201,0))</f>
        <v>2</v>
      </c>
      <c r="R2452" s="2" t="n">
        <f aca="false">INDEX(Summary!$N$2:$N$201,MATCH($B2452,Summary!$A$2:$A$201,0))</f>
        <v>10.46</v>
      </c>
      <c r="S2452" s="3" t="n">
        <f aca="false">INDEX(Summary!$O$2:$O$201,MATCH($B2452,Summary!$A$2:$A$201,0))</f>
        <v>8</v>
      </c>
      <c r="T2452" s="3" t="n">
        <f aca="false">INDEX(Summary!$P$2:$P$201,MATCH($B2452,Summary!$A$2:$A$201,0))</f>
        <v>1</v>
      </c>
      <c r="U2452" s="2" t="n">
        <f aca="false">INDEX(Summary!$Q$2:$Q$201,MATCH($B2452,Summary!$A$2:$A$201,0))</f>
        <v>11.88</v>
      </c>
      <c r="V2452" s="2" t="n">
        <f aca="false">INDEX(Summary!$R$2:$R$201,MATCH($B2452,Summary!$A$2:$A$201,0))</f>
        <v>26.14</v>
      </c>
      <c r="W2452" s="0" t="str">
        <f aca="false">INDEX(Summary!$S$2:$S$201,MATCH($B2452,Summary!$A$2:$A$201,0))</f>
        <v>Silver</v>
      </c>
      <c r="X2452" s="2" t="n">
        <f aca="false">INDEX(Summary!$T$2:$T$201,MATCH($B2452,Summary!$A$2:$A$201,0))</f>
        <v>63.76</v>
      </c>
      <c r="Y2452" s="0" t="str">
        <f aca="false">INDEX('Reward Model'!$E$18:$E$37,MATCH($E2452,'Reward Model'!$A$18:$A$37,0))</f>
        <v>Medium</v>
      </c>
      <c r="Z2452" s="4" t="n">
        <f aca="false">ROUND(MIN(1,MAX('Reward Model'!$B$2,INDEX('Reward Model'!$C$12:$C$14,MATCH($K2452,'Reward Model'!$A$12:$A$14,0))/$J2452)),3)</f>
        <v>1</v>
      </c>
      <c r="AA2452" s="2" t="n">
        <f aca="false">IF($I2452="Correct",ROUND(INDEX('Reward Model'!$B$12:$B$14,MATCH($K2452,'Reward Model'!$A$12:$A$14,0))*Z2452,2),0)</f>
        <v>2</v>
      </c>
      <c r="AB2452" s="2" t="n">
        <f aca="false">IF($I2452="Correct",ROUND(INDEX('Reward Model'!$B$12:$B$14,MATCH($Y2452,'Reward Model'!$A$12:$A$14,0))*Z2452,2),0)</f>
        <v>2</v>
      </c>
    </row>
    <row r="2453" customFormat="false" ht="15" hidden="false" customHeight="false" outlineLevel="0" collapsed="false">
      <c r="A2453" s="0" t="s">
        <v>376</v>
      </c>
      <c r="B2453" s="0" t="s">
        <v>377</v>
      </c>
      <c r="C2453" s="0" t="s">
        <v>322</v>
      </c>
      <c r="D2453" s="0" t="s">
        <v>31</v>
      </c>
      <c r="E2453" s="0" t="n">
        <v>12</v>
      </c>
      <c r="F2453" s="0" t="s">
        <v>64</v>
      </c>
      <c r="G2453" s="0" t="s">
        <v>65</v>
      </c>
      <c r="H2453" s="0" t="s">
        <v>65</v>
      </c>
      <c r="I2453" s="0" t="s">
        <v>34</v>
      </c>
      <c r="J2453" s="0" t="n">
        <v>2.2</v>
      </c>
      <c r="K2453" s="0" t="s">
        <v>60</v>
      </c>
      <c r="L2453" s="0" t="n">
        <f aca="false">INDEX(Summary!$F$2:$F$201,MATCH($B2453,Summary!$A$2:$A$201,0))</f>
        <v>20</v>
      </c>
      <c r="M2453" s="0" t="n">
        <f aca="false">INDEX(Summary!$I$2:$I$201,MATCH($B2453,Summary!$A$2:$A$201,0))</f>
        <v>2</v>
      </c>
      <c r="N2453" s="0" t="n">
        <f aca="false">INDEX(Summary!$J$2:$J$201,MATCH($B2453,Summary!$A$2:$A$201,0))</f>
        <v>3</v>
      </c>
      <c r="O2453" s="2" t="n">
        <f aca="false">INDEX(Summary!$K$2:$K$201,MATCH($B2453,Summary!$A$2:$A$201,0))</f>
        <v>8.8</v>
      </c>
      <c r="P2453" s="3" t="n">
        <f aca="false">INDEX(Summary!$L$2:$L$201,MATCH($B2453,Summary!$A$2:$A$201,0))</f>
        <v>4</v>
      </c>
      <c r="Q2453" s="3" t="n">
        <f aca="false">INDEX(Summary!$M$2:$M$201,MATCH($B2453,Summary!$A$2:$A$201,0))</f>
        <v>2</v>
      </c>
      <c r="R2453" s="2" t="n">
        <f aca="false">INDEX(Summary!$N$2:$N$201,MATCH($B2453,Summary!$A$2:$A$201,0))</f>
        <v>10.46</v>
      </c>
      <c r="S2453" s="3" t="n">
        <f aca="false">INDEX(Summary!$O$2:$O$201,MATCH($B2453,Summary!$A$2:$A$201,0))</f>
        <v>8</v>
      </c>
      <c r="T2453" s="3" t="n">
        <f aca="false">INDEX(Summary!$P$2:$P$201,MATCH($B2453,Summary!$A$2:$A$201,0))</f>
        <v>1</v>
      </c>
      <c r="U2453" s="2" t="n">
        <f aca="false">INDEX(Summary!$Q$2:$Q$201,MATCH($B2453,Summary!$A$2:$A$201,0))</f>
        <v>11.88</v>
      </c>
      <c r="V2453" s="2" t="n">
        <f aca="false">INDEX(Summary!$R$2:$R$201,MATCH($B2453,Summary!$A$2:$A$201,0))</f>
        <v>26.14</v>
      </c>
      <c r="W2453" s="0" t="str">
        <f aca="false">INDEX(Summary!$S$2:$S$201,MATCH($B2453,Summary!$A$2:$A$201,0))</f>
        <v>Silver</v>
      </c>
      <c r="X2453" s="2" t="n">
        <f aca="false">INDEX(Summary!$T$2:$T$201,MATCH($B2453,Summary!$A$2:$A$201,0))</f>
        <v>63.76</v>
      </c>
      <c r="Y2453" s="0" t="str">
        <f aca="false">INDEX('Reward Model'!$E$18:$E$37,MATCH($E2453,'Reward Model'!$A$18:$A$37,0))</f>
        <v>Medium</v>
      </c>
      <c r="Z2453" s="4" t="n">
        <f aca="false">ROUND(MIN(1,MAX('Reward Model'!$B$2,INDEX('Reward Model'!$C$12:$C$14,MATCH($K2453,'Reward Model'!$A$12:$A$14,0))/$J2453)),3)</f>
        <v>0.818</v>
      </c>
      <c r="AA2453" s="2" t="n">
        <f aca="false">IF($I2453="Correct",ROUND(INDEX('Reward Model'!$B$12:$B$14,MATCH($K2453,'Reward Model'!$A$12:$A$14,0))*Z2453,2),0)</f>
        <v>1.64</v>
      </c>
      <c r="AB2453" s="2" t="n">
        <f aca="false">IF($I2453="Correct",ROUND(INDEX('Reward Model'!$B$12:$B$14,MATCH($Y2453,'Reward Model'!$A$12:$A$14,0))*Z2453,2),0)</f>
        <v>1.64</v>
      </c>
    </row>
    <row r="2454" customFormat="false" ht="15" hidden="false" customHeight="false" outlineLevel="0" collapsed="false">
      <c r="A2454" s="0" t="s">
        <v>376</v>
      </c>
      <c r="B2454" s="0" t="s">
        <v>377</v>
      </c>
      <c r="C2454" s="0" t="s">
        <v>322</v>
      </c>
      <c r="D2454" s="0" t="s">
        <v>31</v>
      </c>
      <c r="E2454" s="0" t="n">
        <v>13</v>
      </c>
      <c r="F2454" s="0" t="s">
        <v>66</v>
      </c>
      <c r="G2454" s="0" t="s">
        <v>67</v>
      </c>
      <c r="H2454" s="0" t="s">
        <v>67</v>
      </c>
      <c r="I2454" s="0" t="s">
        <v>34</v>
      </c>
      <c r="J2454" s="0" t="n">
        <v>1.92</v>
      </c>
      <c r="K2454" s="0" t="s">
        <v>60</v>
      </c>
      <c r="L2454" s="0" t="n">
        <f aca="false">INDEX(Summary!$F$2:$F$201,MATCH($B2454,Summary!$A$2:$A$201,0))</f>
        <v>20</v>
      </c>
      <c r="M2454" s="0" t="n">
        <f aca="false">INDEX(Summary!$I$2:$I$201,MATCH($B2454,Summary!$A$2:$A$201,0))</f>
        <v>2</v>
      </c>
      <c r="N2454" s="0" t="n">
        <f aca="false">INDEX(Summary!$J$2:$J$201,MATCH($B2454,Summary!$A$2:$A$201,0))</f>
        <v>3</v>
      </c>
      <c r="O2454" s="2" t="n">
        <f aca="false">INDEX(Summary!$K$2:$K$201,MATCH($B2454,Summary!$A$2:$A$201,0))</f>
        <v>8.8</v>
      </c>
      <c r="P2454" s="3" t="n">
        <f aca="false">INDEX(Summary!$L$2:$L$201,MATCH($B2454,Summary!$A$2:$A$201,0))</f>
        <v>4</v>
      </c>
      <c r="Q2454" s="3" t="n">
        <f aca="false">INDEX(Summary!$M$2:$M$201,MATCH($B2454,Summary!$A$2:$A$201,0))</f>
        <v>2</v>
      </c>
      <c r="R2454" s="2" t="n">
        <f aca="false">INDEX(Summary!$N$2:$N$201,MATCH($B2454,Summary!$A$2:$A$201,0))</f>
        <v>10.46</v>
      </c>
      <c r="S2454" s="3" t="n">
        <f aca="false">INDEX(Summary!$O$2:$O$201,MATCH($B2454,Summary!$A$2:$A$201,0))</f>
        <v>8</v>
      </c>
      <c r="T2454" s="3" t="n">
        <f aca="false">INDEX(Summary!$P$2:$P$201,MATCH($B2454,Summary!$A$2:$A$201,0))</f>
        <v>1</v>
      </c>
      <c r="U2454" s="2" t="n">
        <f aca="false">INDEX(Summary!$Q$2:$Q$201,MATCH($B2454,Summary!$A$2:$A$201,0))</f>
        <v>11.88</v>
      </c>
      <c r="V2454" s="2" t="n">
        <f aca="false">INDEX(Summary!$R$2:$R$201,MATCH($B2454,Summary!$A$2:$A$201,0))</f>
        <v>26.14</v>
      </c>
      <c r="W2454" s="0" t="str">
        <f aca="false">INDEX(Summary!$S$2:$S$201,MATCH($B2454,Summary!$A$2:$A$201,0))</f>
        <v>Silver</v>
      </c>
      <c r="X2454" s="2" t="n">
        <f aca="false">INDEX(Summary!$T$2:$T$201,MATCH($B2454,Summary!$A$2:$A$201,0))</f>
        <v>63.76</v>
      </c>
      <c r="Y2454" s="0" t="str">
        <f aca="false">INDEX('Reward Model'!$E$18:$E$37,MATCH($E2454,'Reward Model'!$A$18:$A$37,0))</f>
        <v>Medium</v>
      </c>
      <c r="Z2454" s="4" t="n">
        <f aca="false">ROUND(MIN(1,MAX('Reward Model'!$B$2,INDEX('Reward Model'!$C$12:$C$14,MATCH($K2454,'Reward Model'!$A$12:$A$14,0))/$J2454)),3)</f>
        <v>0.938</v>
      </c>
      <c r="AA2454" s="2" t="n">
        <f aca="false">IF($I2454="Correct",ROUND(INDEX('Reward Model'!$B$12:$B$14,MATCH($K2454,'Reward Model'!$A$12:$A$14,0))*Z2454,2),0)</f>
        <v>1.88</v>
      </c>
      <c r="AB2454" s="2" t="n">
        <f aca="false">IF($I2454="Correct",ROUND(INDEX('Reward Model'!$B$12:$B$14,MATCH($Y2454,'Reward Model'!$A$12:$A$14,0))*Z2454,2),0)</f>
        <v>1.88</v>
      </c>
    </row>
    <row r="2455" customFormat="false" ht="15" hidden="false" customHeight="false" outlineLevel="0" collapsed="false">
      <c r="A2455" s="0" t="s">
        <v>376</v>
      </c>
      <c r="B2455" s="0" t="s">
        <v>377</v>
      </c>
      <c r="C2455" s="0" t="s">
        <v>322</v>
      </c>
      <c r="D2455" s="0" t="s">
        <v>31</v>
      </c>
      <c r="E2455" s="0" t="n">
        <v>14</v>
      </c>
      <c r="F2455" s="0" t="s">
        <v>68</v>
      </c>
      <c r="G2455" s="0" t="s">
        <v>100</v>
      </c>
      <c r="H2455" s="0" t="s">
        <v>51</v>
      </c>
      <c r="I2455" s="0" t="s">
        <v>39</v>
      </c>
      <c r="J2455" s="0" t="n">
        <v>1.7</v>
      </c>
      <c r="K2455" s="0" t="s">
        <v>60</v>
      </c>
      <c r="L2455" s="0" t="n">
        <f aca="false">INDEX(Summary!$F$2:$F$201,MATCH($B2455,Summary!$A$2:$A$201,0))</f>
        <v>20</v>
      </c>
      <c r="M2455" s="0" t="n">
        <f aca="false">INDEX(Summary!$I$2:$I$201,MATCH($B2455,Summary!$A$2:$A$201,0))</f>
        <v>2</v>
      </c>
      <c r="N2455" s="0" t="n">
        <f aca="false">INDEX(Summary!$J$2:$J$201,MATCH($B2455,Summary!$A$2:$A$201,0))</f>
        <v>3</v>
      </c>
      <c r="O2455" s="2" t="n">
        <f aca="false">INDEX(Summary!$K$2:$K$201,MATCH($B2455,Summary!$A$2:$A$201,0))</f>
        <v>8.8</v>
      </c>
      <c r="P2455" s="3" t="n">
        <f aca="false">INDEX(Summary!$L$2:$L$201,MATCH($B2455,Summary!$A$2:$A$201,0))</f>
        <v>4</v>
      </c>
      <c r="Q2455" s="3" t="n">
        <f aca="false">INDEX(Summary!$M$2:$M$201,MATCH($B2455,Summary!$A$2:$A$201,0))</f>
        <v>2</v>
      </c>
      <c r="R2455" s="2" t="n">
        <f aca="false">INDEX(Summary!$N$2:$N$201,MATCH($B2455,Summary!$A$2:$A$201,0))</f>
        <v>10.46</v>
      </c>
      <c r="S2455" s="3" t="n">
        <f aca="false">INDEX(Summary!$O$2:$O$201,MATCH($B2455,Summary!$A$2:$A$201,0))</f>
        <v>8</v>
      </c>
      <c r="T2455" s="3" t="n">
        <f aca="false">INDEX(Summary!$P$2:$P$201,MATCH($B2455,Summary!$A$2:$A$201,0))</f>
        <v>1</v>
      </c>
      <c r="U2455" s="2" t="n">
        <f aca="false">INDEX(Summary!$Q$2:$Q$201,MATCH($B2455,Summary!$A$2:$A$201,0))</f>
        <v>11.88</v>
      </c>
      <c r="V2455" s="2" t="n">
        <f aca="false">INDEX(Summary!$R$2:$R$201,MATCH($B2455,Summary!$A$2:$A$201,0))</f>
        <v>26.14</v>
      </c>
      <c r="W2455" s="0" t="str">
        <f aca="false">INDEX(Summary!$S$2:$S$201,MATCH($B2455,Summary!$A$2:$A$201,0))</f>
        <v>Silver</v>
      </c>
      <c r="X2455" s="2" t="n">
        <f aca="false">INDEX(Summary!$T$2:$T$201,MATCH($B2455,Summary!$A$2:$A$201,0))</f>
        <v>63.76</v>
      </c>
      <c r="Y2455" s="0" t="str">
        <f aca="false">INDEX('Reward Model'!$E$18:$E$37,MATCH($E2455,'Reward Model'!$A$18:$A$37,0))</f>
        <v>Medium</v>
      </c>
      <c r="Z2455" s="4" t="n">
        <f aca="false">ROUND(MIN(1,MAX('Reward Model'!$B$2,INDEX('Reward Model'!$C$12:$C$14,MATCH($K2455,'Reward Model'!$A$12:$A$14,0))/$J2455)),3)</f>
        <v>1</v>
      </c>
      <c r="AA2455" s="2" t="n">
        <f aca="false">IF($I2455="Correct",ROUND(INDEX('Reward Model'!$B$12:$B$14,MATCH($K2455,'Reward Model'!$A$12:$A$14,0))*Z2455,2),0)</f>
        <v>0</v>
      </c>
      <c r="AB2455" s="2" t="n">
        <f aca="false">IF($I2455="Correct",ROUND(INDEX('Reward Model'!$B$12:$B$14,MATCH($Y2455,'Reward Model'!$A$12:$A$14,0))*Z2455,2),0)</f>
        <v>0</v>
      </c>
    </row>
    <row r="2456" customFormat="false" ht="15" hidden="false" customHeight="false" outlineLevel="0" collapsed="false">
      <c r="A2456" s="0" t="s">
        <v>376</v>
      </c>
      <c r="B2456" s="0" t="s">
        <v>377</v>
      </c>
      <c r="C2456" s="0" t="s">
        <v>322</v>
      </c>
      <c r="D2456" s="0" t="s">
        <v>31</v>
      </c>
      <c r="E2456" s="0" t="n">
        <v>15</v>
      </c>
      <c r="F2456" s="0" t="s">
        <v>69</v>
      </c>
      <c r="G2456" s="0" t="s">
        <v>70</v>
      </c>
      <c r="H2456" s="0" t="s">
        <v>70</v>
      </c>
      <c r="I2456" s="0" t="s">
        <v>34</v>
      </c>
      <c r="J2456" s="0" t="n">
        <v>1.39</v>
      </c>
      <c r="K2456" s="0" t="s">
        <v>60</v>
      </c>
      <c r="L2456" s="0" t="n">
        <f aca="false">INDEX(Summary!$F$2:$F$201,MATCH($B2456,Summary!$A$2:$A$201,0))</f>
        <v>20</v>
      </c>
      <c r="M2456" s="0" t="n">
        <f aca="false">INDEX(Summary!$I$2:$I$201,MATCH($B2456,Summary!$A$2:$A$201,0))</f>
        <v>2</v>
      </c>
      <c r="N2456" s="0" t="n">
        <f aca="false">INDEX(Summary!$J$2:$J$201,MATCH($B2456,Summary!$A$2:$A$201,0))</f>
        <v>3</v>
      </c>
      <c r="O2456" s="2" t="n">
        <f aca="false">INDEX(Summary!$K$2:$K$201,MATCH($B2456,Summary!$A$2:$A$201,0))</f>
        <v>8.8</v>
      </c>
      <c r="P2456" s="3" t="n">
        <f aca="false">INDEX(Summary!$L$2:$L$201,MATCH($B2456,Summary!$A$2:$A$201,0))</f>
        <v>4</v>
      </c>
      <c r="Q2456" s="3" t="n">
        <f aca="false">INDEX(Summary!$M$2:$M$201,MATCH($B2456,Summary!$A$2:$A$201,0))</f>
        <v>2</v>
      </c>
      <c r="R2456" s="2" t="n">
        <f aca="false">INDEX(Summary!$N$2:$N$201,MATCH($B2456,Summary!$A$2:$A$201,0))</f>
        <v>10.46</v>
      </c>
      <c r="S2456" s="3" t="n">
        <f aca="false">INDEX(Summary!$O$2:$O$201,MATCH($B2456,Summary!$A$2:$A$201,0))</f>
        <v>8</v>
      </c>
      <c r="T2456" s="3" t="n">
        <f aca="false">INDEX(Summary!$P$2:$P$201,MATCH($B2456,Summary!$A$2:$A$201,0))</f>
        <v>1</v>
      </c>
      <c r="U2456" s="2" t="n">
        <f aca="false">INDEX(Summary!$Q$2:$Q$201,MATCH($B2456,Summary!$A$2:$A$201,0))</f>
        <v>11.88</v>
      </c>
      <c r="V2456" s="2" t="n">
        <f aca="false">INDEX(Summary!$R$2:$R$201,MATCH($B2456,Summary!$A$2:$A$201,0))</f>
        <v>26.14</v>
      </c>
      <c r="W2456" s="0" t="str">
        <f aca="false">INDEX(Summary!$S$2:$S$201,MATCH($B2456,Summary!$A$2:$A$201,0))</f>
        <v>Silver</v>
      </c>
      <c r="X2456" s="2" t="n">
        <f aca="false">INDEX(Summary!$T$2:$T$201,MATCH($B2456,Summary!$A$2:$A$201,0))</f>
        <v>63.76</v>
      </c>
      <c r="Y2456" s="0" t="str">
        <f aca="false">INDEX('Reward Model'!$E$18:$E$37,MATCH($E2456,'Reward Model'!$A$18:$A$37,0))</f>
        <v>Medium</v>
      </c>
      <c r="Z2456" s="4" t="n">
        <f aca="false">ROUND(MIN(1,MAX('Reward Model'!$B$2,INDEX('Reward Model'!$C$12:$C$14,MATCH($K2456,'Reward Model'!$A$12:$A$14,0))/$J2456)),3)</f>
        <v>1</v>
      </c>
      <c r="AA2456" s="2" t="n">
        <f aca="false">IF($I2456="Correct",ROUND(INDEX('Reward Model'!$B$12:$B$14,MATCH($K2456,'Reward Model'!$A$12:$A$14,0))*Z2456,2),0)</f>
        <v>2</v>
      </c>
      <c r="AB2456" s="2" t="n">
        <f aca="false">IF($I2456="Correct",ROUND(INDEX('Reward Model'!$B$12:$B$14,MATCH($Y2456,'Reward Model'!$A$12:$A$14,0))*Z2456,2),0)</f>
        <v>2</v>
      </c>
    </row>
    <row r="2457" customFormat="false" ht="15" hidden="false" customHeight="false" outlineLevel="0" collapsed="false">
      <c r="A2457" s="0" t="s">
        <v>376</v>
      </c>
      <c r="B2457" s="0" t="s">
        <v>377</v>
      </c>
      <c r="C2457" s="0" t="s">
        <v>322</v>
      </c>
      <c r="D2457" s="0" t="s">
        <v>31</v>
      </c>
      <c r="E2457" s="0" t="n">
        <v>16</v>
      </c>
      <c r="F2457" s="0" t="s">
        <v>71</v>
      </c>
      <c r="G2457" s="0" t="s">
        <v>104</v>
      </c>
      <c r="H2457" s="0" t="s">
        <v>72</v>
      </c>
      <c r="I2457" s="0" t="s">
        <v>39</v>
      </c>
      <c r="J2457" s="0" t="n">
        <v>1.73</v>
      </c>
      <c r="K2457" s="0" t="s">
        <v>73</v>
      </c>
      <c r="L2457" s="0" t="n">
        <f aca="false">INDEX(Summary!$F$2:$F$201,MATCH($B2457,Summary!$A$2:$A$201,0))</f>
        <v>20</v>
      </c>
      <c r="M2457" s="0" t="n">
        <f aca="false">INDEX(Summary!$I$2:$I$201,MATCH($B2457,Summary!$A$2:$A$201,0))</f>
        <v>2</v>
      </c>
      <c r="N2457" s="0" t="n">
        <f aca="false">INDEX(Summary!$J$2:$J$201,MATCH($B2457,Summary!$A$2:$A$201,0))</f>
        <v>3</v>
      </c>
      <c r="O2457" s="2" t="n">
        <f aca="false">INDEX(Summary!$K$2:$K$201,MATCH($B2457,Summary!$A$2:$A$201,0))</f>
        <v>8.8</v>
      </c>
      <c r="P2457" s="3" t="n">
        <f aca="false">INDEX(Summary!$L$2:$L$201,MATCH($B2457,Summary!$A$2:$A$201,0))</f>
        <v>4</v>
      </c>
      <c r="Q2457" s="3" t="n">
        <f aca="false">INDEX(Summary!$M$2:$M$201,MATCH($B2457,Summary!$A$2:$A$201,0))</f>
        <v>2</v>
      </c>
      <c r="R2457" s="2" t="n">
        <f aca="false">INDEX(Summary!$N$2:$N$201,MATCH($B2457,Summary!$A$2:$A$201,0))</f>
        <v>10.46</v>
      </c>
      <c r="S2457" s="3" t="n">
        <f aca="false">INDEX(Summary!$O$2:$O$201,MATCH($B2457,Summary!$A$2:$A$201,0))</f>
        <v>8</v>
      </c>
      <c r="T2457" s="3" t="n">
        <f aca="false">INDEX(Summary!$P$2:$P$201,MATCH($B2457,Summary!$A$2:$A$201,0))</f>
        <v>1</v>
      </c>
      <c r="U2457" s="2" t="n">
        <f aca="false">INDEX(Summary!$Q$2:$Q$201,MATCH($B2457,Summary!$A$2:$A$201,0))</f>
        <v>11.88</v>
      </c>
      <c r="V2457" s="2" t="n">
        <f aca="false">INDEX(Summary!$R$2:$R$201,MATCH($B2457,Summary!$A$2:$A$201,0))</f>
        <v>26.14</v>
      </c>
      <c r="W2457" s="0" t="str">
        <f aca="false">INDEX(Summary!$S$2:$S$201,MATCH($B2457,Summary!$A$2:$A$201,0))</f>
        <v>Silver</v>
      </c>
      <c r="X2457" s="2" t="n">
        <f aca="false">INDEX(Summary!$T$2:$T$201,MATCH($B2457,Summary!$A$2:$A$201,0))</f>
        <v>63.76</v>
      </c>
      <c r="Y2457" s="0" t="str">
        <f aca="false">INDEX('Reward Model'!$E$18:$E$37,MATCH($E2457,'Reward Model'!$A$18:$A$37,0))</f>
        <v>High</v>
      </c>
      <c r="Z2457" s="4" t="n">
        <f aca="false">ROUND(MIN(1,MAX('Reward Model'!$B$2,INDEX('Reward Model'!$C$12:$C$14,MATCH($K2457,'Reward Model'!$A$12:$A$14,0))/$J2457)),3)</f>
        <v>1</v>
      </c>
      <c r="AA2457" s="2" t="n">
        <f aca="false">IF($I2457="Correct",ROUND(INDEX('Reward Model'!$B$12:$B$14,MATCH($K2457,'Reward Model'!$A$12:$A$14,0))*Z2457,2),0)</f>
        <v>0</v>
      </c>
      <c r="AB2457" s="2" t="n">
        <f aca="false">IF($I2457="Correct",ROUND(INDEX('Reward Model'!$B$12:$B$14,MATCH($Y2457,'Reward Model'!$A$12:$A$14,0))*Z2457,2),0)</f>
        <v>0</v>
      </c>
    </row>
    <row r="2458" customFormat="false" ht="15" hidden="false" customHeight="false" outlineLevel="0" collapsed="false">
      <c r="A2458" s="0" t="s">
        <v>376</v>
      </c>
      <c r="B2458" s="0" t="s">
        <v>377</v>
      </c>
      <c r="C2458" s="0" t="s">
        <v>322</v>
      </c>
      <c r="D2458" s="0" t="s">
        <v>31</v>
      </c>
      <c r="E2458" s="0" t="n">
        <v>17</v>
      </c>
      <c r="F2458" s="0" t="s">
        <v>74</v>
      </c>
      <c r="G2458" s="0" t="s">
        <v>75</v>
      </c>
      <c r="H2458" s="0" t="s">
        <v>75</v>
      </c>
      <c r="I2458" s="0" t="s">
        <v>34</v>
      </c>
      <c r="J2458" s="0" t="n">
        <v>1.95</v>
      </c>
      <c r="K2458" s="0" t="s">
        <v>73</v>
      </c>
      <c r="L2458" s="0" t="n">
        <f aca="false">INDEX(Summary!$F$2:$F$201,MATCH($B2458,Summary!$A$2:$A$201,0))</f>
        <v>20</v>
      </c>
      <c r="M2458" s="0" t="n">
        <f aca="false">INDEX(Summary!$I$2:$I$201,MATCH($B2458,Summary!$A$2:$A$201,0))</f>
        <v>2</v>
      </c>
      <c r="N2458" s="0" t="n">
        <f aca="false">INDEX(Summary!$J$2:$J$201,MATCH($B2458,Summary!$A$2:$A$201,0))</f>
        <v>3</v>
      </c>
      <c r="O2458" s="2" t="n">
        <f aca="false">INDEX(Summary!$K$2:$K$201,MATCH($B2458,Summary!$A$2:$A$201,0))</f>
        <v>8.8</v>
      </c>
      <c r="P2458" s="3" t="n">
        <f aca="false">INDEX(Summary!$L$2:$L$201,MATCH($B2458,Summary!$A$2:$A$201,0))</f>
        <v>4</v>
      </c>
      <c r="Q2458" s="3" t="n">
        <f aca="false">INDEX(Summary!$M$2:$M$201,MATCH($B2458,Summary!$A$2:$A$201,0))</f>
        <v>2</v>
      </c>
      <c r="R2458" s="2" t="n">
        <f aca="false">INDEX(Summary!$N$2:$N$201,MATCH($B2458,Summary!$A$2:$A$201,0))</f>
        <v>10.46</v>
      </c>
      <c r="S2458" s="3" t="n">
        <f aca="false">INDEX(Summary!$O$2:$O$201,MATCH($B2458,Summary!$A$2:$A$201,0))</f>
        <v>8</v>
      </c>
      <c r="T2458" s="3" t="n">
        <f aca="false">INDEX(Summary!$P$2:$P$201,MATCH($B2458,Summary!$A$2:$A$201,0))</f>
        <v>1</v>
      </c>
      <c r="U2458" s="2" t="n">
        <f aca="false">INDEX(Summary!$Q$2:$Q$201,MATCH($B2458,Summary!$A$2:$A$201,0))</f>
        <v>11.88</v>
      </c>
      <c r="V2458" s="2" t="n">
        <f aca="false">INDEX(Summary!$R$2:$R$201,MATCH($B2458,Summary!$A$2:$A$201,0))</f>
        <v>26.14</v>
      </c>
      <c r="W2458" s="0" t="str">
        <f aca="false">INDEX(Summary!$S$2:$S$201,MATCH($B2458,Summary!$A$2:$A$201,0))</f>
        <v>Silver</v>
      </c>
      <c r="X2458" s="2" t="n">
        <f aca="false">INDEX(Summary!$T$2:$T$201,MATCH($B2458,Summary!$A$2:$A$201,0))</f>
        <v>63.76</v>
      </c>
      <c r="Y2458" s="0" t="str">
        <f aca="false">INDEX('Reward Model'!$E$18:$E$37,MATCH($E2458,'Reward Model'!$A$18:$A$37,0))</f>
        <v>High</v>
      </c>
      <c r="Z2458" s="4" t="n">
        <f aca="false">ROUND(MIN(1,MAX('Reward Model'!$B$2,INDEX('Reward Model'!$C$12:$C$14,MATCH($K2458,'Reward Model'!$A$12:$A$14,0))/$J2458)),3)</f>
        <v>1</v>
      </c>
      <c r="AA2458" s="2" t="n">
        <f aca="false">IF($I2458="Correct",ROUND(INDEX('Reward Model'!$B$12:$B$14,MATCH($K2458,'Reward Model'!$A$12:$A$14,0))*Z2458,2),0)</f>
        <v>3</v>
      </c>
      <c r="AB2458" s="2" t="n">
        <f aca="false">IF($I2458="Correct",ROUND(INDEX('Reward Model'!$B$12:$B$14,MATCH($Y2458,'Reward Model'!$A$12:$A$14,0))*Z2458,2),0)</f>
        <v>3</v>
      </c>
    </row>
    <row r="2459" customFormat="false" ht="15" hidden="false" customHeight="false" outlineLevel="0" collapsed="false">
      <c r="A2459" s="0" t="s">
        <v>376</v>
      </c>
      <c r="B2459" s="0" t="s">
        <v>377</v>
      </c>
      <c r="C2459" s="0" t="s">
        <v>322</v>
      </c>
      <c r="D2459" s="0" t="s">
        <v>31</v>
      </c>
      <c r="E2459" s="0" t="n">
        <v>18</v>
      </c>
      <c r="F2459" s="0" t="s">
        <v>76</v>
      </c>
      <c r="G2459" s="0" t="s">
        <v>77</v>
      </c>
      <c r="H2459" s="0" t="s">
        <v>77</v>
      </c>
      <c r="I2459" s="0" t="s">
        <v>34</v>
      </c>
      <c r="J2459" s="0" t="n">
        <v>1.32</v>
      </c>
      <c r="K2459" s="0" t="s">
        <v>73</v>
      </c>
      <c r="L2459" s="0" t="n">
        <f aca="false">INDEX(Summary!$F$2:$F$201,MATCH($B2459,Summary!$A$2:$A$201,0))</f>
        <v>20</v>
      </c>
      <c r="M2459" s="0" t="n">
        <f aca="false">INDEX(Summary!$I$2:$I$201,MATCH($B2459,Summary!$A$2:$A$201,0))</f>
        <v>2</v>
      </c>
      <c r="N2459" s="0" t="n">
        <f aca="false">INDEX(Summary!$J$2:$J$201,MATCH($B2459,Summary!$A$2:$A$201,0))</f>
        <v>3</v>
      </c>
      <c r="O2459" s="2" t="n">
        <f aca="false">INDEX(Summary!$K$2:$K$201,MATCH($B2459,Summary!$A$2:$A$201,0))</f>
        <v>8.8</v>
      </c>
      <c r="P2459" s="3" t="n">
        <f aca="false">INDEX(Summary!$L$2:$L$201,MATCH($B2459,Summary!$A$2:$A$201,0))</f>
        <v>4</v>
      </c>
      <c r="Q2459" s="3" t="n">
        <f aca="false">INDEX(Summary!$M$2:$M$201,MATCH($B2459,Summary!$A$2:$A$201,0))</f>
        <v>2</v>
      </c>
      <c r="R2459" s="2" t="n">
        <f aca="false">INDEX(Summary!$N$2:$N$201,MATCH($B2459,Summary!$A$2:$A$201,0))</f>
        <v>10.46</v>
      </c>
      <c r="S2459" s="3" t="n">
        <f aca="false">INDEX(Summary!$O$2:$O$201,MATCH($B2459,Summary!$A$2:$A$201,0))</f>
        <v>8</v>
      </c>
      <c r="T2459" s="3" t="n">
        <f aca="false">INDEX(Summary!$P$2:$P$201,MATCH($B2459,Summary!$A$2:$A$201,0))</f>
        <v>1</v>
      </c>
      <c r="U2459" s="2" t="n">
        <f aca="false">INDEX(Summary!$Q$2:$Q$201,MATCH($B2459,Summary!$A$2:$A$201,0))</f>
        <v>11.88</v>
      </c>
      <c r="V2459" s="2" t="n">
        <f aca="false">INDEX(Summary!$R$2:$R$201,MATCH($B2459,Summary!$A$2:$A$201,0))</f>
        <v>26.14</v>
      </c>
      <c r="W2459" s="0" t="str">
        <f aca="false">INDEX(Summary!$S$2:$S$201,MATCH($B2459,Summary!$A$2:$A$201,0))</f>
        <v>Silver</v>
      </c>
      <c r="X2459" s="2" t="n">
        <f aca="false">INDEX(Summary!$T$2:$T$201,MATCH($B2459,Summary!$A$2:$A$201,0))</f>
        <v>63.76</v>
      </c>
      <c r="Y2459" s="0" t="str">
        <f aca="false">INDEX('Reward Model'!$E$18:$E$37,MATCH($E2459,'Reward Model'!$A$18:$A$37,0))</f>
        <v>High</v>
      </c>
      <c r="Z2459" s="4" t="n">
        <f aca="false">ROUND(MIN(1,MAX('Reward Model'!$B$2,INDEX('Reward Model'!$C$12:$C$14,MATCH($K2459,'Reward Model'!$A$12:$A$14,0))/$J2459)),3)</f>
        <v>1</v>
      </c>
      <c r="AA2459" s="2" t="n">
        <f aca="false">IF($I2459="Correct",ROUND(INDEX('Reward Model'!$B$12:$B$14,MATCH($K2459,'Reward Model'!$A$12:$A$14,0))*Z2459,2),0)</f>
        <v>3</v>
      </c>
      <c r="AB2459" s="2" t="n">
        <f aca="false">IF($I2459="Correct",ROUND(INDEX('Reward Model'!$B$12:$B$14,MATCH($Y2459,'Reward Model'!$A$12:$A$14,0))*Z2459,2),0)</f>
        <v>3</v>
      </c>
    </row>
    <row r="2460" customFormat="false" ht="15" hidden="false" customHeight="false" outlineLevel="0" collapsed="false">
      <c r="A2460" s="0" t="s">
        <v>376</v>
      </c>
      <c r="B2460" s="0" t="s">
        <v>377</v>
      </c>
      <c r="C2460" s="0" t="s">
        <v>322</v>
      </c>
      <c r="D2460" s="0" t="s">
        <v>31</v>
      </c>
      <c r="E2460" s="0" t="n">
        <v>19</v>
      </c>
      <c r="F2460" s="0" t="s">
        <v>78</v>
      </c>
      <c r="G2460" s="0" t="s">
        <v>132</v>
      </c>
      <c r="H2460" s="0" t="s">
        <v>80</v>
      </c>
      <c r="I2460" s="0" t="s">
        <v>39</v>
      </c>
      <c r="J2460" s="0" t="n">
        <v>2.5</v>
      </c>
      <c r="K2460" s="0" t="s">
        <v>73</v>
      </c>
      <c r="L2460" s="0" t="n">
        <f aca="false">INDEX(Summary!$F$2:$F$201,MATCH($B2460,Summary!$A$2:$A$201,0))</f>
        <v>20</v>
      </c>
      <c r="M2460" s="0" t="n">
        <f aca="false">INDEX(Summary!$I$2:$I$201,MATCH($B2460,Summary!$A$2:$A$201,0))</f>
        <v>2</v>
      </c>
      <c r="N2460" s="0" t="n">
        <f aca="false">INDEX(Summary!$J$2:$J$201,MATCH($B2460,Summary!$A$2:$A$201,0))</f>
        <v>3</v>
      </c>
      <c r="O2460" s="2" t="n">
        <f aca="false">INDEX(Summary!$K$2:$K$201,MATCH($B2460,Summary!$A$2:$A$201,0))</f>
        <v>8.8</v>
      </c>
      <c r="P2460" s="3" t="n">
        <f aca="false">INDEX(Summary!$L$2:$L$201,MATCH($B2460,Summary!$A$2:$A$201,0))</f>
        <v>4</v>
      </c>
      <c r="Q2460" s="3" t="n">
        <f aca="false">INDEX(Summary!$M$2:$M$201,MATCH($B2460,Summary!$A$2:$A$201,0))</f>
        <v>2</v>
      </c>
      <c r="R2460" s="2" t="n">
        <f aca="false">INDEX(Summary!$N$2:$N$201,MATCH($B2460,Summary!$A$2:$A$201,0))</f>
        <v>10.46</v>
      </c>
      <c r="S2460" s="3" t="n">
        <f aca="false">INDEX(Summary!$O$2:$O$201,MATCH($B2460,Summary!$A$2:$A$201,0))</f>
        <v>8</v>
      </c>
      <c r="T2460" s="3" t="n">
        <f aca="false">INDEX(Summary!$P$2:$P$201,MATCH($B2460,Summary!$A$2:$A$201,0))</f>
        <v>1</v>
      </c>
      <c r="U2460" s="2" t="n">
        <f aca="false">INDEX(Summary!$Q$2:$Q$201,MATCH($B2460,Summary!$A$2:$A$201,0))</f>
        <v>11.88</v>
      </c>
      <c r="V2460" s="2" t="n">
        <f aca="false">INDEX(Summary!$R$2:$R$201,MATCH($B2460,Summary!$A$2:$A$201,0))</f>
        <v>26.14</v>
      </c>
      <c r="W2460" s="0" t="str">
        <f aca="false">INDEX(Summary!$S$2:$S$201,MATCH($B2460,Summary!$A$2:$A$201,0))</f>
        <v>Silver</v>
      </c>
      <c r="X2460" s="2" t="n">
        <f aca="false">INDEX(Summary!$T$2:$T$201,MATCH($B2460,Summary!$A$2:$A$201,0))</f>
        <v>63.76</v>
      </c>
      <c r="Y2460" s="0" t="str">
        <f aca="false">INDEX('Reward Model'!$E$18:$E$37,MATCH($E2460,'Reward Model'!$A$18:$A$37,0))</f>
        <v>High</v>
      </c>
      <c r="Z2460" s="4" t="n">
        <f aca="false">ROUND(MIN(1,MAX('Reward Model'!$B$2,INDEX('Reward Model'!$C$12:$C$14,MATCH($K2460,'Reward Model'!$A$12:$A$14,0))/$J2460)),3)</f>
        <v>0.8</v>
      </c>
      <c r="AA2460" s="2" t="n">
        <f aca="false">IF($I2460="Correct",ROUND(INDEX('Reward Model'!$B$12:$B$14,MATCH($K2460,'Reward Model'!$A$12:$A$14,0))*Z2460,2),0)</f>
        <v>0</v>
      </c>
      <c r="AB2460" s="2" t="n">
        <f aca="false">IF($I2460="Correct",ROUND(INDEX('Reward Model'!$B$12:$B$14,MATCH($Y2460,'Reward Model'!$A$12:$A$14,0))*Z2460,2),0)</f>
        <v>0</v>
      </c>
    </row>
    <row r="2461" customFormat="false" ht="15" hidden="false" customHeight="false" outlineLevel="0" collapsed="false">
      <c r="A2461" s="0" t="s">
        <v>376</v>
      </c>
      <c r="B2461" s="0" t="s">
        <v>377</v>
      </c>
      <c r="C2461" s="0" t="s">
        <v>322</v>
      </c>
      <c r="D2461" s="0" t="s">
        <v>31</v>
      </c>
      <c r="E2461" s="0" t="n">
        <v>20</v>
      </c>
      <c r="F2461" s="0" t="s">
        <v>81</v>
      </c>
      <c r="G2461" s="0" t="s">
        <v>119</v>
      </c>
      <c r="H2461" s="0" t="s">
        <v>83</v>
      </c>
      <c r="I2461" s="0" t="s">
        <v>39</v>
      </c>
      <c r="J2461" s="0" t="n">
        <v>1.3</v>
      </c>
      <c r="K2461" s="0" t="s">
        <v>73</v>
      </c>
      <c r="L2461" s="0" t="n">
        <f aca="false">INDEX(Summary!$F$2:$F$201,MATCH($B2461,Summary!$A$2:$A$201,0))</f>
        <v>20</v>
      </c>
      <c r="M2461" s="0" t="n">
        <f aca="false">INDEX(Summary!$I$2:$I$201,MATCH($B2461,Summary!$A$2:$A$201,0))</f>
        <v>2</v>
      </c>
      <c r="N2461" s="0" t="n">
        <f aca="false">INDEX(Summary!$J$2:$J$201,MATCH($B2461,Summary!$A$2:$A$201,0))</f>
        <v>3</v>
      </c>
      <c r="O2461" s="2" t="n">
        <f aca="false">INDEX(Summary!$K$2:$K$201,MATCH($B2461,Summary!$A$2:$A$201,0))</f>
        <v>8.8</v>
      </c>
      <c r="P2461" s="3" t="n">
        <f aca="false">INDEX(Summary!$L$2:$L$201,MATCH($B2461,Summary!$A$2:$A$201,0))</f>
        <v>4</v>
      </c>
      <c r="Q2461" s="3" t="n">
        <f aca="false">INDEX(Summary!$M$2:$M$201,MATCH($B2461,Summary!$A$2:$A$201,0))</f>
        <v>2</v>
      </c>
      <c r="R2461" s="2" t="n">
        <f aca="false">INDEX(Summary!$N$2:$N$201,MATCH($B2461,Summary!$A$2:$A$201,0))</f>
        <v>10.46</v>
      </c>
      <c r="S2461" s="3" t="n">
        <f aca="false">INDEX(Summary!$O$2:$O$201,MATCH($B2461,Summary!$A$2:$A$201,0))</f>
        <v>8</v>
      </c>
      <c r="T2461" s="3" t="n">
        <f aca="false">INDEX(Summary!$P$2:$P$201,MATCH($B2461,Summary!$A$2:$A$201,0))</f>
        <v>1</v>
      </c>
      <c r="U2461" s="2" t="n">
        <f aca="false">INDEX(Summary!$Q$2:$Q$201,MATCH($B2461,Summary!$A$2:$A$201,0))</f>
        <v>11.88</v>
      </c>
      <c r="V2461" s="2" t="n">
        <f aca="false">INDEX(Summary!$R$2:$R$201,MATCH($B2461,Summary!$A$2:$A$201,0))</f>
        <v>26.14</v>
      </c>
      <c r="W2461" s="0" t="str">
        <f aca="false">INDEX(Summary!$S$2:$S$201,MATCH($B2461,Summary!$A$2:$A$201,0))</f>
        <v>Silver</v>
      </c>
      <c r="X2461" s="2" t="n">
        <f aca="false">INDEX(Summary!$T$2:$T$201,MATCH($B2461,Summary!$A$2:$A$201,0))</f>
        <v>63.76</v>
      </c>
      <c r="Y2461" s="0" t="str">
        <f aca="false">INDEX('Reward Model'!$E$18:$E$37,MATCH($E2461,'Reward Model'!$A$18:$A$37,0))</f>
        <v>High</v>
      </c>
      <c r="Z2461" s="4" t="n">
        <f aca="false">ROUND(MIN(1,MAX('Reward Model'!$B$2,INDEX('Reward Model'!$C$12:$C$14,MATCH($K2461,'Reward Model'!$A$12:$A$14,0))/$J2461)),3)</f>
        <v>1</v>
      </c>
      <c r="AA2461" s="2" t="n">
        <f aca="false">IF($I2461="Correct",ROUND(INDEX('Reward Model'!$B$12:$B$14,MATCH($K2461,'Reward Model'!$A$12:$A$14,0))*Z2461,2),0)</f>
        <v>0</v>
      </c>
      <c r="AB2461" s="2" t="n">
        <f aca="false">IF($I2461="Correct",ROUND(INDEX('Reward Model'!$B$12:$B$14,MATCH($Y2461,'Reward Model'!$A$12:$A$14,0))*Z2461,2),0)</f>
        <v>0</v>
      </c>
    </row>
    <row r="2462" customFormat="false" ht="15" hidden="false" customHeight="false" outlineLevel="0" collapsed="false">
      <c r="A2462" s="0" t="s">
        <v>378</v>
      </c>
      <c r="B2462" s="0" t="s">
        <v>379</v>
      </c>
      <c r="C2462" s="0" t="s">
        <v>322</v>
      </c>
      <c r="D2462" s="0" t="s">
        <v>31</v>
      </c>
      <c r="E2462" s="0" t="n">
        <v>1</v>
      </c>
      <c r="F2462" s="0" t="s">
        <v>32</v>
      </c>
      <c r="G2462" s="0" t="s">
        <v>33</v>
      </c>
      <c r="H2462" s="0" t="s">
        <v>33</v>
      </c>
      <c r="I2462" s="0" t="s">
        <v>34</v>
      </c>
      <c r="J2462" s="0" t="n">
        <v>1.36</v>
      </c>
      <c r="K2462" s="0" t="s">
        <v>35</v>
      </c>
      <c r="L2462" s="0" t="n">
        <f aca="false">INDEX(Summary!$F$2:$F$201,MATCH($B2462,Summary!$A$2:$A$201,0))</f>
        <v>20</v>
      </c>
      <c r="M2462" s="0" t="n">
        <f aca="false">INDEX(Summary!$I$2:$I$201,MATCH($B2462,Summary!$A$2:$A$201,0))</f>
        <v>2</v>
      </c>
      <c r="N2462" s="0" t="n">
        <f aca="false">INDEX(Summary!$J$2:$J$201,MATCH($B2462,Summary!$A$2:$A$201,0))</f>
        <v>3</v>
      </c>
      <c r="O2462" s="2" t="n">
        <f aca="false">INDEX(Summary!$K$2:$K$201,MATCH($B2462,Summary!$A$2:$A$201,0))</f>
        <v>8.56</v>
      </c>
      <c r="P2462" s="3" t="n">
        <f aca="false">INDEX(Summary!$L$2:$L$201,MATCH($B2462,Summary!$A$2:$A$201,0))</f>
        <v>2</v>
      </c>
      <c r="Q2462" s="3" t="n">
        <f aca="false">INDEX(Summary!$M$2:$M$201,MATCH($B2462,Summary!$A$2:$A$201,0))</f>
        <v>4</v>
      </c>
      <c r="R2462" s="2" t="n">
        <f aca="false">INDEX(Summary!$N$2:$N$201,MATCH($B2462,Summary!$A$2:$A$201,0))</f>
        <v>8.92</v>
      </c>
      <c r="S2462" s="3" t="n">
        <f aca="false">INDEX(Summary!$O$2:$O$201,MATCH($B2462,Summary!$A$2:$A$201,0))</f>
        <v>8</v>
      </c>
      <c r="T2462" s="3" t="n">
        <f aca="false">INDEX(Summary!$P$2:$P$201,MATCH($B2462,Summary!$A$2:$A$201,0))</f>
        <v>1</v>
      </c>
      <c r="U2462" s="2" t="n">
        <f aca="false">INDEX(Summary!$Q$2:$Q$201,MATCH($B2462,Summary!$A$2:$A$201,0))</f>
        <v>13.64</v>
      </c>
      <c r="V2462" s="2" t="n">
        <f aca="false">INDEX(Summary!$R$2:$R$201,MATCH($B2462,Summary!$A$2:$A$201,0))</f>
        <v>20.97</v>
      </c>
      <c r="W2462" s="0" t="str">
        <f aca="false">INDEX(Summary!$S$2:$S$201,MATCH($B2462,Summary!$A$2:$A$201,0))</f>
        <v>Silver</v>
      </c>
      <c r="X2462" s="2" t="n">
        <f aca="false">INDEX(Summary!$T$2:$T$201,MATCH($B2462,Summary!$A$2:$A$201,0))</f>
        <v>51.15</v>
      </c>
      <c r="Y2462" s="0" t="str">
        <f aca="false">INDEX('Reward Model'!$E$18:$E$37,MATCH($E2462,'Reward Model'!$A$18:$A$37,0))</f>
        <v>Medium</v>
      </c>
      <c r="Z2462" s="4" t="n">
        <f aca="false">ROUND(MIN(1,MAX('Reward Model'!$B$2,INDEX('Reward Model'!$C$12:$C$14,MATCH($K2462,'Reward Model'!$A$12:$A$14,0))/$J2462)),3)</f>
        <v>1</v>
      </c>
      <c r="AA2462" s="2" t="n">
        <f aca="false">IF($I2462="Correct",ROUND(INDEX('Reward Model'!$B$12:$B$14,MATCH($K2462,'Reward Model'!$A$12:$A$14,0))*Z2462,2),0)</f>
        <v>1</v>
      </c>
      <c r="AB2462" s="2" t="n">
        <f aca="false">IF($I2462="Correct",ROUND(INDEX('Reward Model'!$B$12:$B$14,MATCH($Y2462,'Reward Model'!$A$12:$A$14,0))*Z2462,2),0)</f>
        <v>2</v>
      </c>
    </row>
    <row r="2463" customFormat="false" ht="15" hidden="false" customHeight="false" outlineLevel="0" collapsed="false">
      <c r="A2463" s="0" t="s">
        <v>378</v>
      </c>
      <c r="B2463" s="0" t="s">
        <v>379</v>
      </c>
      <c r="C2463" s="0" t="s">
        <v>322</v>
      </c>
      <c r="D2463" s="0" t="s">
        <v>31</v>
      </c>
      <c r="E2463" s="0" t="n">
        <v>2</v>
      </c>
      <c r="F2463" s="0" t="s">
        <v>36</v>
      </c>
      <c r="G2463" s="0" t="s">
        <v>38</v>
      </c>
      <c r="H2463" s="0" t="s">
        <v>38</v>
      </c>
      <c r="I2463" s="0" t="s">
        <v>34</v>
      </c>
      <c r="J2463" s="0" t="n">
        <v>1.94</v>
      </c>
      <c r="K2463" s="0" t="s">
        <v>35</v>
      </c>
      <c r="L2463" s="0" t="n">
        <f aca="false">INDEX(Summary!$F$2:$F$201,MATCH($B2463,Summary!$A$2:$A$201,0))</f>
        <v>20</v>
      </c>
      <c r="M2463" s="0" t="n">
        <f aca="false">INDEX(Summary!$I$2:$I$201,MATCH($B2463,Summary!$A$2:$A$201,0))</f>
        <v>2</v>
      </c>
      <c r="N2463" s="0" t="n">
        <f aca="false">INDEX(Summary!$J$2:$J$201,MATCH($B2463,Summary!$A$2:$A$201,0))</f>
        <v>3</v>
      </c>
      <c r="O2463" s="2" t="n">
        <f aca="false">INDEX(Summary!$K$2:$K$201,MATCH($B2463,Summary!$A$2:$A$201,0))</f>
        <v>8.56</v>
      </c>
      <c r="P2463" s="3" t="n">
        <f aca="false">INDEX(Summary!$L$2:$L$201,MATCH($B2463,Summary!$A$2:$A$201,0))</f>
        <v>2</v>
      </c>
      <c r="Q2463" s="3" t="n">
        <f aca="false">INDEX(Summary!$M$2:$M$201,MATCH($B2463,Summary!$A$2:$A$201,0))</f>
        <v>4</v>
      </c>
      <c r="R2463" s="2" t="n">
        <f aca="false">INDEX(Summary!$N$2:$N$201,MATCH($B2463,Summary!$A$2:$A$201,0))</f>
        <v>8.92</v>
      </c>
      <c r="S2463" s="3" t="n">
        <f aca="false">INDEX(Summary!$O$2:$O$201,MATCH($B2463,Summary!$A$2:$A$201,0))</f>
        <v>8</v>
      </c>
      <c r="T2463" s="3" t="n">
        <f aca="false">INDEX(Summary!$P$2:$P$201,MATCH($B2463,Summary!$A$2:$A$201,0))</f>
        <v>1</v>
      </c>
      <c r="U2463" s="2" t="n">
        <f aca="false">INDEX(Summary!$Q$2:$Q$201,MATCH($B2463,Summary!$A$2:$A$201,0))</f>
        <v>13.64</v>
      </c>
      <c r="V2463" s="2" t="n">
        <f aca="false">INDEX(Summary!$R$2:$R$201,MATCH($B2463,Summary!$A$2:$A$201,0))</f>
        <v>20.97</v>
      </c>
      <c r="W2463" s="0" t="str">
        <f aca="false">INDEX(Summary!$S$2:$S$201,MATCH($B2463,Summary!$A$2:$A$201,0))</f>
        <v>Silver</v>
      </c>
      <c r="X2463" s="2" t="n">
        <f aca="false">INDEX(Summary!$T$2:$T$201,MATCH($B2463,Summary!$A$2:$A$201,0))</f>
        <v>51.15</v>
      </c>
      <c r="Y2463" s="0" t="str">
        <f aca="false">INDEX('Reward Model'!$E$18:$E$37,MATCH($E2463,'Reward Model'!$A$18:$A$37,0))</f>
        <v>Low</v>
      </c>
      <c r="Z2463" s="4" t="n">
        <f aca="false">ROUND(MIN(1,MAX('Reward Model'!$B$2,INDEX('Reward Model'!$C$12:$C$14,MATCH($K2463,'Reward Model'!$A$12:$A$14,0))/$J2463)),3)</f>
        <v>0.773</v>
      </c>
      <c r="AA2463" s="2" t="n">
        <f aca="false">IF($I2463="Correct",ROUND(INDEX('Reward Model'!$B$12:$B$14,MATCH($K2463,'Reward Model'!$A$12:$A$14,0))*Z2463,2),0)</f>
        <v>0.77</v>
      </c>
      <c r="AB2463" s="2" t="n">
        <f aca="false">IF($I2463="Correct",ROUND(INDEX('Reward Model'!$B$12:$B$14,MATCH($Y2463,'Reward Model'!$A$12:$A$14,0))*Z2463,2),0)</f>
        <v>0.77</v>
      </c>
    </row>
    <row r="2464" customFormat="false" ht="15" hidden="false" customHeight="false" outlineLevel="0" collapsed="false">
      <c r="A2464" s="0" t="s">
        <v>378</v>
      </c>
      <c r="B2464" s="0" t="s">
        <v>379</v>
      </c>
      <c r="C2464" s="0" t="s">
        <v>322</v>
      </c>
      <c r="D2464" s="0" t="s">
        <v>31</v>
      </c>
      <c r="E2464" s="0" t="n">
        <v>3</v>
      </c>
      <c r="F2464" s="0" t="s">
        <v>40</v>
      </c>
      <c r="G2464" s="0" t="s">
        <v>42</v>
      </c>
      <c r="H2464" s="0" t="s">
        <v>42</v>
      </c>
      <c r="I2464" s="0" t="s">
        <v>34</v>
      </c>
      <c r="J2464" s="0" t="n">
        <v>1.03</v>
      </c>
      <c r="K2464" s="0" t="s">
        <v>35</v>
      </c>
      <c r="L2464" s="0" t="n">
        <f aca="false">INDEX(Summary!$F$2:$F$201,MATCH($B2464,Summary!$A$2:$A$201,0))</f>
        <v>20</v>
      </c>
      <c r="M2464" s="0" t="n">
        <f aca="false">INDEX(Summary!$I$2:$I$201,MATCH($B2464,Summary!$A$2:$A$201,0))</f>
        <v>2</v>
      </c>
      <c r="N2464" s="0" t="n">
        <f aca="false">INDEX(Summary!$J$2:$J$201,MATCH($B2464,Summary!$A$2:$A$201,0))</f>
        <v>3</v>
      </c>
      <c r="O2464" s="2" t="n">
        <f aca="false">INDEX(Summary!$K$2:$K$201,MATCH($B2464,Summary!$A$2:$A$201,0))</f>
        <v>8.56</v>
      </c>
      <c r="P2464" s="3" t="n">
        <f aca="false">INDEX(Summary!$L$2:$L$201,MATCH($B2464,Summary!$A$2:$A$201,0))</f>
        <v>2</v>
      </c>
      <c r="Q2464" s="3" t="n">
        <f aca="false">INDEX(Summary!$M$2:$M$201,MATCH($B2464,Summary!$A$2:$A$201,0))</f>
        <v>4</v>
      </c>
      <c r="R2464" s="2" t="n">
        <f aca="false">INDEX(Summary!$N$2:$N$201,MATCH($B2464,Summary!$A$2:$A$201,0))</f>
        <v>8.92</v>
      </c>
      <c r="S2464" s="3" t="n">
        <f aca="false">INDEX(Summary!$O$2:$O$201,MATCH($B2464,Summary!$A$2:$A$201,0))</f>
        <v>8</v>
      </c>
      <c r="T2464" s="3" t="n">
        <f aca="false">INDEX(Summary!$P$2:$P$201,MATCH($B2464,Summary!$A$2:$A$201,0))</f>
        <v>1</v>
      </c>
      <c r="U2464" s="2" t="n">
        <f aca="false">INDEX(Summary!$Q$2:$Q$201,MATCH($B2464,Summary!$A$2:$A$201,0))</f>
        <v>13.64</v>
      </c>
      <c r="V2464" s="2" t="n">
        <f aca="false">INDEX(Summary!$R$2:$R$201,MATCH($B2464,Summary!$A$2:$A$201,0))</f>
        <v>20.97</v>
      </c>
      <c r="W2464" s="0" t="str">
        <f aca="false">INDEX(Summary!$S$2:$S$201,MATCH($B2464,Summary!$A$2:$A$201,0))</f>
        <v>Silver</v>
      </c>
      <c r="X2464" s="2" t="n">
        <f aca="false">INDEX(Summary!$T$2:$T$201,MATCH($B2464,Summary!$A$2:$A$201,0))</f>
        <v>51.15</v>
      </c>
      <c r="Y2464" s="0" t="str">
        <f aca="false">INDEX('Reward Model'!$E$18:$E$37,MATCH($E2464,'Reward Model'!$A$18:$A$37,0))</f>
        <v>Medium</v>
      </c>
      <c r="Z2464" s="4" t="n">
        <f aca="false">ROUND(MIN(1,MAX('Reward Model'!$B$2,INDEX('Reward Model'!$C$12:$C$14,MATCH($K2464,'Reward Model'!$A$12:$A$14,0))/$J2464)),3)</f>
        <v>1</v>
      </c>
      <c r="AA2464" s="2" t="n">
        <f aca="false">IF($I2464="Correct",ROUND(INDEX('Reward Model'!$B$12:$B$14,MATCH($K2464,'Reward Model'!$A$12:$A$14,0))*Z2464,2),0)</f>
        <v>1</v>
      </c>
      <c r="AB2464" s="2" t="n">
        <f aca="false">IF($I2464="Correct",ROUND(INDEX('Reward Model'!$B$12:$B$14,MATCH($Y2464,'Reward Model'!$A$12:$A$14,0))*Z2464,2),0)</f>
        <v>2</v>
      </c>
    </row>
    <row r="2465" customFormat="false" ht="15" hidden="false" customHeight="false" outlineLevel="0" collapsed="false">
      <c r="A2465" s="0" t="s">
        <v>378</v>
      </c>
      <c r="B2465" s="0" t="s">
        <v>379</v>
      </c>
      <c r="C2465" s="0" t="s">
        <v>322</v>
      </c>
      <c r="D2465" s="0" t="s">
        <v>31</v>
      </c>
      <c r="E2465" s="0" t="n">
        <v>4</v>
      </c>
      <c r="F2465" s="0" t="s">
        <v>43</v>
      </c>
      <c r="G2465" s="0" t="s">
        <v>45</v>
      </c>
      <c r="H2465" s="0" t="s">
        <v>45</v>
      </c>
      <c r="I2465" s="0" t="s">
        <v>34</v>
      </c>
      <c r="J2465" s="0" t="n">
        <v>1.49</v>
      </c>
      <c r="K2465" s="0" t="s">
        <v>35</v>
      </c>
      <c r="L2465" s="0" t="n">
        <f aca="false">INDEX(Summary!$F$2:$F$201,MATCH($B2465,Summary!$A$2:$A$201,0))</f>
        <v>20</v>
      </c>
      <c r="M2465" s="0" t="n">
        <f aca="false">INDEX(Summary!$I$2:$I$201,MATCH($B2465,Summary!$A$2:$A$201,0))</f>
        <v>2</v>
      </c>
      <c r="N2465" s="0" t="n">
        <f aca="false">INDEX(Summary!$J$2:$J$201,MATCH($B2465,Summary!$A$2:$A$201,0))</f>
        <v>3</v>
      </c>
      <c r="O2465" s="2" t="n">
        <f aca="false">INDEX(Summary!$K$2:$K$201,MATCH($B2465,Summary!$A$2:$A$201,0))</f>
        <v>8.56</v>
      </c>
      <c r="P2465" s="3" t="n">
        <f aca="false">INDEX(Summary!$L$2:$L$201,MATCH($B2465,Summary!$A$2:$A$201,0))</f>
        <v>2</v>
      </c>
      <c r="Q2465" s="3" t="n">
        <f aca="false">INDEX(Summary!$M$2:$M$201,MATCH($B2465,Summary!$A$2:$A$201,0))</f>
        <v>4</v>
      </c>
      <c r="R2465" s="2" t="n">
        <f aca="false">INDEX(Summary!$N$2:$N$201,MATCH($B2465,Summary!$A$2:$A$201,0))</f>
        <v>8.92</v>
      </c>
      <c r="S2465" s="3" t="n">
        <f aca="false">INDEX(Summary!$O$2:$O$201,MATCH($B2465,Summary!$A$2:$A$201,0))</f>
        <v>8</v>
      </c>
      <c r="T2465" s="3" t="n">
        <f aca="false">INDEX(Summary!$P$2:$P$201,MATCH($B2465,Summary!$A$2:$A$201,0))</f>
        <v>1</v>
      </c>
      <c r="U2465" s="2" t="n">
        <f aca="false">INDEX(Summary!$Q$2:$Q$201,MATCH($B2465,Summary!$A$2:$A$201,0))</f>
        <v>13.64</v>
      </c>
      <c r="V2465" s="2" t="n">
        <f aca="false">INDEX(Summary!$R$2:$R$201,MATCH($B2465,Summary!$A$2:$A$201,0))</f>
        <v>20.97</v>
      </c>
      <c r="W2465" s="0" t="str">
        <f aca="false">INDEX(Summary!$S$2:$S$201,MATCH($B2465,Summary!$A$2:$A$201,0))</f>
        <v>Silver</v>
      </c>
      <c r="X2465" s="2" t="n">
        <f aca="false">INDEX(Summary!$T$2:$T$201,MATCH($B2465,Summary!$A$2:$A$201,0))</f>
        <v>51.15</v>
      </c>
      <c r="Y2465" s="0" t="str">
        <f aca="false">INDEX('Reward Model'!$E$18:$E$37,MATCH($E2465,'Reward Model'!$A$18:$A$37,0))</f>
        <v>Low</v>
      </c>
      <c r="Z2465" s="4" t="n">
        <f aca="false">ROUND(MIN(1,MAX('Reward Model'!$B$2,INDEX('Reward Model'!$C$12:$C$14,MATCH($K2465,'Reward Model'!$A$12:$A$14,0))/$J2465)),3)</f>
        <v>1</v>
      </c>
      <c r="AA2465" s="2" t="n">
        <f aca="false">IF($I2465="Correct",ROUND(INDEX('Reward Model'!$B$12:$B$14,MATCH($K2465,'Reward Model'!$A$12:$A$14,0))*Z2465,2),0)</f>
        <v>1</v>
      </c>
      <c r="AB2465" s="2" t="n">
        <f aca="false">IF($I2465="Correct",ROUND(INDEX('Reward Model'!$B$12:$B$14,MATCH($Y2465,'Reward Model'!$A$12:$A$14,0))*Z2465,2),0)</f>
        <v>1</v>
      </c>
    </row>
    <row r="2466" customFormat="false" ht="15" hidden="false" customHeight="false" outlineLevel="0" collapsed="false">
      <c r="A2466" s="0" t="s">
        <v>378</v>
      </c>
      <c r="B2466" s="0" t="s">
        <v>379</v>
      </c>
      <c r="C2466" s="0" t="s">
        <v>322</v>
      </c>
      <c r="D2466" s="0" t="s">
        <v>31</v>
      </c>
      <c r="E2466" s="0" t="n">
        <v>5</v>
      </c>
      <c r="F2466" s="0" t="s">
        <v>46</v>
      </c>
      <c r="G2466" s="0" t="s">
        <v>47</v>
      </c>
      <c r="H2466" s="0" t="s">
        <v>47</v>
      </c>
      <c r="I2466" s="0" t="s">
        <v>34</v>
      </c>
      <c r="J2466" s="0" t="n">
        <v>1.8</v>
      </c>
      <c r="K2466" s="0" t="s">
        <v>35</v>
      </c>
      <c r="L2466" s="0" t="n">
        <f aca="false">INDEX(Summary!$F$2:$F$201,MATCH($B2466,Summary!$A$2:$A$201,0))</f>
        <v>20</v>
      </c>
      <c r="M2466" s="0" t="n">
        <f aca="false">INDEX(Summary!$I$2:$I$201,MATCH($B2466,Summary!$A$2:$A$201,0))</f>
        <v>2</v>
      </c>
      <c r="N2466" s="0" t="n">
        <f aca="false">INDEX(Summary!$J$2:$J$201,MATCH($B2466,Summary!$A$2:$A$201,0))</f>
        <v>3</v>
      </c>
      <c r="O2466" s="2" t="n">
        <f aca="false">INDEX(Summary!$K$2:$K$201,MATCH($B2466,Summary!$A$2:$A$201,0))</f>
        <v>8.56</v>
      </c>
      <c r="P2466" s="3" t="n">
        <f aca="false">INDEX(Summary!$L$2:$L$201,MATCH($B2466,Summary!$A$2:$A$201,0))</f>
        <v>2</v>
      </c>
      <c r="Q2466" s="3" t="n">
        <f aca="false">INDEX(Summary!$M$2:$M$201,MATCH($B2466,Summary!$A$2:$A$201,0))</f>
        <v>4</v>
      </c>
      <c r="R2466" s="2" t="n">
        <f aca="false">INDEX(Summary!$N$2:$N$201,MATCH($B2466,Summary!$A$2:$A$201,0))</f>
        <v>8.92</v>
      </c>
      <c r="S2466" s="3" t="n">
        <f aca="false">INDEX(Summary!$O$2:$O$201,MATCH($B2466,Summary!$A$2:$A$201,0))</f>
        <v>8</v>
      </c>
      <c r="T2466" s="3" t="n">
        <f aca="false">INDEX(Summary!$P$2:$P$201,MATCH($B2466,Summary!$A$2:$A$201,0))</f>
        <v>1</v>
      </c>
      <c r="U2466" s="2" t="n">
        <f aca="false">INDEX(Summary!$Q$2:$Q$201,MATCH($B2466,Summary!$A$2:$A$201,0))</f>
        <v>13.64</v>
      </c>
      <c r="V2466" s="2" t="n">
        <f aca="false">INDEX(Summary!$R$2:$R$201,MATCH($B2466,Summary!$A$2:$A$201,0))</f>
        <v>20.97</v>
      </c>
      <c r="W2466" s="0" t="str">
        <f aca="false">INDEX(Summary!$S$2:$S$201,MATCH($B2466,Summary!$A$2:$A$201,0))</f>
        <v>Silver</v>
      </c>
      <c r="X2466" s="2" t="n">
        <f aca="false">INDEX(Summary!$T$2:$T$201,MATCH($B2466,Summary!$A$2:$A$201,0))</f>
        <v>51.15</v>
      </c>
      <c r="Y2466" s="0" t="str">
        <f aca="false">INDEX('Reward Model'!$E$18:$E$37,MATCH($E2466,'Reward Model'!$A$18:$A$37,0))</f>
        <v>Low</v>
      </c>
      <c r="Z2466" s="4" t="n">
        <f aca="false">ROUND(MIN(1,MAX('Reward Model'!$B$2,INDEX('Reward Model'!$C$12:$C$14,MATCH($K2466,'Reward Model'!$A$12:$A$14,0))/$J2466)),3)</f>
        <v>0.833</v>
      </c>
      <c r="AA2466" s="2" t="n">
        <f aca="false">IF($I2466="Correct",ROUND(INDEX('Reward Model'!$B$12:$B$14,MATCH($K2466,'Reward Model'!$A$12:$A$14,0))*Z2466,2),0)</f>
        <v>0.83</v>
      </c>
      <c r="AB2466" s="2" t="n">
        <f aca="false">IF($I2466="Correct",ROUND(INDEX('Reward Model'!$B$12:$B$14,MATCH($Y2466,'Reward Model'!$A$12:$A$14,0))*Z2466,2),0)</f>
        <v>0.83</v>
      </c>
    </row>
    <row r="2467" customFormat="false" ht="15" hidden="false" customHeight="false" outlineLevel="0" collapsed="false">
      <c r="A2467" s="0" t="s">
        <v>378</v>
      </c>
      <c r="B2467" s="0" t="s">
        <v>379</v>
      </c>
      <c r="C2467" s="0" t="s">
        <v>322</v>
      </c>
      <c r="D2467" s="0" t="s">
        <v>31</v>
      </c>
      <c r="E2467" s="0" t="n">
        <v>6</v>
      </c>
      <c r="F2467" s="0" t="s">
        <v>48</v>
      </c>
      <c r="G2467" s="0" t="s">
        <v>49</v>
      </c>
      <c r="H2467" s="0" t="s">
        <v>49</v>
      </c>
      <c r="I2467" s="0" t="s">
        <v>34</v>
      </c>
      <c r="J2467" s="0" t="n">
        <v>1.76</v>
      </c>
      <c r="K2467" s="0" t="s">
        <v>35</v>
      </c>
      <c r="L2467" s="0" t="n">
        <f aca="false">INDEX(Summary!$F$2:$F$201,MATCH($B2467,Summary!$A$2:$A$201,0))</f>
        <v>20</v>
      </c>
      <c r="M2467" s="0" t="n">
        <f aca="false">INDEX(Summary!$I$2:$I$201,MATCH($B2467,Summary!$A$2:$A$201,0))</f>
        <v>2</v>
      </c>
      <c r="N2467" s="0" t="n">
        <f aca="false">INDEX(Summary!$J$2:$J$201,MATCH($B2467,Summary!$A$2:$A$201,0))</f>
        <v>3</v>
      </c>
      <c r="O2467" s="2" t="n">
        <f aca="false">INDEX(Summary!$K$2:$K$201,MATCH($B2467,Summary!$A$2:$A$201,0))</f>
        <v>8.56</v>
      </c>
      <c r="P2467" s="3" t="n">
        <f aca="false">INDEX(Summary!$L$2:$L$201,MATCH($B2467,Summary!$A$2:$A$201,0))</f>
        <v>2</v>
      </c>
      <c r="Q2467" s="3" t="n">
        <f aca="false">INDEX(Summary!$M$2:$M$201,MATCH($B2467,Summary!$A$2:$A$201,0))</f>
        <v>4</v>
      </c>
      <c r="R2467" s="2" t="n">
        <f aca="false">INDEX(Summary!$N$2:$N$201,MATCH($B2467,Summary!$A$2:$A$201,0))</f>
        <v>8.92</v>
      </c>
      <c r="S2467" s="3" t="n">
        <f aca="false">INDEX(Summary!$O$2:$O$201,MATCH($B2467,Summary!$A$2:$A$201,0))</f>
        <v>8</v>
      </c>
      <c r="T2467" s="3" t="n">
        <f aca="false">INDEX(Summary!$P$2:$P$201,MATCH($B2467,Summary!$A$2:$A$201,0))</f>
        <v>1</v>
      </c>
      <c r="U2467" s="2" t="n">
        <f aca="false">INDEX(Summary!$Q$2:$Q$201,MATCH($B2467,Summary!$A$2:$A$201,0))</f>
        <v>13.64</v>
      </c>
      <c r="V2467" s="2" t="n">
        <f aca="false">INDEX(Summary!$R$2:$R$201,MATCH($B2467,Summary!$A$2:$A$201,0))</f>
        <v>20.97</v>
      </c>
      <c r="W2467" s="0" t="str">
        <f aca="false">INDEX(Summary!$S$2:$S$201,MATCH($B2467,Summary!$A$2:$A$201,0))</f>
        <v>Silver</v>
      </c>
      <c r="X2467" s="2" t="n">
        <f aca="false">INDEX(Summary!$T$2:$T$201,MATCH($B2467,Summary!$A$2:$A$201,0))</f>
        <v>51.15</v>
      </c>
      <c r="Y2467" s="0" t="str">
        <f aca="false">INDEX('Reward Model'!$E$18:$E$37,MATCH($E2467,'Reward Model'!$A$18:$A$37,0))</f>
        <v>Medium</v>
      </c>
      <c r="Z2467" s="4" t="n">
        <f aca="false">ROUND(MIN(1,MAX('Reward Model'!$B$2,INDEX('Reward Model'!$C$12:$C$14,MATCH($K2467,'Reward Model'!$A$12:$A$14,0))/$J2467)),3)</f>
        <v>0.852</v>
      </c>
      <c r="AA2467" s="2" t="n">
        <f aca="false">IF($I2467="Correct",ROUND(INDEX('Reward Model'!$B$12:$B$14,MATCH($K2467,'Reward Model'!$A$12:$A$14,0))*Z2467,2),0)</f>
        <v>0.85</v>
      </c>
      <c r="AB2467" s="2" t="n">
        <f aca="false">IF($I2467="Correct",ROUND(INDEX('Reward Model'!$B$12:$B$14,MATCH($Y2467,'Reward Model'!$A$12:$A$14,0))*Z2467,2),0)</f>
        <v>1.7</v>
      </c>
    </row>
    <row r="2468" customFormat="false" ht="15" hidden="false" customHeight="false" outlineLevel="0" collapsed="false">
      <c r="A2468" s="0" t="s">
        <v>378</v>
      </c>
      <c r="B2468" s="0" t="s">
        <v>379</v>
      </c>
      <c r="C2468" s="0" t="s">
        <v>322</v>
      </c>
      <c r="D2468" s="0" t="s">
        <v>31</v>
      </c>
      <c r="E2468" s="0" t="n">
        <v>7</v>
      </c>
      <c r="F2468" s="0" t="s">
        <v>50</v>
      </c>
      <c r="G2468" s="0" t="s">
        <v>51</v>
      </c>
      <c r="H2468" s="0" t="s">
        <v>51</v>
      </c>
      <c r="I2468" s="0" t="s">
        <v>34</v>
      </c>
      <c r="J2468" s="0" t="n">
        <v>0.97</v>
      </c>
      <c r="K2468" s="0" t="s">
        <v>35</v>
      </c>
      <c r="L2468" s="0" t="n">
        <f aca="false">INDEX(Summary!$F$2:$F$201,MATCH($B2468,Summary!$A$2:$A$201,0))</f>
        <v>20</v>
      </c>
      <c r="M2468" s="0" t="n">
        <f aca="false">INDEX(Summary!$I$2:$I$201,MATCH($B2468,Summary!$A$2:$A$201,0))</f>
        <v>2</v>
      </c>
      <c r="N2468" s="0" t="n">
        <f aca="false">INDEX(Summary!$J$2:$J$201,MATCH($B2468,Summary!$A$2:$A$201,0))</f>
        <v>3</v>
      </c>
      <c r="O2468" s="2" t="n">
        <f aca="false">INDEX(Summary!$K$2:$K$201,MATCH($B2468,Summary!$A$2:$A$201,0))</f>
        <v>8.56</v>
      </c>
      <c r="P2468" s="3" t="n">
        <f aca="false">INDEX(Summary!$L$2:$L$201,MATCH($B2468,Summary!$A$2:$A$201,0))</f>
        <v>2</v>
      </c>
      <c r="Q2468" s="3" t="n">
        <f aca="false">INDEX(Summary!$M$2:$M$201,MATCH($B2468,Summary!$A$2:$A$201,0))</f>
        <v>4</v>
      </c>
      <c r="R2468" s="2" t="n">
        <f aca="false">INDEX(Summary!$N$2:$N$201,MATCH($B2468,Summary!$A$2:$A$201,0))</f>
        <v>8.92</v>
      </c>
      <c r="S2468" s="3" t="n">
        <f aca="false">INDEX(Summary!$O$2:$O$201,MATCH($B2468,Summary!$A$2:$A$201,0))</f>
        <v>8</v>
      </c>
      <c r="T2468" s="3" t="n">
        <f aca="false">INDEX(Summary!$P$2:$P$201,MATCH($B2468,Summary!$A$2:$A$201,0))</f>
        <v>1</v>
      </c>
      <c r="U2468" s="2" t="n">
        <f aca="false">INDEX(Summary!$Q$2:$Q$201,MATCH($B2468,Summary!$A$2:$A$201,0))</f>
        <v>13.64</v>
      </c>
      <c r="V2468" s="2" t="n">
        <f aca="false">INDEX(Summary!$R$2:$R$201,MATCH($B2468,Summary!$A$2:$A$201,0))</f>
        <v>20.97</v>
      </c>
      <c r="W2468" s="0" t="str">
        <f aca="false">INDEX(Summary!$S$2:$S$201,MATCH($B2468,Summary!$A$2:$A$201,0))</f>
        <v>Silver</v>
      </c>
      <c r="X2468" s="2" t="n">
        <f aca="false">INDEX(Summary!$T$2:$T$201,MATCH($B2468,Summary!$A$2:$A$201,0))</f>
        <v>51.15</v>
      </c>
      <c r="Y2468" s="0" t="str">
        <f aca="false">INDEX('Reward Model'!$E$18:$E$37,MATCH($E2468,'Reward Model'!$A$18:$A$37,0))</f>
        <v>Low</v>
      </c>
      <c r="Z2468" s="4" t="n">
        <f aca="false">ROUND(MIN(1,MAX('Reward Model'!$B$2,INDEX('Reward Model'!$C$12:$C$14,MATCH($K2468,'Reward Model'!$A$12:$A$14,0))/$J2468)),3)</f>
        <v>1</v>
      </c>
      <c r="AA2468" s="2" t="n">
        <f aca="false">IF($I2468="Correct",ROUND(INDEX('Reward Model'!$B$12:$B$14,MATCH($K2468,'Reward Model'!$A$12:$A$14,0))*Z2468,2),0)</f>
        <v>1</v>
      </c>
      <c r="AB2468" s="2" t="n">
        <f aca="false">IF($I2468="Correct",ROUND(INDEX('Reward Model'!$B$12:$B$14,MATCH($Y2468,'Reward Model'!$A$12:$A$14,0))*Z2468,2),0)</f>
        <v>1</v>
      </c>
    </row>
    <row r="2469" customFormat="false" ht="15" hidden="false" customHeight="false" outlineLevel="0" collapsed="false">
      <c r="A2469" s="0" t="s">
        <v>378</v>
      </c>
      <c r="B2469" s="0" t="s">
        <v>379</v>
      </c>
      <c r="C2469" s="0" t="s">
        <v>322</v>
      </c>
      <c r="D2469" s="0" t="s">
        <v>31</v>
      </c>
      <c r="E2469" s="0" t="n">
        <v>8</v>
      </c>
      <c r="F2469" s="0" t="s">
        <v>52</v>
      </c>
      <c r="G2469" s="0" t="s">
        <v>137</v>
      </c>
      <c r="H2469" s="0" t="s">
        <v>54</v>
      </c>
      <c r="I2469" s="0" t="s">
        <v>39</v>
      </c>
      <c r="J2469" s="0" t="n">
        <v>1.49</v>
      </c>
      <c r="K2469" s="0" t="s">
        <v>35</v>
      </c>
      <c r="L2469" s="0" t="n">
        <f aca="false">INDEX(Summary!$F$2:$F$201,MATCH($B2469,Summary!$A$2:$A$201,0))</f>
        <v>20</v>
      </c>
      <c r="M2469" s="0" t="n">
        <f aca="false">INDEX(Summary!$I$2:$I$201,MATCH($B2469,Summary!$A$2:$A$201,0))</f>
        <v>2</v>
      </c>
      <c r="N2469" s="0" t="n">
        <f aca="false">INDEX(Summary!$J$2:$J$201,MATCH($B2469,Summary!$A$2:$A$201,0))</f>
        <v>3</v>
      </c>
      <c r="O2469" s="2" t="n">
        <f aca="false">INDEX(Summary!$K$2:$K$201,MATCH($B2469,Summary!$A$2:$A$201,0))</f>
        <v>8.56</v>
      </c>
      <c r="P2469" s="3" t="n">
        <f aca="false">INDEX(Summary!$L$2:$L$201,MATCH($B2469,Summary!$A$2:$A$201,0))</f>
        <v>2</v>
      </c>
      <c r="Q2469" s="3" t="n">
        <f aca="false">INDEX(Summary!$M$2:$M$201,MATCH($B2469,Summary!$A$2:$A$201,0))</f>
        <v>4</v>
      </c>
      <c r="R2469" s="2" t="n">
        <f aca="false">INDEX(Summary!$N$2:$N$201,MATCH($B2469,Summary!$A$2:$A$201,0))</f>
        <v>8.92</v>
      </c>
      <c r="S2469" s="3" t="n">
        <f aca="false">INDEX(Summary!$O$2:$O$201,MATCH($B2469,Summary!$A$2:$A$201,0))</f>
        <v>8</v>
      </c>
      <c r="T2469" s="3" t="n">
        <f aca="false">INDEX(Summary!$P$2:$P$201,MATCH($B2469,Summary!$A$2:$A$201,0))</f>
        <v>1</v>
      </c>
      <c r="U2469" s="2" t="n">
        <f aca="false">INDEX(Summary!$Q$2:$Q$201,MATCH($B2469,Summary!$A$2:$A$201,0))</f>
        <v>13.64</v>
      </c>
      <c r="V2469" s="2" t="n">
        <f aca="false">INDEX(Summary!$R$2:$R$201,MATCH($B2469,Summary!$A$2:$A$201,0))</f>
        <v>20.97</v>
      </c>
      <c r="W2469" s="0" t="str">
        <f aca="false">INDEX(Summary!$S$2:$S$201,MATCH($B2469,Summary!$A$2:$A$201,0))</f>
        <v>Silver</v>
      </c>
      <c r="X2469" s="2" t="n">
        <f aca="false">INDEX(Summary!$T$2:$T$201,MATCH($B2469,Summary!$A$2:$A$201,0))</f>
        <v>51.15</v>
      </c>
      <c r="Y2469" s="0" t="str">
        <f aca="false">INDEX('Reward Model'!$E$18:$E$37,MATCH($E2469,'Reward Model'!$A$18:$A$37,0))</f>
        <v>Medium</v>
      </c>
      <c r="Z2469" s="4" t="n">
        <f aca="false">ROUND(MIN(1,MAX('Reward Model'!$B$2,INDEX('Reward Model'!$C$12:$C$14,MATCH($K2469,'Reward Model'!$A$12:$A$14,0))/$J2469)),3)</f>
        <v>1</v>
      </c>
      <c r="AA2469" s="2" t="n">
        <f aca="false">IF($I2469="Correct",ROUND(INDEX('Reward Model'!$B$12:$B$14,MATCH($K2469,'Reward Model'!$A$12:$A$14,0))*Z2469,2),0)</f>
        <v>0</v>
      </c>
      <c r="AB2469" s="2" t="n">
        <f aca="false">IF($I2469="Correct",ROUND(INDEX('Reward Model'!$B$12:$B$14,MATCH($Y2469,'Reward Model'!$A$12:$A$14,0))*Z2469,2),0)</f>
        <v>0</v>
      </c>
    </row>
    <row r="2470" customFormat="false" ht="15" hidden="false" customHeight="false" outlineLevel="0" collapsed="false">
      <c r="A2470" s="0" t="s">
        <v>378</v>
      </c>
      <c r="B2470" s="0" t="s">
        <v>379</v>
      </c>
      <c r="C2470" s="0" t="s">
        <v>322</v>
      </c>
      <c r="D2470" s="0" t="s">
        <v>31</v>
      </c>
      <c r="E2470" s="0" t="n">
        <v>9</v>
      </c>
      <c r="F2470" s="0" t="s">
        <v>55</v>
      </c>
      <c r="G2470" s="0" t="s">
        <v>57</v>
      </c>
      <c r="H2470" s="0" t="s">
        <v>57</v>
      </c>
      <c r="I2470" s="0" t="s">
        <v>34</v>
      </c>
      <c r="J2470" s="0" t="n">
        <v>1.8</v>
      </c>
      <c r="K2470" s="0" t="s">
        <v>35</v>
      </c>
      <c r="L2470" s="0" t="n">
        <f aca="false">INDEX(Summary!$F$2:$F$201,MATCH($B2470,Summary!$A$2:$A$201,0))</f>
        <v>20</v>
      </c>
      <c r="M2470" s="0" t="n">
        <f aca="false">INDEX(Summary!$I$2:$I$201,MATCH($B2470,Summary!$A$2:$A$201,0))</f>
        <v>2</v>
      </c>
      <c r="N2470" s="0" t="n">
        <f aca="false">INDEX(Summary!$J$2:$J$201,MATCH($B2470,Summary!$A$2:$A$201,0))</f>
        <v>3</v>
      </c>
      <c r="O2470" s="2" t="n">
        <f aca="false">INDEX(Summary!$K$2:$K$201,MATCH($B2470,Summary!$A$2:$A$201,0))</f>
        <v>8.56</v>
      </c>
      <c r="P2470" s="3" t="n">
        <f aca="false">INDEX(Summary!$L$2:$L$201,MATCH($B2470,Summary!$A$2:$A$201,0))</f>
        <v>2</v>
      </c>
      <c r="Q2470" s="3" t="n">
        <f aca="false">INDEX(Summary!$M$2:$M$201,MATCH($B2470,Summary!$A$2:$A$201,0))</f>
        <v>4</v>
      </c>
      <c r="R2470" s="2" t="n">
        <f aca="false">INDEX(Summary!$N$2:$N$201,MATCH($B2470,Summary!$A$2:$A$201,0))</f>
        <v>8.92</v>
      </c>
      <c r="S2470" s="3" t="n">
        <f aca="false">INDEX(Summary!$O$2:$O$201,MATCH($B2470,Summary!$A$2:$A$201,0))</f>
        <v>8</v>
      </c>
      <c r="T2470" s="3" t="n">
        <f aca="false">INDEX(Summary!$P$2:$P$201,MATCH($B2470,Summary!$A$2:$A$201,0))</f>
        <v>1</v>
      </c>
      <c r="U2470" s="2" t="n">
        <f aca="false">INDEX(Summary!$Q$2:$Q$201,MATCH($B2470,Summary!$A$2:$A$201,0))</f>
        <v>13.64</v>
      </c>
      <c r="V2470" s="2" t="n">
        <f aca="false">INDEX(Summary!$R$2:$R$201,MATCH($B2470,Summary!$A$2:$A$201,0))</f>
        <v>20.97</v>
      </c>
      <c r="W2470" s="0" t="str">
        <f aca="false">INDEX(Summary!$S$2:$S$201,MATCH($B2470,Summary!$A$2:$A$201,0))</f>
        <v>Silver</v>
      </c>
      <c r="X2470" s="2" t="n">
        <f aca="false">INDEX(Summary!$T$2:$T$201,MATCH($B2470,Summary!$A$2:$A$201,0))</f>
        <v>51.15</v>
      </c>
      <c r="Y2470" s="0" t="str">
        <f aca="false">INDEX('Reward Model'!$E$18:$E$37,MATCH($E2470,'Reward Model'!$A$18:$A$37,0))</f>
        <v>Medium</v>
      </c>
      <c r="Z2470" s="4" t="n">
        <f aca="false">ROUND(MIN(1,MAX('Reward Model'!$B$2,INDEX('Reward Model'!$C$12:$C$14,MATCH($K2470,'Reward Model'!$A$12:$A$14,0))/$J2470)),3)</f>
        <v>0.833</v>
      </c>
      <c r="AA2470" s="2" t="n">
        <f aca="false">IF($I2470="Correct",ROUND(INDEX('Reward Model'!$B$12:$B$14,MATCH($K2470,'Reward Model'!$A$12:$A$14,0))*Z2470,2),0)</f>
        <v>0.83</v>
      </c>
      <c r="AB2470" s="2" t="n">
        <f aca="false">IF($I2470="Correct",ROUND(INDEX('Reward Model'!$B$12:$B$14,MATCH($Y2470,'Reward Model'!$A$12:$A$14,0))*Z2470,2),0)</f>
        <v>1.67</v>
      </c>
    </row>
    <row r="2471" customFormat="false" ht="15" hidden="false" customHeight="false" outlineLevel="0" collapsed="false">
      <c r="A2471" s="0" t="s">
        <v>378</v>
      </c>
      <c r="B2471" s="0" t="s">
        <v>379</v>
      </c>
      <c r="C2471" s="0" t="s">
        <v>322</v>
      </c>
      <c r="D2471" s="0" t="s">
        <v>31</v>
      </c>
      <c r="E2471" s="0" t="n">
        <v>10</v>
      </c>
      <c r="F2471" s="0" t="s">
        <v>58</v>
      </c>
      <c r="G2471" s="0" t="s">
        <v>138</v>
      </c>
      <c r="H2471" s="0" t="s">
        <v>59</v>
      </c>
      <c r="I2471" s="0" t="s">
        <v>39</v>
      </c>
      <c r="J2471" s="0" t="n">
        <v>1.71</v>
      </c>
      <c r="K2471" s="0" t="s">
        <v>60</v>
      </c>
      <c r="L2471" s="0" t="n">
        <f aca="false">INDEX(Summary!$F$2:$F$201,MATCH($B2471,Summary!$A$2:$A$201,0))</f>
        <v>20</v>
      </c>
      <c r="M2471" s="0" t="n">
        <f aca="false">INDEX(Summary!$I$2:$I$201,MATCH($B2471,Summary!$A$2:$A$201,0))</f>
        <v>2</v>
      </c>
      <c r="N2471" s="0" t="n">
        <f aca="false">INDEX(Summary!$J$2:$J$201,MATCH($B2471,Summary!$A$2:$A$201,0))</f>
        <v>3</v>
      </c>
      <c r="O2471" s="2" t="n">
        <f aca="false">INDEX(Summary!$K$2:$K$201,MATCH($B2471,Summary!$A$2:$A$201,0))</f>
        <v>8.56</v>
      </c>
      <c r="P2471" s="3" t="n">
        <f aca="false">INDEX(Summary!$L$2:$L$201,MATCH($B2471,Summary!$A$2:$A$201,0))</f>
        <v>2</v>
      </c>
      <c r="Q2471" s="3" t="n">
        <f aca="false">INDEX(Summary!$M$2:$M$201,MATCH($B2471,Summary!$A$2:$A$201,0))</f>
        <v>4</v>
      </c>
      <c r="R2471" s="2" t="n">
        <f aca="false">INDEX(Summary!$N$2:$N$201,MATCH($B2471,Summary!$A$2:$A$201,0))</f>
        <v>8.92</v>
      </c>
      <c r="S2471" s="3" t="n">
        <f aca="false">INDEX(Summary!$O$2:$O$201,MATCH($B2471,Summary!$A$2:$A$201,0))</f>
        <v>8</v>
      </c>
      <c r="T2471" s="3" t="n">
        <f aca="false">INDEX(Summary!$P$2:$P$201,MATCH($B2471,Summary!$A$2:$A$201,0))</f>
        <v>1</v>
      </c>
      <c r="U2471" s="2" t="n">
        <f aca="false">INDEX(Summary!$Q$2:$Q$201,MATCH($B2471,Summary!$A$2:$A$201,0))</f>
        <v>13.64</v>
      </c>
      <c r="V2471" s="2" t="n">
        <f aca="false">INDEX(Summary!$R$2:$R$201,MATCH($B2471,Summary!$A$2:$A$201,0))</f>
        <v>20.97</v>
      </c>
      <c r="W2471" s="0" t="str">
        <f aca="false">INDEX(Summary!$S$2:$S$201,MATCH($B2471,Summary!$A$2:$A$201,0))</f>
        <v>Silver</v>
      </c>
      <c r="X2471" s="2" t="n">
        <f aca="false">INDEX(Summary!$T$2:$T$201,MATCH($B2471,Summary!$A$2:$A$201,0))</f>
        <v>51.15</v>
      </c>
      <c r="Y2471" s="0" t="str">
        <f aca="false">INDEX('Reward Model'!$E$18:$E$37,MATCH($E2471,'Reward Model'!$A$18:$A$37,0))</f>
        <v>Medium</v>
      </c>
      <c r="Z2471" s="4" t="n">
        <f aca="false">ROUND(MIN(1,MAX('Reward Model'!$B$2,INDEX('Reward Model'!$C$12:$C$14,MATCH($K2471,'Reward Model'!$A$12:$A$14,0))/$J2471)),3)</f>
        <v>1</v>
      </c>
      <c r="AA2471" s="2" t="n">
        <f aca="false">IF($I2471="Correct",ROUND(INDEX('Reward Model'!$B$12:$B$14,MATCH($K2471,'Reward Model'!$A$12:$A$14,0))*Z2471,2),0)</f>
        <v>0</v>
      </c>
      <c r="AB2471" s="2" t="n">
        <f aca="false">IF($I2471="Correct",ROUND(INDEX('Reward Model'!$B$12:$B$14,MATCH($Y2471,'Reward Model'!$A$12:$A$14,0))*Z2471,2),0)</f>
        <v>0</v>
      </c>
    </row>
    <row r="2472" customFormat="false" ht="15" hidden="false" customHeight="false" outlineLevel="0" collapsed="false">
      <c r="A2472" s="0" t="s">
        <v>378</v>
      </c>
      <c r="B2472" s="0" t="s">
        <v>379</v>
      </c>
      <c r="C2472" s="0" t="s">
        <v>322</v>
      </c>
      <c r="D2472" s="0" t="s">
        <v>31</v>
      </c>
      <c r="E2472" s="0" t="n">
        <v>11</v>
      </c>
      <c r="F2472" s="0" t="s">
        <v>61</v>
      </c>
      <c r="G2472" s="0" t="s">
        <v>150</v>
      </c>
      <c r="H2472" s="0" t="s">
        <v>63</v>
      </c>
      <c r="I2472" s="0" t="s">
        <v>39</v>
      </c>
      <c r="J2472" s="0" t="n">
        <v>1.11</v>
      </c>
      <c r="K2472" s="0" t="s">
        <v>60</v>
      </c>
      <c r="L2472" s="0" t="n">
        <f aca="false">INDEX(Summary!$F$2:$F$201,MATCH($B2472,Summary!$A$2:$A$201,0))</f>
        <v>20</v>
      </c>
      <c r="M2472" s="0" t="n">
        <f aca="false">INDEX(Summary!$I$2:$I$201,MATCH($B2472,Summary!$A$2:$A$201,0))</f>
        <v>2</v>
      </c>
      <c r="N2472" s="0" t="n">
        <f aca="false">INDEX(Summary!$J$2:$J$201,MATCH($B2472,Summary!$A$2:$A$201,0))</f>
        <v>3</v>
      </c>
      <c r="O2472" s="2" t="n">
        <f aca="false">INDEX(Summary!$K$2:$K$201,MATCH($B2472,Summary!$A$2:$A$201,0))</f>
        <v>8.56</v>
      </c>
      <c r="P2472" s="3" t="n">
        <f aca="false">INDEX(Summary!$L$2:$L$201,MATCH($B2472,Summary!$A$2:$A$201,0))</f>
        <v>2</v>
      </c>
      <c r="Q2472" s="3" t="n">
        <f aca="false">INDEX(Summary!$M$2:$M$201,MATCH($B2472,Summary!$A$2:$A$201,0))</f>
        <v>4</v>
      </c>
      <c r="R2472" s="2" t="n">
        <f aca="false">INDEX(Summary!$N$2:$N$201,MATCH($B2472,Summary!$A$2:$A$201,0))</f>
        <v>8.92</v>
      </c>
      <c r="S2472" s="3" t="n">
        <f aca="false">INDEX(Summary!$O$2:$O$201,MATCH($B2472,Summary!$A$2:$A$201,0))</f>
        <v>8</v>
      </c>
      <c r="T2472" s="3" t="n">
        <f aca="false">INDEX(Summary!$P$2:$P$201,MATCH($B2472,Summary!$A$2:$A$201,0))</f>
        <v>1</v>
      </c>
      <c r="U2472" s="2" t="n">
        <f aca="false">INDEX(Summary!$Q$2:$Q$201,MATCH($B2472,Summary!$A$2:$A$201,0))</f>
        <v>13.64</v>
      </c>
      <c r="V2472" s="2" t="n">
        <f aca="false">INDEX(Summary!$R$2:$R$201,MATCH($B2472,Summary!$A$2:$A$201,0))</f>
        <v>20.97</v>
      </c>
      <c r="W2472" s="0" t="str">
        <f aca="false">INDEX(Summary!$S$2:$S$201,MATCH($B2472,Summary!$A$2:$A$201,0))</f>
        <v>Silver</v>
      </c>
      <c r="X2472" s="2" t="n">
        <f aca="false">INDEX(Summary!$T$2:$T$201,MATCH($B2472,Summary!$A$2:$A$201,0))</f>
        <v>51.15</v>
      </c>
      <c r="Y2472" s="0" t="str">
        <f aca="false">INDEX('Reward Model'!$E$18:$E$37,MATCH($E2472,'Reward Model'!$A$18:$A$37,0))</f>
        <v>Medium</v>
      </c>
      <c r="Z2472" s="4" t="n">
        <f aca="false">ROUND(MIN(1,MAX('Reward Model'!$B$2,INDEX('Reward Model'!$C$12:$C$14,MATCH($K2472,'Reward Model'!$A$12:$A$14,0))/$J2472)),3)</f>
        <v>1</v>
      </c>
      <c r="AA2472" s="2" t="n">
        <f aca="false">IF($I2472="Correct",ROUND(INDEX('Reward Model'!$B$12:$B$14,MATCH($K2472,'Reward Model'!$A$12:$A$14,0))*Z2472,2),0)</f>
        <v>0</v>
      </c>
      <c r="AB2472" s="2" t="n">
        <f aca="false">IF($I2472="Correct",ROUND(INDEX('Reward Model'!$B$12:$B$14,MATCH($Y2472,'Reward Model'!$A$12:$A$14,0))*Z2472,2),0)</f>
        <v>0</v>
      </c>
    </row>
    <row r="2473" customFormat="false" ht="15" hidden="false" customHeight="false" outlineLevel="0" collapsed="false">
      <c r="A2473" s="0" t="s">
        <v>378</v>
      </c>
      <c r="B2473" s="0" t="s">
        <v>379</v>
      </c>
      <c r="C2473" s="0" t="s">
        <v>322</v>
      </c>
      <c r="D2473" s="0" t="s">
        <v>31</v>
      </c>
      <c r="E2473" s="0" t="n">
        <v>12</v>
      </c>
      <c r="F2473" s="0" t="s">
        <v>64</v>
      </c>
      <c r="G2473" s="0" t="s">
        <v>65</v>
      </c>
      <c r="H2473" s="0" t="s">
        <v>65</v>
      </c>
      <c r="I2473" s="0" t="s">
        <v>34</v>
      </c>
      <c r="J2473" s="0" t="n">
        <v>1.15</v>
      </c>
      <c r="K2473" s="0" t="s">
        <v>60</v>
      </c>
      <c r="L2473" s="0" t="n">
        <f aca="false">INDEX(Summary!$F$2:$F$201,MATCH($B2473,Summary!$A$2:$A$201,0))</f>
        <v>20</v>
      </c>
      <c r="M2473" s="0" t="n">
        <f aca="false">INDEX(Summary!$I$2:$I$201,MATCH($B2473,Summary!$A$2:$A$201,0))</f>
        <v>2</v>
      </c>
      <c r="N2473" s="0" t="n">
        <f aca="false">INDEX(Summary!$J$2:$J$201,MATCH($B2473,Summary!$A$2:$A$201,0))</f>
        <v>3</v>
      </c>
      <c r="O2473" s="2" t="n">
        <f aca="false">INDEX(Summary!$K$2:$K$201,MATCH($B2473,Summary!$A$2:$A$201,0))</f>
        <v>8.56</v>
      </c>
      <c r="P2473" s="3" t="n">
        <f aca="false">INDEX(Summary!$L$2:$L$201,MATCH($B2473,Summary!$A$2:$A$201,0))</f>
        <v>2</v>
      </c>
      <c r="Q2473" s="3" t="n">
        <f aca="false">INDEX(Summary!$M$2:$M$201,MATCH($B2473,Summary!$A$2:$A$201,0))</f>
        <v>4</v>
      </c>
      <c r="R2473" s="2" t="n">
        <f aca="false">INDEX(Summary!$N$2:$N$201,MATCH($B2473,Summary!$A$2:$A$201,0))</f>
        <v>8.92</v>
      </c>
      <c r="S2473" s="3" t="n">
        <f aca="false">INDEX(Summary!$O$2:$O$201,MATCH($B2473,Summary!$A$2:$A$201,0))</f>
        <v>8</v>
      </c>
      <c r="T2473" s="3" t="n">
        <f aca="false">INDEX(Summary!$P$2:$P$201,MATCH($B2473,Summary!$A$2:$A$201,0))</f>
        <v>1</v>
      </c>
      <c r="U2473" s="2" t="n">
        <f aca="false">INDEX(Summary!$Q$2:$Q$201,MATCH($B2473,Summary!$A$2:$A$201,0))</f>
        <v>13.64</v>
      </c>
      <c r="V2473" s="2" t="n">
        <f aca="false">INDEX(Summary!$R$2:$R$201,MATCH($B2473,Summary!$A$2:$A$201,0))</f>
        <v>20.97</v>
      </c>
      <c r="W2473" s="0" t="str">
        <f aca="false">INDEX(Summary!$S$2:$S$201,MATCH($B2473,Summary!$A$2:$A$201,0))</f>
        <v>Silver</v>
      </c>
      <c r="X2473" s="2" t="n">
        <f aca="false">INDEX(Summary!$T$2:$T$201,MATCH($B2473,Summary!$A$2:$A$201,0))</f>
        <v>51.15</v>
      </c>
      <c r="Y2473" s="0" t="str">
        <f aca="false">INDEX('Reward Model'!$E$18:$E$37,MATCH($E2473,'Reward Model'!$A$18:$A$37,0))</f>
        <v>Medium</v>
      </c>
      <c r="Z2473" s="4" t="n">
        <f aca="false">ROUND(MIN(1,MAX('Reward Model'!$B$2,INDEX('Reward Model'!$C$12:$C$14,MATCH($K2473,'Reward Model'!$A$12:$A$14,0))/$J2473)),3)</f>
        <v>1</v>
      </c>
      <c r="AA2473" s="2" t="n">
        <f aca="false">IF($I2473="Correct",ROUND(INDEX('Reward Model'!$B$12:$B$14,MATCH($K2473,'Reward Model'!$A$12:$A$14,0))*Z2473,2),0)</f>
        <v>2</v>
      </c>
      <c r="AB2473" s="2" t="n">
        <f aca="false">IF($I2473="Correct",ROUND(INDEX('Reward Model'!$B$12:$B$14,MATCH($Y2473,'Reward Model'!$A$12:$A$14,0))*Z2473,2),0)</f>
        <v>2</v>
      </c>
    </row>
    <row r="2474" customFormat="false" ht="15" hidden="false" customHeight="false" outlineLevel="0" collapsed="false">
      <c r="A2474" s="0" t="s">
        <v>378</v>
      </c>
      <c r="B2474" s="0" t="s">
        <v>379</v>
      </c>
      <c r="C2474" s="0" t="s">
        <v>322</v>
      </c>
      <c r="D2474" s="0" t="s">
        <v>31</v>
      </c>
      <c r="E2474" s="0" t="n">
        <v>13</v>
      </c>
      <c r="F2474" s="0" t="s">
        <v>66</v>
      </c>
      <c r="G2474" s="0" t="s">
        <v>67</v>
      </c>
      <c r="H2474" s="0" t="s">
        <v>67</v>
      </c>
      <c r="I2474" s="0" t="s">
        <v>34</v>
      </c>
      <c r="J2474" s="0" t="n">
        <v>1.52</v>
      </c>
      <c r="K2474" s="0" t="s">
        <v>60</v>
      </c>
      <c r="L2474" s="0" t="n">
        <f aca="false">INDEX(Summary!$F$2:$F$201,MATCH($B2474,Summary!$A$2:$A$201,0))</f>
        <v>20</v>
      </c>
      <c r="M2474" s="0" t="n">
        <f aca="false">INDEX(Summary!$I$2:$I$201,MATCH($B2474,Summary!$A$2:$A$201,0))</f>
        <v>2</v>
      </c>
      <c r="N2474" s="0" t="n">
        <f aca="false">INDEX(Summary!$J$2:$J$201,MATCH($B2474,Summary!$A$2:$A$201,0))</f>
        <v>3</v>
      </c>
      <c r="O2474" s="2" t="n">
        <f aca="false">INDEX(Summary!$K$2:$K$201,MATCH($B2474,Summary!$A$2:$A$201,0))</f>
        <v>8.56</v>
      </c>
      <c r="P2474" s="3" t="n">
        <f aca="false">INDEX(Summary!$L$2:$L$201,MATCH($B2474,Summary!$A$2:$A$201,0))</f>
        <v>2</v>
      </c>
      <c r="Q2474" s="3" t="n">
        <f aca="false">INDEX(Summary!$M$2:$M$201,MATCH($B2474,Summary!$A$2:$A$201,0))</f>
        <v>4</v>
      </c>
      <c r="R2474" s="2" t="n">
        <f aca="false">INDEX(Summary!$N$2:$N$201,MATCH($B2474,Summary!$A$2:$A$201,0))</f>
        <v>8.92</v>
      </c>
      <c r="S2474" s="3" t="n">
        <f aca="false">INDEX(Summary!$O$2:$O$201,MATCH($B2474,Summary!$A$2:$A$201,0))</f>
        <v>8</v>
      </c>
      <c r="T2474" s="3" t="n">
        <f aca="false">INDEX(Summary!$P$2:$P$201,MATCH($B2474,Summary!$A$2:$A$201,0))</f>
        <v>1</v>
      </c>
      <c r="U2474" s="2" t="n">
        <f aca="false">INDEX(Summary!$Q$2:$Q$201,MATCH($B2474,Summary!$A$2:$A$201,0))</f>
        <v>13.64</v>
      </c>
      <c r="V2474" s="2" t="n">
        <f aca="false">INDEX(Summary!$R$2:$R$201,MATCH($B2474,Summary!$A$2:$A$201,0))</f>
        <v>20.97</v>
      </c>
      <c r="W2474" s="0" t="str">
        <f aca="false">INDEX(Summary!$S$2:$S$201,MATCH($B2474,Summary!$A$2:$A$201,0))</f>
        <v>Silver</v>
      </c>
      <c r="X2474" s="2" t="n">
        <f aca="false">INDEX(Summary!$T$2:$T$201,MATCH($B2474,Summary!$A$2:$A$201,0))</f>
        <v>51.15</v>
      </c>
      <c r="Y2474" s="0" t="str">
        <f aca="false">INDEX('Reward Model'!$E$18:$E$37,MATCH($E2474,'Reward Model'!$A$18:$A$37,0))</f>
        <v>Medium</v>
      </c>
      <c r="Z2474" s="4" t="n">
        <f aca="false">ROUND(MIN(1,MAX('Reward Model'!$B$2,INDEX('Reward Model'!$C$12:$C$14,MATCH($K2474,'Reward Model'!$A$12:$A$14,0))/$J2474)),3)</f>
        <v>1</v>
      </c>
      <c r="AA2474" s="2" t="n">
        <f aca="false">IF($I2474="Correct",ROUND(INDEX('Reward Model'!$B$12:$B$14,MATCH($K2474,'Reward Model'!$A$12:$A$14,0))*Z2474,2),0)</f>
        <v>2</v>
      </c>
      <c r="AB2474" s="2" t="n">
        <f aca="false">IF($I2474="Correct",ROUND(INDEX('Reward Model'!$B$12:$B$14,MATCH($Y2474,'Reward Model'!$A$12:$A$14,0))*Z2474,2),0)</f>
        <v>2</v>
      </c>
    </row>
    <row r="2475" customFormat="false" ht="15" hidden="false" customHeight="false" outlineLevel="0" collapsed="false">
      <c r="A2475" s="0" t="s">
        <v>378</v>
      </c>
      <c r="B2475" s="0" t="s">
        <v>379</v>
      </c>
      <c r="C2475" s="0" t="s">
        <v>322</v>
      </c>
      <c r="D2475" s="0" t="s">
        <v>31</v>
      </c>
      <c r="E2475" s="0" t="n">
        <v>14</v>
      </c>
      <c r="F2475" s="0" t="s">
        <v>68</v>
      </c>
      <c r="G2475" s="0" t="s">
        <v>118</v>
      </c>
      <c r="H2475" s="0" t="s">
        <v>51</v>
      </c>
      <c r="I2475" s="0" t="s">
        <v>39</v>
      </c>
      <c r="J2475" s="0" t="n">
        <v>1.36</v>
      </c>
      <c r="K2475" s="0" t="s">
        <v>60</v>
      </c>
      <c r="L2475" s="0" t="n">
        <f aca="false">INDEX(Summary!$F$2:$F$201,MATCH($B2475,Summary!$A$2:$A$201,0))</f>
        <v>20</v>
      </c>
      <c r="M2475" s="0" t="n">
        <f aca="false">INDEX(Summary!$I$2:$I$201,MATCH($B2475,Summary!$A$2:$A$201,0))</f>
        <v>2</v>
      </c>
      <c r="N2475" s="0" t="n">
        <f aca="false">INDEX(Summary!$J$2:$J$201,MATCH($B2475,Summary!$A$2:$A$201,0))</f>
        <v>3</v>
      </c>
      <c r="O2475" s="2" t="n">
        <f aca="false">INDEX(Summary!$K$2:$K$201,MATCH($B2475,Summary!$A$2:$A$201,0))</f>
        <v>8.56</v>
      </c>
      <c r="P2475" s="3" t="n">
        <f aca="false">INDEX(Summary!$L$2:$L$201,MATCH($B2475,Summary!$A$2:$A$201,0))</f>
        <v>2</v>
      </c>
      <c r="Q2475" s="3" t="n">
        <f aca="false">INDEX(Summary!$M$2:$M$201,MATCH($B2475,Summary!$A$2:$A$201,0))</f>
        <v>4</v>
      </c>
      <c r="R2475" s="2" t="n">
        <f aca="false">INDEX(Summary!$N$2:$N$201,MATCH($B2475,Summary!$A$2:$A$201,0))</f>
        <v>8.92</v>
      </c>
      <c r="S2475" s="3" t="n">
        <f aca="false">INDEX(Summary!$O$2:$O$201,MATCH($B2475,Summary!$A$2:$A$201,0))</f>
        <v>8</v>
      </c>
      <c r="T2475" s="3" t="n">
        <f aca="false">INDEX(Summary!$P$2:$P$201,MATCH($B2475,Summary!$A$2:$A$201,0))</f>
        <v>1</v>
      </c>
      <c r="U2475" s="2" t="n">
        <f aca="false">INDEX(Summary!$Q$2:$Q$201,MATCH($B2475,Summary!$A$2:$A$201,0))</f>
        <v>13.64</v>
      </c>
      <c r="V2475" s="2" t="n">
        <f aca="false">INDEX(Summary!$R$2:$R$201,MATCH($B2475,Summary!$A$2:$A$201,0))</f>
        <v>20.97</v>
      </c>
      <c r="W2475" s="0" t="str">
        <f aca="false">INDEX(Summary!$S$2:$S$201,MATCH($B2475,Summary!$A$2:$A$201,0))</f>
        <v>Silver</v>
      </c>
      <c r="X2475" s="2" t="n">
        <f aca="false">INDEX(Summary!$T$2:$T$201,MATCH($B2475,Summary!$A$2:$A$201,0))</f>
        <v>51.15</v>
      </c>
      <c r="Y2475" s="0" t="str">
        <f aca="false">INDEX('Reward Model'!$E$18:$E$37,MATCH($E2475,'Reward Model'!$A$18:$A$37,0))</f>
        <v>Medium</v>
      </c>
      <c r="Z2475" s="4" t="n">
        <f aca="false">ROUND(MIN(1,MAX('Reward Model'!$B$2,INDEX('Reward Model'!$C$12:$C$14,MATCH($K2475,'Reward Model'!$A$12:$A$14,0))/$J2475)),3)</f>
        <v>1</v>
      </c>
      <c r="AA2475" s="2" t="n">
        <f aca="false">IF($I2475="Correct",ROUND(INDEX('Reward Model'!$B$12:$B$14,MATCH($K2475,'Reward Model'!$A$12:$A$14,0))*Z2475,2),0)</f>
        <v>0</v>
      </c>
      <c r="AB2475" s="2" t="n">
        <f aca="false">IF($I2475="Correct",ROUND(INDEX('Reward Model'!$B$12:$B$14,MATCH($Y2475,'Reward Model'!$A$12:$A$14,0))*Z2475,2),0)</f>
        <v>0</v>
      </c>
    </row>
    <row r="2476" customFormat="false" ht="15" hidden="false" customHeight="false" outlineLevel="0" collapsed="false">
      <c r="A2476" s="0" t="s">
        <v>378</v>
      </c>
      <c r="B2476" s="0" t="s">
        <v>379</v>
      </c>
      <c r="C2476" s="0" t="s">
        <v>322</v>
      </c>
      <c r="D2476" s="0" t="s">
        <v>31</v>
      </c>
      <c r="E2476" s="0" t="n">
        <v>15</v>
      </c>
      <c r="F2476" s="0" t="s">
        <v>69</v>
      </c>
      <c r="G2476" s="0" t="s">
        <v>94</v>
      </c>
      <c r="H2476" s="0" t="s">
        <v>70</v>
      </c>
      <c r="I2476" s="0" t="s">
        <v>39</v>
      </c>
      <c r="J2476" s="0" t="n">
        <v>2.07</v>
      </c>
      <c r="K2476" s="0" t="s">
        <v>60</v>
      </c>
      <c r="L2476" s="0" t="n">
        <f aca="false">INDEX(Summary!$F$2:$F$201,MATCH($B2476,Summary!$A$2:$A$201,0))</f>
        <v>20</v>
      </c>
      <c r="M2476" s="0" t="n">
        <f aca="false">INDEX(Summary!$I$2:$I$201,MATCH($B2476,Summary!$A$2:$A$201,0))</f>
        <v>2</v>
      </c>
      <c r="N2476" s="0" t="n">
        <f aca="false">INDEX(Summary!$J$2:$J$201,MATCH($B2476,Summary!$A$2:$A$201,0))</f>
        <v>3</v>
      </c>
      <c r="O2476" s="2" t="n">
        <f aca="false">INDEX(Summary!$K$2:$K$201,MATCH($B2476,Summary!$A$2:$A$201,0))</f>
        <v>8.56</v>
      </c>
      <c r="P2476" s="3" t="n">
        <f aca="false">INDEX(Summary!$L$2:$L$201,MATCH($B2476,Summary!$A$2:$A$201,0))</f>
        <v>2</v>
      </c>
      <c r="Q2476" s="3" t="n">
        <f aca="false">INDEX(Summary!$M$2:$M$201,MATCH($B2476,Summary!$A$2:$A$201,0))</f>
        <v>4</v>
      </c>
      <c r="R2476" s="2" t="n">
        <f aca="false">INDEX(Summary!$N$2:$N$201,MATCH($B2476,Summary!$A$2:$A$201,0))</f>
        <v>8.92</v>
      </c>
      <c r="S2476" s="3" t="n">
        <f aca="false">INDEX(Summary!$O$2:$O$201,MATCH($B2476,Summary!$A$2:$A$201,0))</f>
        <v>8</v>
      </c>
      <c r="T2476" s="3" t="n">
        <f aca="false">INDEX(Summary!$P$2:$P$201,MATCH($B2476,Summary!$A$2:$A$201,0))</f>
        <v>1</v>
      </c>
      <c r="U2476" s="2" t="n">
        <f aca="false">INDEX(Summary!$Q$2:$Q$201,MATCH($B2476,Summary!$A$2:$A$201,0))</f>
        <v>13.64</v>
      </c>
      <c r="V2476" s="2" t="n">
        <f aca="false">INDEX(Summary!$R$2:$R$201,MATCH($B2476,Summary!$A$2:$A$201,0))</f>
        <v>20.97</v>
      </c>
      <c r="W2476" s="0" t="str">
        <f aca="false">INDEX(Summary!$S$2:$S$201,MATCH($B2476,Summary!$A$2:$A$201,0))</f>
        <v>Silver</v>
      </c>
      <c r="X2476" s="2" t="n">
        <f aca="false">INDEX(Summary!$T$2:$T$201,MATCH($B2476,Summary!$A$2:$A$201,0))</f>
        <v>51.15</v>
      </c>
      <c r="Y2476" s="0" t="str">
        <f aca="false">INDEX('Reward Model'!$E$18:$E$37,MATCH($E2476,'Reward Model'!$A$18:$A$37,0))</f>
        <v>Medium</v>
      </c>
      <c r="Z2476" s="4" t="n">
        <f aca="false">ROUND(MIN(1,MAX('Reward Model'!$B$2,INDEX('Reward Model'!$C$12:$C$14,MATCH($K2476,'Reward Model'!$A$12:$A$14,0))/$J2476)),3)</f>
        <v>0.87</v>
      </c>
      <c r="AA2476" s="2" t="n">
        <f aca="false">IF($I2476="Correct",ROUND(INDEX('Reward Model'!$B$12:$B$14,MATCH($K2476,'Reward Model'!$A$12:$A$14,0))*Z2476,2),0)</f>
        <v>0</v>
      </c>
      <c r="AB2476" s="2" t="n">
        <f aca="false">IF($I2476="Correct",ROUND(INDEX('Reward Model'!$B$12:$B$14,MATCH($Y2476,'Reward Model'!$A$12:$A$14,0))*Z2476,2),0)</f>
        <v>0</v>
      </c>
    </row>
    <row r="2477" customFormat="false" ht="15" hidden="false" customHeight="false" outlineLevel="0" collapsed="false">
      <c r="A2477" s="0" t="s">
        <v>378</v>
      </c>
      <c r="B2477" s="0" t="s">
        <v>379</v>
      </c>
      <c r="C2477" s="0" t="s">
        <v>322</v>
      </c>
      <c r="D2477" s="0" t="s">
        <v>31</v>
      </c>
      <c r="E2477" s="0" t="n">
        <v>16</v>
      </c>
      <c r="F2477" s="0" t="s">
        <v>71</v>
      </c>
      <c r="G2477" s="0" t="s">
        <v>101</v>
      </c>
      <c r="H2477" s="0" t="s">
        <v>72</v>
      </c>
      <c r="I2477" s="0" t="s">
        <v>39</v>
      </c>
      <c r="J2477" s="0" t="n">
        <v>1.99</v>
      </c>
      <c r="K2477" s="0" t="s">
        <v>73</v>
      </c>
      <c r="L2477" s="0" t="n">
        <f aca="false">INDEX(Summary!$F$2:$F$201,MATCH($B2477,Summary!$A$2:$A$201,0))</f>
        <v>20</v>
      </c>
      <c r="M2477" s="0" t="n">
        <f aca="false">INDEX(Summary!$I$2:$I$201,MATCH($B2477,Summary!$A$2:$A$201,0))</f>
        <v>2</v>
      </c>
      <c r="N2477" s="0" t="n">
        <f aca="false">INDEX(Summary!$J$2:$J$201,MATCH($B2477,Summary!$A$2:$A$201,0))</f>
        <v>3</v>
      </c>
      <c r="O2477" s="2" t="n">
        <f aca="false">INDEX(Summary!$K$2:$K$201,MATCH($B2477,Summary!$A$2:$A$201,0))</f>
        <v>8.56</v>
      </c>
      <c r="P2477" s="3" t="n">
        <f aca="false">INDEX(Summary!$L$2:$L$201,MATCH($B2477,Summary!$A$2:$A$201,0))</f>
        <v>2</v>
      </c>
      <c r="Q2477" s="3" t="n">
        <f aca="false">INDEX(Summary!$M$2:$M$201,MATCH($B2477,Summary!$A$2:$A$201,0))</f>
        <v>4</v>
      </c>
      <c r="R2477" s="2" t="n">
        <f aca="false">INDEX(Summary!$N$2:$N$201,MATCH($B2477,Summary!$A$2:$A$201,0))</f>
        <v>8.92</v>
      </c>
      <c r="S2477" s="3" t="n">
        <f aca="false">INDEX(Summary!$O$2:$O$201,MATCH($B2477,Summary!$A$2:$A$201,0))</f>
        <v>8</v>
      </c>
      <c r="T2477" s="3" t="n">
        <f aca="false">INDEX(Summary!$P$2:$P$201,MATCH($B2477,Summary!$A$2:$A$201,0))</f>
        <v>1</v>
      </c>
      <c r="U2477" s="2" t="n">
        <f aca="false">INDEX(Summary!$Q$2:$Q$201,MATCH($B2477,Summary!$A$2:$A$201,0))</f>
        <v>13.64</v>
      </c>
      <c r="V2477" s="2" t="n">
        <f aca="false">INDEX(Summary!$R$2:$R$201,MATCH($B2477,Summary!$A$2:$A$201,0))</f>
        <v>20.97</v>
      </c>
      <c r="W2477" s="0" t="str">
        <f aca="false">INDEX(Summary!$S$2:$S$201,MATCH($B2477,Summary!$A$2:$A$201,0))</f>
        <v>Silver</v>
      </c>
      <c r="X2477" s="2" t="n">
        <f aca="false">INDEX(Summary!$T$2:$T$201,MATCH($B2477,Summary!$A$2:$A$201,0))</f>
        <v>51.15</v>
      </c>
      <c r="Y2477" s="0" t="str">
        <f aca="false">INDEX('Reward Model'!$E$18:$E$37,MATCH($E2477,'Reward Model'!$A$18:$A$37,0))</f>
        <v>High</v>
      </c>
      <c r="Z2477" s="4" t="n">
        <f aca="false">ROUND(MIN(1,MAX('Reward Model'!$B$2,INDEX('Reward Model'!$C$12:$C$14,MATCH($K2477,'Reward Model'!$A$12:$A$14,0))/$J2477)),3)</f>
        <v>1</v>
      </c>
      <c r="AA2477" s="2" t="n">
        <f aca="false">IF($I2477="Correct",ROUND(INDEX('Reward Model'!$B$12:$B$14,MATCH($K2477,'Reward Model'!$A$12:$A$14,0))*Z2477,2),0)</f>
        <v>0</v>
      </c>
      <c r="AB2477" s="2" t="n">
        <f aca="false">IF($I2477="Correct",ROUND(INDEX('Reward Model'!$B$12:$B$14,MATCH($Y2477,'Reward Model'!$A$12:$A$14,0))*Z2477,2),0)</f>
        <v>0</v>
      </c>
    </row>
    <row r="2478" customFormat="false" ht="15" hidden="false" customHeight="false" outlineLevel="0" collapsed="false">
      <c r="A2478" s="0" t="s">
        <v>378</v>
      </c>
      <c r="B2478" s="0" t="s">
        <v>379</v>
      </c>
      <c r="C2478" s="0" t="s">
        <v>322</v>
      </c>
      <c r="D2478" s="0" t="s">
        <v>31</v>
      </c>
      <c r="E2478" s="0" t="n">
        <v>17</v>
      </c>
      <c r="F2478" s="0" t="s">
        <v>74</v>
      </c>
      <c r="G2478" s="0" t="s">
        <v>91</v>
      </c>
      <c r="H2478" s="0" t="s">
        <v>75</v>
      </c>
      <c r="I2478" s="0" t="s">
        <v>39</v>
      </c>
      <c r="J2478" s="0" t="n">
        <v>1.28</v>
      </c>
      <c r="K2478" s="0" t="s">
        <v>73</v>
      </c>
      <c r="L2478" s="0" t="n">
        <f aca="false">INDEX(Summary!$F$2:$F$201,MATCH($B2478,Summary!$A$2:$A$201,0))</f>
        <v>20</v>
      </c>
      <c r="M2478" s="0" t="n">
        <f aca="false">INDEX(Summary!$I$2:$I$201,MATCH($B2478,Summary!$A$2:$A$201,0))</f>
        <v>2</v>
      </c>
      <c r="N2478" s="0" t="n">
        <f aca="false">INDEX(Summary!$J$2:$J$201,MATCH($B2478,Summary!$A$2:$A$201,0))</f>
        <v>3</v>
      </c>
      <c r="O2478" s="2" t="n">
        <f aca="false">INDEX(Summary!$K$2:$K$201,MATCH($B2478,Summary!$A$2:$A$201,0))</f>
        <v>8.56</v>
      </c>
      <c r="P2478" s="3" t="n">
        <f aca="false">INDEX(Summary!$L$2:$L$201,MATCH($B2478,Summary!$A$2:$A$201,0))</f>
        <v>2</v>
      </c>
      <c r="Q2478" s="3" t="n">
        <f aca="false">INDEX(Summary!$M$2:$M$201,MATCH($B2478,Summary!$A$2:$A$201,0))</f>
        <v>4</v>
      </c>
      <c r="R2478" s="2" t="n">
        <f aca="false">INDEX(Summary!$N$2:$N$201,MATCH($B2478,Summary!$A$2:$A$201,0))</f>
        <v>8.92</v>
      </c>
      <c r="S2478" s="3" t="n">
        <f aca="false">INDEX(Summary!$O$2:$O$201,MATCH($B2478,Summary!$A$2:$A$201,0))</f>
        <v>8</v>
      </c>
      <c r="T2478" s="3" t="n">
        <f aca="false">INDEX(Summary!$P$2:$P$201,MATCH($B2478,Summary!$A$2:$A$201,0))</f>
        <v>1</v>
      </c>
      <c r="U2478" s="2" t="n">
        <f aca="false">INDEX(Summary!$Q$2:$Q$201,MATCH($B2478,Summary!$A$2:$A$201,0))</f>
        <v>13.64</v>
      </c>
      <c r="V2478" s="2" t="n">
        <f aca="false">INDEX(Summary!$R$2:$R$201,MATCH($B2478,Summary!$A$2:$A$201,0))</f>
        <v>20.97</v>
      </c>
      <c r="W2478" s="0" t="str">
        <f aca="false">INDEX(Summary!$S$2:$S$201,MATCH($B2478,Summary!$A$2:$A$201,0))</f>
        <v>Silver</v>
      </c>
      <c r="X2478" s="2" t="n">
        <f aca="false">INDEX(Summary!$T$2:$T$201,MATCH($B2478,Summary!$A$2:$A$201,0))</f>
        <v>51.15</v>
      </c>
      <c r="Y2478" s="0" t="str">
        <f aca="false">INDEX('Reward Model'!$E$18:$E$37,MATCH($E2478,'Reward Model'!$A$18:$A$37,0))</f>
        <v>High</v>
      </c>
      <c r="Z2478" s="4" t="n">
        <f aca="false">ROUND(MIN(1,MAX('Reward Model'!$B$2,INDEX('Reward Model'!$C$12:$C$14,MATCH($K2478,'Reward Model'!$A$12:$A$14,0))/$J2478)),3)</f>
        <v>1</v>
      </c>
      <c r="AA2478" s="2" t="n">
        <f aca="false">IF($I2478="Correct",ROUND(INDEX('Reward Model'!$B$12:$B$14,MATCH($K2478,'Reward Model'!$A$12:$A$14,0))*Z2478,2),0)</f>
        <v>0</v>
      </c>
      <c r="AB2478" s="2" t="n">
        <f aca="false">IF($I2478="Correct",ROUND(INDEX('Reward Model'!$B$12:$B$14,MATCH($Y2478,'Reward Model'!$A$12:$A$14,0))*Z2478,2),0)</f>
        <v>0</v>
      </c>
    </row>
    <row r="2479" customFormat="false" ht="15" hidden="false" customHeight="false" outlineLevel="0" collapsed="false">
      <c r="A2479" s="0" t="s">
        <v>378</v>
      </c>
      <c r="B2479" s="0" t="s">
        <v>379</v>
      </c>
      <c r="C2479" s="0" t="s">
        <v>322</v>
      </c>
      <c r="D2479" s="0" t="s">
        <v>31</v>
      </c>
      <c r="E2479" s="0" t="n">
        <v>18</v>
      </c>
      <c r="F2479" s="0" t="s">
        <v>76</v>
      </c>
      <c r="G2479" s="0" t="s">
        <v>88</v>
      </c>
      <c r="H2479" s="0" t="s">
        <v>77</v>
      </c>
      <c r="I2479" s="0" t="s">
        <v>39</v>
      </c>
      <c r="J2479" s="0" t="n">
        <v>1.79</v>
      </c>
      <c r="K2479" s="0" t="s">
        <v>73</v>
      </c>
      <c r="L2479" s="0" t="n">
        <f aca="false">INDEX(Summary!$F$2:$F$201,MATCH($B2479,Summary!$A$2:$A$201,0))</f>
        <v>20</v>
      </c>
      <c r="M2479" s="0" t="n">
        <f aca="false">INDEX(Summary!$I$2:$I$201,MATCH($B2479,Summary!$A$2:$A$201,0))</f>
        <v>2</v>
      </c>
      <c r="N2479" s="0" t="n">
        <f aca="false">INDEX(Summary!$J$2:$J$201,MATCH($B2479,Summary!$A$2:$A$201,0))</f>
        <v>3</v>
      </c>
      <c r="O2479" s="2" t="n">
        <f aca="false">INDEX(Summary!$K$2:$K$201,MATCH($B2479,Summary!$A$2:$A$201,0))</f>
        <v>8.56</v>
      </c>
      <c r="P2479" s="3" t="n">
        <f aca="false">INDEX(Summary!$L$2:$L$201,MATCH($B2479,Summary!$A$2:$A$201,0))</f>
        <v>2</v>
      </c>
      <c r="Q2479" s="3" t="n">
        <f aca="false">INDEX(Summary!$M$2:$M$201,MATCH($B2479,Summary!$A$2:$A$201,0))</f>
        <v>4</v>
      </c>
      <c r="R2479" s="2" t="n">
        <f aca="false">INDEX(Summary!$N$2:$N$201,MATCH($B2479,Summary!$A$2:$A$201,0))</f>
        <v>8.92</v>
      </c>
      <c r="S2479" s="3" t="n">
        <f aca="false">INDEX(Summary!$O$2:$O$201,MATCH($B2479,Summary!$A$2:$A$201,0))</f>
        <v>8</v>
      </c>
      <c r="T2479" s="3" t="n">
        <f aca="false">INDEX(Summary!$P$2:$P$201,MATCH($B2479,Summary!$A$2:$A$201,0))</f>
        <v>1</v>
      </c>
      <c r="U2479" s="2" t="n">
        <f aca="false">INDEX(Summary!$Q$2:$Q$201,MATCH($B2479,Summary!$A$2:$A$201,0))</f>
        <v>13.64</v>
      </c>
      <c r="V2479" s="2" t="n">
        <f aca="false">INDEX(Summary!$R$2:$R$201,MATCH($B2479,Summary!$A$2:$A$201,0))</f>
        <v>20.97</v>
      </c>
      <c r="W2479" s="0" t="str">
        <f aca="false">INDEX(Summary!$S$2:$S$201,MATCH($B2479,Summary!$A$2:$A$201,0))</f>
        <v>Silver</v>
      </c>
      <c r="X2479" s="2" t="n">
        <f aca="false">INDEX(Summary!$T$2:$T$201,MATCH($B2479,Summary!$A$2:$A$201,0))</f>
        <v>51.15</v>
      </c>
      <c r="Y2479" s="0" t="str">
        <f aca="false">INDEX('Reward Model'!$E$18:$E$37,MATCH($E2479,'Reward Model'!$A$18:$A$37,0))</f>
        <v>High</v>
      </c>
      <c r="Z2479" s="4" t="n">
        <f aca="false">ROUND(MIN(1,MAX('Reward Model'!$B$2,INDEX('Reward Model'!$C$12:$C$14,MATCH($K2479,'Reward Model'!$A$12:$A$14,0))/$J2479)),3)</f>
        <v>1</v>
      </c>
      <c r="AA2479" s="2" t="n">
        <f aca="false">IF($I2479="Correct",ROUND(INDEX('Reward Model'!$B$12:$B$14,MATCH($K2479,'Reward Model'!$A$12:$A$14,0))*Z2479,2),0)</f>
        <v>0</v>
      </c>
      <c r="AB2479" s="2" t="n">
        <f aca="false">IF($I2479="Correct",ROUND(INDEX('Reward Model'!$B$12:$B$14,MATCH($Y2479,'Reward Model'!$A$12:$A$14,0))*Z2479,2),0)</f>
        <v>0</v>
      </c>
    </row>
    <row r="2480" customFormat="false" ht="15" hidden="false" customHeight="false" outlineLevel="0" collapsed="false">
      <c r="A2480" s="0" t="s">
        <v>378</v>
      </c>
      <c r="B2480" s="0" t="s">
        <v>379</v>
      </c>
      <c r="C2480" s="0" t="s">
        <v>322</v>
      </c>
      <c r="D2480" s="0" t="s">
        <v>31</v>
      </c>
      <c r="E2480" s="0" t="n">
        <v>19</v>
      </c>
      <c r="F2480" s="0" t="s">
        <v>78</v>
      </c>
      <c r="G2480" s="0" t="s">
        <v>80</v>
      </c>
      <c r="H2480" s="0" t="s">
        <v>80</v>
      </c>
      <c r="I2480" s="0" t="s">
        <v>34</v>
      </c>
      <c r="J2480" s="0" t="n">
        <v>1.61</v>
      </c>
      <c r="K2480" s="0" t="s">
        <v>73</v>
      </c>
      <c r="L2480" s="0" t="n">
        <f aca="false">INDEX(Summary!$F$2:$F$201,MATCH($B2480,Summary!$A$2:$A$201,0))</f>
        <v>20</v>
      </c>
      <c r="M2480" s="0" t="n">
        <f aca="false">INDEX(Summary!$I$2:$I$201,MATCH($B2480,Summary!$A$2:$A$201,0))</f>
        <v>2</v>
      </c>
      <c r="N2480" s="0" t="n">
        <f aca="false">INDEX(Summary!$J$2:$J$201,MATCH($B2480,Summary!$A$2:$A$201,0))</f>
        <v>3</v>
      </c>
      <c r="O2480" s="2" t="n">
        <f aca="false">INDEX(Summary!$K$2:$K$201,MATCH($B2480,Summary!$A$2:$A$201,0))</f>
        <v>8.56</v>
      </c>
      <c r="P2480" s="3" t="n">
        <f aca="false">INDEX(Summary!$L$2:$L$201,MATCH($B2480,Summary!$A$2:$A$201,0))</f>
        <v>2</v>
      </c>
      <c r="Q2480" s="3" t="n">
        <f aca="false">INDEX(Summary!$M$2:$M$201,MATCH($B2480,Summary!$A$2:$A$201,0))</f>
        <v>4</v>
      </c>
      <c r="R2480" s="2" t="n">
        <f aca="false">INDEX(Summary!$N$2:$N$201,MATCH($B2480,Summary!$A$2:$A$201,0))</f>
        <v>8.92</v>
      </c>
      <c r="S2480" s="3" t="n">
        <f aca="false">INDEX(Summary!$O$2:$O$201,MATCH($B2480,Summary!$A$2:$A$201,0))</f>
        <v>8</v>
      </c>
      <c r="T2480" s="3" t="n">
        <f aca="false">INDEX(Summary!$P$2:$P$201,MATCH($B2480,Summary!$A$2:$A$201,0))</f>
        <v>1</v>
      </c>
      <c r="U2480" s="2" t="n">
        <f aca="false">INDEX(Summary!$Q$2:$Q$201,MATCH($B2480,Summary!$A$2:$A$201,0))</f>
        <v>13.64</v>
      </c>
      <c r="V2480" s="2" t="n">
        <f aca="false">INDEX(Summary!$R$2:$R$201,MATCH($B2480,Summary!$A$2:$A$201,0))</f>
        <v>20.97</v>
      </c>
      <c r="W2480" s="0" t="str">
        <f aca="false">INDEX(Summary!$S$2:$S$201,MATCH($B2480,Summary!$A$2:$A$201,0))</f>
        <v>Silver</v>
      </c>
      <c r="X2480" s="2" t="n">
        <f aca="false">INDEX(Summary!$T$2:$T$201,MATCH($B2480,Summary!$A$2:$A$201,0))</f>
        <v>51.15</v>
      </c>
      <c r="Y2480" s="0" t="str">
        <f aca="false">INDEX('Reward Model'!$E$18:$E$37,MATCH($E2480,'Reward Model'!$A$18:$A$37,0))</f>
        <v>High</v>
      </c>
      <c r="Z2480" s="4" t="n">
        <f aca="false">ROUND(MIN(1,MAX('Reward Model'!$B$2,INDEX('Reward Model'!$C$12:$C$14,MATCH($K2480,'Reward Model'!$A$12:$A$14,0))/$J2480)),3)</f>
        <v>1</v>
      </c>
      <c r="AA2480" s="2" t="n">
        <f aca="false">IF($I2480="Correct",ROUND(INDEX('Reward Model'!$B$12:$B$14,MATCH($K2480,'Reward Model'!$A$12:$A$14,0))*Z2480,2),0)</f>
        <v>3</v>
      </c>
      <c r="AB2480" s="2" t="n">
        <f aca="false">IF($I2480="Correct",ROUND(INDEX('Reward Model'!$B$12:$B$14,MATCH($Y2480,'Reward Model'!$A$12:$A$14,0))*Z2480,2),0)</f>
        <v>3</v>
      </c>
    </row>
    <row r="2481" customFormat="false" ht="15" hidden="false" customHeight="false" outlineLevel="0" collapsed="false">
      <c r="A2481" s="0" t="s">
        <v>378</v>
      </c>
      <c r="B2481" s="0" t="s">
        <v>379</v>
      </c>
      <c r="C2481" s="0" t="s">
        <v>322</v>
      </c>
      <c r="D2481" s="0" t="s">
        <v>31</v>
      </c>
      <c r="E2481" s="0" t="n">
        <v>20</v>
      </c>
      <c r="F2481" s="0" t="s">
        <v>81</v>
      </c>
      <c r="G2481" s="0" t="s">
        <v>83</v>
      </c>
      <c r="H2481" s="0" t="s">
        <v>83</v>
      </c>
      <c r="I2481" s="0" t="s">
        <v>34</v>
      </c>
      <c r="J2481" s="0" t="n">
        <v>1.89</v>
      </c>
      <c r="K2481" s="0" t="s">
        <v>73</v>
      </c>
      <c r="L2481" s="0" t="n">
        <f aca="false">INDEX(Summary!$F$2:$F$201,MATCH($B2481,Summary!$A$2:$A$201,0))</f>
        <v>20</v>
      </c>
      <c r="M2481" s="0" t="n">
        <f aca="false">INDEX(Summary!$I$2:$I$201,MATCH($B2481,Summary!$A$2:$A$201,0))</f>
        <v>2</v>
      </c>
      <c r="N2481" s="0" t="n">
        <f aca="false">INDEX(Summary!$J$2:$J$201,MATCH($B2481,Summary!$A$2:$A$201,0))</f>
        <v>3</v>
      </c>
      <c r="O2481" s="2" t="n">
        <f aca="false">INDEX(Summary!$K$2:$K$201,MATCH($B2481,Summary!$A$2:$A$201,0))</f>
        <v>8.56</v>
      </c>
      <c r="P2481" s="3" t="n">
        <f aca="false">INDEX(Summary!$L$2:$L$201,MATCH($B2481,Summary!$A$2:$A$201,0))</f>
        <v>2</v>
      </c>
      <c r="Q2481" s="3" t="n">
        <f aca="false">INDEX(Summary!$M$2:$M$201,MATCH($B2481,Summary!$A$2:$A$201,0))</f>
        <v>4</v>
      </c>
      <c r="R2481" s="2" t="n">
        <f aca="false">INDEX(Summary!$N$2:$N$201,MATCH($B2481,Summary!$A$2:$A$201,0))</f>
        <v>8.92</v>
      </c>
      <c r="S2481" s="3" t="n">
        <f aca="false">INDEX(Summary!$O$2:$O$201,MATCH($B2481,Summary!$A$2:$A$201,0))</f>
        <v>8</v>
      </c>
      <c r="T2481" s="3" t="n">
        <f aca="false">INDEX(Summary!$P$2:$P$201,MATCH($B2481,Summary!$A$2:$A$201,0))</f>
        <v>1</v>
      </c>
      <c r="U2481" s="2" t="n">
        <f aca="false">INDEX(Summary!$Q$2:$Q$201,MATCH($B2481,Summary!$A$2:$A$201,0))</f>
        <v>13.64</v>
      </c>
      <c r="V2481" s="2" t="n">
        <f aca="false">INDEX(Summary!$R$2:$R$201,MATCH($B2481,Summary!$A$2:$A$201,0))</f>
        <v>20.97</v>
      </c>
      <c r="W2481" s="0" t="str">
        <f aca="false">INDEX(Summary!$S$2:$S$201,MATCH($B2481,Summary!$A$2:$A$201,0))</f>
        <v>Silver</v>
      </c>
      <c r="X2481" s="2" t="n">
        <f aca="false">INDEX(Summary!$T$2:$T$201,MATCH($B2481,Summary!$A$2:$A$201,0))</f>
        <v>51.15</v>
      </c>
      <c r="Y2481" s="0" t="str">
        <f aca="false">INDEX('Reward Model'!$E$18:$E$37,MATCH($E2481,'Reward Model'!$A$18:$A$37,0))</f>
        <v>High</v>
      </c>
      <c r="Z2481" s="4" t="n">
        <f aca="false">ROUND(MIN(1,MAX('Reward Model'!$B$2,INDEX('Reward Model'!$C$12:$C$14,MATCH($K2481,'Reward Model'!$A$12:$A$14,0))/$J2481)),3)</f>
        <v>1</v>
      </c>
      <c r="AA2481" s="2" t="n">
        <f aca="false">IF($I2481="Correct",ROUND(INDEX('Reward Model'!$B$12:$B$14,MATCH($K2481,'Reward Model'!$A$12:$A$14,0))*Z2481,2),0)</f>
        <v>3</v>
      </c>
      <c r="AB2481" s="2" t="n">
        <f aca="false">IF($I2481="Correct",ROUND(INDEX('Reward Model'!$B$12:$B$14,MATCH($Y2481,'Reward Model'!$A$12:$A$14,0))*Z2481,2),0)</f>
        <v>3</v>
      </c>
    </row>
    <row r="2482" customFormat="false" ht="15" hidden="false" customHeight="false" outlineLevel="0" collapsed="false">
      <c r="A2482" s="0" t="s">
        <v>380</v>
      </c>
      <c r="B2482" s="0" t="s">
        <v>381</v>
      </c>
      <c r="C2482" s="0" t="s">
        <v>322</v>
      </c>
      <c r="D2482" s="0" t="s">
        <v>31</v>
      </c>
      <c r="E2482" s="0" t="n">
        <v>1</v>
      </c>
      <c r="F2482" s="0" t="s">
        <v>32</v>
      </c>
      <c r="G2482" s="0" t="s">
        <v>91</v>
      </c>
      <c r="H2482" s="0" t="s">
        <v>33</v>
      </c>
      <c r="I2482" s="0" t="s">
        <v>39</v>
      </c>
      <c r="J2482" s="0" t="n">
        <v>1.24</v>
      </c>
      <c r="K2482" s="0" t="s">
        <v>35</v>
      </c>
      <c r="L2482" s="0" t="n">
        <f aca="false">INDEX(Summary!$F$2:$F$201,MATCH($B2482,Summary!$A$2:$A$201,0))</f>
        <v>20</v>
      </c>
      <c r="M2482" s="0" t="n">
        <f aca="false">INDEX(Summary!$I$2:$I$201,MATCH($B2482,Summary!$A$2:$A$201,0))</f>
        <v>3</v>
      </c>
      <c r="N2482" s="0" t="n">
        <f aca="false">INDEX(Summary!$J$2:$J$201,MATCH($B2482,Summary!$A$2:$A$201,0))</f>
        <v>2</v>
      </c>
      <c r="O2482" s="2" t="n">
        <f aca="false">INDEX(Summary!$K$2:$K$201,MATCH($B2482,Summary!$A$2:$A$201,0))</f>
        <v>8.45</v>
      </c>
      <c r="P2482" s="3" t="n">
        <f aca="false">INDEX(Summary!$L$2:$L$201,MATCH($B2482,Summary!$A$2:$A$201,0))</f>
        <v>4</v>
      </c>
      <c r="Q2482" s="3" t="n">
        <f aca="false">INDEX(Summary!$M$2:$M$201,MATCH($B2482,Summary!$A$2:$A$201,0))</f>
        <v>2</v>
      </c>
      <c r="R2482" s="2" t="n">
        <f aca="false">INDEX(Summary!$N$2:$N$201,MATCH($B2482,Summary!$A$2:$A$201,0))</f>
        <v>9.86</v>
      </c>
      <c r="S2482" s="3" t="n">
        <f aca="false">INDEX(Summary!$O$2:$O$201,MATCH($B2482,Summary!$A$2:$A$201,0))</f>
        <v>7</v>
      </c>
      <c r="T2482" s="3" t="n">
        <f aca="false">INDEX(Summary!$P$2:$P$201,MATCH($B2482,Summary!$A$2:$A$201,0))</f>
        <v>2</v>
      </c>
      <c r="U2482" s="2" t="n">
        <f aca="false">INDEX(Summary!$Q$2:$Q$201,MATCH($B2482,Summary!$A$2:$A$201,0))</f>
        <v>13.65</v>
      </c>
      <c r="V2482" s="2" t="n">
        <f aca="false">INDEX(Summary!$R$2:$R$201,MATCH($B2482,Summary!$A$2:$A$201,0))</f>
        <v>25.52</v>
      </c>
      <c r="W2482" s="0" t="str">
        <f aca="false">INDEX(Summary!$S$2:$S$201,MATCH($B2482,Summary!$A$2:$A$201,0))</f>
        <v>Silver</v>
      </c>
      <c r="X2482" s="2" t="n">
        <f aca="false">INDEX(Summary!$T$2:$T$201,MATCH($B2482,Summary!$A$2:$A$201,0))</f>
        <v>62.24</v>
      </c>
      <c r="Y2482" s="0" t="str">
        <f aca="false">INDEX('Reward Model'!$E$18:$E$37,MATCH($E2482,'Reward Model'!$A$18:$A$37,0))</f>
        <v>Medium</v>
      </c>
      <c r="Z2482" s="4" t="n">
        <f aca="false">ROUND(MIN(1,MAX('Reward Model'!$B$2,INDEX('Reward Model'!$C$12:$C$14,MATCH($K2482,'Reward Model'!$A$12:$A$14,0))/$J2482)),3)</f>
        <v>1</v>
      </c>
      <c r="AA2482" s="2" t="n">
        <f aca="false">IF($I2482="Correct",ROUND(INDEX('Reward Model'!$B$12:$B$14,MATCH($K2482,'Reward Model'!$A$12:$A$14,0))*Z2482,2),0)</f>
        <v>0</v>
      </c>
      <c r="AB2482" s="2" t="n">
        <f aca="false">IF($I2482="Correct",ROUND(INDEX('Reward Model'!$B$12:$B$14,MATCH($Y2482,'Reward Model'!$A$12:$A$14,0))*Z2482,2),0)</f>
        <v>0</v>
      </c>
    </row>
    <row r="2483" customFormat="false" ht="15" hidden="false" customHeight="false" outlineLevel="0" collapsed="false">
      <c r="A2483" s="0" t="s">
        <v>380</v>
      </c>
      <c r="B2483" s="0" t="s">
        <v>381</v>
      </c>
      <c r="C2483" s="0" t="s">
        <v>322</v>
      </c>
      <c r="D2483" s="0" t="s">
        <v>31</v>
      </c>
      <c r="E2483" s="0" t="n">
        <v>2</v>
      </c>
      <c r="F2483" s="0" t="s">
        <v>36</v>
      </c>
      <c r="G2483" s="0" t="s">
        <v>38</v>
      </c>
      <c r="H2483" s="0" t="s">
        <v>38</v>
      </c>
      <c r="I2483" s="0" t="s">
        <v>34</v>
      </c>
      <c r="J2483" s="0" t="n">
        <v>1.84</v>
      </c>
      <c r="K2483" s="0" t="s">
        <v>35</v>
      </c>
      <c r="L2483" s="0" t="n">
        <f aca="false">INDEX(Summary!$F$2:$F$201,MATCH($B2483,Summary!$A$2:$A$201,0))</f>
        <v>20</v>
      </c>
      <c r="M2483" s="0" t="n">
        <f aca="false">INDEX(Summary!$I$2:$I$201,MATCH($B2483,Summary!$A$2:$A$201,0))</f>
        <v>3</v>
      </c>
      <c r="N2483" s="0" t="n">
        <f aca="false">INDEX(Summary!$J$2:$J$201,MATCH($B2483,Summary!$A$2:$A$201,0))</f>
        <v>2</v>
      </c>
      <c r="O2483" s="2" t="n">
        <f aca="false">INDEX(Summary!$K$2:$K$201,MATCH($B2483,Summary!$A$2:$A$201,0))</f>
        <v>8.45</v>
      </c>
      <c r="P2483" s="3" t="n">
        <f aca="false">INDEX(Summary!$L$2:$L$201,MATCH($B2483,Summary!$A$2:$A$201,0))</f>
        <v>4</v>
      </c>
      <c r="Q2483" s="3" t="n">
        <f aca="false">INDEX(Summary!$M$2:$M$201,MATCH($B2483,Summary!$A$2:$A$201,0))</f>
        <v>2</v>
      </c>
      <c r="R2483" s="2" t="n">
        <f aca="false">INDEX(Summary!$N$2:$N$201,MATCH($B2483,Summary!$A$2:$A$201,0))</f>
        <v>9.86</v>
      </c>
      <c r="S2483" s="3" t="n">
        <f aca="false">INDEX(Summary!$O$2:$O$201,MATCH($B2483,Summary!$A$2:$A$201,0))</f>
        <v>7</v>
      </c>
      <c r="T2483" s="3" t="n">
        <f aca="false">INDEX(Summary!$P$2:$P$201,MATCH($B2483,Summary!$A$2:$A$201,0))</f>
        <v>2</v>
      </c>
      <c r="U2483" s="2" t="n">
        <f aca="false">INDEX(Summary!$Q$2:$Q$201,MATCH($B2483,Summary!$A$2:$A$201,0))</f>
        <v>13.65</v>
      </c>
      <c r="V2483" s="2" t="n">
        <f aca="false">INDEX(Summary!$R$2:$R$201,MATCH($B2483,Summary!$A$2:$A$201,0))</f>
        <v>25.52</v>
      </c>
      <c r="W2483" s="0" t="str">
        <f aca="false">INDEX(Summary!$S$2:$S$201,MATCH($B2483,Summary!$A$2:$A$201,0))</f>
        <v>Silver</v>
      </c>
      <c r="X2483" s="2" t="n">
        <f aca="false">INDEX(Summary!$T$2:$T$201,MATCH($B2483,Summary!$A$2:$A$201,0))</f>
        <v>62.24</v>
      </c>
      <c r="Y2483" s="0" t="str">
        <f aca="false">INDEX('Reward Model'!$E$18:$E$37,MATCH($E2483,'Reward Model'!$A$18:$A$37,0))</f>
        <v>Low</v>
      </c>
      <c r="Z2483" s="4" t="n">
        <f aca="false">ROUND(MIN(1,MAX('Reward Model'!$B$2,INDEX('Reward Model'!$C$12:$C$14,MATCH($K2483,'Reward Model'!$A$12:$A$14,0))/$J2483)),3)</f>
        <v>0.815</v>
      </c>
      <c r="AA2483" s="2" t="n">
        <f aca="false">IF($I2483="Correct",ROUND(INDEX('Reward Model'!$B$12:$B$14,MATCH($K2483,'Reward Model'!$A$12:$A$14,0))*Z2483,2),0)</f>
        <v>0.82</v>
      </c>
      <c r="AB2483" s="2" t="n">
        <f aca="false">IF($I2483="Correct",ROUND(INDEX('Reward Model'!$B$12:$B$14,MATCH($Y2483,'Reward Model'!$A$12:$A$14,0))*Z2483,2),0)</f>
        <v>0.82</v>
      </c>
    </row>
    <row r="2484" customFormat="false" ht="15" hidden="false" customHeight="false" outlineLevel="0" collapsed="false">
      <c r="A2484" s="0" t="s">
        <v>380</v>
      </c>
      <c r="B2484" s="0" t="s">
        <v>381</v>
      </c>
      <c r="C2484" s="0" t="s">
        <v>322</v>
      </c>
      <c r="D2484" s="0" t="s">
        <v>31</v>
      </c>
      <c r="E2484" s="0" t="n">
        <v>3</v>
      </c>
      <c r="F2484" s="0" t="s">
        <v>40</v>
      </c>
      <c r="G2484" s="0" t="s">
        <v>42</v>
      </c>
      <c r="H2484" s="0" t="s">
        <v>42</v>
      </c>
      <c r="I2484" s="0" t="s">
        <v>34</v>
      </c>
      <c r="J2484" s="0" t="n">
        <v>1.59</v>
      </c>
      <c r="K2484" s="0" t="s">
        <v>35</v>
      </c>
      <c r="L2484" s="0" t="n">
        <f aca="false">INDEX(Summary!$F$2:$F$201,MATCH($B2484,Summary!$A$2:$A$201,0))</f>
        <v>20</v>
      </c>
      <c r="M2484" s="0" t="n">
        <f aca="false">INDEX(Summary!$I$2:$I$201,MATCH($B2484,Summary!$A$2:$A$201,0))</f>
        <v>3</v>
      </c>
      <c r="N2484" s="0" t="n">
        <f aca="false">INDEX(Summary!$J$2:$J$201,MATCH($B2484,Summary!$A$2:$A$201,0))</f>
        <v>2</v>
      </c>
      <c r="O2484" s="2" t="n">
        <f aca="false">INDEX(Summary!$K$2:$K$201,MATCH($B2484,Summary!$A$2:$A$201,0))</f>
        <v>8.45</v>
      </c>
      <c r="P2484" s="3" t="n">
        <f aca="false">INDEX(Summary!$L$2:$L$201,MATCH($B2484,Summary!$A$2:$A$201,0))</f>
        <v>4</v>
      </c>
      <c r="Q2484" s="3" t="n">
        <f aca="false">INDEX(Summary!$M$2:$M$201,MATCH($B2484,Summary!$A$2:$A$201,0))</f>
        <v>2</v>
      </c>
      <c r="R2484" s="2" t="n">
        <f aca="false">INDEX(Summary!$N$2:$N$201,MATCH($B2484,Summary!$A$2:$A$201,0))</f>
        <v>9.86</v>
      </c>
      <c r="S2484" s="3" t="n">
        <f aca="false">INDEX(Summary!$O$2:$O$201,MATCH($B2484,Summary!$A$2:$A$201,0))</f>
        <v>7</v>
      </c>
      <c r="T2484" s="3" t="n">
        <f aca="false">INDEX(Summary!$P$2:$P$201,MATCH($B2484,Summary!$A$2:$A$201,0))</f>
        <v>2</v>
      </c>
      <c r="U2484" s="2" t="n">
        <f aca="false">INDEX(Summary!$Q$2:$Q$201,MATCH($B2484,Summary!$A$2:$A$201,0))</f>
        <v>13.65</v>
      </c>
      <c r="V2484" s="2" t="n">
        <f aca="false">INDEX(Summary!$R$2:$R$201,MATCH($B2484,Summary!$A$2:$A$201,0))</f>
        <v>25.52</v>
      </c>
      <c r="W2484" s="0" t="str">
        <f aca="false">INDEX(Summary!$S$2:$S$201,MATCH($B2484,Summary!$A$2:$A$201,0))</f>
        <v>Silver</v>
      </c>
      <c r="X2484" s="2" t="n">
        <f aca="false">INDEX(Summary!$T$2:$T$201,MATCH($B2484,Summary!$A$2:$A$201,0))</f>
        <v>62.24</v>
      </c>
      <c r="Y2484" s="0" t="str">
        <f aca="false">INDEX('Reward Model'!$E$18:$E$37,MATCH($E2484,'Reward Model'!$A$18:$A$37,0))</f>
        <v>Medium</v>
      </c>
      <c r="Z2484" s="4" t="n">
        <f aca="false">ROUND(MIN(1,MAX('Reward Model'!$B$2,INDEX('Reward Model'!$C$12:$C$14,MATCH($K2484,'Reward Model'!$A$12:$A$14,0))/$J2484)),3)</f>
        <v>0.943</v>
      </c>
      <c r="AA2484" s="2" t="n">
        <f aca="false">IF($I2484="Correct",ROUND(INDEX('Reward Model'!$B$12:$B$14,MATCH($K2484,'Reward Model'!$A$12:$A$14,0))*Z2484,2),0)</f>
        <v>0.94</v>
      </c>
      <c r="AB2484" s="2" t="n">
        <f aca="false">IF($I2484="Correct",ROUND(INDEX('Reward Model'!$B$12:$B$14,MATCH($Y2484,'Reward Model'!$A$12:$A$14,0))*Z2484,2),0)</f>
        <v>1.89</v>
      </c>
    </row>
    <row r="2485" customFormat="false" ht="15" hidden="false" customHeight="false" outlineLevel="0" collapsed="false">
      <c r="A2485" s="0" t="s">
        <v>380</v>
      </c>
      <c r="B2485" s="0" t="s">
        <v>381</v>
      </c>
      <c r="C2485" s="0" t="s">
        <v>322</v>
      </c>
      <c r="D2485" s="0" t="s">
        <v>31</v>
      </c>
      <c r="E2485" s="0" t="n">
        <v>4</v>
      </c>
      <c r="F2485" s="0" t="s">
        <v>43</v>
      </c>
      <c r="G2485" s="0" t="s">
        <v>45</v>
      </c>
      <c r="H2485" s="0" t="s">
        <v>45</v>
      </c>
      <c r="I2485" s="0" t="s">
        <v>34</v>
      </c>
      <c r="J2485" s="0" t="n">
        <v>1.36</v>
      </c>
      <c r="K2485" s="0" t="s">
        <v>35</v>
      </c>
      <c r="L2485" s="0" t="n">
        <f aca="false">INDEX(Summary!$F$2:$F$201,MATCH($B2485,Summary!$A$2:$A$201,0))</f>
        <v>20</v>
      </c>
      <c r="M2485" s="0" t="n">
        <f aca="false">INDEX(Summary!$I$2:$I$201,MATCH($B2485,Summary!$A$2:$A$201,0))</f>
        <v>3</v>
      </c>
      <c r="N2485" s="0" t="n">
        <f aca="false">INDEX(Summary!$J$2:$J$201,MATCH($B2485,Summary!$A$2:$A$201,0))</f>
        <v>2</v>
      </c>
      <c r="O2485" s="2" t="n">
        <f aca="false">INDEX(Summary!$K$2:$K$201,MATCH($B2485,Summary!$A$2:$A$201,0))</f>
        <v>8.45</v>
      </c>
      <c r="P2485" s="3" t="n">
        <f aca="false">INDEX(Summary!$L$2:$L$201,MATCH($B2485,Summary!$A$2:$A$201,0))</f>
        <v>4</v>
      </c>
      <c r="Q2485" s="3" t="n">
        <f aca="false">INDEX(Summary!$M$2:$M$201,MATCH($B2485,Summary!$A$2:$A$201,0))</f>
        <v>2</v>
      </c>
      <c r="R2485" s="2" t="n">
        <f aca="false">INDEX(Summary!$N$2:$N$201,MATCH($B2485,Summary!$A$2:$A$201,0))</f>
        <v>9.86</v>
      </c>
      <c r="S2485" s="3" t="n">
        <f aca="false">INDEX(Summary!$O$2:$O$201,MATCH($B2485,Summary!$A$2:$A$201,0))</f>
        <v>7</v>
      </c>
      <c r="T2485" s="3" t="n">
        <f aca="false">INDEX(Summary!$P$2:$P$201,MATCH($B2485,Summary!$A$2:$A$201,0))</f>
        <v>2</v>
      </c>
      <c r="U2485" s="2" t="n">
        <f aca="false">INDEX(Summary!$Q$2:$Q$201,MATCH($B2485,Summary!$A$2:$A$201,0))</f>
        <v>13.65</v>
      </c>
      <c r="V2485" s="2" t="n">
        <f aca="false">INDEX(Summary!$R$2:$R$201,MATCH($B2485,Summary!$A$2:$A$201,0))</f>
        <v>25.52</v>
      </c>
      <c r="W2485" s="0" t="str">
        <f aca="false">INDEX(Summary!$S$2:$S$201,MATCH($B2485,Summary!$A$2:$A$201,0))</f>
        <v>Silver</v>
      </c>
      <c r="X2485" s="2" t="n">
        <f aca="false">INDEX(Summary!$T$2:$T$201,MATCH($B2485,Summary!$A$2:$A$201,0))</f>
        <v>62.24</v>
      </c>
      <c r="Y2485" s="0" t="str">
        <f aca="false">INDEX('Reward Model'!$E$18:$E$37,MATCH($E2485,'Reward Model'!$A$18:$A$37,0))</f>
        <v>Low</v>
      </c>
      <c r="Z2485" s="4" t="n">
        <f aca="false">ROUND(MIN(1,MAX('Reward Model'!$B$2,INDEX('Reward Model'!$C$12:$C$14,MATCH($K2485,'Reward Model'!$A$12:$A$14,0))/$J2485)),3)</f>
        <v>1</v>
      </c>
      <c r="AA2485" s="2" t="n">
        <f aca="false">IF($I2485="Correct",ROUND(INDEX('Reward Model'!$B$12:$B$14,MATCH($K2485,'Reward Model'!$A$12:$A$14,0))*Z2485,2),0)</f>
        <v>1</v>
      </c>
      <c r="AB2485" s="2" t="n">
        <f aca="false">IF($I2485="Correct",ROUND(INDEX('Reward Model'!$B$12:$B$14,MATCH($Y2485,'Reward Model'!$A$12:$A$14,0))*Z2485,2),0)</f>
        <v>1</v>
      </c>
    </row>
    <row r="2486" customFormat="false" ht="15" hidden="false" customHeight="false" outlineLevel="0" collapsed="false">
      <c r="A2486" s="0" t="s">
        <v>380</v>
      </c>
      <c r="B2486" s="0" t="s">
        <v>381</v>
      </c>
      <c r="C2486" s="0" t="s">
        <v>322</v>
      </c>
      <c r="D2486" s="0" t="s">
        <v>31</v>
      </c>
      <c r="E2486" s="0" t="n">
        <v>5</v>
      </c>
      <c r="F2486" s="0" t="s">
        <v>46</v>
      </c>
      <c r="G2486" s="0" t="s">
        <v>47</v>
      </c>
      <c r="H2486" s="0" t="s">
        <v>47</v>
      </c>
      <c r="I2486" s="0" t="s">
        <v>34</v>
      </c>
      <c r="J2486" s="0" t="n">
        <v>0.99</v>
      </c>
      <c r="K2486" s="0" t="s">
        <v>35</v>
      </c>
      <c r="L2486" s="0" t="n">
        <f aca="false">INDEX(Summary!$F$2:$F$201,MATCH($B2486,Summary!$A$2:$A$201,0))</f>
        <v>20</v>
      </c>
      <c r="M2486" s="0" t="n">
        <f aca="false">INDEX(Summary!$I$2:$I$201,MATCH($B2486,Summary!$A$2:$A$201,0))</f>
        <v>3</v>
      </c>
      <c r="N2486" s="0" t="n">
        <f aca="false">INDEX(Summary!$J$2:$J$201,MATCH($B2486,Summary!$A$2:$A$201,0))</f>
        <v>2</v>
      </c>
      <c r="O2486" s="2" t="n">
        <f aca="false">INDEX(Summary!$K$2:$K$201,MATCH($B2486,Summary!$A$2:$A$201,0))</f>
        <v>8.45</v>
      </c>
      <c r="P2486" s="3" t="n">
        <f aca="false">INDEX(Summary!$L$2:$L$201,MATCH($B2486,Summary!$A$2:$A$201,0))</f>
        <v>4</v>
      </c>
      <c r="Q2486" s="3" t="n">
        <f aca="false">INDEX(Summary!$M$2:$M$201,MATCH($B2486,Summary!$A$2:$A$201,0))</f>
        <v>2</v>
      </c>
      <c r="R2486" s="2" t="n">
        <f aca="false">INDEX(Summary!$N$2:$N$201,MATCH($B2486,Summary!$A$2:$A$201,0))</f>
        <v>9.86</v>
      </c>
      <c r="S2486" s="3" t="n">
        <f aca="false">INDEX(Summary!$O$2:$O$201,MATCH($B2486,Summary!$A$2:$A$201,0))</f>
        <v>7</v>
      </c>
      <c r="T2486" s="3" t="n">
        <f aca="false">INDEX(Summary!$P$2:$P$201,MATCH($B2486,Summary!$A$2:$A$201,0))</f>
        <v>2</v>
      </c>
      <c r="U2486" s="2" t="n">
        <f aca="false">INDEX(Summary!$Q$2:$Q$201,MATCH($B2486,Summary!$A$2:$A$201,0))</f>
        <v>13.65</v>
      </c>
      <c r="V2486" s="2" t="n">
        <f aca="false">INDEX(Summary!$R$2:$R$201,MATCH($B2486,Summary!$A$2:$A$201,0))</f>
        <v>25.52</v>
      </c>
      <c r="W2486" s="0" t="str">
        <f aca="false">INDEX(Summary!$S$2:$S$201,MATCH($B2486,Summary!$A$2:$A$201,0))</f>
        <v>Silver</v>
      </c>
      <c r="X2486" s="2" t="n">
        <f aca="false">INDEX(Summary!$T$2:$T$201,MATCH($B2486,Summary!$A$2:$A$201,0))</f>
        <v>62.24</v>
      </c>
      <c r="Y2486" s="0" t="str">
        <f aca="false">INDEX('Reward Model'!$E$18:$E$37,MATCH($E2486,'Reward Model'!$A$18:$A$37,0))</f>
        <v>Low</v>
      </c>
      <c r="Z2486" s="4" t="n">
        <f aca="false">ROUND(MIN(1,MAX('Reward Model'!$B$2,INDEX('Reward Model'!$C$12:$C$14,MATCH($K2486,'Reward Model'!$A$12:$A$14,0))/$J2486)),3)</f>
        <v>1</v>
      </c>
      <c r="AA2486" s="2" t="n">
        <f aca="false">IF($I2486="Correct",ROUND(INDEX('Reward Model'!$B$12:$B$14,MATCH($K2486,'Reward Model'!$A$12:$A$14,0))*Z2486,2),0)</f>
        <v>1</v>
      </c>
      <c r="AB2486" s="2" t="n">
        <f aca="false">IF($I2486="Correct",ROUND(INDEX('Reward Model'!$B$12:$B$14,MATCH($Y2486,'Reward Model'!$A$12:$A$14,0))*Z2486,2),0)</f>
        <v>1</v>
      </c>
    </row>
    <row r="2487" customFormat="false" ht="15" hidden="false" customHeight="false" outlineLevel="0" collapsed="false">
      <c r="A2487" s="0" t="s">
        <v>380</v>
      </c>
      <c r="B2487" s="0" t="s">
        <v>381</v>
      </c>
      <c r="C2487" s="0" t="s">
        <v>322</v>
      </c>
      <c r="D2487" s="0" t="s">
        <v>31</v>
      </c>
      <c r="E2487" s="0" t="n">
        <v>6</v>
      </c>
      <c r="F2487" s="0" t="s">
        <v>48</v>
      </c>
      <c r="G2487" s="0" t="s">
        <v>169</v>
      </c>
      <c r="H2487" s="0" t="s">
        <v>49</v>
      </c>
      <c r="I2487" s="0" t="s">
        <v>39</v>
      </c>
      <c r="J2487" s="0" t="n">
        <v>1.86</v>
      </c>
      <c r="K2487" s="0" t="s">
        <v>35</v>
      </c>
      <c r="L2487" s="0" t="n">
        <f aca="false">INDEX(Summary!$F$2:$F$201,MATCH($B2487,Summary!$A$2:$A$201,0))</f>
        <v>20</v>
      </c>
      <c r="M2487" s="0" t="n">
        <f aca="false">INDEX(Summary!$I$2:$I$201,MATCH($B2487,Summary!$A$2:$A$201,0))</f>
        <v>3</v>
      </c>
      <c r="N2487" s="0" t="n">
        <f aca="false">INDEX(Summary!$J$2:$J$201,MATCH($B2487,Summary!$A$2:$A$201,0))</f>
        <v>2</v>
      </c>
      <c r="O2487" s="2" t="n">
        <f aca="false">INDEX(Summary!$K$2:$K$201,MATCH($B2487,Summary!$A$2:$A$201,0))</f>
        <v>8.45</v>
      </c>
      <c r="P2487" s="3" t="n">
        <f aca="false">INDEX(Summary!$L$2:$L$201,MATCH($B2487,Summary!$A$2:$A$201,0))</f>
        <v>4</v>
      </c>
      <c r="Q2487" s="3" t="n">
        <f aca="false">INDEX(Summary!$M$2:$M$201,MATCH($B2487,Summary!$A$2:$A$201,0))</f>
        <v>2</v>
      </c>
      <c r="R2487" s="2" t="n">
        <f aca="false">INDEX(Summary!$N$2:$N$201,MATCH($B2487,Summary!$A$2:$A$201,0))</f>
        <v>9.86</v>
      </c>
      <c r="S2487" s="3" t="n">
        <f aca="false">INDEX(Summary!$O$2:$O$201,MATCH($B2487,Summary!$A$2:$A$201,0))</f>
        <v>7</v>
      </c>
      <c r="T2487" s="3" t="n">
        <f aca="false">INDEX(Summary!$P$2:$P$201,MATCH($B2487,Summary!$A$2:$A$201,0))</f>
        <v>2</v>
      </c>
      <c r="U2487" s="2" t="n">
        <f aca="false">INDEX(Summary!$Q$2:$Q$201,MATCH($B2487,Summary!$A$2:$A$201,0))</f>
        <v>13.65</v>
      </c>
      <c r="V2487" s="2" t="n">
        <f aca="false">INDEX(Summary!$R$2:$R$201,MATCH($B2487,Summary!$A$2:$A$201,0))</f>
        <v>25.52</v>
      </c>
      <c r="W2487" s="0" t="str">
        <f aca="false">INDEX(Summary!$S$2:$S$201,MATCH($B2487,Summary!$A$2:$A$201,0))</f>
        <v>Silver</v>
      </c>
      <c r="X2487" s="2" t="n">
        <f aca="false">INDEX(Summary!$T$2:$T$201,MATCH($B2487,Summary!$A$2:$A$201,0))</f>
        <v>62.24</v>
      </c>
      <c r="Y2487" s="0" t="str">
        <f aca="false">INDEX('Reward Model'!$E$18:$E$37,MATCH($E2487,'Reward Model'!$A$18:$A$37,0))</f>
        <v>Medium</v>
      </c>
      <c r="Z2487" s="4" t="n">
        <f aca="false">ROUND(MIN(1,MAX('Reward Model'!$B$2,INDEX('Reward Model'!$C$12:$C$14,MATCH($K2487,'Reward Model'!$A$12:$A$14,0))/$J2487)),3)</f>
        <v>0.806</v>
      </c>
      <c r="AA2487" s="2" t="n">
        <f aca="false">IF($I2487="Correct",ROUND(INDEX('Reward Model'!$B$12:$B$14,MATCH($K2487,'Reward Model'!$A$12:$A$14,0))*Z2487,2),0)</f>
        <v>0</v>
      </c>
      <c r="AB2487" s="2" t="n">
        <f aca="false">IF($I2487="Correct",ROUND(INDEX('Reward Model'!$B$12:$B$14,MATCH($Y2487,'Reward Model'!$A$12:$A$14,0))*Z2487,2),0)</f>
        <v>0</v>
      </c>
    </row>
    <row r="2488" customFormat="false" ht="15" hidden="false" customHeight="false" outlineLevel="0" collapsed="false">
      <c r="A2488" s="0" t="s">
        <v>380</v>
      </c>
      <c r="B2488" s="0" t="s">
        <v>381</v>
      </c>
      <c r="C2488" s="0" t="s">
        <v>322</v>
      </c>
      <c r="D2488" s="0" t="s">
        <v>31</v>
      </c>
      <c r="E2488" s="0" t="n">
        <v>7</v>
      </c>
      <c r="F2488" s="0" t="s">
        <v>50</v>
      </c>
      <c r="G2488" s="0" t="s">
        <v>51</v>
      </c>
      <c r="H2488" s="0" t="s">
        <v>51</v>
      </c>
      <c r="I2488" s="0" t="s">
        <v>34</v>
      </c>
      <c r="J2488" s="0" t="n">
        <v>1.57</v>
      </c>
      <c r="K2488" s="0" t="s">
        <v>35</v>
      </c>
      <c r="L2488" s="0" t="n">
        <f aca="false">INDEX(Summary!$F$2:$F$201,MATCH($B2488,Summary!$A$2:$A$201,0))</f>
        <v>20</v>
      </c>
      <c r="M2488" s="0" t="n">
        <f aca="false">INDEX(Summary!$I$2:$I$201,MATCH($B2488,Summary!$A$2:$A$201,0))</f>
        <v>3</v>
      </c>
      <c r="N2488" s="0" t="n">
        <f aca="false">INDEX(Summary!$J$2:$J$201,MATCH($B2488,Summary!$A$2:$A$201,0))</f>
        <v>2</v>
      </c>
      <c r="O2488" s="2" t="n">
        <f aca="false">INDEX(Summary!$K$2:$K$201,MATCH($B2488,Summary!$A$2:$A$201,0))</f>
        <v>8.45</v>
      </c>
      <c r="P2488" s="3" t="n">
        <f aca="false">INDEX(Summary!$L$2:$L$201,MATCH($B2488,Summary!$A$2:$A$201,0))</f>
        <v>4</v>
      </c>
      <c r="Q2488" s="3" t="n">
        <f aca="false">INDEX(Summary!$M$2:$M$201,MATCH($B2488,Summary!$A$2:$A$201,0))</f>
        <v>2</v>
      </c>
      <c r="R2488" s="2" t="n">
        <f aca="false">INDEX(Summary!$N$2:$N$201,MATCH($B2488,Summary!$A$2:$A$201,0))</f>
        <v>9.86</v>
      </c>
      <c r="S2488" s="3" t="n">
        <f aca="false">INDEX(Summary!$O$2:$O$201,MATCH($B2488,Summary!$A$2:$A$201,0))</f>
        <v>7</v>
      </c>
      <c r="T2488" s="3" t="n">
        <f aca="false">INDEX(Summary!$P$2:$P$201,MATCH($B2488,Summary!$A$2:$A$201,0))</f>
        <v>2</v>
      </c>
      <c r="U2488" s="2" t="n">
        <f aca="false">INDEX(Summary!$Q$2:$Q$201,MATCH($B2488,Summary!$A$2:$A$201,0))</f>
        <v>13.65</v>
      </c>
      <c r="V2488" s="2" t="n">
        <f aca="false">INDEX(Summary!$R$2:$R$201,MATCH($B2488,Summary!$A$2:$A$201,0))</f>
        <v>25.52</v>
      </c>
      <c r="W2488" s="0" t="str">
        <f aca="false">INDEX(Summary!$S$2:$S$201,MATCH($B2488,Summary!$A$2:$A$201,0))</f>
        <v>Silver</v>
      </c>
      <c r="X2488" s="2" t="n">
        <f aca="false">INDEX(Summary!$T$2:$T$201,MATCH($B2488,Summary!$A$2:$A$201,0))</f>
        <v>62.24</v>
      </c>
      <c r="Y2488" s="0" t="str">
        <f aca="false">INDEX('Reward Model'!$E$18:$E$37,MATCH($E2488,'Reward Model'!$A$18:$A$37,0))</f>
        <v>Low</v>
      </c>
      <c r="Z2488" s="4" t="n">
        <f aca="false">ROUND(MIN(1,MAX('Reward Model'!$B$2,INDEX('Reward Model'!$C$12:$C$14,MATCH($K2488,'Reward Model'!$A$12:$A$14,0))/$J2488)),3)</f>
        <v>0.955</v>
      </c>
      <c r="AA2488" s="2" t="n">
        <f aca="false">IF($I2488="Correct",ROUND(INDEX('Reward Model'!$B$12:$B$14,MATCH($K2488,'Reward Model'!$A$12:$A$14,0))*Z2488,2),0)</f>
        <v>0.96</v>
      </c>
      <c r="AB2488" s="2" t="n">
        <f aca="false">IF($I2488="Correct",ROUND(INDEX('Reward Model'!$B$12:$B$14,MATCH($Y2488,'Reward Model'!$A$12:$A$14,0))*Z2488,2),0)</f>
        <v>0.96</v>
      </c>
    </row>
    <row r="2489" customFormat="false" ht="15" hidden="false" customHeight="false" outlineLevel="0" collapsed="false">
      <c r="A2489" s="0" t="s">
        <v>380</v>
      </c>
      <c r="B2489" s="0" t="s">
        <v>381</v>
      </c>
      <c r="C2489" s="0" t="s">
        <v>322</v>
      </c>
      <c r="D2489" s="0" t="s">
        <v>31</v>
      </c>
      <c r="E2489" s="0" t="n">
        <v>8</v>
      </c>
      <c r="F2489" s="0" t="s">
        <v>52</v>
      </c>
      <c r="G2489" s="0" t="s">
        <v>54</v>
      </c>
      <c r="H2489" s="0" t="s">
        <v>54</v>
      </c>
      <c r="I2489" s="0" t="s">
        <v>34</v>
      </c>
      <c r="J2489" s="0" t="n">
        <v>1.27</v>
      </c>
      <c r="K2489" s="0" t="s">
        <v>35</v>
      </c>
      <c r="L2489" s="0" t="n">
        <f aca="false">INDEX(Summary!$F$2:$F$201,MATCH($B2489,Summary!$A$2:$A$201,0))</f>
        <v>20</v>
      </c>
      <c r="M2489" s="0" t="n">
        <f aca="false">INDEX(Summary!$I$2:$I$201,MATCH($B2489,Summary!$A$2:$A$201,0))</f>
        <v>3</v>
      </c>
      <c r="N2489" s="0" t="n">
        <f aca="false">INDEX(Summary!$J$2:$J$201,MATCH($B2489,Summary!$A$2:$A$201,0))</f>
        <v>2</v>
      </c>
      <c r="O2489" s="2" t="n">
        <f aca="false">INDEX(Summary!$K$2:$K$201,MATCH($B2489,Summary!$A$2:$A$201,0))</f>
        <v>8.45</v>
      </c>
      <c r="P2489" s="3" t="n">
        <f aca="false">INDEX(Summary!$L$2:$L$201,MATCH($B2489,Summary!$A$2:$A$201,0))</f>
        <v>4</v>
      </c>
      <c r="Q2489" s="3" t="n">
        <f aca="false">INDEX(Summary!$M$2:$M$201,MATCH($B2489,Summary!$A$2:$A$201,0))</f>
        <v>2</v>
      </c>
      <c r="R2489" s="2" t="n">
        <f aca="false">INDEX(Summary!$N$2:$N$201,MATCH($B2489,Summary!$A$2:$A$201,0))</f>
        <v>9.86</v>
      </c>
      <c r="S2489" s="3" t="n">
        <f aca="false">INDEX(Summary!$O$2:$O$201,MATCH($B2489,Summary!$A$2:$A$201,0))</f>
        <v>7</v>
      </c>
      <c r="T2489" s="3" t="n">
        <f aca="false">INDEX(Summary!$P$2:$P$201,MATCH($B2489,Summary!$A$2:$A$201,0))</f>
        <v>2</v>
      </c>
      <c r="U2489" s="2" t="n">
        <f aca="false">INDEX(Summary!$Q$2:$Q$201,MATCH($B2489,Summary!$A$2:$A$201,0))</f>
        <v>13.65</v>
      </c>
      <c r="V2489" s="2" t="n">
        <f aca="false">INDEX(Summary!$R$2:$R$201,MATCH($B2489,Summary!$A$2:$A$201,0))</f>
        <v>25.52</v>
      </c>
      <c r="W2489" s="0" t="str">
        <f aca="false">INDEX(Summary!$S$2:$S$201,MATCH($B2489,Summary!$A$2:$A$201,0))</f>
        <v>Silver</v>
      </c>
      <c r="X2489" s="2" t="n">
        <f aca="false">INDEX(Summary!$T$2:$T$201,MATCH($B2489,Summary!$A$2:$A$201,0))</f>
        <v>62.24</v>
      </c>
      <c r="Y2489" s="0" t="str">
        <f aca="false">INDEX('Reward Model'!$E$18:$E$37,MATCH($E2489,'Reward Model'!$A$18:$A$37,0))</f>
        <v>Medium</v>
      </c>
      <c r="Z2489" s="4" t="n">
        <f aca="false">ROUND(MIN(1,MAX('Reward Model'!$B$2,INDEX('Reward Model'!$C$12:$C$14,MATCH($K2489,'Reward Model'!$A$12:$A$14,0))/$J2489)),3)</f>
        <v>1</v>
      </c>
      <c r="AA2489" s="2" t="n">
        <f aca="false">IF($I2489="Correct",ROUND(INDEX('Reward Model'!$B$12:$B$14,MATCH($K2489,'Reward Model'!$A$12:$A$14,0))*Z2489,2),0)</f>
        <v>1</v>
      </c>
      <c r="AB2489" s="2" t="n">
        <f aca="false">IF($I2489="Correct",ROUND(INDEX('Reward Model'!$B$12:$B$14,MATCH($Y2489,'Reward Model'!$A$12:$A$14,0))*Z2489,2),0)</f>
        <v>2</v>
      </c>
    </row>
    <row r="2490" customFormat="false" ht="15" hidden="false" customHeight="false" outlineLevel="0" collapsed="false">
      <c r="A2490" s="0" t="s">
        <v>380</v>
      </c>
      <c r="B2490" s="0" t="s">
        <v>381</v>
      </c>
      <c r="C2490" s="0" t="s">
        <v>322</v>
      </c>
      <c r="D2490" s="0" t="s">
        <v>31</v>
      </c>
      <c r="E2490" s="0" t="n">
        <v>9</v>
      </c>
      <c r="F2490" s="0" t="s">
        <v>55</v>
      </c>
      <c r="G2490" s="0" t="s">
        <v>57</v>
      </c>
      <c r="H2490" s="0" t="s">
        <v>57</v>
      </c>
      <c r="I2490" s="0" t="s">
        <v>34</v>
      </c>
      <c r="J2490" s="0" t="n">
        <v>1.93</v>
      </c>
      <c r="K2490" s="0" t="s">
        <v>35</v>
      </c>
      <c r="L2490" s="0" t="n">
        <f aca="false">INDEX(Summary!$F$2:$F$201,MATCH($B2490,Summary!$A$2:$A$201,0))</f>
        <v>20</v>
      </c>
      <c r="M2490" s="0" t="n">
        <f aca="false">INDEX(Summary!$I$2:$I$201,MATCH($B2490,Summary!$A$2:$A$201,0))</f>
        <v>3</v>
      </c>
      <c r="N2490" s="0" t="n">
        <f aca="false">INDEX(Summary!$J$2:$J$201,MATCH($B2490,Summary!$A$2:$A$201,0))</f>
        <v>2</v>
      </c>
      <c r="O2490" s="2" t="n">
        <f aca="false">INDEX(Summary!$K$2:$K$201,MATCH($B2490,Summary!$A$2:$A$201,0))</f>
        <v>8.45</v>
      </c>
      <c r="P2490" s="3" t="n">
        <f aca="false">INDEX(Summary!$L$2:$L$201,MATCH($B2490,Summary!$A$2:$A$201,0))</f>
        <v>4</v>
      </c>
      <c r="Q2490" s="3" t="n">
        <f aca="false">INDEX(Summary!$M$2:$M$201,MATCH($B2490,Summary!$A$2:$A$201,0))</f>
        <v>2</v>
      </c>
      <c r="R2490" s="2" t="n">
        <f aca="false">INDEX(Summary!$N$2:$N$201,MATCH($B2490,Summary!$A$2:$A$201,0))</f>
        <v>9.86</v>
      </c>
      <c r="S2490" s="3" t="n">
        <f aca="false">INDEX(Summary!$O$2:$O$201,MATCH($B2490,Summary!$A$2:$A$201,0))</f>
        <v>7</v>
      </c>
      <c r="T2490" s="3" t="n">
        <f aca="false">INDEX(Summary!$P$2:$P$201,MATCH($B2490,Summary!$A$2:$A$201,0))</f>
        <v>2</v>
      </c>
      <c r="U2490" s="2" t="n">
        <f aca="false">INDEX(Summary!$Q$2:$Q$201,MATCH($B2490,Summary!$A$2:$A$201,0))</f>
        <v>13.65</v>
      </c>
      <c r="V2490" s="2" t="n">
        <f aca="false">INDEX(Summary!$R$2:$R$201,MATCH($B2490,Summary!$A$2:$A$201,0))</f>
        <v>25.52</v>
      </c>
      <c r="W2490" s="0" t="str">
        <f aca="false">INDEX(Summary!$S$2:$S$201,MATCH($B2490,Summary!$A$2:$A$201,0))</f>
        <v>Silver</v>
      </c>
      <c r="X2490" s="2" t="n">
        <f aca="false">INDEX(Summary!$T$2:$T$201,MATCH($B2490,Summary!$A$2:$A$201,0))</f>
        <v>62.24</v>
      </c>
      <c r="Y2490" s="0" t="str">
        <f aca="false">INDEX('Reward Model'!$E$18:$E$37,MATCH($E2490,'Reward Model'!$A$18:$A$37,0))</f>
        <v>Medium</v>
      </c>
      <c r="Z2490" s="4" t="n">
        <f aca="false">ROUND(MIN(1,MAX('Reward Model'!$B$2,INDEX('Reward Model'!$C$12:$C$14,MATCH($K2490,'Reward Model'!$A$12:$A$14,0))/$J2490)),3)</f>
        <v>0.777</v>
      </c>
      <c r="AA2490" s="2" t="n">
        <f aca="false">IF($I2490="Correct",ROUND(INDEX('Reward Model'!$B$12:$B$14,MATCH($K2490,'Reward Model'!$A$12:$A$14,0))*Z2490,2),0)</f>
        <v>0.78</v>
      </c>
      <c r="AB2490" s="2" t="n">
        <f aca="false">IF($I2490="Correct",ROUND(INDEX('Reward Model'!$B$12:$B$14,MATCH($Y2490,'Reward Model'!$A$12:$A$14,0))*Z2490,2),0)</f>
        <v>1.55</v>
      </c>
    </row>
    <row r="2491" customFormat="false" ht="15" hidden="false" customHeight="false" outlineLevel="0" collapsed="false">
      <c r="A2491" s="0" t="s">
        <v>380</v>
      </c>
      <c r="B2491" s="0" t="s">
        <v>381</v>
      </c>
      <c r="C2491" s="0" t="s">
        <v>322</v>
      </c>
      <c r="D2491" s="0" t="s">
        <v>31</v>
      </c>
      <c r="E2491" s="0" t="n">
        <v>10</v>
      </c>
      <c r="F2491" s="0" t="s">
        <v>58</v>
      </c>
      <c r="G2491" s="0" t="s">
        <v>59</v>
      </c>
      <c r="H2491" s="0" t="s">
        <v>59</v>
      </c>
      <c r="I2491" s="0" t="s">
        <v>34</v>
      </c>
      <c r="J2491" s="0" t="n">
        <v>1.33</v>
      </c>
      <c r="K2491" s="0" t="s">
        <v>60</v>
      </c>
      <c r="L2491" s="0" t="n">
        <f aca="false">INDEX(Summary!$F$2:$F$201,MATCH($B2491,Summary!$A$2:$A$201,0))</f>
        <v>20</v>
      </c>
      <c r="M2491" s="0" t="n">
        <f aca="false">INDEX(Summary!$I$2:$I$201,MATCH($B2491,Summary!$A$2:$A$201,0))</f>
        <v>3</v>
      </c>
      <c r="N2491" s="0" t="n">
        <f aca="false">INDEX(Summary!$J$2:$J$201,MATCH($B2491,Summary!$A$2:$A$201,0))</f>
        <v>2</v>
      </c>
      <c r="O2491" s="2" t="n">
        <f aca="false">INDEX(Summary!$K$2:$K$201,MATCH($B2491,Summary!$A$2:$A$201,0))</f>
        <v>8.45</v>
      </c>
      <c r="P2491" s="3" t="n">
        <f aca="false">INDEX(Summary!$L$2:$L$201,MATCH($B2491,Summary!$A$2:$A$201,0))</f>
        <v>4</v>
      </c>
      <c r="Q2491" s="3" t="n">
        <f aca="false">INDEX(Summary!$M$2:$M$201,MATCH($B2491,Summary!$A$2:$A$201,0))</f>
        <v>2</v>
      </c>
      <c r="R2491" s="2" t="n">
        <f aca="false">INDEX(Summary!$N$2:$N$201,MATCH($B2491,Summary!$A$2:$A$201,0))</f>
        <v>9.86</v>
      </c>
      <c r="S2491" s="3" t="n">
        <f aca="false">INDEX(Summary!$O$2:$O$201,MATCH($B2491,Summary!$A$2:$A$201,0))</f>
        <v>7</v>
      </c>
      <c r="T2491" s="3" t="n">
        <f aca="false">INDEX(Summary!$P$2:$P$201,MATCH($B2491,Summary!$A$2:$A$201,0))</f>
        <v>2</v>
      </c>
      <c r="U2491" s="2" t="n">
        <f aca="false">INDEX(Summary!$Q$2:$Q$201,MATCH($B2491,Summary!$A$2:$A$201,0))</f>
        <v>13.65</v>
      </c>
      <c r="V2491" s="2" t="n">
        <f aca="false">INDEX(Summary!$R$2:$R$201,MATCH($B2491,Summary!$A$2:$A$201,0))</f>
        <v>25.52</v>
      </c>
      <c r="W2491" s="0" t="str">
        <f aca="false">INDEX(Summary!$S$2:$S$201,MATCH($B2491,Summary!$A$2:$A$201,0))</f>
        <v>Silver</v>
      </c>
      <c r="X2491" s="2" t="n">
        <f aca="false">INDEX(Summary!$T$2:$T$201,MATCH($B2491,Summary!$A$2:$A$201,0))</f>
        <v>62.24</v>
      </c>
      <c r="Y2491" s="0" t="str">
        <f aca="false">INDEX('Reward Model'!$E$18:$E$37,MATCH($E2491,'Reward Model'!$A$18:$A$37,0))</f>
        <v>Medium</v>
      </c>
      <c r="Z2491" s="4" t="n">
        <f aca="false">ROUND(MIN(1,MAX('Reward Model'!$B$2,INDEX('Reward Model'!$C$12:$C$14,MATCH($K2491,'Reward Model'!$A$12:$A$14,0))/$J2491)),3)</f>
        <v>1</v>
      </c>
      <c r="AA2491" s="2" t="n">
        <f aca="false">IF($I2491="Correct",ROUND(INDEX('Reward Model'!$B$12:$B$14,MATCH($K2491,'Reward Model'!$A$12:$A$14,0))*Z2491,2),0)</f>
        <v>2</v>
      </c>
      <c r="AB2491" s="2" t="n">
        <f aca="false">IF($I2491="Correct",ROUND(INDEX('Reward Model'!$B$12:$B$14,MATCH($Y2491,'Reward Model'!$A$12:$A$14,0))*Z2491,2),0)</f>
        <v>2</v>
      </c>
    </row>
    <row r="2492" customFormat="false" ht="15" hidden="false" customHeight="false" outlineLevel="0" collapsed="false">
      <c r="A2492" s="0" t="s">
        <v>380</v>
      </c>
      <c r="B2492" s="0" t="s">
        <v>381</v>
      </c>
      <c r="C2492" s="0" t="s">
        <v>322</v>
      </c>
      <c r="D2492" s="0" t="s">
        <v>31</v>
      </c>
      <c r="E2492" s="0" t="n">
        <v>11</v>
      </c>
      <c r="F2492" s="0" t="s">
        <v>61</v>
      </c>
      <c r="G2492" s="0" t="s">
        <v>62</v>
      </c>
      <c r="H2492" s="0" t="s">
        <v>63</v>
      </c>
      <c r="I2492" s="0" t="s">
        <v>39</v>
      </c>
      <c r="J2492" s="0" t="n">
        <v>2.08</v>
      </c>
      <c r="K2492" s="0" t="s">
        <v>60</v>
      </c>
      <c r="L2492" s="0" t="n">
        <f aca="false">INDEX(Summary!$F$2:$F$201,MATCH($B2492,Summary!$A$2:$A$201,0))</f>
        <v>20</v>
      </c>
      <c r="M2492" s="0" t="n">
        <f aca="false">INDEX(Summary!$I$2:$I$201,MATCH($B2492,Summary!$A$2:$A$201,0))</f>
        <v>3</v>
      </c>
      <c r="N2492" s="0" t="n">
        <f aca="false">INDEX(Summary!$J$2:$J$201,MATCH($B2492,Summary!$A$2:$A$201,0))</f>
        <v>2</v>
      </c>
      <c r="O2492" s="2" t="n">
        <f aca="false">INDEX(Summary!$K$2:$K$201,MATCH($B2492,Summary!$A$2:$A$201,0))</f>
        <v>8.45</v>
      </c>
      <c r="P2492" s="3" t="n">
        <f aca="false">INDEX(Summary!$L$2:$L$201,MATCH($B2492,Summary!$A$2:$A$201,0))</f>
        <v>4</v>
      </c>
      <c r="Q2492" s="3" t="n">
        <f aca="false">INDEX(Summary!$M$2:$M$201,MATCH($B2492,Summary!$A$2:$A$201,0))</f>
        <v>2</v>
      </c>
      <c r="R2492" s="2" t="n">
        <f aca="false">INDEX(Summary!$N$2:$N$201,MATCH($B2492,Summary!$A$2:$A$201,0))</f>
        <v>9.86</v>
      </c>
      <c r="S2492" s="3" t="n">
        <f aca="false">INDEX(Summary!$O$2:$O$201,MATCH($B2492,Summary!$A$2:$A$201,0))</f>
        <v>7</v>
      </c>
      <c r="T2492" s="3" t="n">
        <f aca="false">INDEX(Summary!$P$2:$P$201,MATCH($B2492,Summary!$A$2:$A$201,0))</f>
        <v>2</v>
      </c>
      <c r="U2492" s="2" t="n">
        <f aca="false">INDEX(Summary!$Q$2:$Q$201,MATCH($B2492,Summary!$A$2:$A$201,0))</f>
        <v>13.65</v>
      </c>
      <c r="V2492" s="2" t="n">
        <f aca="false">INDEX(Summary!$R$2:$R$201,MATCH($B2492,Summary!$A$2:$A$201,0))</f>
        <v>25.52</v>
      </c>
      <c r="W2492" s="0" t="str">
        <f aca="false">INDEX(Summary!$S$2:$S$201,MATCH($B2492,Summary!$A$2:$A$201,0))</f>
        <v>Silver</v>
      </c>
      <c r="X2492" s="2" t="n">
        <f aca="false">INDEX(Summary!$T$2:$T$201,MATCH($B2492,Summary!$A$2:$A$201,0))</f>
        <v>62.24</v>
      </c>
      <c r="Y2492" s="0" t="str">
        <f aca="false">INDEX('Reward Model'!$E$18:$E$37,MATCH($E2492,'Reward Model'!$A$18:$A$37,0))</f>
        <v>Medium</v>
      </c>
      <c r="Z2492" s="4" t="n">
        <f aca="false">ROUND(MIN(1,MAX('Reward Model'!$B$2,INDEX('Reward Model'!$C$12:$C$14,MATCH($K2492,'Reward Model'!$A$12:$A$14,0))/$J2492)),3)</f>
        <v>0.865</v>
      </c>
      <c r="AA2492" s="2" t="n">
        <f aca="false">IF($I2492="Correct",ROUND(INDEX('Reward Model'!$B$12:$B$14,MATCH($K2492,'Reward Model'!$A$12:$A$14,0))*Z2492,2),0)</f>
        <v>0</v>
      </c>
      <c r="AB2492" s="2" t="n">
        <f aca="false">IF($I2492="Correct",ROUND(INDEX('Reward Model'!$B$12:$B$14,MATCH($Y2492,'Reward Model'!$A$12:$A$14,0))*Z2492,2),0)</f>
        <v>0</v>
      </c>
    </row>
    <row r="2493" customFormat="false" ht="15" hidden="false" customHeight="false" outlineLevel="0" collapsed="false">
      <c r="A2493" s="0" t="s">
        <v>380</v>
      </c>
      <c r="B2493" s="0" t="s">
        <v>381</v>
      </c>
      <c r="C2493" s="0" t="s">
        <v>322</v>
      </c>
      <c r="D2493" s="0" t="s">
        <v>31</v>
      </c>
      <c r="E2493" s="0" t="n">
        <v>12</v>
      </c>
      <c r="F2493" s="0" t="s">
        <v>64</v>
      </c>
      <c r="G2493" s="0" t="s">
        <v>127</v>
      </c>
      <c r="H2493" s="0" t="s">
        <v>65</v>
      </c>
      <c r="I2493" s="0" t="s">
        <v>39</v>
      </c>
      <c r="J2493" s="0" t="n">
        <v>2.12</v>
      </c>
      <c r="K2493" s="0" t="s">
        <v>60</v>
      </c>
      <c r="L2493" s="0" t="n">
        <f aca="false">INDEX(Summary!$F$2:$F$201,MATCH($B2493,Summary!$A$2:$A$201,0))</f>
        <v>20</v>
      </c>
      <c r="M2493" s="0" t="n">
        <f aca="false">INDEX(Summary!$I$2:$I$201,MATCH($B2493,Summary!$A$2:$A$201,0))</f>
        <v>3</v>
      </c>
      <c r="N2493" s="0" t="n">
        <f aca="false">INDEX(Summary!$J$2:$J$201,MATCH($B2493,Summary!$A$2:$A$201,0))</f>
        <v>2</v>
      </c>
      <c r="O2493" s="2" t="n">
        <f aca="false">INDEX(Summary!$K$2:$K$201,MATCH($B2493,Summary!$A$2:$A$201,0))</f>
        <v>8.45</v>
      </c>
      <c r="P2493" s="3" t="n">
        <f aca="false">INDEX(Summary!$L$2:$L$201,MATCH($B2493,Summary!$A$2:$A$201,0))</f>
        <v>4</v>
      </c>
      <c r="Q2493" s="3" t="n">
        <f aca="false">INDEX(Summary!$M$2:$M$201,MATCH($B2493,Summary!$A$2:$A$201,0))</f>
        <v>2</v>
      </c>
      <c r="R2493" s="2" t="n">
        <f aca="false">INDEX(Summary!$N$2:$N$201,MATCH($B2493,Summary!$A$2:$A$201,0))</f>
        <v>9.86</v>
      </c>
      <c r="S2493" s="3" t="n">
        <f aca="false">INDEX(Summary!$O$2:$O$201,MATCH($B2493,Summary!$A$2:$A$201,0))</f>
        <v>7</v>
      </c>
      <c r="T2493" s="3" t="n">
        <f aca="false">INDEX(Summary!$P$2:$P$201,MATCH($B2493,Summary!$A$2:$A$201,0))</f>
        <v>2</v>
      </c>
      <c r="U2493" s="2" t="n">
        <f aca="false">INDEX(Summary!$Q$2:$Q$201,MATCH($B2493,Summary!$A$2:$A$201,0))</f>
        <v>13.65</v>
      </c>
      <c r="V2493" s="2" t="n">
        <f aca="false">INDEX(Summary!$R$2:$R$201,MATCH($B2493,Summary!$A$2:$A$201,0))</f>
        <v>25.52</v>
      </c>
      <c r="W2493" s="0" t="str">
        <f aca="false">INDEX(Summary!$S$2:$S$201,MATCH($B2493,Summary!$A$2:$A$201,0))</f>
        <v>Silver</v>
      </c>
      <c r="X2493" s="2" t="n">
        <f aca="false">INDEX(Summary!$T$2:$T$201,MATCH($B2493,Summary!$A$2:$A$201,0))</f>
        <v>62.24</v>
      </c>
      <c r="Y2493" s="0" t="str">
        <f aca="false">INDEX('Reward Model'!$E$18:$E$37,MATCH($E2493,'Reward Model'!$A$18:$A$37,0))</f>
        <v>Medium</v>
      </c>
      <c r="Z2493" s="4" t="n">
        <f aca="false">ROUND(MIN(1,MAX('Reward Model'!$B$2,INDEX('Reward Model'!$C$12:$C$14,MATCH($K2493,'Reward Model'!$A$12:$A$14,0))/$J2493)),3)</f>
        <v>0.849</v>
      </c>
      <c r="AA2493" s="2" t="n">
        <f aca="false">IF($I2493="Correct",ROUND(INDEX('Reward Model'!$B$12:$B$14,MATCH($K2493,'Reward Model'!$A$12:$A$14,0))*Z2493,2),0)</f>
        <v>0</v>
      </c>
      <c r="AB2493" s="2" t="n">
        <f aca="false">IF($I2493="Correct",ROUND(INDEX('Reward Model'!$B$12:$B$14,MATCH($Y2493,'Reward Model'!$A$12:$A$14,0))*Z2493,2),0)</f>
        <v>0</v>
      </c>
    </row>
    <row r="2494" customFormat="false" ht="15" hidden="false" customHeight="false" outlineLevel="0" collapsed="false">
      <c r="A2494" s="0" t="s">
        <v>380</v>
      </c>
      <c r="B2494" s="0" t="s">
        <v>381</v>
      </c>
      <c r="C2494" s="0" t="s">
        <v>322</v>
      </c>
      <c r="D2494" s="0" t="s">
        <v>31</v>
      </c>
      <c r="E2494" s="0" t="n">
        <v>13</v>
      </c>
      <c r="F2494" s="0" t="s">
        <v>66</v>
      </c>
      <c r="G2494" s="0" t="s">
        <v>67</v>
      </c>
      <c r="H2494" s="0" t="s">
        <v>67</v>
      </c>
      <c r="I2494" s="0" t="s">
        <v>34</v>
      </c>
      <c r="J2494" s="0" t="n">
        <v>1.9</v>
      </c>
      <c r="K2494" s="0" t="s">
        <v>60</v>
      </c>
      <c r="L2494" s="0" t="n">
        <f aca="false">INDEX(Summary!$F$2:$F$201,MATCH($B2494,Summary!$A$2:$A$201,0))</f>
        <v>20</v>
      </c>
      <c r="M2494" s="0" t="n">
        <f aca="false">INDEX(Summary!$I$2:$I$201,MATCH($B2494,Summary!$A$2:$A$201,0))</f>
        <v>3</v>
      </c>
      <c r="N2494" s="0" t="n">
        <f aca="false">INDEX(Summary!$J$2:$J$201,MATCH($B2494,Summary!$A$2:$A$201,0))</f>
        <v>2</v>
      </c>
      <c r="O2494" s="2" t="n">
        <f aca="false">INDEX(Summary!$K$2:$K$201,MATCH($B2494,Summary!$A$2:$A$201,0))</f>
        <v>8.45</v>
      </c>
      <c r="P2494" s="3" t="n">
        <f aca="false">INDEX(Summary!$L$2:$L$201,MATCH($B2494,Summary!$A$2:$A$201,0))</f>
        <v>4</v>
      </c>
      <c r="Q2494" s="3" t="n">
        <f aca="false">INDEX(Summary!$M$2:$M$201,MATCH($B2494,Summary!$A$2:$A$201,0))</f>
        <v>2</v>
      </c>
      <c r="R2494" s="2" t="n">
        <f aca="false">INDEX(Summary!$N$2:$N$201,MATCH($B2494,Summary!$A$2:$A$201,0))</f>
        <v>9.86</v>
      </c>
      <c r="S2494" s="3" t="n">
        <f aca="false">INDEX(Summary!$O$2:$O$201,MATCH($B2494,Summary!$A$2:$A$201,0))</f>
        <v>7</v>
      </c>
      <c r="T2494" s="3" t="n">
        <f aca="false">INDEX(Summary!$P$2:$P$201,MATCH($B2494,Summary!$A$2:$A$201,0))</f>
        <v>2</v>
      </c>
      <c r="U2494" s="2" t="n">
        <f aca="false">INDEX(Summary!$Q$2:$Q$201,MATCH($B2494,Summary!$A$2:$A$201,0))</f>
        <v>13.65</v>
      </c>
      <c r="V2494" s="2" t="n">
        <f aca="false">INDEX(Summary!$R$2:$R$201,MATCH($B2494,Summary!$A$2:$A$201,0))</f>
        <v>25.52</v>
      </c>
      <c r="W2494" s="0" t="str">
        <f aca="false">INDEX(Summary!$S$2:$S$201,MATCH($B2494,Summary!$A$2:$A$201,0))</f>
        <v>Silver</v>
      </c>
      <c r="X2494" s="2" t="n">
        <f aca="false">INDEX(Summary!$T$2:$T$201,MATCH($B2494,Summary!$A$2:$A$201,0))</f>
        <v>62.24</v>
      </c>
      <c r="Y2494" s="0" t="str">
        <f aca="false">INDEX('Reward Model'!$E$18:$E$37,MATCH($E2494,'Reward Model'!$A$18:$A$37,0))</f>
        <v>Medium</v>
      </c>
      <c r="Z2494" s="4" t="n">
        <f aca="false">ROUND(MIN(1,MAX('Reward Model'!$B$2,INDEX('Reward Model'!$C$12:$C$14,MATCH($K2494,'Reward Model'!$A$12:$A$14,0))/$J2494)),3)</f>
        <v>0.947</v>
      </c>
      <c r="AA2494" s="2" t="n">
        <f aca="false">IF($I2494="Correct",ROUND(INDEX('Reward Model'!$B$12:$B$14,MATCH($K2494,'Reward Model'!$A$12:$A$14,0))*Z2494,2),0)</f>
        <v>1.89</v>
      </c>
      <c r="AB2494" s="2" t="n">
        <f aca="false">IF($I2494="Correct",ROUND(INDEX('Reward Model'!$B$12:$B$14,MATCH($Y2494,'Reward Model'!$A$12:$A$14,0))*Z2494,2),0)</f>
        <v>1.89</v>
      </c>
    </row>
    <row r="2495" customFormat="false" ht="15" hidden="false" customHeight="false" outlineLevel="0" collapsed="false">
      <c r="A2495" s="0" t="s">
        <v>380</v>
      </c>
      <c r="B2495" s="0" t="s">
        <v>381</v>
      </c>
      <c r="C2495" s="0" t="s">
        <v>322</v>
      </c>
      <c r="D2495" s="0" t="s">
        <v>31</v>
      </c>
      <c r="E2495" s="0" t="n">
        <v>14</v>
      </c>
      <c r="F2495" s="0" t="s">
        <v>68</v>
      </c>
      <c r="G2495" s="0" t="s">
        <v>51</v>
      </c>
      <c r="H2495" s="0" t="s">
        <v>51</v>
      </c>
      <c r="I2495" s="0" t="s">
        <v>34</v>
      </c>
      <c r="J2495" s="0" t="n">
        <v>1.33</v>
      </c>
      <c r="K2495" s="0" t="s">
        <v>60</v>
      </c>
      <c r="L2495" s="0" t="n">
        <f aca="false">INDEX(Summary!$F$2:$F$201,MATCH($B2495,Summary!$A$2:$A$201,0))</f>
        <v>20</v>
      </c>
      <c r="M2495" s="0" t="n">
        <f aca="false">INDEX(Summary!$I$2:$I$201,MATCH($B2495,Summary!$A$2:$A$201,0))</f>
        <v>3</v>
      </c>
      <c r="N2495" s="0" t="n">
        <f aca="false">INDEX(Summary!$J$2:$J$201,MATCH($B2495,Summary!$A$2:$A$201,0))</f>
        <v>2</v>
      </c>
      <c r="O2495" s="2" t="n">
        <f aca="false">INDEX(Summary!$K$2:$K$201,MATCH($B2495,Summary!$A$2:$A$201,0))</f>
        <v>8.45</v>
      </c>
      <c r="P2495" s="3" t="n">
        <f aca="false">INDEX(Summary!$L$2:$L$201,MATCH($B2495,Summary!$A$2:$A$201,0))</f>
        <v>4</v>
      </c>
      <c r="Q2495" s="3" t="n">
        <f aca="false">INDEX(Summary!$M$2:$M$201,MATCH($B2495,Summary!$A$2:$A$201,0))</f>
        <v>2</v>
      </c>
      <c r="R2495" s="2" t="n">
        <f aca="false">INDEX(Summary!$N$2:$N$201,MATCH($B2495,Summary!$A$2:$A$201,0))</f>
        <v>9.86</v>
      </c>
      <c r="S2495" s="3" t="n">
        <f aca="false">INDEX(Summary!$O$2:$O$201,MATCH($B2495,Summary!$A$2:$A$201,0))</f>
        <v>7</v>
      </c>
      <c r="T2495" s="3" t="n">
        <f aca="false">INDEX(Summary!$P$2:$P$201,MATCH($B2495,Summary!$A$2:$A$201,0))</f>
        <v>2</v>
      </c>
      <c r="U2495" s="2" t="n">
        <f aca="false">INDEX(Summary!$Q$2:$Q$201,MATCH($B2495,Summary!$A$2:$A$201,0))</f>
        <v>13.65</v>
      </c>
      <c r="V2495" s="2" t="n">
        <f aca="false">INDEX(Summary!$R$2:$R$201,MATCH($B2495,Summary!$A$2:$A$201,0))</f>
        <v>25.52</v>
      </c>
      <c r="W2495" s="0" t="str">
        <f aca="false">INDEX(Summary!$S$2:$S$201,MATCH($B2495,Summary!$A$2:$A$201,0))</f>
        <v>Silver</v>
      </c>
      <c r="X2495" s="2" t="n">
        <f aca="false">INDEX(Summary!$T$2:$T$201,MATCH($B2495,Summary!$A$2:$A$201,0))</f>
        <v>62.24</v>
      </c>
      <c r="Y2495" s="0" t="str">
        <f aca="false">INDEX('Reward Model'!$E$18:$E$37,MATCH($E2495,'Reward Model'!$A$18:$A$37,0))</f>
        <v>Medium</v>
      </c>
      <c r="Z2495" s="4" t="n">
        <f aca="false">ROUND(MIN(1,MAX('Reward Model'!$B$2,INDEX('Reward Model'!$C$12:$C$14,MATCH($K2495,'Reward Model'!$A$12:$A$14,0))/$J2495)),3)</f>
        <v>1</v>
      </c>
      <c r="AA2495" s="2" t="n">
        <f aca="false">IF($I2495="Correct",ROUND(INDEX('Reward Model'!$B$12:$B$14,MATCH($K2495,'Reward Model'!$A$12:$A$14,0))*Z2495,2),0)</f>
        <v>2</v>
      </c>
      <c r="AB2495" s="2" t="n">
        <f aca="false">IF($I2495="Correct",ROUND(INDEX('Reward Model'!$B$12:$B$14,MATCH($Y2495,'Reward Model'!$A$12:$A$14,0))*Z2495,2),0)</f>
        <v>2</v>
      </c>
    </row>
    <row r="2496" customFormat="false" ht="15" hidden="false" customHeight="false" outlineLevel="0" collapsed="false">
      <c r="A2496" s="0" t="s">
        <v>380</v>
      </c>
      <c r="B2496" s="0" t="s">
        <v>381</v>
      </c>
      <c r="C2496" s="0" t="s">
        <v>322</v>
      </c>
      <c r="D2496" s="0" t="s">
        <v>31</v>
      </c>
      <c r="E2496" s="0" t="n">
        <v>15</v>
      </c>
      <c r="F2496" s="0" t="s">
        <v>69</v>
      </c>
      <c r="G2496" s="0" t="s">
        <v>70</v>
      </c>
      <c r="H2496" s="0" t="s">
        <v>70</v>
      </c>
      <c r="I2496" s="0" t="s">
        <v>34</v>
      </c>
      <c r="J2496" s="0" t="n">
        <v>1.1</v>
      </c>
      <c r="K2496" s="0" t="s">
        <v>60</v>
      </c>
      <c r="L2496" s="0" t="n">
        <f aca="false">INDEX(Summary!$F$2:$F$201,MATCH($B2496,Summary!$A$2:$A$201,0))</f>
        <v>20</v>
      </c>
      <c r="M2496" s="0" t="n">
        <f aca="false">INDEX(Summary!$I$2:$I$201,MATCH($B2496,Summary!$A$2:$A$201,0))</f>
        <v>3</v>
      </c>
      <c r="N2496" s="0" t="n">
        <f aca="false">INDEX(Summary!$J$2:$J$201,MATCH($B2496,Summary!$A$2:$A$201,0))</f>
        <v>2</v>
      </c>
      <c r="O2496" s="2" t="n">
        <f aca="false">INDEX(Summary!$K$2:$K$201,MATCH($B2496,Summary!$A$2:$A$201,0))</f>
        <v>8.45</v>
      </c>
      <c r="P2496" s="3" t="n">
        <f aca="false">INDEX(Summary!$L$2:$L$201,MATCH($B2496,Summary!$A$2:$A$201,0))</f>
        <v>4</v>
      </c>
      <c r="Q2496" s="3" t="n">
        <f aca="false">INDEX(Summary!$M$2:$M$201,MATCH($B2496,Summary!$A$2:$A$201,0))</f>
        <v>2</v>
      </c>
      <c r="R2496" s="2" t="n">
        <f aca="false">INDEX(Summary!$N$2:$N$201,MATCH($B2496,Summary!$A$2:$A$201,0))</f>
        <v>9.86</v>
      </c>
      <c r="S2496" s="3" t="n">
        <f aca="false">INDEX(Summary!$O$2:$O$201,MATCH($B2496,Summary!$A$2:$A$201,0))</f>
        <v>7</v>
      </c>
      <c r="T2496" s="3" t="n">
        <f aca="false">INDEX(Summary!$P$2:$P$201,MATCH($B2496,Summary!$A$2:$A$201,0))</f>
        <v>2</v>
      </c>
      <c r="U2496" s="2" t="n">
        <f aca="false">INDEX(Summary!$Q$2:$Q$201,MATCH($B2496,Summary!$A$2:$A$201,0))</f>
        <v>13.65</v>
      </c>
      <c r="V2496" s="2" t="n">
        <f aca="false">INDEX(Summary!$R$2:$R$201,MATCH($B2496,Summary!$A$2:$A$201,0))</f>
        <v>25.52</v>
      </c>
      <c r="W2496" s="0" t="str">
        <f aca="false">INDEX(Summary!$S$2:$S$201,MATCH($B2496,Summary!$A$2:$A$201,0))</f>
        <v>Silver</v>
      </c>
      <c r="X2496" s="2" t="n">
        <f aca="false">INDEX(Summary!$T$2:$T$201,MATCH($B2496,Summary!$A$2:$A$201,0))</f>
        <v>62.24</v>
      </c>
      <c r="Y2496" s="0" t="str">
        <f aca="false">INDEX('Reward Model'!$E$18:$E$37,MATCH($E2496,'Reward Model'!$A$18:$A$37,0))</f>
        <v>Medium</v>
      </c>
      <c r="Z2496" s="4" t="n">
        <f aca="false">ROUND(MIN(1,MAX('Reward Model'!$B$2,INDEX('Reward Model'!$C$12:$C$14,MATCH($K2496,'Reward Model'!$A$12:$A$14,0))/$J2496)),3)</f>
        <v>1</v>
      </c>
      <c r="AA2496" s="2" t="n">
        <f aca="false">IF($I2496="Correct",ROUND(INDEX('Reward Model'!$B$12:$B$14,MATCH($K2496,'Reward Model'!$A$12:$A$14,0))*Z2496,2),0)</f>
        <v>2</v>
      </c>
      <c r="AB2496" s="2" t="n">
        <f aca="false">IF($I2496="Correct",ROUND(INDEX('Reward Model'!$B$12:$B$14,MATCH($Y2496,'Reward Model'!$A$12:$A$14,0))*Z2496,2),0)</f>
        <v>2</v>
      </c>
    </row>
    <row r="2497" customFormat="false" ht="15" hidden="false" customHeight="false" outlineLevel="0" collapsed="false">
      <c r="A2497" s="0" t="s">
        <v>380</v>
      </c>
      <c r="B2497" s="0" t="s">
        <v>381</v>
      </c>
      <c r="C2497" s="0" t="s">
        <v>322</v>
      </c>
      <c r="D2497" s="0" t="s">
        <v>31</v>
      </c>
      <c r="E2497" s="0" t="n">
        <v>16</v>
      </c>
      <c r="F2497" s="0" t="s">
        <v>71</v>
      </c>
      <c r="G2497" s="0" t="s">
        <v>72</v>
      </c>
      <c r="H2497" s="0" t="s">
        <v>72</v>
      </c>
      <c r="I2497" s="0" t="s">
        <v>34</v>
      </c>
      <c r="J2497" s="0" t="n">
        <v>1.7</v>
      </c>
      <c r="K2497" s="0" t="s">
        <v>73</v>
      </c>
      <c r="L2497" s="0" t="n">
        <f aca="false">INDEX(Summary!$F$2:$F$201,MATCH($B2497,Summary!$A$2:$A$201,0))</f>
        <v>20</v>
      </c>
      <c r="M2497" s="0" t="n">
        <f aca="false">INDEX(Summary!$I$2:$I$201,MATCH($B2497,Summary!$A$2:$A$201,0))</f>
        <v>3</v>
      </c>
      <c r="N2497" s="0" t="n">
        <f aca="false">INDEX(Summary!$J$2:$J$201,MATCH($B2497,Summary!$A$2:$A$201,0))</f>
        <v>2</v>
      </c>
      <c r="O2497" s="2" t="n">
        <f aca="false">INDEX(Summary!$K$2:$K$201,MATCH($B2497,Summary!$A$2:$A$201,0))</f>
        <v>8.45</v>
      </c>
      <c r="P2497" s="3" t="n">
        <f aca="false">INDEX(Summary!$L$2:$L$201,MATCH($B2497,Summary!$A$2:$A$201,0))</f>
        <v>4</v>
      </c>
      <c r="Q2497" s="3" t="n">
        <f aca="false">INDEX(Summary!$M$2:$M$201,MATCH($B2497,Summary!$A$2:$A$201,0))</f>
        <v>2</v>
      </c>
      <c r="R2497" s="2" t="n">
        <f aca="false">INDEX(Summary!$N$2:$N$201,MATCH($B2497,Summary!$A$2:$A$201,0))</f>
        <v>9.86</v>
      </c>
      <c r="S2497" s="3" t="n">
        <f aca="false">INDEX(Summary!$O$2:$O$201,MATCH($B2497,Summary!$A$2:$A$201,0))</f>
        <v>7</v>
      </c>
      <c r="T2497" s="3" t="n">
        <f aca="false">INDEX(Summary!$P$2:$P$201,MATCH($B2497,Summary!$A$2:$A$201,0))</f>
        <v>2</v>
      </c>
      <c r="U2497" s="2" t="n">
        <f aca="false">INDEX(Summary!$Q$2:$Q$201,MATCH($B2497,Summary!$A$2:$A$201,0))</f>
        <v>13.65</v>
      </c>
      <c r="V2497" s="2" t="n">
        <f aca="false">INDEX(Summary!$R$2:$R$201,MATCH($B2497,Summary!$A$2:$A$201,0))</f>
        <v>25.52</v>
      </c>
      <c r="W2497" s="0" t="str">
        <f aca="false">INDEX(Summary!$S$2:$S$201,MATCH($B2497,Summary!$A$2:$A$201,0))</f>
        <v>Silver</v>
      </c>
      <c r="X2497" s="2" t="n">
        <f aca="false">INDEX(Summary!$T$2:$T$201,MATCH($B2497,Summary!$A$2:$A$201,0))</f>
        <v>62.24</v>
      </c>
      <c r="Y2497" s="0" t="str">
        <f aca="false">INDEX('Reward Model'!$E$18:$E$37,MATCH($E2497,'Reward Model'!$A$18:$A$37,0))</f>
        <v>High</v>
      </c>
      <c r="Z2497" s="4" t="n">
        <f aca="false">ROUND(MIN(1,MAX('Reward Model'!$B$2,INDEX('Reward Model'!$C$12:$C$14,MATCH($K2497,'Reward Model'!$A$12:$A$14,0))/$J2497)),3)</f>
        <v>1</v>
      </c>
      <c r="AA2497" s="2" t="n">
        <f aca="false">IF($I2497="Correct",ROUND(INDEX('Reward Model'!$B$12:$B$14,MATCH($K2497,'Reward Model'!$A$12:$A$14,0))*Z2497,2),0)</f>
        <v>3</v>
      </c>
      <c r="AB2497" s="2" t="n">
        <f aca="false">IF($I2497="Correct",ROUND(INDEX('Reward Model'!$B$12:$B$14,MATCH($Y2497,'Reward Model'!$A$12:$A$14,0))*Z2497,2),0)</f>
        <v>3</v>
      </c>
    </row>
    <row r="2498" customFormat="false" ht="15" hidden="false" customHeight="false" outlineLevel="0" collapsed="false">
      <c r="A2498" s="0" t="s">
        <v>380</v>
      </c>
      <c r="B2498" s="0" t="s">
        <v>381</v>
      </c>
      <c r="C2498" s="0" t="s">
        <v>322</v>
      </c>
      <c r="D2498" s="0" t="s">
        <v>31</v>
      </c>
      <c r="E2498" s="0" t="n">
        <v>17</v>
      </c>
      <c r="F2498" s="0" t="s">
        <v>74</v>
      </c>
      <c r="G2498" s="0" t="s">
        <v>113</v>
      </c>
      <c r="H2498" s="0" t="s">
        <v>75</v>
      </c>
      <c r="I2498" s="0" t="s">
        <v>39</v>
      </c>
      <c r="J2498" s="0" t="n">
        <v>1.65</v>
      </c>
      <c r="K2498" s="0" t="s">
        <v>73</v>
      </c>
      <c r="L2498" s="0" t="n">
        <f aca="false">INDEX(Summary!$F$2:$F$201,MATCH($B2498,Summary!$A$2:$A$201,0))</f>
        <v>20</v>
      </c>
      <c r="M2498" s="0" t="n">
        <f aca="false">INDEX(Summary!$I$2:$I$201,MATCH($B2498,Summary!$A$2:$A$201,0))</f>
        <v>3</v>
      </c>
      <c r="N2498" s="0" t="n">
        <f aca="false">INDEX(Summary!$J$2:$J$201,MATCH($B2498,Summary!$A$2:$A$201,0))</f>
        <v>2</v>
      </c>
      <c r="O2498" s="2" t="n">
        <f aca="false">INDEX(Summary!$K$2:$K$201,MATCH($B2498,Summary!$A$2:$A$201,0))</f>
        <v>8.45</v>
      </c>
      <c r="P2498" s="3" t="n">
        <f aca="false">INDEX(Summary!$L$2:$L$201,MATCH($B2498,Summary!$A$2:$A$201,0))</f>
        <v>4</v>
      </c>
      <c r="Q2498" s="3" t="n">
        <f aca="false">INDEX(Summary!$M$2:$M$201,MATCH($B2498,Summary!$A$2:$A$201,0))</f>
        <v>2</v>
      </c>
      <c r="R2498" s="2" t="n">
        <f aca="false">INDEX(Summary!$N$2:$N$201,MATCH($B2498,Summary!$A$2:$A$201,0))</f>
        <v>9.86</v>
      </c>
      <c r="S2498" s="3" t="n">
        <f aca="false">INDEX(Summary!$O$2:$O$201,MATCH($B2498,Summary!$A$2:$A$201,0))</f>
        <v>7</v>
      </c>
      <c r="T2498" s="3" t="n">
        <f aca="false">INDEX(Summary!$P$2:$P$201,MATCH($B2498,Summary!$A$2:$A$201,0))</f>
        <v>2</v>
      </c>
      <c r="U2498" s="2" t="n">
        <f aca="false">INDEX(Summary!$Q$2:$Q$201,MATCH($B2498,Summary!$A$2:$A$201,0))</f>
        <v>13.65</v>
      </c>
      <c r="V2498" s="2" t="n">
        <f aca="false">INDEX(Summary!$R$2:$R$201,MATCH($B2498,Summary!$A$2:$A$201,0))</f>
        <v>25.52</v>
      </c>
      <c r="W2498" s="0" t="str">
        <f aca="false">INDEX(Summary!$S$2:$S$201,MATCH($B2498,Summary!$A$2:$A$201,0))</f>
        <v>Silver</v>
      </c>
      <c r="X2498" s="2" t="n">
        <f aca="false">INDEX(Summary!$T$2:$T$201,MATCH($B2498,Summary!$A$2:$A$201,0))</f>
        <v>62.24</v>
      </c>
      <c r="Y2498" s="0" t="str">
        <f aca="false">INDEX('Reward Model'!$E$18:$E$37,MATCH($E2498,'Reward Model'!$A$18:$A$37,0))</f>
        <v>High</v>
      </c>
      <c r="Z2498" s="4" t="n">
        <f aca="false">ROUND(MIN(1,MAX('Reward Model'!$B$2,INDEX('Reward Model'!$C$12:$C$14,MATCH($K2498,'Reward Model'!$A$12:$A$14,0))/$J2498)),3)</f>
        <v>1</v>
      </c>
      <c r="AA2498" s="2" t="n">
        <f aca="false">IF($I2498="Correct",ROUND(INDEX('Reward Model'!$B$12:$B$14,MATCH($K2498,'Reward Model'!$A$12:$A$14,0))*Z2498,2),0)</f>
        <v>0</v>
      </c>
      <c r="AB2498" s="2" t="n">
        <f aca="false">IF($I2498="Correct",ROUND(INDEX('Reward Model'!$B$12:$B$14,MATCH($Y2498,'Reward Model'!$A$12:$A$14,0))*Z2498,2),0)</f>
        <v>0</v>
      </c>
    </row>
    <row r="2499" customFormat="false" ht="15" hidden="false" customHeight="false" outlineLevel="0" collapsed="false">
      <c r="A2499" s="0" t="s">
        <v>380</v>
      </c>
      <c r="B2499" s="0" t="s">
        <v>381</v>
      </c>
      <c r="C2499" s="0" t="s">
        <v>322</v>
      </c>
      <c r="D2499" s="0" t="s">
        <v>31</v>
      </c>
      <c r="E2499" s="0" t="n">
        <v>18</v>
      </c>
      <c r="F2499" s="0" t="s">
        <v>76</v>
      </c>
      <c r="G2499" s="0" t="s">
        <v>88</v>
      </c>
      <c r="H2499" s="0" t="s">
        <v>77</v>
      </c>
      <c r="I2499" s="0" t="s">
        <v>39</v>
      </c>
      <c r="J2499" s="0" t="n">
        <v>1.41</v>
      </c>
      <c r="K2499" s="0" t="s">
        <v>73</v>
      </c>
      <c r="L2499" s="0" t="n">
        <f aca="false">INDEX(Summary!$F$2:$F$201,MATCH($B2499,Summary!$A$2:$A$201,0))</f>
        <v>20</v>
      </c>
      <c r="M2499" s="0" t="n">
        <f aca="false">INDEX(Summary!$I$2:$I$201,MATCH($B2499,Summary!$A$2:$A$201,0))</f>
        <v>3</v>
      </c>
      <c r="N2499" s="0" t="n">
        <f aca="false">INDEX(Summary!$J$2:$J$201,MATCH($B2499,Summary!$A$2:$A$201,0))</f>
        <v>2</v>
      </c>
      <c r="O2499" s="2" t="n">
        <f aca="false">INDEX(Summary!$K$2:$K$201,MATCH($B2499,Summary!$A$2:$A$201,0))</f>
        <v>8.45</v>
      </c>
      <c r="P2499" s="3" t="n">
        <f aca="false">INDEX(Summary!$L$2:$L$201,MATCH($B2499,Summary!$A$2:$A$201,0))</f>
        <v>4</v>
      </c>
      <c r="Q2499" s="3" t="n">
        <f aca="false">INDEX(Summary!$M$2:$M$201,MATCH($B2499,Summary!$A$2:$A$201,0))</f>
        <v>2</v>
      </c>
      <c r="R2499" s="2" t="n">
        <f aca="false">INDEX(Summary!$N$2:$N$201,MATCH($B2499,Summary!$A$2:$A$201,0))</f>
        <v>9.86</v>
      </c>
      <c r="S2499" s="3" t="n">
        <f aca="false">INDEX(Summary!$O$2:$O$201,MATCH($B2499,Summary!$A$2:$A$201,0))</f>
        <v>7</v>
      </c>
      <c r="T2499" s="3" t="n">
        <f aca="false">INDEX(Summary!$P$2:$P$201,MATCH($B2499,Summary!$A$2:$A$201,0))</f>
        <v>2</v>
      </c>
      <c r="U2499" s="2" t="n">
        <f aca="false">INDEX(Summary!$Q$2:$Q$201,MATCH($B2499,Summary!$A$2:$A$201,0))</f>
        <v>13.65</v>
      </c>
      <c r="V2499" s="2" t="n">
        <f aca="false">INDEX(Summary!$R$2:$R$201,MATCH($B2499,Summary!$A$2:$A$201,0))</f>
        <v>25.52</v>
      </c>
      <c r="W2499" s="0" t="str">
        <f aca="false">INDEX(Summary!$S$2:$S$201,MATCH($B2499,Summary!$A$2:$A$201,0))</f>
        <v>Silver</v>
      </c>
      <c r="X2499" s="2" t="n">
        <f aca="false">INDEX(Summary!$T$2:$T$201,MATCH($B2499,Summary!$A$2:$A$201,0))</f>
        <v>62.24</v>
      </c>
      <c r="Y2499" s="0" t="str">
        <f aca="false">INDEX('Reward Model'!$E$18:$E$37,MATCH($E2499,'Reward Model'!$A$18:$A$37,0))</f>
        <v>High</v>
      </c>
      <c r="Z2499" s="4" t="n">
        <f aca="false">ROUND(MIN(1,MAX('Reward Model'!$B$2,INDEX('Reward Model'!$C$12:$C$14,MATCH($K2499,'Reward Model'!$A$12:$A$14,0))/$J2499)),3)</f>
        <v>1</v>
      </c>
      <c r="AA2499" s="2" t="n">
        <f aca="false">IF($I2499="Correct",ROUND(INDEX('Reward Model'!$B$12:$B$14,MATCH($K2499,'Reward Model'!$A$12:$A$14,0))*Z2499,2),0)</f>
        <v>0</v>
      </c>
      <c r="AB2499" s="2" t="n">
        <f aca="false">IF($I2499="Correct",ROUND(INDEX('Reward Model'!$B$12:$B$14,MATCH($Y2499,'Reward Model'!$A$12:$A$14,0))*Z2499,2),0)</f>
        <v>0</v>
      </c>
    </row>
    <row r="2500" customFormat="false" ht="15" hidden="false" customHeight="false" outlineLevel="0" collapsed="false">
      <c r="A2500" s="0" t="s">
        <v>380</v>
      </c>
      <c r="B2500" s="0" t="s">
        <v>381</v>
      </c>
      <c r="C2500" s="0" t="s">
        <v>322</v>
      </c>
      <c r="D2500" s="0" t="s">
        <v>31</v>
      </c>
      <c r="E2500" s="0" t="n">
        <v>19</v>
      </c>
      <c r="F2500" s="0" t="s">
        <v>78</v>
      </c>
      <c r="G2500" s="0" t="s">
        <v>80</v>
      </c>
      <c r="H2500" s="0" t="s">
        <v>80</v>
      </c>
      <c r="I2500" s="0" t="s">
        <v>34</v>
      </c>
      <c r="J2500" s="0" t="n">
        <v>1.2</v>
      </c>
      <c r="K2500" s="0" t="s">
        <v>73</v>
      </c>
      <c r="L2500" s="0" t="n">
        <f aca="false">INDEX(Summary!$F$2:$F$201,MATCH($B2500,Summary!$A$2:$A$201,0))</f>
        <v>20</v>
      </c>
      <c r="M2500" s="0" t="n">
        <f aca="false">INDEX(Summary!$I$2:$I$201,MATCH($B2500,Summary!$A$2:$A$201,0))</f>
        <v>3</v>
      </c>
      <c r="N2500" s="0" t="n">
        <f aca="false">INDEX(Summary!$J$2:$J$201,MATCH($B2500,Summary!$A$2:$A$201,0))</f>
        <v>2</v>
      </c>
      <c r="O2500" s="2" t="n">
        <f aca="false">INDEX(Summary!$K$2:$K$201,MATCH($B2500,Summary!$A$2:$A$201,0))</f>
        <v>8.45</v>
      </c>
      <c r="P2500" s="3" t="n">
        <f aca="false">INDEX(Summary!$L$2:$L$201,MATCH($B2500,Summary!$A$2:$A$201,0))</f>
        <v>4</v>
      </c>
      <c r="Q2500" s="3" t="n">
        <f aca="false">INDEX(Summary!$M$2:$M$201,MATCH($B2500,Summary!$A$2:$A$201,0))</f>
        <v>2</v>
      </c>
      <c r="R2500" s="2" t="n">
        <f aca="false">INDEX(Summary!$N$2:$N$201,MATCH($B2500,Summary!$A$2:$A$201,0))</f>
        <v>9.86</v>
      </c>
      <c r="S2500" s="3" t="n">
        <f aca="false">INDEX(Summary!$O$2:$O$201,MATCH($B2500,Summary!$A$2:$A$201,0))</f>
        <v>7</v>
      </c>
      <c r="T2500" s="3" t="n">
        <f aca="false">INDEX(Summary!$P$2:$P$201,MATCH($B2500,Summary!$A$2:$A$201,0))</f>
        <v>2</v>
      </c>
      <c r="U2500" s="2" t="n">
        <f aca="false">INDEX(Summary!$Q$2:$Q$201,MATCH($B2500,Summary!$A$2:$A$201,0))</f>
        <v>13.65</v>
      </c>
      <c r="V2500" s="2" t="n">
        <f aca="false">INDEX(Summary!$R$2:$R$201,MATCH($B2500,Summary!$A$2:$A$201,0))</f>
        <v>25.52</v>
      </c>
      <c r="W2500" s="0" t="str">
        <f aca="false">INDEX(Summary!$S$2:$S$201,MATCH($B2500,Summary!$A$2:$A$201,0))</f>
        <v>Silver</v>
      </c>
      <c r="X2500" s="2" t="n">
        <f aca="false">INDEX(Summary!$T$2:$T$201,MATCH($B2500,Summary!$A$2:$A$201,0))</f>
        <v>62.24</v>
      </c>
      <c r="Y2500" s="0" t="str">
        <f aca="false">INDEX('Reward Model'!$E$18:$E$37,MATCH($E2500,'Reward Model'!$A$18:$A$37,0))</f>
        <v>High</v>
      </c>
      <c r="Z2500" s="4" t="n">
        <f aca="false">ROUND(MIN(1,MAX('Reward Model'!$B$2,INDEX('Reward Model'!$C$12:$C$14,MATCH($K2500,'Reward Model'!$A$12:$A$14,0))/$J2500)),3)</f>
        <v>1</v>
      </c>
      <c r="AA2500" s="2" t="n">
        <f aca="false">IF($I2500="Correct",ROUND(INDEX('Reward Model'!$B$12:$B$14,MATCH($K2500,'Reward Model'!$A$12:$A$14,0))*Z2500,2),0)</f>
        <v>3</v>
      </c>
      <c r="AB2500" s="2" t="n">
        <f aca="false">IF($I2500="Correct",ROUND(INDEX('Reward Model'!$B$12:$B$14,MATCH($Y2500,'Reward Model'!$A$12:$A$14,0))*Z2500,2),0)</f>
        <v>3</v>
      </c>
    </row>
    <row r="2501" customFormat="false" ht="15" hidden="false" customHeight="false" outlineLevel="0" collapsed="false">
      <c r="A2501" s="0" t="s">
        <v>380</v>
      </c>
      <c r="B2501" s="0" t="s">
        <v>381</v>
      </c>
      <c r="C2501" s="0" t="s">
        <v>322</v>
      </c>
      <c r="D2501" s="0" t="s">
        <v>31</v>
      </c>
      <c r="E2501" s="0" t="n">
        <v>20</v>
      </c>
      <c r="F2501" s="0" t="s">
        <v>81</v>
      </c>
      <c r="G2501" s="0" t="s">
        <v>83</v>
      </c>
      <c r="H2501" s="0" t="s">
        <v>83</v>
      </c>
      <c r="I2501" s="0" t="s">
        <v>34</v>
      </c>
      <c r="J2501" s="0" t="n">
        <v>2.49</v>
      </c>
      <c r="K2501" s="0" t="s">
        <v>73</v>
      </c>
      <c r="L2501" s="0" t="n">
        <f aca="false">INDEX(Summary!$F$2:$F$201,MATCH($B2501,Summary!$A$2:$A$201,0))</f>
        <v>20</v>
      </c>
      <c r="M2501" s="0" t="n">
        <f aca="false">INDEX(Summary!$I$2:$I$201,MATCH($B2501,Summary!$A$2:$A$201,0))</f>
        <v>3</v>
      </c>
      <c r="N2501" s="0" t="n">
        <f aca="false">INDEX(Summary!$J$2:$J$201,MATCH($B2501,Summary!$A$2:$A$201,0))</f>
        <v>2</v>
      </c>
      <c r="O2501" s="2" t="n">
        <f aca="false">INDEX(Summary!$K$2:$K$201,MATCH($B2501,Summary!$A$2:$A$201,0))</f>
        <v>8.45</v>
      </c>
      <c r="P2501" s="3" t="n">
        <f aca="false">INDEX(Summary!$L$2:$L$201,MATCH($B2501,Summary!$A$2:$A$201,0))</f>
        <v>4</v>
      </c>
      <c r="Q2501" s="3" t="n">
        <f aca="false">INDEX(Summary!$M$2:$M$201,MATCH($B2501,Summary!$A$2:$A$201,0))</f>
        <v>2</v>
      </c>
      <c r="R2501" s="2" t="n">
        <f aca="false">INDEX(Summary!$N$2:$N$201,MATCH($B2501,Summary!$A$2:$A$201,0))</f>
        <v>9.86</v>
      </c>
      <c r="S2501" s="3" t="n">
        <f aca="false">INDEX(Summary!$O$2:$O$201,MATCH($B2501,Summary!$A$2:$A$201,0))</f>
        <v>7</v>
      </c>
      <c r="T2501" s="3" t="n">
        <f aca="false">INDEX(Summary!$P$2:$P$201,MATCH($B2501,Summary!$A$2:$A$201,0))</f>
        <v>2</v>
      </c>
      <c r="U2501" s="2" t="n">
        <f aca="false">INDEX(Summary!$Q$2:$Q$201,MATCH($B2501,Summary!$A$2:$A$201,0))</f>
        <v>13.65</v>
      </c>
      <c r="V2501" s="2" t="n">
        <f aca="false">INDEX(Summary!$R$2:$R$201,MATCH($B2501,Summary!$A$2:$A$201,0))</f>
        <v>25.52</v>
      </c>
      <c r="W2501" s="0" t="str">
        <f aca="false">INDEX(Summary!$S$2:$S$201,MATCH($B2501,Summary!$A$2:$A$201,0))</f>
        <v>Silver</v>
      </c>
      <c r="X2501" s="2" t="n">
        <f aca="false">INDEX(Summary!$T$2:$T$201,MATCH($B2501,Summary!$A$2:$A$201,0))</f>
        <v>62.24</v>
      </c>
      <c r="Y2501" s="0" t="str">
        <f aca="false">INDEX('Reward Model'!$E$18:$E$37,MATCH($E2501,'Reward Model'!$A$18:$A$37,0))</f>
        <v>High</v>
      </c>
      <c r="Z2501" s="4" t="n">
        <f aca="false">ROUND(MIN(1,MAX('Reward Model'!$B$2,INDEX('Reward Model'!$C$12:$C$14,MATCH($K2501,'Reward Model'!$A$12:$A$14,0))/$J2501)),3)</f>
        <v>0.803</v>
      </c>
      <c r="AA2501" s="2" t="n">
        <f aca="false">IF($I2501="Correct",ROUND(INDEX('Reward Model'!$B$12:$B$14,MATCH($K2501,'Reward Model'!$A$12:$A$14,0))*Z2501,2),0)</f>
        <v>2.41</v>
      </c>
      <c r="AB2501" s="2" t="n">
        <f aca="false">IF($I2501="Correct",ROUND(INDEX('Reward Model'!$B$12:$B$14,MATCH($Y2501,'Reward Model'!$A$12:$A$14,0))*Z2501,2),0)</f>
        <v>2.41</v>
      </c>
    </row>
    <row r="2502" customFormat="false" ht="15" hidden="false" customHeight="false" outlineLevel="0" collapsed="false">
      <c r="A2502" s="0" t="s">
        <v>382</v>
      </c>
      <c r="B2502" s="0" t="s">
        <v>383</v>
      </c>
      <c r="C2502" s="0" t="s">
        <v>322</v>
      </c>
      <c r="D2502" s="0" t="s">
        <v>31</v>
      </c>
      <c r="E2502" s="0" t="n">
        <v>1</v>
      </c>
      <c r="F2502" s="0" t="s">
        <v>32</v>
      </c>
      <c r="G2502" s="0" t="s">
        <v>33</v>
      </c>
      <c r="H2502" s="0" t="s">
        <v>33</v>
      </c>
      <c r="I2502" s="0" t="s">
        <v>34</v>
      </c>
      <c r="J2502" s="0" t="n">
        <v>1.44</v>
      </c>
      <c r="K2502" s="0" t="s">
        <v>35</v>
      </c>
      <c r="L2502" s="0" t="n">
        <f aca="false">INDEX(Summary!$F$2:$F$201,MATCH($B2502,Summary!$A$2:$A$201,0))</f>
        <v>20</v>
      </c>
      <c r="M2502" s="0" t="n">
        <f aca="false">INDEX(Summary!$I$2:$I$201,MATCH($B2502,Summary!$A$2:$A$201,0))</f>
        <v>2</v>
      </c>
      <c r="N2502" s="0" t="n">
        <f aca="false">INDEX(Summary!$J$2:$J$201,MATCH($B2502,Summary!$A$2:$A$201,0))</f>
        <v>3</v>
      </c>
      <c r="O2502" s="2" t="n">
        <f aca="false">INDEX(Summary!$K$2:$K$201,MATCH($B2502,Summary!$A$2:$A$201,0))</f>
        <v>9.01</v>
      </c>
      <c r="P2502" s="3" t="n">
        <f aca="false">INDEX(Summary!$L$2:$L$201,MATCH($B2502,Summary!$A$2:$A$201,0))</f>
        <v>5</v>
      </c>
      <c r="Q2502" s="3" t="n">
        <f aca="false">INDEX(Summary!$M$2:$M$201,MATCH($B2502,Summary!$A$2:$A$201,0))</f>
        <v>1</v>
      </c>
      <c r="R2502" s="2" t="n">
        <f aca="false">INDEX(Summary!$N$2:$N$201,MATCH($B2502,Summary!$A$2:$A$201,0))</f>
        <v>9.38</v>
      </c>
      <c r="S2502" s="3" t="n">
        <f aca="false">INDEX(Summary!$O$2:$O$201,MATCH($B2502,Summary!$A$2:$A$201,0))</f>
        <v>7</v>
      </c>
      <c r="T2502" s="3" t="n">
        <f aca="false">INDEX(Summary!$P$2:$P$201,MATCH($B2502,Summary!$A$2:$A$201,0))</f>
        <v>2</v>
      </c>
      <c r="U2502" s="2" t="n">
        <f aca="false">INDEX(Summary!$Q$2:$Q$201,MATCH($B2502,Summary!$A$2:$A$201,0))</f>
        <v>12.19</v>
      </c>
      <c r="V2502" s="2" t="n">
        <f aca="false">INDEX(Summary!$R$2:$R$201,MATCH($B2502,Summary!$A$2:$A$201,0))</f>
        <v>26.75</v>
      </c>
      <c r="W2502" s="0" t="str">
        <f aca="false">INDEX(Summary!$S$2:$S$201,MATCH($B2502,Summary!$A$2:$A$201,0))</f>
        <v>Silver</v>
      </c>
      <c r="X2502" s="2" t="n">
        <f aca="false">INDEX(Summary!$T$2:$T$201,MATCH($B2502,Summary!$A$2:$A$201,0))</f>
        <v>65.24</v>
      </c>
      <c r="Y2502" s="0" t="str">
        <f aca="false">INDEX('Reward Model'!$E$18:$E$37,MATCH($E2502,'Reward Model'!$A$18:$A$37,0))</f>
        <v>Medium</v>
      </c>
      <c r="Z2502" s="4" t="n">
        <f aca="false">ROUND(MIN(1,MAX('Reward Model'!$B$2,INDEX('Reward Model'!$C$12:$C$14,MATCH($K2502,'Reward Model'!$A$12:$A$14,0))/$J2502)),3)</f>
        <v>1</v>
      </c>
      <c r="AA2502" s="2" t="n">
        <f aca="false">IF($I2502="Correct",ROUND(INDEX('Reward Model'!$B$12:$B$14,MATCH($K2502,'Reward Model'!$A$12:$A$14,0))*Z2502,2),0)</f>
        <v>1</v>
      </c>
      <c r="AB2502" s="2" t="n">
        <f aca="false">IF($I2502="Correct",ROUND(INDEX('Reward Model'!$B$12:$B$14,MATCH($Y2502,'Reward Model'!$A$12:$A$14,0))*Z2502,2),0)</f>
        <v>2</v>
      </c>
    </row>
    <row r="2503" customFormat="false" ht="15" hidden="false" customHeight="false" outlineLevel="0" collapsed="false">
      <c r="A2503" s="0" t="s">
        <v>382</v>
      </c>
      <c r="B2503" s="0" t="s">
        <v>383</v>
      </c>
      <c r="C2503" s="0" t="s">
        <v>322</v>
      </c>
      <c r="D2503" s="0" t="s">
        <v>31</v>
      </c>
      <c r="E2503" s="0" t="n">
        <v>2</v>
      </c>
      <c r="F2503" s="0" t="s">
        <v>36</v>
      </c>
      <c r="G2503" s="0" t="s">
        <v>38</v>
      </c>
      <c r="H2503" s="0" t="s">
        <v>38</v>
      </c>
      <c r="I2503" s="0" t="s">
        <v>34</v>
      </c>
      <c r="J2503" s="0" t="n">
        <v>1.73</v>
      </c>
      <c r="K2503" s="0" t="s">
        <v>35</v>
      </c>
      <c r="L2503" s="0" t="n">
        <f aca="false">INDEX(Summary!$F$2:$F$201,MATCH($B2503,Summary!$A$2:$A$201,0))</f>
        <v>20</v>
      </c>
      <c r="M2503" s="0" t="n">
        <f aca="false">INDEX(Summary!$I$2:$I$201,MATCH($B2503,Summary!$A$2:$A$201,0))</f>
        <v>2</v>
      </c>
      <c r="N2503" s="0" t="n">
        <f aca="false">INDEX(Summary!$J$2:$J$201,MATCH($B2503,Summary!$A$2:$A$201,0))</f>
        <v>3</v>
      </c>
      <c r="O2503" s="2" t="n">
        <f aca="false">INDEX(Summary!$K$2:$K$201,MATCH($B2503,Summary!$A$2:$A$201,0))</f>
        <v>9.01</v>
      </c>
      <c r="P2503" s="3" t="n">
        <f aca="false">INDEX(Summary!$L$2:$L$201,MATCH($B2503,Summary!$A$2:$A$201,0))</f>
        <v>5</v>
      </c>
      <c r="Q2503" s="3" t="n">
        <f aca="false">INDEX(Summary!$M$2:$M$201,MATCH($B2503,Summary!$A$2:$A$201,0))</f>
        <v>1</v>
      </c>
      <c r="R2503" s="2" t="n">
        <f aca="false">INDEX(Summary!$N$2:$N$201,MATCH($B2503,Summary!$A$2:$A$201,0))</f>
        <v>9.38</v>
      </c>
      <c r="S2503" s="3" t="n">
        <f aca="false">INDEX(Summary!$O$2:$O$201,MATCH($B2503,Summary!$A$2:$A$201,0))</f>
        <v>7</v>
      </c>
      <c r="T2503" s="3" t="n">
        <f aca="false">INDEX(Summary!$P$2:$P$201,MATCH($B2503,Summary!$A$2:$A$201,0))</f>
        <v>2</v>
      </c>
      <c r="U2503" s="2" t="n">
        <f aca="false">INDEX(Summary!$Q$2:$Q$201,MATCH($B2503,Summary!$A$2:$A$201,0))</f>
        <v>12.19</v>
      </c>
      <c r="V2503" s="2" t="n">
        <f aca="false">INDEX(Summary!$R$2:$R$201,MATCH($B2503,Summary!$A$2:$A$201,0))</f>
        <v>26.75</v>
      </c>
      <c r="W2503" s="0" t="str">
        <f aca="false">INDEX(Summary!$S$2:$S$201,MATCH($B2503,Summary!$A$2:$A$201,0))</f>
        <v>Silver</v>
      </c>
      <c r="X2503" s="2" t="n">
        <f aca="false">INDEX(Summary!$T$2:$T$201,MATCH($B2503,Summary!$A$2:$A$201,0))</f>
        <v>65.24</v>
      </c>
      <c r="Y2503" s="0" t="str">
        <f aca="false">INDEX('Reward Model'!$E$18:$E$37,MATCH($E2503,'Reward Model'!$A$18:$A$37,0))</f>
        <v>Low</v>
      </c>
      <c r="Z2503" s="4" t="n">
        <f aca="false">ROUND(MIN(1,MAX('Reward Model'!$B$2,INDEX('Reward Model'!$C$12:$C$14,MATCH($K2503,'Reward Model'!$A$12:$A$14,0))/$J2503)),3)</f>
        <v>0.867</v>
      </c>
      <c r="AA2503" s="2" t="n">
        <f aca="false">IF($I2503="Correct",ROUND(INDEX('Reward Model'!$B$12:$B$14,MATCH($K2503,'Reward Model'!$A$12:$A$14,0))*Z2503,2),0)</f>
        <v>0.87</v>
      </c>
      <c r="AB2503" s="2" t="n">
        <f aca="false">IF($I2503="Correct",ROUND(INDEX('Reward Model'!$B$12:$B$14,MATCH($Y2503,'Reward Model'!$A$12:$A$14,0))*Z2503,2),0)</f>
        <v>0.87</v>
      </c>
    </row>
    <row r="2504" customFormat="false" ht="15" hidden="false" customHeight="false" outlineLevel="0" collapsed="false">
      <c r="A2504" s="0" t="s">
        <v>382</v>
      </c>
      <c r="B2504" s="0" t="s">
        <v>383</v>
      </c>
      <c r="C2504" s="0" t="s">
        <v>322</v>
      </c>
      <c r="D2504" s="0" t="s">
        <v>31</v>
      </c>
      <c r="E2504" s="0" t="n">
        <v>3</v>
      </c>
      <c r="F2504" s="0" t="s">
        <v>40</v>
      </c>
      <c r="G2504" s="0" t="s">
        <v>42</v>
      </c>
      <c r="H2504" s="0" t="s">
        <v>42</v>
      </c>
      <c r="I2504" s="0" t="s">
        <v>34</v>
      </c>
      <c r="J2504" s="0" t="n">
        <v>1.35</v>
      </c>
      <c r="K2504" s="0" t="s">
        <v>35</v>
      </c>
      <c r="L2504" s="0" t="n">
        <f aca="false">INDEX(Summary!$F$2:$F$201,MATCH($B2504,Summary!$A$2:$A$201,0))</f>
        <v>20</v>
      </c>
      <c r="M2504" s="0" t="n">
        <f aca="false">INDEX(Summary!$I$2:$I$201,MATCH($B2504,Summary!$A$2:$A$201,0))</f>
        <v>2</v>
      </c>
      <c r="N2504" s="0" t="n">
        <f aca="false">INDEX(Summary!$J$2:$J$201,MATCH($B2504,Summary!$A$2:$A$201,0))</f>
        <v>3</v>
      </c>
      <c r="O2504" s="2" t="n">
        <f aca="false">INDEX(Summary!$K$2:$K$201,MATCH($B2504,Summary!$A$2:$A$201,0))</f>
        <v>9.01</v>
      </c>
      <c r="P2504" s="3" t="n">
        <f aca="false">INDEX(Summary!$L$2:$L$201,MATCH($B2504,Summary!$A$2:$A$201,0))</f>
        <v>5</v>
      </c>
      <c r="Q2504" s="3" t="n">
        <f aca="false">INDEX(Summary!$M$2:$M$201,MATCH($B2504,Summary!$A$2:$A$201,0))</f>
        <v>1</v>
      </c>
      <c r="R2504" s="2" t="n">
        <f aca="false">INDEX(Summary!$N$2:$N$201,MATCH($B2504,Summary!$A$2:$A$201,0))</f>
        <v>9.38</v>
      </c>
      <c r="S2504" s="3" t="n">
        <f aca="false">INDEX(Summary!$O$2:$O$201,MATCH($B2504,Summary!$A$2:$A$201,0))</f>
        <v>7</v>
      </c>
      <c r="T2504" s="3" t="n">
        <f aca="false">INDEX(Summary!$P$2:$P$201,MATCH($B2504,Summary!$A$2:$A$201,0))</f>
        <v>2</v>
      </c>
      <c r="U2504" s="2" t="n">
        <f aca="false">INDEX(Summary!$Q$2:$Q$201,MATCH($B2504,Summary!$A$2:$A$201,0))</f>
        <v>12.19</v>
      </c>
      <c r="V2504" s="2" t="n">
        <f aca="false">INDEX(Summary!$R$2:$R$201,MATCH($B2504,Summary!$A$2:$A$201,0))</f>
        <v>26.75</v>
      </c>
      <c r="W2504" s="0" t="str">
        <f aca="false">INDEX(Summary!$S$2:$S$201,MATCH($B2504,Summary!$A$2:$A$201,0))</f>
        <v>Silver</v>
      </c>
      <c r="X2504" s="2" t="n">
        <f aca="false">INDEX(Summary!$T$2:$T$201,MATCH($B2504,Summary!$A$2:$A$201,0))</f>
        <v>65.24</v>
      </c>
      <c r="Y2504" s="0" t="str">
        <f aca="false">INDEX('Reward Model'!$E$18:$E$37,MATCH($E2504,'Reward Model'!$A$18:$A$37,0))</f>
        <v>Medium</v>
      </c>
      <c r="Z2504" s="4" t="n">
        <f aca="false">ROUND(MIN(1,MAX('Reward Model'!$B$2,INDEX('Reward Model'!$C$12:$C$14,MATCH($K2504,'Reward Model'!$A$12:$A$14,0))/$J2504)),3)</f>
        <v>1</v>
      </c>
      <c r="AA2504" s="2" t="n">
        <f aca="false">IF($I2504="Correct",ROUND(INDEX('Reward Model'!$B$12:$B$14,MATCH($K2504,'Reward Model'!$A$12:$A$14,0))*Z2504,2),0)</f>
        <v>1</v>
      </c>
      <c r="AB2504" s="2" t="n">
        <f aca="false">IF($I2504="Correct",ROUND(INDEX('Reward Model'!$B$12:$B$14,MATCH($Y2504,'Reward Model'!$A$12:$A$14,0))*Z2504,2),0)</f>
        <v>2</v>
      </c>
    </row>
    <row r="2505" customFormat="false" ht="15" hidden="false" customHeight="false" outlineLevel="0" collapsed="false">
      <c r="A2505" s="0" t="s">
        <v>382</v>
      </c>
      <c r="B2505" s="0" t="s">
        <v>383</v>
      </c>
      <c r="C2505" s="0" t="s">
        <v>322</v>
      </c>
      <c r="D2505" s="0" t="s">
        <v>31</v>
      </c>
      <c r="E2505" s="0" t="n">
        <v>4</v>
      </c>
      <c r="F2505" s="0" t="s">
        <v>43</v>
      </c>
      <c r="G2505" s="0" t="s">
        <v>45</v>
      </c>
      <c r="H2505" s="0" t="s">
        <v>45</v>
      </c>
      <c r="I2505" s="0" t="s">
        <v>34</v>
      </c>
      <c r="J2505" s="0" t="n">
        <v>1.19</v>
      </c>
      <c r="K2505" s="0" t="s">
        <v>35</v>
      </c>
      <c r="L2505" s="0" t="n">
        <f aca="false">INDEX(Summary!$F$2:$F$201,MATCH($B2505,Summary!$A$2:$A$201,0))</f>
        <v>20</v>
      </c>
      <c r="M2505" s="0" t="n">
        <f aca="false">INDEX(Summary!$I$2:$I$201,MATCH($B2505,Summary!$A$2:$A$201,0))</f>
        <v>2</v>
      </c>
      <c r="N2505" s="0" t="n">
        <f aca="false">INDEX(Summary!$J$2:$J$201,MATCH($B2505,Summary!$A$2:$A$201,0))</f>
        <v>3</v>
      </c>
      <c r="O2505" s="2" t="n">
        <f aca="false">INDEX(Summary!$K$2:$K$201,MATCH($B2505,Summary!$A$2:$A$201,0))</f>
        <v>9.01</v>
      </c>
      <c r="P2505" s="3" t="n">
        <f aca="false">INDEX(Summary!$L$2:$L$201,MATCH($B2505,Summary!$A$2:$A$201,0))</f>
        <v>5</v>
      </c>
      <c r="Q2505" s="3" t="n">
        <f aca="false">INDEX(Summary!$M$2:$M$201,MATCH($B2505,Summary!$A$2:$A$201,0))</f>
        <v>1</v>
      </c>
      <c r="R2505" s="2" t="n">
        <f aca="false">INDEX(Summary!$N$2:$N$201,MATCH($B2505,Summary!$A$2:$A$201,0))</f>
        <v>9.38</v>
      </c>
      <c r="S2505" s="3" t="n">
        <f aca="false">INDEX(Summary!$O$2:$O$201,MATCH($B2505,Summary!$A$2:$A$201,0))</f>
        <v>7</v>
      </c>
      <c r="T2505" s="3" t="n">
        <f aca="false">INDEX(Summary!$P$2:$P$201,MATCH($B2505,Summary!$A$2:$A$201,0))</f>
        <v>2</v>
      </c>
      <c r="U2505" s="2" t="n">
        <f aca="false">INDEX(Summary!$Q$2:$Q$201,MATCH($B2505,Summary!$A$2:$A$201,0))</f>
        <v>12.19</v>
      </c>
      <c r="V2505" s="2" t="n">
        <f aca="false">INDEX(Summary!$R$2:$R$201,MATCH($B2505,Summary!$A$2:$A$201,0))</f>
        <v>26.75</v>
      </c>
      <c r="W2505" s="0" t="str">
        <f aca="false">INDEX(Summary!$S$2:$S$201,MATCH($B2505,Summary!$A$2:$A$201,0))</f>
        <v>Silver</v>
      </c>
      <c r="X2505" s="2" t="n">
        <f aca="false">INDEX(Summary!$T$2:$T$201,MATCH($B2505,Summary!$A$2:$A$201,0))</f>
        <v>65.24</v>
      </c>
      <c r="Y2505" s="0" t="str">
        <f aca="false">INDEX('Reward Model'!$E$18:$E$37,MATCH($E2505,'Reward Model'!$A$18:$A$37,0))</f>
        <v>Low</v>
      </c>
      <c r="Z2505" s="4" t="n">
        <f aca="false">ROUND(MIN(1,MAX('Reward Model'!$B$2,INDEX('Reward Model'!$C$12:$C$14,MATCH($K2505,'Reward Model'!$A$12:$A$14,0))/$J2505)),3)</f>
        <v>1</v>
      </c>
      <c r="AA2505" s="2" t="n">
        <f aca="false">IF($I2505="Correct",ROUND(INDEX('Reward Model'!$B$12:$B$14,MATCH($K2505,'Reward Model'!$A$12:$A$14,0))*Z2505,2),0)</f>
        <v>1</v>
      </c>
      <c r="AB2505" s="2" t="n">
        <f aca="false">IF($I2505="Correct",ROUND(INDEX('Reward Model'!$B$12:$B$14,MATCH($Y2505,'Reward Model'!$A$12:$A$14,0))*Z2505,2),0)</f>
        <v>1</v>
      </c>
    </row>
    <row r="2506" customFormat="false" ht="15" hidden="false" customHeight="false" outlineLevel="0" collapsed="false">
      <c r="A2506" s="0" t="s">
        <v>382</v>
      </c>
      <c r="B2506" s="0" t="s">
        <v>383</v>
      </c>
      <c r="C2506" s="0" t="s">
        <v>322</v>
      </c>
      <c r="D2506" s="0" t="s">
        <v>31</v>
      </c>
      <c r="E2506" s="0" t="n">
        <v>5</v>
      </c>
      <c r="F2506" s="0" t="s">
        <v>46</v>
      </c>
      <c r="G2506" s="0" t="s">
        <v>164</v>
      </c>
      <c r="H2506" s="0" t="s">
        <v>47</v>
      </c>
      <c r="I2506" s="0" t="s">
        <v>39</v>
      </c>
      <c r="J2506" s="0" t="n">
        <v>1.99</v>
      </c>
      <c r="K2506" s="0" t="s">
        <v>35</v>
      </c>
      <c r="L2506" s="0" t="n">
        <f aca="false">INDEX(Summary!$F$2:$F$201,MATCH($B2506,Summary!$A$2:$A$201,0))</f>
        <v>20</v>
      </c>
      <c r="M2506" s="0" t="n">
        <f aca="false">INDEX(Summary!$I$2:$I$201,MATCH($B2506,Summary!$A$2:$A$201,0))</f>
        <v>2</v>
      </c>
      <c r="N2506" s="0" t="n">
        <f aca="false">INDEX(Summary!$J$2:$J$201,MATCH($B2506,Summary!$A$2:$A$201,0))</f>
        <v>3</v>
      </c>
      <c r="O2506" s="2" t="n">
        <f aca="false">INDEX(Summary!$K$2:$K$201,MATCH($B2506,Summary!$A$2:$A$201,0))</f>
        <v>9.01</v>
      </c>
      <c r="P2506" s="3" t="n">
        <f aca="false">INDEX(Summary!$L$2:$L$201,MATCH($B2506,Summary!$A$2:$A$201,0))</f>
        <v>5</v>
      </c>
      <c r="Q2506" s="3" t="n">
        <f aca="false">INDEX(Summary!$M$2:$M$201,MATCH($B2506,Summary!$A$2:$A$201,0))</f>
        <v>1</v>
      </c>
      <c r="R2506" s="2" t="n">
        <f aca="false">INDEX(Summary!$N$2:$N$201,MATCH($B2506,Summary!$A$2:$A$201,0))</f>
        <v>9.38</v>
      </c>
      <c r="S2506" s="3" t="n">
        <f aca="false">INDEX(Summary!$O$2:$O$201,MATCH($B2506,Summary!$A$2:$A$201,0))</f>
        <v>7</v>
      </c>
      <c r="T2506" s="3" t="n">
        <f aca="false">INDEX(Summary!$P$2:$P$201,MATCH($B2506,Summary!$A$2:$A$201,0))</f>
        <v>2</v>
      </c>
      <c r="U2506" s="2" t="n">
        <f aca="false">INDEX(Summary!$Q$2:$Q$201,MATCH($B2506,Summary!$A$2:$A$201,0))</f>
        <v>12.19</v>
      </c>
      <c r="V2506" s="2" t="n">
        <f aca="false">INDEX(Summary!$R$2:$R$201,MATCH($B2506,Summary!$A$2:$A$201,0))</f>
        <v>26.75</v>
      </c>
      <c r="W2506" s="0" t="str">
        <f aca="false">INDEX(Summary!$S$2:$S$201,MATCH($B2506,Summary!$A$2:$A$201,0))</f>
        <v>Silver</v>
      </c>
      <c r="X2506" s="2" t="n">
        <f aca="false">INDEX(Summary!$T$2:$T$201,MATCH($B2506,Summary!$A$2:$A$201,0))</f>
        <v>65.24</v>
      </c>
      <c r="Y2506" s="0" t="str">
        <f aca="false">INDEX('Reward Model'!$E$18:$E$37,MATCH($E2506,'Reward Model'!$A$18:$A$37,0))</f>
        <v>Low</v>
      </c>
      <c r="Z2506" s="4" t="n">
        <f aca="false">ROUND(MIN(1,MAX('Reward Model'!$B$2,INDEX('Reward Model'!$C$12:$C$14,MATCH($K2506,'Reward Model'!$A$12:$A$14,0))/$J2506)),3)</f>
        <v>0.754</v>
      </c>
      <c r="AA2506" s="2" t="n">
        <f aca="false">IF($I2506="Correct",ROUND(INDEX('Reward Model'!$B$12:$B$14,MATCH($K2506,'Reward Model'!$A$12:$A$14,0))*Z2506,2),0)</f>
        <v>0</v>
      </c>
      <c r="AB2506" s="2" t="n">
        <f aca="false">IF($I2506="Correct",ROUND(INDEX('Reward Model'!$B$12:$B$14,MATCH($Y2506,'Reward Model'!$A$12:$A$14,0))*Z2506,2),0)</f>
        <v>0</v>
      </c>
    </row>
    <row r="2507" customFormat="false" ht="15" hidden="false" customHeight="false" outlineLevel="0" collapsed="false">
      <c r="A2507" s="0" t="s">
        <v>382</v>
      </c>
      <c r="B2507" s="0" t="s">
        <v>383</v>
      </c>
      <c r="C2507" s="0" t="s">
        <v>322</v>
      </c>
      <c r="D2507" s="0" t="s">
        <v>31</v>
      </c>
      <c r="E2507" s="0" t="n">
        <v>6</v>
      </c>
      <c r="F2507" s="0" t="s">
        <v>48</v>
      </c>
      <c r="G2507" s="0" t="s">
        <v>143</v>
      </c>
      <c r="H2507" s="0" t="s">
        <v>49</v>
      </c>
      <c r="I2507" s="0" t="s">
        <v>39</v>
      </c>
      <c r="J2507" s="0" t="n">
        <v>0.93</v>
      </c>
      <c r="K2507" s="0" t="s">
        <v>35</v>
      </c>
      <c r="L2507" s="0" t="n">
        <f aca="false">INDEX(Summary!$F$2:$F$201,MATCH($B2507,Summary!$A$2:$A$201,0))</f>
        <v>20</v>
      </c>
      <c r="M2507" s="0" t="n">
        <f aca="false">INDEX(Summary!$I$2:$I$201,MATCH($B2507,Summary!$A$2:$A$201,0))</f>
        <v>2</v>
      </c>
      <c r="N2507" s="0" t="n">
        <f aca="false">INDEX(Summary!$J$2:$J$201,MATCH($B2507,Summary!$A$2:$A$201,0))</f>
        <v>3</v>
      </c>
      <c r="O2507" s="2" t="n">
        <f aca="false">INDEX(Summary!$K$2:$K$201,MATCH($B2507,Summary!$A$2:$A$201,0))</f>
        <v>9.01</v>
      </c>
      <c r="P2507" s="3" t="n">
        <f aca="false">INDEX(Summary!$L$2:$L$201,MATCH($B2507,Summary!$A$2:$A$201,0))</f>
        <v>5</v>
      </c>
      <c r="Q2507" s="3" t="n">
        <f aca="false">INDEX(Summary!$M$2:$M$201,MATCH($B2507,Summary!$A$2:$A$201,0))</f>
        <v>1</v>
      </c>
      <c r="R2507" s="2" t="n">
        <f aca="false">INDEX(Summary!$N$2:$N$201,MATCH($B2507,Summary!$A$2:$A$201,0))</f>
        <v>9.38</v>
      </c>
      <c r="S2507" s="3" t="n">
        <f aca="false">INDEX(Summary!$O$2:$O$201,MATCH($B2507,Summary!$A$2:$A$201,0))</f>
        <v>7</v>
      </c>
      <c r="T2507" s="3" t="n">
        <f aca="false">INDEX(Summary!$P$2:$P$201,MATCH($B2507,Summary!$A$2:$A$201,0))</f>
        <v>2</v>
      </c>
      <c r="U2507" s="2" t="n">
        <f aca="false">INDEX(Summary!$Q$2:$Q$201,MATCH($B2507,Summary!$A$2:$A$201,0))</f>
        <v>12.19</v>
      </c>
      <c r="V2507" s="2" t="n">
        <f aca="false">INDEX(Summary!$R$2:$R$201,MATCH($B2507,Summary!$A$2:$A$201,0))</f>
        <v>26.75</v>
      </c>
      <c r="W2507" s="0" t="str">
        <f aca="false">INDEX(Summary!$S$2:$S$201,MATCH($B2507,Summary!$A$2:$A$201,0))</f>
        <v>Silver</v>
      </c>
      <c r="X2507" s="2" t="n">
        <f aca="false">INDEX(Summary!$T$2:$T$201,MATCH($B2507,Summary!$A$2:$A$201,0))</f>
        <v>65.24</v>
      </c>
      <c r="Y2507" s="0" t="str">
        <f aca="false">INDEX('Reward Model'!$E$18:$E$37,MATCH($E2507,'Reward Model'!$A$18:$A$37,0))</f>
        <v>Medium</v>
      </c>
      <c r="Z2507" s="4" t="n">
        <f aca="false">ROUND(MIN(1,MAX('Reward Model'!$B$2,INDEX('Reward Model'!$C$12:$C$14,MATCH($K2507,'Reward Model'!$A$12:$A$14,0))/$J2507)),3)</f>
        <v>1</v>
      </c>
      <c r="AA2507" s="2" t="n">
        <f aca="false">IF($I2507="Correct",ROUND(INDEX('Reward Model'!$B$12:$B$14,MATCH($K2507,'Reward Model'!$A$12:$A$14,0))*Z2507,2),0)</f>
        <v>0</v>
      </c>
      <c r="AB2507" s="2" t="n">
        <f aca="false">IF($I2507="Correct",ROUND(INDEX('Reward Model'!$B$12:$B$14,MATCH($Y2507,'Reward Model'!$A$12:$A$14,0))*Z2507,2),0)</f>
        <v>0</v>
      </c>
    </row>
    <row r="2508" customFormat="false" ht="15" hidden="false" customHeight="false" outlineLevel="0" collapsed="false">
      <c r="A2508" s="0" t="s">
        <v>382</v>
      </c>
      <c r="B2508" s="0" t="s">
        <v>383</v>
      </c>
      <c r="C2508" s="0" t="s">
        <v>322</v>
      </c>
      <c r="D2508" s="0" t="s">
        <v>31</v>
      </c>
      <c r="E2508" s="0" t="n">
        <v>7</v>
      </c>
      <c r="F2508" s="0" t="s">
        <v>50</v>
      </c>
      <c r="G2508" s="0" t="s">
        <v>51</v>
      </c>
      <c r="H2508" s="0" t="s">
        <v>51</v>
      </c>
      <c r="I2508" s="0" t="s">
        <v>34</v>
      </c>
      <c r="J2508" s="0" t="n">
        <v>1.04</v>
      </c>
      <c r="K2508" s="0" t="s">
        <v>35</v>
      </c>
      <c r="L2508" s="0" t="n">
        <f aca="false">INDEX(Summary!$F$2:$F$201,MATCH($B2508,Summary!$A$2:$A$201,0))</f>
        <v>20</v>
      </c>
      <c r="M2508" s="0" t="n">
        <f aca="false">INDEX(Summary!$I$2:$I$201,MATCH($B2508,Summary!$A$2:$A$201,0))</f>
        <v>2</v>
      </c>
      <c r="N2508" s="0" t="n">
        <f aca="false">INDEX(Summary!$J$2:$J$201,MATCH($B2508,Summary!$A$2:$A$201,0))</f>
        <v>3</v>
      </c>
      <c r="O2508" s="2" t="n">
        <f aca="false">INDEX(Summary!$K$2:$K$201,MATCH($B2508,Summary!$A$2:$A$201,0))</f>
        <v>9.01</v>
      </c>
      <c r="P2508" s="3" t="n">
        <f aca="false">INDEX(Summary!$L$2:$L$201,MATCH($B2508,Summary!$A$2:$A$201,0))</f>
        <v>5</v>
      </c>
      <c r="Q2508" s="3" t="n">
        <f aca="false">INDEX(Summary!$M$2:$M$201,MATCH($B2508,Summary!$A$2:$A$201,0))</f>
        <v>1</v>
      </c>
      <c r="R2508" s="2" t="n">
        <f aca="false">INDEX(Summary!$N$2:$N$201,MATCH($B2508,Summary!$A$2:$A$201,0))</f>
        <v>9.38</v>
      </c>
      <c r="S2508" s="3" t="n">
        <f aca="false">INDEX(Summary!$O$2:$O$201,MATCH($B2508,Summary!$A$2:$A$201,0))</f>
        <v>7</v>
      </c>
      <c r="T2508" s="3" t="n">
        <f aca="false">INDEX(Summary!$P$2:$P$201,MATCH($B2508,Summary!$A$2:$A$201,0))</f>
        <v>2</v>
      </c>
      <c r="U2508" s="2" t="n">
        <f aca="false">INDEX(Summary!$Q$2:$Q$201,MATCH($B2508,Summary!$A$2:$A$201,0))</f>
        <v>12.19</v>
      </c>
      <c r="V2508" s="2" t="n">
        <f aca="false">INDEX(Summary!$R$2:$R$201,MATCH($B2508,Summary!$A$2:$A$201,0))</f>
        <v>26.75</v>
      </c>
      <c r="W2508" s="0" t="str">
        <f aca="false">INDEX(Summary!$S$2:$S$201,MATCH($B2508,Summary!$A$2:$A$201,0))</f>
        <v>Silver</v>
      </c>
      <c r="X2508" s="2" t="n">
        <f aca="false">INDEX(Summary!$T$2:$T$201,MATCH($B2508,Summary!$A$2:$A$201,0))</f>
        <v>65.24</v>
      </c>
      <c r="Y2508" s="0" t="str">
        <f aca="false">INDEX('Reward Model'!$E$18:$E$37,MATCH($E2508,'Reward Model'!$A$18:$A$37,0))</f>
        <v>Low</v>
      </c>
      <c r="Z2508" s="4" t="n">
        <f aca="false">ROUND(MIN(1,MAX('Reward Model'!$B$2,INDEX('Reward Model'!$C$12:$C$14,MATCH($K2508,'Reward Model'!$A$12:$A$14,0))/$J2508)),3)</f>
        <v>1</v>
      </c>
      <c r="AA2508" s="2" t="n">
        <f aca="false">IF($I2508="Correct",ROUND(INDEX('Reward Model'!$B$12:$B$14,MATCH($K2508,'Reward Model'!$A$12:$A$14,0))*Z2508,2),0)</f>
        <v>1</v>
      </c>
      <c r="AB2508" s="2" t="n">
        <f aca="false">IF($I2508="Correct",ROUND(INDEX('Reward Model'!$B$12:$B$14,MATCH($Y2508,'Reward Model'!$A$12:$A$14,0))*Z2508,2),0)</f>
        <v>1</v>
      </c>
    </row>
    <row r="2509" customFormat="false" ht="15" hidden="false" customHeight="false" outlineLevel="0" collapsed="false">
      <c r="A2509" s="0" t="s">
        <v>382</v>
      </c>
      <c r="B2509" s="0" t="s">
        <v>383</v>
      </c>
      <c r="C2509" s="0" t="s">
        <v>322</v>
      </c>
      <c r="D2509" s="0" t="s">
        <v>31</v>
      </c>
      <c r="E2509" s="0" t="n">
        <v>8</v>
      </c>
      <c r="F2509" s="0" t="s">
        <v>52</v>
      </c>
      <c r="G2509" s="0" t="s">
        <v>54</v>
      </c>
      <c r="H2509" s="0" t="s">
        <v>54</v>
      </c>
      <c r="I2509" s="0" t="s">
        <v>34</v>
      </c>
      <c r="J2509" s="0" t="n">
        <v>1.56</v>
      </c>
      <c r="K2509" s="0" t="s">
        <v>35</v>
      </c>
      <c r="L2509" s="0" t="n">
        <f aca="false">INDEX(Summary!$F$2:$F$201,MATCH($B2509,Summary!$A$2:$A$201,0))</f>
        <v>20</v>
      </c>
      <c r="M2509" s="0" t="n">
        <f aca="false">INDEX(Summary!$I$2:$I$201,MATCH($B2509,Summary!$A$2:$A$201,0))</f>
        <v>2</v>
      </c>
      <c r="N2509" s="0" t="n">
        <f aca="false">INDEX(Summary!$J$2:$J$201,MATCH($B2509,Summary!$A$2:$A$201,0))</f>
        <v>3</v>
      </c>
      <c r="O2509" s="2" t="n">
        <f aca="false">INDEX(Summary!$K$2:$K$201,MATCH($B2509,Summary!$A$2:$A$201,0))</f>
        <v>9.01</v>
      </c>
      <c r="P2509" s="3" t="n">
        <f aca="false">INDEX(Summary!$L$2:$L$201,MATCH($B2509,Summary!$A$2:$A$201,0))</f>
        <v>5</v>
      </c>
      <c r="Q2509" s="3" t="n">
        <f aca="false">INDEX(Summary!$M$2:$M$201,MATCH($B2509,Summary!$A$2:$A$201,0))</f>
        <v>1</v>
      </c>
      <c r="R2509" s="2" t="n">
        <f aca="false">INDEX(Summary!$N$2:$N$201,MATCH($B2509,Summary!$A$2:$A$201,0))</f>
        <v>9.38</v>
      </c>
      <c r="S2509" s="3" t="n">
        <f aca="false">INDEX(Summary!$O$2:$O$201,MATCH($B2509,Summary!$A$2:$A$201,0))</f>
        <v>7</v>
      </c>
      <c r="T2509" s="3" t="n">
        <f aca="false">INDEX(Summary!$P$2:$P$201,MATCH($B2509,Summary!$A$2:$A$201,0))</f>
        <v>2</v>
      </c>
      <c r="U2509" s="2" t="n">
        <f aca="false">INDEX(Summary!$Q$2:$Q$201,MATCH($B2509,Summary!$A$2:$A$201,0))</f>
        <v>12.19</v>
      </c>
      <c r="V2509" s="2" t="n">
        <f aca="false">INDEX(Summary!$R$2:$R$201,MATCH($B2509,Summary!$A$2:$A$201,0))</f>
        <v>26.75</v>
      </c>
      <c r="W2509" s="0" t="str">
        <f aca="false">INDEX(Summary!$S$2:$S$201,MATCH($B2509,Summary!$A$2:$A$201,0))</f>
        <v>Silver</v>
      </c>
      <c r="X2509" s="2" t="n">
        <f aca="false">INDEX(Summary!$T$2:$T$201,MATCH($B2509,Summary!$A$2:$A$201,0))</f>
        <v>65.24</v>
      </c>
      <c r="Y2509" s="0" t="str">
        <f aca="false">INDEX('Reward Model'!$E$18:$E$37,MATCH($E2509,'Reward Model'!$A$18:$A$37,0))</f>
        <v>Medium</v>
      </c>
      <c r="Z2509" s="4" t="n">
        <f aca="false">ROUND(MIN(1,MAX('Reward Model'!$B$2,INDEX('Reward Model'!$C$12:$C$14,MATCH($K2509,'Reward Model'!$A$12:$A$14,0))/$J2509)),3)</f>
        <v>0.962</v>
      </c>
      <c r="AA2509" s="2" t="n">
        <f aca="false">IF($I2509="Correct",ROUND(INDEX('Reward Model'!$B$12:$B$14,MATCH($K2509,'Reward Model'!$A$12:$A$14,0))*Z2509,2),0)</f>
        <v>0.96</v>
      </c>
      <c r="AB2509" s="2" t="n">
        <f aca="false">IF($I2509="Correct",ROUND(INDEX('Reward Model'!$B$12:$B$14,MATCH($Y2509,'Reward Model'!$A$12:$A$14,0))*Z2509,2),0)</f>
        <v>1.92</v>
      </c>
    </row>
    <row r="2510" customFormat="false" ht="15" hidden="false" customHeight="false" outlineLevel="0" collapsed="false">
      <c r="A2510" s="0" t="s">
        <v>382</v>
      </c>
      <c r="B2510" s="0" t="s">
        <v>383</v>
      </c>
      <c r="C2510" s="0" t="s">
        <v>322</v>
      </c>
      <c r="D2510" s="0" t="s">
        <v>31</v>
      </c>
      <c r="E2510" s="0" t="n">
        <v>9</v>
      </c>
      <c r="F2510" s="0" t="s">
        <v>55</v>
      </c>
      <c r="G2510" s="0" t="s">
        <v>57</v>
      </c>
      <c r="H2510" s="0" t="s">
        <v>57</v>
      </c>
      <c r="I2510" s="0" t="s">
        <v>34</v>
      </c>
      <c r="J2510" s="0" t="n">
        <v>0.96</v>
      </c>
      <c r="K2510" s="0" t="s">
        <v>35</v>
      </c>
      <c r="L2510" s="0" t="n">
        <f aca="false">INDEX(Summary!$F$2:$F$201,MATCH($B2510,Summary!$A$2:$A$201,0))</f>
        <v>20</v>
      </c>
      <c r="M2510" s="0" t="n">
        <f aca="false">INDEX(Summary!$I$2:$I$201,MATCH($B2510,Summary!$A$2:$A$201,0))</f>
        <v>2</v>
      </c>
      <c r="N2510" s="0" t="n">
        <f aca="false">INDEX(Summary!$J$2:$J$201,MATCH($B2510,Summary!$A$2:$A$201,0))</f>
        <v>3</v>
      </c>
      <c r="O2510" s="2" t="n">
        <f aca="false">INDEX(Summary!$K$2:$K$201,MATCH($B2510,Summary!$A$2:$A$201,0))</f>
        <v>9.01</v>
      </c>
      <c r="P2510" s="3" t="n">
        <f aca="false">INDEX(Summary!$L$2:$L$201,MATCH($B2510,Summary!$A$2:$A$201,0))</f>
        <v>5</v>
      </c>
      <c r="Q2510" s="3" t="n">
        <f aca="false">INDEX(Summary!$M$2:$M$201,MATCH($B2510,Summary!$A$2:$A$201,0))</f>
        <v>1</v>
      </c>
      <c r="R2510" s="2" t="n">
        <f aca="false">INDEX(Summary!$N$2:$N$201,MATCH($B2510,Summary!$A$2:$A$201,0))</f>
        <v>9.38</v>
      </c>
      <c r="S2510" s="3" t="n">
        <f aca="false">INDEX(Summary!$O$2:$O$201,MATCH($B2510,Summary!$A$2:$A$201,0))</f>
        <v>7</v>
      </c>
      <c r="T2510" s="3" t="n">
        <f aca="false">INDEX(Summary!$P$2:$P$201,MATCH($B2510,Summary!$A$2:$A$201,0))</f>
        <v>2</v>
      </c>
      <c r="U2510" s="2" t="n">
        <f aca="false">INDEX(Summary!$Q$2:$Q$201,MATCH($B2510,Summary!$A$2:$A$201,0))</f>
        <v>12.19</v>
      </c>
      <c r="V2510" s="2" t="n">
        <f aca="false">INDEX(Summary!$R$2:$R$201,MATCH($B2510,Summary!$A$2:$A$201,0))</f>
        <v>26.75</v>
      </c>
      <c r="W2510" s="0" t="str">
        <f aca="false">INDEX(Summary!$S$2:$S$201,MATCH($B2510,Summary!$A$2:$A$201,0))</f>
        <v>Silver</v>
      </c>
      <c r="X2510" s="2" t="n">
        <f aca="false">INDEX(Summary!$T$2:$T$201,MATCH($B2510,Summary!$A$2:$A$201,0))</f>
        <v>65.24</v>
      </c>
      <c r="Y2510" s="0" t="str">
        <f aca="false">INDEX('Reward Model'!$E$18:$E$37,MATCH($E2510,'Reward Model'!$A$18:$A$37,0))</f>
        <v>Medium</v>
      </c>
      <c r="Z2510" s="4" t="n">
        <f aca="false">ROUND(MIN(1,MAX('Reward Model'!$B$2,INDEX('Reward Model'!$C$12:$C$14,MATCH($K2510,'Reward Model'!$A$12:$A$14,0))/$J2510)),3)</f>
        <v>1</v>
      </c>
      <c r="AA2510" s="2" t="n">
        <f aca="false">IF($I2510="Correct",ROUND(INDEX('Reward Model'!$B$12:$B$14,MATCH($K2510,'Reward Model'!$A$12:$A$14,0))*Z2510,2),0)</f>
        <v>1</v>
      </c>
      <c r="AB2510" s="2" t="n">
        <f aca="false">IF($I2510="Correct",ROUND(INDEX('Reward Model'!$B$12:$B$14,MATCH($Y2510,'Reward Model'!$A$12:$A$14,0))*Z2510,2),0)</f>
        <v>2</v>
      </c>
    </row>
    <row r="2511" customFormat="false" ht="15" hidden="false" customHeight="false" outlineLevel="0" collapsed="false">
      <c r="A2511" s="0" t="s">
        <v>382</v>
      </c>
      <c r="B2511" s="0" t="s">
        <v>383</v>
      </c>
      <c r="C2511" s="0" t="s">
        <v>322</v>
      </c>
      <c r="D2511" s="0" t="s">
        <v>31</v>
      </c>
      <c r="E2511" s="0" t="n">
        <v>10</v>
      </c>
      <c r="F2511" s="0" t="s">
        <v>58</v>
      </c>
      <c r="G2511" s="0" t="s">
        <v>59</v>
      </c>
      <c r="H2511" s="0" t="s">
        <v>59</v>
      </c>
      <c r="I2511" s="0" t="s">
        <v>34</v>
      </c>
      <c r="J2511" s="0" t="n">
        <v>1.72</v>
      </c>
      <c r="K2511" s="0" t="s">
        <v>60</v>
      </c>
      <c r="L2511" s="0" t="n">
        <f aca="false">INDEX(Summary!$F$2:$F$201,MATCH($B2511,Summary!$A$2:$A$201,0))</f>
        <v>20</v>
      </c>
      <c r="M2511" s="0" t="n">
        <f aca="false">INDEX(Summary!$I$2:$I$201,MATCH($B2511,Summary!$A$2:$A$201,0))</f>
        <v>2</v>
      </c>
      <c r="N2511" s="0" t="n">
        <f aca="false">INDEX(Summary!$J$2:$J$201,MATCH($B2511,Summary!$A$2:$A$201,0))</f>
        <v>3</v>
      </c>
      <c r="O2511" s="2" t="n">
        <f aca="false">INDEX(Summary!$K$2:$K$201,MATCH($B2511,Summary!$A$2:$A$201,0))</f>
        <v>9.01</v>
      </c>
      <c r="P2511" s="3" t="n">
        <f aca="false">INDEX(Summary!$L$2:$L$201,MATCH($B2511,Summary!$A$2:$A$201,0))</f>
        <v>5</v>
      </c>
      <c r="Q2511" s="3" t="n">
        <f aca="false">INDEX(Summary!$M$2:$M$201,MATCH($B2511,Summary!$A$2:$A$201,0))</f>
        <v>1</v>
      </c>
      <c r="R2511" s="2" t="n">
        <f aca="false">INDEX(Summary!$N$2:$N$201,MATCH($B2511,Summary!$A$2:$A$201,0))</f>
        <v>9.38</v>
      </c>
      <c r="S2511" s="3" t="n">
        <f aca="false">INDEX(Summary!$O$2:$O$201,MATCH($B2511,Summary!$A$2:$A$201,0))</f>
        <v>7</v>
      </c>
      <c r="T2511" s="3" t="n">
        <f aca="false">INDEX(Summary!$P$2:$P$201,MATCH($B2511,Summary!$A$2:$A$201,0))</f>
        <v>2</v>
      </c>
      <c r="U2511" s="2" t="n">
        <f aca="false">INDEX(Summary!$Q$2:$Q$201,MATCH($B2511,Summary!$A$2:$A$201,0))</f>
        <v>12.19</v>
      </c>
      <c r="V2511" s="2" t="n">
        <f aca="false">INDEX(Summary!$R$2:$R$201,MATCH($B2511,Summary!$A$2:$A$201,0))</f>
        <v>26.75</v>
      </c>
      <c r="W2511" s="0" t="str">
        <f aca="false">INDEX(Summary!$S$2:$S$201,MATCH($B2511,Summary!$A$2:$A$201,0))</f>
        <v>Silver</v>
      </c>
      <c r="X2511" s="2" t="n">
        <f aca="false">INDEX(Summary!$T$2:$T$201,MATCH($B2511,Summary!$A$2:$A$201,0))</f>
        <v>65.24</v>
      </c>
      <c r="Y2511" s="0" t="str">
        <f aca="false">INDEX('Reward Model'!$E$18:$E$37,MATCH($E2511,'Reward Model'!$A$18:$A$37,0))</f>
        <v>Medium</v>
      </c>
      <c r="Z2511" s="4" t="n">
        <f aca="false">ROUND(MIN(1,MAX('Reward Model'!$B$2,INDEX('Reward Model'!$C$12:$C$14,MATCH($K2511,'Reward Model'!$A$12:$A$14,0))/$J2511)),3)</f>
        <v>1</v>
      </c>
      <c r="AA2511" s="2" t="n">
        <f aca="false">IF($I2511="Correct",ROUND(INDEX('Reward Model'!$B$12:$B$14,MATCH($K2511,'Reward Model'!$A$12:$A$14,0))*Z2511,2),0)</f>
        <v>2</v>
      </c>
      <c r="AB2511" s="2" t="n">
        <f aca="false">IF($I2511="Correct",ROUND(INDEX('Reward Model'!$B$12:$B$14,MATCH($Y2511,'Reward Model'!$A$12:$A$14,0))*Z2511,2),0)</f>
        <v>2</v>
      </c>
    </row>
    <row r="2512" customFormat="false" ht="15" hidden="false" customHeight="false" outlineLevel="0" collapsed="false">
      <c r="A2512" s="0" t="s">
        <v>382</v>
      </c>
      <c r="B2512" s="0" t="s">
        <v>383</v>
      </c>
      <c r="C2512" s="0" t="s">
        <v>322</v>
      </c>
      <c r="D2512" s="0" t="s">
        <v>31</v>
      </c>
      <c r="E2512" s="0" t="n">
        <v>11</v>
      </c>
      <c r="F2512" s="0" t="s">
        <v>61</v>
      </c>
      <c r="G2512" s="0" t="s">
        <v>63</v>
      </c>
      <c r="H2512" s="0" t="s">
        <v>63</v>
      </c>
      <c r="I2512" s="0" t="s">
        <v>34</v>
      </c>
      <c r="J2512" s="0" t="n">
        <v>1.33</v>
      </c>
      <c r="K2512" s="0" t="s">
        <v>60</v>
      </c>
      <c r="L2512" s="0" t="n">
        <f aca="false">INDEX(Summary!$F$2:$F$201,MATCH($B2512,Summary!$A$2:$A$201,0))</f>
        <v>20</v>
      </c>
      <c r="M2512" s="0" t="n">
        <f aca="false">INDEX(Summary!$I$2:$I$201,MATCH($B2512,Summary!$A$2:$A$201,0))</f>
        <v>2</v>
      </c>
      <c r="N2512" s="0" t="n">
        <f aca="false">INDEX(Summary!$J$2:$J$201,MATCH($B2512,Summary!$A$2:$A$201,0))</f>
        <v>3</v>
      </c>
      <c r="O2512" s="2" t="n">
        <f aca="false">INDEX(Summary!$K$2:$K$201,MATCH($B2512,Summary!$A$2:$A$201,0))</f>
        <v>9.01</v>
      </c>
      <c r="P2512" s="3" t="n">
        <f aca="false">INDEX(Summary!$L$2:$L$201,MATCH($B2512,Summary!$A$2:$A$201,0))</f>
        <v>5</v>
      </c>
      <c r="Q2512" s="3" t="n">
        <f aca="false">INDEX(Summary!$M$2:$M$201,MATCH($B2512,Summary!$A$2:$A$201,0))</f>
        <v>1</v>
      </c>
      <c r="R2512" s="2" t="n">
        <f aca="false">INDEX(Summary!$N$2:$N$201,MATCH($B2512,Summary!$A$2:$A$201,0))</f>
        <v>9.38</v>
      </c>
      <c r="S2512" s="3" t="n">
        <f aca="false">INDEX(Summary!$O$2:$O$201,MATCH($B2512,Summary!$A$2:$A$201,0))</f>
        <v>7</v>
      </c>
      <c r="T2512" s="3" t="n">
        <f aca="false">INDEX(Summary!$P$2:$P$201,MATCH($B2512,Summary!$A$2:$A$201,0))</f>
        <v>2</v>
      </c>
      <c r="U2512" s="2" t="n">
        <f aca="false">INDEX(Summary!$Q$2:$Q$201,MATCH($B2512,Summary!$A$2:$A$201,0))</f>
        <v>12.19</v>
      </c>
      <c r="V2512" s="2" t="n">
        <f aca="false">INDEX(Summary!$R$2:$R$201,MATCH($B2512,Summary!$A$2:$A$201,0))</f>
        <v>26.75</v>
      </c>
      <c r="W2512" s="0" t="str">
        <f aca="false">INDEX(Summary!$S$2:$S$201,MATCH($B2512,Summary!$A$2:$A$201,0))</f>
        <v>Silver</v>
      </c>
      <c r="X2512" s="2" t="n">
        <f aca="false">INDEX(Summary!$T$2:$T$201,MATCH($B2512,Summary!$A$2:$A$201,0))</f>
        <v>65.24</v>
      </c>
      <c r="Y2512" s="0" t="str">
        <f aca="false">INDEX('Reward Model'!$E$18:$E$37,MATCH($E2512,'Reward Model'!$A$18:$A$37,0))</f>
        <v>Medium</v>
      </c>
      <c r="Z2512" s="4" t="n">
        <f aca="false">ROUND(MIN(1,MAX('Reward Model'!$B$2,INDEX('Reward Model'!$C$12:$C$14,MATCH($K2512,'Reward Model'!$A$12:$A$14,0))/$J2512)),3)</f>
        <v>1</v>
      </c>
      <c r="AA2512" s="2" t="n">
        <f aca="false">IF($I2512="Correct",ROUND(INDEX('Reward Model'!$B$12:$B$14,MATCH($K2512,'Reward Model'!$A$12:$A$14,0))*Z2512,2),0)</f>
        <v>2</v>
      </c>
      <c r="AB2512" s="2" t="n">
        <f aca="false">IF($I2512="Correct",ROUND(INDEX('Reward Model'!$B$12:$B$14,MATCH($Y2512,'Reward Model'!$A$12:$A$14,0))*Z2512,2),0)</f>
        <v>2</v>
      </c>
    </row>
    <row r="2513" customFormat="false" ht="15" hidden="false" customHeight="false" outlineLevel="0" collapsed="false">
      <c r="A2513" s="0" t="s">
        <v>382</v>
      </c>
      <c r="B2513" s="0" t="s">
        <v>383</v>
      </c>
      <c r="C2513" s="0" t="s">
        <v>322</v>
      </c>
      <c r="D2513" s="0" t="s">
        <v>31</v>
      </c>
      <c r="E2513" s="0" t="n">
        <v>12</v>
      </c>
      <c r="F2513" s="0" t="s">
        <v>64</v>
      </c>
      <c r="G2513" s="0" t="s">
        <v>65</v>
      </c>
      <c r="H2513" s="0" t="s">
        <v>65</v>
      </c>
      <c r="I2513" s="0" t="s">
        <v>34</v>
      </c>
      <c r="J2513" s="0" t="n">
        <v>1.32</v>
      </c>
      <c r="K2513" s="0" t="s">
        <v>60</v>
      </c>
      <c r="L2513" s="0" t="n">
        <f aca="false">INDEX(Summary!$F$2:$F$201,MATCH($B2513,Summary!$A$2:$A$201,0))</f>
        <v>20</v>
      </c>
      <c r="M2513" s="0" t="n">
        <f aca="false">INDEX(Summary!$I$2:$I$201,MATCH($B2513,Summary!$A$2:$A$201,0))</f>
        <v>2</v>
      </c>
      <c r="N2513" s="0" t="n">
        <f aca="false">INDEX(Summary!$J$2:$J$201,MATCH($B2513,Summary!$A$2:$A$201,0))</f>
        <v>3</v>
      </c>
      <c r="O2513" s="2" t="n">
        <f aca="false">INDEX(Summary!$K$2:$K$201,MATCH($B2513,Summary!$A$2:$A$201,0))</f>
        <v>9.01</v>
      </c>
      <c r="P2513" s="3" t="n">
        <f aca="false">INDEX(Summary!$L$2:$L$201,MATCH($B2513,Summary!$A$2:$A$201,0))</f>
        <v>5</v>
      </c>
      <c r="Q2513" s="3" t="n">
        <f aca="false">INDEX(Summary!$M$2:$M$201,MATCH($B2513,Summary!$A$2:$A$201,0))</f>
        <v>1</v>
      </c>
      <c r="R2513" s="2" t="n">
        <f aca="false">INDEX(Summary!$N$2:$N$201,MATCH($B2513,Summary!$A$2:$A$201,0))</f>
        <v>9.38</v>
      </c>
      <c r="S2513" s="3" t="n">
        <f aca="false">INDEX(Summary!$O$2:$O$201,MATCH($B2513,Summary!$A$2:$A$201,0))</f>
        <v>7</v>
      </c>
      <c r="T2513" s="3" t="n">
        <f aca="false">INDEX(Summary!$P$2:$P$201,MATCH($B2513,Summary!$A$2:$A$201,0))</f>
        <v>2</v>
      </c>
      <c r="U2513" s="2" t="n">
        <f aca="false">INDEX(Summary!$Q$2:$Q$201,MATCH($B2513,Summary!$A$2:$A$201,0))</f>
        <v>12.19</v>
      </c>
      <c r="V2513" s="2" t="n">
        <f aca="false">INDEX(Summary!$R$2:$R$201,MATCH($B2513,Summary!$A$2:$A$201,0))</f>
        <v>26.75</v>
      </c>
      <c r="W2513" s="0" t="str">
        <f aca="false">INDEX(Summary!$S$2:$S$201,MATCH($B2513,Summary!$A$2:$A$201,0))</f>
        <v>Silver</v>
      </c>
      <c r="X2513" s="2" t="n">
        <f aca="false">INDEX(Summary!$T$2:$T$201,MATCH($B2513,Summary!$A$2:$A$201,0))</f>
        <v>65.24</v>
      </c>
      <c r="Y2513" s="0" t="str">
        <f aca="false">INDEX('Reward Model'!$E$18:$E$37,MATCH($E2513,'Reward Model'!$A$18:$A$37,0))</f>
        <v>Medium</v>
      </c>
      <c r="Z2513" s="4" t="n">
        <f aca="false">ROUND(MIN(1,MAX('Reward Model'!$B$2,INDEX('Reward Model'!$C$12:$C$14,MATCH($K2513,'Reward Model'!$A$12:$A$14,0))/$J2513)),3)</f>
        <v>1</v>
      </c>
      <c r="AA2513" s="2" t="n">
        <f aca="false">IF($I2513="Correct",ROUND(INDEX('Reward Model'!$B$12:$B$14,MATCH($K2513,'Reward Model'!$A$12:$A$14,0))*Z2513,2),0)</f>
        <v>2</v>
      </c>
      <c r="AB2513" s="2" t="n">
        <f aca="false">IF($I2513="Correct",ROUND(INDEX('Reward Model'!$B$12:$B$14,MATCH($Y2513,'Reward Model'!$A$12:$A$14,0))*Z2513,2),0)</f>
        <v>2</v>
      </c>
    </row>
    <row r="2514" customFormat="false" ht="15" hidden="false" customHeight="false" outlineLevel="0" collapsed="false">
      <c r="A2514" s="0" t="s">
        <v>382</v>
      </c>
      <c r="B2514" s="0" t="s">
        <v>383</v>
      </c>
      <c r="C2514" s="0" t="s">
        <v>322</v>
      </c>
      <c r="D2514" s="0" t="s">
        <v>31</v>
      </c>
      <c r="E2514" s="0" t="n">
        <v>13</v>
      </c>
      <c r="F2514" s="0" t="s">
        <v>66</v>
      </c>
      <c r="G2514" s="0" t="s">
        <v>165</v>
      </c>
      <c r="H2514" s="0" t="s">
        <v>67</v>
      </c>
      <c r="I2514" s="0" t="s">
        <v>39</v>
      </c>
      <c r="J2514" s="0" t="n">
        <v>1.82</v>
      </c>
      <c r="K2514" s="0" t="s">
        <v>60</v>
      </c>
      <c r="L2514" s="0" t="n">
        <f aca="false">INDEX(Summary!$F$2:$F$201,MATCH($B2514,Summary!$A$2:$A$201,0))</f>
        <v>20</v>
      </c>
      <c r="M2514" s="0" t="n">
        <f aca="false">INDEX(Summary!$I$2:$I$201,MATCH($B2514,Summary!$A$2:$A$201,0))</f>
        <v>2</v>
      </c>
      <c r="N2514" s="0" t="n">
        <f aca="false">INDEX(Summary!$J$2:$J$201,MATCH($B2514,Summary!$A$2:$A$201,0))</f>
        <v>3</v>
      </c>
      <c r="O2514" s="2" t="n">
        <f aca="false">INDEX(Summary!$K$2:$K$201,MATCH($B2514,Summary!$A$2:$A$201,0))</f>
        <v>9.01</v>
      </c>
      <c r="P2514" s="3" t="n">
        <f aca="false">INDEX(Summary!$L$2:$L$201,MATCH($B2514,Summary!$A$2:$A$201,0))</f>
        <v>5</v>
      </c>
      <c r="Q2514" s="3" t="n">
        <f aca="false">INDEX(Summary!$M$2:$M$201,MATCH($B2514,Summary!$A$2:$A$201,0))</f>
        <v>1</v>
      </c>
      <c r="R2514" s="2" t="n">
        <f aca="false">INDEX(Summary!$N$2:$N$201,MATCH($B2514,Summary!$A$2:$A$201,0))</f>
        <v>9.38</v>
      </c>
      <c r="S2514" s="3" t="n">
        <f aca="false">INDEX(Summary!$O$2:$O$201,MATCH($B2514,Summary!$A$2:$A$201,0))</f>
        <v>7</v>
      </c>
      <c r="T2514" s="3" t="n">
        <f aca="false">INDEX(Summary!$P$2:$P$201,MATCH($B2514,Summary!$A$2:$A$201,0))</f>
        <v>2</v>
      </c>
      <c r="U2514" s="2" t="n">
        <f aca="false">INDEX(Summary!$Q$2:$Q$201,MATCH($B2514,Summary!$A$2:$A$201,0))</f>
        <v>12.19</v>
      </c>
      <c r="V2514" s="2" t="n">
        <f aca="false">INDEX(Summary!$R$2:$R$201,MATCH($B2514,Summary!$A$2:$A$201,0))</f>
        <v>26.75</v>
      </c>
      <c r="W2514" s="0" t="str">
        <f aca="false">INDEX(Summary!$S$2:$S$201,MATCH($B2514,Summary!$A$2:$A$201,0))</f>
        <v>Silver</v>
      </c>
      <c r="X2514" s="2" t="n">
        <f aca="false">INDEX(Summary!$T$2:$T$201,MATCH($B2514,Summary!$A$2:$A$201,0))</f>
        <v>65.24</v>
      </c>
      <c r="Y2514" s="0" t="str">
        <f aca="false">INDEX('Reward Model'!$E$18:$E$37,MATCH($E2514,'Reward Model'!$A$18:$A$37,0))</f>
        <v>Medium</v>
      </c>
      <c r="Z2514" s="4" t="n">
        <f aca="false">ROUND(MIN(1,MAX('Reward Model'!$B$2,INDEX('Reward Model'!$C$12:$C$14,MATCH($K2514,'Reward Model'!$A$12:$A$14,0))/$J2514)),3)</f>
        <v>0.989</v>
      </c>
      <c r="AA2514" s="2" t="n">
        <f aca="false">IF($I2514="Correct",ROUND(INDEX('Reward Model'!$B$12:$B$14,MATCH($K2514,'Reward Model'!$A$12:$A$14,0))*Z2514,2),0)</f>
        <v>0</v>
      </c>
      <c r="AB2514" s="2" t="n">
        <f aca="false">IF($I2514="Correct",ROUND(INDEX('Reward Model'!$B$12:$B$14,MATCH($Y2514,'Reward Model'!$A$12:$A$14,0))*Z2514,2),0)</f>
        <v>0</v>
      </c>
    </row>
    <row r="2515" customFormat="false" ht="15" hidden="false" customHeight="false" outlineLevel="0" collapsed="false">
      <c r="A2515" s="0" t="s">
        <v>382</v>
      </c>
      <c r="B2515" s="0" t="s">
        <v>383</v>
      </c>
      <c r="C2515" s="0" t="s">
        <v>322</v>
      </c>
      <c r="D2515" s="0" t="s">
        <v>31</v>
      </c>
      <c r="E2515" s="0" t="n">
        <v>14</v>
      </c>
      <c r="F2515" s="0" t="s">
        <v>68</v>
      </c>
      <c r="G2515" s="0" t="s">
        <v>51</v>
      </c>
      <c r="H2515" s="0" t="s">
        <v>51</v>
      </c>
      <c r="I2515" s="0" t="s">
        <v>34</v>
      </c>
      <c r="J2515" s="0" t="n">
        <v>1.35</v>
      </c>
      <c r="K2515" s="0" t="s">
        <v>60</v>
      </c>
      <c r="L2515" s="0" t="n">
        <f aca="false">INDEX(Summary!$F$2:$F$201,MATCH($B2515,Summary!$A$2:$A$201,0))</f>
        <v>20</v>
      </c>
      <c r="M2515" s="0" t="n">
        <f aca="false">INDEX(Summary!$I$2:$I$201,MATCH($B2515,Summary!$A$2:$A$201,0))</f>
        <v>2</v>
      </c>
      <c r="N2515" s="0" t="n">
        <f aca="false">INDEX(Summary!$J$2:$J$201,MATCH($B2515,Summary!$A$2:$A$201,0))</f>
        <v>3</v>
      </c>
      <c r="O2515" s="2" t="n">
        <f aca="false">INDEX(Summary!$K$2:$K$201,MATCH($B2515,Summary!$A$2:$A$201,0))</f>
        <v>9.01</v>
      </c>
      <c r="P2515" s="3" t="n">
        <f aca="false">INDEX(Summary!$L$2:$L$201,MATCH($B2515,Summary!$A$2:$A$201,0))</f>
        <v>5</v>
      </c>
      <c r="Q2515" s="3" t="n">
        <f aca="false">INDEX(Summary!$M$2:$M$201,MATCH($B2515,Summary!$A$2:$A$201,0))</f>
        <v>1</v>
      </c>
      <c r="R2515" s="2" t="n">
        <f aca="false">INDEX(Summary!$N$2:$N$201,MATCH($B2515,Summary!$A$2:$A$201,0))</f>
        <v>9.38</v>
      </c>
      <c r="S2515" s="3" t="n">
        <f aca="false">INDEX(Summary!$O$2:$O$201,MATCH($B2515,Summary!$A$2:$A$201,0))</f>
        <v>7</v>
      </c>
      <c r="T2515" s="3" t="n">
        <f aca="false">INDEX(Summary!$P$2:$P$201,MATCH($B2515,Summary!$A$2:$A$201,0))</f>
        <v>2</v>
      </c>
      <c r="U2515" s="2" t="n">
        <f aca="false">INDEX(Summary!$Q$2:$Q$201,MATCH($B2515,Summary!$A$2:$A$201,0))</f>
        <v>12.19</v>
      </c>
      <c r="V2515" s="2" t="n">
        <f aca="false">INDEX(Summary!$R$2:$R$201,MATCH($B2515,Summary!$A$2:$A$201,0))</f>
        <v>26.75</v>
      </c>
      <c r="W2515" s="0" t="str">
        <f aca="false">INDEX(Summary!$S$2:$S$201,MATCH($B2515,Summary!$A$2:$A$201,0))</f>
        <v>Silver</v>
      </c>
      <c r="X2515" s="2" t="n">
        <f aca="false">INDEX(Summary!$T$2:$T$201,MATCH($B2515,Summary!$A$2:$A$201,0))</f>
        <v>65.24</v>
      </c>
      <c r="Y2515" s="0" t="str">
        <f aca="false">INDEX('Reward Model'!$E$18:$E$37,MATCH($E2515,'Reward Model'!$A$18:$A$37,0))</f>
        <v>Medium</v>
      </c>
      <c r="Z2515" s="4" t="n">
        <f aca="false">ROUND(MIN(1,MAX('Reward Model'!$B$2,INDEX('Reward Model'!$C$12:$C$14,MATCH($K2515,'Reward Model'!$A$12:$A$14,0))/$J2515)),3)</f>
        <v>1</v>
      </c>
      <c r="AA2515" s="2" t="n">
        <f aca="false">IF($I2515="Correct",ROUND(INDEX('Reward Model'!$B$12:$B$14,MATCH($K2515,'Reward Model'!$A$12:$A$14,0))*Z2515,2),0)</f>
        <v>2</v>
      </c>
      <c r="AB2515" s="2" t="n">
        <f aca="false">IF($I2515="Correct",ROUND(INDEX('Reward Model'!$B$12:$B$14,MATCH($Y2515,'Reward Model'!$A$12:$A$14,0))*Z2515,2),0)</f>
        <v>2</v>
      </c>
    </row>
    <row r="2516" customFormat="false" ht="15" hidden="false" customHeight="false" outlineLevel="0" collapsed="false">
      <c r="A2516" s="0" t="s">
        <v>382</v>
      </c>
      <c r="B2516" s="0" t="s">
        <v>383</v>
      </c>
      <c r="C2516" s="0" t="s">
        <v>322</v>
      </c>
      <c r="D2516" s="0" t="s">
        <v>31</v>
      </c>
      <c r="E2516" s="0" t="n">
        <v>15</v>
      </c>
      <c r="F2516" s="0" t="s">
        <v>69</v>
      </c>
      <c r="G2516" s="0" t="s">
        <v>70</v>
      </c>
      <c r="H2516" s="0" t="s">
        <v>70</v>
      </c>
      <c r="I2516" s="0" t="s">
        <v>34</v>
      </c>
      <c r="J2516" s="0" t="n">
        <v>1.84</v>
      </c>
      <c r="K2516" s="0" t="s">
        <v>60</v>
      </c>
      <c r="L2516" s="0" t="n">
        <f aca="false">INDEX(Summary!$F$2:$F$201,MATCH($B2516,Summary!$A$2:$A$201,0))</f>
        <v>20</v>
      </c>
      <c r="M2516" s="0" t="n">
        <f aca="false">INDEX(Summary!$I$2:$I$201,MATCH($B2516,Summary!$A$2:$A$201,0))</f>
        <v>2</v>
      </c>
      <c r="N2516" s="0" t="n">
        <f aca="false">INDEX(Summary!$J$2:$J$201,MATCH($B2516,Summary!$A$2:$A$201,0))</f>
        <v>3</v>
      </c>
      <c r="O2516" s="2" t="n">
        <f aca="false">INDEX(Summary!$K$2:$K$201,MATCH($B2516,Summary!$A$2:$A$201,0))</f>
        <v>9.01</v>
      </c>
      <c r="P2516" s="3" t="n">
        <f aca="false">INDEX(Summary!$L$2:$L$201,MATCH($B2516,Summary!$A$2:$A$201,0))</f>
        <v>5</v>
      </c>
      <c r="Q2516" s="3" t="n">
        <f aca="false">INDEX(Summary!$M$2:$M$201,MATCH($B2516,Summary!$A$2:$A$201,0))</f>
        <v>1</v>
      </c>
      <c r="R2516" s="2" t="n">
        <f aca="false">INDEX(Summary!$N$2:$N$201,MATCH($B2516,Summary!$A$2:$A$201,0))</f>
        <v>9.38</v>
      </c>
      <c r="S2516" s="3" t="n">
        <f aca="false">INDEX(Summary!$O$2:$O$201,MATCH($B2516,Summary!$A$2:$A$201,0))</f>
        <v>7</v>
      </c>
      <c r="T2516" s="3" t="n">
        <f aca="false">INDEX(Summary!$P$2:$P$201,MATCH($B2516,Summary!$A$2:$A$201,0))</f>
        <v>2</v>
      </c>
      <c r="U2516" s="2" t="n">
        <f aca="false">INDEX(Summary!$Q$2:$Q$201,MATCH($B2516,Summary!$A$2:$A$201,0))</f>
        <v>12.19</v>
      </c>
      <c r="V2516" s="2" t="n">
        <f aca="false">INDEX(Summary!$R$2:$R$201,MATCH($B2516,Summary!$A$2:$A$201,0))</f>
        <v>26.75</v>
      </c>
      <c r="W2516" s="0" t="str">
        <f aca="false">INDEX(Summary!$S$2:$S$201,MATCH($B2516,Summary!$A$2:$A$201,0))</f>
        <v>Silver</v>
      </c>
      <c r="X2516" s="2" t="n">
        <f aca="false">INDEX(Summary!$T$2:$T$201,MATCH($B2516,Summary!$A$2:$A$201,0))</f>
        <v>65.24</v>
      </c>
      <c r="Y2516" s="0" t="str">
        <f aca="false">INDEX('Reward Model'!$E$18:$E$37,MATCH($E2516,'Reward Model'!$A$18:$A$37,0))</f>
        <v>Medium</v>
      </c>
      <c r="Z2516" s="4" t="n">
        <f aca="false">ROUND(MIN(1,MAX('Reward Model'!$B$2,INDEX('Reward Model'!$C$12:$C$14,MATCH($K2516,'Reward Model'!$A$12:$A$14,0))/$J2516)),3)</f>
        <v>0.978</v>
      </c>
      <c r="AA2516" s="2" t="n">
        <f aca="false">IF($I2516="Correct",ROUND(INDEX('Reward Model'!$B$12:$B$14,MATCH($K2516,'Reward Model'!$A$12:$A$14,0))*Z2516,2),0)</f>
        <v>1.96</v>
      </c>
      <c r="AB2516" s="2" t="n">
        <f aca="false">IF($I2516="Correct",ROUND(INDEX('Reward Model'!$B$12:$B$14,MATCH($Y2516,'Reward Model'!$A$12:$A$14,0))*Z2516,2),0)</f>
        <v>1.96</v>
      </c>
    </row>
    <row r="2517" customFormat="false" ht="15" hidden="false" customHeight="false" outlineLevel="0" collapsed="false">
      <c r="A2517" s="0" t="s">
        <v>382</v>
      </c>
      <c r="B2517" s="0" t="s">
        <v>383</v>
      </c>
      <c r="C2517" s="0" t="s">
        <v>322</v>
      </c>
      <c r="D2517" s="0" t="s">
        <v>31</v>
      </c>
      <c r="E2517" s="0" t="n">
        <v>16</v>
      </c>
      <c r="F2517" s="0" t="s">
        <v>71</v>
      </c>
      <c r="G2517" s="0" t="s">
        <v>72</v>
      </c>
      <c r="H2517" s="0" t="s">
        <v>72</v>
      </c>
      <c r="I2517" s="0" t="s">
        <v>34</v>
      </c>
      <c r="J2517" s="0" t="n">
        <v>1.51</v>
      </c>
      <c r="K2517" s="0" t="s">
        <v>73</v>
      </c>
      <c r="L2517" s="0" t="n">
        <f aca="false">INDEX(Summary!$F$2:$F$201,MATCH($B2517,Summary!$A$2:$A$201,0))</f>
        <v>20</v>
      </c>
      <c r="M2517" s="0" t="n">
        <f aca="false">INDEX(Summary!$I$2:$I$201,MATCH($B2517,Summary!$A$2:$A$201,0))</f>
        <v>2</v>
      </c>
      <c r="N2517" s="0" t="n">
        <f aca="false">INDEX(Summary!$J$2:$J$201,MATCH($B2517,Summary!$A$2:$A$201,0))</f>
        <v>3</v>
      </c>
      <c r="O2517" s="2" t="n">
        <f aca="false">INDEX(Summary!$K$2:$K$201,MATCH($B2517,Summary!$A$2:$A$201,0))</f>
        <v>9.01</v>
      </c>
      <c r="P2517" s="3" t="n">
        <f aca="false">INDEX(Summary!$L$2:$L$201,MATCH($B2517,Summary!$A$2:$A$201,0))</f>
        <v>5</v>
      </c>
      <c r="Q2517" s="3" t="n">
        <f aca="false">INDEX(Summary!$M$2:$M$201,MATCH($B2517,Summary!$A$2:$A$201,0))</f>
        <v>1</v>
      </c>
      <c r="R2517" s="2" t="n">
        <f aca="false">INDEX(Summary!$N$2:$N$201,MATCH($B2517,Summary!$A$2:$A$201,0))</f>
        <v>9.38</v>
      </c>
      <c r="S2517" s="3" t="n">
        <f aca="false">INDEX(Summary!$O$2:$O$201,MATCH($B2517,Summary!$A$2:$A$201,0))</f>
        <v>7</v>
      </c>
      <c r="T2517" s="3" t="n">
        <f aca="false">INDEX(Summary!$P$2:$P$201,MATCH($B2517,Summary!$A$2:$A$201,0))</f>
        <v>2</v>
      </c>
      <c r="U2517" s="2" t="n">
        <f aca="false">INDEX(Summary!$Q$2:$Q$201,MATCH($B2517,Summary!$A$2:$A$201,0))</f>
        <v>12.19</v>
      </c>
      <c r="V2517" s="2" t="n">
        <f aca="false">INDEX(Summary!$R$2:$R$201,MATCH($B2517,Summary!$A$2:$A$201,0))</f>
        <v>26.75</v>
      </c>
      <c r="W2517" s="0" t="str">
        <f aca="false">INDEX(Summary!$S$2:$S$201,MATCH($B2517,Summary!$A$2:$A$201,0))</f>
        <v>Silver</v>
      </c>
      <c r="X2517" s="2" t="n">
        <f aca="false">INDEX(Summary!$T$2:$T$201,MATCH($B2517,Summary!$A$2:$A$201,0))</f>
        <v>65.24</v>
      </c>
      <c r="Y2517" s="0" t="str">
        <f aca="false">INDEX('Reward Model'!$E$18:$E$37,MATCH($E2517,'Reward Model'!$A$18:$A$37,0))</f>
        <v>High</v>
      </c>
      <c r="Z2517" s="4" t="n">
        <f aca="false">ROUND(MIN(1,MAX('Reward Model'!$B$2,INDEX('Reward Model'!$C$12:$C$14,MATCH($K2517,'Reward Model'!$A$12:$A$14,0))/$J2517)),3)</f>
        <v>1</v>
      </c>
      <c r="AA2517" s="2" t="n">
        <f aca="false">IF($I2517="Correct",ROUND(INDEX('Reward Model'!$B$12:$B$14,MATCH($K2517,'Reward Model'!$A$12:$A$14,0))*Z2517,2),0)</f>
        <v>3</v>
      </c>
      <c r="AB2517" s="2" t="n">
        <f aca="false">IF($I2517="Correct",ROUND(INDEX('Reward Model'!$B$12:$B$14,MATCH($Y2517,'Reward Model'!$A$12:$A$14,0))*Z2517,2),0)</f>
        <v>3</v>
      </c>
    </row>
    <row r="2518" customFormat="false" ht="15" hidden="false" customHeight="false" outlineLevel="0" collapsed="false">
      <c r="A2518" s="0" t="s">
        <v>382</v>
      </c>
      <c r="B2518" s="0" t="s">
        <v>383</v>
      </c>
      <c r="C2518" s="0" t="s">
        <v>322</v>
      </c>
      <c r="D2518" s="0" t="s">
        <v>31</v>
      </c>
      <c r="E2518" s="0" t="n">
        <v>17</v>
      </c>
      <c r="F2518" s="0" t="s">
        <v>74</v>
      </c>
      <c r="G2518" s="0" t="s">
        <v>91</v>
      </c>
      <c r="H2518" s="0" t="s">
        <v>75</v>
      </c>
      <c r="I2518" s="0" t="s">
        <v>39</v>
      </c>
      <c r="J2518" s="0" t="n">
        <v>2.56</v>
      </c>
      <c r="K2518" s="0" t="s">
        <v>73</v>
      </c>
      <c r="L2518" s="0" t="n">
        <f aca="false">INDEX(Summary!$F$2:$F$201,MATCH($B2518,Summary!$A$2:$A$201,0))</f>
        <v>20</v>
      </c>
      <c r="M2518" s="0" t="n">
        <f aca="false">INDEX(Summary!$I$2:$I$201,MATCH($B2518,Summary!$A$2:$A$201,0))</f>
        <v>2</v>
      </c>
      <c r="N2518" s="0" t="n">
        <f aca="false">INDEX(Summary!$J$2:$J$201,MATCH($B2518,Summary!$A$2:$A$201,0))</f>
        <v>3</v>
      </c>
      <c r="O2518" s="2" t="n">
        <f aca="false">INDEX(Summary!$K$2:$K$201,MATCH($B2518,Summary!$A$2:$A$201,0))</f>
        <v>9.01</v>
      </c>
      <c r="P2518" s="3" t="n">
        <f aca="false">INDEX(Summary!$L$2:$L$201,MATCH($B2518,Summary!$A$2:$A$201,0))</f>
        <v>5</v>
      </c>
      <c r="Q2518" s="3" t="n">
        <f aca="false">INDEX(Summary!$M$2:$M$201,MATCH($B2518,Summary!$A$2:$A$201,0))</f>
        <v>1</v>
      </c>
      <c r="R2518" s="2" t="n">
        <f aca="false">INDEX(Summary!$N$2:$N$201,MATCH($B2518,Summary!$A$2:$A$201,0))</f>
        <v>9.38</v>
      </c>
      <c r="S2518" s="3" t="n">
        <f aca="false">INDEX(Summary!$O$2:$O$201,MATCH($B2518,Summary!$A$2:$A$201,0))</f>
        <v>7</v>
      </c>
      <c r="T2518" s="3" t="n">
        <f aca="false">INDEX(Summary!$P$2:$P$201,MATCH($B2518,Summary!$A$2:$A$201,0))</f>
        <v>2</v>
      </c>
      <c r="U2518" s="2" t="n">
        <f aca="false">INDEX(Summary!$Q$2:$Q$201,MATCH($B2518,Summary!$A$2:$A$201,0))</f>
        <v>12.19</v>
      </c>
      <c r="V2518" s="2" t="n">
        <f aca="false">INDEX(Summary!$R$2:$R$201,MATCH($B2518,Summary!$A$2:$A$201,0))</f>
        <v>26.75</v>
      </c>
      <c r="W2518" s="0" t="str">
        <f aca="false">INDEX(Summary!$S$2:$S$201,MATCH($B2518,Summary!$A$2:$A$201,0))</f>
        <v>Silver</v>
      </c>
      <c r="X2518" s="2" t="n">
        <f aca="false">INDEX(Summary!$T$2:$T$201,MATCH($B2518,Summary!$A$2:$A$201,0))</f>
        <v>65.24</v>
      </c>
      <c r="Y2518" s="0" t="str">
        <f aca="false">INDEX('Reward Model'!$E$18:$E$37,MATCH($E2518,'Reward Model'!$A$18:$A$37,0))</f>
        <v>High</v>
      </c>
      <c r="Z2518" s="4" t="n">
        <f aca="false">ROUND(MIN(1,MAX('Reward Model'!$B$2,INDEX('Reward Model'!$C$12:$C$14,MATCH($K2518,'Reward Model'!$A$12:$A$14,0))/$J2518)),3)</f>
        <v>0.781</v>
      </c>
      <c r="AA2518" s="2" t="n">
        <f aca="false">IF($I2518="Correct",ROUND(INDEX('Reward Model'!$B$12:$B$14,MATCH($K2518,'Reward Model'!$A$12:$A$14,0))*Z2518,2),0)</f>
        <v>0</v>
      </c>
      <c r="AB2518" s="2" t="n">
        <f aca="false">IF($I2518="Correct",ROUND(INDEX('Reward Model'!$B$12:$B$14,MATCH($Y2518,'Reward Model'!$A$12:$A$14,0))*Z2518,2),0)</f>
        <v>0</v>
      </c>
    </row>
    <row r="2519" customFormat="false" ht="15" hidden="false" customHeight="false" outlineLevel="0" collapsed="false">
      <c r="A2519" s="0" t="s">
        <v>382</v>
      </c>
      <c r="B2519" s="0" t="s">
        <v>383</v>
      </c>
      <c r="C2519" s="0" t="s">
        <v>322</v>
      </c>
      <c r="D2519" s="0" t="s">
        <v>31</v>
      </c>
      <c r="E2519" s="0" t="n">
        <v>18</v>
      </c>
      <c r="F2519" s="0" t="s">
        <v>76</v>
      </c>
      <c r="G2519" s="0" t="s">
        <v>88</v>
      </c>
      <c r="H2519" s="0" t="s">
        <v>77</v>
      </c>
      <c r="I2519" s="0" t="s">
        <v>39</v>
      </c>
      <c r="J2519" s="0" t="n">
        <v>2.2</v>
      </c>
      <c r="K2519" s="0" t="s">
        <v>73</v>
      </c>
      <c r="L2519" s="0" t="n">
        <f aca="false">INDEX(Summary!$F$2:$F$201,MATCH($B2519,Summary!$A$2:$A$201,0))</f>
        <v>20</v>
      </c>
      <c r="M2519" s="0" t="n">
        <f aca="false">INDEX(Summary!$I$2:$I$201,MATCH($B2519,Summary!$A$2:$A$201,0))</f>
        <v>2</v>
      </c>
      <c r="N2519" s="0" t="n">
        <f aca="false">INDEX(Summary!$J$2:$J$201,MATCH($B2519,Summary!$A$2:$A$201,0))</f>
        <v>3</v>
      </c>
      <c r="O2519" s="2" t="n">
        <f aca="false">INDEX(Summary!$K$2:$K$201,MATCH($B2519,Summary!$A$2:$A$201,0))</f>
        <v>9.01</v>
      </c>
      <c r="P2519" s="3" t="n">
        <f aca="false">INDEX(Summary!$L$2:$L$201,MATCH($B2519,Summary!$A$2:$A$201,0))</f>
        <v>5</v>
      </c>
      <c r="Q2519" s="3" t="n">
        <f aca="false">INDEX(Summary!$M$2:$M$201,MATCH($B2519,Summary!$A$2:$A$201,0))</f>
        <v>1</v>
      </c>
      <c r="R2519" s="2" t="n">
        <f aca="false">INDEX(Summary!$N$2:$N$201,MATCH($B2519,Summary!$A$2:$A$201,0))</f>
        <v>9.38</v>
      </c>
      <c r="S2519" s="3" t="n">
        <f aca="false">INDEX(Summary!$O$2:$O$201,MATCH($B2519,Summary!$A$2:$A$201,0))</f>
        <v>7</v>
      </c>
      <c r="T2519" s="3" t="n">
        <f aca="false">INDEX(Summary!$P$2:$P$201,MATCH($B2519,Summary!$A$2:$A$201,0))</f>
        <v>2</v>
      </c>
      <c r="U2519" s="2" t="n">
        <f aca="false">INDEX(Summary!$Q$2:$Q$201,MATCH($B2519,Summary!$A$2:$A$201,0))</f>
        <v>12.19</v>
      </c>
      <c r="V2519" s="2" t="n">
        <f aca="false">INDEX(Summary!$R$2:$R$201,MATCH($B2519,Summary!$A$2:$A$201,0))</f>
        <v>26.75</v>
      </c>
      <c r="W2519" s="0" t="str">
        <f aca="false">INDEX(Summary!$S$2:$S$201,MATCH($B2519,Summary!$A$2:$A$201,0))</f>
        <v>Silver</v>
      </c>
      <c r="X2519" s="2" t="n">
        <f aca="false">INDEX(Summary!$T$2:$T$201,MATCH($B2519,Summary!$A$2:$A$201,0))</f>
        <v>65.24</v>
      </c>
      <c r="Y2519" s="0" t="str">
        <f aca="false">INDEX('Reward Model'!$E$18:$E$37,MATCH($E2519,'Reward Model'!$A$18:$A$37,0))</f>
        <v>High</v>
      </c>
      <c r="Z2519" s="4" t="n">
        <f aca="false">ROUND(MIN(1,MAX('Reward Model'!$B$2,INDEX('Reward Model'!$C$12:$C$14,MATCH($K2519,'Reward Model'!$A$12:$A$14,0))/$J2519)),3)</f>
        <v>0.909</v>
      </c>
      <c r="AA2519" s="2" t="n">
        <f aca="false">IF($I2519="Correct",ROUND(INDEX('Reward Model'!$B$12:$B$14,MATCH($K2519,'Reward Model'!$A$12:$A$14,0))*Z2519,2),0)</f>
        <v>0</v>
      </c>
      <c r="AB2519" s="2" t="n">
        <f aca="false">IF($I2519="Correct",ROUND(INDEX('Reward Model'!$B$12:$B$14,MATCH($Y2519,'Reward Model'!$A$12:$A$14,0))*Z2519,2),0)</f>
        <v>0</v>
      </c>
    </row>
    <row r="2520" customFormat="false" ht="15" hidden="false" customHeight="false" outlineLevel="0" collapsed="false">
      <c r="A2520" s="0" t="s">
        <v>382</v>
      </c>
      <c r="B2520" s="0" t="s">
        <v>383</v>
      </c>
      <c r="C2520" s="0" t="s">
        <v>322</v>
      </c>
      <c r="D2520" s="0" t="s">
        <v>31</v>
      </c>
      <c r="E2520" s="0" t="n">
        <v>19</v>
      </c>
      <c r="F2520" s="0" t="s">
        <v>78</v>
      </c>
      <c r="G2520" s="0" t="s">
        <v>51</v>
      </c>
      <c r="H2520" s="0" t="s">
        <v>80</v>
      </c>
      <c r="I2520" s="0" t="s">
        <v>39</v>
      </c>
      <c r="J2520" s="0" t="n">
        <v>1.44</v>
      </c>
      <c r="K2520" s="0" t="s">
        <v>73</v>
      </c>
      <c r="L2520" s="0" t="n">
        <f aca="false">INDEX(Summary!$F$2:$F$201,MATCH($B2520,Summary!$A$2:$A$201,0))</f>
        <v>20</v>
      </c>
      <c r="M2520" s="0" t="n">
        <f aca="false">INDEX(Summary!$I$2:$I$201,MATCH($B2520,Summary!$A$2:$A$201,0))</f>
        <v>2</v>
      </c>
      <c r="N2520" s="0" t="n">
        <f aca="false">INDEX(Summary!$J$2:$J$201,MATCH($B2520,Summary!$A$2:$A$201,0))</f>
        <v>3</v>
      </c>
      <c r="O2520" s="2" t="n">
        <f aca="false">INDEX(Summary!$K$2:$K$201,MATCH($B2520,Summary!$A$2:$A$201,0))</f>
        <v>9.01</v>
      </c>
      <c r="P2520" s="3" t="n">
        <f aca="false">INDEX(Summary!$L$2:$L$201,MATCH($B2520,Summary!$A$2:$A$201,0))</f>
        <v>5</v>
      </c>
      <c r="Q2520" s="3" t="n">
        <f aca="false">INDEX(Summary!$M$2:$M$201,MATCH($B2520,Summary!$A$2:$A$201,0))</f>
        <v>1</v>
      </c>
      <c r="R2520" s="2" t="n">
        <f aca="false">INDEX(Summary!$N$2:$N$201,MATCH($B2520,Summary!$A$2:$A$201,0))</f>
        <v>9.38</v>
      </c>
      <c r="S2520" s="3" t="n">
        <f aca="false">INDEX(Summary!$O$2:$O$201,MATCH($B2520,Summary!$A$2:$A$201,0))</f>
        <v>7</v>
      </c>
      <c r="T2520" s="3" t="n">
        <f aca="false">INDEX(Summary!$P$2:$P$201,MATCH($B2520,Summary!$A$2:$A$201,0))</f>
        <v>2</v>
      </c>
      <c r="U2520" s="2" t="n">
        <f aca="false">INDEX(Summary!$Q$2:$Q$201,MATCH($B2520,Summary!$A$2:$A$201,0))</f>
        <v>12.19</v>
      </c>
      <c r="V2520" s="2" t="n">
        <f aca="false">INDEX(Summary!$R$2:$R$201,MATCH($B2520,Summary!$A$2:$A$201,0))</f>
        <v>26.75</v>
      </c>
      <c r="W2520" s="0" t="str">
        <f aca="false">INDEX(Summary!$S$2:$S$201,MATCH($B2520,Summary!$A$2:$A$201,0))</f>
        <v>Silver</v>
      </c>
      <c r="X2520" s="2" t="n">
        <f aca="false">INDEX(Summary!$T$2:$T$201,MATCH($B2520,Summary!$A$2:$A$201,0))</f>
        <v>65.24</v>
      </c>
      <c r="Y2520" s="0" t="str">
        <f aca="false">INDEX('Reward Model'!$E$18:$E$37,MATCH($E2520,'Reward Model'!$A$18:$A$37,0))</f>
        <v>High</v>
      </c>
      <c r="Z2520" s="4" t="n">
        <f aca="false">ROUND(MIN(1,MAX('Reward Model'!$B$2,INDEX('Reward Model'!$C$12:$C$14,MATCH($K2520,'Reward Model'!$A$12:$A$14,0))/$J2520)),3)</f>
        <v>1</v>
      </c>
      <c r="AA2520" s="2" t="n">
        <f aca="false">IF($I2520="Correct",ROUND(INDEX('Reward Model'!$B$12:$B$14,MATCH($K2520,'Reward Model'!$A$12:$A$14,0))*Z2520,2),0)</f>
        <v>0</v>
      </c>
      <c r="AB2520" s="2" t="n">
        <f aca="false">IF($I2520="Correct",ROUND(INDEX('Reward Model'!$B$12:$B$14,MATCH($Y2520,'Reward Model'!$A$12:$A$14,0))*Z2520,2),0)</f>
        <v>0</v>
      </c>
    </row>
    <row r="2521" customFormat="false" ht="15" hidden="false" customHeight="false" outlineLevel="0" collapsed="false">
      <c r="A2521" s="0" t="s">
        <v>382</v>
      </c>
      <c r="B2521" s="0" t="s">
        <v>383</v>
      </c>
      <c r="C2521" s="0" t="s">
        <v>322</v>
      </c>
      <c r="D2521" s="0" t="s">
        <v>31</v>
      </c>
      <c r="E2521" s="0" t="n">
        <v>20</v>
      </c>
      <c r="F2521" s="0" t="s">
        <v>81</v>
      </c>
      <c r="G2521" s="0" t="s">
        <v>83</v>
      </c>
      <c r="H2521" s="0" t="s">
        <v>83</v>
      </c>
      <c r="I2521" s="0" t="s">
        <v>34</v>
      </c>
      <c r="J2521" s="0" t="n">
        <v>1.3</v>
      </c>
      <c r="K2521" s="0" t="s">
        <v>73</v>
      </c>
      <c r="L2521" s="0" t="n">
        <f aca="false">INDEX(Summary!$F$2:$F$201,MATCH($B2521,Summary!$A$2:$A$201,0))</f>
        <v>20</v>
      </c>
      <c r="M2521" s="0" t="n">
        <f aca="false">INDEX(Summary!$I$2:$I$201,MATCH($B2521,Summary!$A$2:$A$201,0))</f>
        <v>2</v>
      </c>
      <c r="N2521" s="0" t="n">
        <f aca="false">INDEX(Summary!$J$2:$J$201,MATCH($B2521,Summary!$A$2:$A$201,0))</f>
        <v>3</v>
      </c>
      <c r="O2521" s="2" t="n">
        <f aca="false">INDEX(Summary!$K$2:$K$201,MATCH($B2521,Summary!$A$2:$A$201,0))</f>
        <v>9.01</v>
      </c>
      <c r="P2521" s="3" t="n">
        <f aca="false">INDEX(Summary!$L$2:$L$201,MATCH($B2521,Summary!$A$2:$A$201,0))</f>
        <v>5</v>
      </c>
      <c r="Q2521" s="3" t="n">
        <f aca="false">INDEX(Summary!$M$2:$M$201,MATCH($B2521,Summary!$A$2:$A$201,0))</f>
        <v>1</v>
      </c>
      <c r="R2521" s="2" t="n">
        <f aca="false">INDEX(Summary!$N$2:$N$201,MATCH($B2521,Summary!$A$2:$A$201,0))</f>
        <v>9.38</v>
      </c>
      <c r="S2521" s="3" t="n">
        <f aca="false">INDEX(Summary!$O$2:$O$201,MATCH($B2521,Summary!$A$2:$A$201,0))</f>
        <v>7</v>
      </c>
      <c r="T2521" s="3" t="n">
        <f aca="false">INDEX(Summary!$P$2:$P$201,MATCH($B2521,Summary!$A$2:$A$201,0))</f>
        <v>2</v>
      </c>
      <c r="U2521" s="2" t="n">
        <f aca="false">INDEX(Summary!$Q$2:$Q$201,MATCH($B2521,Summary!$A$2:$A$201,0))</f>
        <v>12.19</v>
      </c>
      <c r="V2521" s="2" t="n">
        <f aca="false">INDEX(Summary!$R$2:$R$201,MATCH($B2521,Summary!$A$2:$A$201,0))</f>
        <v>26.75</v>
      </c>
      <c r="W2521" s="0" t="str">
        <f aca="false">INDEX(Summary!$S$2:$S$201,MATCH($B2521,Summary!$A$2:$A$201,0))</f>
        <v>Silver</v>
      </c>
      <c r="X2521" s="2" t="n">
        <f aca="false">INDEX(Summary!$T$2:$T$201,MATCH($B2521,Summary!$A$2:$A$201,0))</f>
        <v>65.24</v>
      </c>
      <c r="Y2521" s="0" t="str">
        <f aca="false">INDEX('Reward Model'!$E$18:$E$37,MATCH($E2521,'Reward Model'!$A$18:$A$37,0))</f>
        <v>High</v>
      </c>
      <c r="Z2521" s="4" t="n">
        <f aca="false">ROUND(MIN(1,MAX('Reward Model'!$B$2,INDEX('Reward Model'!$C$12:$C$14,MATCH($K2521,'Reward Model'!$A$12:$A$14,0))/$J2521)),3)</f>
        <v>1</v>
      </c>
      <c r="AA2521" s="2" t="n">
        <f aca="false">IF($I2521="Correct",ROUND(INDEX('Reward Model'!$B$12:$B$14,MATCH($K2521,'Reward Model'!$A$12:$A$14,0))*Z2521,2),0)</f>
        <v>3</v>
      </c>
      <c r="AB2521" s="2" t="n">
        <f aca="false">IF($I2521="Correct",ROUND(INDEX('Reward Model'!$B$12:$B$14,MATCH($Y2521,'Reward Model'!$A$12:$A$14,0))*Z2521,2),0)</f>
        <v>3</v>
      </c>
    </row>
    <row r="2522" customFormat="false" ht="15" hidden="false" customHeight="false" outlineLevel="0" collapsed="false">
      <c r="A2522" s="0" t="s">
        <v>384</v>
      </c>
      <c r="B2522" s="0" t="s">
        <v>385</v>
      </c>
      <c r="C2522" s="0" t="s">
        <v>322</v>
      </c>
      <c r="D2522" s="0" t="s">
        <v>31</v>
      </c>
      <c r="E2522" s="0" t="n">
        <v>1</v>
      </c>
      <c r="F2522" s="0" t="s">
        <v>32</v>
      </c>
      <c r="G2522" s="0" t="s">
        <v>33</v>
      </c>
      <c r="H2522" s="0" t="s">
        <v>33</v>
      </c>
      <c r="I2522" s="0" t="s">
        <v>34</v>
      </c>
      <c r="J2522" s="0" t="n">
        <v>1.13</v>
      </c>
      <c r="K2522" s="0" t="s">
        <v>35</v>
      </c>
      <c r="L2522" s="0" t="n">
        <f aca="false">INDEX(Summary!$F$2:$F$201,MATCH($B2522,Summary!$A$2:$A$201,0))</f>
        <v>20</v>
      </c>
      <c r="M2522" s="0" t="n">
        <f aca="false">INDEX(Summary!$I$2:$I$201,MATCH($B2522,Summary!$A$2:$A$201,0))</f>
        <v>3</v>
      </c>
      <c r="N2522" s="0" t="n">
        <f aca="false">INDEX(Summary!$J$2:$J$201,MATCH($B2522,Summary!$A$2:$A$201,0))</f>
        <v>2</v>
      </c>
      <c r="O2522" s="2" t="n">
        <f aca="false">INDEX(Summary!$K$2:$K$201,MATCH($B2522,Summary!$A$2:$A$201,0))</f>
        <v>7.25</v>
      </c>
      <c r="P2522" s="3" t="n">
        <f aca="false">INDEX(Summary!$L$2:$L$201,MATCH($B2522,Summary!$A$2:$A$201,0))</f>
        <v>5</v>
      </c>
      <c r="Q2522" s="3" t="n">
        <f aca="false">INDEX(Summary!$M$2:$M$201,MATCH($B2522,Summary!$A$2:$A$201,0))</f>
        <v>1</v>
      </c>
      <c r="R2522" s="2" t="n">
        <f aca="false">INDEX(Summary!$N$2:$N$201,MATCH($B2522,Summary!$A$2:$A$201,0))</f>
        <v>10.52</v>
      </c>
      <c r="S2522" s="3" t="n">
        <f aca="false">INDEX(Summary!$O$2:$O$201,MATCH($B2522,Summary!$A$2:$A$201,0))</f>
        <v>8</v>
      </c>
      <c r="T2522" s="3" t="n">
        <f aca="false">INDEX(Summary!$P$2:$P$201,MATCH($B2522,Summary!$A$2:$A$201,0))</f>
        <v>1</v>
      </c>
      <c r="U2522" s="2" t="n">
        <f aca="false">INDEX(Summary!$Q$2:$Q$201,MATCH($B2522,Summary!$A$2:$A$201,0))</f>
        <v>12.81</v>
      </c>
      <c r="V2522" s="2" t="n">
        <f aca="false">INDEX(Summary!$R$2:$R$201,MATCH($B2522,Summary!$A$2:$A$201,0))</f>
        <v>30.83</v>
      </c>
      <c r="W2522" s="0" t="str">
        <f aca="false">INDEX(Summary!$S$2:$S$201,MATCH($B2522,Summary!$A$2:$A$201,0))</f>
        <v>Gold</v>
      </c>
      <c r="X2522" s="2" t="n">
        <f aca="false">INDEX(Summary!$T$2:$T$201,MATCH($B2522,Summary!$A$2:$A$201,0))</f>
        <v>75.2</v>
      </c>
      <c r="Y2522" s="0" t="str">
        <f aca="false">INDEX('Reward Model'!$E$18:$E$37,MATCH($E2522,'Reward Model'!$A$18:$A$37,0))</f>
        <v>Medium</v>
      </c>
      <c r="Z2522" s="4" t="n">
        <f aca="false">ROUND(MIN(1,MAX('Reward Model'!$B$2,INDEX('Reward Model'!$C$12:$C$14,MATCH($K2522,'Reward Model'!$A$12:$A$14,0))/$J2522)),3)</f>
        <v>1</v>
      </c>
      <c r="AA2522" s="2" t="n">
        <f aca="false">IF($I2522="Correct",ROUND(INDEX('Reward Model'!$B$12:$B$14,MATCH($K2522,'Reward Model'!$A$12:$A$14,0))*Z2522,2),0)</f>
        <v>1</v>
      </c>
      <c r="AB2522" s="2" t="n">
        <f aca="false">IF($I2522="Correct",ROUND(INDEX('Reward Model'!$B$12:$B$14,MATCH($Y2522,'Reward Model'!$A$12:$A$14,0))*Z2522,2),0)</f>
        <v>2</v>
      </c>
    </row>
    <row r="2523" customFormat="false" ht="15" hidden="false" customHeight="false" outlineLevel="0" collapsed="false">
      <c r="A2523" s="0" t="s">
        <v>384</v>
      </c>
      <c r="B2523" s="0" t="s">
        <v>385</v>
      </c>
      <c r="C2523" s="0" t="s">
        <v>322</v>
      </c>
      <c r="D2523" s="0" t="s">
        <v>31</v>
      </c>
      <c r="E2523" s="0" t="n">
        <v>2</v>
      </c>
      <c r="F2523" s="0" t="s">
        <v>36</v>
      </c>
      <c r="G2523" s="0" t="s">
        <v>38</v>
      </c>
      <c r="H2523" s="0" t="s">
        <v>38</v>
      </c>
      <c r="I2523" s="0" t="s">
        <v>34</v>
      </c>
      <c r="J2523" s="0" t="n">
        <v>1.39</v>
      </c>
      <c r="K2523" s="0" t="s">
        <v>35</v>
      </c>
      <c r="L2523" s="0" t="n">
        <f aca="false">INDEX(Summary!$F$2:$F$201,MATCH($B2523,Summary!$A$2:$A$201,0))</f>
        <v>20</v>
      </c>
      <c r="M2523" s="0" t="n">
        <f aca="false">INDEX(Summary!$I$2:$I$201,MATCH($B2523,Summary!$A$2:$A$201,0))</f>
        <v>3</v>
      </c>
      <c r="N2523" s="0" t="n">
        <f aca="false">INDEX(Summary!$J$2:$J$201,MATCH($B2523,Summary!$A$2:$A$201,0))</f>
        <v>2</v>
      </c>
      <c r="O2523" s="2" t="n">
        <f aca="false">INDEX(Summary!$K$2:$K$201,MATCH($B2523,Summary!$A$2:$A$201,0))</f>
        <v>7.25</v>
      </c>
      <c r="P2523" s="3" t="n">
        <f aca="false">INDEX(Summary!$L$2:$L$201,MATCH($B2523,Summary!$A$2:$A$201,0))</f>
        <v>5</v>
      </c>
      <c r="Q2523" s="3" t="n">
        <f aca="false">INDEX(Summary!$M$2:$M$201,MATCH($B2523,Summary!$A$2:$A$201,0))</f>
        <v>1</v>
      </c>
      <c r="R2523" s="2" t="n">
        <f aca="false">INDEX(Summary!$N$2:$N$201,MATCH($B2523,Summary!$A$2:$A$201,0))</f>
        <v>10.52</v>
      </c>
      <c r="S2523" s="3" t="n">
        <f aca="false">INDEX(Summary!$O$2:$O$201,MATCH($B2523,Summary!$A$2:$A$201,0))</f>
        <v>8</v>
      </c>
      <c r="T2523" s="3" t="n">
        <f aca="false">INDEX(Summary!$P$2:$P$201,MATCH($B2523,Summary!$A$2:$A$201,0))</f>
        <v>1</v>
      </c>
      <c r="U2523" s="2" t="n">
        <f aca="false">INDEX(Summary!$Q$2:$Q$201,MATCH($B2523,Summary!$A$2:$A$201,0))</f>
        <v>12.81</v>
      </c>
      <c r="V2523" s="2" t="n">
        <f aca="false">INDEX(Summary!$R$2:$R$201,MATCH($B2523,Summary!$A$2:$A$201,0))</f>
        <v>30.83</v>
      </c>
      <c r="W2523" s="0" t="str">
        <f aca="false">INDEX(Summary!$S$2:$S$201,MATCH($B2523,Summary!$A$2:$A$201,0))</f>
        <v>Gold</v>
      </c>
      <c r="X2523" s="2" t="n">
        <f aca="false">INDEX(Summary!$T$2:$T$201,MATCH($B2523,Summary!$A$2:$A$201,0))</f>
        <v>75.2</v>
      </c>
      <c r="Y2523" s="0" t="str">
        <f aca="false">INDEX('Reward Model'!$E$18:$E$37,MATCH($E2523,'Reward Model'!$A$18:$A$37,0))</f>
        <v>Low</v>
      </c>
      <c r="Z2523" s="4" t="n">
        <f aca="false">ROUND(MIN(1,MAX('Reward Model'!$B$2,INDEX('Reward Model'!$C$12:$C$14,MATCH($K2523,'Reward Model'!$A$12:$A$14,0))/$J2523)),3)</f>
        <v>1</v>
      </c>
      <c r="AA2523" s="2" t="n">
        <f aca="false">IF($I2523="Correct",ROUND(INDEX('Reward Model'!$B$12:$B$14,MATCH($K2523,'Reward Model'!$A$12:$A$14,0))*Z2523,2),0)</f>
        <v>1</v>
      </c>
      <c r="AB2523" s="2" t="n">
        <f aca="false">IF($I2523="Correct",ROUND(INDEX('Reward Model'!$B$12:$B$14,MATCH($Y2523,'Reward Model'!$A$12:$A$14,0))*Z2523,2),0)</f>
        <v>1</v>
      </c>
    </row>
    <row r="2524" customFormat="false" ht="15" hidden="false" customHeight="false" outlineLevel="0" collapsed="false">
      <c r="A2524" s="0" t="s">
        <v>384</v>
      </c>
      <c r="B2524" s="0" t="s">
        <v>385</v>
      </c>
      <c r="C2524" s="0" t="s">
        <v>322</v>
      </c>
      <c r="D2524" s="0" t="s">
        <v>31</v>
      </c>
      <c r="E2524" s="0" t="n">
        <v>3</v>
      </c>
      <c r="F2524" s="0" t="s">
        <v>40</v>
      </c>
      <c r="G2524" s="0" t="s">
        <v>42</v>
      </c>
      <c r="H2524" s="0" t="s">
        <v>42</v>
      </c>
      <c r="I2524" s="0" t="s">
        <v>34</v>
      </c>
      <c r="J2524" s="0" t="n">
        <v>1.57</v>
      </c>
      <c r="K2524" s="0" t="s">
        <v>35</v>
      </c>
      <c r="L2524" s="0" t="n">
        <f aca="false">INDEX(Summary!$F$2:$F$201,MATCH($B2524,Summary!$A$2:$A$201,0))</f>
        <v>20</v>
      </c>
      <c r="M2524" s="0" t="n">
        <f aca="false">INDEX(Summary!$I$2:$I$201,MATCH($B2524,Summary!$A$2:$A$201,0))</f>
        <v>3</v>
      </c>
      <c r="N2524" s="0" t="n">
        <f aca="false">INDEX(Summary!$J$2:$J$201,MATCH($B2524,Summary!$A$2:$A$201,0))</f>
        <v>2</v>
      </c>
      <c r="O2524" s="2" t="n">
        <f aca="false">INDEX(Summary!$K$2:$K$201,MATCH($B2524,Summary!$A$2:$A$201,0))</f>
        <v>7.25</v>
      </c>
      <c r="P2524" s="3" t="n">
        <f aca="false">INDEX(Summary!$L$2:$L$201,MATCH($B2524,Summary!$A$2:$A$201,0))</f>
        <v>5</v>
      </c>
      <c r="Q2524" s="3" t="n">
        <f aca="false">INDEX(Summary!$M$2:$M$201,MATCH($B2524,Summary!$A$2:$A$201,0))</f>
        <v>1</v>
      </c>
      <c r="R2524" s="2" t="n">
        <f aca="false">INDEX(Summary!$N$2:$N$201,MATCH($B2524,Summary!$A$2:$A$201,0))</f>
        <v>10.52</v>
      </c>
      <c r="S2524" s="3" t="n">
        <f aca="false">INDEX(Summary!$O$2:$O$201,MATCH($B2524,Summary!$A$2:$A$201,0))</f>
        <v>8</v>
      </c>
      <c r="T2524" s="3" t="n">
        <f aca="false">INDEX(Summary!$P$2:$P$201,MATCH($B2524,Summary!$A$2:$A$201,0))</f>
        <v>1</v>
      </c>
      <c r="U2524" s="2" t="n">
        <f aca="false">INDEX(Summary!$Q$2:$Q$201,MATCH($B2524,Summary!$A$2:$A$201,0))</f>
        <v>12.81</v>
      </c>
      <c r="V2524" s="2" t="n">
        <f aca="false">INDEX(Summary!$R$2:$R$201,MATCH($B2524,Summary!$A$2:$A$201,0))</f>
        <v>30.83</v>
      </c>
      <c r="W2524" s="0" t="str">
        <f aca="false">INDEX(Summary!$S$2:$S$201,MATCH($B2524,Summary!$A$2:$A$201,0))</f>
        <v>Gold</v>
      </c>
      <c r="X2524" s="2" t="n">
        <f aca="false">INDEX(Summary!$T$2:$T$201,MATCH($B2524,Summary!$A$2:$A$201,0))</f>
        <v>75.2</v>
      </c>
      <c r="Y2524" s="0" t="str">
        <f aca="false">INDEX('Reward Model'!$E$18:$E$37,MATCH($E2524,'Reward Model'!$A$18:$A$37,0))</f>
        <v>Medium</v>
      </c>
      <c r="Z2524" s="4" t="n">
        <f aca="false">ROUND(MIN(1,MAX('Reward Model'!$B$2,INDEX('Reward Model'!$C$12:$C$14,MATCH($K2524,'Reward Model'!$A$12:$A$14,0))/$J2524)),3)</f>
        <v>0.955</v>
      </c>
      <c r="AA2524" s="2" t="n">
        <f aca="false">IF($I2524="Correct",ROUND(INDEX('Reward Model'!$B$12:$B$14,MATCH($K2524,'Reward Model'!$A$12:$A$14,0))*Z2524,2),0)</f>
        <v>0.96</v>
      </c>
      <c r="AB2524" s="2" t="n">
        <f aca="false">IF($I2524="Correct",ROUND(INDEX('Reward Model'!$B$12:$B$14,MATCH($Y2524,'Reward Model'!$A$12:$A$14,0))*Z2524,2),0)</f>
        <v>1.91</v>
      </c>
    </row>
    <row r="2525" customFormat="false" ht="15" hidden="false" customHeight="false" outlineLevel="0" collapsed="false">
      <c r="A2525" s="0" t="s">
        <v>384</v>
      </c>
      <c r="B2525" s="0" t="s">
        <v>385</v>
      </c>
      <c r="C2525" s="0" t="s">
        <v>322</v>
      </c>
      <c r="D2525" s="0" t="s">
        <v>31</v>
      </c>
      <c r="E2525" s="0" t="n">
        <v>4</v>
      </c>
      <c r="F2525" s="0" t="s">
        <v>43</v>
      </c>
      <c r="G2525" s="0" t="s">
        <v>45</v>
      </c>
      <c r="H2525" s="0" t="s">
        <v>45</v>
      </c>
      <c r="I2525" s="0" t="s">
        <v>34</v>
      </c>
      <c r="J2525" s="0" t="n">
        <v>1.69</v>
      </c>
      <c r="K2525" s="0" t="s">
        <v>35</v>
      </c>
      <c r="L2525" s="0" t="n">
        <f aca="false">INDEX(Summary!$F$2:$F$201,MATCH($B2525,Summary!$A$2:$A$201,0))</f>
        <v>20</v>
      </c>
      <c r="M2525" s="0" t="n">
        <f aca="false">INDEX(Summary!$I$2:$I$201,MATCH($B2525,Summary!$A$2:$A$201,0))</f>
        <v>3</v>
      </c>
      <c r="N2525" s="0" t="n">
        <f aca="false">INDEX(Summary!$J$2:$J$201,MATCH($B2525,Summary!$A$2:$A$201,0))</f>
        <v>2</v>
      </c>
      <c r="O2525" s="2" t="n">
        <f aca="false">INDEX(Summary!$K$2:$K$201,MATCH($B2525,Summary!$A$2:$A$201,0))</f>
        <v>7.25</v>
      </c>
      <c r="P2525" s="3" t="n">
        <f aca="false">INDEX(Summary!$L$2:$L$201,MATCH($B2525,Summary!$A$2:$A$201,0))</f>
        <v>5</v>
      </c>
      <c r="Q2525" s="3" t="n">
        <f aca="false">INDEX(Summary!$M$2:$M$201,MATCH($B2525,Summary!$A$2:$A$201,0))</f>
        <v>1</v>
      </c>
      <c r="R2525" s="2" t="n">
        <f aca="false">INDEX(Summary!$N$2:$N$201,MATCH($B2525,Summary!$A$2:$A$201,0))</f>
        <v>10.52</v>
      </c>
      <c r="S2525" s="3" t="n">
        <f aca="false">INDEX(Summary!$O$2:$O$201,MATCH($B2525,Summary!$A$2:$A$201,0))</f>
        <v>8</v>
      </c>
      <c r="T2525" s="3" t="n">
        <f aca="false">INDEX(Summary!$P$2:$P$201,MATCH($B2525,Summary!$A$2:$A$201,0))</f>
        <v>1</v>
      </c>
      <c r="U2525" s="2" t="n">
        <f aca="false">INDEX(Summary!$Q$2:$Q$201,MATCH($B2525,Summary!$A$2:$A$201,0))</f>
        <v>12.81</v>
      </c>
      <c r="V2525" s="2" t="n">
        <f aca="false">INDEX(Summary!$R$2:$R$201,MATCH($B2525,Summary!$A$2:$A$201,0))</f>
        <v>30.83</v>
      </c>
      <c r="W2525" s="0" t="str">
        <f aca="false">INDEX(Summary!$S$2:$S$201,MATCH($B2525,Summary!$A$2:$A$201,0))</f>
        <v>Gold</v>
      </c>
      <c r="X2525" s="2" t="n">
        <f aca="false">INDEX(Summary!$T$2:$T$201,MATCH($B2525,Summary!$A$2:$A$201,0))</f>
        <v>75.2</v>
      </c>
      <c r="Y2525" s="0" t="str">
        <f aca="false">INDEX('Reward Model'!$E$18:$E$37,MATCH($E2525,'Reward Model'!$A$18:$A$37,0))</f>
        <v>Low</v>
      </c>
      <c r="Z2525" s="4" t="n">
        <f aca="false">ROUND(MIN(1,MAX('Reward Model'!$B$2,INDEX('Reward Model'!$C$12:$C$14,MATCH($K2525,'Reward Model'!$A$12:$A$14,0))/$J2525)),3)</f>
        <v>0.888</v>
      </c>
      <c r="AA2525" s="2" t="n">
        <f aca="false">IF($I2525="Correct",ROUND(INDEX('Reward Model'!$B$12:$B$14,MATCH($K2525,'Reward Model'!$A$12:$A$14,0))*Z2525,2),0)</f>
        <v>0.89</v>
      </c>
      <c r="AB2525" s="2" t="n">
        <f aca="false">IF($I2525="Correct",ROUND(INDEX('Reward Model'!$B$12:$B$14,MATCH($Y2525,'Reward Model'!$A$12:$A$14,0))*Z2525,2),0)</f>
        <v>0.89</v>
      </c>
    </row>
    <row r="2526" customFormat="false" ht="15" hidden="false" customHeight="false" outlineLevel="0" collapsed="false">
      <c r="A2526" s="0" t="s">
        <v>384</v>
      </c>
      <c r="B2526" s="0" t="s">
        <v>385</v>
      </c>
      <c r="C2526" s="0" t="s">
        <v>322</v>
      </c>
      <c r="D2526" s="0" t="s">
        <v>31</v>
      </c>
      <c r="E2526" s="0" t="n">
        <v>5</v>
      </c>
      <c r="F2526" s="0" t="s">
        <v>46</v>
      </c>
      <c r="G2526" s="0" t="s">
        <v>47</v>
      </c>
      <c r="H2526" s="0" t="s">
        <v>47</v>
      </c>
      <c r="I2526" s="0" t="s">
        <v>34</v>
      </c>
      <c r="J2526" s="0" t="n">
        <v>1.6</v>
      </c>
      <c r="K2526" s="0" t="s">
        <v>35</v>
      </c>
      <c r="L2526" s="0" t="n">
        <f aca="false">INDEX(Summary!$F$2:$F$201,MATCH($B2526,Summary!$A$2:$A$201,0))</f>
        <v>20</v>
      </c>
      <c r="M2526" s="0" t="n">
        <f aca="false">INDEX(Summary!$I$2:$I$201,MATCH($B2526,Summary!$A$2:$A$201,0))</f>
        <v>3</v>
      </c>
      <c r="N2526" s="0" t="n">
        <f aca="false">INDEX(Summary!$J$2:$J$201,MATCH($B2526,Summary!$A$2:$A$201,0))</f>
        <v>2</v>
      </c>
      <c r="O2526" s="2" t="n">
        <f aca="false">INDEX(Summary!$K$2:$K$201,MATCH($B2526,Summary!$A$2:$A$201,0))</f>
        <v>7.25</v>
      </c>
      <c r="P2526" s="3" t="n">
        <f aca="false">INDEX(Summary!$L$2:$L$201,MATCH($B2526,Summary!$A$2:$A$201,0))</f>
        <v>5</v>
      </c>
      <c r="Q2526" s="3" t="n">
        <f aca="false">INDEX(Summary!$M$2:$M$201,MATCH($B2526,Summary!$A$2:$A$201,0))</f>
        <v>1</v>
      </c>
      <c r="R2526" s="2" t="n">
        <f aca="false">INDEX(Summary!$N$2:$N$201,MATCH($B2526,Summary!$A$2:$A$201,0))</f>
        <v>10.52</v>
      </c>
      <c r="S2526" s="3" t="n">
        <f aca="false">INDEX(Summary!$O$2:$O$201,MATCH($B2526,Summary!$A$2:$A$201,0))</f>
        <v>8</v>
      </c>
      <c r="T2526" s="3" t="n">
        <f aca="false">INDEX(Summary!$P$2:$P$201,MATCH($B2526,Summary!$A$2:$A$201,0))</f>
        <v>1</v>
      </c>
      <c r="U2526" s="2" t="n">
        <f aca="false">INDEX(Summary!$Q$2:$Q$201,MATCH($B2526,Summary!$A$2:$A$201,0))</f>
        <v>12.81</v>
      </c>
      <c r="V2526" s="2" t="n">
        <f aca="false">INDEX(Summary!$R$2:$R$201,MATCH($B2526,Summary!$A$2:$A$201,0))</f>
        <v>30.83</v>
      </c>
      <c r="W2526" s="0" t="str">
        <f aca="false">INDEX(Summary!$S$2:$S$201,MATCH($B2526,Summary!$A$2:$A$201,0))</f>
        <v>Gold</v>
      </c>
      <c r="X2526" s="2" t="n">
        <f aca="false">INDEX(Summary!$T$2:$T$201,MATCH($B2526,Summary!$A$2:$A$201,0))</f>
        <v>75.2</v>
      </c>
      <c r="Y2526" s="0" t="str">
        <f aca="false">INDEX('Reward Model'!$E$18:$E$37,MATCH($E2526,'Reward Model'!$A$18:$A$37,0))</f>
        <v>Low</v>
      </c>
      <c r="Z2526" s="4" t="n">
        <f aca="false">ROUND(MIN(1,MAX('Reward Model'!$B$2,INDEX('Reward Model'!$C$12:$C$14,MATCH($K2526,'Reward Model'!$A$12:$A$14,0))/$J2526)),3)</f>
        <v>0.938</v>
      </c>
      <c r="AA2526" s="2" t="n">
        <f aca="false">IF($I2526="Correct",ROUND(INDEX('Reward Model'!$B$12:$B$14,MATCH($K2526,'Reward Model'!$A$12:$A$14,0))*Z2526,2),0)</f>
        <v>0.94</v>
      </c>
      <c r="AB2526" s="2" t="n">
        <f aca="false">IF($I2526="Correct",ROUND(INDEX('Reward Model'!$B$12:$B$14,MATCH($Y2526,'Reward Model'!$A$12:$A$14,0))*Z2526,2),0)</f>
        <v>0.94</v>
      </c>
    </row>
    <row r="2527" customFormat="false" ht="15" hidden="false" customHeight="false" outlineLevel="0" collapsed="false">
      <c r="A2527" s="0" t="s">
        <v>384</v>
      </c>
      <c r="B2527" s="0" t="s">
        <v>385</v>
      </c>
      <c r="C2527" s="0" t="s">
        <v>322</v>
      </c>
      <c r="D2527" s="0" t="s">
        <v>31</v>
      </c>
      <c r="E2527" s="0" t="n">
        <v>6</v>
      </c>
      <c r="F2527" s="0" t="s">
        <v>48</v>
      </c>
      <c r="G2527" s="0" t="s">
        <v>49</v>
      </c>
      <c r="H2527" s="0" t="s">
        <v>49</v>
      </c>
      <c r="I2527" s="0" t="s">
        <v>34</v>
      </c>
      <c r="J2527" s="0" t="n">
        <v>1.67</v>
      </c>
      <c r="K2527" s="0" t="s">
        <v>35</v>
      </c>
      <c r="L2527" s="0" t="n">
        <f aca="false">INDEX(Summary!$F$2:$F$201,MATCH($B2527,Summary!$A$2:$A$201,0))</f>
        <v>20</v>
      </c>
      <c r="M2527" s="0" t="n">
        <f aca="false">INDEX(Summary!$I$2:$I$201,MATCH($B2527,Summary!$A$2:$A$201,0))</f>
        <v>3</v>
      </c>
      <c r="N2527" s="0" t="n">
        <f aca="false">INDEX(Summary!$J$2:$J$201,MATCH($B2527,Summary!$A$2:$A$201,0))</f>
        <v>2</v>
      </c>
      <c r="O2527" s="2" t="n">
        <f aca="false">INDEX(Summary!$K$2:$K$201,MATCH($B2527,Summary!$A$2:$A$201,0))</f>
        <v>7.25</v>
      </c>
      <c r="P2527" s="3" t="n">
        <f aca="false">INDEX(Summary!$L$2:$L$201,MATCH($B2527,Summary!$A$2:$A$201,0))</f>
        <v>5</v>
      </c>
      <c r="Q2527" s="3" t="n">
        <f aca="false">INDEX(Summary!$M$2:$M$201,MATCH($B2527,Summary!$A$2:$A$201,0))</f>
        <v>1</v>
      </c>
      <c r="R2527" s="2" t="n">
        <f aca="false">INDEX(Summary!$N$2:$N$201,MATCH($B2527,Summary!$A$2:$A$201,0))</f>
        <v>10.52</v>
      </c>
      <c r="S2527" s="3" t="n">
        <f aca="false">INDEX(Summary!$O$2:$O$201,MATCH($B2527,Summary!$A$2:$A$201,0))</f>
        <v>8</v>
      </c>
      <c r="T2527" s="3" t="n">
        <f aca="false">INDEX(Summary!$P$2:$P$201,MATCH($B2527,Summary!$A$2:$A$201,0))</f>
        <v>1</v>
      </c>
      <c r="U2527" s="2" t="n">
        <f aca="false">INDEX(Summary!$Q$2:$Q$201,MATCH($B2527,Summary!$A$2:$A$201,0))</f>
        <v>12.81</v>
      </c>
      <c r="V2527" s="2" t="n">
        <f aca="false">INDEX(Summary!$R$2:$R$201,MATCH($B2527,Summary!$A$2:$A$201,0))</f>
        <v>30.83</v>
      </c>
      <c r="W2527" s="0" t="str">
        <f aca="false">INDEX(Summary!$S$2:$S$201,MATCH($B2527,Summary!$A$2:$A$201,0))</f>
        <v>Gold</v>
      </c>
      <c r="X2527" s="2" t="n">
        <f aca="false">INDEX(Summary!$T$2:$T$201,MATCH($B2527,Summary!$A$2:$A$201,0))</f>
        <v>75.2</v>
      </c>
      <c r="Y2527" s="0" t="str">
        <f aca="false">INDEX('Reward Model'!$E$18:$E$37,MATCH($E2527,'Reward Model'!$A$18:$A$37,0))</f>
        <v>Medium</v>
      </c>
      <c r="Z2527" s="4" t="n">
        <f aca="false">ROUND(MIN(1,MAX('Reward Model'!$B$2,INDEX('Reward Model'!$C$12:$C$14,MATCH($K2527,'Reward Model'!$A$12:$A$14,0))/$J2527)),3)</f>
        <v>0.898</v>
      </c>
      <c r="AA2527" s="2" t="n">
        <f aca="false">IF($I2527="Correct",ROUND(INDEX('Reward Model'!$B$12:$B$14,MATCH($K2527,'Reward Model'!$A$12:$A$14,0))*Z2527,2),0)</f>
        <v>0.9</v>
      </c>
      <c r="AB2527" s="2" t="n">
        <f aca="false">IF($I2527="Correct",ROUND(INDEX('Reward Model'!$B$12:$B$14,MATCH($Y2527,'Reward Model'!$A$12:$A$14,0))*Z2527,2),0)</f>
        <v>1.8</v>
      </c>
    </row>
    <row r="2528" customFormat="false" ht="15" hidden="false" customHeight="false" outlineLevel="0" collapsed="false">
      <c r="A2528" s="0" t="s">
        <v>384</v>
      </c>
      <c r="B2528" s="0" t="s">
        <v>385</v>
      </c>
      <c r="C2528" s="0" t="s">
        <v>322</v>
      </c>
      <c r="D2528" s="0" t="s">
        <v>31</v>
      </c>
      <c r="E2528" s="0" t="n">
        <v>7</v>
      </c>
      <c r="F2528" s="0" t="s">
        <v>50</v>
      </c>
      <c r="G2528" s="0" t="s">
        <v>100</v>
      </c>
      <c r="H2528" s="0" t="s">
        <v>51</v>
      </c>
      <c r="I2528" s="0" t="s">
        <v>39</v>
      </c>
      <c r="J2528" s="0" t="n">
        <v>1.06</v>
      </c>
      <c r="K2528" s="0" t="s">
        <v>35</v>
      </c>
      <c r="L2528" s="0" t="n">
        <f aca="false">INDEX(Summary!$F$2:$F$201,MATCH($B2528,Summary!$A$2:$A$201,0))</f>
        <v>20</v>
      </c>
      <c r="M2528" s="0" t="n">
        <f aca="false">INDEX(Summary!$I$2:$I$201,MATCH($B2528,Summary!$A$2:$A$201,0))</f>
        <v>3</v>
      </c>
      <c r="N2528" s="0" t="n">
        <f aca="false">INDEX(Summary!$J$2:$J$201,MATCH($B2528,Summary!$A$2:$A$201,0))</f>
        <v>2</v>
      </c>
      <c r="O2528" s="2" t="n">
        <f aca="false">INDEX(Summary!$K$2:$K$201,MATCH($B2528,Summary!$A$2:$A$201,0))</f>
        <v>7.25</v>
      </c>
      <c r="P2528" s="3" t="n">
        <f aca="false">INDEX(Summary!$L$2:$L$201,MATCH($B2528,Summary!$A$2:$A$201,0))</f>
        <v>5</v>
      </c>
      <c r="Q2528" s="3" t="n">
        <f aca="false">INDEX(Summary!$M$2:$M$201,MATCH($B2528,Summary!$A$2:$A$201,0))</f>
        <v>1</v>
      </c>
      <c r="R2528" s="2" t="n">
        <f aca="false">INDEX(Summary!$N$2:$N$201,MATCH($B2528,Summary!$A$2:$A$201,0))</f>
        <v>10.52</v>
      </c>
      <c r="S2528" s="3" t="n">
        <f aca="false">INDEX(Summary!$O$2:$O$201,MATCH($B2528,Summary!$A$2:$A$201,0))</f>
        <v>8</v>
      </c>
      <c r="T2528" s="3" t="n">
        <f aca="false">INDEX(Summary!$P$2:$P$201,MATCH($B2528,Summary!$A$2:$A$201,0))</f>
        <v>1</v>
      </c>
      <c r="U2528" s="2" t="n">
        <f aca="false">INDEX(Summary!$Q$2:$Q$201,MATCH($B2528,Summary!$A$2:$A$201,0))</f>
        <v>12.81</v>
      </c>
      <c r="V2528" s="2" t="n">
        <f aca="false">INDEX(Summary!$R$2:$R$201,MATCH($B2528,Summary!$A$2:$A$201,0))</f>
        <v>30.83</v>
      </c>
      <c r="W2528" s="0" t="str">
        <f aca="false">INDEX(Summary!$S$2:$S$201,MATCH($B2528,Summary!$A$2:$A$201,0))</f>
        <v>Gold</v>
      </c>
      <c r="X2528" s="2" t="n">
        <f aca="false">INDEX(Summary!$T$2:$T$201,MATCH($B2528,Summary!$A$2:$A$201,0))</f>
        <v>75.2</v>
      </c>
      <c r="Y2528" s="0" t="str">
        <f aca="false">INDEX('Reward Model'!$E$18:$E$37,MATCH($E2528,'Reward Model'!$A$18:$A$37,0))</f>
        <v>Low</v>
      </c>
      <c r="Z2528" s="4" t="n">
        <f aca="false">ROUND(MIN(1,MAX('Reward Model'!$B$2,INDEX('Reward Model'!$C$12:$C$14,MATCH($K2528,'Reward Model'!$A$12:$A$14,0))/$J2528)),3)</f>
        <v>1</v>
      </c>
      <c r="AA2528" s="2" t="n">
        <f aca="false">IF($I2528="Correct",ROUND(INDEX('Reward Model'!$B$12:$B$14,MATCH($K2528,'Reward Model'!$A$12:$A$14,0))*Z2528,2),0)</f>
        <v>0</v>
      </c>
      <c r="AB2528" s="2" t="n">
        <f aca="false">IF($I2528="Correct",ROUND(INDEX('Reward Model'!$B$12:$B$14,MATCH($Y2528,'Reward Model'!$A$12:$A$14,0))*Z2528,2),0)</f>
        <v>0</v>
      </c>
    </row>
    <row r="2529" customFormat="false" ht="15" hidden="false" customHeight="false" outlineLevel="0" collapsed="false">
      <c r="A2529" s="0" t="s">
        <v>384</v>
      </c>
      <c r="B2529" s="0" t="s">
        <v>385</v>
      </c>
      <c r="C2529" s="0" t="s">
        <v>322</v>
      </c>
      <c r="D2529" s="0" t="s">
        <v>31</v>
      </c>
      <c r="E2529" s="0" t="n">
        <v>8</v>
      </c>
      <c r="F2529" s="0" t="s">
        <v>52</v>
      </c>
      <c r="G2529" s="0" t="s">
        <v>54</v>
      </c>
      <c r="H2529" s="0" t="s">
        <v>54</v>
      </c>
      <c r="I2529" s="0" t="s">
        <v>34</v>
      </c>
      <c r="J2529" s="0" t="n">
        <v>1.77</v>
      </c>
      <c r="K2529" s="0" t="s">
        <v>35</v>
      </c>
      <c r="L2529" s="0" t="n">
        <f aca="false">INDEX(Summary!$F$2:$F$201,MATCH($B2529,Summary!$A$2:$A$201,0))</f>
        <v>20</v>
      </c>
      <c r="M2529" s="0" t="n">
        <f aca="false">INDEX(Summary!$I$2:$I$201,MATCH($B2529,Summary!$A$2:$A$201,0))</f>
        <v>3</v>
      </c>
      <c r="N2529" s="0" t="n">
        <f aca="false">INDEX(Summary!$J$2:$J$201,MATCH($B2529,Summary!$A$2:$A$201,0))</f>
        <v>2</v>
      </c>
      <c r="O2529" s="2" t="n">
        <f aca="false">INDEX(Summary!$K$2:$K$201,MATCH($B2529,Summary!$A$2:$A$201,0))</f>
        <v>7.25</v>
      </c>
      <c r="P2529" s="3" t="n">
        <f aca="false">INDEX(Summary!$L$2:$L$201,MATCH($B2529,Summary!$A$2:$A$201,0))</f>
        <v>5</v>
      </c>
      <c r="Q2529" s="3" t="n">
        <f aca="false">INDEX(Summary!$M$2:$M$201,MATCH($B2529,Summary!$A$2:$A$201,0))</f>
        <v>1</v>
      </c>
      <c r="R2529" s="2" t="n">
        <f aca="false">INDEX(Summary!$N$2:$N$201,MATCH($B2529,Summary!$A$2:$A$201,0))</f>
        <v>10.52</v>
      </c>
      <c r="S2529" s="3" t="n">
        <f aca="false">INDEX(Summary!$O$2:$O$201,MATCH($B2529,Summary!$A$2:$A$201,0))</f>
        <v>8</v>
      </c>
      <c r="T2529" s="3" t="n">
        <f aca="false">INDEX(Summary!$P$2:$P$201,MATCH($B2529,Summary!$A$2:$A$201,0))</f>
        <v>1</v>
      </c>
      <c r="U2529" s="2" t="n">
        <f aca="false">INDEX(Summary!$Q$2:$Q$201,MATCH($B2529,Summary!$A$2:$A$201,0))</f>
        <v>12.81</v>
      </c>
      <c r="V2529" s="2" t="n">
        <f aca="false">INDEX(Summary!$R$2:$R$201,MATCH($B2529,Summary!$A$2:$A$201,0))</f>
        <v>30.83</v>
      </c>
      <c r="W2529" s="0" t="str">
        <f aca="false">INDEX(Summary!$S$2:$S$201,MATCH($B2529,Summary!$A$2:$A$201,0))</f>
        <v>Gold</v>
      </c>
      <c r="X2529" s="2" t="n">
        <f aca="false">INDEX(Summary!$T$2:$T$201,MATCH($B2529,Summary!$A$2:$A$201,0))</f>
        <v>75.2</v>
      </c>
      <c r="Y2529" s="0" t="str">
        <f aca="false">INDEX('Reward Model'!$E$18:$E$37,MATCH($E2529,'Reward Model'!$A$18:$A$37,0))</f>
        <v>Medium</v>
      </c>
      <c r="Z2529" s="4" t="n">
        <f aca="false">ROUND(MIN(1,MAX('Reward Model'!$B$2,INDEX('Reward Model'!$C$12:$C$14,MATCH($K2529,'Reward Model'!$A$12:$A$14,0))/$J2529)),3)</f>
        <v>0.847</v>
      </c>
      <c r="AA2529" s="2" t="n">
        <f aca="false">IF($I2529="Correct",ROUND(INDEX('Reward Model'!$B$12:$B$14,MATCH($K2529,'Reward Model'!$A$12:$A$14,0))*Z2529,2),0)</f>
        <v>0.85</v>
      </c>
      <c r="AB2529" s="2" t="n">
        <f aca="false">IF($I2529="Correct",ROUND(INDEX('Reward Model'!$B$12:$B$14,MATCH($Y2529,'Reward Model'!$A$12:$A$14,0))*Z2529,2),0)</f>
        <v>1.69</v>
      </c>
    </row>
    <row r="2530" customFormat="false" ht="15" hidden="false" customHeight="false" outlineLevel="0" collapsed="false">
      <c r="A2530" s="0" t="s">
        <v>384</v>
      </c>
      <c r="B2530" s="0" t="s">
        <v>385</v>
      </c>
      <c r="C2530" s="0" t="s">
        <v>322</v>
      </c>
      <c r="D2530" s="0" t="s">
        <v>31</v>
      </c>
      <c r="E2530" s="0" t="n">
        <v>9</v>
      </c>
      <c r="F2530" s="0" t="s">
        <v>55</v>
      </c>
      <c r="G2530" s="0" t="s">
        <v>57</v>
      </c>
      <c r="H2530" s="0" t="s">
        <v>57</v>
      </c>
      <c r="I2530" s="0" t="s">
        <v>34</v>
      </c>
      <c r="J2530" s="0" t="n">
        <v>0.93</v>
      </c>
      <c r="K2530" s="0" t="s">
        <v>35</v>
      </c>
      <c r="L2530" s="0" t="n">
        <f aca="false">INDEX(Summary!$F$2:$F$201,MATCH($B2530,Summary!$A$2:$A$201,0))</f>
        <v>20</v>
      </c>
      <c r="M2530" s="0" t="n">
        <f aca="false">INDEX(Summary!$I$2:$I$201,MATCH($B2530,Summary!$A$2:$A$201,0))</f>
        <v>3</v>
      </c>
      <c r="N2530" s="0" t="n">
        <f aca="false">INDEX(Summary!$J$2:$J$201,MATCH($B2530,Summary!$A$2:$A$201,0))</f>
        <v>2</v>
      </c>
      <c r="O2530" s="2" t="n">
        <f aca="false">INDEX(Summary!$K$2:$K$201,MATCH($B2530,Summary!$A$2:$A$201,0))</f>
        <v>7.25</v>
      </c>
      <c r="P2530" s="3" t="n">
        <f aca="false">INDEX(Summary!$L$2:$L$201,MATCH($B2530,Summary!$A$2:$A$201,0))</f>
        <v>5</v>
      </c>
      <c r="Q2530" s="3" t="n">
        <f aca="false">INDEX(Summary!$M$2:$M$201,MATCH($B2530,Summary!$A$2:$A$201,0))</f>
        <v>1</v>
      </c>
      <c r="R2530" s="2" t="n">
        <f aca="false">INDEX(Summary!$N$2:$N$201,MATCH($B2530,Summary!$A$2:$A$201,0))</f>
        <v>10.52</v>
      </c>
      <c r="S2530" s="3" t="n">
        <f aca="false">INDEX(Summary!$O$2:$O$201,MATCH($B2530,Summary!$A$2:$A$201,0))</f>
        <v>8</v>
      </c>
      <c r="T2530" s="3" t="n">
        <f aca="false">INDEX(Summary!$P$2:$P$201,MATCH($B2530,Summary!$A$2:$A$201,0))</f>
        <v>1</v>
      </c>
      <c r="U2530" s="2" t="n">
        <f aca="false">INDEX(Summary!$Q$2:$Q$201,MATCH($B2530,Summary!$A$2:$A$201,0))</f>
        <v>12.81</v>
      </c>
      <c r="V2530" s="2" t="n">
        <f aca="false">INDEX(Summary!$R$2:$R$201,MATCH($B2530,Summary!$A$2:$A$201,0))</f>
        <v>30.83</v>
      </c>
      <c r="W2530" s="0" t="str">
        <f aca="false">INDEX(Summary!$S$2:$S$201,MATCH($B2530,Summary!$A$2:$A$201,0))</f>
        <v>Gold</v>
      </c>
      <c r="X2530" s="2" t="n">
        <f aca="false">INDEX(Summary!$T$2:$T$201,MATCH($B2530,Summary!$A$2:$A$201,0))</f>
        <v>75.2</v>
      </c>
      <c r="Y2530" s="0" t="str">
        <f aca="false">INDEX('Reward Model'!$E$18:$E$37,MATCH($E2530,'Reward Model'!$A$18:$A$37,0))</f>
        <v>Medium</v>
      </c>
      <c r="Z2530" s="4" t="n">
        <f aca="false">ROUND(MIN(1,MAX('Reward Model'!$B$2,INDEX('Reward Model'!$C$12:$C$14,MATCH($K2530,'Reward Model'!$A$12:$A$14,0))/$J2530)),3)</f>
        <v>1</v>
      </c>
      <c r="AA2530" s="2" t="n">
        <f aca="false">IF($I2530="Correct",ROUND(INDEX('Reward Model'!$B$12:$B$14,MATCH($K2530,'Reward Model'!$A$12:$A$14,0))*Z2530,2),0)</f>
        <v>1</v>
      </c>
      <c r="AB2530" s="2" t="n">
        <f aca="false">IF($I2530="Correct",ROUND(INDEX('Reward Model'!$B$12:$B$14,MATCH($Y2530,'Reward Model'!$A$12:$A$14,0))*Z2530,2),0)</f>
        <v>2</v>
      </c>
    </row>
    <row r="2531" customFormat="false" ht="15" hidden="false" customHeight="false" outlineLevel="0" collapsed="false">
      <c r="A2531" s="0" t="s">
        <v>384</v>
      </c>
      <c r="B2531" s="0" t="s">
        <v>385</v>
      </c>
      <c r="C2531" s="0" t="s">
        <v>322</v>
      </c>
      <c r="D2531" s="0" t="s">
        <v>31</v>
      </c>
      <c r="E2531" s="0" t="n">
        <v>10</v>
      </c>
      <c r="F2531" s="0" t="s">
        <v>58</v>
      </c>
      <c r="G2531" s="0" t="s">
        <v>59</v>
      </c>
      <c r="H2531" s="0" t="s">
        <v>59</v>
      </c>
      <c r="I2531" s="0" t="s">
        <v>34</v>
      </c>
      <c r="J2531" s="0" t="n">
        <v>2.09</v>
      </c>
      <c r="K2531" s="0" t="s">
        <v>60</v>
      </c>
      <c r="L2531" s="0" t="n">
        <f aca="false">INDEX(Summary!$F$2:$F$201,MATCH($B2531,Summary!$A$2:$A$201,0))</f>
        <v>20</v>
      </c>
      <c r="M2531" s="0" t="n">
        <f aca="false">INDEX(Summary!$I$2:$I$201,MATCH($B2531,Summary!$A$2:$A$201,0))</f>
        <v>3</v>
      </c>
      <c r="N2531" s="0" t="n">
        <f aca="false">INDEX(Summary!$J$2:$J$201,MATCH($B2531,Summary!$A$2:$A$201,0))</f>
        <v>2</v>
      </c>
      <c r="O2531" s="2" t="n">
        <f aca="false">INDEX(Summary!$K$2:$K$201,MATCH($B2531,Summary!$A$2:$A$201,0))</f>
        <v>7.25</v>
      </c>
      <c r="P2531" s="3" t="n">
        <f aca="false">INDEX(Summary!$L$2:$L$201,MATCH($B2531,Summary!$A$2:$A$201,0))</f>
        <v>5</v>
      </c>
      <c r="Q2531" s="3" t="n">
        <f aca="false">INDEX(Summary!$M$2:$M$201,MATCH($B2531,Summary!$A$2:$A$201,0))</f>
        <v>1</v>
      </c>
      <c r="R2531" s="2" t="n">
        <f aca="false">INDEX(Summary!$N$2:$N$201,MATCH($B2531,Summary!$A$2:$A$201,0))</f>
        <v>10.52</v>
      </c>
      <c r="S2531" s="3" t="n">
        <f aca="false">INDEX(Summary!$O$2:$O$201,MATCH($B2531,Summary!$A$2:$A$201,0))</f>
        <v>8</v>
      </c>
      <c r="T2531" s="3" t="n">
        <f aca="false">INDEX(Summary!$P$2:$P$201,MATCH($B2531,Summary!$A$2:$A$201,0))</f>
        <v>1</v>
      </c>
      <c r="U2531" s="2" t="n">
        <f aca="false">INDEX(Summary!$Q$2:$Q$201,MATCH($B2531,Summary!$A$2:$A$201,0))</f>
        <v>12.81</v>
      </c>
      <c r="V2531" s="2" t="n">
        <f aca="false">INDEX(Summary!$R$2:$R$201,MATCH($B2531,Summary!$A$2:$A$201,0))</f>
        <v>30.83</v>
      </c>
      <c r="W2531" s="0" t="str">
        <f aca="false">INDEX(Summary!$S$2:$S$201,MATCH($B2531,Summary!$A$2:$A$201,0))</f>
        <v>Gold</v>
      </c>
      <c r="X2531" s="2" t="n">
        <f aca="false">INDEX(Summary!$T$2:$T$201,MATCH($B2531,Summary!$A$2:$A$201,0))</f>
        <v>75.2</v>
      </c>
      <c r="Y2531" s="0" t="str">
        <f aca="false">INDEX('Reward Model'!$E$18:$E$37,MATCH($E2531,'Reward Model'!$A$18:$A$37,0))</f>
        <v>Medium</v>
      </c>
      <c r="Z2531" s="4" t="n">
        <f aca="false">ROUND(MIN(1,MAX('Reward Model'!$B$2,INDEX('Reward Model'!$C$12:$C$14,MATCH($K2531,'Reward Model'!$A$12:$A$14,0))/$J2531)),3)</f>
        <v>0.861</v>
      </c>
      <c r="AA2531" s="2" t="n">
        <f aca="false">IF($I2531="Correct",ROUND(INDEX('Reward Model'!$B$12:$B$14,MATCH($K2531,'Reward Model'!$A$12:$A$14,0))*Z2531,2),0)</f>
        <v>1.72</v>
      </c>
      <c r="AB2531" s="2" t="n">
        <f aca="false">IF($I2531="Correct",ROUND(INDEX('Reward Model'!$B$12:$B$14,MATCH($Y2531,'Reward Model'!$A$12:$A$14,0))*Z2531,2),0)</f>
        <v>1.72</v>
      </c>
    </row>
    <row r="2532" customFormat="false" ht="15" hidden="false" customHeight="false" outlineLevel="0" collapsed="false">
      <c r="A2532" s="0" t="s">
        <v>384</v>
      </c>
      <c r="B2532" s="0" t="s">
        <v>385</v>
      </c>
      <c r="C2532" s="0" t="s">
        <v>322</v>
      </c>
      <c r="D2532" s="0" t="s">
        <v>31</v>
      </c>
      <c r="E2532" s="0" t="n">
        <v>11</v>
      </c>
      <c r="F2532" s="0" t="s">
        <v>61</v>
      </c>
      <c r="G2532" s="0" t="s">
        <v>145</v>
      </c>
      <c r="H2532" s="0" t="s">
        <v>63</v>
      </c>
      <c r="I2532" s="0" t="s">
        <v>39</v>
      </c>
      <c r="J2532" s="0" t="n">
        <v>2.12</v>
      </c>
      <c r="K2532" s="0" t="s">
        <v>60</v>
      </c>
      <c r="L2532" s="0" t="n">
        <f aca="false">INDEX(Summary!$F$2:$F$201,MATCH($B2532,Summary!$A$2:$A$201,0))</f>
        <v>20</v>
      </c>
      <c r="M2532" s="0" t="n">
        <f aca="false">INDEX(Summary!$I$2:$I$201,MATCH($B2532,Summary!$A$2:$A$201,0))</f>
        <v>3</v>
      </c>
      <c r="N2532" s="0" t="n">
        <f aca="false">INDEX(Summary!$J$2:$J$201,MATCH($B2532,Summary!$A$2:$A$201,0))</f>
        <v>2</v>
      </c>
      <c r="O2532" s="2" t="n">
        <f aca="false">INDEX(Summary!$K$2:$K$201,MATCH($B2532,Summary!$A$2:$A$201,0))</f>
        <v>7.25</v>
      </c>
      <c r="P2532" s="3" t="n">
        <f aca="false">INDEX(Summary!$L$2:$L$201,MATCH($B2532,Summary!$A$2:$A$201,0))</f>
        <v>5</v>
      </c>
      <c r="Q2532" s="3" t="n">
        <f aca="false">INDEX(Summary!$M$2:$M$201,MATCH($B2532,Summary!$A$2:$A$201,0))</f>
        <v>1</v>
      </c>
      <c r="R2532" s="2" t="n">
        <f aca="false">INDEX(Summary!$N$2:$N$201,MATCH($B2532,Summary!$A$2:$A$201,0))</f>
        <v>10.52</v>
      </c>
      <c r="S2532" s="3" t="n">
        <f aca="false">INDEX(Summary!$O$2:$O$201,MATCH($B2532,Summary!$A$2:$A$201,0))</f>
        <v>8</v>
      </c>
      <c r="T2532" s="3" t="n">
        <f aca="false">INDEX(Summary!$P$2:$P$201,MATCH($B2532,Summary!$A$2:$A$201,0))</f>
        <v>1</v>
      </c>
      <c r="U2532" s="2" t="n">
        <f aca="false">INDEX(Summary!$Q$2:$Q$201,MATCH($B2532,Summary!$A$2:$A$201,0))</f>
        <v>12.81</v>
      </c>
      <c r="V2532" s="2" t="n">
        <f aca="false">INDEX(Summary!$R$2:$R$201,MATCH($B2532,Summary!$A$2:$A$201,0))</f>
        <v>30.83</v>
      </c>
      <c r="W2532" s="0" t="str">
        <f aca="false">INDEX(Summary!$S$2:$S$201,MATCH($B2532,Summary!$A$2:$A$201,0))</f>
        <v>Gold</v>
      </c>
      <c r="X2532" s="2" t="n">
        <f aca="false">INDEX(Summary!$T$2:$T$201,MATCH($B2532,Summary!$A$2:$A$201,0))</f>
        <v>75.2</v>
      </c>
      <c r="Y2532" s="0" t="str">
        <f aca="false">INDEX('Reward Model'!$E$18:$E$37,MATCH($E2532,'Reward Model'!$A$18:$A$37,0))</f>
        <v>Medium</v>
      </c>
      <c r="Z2532" s="4" t="n">
        <f aca="false">ROUND(MIN(1,MAX('Reward Model'!$B$2,INDEX('Reward Model'!$C$12:$C$14,MATCH($K2532,'Reward Model'!$A$12:$A$14,0))/$J2532)),3)</f>
        <v>0.849</v>
      </c>
      <c r="AA2532" s="2" t="n">
        <f aca="false">IF($I2532="Correct",ROUND(INDEX('Reward Model'!$B$12:$B$14,MATCH($K2532,'Reward Model'!$A$12:$A$14,0))*Z2532,2),0)</f>
        <v>0</v>
      </c>
      <c r="AB2532" s="2" t="n">
        <f aca="false">IF($I2532="Correct",ROUND(INDEX('Reward Model'!$B$12:$B$14,MATCH($Y2532,'Reward Model'!$A$12:$A$14,0))*Z2532,2),0)</f>
        <v>0</v>
      </c>
    </row>
    <row r="2533" customFormat="false" ht="15" hidden="false" customHeight="false" outlineLevel="0" collapsed="false">
      <c r="A2533" s="0" t="s">
        <v>384</v>
      </c>
      <c r="B2533" s="0" t="s">
        <v>385</v>
      </c>
      <c r="C2533" s="0" t="s">
        <v>322</v>
      </c>
      <c r="D2533" s="0" t="s">
        <v>31</v>
      </c>
      <c r="E2533" s="0" t="n">
        <v>12</v>
      </c>
      <c r="F2533" s="0" t="s">
        <v>64</v>
      </c>
      <c r="G2533" s="0" t="s">
        <v>65</v>
      </c>
      <c r="H2533" s="0" t="s">
        <v>65</v>
      </c>
      <c r="I2533" s="0" t="s">
        <v>34</v>
      </c>
      <c r="J2533" s="0" t="n">
        <v>1.86</v>
      </c>
      <c r="K2533" s="0" t="s">
        <v>60</v>
      </c>
      <c r="L2533" s="0" t="n">
        <f aca="false">INDEX(Summary!$F$2:$F$201,MATCH($B2533,Summary!$A$2:$A$201,0))</f>
        <v>20</v>
      </c>
      <c r="M2533" s="0" t="n">
        <f aca="false">INDEX(Summary!$I$2:$I$201,MATCH($B2533,Summary!$A$2:$A$201,0))</f>
        <v>3</v>
      </c>
      <c r="N2533" s="0" t="n">
        <f aca="false">INDEX(Summary!$J$2:$J$201,MATCH($B2533,Summary!$A$2:$A$201,0))</f>
        <v>2</v>
      </c>
      <c r="O2533" s="2" t="n">
        <f aca="false">INDEX(Summary!$K$2:$K$201,MATCH($B2533,Summary!$A$2:$A$201,0))</f>
        <v>7.25</v>
      </c>
      <c r="P2533" s="3" t="n">
        <f aca="false">INDEX(Summary!$L$2:$L$201,MATCH($B2533,Summary!$A$2:$A$201,0))</f>
        <v>5</v>
      </c>
      <c r="Q2533" s="3" t="n">
        <f aca="false">INDEX(Summary!$M$2:$M$201,MATCH($B2533,Summary!$A$2:$A$201,0))</f>
        <v>1</v>
      </c>
      <c r="R2533" s="2" t="n">
        <f aca="false">INDEX(Summary!$N$2:$N$201,MATCH($B2533,Summary!$A$2:$A$201,0))</f>
        <v>10.52</v>
      </c>
      <c r="S2533" s="3" t="n">
        <f aca="false">INDEX(Summary!$O$2:$O$201,MATCH($B2533,Summary!$A$2:$A$201,0))</f>
        <v>8</v>
      </c>
      <c r="T2533" s="3" t="n">
        <f aca="false">INDEX(Summary!$P$2:$P$201,MATCH($B2533,Summary!$A$2:$A$201,0))</f>
        <v>1</v>
      </c>
      <c r="U2533" s="2" t="n">
        <f aca="false">INDEX(Summary!$Q$2:$Q$201,MATCH($B2533,Summary!$A$2:$A$201,0))</f>
        <v>12.81</v>
      </c>
      <c r="V2533" s="2" t="n">
        <f aca="false">INDEX(Summary!$R$2:$R$201,MATCH($B2533,Summary!$A$2:$A$201,0))</f>
        <v>30.83</v>
      </c>
      <c r="W2533" s="0" t="str">
        <f aca="false">INDEX(Summary!$S$2:$S$201,MATCH($B2533,Summary!$A$2:$A$201,0))</f>
        <v>Gold</v>
      </c>
      <c r="X2533" s="2" t="n">
        <f aca="false">INDEX(Summary!$T$2:$T$201,MATCH($B2533,Summary!$A$2:$A$201,0))</f>
        <v>75.2</v>
      </c>
      <c r="Y2533" s="0" t="str">
        <f aca="false">INDEX('Reward Model'!$E$18:$E$37,MATCH($E2533,'Reward Model'!$A$18:$A$37,0))</f>
        <v>Medium</v>
      </c>
      <c r="Z2533" s="4" t="n">
        <f aca="false">ROUND(MIN(1,MAX('Reward Model'!$B$2,INDEX('Reward Model'!$C$12:$C$14,MATCH($K2533,'Reward Model'!$A$12:$A$14,0))/$J2533)),3)</f>
        <v>0.968</v>
      </c>
      <c r="AA2533" s="2" t="n">
        <f aca="false">IF($I2533="Correct",ROUND(INDEX('Reward Model'!$B$12:$B$14,MATCH($K2533,'Reward Model'!$A$12:$A$14,0))*Z2533,2),0)</f>
        <v>1.94</v>
      </c>
      <c r="AB2533" s="2" t="n">
        <f aca="false">IF($I2533="Correct",ROUND(INDEX('Reward Model'!$B$12:$B$14,MATCH($Y2533,'Reward Model'!$A$12:$A$14,0))*Z2533,2),0)</f>
        <v>1.94</v>
      </c>
    </row>
    <row r="2534" customFormat="false" ht="15" hidden="false" customHeight="false" outlineLevel="0" collapsed="false">
      <c r="A2534" s="0" t="s">
        <v>384</v>
      </c>
      <c r="B2534" s="0" t="s">
        <v>385</v>
      </c>
      <c r="C2534" s="0" t="s">
        <v>322</v>
      </c>
      <c r="D2534" s="0" t="s">
        <v>31</v>
      </c>
      <c r="E2534" s="0" t="n">
        <v>13</v>
      </c>
      <c r="F2534" s="0" t="s">
        <v>66</v>
      </c>
      <c r="G2534" s="0" t="s">
        <v>67</v>
      </c>
      <c r="H2534" s="0" t="s">
        <v>67</v>
      </c>
      <c r="I2534" s="0" t="s">
        <v>34</v>
      </c>
      <c r="J2534" s="0" t="n">
        <v>1.86</v>
      </c>
      <c r="K2534" s="0" t="s">
        <v>60</v>
      </c>
      <c r="L2534" s="0" t="n">
        <f aca="false">INDEX(Summary!$F$2:$F$201,MATCH($B2534,Summary!$A$2:$A$201,0))</f>
        <v>20</v>
      </c>
      <c r="M2534" s="0" t="n">
        <f aca="false">INDEX(Summary!$I$2:$I$201,MATCH($B2534,Summary!$A$2:$A$201,0))</f>
        <v>3</v>
      </c>
      <c r="N2534" s="0" t="n">
        <f aca="false">INDEX(Summary!$J$2:$J$201,MATCH($B2534,Summary!$A$2:$A$201,0))</f>
        <v>2</v>
      </c>
      <c r="O2534" s="2" t="n">
        <f aca="false">INDEX(Summary!$K$2:$K$201,MATCH($B2534,Summary!$A$2:$A$201,0))</f>
        <v>7.25</v>
      </c>
      <c r="P2534" s="3" t="n">
        <f aca="false">INDEX(Summary!$L$2:$L$201,MATCH($B2534,Summary!$A$2:$A$201,0))</f>
        <v>5</v>
      </c>
      <c r="Q2534" s="3" t="n">
        <f aca="false">INDEX(Summary!$M$2:$M$201,MATCH($B2534,Summary!$A$2:$A$201,0))</f>
        <v>1</v>
      </c>
      <c r="R2534" s="2" t="n">
        <f aca="false">INDEX(Summary!$N$2:$N$201,MATCH($B2534,Summary!$A$2:$A$201,0))</f>
        <v>10.52</v>
      </c>
      <c r="S2534" s="3" t="n">
        <f aca="false">INDEX(Summary!$O$2:$O$201,MATCH($B2534,Summary!$A$2:$A$201,0))</f>
        <v>8</v>
      </c>
      <c r="T2534" s="3" t="n">
        <f aca="false">INDEX(Summary!$P$2:$P$201,MATCH($B2534,Summary!$A$2:$A$201,0))</f>
        <v>1</v>
      </c>
      <c r="U2534" s="2" t="n">
        <f aca="false">INDEX(Summary!$Q$2:$Q$201,MATCH($B2534,Summary!$A$2:$A$201,0))</f>
        <v>12.81</v>
      </c>
      <c r="V2534" s="2" t="n">
        <f aca="false">INDEX(Summary!$R$2:$R$201,MATCH($B2534,Summary!$A$2:$A$201,0))</f>
        <v>30.83</v>
      </c>
      <c r="W2534" s="0" t="str">
        <f aca="false">INDEX(Summary!$S$2:$S$201,MATCH($B2534,Summary!$A$2:$A$201,0))</f>
        <v>Gold</v>
      </c>
      <c r="X2534" s="2" t="n">
        <f aca="false">INDEX(Summary!$T$2:$T$201,MATCH($B2534,Summary!$A$2:$A$201,0))</f>
        <v>75.2</v>
      </c>
      <c r="Y2534" s="0" t="str">
        <f aca="false">INDEX('Reward Model'!$E$18:$E$37,MATCH($E2534,'Reward Model'!$A$18:$A$37,0))</f>
        <v>Medium</v>
      </c>
      <c r="Z2534" s="4" t="n">
        <f aca="false">ROUND(MIN(1,MAX('Reward Model'!$B$2,INDEX('Reward Model'!$C$12:$C$14,MATCH($K2534,'Reward Model'!$A$12:$A$14,0))/$J2534)),3)</f>
        <v>0.968</v>
      </c>
      <c r="AA2534" s="2" t="n">
        <f aca="false">IF($I2534="Correct",ROUND(INDEX('Reward Model'!$B$12:$B$14,MATCH($K2534,'Reward Model'!$A$12:$A$14,0))*Z2534,2),0)</f>
        <v>1.94</v>
      </c>
      <c r="AB2534" s="2" t="n">
        <f aca="false">IF($I2534="Correct",ROUND(INDEX('Reward Model'!$B$12:$B$14,MATCH($Y2534,'Reward Model'!$A$12:$A$14,0))*Z2534,2),0)</f>
        <v>1.94</v>
      </c>
    </row>
    <row r="2535" customFormat="false" ht="15" hidden="false" customHeight="false" outlineLevel="0" collapsed="false">
      <c r="A2535" s="0" t="s">
        <v>384</v>
      </c>
      <c r="B2535" s="0" t="s">
        <v>385</v>
      </c>
      <c r="C2535" s="0" t="s">
        <v>322</v>
      </c>
      <c r="D2535" s="0" t="s">
        <v>31</v>
      </c>
      <c r="E2535" s="0" t="n">
        <v>14</v>
      </c>
      <c r="F2535" s="0" t="s">
        <v>68</v>
      </c>
      <c r="G2535" s="0" t="s">
        <v>51</v>
      </c>
      <c r="H2535" s="0" t="s">
        <v>51</v>
      </c>
      <c r="I2535" s="0" t="s">
        <v>34</v>
      </c>
      <c r="J2535" s="0" t="n">
        <v>1.45</v>
      </c>
      <c r="K2535" s="0" t="s">
        <v>60</v>
      </c>
      <c r="L2535" s="0" t="n">
        <f aca="false">INDEX(Summary!$F$2:$F$201,MATCH($B2535,Summary!$A$2:$A$201,0))</f>
        <v>20</v>
      </c>
      <c r="M2535" s="0" t="n">
        <f aca="false">INDEX(Summary!$I$2:$I$201,MATCH($B2535,Summary!$A$2:$A$201,0))</f>
        <v>3</v>
      </c>
      <c r="N2535" s="0" t="n">
        <f aca="false">INDEX(Summary!$J$2:$J$201,MATCH($B2535,Summary!$A$2:$A$201,0))</f>
        <v>2</v>
      </c>
      <c r="O2535" s="2" t="n">
        <f aca="false">INDEX(Summary!$K$2:$K$201,MATCH($B2535,Summary!$A$2:$A$201,0))</f>
        <v>7.25</v>
      </c>
      <c r="P2535" s="3" t="n">
        <f aca="false">INDEX(Summary!$L$2:$L$201,MATCH($B2535,Summary!$A$2:$A$201,0))</f>
        <v>5</v>
      </c>
      <c r="Q2535" s="3" t="n">
        <f aca="false">INDEX(Summary!$M$2:$M$201,MATCH($B2535,Summary!$A$2:$A$201,0))</f>
        <v>1</v>
      </c>
      <c r="R2535" s="2" t="n">
        <f aca="false">INDEX(Summary!$N$2:$N$201,MATCH($B2535,Summary!$A$2:$A$201,0))</f>
        <v>10.52</v>
      </c>
      <c r="S2535" s="3" t="n">
        <f aca="false">INDEX(Summary!$O$2:$O$201,MATCH($B2535,Summary!$A$2:$A$201,0))</f>
        <v>8</v>
      </c>
      <c r="T2535" s="3" t="n">
        <f aca="false">INDEX(Summary!$P$2:$P$201,MATCH($B2535,Summary!$A$2:$A$201,0))</f>
        <v>1</v>
      </c>
      <c r="U2535" s="2" t="n">
        <f aca="false">INDEX(Summary!$Q$2:$Q$201,MATCH($B2535,Summary!$A$2:$A$201,0))</f>
        <v>12.81</v>
      </c>
      <c r="V2535" s="2" t="n">
        <f aca="false">INDEX(Summary!$R$2:$R$201,MATCH($B2535,Summary!$A$2:$A$201,0))</f>
        <v>30.83</v>
      </c>
      <c r="W2535" s="0" t="str">
        <f aca="false">INDEX(Summary!$S$2:$S$201,MATCH($B2535,Summary!$A$2:$A$201,0))</f>
        <v>Gold</v>
      </c>
      <c r="X2535" s="2" t="n">
        <f aca="false">INDEX(Summary!$T$2:$T$201,MATCH($B2535,Summary!$A$2:$A$201,0))</f>
        <v>75.2</v>
      </c>
      <c r="Y2535" s="0" t="str">
        <f aca="false">INDEX('Reward Model'!$E$18:$E$37,MATCH($E2535,'Reward Model'!$A$18:$A$37,0))</f>
        <v>Medium</v>
      </c>
      <c r="Z2535" s="4" t="n">
        <f aca="false">ROUND(MIN(1,MAX('Reward Model'!$B$2,INDEX('Reward Model'!$C$12:$C$14,MATCH($K2535,'Reward Model'!$A$12:$A$14,0))/$J2535)),3)</f>
        <v>1</v>
      </c>
      <c r="AA2535" s="2" t="n">
        <f aca="false">IF($I2535="Correct",ROUND(INDEX('Reward Model'!$B$12:$B$14,MATCH($K2535,'Reward Model'!$A$12:$A$14,0))*Z2535,2),0)</f>
        <v>2</v>
      </c>
      <c r="AB2535" s="2" t="n">
        <f aca="false">IF($I2535="Correct",ROUND(INDEX('Reward Model'!$B$12:$B$14,MATCH($Y2535,'Reward Model'!$A$12:$A$14,0))*Z2535,2),0)</f>
        <v>2</v>
      </c>
    </row>
    <row r="2536" customFormat="false" ht="15" hidden="false" customHeight="false" outlineLevel="0" collapsed="false">
      <c r="A2536" s="0" t="s">
        <v>384</v>
      </c>
      <c r="B2536" s="0" t="s">
        <v>385</v>
      </c>
      <c r="C2536" s="0" t="s">
        <v>322</v>
      </c>
      <c r="D2536" s="0" t="s">
        <v>31</v>
      </c>
      <c r="E2536" s="0" t="n">
        <v>15</v>
      </c>
      <c r="F2536" s="0" t="s">
        <v>69</v>
      </c>
      <c r="G2536" s="0" t="s">
        <v>70</v>
      </c>
      <c r="H2536" s="0" t="s">
        <v>70</v>
      </c>
      <c r="I2536" s="0" t="s">
        <v>34</v>
      </c>
      <c r="J2536" s="0" t="n">
        <v>1.14</v>
      </c>
      <c r="K2536" s="0" t="s">
        <v>60</v>
      </c>
      <c r="L2536" s="0" t="n">
        <f aca="false">INDEX(Summary!$F$2:$F$201,MATCH($B2536,Summary!$A$2:$A$201,0))</f>
        <v>20</v>
      </c>
      <c r="M2536" s="0" t="n">
        <f aca="false">INDEX(Summary!$I$2:$I$201,MATCH($B2536,Summary!$A$2:$A$201,0))</f>
        <v>3</v>
      </c>
      <c r="N2536" s="0" t="n">
        <f aca="false">INDEX(Summary!$J$2:$J$201,MATCH($B2536,Summary!$A$2:$A$201,0))</f>
        <v>2</v>
      </c>
      <c r="O2536" s="2" t="n">
        <f aca="false">INDEX(Summary!$K$2:$K$201,MATCH($B2536,Summary!$A$2:$A$201,0))</f>
        <v>7.25</v>
      </c>
      <c r="P2536" s="3" t="n">
        <f aca="false">INDEX(Summary!$L$2:$L$201,MATCH($B2536,Summary!$A$2:$A$201,0))</f>
        <v>5</v>
      </c>
      <c r="Q2536" s="3" t="n">
        <f aca="false">INDEX(Summary!$M$2:$M$201,MATCH($B2536,Summary!$A$2:$A$201,0))</f>
        <v>1</v>
      </c>
      <c r="R2536" s="2" t="n">
        <f aca="false">INDEX(Summary!$N$2:$N$201,MATCH($B2536,Summary!$A$2:$A$201,0))</f>
        <v>10.52</v>
      </c>
      <c r="S2536" s="3" t="n">
        <f aca="false">INDEX(Summary!$O$2:$O$201,MATCH($B2536,Summary!$A$2:$A$201,0))</f>
        <v>8</v>
      </c>
      <c r="T2536" s="3" t="n">
        <f aca="false">INDEX(Summary!$P$2:$P$201,MATCH($B2536,Summary!$A$2:$A$201,0))</f>
        <v>1</v>
      </c>
      <c r="U2536" s="2" t="n">
        <f aca="false">INDEX(Summary!$Q$2:$Q$201,MATCH($B2536,Summary!$A$2:$A$201,0))</f>
        <v>12.81</v>
      </c>
      <c r="V2536" s="2" t="n">
        <f aca="false">INDEX(Summary!$R$2:$R$201,MATCH($B2536,Summary!$A$2:$A$201,0))</f>
        <v>30.83</v>
      </c>
      <c r="W2536" s="0" t="str">
        <f aca="false">INDEX(Summary!$S$2:$S$201,MATCH($B2536,Summary!$A$2:$A$201,0))</f>
        <v>Gold</v>
      </c>
      <c r="X2536" s="2" t="n">
        <f aca="false">INDEX(Summary!$T$2:$T$201,MATCH($B2536,Summary!$A$2:$A$201,0))</f>
        <v>75.2</v>
      </c>
      <c r="Y2536" s="0" t="str">
        <f aca="false">INDEX('Reward Model'!$E$18:$E$37,MATCH($E2536,'Reward Model'!$A$18:$A$37,0))</f>
        <v>Medium</v>
      </c>
      <c r="Z2536" s="4" t="n">
        <f aca="false">ROUND(MIN(1,MAX('Reward Model'!$B$2,INDEX('Reward Model'!$C$12:$C$14,MATCH($K2536,'Reward Model'!$A$12:$A$14,0))/$J2536)),3)</f>
        <v>1</v>
      </c>
      <c r="AA2536" s="2" t="n">
        <f aca="false">IF($I2536="Correct",ROUND(INDEX('Reward Model'!$B$12:$B$14,MATCH($K2536,'Reward Model'!$A$12:$A$14,0))*Z2536,2),0)</f>
        <v>2</v>
      </c>
      <c r="AB2536" s="2" t="n">
        <f aca="false">IF($I2536="Correct",ROUND(INDEX('Reward Model'!$B$12:$B$14,MATCH($Y2536,'Reward Model'!$A$12:$A$14,0))*Z2536,2),0)</f>
        <v>2</v>
      </c>
    </row>
    <row r="2537" customFormat="false" ht="15" hidden="false" customHeight="false" outlineLevel="0" collapsed="false">
      <c r="A2537" s="0" t="s">
        <v>384</v>
      </c>
      <c r="B2537" s="0" t="s">
        <v>385</v>
      </c>
      <c r="C2537" s="0" t="s">
        <v>322</v>
      </c>
      <c r="D2537" s="0" t="s">
        <v>31</v>
      </c>
      <c r="E2537" s="0" t="n">
        <v>16</v>
      </c>
      <c r="F2537" s="0" t="s">
        <v>71</v>
      </c>
      <c r="G2537" s="0" t="s">
        <v>72</v>
      </c>
      <c r="H2537" s="0" t="s">
        <v>72</v>
      </c>
      <c r="I2537" s="0" t="s">
        <v>34</v>
      </c>
      <c r="J2537" s="0" t="n">
        <v>1.35</v>
      </c>
      <c r="K2537" s="0" t="s">
        <v>73</v>
      </c>
      <c r="L2537" s="0" t="n">
        <f aca="false">INDEX(Summary!$F$2:$F$201,MATCH($B2537,Summary!$A$2:$A$201,0))</f>
        <v>20</v>
      </c>
      <c r="M2537" s="0" t="n">
        <f aca="false">INDEX(Summary!$I$2:$I$201,MATCH($B2537,Summary!$A$2:$A$201,0))</f>
        <v>3</v>
      </c>
      <c r="N2537" s="0" t="n">
        <f aca="false">INDEX(Summary!$J$2:$J$201,MATCH($B2537,Summary!$A$2:$A$201,0))</f>
        <v>2</v>
      </c>
      <c r="O2537" s="2" t="n">
        <f aca="false">INDEX(Summary!$K$2:$K$201,MATCH($B2537,Summary!$A$2:$A$201,0))</f>
        <v>7.25</v>
      </c>
      <c r="P2537" s="3" t="n">
        <f aca="false">INDEX(Summary!$L$2:$L$201,MATCH($B2537,Summary!$A$2:$A$201,0))</f>
        <v>5</v>
      </c>
      <c r="Q2537" s="3" t="n">
        <f aca="false">INDEX(Summary!$M$2:$M$201,MATCH($B2537,Summary!$A$2:$A$201,0))</f>
        <v>1</v>
      </c>
      <c r="R2537" s="2" t="n">
        <f aca="false">INDEX(Summary!$N$2:$N$201,MATCH($B2537,Summary!$A$2:$A$201,0))</f>
        <v>10.52</v>
      </c>
      <c r="S2537" s="3" t="n">
        <f aca="false">INDEX(Summary!$O$2:$O$201,MATCH($B2537,Summary!$A$2:$A$201,0))</f>
        <v>8</v>
      </c>
      <c r="T2537" s="3" t="n">
        <f aca="false">INDEX(Summary!$P$2:$P$201,MATCH($B2537,Summary!$A$2:$A$201,0))</f>
        <v>1</v>
      </c>
      <c r="U2537" s="2" t="n">
        <f aca="false">INDEX(Summary!$Q$2:$Q$201,MATCH($B2537,Summary!$A$2:$A$201,0))</f>
        <v>12.81</v>
      </c>
      <c r="V2537" s="2" t="n">
        <f aca="false">INDEX(Summary!$R$2:$R$201,MATCH($B2537,Summary!$A$2:$A$201,0))</f>
        <v>30.83</v>
      </c>
      <c r="W2537" s="0" t="str">
        <f aca="false">INDEX(Summary!$S$2:$S$201,MATCH($B2537,Summary!$A$2:$A$201,0))</f>
        <v>Gold</v>
      </c>
      <c r="X2537" s="2" t="n">
        <f aca="false">INDEX(Summary!$T$2:$T$201,MATCH($B2537,Summary!$A$2:$A$201,0))</f>
        <v>75.2</v>
      </c>
      <c r="Y2537" s="0" t="str">
        <f aca="false">INDEX('Reward Model'!$E$18:$E$37,MATCH($E2537,'Reward Model'!$A$18:$A$37,0))</f>
        <v>High</v>
      </c>
      <c r="Z2537" s="4" t="n">
        <f aca="false">ROUND(MIN(1,MAX('Reward Model'!$B$2,INDEX('Reward Model'!$C$12:$C$14,MATCH($K2537,'Reward Model'!$A$12:$A$14,0))/$J2537)),3)</f>
        <v>1</v>
      </c>
      <c r="AA2537" s="2" t="n">
        <f aca="false">IF($I2537="Correct",ROUND(INDEX('Reward Model'!$B$12:$B$14,MATCH($K2537,'Reward Model'!$A$12:$A$14,0))*Z2537,2),0)</f>
        <v>3</v>
      </c>
      <c r="AB2537" s="2" t="n">
        <f aca="false">IF($I2537="Correct",ROUND(INDEX('Reward Model'!$B$12:$B$14,MATCH($Y2537,'Reward Model'!$A$12:$A$14,0))*Z2537,2),0)</f>
        <v>3</v>
      </c>
    </row>
    <row r="2538" customFormat="false" ht="15" hidden="false" customHeight="false" outlineLevel="0" collapsed="false">
      <c r="A2538" s="0" t="s">
        <v>384</v>
      </c>
      <c r="B2538" s="0" t="s">
        <v>385</v>
      </c>
      <c r="C2538" s="0" t="s">
        <v>322</v>
      </c>
      <c r="D2538" s="0" t="s">
        <v>31</v>
      </c>
      <c r="E2538" s="0" t="n">
        <v>17</v>
      </c>
      <c r="F2538" s="0" t="s">
        <v>74</v>
      </c>
      <c r="G2538" s="0" t="s">
        <v>105</v>
      </c>
      <c r="H2538" s="0" t="s">
        <v>75</v>
      </c>
      <c r="I2538" s="0" t="s">
        <v>39</v>
      </c>
      <c r="J2538" s="0" t="n">
        <v>1.4</v>
      </c>
      <c r="K2538" s="0" t="s">
        <v>73</v>
      </c>
      <c r="L2538" s="0" t="n">
        <f aca="false">INDEX(Summary!$F$2:$F$201,MATCH($B2538,Summary!$A$2:$A$201,0))</f>
        <v>20</v>
      </c>
      <c r="M2538" s="0" t="n">
        <f aca="false">INDEX(Summary!$I$2:$I$201,MATCH($B2538,Summary!$A$2:$A$201,0))</f>
        <v>3</v>
      </c>
      <c r="N2538" s="0" t="n">
        <f aca="false">INDEX(Summary!$J$2:$J$201,MATCH($B2538,Summary!$A$2:$A$201,0))</f>
        <v>2</v>
      </c>
      <c r="O2538" s="2" t="n">
        <f aca="false">INDEX(Summary!$K$2:$K$201,MATCH($B2538,Summary!$A$2:$A$201,0))</f>
        <v>7.25</v>
      </c>
      <c r="P2538" s="3" t="n">
        <f aca="false">INDEX(Summary!$L$2:$L$201,MATCH($B2538,Summary!$A$2:$A$201,0))</f>
        <v>5</v>
      </c>
      <c r="Q2538" s="3" t="n">
        <f aca="false">INDEX(Summary!$M$2:$M$201,MATCH($B2538,Summary!$A$2:$A$201,0))</f>
        <v>1</v>
      </c>
      <c r="R2538" s="2" t="n">
        <f aca="false">INDEX(Summary!$N$2:$N$201,MATCH($B2538,Summary!$A$2:$A$201,0))</f>
        <v>10.52</v>
      </c>
      <c r="S2538" s="3" t="n">
        <f aca="false">INDEX(Summary!$O$2:$O$201,MATCH($B2538,Summary!$A$2:$A$201,0))</f>
        <v>8</v>
      </c>
      <c r="T2538" s="3" t="n">
        <f aca="false">INDEX(Summary!$P$2:$P$201,MATCH($B2538,Summary!$A$2:$A$201,0))</f>
        <v>1</v>
      </c>
      <c r="U2538" s="2" t="n">
        <f aca="false">INDEX(Summary!$Q$2:$Q$201,MATCH($B2538,Summary!$A$2:$A$201,0))</f>
        <v>12.81</v>
      </c>
      <c r="V2538" s="2" t="n">
        <f aca="false">INDEX(Summary!$R$2:$R$201,MATCH($B2538,Summary!$A$2:$A$201,0))</f>
        <v>30.83</v>
      </c>
      <c r="W2538" s="0" t="str">
        <f aca="false">INDEX(Summary!$S$2:$S$201,MATCH($B2538,Summary!$A$2:$A$201,0))</f>
        <v>Gold</v>
      </c>
      <c r="X2538" s="2" t="n">
        <f aca="false">INDEX(Summary!$T$2:$T$201,MATCH($B2538,Summary!$A$2:$A$201,0))</f>
        <v>75.2</v>
      </c>
      <c r="Y2538" s="0" t="str">
        <f aca="false">INDEX('Reward Model'!$E$18:$E$37,MATCH($E2538,'Reward Model'!$A$18:$A$37,0))</f>
        <v>High</v>
      </c>
      <c r="Z2538" s="4" t="n">
        <f aca="false">ROUND(MIN(1,MAX('Reward Model'!$B$2,INDEX('Reward Model'!$C$12:$C$14,MATCH($K2538,'Reward Model'!$A$12:$A$14,0))/$J2538)),3)</f>
        <v>1</v>
      </c>
      <c r="AA2538" s="2" t="n">
        <f aca="false">IF($I2538="Correct",ROUND(INDEX('Reward Model'!$B$12:$B$14,MATCH($K2538,'Reward Model'!$A$12:$A$14,0))*Z2538,2),0)</f>
        <v>0</v>
      </c>
      <c r="AB2538" s="2" t="n">
        <f aca="false">IF($I2538="Correct",ROUND(INDEX('Reward Model'!$B$12:$B$14,MATCH($Y2538,'Reward Model'!$A$12:$A$14,0))*Z2538,2),0)</f>
        <v>0</v>
      </c>
    </row>
    <row r="2539" customFormat="false" ht="15" hidden="false" customHeight="false" outlineLevel="0" collapsed="false">
      <c r="A2539" s="0" t="s">
        <v>384</v>
      </c>
      <c r="B2539" s="0" t="s">
        <v>385</v>
      </c>
      <c r="C2539" s="0" t="s">
        <v>322</v>
      </c>
      <c r="D2539" s="0" t="s">
        <v>31</v>
      </c>
      <c r="E2539" s="0" t="n">
        <v>18</v>
      </c>
      <c r="F2539" s="0" t="s">
        <v>76</v>
      </c>
      <c r="G2539" s="0" t="s">
        <v>77</v>
      </c>
      <c r="H2539" s="0" t="s">
        <v>77</v>
      </c>
      <c r="I2539" s="0" t="s">
        <v>34</v>
      </c>
      <c r="J2539" s="0" t="n">
        <v>1.34</v>
      </c>
      <c r="K2539" s="0" t="s">
        <v>73</v>
      </c>
      <c r="L2539" s="0" t="n">
        <f aca="false">INDEX(Summary!$F$2:$F$201,MATCH($B2539,Summary!$A$2:$A$201,0))</f>
        <v>20</v>
      </c>
      <c r="M2539" s="0" t="n">
        <f aca="false">INDEX(Summary!$I$2:$I$201,MATCH($B2539,Summary!$A$2:$A$201,0))</f>
        <v>3</v>
      </c>
      <c r="N2539" s="0" t="n">
        <f aca="false">INDEX(Summary!$J$2:$J$201,MATCH($B2539,Summary!$A$2:$A$201,0))</f>
        <v>2</v>
      </c>
      <c r="O2539" s="2" t="n">
        <f aca="false">INDEX(Summary!$K$2:$K$201,MATCH($B2539,Summary!$A$2:$A$201,0))</f>
        <v>7.25</v>
      </c>
      <c r="P2539" s="3" t="n">
        <f aca="false">INDEX(Summary!$L$2:$L$201,MATCH($B2539,Summary!$A$2:$A$201,0))</f>
        <v>5</v>
      </c>
      <c r="Q2539" s="3" t="n">
        <f aca="false">INDEX(Summary!$M$2:$M$201,MATCH($B2539,Summary!$A$2:$A$201,0))</f>
        <v>1</v>
      </c>
      <c r="R2539" s="2" t="n">
        <f aca="false">INDEX(Summary!$N$2:$N$201,MATCH($B2539,Summary!$A$2:$A$201,0))</f>
        <v>10.52</v>
      </c>
      <c r="S2539" s="3" t="n">
        <f aca="false">INDEX(Summary!$O$2:$O$201,MATCH($B2539,Summary!$A$2:$A$201,0))</f>
        <v>8</v>
      </c>
      <c r="T2539" s="3" t="n">
        <f aca="false">INDEX(Summary!$P$2:$P$201,MATCH($B2539,Summary!$A$2:$A$201,0))</f>
        <v>1</v>
      </c>
      <c r="U2539" s="2" t="n">
        <f aca="false">INDEX(Summary!$Q$2:$Q$201,MATCH($B2539,Summary!$A$2:$A$201,0))</f>
        <v>12.81</v>
      </c>
      <c r="V2539" s="2" t="n">
        <f aca="false">INDEX(Summary!$R$2:$R$201,MATCH($B2539,Summary!$A$2:$A$201,0))</f>
        <v>30.83</v>
      </c>
      <c r="W2539" s="0" t="str">
        <f aca="false">INDEX(Summary!$S$2:$S$201,MATCH($B2539,Summary!$A$2:$A$201,0))</f>
        <v>Gold</v>
      </c>
      <c r="X2539" s="2" t="n">
        <f aca="false">INDEX(Summary!$T$2:$T$201,MATCH($B2539,Summary!$A$2:$A$201,0))</f>
        <v>75.2</v>
      </c>
      <c r="Y2539" s="0" t="str">
        <f aca="false">INDEX('Reward Model'!$E$18:$E$37,MATCH($E2539,'Reward Model'!$A$18:$A$37,0))</f>
        <v>High</v>
      </c>
      <c r="Z2539" s="4" t="n">
        <f aca="false">ROUND(MIN(1,MAX('Reward Model'!$B$2,INDEX('Reward Model'!$C$12:$C$14,MATCH($K2539,'Reward Model'!$A$12:$A$14,0))/$J2539)),3)</f>
        <v>1</v>
      </c>
      <c r="AA2539" s="2" t="n">
        <f aca="false">IF($I2539="Correct",ROUND(INDEX('Reward Model'!$B$12:$B$14,MATCH($K2539,'Reward Model'!$A$12:$A$14,0))*Z2539,2),0)</f>
        <v>3</v>
      </c>
      <c r="AB2539" s="2" t="n">
        <f aca="false">IF($I2539="Correct",ROUND(INDEX('Reward Model'!$B$12:$B$14,MATCH($Y2539,'Reward Model'!$A$12:$A$14,0))*Z2539,2),0)</f>
        <v>3</v>
      </c>
    </row>
    <row r="2540" customFormat="false" ht="15" hidden="false" customHeight="false" outlineLevel="0" collapsed="false">
      <c r="A2540" s="0" t="s">
        <v>384</v>
      </c>
      <c r="B2540" s="0" t="s">
        <v>385</v>
      </c>
      <c r="C2540" s="0" t="s">
        <v>322</v>
      </c>
      <c r="D2540" s="0" t="s">
        <v>31</v>
      </c>
      <c r="E2540" s="0" t="n">
        <v>19</v>
      </c>
      <c r="F2540" s="0" t="s">
        <v>78</v>
      </c>
      <c r="G2540" s="0" t="s">
        <v>51</v>
      </c>
      <c r="H2540" s="0" t="s">
        <v>80</v>
      </c>
      <c r="I2540" s="0" t="s">
        <v>39</v>
      </c>
      <c r="J2540" s="0" t="n">
        <v>1.92</v>
      </c>
      <c r="K2540" s="0" t="s">
        <v>73</v>
      </c>
      <c r="L2540" s="0" t="n">
        <f aca="false">INDEX(Summary!$F$2:$F$201,MATCH($B2540,Summary!$A$2:$A$201,0))</f>
        <v>20</v>
      </c>
      <c r="M2540" s="0" t="n">
        <f aca="false">INDEX(Summary!$I$2:$I$201,MATCH($B2540,Summary!$A$2:$A$201,0))</f>
        <v>3</v>
      </c>
      <c r="N2540" s="0" t="n">
        <f aca="false">INDEX(Summary!$J$2:$J$201,MATCH($B2540,Summary!$A$2:$A$201,0))</f>
        <v>2</v>
      </c>
      <c r="O2540" s="2" t="n">
        <f aca="false">INDEX(Summary!$K$2:$K$201,MATCH($B2540,Summary!$A$2:$A$201,0))</f>
        <v>7.25</v>
      </c>
      <c r="P2540" s="3" t="n">
        <f aca="false">INDEX(Summary!$L$2:$L$201,MATCH($B2540,Summary!$A$2:$A$201,0))</f>
        <v>5</v>
      </c>
      <c r="Q2540" s="3" t="n">
        <f aca="false">INDEX(Summary!$M$2:$M$201,MATCH($B2540,Summary!$A$2:$A$201,0))</f>
        <v>1</v>
      </c>
      <c r="R2540" s="2" t="n">
        <f aca="false">INDEX(Summary!$N$2:$N$201,MATCH($B2540,Summary!$A$2:$A$201,0))</f>
        <v>10.52</v>
      </c>
      <c r="S2540" s="3" t="n">
        <f aca="false">INDEX(Summary!$O$2:$O$201,MATCH($B2540,Summary!$A$2:$A$201,0))</f>
        <v>8</v>
      </c>
      <c r="T2540" s="3" t="n">
        <f aca="false">INDEX(Summary!$P$2:$P$201,MATCH($B2540,Summary!$A$2:$A$201,0))</f>
        <v>1</v>
      </c>
      <c r="U2540" s="2" t="n">
        <f aca="false">INDEX(Summary!$Q$2:$Q$201,MATCH($B2540,Summary!$A$2:$A$201,0))</f>
        <v>12.81</v>
      </c>
      <c r="V2540" s="2" t="n">
        <f aca="false">INDEX(Summary!$R$2:$R$201,MATCH($B2540,Summary!$A$2:$A$201,0))</f>
        <v>30.83</v>
      </c>
      <c r="W2540" s="0" t="str">
        <f aca="false">INDEX(Summary!$S$2:$S$201,MATCH($B2540,Summary!$A$2:$A$201,0))</f>
        <v>Gold</v>
      </c>
      <c r="X2540" s="2" t="n">
        <f aca="false">INDEX(Summary!$T$2:$T$201,MATCH($B2540,Summary!$A$2:$A$201,0))</f>
        <v>75.2</v>
      </c>
      <c r="Y2540" s="0" t="str">
        <f aca="false">INDEX('Reward Model'!$E$18:$E$37,MATCH($E2540,'Reward Model'!$A$18:$A$37,0))</f>
        <v>High</v>
      </c>
      <c r="Z2540" s="4" t="n">
        <f aca="false">ROUND(MIN(1,MAX('Reward Model'!$B$2,INDEX('Reward Model'!$C$12:$C$14,MATCH($K2540,'Reward Model'!$A$12:$A$14,0))/$J2540)),3)</f>
        <v>1</v>
      </c>
      <c r="AA2540" s="2" t="n">
        <f aca="false">IF($I2540="Correct",ROUND(INDEX('Reward Model'!$B$12:$B$14,MATCH($K2540,'Reward Model'!$A$12:$A$14,0))*Z2540,2),0)</f>
        <v>0</v>
      </c>
      <c r="AB2540" s="2" t="n">
        <f aca="false">IF($I2540="Correct",ROUND(INDEX('Reward Model'!$B$12:$B$14,MATCH($Y2540,'Reward Model'!$A$12:$A$14,0))*Z2540,2),0)</f>
        <v>0</v>
      </c>
    </row>
    <row r="2541" customFormat="false" ht="15" hidden="false" customHeight="false" outlineLevel="0" collapsed="false">
      <c r="A2541" s="0" t="s">
        <v>384</v>
      </c>
      <c r="B2541" s="0" t="s">
        <v>385</v>
      </c>
      <c r="C2541" s="0" t="s">
        <v>322</v>
      </c>
      <c r="D2541" s="0" t="s">
        <v>31</v>
      </c>
      <c r="E2541" s="0" t="n">
        <v>20</v>
      </c>
      <c r="F2541" s="0" t="s">
        <v>81</v>
      </c>
      <c r="G2541" s="0" t="s">
        <v>83</v>
      </c>
      <c r="H2541" s="0" t="s">
        <v>83</v>
      </c>
      <c r="I2541" s="0" t="s">
        <v>34</v>
      </c>
      <c r="J2541" s="0" t="n">
        <v>1.24</v>
      </c>
      <c r="K2541" s="0" t="s">
        <v>73</v>
      </c>
      <c r="L2541" s="0" t="n">
        <f aca="false">INDEX(Summary!$F$2:$F$201,MATCH($B2541,Summary!$A$2:$A$201,0))</f>
        <v>20</v>
      </c>
      <c r="M2541" s="0" t="n">
        <f aca="false">INDEX(Summary!$I$2:$I$201,MATCH($B2541,Summary!$A$2:$A$201,0))</f>
        <v>3</v>
      </c>
      <c r="N2541" s="0" t="n">
        <f aca="false">INDEX(Summary!$J$2:$J$201,MATCH($B2541,Summary!$A$2:$A$201,0))</f>
        <v>2</v>
      </c>
      <c r="O2541" s="2" t="n">
        <f aca="false">INDEX(Summary!$K$2:$K$201,MATCH($B2541,Summary!$A$2:$A$201,0))</f>
        <v>7.25</v>
      </c>
      <c r="P2541" s="3" t="n">
        <f aca="false">INDEX(Summary!$L$2:$L$201,MATCH($B2541,Summary!$A$2:$A$201,0))</f>
        <v>5</v>
      </c>
      <c r="Q2541" s="3" t="n">
        <f aca="false">INDEX(Summary!$M$2:$M$201,MATCH($B2541,Summary!$A$2:$A$201,0))</f>
        <v>1</v>
      </c>
      <c r="R2541" s="2" t="n">
        <f aca="false">INDEX(Summary!$N$2:$N$201,MATCH($B2541,Summary!$A$2:$A$201,0))</f>
        <v>10.52</v>
      </c>
      <c r="S2541" s="3" t="n">
        <f aca="false">INDEX(Summary!$O$2:$O$201,MATCH($B2541,Summary!$A$2:$A$201,0))</f>
        <v>8</v>
      </c>
      <c r="T2541" s="3" t="n">
        <f aca="false">INDEX(Summary!$P$2:$P$201,MATCH($B2541,Summary!$A$2:$A$201,0))</f>
        <v>1</v>
      </c>
      <c r="U2541" s="2" t="n">
        <f aca="false">INDEX(Summary!$Q$2:$Q$201,MATCH($B2541,Summary!$A$2:$A$201,0))</f>
        <v>12.81</v>
      </c>
      <c r="V2541" s="2" t="n">
        <f aca="false">INDEX(Summary!$R$2:$R$201,MATCH($B2541,Summary!$A$2:$A$201,0))</f>
        <v>30.83</v>
      </c>
      <c r="W2541" s="0" t="str">
        <f aca="false">INDEX(Summary!$S$2:$S$201,MATCH($B2541,Summary!$A$2:$A$201,0))</f>
        <v>Gold</v>
      </c>
      <c r="X2541" s="2" t="n">
        <f aca="false">INDEX(Summary!$T$2:$T$201,MATCH($B2541,Summary!$A$2:$A$201,0))</f>
        <v>75.2</v>
      </c>
      <c r="Y2541" s="0" t="str">
        <f aca="false">INDEX('Reward Model'!$E$18:$E$37,MATCH($E2541,'Reward Model'!$A$18:$A$37,0))</f>
        <v>High</v>
      </c>
      <c r="Z2541" s="4" t="n">
        <f aca="false">ROUND(MIN(1,MAX('Reward Model'!$B$2,INDEX('Reward Model'!$C$12:$C$14,MATCH($K2541,'Reward Model'!$A$12:$A$14,0))/$J2541)),3)</f>
        <v>1</v>
      </c>
      <c r="AA2541" s="2" t="n">
        <f aca="false">IF($I2541="Correct",ROUND(INDEX('Reward Model'!$B$12:$B$14,MATCH($K2541,'Reward Model'!$A$12:$A$14,0))*Z2541,2),0)</f>
        <v>3</v>
      </c>
      <c r="AB2541" s="2" t="n">
        <f aca="false">IF($I2541="Correct",ROUND(INDEX('Reward Model'!$B$12:$B$14,MATCH($Y2541,'Reward Model'!$A$12:$A$14,0))*Z2541,2),0)</f>
        <v>3</v>
      </c>
    </row>
    <row r="2542" customFormat="false" ht="15" hidden="false" customHeight="false" outlineLevel="0" collapsed="false">
      <c r="A2542" s="0" t="s">
        <v>386</v>
      </c>
      <c r="B2542" s="0" t="s">
        <v>387</v>
      </c>
      <c r="C2542" s="0" t="s">
        <v>322</v>
      </c>
      <c r="D2542" s="0" t="s">
        <v>31</v>
      </c>
      <c r="E2542" s="0" t="n">
        <v>1</v>
      </c>
      <c r="F2542" s="0" t="s">
        <v>32</v>
      </c>
      <c r="G2542" s="0" t="s">
        <v>33</v>
      </c>
      <c r="H2542" s="0" t="s">
        <v>33</v>
      </c>
      <c r="I2542" s="0" t="s">
        <v>34</v>
      </c>
      <c r="J2542" s="0" t="n">
        <v>1.59</v>
      </c>
      <c r="K2542" s="0" t="s">
        <v>35</v>
      </c>
      <c r="L2542" s="0" t="n">
        <f aca="false">INDEX(Summary!$F$2:$F$201,MATCH($B2542,Summary!$A$2:$A$201,0))</f>
        <v>20</v>
      </c>
      <c r="M2542" s="0" t="n">
        <f aca="false">INDEX(Summary!$I$2:$I$201,MATCH($B2542,Summary!$A$2:$A$201,0))</f>
        <v>1</v>
      </c>
      <c r="N2542" s="0" t="n">
        <f aca="false">INDEX(Summary!$J$2:$J$201,MATCH($B2542,Summary!$A$2:$A$201,0))</f>
        <v>4</v>
      </c>
      <c r="O2542" s="2" t="n">
        <f aca="false">INDEX(Summary!$K$2:$K$201,MATCH($B2542,Summary!$A$2:$A$201,0))</f>
        <v>11.1</v>
      </c>
      <c r="P2542" s="3" t="n">
        <f aca="false">INDEX(Summary!$L$2:$L$201,MATCH($B2542,Summary!$A$2:$A$201,0))</f>
        <v>3</v>
      </c>
      <c r="Q2542" s="3" t="n">
        <f aca="false">INDEX(Summary!$M$2:$M$201,MATCH($B2542,Summary!$A$2:$A$201,0))</f>
        <v>3</v>
      </c>
      <c r="R2542" s="2" t="n">
        <f aca="false">INDEX(Summary!$N$2:$N$201,MATCH($B2542,Summary!$A$2:$A$201,0))</f>
        <v>9.78</v>
      </c>
      <c r="S2542" s="3" t="n">
        <f aca="false">INDEX(Summary!$O$2:$O$201,MATCH($B2542,Summary!$A$2:$A$201,0))</f>
        <v>8</v>
      </c>
      <c r="T2542" s="3" t="n">
        <f aca="false">INDEX(Summary!$P$2:$P$201,MATCH($B2542,Summary!$A$2:$A$201,0))</f>
        <v>1</v>
      </c>
      <c r="U2542" s="2" t="n">
        <f aca="false">INDEX(Summary!$Q$2:$Q$201,MATCH($B2542,Summary!$A$2:$A$201,0))</f>
        <v>13.92</v>
      </c>
      <c r="V2542" s="2" t="n">
        <f aca="false">INDEX(Summary!$R$2:$R$201,MATCH($B2542,Summary!$A$2:$A$201,0))</f>
        <v>19.38</v>
      </c>
      <c r="W2542" s="0" t="str">
        <f aca="false">INDEX(Summary!$S$2:$S$201,MATCH($B2542,Summary!$A$2:$A$201,0))</f>
        <v>Bronze</v>
      </c>
      <c r="X2542" s="2" t="n">
        <f aca="false">INDEX(Summary!$T$2:$T$201,MATCH($B2542,Summary!$A$2:$A$201,0))</f>
        <v>47.27</v>
      </c>
      <c r="Y2542" s="0" t="str">
        <f aca="false">INDEX('Reward Model'!$E$18:$E$37,MATCH($E2542,'Reward Model'!$A$18:$A$37,0))</f>
        <v>Medium</v>
      </c>
      <c r="Z2542" s="4" t="n">
        <f aca="false">ROUND(MIN(1,MAX('Reward Model'!$B$2,INDEX('Reward Model'!$C$12:$C$14,MATCH($K2542,'Reward Model'!$A$12:$A$14,0))/$J2542)),3)</f>
        <v>0.943</v>
      </c>
      <c r="AA2542" s="2" t="n">
        <f aca="false">IF($I2542="Correct",ROUND(INDEX('Reward Model'!$B$12:$B$14,MATCH($K2542,'Reward Model'!$A$12:$A$14,0))*Z2542,2),0)</f>
        <v>0.94</v>
      </c>
      <c r="AB2542" s="2" t="n">
        <f aca="false">IF($I2542="Correct",ROUND(INDEX('Reward Model'!$B$12:$B$14,MATCH($Y2542,'Reward Model'!$A$12:$A$14,0))*Z2542,2),0)</f>
        <v>1.89</v>
      </c>
    </row>
    <row r="2543" customFormat="false" ht="15" hidden="false" customHeight="false" outlineLevel="0" collapsed="false">
      <c r="A2543" s="0" t="s">
        <v>386</v>
      </c>
      <c r="B2543" s="0" t="s">
        <v>387</v>
      </c>
      <c r="C2543" s="0" t="s">
        <v>322</v>
      </c>
      <c r="D2543" s="0" t="s">
        <v>31</v>
      </c>
      <c r="E2543" s="0" t="n">
        <v>2</v>
      </c>
      <c r="F2543" s="0" t="s">
        <v>36</v>
      </c>
      <c r="G2543" s="0" t="s">
        <v>38</v>
      </c>
      <c r="H2543" s="0" t="s">
        <v>38</v>
      </c>
      <c r="I2543" s="0" t="s">
        <v>34</v>
      </c>
      <c r="J2543" s="0" t="n">
        <v>1.93</v>
      </c>
      <c r="K2543" s="0" t="s">
        <v>35</v>
      </c>
      <c r="L2543" s="0" t="n">
        <f aca="false">INDEX(Summary!$F$2:$F$201,MATCH($B2543,Summary!$A$2:$A$201,0))</f>
        <v>20</v>
      </c>
      <c r="M2543" s="0" t="n">
        <f aca="false">INDEX(Summary!$I$2:$I$201,MATCH($B2543,Summary!$A$2:$A$201,0))</f>
        <v>1</v>
      </c>
      <c r="N2543" s="0" t="n">
        <f aca="false">INDEX(Summary!$J$2:$J$201,MATCH($B2543,Summary!$A$2:$A$201,0))</f>
        <v>4</v>
      </c>
      <c r="O2543" s="2" t="n">
        <f aca="false">INDEX(Summary!$K$2:$K$201,MATCH($B2543,Summary!$A$2:$A$201,0))</f>
        <v>11.1</v>
      </c>
      <c r="P2543" s="3" t="n">
        <f aca="false">INDEX(Summary!$L$2:$L$201,MATCH($B2543,Summary!$A$2:$A$201,0))</f>
        <v>3</v>
      </c>
      <c r="Q2543" s="3" t="n">
        <f aca="false">INDEX(Summary!$M$2:$M$201,MATCH($B2543,Summary!$A$2:$A$201,0))</f>
        <v>3</v>
      </c>
      <c r="R2543" s="2" t="n">
        <f aca="false">INDEX(Summary!$N$2:$N$201,MATCH($B2543,Summary!$A$2:$A$201,0))</f>
        <v>9.78</v>
      </c>
      <c r="S2543" s="3" t="n">
        <f aca="false">INDEX(Summary!$O$2:$O$201,MATCH($B2543,Summary!$A$2:$A$201,0))</f>
        <v>8</v>
      </c>
      <c r="T2543" s="3" t="n">
        <f aca="false">INDEX(Summary!$P$2:$P$201,MATCH($B2543,Summary!$A$2:$A$201,0))</f>
        <v>1</v>
      </c>
      <c r="U2543" s="2" t="n">
        <f aca="false">INDEX(Summary!$Q$2:$Q$201,MATCH($B2543,Summary!$A$2:$A$201,0))</f>
        <v>13.92</v>
      </c>
      <c r="V2543" s="2" t="n">
        <f aca="false">INDEX(Summary!$R$2:$R$201,MATCH($B2543,Summary!$A$2:$A$201,0))</f>
        <v>19.38</v>
      </c>
      <c r="W2543" s="0" t="str">
        <f aca="false">INDEX(Summary!$S$2:$S$201,MATCH($B2543,Summary!$A$2:$A$201,0))</f>
        <v>Bronze</v>
      </c>
      <c r="X2543" s="2" t="n">
        <f aca="false">INDEX(Summary!$T$2:$T$201,MATCH($B2543,Summary!$A$2:$A$201,0))</f>
        <v>47.27</v>
      </c>
      <c r="Y2543" s="0" t="str">
        <f aca="false">INDEX('Reward Model'!$E$18:$E$37,MATCH($E2543,'Reward Model'!$A$18:$A$37,0))</f>
        <v>Low</v>
      </c>
      <c r="Z2543" s="4" t="n">
        <f aca="false">ROUND(MIN(1,MAX('Reward Model'!$B$2,INDEX('Reward Model'!$C$12:$C$14,MATCH($K2543,'Reward Model'!$A$12:$A$14,0))/$J2543)),3)</f>
        <v>0.777</v>
      </c>
      <c r="AA2543" s="2" t="n">
        <f aca="false">IF($I2543="Correct",ROUND(INDEX('Reward Model'!$B$12:$B$14,MATCH($K2543,'Reward Model'!$A$12:$A$14,0))*Z2543,2),0)</f>
        <v>0.78</v>
      </c>
      <c r="AB2543" s="2" t="n">
        <f aca="false">IF($I2543="Correct",ROUND(INDEX('Reward Model'!$B$12:$B$14,MATCH($Y2543,'Reward Model'!$A$12:$A$14,0))*Z2543,2),0)</f>
        <v>0.78</v>
      </c>
    </row>
    <row r="2544" customFormat="false" ht="15" hidden="false" customHeight="false" outlineLevel="0" collapsed="false">
      <c r="A2544" s="0" t="s">
        <v>386</v>
      </c>
      <c r="B2544" s="0" t="s">
        <v>387</v>
      </c>
      <c r="C2544" s="0" t="s">
        <v>322</v>
      </c>
      <c r="D2544" s="0" t="s">
        <v>31</v>
      </c>
      <c r="E2544" s="0" t="n">
        <v>3</v>
      </c>
      <c r="F2544" s="0" t="s">
        <v>40</v>
      </c>
      <c r="G2544" s="0" t="s">
        <v>42</v>
      </c>
      <c r="H2544" s="0" t="s">
        <v>42</v>
      </c>
      <c r="I2544" s="0" t="s">
        <v>34</v>
      </c>
      <c r="J2544" s="0" t="n">
        <v>1.2</v>
      </c>
      <c r="K2544" s="0" t="s">
        <v>35</v>
      </c>
      <c r="L2544" s="0" t="n">
        <f aca="false">INDEX(Summary!$F$2:$F$201,MATCH($B2544,Summary!$A$2:$A$201,0))</f>
        <v>20</v>
      </c>
      <c r="M2544" s="0" t="n">
        <f aca="false">INDEX(Summary!$I$2:$I$201,MATCH($B2544,Summary!$A$2:$A$201,0))</f>
        <v>1</v>
      </c>
      <c r="N2544" s="0" t="n">
        <f aca="false">INDEX(Summary!$J$2:$J$201,MATCH($B2544,Summary!$A$2:$A$201,0))</f>
        <v>4</v>
      </c>
      <c r="O2544" s="2" t="n">
        <f aca="false">INDEX(Summary!$K$2:$K$201,MATCH($B2544,Summary!$A$2:$A$201,0))</f>
        <v>11.1</v>
      </c>
      <c r="P2544" s="3" t="n">
        <f aca="false">INDEX(Summary!$L$2:$L$201,MATCH($B2544,Summary!$A$2:$A$201,0))</f>
        <v>3</v>
      </c>
      <c r="Q2544" s="3" t="n">
        <f aca="false">INDEX(Summary!$M$2:$M$201,MATCH($B2544,Summary!$A$2:$A$201,0))</f>
        <v>3</v>
      </c>
      <c r="R2544" s="2" t="n">
        <f aca="false">INDEX(Summary!$N$2:$N$201,MATCH($B2544,Summary!$A$2:$A$201,0))</f>
        <v>9.78</v>
      </c>
      <c r="S2544" s="3" t="n">
        <f aca="false">INDEX(Summary!$O$2:$O$201,MATCH($B2544,Summary!$A$2:$A$201,0))</f>
        <v>8</v>
      </c>
      <c r="T2544" s="3" t="n">
        <f aca="false">INDEX(Summary!$P$2:$P$201,MATCH($B2544,Summary!$A$2:$A$201,0))</f>
        <v>1</v>
      </c>
      <c r="U2544" s="2" t="n">
        <f aca="false">INDEX(Summary!$Q$2:$Q$201,MATCH($B2544,Summary!$A$2:$A$201,0))</f>
        <v>13.92</v>
      </c>
      <c r="V2544" s="2" t="n">
        <f aca="false">INDEX(Summary!$R$2:$R$201,MATCH($B2544,Summary!$A$2:$A$201,0))</f>
        <v>19.38</v>
      </c>
      <c r="W2544" s="0" t="str">
        <f aca="false">INDEX(Summary!$S$2:$S$201,MATCH($B2544,Summary!$A$2:$A$201,0))</f>
        <v>Bronze</v>
      </c>
      <c r="X2544" s="2" t="n">
        <f aca="false">INDEX(Summary!$T$2:$T$201,MATCH($B2544,Summary!$A$2:$A$201,0))</f>
        <v>47.27</v>
      </c>
      <c r="Y2544" s="0" t="str">
        <f aca="false">INDEX('Reward Model'!$E$18:$E$37,MATCH($E2544,'Reward Model'!$A$18:$A$37,0))</f>
        <v>Medium</v>
      </c>
      <c r="Z2544" s="4" t="n">
        <f aca="false">ROUND(MIN(1,MAX('Reward Model'!$B$2,INDEX('Reward Model'!$C$12:$C$14,MATCH($K2544,'Reward Model'!$A$12:$A$14,0))/$J2544)),3)</f>
        <v>1</v>
      </c>
      <c r="AA2544" s="2" t="n">
        <f aca="false">IF($I2544="Correct",ROUND(INDEX('Reward Model'!$B$12:$B$14,MATCH($K2544,'Reward Model'!$A$12:$A$14,0))*Z2544,2),0)</f>
        <v>1</v>
      </c>
      <c r="AB2544" s="2" t="n">
        <f aca="false">IF($I2544="Correct",ROUND(INDEX('Reward Model'!$B$12:$B$14,MATCH($Y2544,'Reward Model'!$A$12:$A$14,0))*Z2544,2),0)</f>
        <v>2</v>
      </c>
    </row>
    <row r="2545" customFormat="false" ht="15" hidden="false" customHeight="false" outlineLevel="0" collapsed="false">
      <c r="A2545" s="0" t="s">
        <v>386</v>
      </c>
      <c r="B2545" s="0" t="s">
        <v>387</v>
      </c>
      <c r="C2545" s="0" t="s">
        <v>322</v>
      </c>
      <c r="D2545" s="0" t="s">
        <v>31</v>
      </c>
      <c r="E2545" s="0" t="n">
        <v>4</v>
      </c>
      <c r="F2545" s="0" t="s">
        <v>43</v>
      </c>
      <c r="G2545" s="0" t="s">
        <v>45</v>
      </c>
      <c r="H2545" s="0" t="s">
        <v>45</v>
      </c>
      <c r="I2545" s="0" t="s">
        <v>34</v>
      </c>
      <c r="J2545" s="0" t="n">
        <v>0.97</v>
      </c>
      <c r="K2545" s="0" t="s">
        <v>35</v>
      </c>
      <c r="L2545" s="0" t="n">
        <f aca="false">INDEX(Summary!$F$2:$F$201,MATCH($B2545,Summary!$A$2:$A$201,0))</f>
        <v>20</v>
      </c>
      <c r="M2545" s="0" t="n">
        <f aca="false">INDEX(Summary!$I$2:$I$201,MATCH($B2545,Summary!$A$2:$A$201,0))</f>
        <v>1</v>
      </c>
      <c r="N2545" s="0" t="n">
        <f aca="false">INDEX(Summary!$J$2:$J$201,MATCH($B2545,Summary!$A$2:$A$201,0))</f>
        <v>4</v>
      </c>
      <c r="O2545" s="2" t="n">
        <f aca="false">INDEX(Summary!$K$2:$K$201,MATCH($B2545,Summary!$A$2:$A$201,0))</f>
        <v>11.1</v>
      </c>
      <c r="P2545" s="3" t="n">
        <f aca="false">INDEX(Summary!$L$2:$L$201,MATCH($B2545,Summary!$A$2:$A$201,0))</f>
        <v>3</v>
      </c>
      <c r="Q2545" s="3" t="n">
        <f aca="false">INDEX(Summary!$M$2:$M$201,MATCH($B2545,Summary!$A$2:$A$201,0))</f>
        <v>3</v>
      </c>
      <c r="R2545" s="2" t="n">
        <f aca="false">INDEX(Summary!$N$2:$N$201,MATCH($B2545,Summary!$A$2:$A$201,0))</f>
        <v>9.78</v>
      </c>
      <c r="S2545" s="3" t="n">
        <f aca="false">INDEX(Summary!$O$2:$O$201,MATCH($B2545,Summary!$A$2:$A$201,0))</f>
        <v>8</v>
      </c>
      <c r="T2545" s="3" t="n">
        <f aca="false">INDEX(Summary!$P$2:$P$201,MATCH($B2545,Summary!$A$2:$A$201,0))</f>
        <v>1</v>
      </c>
      <c r="U2545" s="2" t="n">
        <f aca="false">INDEX(Summary!$Q$2:$Q$201,MATCH($B2545,Summary!$A$2:$A$201,0))</f>
        <v>13.92</v>
      </c>
      <c r="V2545" s="2" t="n">
        <f aca="false">INDEX(Summary!$R$2:$R$201,MATCH($B2545,Summary!$A$2:$A$201,0))</f>
        <v>19.38</v>
      </c>
      <c r="W2545" s="0" t="str">
        <f aca="false">INDEX(Summary!$S$2:$S$201,MATCH($B2545,Summary!$A$2:$A$201,0))</f>
        <v>Bronze</v>
      </c>
      <c r="X2545" s="2" t="n">
        <f aca="false">INDEX(Summary!$T$2:$T$201,MATCH($B2545,Summary!$A$2:$A$201,0))</f>
        <v>47.27</v>
      </c>
      <c r="Y2545" s="0" t="str">
        <f aca="false">INDEX('Reward Model'!$E$18:$E$37,MATCH($E2545,'Reward Model'!$A$18:$A$37,0))</f>
        <v>Low</v>
      </c>
      <c r="Z2545" s="4" t="n">
        <f aca="false">ROUND(MIN(1,MAX('Reward Model'!$B$2,INDEX('Reward Model'!$C$12:$C$14,MATCH($K2545,'Reward Model'!$A$12:$A$14,0))/$J2545)),3)</f>
        <v>1</v>
      </c>
      <c r="AA2545" s="2" t="n">
        <f aca="false">IF($I2545="Correct",ROUND(INDEX('Reward Model'!$B$12:$B$14,MATCH($K2545,'Reward Model'!$A$12:$A$14,0))*Z2545,2),0)</f>
        <v>1</v>
      </c>
      <c r="AB2545" s="2" t="n">
        <f aca="false">IF($I2545="Correct",ROUND(INDEX('Reward Model'!$B$12:$B$14,MATCH($Y2545,'Reward Model'!$A$12:$A$14,0))*Z2545,2),0)</f>
        <v>1</v>
      </c>
    </row>
    <row r="2546" customFormat="false" ht="15" hidden="false" customHeight="false" outlineLevel="0" collapsed="false">
      <c r="A2546" s="0" t="s">
        <v>386</v>
      </c>
      <c r="B2546" s="0" t="s">
        <v>387</v>
      </c>
      <c r="C2546" s="0" t="s">
        <v>322</v>
      </c>
      <c r="D2546" s="0" t="s">
        <v>31</v>
      </c>
      <c r="E2546" s="0" t="n">
        <v>5</v>
      </c>
      <c r="F2546" s="0" t="s">
        <v>46</v>
      </c>
      <c r="G2546" s="0" t="s">
        <v>47</v>
      </c>
      <c r="H2546" s="0" t="s">
        <v>47</v>
      </c>
      <c r="I2546" s="0" t="s">
        <v>34</v>
      </c>
      <c r="J2546" s="0" t="n">
        <v>1.52</v>
      </c>
      <c r="K2546" s="0" t="s">
        <v>35</v>
      </c>
      <c r="L2546" s="0" t="n">
        <f aca="false">INDEX(Summary!$F$2:$F$201,MATCH($B2546,Summary!$A$2:$A$201,0))</f>
        <v>20</v>
      </c>
      <c r="M2546" s="0" t="n">
        <f aca="false">INDEX(Summary!$I$2:$I$201,MATCH($B2546,Summary!$A$2:$A$201,0))</f>
        <v>1</v>
      </c>
      <c r="N2546" s="0" t="n">
        <f aca="false">INDEX(Summary!$J$2:$J$201,MATCH($B2546,Summary!$A$2:$A$201,0))</f>
        <v>4</v>
      </c>
      <c r="O2546" s="2" t="n">
        <f aca="false">INDEX(Summary!$K$2:$K$201,MATCH($B2546,Summary!$A$2:$A$201,0))</f>
        <v>11.1</v>
      </c>
      <c r="P2546" s="3" t="n">
        <f aca="false">INDEX(Summary!$L$2:$L$201,MATCH($B2546,Summary!$A$2:$A$201,0))</f>
        <v>3</v>
      </c>
      <c r="Q2546" s="3" t="n">
        <f aca="false">INDEX(Summary!$M$2:$M$201,MATCH($B2546,Summary!$A$2:$A$201,0))</f>
        <v>3</v>
      </c>
      <c r="R2546" s="2" t="n">
        <f aca="false">INDEX(Summary!$N$2:$N$201,MATCH($B2546,Summary!$A$2:$A$201,0))</f>
        <v>9.78</v>
      </c>
      <c r="S2546" s="3" t="n">
        <f aca="false">INDEX(Summary!$O$2:$O$201,MATCH($B2546,Summary!$A$2:$A$201,0))</f>
        <v>8</v>
      </c>
      <c r="T2546" s="3" t="n">
        <f aca="false">INDEX(Summary!$P$2:$P$201,MATCH($B2546,Summary!$A$2:$A$201,0))</f>
        <v>1</v>
      </c>
      <c r="U2546" s="2" t="n">
        <f aca="false">INDEX(Summary!$Q$2:$Q$201,MATCH($B2546,Summary!$A$2:$A$201,0))</f>
        <v>13.92</v>
      </c>
      <c r="V2546" s="2" t="n">
        <f aca="false">INDEX(Summary!$R$2:$R$201,MATCH($B2546,Summary!$A$2:$A$201,0))</f>
        <v>19.38</v>
      </c>
      <c r="W2546" s="0" t="str">
        <f aca="false">INDEX(Summary!$S$2:$S$201,MATCH($B2546,Summary!$A$2:$A$201,0))</f>
        <v>Bronze</v>
      </c>
      <c r="X2546" s="2" t="n">
        <f aca="false">INDEX(Summary!$T$2:$T$201,MATCH($B2546,Summary!$A$2:$A$201,0))</f>
        <v>47.27</v>
      </c>
      <c r="Y2546" s="0" t="str">
        <f aca="false">INDEX('Reward Model'!$E$18:$E$37,MATCH($E2546,'Reward Model'!$A$18:$A$37,0))</f>
        <v>Low</v>
      </c>
      <c r="Z2546" s="4" t="n">
        <f aca="false">ROUND(MIN(1,MAX('Reward Model'!$B$2,INDEX('Reward Model'!$C$12:$C$14,MATCH($K2546,'Reward Model'!$A$12:$A$14,0))/$J2546)),3)</f>
        <v>0.987</v>
      </c>
      <c r="AA2546" s="2" t="n">
        <f aca="false">IF($I2546="Correct",ROUND(INDEX('Reward Model'!$B$12:$B$14,MATCH($K2546,'Reward Model'!$A$12:$A$14,0))*Z2546,2),0)</f>
        <v>0.99</v>
      </c>
      <c r="AB2546" s="2" t="n">
        <f aca="false">IF($I2546="Correct",ROUND(INDEX('Reward Model'!$B$12:$B$14,MATCH($Y2546,'Reward Model'!$A$12:$A$14,0))*Z2546,2),0)</f>
        <v>0.99</v>
      </c>
    </row>
    <row r="2547" customFormat="false" ht="15" hidden="false" customHeight="false" outlineLevel="0" collapsed="false">
      <c r="A2547" s="0" t="s">
        <v>386</v>
      </c>
      <c r="B2547" s="0" t="s">
        <v>387</v>
      </c>
      <c r="C2547" s="0" t="s">
        <v>322</v>
      </c>
      <c r="D2547" s="0" t="s">
        <v>31</v>
      </c>
      <c r="E2547" s="0" t="n">
        <v>6</v>
      </c>
      <c r="F2547" s="0" t="s">
        <v>48</v>
      </c>
      <c r="G2547" s="0" t="s">
        <v>49</v>
      </c>
      <c r="H2547" s="0" t="s">
        <v>49</v>
      </c>
      <c r="I2547" s="0" t="s">
        <v>34</v>
      </c>
      <c r="J2547" s="0" t="n">
        <v>1.94</v>
      </c>
      <c r="K2547" s="0" t="s">
        <v>35</v>
      </c>
      <c r="L2547" s="0" t="n">
        <f aca="false">INDEX(Summary!$F$2:$F$201,MATCH($B2547,Summary!$A$2:$A$201,0))</f>
        <v>20</v>
      </c>
      <c r="M2547" s="0" t="n">
        <f aca="false">INDEX(Summary!$I$2:$I$201,MATCH($B2547,Summary!$A$2:$A$201,0))</f>
        <v>1</v>
      </c>
      <c r="N2547" s="0" t="n">
        <f aca="false">INDEX(Summary!$J$2:$J$201,MATCH($B2547,Summary!$A$2:$A$201,0))</f>
        <v>4</v>
      </c>
      <c r="O2547" s="2" t="n">
        <f aca="false">INDEX(Summary!$K$2:$K$201,MATCH($B2547,Summary!$A$2:$A$201,0))</f>
        <v>11.1</v>
      </c>
      <c r="P2547" s="3" t="n">
        <f aca="false">INDEX(Summary!$L$2:$L$201,MATCH($B2547,Summary!$A$2:$A$201,0))</f>
        <v>3</v>
      </c>
      <c r="Q2547" s="3" t="n">
        <f aca="false">INDEX(Summary!$M$2:$M$201,MATCH($B2547,Summary!$A$2:$A$201,0))</f>
        <v>3</v>
      </c>
      <c r="R2547" s="2" t="n">
        <f aca="false">INDEX(Summary!$N$2:$N$201,MATCH($B2547,Summary!$A$2:$A$201,0))</f>
        <v>9.78</v>
      </c>
      <c r="S2547" s="3" t="n">
        <f aca="false">INDEX(Summary!$O$2:$O$201,MATCH($B2547,Summary!$A$2:$A$201,0))</f>
        <v>8</v>
      </c>
      <c r="T2547" s="3" t="n">
        <f aca="false">INDEX(Summary!$P$2:$P$201,MATCH($B2547,Summary!$A$2:$A$201,0))</f>
        <v>1</v>
      </c>
      <c r="U2547" s="2" t="n">
        <f aca="false">INDEX(Summary!$Q$2:$Q$201,MATCH($B2547,Summary!$A$2:$A$201,0))</f>
        <v>13.92</v>
      </c>
      <c r="V2547" s="2" t="n">
        <f aca="false">INDEX(Summary!$R$2:$R$201,MATCH($B2547,Summary!$A$2:$A$201,0))</f>
        <v>19.38</v>
      </c>
      <c r="W2547" s="0" t="str">
        <f aca="false">INDEX(Summary!$S$2:$S$201,MATCH($B2547,Summary!$A$2:$A$201,0))</f>
        <v>Bronze</v>
      </c>
      <c r="X2547" s="2" t="n">
        <f aca="false">INDEX(Summary!$T$2:$T$201,MATCH($B2547,Summary!$A$2:$A$201,0))</f>
        <v>47.27</v>
      </c>
      <c r="Y2547" s="0" t="str">
        <f aca="false">INDEX('Reward Model'!$E$18:$E$37,MATCH($E2547,'Reward Model'!$A$18:$A$37,0))</f>
        <v>Medium</v>
      </c>
      <c r="Z2547" s="4" t="n">
        <f aca="false">ROUND(MIN(1,MAX('Reward Model'!$B$2,INDEX('Reward Model'!$C$12:$C$14,MATCH($K2547,'Reward Model'!$A$12:$A$14,0))/$J2547)),3)</f>
        <v>0.773</v>
      </c>
      <c r="AA2547" s="2" t="n">
        <f aca="false">IF($I2547="Correct",ROUND(INDEX('Reward Model'!$B$12:$B$14,MATCH($K2547,'Reward Model'!$A$12:$A$14,0))*Z2547,2),0)</f>
        <v>0.77</v>
      </c>
      <c r="AB2547" s="2" t="n">
        <f aca="false">IF($I2547="Correct",ROUND(INDEX('Reward Model'!$B$12:$B$14,MATCH($Y2547,'Reward Model'!$A$12:$A$14,0))*Z2547,2),0)</f>
        <v>1.55</v>
      </c>
    </row>
    <row r="2548" customFormat="false" ht="15" hidden="false" customHeight="false" outlineLevel="0" collapsed="false">
      <c r="A2548" s="0" t="s">
        <v>386</v>
      </c>
      <c r="B2548" s="0" t="s">
        <v>387</v>
      </c>
      <c r="C2548" s="0" t="s">
        <v>322</v>
      </c>
      <c r="D2548" s="0" t="s">
        <v>31</v>
      </c>
      <c r="E2548" s="0" t="n">
        <v>7</v>
      </c>
      <c r="F2548" s="0" t="s">
        <v>50</v>
      </c>
      <c r="G2548" s="0" t="s">
        <v>51</v>
      </c>
      <c r="H2548" s="0" t="s">
        <v>51</v>
      </c>
      <c r="I2548" s="0" t="s">
        <v>34</v>
      </c>
      <c r="J2548" s="0" t="n">
        <v>1.8</v>
      </c>
      <c r="K2548" s="0" t="s">
        <v>35</v>
      </c>
      <c r="L2548" s="0" t="n">
        <f aca="false">INDEX(Summary!$F$2:$F$201,MATCH($B2548,Summary!$A$2:$A$201,0))</f>
        <v>20</v>
      </c>
      <c r="M2548" s="0" t="n">
        <f aca="false">INDEX(Summary!$I$2:$I$201,MATCH($B2548,Summary!$A$2:$A$201,0))</f>
        <v>1</v>
      </c>
      <c r="N2548" s="0" t="n">
        <f aca="false">INDEX(Summary!$J$2:$J$201,MATCH($B2548,Summary!$A$2:$A$201,0))</f>
        <v>4</v>
      </c>
      <c r="O2548" s="2" t="n">
        <f aca="false">INDEX(Summary!$K$2:$K$201,MATCH($B2548,Summary!$A$2:$A$201,0))</f>
        <v>11.1</v>
      </c>
      <c r="P2548" s="3" t="n">
        <f aca="false">INDEX(Summary!$L$2:$L$201,MATCH($B2548,Summary!$A$2:$A$201,0))</f>
        <v>3</v>
      </c>
      <c r="Q2548" s="3" t="n">
        <f aca="false">INDEX(Summary!$M$2:$M$201,MATCH($B2548,Summary!$A$2:$A$201,0))</f>
        <v>3</v>
      </c>
      <c r="R2548" s="2" t="n">
        <f aca="false">INDEX(Summary!$N$2:$N$201,MATCH($B2548,Summary!$A$2:$A$201,0))</f>
        <v>9.78</v>
      </c>
      <c r="S2548" s="3" t="n">
        <f aca="false">INDEX(Summary!$O$2:$O$201,MATCH($B2548,Summary!$A$2:$A$201,0))</f>
        <v>8</v>
      </c>
      <c r="T2548" s="3" t="n">
        <f aca="false">INDEX(Summary!$P$2:$P$201,MATCH($B2548,Summary!$A$2:$A$201,0))</f>
        <v>1</v>
      </c>
      <c r="U2548" s="2" t="n">
        <f aca="false">INDEX(Summary!$Q$2:$Q$201,MATCH($B2548,Summary!$A$2:$A$201,0))</f>
        <v>13.92</v>
      </c>
      <c r="V2548" s="2" t="n">
        <f aca="false">INDEX(Summary!$R$2:$R$201,MATCH($B2548,Summary!$A$2:$A$201,0))</f>
        <v>19.38</v>
      </c>
      <c r="W2548" s="0" t="str">
        <f aca="false">INDEX(Summary!$S$2:$S$201,MATCH($B2548,Summary!$A$2:$A$201,0))</f>
        <v>Bronze</v>
      </c>
      <c r="X2548" s="2" t="n">
        <f aca="false">INDEX(Summary!$T$2:$T$201,MATCH($B2548,Summary!$A$2:$A$201,0))</f>
        <v>47.27</v>
      </c>
      <c r="Y2548" s="0" t="str">
        <f aca="false">INDEX('Reward Model'!$E$18:$E$37,MATCH($E2548,'Reward Model'!$A$18:$A$37,0))</f>
        <v>Low</v>
      </c>
      <c r="Z2548" s="4" t="n">
        <f aca="false">ROUND(MIN(1,MAX('Reward Model'!$B$2,INDEX('Reward Model'!$C$12:$C$14,MATCH($K2548,'Reward Model'!$A$12:$A$14,0))/$J2548)),3)</f>
        <v>0.833</v>
      </c>
      <c r="AA2548" s="2" t="n">
        <f aca="false">IF($I2548="Correct",ROUND(INDEX('Reward Model'!$B$12:$B$14,MATCH($K2548,'Reward Model'!$A$12:$A$14,0))*Z2548,2),0)</f>
        <v>0.83</v>
      </c>
      <c r="AB2548" s="2" t="n">
        <f aca="false">IF($I2548="Correct",ROUND(INDEX('Reward Model'!$B$12:$B$14,MATCH($Y2548,'Reward Model'!$A$12:$A$14,0))*Z2548,2),0)</f>
        <v>0.83</v>
      </c>
    </row>
    <row r="2549" customFormat="false" ht="15" hidden="false" customHeight="false" outlineLevel="0" collapsed="false">
      <c r="A2549" s="0" t="s">
        <v>386</v>
      </c>
      <c r="B2549" s="0" t="s">
        <v>387</v>
      </c>
      <c r="C2549" s="0" t="s">
        <v>322</v>
      </c>
      <c r="D2549" s="0" t="s">
        <v>31</v>
      </c>
      <c r="E2549" s="0" t="n">
        <v>8</v>
      </c>
      <c r="F2549" s="0" t="s">
        <v>52</v>
      </c>
      <c r="G2549" s="0" t="s">
        <v>54</v>
      </c>
      <c r="H2549" s="0" t="s">
        <v>54</v>
      </c>
      <c r="I2549" s="0" t="s">
        <v>34</v>
      </c>
      <c r="J2549" s="0" t="n">
        <v>1.64</v>
      </c>
      <c r="K2549" s="0" t="s">
        <v>35</v>
      </c>
      <c r="L2549" s="0" t="n">
        <f aca="false">INDEX(Summary!$F$2:$F$201,MATCH($B2549,Summary!$A$2:$A$201,0))</f>
        <v>20</v>
      </c>
      <c r="M2549" s="0" t="n">
        <f aca="false">INDEX(Summary!$I$2:$I$201,MATCH($B2549,Summary!$A$2:$A$201,0))</f>
        <v>1</v>
      </c>
      <c r="N2549" s="0" t="n">
        <f aca="false">INDEX(Summary!$J$2:$J$201,MATCH($B2549,Summary!$A$2:$A$201,0))</f>
        <v>4</v>
      </c>
      <c r="O2549" s="2" t="n">
        <f aca="false">INDEX(Summary!$K$2:$K$201,MATCH($B2549,Summary!$A$2:$A$201,0))</f>
        <v>11.1</v>
      </c>
      <c r="P2549" s="3" t="n">
        <f aca="false">INDEX(Summary!$L$2:$L$201,MATCH($B2549,Summary!$A$2:$A$201,0))</f>
        <v>3</v>
      </c>
      <c r="Q2549" s="3" t="n">
        <f aca="false">INDEX(Summary!$M$2:$M$201,MATCH($B2549,Summary!$A$2:$A$201,0))</f>
        <v>3</v>
      </c>
      <c r="R2549" s="2" t="n">
        <f aca="false">INDEX(Summary!$N$2:$N$201,MATCH($B2549,Summary!$A$2:$A$201,0))</f>
        <v>9.78</v>
      </c>
      <c r="S2549" s="3" t="n">
        <f aca="false">INDEX(Summary!$O$2:$O$201,MATCH($B2549,Summary!$A$2:$A$201,0))</f>
        <v>8</v>
      </c>
      <c r="T2549" s="3" t="n">
        <f aca="false">INDEX(Summary!$P$2:$P$201,MATCH($B2549,Summary!$A$2:$A$201,0))</f>
        <v>1</v>
      </c>
      <c r="U2549" s="2" t="n">
        <f aca="false">INDEX(Summary!$Q$2:$Q$201,MATCH($B2549,Summary!$A$2:$A$201,0))</f>
        <v>13.92</v>
      </c>
      <c r="V2549" s="2" t="n">
        <f aca="false">INDEX(Summary!$R$2:$R$201,MATCH($B2549,Summary!$A$2:$A$201,0))</f>
        <v>19.38</v>
      </c>
      <c r="W2549" s="0" t="str">
        <f aca="false">INDEX(Summary!$S$2:$S$201,MATCH($B2549,Summary!$A$2:$A$201,0))</f>
        <v>Bronze</v>
      </c>
      <c r="X2549" s="2" t="n">
        <f aca="false">INDEX(Summary!$T$2:$T$201,MATCH($B2549,Summary!$A$2:$A$201,0))</f>
        <v>47.27</v>
      </c>
      <c r="Y2549" s="0" t="str">
        <f aca="false">INDEX('Reward Model'!$E$18:$E$37,MATCH($E2549,'Reward Model'!$A$18:$A$37,0))</f>
        <v>Medium</v>
      </c>
      <c r="Z2549" s="4" t="n">
        <f aca="false">ROUND(MIN(1,MAX('Reward Model'!$B$2,INDEX('Reward Model'!$C$12:$C$14,MATCH($K2549,'Reward Model'!$A$12:$A$14,0))/$J2549)),3)</f>
        <v>0.915</v>
      </c>
      <c r="AA2549" s="2" t="n">
        <f aca="false">IF($I2549="Correct",ROUND(INDEX('Reward Model'!$B$12:$B$14,MATCH($K2549,'Reward Model'!$A$12:$A$14,0))*Z2549,2),0)</f>
        <v>0.92</v>
      </c>
      <c r="AB2549" s="2" t="n">
        <f aca="false">IF($I2549="Correct",ROUND(INDEX('Reward Model'!$B$12:$B$14,MATCH($Y2549,'Reward Model'!$A$12:$A$14,0))*Z2549,2),0)</f>
        <v>1.83</v>
      </c>
    </row>
    <row r="2550" customFormat="false" ht="15" hidden="false" customHeight="false" outlineLevel="0" collapsed="false">
      <c r="A2550" s="0" t="s">
        <v>386</v>
      </c>
      <c r="B2550" s="0" t="s">
        <v>387</v>
      </c>
      <c r="C2550" s="0" t="s">
        <v>322</v>
      </c>
      <c r="D2550" s="0" t="s">
        <v>31</v>
      </c>
      <c r="E2550" s="0" t="n">
        <v>9</v>
      </c>
      <c r="F2550" s="0" t="s">
        <v>55</v>
      </c>
      <c r="G2550" s="0" t="s">
        <v>56</v>
      </c>
      <c r="H2550" s="0" t="s">
        <v>57</v>
      </c>
      <c r="I2550" s="0" t="s">
        <v>39</v>
      </c>
      <c r="J2550" s="0" t="n">
        <v>1.33</v>
      </c>
      <c r="K2550" s="0" t="s">
        <v>35</v>
      </c>
      <c r="L2550" s="0" t="n">
        <f aca="false">INDEX(Summary!$F$2:$F$201,MATCH($B2550,Summary!$A$2:$A$201,0))</f>
        <v>20</v>
      </c>
      <c r="M2550" s="0" t="n">
        <f aca="false">INDEX(Summary!$I$2:$I$201,MATCH($B2550,Summary!$A$2:$A$201,0))</f>
        <v>1</v>
      </c>
      <c r="N2550" s="0" t="n">
        <f aca="false">INDEX(Summary!$J$2:$J$201,MATCH($B2550,Summary!$A$2:$A$201,0))</f>
        <v>4</v>
      </c>
      <c r="O2550" s="2" t="n">
        <f aca="false">INDEX(Summary!$K$2:$K$201,MATCH($B2550,Summary!$A$2:$A$201,0))</f>
        <v>11.1</v>
      </c>
      <c r="P2550" s="3" t="n">
        <f aca="false">INDEX(Summary!$L$2:$L$201,MATCH($B2550,Summary!$A$2:$A$201,0))</f>
        <v>3</v>
      </c>
      <c r="Q2550" s="3" t="n">
        <f aca="false">INDEX(Summary!$M$2:$M$201,MATCH($B2550,Summary!$A$2:$A$201,0))</f>
        <v>3</v>
      </c>
      <c r="R2550" s="2" t="n">
        <f aca="false">INDEX(Summary!$N$2:$N$201,MATCH($B2550,Summary!$A$2:$A$201,0))</f>
        <v>9.78</v>
      </c>
      <c r="S2550" s="3" t="n">
        <f aca="false">INDEX(Summary!$O$2:$O$201,MATCH($B2550,Summary!$A$2:$A$201,0))</f>
        <v>8</v>
      </c>
      <c r="T2550" s="3" t="n">
        <f aca="false">INDEX(Summary!$P$2:$P$201,MATCH($B2550,Summary!$A$2:$A$201,0))</f>
        <v>1</v>
      </c>
      <c r="U2550" s="2" t="n">
        <f aca="false">INDEX(Summary!$Q$2:$Q$201,MATCH($B2550,Summary!$A$2:$A$201,0))</f>
        <v>13.92</v>
      </c>
      <c r="V2550" s="2" t="n">
        <f aca="false">INDEX(Summary!$R$2:$R$201,MATCH($B2550,Summary!$A$2:$A$201,0))</f>
        <v>19.38</v>
      </c>
      <c r="W2550" s="0" t="str">
        <f aca="false">INDEX(Summary!$S$2:$S$201,MATCH($B2550,Summary!$A$2:$A$201,0))</f>
        <v>Bronze</v>
      </c>
      <c r="X2550" s="2" t="n">
        <f aca="false">INDEX(Summary!$T$2:$T$201,MATCH($B2550,Summary!$A$2:$A$201,0))</f>
        <v>47.27</v>
      </c>
      <c r="Y2550" s="0" t="str">
        <f aca="false">INDEX('Reward Model'!$E$18:$E$37,MATCH($E2550,'Reward Model'!$A$18:$A$37,0))</f>
        <v>Medium</v>
      </c>
      <c r="Z2550" s="4" t="n">
        <f aca="false">ROUND(MIN(1,MAX('Reward Model'!$B$2,INDEX('Reward Model'!$C$12:$C$14,MATCH($K2550,'Reward Model'!$A$12:$A$14,0))/$J2550)),3)</f>
        <v>1</v>
      </c>
      <c r="AA2550" s="2" t="n">
        <f aca="false">IF($I2550="Correct",ROUND(INDEX('Reward Model'!$B$12:$B$14,MATCH($K2550,'Reward Model'!$A$12:$A$14,0))*Z2550,2),0)</f>
        <v>0</v>
      </c>
      <c r="AB2550" s="2" t="n">
        <f aca="false">IF($I2550="Correct",ROUND(INDEX('Reward Model'!$B$12:$B$14,MATCH($Y2550,'Reward Model'!$A$12:$A$14,0))*Z2550,2),0)</f>
        <v>0</v>
      </c>
    </row>
    <row r="2551" customFormat="false" ht="15" hidden="false" customHeight="false" outlineLevel="0" collapsed="false">
      <c r="A2551" s="0" t="s">
        <v>386</v>
      </c>
      <c r="B2551" s="0" t="s">
        <v>387</v>
      </c>
      <c r="C2551" s="0" t="s">
        <v>322</v>
      </c>
      <c r="D2551" s="0" t="s">
        <v>31</v>
      </c>
      <c r="E2551" s="0" t="n">
        <v>10</v>
      </c>
      <c r="F2551" s="0" t="s">
        <v>58</v>
      </c>
      <c r="G2551" s="0" t="s">
        <v>174</v>
      </c>
      <c r="H2551" s="0" t="s">
        <v>59</v>
      </c>
      <c r="I2551" s="0" t="s">
        <v>39</v>
      </c>
      <c r="J2551" s="0" t="n">
        <v>1.57</v>
      </c>
      <c r="K2551" s="0" t="s">
        <v>60</v>
      </c>
      <c r="L2551" s="0" t="n">
        <f aca="false">INDEX(Summary!$F$2:$F$201,MATCH($B2551,Summary!$A$2:$A$201,0))</f>
        <v>20</v>
      </c>
      <c r="M2551" s="0" t="n">
        <f aca="false">INDEX(Summary!$I$2:$I$201,MATCH($B2551,Summary!$A$2:$A$201,0))</f>
        <v>1</v>
      </c>
      <c r="N2551" s="0" t="n">
        <f aca="false">INDEX(Summary!$J$2:$J$201,MATCH($B2551,Summary!$A$2:$A$201,0))</f>
        <v>4</v>
      </c>
      <c r="O2551" s="2" t="n">
        <f aca="false">INDEX(Summary!$K$2:$K$201,MATCH($B2551,Summary!$A$2:$A$201,0))</f>
        <v>11.1</v>
      </c>
      <c r="P2551" s="3" t="n">
        <f aca="false">INDEX(Summary!$L$2:$L$201,MATCH($B2551,Summary!$A$2:$A$201,0))</f>
        <v>3</v>
      </c>
      <c r="Q2551" s="3" t="n">
        <f aca="false">INDEX(Summary!$M$2:$M$201,MATCH($B2551,Summary!$A$2:$A$201,0))</f>
        <v>3</v>
      </c>
      <c r="R2551" s="2" t="n">
        <f aca="false">INDEX(Summary!$N$2:$N$201,MATCH($B2551,Summary!$A$2:$A$201,0))</f>
        <v>9.78</v>
      </c>
      <c r="S2551" s="3" t="n">
        <f aca="false">INDEX(Summary!$O$2:$O$201,MATCH($B2551,Summary!$A$2:$A$201,0))</f>
        <v>8</v>
      </c>
      <c r="T2551" s="3" t="n">
        <f aca="false">INDEX(Summary!$P$2:$P$201,MATCH($B2551,Summary!$A$2:$A$201,0))</f>
        <v>1</v>
      </c>
      <c r="U2551" s="2" t="n">
        <f aca="false">INDEX(Summary!$Q$2:$Q$201,MATCH($B2551,Summary!$A$2:$A$201,0))</f>
        <v>13.92</v>
      </c>
      <c r="V2551" s="2" t="n">
        <f aca="false">INDEX(Summary!$R$2:$R$201,MATCH($B2551,Summary!$A$2:$A$201,0))</f>
        <v>19.38</v>
      </c>
      <c r="W2551" s="0" t="str">
        <f aca="false">INDEX(Summary!$S$2:$S$201,MATCH($B2551,Summary!$A$2:$A$201,0))</f>
        <v>Bronze</v>
      </c>
      <c r="X2551" s="2" t="n">
        <f aca="false">INDEX(Summary!$T$2:$T$201,MATCH($B2551,Summary!$A$2:$A$201,0))</f>
        <v>47.27</v>
      </c>
      <c r="Y2551" s="0" t="str">
        <f aca="false">INDEX('Reward Model'!$E$18:$E$37,MATCH($E2551,'Reward Model'!$A$18:$A$37,0))</f>
        <v>Medium</v>
      </c>
      <c r="Z2551" s="4" t="n">
        <f aca="false">ROUND(MIN(1,MAX('Reward Model'!$B$2,INDEX('Reward Model'!$C$12:$C$14,MATCH($K2551,'Reward Model'!$A$12:$A$14,0))/$J2551)),3)</f>
        <v>1</v>
      </c>
      <c r="AA2551" s="2" t="n">
        <f aca="false">IF($I2551="Correct",ROUND(INDEX('Reward Model'!$B$12:$B$14,MATCH($K2551,'Reward Model'!$A$12:$A$14,0))*Z2551,2),0)</f>
        <v>0</v>
      </c>
      <c r="AB2551" s="2" t="n">
        <f aca="false">IF($I2551="Correct",ROUND(INDEX('Reward Model'!$B$12:$B$14,MATCH($Y2551,'Reward Model'!$A$12:$A$14,0))*Z2551,2),0)</f>
        <v>0</v>
      </c>
    </row>
    <row r="2552" customFormat="false" ht="15" hidden="false" customHeight="false" outlineLevel="0" collapsed="false">
      <c r="A2552" s="0" t="s">
        <v>386</v>
      </c>
      <c r="B2552" s="0" t="s">
        <v>387</v>
      </c>
      <c r="C2552" s="0" t="s">
        <v>322</v>
      </c>
      <c r="D2552" s="0" t="s">
        <v>31</v>
      </c>
      <c r="E2552" s="0" t="n">
        <v>11</v>
      </c>
      <c r="F2552" s="0" t="s">
        <v>61</v>
      </c>
      <c r="G2552" s="0" t="s">
        <v>63</v>
      </c>
      <c r="H2552" s="0" t="s">
        <v>63</v>
      </c>
      <c r="I2552" s="0" t="s">
        <v>34</v>
      </c>
      <c r="J2552" s="0" t="n">
        <v>1.28</v>
      </c>
      <c r="K2552" s="0" t="s">
        <v>60</v>
      </c>
      <c r="L2552" s="0" t="n">
        <f aca="false">INDEX(Summary!$F$2:$F$201,MATCH($B2552,Summary!$A$2:$A$201,0))</f>
        <v>20</v>
      </c>
      <c r="M2552" s="0" t="n">
        <f aca="false">INDEX(Summary!$I$2:$I$201,MATCH($B2552,Summary!$A$2:$A$201,0))</f>
        <v>1</v>
      </c>
      <c r="N2552" s="0" t="n">
        <f aca="false">INDEX(Summary!$J$2:$J$201,MATCH($B2552,Summary!$A$2:$A$201,0))</f>
        <v>4</v>
      </c>
      <c r="O2552" s="2" t="n">
        <f aca="false">INDEX(Summary!$K$2:$K$201,MATCH($B2552,Summary!$A$2:$A$201,0))</f>
        <v>11.1</v>
      </c>
      <c r="P2552" s="3" t="n">
        <f aca="false">INDEX(Summary!$L$2:$L$201,MATCH($B2552,Summary!$A$2:$A$201,0))</f>
        <v>3</v>
      </c>
      <c r="Q2552" s="3" t="n">
        <f aca="false">INDEX(Summary!$M$2:$M$201,MATCH($B2552,Summary!$A$2:$A$201,0))</f>
        <v>3</v>
      </c>
      <c r="R2552" s="2" t="n">
        <f aca="false">INDEX(Summary!$N$2:$N$201,MATCH($B2552,Summary!$A$2:$A$201,0))</f>
        <v>9.78</v>
      </c>
      <c r="S2552" s="3" t="n">
        <f aca="false">INDEX(Summary!$O$2:$O$201,MATCH($B2552,Summary!$A$2:$A$201,0))</f>
        <v>8</v>
      </c>
      <c r="T2552" s="3" t="n">
        <f aca="false">INDEX(Summary!$P$2:$P$201,MATCH($B2552,Summary!$A$2:$A$201,0))</f>
        <v>1</v>
      </c>
      <c r="U2552" s="2" t="n">
        <f aca="false">INDEX(Summary!$Q$2:$Q$201,MATCH($B2552,Summary!$A$2:$A$201,0))</f>
        <v>13.92</v>
      </c>
      <c r="V2552" s="2" t="n">
        <f aca="false">INDEX(Summary!$R$2:$R$201,MATCH($B2552,Summary!$A$2:$A$201,0))</f>
        <v>19.38</v>
      </c>
      <c r="W2552" s="0" t="str">
        <f aca="false">INDEX(Summary!$S$2:$S$201,MATCH($B2552,Summary!$A$2:$A$201,0))</f>
        <v>Bronze</v>
      </c>
      <c r="X2552" s="2" t="n">
        <f aca="false">INDEX(Summary!$T$2:$T$201,MATCH($B2552,Summary!$A$2:$A$201,0))</f>
        <v>47.27</v>
      </c>
      <c r="Y2552" s="0" t="str">
        <f aca="false">INDEX('Reward Model'!$E$18:$E$37,MATCH($E2552,'Reward Model'!$A$18:$A$37,0))</f>
        <v>Medium</v>
      </c>
      <c r="Z2552" s="4" t="n">
        <f aca="false">ROUND(MIN(1,MAX('Reward Model'!$B$2,INDEX('Reward Model'!$C$12:$C$14,MATCH($K2552,'Reward Model'!$A$12:$A$14,0))/$J2552)),3)</f>
        <v>1</v>
      </c>
      <c r="AA2552" s="2" t="n">
        <f aca="false">IF($I2552="Correct",ROUND(INDEX('Reward Model'!$B$12:$B$14,MATCH($K2552,'Reward Model'!$A$12:$A$14,0))*Z2552,2),0)</f>
        <v>2</v>
      </c>
      <c r="AB2552" s="2" t="n">
        <f aca="false">IF($I2552="Correct",ROUND(INDEX('Reward Model'!$B$12:$B$14,MATCH($Y2552,'Reward Model'!$A$12:$A$14,0))*Z2552,2),0)</f>
        <v>2</v>
      </c>
    </row>
    <row r="2553" customFormat="false" ht="15" hidden="false" customHeight="false" outlineLevel="0" collapsed="false">
      <c r="A2553" s="0" t="s">
        <v>386</v>
      </c>
      <c r="B2553" s="0" t="s">
        <v>387</v>
      </c>
      <c r="C2553" s="0" t="s">
        <v>322</v>
      </c>
      <c r="D2553" s="0" t="s">
        <v>31</v>
      </c>
      <c r="E2553" s="0" t="n">
        <v>12</v>
      </c>
      <c r="F2553" s="0" t="s">
        <v>64</v>
      </c>
      <c r="G2553" s="0" t="s">
        <v>112</v>
      </c>
      <c r="H2553" s="0" t="s">
        <v>65</v>
      </c>
      <c r="I2553" s="0" t="s">
        <v>39</v>
      </c>
      <c r="J2553" s="0" t="n">
        <v>1.93</v>
      </c>
      <c r="K2553" s="0" t="s">
        <v>60</v>
      </c>
      <c r="L2553" s="0" t="n">
        <f aca="false">INDEX(Summary!$F$2:$F$201,MATCH($B2553,Summary!$A$2:$A$201,0))</f>
        <v>20</v>
      </c>
      <c r="M2553" s="0" t="n">
        <f aca="false">INDEX(Summary!$I$2:$I$201,MATCH($B2553,Summary!$A$2:$A$201,0))</f>
        <v>1</v>
      </c>
      <c r="N2553" s="0" t="n">
        <f aca="false">INDEX(Summary!$J$2:$J$201,MATCH($B2553,Summary!$A$2:$A$201,0))</f>
        <v>4</v>
      </c>
      <c r="O2553" s="2" t="n">
        <f aca="false">INDEX(Summary!$K$2:$K$201,MATCH($B2553,Summary!$A$2:$A$201,0))</f>
        <v>11.1</v>
      </c>
      <c r="P2553" s="3" t="n">
        <f aca="false">INDEX(Summary!$L$2:$L$201,MATCH($B2553,Summary!$A$2:$A$201,0))</f>
        <v>3</v>
      </c>
      <c r="Q2553" s="3" t="n">
        <f aca="false">INDEX(Summary!$M$2:$M$201,MATCH($B2553,Summary!$A$2:$A$201,0))</f>
        <v>3</v>
      </c>
      <c r="R2553" s="2" t="n">
        <f aca="false">INDEX(Summary!$N$2:$N$201,MATCH($B2553,Summary!$A$2:$A$201,0))</f>
        <v>9.78</v>
      </c>
      <c r="S2553" s="3" t="n">
        <f aca="false">INDEX(Summary!$O$2:$O$201,MATCH($B2553,Summary!$A$2:$A$201,0))</f>
        <v>8</v>
      </c>
      <c r="T2553" s="3" t="n">
        <f aca="false">INDEX(Summary!$P$2:$P$201,MATCH($B2553,Summary!$A$2:$A$201,0))</f>
        <v>1</v>
      </c>
      <c r="U2553" s="2" t="n">
        <f aca="false">INDEX(Summary!$Q$2:$Q$201,MATCH($B2553,Summary!$A$2:$A$201,0))</f>
        <v>13.92</v>
      </c>
      <c r="V2553" s="2" t="n">
        <f aca="false">INDEX(Summary!$R$2:$R$201,MATCH($B2553,Summary!$A$2:$A$201,0))</f>
        <v>19.38</v>
      </c>
      <c r="W2553" s="0" t="str">
        <f aca="false">INDEX(Summary!$S$2:$S$201,MATCH($B2553,Summary!$A$2:$A$201,0))</f>
        <v>Bronze</v>
      </c>
      <c r="X2553" s="2" t="n">
        <f aca="false">INDEX(Summary!$T$2:$T$201,MATCH($B2553,Summary!$A$2:$A$201,0))</f>
        <v>47.27</v>
      </c>
      <c r="Y2553" s="0" t="str">
        <f aca="false">INDEX('Reward Model'!$E$18:$E$37,MATCH($E2553,'Reward Model'!$A$18:$A$37,0))</f>
        <v>Medium</v>
      </c>
      <c r="Z2553" s="4" t="n">
        <f aca="false">ROUND(MIN(1,MAX('Reward Model'!$B$2,INDEX('Reward Model'!$C$12:$C$14,MATCH($K2553,'Reward Model'!$A$12:$A$14,0))/$J2553)),3)</f>
        <v>0.933</v>
      </c>
      <c r="AA2553" s="2" t="n">
        <f aca="false">IF($I2553="Correct",ROUND(INDEX('Reward Model'!$B$12:$B$14,MATCH($K2553,'Reward Model'!$A$12:$A$14,0))*Z2553,2),0)</f>
        <v>0</v>
      </c>
      <c r="AB2553" s="2" t="n">
        <f aca="false">IF($I2553="Correct",ROUND(INDEX('Reward Model'!$B$12:$B$14,MATCH($Y2553,'Reward Model'!$A$12:$A$14,0))*Z2553,2),0)</f>
        <v>0</v>
      </c>
    </row>
    <row r="2554" customFormat="false" ht="15" hidden="false" customHeight="false" outlineLevel="0" collapsed="false">
      <c r="A2554" s="0" t="s">
        <v>386</v>
      </c>
      <c r="B2554" s="0" t="s">
        <v>387</v>
      </c>
      <c r="C2554" s="0" t="s">
        <v>322</v>
      </c>
      <c r="D2554" s="0" t="s">
        <v>31</v>
      </c>
      <c r="E2554" s="0" t="n">
        <v>13</v>
      </c>
      <c r="F2554" s="0" t="s">
        <v>66</v>
      </c>
      <c r="G2554" s="0" t="s">
        <v>67</v>
      </c>
      <c r="H2554" s="0" t="s">
        <v>67</v>
      </c>
      <c r="I2554" s="0" t="s">
        <v>34</v>
      </c>
      <c r="J2554" s="0" t="n">
        <v>1.27</v>
      </c>
      <c r="K2554" s="0" t="s">
        <v>60</v>
      </c>
      <c r="L2554" s="0" t="n">
        <f aca="false">INDEX(Summary!$F$2:$F$201,MATCH($B2554,Summary!$A$2:$A$201,0))</f>
        <v>20</v>
      </c>
      <c r="M2554" s="0" t="n">
        <f aca="false">INDEX(Summary!$I$2:$I$201,MATCH($B2554,Summary!$A$2:$A$201,0))</f>
        <v>1</v>
      </c>
      <c r="N2554" s="0" t="n">
        <f aca="false">INDEX(Summary!$J$2:$J$201,MATCH($B2554,Summary!$A$2:$A$201,0))</f>
        <v>4</v>
      </c>
      <c r="O2554" s="2" t="n">
        <f aca="false">INDEX(Summary!$K$2:$K$201,MATCH($B2554,Summary!$A$2:$A$201,0))</f>
        <v>11.1</v>
      </c>
      <c r="P2554" s="3" t="n">
        <f aca="false">INDEX(Summary!$L$2:$L$201,MATCH($B2554,Summary!$A$2:$A$201,0))</f>
        <v>3</v>
      </c>
      <c r="Q2554" s="3" t="n">
        <f aca="false">INDEX(Summary!$M$2:$M$201,MATCH($B2554,Summary!$A$2:$A$201,0))</f>
        <v>3</v>
      </c>
      <c r="R2554" s="2" t="n">
        <f aca="false">INDEX(Summary!$N$2:$N$201,MATCH($B2554,Summary!$A$2:$A$201,0))</f>
        <v>9.78</v>
      </c>
      <c r="S2554" s="3" t="n">
        <f aca="false">INDEX(Summary!$O$2:$O$201,MATCH($B2554,Summary!$A$2:$A$201,0))</f>
        <v>8</v>
      </c>
      <c r="T2554" s="3" t="n">
        <f aca="false">INDEX(Summary!$P$2:$P$201,MATCH($B2554,Summary!$A$2:$A$201,0))</f>
        <v>1</v>
      </c>
      <c r="U2554" s="2" t="n">
        <f aca="false">INDEX(Summary!$Q$2:$Q$201,MATCH($B2554,Summary!$A$2:$A$201,0))</f>
        <v>13.92</v>
      </c>
      <c r="V2554" s="2" t="n">
        <f aca="false">INDEX(Summary!$R$2:$R$201,MATCH($B2554,Summary!$A$2:$A$201,0))</f>
        <v>19.38</v>
      </c>
      <c r="W2554" s="0" t="str">
        <f aca="false">INDEX(Summary!$S$2:$S$201,MATCH($B2554,Summary!$A$2:$A$201,0))</f>
        <v>Bronze</v>
      </c>
      <c r="X2554" s="2" t="n">
        <f aca="false">INDEX(Summary!$T$2:$T$201,MATCH($B2554,Summary!$A$2:$A$201,0))</f>
        <v>47.27</v>
      </c>
      <c r="Y2554" s="0" t="str">
        <f aca="false">INDEX('Reward Model'!$E$18:$E$37,MATCH($E2554,'Reward Model'!$A$18:$A$37,0))</f>
        <v>Medium</v>
      </c>
      <c r="Z2554" s="4" t="n">
        <f aca="false">ROUND(MIN(1,MAX('Reward Model'!$B$2,INDEX('Reward Model'!$C$12:$C$14,MATCH($K2554,'Reward Model'!$A$12:$A$14,0))/$J2554)),3)</f>
        <v>1</v>
      </c>
      <c r="AA2554" s="2" t="n">
        <f aca="false">IF($I2554="Correct",ROUND(INDEX('Reward Model'!$B$12:$B$14,MATCH($K2554,'Reward Model'!$A$12:$A$14,0))*Z2554,2),0)</f>
        <v>2</v>
      </c>
      <c r="AB2554" s="2" t="n">
        <f aca="false">IF($I2554="Correct",ROUND(INDEX('Reward Model'!$B$12:$B$14,MATCH($Y2554,'Reward Model'!$A$12:$A$14,0))*Z2554,2),0)</f>
        <v>2</v>
      </c>
    </row>
    <row r="2555" customFormat="false" ht="15" hidden="false" customHeight="false" outlineLevel="0" collapsed="false">
      <c r="A2555" s="0" t="s">
        <v>386</v>
      </c>
      <c r="B2555" s="0" t="s">
        <v>387</v>
      </c>
      <c r="C2555" s="0" t="s">
        <v>322</v>
      </c>
      <c r="D2555" s="0" t="s">
        <v>31</v>
      </c>
      <c r="E2555" s="0" t="n">
        <v>14</v>
      </c>
      <c r="F2555" s="0" t="s">
        <v>68</v>
      </c>
      <c r="G2555" s="0" t="s">
        <v>100</v>
      </c>
      <c r="H2555" s="0" t="s">
        <v>51</v>
      </c>
      <c r="I2555" s="0" t="s">
        <v>39</v>
      </c>
      <c r="J2555" s="0" t="n">
        <v>1.54</v>
      </c>
      <c r="K2555" s="0" t="s">
        <v>60</v>
      </c>
      <c r="L2555" s="0" t="n">
        <f aca="false">INDEX(Summary!$F$2:$F$201,MATCH($B2555,Summary!$A$2:$A$201,0))</f>
        <v>20</v>
      </c>
      <c r="M2555" s="0" t="n">
        <f aca="false">INDEX(Summary!$I$2:$I$201,MATCH($B2555,Summary!$A$2:$A$201,0))</f>
        <v>1</v>
      </c>
      <c r="N2555" s="0" t="n">
        <f aca="false">INDEX(Summary!$J$2:$J$201,MATCH($B2555,Summary!$A$2:$A$201,0))</f>
        <v>4</v>
      </c>
      <c r="O2555" s="2" t="n">
        <f aca="false">INDEX(Summary!$K$2:$K$201,MATCH($B2555,Summary!$A$2:$A$201,0))</f>
        <v>11.1</v>
      </c>
      <c r="P2555" s="3" t="n">
        <f aca="false">INDEX(Summary!$L$2:$L$201,MATCH($B2555,Summary!$A$2:$A$201,0))</f>
        <v>3</v>
      </c>
      <c r="Q2555" s="3" t="n">
        <f aca="false">INDEX(Summary!$M$2:$M$201,MATCH($B2555,Summary!$A$2:$A$201,0))</f>
        <v>3</v>
      </c>
      <c r="R2555" s="2" t="n">
        <f aca="false">INDEX(Summary!$N$2:$N$201,MATCH($B2555,Summary!$A$2:$A$201,0))</f>
        <v>9.78</v>
      </c>
      <c r="S2555" s="3" t="n">
        <f aca="false">INDEX(Summary!$O$2:$O$201,MATCH($B2555,Summary!$A$2:$A$201,0))</f>
        <v>8</v>
      </c>
      <c r="T2555" s="3" t="n">
        <f aca="false">INDEX(Summary!$P$2:$P$201,MATCH($B2555,Summary!$A$2:$A$201,0))</f>
        <v>1</v>
      </c>
      <c r="U2555" s="2" t="n">
        <f aca="false">INDEX(Summary!$Q$2:$Q$201,MATCH($B2555,Summary!$A$2:$A$201,0))</f>
        <v>13.92</v>
      </c>
      <c r="V2555" s="2" t="n">
        <f aca="false">INDEX(Summary!$R$2:$R$201,MATCH($B2555,Summary!$A$2:$A$201,0))</f>
        <v>19.38</v>
      </c>
      <c r="W2555" s="0" t="str">
        <f aca="false">INDEX(Summary!$S$2:$S$201,MATCH($B2555,Summary!$A$2:$A$201,0))</f>
        <v>Bronze</v>
      </c>
      <c r="X2555" s="2" t="n">
        <f aca="false">INDEX(Summary!$T$2:$T$201,MATCH($B2555,Summary!$A$2:$A$201,0))</f>
        <v>47.27</v>
      </c>
      <c r="Y2555" s="0" t="str">
        <f aca="false">INDEX('Reward Model'!$E$18:$E$37,MATCH($E2555,'Reward Model'!$A$18:$A$37,0))</f>
        <v>Medium</v>
      </c>
      <c r="Z2555" s="4" t="n">
        <f aca="false">ROUND(MIN(1,MAX('Reward Model'!$B$2,INDEX('Reward Model'!$C$12:$C$14,MATCH($K2555,'Reward Model'!$A$12:$A$14,0))/$J2555)),3)</f>
        <v>1</v>
      </c>
      <c r="AA2555" s="2" t="n">
        <f aca="false">IF($I2555="Correct",ROUND(INDEX('Reward Model'!$B$12:$B$14,MATCH($K2555,'Reward Model'!$A$12:$A$14,0))*Z2555,2),0)</f>
        <v>0</v>
      </c>
      <c r="AB2555" s="2" t="n">
        <f aca="false">IF($I2555="Correct",ROUND(INDEX('Reward Model'!$B$12:$B$14,MATCH($Y2555,'Reward Model'!$A$12:$A$14,0))*Z2555,2),0)</f>
        <v>0</v>
      </c>
    </row>
    <row r="2556" customFormat="false" ht="15" hidden="false" customHeight="false" outlineLevel="0" collapsed="false">
      <c r="A2556" s="0" t="s">
        <v>386</v>
      </c>
      <c r="B2556" s="0" t="s">
        <v>387</v>
      </c>
      <c r="C2556" s="0" t="s">
        <v>322</v>
      </c>
      <c r="D2556" s="0" t="s">
        <v>31</v>
      </c>
      <c r="E2556" s="0" t="n">
        <v>15</v>
      </c>
      <c r="F2556" s="0" t="s">
        <v>69</v>
      </c>
      <c r="G2556" s="0" t="s">
        <v>70</v>
      </c>
      <c r="H2556" s="0" t="s">
        <v>70</v>
      </c>
      <c r="I2556" s="0" t="s">
        <v>34</v>
      </c>
      <c r="J2556" s="0" t="n">
        <v>2.19</v>
      </c>
      <c r="K2556" s="0" t="s">
        <v>60</v>
      </c>
      <c r="L2556" s="0" t="n">
        <f aca="false">INDEX(Summary!$F$2:$F$201,MATCH($B2556,Summary!$A$2:$A$201,0))</f>
        <v>20</v>
      </c>
      <c r="M2556" s="0" t="n">
        <f aca="false">INDEX(Summary!$I$2:$I$201,MATCH($B2556,Summary!$A$2:$A$201,0))</f>
        <v>1</v>
      </c>
      <c r="N2556" s="0" t="n">
        <f aca="false">INDEX(Summary!$J$2:$J$201,MATCH($B2556,Summary!$A$2:$A$201,0))</f>
        <v>4</v>
      </c>
      <c r="O2556" s="2" t="n">
        <f aca="false">INDEX(Summary!$K$2:$K$201,MATCH($B2556,Summary!$A$2:$A$201,0))</f>
        <v>11.1</v>
      </c>
      <c r="P2556" s="3" t="n">
        <f aca="false">INDEX(Summary!$L$2:$L$201,MATCH($B2556,Summary!$A$2:$A$201,0))</f>
        <v>3</v>
      </c>
      <c r="Q2556" s="3" t="n">
        <f aca="false">INDEX(Summary!$M$2:$M$201,MATCH($B2556,Summary!$A$2:$A$201,0))</f>
        <v>3</v>
      </c>
      <c r="R2556" s="2" t="n">
        <f aca="false">INDEX(Summary!$N$2:$N$201,MATCH($B2556,Summary!$A$2:$A$201,0))</f>
        <v>9.78</v>
      </c>
      <c r="S2556" s="3" t="n">
        <f aca="false">INDEX(Summary!$O$2:$O$201,MATCH($B2556,Summary!$A$2:$A$201,0))</f>
        <v>8</v>
      </c>
      <c r="T2556" s="3" t="n">
        <f aca="false">INDEX(Summary!$P$2:$P$201,MATCH($B2556,Summary!$A$2:$A$201,0))</f>
        <v>1</v>
      </c>
      <c r="U2556" s="2" t="n">
        <f aca="false">INDEX(Summary!$Q$2:$Q$201,MATCH($B2556,Summary!$A$2:$A$201,0))</f>
        <v>13.92</v>
      </c>
      <c r="V2556" s="2" t="n">
        <f aca="false">INDEX(Summary!$R$2:$R$201,MATCH($B2556,Summary!$A$2:$A$201,0))</f>
        <v>19.38</v>
      </c>
      <c r="W2556" s="0" t="str">
        <f aca="false">INDEX(Summary!$S$2:$S$201,MATCH($B2556,Summary!$A$2:$A$201,0))</f>
        <v>Bronze</v>
      </c>
      <c r="X2556" s="2" t="n">
        <f aca="false">INDEX(Summary!$T$2:$T$201,MATCH($B2556,Summary!$A$2:$A$201,0))</f>
        <v>47.27</v>
      </c>
      <c r="Y2556" s="0" t="str">
        <f aca="false">INDEX('Reward Model'!$E$18:$E$37,MATCH($E2556,'Reward Model'!$A$18:$A$37,0))</f>
        <v>Medium</v>
      </c>
      <c r="Z2556" s="4" t="n">
        <f aca="false">ROUND(MIN(1,MAX('Reward Model'!$B$2,INDEX('Reward Model'!$C$12:$C$14,MATCH($K2556,'Reward Model'!$A$12:$A$14,0))/$J2556)),3)</f>
        <v>0.822</v>
      </c>
      <c r="AA2556" s="2" t="n">
        <f aca="false">IF($I2556="Correct",ROUND(INDEX('Reward Model'!$B$12:$B$14,MATCH($K2556,'Reward Model'!$A$12:$A$14,0))*Z2556,2),0)</f>
        <v>1.64</v>
      </c>
      <c r="AB2556" s="2" t="n">
        <f aca="false">IF($I2556="Correct",ROUND(INDEX('Reward Model'!$B$12:$B$14,MATCH($Y2556,'Reward Model'!$A$12:$A$14,0))*Z2556,2),0)</f>
        <v>1.64</v>
      </c>
    </row>
    <row r="2557" customFormat="false" ht="15" hidden="false" customHeight="false" outlineLevel="0" collapsed="false">
      <c r="A2557" s="0" t="s">
        <v>386</v>
      </c>
      <c r="B2557" s="0" t="s">
        <v>387</v>
      </c>
      <c r="C2557" s="0" t="s">
        <v>322</v>
      </c>
      <c r="D2557" s="0" t="s">
        <v>31</v>
      </c>
      <c r="E2557" s="0" t="n">
        <v>16</v>
      </c>
      <c r="F2557" s="0" t="s">
        <v>71</v>
      </c>
      <c r="G2557" s="0" t="s">
        <v>104</v>
      </c>
      <c r="H2557" s="0" t="s">
        <v>72</v>
      </c>
      <c r="I2557" s="0" t="s">
        <v>39</v>
      </c>
      <c r="J2557" s="0" t="n">
        <v>2.39</v>
      </c>
      <c r="K2557" s="0" t="s">
        <v>73</v>
      </c>
      <c r="L2557" s="0" t="n">
        <f aca="false">INDEX(Summary!$F$2:$F$201,MATCH($B2557,Summary!$A$2:$A$201,0))</f>
        <v>20</v>
      </c>
      <c r="M2557" s="0" t="n">
        <f aca="false">INDEX(Summary!$I$2:$I$201,MATCH($B2557,Summary!$A$2:$A$201,0))</f>
        <v>1</v>
      </c>
      <c r="N2557" s="0" t="n">
        <f aca="false">INDEX(Summary!$J$2:$J$201,MATCH($B2557,Summary!$A$2:$A$201,0))</f>
        <v>4</v>
      </c>
      <c r="O2557" s="2" t="n">
        <f aca="false">INDEX(Summary!$K$2:$K$201,MATCH($B2557,Summary!$A$2:$A$201,0))</f>
        <v>11.1</v>
      </c>
      <c r="P2557" s="3" t="n">
        <f aca="false">INDEX(Summary!$L$2:$L$201,MATCH($B2557,Summary!$A$2:$A$201,0))</f>
        <v>3</v>
      </c>
      <c r="Q2557" s="3" t="n">
        <f aca="false">INDEX(Summary!$M$2:$M$201,MATCH($B2557,Summary!$A$2:$A$201,0))</f>
        <v>3</v>
      </c>
      <c r="R2557" s="2" t="n">
        <f aca="false">INDEX(Summary!$N$2:$N$201,MATCH($B2557,Summary!$A$2:$A$201,0))</f>
        <v>9.78</v>
      </c>
      <c r="S2557" s="3" t="n">
        <f aca="false">INDEX(Summary!$O$2:$O$201,MATCH($B2557,Summary!$A$2:$A$201,0))</f>
        <v>8</v>
      </c>
      <c r="T2557" s="3" t="n">
        <f aca="false">INDEX(Summary!$P$2:$P$201,MATCH($B2557,Summary!$A$2:$A$201,0))</f>
        <v>1</v>
      </c>
      <c r="U2557" s="2" t="n">
        <f aca="false">INDEX(Summary!$Q$2:$Q$201,MATCH($B2557,Summary!$A$2:$A$201,0))</f>
        <v>13.92</v>
      </c>
      <c r="V2557" s="2" t="n">
        <f aca="false">INDEX(Summary!$R$2:$R$201,MATCH($B2557,Summary!$A$2:$A$201,0))</f>
        <v>19.38</v>
      </c>
      <c r="W2557" s="0" t="str">
        <f aca="false">INDEX(Summary!$S$2:$S$201,MATCH($B2557,Summary!$A$2:$A$201,0))</f>
        <v>Bronze</v>
      </c>
      <c r="X2557" s="2" t="n">
        <f aca="false">INDEX(Summary!$T$2:$T$201,MATCH($B2557,Summary!$A$2:$A$201,0))</f>
        <v>47.27</v>
      </c>
      <c r="Y2557" s="0" t="str">
        <f aca="false">INDEX('Reward Model'!$E$18:$E$37,MATCH($E2557,'Reward Model'!$A$18:$A$37,0))</f>
        <v>High</v>
      </c>
      <c r="Z2557" s="4" t="n">
        <f aca="false">ROUND(MIN(1,MAX('Reward Model'!$B$2,INDEX('Reward Model'!$C$12:$C$14,MATCH($K2557,'Reward Model'!$A$12:$A$14,0))/$J2557)),3)</f>
        <v>0.837</v>
      </c>
      <c r="AA2557" s="2" t="n">
        <f aca="false">IF($I2557="Correct",ROUND(INDEX('Reward Model'!$B$12:$B$14,MATCH($K2557,'Reward Model'!$A$12:$A$14,0))*Z2557,2),0)</f>
        <v>0</v>
      </c>
      <c r="AB2557" s="2" t="n">
        <f aca="false">IF($I2557="Correct",ROUND(INDEX('Reward Model'!$B$12:$B$14,MATCH($Y2557,'Reward Model'!$A$12:$A$14,0))*Z2557,2),0)</f>
        <v>0</v>
      </c>
    </row>
    <row r="2558" customFormat="false" ht="15" hidden="false" customHeight="false" outlineLevel="0" collapsed="false">
      <c r="A2558" s="0" t="s">
        <v>386</v>
      </c>
      <c r="B2558" s="0" t="s">
        <v>387</v>
      </c>
      <c r="C2558" s="0" t="s">
        <v>322</v>
      </c>
      <c r="D2558" s="0" t="s">
        <v>31</v>
      </c>
      <c r="E2558" s="0" t="n">
        <v>17</v>
      </c>
      <c r="F2558" s="0" t="s">
        <v>74</v>
      </c>
      <c r="G2558" s="0" t="s">
        <v>105</v>
      </c>
      <c r="H2558" s="0" t="s">
        <v>75</v>
      </c>
      <c r="I2558" s="0" t="s">
        <v>39</v>
      </c>
      <c r="J2558" s="0" t="n">
        <v>2.48</v>
      </c>
      <c r="K2558" s="0" t="s">
        <v>73</v>
      </c>
      <c r="L2558" s="0" t="n">
        <f aca="false">INDEX(Summary!$F$2:$F$201,MATCH($B2558,Summary!$A$2:$A$201,0))</f>
        <v>20</v>
      </c>
      <c r="M2558" s="0" t="n">
        <f aca="false">INDEX(Summary!$I$2:$I$201,MATCH($B2558,Summary!$A$2:$A$201,0))</f>
        <v>1</v>
      </c>
      <c r="N2558" s="0" t="n">
        <f aca="false">INDEX(Summary!$J$2:$J$201,MATCH($B2558,Summary!$A$2:$A$201,0))</f>
        <v>4</v>
      </c>
      <c r="O2558" s="2" t="n">
        <f aca="false">INDEX(Summary!$K$2:$K$201,MATCH($B2558,Summary!$A$2:$A$201,0))</f>
        <v>11.1</v>
      </c>
      <c r="P2558" s="3" t="n">
        <f aca="false">INDEX(Summary!$L$2:$L$201,MATCH($B2558,Summary!$A$2:$A$201,0))</f>
        <v>3</v>
      </c>
      <c r="Q2558" s="3" t="n">
        <f aca="false">INDEX(Summary!$M$2:$M$201,MATCH($B2558,Summary!$A$2:$A$201,0))</f>
        <v>3</v>
      </c>
      <c r="R2558" s="2" t="n">
        <f aca="false">INDEX(Summary!$N$2:$N$201,MATCH($B2558,Summary!$A$2:$A$201,0))</f>
        <v>9.78</v>
      </c>
      <c r="S2558" s="3" t="n">
        <f aca="false">INDEX(Summary!$O$2:$O$201,MATCH($B2558,Summary!$A$2:$A$201,0))</f>
        <v>8</v>
      </c>
      <c r="T2558" s="3" t="n">
        <f aca="false">INDEX(Summary!$P$2:$P$201,MATCH($B2558,Summary!$A$2:$A$201,0))</f>
        <v>1</v>
      </c>
      <c r="U2558" s="2" t="n">
        <f aca="false">INDEX(Summary!$Q$2:$Q$201,MATCH($B2558,Summary!$A$2:$A$201,0))</f>
        <v>13.92</v>
      </c>
      <c r="V2558" s="2" t="n">
        <f aca="false">INDEX(Summary!$R$2:$R$201,MATCH($B2558,Summary!$A$2:$A$201,0))</f>
        <v>19.38</v>
      </c>
      <c r="W2558" s="0" t="str">
        <f aca="false">INDEX(Summary!$S$2:$S$201,MATCH($B2558,Summary!$A$2:$A$201,0))</f>
        <v>Bronze</v>
      </c>
      <c r="X2558" s="2" t="n">
        <f aca="false">INDEX(Summary!$T$2:$T$201,MATCH($B2558,Summary!$A$2:$A$201,0))</f>
        <v>47.27</v>
      </c>
      <c r="Y2558" s="0" t="str">
        <f aca="false">INDEX('Reward Model'!$E$18:$E$37,MATCH($E2558,'Reward Model'!$A$18:$A$37,0))</f>
        <v>High</v>
      </c>
      <c r="Z2558" s="4" t="n">
        <f aca="false">ROUND(MIN(1,MAX('Reward Model'!$B$2,INDEX('Reward Model'!$C$12:$C$14,MATCH($K2558,'Reward Model'!$A$12:$A$14,0))/$J2558)),3)</f>
        <v>0.806</v>
      </c>
      <c r="AA2558" s="2" t="n">
        <f aca="false">IF($I2558="Correct",ROUND(INDEX('Reward Model'!$B$12:$B$14,MATCH($K2558,'Reward Model'!$A$12:$A$14,0))*Z2558,2),0)</f>
        <v>0</v>
      </c>
      <c r="AB2558" s="2" t="n">
        <f aca="false">IF($I2558="Correct",ROUND(INDEX('Reward Model'!$B$12:$B$14,MATCH($Y2558,'Reward Model'!$A$12:$A$14,0))*Z2558,2),0)</f>
        <v>0</v>
      </c>
    </row>
    <row r="2559" customFormat="false" ht="15" hidden="false" customHeight="false" outlineLevel="0" collapsed="false">
      <c r="A2559" s="0" t="s">
        <v>386</v>
      </c>
      <c r="B2559" s="0" t="s">
        <v>387</v>
      </c>
      <c r="C2559" s="0" t="s">
        <v>322</v>
      </c>
      <c r="D2559" s="0" t="s">
        <v>31</v>
      </c>
      <c r="E2559" s="0" t="n">
        <v>18</v>
      </c>
      <c r="F2559" s="0" t="s">
        <v>76</v>
      </c>
      <c r="G2559" s="0" t="s">
        <v>88</v>
      </c>
      <c r="H2559" s="0" t="s">
        <v>77</v>
      </c>
      <c r="I2559" s="0" t="s">
        <v>39</v>
      </c>
      <c r="J2559" s="0" t="n">
        <v>2.03</v>
      </c>
      <c r="K2559" s="0" t="s">
        <v>73</v>
      </c>
      <c r="L2559" s="0" t="n">
        <f aca="false">INDEX(Summary!$F$2:$F$201,MATCH($B2559,Summary!$A$2:$A$201,0))</f>
        <v>20</v>
      </c>
      <c r="M2559" s="0" t="n">
        <f aca="false">INDEX(Summary!$I$2:$I$201,MATCH($B2559,Summary!$A$2:$A$201,0))</f>
        <v>1</v>
      </c>
      <c r="N2559" s="0" t="n">
        <f aca="false">INDEX(Summary!$J$2:$J$201,MATCH($B2559,Summary!$A$2:$A$201,0))</f>
        <v>4</v>
      </c>
      <c r="O2559" s="2" t="n">
        <f aca="false">INDEX(Summary!$K$2:$K$201,MATCH($B2559,Summary!$A$2:$A$201,0))</f>
        <v>11.1</v>
      </c>
      <c r="P2559" s="3" t="n">
        <f aca="false">INDEX(Summary!$L$2:$L$201,MATCH($B2559,Summary!$A$2:$A$201,0))</f>
        <v>3</v>
      </c>
      <c r="Q2559" s="3" t="n">
        <f aca="false">INDEX(Summary!$M$2:$M$201,MATCH($B2559,Summary!$A$2:$A$201,0))</f>
        <v>3</v>
      </c>
      <c r="R2559" s="2" t="n">
        <f aca="false">INDEX(Summary!$N$2:$N$201,MATCH($B2559,Summary!$A$2:$A$201,0))</f>
        <v>9.78</v>
      </c>
      <c r="S2559" s="3" t="n">
        <f aca="false">INDEX(Summary!$O$2:$O$201,MATCH($B2559,Summary!$A$2:$A$201,0))</f>
        <v>8</v>
      </c>
      <c r="T2559" s="3" t="n">
        <f aca="false">INDEX(Summary!$P$2:$P$201,MATCH($B2559,Summary!$A$2:$A$201,0))</f>
        <v>1</v>
      </c>
      <c r="U2559" s="2" t="n">
        <f aca="false">INDEX(Summary!$Q$2:$Q$201,MATCH($B2559,Summary!$A$2:$A$201,0))</f>
        <v>13.92</v>
      </c>
      <c r="V2559" s="2" t="n">
        <f aca="false">INDEX(Summary!$R$2:$R$201,MATCH($B2559,Summary!$A$2:$A$201,0))</f>
        <v>19.38</v>
      </c>
      <c r="W2559" s="0" t="str">
        <f aca="false">INDEX(Summary!$S$2:$S$201,MATCH($B2559,Summary!$A$2:$A$201,0))</f>
        <v>Bronze</v>
      </c>
      <c r="X2559" s="2" t="n">
        <f aca="false">INDEX(Summary!$T$2:$T$201,MATCH($B2559,Summary!$A$2:$A$201,0))</f>
        <v>47.27</v>
      </c>
      <c r="Y2559" s="0" t="str">
        <f aca="false">INDEX('Reward Model'!$E$18:$E$37,MATCH($E2559,'Reward Model'!$A$18:$A$37,0))</f>
        <v>High</v>
      </c>
      <c r="Z2559" s="4" t="n">
        <f aca="false">ROUND(MIN(1,MAX('Reward Model'!$B$2,INDEX('Reward Model'!$C$12:$C$14,MATCH($K2559,'Reward Model'!$A$12:$A$14,0))/$J2559)),3)</f>
        <v>0.985</v>
      </c>
      <c r="AA2559" s="2" t="n">
        <f aca="false">IF($I2559="Correct",ROUND(INDEX('Reward Model'!$B$12:$B$14,MATCH($K2559,'Reward Model'!$A$12:$A$14,0))*Z2559,2),0)</f>
        <v>0</v>
      </c>
      <c r="AB2559" s="2" t="n">
        <f aca="false">IF($I2559="Correct",ROUND(INDEX('Reward Model'!$B$12:$B$14,MATCH($Y2559,'Reward Model'!$A$12:$A$14,0))*Z2559,2),0)</f>
        <v>0</v>
      </c>
    </row>
    <row r="2560" customFormat="false" ht="15" hidden="false" customHeight="false" outlineLevel="0" collapsed="false">
      <c r="A2560" s="0" t="s">
        <v>386</v>
      </c>
      <c r="B2560" s="0" t="s">
        <v>387</v>
      </c>
      <c r="C2560" s="0" t="s">
        <v>322</v>
      </c>
      <c r="D2560" s="0" t="s">
        <v>31</v>
      </c>
      <c r="E2560" s="0" t="n">
        <v>19</v>
      </c>
      <c r="F2560" s="0" t="s">
        <v>78</v>
      </c>
      <c r="G2560" s="0" t="s">
        <v>80</v>
      </c>
      <c r="H2560" s="0" t="s">
        <v>80</v>
      </c>
      <c r="I2560" s="0" t="s">
        <v>34</v>
      </c>
      <c r="J2560" s="0" t="n">
        <v>2.09</v>
      </c>
      <c r="K2560" s="0" t="s">
        <v>73</v>
      </c>
      <c r="L2560" s="0" t="n">
        <f aca="false">INDEX(Summary!$F$2:$F$201,MATCH($B2560,Summary!$A$2:$A$201,0))</f>
        <v>20</v>
      </c>
      <c r="M2560" s="0" t="n">
        <f aca="false">INDEX(Summary!$I$2:$I$201,MATCH($B2560,Summary!$A$2:$A$201,0))</f>
        <v>1</v>
      </c>
      <c r="N2560" s="0" t="n">
        <f aca="false">INDEX(Summary!$J$2:$J$201,MATCH($B2560,Summary!$A$2:$A$201,0))</f>
        <v>4</v>
      </c>
      <c r="O2560" s="2" t="n">
        <f aca="false">INDEX(Summary!$K$2:$K$201,MATCH($B2560,Summary!$A$2:$A$201,0))</f>
        <v>11.1</v>
      </c>
      <c r="P2560" s="3" t="n">
        <f aca="false">INDEX(Summary!$L$2:$L$201,MATCH($B2560,Summary!$A$2:$A$201,0))</f>
        <v>3</v>
      </c>
      <c r="Q2560" s="3" t="n">
        <f aca="false">INDEX(Summary!$M$2:$M$201,MATCH($B2560,Summary!$A$2:$A$201,0))</f>
        <v>3</v>
      </c>
      <c r="R2560" s="2" t="n">
        <f aca="false">INDEX(Summary!$N$2:$N$201,MATCH($B2560,Summary!$A$2:$A$201,0))</f>
        <v>9.78</v>
      </c>
      <c r="S2560" s="3" t="n">
        <f aca="false">INDEX(Summary!$O$2:$O$201,MATCH($B2560,Summary!$A$2:$A$201,0))</f>
        <v>8</v>
      </c>
      <c r="T2560" s="3" t="n">
        <f aca="false">INDEX(Summary!$P$2:$P$201,MATCH($B2560,Summary!$A$2:$A$201,0))</f>
        <v>1</v>
      </c>
      <c r="U2560" s="2" t="n">
        <f aca="false">INDEX(Summary!$Q$2:$Q$201,MATCH($B2560,Summary!$A$2:$A$201,0))</f>
        <v>13.92</v>
      </c>
      <c r="V2560" s="2" t="n">
        <f aca="false">INDEX(Summary!$R$2:$R$201,MATCH($B2560,Summary!$A$2:$A$201,0))</f>
        <v>19.38</v>
      </c>
      <c r="W2560" s="0" t="str">
        <f aca="false">INDEX(Summary!$S$2:$S$201,MATCH($B2560,Summary!$A$2:$A$201,0))</f>
        <v>Bronze</v>
      </c>
      <c r="X2560" s="2" t="n">
        <f aca="false">INDEX(Summary!$T$2:$T$201,MATCH($B2560,Summary!$A$2:$A$201,0))</f>
        <v>47.27</v>
      </c>
      <c r="Y2560" s="0" t="str">
        <f aca="false">INDEX('Reward Model'!$E$18:$E$37,MATCH($E2560,'Reward Model'!$A$18:$A$37,0))</f>
        <v>High</v>
      </c>
      <c r="Z2560" s="4" t="n">
        <f aca="false">ROUND(MIN(1,MAX('Reward Model'!$B$2,INDEX('Reward Model'!$C$12:$C$14,MATCH($K2560,'Reward Model'!$A$12:$A$14,0))/$J2560)),3)</f>
        <v>0.957</v>
      </c>
      <c r="AA2560" s="2" t="n">
        <f aca="false">IF($I2560="Correct",ROUND(INDEX('Reward Model'!$B$12:$B$14,MATCH($K2560,'Reward Model'!$A$12:$A$14,0))*Z2560,2),0)</f>
        <v>2.87</v>
      </c>
      <c r="AB2560" s="2" t="n">
        <f aca="false">IF($I2560="Correct",ROUND(INDEX('Reward Model'!$B$12:$B$14,MATCH($Y2560,'Reward Model'!$A$12:$A$14,0))*Z2560,2),0)</f>
        <v>2.87</v>
      </c>
    </row>
    <row r="2561" customFormat="false" ht="15" hidden="false" customHeight="false" outlineLevel="0" collapsed="false">
      <c r="A2561" s="0" t="s">
        <v>386</v>
      </c>
      <c r="B2561" s="0" t="s">
        <v>387</v>
      </c>
      <c r="C2561" s="0" t="s">
        <v>322</v>
      </c>
      <c r="D2561" s="0" t="s">
        <v>31</v>
      </c>
      <c r="E2561" s="0" t="n">
        <v>20</v>
      </c>
      <c r="F2561" s="0" t="s">
        <v>81</v>
      </c>
      <c r="G2561" s="0" t="s">
        <v>82</v>
      </c>
      <c r="H2561" s="0" t="s">
        <v>83</v>
      </c>
      <c r="I2561" s="0" t="s">
        <v>39</v>
      </c>
      <c r="J2561" s="0" t="n">
        <v>2.11</v>
      </c>
      <c r="K2561" s="0" t="s">
        <v>73</v>
      </c>
      <c r="L2561" s="0" t="n">
        <f aca="false">INDEX(Summary!$F$2:$F$201,MATCH($B2561,Summary!$A$2:$A$201,0))</f>
        <v>20</v>
      </c>
      <c r="M2561" s="0" t="n">
        <f aca="false">INDEX(Summary!$I$2:$I$201,MATCH($B2561,Summary!$A$2:$A$201,0))</f>
        <v>1</v>
      </c>
      <c r="N2561" s="0" t="n">
        <f aca="false">INDEX(Summary!$J$2:$J$201,MATCH($B2561,Summary!$A$2:$A$201,0))</f>
        <v>4</v>
      </c>
      <c r="O2561" s="2" t="n">
        <f aca="false">INDEX(Summary!$K$2:$K$201,MATCH($B2561,Summary!$A$2:$A$201,0))</f>
        <v>11.1</v>
      </c>
      <c r="P2561" s="3" t="n">
        <f aca="false">INDEX(Summary!$L$2:$L$201,MATCH($B2561,Summary!$A$2:$A$201,0))</f>
        <v>3</v>
      </c>
      <c r="Q2561" s="3" t="n">
        <f aca="false">INDEX(Summary!$M$2:$M$201,MATCH($B2561,Summary!$A$2:$A$201,0))</f>
        <v>3</v>
      </c>
      <c r="R2561" s="2" t="n">
        <f aca="false">INDEX(Summary!$N$2:$N$201,MATCH($B2561,Summary!$A$2:$A$201,0))</f>
        <v>9.78</v>
      </c>
      <c r="S2561" s="3" t="n">
        <f aca="false">INDEX(Summary!$O$2:$O$201,MATCH($B2561,Summary!$A$2:$A$201,0))</f>
        <v>8</v>
      </c>
      <c r="T2561" s="3" t="n">
        <f aca="false">INDEX(Summary!$P$2:$P$201,MATCH($B2561,Summary!$A$2:$A$201,0))</f>
        <v>1</v>
      </c>
      <c r="U2561" s="2" t="n">
        <f aca="false">INDEX(Summary!$Q$2:$Q$201,MATCH($B2561,Summary!$A$2:$A$201,0))</f>
        <v>13.92</v>
      </c>
      <c r="V2561" s="2" t="n">
        <f aca="false">INDEX(Summary!$R$2:$R$201,MATCH($B2561,Summary!$A$2:$A$201,0))</f>
        <v>19.38</v>
      </c>
      <c r="W2561" s="0" t="str">
        <f aca="false">INDEX(Summary!$S$2:$S$201,MATCH($B2561,Summary!$A$2:$A$201,0))</f>
        <v>Bronze</v>
      </c>
      <c r="X2561" s="2" t="n">
        <f aca="false">INDEX(Summary!$T$2:$T$201,MATCH($B2561,Summary!$A$2:$A$201,0))</f>
        <v>47.27</v>
      </c>
      <c r="Y2561" s="0" t="str">
        <f aca="false">INDEX('Reward Model'!$E$18:$E$37,MATCH($E2561,'Reward Model'!$A$18:$A$37,0))</f>
        <v>High</v>
      </c>
      <c r="Z2561" s="4" t="n">
        <f aca="false">ROUND(MIN(1,MAX('Reward Model'!$B$2,INDEX('Reward Model'!$C$12:$C$14,MATCH($K2561,'Reward Model'!$A$12:$A$14,0))/$J2561)),3)</f>
        <v>0.948</v>
      </c>
      <c r="AA2561" s="2" t="n">
        <f aca="false">IF($I2561="Correct",ROUND(INDEX('Reward Model'!$B$12:$B$14,MATCH($K2561,'Reward Model'!$A$12:$A$14,0))*Z2561,2),0)</f>
        <v>0</v>
      </c>
      <c r="AB2561" s="2" t="n">
        <f aca="false">IF($I2561="Correct",ROUND(INDEX('Reward Model'!$B$12:$B$14,MATCH($Y2561,'Reward Model'!$A$12:$A$14,0))*Z2561,2),0)</f>
        <v>0</v>
      </c>
    </row>
    <row r="2562" customFormat="false" ht="15" hidden="false" customHeight="false" outlineLevel="0" collapsed="false">
      <c r="A2562" s="0" t="s">
        <v>388</v>
      </c>
      <c r="B2562" s="0" t="s">
        <v>389</v>
      </c>
      <c r="C2562" s="0" t="s">
        <v>322</v>
      </c>
      <c r="D2562" s="0" t="s">
        <v>31</v>
      </c>
      <c r="E2562" s="0" t="n">
        <v>1</v>
      </c>
      <c r="F2562" s="0" t="s">
        <v>32</v>
      </c>
      <c r="G2562" s="0" t="s">
        <v>33</v>
      </c>
      <c r="H2562" s="0" t="s">
        <v>33</v>
      </c>
      <c r="I2562" s="0" t="s">
        <v>34</v>
      </c>
      <c r="J2562" s="0" t="n">
        <v>1.23</v>
      </c>
      <c r="K2562" s="0" t="s">
        <v>35</v>
      </c>
      <c r="L2562" s="0" t="n">
        <f aca="false">INDEX(Summary!$F$2:$F$201,MATCH($B2562,Summary!$A$2:$A$201,0))</f>
        <v>20</v>
      </c>
      <c r="M2562" s="0" t="n">
        <f aca="false">INDEX(Summary!$I$2:$I$201,MATCH($B2562,Summary!$A$2:$A$201,0))</f>
        <v>3</v>
      </c>
      <c r="N2562" s="0" t="n">
        <f aca="false">INDEX(Summary!$J$2:$J$201,MATCH($B2562,Summary!$A$2:$A$201,0))</f>
        <v>2</v>
      </c>
      <c r="O2562" s="2" t="n">
        <f aca="false">INDEX(Summary!$K$2:$K$201,MATCH($B2562,Summary!$A$2:$A$201,0))</f>
        <v>11.12</v>
      </c>
      <c r="P2562" s="3" t="n">
        <f aca="false">INDEX(Summary!$L$2:$L$201,MATCH($B2562,Summary!$A$2:$A$201,0))</f>
        <v>5</v>
      </c>
      <c r="Q2562" s="3" t="n">
        <f aca="false">INDEX(Summary!$M$2:$M$201,MATCH($B2562,Summary!$A$2:$A$201,0))</f>
        <v>1</v>
      </c>
      <c r="R2562" s="2" t="n">
        <f aca="false">INDEX(Summary!$N$2:$N$201,MATCH($B2562,Summary!$A$2:$A$201,0))</f>
        <v>12.02</v>
      </c>
      <c r="S2562" s="3" t="n">
        <f aca="false">INDEX(Summary!$O$2:$O$201,MATCH($B2562,Summary!$A$2:$A$201,0))</f>
        <v>8</v>
      </c>
      <c r="T2562" s="3" t="n">
        <f aca="false">INDEX(Summary!$P$2:$P$201,MATCH($B2562,Summary!$A$2:$A$201,0))</f>
        <v>1</v>
      </c>
      <c r="U2562" s="2" t="n">
        <f aca="false">INDEX(Summary!$Q$2:$Q$201,MATCH($B2562,Summary!$A$2:$A$201,0))</f>
        <v>13.87</v>
      </c>
      <c r="V2562" s="2" t="n">
        <f aca="false">INDEX(Summary!$R$2:$R$201,MATCH($B2562,Summary!$A$2:$A$201,0))</f>
        <v>28.94</v>
      </c>
      <c r="W2562" s="0" t="str">
        <f aca="false">INDEX(Summary!$S$2:$S$201,MATCH($B2562,Summary!$A$2:$A$201,0))</f>
        <v>Gold</v>
      </c>
      <c r="X2562" s="2" t="n">
        <f aca="false">INDEX(Summary!$T$2:$T$201,MATCH($B2562,Summary!$A$2:$A$201,0))</f>
        <v>70.59</v>
      </c>
      <c r="Y2562" s="0" t="str">
        <f aca="false">INDEX('Reward Model'!$E$18:$E$37,MATCH($E2562,'Reward Model'!$A$18:$A$37,0))</f>
        <v>Medium</v>
      </c>
      <c r="Z2562" s="4" t="n">
        <f aca="false">ROUND(MIN(1,MAX('Reward Model'!$B$2,INDEX('Reward Model'!$C$12:$C$14,MATCH($K2562,'Reward Model'!$A$12:$A$14,0))/$J2562)),3)</f>
        <v>1</v>
      </c>
      <c r="AA2562" s="2" t="n">
        <f aca="false">IF($I2562="Correct",ROUND(INDEX('Reward Model'!$B$12:$B$14,MATCH($K2562,'Reward Model'!$A$12:$A$14,0))*Z2562,2),0)</f>
        <v>1</v>
      </c>
      <c r="AB2562" s="2" t="n">
        <f aca="false">IF($I2562="Correct",ROUND(INDEX('Reward Model'!$B$12:$B$14,MATCH($Y2562,'Reward Model'!$A$12:$A$14,0))*Z2562,2),0)</f>
        <v>2</v>
      </c>
    </row>
    <row r="2563" customFormat="false" ht="15" hidden="false" customHeight="false" outlineLevel="0" collapsed="false">
      <c r="A2563" s="0" t="s">
        <v>388</v>
      </c>
      <c r="B2563" s="0" t="s">
        <v>389</v>
      </c>
      <c r="C2563" s="0" t="s">
        <v>322</v>
      </c>
      <c r="D2563" s="0" t="s">
        <v>31</v>
      </c>
      <c r="E2563" s="0" t="n">
        <v>2</v>
      </c>
      <c r="F2563" s="0" t="s">
        <v>36</v>
      </c>
      <c r="G2563" s="0" t="s">
        <v>38</v>
      </c>
      <c r="H2563" s="0" t="s">
        <v>38</v>
      </c>
      <c r="I2563" s="0" t="s">
        <v>34</v>
      </c>
      <c r="J2563" s="0" t="n">
        <v>1.52</v>
      </c>
      <c r="K2563" s="0" t="s">
        <v>35</v>
      </c>
      <c r="L2563" s="0" t="n">
        <f aca="false">INDEX(Summary!$F$2:$F$201,MATCH($B2563,Summary!$A$2:$A$201,0))</f>
        <v>20</v>
      </c>
      <c r="M2563" s="0" t="n">
        <f aca="false">INDEX(Summary!$I$2:$I$201,MATCH($B2563,Summary!$A$2:$A$201,0))</f>
        <v>3</v>
      </c>
      <c r="N2563" s="0" t="n">
        <f aca="false">INDEX(Summary!$J$2:$J$201,MATCH($B2563,Summary!$A$2:$A$201,0))</f>
        <v>2</v>
      </c>
      <c r="O2563" s="2" t="n">
        <f aca="false">INDEX(Summary!$K$2:$K$201,MATCH($B2563,Summary!$A$2:$A$201,0))</f>
        <v>11.12</v>
      </c>
      <c r="P2563" s="3" t="n">
        <f aca="false">INDEX(Summary!$L$2:$L$201,MATCH($B2563,Summary!$A$2:$A$201,0))</f>
        <v>5</v>
      </c>
      <c r="Q2563" s="3" t="n">
        <f aca="false">INDEX(Summary!$M$2:$M$201,MATCH($B2563,Summary!$A$2:$A$201,0))</f>
        <v>1</v>
      </c>
      <c r="R2563" s="2" t="n">
        <f aca="false">INDEX(Summary!$N$2:$N$201,MATCH($B2563,Summary!$A$2:$A$201,0))</f>
        <v>12.02</v>
      </c>
      <c r="S2563" s="3" t="n">
        <f aca="false">INDEX(Summary!$O$2:$O$201,MATCH($B2563,Summary!$A$2:$A$201,0))</f>
        <v>8</v>
      </c>
      <c r="T2563" s="3" t="n">
        <f aca="false">INDEX(Summary!$P$2:$P$201,MATCH($B2563,Summary!$A$2:$A$201,0))</f>
        <v>1</v>
      </c>
      <c r="U2563" s="2" t="n">
        <f aca="false">INDEX(Summary!$Q$2:$Q$201,MATCH($B2563,Summary!$A$2:$A$201,0))</f>
        <v>13.87</v>
      </c>
      <c r="V2563" s="2" t="n">
        <f aca="false">INDEX(Summary!$R$2:$R$201,MATCH($B2563,Summary!$A$2:$A$201,0))</f>
        <v>28.94</v>
      </c>
      <c r="W2563" s="0" t="str">
        <f aca="false">INDEX(Summary!$S$2:$S$201,MATCH($B2563,Summary!$A$2:$A$201,0))</f>
        <v>Gold</v>
      </c>
      <c r="X2563" s="2" t="n">
        <f aca="false">INDEX(Summary!$T$2:$T$201,MATCH($B2563,Summary!$A$2:$A$201,0))</f>
        <v>70.59</v>
      </c>
      <c r="Y2563" s="0" t="str">
        <f aca="false">INDEX('Reward Model'!$E$18:$E$37,MATCH($E2563,'Reward Model'!$A$18:$A$37,0))</f>
        <v>Low</v>
      </c>
      <c r="Z2563" s="4" t="n">
        <f aca="false">ROUND(MIN(1,MAX('Reward Model'!$B$2,INDEX('Reward Model'!$C$12:$C$14,MATCH($K2563,'Reward Model'!$A$12:$A$14,0))/$J2563)),3)</f>
        <v>0.987</v>
      </c>
      <c r="AA2563" s="2" t="n">
        <f aca="false">IF($I2563="Correct",ROUND(INDEX('Reward Model'!$B$12:$B$14,MATCH($K2563,'Reward Model'!$A$12:$A$14,0))*Z2563,2),0)</f>
        <v>0.99</v>
      </c>
      <c r="AB2563" s="2" t="n">
        <f aca="false">IF($I2563="Correct",ROUND(INDEX('Reward Model'!$B$12:$B$14,MATCH($Y2563,'Reward Model'!$A$12:$A$14,0))*Z2563,2),0)</f>
        <v>0.99</v>
      </c>
    </row>
    <row r="2564" customFormat="false" ht="15" hidden="false" customHeight="false" outlineLevel="0" collapsed="false">
      <c r="A2564" s="0" t="s">
        <v>388</v>
      </c>
      <c r="B2564" s="0" t="s">
        <v>389</v>
      </c>
      <c r="C2564" s="0" t="s">
        <v>322</v>
      </c>
      <c r="D2564" s="0" t="s">
        <v>31</v>
      </c>
      <c r="E2564" s="0" t="n">
        <v>3</v>
      </c>
      <c r="F2564" s="0" t="s">
        <v>40</v>
      </c>
      <c r="G2564" s="0" t="s">
        <v>42</v>
      </c>
      <c r="H2564" s="0" t="s">
        <v>42</v>
      </c>
      <c r="I2564" s="0" t="s">
        <v>34</v>
      </c>
      <c r="J2564" s="0" t="n">
        <v>1.83</v>
      </c>
      <c r="K2564" s="0" t="s">
        <v>35</v>
      </c>
      <c r="L2564" s="0" t="n">
        <f aca="false">INDEX(Summary!$F$2:$F$201,MATCH($B2564,Summary!$A$2:$A$201,0))</f>
        <v>20</v>
      </c>
      <c r="M2564" s="0" t="n">
        <f aca="false">INDEX(Summary!$I$2:$I$201,MATCH($B2564,Summary!$A$2:$A$201,0))</f>
        <v>3</v>
      </c>
      <c r="N2564" s="0" t="n">
        <f aca="false">INDEX(Summary!$J$2:$J$201,MATCH($B2564,Summary!$A$2:$A$201,0))</f>
        <v>2</v>
      </c>
      <c r="O2564" s="2" t="n">
        <f aca="false">INDEX(Summary!$K$2:$K$201,MATCH($B2564,Summary!$A$2:$A$201,0))</f>
        <v>11.12</v>
      </c>
      <c r="P2564" s="3" t="n">
        <f aca="false">INDEX(Summary!$L$2:$L$201,MATCH($B2564,Summary!$A$2:$A$201,0))</f>
        <v>5</v>
      </c>
      <c r="Q2564" s="3" t="n">
        <f aca="false">INDEX(Summary!$M$2:$M$201,MATCH($B2564,Summary!$A$2:$A$201,0))</f>
        <v>1</v>
      </c>
      <c r="R2564" s="2" t="n">
        <f aca="false">INDEX(Summary!$N$2:$N$201,MATCH($B2564,Summary!$A$2:$A$201,0))</f>
        <v>12.02</v>
      </c>
      <c r="S2564" s="3" t="n">
        <f aca="false">INDEX(Summary!$O$2:$O$201,MATCH($B2564,Summary!$A$2:$A$201,0))</f>
        <v>8</v>
      </c>
      <c r="T2564" s="3" t="n">
        <f aca="false">INDEX(Summary!$P$2:$P$201,MATCH($B2564,Summary!$A$2:$A$201,0))</f>
        <v>1</v>
      </c>
      <c r="U2564" s="2" t="n">
        <f aca="false">INDEX(Summary!$Q$2:$Q$201,MATCH($B2564,Summary!$A$2:$A$201,0))</f>
        <v>13.87</v>
      </c>
      <c r="V2564" s="2" t="n">
        <f aca="false">INDEX(Summary!$R$2:$R$201,MATCH($B2564,Summary!$A$2:$A$201,0))</f>
        <v>28.94</v>
      </c>
      <c r="W2564" s="0" t="str">
        <f aca="false">INDEX(Summary!$S$2:$S$201,MATCH($B2564,Summary!$A$2:$A$201,0))</f>
        <v>Gold</v>
      </c>
      <c r="X2564" s="2" t="n">
        <f aca="false">INDEX(Summary!$T$2:$T$201,MATCH($B2564,Summary!$A$2:$A$201,0))</f>
        <v>70.59</v>
      </c>
      <c r="Y2564" s="0" t="str">
        <f aca="false">INDEX('Reward Model'!$E$18:$E$37,MATCH($E2564,'Reward Model'!$A$18:$A$37,0))</f>
        <v>Medium</v>
      </c>
      <c r="Z2564" s="4" t="n">
        <f aca="false">ROUND(MIN(1,MAX('Reward Model'!$B$2,INDEX('Reward Model'!$C$12:$C$14,MATCH($K2564,'Reward Model'!$A$12:$A$14,0))/$J2564)),3)</f>
        <v>0.82</v>
      </c>
      <c r="AA2564" s="2" t="n">
        <f aca="false">IF($I2564="Correct",ROUND(INDEX('Reward Model'!$B$12:$B$14,MATCH($K2564,'Reward Model'!$A$12:$A$14,0))*Z2564,2),0)</f>
        <v>0.82</v>
      </c>
      <c r="AB2564" s="2" t="n">
        <f aca="false">IF($I2564="Correct",ROUND(INDEX('Reward Model'!$B$12:$B$14,MATCH($Y2564,'Reward Model'!$A$12:$A$14,0))*Z2564,2),0)</f>
        <v>1.64</v>
      </c>
    </row>
    <row r="2565" customFormat="false" ht="15" hidden="false" customHeight="false" outlineLevel="0" collapsed="false">
      <c r="A2565" s="0" t="s">
        <v>388</v>
      </c>
      <c r="B2565" s="0" t="s">
        <v>389</v>
      </c>
      <c r="C2565" s="0" t="s">
        <v>322</v>
      </c>
      <c r="D2565" s="0" t="s">
        <v>31</v>
      </c>
      <c r="E2565" s="0" t="n">
        <v>4</v>
      </c>
      <c r="F2565" s="0" t="s">
        <v>43</v>
      </c>
      <c r="G2565" s="0" t="s">
        <v>45</v>
      </c>
      <c r="H2565" s="0" t="s">
        <v>45</v>
      </c>
      <c r="I2565" s="0" t="s">
        <v>34</v>
      </c>
      <c r="J2565" s="0" t="n">
        <v>1.78</v>
      </c>
      <c r="K2565" s="0" t="s">
        <v>35</v>
      </c>
      <c r="L2565" s="0" t="n">
        <f aca="false">INDEX(Summary!$F$2:$F$201,MATCH($B2565,Summary!$A$2:$A$201,0))</f>
        <v>20</v>
      </c>
      <c r="M2565" s="0" t="n">
        <f aca="false">INDEX(Summary!$I$2:$I$201,MATCH($B2565,Summary!$A$2:$A$201,0))</f>
        <v>3</v>
      </c>
      <c r="N2565" s="0" t="n">
        <f aca="false">INDEX(Summary!$J$2:$J$201,MATCH($B2565,Summary!$A$2:$A$201,0))</f>
        <v>2</v>
      </c>
      <c r="O2565" s="2" t="n">
        <f aca="false">INDEX(Summary!$K$2:$K$201,MATCH($B2565,Summary!$A$2:$A$201,0))</f>
        <v>11.12</v>
      </c>
      <c r="P2565" s="3" t="n">
        <f aca="false">INDEX(Summary!$L$2:$L$201,MATCH($B2565,Summary!$A$2:$A$201,0))</f>
        <v>5</v>
      </c>
      <c r="Q2565" s="3" t="n">
        <f aca="false">INDEX(Summary!$M$2:$M$201,MATCH($B2565,Summary!$A$2:$A$201,0))</f>
        <v>1</v>
      </c>
      <c r="R2565" s="2" t="n">
        <f aca="false">INDEX(Summary!$N$2:$N$201,MATCH($B2565,Summary!$A$2:$A$201,0))</f>
        <v>12.02</v>
      </c>
      <c r="S2565" s="3" t="n">
        <f aca="false">INDEX(Summary!$O$2:$O$201,MATCH($B2565,Summary!$A$2:$A$201,0))</f>
        <v>8</v>
      </c>
      <c r="T2565" s="3" t="n">
        <f aca="false">INDEX(Summary!$P$2:$P$201,MATCH($B2565,Summary!$A$2:$A$201,0))</f>
        <v>1</v>
      </c>
      <c r="U2565" s="2" t="n">
        <f aca="false">INDEX(Summary!$Q$2:$Q$201,MATCH($B2565,Summary!$A$2:$A$201,0))</f>
        <v>13.87</v>
      </c>
      <c r="V2565" s="2" t="n">
        <f aca="false">INDEX(Summary!$R$2:$R$201,MATCH($B2565,Summary!$A$2:$A$201,0))</f>
        <v>28.94</v>
      </c>
      <c r="W2565" s="0" t="str">
        <f aca="false">INDEX(Summary!$S$2:$S$201,MATCH($B2565,Summary!$A$2:$A$201,0))</f>
        <v>Gold</v>
      </c>
      <c r="X2565" s="2" t="n">
        <f aca="false">INDEX(Summary!$T$2:$T$201,MATCH($B2565,Summary!$A$2:$A$201,0))</f>
        <v>70.59</v>
      </c>
      <c r="Y2565" s="0" t="str">
        <f aca="false">INDEX('Reward Model'!$E$18:$E$37,MATCH($E2565,'Reward Model'!$A$18:$A$37,0))</f>
        <v>Low</v>
      </c>
      <c r="Z2565" s="4" t="n">
        <f aca="false">ROUND(MIN(1,MAX('Reward Model'!$B$2,INDEX('Reward Model'!$C$12:$C$14,MATCH($K2565,'Reward Model'!$A$12:$A$14,0))/$J2565)),3)</f>
        <v>0.843</v>
      </c>
      <c r="AA2565" s="2" t="n">
        <f aca="false">IF($I2565="Correct",ROUND(INDEX('Reward Model'!$B$12:$B$14,MATCH($K2565,'Reward Model'!$A$12:$A$14,0))*Z2565,2),0)</f>
        <v>0.84</v>
      </c>
      <c r="AB2565" s="2" t="n">
        <f aca="false">IF($I2565="Correct",ROUND(INDEX('Reward Model'!$B$12:$B$14,MATCH($Y2565,'Reward Model'!$A$12:$A$14,0))*Z2565,2),0)</f>
        <v>0.84</v>
      </c>
    </row>
    <row r="2566" customFormat="false" ht="15" hidden="false" customHeight="false" outlineLevel="0" collapsed="false">
      <c r="A2566" s="0" t="s">
        <v>388</v>
      </c>
      <c r="B2566" s="0" t="s">
        <v>389</v>
      </c>
      <c r="C2566" s="0" t="s">
        <v>322</v>
      </c>
      <c r="D2566" s="0" t="s">
        <v>31</v>
      </c>
      <c r="E2566" s="0" t="n">
        <v>5</v>
      </c>
      <c r="F2566" s="0" t="s">
        <v>46</v>
      </c>
      <c r="G2566" s="0" t="s">
        <v>164</v>
      </c>
      <c r="H2566" s="0" t="s">
        <v>47</v>
      </c>
      <c r="I2566" s="0" t="s">
        <v>39</v>
      </c>
      <c r="J2566" s="0" t="n">
        <v>1.97</v>
      </c>
      <c r="K2566" s="0" t="s">
        <v>35</v>
      </c>
      <c r="L2566" s="0" t="n">
        <f aca="false">INDEX(Summary!$F$2:$F$201,MATCH($B2566,Summary!$A$2:$A$201,0))</f>
        <v>20</v>
      </c>
      <c r="M2566" s="0" t="n">
        <f aca="false">INDEX(Summary!$I$2:$I$201,MATCH($B2566,Summary!$A$2:$A$201,0))</f>
        <v>3</v>
      </c>
      <c r="N2566" s="0" t="n">
        <f aca="false">INDEX(Summary!$J$2:$J$201,MATCH($B2566,Summary!$A$2:$A$201,0))</f>
        <v>2</v>
      </c>
      <c r="O2566" s="2" t="n">
        <f aca="false">INDEX(Summary!$K$2:$K$201,MATCH($B2566,Summary!$A$2:$A$201,0))</f>
        <v>11.12</v>
      </c>
      <c r="P2566" s="3" t="n">
        <f aca="false">INDEX(Summary!$L$2:$L$201,MATCH($B2566,Summary!$A$2:$A$201,0))</f>
        <v>5</v>
      </c>
      <c r="Q2566" s="3" t="n">
        <f aca="false">INDEX(Summary!$M$2:$M$201,MATCH($B2566,Summary!$A$2:$A$201,0))</f>
        <v>1</v>
      </c>
      <c r="R2566" s="2" t="n">
        <f aca="false">INDEX(Summary!$N$2:$N$201,MATCH($B2566,Summary!$A$2:$A$201,0))</f>
        <v>12.02</v>
      </c>
      <c r="S2566" s="3" t="n">
        <f aca="false">INDEX(Summary!$O$2:$O$201,MATCH($B2566,Summary!$A$2:$A$201,0))</f>
        <v>8</v>
      </c>
      <c r="T2566" s="3" t="n">
        <f aca="false">INDEX(Summary!$P$2:$P$201,MATCH($B2566,Summary!$A$2:$A$201,0))</f>
        <v>1</v>
      </c>
      <c r="U2566" s="2" t="n">
        <f aca="false">INDEX(Summary!$Q$2:$Q$201,MATCH($B2566,Summary!$A$2:$A$201,0))</f>
        <v>13.87</v>
      </c>
      <c r="V2566" s="2" t="n">
        <f aca="false">INDEX(Summary!$R$2:$R$201,MATCH($B2566,Summary!$A$2:$A$201,0))</f>
        <v>28.94</v>
      </c>
      <c r="W2566" s="0" t="str">
        <f aca="false">INDEX(Summary!$S$2:$S$201,MATCH($B2566,Summary!$A$2:$A$201,0))</f>
        <v>Gold</v>
      </c>
      <c r="X2566" s="2" t="n">
        <f aca="false">INDEX(Summary!$T$2:$T$201,MATCH($B2566,Summary!$A$2:$A$201,0))</f>
        <v>70.59</v>
      </c>
      <c r="Y2566" s="0" t="str">
        <f aca="false">INDEX('Reward Model'!$E$18:$E$37,MATCH($E2566,'Reward Model'!$A$18:$A$37,0))</f>
        <v>Low</v>
      </c>
      <c r="Z2566" s="4" t="n">
        <f aca="false">ROUND(MIN(1,MAX('Reward Model'!$B$2,INDEX('Reward Model'!$C$12:$C$14,MATCH($K2566,'Reward Model'!$A$12:$A$14,0))/$J2566)),3)</f>
        <v>0.761</v>
      </c>
      <c r="AA2566" s="2" t="n">
        <f aca="false">IF($I2566="Correct",ROUND(INDEX('Reward Model'!$B$12:$B$14,MATCH($K2566,'Reward Model'!$A$12:$A$14,0))*Z2566,2),0)</f>
        <v>0</v>
      </c>
      <c r="AB2566" s="2" t="n">
        <f aca="false">IF($I2566="Correct",ROUND(INDEX('Reward Model'!$B$12:$B$14,MATCH($Y2566,'Reward Model'!$A$12:$A$14,0))*Z2566,2),0)</f>
        <v>0</v>
      </c>
    </row>
    <row r="2567" customFormat="false" ht="15" hidden="false" customHeight="false" outlineLevel="0" collapsed="false">
      <c r="A2567" s="0" t="s">
        <v>388</v>
      </c>
      <c r="B2567" s="0" t="s">
        <v>389</v>
      </c>
      <c r="C2567" s="0" t="s">
        <v>322</v>
      </c>
      <c r="D2567" s="0" t="s">
        <v>31</v>
      </c>
      <c r="E2567" s="0" t="n">
        <v>6</v>
      </c>
      <c r="F2567" s="0" t="s">
        <v>48</v>
      </c>
      <c r="G2567" s="0" t="s">
        <v>49</v>
      </c>
      <c r="H2567" s="0" t="s">
        <v>49</v>
      </c>
      <c r="I2567" s="0" t="s">
        <v>34</v>
      </c>
      <c r="J2567" s="0" t="n">
        <v>1.41</v>
      </c>
      <c r="K2567" s="0" t="s">
        <v>35</v>
      </c>
      <c r="L2567" s="0" t="n">
        <f aca="false">INDEX(Summary!$F$2:$F$201,MATCH($B2567,Summary!$A$2:$A$201,0))</f>
        <v>20</v>
      </c>
      <c r="M2567" s="0" t="n">
        <f aca="false">INDEX(Summary!$I$2:$I$201,MATCH($B2567,Summary!$A$2:$A$201,0))</f>
        <v>3</v>
      </c>
      <c r="N2567" s="0" t="n">
        <f aca="false">INDEX(Summary!$J$2:$J$201,MATCH($B2567,Summary!$A$2:$A$201,0))</f>
        <v>2</v>
      </c>
      <c r="O2567" s="2" t="n">
        <f aca="false">INDEX(Summary!$K$2:$K$201,MATCH($B2567,Summary!$A$2:$A$201,0))</f>
        <v>11.12</v>
      </c>
      <c r="P2567" s="3" t="n">
        <f aca="false">INDEX(Summary!$L$2:$L$201,MATCH($B2567,Summary!$A$2:$A$201,0))</f>
        <v>5</v>
      </c>
      <c r="Q2567" s="3" t="n">
        <f aca="false">INDEX(Summary!$M$2:$M$201,MATCH($B2567,Summary!$A$2:$A$201,0))</f>
        <v>1</v>
      </c>
      <c r="R2567" s="2" t="n">
        <f aca="false">INDEX(Summary!$N$2:$N$201,MATCH($B2567,Summary!$A$2:$A$201,0))</f>
        <v>12.02</v>
      </c>
      <c r="S2567" s="3" t="n">
        <f aca="false">INDEX(Summary!$O$2:$O$201,MATCH($B2567,Summary!$A$2:$A$201,0))</f>
        <v>8</v>
      </c>
      <c r="T2567" s="3" t="n">
        <f aca="false">INDEX(Summary!$P$2:$P$201,MATCH($B2567,Summary!$A$2:$A$201,0))</f>
        <v>1</v>
      </c>
      <c r="U2567" s="2" t="n">
        <f aca="false">INDEX(Summary!$Q$2:$Q$201,MATCH($B2567,Summary!$A$2:$A$201,0))</f>
        <v>13.87</v>
      </c>
      <c r="V2567" s="2" t="n">
        <f aca="false">INDEX(Summary!$R$2:$R$201,MATCH($B2567,Summary!$A$2:$A$201,0))</f>
        <v>28.94</v>
      </c>
      <c r="W2567" s="0" t="str">
        <f aca="false">INDEX(Summary!$S$2:$S$201,MATCH($B2567,Summary!$A$2:$A$201,0))</f>
        <v>Gold</v>
      </c>
      <c r="X2567" s="2" t="n">
        <f aca="false">INDEX(Summary!$T$2:$T$201,MATCH($B2567,Summary!$A$2:$A$201,0))</f>
        <v>70.59</v>
      </c>
      <c r="Y2567" s="0" t="str">
        <f aca="false">INDEX('Reward Model'!$E$18:$E$37,MATCH($E2567,'Reward Model'!$A$18:$A$37,0))</f>
        <v>Medium</v>
      </c>
      <c r="Z2567" s="4" t="n">
        <f aca="false">ROUND(MIN(1,MAX('Reward Model'!$B$2,INDEX('Reward Model'!$C$12:$C$14,MATCH($K2567,'Reward Model'!$A$12:$A$14,0))/$J2567)),3)</f>
        <v>1</v>
      </c>
      <c r="AA2567" s="2" t="n">
        <f aca="false">IF($I2567="Correct",ROUND(INDEX('Reward Model'!$B$12:$B$14,MATCH($K2567,'Reward Model'!$A$12:$A$14,0))*Z2567,2),0)</f>
        <v>1</v>
      </c>
      <c r="AB2567" s="2" t="n">
        <f aca="false">IF($I2567="Correct",ROUND(INDEX('Reward Model'!$B$12:$B$14,MATCH($Y2567,'Reward Model'!$A$12:$A$14,0))*Z2567,2),0)</f>
        <v>2</v>
      </c>
    </row>
    <row r="2568" customFormat="false" ht="15" hidden="false" customHeight="false" outlineLevel="0" collapsed="false">
      <c r="A2568" s="0" t="s">
        <v>388</v>
      </c>
      <c r="B2568" s="0" t="s">
        <v>389</v>
      </c>
      <c r="C2568" s="0" t="s">
        <v>322</v>
      </c>
      <c r="D2568" s="0" t="s">
        <v>31</v>
      </c>
      <c r="E2568" s="0" t="n">
        <v>7</v>
      </c>
      <c r="F2568" s="0" t="s">
        <v>50</v>
      </c>
      <c r="G2568" s="0" t="s">
        <v>51</v>
      </c>
      <c r="H2568" s="0" t="s">
        <v>51</v>
      </c>
      <c r="I2568" s="0" t="s">
        <v>34</v>
      </c>
      <c r="J2568" s="0" t="n">
        <v>1.29</v>
      </c>
      <c r="K2568" s="0" t="s">
        <v>35</v>
      </c>
      <c r="L2568" s="0" t="n">
        <f aca="false">INDEX(Summary!$F$2:$F$201,MATCH($B2568,Summary!$A$2:$A$201,0))</f>
        <v>20</v>
      </c>
      <c r="M2568" s="0" t="n">
        <f aca="false">INDEX(Summary!$I$2:$I$201,MATCH($B2568,Summary!$A$2:$A$201,0))</f>
        <v>3</v>
      </c>
      <c r="N2568" s="0" t="n">
        <f aca="false">INDEX(Summary!$J$2:$J$201,MATCH($B2568,Summary!$A$2:$A$201,0))</f>
        <v>2</v>
      </c>
      <c r="O2568" s="2" t="n">
        <f aca="false">INDEX(Summary!$K$2:$K$201,MATCH($B2568,Summary!$A$2:$A$201,0))</f>
        <v>11.12</v>
      </c>
      <c r="P2568" s="3" t="n">
        <f aca="false">INDEX(Summary!$L$2:$L$201,MATCH($B2568,Summary!$A$2:$A$201,0))</f>
        <v>5</v>
      </c>
      <c r="Q2568" s="3" t="n">
        <f aca="false">INDEX(Summary!$M$2:$M$201,MATCH($B2568,Summary!$A$2:$A$201,0))</f>
        <v>1</v>
      </c>
      <c r="R2568" s="2" t="n">
        <f aca="false">INDEX(Summary!$N$2:$N$201,MATCH($B2568,Summary!$A$2:$A$201,0))</f>
        <v>12.02</v>
      </c>
      <c r="S2568" s="3" t="n">
        <f aca="false">INDEX(Summary!$O$2:$O$201,MATCH($B2568,Summary!$A$2:$A$201,0))</f>
        <v>8</v>
      </c>
      <c r="T2568" s="3" t="n">
        <f aca="false">INDEX(Summary!$P$2:$P$201,MATCH($B2568,Summary!$A$2:$A$201,0))</f>
        <v>1</v>
      </c>
      <c r="U2568" s="2" t="n">
        <f aca="false">INDEX(Summary!$Q$2:$Q$201,MATCH($B2568,Summary!$A$2:$A$201,0))</f>
        <v>13.87</v>
      </c>
      <c r="V2568" s="2" t="n">
        <f aca="false">INDEX(Summary!$R$2:$R$201,MATCH($B2568,Summary!$A$2:$A$201,0))</f>
        <v>28.94</v>
      </c>
      <c r="W2568" s="0" t="str">
        <f aca="false">INDEX(Summary!$S$2:$S$201,MATCH($B2568,Summary!$A$2:$A$201,0))</f>
        <v>Gold</v>
      </c>
      <c r="X2568" s="2" t="n">
        <f aca="false">INDEX(Summary!$T$2:$T$201,MATCH($B2568,Summary!$A$2:$A$201,0))</f>
        <v>70.59</v>
      </c>
      <c r="Y2568" s="0" t="str">
        <f aca="false">INDEX('Reward Model'!$E$18:$E$37,MATCH($E2568,'Reward Model'!$A$18:$A$37,0))</f>
        <v>Low</v>
      </c>
      <c r="Z2568" s="4" t="n">
        <f aca="false">ROUND(MIN(1,MAX('Reward Model'!$B$2,INDEX('Reward Model'!$C$12:$C$14,MATCH($K2568,'Reward Model'!$A$12:$A$14,0))/$J2568)),3)</f>
        <v>1</v>
      </c>
      <c r="AA2568" s="2" t="n">
        <f aca="false">IF($I2568="Correct",ROUND(INDEX('Reward Model'!$B$12:$B$14,MATCH($K2568,'Reward Model'!$A$12:$A$14,0))*Z2568,2),0)</f>
        <v>1</v>
      </c>
      <c r="AB2568" s="2" t="n">
        <f aca="false">IF($I2568="Correct",ROUND(INDEX('Reward Model'!$B$12:$B$14,MATCH($Y2568,'Reward Model'!$A$12:$A$14,0))*Z2568,2),0)</f>
        <v>1</v>
      </c>
    </row>
    <row r="2569" customFormat="false" ht="15" hidden="false" customHeight="false" outlineLevel="0" collapsed="false">
      <c r="A2569" s="0" t="s">
        <v>388</v>
      </c>
      <c r="B2569" s="0" t="s">
        <v>389</v>
      </c>
      <c r="C2569" s="0" t="s">
        <v>322</v>
      </c>
      <c r="D2569" s="0" t="s">
        <v>31</v>
      </c>
      <c r="E2569" s="0" t="n">
        <v>8</v>
      </c>
      <c r="F2569" s="0" t="s">
        <v>52</v>
      </c>
      <c r="G2569" s="0" t="s">
        <v>54</v>
      </c>
      <c r="H2569" s="0" t="s">
        <v>54</v>
      </c>
      <c r="I2569" s="0" t="s">
        <v>34</v>
      </c>
      <c r="J2569" s="0" t="n">
        <v>1.79</v>
      </c>
      <c r="K2569" s="0" t="s">
        <v>35</v>
      </c>
      <c r="L2569" s="0" t="n">
        <f aca="false">INDEX(Summary!$F$2:$F$201,MATCH($B2569,Summary!$A$2:$A$201,0))</f>
        <v>20</v>
      </c>
      <c r="M2569" s="0" t="n">
        <f aca="false">INDEX(Summary!$I$2:$I$201,MATCH($B2569,Summary!$A$2:$A$201,0))</f>
        <v>3</v>
      </c>
      <c r="N2569" s="0" t="n">
        <f aca="false">INDEX(Summary!$J$2:$J$201,MATCH($B2569,Summary!$A$2:$A$201,0))</f>
        <v>2</v>
      </c>
      <c r="O2569" s="2" t="n">
        <f aca="false">INDEX(Summary!$K$2:$K$201,MATCH($B2569,Summary!$A$2:$A$201,0))</f>
        <v>11.12</v>
      </c>
      <c r="P2569" s="3" t="n">
        <f aca="false">INDEX(Summary!$L$2:$L$201,MATCH($B2569,Summary!$A$2:$A$201,0))</f>
        <v>5</v>
      </c>
      <c r="Q2569" s="3" t="n">
        <f aca="false">INDEX(Summary!$M$2:$M$201,MATCH($B2569,Summary!$A$2:$A$201,0))</f>
        <v>1</v>
      </c>
      <c r="R2569" s="2" t="n">
        <f aca="false">INDEX(Summary!$N$2:$N$201,MATCH($B2569,Summary!$A$2:$A$201,0))</f>
        <v>12.02</v>
      </c>
      <c r="S2569" s="3" t="n">
        <f aca="false">INDEX(Summary!$O$2:$O$201,MATCH($B2569,Summary!$A$2:$A$201,0))</f>
        <v>8</v>
      </c>
      <c r="T2569" s="3" t="n">
        <f aca="false">INDEX(Summary!$P$2:$P$201,MATCH($B2569,Summary!$A$2:$A$201,0))</f>
        <v>1</v>
      </c>
      <c r="U2569" s="2" t="n">
        <f aca="false">INDEX(Summary!$Q$2:$Q$201,MATCH($B2569,Summary!$A$2:$A$201,0))</f>
        <v>13.87</v>
      </c>
      <c r="V2569" s="2" t="n">
        <f aca="false">INDEX(Summary!$R$2:$R$201,MATCH($B2569,Summary!$A$2:$A$201,0))</f>
        <v>28.94</v>
      </c>
      <c r="W2569" s="0" t="str">
        <f aca="false">INDEX(Summary!$S$2:$S$201,MATCH($B2569,Summary!$A$2:$A$201,0))</f>
        <v>Gold</v>
      </c>
      <c r="X2569" s="2" t="n">
        <f aca="false">INDEX(Summary!$T$2:$T$201,MATCH($B2569,Summary!$A$2:$A$201,0))</f>
        <v>70.59</v>
      </c>
      <c r="Y2569" s="0" t="str">
        <f aca="false">INDEX('Reward Model'!$E$18:$E$37,MATCH($E2569,'Reward Model'!$A$18:$A$37,0))</f>
        <v>Medium</v>
      </c>
      <c r="Z2569" s="4" t="n">
        <f aca="false">ROUND(MIN(1,MAX('Reward Model'!$B$2,INDEX('Reward Model'!$C$12:$C$14,MATCH($K2569,'Reward Model'!$A$12:$A$14,0))/$J2569)),3)</f>
        <v>0.838</v>
      </c>
      <c r="AA2569" s="2" t="n">
        <f aca="false">IF($I2569="Correct",ROUND(INDEX('Reward Model'!$B$12:$B$14,MATCH($K2569,'Reward Model'!$A$12:$A$14,0))*Z2569,2),0)</f>
        <v>0.84</v>
      </c>
      <c r="AB2569" s="2" t="n">
        <f aca="false">IF($I2569="Correct",ROUND(INDEX('Reward Model'!$B$12:$B$14,MATCH($Y2569,'Reward Model'!$A$12:$A$14,0))*Z2569,2),0)</f>
        <v>1.68</v>
      </c>
    </row>
    <row r="2570" customFormat="false" ht="15" hidden="false" customHeight="false" outlineLevel="0" collapsed="false">
      <c r="A2570" s="0" t="s">
        <v>388</v>
      </c>
      <c r="B2570" s="0" t="s">
        <v>389</v>
      </c>
      <c r="C2570" s="0" t="s">
        <v>322</v>
      </c>
      <c r="D2570" s="0" t="s">
        <v>31</v>
      </c>
      <c r="E2570" s="0" t="n">
        <v>9</v>
      </c>
      <c r="F2570" s="0" t="s">
        <v>55</v>
      </c>
      <c r="G2570" s="0" t="s">
        <v>57</v>
      </c>
      <c r="H2570" s="0" t="s">
        <v>57</v>
      </c>
      <c r="I2570" s="0" t="s">
        <v>34</v>
      </c>
      <c r="J2570" s="0" t="n">
        <v>1.05</v>
      </c>
      <c r="K2570" s="0" t="s">
        <v>35</v>
      </c>
      <c r="L2570" s="0" t="n">
        <f aca="false">INDEX(Summary!$F$2:$F$201,MATCH($B2570,Summary!$A$2:$A$201,0))</f>
        <v>20</v>
      </c>
      <c r="M2570" s="0" t="n">
        <f aca="false">INDEX(Summary!$I$2:$I$201,MATCH($B2570,Summary!$A$2:$A$201,0))</f>
        <v>3</v>
      </c>
      <c r="N2570" s="0" t="n">
        <f aca="false">INDEX(Summary!$J$2:$J$201,MATCH($B2570,Summary!$A$2:$A$201,0))</f>
        <v>2</v>
      </c>
      <c r="O2570" s="2" t="n">
        <f aca="false">INDEX(Summary!$K$2:$K$201,MATCH($B2570,Summary!$A$2:$A$201,0))</f>
        <v>11.12</v>
      </c>
      <c r="P2570" s="3" t="n">
        <f aca="false">INDEX(Summary!$L$2:$L$201,MATCH($B2570,Summary!$A$2:$A$201,0))</f>
        <v>5</v>
      </c>
      <c r="Q2570" s="3" t="n">
        <f aca="false">INDEX(Summary!$M$2:$M$201,MATCH($B2570,Summary!$A$2:$A$201,0))</f>
        <v>1</v>
      </c>
      <c r="R2570" s="2" t="n">
        <f aca="false">INDEX(Summary!$N$2:$N$201,MATCH($B2570,Summary!$A$2:$A$201,0))</f>
        <v>12.02</v>
      </c>
      <c r="S2570" s="3" t="n">
        <f aca="false">INDEX(Summary!$O$2:$O$201,MATCH($B2570,Summary!$A$2:$A$201,0))</f>
        <v>8</v>
      </c>
      <c r="T2570" s="3" t="n">
        <f aca="false">INDEX(Summary!$P$2:$P$201,MATCH($B2570,Summary!$A$2:$A$201,0))</f>
        <v>1</v>
      </c>
      <c r="U2570" s="2" t="n">
        <f aca="false">INDEX(Summary!$Q$2:$Q$201,MATCH($B2570,Summary!$A$2:$A$201,0))</f>
        <v>13.87</v>
      </c>
      <c r="V2570" s="2" t="n">
        <f aca="false">INDEX(Summary!$R$2:$R$201,MATCH($B2570,Summary!$A$2:$A$201,0))</f>
        <v>28.94</v>
      </c>
      <c r="W2570" s="0" t="str">
        <f aca="false">INDEX(Summary!$S$2:$S$201,MATCH($B2570,Summary!$A$2:$A$201,0))</f>
        <v>Gold</v>
      </c>
      <c r="X2570" s="2" t="n">
        <f aca="false">INDEX(Summary!$T$2:$T$201,MATCH($B2570,Summary!$A$2:$A$201,0))</f>
        <v>70.59</v>
      </c>
      <c r="Y2570" s="0" t="str">
        <f aca="false">INDEX('Reward Model'!$E$18:$E$37,MATCH($E2570,'Reward Model'!$A$18:$A$37,0))</f>
        <v>Medium</v>
      </c>
      <c r="Z2570" s="4" t="n">
        <f aca="false">ROUND(MIN(1,MAX('Reward Model'!$B$2,INDEX('Reward Model'!$C$12:$C$14,MATCH($K2570,'Reward Model'!$A$12:$A$14,0))/$J2570)),3)</f>
        <v>1</v>
      </c>
      <c r="AA2570" s="2" t="n">
        <f aca="false">IF($I2570="Correct",ROUND(INDEX('Reward Model'!$B$12:$B$14,MATCH($K2570,'Reward Model'!$A$12:$A$14,0))*Z2570,2),0)</f>
        <v>1</v>
      </c>
      <c r="AB2570" s="2" t="n">
        <f aca="false">IF($I2570="Correct",ROUND(INDEX('Reward Model'!$B$12:$B$14,MATCH($Y2570,'Reward Model'!$A$12:$A$14,0))*Z2570,2),0)</f>
        <v>2</v>
      </c>
    </row>
    <row r="2571" customFormat="false" ht="15" hidden="false" customHeight="false" outlineLevel="0" collapsed="false">
      <c r="A2571" s="0" t="s">
        <v>388</v>
      </c>
      <c r="B2571" s="0" t="s">
        <v>389</v>
      </c>
      <c r="C2571" s="0" t="s">
        <v>322</v>
      </c>
      <c r="D2571" s="0" t="s">
        <v>31</v>
      </c>
      <c r="E2571" s="0" t="n">
        <v>10</v>
      </c>
      <c r="F2571" s="0" t="s">
        <v>58</v>
      </c>
      <c r="G2571" s="0" t="s">
        <v>59</v>
      </c>
      <c r="H2571" s="0" t="s">
        <v>59</v>
      </c>
      <c r="I2571" s="0" t="s">
        <v>34</v>
      </c>
      <c r="J2571" s="0" t="n">
        <v>1.56</v>
      </c>
      <c r="K2571" s="0" t="s">
        <v>60</v>
      </c>
      <c r="L2571" s="0" t="n">
        <f aca="false">INDEX(Summary!$F$2:$F$201,MATCH($B2571,Summary!$A$2:$A$201,0))</f>
        <v>20</v>
      </c>
      <c r="M2571" s="0" t="n">
        <f aca="false">INDEX(Summary!$I$2:$I$201,MATCH($B2571,Summary!$A$2:$A$201,0))</f>
        <v>3</v>
      </c>
      <c r="N2571" s="0" t="n">
        <f aca="false">INDEX(Summary!$J$2:$J$201,MATCH($B2571,Summary!$A$2:$A$201,0))</f>
        <v>2</v>
      </c>
      <c r="O2571" s="2" t="n">
        <f aca="false">INDEX(Summary!$K$2:$K$201,MATCH($B2571,Summary!$A$2:$A$201,0))</f>
        <v>11.12</v>
      </c>
      <c r="P2571" s="3" t="n">
        <f aca="false">INDEX(Summary!$L$2:$L$201,MATCH($B2571,Summary!$A$2:$A$201,0))</f>
        <v>5</v>
      </c>
      <c r="Q2571" s="3" t="n">
        <f aca="false">INDEX(Summary!$M$2:$M$201,MATCH($B2571,Summary!$A$2:$A$201,0))</f>
        <v>1</v>
      </c>
      <c r="R2571" s="2" t="n">
        <f aca="false">INDEX(Summary!$N$2:$N$201,MATCH($B2571,Summary!$A$2:$A$201,0))</f>
        <v>12.02</v>
      </c>
      <c r="S2571" s="3" t="n">
        <f aca="false">INDEX(Summary!$O$2:$O$201,MATCH($B2571,Summary!$A$2:$A$201,0))</f>
        <v>8</v>
      </c>
      <c r="T2571" s="3" t="n">
        <f aca="false">INDEX(Summary!$P$2:$P$201,MATCH($B2571,Summary!$A$2:$A$201,0))</f>
        <v>1</v>
      </c>
      <c r="U2571" s="2" t="n">
        <f aca="false">INDEX(Summary!$Q$2:$Q$201,MATCH($B2571,Summary!$A$2:$A$201,0))</f>
        <v>13.87</v>
      </c>
      <c r="V2571" s="2" t="n">
        <f aca="false">INDEX(Summary!$R$2:$R$201,MATCH($B2571,Summary!$A$2:$A$201,0))</f>
        <v>28.94</v>
      </c>
      <c r="W2571" s="0" t="str">
        <f aca="false">INDEX(Summary!$S$2:$S$201,MATCH($B2571,Summary!$A$2:$A$201,0))</f>
        <v>Gold</v>
      </c>
      <c r="X2571" s="2" t="n">
        <f aca="false">INDEX(Summary!$T$2:$T$201,MATCH($B2571,Summary!$A$2:$A$201,0))</f>
        <v>70.59</v>
      </c>
      <c r="Y2571" s="0" t="str">
        <f aca="false">INDEX('Reward Model'!$E$18:$E$37,MATCH($E2571,'Reward Model'!$A$18:$A$37,0))</f>
        <v>Medium</v>
      </c>
      <c r="Z2571" s="4" t="n">
        <f aca="false">ROUND(MIN(1,MAX('Reward Model'!$B$2,INDEX('Reward Model'!$C$12:$C$14,MATCH($K2571,'Reward Model'!$A$12:$A$14,0))/$J2571)),3)</f>
        <v>1</v>
      </c>
      <c r="AA2571" s="2" t="n">
        <f aca="false">IF($I2571="Correct",ROUND(INDEX('Reward Model'!$B$12:$B$14,MATCH($K2571,'Reward Model'!$A$12:$A$14,0))*Z2571,2),0)</f>
        <v>2</v>
      </c>
      <c r="AB2571" s="2" t="n">
        <f aca="false">IF($I2571="Correct",ROUND(INDEX('Reward Model'!$B$12:$B$14,MATCH($Y2571,'Reward Model'!$A$12:$A$14,0))*Z2571,2),0)</f>
        <v>2</v>
      </c>
    </row>
    <row r="2572" customFormat="false" ht="15" hidden="false" customHeight="false" outlineLevel="0" collapsed="false">
      <c r="A2572" s="0" t="s">
        <v>388</v>
      </c>
      <c r="B2572" s="0" t="s">
        <v>389</v>
      </c>
      <c r="C2572" s="0" t="s">
        <v>322</v>
      </c>
      <c r="D2572" s="0" t="s">
        <v>31</v>
      </c>
      <c r="E2572" s="0" t="n">
        <v>11</v>
      </c>
      <c r="F2572" s="0" t="s">
        <v>61</v>
      </c>
      <c r="G2572" s="0" t="s">
        <v>63</v>
      </c>
      <c r="H2572" s="0" t="s">
        <v>63</v>
      </c>
      <c r="I2572" s="0" t="s">
        <v>34</v>
      </c>
      <c r="J2572" s="0" t="n">
        <v>2.19</v>
      </c>
      <c r="K2572" s="0" t="s">
        <v>60</v>
      </c>
      <c r="L2572" s="0" t="n">
        <f aca="false">INDEX(Summary!$F$2:$F$201,MATCH($B2572,Summary!$A$2:$A$201,0))</f>
        <v>20</v>
      </c>
      <c r="M2572" s="0" t="n">
        <f aca="false">INDEX(Summary!$I$2:$I$201,MATCH($B2572,Summary!$A$2:$A$201,0))</f>
        <v>3</v>
      </c>
      <c r="N2572" s="0" t="n">
        <f aca="false">INDEX(Summary!$J$2:$J$201,MATCH($B2572,Summary!$A$2:$A$201,0))</f>
        <v>2</v>
      </c>
      <c r="O2572" s="2" t="n">
        <f aca="false">INDEX(Summary!$K$2:$K$201,MATCH($B2572,Summary!$A$2:$A$201,0))</f>
        <v>11.12</v>
      </c>
      <c r="P2572" s="3" t="n">
        <f aca="false">INDEX(Summary!$L$2:$L$201,MATCH($B2572,Summary!$A$2:$A$201,0))</f>
        <v>5</v>
      </c>
      <c r="Q2572" s="3" t="n">
        <f aca="false">INDEX(Summary!$M$2:$M$201,MATCH($B2572,Summary!$A$2:$A$201,0))</f>
        <v>1</v>
      </c>
      <c r="R2572" s="2" t="n">
        <f aca="false">INDEX(Summary!$N$2:$N$201,MATCH($B2572,Summary!$A$2:$A$201,0))</f>
        <v>12.02</v>
      </c>
      <c r="S2572" s="3" t="n">
        <f aca="false">INDEX(Summary!$O$2:$O$201,MATCH($B2572,Summary!$A$2:$A$201,0))</f>
        <v>8</v>
      </c>
      <c r="T2572" s="3" t="n">
        <f aca="false">INDEX(Summary!$P$2:$P$201,MATCH($B2572,Summary!$A$2:$A$201,0))</f>
        <v>1</v>
      </c>
      <c r="U2572" s="2" t="n">
        <f aca="false">INDEX(Summary!$Q$2:$Q$201,MATCH($B2572,Summary!$A$2:$A$201,0))</f>
        <v>13.87</v>
      </c>
      <c r="V2572" s="2" t="n">
        <f aca="false">INDEX(Summary!$R$2:$R$201,MATCH($B2572,Summary!$A$2:$A$201,0))</f>
        <v>28.94</v>
      </c>
      <c r="W2572" s="0" t="str">
        <f aca="false">INDEX(Summary!$S$2:$S$201,MATCH($B2572,Summary!$A$2:$A$201,0))</f>
        <v>Gold</v>
      </c>
      <c r="X2572" s="2" t="n">
        <f aca="false">INDEX(Summary!$T$2:$T$201,MATCH($B2572,Summary!$A$2:$A$201,0))</f>
        <v>70.59</v>
      </c>
      <c r="Y2572" s="0" t="str">
        <f aca="false">INDEX('Reward Model'!$E$18:$E$37,MATCH($E2572,'Reward Model'!$A$18:$A$37,0))</f>
        <v>Medium</v>
      </c>
      <c r="Z2572" s="4" t="n">
        <f aca="false">ROUND(MIN(1,MAX('Reward Model'!$B$2,INDEX('Reward Model'!$C$12:$C$14,MATCH($K2572,'Reward Model'!$A$12:$A$14,0))/$J2572)),3)</f>
        <v>0.822</v>
      </c>
      <c r="AA2572" s="2" t="n">
        <f aca="false">IF($I2572="Correct",ROUND(INDEX('Reward Model'!$B$12:$B$14,MATCH($K2572,'Reward Model'!$A$12:$A$14,0))*Z2572,2),0)</f>
        <v>1.64</v>
      </c>
      <c r="AB2572" s="2" t="n">
        <f aca="false">IF($I2572="Correct",ROUND(INDEX('Reward Model'!$B$12:$B$14,MATCH($Y2572,'Reward Model'!$A$12:$A$14,0))*Z2572,2),0)</f>
        <v>1.64</v>
      </c>
    </row>
    <row r="2573" customFormat="false" ht="15" hidden="false" customHeight="false" outlineLevel="0" collapsed="false">
      <c r="A2573" s="0" t="s">
        <v>388</v>
      </c>
      <c r="B2573" s="0" t="s">
        <v>389</v>
      </c>
      <c r="C2573" s="0" t="s">
        <v>322</v>
      </c>
      <c r="D2573" s="0" t="s">
        <v>31</v>
      </c>
      <c r="E2573" s="0" t="n">
        <v>12</v>
      </c>
      <c r="F2573" s="0" t="s">
        <v>64</v>
      </c>
      <c r="G2573" s="0" t="s">
        <v>65</v>
      </c>
      <c r="H2573" s="0" t="s">
        <v>65</v>
      </c>
      <c r="I2573" s="0" t="s">
        <v>34</v>
      </c>
      <c r="J2573" s="0" t="n">
        <v>2.19</v>
      </c>
      <c r="K2573" s="0" t="s">
        <v>60</v>
      </c>
      <c r="L2573" s="0" t="n">
        <f aca="false">INDEX(Summary!$F$2:$F$201,MATCH($B2573,Summary!$A$2:$A$201,0))</f>
        <v>20</v>
      </c>
      <c r="M2573" s="0" t="n">
        <f aca="false">INDEX(Summary!$I$2:$I$201,MATCH($B2573,Summary!$A$2:$A$201,0))</f>
        <v>3</v>
      </c>
      <c r="N2573" s="0" t="n">
        <f aca="false">INDEX(Summary!$J$2:$J$201,MATCH($B2573,Summary!$A$2:$A$201,0))</f>
        <v>2</v>
      </c>
      <c r="O2573" s="2" t="n">
        <f aca="false">INDEX(Summary!$K$2:$K$201,MATCH($B2573,Summary!$A$2:$A$201,0))</f>
        <v>11.12</v>
      </c>
      <c r="P2573" s="3" t="n">
        <f aca="false">INDEX(Summary!$L$2:$L$201,MATCH($B2573,Summary!$A$2:$A$201,0))</f>
        <v>5</v>
      </c>
      <c r="Q2573" s="3" t="n">
        <f aca="false">INDEX(Summary!$M$2:$M$201,MATCH($B2573,Summary!$A$2:$A$201,0))</f>
        <v>1</v>
      </c>
      <c r="R2573" s="2" t="n">
        <f aca="false">INDEX(Summary!$N$2:$N$201,MATCH($B2573,Summary!$A$2:$A$201,0))</f>
        <v>12.02</v>
      </c>
      <c r="S2573" s="3" t="n">
        <f aca="false">INDEX(Summary!$O$2:$O$201,MATCH($B2573,Summary!$A$2:$A$201,0))</f>
        <v>8</v>
      </c>
      <c r="T2573" s="3" t="n">
        <f aca="false">INDEX(Summary!$P$2:$P$201,MATCH($B2573,Summary!$A$2:$A$201,0))</f>
        <v>1</v>
      </c>
      <c r="U2573" s="2" t="n">
        <f aca="false">INDEX(Summary!$Q$2:$Q$201,MATCH($B2573,Summary!$A$2:$A$201,0))</f>
        <v>13.87</v>
      </c>
      <c r="V2573" s="2" t="n">
        <f aca="false">INDEX(Summary!$R$2:$R$201,MATCH($B2573,Summary!$A$2:$A$201,0))</f>
        <v>28.94</v>
      </c>
      <c r="W2573" s="0" t="str">
        <f aca="false">INDEX(Summary!$S$2:$S$201,MATCH($B2573,Summary!$A$2:$A$201,0))</f>
        <v>Gold</v>
      </c>
      <c r="X2573" s="2" t="n">
        <f aca="false">INDEX(Summary!$T$2:$T$201,MATCH($B2573,Summary!$A$2:$A$201,0))</f>
        <v>70.59</v>
      </c>
      <c r="Y2573" s="0" t="str">
        <f aca="false">INDEX('Reward Model'!$E$18:$E$37,MATCH($E2573,'Reward Model'!$A$18:$A$37,0))</f>
        <v>Medium</v>
      </c>
      <c r="Z2573" s="4" t="n">
        <f aca="false">ROUND(MIN(1,MAX('Reward Model'!$B$2,INDEX('Reward Model'!$C$12:$C$14,MATCH($K2573,'Reward Model'!$A$12:$A$14,0))/$J2573)),3)</f>
        <v>0.822</v>
      </c>
      <c r="AA2573" s="2" t="n">
        <f aca="false">IF($I2573="Correct",ROUND(INDEX('Reward Model'!$B$12:$B$14,MATCH($K2573,'Reward Model'!$A$12:$A$14,0))*Z2573,2),0)</f>
        <v>1.64</v>
      </c>
      <c r="AB2573" s="2" t="n">
        <f aca="false">IF($I2573="Correct",ROUND(INDEX('Reward Model'!$B$12:$B$14,MATCH($Y2573,'Reward Model'!$A$12:$A$14,0))*Z2573,2),0)</f>
        <v>1.64</v>
      </c>
    </row>
    <row r="2574" customFormat="false" ht="15" hidden="false" customHeight="false" outlineLevel="0" collapsed="false">
      <c r="A2574" s="0" t="s">
        <v>388</v>
      </c>
      <c r="B2574" s="0" t="s">
        <v>389</v>
      </c>
      <c r="C2574" s="0" t="s">
        <v>322</v>
      </c>
      <c r="D2574" s="0" t="s">
        <v>31</v>
      </c>
      <c r="E2574" s="0" t="n">
        <v>13</v>
      </c>
      <c r="F2574" s="0" t="s">
        <v>66</v>
      </c>
      <c r="G2574" s="0" t="s">
        <v>67</v>
      </c>
      <c r="H2574" s="0" t="s">
        <v>67</v>
      </c>
      <c r="I2574" s="0" t="s">
        <v>34</v>
      </c>
      <c r="J2574" s="0" t="n">
        <v>1.85</v>
      </c>
      <c r="K2574" s="0" t="s">
        <v>60</v>
      </c>
      <c r="L2574" s="0" t="n">
        <f aca="false">INDEX(Summary!$F$2:$F$201,MATCH($B2574,Summary!$A$2:$A$201,0))</f>
        <v>20</v>
      </c>
      <c r="M2574" s="0" t="n">
        <f aca="false">INDEX(Summary!$I$2:$I$201,MATCH($B2574,Summary!$A$2:$A$201,0))</f>
        <v>3</v>
      </c>
      <c r="N2574" s="0" t="n">
        <f aca="false">INDEX(Summary!$J$2:$J$201,MATCH($B2574,Summary!$A$2:$A$201,0))</f>
        <v>2</v>
      </c>
      <c r="O2574" s="2" t="n">
        <f aca="false">INDEX(Summary!$K$2:$K$201,MATCH($B2574,Summary!$A$2:$A$201,0))</f>
        <v>11.12</v>
      </c>
      <c r="P2574" s="3" t="n">
        <f aca="false">INDEX(Summary!$L$2:$L$201,MATCH($B2574,Summary!$A$2:$A$201,0))</f>
        <v>5</v>
      </c>
      <c r="Q2574" s="3" t="n">
        <f aca="false">INDEX(Summary!$M$2:$M$201,MATCH($B2574,Summary!$A$2:$A$201,0))</f>
        <v>1</v>
      </c>
      <c r="R2574" s="2" t="n">
        <f aca="false">INDEX(Summary!$N$2:$N$201,MATCH($B2574,Summary!$A$2:$A$201,0))</f>
        <v>12.02</v>
      </c>
      <c r="S2574" s="3" t="n">
        <f aca="false">INDEX(Summary!$O$2:$O$201,MATCH($B2574,Summary!$A$2:$A$201,0))</f>
        <v>8</v>
      </c>
      <c r="T2574" s="3" t="n">
        <f aca="false">INDEX(Summary!$P$2:$P$201,MATCH($B2574,Summary!$A$2:$A$201,0))</f>
        <v>1</v>
      </c>
      <c r="U2574" s="2" t="n">
        <f aca="false">INDEX(Summary!$Q$2:$Q$201,MATCH($B2574,Summary!$A$2:$A$201,0))</f>
        <v>13.87</v>
      </c>
      <c r="V2574" s="2" t="n">
        <f aca="false">INDEX(Summary!$R$2:$R$201,MATCH($B2574,Summary!$A$2:$A$201,0))</f>
        <v>28.94</v>
      </c>
      <c r="W2574" s="0" t="str">
        <f aca="false">INDEX(Summary!$S$2:$S$201,MATCH($B2574,Summary!$A$2:$A$201,0))</f>
        <v>Gold</v>
      </c>
      <c r="X2574" s="2" t="n">
        <f aca="false">INDEX(Summary!$T$2:$T$201,MATCH($B2574,Summary!$A$2:$A$201,0))</f>
        <v>70.59</v>
      </c>
      <c r="Y2574" s="0" t="str">
        <f aca="false">INDEX('Reward Model'!$E$18:$E$37,MATCH($E2574,'Reward Model'!$A$18:$A$37,0))</f>
        <v>Medium</v>
      </c>
      <c r="Z2574" s="4" t="n">
        <f aca="false">ROUND(MIN(1,MAX('Reward Model'!$B$2,INDEX('Reward Model'!$C$12:$C$14,MATCH($K2574,'Reward Model'!$A$12:$A$14,0))/$J2574)),3)</f>
        <v>0.973</v>
      </c>
      <c r="AA2574" s="2" t="n">
        <f aca="false">IF($I2574="Correct",ROUND(INDEX('Reward Model'!$B$12:$B$14,MATCH($K2574,'Reward Model'!$A$12:$A$14,0))*Z2574,2),0)</f>
        <v>1.95</v>
      </c>
      <c r="AB2574" s="2" t="n">
        <f aca="false">IF($I2574="Correct",ROUND(INDEX('Reward Model'!$B$12:$B$14,MATCH($Y2574,'Reward Model'!$A$12:$A$14,0))*Z2574,2),0)</f>
        <v>1.95</v>
      </c>
    </row>
    <row r="2575" customFormat="false" ht="15" hidden="false" customHeight="false" outlineLevel="0" collapsed="false">
      <c r="A2575" s="0" t="s">
        <v>388</v>
      </c>
      <c r="B2575" s="0" t="s">
        <v>389</v>
      </c>
      <c r="C2575" s="0" t="s">
        <v>322</v>
      </c>
      <c r="D2575" s="0" t="s">
        <v>31</v>
      </c>
      <c r="E2575" s="0" t="n">
        <v>14</v>
      </c>
      <c r="F2575" s="0" t="s">
        <v>68</v>
      </c>
      <c r="G2575" s="0" t="s">
        <v>86</v>
      </c>
      <c r="H2575" s="0" t="s">
        <v>51</v>
      </c>
      <c r="I2575" s="0" t="s">
        <v>39</v>
      </c>
      <c r="J2575" s="0" t="n">
        <v>2.26</v>
      </c>
      <c r="K2575" s="0" t="s">
        <v>60</v>
      </c>
      <c r="L2575" s="0" t="n">
        <f aca="false">INDEX(Summary!$F$2:$F$201,MATCH($B2575,Summary!$A$2:$A$201,0))</f>
        <v>20</v>
      </c>
      <c r="M2575" s="0" t="n">
        <f aca="false">INDEX(Summary!$I$2:$I$201,MATCH($B2575,Summary!$A$2:$A$201,0))</f>
        <v>3</v>
      </c>
      <c r="N2575" s="0" t="n">
        <f aca="false">INDEX(Summary!$J$2:$J$201,MATCH($B2575,Summary!$A$2:$A$201,0))</f>
        <v>2</v>
      </c>
      <c r="O2575" s="2" t="n">
        <f aca="false">INDEX(Summary!$K$2:$K$201,MATCH($B2575,Summary!$A$2:$A$201,0))</f>
        <v>11.12</v>
      </c>
      <c r="P2575" s="3" t="n">
        <f aca="false">INDEX(Summary!$L$2:$L$201,MATCH($B2575,Summary!$A$2:$A$201,0))</f>
        <v>5</v>
      </c>
      <c r="Q2575" s="3" t="n">
        <f aca="false">INDEX(Summary!$M$2:$M$201,MATCH($B2575,Summary!$A$2:$A$201,0))</f>
        <v>1</v>
      </c>
      <c r="R2575" s="2" t="n">
        <f aca="false">INDEX(Summary!$N$2:$N$201,MATCH($B2575,Summary!$A$2:$A$201,0))</f>
        <v>12.02</v>
      </c>
      <c r="S2575" s="3" t="n">
        <f aca="false">INDEX(Summary!$O$2:$O$201,MATCH($B2575,Summary!$A$2:$A$201,0))</f>
        <v>8</v>
      </c>
      <c r="T2575" s="3" t="n">
        <f aca="false">INDEX(Summary!$P$2:$P$201,MATCH($B2575,Summary!$A$2:$A$201,0))</f>
        <v>1</v>
      </c>
      <c r="U2575" s="2" t="n">
        <f aca="false">INDEX(Summary!$Q$2:$Q$201,MATCH($B2575,Summary!$A$2:$A$201,0))</f>
        <v>13.87</v>
      </c>
      <c r="V2575" s="2" t="n">
        <f aca="false">INDEX(Summary!$R$2:$R$201,MATCH($B2575,Summary!$A$2:$A$201,0))</f>
        <v>28.94</v>
      </c>
      <c r="W2575" s="0" t="str">
        <f aca="false">INDEX(Summary!$S$2:$S$201,MATCH($B2575,Summary!$A$2:$A$201,0))</f>
        <v>Gold</v>
      </c>
      <c r="X2575" s="2" t="n">
        <f aca="false">INDEX(Summary!$T$2:$T$201,MATCH($B2575,Summary!$A$2:$A$201,0))</f>
        <v>70.59</v>
      </c>
      <c r="Y2575" s="0" t="str">
        <f aca="false">INDEX('Reward Model'!$E$18:$E$37,MATCH($E2575,'Reward Model'!$A$18:$A$37,0))</f>
        <v>Medium</v>
      </c>
      <c r="Z2575" s="4" t="n">
        <f aca="false">ROUND(MIN(1,MAX('Reward Model'!$B$2,INDEX('Reward Model'!$C$12:$C$14,MATCH($K2575,'Reward Model'!$A$12:$A$14,0))/$J2575)),3)</f>
        <v>0.796</v>
      </c>
      <c r="AA2575" s="2" t="n">
        <f aca="false">IF($I2575="Correct",ROUND(INDEX('Reward Model'!$B$12:$B$14,MATCH($K2575,'Reward Model'!$A$12:$A$14,0))*Z2575,2),0)</f>
        <v>0</v>
      </c>
      <c r="AB2575" s="2" t="n">
        <f aca="false">IF($I2575="Correct",ROUND(INDEX('Reward Model'!$B$12:$B$14,MATCH($Y2575,'Reward Model'!$A$12:$A$14,0))*Z2575,2),0)</f>
        <v>0</v>
      </c>
    </row>
    <row r="2576" customFormat="false" ht="15" hidden="false" customHeight="false" outlineLevel="0" collapsed="false">
      <c r="A2576" s="0" t="s">
        <v>388</v>
      </c>
      <c r="B2576" s="0" t="s">
        <v>389</v>
      </c>
      <c r="C2576" s="0" t="s">
        <v>322</v>
      </c>
      <c r="D2576" s="0" t="s">
        <v>31</v>
      </c>
      <c r="E2576" s="0" t="n">
        <v>15</v>
      </c>
      <c r="F2576" s="0" t="s">
        <v>69</v>
      </c>
      <c r="G2576" s="0" t="s">
        <v>70</v>
      </c>
      <c r="H2576" s="0" t="s">
        <v>70</v>
      </c>
      <c r="I2576" s="0" t="s">
        <v>34</v>
      </c>
      <c r="J2576" s="0" t="n">
        <v>1.97</v>
      </c>
      <c r="K2576" s="0" t="s">
        <v>60</v>
      </c>
      <c r="L2576" s="0" t="n">
        <f aca="false">INDEX(Summary!$F$2:$F$201,MATCH($B2576,Summary!$A$2:$A$201,0))</f>
        <v>20</v>
      </c>
      <c r="M2576" s="0" t="n">
        <f aca="false">INDEX(Summary!$I$2:$I$201,MATCH($B2576,Summary!$A$2:$A$201,0))</f>
        <v>3</v>
      </c>
      <c r="N2576" s="0" t="n">
        <f aca="false">INDEX(Summary!$J$2:$J$201,MATCH($B2576,Summary!$A$2:$A$201,0))</f>
        <v>2</v>
      </c>
      <c r="O2576" s="2" t="n">
        <f aca="false">INDEX(Summary!$K$2:$K$201,MATCH($B2576,Summary!$A$2:$A$201,0))</f>
        <v>11.12</v>
      </c>
      <c r="P2576" s="3" t="n">
        <f aca="false">INDEX(Summary!$L$2:$L$201,MATCH($B2576,Summary!$A$2:$A$201,0))</f>
        <v>5</v>
      </c>
      <c r="Q2576" s="3" t="n">
        <f aca="false">INDEX(Summary!$M$2:$M$201,MATCH($B2576,Summary!$A$2:$A$201,0))</f>
        <v>1</v>
      </c>
      <c r="R2576" s="2" t="n">
        <f aca="false">INDEX(Summary!$N$2:$N$201,MATCH($B2576,Summary!$A$2:$A$201,0))</f>
        <v>12.02</v>
      </c>
      <c r="S2576" s="3" t="n">
        <f aca="false">INDEX(Summary!$O$2:$O$201,MATCH($B2576,Summary!$A$2:$A$201,0))</f>
        <v>8</v>
      </c>
      <c r="T2576" s="3" t="n">
        <f aca="false">INDEX(Summary!$P$2:$P$201,MATCH($B2576,Summary!$A$2:$A$201,0))</f>
        <v>1</v>
      </c>
      <c r="U2576" s="2" t="n">
        <f aca="false">INDEX(Summary!$Q$2:$Q$201,MATCH($B2576,Summary!$A$2:$A$201,0))</f>
        <v>13.87</v>
      </c>
      <c r="V2576" s="2" t="n">
        <f aca="false">INDEX(Summary!$R$2:$R$201,MATCH($B2576,Summary!$A$2:$A$201,0))</f>
        <v>28.94</v>
      </c>
      <c r="W2576" s="0" t="str">
        <f aca="false">INDEX(Summary!$S$2:$S$201,MATCH($B2576,Summary!$A$2:$A$201,0))</f>
        <v>Gold</v>
      </c>
      <c r="X2576" s="2" t="n">
        <f aca="false">INDEX(Summary!$T$2:$T$201,MATCH($B2576,Summary!$A$2:$A$201,0))</f>
        <v>70.59</v>
      </c>
      <c r="Y2576" s="0" t="str">
        <f aca="false">INDEX('Reward Model'!$E$18:$E$37,MATCH($E2576,'Reward Model'!$A$18:$A$37,0))</f>
        <v>Medium</v>
      </c>
      <c r="Z2576" s="4" t="n">
        <f aca="false">ROUND(MIN(1,MAX('Reward Model'!$B$2,INDEX('Reward Model'!$C$12:$C$14,MATCH($K2576,'Reward Model'!$A$12:$A$14,0))/$J2576)),3)</f>
        <v>0.914</v>
      </c>
      <c r="AA2576" s="2" t="n">
        <f aca="false">IF($I2576="Correct",ROUND(INDEX('Reward Model'!$B$12:$B$14,MATCH($K2576,'Reward Model'!$A$12:$A$14,0))*Z2576,2),0)</f>
        <v>1.83</v>
      </c>
      <c r="AB2576" s="2" t="n">
        <f aca="false">IF($I2576="Correct",ROUND(INDEX('Reward Model'!$B$12:$B$14,MATCH($Y2576,'Reward Model'!$A$12:$A$14,0))*Z2576,2),0)</f>
        <v>1.83</v>
      </c>
    </row>
    <row r="2577" customFormat="false" ht="15" hidden="false" customHeight="false" outlineLevel="0" collapsed="false">
      <c r="A2577" s="0" t="s">
        <v>388</v>
      </c>
      <c r="B2577" s="0" t="s">
        <v>389</v>
      </c>
      <c r="C2577" s="0" t="s">
        <v>322</v>
      </c>
      <c r="D2577" s="0" t="s">
        <v>31</v>
      </c>
      <c r="E2577" s="0" t="n">
        <v>16</v>
      </c>
      <c r="F2577" s="0" t="s">
        <v>71</v>
      </c>
      <c r="G2577" s="0" t="s">
        <v>104</v>
      </c>
      <c r="H2577" s="0" t="s">
        <v>72</v>
      </c>
      <c r="I2577" s="0" t="s">
        <v>39</v>
      </c>
      <c r="J2577" s="0" t="n">
        <v>1.88</v>
      </c>
      <c r="K2577" s="0" t="s">
        <v>73</v>
      </c>
      <c r="L2577" s="0" t="n">
        <f aca="false">INDEX(Summary!$F$2:$F$201,MATCH($B2577,Summary!$A$2:$A$201,0))</f>
        <v>20</v>
      </c>
      <c r="M2577" s="0" t="n">
        <f aca="false">INDEX(Summary!$I$2:$I$201,MATCH($B2577,Summary!$A$2:$A$201,0))</f>
        <v>3</v>
      </c>
      <c r="N2577" s="0" t="n">
        <f aca="false">INDEX(Summary!$J$2:$J$201,MATCH($B2577,Summary!$A$2:$A$201,0))</f>
        <v>2</v>
      </c>
      <c r="O2577" s="2" t="n">
        <f aca="false">INDEX(Summary!$K$2:$K$201,MATCH($B2577,Summary!$A$2:$A$201,0))</f>
        <v>11.12</v>
      </c>
      <c r="P2577" s="3" t="n">
        <f aca="false">INDEX(Summary!$L$2:$L$201,MATCH($B2577,Summary!$A$2:$A$201,0))</f>
        <v>5</v>
      </c>
      <c r="Q2577" s="3" t="n">
        <f aca="false">INDEX(Summary!$M$2:$M$201,MATCH($B2577,Summary!$A$2:$A$201,0))</f>
        <v>1</v>
      </c>
      <c r="R2577" s="2" t="n">
        <f aca="false">INDEX(Summary!$N$2:$N$201,MATCH($B2577,Summary!$A$2:$A$201,0))</f>
        <v>12.02</v>
      </c>
      <c r="S2577" s="3" t="n">
        <f aca="false">INDEX(Summary!$O$2:$O$201,MATCH($B2577,Summary!$A$2:$A$201,0))</f>
        <v>8</v>
      </c>
      <c r="T2577" s="3" t="n">
        <f aca="false">INDEX(Summary!$P$2:$P$201,MATCH($B2577,Summary!$A$2:$A$201,0))</f>
        <v>1</v>
      </c>
      <c r="U2577" s="2" t="n">
        <f aca="false">INDEX(Summary!$Q$2:$Q$201,MATCH($B2577,Summary!$A$2:$A$201,0))</f>
        <v>13.87</v>
      </c>
      <c r="V2577" s="2" t="n">
        <f aca="false">INDEX(Summary!$R$2:$R$201,MATCH($B2577,Summary!$A$2:$A$201,0))</f>
        <v>28.94</v>
      </c>
      <c r="W2577" s="0" t="str">
        <f aca="false">INDEX(Summary!$S$2:$S$201,MATCH($B2577,Summary!$A$2:$A$201,0))</f>
        <v>Gold</v>
      </c>
      <c r="X2577" s="2" t="n">
        <f aca="false">INDEX(Summary!$T$2:$T$201,MATCH($B2577,Summary!$A$2:$A$201,0))</f>
        <v>70.59</v>
      </c>
      <c r="Y2577" s="0" t="str">
        <f aca="false">INDEX('Reward Model'!$E$18:$E$37,MATCH($E2577,'Reward Model'!$A$18:$A$37,0))</f>
        <v>High</v>
      </c>
      <c r="Z2577" s="4" t="n">
        <f aca="false">ROUND(MIN(1,MAX('Reward Model'!$B$2,INDEX('Reward Model'!$C$12:$C$14,MATCH($K2577,'Reward Model'!$A$12:$A$14,0))/$J2577)),3)</f>
        <v>1</v>
      </c>
      <c r="AA2577" s="2" t="n">
        <f aca="false">IF($I2577="Correct",ROUND(INDEX('Reward Model'!$B$12:$B$14,MATCH($K2577,'Reward Model'!$A$12:$A$14,0))*Z2577,2),0)</f>
        <v>0</v>
      </c>
      <c r="AB2577" s="2" t="n">
        <f aca="false">IF($I2577="Correct",ROUND(INDEX('Reward Model'!$B$12:$B$14,MATCH($Y2577,'Reward Model'!$A$12:$A$14,0))*Z2577,2),0)</f>
        <v>0</v>
      </c>
    </row>
    <row r="2578" customFormat="false" ht="15" hidden="false" customHeight="false" outlineLevel="0" collapsed="false">
      <c r="A2578" s="0" t="s">
        <v>388</v>
      </c>
      <c r="B2578" s="0" t="s">
        <v>389</v>
      </c>
      <c r="C2578" s="0" t="s">
        <v>322</v>
      </c>
      <c r="D2578" s="0" t="s">
        <v>31</v>
      </c>
      <c r="E2578" s="0" t="n">
        <v>17</v>
      </c>
      <c r="F2578" s="0" t="s">
        <v>74</v>
      </c>
      <c r="G2578" s="0" t="s">
        <v>75</v>
      </c>
      <c r="H2578" s="0" t="s">
        <v>75</v>
      </c>
      <c r="I2578" s="0" t="s">
        <v>34</v>
      </c>
      <c r="J2578" s="0" t="n">
        <v>2.58</v>
      </c>
      <c r="K2578" s="0" t="s">
        <v>73</v>
      </c>
      <c r="L2578" s="0" t="n">
        <f aca="false">INDEX(Summary!$F$2:$F$201,MATCH($B2578,Summary!$A$2:$A$201,0))</f>
        <v>20</v>
      </c>
      <c r="M2578" s="0" t="n">
        <f aca="false">INDEX(Summary!$I$2:$I$201,MATCH($B2578,Summary!$A$2:$A$201,0))</f>
        <v>3</v>
      </c>
      <c r="N2578" s="0" t="n">
        <f aca="false">INDEX(Summary!$J$2:$J$201,MATCH($B2578,Summary!$A$2:$A$201,0))</f>
        <v>2</v>
      </c>
      <c r="O2578" s="2" t="n">
        <f aca="false">INDEX(Summary!$K$2:$K$201,MATCH($B2578,Summary!$A$2:$A$201,0))</f>
        <v>11.12</v>
      </c>
      <c r="P2578" s="3" t="n">
        <f aca="false">INDEX(Summary!$L$2:$L$201,MATCH($B2578,Summary!$A$2:$A$201,0))</f>
        <v>5</v>
      </c>
      <c r="Q2578" s="3" t="n">
        <f aca="false">INDEX(Summary!$M$2:$M$201,MATCH($B2578,Summary!$A$2:$A$201,0))</f>
        <v>1</v>
      </c>
      <c r="R2578" s="2" t="n">
        <f aca="false">INDEX(Summary!$N$2:$N$201,MATCH($B2578,Summary!$A$2:$A$201,0))</f>
        <v>12.02</v>
      </c>
      <c r="S2578" s="3" t="n">
        <f aca="false">INDEX(Summary!$O$2:$O$201,MATCH($B2578,Summary!$A$2:$A$201,0))</f>
        <v>8</v>
      </c>
      <c r="T2578" s="3" t="n">
        <f aca="false">INDEX(Summary!$P$2:$P$201,MATCH($B2578,Summary!$A$2:$A$201,0))</f>
        <v>1</v>
      </c>
      <c r="U2578" s="2" t="n">
        <f aca="false">INDEX(Summary!$Q$2:$Q$201,MATCH($B2578,Summary!$A$2:$A$201,0))</f>
        <v>13.87</v>
      </c>
      <c r="V2578" s="2" t="n">
        <f aca="false">INDEX(Summary!$R$2:$R$201,MATCH($B2578,Summary!$A$2:$A$201,0))</f>
        <v>28.94</v>
      </c>
      <c r="W2578" s="0" t="str">
        <f aca="false">INDEX(Summary!$S$2:$S$201,MATCH($B2578,Summary!$A$2:$A$201,0))</f>
        <v>Gold</v>
      </c>
      <c r="X2578" s="2" t="n">
        <f aca="false">INDEX(Summary!$T$2:$T$201,MATCH($B2578,Summary!$A$2:$A$201,0))</f>
        <v>70.59</v>
      </c>
      <c r="Y2578" s="0" t="str">
        <f aca="false">INDEX('Reward Model'!$E$18:$E$37,MATCH($E2578,'Reward Model'!$A$18:$A$37,0))</f>
        <v>High</v>
      </c>
      <c r="Z2578" s="4" t="n">
        <f aca="false">ROUND(MIN(1,MAX('Reward Model'!$B$2,INDEX('Reward Model'!$C$12:$C$14,MATCH($K2578,'Reward Model'!$A$12:$A$14,0))/$J2578)),3)</f>
        <v>0.775</v>
      </c>
      <c r="AA2578" s="2" t="n">
        <f aca="false">IF($I2578="Correct",ROUND(INDEX('Reward Model'!$B$12:$B$14,MATCH($K2578,'Reward Model'!$A$12:$A$14,0))*Z2578,2),0)</f>
        <v>2.33</v>
      </c>
      <c r="AB2578" s="2" t="n">
        <f aca="false">IF($I2578="Correct",ROUND(INDEX('Reward Model'!$B$12:$B$14,MATCH($Y2578,'Reward Model'!$A$12:$A$14,0))*Z2578,2),0)</f>
        <v>2.33</v>
      </c>
    </row>
    <row r="2579" customFormat="false" ht="15" hidden="false" customHeight="false" outlineLevel="0" collapsed="false">
      <c r="A2579" s="0" t="s">
        <v>388</v>
      </c>
      <c r="B2579" s="0" t="s">
        <v>389</v>
      </c>
      <c r="C2579" s="0" t="s">
        <v>322</v>
      </c>
      <c r="D2579" s="0" t="s">
        <v>31</v>
      </c>
      <c r="E2579" s="0" t="n">
        <v>18</v>
      </c>
      <c r="F2579" s="0" t="s">
        <v>76</v>
      </c>
      <c r="G2579" s="0" t="s">
        <v>77</v>
      </c>
      <c r="H2579" s="0" t="s">
        <v>77</v>
      </c>
      <c r="I2579" s="0" t="s">
        <v>34</v>
      </c>
      <c r="J2579" s="0" t="n">
        <v>2.26</v>
      </c>
      <c r="K2579" s="0" t="s">
        <v>73</v>
      </c>
      <c r="L2579" s="0" t="n">
        <f aca="false">INDEX(Summary!$F$2:$F$201,MATCH($B2579,Summary!$A$2:$A$201,0))</f>
        <v>20</v>
      </c>
      <c r="M2579" s="0" t="n">
        <f aca="false">INDEX(Summary!$I$2:$I$201,MATCH($B2579,Summary!$A$2:$A$201,0))</f>
        <v>3</v>
      </c>
      <c r="N2579" s="0" t="n">
        <f aca="false">INDEX(Summary!$J$2:$J$201,MATCH($B2579,Summary!$A$2:$A$201,0))</f>
        <v>2</v>
      </c>
      <c r="O2579" s="2" t="n">
        <f aca="false">INDEX(Summary!$K$2:$K$201,MATCH($B2579,Summary!$A$2:$A$201,0))</f>
        <v>11.12</v>
      </c>
      <c r="P2579" s="3" t="n">
        <f aca="false">INDEX(Summary!$L$2:$L$201,MATCH($B2579,Summary!$A$2:$A$201,0))</f>
        <v>5</v>
      </c>
      <c r="Q2579" s="3" t="n">
        <f aca="false">INDEX(Summary!$M$2:$M$201,MATCH($B2579,Summary!$A$2:$A$201,0))</f>
        <v>1</v>
      </c>
      <c r="R2579" s="2" t="n">
        <f aca="false">INDEX(Summary!$N$2:$N$201,MATCH($B2579,Summary!$A$2:$A$201,0))</f>
        <v>12.02</v>
      </c>
      <c r="S2579" s="3" t="n">
        <f aca="false">INDEX(Summary!$O$2:$O$201,MATCH($B2579,Summary!$A$2:$A$201,0))</f>
        <v>8</v>
      </c>
      <c r="T2579" s="3" t="n">
        <f aca="false">INDEX(Summary!$P$2:$P$201,MATCH($B2579,Summary!$A$2:$A$201,0))</f>
        <v>1</v>
      </c>
      <c r="U2579" s="2" t="n">
        <f aca="false">INDEX(Summary!$Q$2:$Q$201,MATCH($B2579,Summary!$A$2:$A$201,0))</f>
        <v>13.87</v>
      </c>
      <c r="V2579" s="2" t="n">
        <f aca="false">INDEX(Summary!$R$2:$R$201,MATCH($B2579,Summary!$A$2:$A$201,0))</f>
        <v>28.94</v>
      </c>
      <c r="W2579" s="0" t="str">
        <f aca="false">INDEX(Summary!$S$2:$S$201,MATCH($B2579,Summary!$A$2:$A$201,0))</f>
        <v>Gold</v>
      </c>
      <c r="X2579" s="2" t="n">
        <f aca="false">INDEX(Summary!$T$2:$T$201,MATCH($B2579,Summary!$A$2:$A$201,0))</f>
        <v>70.59</v>
      </c>
      <c r="Y2579" s="0" t="str">
        <f aca="false">INDEX('Reward Model'!$E$18:$E$37,MATCH($E2579,'Reward Model'!$A$18:$A$37,0))</f>
        <v>High</v>
      </c>
      <c r="Z2579" s="4" t="n">
        <f aca="false">ROUND(MIN(1,MAX('Reward Model'!$B$2,INDEX('Reward Model'!$C$12:$C$14,MATCH($K2579,'Reward Model'!$A$12:$A$14,0))/$J2579)),3)</f>
        <v>0.885</v>
      </c>
      <c r="AA2579" s="2" t="n">
        <f aca="false">IF($I2579="Correct",ROUND(INDEX('Reward Model'!$B$12:$B$14,MATCH($K2579,'Reward Model'!$A$12:$A$14,0))*Z2579,2),0)</f>
        <v>2.66</v>
      </c>
      <c r="AB2579" s="2" t="n">
        <f aca="false">IF($I2579="Correct",ROUND(INDEX('Reward Model'!$B$12:$B$14,MATCH($Y2579,'Reward Model'!$A$12:$A$14,0))*Z2579,2),0)</f>
        <v>2.66</v>
      </c>
    </row>
    <row r="2580" customFormat="false" ht="15" hidden="false" customHeight="false" outlineLevel="0" collapsed="false">
      <c r="A2580" s="0" t="s">
        <v>388</v>
      </c>
      <c r="B2580" s="0" t="s">
        <v>389</v>
      </c>
      <c r="C2580" s="0" t="s">
        <v>322</v>
      </c>
      <c r="D2580" s="0" t="s">
        <v>31</v>
      </c>
      <c r="E2580" s="0" t="n">
        <v>19</v>
      </c>
      <c r="F2580" s="0" t="s">
        <v>78</v>
      </c>
      <c r="G2580" s="0" t="s">
        <v>80</v>
      </c>
      <c r="H2580" s="0" t="s">
        <v>80</v>
      </c>
      <c r="I2580" s="0" t="s">
        <v>34</v>
      </c>
      <c r="J2580" s="0" t="n">
        <v>2.19</v>
      </c>
      <c r="K2580" s="0" t="s">
        <v>73</v>
      </c>
      <c r="L2580" s="0" t="n">
        <f aca="false">INDEX(Summary!$F$2:$F$201,MATCH($B2580,Summary!$A$2:$A$201,0))</f>
        <v>20</v>
      </c>
      <c r="M2580" s="0" t="n">
        <f aca="false">INDEX(Summary!$I$2:$I$201,MATCH($B2580,Summary!$A$2:$A$201,0))</f>
        <v>3</v>
      </c>
      <c r="N2580" s="0" t="n">
        <f aca="false">INDEX(Summary!$J$2:$J$201,MATCH($B2580,Summary!$A$2:$A$201,0))</f>
        <v>2</v>
      </c>
      <c r="O2580" s="2" t="n">
        <f aca="false">INDEX(Summary!$K$2:$K$201,MATCH($B2580,Summary!$A$2:$A$201,0))</f>
        <v>11.12</v>
      </c>
      <c r="P2580" s="3" t="n">
        <f aca="false">INDEX(Summary!$L$2:$L$201,MATCH($B2580,Summary!$A$2:$A$201,0))</f>
        <v>5</v>
      </c>
      <c r="Q2580" s="3" t="n">
        <f aca="false">INDEX(Summary!$M$2:$M$201,MATCH($B2580,Summary!$A$2:$A$201,0))</f>
        <v>1</v>
      </c>
      <c r="R2580" s="2" t="n">
        <f aca="false">INDEX(Summary!$N$2:$N$201,MATCH($B2580,Summary!$A$2:$A$201,0))</f>
        <v>12.02</v>
      </c>
      <c r="S2580" s="3" t="n">
        <f aca="false">INDEX(Summary!$O$2:$O$201,MATCH($B2580,Summary!$A$2:$A$201,0))</f>
        <v>8</v>
      </c>
      <c r="T2580" s="3" t="n">
        <f aca="false">INDEX(Summary!$P$2:$P$201,MATCH($B2580,Summary!$A$2:$A$201,0))</f>
        <v>1</v>
      </c>
      <c r="U2580" s="2" t="n">
        <f aca="false">INDEX(Summary!$Q$2:$Q$201,MATCH($B2580,Summary!$A$2:$A$201,0))</f>
        <v>13.87</v>
      </c>
      <c r="V2580" s="2" t="n">
        <f aca="false">INDEX(Summary!$R$2:$R$201,MATCH($B2580,Summary!$A$2:$A$201,0))</f>
        <v>28.94</v>
      </c>
      <c r="W2580" s="0" t="str">
        <f aca="false">INDEX(Summary!$S$2:$S$201,MATCH($B2580,Summary!$A$2:$A$201,0))</f>
        <v>Gold</v>
      </c>
      <c r="X2580" s="2" t="n">
        <f aca="false">INDEX(Summary!$T$2:$T$201,MATCH($B2580,Summary!$A$2:$A$201,0))</f>
        <v>70.59</v>
      </c>
      <c r="Y2580" s="0" t="str">
        <f aca="false">INDEX('Reward Model'!$E$18:$E$37,MATCH($E2580,'Reward Model'!$A$18:$A$37,0))</f>
        <v>High</v>
      </c>
      <c r="Z2580" s="4" t="n">
        <f aca="false">ROUND(MIN(1,MAX('Reward Model'!$B$2,INDEX('Reward Model'!$C$12:$C$14,MATCH($K2580,'Reward Model'!$A$12:$A$14,0))/$J2580)),3)</f>
        <v>0.913</v>
      </c>
      <c r="AA2580" s="2" t="n">
        <f aca="false">IF($I2580="Correct",ROUND(INDEX('Reward Model'!$B$12:$B$14,MATCH($K2580,'Reward Model'!$A$12:$A$14,0))*Z2580,2),0)</f>
        <v>2.74</v>
      </c>
      <c r="AB2580" s="2" t="n">
        <f aca="false">IF($I2580="Correct",ROUND(INDEX('Reward Model'!$B$12:$B$14,MATCH($Y2580,'Reward Model'!$A$12:$A$14,0))*Z2580,2),0)</f>
        <v>2.74</v>
      </c>
    </row>
    <row r="2581" customFormat="false" ht="15" hidden="false" customHeight="false" outlineLevel="0" collapsed="false">
      <c r="A2581" s="0" t="s">
        <v>388</v>
      </c>
      <c r="B2581" s="0" t="s">
        <v>389</v>
      </c>
      <c r="C2581" s="0" t="s">
        <v>322</v>
      </c>
      <c r="D2581" s="0" t="s">
        <v>31</v>
      </c>
      <c r="E2581" s="0" t="n">
        <v>20</v>
      </c>
      <c r="F2581" s="0" t="s">
        <v>81</v>
      </c>
      <c r="G2581" s="0" t="s">
        <v>119</v>
      </c>
      <c r="H2581" s="0" t="s">
        <v>83</v>
      </c>
      <c r="I2581" s="0" t="s">
        <v>39</v>
      </c>
      <c r="J2581" s="0" t="n">
        <v>2.21</v>
      </c>
      <c r="K2581" s="0" t="s">
        <v>73</v>
      </c>
      <c r="L2581" s="0" t="n">
        <f aca="false">INDEX(Summary!$F$2:$F$201,MATCH($B2581,Summary!$A$2:$A$201,0))</f>
        <v>20</v>
      </c>
      <c r="M2581" s="0" t="n">
        <f aca="false">INDEX(Summary!$I$2:$I$201,MATCH($B2581,Summary!$A$2:$A$201,0))</f>
        <v>3</v>
      </c>
      <c r="N2581" s="0" t="n">
        <f aca="false">INDEX(Summary!$J$2:$J$201,MATCH($B2581,Summary!$A$2:$A$201,0))</f>
        <v>2</v>
      </c>
      <c r="O2581" s="2" t="n">
        <f aca="false">INDEX(Summary!$K$2:$K$201,MATCH($B2581,Summary!$A$2:$A$201,0))</f>
        <v>11.12</v>
      </c>
      <c r="P2581" s="3" t="n">
        <f aca="false">INDEX(Summary!$L$2:$L$201,MATCH($B2581,Summary!$A$2:$A$201,0))</f>
        <v>5</v>
      </c>
      <c r="Q2581" s="3" t="n">
        <f aca="false">INDEX(Summary!$M$2:$M$201,MATCH($B2581,Summary!$A$2:$A$201,0))</f>
        <v>1</v>
      </c>
      <c r="R2581" s="2" t="n">
        <f aca="false">INDEX(Summary!$N$2:$N$201,MATCH($B2581,Summary!$A$2:$A$201,0))</f>
        <v>12.02</v>
      </c>
      <c r="S2581" s="3" t="n">
        <f aca="false">INDEX(Summary!$O$2:$O$201,MATCH($B2581,Summary!$A$2:$A$201,0))</f>
        <v>8</v>
      </c>
      <c r="T2581" s="3" t="n">
        <f aca="false">INDEX(Summary!$P$2:$P$201,MATCH($B2581,Summary!$A$2:$A$201,0))</f>
        <v>1</v>
      </c>
      <c r="U2581" s="2" t="n">
        <f aca="false">INDEX(Summary!$Q$2:$Q$201,MATCH($B2581,Summary!$A$2:$A$201,0))</f>
        <v>13.87</v>
      </c>
      <c r="V2581" s="2" t="n">
        <f aca="false">INDEX(Summary!$R$2:$R$201,MATCH($B2581,Summary!$A$2:$A$201,0))</f>
        <v>28.94</v>
      </c>
      <c r="W2581" s="0" t="str">
        <f aca="false">INDEX(Summary!$S$2:$S$201,MATCH($B2581,Summary!$A$2:$A$201,0))</f>
        <v>Gold</v>
      </c>
      <c r="X2581" s="2" t="n">
        <f aca="false">INDEX(Summary!$T$2:$T$201,MATCH($B2581,Summary!$A$2:$A$201,0))</f>
        <v>70.59</v>
      </c>
      <c r="Y2581" s="0" t="str">
        <f aca="false">INDEX('Reward Model'!$E$18:$E$37,MATCH($E2581,'Reward Model'!$A$18:$A$37,0))</f>
        <v>High</v>
      </c>
      <c r="Z2581" s="4" t="n">
        <f aca="false">ROUND(MIN(1,MAX('Reward Model'!$B$2,INDEX('Reward Model'!$C$12:$C$14,MATCH($K2581,'Reward Model'!$A$12:$A$14,0))/$J2581)),3)</f>
        <v>0.905</v>
      </c>
      <c r="AA2581" s="2" t="n">
        <f aca="false">IF($I2581="Correct",ROUND(INDEX('Reward Model'!$B$12:$B$14,MATCH($K2581,'Reward Model'!$A$12:$A$14,0))*Z2581,2),0)</f>
        <v>0</v>
      </c>
      <c r="AB2581" s="2" t="n">
        <f aca="false">IF($I2581="Correct",ROUND(INDEX('Reward Model'!$B$12:$B$14,MATCH($Y2581,'Reward Model'!$A$12:$A$14,0))*Z2581,2),0)</f>
        <v>0</v>
      </c>
    </row>
    <row r="2582" customFormat="false" ht="15" hidden="false" customHeight="false" outlineLevel="0" collapsed="false">
      <c r="A2582" s="0" t="s">
        <v>390</v>
      </c>
      <c r="B2582" s="0" t="s">
        <v>391</v>
      </c>
      <c r="C2582" s="0" t="s">
        <v>322</v>
      </c>
      <c r="D2582" s="0" t="s">
        <v>189</v>
      </c>
      <c r="E2582" s="0" t="n">
        <v>1</v>
      </c>
      <c r="F2582" s="0" t="s">
        <v>32</v>
      </c>
      <c r="G2582" s="0" t="s">
        <v>33</v>
      </c>
      <c r="H2582" s="0" t="s">
        <v>33</v>
      </c>
      <c r="I2582" s="0" t="s">
        <v>34</v>
      </c>
      <c r="J2582" s="0" t="n">
        <v>0.94</v>
      </c>
      <c r="K2582" s="0" t="s">
        <v>35</v>
      </c>
      <c r="L2582" s="0" t="n">
        <f aca="false">INDEX(Summary!$F$2:$F$201,MATCH($B2582,Summary!$A$2:$A$201,0))</f>
        <v>20</v>
      </c>
      <c r="M2582" s="0" t="n">
        <f aca="false">INDEX(Summary!$I$2:$I$201,MATCH($B2582,Summary!$A$2:$A$201,0))</f>
        <v>2</v>
      </c>
      <c r="N2582" s="0" t="n">
        <f aca="false">INDEX(Summary!$J$2:$J$201,MATCH($B2582,Summary!$A$2:$A$201,0))</f>
        <v>3</v>
      </c>
      <c r="O2582" s="2" t="n">
        <f aca="false">INDEX(Summary!$K$2:$K$201,MATCH($B2582,Summary!$A$2:$A$201,0))</f>
        <v>9.78</v>
      </c>
      <c r="P2582" s="3" t="n">
        <f aca="false">INDEX(Summary!$L$2:$L$201,MATCH($B2582,Summary!$A$2:$A$201,0))</f>
        <v>4</v>
      </c>
      <c r="Q2582" s="3" t="n">
        <f aca="false">INDEX(Summary!$M$2:$M$201,MATCH($B2582,Summary!$A$2:$A$201,0))</f>
        <v>2</v>
      </c>
      <c r="R2582" s="2" t="n">
        <f aca="false">INDEX(Summary!$N$2:$N$201,MATCH($B2582,Summary!$A$2:$A$201,0))</f>
        <v>10.53</v>
      </c>
      <c r="S2582" s="3" t="n">
        <f aca="false">INDEX(Summary!$O$2:$O$201,MATCH($B2582,Summary!$A$2:$A$201,0))</f>
        <v>8</v>
      </c>
      <c r="T2582" s="3" t="n">
        <f aca="false">INDEX(Summary!$P$2:$P$201,MATCH($B2582,Summary!$A$2:$A$201,0))</f>
        <v>1</v>
      </c>
      <c r="U2582" s="2" t="n">
        <f aca="false">INDEX(Summary!$Q$2:$Q$201,MATCH($B2582,Summary!$A$2:$A$201,0))</f>
        <v>11.97</v>
      </c>
      <c r="V2582" s="2" t="n">
        <f aca="false">INDEX(Summary!$R$2:$R$201,MATCH($B2582,Summary!$A$2:$A$201,0))</f>
        <v>25.9</v>
      </c>
      <c r="W2582" s="0" t="str">
        <f aca="false">INDEX(Summary!$S$2:$S$201,MATCH($B2582,Summary!$A$2:$A$201,0))</f>
        <v>Silver</v>
      </c>
      <c r="X2582" s="2" t="n">
        <f aca="false">INDEX(Summary!$T$2:$T$201,MATCH($B2582,Summary!$A$2:$A$201,0))</f>
        <v>63.17</v>
      </c>
      <c r="Y2582" s="0" t="str">
        <f aca="false">INDEX('Reward Model'!$E$18:$E$37,MATCH($E2582,'Reward Model'!$A$18:$A$37,0))</f>
        <v>Medium</v>
      </c>
      <c r="Z2582" s="4" t="n">
        <f aca="false">ROUND(MIN(1,MAX('Reward Model'!$B$2,INDEX('Reward Model'!$C$12:$C$14,MATCH($K2582,'Reward Model'!$A$12:$A$14,0))/$J2582)),3)</f>
        <v>1</v>
      </c>
      <c r="AA2582" s="2" t="n">
        <f aca="false">IF($I2582="Correct",ROUND(INDEX('Reward Model'!$B$12:$B$14,MATCH($K2582,'Reward Model'!$A$12:$A$14,0))*Z2582,2),0)</f>
        <v>1</v>
      </c>
      <c r="AB2582" s="2" t="n">
        <f aca="false">IF($I2582="Correct",ROUND(INDEX('Reward Model'!$B$12:$B$14,MATCH($Y2582,'Reward Model'!$A$12:$A$14,0))*Z2582,2),0)</f>
        <v>2</v>
      </c>
    </row>
    <row r="2583" customFormat="false" ht="15" hidden="false" customHeight="false" outlineLevel="0" collapsed="false">
      <c r="A2583" s="0" t="s">
        <v>390</v>
      </c>
      <c r="B2583" s="0" t="s">
        <v>391</v>
      </c>
      <c r="C2583" s="0" t="s">
        <v>322</v>
      </c>
      <c r="D2583" s="0" t="s">
        <v>189</v>
      </c>
      <c r="E2583" s="0" t="n">
        <v>2</v>
      </c>
      <c r="F2583" s="0" t="s">
        <v>36</v>
      </c>
      <c r="G2583" s="0" t="s">
        <v>38</v>
      </c>
      <c r="H2583" s="0" t="s">
        <v>38</v>
      </c>
      <c r="I2583" s="0" t="s">
        <v>34</v>
      </c>
      <c r="J2583" s="0" t="n">
        <v>1.89</v>
      </c>
      <c r="K2583" s="0" t="s">
        <v>35</v>
      </c>
      <c r="L2583" s="0" t="n">
        <f aca="false">INDEX(Summary!$F$2:$F$201,MATCH($B2583,Summary!$A$2:$A$201,0))</f>
        <v>20</v>
      </c>
      <c r="M2583" s="0" t="n">
        <f aca="false">INDEX(Summary!$I$2:$I$201,MATCH($B2583,Summary!$A$2:$A$201,0))</f>
        <v>2</v>
      </c>
      <c r="N2583" s="0" t="n">
        <f aca="false">INDEX(Summary!$J$2:$J$201,MATCH($B2583,Summary!$A$2:$A$201,0))</f>
        <v>3</v>
      </c>
      <c r="O2583" s="2" t="n">
        <f aca="false">INDEX(Summary!$K$2:$K$201,MATCH($B2583,Summary!$A$2:$A$201,0))</f>
        <v>9.78</v>
      </c>
      <c r="P2583" s="3" t="n">
        <f aca="false">INDEX(Summary!$L$2:$L$201,MATCH($B2583,Summary!$A$2:$A$201,0))</f>
        <v>4</v>
      </c>
      <c r="Q2583" s="3" t="n">
        <f aca="false">INDEX(Summary!$M$2:$M$201,MATCH($B2583,Summary!$A$2:$A$201,0))</f>
        <v>2</v>
      </c>
      <c r="R2583" s="2" t="n">
        <f aca="false">INDEX(Summary!$N$2:$N$201,MATCH($B2583,Summary!$A$2:$A$201,0))</f>
        <v>10.53</v>
      </c>
      <c r="S2583" s="3" t="n">
        <f aca="false">INDEX(Summary!$O$2:$O$201,MATCH($B2583,Summary!$A$2:$A$201,0))</f>
        <v>8</v>
      </c>
      <c r="T2583" s="3" t="n">
        <f aca="false">INDEX(Summary!$P$2:$P$201,MATCH($B2583,Summary!$A$2:$A$201,0))</f>
        <v>1</v>
      </c>
      <c r="U2583" s="2" t="n">
        <f aca="false">INDEX(Summary!$Q$2:$Q$201,MATCH($B2583,Summary!$A$2:$A$201,0))</f>
        <v>11.97</v>
      </c>
      <c r="V2583" s="2" t="n">
        <f aca="false">INDEX(Summary!$R$2:$R$201,MATCH($B2583,Summary!$A$2:$A$201,0))</f>
        <v>25.9</v>
      </c>
      <c r="W2583" s="0" t="str">
        <f aca="false">INDEX(Summary!$S$2:$S$201,MATCH($B2583,Summary!$A$2:$A$201,0))</f>
        <v>Silver</v>
      </c>
      <c r="X2583" s="2" t="n">
        <f aca="false">INDEX(Summary!$T$2:$T$201,MATCH($B2583,Summary!$A$2:$A$201,0))</f>
        <v>63.17</v>
      </c>
      <c r="Y2583" s="0" t="str">
        <f aca="false">INDEX('Reward Model'!$E$18:$E$37,MATCH($E2583,'Reward Model'!$A$18:$A$37,0))</f>
        <v>Low</v>
      </c>
      <c r="Z2583" s="4" t="n">
        <f aca="false">ROUND(MIN(1,MAX('Reward Model'!$B$2,INDEX('Reward Model'!$C$12:$C$14,MATCH($K2583,'Reward Model'!$A$12:$A$14,0))/$J2583)),3)</f>
        <v>0.794</v>
      </c>
      <c r="AA2583" s="2" t="n">
        <f aca="false">IF($I2583="Correct",ROUND(INDEX('Reward Model'!$B$12:$B$14,MATCH($K2583,'Reward Model'!$A$12:$A$14,0))*Z2583,2),0)</f>
        <v>0.79</v>
      </c>
      <c r="AB2583" s="2" t="n">
        <f aca="false">IF($I2583="Correct",ROUND(INDEX('Reward Model'!$B$12:$B$14,MATCH($Y2583,'Reward Model'!$A$12:$A$14,0))*Z2583,2),0)</f>
        <v>0.79</v>
      </c>
    </row>
    <row r="2584" customFormat="false" ht="15" hidden="false" customHeight="false" outlineLevel="0" collapsed="false">
      <c r="A2584" s="0" t="s">
        <v>390</v>
      </c>
      <c r="B2584" s="0" t="s">
        <v>391</v>
      </c>
      <c r="C2584" s="0" t="s">
        <v>322</v>
      </c>
      <c r="D2584" s="0" t="s">
        <v>189</v>
      </c>
      <c r="E2584" s="0" t="n">
        <v>3</v>
      </c>
      <c r="F2584" s="0" t="s">
        <v>40</v>
      </c>
      <c r="G2584" s="0" t="s">
        <v>42</v>
      </c>
      <c r="H2584" s="0" t="s">
        <v>42</v>
      </c>
      <c r="I2584" s="0" t="s">
        <v>34</v>
      </c>
      <c r="J2584" s="0" t="n">
        <v>0.94</v>
      </c>
      <c r="K2584" s="0" t="s">
        <v>35</v>
      </c>
      <c r="L2584" s="0" t="n">
        <f aca="false">INDEX(Summary!$F$2:$F$201,MATCH($B2584,Summary!$A$2:$A$201,0))</f>
        <v>20</v>
      </c>
      <c r="M2584" s="0" t="n">
        <f aca="false">INDEX(Summary!$I$2:$I$201,MATCH($B2584,Summary!$A$2:$A$201,0))</f>
        <v>2</v>
      </c>
      <c r="N2584" s="0" t="n">
        <f aca="false">INDEX(Summary!$J$2:$J$201,MATCH($B2584,Summary!$A$2:$A$201,0))</f>
        <v>3</v>
      </c>
      <c r="O2584" s="2" t="n">
        <f aca="false">INDEX(Summary!$K$2:$K$201,MATCH($B2584,Summary!$A$2:$A$201,0))</f>
        <v>9.78</v>
      </c>
      <c r="P2584" s="3" t="n">
        <f aca="false">INDEX(Summary!$L$2:$L$201,MATCH($B2584,Summary!$A$2:$A$201,0))</f>
        <v>4</v>
      </c>
      <c r="Q2584" s="3" t="n">
        <f aca="false">INDEX(Summary!$M$2:$M$201,MATCH($B2584,Summary!$A$2:$A$201,0))</f>
        <v>2</v>
      </c>
      <c r="R2584" s="2" t="n">
        <f aca="false">INDEX(Summary!$N$2:$N$201,MATCH($B2584,Summary!$A$2:$A$201,0))</f>
        <v>10.53</v>
      </c>
      <c r="S2584" s="3" t="n">
        <f aca="false">INDEX(Summary!$O$2:$O$201,MATCH($B2584,Summary!$A$2:$A$201,0))</f>
        <v>8</v>
      </c>
      <c r="T2584" s="3" t="n">
        <f aca="false">INDEX(Summary!$P$2:$P$201,MATCH($B2584,Summary!$A$2:$A$201,0))</f>
        <v>1</v>
      </c>
      <c r="U2584" s="2" t="n">
        <f aca="false">INDEX(Summary!$Q$2:$Q$201,MATCH($B2584,Summary!$A$2:$A$201,0))</f>
        <v>11.97</v>
      </c>
      <c r="V2584" s="2" t="n">
        <f aca="false">INDEX(Summary!$R$2:$R$201,MATCH($B2584,Summary!$A$2:$A$201,0))</f>
        <v>25.9</v>
      </c>
      <c r="W2584" s="0" t="str">
        <f aca="false">INDEX(Summary!$S$2:$S$201,MATCH($B2584,Summary!$A$2:$A$201,0))</f>
        <v>Silver</v>
      </c>
      <c r="X2584" s="2" t="n">
        <f aca="false">INDEX(Summary!$T$2:$T$201,MATCH($B2584,Summary!$A$2:$A$201,0))</f>
        <v>63.17</v>
      </c>
      <c r="Y2584" s="0" t="str">
        <f aca="false">INDEX('Reward Model'!$E$18:$E$37,MATCH($E2584,'Reward Model'!$A$18:$A$37,0))</f>
        <v>Medium</v>
      </c>
      <c r="Z2584" s="4" t="n">
        <f aca="false">ROUND(MIN(1,MAX('Reward Model'!$B$2,INDEX('Reward Model'!$C$12:$C$14,MATCH($K2584,'Reward Model'!$A$12:$A$14,0))/$J2584)),3)</f>
        <v>1</v>
      </c>
      <c r="AA2584" s="2" t="n">
        <f aca="false">IF($I2584="Correct",ROUND(INDEX('Reward Model'!$B$12:$B$14,MATCH($K2584,'Reward Model'!$A$12:$A$14,0))*Z2584,2),0)</f>
        <v>1</v>
      </c>
      <c r="AB2584" s="2" t="n">
        <f aca="false">IF($I2584="Correct",ROUND(INDEX('Reward Model'!$B$12:$B$14,MATCH($Y2584,'Reward Model'!$A$12:$A$14,0))*Z2584,2),0)</f>
        <v>2</v>
      </c>
    </row>
    <row r="2585" customFormat="false" ht="15" hidden="false" customHeight="false" outlineLevel="0" collapsed="false">
      <c r="A2585" s="0" t="s">
        <v>390</v>
      </c>
      <c r="B2585" s="0" t="s">
        <v>391</v>
      </c>
      <c r="C2585" s="0" t="s">
        <v>322</v>
      </c>
      <c r="D2585" s="0" t="s">
        <v>189</v>
      </c>
      <c r="E2585" s="0" t="n">
        <v>4</v>
      </c>
      <c r="F2585" s="0" t="s">
        <v>43</v>
      </c>
      <c r="G2585" s="0" t="s">
        <v>45</v>
      </c>
      <c r="H2585" s="0" t="s">
        <v>45</v>
      </c>
      <c r="I2585" s="0" t="s">
        <v>34</v>
      </c>
      <c r="J2585" s="0" t="n">
        <v>1.72</v>
      </c>
      <c r="K2585" s="0" t="s">
        <v>35</v>
      </c>
      <c r="L2585" s="0" t="n">
        <f aca="false">INDEX(Summary!$F$2:$F$201,MATCH($B2585,Summary!$A$2:$A$201,0))</f>
        <v>20</v>
      </c>
      <c r="M2585" s="0" t="n">
        <f aca="false">INDEX(Summary!$I$2:$I$201,MATCH($B2585,Summary!$A$2:$A$201,0))</f>
        <v>2</v>
      </c>
      <c r="N2585" s="0" t="n">
        <f aca="false">INDEX(Summary!$J$2:$J$201,MATCH($B2585,Summary!$A$2:$A$201,0))</f>
        <v>3</v>
      </c>
      <c r="O2585" s="2" t="n">
        <f aca="false">INDEX(Summary!$K$2:$K$201,MATCH($B2585,Summary!$A$2:$A$201,0))</f>
        <v>9.78</v>
      </c>
      <c r="P2585" s="3" t="n">
        <f aca="false">INDEX(Summary!$L$2:$L$201,MATCH($B2585,Summary!$A$2:$A$201,0))</f>
        <v>4</v>
      </c>
      <c r="Q2585" s="3" t="n">
        <f aca="false">INDEX(Summary!$M$2:$M$201,MATCH($B2585,Summary!$A$2:$A$201,0))</f>
        <v>2</v>
      </c>
      <c r="R2585" s="2" t="n">
        <f aca="false">INDEX(Summary!$N$2:$N$201,MATCH($B2585,Summary!$A$2:$A$201,0))</f>
        <v>10.53</v>
      </c>
      <c r="S2585" s="3" t="n">
        <f aca="false">INDEX(Summary!$O$2:$O$201,MATCH($B2585,Summary!$A$2:$A$201,0))</f>
        <v>8</v>
      </c>
      <c r="T2585" s="3" t="n">
        <f aca="false">INDEX(Summary!$P$2:$P$201,MATCH($B2585,Summary!$A$2:$A$201,0))</f>
        <v>1</v>
      </c>
      <c r="U2585" s="2" t="n">
        <f aca="false">INDEX(Summary!$Q$2:$Q$201,MATCH($B2585,Summary!$A$2:$A$201,0))</f>
        <v>11.97</v>
      </c>
      <c r="V2585" s="2" t="n">
        <f aca="false">INDEX(Summary!$R$2:$R$201,MATCH($B2585,Summary!$A$2:$A$201,0))</f>
        <v>25.9</v>
      </c>
      <c r="W2585" s="0" t="str">
        <f aca="false">INDEX(Summary!$S$2:$S$201,MATCH($B2585,Summary!$A$2:$A$201,0))</f>
        <v>Silver</v>
      </c>
      <c r="X2585" s="2" t="n">
        <f aca="false">INDEX(Summary!$T$2:$T$201,MATCH($B2585,Summary!$A$2:$A$201,0))</f>
        <v>63.17</v>
      </c>
      <c r="Y2585" s="0" t="str">
        <f aca="false">INDEX('Reward Model'!$E$18:$E$37,MATCH($E2585,'Reward Model'!$A$18:$A$37,0))</f>
        <v>Low</v>
      </c>
      <c r="Z2585" s="4" t="n">
        <f aca="false">ROUND(MIN(1,MAX('Reward Model'!$B$2,INDEX('Reward Model'!$C$12:$C$14,MATCH($K2585,'Reward Model'!$A$12:$A$14,0))/$J2585)),3)</f>
        <v>0.872</v>
      </c>
      <c r="AA2585" s="2" t="n">
        <f aca="false">IF($I2585="Correct",ROUND(INDEX('Reward Model'!$B$12:$B$14,MATCH($K2585,'Reward Model'!$A$12:$A$14,0))*Z2585,2),0)</f>
        <v>0.87</v>
      </c>
      <c r="AB2585" s="2" t="n">
        <f aca="false">IF($I2585="Correct",ROUND(INDEX('Reward Model'!$B$12:$B$14,MATCH($Y2585,'Reward Model'!$A$12:$A$14,0))*Z2585,2),0)</f>
        <v>0.87</v>
      </c>
    </row>
    <row r="2586" customFormat="false" ht="15" hidden="false" customHeight="false" outlineLevel="0" collapsed="false">
      <c r="A2586" s="0" t="s">
        <v>390</v>
      </c>
      <c r="B2586" s="0" t="s">
        <v>391</v>
      </c>
      <c r="C2586" s="0" t="s">
        <v>322</v>
      </c>
      <c r="D2586" s="0" t="s">
        <v>189</v>
      </c>
      <c r="E2586" s="0" t="n">
        <v>5</v>
      </c>
      <c r="F2586" s="0" t="s">
        <v>46</v>
      </c>
      <c r="G2586" s="0" t="s">
        <v>149</v>
      </c>
      <c r="H2586" s="0" t="s">
        <v>47</v>
      </c>
      <c r="I2586" s="0" t="s">
        <v>39</v>
      </c>
      <c r="J2586" s="0" t="n">
        <v>1.56</v>
      </c>
      <c r="K2586" s="0" t="s">
        <v>35</v>
      </c>
      <c r="L2586" s="0" t="n">
        <f aca="false">INDEX(Summary!$F$2:$F$201,MATCH($B2586,Summary!$A$2:$A$201,0))</f>
        <v>20</v>
      </c>
      <c r="M2586" s="0" t="n">
        <f aca="false">INDEX(Summary!$I$2:$I$201,MATCH($B2586,Summary!$A$2:$A$201,0))</f>
        <v>2</v>
      </c>
      <c r="N2586" s="0" t="n">
        <f aca="false">INDEX(Summary!$J$2:$J$201,MATCH($B2586,Summary!$A$2:$A$201,0))</f>
        <v>3</v>
      </c>
      <c r="O2586" s="2" t="n">
        <f aca="false">INDEX(Summary!$K$2:$K$201,MATCH($B2586,Summary!$A$2:$A$201,0))</f>
        <v>9.78</v>
      </c>
      <c r="P2586" s="3" t="n">
        <f aca="false">INDEX(Summary!$L$2:$L$201,MATCH($B2586,Summary!$A$2:$A$201,0))</f>
        <v>4</v>
      </c>
      <c r="Q2586" s="3" t="n">
        <f aca="false">INDEX(Summary!$M$2:$M$201,MATCH($B2586,Summary!$A$2:$A$201,0))</f>
        <v>2</v>
      </c>
      <c r="R2586" s="2" t="n">
        <f aca="false">INDEX(Summary!$N$2:$N$201,MATCH($B2586,Summary!$A$2:$A$201,0))</f>
        <v>10.53</v>
      </c>
      <c r="S2586" s="3" t="n">
        <f aca="false">INDEX(Summary!$O$2:$O$201,MATCH($B2586,Summary!$A$2:$A$201,0))</f>
        <v>8</v>
      </c>
      <c r="T2586" s="3" t="n">
        <f aca="false">INDEX(Summary!$P$2:$P$201,MATCH($B2586,Summary!$A$2:$A$201,0))</f>
        <v>1</v>
      </c>
      <c r="U2586" s="2" t="n">
        <f aca="false">INDEX(Summary!$Q$2:$Q$201,MATCH($B2586,Summary!$A$2:$A$201,0))</f>
        <v>11.97</v>
      </c>
      <c r="V2586" s="2" t="n">
        <f aca="false">INDEX(Summary!$R$2:$R$201,MATCH($B2586,Summary!$A$2:$A$201,0))</f>
        <v>25.9</v>
      </c>
      <c r="W2586" s="0" t="str">
        <f aca="false">INDEX(Summary!$S$2:$S$201,MATCH($B2586,Summary!$A$2:$A$201,0))</f>
        <v>Silver</v>
      </c>
      <c r="X2586" s="2" t="n">
        <f aca="false">INDEX(Summary!$T$2:$T$201,MATCH($B2586,Summary!$A$2:$A$201,0))</f>
        <v>63.17</v>
      </c>
      <c r="Y2586" s="0" t="str">
        <f aca="false">INDEX('Reward Model'!$E$18:$E$37,MATCH($E2586,'Reward Model'!$A$18:$A$37,0))</f>
        <v>Low</v>
      </c>
      <c r="Z2586" s="4" t="n">
        <f aca="false">ROUND(MIN(1,MAX('Reward Model'!$B$2,INDEX('Reward Model'!$C$12:$C$14,MATCH($K2586,'Reward Model'!$A$12:$A$14,0))/$J2586)),3)</f>
        <v>0.962</v>
      </c>
      <c r="AA2586" s="2" t="n">
        <f aca="false">IF($I2586="Correct",ROUND(INDEX('Reward Model'!$B$12:$B$14,MATCH($K2586,'Reward Model'!$A$12:$A$14,0))*Z2586,2),0)</f>
        <v>0</v>
      </c>
      <c r="AB2586" s="2" t="n">
        <f aca="false">IF($I2586="Correct",ROUND(INDEX('Reward Model'!$B$12:$B$14,MATCH($Y2586,'Reward Model'!$A$12:$A$14,0))*Z2586,2),0)</f>
        <v>0</v>
      </c>
    </row>
    <row r="2587" customFormat="false" ht="15" hidden="false" customHeight="false" outlineLevel="0" collapsed="false">
      <c r="A2587" s="0" t="s">
        <v>390</v>
      </c>
      <c r="B2587" s="0" t="s">
        <v>391</v>
      </c>
      <c r="C2587" s="0" t="s">
        <v>322</v>
      </c>
      <c r="D2587" s="0" t="s">
        <v>189</v>
      </c>
      <c r="E2587" s="0" t="n">
        <v>6</v>
      </c>
      <c r="F2587" s="0" t="s">
        <v>48</v>
      </c>
      <c r="G2587" s="0" t="s">
        <v>49</v>
      </c>
      <c r="H2587" s="0" t="s">
        <v>49</v>
      </c>
      <c r="I2587" s="0" t="s">
        <v>34</v>
      </c>
      <c r="J2587" s="0" t="n">
        <v>0.95</v>
      </c>
      <c r="K2587" s="0" t="s">
        <v>35</v>
      </c>
      <c r="L2587" s="0" t="n">
        <f aca="false">INDEX(Summary!$F$2:$F$201,MATCH($B2587,Summary!$A$2:$A$201,0))</f>
        <v>20</v>
      </c>
      <c r="M2587" s="0" t="n">
        <f aca="false">INDEX(Summary!$I$2:$I$201,MATCH($B2587,Summary!$A$2:$A$201,0))</f>
        <v>2</v>
      </c>
      <c r="N2587" s="0" t="n">
        <f aca="false">INDEX(Summary!$J$2:$J$201,MATCH($B2587,Summary!$A$2:$A$201,0))</f>
        <v>3</v>
      </c>
      <c r="O2587" s="2" t="n">
        <f aca="false">INDEX(Summary!$K$2:$K$201,MATCH($B2587,Summary!$A$2:$A$201,0))</f>
        <v>9.78</v>
      </c>
      <c r="P2587" s="3" t="n">
        <f aca="false">INDEX(Summary!$L$2:$L$201,MATCH($B2587,Summary!$A$2:$A$201,0))</f>
        <v>4</v>
      </c>
      <c r="Q2587" s="3" t="n">
        <f aca="false">INDEX(Summary!$M$2:$M$201,MATCH($B2587,Summary!$A$2:$A$201,0))</f>
        <v>2</v>
      </c>
      <c r="R2587" s="2" t="n">
        <f aca="false">INDEX(Summary!$N$2:$N$201,MATCH($B2587,Summary!$A$2:$A$201,0))</f>
        <v>10.53</v>
      </c>
      <c r="S2587" s="3" t="n">
        <f aca="false">INDEX(Summary!$O$2:$O$201,MATCH($B2587,Summary!$A$2:$A$201,0))</f>
        <v>8</v>
      </c>
      <c r="T2587" s="3" t="n">
        <f aca="false">INDEX(Summary!$P$2:$P$201,MATCH($B2587,Summary!$A$2:$A$201,0))</f>
        <v>1</v>
      </c>
      <c r="U2587" s="2" t="n">
        <f aca="false">INDEX(Summary!$Q$2:$Q$201,MATCH($B2587,Summary!$A$2:$A$201,0))</f>
        <v>11.97</v>
      </c>
      <c r="V2587" s="2" t="n">
        <f aca="false">INDEX(Summary!$R$2:$R$201,MATCH($B2587,Summary!$A$2:$A$201,0))</f>
        <v>25.9</v>
      </c>
      <c r="W2587" s="0" t="str">
        <f aca="false">INDEX(Summary!$S$2:$S$201,MATCH($B2587,Summary!$A$2:$A$201,0))</f>
        <v>Silver</v>
      </c>
      <c r="X2587" s="2" t="n">
        <f aca="false">INDEX(Summary!$T$2:$T$201,MATCH($B2587,Summary!$A$2:$A$201,0))</f>
        <v>63.17</v>
      </c>
      <c r="Y2587" s="0" t="str">
        <f aca="false">INDEX('Reward Model'!$E$18:$E$37,MATCH($E2587,'Reward Model'!$A$18:$A$37,0))</f>
        <v>Medium</v>
      </c>
      <c r="Z2587" s="4" t="n">
        <f aca="false">ROUND(MIN(1,MAX('Reward Model'!$B$2,INDEX('Reward Model'!$C$12:$C$14,MATCH($K2587,'Reward Model'!$A$12:$A$14,0))/$J2587)),3)</f>
        <v>1</v>
      </c>
      <c r="AA2587" s="2" t="n">
        <f aca="false">IF($I2587="Correct",ROUND(INDEX('Reward Model'!$B$12:$B$14,MATCH($K2587,'Reward Model'!$A$12:$A$14,0))*Z2587,2),0)</f>
        <v>1</v>
      </c>
      <c r="AB2587" s="2" t="n">
        <f aca="false">IF($I2587="Correct",ROUND(INDEX('Reward Model'!$B$12:$B$14,MATCH($Y2587,'Reward Model'!$A$12:$A$14,0))*Z2587,2),0)</f>
        <v>2</v>
      </c>
    </row>
    <row r="2588" customFormat="false" ht="15" hidden="false" customHeight="false" outlineLevel="0" collapsed="false">
      <c r="A2588" s="0" t="s">
        <v>390</v>
      </c>
      <c r="B2588" s="0" t="s">
        <v>391</v>
      </c>
      <c r="C2588" s="0" t="s">
        <v>322</v>
      </c>
      <c r="D2588" s="0" t="s">
        <v>189</v>
      </c>
      <c r="E2588" s="0" t="n">
        <v>7</v>
      </c>
      <c r="F2588" s="0" t="s">
        <v>50</v>
      </c>
      <c r="G2588" s="0" t="s">
        <v>51</v>
      </c>
      <c r="H2588" s="0" t="s">
        <v>51</v>
      </c>
      <c r="I2588" s="0" t="s">
        <v>34</v>
      </c>
      <c r="J2588" s="0" t="n">
        <v>0.97</v>
      </c>
      <c r="K2588" s="0" t="s">
        <v>35</v>
      </c>
      <c r="L2588" s="0" t="n">
        <f aca="false">INDEX(Summary!$F$2:$F$201,MATCH($B2588,Summary!$A$2:$A$201,0))</f>
        <v>20</v>
      </c>
      <c r="M2588" s="0" t="n">
        <f aca="false">INDEX(Summary!$I$2:$I$201,MATCH($B2588,Summary!$A$2:$A$201,0))</f>
        <v>2</v>
      </c>
      <c r="N2588" s="0" t="n">
        <f aca="false">INDEX(Summary!$J$2:$J$201,MATCH($B2588,Summary!$A$2:$A$201,0))</f>
        <v>3</v>
      </c>
      <c r="O2588" s="2" t="n">
        <f aca="false">INDEX(Summary!$K$2:$K$201,MATCH($B2588,Summary!$A$2:$A$201,0))</f>
        <v>9.78</v>
      </c>
      <c r="P2588" s="3" t="n">
        <f aca="false">INDEX(Summary!$L$2:$L$201,MATCH($B2588,Summary!$A$2:$A$201,0))</f>
        <v>4</v>
      </c>
      <c r="Q2588" s="3" t="n">
        <f aca="false">INDEX(Summary!$M$2:$M$201,MATCH($B2588,Summary!$A$2:$A$201,0))</f>
        <v>2</v>
      </c>
      <c r="R2588" s="2" t="n">
        <f aca="false">INDEX(Summary!$N$2:$N$201,MATCH($B2588,Summary!$A$2:$A$201,0))</f>
        <v>10.53</v>
      </c>
      <c r="S2588" s="3" t="n">
        <f aca="false">INDEX(Summary!$O$2:$O$201,MATCH($B2588,Summary!$A$2:$A$201,0))</f>
        <v>8</v>
      </c>
      <c r="T2588" s="3" t="n">
        <f aca="false">INDEX(Summary!$P$2:$P$201,MATCH($B2588,Summary!$A$2:$A$201,0))</f>
        <v>1</v>
      </c>
      <c r="U2588" s="2" t="n">
        <f aca="false">INDEX(Summary!$Q$2:$Q$201,MATCH($B2588,Summary!$A$2:$A$201,0))</f>
        <v>11.97</v>
      </c>
      <c r="V2588" s="2" t="n">
        <f aca="false">INDEX(Summary!$R$2:$R$201,MATCH($B2588,Summary!$A$2:$A$201,0))</f>
        <v>25.9</v>
      </c>
      <c r="W2588" s="0" t="str">
        <f aca="false">INDEX(Summary!$S$2:$S$201,MATCH($B2588,Summary!$A$2:$A$201,0))</f>
        <v>Silver</v>
      </c>
      <c r="X2588" s="2" t="n">
        <f aca="false">INDEX(Summary!$T$2:$T$201,MATCH($B2588,Summary!$A$2:$A$201,0))</f>
        <v>63.17</v>
      </c>
      <c r="Y2588" s="0" t="str">
        <f aca="false">INDEX('Reward Model'!$E$18:$E$37,MATCH($E2588,'Reward Model'!$A$18:$A$37,0))</f>
        <v>Low</v>
      </c>
      <c r="Z2588" s="4" t="n">
        <f aca="false">ROUND(MIN(1,MAX('Reward Model'!$B$2,INDEX('Reward Model'!$C$12:$C$14,MATCH($K2588,'Reward Model'!$A$12:$A$14,0))/$J2588)),3)</f>
        <v>1</v>
      </c>
      <c r="AA2588" s="2" t="n">
        <f aca="false">IF($I2588="Correct",ROUND(INDEX('Reward Model'!$B$12:$B$14,MATCH($K2588,'Reward Model'!$A$12:$A$14,0))*Z2588,2),0)</f>
        <v>1</v>
      </c>
      <c r="AB2588" s="2" t="n">
        <f aca="false">IF($I2588="Correct",ROUND(INDEX('Reward Model'!$B$12:$B$14,MATCH($Y2588,'Reward Model'!$A$12:$A$14,0))*Z2588,2),0)</f>
        <v>1</v>
      </c>
    </row>
    <row r="2589" customFormat="false" ht="15" hidden="false" customHeight="false" outlineLevel="0" collapsed="false">
      <c r="A2589" s="0" t="s">
        <v>390</v>
      </c>
      <c r="B2589" s="0" t="s">
        <v>391</v>
      </c>
      <c r="C2589" s="0" t="s">
        <v>322</v>
      </c>
      <c r="D2589" s="0" t="s">
        <v>189</v>
      </c>
      <c r="E2589" s="0" t="n">
        <v>8</v>
      </c>
      <c r="F2589" s="0" t="s">
        <v>52</v>
      </c>
      <c r="G2589" s="0" t="s">
        <v>54</v>
      </c>
      <c r="H2589" s="0" t="s">
        <v>54</v>
      </c>
      <c r="I2589" s="0" t="s">
        <v>34</v>
      </c>
      <c r="J2589" s="0" t="n">
        <v>1.92</v>
      </c>
      <c r="K2589" s="0" t="s">
        <v>35</v>
      </c>
      <c r="L2589" s="0" t="n">
        <f aca="false">INDEX(Summary!$F$2:$F$201,MATCH($B2589,Summary!$A$2:$A$201,0))</f>
        <v>20</v>
      </c>
      <c r="M2589" s="0" t="n">
        <f aca="false">INDEX(Summary!$I$2:$I$201,MATCH($B2589,Summary!$A$2:$A$201,0))</f>
        <v>2</v>
      </c>
      <c r="N2589" s="0" t="n">
        <f aca="false">INDEX(Summary!$J$2:$J$201,MATCH($B2589,Summary!$A$2:$A$201,0))</f>
        <v>3</v>
      </c>
      <c r="O2589" s="2" t="n">
        <f aca="false">INDEX(Summary!$K$2:$K$201,MATCH($B2589,Summary!$A$2:$A$201,0))</f>
        <v>9.78</v>
      </c>
      <c r="P2589" s="3" t="n">
        <f aca="false">INDEX(Summary!$L$2:$L$201,MATCH($B2589,Summary!$A$2:$A$201,0))</f>
        <v>4</v>
      </c>
      <c r="Q2589" s="3" t="n">
        <f aca="false">INDEX(Summary!$M$2:$M$201,MATCH($B2589,Summary!$A$2:$A$201,0))</f>
        <v>2</v>
      </c>
      <c r="R2589" s="2" t="n">
        <f aca="false">INDEX(Summary!$N$2:$N$201,MATCH($B2589,Summary!$A$2:$A$201,0))</f>
        <v>10.53</v>
      </c>
      <c r="S2589" s="3" t="n">
        <f aca="false">INDEX(Summary!$O$2:$O$201,MATCH($B2589,Summary!$A$2:$A$201,0))</f>
        <v>8</v>
      </c>
      <c r="T2589" s="3" t="n">
        <f aca="false">INDEX(Summary!$P$2:$P$201,MATCH($B2589,Summary!$A$2:$A$201,0))</f>
        <v>1</v>
      </c>
      <c r="U2589" s="2" t="n">
        <f aca="false">INDEX(Summary!$Q$2:$Q$201,MATCH($B2589,Summary!$A$2:$A$201,0))</f>
        <v>11.97</v>
      </c>
      <c r="V2589" s="2" t="n">
        <f aca="false">INDEX(Summary!$R$2:$R$201,MATCH($B2589,Summary!$A$2:$A$201,0))</f>
        <v>25.9</v>
      </c>
      <c r="W2589" s="0" t="str">
        <f aca="false">INDEX(Summary!$S$2:$S$201,MATCH($B2589,Summary!$A$2:$A$201,0))</f>
        <v>Silver</v>
      </c>
      <c r="X2589" s="2" t="n">
        <f aca="false">INDEX(Summary!$T$2:$T$201,MATCH($B2589,Summary!$A$2:$A$201,0))</f>
        <v>63.17</v>
      </c>
      <c r="Y2589" s="0" t="str">
        <f aca="false">INDEX('Reward Model'!$E$18:$E$37,MATCH($E2589,'Reward Model'!$A$18:$A$37,0))</f>
        <v>Medium</v>
      </c>
      <c r="Z2589" s="4" t="n">
        <f aca="false">ROUND(MIN(1,MAX('Reward Model'!$B$2,INDEX('Reward Model'!$C$12:$C$14,MATCH($K2589,'Reward Model'!$A$12:$A$14,0))/$J2589)),3)</f>
        <v>0.781</v>
      </c>
      <c r="AA2589" s="2" t="n">
        <f aca="false">IF($I2589="Correct",ROUND(INDEX('Reward Model'!$B$12:$B$14,MATCH($K2589,'Reward Model'!$A$12:$A$14,0))*Z2589,2),0)</f>
        <v>0.78</v>
      </c>
      <c r="AB2589" s="2" t="n">
        <f aca="false">IF($I2589="Correct",ROUND(INDEX('Reward Model'!$B$12:$B$14,MATCH($Y2589,'Reward Model'!$A$12:$A$14,0))*Z2589,2),0)</f>
        <v>1.56</v>
      </c>
    </row>
    <row r="2590" customFormat="false" ht="15" hidden="false" customHeight="false" outlineLevel="0" collapsed="false">
      <c r="A2590" s="0" t="s">
        <v>390</v>
      </c>
      <c r="B2590" s="0" t="s">
        <v>391</v>
      </c>
      <c r="C2590" s="0" t="s">
        <v>322</v>
      </c>
      <c r="D2590" s="0" t="s">
        <v>189</v>
      </c>
      <c r="E2590" s="0" t="n">
        <v>9</v>
      </c>
      <c r="F2590" s="0" t="s">
        <v>55</v>
      </c>
      <c r="G2590" s="0" t="s">
        <v>57</v>
      </c>
      <c r="H2590" s="0" t="s">
        <v>57</v>
      </c>
      <c r="I2590" s="0" t="s">
        <v>34</v>
      </c>
      <c r="J2590" s="0" t="n">
        <v>1.08</v>
      </c>
      <c r="K2590" s="0" t="s">
        <v>35</v>
      </c>
      <c r="L2590" s="0" t="n">
        <f aca="false">INDEX(Summary!$F$2:$F$201,MATCH($B2590,Summary!$A$2:$A$201,0))</f>
        <v>20</v>
      </c>
      <c r="M2590" s="0" t="n">
        <f aca="false">INDEX(Summary!$I$2:$I$201,MATCH($B2590,Summary!$A$2:$A$201,0))</f>
        <v>2</v>
      </c>
      <c r="N2590" s="0" t="n">
        <f aca="false">INDEX(Summary!$J$2:$J$201,MATCH($B2590,Summary!$A$2:$A$201,0))</f>
        <v>3</v>
      </c>
      <c r="O2590" s="2" t="n">
        <f aca="false">INDEX(Summary!$K$2:$K$201,MATCH($B2590,Summary!$A$2:$A$201,0))</f>
        <v>9.78</v>
      </c>
      <c r="P2590" s="3" t="n">
        <f aca="false">INDEX(Summary!$L$2:$L$201,MATCH($B2590,Summary!$A$2:$A$201,0))</f>
        <v>4</v>
      </c>
      <c r="Q2590" s="3" t="n">
        <f aca="false">INDEX(Summary!$M$2:$M$201,MATCH($B2590,Summary!$A$2:$A$201,0))</f>
        <v>2</v>
      </c>
      <c r="R2590" s="2" t="n">
        <f aca="false">INDEX(Summary!$N$2:$N$201,MATCH($B2590,Summary!$A$2:$A$201,0))</f>
        <v>10.53</v>
      </c>
      <c r="S2590" s="3" t="n">
        <f aca="false">INDEX(Summary!$O$2:$O$201,MATCH($B2590,Summary!$A$2:$A$201,0))</f>
        <v>8</v>
      </c>
      <c r="T2590" s="3" t="n">
        <f aca="false">INDEX(Summary!$P$2:$P$201,MATCH($B2590,Summary!$A$2:$A$201,0))</f>
        <v>1</v>
      </c>
      <c r="U2590" s="2" t="n">
        <f aca="false">INDEX(Summary!$Q$2:$Q$201,MATCH($B2590,Summary!$A$2:$A$201,0))</f>
        <v>11.97</v>
      </c>
      <c r="V2590" s="2" t="n">
        <f aca="false">INDEX(Summary!$R$2:$R$201,MATCH($B2590,Summary!$A$2:$A$201,0))</f>
        <v>25.9</v>
      </c>
      <c r="W2590" s="0" t="str">
        <f aca="false">INDEX(Summary!$S$2:$S$201,MATCH($B2590,Summary!$A$2:$A$201,0))</f>
        <v>Silver</v>
      </c>
      <c r="X2590" s="2" t="n">
        <f aca="false">INDEX(Summary!$T$2:$T$201,MATCH($B2590,Summary!$A$2:$A$201,0))</f>
        <v>63.17</v>
      </c>
      <c r="Y2590" s="0" t="str">
        <f aca="false">INDEX('Reward Model'!$E$18:$E$37,MATCH($E2590,'Reward Model'!$A$18:$A$37,0))</f>
        <v>Medium</v>
      </c>
      <c r="Z2590" s="4" t="n">
        <f aca="false">ROUND(MIN(1,MAX('Reward Model'!$B$2,INDEX('Reward Model'!$C$12:$C$14,MATCH($K2590,'Reward Model'!$A$12:$A$14,0))/$J2590)),3)</f>
        <v>1</v>
      </c>
      <c r="AA2590" s="2" t="n">
        <f aca="false">IF($I2590="Correct",ROUND(INDEX('Reward Model'!$B$12:$B$14,MATCH($K2590,'Reward Model'!$A$12:$A$14,0))*Z2590,2),0)</f>
        <v>1</v>
      </c>
      <c r="AB2590" s="2" t="n">
        <f aca="false">IF($I2590="Correct",ROUND(INDEX('Reward Model'!$B$12:$B$14,MATCH($Y2590,'Reward Model'!$A$12:$A$14,0))*Z2590,2),0)</f>
        <v>2</v>
      </c>
    </row>
    <row r="2591" customFormat="false" ht="15" hidden="false" customHeight="false" outlineLevel="0" collapsed="false">
      <c r="A2591" s="0" t="s">
        <v>390</v>
      </c>
      <c r="B2591" s="0" t="s">
        <v>391</v>
      </c>
      <c r="C2591" s="0" t="s">
        <v>322</v>
      </c>
      <c r="D2591" s="0" t="s">
        <v>189</v>
      </c>
      <c r="E2591" s="0" t="n">
        <v>10</v>
      </c>
      <c r="F2591" s="0" t="s">
        <v>58</v>
      </c>
      <c r="G2591" s="0" t="s">
        <v>59</v>
      </c>
      <c r="H2591" s="0" t="s">
        <v>59</v>
      </c>
      <c r="I2591" s="0" t="s">
        <v>34</v>
      </c>
      <c r="J2591" s="0" t="n">
        <v>1.59</v>
      </c>
      <c r="K2591" s="0" t="s">
        <v>60</v>
      </c>
      <c r="L2591" s="0" t="n">
        <f aca="false">INDEX(Summary!$F$2:$F$201,MATCH($B2591,Summary!$A$2:$A$201,0))</f>
        <v>20</v>
      </c>
      <c r="M2591" s="0" t="n">
        <f aca="false">INDEX(Summary!$I$2:$I$201,MATCH($B2591,Summary!$A$2:$A$201,0))</f>
        <v>2</v>
      </c>
      <c r="N2591" s="0" t="n">
        <f aca="false">INDEX(Summary!$J$2:$J$201,MATCH($B2591,Summary!$A$2:$A$201,0))</f>
        <v>3</v>
      </c>
      <c r="O2591" s="2" t="n">
        <f aca="false">INDEX(Summary!$K$2:$K$201,MATCH($B2591,Summary!$A$2:$A$201,0))</f>
        <v>9.78</v>
      </c>
      <c r="P2591" s="3" t="n">
        <f aca="false">INDEX(Summary!$L$2:$L$201,MATCH($B2591,Summary!$A$2:$A$201,0))</f>
        <v>4</v>
      </c>
      <c r="Q2591" s="3" t="n">
        <f aca="false">INDEX(Summary!$M$2:$M$201,MATCH($B2591,Summary!$A$2:$A$201,0))</f>
        <v>2</v>
      </c>
      <c r="R2591" s="2" t="n">
        <f aca="false">INDEX(Summary!$N$2:$N$201,MATCH($B2591,Summary!$A$2:$A$201,0))</f>
        <v>10.53</v>
      </c>
      <c r="S2591" s="3" t="n">
        <f aca="false">INDEX(Summary!$O$2:$O$201,MATCH($B2591,Summary!$A$2:$A$201,0))</f>
        <v>8</v>
      </c>
      <c r="T2591" s="3" t="n">
        <f aca="false">INDEX(Summary!$P$2:$P$201,MATCH($B2591,Summary!$A$2:$A$201,0))</f>
        <v>1</v>
      </c>
      <c r="U2591" s="2" t="n">
        <f aca="false">INDEX(Summary!$Q$2:$Q$201,MATCH($B2591,Summary!$A$2:$A$201,0))</f>
        <v>11.97</v>
      </c>
      <c r="V2591" s="2" t="n">
        <f aca="false">INDEX(Summary!$R$2:$R$201,MATCH($B2591,Summary!$A$2:$A$201,0))</f>
        <v>25.9</v>
      </c>
      <c r="W2591" s="0" t="str">
        <f aca="false">INDEX(Summary!$S$2:$S$201,MATCH($B2591,Summary!$A$2:$A$201,0))</f>
        <v>Silver</v>
      </c>
      <c r="X2591" s="2" t="n">
        <f aca="false">INDEX(Summary!$T$2:$T$201,MATCH($B2591,Summary!$A$2:$A$201,0))</f>
        <v>63.17</v>
      </c>
      <c r="Y2591" s="0" t="str">
        <f aca="false">INDEX('Reward Model'!$E$18:$E$37,MATCH($E2591,'Reward Model'!$A$18:$A$37,0))</f>
        <v>Medium</v>
      </c>
      <c r="Z2591" s="4" t="n">
        <f aca="false">ROUND(MIN(1,MAX('Reward Model'!$B$2,INDEX('Reward Model'!$C$12:$C$14,MATCH($K2591,'Reward Model'!$A$12:$A$14,0))/$J2591)),3)</f>
        <v>1</v>
      </c>
      <c r="AA2591" s="2" t="n">
        <f aca="false">IF($I2591="Correct",ROUND(INDEX('Reward Model'!$B$12:$B$14,MATCH($K2591,'Reward Model'!$A$12:$A$14,0))*Z2591,2),0)</f>
        <v>2</v>
      </c>
      <c r="AB2591" s="2" t="n">
        <f aca="false">IF($I2591="Correct",ROUND(INDEX('Reward Model'!$B$12:$B$14,MATCH($Y2591,'Reward Model'!$A$12:$A$14,0))*Z2591,2),0)</f>
        <v>2</v>
      </c>
    </row>
    <row r="2592" customFormat="false" ht="15" hidden="false" customHeight="false" outlineLevel="0" collapsed="false">
      <c r="A2592" s="0" t="s">
        <v>390</v>
      </c>
      <c r="B2592" s="0" t="s">
        <v>391</v>
      </c>
      <c r="C2592" s="0" t="s">
        <v>322</v>
      </c>
      <c r="D2592" s="0" t="s">
        <v>189</v>
      </c>
      <c r="E2592" s="0" t="n">
        <v>11</v>
      </c>
      <c r="F2592" s="0" t="s">
        <v>61</v>
      </c>
      <c r="G2592" s="0" t="s">
        <v>145</v>
      </c>
      <c r="H2592" s="0" t="s">
        <v>63</v>
      </c>
      <c r="I2592" s="0" t="s">
        <v>39</v>
      </c>
      <c r="J2592" s="0" t="n">
        <v>2</v>
      </c>
      <c r="K2592" s="0" t="s">
        <v>60</v>
      </c>
      <c r="L2592" s="0" t="n">
        <f aca="false">INDEX(Summary!$F$2:$F$201,MATCH($B2592,Summary!$A$2:$A$201,0))</f>
        <v>20</v>
      </c>
      <c r="M2592" s="0" t="n">
        <f aca="false">INDEX(Summary!$I$2:$I$201,MATCH($B2592,Summary!$A$2:$A$201,0))</f>
        <v>2</v>
      </c>
      <c r="N2592" s="0" t="n">
        <f aca="false">INDEX(Summary!$J$2:$J$201,MATCH($B2592,Summary!$A$2:$A$201,0))</f>
        <v>3</v>
      </c>
      <c r="O2592" s="2" t="n">
        <f aca="false">INDEX(Summary!$K$2:$K$201,MATCH($B2592,Summary!$A$2:$A$201,0))</f>
        <v>9.78</v>
      </c>
      <c r="P2592" s="3" t="n">
        <f aca="false">INDEX(Summary!$L$2:$L$201,MATCH($B2592,Summary!$A$2:$A$201,0))</f>
        <v>4</v>
      </c>
      <c r="Q2592" s="3" t="n">
        <f aca="false">INDEX(Summary!$M$2:$M$201,MATCH($B2592,Summary!$A$2:$A$201,0))</f>
        <v>2</v>
      </c>
      <c r="R2592" s="2" t="n">
        <f aca="false">INDEX(Summary!$N$2:$N$201,MATCH($B2592,Summary!$A$2:$A$201,0))</f>
        <v>10.53</v>
      </c>
      <c r="S2592" s="3" t="n">
        <f aca="false">INDEX(Summary!$O$2:$O$201,MATCH($B2592,Summary!$A$2:$A$201,0))</f>
        <v>8</v>
      </c>
      <c r="T2592" s="3" t="n">
        <f aca="false">INDEX(Summary!$P$2:$P$201,MATCH($B2592,Summary!$A$2:$A$201,0))</f>
        <v>1</v>
      </c>
      <c r="U2592" s="2" t="n">
        <f aca="false">INDEX(Summary!$Q$2:$Q$201,MATCH($B2592,Summary!$A$2:$A$201,0))</f>
        <v>11.97</v>
      </c>
      <c r="V2592" s="2" t="n">
        <f aca="false">INDEX(Summary!$R$2:$R$201,MATCH($B2592,Summary!$A$2:$A$201,0))</f>
        <v>25.9</v>
      </c>
      <c r="W2592" s="0" t="str">
        <f aca="false">INDEX(Summary!$S$2:$S$201,MATCH($B2592,Summary!$A$2:$A$201,0))</f>
        <v>Silver</v>
      </c>
      <c r="X2592" s="2" t="n">
        <f aca="false">INDEX(Summary!$T$2:$T$201,MATCH($B2592,Summary!$A$2:$A$201,0))</f>
        <v>63.17</v>
      </c>
      <c r="Y2592" s="0" t="str">
        <f aca="false">INDEX('Reward Model'!$E$18:$E$37,MATCH($E2592,'Reward Model'!$A$18:$A$37,0))</f>
        <v>Medium</v>
      </c>
      <c r="Z2592" s="4" t="n">
        <f aca="false">ROUND(MIN(1,MAX('Reward Model'!$B$2,INDEX('Reward Model'!$C$12:$C$14,MATCH($K2592,'Reward Model'!$A$12:$A$14,0))/$J2592)),3)</f>
        <v>0.9</v>
      </c>
      <c r="AA2592" s="2" t="n">
        <f aca="false">IF($I2592="Correct",ROUND(INDEX('Reward Model'!$B$12:$B$14,MATCH($K2592,'Reward Model'!$A$12:$A$14,0))*Z2592,2),0)</f>
        <v>0</v>
      </c>
      <c r="AB2592" s="2" t="n">
        <f aca="false">IF($I2592="Correct",ROUND(INDEX('Reward Model'!$B$12:$B$14,MATCH($Y2592,'Reward Model'!$A$12:$A$14,0))*Z2592,2),0)</f>
        <v>0</v>
      </c>
    </row>
    <row r="2593" customFormat="false" ht="15" hidden="false" customHeight="false" outlineLevel="0" collapsed="false">
      <c r="A2593" s="0" t="s">
        <v>390</v>
      </c>
      <c r="B2593" s="0" t="s">
        <v>391</v>
      </c>
      <c r="C2593" s="0" t="s">
        <v>322</v>
      </c>
      <c r="D2593" s="0" t="s">
        <v>189</v>
      </c>
      <c r="E2593" s="0" t="n">
        <v>12</v>
      </c>
      <c r="F2593" s="0" t="s">
        <v>64</v>
      </c>
      <c r="G2593" s="0" t="s">
        <v>65</v>
      </c>
      <c r="H2593" s="0" t="s">
        <v>65</v>
      </c>
      <c r="I2593" s="0" t="s">
        <v>34</v>
      </c>
      <c r="J2593" s="0" t="n">
        <v>1.78</v>
      </c>
      <c r="K2593" s="0" t="s">
        <v>60</v>
      </c>
      <c r="L2593" s="0" t="n">
        <f aca="false">INDEX(Summary!$F$2:$F$201,MATCH($B2593,Summary!$A$2:$A$201,0))</f>
        <v>20</v>
      </c>
      <c r="M2593" s="0" t="n">
        <f aca="false">INDEX(Summary!$I$2:$I$201,MATCH($B2593,Summary!$A$2:$A$201,0))</f>
        <v>2</v>
      </c>
      <c r="N2593" s="0" t="n">
        <f aca="false">INDEX(Summary!$J$2:$J$201,MATCH($B2593,Summary!$A$2:$A$201,0))</f>
        <v>3</v>
      </c>
      <c r="O2593" s="2" t="n">
        <f aca="false">INDEX(Summary!$K$2:$K$201,MATCH($B2593,Summary!$A$2:$A$201,0))</f>
        <v>9.78</v>
      </c>
      <c r="P2593" s="3" t="n">
        <f aca="false">INDEX(Summary!$L$2:$L$201,MATCH($B2593,Summary!$A$2:$A$201,0))</f>
        <v>4</v>
      </c>
      <c r="Q2593" s="3" t="n">
        <f aca="false">INDEX(Summary!$M$2:$M$201,MATCH($B2593,Summary!$A$2:$A$201,0))</f>
        <v>2</v>
      </c>
      <c r="R2593" s="2" t="n">
        <f aca="false">INDEX(Summary!$N$2:$N$201,MATCH($B2593,Summary!$A$2:$A$201,0))</f>
        <v>10.53</v>
      </c>
      <c r="S2593" s="3" t="n">
        <f aca="false">INDEX(Summary!$O$2:$O$201,MATCH($B2593,Summary!$A$2:$A$201,0))</f>
        <v>8</v>
      </c>
      <c r="T2593" s="3" t="n">
        <f aca="false">INDEX(Summary!$P$2:$P$201,MATCH($B2593,Summary!$A$2:$A$201,0))</f>
        <v>1</v>
      </c>
      <c r="U2593" s="2" t="n">
        <f aca="false">INDEX(Summary!$Q$2:$Q$201,MATCH($B2593,Summary!$A$2:$A$201,0))</f>
        <v>11.97</v>
      </c>
      <c r="V2593" s="2" t="n">
        <f aca="false">INDEX(Summary!$R$2:$R$201,MATCH($B2593,Summary!$A$2:$A$201,0))</f>
        <v>25.9</v>
      </c>
      <c r="W2593" s="0" t="str">
        <f aca="false">INDEX(Summary!$S$2:$S$201,MATCH($B2593,Summary!$A$2:$A$201,0))</f>
        <v>Silver</v>
      </c>
      <c r="X2593" s="2" t="n">
        <f aca="false">INDEX(Summary!$T$2:$T$201,MATCH($B2593,Summary!$A$2:$A$201,0))</f>
        <v>63.17</v>
      </c>
      <c r="Y2593" s="0" t="str">
        <f aca="false">INDEX('Reward Model'!$E$18:$E$37,MATCH($E2593,'Reward Model'!$A$18:$A$37,0))</f>
        <v>Medium</v>
      </c>
      <c r="Z2593" s="4" t="n">
        <f aca="false">ROUND(MIN(1,MAX('Reward Model'!$B$2,INDEX('Reward Model'!$C$12:$C$14,MATCH($K2593,'Reward Model'!$A$12:$A$14,0))/$J2593)),3)</f>
        <v>1</v>
      </c>
      <c r="AA2593" s="2" t="n">
        <f aca="false">IF($I2593="Correct",ROUND(INDEX('Reward Model'!$B$12:$B$14,MATCH($K2593,'Reward Model'!$A$12:$A$14,0))*Z2593,2),0)</f>
        <v>2</v>
      </c>
      <c r="AB2593" s="2" t="n">
        <f aca="false">IF($I2593="Correct",ROUND(INDEX('Reward Model'!$B$12:$B$14,MATCH($Y2593,'Reward Model'!$A$12:$A$14,0))*Z2593,2),0)</f>
        <v>2</v>
      </c>
    </row>
    <row r="2594" customFormat="false" ht="15" hidden="false" customHeight="false" outlineLevel="0" collapsed="false">
      <c r="A2594" s="0" t="s">
        <v>390</v>
      </c>
      <c r="B2594" s="0" t="s">
        <v>391</v>
      </c>
      <c r="C2594" s="0" t="s">
        <v>322</v>
      </c>
      <c r="D2594" s="0" t="s">
        <v>189</v>
      </c>
      <c r="E2594" s="0" t="n">
        <v>13</v>
      </c>
      <c r="F2594" s="0" t="s">
        <v>66</v>
      </c>
      <c r="G2594" s="0" t="s">
        <v>67</v>
      </c>
      <c r="H2594" s="0" t="s">
        <v>67</v>
      </c>
      <c r="I2594" s="0" t="s">
        <v>34</v>
      </c>
      <c r="J2594" s="0" t="n">
        <v>1.98</v>
      </c>
      <c r="K2594" s="0" t="s">
        <v>60</v>
      </c>
      <c r="L2594" s="0" t="n">
        <f aca="false">INDEX(Summary!$F$2:$F$201,MATCH($B2594,Summary!$A$2:$A$201,0))</f>
        <v>20</v>
      </c>
      <c r="M2594" s="0" t="n">
        <f aca="false">INDEX(Summary!$I$2:$I$201,MATCH($B2594,Summary!$A$2:$A$201,0))</f>
        <v>2</v>
      </c>
      <c r="N2594" s="0" t="n">
        <f aca="false">INDEX(Summary!$J$2:$J$201,MATCH($B2594,Summary!$A$2:$A$201,0))</f>
        <v>3</v>
      </c>
      <c r="O2594" s="2" t="n">
        <f aca="false">INDEX(Summary!$K$2:$K$201,MATCH($B2594,Summary!$A$2:$A$201,0))</f>
        <v>9.78</v>
      </c>
      <c r="P2594" s="3" t="n">
        <f aca="false">INDEX(Summary!$L$2:$L$201,MATCH($B2594,Summary!$A$2:$A$201,0))</f>
        <v>4</v>
      </c>
      <c r="Q2594" s="3" t="n">
        <f aca="false">INDEX(Summary!$M$2:$M$201,MATCH($B2594,Summary!$A$2:$A$201,0))</f>
        <v>2</v>
      </c>
      <c r="R2594" s="2" t="n">
        <f aca="false">INDEX(Summary!$N$2:$N$201,MATCH($B2594,Summary!$A$2:$A$201,0))</f>
        <v>10.53</v>
      </c>
      <c r="S2594" s="3" t="n">
        <f aca="false">INDEX(Summary!$O$2:$O$201,MATCH($B2594,Summary!$A$2:$A$201,0))</f>
        <v>8</v>
      </c>
      <c r="T2594" s="3" t="n">
        <f aca="false">INDEX(Summary!$P$2:$P$201,MATCH($B2594,Summary!$A$2:$A$201,0))</f>
        <v>1</v>
      </c>
      <c r="U2594" s="2" t="n">
        <f aca="false">INDEX(Summary!$Q$2:$Q$201,MATCH($B2594,Summary!$A$2:$A$201,0))</f>
        <v>11.97</v>
      </c>
      <c r="V2594" s="2" t="n">
        <f aca="false">INDEX(Summary!$R$2:$R$201,MATCH($B2594,Summary!$A$2:$A$201,0))</f>
        <v>25.9</v>
      </c>
      <c r="W2594" s="0" t="str">
        <f aca="false">INDEX(Summary!$S$2:$S$201,MATCH($B2594,Summary!$A$2:$A$201,0))</f>
        <v>Silver</v>
      </c>
      <c r="X2594" s="2" t="n">
        <f aca="false">INDEX(Summary!$T$2:$T$201,MATCH($B2594,Summary!$A$2:$A$201,0))</f>
        <v>63.17</v>
      </c>
      <c r="Y2594" s="0" t="str">
        <f aca="false">INDEX('Reward Model'!$E$18:$E$37,MATCH($E2594,'Reward Model'!$A$18:$A$37,0))</f>
        <v>Medium</v>
      </c>
      <c r="Z2594" s="4" t="n">
        <f aca="false">ROUND(MIN(1,MAX('Reward Model'!$B$2,INDEX('Reward Model'!$C$12:$C$14,MATCH($K2594,'Reward Model'!$A$12:$A$14,0))/$J2594)),3)</f>
        <v>0.909</v>
      </c>
      <c r="AA2594" s="2" t="n">
        <f aca="false">IF($I2594="Correct",ROUND(INDEX('Reward Model'!$B$12:$B$14,MATCH($K2594,'Reward Model'!$A$12:$A$14,0))*Z2594,2),0)</f>
        <v>1.82</v>
      </c>
      <c r="AB2594" s="2" t="n">
        <f aca="false">IF($I2594="Correct",ROUND(INDEX('Reward Model'!$B$12:$B$14,MATCH($Y2594,'Reward Model'!$A$12:$A$14,0))*Z2594,2),0)</f>
        <v>1.82</v>
      </c>
    </row>
    <row r="2595" customFormat="false" ht="15" hidden="false" customHeight="false" outlineLevel="0" collapsed="false">
      <c r="A2595" s="0" t="s">
        <v>390</v>
      </c>
      <c r="B2595" s="0" t="s">
        <v>391</v>
      </c>
      <c r="C2595" s="0" t="s">
        <v>322</v>
      </c>
      <c r="D2595" s="0" t="s">
        <v>189</v>
      </c>
      <c r="E2595" s="0" t="n">
        <v>14</v>
      </c>
      <c r="F2595" s="0" t="s">
        <v>68</v>
      </c>
      <c r="G2595" s="0" t="s">
        <v>118</v>
      </c>
      <c r="H2595" s="0" t="s">
        <v>51</v>
      </c>
      <c r="I2595" s="0" t="s">
        <v>39</v>
      </c>
      <c r="J2595" s="0" t="n">
        <v>1.95</v>
      </c>
      <c r="K2595" s="0" t="s">
        <v>60</v>
      </c>
      <c r="L2595" s="0" t="n">
        <f aca="false">INDEX(Summary!$F$2:$F$201,MATCH($B2595,Summary!$A$2:$A$201,0))</f>
        <v>20</v>
      </c>
      <c r="M2595" s="0" t="n">
        <f aca="false">INDEX(Summary!$I$2:$I$201,MATCH($B2595,Summary!$A$2:$A$201,0))</f>
        <v>2</v>
      </c>
      <c r="N2595" s="0" t="n">
        <f aca="false">INDEX(Summary!$J$2:$J$201,MATCH($B2595,Summary!$A$2:$A$201,0))</f>
        <v>3</v>
      </c>
      <c r="O2595" s="2" t="n">
        <f aca="false">INDEX(Summary!$K$2:$K$201,MATCH($B2595,Summary!$A$2:$A$201,0))</f>
        <v>9.78</v>
      </c>
      <c r="P2595" s="3" t="n">
        <f aca="false">INDEX(Summary!$L$2:$L$201,MATCH($B2595,Summary!$A$2:$A$201,0))</f>
        <v>4</v>
      </c>
      <c r="Q2595" s="3" t="n">
        <f aca="false">INDEX(Summary!$M$2:$M$201,MATCH($B2595,Summary!$A$2:$A$201,0))</f>
        <v>2</v>
      </c>
      <c r="R2595" s="2" t="n">
        <f aca="false">INDEX(Summary!$N$2:$N$201,MATCH($B2595,Summary!$A$2:$A$201,0))</f>
        <v>10.53</v>
      </c>
      <c r="S2595" s="3" t="n">
        <f aca="false">INDEX(Summary!$O$2:$O$201,MATCH($B2595,Summary!$A$2:$A$201,0))</f>
        <v>8</v>
      </c>
      <c r="T2595" s="3" t="n">
        <f aca="false">INDEX(Summary!$P$2:$P$201,MATCH($B2595,Summary!$A$2:$A$201,0))</f>
        <v>1</v>
      </c>
      <c r="U2595" s="2" t="n">
        <f aca="false">INDEX(Summary!$Q$2:$Q$201,MATCH($B2595,Summary!$A$2:$A$201,0))</f>
        <v>11.97</v>
      </c>
      <c r="V2595" s="2" t="n">
        <f aca="false">INDEX(Summary!$R$2:$R$201,MATCH($B2595,Summary!$A$2:$A$201,0))</f>
        <v>25.9</v>
      </c>
      <c r="W2595" s="0" t="str">
        <f aca="false">INDEX(Summary!$S$2:$S$201,MATCH($B2595,Summary!$A$2:$A$201,0))</f>
        <v>Silver</v>
      </c>
      <c r="X2595" s="2" t="n">
        <f aca="false">INDEX(Summary!$T$2:$T$201,MATCH($B2595,Summary!$A$2:$A$201,0))</f>
        <v>63.17</v>
      </c>
      <c r="Y2595" s="0" t="str">
        <f aca="false">INDEX('Reward Model'!$E$18:$E$37,MATCH($E2595,'Reward Model'!$A$18:$A$37,0))</f>
        <v>Medium</v>
      </c>
      <c r="Z2595" s="4" t="n">
        <f aca="false">ROUND(MIN(1,MAX('Reward Model'!$B$2,INDEX('Reward Model'!$C$12:$C$14,MATCH($K2595,'Reward Model'!$A$12:$A$14,0))/$J2595)),3)</f>
        <v>0.923</v>
      </c>
      <c r="AA2595" s="2" t="n">
        <f aca="false">IF($I2595="Correct",ROUND(INDEX('Reward Model'!$B$12:$B$14,MATCH($K2595,'Reward Model'!$A$12:$A$14,0))*Z2595,2),0)</f>
        <v>0</v>
      </c>
      <c r="AB2595" s="2" t="n">
        <f aca="false">IF($I2595="Correct",ROUND(INDEX('Reward Model'!$B$12:$B$14,MATCH($Y2595,'Reward Model'!$A$12:$A$14,0))*Z2595,2),0)</f>
        <v>0</v>
      </c>
    </row>
    <row r="2596" customFormat="false" ht="15" hidden="false" customHeight="false" outlineLevel="0" collapsed="false">
      <c r="A2596" s="0" t="s">
        <v>390</v>
      </c>
      <c r="B2596" s="0" t="s">
        <v>391</v>
      </c>
      <c r="C2596" s="0" t="s">
        <v>322</v>
      </c>
      <c r="D2596" s="0" t="s">
        <v>189</v>
      </c>
      <c r="E2596" s="0" t="n">
        <v>15</v>
      </c>
      <c r="F2596" s="0" t="s">
        <v>69</v>
      </c>
      <c r="G2596" s="0" t="s">
        <v>70</v>
      </c>
      <c r="H2596" s="0" t="s">
        <v>70</v>
      </c>
      <c r="I2596" s="0" t="s">
        <v>34</v>
      </c>
      <c r="J2596" s="0" t="n">
        <v>1.23</v>
      </c>
      <c r="K2596" s="0" t="s">
        <v>60</v>
      </c>
      <c r="L2596" s="0" t="n">
        <f aca="false">INDEX(Summary!$F$2:$F$201,MATCH($B2596,Summary!$A$2:$A$201,0))</f>
        <v>20</v>
      </c>
      <c r="M2596" s="0" t="n">
        <f aca="false">INDEX(Summary!$I$2:$I$201,MATCH($B2596,Summary!$A$2:$A$201,0))</f>
        <v>2</v>
      </c>
      <c r="N2596" s="0" t="n">
        <f aca="false">INDEX(Summary!$J$2:$J$201,MATCH($B2596,Summary!$A$2:$A$201,0))</f>
        <v>3</v>
      </c>
      <c r="O2596" s="2" t="n">
        <f aca="false">INDEX(Summary!$K$2:$K$201,MATCH($B2596,Summary!$A$2:$A$201,0))</f>
        <v>9.78</v>
      </c>
      <c r="P2596" s="3" t="n">
        <f aca="false">INDEX(Summary!$L$2:$L$201,MATCH($B2596,Summary!$A$2:$A$201,0))</f>
        <v>4</v>
      </c>
      <c r="Q2596" s="3" t="n">
        <f aca="false">INDEX(Summary!$M$2:$M$201,MATCH($B2596,Summary!$A$2:$A$201,0))</f>
        <v>2</v>
      </c>
      <c r="R2596" s="2" t="n">
        <f aca="false">INDEX(Summary!$N$2:$N$201,MATCH($B2596,Summary!$A$2:$A$201,0))</f>
        <v>10.53</v>
      </c>
      <c r="S2596" s="3" t="n">
        <f aca="false">INDEX(Summary!$O$2:$O$201,MATCH($B2596,Summary!$A$2:$A$201,0))</f>
        <v>8</v>
      </c>
      <c r="T2596" s="3" t="n">
        <f aca="false">INDEX(Summary!$P$2:$P$201,MATCH($B2596,Summary!$A$2:$A$201,0))</f>
        <v>1</v>
      </c>
      <c r="U2596" s="2" t="n">
        <f aca="false">INDEX(Summary!$Q$2:$Q$201,MATCH($B2596,Summary!$A$2:$A$201,0))</f>
        <v>11.97</v>
      </c>
      <c r="V2596" s="2" t="n">
        <f aca="false">INDEX(Summary!$R$2:$R$201,MATCH($B2596,Summary!$A$2:$A$201,0))</f>
        <v>25.9</v>
      </c>
      <c r="W2596" s="0" t="str">
        <f aca="false">INDEX(Summary!$S$2:$S$201,MATCH($B2596,Summary!$A$2:$A$201,0))</f>
        <v>Silver</v>
      </c>
      <c r="X2596" s="2" t="n">
        <f aca="false">INDEX(Summary!$T$2:$T$201,MATCH($B2596,Summary!$A$2:$A$201,0))</f>
        <v>63.17</v>
      </c>
      <c r="Y2596" s="0" t="str">
        <f aca="false">INDEX('Reward Model'!$E$18:$E$37,MATCH($E2596,'Reward Model'!$A$18:$A$37,0))</f>
        <v>Medium</v>
      </c>
      <c r="Z2596" s="4" t="n">
        <f aca="false">ROUND(MIN(1,MAX('Reward Model'!$B$2,INDEX('Reward Model'!$C$12:$C$14,MATCH($K2596,'Reward Model'!$A$12:$A$14,0))/$J2596)),3)</f>
        <v>1</v>
      </c>
      <c r="AA2596" s="2" t="n">
        <f aca="false">IF($I2596="Correct",ROUND(INDEX('Reward Model'!$B$12:$B$14,MATCH($K2596,'Reward Model'!$A$12:$A$14,0))*Z2596,2),0)</f>
        <v>2</v>
      </c>
      <c r="AB2596" s="2" t="n">
        <f aca="false">IF($I2596="Correct",ROUND(INDEX('Reward Model'!$B$12:$B$14,MATCH($Y2596,'Reward Model'!$A$12:$A$14,0))*Z2596,2),0)</f>
        <v>2</v>
      </c>
    </row>
    <row r="2597" customFormat="false" ht="15" hidden="false" customHeight="false" outlineLevel="0" collapsed="false">
      <c r="A2597" s="0" t="s">
        <v>390</v>
      </c>
      <c r="B2597" s="0" t="s">
        <v>391</v>
      </c>
      <c r="C2597" s="0" t="s">
        <v>322</v>
      </c>
      <c r="D2597" s="0" t="s">
        <v>189</v>
      </c>
      <c r="E2597" s="0" t="n">
        <v>16</v>
      </c>
      <c r="F2597" s="0" t="s">
        <v>71</v>
      </c>
      <c r="G2597" s="0" t="s">
        <v>101</v>
      </c>
      <c r="H2597" s="0" t="s">
        <v>72</v>
      </c>
      <c r="I2597" s="0" t="s">
        <v>39</v>
      </c>
      <c r="J2597" s="0" t="n">
        <v>1.76</v>
      </c>
      <c r="K2597" s="0" t="s">
        <v>73</v>
      </c>
      <c r="L2597" s="0" t="n">
        <f aca="false">INDEX(Summary!$F$2:$F$201,MATCH($B2597,Summary!$A$2:$A$201,0))</f>
        <v>20</v>
      </c>
      <c r="M2597" s="0" t="n">
        <f aca="false">INDEX(Summary!$I$2:$I$201,MATCH($B2597,Summary!$A$2:$A$201,0))</f>
        <v>2</v>
      </c>
      <c r="N2597" s="0" t="n">
        <f aca="false">INDEX(Summary!$J$2:$J$201,MATCH($B2597,Summary!$A$2:$A$201,0))</f>
        <v>3</v>
      </c>
      <c r="O2597" s="2" t="n">
        <f aca="false">INDEX(Summary!$K$2:$K$201,MATCH($B2597,Summary!$A$2:$A$201,0))</f>
        <v>9.78</v>
      </c>
      <c r="P2597" s="3" t="n">
        <f aca="false">INDEX(Summary!$L$2:$L$201,MATCH($B2597,Summary!$A$2:$A$201,0))</f>
        <v>4</v>
      </c>
      <c r="Q2597" s="3" t="n">
        <f aca="false">INDEX(Summary!$M$2:$M$201,MATCH($B2597,Summary!$A$2:$A$201,0))</f>
        <v>2</v>
      </c>
      <c r="R2597" s="2" t="n">
        <f aca="false">INDEX(Summary!$N$2:$N$201,MATCH($B2597,Summary!$A$2:$A$201,0))</f>
        <v>10.53</v>
      </c>
      <c r="S2597" s="3" t="n">
        <f aca="false">INDEX(Summary!$O$2:$O$201,MATCH($B2597,Summary!$A$2:$A$201,0))</f>
        <v>8</v>
      </c>
      <c r="T2597" s="3" t="n">
        <f aca="false">INDEX(Summary!$P$2:$P$201,MATCH($B2597,Summary!$A$2:$A$201,0))</f>
        <v>1</v>
      </c>
      <c r="U2597" s="2" t="n">
        <f aca="false">INDEX(Summary!$Q$2:$Q$201,MATCH($B2597,Summary!$A$2:$A$201,0))</f>
        <v>11.97</v>
      </c>
      <c r="V2597" s="2" t="n">
        <f aca="false">INDEX(Summary!$R$2:$R$201,MATCH($B2597,Summary!$A$2:$A$201,0))</f>
        <v>25.9</v>
      </c>
      <c r="W2597" s="0" t="str">
        <f aca="false">INDEX(Summary!$S$2:$S$201,MATCH($B2597,Summary!$A$2:$A$201,0))</f>
        <v>Silver</v>
      </c>
      <c r="X2597" s="2" t="n">
        <f aca="false">INDEX(Summary!$T$2:$T$201,MATCH($B2597,Summary!$A$2:$A$201,0))</f>
        <v>63.17</v>
      </c>
      <c r="Y2597" s="0" t="str">
        <f aca="false">INDEX('Reward Model'!$E$18:$E$37,MATCH($E2597,'Reward Model'!$A$18:$A$37,0))</f>
        <v>High</v>
      </c>
      <c r="Z2597" s="4" t="n">
        <f aca="false">ROUND(MIN(1,MAX('Reward Model'!$B$2,INDEX('Reward Model'!$C$12:$C$14,MATCH($K2597,'Reward Model'!$A$12:$A$14,0))/$J2597)),3)</f>
        <v>1</v>
      </c>
      <c r="AA2597" s="2" t="n">
        <f aca="false">IF($I2597="Correct",ROUND(INDEX('Reward Model'!$B$12:$B$14,MATCH($K2597,'Reward Model'!$A$12:$A$14,0))*Z2597,2),0)</f>
        <v>0</v>
      </c>
      <c r="AB2597" s="2" t="n">
        <f aca="false">IF($I2597="Correct",ROUND(INDEX('Reward Model'!$B$12:$B$14,MATCH($Y2597,'Reward Model'!$A$12:$A$14,0))*Z2597,2),0)</f>
        <v>0</v>
      </c>
    </row>
    <row r="2598" customFormat="false" ht="15" hidden="false" customHeight="false" outlineLevel="0" collapsed="false">
      <c r="A2598" s="0" t="s">
        <v>390</v>
      </c>
      <c r="B2598" s="0" t="s">
        <v>391</v>
      </c>
      <c r="C2598" s="0" t="s">
        <v>322</v>
      </c>
      <c r="D2598" s="0" t="s">
        <v>189</v>
      </c>
      <c r="E2598" s="0" t="n">
        <v>17</v>
      </c>
      <c r="F2598" s="0" t="s">
        <v>74</v>
      </c>
      <c r="G2598" s="0" t="s">
        <v>75</v>
      </c>
      <c r="H2598" s="0" t="s">
        <v>75</v>
      </c>
      <c r="I2598" s="0" t="s">
        <v>34</v>
      </c>
      <c r="J2598" s="0" t="n">
        <v>1.61</v>
      </c>
      <c r="K2598" s="0" t="s">
        <v>73</v>
      </c>
      <c r="L2598" s="0" t="n">
        <f aca="false">INDEX(Summary!$F$2:$F$201,MATCH($B2598,Summary!$A$2:$A$201,0))</f>
        <v>20</v>
      </c>
      <c r="M2598" s="0" t="n">
        <f aca="false">INDEX(Summary!$I$2:$I$201,MATCH($B2598,Summary!$A$2:$A$201,0))</f>
        <v>2</v>
      </c>
      <c r="N2598" s="0" t="n">
        <f aca="false">INDEX(Summary!$J$2:$J$201,MATCH($B2598,Summary!$A$2:$A$201,0))</f>
        <v>3</v>
      </c>
      <c r="O2598" s="2" t="n">
        <f aca="false">INDEX(Summary!$K$2:$K$201,MATCH($B2598,Summary!$A$2:$A$201,0))</f>
        <v>9.78</v>
      </c>
      <c r="P2598" s="3" t="n">
        <f aca="false">INDEX(Summary!$L$2:$L$201,MATCH($B2598,Summary!$A$2:$A$201,0))</f>
        <v>4</v>
      </c>
      <c r="Q2598" s="3" t="n">
        <f aca="false">INDEX(Summary!$M$2:$M$201,MATCH($B2598,Summary!$A$2:$A$201,0))</f>
        <v>2</v>
      </c>
      <c r="R2598" s="2" t="n">
        <f aca="false">INDEX(Summary!$N$2:$N$201,MATCH($B2598,Summary!$A$2:$A$201,0))</f>
        <v>10.53</v>
      </c>
      <c r="S2598" s="3" t="n">
        <f aca="false">INDEX(Summary!$O$2:$O$201,MATCH($B2598,Summary!$A$2:$A$201,0))</f>
        <v>8</v>
      </c>
      <c r="T2598" s="3" t="n">
        <f aca="false">INDEX(Summary!$P$2:$P$201,MATCH($B2598,Summary!$A$2:$A$201,0))</f>
        <v>1</v>
      </c>
      <c r="U2598" s="2" t="n">
        <f aca="false">INDEX(Summary!$Q$2:$Q$201,MATCH($B2598,Summary!$A$2:$A$201,0))</f>
        <v>11.97</v>
      </c>
      <c r="V2598" s="2" t="n">
        <f aca="false">INDEX(Summary!$R$2:$R$201,MATCH($B2598,Summary!$A$2:$A$201,0))</f>
        <v>25.9</v>
      </c>
      <c r="W2598" s="0" t="str">
        <f aca="false">INDEX(Summary!$S$2:$S$201,MATCH($B2598,Summary!$A$2:$A$201,0))</f>
        <v>Silver</v>
      </c>
      <c r="X2598" s="2" t="n">
        <f aca="false">INDEX(Summary!$T$2:$T$201,MATCH($B2598,Summary!$A$2:$A$201,0))</f>
        <v>63.17</v>
      </c>
      <c r="Y2598" s="0" t="str">
        <f aca="false">INDEX('Reward Model'!$E$18:$E$37,MATCH($E2598,'Reward Model'!$A$18:$A$37,0))</f>
        <v>High</v>
      </c>
      <c r="Z2598" s="4" t="n">
        <f aca="false">ROUND(MIN(1,MAX('Reward Model'!$B$2,INDEX('Reward Model'!$C$12:$C$14,MATCH($K2598,'Reward Model'!$A$12:$A$14,0))/$J2598)),3)</f>
        <v>1</v>
      </c>
      <c r="AA2598" s="2" t="n">
        <f aca="false">IF($I2598="Correct",ROUND(INDEX('Reward Model'!$B$12:$B$14,MATCH($K2598,'Reward Model'!$A$12:$A$14,0))*Z2598,2),0)</f>
        <v>3</v>
      </c>
      <c r="AB2598" s="2" t="n">
        <f aca="false">IF($I2598="Correct",ROUND(INDEX('Reward Model'!$B$12:$B$14,MATCH($Y2598,'Reward Model'!$A$12:$A$14,0))*Z2598,2),0)</f>
        <v>3</v>
      </c>
    </row>
    <row r="2599" customFormat="false" ht="15" hidden="false" customHeight="false" outlineLevel="0" collapsed="false">
      <c r="A2599" s="0" t="s">
        <v>390</v>
      </c>
      <c r="B2599" s="0" t="s">
        <v>391</v>
      </c>
      <c r="C2599" s="0" t="s">
        <v>322</v>
      </c>
      <c r="D2599" s="0" t="s">
        <v>189</v>
      </c>
      <c r="E2599" s="0" t="n">
        <v>18</v>
      </c>
      <c r="F2599" s="0" t="s">
        <v>76</v>
      </c>
      <c r="G2599" s="0" t="s">
        <v>77</v>
      </c>
      <c r="H2599" s="0" t="s">
        <v>77</v>
      </c>
      <c r="I2599" s="0" t="s">
        <v>34</v>
      </c>
      <c r="J2599" s="0" t="n">
        <v>2.1</v>
      </c>
      <c r="K2599" s="0" t="s">
        <v>73</v>
      </c>
      <c r="L2599" s="0" t="n">
        <f aca="false">INDEX(Summary!$F$2:$F$201,MATCH($B2599,Summary!$A$2:$A$201,0))</f>
        <v>20</v>
      </c>
      <c r="M2599" s="0" t="n">
        <f aca="false">INDEX(Summary!$I$2:$I$201,MATCH($B2599,Summary!$A$2:$A$201,0))</f>
        <v>2</v>
      </c>
      <c r="N2599" s="0" t="n">
        <f aca="false">INDEX(Summary!$J$2:$J$201,MATCH($B2599,Summary!$A$2:$A$201,0))</f>
        <v>3</v>
      </c>
      <c r="O2599" s="2" t="n">
        <f aca="false">INDEX(Summary!$K$2:$K$201,MATCH($B2599,Summary!$A$2:$A$201,0))</f>
        <v>9.78</v>
      </c>
      <c r="P2599" s="3" t="n">
        <f aca="false">INDEX(Summary!$L$2:$L$201,MATCH($B2599,Summary!$A$2:$A$201,0))</f>
        <v>4</v>
      </c>
      <c r="Q2599" s="3" t="n">
        <f aca="false">INDEX(Summary!$M$2:$M$201,MATCH($B2599,Summary!$A$2:$A$201,0))</f>
        <v>2</v>
      </c>
      <c r="R2599" s="2" t="n">
        <f aca="false">INDEX(Summary!$N$2:$N$201,MATCH($B2599,Summary!$A$2:$A$201,0))</f>
        <v>10.53</v>
      </c>
      <c r="S2599" s="3" t="n">
        <f aca="false">INDEX(Summary!$O$2:$O$201,MATCH($B2599,Summary!$A$2:$A$201,0))</f>
        <v>8</v>
      </c>
      <c r="T2599" s="3" t="n">
        <f aca="false">INDEX(Summary!$P$2:$P$201,MATCH($B2599,Summary!$A$2:$A$201,0))</f>
        <v>1</v>
      </c>
      <c r="U2599" s="2" t="n">
        <f aca="false">INDEX(Summary!$Q$2:$Q$201,MATCH($B2599,Summary!$A$2:$A$201,0))</f>
        <v>11.97</v>
      </c>
      <c r="V2599" s="2" t="n">
        <f aca="false">INDEX(Summary!$R$2:$R$201,MATCH($B2599,Summary!$A$2:$A$201,0))</f>
        <v>25.9</v>
      </c>
      <c r="W2599" s="0" t="str">
        <f aca="false">INDEX(Summary!$S$2:$S$201,MATCH($B2599,Summary!$A$2:$A$201,0))</f>
        <v>Silver</v>
      </c>
      <c r="X2599" s="2" t="n">
        <f aca="false">INDEX(Summary!$T$2:$T$201,MATCH($B2599,Summary!$A$2:$A$201,0))</f>
        <v>63.17</v>
      </c>
      <c r="Y2599" s="0" t="str">
        <f aca="false">INDEX('Reward Model'!$E$18:$E$37,MATCH($E2599,'Reward Model'!$A$18:$A$37,0))</f>
        <v>High</v>
      </c>
      <c r="Z2599" s="4" t="n">
        <f aca="false">ROUND(MIN(1,MAX('Reward Model'!$B$2,INDEX('Reward Model'!$C$12:$C$14,MATCH($K2599,'Reward Model'!$A$12:$A$14,0))/$J2599)),3)</f>
        <v>0.952</v>
      </c>
      <c r="AA2599" s="2" t="n">
        <f aca="false">IF($I2599="Correct",ROUND(INDEX('Reward Model'!$B$12:$B$14,MATCH($K2599,'Reward Model'!$A$12:$A$14,0))*Z2599,2),0)</f>
        <v>2.86</v>
      </c>
      <c r="AB2599" s="2" t="n">
        <f aca="false">IF($I2599="Correct",ROUND(INDEX('Reward Model'!$B$12:$B$14,MATCH($Y2599,'Reward Model'!$A$12:$A$14,0))*Z2599,2),0)</f>
        <v>2.86</v>
      </c>
    </row>
    <row r="2600" customFormat="false" ht="15" hidden="false" customHeight="false" outlineLevel="0" collapsed="false">
      <c r="A2600" s="0" t="s">
        <v>390</v>
      </c>
      <c r="B2600" s="0" t="s">
        <v>391</v>
      </c>
      <c r="C2600" s="0" t="s">
        <v>322</v>
      </c>
      <c r="D2600" s="0" t="s">
        <v>189</v>
      </c>
      <c r="E2600" s="0" t="n">
        <v>19</v>
      </c>
      <c r="F2600" s="0" t="s">
        <v>78</v>
      </c>
      <c r="G2600" s="0" t="s">
        <v>79</v>
      </c>
      <c r="H2600" s="0" t="s">
        <v>80</v>
      </c>
      <c r="I2600" s="0" t="s">
        <v>39</v>
      </c>
      <c r="J2600" s="0" t="n">
        <v>2.11</v>
      </c>
      <c r="K2600" s="0" t="s">
        <v>73</v>
      </c>
      <c r="L2600" s="0" t="n">
        <f aca="false">INDEX(Summary!$F$2:$F$201,MATCH($B2600,Summary!$A$2:$A$201,0))</f>
        <v>20</v>
      </c>
      <c r="M2600" s="0" t="n">
        <f aca="false">INDEX(Summary!$I$2:$I$201,MATCH($B2600,Summary!$A$2:$A$201,0))</f>
        <v>2</v>
      </c>
      <c r="N2600" s="0" t="n">
        <f aca="false">INDEX(Summary!$J$2:$J$201,MATCH($B2600,Summary!$A$2:$A$201,0))</f>
        <v>3</v>
      </c>
      <c r="O2600" s="2" t="n">
        <f aca="false">INDEX(Summary!$K$2:$K$201,MATCH($B2600,Summary!$A$2:$A$201,0))</f>
        <v>9.78</v>
      </c>
      <c r="P2600" s="3" t="n">
        <f aca="false">INDEX(Summary!$L$2:$L$201,MATCH($B2600,Summary!$A$2:$A$201,0))</f>
        <v>4</v>
      </c>
      <c r="Q2600" s="3" t="n">
        <f aca="false">INDEX(Summary!$M$2:$M$201,MATCH($B2600,Summary!$A$2:$A$201,0))</f>
        <v>2</v>
      </c>
      <c r="R2600" s="2" t="n">
        <f aca="false">INDEX(Summary!$N$2:$N$201,MATCH($B2600,Summary!$A$2:$A$201,0))</f>
        <v>10.53</v>
      </c>
      <c r="S2600" s="3" t="n">
        <f aca="false">INDEX(Summary!$O$2:$O$201,MATCH($B2600,Summary!$A$2:$A$201,0))</f>
        <v>8</v>
      </c>
      <c r="T2600" s="3" t="n">
        <f aca="false">INDEX(Summary!$P$2:$P$201,MATCH($B2600,Summary!$A$2:$A$201,0))</f>
        <v>1</v>
      </c>
      <c r="U2600" s="2" t="n">
        <f aca="false">INDEX(Summary!$Q$2:$Q$201,MATCH($B2600,Summary!$A$2:$A$201,0))</f>
        <v>11.97</v>
      </c>
      <c r="V2600" s="2" t="n">
        <f aca="false">INDEX(Summary!$R$2:$R$201,MATCH($B2600,Summary!$A$2:$A$201,0))</f>
        <v>25.9</v>
      </c>
      <c r="W2600" s="0" t="str">
        <f aca="false">INDEX(Summary!$S$2:$S$201,MATCH($B2600,Summary!$A$2:$A$201,0))</f>
        <v>Silver</v>
      </c>
      <c r="X2600" s="2" t="n">
        <f aca="false">INDEX(Summary!$T$2:$T$201,MATCH($B2600,Summary!$A$2:$A$201,0))</f>
        <v>63.17</v>
      </c>
      <c r="Y2600" s="0" t="str">
        <f aca="false">INDEX('Reward Model'!$E$18:$E$37,MATCH($E2600,'Reward Model'!$A$18:$A$37,0))</f>
        <v>High</v>
      </c>
      <c r="Z2600" s="4" t="n">
        <f aca="false">ROUND(MIN(1,MAX('Reward Model'!$B$2,INDEX('Reward Model'!$C$12:$C$14,MATCH($K2600,'Reward Model'!$A$12:$A$14,0))/$J2600)),3)</f>
        <v>0.948</v>
      </c>
      <c r="AA2600" s="2" t="n">
        <f aca="false">IF($I2600="Correct",ROUND(INDEX('Reward Model'!$B$12:$B$14,MATCH($K2600,'Reward Model'!$A$12:$A$14,0))*Z2600,2),0)</f>
        <v>0</v>
      </c>
      <c r="AB2600" s="2" t="n">
        <f aca="false">IF($I2600="Correct",ROUND(INDEX('Reward Model'!$B$12:$B$14,MATCH($Y2600,'Reward Model'!$A$12:$A$14,0))*Z2600,2),0)</f>
        <v>0</v>
      </c>
    </row>
    <row r="2601" customFormat="false" ht="15" hidden="false" customHeight="false" outlineLevel="0" collapsed="false">
      <c r="A2601" s="0" t="s">
        <v>390</v>
      </c>
      <c r="B2601" s="0" t="s">
        <v>391</v>
      </c>
      <c r="C2601" s="0" t="s">
        <v>322</v>
      </c>
      <c r="D2601" s="0" t="s">
        <v>189</v>
      </c>
      <c r="E2601" s="0" t="n">
        <v>20</v>
      </c>
      <c r="F2601" s="0" t="s">
        <v>81</v>
      </c>
      <c r="G2601" s="0" t="s">
        <v>119</v>
      </c>
      <c r="H2601" s="0" t="s">
        <v>83</v>
      </c>
      <c r="I2601" s="0" t="s">
        <v>39</v>
      </c>
      <c r="J2601" s="0" t="n">
        <v>2.2</v>
      </c>
      <c r="K2601" s="0" t="s">
        <v>73</v>
      </c>
      <c r="L2601" s="0" t="n">
        <f aca="false">INDEX(Summary!$F$2:$F$201,MATCH($B2601,Summary!$A$2:$A$201,0))</f>
        <v>20</v>
      </c>
      <c r="M2601" s="0" t="n">
        <f aca="false">INDEX(Summary!$I$2:$I$201,MATCH($B2601,Summary!$A$2:$A$201,0))</f>
        <v>2</v>
      </c>
      <c r="N2601" s="0" t="n">
        <f aca="false">INDEX(Summary!$J$2:$J$201,MATCH($B2601,Summary!$A$2:$A$201,0))</f>
        <v>3</v>
      </c>
      <c r="O2601" s="2" t="n">
        <f aca="false">INDEX(Summary!$K$2:$K$201,MATCH($B2601,Summary!$A$2:$A$201,0))</f>
        <v>9.78</v>
      </c>
      <c r="P2601" s="3" t="n">
        <f aca="false">INDEX(Summary!$L$2:$L$201,MATCH($B2601,Summary!$A$2:$A$201,0))</f>
        <v>4</v>
      </c>
      <c r="Q2601" s="3" t="n">
        <f aca="false">INDEX(Summary!$M$2:$M$201,MATCH($B2601,Summary!$A$2:$A$201,0))</f>
        <v>2</v>
      </c>
      <c r="R2601" s="2" t="n">
        <f aca="false">INDEX(Summary!$N$2:$N$201,MATCH($B2601,Summary!$A$2:$A$201,0))</f>
        <v>10.53</v>
      </c>
      <c r="S2601" s="3" t="n">
        <f aca="false">INDEX(Summary!$O$2:$O$201,MATCH($B2601,Summary!$A$2:$A$201,0))</f>
        <v>8</v>
      </c>
      <c r="T2601" s="3" t="n">
        <f aca="false">INDEX(Summary!$P$2:$P$201,MATCH($B2601,Summary!$A$2:$A$201,0))</f>
        <v>1</v>
      </c>
      <c r="U2601" s="2" t="n">
        <f aca="false">INDEX(Summary!$Q$2:$Q$201,MATCH($B2601,Summary!$A$2:$A$201,0))</f>
        <v>11.97</v>
      </c>
      <c r="V2601" s="2" t="n">
        <f aca="false">INDEX(Summary!$R$2:$R$201,MATCH($B2601,Summary!$A$2:$A$201,0))</f>
        <v>25.9</v>
      </c>
      <c r="W2601" s="0" t="str">
        <f aca="false">INDEX(Summary!$S$2:$S$201,MATCH($B2601,Summary!$A$2:$A$201,0))</f>
        <v>Silver</v>
      </c>
      <c r="X2601" s="2" t="n">
        <f aca="false">INDEX(Summary!$T$2:$T$201,MATCH($B2601,Summary!$A$2:$A$201,0))</f>
        <v>63.17</v>
      </c>
      <c r="Y2601" s="0" t="str">
        <f aca="false">INDEX('Reward Model'!$E$18:$E$37,MATCH($E2601,'Reward Model'!$A$18:$A$37,0))</f>
        <v>High</v>
      </c>
      <c r="Z2601" s="4" t="n">
        <f aca="false">ROUND(MIN(1,MAX('Reward Model'!$B$2,INDEX('Reward Model'!$C$12:$C$14,MATCH($K2601,'Reward Model'!$A$12:$A$14,0))/$J2601)),3)</f>
        <v>0.909</v>
      </c>
      <c r="AA2601" s="2" t="n">
        <f aca="false">IF($I2601="Correct",ROUND(INDEX('Reward Model'!$B$12:$B$14,MATCH($K2601,'Reward Model'!$A$12:$A$14,0))*Z2601,2),0)</f>
        <v>0</v>
      </c>
      <c r="AB2601" s="2" t="n">
        <f aca="false">IF($I2601="Correct",ROUND(INDEX('Reward Model'!$B$12:$B$14,MATCH($Y2601,'Reward Model'!$A$12:$A$14,0))*Z2601,2),0)</f>
        <v>0</v>
      </c>
    </row>
    <row r="2602" customFormat="false" ht="15" hidden="false" customHeight="false" outlineLevel="0" collapsed="false">
      <c r="A2602" s="0" t="s">
        <v>392</v>
      </c>
      <c r="B2602" s="0" t="s">
        <v>393</v>
      </c>
      <c r="C2602" s="0" t="s">
        <v>322</v>
      </c>
      <c r="D2602" s="0" t="s">
        <v>189</v>
      </c>
      <c r="E2602" s="0" t="n">
        <v>1</v>
      </c>
      <c r="F2602" s="0" t="s">
        <v>32</v>
      </c>
      <c r="G2602" s="0" t="s">
        <v>33</v>
      </c>
      <c r="H2602" s="0" t="s">
        <v>33</v>
      </c>
      <c r="I2602" s="0" t="s">
        <v>34</v>
      </c>
      <c r="J2602" s="0" t="n">
        <v>1.16</v>
      </c>
      <c r="K2602" s="0" t="s">
        <v>35</v>
      </c>
      <c r="L2602" s="0" t="n">
        <f aca="false">INDEX(Summary!$F$2:$F$201,MATCH($B2602,Summary!$A$2:$A$201,0))</f>
        <v>20</v>
      </c>
      <c r="M2602" s="0" t="n">
        <f aca="false">INDEX(Summary!$I$2:$I$201,MATCH($B2602,Summary!$A$2:$A$201,0))</f>
        <v>3</v>
      </c>
      <c r="N2602" s="0" t="n">
        <f aca="false">INDEX(Summary!$J$2:$J$201,MATCH($B2602,Summary!$A$2:$A$201,0))</f>
        <v>2</v>
      </c>
      <c r="O2602" s="2" t="n">
        <f aca="false">INDEX(Summary!$K$2:$K$201,MATCH($B2602,Summary!$A$2:$A$201,0))</f>
        <v>8.54</v>
      </c>
      <c r="P2602" s="3" t="n">
        <f aca="false">INDEX(Summary!$L$2:$L$201,MATCH($B2602,Summary!$A$2:$A$201,0))</f>
        <v>5</v>
      </c>
      <c r="Q2602" s="3" t="n">
        <f aca="false">INDEX(Summary!$M$2:$M$201,MATCH($B2602,Summary!$A$2:$A$201,0))</f>
        <v>1</v>
      </c>
      <c r="R2602" s="2" t="n">
        <f aca="false">INDEX(Summary!$N$2:$N$201,MATCH($B2602,Summary!$A$2:$A$201,0))</f>
        <v>9.82</v>
      </c>
      <c r="S2602" s="3" t="n">
        <f aca="false">INDEX(Summary!$O$2:$O$201,MATCH($B2602,Summary!$A$2:$A$201,0))</f>
        <v>8</v>
      </c>
      <c r="T2602" s="3" t="n">
        <f aca="false">INDEX(Summary!$P$2:$P$201,MATCH($B2602,Summary!$A$2:$A$201,0))</f>
        <v>1</v>
      </c>
      <c r="U2602" s="2" t="n">
        <f aca="false">INDEX(Summary!$Q$2:$Q$201,MATCH($B2602,Summary!$A$2:$A$201,0))</f>
        <v>11.69</v>
      </c>
      <c r="V2602" s="2" t="n">
        <f aca="false">INDEX(Summary!$R$2:$R$201,MATCH($B2602,Summary!$A$2:$A$201,0))</f>
        <v>30.36</v>
      </c>
      <c r="W2602" s="0" t="str">
        <f aca="false">INDEX(Summary!$S$2:$S$201,MATCH($B2602,Summary!$A$2:$A$201,0))</f>
        <v>Gold</v>
      </c>
      <c r="X2602" s="2" t="n">
        <f aca="false">INDEX(Summary!$T$2:$T$201,MATCH($B2602,Summary!$A$2:$A$201,0))</f>
        <v>74.05</v>
      </c>
      <c r="Y2602" s="0" t="str">
        <f aca="false">INDEX('Reward Model'!$E$18:$E$37,MATCH($E2602,'Reward Model'!$A$18:$A$37,0))</f>
        <v>Medium</v>
      </c>
      <c r="Z2602" s="4" t="n">
        <f aca="false">ROUND(MIN(1,MAX('Reward Model'!$B$2,INDEX('Reward Model'!$C$12:$C$14,MATCH($K2602,'Reward Model'!$A$12:$A$14,0))/$J2602)),3)</f>
        <v>1</v>
      </c>
      <c r="AA2602" s="2" t="n">
        <f aca="false">IF($I2602="Correct",ROUND(INDEX('Reward Model'!$B$12:$B$14,MATCH($K2602,'Reward Model'!$A$12:$A$14,0))*Z2602,2),0)</f>
        <v>1</v>
      </c>
      <c r="AB2602" s="2" t="n">
        <f aca="false">IF($I2602="Correct",ROUND(INDEX('Reward Model'!$B$12:$B$14,MATCH($Y2602,'Reward Model'!$A$12:$A$14,0))*Z2602,2),0)</f>
        <v>2</v>
      </c>
    </row>
    <row r="2603" customFormat="false" ht="15" hidden="false" customHeight="false" outlineLevel="0" collapsed="false">
      <c r="A2603" s="0" t="s">
        <v>392</v>
      </c>
      <c r="B2603" s="0" t="s">
        <v>393</v>
      </c>
      <c r="C2603" s="0" t="s">
        <v>322</v>
      </c>
      <c r="D2603" s="0" t="s">
        <v>189</v>
      </c>
      <c r="E2603" s="0" t="n">
        <v>2</v>
      </c>
      <c r="F2603" s="0" t="s">
        <v>36</v>
      </c>
      <c r="G2603" s="0" t="s">
        <v>38</v>
      </c>
      <c r="H2603" s="0" t="s">
        <v>38</v>
      </c>
      <c r="I2603" s="0" t="s">
        <v>34</v>
      </c>
      <c r="J2603" s="0" t="n">
        <v>1.6</v>
      </c>
      <c r="K2603" s="0" t="s">
        <v>35</v>
      </c>
      <c r="L2603" s="0" t="n">
        <f aca="false">INDEX(Summary!$F$2:$F$201,MATCH($B2603,Summary!$A$2:$A$201,0))</f>
        <v>20</v>
      </c>
      <c r="M2603" s="0" t="n">
        <f aca="false">INDEX(Summary!$I$2:$I$201,MATCH($B2603,Summary!$A$2:$A$201,0))</f>
        <v>3</v>
      </c>
      <c r="N2603" s="0" t="n">
        <f aca="false">INDEX(Summary!$J$2:$J$201,MATCH($B2603,Summary!$A$2:$A$201,0))</f>
        <v>2</v>
      </c>
      <c r="O2603" s="2" t="n">
        <f aca="false">INDEX(Summary!$K$2:$K$201,MATCH($B2603,Summary!$A$2:$A$201,0))</f>
        <v>8.54</v>
      </c>
      <c r="P2603" s="3" t="n">
        <f aca="false">INDEX(Summary!$L$2:$L$201,MATCH($B2603,Summary!$A$2:$A$201,0))</f>
        <v>5</v>
      </c>
      <c r="Q2603" s="3" t="n">
        <f aca="false">INDEX(Summary!$M$2:$M$201,MATCH($B2603,Summary!$A$2:$A$201,0))</f>
        <v>1</v>
      </c>
      <c r="R2603" s="2" t="n">
        <f aca="false">INDEX(Summary!$N$2:$N$201,MATCH($B2603,Summary!$A$2:$A$201,0))</f>
        <v>9.82</v>
      </c>
      <c r="S2603" s="3" t="n">
        <f aca="false">INDEX(Summary!$O$2:$O$201,MATCH($B2603,Summary!$A$2:$A$201,0))</f>
        <v>8</v>
      </c>
      <c r="T2603" s="3" t="n">
        <f aca="false">INDEX(Summary!$P$2:$P$201,MATCH($B2603,Summary!$A$2:$A$201,0))</f>
        <v>1</v>
      </c>
      <c r="U2603" s="2" t="n">
        <f aca="false">INDEX(Summary!$Q$2:$Q$201,MATCH($B2603,Summary!$A$2:$A$201,0))</f>
        <v>11.69</v>
      </c>
      <c r="V2603" s="2" t="n">
        <f aca="false">INDEX(Summary!$R$2:$R$201,MATCH($B2603,Summary!$A$2:$A$201,0))</f>
        <v>30.36</v>
      </c>
      <c r="W2603" s="0" t="str">
        <f aca="false">INDEX(Summary!$S$2:$S$201,MATCH($B2603,Summary!$A$2:$A$201,0))</f>
        <v>Gold</v>
      </c>
      <c r="X2603" s="2" t="n">
        <f aca="false">INDEX(Summary!$T$2:$T$201,MATCH($B2603,Summary!$A$2:$A$201,0))</f>
        <v>74.05</v>
      </c>
      <c r="Y2603" s="0" t="str">
        <f aca="false">INDEX('Reward Model'!$E$18:$E$37,MATCH($E2603,'Reward Model'!$A$18:$A$37,0))</f>
        <v>Low</v>
      </c>
      <c r="Z2603" s="4" t="n">
        <f aca="false">ROUND(MIN(1,MAX('Reward Model'!$B$2,INDEX('Reward Model'!$C$12:$C$14,MATCH($K2603,'Reward Model'!$A$12:$A$14,0))/$J2603)),3)</f>
        <v>0.938</v>
      </c>
      <c r="AA2603" s="2" t="n">
        <f aca="false">IF($I2603="Correct",ROUND(INDEX('Reward Model'!$B$12:$B$14,MATCH($K2603,'Reward Model'!$A$12:$A$14,0))*Z2603,2),0)</f>
        <v>0.94</v>
      </c>
      <c r="AB2603" s="2" t="n">
        <f aca="false">IF($I2603="Correct",ROUND(INDEX('Reward Model'!$B$12:$B$14,MATCH($Y2603,'Reward Model'!$A$12:$A$14,0))*Z2603,2),0)</f>
        <v>0.94</v>
      </c>
    </row>
    <row r="2604" customFormat="false" ht="15" hidden="false" customHeight="false" outlineLevel="0" collapsed="false">
      <c r="A2604" s="0" t="s">
        <v>392</v>
      </c>
      <c r="B2604" s="0" t="s">
        <v>393</v>
      </c>
      <c r="C2604" s="0" t="s">
        <v>322</v>
      </c>
      <c r="D2604" s="0" t="s">
        <v>189</v>
      </c>
      <c r="E2604" s="0" t="n">
        <v>3</v>
      </c>
      <c r="F2604" s="0" t="s">
        <v>40</v>
      </c>
      <c r="G2604" s="0" t="s">
        <v>142</v>
      </c>
      <c r="H2604" s="0" t="s">
        <v>42</v>
      </c>
      <c r="I2604" s="0" t="s">
        <v>39</v>
      </c>
      <c r="J2604" s="0" t="n">
        <v>1.22</v>
      </c>
      <c r="K2604" s="0" t="s">
        <v>35</v>
      </c>
      <c r="L2604" s="0" t="n">
        <f aca="false">INDEX(Summary!$F$2:$F$201,MATCH($B2604,Summary!$A$2:$A$201,0))</f>
        <v>20</v>
      </c>
      <c r="M2604" s="0" t="n">
        <f aca="false">INDEX(Summary!$I$2:$I$201,MATCH($B2604,Summary!$A$2:$A$201,0))</f>
        <v>3</v>
      </c>
      <c r="N2604" s="0" t="n">
        <f aca="false">INDEX(Summary!$J$2:$J$201,MATCH($B2604,Summary!$A$2:$A$201,0))</f>
        <v>2</v>
      </c>
      <c r="O2604" s="2" t="n">
        <f aca="false">INDEX(Summary!$K$2:$K$201,MATCH($B2604,Summary!$A$2:$A$201,0))</f>
        <v>8.54</v>
      </c>
      <c r="P2604" s="3" t="n">
        <f aca="false">INDEX(Summary!$L$2:$L$201,MATCH($B2604,Summary!$A$2:$A$201,0))</f>
        <v>5</v>
      </c>
      <c r="Q2604" s="3" t="n">
        <f aca="false">INDEX(Summary!$M$2:$M$201,MATCH($B2604,Summary!$A$2:$A$201,0))</f>
        <v>1</v>
      </c>
      <c r="R2604" s="2" t="n">
        <f aca="false">INDEX(Summary!$N$2:$N$201,MATCH($B2604,Summary!$A$2:$A$201,0))</f>
        <v>9.82</v>
      </c>
      <c r="S2604" s="3" t="n">
        <f aca="false">INDEX(Summary!$O$2:$O$201,MATCH($B2604,Summary!$A$2:$A$201,0))</f>
        <v>8</v>
      </c>
      <c r="T2604" s="3" t="n">
        <f aca="false">INDEX(Summary!$P$2:$P$201,MATCH($B2604,Summary!$A$2:$A$201,0))</f>
        <v>1</v>
      </c>
      <c r="U2604" s="2" t="n">
        <f aca="false">INDEX(Summary!$Q$2:$Q$201,MATCH($B2604,Summary!$A$2:$A$201,0))</f>
        <v>11.69</v>
      </c>
      <c r="V2604" s="2" t="n">
        <f aca="false">INDEX(Summary!$R$2:$R$201,MATCH($B2604,Summary!$A$2:$A$201,0))</f>
        <v>30.36</v>
      </c>
      <c r="W2604" s="0" t="str">
        <f aca="false">INDEX(Summary!$S$2:$S$201,MATCH($B2604,Summary!$A$2:$A$201,0))</f>
        <v>Gold</v>
      </c>
      <c r="X2604" s="2" t="n">
        <f aca="false">INDEX(Summary!$T$2:$T$201,MATCH($B2604,Summary!$A$2:$A$201,0))</f>
        <v>74.05</v>
      </c>
      <c r="Y2604" s="0" t="str">
        <f aca="false">INDEX('Reward Model'!$E$18:$E$37,MATCH($E2604,'Reward Model'!$A$18:$A$37,0))</f>
        <v>Medium</v>
      </c>
      <c r="Z2604" s="4" t="n">
        <f aca="false">ROUND(MIN(1,MAX('Reward Model'!$B$2,INDEX('Reward Model'!$C$12:$C$14,MATCH($K2604,'Reward Model'!$A$12:$A$14,0))/$J2604)),3)</f>
        <v>1</v>
      </c>
      <c r="AA2604" s="2" t="n">
        <f aca="false">IF($I2604="Correct",ROUND(INDEX('Reward Model'!$B$12:$B$14,MATCH($K2604,'Reward Model'!$A$12:$A$14,0))*Z2604,2),0)</f>
        <v>0</v>
      </c>
      <c r="AB2604" s="2" t="n">
        <f aca="false">IF($I2604="Correct",ROUND(INDEX('Reward Model'!$B$12:$B$14,MATCH($Y2604,'Reward Model'!$A$12:$A$14,0))*Z2604,2),0)</f>
        <v>0</v>
      </c>
    </row>
    <row r="2605" customFormat="false" ht="15" hidden="false" customHeight="false" outlineLevel="0" collapsed="false">
      <c r="A2605" s="0" t="s">
        <v>392</v>
      </c>
      <c r="B2605" s="0" t="s">
        <v>393</v>
      </c>
      <c r="C2605" s="0" t="s">
        <v>322</v>
      </c>
      <c r="D2605" s="0" t="s">
        <v>189</v>
      </c>
      <c r="E2605" s="0" t="n">
        <v>4</v>
      </c>
      <c r="F2605" s="0" t="s">
        <v>43</v>
      </c>
      <c r="G2605" s="0" t="s">
        <v>45</v>
      </c>
      <c r="H2605" s="0" t="s">
        <v>45</v>
      </c>
      <c r="I2605" s="0" t="s">
        <v>34</v>
      </c>
      <c r="J2605" s="0" t="n">
        <v>1.49</v>
      </c>
      <c r="K2605" s="0" t="s">
        <v>35</v>
      </c>
      <c r="L2605" s="0" t="n">
        <f aca="false">INDEX(Summary!$F$2:$F$201,MATCH($B2605,Summary!$A$2:$A$201,0))</f>
        <v>20</v>
      </c>
      <c r="M2605" s="0" t="n">
        <f aca="false">INDEX(Summary!$I$2:$I$201,MATCH($B2605,Summary!$A$2:$A$201,0))</f>
        <v>3</v>
      </c>
      <c r="N2605" s="0" t="n">
        <f aca="false">INDEX(Summary!$J$2:$J$201,MATCH($B2605,Summary!$A$2:$A$201,0))</f>
        <v>2</v>
      </c>
      <c r="O2605" s="2" t="n">
        <f aca="false">INDEX(Summary!$K$2:$K$201,MATCH($B2605,Summary!$A$2:$A$201,0))</f>
        <v>8.54</v>
      </c>
      <c r="P2605" s="3" t="n">
        <f aca="false">INDEX(Summary!$L$2:$L$201,MATCH($B2605,Summary!$A$2:$A$201,0))</f>
        <v>5</v>
      </c>
      <c r="Q2605" s="3" t="n">
        <f aca="false">INDEX(Summary!$M$2:$M$201,MATCH($B2605,Summary!$A$2:$A$201,0))</f>
        <v>1</v>
      </c>
      <c r="R2605" s="2" t="n">
        <f aca="false">INDEX(Summary!$N$2:$N$201,MATCH($B2605,Summary!$A$2:$A$201,0))</f>
        <v>9.82</v>
      </c>
      <c r="S2605" s="3" t="n">
        <f aca="false">INDEX(Summary!$O$2:$O$201,MATCH($B2605,Summary!$A$2:$A$201,0))</f>
        <v>8</v>
      </c>
      <c r="T2605" s="3" t="n">
        <f aca="false">INDEX(Summary!$P$2:$P$201,MATCH($B2605,Summary!$A$2:$A$201,0))</f>
        <v>1</v>
      </c>
      <c r="U2605" s="2" t="n">
        <f aca="false">INDEX(Summary!$Q$2:$Q$201,MATCH($B2605,Summary!$A$2:$A$201,0))</f>
        <v>11.69</v>
      </c>
      <c r="V2605" s="2" t="n">
        <f aca="false">INDEX(Summary!$R$2:$R$201,MATCH($B2605,Summary!$A$2:$A$201,0))</f>
        <v>30.36</v>
      </c>
      <c r="W2605" s="0" t="str">
        <f aca="false">INDEX(Summary!$S$2:$S$201,MATCH($B2605,Summary!$A$2:$A$201,0))</f>
        <v>Gold</v>
      </c>
      <c r="X2605" s="2" t="n">
        <f aca="false">INDEX(Summary!$T$2:$T$201,MATCH($B2605,Summary!$A$2:$A$201,0))</f>
        <v>74.05</v>
      </c>
      <c r="Y2605" s="0" t="str">
        <f aca="false">INDEX('Reward Model'!$E$18:$E$37,MATCH($E2605,'Reward Model'!$A$18:$A$37,0))</f>
        <v>Low</v>
      </c>
      <c r="Z2605" s="4" t="n">
        <f aca="false">ROUND(MIN(1,MAX('Reward Model'!$B$2,INDEX('Reward Model'!$C$12:$C$14,MATCH($K2605,'Reward Model'!$A$12:$A$14,0))/$J2605)),3)</f>
        <v>1</v>
      </c>
      <c r="AA2605" s="2" t="n">
        <f aca="false">IF($I2605="Correct",ROUND(INDEX('Reward Model'!$B$12:$B$14,MATCH($K2605,'Reward Model'!$A$12:$A$14,0))*Z2605,2),0)</f>
        <v>1</v>
      </c>
      <c r="AB2605" s="2" t="n">
        <f aca="false">IF($I2605="Correct",ROUND(INDEX('Reward Model'!$B$12:$B$14,MATCH($Y2605,'Reward Model'!$A$12:$A$14,0))*Z2605,2),0)</f>
        <v>1</v>
      </c>
    </row>
    <row r="2606" customFormat="false" ht="15" hidden="false" customHeight="false" outlineLevel="0" collapsed="false">
      <c r="A2606" s="0" t="s">
        <v>392</v>
      </c>
      <c r="B2606" s="0" t="s">
        <v>393</v>
      </c>
      <c r="C2606" s="0" t="s">
        <v>322</v>
      </c>
      <c r="D2606" s="0" t="s">
        <v>189</v>
      </c>
      <c r="E2606" s="0" t="n">
        <v>5</v>
      </c>
      <c r="F2606" s="0" t="s">
        <v>46</v>
      </c>
      <c r="G2606" s="0" t="s">
        <v>47</v>
      </c>
      <c r="H2606" s="0" t="s">
        <v>47</v>
      </c>
      <c r="I2606" s="0" t="s">
        <v>34</v>
      </c>
      <c r="J2606" s="0" t="n">
        <v>1.22</v>
      </c>
      <c r="K2606" s="0" t="s">
        <v>35</v>
      </c>
      <c r="L2606" s="0" t="n">
        <f aca="false">INDEX(Summary!$F$2:$F$201,MATCH($B2606,Summary!$A$2:$A$201,0))</f>
        <v>20</v>
      </c>
      <c r="M2606" s="0" t="n">
        <f aca="false">INDEX(Summary!$I$2:$I$201,MATCH($B2606,Summary!$A$2:$A$201,0))</f>
        <v>3</v>
      </c>
      <c r="N2606" s="0" t="n">
        <f aca="false">INDEX(Summary!$J$2:$J$201,MATCH($B2606,Summary!$A$2:$A$201,0))</f>
        <v>2</v>
      </c>
      <c r="O2606" s="2" t="n">
        <f aca="false">INDEX(Summary!$K$2:$K$201,MATCH($B2606,Summary!$A$2:$A$201,0))</f>
        <v>8.54</v>
      </c>
      <c r="P2606" s="3" t="n">
        <f aca="false">INDEX(Summary!$L$2:$L$201,MATCH($B2606,Summary!$A$2:$A$201,0))</f>
        <v>5</v>
      </c>
      <c r="Q2606" s="3" t="n">
        <f aca="false">INDEX(Summary!$M$2:$M$201,MATCH($B2606,Summary!$A$2:$A$201,0))</f>
        <v>1</v>
      </c>
      <c r="R2606" s="2" t="n">
        <f aca="false">INDEX(Summary!$N$2:$N$201,MATCH($B2606,Summary!$A$2:$A$201,0))</f>
        <v>9.82</v>
      </c>
      <c r="S2606" s="3" t="n">
        <f aca="false">INDEX(Summary!$O$2:$O$201,MATCH($B2606,Summary!$A$2:$A$201,0))</f>
        <v>8</v>
      </c>
      <c r="T2606" s="3" t="n">
        <f aca="false">INDEX(Summary!$P$2:$P$201,MATCH($B2606,Summary!$A$2:$A$201,0))</f>
        <v>1</v>
      </c>
      <c r="U2606" s="2" t="n">
        <f aca="false">INDEX(Summary!$Q$2:$Q$201,MATCH($B2606,Summary!$A$2:$A$201,0))</f>
        <v>11.69</v>
      </c>
      <c r="V2606" s="2" t="n">
        <f aca="false">INDEX(Summary!$R$2:$R$201,MATCH($B2606,Summary!$A$2:$A$201,0))</f>
        <v>30.36</v>
      </c>
      <c r="W2606" s="0" t="str">
        <f aca="false">INDEX(Summary!$S$2:$S$201,MATCH($B2606,Summary!$A$2:$A$201,0))</f>
        <v>Gold</v>
      </c>
      <c r="X2606" s="2" t="n">
        <f aca="false">INDEX(Summary!$T$2:$T$201,MATCH($B2606,Summary!$A$2:$A$201,0))</f>
        <v>74.05</v>
      </c>
      <c r="Y2606" s="0" t="str">
        <f aca="false">INDEX('Reward Model'!$E$18:$E$37,MATCH($E2606,'Reward Model'!$A$18:$A$37,0))</f>
        <v>Low</v>
      </c>
      <c r="Z2606" s="4" t="n">
        <f aca="false">ROUND(MIN(1,MAX('Reward Model'!$B$2,INDEX('Reward Model'!$C$12:$C$14,MATCH($K2606,'Reward Model'!$A$12:$A$14,0))/$J2606)),3)</f>
        <v>1</v>
      </c>
      <c r="AA2606" s="2" t="n">
        <f aca="false">IF($I2606="Correct",ROUND(INDEX('Reward Model'!$B$12:$B$14,MATCH($K2606,'Reward Model'!$A$12:$A$14,0))*Z2606,2),0)</f>
        <v>1</v>
      </c>
      <c r="AB2606" s="2" t="n">
        <f aca="false">IF($I2606="Correct",ROUND(INDEX('Reward Model'!$B$12:$B$14,MATCH($Y2606,'Reward Model'!$A$12:$A$14,0))*Z2606,2),0)</f>
        <v>1</v>
      </c>
    </row>
    <row r="2607" customFormat="false" ht="15" hidden="false" customHeight="false" outlineLevel="0" collapsed="false">
      <c r="A2607" s="0" t="s">
        <v>392</v>
      </c>
      <c r="B2607" s="0" t="s">
        <v>393</v>
      </c>
      <c r="C2607" s="0" t="s">
        <v>322</v>
      </c>
      <c r="D2607" s="0" t="s">
        <v>189</v>
      </c>
      <c r="E2607" s="0" t="n">
        <v>6</v>
      </c>
      <c r="F2607" s="0" t="s">
        <v>48</v>
      </c>
      <c r="G2607" s="0" t="s">
        <v>49</v>
      </c>
      <c r="H2607" s="0" t="s">
        <v>49</v>
      </c>
      <c r="I2607" s="0" t="s">
        <v>34</v>
      </c>
      <c r="J2607" s="0" t="n">
        <v>0.96</v>
      </c>
      <c r="K2607" s="0" t="s">
        <v>35</v>
      </c>
      <c r="L2607" s="0" t="n">
        <f aca="false">INDEX(Summary!$F$2:$F$201,MATCH($B2607,Summary!$A$2:$A$201,0))</f>
        <v>20</v>
      </c>
      <c r="M2607" s="0" t="n">
        <f aca="false">INDEX(Summary!$I$2:$I$201,MATCH($B2607,Summary!$A$2:$A$201,0))</f>
        <v>3</v>
      </c>
      <c r="N2607" s="0" t="n">
        <f aca="false">INDEX(Summary!$J$2:$J$201,MATCH($B2607,Summary!$A$2:$A$201,0))</f>
        <v>2</v>
      </c>
      <c r="O2607" s="2" t="n">
        <f aca="false">INDEX(Summary!$K$2:$K$201,MATCH($B2607,Summary!$A$2:$A$201,0))</f>
        <v>8.54</v>
      </c>
      <c r="P2607" s="3" t="n">
        <f aca="false">INDEX(Summary!$L$2:$L$201,MATCH($B2607,Summary!$A$2:$A$201,0))</f>
        <v>5</v>
      </c>
      <c r="Q2607" s="3" t="n">
        <f aca="false">INDEX(Summary!$M$2:$M$201,MATCH($B2607,Summary!$A$2:$A$201,0))</f>
        <v>1</v>
      </c>
      <c r="R2607" s="2" t="n">
        <f aca="false">INDEX(Summary!$N$2:$N$201,MATCH($B2607,Summary!$A$2:$A$201,0))</f>
        <v>9.82</v>
      </c>
      <c r="S2607" s="3" t="n">
        <f aca="false">INDEX(Summary!$O$2:$O$201,MATCH($B2607,Summary!$A$2:$A$201,0))</f>
        <v>8</v>
      </c>
      <c r="T2607" s="3" t="n">
        <f aca="false">INDEX(Summary!$P$2:$P$201,MATCH($B2607,Summary!$A$2:$A$201,0))</f>
        <v>1</v>
      </c>
      <c r="U2607" s="2" t="n">
        <f aca="false">INDEX(Summary!$Q$2:$Q$201,MATCH($B2607,Summary!$A$2:$A$201,0))</f>
        <v>11.69</v>
      </c>
      <c r="V2607" s="2" t="n">
        <f aca="false">INDEX(Summary!$R$2:$R$201,MATCH($B2607,Summary!$A$2:$A$201,0))</f>
        <v>30.36</v>
      </c>
      <c r="W2607" s="0" t="str">
        <f aca="false">INDEX(Summary!$S$2:$S$201,MATCH($B2607,Summary!$A$2:$A$201,0))</f>
        <v>Gold</v>
      </c>
      <c r="X2607" s="2" t="n">
        <f aca="false">INDEX(Summary!$T$2:$T$201,MATCH($B2607,Summary!$A$2:$A$201,0))</f>
        <v>74.05</v>
      </c>
      <c r="Y2607" s="0" t="str">
        <f aca="false">INDEX('Reward Model'!$E$18:$E$37,MATCH($E2607,'Reward Model'!$A$18:$A$37,0))</f>
        <v>Medium</v>
      </c>
      <c r="Z2607" s="4" t="n">
        <f aca="false">ROUND(MIN(1,MAX('Reward Model'!$B$2,INDEX('Reward Model'!$C$12:$C$14,MATCH($K2607,'Reward Model'!$A$12:$A$14,0))/$J2607)),3)</f>
        <v>1</v>
      </c>
      <c r="AA2607" s="2" t="n">
        <f aca="false">IF($I2607="Correct",ROUND(INDEX('Reward Model'!$B$12:$B$14,MATCH($K2607,'Reward Model'!$A$12:$A$14,0))*Z2607,2),0)</f>
        <v>1</v>
      </c>
      <c r="AB2607" s="2" t="n">
        <f aca="false">IF($I2607="Correct",ROUND(INDEX('Reward Model'!$B$12:$B$14,MATCH($Y2607,'Reward Model'!$A$12:$A$14,0))*Z2607,2),0)</f>
        <v>2</v>
      </c>
    </row>
    <row r="2608" customFormat="false" ht="15" hidden="false" customHeight="false" outlineLevel="0" collapsed="false">
      <c r="A2608" s="0" t="s">
        <v>392</v>
      </c>
      <c r="B2608" s="0" t="s">
        <v>393</v>
      </c>
      <c r="C2608" s="0" t="s">
        <v>322</v>
      </c>
      <c r="D2608" s="0" t="s">
        <v>189</v>
      </c>
      <c r="E2608" s="0" t="n">
        <v>7</v>
      </c>
      <c r="F2608" s="0" t="s">
        <v>50</v>
      </c>
      <c r="G2608" s="0" t="s">
        <v>51</v>
      </c>
      <c r="H2608" s="0" t="s">
        <v>51</v>
      </c>
      <c r="I2608" s="0" t="s">
        <v>34</v>
      </c>
      <c r="J2608" s="0" t="n">
        <v>1.28</v>
      </c>
      <c r="K2608" s="0" t="s">
        <v>35</v>
      </c>
      <c r="L2608" s="0" t="n">
        <f aca="false">INDEX(Summary!$F$2:$F$201,MATCH($B2608,Summary!$A$2:$A$201,0))</f>
        <v>20</v>
      </c>
      <c r="M2608" s="0" t="n">
        <f aca="false">INDEX(Summary!$I$2:$I$201,MATCH($B2608,Summary!$A$2:$A$201,0))</f>
        <v>3</v>
      </c>
      <c r="N2608" s="0" t="n">
        <f aca="false">INDEX(Summary!$J$2:$J$201,MATCH($B2608,Summary!$A$2:$A$201,0))</f>
        <v>2</v>
      </c>
      <c r="O2608" s="2" t="n">
        <f aca="false">INDEX(Summary!$K$2:$K$201,MATCH($B2608,Summary!$A$2:$A$201,0))</f>
        <v>8.54</v>
      </c>
      <c r="P2608" s="3" t="n">
        <f aca="false">INDEX(Summary!$L$2:$L$201,MATCH($B2608,Summary!$A$2:$A$201,0))</f>
        <v>5</v>
      </c>
      <c r="Q2608" s="3" t="n">
        <f aca="false">INDEX(Summary!$M$2:$M$201,MATCH($B2608,Summary!$A$2:$A$201,0))</f>
        <v>1</v>
      </c>
      <c r="R2608" s="2" t="n">
        <f aca="false">INDEX(Summary!$N$2:$N$201,MATCH($B2608,Summary!$A$2:$A$201,0))</f>
        <v>9.82</v>
      </c>
      <c r="S2608" s="3" t="n">
        <f aca="false">INDEX(Summary!$O$2:$O$201,MATCH($B2608,Summary!$A$2:$A$201,0))</f>
        <v>8</v>
      </c>
      <c r="T2608" s="3" t="n">
        <f aca="false">INDEX(Summary!$P$2:$P$201,MATCH($B2608,Summary!$A$2:$A$201,0))</f>
        <v>1</v>
      </c>
      <c r="U2608" s="2" t="n">
        <f aca="false">INDEX(Summary!$Q$2:$Q$201,MATCH($B2608,Summary!$A$2:$A$201,0))</f>
        <v>11.69</v>
      </c>
      <c r="V2608" s="2" t="n">
        <f aca="false">INDEX(Summary!$R$2:$R$201,MATCH($B2608,Summary!$A$2:$A$201,0))</f>
        <v>30.36</v>
      </c>
      <c r="W2608" s="0" t="str">
        <f aca="false">INDEX(Summary!$S$2:$S$201,MATCH($B2608,Summary!$A$2:$A$201,0))</f>
        <v>Gold</v>
      </c>
      <c r="X2608" s="2" t="n">
        <f aca="false">INDEX(Summary!$T$2:$T$201,MATCH($B2608,Summary!$A$2:$A$201,0))</f>
        <v>74.05</v>
      </c>
      <c r="Y2608" s="0" t="str">
        <f aca="false">INDEX('Reward Model'!$E$18:$E$37,MATCH($E2608,'Reward Model'!$A$18:$A$37,0))</f>
        <v>Low</v>
      </c>
      <c r="Z2608" s="4" t="n">
        <f aca="false">ROUND(MIN(1,MAX('Reward Model'!$B$2,INDEX('Reward Model'!$C$12:$C$14,MATCH($K2608,'Reward Model'!$A$12:$A$14,0))/$J2608)),3)</f>
        <v>1</v>
      </c>
      <c r="AA2608" s="2" t="n">
        <f aca="false">IF($I2608="Correct",ROUND(INDEX('Reward Model'!$B$12:$B$14,MATCH($K2608,'Reward Model'!$A$12:$A$14,0))*Z2608,2),0)</f>
        <v>1</v>
      </c>
      <c r="AB2608" s="2" t="n">
        <f aca="false">IF($I2608="Correct",ROUND(INDEX('Reward Model'!$B$12:$B$14,MATCH($Y2608,'Reward Model'!$A$12:$A$14,0))*Z2608,2),0)</f>
        <v>1</v>
      </c>
    </row>
    <row r="2609" customFormat="false" ht="15" hidden="false" customHeight="false" outlineLevel="0" collapsed="false">
      <c r="A2609" s="0" t="s">
        <v>392</v>
      </c>
      <c r="B2609" s="0" t="s">
        <v>393</v>
      </c>
      <c r="C2609" s="0" t="s">
        <v>322</v>
      </c>
      <c r="D2609" s="0" t="s">
        <v>189</v>
      </c>
      <c r="E2609" s="0" t="n">
        <v>8</v>
      </c>
      <c r="F2609" s="0" t="s">
        <v>52</v>
      </c>
      <c r="G2609" s="0" t="s">
        <v>54</v>
      </c>
      <c r="H2609" s="0" t="s">
        <v>54</v>
      </c>
      <c r="I2609" s="0" t="s">
        <v>34</v>
      </c>
      <c r="J2609" s="0" t="n">
        <v>1.2</v>
      </c>
      <c r="K2609" s="0" t="s">
        <v>35</v>
      </c>
      <c r="L2609" s="0" t="n">
        <f aca="false">INDEX(Summary!$F$2:$F$201,MATCH($B2609,Summary!$A$2:$A$201,0))</f>
        <v>20</v>
      </c>
      <c r="M2609" s="0" t="n">
        <f aca="false">INDEX(Summary!$I$2:$I$201,MATCH($B2609,Summary!$A$2:$A$201,0))</f>
        <v>3</v>
      </c>
      <c r="N2609" s="0" t="n">
        <f aca="false">INDEX(Summary!$J$2:$J$201,MATCH($B2609,Summary!$A$2:$A$201,0))</f>
        <v>2</v>
      </c>
      <c r="O2609" s="2" t="n">
        <f aca="false">INDEX(Summary!$K$2:$K$201,MATCH($B2609,Summary!$A$2:$A$201,0))</f>
        <v>8.54</v>
      </c>
      <c r="P2609" s="3" t="n">
        <f aca="false">INDEX(Summary!$L$2:$L$201,MATCH($B2609,Summary!$A$2:$A$201,0))</f>
        <v>5</v>
      </c>
      <c r="Q2609" s="3" t="n">
        <f aca="false">INDEX(Summary!$M$2:$M$201,MATCH($B2609,Summary!$A$2:$A$201,0))</f>
        <v>1</v>
      </c>
      <c r="R2609" s="2" t="n">
        <f aca="false">INDEX(Summary!$N$2:$N$201,MATCH($B2609,Summary!$A$2:$A$201,0))</f>
        <v>9.82</v>
      </c>
      <c r="S2609" s="3" t="n">
        <f aca="false">INDEX(Summary!$O$2:$O$201,MATCH($B2609,Summary!$A$2:$A$201,0))</f>
        <v>8</v>
      </c>
      <c r="T2609" s="3" t="n">
        <f aca="false">INDEX(Summary!$P$2:$P$201,MATCH($B2609,Summary!$A$2:$A$201,0))</f>
        <v>1</v>
      </c>
      <c r="U2609" s="2" t="n">
        <f aca="false">INDEX(Summary!$Q$2:$Q$201,MATCH($B2609,Summary!$A$2:$A$201,0))</f>
        <v>11.69</v>
      </c>
      <c r="V2609" s="2" t="n">
        <f aca="false">INDEX(Summary!$R$2:$R$201,MATCH($B2609,Summary!$A$2:$A$201,0))</f>
        <v>30.36</v>
      </c>
      <c r="W2609" s="0" t="str">
        <f aca="false">INDEX(Summary!$S$2:$S$201,MATCH($B2609,Summary!$A$2:$A$201,0))</f>
        <v>Gold</v>
      </c>
      <c r="X2609" s="2" t="n">
        <f aca="false">INDEX(Summary!$T$2:$T$201,MATCH($B2609,Summary!$A$2:$A$201,0))</f>
        <v>74.05</v>
      </c>
      <c r="Y2609" s="0" t="str">
        <f aca="false">INDEX('Reward Model'!$E$18:$E$37,MATCH($E2609,'Reward Model'!$A$18:$A$37,0))</f>
        <v>Medium</v>
      </c>
      <c r="Z2609" s="4" t="n">
        <f aca="false">ROUND(MIN(1,MAX('Reward Model'!$B$2,INDEX('Reward Model'!$C$12:$C$14,MATCH($K2609,'Reward Model'!$A$12:$A$14,0))/$J2609)),3)</f>
        <v>1</v>
      </c>
      <c r="AA2609" s="2" t="n">
        <f aca="false">IF($I2609="Correct",ROUND(INDEX('Reward Model'!$B$12:$B$14,MATCH($K2609,'Reward Model'!$A$12:$A$14,0))*Z2609,2),0)</f>
        <v>1</v>
      </c>
      <c r="AB2609" s="2" t="n">
        <f aca="false">IF($I2609="Correct",ROUND(INDEX('Reward Model'!$B$12:$B$14,MATCH($Y2609,'Reward Model'!$A$12:$A$14,0))*Z2609,2),0)</f>
        <v>2</v>
      </c>
    </row>
    <row r="2610" customFormat="false" ht="15" hidden="false" customHeight="false" outlineLevel="0" collapsed="false">
      <c r="A2610" s="0" t="s">
        <v>392</v>
      </c>
      <c r="B2610" s="0" t="s">
        <v>393</v>
      </c>
      <c r="C2610" s="0" t="s">
        <v>322</v>
      </c>
      <c r="D2610" s="0" t="s">
        <v>189</v>
      </c>
      <c r="E2610" s="0" t="n">
        <v>9</v>
      </c>
      <c r="F2610" s="0" t="s">
        <v>55</v>
      </c>
      <c r="G2610" s="0" t="s">
        <v>57</v>
      </c>
      <c r="H2610" s="0" t="s">
        <v>57</v>
      </c>
      <c r="I2610" s="0" t="s">
        <v>34</v>
      </c>
      <c r="J2610" s="0" t="n">
        <v>1.56</v>
      </c>
      <c r="K2610" s="0" t="s">
        <v>35</v>
      </c>
      <c r="L2610" s="0" t="n">
        <f aca="false">INDEX(Summary!$F$2:$F$201,MATCH($B2610,Summary!$A$2:$A$201,0))</f>
        <v>20</v>
      </c>
      <c r="M2610" s="0" t="n">
        <f aca="false">INDEX(Summary!$I$2:$I$201,MATCH($B2610,Summary!$A$2:$A$201,0))</f>
        <v>3</v>
      </c>
      <c r="N2610" s="0" t="n">
        <f aca="false">INDEX(Summary!$J$2:$J$201,MATCH($B2610,Summary!$A$2:$A$201,0))</f>
        <v>2</v>
      </c>
      <c r="O2610" s="2" t="n">
        <f aca="false">INDEX(Summary!$K$2:$K$201,MATCH($B2610,Summary!$A$2:$A$201,0))</f>
        <v>8.54</v>
      </c>
      <c r="P2610" s="3" t="n">
        <f aca="false">INDEX(Summary!$L$2:$L$201,MATCH($B2610,Summary!$A$2:$A$201,0))</f>
        <v>5</v>
      </c>
      <c r="Q2610" s="3" t="n">
        <f aca="false">INDEX(Summary!$M$2:$M$201,MATCH($B2610,Summary!$A$2:$A$201,0))</f>
        <v>1</v>
      </c>
      <c r="R2610" s="2" t="n">
        <f aca="false">INDEX(Summary!$N$2:$N$201,MATCH($B2610,Summary!$A$2:$A$201,0))</f>
        <v>9.82</v>
      </c>
      <c r="S2610" s="3" t="n">
        <f aca="false">INDEX(Summary!$O$2:$O$201,MATCH($B2610,Summary!$A$2:$A$201,0))</f>
        <v>8</v>
      </c>
      <c r="T2610" s="3" t="n">
        <f aca="false">INDEX(Summary!$P$2:$P$201,MATCH($B2610,Summary!$A$2:$A$201,0))</f>
        <v>1</v>
      </c>
      <c r="U2610" s="2" t="n">
        <f aca="false">INDEX(Summary!$Q$2:$Q$201,MATCH($B2610,Summary!$A$2:$A$201,0))</f>
        <v>11.69</v>
      </c>
      <c r="V2610" s="2" t="n">
        <f aca="false">INDEX(Summary!$R$2:$R$201,MATCH($B2610,Summary!$A$2:$A$201,0))</f>
        <v>30.36</v>
      </c>
      <c r="W2610" s="0" t="str">
        <f aca="false">INDEX(Summary!$S$2:$S$201,MATCH($B2610,Summary!$A$2:$A$201,0))</f>
        <v>Gold</v>
      </c>
      <c r="X2610" s="2" t="n">
        <f aca="false">INDEX(Summary!$T$2:$T$201,MATCH($B2610,Summary!$A$2:$A$201,0))</f>
        <v>74.05</v>
      </c>
      <c r="Y2610" s="0" t="str">
        <f aca="false">INDEX('Reward Model'!$E$18:$E$37,MATCH($E2610,'Reward Model'!$A$18:$A$37,0))</f>
        <v>Medium</v>
      </c>
      <c r="Z2610" s="4" t="n">
        <f aca="false">ROUND(MIN(1,MAX('Reward Model'!$B$2,INDEX('Reward Model'!$C$12:$C$14,MATCH($K2610,'Reward Model'!$A$12:$A$14,0))/$J2610)),3)</f>
        <v>0.962</v>
      </c>
      <c r="AA2610" s="2" t="n">
        <f aca="false">IF($I2610="Correct",ROUND(INDEX('Reward Model'!$B$12:$B$14,MATCH($K2610,'Reward Model'!$A$12:$A$14,0))*Z2610,2),0)</f>
        <v>0.96</v>
      </c>
      <c r="AB2610" s="2" t="n">
        <f aca="false">IF($I2610="Correct",ROUND(INDEX('Reward Model'!$B$12:$B$14,MATCH($Y2610,'Reward Model'!$A$12:$A$14,0))*Z2610,2),0)</f>
        <v>1.92</v>
      </c>
    </row>
    <row r="2611" customFormat="false" ht="15" hidden="false" customHeight="false" outlineLevel="0" collapsed="false">
      <c r="A2611" s="0" t="s">
        <v>392</v>
      </c>
      <c r="B2611" s="0" t="s">
        <v>393</v>
      </c>
      <c r="C2611" s="0" t="s">
        <v>322</v>
      </c>
      <c r="D2611" s="0" t="s">
        <v>189</v>
      </c>
      <c r="E2611" s="0" t="n">
        <v>10</v>
      </c>
      <c r="F2611" s="0" t="s">
        <v>58</v>
      </c>
      <c r="G2611" s="0" t="s">
        <v>59</v>
      </c>
      <c r="H2611" s="0" t="s">
        <v>59</v>
      </c>
      <c r="I2611" s="0" t="s">
        <v>34</v>
      </c>
      <c r="J2611" s="0" t="n">
        <v>1.24</v>
      </c>
      <c r="K2611" s="0" t="s">
        <v>60</v>
      </c>
      <c r="L2611" s="0" t="n">
        <f aca="false">INDEX(Summary!$F$2:$F$201,MATCH($B2611,Summary!$A$2:$A$201,0))</f>
        <v>20</v>
      </c>
      <c r="M2611" s="0" t="n">
        <f aca="false">INDEX(Summary!$I$2:$I$201,MATCH($B2611,Summary!$A$2:$A$201,0))</f>
        <v>3</v>
      </c>
      <c r="N2611" s="0" t="n">
        <f aca="false">INDEX(Summary!$J$2:$J$201,MATCH($B2611,Summary!$A$2:$A$201,0))</f>
        <v>2</v>
      </c>
      <c r="O2611" s="2" t="n">
        <f aca="false">INDEX(Summary!$K$2:$K$201,MATCH($B2611,Summary!$A$2:$A$201,0))</f>
        <v>8.54</v>
      </c>
      <c r="P2611" s="3" t="n">
        <f aca="false">INDEX(Summary!$L$2:$L$201,MATCH($B2611,Summary!$A$2:$A$201,0))</f>
        <v>5</v>
      </c>
      <c r="Q2611" s="3" t="n">
        <f aca="false">INDEX(Summary!$M$2:$M$201,MATCH($B2611,Summary!$A$2:$A$201,0))</f>
        <v>1</v>
      </c>
      <c r="R2611" s="2" t="n">
        <f aca="false">INDEX(Summary!$N$2:$N$201,MATCH($B2611,Summary!$A$2:$A$201,0))</f>
        <v>9.82</v>
      </c>
      <c r="S2611" s="3" t="n">
        <f aca="false">INDEX(Summary!$O$2:$O$201,MATCH($B2611,Summary!$A$2:$A$201,0))</f>
        <v>8</v>
      </c>
      <c r="T2611" s="3" t="n">
        <f aca="false">INDEX(Summary!$P$2:$P$201,MATCH($B2611,Summary!$A$2:$A$201,0))</f>
        <v>1</v>
      </c>
      <c r="U2611" s="2" t="n">
        <f aca="false">INDEX(Summary!$Q$2:$Q$201,MATCH($B2611,Summary!$A$2:$A$201,0))</f>
        <v>11.69</v>
      </c>
      <c r="V2611" s="2" t="n">
        <f aca="false">INDEX(Summary!$R$2:$R$201,MATCH($B2611,Summary!$A$2:$A$201,0))</f>
        <v>30.36</v>
      </c>
      <c r="W2611" s="0" t="str">
        <f aca="false">INDEX(Summary!$S$2:$S$201,MATCH($B2611,Summary!$A$2:$A$201,0))</f>
        <v>Gold</v>
      </c>
      <c r="X2611" s="2" t="n">
        <f aca="false">INDEX(Summary!$T$2:$T$201,MATCH($B2611,Summary!$A$2:$A$201,0))</f>
        <v>74.05</v>
      </c>
      <c r="Y2611" s="0" t="str">
        <f aca="false">INDEX('Reward Model'!$E$18:$E$37,MATCH($E2611,'Reward Model'!$A$18:$A$37,0))</f>
        <v>Medium</v>
      </c>
      <c r="Z2611" s="4" t="n">
        <f aca="false">ROUND(MIN(1,MAX('Reward Model'!$B$2,INDEX('Reward Model'!$C$12:$C$14,MATCH($K2611,'Reward Model'!$A$12:$A$14,0))/$J2611)),3)</f>
        <v>1</v>
      </c>
      <c r="AA2611" s="2" t="n">
        <f aca="false">IF($I2611="Correct",ROUND(INDEX('Reward Model'!$B$12:$B$14,MATCH($K2611,'Reward Model'!$A$12:$A$14,0))*Z2611,2),0)</f>
        <v>2</v>
      </c>
      <c r="AB2611" s="2" t="n">
        <f aca="false">IF($I2611="Correct",ROUND(INDEX('Reward Model'!$B$12:$B$14,MATCH($Y2611,'Reward Model'!$A$12:$A$14,0))*Z2611,2),0)</f>
        <v>2</v>
      </c>
    </row>
    <row r="2612" customFormat="false" ht="15" hidden="false" customHeight="false" outlineLevel="0" collapsed="false">
      <c r="A2612" s="0" t="s">
        <v>392</v>
      </c>
      <c r="B2612" s="0" t="s">
        <v>393</v>
      </c>
      <c r="C2612" s="0" t="s">
        <v>322</v>
      </c>
      <c r="D2612" s="0" t="s">
        <v>189</v>
      </c>
      <c r="E2612" s="0" t="n">
        <v>11</v>
      </c>
      <c r="F2612" s="0" t="s">
        <v>61</v>
      </c>
      <c r="G2612" s="0" t="s">
        <v>63</v>
      </c>
      <c r="H2612" s="0" t="s">
        <v>63</v>
      </c>
      <c r="I2612" s="0" t="s">
        <v>34</v>
      </c>
      <c r="J2612" s="0" t="n">
        <v>1.79</v>
      </c>
      <c r="K2612" s="0" t="s">
        <v>60</v>
      </c>
      <c r="L2612" s="0" t="n">
        <f aca="false">INDEX(Summary!$F$2:$F$201,MATCH($B2612,Summary!$A$2:$A$201,0))</f>
        <v>20</v>
      </c>
      <c r="M2612" s="0" t="n">
        <f aca="false">INDEX(Summary!$I$2:$I$201,MATCH($B2612,Summary!$A$2:$A$201,0))</f>
        <v>3</v>
      </c>
      <c r="N2612" s="0" t="n">
        <f aca="false">INDEX(Summary!$J$2:$J$201,MATCH($B2612,Summary!$A$2:$A$201,0))</f>
        <v>2</v>
      </c>
      <c r="O2612" s="2" t="n">
        <f aca="false">INDEX(Summary!$K$2:$K$201,MATCH($B2612,Summary!$A$2:$A$201,0))</f>
        <v>8.54</v>
      </c>
      <c r="P2612" s="3" t="n">
        <f aca="false">INDEX(Summary!$L$2:$L$201,MATCH($B2612,Summary!$A$2:$A$201,0))</f>
        <v>5</v>
      </c>
      <c r="Q2612" s="3" t="n">
        <f aca="false">INDEX(Summary!$M$2:$M$201,MATCH($B2612,Summary!$A$2:$A$201,0))</f>
        <v>1</v>
      </c>
      <c r="R2612" s="2" t="n">
        <f aca="false">INDEX(Summary!$N$2:$N$201,MATCH($B2612,Summary!$A$2:$A$201,0))</f>
        <v>9.82</v>
      </c>
      <c r="S2612" s="3" t="n">
        <f aca="false">INDEX(Summary!$O$2:$O$201,MATCH($B2612,Summary!$A$2:$A$201,0))</f>
        <v>8</v>
      </c>
      <c r="T2612" s="3" t="n">
        <f aca="false">INDEX(Summary!$P$2:$P$201,MATCH($B2612,Summary!$A$2:$A$201,0))</f>
        <v>1</v>
      </c>
      <c r="U2612" s="2" t="n">
        <f aca="false">INDEX(Summary!$Q$2:$Q$201,MATCH($B2612,Summary!$A$2:$A$201,0))</f>
        <v>11.69</v>
      </c>
      <c r="V2612" s="2" t="n">
        <f aca="false">INDEX(Summary!$R$2:$R$201,MATCH($B2612,Summary!$A$2:$A$201,0))</f>
        <v>30.36</v>
      </c>
      <c r="W2612" s="0" t="str">
        <f aca="false">INDEX(Summary!$S$2:$S$201,MATCH($B2612,Summary!$A$2:$A$201,0))</f>
        <v>Gold</v>
      </c>
      <c r="X2612" s="2" t="n">
        <f aca="false">INDEX(Summary!$T$2:$T$201,MATCH($B2612,Summary!$A$2:$A$201,0))</f>
        <v>74.05</v>
      </c>
      <c r="Y2612" s="0" t="str">
        <f aca="false">INDEX('Reward Model'!$E$18:$E$37,MATCH($E2612,'Reward Model'!$A$18:$A$37,0))</f>
        <v>Medium</v>
      </c>
      <c r="Z2612" s="4" t="n">
        <f aca="false">ROUND(MIN(1,MAX('Reward Model'!$B$2,INDEX('Reward Model'!$C$12:$C$14,MATCH($K2612,'Reward Model'!$A$12:$A$14,0))/$J2612)),3)</f>
        <v>1</v>
      </c>
      <c r="AA2612" s="2" t="n">
        <f aca="false">IF($I2612="Correct",ROUND(INDEX('Reward Model'!$B$12:$B$14,MATCH($K2612,'Reward Model'!$A$12:$A$14,0))*Z2612,2),0)</f>
        <v>2</v>
      </c>
      <c r="AB2612" s="2" t="n">
        <f aca="false">IF($I2612="Correct",ROUND(INDEX('Reward Model'!$B$12:$B$14,MATCH($Y2612,'Reward Model'!$A$12:$A$14,0))*Z2612,2),0)</f>
        <v>2</v>
      </c>
    </row>
    <row r="2613" customFormat="false" ht="15" hidden="false" customHeight="false" outlineLevel="0" collapsed="false">
      <c r="A2613" s="0" t="s">
        <v>392</v>
      </c>
      <c r="B2613" s="0" t="s">
        <v>393</v>
      </c>
      <c r="C2613" s="0" t="s">
        <v>322</v>
      </c>
      <c r="D2613" s="0" t="s">
        <v>189</v>
      </c>
      <c r="E2613" s="0" t="n">
        <v>12</v>
      </c>
      <c r="F2613" s="0" t="s">
        <v>64</v>
      </c>
      <c r="G2613" s="0" t="s">
        <v>65</v>
      </c>
      <c r="H2613" s="0" t="s">
        <v>65</v>
      </c>
      <c r="I2613" s="0" t="s">
        <v>34</v>
      </c>
      <c r="J2613" s="0" t="n">
        <v>1.33</v>
      </c>
      <c r="K2613" s="0" t="s">
        <v>60</v>
      </c>
      <c r="L2613" s="0" t="n">
        <f aca="false">INDEX(Summary!$F$2:$F$201,MATCH($B2613,Summary!$A$2:$A$201,0))</f>
        <v>20</v>
      </c>
      <c r="M2613" s="0" t="n">
        <f aca="false">INDEX(Summary!$I$2:$I$201,MATCH($B2613,Summary!$A$2:$A$201,0))</f>
        <v>3</v>
      </c>
      <c r="N2613" s="0" t="n">
        <f aca="false">INDEX(Summary!$J$2:$J$201,MATCH($B2613,Summary!$A$2:$A$201,0))</f>
        <v>2</v>
      </c>
      <c r="O2613" s="2" t="n">
        <f aca="false">INDEX(Summary!$K$2:$K$201,MATCH($B2613,Summary!$A$2:$A$201,0))</f>
        <v>8.54</v>
      </c>
      <c r="P2613" s="3" t="n">
        <f aca="false">INDEX(Summary!$L$2:$L$201,MATCH($B2613,Summary!$A$2:$A$201,0))</f>
        <v>5</v>
      </c>
      <c r="Q2613" s="3" t="n">
        <f aca="false">INDEX(Summary!$M$2:$M$201,MATCH($B2613,Summary!$A$2:$A$201,0))</f>
        <v>1</v>
      </c>
      <c r="R2613" s="2" t="n">
        <f aca="false">INDEX(Summary!$N$2:$N$201,MATCH($B2613,Summary!$A$2:$A$201,0))</f>
        <v>9.82</v>
      </c>
      <c r="S2613" s="3" t="n">
        <f aca="false">INDEX(Summary!$O$2:$O$201,MATCH($B2613,Summary!$A$2:$A$201,0))</f>
        <v>8</v>
      </c>
      <c r="T2613" s="3" t="n">
        <f aca="false">INDEX(Summary!$P$2:$P$201,MATCH($B2613,Summary!$A$2:$A$201,0))</f>
        <v>1</v>
      </c>
      <c r="U2613" s="2" t="n">
        <f aca="false">INDEX(Summary!$Q$2:$Q$201,MATCH($B2613,Summary!$A$2:$A$201,0))</f>
        <v>11.69</v>
      </c>
      <c r="V2613" s="2" t="n">
        <f aca="false">INDEX(Summary!$R$2:$R$201,MATCH($B2613,Summary!$A$2:$A$201,0))</f>
        <v>30.36</v>
      </c>
      <c r="W2613" s="0" t="str">
        <f aca="false">INDEX(Summary!$S$2:$S$201,MATCH($B2613,Summary!$A$2:$A$201,0))</f>
        <v>Gold</v>
      </c>
      <c r="X2613" s="2" t="n">
        <f aca="false">INDEX(Summary!$T$2:$T$201,MATCH($B2613,Summary!$A$2:$A$201,0))</f>
        <v>74.05</v>
      </c>
      <c r="Y2613" s="0" t="str">
        <f aca="false">INDEX('Reward Model'!$E$18:$E$37,MATCH($E2613,'Reward Model'!$A$18:$A$37,0))</f>
        <v>Medium</v>
      </c>
      <c r="Z2613" s="4" t="n">
        <f aca="false">ROUND(MIN(1,MAX('Reward Model'!$B$2,INDEX('Reward Model'!$C$12:$C$14,MATCH($K2613,'Reward Model'!$A$12:$A$14,0))/$J2613)),3)</f>
        <v>1</v>
      </c>
      <c r="AA2613" s="2" t="n">
        <f aca="false">IF($I2613="Correct",ROUND(INDEX('Reward Model'!$B$12:$B$14,MATCH($K2613,'Reward Model'!$A$12:$A$14,0))*Z2613,2),0)</f>
        <v>2</v>
      </c>
      <c r="AB2613" s="2" t="n">
        <f aca="false">IF($I2613="Correct",ROUND(INDEX('Reward Model'!$B$12:$B$14,MATCH($Y2613,'Reward Model'!$A$12:$A$14,0))*Z2613,2),0)</f>
        <v>2</v>
      </c>
    </row>
    <row r="2614" customFormat="false" ht="15" hidden="false" customHeight="false" outlineLevel="0" collapsed="false">
      <c r="A2614" s="0" t="s">
        <v>392</v>
      </c>
      <c r="B2614" s="0" t="s">
        <v>393</v>
      </c>
      <c r="C2614" s="0" t="s">
        <v>322</v>
      </c>
      <c r="D2614" s="0" t="s">
        <v>189</v>
      </c>
      <c r="E2614" s="0" t="n">
        <v>13</v>
      </c>
      <c r="F2614" s="0" t="s">
        <v>66</v>
      </c>
      <c r="G2614" s="0" t="s">
        <v>67</v>
      </c>
      <c r="H2614" s="0" t="s">
        <v>67</v>
      </c>
      <c r="I2614" s="0" t="s">
        <v>34</v>
      </c>
      <c r="J2614" s="0" t="n">
        <v>2.3</v>
      </c>
      <c r="K2614" s="0" t="s">
        <v>60</v>
      </c>
      <c r="L2614" s="0" t="n">
        <f aca="false">INDEX(Summary!$F$2:$F$201,MATCH($B2614,Summary!$A$2:$A$201,0))</f>
        <v>20</v>
      </c>
      <c r="M2614" s="0" t="n">
        <f aca="false">INDEX(Summary!$I$2:$I$201,MATCH($B2614,Summary!$A$2:$A$201,0))</f>
        <v>3</v>
      </c>
      <c r="N2614" s="0" t="n">
        <f aca="false">INDEX(Summary!$J$2:$J$201,MATCH($B2614,Summary!$A$2:$A$201,0))</f>
        <v>2</v>
      </c>
      <c r="O2614" s="2" t="n">
        <f aca="false">INDEX(Summary!$K$2:$K$201,MATCH($B2614,Summary!$A$2:$A$201,0))</f>
        <v>8.54</v>
      </c>
      <c r="P2614" s="3" t="n">
        <f aca="false">INDEX(Summary!$L$2:$L$201,MATCH($B2614,Summary!$A$2:$A$201,0))</f>
        <v>5</v>
      </c>
      <c r="Q2614" s="3" t="n">
        <f aca="false">INDEX(Summary!$M$2:$M$201,MATCH($B2614,Summary!$A$2:$A$201,0))</f>
        <v>1</v>
      </c>
      <c r="R2614" s="2" t="n">
        <f aca="false">INDEX(Summary!$N$2:$N$201,MATCH($B2614,Summary!$A$2:$A$201,0))</f>
        <v>9.82</v>
      </c>
      <c r="S2614" s="3" t="n">
        <f aca="false">INDEX(Summary!$O$2:$O$201,MATCH($B2614,Summary!$A$2:$A$201,0))</f>
        <v>8</v>
      </c>
      <c r="T2614" s="3" t="n">
        <f aca="false">INDEX(Summary!$P$2:$P$201,MATCH($B2614,Summary!$A$2:$A$201,0))</f>
        <v>1</v>
      </c>
      <c r="U2614" s="2" t="n">
        <f aca="false">INDEX(Summary!$Q$2:$Q$201,MATCH($B2614,Summary!$A$2:$A$201,0))</f>
        <v>11.69</v>
      </c>
      <c r="V2614" s="2" t="n">
        <f aca="false">INDEX(Summary!$R$2:$R$201,MATCH($B2614,Summary!$A$2:$A$201,0))</f>
        <v>30.36</v>
      </c>
      <c r="W2614" s="0" t="str">
        <f aca="false">INDEX(Summary!$S$2:$S$201,MATCH($B2614,Summary!$A$2:$A$201,0))</f>
        <v>Gold</v>
      </c>
      <c r="X2614" s="2" t="n">
        <f aca="false">INDEX(Summary!$T$2:$T$201,MATCH($B2614,Summary!$A$2:$A$201,0))</f>
        <v>74.05</v>
      </c>
      <c r="Y2614" s="0" t="str">
        <f aca="false">INDEX('Reward Model'!$E$18:$E$37,MATCH($E2614,'Reward Model'!$A$18:$A$37,0))</f>
        <v>Medium</v>
      </c>
      <c r="Z2614" s="4" t="n">
        <f aca="false">ROUND(MIN(1,MAX('Reward Model'!$B$2,INDEX('Reward Model'!$C$12:$C$14,MATCH($K2614,'Reward Model'!$A$12:$A$14,0))/$J2614)),3)</f>
        <v>0.783</v>
      </c>
      <c r="AA2614" s="2" t="n">
        <f aca="false">IF($I2614="Correct",ROUND(INDEX('Reward Model'!$B$12:$B$14,MATCH($K2614,'Reward Model'!$A$12:$A$14,0))*Z2614,2),0)</f>
        <v>1.57</v>
      </c>
      <c r="AB2614" s="2" t="n">
        <f aca="false">IF($I2614="Correct",ROUND(INDEX('Reward Model'!$B$12:$B$14,MATCH($Y2614,'Reward Model'!$A$12:$A$14,0))*Z2614,2),0)</f>
        <v>1.57</v>
      </c>
    </row>
    <row r="2615" customFormat="false" ht="15" hidden="false" customHeight="false" outlineLevel="0" collapsed="false">
      <c r="A2615" s="0" t="s">
        <v>392</v>
      </c>
      <c r="B2615" s="0" t="s">
        <v>393</v>
      </c>
      <c r="C2615" s="0" t="s">
        <v>322</v>
      </c>
      <c r="D2615" s="0" t="s">
        <v>189</v>
      </c>
      <c r="E2615" s="0" t="n">
        <v>14</v>
      </c>
      <c r="F2615" s="0" t="s">
        <v>68</v>
      </c>
      <c r="G2615" s="0" t="s">
        <v>51</v>
      </c>
      <c r="H2615" s="0" t="s">
        <v>51</v>
      </c>
      <c r="I2615" s="0" t="s">
        <v>34</v>
      </c>
      <c r="J2615" s="0" t="n">
        <v>1.53</v>
      </c>
      <c r="K2615" s="0" t="s">
        <v>60</v>
      </c>
      <c r="L2615" s="0" t="n">
        <f aca="false">INDEX(Summary!$F$2:$F$201,MATCH($B2615,Summary!$A$2:$A$201,0))</f>
        <v>20</v>
      </c>
      <c r="M2615" s="0" t="n">
        <f aca="false">INDEX(Summary!$I$2:$I$201,MATCH($B2615,Summary!$A$2:$A$201,0))</f>
        <v>3</v>
      </c>
      <c r="N2615" s="0" t="n">
        <f aca="false">INDEX(Summary!$J$2:$J$201,MATCH($B2615,Summary!$A$2:$A$201,0))</f>
        <v>2</v>
      </c>
      <c r="O2615" s="2" t="n">
        <f aca="false">INDEX(Summary!$K$2:$K$201,MATCH($B2615,Summary!$A$2:$A$201,0))</f>
        <v>8.54</v>
      </c>
      <c r="P2615" s="3" t="n">
        <f aca="false">INDEX(Summary!$L$2:$L$201,MATCH($B2615,Summary!$A$2:$A$201,0))</f>
        <v>5</v>
      </c>
      <c r="Q2615" s="3" t="n">
        <f aca="false">INDEX(Summary!$M$2:$M$201,MATCH($B2615,Summary!$A$2:$A$201,0))</f>
        <v>1</v>
      </c>
      <c r="R2615" s="2" t="n">
        <f aca="false">INDEX(Summary!$N$2:$N$201,MATCH($B2615,Summary!$A$2:$A$201,0))</f>
        <v>9.82</v>
      </c>
      <c r="S2615" s="3" t="n">
        <f aca="false">INDEX(Summary!$O$2:$O$201,MATCH($B2615,Summary!$A$2:$A$201,0))</f>
        <v>8</v>
      </c>
      <c r="T2615" s="3" t="n">
        <f aca="false">INDEX(Summary!$P$2:$P$201,MATCH($B2615,Summary!$A$2:$A$201,0))</f>
        <v>1</v>
      </c>
      <c r="U2615" s="2" t="n">
        <f aca="false">INDEX(Summary!$Q$2:$Q$201,MATCH($B2615,Summary!$A$2:$A$201,0))</f>
        <v>11.69</v>
      </c>
      <c r="V2615" s="2" t="n">
        <f aca="false">INDEX(Summary!$R$2:$R$201,MATCH($B2615,Summary!$A$2:$A$201,0))</f>
        <v>30.36</v>
      </c>
      <c r="W2615" s="0" t="str">
        <f aca="false">INDEX(Summary!$S$2:$S$201,MATCH($B2615,Summary!$A$2:$A$201,0))</f>
        <v>Gold</v>
      </c>
      <c r="X2615" s="2" t="n">
        <f aca="false">INDEX(Summary!$T$2:$T$201,MATCH($B2615,Summary!$A$2:$A$201,0))</f>
        <v>74.05</v>
      </c>
      <c r="Y2615" s="0" t="str">
        <f aca="false">INDEX('Reward Model'!$E$18:$E$37,MATCH($E2615,'Reward Model'!$A$18:$A$37,0))</f>
        <v>Medium</v>
      </c>
      <c r="Z2615" s="4" t="n">
        <f aca="false">ROUND(MIN(1,MAX('Reward Model'!$B$2,INDEX('Reward Model'!$C$12:$C$14,MATCH($K2615,'Reward Model'!$A$12:$A$14,0))/$J2615)),3)</f>
        <v>1</v>
      </c>
      <c r="AA2615" s="2" t="n">
        <f aca="false">IF($I2615="Correct",ROUND(INDEX('Reward Model'!$B$12:$B$14,MATCH($K2615,'Reward Model'!$A$12:$A$14,0))*Z2615,2),0)</f>
        <v>2</v>
      </c>
      <c r="AB2615" s="2" t="n">
        <f aca="false">IF($I2615="Correct",ROUND(INDEX('Reward Model'!$B$12:$B$14,MATCH($Y2615,'Reward Model'!$A$12:$A$14,0))*Z2615,2),0)</f>
        <v>2</v>
      </c>
    </row>
    <row r="2616" customFormat="false" ht="15" hidden="false" customHeight="false" outlineLevel="0" collapsed="false">
      <c r="A2616" s="0" t="s">
        <v>392</v>
      </c>
      <c r="B2616" s="0" t="s">
        <v>393</v>
      </c>
      <c r="C2616" s="0" t="s">
        <v>322</v>
      </c>
      <c r="D2616" s="0" t="s">
        <v>189</v>
      </c>
      <c r="E2616" s="0" t="n">
        <v>15</v>
      </c>
      <c r="F2616" s="0" t="s">
        <v>69</v>
      </c>
      <c r="G2616" s="0" t="s">
        <v>131</v>
      </c>
      <c r="H2616" s="0" t="s">
        <v>70</v>
      </c>
      <c r="I2616" s="0" t="s">
        <v>39</v>
      </c>
      <c r="J2616" s="0" t="n">
        <v>1.63</v>
      </c>
      <c r="K2616" s="0" t="s">
        <v>60</v>
      </c>
      <c r="L2616" s="0" t="n">
        <f aca="false">INDEX(Summary!$F$2:$F$201,MATCH($B2616,Summary!$A$2:$A$201,0))</f>
        <v>20</v>
      </c>
      <c r="M2616" s="0" t="n">
        <f aca="false">INDEX(Summary!$I$2:$I$201,MATCH($B2616,Summary!$A$2:$A$201,0))</f>
        <v>3</v>
      </c>
      <c r="N2616" s="0" t="n">
        <f aca="false">INDEX(Summary!$J$2:$J$201,MATCH($B2616,Summary!$A$2:$A$201,0))</f>
        <v>2</v>
      </c>
      <c r="O2616" s="2" t="n">
        <f aca="false">INDEX(Summary!$K$2:$K$201,MATCH($B2616,Summary!$A$2:$A$201,0))</f>
        <v>8.54</v>
      </c>
      <c r="P2616" s="3" t="n">
        <f aca="false">INDEX(Summary!$L$2:$L$201,MATCH($B2616,Summary!$A$2:$A$201,0))</f>
        <v>5</v>
      </c>
      <c r="Q2616" s="3" t="n">
        <f aca="false">INDEX(Summary!$M$2:$M$201,MATCH($B2616,Summary!$A$2:$A$201,0))</f>
        <v>1</v>
      </c>
      <c r="R2616" s="2" t="n">
        <f aca="false">INDEX(Summary!$N$2:$N$201,MATCH($B2616,Summary!$A$2:$A$201,0))</f>
        <v>9.82</v>
      </c>
      <c r="S2616" s="3" t="n">
        <f aca="false">INDEX(Summary!$O$2:$O$201,MATCH($B2616,Summary!$A$2:$A$201,0))</f>
        <v>8</v>
      </c>
      <c r="T2616" s="3" t="n">
        <f aca="false">INDEX(Summary!$P$2:$P$201,MATCH($B2616,Summary!$A$2:$A$201,0))</f>
        <v>1</v>
      </c>
      <c r="U2616" s="2" t="n">
        <f aca="false">INDEX(Summary!$Q$2:$Q$201,MATCH($B2616,Summary!$A$2:$A$201,0))</f>
        <v>11.69</v>
      </c>
      <c r="V2616" s="2" t="n">
        <f aca="false">INDEX(Summary!$R$2:$R$201,MATCH($B2616,Summary!$A$2:$A$201,0))</f>
        <v>30.36</v>
      </c>
      <c r="W2616" s="0" t="str">
        <f aca="false">INDEX(Summary!$S$2:$S$201,MATCH($B2616,Summary!$A$2:$A$201,0))</f>
        <v>Gold</v>
      </c>
      <c r="X2616" s="2" t="n">
        <f aca="false">INDEX(Summary!$T$2:$T$201,MATCH($B2616,Summary!$A$2:$A$201,0))</f>
        <v>74.05</v>
      </c>
      <c r="Y2616" s="0" t="str">
        <f aca="false">INDEX('Reward Model'!$E$18:$E$37,MATCH($E2616,'Reward Model'!$A$18:$A$37,0))</f>
        <v>Medium</v>
      </c>
      <c r="Z2616" s="4" t="n">
        <f aca="false">ROUND(MIN(1,MAX('Reward Model'!$B$2,INDEX('Reward Model'!$C$12:$C$14,MATCH($K2616,'Reward Model'!$A$12:$A$14,0))/$J2616)),3)</f>
        <v>1</v>
      </c>
      <c r="AA2616" s="2" t="n">
        <f aca="false">IF($I2616="Correct",ROUND(INDEX('Reward Model'!$B$12:$B$14,MATCH($K2616,'Reward Model'!$A$12:$A$14,0))*Z2616,2),0)</f>
        <v>0</v>
      </c>
      <c r="AB2616" s="2" t="n">
        <f aca="false">IF($I2616="Correct",ROUND(INDEX('Reward Model'!$B$12:$B$14,MATCH($Y2616,'Reward Model'!$A$12:$A$14,0))*Z2616,2),0)</f>
        <v>0</v>
      </c>
    </row>
    <row r="2617" customFormat="false" ht="15" hidden="false" customHeight="false" outlineLevel="0" collapsed="false">
      <c r="A2617" s="0" t="s">
        <v>392</v>
      </c>
      <c r="B2617" s="0" t="s">
        <v>393</v>
      </c>
      <c r="C2617" s="0" t="s">
        <v>322</v>
      </c>
      <c r="D2617" s="0" t="s">
        <v>189</v>
      </c>
      <c r="E2617" s="0" t="n">
        <v>16</v>
      </c>
      <c r="F2617" s="0" t="s">
        <v>71</v>
      </c>
      <c r="G2617" s="0" t="s">
        <v>72</v>
      </c>
      <c r="H2617" s="0" t="s">
        <v>72</v>
      </c>
      <c r="I2617" s="0" t="s">
        <v>34</v>
      </c>
      <c r="J2617" s="0" t="n">
        <v>2.05</v>
      </c>
      <c r="K2617" s="0" t="s">
        <v>73</v>
      </c>
      <c r="L2617" s="0" t="n">
        <f aca="false">INDEX(Summary!$F$2:$F$201,MATCH($B2617,Summary!$A$2:$A$201,0))</f>
        <v>20</v>
      </c>
      <c r="M2617" s="0" t="n">
        <f aca="false">INDEX(Summary!$I$2:$I$201,MATCH($B2617,Summary!$A$2:$A$201,0))</f>
        <v>3</v>
      </c>
      <c r="N2617" s="0" t="n">
        <f aca="false">INDEX(Summary!$J$2:$J$201,MATCH($B2617,Summary!$A$2:$A$201,0))</f>
        <v>2</v>
      </c>
      <c r="O2617" s="2" t="n">
        <f aca="false">INDEX(Summary!$K$2:$K$201,MATCH($B2617,Summary!$A$2:$A$201,0))</f>
        <v>8.54</v>
      </c>
      <c r="P2617" s="3" t="n">
        <f aca="false">INDEX(Summary!$L$2:$L$201,MATCH($B2617,Summary!$A$2:$A$201,0))</f>
        <v>5</v>
      </c>
      <c r="Q2617" s="3" t="n">
        <f aca="false">INDEX(Summary!$M$2:$M$201,MATCH($B2617,Summary!$A$2:$A$201,0))</f>
        <v>1</v>
      </c>
      <c r="R2617" s="2" t="n">
        <f aca="false">INDEX(Summary!$N$2:$N$201,MATCH($B2617,Summary!$A$2:$A$201,0))</f>
        <v>9.82</v>
      </c>
      <c r="S2617" s="3" t="n">
        <f aca="false">INDEX(Summary!$O$2:$O$201,MATCH($B2617,Summary!$A$2:$A$201,0))</f>
        <v>8</v>
      </c>
      <c r="T2617" s="3" t="n">
        <f aca="false">INDEX(Summary!$P$2:$P$201,MATCH($B2617,Summary!$A$2:$A$201,0))</f>
        <v>1</v>
      </c>
      <c r="U2617" s="2" t="n">
        <f aca="false">INDEX(Summary!$Q$2:$Q$201,MATCH($B2617,Summary!$A$2:$A$201,0))</f>
        <v>11.69</v>
      </c>
      <c r="V2617" s="2" t="n">
        <f aca="false">INDEX(Summary!$R$2:$R$201,MATCH($B2617,Summary!$A$2:$A$201,0))</f>
        <v>30.36</v>
      </c>
      <c r="W2617" s="0" t="str">
        <f aca="false">INDEX(Summary!$S$2:$S$201,MATCH($B2617,Summary!$A$2:$A$201,0))</f>
        <v>Gold</v>
      </c>
      <c r="X2617" s="2" t="n">
        <f aca="false">INDEX(Summary!$T$2:$T$201,MATCH($B2617,Summary!$A$2:$A$201,0))</f>
        <v>74.05</v>
      </c>
      <c r="Y2617" s="0" t="str">
        <f aca="false">INDEX('Reward Model'!$E$18:$E$37,MATCH($E2617,'Reward Model'!$A$18:$A$37,0))</f>
        <v>High</v>
      </c>
      <c r="Z2617" s="4" t="n">
        <f aca="false">ROUND(MIN(1,MAX('Reward Model'!$B$2,INDEX('Reward Model'!$C$12:$C$14,MATCH($K2617,'Reward Model'!$A$12:$A$14,0))/$J2617)),3)</f>
        <v>0.976</v>
      </c>
      <c r="AA2617" s="2" t="n">
        <f aca="false">IF($I2617="Correct",ROUND(INDEX('Reward Model'!$B$12:$B$14,MATCH($K2617,'Reward Model'!$A$12:$A$14,0))*Z2617,2),0)</f>
        <v>2.93</v>
      </c>
      <c r="AB2617" s="2" t="n">
        <f aca="false">IF($I2617="Correct",ROUND(INDEX('Reward Model'!$B$12:$B$14,MATCH($Y2617,'Reward Model'!$A$12:$A$14,0))*Z2617,2),0)</f>
        <v>2.93</v>
      </c>
    </row>
    <row r="2618" customFormat="false" ht="15" hidden="false" customHeight="false" outlineLevel="0" collapsed="false">
      <c r="A2618" s="0" t="s">
        <v>392</v>
      </c>
      <c r="B2618" s="0" t="s">
        <v>393</v>
      </c>
      <c r="C2618" s="0" t="s">
        <v>322</v>
      </c>
      <c r="D2618" s="0" t="s">
        <v>189</v>
      </c>
      <c r="E2618" s="0" t="n">
        <v>17</v>
      </c>
      <c r="F2618" s="0" t="s">
        <v>74</v>
      </c>
      <c r="G2618" s="0" t="s">
        <v>91</v>
      </c>
      <c r="H2618" s="0" t="s">
        <v>75</v>
      </c>
      <c r="I2618" s="0" t="s">
        <v>39</v>
      </c>
      <c r="J2618" s="0" t="n">
        <v>1.59</v>
      </c>
      <c r="K2618" s="0" t="s">
        <v>73</v>
      </c>
      <c r="L2618" s="0" t="n">
        <f aca="false">INDEX(Summary!$F$2:$F$201,MATCH($B2618,Summary!$A$2:$A$201,0))</f>
        <v>20</v>
      </c>
      <c r="M2618" s="0" t="n">
        <f aca="false">INDEX(Summary!$I$2:$I$201,MATCH($B2618,Summary!$A$2:$A$201,0))</f>
        <v>3</v>
      </c>
      <c r="N2618" s="0" t="n">
        <f aca="false">INDEX(Summary!$J$2:$J$201,MATCH($B2618,Summary!$A$2:$A$201,0))</f>
        <v>2</v>
      </c>
      <c r="O2618" s="2" t="n">
        <f aca="false">INDEX(Summary!$K$2:$K$201,MATCH($B2618,Summary!$A$2:$A$201,0))</f>
        <v>8.54</v>
      </c>
      <c r="P2618" s="3" t="n">
        <f aca="false">INDEX(Summary!$L$2:$L$201,MATCH($B2618,Summary!$A$2:$A$201,0))</f>
        <v>5</v>
      </c>
      <c r="Q2618" s="3" t="n">
        <f aca="false">INDEX(Summary!$M$2:$M$201,MATCH($B2618,Summary!$A$2:$A$201,0))</f>
        <v>1</v>
      </c>
      <c r="R2618" s="2" t="n">
        <f aca="false">INDEX(Summary!$N$2:$N$201,MATCH($B2618,Summary!$A$2:$A$201,0))</f>
        <v>9.82</v>
      </c>
      <c r="S2618" s="3" t="n">
        <f aca="false">INDEX(Summary!$O$2:$O$201,MATCH($B2618,Summary!$A$2:$A$201,0))</f>
        <v>8</v>
      </c>
      <c r="T2618" s="3" t="n">
        <f aca="false">INDEX(Summary!$P$2:$P$201,MATCH($B2618,Summary!$A$2:$A$201,0))</f>
        <v>1</v>
      </c>
      <c r="U2618" s="2" t="n">
        <f aca="false">INDEX(Summary!$Q$2:$Q$201,MATCH($B2618,Summary!$A$2:$A$201,0))</f>
        <v>11.69</v>
      </c>
      <c r="V2618" s="2" t="n">
        <f aca="false">INDEX(Summary!$R$2:$R$201,MATCH($B2618,Summary!$A$2:$A$201,0))</f>
        <v>30.36</v>
      </c>
      <c r="W2618" s="0" t="str">
        <f aca="false">INDEX(Summary!$S$2:$S$201,MATCH($B2618,Summary!$A$2:$A$201,0))</f>
        <v>Gold</v>
      </c>
      <c r="X2618" s="2" t="n">
        <f aca="false">INDEX(Summary!$T$2:$T$201,MATCH($B2618,Summary!$A$2:$A$201,0))</f>
        <v>74.05</v>
      </c>
      <c r="Y2618" s="0" t="str">
        <f aca="false">INDEX('Reward Model'!$E$18:$E$37,MATCH($E2618,'Reward Model'!$A$18:$A$37,0))</f>
        <v>High</v>
      </c>
      <c r="Z2618" s="4" t="n">
        <f aca="false">ROUND(MIN(1,MAX('Reward Model'!$B$2,INDEX('Reward Model'!$C$12:$C$14,MATCH($K2618,'Reward Model'!$A$12:$A$14,0))/$J2618)),3)</f>
        <v>1</v>
      </c>
      <c r="AA2618" s="2" t="n">
        <f aca="false">IF($I2618="Correct",ROUND(INDEX('Reward Model'!$B$12:$B$14,MATCH($K2618,'Reward Model'!$A$12:$A$14,0))*Z2618,2),0)</f>
        <v>0</v>
      </c>
      <c r="AB2618" s="2" t="n">
        <f aca="false">IF($I2618="Correct",ROUND(INDEX('Reward Model'!$B$12:$B$14,MATCH($Y2618,'Reward Model'!$A$12:$A$14,0))*Z2618,2),0)</f>
        <v>0</v>
      </c>
    </row>
    <row r="2619" customFormat="false" ht="15" hidden="false" customHeight="false" outlineLevel="0" collapsed="false">
      <c r="A2619" s="0" t="s">
        <v>392</v>
      </c>
      <c r="B2619" s="0" t="s">
        <v>393</v>
      </c>
      <c r="C2619" s="0" t="s">
        <v>322</v>
      </c>
      <c r="D2619" s="0" t="s">
        <v>189</v>
      </c>
      <c r="E2619" s="0" t="n">
        <v>18</v>
      </c>
      <c r="F2619" s="0" t="s">
        <v>76</v>
      </c>
      <c r="G2619" s="0" t="s">
        <v>56</v>
      </c>
      <c r="H2619" s="0" t="s">
        <v>77</v>
      </c>
      <c r="I2619" s="0" t="s">
        <v>39</v>
      </c>
      <c r="J2619" s="0" t="n">
        <v>1.8</v>
      </c>
      <c r="K2619" s="0" t="s">
        <v>73</v>
      </c>
      <c r="L2619" s="0" t="n">
        <f aca="false">INDEX(Summary!$F$2:$F$201,MATCH($B2619,Summary!$A$2:$A$201,0))</f>
        <v>20</v>
      </c>
      <c r="M2619" s="0" t="n">
        <f aca="false">INDEX(Summary!$I$2:$I$201,MATCH($B2619,Summary!$A$2:$A$201,0))</f>
        <v>3</v>
      </c>
      <c r="N2619" s="0" t="n">
        <f aca="false">INDEX(Summary!$J$2:$J$201,MATCH($B2619,Summary!$A$2:$A$201,0))</f>
        <v>2</v>
      </c>
      <c r="O2619" s="2" t="n">
        <f aca="false">INDEX(Summary!$K$2:$K$201,MATCH($B2619,Summary!$A$2:$A$201,0))</f>
        <v>8.54</v>
      </c>
      <c r="P2619" s="3" t="n">
        <f aca="false">INDEX(Summary!$L$2:$L$201,MATCH($B2619,Summary!$A$2:$A$201,0))</f>
        <v>5</v>
      </c>
      <c r="Q2619" s="3" t="n">
        <f aca="false">INDEX(Summary!$M$2:$M$201,MATCH($B2619,Summary!$A$2:$A$201,0))</f>
        <v>1</v>
      </c>
      <c r="R2619" s="2" t="n">
        <f aca="false">INDEX(Summary!$N$2:$N$201,MATCH($B2619,Summary!$A$2:$A$201,0))</f>
        <v>9.82</v>
      </c>
      <c r="S2619" s="3" t="n">
        <f aca="false">INDEX(Summary!$O$2:$O$201,MATCH($B2619,Summary!$A$2:$A$201,0))</f>
        <v>8</v>
      </c>
      <c r="T2619" s="3" t="n">
        <f aca="false">INDEX(Summary!$P$2:$P$201,MATCH($B2619,Summary!$A$2:$A$201,0))</f>
        <v>1</v>
      </c>
      <c r="U2619" s="2" t="n">
        <f aca="false">INDEX(Summary!$Q$2:$Q$201,MATCH($B2619,Summary!$A$2:$A$201,0))</f>
        <v>11.69</v>
      </c>
      <c r="V2619" s="2" t="n">
        <f aca="false">INDEX(Summary!$R$2:$R$201,MATCH($B2619,Summary!$A$2:$A$201,0))</f>
        <v>30.36</v>
      </c>
      <c r="W2619" s="0" t="str">
        <f aca="false">INDEX(Summary!$S$2:$S$201,MATCH($B2619,Summary!$A$2:$A$201,0))</f>
        <v>Gold</v>
      </c>
      <c r="X2619" s="2" t="n">
        <f aca="false">INDEX(Summary!$T$2:$T$201,MATCH($B2619,Summary!$A$2:$A$201,0))</f>
        <v>74.05</v>
      </c>
      <c r="Y2619" s="0" t="str">
        <f aca="false">INDEX('Reward Model'!$E$18:$E$37,MATCH($E2619,'Reward Model'!$A$18:$A$37,0))</f>
        <v>High</v>
      </c>
      <c r="Z2619" s="4" t="n">
        <f aca="false">ROUND(MIN(1,MAX('Reward Model'!$B$2,INDEX('Reward Model'!$C$12:$C$14,MATCH($K2619,'Reward Model'!$A$12:$A$14,0))/$J2619)),3)</f>
        <v>1</v>
      </c>
      <c r="AA2619" s="2" t="n">
        <f aca="false">IF($I2619="Correct",ROUND(INDEX('Reward Model'!$B$12:$B$14,MATCH($K2619,'Reward Model'!$A$12:$A$14,0))*Z2619,2),0)</f>
        <v>0</v>
      </c>
      <c r="AB2619" s="2" t="n">
        <f aca="false">IF($I2619="Correct",ROUND(INDEX('Reward Model'!$B$12:$B$14,MATCH($Y2619,'Reward Model'!$A$12:$A$14,0))*Z2619,2),0)</f>
        <v>0</v>
      </c>
    </row>
    <row r="2620" customFormat="false" ht="15" hidden="false" customHeight="false" outlineLevel="0" collapsed="false">
      <c r="A2620" s="0" t="s">
        <v>392</v>
      </c>
      <c r="B2620" s="0" t="s">
        <v>393</v>
      </c>
      <c r="C2620" s="0" t="s">
        <v>322</v>
      </c>
      <c r="D2620" s="0" t="s">
        <v>189</v>
      </c>
      <c r="E2620" s="0" t="n">
        <v>19</v>
      </c>
      <c r="F2620" s="0" t="s">
        <v>78</v>
      </c>
      <c r="G2620" s="0" t="s">
        <v>80</v>
      </c>
      <c r="H2620" s="0" t="s">
        <v>80</v>
      </c>
      <c r="I2620" s="0" t="s">
        <v>34</v>
      </c>
      <c r="J2620" s="0" t="n">
        <v>1.66</v>
      </c>
      <c r="K2620" s="0" t="s">
        <v>73</v>
      </c>
      <c r="L2620" s="0" t="n">
        <f aca="false">INDEX(Summary!$F$2:$F$201,MATCH($B2620,Summary!$A$2:$A$201,0))</f>
        <v>20</v>
      </c>
      <c r="M2620" s="0" t="n">
        <f aca="false">INDEX(Summary!$I$2:$I$201,MATCH($B2620,Summary!$A$2:$A$201,0))</f>
        <v>3</v>
      </c>
      <c r="N2620" s="0" t="n">
        <f aca="false">INDEX(Summary!$J$2:$J$201,MATCH($B2620,Summary!$A$2:$A$201,0))</f>
        <v>2</v>
      </c>
      <c r="O2620" s="2" t="n">
        <f aca="false">INDEX(Summary!$K$2:$K$201,MATCH($B2620,Summary!$A$2:$A$201,0))</f>
        <v>8.54</v>
      </c>
      <c r="P2620" s="3" t="n">
        <f aca="false">INDEX(Summary!$L$2:$L$201,MATCH($B2620,Summary!$A$2:$A$201,0))</f>
        <v>5</v>
      </c>
      <c r="Q2620" s="3" t="n">
        <f aca="false">INDEX(Summary!$M$2:$M$201,MATCH($B2620,Summary!$A$2:$A$201,0))</f>
        <v>1</v>
      </c>
      <c r="R2620" s="2" t="n">
        <f aca="false">INDEX(Summary!$N$2:$N$201,MATCH($B2620,Summary!$A$2:$A$201,0))</f>
        <v>9.82</v>
      </c>
      <c r="S2620" s="3" t="n">
        <f aca="false">INDEX(Summary!$O$2:$O$201,MATCH($B2620,Summary!$A$2:$A$201,0))</f>
        <v>8</v>
      </c>
      <c r="T2620" s="3" t="n">
        <f aca="false">INDEX(Summary!$P$2:$P$201,MATCH($B2620,Summary!$A$2:$A$201,0))</f>
        <v>1</v>
      </c>
      <c r="U2620" s="2" t="n">
        <f aca="false">INDEX(Summary!$Q$2:$Q$201,MATCH($B2620,Summary!$A$2:$A$201,0))</f>
        <v>11.69</v>
      </c>
      <c r="V2620" s="2" t="n">
        <f aca="false">INDEX(Summary!$R$2:$R$201,MATCH($B2620,Summary!$A$2:$A$201,0))</f>
        <v>30.36</v>
      </c>
      <c r="W2620" s="0" t="str">
        <f aca="false">INDEX(Summary!$S$2:$S$201,MATCH($B2620,Summary!$A$2:$A$201,0))</f>
        <v>Gold</v>
      </c>
      <c r="X2620" s="2" t="n">
        <f aca="false">INDEX(Summary!$T$2:$T$201,MATCH($B2620,Summary!$A$2:$A$201,0))</f>
        <v>74.05</v>
      </c>
      <c r="Y2620" s="0" t="str">
        <f aca="false">INDEX('Reward Model'!$E$18:$E$37,MATCH($E2620,'Reward Model'!$A$18:$A$37,0))</f>
        <v>High</v>
      </c>
      <c r="Z2620" s="4" t="n">
        <f aca="false">ROUND(MIN(1,MAX('Reward Model'!$B$2,INDEX('Reward Model'!$C$12:$C$14,MATCH($K2620,'Reward Model'!$A$12:$A$14,0))/$J2620)),3)</f>
        <v>1</v>
      </c>
      <c r="AA2620" s="2" t="n">
        <f aca="false">IF($I2620="Correct",ROUND(INDEX('Reward Model'!$B$12:$B$14,MATCH($K2620,'Reward Model'!$A$12:$A$14,0))*Z2620,2),0)</f>
        <v>3</v>
      </c>
      <c r="AB2620" s="2" t="n">
        <f aca="false">IF($I2620="Correct",ROUND(INDEX('Reward Model'!$B$12:$B$14,MATCH($Y2620,'Reward Model'!$A$12:$A$14,0))*Z2620,2),0)</f>
        <v>3</v>
      </c>
    </row>
    <row r="2621" customFormat="false" ht="15" hidden="false" customHeight="false" outlineLevel="0" collapsed="false">
      <c r="A2621" s="0" t="s">
        <v>392</v>
      </c>
      <c r="B2621" s="0" t="s">
        <v>393</v>
      </c>
      <c r="C2621" s="0" t="s">
        <v>322</v>
      </c>
      <c r="D2621" s="0" t="s">
        <v>189</v>
      </c>
      <c r="E2621" s="0" t="n">
        <v>20</v>
      </c>
      <c r="F2621" s="0" t="s">
        <v>81</v>
      </c>
      <c r="G2621" s="0" t="s">
        <v>83</v>
      </c>
      <c r="H2621" s="0" t="s">
        <v>83</v>
      </c>
      <c r="I2621" s="0" t="s">
        <v>34</v>
      </c>
      <c r="J2621" s="0" t="n">
        <v>1.44</v>
      </c>
      <c r="K2621" s="0" t="s">
        <v>73</v>
      </c>
      <c r="L2621" s="0" t="n">
        <f aca="false">INDEX(Summary!$F$2:$F$201,MATCH($B2621,Summary!$A$2:$A$201,0))</f>
        <v>20</v>
      </c>
      <c r="M2621" s="0" t="n">
        <f aca="false">INDEX(Summary!$I$2:$I$201,MATCH($B2621,Summary!$A$2:$A$201,0))</f>
        <v>3</v>
      </c>
      <c r="N2621" s="0" t="n">
        <f aca="false">INDEX(Summary!$J$2:$J$201,MATCH($B2621,Summary!$A$2:$A$201,0))</f>
        <v>2</v>
      </c>
      <c r="O2621" s="2" t="n">
        <f aca="false">INDEX(Summary!$K$2:$K$201,MATCH($B2621,Summary!$A$2:$A$201,0))</f>
        <v>8.54</v>
      </c>
      <c r="P2621" s="3" t="n">
        <f aca="false">INDEX(Summary!$L$2:$L$201,MATCH($B2621,Summary!$A$2:$A$201,0))</f>
        <v>5</v>
      </c>
      <c r="Q2621" s="3" t="n">
        <f aca="false">INDEX(Summary!$M$2:$M$201,MATCH($B2621,Summary!$A$2:$A$201,0))</f>
        <v>1</v>
      </c>
      <c r="R2621" s="2" t="n">
        <f aca="false">INDEX(Summary!$N$2:$N$201,MATCH($B2621,Summary!$A$2:$A$201,0))</f>
        <v>9.82</v>
      </c>
      <c r="S2621" s="3" t="n">
        <f aca="false">INDEX(Summary!$O$2:$O$201,MATCH($B2621,Summary!$A$2:$A$201,0))</f>
        <v>8</v>
      </c>
      <c r="T2621" s="3" t="n">
        <f aca="false">INDEX(Summary!$P$2:$P$201,MATCH($B2621,Summary!$A$2:$A$201,0))</f>
        <v>1</v>
      </c>
      <c r="U2621" s="2" t="n">
        <f aca="false">INDEX(Summary!$Q$2:$Q$201,MATCH($B2621,Summary!$A$2:$A$201,0))</f>
        <v>11.69</v>
      </c>
      <c r="V2621" s="2" t="n">
        <f aca="false">INDEX(Summary!$R$2:$R$201,MATCH($B2621,Summary!$A$2:$A$201,0))</f>
        <v>30.36</v>
      </c>
      <c r="W2621" s="0" t="str">
        <f aca="false">INDEX(Summary!$S$2:$S$201,MATCH($B2621,Summary!$A$2:$A$201,0))</f>
        <v>Gold</v>
      </c>
      <c r="X2621" s="2" t="n">
        <f aca="false">INDEX(Summary!$T$2:$T$201,MATCH($B2621,Summary!$A$2:$A$201,0))</f>
        <v>74.05</v>
      </c>
      <c r="Y2621" s="0" t="str">
        <f aca="false">INDEX('Reward Model'!$E$18:$E$37,MATCH($E2621,'Reward Model'!$A$18:$A$37,0))</f>
        <v>High</v>
      </c>
      <c r="Z2621" s="4" t="n">
        <f aca="false">ROUND(MIN(1,MAX('Reward Model'!$B$2,INDEX('Reward Model'!$C$12:$C$14,MATCH($K2621,'Reward Model'!$A$12:$A$14,0))/$J2621)),3)</f>
        <v>1</v>
      </c>
      <c r="AA2621" s="2" t="n">
        <f aca="false">IF($I2621="Correct",ROUND(INDEX('Reward Model'!$B$12:$B$14,MATCH($K2621,'Reward Model'!$A$12:$A$14,0))*Z2621,2),0)</f>
        <v>3</v>
      </c>
      <c r="AB2621" s="2" t="n">
        <f aca="false">IF($I2621="Correct",ROUND(INDEX('Reward Model'!$B$12:$B$14,MATCH($Y2621,'Reward Model'!$A$12:$A$14,0))*Z2621,2),0)</f>
        <v>3</v>
      </c>
    </row>
    <row r="2622" customFormat="false" ht="15" hidden="false" customHeight="false" outlineLevel="0" collapsed="false">
      <c r="A2622" s="0" t="s">
        <v>394</v>
      </c>
      <c r="B2622" s="0" t="s">
        <v>395</v>
      </c>
      <c r="C2622" s="0" t="s">
        <v>322</v>
      </c>
      <c r="D2622" s="0" t="s">
        <v>189</v>
      </c>
      <c r="E2622" s="0" t="n">
        <v>1</v>
      </c>
      <c r="F2622" s="0" t="s">
        <v>32</v>
      </c>
      <c r="G2622" s="0" t="s">
        <v>33</v>
      </c>
      <c r="H2622" s="0" t="s">
        <v>33</v>
      </c>
      <c r="I2622" s="0" t="s">
        <v>34</v>
      </c>
      <c r="J2622" s="0" t="n">
        <v>1.41</v>
      </c>
      <c r="K2622" s="0" t="s">
        <v>35</v>
      </c>
      <c r="L2622" s="0" t="n">
        <f aca="false">INDEX(Summary!$F$2:$F$201,MATCH($B2622,Summary!$A$2:$A$201,0))</f>
        <v>20</v>
      </c>
      <c r="M2622" s="0" t="n">
        <f aca="false">INDEX(Summary!$I$2:$I$201,MATCH($B2622,Summary!$A$2:$A$201,0))</f>
        <v>1</v>
      </c>
      <c r="N2622" s="0" t="n">
        <f aca="false">INDEX(Summary!$J$2:$J$201,MATCH($B2622,Summary!$A$2:$A$201,0))</f>
        <v>4</v>
      </c>
      <c r="O2622" s="2" t="n">
        <f aca="false">INDEX(Summary!$K$2:$K$201,MATCH($B2622,Summary!$A$2:$A$201,0))</f>
        <v>10.09</v>
      </c>
      <c r="P2622" s="3" t="n">
        <f aca="false">INDEX(Summary!$L$2:$L$201,MATCH($B2622,Summary!$A$2:$A$201,0))</f>
        <v>5</v>
      </c>
      <c r="Q2622" s="3" t="n">
        <f aca="false">INDEX(Summary!$M$2:$M$201,MATCH($B2622,Summary!$A$2:$A$201,0))</f>
        <v>1</v>
      </c>
      <c r="R2622" s="2" t="n">
        <f aca="false">INDEX(Summary!$N$2:$N$201,MATCH($B2622,Summary!$A$2:$A$201,0))</f>
        <v>11.74</v>
      </c>
      <c r="S2622" s="3" t="n">
        <f aca="false">INDEX(Summary!$O$2:$O$201,MATCH($B2622,Summary!$A$2:$A$201,0))</f>
        <v>8</v>
      </c>
      <c r="T2622" s="3" t="n">
        <f aca="false">INDEX(Summary!$P$2:$P$201,MATCH($B2622,Summary!$A$2:$A$201,0))</f>
        <v>1</v>
      </c>
      <c r="U2622" s="2" t="n">
        <f aca="false">INDEX(Summary!$Q$2:$Q$201,MATCH($B2622,Summary!$A$2:$A$201,0))</f>
        <v>12.03</v>
      </c>
      <c r="V2622" s="2" t="n">
        <f aca="false">INDEX(Summary!$R$2:$R$201,MATCH($B2622,Summary!$A$2:$A$201,0))</f>
        <v>23.54</v>
      </c>
      <c r="W2622" s="0" t="str">
        <f aca="false">INDEX(Summary!$S$2:$S$201,MATCH($B2622,Summary!$A$2:$A$201,0))</f>
        <v>Silver</v>
      </c>
      <c r="X2622" s="2" t="n">
        <f aca="false">INDEX(Summary!$T$2:$T$201,MATCH($B2622,Summary!$A$2:$A$201,0))</f>
        <v>57.41</v>
      </c>
      <c r="Y2622" s="0" t="str">
        <f aca="false">INDEX('Reward Model'!$E$18:$E$37,MATCH($E2622,'Reward Model'!$A$18:$A$37,0))</f>
        <v>Medium</v>
      </c>
      <c r="Z2622" s="4" t="n">
        <f aca="false">ROUND(MIN(1,MAX('Reward Model'!$B$2,INDEX('Reward Model'!$C$12:$C$14,MATCH($K2622,'Reward Model'!$A$12:$A$14,0))/$J2622)),3)</f>
        <v>1</v>
      </c>
      <c r="AA2622" s="2" t="n">
        <f aca="false">IF($I2622="Correct",ROUND(INDEX('Reward Model'!$B$12:$B$14,MATCH($K2622,'Reward Model'!$A$12:$A$14,0))*Z2622,2),0)</f>
        <v>1</v>
      </c>
      <c r="AB2622" s="2" t="n">
        <f aca="false">IF($I2622="Correct",ROUND(INDEX('Reward Model'!$B$12:$B$14,MATCH($Y2622,'Reward Model'!$A$12:$A$14,0))*Z2622,2),0)</f>
        <v>2</v>
      </c>
    </row>
    <row r="2623" customFormat="false" ht="15" hidden="false" customHeight="false" outlineLevel="0" collapsed="false">
      <c r="A2623" s="0" t="s">
        <v>394</v>
      </c>
      <c r="B2623" s="0" t="s">
        <v>395</v>
      </c>
      <c r="C2623" s="0" t="s">
        <v>322</v>
      </c>
      <c r="D2623" s="0" t="s">
        <v>189</v>
      </c>
      <c r="E2623" s="0" t="n">
        <v>2</v>
      </c>
      <c r="F2623" s="0" t="s">
        <v>36</v>
      </c>
      <c r="G2623" s="0" t="s">
        <v>38</v>
      </c>
      <c r="H2623" s="0" t="s">
        <v>38</v>
      </c>
      <c r="I2623" s="0" t="s">
        <v>34</v>
      </c>
      <c r="J2623" s="0" t="n">
        <v>0.92</v>
      </c>
      <c r="K2623" s="0" t="s">
        <v>35</v>
      </c>
      <c r="L2623" s="0" t="n">
        <f aca="false">INDEX(Summary!$F$2:$F$201,MATCH($B2623,Summary!$A$2:$A$201,0))</f>
        <v>20</v>
      </c>
      <c r="M2623" s="0" t="n">
        <f aca="false">INDEX(Summary!$I$2:$I$201,MATCH($B2623,Summary!$A$2:$A$201,0))</f>
        <v>1</v>
      </c>
      <c r="N2623" s="0" t="n">
        <f aca="false">INDEX(Summary!$J$2:$J$201,MATCH($B2623,Summary!$A$2:$A$201,0))</f>
        <v>4</v>
      </c>
      <c r="O2623" s="2" t="n">
        <f aca="false">INDEX(Summary!$K$2:$K$201,MATCH($B2623,Summary!$A$2:$A$201,0))</f>
        <v>10.09</v>
      </c>
      <c r="P2623" s="3" t="n">
        <f aca="false">INDEX(Summary!$L$2:$L$201,MATCH($B2623,Summary!$A$2:$A$201,0))</f>
        <v>5</v>
      </c>
      <c r="Q2623" s="3" t="n">
        <f aca="false">INDEX(Summary!$M$2:$M$201,MATCH($B2623,Summary!$A$2:$A$201,0))</f>
        <v>1</v>
      </c>
      <c r="R2623" s="2" t="n">
        <f aca="false">INDEX(Summary!$N$2:$N$201,MATCH($B2623,Summary!$A$2:$A$201,0))</f>
        <v>11.74</v>
      </c>
      <c r="S2623" s="3" t="n">
        <f aca="false">INDEX(Summary!$O$2:$O$201,MATCH($B2623,Summary!$A$2:$A$201,0))</f>
        <v>8</v>
      </c>
      <c r="T2623" s="3" t="n">
        <f aca="false">INDEX(Summary!$P$2:$P$201,MATCH($B2623,Summary!$A$2:$A$201,0))</f>
        <v>1</v>
      </c>
      <c r="U2623" s="2" t="n">
        <f aca="false">INDEX(Summary!$Q$2:$Q$201,MATCH($B2623,Summary!$A$2:$A$201,0))</f>
        <v>12.03</v>
      </c>
      <c r="V2623" s="2" t="n">
        <f aca="false">INDEX(Summary!$R$2:$R$201,MATCH($B2623,Summary!$A$2:$A$201,0))</f>
        <v>23.54</v>
      </c>
      <c r="W2623" s="0" t="str">
        <f aca="false">INDEX(Summary!$S$2:$S$201,MATCH($B2623,Summary!$A$2:$A$201,0))</f>
        <v>Silver</v>
      </c>
      <c r="X2623" s="2" t="n">
        <f aca="false">INDEX(Summary!$T$2:$T$201,MATCH($B2623,Summary!$A$2:$A$201,0))</f>
        <v>57.41</v>
      </c>
      <c r="Y2623" s="0" t="str">
        <f aca="false">INDEX('Reward Model'!$E$18:$E$37,MATCH($E2623,'Reward Model'!$A$18:$A$37,0))</f>
        <v>Low</v>
      </c>
      <c r="Z2623" s="4" t="n">
        <f aca="false">ROUND(MIN(1,MAX('Reward Model'!$B$2,INDEX('Reward Model'!$C$12:$C$14,MATCH($K2623,'Reward Model'!$A$12:$A$14,0))/$J2623)),3)</f>
        <v>1</v>
      </c>
      <c r="AA2623" s="2" t="n">
        <f aca="false">IF($I2623="Correct",ROUND(INDEX('Reward Model'!$B$12:$B$14,MATCH($K2623,'Reward Model'!$A$12:$A$14,0))*Z2623,2),0)</f>
        <v>1</v>
      </c>
      <c r="AB2623" s="2" t="n">
        <f aca="false">IF($I2623="Correct",ROUND(INDEX('Reward Model'!$B$12:$B$14,MATCH($Y2623,'Reward Model'!$A$12:$A$14,0))*Z2623,2),0)</f>
        <v>1</v>
      </c>
    </row>
    <row r="2624" customFormat="false" ht="15" hidden="false" customHeight="false" outlineLevel="0" collapsed="false">
      <c r="A2624" s="0" t="s">
        <v>394</v>
      </c>
      <c r="B2624" s="0" t="s">
        <v>395</v>
      </c>
      <c r="C2624" s="0" t="s">
        <v>322</v>
      </c>
      <c r="D2624" s="0" t="s">
        <v>189</v>
      </c>
      <c r="E2624" s="0" t="n">
        <v>3</v>
      </c>
      <c r="F2624" s="0" t="s">
        <v>40</v>
      </c>
      <c r="G2624" s="0" t="s">
        <v>42</v>
      </c>
      <c r="H2624" s="0" t="s">
        <v>42</v>
      </c>
      <c r="I2624" s="0" t="s">
        <v>34</v>
      </c>
      <c r="J2624" s="0" t="n">
        <v>1.81</v>
      </c>
      <c r="K2624" s="0" t="s">
        <v>35</v>
      </c>
      <c r="L2624" s="0" t="n">
        <f aca="false">INDEX(Summary!$F$2:$F$201,MATCH($B2624,Summary!$A$2:$A$201,0))</f>
        <v>20</v>
      </c>
      <c r="M2624" s="0" t="n">
        <f aca="false">INDEX(Summary!$I$2:$I$201,MATCH($B2624,Summary!$A$2:$A$201,0))</f>
        <v>1</v>
      </c>
      <c r="N2624" s="0" t="n">
        <f aca="false">INDEX(Summary!$J$2:$J$201,MATCH($B2624,Summary!$A$2:$A$201,0))</f>
        <v>4</v>
      </c>
      <c r="O2624" s="2" t="n">
        <f aca="false">INDEX(Summary!$K$2:$K$201,MATCH($B2624,Summary!$A$2:$A$201,0))</f>
        <v>10.09</v>
      </c>
      <c r="P2624" s="3" t="n">
        <f aca="false">INDEX(Summary!$L$2:$L$201,MATCH($B2624,Summary!$A$2:$A$201,0))</f>
        <v>5</v>
      </c>
      <c r="Q2624" s="3" t="n">
        <f aca="false">INDEX(Summary!$M$2:$M$201,MATCH($B2624,Summary!$A$2:$A$201,0))</f>
        <v>1</v>
      </c>
      <c r="R2624" s="2" t="n">
        <f aca="false">INDEX(Summary!$N$2:$N$201,MATCH($B2624,Summary!$A$2:$A$201,0))</f>
        <v>11.74</v>
      </c>
      <c r="S2624" s="3" t="n">
        <f aca="false">INDEX(Summary!$O$2:$O$201,MATCH($B2624,Summary!$A$2:$A$201,0))</f>
        <v>8</v>
      </c>
      <c r="T2624" s="3" t="n">
        <f aca="false">INDEX(Summary!$P$2:$P$201,MATCH($B2624,Summary!$A$2:$A$201,0))</f>
        <v>1</v>
      </c>
      <c r="U2624" s="2" t="n">
        <f aca="false">INDEX(Summary!$Q$2:$Q$201,MATCH($B2624,Summary!$A$2:$A$201,0))</f>
        <v>12.03</v>
      </c>
      <c r="V2624" s="2" t="n">
        <f aca="false">INDEX(Summary!$R$2:$R$201,MATCH($B2624,Summary!$A$2:$A$201,0))</f>
        <v>23.54</v>
      </c>
      <c r="W2624" s="0" t="str">
        <f aca="false">INDEX(Summary!$S$2:$S$201,MATCH($B2624,Summary!$A$2:$A$201,0))</f>
        <v>Silver</v>
      </c>
      <c r="X2624" s="2" t="n">
        <f aca="false">INDEX(Summary!$T$2:$T$201,MATCH($B2624,Summary!$A$2:$A$201,0))</f>
        <v>57.41</v>
      </c>
      <c r="Y2624" s="0" t="str">
        <f aca="false">INDEX('Reward Model'!$E$18:$E$37,MATCH($E2624,'Reward Model'!$A$18:$A$37,0))</f>
        <v>Medium</v>
      </c>
      <c r="Z2624" s="4" t="n">
        <f aca="false">ROUND(MIN(1,MAX('Reward Model'!$B$2,INDEX('Reward Model'!$C$12:$C$14,MATCH($K2624,'Reward Model'!$A$12:$A$14,0))/$J2624)),3)</f>
        <v>0.829</v>
      </c>
      <c r="AA2624" s="2" t="n">
        <f aca="false">IF($I2624="Correct",ROUND(INDEX('Reward Model'!$B$12:$B$14,MATCH($K2624,'Reward Model'!$A$12:$A$14,0))*Z2624,2),0)</f>
        <v>0.83</v>
      </c>
      <c r="AB2624" s="2" t="n">
        <f aca="false">IF($I2624="Correct",ROUND(INDEX('Reward Model'!$B$12:$B$14,MATCH($Y2624,'Reward Model'!$A$12:$A$14,0))*Z2624,2),0)</f>
        <v>1.66</v>
      </c>
    </row>
    <row r="2625" customFormat="false" ht="15" hidden="false" customHeight="false" outlineLevel="0" collapsed="false">
      <c r="A2625" s="0" t="s">
        <v>394</v>
      </c>
      <c r="B2625" s="0" t="s">
        <v>395</v>
      </c>
      <c r="C2625" s="0" t="s">
        <v>322</v>
      </c>
      <c r="D2625" s="0" t="s">
        <v>189</v>
      </c>
      <c r="E2625" s="0" t="n">
        <v>4</v>
      </c>
      <c r="F2625" s="0" t="s">
        <v>43</v>
      </c>
      <c r="G2625" s="0" t="s">
        <v>45</v>
      </c>
      <c r="H2625" s="0" t="s">
        <v>45</v>
      </c>
      <c r="I2625" s="0" t="s">
        <v>34</v>
      </c>
      <c r="J2625" s="0" t="n">
        <v>1.2</v>
      </c>
      <c r="K2625" s="0" t="s">
        <v>35</v>
      </c>
      <c r="L2625" s="0" t="n">
        <f aca="false">INDEX(Summary!$F$2:$F$201,MATCH($B2625,Summary!$A$2:$A$201,0))</f>
        <v>20</v>
      </c>
      <c r="M2625" s="0" t="n">
        <f aca="false">INDEX(Summary!$I$2:$I$201,MATCH($B2625,Summary!$A$2:$A$201,0))</f>
        <v>1</v>
      </c>
      <c r="N2625" s="0" t="n">
        <f aca="false">INDEX(Summary!$J$2:$J$201,MATCH($B2625,Summary!$A$2:$A$201,0))</f>
        <v>4</v>
      </c>
      <c r="O2625" s="2" t="n">
        <f aca="false">INDEX(Summary!$K$2:$K$201,MATCH($B2625,Summary!$A$2:$A$201,0))</f>
        <v>10.09</v>
      </c>
      <c r="P2625" s="3" t="n">
        <f aca="false">INDEX(Summary!$L$2:$L$201,MATCH($B2625,Summary!$A$2:$A$201,0))</f>
        <v>5</v>
      </c>
      <c r="Q2625" s="3" t="n">
        <f aca="false">INDEX(Summary!$M$2:$M$201,MATCH($B2625,Summary!$A$2:$A$201,0))</f>
        <v>1</v>
      </c>
      <c r="R2625" s="2" t="n">
        <f aca="false">INDEX(Summary!$N$2:$N$201,MATCH($B2625,Summary!$A$2:$A$201,0))</f>
        <v>11.74</v>
      </c>
      <c r="S2625" s="3" t="n">
        <f aca="false">INDEX(Summary!$O$2:$O$201,MATCH($B2625,Summary!$A$2:$A$201,0))</f>
        <v>8</v>
      </c>
      <c r="T2625" s="3" t="n">
        <f aca="false">INDEX(Summary!$P$2:$P$201,MATCH($B2625,Summary!$A$2:$A$201,0))</f>
        <v>1</v>
      </c>
      <c r="U2625" s="2" t="n">
        <f aca="false">INDEX(Summary!$Q$2:$Q$201,MATCH($B2625,Summary!$A$2:$A$201,0))</f>
        <v>12.03</v>
      </c>
      <c r="V2625" s="2" t="n">
        <f aca="false">INDEX(Summary!$R$2:$R$201,MATCH($B2625,Summary!$A$2:$A$201,0))</f>
        <v>23.54</v>
      </c>
      <c r="W2625" s="0" t="str">
        <f aca="false">INDEX(Summary!$S$2:$S$201,MATCH($B2625,Summary!$A$2:$A$201,0))</f>
        <v>Silver</v>
      </c>
      <c r="X2625" s="2" t="n">
        <f aca="false">INDEX(Summary!$T$2:$T$201,MATCH($B2625,Summary!$A$2:$A$201,0))</f>
        <v>57.41</v>
      </c>
      <c r="Y2625" s="0" t="str">
        <f aca="false">INDEX('Reward Model'!$E$18:$E$37,MATCH($E2625,'Reward Model'!$A$18:$A$37,0))</f>
        <v>Low</v>
      </c>
      <c r="Z2625" s="4" t="n">
        <f aca="false">ROUND(MIN(1,MAX('Reward Model'!$B$2,INDEX('Reward Model'!$C$12:$C$14,MATCH($K2625,'Reward Model'!$A$12:$A$14,0))/$J2625)),3)</f>
        <v>1</v>
      </c>
      <c r="AA2625" s="2" t="n">
        <f aca="false">IF($I2625="Correct",ROUND(INDEX('Reward Model'!$B$12:$B$14,MATCH($K2625,'Reward Model'!$A$12:$A$14,0))*Z2625,2),0)</f>
        <v>1</v>
      </c>
      <c r="AB2625" s="2" t="n">
        <f aca="false">IF($I2625="Correct",ROUND(INDEX('Reward Model'!$B$12:$B$14,MATCH($Y2625,'Reward Model'!$A$12:$A$14,0))*Z2625,2),0)</f>
        <v>1</v>
      </c>
    </row>
    <row r="2626" customFormat="false" ht="15" hidden="false" customHeight="false" outlineLevel="0" collapsed="false">
      <c r="A2626" s="0" t="s">
        <v>394</v>
      </c>
      <c r="B2626" s="0" t="s">
        <v>395</v>
      </c>
      <c r="C2626" s="0" t="s">
        <v>322</v>
      </c>
      <c r="D2626" s="0" t="s">
        <v>189</v>
      </c>
      <c r="E2626" s="0" t="n">
        <v>5</v>
      </c>
      <c r="F2626" s="0" t="s">
        <v>46</v>
      </c>
      <c r="G2626" s="0" t="s">
        <v>47</v>
      </c>
      <c r="H2626" s="0" t="s">
        <v>47</v>
      </c>
      <c r="I2626" s="0" t="s">
        <v>34</v>
      </c>
      <c r="J2626" s="0" t="n">
        <v>1.08</v>
      </c>
      <c r="K2626" s="0" t="s">
        <v>35</v>
      </c>
      <c r="L2626" s="0" t="n">
        <f aca="false">INDEX(Summary!$F$2:$F$201,MATCH($B2626,Summary!$A$2:$A$201,0))</f>
        <v>20</v>
      </c>
      <c r="M2626" s="0" t="n">
        <f aca="false">INDEX(Summary!$I$2:$I$201,MATCH($B2626,Summary!$A$2:$A$201,0))</f>
        <v>1</v>
      </c>
      <c r="N2626" s="0" t="n">
        <f aca="false">INDEX(Summary!$J$2:$J$201,MATCH($B2626,Summary!$A$2:$A$201,0))</f>
        <v>4</v>
      </c>
      <c r="O2626" s="2" t="n">
        <f aca="false">INDEX(Summary!$K$2:$K$201,MATCH($B2626,Summary!$A$2:$A$201,0))</f>
        <v>10.09</v>
      </c>
      <c r="P2626" s="3" t="n">
        <f aca="false">INDEX(Summary!$L$2:$L$201,MATCH($B2626,Summary!$A$2:$A$201,0))</f>
        <v>5</v>
      </c>
      <c r="Q2626" s="3" t="n">
        <f aca="false">INDEX(Summary!$M$2:$M$201,MATCH($B2626,Summary!$A$2:$A$201,0))</f>
        <v>1</v>
      </c>
      <c r="R2626" s="2" t="n">
        <f aca="false">INDEX(Summary!$N$2:$N$201,MATCH($B2626,Summary!$A$2:$A$201,0))</f>
        <v>11.74</v>
      </c>
      <c r="S2626" s="3" t="n">
        <f aca="false">INDEX(Summary!$O$2:$O$201,MATCH($B2626,Summary!$A$2:$A$201,0))</f>
        <v>8</v>
      </c>
      <c r="T2626" s="3" t="n">
        <f aca="false">INDEX(Summary!$P$2:$P$201,MATCH($B2626,Summary!$A$2:$A$201,0))</f>
        <v>1</v>
      </c>
      <c r="U2626" s="2" t="n">
        <f aca="false">INDEX(Summary!$Q$2:$Q$201,MATCH($B2626,Summary!$A$2:$A$201,0))</f>
        <v>12.03</v>
      </c>
      <c r="V2626" s="2" t="n">
        <f aca="false">INDEX(Summary!$R$2:$R$201,MATCH($B2626,Summary!$A$2:$A$201,0))</f>
        <v>23.54</v>
      </c>
      <c r="W2626" s="0" t="str">
        <f aca="false">INDEX(Summary!$S$2:$S$201,MATCH($B2626,Summary!$A$2:$A$201,0))</f>
        <v>Silver</v>
      </c>
      <c r="X2626" s="2" t="n">
        <f aca="false">INDEX(Summary!$T$2:$T$201,MATCH($B2626,Summary!$A$2:$A$201,0))</f>
        <v>57.41</v>
      </c>
      <c r="Y2626" s="0" t="str">
        <f aca="false">INDEX('Reward Model'!$E$18:$E$37,MATCH($E2626,'Reward Model'!$A$18:$A$37,0))</f>
        <v>Low</v>
      </c>
      <c r="Z2626" s="4" t="n">
        <f aca="false">ROUND(MIN(1,MAX('Reward Model'!$B$2,INDEX('Reward Model'!$C$12:$C$14,MATCH($K2626,'Reward Model'!$A$12:$A$14,0))/$J2626)),3)</f>
        <v>1</v>
      </c>
      <c r="AA2626" s="2" t="n">
        <f aca="false">IF($I2626="Correct",ROUND(INDEX('Reward Model'!$B$12:$B$14,MATCH($K2626,'Reward Model'!$A$12:$A$14,0))*Z2626,2),0)</f>
        <v>1</v>
      </c>
      <c r="AB2626" s="2" t="n">
        <f aca="false">IF($I2626="Correct",ROUND(INDEX('Reward Model'!$B$12:$B$14,MATCH($Y2626,'Reward Model'!$A$12:$A$14,0))*Z2626,2),0)</f>
        <v>1</v>
      </c>
    </row>
    <row r="2627" customFormat="false" ht="15" hidden="false" customHeight="false" outlineLevel="0" collapsed="false">
      <c r="A2627" s="0" t="s">
        <v>394</v>
      </c>
      <c r="B2627" s="0" t="s">
        <v>395</v>
      </c>
      <c r="C2627" s="0" t="s">
        <v>322</v>
      </c>
      <c r="D2627" s="0" t="s">
        <v>189</v>
      </c>
      <c r="E2627" s="0" t="n">
        <v>6</v>
      </c>
      <c r="F2627" s="0" t="s">
        <v>48</v>
      </c>
      <c r="G2627" s="0" t="s">
        <v>49</v>
      </c>
      <c r="H2627" s="0" t="s">
        <v>49</v>
      </c>
      <c r="I2627" s="0" t="s">
        <v>34</v>
      </c>
      <c r="J2627" s="0" t="n">
        <v>1.67</v>
      </c>
      <c r="K2627" s="0" t="s">
        <v>35</v>
      </c>
      <c r="L2627" s="0" t="n">
        <f aca="false">INDEX(Summary!$F$2:$F$201,MATCH($B2627,Summary!$A$2:$A$201,0))</f>
        <v>20</v>
      </c>
      <c r="M2627" s="0" t="n">
        <f aca="false">INDEX(Summary!$I$2:$I$201,MATCH($B2627,Summary!$A$2:$A$201,0))</f>
        <v>1</v>
      </c>
      <c r="N2627" s="0" t="n">
        <f aca="false">INDEX(Summary!$J$2:$J$201,MATCH($B2627,Summary!$A$2:$A$201,0))</f>
        <v>4</v>
      </c>
      <c r="O2627" s="2" t="n">
        <f aca="false">INDEX(Summary!$K$2:$K$201,MATCH($B2627,Summary!$A$2:$A$201,0))</f>
        <v>10.09</v>
      </c>
      <c r="P2627" s="3" t="n">
        <f aca="false">INDEX(Summary!$L$2:$L$201,MATCH($B2627,Summary!$A$2:$A$201,0))</f>
        <v>5</v>
      </c>
      <c r="Q2627" s="3" t="n">
        <f aca="false">INDEX(Summary!$M$2:$M$201,MATCH($B2627,Summary!$A$2:$A$201,0))</f>
        <v>1</v>
      </c>
      <c r="R2627" s="2" t="n">
        <f aca="false">INDEX(Summary!$N$2:$N$201,MATCH($B2627,Summary!$A$2:$A$201,0))</f>
        <v>11.74</v>
      </c>
      <c r="S2627" s="3" t="n">
        <f aca="false">INDEX(Summary!$O$2:$O$201,MATCH($B2627,Summary!$A$2:$A$201,0))</f>
        <v>8</v>
      </c>
      <c r="T2627" s="3" t="n">
        <f aca="false">INDEX(Summary!$P$2:$P$201,MATCH($B2627,Summary!$A$2:$A$201,0))</f>
        <v>1</v>
      </c>
      <c r="U2627" s="2" t="n">
        <f aca="false">INDEX(Summary!$Q$2:$Q$201,MATCH($B2627,Summary!$A$2:$A$201,0))</f>
        <v>12.03</v>
      </c>
      <c r="V2627" s="2" t="n">
        <f aca="false">INDEX(Summary!$R$2:$R$201,MATCH($B2627,Summary!$A$2:$A$201,0))</f>
        <v>23.54</v>
      </c>
      <c r="W2627" s="0" t="str">
        <f aca="false">INDEX(Summary!$S$2:$S$201,MATCH($B2627,Summary!$A$2:$A$201,0))</f>
        <v>Silver</v>
      </c>
      <c r="X2627" s="2" t="n">
        <f aca="false">INDEX(Summary!$T$2:$T$201,MATCH($B2627,Summary!$A$2:$A$201,0))</f>
        <v>57.41</v>
      </c>
      <c r="Y2627" s="0" t="str">
        <f aca="false">INDEX('Reward Model'!$E$18:$E$37,MATCH($E2627,'Reward Model'!$A$18:$A$37,0))</f>
        <v>Medium</v>
      </c>
      <c r="Z2627" s="4" t="n">
        <f aca="false">ROUND(MIN(1,MAX('Reward Model'!$B$2,INDEX('Reward Model'!$C$12:$C$14,MATCH($K2627,'Reward Model'!$A$12:$A$14,0))/$J2627)),3)</f>
        <v>0.898</v>
      </c>
      <c r="AA2627" s="2" t="n">
        <f aca="false">IF($I2627="Correct",ROUND(INDEX('Reward Model'!$B$12:$B$14,MATCH($K2627,'Reward Model'!$A$12:$A$14,0))*Z2627,2),0)</f>
        <v>0.9</v>
      </c>
      <c r="AB2627" s="2" t="n">
        <f aca="false">IF($I2627="Correct",ROUND(INDEX('Reward Model'!$B$12:$B$14,MATCH($Y2627,'Reward Model'!$A$12:$A$14,0))*Z2627,2),0)</f>
        <v>1.8</v>
      </c>
    </row>
    <row r="2628" customFormat="false" ht="15" hidden="false" customHeight="false" outlineLevel="0" collapsed="false">
      <c r="A2628" s="0" t="s">
        <v>394</v>
      </c>
      <c r="B2628" s="0" t="s">
        <v>395</v>
      </c>
      <c r="C2628" s="0" t="s">
        <v>322</v>
      </c>
      <c r="D2628" s="0" t="s">
        <v>189</v>
      </c>
      <c r="E2628" s="0" t="n">
        <v>7</v>
      </c>
      <c r="F2628" s="0" t="s">
        <v>50</v>
      </c>
      <c r="G2628" s="0" t="s">
        <v>51</v>
      </c>
      <c r="H2628" s="0" t="s">
        <v>51</v>
      </c>
      <c r="I2628" s="0" t="s">
        <v>34</v>
      </c>
      <c r="J2628" s="0" t="n">
        <v>1.13</v>
      </c>
      <c r="K2628" s="0" t="s">
        <v>35</v>
      </c>
      <c r="L2628" s="0" t="n">
        <f aca="false">INDEX(Summary!$F$2:$F$201,MATCH($B2628,Summary!$A$2:$A$201,0))</f>
        <v>20</v>
      </c>
      <c r="M2628" s="0" t="n">
        <f aca="false">INDEX(Summary!$I$2:$I$201,MATCH($B2628,Summary!$A$2:$A$201,0))</f>
        <v>1</v>
      </c>
      <c r="N2628" s="0" t="n">
        <f aca="false">INDEX(Summary!$J$2:$J$201,MATCH($B2628,Summary!$A$2:$A$201,0))</f>
        <v>4</v>
      </c>
      <c r="O2628" s="2" t="n">
        <f aca="false">INDEX(Summary!$K$2:$K$201,MATCH($B2628,Summary!$A$2:$A$201,0))</f>
        <v>10.09</v>
      </c>
      <c r="P2628" s="3" t="n">
        <f aca="false">INDEX(Summary!$L$2:$L$201,MATCH($B2628,Summary!$A$2:$A$201,0))</f>
        <v>5</v>
      </c>
      <c r="Q2628" s="3" t="n">
        <f aca="false">INDEX(Summary!$M$2:$M$201,MATCH($B2628,Summary!$A$2:$A$201,0))</f>
        <v>1</v>
      </c>
      <c r="R2628" s="2" t="n">
        <f aca="false">INDEX(Summary!$N$2:$N$201,MATCH($B2628,Summary!$A$2:$A$201,0))</f>
        <v>11.74</v>
      </c>
      <c r="S2628" s="3" t="n">
        <f aca="false">INDEX(Summary!$O$2:$O$201,MATCH($B2628,Summary!$A$2:$A$201,0))</f>
        <v>8</v>
      </c>
      <c r="T2628" s="3" t="n">
        <f aca="false">INDEX(Summary!$P$2:$P$201,MATCH($B2628,Summary!$A$2:$A$201,0))</f>
        <v>1</v>
      </c>
      <c r="U2628" s="2" t="n">
        <f aca="false">INDEX(Summary!$Q$2:$Q$201,MATCH($B2628,Summary!$A$2:$A$201,0))</f>
        <v>12.03</v>
      </c>
      <c r="V2628" s="2" t="n">
        <f aca="false">INDEX(Summary!$R$2:$R$201,MATCH($B2628,Summary!$A$2:$A$201,0))</f>
        <v>23.54</v>
      </c>
      <c r="W2628" s="0" t="str">
        <f aca="false">INDEX(Summary!$S$2:$S$201,MATCH($B2628,Summary!$A$2:$A$201,0))</f>
        <v>Silver</v>
      </c>
      <c r="X2628" s="2" t="n">
        <f aca="false">INDEX(Summary!$T$2:$T$201,MATCH($B2628,Summary!$A$2:$A$201,0))</f>
        <v>57.41</v>
      </c>
      <c r="Y2628" s="0" t="str">
        <f aca="false">INDEX('Reward Model'!$E$18:$E$37,MATCH($E2628,'Reward Model'!$A$18:$A$37,0))</f>
        <v>Low</v>
      </c>
      <c r="Z2628" s="4" t="n">
        <f aca="false">ROUND(MIN(1,MAX('Reward Model'!$B$2,INDEX('Reward Model'!$C$12:$C$14,MATCH($K2628,'Reward Model'!$A$12:$A$14,0))/$J2628)),3)</f>
        <v>1</v>
      </c>
      <c r="AA2628" s="2" t="n">
        <f aca="false">IF($I2628="Correct",ROUND(INDEX('Reward Model'!$B$12:$B$14,MATCH($K2628,'Reward Model'!$A$12:$A$14,0))*Z2628,2),0)</f>
        <v>1</v>
      </c>
      <c r="AB2628" s="2" t="n">
        <f aca="false">IF($I2628="Correct",ROUND(INDEX('Reward Model'!$B$12:$B$14,MATCH($Y2628,'Reward Model'!$A$12:$A$14,0))*Z2628,2),0)</f>
        <v>1</v>
      </c>
    </row>
    <row r="2629" customFormat="false" ht="15" hidden="false" customHeight="false" outlineLevel="0" collapsed="false">
      <c r="A2629" s="0" t="s">
        <v>394</v>
      </c>
      <c r="B2629" s="0" t="s">
        <v>395</v>
      </c>
      <c r="C2629" s="0" t="s">
        <v>322</v>
      </c>
      <c r="D2629" s="0" t="s">
        <v>189</v>
      </c>
      <c r="E2629" s="0" t="n">
        <v>8</v>
      </c>
      <c r="F2629" s="0" t="s">
        <v>52</v>
      </c>
      <c r="G2629" s="0" t="s">
        <v>54</v>
      </c>
      <c r="H2629" s="0" t="s">
        <v>54</v>
      </c>
      <c r="I2629" s="0" t="s">
        <v>34</v>
      </c>
      <c r="J2629" s="0" t="n">
        <v>1.74</v>
      </c>
      <c r="K2629" s="0" t="s">
        <v>35</v>
      </c>
      <c r="L2629" s="0" t="n">
        <f aca="false">INDEX(Summary!$F$2:$F$201,MATCH($B2629,Summary!$A$2:$A$201,0))</f>
        <v>20</v>
      </c>
      <c r="M2629" s="0" t="n">
        <f aca="false">INDEX(Summary!$I$2:$I$201,MATCH($B2629,Summary!$A$2:$A$201,0))</f>
        <v>1</v>
      </c>
      <c r="N2629" s="0" t="n">
        <f aca="false">INDEX(Summary!$J$2:$J$201,MATCH($B2629,Summary!$A$2:$A$201,0))</f>
        <v>4</v>
      </c>
      <c r="O2629" s="2" t="n">
        <f aca="false">INDEX(Summary!$K$2:$K$201,MATCH($B2629,Summary!$A$2:$A$201,0))</f>
        <v>10.09</v>
      </c>
      <c r="P2629" s="3" t="n">
        <f aca="false">INDEX(Summary!$L$2:$L$201,MATCH($B2629,Summary!$A$2:$A$201,0))</f>
        <v>5</v>
      </c>
      <c r="Q2629" s="3" t="n">
        <f aca="false">INDEX(Summary!$M$2:$M$201,MATCH($B2629,Summary!$A$2:$A$201,0))</f>
        <v>1</v>
      </c>
      <c r="R2629" s="2" t="n">
        <f aca="false">INDEX(Summary!$N$2:$N$201,MATCH($B2629,Summary!$A$2:$A$201,0))</f>
        <v>11.74</v>
      </c>
      <c r="S2629" s="3" t="n">
        <f aca="false">INDEX(Summary!$O$2:$O$201,MATCH($B2629,Summary!$A$2:$A$201,0))</f>
        <v>8</v>
      </c>
      <c r="T2629" s="3" t="n">
        <f aca="false">INDEX(Summary!$P$2:$P$201,MATCH($B2629,Summary!$A$2:$A$201,0))</f>
        <v>1</v>
      </c>
      <c r="U2629" s="2" t="n">
        <f aca="false">INDEX(Summary!$Q$2:$Q$201,MATCH($B2629,Summary!$A$2:$A$201,0))</f>
        <v>12.03</v>
      </c>
      <c r="V2629" s="2" t="n">
        <f aca="false">INDEX(Summary!$R$2:$R$201,MATCH($B2629,Summary!$A$2:$A$201,0))</f>
        <v>23.54</v>
      </c>
      <c r="W2629" s="0" t="str">
        <f aca="false">INDEX(Summary!$S$2:$S$201,MATCH($B2629,Summary!$A$2:$A$201,0))</f>
        <v>Silver</v>
      </c>
      <c r="X2629" s="2" t="n">
        <f aca="false">INDEX(Summary!$T$2:$T$201,MATCH($B2629,Summary!$A$2:$A$201,0))</f>
        <v>57.41</v>
      </c>
      <c r="Y2629" s="0" t="str">
        <f aca="false">INDEX('Reward Model'!$E$18:$E$37,MATCH($E2629,'Reward Model'!$A$18:$A$37,0))</f>
        <v>Medium</v>
      </c>
      <c r="Z2629" s="4" t="n">
        <f aca="false">ROUND(MIN(1,MAX('Reward Model'!$B$2,INDEX('Reward Model'!$C$12:$C$14,MATCH($K2629,'Reward Model'!$A$12:$A$14,0))/$J2629)),3)</f>
        <v>0.862</v>
      </c>
      <c r="AA2629" s="2" t="n">
        <f aca="false">IF($I2629="Correct",ROUND(INDEX('Reward Model'!$B$12:$B$14,MATCH($K2629,'Reward Model'!$A$12:$A$14,0))*Z2629,2),0)</f>
        <v>0.86</v>
      </c>
      <c r="AB2629" s="2" t="n">
        <f aca="false">IF($I2629="Correct",ROUND(INDEX('Reward Model'!$B$12:$B$14,MATCH($Y2629,'Reward Model'!$A$12:$A$14,0))*Z2629,2),0)</f>
        <v>1.72</v>
      </c>
    </row>
    <row r="2630" customFormat="false" ht="15" hidden="false" customHeight="false" outlineLevel="0" collapsed="false">
      <c r="A2630" s="0" t="s">
        <v>394</v>
      </c>
      <c r="B2630" s="0" t="s">
        <v>395</v>
      </c>
      <c r="C2630" s="0" t="s">
        <v>322</v>
      </c>
      <c r="D2630" s="0" t="s">
        <v>189</v>
      </c>
      <c r="E2630" s="0" t="n">
        <v>9</v>
      </c>
      <c r="F2630" s="0" t="s">
        <v>55</v>
      </c>
      <c r="G2630" s="0" t="s">
        <v>341</v>
      </c>
      <c r="H2630" s="0" t="s">
        <v>57</v>
      </c>
      <c r="I2630" s="0" t="s">
        <v>39</v>
      </c>
      <c r="J2630" s="0" t="n">
        <v>1.07</v>
      </c>
      <c r="K2630" s="0" t="s">
        <v>35</v>
      </c>
      <c r="L2630" s="0" t="n">
        <f aca="false">INDEX(Summary!$F$2:$F$201,MATCH($B2630,Summary!$A$2:$A$201,0))</f>
        <v>20</v>
      </c>
      <c r="M2630" s="0" t="n">
        <f aca="false">INDEX(Summary!$I$2:$I$201,MATCH($B2630,Summary!$A$2:$A$201,0))</f>
        <v>1</v>
      </c>
      <c r="N2630" s="0" t="n">
        <f aca="false">INDEX(Summary!$J$2:$J$201,MATCH($B2630,Summary!$A$2:$A$201,0))</f>
        <v>4</v>
      </c>
      <c r="O2630" s="2" t="n">
        <f aca="false">INDEX(Summary!$K$2:$K$201,MATCH($B2630,Summary!$A$2:$A$201,0))</f>
        <v>10.09</v>
      </c>
      <c r="P2630" s="3" t="n">
        <f aca="false">INDEX(Summary!$L$2:$L$201,MATCH($B2630,Summary!$A$2:$A$201,0))</f>
        <v>5</v>
      </c>
      <c r="Q2630" s="3" t="n">
        <f aca="false">INDEX(Summary!$M$2:$M$201,MATCH($B2630,Summary!$A$2:$A$201,0))</f>
        <v>1</v>
      </c>
      <c r="R2630" s="2" t="n">
        <f aca="false">INDEX(Summary!$N$2:$N$201,MATCH($B2630,Summary!$A$2:$A$201,0))</f>
        <v>11.74</v>
      </c>
      <c r="S2630" s="3" t="n">
        <f aca="false">INDEX(Summary!$O$2:$O$201,MATCH($B2630,Summary!$A$2:$A$201,0))</f>
        <v>8</v>
      </c>
      <c r="T2630" s="3" t="n">
        <f aca="false">INDEX(Summary!$P$2:$P$201,MATCH($B2630,Summary!$A$2:$A$201,0))</f>
        <v>1</v>
      </c>
      <c r="U2630" s="2" t="n">
        <f aca="false">INDEX(Summary!$Q$2:$Q$201,MATCH($B2630,Summary!$A$2:$A$201,0))</f>
        <v>12.03</v>
      </c>
      <c r="V2630" s="2" t="n">
        <f aca="false">INDEX(Summary!$R$2:$R$201,MATCH($B2630,Summary!$A$2:$A$201,0))</f>
        <v>23.54</v>
      </c>
      <c r="W2630" s="0" t="str">
        <f aca="false">INDEX(Summary!$S$2:$S$201,MATCH($B2630,Summary!$A$2:$A$201,0))</f>
        <v>Silver</v>
      </c>
      <c r="X2630" s="2" t="n">
        <f aca="false">INDEX(Summary!$T$2:$T$201,MATCH($B2630,Summary!$A$2:$A$201,0))</f>
        <v>57.41</v>
      </c>
      <c r="Y2630" s="0" t="str">
        <f aca="false">INDEX('Reward Model'!$E$18:$E$37,MATCH($E2630,'Reward Model'!$A$18:$A$37,0))</f>
        <v>Medium</v>
      </c>
      <c r="Z2630" s="4" t="n">
        <f aca="false">ROUND(MIN(1,MAX('Reward Model'!$B$2,INDEX('Reward Model'!$C$12:$C$14,MATCH($K2630,'Reward Model'!$A$12:$A$14,0))/$J2630)),3)</f>
        <v>1</v>
      </c>
      <c r="AA2630" s="2" t="n">
        <f aca="false">IF($I2630="Correct",ROUND(INDEX('Reward Model'!$B$12:$B$14,MATCH($K2630,'Reward Model'!$A$12:$A$14,0))*Z2630,2),0)</f>
        <v>0</v>
      </c>
      <c r="AB2630" s="2" t="n">
        <f aca="false">IF($I2630="Correct",ROUND(INDEX('Reward Model'!$B$12:$B$14,MATCH($Y2630,'Reward Model'!$A$12:$A$14,0))*Z2630,2),0)</f>
        <v>0</v>
      </c>
    </row>
    <row r="2631" customFormat="false" ht="15" hidden="false" customHeight="false" outlineLevel="0" collapsed="false">
      <c r="A2631" s="0" t="s">
        <v>394</v>
      </c>
      <c r="B2631" s="0" t="s">
        <v>395</v>
      </c>
      <c r="C2631" s="0" t="s">
        <v>322</v>
      </c>
      <c r="D2631" s="0" t="s">
        <v>189</v>
      </c>
      <c r="E2631" s="0" t="n">
        <v>10</v>
      </c>
      <c r="F2631" s="0" t="s">
        <v>58</v>
      </c>
      <c r="G2631" s="0" t="s">
        <v>59</v>
      </c>
      <c r="H2631" s="0" t="s">
        <v>59</v>
      </c>
      <c r="I2631" s="0" t="s">
        <v>34</v>
      </c>
      <c r="J2631" s="0" t="n">
        <v>1.67</v>
      </c>
      <c r="K2631" s="0" t="s">
        <v>60</v>
      </c>
      <c r="L2631" s="0" t="n">
        <f aca="false">INDEX(Summary!$F$2:$F$201,MATCH($B2631,Summary!$A$2:$A$201,0))</f>
        <v>20</v>
      </c>
      <c r="M2631" s="0" t="n">
        <f aca="false">INDEX(Summary!$I$2:$I$201,MATCH($B2631,Summary!$A$2:$A$201,0))</f>
        <v>1</v>
      </c>
      <c r="N2631" s="0" t="n">
        <f aca="false">INDEX(Summary!$J$2:$J$201,MATCH($B2631,Summary!$A$2:$A$201,0))</f>
        <v>4</v>
      </c>
      <c r="O2631" s="2" t="n">
        <f aca="false">INDEX(Summary!$K$2:$K$201,MATCH($B2631,Summary!$A$2:$A$201,0))</f>
        <v>10.09</v>
      </c>
      <c r="P2631" s="3" t="n">
        <f aca="false">INDEX(Summary!$L$2:$L$201,MATCH($B2631,Summary!$A$2:$A$201,0))</f>
        <v>5</v>
      </c>
      <c r="Q2631" s="3" t="n">
        <f aca="false">INDEX(Summary!$M$2:$M$201,MATCH($B2631,Summary!$A$2:$A$201,0))</f>
        <v>1</v>
      </c>
      <c r="R2631" s="2" t="n">
        <f aca="false">INDEX(Summary!$N$2:$N$201,MATCH($B2631,Summary!$A$2:$A$201,0))</f>
        <v>11.74</v>
      </c>
      <c r="S2631" s="3" t="n">
        <f aca="false">INDEX(Summary!$O$2:$O$201,MATCH($B2631,Summary!$A$2:$A$201,0))</f>
        <v>8</v>
      </c>
      <c r="T2631" s="3" t="n">
        <f aca="false">INDEX(Summary!$P$2:$P$201,MATCH($B2631,Summary!$A$2:$A$201,0))</f>
        <v>1</v>
      </c>
      <c r="U2631" s="2" t="n">
        <f aca="false">INDEX(Summary!$Q$2:$Q$201,MATCH($B2631,Summary!$A$2:$A$201,0))</f>
        <v>12.03</v>
      </c>
      <c r="V2631" s="2" t="n">
        <f aca="false">INDEX(Summary!$R$2:$R$201,MATCH($B2631,Summary!$A$2:$A$201,0))</f>
        <v>23.54</v>
      </c>
      <c r="W2631" s="0" t="str">
        <f aca="false">INDEX(Summary!$S$2:$S$201,MATCH($B2631,Summary!$A$2:$A$201,0))</f>
        <v>Silver</v>
      </c>
      <c r="X2631" s="2" t="n">
        <f aca="false">INDEX(Summary!$T$2:$T$201,MATCH($B2631,Summary!$A$2:$A$201,0))</f>
        <v>57.41</v>
      </c>
      <c r="Y2631" s="0" t="str">
        <f aca="false">INDEX('Reward Model'!$E$18:$E$37,MATCH($E2631,'Reward Model'!$A$18:$A$37,0))</f>
        <v>Medium</v>
      </c>
      <c r="Z2631" s="4" t="n">
        <f aca="false">ROUND(MIN(1,MAX('Reward Model'!$B$2,INDEX('Reward Model'!$C$12:$C$14,MATCH($K2631,'Reward Model'!$A$12:$A$14,0))/$J2631)),3)</f>
        <v>1</v>
      </c>
      <c r="AA2631" s="2" t="n">
        <f aca="false">IF($I2631="Correct",ROUND(INDEX('Reward Model'!$B$12:$B$14,MATCH($K2631,'Reward Model'!$A$12:$A$14,0))*Z2631,2),0)</f>
        <v>2</v>
      </c>
      <c r="AB2631" s="2" t="n">
        <f aca="false">IF($I2631="Correct",ROUND(INDEX('Reward Model'!$B$12:$B$14,MATCH($Y2631,'Reward Model'!$A$12:$A$14,0))*Z2631,2),0)</f>
        <v>2</v>
      </c>
    </row>
    <row r="2632" customFormat="false" ht="15" hidden="false" customHeight="false" outlineLevel="0" collapsed="false">
      <c r="A2632" s="0" t="s">
        <v>394</v>
      </c>
      <c r="B2632" s="0" t="s">
        <v>395</v>
      </c>
      <c r="C2632" s="0" t="s">
        <v>322</v>
      </c>
      <c r="D2632" s="0" t="s">
        <v>189</v>
      </c>
      <c r="E2632" s="0" t="n">
        <v>11</v>
      </c>
      <c r="F2632" s="0" t="s">
        <v>61</v>
      </c>
      <c r="G2632" s="0" t="s">
        <v>63</v>
      </c>
      <c r="H2632" s="0" t="s">
        <v>63</v>
      </c>
      <c r="I2632" s="0" t="s">
        <v>34</v>
      </c>
      <c r="J2632" s="0" t="n">
        <v>2.09</v>
      </c>
      <c r="K2632" s="0" t="s">
        <v>60</v>
      </c>
      <c r="L2632" s="0" t="n">
        <f aca="false">INDEX(Summary!$F$2:$F$201,MATCH($B2632,Summary!$A$2:$A$201,0))</f>
        <v>20</v>
      </c>
      <c r="M2632" s="0" t="n">
        <f aca="false">INDEX(Summary!$I$2:$I$201,MATCH($B2632,Summary!$A$2:$A$201,0))</f>
        <v>1</v>
      </c>
      <c r="N2632" s="0" t="n">
        <f aca="false">INDEX(Summary!$J$2:$J$201,MATCH($B2632,Summary!$A$2:$A$201,0))</f>
        <v>4</v>
      </c>
      <c r="O2632" s="2" t="n">
        <f aca="false">INDEX(Summary!$K$2:$K$201,MATCH($B2632,Summary!$A$2:$A$201,0))</f>
        <v>10.09</v>
      </c>
      <c r="P2632" s="3" t="n">
        <f aca="false">INDEX(Summary!$L$2:$L$201,MATCH($B2632,Summary!$A$2:$A$201,0))</f>
        <v>5</v>
      </c>
      <c r="Q2632" s="3" t="n">
        <f aca="false">INDEX(Summary!$M$2:$M$201,MATCH($B2632,Summary!$A$2:$A$201,0))</f>
        <v>1</v>
      </c>
      <c r="R2632" s="2" t="n">
        <f aca="false">INDEX(Summary!$N$2:$N$201,MATCH($B2632,Summary!$A$2:$A$201,0))</f>
        <v>11.74</v>
      </c>
      <c r="S2632" s="3" t="n">
        <f aca="false">INDEX(Summary!$O$2:$O$201,MATCH($B2632,Summary!$A$2:$A$201,0))</f>
        <v>8</v>
      </c>
      <c r="T2632" s="3" t="n">
        <f aca="false">INDEX(Summary!$P$2:$P$201,MATCH($B2632,Summary!$A$2:$A$201,0))</f>
        <v>1</v>
      </c>
      <c r="U2632" s="2" t="n">
        <f aca="false">INDEX(Summary!$Q$2:$Q$201,MATCH($B2632,Summary!$A$2:$A$201,0))</f>
        <v>12.03</v>
      </c>
      <c r="V2632" s="2" t="n">
        <f aca="false">INDEX(Summary!$R$2:$R$201,MATCH($B2632,Summary!$A$2:$A$201,0))</f>
        <v>23.54</v>
      </c>
      <c r="W2632" s="0" t="str">
        <f aca="false">INDEX(Summary!$S$2:$S$201,MATCH($B2632,Summary!$A$2:$A$201,0))</f>
        <v>Silver</v>
      </c>
      <c r="X2632" s="2" t="n">
        <f aca="false">INDEX(Summary!$T$2:$T$201,MATCH($B2632,Summary!$A$2:$A$201,0))</f>
        <v>57.41</v>
      </c>
      <c r="Y2632" s="0" t="str">
        <f aca="false">INDEX('Reward Model'!$E$18:$E$37,MATCH($E2632,'Reward Model'!$A$18:$A$37,0))</f>
        <v>Medium</v>
      </c>
      <c r="Z2632" s="4" t="n">
        <f aca="false">ROUND(MIN(1,MAX('Reward Model'!$B$2,INDEX('Reward Model'!$C$12:$C$14,MATCH($K2632,'Reward Model'!$A$12:$A$14,0))/$J2632)),3)</f>
        <v>0.861</v>
      </c>
      <c r="AA2632" s="2" t="n">
        <f aca="false">IF($I2632="Correct",ROUND(INDEX('Reward Model'!$B$12:$B$14,MATCH($K2632,'Reward Model'!$A$12:$A$14,0))*Z2632,2),0)</f>
        <v>1.72</v>
      </c>
      <c r="AB2632" s="2" t="n">
        <f aca="false">IF($I2632="Correct",ROUND(INDEX('Reward Model'!$B$12:$B$14,MATCH($Y2632,'Reward Model'!$A$12:$A$14,0))*Z2632,2),0)</f>
        <v>1.72</v>
      </c>
    </row>
    <row r="2633" customFormat="false" ht="15" hidden="false" customHeight="false" outlineLevel="0" collapsed="false">
      <c r="A2633" s="0" t="s">
        <v>394</v>
      </c>
      <c r="B2633" s="0" t="s">
        <v>395</v>
      </c>
      <c r="C2633" s="0" t="s">
        <v>322</v>
      </c>
      <c r="D2633" s="0" t="s">
        <v>189</v>
      </c>
      <c r="E2633" s="0" t="n">
        <v>12</v>
      </c>
      <c r="F2633" s="0" t="s">
        <v>64</v>
      </c>
      <c r="G2633" s="0" t="s">
        <v>146</v>
      </c>
      <c r="H2633" s="0" t="s">
        <v>65</v>
      </c>
      <c r="I2633" s="0" t="s">
        <v>39</v>
      </c>
      <c r="J2633" s="0" t="n">
        <v>2.24</v>
      </c>
      <c r="K2633" s="0" t="s">
        <v>60</v>
      </c>
      <c r="L2633" s="0" t="n">
        <f aca="false">INDEX(Summary!$F$2:$F$201,MATCH($B2633,Summary!$A$2:$A$201,0))</f>
        <v>20</v>
      </c>
      <c r="M2633" s="0" t="n">
        <f aca="false">INDEX(Summary!$I$2:$I$201,MATCH($B2633,Summary!$A$2:$A$201,0))</f>
        <v>1</v>
      </c>
      <c r="N2633" s="0" t="n">
        <f aca="false">INDEX(Summary!$J$2:$J$201,MATCH($B2633,Summary!$A$2:$A$201,0))</f>
        <v>4</v>
      </c>
      <c r="O2633" s="2" t="n">
        <f aca="false">INDEX(Summary!$K$2:$K$201,MATCH($B2633,Summary!$A$2:$A$201,0))</f>
        <v>10.09</v>
      </c>
      <c r="P2633" s="3" t="n">
        <f aca="false">INDEX(Summary!$L$2:$L$201,MATCH($B2633,Summary!$A$2:$A$201,0))</f>
        <v>5</v>
      </c>
      <c r="Q2633" s="3" t="n">
        <f aca="false">INDEX(Summary!$M$2:$M$201,MATCH($B2633,Summary!$A$2:$A$201,0))</f>
        <v>1</v>
      </c>
      <c r="R2633" s="2" t="n">
        <f aca="false">INDEX(Summary!$N$2:$N$201,MATCH($B2633,Summary!$A$2:$A$201,0))</f>
        <v>11.74</v>
      </c>
      <c r="S2633" s="3" t="n">
        <f aca="false">INDEX(Summary!$O$2:$O$201,MATCH($B2633,Summary!$A$2:$A$201,0))</f>
        <v>8</v>
      </c>
      <c r="T2633" s="3" t="n">
        <f aca="false">INDEX(Summary!$P$2:$P$201,MATCH($B2633,Summary!$A$2:$A$201,0))</f>
        <v>1</v>
      </c>
      <c r="U2633" s="2" t="n">
        <f aca="false">INDEX(Summary!$Q$2:$Q$201,MATCH($B2633,Summary!$A$2:$A$201,0))</f>
        <v>12.03</v>
      </c>
      <c r="V2633" s="2" t="n">
        <f aca="false">INDEX(Summary!$R$2:$R$201,MATCH($B2633,Summary!$A$2:$A$201,0))</f>
        <v>23.54</v>
      </c>
      <c r="W2633" s="0" t="str">
        <f aca="false">INDEX(Summary!$S$2:$S$201,MATCH($B2633,Summary!$A$2:$A$201,0))</f>
        <v>Silver</v>
      </c>
      <c r="X2633" s="2" t="n">
        <f aca="false">INDEX(Summary!$T$2:$T$201,MATCH($B2633,Summary!$A$2:$A$201,0))</f>
        <v>57.41</v>
      </c>
      <c r="Y2633" s="0" t="str">
        <f aca="false">INDEX('Reward Model'!$E$18:$E$37,MATCH($E2633,'Reward Model'!$A$18:$A$37,0))</f>
        <v>Medium</v>
      </c>
      <c r="Z2633" s="4" t="n">
        <f aca="false">ROUND(MIN(1,MAX('Reward Model'!$B$2,INDEX('Reward Model'!$C$12:$C$14,MATCH($K2633,'Reward Model'!$A$12:$A$14,0))/$J2633)),3)</f>
        <v>0.804</v>
      </c>
      <c r="AA2633" s="2" t="n">
        <f aca="false">IF($I2633="Correct",ROUND(INDEX('Reward Model'!$B$12:$B$14,MATCH($K2633,'Reward Model'!$A$12:$A$14,0))*Z2633,2),0)</f>
        <v>0</v>
      </c>
      <c r="AB2633" s="2" t="n">
        <f aca="false">IF($I2633="Correct",ROUND(INDEX('Reward Model'!$B$12:$B$14,MATCH($Y2633,'Reward Model'!$A$12:$A$14,0))*Z2633,2),0)</f>
        <v>0</v>
      </c>
    </row>
    <row r="2634" customFormat="false" ht="15" hidden="false" customHeight="false" outlineLevel="0" collapsed="false">
      <c r="A2634" s="0" t="s">
        <v>394</v>
      </c>
      <c r="B2634" s="0" t="s">
        <v>395</v>
      </c>
      <c r="C2634" s="0" t="s">
        <v>322</v>
      </c>
      <c r="D2634" s="0" t="s">
        <v>189</v>
      </c>
      <c r="E2634" s="0" t="n">
        <v>13</v>
      </c>
      <c r="F2634" s="0" t="s">
        <v>66</v>
      </c>
      <c r="G2634" s="0" t="s">
        <v>67</v>
      </c>
      <c r="H2634" s="0" t="s">
        <v>67</v>
      </c>
      <c r="I2634" s="0" t="s">
        <v>34</v>
      </c>
      <c r="J2634" s="0" t="n">
        <v>1.85</v>
      </c>
      <c r="K2634" s="0" t="s">
        <v>60</v>
      </c>
      <c r="L2634" s="0" t="n">
        <f aca="false">INDEX(Summary!$F$2:$F$201,MATCH($B2634,Summary!$A$2:$A$201,0))</f>
        <v>20</v>
      </c>
      <c r="M2634" s="0" t="n">
        <f aca="false">INDEX(Summary!$I$2:$I$201,MATCH($B2634,Summary!$A$2:$A$201,0))</f>
        <v>1</v>
      </c>
      <c r="N2634" s="0" t="n">
        <f aca="false">INDEX(Summary!$J$2:$J$201,MATCH($B2634,Summary!$A$2:$A$201,0))</f>
        <v>4</v>
      </c>
      <c r="O2634" s="2" t="n">
        <f aca="false">INDEX(Summary!$K$2:$K$201,MATCH($B2634,Summary!$A$2:$A$201,0))</f>
        <v>10.09</v>
      </c>
      <c r="P2634" s="3" t="n">
        <f aca="false">INDEX(Summary!$L$2:$L$201,MATCH($B2634,Summary!$A$2:$A$201,0))</f>
        <v>5</v>
      </c>
      <c r="Q2634" s="3" t="n">
        <f aca="false">INDEX(Summary!$M$2:$M$201,MATCH($B2634,Summary!$A$2:$A$201,0))</f>
        <v>1</v>
      </c>
      <c r="R2634" s="2" t="n">
        <f aca="false">INDEX(Summary!$N$2:$N$201,MATCH($B2634,Summary!$A$2:$A$201,0))</f>
        <v>11.74</v>
      </c>
      <c r="S2634" s="3" t="n">
        <f aca="false">INDEX(Summary!$O$2:$O$201,MATCH($B2634,Summary!$A$2:$A$201,0))</f>
        <v>8</v>
      </c>
      <c r="T2634" s="3" t="n">
        <f aca="false">INDEX(Summary!$P$2:$P$201,MATCH($B2634,Summary!$A$2:$A$201,0))</f>
        <v>1</v>
      </c>
      <c r="U2634" s="2" t="n">
        <f aca="false">INDEX(Summary!$Q$2:$Q$201,MATCH($B2634,Summary!$A$2:$A$201,0))</f>
        <v>12.03</v>
      </c>
      <c r="V2634" s="2" t="n">
        <f aca="false">INDEX(Summary!$R$2:$R$201,MATCH($B2634,Summary!$A$2:$A$201,0))</f>
        <v>23.54</v>
      </c>
      <c r="W2634" s="0" t="str">
        <f aca="false">INDEX(Summary!$S$2:$S$201,MATCH($B2634,Summary!$A$2:$A$201,0))</f>
        <v>Silver</v>
      </c>
      <c r="X2634" s="2" t="n">
        <f aca="false">INDEX(Summary!$T$2:$T$201,MATCH($B2634,Summary!$A$2:$A$201,0))</f>
        <v>57.41</v>
      </c>
      <c r="Y2634" s="0" t="str">
        <f aca="false">INDEX('Reward Model'!$E$18:$E$37,MATCH($E2634,'Reward Model'!$A$18:$A$37,0))</f>
        <v>Medium</v>
      </c>
      <c r="Z2634" s="4" t="n">
        <f aca="false">ROUND(MIN(1,MAX('Reward Model'!$B$2,INDEX('Reward Model'!$C$12:$C$14,MATCH($K2634,'Reward Model'!$A$12:$A$14,0))/$J2634)),3)</f>
        <v>0.973</v>
      </c>
      <c r="AA2634" s="2" t="n">
        <f aca="false">IF($I2634="Correct",ROUND(INDEX('Reward Model'!$B$12:$B$14,MATCH($K2634,'Reward Model'!$A$12:$A$14,0))*Z2634,2),0)</f>
        <v>1.95</v>
      </c>
      <c r="AB2634" s="2" t="n">
        <f aca="false">IF($I2634="Correct",ROUND(INDEX('Reward Model'!$B$12:$B$14,MATCH($Y2634,'Reward Model'!$A$12:$A$14,0))*Z2634,2),0)</f>
        <v>1.95</v>
      </c>
    </row>
    <row r="2635" customFormat="false" ht="15" hidden="false" customHeight="false" outlineLevel="0" collapsed="false">
      <c r="A2635" s="0" t="s">
        <v>394</v>
      </c>
      <c r="B2635" s="0" t="s">
        <v>395</v>
      </c>
      <c r="C2635" s="0" t="s">
        <v>322</v>
      </c>
      <c r="D2635" s="0" t="s">
        <v>189</v>
      </c>
      <c r="E2635" s="0" t="n">
        <v>14</v>
      </c>
      <c r="F2635" s="0" t="s">
        <v>68</v>
      </c>
      <c r="G2635" s="0" t="s">
        <v>51</v>
      </c>
      <c r="H2635" s="0" t="s">
        <v>51</v>
      </c>
      <c r="I2635" s="0" t="s">
        <v>34</v>
      </c>
      <c r="J2635" s="0" t="n">
        <v>2.13</v>
      </c>
      <c r="K2635" s="0" t="s">
        <v>60</v>
      </c>
      <c r="L2635" s="0" t="n">
        <f aca="false">INDEX(Summary!$F$2:$F$201,MATCH($B2635,Summary!$A$2:$A$201,0))</f>
        <v>20</v>
      </c>
      <c r="M2635" s="0" t="n">
        <f aca="false">INDEX(Summary!$I$2:$I$201,MATCH($B2635,Summary!$A$2:$A$201,0))</f>
        <v>1</v>
      </c>
      <c r="N2635" s="0" t="n">
        <f aca="false">INDEX(Summary!$J$2:$J$201,MATCH($B2635,Summary!$A$2:$A$201,0))</f>
        <v>4</v>
      </c>
      <c r="O2635" s="2" t="n">
        <f aca="false">INDEX(Summary!$K$2:$K$201,MATCH($B2635,Summary!$A$2:$A$201,0))</f>
        <v>10.09</v>
      </c>
      <c r="P2635" s="3" t="n">
        <f aca="false">INDEX(Summary!$L$2:$L$201,MATCH($B2635,Summary!$A$2:$A$201,0))</f>
        <v>5</v>
      </c>
      <c r="Q2635" s="3" t="n">
        <f aca="false">INDEX(Summary!$M$2:$M$201,MATCH($B2635,Summary!$A$2:$A$201,0))</f>
        <v>1</v>
      </c>
      <c r="R2635" s="2" t="n">
        <f aca="false">INDEX(Summary!$N$2:$N$201,MATCH($B2635,Summary!$A$2:$A$201,0))</f>
        <v>11.74</v>
      </c>
      <c r="S2635" s="3" t="n">
        <f aca="false">INDEX(Summary!$O$2:$O$201,MATCH($B2635,Summary!$A$2:$A$201,0))</f>
        <v>8</v>
      </c>
      <c r="T2635" s="3" t="n">
        <f aca="false">INDEX(Summary!$P$2:$P$201,MATCH($B2635,Summary!$A$2:$A$201,0))</f>
        <v>1</v>
      </c>
      <c r="U2635" s="2" t="n">
        <f aca="false">INDEX(Summary!$Q$2:$Q$201,MATCH($B2635,Summary!$A$2:$A$201,0))</f>
        <v>12.03</v>
      </c>
      <c r="V2635" s="2" t="n">
        <f aca="false">INDEX(Summary!$R$2:$R$201,MATCH($B2635,Summary!$A$2:$A$201,0))</f>
        <v>23.54</v>
      </c>
      <c r="W2635" s="0" t="str">
        <f aca="false">INDEX(Summary!$S$2:$S$201,MATCH($B2635,Summary!$A$2:$A$201,0))</f>
        <v>Silver</v>
      </c>
      <c r="X2635" s="2" t="n">
        <f aca="false">INDEX(Summary!$T$2:$T$201,MATCH($B2635,Summary!$A$2:$A$201,0))</f>
        <v>57.41</v>
      </c>
      <c r="Y2635" s="0" t="str">
        <f aca="false">INDEX('Reward Model'!$E$18:$E$37,MATCH($E2635,'Reward Model'!$A$18:$A$37,0))</f>
        <v>Medium</v>
      </c>
      <c r="Z2635" s="4" t="n">
        <f aca="false">ROUND(MIN(1,MAX('Reward Model'!$B$2,INDEX('Reward Model'!$C$12:$C$14,MATCH($K2635,'Reward Model'!$A$12:$A$14,0))/$J2635)),3)</f>
        <v>0.845</v>
      </c>
      <c r="AA2635" s="2" t="n">
        <f aca="false">IF($I2635="Correct",ROUND(INDEX('Reward Model'!$B$12:$B$14,MATCH($K2635,'Reward Model'!$A$12:$A$14,0))*Z2635,2),0)</f>
        <v>1.69</v>
      </c>
      <c r="AB2635" s="2" t="n">
        <f aca="false">IF($I2635="Correct",ROUND(INDEX('Reward Model'!$B$12:$B$14,MATCH($Y2635,'Reward Model'!$A$12:$A$14,0))*Z2635,2),0)</f>
        <v>1.69</v>
      </c>
    </row>
    <row r="2636" customFormat="false" ht="15" hidden="false" customHeight="false" outlineLevel="0" collapsed="false">
      <c r="A2636" s="0" t="s">
        <v>394</v>
      </c>
      <c r="B2636" s="0" t="s">
        <v>395</v>
      </c>
      <c r="C2636" s="0" t="s">
        <v>322</v>
      </c>
      <c r="D2636" s="0" t="s">
        <v>189</v>
      </c>
      <c r="E2636" s="0" t="n">
        <v>15</v>
      </c>
      <c r="F2636" s="0" t="s">
        <v>69</v>
      </c>
      <c r="G2636" s="0" t="s">
        <v>70</v>
      </c>
      <c r="H2636" s="0" t="s">
        <v>70</v>
      </c>
      <c r="I2636" s="0" t="s">
        <v>34</v>
      </c>
      <c r="J2636" s="0" t="n">
        <v>1.76</v>
      </c>
      <c r="K2636" s="0" t="s">
        <v>60</v>
      </c>
      <c r="L2636" s="0" t="n">
        <f aca="false">INDEX(Summary!$F$2:$F$201,MATCH($B2636,Summary!$A$2:$A$201,0))</f>
        <v>20</v>
      </c>
      <c r="M2636" s="0" t="n">
        <f aca="false">INDEX(Summary!$I$2:$I$201,MATCH($B2636,Summary!$A$2:$A$201,0))</f>
        <v>1</v>
      </c>
      <c r="N2636" s="0" t="n">
        <f aca="false">INDEX(Summary!$J$2:$J$201,MATCH($B2636,Summary!$A$2:$A$201,0))</f>
        <v>4</v>
      </c>
      <c r="O2636" s="2" t="n">
        <f aca="false">INDEX(Summary!$K$2:$K$201,MATCH($B2636,Summary!$A$2:$A$201,0))</f>
        <v>10.09</v>
      </c>
      <c r="P2636" s="3" t="n">
        <f aca="false">INDEX(Summary!$L$2:$L$201,MATCH($B2636,Summary!$A$2:$A$201,0))</f>
        <v>5</v>
      </c>
      <c r="Q2636" s="3" t="n">
        <f aca="false">INDEX(Summary!$M$2:$M$201,MATCH($B2636,Summary!$A$2:$A$201,0))</f>
        <v>1</v>
      </c>
      <c r="R2636" s="2" t="n">
        <f aca="false">INDEX(Summary!$N$2:$N$201,MATCH($B2636,Summary!$A$2:$A$201,0))</f>
        <v>11.74</v>
      </c>
      <c r="S2636" s="3" t="n">
        <f aca="false">INDEX(Summary!$O$2:$O$201,MATCH($B2636,Summary!$A$2:$A$201,0))</f>
        <v>8</v>
      </c>
      <c r="T2636" s="3" t="n">
        <f aca="false">INDEX(Summary!$P$2:$P$201,MATCH($B2636,Summary!$A$2:$A$201,0))</f>
        <v>1</v>
      </c>
      <c r="U2636" s="2" t="n">
        <f aca="false">INDEX(Summary!$Q$2:$Q$201,MATCH($B2636,Summary!$A$2:$A$201,0))</f>
        <v>12.03</v>
      </c>
      <c r="V2636" s="2" t="n">
        <f aca="false">INDEX(Summary!$R$2:$R$201,MATCH($B2636,Summary!$A$2:$A$201,0))</f>
        <v>23.54</v>
      </c>
      <c r="W2636" s="0" t="str">
        <f aca="false">INDEX(Summary!$S$2:$S$201,MATCH($B2636,Summary!$A$2:$A$201,0))</f>
        <v>Silver</v>
      </c>
      <c r="X2636" s="2" t="n">
        <f aca="false">INDEX(Summary!$T$2:$T$201,MATCH($B2636,Summary!$A$2:$A$201,0))</f>
        <v>57.41</v>
      </c>
      <c r="Y2636" s="0" t="str">
        <f aca="false">INDEX('Reward Model'!$E$18:$E$37,MATCH($E2636,'Reward Model'!$A$18:$A$37,0))</f>
        <v>Medium</v>
      </c>
      <c r="Z2636" s="4" t="n">
        <f aca="false">ROUND(MIN(1,MAX('Reward Model'!$B$2,INDEX('Reward Model'!$C$12:$C$14,MATCH($K2636,'Reward Model'!$A$12:$A$14,0))/$J2636)),3)</f>
        <v>1</v>
      </c>
      <c r="AA2636" s="2" t="n">
        <f aca="false">IF($I2636="Correct",ROUND(INDEX('Reward Model'!$B$12:$B$14,MATCH($K2636,'Reward Model'!$A$12:$A$14,0))*Z2636,2),0)</f>
        <v>2</v>
      </c>
      <c r="AB2636" s="2" t="n">
        <f aca="false">IF($I2636="Correct",ROUND(INDEX('Reward Model'!$B$12:$B$14,MATCH($Y2636,'Reward Model'!$A$12:$A$14,0))*Z2636,2),0)</f>
        <v>2</v>
      </c>
    </row>
    <row r="2637" customFormat="false" ht="15" hidden="false" customHeight="false" outlineLevel="0" collapsed="false">
      <c r="A2637" s="0" t="s">
        <v>394</v>
      </c>
      <c r="B2637" s="0" t="s">
        <v>395</v>
      </c>
      <c r="C2637" s="0" t="s">
        <v>322</v>
      </c>
      <c r="D2637" s="0" t="s">
        <v>189</v>
      </c>
      <c r="E2637" s="0" t="n">
        <v>16</v>
      </c>
      <c r="F2637" s="0" t="s">
        <v>71</v>
      </c>
      <c r="G2637" s="0" t="s">
        <v>101</v>
      </c>
      <c r="H2637" s="0" t="s">
        <v>72</v>
      </c>
      <c r="I2637" s="0" t="s">
        <v>39</v>
      </c>
      <c r="J2637" s="0" t="n">
        <v>2.52</v>
      </c>
      <c r="K2637" s="0" t="s">
        <v>73</v>
      </c>
      <c r="L2637" s="0" t="n">
        <f aca="false">INDEX(Summary!$F$2:$F$201,MATCH($B2637,Summary!$A$2:$A$201,0))</f>
        <v>20</v>
      </c>
      <c r="M2637" s="0" t="n">
        <f aca="false">INDEX(Summary!$I$2:$I$201,MATCH($B2637,Summary!$A$2:$A$201,0))</f>
        <v>1</v>
      </c>
      <c r="N2637" s="0" t="n">
        <f aca="false">INDEX(Summary!$J$2:$J$201,MATCH($B2637,Summary!$A$2:$A$201,0))</f>
        <v>4</v>
      </c>
      <c r="O2637" s="2" t="n">
        <f aca="false">INDEX(Summary!$K$2:$K$201,MATCH($B2637,Summary!$A$2:$A$201,0))</f>
        <v>10.09</v>
      </c>
      <c r="P2637" s="3" t="n">
        <f aca="false">INDEX(Summary!$L$2:$L$201,MATCH($B2637,Summary!$A$2:$A$201,0))</f>
        <v>5</v>
      </c>
      <c r="Q2637" s="3" t="n">
        <f aca="false">INDEX(Summary!$M$2:$M$201,MATCH($B2637,Summary!$A$2:$A$201,0))</f>
        <v>1</v>
      </c>
      <c r="R2637" s="2" t="n">
        <f aca="false">INDEX(Summary!$N$2:$N$201,MATCH($B2637,Summary!$A$2:$A$201,0))</f>
        <v>11.74</v>
      </c>
      <c r="S2637" s="3" t="n">
        <f aca="false">INDEX(Summary!$O$2:$O$201,MATCH($B2637,Summary!$A$2:$A$201,0))</f>
        <v>8</v>
      </c>
      <c r="T2637" s="3" t="n">
        <f aca="false">INDEX(Summary!$P$2:$P$201,MATCH($B2637,Summary!$A$2:$A$201,0))</f>
        <v>1</v>
      </c>
      <c r="U2637" s="2" t="n">
        <f aca="false">INDEX(Summary!$Q$2:$Q$201,MATCH($B2637,Summary!$A$2:$A$201,0))</f>
        <v>12.03</v>
      </c>
      <c r="V2637" s="2" t="n">
        <f aca="false">INDEX(Summary!$R$2:$R$201,MATCH($B2637,Summary!$A$2:$A$201,0))</f>
        <v>23.54</v>
      </c>
      <c r="W2637" s="0" t="str">
        <f aca="false">INDEX(Summary!$S$2:$S$201,MATCH($B2637,Summary!$A$2:$A$201,0))</f>
        <v>Silver</v>
      </c>
      <c r="X2637" s="2" t="n">
        <f aca="false">INDEX(Summary!$T$2:$T$201,MATCH($B2637,Summary!$A$2:$A$201,0))</f>
        <v>57.41</v>
      </c>
      <c r="Y2637" s="0" t="str">
        <f aca="false">INDEX('Reward Model'!$E$18:$E$37,MATCH($E2637,'Reward Model'!$A$18:$A$37,0))</f>
        <v>High</v>
      </c>
      <c r="Z2637" s="4" t="n">
        <f aca="false">ROUND(MIN(1,MAX('Reward Model'!$B$2,INDEX('Reward Model'!$C$12:$C$14,MATCH($K2637,'Reward Model'!$A$12:$A$14,0))/$J2637)),3)</f>
        <v>0.794</v>
      </c>
      <c r="AA2637" s="2" t="n">
        <f aca="false">IF($I2637="Correct",ROUND(INDEX('Reward Model'!$B$12:$B$14,MATCH($K2637,'Reward Model'!$A$12:$A$14,0))*Z2637,2),0)</f>
        <v>0</v>
      </c>
      <c r="AB2637" s="2" t="n">
        <f aca="false">IF($I2637="Correct",ROUND(INDEX('Reward Model'!$B$12:$B$14,MATCH($Y2637,'Reward Model'!$A$12:$A$14,0))*Z2637,2),0)</f>
        <v>0</v>
      </c>
    </row>
    <row r="2638" customFormat="false" ht="15" hidden="false" customHeight="false" outlineLevel="0" collapsed="false">
      <c r="A2638" s="0" t="s">
        <v>394</v>
      </c>
      <c r="B2638" s="0" t="s">
        <v>395</v>
      </c>
      <c r="C2638" s="0" t="s">
        <v>322</v>
      </c>
      <c r="D2638" s="0" t="s">
        <v>189</v>
      </c>
      <c r="E2638" s="0" t="n">
        <v>17</v>
      </c>
      <c r="F2638" s="0" t="s">
        <v>74</v>
      </c>
      <c r="G2638" s="0" t="s">
        <v>105</v>
      </c>
      <c r="H2638" s="0" t="s">
        <v>75</v>
      </c>
      <c r="I2638" s="0" t="s">
        <v>39</v>
      </c>
      <c r="J2638" s="0" t="n">
        <v>1.29</v>
      </c>
      <c r="K2638" s="0" t="s">
        <v>73</v>
      </c>
      <c r="L2638" s="0" t="n">
        <f aca="false">INDEX(Summary!$F$2:$F$201,MATCH($B2638,Summary!$A$2:$A$201,0))</f>
        <v>20</v>
      </c>
      <c r="M2638" s="0" t="n">
        <f aca="false">INDEX(Summary!$I$2:$I$201,MATCH($B2638,Summary!$A$2:$A$201,0))</f>
        <v>1</v>
      </c>
      <c r="N2638" s="0" t="n">
        <f aca="false">INDEX(Summary!$J$2:$J$201,MATCH($B2638,Summary!$A$2:$A$201,0))</f>
        <v>4</v>
      </c>
      <c r="O2638" s="2" t="n">
        <f aca="false">INDEX(Summary!$K$2:$K$201,MATCH($B2638,Summary!$A$2:$A$201,0))</f>
        <v>10.09</v>
      </c>
      <c r="P2638" s="3" t="n">
        <f aca="false">INDEX(Summary!$L$2:$L$201,MATCH($B2638,Summary!$A$2:$A$201,0))</f>
        <v>5</v>
      </c>
      <c r="Q2638" s="3" t="n">
        <f aca="false">INDEX(Summary!$M$2:$M$201,MATCH($B2638,Summary!$A$2:$A$201,0))</f>
        <v>1</v>
      </c>
      <c r="R2638" s="2" t="n">
        <f aca="false">INDEX(Summary!$N$2:$N$201,MATCH($B2638,Summary!$A$2:$A$201,0))</f>
        <v>11.74</v>
      </c>
      <c r="S2638" s="3" t="n">
        <f aca="false">INDEX(Summary!$O$2:$O$201,MATCH($B2638,Summary!$A$2:$A$201,0))</f>
        <v>8</v>
      </c>
      <c r="T2638" s="3" t="n">
        <f aca="false">INDEX(Summary!$P$2:$P$201,MATCH($B2638,Summary!$A$2:$A$201,0))</f>
        <v>1</v>
      </c>
      <c r="U2638" s="2" t="n">
        <f aca="false">INDEX(Summary!$Q$2:$Q$201,MATCH($B2638,Summary!$A$2:$A$201,0))</f>
        <v>12.03</v>
      </c>
      <c r="V2638" s="2" t="n">
        <f aca="false">INDEX(Summary!$R$2:$R$201,MATCH($B2638,Summary!$A$2:$A$201,0))</f>
        <v>23.54</v>
      </c>
      <c r="W2638" s="0" t="str">
        <f aca="false">INDEX(Summary!$S$2:$S$201,MATCH($B2638,Summary!$A$2:$A$201,0))</f>
        <v>Silver</v>
      </c>
      <c r="X2638" s="2" t="n">
        <f aca="false">INDEX(Summary!$T$2:$T$201,MATCH($B2638,Summary!$A$2:$A$201,0))</f>
        <v>57.41</v>
      </c>
      <c r="Y2638" s="0" t="str">
        <f aca="false">INDEX('Reward Model'!$E$18:$E$37,MATCH($E2638,'Reward Model'!$A$18:$A$37,0))</f>
        <v>High</v>
      </c>
      <c r="Z2638" s="4" t="n">
        <f aca="false">ROUND(MIN(1,MAX('Reward Model'!$B$2,INDEX('Reward Model'!$C$12:$C$14,MATCH($K2638,'Reward Model'!$A$12:$A$14,0))/$J2638)),3)</f>
        <v>1</v>
      </c>
      <c r="AA2638" s="2" t="n">
        <f aca="false">IF($I2638="Correct",ROUND(INDEX('Reward Model'!$B$12:$B$14,MATCH($K2638,'Reward Model'!$A$12:$A$14,0))*Z2638,2),0)</f>
        <v>0</v>
      </c>
      <c r="AB2638" s="2" t="n">
        <f aca="false">IF($I2638="Correct",ROUND(INDEX('Reward Model'!$B$12:$B$14,MATCH($Y2638,'Reward Model'!$A$12:$A$14,0))*Z2638,2),0)</f>
        <v>0</v>
      </c>
    </row>
    <row r="2639" customFormat="false" ht="15" hidden="false" customHeight="false" outlineLevel="0" collapsed="false">
      <c r="A2639" s="0" t="s">
        <v>394</v>
      </c>
      <c r="B2639" s="0" t="s">
        <v>395</v>
      </c>
      <c r="C2639" s="0" t="s">
        <v>322</v>
      </c>
      <c r="D2639" s="0" t="s">
        <v>189</v>
      </c>
      <c r="E2639" s="0" t="n">
        <v>18</v>
      </c>
      <c r="F2639" s="0" t="s">
        <v>76</v>
      </c>
      <c r="G2639" s="0" t="s">
        <v>88</v>
      </c>
      <c r="H2639" s="0" t="s">
        <v>77</v>
      </c>
      <c r="I2639" s="0" t="s">
        <v>39</v>
      </c>
      <c r="J2639" s="0" t="n">
        <v>2.25</v>
      </c>
      <c r="K2639" s="0" t="s">
        <v>73</v>
      </c>
      <c r="L2639" s="0" t="n">
        <f aca="false">INDEX(Summary!$F$2:$F$201,MATCH($B2639,Summary!$A$2:$A$201,0))</f>
        <v>20</v>
      </c>
      <c r="M2639" s="0" t="n">
        <f aca="false">INDEX(Summary!$I$2:$I$201,MATCH($B2639,Summary!$A$2:$A$201,0))</f>
        <v>1</v>
      </c>
      <c r="N2639" s="0" t="n">
        <f aca="false">INDEX(Summary!$J$2:$J$201,MATCH($B2639,Summary!$A$2:$A$201,0))</f>
        <v>4</v>
      </c>
      <c r="O2639" s="2" t="n">
        <f aca="false">INDEX(Summary!$K$2:$K$201,MATCH($B2639,Summary!$A$2:$A$201,0))</f>
        <v>10.09</v>
      </c>
      <c r="P2639" s="3" t="n">
        <f aca="false">INDEX(Summary!$L$2:$L$201,MATCH($B2639,Summary!$A$2:$A$201,0))</f>
        <v>5</v>
      </c>
      <c r="Q2639" s="3" t="n">
        <f aca="false">INDEX(Summary!$M$2:$M$201,MATCH($B2639,Summary!$A$2:$A$201,0))</f>
        <v>1</v>
      </c>
      <c r="R2639" s="2" t="n">
        <f aca="false">INDEX(Summary!$N$2:$N$201,MATCH($B2639,Summary!$A$2:$A$201,0))</f>
        <v>11.74</v>
      </c>
      <c r="S2639" s="3" t="n">
        <f aca="false">INDEX(Summary!$O$2:$O$201,MATCH($B2639,Summary!$A$2:$A$201,0))</f>
        <v>8</v>
      </c>
      <c r="T2639" s="3" t="n">
        <f aca="false">INDEX(Summary!$P$2:$P$201,MATCH($B2639,Summary!$A$2:$A$201,0))</f>
        <v>1</v>
      </c>
      <c r="U2639" s="2" t="n">
        <f aca="false">INDEX(Summary!$Q$2:$Q$201,MATCH($B2639,Summary!$A$2:$A$201,0))</f>
        <v>12.03</v>
      </c>
      <c r="V2639" s="2" t="n">
        <f aca="false">INDEX(Summary!$R$2:$R$201,MATCH($B2639,Summary!$A$2:$A$201,0))</f>
        <v>23.54</v>
      </c>
      <c r="W2639" s="0" t="str">
        <f aca="false">INDEX(Summary!$S$2:$S$201,MATCH($B2639,Summary!$A$2:$A$201,0))</f>
        <v>Silver</v>
      </c>
      <c r="X2639" s="2" t="n">
        <f aca="false">INDEX(Summary!$T$2:$T$201,MATCH($B2639,Summary!$A$2:$A$201,0))</f>
        <v>57.41</v>
      </c>
      <c r="Y2639" s="0" t="str">
        <f aca="false">INDEX('Reward Model'!$E$18:$E$37,MATCH($E2639,'Reward Model'!$A$18:$A$37,0))</f>
        <v>High</v>
      </c>
      <c r="Z2639" s="4" t="n">
        <f aca="false">ROUND(MIN(1,MAX('Reward Model'!$B$2,INDEX('Reward Model'!$C$12:$C$14,MATCH($K2639,'Reward Model'!$A$12:$A$14,0))/$J2639)),3)</f>
        <v>0.889</v>
      </c>
      <c r="AA2639" s="2" t="n">
        <f aca="false">IF($I2639="Correct",ROUND(INDEX('Reward Model'!$B$12:$B$14,MATCH($K2639,'Reward Model'!$A$12:$A$14,0))*Z2639,2),0)</f>
        <v>0</v>
      </c>
      <c r="AB2639" s="2" t="n">
        <f aca="false">IF($I2639="Correct",ROUND(INDEX('Reward Model'!$B$12:$B$14,MATCH($Y2639,'Reward Model'!$A$12:$A$14,0))*Z2639,2),0)</f>
        <v>0</v>
      </c>
    </row>
    <row r="2640" customFormat="false" ht="15" hidden="false" customHeight="false" outlineLevel="0" collapsed="false">
      <c r="A2640" s="0" t="s">
        <v>394</v>
      </c>
      <c r="B2640" s="0" t="s">
        <v>395</v>
      </c>
      <c r="C2640" s="0" t="s">
        <v>322</v>
      </c>
      <c r="D2640" s="0" t="s">
        <v>189</v>
      </c>
      <c r="E2640" s="0" t="n">
        <v>19</v>
      </c>
      <c r="F2640" s="0" t="s">
        <v>78</v>
      </c>
      <c r="G2640" s="0" t="s">
        <v>80</v>
      </c>
      <c r="H2640" s="0" t="s">
        <v>80</v>
      </c>
      <c r="I2640" s="0" t="s">
        <v>34</v>
      </c>
      <c r="J2640" s="0" t="n">
        <v>1.57</v>
      </c>
      <c r="K2640" s="0" t="s">
        <v>73</v>
      </c>
      <c r="L2640" s="0" t="n">
        <f aca="false">INDEX(Summary!$F$2:$F$201,MATCH($B2640,Summary!$A$2:$A$201,0))</f>
        <v>20</v>
      </c>
      <c r="M2640" s="0" t="n">
        <f aca="false">INDEX(Summary!$I$2:$I$201,MATCH($B2640,Summary!$A$2:$A$201,0))</f>
        <v>1</v>
      </c>
      <c r="N2640" s="0" t="n">
        <f aca="false">INDEX(Summary!$J$2:$J$201,MATCH($B2640,Summary!$A$2:$A$201,0))</f>
        <v>4</v>
      </c>
      <c r="O2640" s="2" t="n">
        <f aca="false">INDEX(Summary!$K$2:$K$201,MATCH($B2640,Summary!$A$2:$A$201,0))</f>
        <v>10.09</v>
      </c>
      <c r="P2640" s="3" t="n">
        <f aca="false">INDEX(Summary!$L$2:$L$201,MATCH($B2640,Summary!$A$2:$A$201,0))</f>
        <v>5</v>
      </c>
      <c r="Q2640" s="3" t="n">
        <f aca="false">INDEX(Summary!$M$2:$M$201,MATCH($B2640,Summary!$A$2:$A$201,0))</f>
        <v>1</v>
      </c>
      <c r="R2640" s="2" t="n">
        <f aca="false">INDEX(Summary!$N$2:$N$201,MATCH($B2640,Summary!$A$2:$A$201,0))</f>
        <v>11.74</v>
      </c>
      <c r="S2640" s="3" t="n">
        <f aca="false">INDEX(Summary!$O$2:$O$201,MATCH($B2640,Summary!$A$2:$A$201,0))</f>
        <v>8</v>
      </c>
      <c r="T2640" s="3" t="n">
        <f aca="false">INDEX(Summary!$P$2:$P$201,MATCH($B2640,Summary!$A$2:$A$201,0))</f>
        <v>1</v>
      </c>
      <c r="U2640" s="2" t="n">
        <f aca="false">INDEX(Summary!$Q$2:$Q$201,MATCH($B2640,Summary!$A$2:$A$201,0))</f>
        <v>12.03</v>
      </c>
      <c r="V2640" s="2" t="n">
        <f aca="false">INDEX(Summary!$R$2:$R$201,MATCH($B2640,Summary!$A$2:$A$201,0))</f>
        <v>23.54</v>
      </c>
      <c r="W2640" s="0" t="str">
        <f aca="false">INDEX(Summary!$S$2:$S$201,MATCH($B2640,Summary!$A$2:$A$201,0))</f>
        <v>Silver</v>
      </c>
      <c r="X2640" s="2" t="n">
        <f aca="false">INDEX(Summary!$T$2:$T$201,MATCH($B2640,Summary!$A$2:$A$201,0))</f>
        <v>57.41</v>
      </c>
      <c r="Y2640" s="0" t="str">
        <f aca="false">INDEX('Reward Model'!$E$18:$E$37,MATCH($E2640,'Reward Model'!$A$18:$A$37,0))</f>
        <v>High</v>
      </c>
      <c r="Z2640" s="4" t="n">
        <f aca="false">ROUND(MIN(1,MAX('Reward Model'!$B$2,INDEX('Reward Model'!$C$12:$C$14,MATCH($K2640,'Reward Model'!$A$12:$A$14,0))/$J2640)),3)</f>
        <v>1</v>
      </c>
      <c r="AA2640" s="2" t="n">
        <f aca="false">IF($I2640="Correct",ROUND(INDEX('Reward Model'!$B$12:$B$14,MATCH($K2640,'Reward Model'!$A$12:$A$14,0))*Z2640,2),0)</f>
        <v>3</v>
      </c>
      <c r="AB2640" s="2" t="n">
        <f aca="false">IF($I2640="Correct",ROUND(INDEX('Reward Model'!$B$12:$B$14,MATCH($Y2640,'Reward Model'!$A$12:$A$14,0))*Z2640,2),0)</f>
        <v>3</v>
      </c>
    </row>
    <row r="2641" customFormat="false" ht="15" hidden="false" customHeight="false" outlineLevel="0" collapsed="false">
      <c r="A2641" s="0" t="s">
        <v>394</v>
      </c>
      <c r="B2641" s="0" t="s">
        <v>395</v>
      </c>
      <c r="C2641" s="0" t="s">
        <v>322</v>
      </c>
      <c r="D2641" s="0" t="s">
        <v>189</v>
      </c>
      <c r="E2641" s="0" t="n">
        <v>20</v>
      </c>
      <c r="F2641" s="0" t="s">
        <v>81</v>
      </c>
      <c r="G2641" s="0" t="s">
        <v>82</v>
      </c>
      <c r="H2641" s="0" t="s">
        <v>83</v>
      </c>
      <c r="I2641" s="0" t="s">
        <v>39</v>
      </c>
      <c r="J2641" s="0" t="n">
        <v>2.46</v>
      </c>
      <c r="K2641" s="0" t="s">
        <v>73</v>
      </c>
      <c r="L2641" s="0" t="n">
        <f aca="false">INDEX(Summary!$F$2:$F$201,MATCH($B2641,Summary!$A$2:$A$201,0))</f>
        <v>20</v>
      </c>
      <c r="M2641" s="0" t="n">
        <f aca="false">INDEX(Summary!$I$2:$I$201,MATCH($B2641,Summary!$A$2:$A$201,0))</f>
        <v>1</v>
      </c>
      <c r="N2641" s="0" t="n">
        <f aca="false">INDEX(Summary!$J$2:$J$201,MATCH($B2641,Summary!$A$2:$A$201,0))</f>
        <v>4</v>
      </c>
      <c r="O2641" s="2" t="n">
        <f aca="false">INDEX(Summary!$K$2:$K$201,MATCH($B2641,Summary!$A$2:$A$201,0))</f>
        <v>10.09</v>
      </c>
      <c r="P2641" s="3" t="n">
        <f aca="false">INDEX(Summary!$L$2:$L$201,MATCH($B2641,Summary!$A$2:$A$201,0))</f>
        <v>5</v>
      </c>
      <c r="Q2641" s="3" t="n">
        <f aca="false">INDEX(Summary!$M$2:$M$201,MATCH($B2641,Summary!$A$2:$A$201,0))</f>
        <v>1</v>
      </c>
      <c r="R2641" s="2" t="n">
        <f aca="false">INDEX(Summary!$N$2:$N$201,MATCH($B2641,Summary!$A$2:$A$201,0))</f>
        <v>11.74</v>
      </c>
      <c r="S2641" s="3" t="n">
        <f aca="false">INDEX(Summary!$O$2:$O$201,MATCH($B2641,Summary!$A$2:$A$201,0))</f>
        <v>8</v>
      </c>
      <c r="T2641" s="3" t="n">
        <f aca="false">INDEX(Summary!$P$2:$P$201,MATCH($B2641,Summary!$A$2:$A$201,0))</f>
        <v>1</v>
      </c>
      <c r="U2641" s="2" t="n">
        <f aca="false">INDEX(Summary!$Q$2:$Q$201,MATCH($B2641,Summary!$A$2:$A$201,0))</f>
        <v>12.03</v>
      </c>
      <c r="V2641" s="2" t="n">
        <f aca="false">INDEX(Summary!$R$2:$R$201,MATCH($B2641,Summary!$A$2:$A$201,0))</f>
        <v>23.54</v>
      </c>
      <c r="W2641" s="0" t="str">
        <f aca="false">INDEX(Summary!$S$2:$S$201,MATCH($B2641,Summary!$A$2:$A$201,0))</f>
        <v>Silver</v>
      </c>
      <c r="X2641" s="2" t="n">
        <f aca="false">INDEX(Summary!$T$2:$T$201,MATCH($B2641,Summary!$A$2:$A$201,0))</f>
        <v>57.41</v>
      </c>
      <c r="Y2641" s="0" t="str">
        <f aca="false">INDEX('Reward Model'!$E$18:$E$37,MATCH($E2641,'Reward Model'!$A$18:$A$37,0))</f>
        <v>High</v>
      </c>
      <c r="Z2641" s="4" t="n">
        <f aca="false">ROUND(MIN(1,MAX('Reward Model'!$B$2,INDEX('Reward Model'!$C$12:$C$14,MATCH($K2641,'Reward Model'!$A$12:$A$14,0))/$J2641)),3)</f>
        <v>0.813</v>
      </c>
      <c r="AA2641" s="2" t="n">
        <f aca="false">IF($I2641="Correct",ROUND(INDEX('Reward Model'!$B$12:$B$14,MATCH($K2641,'Reward Model'!$A$12:$A$14,0))*Z2641,2),0)</f>
        <v>0</v>
      </c>
      <c r="AB2641" s="2" t="n">
        <f aca="false">IF($I2641="Correct",ROUND(INDEX('Reward Model'!$B$12:$B$14,MATCH($Y2641,'Reward Model'!$A$12:$A$14,0))*Z2641,2),0)</f>
        <v>0</v>
      </c>
    </row>
    <row r="2642" customFormat="false" ht="15" hidden="false" customHeight="false" outlineLevel="0" collapsed="false">
      <c r="A2642" s="0" t="s">
        <v>396</v>
      </c>
      <c r="B2642" s="0" t="s">
        <v>397</v>
      </c>
      <c r="C2642" s="0" t="s">
        <v>322</v>
      </c>
      <c r="D2642" s="0" t="s">
        <v>189</v>
      </c>
      <c r="E2642" s="0" t="n">
        <v>1</v>
      </c>
      <c r="F2642" s="0" t="s">
        <v>32</v>
      </c>
      <c r="G2642" s="0" t="s">
        <v>97</v>
      </c>
      <c r="H2642" s="0" t="s">
        <v>33</v>
      </c>
      <c r="I2642" s="0" t="s">
        <v>39</v>
      </c>
      <c r="J2642" s="0" t="n">
        <v>1.41</v>
      </c>
      <c r="K2642" s="0" t="s">
        <v>35</v>
      </c>
      <c r="L2642" s="0" t="n">
        <f aca="false">INDEX(Summary!$F$2:$F$201,MATCH($B2642,Summary!$A$2:$A$201,0))</f>
        <v>20</v>
      </c>
      <c r="M2642" s="0" t="n">
        <f aca="false">INDEX(Summary!$I$2:$I$201,MATCH($B2642,Summary!$A$2:$A$201,0))</f>
        <v>2</v>
      </c>
      <c r="N2642" s="0" t="n">
        <f aca="false">INDEX(Summary!$J$2:$J$201,MATCH($B2642,Summary!$A$2:$A$201,0))</f>
        <v>3</v>
      </c>
      <c r="O2642" s="2" t="n">
        <f aca="false">INDEX(Summary!$K$2:$K$201,MATCH($B2642,Summary!$A$2:$A$201,0))</f>
        <v>9.17</v>
      </c>
      <c r="P2642" s="3" t="n">
        <f aca="false">INDEX(Summary!$L$2:$L$201,MATCH($B2642,Summary!$A$2:$A$201,0))</f>
        <v>3</v>
      </c>
      <c r="Q2642" s="3" t="n">
        <f aca="false">INDEX(Summary!$M$2:$M$201,MATCH($B2642,Summary!$A$2:$A$201,0))</f>
        <v>3</v>
      </c>
      <c r="R2642" s="2" t="n">
        <f aca="false">INDEX(Summary!$N$2:$N$201,MATCH($B2642,Summary!$A$2:$A$201,0))</f>
        <v>12.11</v>
      </c>
      <c r="S2642" s="3" t="n">
        <f aca="false">INDEX(Summary!$O$2:$O$201,MATCH($B2642,Summary!$A$2:$A$201,0))</f>
        <v>8</v>
      </c>
      <c r="T2642" s="3" t="n">
        <f aca="false">INDEX(Summary!$P$2:$P$201,MATCH($B2642,Summary!$A$2:$A$201,0))</f>
        <v>1</v>
      </c>
      <c r="U2642" s="2" t="n">
        <f aca="false">INDEX(Summary!$Q$2:$Q$201,MATCH($B2642,Summary!$A$2:$A$201,0))</f>
        <v>11.71</v>
      </c>
      <c r="V2642" s="2" t="n">
        <f aca="false">INDEX(Summary!$R$2:$R$201,MATCH($B2642,Summary!$A$2:$A$201,0))</f>
        <v>22.05</v>
      </c>
      <c r="W2642" s="0" t="str">
        <f aca="false">INDEX(Summary!$S$2:$S$201,MATCH($B2642,Summary!$A$2:$A$201,0))</f>
        <v>Silver</v>
      </c>
      <c r="X2642" s="2" t="n">
        <f aca="false">INDEX(Summary!$T$2:$T$201,MATCH($B2642,Summary!$A$2:$A$201,0))</f>
        <v>53.78</v>
      </c>
      <c r="Y2642" s="0" t="str">
        <f aca="false">INDEX('Reward Model'!$E$18:$E$37,MATCH($E2642,'Reward Model'!$A$18:$A$37,0))</f>
        <v>Medium</v>
      </c>
      <c r="Z2642" s="4" t="n">
        <f aca="false">ROUND(MIN(1,MAX('Reward Model'!$B$2,INDEX('Reward Model'!$C$12:$C$14,MATCH($K2642,'Reward Model'!$A$12:$A$14,0))/$J2642)),3)</f>
        <v>1</v>
      </c>
      <c r="AA2642" s="2" t="n">
        <f aca="false">IF($I2642="Correct",ROUND(INDEX('Reward Model'!$B$12:$B$14,MATCH($K2642,'Reward Model'!$A$12:$A$14,0))*Z2642,2),0)</f>
        <v>0</v>
      </c>
      <c r="AB2642" s="2" t="n">
        <f aca="false">IF($I2642="Correct",ROUND(INDEX('Reward Model'!$B$12:$B$14,MATCH($Y2642,'Reward Model'!$A$12:$A$14,0))*Z2642,2),0)</f>
        <v>0</v>
      </c>
    </row>
    <row r="2643" customFormat="false" ht="15" hidden="false" customHeight="false" outlineLevel="0" collapsed="false">
      <c r="A2643" s="0" t="s">
        <v>396</v>
      </c>
      <c r="B2643" s="0" t="s">
        <v>397</v>
      </c>
      <c r="C2643" s="0" t="s">
        <v>322</v>
      </c>
      <c r="D2643" s="0" t="s">
        <v>189</v>
      </c>
      <c r="E2643" s="0" t="n">
        <v>2</v>
      </c>
      <c r="F2643" s="0" t="s">
        <v>36</v>
      </c>
      <c r="G2643" s="0" t="s">
        <v>38</v>
      </c>
      <c r="H2643" s="0" t="s">
        <v>38</v>
      </c>
      <c r="I2643" s="0" t="s">
        <v>34</v>
      </c>
      <c r="J2643" s="0" t="n">
        <v>1.27</v>
      </c>
      <c r="K2643" s="0" t="s">
        <v>35</v>
      </c>
      <c r="L2643" s="0" t="n">
        <f aca="false">INDEX(Summary!$F$2:$F$201,MATCH($B2643,Summary!$A$2:$A$201,0))</f>
        <v>20</v>
      </c>
      <c r="M2643" s="0" t="n">
        <f aca="false">INDEX(Summary!$I$2:$I$201,MATCH($B2643,Summary!$A$2:$A$201,0))</f>
        <v>2</v>
      </c>
      <c r="N2643" s="0" t="n">
        <f aca="false">INDEX(Summary!$J$2:$J$201,MATCH($B2643,Summary!$A$2:$A$201,0))</f>
        <v>3</v>
      </c>
      <c r="O2643" s="2" t="n">
        <f aca="false">INDEX(Summary!$K$2:$K$201,MATCH($B2643,Summary!$A$2:$A$201,0))</f>
        <v>9.17</v>
      </c>
      <c r="P2643" s="3" t="n">
        <f aca="false">INDEX(Summary!$L$2:$L$201,MATCH($B2643,Summary!$A$2:$A$201,0))</f>
        <v>3</v>
      </c>
      <c r="Q2643" s="3" t="n">
        <f aca="false">INDEX(Summary!$M$2:$M$201,MATCH($B2643,Summary!$A$2:$A$201,0))</f>
        <v>3</v>
      </c>
      <c r="R2643" s="2" t="n">
        <f aca="false">INDEX(Summary!$N$2:$N$201,MATCH($B2643,Summary!$A$2:$A$201,0))</f>
        <v>12.11</v>
      </c>
      <c r="S2643" s="3" t="n">
        <f aca="false">INDEX(Summary!$O$2:$O$201,MATCH($B2643,Summary!$A$2:$A$201,0))</f>
        <v>8</v>
      </c>
      <c r="T2643" s="3" t="n">
        <f aca="false">INDEX(Summary!$P$2:$P$201,MATCH($B2643,Summary!$A$2:$A$201,0))</f>
        <v>1</v>
      </c>
      <c r="U2643" s="2" t="n">
        <f aca="false">INDEX(Summary!$Q$2:$Q$201,MATCH($B2643,Summary!$A$2:$A$201,0))</f>
        <v>11.71</v>
      </c>
      <c r="V2643" s="2" t="n">
        <f aca="false">INDEX(Summary!$R$2:$R$201,MATCH($B2643,Summary!$A$2:$A$201,0))</f>
        <v>22.05</v>
      </c>
      <c r="W2643" s="0" t="str">
        <f aca="false">INDEX(Summary!$S$2:$S$201,MATCH($B2643,Summary!$A$2:$A$201,0))</f>
        <v>Silver</v>
      </c>
      <c r="X2643" s="2" t="n">
        <f aca="false">INDEX(Summary!$T$2:$T$201,MATCH($B2643,Summary!$A$2:$A$201,0))</f>
        <v>53.78</v>
      </c>
      <c r="Y2643" s="0" t="str">
        <f aca="false">INDEX('Reward Model'!$E$18:$E$37,MATCH($E2643,'Reward Model'!$A$18:$A$37,0))</f>
        <v>Low</v>
      </c>
      <c r="Z2643" s="4" t="n">
        <f aca="false">ROUND(MIN(1,MAX('Reward Model'!$B$2,INDEX('Reward Model'!$C$12:$C$14,MATCH($K2643,'Reward Model'!$A$12:$A$14,0))/$J2643)),3)</f>
        <v>1</v>
      </c>
      <c r="AA2643" s="2" t="n">
        <f aca="false">IF($I2643="Correct",ROUND(INDEX('Reward Model'!$B$12:$B$14,MATCH($K2643,'Reward Model'!$A$12:$A$14,0))*Z2643,2),0)</f>
        <v>1</v>
      </c>
      <c r="AB2643" s="2" t="n">
        <f aca="false">IF($I2643="Correct",ROUND(INDEX('Reward Model'!$B$12:$B$14,MATCH($Y2643,'Reward Model'!$A$12:$A$14,0))*Z2643,2),0)</f>
        <v>1</v>
      </c>
    </row>
    <row r="2644" customFormat="false" ht="15" hidden="false" customHeight="false" outlineLevel="0" collapsed="false">
      <c r="A2644" s="0" t="s">
        <v>396</v>
      </c>
      <c r="B2644" s="0" t="s">
        <v>397</v>
      </c>
      <c r="C2644" s="0" t="s">
        <v>322</v>
      </c>
      <c r="D2644" s="0" t="s">
        <v>189</v>
      </c>
      <c r="E2644" s="0" t="n">
        <v>3</v>
      </c>
      <c r="F2644" s="0" t="s">
        <v>40</v>
      </c>
      <c r="G2644" s="0" t="s">
        <v>42</v>
      </c>
      <c r="H2644" s="0" t="s">
        <v>42</v>
      </c>
      <c r="I2644" s="0" t="s">
        <v>34</v>
      </c>
      <c r="J2644" s="0" t="n">
        <v>0.98</v>
      </c>
      <c r="K2644" s="0" t="s">
        <v>35</v>
      </c>
      <c r="L2644" s="0" t="n">
        <f aca="false">INDEX(Summary!$F$2:$F$201,MATCH($B2644,Summary!$A$2:$A$201,0))</f>
        <v>20</v>
      </c>
      <c r="M2644" s="0" t="n">
        <f aca="false">INDEX(Summary!$I$2:$I$201,MATCH($B2644,Summary!$A$2:$A$201,0))</f>
        <v>2</v>
      </c>
      <c r="N2644" s="0" t="n">
        <f aca="false">INDEX(Summary!$J$2:$J$201,MATCH($B2644,Summary!$A$2:$A$201,0))</f>
        <v>3</v>
      </c>
      <c r="O2644" s="2" t="n">
        <f aca="false">INDEX(Summary!$K$2:$K$201,MATCH($B2644,Summary!$A$2:$A$201,0))</f>
        <v>9.17</v>
      </c>
      <c r="P2644" s="3" t="n">
        <f aca="false">INDEX(Summary!$L$2:$L$201,MATCH($B2644,Summary!$A$2:$A$201,0))</f>
        <v>3</v>
      </c>
      <c r="Q2644" s="3" t="n">
        <f aca="false">INDEX(Summary!$M$2:$M$201,MATCH($B2644,Summary!$A$2:$A$201,0))</f>
        <v>3</v>
      </c>
      <c r="R2644" s="2" t="n">
        <f aca="false">INDEX(Summary!$N$2:$N$201,MATCH($B2644,Summary!$A$2:$A$201,0))</f>
        <v>12.11</v>
      </c>
      <c r="S2644" s="3" t="n">
        <f aca="false">INDEX(Summary!$O$2:$O$201,MATCH($B2644,Summary!$A$2:$A$201,0))</f>
        <v>8</v>
      </c>
      <c r="T2644" s="3" t="n">
        <f aca="false">INDEX(Summary!$P$2:$P$201,MATCH($B2644,Summary!$A$2:$A$201,0))</f>
        <v>1</v>
      </c>
      <c r="U2644" s="2" t="n">
        <f aca="false">INDEX(Summary!$Q$2:$Q$201,MATCH($B2644,Summary!$A$2:$A$201,0))</f>
        <v>11.71</v>
      </c>
      <c r="V2644" s="2" t="n">
        <f aca="false">INDEX(Summary!$R$2:$R$201,MATCH($B2644,Summary!$A$2:$A$201,0))</f>
        <v>22.05</v>
      </c>
      <c r="W2644" s="0" t="str">
        <f aca="false">INDEX(Summary!$S$2:$S$201,MATCH($B2644,Summary!$A$2:$A$201,0))</f>
        <v>Silver</v>
      </c>
      <c r="X2644" s="2" t="n">
        <f aca="false">INDEX(Summary!$T$2:$T$201,MATCH($B2644,Summary!$A$2:$A$201,0))</f>
        <v>53.78</v>
      </c>
      <c r="Y2644" s="0" t="str">
        <f aca="false">INDEX('Reward Model'!$E$18:$E$37,MATCH($E2644,'Reward Model'!$A$18:$A$37,0))</f>
        <v>Medium</v>
      </c>
      <c r="Z2644" s="4" t="n">
        <f aca="false">ROUND(MIN(1,MAX('Reward Model'!$B$2,INDEX('Reward Model'!$C$12:$C$14,MATCH($K2644,'Reward Model'!$A$12:$A$14,0))/$J2644)),3)</f>
        <v>1</v>
      </c>
      <c r="AA2644" s="2" t="n">
        <f aca="false">IF($I2644="Correct",ROUND(INDEX('Reward Model'!$B$12:$B$14,MATCH($K2644,'Reward Model'!$A$12:$A$14,0))*Z2644,2),0)</f>
        <v>1</v>
      </c>
      <c r="AB2644" s="2" t="n">
        <f aca="false">IF($I2644="Correct",ROUND(INDEX('Reward Model'!$B$12:$B$14,MATCH($Y2644,'Reward Model'!$A$12:$A$14,0))*Z2644,2),0)</f>
        <v>2</v>
      </c>
    </row>
    <row r="2645" customFormat="false" ht="15" hidden="false" customHeight="false" outlineLevel="0" collapsed="false">
      <c r="A2645" s="0" t="s">
        <v>396</v>
      </c>
      <c r="B2645" s="0" t="s">
        <v>397</v>
      </c>
      <c r="C2645" s="0" t="s">
        <v>322</v>
      </c>
      <c r="D2645" s="0" t="s">
        <v>189</v>
      </c>
      <c r="E2645" s="0" t="n">
        <v>4</v>
      </c>
      <c r="F2645" s="0" t="s">
        <v>43</v>
      </c>
      <c r="G2645" s="0" t="s">
        <v>45</v>
      </c>
      <c r="H2645" s="0" t="s">
        <v>45</v>
      </c>
      <c r="I2645" s="0" t="s">
        <v>34</v>
      </c>
      <c r="J2645" s="0" t="n">
        <v>1.22</v>
      </c>
      <c r="K2645" s="0" t="s">
        <v>35</v>
      </c>
      <c r="L2645" s="0" t="n">
        <f aca="false">INDEX(Summary!$F$2:$F$201,MATCH($B2645,Summary!$A$2:$A$201,0))</f>
        <v>20</v>
      </c>
      <c r="M2645" s="0" t="n">
        <f aca="false">INDEX(Summary!$I$2:$I$201,MATCH($B2645,Summary!$A$2:$A$201,0))</f>
        <v>2</v>
      </c>
      <c r="N2645" s="0" t="n">
        <f aca="false">INDEX(Summary!$J$2:$J$201,MATCH($B2645,Summary!$A$2:$A$201,0))</f>
        <v>3</v>
      </c>
      <c r="O2645" s="2" t="n">
        <f aca="false">INDEX(Summary!$K$2:$K$201,MATCH($B2645,Summary!$A$2:$A$201,0))</f>
        <v>9.17</v>
      </c>
      <c r="P2645" s="3" t="n">
        <f aca="false">INDEX(Summary!$L$2:$L$201,MATCH($B2645,Summary!$A$2:$A$201,0))</f>
        <v>3</v>
      </c>
      <c r="Q2645" s="3" t="n">
        <f aca="false">INDEX(Summary!$M$2:$M$201,MATCH($B2645,Summary!$A$2:$A$201,0))</f>
        <v>3</v>
      </c>
      <c r="R2645" s="2" t="n">
        <f aca="false">INDEX(Summary!$N$2:$N$201,MATCH($B2645,Summary!$A$2:$A$201,0))</f>
        <v>12.11</v>
      </c>
      <c r="S2645" s="3" t="n">
        <f aca="false">INDEX(Summary!$O$2:$O$201,MATCH($B2645,Summary!$A$2:$A$201,0))</f>
        <v>8</v>
      </c>
      <c r="T2645" s="3" t="n">
        <f aca="false">INDEX(Summary!$P$2:$P$201,MATCH($B2645,Summary!$A$2:$A$201,0))</f>
        <v>1</v>
      </c>
      <c r="U2645" s="2" t="n">
        <f aca="false">INDEX(Summary!$Q$2:$Q$201,MATCH($B2645,Summary!$A$2:$A$201,0))</f>
        <v>11.71</v>
      </c>
      <c r="V2645" s="2" t="n">
        <f aca="false">INDEX(Summary!$R$2:$R$201,MATCH($B2645,Summary!$A$2:$A$201,0))</f>
        <v>22.05</v>
      </c>
      <c r="W2645" s="0" t="str">
        <f aca="false">INDEX(Summary!$S$2:$S$201,MATCH($B2645,Summary!$A$2:$A$201,0))</f>
        <v>Silver</v>
      </c>
      <c r="X2645" s="2" t="n">
        <f aca="false">INDEX(Summary!$T$2:$T$201,MATCH($B2645,Summary!$A$2:$A$201,0))</f>
        <v>53.78</v>
      </c>
      <c r="Y2645" s="0" t="str">
        <f aca="false">INDEX('Reward Model'!$E$18:$E$37,MATCH($E2645,'Reward Model'!$A$18:$A$37,0))</f>
        <v>Low</v>
      </c>
      <c r="Z2645" s="4" t="n">
        <f aca="false">ROUND(MIN(1,MAX('Reward Model'!$B$2,INDEX('Reward Model'!$C$12:$C$14,MATCH($K2645,'Reward Model'!$A$12:$A$14,0))/$J2645)),3)</f>
        <v>1</v>
      </c>
      <c r="AA2645" s="2" t="n">
        <f aca="false">IF($I2645="Correct",ROUND(INDEX('Reward Model'!$B$12:$B$14,MATCH($K2645,'Reward Model'!$A$12:$A$14,0))*Z2645,2),0)</f>
        <v>1</v>
      </c>
      <c r="AB2645" s="2" t="n">
        <f aca="false">IF($I2645="Correct",ROUND(INDEX('Reward Model'!$B$12:$B$14,MATCH($Y2645,'Reward Model'!$A$12:$A$14,0))*Z2645,2),0)</f>
        <v>1</v>
      </c>
    </row>
    <row r="2646" customFormat="false" ht="15" hidden="false" customHeight="false" outlineLevel="0" collapsed="false">
      <c r="A2646" s="0" t="s">
        <v>396</v>
      </c>
      <c r="B2646" s="0" t="s">
        <v>397</v>
      </c>
      <c r="C2646" s="0" t="s">
        <v>322</v>
      </c>
      <c r="D2646" s="0" t="s">
        <v>189</v>
      </c>
      <c r="E2646" s="0" t="n">
        <v>5</v>
      </c>
      <c r="F2646" s="0" t="s">
        <v>46</v>
      </c>
      <c r="G2646" s="0" t="s">
        <v>47</v>
      </c>
      <c r="H2646" s="0" t="s">
        <v>47</v>
      </c>
      <c r="I2646" s="0" t="s">
        <v>34</v>
      </c>
      <c r="J2646" s="0" t="n">
        <v>1.11</v>
      </c>
      <c r="K2646" s="0" t="s">
        <v>35</v>
      </c>
      <c r="L2646" s="0" t="n">
        <f aca="false">INDEX(Summary!$F$2:$F$201,MATCH($B2646,Summary!$A$2:$A$201,0))</f>
        <v>20</v>
      </c>
      <c r="M2646" s="0" t="n">
        <f aca="false">INDEX(Summary!$I$2:$I$201,MATCH($B2646,Summary!$A$2:$A$201,0))</f>
        <v>2</v>
      </c>
      <c r="N2646" s="0" t="n">
        <f aca="false">INDEX(Summary!$J$2:$J$201,MATCH($B2646,Summary!$A$2:$A$201,0))</f>
        <v>3</v>
      </c>
      <c r="O2646" s="2" t="n">
        <f aca="false">INDEX(Summary!$K$2:$K$201,MATCH($B2646,Summary!$A$2:$A$201,0))</f>
        <v>9.17</v>
      </c>
      <c r="P2646" s="3" t="n">
        <f aca="false">INDEX(Summary!$L$2:$L$201,MATCH($B2646,Summary!$A$2:$A$201,0))</f>
        <v>3</v>
      </c>
      <c r="Q2646" s="3" t="n">
        <f aca="false">INDEX(Summary!$M$2:$M$201,MATCH($B2646,Summary!$A$2:$A$201,0))</f>
        <v>3</v>
      </c>
      <c r="R2646" s="2" t="n">
        <f aca="false">INDEX(Summary!$N$2:$N$201,MATCH($B2646,Summary!$A$2:$A$201,0))</f>
        <v>12.11</v>
      </c>
      <c r="S2646" s="3" t="n">
        <f aca="false">INDEX(Summary!$O$2:$O$201,MATCH($B2646,Summary!$A$2:$A$201,0))</f>
        <v>8</v>
      </c>
      <c r="T2646" s="3" t="n">
        <f aca="false">INDEX(Summary!$P$2:$P$201,MATCH($B2646,Summary!$A$2:$A$201,0))</f>
        <v>1</v>
      </c>
      <c r="U2646" s="2" t="n">
        <f aca="false">INDEX(Summary!$Q$2:$Q$201,MATCH($B2646,Summary!$A$2:$A$201,0))</f>
        <v>11.71</v>
      </c>
      <c r="V2646" s="2" t="n">
        <f aca="false">INDEX(Summary!$R$2:$R$201,MATCH($B2646,Summary!$A$2:$A$201,0))</f>
        <v>22.05</v>
      </c>
      <c r="W2646" s="0" t="str">
        <f aca="false">INDEX(Summary!$S$2:$S$201,MATCH($B2646,Summary!$A$2:$A$201,0))</f>
        <v>Silver</v>
      </c>
      <c r="X2646" s="2" t="n">
        <f aca="false">INDEX(Summary!$T$2:$T$201,MATCH($B2646,Summary!$A$2:$A$201,0))</f>
        <v>53.78</v>
      </c>
      <c r="Y2646" s="0" t="str">
        <f aca="false">INDEX('Reward Model'!$E$18:$E$37,MATCH($E2646,'Reward Model'!$A$18:$A$37,0))</f>
        <v>Low</v>
      </c>
      <c r="Z2646" s="4" t="n">
        <f aca="false">ROUND(MIN(1,MAX('Reward Model'!$B$2,INDEX('Reward Model'!$C$12:$C$14,MATCH($K2646,'Reward Model'!$A$12:$A$14,0))/$J2646)),3)</f>
        <v>1</v>
      </c>
      <c r="AA2646" s="2" t="n">
        <f aca="false">IF($I2646="Correct",ROUND(INDEX('Reward Model'!$B$12:$B$14,MATCH($K2646,'Reward Model'!$A$12:$A$14,0))*Z2646,2),0)</f>
        <v>1</v>
      </c>
      <c r="AB2646" s="2" t="n">
        <f aca="false">IF($I2646="Correct",ROUND(INDEX('Reward Model'!$B$12:$B$14,MATCH($Y2646,'Reward Model'!$A$12:$A$14,0))*Z2646,2),0)</f>
        <v>1</v>
      </c>
    </row>
    <row r="2647" customFormat="false" ht="15" hidden="false" customHeight="false" outlineLevel="0" collapsed="false">
      <c r="A2647" s="0" t="s">
        <v>396</v>
      </c>
      <c r="B2647" s="0" t="s">
        <v>397</v>
      </c>
      <c r="C2647" s="0" t="s">
        <v>322</v>
      </c>
      <c r="D2647" s="0" t="s">
        <v>189</v>
      </c>
      <c r="E2647" s="0" t="n">
        <v>6</v>
      </c>
      <c r="F2647" s="0" t="s">
        <v>48</v>
      </c>
      <c r="G2647" s="0" t="s">
        <v>49</v>
      </c>
      <c r="H2647" s="0" t="s">
        <v>49</v>
      </c>
      <c r="I2647" s="0" t="s">
        <v>34</v>
      </c>
      <c r="J2647" s="0" t="n">
        <v>1.18</v>
      </c>
      <c r="K2647" s="0" t="s">
        <v>35</v>
      </c>
      <c r="L2647" s="0" t="n">
        <f aca="false">INDEX(Summary!$F$2:$F$201,MATCH($B2647,Summary!$A$2:$A$201,0))</f>
        <v>20</v>
      </c>
      <c r="M2647" s="0" t="n">
        <f aca="false">INDEX(Summary!$I$2:$I$201,MATCH($B2647,Summary!$A$2:$A$201,0))</f>
        <v>2</v>
      </c>
      <c r="N2647" s="0" t="n">
        <f aca="false">INDEX(Summary!$J$2:$J$201,MATCH($B2647,Summary!$A$2:$A$201,0))</f>
        <v>3</v>
      </c>
      <c r="O2647" s="2" t="n">
        <f aca="false">INDEX(Summary!$K$2:$K$201,MATCH($B2647,Summary!$A$2:$A$201,0))</f>
        <v>9.17</v>
      </c>
      <c r="P2647" s="3" t="n">
        <f aca="false">INDEX(Summary!$L$2:$L$201,MATCH($B2647,Summary!$A$2:$A$201,0))</f>
        <v>3</v>
      </c>
      <c r="Q2647" s="3" t="n">
        <f aca="false">INDEX(Summary!$M$2:$M$201,MATCH($B2647,Summary!$A$2:$A$201,0))</f>
        <v>3</v>
      </c>
      <c r="R2647" s="2" t="n">
        <f aca="false">INDEX(Summary!$N$2:$N$201,MATCH($B2647,Summary!$A$2:$A$201,0))</f>
        <v>12.11</v>
      </c>
      <c r="S2647" s="3" t="n">
        <f aca="false">INDEX(Summary!$O$2:$O$201,MATCH($B2647,Summary!$A$2:$A$201,0))</f>
        <v>8</v>
      </c>
      <c r="T2647" s="3" t="n">
        <f aca="false">INDEX(Summary!$P$2:$P$201,MATCH($B2647,Summary!$A$2:$A$201,0))</f>
        <v>1</v>
      </c>
      <c r="U2647" s="2" t="n">
        <f aca="false">INDEX(Summary!$Q$2:$Q$201,MATCH($B2647,Summary!$A$2:$A$201,0))</f>
        <v>11.71</v>
      </c>
      <c r="V2647" s="2" t="n">
        <f aca="false">INDEX(Summary!$R$2:$R$201,MATCH($B2647,Summary!$A$2:$A$201,0))</f>
        <v>22.05</v>
      </c>
      <c r="W2647" s="0" t="str">
        <f aca="false">INDEX(Summary!$S$2:$S$201,MATCH($B2647,Summary!$A$2:$A$201,0))</f>
        <v>Silver</v>
      </c>
      <c r="X2647" s="2" t="n">
        <f aca="false">INDEX(Summary!$T$2:$T$201,MATCH($B2647,Summary!$A$2:$A$201,0))</f>
        <v>53.78</v>
      </c>
      <c r="Y2647" s="0" t="str">
        <f aca="false">INDEX('Reward Model'!$E$18:$E$37,MATCH($E2647,'Reward Model'!$A$18:$A$37,0))</f>
        <v>Medium</v>
      </c>
      <c r="Z2647" s="4" t="n">
        <f aca="false">ROUND(MIN(1,MAX('Reward Model'!$B$2,INDEX('Reward Model'!$C$12:$C$14,MATCH($K2647,'Reward Model'!$A$12:$A$14,0))/$J2647)),3)</f>
        <v>1</v>
      </c>
      <c r="AA2647" s="2" t="n">
        <f aca="false">IF($I2647="Correct",ROUND(INDEX('Reward Model'!$B$12:$B$14,MATCH($K2647,'Reward Model'!$A$12:$A$14,0))*Z2647,2),0)</f>
        <v>1</v>
      </c>
      <c r="AB2647" s="2" t="n">
        <f aca="false">IF($I2647="Correct",ROUND(INDEX('Reward Model'!$B$12:$B$14,MATCH($Y2647,'Reward Model'!$A$12:$A$14,0))*Z2647,2),0)</f>
        <v>2</v>
      </c>
    </row>
    <row r="2648" customFormat="false" ht="15" hidden="false" customHeight="false" outlineLevel="0" collapsed="false">
      <c r="A2648" s="0" t="s">
        <v>396</v>
      </c>
      <c r="B2648" s="0" t="s">
        <v>397</v>
      </c>
      <c r="C2648" s="0" t="s">
        <v>322</v>
      </c>
      <c r="D2648" s="0" t="s">
        <v>189</v>
      </c>
      <c r="E2648" s="0" t="n">
        <v>7</v>
      </c>
      <c r="F2648" s="0" t="s">
        <v>50</v>
      </c>
      <c r="G2648" s="0" t="s">
        <v>51</v>
      </c>
      <c r="H2648" s="0" t="s">
        <v>51</v>
      </c>
      <c r="I2648" s="0" t="s">
        <v>34</v>
      </c>
      <c r="J2648" s="0" t="n">
        <v>1.88</v>
      </c>
      <c r="K2648" s="0" t="s">
        <v>35</v>
      </c>
      <c r="L2648" s="0" t="n">
        <f aca="false">INDEX(Summary!$F$2:$F$201,MATCH($B2648,Summary!$A$2:$A$201,0))</f>
        <v>20</v>
      </c>
      <c r="M2648" s="0" t="n">
        <f aca="false">INDEX(Summary!$I$2:$I$201,MATCH($B2648,Summary!$A$2:$A$201,0))</f>
        <v>2</v>
      </c>
      <c r="N2648" s="0" t="n">
        <f aca="false">INDEX(Summary!$J$2:$J$201,MATCH($B2648,Summary!$A$2:$A$201,0))</f>
        <v>3</v>
      </c>
      <c r="O2648" s="2" t="n">
        <f aca="false">INDEX(Summary!$K$2:$K$201,MATCH($B2648,Summary!$A$2:$A$201,0))</f>
        <v>9.17</v>
      </c>
      <c r="P2648" s="3" t="n">
        <f aca="false">INDEX(Summary!$L$2:$L$201,MATCH($B2648,Summary!$A$2:$A$201,0))</f>
        <v>3</v>
      </c>
      <c r="Q2648" s="3" t="n">
        <f aca="false">INDEX(Summary!$M$2:$M$201,MATCH($B2648,Summary!$A$2:$A$201,0))</f>
        <v>3</v>
      </c>
      <c r="R2648" s="2" t="n">
        <f aca="false">INDEX(Summary!$N$2:$N$201,MATCH($B2648,Summary!$A$2:$A$201,0))</f>
        <v>12.11</v>
      </c>
      <c r="S2648" s="3" t="n">
        <f aca="false">INDEX(Summary!$O$2:$O$201,MATCH($B2648,Summary!$A$2:$A$201,0))</f>
        <v>8</v>
      </c>
      <c r="T2648" s="3" t="n">
        <f aca="false">INDEX(Summary!$P$2:$P$201,MATCH($B2648,Summary!$A$2:$A$201,0))</f>
        <v>1</v>
      </c>
      <c r="U2648" s="2" t="n">
        <f aca="false">INDEX(Summary!$Q$2:$Q$201,MATCH($B2648,Summary!$A$2:$A$201,0))</f>
        <v>11.71</v>
      </c>
      <c r="V2648" s="2" t="n">
        <f aca="false">INDEX(Summary!$R$2:$R$201,MATCH($B2648,Summary!$A$2:$A$201,0))</f>
        <v>22.05</v>
      </c>
      <c r="W2648" s="0" t="str">
        <f aca="false">INDEX(Summary!$S$2:$S$201,MATCH($B2648,Summary!$A$2:$A$201,0))</f>
        <v>Silver</v>
      </c>
      <c r="X2648" s="2" t="n">
        <f aca="false">INDEX(Summary!$T$2:$T$201,MATCH($B2648,Summary!$A$2:$A$201,0))</f>
        <v>53.78</v>
      </c>
      <c r="Y2648" s="0" t="str">
        <f aca="false">INDEX('Reward Model'!$E$18:$E$37,MATCH($E2648,'Reward Model'!$A$18:$A$37,0))</f>
        <v>Low</v>
      </c>
      <c r="Z2648" s="4" t="n">
        <f aca="false">ROUND(MIN(1,MAX('Reward Model'!$B$2,INDEX('Reward Model'!$C$12:$C$14,MATCH($K2648,'Reward Model'!$A$12:$A$14,0))/$J2648)),3)</f>
        <v>0.798</v>
      </c>
      <c r="AA2648" s="2" t="n">
        <f aca="false">IF($I2648="Correct",ROUND(INDEX('Reward Model'!$B$12:$B$14,MATCH($K2648,'Reward Model'!$A$12:$A$14,0))*Z2648,2),0)</f>
        <v>0.8</v>
      </c>
      <c r="AB2648" s="2" t="n">
        <f aca="false">IF($I2648="Correct",ROUND(INDEX('Reward Model'!$B$12:$B$14,MATCH($Y2648,'Reward Model'!$A$12:$A$14,0))*Z2648,2),0)</f>
        <v>0.8</v>
      </c>
    </row>
    <row r="2649" customFormat="false" ht="15" hidden="false" customHeight="false" outlineLevel="0" collapsed="false">
      <c r="A2649" s="0" t="s">
        <v>396</v>
      </c>
      <c r="B2649" s="0" t="s">
        <v>397</v>
      </c>
      <c r="C2649" s="0" t="s">
        <v>322</v>
      </c>
      <c r="D2649" s="0" t="s">
        <v>189</v>
      </c>
      <c r="E2649" s="0" t="n">
        <v>8</v>
      </c>
      <c r="F2649" s="0" t="s">
        <v>52</v>
      </c>
      <c r="G2649" s="0" t="s">
        <v>54</v>
      </c>
      <c r="H2649" s="0" t="s">
        <v>54</v>
      </c>
      <c r="I2649" s="0" t="s">
        <v>34</v>
      </c>
      <c r="J2649" s="0" t="n">
        <v>1.1</v>
      </c>
      <c r="K2649" s="0" t="s">
        <v>35</v>
      </c>
      <c r="L2649" s="0" t="n">
        <f aca="false">INDEX(Summary!$F$2:$F$201,MATCH($B2649,Summary!$A$2:$A$201,0))</f>
        <v>20</v>
      </c>
      <c r="M2649" s="0" t="n">
        <f aca="false">INDEX(Summary!$I$2:$I$201,MATCH($B2649,Summary!$A$2:$A$201,0))</f>
        <v>2</v>
      </c>
      <c r="N2649" s="0" t="n">
        <f aca="false">INDEX(Summary!$J$2:$J$201,MATCH($B2649,Summary!$A$2:$A$201,0))</f>
        <v>3</v>
      </c>
      <c r="O2649" s="2" t="n">
        <f aca="false">INDEX(Summary!$K$2:$K$201,MATCH($B2649,Summary!$A$2:$A$201,0))</f>
        <v>9.17</v>
      </c>
      <c r="P2649" s="3" t="n">
        <f aca="false">INDEX(Summary!$L$2:$L$201,MATCH($B2649,Summary!$A$2:$A$201,0))</f>
        <v>3</v>
      </c>
      <c r="Q2649" s="3" t="n">
        <f aca="false">INDEX(Summary!$M$2:$M$201,MATCH($B2649,Summary!$A$2:$A$201,0))</f>
        <v>3</v>
      </c>
      <c r="R2649" s="2" t="n">
        <f aca="false">INDEX(Summary!$N$2:$N$201,MATCH($B2649,Summary!$A$2:$A$201,0))</f>
        <v>12.11</v>
      </c>
      <c r="S2649" s="3" t="n">
        <f aca="false">INDEX(Summary!$O$2:$O$201,MATCH($B2649,Summary!$A$2:$A$201,0))</f>
        <v>8</v>
      </c>
      <c r="T2649" s="3" t="n">
        <f aca="false">INDEX(Summary!$P$2:$P$201,MATCH($B2649,Summary!$A$2:$A$201,0))</f>
        <v>1</v>
      </c>
      <c r="U2649" s="2" t="n">
        <f aca="false">INDEX(Summary!$Q$2:$Q$201,MATCH($B2649,Summary!$A$2:$A$201,0))</f>
        <v>11.71</v>
      </c>
      <c r="V2649" s="2" t="n">
        <f aca="false">INDEX(Summary!$R$2:$R$201,MATCH($B2649,Summary!$A$2:$A$201,0))</f>
        <v>22.05</v>
      </c>
      <c r="W2649" s="0" t="str">
        <f aca="false">INDEX(Summary!$S$2:$S$201,MATCH($B2649,Summary!$A$2:$A$201,0))</f>
        <v>Silver</v>
      </c>
      <c r="X2649" s="2" t="n">
        <f aca="false">INDEX(Summary!$T$2:$T$201,MATCH($B2649,Summary!$A$2:$A$201,0))</f>
        <v>53.78</v>
      </c>
      <c r="Y2649" s="0" t="str">
        <f aca="false">INDEX('Reward Model'!$E$18:$E$37,MATCH($E2649,'Reward Model'!$A$18:$A$37,0))</f>
        <v>Medium</v>
      </c>
      <c r="Z2649" s="4" t="n">
        <f aca="false">ROUND(MIN(1,MAX('Reward Model'!$B$2,INDEX('Reward Model'!$C$12:$C$14,MATCH($K2649,'Reward Model'!$A$12:$A$14,0))/$J2649)),3)</f>
        <v>1</v>
      </c>
      <c r="AA2649" s="2" t="n">
        <f aca="false">IF($I2649="Correct",ROUND(INDEX('Reward Model'!$B$12:$B$14,MATCH($K2649,'Reward Model'!$A$12:$A$14,0))*Z2649,2),0)</f>
        <v>1</v>
      </c>
      <c r="AB2649" s="2" t="n">
        <f aca="false">IF($I2649="Correct",ROUND(INDEX('Reward Model'!$B$12:$B$14,MATCH($Y2649,'Reward Model'!$A$12:$A$14,0))*Z2649,2),0)</f>
        <v>2</v>
      </c>
    </row>
    <row r="2650" customFormat="false" ht="15" hidden="false" customHeight="false" outlineLevel="0" collapsed="false">
      <c r="A2650" s="0" t="s">
        <v>396</v>
      </c>
      <c r="B2650" s="0" t="s">
        <v>397</v>
      </c>
      <c r="C2650" s="0" t="s">
        <v>322</v>
      </c>
      <c r="D2650" s="0" t="s">
        <v>189</v>
      </c>
      <c r="E2650" s="0" t="n">
        <v>9</v>
      </c>
      <c r="F2650" s="0" t="s">
        <v>55</v>
      </c>
      <c r="G2650" s="0" t="s">
        <v>57</v>
      </c>
      <c r="H2650" s="0" t="s">
        <v>57</v>
      </c>
      <c r="I2650" s="0" t="s">
        <v>34</v>
      </c>
      <c r="J2650" s="0" t="n">
        <v>1.56</v>
      </c>
      <c r="K2650" s="0" t="s">
        <v>35</v>
      </c>
      <c r="L2650" s="0" t="n">
        <f aca="false">INDEX(Summary!$F$2:$F$201,MATCH($B2650,Summary!$A$2:$A$201,0))</f>
        <v>20</v>
      </c>
      <c r="M2650" s="0" t="n">
        <f aca="false">INDEX(Summary!$I$2:$I$201,MATCH($B2650,Summary!$A$2:$A$201,0))</f>
        <v>2</v>
      </c>
      <c r="N2650" s="0" t="n">
        <f aca="false">INDEX(Summary!$J$2:$J$201,MATCH($B2650,Summary!$A$2:$A$201,0))</f>
        <v>3</v>
      </c>
      <c r="O2650" s="2" t="n">
        <f aca="false">INDEX(Summary!$K$2:$K$201,MATCH($B2650,Summary!$A$2:$A$201,0))</f>
        <v>9.17</v>
      </c>
      <c r="P2650" s="3" t="n">
        <f aca="false">INDEX(Summary!$L$2:$L$201,MATCH($B2650,Summary!$A$2:$A$201,0))</f>
        <v>3</v>
      </c>
      <c r="Q2650" s="3" t="n">
        <f aca="false">INDEX(Summary!$M$2:$M$201,MATCH($B2650,Summary!$A$2:$A$201,0))</f>
        <v>3</v>
      </c>
      <c r="R2650" s="2" t="n">
        <f aca="false">INDEX(Summary!$N$2:$N$201,MATCH($B2650,Summary!$A$2:$A$201,0))</f>
        <v>12.11</v>
      </c>
      <c r="S2650" s="3" t="n">
        <f aca="false">INDEX(Summary!$O$2:$O$201,MATCH($B2650,Summary!$A$2:$A$201,0))</f>
        <v>8</v>
      </c>
      <c r="T2650" s="3" t="n">
        <f aca="false">INDEX(Summary!$P$2:$P$201,MATCH($B2650,Summary!$A$2:$A$201,0))</f>
        <v>1</v>
      </c>
      <c r="U2650" s="2" t="n">
        <f aca="false">INDEX(Summary!$Q$2:$Q$201,MATCH($B2650,Summary!$A$2:$A$201,0))</f>
        <v>11.71</v>
      </c>
      <c r="V2650" s="2" t="n">
        <f aca="false">INDEX(Summary!$R$2:$R$201,MATCH($B2650,Summary!$A$2:$A$201,0))</f>
        <v>22.05</v>
      </c>
      <c r="W2650" s="0" t="str">
        <f aca="false">INDEX(Summary!$S$2:$S$201,MATCH($B2650,Summary!$A$2:$A$201,0))</f>
        <v>Silver</v>
      </c>
      <c r="X2650" s="2" t="n">
        <f aca="false">INDEX(Summary!$T$2:$T$201,MATCH($B2650,Summary!$A$2:$A$201,0))</f>
        <v>53.78</v>
      </c>
      <c r="Y2650" s="0" t="str">
        <f aca="false">INDEX('Reward Model'!$E$18:$E$37,MATCH($E2650,'Reward Model'!$A$18:$A$37,0))</f>
        <v>Medium</v>
      </c>
      <c r="Z2650" s="4" t="n">
        <f aca="false">ROUND(MIN(1,MAX('Reward Model'!$B$2,INDEX('Reward Model'!$C$12:$C$14,MATCH($K2650,'Reward Model'!$A$12:$A$14,0))/$J2650)),3)</f>
        <v>0.962</v>
      </c>
      <c r="AA2650" s="2" t="n">
        <f aca="false">IF($I2650="Correct",ROUND(INDEX('Reward Model'!$B$12:$B$14,MATCH($K2650,'Reward Model'!$A$12:$A$14,0))*Z2650,2),0)</f>
        <v>0.96</v>
      </c>
      <c r="AB2650" s="2" t="n">
        <f aca="false">IF($I2650="Correct",ROUND(INDEX('Reward Model'!$B$12:$B$14,MATCH($Y2650,'Reward Model'!$A$12:$A$14,0))*Z2650,2),0)</f>
        <v>1.92</v>
      </c>
    </row>
    <row r="2651" customFormat="false" ht="15" hidden="false" customHeight="false" outlineLevel="0" collapsed="false">
      <c r="A2651" s="0" t="s">
        <v>396</v>
      </c>
      <c r="B2651" s="0" t="s">
        <v>397</v>
      </c>
      <c r="C2651" s="0" t="s">
        <v>322</v>
      </c>
      <c r="D2651" s="0" t="s">
        <v>189</v>
      </c>
      <c r="E2651" s="0" t="n">
        <v>10</v>
      </c>
      <c r="F2651" s="0" t="s">
        <v>58</v>
      </c>
      <c r="G2651" s="0" t="s">
        <v>174</v>
      </c>
      <c r="H2651" s="0" t="s">
        <v>59</v>
      </c>
      <c r="I2651" s="0" t="s">
        <v>39</v>
      </c>
      <c r="J2651" s="0" t="n">
        <v>2.29</v>
      </c>
      <c r="K2651" s="0" t="s">
        <v>60</v>
      </c>
      <c r="L2651" s="0" t="n">
        <f aca="false">INDEX(Summary!$F$2:$F$201,MATCH($B2651,Summary!$A$2:$A$201,0))</f>
        <v>20</v>
      </c>
      <c r="M2651" s="0" t="n">
        <f aca="false">INDEX(Summary!$I$2:$I$201,MATCH($B2651,Summary!$A$2:$A$201,0))</f>
        <v>2</v>
      </c>
      <c r="N2651" s="0" t="n">
        <f aca="false">INDEX(Summary!$J$2:$J$201,MATCH($B2651,Summary!$A$2:$A$201,0))</f>
        <v>3</v>
      </c>
      <c r="O2651" s="2" t="n">
        <f aca="false">INDEX(Summary!$K$2:$K$201,MATCH($B2651,Summary!$A$2:$A$201,0))</f>
        <v>9.17</v>
      </c>
      <c r="P2651" s="3" t="n">
        <f aca="false">INDEX(Summary!$L$2:$L$201,MATCH($B2651,Summary!$A$2:$A$201,0))</f>
        <v>3</v>
      </c>
      <c r="Q2651" s="3" t="n">
        <f aca="false">INDEX(Summary!$M$2:$M$201,MATCH($B2651,Summary!$A$2:$A$201,0))</f>
        <v>3</v>
      </c>
      <c r="R2651" s="2" t="n">
        <f aca="false">INDEX(Summary!$N$2:$N$201,MATCH($B2651,Summary!$A$2:$A$201,0))</f>
        <v>12.11</v>
      </c>
      <c r="S2651" s="3" t="n">
        <f aca="false">INDEX(Summary!$O$2:$O$201,MATCH($B2651,Summary!$A$2:$A$201,0))</f>
        <v>8</v>
      </c>
      <c r="T2651" s="3" t="n">
        <f aca="false">INDEX(Summary!$P$2:$P$201,MATCH($B2651,Summary!$A$2:$A$201,0))</f>
        <v>1</v>
      </c>
      <c r="U2651" s="2" t="n">
        <f aca="false">INDEX(Summary!$Q$2:$Q$201,MATCH($B2651,Summary!$A$2:$A$201,0))</f>
        <v>11.71</v>
      </c>
      <c r="V2651" s="2" t="n">
        <f aca="false">INDEX(Summary!$R$2:$R$201,MATCH($B2651,Summary!$A$2:$A$201,0))</f>
        <v>22.05</v>
      </c>
      <c r="W2651" s="0" t="str">
        <f aca="false">INDEX(Summary!$S$2:$S$201,MATCH($B2651,Summary!$A$2:$A$201,0))</f>
        <v>Silver</v>
      </c>
      <c r="X2651" s="2" t="n">
        <f aca="false">INDEX(Summary!$T$2:$T$201,MATCH($B2651,Summary!$A$2:$A$201,0))</f>
        <v>53.78</v>
      </c>
      <c r="Y2651" s="0" t="str">
        <f aca="false">INDEX('Reward Model'!$E$18:$E$37,MATCH($E2651,'Reward Model'!$A$18:$A$37,0))</f>
        <v>Medium</v>
      </c>
      <c r="Z2651" s="4" t="n">
        <f aca="false">ROUND(MIN(1,MAX('Reward Model'!$B$2,INDEX('Reward Model'!$C$12:$C$14,MATCH($K2651,'Reward Model'!$A$12:$A$14,0))/$J2651)),3)</f>
        <v>0.786</v>
      </c>
      <c r="AA2651" s="2" t="n">
        <f aca="false">IF($I2651="Correct",ROUND(INDEX('Reward Model'!$B$12:$B$14,MATCH($K2651,'Reward Model'!$A$12:$A$14,0))*Z2651,2),0)</f>
        <v>0</v>
      </c>
      <c r="AB2651" s="2" t="n">
        <f aca="false">IF($I2651="Correct",ROUND(INDEX('Reward Model'!$B$12:$B$14,MATCH($Y2651,'Reward Model'!$A$12:$A$14,0))*Z2651,2),0)</f>
        <v>0</v>
      </c>
    </row>
    <row r="2652" customFormat="false" ht="15" hidden="false" customHeight="false" outlineLevel="0" collapsed="false">
      <c r="A2652" s="0" t="s">
        <v>396</v>
      </c>
      <c r="B2652" s="0" t="s">
        <v>397</v>
      </c>
      <c r="C2652" s="0" t="s">
        <v>322</v>
      </c>
      <c r="D2652" s="0" t="s">
        <v>189</v>
      </c>
      <c r="E2652" s="0" t="n">
        <v>11</v>
      </c>
      <c r="F2652" s="0" t="s">
        <v>61</v>
      </c>
      <c r="G2652" s="0" t="s">
        <v>63</v>
      </c>
      <c r="H2652" s="0" t="s">
        <v>63</v>
      </c>
      <c r="I2652" s="0" t="s">
        <v>34</v>
      </c>
      <c r="J2652" s="0" t="n">
        <v>1.23</v>
      </c>
      <c r="K2652" s="0" t="s">
        <v>60</v>
      </c>
      <c r="L2652" s="0" t="n">
        <f aca="false">INDEX(Summary!$F$2:$F$201,MATCH($B2652,Summary!$A$2:$A$201,0))</f>
        <v>20</v>
      </c>
      <c r="M2652" s="0" t="n">
        <f aca="false">INDEX(Summary!$I$2:$I$201,MATCH($B2652,Summary!$A$2:$A$201,0))</f>
        <v>2</v>
      </c>
      <c r="N2652" s="0" t="n">
        <f aca="false">INDEX(Summary!$J$2:$J$201,MATCH($B2652,Summary!$A$2:$A$201,0))</f>
        <v>3</v>
      </c>
      <c r="O2652" s="2" t="n">
        <f aca="false">INDEX(Summary!$K$2:$K$201,MATCH($B2652,Summary!$A$2:$A$201,0))</f>
        <v>9.17</v>
      </c>
      <c r="P2652" s="3" t="n">
        <f aca="false">INDEX(Summary!$L$2:$L$201,MATCH($B2652,Summary!$A$2:$A$201,0))</f>
        <v>3</v>
      </c>
      <c r="Q2652" s="3" t="n">
        <f aca="false">INDEX(Summary!$M$2:$M$201,MATCH($B2652,Summary!$A$2:$A$201,0))</f>
        <v>3</v>
      </c>
      <c r="R2652" s="2" t="n">
        <f aca="false">INDEX(Summary!$N$2:$N$201,MATCH($B2652,Summary!$A$2:$A$201,0))</f>
        <v>12.11</v>
      </c>
      <c r="S2652" s="3" t="n">
        <f aca="false">INDEX(Summary!$O$2:$O$201,MATCH($B2652,Summary!$A$2:$A$201,0))</f>
        <v>8</v>
      </c>
      <c r="T2652" s="3" t="n">
        <f aca="false">INDEX(Summary!$P$2:$P$201,MATCH($B2652,Summary!$A$2:$A$201,0))</f>
        <v>1</v>
      </c>
      <c r="U2652" s="2" t="n">
        <f aca="false">INDEX(Summary!$Q$2:$Q$201,MATCH($B2652,Summary!$A$2:$A$201,0))</f>
        <v>11.71</v>
      </c>
      <c r="V2652" s="2" t="n">
        <f aca="false">INDEX(Summary!$R$2:$R$201,MATCH($B2652,Summary!$A$2:$A$201,0))</f>
        <v>22.05</v>
      </c>
      <c r="W2652" s="0" t="str">
        <f aca="false">INDEX(Summary!$S$2:$S$201,MATCH($B2652,Summary!$A$2:$A$201,0))</f>
        <v>Silver</v>
      </c>
      <c r="X2652" s="2" t="n">
        <f aca="false">INDEX(Summary!$T$2:$T$201,MATCH($B2652,Summary!$A$2:$A$201,0))</f>
        <v>53.78</v>
      </c>
      <c r="Y2652" s="0" t="str">
        <f aca="false">INDEX('Reward Model'!$E$18:$E$37,MATCH($E2652,'Reward Model'!$A$18:$A$37,0))</f>
        <v>Medium</v>
      </c>
      <c r="Z2652" s="4" t="n">
        <f aca="false">ROUND(MIN(1,MAX('Reward Model'!$B$2,INDEX('Reward Model'!$C$12:$C$14,MATCH($K2652,'Reward Model'!$A$12:$A$14,0))/$J2652)),3)</f>
        <v>1</v>
      </c>
      <c r="AA2652" s="2" t="n">
        <f aca="false">IF($I2652="Correct",ROUND(INDEX('Reward Model'!$B$12:$B$14,MATCH($K2652,'Reward Model'!$A$12:$A$14,0))*Z2652,2),0)</f>
        <v>2</v>
      </c>
      <c r="AB2652" s="2" t="n">
        <f aca="false">IF($I2652="Correct",ROUND(INDEX('Reward Model'!$B$12:$B$14,MATCH($Y2652,'Reward Model'!$A$12:$A$14,0))*Z2652,2),0)</f>
        <v>2</v>
      </c>
    </row>
    <row r="2653" customFormat="false" ht="15" hidden="false" customHeight="false" outlineLevel="0" collapsed="false">
      <c r="A2653" s="0" t="s">
        <v>396</v>
      </c>
      <c r="B2653" s="0" t="s">
        <v>397</v>
      </c>
      <c r="C2653" s="0" t="s">
        <v>322</v>
      </c>
      <c r="D2653" s="0" t="s">
        <v>189</v>
      </c>
      <c r="E2653" s="0" t="n">
        <v>12</v>
      </c>
      <c r="F2653" s="0" t="s">
        <v>64</v>
      </c>
      <c r="G2653" s="0" t="s">
        <v>65</v>
      </c>
      <c r="H2653" s="0" t="s">
        <v>65</v>
      </c>
      <c r="I2653" s="0" t="s">
        <v>34</v>
      </c>
      <c r="J2653" s="0" t="n">
        <v>2.18</v>
      </c>
      <c r="K2653" s="0" t="s">
        <v>60</v>
      </c>
      <c r="L2653" s="0" t="n">
        <f aca="false">INDEX(Summary!$F$2:$F$201,MATCH($B2653,Summary!$A$2:$A$201,0))</f>
        <v>20</v>
      </c>
      <c r="M2653" s="0" t="n">
        <f aca="false">INDEX(Summary!$I$2:$I$201,MATCH($B2653,Summary!$A$2:$A$201,0))</f>
        <v>2</v>
      </c>
      <c r="N2653" s="0" t="n">
        <f aca="false">INDEX(Summary!$J$2:$J$201,MATCH($B2653,Summary!$A$2:$A$201,0))</f>
        <v>3</v>
      </c>
      <c r="O2653" s="2" t="n">
        <f aca="false">INDEX(Summary!$K$2:$K$201,MATCH($B2653,Summary!$A$2:$A$201,0))</f>
        <v>9.17</v>
      </c>
      <c r="P2653" s="3" t="n">
        <f aca="false">INDEX(Summary!$L$2:$L$201,MATCH($B2653,Summary!$A$2:$A$201,0))</f>
        <v>3</v>
      </c>
      <c r="Q2653" s="3" t="n">
        <f aca="false">INDEX(Summary!$M$2:$M$201,MATCH($B2653,Summary!$A$2:$A$201,0))</f>
        <v>3</v>
      </c>
      <c r="R2653" s="2" t="n">
        <f aca="false">INDEX(Summary!$N$2:$N$201,MATCH($B2653,Summary!$A$2:$A$201,0))</f>
        <v>12.11</v>
      </c>
      <c r="S2653" s="3" t="n">
        <f aca="false">INDEX(Summary!$O$2:$O$201,MATCH($B2653,Summary!$A$2:$A$201,0))</f>
        <v>8</v>
      </c>
      <c r="T2653" s="3" t="n">
        <f aca="false">INDEX(Summary!$P$2:$P$201,MATCH($B2653,Summary!$A$2:$A$201,0))</f>
        <v>1</v>
      </c>
      <c r="U2653" s="2" t="n">
        <f aca="false">INDEX(Summary!$Q$2:$Q$201,MATCH($B2653,Summary!$A$2:$A$201,0))</f>
        <v>11.71</v>
      </c>
      <c r="V2653" s="2" t="n">
        <f aca="false">INDEX(Summary!$R$2:$R$201,MATCH($B2653,Summary!$A$2:$A$201,0))</f>
        <v>22.05</v>
      </c>
      <c r="W2653" s="0" t="str">
        <f aca="false">INDEX(Summary!$S$2:$S$201,MATCH($B2653,Summary!$A$2:$A$201,0))</f>
        <v>Silver</v>
      </c>
      <c r="X2653" s="2" t="n">
        <f aca="false">INDEX(Summary!$T$2:$T$201,MATCH($B2653,Summary!$A$2:$A$201,0))</f>
        <v>53.78</v>
      </c>
      <c r="Y2653" s="0" t="str">
        <f aca="false">INDEX('Reward Model'!$E$18:$E$37,MATCH($E2653,'Reward Model'!$A$18:$A$37,0))</f>
        <v>Medium</v>
      </c>
      <c r="Z2653" s="4" t="n">
        <f aca="false">ROUND(MIN(1,MAX('Reward Model'!$B$2,INDEX('Reward Model'!$C$12:$C$14,MATCH($K2653,'Reward Model'!$A$12:$A$14,0))/$J2653)),3)</f>
        <v>0.826</v>
      </c>
      <c r="AA2653" s="2" t="n">
        <f aca="false">IF($I2653="Correct",ROUND(INDEX('Reward Model'!$B$12:$B$14,MATCH($K2653,'Reward Model'!$A$12:$A$14,0))*Z2653,2),0)</f>
        <v>1.65</v>
      </c>
      <c r="AB2653" s="2" t="n">
        <f aca="false">IF($I2653="Correct",ROUND(INDEX('Reward Model'!$B$12:$B$14,MATCH($Y2653,'Reward Model'!$A$12:$A$14,0))*Z2653,2),0)</f>
        <v>1.65</v>
      </c>
    </row>
    <row r="2654" customFormat="false" ht="15" hidden="false" customHeight="false" outlineLevel="0" collapsed="false">
      <c r="A2654" s="0" t="s">
        <v>396</v>
      </c>
      <c r="B2654" s="0" t="s">
        <v>397</v>
      </c>
      <c r="C2654" s="0" t="s">
        <v>322</v>
      </c>
      <c r="D2654" s="0" t="s">
        <v>189</v>
      </c>
      <c r="E2654" s="0" t="n">
        <v>13</v>
      </c>
      <c r="F2654" s="0" t="s">
        <v>66</v>
      </c>
      <c r="G2654" s="0" t="s">
        <v>124</v>
      </c>
      <c r="H2654" s="0" t="s">
        <v>67</v>
      </c>
      <c r="I2654" s="0" t="s">
        <v>39</v>
      </c>
      <c r="J2654" s="0" t="n">
        <v>2.19</v>
      </c>
      <c r="K2654" s="0" t="s">
        <v>60</v>
      </c>
      <c r="L2654" s="0" t="n">
        <f aca="false">INDEX(Summary!$F$2:$F$201,MATCH($B2654,Summary!$A$2:$A$201,0))</f>
        <v>20</v>
      </c>
      <c r="M2654" s="0" t="n">
        <f aca="false">INDEX(Summary!$I$2:$I$201,MATCH($B2654,Summary!$A$2:$A$201,0))</f>
        <v>2</v>
      </c>
      <c r="N2654" s="0" t="n">
        <f aca="false">INDEX(Summary!$J$2:$J$201,MATCH($B2654,Summary!$A$2:$A$201,0))</f>
        <v>3</v>
      </c>
      <c r="O2654" s="2" t="n">
        <f aca="false">INDEX(Summary!$K$2:$K$201,MATCH($B2654,Summary!$A$2:$A$201,0))</f>
        <v>9.17</v>
      </c>
      <c r="P2654" s="3" t="n">
        <f aca="false">INDEX(Summary!$L$2:$L$201,MATCH($B2654,Summary!$A$2:$A$201,0))</f>
        <v>3</v>
      </c>
      <c r="Q2654" s="3" t="n">
        <f aca="false">INDEX(Summary!$M$2:$M$201,MATCH($B2654,Summary!$A$2:$A$201,0))</f>
        <v>3</v>
      </c>
      <c r="R2654" s="2" t="n">
        <f aca="false">INDEX(Summary!$N$2:$N$201,MATCH($B2654,Summary!$A$2:$A$201,0))</f>
        <v>12.11</v>
      </c>
      <c r="S2654" s="3" t="n">
        <f aca="false">INDEX(Summary!$O$2:$O$201,MATCH($B2654,Summary!$A$2:$A$201,0))</f>
        <v>8</v>
      </c>
      <c r="T2654" s="3" t="n">
        <f aca="false">INDEX(Summary!$P$2:$P$201,MATCH($B2654,Summary!$A$2:$A$201,0))</f>
        <v>1</v>
      </c>
      <c r="U2654" s="2" t="n">
        <f aca="false">INDEX(Summary!$Q$2:$Q$201,MATCH($B2654,Summary!$A$2:$A$201,0))</f>
        <v>11.71</v>
      </c>
      <c r="V2654" s="2" t="n">
        <f aca="false">INDEX(Summary!$R$2:$R$201,MATCH($B2654,Summary!$A$2:$A$201,0))</f>
        <v>22.05</v>
      </c>
      <c r="W2654" s="0" t="str">
        <f aca="false">INDEX(Summary!$S$2:$S$201,MATCH($B2654,Summary!$A$2:$A$201,0))</f>
        <v>Silver</v>
      </c>
      <c r="X2654" s="2" t="n">
        <f aca="false">INDEX(Summary!$T$2:$T$201,MATCH($B2654,Summary!$A$2:$A$201,0))</f>
        <v>53.78</v>
      </c>
      <c r="Y2654" s="0" t="str">
        <f aca="false">INDEX('Reward Model'!$E$18:$E$37,MATCH($E2654,'Reward Model'!$A$18:$A$37,0))</f>
        <v>Medium</v>
      </c>
      <c r="Z2654" s="4" t="n">
        <f aca="false">ROUND(MIN(1,MAX('Reward Model'!$B$2,INDEX('Reward Model'!$C$12:$C$14,MATCH($K2654,'Reward Model'!$A$12:$A$14,0))/$J2654)),3)</f>
        <v>0.822</v>
      </c>
      <c r="AA2654" s="2" t="n">
        <f aca="false">IF($I2654="Correct",ROUND(INDEX('Reward Model'!$B$12:$B$14,MATCH($K2654,'Reward Model'!$A$12:$A$14,0))*Z2654,2),0)</f>
        <v>0</v>
      </c>
      <c r="AB2654" s="2" t="n">
        <f aca="false">IF($I2654="Correct",ROUND(INDEX('Reward Model'!$B$12:$B$14,MATCH($Y2654,'Reward Model'!$A$12:$A$14,0))*Z2654,2),0)</f>
        <v>0</v>
      </c>
    </row>
    <row r="2655" customFormat="false" ht="15" hidden="false" customHeight="false" outlineLevel="0" collapsed="false">
      <c r="A2655" s="0" t="s">
        <v>396</v>
      </c>
      <c r="B2655" s="0" t="s">
        <v>397</v>
      </c>
      <c r="C2655" s="0" t="s">
        <v>322</v>
      </c>
      <c r="D2655" s="0" t="s">
        <v>189</v>
      </c>
      <c r="E2655" s="0" t="n">
        <v>14</v>
      </c>
      <c r="F2655" s="0" t="s">
        <v>68</v>
      </c>
      <c r="G2655" s="0" t="s">
        <v>51</v>
      </c>
      <c r="H2655" s="0" t="s">
        <v>51</v>
      </c>
      <c r="I2655" s="0" t="s">
        <v>34</v>
      </c>
      <c r="J2655" s="0" t="n">
        <v>2.14</v>
      </c>
      <c r="K2655" s="0" t="s">
        <v>60</v>
      </c>
      <c r="L2655" s="0" t="n">
        <f aca="false">INDEX(Summary!$F$2:$F$201,MATCH($B2655,Summary!$A$2:$A$201,0))</f>
        <v>20</v>
      </c>
      <c r="M2655" s="0" t="n">
        <f aca="false">INDEX(Summary!$I$2:$I$201,MATCH($B2655,Summary!$A$2:$A$201,0))</f>
        <v>2</v>
      </c>
      <c r="N2655" s="0" t="n">
        <f aca="false">INDEX(Summary!$J$2:$J$201,MATCH($B2655,Summary!$A$2:$A$201,0))</f>
        <v>3</v>
      </c>
      <c r="O2655" s="2" t="n">
        <f aca="false">INDEX(Summary!$K$2:$K$201,MATCH($B2655,Summary!$A$2:$A$201,0))</f>
        <v>9.17</v>
      </c>
      <c r="P2655" s="3" t="n">
        <f aca="false">INDEX(Summary!$L$2:$L$201,MATCH($B2655,Summary!$A$2:$A$201,0))</f>
        <v>3</v>
      </c>
      <c r="Q2655" s="3" t="n">
        <f aca="false">INDEX(Summary!$M$2:$M$201,MATCH($B2655,Summary!$A$2:$A$201,0))</f>
        <v>3</v>
      </c>
      <c r="R2655" s="2" t="n">
        <f aca="false">INDEX(Summary!$N$2:$N$201,MATCH($B2655,Summary!$A$2:$A$201,0))</f>
        <v>12.11</v>
      </c>
      <c r="S2655" s="3" t="n">
        <f aca="false">INDEX(Summary!$O$2:$O$201,MATCH($B2655,Summary!$A$2:$A$201,0))</f>
        <v>8</v>
      </c>
      <c r="T2655" s="3" t="n">
        <f aca="false">INDEX(Summary!$P$2:$P$201,MATCH($B2655,Summary!$A$2:$A$201,0))</f>
        <v>1</v>
      </c>
      <c r="U2655" s="2" t="n">
        <f aca="false">INDEX(Summary!$Q$2:$Q$201,MATCH($B2655,Summary!$A$2:$A$201,0))</f>
        <v>11.71</v>
      </c>
      <c r="V2655" s="2" t="n">
        <f aca="false">INDEX(Summary!$R$2:$R$201,MATCH($B2655,Summary!$A$2:$A$201,0))</f>
        <v>22.05</v>
      </c>
      <c r="W2655" s="0" t="str">
        <f aca="false">INDEX(Summary!$S$2:$S$201,MATCH($B2655,Summary!$A$2:$A$201,0))</f>
        <v>Silver</v>
      </c>
      <c r="X2655" s="2" t="n">
        <f aca="false">INDEX(Summary!$T$2:$T$201,MATCH($B2655,Summary!$A$2:$A$201,0))</f>
        <v>53.78</v>
      </c>
      <c r="Y2655" s="0" t="str">
        <f aca="false">INDEX('Reward Model'!$E$18:$E$37,MATCH($E2655,'Reward Model'!$A$18:$A$37,0))</f>
        <v>Medium</v>
      </c>
      <c r="Z2655" s="4" t="n">
        <f aca="false">ROUND(MIN(1,MAX('Reward Model'!$B$2,INDEX('Reward Model'!$C$12:$C$14,MATCH($K2655,'Reward Model'!$A$12:$A$14,0))/$J2655)),3)</f>
        <v>0.841</v>
      </c>
      <c r="AA2655" s="2" t="n">
        <f aca="false">IF($I2655="Correct",ROUND(INDEX('Reward Model'!$B$12:$B$14,MATCH($K2655,'Reward Model'!$A$12:$A$14,0))*Z2655,2),0)</f>
        <v>1.68</v>
      </c>
      <c r="AB2655" s="2" t="n">
        <f aca="false">IF($I2655="Correct",ROUND(INDEX('Reward Model'!$B$12:$B$14,MATCH($Y2655,'Reward Model'!$A$12:$A$14,0))*Z2655,2),0)</f>
        <v>1.68</v>
      </c>
    </row>
    <row r="2656" customFormat="false" ht="15" hidden="false" customHeight="false" outlineLevel="0" collapsed="false">
      <c r="A2656" s="0" t="s">
        <v>396</v>
      </c>
      <c r="B2656" s="0" t="s">
        <v>397</v>
      </c>
      <c r="C2656" s="0" t="s">
        <v>322</v>
      </c>
      <c r="D2656" s="0" t="s">
        <v>189</v>
      </c>
      <c r="E2656" s="0" t="n">
        <v>15</v>
      </c>
      <c r="F2656" s="0" t="s">
        <v>69</v>
      </c>
      <c r="G2656" s="0" t="s">
        <v>131</v>
      </c>
      <c r="H2656" s="0" t="s">
        <v>70</v>
      </c>
      <c r="I2656" s="0" t="s">
        <v>39</v>
      </c>
      <c r="J2656" s="0" t="n">
        <v>2.08</v>
      </c>
      <c r="K2656" s="0" t="s">
        <v>60</v>
      </c>
      <c r="L2656" s="0" t="n">
        <f aca="false">INDEX(Summary!$F$2:$F$201,MATCH($B2656,Summary!$A$2:$A$201,0))</f>
        <v>20</v>
      </c>
      <c r="M2656" s="0" t="n">
        <f aca="false">INDEX(Summary!$I$2:$I$201,MATCH($B2656,Summary!$A$2:$A$201,0))</f>
        <v>2</v>
      </c>
      <c r="N2656" s="0" t="n">
        <f aca="false">INDEX(Summary!$J$2:$J$201,MATCH($B2656,Summary!$A$2:$A$201,0))</f>
        <v>3</v>
      </c>
      <c r="O2656" s="2" t="n">
        <f aca="false">INDEX(Summary!$K$2:$K$201,MATCH($B2656,Summary!$A$2:$A$201,0))</f>
        <v>9.17</v>
      </c>
      <c r="P2656" s="3" t="n">
        <f aca="false">INDEX(Summary!$L$2:$L$201,MATCH($B2656,Summary!$A$2:$A$201,0))</f>
        <v>3</v>
      </c>
      <c r="Q2656" s="3" t="n">
        <f aca="false">INDEX(Summary!$M$2:$M$201,MATCH($B2656,Summary!$A$2:$A$201,0))</f>
        <v>3</v>
      </c>
      <c r="R2656" s="2" t="n">
        <f aca="false">INDEX(Summary!$N$2:$N$201,MATCH($B2656,Summary!$A$2:$A$201,0))</f>
        <v>12.11</v>
      </c>
      <c r="S2656" s="3" t="n">
        <f aca="false">INDEX(Summary!$O$2:$O$201,MATCH($B2656,Summary!$A$2:$A$201,0))</f>
        <v>8</v>
      </c>
      <c r="T2656" s="3" t="n">
        <f aca="false">INDEX(Summary!$P$2:$P$201,MATCH($B2656,Summary!$A$2:$A$201,0))</f>
        <v>1</v>
      </c>
      <c r="U2656" s="2" t="n">
        <f aca="false">INDEX(Summary!$Q$2:$Q$201,MATCH($B2656,Summary!$A$2:$A$201,0))</f>
        <v>11.71</v>
      </c>
      <c r="V2656" s="2" t="n">
        <f aca="false">INDEX(Summary!$R$2:$R$201,MATCH($B2656,Summary!$A$2:$A$201,0))</f>
        <v>22.05</v>
      </c>
      <c r="W2656" s="0" t="str">
        <f aca="false">INDEX(Summary!$S$2:$S$201,MATCH($B2656,Summary!$A$2:$A$201,0))</f>
        <v>Silver</v>
      </c>
      <c r="X2656" s="2" t="n">
        <f aca="false">INDEX(Summary!$T$2:$T$201,MATCH($B2656,Summary!$A$2:$A$201,0))</f>
        <v>53.78</v>
      </c>
      <c r="Y2656" s="0" t="str">
        <f aca="false">INDEX('Reward Model'!$E$18:$E$37,MATCH($E2656,'Reward Model'!$A$18:$A$37,0))</f>
        <v>Medium</v>
      </c>
      <c r="Z2656" s="4" t="n">
        <f aca="false">ROUND(MIN(1,MAX('Reward Model'!$B$2,INDEX('Reward Model'!$C$12:$C$14,MATCH($K2656,'Reward Model'!$A$12:$A$14,0))/$J2656)),3)</f>
        <v>0.865</v>
      </c>
      <c r="AA2656" s="2" t="n">
        <f aca="false">IF($I2656="Correct",ROUND(INDEX('Reward Model'!$B$12:$B$14,MATCH($K2656,'Reward Model'!$A$12:$A$14,0))*Z2656,2),0)</f>
        <v>0</v>
      </c>
      <c r="AB2656" s="2" t="n">
        <f aca="false">IF($I2656="Correct",ROUND(INDEX('Reward Model'!$B$12:$B$14,MATCH($Y2656,'Reward Model'!$A$12:$A$14,0))*Z2656,2),0)</f>
        <v>0</v>
      </c>
    </row>
    <row r="2657" customFormat="false" ht="15" hidden="false" customHeight="false" outlineLevel="0" collapsed="false">
      <c r="A2657" s="0" t="s">
        <v>396</v>
      </c>
      <c r="B2657" s="0" t="s">
        <v>397</v>
      </c>
      <c r="C2657" s="0" t="s">
        <v>322</v>
      </c>
      <c r="D2657" s="0" t="s">
        <v>189</v>
      </c>
      <c r="E2657" s="0" t="n">
        <v>16</v>
      </c>
      <c r="F2657" s="0" t="s">
        <v>71</v>
      </c>
      <c r="G2657" s="0" t="s">
        <v>72</v>
      </c>
      <c r="H2657" s="0" t="s">
        <v>72</v>
      </c>
      <c r="I2657" s="0" t="s">
        <v>34</v>
      </c>
      <c r="J2657" s="0" t="n">
        <v>2.47</v>
      </c>
      <c r="K2657" s="0" t="s">
        <v>73</v>
      </c>
      <c r="L2657" s="0" t="n">
        <f aca="false">INDEX(Summary!$F$2:$F$201,MATCH($B2657,Summary!$A$2:$A$201,0))</f>
        <v>20</v>
      </c>
      <c r="M2657" s="0" t="n">
        <f aca="false">INDEX(Summary!$I$2:$I$201,MATCH($B2657,Summary!$A$2:$A$201,0))</f>
        <v>2</v>
      </c>
      <c r="N2657" s="0" t="n">
        <f aca="false">INDEX(Summary!$J$2:$J$201,MATCH($B2657,Summary!$A$2:$A$201,0))</f>
        <v>3</v>
      </c>
      <c r="O2657" s="2" t="n">
        <f aca="false">INDEX(Summary!$K$2:$K$201,MATCH($B2657,Summary!$A$2:$A$201,0))</f>
        <v>9.17</v>
      </c>
      <c r="P2657" s="3" t="n">
        <f aca="false">INDEX(Summary!$L$2:$L$201,MATCH($B2657,Summary!$A$2:$A$201,0))</f>
        <v>3</v>
      </c>
      <c r="Q2657" s="3" t="n">
        <f aca="false">INDEX(Summary!$M$2:$M$201,MATCH($B2657,Summary!$A$2:$A$201,0))</f>
        <v>3</v>
      </c>
      <c r="R2657" s="2" t="n">
        <f aca="false">INDEX(Summary!$N$2:$N$201,MATCH($B2657,Summary!$A$2:$A$201,0))</f>
        <v>12.11</v>
      </c>
      <c r="S2657" s="3" t="n">
        <f aca="false">INDEX(Summary!$O$2:$O$201,MATCH($B2657,Summary!$A$2:$A$201,0))</f>
        <v>8</v>
      </c>
      <c r="T2657" s="3" t="n">
        <f aca="false">INDEX(Summary!$P$2:$P$201,MATCH($B2657,Summary!$A$2:$A$201,0))</f>
        <v>1</v>
      </c>
      <c r="U2657" s="2" t="n">
        <f aca="false">INDEX(Summary!$Q$2:$Q$201,MATCH($B2657,Summary!$A$2:$A$201,0))</f>
        <v>11.71</v>
      </c>
      <c r="V2657" s="2" t="n">
        <f aca="false">INDEX(Summary!$R$2:$R$201,MATCH($B2657,Summary!$A$2:$A$201,0))</f>
        <v>22.05</v>
      </c>
      <c r="W2657" s="0" t="str">
        <f aca="false">INDEX(Summary!$S$2:$S$201,MATCH($B2657,Summary!$A$2:$A$201,0))</f>
        <v>Silver</v>
      </c>
      <c r="X2657" s="2" t="n">
        <f aca="false">INDEX(Summary!$T$2:$T$201,MATCH($B2657,Summary!$A$2:$A$201,0))</f>
        <v>53.78</v>
      </c>
      <c r="Y2657" s="0" t="str">
        <f aca="false">INDEX('Reward Model'!$E$18:$E$37,MATCH($E2657,'Reward Model'!$A$18:$A$37,0))</f>
        <v>High</v>
      </c>
      <c r="Z2657" s="4" t="n">
        <f aca="false">ROUND(MIN(1,MAX('Reward Model'!$B$2,INDEX('Reward Model'!$C$12:$C$14,MATCH($K2657,'Reward Model'!$A$12:$A$14,0))/$J2657)),3)</f>
        <v>0.81</v>
      </c>
      <c r="AA2657" s="2" t="n">
        <f aca="false">IF($I2657="Correct",ROUND(INDEX('Reward Model'!$B$12:$B$14,MATCH($K2657,'Reward Model'!$A$12:$A$14,0))*Z2657,2),0)</f>
        <v>2.43</v>
      </c>
      <c r="AB2657" s="2" t="n">
        <f aca="false">IF($I2657="Correct",ROUND(INDEX('Reward Model'!$B$12:$B$14,MATCH($Y2657,'Reward Model'!$A$12:$A$14,0))*Z2657,2),0)</f>
        <v>2.43</v>
      </c>
    </row>
    <row r="2658" customFormat="false" ht="15" hidden="false" customHeight="false" outlineLevel="0" collapsed="false">
      <c r="A2658" s="0" t="s">
        <v>396</v>
      </c>
      <c r="B2658" s="0" t="s">
        <v>397</v>
      </c>
      <c r="C2658" s="0" t="s">
        <v>322</v>
      </c>
      <c r="D2658" s="0" t="s">
        <v>189</v>
      </c>
      <c r="E2658" s="0" t="n">
        <v>17</v>
      </c>
      <c r="F2658" s="0" t="s">
        <v>74</v>
      </c>
      <c r="G2658" s="0" t="s">
        <v>75</v>
      </c>
      <c r="H2658" s="0" t="s">
        <v>75</v>
      </c>
      <c r="I2658" s="0" t="s">
        <v>34</v>
      </c>
      <c r="J2658" s="0" t="n">
        <v>2.33</v>
      </c>
      <c r="K2658" s="0" t="s">
        <v>73</v>
      </c>
      <c r="L2658" s="0" t="n">
        <f aca="false">INDEX(Summary!$F$2:$F$201,MATCH($B2658,Summary!$A$2:$A$201,0))</f>
        <v>20</v>
      </c>
      <c r="M2658" s="0" t="n">
        <f aca="false">INDEX(Summary!$I$2:$I$201,MATCH($B2658,Summary!$A$2:$A$201,0))</f>
        <v>2</v>
      </c>
      <c r="N2658" s="0" t="n">
        <f aca="false">INDEX(Summary!$J$2:$J$201,MATCH($B2658,Summary!$A$2:$A$201,0))</f>
        <v>3</v>
      </c>
      <c r="O2658" s="2" t="n">
        <f aca="false">INDEX(Summary!$K$2:$K$201,MATCH($B2658,Summary!$A$2:$A$201,0))</f>
        <v>9.17</v>
      </c>
      <c r="P2658" s="3" t="n">
        <f aca="false">INDEX(Summary!$L$2:$L$201,MATCH($B2658,Summary!$A$2:$A$201,0))</f>
        <v>3</v>
      </c>
      <c r="Q2658" s="3" t="n">
        <f aca="false">INDEX(Summary!$M$2:$M$201,MATCH($B2658,Summary!$A$2:$A$201,0))</f>
        <v>3</v>
      </c>
      <c r="R2658" s="2" t="n">
        <f aca="false">INDEX(Summary!$N$2:$N$201,MATCH($B2658,Summary!$A$2:$A$201,0))</f>
        <v>12.11</v>
      </c>
      <c r="S2658" s="3" t="n">
        <f aca="false">INDEX(Summary!$O$2:$O$201,MATCH($B2658,Summary!$A$2:$A$201,0))</f>
        <v>8</v>
      </c>
      <c r="T2658" s="3" t="n">
        <f aca="false">INDEX(Summary!$P$2:$P$201,MATCH($B2658,Summary!$A$2:$A$201,0))</f>
        <v>1</v>
      </c>
      <c r="U2658" s="2" t="n">
        <f aca="false">INDEX(Summary!$Q$2:$Q$201,MATCH($B2658,Summary!$A$2:$A$201,0))</f>
        <v>11.71</v>
      </c>
      <c r="V2658" s="2" t="n">
        <f aca="false">INDEX(Summary!$R$2:$R$201,MATCH($B2658,Summary!$A$2:$A$201,0))</f>
        <v>22.05</v>
      </c>
      <c r="W2658" s="0" t="str">
        <f aca="false">INDEX(Summary!$S$2:$S$201,MATCH($B2658,Summary!$A$2:$A$201,0))</f>
        <v>Silver</v>
      </c>
      <c r="X2658" s="2" t="n">
        <f aca="false">INDEX(Summary!$T$2:$T$201,MATCH($B2658,Summary!$A$2:$A$201,0))</f>
        <v>53.78</v>
      </c>
      <c r="Y2658" s="0" t="str">
        <f aca="false">INDEX('Reward Model'!$E$18:$E$37,MATCH($E2658,'Reward Model'!$A$18:$A$37,0))</f>
        <v>High</v>
      </c>
      <c r="Z2658" s="4" t="n">
        <f aca="false">ROUND(MIN(1,MAX('Reward Model'!$B$2,INDEX('Reward Model'!$C$12:$C$14,MATCH($K2658,'Reward Model'!$A$12:$A$14,0))/$J2658)),3)</f>
        <v>0.858</v>
      </c>
      <c r="AA2658" s="2" t="n">
        <f aca="false">IF($I2658="Correct",ROUND(INDEX('Reward Model'!$B$12:$B$14,MATCH($K2658,'Reward Model'!$A$12:$A$14,0))*Z2658,2),0)</f>
        <v>2.57</v>
      </c>
      <c r="AB2658" s="2" t="n">
        <f aca="false">IF($I2658="Correct",ROUND(INDEX('Reward Model'!$B$12:$B$14,MATCH($Y2658,'Reward Model'!$A$12:$A$14,0))*Z2658,2),0)</f>
        <v>2.57</v>
      </c>
    </row>
    <row r="2659" customFormat="false" ht="15" hidden="false" customHeight="false" outlineLevel="0" collapsed="false">
      <c r="A2659" s="0" t="s">
        <v>396</v>
      </c>
      <c r="B2659" s="0" t="s">
        <v>397</v>
      </c>
      <c r="C2659" s="0" t="s">
        <v>322</v>
      </c>
      <c r="D2659" s="0" t="s">
        <v>189</v>
      </c>
      <c r="E2659" s="0" t="n">
        <v>18</v>
      </c>
      <c r="F2659" s="0" t="s">
        <v>76</v>
      </c>
      <c r="G2659" s="0" t="s">
        <v>56</v>
      </c>
      <c r="H2659" s="0" t="s">
        <v>77</v>
      </c>
      <c r="I2659" s="0" t="s">
        <v>39</v>
      </c>
      <c r="J2659" s="0" t="n">
        <v>1.54</v>
      </c>
      <c r="K2659" s="0" t="s">
        <v>73</v>
      </c>
      <c r="L2659" s="0" t="n">
        <f aca="false">INDEX(Summary!$F$2:$F$201,MATCH($B2659,Summary!$A$2:$A$201,0))</f>
        <v>20</v>
      </c>
      <c r="M2659" s="0" t="n">
        <f aca="false">INDEX(Summary!$I$2:$I$201,MATCH($B2659,Summary!$A$2:$A$201,0))</f>
        <v>2</v>
      </c>
      <c r="N2659" s="0" t="n">
        <f aca="false">INDEX(Summary!$J$2:$J$201,MATCH($B2659,Summary!$A$2:$A$201,0))</f>
        <v>3</v>
      </c>
      <c r="O2659" s="2" t="n">
        <f aca="false">INDEX(Summary!$K$2:$K$201,MATCH($B2659,Summary!$A$2:$A$201,0))</f>
        <v>9.17</v>
      </c>
      <c r="P2659" s="3" t="n">
        <f aca="false">INDEX(Summary!$L$2:$L$201,MATCH($B2659,Summary!$A$2:$A$201,0))</f>
        <v>3</v>
      </c>
      <c r="Q2659" s="3" t="n">
        <f aca="false">INDEX(Summary!$M$2:$M$201,MATCH($B2659,Summary!$A$2:$A$201,0))</f>
        <v>3</v>
      </c>
      <c r="R2659" s="2" t="n">
        <f aca="false">INDEX(Summary!$N$2:$N$201,MATCH($B2659,Summary!$A$2:$A$201,0))</f>
        <v>12.11</v>
      </c>
      <c r="S2659" s="3" t="n">
        <f aca="false">INDEX(Summary!$O$2:$O$201,MATCH($B2659,Summary!$A$2:$A$201,0))</f>
        <v>8</v>
      </c>
      <c r="T2659" s="3" t="n">
        <f aca="false">INDEX(Summary!$P$2:$P$201,MATCH($B2659,Summary!$A$2:$A$201,0))</f>
        <v>1</v>
      </c>
      <c r="U2659" s="2" t="n">
        <f aca="false">INDEX(Summary!$Q$2:$Q$201,MATCH($B2659,Summary!$A$2:$A$201,0))</f>
        <v>11.71</v>
      </c>
      <c r="V2659" s="2" t="n">
        <f aca="false">INDEX(Summary!$R$2:$R$201,MATCH($B2659,Summary!$A$2:$A$201,0))</f>
        <v>22.05</v>
      </c>
      <c r="W2659" s="0" t="str">
        <f aca="false">INDEX(Summary!$S$2:$S$201,MATCH($B2659,Summary!$A$2:$A$201,0))</f>
        <v>Silver</v>
      </c>
      <c r="X2659" s="2" t="n">
        <f aca="false">INDEX(Summary!$T$2:$T$201,MATCH($B2659,Summary!$A$2:$A$201,0))</f>
        <v>53.78</v>
      </c>
      <c r="Y2659" s="0" t="str">
        <f aca="false">INDEX('Reward Model'!$E$18:$E$37,MATCH($E2659,'Reward Model'!$A$18:$A$37,0))</f>
        <v>High</v>
      </c>
      <c r="Z2659" s="4" t="n">
        <f aca="false">ROUND(MIN(1,MAX('Reward Model'!$B$2,INDEX('Reward Model'!$C$12:$C$14,MATCH($K2659,'Reward Model'!$A$12:$A$14,0))/$J2659)),3)</f>
        <v>1</v>
      </c>
      <c r="AA2659" s="2" t="n">
        <f aca="false">IF($I2659="Correct",ROUND(INDEX('Reward Model'!$B$12:$B$14,MATCH($K2659,'Reward Model'!$A$12:$A$14,0))*Z2659,2),0)</f>
        <v>0</v>
      </c>
      <c r="AB2659" s="2" t="n">
        <f aca="false">IF($I2659="Correct",ROUND(INDEX('Reward Model'!$B$12:$B$14,MATCH($Y2659,'Reward Model'!$A$12:$A$14,0))*Z2659,2),0)</f>
        <v>0</v>
      </c>
    </row>
    <row r="2660" customFormat="false" ht="15" hidden="false" customHeight="false" outlineLevel="0" collapsed="false">
      <c r="A2660" s="0" t="s">
        <v>396</v>
      </c>
      <c r="B2660" s="0" t="s">
        <v>397</v>
      </c>
      <c r="C2660" s="0" t="s">
        <v>322</v>
      </c>
      <c r="D2660" s="0" t="s">
        <v>189</v>
      </c>
      <c r="E2660" s="0" t="n">
        <v>19</v>
      </c>
      <c r="F2660" s="0" t="s">
        <v>78</v>
      </c>
      <c r="G2660" s="0" t="s">
        <v>51</v>
      </c>
      <c r="H2660" s="0" t="s">
        <v>80</v>
      </c>
      <c r="I2660" s="0" t="s">
        <v>39</v>
      </c>
      <c r="J2660" s="0" t="n">
        <v>1.35</v>
      </c>
      <c r="K2660" s="0" t="s">
        <v>73</v>
      </c>
      <c r="L2660" s="0" t="n">
        <f aca="false">INDEX(Summary!$F$2:$F$201,MATCH($B2660,Summary!$A$2:$A$201,0))</f>
        <v>20</v>
      </c>
      <c r="M2660" s="0" t="n">
        <f aca="false">INDEX(Summary!$I$2:$I$201,MATCH($B2660,Summary!$A$2:$A$201,0))</f>
        <v>2</v>
      </c>
      <c r="N2660" s="0" t="n">
        <f aca="false">INDEX(Summary!$J$2:$J$201,MATCH($B2660,Summary!$A$2:$A$201,0))</f>
        <v>3</v>
      </c>
      <c r="O2660" s="2" t="n">
        <f aca="false">INDEX(Summary!$K$2:$K$201,MATCH($B2660,Summary!$A$2:$A$201,0))</f>
        <v>9.17</v>
      </c>
      <c r="P2660" s="3" t="n">
        <f aca="false">INDEX(Summary!$L$2:$L$201,MATCH($B2660,Summary!$A$2:$A$201,0))</f>
        <v>3</v>
      </c>
      <c r="Q2660" s="3" t="n">
        <f aca="false">INDEX(Summary!$M$2:$M$201,MATCH($B2660,Summary!$A$2:$A$201,0))</f>
        <v>3</v>
      </c>
      <c r="R2660" s="2" t="n">
        <f aca="false">INDEX(Summary!$N$2:$N$201,MATCH($B2660,Summary!$A$2:$A$201,0))</f>
        <v>12.11</v>
      </c>
      <c r="S2660" s="3" t="n">
        <f aca="false">INDEX(Summary!$O$2:$O$201,MATCH($B2660,Summary!$A$2:$A$201,0))</f>
        <v>8</v>
      </c>
      <c r="T2660" s="3" t="n">
        <f aca="false">INDEX(Summary!$P$2:$P$201,MATCH($B2660,Summary!$A$2:$A$201,0))</f>
        <v>1</v>
      </c>
      <c r="U2660" s="2" t="n">
        <f aca="false">INDEX(Summary!$Q$2:$Q$201,MATCH($B2660,Summary!$A$2:$A$201,0))</f>
        <v>11.71</v>
      </c>
      <c r="V2660" s="2" t="n">
        <f aca="false">INDEX(Summary!$R$2:$R$201,MATCH($B2660,Summary!$A$2:$A$201,0))</f>
        <v>22.05</v>
      </c>
      <c r="W2660" s="0" t="str">
        <f aca="false">INDEX(Summary!$S$2:$S$201,MATCH($B2660,Summary!$A$2:$A$201,0))</f>
        <v>Silver</v>
      </c>
      <c r="X2660" s="2" t="n">
        <f aca="false">INDEX(Summary!$T$2:$T$201,MATCH($B2660,Summary!$A$2:$A$201,0))</f>
        <v>53.78</v>
      </c>
      <c r="Y2660" s="0" t="str">
        <f aca="false">INDEX('Reward Model'!$E$18:$E$37,MATCH($E2660,'Reward Model'!$A$18:$A$37,0))</f>
        <v>High</v>
      </c>
      <c r="Z2660" s="4" t="n">
        <f aca="false">ROUND(MIN(1,MAX('Reward Model'!$B$2,INDEX('Reward Model'!$C$12:$C$14,MATCH($K2660,'Reward Model'!$A$12:$A$14,0))/$J2660)),3)</f>
        <v>1</v>
      </c>
      <c r="AA2660" s="2" t="n">
        <f aca="false">IF($I2660="Correct",ROUND(INDEX('Reward Model'!$B$12:$B$14,MATCH($K2660,'Reward Model'!$A$12:$A$14,0))*Z2660,2),0)</f>
        <v>0</v>
      </c>
      <c r="AB2660" s="2" t="n">
        <f aca="false">IF($I2660="Correct",ROUND(INDEX('Reward Model'!$B$12:$B$14,MATCH($Y2660,'Reward Model'!$A$12:$A$14,0))*Z2660,2),0)</f>
        <v>0</v>
      </c>
    </row>
    <row r="2661" customFormat="false" ht="15" hidden="false" customHeight="false" outlineLevel="0" collapsed="false">
      <c r="A2661" s="0" t="s">
        <v>396</v>
      </c>
      <c r="B2661" s="0" t="s">
        <v>397</v>
      </c>
      <c r="C2661" s="0" t="s">
        <v>322</v>
      </c>
      <c r="D2661" s="0" t="s">
        <v>189</v>
      </c>
      <c r="E2661" s="0" t="n">
        <v>20</v>
      </c>
      <c r="F2661" s="0" t="s">
        <v>81</v>
      </c>
      <c r="G2661" s="0" t="s">
        <v>119</v>
      </c>
      <c r="H2661" s="0" t="s">
        <v>83</v>
      </c>
      <c r="I2661" s="0" t="s">
        <v>39</v>
      </c>
      <c r="J2661" s="0" t="n">
        <v>1.48</v>
      </c>
      <c r="K2661" s="0" t="s">
        <v>73</v>
      </c>
      <c r="L2661" s="0" t="n">
        <f aca="false">INDEX(Summary!$F$2:$F$201,MATCH($B2661,Summary!$A$2:$A$201,0))</f>
        <v>20</v>
      </c>
      <c r="M2661" s="0" t="n">
        <f aca="false">INDEX(Summary!$I$2:$I$201,MATCH($B2661,Summary!$A$2:$A$201,0))</f>
        <v>2</v>
      </c>
      <c r="N2661" s="0" t="n">
        <f aca="false">INDEX(Summary!$J$2:$J$201,MATCH($B2661,Summary!$A$2:$A$201,0))</f>
        <v>3</v>
      </c>
      <c r="O2661" s="2" t="n">
        <f aca="false">INDEX(Summary!$K$2:$K$201,MATCH($B2661,Summary!$A$2:$A$201,0))</f>
        <v>9.17</v>
      </c>
      <c r="P2661" s="3" t="n">
        <f aca="false">INDEX(Summary!$L$2:$L$201,MATCH($B2661,Summary!$A$2:$A$201,0))</f>
        <v>3</v>
      </c>
      <c r="Q2661" s="3" t="n">
        <f aca="false">INDEX(Summary!$M$2:$M$201,MATCH($B2661,Summary!$A$2:$A$201,0))</f>
        <v>3</v>
      </c>
      <c r="R2661" s="2" t="n">
        <f aca="false">INDEX(Summary!$N$2:$N$201,MATCH($B2661,Summary!$A$2:$A$201,0))</f>
        <v>12.11</v>
      </c>
      <c r="S2661" s="3" t="n">
        <f aca="false">INDEX(Summary!$O$2:$O$201,MATCH($B2661,Summary!$A$2:$A$201,0))</f>
        <v>8</v>
      </c>
      <c r="T2661" s="3" t="n">
        <f aca="false">INDEX(Summary!$P$2:$P$201,MATCH($B2661,Summary!$A$2:$A$201,0))</f>
        <v>1</v>
      </c>
      <c r="U2661" s="2" t="n">
        <f aca="false">INDEX(Summary!$Q$2:$Q$201,MATCH($B2661,Summary!$A$2:$A$201,0))</f>
        <v>11.71</v>
      </c>
      <c r="V2661" s="2" t="n">
        <f aca="false">INDEX(Summary!$R$2:$R$201,MATCH($B2661,Summary!$A$2:$A$201,0))</f>
        <v>22.05</v>
      </c>
      <c r="W2661" s="0" t="str">
        <f aca="false">INDEX(Summary!$S$2:$S$201,MATCH($B2661,Summary!$A$2:$A$201,0))</f>
        <v>Silver</v>
      </c>
      <c r="X2661" s="2" t="n">
        <f aca="false">INDEX(Summary!$T$2:$T$201,MATCH($B2661,Summary!$A$2:$A$201,0))</f>
        <v>53.78</v>
      </c>
      <c r="Y2661" s="0" t="str">
        <f aca="false">INDEX('Reward Model'!$E$18:$E$37,MATCH($E2661,'Reward Model'!$A$18:$A$37,0))</f>
        <v>High</v>
      </c>
      <c r="Z2661" s="4" t="n">
        <f aca="false">ROUND(MIN(1,MAX('Reward Model'!$B$2,INDEX('Reward Model'!$C$12:$C$14,MATCH($K2661,'Reward Model'!$A$12:$A$14,0))/$J2661)),3)</f>
        <v>1</v>
      </c>
      <c r="AA2661" s="2" t="n">
        <f aca="false">IF($I2661="Correct",ROUND(INDEX('Reward Model'!$B$12:$B$14,MATCH($K2661,'Reward Model'!$A$12:$A$14,0))*Z2661,2),0)</f>
        <v>0</v>
      </c>
      <c r="AB2661" s="2" t="n">
        <f aca="false">IF($I2661="Correct",ROUND(INDEX('Reward Model'!$B$12:$B$14,MATCH($Y2661,'Reward Model'!$A$12:$A$14,0))*Z2661,2),0)</f>
        <v>0</v>
      </c>
    </row>
    <row r="2662" customFormat="false" ht="15" hidden="false" customHeight="false" outlineLevel="0" collapsed="false">
      <c r="A2662" s="0" t="s">
        <v>398</v>
      </c>
      <c r="B2662" s="0" t="s">
        <v>399</v>
      </c>
      <c r="C2662" s="0" t="s">
        <v>322</v>
      </c>
      <c r="D2662" s="0" t="s">
        <v>189</v>
      </c>
      <c r="E2662" s="0" t="n">
        <v>1</v>
      </c>
      <c r="F2662" s="0" t="s">
        <v>32</v>
      </c>
      <c r="G2662" s="0" t="s">
        <v>122</v>
      </c>
      <c r="H2662" s="0" t="s">
        <v>33</v>
      </c>
      <c r="I2662" s="0" t="s">
        <v>39</v>
      </c>
      <c r="J2662" s="0" t="n">
        <v>1.62</v>
      </c>
      <c r="K2662" s="0" t="s">
        <v>35</v>
      </c>
      <c r="L2662" s="0" t="n">
        <f aca="false">INDEX(Summary!$F$2:$F$201,MATCH($B2662,Summary!$A$2:$A$201,0))</f>
        <v>20</v>
      </c>
      <c r="M2662" s="0" t="n">
        <f aca="false">INDEX(Summary!$I$2:$I$201,MATCH($B2662,Summary!$A$2:$A$201,0))</f>
        <v>2</v>
      </c>
      <c r="N2662" s="0" t="n">
        <f aca="false">INDEX(Summary!$J$2:$J$201,MATCH($B2662,Summary!$A$2:$A$201,0))</f>
        <v>3</v>
      </c>
      <c r="O2662" s="2" t="n">
        <f aca="false">INDEX(Summary!$K$2:$K$201,MATCH($B2662,Summary!$A$2:$A$201,0))</f>
        <v>10.99</v>
      </c>
      <c r="P2662" s="3" t="n">
        <f aca="false">INDEX(Summary!$L$2:$L$201,MATCH($B2662,Summary!$A$2:$A$201,0))</f>
        <v>2</v>
      </c>
      <c r="Q2662" s="3" t="n">
        <f aca="false">INDEX(Summary!$M$2:$M$201,MATCH($B2662,Summary!$A$2:$A$201,0))</f>
        <v>4</v>
      </c>
      <c r="R2662" s="2" t="n">
        <f aca="false">INDEX(Summary!$N$2:$N$201,MATCH($B2662,Summary!$A$2:$A$201,0))</f>
        <v>8.9</v>
      </c>
      <c r="S2662" s="3" t="n">
        <f aca="false">INDEX(Summary!$O$2:$O$201,MATCH($B2662,Summary!$A$2:$A$201,0))</f>
        <v>7</v>
      </c>
      <c r="T2662" s="3" t="n">
        <f aca="false">INDEX(Summary!$P$2:$P$201,MATCH($B2662,Summary!$A$2:$A$201,0))</f>
        <v>2</v>
      </c>
      <c r="U2662" s="2" t="n">
        <f aca="false">INDEX(Summary!$Q$2:$Q$201,MATCH($B2662,Summary!$A$2:$A$201,0))</f>
        <v>13.66</v>
      </c>
      <c r="V2662" s="2" t="n">
        <f aca="false">INDEX(Summary!$R$2:$R$201,MATCH($B2662,Summary!$A$2:$A$201,0))</f>
        <v>18.87</v>
      </c>
      <c r="W2662" s="0" t="str">
        <f aca="false">INDEX(Summary!$S$2:$S$201,MATCH($B2662,Summary!$A$2:$A$201,0))</f>
        <v>Bronze</v>
      </c>
      <c r="X2662" s="2" t="n">
        <f aca="false">INDEX(Summary!$T$2:$T$201,MATCH($B2662,Summary!$A$2:$A$201,0))</f>
        <v>46.02</v>
      </c>
      <c r="Y2662" s="0" t="str">
        <f aca="false">INDEX('Reward Model'!$E$18:$E$37,MATCH($E2662,'Reward Model'!$A$18:$A$37,0))</f>
        <v>Medium</v>
      </c>
      <c r="Z2662" s="4" t="n">
        <f aca="false">ROUND(MIN(1,MAX('Reward Model'!$B$2,INDEX('Reward Model'!$C$12:$C$14,MATCH($K2662,'Reward Model'!$A$12:$A$14,0))/$J2662)),3)</f>
        <v>0.926</v>
      </c>
      <c r="AA2662" s="2" t="n">
        <f aca="false">IF($I2662="Correct",ROUND(INDEX('Reward Model'!$B$12:$B$14,MATCH($K2662,'Reward Model'!$A$12:$A$14,0))*Z2662,2),0)</f>
        <v>0</v>
      </c>
      <c r="AB2662" s="2" t="n">
        <f aca="false">IF($I2662="Correct",ROUND(INDEX('Reward Model'!$B$12:$B$14,MATCH($Y2662,'Reward Model'!$A$12:$A$14,0))*Z2662,2),0)</f>
        <v>0</v>
      </c>
    </row>
    <row r="2663" customFormat="false" ht="15" hidden="false" customHeight="false" outlineLevel="0" collapsed="false">
      <c r="A2663" s="0" t="s">
        <v>398</v>
      </c>
      <c r="B2663" s="0" t="s">
        <v>399</v>
      </c>
      <c r="C2663" s="0" t="s">
        <v>322</v>
      </c>
      <c r="D2663" s="0" t="s">
        <v>189</v>
      </c>
      <c r="E2663" s="0" t="n">
        <v>2</v>
      </c>
      <c r="F2663" s="0" t="s">
        <v>36</v>
      </c>
      <c r="G2663" s="0" t="s">
        <v>38</v>
      </c>
      <c r="H2663" s="0" t="s">
        <v>38</v>
      </c>
      <c r="I2663" s="0" t="s">
        <v>34</v>
      </c>
      <c r="J2663" s="0" t="n">
        <v>1.15</v>
      </c>
      <c r="K2663" s="0" t="s">
        <v>35</v>
      </c>
      <c r="L2663" s="0" t="n">
        <f aca="false">INDEX(Summary!$F$2:$F$201,MATCH($B2663,Summary!$A$2:$A$201,0))</f>
        <v>20</v>
      </c>
      <c r="M2663" s="0" t="n">
        <f aca="false">INDEX(Summary!$I$2:$I$201,MATCH($B2663,Summary!$A$2:$A$201,0))</f>
        <v>2</v>
      </c>
      <c r="N2663" s="0" t="n">
        <f aca="false">INDEX(Summary!$J$2:$J$201,MATCH($B2663,Summary!$A$2:$A$201,0))</f>
        <v>3</v>
      </c>
      <c r="O2663" s="2" t="n">
        <f aca="false">INDEX(Summary!$K$2:$K$201,MATCH($B2663,Summary!$A$2:$A$201,0))</f>
        <v>10.99</v>
      </c>
      <c r="P2663" s="3" t="n">
        <f aca="false">INDEX(Summary!$L$2:$L$201,MATCH($B2663,Summary!$A$2:$A$201,0))</f>
        <v>2</v>
      </c>
      <c r="Q2663" s="3" t="n">
        <f aca="false">INDEX(Summary!$M$2:$M$201,MATCH($B2663,Summary!$A$2:$A$201,0))</f>
        <v>4</v>
      </c>
      <c r="R2663" s="2" t="n">
        <f aca="false">INDEX(Summary!$N$2:$N$201,MATCH($B2663,Summary!$A$2:$A$201,0))</f>
        <v>8.9</v>
      </c>
      <c r="S2663" s="3" t="n">
        <f aca="false">INDEX(Summary!$O$2:$O$201,MATCH($B2663,Summary!$A$2:$A$201,0))</f>
        <v>7</v>
      </c>
      <c r="T2663" s="3" t="n">
        <f aca="false">INDEX(Summary!$P$2:$P$201,MATCH($B2663,Summary!$A$2:$A$201,0))</f>
        <v>2</v>
      </c>
      <c r="U2663" s="2" t="n">
        <f aca="false">INDEX(Summary!$Q$2:$Q$201,MATCH($B2663,Summary!$A$2:$A$201,0))</f>
        <v>13.66</v>
      </c>
      <c r="V2663" s="2" t="n">
        <f aca="false">INDEX(Summary!$R$2:$R$201,MATCH($B2663,Summary!$A$2:$A$201,0))</f>
        <v>18.87</v>
      </c>
      <c r="W2663" s="0" t="str">
        <f aca="false">INDEX(Summary!$S$2:$S$201,MATCH($B2663,Summary!$A$2:$A$201,0))</f>
        <v>Bronze</v>
      </c>
      <c r="X2663" s="2" t="n">
        <f aca="false">INDEX(Summary!$T$2:$T$201,MATCH($B2663,Summary!$A$2:$A$201,0))</f>
        <v>46.02</v>
      </c>
      <c r="Y2663" s="0" t="str">
        <f aca="false">INDEX('Reward Model'!$E$18:$E$37,MATCH($E2663,'Reward Model'!$A$18:$A$37,0))</f>
        <v>Low</v>
      </c>
      <c r="Z2663" s="4" t="n">
        <f aca="false">ROUND(MIN(1,MAX('Reward Model'!$B$2,INDEX('Reward Model'!$C$12:$C$14,MATCH($K2663,'Reward Model'!$A$12:$A$14,0))/$J2663)),3)</f>
        <v>1</v>
      </c>
      <c r="AA2663" s="2" t="n">
        <f aca="false">IF($I2663="Correct",ROUND(INDEX('Reward Model'!$B$12:$B$14,MATCH($K2663,'Reward Model'!$A$12:$A$14,0))*Z2663,2),0)</f>
        <v>1</v>
      </c>
      <c r="AB2663" s="2" t="n">
        <f aca="false">IF($I2663="Correct",ROUND(INDEX('Reward Model'!$B$12:$B$14,MATCH($Y2663,'Reward Model'!$A$12:$A$14,0))*Z2663,2),0)</f>
        <v>1</v>
      </c>
    </row>
    <row r="2664" customFormat="false" ht="15" hidden="false" customHeight="false" outlineLevel="0" collapsed="false">
      <c r="A2664" s="0" t="s">
        <v>398</v>
      </c>
      <c r="B2664" s="0" t="s">
        <v>399</v>
      </c>
      <c r="C2664" s="0" t="s">
        <v>322</v>
      </c>
      <c r="D2664" s="0" t="s">
        <v>189</v>
      </c>
      <c r="E2664" s="0" t="n">
        <v>3</v>
      </c>
      <c r="F2664" s="0" t="s">
        <v>40</v>
      </c>
      <c r="G2664" s="0" t="s">
        <v>142</v>
      </c>
      <c r="H2664" s="0" t="s">
        <v>42</v>
      </c>
      <c r="I2664" s="0" t="s">
        <v>39</v>
      </c>
      <c r="J2664" s="0" t="n">
        <v>1.96</v>
      </c>
      <c r="K2664" s="0" t="s">
        <v>35</v>
      </c>
      <c r="L2664" s="0" t="n">
        <f aca="false">INDEX(Summary!$F$2:$F$201,MATCH($B2664,Summary!$A$2:$A$201,0))</f>
        <v>20</v>
      </c>
      <c r="M2664" s="0" t="n">
        <f aca="false">INDEX(Summary!$I$2:$I$201,MATCH($B2664,Summary!$A$2:$A$201,0))</f>
        <v>2</v>
      </c>
      <c r="N2664" s="0" t="n">
        <f aca="false">INDEX(Summary!$J$2:$J$201,MATCH($B2664,Summary!$A$2:$A$201,0))</f>
        <v>3</v>
      </c>
      <c r="O2664" s="2" t="n">
        <f aca="false">INDEX(Summary!$K$2:$K$201,MATCH($B2664,Summary!$A$2:$A$201,0))</f>
        <v>10.99</v>
      </c>
      <c r="P2664" s="3" t="n">
        <f aca="false">INDEX(Summary!$L$2:$L$201,MATCH($B2664,Summary!$A$2:$A$201,0))</f>
        <v>2</v>
      </c>
      <c r="Q2664" s="3" t="n">
        <f aca="false">INDEX(Summary!$M$2:$M$201,MATCH($B2664,Summary!$A$2:$A$201,0))</f>
        <v>4</v>
      </c>
      <c r="R2664" s="2" t="n">
        <f aca="false">INDEX(Summary!$N$2:$N$201,MATCH($B2664,Summary!$A$2:$A$201,0))</f>
        <v>8.9</v>
      </c>
      <c r="S2664" s="3" t="n">
        <f aca="false">INDEX(Summary!$O$2:$O$201,MATCH($B2664,Summary!$A$2:$A$201,0))</f>
        <v>7</v>
      </c>
      <c r="T2664" s="3" t="n">
        <f aca="false">INDEX(Summary!$P$2:$P$201,MATCH($B2664,Summary!$A$2:$A$201,0))</f>
        <v>2</v>
      </c>
      <c r="U2664" s="2" t="n">
        <f aca="false">INDEX(Summary!$Q$2:$Q$201,MATCH($B2664,Summary!$A$2:$A$201,0))</f>
        <v>13.66</v>
      </c>
      <c r="V2664" s="2" t="n">
        <f aca="false">INDEX(Summary!$R$2:$R$201,MATCH($B2664,Summary!$A$2:$A$201,0))</f>
        <v>18.87</v>
      </c>
      <c r="W2664" s="0" t="str">
        <f aca="false">INDEX(Summary!$S$2:$S$201,MATCH($B2664,Summary!$A$2:$A$201,0))</f>
        <v>Bronze</v>
      </c>
      <c r="X2664" s="2" t="n">
        <f aca="false">INDEX(Summary!$T$2:$T$201,MATCH($B2664,Summary!$A$2:$A$201,0))</f>
        <v>46.02</v>
      </c>
      <c r="Y2664" s="0" t="str">
        <f aca="false">INDEX('Reward Model'!$E$18:$E$37,MATCH($E2664,'Reward Model'!$A$18:$A$37,0))</f>
        <v>Medium</v>
      </c>
      <c r="Z2664" s="4" t="n">
        <f aca="false">ROUND(MIN(1,MAX('Reward Model'!$B$2,INDEX('Reward Model'!$C$12:$C$14,MATCH($K2664,'Reward Model'!$A$12:$A$14,0))/$J2664)),3)</f>
        <v>0.765</v>
      </c>
      <c r="AA2664" s="2" t="n">
        <f aca="false">IF($I2664="Correct",ROUND(INDEX('Reward Model'!$B$12:$B$14,MATCH($K2664,'Reward Model'!$A$12:$A$14,0))*Z2664,2),0)</f>
        <v>0</v>
      </c>
      <c r="AB2664" s="2" t="n">
        <f aca="false">IF($I2664="Correct",ROUND(INDEX('Reward Model'!$B$12:$B$14,MATCH($Y2664,'Reward Model'!$A$12:$A$14,0))*Z2664,2),0)</f>
        <v>0</v>
      </c>
    </row>
    <row r="2665" customFormat="false" ht="15" hidden="false" customHeight="false" outlineLevel="0" collapsed="false">
      <c r="A2665" s="0" t="s">
        <v>398</v>
      </c>
      <c r="B2665" s="0" t="s">
        <v>399</v>
      </c>
      <c r="C2665" s="0" t="s">
        <v>322</v>
      </c>
      <c r="D2665" s="0" t="s">
        <v>189</v>
      </c>
      <c r="E2665" s="0" t="n">
        <v>4</v>
      </c>
      <c r="F2665" s="0" t="s">
        <v>43</v>
      </c>
      <c r="G2665" s="0" t="s">
        <v>45</v>
      </c>
      <c r="H2665" s="0" t="s">
        <v>45</v>
      </c>
      <c r="I2665" s="0" t="s">
        <v>34</v>
      </c>
      <c r="J2665" s="0" t="n">
        <v>1.07</v>
      </c>
      <c r="K2665" s="0" t="s">
        <v>35</v>
      </c>
      <c r="L2665" s="0" t="n">
        <f aca="false">INDEX(Summary!$F$2:$F$201,MATCH($B2665,Summary!$A$2:$A$201,0))</f>
        <v>20</v>
      </c>
      <c r="M2665" s="0" t="n">
        <f aca="false">INDEX(Summary!$I$2:$I$201,MATCH($B2665,Summary!$A$2:$A$201,0))</f>
        <v>2</v>
      </c>
      <c r="N2665" s="0" t="n">
        <f aca="false">INDEX(Summary!$J$2:$J$201,MATCH($B2665,Summary!$A$2:$A$201,0))</f>
        <v>3</v>
      </c>
      <c r="O2665" s="2" t="n">
        <f aca="false">INDEX(Summary!$K$2:$K$201,MATCH($B2665,Summary!$A$2:$A$201,0))</f>
        <v>10.99</v>
      </c>
      <c r="P2665" s="3" t="n">
        <f aca="false">INDEX(Summary!$L$2:$L$201,MATCH($B2665,Summary!$A$2:$A$201,0))</f>
        <v>2</v>
      </c>
      <c r="Q2665" s="3" t="n">
        <f aca="false">INDEX(Summary!$M$2:$M$201,MATCH($B2665,Summary!$A$2:$A$201,0))</f>
        <v>4</v>
      </c>
      <c r="R2665" s="2" t="n">
        <f aca="false">INDEX(Summary!$N$2:$N$201,MATCH($B2665,Summary!$A$2:$A$201,0))</f>
        <v>8.9</v>
      </c>
      <c r="S2665" s="3" t="n">
        <f aca="false">INDEX(Summary!$O$2:$O$201,MATCH($B2665,Summary!$A$2:$A$201,0))</f>
        <v>7</v>
      </c>
      <c r="T2665" s="3" t="n">
        <f aca="false">INDEX(Summary!$P$2:$P$201,MATCH($B2665,Summary!$A$2:$A$201,0))</f>
        <v>2</v>
      </c>
      <c r="U2665" s="2" t="n">
        <f aca="false">INDEX(Summary!$Q$2:$Q$201,MATCH($B2665,Summary!$A$2:$A$201,0))</f>
        <v>13.66</v>
      </c>
      <c r="V2665" s="2" t="n">
        <f aca="false">INDEX(Summary!$R$2:$R$201,MATCH($B2665,Summary!$A$2:$A$201,0))</f>
        <v>18.87</v>
      </c>
      <c r="W2665" s="0" t="str">
        <f aca="false">INDEX(Summary!$S$2:$S$201,MATCH($B2665,Summary!$A$2:$A$201,0))</f>
        <v>Bronze</v>
      </c>
      <c r="X2665" s="2" t="n">
        <f aca="false">INDEX(Summary!$T$2:$T$201,MATCH($B2665,Summary!$A$2:$A$201,0))</f>
        <v>46.02</v>
      </c>
      <c r="Y2665" s="0" t="str">
        <f aca="false">INDEX('Reward Model'!$E$18:$E$37,MATCH($E2665,'Reward Model'!$A$18:$A$37,0))</f>
        <v>Low</v>
      </c>
      <c r="Z2665" s="4" t="n">
        <f aca="false">ROUND(MIN(1,MAX('Reward Model'!$B$2,INDEX('Reward Model'!$C$12:$C$14,MATCH($K2665,'Reward Model'!$A$12:$A$14,0))/$J2665)),3)</f>
        <v>1</v>
      </c>
      <c r="AA2665" s="2" t="n">
        <f aca="false">IF($I2665="Correct",ROUND(INDEX('Reward Model'!$B$12:$B$14,MATCH($K2665,'Reward Model'!$A$12:$A$14,0))*Z2665,2),0)</f>
        <v>1</v>
      </c>
      <c r="AB2665" s="2" t="n">
        <f aca="false">IF($I2665="Correct",ROUND(INDEX('Reward Model'!$B$12:$B$14,MATCH($Y2665,'Reward Model'!$A$12:$A$14,0))*Z2665,2),0)</f>
        <v>1</v>
      </c>
    </row>
    <row r="2666" customFormat="false" ht="15" hidden="false" customHeight="false" outlineLevel="0" collapsed="false">
      <c r="A2666" s="0" t="s">
        <v>398</v>
      </c>
      <c r="B2666" s="0" t="s">
        <v>399</v>
      </c>
      <c r="C2666" s="0" t="s">
        <v>322</v>
      </c>
      <c r="D2666" s="0" t="s">
        <v>189</v>
      </c>
      <c r="E2666" s="0" t="n">
        <v>5</v>
      </c>
      <c r="F2666" s="0" t="s">
        <v>46</v>
      </c>
      <c r="G2666" s="0" t="s">
        <v>47</v>
      </c>
      <c r="H2666" s="0" t="s">
        <v>47</v>
      </c>
      <c r="I2666" s="0" t="s">
        <v>34</v>
      </c>
      <c r="J2666" s="0" t="n">
        <v>1.24</v>
      </c>
      <c r="K2666" s="0" t="s">
        <v>35</v>
      </c>
      <c r="L2666" s="0" t="n">
        <f aca="false">INDEX(Summary!$F$2:$F$201,MATCH($B2666,Summary!$A$2:$A$201,0))</f>
        <v>20</v>
      </c>
      <c r="M2666" s="0" t="n">
        <f aca="false">INDEX(Summary!$I$2:$I$201,MATCH($B2666,Summary!$A$2:$A$201,0))</f>
        <v>2</v>
      </c>
      <c r="N2666" s="0" t="n">
        <f aca="false">INDEX(Summary!$J$2:$J$201,MATCH($B2666,Summary!$A$2:$A$201,0))</f>
        <v>3</v>
      </c>
      <c r="O2666" s="2" t="n">
        <f aca="false">INDEX(Summary!$K$2:$K$201,MATCH($B2666,Summary!$A$2:$A$201,0))</f>
        <v>10.99</v>
      </c>
      <c r="P2666" s="3" t="n">
        <f aca="false">INDEX(Summary!$L$2:$L$201,MATCH($B2666,Summary!$A$2:$A$201,0))</f>
        <v>2</v>
      </c>
      <c r="Q2666" s="3" t="n">
        <f aca="false">INDEX(Summary!$M$2:$M$201,MATCH($B2666,Summary!$A$2:$A$201,0))</f>
        <v>4</v>
      </c>
      <c r="R2666" s="2" t="n">
        <f aca="false">INDEX(Summary!$N$2:$N$201,MATCH($B2666,Summary!$A$2:$A$201,0))</f>
        <v>8.9</v>
      </c>
      <c r="S2666" s="3" t="n">
        <f aca="false">INDEX(Summary!$O$2:$O$201,MATCH($B2666,Summary!$A$2:$A$201,0))</f>
        <v>7</v>
      </c>
      <c r="T2666" s="3" t="n">
        <f aca="false">INDEX(Summary!$P$2:$P$201,MATCH($B2666,Summary!$A$2:$A$201,0))</f>
        <v>2</v>
      </c>
      <c r="U2666" s="2" t="n">
        <f aca="false">INDEX(Summary!$Q$2:$Q$201,MATCH($B2666,Summary!$A$2:$A$201,0))</f>
        <v>13.66</v>
      </c>
      <c r="V2666" s="2" t="n">
        <f aca="false">INDEX(Summary!$R$2:$R$201,MATCH($B2666,Summary!$A$2:$A$201,0))</f>
        <v>18.87</v>
      </c>
      <c r="W2666" s="0" t="str">
        <f aca="false">INDEX(Summary!$S$2:$S$201,MATCH($B2666,Summary!$A$2:$A$201,0))</f>
        <v>Bronze</v>
      </c>
      <c r="X2666" s="2" t="n">
        <f aca="false">INDEX(Summary!$T$2:$T$201,MATCH($B2666,Summary!$A$2:$A$201,0))</f>
        <v>46.02</v>
      </c>
      <c r="Y2666" s="0" t="str">
        <f aca="false">INDEX('Reward Model'!$E$18:$E$37,MATCH($E2666,'Reward Model'!$A$18:$A$37,0))</f>
        <v>Low</v>
      </c>
      <c r="Z2666" s="4" t="n">
        <f aca="false">ROUND(MIN(1,MAX('Reward Model'!$B$2,INDEX('Reward Model'!$C$12:$C$14,MATCH($K2666,'Reward Model'!$A$12:$A$14,0))/$J2666)),3)</f>
        <v>1</v>
      </c>
      <c r="AA2666" s="2" t="n">
        <f aca="false">IF($I2666="Correct",ROUND(INDEX('Reward Model'!$B$12:$B$14,MATCH($K2666,'Reward Model'!$A$12:$A$14,0))*Z2666,2),0)</f>
        <v>1</v>
      </c>
      <c r="AB2666" s="2" t="n">
        <f aca="false">IF($I2666="Correct",ROUND(INDEX('Reward Model'!$B$12:$B$14,MATCH($Y2666,'Reward Model'!$A$12:$A$14,0))*Z2666,2),0)</f>
        <v>1</v>
      </c>
    </row>
    <row r="2667" customFormat="false" ht="15" hidden="false" customHeight="false" outlineLevel="0" collapsed="false">
      <c r="A2667" s="0" t="s">
        <v>398</v>
      </c>
      <c r="B2667" s="0" t="s">
        <v>399</v>
      </c>
      <c r="C2667" s="0" t="s">
        <v>322</v>
      </c>
      <c r="D2667" s="0" t="s">
        <v>189</v>
      </c>
      <c r="E2667" s="0" t="n">
        <v>6</v>
      </c>
      <c r="F2667" s="0" t="s">
        <v>48</v>
      </c>
      <c r="G2667" s="0" t="s">
        <v>49</v>
      </c>
      <c r="H2667" s="0" t="s">
        <v>49</v>
      </c>
      <c r="I2667" s="0" t="s">
        <v>34</v>
      </c>
      <c r="J2667" s="0" t="n">
        <v>1.41</v>
      </c>
      <c r="K2667" s="0" t="s">
        <v>35</v>
      </c>
      <c r="L2667" s="0" t="n">
        <f aca="false">INDEX(Summary!$F$2:$F$201,MATCH($B2667,Summary!$A$2:$A$201,0))</f>
        <v>20</v>
      </c>
      <c r="M2667" s="0" t="n">
        <f aca="false">INDEX(Summary!$I$2:$I$201,MATCH($B2667,Summary!$A$2:$A$201,0))</f>
        <v>2</v>
      </c>
      <c r="N2667" s="0" t="n">
        <f aca="false">INDEX(Summary!$J$2:$J$201,MATCH($B2667,Summary!$A$2:$A$201,0))</f>
        <v>3</v>
      </c>
      <c r="O2667" s="2" t="n">
        <f aca="false">INDEX(Summary!$K$2:$K$201,MATCH($B2667,Summary!$A$2:$A$201,0))</f>
        <v>10.99</v>
      </c>
      <c r="P2667" s="3" t="n">
        <f aca="false">INDEX(Summary!$L$2:$L$201,MATCH($B2667,Summary!$A$2:$A$201,0))</f>
        <v>2</v>
      </c>
      <c r="Q2667" s="3" t="n">
        <f aca="false">INDEX(Summary!$M$2:$M$201,MATCH($B2667,Summary!$A$2:$A$201,0))</f>
        <v>4</v>
      </c>
      <c r="R2667" s="2" t="n">
        <f aca="false">INDEX(Summary!$N$2:$N$201,MATCH($B2667,Summary!$A$2:$A$201,0))</f>
        <v>8.9</v>
      </c>
      <c r="S2667" s="3" t="n">
        <f aca="false">INDEX(Summary!$O$2:$O$201,MATCH($B2667,Summary!$A$2:$A$201,0))</f>
        <v>7</v>
      </c>
      <c r="T2667" s="3" t="n">
        <f aca="false">INDEX(Summary!$P$2:$P$201,MATCH($B2667,Summary!$A$2:$A$201,0))</f>
        <v>2</v>
      </c>
      <c r="U2667" s="2" t="n">
        <f aca="false">INDEX(Summary!$Q$2:$Q$201,MATCH($B2667,Summary!$A$2:$A$201,0))</f>
        <v>13.66</v>
      </c>
      <c r="V2667" s="2" t="n">
        <f aca="false">INDEX(Summary!$R$2:$R$201,MATCH($B2667,Summary!$A$2:$A$201,0))</f>
        <v>18.87</v>
      </c>
      <c r="W2667" s="0" t="str">
        <f aca="false">INDEX(Summary!$S$2:$S$201,MATCH($B2667,Summary!$A$2:$A$201,0))</f>
        <v>Bronze</v>
      </c>
      <c r="X2667" s="2" t="n">
        <f aca="false">INDEX(Summary!$T$2:$T$201,MATCH($B2667,Summary!$A$2:$A$201,0))</f>
        <v>46.02</v>
      </c>
      <c r="Y2667" s="0" t="str">
        <f aca="false">INDEX('Reward Model'!$E$18:$E$37,MATCH($E2667,'Reward Model'!$A$18:$A$37,0))</f>
        <v>Medium</v>
      </c>
      <c r="Z2667" s="4" t="n">
        <f aca="false">ROUND(MIN(1,MAX('Reward Model'!$B$2,INDEX('Reward Model'!$C$12:$C$14,MATCH($K2667,'Reward Model'!$A$12:$A$14,0))/$J2667)),3)</f>
        <v>1</v>
      </c>
      <c r="AA2667" s="2" t="n">
        <f aca="false">IF($I2667="Correct",ROUND(INDEX('Reward Model'!$B$12:$B$14,MATCH($K2667,'Reward Model'!$A$12:$A$14,0))*Z2667,2),0)</f>
        <v>1</v>
      </c>
      <c r="AB2667" s="2" t="n">
        <f aca="false">IF($I2667="Correct",ROUND(INDEX('Reward Model'!$B$12:$B$14,MATCH($Y2667,'Reward Model'!$A$12:$A$14,0))*Z2667,2),0)</f>
        <v>2</v>
      </c>
    </row>
    <row r="2668" customFormat="false" ht="15" hidden="false" customHeight="false" outlineLevel="0" collapsed="false">
      <c r="A2668" s="0" t="s">
        <v>398</v>
      </c>
      <c r="B2668" s="0" t="s">
        <v>399</v>
      </c>
      <c r="C2668" s="0" t="s">
        <v>322</v>
      </c>
      <c r="D2668" s="0" t="s">
        <v>189</v>
      </c>
      <c r="E2668" s="0" t="n">
        <v>7</v>
      </c>
      <c r="F2668" s="0" t="s">
        <v>50</v>
      </c>
      <c r="G2668" s="0" t="s">
        <v>51</v>
      </c>
      <c r="H2668" s="0" t="s">
        <v>51</v>
      </c>
      <c r="I2668" s="0" t="s">
        <v>34</v>
      </c>
      <c r="J2668" s="0" t="n">
        <v>1.78</v>
      </c>
      <c r="K2668" s="0" t="s">
        <v>35</v>
      </c>
      <c r="L2668" s="0" t="n">
        <f aca="false">INDEX(Summary!$F$2:$F$201,MATCH($B2668,Summary!$A$2:$A$201,0))</f>
        <v>20</v>
      </c>
      <c r="M2668" s="0" t="n">
        <f aca="false">INDEX(Summary!$I$2:$I$201,MATCH($B2668,Summary!$A$2:$A$201,0))</f>
        <v>2</v>
      </c>
      <c r="N2668" s="0" t="n">
        <f aca="false">INDEX(Summary!$J$2:$J$201,MATCH($B2668,Summary!$A$2:$A$201,0))</f>
        <v>3</v>
      </c>
      <c r="O2668" s="2" t="n">
        <f aca="false">INDEX(Summary!$K$2:$K$201,MATCH($B2668,Summary!$A$2:$A$201,0))</f>
        <v>10.99</v>
      </c>
      <c r="P2668" s="3" t="n">
        <f aca="false">INDEX(Summary!$L$2:$L$201,MATCH($B2668,Summary!$A$2:$A$201,0))</f>
        <v>2</v>
      </c>
      <c r="Q2668" s="3" t="n">
        <f aca="false">INDEX(Summary!$M$2:$M$201,MATCH($B2668,Summary!$A$2:$A$201,0))</f>
        <v>4</v>
      </c>
      <c r="R2668" s="2" t="n">
        <f aca="false">INDEX(Summary!$N$2:$N$201,MATCH($B2668,Summary!$A$2:$A$201,0))</f>
        <v>8.9</v>
      </c>
      <c r="S2668" s="3" t="n">
        <f aca="false">INDEX(Summary!$O$2:$O$201,MATCH($B2668,Summary!$A$2:$A$201,0))</f>
        <v>7</v>
      </c>
      <c r="T2668" s="3" t="n">
        <f aca="false">INDEX(Summary!$P$2:$P$201,MATCH($B2668,Summary!$A$2:$A$201,0))</f>
        <v>2</v>
      </c>
      <c r="U2668" s="2" t="n">
        <f aca="false">INDEX(Summary!$Q$2:$Q$201,MATCH($B2668,Summary!$A$2:$A$201,0))</f>
        <v>13.66</v>
      </c>
      <c r="V2668" s="2" t="n">
        <f aca="false">INDEX(Summary!$R$2:$R$201,MATCH($B2668,Summary!$A$2:$A$201,0))</f>
        <v>18.87</v>
      </c>
      <c r="W2668" s="0" t="str">
        <f aca="false">INDEX(Summary!$S$2:$S$201,MATCH($B2668,Summary!$A$2:$A$201,0))</f>
        <v>Bronze</v>
      </c>
      <c r="X2668" s="2" t="n">
        <f aca="false">INDEX(Summary!$T$2:$T$201,MATCH($B2668,Summary!$A$2:$A$201,0))</f>
        <v>46.02</v>
      </c>
      <c r="Y2668" s="0" t="str">
        <f aca="false">INDEX('Reward Model'!$E$18:$E$37,MATCH($E2668,'Reward Model'!$A$18:$A$37,0))</f>
        <v>Low</v>
      </c>
      <c r="Z2668" s="4" t="n">
        <f aca="false">ROUND(MIN(1,MAX('Reward Model'!$B$2,INDEX('Reward Model'!$C$12:$C$14,MATCH($K2668,'Reward Model'!$A$12:$A$14,0))/$J2668)),3)</f>
        <v>0.843</v>
      </c>
      <c r="AA2668" s="2" t="n">
        <f aca="false">IF($I2668="Correct",ROUND(INDEX('Reward Model'!$B$12:$B$14,MATCH($K2668,'Reward Model'!$A$12:$A$14,0))*Z2668,2),0)</f>
        <v>0.84</v>
      </c>
      <c r="AB2668" s="2" t="n">
        <f aca="false">IF($I2668="Correct",ROUND(INDEX('Reward Model'!$B$12:$B$14,MATCH($Y2668,'Reward Model'!$A$12:$A$14,0))*Z2668,2),0)</f>
        <v>0.84</v>
      </c>
    </row>
    <row r="2669" customFormat="false" ht="15" hidden="false" customHeight="false" outlineLevel="0" collapsed="false">
      <c r="A2669" s="0" t="s">
        <v>398</v>
      </c>
      <c r="B2669" s="0" t="s">
        <v>399</v>
      </c>
      <c r="C2669" s="0" t="s">
        <v>322</v>
      </c>
      <c r="D2669" s="0" t="s">
        <v>189</v>
      </c>
      <c r="E2669" s="0" t="n">
        <v>8</v>
      </c>
      <c r="F2669" s="0" t="s">
        <v>52</v>
      </c>
      <c r="G2669" s="0" t="s">
        <v>54</v>
      </c>
      <c r="H2669" s="0" t="s">
        <v>54</v>
      </c>
      <c r="I2669" s="0" t="s">
        <v>34</v>
      </c>
      <c r="J2669" s="0" t="n">
        <v>1.69</v>
      </c>
      <c r="K2669" s="0" t="s">
        <v>35</v>
      </c>
      <c r="L2669" s="0" t="n">
        <f aca="false">INDEX(Summary!$F$2:$F$201,MATCH($B2669,Summary!$A$2:$A$201,0))</f>
        <v>20</v>
      </c>
      <c r="M2669" s="0" t="n">
        <f aca="false">INDEX(Summary!$I$2:$I$201,MATCH($B2669,Summary!$A$2:$A$201,0))</f>
        <v>2</v>
      </c>
      <c r="N2669" s="0" t="n">
        <f aca="false">INDEX(Summary!$J$2:$J$201,MATCH($B2669,Summary!$A$2:$A$201,0))</f>
        <v>3</v>
      </c>
      <c r="O2669" s="2" t="n">
        <f aca="false">INDEX(Summary!$K$2:$K$201,MATCH($B2669,Summary!$A$2:$A$201,0))</f>
        <v>10.99</v>
      </c>
      <c r="P2669" s="3" t="n">
        <f aca="false">INDEX(Summary!$L$2:$L$201,MATCH($B2669,Summary!$A$2:$A$201,0))</f>
        <v>2</v>
      </c>
      <c r="Q2669" s="3" t="n">
        <f aca="false">INDEX(Summary!$M$2:$M$201,MATCH($B2669,Summary!$A$2:$A$201,0))</f>
        <v>4</v>
      </c>
      <c r="R2669" s="2" t="n">
        <f aca="false">INDEX(Summary!$N$2:$N$201,MATCH($B2669,Summary!$A$2:$A$201,0))</f>
        <v>8.9</v>
      </c>
      <c r="S2669" s="3" t="n">
        <f aca="false">INDEX(Summary!$O$2:$O$201,MATCH($B2669,Summary!$A$2:$A$201,0))</f>
        <v>7</v>
      </c>
      <c r="T2669" s="3" t="n">
        <f aca="false">INDEX(Summary!$P$2:$P$201,MATCH($B2669,Summary!$A$2:$A$201,0))</f>
        <v>2</v>
      </c>
      <c r="U2669" s="2" t="n">
        <f aca="false">INDEX(Summary!$Q$2:$Q$201,MATCH($B2669,Summary!$A$2:$A$201,0))</f>
        <v>13.66</v>
      </c>
      <c r="V2669" s="2" t="n">
        <f aca="false">INDEX(Summary!$R$2:$R$201,MATCH($B2669,Summary!$A$2:$A$201,0))</f>
        <v>18.87</v>
      </c>
      <c r="W2669" s="0" t="str">
        <f aca="false">INDEX(Summary!$S$2:$S$201,MATCH($B2669,Summary!$A$2:$A$201,0))</f>
        <v>Bronze</v>
      </c>
      <c r="X2669" s="2" t="n">
        <f aca="false">INDEX(Summary!$T$2:$T$201,MATCH($B2669,Summary!$A$2:$A$201,0))</f>
        <v>46.02</v>
      </c>
      <c r="Y2669" s="0" t="str">
        <f aca="false">INDEX('Reward Model'!$E$18:$E$37,MATCH($E2669,'Reward Model'!$A$18:$A$37,0))</f>
        <v>Medium</v>
      </c>
      <c r="Z2669" s="4" t="n">
        <f aca="false">ROUND(MIN(1,MAX('Reward Model'!$B$2,INDEX('Reward Model'!$C$12:$C$14,MATCH($K2669,'Reward Model'!$A$12:$A$14,0))/$J2669)),3)</f>
        <v>0.888</v>
      </c>
      <c r="AA2669" s="2" t="n">
        <f aca="false">IF($I2669="Correct",ROUND(INDEX('Reward Model'!$B$12:$B$14,MATCH($K2669,'Reward Model'!$A$12:$A$14,0))*Z2669,2),0)</f>
        <v>0.89</v>
      </c>
      <c r="AB2669" s="2" t="n">
        <f aca="false">IF($I2669="Correct",ROUND(INDEX('Reward Model'!$B$12:$B$14,MATCH($Y2669,'Reward Model'!$A$12:$A$14,0))*Z2669,2),0)</f>
        <v>1.78</v>
      </c>
    </row>
    <row r="2670" customFormat="false" ht="15" hidden="false" customHeight="false" outlineLevel="0" collapsed="false">
      <c r="A2670" s="0" t="s">
        <v>398</v>
      </c>
      <c r="B2670" s="0" t="s">
        <v>399</v>
      </c>
      <c r="C2670" s="0" t="s">
        <v>322</v>
      </c>
      <c r="D2670" s="0" t="s">
        <v>189</v>
      </c>
      <c r="E2670" s="0" t="n">
        <v>9</v>
      </c>
      <c r="F2670" s="0" t="s">
        <v>55</v>
      </c>
      <c r="G2670" s="0" t="s">
        <v>57</v>
      </c>
      <c r="H2670" s="0" t="s">
        <v>57</v>
      </c>
      <c r="I2670" s="0" t="s">
        <v>34</v>
      </c>
      <c r="J2670" s="0" t="n">
        <v>1.74</v>
      </c>
      <c r="K2670" s="0" t="s">
        <v>35</v>
      </c>
      <c r="L2670" s="0" t="n">
        <f aca="false">INDEX(Summary!$F$2:$F$201,MATCH($B2670,Summary!$A$2:$A$201,0))</f>
        <v>20</v>
      </c>
      <c r="M2670" s="0" t="n">
        <f aca="false">INDEX(Summary!$I$2:$I$201,MATCH($B2670,Summary!$A$2:$A$201,0))</f>
        <v>2</v>
      </c>
      <c r="N2670" s="0" t="n">
        <f aca="false">INDEX(Summary!$J$2:$J$201,MATCH($B2670,Summary!$A$2:$A$201,0))</f>
        <v>3</v>
      </c>
      <c r="O2670" s="2" t="n">
        <f aca="false">INDEX(Summary!$K$2:$K$201,MATCH($B2670,Summary!$A$2:$A$201,0))</f>
        <v>10.99</v>
      </c>
      <c r="P2670" s="3" t="n">
        <f aca="false">INDEX(Summary!$L$2:$L$201,MATCH($B2670,Summary!$A$2:$A$201,0))</f>
        <v>2</v>
      </c>
      <c r="Q2670" s="3" t="n">
        <f aca="false">INDEX(Summary!$M$2:$M$201,MATCH($B2670,Summary!$A$2:$A$201,0))</f>
        <v>4</v>
      </c>
      <c r="R2670" s="2" t="n">
        <f aca="false">INDEX(Summary!$N$2:$N$201,MATCH($B2670,Summary!$A$2:$A$201,0))</f>
        <v>8.9</v>
      </c>
      <c r="S2670" s="3" t="n">
        <f aca="false">INDEX(Summary!$O$2:$O$201,MATCH($B2670,Summary!$A$2:$A$201,0))</f>
        <v>7</v>
      </c>
      <c r="T2670" s="3" t="n">
        <f aca="false">INDEX(Summary!$P$2:$P$201,MATCH($B2670,Summary!$A$2:$A$201,0))</f>
        <v>2</v>
      </c>
      <c r="U2670" s="2" t="n">
        <f aca="false">INDEX(Summary!$Q$2:$Q$201,MATCH($B2670,Summary!$A$2:$A$201,0))</f>
        <v>13.66</v>
      </c>
      <c r="V2670" s="2" t="n">
        <f aca="false">INDEX(Summary!$R$2:$R$201,MATCH($B2670,Summary!$A$2:$A$201,0))</f>
        <v>18.87</v>
      </c>
      <c r="W2670" s="0" t="str">
        <f aca="false">INDEX(Summary!$S$2:$S$201,MATCH($B2670,Summary!$A$2:$A$201,0))</f>
        <v>Bronze</v>
      </c>
      <c r="X2670" s="2" t="n">
        <f aca="false">INDEX(Summary!$T$2:$T$201,MATCH($B2670,Summary!$A$2:$A$201,0))</f>
        <v>46.02</v>
      </c>
      <c r="Y2670" s="0" t="str">
        <f aca="false">INDEX('Reward Model'!$E$18:$E$37,MATCH($E2670,'Reward Model'!$A$18:$A$37,0))</f>
        <v>Medium</v>
      </c>
      <c r="Z2670" s="4" t="n">
        <f aca="false">ROUND(MIN(1,MAX('Reward Model'!$B$2,INDEX('Reward Model'!$C$12:$C$14,MATCH($K2670,'Reward Model'!$A$12:$A$14,0))/$J2670)),3)</f>
        <v>0.862</v>
      </c>
      <c r="AA2670" s="2" t="n">
        <f aca="false">IF($I2670="Correct",ROUND(INDEX('Reward Model'!$B$12:$B$14,MATCH($K2670,'Reward Model'!$A$12:$A$14,0))*Z2670,2),0)</f>
        <v>0.86</v>
      </c>
      <c r="AB2670" s="2" t="n">
        <f aca="false">IF($I2670="Correct",ROUND(INDEX('Reward Model'!$B$12:$B$14,MATCH($Y2670,'Reward Model'!$A$12:$A$14,0))*Z2670,2),0)</f>
        <v>1.72</v>
      </c>
    </row>
    <row r="2671" customFormat="false" ht="15" hidden="false" customHeight="false" outlineLevel="0" collapsed="false">
      <c r="A2671" s="0" t="s">
        <v>398</v>
      </c>
      <c r="B2671" s="0" t="s">
        <v>399</v>
      </c>
      <c r="C2671" s="0" t="s">
        <v>322</v>
      </c>
      <c r="D2671" s="0" t="s">
        <v>189</v>
      </c>
      <c r="E2671" s="0" t="n">
        <v>10</v>
      </c>
      <c r="F2671" s="0" t="s">
        <v>58</v>
      </c>
      <c r="G2671" s="0" t="s">
        <v>174</v>
      </c>
      <c r="H2671" s="0" t="s">
        <v>59</v>
      </c>
      <c r="I2671" s="0" t="s">
        <v>39</v>
      </c>
      <c r="J2671" s="0" t="n">
        <v>1.55</v>
      </c>
      <c r="K2671" s="0" t="s">
        <v>60</v>
      </c>
      <c r="L2671" s="0" t="n">
        <f aca="false">INDEX(Summary!$F$2:$F$201,MATCH($B2671,Summary!$A$2:$A$201,0))</f>
        <v>20</v>
      </c>
      <c r="M2671" s="0" t="n">
        <f aca="false">INDEX(Summary!$I$2:$I$201,MATCH($B2671,Summary!$A$2:$A$201,0))</f>
        <v>2</v>
      </c>
      <c r="N2671" s="0" t="n">
        <f aca="false">INDEX(Summary!$J$2:$J$201,MATCH($B2671,Summary!$A$2:$A$201,0))</f>
        <v>3</v>
      </c>
      <c r="O2671" s="2" t="n">
        <f aca="false">INDEX(Summary!$K$2:$K$201,MATCH($B2671,Summary!$A$2:$A$201,0))</f>
        <v>10.99</v>
      </c>
      <c r="P2671" s="3" t="n">
        <f aca="false">INDEX(Summary!$L$2:$L$201,MATCH($B2671,Summary!$A$2:$A$201,0))</f>
        <v>2</v>
      </c>
      <c r="Q2671" s="3" t="n">
        <f aca="false">INDEX(Summary!$M$2:$M$201,MATCH($B2671,Summary!$A$2:$A$201,0))</f>
        <v>4</v>
      </c>
      <c r="R2671" s="2" t="n">
        <f aca="false">INDEX(Summary!$N$2:$N$201,MATCH($B2671,Summary!$A$2:$A$201,0))</f>
        <v>8.9</v>
      </c>
      <c r="S2671" s="3" t="n">
        <f aca="false">INDEX(Summary!$O$2:$O$201,MATCH($B2671,Summary!$A$2:$A$201,0))</f>
        <v>7</v>
      </c>
      <c r="T2671" s="3" t="n">
        <f aca="false">INDEX(Summary!$P$2:$P$201,MATCH($B2671,Summary!$A$2:$A$201,0))</f>
        <v>2</v>
      </c>
      <c r="U2671" s="2" t="n">
        <f aca="false">INDEX(Summary!$Q$2:$Q$201,MATCH($B2671,Summary!$A$2:$A$201,0))</f>
        <v>13.66</v>
      </c>
      <c r="V2671" s="2" t="n">
        <f aca="false">INDEX(Summary!$R$2:$R$201,MATCH($B2671,Summary!$A$2:$A$201,0))</f>
        <v>18.87</v>
      </c>
      <c r="W2671" s="0" t="str">
        <f aca="false">INDEX(Summary!$S$2:$S$201,MATCH($B2671,Summary!$A$2:$A$201,0))</f>
        <v>Bronze</v>
      </c>
      <c r="X2671" s="2" t="n">
        <f aca="false">INDEX(Summary!$T$2:$T$201,MATCH($B2671,Summary!$A$2:$A$201,0))</f>
        <v>46.02</v>
      </c>
      <c r="Y2671" s="0" t="str">
        <f aca="false">INDEX('Reward Model'!$E$18:$E$37,MATCH($E2671,'Reward Model'!$A$18:$A$37,0))</f>
        <v>Medium</v>
      </c>
      <c r="Z2671" s="4" t="n">
        <f aca="false">ROUND(MIN(1,MAX('Reward Model'!$B$2,INDEX('Reward Model'!$C$12:$C$14,MATCH($K2671,'Reward Model'!$A$12:$A$14,0))/$J2671)),3)</f>
        <v>1</v>
      </c>
      <c r="AA2671" s="2" t="n">
        <f aca="false">IF($I2671="Correct",ROUND(INDEX('Reward Model'!$B$12:$B$14,MATCH($K2671,'Reward Model'!$A$12:$A$14,0))*Z2671,2),0)</f>
        <v>0</v>
      </c>
      <c r="AB2671" s="2" t="n">
        <f aca="false">IF($I2671="Correct",ROUND(INDEX('Reward Model'!$B$12:$B$14,MATCH($Y2671,'Reward Model'!$A$12:$A$14,0))*Z2671,2),0)</f>
        <v>0</v>
      </c>
    </row>
    <row r="2672" customFormat="false" ht="15" hidden="false" customHeight="false" outlineLevel="0" collapsed="false">
      <c r="A2672" s="0" t="s">
        <v>398</v>
      </c>
      <c r="B2672" s="0" t="s">
        <v>399</v>
      </c>
      <c r="C2672" s="0" t="s">
        <v>322</v>
      </c>
      <c r="D2672" s="0" t="s">
        <v>189</v>
      </c>
      <c r="E2672" s="0" t="n">
        <v>11</v>
      </c>
      <c r="F2672" s="0" t="s">
        <v>61</v>
      </c>
      <c r="G2672" s="0" t="s">
        <v>150</v>
      </c>
      <c r="H2672" s="0" t="s">
        <v>63</v>
      </c>
      <c r="I2672" s="0" t="s">
        <v>39</v>
      </c>
      <c r="J2672" s="0" t="n">
        <v>1.92</v>
      </c>
      <c r="K2672" s="0" t="s">
        <v>60</v>
      </c>
      <c r="L2672" s="0" t="n">
        <f aca="false">INDEX(Summary!$F$2:$F$201,MATCH($B2672,Summary!$A$2:$A$201,0))</f>
        <v>20</v>
      </c>
      <c r="M2672" s="0" t="n">
        <f aca="false">INDEX(Summary!$I$2:$I$201,MATCH($B2672,Summary!$A$2:$A$201,0))</f>
        <v>2</v>
      </c>
      <c r="N2672" s="0" t="n">
        <f aca="false">INDEX(Summary!$J$2:$J$201,MATCH($B2672,Summary!$A$2:$A$201,0))</f>
        <v>3</v>
      </c>
      <c r="O2672" s="2" t="n">
        <f aca="false">INDEX(Summary!$K$2:$K$201,MATCH($B2672,Summary!$A$2:$A$201,0))</f>
        <v>10.99</v>
      </c>
      <c r="P2672" s="3" t="n">
        <f aca="false">INDEX(Summary!$L$2:$L$201,MATCH($B2672,Summary!$A$2:$A$201,0))</f>
        <v>2</v>
      </c>
      <c r="Q2672" s="3" t="n">
        <f aca="false">INDEX(Summary!$M$2:$M$201,MATCH($B2672,Summary!$A$2:$A$201,0))</f>
        <v>4</v>
      </c>
      <c r="R2672" s="2" t="n">
        <f aca="false">INDEX(Summary!$N$2:$N$201,MATCH($B2672,Summary!$A$2:$A$201,0))</f>
        <v>8.9</v>
      </c>
      <c r="S2672" s="3" t="n">
        <f aca="false">INDEX(Summary!$O$2:$O$201,MATCH($B2672,Summary!$A$2:$A$201,0))</f>
        <v>7</v>
      </c>
      <c r="T2672" s="3" t="n">
        <f aca="false">INDEX(Summary!$P$2:$P$201,MATCH($B2672,Summary!$A$2:$A$201,0))</f>
        <v>2</v>
      </c>
      <c r="U2672" s="2" t="n">
        <f aca="false">INDEX(Summary!$Q$2:$Q$201,MATCH($B2672,Summary!$A$2:$A$201,0))</f>
        <v>13.66</v>
      </c>
      <c r="V2672" s="2" t="n">
        <f aca="false">INDEX(Summary!$R$2:$R$201,MATCH($B2672,Summary!$A$2:$A$201,0))</f>
        <v>18.87</v>
      </c>
      <c r="W2672" s="0" t="str">
        <f aca="false">INDEX(Summary!$S$2:$S$201,MATCH($B2672,Summary!$A$2:$A$201,0))</f>
        <v>Bronze</v>
      </c>
      <c r="X2672" s="2" t="n">
        <f aca="false">INDEX(Summary!$T$2:$T$201,MATCH($B2672,Summary!$A$2:$A$201,0))</f>
        <v>46.02</v>
      </c>
      <c r="Y2672" s="0" t="str">
        <f aca="false">INDEX('Reward Model'!$E$18:$E$37,MATCH($E2672,'Reward Model'!$A$18:$A$37,0))</f>
        <v>Medium</v>
      </c>
      <c r="Z2672" s="4" t="n">
        <f aca="false">ROUND(MIN(1,MAX('Reward Model'!$B$2,INDEX('Reward Model'!$C$12:$C$14,MATCH($K2672,'Reward Model'!$A$12:$A$14,0))/$J2672)),3)</f>
        <v>0.938</v>
      </c>
      <c r="AA2672" s="2" t="n">
        <f aca="false">IF($I2672="Correct",ROUND(INDEX('Reward Model'!$B$12:$B$14,MATCH($K2672,'Reward Model'!$A$12:$A$14,0))*Z2672,2),0)</f>
        <v>0</v>
      </c>
      <c r="AB2672" s="2" t="n">
        <f aca="false">IF($I2672="Correct",ROUND(INDEX('Reward Model'!$B$12:$B$14,MATCH($Y2672,'Reward Model'!$A$12:$A$14,0))*Z2672,2),0)</f>
        <v>0</v>
      </c>
    </row>
    <row r="2673" customFormat="false" ht="15" hidden="false" customHeight="false" outlineLevel="0" collapsed="false">
      <c r="A2673" s="0" t="s">
        <v>398</v>
      </c>
      <c r="B2673" s="0" t="s">
        <v>399</v>
      </c>
      <c r="C2673" s="0" t="s">
        <v>322</v>
      </c>
      <c r="D2673" s="0" t="s">
        <v>189</v>
      </c>
      <c r="E2673" s="0" t="n">
        <v>12</v>
      </c>
      <c r="F2673" s="0" t="s">
        <v>64</v>
      </c>
      <c r="G2673" s="0" t="s">
        <v>112</v>
      </c>
      <c r="H2673" s="0" t="s">
        <v>65</v>
      </c>
      <c r="I2673" s="0" t="s">
        <v>39</v>
      </c>
      <c r="J2673" s="0" t="n">
        <v>1.5</v>
      </c>
      <c r="K2673" s="0" t="s">
        <v>60</v>
      </c>
      <c r="L2673" s="0" t="n">
        <f aca="false">INDEX(Summary!$F$2:$F$201,MATCH($B2673,Summary!$A$2:$A$201,0))</f>
        <v>20</v>
      </c>
      <c r="M2673" s="0" t="n">
        <f aca="false">INDEX(Summary!$I$2:$I$201,MATCH($B2673,Summary!$A$2:$A$201,0))</f>
        <v>2</v>
      </c>
      <c r="N2673" s="0" t="n">
        <f aca="false">INDEX(Summary!$J$2:$J$201,MATCH($B2673,Summary!$A$2:$A$201,0))</f>
        <v>3</v>
      </c>
      <c r="O2673" s="2" t="n">
        <f aca="false">INDEX(Summary!$K$2:$K$201,MATCH($B2673,Summary!$A$2:$A$201,0))</f>
        <v>10.99</v>
      </c>
      <c r="P2673" s="3" t="n">
        <f aca="false">INDEX(Summary!$L$2:$L$201,MATCH($B2673,Summary!$A$2:$A$201,0))</f>
        <v>2</v>
      </c>
      <c r="Q2673" s="3" t="n">
        <f aca="false">INDEX(Summary!$M$2:$M$201,MATCH($B2673,Summary!$A$2:$A$201,0))</f>
        <v>4</v>
      </c>
      <c r="R2673" s="2" t="n">
        <f aca="false">INDEX(Summary!$N$2:$N$201,MATCH($B2673,Summary!$A$2:$A$201,0))</f>
        <v>8.9</v>
      </c>
      <c r="S2673" s="3" t="n">
        <f aca="false">INDEX(Summary!$O$2:$O$201,MATCH($B2673,Summary!$A$2:$A$201,0))</f>
        <v>7</v>
      </c>
      <c r="T2673" s="3" t="n">
        <f aca="false">INDEX(Summary!$P$2:$P$201,MATCH($B2673,Summary!$A$2:$A$201,0))</f>
        <v>2</v>
      </c>
      <c r="U2673" s="2" t="n">
        <f aca="false">INDEX(Summary!$Q$2:$Q$201,MATCH($B2673,Summary!$A$2:$A$201,0))</f>
        <v>13.66</v>
      </c>
      <c r="V2673" s="2" t="n">
        <f aca="false">INDEX(Summary!$R$2:$R$201,MATCH($B2673,Summary!$A$2:$A$201,0))</f>
        <v>18.87</v>
      </c>
      <c r="W2673" s="0" t="str">
        <f aca="false">INDEX(Summary!$S$2:$S$201,MATCH($B2673,Summary!$A$2:$A$201,0))</f>
        <v>Bronze</v>
      </c>
      <c r="X2673" s="2" t="n">
        <f aca="false">INDEX(Summary!$T$2:$T$201,MATCH($B2673,Summary!$A$2:$A$201,0))</f>
        <v>46.02</v>
      </c>
      <c r="Y2673" s="0" t="str">
        <f aca="false">INDEX('Reward Model'!$E$18:$E$37,MATCH($E2673,'Reward Model'!$A$18:$A$37,0))</f>
        <v>Medium</v>
      </c>
      <c r="Z2673" s="4" t="n">
        <f aca="false">ROUND(MIN(1,MAX('Reward Model'!$B$2,INDEX('Reward Model'!$C$12:$C$14,MATCH($K2673,'Reward Model'!$A$12:$A$14,0))/$J2673)),3)</f>
        <v>1</v>
      </c>
      <c r="AA2673" s="2" t="n">
        <f aca="false">IF($I2673="Correct",ROUND(INDEX('Reward Model'!$B$12:$B$14,MATCH($K2673,'Reward Model'!$A$12:$A$14,0))*Z2673,2),0)</f>
        <v>0</v>
      </c>
      <c r="AB2673" s="2" t="n">
        <f aca="false">IF($I2673="Correct",ROUND(INDEX('Reward Model'!$B$12:$B$14,MATCH($Y2673,'Reward Model'!$A$12:$A$14,0))*Z2673,2),0)</f>
        <v>0</v>
      </c>
    </row>
    <row r="2674" customFormat="false" ht="15" hidden="false" customHeight="false" outlineLevel="0" collapsed="false">
      <c r="A2674" s="0" t="s">
        <v>398</v>
      </c>
      <c r="B2674" s="0" t="s">
        <v>399</v>
      </c>
      <c r="C2674" s="0" t="s">
        <v>322</v>
      </c>
      <c r="D2674" s="0" t="s">
        <v>189</v>
      </c>
      <c r="E2674" s="0" t="n">
        <v>13</v>
      </c>
      <c r="F2674" s="0" t="s">
        <v>66</v>
      </c>
      <c r="G2674" s="0" t="s">
        <v>67</v>
      </c>
      <c r="H2674" s="0" t="s">
        <v>67</v>
      </c>
      <c r="I2674" s="0" t="s">
        <v>34</v>
      </c>
      <c r="J2674" s="0" t="n">
        <v>1.48</v>
      </c>
      <c r="K2674" s="0" t="s">
        <v>60</v>
      </c>
      <c r="L2674" s="0" t="n">
        <f aca="false">INDEX(Summary!$F$2:$F$201,MATCH($B2674,Summary!$A$2:$A$201,0))</f>
        <v>20</v>
      </c>
      <c r="M2674" s="0" t="n">
        <f aca="false">INDEX(Summary!$I$2:$I$201,MATCH($B2674,Summary!$A$2:$A$201,0))</f>
        <v>2</v>
      </c>
      <c r="N2674" s="0" t="n">
        <f aca="false">INDEX(Summary!$J$2:$J$201,MATCH($B2674,Summary!$A$2:$A$201,0))</f>
        <v>3</v>
      </c>
      <c r="O2674" s="2" t="n">
        <f aca="false">INDEX(Summary!$K$2:$K$201,MATCH($B2674,Summary!$A$2:$A$201,0))</f>
        <v>10.99</v>
      </c>
      <c r="P2674" s="3" t="n">
        <f aca="false">INDEX(Summary!$L$2:$L$201,MATCH($B2674,Summary!$A$2:$A$201,0))</f>
        <v>2</v>
      </c>
      <c r="Q2674" s="3" t="n">
        <f aca="false">INDEX(Summary!$M$2:$M$201,MATCH($B2674,Summary!$A$2:$A$201,0))</f>
        <v>4</v>
      </c>
      <c r="R2674" s="2" t="n">
        <f aca="false">INDEX(Summary!$N$2:$N$201,MATCH($B2674,Summary!$A$2:$A$201,0))</f>
        <v>8.9</v>
      </c>
      <c r="S2674" s="3" t="n">
        <f aca="false">INDEX(Summary!$O$2:$O$201,MATCH($B2674,Summary!$A$2:$A$201,0))</f>
        <v>7</v>
      </c>
      <c r="T2674" s="3" t="n">
        <f aca="false">INDEX(Summary!$P$2:$P$201,MATCH($B2674,Summary!$A$2:$A$201,0))</f>
        <v>2</v>
      </c>
      <c r="U2674" s="2" t="n">
        <f aca="false">INDEX(Summary!$Q$2:$Q$201,MATCH($B2674,Summary!$A$2:$A$201,0))</f>
        <v>13.66</v>
      </c>
      <c r="V2674" s="2" t="n">
        <f aca="false">INDEX(Summary!$R$2:$R$201,MATCH($B2674,Summary!$A$2:$A$201,0))</f>
        <v>18.87</v>
      </c>
      <c r="W2674" s="0" t="str">
        <f aca="false">INDEX(Summary!$S$2:$S$201,MATCH($B2674,Summary!$A$2:$A$201,0))</f>
        <v>Bronze</v>
      </c>
      <c r="X2674" s="2" t="n">
        <f aca="false">INDEX(Summary!$T$2:$T$201,MATCH($B2674,Summary!$A$2:$A$201,0))</f>
        <v>46.02</v>
      </c>
      <c r="Y2674" s="0" t="str">
        <f aca="false">INDEX('Reward Model'!$E$18:$E$37,MATCH($E2674,'Reward Model'!$A$18:$A$37,0))</f>
        <v>Medium</v>
      </c>
      <c r="Z2674" s="4" t="n">
        <f aca="false">ROUND(MIN(1,MAX('Reward Model'!$B$2,INDEX('Reward Model'!$C$12:$C$14,MATCH($K2674,'Reward Model'!$A$12:$A$14,0))/$J2674)),3)</f>
        <v>1</v>
      </c>
      <c r="AA2674" s="2" t="n">
        <f aca="false">IF($I2674="Correct",ROUND(INDEX('Reward Model'!$B$12:$B$14,MATCH($K2674,'Reward Model'!$A$12:$A$14,0))*Z2674,2),0)</f>
        <v>2</v>
      </c>
      <c r="AB2674" s="2" t="n">
        <f aca="false">IF($I2674="Correct",ROUND(INDEX('Reward Model'!$B$12:$B$14,MATCH($Y2674,'Reward Model'!$A$12:$A$14,0))*Z2674,2),0)</f>
        <v>2</v>
      </c>
    </row>
    <row r="2675" customFormat="false" ht="15" hidden="false" customHeight="false" outlineLevel="0" collapsed="false">
      <c r="A2675" s="0" t="s">
        <v>398</v>
      </c>
      <c r="B2675" s="0" t="s">
        <v>399</v>
      </c>
      <c r="C2675" s="0" t="s">
        <v>322</v>
      </c>
      <c r="D2675" s="0" t="s">
        <v>189</v>
      </c>
      <c r="E2675" s="0" t="n">
        <v>14</v>
      </c>
      <c r="F2675" s="0" t="s">
        <v>68</v>
      </c>
      <c r="G2675" s="0" t="s">
        <v>118</v>
      </c>
      <c r="H2675" s="0" t="s">
        <v>51</v>
      </c>
      <c r="I2675" s="0" t="s">
        <v>39</v>
      </c>
      <c r="J2675" s="0" t="n">
        <v>1.15</v>
      </c>
      <c r="K2675" s="0" t="s">
        <v>60</v>
      </c>
      <c r="L2675" s="0" t="n">
        <f aca="false">INDEX(Summary!$F$2:$F$201,MATCH($B2675,Summary!$A$2:$A$201,0))</f>
        <v>20</v>
      </c>
      <c r="M2675" s="0" t="n">
        <f aca="false">INDEX(Summary!$I$2:$I$201,MATCH($B2675,Summary!$A$2:$A$201,0))</f>
        <v>2</v>
      </c>
      <c r="N2675" s="0" t="n">
        <f aca="false">INDEX(Summary!$J$2:$J$201,MATCH($B2675,Summary!$A$2:$A$201,0))</f>
        <v>3</v>
      </c>
      <c r="O2675" s="2" t="n">
        <f aca="false">INDEX(Summary!$K$2:$K$201,MATCH($B2675,Summary!$A$2:$A$201,0))</f>
        <v>10.99</v>
      </c>
      <c r="P2675" s="3" t="n">
        <f aca="false">INDEX(Summary!$L$2:$L$201,MATCH($B2675,Summary!$A$2:$A$201,0))</f>
        <v>2</v>
      </c>
      <c r="Q2675" s="3" t="n">
        <f aca="false">INDEX(Summary!$M$2:$M$201,MATCH($B2675,Summary!$A$2:$A$201,0))</f>
        <v>4</v>
      </c>
      <c r="R2675" s="2" t="n">
        <f aca="false">INDEX(Summary!$N$2:$N$201,MATCH($B2675,Summary!$A$2:$A$201,0))</f>
        <v>8.9</v>
      </c>
      <c r="S2675" s="3" t="n">
        <f aca="false">INDEX(Summary!$O$2:$O$201,MATCH($B2675,Summary!$A$2:$A$201,0))</f>
        <v>7</v>
      </c>
      <c r="T2675" s="3" t="n">
        <f aca="false">INDEX(Summary!$P$2:$P$201,MATCH($B2675,Summary!$A$2:$A$201,0))</f>
        <v>2</v>
      </c>
      <c r="U2675" s="2" t="n">
        <f aca="false">INDEX(Summary!$Q$2:$Q$201,MATCH($B2675,Summary!$A$2:$A$201,0))</f>
        <v>13.66</v>
      </c>
      <c r="V2675" s="2" t="n">
        <f aca="false">INDEX(Summary!$R$2:$R$201,MATCH($B2675,Summary!$A$2:$A$201,0))</f>
        <v>18.87</v>
      </c>
      <c r="W2675" s="0" t="str">
        <f aca="false">INDEX(Summary!$S$2:$S$201,MATCH($B2675,Summary!$A$2:$A$201,0))</f>
        <v>Bronze</v>
      </c>
      <c r="X2675" s="2" t="n">
        <f aca="false">INDEX(Summary!$T$2:$T$201,MATCH($B2675,Summary!$A$2:$A$201,0))</f>
        <v>46.02</v>
      </c>
      <c r="Y2675" s="0" t="str">
        <f aca="false">INDEX('Reward Model'!$E$18:$E$37,MATCH($E2675,'Reward Model'!$A$18:$A$37,0))</f>
        <v>Medium</v>
      </c>
      <c r="Z2675" s="4" t="n">
        <f aca="false">ROUND(MIN(1,MAX('Reward Model'!$B$2,INDEX('Reward Model'!$C$12:$C$14,MATCH($K2675,'Reward Model'!$A$12:$A$14,0))/$J2675)),3)</f>
        <v>1</v>
      </c>
      <c r="AA2675" s="2" t="n">
        <f aca="false">IF($I2675="Correct",ROUND(INDEX('Reward Model'!$B$12:$B$14,MATCH($K2675,'Reward Model'!$A$12:$A$14,0))*Z2675,2),0)</f>
        <v>0</v>
      </c>
      <c r="AB2675" s="2" t="n">
        <f aca="false">IF($I2675="Correct",ROUND(INDEX('Reward Model'!$B$12:$B$14,MATCH($Y2675,'Reward Model'!$A$12:$A$14,0))*Z2675,2),0)</f>
        <v>0</v>
      </c>
    </row>
    <row r="2676" customFormat="false" ht="15" hidden="false" customHeight="false" outlineLevel="0" collapsed="false">
      <c r="A2676" s="0" t="s">
        <v>398</v>
      </c>
      <c r="B2676" s="0" t="s">
        <v>399</v>
      </c>
      <c r="C2676" s="0" t="s">
        <v>322</v>
      </c>
      <c r="D2676" s="0" t="s">
        <v>189</v>
      </c>
      <c r="E2676" s="0" t="n">
        <v>15</v>
      </c>
      <c r="F2676" s="0" t="s">
        <v>69</v>
      </c>
      <c r="G2676" s="0" t="s">
        <v>70</v>
      </c>
      <c r="H2676" s="0" t="s">
        <v>70</v>
      </c>
      <c r="I2676" s="0" t="s">
        <v>34</v>
      </c>
      <c r="J2676" s="0" t="n">
        <v>1.3</v>
      </c>
      <c r="K2676" s="0" t="s">
        <v>60</v>
      </c>
      <c r="L2676" s="0" t="n">
        <f aca="false">INDEX(Summary!$F$2:$F$201,MATCH($B2676,Summary!$A$2:$A$201,0))</f>
        <v>20</v>
      </c>
      <c r="M2676" s="0" t="n">
        <f aca="false">INDEX(Summary!$I$2:$I$201,MATCH($B2676,Summary!$A$2:$A$201,0))</f>
        <v>2</v>
      </c>
      <c r="N2676" s="0" t="n">
        <f aca="false">INDEX(Summary!$J$2:$J$201,MATCH($B2676,Summary!$A$2:$A$201,0))</f>
        <v>3</v>
      </c>
      <c r="O2676" s="2" t="n">
        <f aca="false">INDEX(Summary!$K$2:$K$201,MATCH($B2676,Summary!$A$2:$A$201,0))</f>
        <v>10.99</v>
      </c>
      <c r="P2676" s="3" t="n">
        <f aca="false">INDEX(Summary!$L$2:$L$201,MATCH($B2676,Summary!$A$2:$A$201,0))</f>
        <v>2</v>
      </c>
      <c r="Q2676" s="3" t="n">
        <f aca="false">INDEX(Summary!$M$2:$M$201,MATCH($B2676,Summary!$A$2:$A$201,0))</f>
        <v>4</v>
      </c>
      <c r="R2676" s="2" t="n">
        <f aca="false">INDEX(Summary!$N$2:$N$201,MATCH($B2676,Summary!$A$2:$A$201,0))</f>
        <v>8.9</v>
      </c>
      <c r="S2676" s="3" t="n">
        <f aca="false">INDEX(Summary!$O$2:$O$201,MATCH($B2676,Summary!$A$2:$A$201,0))</f>
        <v>7</v>
      </c>
      <c r="T2676" s="3" t="n">
        <f aca="false">INDEX(Summary!$P$2:$P$201,MATCH($B2676,Summary!$A$2:$A$201,0))</f>
        <v>2</v>
      </c>
      <c r="U2676" s="2" t="n">
        <f aca="false">INDEX(Summary!$Q$2:$Q$201,MATCH($B2676,Summary!$A$2:$A$201,0))</f>
        <v>13.66</v>
      </c>
      <c r="V2676" s="2" t="n">
        <f aca="false">INDEX(Summary!$R$2:$R$201,MATCH($B2676,Summary!$A$2:$A$201,0))</f>
        <v>18.87</v>
      </c>
      <c r="W2676" s="0" t="str">
        <f aca="false">INDEX(Summary!$S$2:$S$201,MATCH($B2676,Summary!$A$2:$A$201,0))</f>
        <v>Bronze</v>
      </c>
      <c r="X2676" s="2" t="n">
        <f aca="false">INDEX(Summary!$T$2:$T$201,MATCH($B2676,Summary!$A$2:$A$201,0))</f>
        <v>46.02</v>
      </c>
      <c r="Y2676" s="0" t="str">
        <f aca="false">INDEX('Reward Model'!$E$18:$E$37,MATCH($E2676,'Reward Model'!$A$18:$A$37,0))</f>
        <v>Medium</v>
      </c>
      <c r="Z2676" s="4" t="n">
        <f aca="false">ROUND(MIN(1,MAX('Reward Model'!$B$2,INDEX('Reward Model'!$C$12:$C$14,MATCH($K2676,'Reward Model'!$A$12:$A$14,0))/$J2676)),3)</f>
        <v>1</v>
      </c>
      <c r="AA2676" s="2" t="n">
        <f aca="false">IF($I2676="Correct",ROUND(INDEX('Reward Model'!$B$12:$B$14,MATCH($K2676,'Reward Model'!$A$12:$A$14,0))*Z2676,2),0)</f>
        <v>2</v>
      </c>
      <c r="AB2676" s="2" t="n">
        <f aca="false">IF($I2676="Correct",ROUND(INDEX('Reward Model'!$B$12:$B$14,MATCH($Y2676,'Reward Model'!$A$12:$A$14,0))*Z2676,2),0)</f>
        <v>2</v>
      </c>
    </row>
    <row r="2677" customFormat="false" ht="15" hidden="false" customHeight="false" outlineLevel="0" collapsed="false">
      <c r="A2677" s="0" t="s">
        <v>398</v>
      </c>
      <c r="B2677" s="0" t="s">
        <v>399</v>
      </c>
      <c r="C2677" s="0" t="s">
        <v>322</v>
      </c>
      <c r="D2677" s="0" t="s">
        <v>189</v>
      </c>
      <c r="E2677" s="0" t="n">
        <v>16</v>
      </c>
      <c r="F2677" s="0" t="s">
        <v>71</v>
      </c>
      <c r="G2677" s="0" t="s">
        <v>101</v>
      </c>
      <c r="H2677" s="0" t="s">
        <v>72</v>
      </c>
      <c r="I2677" s="0" t="s">
        <v>39</v>
      </c>
      <c r="J2677" s="0" t="n">
        <v>2.53</v>
      </c>
      <c r="K2677" s="0" t="s">
        <v>73</v>
      </c>
      <c r="L2677" s="0" t="n">
        <f aca="false">INDEX(Summary!$F$2:$F$201,MATCH($B2677,Summary!$A$2:$A$201,0))</f>
        <v>20</v>
      </c>
      <c r="M2677" s="0" t="n">
        <f aca="false">INDEX(Summary!$I$2:$I$201,MATCH($B2677,Summary!$A$2:$A$201,0))</f>
        <v>2</v>
      </c>
      <c r="N2677" s="0" t="n">
        <f aca="false">INDEX(Summary!$J$2:$J$201,MATCH($B2677,Summary!$A$2:$A$201,0))</f>
        <v>3</v>
      </c>
      <c r="O2677" s="2" t="n">
        <f aca="false">INDEX(Summary!$K$2:$K$201,MATCH($B2677,Summary!$A$2:$A$201,0))</f>
        <v>10.99</v>
      </c>
      <c r="P2677" s="3" t="n">
        <f aca="false">INDEX(Summary!$L$2:$L$201,MATCH($B2677,Summary!$A$2:$A$201,0))</f>
        <v>2</v>
      </c>
      <c r="Q2677" s="3" t="n">
        <f aca="false">INDEX(Summary!$M$2:$M$201,MATCH($B2677,Summary!$A$2:$A$201,0))</f>
        <v>4</v>
      </c>
      <c r="R2677" s="2" t="n">
        <f aca="false">INDEX(Summary!$N$2:$N$201,MATCH($B2677,Summary!$A$2:$A$201,0))</f>
        <v>8.9</v>
      </c>
      <c r="S2677" s="3" t="n">
        <f aca="false">INDEX(Summary!$O$2:$O$201,MATCH($B2677,Summary!$A$2:$A$201,0))</f>
        <v>7</v>
      </c>
      <c r="T2677" s="3" t="n">
        <f aca="false">INDEX(Summary!$P$2:$P$201,MATCH($B2677,Summary!$A$2:$A$201,0))</f>
        <v>2</v>
      </c>
      <c r="U2677" s="2" t="n">
        <f aca="false">INDEX(Summary!$Q$2:$Q$201,MATCH($B2677,Summary!$A$2:$A$201,0))</f>
        <v>13.66</v>
      </c>
      <c r="V2677" s="2" t="n">
        <f aca="false">INDEX(Summary!$R$2:$R$201,MATCH($B2677,Summary!$A$2:$A$201,0))</f>
        <v>18.87</v>
      </c>
      <c r="W2677" s="0" t="str">
        <f aca="false">INDEX(Summary!$S$2:$S$201,MATCH($B2677,Summary!$A$2:$A$201,0))</f>
        <v>Bronze</v>
      </c>
      <c r="X2677" s="2" t="n">
        <f aca="false">INDEX(Summary!$T$2:$T$201,MATCH($B2677,Summary!$A$2:$A$201,0))</f>
        <v>46.02</v>
      </c>
      <c r="Y2677" s="0" t="str">
        <f aca="false">INDEX('Reward Model'!$E$18:$E$37,MATCH($E2677,'Reward Model'!$A$18:$A$37,0))</f>
        <v>High</v>
      </c>
      <c r="Z2677" s="4" t="n">
        <f aca="false">ROUND(MIN(1,MAX('Reward Model'!$B$2,INDEX('Reward Model'!$C$12:$C$14,MATCH($K2677,'Reward Model'!$A$12:$A$14,0))/$J2677)),3)</f>
        <v>0.791</v>
      </c>
      <c r="AA2677" s="2" t="n">
        <f aca="false">IF($I2677="Correct",ROUND(INDEX('Reward Model'!$B$12:$B$14,MATCH($K2677,'Reward Model'!$A$12:$A$14,0))*Z2677,2),0)</f>
        <v>0</v>
      </c>
      <c r="AB2677" s="2" t="n">
        <f aca="false">IF($I2677="Correct",ROUND(INDEX('Reward Model'!$B$12:$B$14,MATCH($Y2677,'Reward Model'!$A$12:$A$14,0))*Z2677,2),0)</f>
        <v>0</v>
      </c>
    </row>
    <row r="2678" customFormat="false" ht="15" hidden="false" customHeight="false" outlineLevel="0" collapsed="false">
      <c r="A2678" s="0" t="s">
        <v>398</v>
      </c>
      <c r="B2678" s="0" t="s">
        <v>399</v>
      </c>
      <c r="C2678" s="0" t="s">
        <v>322</v>
      </c>
      <c r="D2678" s="0" t="s">
        <v>189</v>
      </c>
      <c r="E2678" s="0" t="n">
        <v>17</v>
      </c>
      <c r="F2678" s="0" t="s">
        <v>74</v>
      </c>
      <c r="G2678" s="0" t="s">
        <v>113</v>
      </c>
      <c r="H2678" s="0" t="s">
        <v>75</v>
      </c>
      <c r="I2678" s="0" t="s">
        <v>39</v>
      </c>
      <c r="J2678" s="0" t="n">
        <v>1.86</v>
      </c>
      <c r="K2678" s="0" t="s">
        <v>73</v>
      </c>
      <c r="L2678" s="0" t="n">
        <f aca="false">INDEX(Summary!$F$2:$F$201,MATCH($B2678,Summary!$A$2:$A$201,0))</f>
        <v>20</v>
      </c>
      <c r="M2678" s="0" t="n">
        <f aca="false">INDEX(Summary!$I$2:$I$201,MATCH($B2678,Summary!$A$2:$A$201,0))</f>
        <v>2</v>
      </c>
      <c r="N2678" s="0" t="n">
        <f aca="false">INDEX(Summary!$J$2:$J$201,MATCH($B2678,Summary!$A$2:$A$201,0))</f>
        <v>3</v>
      </c>
      <c r="O2678" s="2" t="n">
        <f aca="false">INDEX(Summary!$K$2:$K$201,MATCH($B2678,Summary!$A$2:$A$201,0))</f>
        <v>10.99</v>
      </c>
      <c r="P2678" s="3" t="n">
        <f aca="false">INDEX(Summary!$L$2:$L$201,MATCH($B2678,Summary!$A$2:$A$201,0))</f>
        <v>2</v>
      </c>
      <c r="Q2678" s="3" t="n">
        <f aca="false">INDEX(Summary!$M$2:$M$201,MATCH($B2678,Summary!$A$2:$A$201,0))</f>
        <v>4</v>
      </c>
      <c r="R2678" s="2" t="n">
        <f aca="false">INDEX(Summary!$N$2:$N$201,MATCH($B2678,Summary!$A$2:$A$201,0))</f>
        <v>8.9</v>
      </c>
      <c r="S2678" s="3" t="n">
        <f aca="false">INDEX(Summary!$O$2:$O$201,MATCH($B2678,Summary!$A$2:$A$201,0))</f>
        <v>7</v>
      </c>
      <c r="T2678" s="3" t="n">
        <f aca="false">INDEX(Summary!$P$2:$P$201,MATCH($B2678,Summary!$A$2:$A$201,0))</f>
        <v>2</v>
      </c>
      <c r="U2678" s="2" t="n">
        <f aca="false">INDEX(Summary!$Q$2:$Q$201,MATCH($B2678,Summary!$A$2:$A$201,0))</f>
        <v>13.66</v>
      </c>
      <c r="V2678" s="2" t="n">
        <f aca="false">INDEX(Summary!$R$2:$R$201,MATCH($B2678,Summary!$A$2:$A$201,0))</f>
        <v>18.87</v>
      </c>
      <c r="W2678" s="0" t="str">
        <f aca="false">INDEX(Summary!$S$2:$S$201,MATCH($B2678,Summary!$A$2:$A$201,0))</f>
        <v>Bronze</v>
      </c>
      <c r="X2678" s="2" t="n">
        <f aca="false">INDEX(Summary!$T$2:$T$201,MATCH($B2678,Summary!$A$2:$A$201,0))</f>
        <v>46.02</v>
      </c>
      <c r="Y2678" s="0" t="str">
        <f aca="false">INDEX('Reward Model'!$E$18:$E$37,MATCH($E2678,'Reward Model'!$A$18:$A$37,0))</f>
        <v>High</v>
      </c>
      <c r="Z2678" s="4" t="n">
        <f aca="false">ROUND(MIN(1,MAX('Reward Model'!$B$2,INDEX('Reward Model'!$C$12:$C$14,MATCH($K2678,'Reward Model'!$A$12:$A$14,0))/$J2678)),3)</f>
        <v>1</v>
      </c>
      <c r="AA2678" s="2" t="n">
        <f aca="false">IF($I2678="Correct",ROUND(INDEX('Reward Model'!$B$12:$B$14,MATCH($K2678,'Reward Model'!$A$12:$A$14,0))*Z2678,2),0)</f>
        <v>0</v>
      </c>
      <c r="AB2678" s="2" t="n">
        <f aca="false">IF($I2678="Correct",ROUND(INDEX('Reward Model'!$B$12:$B$14,MATCH($Y2678,'Reward Model'!$A$12:$A$14,0))*Z2678,2),0)</f>
        <v>0</v>
      </c>
    </row>
    <row r="2679" customFormat="false" ht="15" hidden="false" customHeight="false" outlineLevel="0" collapsed="false">
      <c r="A2679" s="0" t="s">
        <v>398</v>
      </c>
      <c r="B2679" s="0" t="s">
        <v>399</v>
      </c>
      <c r="C2679" s="0" t="s">
        <v>322</v>
      </c>
      <c r="D2679" s="0" t="s">
        <v>189</v>
      </c>
      <c r="E2679" s="0" t="n">
        <v>18</v>
      </c>
      <c r="F2679" s="0" t="s">
        <v>76</v>
      </c>
      <c r="G2679" s="0" t="s">
        <v>88</v>
      </c>
      <c r="H2679" s="0" t="s">
        <v>77</v>
      </c>
      <c r="I2679" s="0" t="s">
        <v>39</v>
      </c>
      <c r="J2679" s="0" t="n">
        <v>2.26</v>
      </c>
      <c r="K2679" s="0" t="s">
        <v>73</v>
      </c>
      <c r="L2679" s="0" t="n">
        <f aca="false">INDEX(Summary!$F$2:$F$201,MATCH($B2679,Summary!$A$2:$A$201,0))</f>
        <v>20</v>
      </c>
      <c r="M2679" s="0" t="n">
        <f aca="false">INDEX(Summary!$I$2:$I$201,MATCH($B2679,Summary!$A$2:$A$201,0))</f>
        <v>2</v>
      </c>
      <c r="N2679" s="0" t="n">
        <f aca="false">INDEX(Summary!$J$2:$J$201,MATCH($B2679,Summary!$A$2:$A$201,0))</f>
        <v>3</v>
      </c>
      <c r="O2679" s="2" t="n">
        <f aca="false">INDEX(Summary!$K$2:$K$201,MATCH($B2679,Summary!$A$2:$A$201,0))</f>
        <v>10.99</v>
      </c>
      <c r="P2679" s="3" t="n">
        <f aca="false">INDEX(Summary!$L$2:$L$201,MATCH($B2679,Summary!$A$2:$A$201,0))</f>
        <v>2</v>
      </c>
      <c r="Q2679" s="3" t="n">
        <f aca="false">INDEX(Summary!$M$2:$M$201,MATCH($B2679,Summary!$A$2:$A$201,0))</f>
        <v>4</v>
      </c>
      <c r="R2679" s="2" t="n">
        <f aca="false">INDEX(Summary!$N$2:$N$201,MATCH($B2679,Summary!$A$2:$A$201,0))</f>
        <v>8.9</v>
      </c>
      <c r="S2679" s="3" t="n">
        <f aca="false">INDEX(Summary!$O$2:$O$201,MATCH($B2679,Summary!$A$2:$A$201,0))</f>
        <v>7</v>
      </c>
      <c r="T2679" s="3" t="n">
        <f aca="false">INDEX(Summary!$P$2:$P$201,MATCH($B2679,Summary!$A$2:$A$201,0))</f>
        <v>2</v>
      </c>
      <c r="U2679" s="2" t="n">
        <f aca="false">INDEX(Summary!$Q$2:$Q$201,MATCH($B2679,Summary!$A$2:$A$201,0))</f>
        <v>13.66</v>
      </c>
      <c r="V2679" s="2" t="n">
        <f aca="false">INDEX(Summary!$R$2:$R$201,MATCH($B2679,Summary!$A$2:$A$201,0))</f>
        <v>18.87</v>
      </c>
      <c r="W2679" s="0" t="str">
        <f aca="false">INDEX(Summary!$S$2:$S$201,MATCH($B2679,Summary!$A$2:$A$201,0))</f>
        <v>Bronze</v>
      </c>
      <c r="X2679" s="2" t="n">
        <f aca="false">INDEX(Summary!$T$2:$T$201,MATCH($B2679,Summary!$A$2:$A$201,0))</f>
        <v>46.02</v>
      </c>
      <c r="Y2679" s="0" t="str">
        <f aca="false">INDEX('Reward Model'!$E$18:$E$37,MATCH($E2679,'Reward Model'!$A$18:$A$37,0))</f>
        <v>High</v>
      </c>
      <c r="Z2679" s="4" t="n">
        <f aca="false">ROUND(MIN(1,MAX('Reward Model'!$B$2,INDEX('Reward Model'!$C$12:$C$14,MATCH($K2679,'Reward Model'!$A$12:$A$14,0))/$J2679)),3)</f>
        <v>0.885</v>
      </c>
      <c r="AA2679" s="2" t="n">
        <f aca="false">IF($I2679="Correct",ROUND(INDEX('Reward Model'!$B$12:$B$14,MATCH($K2679,'Reward Model'!$A$12:$A$14,0))*Z2679,2),0)</f>
        <v>0</v>
      </c>
      <c r="AB2679" s="2" t="n">
        <f aca="false">IF($I2679="Correct",ROUND(INDEX('Reward Model'!$B$12:$B$14,MATCH($Y2679,'Reward Model'!$A$12:$A$14,0))*Z2679,2),0)</f>
        <v>0</v>
      </c>
    </row>
    <row r="2680" customFormat="false" ht="15" hidden="false" customHeight="false" outlineLevel="0" collapsed="false">
      <c r="A2680" s="0" t="s">
        <v>398</v>
      </c>
      <c r="B2680" s="0" t="s">
        <v>399</v>
      </c>
      <c r="C2680" s="0" t="s">
        <v>322</v>
      </c>
      <c r="D2680" s="0" t="s">
        <v>189</v>
      </c>
      <c r="E2680" s="0" t="n">
        <v>19</v>
      </c>
      <c r="F2680" s="0" t="s">
        <v>78</v>
      </c>
      <c r="G2680" s="0" t="s">
        <v>80</v>
      </c>
      <c r="H2680" s="0" t="s">
        <v>80</v>
      </c>
      <c r="I2680" s="0" t="s">
        <v>34</v>
      </c>
      <c r="J2680" s="0" t="n">
        <v>2.18</v>
      </c>
      <c r="K2680" s="0" t="s">
        <v>73</v>
      </c>
      <c r="L2680" s="0" t="n">
        <f aca="false">INDEX(Summary!$F$2:$F$201,MATCH($B2680,Summary!$A$2:$A$201,0))</f>
        <v>20</v>
      </c>
      <c r="M2680" s="0" t="n">
        <f aca="false">INDEX(Summary!$I$2:$I$201,MATCH($B2680,Summary!$A$2:$A$201,0))</f>
        <v>2</v>
      </c>
      <c r="N2680" s="0" t="n">
        <f aca="false">INDEX(Summary!$J$2:$J$201,MATCH($B2680,Summary!$A$2:$A$201,0))</f>
        <v>3</v>
      </c>
      <c r="O2680" s="2" t="n">
        <f aca="false">INDEX(Summary!$K$2:$K$201,MATCH($B2680,Summary!$A$2:$A$201,0))</f>
        <v>10.99</v>
      </c>
      <c r="P2680" s="3" t="n">
        <f aca="false">INDEX(Summary!$L$2:$L$201,MATCH($B2680,Summary!$A$2:$A$201,0))</f>
        <v>2</v>
      </c>
      <c r="Q2680" s="3" t="n">
        <f aca="false">INDEX(Summary!$M$2:$M$201,MATCH($B2680,Summary!$A$2:$A$201,0))</f>
        <v>4</v>
      </c>
      <c r="R2680" s="2" t="n">
        <f aca="false">INDEX(Summary!$N$2:$N$201,MATCH($B2680,Summary!$A$2:$A$201,0))</f>
        <v>8.9</v>
      </c>
      <c r="S2680" s="3" t="n">
        <f aca="false">INDEX(Summary!$O$2:$O$201,MATCH($B2680,Summary!$A$2:$A$201,0))</f>
        <v>7</v>
      </c>
      <c r="T2680" s="3" t="n">
        <f aca="false">INDEX(Summary!$P$2:$P$201,MATCH($B2680,Summary!$A$2:$A$201,0))</f>
        <v>2</v>
      </c>
      <c r="U2680" s="2" t="n">
        <f aca="false">INDEX(Summary!$Q$2:$Q$201,MATCH($B2680,Summary!$A$2:$A$201,0))</f>
        <v>13.66</v>
      </c>
      <c r="V2680" s="2" t="n">
        <f aca="false">INDEX(Summary!$R$2:$R$201,MATCH($B2680,Summary!$A$2:$A$201,0))</f>
        <v>18.87</v>
      </c>
      <c r="W2680" s="0" t="str">
        <f aca="false">INDEX(Summary!$S$2:$S$201,MATCH($B2680,Summary!$A$2:$A$201,0))</f>
        <v>Bronze</v>
      </c>
      <c r="X2680" s="2" t="n">
        <f aca="false">INDEX(Summary!$T$2:$T$201,MATCH($B2680,Summary!$A$2:$A$201,0))</f>
        <v>46.02</v>
      </c>
      <c r="Y2680" s="0" t="str">
        <f aca="false">INDEX('Reward Model'!$E$18:$E$37,MATCH($E2680,'Reward Model'!$A$18:$A$37,0))</f>
        <v>High</v>
      </c>
      <c r="Z2680" s="4" t="n">
        <f aca="false">ROUND(MIN(1,MAX('Reward Model'!$B$2,INDEX('Reward Model'!$C$12:$C$14,MATCH($K2680,'Reward Model'!$A$12:$A$14,0))/$J2680)),3)</f>
        <v>0.917</v>
      </c>
      <c r="AA2680" s="2" t="n">
        <f aca="false">IF($I2680="Correct",ROUND(INDEX('Reward Model'!$B$12:$B$14,MATCH($K2680,'Reward Model'!$A$12:$A$14,0))*Z2680,2),0)</f>
        <v>2.75</v>
      </c>
      <c r="AB2680" s="2" t="n">
        <f aca="false">IF($I2680="Correct",ROUND(INDEX('Reward Model'!$B$12:$B$14,MATCH($Y2680,'Reward Model'!$A$12:$A$14,0))*Z2680,2),0)</f>
        <v>2.75</v>
      </c>
    </row>
    <row r="2681" customFormat="false" ht="15" hidden="false" customHeight="false" outlineLevel="0" collapsed="false">
      <c r="A2681" s="0" t="s">
        <v>398</v>
      </c>
      <c r="B2681" s="0" t="s">
        <v>399</v>
      </c>
      <c r="C2681" s="0" t="s">
        <v>322</v>
      </c>
      <c r="D2681" s="0" t="s">
        <v>189</v>
      </c>
      <c r="E2681" s="0" t="n">
        <v>20</v>
      </c>
      <c r="F2681" s="0" t="s">
        <v>81</v>
      </c>
      <c r="G2681" s="0" t="s">
        <v>83</v>
      </c>
      <c r="H2681" s="0" t="s">
        <v>83</v>
      </c>
      <c r="I2681" s="0" t="s">
        <v>34</v>
      </c>
      <c r="J2681" s="0" t="n">
        <v>2.16</v>
      </c>
      <c r="K2681" s="0" t="s">
        <v>73</v>
      </c>
      <c r="L2681" s="0" t="n">
        <f aca="false">INDEX(Summary!$F$2:$F$201,MATCH($B2681,Summary!$A$2:$A$201,0))</f>
        <v>20</v>
      </c>
      <c r="M2681" s="0" t="n">
        <f aca="false">INDEX(Summary!$I$2:$I$201,MATCH($B2681,Summary!$A$2:$A$201,0))</f>
        <v>2</v>
      </c>
      <c r="N2681" s="0" t="n">
        <f aca="false">INDEX(Summary!$J$2:$J$201,MATCH($B2681,Summary!$A$2:$A$201,0))</f>
        <v>3</v>
      </c>
      <c r="O2681" s="2" t="n">
        <f aca="false">INDEX(Summary!$K$2:$K$201,MATCH($B2681,Summary!$A$2:$A$201,0))</f>
        <v>10.99</v>
      </c>
      <c r="P2681" s="3" t="n">
        <f aca="false">INDEX(Summary!$L$2:$L$201,MATCH($B2681,Summary!$A$2:$A$201,0))</f>
        <v>2</v>
      </c>
      <c r="Q2681" s="3" t="n">
        <f aca="false">INDEX(Summary!$M$2:$M$201,MATCH($B2681,Summary!$A$2:$A$201,0))</f>
        <v>4</v>
      </c>
      <c r="R2681" s="2" t="n">
        <f aca="false">INDEX(Summary!$N$2:$N$201,MATCH($B2681,Summary!$A$2:$A$201,0))</f>
        <v>8.9</v>
      </c>
      <c r="S2681" s="3" t="n">
        <f aca="false">INDEX(Summary!$O$2:$O$201,MATCH($B2681,Summary!$A$2:$A$201,0))</f>
        <v>7</v>
      </c>
      <c r="T2681" s="3" t="n">
        <f aca="false">INDEX(Summary!$P$2:$P$201,MATCH($B2681,Summary!$A$2:$A$201,0))</f>
        <v>2</v>
      </c>
      <c r="U2681" s="2" t="n">
        <f aca="false">INDEX(Summary!$Q$2:$Q$201,MATCH($B2681,Summary!$A$2:$A$201,0))</f>
        <v>13.66</v>
      </c>
      <c r="V2681" s="2" t="n">
        <f aca="false">INDEX(Summary!$R$2:$R$201,MATCH($B2681,Summary!$A$2:$A$201,0))</f>
        <v>18.87</v>
      </c>
      <c r="W2681" s="0" t="str">
        <f aca="false">INDEX(Summary!$S$2:$S$201,MATCH($B2681,Summary!$A$2:$A$201,0))</f>
        <v>Bronze</v>
      </c>
      <c r="X2681" s="2" t="n">
        <f aca="false">INDEX(Summary!$T$2:$T$201,MATCH($B2681,Summary!$A$2:$A$201,0))</f>
        <v>46.02</v>
      </c>
      <c r="Y2681" s="0" t="str">
        <f aca="false">INDEX('Reward Model'!$E$18:$E$37,MATCH($E2681,'Reward Model'!$A$18:$A$37,0))</f>
        <v>High</v>
      </c>
      <c r="Z2681" s="4" t="n">
        <f aca="false">ROUND(MIN(1,MAX('Reward Model'!$B$2,INDEX('Reward Model'!$C$12:$C$14,MATCH($K2681,'Reward Model'!$A$12:$A$14,0))/$J2681)),3)</f>
        <v>0.926</v>
      </c>
      <c r="AA2681" s="2" t="n">
        <f aca="false">IF($I2681="Correct",ROUND(INDEX('Reward Model'!$B$12:$B$14,MATCH($K2681,'Reward Model'!$A$12:$A$14,0))*Z2681,2),0)</f>
        <v>2.78</v>
      </c>
      <c r="AB2681" s="2" t="n">
        <f aca="false">IF($I2681="Correct",ROUND(INDEX('Reward Model'!$B$12:$B$14,MATCH($Y2681,'Reward Model'!$A$12:$A$14,0))*Z2681,2),0)</f>
        <v>2.78</v>
      </c>
    </row>
    <row r="2682" customFormat="false" ht="15" hidden="false" customHeight="false" outlineLevel="0" collapsed="false">
      <c r="A2682" s="0" t="s">
        <v>400</v>
      </c>
      <c r="B2682" s="0" t="s">
        <v>401</v>
      </c>
      <c r="C2682" s="0" t="s">
        <v>322</v>
      </c>
      <c r="D2682" s="0" t="s">
        <v>189</v>
      </c>
      <c r="E2682" s="0" t="n">
        <v>1</v>
      </c>
      <c r="F2682" s="0" t="s">
        <v>32</v>
      </c>
      <c r="G2682" s="0" t="s">
        <v>122</v>
      </c>
      <c r="H2682" s="0" t="s">
        <v>33</v>
      </c>
      <c r="I2682" s="0" t="s">
        <v>39</v>
      </c>
      <c r="J2682" s="0" t="n">
        <v>1.21</v>
      </c>
      <c r="K2682" s="0" t="s">
        <v>35</v>
      </c>
      <c r="L2682" s="0" t="n">
        <f aca="false">INDEX(Summary!$F$2:$F$201,MATCH($B2682,Summary!$A$2:$A$201,0))</f>
        <v>20</v>
      </c>
      <c r="M2682" s="0" t="n">
        <f aca="false">INDEX(Summary!$I$2:$I$201,MATCH($B2682,Summary!$A$2:$A$201,0))</f>
        <v>1</v>
      </c>
      <c r="N2682" s="0" t="n">
        <f aca="false">INDEX(Summary!$J$2:$J$201,MATCH($B2682,Summary!$A$2:$A$201,0))</f>
        <v>4</v>
      </c>
      <c r="O2682" s="2" t="n">
        <f aca="false">INDEX(Summary!$K$2:$K$201,MATCH($B2682,Summary!$A$2:$A$201,0))</f>
        <v>8.83</v>
      </c>
      <c r="P2682" s="3" t="n">
        <f aca="false">INDEX(Summary!$L$2:$L$201,MATCH($B2682,Summary!$A$2:$A$201,0))</f>
        <v>5</v>
      </c>
      <c r="Q2682" s="3" t="n">
        <f aca="false">INDEX(Summary!$M$2:$M$201,MATCH($B2682,Summary!$A$2:$A$201,0))</f>
        <v>1</v>
      </c>
      <c r="R2682" s="2" t="n">
        <f aca="false">INDEX(Summary!$N$2:$N$201,MATCH($B2682,Summary!$A$2:$A$201,0))</f>
        <v>10.02</v>
      </c>
      <c r="S2682" s="3" t="n">
        <f aca="false">INDEX(Summary!$O$2:$O$201,MATCH($B2682,Summary!$A$2:$A$201,0))</f>
        <v>8</v>
      </c>
      <c r="T2682" s="3" t="n">
        <f aca="false">INDEX(Summary!$P$2:$P$201,MATCH($B2682,Summary!$A$2:$A$201,0))</f>
        <v>1</v>
      </c>
      <c r="U2682" s="2" t="n">
        <f aca="false">INDEX(Summary!$Q$2:$Q$201,MATCH($B2682,Summary!$A$2:$A$201,0))</f>
        <v>12.86</v>
      </c>
      <c r="V2682" s="2" t="n">
        <f aca="false">INDEX(Summary!$R$2:$R$201,MATCH($B2682,Summary!$A$2:$A$201,0))</f>
        <v>23.78</v>
      </c>
      <c r="W2682" s="0" t="str">
        <f aca="false">INDEX(Summary!$S$2:$S$201,MATCH($B2682,Summary!$A$2:$A$201,0))</f>
        <v>Silver</v>
      </c>
      <c r="X2682" s="2" t="n">
        <f aca="false">INDEX(Summary!$T$2:$T$201,MATCH($B2682,Summary!$A$2:$A$201,0))</f>
        <v>58</v>
      </c>
      <c r="Y2682" s="0" t="str">
        <f aca="false">INDEX('Reward Model'!$E$18:$E$37,MATCH($E2682,'Reward Model'!$A$18:$A$37,0))</f>
        <v>Medium</v>
      </c>
      <c r="Z2682" s="4" t="n">
        <f aca="false">ROUND(MIN(1,MAX('Reward Model'!$B$2,INDEX('Reward Model'!$C$12:$C$14,MATCH($K2682,'Reward Model'!$A$12:$A$14,0))/$J2682)),3)</f>
        <v>1</v>
      </c>
      <c r="AA2682" s="2" t="n">
        <f aca="false">IF($I2682="Correct",ROUND(INDEX('Reward Model'!$B$12:$B$14,MATCH($K2682,'Reward Model'!$A$12:$A$14,0))*Z2682,2),0)</f>
        <v>0</v>
      </c>
      <c r="AB2682" s="2" t="n">
        <f aca="false">IF($I2682="Correct",ROUND(INDEX('Reward Model'!$B$12:$B$14,MATCH($Y2682,'Reward Model'!$A$12:$A$14,0))*Z2682,2),0)</f>
        <v>0</v>
      </c>
    </row>
    <row r="2683" customFormat="false" ht="15" hidden="false" customHeight="false" outlineLevel="0" collapsed="false">
      <c r="A2683" s="0" t="s">
        <v>400</v>
      </c>
      <c r="B2683" s="0" t="s">
        <v>401</v>
      </c>
      <c r="C2683" s="0" t="s">
        <v>322</v>
      </c>
      <c r="D2683" s="0" t="s">
        <v>189</v>
      </c>
      <c r="E2683" s="0" t="n">
        <v>2</v>
      </c>
      <c r="F2683" s="0" t="s">
        <v>36</v>
      </c>
      <c r="G2683" s="0" t="s">
        <v>38</v>
      </c>
      <c r="H2683" s="0" t="s">
        <v>38</v>
      </c>
      <c r="I2683" s="0" t="s">
        <v>34</v>
      </c>
      <c r="J2683" s="0" t="n">
        <v>1.71</v>
      </c>
      <c r="K2683" s="0" t="s">
        <v>35</v>
      </c>
      <c r="L2683" s="0" t="n">
        <f aca="false">INDEX(Summary!$F$2:$F$201,MATCH($B2683,Summary!$A$2:$A$201,0))</f>
        <v>20</v>
      </c>
      <c r="M2683" s="0" t="n">
        <f aca="false">INDEX(Summary!$I$2:$I$201,MATCH($B2683,Summary!$A$2:$A$201,0))</f>
        <v>1</v>
      </c>
      <c r="N2683" s="0" t="n">
        <f aca="false">INDEX(Summary!$J$2:$J$201,MATCH($B2683,Summary!$A$2:$A$201,0))</f>
        <v>4</v>
      </c>
      <c r="O2683" s="2" t="n">
        <f aca="false">INDEX(Summary!$K$2:$K$201,MATCH($B2683,Summary!$A$2:$A$201,0))</f>
        <v>8.83</v>
      </c>
      <c r="P2683" s="3" t="n">
        <f aca="false">INDEX(Summary!$L$2:$L$201,MATCH($B2683,Summary!$A$2:$A$201,0))</f>
        <v>5</v>
      </c>
      <c r="Q2683" s="3" t="n">
        <f aca="false">INDEX(Summary!$M$2:$M$201,MATCH($B2683,Summary!$A$2:$A$201,0))</f>
        <v>1</v>
      </c>
      <c r="R2683" s="2" t="n">
        <f aca="false">INDEX(Summary!$N$2:$N$201,MATCH($B2683,Summary!$A$2:$A$201,0))</f>
        <v>10.02</v>
      </c>
      <c r="S2683" s="3" t="n">
        <f aca="false">INDEX(Summary!$O$2:$O$201,MATCH($B2683,Summary!$A$2:$A$201,0))</f>
        <v>8</v>
      </c>
      <c r="T2683" s="3" t="n">
        <f aca="false">INDEX(Summary!$P$2:$P$201,MATCH($B2683,Summary!$A$2:$A$201,0))</f>
        <v>1</v>
      </c>
      <c r="U2683" s="2" t="n">
        <f aca="false">INDEX(Summary!$Q$2:$Q$201,MATCH($B2683,Summary!$A$2:$A$201,0))</f>
        <v>12.86</v>
      </c>
      <c r="V2683" s="2" t="n">
        <f aca="false">INDEX(Summary!$R$2:$R$201,MATCH($B2683,Summary!$A$2:$A$201,0))</f>
        <v>23.78</v>
      </c>
      <c r="W2683" s="0" t="str">
        <f aca="false">INDEX(Summary!$S$2:$S$201,MATCH($B2683,Summary!$A$2:$A$201,0))</f>
        <v>Silver</v>
      </c>
      <c r="X2683" s="2" t="n">
        <f aca="false">INDEX(Summary!$T$2:$T$201,MATCH($B2683,Summary!$A$2:$A$201,0))</f>
        <v>58</v>
      </c>
      <c r="Y2683" s="0" t="str">
        <f aca="false">INDEX('Reward Model'!$E$18:$E$37,MATCH($E2683,'Reward Model'!$A$18:$A$37,0))</f>
        <v>Low</v>
      </c>
      <c r="Z2683" s="4" t="n">
        <f aca="false">ROUND(MIN(1,MAX('Reward Model'!$B$2,INDEX('Reward Model'!$C$12:$C$14,MATCH($K2683,'Reward Model'!$A$12:$A$14,0))/$J2683)),3)</f>
        <v>0.877</v>
      </c>
      <c r="AA2683" s="2" t="n">
        <f aca="false">IF($I2683="Correct",ROUND(INDEX('Reward Model'!$B$12:$B$14,MATCH($K2683,'Reward Model'!$A$12:$A$14,0))*Z2683,2),0)</f>
        <v>0.88</v>
      </c>
      <c r="AB2683" s="2" t="n">
        <f aca="false">IF($I2683="Correct",ROUND(INDEX('Reward Model'!$B$12:$B$14,MATCH($Y2683,'Reward Model'!$A$12:$A$14,0))*Z2683,2),0)</f>
        <v>0.88</v>
      </c>
    </row>
    <row r="2684" customFormat="false" ht="15" hidden="false" customHeight="false" outlineLevel="0" collapsed="false">
      <c r="A2684" s="0" t="s">
        <v>400</v>
      </c>
      <c r="B2684" s="0" t="s">
        <v>401</v>
      </c>
      <c r="C2684" s="0" t="s">
        <v>322</v>
      </c>
      <c r="D2684" s="0" t="s">
        <v>189</v>
      </c>
      <c r="E2684" s="0" t="n">
        <v>3</v>
      </c>
      <c r="F2684" s="0" t="s">
        <v>40</v>
      </c>
      <c r="G2684" s="0" t="s">
        <v>42</v>
      </c>
      <c r="H2684" s="0" t="s">
        <v>42</v>
      </c>
      <c r="I2684" s="0" t="s">
        <v>34</v>
      </c>
      <c r="J2684" s="0" t="n">
        <v>0.96</v>
      </c>
      <c r="K2684" s="0" t="s">
        <v>35</v>
      </c>
      <c r="L2684" s="0" t="n">
        <f aca="false">INDEX(Summary!$F$2:$F$201,MATCH($B2684,Summary!$A$2:$A$201,0))</f>
        <v>20</v>
      </c>
      <c r="M2684" s="0" t="n">
        <f aca="false">INDEX(Summary!$I$2:$I$201,MATCH($B2684,Summary!$A$2:$A$201,0))</f>
        <v>1</v>
      </c>
      <c r="N2684" s="0" t="n">
        <f aca="false">INDEX(Summary!$J$2:$J$201,MATCH($B2684,Summary!$A$2:$A$201,0))</f>
        <v>4</v>
      </c>
      <c r="O2684" s="2" t="n">
        <f aca="false">INDEX(Summary!$K$2:$K$201,MATCH($B2684,Summary!$A$2:$A$201,0))</f>
        <v>8.83</v>
      </c>
      <c r="P2684" s="3" t="n">
        <f aca="false">INDEX(Summary!$L$2:$L$201,MATCH($B2684,Summary!$A$2:$A$201,0))</f>
        <v>5</v>
      </c>
      <c r="Q2684" s="3" t="n">
        <f aca="false">INDEX(Summary!$M$2:$M$201,MATCH($B2684,Summary!$A$2:$A$201,0))</f>
        <v>1</v>
      </c>
      <c r="R2684" s="2" t="n">
        <f aca="false">INDEX(Summary!$N$2:$N$201,MATCH($B2684,Summary!$A$2:$A$201,0))</f>
        <v>10.02</v>
      </c>
      <c r="S2684" s="3" t="n">
        <f aca="false">INDEX(Summary!$O$2:$O$201,MATCH($B2684,Summary!$A$2:$A$201,0))</f>
        <v>8</v>
      </c>
      <c r="T2684" s="3" t="n">
        <f aca="false">INDEX(Summary!$P$2:$P$201,MATCH($B2684,Summary!$A$2:$A$201,0))</f>
        <v>1</v>
      </c>
      <c r="U2684" s="2" t="n">
        <f aca="false">INDEX(Summary!$Q$2:$Q$201,MATCH($B2684,Summary!$A$2:$A$201,0))</f>
        <v>12.86</v>
      </c>
      <c r="V2684" s="2" t="n">
        <f aca="false">INDEX(Summary!$R$2:$R$201,MATCH($B2684,Summary!$A$2:$A$201,0))</f>
        <v>23.78</v>
      </c>
      <c r="W2684" s="0" t="str">
        <f aca="false">INDEX(Summary!$S$2:$S$201,MATCH($B2684,Summary!$A$2:$A$201,0))</f>
        <v>Silver</v>
      </c>
      <c r="X2684" s="2" t="n">
        <f aca="false">INDEX(Summary!$T$2:$T$201,MATCH($B2684,Summary!$A$2:$A$201,0))</f>
        <v>58</v>
      </c>
      <c r="Y2684" s="0" t="str">
        <f aca="false">INDEX('Reward Model'!$E$18:$E$37,MATCH($E2684,'Reward Model'!$A$18:$A$37,0))</f>
        <v>Medium</v>
      </c>
      <c r="Z2684" s="4" t="n">
        <f aca="false">ROUND(MIN(1,MAX('Reward Model'!$B$2,INDEX('Reward Model'!$C$12:$C$14,MATCH($K2684,'Reward Model'!$A$12:$A$14,0))/$J2684)),3)</f>
        <v>1</v>
      </c>
      <c r="AA2684" s="2" t="n">
        <f aca="false">IF($I2684="Correct",ROUND(INDEX('Reward Model'!$B$12:$B$14,MATCH($K2684,'Reward Model'!$A$12:$A$14,0))*Z2684,2),0)</f>
        <v>1</v>
      </c>
      <c r="AB2684" s="2" t="n">
        <f aca="false">IF($I2684="Correct",ROUND(INDEX('Reward Model'!$B$12:$B$14,MATCH($Y2684,'Reward Model'!$A$12:$A$14,0))*Z2684,2),0)</f>
        <v>2</v>
      </c>
    </row>
    <row r="2685" customFormat="false" ht="15" hidden="false" customHeight="false" outlineLevel="0" collapsed="false">
      <c r="A2685" s="0" t="s">
        <v>400</v>
      </c>
      <c r="B2685" s="0" t="s">
        <v>401</v>
      </c>
      <c r="C2685" s="0" t="s">
        <v>322</v>
      </c>
      <c r="D2685" s="0" t="s">
        <v>189</v>
      </c>
      <c r="E2685" s="0" t="n">
        <v>4</v>
      </c>
      <c r="F2685" s="0" t="s">
        <v>43</v>
      </c>
      <c r="G2685" s="0" t="s">
        <v>45</v>
      </c>
      <c r="H2685" s="0" t="s">
        <v>45</v>
      </c>
      <c r="I2685" s="0" t="s">
        <v>34</v>
      </c>
      <c r="J2685" s="0" t="n">
        <v>1.84</v>
      </c>
      <c r="K2685" s="0" t="s">
        <v>35</v>
      </c>
      <c r="L2685" s="0" t="n">
        <f aca="false">INDEX(Summary!$F$2:$F$201,MATCH($B2685,Summary!$A$2:$A$201,0))</f>
        <v>20</v>
      </c>
      <c r="M2685" s="0" t="n">
        <f aca="false">INDEX(Summary!$I$2:$I$201,MATCH($B2685,Summary!$A$2:$A$201,0))</f>
        <v>1</v>
      </c>
      <c r="N2685" s="0" t="n">
        <f aca="false">INDEX(Summary!$J$2:$J$201,MATCH($B2685,Summary!$A$2:$A$201,0))</f>
        <v>4</v>
      </c>
      <c r="O2685" s="2" t="n">
        <f aca="false">INDEX(Summary!$K$2:$K$201,MATCH($B2685,Summary!$A$2:$A$201,0))</f>
        <v>8.83</v>
      </c>
      <c r="P2685" s="3" t="n">
        <f aca="false">INDEX(Summary!$L$2:$L$201,MATCH($B2685,Summary!$A$2:$A$201,0))</f>
        <v>5</v>
      </c>
      <c r="Q2685" s="3" t="n">
        <f aca="false">INDEX(Summary!$M$2:$M$201,MATCH($B2685,Summary!$A$2:$A$201,0))</f>
        <v>1</v>
      </c>
      <c r="R2685" s="2" t="n">
        <f aca="false">INDEX(Summary!$N$2:$N$201,MATCH($B2685,Summary!$A$2:$A$201,0))</f>
        <v>10.02</v>
      </c>
      <c r="S2685" s="3" t="n">
        <f aca="false">INDEX(Summary!$O$2:$O$201,MATCH($B2685,Summary!$A$2:$A$201,0))</f>
        <v>8</v>
      </c>
      <c r="T2685" s="3" t="n">
        <f aca="false">INDEX(Summary!$P$2:$P$201,MATCH($B2685,Summary!$A$2:$A$201,0))</f>
        <v>1</v>
      </c>
      <c r="U2685" s="2" t="n">
        <f aca="false">INDEX(Summary!$Q$2:$Q$201,MATCH($B2685,Summary!$A$2:$A$201,0))</f>
        <v>12.86</v>
      </c>
      <c r="V2685" s="2" t="n">
        <f aca="false">INDEX(Summary!$R$2:$R$201,MATCH($B2685,Summary!$A$2:$A$201,0))</f>
        <v>23.78</v>
      </c>
      <c r="W2685" s="0" t="str">
        <f aca="false">INDEX(Summary!$S$2:$S$201,MATCH($B2685,Summary!$A$2:$A$201,0))</f>
        <v>Silver</v>
      </c>
      <c r="X2685" s="2" t="n">
        <f aca="false">INDEX(Summary!$T$2:$T$201,MATCH($B2685,Summary!$A$2:$A$201,0))</f>
        <v>58</v>
      </c>
      <c r="Y2685" s="0" t="str">
        <f aca="false">INDEX('Reward Model'!$E$18:$E$37,MATCH($E2685,'Reward Model'!$A$18:$A$37,0))</f>
        <v>Low</v>
      </c>
      <c r="Z2685" s="4" t="n">
        <f aca="false">ROUND(MIN(1,MAX('Reward Model'!$B$2,INDEX('Reward Model'!$C$12:$C$14,MATCH($K2685,'Reward Model'!$A$12:$A$14,0))/$J2685)),3)</f>
        <v>0.815</v>
      </c>
      <c r="AA2685" s="2" t="n">
        <f aca="false">IF($I2685="Correct",ROUND(INDEX('Reward Model'!$B$12:$B$14,MATCH($K2685,'Reward Model'!$A$12:$A$14,0))*Z2685,2),0)</f>
        <v>0.82</v>
      </c>
      <c r="AB2685" s="2" t="n">
        <f aca="false">IF($I2685="Correct",ROUND(INDEX('Reward Model'!$B$12:$B$14,MATCH($Y2685,'Reward Model'!$A$12:$A$14,0))*Z2685,2),0)</f>
        <v>0.82</v>
      </c>
    </row>
    <row r="2686" customFormat="false" ht="15" hidden="false" customHeight="false" outlineLevel="0" collapsed="false">
      <c r="A2686" s="0" t="s">
        <v>400</v>
      </c>
      <c r="B2686" s="0" t="s">
        <v>401</v>
      </c>
      <c r="C2686" s="0" t="s">
        <v>322</v>
      </c>
      <c r="D2686" s="0" t="s">
        <v>189</v>
      </c>
      <c r="E2686" s="0" t="n">
        <v>5</v>
      </c>
      <c r="F2686" s="0" t="s">
        <v>46</v>
      </c>
      <c r="G2686" s="0" t="s">
        <v>47</v>
      </c>
      <c r="H2686" s="0" t="s">
        <v>47</v>
      </c>
      <c r="I2686" s="0" t="s">
        <v>34</v>
      </c>
      <c r="J2686" s="0" t="n">
        <v>1.55</v>
      </c>
      <c r="K2686" s="0" t="s">
        <v>35</v>
      </c>
      <c r="L2686" s="0" t="n">
        <f aca="false">INDEX(Summary!$F$2:$F$201,MATCH($B2686,Summary!$A$2:$A$201,0))</f>
        <v>20</v>
      </c>
      <c r="M2686" s="0" t="n">
        <f aca="false">INDEX(Summary!$I$2:$I$201,MATCH($B2686,Summary!$A$2:$A$201,0))</f>
        <v>1</v>
      </c>
      <c r="N2686" s="0" t="n">
        <f aca="false">INDEX(Summary!$J$2:$J$201,MATCH($B2686,Summary!$A$2:$A$201,0))</f>
        <v>4</v>
      </c>
      <c r="O2686" s="2" t="n">
        <f aca="false">INDEX(Summary!$K$2:$K$201,MATCH($B2686,Summary!$A$2:$A$201,0))</f>
        <v>8.83</v>
      </c>
      <c r="P2686" s="3" t="n">
        <f aca="false">INDEX(Summary!$L$2:$L$201,MATCH($B2686,Summary!$A$2:$A$201,0))</f>
        <v>5</v>
      </c>
      <c r="Q2686" s="3" t="n">
        <f aca="false">INDEX(Summary!$M$2:$M$201,MATCH($B2686,Summary!$A$2:$A$201,0))</f>
        <v>1</v>
      </c>
      <c r="R2686" s="2" t="n">
        <f aca="false">INDEX(Summary!$N$2:$N$201,MATCH($B2686,Summary!$A$2:$A$201,0))</f>
        <v>10.02</v>
      </c>
      <c r="S2686" s="3" t="n">
        <f aca="false">INDEX(Summary!$O$2:$O$201,MATCH($B2686,Summary!$A$2:$A$201,0))</f>
        <v>8</v>
      </c>
      <c r="T2686" s="3" t="n">
        <f aca="false">INDEX(Summary!$P$2:$P$201,MATCH($B2686,Summary!$A$2:$A$201,0))</f>
        <v>1</v>
      </c>
      <c r="U2686" s="2" t="n">
        <f aca="false">INDEX(Summary!$Q$2:$Q$201,MATCH($B2686,Summary!$A$2:$A$201,0))</f>
        <v>12.86</v>
      </c>
      <c r="V2686" s="2" t="n">
        <f aca="false">INDEX(Summary!$R$2:$R$201,MATCH($B2686,Summary!$A$2:$A$201,0))</f>
        <v>23.78</v>
      </c>
      <c r="W2686" s="0" t="str">
        <f aca="false">INDEX(Summary!$S$2:$S$201,MATCH($B2686,Summary!$A$2:$A$201,0))</f>
        <v>Silver</v>
      </c>
      <c r="X2686" s="2" t="n">
        <f aca="false">INDEX(Summary!$T$2:$T$201,MATCH($B2686,Summary!$A$2:$A$201,0))</f>
        <v>58</v>
      </c>
      <c r="Y2686" s="0" t="str">
        <f aca="false">INDEX('Reward Model'!$E$18:$E$37,MATCH($E2686,'Reward Model'!$A$18:$A$37,0))</f>
        <v>Low</v>
      </c>
      <c r="Z2686" s="4" t="n">
        <f aca="false">ROUND(MIN(1,MAX('Reward Model'!$B$2,INDEX('Reward Model'!$C$12:$C$14,MATCH($K2686,'Reward Model'!$A$12:$A$14,0))/$J2686)),3)</f>
        <v>0.968</v>
      </c>
      <c r="AA2686" s="2" t="n">
        <f aca="false">IF($I2686="Correct",ROUND(INDEX('Reward Model'!$B$12:$B$14,MATCH($K2686,'Reward Model'!$A$12:$A$14,0))*Z2686,2),0)</f>
        <v>0.97</v>
      </c>
      <c r="AB2686" s="2" t="n">
        <f aca="false">IF($I2686="Correct",ROUND(INDEX('Reward Model'!$B$12:$B$14,MATCH($Y2686,'Reward Model'!$A$12:$A$14,0))*Z2686,2),0)</f>
        <v>0.97</v>
      </c>
    </row>
    <row r="2687" customFormat="false" ht="15" hidden="false" customHeight="false" outlineLevel="0" collapsed="false">
      <c r="A2687" s="0" t="s">
        <v>400</v>
      </c>
      <c r="B2687" s="0" t="s">
        <v>401</v>
      </c>
      <c r="C2687" s="0" t="s">
        <v>322</v>
      </c>
      <c r="D2687" s="0" t="s">
        <v>189</v>
      </c>
      <c r="E2687" s="0" t="n">
        <v>6</v>
      </c>
      <c r="F2687" s="0" t="s">
        <v>48</v>
      </c>
      <c r="G2687" s="0" t="s">
        <v>49</v>
      </c>
      <c r="H2687" s="0" t="s">
        <v>49</v>
      </c>
      <c r="I2687" s="0" t="s">
        <v>34</v>
      </c>
      <c r="J2687" s="0" t="n">
        <v>1.77</v>
      </c>
      <c r="K2687" s="0" t="s">
        <v>35</v>
      </c>
      <c r="L2687" s="0" t="n">
        <f aca="false">INDEX(Summary!$F$2:$F$201,MATCH($B2687,Summary!$A$2:$A$201,0))</f>
        <v>20</v>
      </c>
      <c r="M2687" s="0" t="n">
        <f aca="false">INDEX(Summary!$I$2:$I$201,MATCH($B2687,Summary!$A$2:$A$201,0))</f>
        <v>1</v>
      </c>
      <c r="N2687" s="0" t="n">
        <f aca="false">INDEX(Summary!$J$2:$J$201,MATCH($B2687,Summary!$A$2:$A$201,0))</f>
        <v>4</v>
      </c>
      <c r="O2687" s="2" t="n">
        <f aca="false">INDEX(Summary!$K$2:$K$201,MATCH($B2687,Summary!$A$2:$A$201,0))</f>
        <v>8.83</v>
      </c>
      <c r="P2687" s="3" t="n">
        <f aca="false">INDEX(Summary!$L$2:$L$201,MATCH($B2687,Summary!$A$2:$A$201,0))</f>
        <v>5</v>
      </c>
      <c r="Q2687" s="3" t="n">
        <f aca="false">INDEX(Summary!$M$2:$M$201,MATCH($B2687,Summary!$A$2:$A$201,0))</f>
        <v>1</v>
      </c>
      <c r="R2687" s="2" t="n">
        <f aca="false">INDEX(Summary!$N$2:$N$201,MATCH($B2687,Summary!$A$2:$A$201,0))</f>
        <v>10.02</v>
      </c>
      <c r="S2687" s="3" t="n">
        <f aca="false">INDEX(Summary!$O$2:$O$201,MATCH($B2687,Summary!$A$2:$A$201,0))</f>
        <v>8</v>
      </c>
      <c r="T2687" s="3" t="n">
        <f aca="false">INDEX(Summary!$P$2:$P$201,MATCH($B2687,Summary!$A$2:$A$201,0))</f>
        <v>1</v>
      </c>
      <c r="U2687" s="2" t="n">
        <f aca="false">INDEX(Summary!$Q$2:$Q$201,MATCH($B2687,Summary!$A$2:$A$201,0))</f>
        <v>12.86</v>
      </c>
      <c r="V2687" s="2" t="n">
        <f aca="false">INDEX(Summary!$R$2:$R$201,MATCH($B2687,Summary!$A$2:$A$201,0))</f>
        <v>23.78</v>
      </c>
      <c r="W2687" s="0" t="str">
        <f aca="false">INDEX(Summary!$S$2:$S$201,MATCH($B2687,Summary!$A$2:$A$201,0))</f>
        <v>Silver</v>
      </c>
      <c r="X2687" s="2" t="n">
        <f aca="false">INDEX(Summary!$T$2:$T$201,MATCH($B2687,Summary!$A$2:$A$201,0))</f>
        <v>58</v>
      </c>
      <c r="Y2687" s="0" t="str">
        <f aca="false">INDEX('Reward Model'!$E$18:$E$37,MATCH($E2687,'Reward Model'!$A$18:$A$37,0))</f>
        <v>Medium</v>
      </c>
      <c r="Z2687" s="4" t="n">
        <f aca="false">ROUND(MIN(1,MAX('Reward Model'!$B$2,INDEX('Reward Model'!$C$12:$C$14,MATCH($K2687,'Reward Model'!$A$12:$A$14,0))/$J2687)),3)</f>
        <v>0.847</v>
      </c>
      <c r="AA2687" s="2" t="n">
        <f aca="false">IF($I2687="Correct",ROUND(INDEX('Reward Model'!$B$12:$B$14,MATCH($K2687,'Reward Model'!$A$12:$A$14,0))*Z2687,2),0)</f>
        <v>0.85</v>
      </c>
      <c r="AB2687" s="2" t="n">
        <f aca="false">IF($I2687="Correct",ROUND(INDEX('Reward Model'!$B$12:$B$14,MATCH($Y2687,'Reward Model'!$A$12:$A$14,0))*Z2687,2),0)</f>
        <v>1.69</v>
      </c>
    </row>
    <row r="2688" customFormat="false" ht="15" hidden="false" customHeight="false" outlineLevel="0" collapsed="false">
      <c r="A2688" s="0" t="s">
        <v>400</v>
      </c>
      <c r="B2688" s="0" t="s">
        <v>401</v>
      </c>
      <c r="C2688" s="0" t="s">
        <v>322</v>
      </c>
      <c r="D2688" s="0" t="s">
        <v>189</v>
      </c>
      <c r="E2688" s="0" t="n">
        <v>7</v>
      </c>
      <c r="F2688" s="0" t="s">
        <v>50</v>
      </c>
      <c r="G2688" s="0" t="s">
        <v>51</v>
      </c>
      <c r="H2688" s="0" t="s">
        <v>51</v>
      </c>
      <c r="I2688" s="0" t="s">
        <v>34</v>
      </c>
      <c r="J2688" s="0" t="n">
        <v>1.18</v>
      </c>
      <c r="K2688" s="0" t="s">
        <v>35</v>
      </c>
      <c r="L2688" s="0" t="n">
        <f aca="false">INDEX(Summary!$F$2:$F$201,MATCH($B2688,Summary!$A$2:$A$201,0))</f>
        <v>20</v>
      </c>
      <c r="M2688" s="0" t="n">
        <f aca="false">INDEX(Summary!$I$2:$I$201,MATCH($B2688,Summary!$A$2:$A$201,0))</f>
        <v>1</v>
      </c>
      <c r="N2688" s="0" t="n">
        <f aca="false">INDEX(Summary!$J$2:$J$201,MATCH($B2688,Summary!$A$2:$A$201,0))</f>
        <v>4</v>
      </c>
      <c r="O2688" s="2" t="n">
        <f aca="false">INDEX(Summary!$K$2:$K$201,MATCH($B2688,Summary!$A$2:$A$201,0))</f>
        <v>8.83</v>
      </c>
      <c r="P2688" s="3" t="n">
        <f aca="false">INDEX(Summary!$L$2:$L$201,MATCH($B2688,Summary!$A$2:$A$201,0))</f>
        <v>5</v>
      </c>
      <c r="Q2688" s="3" t="n">
        <f aca="false">INDEX(Summary!$M$2:$M$201,MATCH($B2688,Summary!$A$2:$A$201,0))</f>
        <v>1</v>
      </c>
      <c r="R2688" s="2" t="n">
        <f aca="false">INDEX(Summary!$N$2:$N$201,MATCH($B2688,Summary!$A$2:$A$201,0))</f>
        <v>10.02</v>
      </c>
      <c r="S2688" s="3" t="n">
        <f aca="false">INDEX(Summary!$O$2:$O$201,MATCH($B2688,Summary!$A$2:$A$201,0))</f>
        <v>8</v>
      </c>
      <c r="T2688" s="3" t="n">
        <f aca="false">INDEX(Summary!$P$2:$P$201,MATCH($B2688,Summary!$A$2:$A$201,0))</f>
        <v>1</v>
      </c>
      <c r="U2688" s="2" t="n">
        <f aca="false">INDEX(Summary!$Q$2:$Q$201,MATCH($B2688,Summary!$A$2:$A$201,0))</f>
        <v>12.86</v>
      </c>
      <c r="V2688" s="2" t="n">
        <f aca="false">INDEX(Summary!$R$2:$R$201,MATCH($B2688,Summary!$A$2:$A$201,0))</f>
        <v>23.78</v>
      </c>
      <c r="W2688" s="0" t="str">
        <f aca="false">INDEX(Summary!$S$2:$S$201,MATCH($B2688,Summary!$A$2:$A$201,0))</f>
        <v>Silver</v>
      </c>
      <c r="X2688" s="2" t="n">
        <f aca="false">INDEX(Summary!$T$2:$T$201,MATCH($B2688,Summary!$A$2:$A$201,0))</f>
        <v>58</v>
      </c>
      <c r="Y2688" s="0" t="str">
        <f aca="false">INDEX('Reward Model'!$E$18:$E$37,MATCH($E2688,'Reward Model'!$A$18:$A$37,0))</f>
        <v>Low</v>
      </c>
      <c r="Z2688" s="4" t="n">
        <f aca="false">ROUND(MIN(1,MAX('Reward Model'!$B$2,INDEX('Reward Model'!$C$12:$C$14,MATCH($K2688,'Reward Model'!$A$12:$A$14,0))/$J2688)),3)</f>
        <v>1</v>
      </c>
      <c r="AA2688" s="2" t="n">
        <f aca="false">IF($I2688="Correct",ROUND(INDEX('Reward Model'!$B$12:$B$14,MATCH($K2688,'Reward Model'!$A$12:$A$14,0))*Z2688,2),0)</f>
        <v>1</v>
      </c>
      <c r="AB2688" s="2" t="n">
        <f aca="false">IF($I2688="Correct",ROUND(INDEX('Reward Model'!$B$12:$B$14,MATCH($Y2688,'Reward Model'!$A$12:$A$14,0))*Z2688,2),0)</f>
        <v>1</v>
      </c>
    </row>
    <row r="2689" customFormat="false" ht="15" hidden="false" customHeight="false" outlineLevel="0" collapsed="false">
      <c r="A2689" s="0" t="s">
        <v>400</v>
      </c>
      <c r="B2689" s="0" t="s">
        <v>401</v>
      </c>
      <c r="C2689" s="0" t="s">
        <v>322</v>
      </c>
      <c r="D2689" s="0" t="s">
        <v>189</v>
      </c>
      <c r="E2689" s="0" t="n">
        <v>8</v>
      </c>
      <c r="F2689" s="0" t="s">
        <v>52</v>
      </c>
      <c r="G2689" s="0" t="s">
        <v>54</v>
      </c>
      <c r="H2689" s="0" t="s">
        <v>54</v>
      </c>
      <c r="I2689" s="0" t="s">
        <v>34</v>
      </c>
      <c r="J2689" s="0" t="n">
        <v>0.99</v>
      </c>
      <c r="K2689" s="0" t="s">
        <v>35</v>
      </c>
      <c r="L2689" s="0" t="n">
        <f aca="false">INDEX(Summary!$F$2:$F$201,MATCH($B2689,Summary!$A$2:$A$201,0))</f>
        <v>20</v>
      </c>
      <c r="M2689" s="0" t="n">
        <f aca="false">INDEX(Summary!$I$2:$I$201,MATCH($B2689,Summary!$A$2:$A$201,0))</f>
        <v>1</v>
      </c>
      <c r="N2689" s="0" t="n">
        <f aca="false">INDEX(Summary!$J$2:$J$201,MATCH($B2689,Summary!$A$2:$A$201,0))</f>
        <v>4</v>
      </c>
      <c r="O2689" s="2" t="n">
        <f aca="false">INDEX(Summary!$K$2:$K$201,MATCH($B2689,Summary!$A$2:$A$201,0))</f>
        <v>8.83</v>
      </c>
      <c r="P2689" s="3" t="n">
        <f aca="false">INDEX(Summary!$L$2:$L$201,MATCH($B2689,Summary!$A$2:$A$201,0))</f>
        <v>5</v>
      </c>
      <c r="Q2689" s="3" t="n">
        <f aca="false">INDEX(Summary!$M$2:$M$201,MATCH($B2689,Summary!$A$2:$A$201,0))</f>
        <v>1</v>
      </c>
      <c r="R2689" s="2" t="n">
        <f aca="false">INDEX(Summary!$N$2:$N$201,MATCH($B2689,Summary!$A$2:$A$201,0))</f>
        <v>10.02</v>
      </c>
      <c r="S2689" s="3" t="n">
        <f aca="false">INDEX(Summary!$O$2:$O$201,MATCH($B2689,Summary!$A$2:$A$201,0))</f>
        <v>8</v>
      </c>
      <c r="T2689" s="3" t="n">
        <f aca="false">INDEX(Summary!$P$2:$P$201,MATCH($B2689,Summary!$A$2:$A$201,0))</f>
        <v>1</v>
      </c>
      <c r="U2689" s="2" t="n">
        <f aca="false">INDEX(Summary!$Q$2:$Q$201,MATCH($B2689,Summary!$A$2:$A$201,0))</f>
        <v>12.86</v>
      </c>
      <c r="V2689" s="2" t="n">
        <f aca="false">INDEX(Summary!$R$2:$R$201,MATCH($B2689,Summary!$A$2:$A$201,0))</f>
        <v>23.78</v>
      </c>
      <c r="W2689" s="0" t="str">
        <f aca="false">INDEX(Summary!$S$2:$S$201,MATCH($B2689,Summary!$A$2:$A$201,0))</f>
        <v>Silver</v>
      </c>
      <c r="X2689" s="2" t="n">
        <f aca="false">INDEX(Summary!$T$2:$T$201,MATCH($B2689,Summary!$A$2:$A$201,0))</f>
        <v>58</v>
      </c>
      <c r="Y2689" s="0" t="str">
        <f aca="false">INDEX('Reward Model'!$E$18:$E$37,MATCH($E2689,'Reward Model'!$A$18:$A$37,0))</f>
        <v>Medium</v>
      </c>
      <c r="Z2689" s="4" t="n">
        <f aca="false">ROUND(MIN(1,MAX('Reward Model'!$B$2,INDEX('Reward Model'!$C$12:$C$14,MATCH($K2689,'Reward Model'!$A$12:$A$14,0))/$J2689)),3)</f>
        <v>1</v>
      </c>
      <c r="AA2689" s="2" t="n">
        <f aca="false">IF($I2689="Correct",ROUND(INDEX('Reward Model'!$B$12:$B$14,MATCH($K2689,'Reward Model'!$A$12:$A$14,0))*Z2689,2),0)</f>
        <v>1</v>
      </c>
      <c r="AB2689" s="2" t="n">
        <f aca="false">IF($I2689="Correct",ROUND(INDEX('Reward Model'!$B$12:$B$14,MATCH($Y2689,'Reward Model'!$A$12:$A$14,0))*Z2689,2),0)</f>
        <v>2</v>
      </c>
    </row>
    <row r="2690" customFormat="false" ht="15" hidden="false" customHeight="false" outlineLevel="0" collapsed="false">
      <c r="A2690" s="0" t="s">
        <v>400</v>
      </c>
      <c r="B2690" s="0" t="s">
        <v>401</v>
      </c>
      <c r="C2690" s="0" t="s">
        <v>322</v>
      </c>
      <c r="D2690" s="0" t="s">
        <v>189</v>
      </c>
      <c r="E2690" s="0" t="n">
        <v>9</v>
      </c>
      <c r="F2690" s="0" t="s">
        <v>55</v>
      </c>
      <c r="G2690" s="0" t="s">
        <v>57</v>
      </c>
      <c r="H2690" s="0" t="s">
        <v>57</v>
      </c>
      <c r="I2690" s="0" t="s">
        <v>34</v>
      </c>
      <c r="J2690" s="0" t="n">
        <v>1.65</v>
      </c>
      <c r="K2690" s="0" t="s">
        <v>35</v>
      </c>
      <c r="L2690" s="0" t="n">
        <f aca="false">INDEX(Summary!$F$2:$F$201,MATCH($B2690,Summary!$A$2:$A$201,0))</f>
        <v>20</v>
      </c>
      <c r="M2690" s="0" t="n">
        <f aca="false">INDEX(Summary!$I$2:$I$201,MATCH($B2690,Summary!$A$2:$A$201,0))</f>
        <v>1</v>
      </c>
      <c r="N2690" s="0" t="n">
        <f aca="false">INDEX(Summary!$J$2:$J$201,MATCH($B2690,Summary!$A$2:$A$201,0))</f>
        <v>4</v>
      </c>
      <c r="O2690" s="2" t="n">
        <f aca="false">INDEX(Summary!$K$2:$K$201,MATCH($B2690,Summary!$A$2:$A$201,0))</f>
        <v>8.83</v>
      </c>
      <c r="P2690" s="3" t="n">
        <f aca="false">INDEX(Summary!$L$2:$L$201,MATCH($B2690,Summary!$A$2:$A$201,0))</f>
        <v>5</v>
      </c>
      <c r="Q2690" s="3" t="n">
        <f aca="false">INDEX(Summary!$M$2:$M$201,MATCH($B2690,Summary!$A$2:$A$201,0))</f>
        <v>1</v>
      </c>
      <c r="R2690" s="2" t="n">
        <f aca="false">INDEX(Summary!$N$2:$N$201,MATCH($B2690,Summary!$A$2:$A$201,0))</f>
        <v>10.02</v>
      </c>
      <c r="S2690" s="3" t="n">
        <f aca="false">INDEX(Summary!$O$2:$O$201,MATCH($B2690,Summary!$A$2:$A$201,0))</f>
        <v>8</v>
      </c>
      <c r="T2690" s="3" t="n">
        <f aca="false">INDEX(Summary!$P$2:$P$201,MATCH($B2690,Summary!$A$2:$A$201,0))</f>
        <v>1</v>
      </c>
      <c r="U2690" s="2" t="n">
        <f aca="false">INDEX(Summary!$Q$2:$Q$201,MATCH($B2690,Summary!$A$2:$A$201,0))</f>
        <v>12.86</v>
      </c>
      <c r="V2690" s="2" t="n">
        <f aca="false">INDEX(Summary!$R$2:$R$201,MATCH($B2690,Summary!$A$2:$A$201,0))</f>
        <v>23.78</v>
      </c>
      <c r="W2690" s="0" t="str">
        <f aca="false">INDEX(Summary!$S$2:$S$201,MATCH($B2690,Summary!$A$2:$A$201,0))</f>
        <v>Silver</v>
      </c>
      <c r="X2690" s="2" t="n">
        <f aca="false">INDEX(Summary!$T$2:$T$201,MATCH($B2690,Summary!$A$2:$A$201,0))</f>
        <v>58</v>
      </c>
      <c r="Y2690" s="0" t="str">
        <f aca="false">INDEX('Reward Model'!$E$18:$E$37,MATCH($E2690,'Reward Model'!$A$18:$A$37,0))</f>
        <v>Medium</v>
      </c>
      <c r="Z2690" s="4" t="n">
        <f aca="false">ROUND(MIN(1,MAX('Reward Model'!$B$2,INDEX('Reward Model'!$C$12:$C$14,MATCH($K2690,'Reward Model'!$A$12:$A$14,0))/$J2690)),3)</f>
        <v>0.909</v>
      </c>
      <c r="AA2690" s="2" t="n">
        <f aca="false">IF($I2690="Correct",ROUND(INDEX('Reward Model'!$B$12:$B$14,MATCH($K2690,'Reward Model'!$A$12:$A$14,0))*Z2690,2),0)</f>
        <v>0.91</v>
      </c>
      <c r="AB2690" s="2" t="n">
        <f aca="false">IF($I2690="Correct",ROUND(INDEX('Reward Model'!$B$12:$B$14,MATCH($Y2690,'Reward Model'!$A$12:$A$14,0))*Z2690,2),0)</f>
        <v>1.82</v>
      </c>
    </row>
    <row r="2691" customFormat="false" ht="15" hidden="false" customHeight="false" outlineLevel="0" collapsed="false">
      <c r="A2691" s="0" t="s">
        <v>400</v>
      </c>
      <c r="B2691" s="0" t="s">
        <v>401</v>
      </c>
      <c r="C2691" s="0" t="s">
        <v>322</v>
      </c>
      <c r="D2691" s="0" t="s">
        <v>189</v>
      </c>
      <c r="E2691" s="0" t="n">
        <v>10</v>
      </c>
      <c r="F2691" s="0" t="s">
        <v>58</v>
      </c>
      <c r="G2691" s="0" t="s">
        <v>59</v>
      </c>
      <c r="H2691" s="0" t="s">
        <v>59</v>
      </c>
      <c r="I2691" s="0" t="s">
        <v>34</v>
      </c>
      <c r="J2691" s="0" t="n">
        <v>1.56</v>
      </c>
      <c r="K2691" s="0" t="s">
        <v>60</v>
      </c>
      <c r="L2691" s="0" t="n">
        <f aca="false">INDEX(Summary!$F$2:$F$201,MATCH($B2691,Summary!$A$2:$A$201,0))</f>
        <v>20</v>
      </c>
      <c r="M2691" s="0" t="n">
        <f aca="false">INDEX(Summary!$I$2:$I$201,MATCH($B2691,Summary!$A$2:$A$201,0))</f>
        <v>1</v>
      </c>
      <c r="N2691" s="0" t="n">
        <f aca="false">INDEX(Summary!$J$2:$J$201,MATCH($B2691,Summary!$A$2:$A$201,0))</f>
        <v>4</v>
      </c>
      <c r="O2691" s="2" t="n">
        <f aca="false">INDEX(Summary!$K$2:$K$201,MATCH($B2691,Summary!$A$2:$A$201,0))</f>
        <v>8.83</v>
      </c>
      <c r="P2691" s="3" t="n">
        <f aca="false">INDEX(Summary!$L$2:$L$201,MATCH($B2691,Summary!$A$2:$A$201,0))</f>
        <v>5</v>
      </c>
      <c r="Q2691" s="3" t="n">
        <f aca="false">INDEX(Summary!$M$2:$M$201,MATCH($B2691,Summary!$A$2:$A$201,0))</f>
        <v>1</v>
      </c>
      <c r="R2691" s="2" t="n">
        <f aca="false">INDEX(Summary!$N$2:$N$201,MATCH($B2691,Summary!$A$2:$A$201,0))</f>
        <v>10.02</v>
      </c>
      <c r="S2691" s="3" t="n">
        <f aca="false">INDEX(Summary!$O$2:$O$201,MATCH($B2691,Summary!$A$2:$A$201,0))</f>
        <v>8</v>
      </c>
      <c r="T2691" s="3" t="n">
        <f aca="false">INDEX(Summary!$P$2:$P$201,MATCH($B2691,Summary!$A$2:$A$201,0))</f>
        <v>1</v>
      </c>
      <c r="U2691" s="2" t="n">
        <f aca="false">INDEX(Summary!$Q$2:$Q$201,MATCH($B2691,Summary!$A$2:$A$201,0))</f>
        <v>12.86</v>
      </c>
      <c r="V2691" s="2" t="n">
        <f aca="false">INDEX(Summary!$R$2:$R$201,MATCH($B2691,Summary!$A$2:$A$201,0))</f>
        <v>23.78</v>
      </c>
      <c r="W2691" s="0" t="str">
        <f aca="false">INDEX(Summary!$S$2:$S$201,MATCH($B2691,Summary!$A$2:$A$201,0))</f>
        <v>Silver</v>
      </c>
      <c r="X2691" s="2" t="n">
        <f aca="false">INDEX(Summary!$T$2:$T$201,MATCH($B2691,Summary!$A$2:$A$201,0))</f>
        <v>58</v>
      </c>
      <c r="Y2691" s="0" t="str">
        <f aca="false">INDEX('Reward Model'!$E$18:$E$37,MATCH($E2691,'Reward Model'!$A$18:$A$37,0))</f>
        <v>Medium</v>
      </c>
      <c r="Z2691" s="4" t="n">
        <f aca="false">ROUND(MIN(1,MAX('Reward Model'!$B$2,INDEX('Reward Model'!$C$12:$C$14,MATCH($K2691,'Reward Model'!$A$12:$A$14,0))/$J2691)),3)</f>
        <v>1</v>
      </c>
      <c r="AA2691" s="2" t="n">
        <f aca="false">IF($I2691="Correct",ROUND(INDEX('Reward Model'!$B$12:$B$14,MATCH($K2691,'Reward Model'!$A$12:$A$14,0))*Z2691,2),0)</f>
        <v>2</v>
      </c>
      <c r="AB2691" s="2" t="n">
        <f aca="false">IF($I2691="Correct",ROUND(INDEX('Reward Model'!$B$12:$B$14,MATCH($Y2691,'Reward Model'!$A$12:$A$14,0))*Z2691,2),0)</f>
        <v>2</v>
      </c>
    </row>
    <row r="2692" customFormat="false" ht="15" hidden="false" customHeight="false" outlineLevel="0" collapsed="false">
      <c r="A2692" s="0" t="s">
        <v>400</v>
      </c>
      <c r="B2692" s="0" t="s">
        <v>401</v>
      </c>
      <c r="C2692" s="0" t="s">
        <v>322</v>
      </c>
      <c r="D2692" s="0" t="s">
        <v>189</v>
      </c>
      <c r="E2692" s="0" t="n">
        <v>11</v>
      </c>
      <c r="F2692" s="0" t="s">
        <v>61</v>
      </c>
      <c r="G2692" s="0" t="s">
        <v>150</v>
      </c>
      <c r="H2692" s="0" t="s">
        <v>63</v>
      </c>
      <c r="I2692" s="0" t="s">
        <v>39</v>
      </c>
      <c r="J2692" s="0" t="n">
        <v>1.44</v>
      </c>
      <c r="K2692" s="0" t="s">
        <v>60</v>
      </c>
      <c r="L2692" s="0" t="n">
        <f aca="false">INDEX(Summary!$F$2:$F$201,MATCH($B2692,Summary!$A$2:$A$201,0))</f>
        <v>20</v>
      </c>
      <c r="M2692" s="0" t="n">
        <f aca="false">INDEX(Summary!$I$2:$I$201,MATCH($B2692,Summary!$A$2:$A$201,0))</f>
        <v>1</v>
      </c>
      <c r="N2692" s="0" t="n">
        <f aca="false">INDEX(Summary!$J$2:$J$201,MATCH($B2692,Summary!$A$2:$A$201,0))</f>
        <v>4</v>
      </c>
      <c r="O2692" s="2" t="n">
        <f aca="false">INDEX(Summary!$K$2:$K$201,MATCH($B2692,Summary!$A$2:$A$201,0))</f>
        <v>8.83</v>
      </c>
      <c r="P2692" s="3" t="n">
        <f aca="false">INDEX(Summary!$L$2:$L$201,MATCH($B2692,Summary!$A$2:$A$201,0))</f>
        <v>5</v>
      </c>
      <c r="Q2692" s="3" t="n">
        <f aca="false">INDEX(Summary!$M$2:$M$201,MATCH($B2692,Summary!$A$2:$A$201,0))</f>
        <v>1</v>
      </c>
      <c r="R2692" s="2" t="n">
        <f aca="false">INDEX(Summary!$N$2:$N$201,MATCH($B2692,Summary!$A$2:$A$201,0))</f>
        <v>10.02</v>
      </c>
      <c r="S2692" s="3" t="n">
        <f aca="false">INDEX(Summary!$O$2:$O$201,MATCH($B2692,Summary!$A$2:$A$201,0))</f>
        <v>8</v>
      </c>
      <c r="T2692" s="3" t="n">
        <f aca="false">INDEX(Summary!$P$2:$P$201,MATCH($B2692,Summary!$A$2:$A$201,0))</f>
        <v>1</v>
      </c>
      <c r="U2692" s="2" t="n">
        <f aca="false">INDEX(Summary!$Q$2:$Q$201,MATCH($B2692,Summary!$A$2:$A$201,0))</f>
        <v>12.86</v>
      </c>
      <c r="V2692" s="2" t="n">
        <f aca="false">INDEX(Summary!$R$2:$R$201,MATCH($B2692,Summary!$A$2:$A$201,0))</f>
        <v>23.78</v>
      </c>
      <c r="W2692" s="0" t="str">
        <f aca="false">INDEX(Summary!$S$2:$S$201,MATCH($B2692,Summary!$A$2:$A$201,0))</f>
        <v>Silver</v>
      </c>
      <c r="X2692" s="2" t="n">
        <f aca="false">INDEX(Summary!$T$2:$T$201,MATCH($B2692,Summary!$A$2:$A$201,0))</f>
        <v>58</v>
      </c>
      <c r="Y2692" s="0" t="str">
        <f aca="false">INDEX('Reward Model'!$E$18:$E$37,MATCH($E2692,'Reward Model'!$A$18:$A$37,0))</f>
        <v>Medium</v>
      </c>
      <c r="Z2692" s="4" t="n">
        <f aca="false">ROUND(MIN(1,MAX('Reward Model'!$B$2,INDEX('Reward Model'!$C$12:$C$14,MATCH($K2692,'Reward Model'!$A$12:$A$14,0))/$J2692)),3)</f>
        <v>1</v>
      </c>
      <c r="AA2692" s="2" t="n">
        <f aca="false">IF($I2692="Correct",ROUND(INDEX('Reward Model'!$B$12:$B$14,MATCH($K2692,'Reward Model'!$A$12:$A$14,0))*Z2692,2),0)</f>
        <v>0</v>
      </c>
      <c r="AB2692" s="2" t="n">
        <f aca="false">IF($I2692="Correct",ROUND(INDEX('Reward Model'!$B$12:$B$14,MATCH($Y2692,'Reward Model'!$A$12:$A$14,0))*Z2692,2),0)</f>
        <v>0</v>
      </c>
    </row>
    <row r="2693" customFormat="false" ht="15" hidden="false" customHeight="false" outlineLevel="0" collapsed="false">
      <c r="A2693" s="0" t="s">
        <v>400</v>
      </c>
      <c r="B2693" s="0" t="s">
        <v>401</v>
      </c>
      <c r="C2693" s="0" t="s">
        <v>322</v>
      </c>
      <c r="D2693" s="0" t="s">
        <v>189</v>
      </c>
      <c r="E2693" s="0" t="n">
        <v>12</v>
      </c>
      <c r="F2693" s="0" t="s">
        <v>64</v>
      </c>
      <c r="G2693" s="0" t="s">
        <v>65</v>
      </c>
      <c r="H2693" s="0" t="s">
        <v>65</v>
      </c>
      <c r="I2693" s="0" t="s">
        <v>34</v>
      </c>
      <c r="J2693" s="0" t="n">
        <v>1.65</v>
      </c>
      <c r="K2693" s="0" t="s">
        <v>60</v>
      </c>
      <c r="L2693" s="0" t="n">
        <f aca="false">INDEX(Summary!$F$2:$F$201,MATCH($B2693,Summary!$A$2:$A$201,0))</f>
        <v>20</v>
      </c>
      <c r="M2693" s="0" t="n">
        <f aca="false">INDEX(Summary!$I$2:$I$201,MATCH($B2693,Summary!$A$2:$A$201,0))</f>
        <v>1</v>
      </c>
      <c r="N2693" s="0" t="n">
        <f aca="false">INDEX(Summary!$J$2:$J$201,MATCH($B2693,Summary!$A$2:$A$201,0))</f>
        <v>4</v>
      </c>
      <c r="O2693" s="2" t="n">
        <f aca="false">INDEX(Summary!$K$2:$K$201,MATCH($B2693,Summary!$A$2:$A$201,0))</f>
        <v>8.83</v>
      </c>
      <c r="P2693" s="3" t="n">
        <f aca="false">INDEX(Summary!$L$2:$L$201,MATCH($B2693,Summary!$A$2:$A$201,0))</f>
        <v>5</v>
      </c>
      <c r="Q2693" s="3" t="n">
        <f aca="false">INDEX(Summary!$M$2:$M$201,MATCH($B2693,Summary!$A$2:$A$201,0))</f>
        <v>1</v>
      </c>
      <c r="R2693" s="2" t="n">
        <f aca="false">INDEX(Summary!$N$2:$N$201,MATCH($B2693,Summary!$A$2:$A$201,0))</f>
        <v>10.02</v>
      </c>
      <c r="S2693" s="3" t="n">
        <f aca="false">INDEX(Summary!$O$2:$O$201,MATCH($B2693,Summary!$A$2:$A$201,0))</f>
        <v>8</v>
      </c>
      <c r="T2693" s="3" t="n">
        <f aca="false">INDEX(Summary!$P$2:$P$201,MATCH($B2693,Summary!$A$2:$A$201,0))</f>
        <v>1</v>
      </c>
      <c r="U2693" s="2" t="n">
        <f aca="false">INDEX(Summary!$Q$2:$Q$201,MATCH($B2693,Summary!$A$2:$A$201,0))</f>
        <v>12.86</v>
      </c>
      <c r="V2693" s="2" t="n">
        <f aca="false">INDEX(Summary!$R$2:$R$201,MATCH($B2693,Summary!$A$2:$A$201,0))</f>
        <v>23.78</v>
      </c>
      <c r="W2693" s="0" t="str">
        <f aca="false">INDEX(Summary!$S$2:$S$201,MATCH($B2693,Summary!$A$2:$A$201,0))</f>
        <v>Silver</v>
      </c>
      <c r="X2693" s="2" t="n">
        <f aca="false">INDEX(Summary!$T$2:$T$201,MATCH($B2693,Summary!$A$2:$A$201,0))</f>
        <v>58</v>
      </c>
      <c r="Y2693" s="0" t="str">
        <f aca="false">INDEX('Reward Model'!$E$18:$E$37,MATCH($E2693,'Reward Model'!$A$18:$A$37,0))</f>
        <v>Medium</v>
      </c>
      <c r="Z2693" s="4" t="n">
        <f aca="false">ROUND(MIN(1,MAX('Reward Model'!$B$2,INDEX('Reward Model'!$C$12:$C$14,MATCH($K2693,'Reward Model'!$A$12:$A$14,0))/$J2693)),3)</f>
        <v>1</v>
      </c>
      <c r="AA2693" s="2" t="n">
        <f aca="false">IF($I2693="Correct",ROUND(INDEX('Reward Model'!$B$12:$B$14,MATCH($K2693,'Reward Model'!$A$12:$A$14,0))*Z2693,2),0)</f>
        <v>2</v>
      </c>
      <c r="AB2693" s="2" t="n">
        <f aca="false">IF($I2693="Correct",ROUND(INDEX('Reward Model'!$B$12:$B$14,MATCH($Y2693,'Reward Model'!$A$12:$A$14,0))*Z2693,2),0)</f>
        <v>2</v>
      </c>
    </row>
    <row r="2694" customFormat="false" ht="15" hidden="false" customHeight="false" outlineLevel="0" collapsed="false">
      <c r="A2694" s="0" t="s">
        <v>400</v>
      </c>
      <c r="B2694" s="0" t="s">
        <v>401</v>
      </c>
      <c r="C2694" s="0" t="s">
        <v>322</v>
      </c>
      <c r="D2694" s="0" t="s">
        <v>189</v>
      </c>
      <c r="E2694" s="0" t="n">
        <v>13</v>
      </c>
      <c r="F2694" s="0" t="s">
        <v>66</v>
      </c>
      <c r="G2694" s="0" t="s">
        <v>67</v>
      </c>
      <c r="H2694" s="0" t="s">
        <v>67</v>
      </c>
      <c r="I2694" s="0" t="s">
        <v>34</v>
      </c>
      <c r="J2694" s="0" t="n">
        <v>2.06</v>
      </c>
      <c r="K2694" s="0" t="s">
        <v>60</v>
      </c>
      <c r="L2694" s="0" t="n">
        <f aca="false">INDEX(Summary!$F$2:$F$201,MATCH($B2694,Summary!$A$2:$A$201,0))</f>
        <v>20</v>
      </c>
      <c r="M2694" s="0" t="n">
        <f aca="false">INDEX(Summary!$I$2:$I$201,MATCH($B2694,Summary!$A$2:$A$201,0))</f>
        <v>1</v>
      </c>
      <c r="N2694" s="0" t="n">
        <f aca="false">INDEX(Summary!$J$2:$J$201,MATCH($B2694,Summary!$A$2:$A$201,0))</f>
        <v>4</v>
      </c>
      <c r="O2694" s="2" t="n">
        <f aca="false">INDEX(Summary!$K$2:$K$201,MATCH($B2694,Summary!$A$2:$A$201,0))</f>
        <v>8.83</v>
      </c>
      <c r="P2694" s="3" t="n">
        <f aca="false">INDEX(Summary!$L$2:$L$201,MATCH($B2694,Summary!$A$2:$A$201,0))</f>
        <v>5</v>
      </c>
      <c r="Q2694" s="3" t="n">
        <f aca="false">INDEX(Summary!$M$2:$M$201,MATCH($B2694,Summary!$A$2:$A$201,0))</f>
        <v>1</v>
      </c>
      <c r="R2694" s="2" t="n">
        <f aca="false">INDEX(Summary!$N$2:$N$201,MATCH($B2694,Summary!$A$2:$A$201,0))</f>
        <v>10.02</v>
      </c>
      <c r="S2694" s="3" t="n">
        <f aca="false">INDEX(Summary!$O$2:$O$201,MATCH($B2694,Summary!$A$2:$A$201,0))</f>
        <v>8</v>
      </c>
      <c r="T2694" s="3" t="n">
        <f aca="false">INDEX(Summary!$P$2:$P$201,MATCH($B2694,Summary!$A$2:$A$201,0))</f>
        <v>1</v>
      </c>
      <c r="U2694" s="2" t="n">
        <f aca="false">INDEX(Summary!$Q$2:$Q$201,MATCH($B2694,Summary!$A$2:$A$201,0))</f>
        <v>12.86</v>
      </c>
      <c r="V2694" s="2" t="n">
        <f aca="false">INDEX(Summary!$R$2:$R$201,MATCH($B2694,Summary!$A$2:$A$201,0))</f>
        <v>23.78</v>
      </c>
      <c r="W2694" s="0" t="str">
        <f aca="false">INDEX(Summary!$S$2:$S$201,MATCH($B2694,Summary!$A$2:$A$201,0))</f>
        <v>Silver</v>
      </c>
      <c r="X2694" s="2" t="n">
        <f aca="false">INDEX(Summary!$T$2:$T$201,MATCH($B2694,Summary!$A$2:$A$201,0))</f>
        <v>58</v>
      </c>
      <c r="Y2694" s="0" t="str">
        <f aca="false">INDEX('Reward Model'!$E$18:$E$37,MATCH($E2694,'Reward Model'!$A$18:$A$37,0))</f>
        <v>Medium</v>
      </c>
      <c r="Z2694" s="4" t="n">
        <f aca="false">ROUND(MIN(1,MAX('Reward Model'!$B$2,INDEX('Reward Model'!$C$12:$C$14,MATCH($K2694,'Reward Model'!$A$12:$A$14,0))/$J2694)),3)</f>
        <v>0.874</v>
      </c>
      <c r="AA2694" s="2" t="n">
        <f aca="false">IF($I2694="Correct",ROUND(INDEX('Reward Model'!$B$12:$B$14,MATCH($K2694,'Reward Model'!$A$12:$A$14,0))*Z2694,2),0)</f>
        <v>1.75</v>
      </c>
      <c r="AB2694" s="2" t="n">
        <f aca="false">IF($I2694="Correct",ROUND(INDEX('Reward Model'!$B$12:$B$14,MATCH($Y2694,'Reward Model'!$A$12:$A$14,0))*Z2694,2),0)</f>
        <v>1.75</v>
      </c>
    </row>
    <row r="2695" customFormat="false" ht="15" hidden="false" customHeight="false" outlineLevel="0" collapsed="false">
      <c r="A2695" s="0" t="s">
        <v>400</v>
      </c>
      <c r="B2695" s="0" t="s">
        <v>401</v>
      </c>
      <c r="C2695" s="0" t="s">
        <v>322</v>
      </c>
      <c r="D2695" s="0" t="s">
        <v>189</v>
      </c>
      <c r="E2695" s="0" t="n">
        <v>14</v>
      </c>
      <c r="F2695" s="0" t="s">
        <v>68</v>
      </c>
      <c r="G2695" s="0" t="s">
        <v>51</v>
      </c>
      <c r="H2695" s="0" t="s">
        <v>51</v>
      </c>
      <c r="I2695" s="0" t="s">
        <v>34</v>
      </c>
      <c r="J2695" s="0" t="n">
        <v>1.95</v>
      </c>
      <c r="K2695" s="0" t="s">
        <v>60</v>
      </c>
      <c r="L2695" s="0" t="n">
        <f aca="false">INDEX(Summary!$F$2:$F$201,MATCH($B2695,Summary!$A$2:$A$201,0))</f>
        <v>20</v>
      </c>
      <c r="M2695" s="0" t="n">
        <f aca="false">INDEX(Summary!$I$2:$I$201,MATCH($B2695,Summary!$A$2:$A$201,0))</f>
        <v>1</v>
      </c>
      <c r="N2695" s="0" t="n">
        <f aca="false">INDEX(Summary!$J$2:$J$201,MATCH($B2695,Summary!$A$2:$A$201,0))</f>
        <v>4</v>
      </c>
      <c r="O2695" s="2" t="n">
        <f aca="false">INDEX(Summary!$K$2:$K$201,MATCH($B2695,Summary!$A$2:$A$201,0))</f>
        <v>8.83</v>
      </c>
      <c r="P2695" s="3" t="n">
        <f aca="false">INDEX(Summary!$L$2:$L$201,MATCH($B2695,Summary!$A$2:$A$201,0))</f>
        <v>5</v>
      </c>
      <c r="Q2695" s="3" t="n">
        <f aca="false">INDEX(Summary!$M$2:$M$201,MATCH($B2695,Summary!$A$2:$A$201,0))</f>
        <v>1</v>
      </c>
      <c r="R2695" s="2" t="n">
        <f aca="false">INDEX(Summary!$N$2:$N$201,MATCH($B2695,Summary!$A$2:$A$201,0))</f>
        <v>10.02</v>
      </c>
      <c r="S2695" s="3" t="n">
        <f aca="false">INDEX(Summary!$O$2:$O$201,MATCH($B2695,Summary!$A$2:$A$201,0))</f>
        <v>8</v>
      </c>
      <c r="T2695" s="3" t="n">
        <f aca="false">INDEX(Summary!$P$2:$P$201,MATCH($B2695,Summary!$A$2:$A$201,0))</f>
        <v>1</v>
      </c>
      <c r="U2695" s="2" t="n">
        <f aca="false">INDEX(Summary!$Q$2:$Q$201,MATCH($B2695,Summary!$A$2:$A$201,0))</f>
        <v>12.86</v>
      </c>
      <c r="V2695" s="2" t="n">
        <f aca="false">INDEX(Summary!$R$2:$R$201,MATCH($B2695,Summary!$A$2:$A$201,0))</f>
        <v>23.78</v>
      </c>
      <c r="W2695" s="0" t="str">
        <f aca="false">INDEX(Summary!$S$2:$S$201,MATCH($B2695,Summary!$A$2:$A$201,0))</f>
        <v>Silver</v>
      </c>
      <c r="X2695" s="2" t="n">
        <f aca="false">INDEX(Summary!$T$2:$T$201,MATCH($B2695,Summary!$A$2:$A$201,0))</f>
        <v>58</v>
      </c>
      <c r="Y2695" s="0" t="str">
        <f aca="false">INDEX('Reward Model'!$E$18:$E$37,MATCH($E2695,'Reward Model'!$A$18:$A$37,0))</f>
        <v>Medium</v>
      </c>
      <c r="Z2695" s="4" t="n">
        <f aca="false">ROUND(MIN(1,MAX('Reward Model'!$B$2,INDEX('Reward Model'!$C$12:$C$14,MATCH($K2695,'Reward Model'!$A$12:$A$14,0))/$J2695)),3)</f>
        <v>0.923</v>
      </c>
      <c r="AA2695" s="2" t="n">
        <f aca="false">IF($I2695="Correct",ROUND(INDEX('Reward Model'!$B$12:$B$14,MATCH($K2695,'Reward Model'!$A$12:$A$14,0))*Z2695,2),0)</f>
        <v>1.85</v>
      </c>
      <c r="AB2695" s="2" t="n">
        <f aca="false">IF($I2695="Correct",ROUND(INDEX('Reward Model'!$B$12:$B$14,MATCH($Y2695,'Reward Model'!$A$12:$A$14,0))*Z2695,2),0)</f>
        <v>1.85</v>
      </c>
    </row>
    <row r="2696" customFormat="false" ht="15" hidden="false" customHeight="false" outlineLevel="0" collapsed="false">
      <c r="A2696" s="0" t="s">
        <v>400</v>
      </c>
      <c r="B2696" s="0" t="s">
        <v>401</v>
      </c>
      <c r="C2696" s="0" t="s">
        <v>322</v>
      </c>
      <c r="D2696" s="0" t="s">
        <v>189</v>
      </c>
      <c r="E2696" s="0" t="n">
        <v>15</v>
      </c>
      <c r="F2696" s="0" t="s">
        <v>69</v>
      </c>
      <c r="G2696" s="0" t="s">
        <v>70</v>
      </c>
      <c r="H2696" s="0" t="s">
        <v>70</v>
      </c>
      <c r="I2696" s="0" t="s">
        <v>34</v>
      </c>
      <c r="J2696" s="0" t="n">
        <v>1.36</v>
      </c>
      <c r="K2696" s="0" t="s">
        <v>60</v>
      </c>
      <c r="L2696" s="0" t="n">
        <f aca="false">INDEX(Summary!$F$2:$F$201,MATCH($B2696,Summary!$A$2:$A$201,0))</f>
        <v>20</v>
      </c>
      <c r="M2696" s="0" t="n">
        <f aca="false">INDEX(Summary!$I$2:$I$201,MATCH($B2696,Summary!$A$2:$A$201,0))</f>
        <v>1</v>
      </c>
      <c r="N2696" s="0" t="n">
        <f aca="false">INDEX(Summary!$J$2:$J$201,MATCH($B2696,Summary!$A$2:$A$201,0))</f>
        <v>4</v>
      </c>
      <c r="O2696" s="2" t="n">
        <f aca="false">INDEX(Summary!$K$2:$K$201,MATCH($B2696,Summary!$A$2:$A$201,0))</f>
        <v>8.83</v>
      </c>
      <c r="P2696" s="3" t="n">
        <f aca="false">INDEX(Summary!$L$2:$L$201,MATCH($B2696,Summary!$A$2:$A$201,0))</f>
        <v>5</v>
      </c>
      <c r="Q2696" s="3" t="n">
        <f aca="false">INDEX(Summary!$M$2:$M$201,MATCH($B2696,Summary!$A$2:$A$201,0))</f>
        <v>1</v>
      </c>
      <c r="R2696" s="2" t="n">
        <f aca="false">INDEX(Summary!$N$2:$N$201,MATCH($B2696,Summary!$A$2:$A$201,0))</f>
        <v>10.02</v>
      </c>
      <c r="S2696" s="3" t="n">
        <f aca="false">INDEX(Summary!$O$2:$O$201,MATCH($B2696,Summary!$A$2:$A$201,0))</f>
        <v>8</v>
      </c>
      <c r="T2696" s="3" t="n">
        <f aca="false">INDEX(Summary!$P$2:$P$201,MATCH($B2696,Summary!$A$2:$A$201,0))</f>
        <v>1</v>
      </c>
      <c r="U2696" s="2" t="n">
        <f aca="false">INDEX(Summary!$Q$2:$Q$201,MATCH($B2696,Summary!$A$2:$A$201,0))</f>
        <v>12.86</v>
      </c>
      <c r="V2696" s="2" t="n">
        <f aca="false">INDEX(Summary!$R$2:$R$201,MATCH($B2696,Summary!$A$2:$A$201,0))</f>
        <v>23.78</v>
      </c>
      <c r="W2696" s="0" t="str">
        <f aca="false">INDEX(Summary!$S$2:$S$201,MATCH($B2696,Summary!$A$2:$A$201,0))</f>
        <v>Silver</v>
      </c>
      <c r="X2696" s="2" t="n">
        <f aca="false">INDEX(Summary!$T$2:$T$201,MATCH($B2696,Summary!$A$2:$A$201,0))</f>
        <v>58</v>
      </c>
      <c r="Y2696" s="0" t="str">
        <f aca="false">INDEX('Reward Model'!$E$18:$E$37,MATCH($E2696,'Reward Model'!$A$18:$A$37,0))</f>
        <v>Medium</v>
      </c>
      <c r="Z2696" s="4" t="n">
        <f aca="false">ROUND(MIN(1,MAX('Reward Model'!$B$2,INDEX('Reward Model'!$C$12:$C$14,MATCH($K2696,'Reward Model'!$A$12:$A$14,0))/$J2696)),3)</f>
        <v>1</v>
      </c>
      <c r="AA2696" s="2" t="n">
        <f aca="false">IF($I2696="Correct",ROUND(INDEX('Reward Model'!$B$12:$B$14,MATCH($K2696,'Reward Model'!$A$12:$A$14,0))*Z2696,2),0)</f>
        <v>2</v>
      </c>
      <c r="AB2696" s="2" t="n">
        <f aca="false">IF($I2696="Correct",ROUND(INDEX('Reward Model'!$B$12:$B$14,MATCH($Y2696,'Reward Model'!$A$12:$A$14,0))*Z2696,2),0)</f>
        <v>2</v>
      </c>
    </row>
    <row r="2697" customFormat="false" ht="15" hidden="false" customHeight="false" outlineLevel="0" collapsed="false">
      <c r="A2697" s="0" t="s">
        <v>400</v>
      </c>
      <c r="B2697" s="0" t="s">
        <v>401</v>
      </c>
      <c r="C2697" s="0" t="s">
        <v>322</v>
      </c>
      <c r="D2697" s="0" t="s">
        <v>189</v>
      </c>
      <c r="E2697" s="0" t="n">
        <v>16</v>
      </c>
      <c r="F2697" s="0" t="s">
        <v>71</v>
      </c>
      <c r="G2697" s="0" t="s">
        <v>87</v>
      </c>
      <c r="H2697" s="0" t="s">
        <v>72</v>
      </c>
      <c r="I2697" s="0" t="s">
        <v>39</v>
      </c>
      <c r="J2697" s="0" t="n">
        <v>2.09</v>
      </c>
      <c r="K2697" s="0" t="s">
        <v>73</v>
      </c>
      <c r="L2697" s="0" t="n">
        <f aca="false">INDEX(Summary!$F$2:$F$201,MATCH($B2697,Summary!$A$2:$A$201,0))</f>
        <v>20</v>
      </c>
      <c r="M2697" s="0" t="n">
        <f aca="false">INDEX(Summary!$I$2:$I$201,MATCH($B2697,Summary!$A$2:$A$201,0))</f>
        <v>1</v>
      </c>
      <c r="N2697" s="0" t="n">
        <f aca="false">INDEX(Summary!$J$2:$J$201,MATCH($B2697,Summary!$A$2:$A$201,0))</f>
        <v>4</v>
      </c>
      <c r="O2697" s="2" t="n">
        <f aca="false">INDEX(Summary!$K$2:$K$201,MATCH($B2697,Summary!$A$2:$A$201,0))</f>
        <v>8.83</v>
      </c>
      <c r="P2697" s="3" t="n">
        <f aca="false">INDEX(Summary!$L$2:$L$201,MATCH($B2697,Summary!$A$2:$A$201,0))</f>
        <v>5</v>
      </c>
      <c r="Q2697" s="3" t="n">
        <f aca="false">INDEX(Summary!$M$2:$M$201,MATCH($B2697,Summary!$A$2:$A$201,0))</f>
        <v>1</v>
      </c>
      <c r="R2697" s="2" t="n">
        <f aca="false">INDEX(Summary!$N$2:$N$201,MATCH($B2697,Summary!$A$2:$A$201,0))</f>
        <v>10.02</v>
      </c>
      <c r="S2697" s="3" t="n">
        <f aca="false">INDEX(Summary!$O$2:$O$201,MATCH($B2697,Summary!$A$2:$A$201,0))</f>
        <v>8</v>
      </c>
      <c r="T2697" s="3" t="n">
        <f aca="false">INDEX(Summary!$P$2:$P$201,MATCH($B2697,Summary!$A$2:$A$201,0))</f>
        <v>1</v>
      </c>
      <c r="U2697" s="2" t="n">
        <f aca="false">INDEX(Summary!$Q$2:$Q$201,MATCH($B2697,Summary!$A$2:$A$201,0))</f>
        <v>12.86</v>
      </c>
      <c r="V2697" s="2" t="n">
        <f aca="false">INDEX(Summary!$R$2:$R$201,MATCH($B2697,Summary!$A$2:$A$201,0))</f>
        <v>23.78</v>
      </c>
      <c r="W2697" s="0" t="str">
        <f aca="false">INDEX(Summary!$S$2:$S$201,MATCH($B2697,Summary!$A$2:$A$201,0))</f>
        <v>Silver</v>
      </c>
      <c r="X2697" s="2" t="n">
        <f aca="false">INDEX(Summary!$T$2:$T$201,MATCH($B2697,Summary!$A$2:$A$201,0))</f>
        <v>58</v>
      </c>
      <c r="Y2697" s="0" t="str">
        <f aca="false">INDEX('Reward Model'!$E$18:$E$37,MATCH($E2697,'Reward Model'!$A$18:$A$37,0))</f>
        <v>High</v>
      </c>
      <c r="Z2697" s="4" t="n">
        <f aca="false">ROUND(MIN(1,MAX('Reward Model'!$B$2,INDEX('Reward Model'!$C$12:$C$14,MATCH($K2697,'Reward Model'!$A$12:$A$14,0))/$J2697)),3)</f>
        <v>0.957</v>
      </c>
      <c r="AA2697" s="2" t="n">
        <f aca="false">IF($I2697="Correct",ROUND(INDEX('Reward Model'!$B$12:$B$14,MATCH($K2697,'Reward Model'!$A$12:$A$14,0))*Z2697,2),0)</f>
        <v>0</v>
      </c>
      <c r="AB2697" s="2" t="n">
        <f aca="false">IF($I2697="Correct",ROUND(INDEX('Reward Model'!$B$12:$B$14,MATCH($Y2697,'Reward Model'!$A$12:$A$14,0))*Z2697,2),0)</f>
        <v>0</v>
      </c>
    </row>
    <row r="2698" customFormat="false" ht="15" hidden="false" customHeight="false" outlineLevel="0" collapsed="false">
      <c r="A2698" s="0" t="s">
        <v>400</v>
      </c>
      <c r="B2698" s="0" t="s">
        <v>401</v>
      </c>
      <c r="C2698" s="0" t="s">
        <v>322</v>
      </c>
      <c r="D2698" s="0" t="s">
        <v>189</v>
      </c>
      <c r="E2698" s="0" t="n">
        <v>17</v>
      </c>
      <c r="F2698" s="0" t="s">
        <v>74</v>
      </c>
      <c r="G2698" s="0" t="s">
        <v>105</v>
      </c>
      <c r="H2698" s="0" t="s">
        <v>75</v>
      </c>
      <c r="I2698" s="0" t="s">
        <v>39</v>
      </c>
      <c r="J2698" s="0" t="n">
        <v>1.9</v>
      </c>
      <c r="K2698" s="0" t="s">
        <v>73</v>
      </c>
      <c r="L2698" s="0" t="n">
        <f aca="false">INDEX(Summary!$F$2:$F$201,MATCH($B2698,Summary!$A$2:$A$201,0))</f>
        <v>20</v>
      </c>
      <c r="M2698" s="0" t="n">
        <f aca="false">INDEX(Summary!$I$2:$I$201,MATCH($B2698,Summary!$A$2:$A$201,0))</f>
        <v>1</v>
      </c>
      <c r="N2698" s="0" t="n">
        <f aca="false">INDEX(Summary!$J$2:$J$201,MATCH($B2698,Summary!$A$2:$A$201,0))</f>
        <v>4</v>
      </c>
      <c r="O2698" s="2" t="n">
        <f aca="false">INDEX(Summary!$K$2:$K$201,MATCH($B2698,Summary!$A$2:$A$201,0))</f>
        <v>8.83</v>
      </c>
      <c r="P2698" s="3" t="n">
        <f aca="false">INDEX(Summary!$L$2:$L$201,MATCH($B2698,Summary!$A$2:$A$201,0))</f>
        <v>5</v>
      </c>
      <c r="Q2698" s="3" t="n">
        <f aca="false">INDEX(Summary!$M$2:$M$201,MATCH($B2698,Summary!$A$2:$A$201,0))</f>
        <v>1</v>
      </c>
      <c r="R2698" s="2" t="n">
        <f aca="false">INDEX(Summary!$N$2:$N$201,MATCH($B2698,Summary!$A$2:$A$201,0))</f>
        <v>10.02</v>
      </c>
      <c r="S2698" s="3" t="n">
        <f aca="false">INDEX(Summary!$O$2:$O$201,MATCH($B2698,Summary!$A$2:$A$201,0))</f>
        <v>8</v>
      </c>
      <c r="T2698" s="3" t="n">
        <f aca="false">INDEX(Summary!$P$2:$P$201,MATCH($B2698,Summary!$A$2:$A$201,0))</f>
        <v>1</v>
      </c>
      <c r="U2698" s="2" t="n">
        <f aca="false">INDEX(Summary!$Q$2:$Q$201,MATCH($B2698,Summary!$A$2:$A$201,0))</f>
        <v>12.86</v>
      </c>
      <c r="V2698" s="2" t="n">
        <f aca="false">INDEX(Summary!$R$2:$R$201,MATCH($B2698,Summary!$A$2:$A$201,0))</f>
        <v>23.78</v>
      </c>
      <c r="W2698" s="0" t="str">
        <f aca="false">INDEX(Summary!$S$2:$S$201,MATCH($B2698,Summary!$A$2:$A$201,0))</f>
        <v>Silver</v>
      </c>
      <c r="X2698" s="2" t="n">
        <f aca="false">INDEX(Summary!$T$2:$T$201,MATCH($B2698,Summary!$A$2:$A$201,0))</f>
        <v>58</v>
      </c>
      <c r="Y2698" s="0" t="str">
        <f aca="false">INDEX('Reward Model'!$E$18:$E$37,MATCH($E2698,'Reward Model'!$A$18:$A$37,0))</f>
        <v>High</v>
      </c>
      <c r="Z2698" s="4" t="n">
        <f aca="false">ROUND(MIN(1,MAX('Reward Model'!$B$2,INDEX('Reward Model'!$C$12:$C$14,MATCH($K2698,'Reward Model'!$A$12:$A$14,0))/$J2698)),3)</f>
        <v>1</v>
      </c>
      <c r="AA2698" s="2" t="n">
        <f aca="false">IF($I2698="Correct",ROUND(INDEX('Reward Model'!$B$12:$B$14,MATCH($K2698,'Reward Model'!$A$12:$A$14,0))*Z2698,2),0)</f>
        <v>0</v>
      </c>
      <c r="AB2698" s="2" t="n">
        <f aca="false">IF($I2698="Correct",ROUND(INDEX('Reward Model'!$B$12:$B$14,MATCH($Y2698,'Reward Model'!$A$12:$A$14,0))*Z2698,2),0)</f>
        <v>0</v>
      </c>
    </row>
    <row r="2699" customFormat="false" ht="15" hidden="false" customHeight="false" outlineLevel="0" collapsed="false">
      <c r="A2699" s="0" t="s">
        <v>400</v>
      </c>
      <c r="B2699" s="0" t="s">
        <v>401</v>
      </c>
      <c r="C2699" s="0" t="s">
        <v>322</v>
      </c>
      <c r="D2699" s="0" t="s">
        <v>189</v>
      </c>
      <c r="E2699" s="0" t="n">
        <v>18</v>
      </c>
      <c r="F2699" s="0" t="s">
        <v>76</v>
      </c>
      <c r="G2699" s="0" t="s">
        <v>77</v>
      </c>
      <c r="H2699" s="0" t="s">
        <v>77</v>
      </c>
      <c r="I2699" s="0" t="s">
        <v>34</v>
      </c>
      <c r="J2699" s="0" t="n">
        <v>1.36</v>
      </c>
      <c r="K2699" s="0" t="s">
        <v>73</v>
      </c>
      <c r="L2699" s="0" t="n">
        <f aca="false">INDEX(Summary!$F$2:$F$201,MATCH($B2699,Summary!$A$2:$A$201,0))</f>
        <v>20</v>
      </c>
      <c r="M2699" s="0" t="n">
        <f aca="false">INDEX(Summary!$I$2:$I$201,MATCH($B2699,Summary!$A$2:$A$201,0))</f>
        <v>1</v>
      </c>
      <c r="N2699" s="0" t="n">
        <f aca="false">INDEX(Summary!$J$2:$J$201,MATCH($B2699,Summary!$A$2:$A$201,0))</f>
        <v>4</v>
      </c>
      <c r="O2699" s="2" t="n">
        <f aca="false">INDEX(Summary!$K$2:$K$201,MATCH($B2699,Summary!$A$2:$A$201,0))</f>
        <v>8.83</v>
      </c>
      <c r="P2699" s="3" t="n">
        <f aca="false">INDEX(Summary!$L$2:$L$201,MATCH($B2699,Summary!$A$2:$A$201,0))</f>
        <v>5</v>
      </c>
      <c r="Q2699" s="3" t="n">
        <f aca="false">INDEX(Summary!$M$2:$M$201,MATCH($B2699,Summary!$A$2:$A$201,0))</f>
        <v>1</v>
      </c>
      <c r="R2699" s="2" t="n">
        <f aca="false">INDEX(Summary!$N$2:$N$201,MATCH($B2699,Summary!$A$2:$A$201,0))</f>
        <v>10.02</v>
      </c>
      <c r="S2699" s="3" t="n">
        <f aca="false">INDEX(Summary!$O$2:$O$201,MATCH($B2699,Summary!$A$2:$A$201,0))</f>
        <v>8</v>
      </c>
      <c r="T2699" s="3" t="n">
        <f aca="false">INDEX(Summary!$P$2:$P$201,MATCH($B2699,Summary!$A$2:$A$201,0))</f>
        <v>1</v>
      </c>
      <c r="U2699" s="2" t="n">
        <f aca="false">INDEX(Summary!$Q$2:$Q$201,MATCH($B2699,Summary!$A$2:$A$201,0))</f>
        <v>12.86</v>
      </c>
      <c r="V2699" s="2" t="n">
        <f aca="false">INDEX(Summary!$R$2:$R$201,MATCH($B2699,Summary!$A$2:$A$201,0))</f>
        <v>23.78</v>
      </c>
      <c r="W2699" s="0" t="str">
        <f aca="false">INDEX(Summary!$S$2:$S$201,MATCH($B2699,Summary!$A$2:$A$201,0))</f>
        <v>Silver</v>
      </c>
      <c r="X2699" s="2" t="n">
        <f aca="false">INDEX(Summary!$T$2:$T$201,MATCH($B2699,Summary!$A$2:$A$201,0))</f>
        <v>58</v>
      </c>
      <c r="Y2699" s="0" t="str">
        <f aca="false">INDEX('Reward Model'!$E$18:$E$37,MATCH($E2699,'Reward Model'!$A$18:$A$37,0))</f>
        <v>High</v>
      </c>
      <c r="Z2699" s="4" t="n">
        <f aca="false">ROUND(MIN(1,MAX('Reward Model'!$B$2,INDEX('Reward Model'!$C$12:$C$14,MATCH($K2699,'Reward Model'!$A$12:$A$14,0))/$J2699)),3)</f>
        <v>1</v>
      </c>
      <c r="AA2699" s="2" t="n">
        <f aca="false">IF($I2699="Correct",ROUND(INDEX('Reward Model'!$B$12:$B$14,MATCH($K2699,'Reward Model'!$A$12:$A$14,0))*Z2699,2),0)</f>
        <v>3</v>
      </c>
      <c r="AB2699" s="2" t="n">
        <f aca="false">IF($I2699="Correct",ROUND(INDEX('Reward Model'!$B$12:$B$14,MATCH($Y2699,'Reward Model'!$A$12:$A$14,0))*Z2699,2),0)</f>
        <v>3</v>
      </c>
    </row>
    <row r="2700" customFormat="false" ht="15" hidden="false" customHeight="false" outlineLevel="0" collapsed="false">
      <c r="A2700" s="0" t="s">
        <v>400</v>
      </c>
      <c r="B2700" s="0" t="s">
        <v>401</v>
      </c>
      <c r="C2700" s="0" t="s">
        <v>322</v>
      </c>
      <c r="D2700" s="0" t="s">
        <v>189</v>
      </c>
      <c r="E2700" s="0" t="n">
        <v>19</v>
      </c>
      <c r="F2700" s="0" t="s">
        <v>78</v>
      </c>
      <c r="G2700" s="0" t="s">
        <v>132</v>
      </c>
      <c r="H2700" s="0" t="s">
        <v>80</v>
      </c>
      <c r="I2700" s="0" t="s">
        <v>39</v>
      </c>
      <c r="J2700" s="0" t="n">
        <v>2.11</v>
      </c>
      <c r="K2700" s="0" t="s">
        <v>73</v>
      </c>
      <c r="L2700" s="0" t="n">
        <f aca="false">INDEX(Summary!$F$2:$F$201,MATCH($B2700,Summary!$A$2:$A$201,0))</f>
        <v>20</v>
      </c>
      <c r="M2700" s="0" t="n">
        <f aca="false">INDEX(Summary!$I$2:$I$201,MATCH($B2700,Summary!$A$2:$A$201,0))</f>
        <v>1</v>
      </c>
      <c r="N2700" s="0" t="n">
        <f aca="false">INDEX(Summary!$J$2:$J$201,MATCH($B2700,Summary!$A$2:$A$201,0))</f>
        <v>4</v>
      </c>
      <c r="O2700" s="2" t="n">
        <f aca="false">INDEX(Summary!$K$2:$K$201,MATCH($B2700,Summary!$A$2:$A$201,0))</f>
        <v>8.83</v>
      </c>
      <c r="P2700" s="3" t="n">
        <f aca="false">INDEX(Summary!$L$2:$L$201,MATCH($B2700,Summary!$A$2:$A$201,0))</f>
        <v>5</v>
      </c>
      <c r="Q2700" s="3" t="n">
        <f aca="false">INDEX(Summary!$M$2:$M$201,MATCH($B2700,Summary!$A$2:$A$201,0))</f>
        <v>1</v>
      </c>
      <c r="R2700" s="2" t="n">
        <f aca="false">INDEX(Summary!$N$2:$N$201,MATCH($B2700,Summary!$A$2:$A$201,0))</f>
        <v>10.02</v>
      </c>
      <c r="S2700" s="3" t="n">
        <f aca="false">INDEX(Summary!$O$2:$O$201,MATCH($B2700,Summary!$A$2:$A$201,0))</f>
        <v>8</v>
      </c>
      <c r="T2700" s="3" t="n">
        <f aca="false">INDEX(Summary!$P$2:$P$201,MATCH($B2700,Summary!$A$2:$A$201,0))</f>
        <v>1</v>
      </c>
      <c r="U2700" s="2" t="n">
        <f aca="false">INDEX(Summary!$Q$2:$Q$201,MATCH($B2700,Summary!$A$2:$A$201,0))</f>
        <v>12.86</v>
      </c>
      <c r="V2700" s="2" t="n">
        <f aca="false">INDEX(Summary!$R$2:$R$201,MATCH($B2700,Summary!$A$2:$A$201,0))</f>
        <v>23.78</v>
      </c>
      <c r="W2700" s="0" t="str">
        <f aca="false">INDEX(Summary!$S$2:$S$201,MATCH($B2700,Summary!$A$2:$A$201,0))</f>
        <v>Silver</v>
      </c>
      <c r="X2700" s="2" t="n">
        <f aca="false">INDEX(Summary!$T$2:$T$201,MATCH($B2700,Summary!$A$2:$A$201,0))</f>
        <v>58</v>
      </c>
      <c r="Y2700" s="0" t="str">
        <f aca="false">INDEX('Reward Model'!$E$18:$E$37,MATCH($E2700,'Reward Model'!$A$18:$A$37,0))</f>
        <v>High</v>
      </c>
      <c r="Z2700" s="4" t="n">
        <f aca="false">ROUND(MIN(1,MAX('Reward Model'!$B$2,INDEX('Reward Model'!$C$12:$C$14,MATCH($K2700,'Reward Model'!$A$12:$A$14,0))/$J2700)),3)</f>
        <v>0.948</v>
      </c>
      <c r="AA2700" s="2" t="n">
        <f aca="false">IF($I2700="Correct",ROUND(INDEX('Reward Model'!$B$12:$B$14,MATCH($K2700,'Reward Model'!$A$12:$A$14,0))*Z2700,2),0)</f>
        <v>0</v>
      </c>
      <c r="AB2700" s="2" t="n">
        <f aca="false">IF($I2700="Correct",ROUND(INDEX('Reward Model'!$B$12:$B$14,MATCH($Y2700,'Reward Model'!$A$12:$A$14,0))*Z2700,2),0)</f>
        <v>0</v>
      </c>
    </row>
    <row r="2701" customFormat="false" ht="15" hidden="false" customHeight="false" outlineLevel="0" collapsed="false">
      <c r="A2701" s="0" t="s">
        <v>400</v>
      </c>
      <c r="B2701" s="0" t="s">
        <v>401</v>
      </c>
      <c r="C2701" s="0" t="s">
        <v>322</v>
      </c>
      <c r="D2701" s="0" t="s">
        <v>189</v>
      </c>
      <c r="E2701" s="0" t="n">
        <v>20</v>
      </c>
      <c r="F2701" s="0" t="s">
        <v>81</v>
      </c>
      <c r="G2701" s="0" t="s">
        <v>166</v>
      </c>
      <c r="H2701" s="0" t="s">
        <v>83</v>
      </c>
      <c r="I2701" s="0" t="s">
        <v>39</v>
      </c>
      <c r="J2701" s="0" t="n">
        <v>1.37</v>
      </c>
      <c r="K2701" s="0" t="s">
        <v>73</v>
      </c>
      <c r="L2701" s="0" t="n">
        <f aca="false">INDEX(Summary!$F$2:$F$201,MATCH($B2701,Summary!$A$2:$A$201,0))</f>
        <v>20</v>
      </c>
      <c r="M2701" s="0" t="n">
        <f aca="false">INDEX(Summary!$I$2:$I$201,MATCH($B2701,Summary!$A$2:$A$201,0))</f>
        <v>1</v>
      </c>
      <c r="N2701" s="0" t="n">
        <f aca="false">INDEX(Summary!$J$2:$J$201,MATCH($B2701,Summary!$A$2:$A$201,0))</f>
        <v>4</v>
      </c>
      <c r="O2701" s="2" t="n">
        <f aca="false">INDEX(Summary!$K$2:$K$201,MATCH($B2701,Summary!$A$2:$A$201,0))</f>
        <v>8.83</v>
      </c>
      <c r="P2701" s="3" t="n">
        <f aca="false">INDEX(Summary!$L$2:$L$201,MATCH($B2701,Summary!$A$2:$A$201,0))</f>
        <v>5</v>
      </c>
      <c r="Q2701" s="3" t="n">
        <f aca="false">INDEX(Summary!$M$2:$M$201,MATCH($B2701,Summary!$A$2:$A$201,0))</f>
        <v>1</v>
      </c>
      <c r="R2701" s="2" t="n">
        <f aca="false">INDEX(Summary!$N$2:$N$201,MATCH($B2701,Summary!$A$2:$A$201,0))</f>
        <v>10.02</v>
      </c>
      <c r="S2701" s="3" t="n">
        <f aca="false">INDEX(Summary!$O$2:$O$201,MATCH($B2701,Summary!$A$2:$A$201,0))</f>
        <v>8</v>
      </c>
      <c r="T2701" s="3" t="n">
        <f aca="false">INDEX(Summary!$P$2:$P$201,MATCH($B2701,Summary!$A$2:$A$201,0))</f>
        <v>1</v>
      </c>
      <c r="U2701" s="2" t="n">
        <f aca="false">INDEX(Summary!$Q$2:$Q$201,MATCH($B2701,Summary!$A$2:$A$201,0))</f>
        <v>12.86</v>
      </c>
      <c r="V2701" s="2" t="n">
        <f aca="false">INDEX(Summary!$R$2:$R$201,MATCH($B2701,Summary!$A$2:$A$201,0))</f>
        <v>23.78</v>
      </c>
      <c r="W2701" s="0" t="str">
        <f aca="false">INDEX(Summary!$S$2:$S$201,MATCH($B2701,Summary!$A$2:$A$201,0))</f>
        <v>Silver</v>
      </c>
      <c r="X2701" s="2" t="n">
        <f aca="false">INDEX(Summary!$T$2:$T$201,MATCH($B2701,Summary!$A$2:$A$201,0))</f>
        <v>58</v>
      </c>
      <c r="Y2701" s="0" t="str">
        <f aca="false">INDEX('Reward Model'!$E$18:$E$37,MATCH($E2701,'Reward Model'!$A$18:$A$37,0))</f>
        <v>High</v>
      </c>
      <c r="Z2701" s="4" t="n">
        <f aca="false">ROUND(MIN(1,MAX('Reward Model'!$B$2,INDEX('Reward Model'!$C$12:$C$14,MATCH($K2701,'Reward Model'!$A$12:$A$14,0))/$J2701)),3)</f>
        <v>1</v>
      </c>
      <c r="AA2701" s="2" t="n">
        <f aca="false">IF($I2701="Correct",ROUND(INDEX('Reward Model'!$B$12:$B$14,MATCH($K2701,'Reward Model'!$A$12:$A$14,0))*Z2701,2),0)</f>
        <v>0</v>
      </c>
      <c r="AB2701" s="2" t="n">
        <f aca="false">IF($I2701="Correct",ROUND(INDEX('Reward Model'!$B$12:$B$14,MATCH($Y2701,'Reward Model'!$A$12:$A$14,0))*Z2701,2),0)</f>
        <v>0</v>
      </c>
    </row>
    <row r="2702" customFormat="false" ht="15" hidden="false" customHeight="false" outlineLevel="0" collapsed="false">
      <c r="A2702" s="0" t="s">
        <v>402</v>
      </c>
      <c r="B2702" s="0" t="s">
        <v>403</v>
      </c>
      <c r="C2702" s="0" t="s">
        <v>322</v>
      </c>
      <c r="D2702" s="0" t="s">
        <v>189</v>
      </c>
      <c r="E2702" s="0" t="n">
        <v>1</v>
      </c>
      <c r="F2702" s="0" t="s">
        <v>32</v>
      </c>
      <c r="G2702" s="0" t="s">
        <v>33</v>
      </c>
      <c r="H2702" s="0" t="s">
        <v>33</v>
      </c>
      <c r="I2702" s="0" t="s">
        <v>34</v>
      </c>
      <c r="J2702" s="0" t="n">
        <v>1.1</v>
      </c>
      <c r="K2702" s="0" t="s">
        <v>35</v>
      </c>
      <c r="L2702" s="0" t="n">
        <f aca="false">INDEX(Summary!$F$2:$F$201,MATCH($B2702,Summary!$A$2:$A$201,0))</f>
        <v>20</v>
      </c>
      <c r="M2702" s="0" t="n">
        <f aca="false">INDEX(Summary!$I$2:$I$201,MATCH($B2702,Summary!$A$2:$A$201,0))</f>
        <v>4</v>
      </c>
      <c r="N2702" s="0" t="n">
        <f aca="false">INDEX(Summary!$J$2:$J$201,MATCH($B2702,Summary!$A$2:$A$201,0))</f>
        <v>1</v>
      </c>
      <c r="O2702" s="2" t="n">
        <f aca="false">INDEX(Summary!$K$2:$K$201,MATCH($B2702,Summary!$A$2:$A$201,0))</f>
        <v>9.64</v>
      </c>
      <c r="P2702" s="3" t="n">
        <f aca="false">INDEX(Summary!$L$2:$L$201,MATCH($B2702,Summary!$A$2:$A$201,0))</f>
        <v>5</v>
      </c>
      <c r="Q2702" s="3" t="n">
        <f aca="false">INDEX(Summary!$M$2:$M$201,MATCH($B2702,Summary!$A$2:$A$201,0))</f>
        <v>1</v>
      </c>
      <c r="R2702" s="2" t="n">
        <f aca="false">INDEX(Summary!$N$2:$N$201,MATCH($B2702,Summary!$A$2:$A$201,0))</f>
        <v>10</v>
      </c>
      <c r="S2702" s="3" t="n">
        <f aca="false">INDEX(Summary!$O$2:$O$201,MATCH($B2702,Summary!$A$2:$A$201,0))</f>
        <v>7</v>
      </c>
      <c r="T2702" s="3" t="n">
        <f aca="false">INDEX(Summary!$P$2:$P$201,MATCH($B2702,Summary!$A$2:$A$201,0))</f>
        <v>2</v>
      </c>
      <c r="U2702" s="2" t="n">
        <f aca="false">INDEX(Summary!$Q$2:$Q$201,MATCH($B2702,Summary!$A$2:$A$201,0))</f>
        <v>11.9</v>
      </c>
      <c r="V2702" s="2" t="n">
        <f aca="false">INDEX(Summary!$R$2:$R$201,MATCH($B2702,Summary!$A$2:$A$201,0))</f>
        <v>30.96</v>
      </c>
      <c r="W2702" s="0" t="str">
        <f aca="false">INDEX(Summary!$S$2:$S$201,MATCH($B2702,Summary!$A$2:$A$201,0))</f>
        <v>Gold</v>
      </c>
      <c r="X2702" s="2" t="n">
        <f aca="false">INDEX(Summary!$T$2:$T$201,MATCH($B2702,Summary!$A$2:$A$201,0))</f>
        <v>75.51</v>
      </c>
      <c r="Y2702" s="0" t="str">
        <f aca="false">INDEX('Reward Model'!$E$18:$E$37,MATCH($E2702,'Reward Model'!$A$18:$A$37,0))</f>
        <v>Medium</v>
      </c>
      <c r="Z2702" s="4" t="n">
        <f aca="false">ROUND(MIN(1,MAX('Reward Model'!$B$2,INDEX('Reward Model'!$C$12:$C$14,MATCH($K2702,'Reward Model'!$A$12:$A$14,0))/$J2702)),3)</f>
        <v>1</v>
      </c>
      <c r="AA2702" s="2" t="n">
        <f aca="false">IF($I2702="Correct",ROUND(INDEX('Reward Model'!$B$12:$B$14,MATCH($K2702,'Reward Model'!$A$12:$A$14,0))*Z2702,2),0)</f>
        <v>1</v>
      </c>
      <c r="AB2702" s="2" t="n">
        <f aca="false">IF($I2702="Correct",ROUND(INDEX('Reward Model'!$B$12:$B$14,MATCH($Y2702,'Reward Model'!$A$12:$A$14,0))*Z2702,2),0)</f>
        <v>2</v>
      </c>
    </row>
    <row r="2703" customFormat="false" ht="15" hidden="false" customHeight="false" outlineLevel="0" collapsed="false">
      <c r="A2703" s="0" t="s">
        <v>402</v>
      </c>
      <c r="B2703" s="0" t="s">
        <v>403</v>
      </c>
      <c r="C2703" s="0" t="s">
        <v>322</v>
      </c>
      <c r="D2703" s="0" t="s">
        <v>189</v>
      </c>
      <c r="E2703" s="0" t="n">
        <v>2</v>
      </c>
      <c r="F2703" s="0" t="s">
        <v>36</v>
      </c>
      <c r="G2703" s="0" t="s">
        <v>37</v>
      </c>
      <c r="H2703" s="0" t="s">
        <v>38</v>
      </c>
      <c r="I2703" s="0" t="s">
        <v>39</v>
      </c>
      <c r="J2703" s="0" t="n">
        <v>1.2</v>
      </c>
      <c r="K2703" s="0" t="s">
        <v>35</v>
      </c>
      <c r="L2703" s="0" t="n">
        <f aca="false">INDEX(Summary!$F$2:$F$201,MATCH($B2703,Summary!$A$2:$A$201,0))</f>
        <v>20</v>
      </c>
      <c r="M2703" s="0" t="n">
        <f aca="false">INDEX(Summary!$I$2:$I$201,MATCH($B2703,Summary!$A$2:$A$201,0))</f>
        <v>4</v>
      </c>
      <c r="N2703" s="0" t="n">
        <f aca="false">INDEX(Summary!$J$2:$J$201,MATCH($B2703,Summary!$A$2:$A$201,0))</f>
        <v>1</v>
      </c>
      <c r="O2703" s="2" t="n">
        <f aca="false">INDEX(Summary!$K$2:$K$201,MATCH($B2703,Summary!$A$2:$A$201,0))</f>
        <v>9.64</v>
      </c>
      <c r="P2703" s="3" t="n">
        <f aca="false">INDEX(Summary!$L$2:$L$201,MATCH($B2703,Summary!$A$2:$A$201,0))</f>
        <v>5</v>
      </c>
      <c r="Q2703" s="3" t="n">
        <f aca="false">INDEX(Summary!$M$2:$M$201,MATCH($B2703,Summary!$A$2:$A$201,0))</f>
        <v>1</v>
      </c>
      <c r="R2703" s="2" t="n">
        <f aca="false">INDEX(Summary!$N$2:$N$201,MATCH($B2703,Summary!$A$2:$A$201,0))</f>
        <v>10</v>
      </c>
      <c r="S2703" s="3" t="n">
        <f aca="false">INDEX(Summary!$O$2:$O$201,MATCH($B2703,Summary!$A$2:$A$201,0))</f>
        <v>7</v>
      </c>
      <c r="T2703" s="3" t="n">
        <f aca="false">INDEX(Summary!$P$2:$P$201,MATCH($B2703,Summary!$A$2:$A$201,0))</f>
        <v>2</v>
      </c>
      <c r="U2703" s="2" t="n">
        <f aca="false">INDEX(Summary!$Q$2:$Q$201,MATCH($B2703,Summary!$A$2:$A$201,0))</f>
        <v>11.9</v>
      </c>
      <c r="V2703" s="2" t="n">
        <f aca="false">INDEX(Summary!$R$2:$R$201,MATCH($B2703,Summary!$A$2:$A$201,0))</f>
        <v>30.96</v>
      </c>
      <c r="W2703" s="0" t="str">
        <f aca="false">INDEX(Summary!$S$2:$S$201,MATCH($B2703,Summary!$A$2:$A$201,0))</f>
        <v>Gold</v>
      </c>
      <c r="X2703" s="2" t="n">
        <f aca="false">INDEX(Summary!$T$2:$T$201,MATCH($B2703,Summary!$A$2:$A$201,0))</f>
        <v>75.51</v>
      </c>
      <c r="Y2703" s="0" t="str">
        <f aca="false">INDEX('Reward Model'!$E$18:$E$37,MATCH($E2703,'Reward Model'!$A$18:$A$37,0))</f>
        <v>Low</v>
      </c>
      <c r="Z2703" s="4" t="n">
        <f aca="false">ROUND(MIN(1,MAX('Reward Model'!$B$2,INDEX('Reward Model'!$C$12:$C$14,MATCH($K2703,'Reward Model'!$A$12:$A$14,0))/$J2703)),3)</f>
        <v>1</v>
      </c>
      <c r="AA2703" s="2" t="n">
        <f aca="false">IF($I2703="Correct",ROUND(INDEX('Reward Model'!$B$12:$B$14,MATCH($K2703,'Reward Model'!$A$12:$A$14,0))*Z2703,2),0)</f>
        <v>0</v>
      </c>
      <c r="AB2703" s="2" t="n">
        <f aca="false">IF($I2703="Correct",ROUND(INDEX('Reward Model'!$B$12:$B$14,MATCH($Y2703,'Reward Model'!$A$12:$A$14,0))*Z2703,2),0)</f>
        <v>0</v>
      </c>
    </row>
    <row r="2704" customFormat="false" ht="15" hidden="false" customHeight="false" outlineLevel="0" collapsed="false">
      <c r="A2704" s="0" t="s">
        <v>402</v>
      </c>
      <c r="B2704" s="0" t="s">
        <v>403</v>
      </c>
      <c r="C2704" s="0" t="s">
        <v>322</v>
      </c>
      <c r="D2704" s="0" t="s">
        <v>189</v>
      </c>
      <c r="E2704" s="0" t="n">
        <v>3</v>
      </c>
      <c r="F2704" s="0" t="s">
        <v>40</v>
      </c>
      <c r="G2704" s="0" t="s">
        <v>42</v>
      </c>
      <c r="H2704" s="0" t="s">
        <v>42</v>
      </c>
      <c r="I2704" s="0" t="s">
        <v>34</v>
      </c>
      <c r="J2704" s="0" t="n">
        <v>0.98</v>
      </c>
      <c r="K2704" s="0" t="s">
        <v>35</v>
      </c>
      <c r="L2704" s="0" t="n">
        <f aca="false">INDEX(Summary!$F$2:$F$201,MATCH($B2704,Summary!$A$2:$A$201,0))</f>
        <v>20</v>
      </c>
      <c r="M2704" s="0" t="n">
        <f aca="false">INDEX(Summary!$I$2:$I$201,MATCH($B2704,Summary!$A$2:$A$201,0))</f>
        <v>4</v>
      </c>
      <c r="N2704" s="0" t="n">
        <f aca="false">INDEX(Summary!$J$2:$J$201,MATCH($B2704,Summary!$A$2:$A$201,0))</f>
        <v>1</v>
      </c>
      <c r="O2704" s="2" t="n">
        <f aca="false">INDEX(Summary!$K$2:$K$201,MATCH($B2704,Summary!$A$2:$A$201,0))</f>
        <v>9.64</v>
      </c>
      <c r="P2704" s="3" t="n">
        <f aca="false">INDEX(Summary!$L$2:$L$201,MATCH($B2704,Summary!$A$2:$A$201,0))</f>
        <v>5</v>
      </c>
      <c r="Q2704" s="3" t="n">
        <f aca="false">INDEX(Summary!$M$2:$M$201,MATCH($B2704,Summary!$A$2:$A$201,0))</f>
        <v>1</v>
      </c>
      <c r="R2704" s="2" t="n">
        <f aca="false">INDEX(Summary!$N$2:$N$201,MATCH($B2704,Summary!$A$2:$A$201,0))</f>
        <v>10</v>
      </c>
      <c r="S2704" s="3" t="n">
        <f aca="false">INDEX(Summary!$O$2:$O$201,MATCH($B2704,Summary!$A$2:$A$201,0))</f>
        <v>7</v>
      </c>
      <c r="T2704" s="3" t="n">
        <f aca="false">INDEX(Summary!$P$2:$P$201,MATCH($B2704,Summary!$A$2:$A$201,0))</f>
        <v>2</v>
      </c>
      <c r="U2704" s="2" t="n">
        <f aca="false">INDEX(Summary!$Q$2:$Q$201,MATCH($B2704,Summary!$A$2:$A$201,0))</f>
        <v>11.9</v>
      </c>
      <c r="V2704" s="2" t="n">
        <f aca="false">INDEX(Summary!$R$2:$R$201,MATCH($B2704,Summary!$A$2:$A$201,0))</f>
        <v>30.96</v>
      </c>
      <c r="W2704" s="0" t="str">
        <f aca="false">INDEX(Summary!$S$2:$S$201,MATCH($B2704,Summary!$A$2:$A$201,0))</f>
        <v>Gold</v>
      </c>
      <c r="X2704" s="2" t="n">
        <f aca="false">INDEX(Summary!$T$2:$T$201,MATCH($B2704,Summary!$A$2:$A$201,0))</f>
        <v>75.51</v>
      </c>
      <c r="Y2704" s="0" t="str">
        <f aca="false">INDEX('Reward Model'!$E$18:$E$37,MATCH($E2704,'Reward Model'!$A$18:$A$37,0))</f>
        <v>Medium</v>
      </c>
      <c r="Z2704" s="4" t="n">
        <f aca="false">ROUND(MIN(1,MAX('Reward Model'!$B$2,INDEX('Reward Model'!$C$12:$C$14,MATCH($K2704,'Reward Model'!$A$12:$A$14,0))/$J2704)),3)</f>
        <v>1</v>
      </c>
      <c r="AA2704" s="2" t="n">
        <f aca="false">IF($I2704="Correct",ROUND(INDEX('Reward Model'!$B$12:$B$14,MATCH($K2704,'Reward Model'!$A$12:$A$14,0))*Z2704,2),0)</f>
        <v>1</v>
      </c>
      <c r="AB2704" s="2" t="n">
        <f aca="false">IF($I2704="Correct",ROUND(INDEX('Reward Model'!$B$12:$B$14,MATCH($Y2704,'Reward Model'!$A$12:$A$14,0))*Z2704,2),0)</f>
        <v>2</v>
      </c>
    </row>
    <row r="2705" customFormat="false" ht="15" hidden="false" customHeight="false" outlineLevel="0" collapsed="false">
      <c r="A2705" s="0" t="s">
        <v>402</v>
      </c>
      <c r="B2705" s="0" t="s">
        <v>403</v>
      </c>
      <c r="C2705" s="0" t="s">
        <v>322</v>
      </c>
      <c r="D2705" s="0" t="s">
        <v>189</v>
      </c>
      <c r="E2705" s="0" t="n">
        <v>4</v>
      </c>
      <c r="F2705" s="0" t="s">
        <v>43</v>
      </c>
      <c r="G2705" s="0" t="s">
        <v>45</v>
      </c>
      <c r="H2705" s="0" t="s">
        <v>45</v>
      </c>
      <c r="I2705" s="0" t="s">
        <v>34</v>
      </c>
      <c r="J2705" s="0" t="n">
        <v>1.9</v>
      </c>
      <c r="K2705" s="0" t="s">
        <v>35</v>
      </c>
      <c r="L2705" s="0" t="n">
        <f aca="false">INDEX(Summary!$F$2:$F$201,MATCH($B2705,Summary!$A$2:$A$201,0))</f>
        <v>20</v>
      </c>
      <c r="M2705" s="0" t="n">
        <f aca="false">INDEX(Summary!$I$2:$I$201,MATCH($B2705,Summary!$A$2:$A$201,0))</f>
        <v>4</v>
      </c>
      <c r="N2705" s="0" t="n">
        <f aca="false">INDEX(Summary!$J$2:$J$201,MATCH($B2705,Summary!$A$2:$A$201,0))</f>
        <v>1</v>
      </c>
      <c r="O2705" s="2" t="n">
        <f aca="false">INDEX(Summary!$K$2:$K$201,MATCH($B2705,Summary!$A$2:$A$201,0))</f>
        <v>9.64</v>
      </c>
      <c r="P2705" s="3" t="n">
        <f aca="false">INDEX(Summary!$L$2:$L$201,MATCH($B2705,Summary!$A$2:$A$201,0))</f>
        <v>5</v>
      </c>
      <c r="Q2705" s="3" t="n">
        <f aca="false">INDEX(Summary!$M$2:$M$201,MATCH($B2705,Summary!$A$2:$A$201,0))</f>
        <v>1</v>
      </c>
      <c r="R2705" s="2" t="n">
        <f aca="false">INDEX(Summary!$N$2:$N$201,MATCH($B2705,Summary!$A$2:$A$201,0))</f>
        <v>10</v>
      </c>
      <c r="S2705" s="3" t="n">
        <f aca="false">INDEX(Summary!$O$2:$O$201,MATCH($B2705,Summary!$A$2:$A$201,0))</f>
        <v>7</v>
      </c>
      <c r="T2705" s="3" t="n">
        <f aca="false">INDEX(Summary!$P$2:$P$201,MATCH($B2705,Summary!$A$2:$A$201,0))</f>
        <v>2</v>
      </c>
      <c r="U2705" s="2" t="n">
        <f aca="false">INDEX(Summary!$Q$2:$Q$201,MATCH($B2705,Summary!$A$2:$A$201,0))</f>
        <v>11.9</v>
      </c>
      <c r="V2705" s="2" t="n">
        <f aca="false">INDEX(Summary!$R$2:$R$201,MATCH($B2705,Summary!$A$2:$A$201,0))</f>
        <v>30.96</v>
      </c>
      <c r="W2705" s="0" t="str">
        <f aca="false">INDEX(Summary!$S$2:$S$201,MATCH($B2705,Summary!$A$2:$A$201,0))</f>
        <v>Gold</v>
      </c>
      <c r="X2705" s="2" t="n">
        <f aca="false">INDEX(Summary!$T$2:$T$201,MATCH($B2705,Summary!$A$2:$A$201,0))</f>
        <v>75.51</v>
      </c>
      <c r="Y2705" s="0" t="str">
        <f aca="false">INDEX('Reward Model'!$E$18:$E$37,MATCH($E2705,'Reward Model'!$A$18:$A$37,0))</f>
        <v>Low</v>
      </c>
      <c r="Z2705" s="4" t="n">
        <f aca="false">ROUND(MIN(1,MAX('Reward Model'!$B$2,INDEX('Reward Model'!$C$12:$C$14,MATCH($K2705,'Reward Model'!$A$12:$A$14,0))/$J2705)),3)</f>
        <v>0.789</v>
      </c>
      <c r="AA2705" s="2" t="n">
        <f aca="false">IF($I2705="Correct",ROUND(INDEX('Reward Model'!$B$12:$B$14,MATCH($K2705,'Reward Model'!$A$12:$A$14,0))*Z2705,2),0)</f>
        <v>0.79</v>
      </c>
      <c r="AB2705" s="2" t="n">
        <f aca="false">IF($I2705="Correct",ROUND(INDEX('Reward Model'!$B$12:$B$14,MATCH($Y2705,'Reward Model'!$A$12:$A$14,0))*Z2705,2),0)</f>
        <v>0.79</v>
      </c>
    </row>
    <row r="2706" customFormat="false" ht="15" hidden="false" customHeight="false" outlineLevel="0" collapsed="false">
      <c r="A2706" s="0" t="s">
        <v>402</v>
      </c>
      <c r="B2706" s="0" t="s">
        <v>403</v>
      </c>
      <c r="C2706" s="0" t="s">
        <v>322</v>
      </c>
      <c r="D2706" s="0" t="s">
        <v>189</v>
      </c>
      <c r="E2706" s="0" t="n">
        <v>5</v>
      </c>
      <c r="F2706" s="0" t="s">
        <v>46</v>
      </c>
      <c r="G2706" s="0" t="s">
        <v>47</v>
      </c>
      <c r="H2706" s="0" t="s">
        <v>47</v>
      </c>
      <c r="I2706" s="0" t="s">
        <v>34</v>
      </c>
      <c r="J2706" s="0" t="n">
        <v>1.07</v>
      </c>
      <c r="K2706" s="0" t="s">
        <v>35</v>
      </c>
      <c r="L2706" s="0" t="n">
        <f aca="false">INDEX(Summary!$F$2:$F$201,MATCH($B2706,Summary!$A$2:$A$201,0))</f>
        <v>20</v>
      </c>
      <c r="M2706" s="0" t="n">
        <f aca="false">INDEX(Summary!$I$2:$I$201,MATCH($B2706,Summary!$A$2:$A$201,0))</f>
        <v>4</v>
      </c>
      <c r="N2706" s="0" t="n">
        <f aca="false">INDEX(Summary!$J$2:$J$201,MATCH($B2706,Summary!$A$2:$A$201,0))</f>
        <v>1</v>
      </c>
      <c r="O2706" s="2" t="n">
        <f aca="false">INDEX(Summary!$K$2:$K$201,MATCH($B2706,Summary!$A$2:$A$201,0))</f>
        <v>9.64</v>
      </c>
      <c r="P2706" s="3" t="n">
        <f aca="false">INDEX(Summary!$L$2:$L$201,MATCH($B2706,Summary!$A$2:$A$201,0))</f>
        <v>5</v>
      </c>
      <c r="Q2706" s="3" t="n">
        <f aca="false">INDEX(Summary!$M$2:$M$201,MATCH($B2706,Summary!$A$2:$A$201,0))</f>
        <v>1</v>
      </c>
      <c r="R2706" s="2" t="n">
        <f aca="false">INDEX(Summary!$N$2:$N$201,MATCH($B2706,Summary!$A$2:$A$201,0))</f>
        <v>10</v>
      </c>
      <c r="S2706" s="3" t="n">
        <f aca="false">INDEX(Summary!$O$2:$O$201,MATCH($B2706,Summary!$A$2:$A$201,0))</f>
        <v>7</v>
      </c>
      <c r="T2706" s="3" t="n">
        <f aca="false">INDEX(Summary!$P$2:$P$201,MATCH($B2706,Summary!$A$2:$A$201,0))</f>
        <v>2</v>
      </c>
      <c r="U2706" s="2" t="n">
        <f aca="false">INDEX(Summary!$Q$2:$Q$201,MATCH($B2706,Summary!$A$2:$A$201,0))</f>
        <v>11.9</v>
      </c>
      <c r="V2706" s="2" t="n">
        <f aca="false">INDEX(Summary!$R$2:$R$201,MATCH($B2706,Summary!$A$2:$A$201,0))</f>
        <v>30.96</v>
      </c>
      <c r="W2706" s="0" t="str">
        <f aca="false">INDEX(Summary!$S$2:$S$201,MATCH($B2706,Summary!$A$2:$A$201,0))</f>
        <v>Gold</v>
      </c>
      <c r="X2706" s="2" t="n">
        <f aca="false">INDEX(Summary!$T$2:$T$201,MATCH($B2706,Summary!$A$2:$A$201,0))</f>
        <v>75.51</v>
      </c>
      <c r="Y2706" s="0" t="str">
        <f aca="false">INDEX('Reward Model'!$E$18:$E$37,MATCH($E2706,'Reward Model'!$A$18:$A$37,0))</f>
        <v>Low</v>
      </c>
      <c r="Z2706" s="4" t="n">
        <f aca="false">ROUND(MIN(1,MAX('Reward Model'!$B$2,INDEX('Reward Model'!$C$12:$C$14,MATCH($K2706,'Reward Model'!$A$12:$A$14,0))/$J2706)),3)</f>
        <v>1</v>
      </c>
      <c r="AA2706" s="2" t="n">
        <f aca="false">IF($I2706="Correct",ROUND(INDEX('Reward Model'!$B$12:$B$14,MATCH($K2706,'Reward Model'!$A$12:$A$14,0))*Z2706,2),0)</f>
        <v>1</v>
      </c>
      <c r="AB2706" s="2" t="n">
        <f aca="false">IF($I2706="Correct",ROUND(INDEX('Reward Model'!$B$12:$B$14,MATCH($Y2706,'Reward Model'!$A$12:$A$14,0))*Z2706,2),0)</f>
        <v>1</v>
      </c>
    </row>
    <row r="2707" customFormat="false" ht="15" hidden="false" customHeight="false" outlineLevel="0" collapsed="false">
      <c r="A2707" s="0" t="s">
        <v>402</v>
      </c>
      <c r="B2707" s="0" t="s">
        <v>403</v>
      </c>
      <c r="C2707" s="0" t="s">
        <v>322</v>
      </c>
      <c r="D2707" s="0" t="s">
        <v>189</v>
      </c>
      <c r="E2707" s="0" t="n">
        <v>6</v>
      </c>
      <c r="F2707" s="0" t="s">
        <v>48</v>
      </c>
      <c r="G2707" s="0" t="s">
        <v>169</v>
      </c>
      <c r="H2707" s="0" t="s">
        <v>49</v>
      </c>
      <c r="I2707" s="0" t="s">
        <v>39</v>
      </c>
      <c r="J2707" s="0" t="n">
        <v>1.39</v>
      </c>
      <c r="K2707" s="0" t="s">
        <v>35</v>
      </c>
      <c r="L2707" s="0" t="n">
        <f aca="false">INDEX(Summary!$F$2:$F$201,MATCH($B2707,Summary!$A$2:$A$201,0))</f>
        <v>20</v>
      </c>
      <c r="M2707" s="0" t="n">
        <f aca="false">INDEX(Summary!$I$2:$I$201,MATCH($B2707,Summary!$A$2:$A$201,0))</f>
        <v>4</v>
      </c>
      <c r="N2707" s="0" t="n">
        <f aca="false">INDEX(Summary!$J$2:$J$201,MATCH($B2707,Summary!$A$2:$A$201,0))</f>
        <v>1</v>
      </c>
      <c r="O2707" s="2" t="n">
        <f aca="false">INDEX(Summary!$K$2:$K$201,MATCH($B2707,Summary!$A$2:$A$201,0))</f>
        <v>9.64</v>
      </c>
      <c r="P2707" s="3" t="n">
        <f aca="false">INDEX(Summary!$L$2:$L$201,MATCH($B2707,Summary!$A$2:$A$201,0))</f>
        <v>5</v>
      </c>
      <c r="Q2707" s="3" t="n">
        <f aca="false">INDEX(Summary!$M$2:$M$201,MATCH($B2707,Summary!$A$2:$A$201,0))</f>
        <v>1</v>
      </c>
      <c r="R2707" s="2" t="n">
        <f aca="false">INDEX(Summary!$N$2:$N$201,MATCH($B2707,Summary!$A$2:$A$201,0))</f>
        <v>10</v>
      </c>
      <c r="S2707" s="3" t="n">
        <f aca="false">INDEX(Summary!$O$2:$O$201,MATCH($B2707,Summary!$A$2:$A$201,0))</f>
        <v>7</v>
      </c>
      <c r="T2707" s="3" t="n">
        <f aca="false">INDEX(Summary!$P$2:$P$201,MATCH($B2707,Summary!$A$2:$A$201,0))</f>
        <v>2</v>
      </c>
      <c r="U2707" s="2" t="n">
        <f aca="false">INDEX(Summary!$Q$2:$Q$201,MATCH($B2707,Summary!$A$2:$A$201,0))</f>
        <v>11.9</v>
      </c>
      <c r="V2707" s="2" t="n">
        <f aca="false">INDEX(Summary!$R$2:$R$201,MATCH($B2707,Summary!$A$2:$A$201,0))</f>
        <v>30.96</v>
      </c>
      <c r="W2707" s="0" t="str">
        <f aca="false">INDEX(Summary!$S$2:$S$201,MATCH($B2707,Summary!$A$2:$A$201,0))</f>
        <v>Gold</v>
      </c>
      <c r="X2707" s="2" t="n">
        <f aca="false">INDEX(Summary!$T$2:$T$201,MATCH($B2707,Summary!$A$2:$A$201,0))</f>
        <v>75.51</v>
      </c>
      <c r="Y2707" s="0" t="str">
        <f aca="false">INDEX('Reward Model'!$E$18:$E$37,MATCH($E2707,'Reward Model'!$A$18:$A$37,0))</f>
        <v>Medium</v>
      </c>
      <c r="Z2707" s="4" t="n">
        <f aca="false">ROUND(MIN(1,MAX('Reward Model'!$B$2,INDEX('Reward Model'!$C$12:$C$14,MATCH($K2707,'Reward Model'!$A$12:$A$14,0))/$J2707)),3)</f>
        <v>1</v>
      </c>
      <c r="AA2707" s="2" t="n">
        <f aca="false">IF($I2707="Correct",ROUND(INDEX('Reward Model'!$B$12:$B$14,MATCH($K2707,'Reward Model'!$A$12:$A$14,0))*Z2707,2),0)</f>
        <v>0</v>
      </c>
      <c r="AB2707" s="2" t="n">
        <f aca="false">IF($I2707="Correct",ROUND(INDEX('Reward Model'!$B$12:$B$14,MATCH($Y2707,'Reward Model'!$A$12:$A$14,0))*Z2707,2),0)</f>
        <v>0</v>
      </c>
    </row>
    <row r="2708" customFormat="false" ht="15" hidden="false" customHeight="false" outlineLevel="0" collapsed="false">
      <c r="A2708" s="0" t="s">
        <v>402</v>
      </c>
      <c r="B2708" s="0" t="s">
        <v>403</v>
      </c>
      <c r="C2708" s="0" t="s">
        <v>322</v>
      </c>
      <c r="D2708" s="0" t="s">
        <v>189</v>
      </c>
      <c r="E2708" s="0" t="n">
        <v>7</v>
      </c>
      <c r="F2708" s="0" t="s">
        <v>50</v>
      </c>
      <c r="G2708" s="0" t="s">
        <v>51</v>
      </c>
      <c r="H2708" s="0" t="s">
        <v>51</v>
      </c>
      <c r="I2708" s="0" t="s">
        <v>34</v>
      </c>
      <c r="J2708" s="0" t="n">
        <v>1.94</v>
      </c>
      <c r="K2708" s="0" t="s">
        <v>35</v>
      </c>
      <c r="L2708" s="0" t="n">
        <f aca="false">INDEX(Summary!$F$2:$F$201,MATCH($B2708,Summary!$A$2:$A$201,0))</f>
        <v>20</v>
      </c>
      <c r="M2708" s="0" t="n">
        <f aca="false">INDEX(Summary!$I$2:$I$201,MATCH($B2708,Summary!$A$2:$A$201,0))</f>
        <v>4</v>
      </c>
      <c r="N2708" s="0" t="n">
        <f aca="false">INDEX(Summary!$J$2:$J$201,MATCH($B2708,Summary!$A$2:$A$201,0))</f>
        <v>1</v>
      </c>
      <c r="O2708" s="2" t="n">
        <f aca="false">INDEX(Summary!$K$2:$K$201,MATCH($B2708,Summary!$A$2:$A$201,0))</f>
        <v>9.64</v>
      </c>
      <c r="P2708" s="3" t="n">
        <f aca="false">INDEX(Summary!$L$2:$L$201,MATCH($B2708,Summary!$A$2:$A$201,0))</f>
        <v>5</v>
      </c>
      <c r="Q2708" s="3" t="n">
        <f aca="false">INDEX(Summary!$M$2:$M$201,MATCH($B2708,Summary!$A$2:$A$201,0))</f>
        <v>1</v>
      </c>
      <c r="R2708" s="2" t="n">
        <f aca="false">INDEX(Summary!$N$2:$N$201,MATCH($B2708,Summary!$A$2:$A$201,0))</f>
        <v>10</v>
      </c>
      <c r="S2708" s="3" t="n">
        <f aca="false">INDEX(Summary!$O$2:$O$201,MATCH($B2708,Summary!$A$2:$A$201,0))</f>
        <v>7</v>
      </c>
      <c r="T2708" s="3" t="n">
        <f aca="false">INDEX(Summary!$P$2:$P$201,MATCH($B2708,Summary!$A$2:$A$201,0))</f>
        <v>2</v>
      </c>
      <c r="U2708" s="2" t="n">
        <f aca="false">INDEX(Summary!$Q$2:$Q$201,MATCH($B2708,Summary!$A$2:$A$201,0))</f>
        <v>11.9</v>
      </c>
      <c r="V2708" s="2" t="n">
        <f aca="false">INDEX(Summary!$R$2:$R$201,MATCH($B2708,Summary!$A$2:$A$201,0))</f>
        <v>30.96</v>
      </c>
      <c r="W2708" s="0" t="str">
        <f aca="false">INDEX(Summary!$S$2:$S$201,MATCH($B2708,Summary!$A$2:$A$201,0))</f>
        <v>Gold</v>
      </c>
      <c r="X2708" s="2" t="n">
        <f aca="false">INDEX(Summary!$T$2:$T$201,MATCH($B2708,Summary!$A$2:$A$201,0))</f>
        <v>75.51</v>
      </c>
      <c r="Y2708" s="0" t="str">
        <f aca="false">INDEX('Reward Model'!$E$18:$E$37,MATCH($E2708,'Reward Model'!$A$18:$A$37,0))</f>
        <v>Low</v>
      </c>
      <c r="Z2708" s="4" t="n">
        <f aca="false">ROUND(MIN(1,MAX('Reward Model'!$B$2,INDEX('Reward Model'!$C$12:$C$14,MATCH($K2708,'Reward Model'!$A$12:$A$14,0))/$J2708)),3)</f>
        <v>0.773</v>
      </c>
      <c r="AA2708" s="2" t="n">
        <f aca="false">IF($I2708="Correct",ROUND(INDEX('Reward Model'!$B$12:$B$14,MATCH($K2708,'Reward Model'!$A$12:$A$14,0))*Z2708,2),0)</f>
        <v>0.77</v>
      </c>
      <c r="AB2708" s="2" t="n">
        <f aca="false">IF($I2708="Correct",ROUND(INDEX('Reward Model'!$B$12:$B$14,MATCH($Y2708,'Reward Model'!$A$12:$A$14,0))*Z2708,2),0)</f>
        <v>0.77</v>
      </c>
    </row>
    <row r="2709" customFormat="false" ht="15" hidden="false" customHeight="false" outlineLevel="0" collapsed="false">
      <c r="A2709" s="0" t="s">
        <v>402</v>
      </c>
      <c r="B2709" s="0" t="s">
        <v>403</v>
      </c>
      <c r="C2709" s="0" t="s">
        <v>322</v>
      </c>
      <c r="D2709" s="0" t="s">
        <v>189</v>
      </c>
      <c r="E2709" s="0" t="n">
        <v>8</v>
      </c>
      <c r="F2709" s="0" t="s">
        <v>52</v>
      </c>
      <c r="G2709" s="0" t="s">
        <v>54</v>
      </c>
      <c r="H2709" s="0" t="s">
        <v>54</v>
      </c>
      <c r="I2709" s="0" t="s">
        <v>34</v>
      </c>
      <c r="J2709" s="0" t="n">
        <v>1.39</v>
      </c>
      <c r="K2709" s="0" t="s">
        <v>35</v>
      </c>
      <c r="L2709" s="0" t="n">
        <f aca="false">INDEX(Summary!$F$2:$F$201,MATCH($B2709,Summary!$A$2:$A$201,0))</f>
        <v>20</v>
      </c>
      <c r="M2709" s="0" t="n">
        <f aca="false">INDEX(Summary!$I$2:$I$201,MATCH($B2709,Summary!$A$2:$A$201,0))</f>
        <v>4</v>
      </c>
      <c r="N2709" s="0" t="n">
        <f aca="false">INDEX(Summary!$J$2:$J$201,MATCH($B2709,Summary!$A$2:$A$201,0))</f>
        <v>1</v>
      </c>
      <c r="O2709" s="2" t="n">
        <f aca="false">INDEX(Summary!$K$2:$K$201,MATCH($B2709,Summary!$A$2:$A$201,0))</f>
        <v>9.64</v>
      </c>
      <c r="P2709" s="3" t="n">
        <f aca="false">INDEX(Summary!$L$2:$L$201,MATCH($B2709,Summary!$A$2:$A$201,0))</f>
        <v>5</v>
      </c>
      <c r="Q2709" s="3" t="n">
        <f aca="false">INDEX(Summary!$M$2:$M$201,MATCH($B2709,Summary!$A$2:$A$201,0))</f>
        <v>1</v>
      </c>
      <c r="R2709" s="2" t="n">
        <f aca="false">INDEX(Summary!$N$2:$N$201,MATCH($B2709,Summary!$A$2:$A$201,0))</f>
        <v>10</v>
      </c>
      <c r="S2709" s="3" t="n">
        <f aca="false">INDEX(Summary!$O$2:$O$201,MATCH($B2709,Summary!$A$2:$A$201,0))</f>
        <v>7</v>
      </c>
      <c r="T2709" s="3" t="n">
        <f aca="false">INDEX(Summary!$P$2:$P$201,MATCH($B2709,Summary!$A$2:$A$201,0))</f>
        <v>2</v>
      </c>
      <c r="U2709" s="2" t="n">
        <f aca="false">INDEX(Summary!$Q$2:$Q$201,MATCH($B2709,Summary!$A$2:$A$201,0))</f>
        <v>11.9</v>
      </c>
      <c r="V2709" s="2" t="n">
        <f aca="false">INDEX(Summary!$R$2:$R$201,MATCH($B2709,Summary!$A$2:$A$201,0))</f>
        <v>30.96</v>
      </c>
      <c r="W2709" s="0" t="str">
        <f aca="false">INDEX(Summary!$S$2:$S$201,MATCH($B2709,Summary!$A$2:$A$201,0))</f>
        <v>Gold</v>
      </c>
      <c r="X2709" s="2" t="n">
        <f aca="false">INDEX(Summary!$T$2:$T$201,MATCH($B2709,Summary!$A$2:$A$201,0))</f>
        <v>75.51</v>
      </c>
      <c r="Y2709" s="0" t="str">
        <f aca="false">INDEX('Reward Model'!$E$18:$E$37,MATCH($E2709,'Reward Model'!$A$18:$A$37,0))</f>
        <v>Medium</v>
      </c>
      <c r="Z2709" s="4" t="n">
        <f aca="false">ROUND(MIN(1,MAX('Reward Model'!$B$2,INDEX('Reward Model'!$C$12:$C$14,MATCH($K2709,'Reward Model'!$A$12:$A$14,0))/$J2709)),3)</f>
        <v>1</v>
      </c>
      <c r="AA2709" s="2" t="n">
        <f aca="false">IF($I2709="Correct",ROUND(INDEX('Reward Model'!$B$12:$B$14,MATCH($K2709,'Reward Model'!$A$12:$A$14,0))*Z2709,2),0)</f>
        <v>1</v>
      </c>
      <c r="AB2709" s="2" t="n">
        <f aca="false">IF($I2709="Correct",ROUND(INDEX('Reward Model'!$B$12:$B$14,MATCH($Y2709,'Reward Model'!$A$12:$A$14,0))*Z2709,2),0)</f>
        <v>2</v>
      </c>
    </row>
    <row r="2710" customFormat="false" ht="15" hidden="false" customHeight="false" outlineLevel="0" collapsed="false">
      <c r="A2710" s="0" t="s">
        <v>402</v>
      </c>
      <c r="B2710" s="0" t="s">
        <v>403</v>
      </c>
      <c r="C2710" s="0" t="s">
        <v>322</v>
      </c>
      <c r="D2710" s="0" t="s">
        <v>189</v>
      </c>
      <c r="E2710" s="0" t="n">
        <v>9</v>
      </c>
      <c r="F2710" s="0" t="s">
        <v>55</v>
      </c>
      <c r="G2710" s="0" t="s">
        <v>57</v>
      </c>
      <c r="H2710" s="0" t="s">
        <v>57</v>
      </c>
      <c r="I2710" s="0" t="s">
        <v>34</v>
      </c>
      <c r="J2710" s="0" t="n">
        <v>0.93</v>
      </c>
      <c r="K2710" s="0" t="s">
        <v>35</v>
      </c>
      <c r="L2710" s="0" t="n">
        <f aca="false">INDEX(Summary!$F$2:$F$201,MATCH($B2710,Summary!$A$2:$A$201,0))</f>
        <v>20</v>
      </c>
      <c r="M2710" s="0" t="n">
        <f aca="false">INDEX(Summary!$I$2:$I$201,MATCH($B2710,Summary!$A$2:$A$201,0))</f>
        <v>4</v>
      </c>
      <c r="N2710" s="0" t="n">
        <f aca="false">INDEX(Summary!$J$2:$J$201,MATCH($B2710,Summary!$A$2:$A$201,0))</f>
        <v>1</v>
      </c>
      <c r="O2710" s="2" t="n">
        <f aca="false">INDEX(Summary!$K$2:$K$201,MATCH($B2710,Summary!$A$2:$A$201,0))</f>
        <v>9.64</v>
      </c>
      <c r="P2710" s="3" t="n">
        <f aca="false">INDEX(Summary!$L$2:$L$201,MATCH($B2710,Summary!$A$2:$A$201,0))</f>
        <v>5</v>
      </c>
      <c r="Q2710" s="3" t="n">
        <f aca="false">INDEX(Summary!$M$2:$M$201,MATCH($B2710,Summary!$A$2:$A$201,0))</f>
        <v>1</v>
      </c>
      <c r="R2710" s="2" t="n">
        <f aca="false">INDEX(Summary!$N$2:$N$201,MATCH($B2710,Summary!$A$2:$A$201,0))</f>
        <v>10</v>
      </c>
      <c r="S2710" s="3" t="n">
        <f aca="false">INDEX(Summary!$O$2:$O$201,MATCH($B2710,Summary!$A$2:$A$201,0))</f>
        <v>7</v>
      </c>
      <c r="T2710" s="3" t="n">
        <f aca="false">INDEX(Summary!$P$2:$P$201,MATCH($B2710,Summary!$A$2:$A$201,0))</f>
        <v>2</v>
      </c>
      <c r="U2710" s="2" t="n">
        <f aca="false">INDEX(Summary!$Q$2:$Q$201,MATCH($B2710,Summary!$A$2:$A$201,0))</f>
        <v>11.9</v>
      </c>
      <c r="V2710" s="2" t="n">
        <f aca="false">INDEX(Summary!$R$2:$R$201,MATCH($B2710,Summary!$A$2:$A$201,0))</f>
        <v>30.96</v>
      </c>
      <c r="W2710" s="0" t="str">
        <f aca="false">INDEX(Summary!$S$2:$S$201,MATCH($B2710,Summary!$A$2:$A$201,0))</f>
        <v>Gold</v>
      </c>
      <c r="X2710" s="2" t="n">
        <f aca="false">INDEX(Summary!$T$2:$T$201,MATCH($B2710,Summary!$A$2:$A$201,0))</f>
        <v>75.51</v>
      </c>
      <c r="Y2710" s="0" t="str">
        <f aca="false">INDEX('Reward Model'!$E$18:$E$37,MATCH($E2710,'Reward Model'!$A$18:$A$37,0))</f>
        <v>Medium</v>
      </c>
      <c r="Z2710" s="4" t="n">
        <f aca="false">ROUND(MIN(1,MAX('Reward Model'!$B$2,INDEX('Reward Model'!$C$12:$C$14,MATCH($K2710,'Reward Model'!$A$12:$A$14,0))/$J2710)),3)</f>
        <v>1</v>
      </c>
      <c r="AA2710" s="2" t="n">
        <f aca="false">IF($I2710="Correct",ROUND(INDEX('Reward Model'!$B$12:$B$14,MATCH($K2710,'Reward Model'!$A$12:$A$14,0))*Z2710,2),0)</f>
        <v>1</v>
      </c>
      <c r="AB2710" s="2" t="n">
        <f aca="false">IF($I2710="Correct",ROUND(INDEX('Reward Model'!$B$12:$B$14,MATCH($Y2710,'Reward Model'!$A$12:$A$14,0))*Z2710,2),0)</f>
        <v>2</v>
      </c>
    </row>
    <row r="2711" customFormat="false" ht="15" hidden="false" customHeight="false" outlineLevel="0" collapsed="false">
      <c r="A2711" s="0" t="s">
        <v>402</v>
      </c>
      <c r="B2711" s="0" t="s">
        <v>403</v>
      </c>
      <c r="C2711" s="0" t="s">
        <v>322</v>
      </c>
      <c r="D2711" s="0" t="s">
        <v>189</v>
      </c>
      <c r="E2711" s="0" t="n">
        <v>10</v>
      </c>
      <c r="F2711" s="0" t="s">
        <v>58</v>
      </c>
      <c r="G2711" s="0" t="s">
        <v>59</v>
      </c>
      <c r="H2711" s="0" t="s">
        <v>59</v>
      </c>
      <c r="I2711" s="0" t="s">
        <v>34</v>
      </c>
      <c r="J2711" s="0" t="n">
        <v>2.24</v>
      </c>
      <c r="K2711" s="0" t="s">
        <v>60</v>
      </c>
      <c r="L2711" s="0" t="n">
        <f aca="false">INDEX(Summary!$F$2:$F$201,MATCH($B2711,Summary!$A$2:$A$201,0))</f>
        <v>20</v>
      </c>
      <c r="M2711" s="0" t="n">
        <f aca="false">INDEX(Summary!$I$2:$I$201,MATCH($B2711,Summary!$A$2:$A$201,0))</f>
        <v>4</v>
      </c>
      <c r="N2711" s="0" t="n">
        <f aca="false">INDEX(Summary!$J$2:$J$201,MATCH($B2711,Summary!$A$2:$A$201,0))</f>
        <v>1</v>
      </c>
      <c r="O2711" s="2" t="n">
        <f aca="false">INDEX(Summary!$K$2:$K$201,MATCH($B2711,Summary!$A$2:$A$201,0))</f>
        <v>9.64</v>
      </c>
      <c r="P2711" s="3" t="n">
        <f aca="false">INDEX(Summary!$L$2:$L$201,MATCH($B2711,Summary!$A$2:$A$201,0))</f>
        <v>5</v>
      </c>
      <c r="Q2711" s="3" t="n">
        <f aca="false">INDEX(Summary!$M$2:$M$201,MATCH($B2711,Summary!$A$2:$A$201,0))</f>
        <v>1</v>
      </c>
      <c r="R2711" s="2" t="n">
        <f aca="false">INDEX(Summary!$N$2:$N$201,MATCH($B2711,Summary!$A$2:$A$201,0))</f>
        <v>10</v>
      </c>
      <c r="S2711" s="3" t="n">
        <f aca="false">INDEX(Summary!$O$2:$O$201,MATCH($B2711,Summary!$A$2:$A$201,0))</f>
        <v>7</v>
      </c>
      <c r="T2711" s="3" t="n">
        <f aca="false">INDEX(Summary!$P$2:$P$201,MATCH($B2711,Summary!$A$2:$A$201,0))</f>
        <v>2</v>
      </c>
      <c r="U2711" s="2" t="n">
        <f aca="false">INDEX(Summary!$Q$2:$Q$201,MATCH($B2711,Summary!$A$2:$A$201,0))</f>
        <v>11.9</v>
      </c>
      <c r="V2711" s="2" t="n">
        <f aca="false">INDEX(Summary!$R$2:$R$201,MATCH($B2711,Summary!$A$2:$A$201,0))</f>
        <v>30.96</v>
      </c>
      <c r="W2711" s="0" t="str">
        <f aca="false">INDEX(Summary!$S$2:$S$201,MATCH($B2711,Summary!$A$2:$A$201,0))</f>
        <v>Gold</v>
      </c>
      <c r="X2711" s="2" t="n">
        <f aca="false">INDEX(Summary!$T$2:$T$201,MATCH($B2711,Summary!$A$2:$A$201,0))</f>
        <v>75.51</v>
      </c>
      <c r="Y2711" s="0" t="str">
        <f aca="false">INDEX('Reward Model'!$E$18:$E$37,MATCH($E2711,'Reward Model'!$A$18:$A$37,0))</f>
        <v>Medium</v>
      </c>
      <c r="Z2711" s="4" t="n">
        <f aca="false">ROUND(MIN(1,MAX('Reward Model'!$B$2,INDEX('Reward Model'!$C$12:$C$14,MATCH($K2711,'Reward Model'!$A$12:$A$14,0))/$J2711)),3)</f>
        <v>0.804</v>
      </c>
      <c r="AA2711" s="2" t="n">
        <f aca="false">IF($I2711="Correct",ROUND(INDEX('Reward Model'!$B$12:$B$14,MATCH($K2711,'Reward Model'!$A$12:$A$14,0))*Z2711,2),0)</f>
        <v>1.61</v>
      </c>
      <c r="AB2711" s="2" t="n">
        <f aca="false">IF($I2711="Correct",ROUND(INDEX('Reward Model'!$B$12:$B$14,MATCH($Y2711,'Reward Model'!$A$12:$A$14,0))*Z2711,2),0)</f>
        <v>1.61</v>
      </c>
    </row>
    <row r="2712" customFormat="false" ht="15" hidden="false" customHeight="false" outlineLevel="0" collapsed="false">
      <c r="A2712" s="0" t="s">
        <v>402</v>
      </c>
      <c r="B2712" s="0" t="s">
        <v>403</v>
      </c>
      <c r="C2712" s="0" t="s">
        <v>322</v>
      </c>
      <c r="D2712" s="0" t="s">
        <v>189</v>
      </c>
      <c r="E2712" s="0" t="n">
        <v>11</v>
      </c>
      <c r="F2712" s="0" t="s">
        <v>61</v>
      </c>
      <c r="G2712" s="0" t="s">
        <v>63</v>
      </c>
      <c r="H2712" s="0" t="s">
        <v>63</v>
      </c>
      <c r="I2712" s="0" t="s">
        <v>34</v>
      </c>
      <c r="J2712" s="0" t="n">
        <v>1.1</v>
      </c>
      <c r="K2712" s="0" t="s">
        <v>60</v>
      </c>
      <c r="L2712" s="0" t="n">
        <f aca="false">INDEX(Summary!$F$2:$F$201,MATCH($B2712,Summary!$A$2:$A$201,0))</f>
        <v>20</v>
      </c>
      <c r="M2712" s="0" t="n">
        <f aca="false">INDEX(Summary!$I$2:$I$201,MATCH($B2712,Summary!$A$2:$A$201,0))</f>
        <v>4</v>
      </c>
      <c r="N2712" s="0" t="n">
        <f aca="false">INDEX(Summary!$J$2:$J$201,MATCH($B2712,Summary!$A$2:$A$201,0))</f>
        <v>1</v>
      </c>
      <c r="O2712" s="2" t="n">
        <f aca="false">INDEX(Summary!$K$2:$K$201,MATCH($B2712,Summary!$A$2:$A$201,0))</f>
        <v>9.64</v>
      </c>
      <c r="P2712" s="3" t="n">
        <f aca="false">INDEX(Summary!$L$2:$L$201,MATCH($B2712,Summary!$A$2:$A$201,0))</f>
        <v>5</v>
      </c>
      <c r="Q2712" s="3" t="n">
        <f aca="false">INDEX(Summary!$M$2:$M$201,MATCH($B2712,Summary!$A$2:$A$201,0))</f>
        <v>1</v>
      </c>
      <c r="R2712" s="2" t="n">
        <f aca="false">INDEX(Summary!$N$2:$N$201,MATCH($B2712,Summary!$A$2:$A$201,0))</f>
        <v>10</v>
      </c>
      <c r="S2712" s="3" t="n">
        <f aca="false">INDEX(Summary!$O$2:$O$201,MATCH($B2712,Summary!$A$2:$A$201,0))</f>
        <v>7</v>
      </c>
      <c r="T2712" s="3" t="n">
        <f aca="false">INDEX(Summary!$P$2:$P$201,MATCH($B2712,Summary!$A$2:$A$201,0))</f>
        <v>2</v>
      </c>
      <c r="U2712" s="2" t="n">
        <f aca="false">INDEX(Summary!$Q$2:$Q$201,MATCH($B2712,Summary!$A$2:$A$201,0))</f>
        <v>11.9</v>
      </c>
      <c r="V2712" s="2" t="n">
        <f aca="false">INDEX(Summary!$R$2:$R$201,MATCH($B2712,Summary!$A$2:$A$201,0))</f>
        <v>30.96</v>
      </c>
      <c r="W2712" s="0" t="str">
        <f aca="false">INDEX(Summary!$S$2:$S$201,MATCH($B2712,Summary!$A$2:$A$201,0))</f>
        <v>Gold</v>
      </c>
      <c r="X2712" s="2" t="n">
        <f aca="false">INDEX(Summary!$T$2:$T$201,MATCH($B2712,Summary!$A$2:$A$201,0))</f>
        <v>75.51</v>
      </c>
      <c r="Y2712" s="0" t="str">
        <f aca="false">INDEX('Reward Model'!$E$18:$E$37,MATCH($E2712,'Reward Model'!$A$18:$A$37,0))</f>
        <v>Medium</v>
      </c>
      <c r="Z2712" s="4" t="n">
        <f aca="false">ROUND(MIN(1,MAX('Reward Model'!$B$2,INDEX('Reward Model'!$C$12:$C$14,MATCH($K2712,'Reward Model'!$A$12:$A$14,0))/$J2712)),3)</f>
        <v>1</v>
      </c>
      <c r="AA2712" s="2" t="n">
        <f aca="false">IF($I2712="Correct",ROUND(INDEX('Reward Model'!$B$12:$B$14,MATCH($K2712,'Reward Model'!$A$12:$A$14,0))*Z2712,2),0)</f>
        <v>2</v>
      </c>
      <c r="AB2712" s="2" t="n">
        <f aca="false">IF($I2712="Correct",ROUND(INDEX('Reward Model'!$B$12:$B$14,MATCH($Y2712,'Reward Model'!$A$12:$A$14,0))*Z2712,2),0)</f>
        <v>2</v>
      </c>
    </row>
    <row r="2713" customFormat="false" ht="15" hidden="false" customHeight="false" outlineLevel="0" collapsed="false">
      <c r="A2713" s="0" t="s">
        <v>402</v>
      </c>
      <c r="B2713" s="0" t="s">
        <v>403</v>
      </c>
      <c r="C2713" s="0" t="s">
        <v>322</v>
      </c>
      <c r="D2713" s="0" t="s">
        <v>189</v>
      </c>
      <c r="E2713" s="0" t="n">
        <v>12</v>
      </c>
      <c r="F2713" s="0" t="s">
        <v>64</v>
      </c>
      <c r="G2713" s="0" t="s">
        <v>65</v>
      </c>
      <c r="H2713" s="0" t="s">
        <v>65</v>
      </c>
      <c r="I2713" s="0" t="s">
        <v>34</v>
      </c>
      <c r="J2713" s="0" t="n">
        <v>1.12</v>
      </c>
      <c r="K2713" s="0" t="s">
        <v>60</v>
      </c>
      <c r="L2713" s="0" t="n">
        <f aca="false">INDEX(Summary!$F$2:$F$201,MATCH($B2713,Summary!$A$2:$A$201,0))</f>
        <v>20</v>
      </c>
      <c r="M2713" s="0" t="n">
        <f aca="false">INDEX(Summary!$I$2:$I$201,MATCH($B2713,Summary!$A$2:$A$201,0))</f>
        <v>4</v>
      </c>
      <c r="N2713" s="0" t="n">
        <f aca="false">INDEX(Summary!$J$2:$J$201,MATCH($B2713,Summary!$A$2:$A$201,0))</f>
        <v>1</v>
      </c>
      <c r="O2713" s="2" t="n">
        <f aca="false">INDEX(Summary!$K$2:$K$201,MATCH($B2713,Summary!$A$2:$A$201,0))</f>
        <v>9.64</v>
      </c>
      <c r="P2713" s="3" t="n">
        <f aca="false">INDEX(Summary!$L$2:$L$201,MATCH($B2713,Summary!$A$2:$A$201,0))</f>
        <v>5</v>
      </c>
      <c r="Q2713" s="3" t="n">
        <f aca="false">INDEX(Summary!$M$2:$M$201,MATCH($B2713,Summary!$A$2:$A$201,0))</f>
        <v>1</v>
      </c>
      <c r="R2713" s="2" t="n">
        <f aca="false">INDEX(Summary!$N$2:$N$201,MATCH($B2713,Summary!$A$2:$A$201,0))</f>
        <v>10</v>
      </c>
      <c r="S2713" s="3" t="n">
        <f aca="false">INDEX(Summary!$O$2:$O$201,MATCH($B2713,Summary!$A$2:$A$201,0))</f>
        <v>7</v>
      </c>
      <c r="T2713" s="3" t="n">
        <f aca="false">INDEX(Summary!$P$2:$P$201,MATCH($B2713,Summary!$A$2:$A$201,0))</f>
        <v>2</v>
      </c>
      <c r="U2713" s="2" t="n">
        <f aca="false">INDEX(Summary!$Q$2:$Q$201,MATCH($B2713,Summary!$A$2:$A$201,0))</f>
        <v>11.9</v>
      </c>
      <c r="V2713" s="2" t="n">
        <f aca="false">INDEX(Summary!$R$2:$R$201,MATCH($B2713,Summary!$A$2:$A$201,0))</f>
        <v>30.96</v>
      </c>
      <c r="W2713" s="0" t="str">
        <f aca="false">INDEX(Summary!$S$2:$S$201,MATCH($B2713,Summary!$A$2:$A$201,0))</f>
        <v>Gold</v>
      </c>
      <c r="X2713" s="2" t="n">
        <f aca="false">INDEX(Summary!$T$2:$T$201,MATCH($B2713,Summary!$A$2:$A$201,0))</f>
        <v>75.51</v>
      </c>
      <c r="Y2713" s="0" t="str">
        <f aca="false">INDEX('Reward Model'!$E$18:$E$37,MATCH($E2713,'Reward Model'!$A$18:$A$37,0))</f>
        <v>Medium</v>
      </c>
      <c r="Z2713" s="4" t="n">
        <f aca="false">ROUND(MIN(1,MAX('Reward Model'!$B$2,INDEX('Reward Model'!$C$12:$C$14,MATCH($K2713,'Reward Model'!$A$12:$A$14,0))/$J2713)),3)</f>
        <v>1</v>
      </c>
      <c r="AA2713" s="2" t="n">
        <f aca="false">IF($I2713="Correct",ROUND(INDEX('Reward Model'!$B$12:$B$14,MATCH($K2713,'Reward Model'!$A$12:$A$14,0))*Z2713,2),0)</f>
        <v>2</v>
      </c>
      <c r="AB2713" s="2" t="n">
        <f aca="false">IF($I2713="Correct",ROUND(INDEX('Reward Model'!$B$12:$B$14,MATCH($Y2713,'Reward Model'!$A$12:$A$14,0))*Z2713,2),0)</f>
        <v>2</v>
      </c>
    </row>
    <row r="2714" customFormat="false" ht="15" hidden="false" customHeight="false" outlineLevel="0" collapsed="false">
      <c r="A2714" s="0" t="s">
        <v>402</v>
      </c>
      <c r="B2714" s="0" t="s">
        <v>403</v>
      </c>
      <c r="C2714" s="0" t="s">
        <v>322</v>
      </c>
      <c r="D2714" s="0" t="s">
        <v>189</v>
      </c>
      <c r="E2714" s="0" t="n">
        <v>13</v>
      </c>
      <c r="F2714" s="0" t="s">
        <v>66</v>
      </c>
      <c r="G2714" s="0" t="s">
        <v>67</v>
      </c>
      <c r="H2714" s="0" t="s">
        <v>67</v>
      </c>
      <c r="I2714" s="0" t="s">
        <v>34</v>
      </c>
      <c r="J2714" s="0" t="n">
        <v>1.98</v>
      </c>
      <c r="K2714" s="0" t="s">
        <v>60</v>
      </c>
      <c r="L2714" s="0" t="n">
        <f aca="false">INDEX(Summary!$F$2:$F$201,MATCH($B2714,Summary!$A$2:$A$201,0))</f>
        <v>20</v>
      </c>
      <c r="M2714" s="0" t="n">
        <f aca="false">INDEX(Summary!$I$2:$I$201,MATCH($B2714,Summary!$A$2:$A$201,0))</f>
        <v>4</v>
      </c>
      <c r="N2714" s="0" t="n">
        <f aca="false">INDEX(Summary!$J$2:$J$201,MATCH($B2714,Summary!$A$2:$A$201,0))</f>
        <v>1</v>
      </c>
      <c r="O2714" s="2" t="n">
        <f aca="false">INDEX(Summary!$K$2:$K$201,MATCH($B2714,Summary!$A$2:$A$201,0))</f>
        <v>9.64</v>
      </c>
      <c r="P2714" s="3" t="n">
        <f aca="false">INDEX(Summary!$L$2:$L$201,MATCH($B2714,Summary!$A$2:$A$201,0))</f>
        <v>5</v>
      </c>
      <c r="Q2714" s="3" t="n">
        <f aca="false">INDEX(Summary!$M$2:$M$201,MATCH($B2714,Summary!$A$2:$A$201,0))</f>
        <v>1</v>
      </c>
      <c r="R2714" s="2" t="n">
        <f aca="false">INDEX(Summary!$N$2:$N$201,MATCH($B2714,Summary!$A$2:$A$201,0))</f>
        <v>10</v>
      </c>
      <c r="S2714" s="3" t="n">
        <f aca="false">INDEX(Summary!$O$2:$O$201,MATCH($B2714,Summary!$A$2:$A$201,0))</f>
        <v>7</v>
      </c>
      <c r="T2714" s="3" t="n">
        <f aca="false">INDEX(Summary!$P$2:$P$201,MATCH($B2714,Summary!$A$2:$A$201,0))</f>
        <v>2</v>
      </c>
      <c r="U2714" s="2" t="n">
        <f aca="false">INDEX(Summary!$Q$2:$Q$201,MATCH($B2714,Summary!$A$2:$A$201,0))</f>
        <v>11.9</v>
      </c>
      <c r="V2714" s="2" t="n">
        <f aca="false">INDEX(Summary!$R$2:$R$201,MATCH($B2714,Summary!$A$2:$A$201,0))</f>
        <v>30.96</v>
      </c>
      <c r="W2714" s="0" t="str">
        <f aca="false">INDEX(Summary!$S$2:$S$201,MATCH($B2714,Summary!$A$2:$A$201,0))</f>
        <v>Gold</v>
      </c>
      <c r="X2714" s="2" t="n">
        <f aca="false">INDEX(Summary!$T$2:$T$201,MATCH($B2714,Summary!$A$2:$A$201,0))</f>
        <v>75.51</v>
      </c>
      <c r="Y2714" s="0" t="str">
        <f aca="false">INDEX('Reward Model'!$E$18:$E$37,MATCH($E2714,'Reward Model'!$A$18:$A$37,0))</f>
        <v>Medium</v>
      </c>
      <c r="Z2714" s="4" t="n">
        <f aca="false">ROUND(MIN(1,MAX('Reward Model'!$B$2,INDEX('Reward Model'!$C$12:$C$14,MATCH($K2714,'Reward Model'!$A$12:$A$14,0))/$J2714)),3)</f>
        <v>0.909</v>
      </c>
      <c r="AA2714" s="2" t="n">
        <f aca="false">IF($I2714="Correct",ROUND(INDEX('Reward Model'!$B$12:$B$14,MATCH($K2714,'Reward Model'!$A$12:$A$14,0))*Z2714,2),0)</f>
        <v>1.82</v>
      </c>
      <c r="AB2714" s="2" t="n">
        <f aca="false">IF($I2714="Correct",ROUND(INDEX('Reward Model'!$B$12:$B$14,MATCH($Y2714,'Reward Model'!$A$12:$A$14,0))*Z2714,2),0)</f>
        <v>1.82</v>
      </c>
    </row>
    <row r="2715" customFormat="false" ht="15" hidden="false" customHeight="false" outlineLevel="0" collapsed="false">
      <c r="A2715" s="0" t="s">
        <v>402</v>
      </c>
      <c r="B2715" s="0" t="s">
        <v>403</v>
      </c>
      <c r="C2715" s="0" t="s">
        <v>322</v>
      </c>
      <c r="D2715" s="0" t="s">
        <v>189</v>
      </c>
      <c r="E2715" s="0" t="n">
        <v>14</v>
      </c>
      <c r="F2715" s="0" t="s">
        <v>68</v>
      </c>
      <c r="G2715" s="0" t="s">
        <v>51</v>
      </c>
      <c r="H2715" s="0" t="s">
        <v>51</v>
      </c>
      <c r="I2715" s="0" t="s">
        <v>34</v>
      </c>
      <c r="J2715" s="0" t="n">
        <v>2.17</v>
      </c>
      <c r="K2715" s="0" t="s">
        <v>60</v>
      </c>
      <c r="L2715" s="0" t="n">
        <f aca="false">INDEX(Summary!$F$2:$F$201,MATCH($B2715,Summary!$A$2:$A$201,0))</f>
        <v>20</v>
      </c>
      <c r="M2715" s="0" t="n">
        <f aca="false">INDEX(Summary!$I$2:$I$201,MATCH($B2715,Summary!$A$2:$A$201,0))</f>
        <v>4</v>
      </c>
      <c r="N2715" s="0" t="n">
        <f aca="false">INDEX(Summary!$J$2:$J$201,MATCH($B2715,Summary!$A$2:$A$201,0))</f>
        <v>1</v>
      </c>
      <c r="O2715" s="2" t="n">
        <f aca="false">INDEX(Summary!$K$2:$K$201,MATCH($B2715,Summary!$A$2:$A$201,0))</f>
        <v>9.64</v>
      </c>
      <c r="P2715" s="3" t="n">
        <f aca="false">INDEX(Summary!$L$2:$L$201,MATCH($B2715,Summary!$A$2:$A$201,0))</f>
        <v>5</v>
      </c>
      <c r="Q2715" s="3" t="n">
        <f aca="false">INDEX(Summary!$M$2:$M$201,MATCH($B2715,Summary!$A$2:$A$201,0))</f>
        <v>1</v>
      </c>
      <c r="R2715" s="2" t="n">
        <f aca="false">INDEX(Summary!$N$2:$N$201,MATCH($B2715,Summary!$A$2:$A$201,0))</f>
        <v>10</v>
      </c>
      <c r="S2715" s="3" t="n">
        <f aca="false">INDEX(Summary!$O$2:$O$201,MATCH($B2715,Summary!$A$2:$A$201,0))</f>
        <v>7</v>
      </c>
      <c r="T2715" s="3" t="n">
        <f aca="false">INDEX(Summary!$P$2:$P$201,MATCH($B2715,Summary!$A$2:$A$201,0))</f>
        <v>2</v>
      </c>
      <c r="U2715" s="2" t="n">
        <f aca="false">INDEX(Summary!$Q$2:$Q$201,MATCH($B2715,Summary!$A$2:$A$201,0))</f>
        <v>11.9</v>
      </c>
      <c r="V2715" s="2" t="n">
        <f aca="false">INDEX(Summary!$R$2:$R$201,MATCH($B2715,Summary!$A$2:$A$201,0))</f>
        <v>30.96</v>
      </c>
      <c r="W2715" s="0" t="str">
        <f aca="false">INDEX(Summary!$S$2:$S$201,MATCH($B2715,Summary!$A$2:$A$201,0))</f>
        <v>Gold</v>
      </c>
      <c r="X2715" s="2" t="n">
        <f aca="false">INDEX(Summary!$T$2:$T$201,MATCH($B2715,Summary!$A$2:$A$201,0))</f>
        <v>75.51</v>
      </c>
      <c r="Y2715" s="0" t="str">
        <f aca="false">INDEX('Reward Model'!$E$18:$E$37,MATCH($E2715,'Reward Model'!$A$18:$A$37,0))</f>
        <v>Medium</v>
      </c>
      <c r="Z2715" s="4" t="n">
        <f aca="false">ROUND(MIN(1,MAX('Reward Model'!$B$2,INDEX('Reward Model'!$C$12:$C$14,MATCH($K2715,'Reward Model'!$A$12:$A$14,0))/$J2715)),3)</f>
        <v>0.829</v>
      </c>
      <c r="AA2715" s="2" t="n">
        <f aca="false">IF($I2715="Correct",ROUND(INDEX('Reward Model'!$B$12:$B$14,MATCH($K2715,'Reward Model'!$A$12:$A$14,0))*Z2715,2),0)</f>
        <v>1.66</v>
      </c>
      <c r="AB2715" s="2" t="n">
        <f aca="false">IF($I2715="Correct",ROUND(INDEX('Reward Model'!$B$12:$B$14,MATCH($Y2715,'Reward Model'!$A$12:$A$14,0))*Z2715,2),0)</f>
        <v>1.66</v>
      </c>
    </row>
    <row r="2716" customFormat="false" ht="15" hidden="false" customHeight="false" outlineLevel="0" collapsed="false">
      <c r="A2716" s="0" t="s">
        <v>402</v>
      </c>
      <c r="B2716" s="0" t="s">
        <v>403</v>
      </c>
      <c r="C2716" s="0" t="s">
        <v>322</v>
      </c>
      <c r="D2716" s="0" t="s">
        <v>189</v>
      </c>
      <c r="E2716" s="0" t="n">
        <v>15</v>
      </c>
      <c r="F2716" s="0" t="s">
        <v>69</v>
      </c>
      <c r="G2716" s="0" t="s">
        <v>131</v>
      </c>
      <c r="H2716" s="0" t="s">
        <v>70</v>
      </c>
      <c r="I2716" s="0" t="s">
        <v>39</v>
      </c>
      <c r="J2716" s="0" t="n">
        <v>1.39</v>
      </c>
      <c r="K2716" s="0" t="s">
        <v>60</v>
      </c>
      <c r="L2716" s="0" t="n">
        <f aca="false">INDEX(Summary!$F$2:$F$201,MATCH($B2716,Summary!$A$2:$A$201,0))</f>
        <v>20</v>
      </c>
      <c r="M2716" s="0" t="n">
        <f aca="false">INDEX(Summary!$I$2:$I$201,MATCH($B2716,Summary!$A$2:$A$201,0))</f>
        <v>4</v>
      </c>
      <c r="N2716" s="0" t="n">
        <f aca="false">INDEX(Summary!$J$2:$J$201,MATCH($B2716,Summary!$A$2:$A$201,0))</f>
        <v>1</v>
      </c>
      <c r="O2716" s="2" t="n">
        <f aca="false">INDEX(Summary!$K$2:$K$201,MATCH($B2716,Summary!$A$2:$A$201,0))</f>
        <v>9.64</v>
      </c>
      <c r="P2716" s="3" t="n">
        <f aca="false">INDEX(Summary!$L$2:$L$201,MATCH($B2716,Summary!$A$2:$A$201,0))</f>
        <v>5</v>
      </c>
      <c r="Q2716" s="3" t="n">
        <f aca="false">INDEX(Summary!$M$2:$M$201,MATCH($B2716,Summary!$A$2:$A$201,0))</f>
        <v>1</v>
      </c>
      <c r="R2716" s="2" t="n">
        <f aca="false">INDEX(Summary!$N$2:$N$201,MATCH($B2716,Summary!$A$2:$A$201,0))</f>
        <v>10</v>
      </c>
      <c r="S2716" s="3" t="n">
        <f aca="false">INDEX(Summary!$O$2:$O$201,MATCH($B2716,Summary!$A$2:$A$201,0))</f>
        <v>7</v>
      </c>
      <c r="T2716" s="3" t="n">
        <f aca="false">INDEX(Summary!$P$2:$P$201,MATCH($B2716,Summary!$A$2:$A$201,0))</f>
        <v>2</v>
      </c>
      <c r="U2716" s="2" t="n">
        <f aca="false">INDEX(Summary!$Q$2:$Q$201,MATCH($B2716,Summary!$A$2:$A$201,0))</f>
        <v>11.9</v>
      </c>
      <c r="V2716" s="2" t="n">
        <f aca="false">INDEX(Summary!$R$2:$R$201,MATCH($B2716,Summary!$A$2:$A$201,0))</f>
        <v>30.96</v>
      </c>
      <c r="W2716" s="0" t="str">
        <f aca="false">INDEX(Summary!$S$2:$S$201,MATCH($B2716,Summary!$A$2:$A$201,0))</f>
        <v>Gold</v>
      </c>
      <c r="X2716" s="2" t="n">
        <f aca="false">INDEX(Summary!$T$2:$T$201,MATCH($B2716,Summary!$A$2:$A$201,0))</f>
        <v>75.51</v>
      </c>
      <c r="Y2716" s="0" t="str">
        <f aca="false">INDEX('Reward Model'!$E$18:$E$37,MATCH($E2716,'Reward Model'!$A$18:$A$37,0))</f>
        <v>Medium</v>
      </c>
      <c r="Z2716" s="4" t="n">
        <f aca="false">ROUND(MIN(1,MAX('Reward Model'!$B$2,INDEX('Reward Model'!$C$12:$C$14,MATCH($K2716,'Reward Model'!$A$12:$A$14,0))/$J2716)),3)</f>
        <v>1</v>
      </c>
      <c r="AA2716" s="2" t="n">
        <f aca="false">IF($I2716="Correct",ROUND(INDEX('Reward Model'!$B$12:$B$14,MATCH($K2716,'Reward Model'!$A$12:$A$14,0))*Z2716,2),0)</f>
        <v>0</v>
      </c>
      <c r="AB2716" s="2" t="n">
        <f aca="false">IF($I2716="Correct",ROUND(INDEX('Reward Model'!$B$12:$B$14,MATCH($Y2716,'Reward Model'!$A$12:$A$14,0))*Z2716,2),0)</f>
        <v>0</v>
      </c>
    </row>
    <row r="2717" customFormat="false" ht="15" hidden="false" customHeight="false" outlineLevel="0" collapsed="false">
      <c r="A2717" s="0" t="s">
        <v>402</v>
      </c>
      <c r="B2717" s="0" t="s">
        <v>403</v>
      </c>
      <c r="C2717" s="0" t="s">
        <v>322</v>
      </c>
      <c r="D2717" s="0" t="s">
        <v>189</v>
      </c>
      <c r="E2717" s="0" t="n">
        <v>16</v>
      </c>
      <c r="F2717" s="0" t="s">
        <v>71</v>
      </c>
      <c r="G2717" s="0" t="s">
        <v>72</v>
      </c>
      <c r="H2717" s="0" t="s">
        <v>72</v>
      </c>
      <c r="I2717" s="0" t="s">
        <v>34</v>
      </c>
      <c r="J2717" s="0" t="n">
        <v>1.23</v>
      </c>
      <c r="K2717" s="0" t="s">
        <v>73</v>
      </c>
      <c r="L2717" s="0" t="n">
        <f aca="false">INDEX(Summary!$F$2:$F$201,MATCH($B2717,Summary!$A$2:$A$201,0))</f>
        <v>20</v>
      </c>
      <c r="M2717" s="0" t="n">
        <f aca="false">INDEX(Summary!$I$2:$I$201,MATCH($B2717,Summary!$A$2:$A$201,0))</f>
        <v>4</v>
      </c>
      <c r="N2717" s="0" t="n">
        <f aca="false">INDEX(Summary!$J$2:$J$201,MATCH($B2717,Summary!$A$2:$A$201,0))</f>
        <v>1</v>
      </c>
      <c r="O2717" s="2" t="n">
        <f aca="false">INDEX(Summary!$K$2:$K$201,MATCH($B2717,Summary!$A$2:$A$201,0))</f>
        <v>9.64</v>
      </c>
      <c r="P2717" s="3" t="n">
        <f aca="false">INDEX(Summary!$L$2:$L$201,MATCH($B2717,Summary!$A$2:$A$201,0))</f>
        <v>5</v>
      </c>
      <c r="Q2717" s="3" t="n">
        <f aca="false">INDEX(Summary!$M$2:$M$201,MATCH($B2717,Summary!$A$2:$A$201,0))</f>
        <v>1</v>
      </c>
      <c r="R2717" s="2" t="n">
        <f aca="false">INDEX(Summary!$N$2:$N$201,MATCH($B2717,Summary!$A$2:$A$201,0))</f>
        <v>10</v>
      </c>
      <c r="S2717" s="3" t="n">
        <f aca="false">INDEX(Summary!$O$2:$O$201,MATCH($B2717,Summary!$A$2:$A$201,0))</f>
        <v>7</v>
      </c>
      <c r="T2717" s="3" t="n">
        <f aca="false">INDEX(Summary!$P$2:$P$201,MATCH($B2717,Summary!$A$2:$A$201,0))</f>
        <v>2</v>
      </c>
      <c r="U2717" s="2" t="n">
        <f aca="false">INDEX(Summary!$Q$2:$Q$201,MATCH($B2717,Summary!$A$2:$A$201,0))</f>
        <v>11.9</v>
      </c>
      <c r="V2717" s="2" t="n">
        <f aca="false">INDEX(Summary!$R$2:$R$201,MATCH($B2717,Summary!$A$2:$A$201,0))</f>
        <v>30.96</v>
      </c>
      <c r="W2717" s="0" t="str">
        <f aca="false">INDEX(Summary!$S$2:$S$201,MATCH($B2717,Summary!$A$2:$A$201,0))</f>
        <v>Gold</v>
      </c>
      <c r="X2717" s="2" t="n">
        <f aca="false">INDEX(Summary!$T$2:$T$201,MATCH($B2717,Summary!$A$2:$A$201,0))</f>
        <v>75.51</v>
      </c>
      <c r="Y2717" s="0" t="str">
        <f aca="false">INDEX('Reward Model'!$E$18:$E$37,MATCH($E2717,'Reward Model'!$A$18:$A$37,0))</f>
        <v>High</v>
      </c>
      <c r="Z2717" s="4" t="n">
        <f aca="false">ROUND(MIN(1,MAX('Reward Model'!$B$2,INDEX('Reward Model'!$C$12:$C$14,MATCH($K2717,'Reward Model'!$A$12:$A$14,0))/$J2717)),3)</f>
        <v>1</v>
      </c>
      <c r="AA2717" s="2" t="n">
        <f aca="false">IF($I2717="Correct",ROUND(INDEX('Reward Model'!$B$12:$B$14,MATCH($K2717,'Reward Model'!$A$12:$A$14,0))*Z2717,2),0)</f>
        <v>3</v>
      </c>
      <c r="AB2717" s="2" t="n">
        <f aca="false">IF($I2717="Correct",ROUND(INDEX('Reward Model'!$B$12:$B$14,MATCH($Y2717,'Reward Model'!$A$12:$A$14,0))*Z2717,2),0)</f>
        <v>3</v>
      </c>
    </row>
    <row r="2718" customFormat="false" ht="15" hidden="false" customHeight="false" outlineLevel="0" collapsed="false">
      <c r="A2718" s="0" t="s">
        <v>402</v>
      </c>
      <c r="B2718" s="0" t="s">
        <v>403</v>
      </c>
      <c r="C2718" s="0" t="s">
        <v>322</v>
      </c>
      <c r="D2718" s="0" t="s">
        <v>189</v>
      </c>
      <c r="E2718" s="0" t="n">
        <v>17</v>
      </c>
      <c r="F2718" s="0" t="s">
        <v>74</v>
      </c>
      <c r="G2718" s="0" t="s">
        <v>75</v>
      </c>
      <c r="H2718" s="0" t="s">
        <v>75</v>
      </c>
      <c r="I2718" s="0" t="s">
        <v>34</v>
      </c>
      <c r="J2718" s="0" t="n">
        <v>2.6</v>
      </c>
      <c r="K2718" s="0" t="s">
        <v>73</v>
      </c>
      <c r="L2718" s="0" t="n">
        <f aca="false">INDEX(Summary!$F$2:$F$201,MATCH($B2718,Summary!$A$2:$A$201,0))</f>
        <v>20</v>
      </c>
      <c r="M2718" s="0" t="n">
        <f aca="false">INDEX(Summary!$I$2:$I$201,MATCH($B2718,Summary!$A$2:$A$201,0))</f>
        <v>4</v>
      </c>
      <c r="N2718" s="0" t="n">
        <f aca="false">INDEX(Summary!$J$2:$J$201,MATCH($B2718,Summary!$A$2:$A$201,0))</f>
        <v>1</v>
      </c>
      <c r="O2718" s="2" t="n">
        <f aca="false">INDEX(Summary!$K$2:$K$201,MATCH($B2718,Summary!$A$2:$A$201,0))</f>
        <v>9.64</v>
      </c>
      <c r="P2718" s="3" t="n">
        <f aca="false">INDEX(Summary!$L$2:$L$201,MATCH($B2718,Summary!$A$2:$A$201,0))</f>
        <v>5</v>
      </c>
      <c r="Q2718" s="3" t="n">
        <f aca="false">INDEX(Summary!$M$2:$M$201,MATCH($B2718,Summary!$A$2:$A$201,0))</f>
        <v>1</v>
      </c>
      <c r="R2718" s="2" t="n">
        <f aca="false">INDEX(Summary!$N$2:$N$201,MATCH($B2718,Summary!$A$2:$A$201,0))</f>
        <v>10</v>
      </c>
      <c r="S2718" s="3" t="n">
        <f aca="false">INDEX(Summary!$O$2:$O$201,MATCH($B2718,Summary!$A$2:$A$201,0))</f>
        <v>7</v>
      </c>
      <c r="T2718" s="3" t="n">
        <f aca="false">INDEX(Summary!$P$2:$P$201,MATCH($B2718,Summary!$A$2:$A$201,0))</f>
        <v>2</v>
      </c>
      <c r="U2718" s="2" t="n">
        <f aca="false">INDEX(Summary!$Q$2:$Q$201,MATCH($B2718,Summary!$A$2:$A$201,0))</f>
        <v>11.9</v>
      </c>
      <c r="V2718" s="2" t="n">
        <f aca="false">INDEX(Summary!$R$2:$R$201,MATCH($B2718,Summary!$A$2:$A$201,0))</f>
        <v>30.96</v>
      </c>
      <c r="W2718" s="0" t="str">
        <f aca="false">INDEX(Summary!$S$2:$S$201,MATCH($B2718,Summary!$A$2:$A$201,0))</f>
        <v>Gold</v>
      </c>
      <c r="X2718" s="2" t="n">
        <f aca="false">INDEX(Summary!$T$2:$T$201,MATCH($B2718,Summary!$A$2:$A$201,0))</f>
        <v>75.51</v>
      </c>
      <c r="Y2718" s="0" t="str">
        <f aca="false">INDEX('Reward Model'!$E$18:$E$37,MATCH($E2718,'Reward Model'!$A$18:$A$37,0))</f>
        <v>High</v>
      </c>
      <c r="Z2718" s="4" t="n">
        <f aca="false">ROUND(MIN(1,MAX('Reward Model'!$B$2,INDEX('Reward Model'!$C$12:$C$14,MATCH($K2718,'Reward Model'!$A$12:$A$14,0))/$J2718)),3)</f>
        <v>0.769</v>
      </c>
      <c r="AA2718" s="2" t="n">
        <f aca="false">IF($I2718="Correct",ROUND(INDEX('Reward Model'!$B$12:$B$14,MATCH($K2718,'Reward Model'!$A$12:$A$14,0))*Z2718,2),0)</f>
        <v>2.31</v>
      </c>
      <c r="AB2718" s="2" t="n">
        <f aca="false">IF($I2718="Correct",ROUND(INDEX('Reward Model'!$B$12:$B$14,MATCH($Y2718,'Reward Model'!$A$12:$A$14,0))*Z2718,2),0)</f>
        <v>2.31</v>
      </c>
    </row>
    <row r="2719" customFormat="false" ht="15" hidden="false" customHeight="false" outlineLevel="0" collapsed="false">
      <c r="A2719" s="0" t="s">
        <v>402</v>
      </c>
      <c r="B2719" s="0" t="s">
        <v>403</v>
      </c>
      <c r="C2719" s="0" t="s">
        <v>322</v>
      </c>
      <c r="D2719" s="0" t="s">
        <v>189</v>
      </c>
      <c r="E2719" s="0" t="n">
        <v>18</v>
      </c>
      <c r="F2719" s="0" t="s">
        <v>76</v>
      </c>
      <c r="G2719" s="0" t="s">
        <v>77</v>
      </c>
      <c r="H2719" s="0" t="s">
        <v>77</v>
      </c>
      <c r="I2719" s="0" t="s">
        <v>34</v>
      </c>
      <c r="J2719" s="0" t="n">
        <v>1.79</v>
      </c>
      <c r="K2719" s="0" t="s">
        <v>73</v>
      </c>
      <c r="L2719" s="0" t="n">
        <f aca="false">INDEX(Summary!$F$2:$F$201,MATCH($B2719,Summary!$A$2:$A$201,0))</f>
        <v>20</v>
      </c>
      <c r="M2719" s="0" t="n">
        <f aca="false">INDEX(Summary!$I$2:$I$201,MATCH($B2719,Summary!$A$2:$A$201,0))</f>
        <v>4</v>
      </c>
      <c r="N2719" s="0" t="n">
        <f aca="false">INDEX(Summary!$J$2:$J$201,MATCH($B2719,Summary!$A$2:$A$201,0))</f>
        <v>1</v>
      </c>
      <c r="O2719" s="2" t="n">
        <f aca="false">INDEX(Summary!$K$2:$K$201,MATCH($B2719,Summary!$A$2:$A$201,0))</f>
        <v>9.64</v>
      </c>
      <c r="P2719" s="3" t="n">
        <f aca="false">INDEX(Summary!$L$2:$L$201,MATCH($B2719,Summary!$A$2:$A$201,0))</f>
        <v>5</v>
      </c>
      <c r="Q2719" s="3" t="n">
        <f aca="false">INDEX(Summary!$M$2:$M$201,MATCH($B2719,Summary!$A$2:$A$201,0))</f>
        <v>1</v>
      </c>
      <c r="R2719" s="2" t="n">
        <f aca="false">INDEX(Summary!$N$2:$N$201,MATCH($B2719,Summary!$A$2:$A$201,0))</f>
        <v>10</v>
      </c>
      <c r="S2719" s="3" t="n">
        <f aca="false">INDEX(Summary!$O$2:$O$201,MATCH($B2719,Summary!$A$2:$A$201,0))</f>
        <v>7</v>
      </c>
      <c r="T2719" s="3" t="n">
        <f aca="false">INDEX(Summary!$P$2:$P$201,MATCH($B2719,Summary!$A$2:$A$201,0))</f>
        <v>2</v>
      </c>
      <c r="U2719" s="2" t="n">
        <f aca="false">INDEX(Summary!$Q$2:$Q$201,MATCH($B2719,Summary!$A$2:$A$201,0))</f>
        <v>11.9</v>
      </c>
      <c r="V2719" s="2" t="n">
        <f aca="false">INDEX(Summary!$R$2:$R$201,MATCH($B2719,Summary!$A$2:$A$201,0))</f>
        <v>30.96</v>
      </c>
      <c r="W2719" s="0" t="str">
        <f aca="false">INDEX(Summary!$S$2:$S$201,MATCH($B2719,Summary!$A$2:$A$201,0))</f>
        <v>Gold</v>
      </c>
      <c r="X2719" s="2" t="n">
        <f aca="false">INDEX(Summary!$T$2:$T$201,MATCH($B2719,Summary!$A$2:$A$201,0))</f>
        <v>75.51</v>
      </c>
      <c r="Y2719" s="0" t="str">
        <f aca="false">INDEX('Reward Model'!$E$18:$E$37,MATCH($E2719,'Reward Model'!$A$18:$A$37,0))</f>
        <v>High</v>
      </c>
      <c r="Z2719" s="4" t="n">
        <f aca="false">ROUND(MIN(1,MAX('Reward Model'!$B$2,INDEX('Reward Model'!$C$12:$C$14,MATCH($K2719,'Reward Model'!$A$12:$A$14,0))/$J2719)),3)</f>
        <v>1</v>
      </c>
      <c r="AA2719" s="2" t="n">
        <f aca="false">IF($I2719="Correct",ROUND(INDEX('Reward Model'!$B$12:$B$14,MATCH($K2719,'Reward Model'!$A$12:$A$14,0))*Z2719,2),0)</f>
        <v>3</v>
      </c>
      <c r="AB2719" s="2" t="n">
        <f aca="false">IF($I2719="Correct",ROUND(INDEX('Reward Model'!$B$12:$B$14,MATCH($Y2719,'Reward Model'!$A$12:$A$14,0))*Z2719,2),0)</f>
        <v>3</v>
      </c>
    </row>
    <row r="2720" customFormat="false" ht="15" hidden="false" customHeight="false" outlineLevel="0" collapsed="false">
      <c r="A2720" s="0" t="s">
        <v>402</v>
      </c>
      <c r="B2720" s="0" t="s">
        <v>403</v>
      </c>
      <c r="C2720" s="0" t="s">
        <v>322</v>
      </c>
      <c r="D2720" s="0" t="s">
        <v>189</v>
      </c>
      <c r="E2720" s="0" t="n">
        <v>19</v>
      </c>
      <c r="F2720" s="0" t="s">
        <v>78</v>
      </c>
      <c r="G2720" s="0" t="s">
        <v>80</v>
      </c>
      <c r="H2720" s="0" t="s">
        <v>80</v>
      </c>
      <c r="I2720" s="0" t="s">
        <v>34</v>
      </c>
      <c r="J2720" s="0" t="n">
        <v>1.89</v>
      </c>
      <c r="K2720" s="0" t="s">
        <v>73</v>
      </c>
      <c r="L2720" s="0" t="n">
        <f aca="false">INDEX(Summary!$F$2:$F$201,MATCH($B2720,Summary!$A$2:$A$201,0))</f>
        <v>20</v>
      </c>
      <c r="M2720" s="0" t="n">
        <f aca="false">INDEX(Summary!$I$2:$I$201,MATCH($B2720,Summary!$A$2:$A$201,0))</f>
        <v>4</v>
      </c>
      <c r="N2720" s="0" t="n">
        <f aca="false">INDEX(Summary!$J$2:$J$201,MATCH($B2720,Summary!$A$2:$A$201,0))</f>
        <v>1</v>
      </c>
      <c r="O2720" s="2" t="n">
        <f aca="false">INDEX(Summary!$K$2:$K$201,MATCH($B2720,Summary!$A$2:$A$201,0))</f>
        <v>9.64</v>
      </c>
      <c r="P2720" s="3" t="n">
        <f aca="false">INDEX(Summary!$L$2:$L$201,MATCH($B2720,Summary!$A$2:$A$201,0))</f>
        <v>5</v>
      </c>
      <c r="Q2720" s="3" t="n">
        <f aca="false">INDEX(Summary!$M$2:$M$201,MATCH($B2720,Summary!$A$2:$A$201,0))</f>
        <v>1</v>
      </c>
      <c r="R2720" s="2" t="n">
        <f aca="false">INDEX(Summary!$N$2:$N$201,MATCH($B2720,Summary!$A$2:$A$201,0))</f>
        <v>10</v>
      </c>
      <c r="S2720" s="3" t="n">
        <f aca="false">INDEX(Summary!$O$2:$O$201,MATCH($B2720,Summary!$A$2:$A$201,0))</f>
        <v>7</v>
      </c>
      <c r="T2720" s="3" t="n">
        <f aca="false">INDEX(Summary!$P$2:$P$201,MATCH($B2720,Summary!$A$2:$A$201,0))</f>
        <v>2</v>
      </c>
      <c r="U2720" s="2" t="n">
        <f aca="false">INDEX(Summary!$Q$2:$Q$201,MATCH($B2720,Summary!$A$2:$A$201,0))</f>
        <v>11.9</v>
      </c>
      <c r="V2720" s="2" t="n">
        <f aca="false">INDEX(Summary!$R$2:$R$201,MATCH($B2720,Summary!$A$2:$A$201,0))</f>
        <v>30.96</v>
      </c>
      <c r="W2720" s="0" t="str">
        <f aca="false">INDEX(Summary!$S$2:$S$201,MATCH($B2720,Summary!$A$2:$A$201,0))</f>
        <v>Gold</v>
      </c>
      <c r="X2720" s="2" t="n">
        <f aca="false">INDEX(Summary!$T$2:$T$201,MATCH($B2720,Summary!$A$2:$A$201,0))</f>
        <v>75.51</v>
      </c>
      <c r="Y2720" s="0" t="str">
        <f aca="false">INDEX('Reward Model'!$E$18:$E$37,MATCH($E2720,'Reward Model'!$A$18:$A$37,0))</f>
        <v>High</v>
      </c>
      <c r="Z2720" s="4" t="n">
        <f aca="false">ROUND(MIN(1,MAX('Reward Model'!$B$2,INDEX('Reward Model'!$C$12:$C$14,MATCH($K2720,'Reward Model'!$A$12:$A$14,0))/$J2720)),3)</f>
        <v>1</v>
      </c>
      <c r="AA2720" s="2" t="n">
        <f aca="false">IF($I2720="Correct",ROUND(INDEX('Reward Model'!$B$12:$B$14,MATCH($K2720,'Reward Model'!$A$12:$A$14,0))*Z2720,2),0)</f>
        <v>3</v>
      </c>
      <c r="AB2720" s="2" t="n">
        <f aca="false">IF($I2720="Correct",ROUND(INDEX('Reward Model'!$B$12:$B$14,MATCH($Y2720,'Reward Model'!$A$12:$A$14,0))*Z2720,2),0)</f>
        <v>3</v>
      </c>
    </row>
    <row r="2721" customFormat="false" ht="15" hidden="false" customHeight="false" outlineLevel="0" collapsed="false">
      <c r="A2721" s="0" t="s">
        <v>402</v>
      </c>
      <c r="B2721" s="0" t="s">
        <v>403</v>
      </c>
      <c r="C2721" s="0" t="s">
        <v>322</v>
      </c>
      <c r="D2721" s="0" t="s">
        <v>189</v>
      </c>
      <c r="E2721" s="0" t="n">
        <v>20</v>
      </c>
      <c r="F2721" s="0" t="s">
        <v>81</v>
      </c>
      <c r="G2721" s="0" t="s">
        <v>166</v>
      </c>
      <c r="H2721" s="0" t="s">
        <v>83</v>
      </c>
      <c r="I2721" s="0" t="s">
        <v>39</v>
      </c>
      <c r="J2721" s="0" t="n">
        <v>2.13</v>
      </c>
      <c r="K2721" s="0" t="s">
        <v>73</v>
      </c>
      <c r="L2721" s="0" t="n">
        <f aca="false">INDEX(Summary!$F$2:$F$201,MATCH($B2721,Summary!$A$2:$A$201,0))</f>
        <v>20</v>
      </c>
      <c r="M2721" s="0" t="n">
        <f aca="false">INDEX(Summary!$I$2:$I$201,MATCH($B2721,Summary!$A$2:$A$201,0))</f>
        <v>4</v>
      </c>
      <c r="N2721" s="0" t="n">
        <f aca="false">INDEX(Summary!$J$2:$J$201,MATCH($B2721,Summary!$A$2:$A$201,0))</f>
        <v>1</v>
      </c>
      <c r="O2721" s="2" t="n">
        <f aca="false">INDEX(Summary!$K$2:$K$201,MATCH($B2721,Summary!$A$2:$A$201,0))</f>
        <v>9.64</v>
      </c>
      <c r="P2721" s="3" t="n">
        <f aca="false">INDEX(Summary!$L$2:$L$201,MATCH($B2721,Summary!$A$2:$A$201,0))</f>
        <v>5</v>
      </c>
      <c r="Q2721" s="3" t="n">
        <f aca="false">INDEX(Summary!$M$2:$M$201,MATCH($B2721,Summary!$A$2:$A$201,0))</f>
        <v>1</v>
      </c>
      <c r="R2721" s="2" t="n">
        <f aca="false">INDEX(Summary!$N$2:$N$201,MATCH($B2721,Summary!$A$2:$A$201,0))</f>
        <v>10</v>
      </c>
      <c r="S2721" s="3" t="n">
        <f aca="false">INDEX(Summary!$O$2:$O$201,MATCH($B2721,Summary!$A$2:$A$201,0))</f>
        <v>7</v>
      </c>
      <c r="T2721" s="3" t="n">
        <f aca="false">INDEX(Summary!$P$2:$P$201,MATCH($B2721,Summary!$A$2:$A$201,0))</f>
        <v>2</v>
      </c>
      <c r="U2721" s="2" t="n">
        <f aca="false">INDEX(Summary!$Q$2:$Q$201,MATCH($B2721,Summary!$A$2:$A$201,0))</f>
        <v>11.9</v>
      </c>
      <c r="V2721" s="2" t="n">
        <f aca="false">INDEX(Summary!$R$2:$R$201,MATCH($B2721,Summary!$A$2:$A$201,0))</f>
        <v>30.96</v>
      </c>
      <c r="W2721" s="0" t="str">
        <f aca="false">INDEX(Summary!$S$2:$S$201,MATCH($B2721,Summary!$A$2:$A$201,0))</f>
        <v>Gold</v>
      </c>
      <c r="X2721" s="2" t="n">
        <f aca="false">INDEX(Summary!$T$2:$T$201,MATCH($B2721,Summary!$A$2:$A$201,0))</f>
        <v>75.51</v>
      </c>
      <c r="Y2721" s="0" t="str">
        <f aca="false">INDEX('Reward Model'!$E$18:$E$37,MATCH($E2721,'Reward Model'!$A$18:$A$37,0))</f>
        <v>High</v>
      </c>
      <c r="Z2721" s="4" t="n">
        <f aca="false">ROUND(MIN(1,MAX('Reward Model'!$B$2,INDEX('Reward Model'!$C$12:$C$14,MATCH($K2721,'Reward Model'!$A$12:$A$14,0))/$J2721)),3)</f>
        <v>0.939</v>
      </c>
      <c r="AA2721" s="2" t="n">
        <f aca="false">IF($I2721="Correct",ROUND(INDEX('Reward Model'!$B$12:$B$14,MATCH($K2721,'Reward Model'!$A$12:$A$14,0))*Z2721,2),0)</f>
        <v>0</v>
      </c>
      <c r="AB2721" s="2" t="n">
        <f aca="false">IF($I2721="Correct",ROUND(INDEX('Reward Model'!$B$12:$B$14,MATCH($Y2721,'Reward Model'!$A$12:$A$14,0))*Z2721,2),0)</f>
        <v>0</v>
      </c>
    </row>
    <row r="2722" customFormat="false" ht="15" hidden="false" customHeight="false" outlineLevel="0" collapsed="false">
      <c r="A2722" s="0" t="s">
        <v>404</v>
      </c>
      <c r="B2722" s="0" t="s">
        <v>405</v>
      </c>
      <c r="C2722" s="0" t="s">
        <v>322</v>
      </c>
      <c r="D2722" s="0" t="s">
        <v>189</v>
      </c>
      <c r="E2722" s="0" t="n">
        <v>1</v>
      </c>
      <c r="F2722" s="0" t="s">
        <v>32</v>
      </c>
      <c r="G2722" s="0" t="s">
        <v>33</v>
      </c>
      <c r="H2722" s="0" t="s">
        <v>33</v>
      </c>
      <c r="I2722" s="0" t="s">
        <v>34</v>
      </c>
      <c r="J2722" s="0" t="n">
        <v>0.92</v>
      </c>
      <c r="K2722" s="0" t="s">
        <v>35</v>
      </c>
      <c r="L2722" s="0" t="n">
        <f aca="false">INDEX(Summary!$F$2:$F$201,MATCH($B2722,Summary!$A$2:$A$201,0))</f>
        <v>20</v>
      </c>
      <c r="M2722" s="0" t="n">
        <f aca="false">INDEX(Summary!$I$2:$I$201,MATCH($B2722,Summary!$A$2:$A$201,0))</f>
        <v>1</v>
      </c>
      <c r="N2722" s="0" t="n">
        <f aca="false">INDEX(Summary!$J$2:$J$201,MATCH($B2722,Summary!$A$2:$A$201,0))</f>
        <v>4</v>
      </c>
      <c r="O2722" s="2" t="n">
        <f aca="false">INDEX(Summary!$K$2:$K$201,MATCH($B2722,Summary!$A$2:$A$201,0))</f>
        <v>10.02</v>
      </c>
      <c r="P2722" s="3" t="n">
        <f aca="false">INDEX(Summary!$L$2:$L$201,MATCH($B2722,Summary!$A$2:$A$201,0))</f>
        <v>4</v>
      </c>
      <c r="Q2722" s="3" t="n">
        <f aca="false">INDEX(Summary!$M$2:$M$201,MATCH($B2722,Summary!$A$2:$A$201,0))</f>
        <v>2</v>
      </c>
      <c r="R2722" s="2" t="n">
        <f aca="false">INDEX(Summary!$N$2:$N$201,MATCH($B2722,Summary!$A$2:$A$201,0))</f>
        <v>10.29</v>
      </c>
      <c r="S2722" s="3" t="n">
        <f aca="false">INDEX(Summary!$O$2:$O$201,MATCH($B2722,Summary!$A$2:$A$201,0))</f>
        <v>8</v>
      </c>
      <c r="T2722" s="3" t="n">
        <f aca="false">INDEX(Summary!$P$2:$P$201,MATCH($B2722,Summary!$A$2:$A$201,0))</f>
        <v>1</v>
      </c>
      <c r="U2722" s="2" t="n">
        <f aca="false">INDEX(Summary!$Q$2:$Q$201,MATCH($B2722,Summary!$A$2:$A$201,0))</f>
        <v>11.5</v>
      </c>
      <c r="V2722" s="2" t="n">
        <f aca="false">INDEX(Summary!$R$2:$R$201,MATCH($B2722,Summary!$A$2:$A$201,0))</f>
        <v>23.19</v>
      </c>
      <c r="W2722" s="0" t="str">
        <f aca="false">INDEX(Summary!$S$2:$S$201,MATCH($B2722,Summary!$A$2:$A$201,0))</f>
        <v>Silver</v>
      </c>
      <c r="X2722" s="2" t="n">
        <f aca="false">INDEX(Summary!$T$2:$T$201,MATCH($B2722,Summary!$A$2:$A$201,0))</f>
        <v>56.56</v>
      </c>
      <c r="Y2722" s="0" t="str">
        <f aca="false">INDEX('Reward Model'!$E$18:$E$37,MATCH($E2722,'Reward Model'!$A$18:$A$37,0))</f>
        <v>Medium</v>
      </c>
      <c r="Z2722" s="4" t="n">
        <f aca="false">ROUND(MIN(1,MAX('Reward Model'!$B$2,INDEX('Reward Model'!$C$12:$C$14,MATCH($K2722,'Reward Model'!$A$12:$A$14,0))/$J2722)),3)</f>
        <v>1</v>
      </c>
      <c r="AA2722" s="2" t="n">
        <f aca="false">IF($I2722="Correct",ROUND(INDEX('Reward Model'!$B$12:$B$14,MATCH($K2722,'Reward Model'!$A$12:$A$14,0))*Z2722,2),0)</f>
        <v>1</v>
      </c>
      <c r="AB2722" s="2" t="n">
        <f aca="false">IF($I2722="Correct",ROUND(INDEX('Reward Model'!$B$12:$B$14,MATCH($Y2722,'Reward Model'!$A$12:$A$14,0))*Z2722,2),0)</f>
        <v>2</v>
      </c>
    </row>
    <row r="2723" customFormat="false" ht="15" hidden="false" customHeight="false" outlineLevel="0" collapsed="false">
      <c r="A2723" s="0" t="s">
        <v>404</v>
      </c>
      <c r="B2723" s="0" t="s">
        <v>405</v>
      </c>
      <c r="C2723" s="0" t="s">
        <v>322</v>
      </c>
      <c r="D2723" s="0" t="s">
        <v>189</v>
      </c>
      <c r="E2723" s="0" t="n">
        <v>2</v>
      </c>
      <c r="F2723" s="0" t="s">
        <v>36</v>
      </c>
      <c r="G2723" s="0" t="s">
        <v>38</v>
      </c>
      <c r="H2723" s="0" t="s">
        <v>38</v>
      </c>
      <c r="I2723" s="0" t="s">
        <v>34</v>
      </c>
      <c r="J2723" s="0" t="n">
        <v>1.39</v>
      </c>
      <c r="K2723" s="0" t="s">
        <v>35</v>
      </c>
      <c r="L2723" s="0" t="n">
        <f aca="false">INDEX(Summary!$F$2:$F$201,MATCH($B2723,Summary!$A$2:$A$201,0))</f>
        <v>20</v>
      </c>
      <c r="M2723" s="0" t="n">
        <f aca="false">INDEX(Summary!$I$2:$I$201,MATCH($B2723,Summary!$A$2:$A$201,0))</f>
        <v>1</v>
      </c>
      <c r="N2723" s="0" t="n">
        <f aca="false">INDEX(Summary!$J$2:$J$201,MATCH($B2723,Summary!$A$2:$A$201,0))</f>
        <v>4</v>
      </c>
      <c r="O2723" s="2" t="n">
        <f aca="false">INDEX(Summary!$K$2:$K$201,MATCH($B2723,Summary!$A$2:$A$201,0))</f>
        <v>10.02</v>
      </c>
      <c r="P2723" s="3" t="n">
        <f aca="false">INDEX(Summary!$L$2:$L$201,MATCH($B2723,Summary!$A$2:$A$201,0))</f>
        <v>4</v>
      </c>
      <c r="Q2723" s="3" t="n">
        <f aca="false">INDEX(Summary!$M$2:$M$201,MATCH($B2723,Summary!$A$2:$A$201,0))</f>
        <v>2</v>
      </c>
      <c r="R2723" s="2" t="n">
        <f aca="false">INDEX(Summary!$N$2:$N$201,MATCH($B2723,Summary!$A$2:$A$201,0))</f>
        <v>10.29</v>
      </c>
      <c r="S2723" s="3" t="n">
        <f aca="false">INDEX(Summary!$O$2:$O$201,MATCH($B2723,Summary!$A$2:$A$201,0))</f>
        <v>8</v>
      </c>
      <c r="T2723" s="3" t="n">
        <f aca="false">INDEX(Summary!$P$2:$P$201,MATCH($B2723,Summary!$A$2:$A$201,0))</f>
        <v>1</v>
      </c>
      <c r="U2723" s="2" t="n">
        <f aca="false">INDEX(Summary!$Q$2:$Q$201,MATCH($B2723,Summary!$A$2:$A$201,0))</f>
        <v>11.5</v>
      </c>
      <c r="V2723" s="2" t="n">
        <f aca="false">INDEX(Summary!$R$2:$R$201,MATCH($B2723,Summary!$A$2:$A$201,0))</f>
        <v>23.19</v>
      </c>
      <c r="W2723" s="0" t="str">
        <f aca="false">INDEX(Summary!$S$2:$S$201,MATCH($B2723,Summary!$A$2:$A$201,0))</f>
        <v>Silver</v>
      </c>
      <c r="X2723" s="2" t="n">
        <f aca="false">INDEX(Summary!$T$2:$T$201,MATCH($B2723,Summary!$A$2:$A$201,0))</f>
        <v>56.56</v>
      </c>
      <c r="Y2723" s="0" t="str">
        <f aca="false">INDEX('Reward Model'!$E$18:$E$37,MATCH($E2723,'Reward Model'!$A$18:$A$37,0))</f>
        <v>Low</v>
      </c>
      <c r="Z2723" s="4" t="n">
        <f aca="false">ROUND(MIN(1,MAX('Reward Model'!$B$2,INDEX('Reward Model'!$C$12:$C$14,MATCH($K2723,'Reward Model'!$A$12:$A$14,0))/$J2723)),3)</f>
        <v>1</v>
      </c>
      <c r="AA2723" s="2" t="n">
        <f aca="false">IF($I2723="Correct",ROUND(INDEX('Reward Model'!$B$12:$B$14,MATCH($K2723,'Reward Model'!$A$12:$A$14,0))*Z2723,2),0)</f>
        <v>1</v>
      </c>
      <c r="AB2723" s="2" t="n">
        <f aca="false">IF($I2723="Correct",ROUND(INDEX('Reward Model'!$B$12:$B$14,MATCH($Y2723,'Reward Model'!$A$12:$A$14,0))*Z2723,2),0)</f>
        <v>1</v>
      </c>
    </row>
    <row r="2724" customFormat="false" ht="15" hidden="false" customHeight="false" outlineLevel="0" collapsed="false">
      <c r="A2724" s="0" t="s">
        <v>404</v>
      </c>
      <c r="B2724" s="0" t="s">
        <v>405</v>
      </c>
      <c r="C2724" s="0" t="s">
        <v>322</v>
      </c>
      <c r="D2724" s="0" t="s">
        <v>189</v>
      </c>
      <c r="E2724" s="0" t="n">
        <v>3</v>
      </c>
      <c r="F2724" s="0" t="s">
        <v>40</v>
      </c>
      <c r="G2724" s="0" t="s">
        <v>42</v>
      </c>
      <c r="H2724" s="0" t="s">
        <v>42</v>
      </c>
      <c r="I2724" s="0" t="s">
        <v>34</v>
      </c>
      <c r="J2724" s="0" t="n">
        <v>1.1</v>
      </c>
      <c r="K2724" s="0" t="s">
        <v>35</v>
      </c>
      <c r="L2724" s="0" t="n">
        <f aca="false">INDEX(Summary!$F$2:$F$201,MATCH($B2724,Summary!$A$2:$A$201,0))</f>
        <v>20</v>
      </c>
      <c r="M2724" s="0" t="n">
        <f aca="false">INDEX(Summary!$I$2:$I$201,MATCH($B2724,Summary!$A$2:$A$201,0))</f>
        <v>1</v>
      </c>
      <c r="N2724" s="0" t="n">
        <f aca="false">INDEX(Summary!$J$2:$J$201,MATCH($B2724,Summary!$A$2:$A$201,0))</f>
        <v>4</v>
      </c>
      <c r="O2724" s="2" t="n">
        <f aca="false">INDEX(Summary!$K$2:$K$201,MATCH($B2724,Summary!$A$2:$A$201,0))</f>
        <v>10.02</v>
      </c>
      <c r="P2724" s="3" t="n">
        <f aca="false">INDEX(Summary!$L$2:$L$201,MATCH($B2724,Summary!$A$2:$A$201,0))</f>
        <v>4</v>
      </c>
      <c r="Q2724" s="3" t="n">
        <f aca="false">INDEX(Summary!$M$2:$M$201,MATCH($B2724,Summary!$A$2:$A$201,0))</f>
        <v>2</v>
      </c>
      <c r="R2724" s="2" t="n">
        <f aca="false">INDEX(Summary!$N$2:$N$201,MATCH($B2724,Summary!$A$2:$A$201,0))</f>
        <v>10.29</v>
      </c>
      <c r="S2724" s="3" t="n">
        <f aca="false">INDEX(Summary!$O$2:$O$201,MATCH($B2724,Summary!$A$2:$A$201,0))</f>
        <v>8</v>
      </c>
      <c r="T2724" s="3" t="n">
        <f aca="false">INDEX(Summary!$P$2:$P$201,MATCH($B2724,Summary!$A$2:$A$201,0))</f>
        <v>1</v>
      </c>
      <c r="U2724" s="2" t="n">
        <f aca="false">INDEX(Summary!$Q$2:$Q$201,MATCH($B2724,Summary!$A$2:$A$201,0))</f>
        <v>11.5</v>
      </c>
      <c r="V2724" s="2" t="n">
        <f aca="false">INDEX(Summary!$R$2:$R$201,MATCH($B2724,Summary!$A$2:$A$201,0))</f>
        <v>23.19</v>
      </c>
      <c r="W2724" s="0" t="str">
        <f aca="false">INDEX(Summary!$S$2:$S$201,MATCH($B2724,Summary!$A$2:$A$201,0))</f>
        <v>Silver</v>
      </c>
      <c r="X2724" s="2" t="n">
        <f aca="false">INDEX(Summary!$T$2:$T$201,MATCH($B2724,Summary!$A$2:$A$201,0))</f>
        <v>56.56</v>
      </c>
      <c r="Y2724" s="0" t="str">
        <f aca="false">INDEX('Reward Model'!$E$18:$E$37,MATCH($E2724,'Reward Model'!$A$18:$A$37,0))</f>
        <v>Medium</v>
      </c>
      <c r="Z2724" s="4" t="n">
        <f aca="false">ROUND(MIN(1,MAX('Reward Model'!$B$2,INDEX('Reward Model'!$C$12:$C$14,MATCH($K2724,'Reward Model'!$A$12:$A$14,0))/$J2724)),3)</f>
        <v>1</v>
      </c>
      <c r="AA2724" s="2" t="n">
        <f aca="false">IF($I2724="Correct",ROUND(INDEX('Reward Model'!$B$12:$B$14,MATCH($K2724,'Reward Model'!$A$12:$A$14,0))*Z2724,2),0)</f>
        <v>1</v>
      </c>
      <c r="AB2724" s="2" t="n">
        <f aca="false">IF($I2724="Correct",ROUND(INDEX('Reward Model'!$B$12:$B$14,MATCH($Y2724,'Reward Model'!$A$12:$A$14,0))*Z2724,2),0)</f>
        <v>2</v>
      </c>
    </row>
    <row r="2725" customFormat="false" ht="15" hidden="false" customHeight="false" outlineLevel="0" collapsed="false">
      <c r="A2725" s="0" t="s">
        <v>404</v>
      </c>
      <c r="B2725" s="0" t="s">
        <v>405</v>
      </c>
      <c r="C2725" s="0" t="s">
        <v>322</v>
      </c>
      <c r="D2725" s="0" t="s">
        <v>189</v>
      </c>
      <c r="E2725" s="0" t="n">
        <v>4</v>
      </c>
      <c r="F2725" s="0" t="s">
        <v>43</v>
      </c>
      <c r="G2725" s="0" t="s">
        <v>45</v>
      </c>
      <c r="H2725" s="0" t="s">
        <v>45</v>
      </c>
      <c r="I2725" s="0" t="s">
        <v>34</v>
      </c>
      <c r="J2725" s="0" t="n">
        <v>1.23</v>
      </c>
      <c r="K2725" s="0" t="s">
        <v>35</v>
      </c>
      <c r="L2725" s="0" t="n">
        <f aca="false">INDEX(Summary!$F$2:$F$201,MATCH($B2725,Summary!$A$2:$A$201,0))</f>
        <v>20</v>
      </c>
      <c r="M2725" s="0" t="n">
        <f aca="false">INDEX(Summary!$I$2:$I$201,MATCH($B2725,Summary!$A$2:$A$201,0))</f>
        <v>1</v>
      </c>
      <c r="N2725" s="0" t="n">
        <f aca="false">INDEX(Summary!$J$2:$J$201,MATCH($B2725,Summary!$A$2:$A$201,0))</f>
        <v>4</v>
      </c>
      <c r="O2725" s="2" t="n">
        <f aca="false">INDEX(Summary!$K$2:$K$201,MATCH($B2725,Summary!$A$2:$A$201,0))</f>
        <v>10.02</v>
      </c>
      <c r="P2725" s="3" t="n">
        <f aca="false">INDEX(Summary!$L$2:$L$201,MATCH($B2725,Summary!$A$2:$A$201,0))</f>
        <v>4</v>
      </c>
      <c r="Q2725" s="3" t="n">
        <f aca="false">INDEX(Summary!$M$2:$M$201,MATCH($B2725,Summary!$A$2:$A$201,0))</f>
        <v>2</v>
      </c>
      <c r="R2725" s="2" t="n">
        <f aca="false">INDEX(Summary!$N$2:$N$201,MATCH($B2725,Summary!$A$2:$A$201,0))</f>
        <v>10.29</v>
      </c>
      <c r="S2725" s="3" t="n">
        <f aca="false">INDEX(Summary!$O$2:$O$201,MATCH($B2725,Summary!$A$2:$A$201,0))</f>
        <v>8</v>
      </c>
      <c r="T2725" s="3" t="n">
        <f aca="false">INDEX(Summary!$P$2:$P$201,MATCH($B2725,Summary!$A$2:$A$201,0))</f>
        <v>1</v>
      </c>
      <c r="U2725" s="2" t="n">
        <f aca="false">INDEX(Summary!$Q$2:$Q$201,MATCH($B2725,Summary!$A$2:$A$201,0))</f>
        <v>11.5</v>
      </c>
      <c r="V2725" s="2" t="n">
        <f aca="false">INDEX(Summary!$R$2:$R$201,MATCH($B2725,Summary!$A$2:$A$201,0))</f>
        <v>23.19</v>
      </c>
      <c r="W2725" s="0" t="str">
        <f aca="false">INDEX(Summary!$S$2:$S$201,MATCH($B2725,Summary!$A$2:$A$201,0))</f>
        <v>Silver</v>
      </c>
      <c r="X2725" s="2" t="n">
        <f aca="false">INDEX(Summary!$T$2:$T$201,MATCH($B2725,Summary!$A$2:$A$201,0))</f>
        <v>56.56</v>
      </c>
      <c r="Y2725" s="0" t="str">
        <f aca="false">INDEX('Reward Model'!$E$18:$E$37,MATCH($E2725,'Reward Model'!$A$18:$A$37,0))</f>
        <v>Low</v>
      </c>
      <c r="Z2725" s="4" t="n">
        <f aca="false">ROUND(MIN(1,MAX('Reward Model'!$B$2,INDEX('Reward Model'!$C$12:$C$14,MATCH($K2725,'Reward Model'!$A$12:$A$14,0))/$J2725)),3)</f>
        <v>1</v>
      </c>
      <c r="AA2725" s="2" t="n">
        <f aca="false">IF($I2725="Correct",ROUND(INDEX('Reward Model'!$B$12:$B$14,MATCH($K2725,'Reward Model'!$A$12:$A$14,0))*Z2725,2),0)</f>
        <v>1</v>
      </c>
      <c r="AB2725" s="2" t="n">
        <f aca="false">IF($I2725="Correct",ROUND(INDEX('Reward Model'!$B$12:$B$14,MATCH($Y2725,'Reward Model'!$A$12:$A$14,0))*Z2725,2),0)</f>
        <v>1</v>
      </c>
    </row>
    <row r="2726" customFormat="false" ht="15" hidden="false" customHeight="false" outlineLevel="0" collapsed="false">
      <c r="A2726" s="0" t="s">
        <v>404</v>
      </c>
      <c r="B2726" s="0" t="s">
        <v>405</v>
      </c>
      <c r="C2726" s="0" t="s">
        <v>322</v>
      </c>
      <c r="D2726" s="0" t="s">
        <v>189</v>
      </c>
      <c r="E2726" s="0" t="n">
        <v>5</v>
      </c>
      <c r="F2726" s="0" t="s">
        <v>46</v>
      </c>
      <c r="G2726" s="0" t="s">
        <v>47</v>
      </c>
      <c r="H2726" s="0" t="s">
        <v>47</v>
      </c>
      <c r="I2726" s="0" t="s">
        <v>34</v>
      </c>
      <c r="J2726" s="0" t="n">
        <v>0.93</v>
      </c>
      <c r="K2726" s="0" t="s">
        <v>35</v>
      </c>
      <c r="L2726" s="0" t="n">
        <f aca="false">INDEX(Summary!$F$2:$F$201,MATCH($B2726,Summary!$A$2:$A$201,0))</f>
        <v>20</v>
      </c>
      <c r="M2726" s="0" t="n">
        <f aca="false">INDEX(Summary!$I$2:$I$201,MATCH($B2726,Summary!$A$2:$A$201,0))</f>
        <v>1</v>
      </c>
      <c r="N2726" s="0" t="n">
        <f aca="false">INDEX(Summary!$J$2:$J$201,MATCH($B2726,Summary!$A$2:$A$201,0))</f>
        <v>4</v>
      </c>
      <c r="O2726" s="2" t="n">
        <f aca="false">INDEX(Summary!$K$2:$K$201,MATCH($B2726,Summary!$A$2:$A$201,0))</f>
        <v>10.02</v>
      </c>
      <c r="P2726" s="3" t="n">
        <f aca="false">INDEX(Summary!$L$2:$L$201,MATCH($B2726,Summary!$A$2:$A$201,0))</f>
        <v>4</v>
      </c>
      <c r="Q2726" s="3" t="n">
        <f aca="false">INDEX(Summary!$M$2:$M$201,MATCH($B2726,Summary!$A$2:$A$201,0))</f>
        <v>2</v>
      </c>
      <c r="R2726" s="2" t="n">
        <f aca="false">INDEX(Summary!$N$2:$N$201,MATCH($B2726,Summary!$A$2:$A$201,0))</f>
        <v>10.29</v>
      </c>
      <c r="S2726" s="3" t="n">
        <f aca="false">INDEX(Summary!$O$2:$O$201,MATCH($B2726,Summary!$A$2:$A$201,0))</f>
        <v>8</v>
      </c>
      <c r="T2726" s="3" t="n">
        <f aca="false">INDEX(Summary!$P$2:$P$201,MATCH($B2726,Summary!$A$2:$A$201,0))</f>
        <v>1</v>
      </c>
      <c r="U2726" s="2" t="n">
        <f aca="false">INDEX(Summary!$Q$2:$Q$201,MATCH($B2726,Summary!$A$2:$A$201,0))</f>
        <v>11.5</v>
      </c>
      <c r="V2726" s="2" t="n">
        <f aca="false">INDEX(Summary!$R$2:$R$201,MATCH($B2726,Summary!$A$2:$A$201,0))</f>
        <v>23.19</v>
      </c>
      <c r="W2726" s="0" t="str">
        <f aca="false">INDEX(Summary!$S$2:$S$201,MATCH($B2726,Summary!$A$2:$A$201,0))</f>
        <v>Silver</v>
      </c>
      <c r="X2726" s="2" t="n">
        <f aca="false">INDEX(Summary!$T$2:$T$201,MATCH($B2726,Summary!$A$2:$A$201,0))</f>
        <v>56.56</v>
      </c>
      <c r="Y2726" s="0" t="str">
        <f aca="false">INDEX('Reward Model'!$E$18:$E$37,MATCH($E2726,'Reward Model'!$A$18:$A$37,0))</f>
        <v>Low</v>
      </c>
      <c r="Z2726" s="4" t="n">
        <f aca="false">ROUND(MIN(1,MAX('Reward Model'!$B$2,INDEX('Reward Model'!$C$12:$C$14,MATCH($K2726,'Reward Model'!$A$12:$A$14,0))/$J2726)),3)</f>
        <v>1</v>
      </c>
      <c r="AA2726" s="2" t="n">
        <f aca="false">IF($I2726="Correct",ROUND(INDEX('Reward Model'!$B$12:$B$14,MATCH($K2726,'Reward Model'!$A$12:$A$14,0))*Z2726,2),0)</f>
        <v>1</v>
      </c>
      <c r="AB2726" s="2" t="n">
        <f aca="false">IF($I2726="Correct",ROUND(INDEX('Reward Model'!$B$12:$B$14,MATCH($Y2726,'Reward Model'!$A$12:$A$14,0))*Z2726,2),0)</f>
        <v>1</v>
      </c>
    </row>
    <row r="2727" customFormat="false" ht="15" hidden="false" customHeight="false" outlineLevel="0" collapsed="false">
      <c r="A2727" s="0" t="s">
        <v>404</v>
      </c>
      <c r="B2727" s="0" t="s">
        <v>405</v>
      </c>
      <c r="C2727" s="0" t="s">
        <v>322</v>
      </c>
      <c r="D2727" s="0" t="s">
        <v>189</v>
      </c>
      <c r="E2727" s="0" t="n">
        <v>6</v>
      </c>
      <c r="F2727" s="0" t="s">
        <v>48</v>
      </c>
      <c r="G2727" s="0" t="s">
        <v>49</v>
      </c>
      <c r="H2727" s="0" t="s">
        <v>49</v>
      </c>
      <c r="I2727" s="0" t="s">
        <v>34</v>
      </c>
      <c r="J2727" s="0" t="n">
        <v>1.08</v>
      </c>
      <c r="K2727" s="0" t="s">
        <v>35</v>
      </c>
      <c r="L2727" s="0" t="n">
        <f aca="false">INDEX(Summary!$F$2:$F$201,MATCH($B2727,Summary!$A$2:$A$201,0))</f>
        <v>20</v>
      </c>
      <c r="M2727" s="0" t="n">
        <f aca="false">INDEX(Summary!$I$2:$I$201,MATCH($B2727,Summary!$A$2:$A$201,0))</f>
        <v>1</v>
      </c>
      <c r="N2727" s="0" t="n">
        <f aca="false">INDEX(Summary!$J$2:$J$201,MATCH($B2727,Summary!$A$2:$A$201,0))</f>
        <v>4</v>
      </c>
      <c r="O2727" s="2" t="n">
        <f aca="false">INDEX(Summary!$K$2:$K$201,MATCH($B2727,Summary!$A$2:$A$201,0))</f>
        <v>10.02</v>
      </c>
      <c r="P2727" s="3" t="n">
        <f aca="false">INDEX(Summary!$L$2:$L$201,MATCH($B2727,Summary!$A$2:$A$201,0))</f>
        <v>4</v>
      </c>
      <c r="Q2727" s="3" t="n">
        <f aca="false">INDEX(Summary!$M$2:$M$201,MATCH($B2727,Summary!$A$2:$A$201,0))</f>
        <v>2</v>
      </c>
      <c r="R2727" s="2" t="n">
        <f aca="false">INDEX(Summary!$N$2:$N$201,MATCH($B2727,Summary!$A$2:$A$201,0))</f>
        <v>10.29</v>
      </c>
      <c r="S2727" s="3" t="n">
        <f aca="false">INDEX(Summary!$O$2:$O$201,MATCH($B2727,Summary!$A$2:$A$201,0))</f>
        <v>8</v>
      </c>
      <c r="T2727" s="3" t="n">
        <f aca="false">INDEX(Summary!$P$2:$P$201,MATCH($B2727,Summary!$A$2:$A$201,0))</f>
        <v>1</v>
      </c>
      <c r="U2727" s="2" t="n">
        <f aca="false">INDEX(Summary!$Q$2:$Q$201,MATCH($B2727,Summary!$A$2:$A$201,0))</f>
        <v>11.5</v>
      </c>
      <c r="V2727" s="2" t="n">
        <f aca="false">INDEX(Summary!$R$2:$R$201,MATCH($B2727,Summary!$A$2:$A$201,0))</f>
        <v>23.19</v>
      </c>
      <c r="W2727" s="0" t="str">
        <f aca="false">INDEX(Summary!$S$2:$S$201,MATCH($B2727,Summary!$A$2:$A$201,0))</f>
        <v>Silver</v>
      </c>
      <c r="X2727" s="2" t="n">
        <f aca="false">INDEX(Summary!$T$2:$T$201,MATCH($B2727,Summary!$A$2:$A$201,0))</f>
        <v>56.56</v>
      </c>
      <c r="Y2727" s="0" t="str">
        <f aca="false">INDEX('Reward Model'!$E$18:$E$37,MATCH($E2727,'Reward Model'!$A$18:$A$37,0))</f>
        <v>Medium</v>
      </c>
      <c r="Z2727" s="4" t="n">
        <f aca="false">ROUND(MIN(1,MAX('Reward Model'!$B$2,INDEX('Reward Model'!$C$12:$C$14,MATCH($K2727,'Reward Model'!$A$12:$A$14,0))/$J2727)),3)</f>
        <v>1</v>
      </c>
      <c r="AA2727" s="2" t="n">
        <f aca="false">IF($I2727="Correct",ROUND(INDEX('Reward Model'!$B$12:$B$14,MATCH($K2727,'Reward Model'!$A$12:$A$14,0))*Z2727,2),0)</f>
        <v>1</v>
      </c>
      <c r="AB2727" s="2" t="n">
        <f aca="false">IF($I2727="Correct",ROUND(INDEX('Reward Model'!$B$12:$B$14,MATCH($Y2727,'Reward Model'!$A$12:$A$14,0))*Z2727,2),0)</f>
        <v>2</v>
      </c>
    </row>
    <row r="2728" customFormat="false" ht="15" hidden="false" customHeight="false" outlineLevel="0" collapsed="false">
      <c r="A2728" s="0" t="s">
        <v>404</v>
      </c>
      <c r="B2728" s="0" t="s">
        <v>405</v>
      </c>
      <c r="C2728" s="0" t="s">
        <v>322</v>
      </c>
      <c r="D2728" s="0" t="s">
        <v>189</v>
      </c>
      <c r="E2728" s="0" t="n">
        <v>7</v>
      </c>
      <c r="F2728" s="0" t="s">
        <v>50</v>
      </c>
      <c r="G2728" s="0" t="s">
        <v>144</v>
      </c>
      <c r="H2728" s="0" t="s">
        <v>51</v>
      </c>
      <c r="I2728" s="0" t="s">
        <v>39</v>
      </c>
      <c r="J2728" s="0" t="n">
        <v>1.6</v>
      </c>
      <c r="K2728" s="0" t="s">
        <v>35</v>
      </c>
      <c r="L2728" s="0" t="n">
        <f aca="false">INDEX(Summary!$F$2:$F$201,MATCH($B2728,Summary!$A$2:$A$201,0))</f>
        <v>20</v>
      </c>
      <c r="M2728" s="0" t="n">
        <f aca="false">INDEX(Summary!$I$2:$I$201,MATCH($B2728,Summary!$A$2:$A$201,0))</f>
        <v>1</v>
      </c>
      <c r="N2728" s="0" t="n">
        <f aca="false">INDEX(Summary!$J$2:$J$201,MATCH($B2728,Summary!$A$2:$A$201,0))</f>
        <v>4</v>
      </c>
      <c r="O2728" s="2" t="n">
        <f aca="false">INDEX(Summary!$K$2:$K$201,MATCH($B2728,Summary!$A$2:$A$201,0))</f>
        <v>10.02</v>
      </c>
      <c r="P2728" s="3" t="n">
        <f aca="false">INDEX(Summary!$L$2:$L$201,MATCH($B2728,Summary!$A$2:$A$201,0))</f>
        <v>4</v>
      </c>
      <c r="Q2728" s="3" t="n">
        <f aca="false">INDEX(Summary!$M$2:$M$201,MATCH($B2728,Summary!$A$2:$A$201,0))</f>
        <v>2</v>
      </c>
      <c r="R2728" s="2" t="n">
        <f aca="false">INDEX(Summary!$N$2:$N$201,MATCH($B2728,Summary!$A$2:$A$201,0))</f>
        <v>10.29</v>
      </c>
      <c r="S2728" s="3" t="n">
        <f aca="false">INDEX(Summary!$O$2:$O$201,MATCH($B2728,Summary!$A$2:$A$201,0))</f>
        <v>8</v>
      </c>
      <c r="T2728" s="3" t="n">
        <f aca="false">INDEX(Summary!$P$2:$P$201,MATCH($B2728,Summary!$A$2:$A$201,0))</f>
        <v>1</v>
      </c>
      <c r="U2728" s="2" t="n">
        <f aca="false">INDEX(Summary!$Q$2:$Q$201,MATCH($B2728,Summary!$A$2:$A$201,0))</f>
        <v>11.5</v>
      </c>
      <c r="V2728" s="2" t="n">
        <f aca="false">INDEX(Summary!$R$2:$R$201,MATCH($B2728,Summary!$A$2:$A$201,0))</f>
        <v>23.19</v>
      </c>
      <c r="W2728" s="0" t="str">
        <f aca="false">INDEX(Summary!$S$2:$S$201,MATCH($B2728,Summary!$A$2:$A$201,0))</f>
        <v>Silver</v>
      </c>
      <c r="X2728" s="2" t="n">
        <f aca="false">INDEX(Summary!$T$2:$T$201,MATCH($B2728,Summary!$A$2:$A$201,0))</f>
        <v>56.56</v>
      </c>
      <c r="Y2728" s="0" t="str">
        <f aca="false">INDEX('Reward Model'!$E$18:$E$37,MATCH($E2728,'Reward Model'!$A$18:$A$37,0))</f>
        <v>Low</v>
      </c>
      <c r="Z2728" s="4" t="n">
        <f aca="false">ROUND(MIN(1,MAX('Reward Model'!$B$2,INDEX('Reward Model'!$C$12:$C$14,MATCH($K2728,'Reward Model'!$A$12:$A$14,0))/$J2728)),3)</f>
        <v>0.938</v>
      </c>
      <c r="AA2728" s="2" t="n">
        <f aca="false">IF($I2728="Correct",ROUND(INDEX('Reward Model'!$B$12:$B$14,MATCH($K2728,'Reward Model'!$A$12:$A$14,0))*Z2728,2),0)</f>
        <v>0</v>
      </c>
      <c r="AB2728" s="2" t="n">
        <f aca="false">IF($I2728="Correct",ROUND(INDEX('Reward Model'!$B$12:$B$14,MATCH($Y2728,'Reward Model'!$A$12:$A$14,0))*Z2728,2),0)</f>
        <v>0</v>
      </c>
    </row>
    <row r="2729" customFormat="false" ht="15" hidden="false" customHeight="false" outlineLevel="0" collapsed="false">
      <c r="A2729" s="0" t="s">
        <v>404</v>
      </c>
      <c r="B2729" s="0" t="s">
        <v>405</v>
      </c>
      <c r="C2729" s="0" t="s">
        <v>322</v>
      </c>
      <c r="D2729" s="0" t="s">
        <v>189</v>
      </c>
      <c r="E2729" s="0" t="n">
        <v>8</v>
      </c>
      <c r="F2729" s="0" t="s">
        <v>52</v>
      </c>
      <c r="G2729" s="0" t="s">
        <v>54</v>
      </c>
      <c r="H2729" s="0" t="s">
        <v>54</v>
      </c>
      <c r="I2729" s="0" t="s">
        <v>34</v>
      </c>
      <c r="J2729" s="0" t="n">
        <v>1.6</v>
      </c>
      <c r="K2729" s="0" t="s">
        <v>35</v>
      </c>
      <c r="L2729" s="0" t="n">
        <f aca="false">INDEX(Summary!$F$2:$F$201,MATCH($B2729,Summary!$A$2:$A$201,0))</f>
        <v>20</v>
      </c>
      <c r="M2729" s="0" t="n">
        <f aca="false">INDEX(Summary!$I$2:$I$201,MATCH($B2729,Summary!$A$2:$A$201,0))</f>
        <v>1</v>
      </c>
      <c r="N2729" s="0" t="n">
        <f aca="false">INDEX(Summary!$J$2:$J$201,MATCH($B2729,Summary!$A$2:$A$201,0))</f>
        <v>4</v>
      </c>
      <c r="O2729" s="2" t="n">
        <f aca="false">INDEX(Summary!$K$2:$K$201,MATCH($B2729,Summary!$A$2:$A$201,0))</f>
        <v>10.02</v>
      </c>
      <c r="P2729" s="3" t="n">
        <f aca="false">INDEX(Summary!$L$2:$L$201,MATCH($B2729,Summary!$A$2:$A$201,0))</f>
        <v>4</v>
      </c>
      <c r="Q2729" s="3" t="n">
        <f aca="false">INDEX(Summary!$M$2:$M$201,MATCH($B2729,Summary!$A$2:$A$201,0))</f>
        <v>2</v>
      </c>
      <c r="R2729" s="2" t="n">
        <f aca="false">INDEX(Summary!$N$2:$N$201,MATCH($B2729,Summary!$A$2:$A$201,0))</f>
        <v>10.29</v>
      </c>
      <c r="S2729" s="3" t="n">
        <f aca="false">INDEX(Summary!$O$2:$O$201,MATCH($B2729,Summary!$A$2:$A$201,0))</f>
        <v>8</v>
      </c>
      <c r="T2729" s="3" t="n">
        <f aca="false">INDEX(Summary!$P$2:$P$201,MATCH($B2729,Summary!$A$2:$A$201,0))</f>
        <v>1</v>
      </c>
      <c r="U2729" s="2" t="n">
        <f aca="false">INDEX(Summary!$Q$2:$Q$201,MATCH($B2729,Summary!$A$2:$A$201,0))</f>
        <v>11.5</v>
      </c>
      <c r="V2729" s="2" t="n">
        <f aca="false">INDEX(Summary!$R$2:$R$201,MATCH($B2729,Summary!$A$2:$A$201,0))</f>
        <v>23.19</v>
      </c>
      <c r="W2729" s="0" t="str">
        <f aca="false">INDEX(Summary!$S$2:$S$201,MATCH($B2729,Summary!$A$2:$A$201,0))</f>
        <v>Silver</v>
      </c>
      <c r="X2729" s="2" t="n">
        <f aca="false">INDEX(Summary!$T$2:$T$201,MATCH($B2729,Summary!$A$2:$A$201,0))</f>
        <v>56.56</v>
      </c>
      <c r="Y2729" s="0" t="str">
        <f aca="false">INDEX('Reward Model'!$E$18:$E$37,MATCH($E2729,'Reward Model'!$A$18:$A$37,0))</f>
        <v>Medium</v>
      </c>
      <c r="Z2729" s="4" t="n">
        <f aca="false">ROUND(MIN(1,MAX('Reward Model'!$B$2,INDEX('Reward Model'!$C$12:$C$14,MATCH($K2729,'Reward Model'!$A$12:$A$14,0))/$J2729)),3)</f>
        <v>0.938</v>
      </c>
      <c r="AA2729" s="2" t="n">
        <f aca="false">IF($I2729="Correct",ROUND(INDEX('Reward Model'!$B$12:$B$14,MATCH($K2729,'Reward Model'!$A$12:$A$14,0))*Z2729,2),0)</f>
        <v>0.94</v>
      </c>
      <c r="AB2729" s="2" t="n">
        <f aca="false">IF($I2729="Correct",ROUND(INDEX('Reward Model'!$B$12:$B$14,MATCH($Y2729,'Reward Model'!$A$12:$A$14,0))*Z2729,2),0)</f>
        <v>1.88</v>
      </c>
    </row>
    <row r="2730" customFormat="false" ht="15" hidden="false" customHeight="false" outlineLevel="0" collapsed="false">
      <c r="A2730" s="0" t="s">
        <v>404</v>
      </c>
      <c r="B2730" s="0" t="s">
        <v>405</v>
      </c>
      <c r="C2730" s="0" t="s">
        <v>322</v>
      </c>
      <c r="D2730" s="0" t="s">
        <v>189</v>
      </c>
      <c r="E2730" s="0" t="n">
        <v>9</v>
      </c>
      <c r="F2730" s="0" t="s">
        <v>55</v>
      </c>
      <c r="G2730" s="0" t="s">
        <v>57</v>
      </c>
      <c r="H2730" s="0" t="s">
        <v>57</v>
      </c>
      <c r="I2730" s="0" t="s">
        <v>34</v>
      </c>
      <c r="J2730" s="0" t="n">
        <v>1.65</v>
      </c>
      <c r="K2730" s="0" t="s">
        <v>35</v>
      </c>
      <c r="L2730" s="0" t="n">
        <f aca="false">INDEX(Summary!$F$2:$F$201,MATCH($B2730,Summary!$A$2:$A$201,0))</f>
        <v>20</v>
      </c>
      <c r="M2730" s="0" t="n">
        <f aca="false">INDEX(Summary!$I$2:$I$201,MATCH($B2730,Summary!$A$2:$A$201,0))</f>
        <v>1</v>
      </c>
      <c r="N2730" s="0" t="n">
        <f aca="false">INDEX(Summary!$J$2:$J$201,MATCH($B2730,Summary!$A$2:$A$201,0))</f>
        <v>4</v>
      </c>
      <c r="O2730" s="2" t="n">
        <f aca="false">INDEX(Summary!$K$2:$K$201,MATCH($B2730,Summary!$A$2:$A$201,0))</f>
        <v>10.02</v>
      </c>
      <c r="P2730" s="3" t="n">
        <f aca="false">INDEX(Summary!$L$2:$L$201,MATCH($B2730,Summary!$A$2:$A$201,0))</f>
        <v>4</v>
      </c>
      <c r="Q2730" s="3" t="n">
        <f aca="false">INDEX(Summary!$M$2:$M$201,MATCH($B2730,Summary!$A$2:$A$201,0))</f>
        <v>2</v>
      </c>
      <c r="R2730" s="2" t="n">
        <f aca="false">INDEX(Summary!$N$2:$N$201,MATCH($B2730,Summary!$A$2:$A$201,0))</f>
        <v>10.29</v>
      </c>
      <c r="S2730" s="3" t="n">
        <f aca="false">INDEX(Summary!$O$2:$O$201,MATCH($B2730,Summary!$A$2:$A$201,0))</f>
        <v>8</v>
      </c>
      <c r="T2730" s="3" t="n">
        <f aca="false">INDEX(Summary!$P$2:$P$201,MATCH($B2730,Summary!$A$2:$A$201,0))</f>
        <v>1</v>
      </c>
      <c r="U2730" s="2" t="n">
        <f aca="false">INDEX(Summary!$Q$2:$Q$201,MATCH($B2730,Summary!$A$2:$A$201,0))</f>
        <v>11.5</v>
      </c>
      <c r="V2730" s="2" t="n">
        <f aca="false">INDEX(Summary!$R$2:$R$201,MATCH($B2730,Summary!$A$2:$A$201,0))</f>
        <v>23.19</v>
      </c>
      <c r="W2730" s="0" t="str">
        <f aca="false">INDEX(Summary!$S$2:$S$201,MATCH($B2730,Summary!$A$2:$A$201,0))</f>
        <v>Silver</v>
      </c>
      <c r="X2730" s="2" t="n">
        <f aca="false">INDEX(Summary!$T$2:$T$201,MATCH($B2730,Summary!$A$2:$A$201,0))</f>
        <v>56.56</v>
      </c>
      <c r="Y2730" s="0" t="str">
        <f aca="false">INDEX('Reward Model'!$E$18:$E$37,MATCH($E2730,'Reward Model'!$A$18:$A$37,0))</f>
        <v>Medium</v>
      </c>
      <c r="Z2730" s="4" t="n">
        <f aca="false">ROUND(MIN(1,MAX('Reward Model'!$B$2,INDEX('Reward Model'!$C$12:$C$14,MATCH($K2730,'Reward Model'!$A$12:$A$14,0))/$J2730)),3)</f>
        <v>0.909</v>
      </c>
      <c r="AA2730" s="2" t="n">
        <f aca="false">IF($I2730="Correct",ROUND(INDEX('Reward Model'!$B$12:$B$14,MATCH($K2730,'Reward Model'!$A$12:$A$14,0))*Z2730,2),0)</f>
        <v>0.91</v>
      </c>
      <c r="AB2730" s="2" t="n">
        <f aca="false">IF($I2730="Correct",ROUND(INDEX('Reward Model'!$B$12:$B$14,MATCH($Y2730,'Reward Model'!$A$12:$A$14,0))*Z2730,2),0)</f>
        <v>1.82</v>
      </c>
    </row>
    <row r="2731" customFormat="false" ht="15" hidden="false" customHeight="false" outlineLevel="0" collapsed="false">
      <c r="A2731" s="0" t="s">
        <v>404</v>
      </c>
      <c r="B2731" s="0" t="s">
        <v>405</v>
      </c>
      <c r="C2731" s="0" t="s">
        <v>322</v>
      </c>
      <c r="D2731" s="0" t="s">
        <v>189</v>
      </c>
      <c r="E2731" s="0" t="n">
        <v>10</v>
      </c>
      <c r="F2731" s="0" t="s">
        <v>58</v>
      </c>
      <c r="G2731" s="0" t="s">
        <v>99</v>
      </c>
      <c r="H2731" s="0" t="s">
        <v>59</v>
      </c>
      <c r="I2731" s="0" t="s">
        <v>39</v>
      </c>
      <c r="J2731" s="0" t="n">
        <v>1.17</v>
      </c>
      <c r="K2731" s="0" t="s">
        <v>60</v>
      </c>
      <c r="L2731" s="0" t="n">
        <f aca="false">INDEX(Summary!$F$2:$F$201,MATCH($B2731,Summary!$A$2:$A$201,0))</f>
        <v>20</v>
      </c>
      <c r="M2731" s="0" t="n">
        <f aca="false">INDEX(Summary!$I$2:$I$201,MATCH($B2731,Summary!$A$2:$A$201,0))</f>
        <v>1</v>
      </c>
      <c r="N2731" s="0" t="n">
        <f aca="false">INDEX(Summary!$J$2:$J$201,MATCH($B2731,Summary!$A$2:$A$201,0))</f>
        <v>4</v>
      </c>
      <c r="O2731" s="2" t="n">
        <f aca="false">INDEX(Summary!$K$2:$K$201,MATCH($B2731,Summary!$A$2:$A$201,0))</f>
        <v>10.02</v>
      </c>
      <c r="P2731" s="3" t="n">
        <f aca="false">INDEX(Summary!$L$2:$L$201,MATCH($B2731,Summary!$A$2:$A$201,0))</f>
        <v>4</v>
      </c>
      <c r="Q2731" s="3" t="n">
        <f aca="false">INDEX(Summary!$M$2:$M$201,MATCH($B2731,Summary!$A$2:$A$201,0))</f>
        <v>2</v>
      </c>
      <c r="R2731" s="2" t="n">
        <f aca="false">INDEX(Summary!$N$2:$N$201,MATCH($B2731,Summary!$A$2:$A$201,0))</f>
        <v>10.29</v>
      </c>
      <c r="S2731" s="3" t="n">
        <f aca="false">INDEX(Summary!$O$2:$O$201,MATCH($B2731,Summary!$A$2:$A$201,0))</f>
        <v>8</v>
      </c>
      <c r="T2731" s="3" t="n">
        <f aca="false">INDEX(Summary!$P$2:$P$201,MATCH($B2731,Summary!$A$2:$A$201,0))</f>
        <v>1</v>
      </c>
      <c r="U2731" s="2" t="n">
        <f aca="false">INDEX(Summary!$Q$2:$Q$201,MATCH($B2731,Summary!$A$2:$A$201,0))</f>
        <v>11.5</v>
      </c>
      <c r="V2731" s="2" t="n">
        <f aca="false">INDEX(Summary!$R$2:$R$201,MATCH($B2731,Summary!$A$2:$A$201,0))</f>
        <v>23.19</v>
      </c>
      <c r="W2731" s="0" t="str">
        <f aca="false">INDEX(Summary!$S$2:$S$201,MATCH($B2731,Summary!$A$2:$A$201,0))</f>
        <v>Silver</v>
      </c>
      <c r="X2731" s="2" t="n">
        <f aca="false">INDEX(Summary!$T$2:$T$201,MATCH($B2731,Summary!$A$2:$A$201,0))</f>
        <v>56.56</v>
      </c>
      <c r="Y2731" s="0" t="str">
        <f aca="false">INDEX('Reward Model'!$E$18:$E$37,MATCH($E2731,'Reward Model'!$A$18:$A$37,0))</f>
        <v>Medium</v>
      </c>
      <c r="Z2731" s="4" t="n">
        <f aca="false">ROUND(MIN(1,MAX('Reward Model'!$B$2,INDEX('Reward Model'!$C$12:$C$14,MATCH($K2731,'Reward Model'!$A$12:$A$14,0))/$J2731)),3)</f>
        <v>1</v>
      </c>
      <c r="AA2731" s="2" t="n">
        <f aca="false">IF($I2731="Correct",ROUND(INDEX('Reward Model'!$B$12:$B$14,MATCH($K2731,'Reward Model'!$A$12:$A$14,0))*Z2731,2),0)</f>
        <v>0</v>
      </c>
      <c r="AB2731" s="2" t="n">
        <f aca="false">IF($I2731="Correct",ROUND(INDEX('Reward Model'!$B$12:$B$14,MATCH($Y2731,'Reward Model'!$A$12:$A$14,0))*Z2731,2),0)</f>
        <v>0</v>
      </c>
    </row>
    <row r="2732" customFormat="false" ht="15" hidden="false" customHeight="false" outlineLevel="0" collapsed="false">
      <c r="A2732" s="0" t="s">
        <v>404</v>
      </c>
      <c r="B2732" s="0" t="s">
        <v>405</v>
      </c>
      <c r="C2732" s="0" t="s">
        <v>322</v>
      </c>
      <c r="D2732" s="0" t="s">
        <v>189</v>
      </c>
      <c r="E2732" s="0" t="n">
        <v>11</v>
      </c>
      <c r="F2732" s="0" t="s">
        <v>61</v>
      </c>
      <c r="G2732" s="0" t="s">
        <v>150</v>
      </c>
      <c r="H2732" s="0" t="s">
        <v>63</v>
      </c>
      <c r="I2732" s="0" t="s">
        <v>39</v>
      </c>
      <c r="J2732" s="0" t="n">
        <v>2.01</v>
      </c>
      <c r="K2732" s="0" t="s">
        <v>60</v>
      </c>
      <c r="L2732" s="0" t="n">
        <f aca="false">INDEX(Summary!$F$2:$F$201,MATCH($B2732,Summary!$A$2:$A$201,0))</f>
        <v>20</v>
      </c>
      <c r="M2732" s="0" t="n">
        <f aca="false">INDEX(Summary!$I$2:$I$201,MATCH($B2732,Summary!$A$2:$A$201,0))</f>
        <v>1</v>
      </c>
      <c r="N2732" s="0" t="n">
        <f aca="false">INDEX(Summary!$J$2:$J$201,MATCH($B2732,Summary!$A$2:$A$201,0))</f>
        <v>4</v>
      </c>
      <c r="O2732" s="2" t="n">
        <f aca="false">INDEX(Summary!$K$2:$K$201,MATCH($B2732,Summary!$A$2:$A$201,0))</f>
        <v>10.02</v>
      </c>
      <c r="P2732" s="3" t="n">
        <f aca="false">INDEX(Summary!$L$2:$L$201,MATCH($B2732,Summary!$A$2:$A$201,0))</f>
        <v>4</v>
      </c>
      <c r="Q2732" s="3" t="n">
        <f aca="false">INDEX(Summary!$M$2:$M$201,MATCH($B2732,Summary!$A$2:$A$201,0))</f>
        <v>2</v>
      </c>
      <c r="R2732" s="2" t="n">
        <f aca="false">INDEX(Summary!$N$2:$N$201,MATCH($B2732,Summary!$A$2:$A$201,0))</f>
        <v>10.29</v>
      </c>
      <c r="S2732" s="3" t="n">
        <f aca="false">INDEX(Summary!$O$2:$O$201,MATCH($B2732,Summary!$A$2:$A$201,0))</f>
        <v>8</v>
      </c>
      <c r="T2732" s="3" t="n">
        <f aca="false">INDEX(Summary!$P$2:$P$201,MATCH($B2732,Summary!$A$2:$A$201,0))</f>
        <v>1</v>
      </c>
      <c r="U2732" s="2" t="n">
        <f aca="false">INDEX(Summary!$Q$2:$Q$201,MATCH($B2732,Summary!$A$2:$A$201,0))</f>
        <v>11.5</v>
      </c>
      <c r="V2732" s="2" t="n">
        <f aca="false">INDEX(Summary!$R$2:$R$201,MATCH($B2732,Summary!$A$2:$A$201,0))</f>
        <v>23.19</v>
      </c>
      <c r="W2732" s="0" t="str">
        <f aca="false">INDEX(Summary!$S$2:$S$201,MATCH($B2732,Summary!$A$2:$A$201,0))</f>
        <v>Silver</v>
      </c>
      <c r="X2732" s="2" t="n">
        <f aca="false">INDEX(Summary!$T$2:$T$201,MATCH($B2732,Summary!$A$2:$A$201,0))</f>
        <v>56.56</v>
      </c>
      <c r="Y2732" s="0" t="str">
        <f aca="false">INDEX('Reward Model'!$E$18:$E$37,MATCH($E2732,'Reward Model'!$A$18:$A$37,0))</f>
        <v>Medium</v>
      </c>
      <c r="Z2732" s="4" t="n">
        <f aca="false">ROUND(MIN(1,MAX('Reward Model'!$B$2,INDEX('Reward Model'!$C$12:$C$14,MATCH($K2732,'Reward Model'!$A$12:$A$14,0))/$J2732)),3)</f>
        <v>0.896</v>
      </c>
      <c r="AA2732" s="2" t="n">
        <f aca="false">IF($I2732="Correct",ROUND(INDEX('Reward Model'!$B$12:$B$14,MATCH($K2732,'Reward Model'!$A$12:$A$14,0))*Z2732,2),0)</f>
        <v>0</v>
      </c>
      <c r="AB2732" s="2" t="n">
        <f aca="false">IF($I2732="Correct",ROUND(INDEX('Reward Model'!$B$12:$B$14,MATCH($Y2732,'Reward Model'!$A$12:$A$14,0))*Z2732,2),0)</f>
        <v>0</v>
      </c>
    </row>
    <row r="2733" customFormat="false" ht="15" hidden="false" customHeight="false" outlineLevel="0" collapsed="false">
      <c r="A2733" s="0" t="s">
        <v>404</v>
      </c>
      <c r="B2733" s="0" t="s">
        <v>405</v>
      </c>
      <c r="C2733" s="0" t="s">
        <v>322</v>
      </c>
      <c r="D2733" s="0" t="s">
        <v>189</v>
      </c>
      <c r="E2733" s="0" t="n">
        <v>12</v>
      </c>
      <c r="F2733" s="0" t="s">
        <v>64</v>
      </c>
      <c r="G2733" s="0" t="s">
        <v>65</v>
      </c>
      <c r="H2733" s="0" t="s">
        <v>65</v>
      </c>
      <c r="I2733" s="0" t="s">
        <v>34</v>
      </c>
      <c r="J2733" s="0" t="n">
        <v>1.52</v>
      </c>
      <c r="K2733" s="0" t="s">
        <v>60</v>
      </c>
      <c r="L2733" s="0" t="n">
        <f aca="false">INDEX(Summary!$F$2:$F$201,MATCH($B2733,Summary!$A$2:$A$201,0))</f>
        <v>20</v>
      </c>
      <c r="M2733" s="0" t="n">
        <f aca="false">INDEX(Summary!$I$2:$I$201,MATCH($B2733,Summary!$A$2:$A$201,0))</f>
        <v>1</v>
      </c>
      <c r="N2733" s="0" t="n">
        <f aca="false">INDEX(Summary!$J$2:$J$201,MATCH($B2733,Summary!$A$2:$A$201,0))</f>
        <v>4</v>
      </c>
      <c r="O2733" s="2" t="n">
        <f aca="false">INDEX(Summary!$K$2:$K$201,MATCH($B2733,Summary!$A$2:$A$201,0))</f>
        <v>10.02</v>
      </c>
      <c r="P2733" s="3" t="n">
        <f aca="false">INDEX(Summary!$L$2:$L$201,MATCH($B2733,Summary!$A$2:$A$201,0))</f>
        <v>4</v>
      </c>
      <c r="Q2733" s="3" t="n">
        <f aca="false">INDEX(Summary!$M$2:$M$201,MATCH($B2733,Summary!$A$2:$A$201,0))</f>
        <v>2</v>
      </c>
      <c r="R2733" s="2" t="n">
        <f aca="false">INDEX(Summary!$N$2:$N$201,MATCH($B2733,Summary!$A$2:$A$201,0))</f>
        <v>10.29</v>
      </c>
      <c r="S2733" s="3" t="n">
        <f aca="false">INDEX(Summary!$O$2:$O$201,MATCH($B2733,Summary!$A$2:$A$201,0))</f>
        <v>8</v>
      </c>
      <c r="T2733" s="3" t="n">
        <f aca="false">INDEX(Summary!$P$2:$P$201,MATCH($B2733,Summary!$A$2:$A$201,0))</f>
        <v>1</v>
      </c>
      <c r="U2733" s="2" t="n">
        <f aca="false">INDEX(Summary!$Q$2:$Q$201,MATCH($B2733,Summary!$A$2:$A$201,0))</f>
        <v>11.5</v>
      </c>
      <c r="V2733" s="2" t="n">
        <f aca="false">INDEX(Summary!$R$2:$R$201,MATCH($B2733,Summary!$A$2:$A$201,0))</f>
        <v>23.19</v>
      </c>
      <c r="W2733" s="0" t="str">
        <f aca="false">INDEX(Summary!$S$2:$S$201,MATCH($B2733,Summary!$A$2:$A$201,0))</f>
        <v>Silver</v>
      </c>
      <c r="X2733" s="2" t="n">
        <f aca="false">INDEX(Summary!$T$2:$T$201,MATCH($B2733,Summary!$A$2:$A$201,0))</f>
        <v>56.56</v>
      </c>
      <c r="Y2733" s="0" t="str">
        <f aca="false">INDEX('Reward Model'!$E$18:$E$37,MATCH($E2733,'Reward Model'!$A$18:$A$37,0))</f>
        <v>Medium</v>
      </c>
      <c r="Z2733" s="4" t="n">
        <f aca="false">ROUND(MIN(1,MAX('Reward Model'!$B$2,INDEX('Reward Model'!$C$12:$C$14,MATCH($K2733,'Reward Model'!$A$12:$A$14,0))/$J2733)),3)</f>
        <v>1</v>
      </c>
      <c r="AA2733" s="2" t="n">
        <f aca="false">IF($I2733="Correct",ROUND(INDEX('Reward Model'!$B$12:$B$14,MATCH($K2733,'Reward Model'!$A$12:$A$14,0))*Z2733,2),0)</f>
        <v>2</v>
      </c>
      <c r="AB2733" s="2" t="n">
        <f aca="false">IF($I2733="Correct",ROUND(INDEX('Reward Model'!$B$12:$B$14,MATCH($Y2733,'Reward Model'!$A$12:$A$14,0))*Z2733,2),0)</f>
        <v>2</v>
      </c>
    </row>
    <row r="2734" customFormat="false" ht="15" hidden="false" customHeight="false" outlineLevel="0" collapsed="false">
      <c r="A2734" s="0" t="s">
        <v>404</v>
      </c>
      <c r="B2734" s="0" t="s">
        <v>405</v>
      </c>
      <c r="C2734" s="0" t="s">
        <v>322</v>
      </c>
      <c r="D2734" s="0" t="s">
        <v>189</v>
      </c>
      <c r="E2734" s="0" t="n">
        <v>13</v>
      </c>
      <c r="F2734" s="0" t="s">
        <v>66</v>
      </c>
      <c r="G2734" s="0" t="s">
        <v>67</v>
      </c>
      <c r="H2734" s="0" t="s">
        <v>67</v>
      </c>
      <c r="I2734" s="0" t="s">
        <v>34</v>
      </c>
      <c r="J2734" s="0" t="n">
        <v>2.23</v>
      </c>
      <c r="K2734" s="0" t="s">
        <v>60</v>
      </c>
      <c r="L2734" s="0" t="n">
        <f aca="false">INDEX(Summary!$F$2:$F$201,MATCH($B2734,Summary!$A$2:$A$201,0))</f>
        <v>20</v>
      </c>
      <c r="M2734" s="0" t="n">
        <f aca="false">INDEX(Summary!$I$2:$I$201,MATCH($B2734,Summary!$A$2:$A$201,0))</f>
        <v>1</v>
      </c>
      <c r="N2734" s="0" t="n">
        <f aca="false">INDEX(Summary!$J$2:$J$201,MATCH($B2734,Summary!$A$2:$A$201,0))</f>
        <v>4</v>
      </c>
      <c r="O2734" s="2" t="n">
        <f aca="false">INDEX(Summary!$K$2:$K$201,MATCH($B2734,Summary!$A$2:$A$201,0))</f>
        <v>10.02</v>
      </c>
      <c r="P2734" s="3" t="n">
        <f aca="false">INDEX(Summary!$L$2:$L$201,MATCH($B2734,Summary!$A$2:$A$201,0))</f>
        <v>4</v>
      </c>
      <c r="Q2734" s="3" t="n">
        <f aca="false">INDEX(Summary!$M$2:$M$201,MATCH($B2734,Summary!$A$2:$A$201,0))</f>
        <v>2</v>
      </c>
      <c r="R2734" s="2" t="n">
        <f aca="false">INDEX(Summary!$N$2:$N$201,MATCH($B2734,Summary!$A$2:$A$201,0))</f>
        <v>10.29</v>
      </c>
      <c r="S2734" s="3" t="n">
        <f aca="false">INDEX(Summary!$O$2:$O$201,MATCH($B2734,Summary!$A$2:$A$201,0))</f>
        <v>8</v>
      </c>
      <c r="T2734" s="3" t="n">
        <f aca="false">INDEX(Summary!$P$2:$P$201,MATCH($B2734,Summary!$A$2:$A$201,0))</f>
        <v>1</v>
      </c>
      <c r="U2734" s="2" t="n">
        <f aca="false">INDEX(Summary!$Q$2:$Q$201,MATCH($B2734,Summary!$A$2:$A$201,0))</f>
        <v>11.5</v>
      </c>
      <c r="V2734" s="2" t="n">
        <f aca="false">INDEX(Summary!$R$2:$R$201,MATCH($B2734,Summary!$A$2:$A$201,0))</f>
        <v>23.19</v>
      </c>
      <c r="W2734" s="0" t="str">
        <f aca="false">INDEX(Summary!$S$2:$S$201,MATCH($B2734,Summary!$A$2:$A$201,0))</f>
        <v>Silver</v>
      </c>
      <c r="X2734" s="2" t="n">
        <f aca="false">INDEX(Summary!$T$2:$T$201,MATCH($B2734,Summary!$A$2:$A$201,0))</f>
        <v>56.56</v>
      </c>
      <c r="Y2734" s="0" t="str">
        <f aca="false">INDEX('Reward Model'!$E$18:$E$37,MATCH($E2734,'Reward Model'!$A$18:$A$37,0))</f>
        <v>Medium</v>
      </c>
      <c r="Z2734" s="4" t="n">
        <f aca="false">ROUND(MIN(1,MAX('Reward Model'!$B$2,INDEX('Reward Model'!$C$12:$C$14,MATCH($K2734,'Reward Model'!$A$12:$A$14,0))/$J2734)),3)</f>
        <v>0.807</v>
      </c>
      <c r="AA2734" s="2" t="n">
        <f aca="false">IF($I2734="Correct",ROUND(INDEX('Reward Model'!$B$12:$B$14,MATCH($K2734,'Reward Model'!$A$12:$A$14,0))*Z2734,2),0)</f>
        <v>1.61</v>
      </c>
      <c r="AB2734" s="2" t="n">
        <f aca="false">IF($I2734="Correct",ROUND(INDEX('Reward Model'!$B$12:$B$14,MATCH($Y2734,'Reward Model'!$A$12:$A$14,0))*Z2734,2),0)</f>
        <v>1.61</v>
      </c>
    </row>
    <row r="2735" customFormat="false" ht="15" hidden="false" customHeight="false" outlineLevel="0" collapsed="false">
      <c r="A2735" s="0" t="s">
        <v>404</v>
      </c>
      <c r="B2735" s="0" t="s">
        <v>405</v>
      </c>
      <c r="C2735" s="0" t="s">
        <v>322</v>
      </c>
      <c r="D2735" s="0" t="s">
        <v>189</v>
      </c>
      <c r="E2735" s="0" t="n">
        <v>14</v>
      </c>
      <c r="F2735" s="0" t="s">
        <v>68</v>
      </c>
      <c r="G2735" s="0" t="s">
        <v>51</v>
      </c>
      <c r="H2735" s="0" t="s">
        <v>51</v>
      </c>
      <c r="I2735" s="0" t="s">
        <v>34</v>
      </c>
      <c r="J2735" s="0" t="n">
        <v>1.91</v>
      </c>
      <c r="K2735" s="0" t="s">
        <v>60</v>
      </c>
      <c r="L2735" s="0" t="n">
        <f aca="false">INDEX(Summary!$F$2:$F$201,MATCH($B2735,Summary!$A$2:$A$201,0))</f>
        <v>20</v>
      </c>
      <c r="M2735" s="0" t="n">
        <f aca="false">INDEX(Summary!$I$2:$I$201,MATCH($B2735,Summary!$A$2:$A$201,0))</f>
        <v>1</v>
      </c>
      <c r="N2735" s="0" t="n">
        <f aca="false">INDEX(Summary!$J$2:$J$201,MATCH($B2735,Summary!$A$2:$A$201,0))</f>
        <v>4</v>
      </c>
      <c r="O2735" s="2" t="n">
        <f aca="false">INDEX(Summary!$K$2:$K$201,MATCH($B2735,Summary!$A$2:$A$201,0))</f>
        <v>10.02</v>
      </c>
      <c r="P2735" s="3" t="n">
        <f aca="false">INDEX(Summary!$L$2:$L$201,MATCH($B2735,Summary!$A$2:$A$201,0))</f>
        <v>4</v>
      </c>
      <c r="Q2735" s="3" t="n">
        <f aca="false">INDEX(Summary!$M$2:$M$201,MATCH($B2735,Summary!$A$2:$A$201,0))</f>
        <v>2</v>
      </c>
      <c r="R2735" s="2" t="n">
        <f aca="false">INDEX(Summary!$N$2:$N$201,MATCH($B2735,Summary!$A$2:$A$201,0))</f>
        <v>10.29</v>
      </c>
      <c r="S2735" s="3" t="n">
        <f aca="false">INDEX(Summary!$O$2:$O$201,MATCH($B2735,Summary!$A$2:$A$201,0))</f>
        <v>8</v>
      </c>
      <c r="T2735" s="3" t="n">
        <f aca="false">INDEX(Summary!$P$2:$P$201,MATCH($B2735,Summary!$A$2:$A$201,0))</f>
        <v>1</v>
      </c>
      <c r="U2735" s="2" t="n">
        <f aca="false">INDEX(Summary!$Q$2:$Q$201,MATCH($B2735,Summary!$A$2:$A$201,0))</f>
        <v>11.5</v>
      </c>
      <c r="V2735" s="2" t="n">
        <f aca="false">INDEX(Summary!$R$2:$R$201,MATCH($B2735,Summary!$A$2:$A$201,0))</f>
        <v>23.19</v>
      </c>
      <c r="W2735" s="0" t="str">
        <f aca="false">INDEX(Summary!$S$2:$S$201,MATCH($B2735,Summary!$A$2:$A$201,0))</f>
        <v>Silver</v>
      </c>
      <c r="X2735" s="2" t="n">
        <f aca="false">INDEX(Summary!$T$2:$T$201,MATCH($B2735,Summary!$A$2:$A$201,0))</f>
        <v>56.56</v>
      </c>
      <c r="Y2735" s="0" t="str">
        <f aca="false">INDEX('Reward Model'!$E$18:$E$37,MATCH($E2735,'Reward Model'!$A$18:$A$37,0))</f>
        <v>Medium</v>
      </c>
      <c r="Z2735" s="4" t="n">
        <f aca="false">ROUND(MIN(1,MAX('Reward Model'!$B$2,INDEX('Reward Model'!$C$12:$C$14,MATCH($K2735,'Reward Model'!$A$12:$A$14,0))/$J2735)),3)</f>
        <v>0.942</v>
      </c>
      <c r="AA2735" s="2" t="n">
        <f aca="false">IF($I2735="Correct",ROUND(INDEX('Reward Model'!$B$12:$B$14,MATCH($K2735,'Reward Model'!$A$12:$A$14,0))*Z2735,2),0)</f>
        <v>1.88</v>
      </c>
      <c r="AB2735" s="2" t="n">
        <f aca="false">IF($I2735="Correct",ROUND(INDEX('Reward Model'!$B$12:$B$14,MATCH($Y2735,'Reward Model'!$A$12:$A$14,0))*Z2735,2),0)</f>
        <v>1.88</v>
      </c>
    </row>
    <row r="2736" customFormat="false" ht="15" hidden="false" customHeight="false" outlineLevel="0" collapsed="false">
      <c r="A2736" s="0" t="s">
        <v>404</v>
      </c>
      <c r="B2736" s="0" t="s">
        <v>405</v>
      </c>
      <c r="C2736" s="0" t="s">
        <v>322</v>
      </c>
      <c r="D2736" s="0" t="s">
        <v>189</v>
      </c>
      <c r="E2736" s="0" t="n">
        <v>15</v>
      </c>
      <c r="F2736" s="0" t="s">
        <v>69</v>
      </c>
      <c r="G2736" s="0" t="s">
        <v>70</v>
      </c>
      <c r="H2736" s="0" t="s">
        <v>70</v>
      </c>
      <c r="I2736" s="0" t="s">
        <v>34</v>
      </c>
      <c r="J2736" s="0" t="n">
        <v>1.45</v>
      </c>
      <c r="K2736" s="0" t="s">
        <v>60</v>
      </c>
      <c r="L2736" s="0" t="n">
        <f aca="false">INDEX(Summary!$F$2:$F$201,MATCH($B2736,Summary!$A$2:$A$201,0))</f>
        <v>20</v>
      </c>
      <c r="M2736" s="0" t="n">
        <f aca="false">INDEX(Summary!$I$2:$I$201,MATCH($B2736,Summary!$A$2:$A$201,0))</f>
        <v>1</v>
      </c>
      <c r="N2736" s="0" t="n">
        <f aca="false">INDEX(Summary!$J$2:$J$201,MATCH($B2736,Summary!$A$2:$A$201,0))</f>
        <v>4</v>
      </c>
      <c r="O2736" s="2" t="n">
        <f aca="false">INDEX(Summary!$K$2:$K$201,MATCH($B2736,Summary!$A$2:$A$201,0))</f>
        <v>10.02</v>
      </c>
      <c r="P2736" s="3" t="n">
        <f aca="false">INDEX(Summary!$L$2:$L$201,MATCH($B2736,Summary!$A$2:$A$201,0))</f>
        <v>4</v>
      </c>
      <c r="Q2736" s="3" t="n">
        <f aca="false">INDEX(Summary!$M$2:$M$201,MATCH($B2736,Summary!$A$2:$A$201,0))</f>
        <v>2</v>
      </c>
      <c r="R2736" s="2" t="n">
        <f aca="false">INDEX(Summary!$N$2:$N$201,MATCH($B2736,Summary!$A$2:$A$201,0))</f>
        <v>10.29</v>
      </c>
      <c r="S2736" s="3" t="n">
        <f aca="false">INDEX(Summary!$O$2:$O$201,MATCH($B2736,Summary!$A$2:$A$201,0))</f>
        <v>8</v>
      </c>
      <c r="T2736" s="3" t="n">
        <f aca="false">INDEX(Summary!$P$2:$P$201,MATCH($B2736,Summary!$A$2:$A$201,0))</f>
        <v>1</v>
      </c>
      <c r="U2736" s="2" t="n">
        <f aca="false">INDEX(Summary!$Q$2:$Q$201,MATCH($B2736,Summary!$A$2:$A$201,0))</f>
        <v>11.5</v>
      </c>
      <c r="V2736" s="2" t="n">
        <f aca="false">INDEX(Summary!$R$2:$R$201,MATCH($B2736,Summary!$A$2:$A$201,0))</f>
        <v>23.19</v>
      </c>
      <c r="W2736" s="0" t="str">
        <f aca="false">INDEX(Summary!$S$2:$S$201,MATCH($B2736,Summary!$A$2:$A$201,0))</f>
        <v>Silver</v>
      </c>
      <c r="X2736" s="2" t="n">
        <f aca="false">INDEX(Summary!$T$2:$T$201,MATCH($B2736,Summary!$A$2:$A$201,0))</f>
        <v>56.56</v>
      </c>
      <c r="Y2736" s="0" t="str">
        <f aca="false">INDEX('Reward Model'!$E$18:$E$37,MATCH($E2736,'Reward Model'!$A$18:$A$37,0))</f>
        <v>Medium</v>
      </c>
      <c r="Z2736" s="4" t="n">
        <f aca="false">ROUND(MIN(1,MAX('Reward Model'!$B$2,INDEX('Reward Model'!$C$12:$C$14,MATCH($K2736,'Reward Model'!$A$12:$A$14,0))/$J2736)),3)</f>
        <v>1</v>
      </c>
      <c r="AA2736" s="2" t="n">
        <f aca="false">IF($I2736="Correct",ROUND(INDEX('Reward Model'!$B$12:$B$14,MATCH($K2736,'Reward Model'!$A$12:$A$14,0))*Z2736,2),0)</f>
        <v>2</v>
      </c>
      <c r="AB2736" s="2" t="n">
        <f aca="false">IF($I2736="Correct",ROUND(INDEX('Reward Model'!$B$12:$B$14,MATCH($Y2736,'Reward Model'!$A$12:$A$14,0))*Z2736,2),0)</f>
        <v>2</v>
      </c>
    </row>
    <row r="2737" customFormat="false" ht="15" hidden="false" customHeight="false" outlineLevel="0" collapsed="false">
      <c r="A2737" s="0" t="s">
        <v>404</v>
      </c>
      <c r="B2737" s="0" t="s">
        <v>405</v>
      </c>
      <c r="C2737" s="0" t="s">
        <v>322</v>
      </c>
      <c r="D2737" s="0" t="s">
        <v>189</v>
      </c>
      <c r="E2737" s="0" t="n">
        <v>16</v>
      </c>
      <c r="F2737" s="0" t="s">
        <v>71</v>
      </c>
      <c r="G2737" s="0" t="s">
        <v>101</v>
      </c>
      <c r="H2737" s="0" t="s">
        <v>72</v>
      </c>
      <c r="I2737" s="0" t="s">
        <v>39</v>
      </c>
      <c r="J2737" s="0" t="n">
        <v>2.14</v>
      </c>
      <c r="K2737" s="0" t="s">
        <v>73</v>
      </c>
      <c r="L2737" s="0" t="n">
        <f aca="false">INDEX(Summary!$F$2:$F$201,MATCH($B2737,Summary!$A$2:$A$201,0))</f>
        <v>20</v>
      </c>
      <c r="M2737" s="0" t="n">
        <f aca="false">INDEX(Summary!$I$2:$I$201,MATCH($B2737,Summary!$A$2:$A$201,0))</f>
        <v>1</v>
      </c>
      <c r="N2737" s="0" t="n">
        <f aca="false">INDEX(Summary!$J$2:$J$201,MATCH($B2737,Summary!$A$2:$A$201,0))</f>
        <v>4</v>
      </c>
      <c r="O2737" s="2" t="n">
        <f aca="false">INDEX(Summary!$K$2:$K$201,MATCH($B2737,Summary!$A$2:$A$201,0))</f>
        <v>10.02</v>
      </c>
      <c r="P2737" s="3" t="n">
        <f aca="false">INDEX(Summary!$L$2:$L$201,MATCH($B2737,Summary!$A$2:$A$201,0))</f>
        <v>4</v>
      </c>
      <c r="Q2737" s="3" t="n">
        <f aca="false">INDEX(Summary!$M$2:$M$201,MATCH($B2737,Summary!$A$2:$A$201,0))</f>
        <v>2</v>
      </c>
      <c r="R2737" s="2" t="n">
        <f aca="false">INDEX(Summary!$N$2:$N$201,MATCH($B2737,Summary!$A$2:$A$201,0))</f>
        <v>10.29</v>
      </c>
      <c r="S2737" s="3" t="n">
        <f aca="false">INDEX(Summary!$O$2:$O$201,MATCH($B2737,Summary!$A$2:$A$201,0))</f>
        <v>8</v>
      </c>
      <c r="T2737" s="3" t="n">
        <f aca="false">INDEX(Summary!$P$2:$P$201,MATCH($B2737,Summary!$A$2:$A$201,0))</f>
        <v>1</v>
      </c>
      <c r="U2737" s="2" t="n">
        <f aca="false">INDEX(Summary!$Q$2:$Q$201,MATCH($B2737,Summary!$A$2:$A$201,0))</f>
        <v>11.5</v>
      </c>
      <c r="V2737" s="2" t="n">
        <f aca="false">INDEX(Summary!$R$2:$R$201,MATCH($B2737,Summary!$A$2:$A$201,0))</f>
        <v>23.19</v>
      </c>
      <c r="W2737" s="0" t="str">
        <f aca="false">INDEX(Summary!$S$2:$S$201,MATCH($B2737,Summary!$A$2:$A$201,0))</f>
        <v>Silver</v>
      </c>
      <c r="X2737" s="2" t="n">
        <f aca="false">INDEX(Summary!$T$2:$T$201,MATCH($B2737,Summary!$A$2:$A$201,0))</f>
        <v>56.56</v>
      </c>
      <c r="Y2737" s="0" t="str">
        <f aca="false">INDEX('Reward Model'!$E$18:$E$37,MATCH($E2737,'Reward Model'!$A$18:$A$37,0))</f>
        <v>High</v>
      </c>
      <c r="Z2737" s="4" t="n">
        <f aca="false">ROUND(MIN(1,MAX('Reward Model'!$B$2,INDEX('Reward Model'!$C$12:$C$14,MATCH($K2737,'Reward Model'!$A$12:$A$14,0))/$J2737)),3)</f>
        <v>0.935</v>
      </c>
      <c r="AA2737" s="2" t="n">
        <f aca="false">IF($I2737="Correct",ROUND(INDEX('Reward Model'!$B$12:$B$14,MATCH($K2737,'Reward Model'!$A$12:$A$14,0))*Z2737,2),0)</f>
        <v>0</v>
      </c>
      <c r="AB2737" s="2" t="n">
        <f aca="false">IF($I2737="Correct",ROUND(INDEX('Reward Model'!$B$12:$B$14,MATCH($Y2737,'Reward Model'!$A$12:$A$14,0))*Z2737,2),0)</f>
        <v>0</v>
      </c>
    </row>
    <row r="2738" customFormat="false" ht="15" hidden="false" customHeight="false" outlineLevel="0" collapsed="false">
      <c r="A2738" s="0" t="s">
        <v>404</v>
      </c>
      <c r="B2738" s="0" t="s">
        <v>405</v>
      </c>
      <c r="C2738" s="0" t="s">
        <v>322</v>
      </c>
      <c r="D2738" s="0" t="s">
        <v>189</v>
      </c>
      <c r="E2738" s="0" t="n">
        <v>17</v>
      </c>
      <c r="F2738" s="0" t="s">
        <v>74</v>
      </c>
      <c r="G2738" s="0" t="s">
        <v>75</v>
      </c>
      <c r="H2738" s="0" t="s">
        <v>75</v>
      </c>
      <c r="I2738" s="0" t="s">
        <v>34</v>
      </c>
      <c r="J2738" s="0" t="n">
        <v>1.69</v>
      </c>
      <c r="K2738" s="0" t="s">
        <v>73</v>
      </c>
      <c r="L2738" s="0" t="n">
        <f aca="false">INDEX(Summary!$F$2:$F$201,MATCH($B2738,Summary!$A$2:$A$201,0))</f>
        <v>20</v>
      </c>
      <c r="M2738" s="0" t="n">
        <f aca="false">INDEX(Summary!$I$2:$I$201,MATCH($B2738,Summary!$A$2:$A$201,0))</f>
        <v>1</v>
      </c>
      <c r="N2738" s="0" t="n">
        <f aca="false">INDEX(Summary!$J$2:$J$201,MATCH($B2738,Summary!$A$2:$A$201,0))</f>
        <v>4</v>
      </c>
      <c r="O2738" s="2" t="n">
        <f aca="false">INDEX(Summary!$K$2:$K$201,MATCH($B2738,Summary!$A$2:$A$201,0))</f>
        <v>10.02</v>
      </c>
      <c r="P2738" s="3" t="n">
        <f aca="false">INDEX(Summary!$L$2:$L$201,MATCH($B2738,Summary!$A$2:$A$201,0))</f>
        <v>4</v>
      </c>
      <c r="Q2738" s="3" t="n">
        <f aca="false">INDEX(Summary!$M$2:$M$201,MATCH($B2738,Summary!$A$2:$A$201,0))</f>
        <v>2</v>
      </c>
      <c r="R2738" s="2" t="n">
        <f aca="false">INDEX(Summary!$N$2:$N$201,MATCH($B2738,Summary!$A$2:$A$201,0))</f>
        <v>10.29</v>
      </c>
      <c r="S2738" s="3" t="n">
        <f aca="false">INDEX(Summary!$O$2:$O$201,MATCH($B2738,Summary!$A$2:$A$201,0))</f>
        <v>8</v>
      </c>
      <c r="T2738" s="3" t="n">
        <f aca="false">INDEX(Summary!$P$2:$P$201,MATCH($B2738,Summary!$A$2:$A$201,0))</f>
        <v>1</v>
      </c>
      <c r="U2738" s="2" t="n">
        <f aca="false">INDEX(Summary!$Q$2:$Q$201,MATCH($B2738,Summary!$A$2:$A$201,0))</f>
        <v>11.5</v>
      </c>
      <c r="V2738" s="2" t="n">
        <f aca="false">INDEX(Summary!$R$2:$R$201,MATCH($B2738,Summary!$A$2:$A$201,0))</f>
        <v>23.19</v>
      </c>
      <c r="W2738" s="0" t="str">
        <f aca="false">INDEX(Summary!$S$2:$S$201,MATCH($B2738,Summary!$A$2:$A$201,0))</f>
        <v>Silver</v>
      </c>
      <c r="X2738" s="2" t="n">
        <f aca="false">INDEX(Summary!$T$2:$T$201,MATCH($B2738,Summary!$A$2:$A$201,0))</f>
        <v>56.56</v>
      </c>
      <c r="Y2738" s="0" t="str">
        <f aca="false">INDEX('Reward Model'!$E$18:$E$37,MATCH($E2738,'Reward Model'!$A$18:$A$37,0))</f>
        <v>High</v>
      </c>
      <c r="Z2738" s="4" t="n">
        <f aca="false">ROUND(MIN(1,MAX('Reward Model'!$B$2,INDEX('Reward Model'!$C$12:$C$14,MATCH($K2738,'Reward Model'!$A$12:$A$14,0))/$J2738)),3)</f>
        <v>1</v>
      </c>
      <c r="AA2738" s="2" t="n">
        <f aca="false">IF($I2738="Correct",ROUND(INDEX('Reward Model'!$B$12:$B$14,MATCH($K2738,'Reward Model'!$A$12:$A$14,0))*Z2738,2),0)</f>
        <v>3</v>
      </c>
      <c r="AB2738" s="2" t="n">
        <f aca="false">IF($I2738="Correct",ROUND(INDEX('Reward Model'!$B$12:$B$14,MATCH($Y2738,'Reward Model'!$A$12:$A$14,0))*Z2738,2),0)</f>
        <v>3</v>
      </c>
    </row>
    <row r="2739" customFormat="false" ht="15" hidden="false" customHeight="false" outlineLevel="0" collapsed="false">
      <c r="A2739" s="0" t="s">
        <v>404</v>
      </c>
      <c r="B2739" s="0" t="s">
        <v>405</v>
      </c>
      <c r="C2739" s="0" t="s">
        <v>322</v>
      </c>
      <c r="D2739" s="0" t="s">
        <v>189</v>
      </c>
      <c r="E2739" s="0" t="n">
        <v>18</v>
      </c>
      <c r="F2739" s="0" t="s">
        <v>76</v>
      </c>
      <c r="G2739" s="0" t="s">
        <v>56</v>
      </c>
      <c r="H2739" s="0" t="s">
        <v>77</v>
      </c>
      <c r="I2739" s="0" t="s">
        <v>39</v>
      </c>
      <c r="J2739" s="0" t="n">
        <v>2.01</v>
      </c>
      <c r="K2739" s="0" t="s">
        <v>73</v>
      </c>
      <c r="L2739" s="0" t="n">
        <f aca="false">INDEX(Summary!$F$2:$F$201,MATCH($B2739,Summary!$A$2:$A$201,0))</f>
        <v>20</v>
      </c>
      <c r="M2739" s="0" t="n">
        <f aca="false">INDEX(Summary!$I$2:$I$201,MATCH($B2739,Summary!$A$2:$A$201,0))</f>
        <v>1</v>
      </c>
      <c r="N2739" s="0" t="n">
        <f aca="false">INDEX(Summary!$J$2:$J$201,MATCH($B2739,Summary!$A$2:$A$201,0))</f>
        <v>4</v>
      </c>
      <c r="O2739" s="2" t="n">
        <f aca="false">INDEX(Summary!$K$2:$K$201,MATCH($B2739,Summary!$A$2:$A$201,0))</f>
        <v>10.02</v>
      </c>
      <c r="P2739" s="3" t="n">
        <f aca="false">INDEX(Summary!$L$2:$L$201,MATCH($B2739,Summary!$A$2:$A$201,0))</f>
        <v>4</v>
      </c>
      <c r="Q2739" s="3" t="n">
        <f aca="false">INDEX(Summary!$M$2:$M$201,MATCH($B2739,Summary!$A$2:$A$201,0))</f>
        <v>2</v>
      </c>
      <c r="R2739" s="2" t="n">
        <f aca="false">INDEX(Summary!$N$2:$N$201,MATCH($B2739,Summary!$A$2:$A$201,0))</f>
        <v>10.29</v>
      </c>
      <c r="S2739" s="3" t="n">
        <f aca="false">INDEX(Summary!$O$2:$O$201,MATCH($B2739,Summary!$A$2:$A$201,0))</f>
        <v>8</v>
      </c>
      <c r="T2739" s="3" t="n">
        <f aca="false">INDEX(Summary!$P$2:$P$201,MATCH($B2739,Summary!$A$2:$A$201,0))</f>
        <v>1</v>
      </c>
      <c r="U2739" s="2" t="n">
        <f aca="false">INDEX(Summary!$Q$2:$Q$201,MATCH($B2739,Summary!$A$2:$A$201,0))</f>
        <v>11.5</v>
      </c>
      <c r="V2739" s="2" t="n">
        <f aca="false">INDEX(Summary!$R$2:$R$201,MATCH($B2739,Summary!$A$2:$A$201,0))</f>
        <v>23.19</v>
      </c>
      <c r="W2739" s="0" t="str">
        <f aca="false">INDEX(Summary!$S$2:$S$201,MATCH($B2739,Summary!$A$2:$A$201,0))</f>
        <v>Silver</v>
      </c>
      <c r="X2739" s="2" t="n">
        <f aca="false">INDEX(Summary!$T$2:$T$201,MATCH($B2739,Summary!$A$2:$A$201,0))</f>
        <v>56.56</v>
      </c>
      <c r="Y2739" s="0" t="str">
        <f aca="false">INDEX('Reward Model'!$E$18:$E$37,MATCH($E2739,'Reward Model'!$A$18:$A$37,0))</f>
        <v>High</v>
      </c>
      <c r="Z2739" s="4" t="n">
        <f aca="false">ROUND(MIN(1,MAX('Reward Model'!$B$2,INDEX('Reward Model'!$C$12:$C$14,MATCH($K2739,'Reward Model'!$A$12:$A$14,0))/$J2739)),3)</f>
        <v>0.995</v>
      </c>
      <c r="AA2739" s="2" t="n">
        <f aca="false">IF($I2739="Correct",ROUND(INDEX('Reward Model'!$B$12:$B$14,MATCH($K2739,'Reward Model'!$A$12:$A$14,0))*Z2739,2),0)</f>
        <v>0</v>
      </c>
      <c r="AB2739" s="2" t="n">
        <f aca="false">IF($I2739="Correct",ROUND(INDEX('Reward Model'!$B$12:$B$14,MATCH($Y2739,'Reward Model'!$A$12:$A$14,0))*Z2739,2),0)</f>
        <v>0</v>
      </c>
    </row>
    <row r="2740" customFormat="false" ht="15" hidden="false" customHeight="false" outlineLevel="0" collapsed="false">
      <c r="A2740" s="0" t="s">
        <v>404</v>
      </c>
      <c r="B2740" s="0" t="s">
        <v>405</v>
      </c>
      <c r="C2740" s="0" t="s">
        <v>322</v>
      </c>
      <c r="D2740" s="0" t="s">
        <v>189</v>
      </c>
      <c r="E2740" s="0" t="n">
        <v>19</v>
      </c>
      <c r="F2740" s="0" t="s">
        <v>78</v>
      </c>
      <c r="G2740" s="0" t="s">
        <v>51</v>
      </c>
      <c r="H2740" s="0" t="s">
        <v>80</v>
      </c>
      <c r="I2740" s="0" t="s">
        <v>39</v>
      </c>
      <c r="J2740" s="0" t="n">
        <v>2.35</v>
      </c>
      <c r="K2740" s="0" t="s">
        <v>73</v>
      </c>
      <c r="L2740" s="0" t="n">
        <f aca="false">INDEX(Summary!$F$2:$F$201,MATCH($B2740,Summary!$A$2:$A$201,0))</f>
        <v>20</v>
      </c>
      <c r="M2740" s="0" t="n">
        <f aca="false">INDEX(Summary!$I$2:$I$201,MATCH($B2740,Summary!$A$2:$A$201,0))</f>
        <v>1</v>
      </c>
      <c r="N2740" s="0" t="n">
        <f aca="false">INDEX(Summary!$J$2:$J$201,MATCH($B2740,Summary!$A$2:$A$201,0))</f>
        <v>4</v>
      </c>
      <c r="O2740" s="2" t="n">
        <f aca="false">INDEX(Summary!$K$2:$K$201,MATCH($B2740,Summary!$A$2:$A$201,0))</f>
        <v>10.02</v>
      </c>
      <c r="P2740" s="3" t="n">
        <f aca="false">INDEX(Summary!$L$2:$L$201,MATCH($B2740,Summary!$A$2:$A$201,0))</f>
        <v>4</v>
      </c>
      <c r="Q2740" s="3" t="n">
        <f aca="false">INDEX(Summary!$M$2:$M$201,MATCH($B2740,Summary!$A$2:$A$201,0))</f>
        <v>2</v>
      </c>
      <c r="R2740" s="2" t="n">
        <f aca="false">INDEX(Summary!$N$2:$N$201,MATCH($B2740,Summary!$A$2:$A$201,0))</f>
        <v>10.29</v>
      </c>
      <c r="S2740" s="3" t="n">
        <f aca="false">INDEX(Summary!$O$2:$O$201,MATCH($B2740,Summary!$A$2:$A$201,0))</f>
        <v>8</v>
      </c>
      <c r="T2740" s="3" t="n">
        <f aca="false">INDEX(Summary!$P$2:$P$201,MATCH($B2740,Summary!$A$2:$A$201,0))</f>
        <v>1</v>
      </c>
      <c r="U2740" s="2" t="n">
        <f aca="false">INDEX(Summary!$Q$2:$Q$201,MATCH($B2740,Summary!$A$2:$A$201,0))</f>
        <v>11.5</v>
      </c>
      <c r="V2740" s="2" t="n">
        <f aca="false">INDEX(Summary!$R$2:$R$201,MATCH($B2740,Summary!$A$2:$A$201,0))</f>
        <v>23.19</v>
      </c>
      <c r="W2740" s="0" t="str">
        <f aca="false">INDEX(Summary!$S$2:$S$201,MATCH($B2740,Summary!$A$2:$A$201,0))</f>
        <v>Silver</v>
      </c>
      <c r="X2740" s="2" t="n">
        <f aca="false">INDEX(Summary!$T$2:$T$201,MATCH($B2740,Summary!$A$2:$A$201,0))</f>
        <v>56.56</v>
      </c>
      <c r="Y2740" s="0" t="str">
        <f aca="false">INDEX('Reward Model'!$E$18:$E$37,MATCH($E2740,'Reward Model'!$A$18:$A$37,0))</f>
        <v>High</v>
      </c>
      <c r="Z2740" s="4" t="n">
        <f aca="false">ROUND(MIN(1,MAX('Reward Model'!$B$2,INDEX('Reward Model'!$C$12:$C$14,MATCH($K2740,'Reward Model'!$A$12:$A$14,0))/$J2740)),3)</f>
        <v>0.851</v>
      </c>
      <c r="AA2740" s="2" t="n">
        <f aca="false">IF($I2740="Correct",ROUND(INDEX('Reward Model'!$B$12:$B$14,MATCH($K2740,'Reward Model'!$A$12:$A$14,0))*Z2740,2),0)</f>
        <v>0</v>
      </c>
      <c r="AB2740" s="2" t="n">
        <f aca="false">IF($I2740="Correct",ROUND(INDEX('Reward Model'!$B$12:$B$14,MATCH($Y2740,'Reward Model'!$A$12:$A$14,0))*Z2740,2),0)</f>
        <v>0</v>
      </c>
    </row>
    <row r="2741" customFormat="false" ht="15" hidden="false" customHeight="false" outlineLevel="0" collapsed="false">
      <c r="A2741" s="0" t="s">
        <v>404</v>
      </c>
      <c r="B2741" s="0" t="s">
        <v>405</v>
      </c>
      <c r="C2741" s="0" t="s">
        <v>322</v>
      </c>
      <c r="D2741" s="0" t="s">
        <v>189</v>
      </c>
      <c r="E2741" s="0" t="n">
        <v>20</v>
      </c>
      <c r="F2741" s="0" t="s">
        <v>81</v>
      </c>
      <c r="G2741" s="0" t="s">
        <v>82</v>
      </c>
      <c r="H2741" s="0" t="s">
        <v>83</v>
      </c>
      <c r="I2741" s="0" t="s">
        <v>39</v>
      </c>
      <c r="J2741" s="0" t="n">
        <v>1.83</v>
      </c>
      <c r="K2741" s="0" t="s">
        <v>73</v>
      </c>
      <c r="L2741" s="0" t="n">
        <f aca="false">INDEX(Summary!$F$2:$F$201,MATCH($B2741,Summary!$A$2:$A$201,0))</f>
        <v>20</v>
      </c>
      <c r="M2741" s="0" t="n">
        <f aca="false">INDEX(Summary!$I$2:$I$201,MATCH($B2741,Summary!$A$2:$A$201,0))</f>
        <v>1</v>
      </c>
      <c r="N2741" s="0" t="n">
        <f aca="false">INDEX(Summary!$J$2:$J$201,MATCH($B2741,Summary!$A$2:$A$201,0))</f>
        <v>4</v>
      </c>
      <c r="O2741" s="2" t="n">
        <f aca="false">INDEX(Summary!$K$2:$K$201,MATCH($B2741,Summary!$A$2:$A$201,0))</f>
        <v>10.02</v>
      </c>
      <c r="P2741" s="3" t="n">
        <f aca="false">INDEX(Summary!$L$2:$L$201,MATCH($B2741,Summary!$A$2:$A$201,0))</f>
        <v>4</v>
      </c>
      <c r="Q2741" s="3" t="n">
        <f aca="false">INDEX(Summary!$M$2:$M$201,MATCH($B2741,Summary!$A$2:$A$201,0))</f>
        <v>2</v>
      </c>
      <c r="R2741" s="2" t="n">
        <f aca="false">INDEX(Summary!$N$2:$N$201,MATCH($B2741,Summary!$A$2:$A$201,0))</f>
        <v>10.29</v>
      </c>
      <c r="S2741" s="3" t="n">
        <f aca="false">INDEX(Summary!$O$2:$O$201,MATCH($B2741,Summary!$A$2:$A$201,0))</f>
        <v>8</v>
      </c>
      <c r="T2741" s="3" t="n">
        <f aca="false">INDEX(Summary!$P$2:$P$201,MATCH($B2741,Summary!$A$2:$A$201,0))</f>
        <v>1</v>
      </c>
      <c r="U2741" s="2" t="n">
        <f aca="false">INDEX(Summary!$Q$2:$Q$201,MATCH($B2741,Summary!$A$2:$A$201,0))</f>
        <v>11.5</v>
      </c>
      <c r="V2741" s="2" t="n">
        <f aca="false">INDEX(Summary!$R$2:$R$201,MATCH($B2741,Summary!$A$2:$A$201,0))</f>
        <v>23.19</v>
      </c>
      <c r="W2741" s="0" t="str">
        <f aca="false">INDEX(Summary!$S$2:$S$201,MATCH($B2741,Summary!$A$2:$A$201,0))</f>
        <v>Silver</v>
      </c>
      <c r="X2741" s="2" t="n">
        <f aca="false">INDEX(Summary!$T$2:$T$201,MATCH($B2741,Summary!$A$2:$A$201,0))</f>
        <v>56.56</v>
      </c>
      <c r="Y2741" s="0" t="str">
        <f aca="false">INDEX('Reward Model'!$E$18:$E$37,MATCH($E2741,'Reward Model'!$A$18:$A$37,0))</f>
        <v>High</v>
      </c>
      <c r="Z2741" s="4" t="n">
        <f aca="false">ROUND(MIN(1,MAX('Reward Model'!$B$2,INDEX('Reward Model'!$C$12:$C$14,MATCH($K2741,'Reward Model'!$A$12:$A$14,0))/$J2741)),3)</f>
        <v>1</v>
      </c>
      <c r="AA2741" s="2" t="n">
        <f aca="false">IF($I2741="Correct",ROUND(INDEX('Reward Model'!$B$12:$B$14,MATCH($K2741,'Reward Model'!$A$12:$A$14,0))*Z2741,2),0)</f>
        <v>0</v>
      </c>
      <c r="AB2741" s="2" t="n">
        <f aca="false">IF($I2741="Correct",ROUND(INDEX('Reward Model'!$B$12:$B$14,MATCH($Y2741,'Reward Model'!$A$12:$A$14,0))*Z2741,2),0)</f>
        <v>0</v>
      </c>
    </row>
    <row r="2742" customFormat="false" ht="15" hidden="false" customHeight="false" outlineLevel="0" collapsed="false">
      <c r="A2742" s="0" t="s">
        <v>406</v>
      </c>
      <c r="B2742" s="0" t="s">
        <v>407</v>
      </c>
      <c r="C2742" s="0" t="s">
        <v>322</v>
      </c>
      <c r="D2742" s="0" t="s">
        <v>189</v>
      </c>
      <c r="E2742" s="0" t="n">
        <v>1</v>
      </c>
      <c r="F2742" s="0" t="s">
        <v>32</v>
      </c>
      <c r="G2742" s="0" t="s">
        <v>33</v>
      </c>
      <c r="H2742" s="0" t="s">
        <v>33</v>
      </c>
      <c r="I2742" s="0" t="s">
        <v>34</v>
      </c>
      <c r="J2742" s="0" t="n">
        <v>1.99</v>
      </c>
      <c r="K2742" s="0" t="s">
        <v>35</v>
      </c>
      <c r="L2742" s="0" t="n">
        <f aca="false">INDEX(Summary!$F$2:$F$201,MATCH($B2742,Summary!$A$2:$A$201,0))</f>
        <v>20</v>
      </c>
      <c r="M2742" s="0" t="n">
        <f aca="false">INDEX(Summary!$I$2:$I$201,MATCH($B2742,Summary!$A$2:$A$201,0))</f>
        <v>3</v>
      </c>
      <c r="N2742" s="0" t="n">
        <f aca="false">INDEX(Summary!$J$2:$J$201,MATCH($B2742,Summary!$A$2:$A$201,0))</f>
        <v>2</v>
      </c>
      <c r="O2742" s="2" t="n">
        <f aca="false">INDEX(Summary!$K$2:$K$201,MATCH($B2742,Summary!$A$2:$A$201,0))</f>
        <v>11.04</v>
      </c>
      <c r="P2742" s="3" t="n">
        <f aca="false">INDEX(Summary!$L$2:$L$201,MATCH($B2742,Summary!$A$2:$A$201,0))</f>
        <v>4</v>
      </c>
      <c r="Q2742" s="3" t="n">
        <f aca="false">INDEX(Summary!$M$2:$M$201,MATCH($B2742,Summary!$A$2:$A$201,0))</f>
        <v>2</v>
      </c>
      <c r="R2742" s="2" t="n">
        <f aca="false">INDEX(Summary!$N$2:$N$201,MATCH($B2742,Summary!$A$2:$A$201,0))</f>
        <v>10.59</v>
      </c>
      <c r="S2742" s="3" t="n">
        <f aca="false">INDEX(Summary!$O$2:$O$201,MATCH($B2742,Summary!$A$2:$A$201,0))</f>
        <v>8</v>
      </c>
      <c r="T2742" s="3" t="n">
        <f aca="false">INDEX(Summary!$P$2:$P$201,MATCH($B2742,Summary!$A$2:$A$201,0))</f>
        <v>1</v>
      </c>
      <c r="U2742" s="2" t="n">
        <f aca="false">INDEX(Summary!$Q$2:$Q$201,MATCH($B2742,Summary!$A$2:$A$201,0))</f>
        <v>12.88</v>
      </c>
      <c r="V2742" s="2" t="n">
        <f aca="false">INDEX(Summary!$R$2:$R$201,MATCH($B2742,Summary!$A$2:$A$201,0))</f>
        <v>27.1</v>
      </c>
      <c r="W2742" s="0" t="str">
        <f aca="false">INDEX(Summary!$S$2:$S$201,MATCH($B2742,Summary!$A$2:$A$201,0))</f>
        <v>Silver</v>
      </c>
      <c r="X2742" s="2" t="n">
        <f aca="false">INDEX(Summary!$T$2:$T$201,MATCH($B2742,Summary!$A$2:$A$201,0))</f>
        <v>66.1</v>
      </c>
      <c r="Y2742" s="0" t="str">
        <f aca="false">INDEX('Reward Model'!$E$18:$E$37,MATCH($E2742,'Reward Model'!$A$18:$A$37,0))</f>
        <v>Medium</v>
      </c>
      <c r="Z2742" s="4" t="n">
        <f aca="false">ROUND(MIN(1,MAX('Reward Model'!$B$2,INDEX('Reward Model'!$C$12:$C$14,MATCH($K2742,'Reward Model'!$A$12:$A$14,0))/$J2742)),3)</f>
        <v>0.754</v>
      </c>
      <c r="AA2742" s="2" t="n">
        <f aca="false">IF($I2742="Correct",ROUND(INDEX('Reward Model'!$B$12:$B$14,MATCH($K2742,'Reward Model'!$A$12:$A$14,0))*Z2742,2),0)</f>
        <v>0.75</v>
      </c>
      <c r="AB2742" s="2" t="n">
        <f aca="false">IF($I2742="Correct",ROUND(INDEX('Reward Model'!$B$12:$B$14,MATCH($Y2742,'Reward Model'!$A$12:$A$14,0))*Z2742,2),0)</f>
        <v>1.51</v>
      </c>
    </row>
    <row r="2743" customFormat="false" ht="15" hidden="false" customHeight="false" outlineLevel="0" collapsed="false">
      <c r="A2743" s="0" t="s">
        <v>406</v>
      </c>
      <c r="B2743" s="0" t="s">
        <v>407</v>
      </c>
      <c r="C2743" s="0" t="s">
        <v>322</v>
      </c>
      <c r="D2743" s="0" t="s">
        <v>189</v>
      </c>
      <c r="E2743" s="0" t="n">
        <v>2</v>
      </c>
      <c r="F2743" s="0" t="s">
        <v>36</v>
      </c>
      <c r="G2743" s="0" t="s">
        <v>37</v>
      </c>
      <c r="H2743" s="0" t="s">
        <v>38</v>
      </c>
      <c r="I2743" s="0" t="s">
        <v>39</v>
      </c>
      <c r="J2743" s="0" t="n">
        <v>1.23</v>
      </c>
      <c r="K2743" s="0" t="s">
        <v>35</v>
      </c>
      <c r="L2743" s="0" t="n">
        <f aca="false">INDEX(Summary!$F$2:$F$201,MATCH($B2743,Summary!$A$2:$A$201,0))</f>
        <v>20</v>
      </c>
      <c r="M2743" s="0" t="n">
        <f aca="false">INDEX(Summary!$I$2:$I$201,MATCH($B2743,Summary!$A$2:$A$201,0))</f>
        <v>3</v>
      </c>
      <c r="N2743" s="0" t="n">
        <f aca="false">INDEX(Summary!$J$2:$J$201,MATCH($B2743,Summary!$A$2:$A$201,0))</f>
        <v>2</v>
      </c>
      <c r="O2743" s="2" t="n">
        <f aca="false">INDEX(Summary!$K$2:$K$201,MATCH($B2743,Summary!$A$2:$A$201,0))</f>
        <v>11.04</v>
      </c>
      <c r="P2743" s="3" t="n">
        <f aca="false">INDEX(Summary!$L$2:$L$201,MATCH($B2743,Summary!$A$2:$A$201,0))</f>
        <v>4</v>
      </c>
      <c r="Q2743" s="3" t="n">
        <f aca="false">INDEX(Summary!$M$2:$M$201,MATCH($B2743,Summary!$A$2:$A$201,0))</f>
        <v>2</v>
      </c>
      <c r="R2743" s="2" t="n">
        <f aca="false">INDEX(Summary!$N$2:$N$201,MATCH($B2743,Summary!$A$2:$A$201,0))</f>
        <v>10.59</v>
      </c>
      <c r="S2743" s="3" t="n">
        <f aca="false">INDEX(Summary!$O$2:$O$201,MATCH($B2743,Summary!$A$2:$A$201,0))</f>
        <v>8</v>
      </c>
      <c r="T2743" s="3" t="n">
        <f aca="false">INDEX(Summary!$P$2:$P$201,MATCH($B2743,Summary!$A$2:$A$201,0))</f>
        <v>1</v>
      </c>
      <c r="U2743" s="2" t="n">
        <f aca="false">INDEX(Summary!$Q$2:$Q$201,MATCH($B2743,Summary!$A$2:$A$201,0))</f>
        <v>12.88</v>
      </c>
      <c r="V2743" s="2" t="n">
        <f aca="false">INDEX(Summary!$R$2:$R$201,MATCH($B2743,Summary!$A$2:$A$201,0))</f>
        <v>27.1</v>
      </c>
      <c r="W2743" s="0" t="str">
        <f aca="false">INDEX(Summary!$S$2:$S$201,MATCH($B2743,Summary!$A$2:$A$201,0))</f>
        <v>Silver</v>
      </c>
      <c r="X2743" s="2" t="n">
        <f aca="false">INDEX(Summary!$T$2:$T$201,MATCH($B2743,Summary!$A$2:$A$201,0))</f>
        <v>66.1</v>
      </c>
      <c r="Y2743" s="0" t="str">
        <f aca="false">INDEX('Reward Model'!$E$18:$E$37,MATCH($E2743,'Reward Model'!$A$18:$A$37,0))</f>
        <v>Low</v>
      </c>
      <c r="Z2743" s="4" t="n">
        <f aca="false">ROUND(MIN(1,MAX('Reward Model'!$B$2,INDEX('Reward Model'!$C$12:$C$14,MATCH($K2743,'Reward Model'!$A$12:$A$14,0))/$J2743)),3)</f>
        <v>1</v>
      </c>
      <c r="AA2743" s="2" t="n">
        <f aca="false">IF($I2743="Correct",ROUND(INDEX('Reward Model'!$B$12:$B$14,MATCH($K2743,'Reward Model'!$A$12:$A$14,0))*Z2743,2),0)</f>
        <v>0</v>
      </c>
      <c r="AB2743" s="2" t="n">
        <f aca="false">IF($I2743="Correct",ROUND(INDEX('Reward Model'!$B$12:$B$14,MATCH($Y2743,'Reward Model'!$A$12:$A$14,0))*Z2743,2),0)</f>
        <v>0</v>
      </c>
    </row>
    <row r="2744" customFormat="false" ht="15" hidden="false" customHeight="false" outlineLevel="0" collapsed="false">
      <c r="A2744" s="0" t="s">
        <v>406</v>
      </c>
      <c r="B2744" s="0" t="s">
        <v>407</v>
      </c>
      <c r="C2744" s="0" t="s">
        <v>322</v>
      </c>
      <c r="D2744" s="0" t="s">
        <v>189</v>
      </c>
      <c r="E2744" s="0" t="n">
        <v>3</v>
      </c>
      <c r="F2744" s="0" t="s">
        <v>40</v>
      </c>
      <c r="G2744" s="0" t="s">
        <v>42</v>
      </c>
      <c r="H2744" s="0" t="s">
        <v>42</v>
      </c>
      <c r="I2744" s="0" t="s">
        <v>34</v>
      </c>
      <c r="J2744" s="0" t="n">
        <v>1.7</v>
      </c>
      <c r="K2744" s="0" t="s">
        <v>35</v>
      </c>
      <c r="L2744" s="0" t="n">
        <f aca="false">INDEX(Summary!$F$2:$F$201,MATCH($B2744,Summary!$A$2:$A$201,0))</f>
        <v>20</v>
      </c>
      <c r="M2744" s="0" t="n">
        <f aca="false">INDEX(Summary!$I$2:$I$201,MATCH($B2744,Summary!$A$2:$A$201,0))</f>
        <v>3</v>
      </c>
      <c r="N2744" s="0" t="n">
        <f aca="false">INDEX(Summary!$J$2:$J$201,MATCH($B2744,Summary!$A$2:$A$201,0))</f>
        <v>2</v>
      </c>
      <c r="O2744" s="2" t="n">
        <f aca="false">INDEX(Summary!$K$2:$K$201,MATCH($B2744,Summary!$A$2:$A$201,0))</f>
        <v>11.04</v>
      </c>
      <c r="P2744" s="3" t="n">
        <f aca="false">INDEX(Summary!$L$2:$L$201,MATCH($B2744,Summary!$A$2:$A$201,0))</f>
        <v>4</v>
      </c>
      <c r="Q2744" s="3" t="n">
        <f aca="false">INDEX(Summary!$M$2:$M$201,MATCH($B2744,Summary!$A$2:$A$201,0))</f>
        <v>2</v>
      </c>
      <c r="R2744" s="2" t="n">
        <f aca="false">INDEX(Summary!$N$2:$N$201,MATCH($B2744,Summary!$A$2:$A$201,0))</f>
        <v>10.59</v>
      </c>
      <c r="S2744" s="3" t="n">
        <f aca="false">INDEX(Summary!$O$2:$O$201,MATCH($B2744,Summary!$A$2:$A$201,0))</f>
        <v>8</v>
      </c>
      <c r="T2744" s="3" t="n">
        <f aca="false">INDEX(Summary!$P$2:$P$201,MATCH($B2744,Summary!$A$2:$A$201,0))</f>
        <v>1</v>
      </c>
      <c r="U2744" s="2" t="n">
        <f aca="false">INDEX(Summary!$Q$2:$Q$201,MATCH($B2744,Summary!$A$2:$A$201,0))</f>
        <v>12.88</v>
      </c>
      <c r="V2744" s="2" t="n">
        <f aca="false">INDEX(Summary!$R$2:$R$201,MATCH($B2744,Summary!$A$2:$A$201,0))</f>
        <v>27.1</v>
      </c>
      <c r="W2744" s="0" t="str">
        <f aca="false">INDEX(Summary!$S$2:$S$201,MATCH($B2744,Summary!$A$2:$A$201,0))</f>
        <v>Silver</v>
      </c>
      <c r="X2744" s="2" t="n">
        <f aca="false">INDEX(Summary!$T$2:$T$201,MATCH($B2744,Summary!$A$2:$A$201,0))</f>
        <v>66.1</v>
      </c>
      <c r="Y2744" s="0" t="str">
        <f aca="false">INDEX('Reward Model'!$E$18:$E$37,MATCH($E2744,'Reward Model'!$A$18:$A$37,0))</f>
        <v>Medium</v>
      </c>
      <c r="Z2744" s="4" t="n">
        <f aca="false">ROUND(MIN(1,MAX('Reward Model'!$B$2,INDEX('Reward Model'!$C$12:$C$14,MATCH($K2744,'Reward Model'!$A$12:$A$14,0))/$J2744)),3)</f>
        <v>0.882</v>
      </c>
      <c r="AA2744" s="2" t="n">
        <f aca="false">IF($I2744="Correct",ROUND(INDEX('Reward Model'!$B$12:$B$14,MATCH($K2744,'Reward Model'!$A$12:$A$14,0))*Z2744,2),0)</f>
        <v>0.88</v>
      </c>
      <c r="AB2744" s="2" t="n">
        <f aca="false">IF($I2744="Correct",ROUND(INDEX('Reward Model'!$B$12:$B$14,MATCH($Y2744,'Reward Model'!$A$12:$A$14,0))*Z2744,2),0)</f>
        <v>1.76</v>
      </c>
    </row>
    <row r="2745" customFormat="false" ht="15" hidden="false" customHeight="false" outlineLevel="0" collapsed="false">
      <c r="A2745" s="0" t="s">
        <v>406</v>
      </c>
      <c r="B2745" s="0" t="s">
        <v>407</v>
      </c>
      <c r="C2745" s="0" t="s">
        <v>322</v>
      </c>
      <c r="D2745" s="0" t="s">
        <v>189</v>
      </c>
      <c r="E2745" s="0" t="n">
        <v>4</v>
      </c>
      <c r="F2745" s="0" t="s">
        <v>43</v>
      </c>
      <c r="G2745" s="0" t="s">
        <v>45</v>
      </c>
      <c r="H2745" s="0" t="s">
        <v>45</v>
      </c>
      <c r="I2745" s="0" t="s">
        <v>34</v>
      </c>
      <c r="J2745" s="0" t="n">
        <v>0.98</v>
      </c>
      <c r="K2745" s="0" t="s">
        <v>35</v>
      </c>
      <c r="L2745" s="0" t="n">
        <f aca="false">INDEX(Summary!$F$2:$F$201,MATCH($B2745,Summary!$A$2:$A$201,0))</f>
        <v>20</v>
      </c>
      <c r="M2745" s="0" t="n">
        <f aca="false">INDEX(Summary!$I$2:$I$201,MATCH($B2745,Summary!$A$2:$A$201,0))</f>
        <v>3</v>
      </c>
      <c r="N2745" s="0" t="n">
        <f aca="false">INDEX(Summary!$J$2:$J$201,MATCH($B2745,Summary!$A$2:$A$201,0))</f>
        <v>2</v>
      </c>
      <c r="O2745" s="2" t="n">
        <f aca="false">INDEX(Summary!$K$2:$K$201,MATCH($B2745,Summary!$A$2:$A$201,0))</f>
        <v>11.04</v>
      </c>
      <c r="P2745" s="3" t="n">
        <f aca="false">INDEX(Summary!$L$2:$L$201,MATCH($B2745,Summary!$A$2:$A$201,0))</f>
        <v>4</v>
      </c>
      <c r="Q2745" s="3" t="n">
        <f aca="false">INDEX(Summary!$M$2:$M$201,MATCH($B2745,Summary!$A$2:$A$201,0))</f>
        <v>2</v>
      </c>
      <c r="R2745" s="2" t="n">
        <f aca="false">INDEX(Summary!$N$2:$N$201,MATCH($B2745,Summary!$A$2:$A$201,0))</f>
        <v>10.59</v>
      </c>
      <c r="S2745" s="3" t="n">
        <f aca="false">INDEX(Summary!$O$2:$O$201,MATCH($B2745,Summary!$A$2:$A$201,0))</f>
        <v>8</v>
      </c>
      <c r="T2745" s="3" t="n">
        <f aca="false">INDEX(Summary!$P$2:$P$201,MATCH($B2745,Summary!$A$2:$A$201,0))</f>
        <v>1</v>
      </c>
      <c r="U2745" s="2" t="n">
        <f aca="false">INDEX(Summary!$Q$2:$Q$201,MATCH($B2745,Summary!$A$2:$A$201,0))</f>
        <v>12.88</v>
      </c>
      <c r="V2745" s="2" t="n">
        <f aca="false">INDEX(Summary!$R$2:$R$201,MATCH($B2745,Summary!$A$2:$A$201,0))</f>
        <v>27.1</v>
      </c>
      <c r="W2745" s="0" t="str">
        <f aca="false">INDEX(Summary!$S$2:$S$201,MATCH($B2745,Summary!$A$2:$A$201,0))</f>
        <v>Silver</v>
      </c>
      <c r="X2745" s="2" t="n">
        <f aca="false">INDEX(Summary!$T$2:$T$201,MATCH($B2745,Summary!$A$2:$A$201,0))</f>
        <v>66.1</v>
      </c>
      <c r="Y2745" s="0" t="str">
        <f aca="false">INDEX('Reward Model'!$E$18:$E$37,MATCH($E2745,'Reward Model'!$A$18:$A$37,0))</f>
        <v>Low</v>
      </c>
      <c r="Z2745" s="4" t="n">
        <f aca="false">ROUND(MIN(1,MAX('Reward Model'!$B$2,INDEX('Reward Model'!$C$12:$C$14,MATCH($K2745,'Reward Model'!$A$12:$A$14,0))/$J2745)),3)</f>
        <v>1</v>
      </c>
      <c r="AA2745" s="2" t="n">
        <f aca="false">IF($I2745="Correct",ROUND(INDEX('Reward Model'!$B$12:$B$14,MATCH($K2745,'Reward Model'!$A$12:$A$14,0))*Z2745,2),0)</f>
        <v>1</v>
      </c>
      <c r="AB2745" s="2" t="n">
        <f aca="false">IF($I2745="Correct",ROUND(INDEX('Reward Model'!$B$12:$B$14,MATCH($Y2745,'Reward Model'!$A$12:$A$14,0))*Z2745,2),0)</f>
        <v>1</v>
      </c>
    </row>
    <row r="2746" customFormat="false" ht="15" hidden="false" customHeight="false" outlineLevel="0" collapsed="false">
      <c r="A2746" s="0" t="s">
        <v>406</v>
      </c>
      <c r="B2746" s="0" t="s">
        <v>407</v>
      </c>
      <c r="C2746" s="0" t="s">
        <v>322</v>
      </c>
      <c r="D2746" s="0" t="s">
        <v>189</v>
      </c>
      <c r="E2746" s="0" t="n">
        <v>5</v>
      </c>
      <c r="F2746" s="0" t="s">
        <v>46</v>
      </c>
      <c r="G2746" s="0" t="s">
        <v>47</v>
      </c>
      <c r="H2746" s="0" t="s">
        <v>47</v>
      </c>
      <c r="I2746" s="0" t="s">
        <v>34</v>
      </c>
      <c r="J2746" s="0" t="n">
        <v>1.48</v>
      </c>
      <c r="K2746" s="0" t="s">
        <v>35</v>
      </c>
      <c r="L2746" s="0" t="n">
        <f aca="false">INDEX(Summary!$F$2:$F$201,MATCH($B2746,Summary!$A$2:$A$201,0))</f>
        <v>20</v>
      </c>
      <c r="M2746" s="0" t="n">
        <f aca="false">INDEX(Summary!$I$2:$I$201,MATCH($B2746,Summary!$A$2:$A$201,0))</f>
        <v>3</v>
      </c>
      <c r="N2746" s="0" t="n">
        <f aca="false">INDEX(Summary!$J$2:$J$201,MATCH($B2746,Summary!$A$2:$A$201,0))</f>
        <v>2</v>
      </c>
      <c r="O2746" s="2" t="n">
        <f aca="false">INDEX(Summary!$K$2:$K$201,MATCH($B2746,Summary!$A$2:$A$201,0))</f>
        <v>11.04</v>
      </c>
      <c r="P2746" s="3" t="n">
        <f aca="false">INDEX(Summary!$L$2:$L$201,MATCH($B2746,Summary!$A$2:$A$201,0))</f>
        <v>4</v>
      </c>
      <c r="Q2746" s="3" t="n">
        <f aca="false">INDEX(Summary!$M$2:$M$201,MATCH($B2746,Summary!$A$2:$A$201,0))</f>
        <v>2</v>
      </c>
      <c r="R2746" s="2" t="n">
        <f aca="false">INDEX(Summary!$N$2:$N$201,MATCH($B2746,Summary!$A$2:$A$201,0))</f>
        <v>10.59</v>
      </c>
      <c r="S2746" s="3" t="n">
        <f aca="false">INDEX(Summary!$O$2:$O$201,MATCH($B2746,Summary!$A$2:$A$201,0))</f>
        <v>8</v>
      </c>
      <c r="T2746" s="3" t="n">
        <f aca="false">INDEX(Summary!$P$2:$P$201,MATCH($B2746,Summary!$A$2:$A$201,0))</f>
        <v>1</v>
      </c>
      <c r="U2746" s="2" t="n">
        <f aca="false">INDEX(Summary!$Q$2:$Q$201,MATCH($B2746,Summary!$A$2:$A$201,0))</f>
        <v>12.88</v>
      </c>
      <c r="V2746" s="2" t="n">
        <f aca="false">INDEX(Summary!$R$2:$R$201,MATCH($B2746,Summary!$A$2:$A$201,0))</f>
        <v>27.1</v>
      </c>
      <c r="W2746" s="0" t="str">
        <f aca="false">INDEX(Summary!$S$2:$S$201,MATCH($B2746,Summary!$A$2:$A$201,0))</f>
        <v>Silver</v>
      </c>
      <c r="X2746" s="2" t="n">
        <f aca="false">INDEX(Summary!$T$2:$T$201,MATCH($B2746,Summary!$A$2:$A$201,0))</f>
        <v>66.1</v>
      </c>
      <c r="Y2746" s="0" t="str">
        <f aca="false">INDEX('Reward Model'!$E$18:$E$37,MATCH($E2746,'Reward Model'!$A$18:$A$37,0))</f>
        <v>Low</v>
      </c>
      <c r="Z2746" s="4" t="n">
        <f aca="false">ROUND(MIN(1,MAX('Reward Model'!$B$2,INDEX('Reward Model'!$C$12:$C$14,MATCH($K2746,'Reward Model'!$A$12:$A$14,0))/$J2746)),3)</f>
        <v>1</v>
      </c>
      <c r="AA2746" s="2" t="n">
        <f aca="false">IF($I2746="Correct",ROUND(INDEX('Reward Model'!$B$12:$B$14,MATCH($K2746,'Reward Model'!$A$12:$A$14,0))*Z2746,2),0)</f>
        <v>1</v>
      </c>
      <c r="AB2746" s="2" t="n">
        <f aca="false">IF($I2746="Correct",ROUND(INDEX('Reward Model'!$B$12:$B$14,MATCH($Y2746,'Reward Model'!$A$12:$A$14,0))*Z2746,2),0)</f>
        <v>1</v>
      </c>
    </row>
    <row r="2747" customFormat="false" ht="15" hidden="false" customHeight="false" outlineLevel="0" collapsed="false">
      <c r="A2747" s="0" t="s">
        <v>406</v>
      </c>
      <c r="B2747" s="0" t="s">
        <v>407</v>
      </c>
      <c r="C2747" s="0" t="s">
        <v>322</v>
      </c>
      <c r="D2747" s="0" t="s">
        <v>189</v>
      </c>
      <c r="E2747" s="0" t="n">
        <v>6</v>
      </c>
      <c r="F2747" s="0" t="s">
        <v>48</v>
      </c>
      <c r="G2747" s="0" t="s">
        <v>49</v>
      </c>
      <c r="H2747" s="0" t="s">
        <v>49</v>
      </c>
      <c r="I2747" s="0" t="s">
        <v>34</v>
      </c>
      <c r="J2747" s="0" t="n">
        <v>1.08</v>
      </c>
      <c r="K2747" s="0" t="s">
        <v>35</v>
      </c>
      <c r="L2747" s="0" t="n">
        <f aca="false">INDEX(Summary!$F$2:$F$201,MATCH($B2747,Summary!$A$2:$A$201,0))</f>
        <v>20</v>
      </c>
      <c r="M2747" s="0" t="n">
        <f aca="false">INDEX(Summary!$I$2:$I$201,MATCH($B2747,Summary!$A$2:$A$201,0))</f>
        <v>3</v>
      </c>
      <c r="N2747" s="0" t="n">
        <f aca="false">INDEX(Summary!$J$2:$J$201,MATCH($B2747,Summary!$A$2:$A$201,0))</f>
        <v>2</v>
      </c>
      <c r="O2747" s="2" t="n">
        <f aca="false">INDEX(Summary!$K$2:$K$201,MATCH($B2747,Summary!$A$2:$A$201,0))</f>
        <v>11.04</v>
      </c>
      <c r="P2747" s="3" t="n">
        <f aca="false">INDEX(Summary!$L$2:$L$201,MATCH($B2747,Summary!$A$2:$A$201,0))</f>
        <v>4</v>
      </c>
      <c r="Q2747" s="3" t="n">
        <f aca="false">INDEX(Summary!$M$2:$M$201,MATCH($B2747,Summary!$A$2:$A$201,0))</f>
        <v>2</v>
      </c>
      <c r="R2747" s="2" t="n">
        <f aca="false">INDEX(Summary!$N$2:$N$201,MATCH($B2747,Summary!$A$2:$A$201,0))</f>
        <v>10.59</v>
      </c>
      <c r="S2747" s="3" t="n">
        <f aca="false">INDEX(Summary!$O$2:$O$201,MATCH($B2747,Summary!$A$2:$A$201,0))</f>
        <v>8</v>
      </c>
      <c r="T2747" s="3" t="n">
        <f aca="false">INDEX(Summary!$P$2:$P$201,MATCH($B2747,Summary!$A$2:$A$201,0))</f>
        <v>1</v>
      </c>
      <c r="U2747" s="2" t="n">
        <f aca="false">INDEX(Summary!$Q$2:$Q$201,MATCH($B2747,Summary!$A$2:$A$201,0))</f>
        <v>12.88</v>
      </c>
      <c r="V2747" s="2" t="n">
        <f aca="false">INDEX(Summary!$R$2:$R$201,MATCH($B2747,Summary!$A$2:$A$201,0))</f>
        <v>27.1</v>
      </c>
      <c r="W2747" s="0" t="str">
        <f aca="false">INDEX(Summary!$S$2:$S$201,MATCH($B2747,Summary!$A$2:$A$201,0))</f>
        <v>Silver</v>
      </c>
      <c r="X2747" s="2" t="n">
        <f aca="false">INDEX(Summary!$T$2:$T$201,MATCH($B2747,Summary!$A$2:$A$201,0))</f>
        <v>66.1</v>
      </c>
      <c r="Y2747" s="0" t="str">
        <f aca="false">INDEX('Reward Model'!$E$18:$E$37,MATCH($E2747,'Reward Model'!$A$18:$A$37,0))</f>
        <v>Medium</v>
      </c>
      <c r="Z2747" s="4" t="n">
        <f aca="false">ROUND(MIN(1,MAX('Reward Model'!$B$2,INDEX('Reward Model'!$C$12:$C$14,MATCH($K2747,'Reward Model'!$A$12:$A$14,0))/$J2747)),3)</f>
        <v>1</v>
      </c>
      <c r="AA2747" s="2" t="n">
        <f aca="false">IF($I2747="Correct",ROUND(INDEX('Reward Model'!$B$12:$B$14,MATCH($K2747,'Reward Model'!$A$12:$A$14,0))*Z2747,2),0)</f>
        <v>1</v>
      </c>
      <c r="AB2747" s="2" t="n">
        <f aca="false">IF($I2747="Correct",ROUND(INDEX('Reward Model'!$B$12:$B$14,MATCH($Y2747,'Reward Model'!$A$12:$A$14,0))*Z2747,2),0)</f>
        <v>2</v>
      </c>
    </row>
    <row r="2748" customFormat="false" ht="15" hidden="false" customHeight="false" outlineLevel="0" collapsed="false">
      <c r="A2748" s="0" t="s">
        <v>406</v>
      </c>
      <c r="B2748" s="0" t="s">
        <v>407</v>
      </c>
      <c r="C2748" s="0" t="s">
        <v>322</v>
      </c>
      <c r="D2748" s="0" t="s">
        <v>189</v>
      </c>
      <c r="E2748" s="0" t="n">
        <v>7</v>
      </c>
      <c r="F2748" s="0" t="s">
        <v>50</v>
      </c>
      <c r="G2748" s="0" t="s">
        <v>51</v>
      </c>
      <c r="H2748" s="0" t="s">
        <v>51</v>
      </c>
      <c r="I2748" s="0" t="s">
        <v>34</v>
      </c>
      <c r="J2748" s="0" t="n">
        <v>1.08</v>
      </c>
      <c r="K2748" s="0" t="s">
        <v>35</v>
      </c>
      <c r="L2748" s="0" t="n">
        <f aca="false">INDEX(Summary!$F$2:$F$201,MATCH($B2748,Summary!$A$2:$A$201,0))</f>
        <v>20</v>
      </c>
      <c r="M2748" s="0" t="n">
        <f aca="false">INDEX(Summary!$I$2:$I$201,MATCH($B2748,Summary!$A$2:$A$201,0))</f>
        <v>3</v>
      </c>
      <c r="N2748" s="0" t="n">
        <f aca="false">INDEX(Summary!$J$2:$J$201,MATCH($B2748,Summary!$A$2:$A$201,0))</f>
        <v>2</v>
      </c>
      <c r="O2748" s="2" t="n">
        <f aca="false">INDEX(Summary!$K$2:$K$201,MATCH($B2748,Summary!$A$2:$A$201,0))</f>
        <v>11.04</v>
      </c>
      <c r="P2748" s="3" t="n">
        <f aca="false">INDEX(Summary!$L$2:$L$201,MATCH($B2748,Summary!$A$2:$A$201,0))</f>
        <v>4</v>
      </c>
      <c r="Q2748" s="3" t="n">
        <f aca="false">INDEX(Summary!$M$2:$M$201,MATCH($B2748,Summary!$A$2:$A$201,0))</f>
        <v>2</v>
      </c>
      <c r="R2748" s="2" t="n">
        <f aca="false">INDEX(Summary!$N$2:$N$201,MATCH($B2748,Summary!$A$2:$A$201,0))</f>
        <v>10.59</v>
      </c>
      <c r="S2748" s="3" t="n">
        <f aca="false">INDEX(Summary!$O$2:$O$201,MATCH($B2748,Summary!$A$2:$A$201,0))</f>
        <v>8</v>
      </c>
      <c r="T2748" s="3" t="n">
        <f aca="false">INDEX(Summary!$P$2:$P$201,MATCH($B2748,Summary!$A$2:$A$201,0))</f>
        <v>1</v>
      </c>
      <c r="U2748" s="2" t="n">
        <f aca="false">INDEX(Summary!$Q$2:$Q$201,MATCH($B2748,Summary!$A$2:$A$201,0))</f>
        <v>12.88</v>
      </c>
      <c r="V2748" s="2" t="n">
        <f aca="false">INDEX(Summary!$R$2:$R$201,MATCH($B2748,Summary!$A$2:$A$201,0))</f>
        <v>27.1</v>
      </c>
      <c r="W2748" s="0" t="str">
        <f aca="false">INDEX(Summary!$S$2:$S$201,MATCH($B2748,Summary!$A$2:$A$201,0))</f>
        <v>Silver</v>
      </c>
      <c r="X2748" s="2" t="n">
        <f aca="false">INDEX(Summary!$T$2:$T$201,MATCH($B2748,Summary!$A$2:$A$201,0))</f>
        <v>66.1</v>
      </c>
      <c r="Y2748" s="0" t="str">
        <f aca="false">INDEX('Reward Model'!$E$18:$E$37,MATCH($E2748,'Reward Model'!$A$18:$A$37,0))</f>
        <v>Low</v>
      </c>
      <c r="Z2748" s="4" t="n">
        <f aca="false">ROUND(MIN(1,MAX('Reward Model'!$B$2,INDEX('Reward Model'!$C$12:$C$14,MATCH($K2748,'Reward Model'!$A$12:$A$14,0))/$J2748)),3)</f>
        <v>1</v>
      </c>
      <c r="AA2748" s="2" t="n">
        <f aca="false">IF($I2748="Correct",ROUND(INDEX('Reward Model'!$B$12:$B$14,MATCH($K2748,'Reward Model'!$A$12:$A$14,0))*Z2748,2),0)</f>
        <v>1</v>
      </c>
      <c r="AB2748" s="2" t="n">
        <f aca="false">IF($I2748="Correct",ROUND(INDEX('Reward Model'!$B$12:$B$14,MATCH($Y2748,'Reward Model'!$A$12:$A$14,0))*Z2748,2),0)</f>
        <v>1</v>
      </c>
    </row>
    <row r="2749" customFormat="false" ht="15" hidden="false" customHeight="false" outlineLevel="0" collapsed="false">
      <c r="A2749" s="0" t="s">
        <v>406</v>
      </c>
      <c r="B2749" s="0" t="s">
        <v>407</v>
      </c>
      <c r="C2749" s="0" t="s">
        <v>322</v>
      </c>
      <c r="D2749" s="0" t="s">
        <v>189</v>
      </c>
      <c r="E2749" s="0" t="n">
        <v>8</v>
      </c>
      <c r="F2749" s="0" t="s">
        <v>52</v>
      </c>
      <c r="G2749" s="0" t="s">
        <v>54</v>
      </c>
      <c r="H2749" s="0" t="s">
        <v>54</v>
      </c>
      <c r="I2749" s="0" t="s">
        <v>34</v>
      </c>
      <c r="J2749" s="0" t="n">
        <v>1.63</v>
      </c>
      <c r="K2749" s="0" t="s">
        <v>35</v>
      </c>
      <c r="L2749" s="0" t="n">
        <f aca="false">INDEX(Summary!$F$2:$F$201,MATCH($B2749,Summary!$A$2:$A$201,0))</f>
        <v>20</v>
      </c>
      <c r="M2749" s="0" t="n">
        <f aca="false">INDEX(Summary!$I$2:$I$201,MATCH($B2749,Summary!$A$2:$A$201,0))</f>
        <v>3</v>
      </c>
      <c r="N2749" s="0" t="n">
        <f aca="false">INDEX(Summary!$J$2:$J$201,MATCH($B2749,Summary!$A$2:$A$201,0))</f>
        <v>2</v>
      </c>
      <c r="O2749" s="2" t="n">
        <f aca="false">INDEX(Summary!$K$2:$K$201,MATCH($B2749,Summary!$A$2:$A$201,0))</f>
        <v>11.04</v>
      </c>
      <c r="P2749" s="3" t="n">
        <f aca="false">INDEX(Summary!$L$2:$L$201,MATCH($B2749,Summary!$A$2:$A$201,0))</f>
        <v>4</v>
      </c>
      <c r="Q2749" s="3" t="n">
        <f aca="false">INDEX(Summary!$M$2:$M$201,MATCH($B2749,Summary!$A$2:$A$201,0))</f>
        <v>2</v>
      </c>
      <c r="R2749" s="2" t="n">
        <f aca="false">INDEX(Summary!$N$2:$N$201,MATCH($B2749,Summary!$A$2:$A$201,0))</f>
        <v>10.59</v>
      </c>
      <c r="S2749" s="3" t="n">
        <f aca="false">INDEX(Summary!$O$2:$O$201,MATCH($B2749,Summary!$A$2:$A$201,0))</f>
        <v>8</v>
      </c>
      <c r="T2749" s="3" t="n">
        <f aca="false">INDEX(Summary!$P$2:$P$201,MATCH($B2749,Summary!$A$2:$A$201,0))</f>
        <v>1</v>
      </c>
      <c r="U2749" s="2" t="n">
        <f aca="false">INDEX(Summary!$Q$2:$Q$201,MATCH($B2749,Summary!$A$2:$A$201,0))</f>
        <v>12.88</v>
      </c>
      <c r="V2749" s="2" t="n">
        <f aca="false">INDEX(Summary!$R$2:$R$201,MATCH($B2749,Summary!$A$2:$A$201,0))</f>
        <v>27.1</v>
      </c>
      <c r="W2749" s="0" t="str">
        <f aca="false">INDEX(Summary!$S$2:$S$201,MATCH($B2749,Summary!$A$2:$A$201,0))</f>
        <v>Silver</v>
      </c>
      <c r="X2749" s="2" t="n">
        <f aca="false">INDEX(Summary!$T$2:$T$201,MATCH($B2749,Summary!$A$2:$A$201,0))</f>
        <v>66.1</v>
      </c>
      <c r="Y2749" s="0" t="str">
        <f aca="false">INDEX('Reward Model'!$E$18:$E$37,MATCH($E2749,'Reward Model'!$A$18:$A$37,0))</f>
        <v>Medium</v>
      </c>
      <c r="Z2749" s="4" t="n">
        <f aca="false">ROUND(MIN(1,MAX('Reward Model'!$B$2,INDEX('Reward Model'!$C$12:$C$14,MATCH($K2749,'Reward Model'!$A$12:$A$14,0))/$J2749)),3)</f>
        <v>0.92</v>
      </c>
      <c r="AA2749" s="2" t="n">
        <f aca="false">IF($I2749="Correct",ROUND(INDEX('Reward Model'!$B$12:$B$14,MATCH($K2749,'Reward Model'!$A$12:$A$14,0))*Z2749,2),0)</f>
        <v>0.92</v>
      </c>
      <c r="AB2749" s="2" t="n">
        <f aca="false">IF($I2749="Correct",ROUND(INDEX('Reward Model'!$B$12:$B$14,MATCH($Y2749,'Reward Model'!$A$12:$A$14,0))*Z2749,2),0)</f>
        <v>1.84</v>
      </c>
    </row>
    <row r="2750" customFormat="false" ht="15" hidden="false" customHeight="false" outlineLevel="0" collapsed="false">
      <c r="A2750" s="0" t="s">
        <v>406</v>
      </c>
      <c r="B2750" s="0" t="s">
        <v>407</v>
      </c>
      <c r="C2750" s="0" t="s">
        <v>322</v>
      </c>
      <c r="D2750" s="0" t="s">
        <v>189</v>
      </c>
      <c r="E2750" s="0" t="n">
        <v>9</v>
      </c>
      <c r="F2750" s="0" t="s">
        <v>55</v>
      </c>
      <c r="G2750" s="0" t="s">
        <v>57</v>
      </c>
      <c r="H2750" s="0" t="s">
        <v>57</v>
      </c>
      <c r="I2750" s="0" t="s">
        <v>34</v>
      </c>
      <c r="J2750" s="0" t="n">
        <v>1.71</v>
      </c>
      <c r="K2750" s="0" t="s">
        <v>35</v>
      </c>
      <c r="L2750" s="0" t="n">
        <f aca="false">INDEX(Summary!$F$2:$F$201,MATCH($B2750,Summary!$A$2:$A$201,0))</f>
        <v>20</v>
      </c>
      <c r="M2750" s="0" t="n">
        <f aca="false">INDEX(Summary!$I$2:$I$201,MATCH($B2750,Summary!$A$2:$A$201,0))</f>
        <v>3</v>
      </c>
      <c r="N2750" s="0" t="n">
        <f aca="false">INDEX(Summary!$J$2:$J$201,MATCH($B2750,Summary!$A$2:$A$201,0))</f>
        <v>2</v>
      </c>
      <c r="O2750" s="2" t="n">
        <f aca="false">INDEX(Summary!$K$2:$K$201,MATCH($B2750,Summary!$A$2:$A$201,0))</f>
        <v>11.04</v>
      </c>
      <c r="P2750" s="3" t="n">
        <f aca="false">INDEX(Summary!$L$2:$L$201,MATCH($B2750,Summary!$A$2:$A$201,0))</f>
        <v>4</v>
      </c>
      <c r="Q2750" s="3" t="n">
        <f aca="false">INDEX(Summary!$M$2:$M$201,MATCH($B2750,Summary!$A$2:$A$201,0))</f>
        <v>2</v>
      </c>
      <c r="R2750" s="2" t="n">
        <f aca="false">INDEX(Summary!$N$2:$N$201,MATCH($B2750,Summary!$A$2:$A$201,0))</f>
        <v>10.59</v>
      </c>
      <c r="S2750" s="3" t="n">
        <f aca="false">INDEX(Summary!$O$2:$O$201,MATCH($B2750,Summary!$A$2:$A$201,0))</f>
        <v>8</v>
      </c>
      <c r="T2750" s="3" t="n">
        <f aca="false">INDEX(Summary!$P$2:$P$201,MATCH($B2750,Summary!$A$2:$A$201,0))</f>
        <v>1</v>
      </c>
      <c r="U2750" s="2" t="n">
        <f aca="false">INDEX(Summary!$Q$2:$Q$201,MATCH($B2750,Summary!$A$2:$A$201,0))</f>
        <v>12.88</v>
      </c>
      <c r="V2750" s="2" t="n">
        <f aca="false">INDEX(Summary!$R$2:$R$201,MATCH($B2750,Summary!$A$2:$A$201,0))</f>
        <v>27.1</v>
      </c>
      <c r="W2750" s="0" t="str">
        <f aca="false">INDEX(Summary!$S$2:$S$201,MATCH($B2750,Summary!$A$2:$A$201,0))</f>
        <v>Silver</v>
      </c>
      <c r="X2750" s="2" t="n">
        <f aca="false">INDEX(Summary!$T$2:$T$201,MATCH($B2750,Summary!$A$2:$A$201,0))</f>
        <v>66.1</v>
      </c>
      <c r="Y2750" s="0" t="str">
        <f aca="false">INDEX('Reward Model'!$E$18:$E$37,MATCH($E2750,'Reward Model'!$A$18:$A$37,0))</f>
        <v>Medium</v>
      </c>
      <c r="Z2750" s="4" t="n">
        <f aca="false">ROUND(MIN(1,MAX('Reward Model'!$B$2,INDEX('Reward Model'!$C$12:$C$14,MATCH($K2750,'Reward Model'!$A$12:$A$14,0))/$J2750)),3)</f>
        <v>0.877</v>
      </c>
      <c r="AA2750" s="2" t="n">
        <f aca="false">IF($I2750="Correct",ROUND(INDEX('Reward Model'!$B$12:$B$14,MATCH($K2750,'Reward Model'!$A$12:$A$14,0))*Z2750,2),0)</f>
        <v>0.88</v>
      </c>
      <c r="AB2750" s="2" t="n">
        <f aca="false">IF($I2750="Correct",ROUND(INDEX('Reward Model'!$B$12:$B$14,MATCH($Y2750,'Reward Model'!$A$12:$A$14,0))*Z2750,2),0)</f>
        <v>1.75</v>
      </c>
    </row>
    <row r="2751" customFormat="false" ht="15" hidden="false" customHeight="false" outlineLevel="0" collapsed="false">
      <c r="A2751" s="0" t="s">
        <v>406</v>
      </c>
      <c r="B2751" s="0" t="s">
        <v>407</v>
      </c>
      <c r="C2751" s="0" t="s">
        <v>322</v>
      </c>
      <c r="D2751" s="0" t="s">
        <v>189</v>
      </c>
      <c r="E2751" s="0" t="n">
        <v>10</v>
      </c>
      <c r="F2751" s="0" t="s">
        <v>58</v>
      </c>
      <c r="G2751" s="0" t="s">
        <v>174</v>
      </c>
      <c r="H2751" s="0" t="s">
        <v>59</v>
      </c>
      <c r="I2751" s="0" t="s">
        <v>39</v>
      </c>
      <c r="J2751" s="0" t="n">
        <v>1.71</v>
      </c>
      <c r="K2751" s="0" t="s">
        <v>60</v>
      </c>
      <c r="L2751" s="0" t="n">
        <f aca="false">INDEX(Summary!$F$2:$F$201,MATCH($B2751,Summary!$A$2:$A$201,0))</f>
        <v>20</v>
      </c>
      <c r="M2751" s="0" t="n">
        <f aca="false">INDEX(Summary!$I$2:$I$201,MATCH($B2751,Summary!$A$2:$A$201,0))</f>
        <v>3</v>
      </c>
      <c r="N2751" s="0" t="n">
        <f aca="false">INDEX(Summary!$J$2:$J$201,MATCH($B2751,Summary!$A$2:$A$201,0))</f>
        <v>2</v>
      </c>
      <c r="O2751" s="2" t="n">
        <f aca="false">INDEX(Summary!$K$2:$K$201,MATCH($B2751,Summary!$A$2:$A$201,0))</f>
        <v>11.04</v>
      </c>
      <c r="P2751" s="3" t="n">
        <f aca="false">INDEX(Summary!$L$2:$L$201,MATCH($B2751,Summary!$A$2:$A$201,0))</f>
        <v>4</v>
      </c>
      <c r="Q2751" s="3" t="n">
        <f aca="false">INDEX(Summary!$M$2:$M$201,MATCH($B2751,Summary!$A$2:$A$201,0))</f>
        <v>2</v>
      </c>
      <c r="R2751" s="2" t="n">
        <f aca="false">INDEX(Summary!$N$2:$N$201,MATCH($B2751,Summary!$A$2:$A$201,0))</f>
        <v>10.59</v>
      </c>
      <c r="S2751" s="3" t="n">
        <f aca="false">INDEX(Summary!$O$2:$O$201,MATCH($B2751,Summary!$A$2:$A$201,0))</f>
        <v>8</v>
      </c>
      <c r="T2751" s="3" t="n">
        <f aca="false">INDEX(Summary!$P$2:$P$201,MATCH($B2751,Summary!$A$2:$A$201,0))</f>
        <v>1</v>
      </c>
      <c r="U2751" s="2" t="n">
        <f aca="false">INDEX(Summary!$Q$2:$Q$201,MATCH($B2751,Summary!$A$2:$A$201,0))</f>
        <v>12.88</v>
      </c>
      <c r="V2751" s="2" t="n">
        <f aca="false">INDEX(Summary!$R$2:$R$201,MATCH($B2751,Summary!$A$2:$A$201,0))</f>
        <v>27.1</v>
      </c>
      <c r="W2751" s="0" t="str">
        <f aca="false">INDEX(Summary!$S$2:$S$201,MATCH($B2751,Summary!$A$2:$A$201,0))</f>
        <v>Silver</v>
      </c>
      <c r="X2751" s="2" t="n">
        <f aca="false">INDEX(Summary!$T$2:$T$201,MATCH($B2751,Summary!$A$2:$A$201,0))</f>
        <v>66.1</v>
      </c>
      <c r="Y2751" s="0" t="str">
        <f aca="false">INDEX('Reward Model'!$E$18:$E$37,MATCH($E2751,'Reward Model'!$A$18:$A$37,0))</f>
        <v>Medium</v>
      </c>
      <c r="Z2751" s="4" t="n">
        <f aca="false">ROUND(MIN(1,MAX('Reward Model'!$B$2,INDEX('Reward Model'!$C$12:$C$14,MATCH($K2751,'Reward Model'!$A$12:$A$14,0))/$J2751)),3)</f>
        <v>1</v>
      </c>
      <c r="AA2751" s="2" t="n">
        <f aca="false">IF($I2751="Correct",ROUND(INDEX('Reward Model'!$B$12:$B$14,MATCH($K2751,'Reward Model'!$A$12:$A$14,0))*Z2751,2),0)</f>
        <v>0</v>
      </c>
      <c r="AB2751" s="2" t="n">
        <f aca="false">IF($I2751="Correct",ROUND(INDEX('Reward Model'!$B$12:$B$14,MATCH($Y2751,'Reward Model'!$A$12:$A$14,0))*Z2751,2),0)</f>
        <v>0</v>
      </c>
    </row>
    <row r="2752" customFormat="false" ht="15" hidden="false" customHeight="false" outlineLevel="0" collapsed="false">
      <c r="A2752" s="0" t="s">
        <v>406</v>
      </c>
      <c r="B2752" s="0" t="s">
        <v>407</v>
      </c>
      <c r="C2752" s="0" t="s">
        <v>322</v>
      </c>
      <c r="D2752" s="0" t="s">
        <v>189</v>
      </c>
      <c r="E2752" s="0" t="n">
        <v>11</v>
      </c>
      <c r="F2752" s="0" t="s">
        <v>61</v>
      </c>
      <c r="G2752" s="0" t="s">
        <v>63</v>
      </c>
      <c r="H2752" s="0" t="s">
        <v>63</v>
      </c>
      <c r="I2752" s="0" t="s">
        <v>34</v>
      </c>
      <c r="J2752" s="0" t="n">
        <v>1.91</v>
      </c>
      <c r="K2752" s="0" t="s">
        <v>60</v>
      </c>
      <c r="L2752" s="0" t="n">
        <f aca="false">INDEX(Summary!$F$2:$F$201,MATCH($B2752,Summary!$A$2:$A$201,0))</f>
        <v>20</v>
      </c>
      <c r="M2752" s="0" t="n">
        <f aca="false">INDEX(Summary!$I$2:$I$201,MATCH($B2752,Summary!$A$2:$A$201,0))</f>
        <v>3</v>
      </c>
      <c r="N2752" s="0" t="n">
        <f aca="false">INDEX(Summary!$J$2:$J$201,MATCH($B2752,Summary!$A$2:$A$201,0))</f>
        <v>2</v>
      </c>
      <c r="O2752" s="2" t="n">
        <f aca="false">INDEX(Summary!$K$2:$K$201,MATCH($B2752,Summary!$A$2:$A$201,0))</f>
        <v>11.04</v>
      </c>
      <c r="P2752" s="3" t="n">
        <f aca="false">INDEX(Summary!$L$2:$L$201,MATCH($B2752,Summary!$A$2:$A$201,0))</f>
        <v>4</v>
      </c>
      <c r="Q2752" s="3" t="n">
        <f aca="false">INDEX(Summary!$M$2:$M$201,MATCH($B2752,Summary!$A$2:$A$201,0))</f>
        <v>2</v>
      </c>
      <c r="R2752" s="2" t="n">
        <f aca="false">INDEX(Summary!$N$2:$N$201,MATCH($B2752,Summary!$A$2:$A$201,0))</f>
        <v>10.59</v>
      </c>
      <c r="S2752" s="3" t="n">
        <f aca="false">INDEX(Summary!$O$2:$O$201,MATCH($B2752,Summary!$A$2:$A$201,0))</f>
        <v>8</v>
      </c>
      <c r="T2752" s="3" t="n">
        <f aca="false">INDEX(Summary!$P$2:$P$201,MATCH($B2752,Summary!$A$2:$A$201,0))</f>
        <v>1</v>
      </c>
      <c r="U2752" s="2" t="n">
        <f aca="false">INDEX(Summary!$Q$2:$Q$201,MATCH($B2752,Summary!$A$2:$A$201,0))</f>
        <v>12.88</v>
      </c>
      <c r="V2752" s="2" t="n">
        <f aca="false">INDEX(Summary!$R$2:$R$201,MATCH($B2752,Summary!$A$2:$A$201,0))</f>
        <v>27.1</v>
      </c>
      <c r="W2752" s="0" t="str">
        <f aca="false">INDEX(Summary!$S$2:$S$201,MATCH($B2752,Summary!$A$2:$A$201,0))</f>
        <v>Silver</v>
      </c>
      <c r="X2752" s="2" t="n">
        <f aca="false">INDEX(Summary!$T$2:$T$201,MATCH($B2752,Summary!$A$2:$A$201,0))</f>
        <v>66.1</v>
      </c>
      <c r="Y2752" s="0" t="str">
        <f aca="false">INDEX('Reward Model'!$E$18:$E$37,MATCH($E2752,'Reward Model'!$A$18:$A$37,0))</f>
        <v>Medium</v>
      </c>
      <c r="Z2752" s="4" t="n">
        <f aca="false">ROUND(MIN(1,MAX('Reward Model'!$B$2,INDEX('Reward Model'!$C$12:$C$14,MATCH($K2752,'Reward Model'!$A$12:$A$14,0))/$J2752)),3)</f>
        <v>0.942</v>
      </c>
      <c r="AA2752" s="2" t="n">
        <f aca="false">IF($I2752="Correct",ROUND(INDEX('Reward Model'!$B$12:$B$14,MATCH($K2752,'Reward Model'!$A$12:$A$14,0))*Z2752,2),0)</f>
        <v>1.88</v>
      </c>
      <c r="AB2752" s="2" t="n">
        <f aca="false">IF($I2752="Correct",ROUND(INDEX('Reward Model'!$B$12:$B$14,MATCH($Y2752,'Reward Model'!$A$12:$A$14,0))*Z2752,2),0)</f>
        <v>1.88</v>
      </c>
    </row>
    <row r="2753" customFormat="false" ht="15" hidden="false" customHeight="false" outlineLevel="0" collapsed="false">
      <c r="A2753" s="0" t="s">
        <v>406</v>
      </c>
      <c r="B2753" s="0" t="s">
        <v>407</v>
      </c>
      <c r="C2753" s="0" t="s">
        <v>322</v>
      </c>
      <c r="D2753" s="0" t="s">
        <v>189</v>
      </c>
      <c r="E2753" s="0" t="n">
        <v>12</v>
      </c>
      <c r="F2753" s="0" t="s">
        <v>64</v>
      </c>
      <c r="G2753" s="0" t="s">
        <v>65</v>
      </c>
      <c r="H2753" s="0" t="s">
        <v>65</v>
      </c>
      <c r="I2753" s="0" t="s">
        <v>34</v>
      </c>
      <c r="J2753" s="0" t="n">
        <v>1.53</v>
      </c>
      <c r="K2753" s="0" t="s">
        <v>60</v>
      </c>
      <c r="L2753" s="0" t="n">
        <f aca="false">INDEX(Summary!$F$2:$F$201,MATCH($B2753,Summary!$A$2:$A$201,0))</f>
        <v>20</v>
      </c>
      <c r="M2753" s="0" t="n">
        <f aca="false">INDEX(Summary!$I$2:$I$201,MATCH($B2753,Summary!$A$2:$A$201,0))</f>
        <v>3</v>
      </c>
      <c r="N2753" s="0" t="n">
        <f aca="false">INDEX(Summary!$J$2:$J$201,MATCH($B2753,Summary!$A$2:$A$201,0))</f>
        <v>2</v>
      </c>
      <c r="O2753" s="2" t="n">
        <f aca="false">INDEX(Summary!$K$2:$K$201,MATCH($B2753,Summary!$A$2:$A$201,0))</f>
        <v>11.04</v>
      </c>
      <c r="P2753" s="3" t="n">
        <f aca="false">INDEX(Summary!$L$2:$L$201,MATCH($B2753,Summary!$A$2:$A$201,0))</f>
        <v>4</v>
      </c>
      <c r="Q2753" s="3" t="n">
        <f aca="false">INDEX(Summary!$M$2:$M$201,MATCH($B2753,Summary!$A$2:$A$201,0))</f>
        <v>2</v>
      </c>
      <c r="R2753" s="2" t="n">
        <f aca="false">INDEX(Summary!$N$2:$N$201,MATCH($B2753,Summary!$A$2:$A$201,0))</f>
        <v>10.59</v>
      </c>
      <c r="S2753" s="3" t="n">
        <f aca="false">INDEX(Summary!$O$2:$O$201,MATCH($B2753,Summary!$A$2:$A$201,0))</f>
        <v>8</v>
      </c>
      <c r="T2753" s="3" t="n">
        <f aca="false">INDEX(Summary!$P$2:$P$201,MATCH($B2753,Summary!$A$2:$A$201,0))</f>
        <v>1</v>
      </c>
      <c r="U2753" s="2" t="n">
        <f aca="false">INDEX(Summary!$Q$2:$Q$201,MATCH($B2753,Summary!$A$2:$A$201,0))</f>
        <v>12.88</v>
      </c>
      <c r="V2753" s="2" t="n">
        <f aca="false">INDEX(Summary!$R$2:$R$201,MATCH($B2753,Summary!$A$2:$A$201,0))</f>
        <v>27.1</v>
      </c>
      <c r="W2753" s="0" t="str">
        <f aca="false">INDEX(Summary!$S$2:$S$201,MATCH($B2753,Summary!$A$2:$A$201,0))</f>
        <v>Silver</v>
      </c>
      <c r="X2753" s="2" t="n">
        <f aca="false">INDEX(Summary!$T$2:$T$201,MATCH($B2753,Summary!$A$2:$A$201,0))</f>
        <v>66.1</v>
      </c>
      <c r="Y2753" s="0" t="str">
        <f aca="false">INDEX('Reward Model'!$E$18:$E$37,MATCH($E2753,'Reward Model'!$A$18:$A$37,0))</f>
        <v>Medium</v>
      </c>
      <c r="Z2753" s="4" t="n">
        <f aca="false">ROUND(MIN(1,MAX('Reward Model'!$B$2,INDEX('Reward Model'!$C$12:$C$14,MATCH($K2753,'Reward Model'!$A$12:$A$14,0))/$J2753)),3)</f>
        <v>1</v>
      </c>
      <c r="AA2753" s="2" t="n">
        <f aca="false">IF($I2753="Correct",ROUND(INDEX('Reward Model'!$B$12:$B$14,MATCH($K2753,'Reward Model'!$A$12:$A$14,0))*Z2753,2),0)</f>
        <v>2</v>
      </c>
      <c r="AB2753" s="2" t="n">
        <f aca="false">IF($I2753="Correct",ROUND(INDEX('Reward Model'!$B$12:$B$14,MATCH($Y2753,'Reward Model'!$A$12:$A$14,0))*Z2753,2),0)</f>
        <v>2</v>
      </c>
    </row>
    <row r="2754" customFormat="false" ht="15" hidden="false" customHeight="false" outlineLevel="0" collapsed="false">
      <c r="A2754" s="0" t="s">
        <v>406</v>
      </c>
      <c r="B2754" s="0" t="s">
        <v>407</v>
      </c>
      <c r="C2754" s="0" t="s">
        <v>322</v>
      </c>
      <c r="D2754" s="0" t="s">
        <v>189</v>
      </c>
      <c r="E2754" s="0" t="n">
        <v>13</v>
      </c>
      <c r="F2754" s="0" t="s">
        <v>66</v>
      </c>
      <c r="G2754" s="0" t="s">
        <v>67</v>
      </c>
      <c r="H2754" s="0" t="s">
        <v>67</v>
      </c>
      <c r="I2754" s="0" t="s">
        <v>34</v>
      </c>
      <c r="J2754" s="0" t="n">
        <v>2.2</v>
      </c>
      <c r="K2754" s="0" t="s">
        <v>60</v>
      </c>
      <c r="L2754" s="0" t="n">
        <f aca="false">INDEX(Summary!$F$2:$F$201,MATCH($B2754,Summary!$A$2:$A$201,0))</f>
        <v>20</v>
      </c>
      <c r="M2754" s="0" t="n">
        <f aca="false">INDEX(Summary!$I$2:$I$201,MATCH($B2754,Summary!$A$2:$A$201,0))</f>
        <v>3</v>
      </c>
      <c r="N2754" s="0" t="n">
        <f aca="false">INDEX(Summary!$J$2:$J$201,MATCH($B2754,Summary!$A$2:$A$201,0))</f>
        <v>2</v>
      </c>
      <c r="O2754" s="2" t="n">
        <f aca="false">INDEX(Summary!$K$2:$K$201,MATCH($B2754,Summary!$A$2:$A$201,0))</f>
        <v>11.04</v>
      </c>
      <c r="P2754" s="3" t="n">
        <f aca="false">INDEX(Summary!$L$2:$L$201,MATCH($B2754,Summary!$A$2:$A$201,0))</f>
        <v>4</v>
      </c>
      <c r="Q2754" s="3" t="n">
        <f aca="false">INDEX(Summary!$M$2:$M$201,MATCH($B2754,Summary!$A$2:$A$201,0))</f>
        <v>2</v>
      </c>
      <c r="R2754" s="2" t="n">
        <f aca="false">INDEX(Summary!$N$2:$N$201,MATCH($B2754,Summary!$A$2:$A$201,0))</f>
        <v>10.59</v>
      </c>
      <c r="S2754" s="3" t="n">
        <f aca="false">INDEX(Summary!$O$2:$O$201,MATCH($B2754,Summary!$A$2:$A$201,0))</f>
        <v>8</v>
      </c>
      <c r="T2754" s="3" t="n">
        <f aca="false">INDEX(Summary!$P$2:$P$201,MATCH($B2754,Summary!$A$2:$A$201,0))</f>
        <v>1</v>
      </c>
      <c r="U2754" s="2" t="n">
        <f aca="false">INDEX(Summary!$Q$2:$Q$201,MATCH($B2754,Summary!$A$2:$A$201,0))</f>
        <v>12.88</v>
      </c>
      <c r="V2754" s="2" t="n">
        <f aca="false">INDEX(Summary!$R$2:$R$201,MATCH($B2754,Summary!$A$2:$A$201,0))</f>
        <v>27.1</v>
      </c>
      <c r="W2754" s="0" t="str">
        <f aca="false">INDEX(Summary!$S$2:$S$201,MATCH($B2754,Summary!$A$2:$A$201,0))</f>
        <v>Silver</v>
      </c>
      <c r="X2754" s="2" t="n">
        <f aca="false">INDEX(Summary!$T$2:$T$201,MATCH($B2754,Summary!$A$2:$A$201,0))</f>
        <v>66.1</v>
      </c>
      <c r="Y2754" s="0" t="str">
        <f aca="false">INDEX('Reward Model'!$E$18:$E$37,MATCH($E2754,'Reward Model'!$A$18:$A$37,0))</f>
        <v>Medium</v>
      </c>
      <c r="Z2754" s="4" t="n">
        <f aca="false">ROUND(MIN(1,MAX('Reward Model'!$B$2,INDEX('Reward Model'!$C$12:$C$14,MATCH($K2754,'Reward Model'!$A$12:$A$14,0))/$J2754)),3)</f>
        <v>0.818</v>
      </c>
      <c r="AA2754" s="2" t="n">
        <f aca="false">IF($I2754="Correct",ROUND(INDEX('Reward Model'!$B$12:$B$14,MATCH($K2754,'Reward Model'!$A$12:$A$14,0))*Z2754,2),0)</f>
        <v>1.64</v>
      </c>
      <c r="AB2754" s="2" t="n">
        <f aca="false">IF($I2754="Correct",ROUND(INDEX('Reward Model'!$B$12:$B$14,MATCH($Y2754,'Reward Model'!$A$12:$A$14,0))*Z2754,2),0)</f>
        <v>1.64</v>
      </c>
    </row>
    <row r="2755" customFormat="false" ht="15" hidden="false" customHeight="false" outlineLevel="0" collapsed="false">
      <c r="A2755" s="0" t="s">
        <v>406</v>
      </c>
      <c r="B2755" s="0" t="s">
        <v>407</v>
      </c>
      <c r="C2755" s="0" t="s">
        <v>322</v>
      </c>
      <c r="D2755" s="0" t="s">
        <v>189</v>
      </c>
      <c r="E2755" s="0" t="n">
        <v>14</v>
      </c>
      <c r="F2755" s="0" t="s">
        <v>68</v>
      </c>
      <c r="G2755" s="0" t="s">
        <v>86</v>
      </c>
      <c r="H2755" s="0" t="s">
        <v>51</v>
      </c>
      <c r="I2755" s="0" t="s">
        <v>39</v>
      </c>
      <c r="J2755" s="0" t="n">
        <v>1.16</v>
      </c>
      <c r="K2755" s="0" t="s">
        <v>60</v>
      </c>
      <c r="L2755" s="0" t="n">
        <f aca="false">INDEX(Summary!$F$2:$F$201,MATCH($B2755,Summary!$A$2:$A$201,0))</f>
        <v>20</v>
      </c>
      <c r="M2755" s="0" t="n">
        <f aca="false">INDEX(Summary!$I$2:$I$201,MATCH($B2755,Summary!$A$2:$A$201,0))</f>
        <v>3</v>
      </c>
      <c r="N2755" s="0" t="n">
        <f aca="false">INDEX(Summary!$J$2:$J$201,MATCH($B2755,Summary!$A$2:$A$201,0))</f>
        <v>2</v>
      </c>
      <c r="O2755" s="2" t="n">
        <f aca="false">INDEX(Summary!$K$2:$K$201,MATCH($B2755,Summary!$A$2:$A$201,0))</f>
        <v>11.04</v>
      </c>
      <c r="P2755" s="3" t="n">
        <f aca="false">INDEX(Summary!$L$2:$L$201,MATCH($B2755,Summary!$A$2:$A$201,0))</f>
        <v>4</v>
      </c>
      <c r="Q2755" s="3" t="n">
        <f aca="false">INDEX(Summary!$M$2:$M$201,MATCH($B2755,Summary!$A$2:$A$201,0))</f>
        <v>2</v>
      </c>
      <c r="R2755" s="2" t="n">
        <f aca="false">INDEX(Summary!$N$2:$N$201,MATCH($B2755,Summary!$A$2:$A$201,0))</f>
        <v>10.59</v>
      </c>
      <c r="S2755" s="3" t="n">
        <f aca="false">INDEX(Summary!$O$2:$O$201,MATCH($B2755,Summary!$A$2:$A$201,0))</f>
        <v>8</v>
      </c>
      <c r="T2755" s="3" t="n">
        <f aca="false">INDEX(Summary!$P$2:$P$201,MATCH($B2755,Summary!$A$2:$A$201,0))</f>
        <v>1</v>
      </c>
      <c r="U2755" s="2" t="n">
        <f aca="false">INDEX(Summary!$Q$2:$Q$201,MATCH($B2755,Summary!$A$2:$A$201,0))</f>
        <v>12.88</v>
      </c>
      <c r="V2755" s="2" t="n">
        <f aca="false">INDEX(Summary!$R$2:$R$201,MATCH($B2755,Summary!$A$2:$A$201,0))</f>
        <v>27.1</v>
      </c>
      <c r="W2755" s="0" t="str">
        <f aca="false">INDEX(Summary!$S$2:$S$201,MATCH($B2755,Summary!$A$2:$A$201,0))</f>
        <v>Silver</v>
      </c>
      <c r="X2755" s="2" t="n">
        <f aca="false">INDEX(Summary!$T$2:$T$201,MATCH($B2755,Summary!$A$2:$A$201,0))</f>
        <v>66.1</v>
      </c>
      <c r="Y2755" s="0" t="str">
        <f aca="false">INDEX('Reward Model'!$E$18:$E$37,MATCH($E2755,'Reward Model'!$A$18:$A$37,0))</f>
        <v>Medium</v>
      </c>
      <c r="Z2755" s="4" t="n">
        <f aca="false">ROUND(MIN(1,MAX('Reward Model'!$B$2,INDEX('Reward Model'!$C$12:$C$14,MATCH($K2755,'Reward Model'!$A$12:$A$14,0))/$J2755)),3)</f>
        <v>1</v>
      </c>
      <c r="AA2755" s="2" t="n">
        <f aca="false">IF($I2755="Correct",ROUND(INDEX('Reward Model'!$B$12:$B$14,MATCH($K2755,'Reward Model'!$A$12:$A$14,0))*Z2755,2),0)</f>
        <v>0</v>
      </c>
      <c r="AB2755" s="2" t="n">
        <f aca="false">IF($I2755="Correct",ROUND(INDEX('Reward Model'!$B$12:$B$14,MATCH($Y2755,'Reward Model'!$A$12:$A$14,0))*Z2755,2),0)</f>
        <v>0</v>
      </c>
    </row>
    <row r="2756" customFormat="false" ht="15" hidden="false" customHeight="false" outlineLevel="0" collapsed="false">
      <c r="A2756" s="0" t="s">
        <v>406</v>
      </c>
      <c r="B2756" s="0" t="s">
        <v>407</v>
      </c>
      <c r="C2756" s="0" t="s">
        <v>322</v>
      </c>
      <c r="D2756" s="0" t="s">
        <v>189</v>
      </c>
      <c r="E2756" s="0" t="n">
        <v>15</v>
      </c>
      <c r="F2756" s="0" t="s">
        <v>69</v>
      </c>
      <c r="G2756" s="0" t="s">
        <v>70</v>
      </c>
      <c r="H2756" s="0" t="s">
        <v>70</v>
      </c>
      <c r="I2756" s="0" t="s">
        <v>34</v>
      </c>
      <c r="J2756" s="0" t="n">
        <v>2.08</v>
      </c>
      <c r="K2756" s="0" t="s">
        <v>60</v>
      </c>
      <c r="L2756" s="0" t="n">
        <f aca="false">INDEX(Summary!$F$2:$F$201,MATCH($B2756,Summary!$A$2:$A$201,0))</f>
        <v>20</v>
      </c>
      <c r="M2756" s="0" t="n">
        <f aca="false">INDEX(Summary!$I$2:$I$201,MATCH($B2756,Summary!$A$2:$A$201,0))</f>
        <v>3</v>
      </c>
      <c r="N2756" s="0" t="n">
        <f aca="false">INDEX(Summary!$J$2:$J$201,MATCH($B2756,Summary!$A$2:$A$201,0))</f>
        <v>2</v>
      </c>
      <c r="O2756" s="2" t="n">
        <f aca="false">INDEX(Summary!$K$2:$K$201,MATCH($B2756,Summary!$A$2:$A$201,0))</f>
        <v>11.04</v>
      </c>
      <c r="P2756" s="3" t="n">
        <f aca="false">INDEX(Summary!$L$2:$L$201,MATCH($B2756,Summary!$A$2:$A$201,0))</f>
        <v>4</v>
      </c>
      <c r="Q2756" s="3" t="n">
        <f aca="false">INDEX(Summary!$M$2:$M$201,MATCH($B2756,Summary!$A$2:$A$201,0))</f>
        <v>2</v>
      </c>
      <c r="R2756" s="2" t="n">
        <f aca="false">INDEX(Summary!$N$2:$N$201,MATCH($B2756,Summary!$A$2:$A$201,0))</f>
        <v>10.59</v>
      </c>
      <c r="S2756" s="3" t="n">
        <f aca="false">INDEX(Summary!$O$2:$O$201,MATCH($B2756,Summary!$A$2:$A$201,0))</f>
        <v>8</v>
      </c>
      <c r="T2756" s="3" t="n">
        <f aca="false">INDEX(Summary!$P$2:$P$201,MATCH($B2756,Summary!$A$2:$A$201,0))</f>
        <v>1</v>
      </c>
      <c r="U2756" s="2" t="n">
        <f aca="false">INDEX(Summary!$Q$2:$Q$201,MATCH($B2756,Summary!$A$2:$A$201,0))</f>
        <v>12.88</v>
      </c>
      <c r="V2756" s="2" t="n">
        <f aca="false">INDEX(Summary!$R$2:$R$201,MATCH($B2756,Summary!$A$2:$A$201,0))</f>
        <v>27.1</v>
      </c>
      <c r="W2756" s="0" t="str">
        <f aca="false">INDEX(Summary!$S$2:$S$201,MATCH($B2756,Summary!$A$2:$A$201,0))</f>
        <v>Silver</v>
      </c>
      <c r="X2756" s="2" t="n">
        <f aca="false">INDEX(Summary!$T$2:$T$201,MATCH($B2756,Summary!$A$2:$A$201,0))</f>
        <v>66.1</v>
      </c>
      <c r="Y2756" s="0" t="str">
        <f aca="false">INDEX('Reward Model'!$E$18:$E$37,MATCH($E2756,'Reward Model'!$A$18:$A$37,0))</f>
        <v>Medium</v>
      </c>
      <c r="Z2756" s="4" t="n">
        <f aca="false">ROUND(MIN(1,MAX('Reward Model'!$B$2,INDEX('Reward Model'!$C$12:$C$14,MATCH($K2756,'Reward Model'!$A$12:$A$14,0))/$J2756)),3)</f>
        <v>0.865</v>
      </c>
      <c r="AA2756" s="2" t="n">
        <f aca="false">IF($I2756="Correct",ROUND(INDEX('Reward Model'!$B$12:$B$14,MATCH($K2756,'Reward Model'!$A$12:$A$14,0))*Z2756,2),0)</f>
        <v>1.73</v>
      </c>
      <c r="AB2756" s="2" t="n">
        <f aca="false">IF($I2756="Correct",ROUND(INDEX('Reward Model'!$B$12:$B$14,MATCH($Y2756,'Reward Model'!$A$12:$A$14,0))*Z2756,2),0)</f>
        <v>1.73</v>
      </c>
    </row>
    <row r="2757" customFormat="false" ht="15" hidden="false" customHeight="false" outlineLevel="0" collapsed="false">
      <c r="A2757" s="0" t="s">
        <v>406</v>
      </c>
      <c r="B2757" s="0" t="s">
        <v>407</v>
      </c>
      <c r="C2757" s="0" t="s">
        <v>322</v>
      </c>
      <c r="D2757" s="0" t="s">
        <v>189</v>
      </c>
      <c r="E2757" s="0" t="n">
        <v>16</v>
      </c>
      <c r="F2757" s="0" t="s">
        <v>71</v>
      </c>
      <c r="G2757" s="0" t="s">
        <v>101</v>
      </c>
      <c r="H2757" s="0" t="s">
        <v>72</v>
      </c>
      <c r="I2757" s="0" t="s">
        <v>39</v>
      </c>
      <c r="J2757" s="0" t="n">
        <v>2.02</v>
      </c>
      <c r="K2757" s="0" t="s">
        <v>73</v>
      </c>
      <c r="L2757" s="0" t="n">
        <f aca="false">INDEX(Summary!$F$2:$F$201,MATCH($B2757,Summary!$A$2:$A$201,0))</f>
        <v>20</v>
      </c>
      <c r="M2757" s="0" t="n">
        <f aca="false">INDEX(Summary!$I$2:$I$201,MATCH($B2757,Summary!$A$2:$A$201,0))</f>
        <v>3</v>
      </c>
      <c r="N2757" s="0" t="n">
        <f aca="false">INDEX(Summary!$J$2:$J$201,MATCH($B2757,Summary!$A$2:$A$201,0))</f>
        <v>2</v>
      </c>
      <c r="O2757" s="2" t="n">
        <f aca="false">INDEX(Summary!$K$2:$K$201,MATCH($B2757,Summary!$A$2:$A$201,0))</f>
        <v>11.04</v>
      </c>
      <c r="P2757" s="3" t="n">
        <f aca="false">INDEX(Summary!$L$2:$L$201,MATCH($B2757,Summary!$A$2:$A$201,0))</f>
        <v>4</v>
      </c>
      <c r="Q2757" s="3" t="n">
        <f aca="false">INDEX(Summary!$M$2:$M$201,MATCH($B2757,Summary!$A$2:$A$201,0))</f>
        <v>2</v>
      </c>
      <c r="R2757" s="2" t="n">
        <f aca="false">INDEX(Summary!$N$2:$N$201,MATCH($B2757,Summary!$A$2:$A$201,0))</f>
        <v>10.59</v>
      </c>
      <c r="S2757" s="3" t="n">
        <f aca="false">INDEX(Summary!$O$2:$O$201,MATCH($B2757,Summary!$A$2:$A$201,0))</f>
        <v>8</v>
      </c>
      <c r="T2757" s="3" t="n">
        <f aca="false">INDEX(Summary!$P$2:$P$201,MATCH($B2757,Summary!$A$2:$A$201,0))</f>
        <v>1</v>
      </c>
      <c r="U2757" s="2" t="n">
        <f aca="false">INDEX(Summary!$Q$2:$Q$201,MATCH($B2757,Summary!$A$2:$A$201,0))</f>
        <v>12.88</v>
      </c>
      <c r="V2757" s="2" t="n">
        <f aca="false">INDEX(Summary!$R$2:$R$201,MATCH($B2757,Summary!$A$2:$A$201,0))</f>
        <v>27.1</v>
      </c>
      <c r="W2757" s="0" t="str">
        <f aca="false">INDEX(Summary!$S$2:$S$201,MATCH($B2757,Summary!$A$2:$A$201,0))</f>
        <v>Silver</v>
      </c>
      <c r="X2757" s="2" t="n">
        <f aca="false">INDEX(Summary!$T$2:$T$201,MATCH($B2757,Summary!$A$2:$A$201,0))</f>
        <v>66.1</v>
      </c>
      <c r="Y2757" s="0" t="str">
        <f aca="false">INDEX('Reward Model'!$E$18:$E$37,MATCH($E2757,'Reward Model'!$A$18:$A$37,0))</f>
        <v>High</v>
      </c>
      <c r="Z2757" s="4" t="n">
        <f aca="false">ROUND(MIN(1,MAX('Reward Model'!$B$2,INDEX('Reward Model'!$C$12:$C$14,MATCH($K2757,'Reward Model'!$A$12:$A$14,0))/$J2757)),3)</f>
        <v>0.99</v>
      </c>
      <c r="AA2757" s="2" t="n">
        <f aca="false">IF($I2757="Correct",ROUND(INDEX('Reward Model'!$B$12:$B$14,MATCH($K2757,'Reward Model'!$A$12:$A$14,0))*Z2757,2),0)</f>
        <v>0</v>
      </c>
      <c r="AB2757" s="2" t="n">
        <f aca="false">IF($I2757="Correct",ROUND(INDEX('Reward Model'!$B$12:$B$14,MATCH($Y2757,'Reward Model'!$A$12:$A$14,0))*Z2757,2),0)</f>
        <v>0</v>
      </c>
    </row>
    <row r="2758" customFormat="false" ht="15" hidden="false" customHeight="false" outlineLevel="0" collapsed="false">
      <c r="A2758" s="0" t="s">
        <v>406</v>
      </c>
      <c r="B2758" s="0" t="s">
        <v>407</v>
      </c>
      <c r="C2758" s="0" t="s">
        <v>322</v>
      </c>
      <c r="D2758" s="0" t="s">
        <v>189</v>
      </c>
      <c r="E2758" s="0" t="n">
        <v>17</v>
      </c>
      <c r="F2758" s="0" t="s">
        <v>74</v>
      </c>
      <c r="G2758" s="0" t="s">
        <v>75</v>
      </c>
      <c r="H2758" s="0" t="s">
        <v>75</v>
      </c>
      <c r="I2758" s="0" t="s">
        <v>34</v>
      </c>
      <c r="J2758" s="0" t="n">
        <v>2.4</v>
      </c>
      <c r="K2758" s="0" t="s">
        <v>73</v>
      </c>
      <c r="L2758" s="0" t="n">
        <f aca="false">INDEX(Summary!$F$2:$F$201,MATCH($B2758,Summary!$A$2:$A$201,0))</f>
        <v>20</v>
      </c>
      <c r="M2758" s="0" t="n">
        <f aca="false">INDEX(Summary!$I$2:$I$201,MATCH($B2758,Summary!$A$2:$A$201,0))</f>
        <v>3</v>
      </c>
      <c r="N2758" s="0" t="n">
        <f aca="false">INDEX(Summary!$J$2:$J$201,MATCH($B2758,Summary!$A$2:$A$201,0))</f>
        <v>2</v>
      </c>
      <c r="O2758" s="2" t="n">
        <f aca="false">INDEX(Summary!$K$2:$K$201,MATCH($B2758,Summary!$A$2:$A$201,0))</f>
        <v>11.04</v>
      </c>
      <c r="P2758" s="3" t="n">
        <f aca="false">INDEX(Summary!$L$2:$L$201,MATCH($B2758,Summary!$A$2:$A$201,0))</f>
        <v>4</v>
      </c>
      <c r="Q2758" s="3" t="n">
        <f aca="false">INDEX(Summary!$M$2:$M$201,MATCH($B2758,Summary!$A$2:$A$201,0))</f>
        <v>2</v>
      </c>
      <c r="R2758" s="2" t="n">
        <f aca="false">INDEX(Summary!$N$2:$N$201,MATCH($B2758,Summary!$A$2:$A$201,0))</f>
        <v>10.59</v>
      </c>
      <c r="S2758" s="3" t="n">
        <f aca="false">INDEX(Summary!$O$2:$O$201,MATCH($B2758,Summary!$A$2:$A$201,0))</f>
        <v>8</v>
      </c>
      <c r="T2758" s="3" t="n">
        <f aca="false">INDEX(Summary!$P$2:$P$201,MATCH($B2758,Summary!$A$2:$A$201,0))</f>
        <v>1</v>
      </c>
      <c r="U2758" s="2" t="n">
        <f aca="false">INDEX(Summary!$Q$2:$Q$201,MATCH($B2758,Summary!$A$2:$A$201,0))</f>
        <v>12.88</v>
      </c>
      <c r="V2758" s="2" t="n">
        <f aca="false">INDEX(Summary!$R$2:$R$201,MATCH($B2758,Summary!$A$2:$A$201,0))</f>
        <v>27.1</v>
      </c>
      <c r="W2758" s="0" t="str">
        <f aca="false">INDEX(Summary!$S$2:$S$201,MATCH($B2758,Summary!$A$2:$A$201,0))</f>
        <v>Silver</v>
      </c>
      <c r="X2758" s="2" t="n">
        <f aca="false">INDEX(Summary!$T$2:$T$201,MATCH($B2758,Summary!$A$2:$A$201,0))</f>
        <v>66.1</v>
      </c>
      <c r="Y2758" s="0" t="str">
        <f aca="false">INDEX('Reward Model'!$E$18:$E$37,MATCH($E2758,'Reward Model'!$A$18:$A$37,0))</f>
        <v>High</v>
      </c>
      <c r="Z2758" s="4" t="n">
        <f aca="false">ROUND(MIN(1,MAX('Reward Model'!$B$2,INDEX('Reward Model'!$C$12:$C$14,MATCH($K2758,'Reward Model'!$A$12:$A$14,0))/$J2758)),3)</f>
        <v>0.833</v>
      </c>
      <c r="AA2758" s="2" t="n">
        <f aca="false">IF($I2758="Correct",ROUND(INDEX('Reward Model'!$B$12:$B$14,MATCH($K2758,'Reward Model'!$A$12:$A$14,0))*Z2758,2),0)</f>
        <v>2.5</v>
      </c>
      <c r="AB2758" s="2" t="n">
        <f aca="false">IF($I2758="Correct",ROUND(INDEX('Reward Model'!$B$12:$B$14,MATCH($Y2758,'Reward Model'!$A$12:$A$14,0))*Z2758,2),0)</f>
        <v>2.5</v>
      </c>
    </row>
    <row r="2759" customFormat="false" ht="15" hidden="false" customHeight="false" outlineLevel="0" collapsed="false">
      <c r="A2759" s="0" t="s">
        <v>406</v>
      </c>
      <c r="B2759" s="0" t="s">
        <v>407</v>
      </c>
      <c r="C2759" s="0" t="s">
        <v>322</v>
      </c>
      <c r="D2759" s="0" t="s">
        <v>189</v>
      </c>
      <c r="E2759" s="0" t="n">
        <v>18</v>
      </c>
      <c r="F2759" s="0" t="s">
        <v>76</v>
      </c>
      <c r="G2759" s="0" t="s">
        <v>77</v>
      </c>
      <c r="H2759" s="0" t="s">
        <v>77</v>
      </c>
      <c r="I2759" s="0" t="s">
        <v>34</v>
      </c>
      <c r="J2759" s="0" t="n">
        <v>2.41</v>
      </c>
      <c r="K2759" s="0" t="s">
        <v>73</v>
      </c>
      <c r="L2759" s="0" t="n">
        <f aca="false">INDEX(Summary!$F$2:$F$201,MATCH($B2759,Summary!$A$2:$A$201,0))</f>
        <v>20</v>
      </c>
      <c r="M2759" s="0" t="n">
        <f aca="false">INDEX(Summary!$I$2:$I$201,MATCH($B2759,Summary!$A$2:$A$201,0))</f>
        <v>3</v>
      </c>
      <c r="N2759" s="0" t="n">
        <f aca="false">INDEX(Summary!$J$2:$J$201,MATCH($B2759,Summary!$A$2:$A$201,0))</f>
        <v>2</v>
      </c>
      <c r="O2759" s="2" t="n">
        <f aca="false">INDEX(Summary!$K$2:$K$201,MATCH($B2759,Summary!$A$2:$A$201,0))</f>
        <v>11.04</v>
      </c>
      <c r="P2759" s="3" t="n">
        <f aca="false">INDEX(Summary!$L$2:$L$201,MATCH($B2759,Summary!$A$2:$A$201,0))</f>
        <v>4</v>
      </c>
      <c r="Q2759" s="3" t="n">
        <f aca="false">INDEX(Summary!$M$2:$M$201,MATCH($B2759,Summary!$A$2:$A$201,0))</f>
        <v>2</v>
      </c>
      <c r="R2759" s="2" t="n">
        <f aca="false">INDEX(Summary!$N$2:$N$201,MATCH($B2759,Summary!$A$2:$A$201,0))</f>
        <v>10.59</v>
      </c>
      <c r="S2759" s="3" t="n">
        <f aca="false">INDEX(Summary!$O$2:$O$201,MATCH($B2759,Summary!$A$2:$A$201,0))</f>
        <v>8</v>
      </c>
      <c r="T2759" s="3" t="n">
        <f aca="false">INDEX(Summary!$P$2:$P$201,MATCH($B2759,Summary!$A$2:$A$201,0))</f>
        <v>1</v>
      </c>
      <c r="U2759" s="2" t="n">
        <f aca="false">INDEX(Summary!$Q$2:$Q$201,MATCH($B2759,Summary!$A$2:$A$201,0))</f>
        <v>12.88</v>
      </c>
      <c r="V2759" s="2" t="n">
        <f aca="false">INDEX(Summary!$R$2:$R$201,MATCH($B2759,Summary!$A$2:$A$201,0))</f>
        <v>27.1</v>
      </c>
      <c r="W2759" s="0" t="str">
        <f aca="false">INDEX(Summary!$S$2:$S$201,MATCH($B2759,Summary!$A$2:$A$201,0))</f>
        <v>Silver</v>
      </c>
      <c r="X2759" s="2" t="n">
        <f aca="false">INDEX(Summary!$T$2:$T$201,MATCH($B2759,Summary!$A$2:$A$201,0))</f>
        <v>66.1</v>
      </c>
      <c r="Y2759" s="0" t="str">
        <f aca="false">INDEX('Reward Model'!$E$18:$E$37,MATCH($E2759,'Reward Model'!$A$18:$A$37,0))</f>
        <v>High</v>
      </c>
      <c r="Z2759" s="4" t="n">
        <f aca="false">ROUND(MIN(1,MAX('Reward Model'!$B$2,INDEX('Reward Model'!$C$12:$C$14,MATCH($K2759,'Reward Model'!$A$12:$A$14,0))/$J2759)),3)</f>
        <v>0.83</v>
      </c>
      <c r="AA2759" s="2" t="n">
        <f aca="false">IF($I2759="Correct",ROUND(INDEX('Reward Model'!$B$12:$B$14,MATCH($K2759,'Reward Model'!$A$12:$A$14,0))*Z2759,2),0)</f>
        <v>2.49</v>
      </c>
      <c r="AB2759" s="2" t="n">
        <f aca="false">IF($I2759="Correct",ROUND(INDEX('Reward Model'!$B$12:$B$14,MATCH($Y2759,'Reward Model'!$A$12:$A$14,0))*Z2759,2),0)</f>
        <v>2.49</v>
      </c>
    </row>
    <row r="2760" customFormat="false" ht="15" hidden="false" customHeight="false" outlineLevel="0" collapsed="false">
      <c r="A2760" s="0" t="s">
        <v>406</v>
      </c>
      <c r="B2760" s="0" t="s">
        <v>407</v>
      </c>
      <c r="C2760" s="0" t="s">
        <v>322</v>
      </c>
      <c r="D2760" s="0" t="s">
        <v>189</v>
      </c>
      <c r="E2760" s="0" t="n">
        <v>19</v>
      </c>
      <c r="F2760" s="0" t="s">
        <v>78</v>
      </c>
      <c r="G2760" s="0" t="s">
        <v>80</v>
      </c>
      <c r="H2760" s="0" t="s">
        <v>80</v>
      </c>
      <c r="I2760" s="0" t="s">
        <v>34</v>
      </c>
      <c r="J2760" s="0" t="n">
        <v>1.99</v>
      </c>
      <c r="K2760" s="0" t="s">
        <v>73</v>
      </c>
      <c r="L2760" s="0" t="n">
        <f aca="false">INDEX(Summary!$F$2:$F$201,MATCH($B2760,Summary!$A$2:$A$201,0))</f>
        <v>20</v>
      </c>
      <c r="M2760" s="0" t="n">
        <f aca="false">INDEX(Summary!$I$2:$I$201,MATCH($B2760,Summary!$A$2:$A$201,0))</f>
        <v>3</v>
      </c>
      <c r="N2760" s="0" t="n">
        <f aca="false">INDEX(Summary!$J$2:$J$201,MATCH($B2760,Summary!$A$2:$A$201,0))</f>
        <v>2</v>
      </c>
      <c r="O2760" s="2" t="n">
        <f aca="false">INDEX(Summary!$K$2:$K$201,MATCH($B2760,Summary!$A$2:$A$201,0))</f>
        <v>11.04</v>
      </c>
      <c r="P2760" s="3" t="n">
        <f aca="false">INDEX(Summary!$L$2:$L$201,MATCH($B2760,Summary!$A$2:$A$201,0))</f>
        <v>4</v>
      </c>
      <c r="Q2760" s="3" t="n">
        <f aca="false">INDEX(Summary!$M$2:$M$201,MATCH($B2760,Summary!$A$2:$A$201,0))</f>
        <v>2</v>
      </c>
      <c r="R2760" s="2" t="n">
        <f aca="false">INDEX(Summary!$N$2:$N$201,MATCH($B2760,Summary!$A$2:$A$201,0))</f>
        <v>10.59</v>
      </c>
      <c r="S2760" s="3" t="n">
        <f aca="false">INDEX(Summary!$O$2:$O$201,MATCH($B2760,Summary!$A$2:$A$201,0))</f>
        <v>8</v>
      </c>
      <c r="T2760" s="3" t="n">
        <f aca="false">INDEX(Summary!$P$2:$P$201,MATCH($B2760,Summary!$A$2:$A$201,0))</f>
        <v>1</v>
      </c>
      <c r="U2760" s="2" t="n">
        <f aca="false">INDEX(Summary!$Q$2:$Q$201,MATCH($B2760,Summary!$A$2:$A$201,0))</f>
        <v>12.88</v>
      </c>
      <c r="V2760" s="2" t="n">
        <f aca="false">INDEX(Summary!$R$2:$R$201,MATCH($B2760,Summary!$A$2:$A$201,0))</f>
        <v>27.1</v>
      </c>
      <c r="W2760" s="0" t="str">
        <f aca="false">INDEX(Summary!$S$2:$S$201,MATCH($B2760,Summary!$A$2:$A$201,0))</f>
        <v>Silver</v>
      </c>
      <c r="X2760" s="2" t="n">
        <f aca="false">INDEX(Summary!$T$2:$T$201,MATCH($B2760,Summary!$A$2:$A$201,0))</f>
        <v>66.1</v>
      </c>
      <c r="Y2760" s="0" t="str">
        <f aca="false">INDEX('Reward Model'!$E$18:$E$37,MATCH($E2760,'Reward Model'!$A$18:$A$37,0))</f>
        <v>High</v>
      </c>
      <c r="Z2760" s="4" t="n">
        <f aca="false">ROUND(MIN(1,MAX('Reward Model'!$B$2,INDEX('Reward Model'!$C$12:$C$14,MATCH($K2760,'Reward Model'!$A$12:$A$14,0))/$J2760)),3)</f>
        <v>1</v>
      </c>
      <c r="AA2760" s="2" t="n">
        <f aca="false">IF($I2760="Correct",ROUND(INDEX('Reward Model'!$B$12:$B$14,MATCH($K2760,'Reward Model'!$A$12:$A$14,0))*Z2760,2),0)</f>
        <v>3</v>
      </c>
      <c r="AB2760" s="2" t="n">
        <f aca="false">IF($I2760="Correct",ROUND(INDEX('Reward Model'!$B$12:$B$14,MATCH($Y2760,'Reward Model'!$A$12:$A$14,0))*Z2760,2),0)</f>
        <v>3</v>
      </c>
    </row>
    <row r="2761" customFormat="false" ht="15" hidden="false" customHeight="false" outlineLevel="0" collapsed="false">
      <c r="A2761" s="0" t="s">
        <v>406</v>
      </c>
      <c r="B2761" s="0" t="s">
        <v>407</v>
      </c>
      <c r="C2761" s="0" t="s">
        <v>322</v>
      </c>
      <c r="D2761" s="0" t="s">
        <v>189</v>
      </c>
      <c r="E2761" s="0" t="n">
        <v>20</v>
      </c>
      <c r="F2761" s="0" t="s">
        <v>81</v>
      </c>
      <c r="G2761" s="0" t="s">
        <v>119</v>
      </c>
      <c r="H2761" s="0" t="s">
        <v>83</v>
      </c>
      <c r="I2761" s="0" t="s">
        <v>39</v>
      </c>
      <c r="J2761" s="0" t="n">
        <v>2.22</v>
      </c>
      <c r="K2761" s="0" t="s">
        <v>73</v>
      </c>
      <c r="L2761" s="0" t="n">
        <f aca="false">INDEX(Summary!$F$2:$F$201,MATCH($B2761,Summary!$A$2:$A$201,0))</f>
        <v>20</v>
      </c>
      <c r="M2761" s="0" t="n">
        <f aca="false">INDEX(Summary!$I$2:$I$201,MATCH($B2761,Summary!$A$2:$A$201,0))</f>
        <v>3</v>
      </c>
      <c r="N2761" s="0" t="n">
        <f aca="false">INDEX(Summary!$J$2:$J$201,MATCH($B2761,Summary!$A$2:$A$201,0))</f>
        <v>2</v>
      </c>
      <c r="O2761" s="2" t="n">
        <f aca="false">INDEX(Summary!$K$2:$K$201,MATCH($B2761,Summary!$A$2:$A$201,0))</f>
        <v>11.04</v>
      </c>
      <c r="P2761" s="3" t="n">
        <f aca="false">INDEX(Summary!$L$2:$L$201,MATCH($B2761,Summary!$A$2:$A$201,0))</f>
        <v>4</v>
      </c>
      <c r="Q2761" s="3" t="n">
        <f aca="false">INDEX(Summary!$M$2:$M$201,MATCH($B2761,Summary!$A$2:$A$201,0))</f>
        <v>2</v>
      </c>
      <c r="R2761" s="2" t="n">
        <f aca="false">INDEX(Summary!$N$2:$N$201,MATCH($B2761,Summary!$A$2:$A$201,0))</f>
        <v>10.59</v>
      </c>
      <c r="S2761" s="3" t="n">
        <f aca="false">INDEX(Summary!$O$2:$O$201,MATCH($B2761,Summary!$A$2:$A$201,0))</f>
        <v>8</v>
      </c>
      <c r="T2761" s="3" t="n">
        <f aca="false">INDEX(Summary!$P$2:$P$201,MATCH($B2761,Summary!$A$2:$A$201,0))</f>
        <v>1</v>
      </c>
      <c r="U2761" s="2" t="n">
        <f aca="false">INDEX(Summary!$Q$2:$Q$201,MATCH($B2761,Summary!$A$2:$A$201,0))</f>
        <v>12.88</v>
      </c>
      <c r="V2761" s="2" t="n">
        <f aca="false">INDEX(Summary!$R$2:$R$201,MATCH($B2761,Summary!$A$2:$A$201,0))</f>
        <v>27.1</v>
      </c>
      <c r="W2761" s="0" t="str">
        <f aca="false">INDEX(Summary!$S$2:$S$201,MATCH($B2761,Summary!$A$2:$A$201,0))</f>
        <v>Silver</v>
      </c>
      <c r="X2761" s="2" t="n">
        <f aca="false">INDEX(Summary!$T$2:$T$201,MATCH($B2761,Summary!$A$2:$A$201,0))</f>
        <v>66.1</v>
      </c>
      <c r="Y2761" s="0" t="str">
        <f aca="false">INDEX('Reward Model'!$E$18:$E$37,MATCH($E2761,'Reward Model'!$A$18:$A$37,0))</f>
        <v>High</v>
      </c>
      <c r="Z2761" s="4" t="n">
        <f aca="false">ROUND(MIN(1,MAX('Reward Model'!$B$2,INDEX('Reward Model'!$C$12:$C$14,MATCH($K2761,'Reward Model'!$A$12:$A$14,0))/$J2761)),3)</f>
        <v>0.901</v>
      </c>
      <c r="AA2761" s="2" t="n">
        <f aca="false">IF($I2761="Correct",ROUND(INDEX('Reward Model'!$B$12:$B$14,MATCH($K2761,'Reward Model'!$A$12:$A$14,0))*Z2761,2),0)</f>
        <v>0</v>
      </c>
      <c r="AB2761" s="2" t="n">
        <f aca="false">IF($I2761="Correct",ROUND(INDEX('Reward Model'!$B$12:$B$14,MATCH($Y2761,'Reward Model'!$A$12:$A$14,0))*Z2761,2),0)</f>
        <v>0</v>
      </c>
    </row>
    <row r="2762" customFormat="false" ht="15" hidden="false" customHeight="false" outlineLevel="0" collapsed="false">
      <c r="A2762" s="0" t="s">
        <v>408</v>
      </c>
      <c r="B2762" s="0" t="s">
        <v>409</v>
      </c>
      <c r="C2762" s="0" t="s">
        <v>322</v>
      </c>
      <c r="D2762" s="0" t="s">
        <v>189</v>
      </c>
      <c r="E2762" s="0" t="n">
        <v>1</v>
      </c>
      <c r="F2762" s="0" t="s">
        <v>32</v>
      </c>
      <c r="G2762" s="0" t="s">
        <v>33</v>
      </c>
      <c r="H2762" s="0" t="s">
        <v>33</v>
      </c>
      <c r="I2762" s="0" t="s">
        <v>34</v>
      </c>
      <c r="J2762" s="0" t="n">
        <v>1</v>
      </c>
      <c r="K2762" s="0" t="s">
        <v>35</v>
      </c>
      <c r="L2762" s="0" t="n">
        <f aca="false">INDEX(Summary!$F$2:$F$201,MATCH($B2762,Summary!$A$2:$A$201,0))</f>
        <v>20</v>
      </c>
      <c r="M2762" s="0" t="n">
        <f aca="false">INDEX(Summary!$I$2:$I$201,MATCH($B2762,Summary!$A$2:$A$201,0))</f>
        <v>2</v>
      </c>
      <c r="N2762" s="0" t="n">
        <f aca="false">INDEX(Summary!$J$2:$J$201,MATCH($B2762,Summary!$A$2:$A$201,0))</f>
        <v>3</v>
      </c>
      <c r="O2762" s="2" t="n">
        <f aca="false">INDEX(Summary!$K$2:$K$201,MATCH($B2762,Summary!$A$2:$A$201,0))</f>
        <v>10.69</v>
      </c>
      <c r="P2762" s="3" t="n">
        <f aca="false">INDEX(Summary!$L$2:$L$201,MATCH($B2762,Summary!$A$2:$A$201,0))</f>
        <v>5</v>
      </c>
      <c r="Q2762" s="3" t="n">
        <f aca="false">INDEX(Summary!$M$2:$M$201,MATCH($B2762,Summary!$A$2:$A$201,0))</f>
        <v>1</v>
      </c>
      <c r="R2762" s="2" t="n">
        <f aca="false">INDEX(Summary!$N$2:$N$201,MATCH($B2762,Summary!$A$2:$A$201,0))</f>
        <v>11.69</v>
      </c>
      <c r="S2762" s="3" t="n">
        <f aca="false">INDEX(Summary!$O$2:$O$201,MATCH($B2762,Summary!$A$2:$A$201,0))</f>
        <v>8</v>
      </c>
      <c r="T2762" s="3" t="n">
        <f aca="false">INDEX(Summary!$P$2:$P$201,MATCH($B2762,Summary!$A$2:$A$201,0))</f>
        <v>1</v>
      </c>
      <c r="U2762" s="2" t="n">
        <f aca="false">INDEX(Summary!$Q$2:$Q$201,MATCH($B2762,Summary!$A$2:$A$201,0))</f>
        <v>12.42</v>
      </c>
      <c r="V2762" s="2" t="n">
        <f aca="false">INDEX(Summary!$R$2:$R$201,MATCH($B2762,Summary!$A$2:$A$201,0))</f>
        <v>26.48</v>
      </c>
      <c r="W2762" s="0" t="str">
        <f aca="false">INDEX(Summary!$S$2:$S$201,MATCH($B2762,Summary!$A$2:$A$201,0))</f>
        <v>Silver</v>
      </c>
      <c r="X2762" s="2" t="n">
        <f aca="false">INDEX(Summary!$T$2:$T$201,MATCH($B2762,Summary!$A$2:$A$201,0))</f>
        <v>64.59</v>
      </c>
      <c r="Y2762" s="0" t="str">
        <f aca="false">INDEX('Reward Model'!$E$18:$E$37,MATCH($E2762,'Reward Model'!$A$18:$A$37,0))</f>
        <v>Medium</v>
      </c>
      <c r="Z2762" s="4" t="n">
        <f aca="false">ROUND(MIN(1,MAX('Reward Model'!$B$2,INDEX('Reward Model'!$C$12:$C$14,MATCH($K2762,'Reward Model'!$A$12:$A$14,0))/$J2762)),3)</f>
        <v>1</v>
      </c>
      <c r="AA2762" s="2" t="n">
        <f aca="false">IF($I2762="Correct",ROUND(INDEX('Reward Model'!$B$12:$B$14,MATCH($K2762,'Reward Model'!$A$12:$A$14,0))*Z2762,2),0)</f>
        <v>1</v>
      </c>
      <c r="AB2762" s="2" t="n">
        <f aca="false">IF($I2762="Correct",ROUND(INDEX('Reward Model'!$B$12:$B$14,MATCH($Y2762,'Reward Model'!$A$12:$A$14,0))*Z2762,2),0)</f>
        <v>2</v>
      </c>
    </row>
    <row r="2763" customFormat="false" ht="15" hidden="false" customHeight="false" outlineLevel="0" collapsed="false">
      <c r="A2763" s="0" t="s">
        <v>408</v>
      </c>
      <c r="B2763" s="0" t="s">
        <v>409</v>
      </c>
      <c r="C2763" s="0" t="s">
        <v>322</v>
      </c>
      <c r="D2763" s="0" t="s">
        <v>189</v>
      </c>
      <c r="E2763" s="0" t="n">
        <v>2</v>
      </c>
      <c r="F2763" s="0" t="s">
        <v>36</v>
      </c>
      <c r="G2763" s="0" t="s">
        <v>38</v>
      </c>
      <c r="H2763" s="0" t="s">
        <v>38</v>
      </c>
      <c r="I2763" s="0" t="s">
        <v>34</v>
      </c>
      <c r="J2763" s="0" t="n">
        <v>1.5</v>
      </c>
      <c r="K2763" s="0" t="s">
        <v>35</v>
      </c>
      <c r="L2763" s="0" t="n">
        <f aca="false">INDEX(Summary!$F$2:$F$201,MATCH($B2763,Summary!$A$2:$A$201,0))</f>
        <v>20</v>
      </c>
      <c r="M2763" s="0" t="n">
        <f aca="false">INDEX(Summary!$I$2:$I$201,MATCH($B2763,Summary!$A$2:$A$201,0))</f>
        <v>2</v>
      </c>
      <c r="N2763" s="0" t="n">
        <f aca="false">INDEX(Summary!$J$2:$J$201,MATCH($B2763,Summary!$A$2:$A$201,0))</f>
        <v>3</v>
      </c>
      <c r="O2763" s="2" t="n">
        <f aca="false">INDEX(Summary!$K$2:$K$201,MATCH($B2763,Summary!$A$2:$A$201,0))</f>
        <v>10.69</v>
      </c>
      <c r="P2763" s="3" t="n">
        <f aca="false">INDEX(Summary!$L$2:$L$201,MATCH($B2763,Summary!$A$2:$A$201,0))</f>
        <v>5</v>
      </c>
      <c r="Q2763" s="3" t="n">
        <f aca="false">INDEX(Summary!$M$2:$M$201,MATCH($B2763,Summary!$A$2:$A$201,0))</f>
        <v>1</v>
      </c>
      <c r="R2763" s="2" t="n">
        <f aca="false">INDEX(Summary!$N$2:$N$201,MATCH($B2763,Summary!$A$2:$A$201,0))</f>
        <v>11.69</v>
      </c>
      <c r="S2763" s="3" t="n">
        <f aca="false">INDEX(Summary!$O$2:$O$201,MATCH($B2763,Summary!$A$2:$A$201,0))</f>
        <v>8</v>
      </c>
      <c r="T2763" s="3" t="n">
        <f aca="false">INDEX(Summary!$P$2:$P$201,MATCH($B2763,Summary!$A$2:$A$201,0))</f>
        <v>1</v>
      </c>
      <c r="U2763" s="2" t="n">
        <f aca="false">INDEX(Summary!$Q$2:$Q$201,MATCH($B2763,Summary!$A$2:$A$201,0))</f>
        <v>12.42</v>
      </c>
      <c r="V2763" s="2" t="n">
        <f aca="false">INDEX(Summary!$R$2:$R$201,MATCH($B2763,Summary!$A$2:$A$201,0))</f>
        <v>26.48</v>
      </c>
      <c r="W2763" s="0" t="str">
        <f aca="false">INDEX(Summary!$S$2:$S$201,MATCH($B2763,Summary!$A$2:$A$201,0))</f>
        <v>Silver</v>
      </c>
      <c r="X2763" s="2" t="n">
        <f aca="false">INDEX(Summary!$T$2:$T$201,MATCH($B2763,Summary!$A$2:$A$201,0))</f>
        <v>64.59</v>
      </c>
      <c r="Y2763" s="0" t="str">
        <f aca="false">INDEX('Reward Model'!$E$18:$E$37,MATCH($E2763,'Reward Model'!$A$18:$A$37,0))</f>
        <v>Low</v>
      </c>
      <c r="Z2763" s="4" t="n">
        <f aca="false">ROUND(MIN(1,MAX('Reward Model'!$B$2,INDEX('Reward Model'!$C$12:$C$14,MATCH($K2763,'Reward Model'!$A$12:$A$14,0))/$J2763)),3)</f>
        <v>1</v>
      </c>
      <c r="AA2763" s="2" t="n">
        <f aca="false">IF($I2763="Correct",ROUND(INDEX('Reward Model'!$B$12:$B$14,MATCH($K2763,'Reward Model'!$A$12:$A$14,0))*Z2763,2),0)</f>
        <v>1</v>
      </c>
      <c r="AB2763" s="2" t="n">
        <f aca="false">IF($I2763="Correct",ROUND(INDEX('Reward Model'!$B$12:$B$14,MATCH($Y2763,'Reward Model'!$A$12:$A$14,0))*Z2763,2),0)</f>
        <v>1</v>
      </c>
    </row>
    <row r="2764" customFormat="false" ht="15" hidden="false" customHeight="false" outlineLevel="0" collapsed="false">
      <c r="A2764" s="0" t="s">
        <v>408</v>
      </c>
      <c r="B2764" s="0" t="s">
        <v>409</v>
      </c>
      <c r="C2764" s="0" t="s">
        <v>322</v>
      </c>
      <c r="D2764" s="0" t="s">
        <v>189</v>
      </c>
      <c r="E2764" s="0" t="n">
        <v>3</v>
      </c>
      <c r="F2764" s="0" t="s">
        <v>40</v>
      </c>
      <c r="G2764" s="0" t="s">
        <v>42</v>
      </c>
      <c r="H2764" s="0" t="s">
        <v>42</v>
      </c>
      <c r="I2764" s="0" t="s">
        <v>34</v>
      </c>
      <c r="J2764" s="0" t="n">
        <v>1.2</v>
      </c>
      <c r="K2764" s="0" t="s">
        <v>35</v>
      </c>
      <c r="L2764" s="0" t="n">
        <f aca="false">INDEX(Summary!$F$2:$F$201,MATCH($B2764,Summary!$A$2:$A$201,0))</f>
        <v>20</v>
      </c>
      <c r="M2764" s="0" t="n">
        <f aca="false">INDEX(Summary!$I$2:$I$201,MATCH($B2764,Summary!$A$2:$A$201,0))</f>
        <v>2</v>
      </c>
      <c r="N2764" s="0" t="n">
        <f aca="false">INDEX(Summary!$J$2:$J$201,MATCH($B2764,Summary!$A$2:$A$201,0))</f>
        <v>3</v>
      </c>
      <c r="O2764" s="2" t="n">
        <f aca="false">INDEX(Summary!$K$2:$K$201,MATCH($B2764,Summary!$A$2:$A$201,0))</f>
        <v>10.69</v>
      </c>
      <c r="P2764" s="3" t="n">
        <f aca="false">INDEX(Summary!$L$2:$L$201,MATCH($B2764,Summary!$A$2:$A$201,0))</f>
        <v>5</v>
      </c>
      <c r="Q2764" s="3" t="n">
        <f aca="false">INDEX(Summary!$M$2:$M$201,MATCH($B2764,Summary!$A$2:$A$201,0))</f>
        <v>1</v>
      </c>
      <c r="R2764" s="2" t="n">
        <f aca="false">INDEX(Summary!$N$2:$N$201,MATCH($B2764,Summary!$A$2:$A$201,0))</f>
        <v>11.69</v>
      </c>
      <c r="S2764" s="3" t="n">
        <f aca="false">INDEX(Summary!$O$2:$O$201,MATCH($B2764,Summary!$A$2:$A$201,0))</f>
        <v>8</v>
      </c>
      <c r="T2764" s="3" t="n">
        <f aca="false">INDEX(Summary!$P$2:$P$201,MATCH($B2764,Summary!$A$2:$A$201,0))</f>
        <v>1</v>
      </c>
      <c r="U2764" s="2" t="n">
        <f aca="false">INDEX(Summary!$Q$2:$Q$201,MATCH($B2764,Summary!$A$2:$A$201,0))</f>
        <v>12.42</v>
      </c>
      <c r="V2764" s="2" t="n">
        <f aca="false">INDEX(Summary!$R$2:$R$201,MATCH($B2764,Summary!$A$2:$A$201,0))</f>
        <v>26.48</v>
      </c>
      <c r="W2764" s="0" t="str">
        <f aca="false">INDEX(Summary!$S$2:$S$201,MATCH($B2764,Summary!$A$2:$A$201,0))</f>
        <v>Silver</v>
      </c>
      <c r="X2764" s="2" t="n">
        <f aca="false">INDEX(Summary!$T$2:$T$201,MATCH($B2764,Summary!$A$2:$A$201,0))</f>
        <v>64.59</v>
      </c>
      <c r="Y2764" s="0" t="str">
        <f aca="false">INDEX('Reward Model'!$E$18:$E$37,MATCH($E2764,'Reward Model'!$A$18:$A$37,0))</f>
        <v>Medium</v>
      </c>
      <c r="Z2764" s="4" t="n">
        <f aca="false">ROUND(MIN(1,MAX('Reward Model'!$B$2,INDEX('Reward Model'!$C$12:$C$14,MATCH($K2764,'Reward Model'!$A$12:$A$14,0))/$J2764)),3)</f>
        <v>1</v>
      </c>
      <c r="AA2764" s="2" t="n">
        <f aca="false">IF($I2764="Correct",ROUND(INDEX('Reward Model'!$B$12:$B$14,MATCH($K2764,'Reward Model'!$A$12:$A$14,0))*Z2764,2),0)</f>
        <v>1</v>
      </c>
      <c r="AB2764" s="2" t="n">
        <f aca="false">IF($I2764="Correct",ROUND(INDEX('Reward Model'!$B$12:$B$14,MATCH($Y2764,'Reward Model'!$A$12:$A$14,0))*Z2764,2),0)</f>
        <v>2</v>
      </c>
    </row>
    <row r="2765" customFormat="false" ht="15" hidden="false" customHeight="false" outlineLevel="0" collapsed="false">
      <c r="A2765" s="0" t="s">
        <v>408</v>
      </c>
      <c r="B2765" s="0" t="s">
        <v>409</v>
      </c>
      <c r="C2765" s="0" t="s">
        <v>322</v>
      </c>
      <c r="D2765" s="0" t="s">
        <v>189</v>
      </c>
      <c r="E2765" s="0" t="n">
        <v>4</v>
      </c>
      <c r="F2765" s="0" t="s">
        <v>43</v>
      </c>
      <c r="G2765" s="0" t="s">
        <v>45</v>
      </c>
      <c r="H2765" s="0" t="s">
        <v>45</v>
      </c>
      <c r="I2765" s="0" t="s">
        <v>34</v>
      </c>
      <c r="J2765" s="0" t="n">
        <v>1.68</v>
      </c>
      <c r="K2765" s="0" t="s">
        <v>35</v>
      </c>
      <c r="L2765" s="0" t="n">
        <f aca="false">INDEX(Summary!$F$2:$F$201,MATCH($B2765,Summary!$A$2:$A$201,0))</f>
        <v>20</v>
      </c>
      <c r="M2765" s="0" t="n">
        <f aca="false">INDEX(Summary!$I$2:$I$201,MATCH($B2765,Summary!$A$2:$A$201,0))</f>
        <v>2</v>
      </c>
      <c r="N2765" s="0" t="n">
        <f aca="false">INDEX(Summary!$J$2:$J$201,MATCH($B2765,Summary!$A$2:$A$201,0))</f>
        <v>3</v>
      </c>
      <c r="O2765" s="2" t="n">
        <f aca="false">INDEX(Summary!$K$2:$K$201,MATCH($B2765,Summary!$A$2:$A$201,0))</f>
        <v>10.69</v>
      </c>
      <c r="P2765" s="3" t="n">
        <f aca="false">INDEX(Summary!$L$2:$L$201,MATCH($B2765,Summary!$A$2:$A$201,0))</f>
        <v>5</v>
      </c>
      <c r="Q2765" s="3" t="n">
        <f aca="false">INDEX(Summary!$M$2:$M$201,MATCH($B2765,Summary!$A$2:$A$201,0))</f>
        <v>1</v>
      </c>
      <c r="R2765" s="2" t="n">
        <f aca="false">INDEX(Summary!$N$2:$N$201,MATCH($B2765,Summary!$A$2:$A$201,0))</f>
        <v>11.69</v>
      </c>
      <c r="S2765" s="3" t="n">
        <f aca="false">INDEX(Summary!$O$2:$O$201,MATCH($B2765,Summary!$A$2:$A$201,0))</f>
        <v>8</v>
      </c>
      <c r="T2765" s="3" t="n">
        <f aca="false">INDEX(Summary!$P$2:$P$201,MATCH($B2765,Summary!$A$2:$A$201,0))</f>
        <v>1</v>
      </c>
      <c r="U2765" s="2" t="n">
        <f aca="false">INDEX(Summary!$Q$2:$Q$201,MATCH($B2765,Summary!$A$2:$A$201,0))</f>
        <v>12.42</v>
      </c>
      <c r="V2765" s="2" t="n">
        <f aca="false">INDEX(Summary!$R$2:$R$201,MATCH($B2765,Summary!$A$2:$A$201,0))</f>
        <v>26.48</v>
      </c>
      <c r="W2765" s="0" t="str">
        <f aca="false">INDEX(Summary!$S$2:$S$201,MATCH($B2765,Summary!$A$2:$A$201,0))</f>
        <v>Silver</v>
      </c>
      <c r="X2765" s="2" t="n">
        <f aca="false">INDEX(Summary!$T$2:$T$201,MATCH($B2765,Summary!$A$2:$A$201,0))</f>
        <v>64.59</v>
      </c>
      <c r="Y2765" s="0" t="str">
        <f aca="false">INDEX('Reward Model'!$E$18:$E$37,MATCH($E2765,'Reward Model'!$A$18:$A$37,0))</f>
        <v>Low</v>
      </c>
      <c r="Z2765" s="4" t="n">
        <f aca="false">ROUND(MIN(1,MAX('Reward Model'!$B$2,INDEX('Reward Model'!$C$12:$C$14,MATCH($K2765,'Reward Model'!$A$12:$A$14,0))/$J2765)),3)</f>
        <v>0.893</v>
      </c>
      <c r="AA2765" s="2" t="n">
        <f aca="false">IF($I2765="Correct",ROUND(INDEX('Reward Model'!$B$12:$B$14,MATCH($K2765,'Reward Model'!$A$12:$A$14,0))*Z2765,2),0)</f>
        <v>0.89</v>
      </c>
      <c r="AB2765" s="2" t="n">
        <f aca="false">IF($I2765="Correct",ROUND(INDEX('Reward Model'!$B$12:$B$14,MATCH($Y2765,'Reward Model'!$A$12:$A$14,0))*Z2765,2),0)</f>
        <v>0.89</v>
      </c>
    </row>
    <row r="2766" customFormat="false" ht="15" hidden="false" customHeight="false" outlineLevel="0" collapsed="false">
      <c r="A2766" s="0" t="s">
        <v>408</v>
      </c>
      <c r="B2766" s="0" t="s">
        <v>409</v>
      </c>
      <c r="C2766" s="0" t="s">
        <v>322</v>
      </c>
      <c r="D2766" s="0" t="s">
        <v>189</v>
      </c>
      <c r="E2766" s="0" t="n">
        <v>5</v>
      </c>
      <c r="F2766" s="0" t="s">
        <v>46</v>
      </c>
      <c r="G2766" s="0" t="s">
        <v>47</v>
      </c>
      <c r="H2766" s="0" t="s">
        <v>47</v>
      </c>
      <c r="I2766" s="0" t="s">
        <v>34</v>
      </c>
      <c r="J2766" s="0" t="n">
        <v>0.97</v>
      </c>
      <c r="K2766" s="0" t="s">
        <v>35</v>
      </c>
      <c r="L2766" s="0" t="n">
        <f aca="false">INDEX(Summary!$F$2:$F$201,MATCH($B2766,Summary!$A$2:$A$201,0))</f>
        <v>20</v>
      </c>
      <c r="M2766" s="0" t="n">
        <f aca="false">INDEX(Summary!$I$2:$I$201,MATCH($B2766,Summary!$A$2:$A$201,0))</f>
        <v>2</v>
      </c>
      <c r="N2766" s="0" t="n">
        <f aca="false">INDEX(Summary!$J$2:$J$201,MATCH($B2766,Summary!$A$2:$A$201,0))</f>
        <v>3</v>
      </c>
      <c r="O2766" s="2" t="n">
        <f aca="false">INDEX(Summary!$K$2:$K$201,MATCH($B2766,Summary!$A$2:$A$201,0))</f>
        <v>10.69</v>
      </c>
      <c r="P2766" s="3" t="n">
        <f aca="false">INDEX(Summary!$L$2:$L$201,MATCH($B2766,Summary!$A$2:$A$201,0))</f>
        <v>5</v>
      </c>
      <c r="Q2766" s="3" t="n">
        <f aca="false">INDEX(Summary!$M$2:$M$201,MATCH($B2766,Summary!$A$2:$A$201,0))</f>
        <v>1</v>
      </c>
      <c r="R2766" s="2" t="n">
        <f aca="false">INDEX(Summary!$N$2:$N$201,MATCH($B2766,Summary!$A$2:$A$201,0))</f>
        <v>11.69</v>
      </c>
      <c r="S2766" s="3" t="n">
        <f aca="false">INDEX(Summary!$O$2:$O$201,MATCH($B2766,Summary!$A$2:$A$201,0))</f>
        <v>8</v>
      </c>
      <c r="T2766" s="3" t="n">
        <f aca="false">INDEX(Summary!$P$2:$P$201,MATCH($B2766,Summary!$A$2:$A$201,0))</f>
        <v>1</v>
      </c>
      <c r="U2766" s="2" t="n">
        <f aca="false">INDEX(Summary!$Q$2:$Q$201,MATCH($B2766,Summary!$A$2:$A$201,0))</f>
        <v>12.42</v>
      </c>
      <c r="V2766" s="2" t="n">
        <f aca="false">INDEX(Summary!$R$2:$R$201,MATCH($B2766,Summary!$A$2:$A$201,0))</f>
        <v>26.48</v>
      </c>
      <c r="W2766" s="0" t="str">
        <f aca="false">INDEX(Summary!$S$2:$S$201,MATCH($B2766,Summary!$A$2:$A$201,0))</f>
        <v>Silver</v>
      </c>
      <c r="X2766" s="2" t="n">
        <f aca="false">INDEX(Summary!$T$2:$T$201,MATCH($B2766,Summary!$A$2:$A$201,0))</f>
        <v>64.59</v>
      </c>
      <c r="Y2766" s="0" t="str">
        <f aca="false">INDEX('Reward Model'!$E$18:$E$37,MATCH($E2766,'Reward Model'!$A$18:$A$37,0))</f>
        <v>Low</v>
      </c>
      <c r="Z2766" s="4" t="n">
        <f aca="false">ROUND(MIN(1,MAX('Reward Model'!$B$2,INDEX('Reward Model'!$C$12:$C$14,MATCH($K2766,'Reward Model'!$A$12:$A$14,0))/$J2766)),3)</f>
        <v>1</v>
      </c>
      <c r="AA2766" s="2" t="n">
        <f aca="false">IF($I2766="Correct",ROUND(INDEX('Reward Model'!$B$12:$B$14,MATCH($K2766,'Reward Model'!$A$12:$A$14,0))*Z2766,2),0)</f>
        <v>1</v>
      </c>
      <c r="AB2766" s="2" t="n">
        <f aca="false">IF($I2766="Correct",ROUND(INDEX('Reward Model'!$B$12:$B$14,MATCH($Y2766,'Reward Model'!$A$12:$A$14,0))*Z2766,2),0)</f>
        <v>1</v>
      </c>
    </row>
    <row r="2767" customFormat="false" ht="15" hidden="false" customHeight="false" outlineLevel="0" collapsed="false">
      <c r="A2767" s="0" t="s">
        <v>408</v>
      </c>
      <c r="B2767" s="0" t="s">
        <v>409</v>
      </c>
      <c r="C2767" s="0" t="s">
        <v>322</v>
      </c>
      <c r="D2767" s="0" t="s">
        <v>189</v>
      </c>
      <c r="E2767" s="0" t="n">
        <v>6</v>
      </c>
      <c r="F2767" s="0" t="s">
        <v>48</v>
      </c>
      <c r="G2767" s="0" t="s">
        <v>49</v>
      </c>
      <c r="H2767" s="0" t="s">
        <v>49</v>
      </c>
      <c r="I2767" s="0" t="s">
        <v>34</v>
      </c>
      <c r="J2767" s="0" t="n">
        <v>1.28</v>
      </c>
      <c r="K2767" s="0" t="s">
        <v>35</v>
      </c>
      <c r="L2767" s="0" t="n">
        <f aca="false">INDEX(Summary!$F$2:$F$201,MATCH($B2767,Summary!$A$2:$A$201,0))</f>
        <v>20</v>
      </c>
      <c r="M2767" s="0" t="n">
        <f aca="false">INDEX(Summary!$I$2:$I$201,MATCH($B2767,Summary!$A$2:$A$201,0))</f>
        <v>2</v>
      </c>
      <c r="N2767" s="0" t="n">
        <f aca="false">INDEX(Summary!$J$2:$J$201,MATCH($B2767,Summary!$A$2:$A$201,0))</f>
        <v>3</v>
      </c>
      <c r="O2767" s="2" t="n">
        <f aca="false">INDEX(Summary!$K$2:$K$201,MATCH($B2767,Summary!$A$2:$A$201,0))</f>
        <v>10.69</v>
      </c>
      <c r="P2767" s="3" t="n">
        <f aca="false">INDEX(Summary!$L$2:$L$201,MATCH($B2767,Summary!$A$2:$A$201,0))</f>
        <v>5</v>
      </c>
      <c r="Q2767" s="3" t="n">
        <f aca="false">INDEX(Summary!$M$2:$M$201,MATCH($B2767,Summary!$A$2:$A$201,0))</f>
        <v>1</v>
      </c>
      <c r="R2767" s="2" t="n">
        <f aca="false">INDEX(Summary!$N$2:$N$201,MATCH($B2767,Summary!$A$2:$A$201,0))</f>
        <v>11.69</v>
      </c>
      <c r="S2767" s="3" t="n">
        <f aca="false">INDEX(Summary!$O$2:$O$201,MATCH($B2767,Summary!$A$2:$A$201,0))</f>
        <v>8</v>
      </c>
      <c r="T2767" s="3" t="n">
        <f aca="false">INDEX(Summary!$P$2:$P$201,MATCH($B2767,Summary!$A$2:$A$201,0))</f>
        <v>1</v>
      </c>
      <c r="U2767" s="2" t="n">
        <f aca="false">INDEX(Summary!$Q$2:$Q$201,MATCH($B2767,Summary!$A$2:$A$201,0))</f>
        <v>12.42</v>
      </c>
      <c r="V2767" s="2" t="n">
        <f aca="false">INDEX(Summary!$R$2:$R$201,MATCH($B2767,Summary!$A$2:$A$201,0))</f>
        <v>26.48</v>
      </c>
      <c r="W2767" s="0" t="str">
        <f aca="false">INDEX(Summary!$S$2:$S$201,MATCH($B2767,Summary!$A$2:$A$201,0))</f>
        <v>Silver</v>
      </c>
      <c r="X2767" s="2" t="n">
        <f aca="false">INDEX(Summary!$T$2:$T$201,MATCH($B2767,Summary!$A$2:$A$201,0))</f>
        <v>64.59</v>
      </c>
      <c r="Y2767" s="0" t="str">
        <f aca="false">INDEX('Reward Model'!$E$18:$E$37,MATCH($E2767,'Reward Model'!$A$18:$A$37,0))</f>
        <v>Medium</v>
      </c>
      <c r="Z2767" s="4" t="n">
        <f aca="false">ROUND(MIN(1,MAX('Reward Model'!$B$2,INDEX('Reward Model'!$C$12:$C$14,MATCH($K2767,'Reward Model'!$A$12:$A$14,0))/$J2767)),3)</f>
        <v>1</v>
      </c>
      <c r="AA2767" s="2" t="n">
        <f aca="false">IF($I2767="Correct",ROUND(INDEX('Reward Model'!$B$12:$B$14,MATCH($K2767,'Reward Model'!$A$12:$A$14,0))*Z2767,2),0)</f>
        <v>1</v>
      </c>
      <c r="AB2767" s="2" t="n">
        <f aca="false">IF($I2767="Correct",ROUND(INDEX('Reward Model'!$B$12:$B$14,MATCH($Y2767,'Reward Model'!$A$12:$A$14,0))*Z2767,2),0)</f>
        <v>2</v>
      </c>
    </row>
    <row r="2768" customFormat="false" ht="15" hidden="false" customHeight="false" outlineLevel="0" collapsed="false">
      <c r="A2768" s="0" t="s">
        <v>408</v>
      </c>
      <c r="B2768" s="0" t="s">
        <v>409</v>
      </c>
      <c r="C2768" s="0" t="s">
        <v>322</v>
      </c>
      <c r="D2768" s="0" t="s">
        <v>189</v>
      </c>
      <c r="E2768" s="0" t="n">
        <v>7</v>
      </c>
      <c r="F2768" s="0" t="s">
        <v>50</v>
      </c>
      <c r="G2768" s="0" t="s">
        <v>51</v>
      </c>
      <c r="H2768" s="0" t="s">
        <v>51</v>
      </c>
      <c r="I2768" s="0" t="s">
        <v>34</v>
      </c>
      <c r="J2768" s="0" t="n">
        <v>1.52</v>
      </c>
      <c r="K2768" s="0" t="s">
        <v>35</v>
      </c>
      <c r="L2768" s="0" t="n">
        <f aca="false">INDEX(Summary!$F$2:$F$201,MATCH($B2768,Summary!$A$2:$A$201,0))</f>
        <v>20</v>
      </c>
      <c r="M2768" s="0" t="n">
        <f aca="false">INDEX(Summary!$I$2:$I$201,MATCH($B2768,Summary!$A$2:$A$201,0))</f>
        <v>2</v>
      </c>
      <c r="N2768" s="0" t="n">
        <f aca="false">INDEX(Summary!$J$2:$J$201,MATCH($B2768,Summary!$A$2:$A$201,0))</f>
        <v>3</v>
      </c>
      <c r="O2768" s="2" t="n">
        <f aca="false">INDEX(Summary!$K$2:$K$201,MATCH($B2768,Summary!$A$2:$A$201,0))</f>
        <v>10.69</v>
      </c>
      <c r="P2768" s="3" t="n">
        <f aca="false">INDEX(Summary!$L$2:$L$201,MATCH($B2768,Summary!$A$2:$A$201,0))</f>
        <v>5</v>
      </c>
      <c r="Q2768" s="3" t="n">
        <f aca="false">INDEX(Summary!$M$2:$M$201,MATCH($B2768,Summary!$A$2:$A$201,0))</f>
        <v>1</v>
      </c>
      <c r="R2768" s="2" t="n">
        <f aca="false">INDEX(Summary!$N$2:$N$201,MATCH($B2768,Summary!$A$2:$A$201,0))</f>
        <v>11.69</v>
      </c>
      <c r="S2768" s="3" t="n">
        <f aca="false">INDEX(Summary!$O$2:$O$201,MATCH($B2768,Summary!$A$2:$A$201,0))</f>
        <v>8</v>
      </c>
      <c r="T2768" s="3" t="n">
        <f aca="false">INDEX(Summary!$P$2:$P$201,MATCH($B2768,Summary!$A$2:$A$201,0))</f>
        <v>1</v>
      </c>
      <c r="U2768" s="2" t="n">
        <f aca="false">INDEX(Summary!$Q$2:$Q$201,MATCH($B2768,Summary!$A$2:$A$201,0))</f>
        <v>12.42</v>
      </c>
      <c r="V2768" s="2" t="n">
        <f aca="false">INDEX(Summary!$R$2:$R$201,MATCH($B2768,Summary!$A$2:$A$201,0))</f>
        <v>26.48</v>
      </c>
      <c r="W2768" s="0" t="str">
        <f aca="false">INDEX(Summary!$S$2:$S$201,MATCH($B2768,Summary!$A$2:$A$201,0))</f>
        <v>Silver</v>
      </c>
      <c r="X2768" s="2" t="n">
        <f aca="false">INDEX(Summary!$T$2:$T$201,MATCH($B2768,Summary!$A$2:$A$201,0))</f>
        <v>64.59</v>
      </c>
      <c r="Y2768" s="0" t="str">
        <f aca="false">INDEX('Reward Model'!$E$18:$E$37,MATCH($E2768,'Reward Model'!$A$18:$A$37,0))</f>
        <v>Low</v>
      </c>
      <c r="Z2768" s="4" t="n">
        <f aca="false">ROUND(MIN(1,MAX('Reward Model'!$B$2,INDEX('Reward Model'!$C$12:$C$14,MATCH($K2768,'Reward Model'!$A$12:$A$14,0))/$J2768)),3)</f>
        <v>0.987</v>
      </c>
      <c r="AA2768" s="2" t="n">
        <f aca="false">IF($I2768="Correct",ROUND(INDEX('Reward Model'!$B$12:$B$14,MATCH($K2768,'Reward Model'!$A$12:$A$14,0))*Z2768,2),0)</f>
        <v>0.99</v>
      </c>
      <c r="AB2768" s="2" t="n">
        <f aca="false">IF($I2768="Correct",ROUND(INDEX('Reward Model'!$B$12:$B$14,MATCH($Y2768,'Reward Model'!$A$12:$A$14,0))*Z2768,2),0)</f>
        <v>0.99</v>
      </c>
    </row>
    <row r="2769" customFormat="false" ht="15" hidden="false" customHeight="false" outlineLevel="0" collapsed="false">
      <c r="A2769" s="0" t="s">
        <v>408</v>
      </c>
      <c r="B2769" s="0" t="s">
        <v>409</v>
      </c>
      <c r="C2769" s="0" t="s">
        <v>322</v>
      </c>
      <c r="D2769" s="0" t="s">
        <v>189</v>
      </c>
      <c r="E2769" s="0" t="n">
        <v>8</v>
      </c>
      <c r="F2769" s="0" t="s">
        <v>52</v>
      </c>
      <c r="G2769" s="0" t="s">
        <v>53</v>
      </c>
      <c r="H2769" s="0" t="s">
        <v>54</v>
      </c>
      <c r="I2769" s="0" t="s">
        <v>39</v>
      </c>
      <c r="J2769" s="0" t="n">
        <v>1.76</v>
      </c>
      <c r="K2769" s="0" t="s">
        <v>35</v>
      </c>
      <c r="L2769" s="0" t="n">
        <f aca="false">INDEX(Summary!$F$2:$F$201,MATCH($B2769,Summary!$A$2:$A$201,0))</f>
        <v>20</v>
      </c>
      <c r="M2769" s="0" t="n">
        <f aca="false">INDEX(Summary!$I$2:$I$201,MATCH($B2769,Summary!$A$2:$A$201,0))</f>
        <v>2</v>
      </c>
      <c r="N2769" s="0" t="n">
        <f aca="false">INDEX(Summary!$J$2:$J$201,MATCH($B2769,Summary!$A$2:$A$201,0))</f>
        <v>3</v>
      </c>
      <c r="O2769" s="2" t="n">
        <f aca="false">INDEX(Summary!$K$2:$K$201,MATCH($B2769,Summary!$A$2:$A$201,0))</f>
        <v>10.69</v>
      </c>
      <c r="P2769" s="3" t="n">
        <f aca="false">INDEX(Summary!$L$2:$L$201,MATCH($B2769,Summary!$A$2:$A$201,0))</f>
        <v>5</v>
      </c>
      <c r="Q2769" s="3" t="n">
        <f aca="false">INDEX(Summary!$M$2:$M$201,MATCH($B2769,Summary!$A$2:$A$201,0))</f>
        <v>1</v>
      </c>
      <c r="R2769" s="2" t="n">
        <f aca="false">INDEX(Summary!$N$2:$N$201,MATCH($B2769,Summary!$A$2:$A$201,0))</f>
        <v>11.69</v>
      </c>
      <c r="S2769" s="3" t="n">
        <f aca="false">INDEX(Summary!$O$2:$O$201,MATCH($B2769,Summary!$A$2:$A$201,0))</f>
        <v>8</v>
      </c>
      <c r="T2769" s="3" t="n">
        <f aca="false">INDEX(Summary!$P$2:$P$201,MATCH($B2769,Summary!$A$2:$A$201,0))</f>
        <v>1</v>
      </c>
      <c r="U2769" s="2" t="n">
        <f aca="false">INDEX(Summary!$Q$2:$Q$201,MATCH($B2769,Summary!$A$2:$A$201,0))</f>
        <v>12.42</v>
      </c>
      <c r="V2769" s="2" t="n">
        <f aca="false">INDEX(Summary!$R$2:$R$201,MATCH($B2769,Summary!$A$2:$A$201,0))</f>
        <v>26.48</v>
      </c>
      <c r="W2769" s="0" t="str">
        <f aca="false">INDEX(Summary!$S$2:$S$201,MATCH($B2769,Summary!$A$2:$A$201,0))</f>
        <v>Silver</v>
      </c>
      <c r="X2769" s="2" t="n">
        <f aca="false">INDEX(Summary!$T$2:$T$201,MATCH($B2769,Summary!$A$2:$A$201,0))</f>
        <v>64.59</v>
      </c>
      <c r="Y2769" s="0" t="str">
        <f aca="false">INDEX('Reward Model'!$E$18:$E$37,MATCH($E2769,'Reward Model'!$A$18:$A$37,0))</f>
        <v>Medium</v>
      </c>
      <c r="Z2769" s="4" t="n">
        <f aca="false">ROUND(MIN(1,MAX('Reward Model'!$B$2,INDEX('Reward Model'!$C$12:$C$14,MATCH($K2769,'Reward Model'!$A$12:$A$14,0))/$J2769)),3)</f>
        <v>0.852</v>
      </c>
      <c r="AA2769" s="2" t="n">
        <f aca="false">IF($I2769="Correct",ROUND(INDEX('Reward Model'!$B$12:$B$14,MATCH($K2769,'Reward Model'!$A$12:$A$14,0))*Z2769,2),0)</f>
        <v>0</v>
      </c>
      <c r="AB2769" s="2" t="n">
        <f aca="false">IF($I2769="Correct",ROUND(INDEX('Reward Model'!$B$12:$B$14,MATCH($Y2769,'Reward Model'!$A$12:$A$14,0))*Z2769,2),0)</f>
        <v>0</v>
      </c>
    </row>
    <row r="2770" customFormat="false" ht="15" hidden="false" customHeight="false" outlineLevel="0" collapsed="false">
      <c r="A2770" s="0" t="s">
        <v>408</v>
      </c>
      <c r="B2770" s="0" t="s">
        <v>409</v>
      </c>
      <c r="C2770" s="0" t="s">
        <v>322</v>
      </c>
      <c r="D2770" s="0" t="s">
        <v>189</v>
      </c>
      <c r="E2770" s="0" t="n">
        <v>9</v>
      </c>
      <c r="F2770" s="0" t="s">
        <v>55</v>
      </c>
      <c r="G2770" s="0" t="s">
        <v>57</v>
      </c>
      <c r="H2770" s="0" t="s">
        <v>57</v>
      </c>
      <c r="I2770" s="0" t="s">
        <v>34</v>
      </c>
      <c r="J2770" s="0" t="n">
        <v>1.51</v>
      </c>
      <c r="K2770" s="0" t="s">
        <v>35</v>
      </c>
      <c r="L2770" s="0" t="n">
        <f aca="false">INDEX(Summary!$F$2:$F$201,MATCH($B2770,Summary!$A$2:$A$201,0))</f>
        <v>20</v>
      </c>
      <c r="M2770" s="0" t="n">
        <f aca="false">INDEX(Summary!$I$2:$I$201,MATCH($B2770,Summary!$A$2:$A$201,0))</f>
        <v>2</v>
      </c>
      <c r="N2770" s="0" t="n">
        <f aca="false">INDEX(Summary!$J$2:$J$201,MATCH($B2770,Summary!$A$2:$A$201,0))</f>
        <v>3</v>
      </c>
      <c r="O2770" s="2" t="n">
        <f aca="false">INDEX(Summary!$K$2:$K$201,MATCH($B2770,Summary!$A$2:$A$201,0))</f>
        <v>10.69</v>
      </c>
      <c r="P2770" s="3" t="n">
        <f aca="false">INDEX(Summary!$L$2:$L$201,MATCH($B2770,Summary!$A$2:$A$201,0))</f>
        <v>5</v>
      </c>
      <c r="Q2770" s="3" t="n">
        <f aca="false">INDEX(Summary!$M$2:$M$201,MATCH($B2770,Summary!$A$2:$A$201,0))</f>
        <v>1</v>
      </c>
      <c r="R2770" s="2" t="n">
        <f aca="false">INDEX(Summary!$N$2:$N$201,MATCH($B2770,Summary!$A$2:$A$201,0))</f>
        <v>11.69</v>
      </c>
      <c r="S2770" s="3" t="n">
        <f aca="false">INDEX(Summary!$O$2:$O$201,MATCH($B2770,Summary!$A$2:$A$201,0))</f>
        <v>8</v>
      </c>
      <c r="T2770" s="3" t="n">
        <f aca="false">INDEX(Summary!$P$2:$P$201,MATCH($B2770,Summary!$A$2:$A$201,0))</f>
        <v>1</v>
      </c>
      <c r="U2770" s="2" t="n">
        <f aca="false">INDEX(Summary!$Q$2:$Q$201,MATCH($B2770,Summary!$A$2:$A$201,0))</f>
        <v>12.42</v>
      </c>
      <c r="V2770" s="2" t="n">
        <f aca="false">INDEX(Summary!$R$2:$R$201,MATCH($B2770,Summary!$A$2:$A$201,0))</f>
        <v>26.48</v>
      </c>
      <c r="W2770" s="0" t="str">
        <f aca="false">INDEX(Summary!$S$2:$S$201,MATCH($B2770,Summary!$A$2:$A$201,0))</f>
        <v>Silver</v>
      </c>
      <c r="X2770" s="2" t="n">
        <f aca="false">INDEX(Summary!$T$2:$T$201,MATCH($B2770,Summary!$A$2:$A$201,0))</f>
        <v>64.59</v>
      </c>
      <c r="Y2770" s="0" t="str">
        <f aca="false">INDEX('Reward Model'!$E$18:$E$37,MATCH($E2770,'Reward Model'!$A$18:$A$37,0))</f>
        <v>Medium</v>
      </c>
      <c r="Z2770" s="4" t="n">
        <f aca="false">ROUND(MIN(1,MAX('Reward Model'!$B$2,INDEX('Reward Model'!$C$12:$C$14,MATCH($K2770,'Reward Model'!$A$12:$A$14,0))/$J2770)),3)</f>
        <v>0.993</v>
      </c>
      <c r="AA2770" s="2" t="n">
        <f aca="false">IF($I2770="Correct",ROUND(INDEX('Reward Model'!$B$12:$B$14,MATCH($K2770,'Reward Model'!$A$12:$A$14,0))*Z2770,2),0)</f>
        <v>0.99</v>
      </c>
      <c r="AB2770" s="2" t="n">
        <f aca="false">IF($I2770="Correct",ROUND(INDEX('Reward Model'!$B$12:$B$14,MATCH($Y2770,'Reward Model'!$A$12:$A$14,0))*Z2770,2),0)</f>
        <v>1.99</v>
      </c>
    </row>
    <row r="2771" customFormat="false" ht="15" hidden="false" customHeight="false" outlineLevel="0" collapsed="false">
      <c r="A2771" s="0" t="s">
        <v>408</v>
      </c>
      <c r="B2771" s="0" t="s">
        <v>409</v>
      </c>
      <c r="C2771" s="0" t="s">
        <v>322</v>
      </c>
      <c r="D2771" s="0" t="s">
        <v>189</v>
      </c>
      <c r="E2771" s="0" t="n">
        <v>10</v>
      </c>
      <c r="F2771" s="0" t="s">
        <v>58</v>
      </c>
      <c r="G2771" s="0" t="s">
        <v>59</v>
      </c>
      <c r="H2771" s="0" t="s">
        <v>59</v>
      </c>
      <c r="I2771" s="0" t="s">
        <v>34</v>
      </c>
      <c r="J2771" s="0" t="n">
        <v>2.26</v>
      </c>
      <c r="K2771" s="0" t="s">
        <v>60</v>
      </c>
      <c r="L2771" s="0" t="n">
        <f aca="false">INDEX(Summary!$F$2:$F$201,MATCH($B2771,Summary!$A$2:$A$201,0))</f>
        <v>20</v>
      </c>
      <c r="M2771" s="0" t="n">
        <f aca="false">INDEX(Summary!$I$2:$I$201,MATCH($B2771,Summary!$A$2:$A$201,0))</f>
        <v>2</v>
      </c>
      <c r="N2771" s="0" t="n">
        <f aca="false">INDEX(Summary!$J$2:$J$201,MATCH($B2771,Summary!$A$2:$A$201,0))</f>
        <v>3</v>
      </c>
      <c r="O2771" s="2" t="n">
        <f aca="false">INDEX(Summary!$K$2:$K$201,MATCH($B2771,Summary!$A$2:$A$201,0))</f>
        <v>10.69</v>
      </c>
      <c r="P2771" s="3" t="n">
        <f aca="false">INDEX(Summary!$L$2:$L$201,MATCH($B2771,Summary!$A$2:$A$201,0))</f>
        <v>5</v>
      </c>
      <c r="Q2771" s="3" t="n">
        <f aca="false">INDEX(Summary!$M$2:$M$201,MATCH($B2771,Summary!$A$2:$A$201,0))</f>
        <v>1</v>
      </c>
      <c r="R2771" s="2" t="n">
        <f aca="false">INDEX(Summary!$N$2:$N$201,MATCH($B2771,Summary!$A$2:$A$201,0))</f>
        <v>11.69</v>
      </c>
      <c r="S2771" s="3" t="n">
        <f aca="false">INDEX(Summary!$O$2:$O$201,MATCH($B2771,Summary!$A$2:$A$201,0))</f>
        <v>8</v>
      </c>
      <c r="T2771" s="3" t="n">
        <f aca="false">INDEX(Summary!$P$2:$P$201,MATCH($B2771,Summary!$A$2:$A$201,0))</f>
        <v>1</v>
      </c>
      <c r="U2771" s="2" t="n">
        <f aca="false">INDEX(Summary!$Q$2:$Q$201,MATCH($B2771,Summary!$A$2:$A$201,0))</f>
        <v>12.42</v>
      </c>
      <c r="V2771" s="2" t="n">
        <f aca="false">INDEX(Summary!$R$2:$R$201,MATCH($B2771,Summary!$A$2:$A$201,0))</f>
        <v>26.48</v>
      </c>
      <c r="W2771" s="0" t="str">
        <f aca="false">INDEX(Summary!$S$2:$S$201,MATCH($B2771,Summary!$A$2:$A$201,0))</f>
        <v>Silver</v>
      </c>
      <c r="X2771" s="2" t="n">
        <f aca="false">INDEX(Summary!$T$2:$T$201,MATCH($B2771,Summary!$A$2:$A$201,0))</f>
        <v>64.59</v>
      </c>
      <c r="Y2771" s="0" t="str">
        <f aca="false">INDEX('Reward Model'!$E$18:$E$37,MATCH($E2771,'Reward Model'!$A$18:$A$37,0))</f>
        <v>Medium</v>
      </c>
      <c r="Z2771" s="4" t="n">
        <f aca="false">ROUND(MIN(1,MAX('Reward Model'!$B$2,INDEX('Reward Model'!$C$12:$C$14,MATCH($K2771,'Reward Model'!$A$12:$A$14,0))/$J2771)),3)</f>
        <v>0.796</v>
      </c>
      <c r="AA2771" s="2" t="n">
        <f aca="false">IF($I2771="Correct",ROUND(INDEX('Reward Model'!$B$12:$B$14,MATCH($K2771,'Reward Model'!$A$12:$A$14,0))*Z2771,2),0)</f>
        <v>1.59</v>
      </c>
      <c r="AB2771" s="2" t="n">
        <f aca="false">IF($I2771="Correct",ROUND(INDEX('Reward Model'!$B$12:$B$14,MATCH($Y2771,'Reward Model'!$A$12:$A$14,0))*Z2771,2),0)</f>
        <v>1.59</v>
      </c>
    </row>
    <row r="2772" customFormat="false" ht="15" hidden="false" customHeight="false" outlineLevel="0" collapsed="false">
      <c r="A2772" s="0" t="s">
        <v>408</v>
      </c>
      <c r="B2772" s="0" t="s">
        <v>409</v>
      </c>
      <c r="C2772" s="0" t="s">
        <v>322</v>
      </c>
      <c r="D2772" s="0" t="s">
        <v>189</v>
      </c>
      <c r="E2772" s="0" t="n">
        <v>11</v>
      </c>
      <c r="F2772" s="0" t="s">
        <v>61</v>
      </c>
      <c r="G2772" s="0" t="s">
        <v>63</v>
      </c>
      <c r="H2772" s="0" t="s">
        <v>63</v>
      </c>
      <c r="I2772" s="0" t="s">
        <v>34</v>
      </c>
      <c r="J2772" s="0" t="n">
        <v>2.1</v>
      </c>
      <c r="K2772" s="0" t="s">
        <v>60</v>
      </c>
      <c r="L2772" s="0" t="n">
        <f aca="false">INDEX(Summary!$F$2:$F$201,MATCH($B2772,Summary!$A$2:$A$201,0))</f>
        <v>20</v>
      </c>
      <c r="M2772" s="0" t="n">
        <f aca="false">INDEX(Summary!$I$2:$I$201,MATCH($B2772,Summary!$A$2:$A$201,0))</f>
        <v>2</v>
      </c>
      <c r="N2772" s="0" t="n">
        <f aca="false">INDEX(Summary!$J$2:$J$201,MATCH($B2772,Summary!$A$2:$A$201,0))</f>
        <v>3</v>
      </c>
      <c r="O2772" s="2" t="n">
        <f aca="false">INDEX(Summary!$K$2:$K$201,MATCH($B2772,Summary!$A$2:$A$201,0))</f>
        <v>10.69</v>
      </c>
      <c r="P2772" s="3" t="n">
        <f aca="false">INDEX(Summary!$L$2:$L$201,MATCH($B2772,Summary!$A$2:$A$201,0))</f>
        <v>5</v>
      </c>
      <c r="Q2772" s="3" t="n">
        <f aca="false">INDEX(Summary!$M$2:$M$201,MATCH($B2772,Summary!$A$2:$A$201,0))</f>
        <v>1</v>
      </c>
      <c r="R2772" s="2" t="n">
        <f aca="false">INDEX(Summary!$N$2:$N$201,MATCH($B2772,Summary!$A$2:$A$201,0))</f>
        <v>11.69</v>
      </c>
      <c r="S2772" s="3" t="n">
        <f aca="false">INDEX(Summary!$O$2:$O$201,MATCH($B2772,Summary!$A$2:$A$201,0))</f>
        <v>8</v>
      </c>
      <c r="T2772" s="3" t="n">
        <f aca="false">INDEX(Summary!$P$2:$P$201,MATCH($B2772,Summary!$A$2:$A$201,0))</f>
        <v>1</v>
      </c>
      <c r="U2772" s="2" t="n">
        <f aca="false">INDEX(Summary!$Q$2:$Q$201,MATCH($B2772,Summary!$A$2:$A$201,0))</f>
        <v>12.42</v>
      </c>
      <c r="V2772" s="2" t="n">
        <f aca="false">INDEX(Summary!$R$2:$R$201,MATCH($B2772,Summary!$A$2:$A$201,0))</f>
        <v>26.48</v>
      </c>
      <c r="W2772" s="0" t="str">
        <f aca="false">INDEX(Summary!$S$2:$S$201,MATCH($B2772,Summary!$A$2:$A$201,0))</f>
        <v>Silver</v>
      </c>
      <c r="X2772" s="2" t="n">
        <f aca="false">INDEX(Summary!$T$2:$T$201,MATCH($B2772,Summary!$A$2:$A$201,0))</f>
        <v>64.59</v>
      </c>
      <c r="Y2772" s="0" t="str">
        <f aca="false">INDEX('Reward Model'!$E$18:$E$37,MATCH($E2772,'Reward Model'!$A$18:$A$37,0))</f>
        <v>Medium</v>
      </c>
      <c r="Z2772" s="4" t="n">
        <f aca="false">ROUND(MIN(1,MAX('Reward Model'!$B$2,INDEX('Reward Model'!$C$12:$C$14,MATCH($K2772,'Reward Model'!$A$12:$A$14,0))/$J2772)),3)</f>
        <v>0.857</v>
      </c>
      <c r="AA2772" s="2" t="n">
        <f aca="false">IF($I2772="Correct",ROUND(INDEX('Reward Model'!$B$12:$B$14,MATCH($K2772,'Reward Model'!$A$12:$A$14,0))*Z2772,2),0)</f>
        <v>1.71</v>
      </c>
      <c r="AB2772" s="2" t="n">
        <f aca="false">IF($I2772="Correct",ROUND(INDEX('Reward Model'!$B$12:$B$14,MATCH($Y2772,'Reward Model'!$A$12:$A$14,0))*Z2772,2),0)</f>
        <v>1.71</v>
      </c>
    </row>
    <row r="2773" customFormat="false" ht="15" hidden="false" customHeight="false" outlineLevel="0" collapsed="false">
      <c r="A2773" s="0" t="s">
        <v>408</v>
      </c>
      <c r="B2773" s="0" t="s">
        <v>409</v>
      </c>
      <c r="C2773" s="0" t="s">
        <v>322</v>
      </c>
      <c r="D2773" s="0" t="s">
        <v>189</v>
      </c>
      <c r="E2773" s="0" t="n">
        <v>12</v>
      </c>
      <c r="F2773" s="0" t="s">
        <v>64</v>
      </c>
      <c r="G2773" s="0" t="s">
        <v>65</v>
      </c>
      <c r="H2773" s="0" t="s">
        <v>65</v>
      </c>
      <c r="I2773" s="0" t="s">
        <v>34</v>
      </c>
      <c r="J2773" s="0" t="n">
        <v>1.77</v>
      </c>
      <c r="K2773" s="0" t="s">
        <v>60</v>
      </c>
      <c r="L2773" s="0" t="n">
        <f aca="false">INDEX(Summary!$F$2:$F$201,MATCH($B2773,Summary!$A$2:$A$201,0))</f>
        <v>20</v>
      </c>
      <c r="M2773" s="0" t="n">
        <f aca="false">INDEX(Summary!$I$2:$I$201,MATCH($B2773,Summary!$A$2:$A$201,0))</f>
        <v>2</v>
      </c>
      <c r="N2773" s="0" t="n">
        <f aca="false">INDEX(Summary!$J$2:$J$201,MATCH($B2773,Summary!$A$2:$A$201,0))</f>
        <v>3</v>
      </c>
      <c r="O2773" s="2" t="n">
        <f aca="false">INDEX(Summary!$K$2:$K$201,MATCH($B2773,Summary!$A$2:$A$201,0))</f>
        <v>10.69</v>
      </c>
      <c r="P2773" s="3" t="n">
        <f aca="false">INDEX(Summary!$L$2:$L$201,MATCH($B2773,Summary!$A$2:$A$201,0))</f>
        <v>5</v>
      </c>
      <c r="Q2773" s="3" t="n">
        <f aca="false">INDEX(Summary!$M$2:$M$201,MATCH($B2773,Summary!$A$2:$A$201,0))</f>
        <v>1</v>
      </c>
      <c r="R2773" s="2" t="n">
        <f aca="false">INDEX(Summary!$N$2:$N$201,MATCH($B2773,Summary!$A$2:$A$201,0))</f>
        <v>11.69</v>
      </c>
      <c r="S2773" s="3" t="n">
        <f aca="false">INDEX(Summary!$O$2:$O$201,MATCH($B2773,Summary!$A$2:$A$201,0))</f>
        <v>8</v>
      </c>
      <c r="T2773" s="3" t="n">
        <f aca="false">INDEX(Summary!$P$2:$P$201,MATCH($B2773,Summary!$A$2:$A$201,0))</f>
        <v>1</v>
      </c>
      <c r="U2773" s="2" t="n">
        <f aca="false">INDEX(Summary!$Q$2:$Q$201,MATCH($B2773,Summary!$A$2:$A$201,0))</f>
        <v>12.42</v>
      </c>
      <c r="V2773" s="2" t="n">
        <f aca="false">INDEX(Summary!$R$2:$R$201,MATCH($B2773,Summary!$A$2:$A$201,0))</f>
        <v>26.48</v>
      </c>
      <c r="W2773" s="0" t="str">
        <f aca="false">INDEX(Summary!$S$2:$S$201,MATCH($B2773,Summary!$A$2:$A$201,0))</f>
        <v>Silver</v>
      </c>
      <c r="X2773" s="2" t="n">
        <f aca="false">INDEX(Summary!$T$2:$T$201,MATCH($B2773,Summary!$A$2:$A$201,0))</f>
        <v>64.59</v>
      </c>
      <c r="Y2773" s="0" t="str">
        <f aca="false">INDEX('Reward Model'!$E$18:$E$37,MATCH($E2773,'Reward Model'!$A$18:$A$37,0))</f>
        <v>Medium</v>
      </c>
      <c r="Z2773" s="4" t="n">
        <f aca="false">ROUND(MIN(1,MAX('Reward Model'!$B$2,INDEX('Reward Model'!$C$12:$C$14,MATCH($K2773,'Reward Model'!$A$12:$A$14,0))/$J2773)),3)</f>
        <v>1</v>
      </c>
      <c r="AA2773" s="2" t="n">
        <f aca="false">IF($I2773="Correct",ROUND(INDEX('Reward Model'!$B$12:$B$14,MATCH($K2773,'Reward Model'!$A$12:$A$14,0))*Z2773,2),0)</f>
        <v>2</v>
      </c>
      <c r="AB2773" s="2" t="n">
        <f aca="false">IF($I2773="Correct",ROUND(INDEX('Reward Model'!$B$12:$B$14,MATCH($Y2773,'Reward Model'!$A$12:$A$14,0))*Z2773,2),0)</f>
        <v>2</v>
      </c>
    </row>
    <row r="2774" customFormat="false" ht="15" hidden="false" customHeight="false" outlineLevel="0" collapsed="false">
      <c r="A2774" s="0" t="s">
        <v>408</v>
      </c>
      <c r="B2774" s="0" t="s">
        <v>409</v>
      </c>
      <c r="C2774" s="0" t="s">
        <v>322</v>
      </c>
      <c r="D2774" s="0" t="s">
        <v>189</v>
      </c>
      <c r="E2774" s="0" t="n">
        <v>13</v>
      </c>
      <c r="F2774" s="0" t="s">
        <v>66</v>
      </c>
      <c r="G2774" s="0" t="s">
        <v>124</v>
      </c>
      <c r="H2774" s="0" t="s">
        <v>67</v>
      </c>
      <c r="I2774" s="0" t="s">
        <v>39</v>
      </c>
      <c r="J2774" s="0" t="n">
        <v>1.93</v>
      </c>
      <c r="K2774" s="0" t="s">
        <v>60</v>
      </c>
      <c r="L2774" s="0" t="n">
        <f aca="false">INDEX(Summary!$F$2:$F$201,MATCH($B2774,Summary!$A$2:$A$201,0))</f>
        <v>20</v>
      </c>
      <c r="M2774" s="0" t="n">
        <f aca="false">INDEX(Summary!$I$2:$I$201,MATCH($B2774,Summary!$A$2:$A$201,0))</f>
        <v>2</v>
      </c>
      <c r="N2774" s="0" t="n">
        <f aca="false">INDEX(Summary!$J$2:$J$201,MATCH($B2774,Summary!$A$2:$A$201,0))</f>
        <v>3</v>
      </c>
      <c r="O2774" s="2" t="n">
        <f aca="false">INDEX(Summary!$K$2:$K$201,MATCH($B2774,Summary!$A$2:$A$201,0))</f>
        <v>10.69</v>
      </c>
      <c r="P2774" s="3" t="n">
        <f aca="false">INDEX(Summary!$L$2:$L$201,MATCH($B2774,Summary!$A$2:$A$201,0))</f>
        <v>5</v>
      </c>
      <c r="Q2774" s="3" t="n">
        <f aca="false">INDEX(Summary!$M$2:$M$201,MATCH($B2774,Summary!$A$2:$A$201,0))</f>
        <v>1</v>
      </c>
      <c r="R2774" s="2" t="n">
        <f aca="false">INDEX(Summary!$N$2:$N$201,MATCH($B2774,Summary!$A$2:$A$201,0))</f>
        <v>11.69</v>
      </c>
      <c r="S2774" s="3" t="n">
        <f aca="false">INDEX(Summary!$O$2:$O$201,MATCH($B2774,Summary!$A$2:$A$201,0))</f>
        <v>8</v>
      </c>
      <c r="T2774" s="3" t="n">
        <f aca="false">INDEX(Summary!$P$2:$P$201,MATCH($B2774,Summary!$A$2:$A$201,0))</f>
        <v>1</v>
      </c>
      <c r="U2774" s="2" t="n">
        <f aca="false">INDEX(Summary!$Q$2:$Q$201,MATCH($B2774,Summary!$A$2:$A$201,0))</f>
        <v>12.42</v>
      </c>
      <c r="V2774" s="2" t="n">
        <f aca="false">INDEX(Summary!$R$2:$R$201,MATCH($B2774,Summary!$A$2:$A$201,0))</f>
        <v>26.48</v>
      </c>
      <c r="W2774" s="0" t="str">
        <f aca="false">INDEX(Summary!$S$2:$S$201,MATCH($B2774,Summary!$A$2:$A$201,0))</f>
        <v>Silver</v>
      </c>
      <c r="X2774" s="2" t="n">
        <f aca="false">INDEX(Summary!$T$2:$T$201,MATCH($B2774,Summary!$A$2:$A$201,0))</f>
        <v>64.59</v>
      </c>
      <c r="Y2774" s="0" t="str">
        <f aca="false">INDEX('Reward Model'!$E$18:$E$37,MATCH($E2774,'Reward Model'!$A$18:$A$37,0))</f>
        <v>Medium</v>
      </c>
      <c r="Z2774" s="4" t="n">
        <f aca="false">ROUND(MIN(1,MAX('Reward Model'!$B$2,INDEX('Reward Model'!$C$12:$C$14,MATCH($K2774,'Reward Model'!$A$12:$A$14,0))/$J2774)),3)</f>
        <v>0.933</v>
      </c>
      <c r="AA2774" s="2" t="n">
        <f aca="false">IF($I2774="Correct",ROUND(INDEX('Reward Model'!$B$12:$B$14,MATCH($K2774,'Reward Model'!$A$12:$A$14,0))*Z2774,2),0)</f>
        <v>0</v>
      </c>
      <c r="AB2774" s="2" t="n">
        <f aca="false">IF($I2774="Correct",ROUND(INDEX('Reward Model'!$B$12:$B$14,MATCH($Y2774,'Reward Model'!$A$12:$A$14,0))*Z2774,2),0)</f>
        <v>0</v>
      </c>
    </row>
    <row r="2775" customFormat="false" ht="15" hidden="false" customHeight="false" outlineLevel="0" collapsed="false">
      <c r="A2775" s="0" t="s">
        <v>408</v>
      </c>
      <c r="B2775" s="0" t="s">
        <v>409</v>
      </c>
      <c r="C2775" s="0" t="s">
        <v>322</v>
      </c>
      <c r="D2775" s="0" t="s">
        <v>189</v>
      </c>
      <c r="E2775" s="0" t="n">
        <v>14</v>
      </c>
      <c r="F2775" s="0" t="s">
        <v>68</v>
      </c>
      <c r="G2775" s="0" t="s">
        <v>51</v>
      </c>
      <c r="H2775" s="0" t="s">
        <v>51</v>
      </c>
      <c r="I2775" s="0" t="s">
        <v>34</v>
      </c>
      <c r="J2775" s="0" t="n">
        <v>1.75</v>
      </c>
      <c r="K2775" s="0" t="s">
        <v>60</v>
      </c>
      <c r="L2775" s="0" t="n">
        <f aca="false">INDEX(Summary!$F$2:$F$201,MATCH($B2775,Summary!$A$2:$A$201,0))</f>
        <v>20</v>
      </c>
      <c r="M2775" s="0" t="n">
        <f aca="false">INDEX(Summary!$I$2:$I$201,MATCH($B2775,Summary!$A$2:$A$201,0))</f>
        <v>2</v>
      </c>
      <c r="N2775" s="0" t="n">
        <f aca="false">INDEX(Summary!$J$2:$J$201,MATCH($B2775,Summary!$A$2:$A$201,0))</f>
        <v>3</v>
      </c>
      <c r="O2775" s="2" t="n">
        <f aca="false">INDEX(Summary!$K$2:$K$201,MATCH($B2775,Summary!$A$2:$A$201,0))</f>
        <v>10.69</v>
      </c>
      <c r="P2775" s="3" t="n">
        <f aca="false">INDEX(Summary!$L$2:$L$201,MATCH($B2775,Summary!$A$2:$A$201,0))</f>
        <v>5</v>
      </c>
      <c r="Q2775" s="3" t="n">
        <f aca="false">INDEX(Summary!$M$2:$M$201,MATCH($B2775,Summary!$A$2:$A$201,0))</f>
        <v>1</v>
      </c>
      <c r="R2775" s="2" t="n">
        <f aca="false">INDEX(Summary!$N$2:$N$201,MATCH($B2775,Summary!$A$2:$A$201,0))</f>
        <v>11.69</v>
      </c>
      <c r="S2775" s="3" t="n">
        <f aca="false">INDEX(Summary!$O$2:$O$201,MATCH($B2775,Summary!$A$2:$A$201,0))</f>
        <v>8</v>
      </c>
      <c r="T2775" s="3" t="n">
        <f aca="false">INDEX(Summary!$P$2:$P$201,MATCH($B2775,Summary!$A$2:$A$201,0))</f>
        <v>1</v>
      </c>
      <c r="U2775" s="2" t="n">
        <f aca="false">INDEX(Summary!$Q$2:$Q$201,MATCH($B2775,Summary!$A$2:$A$201,0))</f>
        <v>12.42</v>
      </c>
      <c r="V2775" s="2" t="n">
        <f aca="false">INDEX(Summary!$R$2:$R$201,MATCH($B2775,Summary!$A$2:$A$201,0))</f>
        <v>26.48</v>
      </c>
      <c r="W2775" s="0" t="str">
        <f aca="false">INDEX(Summary!$S$2:$S$201,MATCH($B2775,Summary!$A$2:$A$201,0))</f>
        <v>Silver</v>
      </c>
      <c r="X2775" s="2" t="n">
        <f aca="false">INDEX(Summary!$T$2:$T$201,MATCH($B2775,Summary!$A$2:$A$201,0))</f>
        <v>64.59</v>
      </c>
      <c r="Y2775" s="0" t="str">
        <f aca="false">INDEX('Reward Model'!$E$18:$E$37,MATCH($E2775,'Reward Model'!$A$18:$A$37,0))</f>
        <v>Medium</v>
      </c>
      <c r="Z2775" s="4" t="n">
        <f aca="false">ROUND(MIN(1,MAX('Reward Model'!$B$2,INDEX('Reward Model'!$C$12:$C$14,MATCH($K2775,'Reward Model'!$A$12:$A$14,0))/$J2775)),3)</f>
        <v>1</v>
      </c>
      <c r="AA2775" s="2" t="n">
        <f aca="false">IF($I2775="Correct",ROUND(INDEX('Reward Model'!$B$12:$B$14,MATCH($K2775,'Reward Model'!$A$12:$A$14,0))*Z2775,2),0)</f>
        <v>2</v>
      </c>
      <c r="AB2775" s="2" t="n">
        <f aca="false">IF($I2775="Correct",ROUND(INDEX('Reward Model'!$B$12:$B$14,MATCH($Y2775,'Reward Model'!$A$12:$A$14,0))*Z2775,2),0)</f>
        <v>2</v>
      </c>
    </row>
    <row r="2776" customFormat="false" ht="15" hidden="false" customHeight="false" outlineLevel="0" collapsed="false">
      <c r="A2776" s="0" t="s">
        <v>408</v>
      </c>
      <c r="B2776" s="0" t="s">
        <v>409</v>
      </c>
      <c r="C2776" s="0" t="s">
        <v>322</v>
      </c>
      <c r="D2776" s="0" t="s">
        <v>189</v>
      </c>
      <c r="E2776" s="0" t="n">
        <v>15</v>
      </c>
      <c r="F2776" s="0" t="s">
        <v>69</v>
      </c>
      <c r="G2776" s="0" t="s">
        <v>70</v>
      </c>
      <c r="H2776" s="0" t="s">
        <v>70</v>
      </c>
      <c r="I2776" s="0" t="s">
        <v>34</v>
      </c>
      <c r="J2776" s="0" t="n">
        <v>1.88</v>
      </c>
      <c r="K2776" s="0" t="s">
        <v>60</v>
      </c>
      <c r="L2776" s="0" t="n">
        <f aca="false">INDEX(Summary!$F$2:$F$201,MATCH($B2776,Summary!$A$2:$A$201,0))</f>
        <v>20</v>
      </c>
      <c r="M2776" s="0" t="n">
        <f aca="false">INDEX(Summary!$I$2:$I$201,MATCH($B2776,Summary!$A$2:$A$201,0))</f>
        <v>2</v>
      </c>
      <c r="N2776" s="0" t="n">
        <f aca="false">INDEX(Summary!$J$2:$J$201,MATCH($B2776,Summary!$A$2:$A$201,0))</f>
        <v>3</v>
      </c>
      <c r="O2776" s="2" t="n">
        <f aca="false">INDEX(Summary!$K$2:$K$201,MATCH($B2776,Summary!$A$2:$A$201,0))</f>
        <v>10.69</v>
      </c>
      <c r="P2776" s="3" t="n">
        <f aca="false">INDEX(Summary!$L$2:$L$201,MATCH($B2776,Summary!$A$2:$A$201,0))</f>
        <v>5</v>
      </c>
      <c r="Q2776" s="3" t="n">
        <f aca="false">INDEX(Summary!$M$2:$M$201,MATCH($B2776,Summary!$A$2:$A$201,0))</f>
        <v>1</v>
      </c>
      <c r="R2776" s="2" t="n">
        <f aca="false">INDEX(Summary!$N$2:$N$201,MATCH($B2776,Summary!$A$2:$A$201,0))</f>
        <v>11.69</v>
      </c>
      <c r="S2776" s="3" t="n">
        <f aca="false">INDEX(Summary!$O$2:$O$201,MATCH($B2776,Summary!$A$2:$A$201,0))</f>
        <v>8</v>
      </c>
      <c r="T2776" s="3" t="n">
        <f aca="false">INDEX(Summary!$P$2:$P$201,MATCH($B2776,Summary!$A$2:$A$201,0))</f>
        <v>1</v>
      </c>
      <c r="U2776" s="2" t="n">
        <f aca="false">INDEX(Summary!$Q$2:$Q$201,MATCH($B2776,Summary!$A$2:$A$201,0))</f>
        <v>12.42</v>
      </c>
      <c r="V2776" s="2" t="n">
        <f aca="false">INDEX(Summary!$R$2:$R$201,MATCH($B2776,Summary!$A$2:$A$201,0))</f>
        <v>26.48</v>
      </c>
      <c r="W2776" s="0" t="str">
        <f aca="false">INDEX(Summary!$S$2:$S$201,MATCH($B2776,Summary!$A$2:$A$201,0))</f>
        <v>Silver</v>
      </c>
      <c r="X2776" s="2" t="n">
        <f aca="false">INDEX(Summary!$T$2:$T$201,MATCH($B2776,Summary!$A$2:$A$201,0))</f>
        <v>64.59</v>
      </c>
      <c r="Y2776" s="0" t="str">
        <f aca="false">INDEX('Reward Model'!$E$18:$E$37,MATCH($E2776,'Reward Model'!$A$18:$A$37,0))</f>
        <v>Medium</v>
      </c>
      <c r="Z2776" s="4" t="n">
        <f aca="false">ROUND(MIN(1,MAX('Reward Model'!$B$2,INDEX('Reward Model'!$C$12:$C$14,MATCH($K2776,'Reward Model'!$A$12:$A$14,0))/$J2776)),3)</f>
        <v>0.957</v>
      </c>
      <c r="AA2776" s="2" t="n">
        <f aca="false">IF($I2776="Correct",ROUND(INDEX('Reward Model'!$B$12:$B$14,MATCH($K2776,'Reward Model'!$A$12:$A$14,0))*Z2776,2),0)</f>
        <v>1.91</v>
      </c>
      <c r="AB2776" s="2" t="n">
        <f aca="false">IF($I2776="Correct",ROUND(INDEX('Reward Model'!$B$12:$B$14,MATCH($Y2776,'Reward Model'!$A$12:$A$14,0))*Z2776,2),0)</f>
        <v>1.91</v>
      </c>
    </row>
    <row r="2777" customFormat="false" ht="15" hidden="false" customHeight="false" outlineLevel="0" collapsed="false">
      <c r="A2777" s="0" t="s">
        <v>408</v>
      </c>
      <c r="B2777" s="0" t="s">
        <v>409</v>
      </c>
      <c r="C2777" s="0" t="s">
        <v>322</v>
      </c>
      <c r="D2777" s="0" t="s">
        <v>189</v>
      </c>
      <c r="E2777" s="0" t="n">
        <v>16</v>
      </c>
      <c r="F2777" s="0" t="s">
        <v>71</v>
      </c>
      <c r="G2777" s="0" t="s">
        <v>87</v>
      </c>
      <c r="H2777" s="0" t="s">
        <v>72</v>
      </c>
      <c r="I2777" s="0" t="s">
        <v>39</v>
      </c>
      <c r="J2777" s="0" t="n">
        <v>2.34</v>
      </c>
      <c r="K2777" s="0" t="s">
        <v>73</v>
      </c>
      <c r="L2777" s="0" t="n">
        <f aca="false">INDEX(Summary!$F$2:$F$201,MATCH($B2777,Summary!$A$2:$A$201,0))</f>
        <v>20</v>
      </c>
      <c r="M2777" s="0" t="n">
        <f aca="false">INDEX(Summary!$I$2:$I$201,MATCH($B2777,Summary!$A$2:$A$201,0))</f>
        <v>2</v>
      </c>
      <c r="N2777" s="0" t="n">
        <f aca="false">INDEX(Summary!$J$2:$J$201,MATCH($B2777,Summary!$A$2:$A$201,0))</f>
        <v>3</v>
      </c>
      <c r="O2777" s="2" t="n">
        <f aca="false">INDEX(Summary!$K$2:$K$201,MATCH($B2777,Summary!$A$2:$A$201,0))</f>
        <v>10.69</v>
      </c>
      <c r="P2777" s="3" t="n">
        <f aca="false">INDEX(Summary!$L$2:$L$201,MATCH($B2777,Summary!$A$2:$A$201,0))</f>
        <v>5</v>
      </c>
      <c r="Q2777" s="3" t="n">
        <f aca="false">INDEX(Summary!$M$2:$M$201,MATCH($B2777,Summary!$A$2:$A$201,0))</f>
        <v>1</v>
      </c>
      <c r="R2777" s="2" t="n">
        <f aca="false">INDEX(Summary!$N$2:$N$201,MATCH($B2777,Summary!$A$2:$A$201,0))</f>
        <v>11.69</v>
      </c>
      <c r="S2777" s="3" t="n">
        <f aca="false">INDEX(Summary!$O$2:$O$201,MATCH($B2777,Summary!$A$2:$A$201,0))</f>
        <v>8</v>
      </c>
      <c r="T2777" s="3" t="n">
        <f aca="false">INDEX(Summary!$P$2:$P$201,MATCH($B2777,Summary!$A$2:$A$201,0))</f>
        <v>1</v>
      </c>
      <c r="U2777" s="2" t="n">
        <f aca="false">INDEX(Summary!$Q$2:$Q$201,MATCH($B2777,Summary!$A$2:$A$201,0))</f>
        <v>12.42</v>
      </c>
      <c r="V2777" s="2" t="n">
        <f aca="false">INDEX(Summary!$R$2:$R$201,MATCH($B2777,Summary!$A$2:$A$201,0))</f>
        <v>26.48</v>
      </c>
      <c r="W2777" s="0" t="str">
        <f aca="false">INDEX(Summary!$S$2:$S$201,MATCH($B2777,Summary!$A$2:$A$201,0))</f>
        <v>Silver</v>
      </c>
      <c r="X2777" s="2" t="n">
        <f aca="false">INDEX(Summary!$T$2:$T$201,MATCH($B2777,Summary!$A$2:$A$201,0))</f>
        <v>64.59</v>
      </c>
      <c r="Y2777" s="0" t="str">
        <f aca="false">INDEX('Reward Model'!$E$18:$E$37,MATCH($E2777,'Reward Model'!$A$18:$A$37,0))</f>
        <v>High</v>
      </c>
      <c r="Z2777" s="4" t="n">
        <f aca="false">ROUND(MIN(1,MAX('Reward Model'!$B$2,INDEX('Reward Model'!$C$12:$C$14,MATCH($K2777,'Reward Model'!$A$12:$A$14,0))/$J2777)),3)</f>
        <v>0.855</v>
      </c>
      <c r="AA2777" s="2" t="n">
        <f aca="false">IF($I2777="Correct",ROUND(INDEX('Reward Model'!$B$12:$B$14,MATCH($K2777,'Reward Model'!$A$12:$A$14,0))*Z2777,2),0)</f>
        <v>0</v>
      </c>
      <c r="AB2777" s="2" t="n">
        <f aca="false">IF($I2777="Correct",ROUND(INDEX('Reward Model'!$B$12:$B$14,MATCH($Y2777,'Reward Model'!$A$12:$A$14,0))*Z2777,2),0)</f>
        <v>0</v>
      </c>
    </row>
    <row r="2778" customFormat="false" ht="15" hidden="false" customHeight="false" outlineLevel="0" collapsed="false">
      <c r="A2778" s="0" t="s">
        <v>408</v>
      </c>
      <c r="B2778" s="0" t="s">
        <v>409</v>
      </c>
      <c r="C2778" s="0" t="s">
        <v>322</v>
      </c>
      <c r="D2778" s="0" t="s">
        <v>189</v>
      </c>
      <c r="E2778" s="0" t="n">
        <v>17</v>
      </c>
      <c r="F2778" s="0" t="s">
        <v>74</v>
      </c>
      <c r="G2778" s="0" t="s">
        <v>75</v>
      </c>
      <c r="H2778" s="0" t="s">
        <v>75</v>
      </c>
      <c r="I2778" s="0" t="s">
        <v>34</v>
      </c>
      <c r="J2778" s="0" t="n">
        <v>1.91</v>
      </c>
      <c r="K2778" s="0" t="s">
        <v>73</v>
      </c>
      <c r="L2778" s="0" t="n">
        <f aca="false">INDEX(Summary!$F$2:$F$201,MATCH($B2778,Summary!$A$2:$A$201,0))</f>
        <v>20</v>
      </c>
      <c r="M2778" s="0" t="n">
        <f aca="false">INDEX(Summary!$I$2:$I$201,MATCH($B2778,Summary!$A$2:$A$201,0))</f>
        <v>2</v>
      </c>
      <c r="N2778" s="0" t="n">
        <f aca="false">INDEX(Summary!$J$2:$J$201,MATCH($B2778,Summary!$A$2:$A$201,0))</f>
        <v>3</v>
      </c>
      <c r="O2778" s="2" t="n">
        <f aca="false">INDEX(Summary!$K$2:$K$201,MATCH($B2778,Summary!$A$2:$A$201,0))</f>
        <v>10.69</v>
      </c>
      <c r="P2778" s="3" t="n">
        <f aca="false">INDEX(Summary!$L$2:$L$201,MATCH($B2778,Summary!$A$2:$A$201,0))</f>
        <v>5</v>
      </c>
      <c r="Q2778" s="3" t="n">
        <f aca="false">INDEX(Summary!$M$2:$M$201,MATCH($B2778,Summary!$A$2:$A$201,0))</f>
        <v>1</v>
      </c>
      <c r="R2778" s="2" t="n">
        <f aca="false">INDEX(Summary!$N$2:$N$201,MATCH($B2778,Summary!$A$2:$A$201,0))</f>
        <v>11.69</v>
      </c>
      <c r="S2778" s="3" t="n">
        <f aca="false">INDEX(Summary!$O$2:$O$201,MATCH($B2778,Summary!$A$2:$A$201,0))</f>
        <v>8</v>
      </c>
      <c r="T2778" s="3" t="n">
        <f aca="false">INDEX(Summary!$P$2:$P$201,MATCH($B2778,Summary!$A$2:$A$201,0))</f>
        <v>1</v>
      </c>
      <c r="U2778" s="2" t="n">
        <f aca="false">INDEX(Summary!$Q$2:$Q$201,MATCH($B2778,Summary!$A$2:$A$201,0))</f>
        <v>12.42</v>
      </c>
      <c r="V2778" s="2" t="n">
        <f aca="false">INDEX(Summary!$R$2:$R$201,MATCH($B2778,Summary!$A$2:$A$201,0))</f>
        <v>26.48</v>
      </c>
      <c r="W2778" s="0" t="str">
        <f aca="false">INDEX(Summary!$S$2:$S$201,MATCH($B2778,Summary!$A$2:$A$201,0))</f>
        <v>Silver</v>
      </c>
      <c r="X2778" s="2" t="n">
        <f aca="false">INDEX(Summary!$T$2:$T$201,MATCH($B2778,Summary!$A$2:$A$201,0))</f>
        <v>64.59</v>
      </c>
      <c r="Y2778" s="0" t="str">
        <f aca="false">INDEX('Reward Model'!$E$18:$E$37,MATCH($E2778,'Reward Model'!$A$18:$A$37,0))</f>
        <v>High</v>
      </c>
      <c r="Z2778" s="4" t="n">
        <f aca="false">ROUND(MIN(1,MAX('Reward Model'!$B$2,INDEX('Reward Model'!$C$12:$C$14,MATCH($K2778,'Reward Model'!$A$12:$A$14,0))/$J2778)),3)</f>
        <v>1</v>
      </c>
      <c r="AA2778" s="2" t="n">
        <f aca="false">IF($I2778="Correct",ROUND(INDEX('Reward Model'!$B$12:$B$14,MATCH($K2778,'Reward Model'!$A$12:$A$14,0))*Z2778,2),0)</f>
        <v>3</v>
      </c>
      <c r="AB2778" s="2" t="n">
        <f aca="false">IF($I2778="Correct",ROUND(INDEX('Reward Model'!$B$12:$B$14,MATCH($Y2778,'Reward Model'!$A$12:$A$14,0))*Z2778,2),0)</f>
        <v>3</v>
      </c>
    </row>
    <row r="2779" customFormat="false" ht="15" hidden="false" customHeight="false" outlineLevel="0" collapsed="false">
      <c r="A2779" s="0" t="s">
        <v>408</v>
      </c>
      <c r="B2779" s="0" t="s">
        <v>409</v>
      </c>
      <c r="C2779" s="0" t="s">
        <v>322</v>
      </c>
      <c r="D2779" s="0" t="s">
        <v>189</v>
      </c>
      <c r="E2779" s="0" t="n">
        <v>18</v>
      </c>
      <c r="F2779" s="0" t="s">
        <v>76</v>
      </c>
      <c r="G2779" s="0" t="s">
        <v>77</v>
      </c>
      <c r="H2779" s="0" t="s">
        <v>77</v>
      </c>
      <c r="I2779" s="0" t="s">
        <v>34</v>
      </c>
      <c r="J2779" s="0" t="n">
        <v>2.5</v>
      </c>
      <c r="K2779" s="0" t="s">
        <v>73</v>
      </c>
      <c r="L2779" s="0" t="n">
        <f aca="false">INDEX(Summary!$F$2:$F$201,MATCH($B2779,Summary!$A$2:$A$201,0))</f>
        <v>20</v>
      </c>
      <c r="M2779" s="0" t="n">
        <f aca="false">INDEX(Summary!$I$2:$I$201,MATCH($B2779,Summary!$A$2:$A$201,0))</f>
        <v>2</v>
      </c>
      <c r="N2779" s="0" t="n">
        <f aca="false">INDEX(Summary!$J$2:$J$201,MATCH($B2779,Summary!$A$2:$A$201,0))</f>
        <v>3</v>
      </c>
      <c r="O2779" s="2" t="n">
        <f aca="false">INDEX(Summary!$K$2:$K$201,MATCH($B2779,Summary!$A$2:$A$201,0))</f>
        <v>10.69</v>
      </c>
      <c r="P2779" s="3" t="n">
        <f aca="false">INDEX(Summary!$L$2:$L$201,MATCH($B2779,Summary!$A$2:$A$201,0))</f>
        <v>5</v>
      </c>
      <c r="Q2779" s="3" t="n">
        <f aca="false">INDEX(Summary!$M$2:$M$201,MATCH($B2779,Summary!$A$2:$A$201,0))</f>
        <v>1</v>
      </c>
      <c r="R2779" s="2" t="n">
        <f aca="false">INDEX(Summary!$N$2:$N$201,MATCH($B2779,Summary!$A$2:$A$201,0))</f>
        <v>11.69</v>
      </c>
      <c r="S2779" s="3" t="n">
        <f aca="false">INDEX(Summary!$O$2:$O$201,MATCH($B2779,Summary!$A$2:$A$201,0))</f>
        <v>8</v>
      </c>
      <c r="T2779" s="3" t="n">
        <f aca="false">INDEX(Summary!$P$2:$P$201,MATCH($B2779,Summary!$A$2:$A$201,0))</f>
        <v>1</v>
      </c>
      <c r="U2779" s="2" t="n">
        <f aca="false">INDEX(Summary!$Q$2:$Q$201,MATCH($B2779,Summary!$A$2:$A$201,0))</f>
        <v>12.42</v>
      </c>
      <c r="V2779" s="2" t="n">
        <f aca="false">INDEX(Summary!$R$2:$R$201,MATCH($B2779,Summary!$A$2:$A$201,0))</f>
        <v>26.48</v>
      </c>
      <c r="W2779" s="0" t="str">
        <f aca="false">INDEX(Summary!$S$2:$S$201,MATCH($B2779,Summary!$A$2:$A$201,0))</f>
        <v>Silver</v>
      </c>
      <c r="X2779" s="2" t="n">
        <f aca="false">INDEX(Summary!$T$2:$T$201,MATCH($B2779,Summary!$A$2:$A$201,0))</f>
        <v>64.59</v>
      </c>
      <c r="Y2779" s="0" t="str">
        <f aca="false">INDEX('Reward Model'!$E$18:$E$37,MATCH($E2779,'Reward Model'!$A$18:$A$37,0))</f>
        <v>High</v>
      </c>
      <c r="Z2779" s="4" t="n">
        <f aca="false">ROUND(MIN(1,MAX('Reward Model'!$B$2,INDEX('Reward Model'!$C$12:$C$14,MATCH($K2779,'Reward Model'!$A$12:$A$14,0))/$J2779)),3)</f>
        <v>0.8</v>
      </c>
      <c r="AA2779" s="2" t="n">
        <f aca="false">IF($I2779="Correct",ROUND(INDEX('Reward Model'!$B$12:$B$14,MATCH($K2779,'Reward Model'!$A$12:$A$14,0))*Z2779,2),0)</f>
        <v>2.4</v>
      </c>
      <c r="AB2779" s="2" t="n">
        <f aca="false">IF($I2779="Correct",ROUND(INDEX('Reward Model'!$B$12:$B$14,MATCH($Y2779,'Reward Model'!$A$12:$A$14,0))*Z2779,2),0)</f>
        <v>2.4</v>
      </c>
    </row>
    <row r="2780" customFormat="false" ht="15" hidden="false" customHeight="false" outlineLevel="0" collapsed="false">
      <c r="A2780" s="0" t="s">
        <v>408</v>
      </c>
      <c r="B2780" s="0" t="s">
        <v>409</v>
      </c>
      <c r="C2780" s="0" t="s">
        <v>322</v>
      </c>
      <c r="D2780" s="0" t="s">
        <v>189</v>
      </c>
      <c r="E2780" s="0" t="n">
        <v>19</v>
      </c>
      <c r="F2780" s="0" t="s">
        <v>78</v>
      </c>
      <c r="G2780" s="0" t="s">
        <v>79</v>
      </c>
      <c r="H2780" s="0" t="s">
        <v>80</v>
      </c>
      <c r="I2780" s="0" t="s">
        <v>39</v>
      </c>
      <c r="J2780" s="0" t="n">
        <v>2.48</v>
      </c>
      <c r="K2780" s="0" t="s">
        <v>73</v>
      </c>
      <c r="L2780" s="0" t="n">
        <f aca="false">INDEX(Summary!$F$2:$F$201,MATCH($B2780,Summary!$A$2:$A$201,0))</f>
        <v>20</v>
      </c>
      <c r="M2780" s="0" t="n">
        <f aca="false">INDEX(Summary!$I$2:$I$201,MATCH($B2780,Summary!$A$2:$A$201,0))</f>
        <v>2</v>
      </c>
      <c r="N2780" s="0" t="n">
        <f aca="false">INDEX(Summary!$J$2:$J$201,MATCH($B2780,Summary!$A$2:$A$201,0))</f>
        <v>3</v>
      </c>
      <c r="O2780" s="2" t="n">
        <f aca="false">INDEX(Summary!$K$2:$K$201,MATCH($B2780,Summary!$A$2:$A$201,0))</f>
        <v>10.69</v>
      </c>
      <c r="P2780" s="3" t="n">
        <f aca="false">INDEX(Summary!$L$2:$L$201,MATCH($B2780,Summary!$A$2:$A$201,0))</f>
        <v>5</v>
      </c>
      <c r="Q2780" s="3" t="n">
        <f aca="false">INDEX(Summary!$M$2:$M$201,MATCH($B2780,Summary!$A$2:$A$201,0))</f>
        <v>1</v>
      </c>
      <c r="R2780" s="2" t="n">
        <f aca="false">INDEX(Summary!$N$2:$N$201,MATCH($B2780,Summary!$A$2:$A$201,0))</f>
        <v>11.69</v>
      </c>
      <c r="S2780" s="3" t="n">
        <f aca="false">INDEX(Summary!$O$2:$O$201,MATCH($B2780,Summary!$A$2:$A$201,0))</f>
        <v>8</v>
      </c>
      <c r="T2780" s="3" t="n">
        <f aca="false">INDEX(Summary!$P$2:$P$201,MATCH($B2780,Summary!$A$2:$A$201,0))</f>
        <v>1</v>
      </c>
      <c r="U2780" s="2" t="n">
        <f aca="false">INDEX(Summary!$Q$2:$Q$201,MATCH($B2780,Summary!$A$2:$A$201,0))</f>
        <v>12.42</v>
      </c>
      <c r="V2780" s="2" t="n">
        <f aca="false">INDEX(Summary!$R$2:$R$201,MATCH($B2780,Summary!$A$2:$A$201,0))</f>
        <v>26.48</v>
      </c>
      <c r="W2780" s="0" t="str">
        <f aca="false">INDEX(Summary!$S$2:$S$201,MATCH($B2780,Summary!$A$2:$A$201,0))</f>
        <v>Silver</v>
      </c>
      <c r="X2780" s="2" t="n">
        <f aca="false">INDEX(Summary!$T$2:$T$201,MATCH($B2780,Summary!$A$2:$A$201,0))</f>
        <v>64.59</v>
      </c>
      <c r="Y2780" s="0" t="str">
        <f aca="false">INDEX('Reward Model'!$E$18:$E$37,MATCH($E2780,'Reward Model'!$A$18:$A$37,0))</f>
        <v>High</v>
      </c>
      <c r="Z2780" s="4" t="n">
        <f aca="false">ROUND(MIN(1,MAX('Reward Model'!$B$2,INDEX('Reward Model'!$C$12:$C$14,MATCH($K2780,'Reward Model'!$A$12:$A$14,0))/$J2780)),3)</f>
        <v>0.806</v>
      </c>
      <c r="AA2780" s="2" t="n">
        <f aca="false">IF($I2780="Correct",ROUND(INDEX('Reward Model'!$B$12:$B$14,MATCH($K2780,'Reward Model'!$A$12:$A$14,0))*Z2780,2),0)</f>
        <v>0</v>
      </c>
      <c r="AB2780" s="2" t="n">
        <f aca="false">IF($I2780="Correct",ROUND(INDEX('Reward Model'!$B$12:$B$14,MATCH($Y2780,'Reward Model'!$A$12:$A$14,0))*Z2780,2),0)</f>
        <v>0</v>
      </c>
    </row>
    <row r="2781" customFormat="false" ht="15" hidden="false" customHeight="false" outlineLevel="0" collapsed="false">
      <c r="A2781" s="0" t="s">
        <v>408</v>
      </c>
      <c r="B2781" s="0" t="s">
        <v>409</v>
      </c>
      <c r="C2781" s="0" t="s">
        <v>322</v>
      </c>
      <c r="D2781" s="0" t="s">
        <v>189</v>
      </c>
      <c r="E2781" s="0" t="n">
        <v>20</v>
      </c>
      <c r="F2781" s="0" t="s">
        <v>81</v>
      </c>
      <c r="G2781" s="0" t="s">
        <v>166</v>
      </c>
      <c r="H2781" s="0" t="s">
        <v>83</v>
      </c>
      <c r="I2781" s="0" t="s">
        <v>39</v>
      </c>
      <c r="J2781" s="0" t="n">
        <v>1.46</v>
      </c>
      <c r="K2781" s="0" t="s">
        <v>73</v>
      </c>
      <c r="L2781" s="0" t="n">
        <f aca="false">INDEX(Summary!$F$2:$F$201,MATCH($B2781,Summary!$A$2:$A$201,0))</f>
        <v>20</v>
      </c>
      <c r="M2781" s="0" t="n">
        <f aca="false">INDEX(Summary!$I$2:$I$201,MATCH($B2781,Summary!$A$2:$A$201,0))</f>
        <v>2</v>
      </c>
      <c r="N2781" s="0" t="n">
        <f aca="false">INDEX(Summary!$J$2:$J$201,MATCH($B2781,Summary!$A$2:$A$201,0))</f>
        <v>3</v>
      </c>
      <c r="O2781" s="2" t="n">
        <f aca="false">INDEX(Summary!$K$2:$K$201,MATCH($B2781,Summary!$A$2:$A$201,0))</f>
        <v>10.69</v>
      </c>
      <c r="P2781" s="3" t="n">
        <f aca="false">INDEX(Summary!$L$2:$L$201,MATCH($B2781,Summary!$A$2:$A$201,0))</f>
        <v>5</v>
      </c>
      <c r="Q2781" s="3" t="n">
        <f aca="false">INDEX(Summary!$M$2:$M$201,MATCH($B2781,Summary!$A$2:$A$201,0))</f>
        <v>1</v>
      </c>
      <c r="R2781" s="2" t="n">
        <f aca="false">INDEX(Summary!$N$2:$N$201,MATCH($B2781,Summary!$A$2:$A$201,0))</f>
        <v>11.69</v>
      </c>
      <c r="S2781" s="3" t="n">
        <f aca="false">INDEX(Summary!$O$2:$O$201,MATCH($B2781,Summary!$A$2:$A$201,0))</f>
        <v>8</v>
      </c>
      <c r="T2781" s="3" t="n">
        <f aca="false">INDEX(Summary!$P$2:$P$201,MATCH($B2781,Summary!$A$2:$A$201,0))</f>
        <v>1</v>
      </c>
      <c r="U2781" s="2" t="n">
        <f aca="false">INDEX(Summary!$Q$2:$Q$201,MATCH($B2781,Summary!$A$2:$A$201,0))</f>
        <v>12.42</v>
      </c>
      <c r="V2781" s="2" t="n">
        <f aca="false">INDEX(Summary!$R$2:$R$201,MATCH($B2781,Summary!$A$2:$A$201,0))</f>
        <v>26.48</v>
      </c>
      <c r="W2781" s="0" t="str">
        <f aca="false">INDEX(Summary!$S$2:$S$201,MATCH($B2781,Summary!$A$2:$A$201,0))</f>
        <v>Silver</v>
      </c>
      <c r="X2781" s="2" t="n">
        <f aca="false">INDEX(Summary!$T$2:$T$201,MATCH($B2781,Summary!$A$2:$A$201,0))</f>
        <v>64.59</v>
      </c>
      <c r="Y2781" s="0" t="str">
        <f aca="false">INDEX('Reward Model'!$E$18:$E$37,MATCH($E2781,'Reward Model'!$A$18:$A$37,0))</f>
        <v>High</v>
      </c>
      <c r="Z2781" s="4" t="n">
        <f aca="false">ROUND(MIN(1,MAX('Reward Model'!$B$2,INDEX('Reward Model'!$C$12:$C$14,MATCH($K2781,'Reward Model'!$A$12:$A$14,0))/$J2781)),3)</f>
        <v>1</v>
      </c>
      <c r="AA2781" s="2" t="n">
        <f aca="false">IF($I2781="Correct",ROUND(INDEX('Reward Model'!$B$12:$B$14,MATCH($K2781,'Reward Model'!$A$12:$A$14,0))*Z2781,2),0)</f>
        <v>0</v>
      </c>
      <c r="AB2781" s="2" t="n">
        <f aca="false">IF($I2781="Correct",ROUND(INDEX('Reward Model'!$B$12:$B$14,MATCH($Y2781,'Reward Model'!$A$12:$A$14,0))*Z2781,2),0)</f>
        <v>0</v>
      </c>
    </row>
    <row r="2782" customFormat="false" ht="15" hidden="false" customHeight="false" outlineLevel="0" collapsed="false">
      <c r="A2782" s="0" t="s">
        <v>410</v>
      </c>
      <c r="B2782" s="0" t="s">
        <v>411</v>
      </c>
      <c r="C2782" s="0" t="s">
        <v>322</v>
      </c>
      <c r="D2782" s="0" t="s">
        <v>189</v>
      </c>
      <c r="E2782" s="0" t="n">
        <v>1</v>
      </c>
      <c r="F2782" s="0" t="s">
        <v>32</v>
      </c>
      <c r="G2782" s="0" t="s">
        <v>33</v>
      </c>
      <c r="H2782" s="0" t="s">
        <v>33</v>
      </c>
      <c r="I2782" s="0" t="s">
        <v>34</v>
      </c>
      <c r="J2782" s="0" t="n">
        <v>1.52</v>
      </c>
      <c r="K2782" s="0" t="s">
        <v>35</v>
      </c>
      <c r="L2782" s="0" t="n">
        <f aca="false">INDEX(Summary!$F$2:$F$201,MATCH($B2782,Summary!$A$2:$A$201,0))</f>
        <v>20</v>
      </c>
      <c r="M2782" s="0" t="n">
        <f aca="false">INDEX(Summary!$I$2:$I$201,MATCH($B2782,Summary!$A$2:$A$201,0))</f>
        <v>3</v>
      </c>
      <c r="N2782" s="0" t="n">
        <f aca="false">INDEX(Summary!$J$2:$J$201,MATCH($B2782,Summary!$A$2:$A$201,0))</f>
        <v>2</v>
      </c>
      <c r="O2782" s="2" t="n">
        <f aca="false">INDEX(Summary!$K$2:$K$201,MATCH($B2782,Summary!$A$2:$A$201,0))</f>
        <v>10.27</v>
      </c>
      <c r="P2782" s="3" t="n">
        <f aca="false">INDEX(Summary!$L$2:$L$201,MATCH($B2782,Summary!$A$2:$A$201,0))</f>
        <v>4</v>
      </c>
      <c r="Q2782" s="3" t="n">
        <f aca="false">INDEX(Summary!$M$2:$M$201,MATCH($B2782,Summary!$A$2:$A$201,0))</f>
        <v>2</v>
      </c>
      <c r="R2782" s="2" t="n">
        <f aca="false">INDEX(Summary!$N$2:$N$201,MATCH($B2782,Summary!$A$2:$A$201,0))</f>
        <v>10.87</v>
      </c>
      <c r="S2782" s="3" t="n">
        <f aca="false">INDEX(Summary!$O$2:$O$201,MATCH($B2782,Summary!$A$2:$A$201,0))</f>
        <v>8</v>
      </c>
      <c r="T2782" s="3" t="n">
        <f aca="false">INDEX(Summary!$P$2:$P$201,MATCH($B2782,Summary!$A$2:$A$201,0))</f>
        <v>1</v>
      </c>
      <c r="U2782" s="2" t="n">
        <f aca="false">INDEX(Summary!$Q$2:$Q$201,MATCH($B2782,Summary!$A$2:$A$201,0))</f>
        <v>11.95</v>
      </c>
      <c r="V2782" s="2" t="n">
        <f aca="false">INDEX(Summary!$R$2:$R$201,MATCH($B2782,Summary!$A$2:$A$201,0))</f>
        <v>27.52</v>
      </c>
      <c r="W2782" s="0" t="str">
        <f aca="false">INDEX(Summary!$S$2:$S$201,MATCH($B2782,Summary!$A$2:$A$201,0))</f>
        <v>Silver</v>
      </c>
      <c r="X2782" s="2" t="n">
        <f aca="false">INDEX(Summary!$T$2:$T$201,MATCH($B2782,Summary!$A$2:$A$201,0))</f>
        <v>67.12</v>
      </c>
      <c r="Y2782" s="0" t="str">
        <f aca="false">INDEX('Reward Model'!$E$18:$E$37,MATCH($E2782,'Reward Model'!$A$18:$A$37,0))</f>
        <v>Medium</v>
      </c>
      <c r="Z2782" s="4" t="n">
        <f aca="false">ROUND(MIN(1,MAX('Reward Model'!$B$2,INDEX('Reward Model'!$C$12:$C$14,MATCH($K2782,'Reward Model'!$A$12:$A$14,0))/$J2782)),3)</f>
        <v>0.987</v>
      </c>
      <c r="AA2782" s="2" t="n">
        <f aca="false">IF($I2782="Correct",ROUND(INDEX('Reward Model'!$B$12:$B$14,MATCH($K2782,'Reward Model'!$A$12:$A$14,0))*Z2782,2),0)</f>
        <v>0.99</v>
      </c>
      <c r="AB2782" s="2" t="n">
        <f aca="false">IF($I2782="Correct",ROUND(INDEX('Reward Model'!$B$12:$B$14,MATCH($Y2782,'Reward Model'!$A$12:$A$14,0))*Z2782,2),0)</f>
        <v>1.97</v>
      </c>
    </row>
    <row r="2783" customFormat="false" ht="15" hidden="false" customHeight="false" outlineLevel="0" collapsed="false">
      <c r="A2783" s="0" t="s">
        <v>410</v>
      </c>
      <c r="B2783" s="0" t="s">
        <v>411</v>
      </c>
      <c r="C2783" s="0" t="s">
        <v>322</v>
      </c>
      <c r="D2783" s="0" t="s">
        <v>189</v>
      </c>
      <c r="E2783" s="0" t="n">
        <v>2</v>
      </c>
      <c r="F2783" s="0" t="s">
        <v>36</v>
      </c>
      <c r="G2783" s="0" t="s">
        <v>94</v>
      </c>
      <c r="H2783" s="0" t="s">
        <v>38</v>
      </c>
      <c r="I2783" s="0" t="s">
        <v>39</v>
      </c>
      <c r="J2783" s="0" t="n">
        <v>1.07</v>
      </c>
      <c r="K2783" s="0" t="s">
        <v>35</v>
      </c>
      <c r="L2783" s="0" t="n">
        <f aca="false">INDEX(Summary!$F$2:$F$201,MATCH($B2783,Summary!$A$2:$A$201,0))</f>
        <v>20</v>
      </c>
      <c r="M2783" s="0" t="n">
        <f aca="false">INDEX(Summary!$I$2:$I$201,MATCH($B2783,Summary!$A$2:$A$201,0))</f>
        <v>3</v>
      </c>
      <c r="N2783" s="0" t="n">
        <f aca="false">INDEX(Summary!$J$2:$J$201,MATCH($B2783,Summary!$A$2:$A$201,0))</f>
        <v>2</v>
      </c>
      <c r="O2783" s="2" t="n">
        <f aca="false">INDEX(Summary!$K$2:$K$201,MATCH($B2783,Summary!$A$2:$A$201,0))</f>
        <v>10.27</v>
      </c>
      <c r="P2783" s="3" t="n">
        <f aca="false">INDEX(Summary!$L$2:$L$201,MATCH($B2783,Summary!$A$2:$A$201,0))</f>
        <v>4</v>
      </c>
      <c r="Q2783" s="3" t="n">
        <f aca="false">INDEX(Summary!$M$2:$M$201,MATCH($B2783,Summary!$A$2:$A$201,0))</f>
        <v>2</v>
      </c>
      <c r="R2783" s="2" t="n">
        <f aca="false">INDEX(Summary!$N$2:$N$201,MATCH($B2783,Summary!$A$2:$A$201,0))</f>
        <v>10.87</v>
      </c>
      <c r="S2783" s="3" t="n">
        <f aca="false">INDEX(Summary!$O$2:$O$201,MATCH($B2783,Summary!$A$2:$A$201,0))</f>
        <v>8</v>
      </c>
      <c r="T2783" s="3" t="n">
        <f aca="false">INDEX(Summary!$P$2:$P$201,MATCH($B2783,Summary!$A$2:$A$201,0))</f>
        <v>1</v>
      </c>
      <c r="U2783" s="2" t="n">
        <f aca="false">INDEX(Summary!$Q$2:$Q$201,MATCH($B2783,Summary!$A$2:$A$201,0))</f>
        <v>11.95</v>
      </c>
      <c r="V2783" s="2" t="n">
        <f aca="false">INDEX(Summary!$R$2:$R$201,MATCH($B2783,Summary!$A$2:$A$201,0))</f>
        <v>27.52</v>
      </c>
      <c r="W2783" s="0" t="str">
        <f aca="false">INDEX(Summary!$S$2:$S$201,MATCH($B2783,Summary!$A$2:$A$201,0))</f>
        <v>Silver</v>
      </c>
      <c r="X2783" s="2" t="n">
        <f aca="false">INDEX(Summary!$T$2:$T$201,MATCH($B2783,Summary!$A$2:$A$201,0))</f>
        <v>67.12</v>
      </c>
      <c r="Y2783" s="0" t="str">
        <f aca="false">INDEX('Reward Model'!$E$18:$E$37,MATCH($E2783,'Reward Model'!$A$18:$A$37,0))</f>
        <v>Low</v>
      </c>
      <c r="Z2783" s="4" t="n">
        <f aca="false">ROUND(MIN(1,MAX('Reward Model'!$B$2,INDEX('Reward Model'!$C$12:$C$14,MATCH($K2783,'Reward Model'!$A$12:$A$14,0))/$J2783)),3)</f>
        <v>1</v>
      </c>
      <c r="AA2783" s="2" t="n">
        <f aca="false">IF($I2783="Correct",ROUND(INDEX('Reward Model'!$B$12:$B$14,MATCH($K2783,'Reward Model'!$A$12:$A$14,0))*Z2783,2),0)</f>
        <v>0</v>
      </c>
      <c r="AB2783" s="2" t="n">
        <f aca="false">IF($I2783="Correct",ROUND(INDEX('Reward Model'!$B$12:$B$14,MATCH($Y2783,'Reward Model'!$A$12:$A$14,0))*Z2783,2),0)</f>
        <v>0</v>
      </c>
    </row>
    <row r="2784" customFormat="false" ht="15" hidden="false" customHeight="false" outlineLevel="0" collapsed="false">
      <c r="A2784" s="0" t="s">
        <v>410</v>
      </c>
      <c r="B2784" s="0" t="s">
        <v>411</v>
      </c>
      <c r="C2784" s="0" t="s">
        <v>322</v>
      </c>
      <c r="D2784" s="0" t="s">
        <v>189</v>
      </c>
      <c r="E2784" s="0" t="n">
        <v>3</v>
      </c>
      <c r="F2784" s="0" t="s">
        <v>40</v>
      </c>
      <c r="G2784" s="0" t="s">
        <v>42</v>
      </c>
      <c r="H2784" s="0" t="s">
        <v>42</v>
      </c>
      <c r="I2784" s="0" t="s">
        <v>34</v>
      </c>
      <c r="J2784" s="0" t="n">
        <v>1.08</v>
      </c>
      <c r="K2784" s="0" t="s">
        <v>35</v>
      </c>
      <c r="L2784" s="0" t="n">
        <f aca="false">INDEX(Summary!$F$2:$F$201,MATCH($B2784,Summary!$A$2:$A$201,0))</f>
        <v>20</v>
      </c>
      <c r="M2784" s="0" t="n">
        <f aca="false">INDEX(Summary!$I$2:$I$201,MATCH($B2784,Summary!$A$2:$A$201,0))</f>
        <v>3</v>
      </c>
      <c r="N2784" s="0" t="n">
        <f aca="false">INDEX(Summary!$J$2:$J$201,MATCH($B2784,Summary!$A$2:$A$201,0))</f>
        <v>2</v>
      </c>
      <c r="O2784" s="2" t="n">
        <f aca="false">INDEX(Summary!$K$2:$K$201,MATCH($B2784,Summary!$A$2:$A$201,0))</f>
        <v>10.27</v>
      </c>
      <c r="P2784" s="3" t="n">
        <f aca="false">INDEX(Summary!$L$2:$L$201,MATCH($B2784,Summary!$A$2:$A$201,0))</f>
        <v>4</v>
      </c>
      <c r="Q2784" s="3" t="n">
        <f aca="false">INDEX(Summary!$M$2:$M$201,MATCH($B2784,Summary!$A$2:$A$201,0))</f>
        <v>2</v>
      </c>
      <c r="R2784" s="2" t="n">
        <f aca="false">INDEX(Summary!$N$2:$N$201,MATCH($B2784,Summary!$A$2:$A$201,0))</f>
        <v>10.87</v>
      </c>
      <c r="S2784" s="3" t="n">
        <f aca="false">INDEX(Summary!$O$2:$O$201,MATCH($B2784,Summary!$A$2:$A$201,0))</f>
        <v>8</v>
      </c>
      <c r="T2784" s="3" t="n">
        <f aca="false">INDEX(Summary!$P$2:$P$201,MATCH($B2784,Summary!$A$2:$A$201,0))</f>
        <v>1</v>
      </c>
      <c r="U2784" s="2" t="n">
        <f aca="false">INDEX(Summary!$Q$2:$Q$201,MATCH($B2784,Summary!$A$2:$A$201,0))</f>
        <v>11.95</v>
      </c>
      <c r="V2784" s="2" t="n">
        <f aca="false">INDEX(Summary!$R$2:$R$201,MATCH($B2784,Summary!$A$2:$A$201,0))</f>
        <v>27.52</v>
      </c>
      <c r="W2784" s="0" t="str">
        <f aca="false">INDEX(Summary!$S$2:$S$201,MATCH($B2784,Summary!$A$2:$A$201,0))</f>
        <v>Silver</v>
      </c>
      <c r="X2784" s="2" t="n">
        <f aca="false">INDEX(Summary!$T$2:$T$201,MATCH($B2784,Summary!$A$2:$A$201,0))</f>
        <v>67.12</v>
      </c>
      <c r="Y2784" s="0" t="str">
        <f aca="false">INDEX('Reward Model'!$E$18:$E$37,MATCH($E2784,'Reward Model'!$A$18:$A$37,0))</f>
        <v>Medium</v>
      </c>
      <c r="Z2784" s="4" t="n">
        <f aca="false">ROUND(MIN(1,MAX('Reward Model'!$B$2,INDEX('Reward Model'!$C$12:$C$14,MATCH($K2784,'Reward Model'!$A$12:$A$14,0))/$J2784)),3)</f>
        <v>1</v>
      </c>
      <c r="AA2784" s="2" t="n">
        <f aca="false">IF($I2784="Correct",ROUND(INDEX('Reward Model'!$B$12:$B$14,MATCH($K2784,'Reward Model'!$A$12:$A$14,0))*Z2784,2),0)</f>
        <v>1</v>
      </c>
      <c r="AB2784" s="2" t="n">
        <f aca="false">IF($I2784="Correct",ROUND(INDEX('Reward Model'!$B$12:$B$14,MATCH($Y2784,'Reward Model'!$A$12:$A$14,0))*Z2784,2),0)</f>
        <v>2</v>
      </c>
    </row>
    <row r="2785" customFormat="false" ht="15" hidden="false" customHeight="false" outlineLevel="0" collapsed="false">
      <c r="A2785" s="0" t="s">
        <v>410</v>
      </c>
      <c r="B2785" s="0" t="s">
        <v>411</v>
      </c>
      <c r="C2785" s="0" t="s">
        <v>322</v>
      </c>
      <c r="D2785" s="0" t="s">
        <v>189</v>
      </c>
      <c r="E2785" s="0" t="n">
        <v>4</v>
      </c>
      <c r="F2785" s="0" t="s">
        <v>43</v>
      </c>
      <c r="G2785" s="0" t="s">
        <v>45</v>
      </c>
      <c r="H2785" s="0" t="s">
        <v>45</v>
      </c>
      <c r="I2785" s="0" t="s">
        <v>34</v>
      </c>
      <c r="J2785" s="0" t="n">
        <v>0.91</v>
      </c>
      <c r="K2785" s="0" t="s">
        <v>35</v>
      </c>
      <c r="L2785" s="0" t="n">
        <f aca="false">INDEX(Summary!$F$2:$F$201,MATCH($B2785,Summary!$A$2:$A$201,0))</f>
        <v>20</v>
      </c>
      <c r="M2785" s="0" t="n">
        <f aca="false">INDEX(Summary!$I$2:$I$201,MATCH($B2785,Summary!$A$2:$A$201,0))</f>
        <v>3</v>
      </c>
      <c r="N2785" s="0" t="n">
        <f aca="false">INDEX(Summary!$J$2:$J$201,MATCH($B2785,Summary!$A$2:$A$201,0))</f>
        <v>2</v>
      </c>
      <c r="O2785" s="2" t="n">
        <f aca="false">INDEX(Summary!$K$2:$K$201,MATCH($B2785,Summary!$A$2:$A$201,0))</f>
        <v>10.27</v>
      </c>
      <c r="P2785" s="3" t="n">
        <f aca="false">INDEX(Summary!$L$2:$L$201,MATCH($B2785,Summary!$A$2:$A$201,0))</f>
        <v>4</v>
      </c>
      <c r="Q2785" s="3" t="n">
        <f aca="false">INDEX(Summary!$M$2:$M$201,MATCH($B2785,Summary!$A$2:$A$201,0))</f>
        <v>2</v>
      </c>
      <c r="R2785" s="2" t="n">
        <f aca="false">INDEX(Summary!$N$2:$N$201,MATCH($B2785,Summary!$A$2:$A$201,0))</f>
        <v>10.87</v>
      </c>
      <c r="S2785" s="3" t="n">
        <f aca="false">INDEX(Summary!$O$2:$O$201,MATCH($B2785,Summary!$A$2:$A$201,0))</f>
        <v>8</v>
      </c>
      <c r="T2785" s="3" t="n">
        <f aca="false">INDEX(Summary!$P$2:$P$201,MATCH($B2785,Summary!$A$2:$A$201,0))</f>
        <v>1</v>
      </c>
      <c r="U2785" s="2" t="n">
        <f aca="false">INDEX(Summary!$Q$2:$Q$201,MATCH($B2785,Summary!$A$2:$A$201,0))</f>
        <v>11.95</v>
      </c>
      <c r="V2785" s="2" t="n">
        <f aca="false">INDEX(Summary!$R$2:$R$201,MATCH($B2785,Summary!$A$2:$A$201,0))</f>
        <v>27.52</v>
      </c>
      <c r="W2785" s="0" t="str">
        <f aca="false">INDEX(Summary!$S$2:$S$201,MATCH($B2785,Summary!$A$2:$A$201,0))</f>
        <v>Silver</v>
      </c>
      <c r="X2785" s="2" t="n">
        <f aca="false">INDEX(Summary!$T$2:$T$201,MATCH($B2785,Summary!$A$2:$A$201,0))</f>
        <v>67.12</v>
      </c>
      <c r="Y2785" s="0" t="str">
        <f aca="false">INDEX('Reward Model'!$E$18:$E$37,MATCH($E2785,'Reward Model'!$A$18:$A$37,0))</f>
        <v>Low</v>
      </c>
      <c r="Z2785" s="4" t="n">
        <f aca="false">ROUND(MIN(1,MAX('Reward Model'!$B$2,INDEX('Reward Model'!$C$12:$C$14,MATCH($K2785,'Reward Model'!$A$12:$A$14,0))/$J2785)),3)</f>
        <v>1</v>
      </c>
      <c r="AA2785" s="2" t="n">
        <f aca="false">IF($I2785="Correct",ROUND(INDEX('Reward Model'!$B$12:$B$14,MATCH($K2785,'Reward Model'!$A$12:$A$14,0))*Z2785,2),0)</f>
        <v>1</v>
      </c>
      <c r="AB2785" s="2" t="n">
        <f aca="false">IF($I2785="Correct",ROUND(INDEX('Reward Model'!$B$12:$B$14,MATCH($Y2785,'Reward Model'!$A$12:$A$14,0))*Z2785,2),0)</f>
        <v>1</v>
      </c>
    </row>
    <row r="2786" customFormat="false" ht="15" hidden="false" customHeight="false" outlineLevel="0" collapsed="false">
      <c r="A2786" s="0" t="s">
        <v>410</v>
      </c>
      <c r="B2786" s="0" t="s">
        <v>411</v>
      </c>
      <c r="C2786" s="0" t="s">
        <v>322</v>
      </c>
      <c r="D2786" s="0" t="s">
        <v>189</v>
      </c>
      <c r="E2786" s="0" t="n">
        <v>5</v>
      </c>
      <c r="F2786" s="0" t="s">
        <v>46</v>
      </c>
      <c r="G2786" s="0" t="s">
        <v>47</v>
      </c>
      <c r="H2786" s="0" t="s">
        <v>47</v>
      </c>
      <c r="I2786" s="0" t="s">
        <v>34</v>
      </c>
      <c r="J2786" s="0" t="n">
        <v>1.42</v>
      </c>
      <c r="K2786" s="0" t="s">
        <v>35</v>
      </c>
      <c r="L2786" s="0" t="n">
        <f aca="false">INDEX(Summary!$F$2:$F$201,MATCH($B2786,Summary!$A$2:$A$201,0))</f>
        <v>20</v>
      </c>
      <c r="M2786" s="0" t="n">
        <f aca="false">INDEX(Summary!$I$2:$I$201,MATCH($B2786,Summary!$A$2:$A$201,0))</f>
        <v>3</v>
      </c>
      <c r="N2786" s="0" t="n">
        <f aca="false">INDEX(Summary!$J$2:$J$201,MATCH($B2786,Summary!$A$2:$A$201,0))</f>
        <v>2</v>
      </c>
      <c r="O2786" s="2" t="n">
        <f aca="false">INDEX(Summary!$K$2:$K$201,MATCH($B2786,Summary!$A$2:$A$201,0))</f>
        <v>10.27</v>
      </c>
      <c r="P2786" s="3" t="n">
        <f aca="false">INDEX(Summary!$L$2:$L$201,MATCH($B2786,Summary!$A$2:$A$201,0))</f>
        <v>4</v>
      </c>
      <c r="Q2786" s="3" t="n">
        <f aca="false">INDEX(Summary!$M$2:$M$201,MATCH($B2786,Summary!$A$2:$A$201,0))</f>
        <v>2</v>
      </c>
      <c r="R2786" s="2" t="n">
        <f aca="false">INDEX(Summary!$N$2:$N$201,MATCH($B2786,Summary!$A$2:$A$201,0))</f>
        <v>10.87</v>
      </c>
      <c r="S2786" s="3" t="n">
        <f aca="false">INDEX(Summary!$O$2:$O$201,MATCH($B2786,Summary!$A$2:$A$201,0))</f>
        <v>8</v>
      </c>
      <c r="T2786" s="3" t="n">
        <f aca="false">INDEX(Summary!$P$2:$P$201,MATCH($B2786,Summary!$A$2:$A$201,0))</f>
        <v>1</v>
      </c>
      <c r="U2786" s="2" t="n">
        <f aca="false">INDEX(Summary!$Q$2:$Q$201,MATCH($B2786,Summary!$A$2:$A$201,0))</f>
        <v>11.95</v>
      </c>
      <c r="V2786" s="2" t="n">
        <f aca="false">INDEX(Summary!$R$2:$R$201,MATCH($B2786,Summary!$A$2:$A$201,0))</f>
        <v>27.52</v>
      </c>
      <c r="W2786" s="0" t="str">
        <f aca="false">INDEX(Summary!$S$2:$S$201,MATCH($B2786,Summary!$A$2:$A$201,0))</f>
        <v>Silver</v>
      </c>
      <c r="X2786" s="2" t="n">
        <f aca="false">INDEX(Summary!$T$2:$T$201,MATCH($B2786,Summary!$A$2:$A$201,0))</f>
        <v>67.12</v>
      </c>
      <c r="Y2786" s="0" t="str">
        <f aca="false">INDEX('Reward Model'!$E$18:$E$37,MATCH($E2786,'Reward Model'!$A$18:$A$37,0))</f>
        <v>Low</v>
      </c>
      <c r="Z2786" s="4" t="n">
        <f aca="false">ROUND(MIN(1,MAX('Reward Model'!$B$2,INDEX('Reward Model'!$C$12:$C$14,MATCH($K2786,'Reward Model'!$A$12:$A$14,0))/$J2786)),3)</f>
        <v>1</v>
      </c>
      <c r="AA2786" s="2" t="n">
        <f aca="false">IF($I2786="Correct",ROUND(INDEX('Reward Model'!$B$12:$B$14,MATCH($K2786,'Reward Model'!$A$12:$A$14,0))*Z2786,2),0)</f>
        <v>1</v>
      </c>
      <c r="AB2786" s="2" t="n">
        <f aca="false">IF($I2786="Correct",ROUND(INDEX('Reward Model'!$B$12:$B$14,MATCH($Y2786,'Reward Model'!$A$12:$A$14,0))*Z2786,2),0)</f>
        <v>1</v>
      </c>
    </row>
    <row r="2787" customFormat="false" ht="15" hidden="false" customHeight="false" outlineLevel="0" collapsed="false">
      <c r="A2787" s="0" t="s">
        <v>410</v>
      </c>
      <c r="B2787" s="0" t="s">
        <v>411</v>
      </c>
      <c r="C2787" s="0" t="s">
        <v>322</v>
      </c>
      <c r="D2787" s="0" t="s">
        <v>189</v>
      </c>
      <c r="E2787" s="0" t="n">
        <v>6</v>
      </c>
      <c r="F2787" s="0" t="s">
        <v>48</v>
      </c>
      <c r="G2787" s="0" t="s">
        <v>49</v>
      </c>
      <c r="H2787" s="0" t="s">
        <v>49</v>
      </c>
      <c r="I2787" s="0" t="s">
        <v>34</v>
      </c>
      <c r="J2787" s="0" t="n">
        <v>0.92</v>
      </c>
      <c r="K2787" s="0" t="s">
        <v>35</v>
      </c>
      <c r="L2787" s="0" t="n">
        <f aca="false">INDEX(Summary!$F$2:$F$201,MATCH($B2787,Summary!$A$2:$A$201,0))</f>
        <v>20</v>
      </c>
      <c r="M2787" s="0" t="n">
        <f aca="false">INDEX(Summary!$I$2:$I$201,MATCH($B2787,Summary!$A$2:$A$201,0))</f>
        <v>3</v>
      </c>
      <c r="N2787" s="0" t="n">
        <f aca="false">INDEX(Summary!$J$2:$J$201,MATCH($B2787,Summary!$A$2:$A$201,0))</f>
        <v>2</v>
      </c>
      <c r="O2787" s="2" t="n">
        <f aca="false">INDEX(Summary!$K$2:$K$201,MATCH($B2787,Summary!$A$2:$A$201,0))</f>
        <v>10.27</v>
      </c>
      <c r="P2787" s="3" t="n">
        <f aca="false">INDEX(Summary!$L$2:$L$201,MATCH($B2787,Summary!$A$2:$A$201,0))</f>
        <v>4</v>
      </c>
      <c r="Q2787" s="3" t="n">
        <f aca="false">INDEX(Summary!$M$2:$M$201,MATCH($B2787,Summary!$A$2:$A$201,0))</f>
        <v>2</v>
      </c>
      <c r="R2787" s="2" t="n">
        <f aca="false">INDEX(Summary!$N$2:$N$201,MATCH($B2787,Summary!$A$2:$A$201,0))</f>
        <v>10.87</v>
      </c>
      <c r="S2787" s="3" t="n">
        <f aca="false">INDEX(Summary!$O$2:$O$201,MATCH($B2787,Summary!$A$2:$A$201,0))</f>
        <v>8</v>
      </c>
      <c r="T2787" s="3" t="n">
        <f aca="false">INDEX(Summary!$P$2:$P$201,MATCH($B2787,Summary!$A$2:$A$201,0))</f>
        <v>1</v>
      </c>
      <c r="U2787" s="2" t="n">
        <f aca="false">INDEX(Summary!$Q$2:$Q$201,MATCH($B2787,Summary!$A$2:$A$201,0))</f>
        <v>11.95</v>
      </c>
      <c r="V2787" s="2" t="n">
        <f aca="false">INDEX(Summary!$R$2:$R$201,MATCH($B2787,Summary!$A$2:$A$201,0))</f>
        <v>27.52</v>
      </c>
      <c r="W2787" s="0" t="str">
        <f aca="false">INDEX(Summary!$S$2:$S$201,MATCH($B2787,Summary!$A$2:$A$201,0))</f>
        <v>Silver</v>
      </c>
      <c r="X2787" s="2" t="n">
        <f aca="false">INDEX(Summary!$T$2:$T$201,MATCH($B2787,Summary!$A$2:$A$201,0))</f>
        <v>67.12</v>
      </c>
      <c r="Y2787" s="0" t="str">
        <f aca="false">INDEX('Reward Model'!$E$18:$E$37,MATCH($E2787,'Reward Model'!$A$18:$A$37,0))</f>
        <v>Medium</v>
      </c>
      <c r="Z2787" s="4" t="n">
        <f aca="false">ROUND(MIN(1,MAX('Reward Model'!$B$2,INDEX('Reward Model'!$C$12:$C$14,MATCH($K2787,'Reward Model'!$A$12:$A$14,0))/$J2787)),3)</f>
        <v>1</v>
      </c>
      <c r="AA2787" s="2" t="n">
        <f aca="false">IF($I2787="Correct",ROUND(INDEX('Reward Model'!$B$12:$B$14,MATCH($K2787,'Reward Model'!$A$12:$A$14,0))*Z2787,2),0)</f>
        <v>1</v>
      </c>
      <c r="AB2787" s="2" t="n">
        <f aca="false">IF($I2787="Correct",ROUND(INDEX('Reward Model'!$B$12:$B$14,MATCH($Y2787,'Reward Model'!$A$12:$A$14,0))*Z2787,2),0)</f>
        <v>2</v>
      </c>
    </row>
    <row r="2788" customFormat="false" ht="15" hidden="false" customHeight="false" outlineLevel="0" collapsed="false">
      <c r="A2788" s="0" t="s">
        <v>410</v>
      </c>
      <c r="B2788" s="0" t="s">
        <v>411</v>
      </c>
      <c r="C2788" s="0" t="s">
        <v>322</v>
      </c>
      <c r="D2788" s="0" t="s">
        <v>189</v>
      </c>
      <c r="E2788" s="0" t="n">
        <v>7</v>
      </c>
      <c r="F2788" s="0" t="s">
        <v>50</v>
      </c>
      <c r="G2788" s="0" t="s">
        <v>51</v>
      </c>
      <c r="H2788" s="0" t="s">
        <v>51</v>
      </c>
      <c r="I2788" s="0" t="s">
        <v>34</v>
      </c>
      <c r="J2788" s="0" t="n">
        <v>1.31</v>
      </c>
      <c r="K2788" s="0" t="s">
        <v>35</v>
      </c>
      <c r="L2788" s="0" t="n">
        <f aca="false">INDEX(Summary!$F$2:$F$201,MATCH($B2788,Summary!$A$2:$A$201,0))</f>
        <v>20</v>
      </c>
      <c r="M2788" s="0" t="n">
        <f aca="false">INDEX(Summary!$I$2:$I$201,MATCH($B2788,Summary!$A$2:$A$201,0))</f>
        <v>3</v>
      </c>
      <c r="N2788" s="0" t="n">
        <f aca="false">INDEX(Summary!$J$2:$J$201,MATCH($B2788,Summary!$A$2:$A$201,0))</f>
        <v>2</v>
      </c>
      <c r="O2788" s="2" t="n">
        <f aca="false">INDEX(Summary!$K$2:$K$201,MATCH($B2788,Summary!$A$2:$A$201,0))</f>
        <v>10.27</v>
      </c>
      <c r="P2788" s="3" t="n">
        <f aca="false">INDEX(Summary!$L$2:$L$201,MATCH($B2788,Summary!$A$2:$A$201,0))</f>
        <v>4</v>
      </c>
      <c r="Q2788" s="3" t="n">
        <f aca="false">INDEX(Summary!$M$2:$M$201,MATCH($B2788,Summary!$A$2:$A$201,0))</f>
        <v>2</v>
      </c>
      <c r="R2788" s="2" t="n">
        <f aca="false">INDEX(Summary!$N$2:$N$201,MATCH($B2788,Summary!$A$2:$A$201,0))</f>
        <v>10.87</v>
      </c>
      <c r="S2788" s="3" t="n">
        <f aca="false">INDEX(Summary!$O$2:$O$201,MATCH($B2788,Summary!$A$2:$A$201,0))</f>
        <v>8</v>
      </c>
      <c r="T2788" s="3" t="n">
        <f aca="false">INDEX(Summary!$P$2:$P$201,MATCH($B2788,Summary!$A$2:$A$201,0))</f>
        <v>1</v>
      </c>
      <c r="U2788" s="2" t="n">
        <f aca="false">INDEX(Summary!$Q$2:$Q$201,MATCH($B2788,Summary!$A$2:$A$201,0))</f>
        <v>11.95</v>
      </c>
      <c r="V2788" s="2" t="n">
        <f aca="false">INDEX(Summary!$R$2:$R$201,MATCH($B2788,Summary!$A$2:$A$201,0))</f>
        <v>27.52</v>
      </c>
      <c r="W2788" s="0" t="str">
        <f aca="false">INDEX(Summary!$S$2:$S$201,MATCH($B2788,Summary!$A$2:$A$201,0))</f>
        <v>Silver</v>
      </c>
      <c r="X2788" s="2" t="n">
        <f aca="false">INDEX(Summary!$T$2:$T$201,MATCH($B2788,Summary!$A$2:$A$201,0))</f>
        <v>67.12</v>
      </c>
      <c r="Y2788" s="0" t="str">
        <f aca="false">INDEX('Reward Model'!$E$18:$E$37,MATCH($E2788,'Reward Model'!$A$18:$A$37,0))</f>
        <v>Low</v>
      </c>
      <c r="Z2788" s="4" t="n">
        <f aca="false">ROUND(MIN(1,MAX('Reward Model'!$B$2,INDEX('Reward Model'!$C$12:$C$14,MATCH($K2788,'Reward Model'!$A$12:$A$14,0))/$J2788)),3)</f>
        <v>1</v>
      </c>
      <c r="AA2788" s="2" t="n">
        <f aca="false">IF($I2788="Correct",ROUND(INDEX('Reward Model'!$B$12:$B$14,MATCH($K2788,'Reward Model'!$A$12:$A$14,0))*Z2788,2),0)</f>
        <v>1</v>
      </c>
      <c r="AB2788" s="2" t="n">
        <f aca="false">IF($I2788="Correct",ROUND(INDEX('Reward Model'!$B$12:$B$14,MATCH($Y2788,'Reward Model'!$A$12:$A$14,0))*Z2788,2),0)</f>
        <v>1</v>
      </c>
    </row>
    <row r="2789" customFormat="false" ht="15" hidden="false" customHeight="false" outlineLevel="0" collapsed="false">
      <c r="A2789" s="0" t="s">
        <v>410</v>
      </c>
      <c r="B2789" s="0" t="s">
        <v>411</v>
      </c>
      <c r="C2789" s="0" t="s">
        <v>322</v>
      </c>
      <c r="D2789" s="0" t="s">
        <v>189</v>
      </c>
      <c r="E2789" s="0" t="n">
        <v>8</v>
      </c>
      <c r="F2789" s="0" t="s">
        <v>52</v>
      </c>
      <c r="G2789" s="0" t="s">
        <v>54</v>
      </c>
      <c r="H2789" s="0" t="s">
        <v>54</v>
      </c>
      <c r="I2789" s="0" t="s">
        <v>34</v>
      </c>
      <c r="J2789" s="0" t="n">
        <v>1.92</v>
      </c>
      <c r="K2789" s="0" t="s">
        <v>35</v>
      </c>
      <c r="L2789" s="0" t="n">
        <f aca="false">INDEX(Summary!$F$2:$F$201,MATCH($B2789,Summary!$A$2:$A$201,0))</f>
        <v>20</v>
      </c>
      <c r="M2789" s="0" t="n">
        <f aca="false">INDEX(Summary!$I$2:$I$201,MATCH($B2789,Summary!$A$2:$A$201,0))</f>
        <v>3</v>
      </c>
      <c r="N2789" s="0" t="n">
        <f aca="false">INDEX(Summary!$J$2:$J$201,MATCH($B2789,Summary!$A$2:$A$201,0))</f>
        <v>2</v>
      </c>
      <c r="O2789" s="2" t="n">
        <f aca="false">INDEX(Summary!$K$2:$K$201,MATCH($B2789,Summary!$A$2:$A$201,0))</f>
        <v>10.27</v>
      </c>
      <c r="P2789" s="3" t="n">
        <f aca="false">INDEX(Summary!$L$2:$L$201,MATCH($B2789,Summary!$A$2:$A$201,0))</f>
        <v>4</v>
      </c>
      <c r="Q2789" s="3" t="n">
        <f aca="false">INDEX(Summary!$M$2:$M$201,MATCH($B2789,Summary!$A$2:$A$201,0))</f>
        <v>2</v>
      </c>
      <c r="R2789" s="2" t="n">
        <f aca="false">INDEX(Summary!$N$2:$N$201,MATCH($B2789,Summary!$A$2:$A$201,0))</f>
        <v>10.87</v>
      </c>
      <c r="S2789" s="3" t="n">
        <f aca="false">INDEX(Summary!$O$2:$O$201,MATCH($B2789,Summary!$A$2:$A$201,0))</f>
        <v>8</v>
      </c>
      <c r="T2789" s="3" t="n">
        <f aca="false">INDEX(Summary!$P$2:$P$201,MATCH($B2789,Summary!$A$2:$A$201,0))</f>
        <v>1</v>
      </c>
      <c r="U2789" s="2" t="n">
        <f aca="false">INDEX(Summary!$Q$2:$Q$201,MATCH($B2789,Summary!$A$2:$A$201,0))</f>
        <v>11.95</v>
      </c>
      <c r="V2789" s="2" t="n">
        <f aca="false">INDEX(Summary!$R$2:$R$201,MATCH($B2789,Summary!$A$2:$A$201,0))</f>
        <v>27.52</v>
      </c>
      <c r="W2789" s="0" t="str">
        <f aca="false">INDEX(Summary!$S$2:$S$201,MATCH($B2789,Summary!$A$2:$A$201,0))</f>
        <v>Silver</v>
      </c>
      <c r="X2789" s="2" t="n">
        <f aca="false">INDEX(Summary!$T$2:$T$201,MATCH($B2789,Summary!$A$2:$A$201,0))</f>
        <v>67.12</v>
      </c>
      <c r="Y2789" s="0" t="str">
        <f aca="false">INDEX('Reward Model'!$E$18:$E$37,MATCH($E2789,'Reward Model'!$A$18:$A$37,0))</f>
        <v>Medium</v>
      </c>
      <c r="Z2789" s="4" t="n">
        <f aca="false">ROUND(MIN(1,MAX('Reward Model'!$B$2,INDEX('Reward Model'!$C$12:$C$14,MATCH($K2789,'Reward Model'!$A$12:$A$14,0))/$J2789)),3)</f>
        <v>0.781</v>
      </c>
      <c r="AA2789" s="2" t="n">
        <f aca="false">IF($I2789="Correct",ROUND(INDEX('Reward Model'!$B$12:$B$14,MATCH($K2789,'Reward Model'!$A$12:$A$14,0))*Z2789,2),0)</f>
        <v>0.78</v>
      </c>
      <c r="AB2789" s="2" t="n">
        <f aca="false">IF($I2789="Correct",ROUND(INDEX('Reward Model'!$B$12:$B$14,MATCH($Y2789,'Reward Model'!$A$12:$A$14,0))*Z2789,2),0)</f>
        <v>1.56</v>
      </c>
    </row>
    <row r="2790" customFormat="false" ht="15" hidden="false" customHeight="false" outlineLevel="0" collapsed="false">
      <c r="A2790" s="0" t="s">
        <v>410</v>
      </c>
      <c r="B2790" s="0" t="s">
        <v>411</v>
      </c>
      <c r="C2790" s="0" t="s">
        <v>322</v>
      </c>
      <c r="D2790" s="0" t="s">
        <v>189</v>
      </c>
      <c r="E2790" s="0" t="n">
        <v>9</v>
      </c>
      <c r="F2790" s="0" t="s">
        <v>55</v>
      </c>
      <c r="G2790" s="0" t="s">
        <v>57</v>
      </c>
      <c r="H2790" s="0" t="s">
        <v>57</v>
      </c>
      <c r="I2790" s="0" t="s">
        <v>34</v>
      </c>
      <c r="J2790" s="0" t="n">
        <v>1.8</v>
      </c>
      <c r="K2790" s="0" t="s">
        <v>35</v>
      </c>
      <c r="L2790" s="0" t="n">
        <f aca="false">INDEX(Summary!$F$2:$F$201,MATCH($B2790,Summary!$A$2:$A$201,0))</f>
        <v>20</v>
      </c>
      <c r="M2790" s="0" t="n">
        <f aca="false">INDEX(Summary!$I$2:$I$201,MATCH($B2790,Summary!$A$2:$A$201,0))</f>
        <v>3</v>
      </c>
      <c r="N2790" s="0" t="n">
        <f aca="false">INDEX(Summary!$J$2:$J$201,MATCH($B2790,Summary!$A$2:$A$201,0))</f>
        <v>2</v>
      </c>
      <c r="O2790" s="2" t="n">
        <f aca="false">INDEX(Summary!$K$2:$K$201,MATCH($B2790,Summary!$A$2:$A$201,0))</f>
        <v>10.27</v>
      </c>
      <c r="P2790" s="3" t="n">
        <f aca="false">INDEX(Summary!$L$2:$L$201,MATCH($B2790,Summary!$A$2:$A$201,0))</f>
        <v>4</v>
      </c>
      <c r="Q2790" s="3" t="n">
        <f aca="false">INDEX(Summary!$M$2:$M$201,MATCH($B2790,Summary!$A$2:$A$201,0))</f>
        <v>2</v>
      </c>
      <c r="R2790" s="2" t="n">
        <f aca="false">INDEX(Summary!$N$2:$N$201,MATCH($B2790,Summary!$A$2:$A$201,0))</f>
        <v>10.87</v>
      </c>
      <c r="S2790" s="3" t="n">
        <f aca="false">INDEX(Summary!$O$2:$O$201,MATCH($B2790,Summary!$A$2:$A$201,0))</f>
        <v>8</v>
      </c>
      <c r="T2790" s="3" t="n">
        <f aca="false">INDEX(Summary!$P$2:$P$201,MATCH($B2790,Summary!$A$2:$A$201,0))</f>
        <v>1</v>
      </c>
      <c r="U2790" s="2" t="n">
        <f aca="false">INDEX(Summary!$Q$2:$Q$201,MATCH($B2790,Summary!$A$2:$A$201,0))</f>
        <v>11.95</v>
      </c>
      <c r="V2790" s="2" t="n">
        <f aca="false">INDEX(Summary!$R$2:$R$201,MATCH($B2790,Summary!$A$2:$A$201,0))</f>
        <v>27.52</v>
      </c>
      <c r="W2790" s="0" t="str">
        <f aca="false">INDEX(Summary!$S$2:$S$201,MATCH($B2790,Summary!$A$2:$A$201,0))</f>
        <v>Silver</v>
      </c>
      <c r="X2790" s="2" t="n">
        <f aca="false">INDEX(Summary!$T$2:$T$201,MATCH($B2790,Summary!$A$2:$A$201,0))</f>
        <v>67.12</v>
      </c>
      <c r="Y2790" s="0" t="str">
        <f aca="false">INDEX('Reward Model'!$E$18:$E$37,MATCH($E2790,'Reward Model'!$A$18:$A$37,0))</f>
        <v>Medium</v>
      </c>
      <c r="Z2790" s="4" t="n">
        <f aca="false">ROUND(MIN(1,MAX('Reward Model'!$B$2,INDEX('Reward Model'!$C$12:$C$14,MATCH($K2790,'Reward Model'!$A$12:$A$14,0))/$J2790)),3)</f>
        <v>0.833</v>
      </c>
      <c r="AA2790" s="2" t="n">
        <f aca="false">IF($I2790="Correct",ROUND(INDEX('Reward Model'!$B$12:$B$14,MATCH($K2790,'Reward Model'!$A$12:$A$14,0))*Z2790,2),0)</f>
        <v>0.83</v>
      </c>
      <c r="AB2790" s="2" t="n">
        <f aca="false">IF($I2790="Correct",ROUND(INDEX('Reward Model'!$B$12:$B$14,MATCH($Y2790,'Reward Model'!$A$12:$A$14,0))*Z2790,2),0)</f>
        <v>1.67</v>
      </c>
    </row>
    <row r="2791" customFormat="false" ht="15" hidden="false" customHeight="false" outlineLevel="0" collapsed="false">
      <c r="A2791" s="0" t="s">
        <v>410</v>
      </c>
      <c r="B2791" s="0" t="s">
        <v>411</v>
      </c>
      <c r="C2791" s="0" t="s">
        <v>322</v>
      </c>
      <c r="D2791" s="0" t="s">
        <v>189</v>
      </c>
      <c r="E2791" s="0" t="n">
        <v>10</v>
      </c>
      <c r="F2791" s="0" t="s">
        <v>58</v>
      </c>
      <c r="G2791" s="0" t="s">
        <v>174</v>
      </c>
      <c r="H2791" s="0" t="s">
        <v>59</v>
      </c>
      <c r="I2791" s="0" t="s">
        <v>39</v>
      </c>
      <c r="J2791" s="0" t="n">
        <v>1.91</v>
      </c>
      <c r="K2791" s="0" t="s">
        <v>60</v>
      </c>
      <c r="L2791" s="0" t="n">
        <f aca="false">INDEX(Summary!$F$2:$F$201,MATCH($B2791,Summary!$A$2:$A$201,0))</f>
        <v>20</v>
      </c>
      <c r="M2791" s="0" t="n">
        <f aca="false">INDEX(Summary!$I$2:$I$201,MATCH($B2791,Summary!$A$2:$A$201,0))</f>
        <v>3</v>
      </c>
      <c r="N2791" s="0" t="n">
        <f aca="false">INDEX(Summary!$J$2:$J$201,MATCH($B2791,Summary!$A$2:$A$201,0))</f>
        <v>2</v>
      </c>
      <c r="O2791" s="2" t="n">
        <f aca="false">INDEX(Summary!$K$2:$K$201,MATCH($B2791,Summary!$A$2:$A$201,0))</f>
        <v>10.27</v>
      </c>
      <c r="P2791" s="3" t="n">
        <f aca="false">INDEX(Summary!$L$2:$L$201,MATCH($B2791,Summary!$A$2:$A$201,0))</f>
        <v>4</v>
      </c>
      <c r="Q2791" s="3" t="n">
        <f aca="false">INDEX(Summary!$M$2:$M$201,MATCH($B2791,Summary!$A$2:$A$201,0))</f>
        <v>2</v>
      </c>
      <c r="R2791" s="2" t="n">
        <f aca="false">INDEX(Summary!$N$2:$N$201,MATCH($B2791,Summary!$A$2:$A$201,0))</f>
        <v>10.87</v>
      </c>
      <c r="S2791" s="3" t="n">
        <f aca="false">INDEX(Summary!$O$2:$O$201,MATCH($B2791,Summary!$A$2:$A$201,0))</f>
        <v>8</v>
      </c>
      <c r="T2791" s="3" t="n">
        <f aca="false">INDEX(Summary!$P$2:$P$201,MATCH($B2791,Summary!$A$2:$A$201,0))</f>
        <v>1</v>
      </c>
      <c r="U2791" s="2" t="n">
        <f aca="false">INDEX(Summary!$Q$2:$Q$201,MATCH($B2791,Summary!$A$2:$A$201,0))</f>
        <v>11.95</v>
      </c>
      <c r="V2791" s="2" t="n">
        <f aca="false">INDEX(Summary!$R$2:$R$201,MATCH($B2791,Summary!$A$2:$A$201,0))</f>
        <v>27.52</v>
      </c>
      <c r="W2791" s="0" t="str">
        <f aca="false">INDEX(Summary!$S$2:$S$201,MATCH($B2791,Summary!$A$2:$A$201,0))</f>
        <v>Silver</v>
      </c>
      <c r="X2791" s="2" t="n">
        <f aca="false">INDEX(Summary!$T$2:$T$201,MATCH($B2791,Summary!$A$2:$A$201,0))</f>
        <v>67.12</v>
      </c>
      <c r="Y2791" s="0" t="str">
        <f aca="false">INDEX('Reward Model'!$E$18:$E$37,MATCH($E2791,'Reward Model'!$A$18:$A$37,0))</f>
        <v>Medium</v>
      </c>
      <c r="Z2791" s="4" t="n">
        <f aca="false">ROUND(MIN(1,MAX('Reward Model'!$B$2,INDEX('Reward Model'!$C$12:$C$14,MATCH($K2791,'Reward Model'!$A$12:$A$14,0))/$J2791)),3)</f>
        <v>0.942</v>
      </c>
      <c r="AA2791" s="2" t="n">
        <f aca="false">IF($I2791="Correct",ROUND(INDEX('Reward Model'!$B$12:$B$14,MATCH($K2791,'Reward Model'!$A$12:$A$14,0))*Z2791,2),0)</f>
        <v>0</v>
      </c>
      <c r="AB2791" s="2" t="n">
        <f aca="false">IF($I2791="Correct",ROUND(INDEX('Reward Model'!$B$12:$B$14,MATCH($Y2791,'Reward Model'!$A$12:$A$14,0))*Z2791,2),0)</f>
        <v>0</v>
      </c>
    </row>
    <row r="2792" customFormat="false" ht="15" hidden="false" customHeight="false" outlineLevel="0" collapsed="false">
      <c r="A2792" s="0" t="s">
        <v>410</v>
      </c>
      <c r="B2792" s="0" t="s">
        <v>411</v>
      </c>
      <c r="C2792" s="0" t="s">
        <v>322</v>
      </c>
      <c r="D2792" s="0" t="s">
        <v>189</v>
      </c>
      <c r="E2792" s="0" t="n">
        <v>11</v>
      </c>
      <c r="F2792" s="0" t="s">
        <v>61</v>
      </c>
      <c r="G2792" s="0" t="s">
        <v>63</v>
      </c>
      <c r="H2792" s="0" t="s">
        <v>63</v>
      </c>
      <c r="I2792" s="0" t="s">
        <v>34</v>
      </c>
      <c r="J2792" s="0" t="n">
        <v>1.31</v>
      </c>
      <c r="K2792" s="0" t="s">
        <v>60</v>
      </c>
      <c r="L2792" s="0" t="n">
        <f aca="false">INDEX(Summary!$F$2:$F$201,MATCH($B2792,Summary!$A$2:$A$201,0))</f>
        <v>20</v>
      </c>
      <c r="M2792" s="0" t="n">
        <f aca="false">INDEX(Summary!$I$2:$I$201,MATCH($B2792,Summary!$A$2:$A$201,0))</f>
        <v>3</v>
      </c>
      <c r="N2792" s="0" t="n">
        <f aca="false">INDEX(Summary!$J$2:$J$201,MATCH($B2792,Summary!$A$2:$A$201,0))</f>
        <v>2</v>
      </c>
      <c r="O2792" s="2" t="n">
        <f aca="false">INDEX(Summary!$K$2:$K$201,MATCH($B2792,Summary!$A$2:$A$201,0))</f>
        <v>10.27</v>
      </c>
      <c r="P2792" s="3" t="n">
        <f aca="false">INDEX(Summary!$L$2:$L$201,MATCH($B2792,Summary!$A$2:$A$201,0))</f>
        <v>4</v>
      </c>
      <c r="Q2792" s="3" t="n">
        <f aca="false">INDEX(Summary!$M$2:$M$201,MATCH($B2792,Summary!$A$2:$A$201,0))</f>
        <v>2</v>
      </c>
      <c r="R2792" s="2" t="n">
        <f aca="false">INDEX(Summary!$N$2:$N$201,MATCH($B2792,Summary!$A$2:$A$201,0))</f>
        <v>10.87</v>
      </c>
      <c r="S2792" s="3" t="n">
        <f aca="false">INDEX(Summary!$O$2:$O$201,MATCH($B2792,Summary!$A$2:$A$201,0))</f>
        <v>8</v>
      </c>
      <c r="T2792" s="3" t="n">
        <f aca="false">INDEX(Summary!$P$2:$P$201,MATCH($B2792,Summary!$A$2:$A$201,0))</f>
        <v>1</v>
      </c>
      <c r="U2792" s="2" t="n">
        <f aca="false">INDEX(Summary!$Q$2:$Q$201,MATCH($B2792,Summary!$A$2:$A$201,0))</f>
        <v>11.95</v>
      </c>
      <c r="V2792" s="2" t="n">
        <f aca="false">INDEX(Summary!$R$2:$R$201,MATCH($B2792,Summary!$A$2:$A$201,0))</f>
        <v>27.52</v>
      </c>
      <c r="W2792" s="0" t="str">
        <f aca="false">INDEX(Summary!$S$2:$S$201,MATCH($B2792,Summary!$A$2:$A$201,0))</f>
        <v>Silver</v>
      </c>
      <c r="X2792" s="2" t="n">
        <f aca="false">INDEX(Summary!$T$2:$T$201,MATCH($B2792,Summary!$A$2:$A$201,0))</f>
        <v>67.12</v>
      </c>
      <c r="Y2792" s="0" t="str">
        <f aca="false">INDEX('Reward Model'!$E$18:$E$37,MATCH($E2792,'Reward Model'!$A$18:$A$37,0))</f>
        <v>Medium</v>
      </c>
      <c r="Z2792" s="4" t="n">
        <f aca="false">ROUND(MIN(1,MAX('Reward Model'!$B$2,INDEX('Reward Model'!$C$12:$C$14,MATCH($K2792,'Reward Model'!$A$12:$A$14,0))/$J2792)),3)</f>
        <v>1</v>
      </c>
      <c r="AA2792" s="2" t="n">
        <f aca="false">IF($I2792="Correct",ROUND(INDEX('Reward Model'!$B$12:$B$14,MATCH($K2792,'Reward Model'!$A$12:$A$14,0))*Z2792,2),0)</f>
        <v>2</v>
      </c>
      <c r="AB2792" s="2" t="n">
        <f aca="false">IF($I2792="Correct",ROUND(INDEX('Reward Model'!$B$12:$B$14,MATCH($Y2792,'Reward Model'!$A$12:$A$14,0))*Z2792,2),0)</f>
        <v>2</v>
      </c>
    </row>
    <row r="2793" customFormat="false" ht="15" hidden="false" customHeight="false" outlineLevel="0" collapsed="false">
      <c r="A2793" s="0" t="s">
        <v>410</v>
      </c>
      <c r="B2793" s="0" t="s">
        <v>411</v>
      </c>
      <c r="C2793" s="0" t="s">
        <v>322</v>
      </c>
      <c r="D2793" s="0" t="s">
        <v>189</v>
      </c>
      <c r="E2793" s="0" t="n">
        <v>12</v>
      </c>
      <c r="F2793" s="0" t="s">
        <v>64</v>
      </c>
      <c r="G2793" s="0" t="s">
        <v>65</v>
      </c>
      <c r="H2793" s="0" t="s">
        <v>65</v>
      </c>
      <c r="I2793" s="0" t="s">
        <v>34</v>
      </c>
      <c r="J2793" s="0" t="n">
        <v>1.1</v>
      </c>
      <c r="K2793" s="0" t="s">
        <v>60</v>
      </c>
      <c r="L2793" s="0" t="n">
        <f aca="false">INDEX(Summary!$F$2:$F$201,MATCH($B2793,Summary!$A$2:$A$201,0))</f>
        <v>20</v>
      </c>
      <c r="M2793" s="0" t="n">
        <f aca="false">INDEX(Summary!$I$2:$I$201,MATCH($B2793,Summary!$A$2:$A$201,0))</f>
        <v>3</v>
      </c>
      <c r="N2793" s="0" t="n">
        <f aca="false">INDEX(Summary!$J$2:$J$201,MATCH($B2793,Summary!$A$2:$A$201,0))</f>
        <v>2</v>
      </c>
      <c r="O2793" s="2" t="n">
        <f aca="false">INDEX(Summary!$K$2:$K$201,MATCH($B2793,Summary!$A$2:$A$201,0))</f>
        <v>10.27</v>
      </c>
      <c r="P2793" s="3" t="n">
        <f aca="false">INDEX(Summary!$L$2:$L$201,MATCH($B2793,Summary!$A$2:$A$201,0))</f>
        <v>4</v>
      </c>
      <c r="Q2793" s="3" t="n">
        <f aca="false">INDEX(Summary!$M$2:$M$201,MATCH($B2793,Summary!$A$2:$A$201,0))</f>
        <v>2</v>
      </c>
      <c r="R2793" s="2" t="n">
        <f aca="false">INDEX(Summary!$N$2:$N$201,MATCH($B2793,Summary!$A$2:$A$201,0))</f>
        <v>10.87</v>
      </c>
      <c r="S2793" s="3" t="n">
        <f aca="false">INDEX(Summary!$O$2:$O$201,MATCH($B2793,Summary!$A$2:$A$201,0))</f>
        <v>8</v>
      </c>
      <c r="T2793" s="3" t="n">
        <f aca="false">INDEX(Summary!$P$2:$P$201,MATCH($B2793,Summary!$A$2:$A$201,0))</f>
        <v>1</v>
      </c>
      <c r="U2793" s="2" t="n">
        <f aca="false">INDEX(Summary!$Q$2:$Q$201,MATCH($B2793,Summary!$A$2:$A$201,0))</f>
        <v>11.95</v>
      </c>
      <c r="V2793" s="2" t="n">
        <f aca="false">INDEX(Summary!$R$2:$R$201,MATCH($B2793,Summary!$A$2:$A$201,0))</f>
        <v>27.52</v>
      </c>
      <c r="W2793" s="0" t="str">
        <f aca="false">INDEX(Summary!$S$2:$S$201,MATCH($B2793,Summary!$A$2:$A$201,0))</f>
        <v>Silver</v>
      </c>
      <c r="X2793" s="2" t="n">
        <f aca="false">INDEX(Summary!$T$2:$T$201,MATCH($B2793,Summary!$A$2:$A$201,0))</f>
        <v>67.12</v>
      </c>
      <c r="Y2793" s="0" t="str">
        <f aca="false">INDEX('Reward Model'!$E$18:$E$37,MATCH($E2793,'Reward Model'!$A$18:$A$37,0))</f>
        <v>Medium</v>
      </c>
      <c r="Z2793" s="4" t="n">
        <f aca="false">ROUND(MIN(1,MAX('Reward Model'!$B$2,INDEX('Reward Model'!$C$12:$C$14,MATCH($K2793,'Reward Model'!$A$12:$A$14,0))/$J2793)),3)</f>
        <v>1</v>
      </c>
      <c r="AA2793" s="2" t="n">
        <f aca="false">IF($I2793="Correct",ROUND(INDEX('Reward Model'!$B$12:$B$14,MATCH($K2793,'Reward Model'!$A$12:$A$14,0))*Z2793,2),0)</f>
        <v>2</v>
      </c>
      <c r="AB2793" s="2" t="n">
        <f aca="false">IF($I2793="Correct",ROUND(INDEX('Reward Model'!$B$12:$B$14,MATCH($Y2793,'Reward Model'!$A$12:$A$14,0))*Z2793,2),0)</f>
        <v>2</v>
      </c>
    </row>
    <row r="2794" customFormat="false" ht="15" hidden="false" customHeight="false" outlineLevel="0" collapsed="false">
      <c r="A2794" s="0" t="s">
        <v>410</v>
      </c>
      <c r="B2794" s="0" t="s">
        <v>411</v>
      </c>
      <c r="C2794" s="0" t="s">
        <v>322</v>
      </c>
      <c r="D2794" s="0" t="s">
        <v>189</v>
      </c>
      <c r="E2794" s="0" t="n">
        <v>13</v>
      </c>
      <c r="F2794" s="0" t="s">
        <v>66</v>
      </c>
      <c r="G2794" s="0" t="s">
        <v>67</v>
      </c>
      <c r="H2794" s="0" t="s">
        <v>67</v>
      </c>
      <c r="I2794" s="0" t="s">
        <v>34</v>
      </c>
      <c r="J2794" s="0" t="n">
        <v>2.2</v>
      </c>
      <c r="K2794" s="0" t="s">
        <v>60</v>
      </c>
      <c r="L2794" s="0" t="n">
        <f aca="false">INDEX(Summary!$F$2:$F$201,MATCH($B2794,Summary!$A$2:$A$201,0))</f>
        <v>20</v>
      </c>
      <c r="M2794" s="0" t="n">
        <f aca="false">INDEX(Summary!$I$2:$I$201,MATCH($B2794,Summary!$A$2:$A$201,0))</f>
        <v>3</v>
      </c>
      <c r="N2794" s="0" t="n">
        <f aca="false">INDEX(Summary!$J$2:$J$201,MATCH($B2794,Summary!$A$2:$A$201,0))</f>
        <v>2</v>
      </c>
      <c r="O2794" s="2" t="n">
        <f aca="false">INDEX(Summary!$K$2:$K$201,MATCH($B2794,Summary!$A$2:$A$201,0))</f>
        <v>10.27</v>
      </c>
      <c r="P2794" s="3" t="n">
        <f aca="false">INDEX(Summary!$L$2:$L$201,MATCH($B2794,Summary!$A$2:$A$201,0))</f>
        <v>4</v>
      </c>
      <c r="Q2794" s="3" t="n">
        <f aca="false">INDEX(Summary!$M$2:$M$201,MATCH($B2794,Summary!$A$2:$A$201,0))</f>
        <v>2</v>
      </c>
      <c r="R2794" s="2" t="n">
        <f aca="false">INDEX(Summary!$N$2:$N$201,MATCH($B2794,Summary!$A$2:$A$201,0))</f>
        <v>10.87</v>
      </c>
      <c r="S2794" s="3" t="n">
        <f aca="false">INDEX(Summary!$O$2:$O$201,MATCH($B2794,Summary!$A$2:$A$201,0))</f>
        <v>8</v>
      </c>
      <c r="T2794" s="3" t="n">
        <f aca="false">INDEX(Summary!$P$2:$P$201,MATCH($B2794,Summary!$A$2:$A$201,0))</f>
        <v>1</v>
      </c>
      <c r="U2794" s="2" t="n">
        <f aca="false">INDEX(Summary!$Q$2:$Q$201,MATCH($B2794,Summary!$A$2:$A$201,0))</f>
        <v>11.95</v>
      </c>
      <c r="V2794" s="2" t="n">
        <f aca="false">INDEX(Summary!$R$2:$R$201,MATCH($B2794,Summary!$A$2:$A$201,0))</f>
        <v>27.52</v>
      </c>
      <c r="W2794" s="0" t="str">
        <f aca="false">INDEX(Summary!$S$2:$S$201,MATCH($B2794,Summary!$A$2:$A$201,0))</f>
        <v>Silver</v>
      </c>
      <c r="X2794" s="2" t="n">
        <f aca="false">INDEX(Summary!$T$2:$T$201,MATCH($B2794,Summary!$A$2:$A$201,0))</f>
        <v>67.12</v>
      </c>
      <c r="Y2794" s="0" t="str">
        <f aca="false">INDEX('Reward Model'!$E$18:$E$37,MATCH($E2794,'Reward Model'!$A$18:$A$37,0))</f>
        <v>Medium</v>
      </c>
      <c r="Z2794" s="4" t="n">
        <f aca="false">ROUND(MIN(1,MAX('Reward Model'!$B$2,INDEX('Reward Model'!$C$12:$C$14,MATCH($K2794,'Reward Model'!$A$12:$A$14,0))/$J2794)),3)</f>
        <v>0.818</v>
      </c>
      <c r="AA2794" s="2" t="n">
        <f aca="false">IF($I2794="Correct",ROUND(INDEX('Reward Model'!$B$12:$B$14,MATCH($K2794,'Reward Model'!$A$12:$A$14,0))*Z2794,2),0)</f>
        <v>1.64</v>
      </c>
      <c r="AB2794" s="2" t="n">
        <f aca="false">IF($I2794="Correct",ROUND(INDEX('Reward Model'!$B$12:$B$14,MATCH($Y2794,'Reward Model'!$A$12:$A$14,0))*Z2794,2),0)</f>
        <v>1.64</v>
      </c>
    </row>
    <row r="2795" customFormat="false" ht="15" hidden="false" customHeight="false" outlineLevel="0" collapsed="false">
      <c r="A2795" s="0" t="s">
        <v>410</v>
      </c>
      <c r="B2795" s="0" t="s">
        <v>411</v>
      </c>
      <c r="C2795" s="0" t="s">
        <v>322</v>
      </c>
      <c r="D2795" s="0" t="s">
        <v>189</v>
      </c>
      <c r="E2795" s="0" t="n">
        <v>14</v>
      </c>
      <c r="F2795" s="0" t="s">
        <v>68</v>
      </c>
      <c r="G2795" s="0" t="s">
        <v>86</v>
      </c>
      <c r="H2795" s="0" t="s">
        <v>51</v>
      </c>
      <c r="I2795" s="0" t="s">
        <v>39</v>
      </c>
      <c r="J2795" s="0" t="n">
        <v>2.22</v>
      </c>
      <c r="K2795" s="0" t="s">
        <v>60</v>
      </c>
      <c r="L2795" s="0" t="n">
        <f aca="false">INDEX(Summary!$F$2:$F$201,MATCH($B2795,Summary!$A$2:$A$201,0))</f>
        <v>20</v>
      </c>
      <c r="M2795" s="0" t="n">
        <f aca="false">INDEX(Summary!$I$2:$I$201,MATCH($B2795,Summary!$A$2:$A$201,0))</f>
        <v>3</v>
      </c>
      <c r="N2795" s="0" t="n">
        <f aca="false">INDEX(Summary!$J$2:$J$201,MATCH($B2795,Summary!$A$2:$A$201,0))</f>
        <v>2</v>
      </c>
      <c r="O2795" s="2" t="n">
        <f aca="false">INDEX(Summary!$K$2:$K$201,MATCH($B2795,Summary!$A$2:$A$201,0))</f>
        <v>10.27</v>
      </c>
      <c r="P2795" s="3" t="n">
        <f aca="false">INDEX(Summary!$L$2:$L$201,MATCH($B2795,Summary!$A$2:$A$201,0))</f>
        <v>4</v>
      </c>
      <c r="Q2795" s="3" t="n">
        <f aca="false">INDEX(Summary!$M$2:$M$201,MATCH($B2795,Summary!$A$2:$A$201,0))</f>
        <v>2</v>
      </c>
      <c r="R2795" s="2" t="n">
        <f aca="false">INDEX(Summary!$N$2:$N$201,MATCH($B2795,Summary!$A$2:$A$201,0))</f>
        <v>10.87</v>
      </c>
      <c r="S2795" s="3" t="n">
        <f aca="false">INDEX(Summary!$O$2:$O$201,MATCH($B2795,Summary!$A$2:$A$201,0))</f>
        <v>8</v>
      </c>
      <c r="T2795" s="3" t="n">
        <f aca="false">INDEX(Summary!$P$2:$P$201,MATCH($B2795,Summary!$A$2:$A$201,0))</f>
        <v>1</v>
      </c>
      <c r="U2795" s="2" t="n">
        <f aca="false">INDEX(Summary!$Q$2:$Q$201,MATCH($B2795,Summary!$A$2:$A$201,0))</f>
        <v>11.95</v>
      </c>
      <c r="V2795" s="2" t="n">
        <f aca="false">INDEX(Summary!$R$2:$R$201,MATCH($B2795,Summary!$A$2:$A$201,0))</f>
        <v>27.52</v>
      </c>
      <c r="W2795" s="0" t="str">
        <f aca="false">INDEX(Summary!$S$2:$S$201,MATCH($B2795,Summary!$A$2:$A$201,0))</f>
        <v>Silver</v>
      </c>
      <c r="X2795" s="2" t="n">
        <f aca="false">INDEX(Summary!$T$2:$T$201,MATCH($B2795,Summary!$A$2:$A$201,0))</f>
        <v>67.12</v>
      </c>
      <c r="Y2795" s="0" t="str">
        <f aca="false">INDEX('Reward Model'!$E$18:$E$37,MATCH($E2795,'Reward Model'!$A$18:$A$37,0))</f>
        <v>Medium</v>
      </c>
      <c r="Z2795" s="4" t="n">
        <f aca="false">ROUND(MIN(1,MAX('Reward Model'!$B$2,INDEX('Reward Model'!$C$12:$C$14,MATCH($K2795,'Reward Model'!$A$12:$A$14,0))/$J2795)),3)</f>
        <v>0.811</v>
      </c>
      <c r="AA2795" s="2" t="n">
        <f aca="false">IF($I2795="Correct",ROUND(INDEX('Reward Model'!$B$12:$B$14,MATCH($K2795,'Reward Model'!$A$12:$A$14,0))*Z2795,2),0)</f>
        <v>0</v>
      </c>
      <c r="AB2795" s="2" t="n">
        <f aca="false">IF($I2795="Correct",ROUND(INDEX('Reward Model'!$B$12:$B$14,MATCH($Y2795,'Reward Model'!$A$12:$A$14,0))*Z2795,2),0)</f>
        <v>0</v>
      </c>
    </row>
    <row r="2796" customFormat="false" ht="15" hidden="false" customHeight="false" outlineLevel="0" collapsed="false">
      <c r="A2796" s="0" t="s">
        <v>410</v>
      </c>
      <c r="B2796" s="0" t="s">
        <v>411</v>
      </c>
      <c r="C2796" s="0" t="s">
        <v>322</v>
      </c>
      <c r="D2796" s="0" t="s">
        <v>189</v>
      </c>
      <c r="E2796" s="0" t="n">
        <v>15</v>
      </c>
      <c r="F2796" s="0" t="s">
        <v>69</v>
      </c>
      <c r="G2796" s="0" t="s">
        <v>70</v>
      </c>
      <c r="H2796" s="0" t="s">
        <v>70</v>
      </c>
      <c r="I2796" s="0" t="s">
        <v>34</v>
      </c>
      <c r="J2796" s="0" t="n">
        <v>2.13</v>
      </c>
      <c r="K2796" s="0" t="s">
        <v>60</v>
      </c>
      <c r="L2796" s="0" t="n">
        <f aca="false">INDEX(Summary!$F$2:$F$201,MATCH($B2796,Summary!$A$2:$A$201,0))</f>
        <v>20</v>
      </c>
      <c r="M2796" s="0" t="n">
        <f aca="false">INDEX(Summary!$I$2:$I$201,MATCH($B2796,Summary!$A$2:$A$201,0))</f>
        <v>3</v>
      </c>
      <c r="N2796" s="0" t="n">
        <f aca="false">INDEX(Summary!$J$2:$J$201,MATCH($B2796,Summary!$A$2:$A$201,0))</f>
        <v>2</v>
      </c>
      <c r="O2796" s="2" t="n">
        <f aca="false">INDEX(Summary!$K$2:$K$201,MATCH($B2796,Summary!$A$2:$A$201,0))</f>
        <v>10.27</v>
      </c>
      <c r="P2796" s="3" t="n">
        <f aca="false">INDEX(Summary!$L$2:$L$201,MATCH($B2796,Summary!$A$2:$A$201,0))</f>
        <v>4</v>
      </c>
      <c r="Q2796" s="3" t="n">
        <f aca="false">INDEX(Summary!$M$2:$M$201,MATCH($B2796,Summary!$A$2:$A$201,0))</f>
        <v>2</v>
      </c>
      <c r="R2796" s="2" t="n">
        <f aca="false">INDEX(Summary!$N$2:$N$201,MATCH($B2796,Summary!$A$2:$A$201,0))</f>
        <v>10.87</v>
      </c>
      <c r="S2796" s="3" t="n">
        <f aca="false">INDEX(Summary!$O$2:$O$201,MATCH($B2796,Summary!$A$2:$A$201,0))</f>
        <v>8</v>
      </c>
      <c r="T2796" s="3" t="n">
        <f aca="false">INDEX(Summary!$P$2:$P$201,MATCH($B2796,Summary!$A$2:$A$201,0))</f>
        <v>1</v>
      </c>
      <c r="U2796" s="2" t="n">
        <f aca="false">INDEX(Summary!$Q$2:$Q$201,MATCH($B2796,Summary!$A$2:$A$201,0))</f>
        <v>11.95</v>
      </c>
      <c r="V2796" s="2" t="n">
        <f aca="false">INDEX(Summary!$R$2:$R$201,MATCH($B2796,Summary!$A$2:$A$201,0))</f>
        <v>27.52</v>
      </c>
      <c r="W2796" s="0" t="str">
        <f aca="false">INDEX(Summary!$S$2:$S$201,MATCH($B2796,Summary!$A$2:$A$201,0))</f>
        <v>Silver</v>
      </c>
      <c r="X2796" s="2" t="n">
        <f aca="false">INDEX(Summary!$T$2:$T$201,MATCH($B2796,Summary!$A$2:$A$201,0))</f>
        <v>67.12</v>
      </c>
      <c r="Y2796" s="0" t="str">
        <f aca="false">INDEX('Reward Model'!$E$18:$E$37,MATCH($E2796,'Reward Model'!$A$18:$A$37,0))</f>
        <v>Medium</v>
      </c>
      <c r="Z2796" s="4" t="n">
        <f aca="false">ROUND(MIN(1,MAX('Reward Model'!$B$2,INDEX('Reward Model'!$C$12:$C$14,MATCH($K2796,'Reward Model'!$A$12:$A$14,0))/$J2796)),3)</f>
        <v>0.845</v>
      </c>
      <c r="AA2796" s="2" t="n">
        <f aca="false">IF($I2796="Correct",ROUND(INDEX('Reward Model'!$B$12:$B$14,MATCH($K2796,'Reward Model'!$A$12:$A$14,0))*Z2796,2),0)</f>
        <v>1.69</v>
      </c>
      <c r="AB2796" s="2" t="n">
        <f aca="false">IF($I2796="Correct",ROUND(INDEX('Reward Model'!$B$12:$B$14,MATCH($Y2796,'Reward Model'!$A$12:$A$14,0))*Z2796,2),0)</f>
        <v>1.69</v>
      </c>
    </row>
    <row r="2797" customFormat="false" ht="15" hidden="false" customHeight="false" outlineLevel="0" collapsed="false">
      <c r="A2797" s="0" t="s">
        <v>410</v>
      </c>
      <c r="B2797" s="0" t="s">
        <v>411</v>
      </c>
      <c r="C2797" s="0" t="s">
        <v>322</v>
      </c>
      <c r="D2797" s="0" t="s">
        <v>189</v>
      </c>
      <c r="E2797" s="0" t="n">
        <v>16</v>
      </c>
      <c r="F2797" s="0" t="s">
        <v>71</v>
      </c>
      <c r="G2797" s="0" t="s">
        <v>72</v>
      </c>
      <c r="H2797" s="0" t="s">
        <v>72</v>
      </c>
      <c r="I2797" s="0" t="s">
        <v>34</v>
      </c>
      <c r="J2797" s="0" t="n">
        <v>2.26</v>
      </c>
      <c r="K2797" s="0" t="s">
        <v>73</v>
      </c>
      <c r="L2797" s="0" t="n">
        <f aca="false">INDEX(Summary!$F$2:$F$201,MATCH($B2797,Summary!$A$2:$A$201,0))</f>
        <v>20</v>
      </c>
      <c r="M2797" s="0" t="n">
        <f aca="false">INDEX(Summary!$I$2:$I$201,MATCH($B2797,Summary!$A$2:$A$201,0))</f>
        <v>3</v>
      </c>
      <c r="N2797" s="0" t="n">
        <f aca="false">INDEX(Summary!$J$2:$J$201,MATCH($B2797,Summary!$A$2:$A$201,0))</f>
        <v>2</v>
      </c>
      <c r="O2797" s="2" t="n">
        <f aca="false">INDEX(Summary!$K$2:$K$201,MATCH($B2797,Summary!$A$2:$A$201,0))</f>
        <v>10.27</v>
      </c>
      <c r="P2797" s="3" t="n">
        <f aca="false">INDEX(Summary!$L$2:$L$201,MATCH($B2797,Summary!$A$2:$A$201,0))</f>
        <v>4</v>
      </c>
      <c r="Q2797" s="3" t="n">
        <f aca="false">INDEX(Summary!$M$2:$M$201,MATCH($B2797,Summary!$A$2:$A$201,0))</f>
        <v>2</v>
      </c>
      <c r="R2797" s="2" t="n">
        <f aca="false">INDEX(Summary!$N$2:$N$201,MATCH($B2797,Summary!$A$2:$A$201,0))</f>
        <v>10.87</v>
      </c>
      <c r="S2797" s="3" t="n">
        <f aca="false">INDEX(Summary!$O$2:$O$201,MATCH($B2797,Summary!$A$2:$A$201,0))</f>
        <v>8</v>
      </c>
      <c r="T2797" s="3" t="n">
        <f aca="false">INDEX(Summary!$P$2:$P$201,MATCH($B2797,Summary!$A$2:$A$201,0))</f>
        <v>1</v>
      </c>
      <c r="U2797" s="2" t="n">
        <f aca="false">INDEX(Summary!$Q$2:$Q$201,MATCH($B2797,Summary!$A$2:$A$201,0))</f>
        <v>11.95</v>
      </c>
      <c r="V2797" s="2" t="n">
        <f aca="false">INDEX(Summary!$R$2:$R$201,MATCH($B2797,Summary!$A$2:$A$201,0))</f>
        <v>27.52</v>
      </c>
      <c r="W2797" s="0" t="str">
        <f aca="false">INDEX(Summary!$S$2:$S$201,MATCH($B2797,Summary!$A$2:$A$201,0))</f>
        <v>Silver</v>
      </c>
      <c r="X2797" s="2" t="n">
        <f aca="false">INDEX(Summary!$T$2:$T$201,MATCH($B2797,Summary!$A$2:$A$201,0))</f>
        <v>67.12</v>
      </c>
      <c r="Y2797" s="0" t="str">
        <f aca="false">INDEX('Reward Model'!$E$18:$E$37,MATCH($E2797,'Reward Model'!$A$18:$A$37,0))</f>
        <v>High</v>
      </c>
      <c r="Z2797" s="4" t="n">
        <f aca="false">ROUND(MIN(1,MAX('Reward Model'!$B$2,INDEX('Reward Model'!$C$12:$C$14,MATCH($K2797,'Reward Model'!$A$12:$A$14,0))/$J2797)),3)</f>
        <v>0.885</v>
      </c>
      <c r="AA2797" s="2" t="n">
        <f aca="false">IF($I2797="Correct",ROUND(INDEX('Reward Model'!$B$12:$B$14,MATCH($K2797,'Reward Model'!$A$12:$A$14,0))*Z2797,2),0)</f>
        <v>2.66</v>
      </c>
      <c r="AB2797" s="2" t="n">
        <f aca="false">IF($I2797="Correct",ROUND(INDEX('Reward Model'!$B$12:$B$14,MATCH($Y2797,'Reward Model'!$A$12:$A$14,0))*Z2797,2),0)</f>
        <v>2.66</v>
      </c>
    </row>
    <row r="2798" customFormat="false" ht="15" hidden="false" customHeight="false" outlineLevel="0" collapsed="false">
      <c r="A2798" s="0" t="s">
        <v>410</v>
      </c>
      <c r="B2798" s="0" t="s">
        <v>411</v>
      </c>
      <c r="C2798" s="0" t="s">
        <v>322</v>
      </c>
      <c r="D2798" s="0" t="s">
        <v>189</v>
      </c>
      <c r="E2798" s="0" t="n">
        <v>17</v>
      </c>
      <c r="F2798" s="0" t="s">
        <v>74</v>
      </c>
      <c r="G2798" s="0" t="s">
        <v>75</v>
      </c>
      <c r="H2798" s="0" t="s">
        <v>75</v>
      </c>
      <c r="I2798" s="0" t="s">
        <v>34</v>
      </c>
      <c r="J2798" s="0" t="n">
        <v>1.41</v>
      </c>
      <c r="K2798" s="0" t="s">
        <v>73</v>
      </c>
      <c r="L2798" s="0" t="n">
        <f aca="false">INDEX(Summary!$F$2:$F$201,MATCH($B2798,Summary!$A$2:$A$201,0))</f>
        <v>20</v>
      </c>
      <c r="M2798" s="0" t="n">
        <f aca="false">INDEX(Summary!$I$2:$I$201,MATCH($B2798,Summary!$A$2:$A$201,0))</f>
        <v>3</v>
      </c>
      <c r="N2798" s="0" t="n">
        <f aca="false">INDEX(Summary!$J$2:$J$201,MATCH($B2798,Summary!$A$2:$A$201,0))</f>
        <v>2</v>
      </c>
      <c r="O2798" s="2" t="n">
        <f aca="false">INDEX(Summary!$K$2:$K$201,MATCH($B2798,Summary!$A$2:$A$201,0))</f>
        <v>10.27</v>
      </c>
      <c r="P2798" s="3" t="n">
        <f aca="false">INDEX(Summary!$L$2:$L$201,MATCH($B2798,Summary!$A$2:$A$201,0))</f>
        <v>4</v>
      </c>
      <c r="Q2798" s="3" t="n">
        <f aca="false">INDEX(Summary!$M$2:$M$201,MATCH($B2798,Summary!$A$2:$A$201,0))</f>
        <v>2</v>
      </c>
      <c r="R2798" s="2" t="n">
        <f aca="false">INDEX(Summary!$N$2:$N$201,MATCH($B2798,Summary!$A$2:$A$201,0))</f>
        <v>10.87</v>
      </c>
      <c r="S2798" s="3" t="n">
        <f aca="false">INDEX(Summary!$O$2:$O$201,MATCH($B2798,Summary!$A$2:$A$201,0))</f>
        <v>8</v>
      </c>
      <c r="T2798" s="3" t="n">
        <f aca="false">INDEX(Summary!$P$2:$P$201,MATCH($B2798,Summary!$A$2:$A$201,0))</f>
        <v>1</v>
      </c>
      <c r="U2798" s="2" t="n">
        <f aca="false">INDEX(Summary!$Q$2:$Q$201,MATCH($B2798,Summary!$A$2:$A$201,0))</f>
        <v>11.95</v>
      </c>
      <c r="V2798" s="2" t="n">
        <f aca="false">INDEX(Summary!$R$2:$R$201,MATCH($B2798,Summary!$A$2:$A$201,0))</f>
        <v>27.52</v>
      </c>
      <c r="W2798" s="0" t="str">
        <f aca="false">INDEX(Summary!$S$2:$S$201,MATCH($B2798,Summary!$A$2:$A$201,0))</f>
        <v>Silver</v>
      </c>
      <c r="X2798" s="2" t="n">
        <f aca="false">INDEX(Summary!$T$2:$T$201,MATCH($B2798,Summary!$A$2:$A$201,0))</f>
        <v>67.12</v>
      </c>
      <c r="Y2798" s="0" t="str">
        <f aca="false">INDEX('Reward Model'!$E$18:$E$37,MATCH($E2798,'Reward Model'!$A$18:$A$37,0))</f>
        <v>High</v>
      </c>
      <c r="Z2798" s="4" t="n">
        <f aca="false">ROUND(MIN(1,MAX('Reward Model'!$B$2,INDEX('Reward Model'!$C$12:$C$14,MATCH($K2798,'Reward Model'!$A$12:$A$14,0))/$J2798)),3)</f>
        <v>1</v>
      </c>
      <c r="AA2798" s="2" t="n">
        <f aca="false">IF($I2798="Correct",ROUND(INDEX('Reward Model'!$B$12:$B$14,MATCH($K2798,'Reward Model'!$A$12:$A$14,0))*Z2798,2),0)</f>
        <v>3</v>
      </c>
      <c r="AB2798" s="2" t="n">
        <f aca="false">IF($I2798="Correct",ROUND(INDEX('Reward Model'!$B$12:$B$14,MATCH($Y2798,'Reward Model'!$A$12:$A$14,0))*Z2798,2),0)</f>
        <v>3</v>
      </c>
    </row>
    <row r="2799" customFormat="false" ht="15" hidden="false" customHeight="false" outlineLevel="0" collapsed="false">
      <c r="A2799" s="0" t="s">
        <v>410</v>
      </c>
      <c r="B2799" s="0" t="s">
        <v>411</v>
      </c>
      <c r="C2799" s="0" t="s">
        <v>322</v>
      </c>
      <c r="D2799" s="0" t="s">
        <v>189</v>
      </c>
      <c r="E2799" s="0" t="n">
        <v>18</v>
      </c>
      <c r="F2799" s="0" t="s">
        <v>76</v>
      </c>
      <c r="G2799" s="0" t="s">
        <v>77</v>
      </c>
      <c r="H2799" s="0" t="s">
        <v>77</v>
      </c>
      <c r="I2799" s="0" t="s">
        <v>34</v>
      </c>
      <c r="J2799" s="0" t="n">
        <v>2.57</v>
      </c>
      <c r="K2799" s="0" t="s">
        <v>73</v>
      </c>
      <c r="L2799" s="0" t="n">
        <f aca="false">INDEX(Summary!$F$2:$F$201,MATCH($B2799,Summary!$A$2:$A$201,0))</f>
        <v>20</v>
      </c>
      <c r="M2799" s="0" t="n">
        <f aca="false">INDEX(Summary!$I$2:$I$201,MATCH($B2799,Summary!$A$2:$A$201,0))</f>
        <v>3</v>
      </c>
      <c r="N2799" s="0" t="n">
        <f aca="false">INDEX(Summary!$J$2:$J$201,MATCH($B2799,Summary!$A$2:$A$201,0))</f>
        <v>2</v>
      </c>
      <c r="O2799" s="2" t="n">
        <f aca="false">INDEX(Summary!$K$2:$K$201,MATCH($B2799,Summary!$A$2:$A$201,0))</f>
        <v>10.27</v>
      </c>
      <c r="P2799" s="3" t="n">
        <f aca="false">INDEX(Summary!$L$2:$L$201,MATCH($B2799,Summary!$A$2:$A$201,0))</f>
        <v>4</v>
      </c>
      <c r="Q2799" s="3" t="n">
        <f aca="false">INDEX(Summary!$M$2:$M$201,MATCH($B2799,Summary!$A$2:$A$201,0))</f>
        <v>2</v>
      </c>
      <c r="R2799" s="2" t="n">
        <f aca="false">INDEX(Summary!$N$2:$N$201,MATCH($B2799,Summary!$A$2:$A$201,0))</f>
        <v>10.87</v>
      </c>
      <c r="S2799" s="3" t="n">
        <f aca="false">INDEX(Summary!$O$2:$O$201,MATCH($B2799,Summary!$A$2:$A$201,0))</f>
        <v>8</v>
      </c>
      <c r="T2799" s="3" t="n">
        <f aca="false">INDEX(Summary!$P$2:$P$201,MATCH($B2799,Summary!$A$2:$A$201,0))</f>
        <v>1</v>
      </c>
      <c r="U2799" s="2" t="n">
        <f aca="false">INDEX(Summary!$Q$2:$Q$201,MATCH($B2799,Summary!$A$2:$A$201,0))</f>
        <v>11.95</v>
      </c>
      <c r="V2799" s="2" t="n">
        <f aca="false">INDEX(Summary!$R$2:$R$201,MATCH($B2799,Summary!$A$2:$A$201,0))</f>
        <v>27.52</v>
      </c>
      <c r="W2799" s="0" t="str">
        <f aca="false">INDEX(Summary!$S$2:$S$201,MATCH($B2799,Summary!$A$2:$A$201,0))</f>
        <v>Silver</v>
      </c>
      <c r="X2799" s="2" t="n">
        <f aca="false">INDEX(Summary!$T$2:$T$201,MATCH($B2799,Summary!$A$2:$A$201,0))</f>
        <v>67.12</v>
      </c>
      <c r="Y2799" s="0" t="str">
        <f aca="false">INDEX('Reward Model'!$E$18:$E$37,MATCH($E2799,'Reward Model'!$A$18:$A$37,0))</f>
        <v>High</v>
      </c>
      <c r="Z2799" s="4" t="n">
        <f aca="false">ROUND(MIN(1,MAX('Reward Model'!$B$2,INDEX('Reward Model'!$C$12:$C$14,MATCH($K2799,'Reward Model'!$A$12:$A$14,0))/$J2799)),3)</f>
        <v>0.778</v>
      </c>
      <c r="AA2799" s="2" t="n">
        <f aca="false">IF($I2799="Correct",ROUND(INDEX('Reward Model'!$B$12:$B$14,MATCH($K2799,'Reward Model'!$A$12:$A$14,0))*Z2799,2),0)</f>
        <v>2.33</v>
      </c>
      <c r="AB2799" s="2" t="n">
        <f aca="false">IF($I2799="Correct",ROUND(INDEX('Reward Model'!$B$12:$B$14,MATCH($Y2799,'Reward Model'!$A$12:$A$14,0))*Z2799,2),0)</f>
        <v>2.33</v>
      </c>
    </row>
    <row r="2800" customFormat="false" ht="15" hidden="false" customHeight="false" outlineLevel="0" collapsed="false">
      <c r="A2800" s="0" t="s">
        <v>410</v>
      </c>
      <c r="B2800" s="0" t="s">
        <v>411</v>
      </c>
      <c r="C2800" s="0" t="s">
        <v>322</v>
      </c>
      <c r="D2800" s="0" t="s">
        <v>189</v>
      </c>
      <c r="E2800" s="0" t="n">
        <v>19</v>
      </c>
      <c r="F2800" s="0" t="s">
        <v>78</v>
      </c>
      <c r="G2800" s="0" t="s">
        <v>51</v>
      </c>
      <c r="H2800" s="0" t="s">
        <v>80</v>
      </c>
      <c r="I2800" s="0" t="s">
        <v>39</v>
      </c>
      <c r="J2800" s="0" t="n">
        <v>1.89</v>
      </c>
      <c r="K2800" s="0" t="s">
        <v>73</v>
      </c>
      <c r="L2800" s="0" t="n">
        <f aca="false">INDEX(Summary!$F$2:$F$201,MATCH($B2800,Summary!$A$2:$A$201,0))</f>
        <v>20</v>
      </c>
      <c r="M2800" s="0" t="n">
        <f aca="false">INDEX(Summary!$I$2:$I$201,MATCH($B2800,Summary!$A$2:$A$201,0))</f>
        <v>3</v>
      </c>
      <c r="N2800" s="0" t="n">
        <f aca="false">INDEX(Summary!$J$2:$J$201,MATCH($B2800,Summary!$A$2:$A$201,0))</f>
        <v>2</v>
      </c>
      <c r="O2800" s="2" t="n">
        <f aca="false">INDEX(Summary!$K$2:$K$201,MATCH($B2800,Summary!$A$2:$A$201,0))</f>
        <v>10.27</v>
      </c>
      <c r="P2800" s="3" t="n">
        <f aca="false">INDEX(Summary!$L$2:$L$201,MATCH($B2800,Summary!$A$2:$A$201,0))</f>
        <v>4</v>
      </c>
      <c r="Q2800" s="3" t="n">
        <f aca="false">INDEX(Summary!$M$2:$M$201,MATCH($B2800,Summary!$A$2:$A$201,0))</f>
        <v>2</v>
      </c>
      <c r="R2800" s="2" t="n">
        <f aca="false">INDEX(Summary!$N$2:$N$201,MATCH($B2800,Summary!$A$2:$A$201,0))</f>
        <v>10.87</v>
      </c>
      <c r="S2800" s="3" t="n">
        <f aca="false">INDEX(Summary!$O$2:$O$201,MATCH($B2800,Summary!$A$2:$A$201,0))</f>
        <v>8</v>
      </c>
      <c r="T2800" s="3" t="n">
        <f aca="false">INDEX(Summary!$P$2:$P$201,MATCH($B2800,Summary!$A$2:$A$201,0))</f>
        <v>1</v>
      </c>
      <c r="U2800" s="2" t="n">
        <f aca="false">INDEX(Summary!$Q$2:$Q$201,MATCH($B2800,Summary!$A$2:$A$201,0))</f>
        <v>11.95</v>
      </c>
      <c r="V2800" s="2" t="n">
        <f aca="false">INDEX(Summary!$R$2:$R$201,MATCH($B2800,Summary!$A$2:$A$201,0))</f>
        <v>27.52</v>
      </c>
      <c r="W2800" s="0" t="str">
        <f aca="false">INDEX(Summary!$S$2:$S$201,MATCH($B2800,Summary!$A$2:$A$201,0))</f>
        <v>Silver</v>
      </c>
      <c r="X2800" s="2" t="n">
        <f aca="false">INDEX(Summary!$T$2:$T$201,MATCH($B2800,Summary!$A$2:$A$201,0))</f>
        <v>67.12</v>
      </c>
      <c r="Y2800" s="0" t="str">
        <f aca="false">INDEX('Reward Model'!$E$18:$E$37,MATCH($E2800,'Reward Model'!$A$18:$A$37,0))</f>
        <v>High</v>
      </c>
      <c r="Z2800" s="4" t="n">
        <f aca="false">ROUND(MIN(1,MAX('Reward Model'!$B$2,INDEX('Reward Model'!$C$12:$C$14,MATCH($K2800,'Reward Model'!$A$12:$A$14,0))/$J2800)),3)</f>
        <v>1</v>
      </c>
      <c r="AA2800" s="2" t="n">
        <f aca="false">IF($I2800="Correct",ROUND(INDEX('Reward Model'!$B$12:$B$14,MATCH($K2800,'Reward Model'!$A$12:$A$14,0))*Z2800,2),0)</f>
        <v>0</v>
      </c>
      <c r="AB2800" s="2" t="n">
        <f aca="false">IF($I2800="Correct",ROUND(INDEX('Reward Model'!$B$12:$B$14,MATCH($Y2800,'Reward Model'!$A$12:$A$14,0))*Z2800,2),0)</f>
        <v>0</v>
      </c>
    </row>
    <row r="2801" customFormat="false" ht="15" hidden="false" customHeight="false" outlineLevel="0" collapsed="false">
      <c r="A2801" s="0" t="s">
        <v>410</v>
      </c>
      <c r="B2801" s="0" t="s">
        <v>411</v>
      </c>
      <c r="C2801" s="0" t="s">
        <v>322</v>
      </c>
      <c r="D2801" s="0" t="s">
        <v>189</v>
      </c>
      <c r="E2801" s="0" t="n">
        <v>20</v>
      </c>
      <c r="F2801" s="0" t="s">
        <v>81</v>
      </c>
      <c r="G2801" s="0" t="s">
        <v>119</v>
      </c>
      <c r="H2801" s="0" t="s">
        <v>83</v>
      </c>
      <c r="I2801" s="0" t="s">
        <v>39</v>
      </c>
      <c r="J2801" s="0" t="n">
        <v>2.14</v>
      </c>
      <c r="K2801" s="0" t="s">
        <v>73</v>
      </c>
      <c r="L2801" s="0" t="n">
        <f aca="false">INDEX(Summary!$F$2:$F$201,MATCH($B2801,Summary!$A$2:$A$201,0))</f>
        <v>20</v>
      </c>
      <c r="M2801" s="0" t="n">
        <f aca="false">INDEX(Summary!$I$2:$I$201,MATCH($B2801,Summary!$A$2:$A$201,0))</f>
        <v>3</v>
      </c>
      <c r="N2801" s="0" t="n">
        <f aca="false">INDEX(Summary!$J$2:$J$201,MATCH($B2801,Summary!$A$2:$A$201,0))</f>
        <v>2</v>
      </c>
      <c r="O2801" s="2" t="n">
        <f aca="false">INDEX(Summary!$K$2:$K$201,MATCH($B2801,Summary!$A$2:$A$201,0))</f>
        <v>10.27</v>
      </c>
      <c r="P2801" s="3" t="n">
        <f aca="false">INDEX(Summary!$L$2:$L$201,MATCH($B2801,Summary!$A$2:$A$201,0))</f>
        <v>4</v>
      </c>
      <c r="Q2801" s="3" t="n">
        <f aca="false">INDEX(Summary!$M$2:$M$201,MATCH($B2801,Summary!$A$2:$A$201,0))</f>
        <v>2</v>
      </c>
      <c r="R2801" s="2" t="n">
        <f aca="false">INDEX(Summary!$N$2:$N$201,MATCH($B2801,Summary!$A$2:$A$201,0))</f>
        <v>10.87</v>
      </c>
      <c r="S2801" s="3" t="n">
        <f aca="false">INDEX(Summary!$O$2:$O$201,MATCH($B2801,Summary!$A$2:$A$201,0))</f>
        <v>8</v>
      </c>
      <c r="T2801" s="3" t="n">
        <f aca="false">INDEX(Summary!$P$2:$P$201,MATCH($B2801,Summary!$A$2:$A$201,0))</f>
        <v>1</v>
      </c>
      <c r="U2801" s="2" t="n">
        <f aca="false">INDEX(Summary!$Q$2:$Q$201,MATCH($B2801,Summary!$A$2:$A$201,0))</f>
        <v>11.95</v>
      </c>
      <c r="V2801" s="2" t="n">
        <f aca="false">INDEX(Summary!$R$2:$R$201,MATCH($B2801,Summary!$A$2:$A$201,0))</f>
        <v>27.52</v>
      </c>
      <c r="W2801" s="0" t="str">
        <f aca="false">INDEX(Summary!$S$2:$S$201,MATCH($B2801,Summary!$A$2:$A$201,0))</f>
        <v>Silver</v>
      </c>
      <c r="X2801" s="2" t="n">
        <f aca="false">INDEX(Summary!$T$2:$T$201,MATCH($B2801,Summary!$A$2:$A$201,0))</f>
        <v>67.12</v>
      </c>
      <c r="Y2801" s="0" t="str">
        <f aca="false">INDEX('Reward Model'!$E$18:$E$37,MATCH($E2801,'Reward Model'!$A$18:$A$37,0))</f>
        <v>High</v>
      </c>
      <c r="Z2801" s="4" t="n">
        <f aca="false">ROUND(MIN(1,MAX('Reward Model'!$B$2,INDEX('Reward Model'!$C$12:$C$14,MATCH($K2801,'Reward Model'!$A$12:$A$14,0))/$J2801)),3)</f>
        <v>0.935</v>
      </c>
      <c r="AA2801" s="2" t="n">
        <f aca="false">IF($I2801="Correct",ROUND(INDEX('Reward Model'!$B$12:$B$14,MATCH($K2801,'Reward Model'!$A$12:$A$14,0))*Z2801,2),0)</f>
        <v>0</v>
      </c>
      <c r="AB2801" s="2" t="n">
        <f aca="false">IF($I2801="Correct",ROUND(INDEX('Reward Model'!$B$12:$B$14,MATCH($Y2801,'Reward Model'!$A$12:$A$14,0))*Z2801,2),0)</f>
        <v>0</v>
      </c>
    </row>
    <row r="2802" customFormat="false" ht="15" hidden="false" customHeight="false" outlineLevel="0" collapsed="false">
      <c r="A2802" s="0" t="s">
        <v>412</v>
      </c>
      <c r="B2802" s="0" t="s">
        <v>413</v>
      </c>
      <c r="C2802" s="0" t="s">
        <v>322</v>
      </c>
      <c r="D2802" s="0" t="s">
        <v>189</v>
      </c>
      <c r="E2802" s="0" t="n">
        <v>1</v>
      </c>
      <c r="F2802" s="0" t="s">
        <v>32</v>
      </c>
      <c r="G2802" s="0" t="s">
        <v>122</v>
      </c>
      <c r="H2802" s="0" t="s">
        <v>33</v>
      </c>
      <c r="I2802" s="0" t="s">
        <v>39</v>
      </c>
      <c r="J2802" s="0" t="n">
        <v>1.76</v>
      </c>
      <c r="K2802" s="0" t="s">
        <v>35</v>
      </c>
      <c r="L2802" s="0" t="n">
        <f aca="false">INDEX(Summary!$F$2:$F$201,MATCH($B2802,Summary!$A$2:$A$201,0))</f>
        <v>20</v>
      </c>
      <c r="M2802" s="0" t="n">
        <f aca="false">INDEX(Summary!$I$2:$I$201,MATCH($B2802,Summary!$A$2:$A$201,0))</f>
        <v>2</v>
      </c>
      <c r="N2802" s="0" t="n">
        <f aca="false">INDEX(Summary!$J$2:$J$201,MATCH($B2802,Summary!$A$2:$A$201,0))</f>
        <v>3</v>
      </c>
      <c r="O2802" s="2" t="n">
        <f aca="false">INDEX(Summary!$K$2:$K$201,MATCH($B2802,Summary!$A$2:$A$201,0))</f>
        <v>9.95</v>
      </c>
      <c r="P2802" s="3" t="n">
        <f aca="false">INDEX(Summary!$L$2:$L$201,MATCH($B2802,Summary!$A$2:$A$201,0))</f>
        <v>2</v>
      </c>
      <c r="Q2802" s="3" t="n">
        <f aca="false">INDEX(Summary!$M$2:$M$201,MATCH($B2802,Summary!$A$2:$A$201,0))</f>
        <v>4</v>
      </c>
      <c r="R2802" s="2" t="n">
        <f aca="false">INDEX(Summary!$N$2:$N$201,MATCH($B2802,Summary!$A$2:$A$201,0))</f>
        <v>10.99</v>
      </c>
      <c r="S2802" s="3" t="n">
        <f aca="false">INDEX(Summary!$O$2:$O$201,MATCH($B2802,Summary!$A$2:$A$201,0))</f>
        <v>6</v>
      </c>
      <c r="T2802" s="3" t="n">
        <f aca="false">INDEX(Summary!$P$2:$P$201,MATCH($B2802,Summary!$A$2:$A$201,0))</f>
        <v>3</v>
      </c>
      <c r="U2802" s="2" t="n">
        <f aca="false">INDEX(Summary!$Q$2:$Q$201,MATCH($B2802,Summary!$A$2:$A$201,0))</f>
        <v>12.44</v>
      </c>
      <c r="V2802" s="2" t="n">
        <f aca="false">INDEX(Summary!$R$2:$R$201,MATCH($B2802,Summary!$A$2:$A$201,0))</f>
        <v>18.59</v>
      </c>
      <c r="W2802" s="0" t="str">
        <f aca="false">INDEX(Summary!$S$2:$S$201,MATCH($B2802,Summary!$A$2:$A$201,0))</f>
        <v>Bronze</v>
      </c>
      <c r="X2802" s="2" t="n">
        <f aca="false">INDEX(Summary!$T$2:$T$201,MATCH($B2802,Summary!$A$2:$A$201,0))</f>
        <v>45.34</v>
      </c>
      <c r="Y2802" s="0" t="str">
        <f aca="false">INDEX('Reward Model'!$E$18:$E$37,MATCH($E2802,'Reward Model'!$A$18:$A$37,0))</f>
        <v>Medium</v>
      </c>
      <c r="Z2802" s="4" t="n">
        <f aca="false">ROUND(MIN(1,MAX('Reward Model'!$B$2,INDEX('Reward Model'!$C$12:$C$14,MATCH($K2802,'Reward Model'!$A$12:$A$14,0))/$J2802)),3)</f>
        <v>0.852</v>
      </c>
      <c r="AA2802" s="2" t="n">
        <f aca="false">IF($I2802="Correct",ROUND(INDEX('Reward Model'!$B$12:$B$14,MATCH($K2802,'Reward Model'!$A$12:$A$14,0))*Z2802,2),0)</f>
        <v>0</v>
      </c>
      <c r="AB2802" s="2" t="n">
        <f aca="false">IF($I2802="Correct",ROUND(INDEX('Reward Model'!$B$12:$B$14,MATCH($Y2802,'Reward Model'!$A$12:$A$14,0))*Z2802,2),0)</f>
        <v>0</v>
      </c>
    </row>
    <row r="2803" customFormat="false" ht="15" hidden="false" customHeight="false" outlineLevel="0" collapsed="false">
      <c r="A2803" s="0" t="s">
        <v>412</v>
      </c>
      <c r="B2803" s="0" t="s">
        <v>413</v>
      </c>
      <c r="C2803" s="0" t="s">
        <v>322</v>
      </c>
      <c r="D2803" s="0" t="s">
        <v>189</v>
      </c>
      <c r="E2803" s="0" t="n">
        <v>2</v>
      </c>
      <c r="F2803" s="0" t="s">
        <v>36</v>
      </c>
      <c r="G2803" s="0" t="s">
        <v>37</v>
      </c>
      <c r="H2803" s="0" t="s">
        <v>38</v>
      </c>
      <c r="I2803" s="0" t="s">
        <v>39</v>
      </c>
      <c r="J2803" s="0" t="n">
        <v>1.46</v>
      </c>
      <c r="K2803" s="0" t="s">
        <v>35</v>
      </c>
      <c r="L2803" s="0" t="n">
        <f aca="false">INDEX(Summary!$F$2:$F$201,MATCH($B2803,Summary!$A$2:$A$201,0))</f>
        <v>20</v>
      </c>
      <c r="M2803" s="0" t="n">
        <f aca="false">INDEX(Summary!$I$2:$I$201,MATCH($B2803,Summary!$A$2:$A$201,0))</f>
        <v>2</v>
      </c>
      <c r="N2803" s="0" t="n">
        <f aca="false">INDEX(Summary!$J$2:$J$201,MATCH($B2803,Summary!$A$2:$A$201,0))</f>
        <v>3</v>
      </c>
      <c r="O2803" s="2" t="n">
        <f aca="false">INDEX(Summary!$K$2:$K$201,MATCH($B2803,Summary!$A$2:$A$201,0))</f>
        <v>9.95</v>
      </c>
      <c r="P2803" s="3" t="n">
        <f aca="false">INDEX(Summary!$L$2:$L$201,MATCH($B2803,Summary!$A$2:$A$201,0))</f>
        <v>2</v>
      </c>
      <c r="Q2803" s="3" t="n">
        <f aca="false">INDEX(Summary!$M$2:$M$201,MATCH($B2803,Summary!$A$2:$A$201,0))</f>
        <v>4</v>
      </c>
      <c r="R2803" s="2" t="n">
        <f aca="false">INDEX(Summary!$N$2:$N$201,MATCH($B2803,Summary!$A$2:$A$201,0))</f>
        <v>10.99</v>
      </c>
      <c r="S2803" s="3" t="n">
        <f aca="false">INDEX(Summary!$O$2:$O$201,MATCH($B2803,Summary!$A$2:$A$201,0))</f>
        <v>6</v>
      </c>
      <c r="T2803" s="3" t="n">
        <f aca="false">INDEX(Summary!$P$2:$P$201,MATCH($B2803,Summary!$A$2:$A$201,0))</f>
        <v>3</v>
      </c>
      <c r="U2803" s="2" t="n">
        <f aca="false">INDEX(Summary!$Q$2:$Q$201,MATCH($B2803,Summary!$A$2:$A$201,0))</f>
        <v>12.44</v>
      </c>
      <c r="V2803" s="2" t="n">
        <f aca="false">INDEX(Summary!$R$2:$R$201,MATCH($B2803,Summary!$A$2:$A$201,0))</f>
        <v>18.59</v>
      </c>
      <c r="W2803" s="0" t="str">
        <f aca="false">INDEX(Summary!$S$2:$S$201,MATCH($B2803,Summary!$A$2:$A$201,0))</f>
        <v>Bronze</v>
      </c>
      <c r="X2803" s="2" t="n">
        <f aca="false">INDEX(Summary!$T$2:$T$201,MATCH($B2803,Summary!$A$2:$A$201,0))</f>
        <v>45.34</v>
      </c>
      <c r="Y2803" s="0" t="str">
        <f aca="false">INDEX('Reward Model'!$E$18:$E$37,MATCH($E2803,'Reward Model'!$A$18:$A$37,0))</f>
        <v>Low</v>
      </c>
      <c r="Z2803" s="4" t="n">
        <f aca="false">ROUND(MIN(1,MAX('Reward Model'!$B$2,INDEX('Reward Model'!$C$12:$C$14,MATCH($K2803,'Reward Model'!$A$12:$A$14,0))/$J2803)),3)</f>
        <v>1</v>
      </c>
      <c r="AA2803" s="2" t="n">
        <f aca="false">IF($I2803="Correct",ROUND(INDEX('Reward Model'!$B$12:$B$14,MATCH($K2803,'Reward Model'!$A$12:$A$14,0))*Z2803,2),0)</f>
        <v>0</v>
      </c>
      <c r="AB2803" s="2" t="n">
        <f aca="false">IF($I2803="Correct",ROUND(INDEX('Reward Model'!$B$12:$B$14,MATCH($Y2803,'Reward Model'!$A$12:$A$14,0))*Z2803,2),0)</f>
        <v>0</v>
      </c>
    </row>
    <row r="2804" customFormat="false" ht="15" hidden="false" customHeight="false" outlineLevel="0" collapsed="false">
      <c r="A2804" s="0" t="s">
        <v>412</v>
      </c>
      <c r="B2804" s="0" t="s">
        <v>413</v>
      </c>
      <c r="C2804" s="0" t="s">
        <v>322</v>
      </c>
      <c r="D2804" s="0" t="s">
        <v>189</v>
      </c>
      <c r="E2804" s="0" t="n">
        <v>3</v>
      </c>
      <c r="F2804" s="0" t="s">
        <v>40</v>
      </c>
      <c r="G2804" s="0" t="s">
        <v>42</v>
      </c>
      <c r="H2804" s="0" t="s">
        <v>42</v>
      </c>
      <c r="I2804" s="0" t="s">
        <v>34</v>
      </c>
      <c r="J2804" s="0" t="n">
        <v>0.94</v>
      </c>
      <c r="K2804" s="0" t="s">
        <v>35</v>
      </c>
      <c r="L2804" s="0" t="n">
        <f aca="false">INDEX(Summary!$F$2:$F$201,MATCH($B2804,Summary!$A$2:$A$201,0))</f>
        <v>20</v>
      </c>
      <c r="M2804" s="0" t="n">
        <f aca="false">INDEX(Summary!$I$2:$I$201,MATCH($B2804,Summary!$A$2:$A$201,0))</f>
        <v>2</v>
      </c>
      <c r="N2804" s="0" t="n">
        <f aca="false">INDEX(Summary!$J$2:$J$201,MATCH($B2804,Summary!$A$2:$A$201,0))</f>
        <v>3</v>
      </c>
      <c r="O2804" s="2" t="n">
        <f aca="false">INDEX(Summary!$K$2:$K$201,MATCH($B2804,Summary!$A$2:$A$201,0))</f>
        <v>9.95</v>
      </c>
      <c r="P2804" s="3" t="n">
        <f aca="false">INDEX(Summary!$L$2:$L$201,MATCH($B2804,Summary!$A$2:$A$201,0))</f>
        <v>2</v>
      </c>
      <c r="Q2804" s="3" t="n">
        <f aca="false">INDEX(Summary!$M$2:$M$201,MATCH($B2804,Summary!$A$2:$A$201,0))</f>
        <v>4</v>
      </c>
      <c r="R2804" s="2" t="n">
        <f aca="false">INDEX(Summary!$N$2:$N$201,MATCH($B2804,Summary!$A$2:$A$201,0))</f>
        <v>10.99</v>
      </c>
      <c r="S2804" s="3" t="n">
        <f aca="false">INDEX(Summary!$O$2:$O$201,MATCH($B2804,Summary!$A$2:$A$201,0))</f>
        <v>6</v>
      </c>
      <c r="T2804" s="3" t="n">
        <f aca="false">INDEX(Summary!$P$2:$P$201,MATCH($B2804,Summary!$A$2:$A$201,0))</f>
        <v>3</v>
      </c>
      <c r="U2804" s="2" t="n">
        <f aca="false">INDEX(Summary!$Q$2:$Q$201,MATCH($B2804,Summary!$A$2:$A$201,0))</f>
        <v>12.44</v>
      </c>
      <c r="V2804" s="2" t="n">
        <f aca="false">INDEX(Summary!$R$2:$R$201,MATCH($B2804,Summary!$A$2:$A$201,0))</f>
        <v>18.59</v>
      </c>
      <c r="W2804" s="0" t="str">
        <f aca="false">INDEX(Summary!$S$2:$S$201,MATCH($B2804,Summary!$A$2:$A$201,0))</f>
        <v>Bronze</v>
      </c>
      <c r="X2804" s="2" t="n">
        <f aca="false">INDEX(Summary!$T$2:$T$201,MATCH($B2804,Summary!$A$2:$A$201,0))</f>
        <v>45.34</v>
      </c>
      <c r="Y2804" s="0" t="str">
        <f aca="false">INDEX('Reward Model'!$E$18:$E$37,MATCH($E2804,'Reward Model'!$A$18:$A$37,0))</f>
        <v>Medium</v>
      </c>
      <c r="Z2804" s="4" t="n">
        <f aca="false">ROUND(MIN(1,MAX('Reward Model'!$B$2,INDEX('Reward Model'!$C$12:$C$14,MATCH($K2804,'Reward Model'!$A$12:$A$14,0))/$J2804)),3)</f>
        <v>1</v>
      </c>
      <c r="AA2804" s="2" t="n">
        <f aca="false">IF($I2804="Correct",ROUND(INDEX('Reward Model'!$B$12:$B$14,MATCH($K2804,'Reward Model'!$A$12:$A$14,0))*Z2804,2),0)</f>
        <v>1</v>
      </c>
      <c r="AB2804" s="2" t="n">
        <f aca="false">IF($I2804="Correct",ROUND(INDEX('Reward Model'!$B$12:$B$14,MATCH($Y2804,'Reward Model'!$A$12:$A$14,0))*Z2804,2),0)</f>
        <v>2</v>
      </c>
    </row>
    <row r="2805" customFormat="false" ht="15" hidden="false" customHeight="false" outlineLevel="0" collapsed="false">
      <c r="A2805" s="0" t="s">
        <v>412</v>
      </c>
      <c r="B2805" s="0" t="s">
        <v>413</v>
      </c>
      <c r="C2805" s="0" t="s">
        <v>322</v>
      </c>
      <c r="D2805" s="0" t="s">
        <v>189</v>
      </c>
      <c r="E2805" s="0" t="n">
        <v>4</v>
      </c>
      <c r="F2805" s="0" t="s">
        <v>43</v>
      </c>
      <c r="G2805" s="0" t="s">
        <v>45</v>
      </c>
      <c r="H2805" s="0" t="s">
        <v>45</v>
      </c>
      <c r="I2805" s="0" t="s">
        <v>34</v>
      </c>
      <c r="J2805" s="0" t="n">
        <v>1.64</v>
      </c>
      <c r="K2805" s="0" t="s">
        <v>35</v>
      </c>
      <c r="L2805" s="0" t="n">
        <f aca="false">INDEX(Summary!$F$2:$F$201,MATCH($B2805,Summary!$A$2:$A$201,0))</f>
        <v>20</v>
      </c>
      <c r="M2805" s="0" t="n">
        <f aca="false">INDEX(Summary!$I$2:$I$201,MATCH($B2805,Summary!$A$2:$A$201,0))</f>
        <v>2</v>
      </c>
      <c r="N2805" s="0" t="n">
        <f aca="false">INDEX(Summary!$J$2:$J$201,MATCH($B2805,Summary!$A$2:$A$201,0))</f>
        <v>3</v>
      </c>
      <c r="O2805" s="2" t="n">
        <f aca="false">INDEX(Summary!$K$2:$K$201,MATCH($B2805,Summary!$A$2:$A$201,0))</f>
        <v>9.95</v>
      </c>
      <c r="P2805" s="3" t="n">
        <f aca="false">INDEX(Summary!$L$2:$L$201,MATCH($B2805,Summary!$A$2:$A$201,0))</f>
        <v>2</v>
      </c>
      <c r="Q2805" s="3" t="n">
        <f aca="false">INDEX(Summary!$M$2:$M$201,MATCH($B2805,Summary!$A$2:$A$201,0))</f>
        <v>4</v>
      </c>
      <c r="R2805" s="2" t="n">
        <f aca="false">INDEX(Summary!$N$2:$N$201,MATCH($B2805,Summary!$A$2:$A$201,0))</f>
        <v>10.99</v>
      </c>
      <c r="S2805" s="3" t="n">
        <f aca="false">INDEX(Summary!$O$2:$O$201,MATCH($B2805,Summary!$A$2:$A$201,0))</f>
        <v>6</v>
      </c>
      <c r="T2805" s="3" t="n">
        <f aca="false">INDEX(Summary!$P$2:$P$201,MATCH($B2805,Summary!$A$2:$A$201,0))</f>
        <v>3</v>
      </c>
      <c r="U2805" s="2" t="n">
        <f aca="false">INDEX(Summary!$Q$2:$Q$201,MATCH($B2805,Summary!$A$2:$A$201,0))</f>
        <v>12.44</v>
      </c>
      <c r="V2805" s="2" t="n">
        <f aca="false">INDEX(Summary!$R$2:$R$201,MATCH($B2805,Summary!$A$2:$A$201,0))</f>
        <v>18.59</v>
      </c>
      <c r="W2805" s="0" t="str">
        <f aca="false">INDEX(Summary!$S$2:$S$201,MATCH($B2805,Summary!$A$2:$A$201,0))</f>
        <v>Bronze</v>
      </c>
      <c r="X2805" s="2" t="n">
        <f aca="false">INDEX(Summary!$T$2:$T$201,MATCH($B2805,Summary!$A$2:$A$201,0))</f>
        <v>45.34</v>
      </c>
      <c r="Y2805" s="0" t="str">
        <f aca="false">INDEX('Reward Model'!$E$18:$E$37,MATCH($E2805,'Reward Model'!$A$18:$A$37,0))</f>
        <v>Low</v>
      </c>
      <c r="Z2805" s="4" t="n">
        <f aca="false">ROUND(MIN(1,MAX('Reward Model'!$B$2,INDEX('Reward Model'!$C$12:$C$14,MATCH($K2805,'Reward Model'!$A$12:$A$14,0))/$J2805)),3)</f>
        <v>0.915</v>
      </c>
      <c r="AA2805" s="2" t="n">
        <f aca="false">IF($I2805="Correct",ROUND(INDEX('Reward Model'!$B$12:$B$14,MATCH($K2805,'Reward Model'!$A$12:$A$14,0))*Z2805,2),0)</f>
        <v>0.92</v>
      </c>
      <c r="AB2805" s="2" t="n">
        <f aca="false">IF($I2805="Correct",ROUND(INDEX('Reward Model'!$B$12:$B$14,MATCH($Y2805,'Reward Model'!$A$12:$A$14,0))*Z2805,2),0)</f>
        <v>0.92</v>
      </c>
    </row>
    <row r="2806" customFormat="false" ht="15" hidden="false" customHeight="false" outlineLevel="0" collapsed="false">
      <c r="A2806" s="0" t="s">
        <v>412</v>
      </c>
      <c r="B2806" s="0" t="s">
        <v>413</v>
      </c>
      <c r="C2806" s="0" t="s">
        <v>322</v>
      </c>
      <c r="D2806" s="0" t="s">
        <v>189</v>
      </c>
      <c r="E2806" s="0" t="n">
        <v>5</v>
      </c>
      <c r="F2806" s="0" t="s">
        <v>46</v>
      </c>
      <c r="G2806" s="0" t="s">
        <v>47</v>
      </c>
      <c r="H2806" s="0" t="s">
        <v>47</v>
      </c>
      <c r="I2806" s="0" t="s">
        <v>34</v>
      </c>
      <c r="J2806" s="0" t="n">
        <v>1.11</v>
      </c>
      <c r="K2806" s="0" t="s">
        <v>35</v>
      </c>
      <c r="L2806" s="0" t="n">
        <f aca="false">INDEX(Summary!$F$2:$F$201,MATCH($B2806,Summary!$A$2:$A$201,0))</f>
        <v>20</v>
      </c>
      <c r="M2806" s="0" t="n">
        <f aca="false">INDEX(Summary!$I$2:$I$201,MATCH($B2806,Summary!$A$2:$A$201,0))</f>
        <v>2</v>
      </c>
      <c r="N2806" s="0" t="n">
        <f aca="false">INDEX(Summary!$J$2:$J$201,MATCH($B2806,Summary!$A$2:$A$201,0))</f>
        <v>3</v>
      </c>
      <c r="O2806" s="2" t="n">
        <f aca="false">INDEX(Summary!$K$2:$K$201,MATCH($B2806,Summary!$A$2:$A$201,0))</f>
        <v>9.95</v>
      </c>
      <c r="P2806" s="3" t="n">
        <f aca="false">INDEX(Summary!$L$2:$L$201,MATCH($B2806,Summary!$A$2:$A$201,0))</f>
        <v>2</v>
      </c>
      <c r="Q2806" s="3" t="n">
        <f aca="false">INDEX(Summary!$M$2:$M$201,MATCH($B2806,Summary!$A$2:$A$201,0))</f>
        <v>4</v>
      </c>
      <c r="R2806" s="2" t="n">
        <f aca="false">INDEX(Summary!$N$2:$N$201,MATCH($B2806,Summary!$A$2:$A$201,0))</f>
        <v>10.99</v>
      </c>
      <c r="S2806" s="3" t="n">
        <f aca="false">INDEX(Summary!$O$2:$O$201,MATCH($B2806,Summary!$A$2:$A$201,0))</f>
        <v>6</v>
      </c>
      <c r="T2806" s="3" t="n">
        <f aca="false">INDEX(Summary!$P$2:$P$201,MATCH($B2806,Summary!$A$2:$A$201,0))</f>
        <v>3</v>
      </c>
      <c r="U2806" s="2" t="n">
        <f aca="false">INDEX(Summary!$Q$2:$Q$201,MATCH($B2806,Summary!$A$2:$A$201,0))</f>
        <v>12.44</v>
      </c>
      <c r="V2806" s="2" t="n">
        <f aca="false">INDEX(Summary!$R$2:$R$201,MATCH($B2806,Summary!$A$2:$A$201,0))</f>
        <v>18.59</v>
      </c>
      <c r="W2806" s="0" t="str">
        <f aca="false">INDEX(Summary!$S$2:$S$201,MATCH($B2806,Summary!$A$2:$A$201,0))</f>
        <v>Bronze</v>
      </c>
      <c r="X2806" s="2" t="n">
        <f aca="false">INDEX(Summary!$T$2:$T$201,MATCH($B2806,Summary!$A$2:$A$201,0))</f>
        <v>45.34</v>
      </c>
      <c r="Y2806" s="0" t="str">
        <f aca="false">INDEX('Reward Model'!$E$18:$E$37,MATCH($E2806,'Reward Model'!$A$18:$A$37,0))</f>
        <v>Low</v>
      </c>
      <c r="Z2806" s="4" t="n">
        <f aca="false">ROUND(MIN(1,MAX('Reward Model'!$B$2,INDEX('Reward Model'!$C$12:$C$14,MATCH($K2806,'Reward Model'!$A$12:$A$14,0))/$J2806)),3)</f>
        <v>1</v>
      </c>
      <c r="AA2806" s="2" t="n">
        <f aca="false">IF($I2806="Correct",ROUND(INDEX('Reward Model'!$B$12:$B$14,MATCH($K2806,'Reward Model'!$A$12:$A$14,0))*Z2806,2),0)</f>
        <v>1</v>
      </c>
      <c r="AB2806" s="2" t="n">
        <f aca="false">IF($I2806="Correct",ROUND(INDEX('Reward Model'!$B$12:$B$14,MATCH($Y2806,'Reward Model'!$A$12:$A$14,0))*Z2806,2),0)</f>
        <v>1</v>
      </c>
    </row>
    <row r="2807" customFormat="false" ht="15" hidden="false" customHeight="false" outlineLevel="0" collapsed="false">
      <c r="A2807" s="0" t="s">
        <v>412</v>
      </c>
      <c r="B2807" s="0" t="s">
        <v>413</v>
      </c>
      <c r="C2807" s="0" t="s">
        <v>322</v>
      </c>
      <c r="D2807" s="0" t="s">
        <v>189</v>
      </c>
      <c r="E2807" s="0" t="n">
        <v>6</v>
      </c>
      <c r="F2807" s="0" t="s">
        <v>48</v>
      </c>
      <c r="G2807" s="0" t="s">
        <v>49</v>
      </c>
      <c r="H2807" s="0" t="s">
        <v>49</v>
      </c>
      <c r="I2807" s="0" t="s">
        <v>34</v>
      </c>
      <c r="J2807" s="0" t="n">
        <v>1.5</v>
      </c>
      <c r="K2807" s="0" t="s">
        <v>35</v>
      </c>
      <c r="L2807" s="0" t="n">
        <f aca="false">INDEX(Summary!$F$2:$F$201,MATCH($B2807,Summary!$A$2:$A$201,0))</f>
        <v>20</v>
      </c>
      <c r="M2807" s="0" t="n">
        <f aca="false">INDEX(Summary!$I$2:$I$201,MATCH($B2807,Summary!$A$2:$A$201,0))</f>
        <v>2</v>
      </c>
      <c r="N2807" s="0" t="n">
        <f aca="false">INDEX(Summary!$J$2:$J$201,MATCH($B2807,Summary!$A$2:$A$201,0))</f>
        <v>3</v>
      </c>
      <c r="O2807" s="2" t="n">
        <f aca="false">INDEX(Summary!$K$2:$K$201,MATCH($B2807,Summary!$A$2:$A$201,0))</f>
        <v>9.95</v>
      </c>
      <c r="P2807" s="3" t="n">
        <f aca="false">INDEX(Summary!$L$2:$L$201,MATCH($B2807,Summary!$A$2:$A$201,0))</f>
        <v>2</v>
      </c>
      <c r="Q2807" s="3" t="n">
        <f aca="false">INDEX(Summary!$M$2:$M$201,MATCH($B2807,Summary!$A$2:$A$201,0))</f>
        <v>4</v>
      </c>
      <c r="R2807" s="2" t="n">
        <f aca="false">INDEX(Summary!$N$2:$N$201,MATCH($B2807,Summary!$A$2:$A$201,0))</f>
        <v>10.99</v>
      </c>
      <c r="S2807" s="3" t="n">
        <f aca="false">INDEX(Summary!$O$2:$O$201,MATCH($B2807,Summary!$A$2:$A$201,0))</f>
        <v>6</v>
      </c>
      <c r="T2807" s="3" t="n">
        <f aca="false">INDEX(Summary!$P$2:$P$201,MATCH($B2807,Summary!$A$2:$A$201,0))</f>
        <v>3</v>
      </c>
      <c r="U2807" s="2" t="n">
        <f aca="false">INDEX(Summary!$Q$2:$Q$201,MATCH($B2807,Summary!$A$2:$A$201,0))</f>
        <v>12.44</v>
      </c>
      <c r="V2807" s="2" t="n">
        <f aca="false">INDEX(Summary!$R$2:$R$201,MATCH($B2807,Summary!$A$2:$A$201,0))</f>
        <v>18.59</v>
      </c>
      <c r="W2807" s="0" t="str">
        <f aca="false">INDEX(Summary!$S$2:$S$201,MATCH($B2807,Summary!$A$2:$A$201,0))</f>
        <v>Bronze</v>
      </c>
      <c r="X2807" s="2" t="n">
        <f aca="false">INDEX(Summary!$T$2:$T$201,MATCH($B2807,Summary!$A$2:$A$201,0))</f>
        <v>45.34</v>
      </c>
      <c r="Y2807" s="0" t="str">
        <f aca="false">INDEX('Reward Model'!$E$18:$E$37,MATCH($E2807,'Reward Model'!$A$18:$A$37,0))</f>
        <v>Medium</v>
      </c>
      <c r="Z2807" s="4" t="n">
        <f aca="false">ROUND(MIN(1,MAX('Reward Model'!$B$2,INDEX('Reward Model'!$C$12:$C$14,MATCH($K2807,'Reward Model'!$A$12:$A$14,0))/$J2807)),3)</f>
        <v>1</v>
      </c>
      <c r="AA2807" s="2" t="n">
        <f aca="false">IF($I2807="Correct",ROUND(INDEX('Reward Model'!$B$12:$B$14,MATCH($K2807,'Reward Model'!$A$12:$A$14,0))*Z2807,2),0)</f>
        <v>1</v>
      </c>
      <c r="AB2807" s="2" t="n">
        <f aca="false">IF($I2807="Correct",ROUND(INDEX('Reward Model'!$B$12:$B$14,MATCH($Y2807,'Reward Model'!$A$12:$A$14,0))*Z2807,2),0)</f>
        <v>2</v>
      </c>
    </row>
    <row r="2808" customFormat="false" ht="15" hidden="false" customHeight="false" outlineLevel="0" collapsed="false">
      <c r="A2808" s="0" t="s">
        <v>412</v>
      </c>
      <c r="B2808" s="0" t="s">
        <v>413</v>
      </c>
      <c r="C2808" s="0" t="s">
        <v>322</v>
      </c>
      <c r="D2808" s="0" t="s">
        <v>189</v>
      </c>
      <c r="E2808" s="0" t="n">
        <v>7</v>
      </c>
      <c r="F2808" s="0" t="s">
        <v>50</v>
      </c>
      <c r="G2808" s="0" t="s">
        <v>51</v>
      </c>
      <c r="H2808" s="0" t="s">
        <v>51</v>
      </c>
      <c r="I2808" s="0" t="s">
        <v>34</v>
      </c>
      <c r="J2808" s="0" t="n">
        <v>1.09</v>
      </c>
      <c r="K2808" s="0" t="s">
        <v>35</v>
      </c>
      <c r="L2808" s="0" t="n">
        <f aca="false">INDEX(Summary!$F$2:$F$201,MATCH($B2808,Summary!$A$2:$A$201,0))</f>
        <v>20</v>
      </c>
      <c r="M2808" s="0" t="n">
        <f aca="false">INDEX(Summary!$I$2:$I$201,MATCH($B2808,Summary!$A$2:$A$201,0))</f>
        <v>2</v>
      </c>
      <c r="N2808" s="0" t="n">
        <f aca="false">INDEX(Summary!$J$2:$J$201,MATCH($B2808,Summary!$A$2:$A$201,0))</f>
        <v>3</v>
      </c>
      <c r="O2808" s="2" t="n">
        <f aca="false">INDEX(Summary!$K$2:$K$201,MATCH($B2808,Summary!$A$2:$A$201,0))</f>
        <v>9.95</v>
      </c>
      <c r="P2808" s="3" t="n">
        <f aca="false">INDEX(Summary!$L$2:$L$201,MATCH($B2808,Summary!$A$2:$A$201,0))</f>
        <v>2</v>
      </c>
      <c r="Q2808" s="3" t="n">
        <f aca="false">INDEX(Summary!$M$2:$M$201,MATCH($B2808,Summary!$A$2:$A$201,0))</f>
        <v>4</v>
      </c>
      <c r="R2808" s="2" t="n">
        <f aca="false">INDEX(Summary!$N$2:$N$201,MATCH($B2808,Summary!$A$2:$A$201,0))</f>
        <v>10.99</v>
      </c>
      <c r="S2808" s="3" t="n">
        <f aca="false">INDEX(Summary!$O$2:$O$201,MATCH($B2808,Summary!$A$2:$A$201,0))</f>
        <v>6</v>
      </c>
      <c r="T2808" s="3" t="n">
        <f aca="false">INDEX(Summary!$P$2:$P$201,MATCH($B2808,Summary!$A$2:$A$201,0))</f>
        <v>3</v>
      </c>
      <c r="U2808" s="2" t="n">
        <f aca="false">INDEX(Summary!$Q$2:$Q$201,MATCH($B2808,Summary!$A$2:$A$201,0))</f>
        <v>12.44</v>
      </c>
      <c r="V2808" s="2" t="n">
        <f aca="false">INDEX(Summary!$R$2:$R$201,MATCH($B2808,Summary!$A$2:$A$201,0))</f>
        <v>18.59</v>
      </c>
      <c r="W2808" s="0" t="str">
        <f aca="false">INDEX(Summary!$S$2:$S$201,MATCH($B2808,Summary!$A$2:$A$201,0))</f>
        <v>Bronze</v>
      </c>
      <c r="X2808" s="2" t="n">
        <f aca="false">INDEX(Summary!$T$2:$T$201,MATCH($B2808,Summary!$A$2:$A$201,0))</f>
        <v>45.34</v>
      </c>
      <c r="Y2808" s="0" t="str">
        <f aca="false">INDEX('Reward Model'!$E$18:$E$37,MATCH($E2808,'Reward Model'!$A$18:$A$37,0))</f>
        <v>Low</v>
      </c>
      <c r="Z2808" s="4" t="n">
        <f aca="false">ROUND(MIN(1,MAX('Reward Model'!$B$2,INDEX('Reward Model'!$C$12:$C$14,MATCH($K2808,'Reward Model'!$A$12:$A$14,0))/$J2808)),3)</f>
        <v>1</v>
      </c>
      <c r="AA2808" s="2" t="n">
        <f aca="false">IF($I2808="Correct",ROUND(INDEX('Reward Model'!$B$12:$B$14,MATCH($K2808,'Reward Model'!$A$12:$A$14,0))*Z2808,2),0)</f>
        <v>1</v>
      </c>
      <c r="AB2808" s="2" t="n">
        <f aca="false">IF($I2808="Correct",ROUND(INDEX('Reward Model'!$B$12:$B$14,MATCH($Y2808,'Reward Model'!$A$12:$A$14,0))*Z2808,2),0)</f>
        <v>1</v>
      </c>
    </row>
    <row r="2809" customFormat="false" ht="15" hidden="false" customHeight="false" outlineLevel="0" collapsed="false">
      <c r="A2809" s="0" t="s">
        <v>412</v>
      </c>
      <c r="B2809" s="0" t="s">
        <v>413</v>
      </c>
      <c r="C2809" s="0" t="s">
        <v>322</v>
      </c>
      <c r="D2809" s="0" t="s">
        <v>189</v>
      </c>
      <c r="E2809" s="0" t="n">
        <v>8</v>
      </c>
      <c r="F2809" s="0" t="s">
        <v>52</v>
      </c>
      <c r="G2809" s="0" t="s">
        <v>93</v>
      </c>
      <c r="H2809" s="0" t="s">
        <v>54</v>
      </c>
      <c r="I2809" s="0" t="s">
        <v>39</v>
      </c>
      <c r="J2809" s="0" t="n">
        <v>1.96</v>
      </c>
      <c r="K2809" s="0" t="s">
        <v>35</v>
      </c>
      <c r="L2809" s="0" t="n">
        <f aca="false">INDEX(Summary!$F$2:$F$201,MATCH($B2809,Summary!$A$2:$A$201,0))</f>
        <v>20</v>
      </c>
      <c r="M2809" s="0" t="n">
        <f aca="false">INDEX(Summary!$I$2:$I$201,MATCH($B2809,Summary!$A$2:$A$201,0))</f>
        <v>2</v>
      </c>
      <c r="N2809" s="0" t="n">
        <f aca="false">INDEX(Summary!$J$2:$J$201,MATCH($B2809,Summary!$A$2:$A$201,0))</f>
        <v>3</v>
      </c>
      <c r="O2809" s="2" t="n">
        <f aca="false">INDEX(Summary!$K$2:$K$201,MATCH($B2809,Summary!$A$2:$A$201,0))</f>
        <v>9.95</v>
      </c>
      <c r="P2809" s="3" t="n">
        <f aca="false">INDEX(Summary!$L$2:$L$201,MATCH($B2809,Summary!$A$2:$A$201,0))</f>
        <v>2</v>
      </c>
      <c r="Q2809" s="3" t="n">
        <f aca="false">INDEX(Summary!$M$2:$M$201,MATCH($B2809,Summary!$A$2:$A$201,0))</f>
        <v>4</v>
      </c>
      <c r="R2809" s="2" t="n">
        <f aca="false">INDEX(Summary!$N$2:$N$201,MATCH($B2809,Summary!$A$2:$A$201,0))</f>
        <v>10.99</v>
      </c>
      <c r="S2809" s="3" t="n">
        <f aca="false">INDEX(Summary!$O$2:$O$201,MATCH($B2809,Summary!$A$2:$A$201,0))</f>
        <v>6</v>
      </c>
      <c r="T2809" s="3" t="n">
        <f aca="false">INDEX(Summary!$P$2:$P$201,MATCH($B2809,Summary!$A$2:$A$201,0))</f>
        <v>3</v>
      </c>
      <c r="U2809" s="2" t="n">
        <f aca="false">INDEX(Summary!$Q$2:$Q$201,MATCH($B2809,Summary!$A$2:$A$201,0))</f>
        <v>12.44</v>
      </c>
      <c r="V2809" s="2" t="n">
        <f aca="false">INDEX(Summary!$R$2:$R$201,MATCH($B2809,Summary!$A$2:$A$201,0))</f>
        <v>18.59</v>
      </c>
      <c r="W2809" s="0" t="str">
        <f aca="false">INDEX(Summary!$S$2:$S$201,MATCH($B2809,Summary!$A$2:$A$201,0))</f>
        <v>Bronze</v>
      </c>
      <c r="X2809" s="2" t="n">
        <f aca="false">INDEX(Summary!$T$2:$T$201,MATCH($B2809,Summary!$A$2:$A$201,0))</f>
        <v>45.34</v>
      </c>
      <c r="Y2809" s="0" t="str">
        <f aca="false">INDEX('Reward Model'!$E$18:$E$37,MATCH($E2809,'Reward Model'!$A$18:$A$37,0))</f>
        <v>Medium</v>
      </c>
      <c r="Z2809" s="4" t="n">
        <f aca="false">ROUND(MIN(1,MAX('Reward Model'!$B$2,INDEX('Reward Model'!$C$12:$C$14,MATCH($K2809,'Reward Model'!$A$12:$A$14,0))/$J2809)),3)</f>
        <v>0.765</v>
      </c>
      <c r="AA2809" s="2" t="n">
        <f aca="false">IF($I2809="Correct",ROUND(INDEX('Reward Model'!$B$12:$B$14,MATCH($K2809,'Reward Model'!$A$12:$A$14,0))*Z2809,2),0)</f>
        <v>0</v>
      </c>
      <c r="AB2809" s="2" t="n">
        <f aca="false">IF($I2809="Correct",ROUND(INDEX('Reward Model'!$B$12:$B$14,MATCH($Y2809,'Reward Model'!$A$12:$A$14,0))*Z2809,2),0)</f>
        <v>0</v>
      </c>
    </row>
    <row r="2810" customFormat="false" ht="15" hidden="false" customHeight="false" outlineLevel="0" collapsed="false">
      <c r="A2810" s="0" t="s">
        <v>412</v>
      </c>
      <c r="B2810" s="0" t="s">
        <v>413</v>
      </c>
      <c r="C2810" s="0" t="s">
        <v>322</v>
      </c>
      <c r="D2810" s="0" t="s">
        <v>189</v>
      </c>
      <c r="E2810" s="0" t="n">
        <v>9</v>
      </c>
      <c r="F2810" s="0" t="s">
        <v>55</v>
      </c>
      <c r="G2810" s="0" t="s">
        <v>57</v>
      </c>
      <c r="H2810" s="0" t="s">
        <v>57</v>
      </c>
      <c r="I2810" s="0" t="s">
        <v>34</v>
      </c>
      <c r="J2810" s="0" t="n">
        <v>0.98</v>
      </c>
      <c r="K2810" s="0" t="s">
        <v>35</v>
      </c>
      <c r="L2810" s="0" t="n">
        <f aca="false">INDEX(Summary!$F$2:$F$201,MATCH($B2810,Summary!$A$2:$A$201,0))</f>
        <v>20</v>
      </c>
      <c r="M2810" s="0" t="n">
        <f aca="false">INDEX(Summary!$I$2:$I$201,MATCH($B2810,Summary!$A$2:$A$201,0))</f>
        <v>2</v>
      </c>
      <c r="N2810" s="0" t="n">
        <f aca="false">INDEX(Summary!$J$2:$J$201,MATCH($B2810,Summary!$A$2:$A$201,0))</f>
        <v>3</v>
      </c>
      <c r="O2810" s="2" t="n">
        <f aca="false">INDEX(Summary!$K$2:$K$201,MATCH($B2810,Summary!$A$2:$A$201,0))</f>
        <v>9.95</v>
      </c>
      <c r="P2810" s="3" t="n">
        <f aca="false">INDEX(Summary!$L$2:$L$201,MATCH($B2810,Summary!$A$2:$A$201,0))</f>
        <v>2</v>
      </c>
      <c r="Q2810" s="3" t="n">
        <f aca="false">INDEX(Summary!$M$2:$M$201,MATCH($B2810,Summary!$A$2:$A$201,0))</f>
        <v>4</v>
      </c>
      <c r="R2810" s="2" t="n">
        <f aca="false">INDEX(Summary!$N$2:$N$201,MATCH($B2810,Summary!$A$2:$A$201,0))</f>
        <v>10.99</v>
      </c>
      <c r="S2810" s="3" t="n">
        <f aca="false">INDEX(Summary!$O$2:$O$201,MATCH($B2810,Summary!$A$2:$A$201,0))</f>
        <v>6</v>
      </c>
      <c r="T2810" s="3" t="n">
        <f aca="false">INDEX(Summary!$P$2:$P$201,MATCH($B2810,Summary!$A$2:$A$201,0))</f>
        <v>3</v>
      </c>
      <c r="U2810" s="2" t="n">
        <f aca="false">INDEX(Summary!$Q$2:$Q$201,MATCH($B2810,Summary!$A$2:$A$201,0))</f>
        <v>12.44</v>
      </c>
      <c r="V2810" s="2" t="n">
        <f aca="false">INDEX(Summary!$R$2:$R$201,MATCH($B2810,Summary!$A$2:$A$201,0))</f>
        <v>18.59</v>
      </c>
      <c r="W2810" s="0" t="str">
        <f aca="false">INDEX(Summary!$S$2:$S$201,MATCH($B2810,Summary!$A$2:$A$201,0))</f>
        <v>Bronze</v>
      </c>
      <c r="X2810" s="2" t="n">
        <f aca="false">INDEX(Summary!$T$2:$T$201,MATCH($B2810,Summary!$A$2:$A$201,0))</f>
        <v>45.34</v>
      </c>
      <c r="Y2810" s="0" t="str">
        <f aca="false">INDEX('Reward Model'!$E$18:$E$37,MATCH($E2810,'Reward Model'!$A$18:$A$37,0))</f>
        <v>Medium</v>
      </c>
      <c r="Z2810" s="4" t="n">
        <f aca="false">ROUND(MIN(1,MAX('Reward Model'!$B$2,INDEX('Reward Model'!$C$12:$C$14,MATCH($K2810,'Reward Model'!$A$12:$A$14,0))/$J2810)),3)</f>
        <v>1</v>
      </c>
      <c r="AA2810" s="2" t="n">
        <f aca="false">IF($I2810="Correct",ROUND(INDEX('Reward Model'!$B$12:$B$14,MATCH($K2810,'Reward Model'!$A$12:$A$14,0))*Z2810,2),0)</f>
        <v>1</v>
      </c>
      <c r="AB2810" s="2" t="n">
        <f aca="false">IF($I2810="Correct",ROUND(INDEX('Reward Model'!$B$12:$B$14,MATCH($Y2810,'Reward Model'!$A$12:$A$14,0))*Z2810,2),0)</f>
        <v>2</v>
      </c>
    </row>
    <row r="2811" customFormat="false" ht="15" hidden="false" customHeight="false" outlineLevel="0" collapsed="false">
      <c r="A2811" s="0" t="s">
        <v>412</v>
      </c>
      <c r="B2811" s="0" t="s">
        <v>413</v>
      </c>
      <c r="C2811" s="0" t="s">
        <v>322</v>
      </c>
      <c r="D2811" s="0" t="s">
        <v>189</v>
      </c>
      <c r="E2811" s="0" t="n">
        <v>10</v>
      </c>
      <c r="F2811" s="0" t="s">
        <v>58</v>
      </c>
      <c r="G2811" s="0" t="s">
        <v>59</v>
      </c>
      <c r="H2811" s="0" t="s">
        <v>59</v>
      </c>
      <c r="I2811" s="0" t="s">
        <v>34</v>
      </c>
      <c r="J2811" s="0" t="n">
        <v>1.16</v>
      </c>
      <c r="K2811" s="0" t="s">
        <v>60</v>
      </c>
      <c r="L2811" s="0" t="n">
        <f aca="false">INDEX(Summary!$F$2:$F$201,MATCH($B2811,Summary!$A$2:$A$201,0))</f>
        <v>20</v>
      </c>
      <c r="M2811" s="0" t="n">
        <f aca="false">INDEX(Summary!$I$2:$I$201,MATCH($B2811,Summary!$A$2:$A$201,0))</f>
        <v>2</v>
      </c>
      <c r="N2811" s="0" t="n">
        <f aca="false">INDEX(Summary!$J$2:$J$201,MATCH($B2811,Summary!$A$2:$A$201,0))</f>
        <v>3</v>
      </c>
      <c r="O2811" s="2" t="n">
        <f aca="false">INDEX(Summary!$K$2:$K$201,MATCH($B2811,Summary!$A$2:$A$201,0))</f>
        <v>9.95</v>
      </c>
      <c r="P2811" s="3" t="n">
        <f aca="false">INDEX(Summary!$L$2:$L$201,MATCH($B2811,Summary!$A$2:$A$201,0))</f>
        <v>2</v>
      </c>
      <c r="Q2811" s="3" t="n">
        <f aca="false">INDEX(Summary!$M$2:$M$201,MATCH($B2811,Summary!$A$2:$A$201,0))</f>
        <v>4</v>
      </c>
      <c r="R2811" s="2" t="n">
        <f aca="false">INDEX(Summary!$N$2:$N$201,MATCH($B2811,Summary!$A$2:$A$201,0))</f>
        <v>10.99</v>
      </c>
      <c r="S2811" s="3" t="n">
        <f aca="false">INDEX(Summary!$O$2:$O$201,MATCH($B2811,Summary!$A$2:$A$201,0))</f>
        <v>6</v>
      </c>
      <c r="T2811" s="3" t="n">
        <f aca="false">INDEX(Summary!$P$2:$P$201,MATCH($B2811,Summary!$A$2:$A$201,0))</f>
        <v>3</v>
      </c>
      <c r="U2811" s="2" t="n">
        <f aca="false">INDEX(Summary!$Q$2:$Q$201,MATCH($B2811,Summary!$A$2:$A$201,0))</f>
        <v>12.44</v>
      </c>
      <c r="V2811" s="2" t="n">
        <f aca="false">INDEX(Summary!$R$2:$R$201,MATCH($B2811,Summary!$A$2:$A$201,0))</f>
        <v>18.59</v>
      </c>
      <c r="W2811" s="0" t="str">
        <f aca="false">INDEX(Summary!$S$2:$S$201,MATCH($B2811,Summary!$A$2:$A$201,0))</f>
        <v>Bronze</v>
      </c>
      <c r="X2811" s="2" t="n">
        <f aca="false">INDEX(Summary!$T$2:$T$201,MATCH($B2811,Summary!$A$2:$A$201,0))</f>
        <v>45.34</v>
      </c>
      <c r="Y2811" s="0" t="str">
        <f aca="false">INDEX('Reward Model'!$E$18:$E$37,MATCH($E2811,'Reward Model'!$A$18:$A$37,0))</f>
        <v>Medium</v>
      </c>
      <c r="Z2811" s="4" t="n">
        <f aca="false">ROUND(MIN(1,MAX('Reward Model'!$B$2,INDEX('Reward Model'!$C$12:$C$14,MATCH($K2811,'Reward Model'!$A$12:$A$14,0))/$J2811)),3)</f>
        <v>1</v>
      </c>
      <c r="AA2811" s="2" t="n">
        <f aca="false">IF($I2811="Correct",ROUND(INDEX('Reward Model'!$B$12:$B$14,MATCH($K2811,'Reward Model'!$A$12:$A$14,0))*Z2811,2),0)</f>
        <v>2</v>
      </c>
      <c r="AB2811" s="2" t="n">
        <f aca="false">IF($I2811="Correct",ROUND(INDEX('Reward Model'!$B$12:$B$14,MATCH($Y2811,'Reward Model'!$A$12:$A$14,0))*Z2811,2),0)</f>
        <v>2</v>
      </c>
    </row>
    <row r="2812" customFormat="false" ht="15" hidden="false" customHeight="false" outlineLevel="0" collapsed="false">
      <c r="A2812" s="0" t="s">
        <v>412</v>
      </c>
      <c r="B2812" s="0" t="s">
        <v>413</v>
      </c>
      <c r="C2812" s="0" t="s">
        <v>322</v>
      </c>
      <c r="D2812" s="0" t="s">
        <v>189</v>
      </c>
      <c r="E2812" s="0" t="n">
        <v>11</v>
      </c>
      <c r="F2812" s="0" t="s">
        <v>61</v>
      </c>
      <c r="G2812" s="0" t="s">
        <v>145</v>
      </c>
      <c r="H2812" s="0" t="s">
        <v>63</v>
      </c>
      <c r="I2812" s="0" t="s">
        <v>39</v>
      </c>
      <c r="J2812" s="0" t="n">
        <v>2.12</v>
      </c>
      <c r="K2812" s="0" t="s">
        <v>60</v>
      </c>
      <c r="L2812" s="0" t="n">
        <f aca="false">INDEX(Summary!$F$2:$F$201,MATCH($B2812,Summary!$A$2:$A$201,0))</f>
        <v>20</v>
      </c>
      <c r="M2812" s="0" t="n">
        <f aca="false">INDEX(Summary!$I$2:$I$201,MATCH($B2812,Summary!$A$2:$A$201,0))</f>
        <v>2</v>
      </c>
      <c r="N2812" s="0" t="n">
        <f aca="false">INDEX(Summary!$J$2:$J$201,MATCH($B2812,Summary!$A$2:$A$201,0))</f>
        <v>3</v>
      </c>
      <c r="O2812" s="2" t="n">
        <f aca="false">INDEX(Summary!$K$2:$K$201,MATCH($B2812,Summary!$A$2:$A$201,0))</f>
        <v>9.95</v>
      </c>
      <c r="P2812" s="3" t="n">
        <f aca="false">INDEX(Summary!$L$2:$L$201,MATCH($B2812,Summary!$A$2:$A$201,0))</f>
        <v>2</v>
      </c>
      <c r="Q2812" s="3" t="n">
        <f aca="false">INDEX(Summary!$M$2:$M$201,MATCH($B2812,Summary!$A$2:$A$201,0))</f>
        <v>4</v>
      </c>
      <c r="R2812" s="2" t="n">
        <f aca="false">INDEX(Summary!$N$2:$N$201,MATCH($B2812,Summary!$A$2:$A$201,0))</f>
        <v>10.99</v>
      </c>
      <c r="S2812" s="3" t="n">
        <f aca="false">INDEX(Summary!$O$2:$O$201,MATCH($B2812,Summary!$A$2:$A$201,0))</f>
        <v>6</v>
      </c>
      <c r="T2812" s="3" t="n">
        <f aca="false">INDEX(Summary!$P$2:$P$201,MATCH($B2812,Summary!$A$2:$A$201,0))</f>
        <v>3</v>
      </c>
      <c r="U2812" s="2" t="n">
        <f aca="false">INDEX(Summary!$Q$2:$Q$201,MATCH($B2812,Summary!$A$2:$A$201,0))</f>
        <v>12.44</v>
      </c>
      <c r="V2812" s="2" t="n">
        <f aca="false">INDEX(Summary!$R$2:$R$201,MATCH($B2812,Summary!$A$2:$A$201,0))</f>
        <v>18.59</v>
      </c>
      <c r="W2812" s="0" t="str">
        <f aca="false">INDEX(Summary!$S$2:$S$201,MATCH($B2812,Summary!$A$2:$A$201,0))</f>
        <v>Bronze</v>
      </c>
      <c r="X2812" s="2" t="n">
        <f aca="false">INDEX(Summary!$T$2:$T$201,MATCH($B2812,Summary!$A$2:$A$201,0))</f>
        <v>45.34</v>
      </c>
      <c r="Y2812" s="0" t="str">
        <f aca="false">INDEX('Reward Model'!$E$18:$E$37,MATCH($E2812,'Reward Model'!$A$18:$A$37,0))</f>
        <v>Medium</v>
      </c>
      <c r="Z2812" s="4" t="n">
        <f aca="false">ROUND(MIN(1,MAX('Reward Model'!$B$2,INDEX('Reward Model'!$C$12:$C$14,MATCH($K2812,'Reward Model'!$A$12:$A$14,0))/$J2812)),3)</f>
        <v>0.849</v>
      </c>
      <c r="AA2812" s="2" t="n">
        <f aca="false">IF($I2812="Correct",ROUND(INDEX('Reward Model'!$B$12:$B$14,MATCH($K2812,'Reward Model'!$A$12:$A$14,0))*Z2812,2),0)</f>
        <v>0</v>
      </c>
      <c r="AB2812" s="2" t="n">
        <f aca="false">IF($I2812="Correct",ROUND(INDEX('Reward Model'!$B$12:$B$14,MATCH($Y2812,'Reward Model'!$A$12:$A$14,0))*Z2812,2),0)</f>
        <v>0</v>
      </c>
    </row>
    <row r="2813" customFormat="false" ht="15" hidden="false" customHeight="false" outlineLevel="0" collapsed="false">
      <c r="A2813" s="0" t="s">
        <v>412</v>
      </c>
      <c r="B2813" s="0" t="s">
        <v>413</v>
      </c>
      <c r="C2813" s="0" t="s">
        <v>322</v>
      </c>
      <c r="D2813" s="0" t="s">
        <v>189</v>
      </c>
      <c r="E2813" s="0" t="n">
        <v>12</v>
      </c>
      <c r="F2813" s="0" t="s">
        <v>64</v>
      </c>
      <c r="G2813" s="0" t="s">
        <v>112</v>
      </c>
      <c r="H2813" s="0" t="s">
        <v>65</v>
      </c>
      <c r="I2813" s="0" t="s">
        <v>39</v>
      </c>
      <c r="J2813" s="0" t="n">
        <v>1.4</v>
      </c>
      <c r="K2813" s="0" t="s">
        <v>60</v>
      </c>
      <c r="L2813" s="0" t="n">
        <f aca="false">INDEX(Summary!$F$2:$F$201,MATCH($B2813,Summary!$A$2:$A$201,0))</f>
        <v>20</v>
      </c>
      <c r="M2813" s="0" t="n">
        <f aca="false">INDEX(Summary!$I$2:$I$201,MATCH($B2813,Summary!$A$2:$A$201,0))</f>
        <v>2</v>
      </c>
      <c r="N2813" s="0" t="n">
        <f aca="false">INDEX(Summary!$J$2:$J$201,MATCH($B2813,Summary!$A$2:$A$201,0))</f>
        <v>3</v>
      </c>
      <c r="O2813" s="2" t="n">
        <f aca="false">INDEX(Summary!$K$2:$K$201,MATCH($B2813,Summary!$A$2:$A$201,0))</f>
        <v>9.95</v>
      </c>
      <c r="P2813" s="3" t="n">
        <f aca="false">INDEX(Summary!$L$2:$L$201,MATCH($B2813,Summary!$A$2:$A$201,0))</f>
        <v>2</v>
      </c>
      <c r="Q2813" s="3" t="n">
        <f aca="false">INDEX(Summary!$M$2:$M$201,MATCH($B2813,Summary!$A$2:$A$201,0))</f>
        <v>4</v>
      </c>
      <c r="R2813" s="2" t="n">
        <f aca="false">INDEX(Summary!$N$2:$N$201,MATCH($B2813,Summary!$A$2:$A$201,0))</f>
        <v>10.99</v>
      </c>
      <c r="S2813" s="3" t="n">
        <f aca="false">INDEX(Summary!$O$2:$O$201,MATCH($B2813,Summary!$A$2:$A$201,0))</f>
        <v>6</v>
      </c>
      <c r="T2813" s="3" t="n">
        <f aca="false">INDEX(Summary!$P$2:$P$201,MATCH($B2813,Summary!$A$2:$A$201,0))</f>
        <v>3</v>
      </c>
      <c r="U2813" s="2" t="n">
        <f aca="false">INDEX(Summary!$Q$2:$Q$201,MATCH($B2813,Summary!$A$2:$A$201,0))</f>
        <v>12.44</v>
      </c>
      <c r="V2813" s="2" t="n">
        <f aca="false">INDEX(Summary!$R$2:$R$201,MATCH($B2813,Summary!$A$2:$A$201,0))</f>
        <v>18.59</v>
      </c>
      <c r="W2813" s="0" t="str">
        <f aca="false">INDEX(Summary!$S$2:$S$201,MATCH($B2813,Summary!$A$2:$A$201,0))</f>
        <v>Bronze</v>
      </c>
      <c r="X2813" s="2" t="n">
        <f aca="false">INDEX(Summary!$T$2:$T$201,MATCH($B2813,Summary!$A$2:$A$201,0))</f>
        <v>45.34</v>
      </c>
      <c r="Y2813" s="0" t="str">
        <f aca="false">INDEX('Reward Model'!$E$18:$E$37,MATCH($E2813,'Reward Model'!$A$18:$A$37,0))</f>
        <v>Medium</v>
      </c>
      <c r="Z2813" s="4" t="n">
        <f aca="false">ROUND(MIN(1,MAX('Reward Model'!$B$2,INDEX('Reward Model'!$C$12:$C$14,MATCH($K2813,'Reward Model'!$A$12:$A$14,0))/$J2813)),3)</f>
        <v>1</v>
      </c>
      <c r="AA2813" s="2" t="n">
        <f aca="false">IF($I2813="Correct",ROUND(INDEX('Reward Model'!$B$12:$B$14,MATCH($K2813,'Reward Model'!$A$12:$A$14,0))*Z2813,2),0)</f>
        <v>0</v>
      </c>
      <c r="AB2813" s="2" t="n">
        <f aca="false">IF($I2813="Correct",ROUND(INDEX('Reward Model'!$B$12:$B$14,MATCH($Y2813,'Reward Model'!$A$12:$A$14,0))*Z2813,2),0)</f>
        <v>0</v>
      </c>
    </row>
    <row r="2814" customFormat="false" ht="15" hidden="false" customHeight="false" outlineLevel="0" collapsed="false">
      <c r="A2814" s="0" t="s">
        <v>412</v>
      </c>
      <c r="B2814" s="0" t="s">
        <v>413</v>
      </c>
      <c r="C2814" s="0" t="s">
        <v>322</v>
      </c>
      <c r="D2814" s="0" t="s">
        <v>189</v>
      </c>
      <c r="E2814" s="0" t="n">
        <v>13</v>
      </c>
      <c r="F2814" s="0" t="s">
        <v>66</v>
      </c>
      <c r="G2814" s="0" t="s">
        <v>67</v>
      </c>
      <c r="H2814" s="0" t="s">
        <v>67</v>
      </c>
      <c r="I2814" s="0" t="s">
        <v>34</v>
      </c>
      <c r="J2814" s="0" t="n">
        <v>2.15</v>
      </c>
      <c r="K2814" s="0" t="s">
        <v>60</v>
      </c>
      <c r="L2814" s="0" t="n">
        <f aca="false">INDEX(Summary!$F$2:$F$201,MATCH($B2814,Summary!$A$2:$A$201,0))</f>
        <v>20</v>
      </c>
      <c r="M2814" s="0" t="n">
        <f aca="false">INDEX(Summary!$I$2:$I$201,MATCH($B2814,Summary!$A$2:$A$201,0))</f>
        <v>2</v>
      </c>
      <c r="N2814" s="0" t="n">
        <f aca="false">INDEX(Summary!$J$2:$J$201,MATCH($B2814,Summary!$A$2:$A$201,0))</f>
        <v>3</v>
      </c>
      <c r="O2814" s="2" t="n">
        <f aca="false">INDEX(Summary!$K$2:$K$201,MATCH($B2814,Summary!$A$2:$A$201,0))</f>
        <v>9.95</v>
      </c>
      <c r="P2814" s="3" t="n">
        <f aca="false">INDEX(Summary!$L$2:$L$201,MATCH($B2814,Summary!$A$2:$A$201,0))</f>
        <v>2</v>
      </c>
      <c r="Q2814" s="3" t="n">
        <f aca="false">INDEX(Summary!$M$2:$M$201,MATCH($B2814,Summary!$A$2:$A$201,0))</f>
        <v>4</v>
      </c>
      <c r="R2814" s="2" t="n">
        <f aca="false">INDEX(Summary!$N$2:$N$201,MATCH($B2814,Summary!$A$2:$A$201,0))</f>
        <v>10.99</v>
      </c>
      <c r="S2814" s="3" t="n">
        <f aca="false">INDEX(Summary!$O$2:$O$201,MATCH($B2814,Summary!$A$2:$A$201,0))</f>
        <v>6</v>
      </c>
      <c r="T2814" s="3" t="n">
        <f aca="false">INDEX(Summary!$P$2:$P$201,MATCH($B2814,Summary!$A$2:$A$201,0))</f>
        <v>3</v>
      </c>
      <c r="U2814" s="2" t="n">
        <f aca="false">INDEX(Summary!$Q$2:$Q$201,MATCH($B2814,Summary!$A$2:$A$201,0))</f>
        <v>12.44</v>
      </c>
      <c r="V2814" s="2" t="n">
        <f aca="false">INDEX(Summary!$R$2:$R$201,MATCH($B2814,Summary!$A$2:$A$201,0))</f>
        <v>18.59</v>
      </c>
      <c r="W2814" s="0" t="str">
        <f aca="false">INDEX(Summary!$S$2:$S$201,MATCH($B2814,Summary!$A$2:$A$201,0))</f>
        <v>Bronze</v>
      </c>
      <c r="X2814" s="2" t="n">
        <f aca="false">INDEX(Summary!$T$2:$T$201,MATCH($B2814,Summary!$A$2:$A$201,0))</f>
        <v>45.34</v>
      </c>
      <c r="Y2814" s="0" t="str">
        <f aca="false">INDEX('Reward Model'!$E$18:$E$37,MATCH($E2814,'Reward Model'!$A$18:$A$37,0))</f>
        <v>Medium</v>
      </c>
      <c r="Z2814" s="4" t="n">
        <f aca="false">ROUND(MIN(1,MAX('Reward Model'!$B$2,INDEX('Reward Model'!$C$12:$C$14,MATCH($K2814,'Reward Model'!$A$12:$A$14,0))/$J2814)),3)</f>
        <v>0.837</v>
      </c>
      <c r="AA2814" s="2" t="n">
        <f aca="false">IF($I2814="Correct",ROUND(INDEX('Reward Model'!$B$12:$B$14,MATCH($K2814,'Reward Model'!$A$12:$A$14,0))*Z2814,2),0)</f>
        <v>1.67</v>
      </c>
      <c r="AB2814" s="2" t="n">
        <f aca="false">IF($I2814="Correct",ROUND(INDEX('Reward Model'!$B$12:$B$14,MATCH($Y2814,'Reward Model'!$A$12:$A$14,0))*Z2814,2),0)</f>
        <v>1.67</v>
      </c>
    </row>
    <row r="2815" customFormat="false" ht="15" hidden="false" customHeight="false" outlineLevel="0" collapsed="false">
      <c r="A2815" s="0" t="s">
        <v>412</v>
      </c>
      <c r="B2815" s="0" t="s">
        <v>413</v>
      </c>
      <c r="C2815" s="0" t="s">
        <v>322</v>
      </c>
      <c r="D2815" s="0" t="s">
        <v>189</v>
      </c>
      <c r="E2815" s="0" t="n">
        <v>14</v>
      </c>
      <c r="F2815" s="0" t="s">
        <v>68</v>
      </c>
      <c r="G2815" s="0" t="s">
        <v>100</v>
      </c>
      <c r="H2815" s="0" t="s">
        <v>51</v>
      </c>
      <c r="I2815" s="0" t="s">
        <v>39</v>
      </c>
      <c r="J2815" s="0" t="n">
        <v>2.02</v>
      </c>
      <c r="K2815" s="0" t="s">
        <v>60</v>
      </c>
      <c r="L2815" s="0" t="n">
        <f aca="false">INDEX(Summary!$F$2:$F$201,MATCH($B2815,Summary!$A$2:$A$201,0))</f>
        <v>20</v>
      </c>
      <c r="M2815" s="0" t="n">
        <f aca="false">INDEX(Summary!$I$2:$I$201,MATCH($B2815,Summary!$A$2:$A$201,0))</f>
        <v>2</v>
      </c>
      <c r="N2815" s="0" t="n">
        <f aca="false">INDEX(Summary!$J$2:$J$201,MATCH($B2815,Summary!$A$2:$A$201,0))</f>
        <v>3</v>
      </c>
      <c r="O2815" s="2" t="n">
        <f aca="false">INDEX(Summary!$K$2:$K$201,MATCH($B2815,Summary!$A$2:$A$201,0))</f>
        <v>9.95</v>
      </c>
      <c r="P2815" s="3" t="n">
        <f aca="false">INDEX(Summary!$L$2:$L$201,MATCH($B2815,Summary!$A$2:$A$201,0))</f>
        <v>2</v>
      </c>
      <c r="Q2815" s="3" t="n">
        <f aca="false">INDEX(Summary!$M$2:$M$201,MATCH($B2815,Summary!$A$2:$A$201,0))</f>
        <v>4</v>
      </c>
      <c r="R2815" s="2" t="n">
        <f aca="false">INDEX(Summary!$N$2:$N$201,MATCH($B2815,Summary!$A$2:$A$201,0))</f>
        <v>10.99</v>
      </c>
      <c r="S2815" s="3" t="n">
        <f aca="false">INDEX(Summary!$O$2:$O$201,MATCH($B2815,Summary!$A$2:$A$201,0))</f>
        <v>6</v>
      </c>
      <c r="T2815" s="3" t="n">
        <f aca="false">INDEX(Summary!$P$2:$P$201,MATCH($B2815,Summary!$A$2:$A$201,0))</f>
        <v>3</v>
      </c>
      <c r="U2815" s="2" t="n">
        <f aca="false">INDEX(Summary!$Q$2:$Q$201,MATCH($B2815,Summary!$A$2:$A$201,0))</f>
        <v>12.44</v>
      </c>
      <c r="V2815" s="2" t="n">
        <f aca="false">INDEX(Summary!$R$2:$R$201,MATCH($B2815,Summary!$A$2:$A$201,0))</f>
        <v>18.59</v>
      </c>
      <c r="W2815" s="0" t="str">
        <f aca="false">INDEX(Summary!$S$2:$S$201,MATCH($B2815,Summary!$A$2:$A$201,0))</f>
        <v>Bronze</v>
      </c>
      <c r="X2815" s="2" t="n">
        <f aca="false">INDEX(Summary!$T$2:$T$201,MATCH($B2815,Summary!$A$2:$A$201,0))</f>
        <v>45.34</v>
      </c>
      <c r="Y2815" s="0" t="str">
        <f aca="false">INDEX('Reward Model'!$E$18:$E$37,MATCH($E2815,'Reward Model'!$A$18:$A$37,0))</f>
        <v>Medium</v>
      </c>
      <c r="Z2815" s="4" t="n">
        <f aca="false">ROUND(MIN(1,MAX('Reward Model'!$B$2,INDEX('Reward Model'!$C$12:$C$14,MATCH($K2815,'Reward Model'!$A$12:$A$14,0))/$J2815)),3)</f>
        <v>0.891</v>
      </c>
      <c r="AA2815" s="2" t="n">
        <f aca="false">IF($I2815="Correct",ROUND(INDEX('Reward Model'!$B$12:$B$14,MATCH($K2815,'Reward Model'!$A$12:$A$14,0))*Z2815,2),0)</f>
        <v>0</v>
      </c>
      <c r="AB2815" s="2" t="n">
        <f aca="false">IF($I2815="Correct",ROUND(INDEX('Reward Model'!$B$12:$B$14,MATCH($Y2815,'Reward Model'!$A$12:$A$14,0))*Z2815,2),0)</f>
        <v>0</v>
      </c>
    </row>
    <row r="2816" customFormat="false" ht="15" hidden="false" customHeight="false" outlineLevel="0" collapsed="false">
      <c r="A2816" s="0" t="s">
        <v>412</v>
      </c>
      <c r="B2816" s="0" t="s">
        <v>413</v>
      </c>
      <c r="C2816" s="0" t="s">
        <v>322</v>
      </c>
      <c r="D2816" s="0" t="s">
        <v>189</v>
      </c>
      <c r="E2816" s="0" t="n">
        <v>15</v>
      </c>
      <c r="F2816" s="0" t="s">
        <v>69</v>
      </c>
      <c r="G2816" s="0" t="s">
        <v>94</v>
      </c>
      <c r="H2816" s="0" t="s">
        <v>70</v>
      </c>
      <c r="I2816" s="0" t="s">
        <v>39</v>
      </c>
      <c r="J2816" s="0" t="n">
        <v>2.14</v>
      </c>
      <c r="K2816" s="0" t="s">
        <v>60</v>
      </c>
      <c r="L2816" s="0" t="n">
        <f aca="false">INDEX(Summary!$F$2:$F$201,MATCH($B2816,Summary!$A$2:$A$201,0))</f>
        <v>20</v>
      </c>
      <c r="M2816" s="0" t="n">
        <f aca="false">INDEX(Summary!$I$2:$I$201,MATCH($B2816,Summary!$A$2:$A$201,0))</f>
        <v>2</v>
      </c>
      <c r="N2816" s="0" t="n">
        <f aca="false">INDEX(Summary!$J$2:$J$201,MATCH($B2816,Summary!$A$2:$A$201,0))</f>
        <v>3</v>
      </c>
      <c r="O2816" s="2" t="n">
        <f aca="false">INDEX(Summary!$K$2:$K$201,MATCH($B2816,Summary!$A$2:$A$201,0))</f>
        <v>9.95</v>
      </c>
      <c r="P2816" s="3" t="n">
        <f aca="false">INDEX(Summary!$L$2:$L$201,MATCH($B2816,Summary!$A$2:$A$201,0))</f>
        <v>2</v>
      </c>
      <c r="Q2816" s="3" t="n">
        <f aca="false">INDEX(Summary!$M$2:$M$201,MATCH($B2816,Summary!$A$2:$A$201,0))</f>
        <v>4</v>
      </c>
      <c r="R2816" s="2" t="n">
        <f aca="false">INDEX(Summary!$N$2:$N$201,MATCH($B2816,Summary!$A$2:$A$201,0))</f>
        <v>10.99</v>
      </c>
      <c r="S2816" s="3" t="n">
        <f aca="false">INDEX(Summary!$O$2:$O$201,MATCH($B2816,Summary!$A$2:$A$201,0))</f>
        <v>6</v>
      </c>
      <c r="T2816" s="3" t="n">
        <f aca="false">INDEX(Summary!$P$2:$P$201,MATCH($B2816,Summary!$A$2:$A$201,0))</f>
        <v>3</v>
      </c>
      <c r="U2816" s="2" t="n">
        <f aca="false">INDEX(Summary!$Q$2:$Q$201,MATCH($B2816,Summary!$A$2:$A$201,0))</f>
        <v>12.44</v>
      </c>
      <c r="V2816" s="2" t="n">
        <f aca="false">INDEX(Summary!$R$2:$R$201,MATCH($B2816,Summary!$A$2:$A$201,0))</f>
        <v>18.59</v>
      </c>
      <c r="W2816" s="0" t="str">
        <f aca="false">INDEX(Summary!$S$2:$S$201,MATCH($B2816,Summary!$A$2:$A$201,0))</f>
        <v>Bronze</v>
      </c>
      <c r="X2816" s="2" t="n">
        <f aca="false">INDEX(Summary!$T$2:$T$201,MATCH($B2816,Summary!$A$2:$A$201,0))</f>
        <v>45.34</v>
      </c>
      <c r="Y2816" s="0" t="str">
        <f aca="false">INDEX('Reward Model'!$E$18:$E$37,MATCH($E2816,'Reward Model'!$A$18:$A$37,0))</f>
        <v>Medium</v>
      </c>
      <c r="Z2816" s="4" t="n">
        <f aca="false">ROUND(MIN(1,MAX('Reward Model'!$B$2,INDEX('Reward Model'!$C$12:$C$14,MATCH($K2816,'Reward Model'!$A$12:$A$14,0))/$J2816)),3)</f>
        <v>0.841</v>
      </c>
      <c r="AA2816" s="2" t="n">
        <f aca="false">IF($I2816="Correct",ROUND(INDEX('Reward Model'!$B$12:$B$14,MATCH($K2816,'Reward Model'!$A$12:$A$14,0))*Z2816,2),0)</f>
        <v>0</v>
      </c>
      <c r="AB2816" s="2" t="n">
        <f aca="false">IF($I2816="Correct",ROUND(INDEX('Reward Model'!$B$12:$B$14,MATCH($Y2816,'Reward Model'!$A$12:$A$14,0))*Z2816,2),0)</f>
        <v>0</v>
      </c>
    </row>
    <row r="2817" customFormat="false" ht="15" hidden="false" customHeight="false" outlineLevel="0" collapsed="false">
      <c r="A2817" s="0" t="s">
        <v>412</v>
      </c>
      <c r="B2817" s="0" t="s">
        <v>413</v>
      </c>
      <c r="C2817" s="0" t="s">
        <v>322</v>
      </c>
      <c r="D2817" s="0" t="s">
        <v>189</v>
      </c>
      <c r="E2817" s="0" t="n">
        <v>16</v>
      </c>
      <c r="F2817" s="0" t="s">
        <v>71</v>
      </c>
      <c r="G2817" s="0" t="s">
        <v>87</v>
      </c>
      <c r="H2817" s="0" t="s">
        <v>72</v>
      </c>
      <c r="I2817" s="0" t="s">
        <v>39</v>
      </c>
      <c r="J2817" s="0" t="n">
        <v>1.97</v>
      </c>
      <c r="K2817" s="0" t="s">
        <v>73</v>
      </c>
      <c r="L2817" s="0" t="n">
        <f aca="false">INDEX(Summary!$F$2:$F$201,MATCH($B2817,Summary!$A$2:$A$201,0))</f>
        <v>20</v>
      </c>
      <c r="M2817" s="0" t="n">
        <f aca="false">INDEX(Summary!$I$2:$I$201,MATCH($B2817,Summary!$A$2:$A$201,0))</f>
        <v>2</v>
      </c>
      <c r="N2817" s="0" t="n">
        <f aca="false">INDEX(Summary!$J$2:$J$201,MATCH($B2817,Summary!$A$2:$A$201,0))</f>
        <v>3</v>
      </c>
      <c r="O2817" s="2" t="n">
        <f aca="false">INDEX(Summary!$K$2:$K$201,MATCH($B2817,Summary!$A$2:$A$201,0))</f>
        <v>9.95</v>
      </c>
      <c r="P2817" s="3" t="n">
        <f aca="false">INDEX(Summary!$L$2:$L$201,MATCH($B2817,Summary!$A$2:$A$201,0))</f>
        <v>2</v>
      </c>
      <c r="Q2817" s="3" t="n">
        <f aca="false">INDEX(Summary!$M$2:$M$201,MATCH($B2817,Summary!$A$2:$A$201,0))</f>
        <v>4</v>
      </c>
      <c r="R2817" s="2" t="n">
        <f aca="false">INDEX(Summary!$N$2:$N$201,MATCH($B2817,Summary!$A$2:$A$201,0))</f>
        <v>10.99</v>
      </c>
      <c r="S2817" s="3" t="n">
        <f aca="false">INDEX(Summary!$O$2:$O$201,MATCH($B2817,Summary!$A$2:$A$201,0))</f>
        <v>6</v>
      </c>
      <c r="T2817" s="3" t="n">
        <f aca="false">INDEX(Summary!$P$2:$P$201,MATCH($B2817,Summary!$A$2:$A$201,0))</f>
        <v>3</v>
      </c>
      <c r="U2817" s="2" t="n">
        <f aca="false">INDEX(Summary!$Q$2:$Q$201,MATCH($B2817,Summary!$A$2:$A$201,0))</f>
        <v>12.44</v>
      </c>
      <c r="V2817" s="2" t="n">
        <f aca="false">INDEX(Summary!$R$2:$R$201,MATCH($B2817,Summary!$A$2:$A$201,0))</f>
        <v>18.59</v>
      </c>
      <c r="W2817" s="0" t="str">
        <f aca="false">INDEX(Summary!$S$2:$S$201,MATCH($B2817,Summary!$A$2:$A$201,0))</f>
        <v>Bronze</v>
      </c>
      <c r="X2817" s="2" t="n">
        <f aca="false">INDEX(Summary!$T$2:$T$201,MATCH($B2817,Summary!$A$2:$A$201,0))</f>
        <v>45.34</v>
      </c>
      <c r="Y2817" s="0" t="str">
        <f aca="false">INDEX('Reward Model'!$E$18:$E$37,MATCH($E2817,'Reward Model'!$A$18:$A$37,0))</f>
        <v>High</v>
      </c>
      <c r="Z2817" s="4" t="n">
        <f aca="false">ROUND(MIN(1,MAX('Reward Model'!$B$2,INDEX('Reward Model'!$C$12:$C$14,MATCH($K2817,'Reward Model'!$A$12:$A$14,0))/$J2817)),3)</f>
        <v>1</v>
      </c>
      <c r="AA2817" s="2" t="n">
        <f aca="false">IF($I2817="Correct",ROUND(INDEX('Reward Model'!$B$12:$B$14,MATCH($K2817,'Reward Model'!$A$12:$A$14,0))*Z2817,2),0)</f>
        <v>0</v>
      </c>
      <c r="AB2817" s="2" t="n">
        <f aca="false">IF($I2817="Correct",ROUND(INDEX('Reward Model'!$B$12:$B$14,MATCH($Y2817,'Reward Model'!$A$12:$A$14,0))*Z2817,2),0)</f>
        <v>0</v>
      </c>
    </row>
    <row r="2818" customFormat="false" ht="15" hidden="false" customHeight="false" outlineLevel="0" collapsed="false">
      <c r="A2818" s="0" t="s">
        <v>412</v>
      </c>
      <c r="B2818" s="0" t="s">
        <v>413</v>
      </c>
      <c r="C2818" s="0" t="s">
        <v>322</v>
      </c>
      <c r="D2818" s="0" t="s">
        <v>189</v>
      </c>
      <c r="E2818" s="0" t="n">
        <v>17</v>
      </c>
      <c r="F2818" s="0" t="s">
        <v>74</v>
      </c>
      <c r="G2818" s="0" t="s">
        <v>105</v>
      </c>
      <c r="H2818" s="0" t="s">
        <v>75</v>
      </c>
      <c r="I2818" s="0" t="s">
        <v>39</v>
      </c>
      <c r="J2818" s="0" t="n">
        <v>2.01</v>
      </c>
      <c r="K2818" s="0" t="s">
        <v>73</v>
      </c>
      <c r="L2818" s="0" t="n">
        <f aca="false">INDEX(Summary!$F$2:$F$201,MATCH($B2818,Summary!$A$2:$A$201,0))</f>
        <v>20</v>
      </c>
      <c r="M2818" s="0" t="n">
        <f aca="false">INDEX(Summary!$I$2:$I$201,MATCH($B2818,Summary!$A$2:$A$201,0))</f>
        <v>2</v>
      </c>
      <c r="N2818" s="0" t="n">
        <f aca="false">INDEX(Summary!$J$2:$J$201,MATCH($B2818,Summary!$A$2:$A$201,0))</f>
        <v>3</v>
      </c>
      <c r="O2818" s="2" t="n">
        <f aca="false">INDEX(Summary!$K$2:$K$201,MATCH($B2818,Summary!$A$2:$A$201,0))</f>
        <v>9.95</v>
      </c>
      <c r="P2818" s="3" t="n">
        <f aca="false">INDEX(Summary!$L$2:$L$201,MATCH($B2818,Summary!$A$2:$A$201,0))</f>
        <v>2</v>
      </c>
      <c r="Q2818" s="3" t="n">
        <f aca="false">INDEX(Summary!$M$2:$M$201,MATCH($B2818,Summary!$A$2:$A$201,0))</f>
        <v>4</v>
      </c>
      <c r="R2818" s="2" t="n">
        <f aca="false">INDEX(Summary!$N$2:$N$201,MATCH($B2818,Summary!$A$2:$A$201,0))</f>
        <v>10.99</v>
      </c>
      <c r="S2818" s="3" t="n">
        <f aca="false">INDEX(Summary!$O$2:$O$201,MATCH($B2818,Summary!$A$2:$A$201,0))</f>
        <v>6</v>
      </c>
      <c r="T2818" s="3" t="n">
        <f aca="false">INDEX(Summary!$P$2:$P$201,MATCH($B2818,Summary!$A$2:$A$201,0))</f>
        <v>3</v>
      </c>
      <c r="U2818" s="2" t="n">
        <f aca="false">INDEX(Summary!$Q$2:$Q$201,MATCH($B2818,Summary!$A$2:$A$201,0))</f>
        <v>12.44</v>
      </c>
      <c r="V2818" s="2" t="n">
        <f aca="false">INDEX(Summary!$R$2:$R$201,MATCH($B2818,Summary!$A$2:$A$201,0))</f>
        <v>18.59</v>
      </c>
      <c r="W2818" s="0" t="str">
        <f aca="false">INDEX(Summary!$S$2:$S$201,MATCH($B2818,Summary!$A$2:$A$201,0))</f>
        <v>Bronze</v>
      </c>
      <c r="X2818" s="2" t="n">
        <f aca="false">INDEX(Summary!$T$2:$T$201,MATCH($B2818,Summary!$A$2:$A$201,0))</f>
        <v>45.34</v>
      </c>
      <c r="Y2818" s="0" t="str">
        <f aca="false">INDEX('Reward Model'!$E$18:$E$37,MATCH($E2818,'Reward Model'!$A$18:$A$37,0))</f>
        <v>High</v>
      </c>
      <c r="Z2818" s="4" t="n">
        <f aca="false">ROUND(MIN(1,MAX('Reward Model'!$B$2,INDEX('Reward Model'!$C$12:$C$14,MATCH($K2818,'Reward Model'!$A$12:$A$14,0))/$J2818)),3)</f>
        <v>0.995</v>
      </c>
      <c r="AA2818" s="2" t="n">
        <f aca="false">IF($I2818="Correct",ROUND(INDEX('Reward Model'!$B$12:$B$14,MATCH($K2818,'Reward Model'!$A$12:$A$14,0))*Z2818,2),0)</f>
        <v>0</v>
      </c>
      <c r="AB2818" s="2" t="n">
        <f aca="false">IF($I2818="Correct",ROUND(INDEX('Reward Model'!$B$12:$B$14,MATCH($Y2818,'Reward Model'!$A$12:$A$14,0))*Z2818,2),0)</f>
        <v>0</v>
      </c>
    </row>
    <row r="2819" customFormat="false" ht="15" hidden="false" customHeight="false" outlineLevel="0" collapsed="false">
      <c r="A2819" s="0" t="s">
        <v>412</v>
      </c>
      <c r="B2819" s="0" t="s">
        <v>413</v>
      </c>
      <c r="C2819" s="0" t="s">
        <v>322</v>
      </c>
      <c r="D2819" s="0" t="s">
        <v>189</v>
      </c>
      <c r="E2819" s="0" t="n">
        <v>18</v>
      </c>
      <c r="F2819" s="0" t="s">
        <v>76</v>
      </c>
      <c r="G2819" s="0" t="s">
        <v>56</v>
      </c>
      <c r="H2819" s="0" t="s">
        <v>77</v>
      </c>
      <c r="I2819" s="0" t="s">
        <v>39</v>
      </c>
      <c r="J2819" s="0" t="n">
        <v>2.32</v>
      </c>
      <c r="K2819" s="0" t="s">
        <v>73</v>
      </c>
      <c r="L2819" s="0" t="n">
        <f aca="false">INDEX(Summary!$F$2:$F$201,MATCH($B2819,Summary!$A$2:$A$201,0))</f>
        <v>20</v>
      </c>
      <c r="M2819" s="0" t="n">
        <f aca="false">INDEX(Summary!$I$2:$I$201,MATCH($B2819,Summary!$A$2:$A$201,0))</f>
        <v>2</v>
      </c>
      <c r="N2819" s="0" t="n">
        <f aca="false">INDEX(Summary!$J$2:$J$201,MATCH($B2819,Summary!$A$2:$A$201,0))</f>
        <v>3</v>
      </c>
      <c r="O2819" s="2" t="n">
        <f aca="false">INDEX(Summary!$K$2:$K$201,MATCH($B2819,Summary!$A$2:$A$201,0))</f>
        <v>9.95</v>
      </c>
      <c r="P2819" s="3" t="n">
        <f aca="false">INDEX(Summary!$L$2:$L$201,MATCH($B2819,Summary!$A$2:$A$201,0))</f>
        <v>2</v>
      </c>
      <c r="Q2819" s="3" t="n">
        <f aca="false">INDEX(Summary!$M$2:$M$201,MATCH($B2819,Summary!$A$2:$A$201,0))</f>
        <v>4</v>
      </c>
      <c r="R2819" s="2" t="n">
        <f aca="false">INDEX(Summary!$N$2:$N$201,MATCH($B2819,Summary!$A$2:$A$201,0))</f>
        <v>10.99</v>
      </c>
      <c r="S2819" s="3" t="n">
        <f aca="false">INDEX(Summary!$O$2:$O$201,MATCH($B2819,Summary!$A$2:$A$201,0))</f>
        <v>6</v>
      </c>
      <c r="T2819" s="3" t="n">
        <f aca="false">INDEX(Summary!$P$2:$P$201,MATCH($B2819,Summary!$A$2:$A$201,0))</f>
        <v>3</v>
      </c>
      <c r="U2819" s="2" t="n">
        <f aca="false">INDEX(Summary!$Q$2:$Q$201,MATCH($B2819,Summary!$A$2:$A$201,0))</f>
        <v>12.44</v>
      </c>
      <c r="V2819" s="2" t="n">
        <f aca="false">INDEX(Summary!$R$2:$R$201,MATCH($B2819,Summary!$A$2:$A$201,0))</f>
        <v>18.59</v>
      </c>
      <c r="W2819" s="0" t="str">
        <f aca="false">INDEX(Summary!$S$2:$S$201,MATCH($B2819,Summary!$A$2:$A$201,0))</f>
        <v>Bronze</v>
      </c>
      <c r="X2819" s="2" t="n">
        <f aca="false">INDEX(Summary!$T$2:$T$201,MATCH($B2819,Summary!$A$2:$A$201,0))</f>
        <v>45.34</v>
      </c>
      <c r="Y2819" s="0" t="str">
        <f aca="false">INDEX('Reward Model'!$E$18:$E$37,MATCH($E2819,'Reward Model'!$A$18:$A$37,0))</f>
        <v>High</v>
      </c>
      <c r="Z2819" s="4" t="n">
        <f aca="false">ROUND(MIN(1,MAX('Reward Model'!$B$2,INDEX('Reward Model'!$C$12:$C$14,MATCH($K2819,'Reward Model'!$A$12:$A$14,0))/$J2819)),3)</f>
        <v>0.862</v>
      </c>
      <c r="AA2819" s="2" t="n">
        <f aca="false">IF($I2819="Correct",ROUND(INDEX('Reward Model'!$B$12:$B$14,MATCH($K2819,'Reward Model'!$A$12:$A$14,0))*Z2819,2),0)</f>
        <v>0</v>
      </c>
      <c r="AB2819" s="2" t="n">
        <f aca="false">IF($I2819="Correct",ROUND(INDEX('Reward Model'!$B$12:$B$14,MATCH($Y2819,'Reward Model'!$A$12:$A$14,0))*Z2819,2),0)</f>
        <v>0</v>
      </c>
    </row>
    <row r="2820" customFormat="false" ht="15" hidden="false" customHeight="false" outlineLevel="0" collapsed="false">
      <c r="A2820" s="0" t="s">
        <v>412</v>
      </c>
      <c r="B2820" s="0" t="s">
        <v>413</v>
      </c>
      <c r="C2820" s="0" t="s">
        <v>322</v>
      </c>
      <c r="D2820" s="0" t="s">
        <v>189</v>
      </c>
      <c r="E2820" s="0" t="n">
        <v>19</v>
      </c>
      <c r="F2820" s="0" t="s">
        <v>78</v>
      </c>
      <c r="G2820" s="0" t="s">
        <v>80</v>
      </c>
      <c r="H2820" s="0" t="s">
        <v>80</v>
      </c>
      <c r="I2820" s="0" t="s">
        <v>34</v>
      </c>
      <c r="J2820" s="0" t="n">
        <v>1.71</v>
      </c>
      <c r="K2820" s="0" t="s">
        <v>73</v>
      </c>
      <c r="L2820" s="0" t="n">
        <f aca="false">INDEX(Summary!$F$2:$F$201,MATCH($B2820,Summary!$A$2:$A$201,0))</f>
        <v>20</v>
      </c>
      <c r="M2820" s="0" t="n">
        <f aca="false">INDEX(Summary!$I$2:$I$201,MATCH($B2820,Summary!$A$2:$A$201,0))</f>
        <v>2</v>
      </c>
      <c r="N2820" s="0" t="n">
        <f aca="false">INDEX(Summary!$J$2:$J$201,MATCH($B2820,Summary!$A$2:$A$201,0))</f>
        <v>3</v>
      </c>
      <c r="O2820" s="2" t="n">
        <f aca="false">INDEX(Summary!$K$2:$K$201,MATCH($B2820,Summary!$A$2:$A$201,0))</f>
        <v>9.95</v>
      </c>
      <c r="P2820" s="3" t="n">
        <f aca="false">INDEX(Summary!$L$2:$L$201,MATCH($B2820,Summary!$A$2:$A$201,0))</f>
        <v>2</v>
      </c>
      <c r="Q2820" s="3" t="n">
        <f aca="false">INDEX(Summary!$M$2:$M$201,MATCH($B2820,Summary!$A$2:$A$201,0))</f>
        <v>4</v>
      </c>
      <c r="R2820" s="2" t="n">
        <f aca="false">INDEX(Summary!$N$2:$N$201,MATCH($B2820,Summary!$A$2:$A$201,0))</f>
        <v>10.99</v>
      </c>
      <c r="S2820" s="3" t="n">
        <f aca="false">INDEX(Summary!$O$2:$O$201,MATCH($B2820,Summary!$A$2:$A$201,0))</f>
        <v>6</v>
      </c>
      <c r="T2820" s="3" t="n">
        <f aca="false">INDEX(Summary!$P$2:$P$201,MATCH($B2820,Summary!$A$2:$A$201,0))</f>
        <v>3</v>
      </c>
      <c r="U2820" s="2" t="n">
        <f aca="false">INDEX(Summary!$Q$2:$Q$201,MATCH($B2820,Summary!$A$2:$A$201,0))</f>
        <v>12.44</v>
      </c>
      <c r="V2820" s="2" t="n">
        <f aca="false">INDEX(Summary!$R$2:$R$201,MATCH($B2820,Summary!$A$2:$A$201,0))</f>
        <v>18.59</v>
      </c>
      <c r="W2820" s="0" t="str">
        <f aca="false">INDEX(Summary!$S$2:$S$201,MATCH($B2820,Summary!$A$2:$A$201,0))</f>
        <v>Bronze</v>
      </c>
      <c r="X2820" s="2" t="n">
        <f aca="false">INDEX(Summary!$T$2:$T$201,MATCH($B2820,Summary!$A$2:$A$201,0))</f>
        <v>45.34</v>
      </c>
      <c r="Y2820" s="0" t="str">
        <f aca="false">INDEX('Reward Model'!$E$18:$E$37,MATCH($E2820,'Reward Model'!$A$18:$A$37,0))</f>
        <v>High</v>
      </c>
      <c r="Z2820" s="4" t="n">
        <f aca="false">ROUND(MIN(1,MAX('Reward Model'!$B$2,INDEX('Reward Model'!$C$12:$C$14,MATCH($K2820,'Reward Model'!$A$12:$A$14,0))/$J2820)),3)</f>
        <v>1</v>
      </c>
      <c r="AA2820" s="2" t="n">
        <f aca="false">IF($I2820="Correct",ROUND(INDEX('Reward Model'!$B$12:$B$14,MATCH($K2820,'Reward Model'!$A$12:$A$14,0))*Z2820,2),0)</f>
        <v>3</v>
      </c>
      <c r="AB2820" s="2" t="n">
        <f aca="false">IF($I2820="Correct",ROUND(INDEX('Reward Model'!$B$12:$B$14,MATCH($Y2820,'Reward Model'!$A$12:$A$14,0))*Z2820,2),0)</f>
        <v>3</v>
      </c>
    </row>
    <row r="2821" customFormat="false" ht="15" hidden="false" customHeight="false" outlineLevel="0" collapsed="false">
      <c r="A2821" s="0" t="s">
        <v>412</v>
      </c>
      <c r="B2821" s="0" t="s">
        <v>413</v>
      </c>
      <c r="C2821" s="0" t="s">
        <v>322</v>
      </c>
      <c r="D2821" s="0" t="s">
        <v>189</v>
      </c>
      <c r="E2821" s="0" t="n">
        <v>20</v>
      </c>
      <c r="F2821" s="0" t="s">
        <v>81</v>
      </c>
      <c r="G2821" s="0" t="s">
        <v>83</v>
      </c>
      <c r="H2821" s="0" t="s">
        <v>83</v>
      </c>
      <c r="I2821" s="0" t="s">
        <v>34</v>
      </c>
      <c r="J2821" s="0" t="n">
        <v>1.94</v>
      </c>
      <c r="K2821" s="0" t="s">
        <v>73</v>
      </c>
      <c r="L2821" s="0" t="n">
        <f aca="false">INDEX(Summary!$F$2:$F$201,MATCH($B2821,Summary!$A$2:$A$201,0))</f>
        <v>20</v>
      </c>
      <c r="M2821" s="0" t="n">
        <f aca="false">INDEX(Summary!$I$2:$I$201,MATCH($B2821,Summary!$A$2:$A$201,0))</f>
        <v>2</v>
      </c>
      <c r="N2821" s="0" t="n">
        <f aca="false">INDEX(Summary!$J$2:$J$201,MATCH($B2821,Summary!$A$2:$A$201,0))</f>
        <v>3</v>
      </c>
      <c r="O2821" s="2" t="n">
        <f aca="false">INDEX(Summary!$K$2:$K$201,MATCH($B2821,Summary!$A$2:$A$201,0))</f>
        <v>9.95</v>
      </c>
      <c r="P2821" s="3" t="n">
        <f aca="false">INDEX(Summary!$L$2:$L$201,MATCH($B2821,Summary!$A$2:$A$201,0))</f>
        <v>2</v>
      </c>
      <c r="Q2821" s="3" t="n">
        <f aca="false">INDEX(Summary!$M$2:$M$201,MATCH($B2821,Summary!$A$2:$A$201,0))</f>
        <v>4</v>
      </c>
      <c r="R2821" s="2" t="n">
        <f aca="false">INDEX(Summary!$N$2:$N$201,MATCH($B2821,Summary!$A$2:$A$201,0))</f>
        <v>10.99</v>
      </c>
      <c r="S2821" s="3" t="n">
        <f aca="false">INDEX(Summary!$O$2:$O$201,MATCH($B2821,Summary!$A$2:$A$201,0))</f>
        <v>6</v>
      </c>
      <c r="T2821" s="3" t="n">
        <f aca="false">INDEX(Summary!$P$2:$P$201,MATCH($B2821,Summary!$A$2:$A$201,0))</f>
        <v>3</v>
      </c>
      <c r="U2821" s="2" t="n">
        <f aca="false">INDEX(Summary!$Q$2:$Q$201,MATCH($B2821,Summary!$A$2:$A$201,0))</f>
        <v>12.44</v>
      </c>
      <c r="V2821" s="2" t="n">
        <f aca="false">INDEX(Summary!$R$2:$R$201,MATCH($B2821,Summary!$A$2:$A$201,0))</f>
        <v>18.59</v>
      </c>
      <c r="W2821" s="0" t="str">
        <f aca="false">INDEX(Summary!$S$2:$S$201,MATCH($B2821,Summary!$A$2:$A$201,0))</f>
        <v>Bronze</v>
      </c>
      <c r="X2821" s="2" t="n">
        <f aca="false">INDEX(Summary!$T$2:$T$201,MATCH($B2821,Summary!$A$2:$A$201,0))</f>
        <v>45.34</v>
      </c>
      <c r="Y2821" s="0" t="str">
        <f aca="false">INDEX('Reward Model'!$E$18:$E$37,MATCH($E2821,'Reward Model'!$A$18:$A$37,0))</f>
        <v>High</v>
      </c>
      <c r="Z2821" s="4" t="n">
        <f aca="false">ROUND(MIN(1,MAX('Reward Model'!$B$2,INDEX('Reward Model'!$C$12:$C$14,MATCH($K2821,'Reward Model'!$A$12:$A$14,0))/$J2821)),3)</f>
        <v>1</v>
      </c>
      <c r="AA2821" s="2" t="n">
        <f aca="false">IF($I2821="Correct",ROUND(INDEX('Reward Model'!$B$12:$B$14,MATCH($K2821,'Reward Model'!$A$12:$A$14,0))*Z2821,2),0)</f>
        <v>3</v>
      </c>
      <c r="AB2821" s="2" t="n">
        <f aca="false">IF($I2821="Correct",ROUND(INDEX('Reward Model'!$B$12:$B$14,MATCH($Y2821,'Reward Model'!$A$12:$A$14,0))*Z2821,2),0)</f>
        <v>3</v>
      </c>
    </row>
    <row r="2822" customFormat="false" ht="15" hidden="false" customHeight="false" outlineLevel="0" collapsed="false">
      <c r="A2822" s="0" t="s">
        <v>414</v>
      </c>
      <c r="B2822" s="0" t="s">
        <v>415</v>
      </c>
      <c r="C2822" s="0" t="s">
        <v>322</v>
      </c>
      <c r="D2822" s="0" t="s">
        <v>189</v>
      </c>
      <c r="E2822" s="0" t="n">
        <v>1</v>
      </c>
      <c r="F2822" s="0" t="s">
        <v>32</v>
      </c>
      <c r="G2822" s="0" t="s">
        <v>33</v>
      </c>
      <c r="H2822" s="0" t="s">
        <v>33</v>
      </c>
      <c r="I2822" s="0" t="s">
        <v>34</v>
      </c>
      <c r="J2822" s="0" t="n">
        <v>1.77</v>
      </c>
      <c r="K2822" s="0" t="s">
        <v>35</v>
      </c>
      <c r="L2822" s="0" t="n">
        <f aca="false">INDEX(Summary!$F$2:$F$201,MATCH($B2822,Summary!$A$2:$A$201,0))</f>
        <v>20</v>
      </c>
      <c r="M2822" s="0" t="n">
        <f aca="false">INDEX(Summary!$I$2:$I$201,MATCH($B2822,Summary!$A$2:$A$201,0))</f>
        <v>2</v>
      </c>
      <c r="N2822" s="0" t="n">
        <f aca="false">INDEX(Summary!$J$2:$J$201,MATCH($B2822,Summary!$A$2:$A$201,0))</f>
        <v>3</v>
      </c>
      <c r="O2822" s="2" t="n">
        <f aca="false">INDEX(Summary!$K$2:$K$201,MATCH($B2822,Summary!$A$2:$A$201,0))</f>
        <v>8.73</v>
      </c>
      <c r="P2822" s="3" t="n">
        <f aca="false">INDEX(Summary!$L$2:$L$201,MATCH($B2822,Summary!$A$2:$A$201,0))</f>
        <v>4</v>
      </c>
      <c r="Q2822" s="3" t="n">
        <f aca="false">INDEX(Summary!$M$2:$M$201,MATCH($B2822,Summary!$A$2:$A$201,0))</f>
        <v>2</v>
      </c>
      <c r="R2822" s="2" t="n">
        <f aca="false">INDEX(Summary!$N$2:$N$201,MATCH($B2822,Summary!$A$2:$A$201,0))</f>
        <v>9.67</v>
      </c>
      <c r="S2822" s="3" t="n">
        <f aca="false">INDEX(Summary!$O$2:$O$201,MATCH($B2822,Summary!$A$2:$A$201,0))</f>
        <v>8</v>
      </c>
      <c r="T2822" s="3" t="n">
        <f aca="false">INDEX(Summary!$P$2:$P$201,MATCH($B2822,Summary!$A$2:$A$201,0))</f>
        <v>1</v>
      </c>
      <c r="U2822" s="2" t="n">
        <f aca="false">INDEX(Summary!$Q$2:$Q$201,MATCH($B2822,Summary!$A$2:$A$201,0))</f>
        <v>13.45</v>
      </c>
      <c r="V2822" s="2" t="n">
        <f aca="false">INDEX(Summary!$R$2:$R$201,MATCH($B2822,Summary!$A$2:$A$201,0))</f>
        <v>25.3</v>
      </c>
      <c r="W2822" s="0" t="str">
        <f aca="false">INDEX(Summary!$S$2:$S$201,MATCH($B2822,Summary!$A$2:$A$201,0))</f>
        <v>Silver</v>
      </c>
      <c r="X2822" s="2" t="n">
        <f aca="false">INDEX(Summary!$T$2:$T$201,MATCH($B2822,Summary!$A$2:$A$201,0))</f>
        <v>61.71</v>
      </c>
      <c r="Y2822" s="0" t="str">
        <f aca="false">INDEX('Reward Model'!$E$18:$E$37,MATCH($E2822,'Reward Model'!$A$18:$A$37,0))</f>
        <v>Medium</v>
      </c>
      <c r="Z2822" s="4" t="n">
        <f aca="false">ROUND(MIN(1,MAX('Reward Model'!$B$2,INDEX('Reward Model'!$C$12:$C$14,MATCH($K2822,'Reward Model'!$A$12:$A$14,0))/$J2822)),3)</f>
        <v>0.847</v>
      </c>
      <c r="AA2822" s="2" t="n">
        <f aca="false">IF($I2822="Correct",ROUND(INDEX('Reward Model'!$B$12:$B$14,MATCH($K2822,'Reward Model'!$A$12:$A$14,0))*Z2822,2),0)</f>
        <v>0.85</v>
      </c>
      <c r="AB2822" s="2" t="n">
        <f aca="false">IF($I2822="Correct",ROUND(INDEX('Reward Model'!$B$12:$B$14,MATCH($Y2822,'Reward Model'!$A$12:$A$14,0))*Z2822,2),0)</f>
        <v>1.69</v>
      </c>
    </row>
    <row r="2823" customFormat="false" ht="15" hidden="false" customHeight="false" outlineLevel="0" collapsed="false">
      <c r="A2823" s="0" t="s">
        <v>414</v>
      </c>
      <c r="B2823" s="0" t="s">
        <v>415</v>
      </c>
      <c r="C2823" s="0" t="s">
        <v>322</v>
      </c>
      <c r="D2823" s="0" t="s">
        <v>189</v>
      </c>
      <c r="E2823" s="0" t="n">
        <v>2</v>
      </c>
      <c r="F2823" s="0" t="s">
        <v>36</v>
      </c>
      <c r="G2823" s="0" t="s">
        <v>37</v>
      </c>
      <c r="H2823" s="0" t="s">
        <v>38</v>
      </c>
      <c r="I2823" s="0" t="s">
        <v>39</v>
      </c>
      <c r="J2823" s="0" t="n">
        <v>1.61</v>
      </c>
      <c r="K2823" s="0" t="s">
        <v>35</v>
      </c>
      <c r="L2823" s="0" t="n">
        <f aca="false">INDEX(Summary!$F$2:$F$201,MATCH($B2823,Summary!$A$2:$A$201,0))</f>
        <v>20</v>
      </c>
      <c r="M2823" s="0" t="n">
        <f aca="false">INDEX(Summary!$I$2:$I$201,MATCH($B2823,Summary!$A$2:$A$201,0))</f>
        <v>2</v>
      </c>
      <c r="N2823" s="0" t="n">
        <f aca="false">INDEX(Summary!$J$2:$J$201,MATCH($B2823,Summary!$A$2:$A$201,0))</f>
        <v>3</v>
      </c>
      <c r="O2823" s="2" t="n">
        <f aca="false">INDEX(Summary!$K$2:$K$201,MATCH($B2823,Summary!$A$2:$A$201,0))</f>
        <v>8.73</v>
      </c>
      <c r="P2823" s="3" t="n">
        <f aca="false">INDEX(Summary!$L$2:$L$201,MATCH($B2823,Summary!$A$2:$A$201,0))</f>
        <v>4</v>
      </c>
      <c r="Q2823" s="3" t="n">
        <f aca="false">INDEX(Summary!$M$2:$M$201,MATCH($B2823,Summary!$A$2:$A$201,0))</f>
        <v>2</v>
      </c>
      <c r="R2823" s="2" t="n">
        <f aca="false">INDEX(Summary!$N$2:$N$201,MATCH($B2823,Summary!$A$2:$A$201,0))</f>
        <v>9.67</v>
      </c>
      <c r="S2823" s="3" t="n">
        <f aca="false">INDEX(Summary!$O$2:$O$201,MATCH($B2823,Summary!$A$2:$A$201,0))</f>
        <v>8</v>
      </c>
      <c r="T2823" s="3" t="n">
        <f aca="false">INDEX(Summary!$P$2:$P$201,MATCH($B2823,Summary!$A$2:$A$201,0))</f>
        <v>1</v>
      </c>
      <c r="U2823" s="2" t="n">
        <f aca="false">INDEX(Summary!$Q$2:$Q$201,MATCH($B2823,Summary!$A$2:$A$201,0))</f>
        <v>13.45</v>
      </c>
      <c r="V2823" s="2" t="n">
        <f aca="false">INDEX(Summary!$R$2:$R$201,MATCH($B2823,Summary!$A$2:$A$201,0))</f>
        <v>25.3</v>
      </c>
      <c r="W2823" s="0" t="str">
        <f aca="false">INDEX(Summary!$S$2:$S$201,MATCH($B2823,Summary!$A$2:$A$201,0))</f>
        <v>Silver</v>
      </c>
      <c r="X2823" s="2" t="n">
        <f aca="false">INDEX(Summary!$T$2:$T$201,MATCH($B2823,Summary!$A$2:$A$201,0))</f>
        <v>61.71</v>
      </c>
      <c r="Y2823" s="0" t="str">
        <f aca="false">INDEX('Reward Model'!$E$18:$E$37,MATCH($E2823,'Reward Model'!$A$18:$A$37,0))</f>
        <v>Low</v>
      </c>
      <c r="Z2823" s="4" t="n">
        <f aca="false">ROUND(MIN(1,MAX('Reward Model'!$B$2,INDEX('Reward Model'!$C$12:$C$14,MATCH($K2823,'Reward Model'!$A$12:$A$14,0))/$J2823)),3)</f>
        <v>0.932</v>
      </c>
      <c r="AA2823" s="2" t="n">
        <f aca="false">IF($I2823="Correct",ROUND(INDEX('Reward Model'!$B$12:$B$14,MATCH($K2823,'Reward Model'!$A$12:$A$14,0))*Z2823,2),0)</f>
        <v>0</v>
      </c>
      <c r="AB2823" s="2" t="n">
        <f aca="false">IF($I2823="Correct",ROUND(INDEX('Reward Model'!$B$12:$B$14,MATCH($Y2823,'Reward Model'!$A$12:$A$14,0))*Z2823,2),0)</f>
        <v>0</v>
      </c>
    </row>
    <row r="2824" customFormat="false" ht="15" hidden="false" customHeight="false" outlineLevel="0" collapsed="false">
      <c r="A2824" s="0" t="s">
        <v>414</v>
      </c>
      <c r="B2824" s="0" t="s">
        <v>415</v>
      </c>
      <c r="C2824" s="0" t="s">
        <v>322</v>
      </c>
      <c r="D2824" s="0" t="s">
        <v>189</v>
      </c>
      <c r="E2824" s="0" t="n">
        <v>3</v>
      </c>
      <c r="F2824" s="0" t="s">
        <v>40</v>
      </c>
      <c r="G2824" s="0" t="s">
        <v>42</v>
      </c>
      <c r="H2824" s="0" t="s">
        <v>42</v>
      </c>
      <c r="I2824" s="0" t="s">
        <v>34</v>
      </c>
      <c r="J2824" s="0" t="n">
        <v>1.84</v>
      </c>
      <c r="K2824" s="0" t="s">
        <v>35</v>
      </c>
      <c r="L2824" s="0" t="n">
        <f aca="false">INDEX(Summary!$F$2:$F$201,MATCH($B2824,Summary!$A$2:$A$201,0))</f>
        <v>20</v>
      </c>
      <c r="M2824" s="0" t="n">
        <f aca="false">INDEX(Summary!$I$2:$I$201,MATCH($B2824,Summary!$A$2:$A$201,0))</f>
        <v>2</v>
      </c>
      <c r="N2824" s="0" t="n">
        <f aca="false">INDEX(Summary!$J$2:$J$201,MATCH($B2824,Summary!$A$2:$A$201,0))</f>
        <v>3</v>
      </c>
      <c r="O2824" s="2" t="n">
        <f aca="false">INDEX(Summary!$K$2:$K$201,MATCH($B2824,Summary!$A$2:$A$201,0))</f>
        <v>8.73</v>
      </c>
      <c r="P2824" s="3" t="n">
        <f aca="false">INDEX(Summary!$L$2:$L$201,MATCH($B2824,Summary!$A$2:$A$201,0))</f>
        <v>4</v>
      </c>
      <c r="Q2824" s="3" t="n">
        <f aca="false">INDEX(Summary!$M$2:$M$201,MATCH($B2824,Summary!$A$2:$A$201,0))</f>
        <v>2</v>
      </c>
      <c r="R2824" s="2" t="n">
        <f aca="false">INDEX(Summary!$N$2:$N$201,MATCH($B2824,Summary!$A$2:$A$201,0))</f>
        <v>9.67</v>
      </c>
      <c r="S2824" s="3" t="n">
        <f aca="false">INDEX(Summary!$O$2:$O$201,MATCH($B2824,Summary!$A$2:$A$201,0))</f>
        <v>8</v>
      </c>
      <c r="T2824" s="3" t="n">
        <f aca="false">INDEX(Summary!$P$2:$P$201,MATCH($B2824,Summary!$A$2:$A$201,0))</f>
        <v>1</v>
      </c>
      <c r="U2824" s="2" t="n">
        <f aca="false">INDEX(Summary!$Q$2:$Q$201,MATCH($B2824,Summary!$A$2:$A$201,0))</f>
        <v>13.45</v>
      </c>
      <c r="V2824" s="2" t="n">
        <f aca="false">INDEX(Summary!$R$2:$R$201,MATCH($B2824,Summary!$A$2:$A$201,0))</f>
        <v>25.3</v>
      </c>
      <c r="W2824" s="0" t="str">
        <f aca="false">INDEX(Summary!$S$2:$S$201,MATCH($B2824,Summary!$A$2:$A$201,0))</f>
        <v>Silver</v>
      </c>
      <c r="X2824" s="2" t="n">
        <f aca="false">INDEX(Summary!$T$2:$T$201,MATCH($B2824,Summary!$A$2:$A$201,0))</f>
        <v>61.71</v>
      </c>
      <c r="Y2824" s="0" t="str">
        <f aca="false">INDEX('Reward Model'!$E$18:$E$37,MATCH($E2824,'Reward Model'!$A$18:$A$37,0))</f>
        <v>Medium</v>
      </c>
      <c r="Z2824" s="4" t="n">
        <f aca="false">ROUND(MIN(1,MAX('Reward Model'!$B$2,INDEX('Reward Model'!$C$12:$C$14,MATCH($K2824,'Reward Model'!$A$12:$A$14,0))/$J2824)),3)</f>
        <v>0.815</v>
      </c>
      <c r="AA2824" s="2" t="n">
        <f aca="false">IF($I2824="Correct",ROUND(INDEX('Reward Model'!$B$12:$B$14,MATCH($K2824,'Reward Model'!$A$12:$A$14,0))*Z2824,2),0)</f>
        <v>0.82</v>
      </c>
      <c r="AB2824" s="2" t="n">
        <f aca="false">IF($I2824="Correct",ROUND(INDEX('Reward Model'!$B$12:$B$14,MATCH($Y2824,'Reward Model'!$A$12:$A$14,0))*Z2824,2),0)</f>
        <v>1.63</v>
      </c>
    </row>
    <row r="2825" customFormat="false" ht="15" hidden="false" customHeight="false" outlineLevel="0" collapsed="false">
      <c r="A2825" s="0" t="s">
        <v>414</v>
      </c>
      <c r="B2825" s="0" t="s">
        <v>415</v>
      </c>
      <c r="C2825" s="0" t="s">
        <v>322</v>
      </c>
      <c r="D2825" s="0" t="s">
        <v>189</v>
      </c>
      <c r="E2825" s="0" t="n">
        <v>4</v>
      </c>
      <c r="F2825" s="0" t="s">
        <v>43</v>
      </c>
      <c r="G2825" s="0" t="s">
        <v>45</v>
      </c>
      <c r="H2825" s="0" t="s">
        <v>45</v>
      </c>
      <c r="I2825" s="0" t="s">
        <v>34</v>
      </c>
      <c r="J2825" s="0" t="n">
        <v>1.82</v>
      </c>
      <c r="K2825" s="0" t="s">
        <v>35</v>
      </c>
      <c r="L2825" s="0" t="n">
        <f aca="false">INDEX(Summary!$F$2:$F$201,MATCH($B2825,Summary!$A$2:$A$201,0))</f>
        <v>20</v>
      </c>
      <c r="M2825" s="0" t="n">
        <f aca="false">INDEX(Summary!$I$2:$I$201,MATCH($B2825,Summary!$A$2:$A$201,0))</f>
        <v>2</v>
      </c>
      <c r="N2825" s="0" t="n">
        <f aca="false">INDEX(Summary!$J$2:$J$201,MATCH($B2825,Summary!$A$2:$A$201,0))</f>
        <v>3</v>
      </c>
      <c r="O2825" s="2" t="n">
        <f aca="false">INDEX(Summary!$K$2:$K$201,MATCH($B2825,Summary!$A$2:$A$201,0))</f>
        <v>8.73</v>
      </c>
      <c r="P2825" s="3" t="n">
        <f aca="false">INDEX(Summary!$L$2:$L$201,MATCH($B2825,Summary!$A$2:$A$201,0))</f>
        <v>4</v>
      </c>
      <c r="Q2825" s="3" t="n">
        <f aca="false">INDEX(Summary!$M$2:$M$201,MATCH($B2825,Summary!$A$2:$A$201,0))</f>
        <v>2</v>
      </c>
      <c r="R2825" s="2" t="n">
        <f aca="false">INDEX(Summary!$N$2:$N$201,MATCH($B2825,Summary!$A$2:$A$201,0))</f>
        <v>9.67</v>
      </c>
      <c r="S2825" s="3" t="n">
        <f aca="false">INDEX(Summary!$O$2:$O$201,MATCH($B2825,Summary!$A$2:$A$201,0))</f>
        <v>8</v>
      </c>
      <c r="T2825" s="3" t="n">
        <f aca="false">INDEX(Summary!$P$2:$P$201,MATCH($B2825,Summary!$A$2:$A$201,0))</f>
        <v>1</v>
      </c>
      <c r="U2825" s="2" t="n">
        <f aca="false">INDEX(Summary!$Q$2:$Q$201,MATCH($B2825,Summary!$A$2:$A$201,0))</f>
        <v>13.45</v>
      </c>
      <c r="V2825" s="2" t="n">
        <f aca="false">INDEX(Summary!$R$2:$R$201,MATCH($B2825,Summary!$A$2:$A$201,0))</f>
        <v>25.3</v>
      </c>
      <c r="W2825" s="0" t="str">
        <f aca="false">INDEX(Summary!$S$2:$S$201,MATCH($B2825,Summary!$A$2:$A$201,0))</f>
        <v>Silver</v>
      </c>
      <c r="X2825" s="2" t="n">
        <f aca="false">INDEX(Summary!$T$2:$T$201,MATCH($B2825,Summary!$A$2:$A$201,0))</f>
        <v>61.71</v>
      </c>
      <c r="Y2825" s="0" t="str">
        <f aca="false">INDEX('Reward Model'!$E$18:$E$37,MATCH($E2825,'Reward Model'!$A$18:$A$37,0))</f>
        <v>Low</v>
      </c>
      <c r="Z2825" s="4" t="n">
        <f aca="false">ROUND(MIN(1,MAX('Reward Model'!$B$2,INDEX('Reward Model'!$C$12:$C$14,MATCH($K2825,'Reward Model'!$A$12:$A$14,0))/$J2825)),3)</f>
        <v>0.824</v>
      </c>
      <c r="AA2825" s="2" t="n">
        <f aca="false">IF($I2825="Correct",ROUND(INDEX('Reward Model'!$B$12:$B$14,MATCH($K2825,'Reward Model'!$A$12:$A$14,0))*Z2825,2),0)</f>
        <v>0.82</v>
      </c>
      <c r="AB2825" s="2" t="n">
        <f aca="false">IF($I2825="Correct",ROUND(INDEX('Reward Model'!$B$12:$B$14,MATCH($Y2825,'Reward Model'!$A$12:$A$14,0))*Z2825,2),0)</f>
        <v>0.82</v>
      </c>
    </row>
    <row r="2826" customFormat="false" ht="15" hidden="false" customHeight="false" outlineLevel="0" collapsed="false">
      <c r="A2826" s="0" t="s">
        <v>414</v>
      </c>
      <c r="B2826" s="0" t="s">
        <v>415</v>
      </c>
      <c r="C2826" s="0" t="s">
        <v>322</v>
      </c>
      <c r="D2826" s="0" t="s">
        <v>189</v>
      </c>
      <c r="E2826" s="0" t="n">
        <v>5</v>
      </c>
      <c r="F2826" s="0" t="s">
        <v>46</v>
      </c>
      <c r="G2826" s="0" t="s">
        <v>47</v>
      </c>
      <c r="H2826" s="0" t="s">
        <v>47</v>
      </c>
      <c r="I2826" s="0" t="s">
        <v>34</v>
      </c>
      <c r="J2826" s="0" t="n">
        <v>0.92</v>
      </c>
      <c r="K2826" s="0" t="s">
        <v>35</v>
      </c>
      <c r="L2826" s="0" t="n">
        <f aca="false">INDEX(Summary!$F$2:$F$201,MATCH($B2826,Summary!$A$2:$A$201,0))</f>
        <v>20</v>
      </c>
      <c r="M2826" s="0" t="n">
        <f aca="false">INDEX(Summary!$I$2:$I$201,MATCH($B2826,Summary!$A$2:$A$201,0))</f>
        <v>2</v>
      </c>
      <c r="N2826" s="0" t="n">
        <f aca="false">INDEX(Summary!$J$2:$J$201,MATCH($B2826,Summary!$A$2:$A$201,0))</f>
        <v>3</v>
      </c>
      <c r="O2826" s="2" t="n">
        <f aca="false">INDEX(Summary!$K$2:$K$201,MATCH($B2826,Summary!$A$2:$A$201,0))</f>
        <v>8.73</v>
      </c>
      <c r="P2826" s="3" t="n">
        <f aca="false">INDEX(Summary!$L$2:$L$201,MATCH($B2826,Summary!$A$2:$A$201,0))</f>
        <v>4</v>
      </c>
      <c r="Q2826" s="3" t="n">
        <f aca="false">INDEX(Summary!$M$2:$M$201,MATCH($B2826,Summary!$A$2:$A$201,0))</f>
        <v>2</v>
      </c>
      <c r="R2826" s="2" t="n">
        <f aca="false">INDEX(Summary!$N$2:$N$201,MATCH($B2826,Summary!$A$2:$A$201,0))</f>
        <v>9.67</v>
      </c>
      <c r="S2826" s="3" t="n">
        <f aca="false">INDEX(Summary!$O$2:$O$201,MATCH($B2826,Summary!$A$2:$A$201,0))</f>
        <v>8</v>
      </c>
      <c r="T2826" s="3" t="n">
        <f aca="false">INDEX(Summary!$P$2:$P$201,MATCH($B2826,Summary!$A$2:$A$201,0))</f>
        <v>1</v>
      </c>
      <c r="U2826" s="2" t="n">
        <f aca="false">INDEX(Summary!$Q$2:$Q$201,MATCH($B2826,Summary!$A$2:$A$201,0))</f>
        <v>13.45</v>
      </c>
      <c r="V2826" s="2" t="n">
        <f aca="false">INDEX(Summary!$R$2:$R$201,MATCH($B2826,Summary!$A$2:$A$201,0))</f>
        <v>25.3</v>
      </c>
      <c r="W2826" s="0" t="str">
        <f aca="false">INDEX(Summary!$S$2:$S$201,MATCH($B2826,Summary!$A$2:$A$201,0))</f>
        <v>Silver</v>
      </c>
      <c r="X2826" s="2" t="n">
        <f aca="false">INDEX(Summary!$T$2:$T$201,MATCH($B2826,Summary!$A$2:$A$201,0))</f>
        <v>61.71</v>
      </c>
      <c r="Y2826" s="0" t="str">
        <f aca="false">INDEX('Reward Model'!$E$18:$E$37,MATCH($E2826,'Reward Model'!$A$18:$A$37,0))</f>
        <v>Low</v>
      </c>
      <c r="Z2826" s="4" t="n">
        <f aca="false">ROUND(MIN(1,MAX('Reward Model'!$B$2,INDEX('Reward Model'!$C$12:$C$14,MATCH($K2826,'Reward Model'!$A$12:$A$14,0))/$J2826)),3)</f>
        <v>1</v>
      </c>
      <c r="AA2826" s="2" t="n">
        <f aca="false">IF($I2826="Correct",ROUND(INDEX('Reward Model'!$B$12:$B$14,MATCH($K2826,'Reward Model'!$A$12:$A$14,0))*Z2826,2),0)</f>
        <v>1</v>
      </c>
      <c r="AB2826" s="2" t="n">
        <f aca="false">IF($I2826="Correct",ROUND(INDEX('Reward Model'!$B$12:$B$14,MATCH($Y2826,'Reward Model'!$A$12:$A$14,0))*Z2826,2),0)</f>
        <v>1</v>
      </c>
    </row>
    <row r="2827" customFormat="false" ht="15" hidden="false" customHeight="false" outlineLevel="0" collapsed="false">
      <c r="A2827" s="0" t="s">
        <v>414</v>
      </c>
      <c r="B2827" s="0" t="s">
        <v>415</v>
      </c>
      <c r="C2827" s="0" t="s">
        <v>322</v>
      </c>
      <c r="D2827" s="0" t="s">
        <v>189</v>
      </c>
      <c r="E2827" s="0" t="n">
        <v>6</v>
      </c>
      <c r="F2827" s="0" t="s">
        <v>48</v>
      </c>
      <c r="G2827" s="0" t="s">
        <v>49</v>
      </c>
      <c r="H2827" s="0" t="s">
        <v>49</v>
      </c>
      <c r="I2827" s="0" t="s">
        <v>34</v>
      </c>
      <c r="J2827" s="0" t="n">
        <v>1.69</v>
      </c>
      <c r="K2827" s="0" t="s">
        <v>35</v>
      </c>
      <c r="L2827" s="0" t="n">
        <f aca="false">INDEX(Summary!$F$2:$F$201,MATCH($B2827,Summary!$A$2:$A$201,0))</f>
        <v>20</v>
      </c>
      <c r="M2827" s="0" t="n">
        <f aca="false">INDEX(Summary!$I$2:$I$201,MATCH($B2827,Summary!$A$2:$A$201,0))</f>
        <v>2</v>
      </c>
      <c r="N2827" s="0" t="n">
        <f aca="false">INDEX(Summary!$J$2:$J$201,MATCH($B2827,Summary!$A$2:$A$201,0))</f>
        <v>3</v>
      </c>
      <c r="O2827" s="2" t="n">
        <f aca="false">INDEX(Summary!$K$2:$K$201,MATCH($B2827,Summary!$A$2:$A$201,0))</f>
        <v>8.73</v>
      </c>
      <c r="P2827" s="3" t="n">
        <f aca="false">INDEX(Summary!$L$2:$L$201,MATCH($B2827,Summary!$A$2:$A$201,0))</f>
        <v>4</v>
      </c>
      <c r="Q2827" s="3" t="n">
        <f aca="false">INDEX(Summary!$M$2:$M$201,MATCH($B2827,Summary!$A$2:$A$201,0))</f>
        <v>2</v>
      </c>
      <c r="R2827" s="2" t="n">
        <f aca="false">INDEX(Summary!$N$2:$N$201,MATCH($B2827,Summary!$A$2:$A$201,0))</f>
        <v>9.67</v>
      </c>
      <c r="S2827" s="3" t="n">
        <f aca="false">INDEX(Summary!$O$2:$O$201,MATCH($B2827,Summary!$A$2:$A$201,0))</f>
        <v>8</v>
      </c>
      <c r="T2827" s="3" t="n">
        <f aca="false">INDEX(Summary!$P$2:$P$201,MATCH($B2827,Summary!$A$2:$A$201,0))</f>
        <v>1</v>
      </c>
      <c r="U2827" s="2" t="n">
        <f aca="false">INDEX(Summary!$Q$2:$Q$201,MATCH($B2827,Summary!$A$2:$A$201,0))</f>
        <v>13.45</v>
      </c>
      <c r="V2827" s="2" t="n">
        <f aca="false">INDEX(Summary!$R$2:$R$201,MATCH($B2827,Summary!$A$2:$A$201,0))</f>
        <v>25.3</v>
      </c>
      <c r="W2827" s="0" t="str">
        <f aca="false">INDEX(Summary!$S$2:$S$201,MATCH($B2827,Summary!$A$2:$A$201,0))</f>
        <v>Silver</v>
      </c>
      <c r="X2827" s="2" t="n">
        <f aca="false">INDEX(Summary!$T$2:$T$201,MATCH($B2827,Summary!$A$2:$A$201,0))</f>
        <v>61.71</v>
      </c>
      <c r="Y2827" s="0" t="str">
        <f aca="false">INDEX('Reward Model'!$E$18:$E$37,MATCH($E2827,'Reward Model'!$A$18:$A$37,0))</f>
        <v>Medium</v>
      </c>
      <c r="Z2827" s="4" t="n">
        <f aca="false">ROUND(MIN(1,MAX('Reward Model'!$B$2,INDEX('Reward Model'!$C$12:$C$14,MATCH($K2827,'Reward Model'!$A$12:$A$14,0))/$J2827)),3)</f>
        <v>0.888</v>
      </c>
      <c r="AA2827" s="2" t="n">
        <f aca="false">IF($I2827="Correct",ROUND(INDEX('Reward Model'!$B$12:$B$14,MATCH($K2827,'Reward Model'!$A$12:$A$14,0))*Z2827,2),0)</f>
        <v>0.89</v>
      </c>
      <c r="AB2827" s="2" t="n">
        <f aca="false">IF($I2827="Correct",ROUND(INDEX('Reward Model'!$B$12:$B$14,MATCH($Y2827,'Reward Model'!$A$12:$A$14,0))*Z2827,2),0)</f>
        <v>1.78</v>
      </c>
    </row>
    <row r="2828" customFormat="false" ht="15" hidden="false" customHeight="false" outlineLevel="0" collapsed="false">
      <c r="A2828" s="0" t="s">
        <v>414</v>
      </c>
      <c r="B2828" s="0" t="s">
        <v>415</v>
      </c>
      <c r="C2828" s="0" t="s">
        <v>322</v>
      </c>
      <c r="D2828" s="0" t="s">
        <v>189</v>
      </c>
      <c r="E2828" s="0" t="n">
        <v>7</v>
      </c>
      <c r="F2828" s="0" t="s">
        <v>50</v>
      </c>
      <c r="G2828" s="0" t="s">
        <v>51</v>
      </c>
      <c r="H2828" s="0" t="s">
        <v>51</v>
      </c>
      <c r="I2828" s="0" t="s">
        <v>34</v>
      </c>
      <c r="J2828" s="0" t="n">
        <v>1.29</v>
      </c>
      <c r="K2828" s="0" t="s">
        <v>35</v>
      </c>
      <c r="L2828" s="0" t="n">
        <f aca="false">INDEX(Summary!$F$2:$F$201,MATCH($B2828,Summary!$A$2:$A$201,0))</f>
        <v>20</v>
      </c>
      <c r="M2828" s="0" t="n">
        <f aca="false">INDEX(Summary!$I$2:$I$201,MATCH($B2828,Summary!$A$2:$A$201,0))</f>
        <v>2</v>
      </c>
      <c r="N2828" s="0" t="n">
        <f aca="false">INDEX(Summary!$J$2:$J$201,MATCH($B2828,Summary!$A$2:$A$201,0))</f>
        <v>3</v>
      </c>
      <c r="O2828" s="2" t="n">
        <f aca="false">INDEX(Summary!$K$2:$K$201,MATCH($B2828,Summary!$A$2:$A$201,0))</f>
        <v>8.73</v>
      </c>
      <c r="P2828" s="3" t="n">
        <f aca="false">INDEX(Summary!$L$2:$L$201,MATCH($B2828,Summary!$A$2:$A$201,0))</f>
        <v>4</v>
      </c>
      <c r="Q2828" s="3" t="n">
        <f aca="false">INDEX(Summary!$M$2:$M$201,MATCH($B2828,Summary!$A$2:$A$201,0))</f>
        <v>2</v>
      </c>
      <c r="R2828" s="2" t="n">
        <f aca="false">INDEX(Summary!$N$2:$N$201,MATCH($B2828,Summary!$A$2:$A$201,0))</f>
        <v>9.67</v>
      </c>
      <c r="S2828" s="3" t="n">
        <f aca="false">INDEX(Summary!$O$2:$O$201,MATCH($B2828,Summary!$A$2:$A$201,0))</f>
        <v>8</v>
      </c>
      <c r="T2828" s="3" t="n">
        <f aca="false">INDEX(Summary!$P$2:$P$201,MATCH($B2828,Summary!$A$2:$A$201,0))</f>
        <v>1</v>
      </c>
      <c r="U2828" s="2" t="n">
        <f aca="false">INDEX(Summary!$Q$2:$Q$201,MATCH($B2828,Summary!$A$2:$A$201,0))</f>
        <v>13.45</v>
      </c>
      <c r="V2828" s="2" t="n">
        <f aca="false">INDEX(Summary!$R$2:$R$201,MATCH($B2828,Summary!$A$2:$A$201,0))</f>
        <v>25.3</v>
      </c>
      <c r="W2828" s="0" t="str">
        <f aca="false">INDEX(Summary!$S$2:$S$201,MATCH($B2828,Summary!$A$2:$A$201,0))</f>
        <v>Silver</v>
      </c>
      <c r="X2828" s="2" t="n">
        <f aca="false">INDEX(Summary!$T$2:$T$201,MATCH($B2828,Summary!$A$2:$A$201,0))</f>
        <v>61.71</v>
      </c>
      <c r="Y2828" s="0" t="str">
        <f aca="false">INDEX('Reward Model'!$E$18:$E$37,MATCH($E2828,'Reward Model'!$A$18:$A$37,0))</f>
        <v>Low</v>
      </c>
      <c r="Z2828" s="4" t="n">
        <f aca="false">ROUND(MIN(1,MAX('Reward Model'!$B$2,INDEX('Reward Model'!$C$12:$C$14,MATCH($K2828,'Reward Model'!$A$12:$A$14,0))/$J2828)),3)</f>
        <v>1</v>
      </c>
      <c r="AA2828" s="2" t="n">
        <f aca="false">IF($I2828="Correct",ROUND(INDEX('Reward Model'!$B$12:$B$14,MATCH($K2828,'Reward Model'!$A$12:$A$14,0))*Z2828,2),0)</f>
        <v>1</v>
      </c>
      <c r="AB2828" s="2" t="n">
        <f aca="false">IF($I2828="Correct",ROUND(INDEX('Reward Model'!$B$12:$B$14,MATCH($Y2828,'Reward Model'!$A$12:$A$14,0))*Z2828,2),0)</f>
        <v>1</v>
      </c>
    </row>
    <row r="2829" customFormat="false" ht="15" hidden="false" customHeight="false" outlineLevel="0" collapsed="false">
      <c r="A2829" s="0" t="s">
        <v>414</v>
      </c>
      <c r="B2829" s="0" t="s">
        <v>415</v>
      </c>
      <c r="C2829" s="0" t="s">
        <v>322</v>
      </c>
      <c r="D2829" s="0" t="s">
        <v>189</v>
      </c>
      <c r="E2829" s="0" t="n">
        <v>8</v>
      </c>
      <c r="F2829" s="0" t="s">
        <v>52</v>
      </c>
      <c r="G2829" s="0" t="s">
        <v>54</v>
      </c>
      <c r="H2829" s="0" t="s">
        <v>54</v>
      </c>
      <c r="I2829" s="0" t="s">
        <v>34</v>
      </c>
      <c r="J2829" s="0" t="n">
        <v>1.38</v>
      </c>
      <c r="K2829" s="0" t="s">
        <v>35</v>
      </c>
      <c r="L2829" s="0" t="n">
        <f aca="false">INDEX(Summary!$F$2:$F$201,MATCH($B2829,Summary!$A$2:$A$201,0))</f>
        <v>20</v>
      </c>
      <c r="M2829" s="0" t="n">
        <f aca="false">INDEX(Summary!$I$2:$I$201,MATCH($B2829,Summary!$A$2:$A$201,0))</f>
        <v>2</v>
      </c>
      <c r="N2829" s="0" t="n">
        <f aca="false">INDEX(Summary!$J$2:$J$201,MATCH($B2829,Summary!$A$2:$A$201,0))</f>
        <v>3</v>
      </c>
      <c r="O2829" s="2" t="n">
        <f aca="false">INDEX(Summary!$K$2:$K$201,MATCH($B2829,Summary!$A$2:$A$201,0))</f>
        <v>8.73</v>
      </c>
      <c r="P2829" s="3" t="n">
        <f aca="false">INDEX(Summary!$L$2:$L$201,MATCH($B2829,Summary!$A$2:$A$201,0))</f>
        <v>4</v>
      </c>
      <c r="Q2829" s="3" t="n">
        <f aca="false">INDEX(Summary!$M$2:$M$201,MATCH($B2829,Summary!$A$2:$A$201,0))</f>
        <v>2</v>
      </c>
      <c r="R2829" s="2" t="n">
        <f aca="false">INDEX(Summary!$N$2:$N$201,MATCH($B2829,Summary!$A$2:$A$201,0))</f>
        <v>9.67</v>
      </c>
      <c r="S2829" s="3" t="n">
        <f aca="false">INDEX(Summary!$O$2:$O$201,MATCH($B2829,Summary!$A$2:$A$201,0))</f>
        <v>8</v>
      </c>
      <c r="T2829" s="3" t="n">
        <f aca="false">INDEX(Summary!$P$2:$P$201,MATCH($B2829,Summary!$A$2:$A$201,0))</f>
        <v>1</v>
      </c>
      <c r="U2829" s="2" t="n">
        <f aca="false">INDEX(Summary!$Q$2:$Q$201,MATCH($B2829,Summary!$A$2:$A$201,0))</f>
        <v>13.45</v>
      </c>
      <c r="V2829" s="2" t="n">
        <f aca="false">INDEX(Summary!$R$2:$R$201,MATCH($B2829,Summary!$A$2:$A$201,0))</f>
        <v>25.3</v>
      </c>
      <c r="W2829" s="0" t="str">
        <f aca="false">INDEX(Summary!$S$2:$S$201,MATCH($B2829,Summary!$A$2:$A$201,0))</f>
        <v>Silver</v>
      </c>
      <c r="X2829" s="2" t="n">
        <f aca="false">INDEX(Summary!$T$2:$T$201,MATCH($B2829,Summary!$A$2:$A$201,0))</f>
        <v>61.71</v>
      </c>
      <c r="Y2829" s="0" t="str">
        <f aca="false">INDEX('Reward Model'!$E$18:$E$37,MATCH($E2829,'Reward Model'!$A$18:$A$37,0))</f>
        <v>Medium</v>
      </c>
      <c r="Z2829" s="4" t="n">
        <f aca="false">ROUND(MIN(1,MAX('Reward Model'!$B$2,INDEX('Reward Model'!$C$12:$C$14,MATCH($K2829,'Reward Model'!$A$12:$A$14,0))/$J2829)),3)</f>
        <v>1</v>
      </c>
      <c r="AA2829" s="2" t="n">
        <f aca="false">IF($I2829="Correct",ROUND(INDEX('Reward Model'!$B$12:$B$14,MATCH($K2829,'Reward Model'!$A$12:$A$14,0))*Z2829,2),0)</f>
        <v>1</v>
      </c>
      <c r="AB2829" s="2" t="n">
        <f aca="false">IF($I2829="Correct",ROUND(INDEX('Reward Model'!$B$12:$B$14,MATCH($Y2829,'Reward Model'!$A$12:$A$14,0))*Z2829,2),0)</f>
        <v>2</v>
      </c>
    </row>
    <row r="2830" customFormat="false" ht="15" hidden="false" customHeight="false" outlineLevel="0" collapsed="false">
      <c r="A2830" s="0" t="s">
        <v>414</v>
      </c>
      <c r="B2830" s="0" t="s">
        <v>415</v>
      </c>
      <c r="C2830" s="0" t="s">
        <v>322</v>
      </c>
      <c r="D2830" s="0" t="s">
        <v>189</v>
      </c>
      <c r="E2830" s="0" t="n">
        <v>9</v>
      </c>
      <c r="F2830" s="0" t="s">
        <v>55</v>
      </c>
      <c r="G2830" s="0" t="s">
        <v>57</v>
      </c>
      <c r="H2830" s="0" t="s">
        <v>57</v>
      </c>
      <c r="I2830" s="0" t="s">
        <v>34</v>
      </c>
      <c r="J2830" s="0" t="n">
        <v>1.13</v>
      </c>
      <c r="K2830" s="0" t="s">
        <v>35</v>
      </c>
      <c r="L2830" s="0" t="n">
        <f aca="false">INDEX(Summary!$F$2:$F$201,MATCH($B2830,Summary!$A$2:$A$201,0))</f>
        <v>20</v>
      </c>
      <c r="M2830" s="0" t="n">
        <f aca="false">INDEX(Summary!$I$2:$I$201,MATCH($B2830,Summary!$A$2:$A$201,0))</f>
        <v>2</v>
      </c>
      <c r="N2830" s="0" t="n">
        <f aca="false">INDEX(Summary!$J$2:$J$201,MATCH($B2830,Summary!$A$2:$A$201,0))</f>
        <v>3</v>
      </c>
      <c r="O2830" s="2" t="n">
        <f aca="false">INDEX(Summary!$K$2:$K$201,MATCH($B2830,Summary!$A$2:$A$201,0))</f>
        <v>8.73</v>
      </c>
      <c r="P2830" s="3" t="n">
        <f aca="false">INDEX(Summary!$L$2:$L$201,MATCH($B2830,Summary!$A$2:$A$201,0))</f>
        <v>4</v>
      </c>
      <c r="Q2830" s="3" t="n">
        <f aca="false">INDEX(Summary!$M$2:$M$201,MATCH($B2830,Summary!$A$2:$A$201,0))</f>
        <v>2</v>
      </c>
      <c r="R2830" s="2" t="n">
        <f aca="false">INDEX(Summary!$N$2:$N$201,MATCH($B2830,Summary!$A$2:$A$201,0))</f>
        <v>9.67</v>
      </c>
      <c r="S2830" s="3" t="n">
        <f aca="false">INDEX(Summary!$O$2:$O$201,MATCH($B2830,Summary!$A$2:$A$201,0))</f>
        <v>8</v>
      </c>
      <c r="T2830" s="3" t="n">
        <f aca="false">INDEX(Summary!$P$2:$P$201,MATCH($B2830,Summary!$A$2:$A$201,0))</f>
        <v>1</v>
      </c>
      <c r="U2830" s="2" t="n">
        <f aca="false">INDEX(Summary!$Q$2:$Q$201,MATCH($B2830,Summary!$A$2:$A$201,0))</f>
        <v>13.45</v>
      </c>
      <c r="V2830" s="2" t="n">
        <f aca="false">INDEX(Summary!$R$2:$R$201,MATCH($B2830,Summary!$A$2:$A$201,0))</f>
        <v>25.3</v>
      </c>
      <c r="W2830" s="0" t="str">
        <f aca="false">INDEX(Summary!$S$2:$S$201,MATCH($B2830,Summary!$A$2:$A$201,0))</f>
        <v>Silver</v>
      </c>
      <c r="X2830" s="2" t="n">
        <f aca="false">INDEX(Summary!$T$2:$T$201,MATCH($B2830,Summary!$A$2:$A$201,0))</f>
        <v>61.71</v>
      </c>
      <c r="Y2830" s="0" t="str">
        <f aca="false">INDEX('Reward Model'!$E$18:$E$37,MATCH($E2830,'Reward Model'!$A$18:$A$37,0))</f>
        <v>Medium</v>
      </c>
      <c r="Z2830" s="4" t="n">
        <f aca="false">ROUND(MIN(1,MAX('Reward Model'!$B$2,INDEX('Reward Model'!$C$12:$C$14,MATCH($K2830,'Reward Model'!$A$12:$A$14,0))/$J2830)),3)</f>
        <v>1</v>
      </c>
      <c r="AA2830" s="2" t="n">
        <f aca="false">IF($I2830="Correct",ROUND(INDEX('Reward Model'!$B$12:$B$14,MATCH($K2830,'Reward Model'!$A$12:$A$14,0))*Z2830,2),0)</f>
        <v>1</v>
      </c>
      <c r="AB2830" s="2" t="n">
        <f aca="false">IF($I2830="Correct",ROUND(INDEX('Reward Model'!$B$12:$B$14,MATCH($Y2830,'Reward Model'!$A$12:$A$14,0))*Z2830,2),0)</f>
        <v>2</v>
      </c>
    </row>
    <row r="2831" customFormat="false" ht="15" hidden="false" customHeight="false" outlineLevel="0" collapsed="false">
      <c r="A2831" s="0" t="s">
        <v>414</v>
      </c>
      <c r="B2831" s="0" t="s">
        <v>415</v>
      </c>
      <c r="C2831" s="0" t="s">
        <v>322</v>
      </c>
      <c r="D2831" s="0" t="s">
        <v>189</v>
      </c>
      <c r="E2831" s="0" t="n">
        <v>10</v>
      </c>
      <c r="F2831" s="0" t="s">
        <v>58</v>
      </c>
      <c r="G2831" s="0" t="s">
        <v>59</v>
      </c>
      <c r="H2831" s="0" t="s">
        <v>59</v>
      </c>
      <c r="I2831" s="0" t="s">
        <v>34</v>
      </c>
      <c r="J2831" s="0" t="n">
        <v>1.18</v>
      </c>
      <c r="K2831" s="0" t="s">
        <v>60</v>
      </c>
      <c r="L2831" s="0" t="n">
        <f aca="false">INDEX(Summary!$F$2:$F$201,MATCH($B2831,Summary!$A$2:$A$201,0))</f>
        <v>20</v>
      </c>
      <c r="M2831" s="0" t="n">
        <f aca="false">INDEX(Summary!$I$2:$I$201,MATCH($B2831,Summary!$A$2:$A$201,0))</f>
        <v>2</v>
      </c>
      <c r="N2831" s="0" t="n">
        <f aca="false">INDEX(Summary!$J$2:$J$201,MATCH($B2831,Summary!$A$2:$A$201,0))</f>
        <v>3</v>
      </c>
      <c r="O2831" s="2" t="n">
        <f aca="false">INDEX(Summary!$K$2:$K$201,MATCH($B2831,Summary!$A$2:$A$201,0))</f>
        <v>8.73</v>
      </c>
      <c r="P2831" s="3" t="n">
        <f aca="false">INDEX(Summary!$L$2:$L$201,MATCH($B2831,Summary!$A$2:$A$201,0))</f>
        <v>4</v>
      </c>
      <c r="Q2831" s="3" t="n">
        <f aca="false">INDEX(Summary!$M$2:$M$201,MATCH($B2831,Summary!$A$2:$A$201,0))</f>
        <v>2</v>
      </c>
      <c r="R2831" s="2" t="n">
        <f aca="false">INDEX(Summary!$N$2:$N$201,MATCH($B2831,Summary!$A$2:$A$201,0))</f>
        <v>9.67</v>
      </c>
      <c r="S2831" s="3" t="n">
        <f aca="false">INDEX(Summary!$O$2:$O$201,MATCH($B2831,Summary!$A$2:$A$201,0))</f>
        <v>8</v>
      </c>
      <c r="T2831" s="3" t="n">
        <f aca="false">INDEX(Summary!$P$2:$P$201,MATCH($B2831,Summary!$A$2:$A$201,0))</f>
        <v>1</v>
      </c>
      <c r="U2831" s="2" t="n">
        <f aca="false">INDEX(Summary!$Q$2:$Q$201,MATCH($B2831,Summary!$A$2:$A$201,0))</f>
        <v>13.45</v>
      </c>
      <c r="V2831" s="2" t="n">
        <f aca="false">INDEX(Summary!$R$2:$R$201,MATCH($B2831,Summary!$A$2:$A$201,0))</f>
        <v>25.3</v>
      </c>
      <c r="W2831" s="0" t="str">
        <f aca="false">INDEX(Summary!$S$2:$S$201,MATCH($B2831,Summary!$A$2:$A$201,0))</f>
        <v>Silver</v>
      </c>
      <c r="X2831" s="2" t="n">
        <f aca="false">INDEX(Summary!$T$2:$T$201,MATCH($B2831,Summary!$A$2:$A$201,0))</f>
        <v>61.71</v>
      </c>
      <c r="Y2831" s="0" t="str">
        <f aca="false">INDEX('Reward Model'!$E$18:$E$37,MATCH($E2831,'Reward Model'!$A$18:$A$37,0))</f>
        <v>Medium</v>
      </c>
      <c r="Z2831" s="4" t="n">
        <f aca="false">ROUND(MIN(1,MAX('Reward Model'!$B$2,INDEX('Reward Model'!$C$12:$C$14,MATCH($K2831,'Reward Model'!$A$12:$A$14,0))/$J2831)),3)</f>
        <v>1</v>
      </c>
      <c r="AA2831" s="2" t="n">
        <f aca="false">IF($I2831="Correct",ROUND(INDEX('Reward Model'!$B$12:$B$14,MATCH($K2831,'Reward Model'!$A$12:$A$14,0))*Z2831,2),0)</f>
        <v>2</v>
      </c>
      <c r="AB2831" s="2" t="n">
        <f aca="false">IF($I2831="Correct",ROUND(INDEX('Reward Model'!$B$12:$B$14,MATCH($Y2831,'Reward Model'!$A$12:$A$14,0))*Z2831,2),0)</f>
        <v>2</v>
      </c>
    </row>
    <row r="2832" customFormat="false" ht="15" hidden="false" customHeight="false" outlineLevel="0" collapsed="false">
      <c r="A2832" s="0" t="s">
        <v>414</v>
      </c>
      <c r="B2832" s="0" t="s">
        <v>415</v>
      </c>
      <c r="C2832" s="0" t="s">
        <v>322</v>
      </c>
      <c r="D2832" s="0" t="s">
        <v>189</v>
      </c>
      <c r="E2832" s="0" t="n">
        <v>11</v>
      </c>
      <c r="F2832" s="0" t="s">
        <v>61</v>
      </c>
      <c r="G2832" s="0" t="s">
        <v>145</v>
      </c>
      <c r="H2832" s="0" t="s">
        <v>63</v>
      </c>
      <c r="I2832" s="0" t="s">
        <v>39</v>
      </c>
      <c r="J2832" s="0" t="n">
        <v>2.27</v>
      </c>
      <c r="K2832" s="0" t="s">
        <v>60</v>
      </c>
      <c r="L2832" s="0" t="n">
        <f aca="false">INDEX(Summary!$F$2:$F$201,MATCH($B2832,Summary!$A$2:$A$201,0))</f>
        <v>20</v>
      </c>
      <c r="M2832" s="0" t="n">
        <f aca="false">INDEX(Summary!$I$2:$I$201,MATCH($B2832,Summary!$A$2:$A$201,0))</f>
        <v>2</v>
      </c>
      <c r="N2832" s="0" t="n">
        <f aca="false">INDEX(Summary!$J$2:$J$201,MATCH($B2832,Summary!$A$2:$A$201,0))</f>
        <v>3</v>
      </c>
      <c r="O2832" s="2" t="n">
        <f aca="false">INDEX(Summary!$K$2:$K$201,MATCH($B2832,Summary!$A$2:$A$201,0))</f>
        <v>8.73</v>
      </c>
      <c r="P2832" s="3" t="n">
        <f aca="false">INDEX(Summary!$L$2:$L$201,MATCH($B2832,Summary!$A$2:$A$201,0))</f>
        <v>4</v>
      </c>
      <c r="Q2832" s="3" t="n">
        <f aca="false">INDEX(Summary!$M$2:$M$201,MATCH($B2832,Summary!$A$2:$A$201,0))</f>
        <v>2</v>
      </c>
      <c r="R2832" s="2" t="n">
        <f aca="false">INDEX(Summary!$N$2:$N$201,MATCH($B2832,Summary!$A$2:$A$201,0))</f>
        <v>9.67</v>
      </c>
      <c r="S2832" s="3" t="n">
        <f aca="false">INDEX(Summary!$O$2:$O$201,MATCH($B2832,Summary!$A$2:$A$201,0))</f>
        <v>8</v>
      </c>
      <c r="T2832" s="3" t="n">
        <f aca="false">INDEX(Summary!$P$2:$P$201,MATCH($B2832,Summary!$A$2:$A$201,0))</f>
        <v>1</v>
      </c>
      <c r="U2832" s="2" t="n">
        <f aca="false">INDEX(Summary!$Q$2:$Q$201,MATCH($B2832,Summary!$A$2:$A$201,0))</f>
        <v>13.45</v>
      </c>
      <c r="V2832" s="2" t="n">
        <f aca="false">INDEX(Summary!$R$2:$R$201,MATCH($B2832,Summary!$A$2:$A$201,0))</f>
        <v>25.3</v>
      </c>
      <c r="W2832" s="0" t="str">
        <f aca="false">INDEX(Summary!$S$2:$S$201,MATCH($B2832,Summary!$A$2:$A$201,0))</f>
        <v>Silver</v>
      </c>
      <c r="X2832" s="2" t="n">
        <f aca="false">INDEX(Summary!$T$2:$T$201,MATCH($B2832,Summary!$A$2:$A$201,0))</f>
        <v>61.71</v>
      </c>
      <c r="Y2832" s="0" t="str">
        <f aca="false">INDEX('Reward Model'!$E$18:$E$37,MATCH($E2832,'Reward Model'!$A$18:$A$37,0))</f>
        <v>Medium</v>
      </c>
      <c r="Z2832" s="4" t="n">
        <f aca="false">ROUND(MIN(1,MAX('Reward Model'!$B$2,INDEX('Reward Model'!$C$12:$C$14,MATCH($K2832,'Reward Model'!$A$12:$A$14,0))/$J2832)),3)</f>
        <v>0.793</v>
      </c>
      <c r="AA2832" s="2" t="n">
        <f aca="false">IF($I2832="Correct",ROUND(INDEX('Reward Model'!$B$12:$B$14,MATCH($K2832,'Reward Model'!$A$12:$A$14,0))*Z2832,2),0)</f>
        <v>0</v>
      </c>
      <c r="AB2832" s="2" t="n">
        <f aca="false">IF($I2832="Correct",ROUND(INDEX('Reward Model'!$B$12:$B$14,MATCH($Y2832,'Reward Model'!$A$12:$A$14,0))*Z2832,2),0)</f>
        <v>0</v>
      </c>
    </row>
    <row r="2833" customFormat="false" ht="15" hidden="false" customHeight="false" outlineLevel="0" collapsed="false">
      <c r="A2833" s="0" t="s">
        <v>414</v>
      </c>
      <c r="B2833" s="0" t="s">
        <v>415</v>
      </c>
      <c r="C2833" s="0" t="s">
        <v>322</v>
      </c>
      <c r="D2833" s="0" t="s">
        <v>189</v>
      </c>
      <c r="E2833" s="0" t="n">
        <v>12</v>
      </c>
      <c r="F2833" s="0" t="s">
        <v>64</v>
      </c>
      <c r="G2833" s="0" t="s">
        <v>65</v>
      </c>
      <c r="H2833" s="0" t="s">
        <v>65</v>
      </c>
      <c r="I2833" s="0" t="s">
        <v>34</v>
      </c>
      <c r="J2833" s="0" t="n">
        <v>1.83</v>
      </c>
      <c r="K2833" s="0" t="s">
        <v>60</v>
      </c>
      <c r="L2833" s="0" t="n">
        <f aca="false">INDEX(Summary!$F$2:$F$201,MATCH($B2833,Summary!$A$2:$A$201,0))</f>
        <v>20</v>
      </c>
      <c r="M2833" s="0" t="n">
        <f aca="false">INDEX(Summary!$I$2:$I$201,MATCH($B2833,Summary!$A$2:$A$201,0))</f>
        <v>2</v>
      </c>
      <c r="N2833" s="0" t="n">
        <f aca="false">INDEX(Summary!$J$2:$J$201,MATCH($B2833,Summary!$A$2:$A$201,0))</f>
        <v>3</v>
      </c>
      <c r="O2833" s="2" t="n">
        <f aca="false">INDEX(Summary!$K$2:$K$201,MATCH($B2833,Summary!$A$2:$A$201,0))</f>
        <v>8.73</v>
      </c>
      <c r="P2833" s="3" t="n">
        <f aca="false">INDEX(Summary!$L$2:$L$201,MATCH($B2833,Summary!$A$2:$A$201,0))</f>
        <v>4</v>
      </c>
      <c r="Q2833" s="3" t="n">
        <f aca="false">INDEX(Summary!$M$2:$M$201,MATCH($B2833,Summary!$A$2:$A$201,0))</f>
        <v>2</v>
      </c>
      <c r="R2833" s="2" t="n">
        <f aca="false">INDEX(Summary!$N$2:$N$201,MATCH($B2833,Summary!$A$2:$A$201,0))</f>
        <v>9.67</v>
      </c>
      <c r="S2833" s="3" t="n">
        <f aca="false">INDEX(Summary!$O$2:$O$201,MATCH($B2833,Summary!$A$2:$A$201,0))</f>
        <v>8</v>
      </c>
      <c r="T2833" s="3" t="n">
        <f aca="false">INDEX(Summary!$P$2:$P$201,MATCH($B2833,Summary!$A$2:$A$201,0))</f>
        <v>1</v>
      </c>
      <c r="U2833" s="2" t="n">
        <f aca="false">INDEX(Summary!$Q$2:$Q$201,MATCH($B2833,Summary!$A$2:$A$201,0))</f>
        <v>13.45</v>
      </c>
      <c r="V2833" s="2" t="n">
        <f aca="false">INDEX(Summary!$R$2:$R$201,MATCH($B2833,Summary!$A$2:$A$201,0))</f>
        <v>25.3</v>
      </c>
      <c r="W2833" s="0" t="str">
        <f aca="false">INDEX(Summary!$S$2:$S$201,MATCH($B2833,Summary!$A$2:$A$201,0))</f>
        <v>Silver</v>
      </c>
      <c r="X2833" s="2" t="n">
        <f aca="false">INDEX(Summary!$T$2:$T$201,MATCH($B2833,Summary!$A$2:$A$201,0))</f>
        <v>61.71</v>
      </c>
      <c r="Y2833" s="0" t="str">
        <f aca="false">INDEX('Reward Model'!$E$18:$E$37,MATCH($E2833,'Reward Model'!$A$18:$A$37,0))</f>
        <v>Medium</v>
      </c>
      <c r="Z2833" s="4" t="n">
        <f aca="false">ROUND(MIN(1,MAX('Reward Model'!$B$2,INDEX('Reward Model'!$C$12:$C$14,MATCH($K2833,'Reward Model'!$A$12:$A$14,0))/$J2833)),3)</f>
        <v>0.984</v>
      </c>
      <c r="AA2833" s="2" t="n">
        <f aca="false">IF($I2833="Correct",ROUND(INDEX('Reward Model'!$B$12:$B$14,MATCH($K2833,'Reward Model'!$A$12:$A$14,0))*Z2833,2),0)</f>
        <v>1.97</v>
      </c>
      <c r="AB2833" s="2" t="n">
        <f aca="false">IF($I2833="Correct",ROUND(INDEX('Reward Model'!$B$12:$B$14,MATCH($Y2833,'Reward Model'!$A$12:$A$14,0))*Z2833,2),0)</f>
        <v>1.97</v>
      </c>
    </row>
    <row r="2834" customFormat="false" ht="15" hidden="false" customHeight="false" outlineLevel="0" collapsed="false">
      <c r="A2834" s="0" t="s">
        <v>414</v>
      </c>
      <c r="B2834" s="0" t="s">
        <v>415</v>
      </c>
      <c r="C2834" s="0" t="s">
        <v>322</v>
      </c>
      <c r="D2834" s="0" t="s">
        <v>189</v>
      </c>
      <c r="E2834" s="0" t="n">
        <v>13</v>
      </c>
      <c r="F2834" s="0" t="s">
        <v>66</v>
      </c>
      <c r="G2834" s="0" t="s">
        <v>124</v>
      </c>
      <c r="H2834" s="0" t="s">
        <v>67</v>
      </c>
      <c r="I2834" s="0" t="s">
        <v>39</v>
      </c>
      <c r="J2834" s="0" t="n">
        <v>1.12</v>
      </c>
      <c r="K2834" s="0" t="s">
        <v>60</v>
      </c>
      <c r="L2834" s="0" t="n">
        <f aca="false">INDEX(Summary!$F$2:$F$201,MATCH($B2834,Summary!$A$2:$A$201,0))</f>
        <v>20</v>
      </c>
      <c r="M2834" s="0" t="n">
        <f aca="false">INDEX(Summary!$I$2:$I$201,MATCH($B2834,Summary!$A$2:$A$201,0))</f>
        <v>2</v>
      </c>
      <c r="N2834" s="0" t="n">
        <f aca="false">INDEX(Summary!$J$2:$J$201,MATCH($B2834,Summary!$A$2:$A$201,0))</f>
        <v>3</v>
      </c>
      <c r="O2834" s="2" t="n">
        <f aca="false">INDEX(Summary!$K$2:$K$201,MATCH($B2834,Summary!$A$2:$A$201,0))</f>
        <v>8.73</v>
      </c>
      <c r="P2834" s="3" t="n">
        <f aca="false">INDEX(Summary!$L$2:$L$201,MATCH($B2834,Summary!$A$2:$A$201,0))</f>
        <v>4</v>
      </c>
      <c r="Q2834" s="3" t="n">
        <f aca="false">INDEX(Summary!$M$2:$M$201,MATCH($B2834,Summary!$A$2:$A$201,0))</f>
        <v>2</v>
      </c>
      <c r="R2834" s="2" t="n">
        <f aca="false">INDEX(Summary!$N$2:$N$201,MATCH($B2834,Summary!$A$2:$A$201,0))</f>
        <v>9.67</v>
      </c>
      <c r="S2834" s="3" t="n">
        <f aca="false">INDEX(Summary!$O$2:$O$201,MATCH($B2834,Summary!$A$2:$A$201,0))</f>
        <v>8</v>
      </c>
      <c r="T2834" s="3" t="n">
        <f aca="false">INDEX(Summary!$P$2:$P$201,MATCH($B2834,Summary!$A$2:$A$201,0))</f>
        <v>1</v>
      </c>
      <c r="U2834" s="2" t="n">
        <f aca="false">INDEX(Summary!$Q$2:$Q$201,MATCH($B2834,Summary!$A$2:$A$201,0))</f>
        <v>13.45</v>
      </c>
      <c r="V2834" s="2" t="n">
        <f aca="false">INDEX(Summary!$R$2:$R$201,MATCH($B2834,Summary!$A$2:$A$201,0))</f>
        <v>25.3</v>
      </c>
      <c r="W2834" s="0" t="str">
        <f aca="false">INDEX(Summary!$S$2:$S$201,MATCH($B2834,Summary!$A$2:$A$201,0))</f>
        <v>Silver</v>
      </c>
      <c r="X2834" s="2" t="n">
        <f aca="false">INDEX(Summary!$T$2:$T$201,MATCH($B2834,Summary!$A$2:$A$201,0))</f>
        <v>61.71</v>
      </c>
      <c r="Y2834" s="0" t="str">
        <f aca="false">INDEX('Reward Model'!$E$18:$E$37,MATCH($E2834,'Reward Model'!$A$18:$A$37,0))</f>
        <v>Medium</v>
      </c>
      <c r="Z2834" s="4" t="n">
        <f aca="false">ROUND(MIN(1,MAX('Reward Model'!$B$2,INDEX('Reward Model'!$C$12:$C$14,MATCH($K2834,'Reward Model'!$A$12:$A$14,0))/$J2834)),3)</f>
        <v>1</v>
      </c>
      <c r="AA2834" s="2" t="n">
        <f aca="false">IF($I2834="Correct",ROUND(INDEX('Reward Model'!$B$12:$B$14,MATCH($K2834,'Reward Model'!$A$12:$A$14,0))*Z2834,2),0)</f>
        <v>0</v>
      </c>
      <c r="AB2834" s="2" t="n">
        <f aca="false">IF($I2834="Correct",ROUND(INDEX('Reward Model'!$B$12:$B$14,MATCH($Y2834,'Reward Model'!$A$12:$A$14,0))*Z2834,2),0)</f>
        <v>0</v>
      </c>
    </row>
    <row r="2835" customFormat="false" ht="15" hidden="false" customHeight="false" outlineLevel="0" collapsed="false">
      <c r="A2835" s="0" t="s">
        <v>414</v>
      </c>
      <c r="B2835" s="0" t="s">
        <v>415</v>
      </c>
      <c r="C2835" s="0" t="s">
        <v>322</v>
      </c>
      <c r="D2835" s="0" t="s">
        <v>189</v>
      </c>
      <c r="E2835" s="0" t="n">
        <v>14</v>
      </c>
      <c r="F2835" s="0" t="s">
        <v>68</v>
      </c>
      <c r="G2835" s="0" t="s">
        <v>51</v>
      </c>
      <c r="H2835" s="0" t="s">
        <v>51</v>
      </c>
      <c r="I2835" s="0" t="s">
        <v>34</v>
      </c>
      <c r="J2835" s="0" t="n">
        <v>1.83</v>
      </c>
      <c r="K2835" s="0" t="s">
        <v>60</v>
      </c>
      <c r="L2835" s="0" t="n">
        <f aca="false">INDEX(Summary!$F$2:$F$201,MATCH($B2835,Summary!$A$2:$A$201,0))</f>
        <v>20</v>
      </c>
      <c r="M2835" s="0" t="n">
        <f aca="false">INDEX(Summary!$I$2:$I$201,MATCH($B2835,Summary!$A$2:$A$201,0))</f>
        <v>2</v>
      </c>
      <c r="N2835" s="0" t="n">
        <f aca="false">INDEX(Summary!$J$2:$J$201,MATCH($B2835,Summary!$A$2:$A$201,0))</f>
        <v>3</v>
      </c>
      <c r="O2835" s="2" t="n">
        <f aca="false">INDEX(Summary!$K$2:$K$201,MATCH($B2835,Summary!$A$2:$A$201,0))</f>
        <v>8.73</v>
      </c>
      <c r="P2835" s="3" t="n">
        <f aca="false">INDEX(Summary!$L$2:$L$201,MATCH($B2835,Summary!$A$2:$A$201,0))</f>
        <v>4</v>
      </c>
      <c r="Q2835" s="3" t="n">
        <f aca="false">INDEX(Summary!$M$2:$M$201,MATCH($B2835,Summary!$A$2:$A$201,0))</f>
        <v>2</v>
      </c>
      <c r="R2835" s="2" t="n">
        <f aca="false">INDEX(Summary!$N$2:$N$201,MATCH($B2835,Summary!$A$2:$A$201,0))</f>
        <v>9.67</v>
      </c>
      <c r="S2835" s="3" t="n">
        <f aca="false">INDEX(Summary!$O$2:$O$201,MATCH($B2835,Summary!$A$2:$A$201,0))</f>
        <v>8</v>
      </c>
      <c r="T2835" s="3" t="n">
        <f aca="false">INDEX(Summary!$P$2:$P$201,MATCH($B2835,Summary!$A$2:$A$201,0))</f>
        <v>1</v>
      </c>
      <c r="U2835" s="2" t="n">
        <f aca="false">INDEX(Summary!$Q$2:$Q$201,MATCH($B2835,Summary!$A$2:$A$201,0))</f>
        <v>13.45</v>
      </c>
      <c r="V2835" s="2" t="n">
        <f aca="false">INDEX(Summary!$R$2:$R$201,MATCH($B2835,Summary!$A$2:$A$201,0))</f>
        <v>25.3</v>
      </c>
      <c r="W2835" s="0" t="str">
        <f aca="false">INDEX(Summary!$S$2:$S$201,MATCH($B2835,Summary!$A$2:$A$201,0))</f>
        <v>Silver</v>
      </c>
      <c r="X2835" s="2" t="n">
        <f aca="false">INDEX(Summary!$T$2:$T$201,MATCH($B2835,Summary!$A$2:$A$201,0))</f>
        <v>61.71</v>
      </c>
      <c r="Y2835" s="0" t="str">
        <f aca="false">INDEX('Reward Model'!$E$18:$E$37,MATCH($E2835,'Reward Model'!$A$18:$A$37,0))</f>
        <v>Medium</v>
      </c>
      <c r="Z2835" s="4" t="n">
        <f aca="false">ROUND(MIN(1,MAX('Reward Model'!$B$2,INDEX('Reward Model'!$C$12:$C$14,MATCH($K2835,'Reward Model'!$A$12:$A$14,0))/$J2835)),3)</f>
        <v>0.984</v>
      </c>
      <c r="AA2835" s="2" t="n">
        <f aca="false">IF($I2835="Correct",ROUND(INDEX('Reward Model'!$B$12:$B$14,MATCH($K2835,'Reward Model'!$A$12:$A$14,0))*Z2835,2),0)</f>
        <v>1.97</v>
      </c>
      <c r="AB2835" s="2" t="n">
        <f aca="false">IF($I2835="Correct",ROUND(INDEX('Reward Model'!$B$12:$B$14,MATCH($Y2835,'Reward Model'!$A$12:$A$14,0))*Z2835,2),0)</f>
        <v>1.97</v>
      </c>
    </row>
    <row r="2836" customFormat="false" ht="15" hidden="false" customHeight="false" outlineLevel="0" collapsed="false">
      <c r="A2836" s="0" t="s">
        <v>414</v>
      </c>
      <c r="B2836" s="0" t="s">
        <v>415</v>
      </c>
      <c r="C2836" s="0" t="s">
        <v>322</v>
      </c>
      <c r="D2836" s="0" t="s">
        <v>189</v>
      </c>
      <c r="E2836" s="0" t="n">
        <v>15</v>
      </c>
      <c r="F2836" s="0" t="s">
        <v>69</v>
      </c>
      <c r="G2836" s="0" t="s">
        <v>70</v>
      </c>
      <c r="H2836" s="0" t="s">
        <v>70</v>
      </c>
      <c r="I2836" s="0" t="s">
        <v>34</v>
      </c>
      <c r="J2836" s="0" t="n">
        <v>1.44</v>
      </c>
      <c r="K2836" s="0" t="s">
        <v>60</v>
      </c>
      <c r="L2836" s="0" t="n">
        <f aca="false">INDEX(Summary!$F$2:$F$201,MATCH($B2836,Summary!$A$2:$A$201,0))</f>
        <v>20</v>
      </c>
      <c r="M2836" s="0" t="n">
        <f aca="false">INDEX(Summary!$I$2:$I$201,MATCH($B2836,Summary!$A$2:$A$201,0))</f>
        <v>2</v>
      </c>
      <c r="N2836" s="0" t="n">
        <f aca="false">INDEX(Summary!$J$2:$J$201,MATCH($B2836,Summary!$A$2:$A$201,0))</f>
        <v>3</v>
      </c>
      <c r="O2836" s="2" t="n">
        <f aca="false">INDEX(Summary!$K$2:$K$201,MATCH($B2836,Summary!$A$2:$A$201,0))</f>
        <v>8.73</v>
      </c>
      <c r="P2836" s="3" t="n">
        <f aca="false">INDEX(Summary!$L$2:$L$201,MATCH($B2836,Summary!$A$2:$A$201,0))</f>
        <v>4</v>
      </c>
      <c r="Q2836" s="3" t="n">
        <f aca="false">INDEX(Summary!$M$2:$M$201,MATCH($B2836,Summary!$A$2:$A$201,0))</f>
        <v>2</v>
      </c>
      <c r="R2836" s="2" t="n">
        <f aca="false">INDEX(Summary!$N$2:$N$201,MATCH($B2836,Summary!$A$2:$A$201,0))</f>
        <v>9.67</v>
      </c>
      <c r="S2836" s="3" t="n">
        <f aca="false">INDEX(Summary!$O$2:$O$201,MATCH($B2836,Summary!$A$2:$A$201,0))</f>
        <v>8</v>
      </c>
      <c r="T2836" s="3" t="n">
        <f aca="false">INDEX(Summary!$P$2:$P$201,MATCH($B2836,Summary!$A$2:$A$201,0))</f>
        <v>1</v>
      </c>
      <c r="U2836" s="2" t="n">
        <f aca="false">INDEX(Summary!$Q$2:$Q$201,MATCH($B2836,Summary!$A$2:$A$201,0))</f>
        <v>13.45</v>
      </c>
      <c r="V2836" s="2" t="n">
        <f aca="false">INDEX(Summary!$R$2:$R$201,MATCH($B2836,Summary!$A$2:$A$201,0))</f>
        <v>25.3</v>
      </c>
      <c r="W2836" s="0" t="str">
        <f aca="false">INDEX(Summary!$S$2:$S$201,MATCH($B2836,Summary!$A$2:$A$201,0))</f>
        <v>Silver</v>
      </c>
      <c r="X2836" s="2" t="n">
        <f aca="false">INDEX(Summary!$T$2:$T$201,MATCH($B2836,Summary!$A$2:$A$201,0))</f>
        <v>61.71</v>
      </c>
      <c r="Y2836" s="0" t="str">
        <f aca="false">INDEX('Reward Model'!$E$18:$E$37,MATCH($E2836,'Reward Model'!$A$18:$A$37,0))</f>
        <v>Medium</v>
      </c>
      <c r="Z2836" s="4" t="n">
        <f aca="false">ROUND(MIN(1,MAX('Reward Model'!$B$2,INDEX('Reward Model'!$C$12:$C$14,MATCH($K2836,'Reward Model'!$A$12:$A$14,0))/$J2836)),3)</f>
        <v>1</v>
      </c>
      <c r="AA2836" s="2" t="n">
        <f aca="false">IF($I2836="Correct",ROUND(INDEX('Reward Model'!$B$12:$B$14,MATCH($K2836,'Reward Model'!$A$12:$A$14,0))*Z2836,2),0)</f>
        <v>2</v>
      </c>
      <c r="AB2836" s="2" t="n">
        <f aca="false">IF($I2836="Correct",ROUND(INDEX('Reward Model'!$B$12:$B$14,MATCH($Y2836,'Reward Model'!$A$12:$A$14,0))*Z2836,2),0)</f>
        <v>2</v>
      </c>
    </row>
    <row r="2837" customFormat="false" ht="15" hidden="false" customHeight="false" outlineLevel="0" collapsed="false">
      <c r="A2837" s="0" t="s">
        <v>414</v>
      </c>
      <c r="B2837" s="0" t="s">
        <v>415</v>
      </c>
      <c r="C2837" s="0" t="s">
        <v>322</v>
      </c>
      <c r="D2837" s="0" t="s">
        <v>189</v>
      </c>
      <c r="E2837" s="0" t="n">
        <v>16</v>
      </c>
      <c r="F2837" s="0" t="s">
        <v>71</v>
      </c>
      <c r="G2837" s="0" t="s">
        <v>101</v>
      </c>
      <c r="H2837" s="0" t="s">
        <v>72</v>
      </c>
      <c r="I2837" s="0" t="s">
        <v>39</v>
      </c>
      <c r="J2837" s="0" t="n">
        <v>1.44</v>
      </c>
      <c r="K2837" s="0" t="s">
        <v>73</v>
      </c>
      <c r="L2837" s="0" t="n">
        <f aca="false">INDEX(Summary!$F$2:$F$201,MATCH($B2837,Summary!$A$2:$A$201,0))</f>
        <v>20</v>
      </c>
      <c r="M2837" s="0" t="n">
        <f aca="false">INDEX(Summary!$I$2:$I$201,MATCH($B2837,Summary!$A$2:$A$201,0))</f>
        <v>2</v>
      </c>
      <c r="N2837" s="0" t="n">
        <f aca="false">INDEX(Summary!$J$2:$J$201,MATCH($B2837,Summary!$A$2:$A$201,0))</f>
        <v>3</v>
      </c>
      <c r="O2837" s="2" t="n">
        <f aca="false">INDEX(Summary!$K$2:$K$201,MATCH($B2837,Summary!$A$2:$A$201,0))</f>
        <v>8.73</v>
      </c>
      <c r="P2837" s="3" t="n">
        <f aca="false">INDEX(Summary!$L$2:$L$201,MATCH($B2837,Summary!$A$2:$A$201,0))</f>
        <v>4</v>
      </c>
      <c r="Q2837" s="3" t="n">
        <f aca="false">INDEX(Summary!$M$2:$M$201,MATCH($B2837,Summary!$A$2:$A$201,0))</f>
        <v>2</v>
      </c>
      <c r="R2837" s="2" t="n">
        <f aca="false">INDEX(Summary!$N$2:$N$201,MATCH($B2837,Summary!$A$2:$A$201,0))</f>
        <v>9.67</v>
      </c>
      <c r="S2837" s="3" t="n">
        <f aca="false">INDEX(Summary!$O$2:$O$201,MATCH($B2837,Summary!$A$2:$A$201,0))</f>
        <v>8</v>
      </c>
      <c r="T2837" s="3" t="n">
        <f aca="false">INDEX(Summary!$P$2:$P$201,MATCH($B2837,Summary!$A$2:$A$201,0))</f>
        <v>1</v>
      </c>
      <c r="U2837" s="2" t="n">
        <f aca="false">INDEX(Summary!$Q$2:$Q$201,MATCH($B2837,Summary!$A$2:$A$201,0))</f>
        <v>13.45</v>
      </c>
      <c r="V2837" s="2" t="n">
        <f aca="false">INDEX(Summary!$R$2:$R$201,MATCH($B2837,Summary!$A$2:$A$201,0))</f>
        <v>25.3</v>
      </c>
      <c r="W2837" s="0" t="str">
        <f aca="false">INDEX(Summary!$S$2:$S$201,MATCH($B2837,Summary!$A$2:$A$201,0))</f>
        <v>Silver</v>
      </c>
      <c r="X2837" s="2" t="n">
        <f aca="false">INDEX(Summary!$T$2:$T$201,MATCH($B2837,Summary!$A$2:$A$201,0))</f>
        <v>61.71</v>
      </c>
      <c r="Y2837" s="0" t="str">
        <f aca="false">INDEX('Reward Model'!$E$18:$E$37,MATCH($E2837,'Reward Model'!$A$18:$A$37,0))</f>
        <v>High</v>
      </c>
      <c r="Z2837" s="4" t="n">
        <f aca="false">ROUND(MIN(1,MAX('Reward Model'!$B$2,INDEX('Reward Model'!$C$12:$C$14,MATCH($K2837,'Reward Model'!$A$12:$A$14,0))/$J2837)),3)</f>
        <v>1</v>
      </c>
      <c r="AA2837" s="2" t="n">
        <f aca="false">IF($I2837="Correct",ROUND(INDEX('Reward Model'!$B$12:$B$14,MATCH($K2837,'Reward Model'!$A$12:$A$14,0))*Z2837,2),0)</f>
        <v>0</v>
      </c>
      <c r="AB2837" s="2" t="n">
        <f aca="false">IF($I2837="Correct",ROUND(INDEX('Reward Model'!$B$12:$B$14,MATCH($Y2837,'Reward Model'!$A$12:$A$14,0))*Z2837,2),0)</f>
        <v>0</v>
      </c>
    </row>
    <row r="2838" customFormat="false" ht="15" hidden="false" customHeight="false" outlineLevel="0" collapsed="false">
      <c r="A2838" s="0" t="s">
        <v>414</v>
      </c>
      <c r="B2838" s="0" t="s">
        <v>415</v>
      </c>
      <c r="C2838" s="0" t="s">
        <v>322</v>
      </c>
      <c r="D2838" s="0" t="s">
        <v>189</v>
      </c>
      <c r="E2838" s="0" t="n">
        <v>17</v>
      </c>
      <c r="F2838" s="0" t="s">
        <v>74</v>
      </c>
      <c r="G2838" s="0" t="s">
        <v>75</v>
      </c>
      <c r="H2838" s="0" t="s">
        <v>75</v>
      </c>
      <c r="I2838" s="0" t="s">
        <v>34</v>
      </c>
      <c r="J2838" s="0" t="n">
        <v>1.22</v>
      </c>
      <c r="K2838" s="0" t="s">
        <v>73</v>
      </c>
      <c r="L2838" s="0" t="n">
        <f aca="false">INDEX(Summary!$F$2:$F$201,MATCH($B2838,Summary!$A$2:$A$201,0))</f>
        <v>20</v>
      </c>
      <c r="M2838" s="0" t="n">
        <f aca="false">INDEX(Summary!$I$2:$I$201,MATCH($B2838,Summary!$A$2:$A$201,0))</f>
        <v>2</v>
      </c>
      <c r="N2838" s="0" t="n">
        <f aca="false">INDEX(Summary!$J$2:$J$201,MATCH($B2838,Summary!$A$2:$A$201,0))</f>
        <v>3</v>
      </c>
      <c r="O2838" s="2" t="n">
        <f aca="false">INDEX(Summary!$K$2:$K$201,MATCH($B2838,Summary!$A$2:$A$201,0))</f>
        <v>8.73</v>
      </c>
      <c r="P2838" s="3" t="n">
        <f aca="false">INDEX(Summary!$L$2:$L$201,MATCH($B2838,Summary!$A$2:$A$201,0))</f>
        <v>4</v>
      </c>
      <c r="Q2838" s="3" t="n">
        <f aca="false">INDEX(Summary!$M$2:$M$201,MATCH($B2838,Summary!$A$2:$A$201,0))</f>
        <v>2</v>
      </c>
      <c r="R2838" s="2" t="n">
        <f aca="false">INDEX(Summary!$N$2:$N$201,MATCH($B2838,Summary!$A$2:$A$201,0))</f>
        <v>9.67</v>
      </c>
      <c r="S2838" s="3" t="n">
        <f aca="false">INDEX(Summary!$O$2:$O$201,MATCH($B2838,Summary!$A$2:$A$201,0))</f>
        <v>8</v>
      </c>
      <c r="T2838" s="3" t="n">
        <f aca="false">INDEX(Summary!$P$2:$P$201,MATCH($B2838,Summary!$A$2:$A$201,0))</f>
        <v>1</v>
      </c>
      <c r="U2838" s="2" t="n">
        <f aca="false">INDEX(Summary!$Q$2:$Q$201,MATCH($B2838,Summary!$A$2:$A$201,0))</f>
        <v>13.45</v>
      </c>
      <c r="V2838" s="2" t="n">
        <f aca="false">INDEX(Summary!$R$2:$R$201,MATCH($B2838,Summary!$A$2:$A$201,0))</f>
        <v>25.3</v>
      </c>
      <c r="W2838" s="0" t="str">
        <f aca="false">INDEX(Summary!$S$2:$S$201,MATCH($B2838,Summary!$A$2:$A$201,0))</f>
        <v>Silver</v>
      </c>
      <c r="X2838" s="2" t="n">
        <f aca="false">INDEX(Summary!$T$2:$T$201,MATCH($B2838,Summary!$A$2:$A$201,0))</f>
        <v>61.71</v>
      </c>
      <c r="Y2838" s="0" t="str">
        <f aca="false">INDEX('Reward Model'!$E$18:$E$37,MATCH($E2838,'Reward Model'!$A$18:$A$37,0))</f>
        <v>High</v>
      </c>
      <c r="Z2838" s="4" t="n">
        <f aca="false">ROUND(MIN(1,MAX('Reward Model'!$B$2,INDEX('Reward Model'!$C$12:$C$14,MATCH($K2838,'Reward Model'!$A$12:$A$14,0))/$J2838)),3)</f>
        <v>1</v>
      </c>
      <c r="AA2838" s="2" t="n">
        <f aca="false">IF($I2838="Correct",ROUND(INDEX('Reward Model'!$B$12:$B$14,MATCH($K2838,'Reward Model'!$A$12:$A$14,0))*Z2838,2),0)</f>
        <v>3</v>
      </c>
      <c r="AB2838" s="2" t="n">
        <f aca="false">IF($I2838="Correct",ROUND(INDEX('Reward Model'!$B$12:$B$14,MATCH($Y2838,'Reward Model'!$A$12:$A$14,0))*Z2838,2),0)</f>
        <v>3</v>
      </c>
    </row>
    <row r="2839" customFormat="false" ht="15" hidden="false" customHeight="false" outlineLevel="0" collapsed="false">
      <c r="A2839" s="0" t="s">
        <v>414</v>
      </c>
      <c r="B2839" s="0" t="s">
        <v>415</v>
      </c>
      <c r="C2839" s="0" t="s">
        <v>322</v>
      </c>
      <c r="D2839" s="0" t="s">
        <v>189</v>
      </c>
      <c r="E2839" s="0" t="n">
        <v>18</v>
      </c>
      <c r="F2839" s="0" t="s">
        <v>76</v>
      </c>
      <c r="G2839" s="0" t="s">
        <v>88</v>
      </c>
      <c r="H2839" s="0" t="s">
        <v>77</v>
      </c>
      <c r="I2839" s="0" t="s">
        <v>39</v>
      </c>
      <c r="J2839" s="0" t="n">
        <v>1.88</v>
      </c>
      <c r="K2839" s="0" t="s">
        <v>73</v>
      </c>
      <c r="L2839" s="0" t="n">
        <f aca="false">INDEX(Summary!$F$2:$F$201,MATCH($B2839,Summary!$A$2:$A$201,0))</f>
        <v>20</v>
      </c>
      <c r="M2839" s="0" t="n">
        <f aca="false">INDEX(Summary!$I$2:$I$201,MATCH($B2839,Summary!$A$2:$A$201,0))</f>
        <v>2</v>
      </c>
      <c r="N2839" s="0" t="n">
        <f aca="false">INDEX(Summary!$J$2:$J$201,MATCH($B2839,Summary!$A$2:$A$201,0))</f>
        <v>3</v>
      </c>
      <c r="O2839" s="2" t="n">
        <f aca="false">INDEX(Summary!$K$2:$K$201,MATCH($B2839,Summary!$A$2:$A$201,0))</f>
        <v>8.73</v>
      </c>
      <c r="P2839" s="3" t="n">
        <f aca="false">INDEX(Summary!$L$2:$L$201,MATCH($B2839,Summary!$A$2:$A$201,0))</f>
        <v>4</v>
      </c>
      <c r="Q2839" s="3" t="n">
        <f aca="false">INDEX(Summary!$M$2:$M$201,MATCH($B2839,Summary!$A$2:$A$201,0))</f>
        <v>2</v>
      </c>
      <c r="R2839" s="2" t="n">
        <f aca="false">INDEX(Summary!$N$2:$N$201,MATCH($B2839,Summary!$A$2:$A$201,0))</f>
        <v>9.67</v>
      </c>
      <c r="S2839" s="3" t="n">
        <f aca="false">INDEX(Summary!$O$2:$O$201,MATCH($B2839,Summary!$A$2:$A$201,0))</f>
        <v>8</v>
      </c>
      <c r="T2839" s="3" t="n">
        <f aca="false">INDEX(Summary!$P$2:$P$201,MATCH($B2839,Summary!$A$2:$A$201,0))</f>
        <v>1</v>
      </c>
      <c r="U2839" s="2" t="n">
        <f aca="false">INDEX(Summary!$Q$2:$Q$201,MATCH($B2839,Summary!$A$2:$A$201,0))</f>
        <v>13.45</v>
      </c>
      <c r="V2839" s="2" t="n">
        <f aca="false">INDEX(Summary!$R$2:$R$201,MATCH($B2839,Summary!$A$2:$A$201,0))</f>
        <v>25.3</v>
      </c>
      <c r="W2839" s="0" t="str">
        <f aca="false">INDEX(Summary!$S$2:$S$201,MATCH($B2839,Summary!$A$2:$A$201,0))</f>
        <v>Silver</v>
      </c>
      <c r="X2839" s="2" t="n">
        <f aca="false">INDEX(Summary!$T$2:$T$201,MATCH($B2839,Summary!$A$2:$A$201,0))</f>
        <v>61.71</v>
      </c>
      <c r="Y2839" s="0" t="str">
        <f aca="false">INDEX('Reward Model'!$E$18:$E$37,MATCH($E2839,'Reward Model'!$A$18:$A$37,0))</f>
        <v>High</v>
      </c>
      <c r="Z2839" s="4" t="n">
        <f aca="false">ROUND(MIN(1,MAX('Reward Model'!$B$2,INDEX('Reward Model'!$C$12:$C$14,MATCH($K2839,'Reward Model'!$A$12:$A$14,0))/$J2839)),3)</f>
        <v>1</v>
      </c>
      <c r="AA2839" s="2" t="n">
        <f aca="false">IF($I2839="Correct",ROUND(INDEX('Reward Model'!$B$12:$B$14,MATCH($K2839,'Reward Model'!$A$12:$A$14,0))*Z2839,2),0)</f>
        <v>0</v>
      </c>
      <c r="AB2839" s="2" t="n">
        <f aca="false">IF($I2839="Correct",ROUND(INDEX('Reward Model'!$B$12:$B$14,MATCH($Y2839,'Reward Model'!$A$12:$A$14,0))*Z2839,2),0)</f>
        <v>0</v>
      </c>
    </row>
    <row r="2840" customFormat="false" ht="15" hidden="false" customHeight="false" outlineLevel="0" collapsed="false">
      <c r="A2840" s="0" t="s">
        <v>414</v>
      </c>
      <c r="B2840" s="0" t="s">
        <v>415</v>
      </c>
      <c r="C2840" s="0" t="s">
        <v>322</v>
      </c>
      <c r="D2840" s="0" t="s">
        <v>189</v>
      </c>
      <c r="E2840" s="0" t="n">
        <v>19</v>
      </c>
      <c r="F2840" s="0" t="s">
        <v>78</v>
      </c>
      <c r="G2840" s="0" t="s">
        <v>51</v>
      </c>
      <c r="H2840" s="0" t="s">
        <v>80</v>
      </c>
      <c r="I2840" s="0" t="s">
        <v>39</v>
      </c>
      <c r="J2840" s="0" t="n">
        <v>1.73</v>
      </c>
      <c r="K2840" s="0" t="s">
        <v>73</v>
      </c>
      <c r="L2840" s="0" t="n">
        <f aca="false">INDEX(Summary!$F$2:$F$201,MATCH($B2840,Summary!$A$2:$A$201,0))</f>
        <v>20</v>
      </c>
      <c r="M2840" s="0" t="n">
        <f aca="false">INDEX(Summary!$I$2:$I$201,MATCH($B2840,Summary!$A$2:$A$201,0))</f>
        <v>2</v>
      </c>
      <c r="N2840" s="0" t="n">
        <f aca="false">INDEX(Summary!$J$2:$J$201,MATCH($B2840,Summary!$A$2:$A$201,0))</f>
        <v>3</v>
      </c>
      <c r="O2840" s="2" t="n">
        <f aca="false">INDEX(Summary!$K$2:$K$201,MATCH($B2840,Summary!$A$2:$A$201,0))</f>
        <v>8.73</v>
      </c>
      <c r="P2840" s="3" t="n">
        <f aca="false">INDEX(Summary!$L$2:$L$201,MATCH($B2840,Summary!$A$2:$A$201,0))</f>
        <v>4</v>
      </c>
      <c r="Q2840" s="3" t="n">
        <f aca="false">INDEX(Summary!$M$2:$M$201,MATCH($B2840,Summary!$A$2:$A$201,0))</f>
        <v>2</v>
      </c>
      <c r="R2840" s="2" t="n">
        <f aca="false">INDEX(Summary!$N$2:$N$201,MATCH($B2840,Summary!$A$2:$A$201,0))</f>
        <v>9.67</v>
      </c>
      <c r="S2840" s="3" t="n">
        <f aca="false">INDEX(Summary!$O$2:$O$201,MATCH($B2840,Summary!$A$2:$A$201,0))</f>
        <v>8</v>
      </c>
      <c r="T2840" s="3" t="n">
        <f aca="false">INDEX(Summary!$P$2:$P$201,MATCH($B2840,Summary!$A$2:$A$201,0))</f>
        <v>1</v>
      </c>
      <c r="U2840" s="2" t="n">
        <f aca="false">INDEX(Summary!$Q$2:$Q$201,MATCH($B2840,Summary!$A$2:$A$201,0))</f>
        <v>13.45</v>
      </c>
      <c r="V2840" s="2" t="n">
        <f aca="false">INDEX(Summary!$R$2:$R$201,MATCH($B2840,Summary!$A$2:$A$201,0))</f>
        <v>25.3</v>
      </c>
      <c r="W2840" s="0" t="str">
        <f aca="false">INDEX(Summary!$S$2:$S$201,MATCH($B2840,Summary!$A$2:$A$201,0))</f>
        <v>Silver</v>
      </c>
      <c r="X2840" s="2" t="n">
        <f aca="false">INDEX(Summary!$T$2:$T$201,MATCH($B2840,Summary!$A$2:$A$201,0))</f>
        <v>61.71</v>
      </c>
      <c r="Y2840" s="0" t="str">
        <f aca="false">INDEX('Reward Model'!$E$18:$E$37,MATCH($E2840,'Reward Model'!$A$18:$A$37,0))</f>
        <v>High</v>
      </c>
      <c r="Z2840" s="4" t="n">
        <f aca="false">ROUND(MIN(1,MAX('Reward Model'!$B$2,INDEX('Reward Model'!$C$12:$C$14,MATCH($K2840,'Reward Model'!$A$12:$A$14,0))/$J2840)),3)</f>
        <v>1</v>
      </c>
      <c r="AA2840" s="2" t="n">
        <f aca="false">IF($I2840="Correct",ROUND(INDEX('Reward Model'!$B$12:$B$14,MATCH($K2840,'Reward Model'!$A$12:$A$14,0))*Z2840,2),0)</f>
        <v>0</v>
      </c>
      <c r="AB2840" s="2" t="n">
        <f aca="false">IF($I2840="Correct",ROUND(INDEX('Reward Model'!$B$12:$B$14,MATCH($Y2840,'Reward Model'!$A$12:$A$14,0))*Z2840,2),0)</f>
        <v>0</v>
      </c>
    </row>
    <row r="2841" customFormat="false" ht="15" hidden="false" customHeight="false" outlineLevel="0" collapsed="false">
      <c r="A2841" s="0" t="s">
        <v>414</v>
      </c>
      <c r="B2841" s="0" t="s">
        <v>415</v>
      </c>
      <c r="C2841" s="0" t="s">
        <v>322</v>
      </c>
      <c r="D2841" s="0" t="s">
        <v>189</v>
      </c>
      <c r="E2841" s="0" t="n">
        <v>20</v>
      </c>
      <c r="F2841" s="0" t="s">
        <v>81</v>
      </c>
      <c r="G2841" s="0" t="s">
        <v>83</v>
      </c>
      <c r="H2841" s="0" t="s">
        <v>83</v>
      </c>
      <c r="I2841" s="0" t="s">
        <v>34</v>
      </c>
      <c r="J2841" s="0" t="n">
        <v>2.46</v>
      </c>
      <c r="K2841" s="0" t="s">
        <v>73</v>
      </c>
      <c r="L2841" s="0" t="n">
        <f aca="false">INDEX(Summary!$F$2:$F$201,MATCH($B2841,Summary!$A$2:$A$201,0))</f>
        <v>20</v>
      </c>
      <c r="M2841" s="0" t="n">
        <f aca="false">INDEX(Summary!$I$2:$I$201,MATCH($B2841,Summary!$A$2:$A$201,0))</f>
        <v>2</v>
      </c>
      <c r="N2841" s="0" t="n">
        <f aca="false">INDEX(Summary!$J$2:$J$201,MATCH($B2841,Summary!$A$2:$A$201,0))</f>
        <v>3</v>
      </c>
      <c r="O2841" s="2" t="n">
        <f aca="false">INDEX(Summary!$K$2:$K$201,MATCH($B2841,Summary!$A$2:$A$201,0))</f>
        <v>8.73</v>
      </c>
      <c r="P2841" s="3" t="n">
        <f aca="false">INDEX(Summary!$L$2:$L$201,MATCH($B2841,Summary!$A$2:$A$201,0))</f>
        <v>4</v>
      </c>
      <c r="Q2841" s="3" t="n">
        <f aca="false">INDEX(Summary!$M$2:$M$201,MATCH($B2841,Summary!$A$2:$A$201,0))</f>
        <v>2</v>
      </c>
      <c r="R2841" s="2" t="n">
        <f aca="false">INDEX(Summary!$N$2:$N$201,MATCH($B2841,Summary!$A$2:$A$201,0))</f>
        <v>9.67</v>
      </c>
      <c r="S2841" s="3" t="n">
        <f aca="false">INDEX(Summary!$O$2:$O$201,MATCH($B2841,Summary!$A$2:$A$201,0))</f>
        <v>8</v>
      </c>
      <c r="T2841" s="3" t="n">
        <f aca="false">INDEX(Summary!$P$2:$P$201,MATCH($B2841,Summary!$A$2:$A$201,0))</f>
        <v>1</v>
      </c>
      <c r="U2841" s="2" t="n">
        <f aca="false">INDEX(Summary!$Q$2:$Q$201,MATCH($B2841,Summary!$A$2:$A$201,0))</f>
        <v>13.45</v>
      </c>
      <c r="V2841" s="2" t="n">
        <f aca="false">INDEX(Summary!$R$2:$R$201,MATCH($B2841,Summary!$A$2:$A$201,0))</f>
        <v>25.3</v>
      </c>
      <c r="W2841" s="0" t="str">
        <f aca="false">INDEX(Summary!$S$2:$S$201,MATCH($B2841,Summary!$A$2:$A$201,0))</f>
        <v>Silver</v>
      </c>
      <c r="X2841" s="2" t="n">
        <f aca="false">INDEX(Summary!$T$2:$T$201,MATCH($B2841,Summary!$A$2:$A$201,0))</f>
        <v>61.71</v>
      </c>
      <c r="Y2841" s="0" t="str">
        <f aca="false">INDEX('Reward Model'!$E$18:$E$37,MATCH($E2841,'Reward Model'!$A$18:$A$37,0))</f>
        <v>High</v>
      </c>
      <c r="Z2841" s="4" t="n">
        <f aca="false">ROUND(MIN(1,MAX('Reward Model'!$B$2,INDEX('Reward Model'!$C$12:$C$14,MATCH($K2841,'Reward Model'!$A$12:$A$14,0))/$J2841)),3)</f>
        <v>0.813</v>
      </c>
      <c r="AA2841" s="2" t="n">
        <f aca="false">IF($I2841="Correct",ROUND(INDEX('Reward Model'!$B$12:$B$14,MATCH($K2841,'Reward Model'!$A$12:$A$14,0))*Z2841,2),0)</f>
        <v>2.44</v>
      </c>
      <c r="AB2841" s="2" t="n">
        <f aca="false">IF($I2841="Correct",ROUND(INDEX('Reward Model'!$B$12:$B$14,MATCH($Y2841,'Reward Model'!$A$12:$A$14,0))*Z2841,2),0)</f>
        <v>2.44</v>
      </c>
    </row>
    <row r="2842" customFormat="false" ht="15" hidden="false" customHeight="false" outlineLevel="0" collapsed="false">
      <c r="A2842" s="0" t="s">
        <v>416</v>
      </c>
      <c r="B2842" s="0" t="s">
        <v>417</v>
      </c>
      <c r="C2842" s="0" t="s">
        <v>322</v>
      </c>
      <c r="D2842" s="0" t="s">
        <v>189</v>
      </c>
      <c r="E2842" s="0" t="n">
        <v>1</v>
      </c>
      <c r="F2842" s="0" t="s">
        <v>32</v>
      </c>
      <c r="G2842" s="0" t="s">
        <v>33</v>
      </c>
      <c r="H2842" s="0" t="s">
        <v>33</v>
      </c>
      <c r="I2842" s="0" t="s">
        <v>34</v>
      </c>
      <c r="J2842" s="0" t="n">
        <v>1.27</v>
      </c>
      <c r="K2842" s="0" t="s">
        <v>35</v>
      </c>
      <c r="L2842" s="0" t="n">
        <f aca="false">INDEX(Summary!$F$2:$F$201,MATCH($B2842,Summary!$A$2:$A$201,0))</f>
        <v>20</v>
      </c>
      <c r="M2842" s="0" t="n">
        <f aca="false">INDEX(Summary!$I$2:$I$201,MATCH($B2842,Summary!$A$2:$A$201,0))</f>
        <v>4</v>
      </c>
      <c r="N2842" s="0" t="n">
        <f aca="false">INDEX(Summary!$J$2:$J$201,MATCH($B2842,Summary!$A$2:$A$201,0))</f>
        <v>1</v>
      </c>
      <c r="O2842" s="2" t="n">
        <f aca="false">INDEX(Summary!$K$2:$K$201,MATCH($B2842,Summary!$A$2:$A$201,0))</f>
        <v>10.51</v>
      </c>
      <c r="P2842" s="3" t="n">
        <f aca="false">INDEX(Summary!$L$2:$L$201,MATCH($B2842,Summary!$A$2:$A$201,0))</f>
        <v>4</v>
      </c>
      <c r="Q2842" s="3" t="n">
        <f aca="false">INDEX(Summary!$M$2:$M$201,MATCH($B2842,Summary!$A$2:$A$201,0))</f>
        <v>2</v>
      </c>
      <c r="R2842" s="2" t="n">
        <f aca="false">INDEX(Summary!$N$2:$N$201,MATCH($B2842,Summary!$A$2:$A$201,0))</f>
        <v>9.57</v>
      </c>
      <c r="S2842" s="3" t="n">
        <f aca="false">INDEX(Summary!$O$2:$O$201,MATCH($B2842,Summary!$A$2:$A$201,0))</f>
        <v>8</v>
      </c>
      <c r="T2842" s="3" t="n">
        <f aca="false">INDEX(Summary!$P$2:$P$201,MATCH($B2842,Summary!$A$2:$A$201,0))</f>
        <v>1</v>
      </c>
      <c r="U2842" s="2" t="n">
        <f aca="false">INDEX(Summary!$Q$2:$Q$201,MATCH($B2842,Summary!$A$2:$A$201,0))</f>
        <v>12.6</v>
      </c>
      <c r="V2842" s="2" t="n">
        <f aca="false">INDEX(Summary!$R$2:$R$201,MATCH($B2842,Summary!$A$2:$A$201,0))</f>
        <v>30.58</v>
      </c>
      <c r="W2842" s="0" t="str">
        <f aca="false">INDEX(Summary!$S$2:$S$201,MATCH($B2842,Summary!$A$2:$A$201,0))</f>
        <v>Gold</v>
      </c>
      <c r="X2842" s="2" t="n">
        <f aca="false">INDEX(Summary!$T$2:$T$201,MATCH($B2842,Summary!$A$2:$A$201,0))</f>
        <v>74.59</v>
      </c>
      <c r="Y2842" s="0" t="str">
        <f aca="false">INDEX('Reward Model'!$E$18:$E$37,MATCH($E2842,'Reward Model'!$A$18:$A$37,0))</f>
        <v>Medium</v>
      </c>
      <c r="Z2842" s="4" t="n">
        <f aca="false">ROUND(MIN(1,MAX('Reward Model'!$B$2,INDEX('Reward Model'!$C$12:$C$14,MATCH($K2842,'Reward Model'!$A$12:$A$14,0))/$J2842)),3)</f>
        <v>1</v>
      </c>
      <c r="AA2842" s="2" t="n">
        <f aca="false">IF($I2842="Correct",ROUND(INDEX('Reward Model'!$B$12:$B$14,MATCH($K2842,'Reward Model'!$A$12:$A$14,0))*Z2842,2),0)</f>
        <v>1</v>
      </c>
      <c r="AB2842" s="2" t="n">
        <f aca="false">IF($I2842="Correct",ROUND(INDEX('Reward Model'!$B$12:$B$14,MATCH($Y2842,'Reward Model'!$A$12:$A$14,0))*Z2842,2),0)</f>
        <v>2</v>
      </c>
    </row>
    <row r="2843" customFormat="false" ht="15" hidden="false" customHeight="false" outlineLevel="0" collapsed="false">
      <c r="A2843" s="0" t="s">
        <v>416</v>
      </c>
      <c r="B2843" s="0" t="s">
        <v>417</v>
      </c>
      <c r="C2843" s="0" t="s">
        <v>322</v>
      </c>
      <c r="D2843" s="0" t="s">
        <v>189</v>
      </c>
      <c r="E2843" s="0" t="n">
        <v>2</v>
      </c>
      <c r="F2843" s="0" t="s">
        <v>36</v>
      </c>
      <c r="G2843" s="0" t="s">
        <v>38</v>
      </c>
      <c r="H2843" s="0" t="s">
        <v>38</v>
      </c>
      <c r="I2843" s="0" t="s">
        <v>34</v>
      </c>
      <c r="J2843" s="0" t="n">
        <v>0.98</v>
      </c>
      <c r="K2843" s="0" t="s">
        <v>35</v>
      </c>
      <c r="L2843" s="0" t="n">
        <f aca="false">INDEX(Summary!$F$2:$F$201,MATCH($B2843,Summary!$A$2:$A$201,0))</f>
        <v>20</v>
      </c>
      <c r="M2843" s="0" t="n">
        <f aca="false">INDEX(Summary!$I$2:$I$201,MATCH($B2843,Summary!$A$2:$A$201,0))</f>
        <v>4</v>
      </c>
      <c r="N2843" s="0" t="n">
        <f aca="false">INDEX(Summary!$J$2:$J$201,MATCH($B2843,Summary!$A$2:$A$201,0))</f>
        <v>1</v>
      </c>
      <c r="O2843" s="2" t="n">
        <f aca="false">INDEX(Summary!$K$2:$K$201,MATCH($B2843,Summary!$A$2:$A$201,0))</f>
        <v>10.51</v>
      </c>
      <c r="P2843" s="3" t="n">
        <f aca="false">INDEX(Summary!$L$2:$L$201,MATCH($B2843,Summary!$A$2:$A$201,0))</f>
        <v>4</v>
      </c>
      <c r="Q2843" s="3" t="n">
        <f aca="false">INDEX(Summary!$M$2:$M$201,MATCH($B2843,Summary!$A$2:$A$201,0))</f>
        <v>2</v>
      </c>
      <c r="R2843" s="2" t="n">
        <f aca="false">INDEX(Summary!$N$2:$N$201,MATCH($B2843,Summary!$A$2:$A$201,0))</f>
        <v>9.57</v>
      </c>
      <c r="S2843" s="3" t="n">
        <f aca="false">INDEX(Summary!$O$2:$O$201,MATCH($B2843,Summary!$A$2:$A$201,0))</f>
        <v>8</v>
      </c>
      <c r="T2843" s="3" t="n">
        <f aca="false">INDEX(Summary!$P$2:$P$201,MATCH($B2843,Summary!$A$2:$A$201,0))</f>
        <v>1</v>
      </c>
      <c r="U2843" s="2" t="n">
        <f aca="false">INDEX(Summary!$Q$2:$Q$201,MATCH($B2843,Summary!$A$2:$A$201,0))</f>
        <v>12.6</v>
      </c>
      <c r="V2843" s="2" t="n">
        <f aca="false">INDEX(Summary!$R$2:$R$201,MATCH($B2843,Summary!$A$2:$A$201,0))</f>
        <v>30.58</v>
      </c>
      <c r="W2843" s="0" t="str">
        <f aca="false">INDEX(Summary!$S$2:$S$201,MATCH($B2843,Summary!$A$2:$A$201,0))</f>
        <v>Gold</v>
      </c>
      <c r="X2843" s="2" t="n">
        <f aca="false">INDEX(Summary!$T$2:$T$201,MATCH($B2843,Summary!$A$2:$A$201,0))</f>
        <v>74.59</v>
      </c>
      <c r="Y2843" s="0" t="str">
        <f aca="false">INDEX('Reward Model'!$E$18:$E$37,MATCH($E2843,'Reward Model'!$A$18:$A$37,0))</f>
        <v>Low</v>
      </c>
      <c r="Z2843" s="4" t="n">
        <f aca="false">ROUND(MIN(1,MAX('Reward Model'!$B$2,INDEX('Reward Model'!$C$12:$C$14,MATCH($K2843,'Reward Model'!$A$12:$A$14,0))/$J2843)),3)</f>
        <v>1</v>
      </c>
      <c r="AA2843" s="2" t="n">
        <f aca="false">IF($I2843="Correct",ROUND(INDEX('Reward Model'!$B$12:$B$14,MATCH($K2843,'Reward Model'!$A$12:$A$14,0))*Z2843,2),0)</f>
        <v>1</v>
      </c>
      <c r="AB2843" s="2" t="n">
        <f aca="false">IF($I2843="Correct",ROUND(INDEX('Reward Model'!$B$12:$B$14,MATCH($Y2843,'Reward Model'!$A$12:$A$14,0))*Z2843,2),0)</f>
        <v>1</v>
      </c>
    </row>
    <row r="2844" customFormat="false" ht="15" hidden="false" customHeight="false" outlineLevel="0" collapsed="false">
      <c r="A2844" s="0" t="s">
        <v>416</v>
      </c>
      <c r="B2844" s="0" t="s">
        <v>417</v>
      </c>
      <c r="C2844" s="0" t="s">
        <v>322</v>
      </c>
      <c r="D2844" s="0" t="s">
        <v>189</v>
      </c>
      <c r="E2844" s="0" t="n">
        <v>3</v>
      </c>
      <c r="F2844" s="0" t="s">
        <v>40</v>
      </c>
      <c r="G2844" s="0" t="s">
        <v>42</v>
      </c>
      <c r="H2844" s="0" t="s">
        <v>42</v>
      </c>
      <c r="I2844" s="0" t="s">
        <v>34</v>
      </c>
      <c r="J2844" s="0" t="n">
        <v>1.79</v>
      </c>
      <c r="K2844" s="0" t="s">
        <v>35</v>
      </c>
      <c r="L2844" s="0" t="n">
        <f aca="false">INDEX(Summary!$F$2:$F$201,MATCH($B2844,Summary!$A$2:$A$201,0))</f>
        <v>20</v>
      </c>
      <c r="M2844" s="0" t="n">
        <f aca="false">INDEX(Summary!$I$2:$I$201,MATCH($B2844,Summary!$A$2:$A$201,0))</f>
        <v>4</v>
      </c>
      <c r="N2844" s="0" t="n">
        <f aca="false">INDEX(Summary!$J$2:$J$201,MATCH($B2844,Summary!$A$2:$A$201,0))</f>
        <v>1</v>
      </c>
      <c r="O2844" s="2" t="n">
        <f aca="false">INDEX(Summary!$K$2:$K$201,MATCH($B2844,Summary!$A$2:$A$201,0))</f>
        <v>10.51</v>
      </c>
      <c r="P2844" s="3" t="n">
        <f aca="false">INDEX(Summary!$L$2:$L$201,MATCH($B2844,Summary!$A$2:$A$201,0))</f>
        <v>4</v>
      </c>
      <c r="Q2844" s="3" t="n">
        <f aca="false">INDEX(Summary!$M$2:$M$201,MATCH($B2844,Summary!$A$2:$A$201,0))</f>
        <v>2</v>
      </c>
      <c r="R2844" s="2" t="n">
        <f aca="false">INDEX(Summary!$N$2:$N$201,MATCH($B2844,Summary!$A$2:$A$201,0))</f>
        <v>9.57</v>
      </c>
      <c r="S2844" s="3" t="n">
        <f aca="false">INDEX(Summary!$O$2:$O$201,MATCH($B2844,Summary!$A$2:$A$201,0))</f>
        <v>8</v>
      </c>
      <c r="T2844" s="3" t="n">
        <f aca="false">INDEX(Summary!$P$2:$P$201,MATCH($B2844,Summary!$A$2:$A$201,0))</f>
        <v>1</v>
      </c>
      <c r="U2844" s="2" t="n">
        <f aca="false">INDEX(Summary!$Q$2:$Q$201,MATCH($B2844,Summary!$A$2:$A$201,0))</f>
        <v>12.6</v>
      </c>
      <c r="V2844" s="2" t="n">
        <f aca="false">INDEX(Summary!$R$2:$R$201,MATCH($B2844,Summary!$A$2:$A$201,0))</f>
        <v>30.58</v>
      </c>
      <c r="W2844" s="0" t="str">
        <f aca="false">INDEX(Summary!$S$2:$S$201,MATCH($B2844,Summary!$A$2:$A$201,0))</f>
        <v>Gold</v>
      </c>
      <c r="X2844" s="2" t="n">
        <f aca="false">INDEX(Summary!$T$2:$T$201,MATCH($B2844,Summary!$A$2:$A$201,0))</f>
        <v>74.59</v>
      </c>
      <c r="Y2844" s="0" t="str">
        <f aca="false">INDEX('Reward Model'!$E$18:$E$37,MATCH($E2844,'Reward Model'!$A$18:$A$37,0))</f>
        <v>Medium</v>
      </c>
      <c r="Z2844" s="4" t="n">
        <f aca="false">ROUND(MIN(1,MAX('Reward Model'!$B$2,INDEX('Reward Model'!$C$12:$C$14,MATCH($K2844,'Reward Model'!$A$12:$A$14,0))/$J2844)),3)</f>
        <v>0.838</v>
      </c>
      <c r="AA2844" s="2" t="n">
        <f aca="false">IF($I2844="Correct",ROUND(INDEX('Reward Model'!$B$12:$B$14,MATCH($K2844,'Reward Model'!$A$12:$A$14,0))*Z2844,2),0)</f>
        <v>0.84</v>
      </c>
      <c r="AB2844" s="2" t="n">
        <f aca="false">IF($I2844="Correct",ROUND(INDEX('Reward Model'!$B$12:$B$14,MATCH($Y2844,'Reward Model'!$A$12:$A$14,0))*Z2844,2),0)</f>
        <v>1.68</v>
      </c>
    </row>
    <row r="2845" customFormat="false" ht="15" hidden="false" customHeight="false" outlineLevel="0" collapsed="false">
      <c r="A2845" s="0" t="s">
        <v>416</v>
      </c>
      <c r="B2845" s="0" t="s">
        <v>417</v>
      </c>
      <c r="C2845" s="0" t="s">
        <v>322</v>
      </c>
      <c r="D2845" s="0" t="s">
        <v>189</v>
      </c>
      <c r="E2845" s="0" t="n">
        <v>4</v>
      </c>
      <c r="F2845" s="0" t="s">
        <v>43</v>
      </c>
      <c r="G2845" s="0" t="s">
        <v>45</v>
      </c>
      <c r="H2845" s="0" t="s">
        <v>45</v>
      </c>
      <c r="I2845" s="0" t="s">
        <v>34</v>
      </c>
      <c r="J2845" s="0" t="n">
        <v>1.55</v>
      </c>
      <c r="K2845" s="0" t="s">
        <v>35</v>
      </c>
      <c r="L2845" s="0" t="n">
        <f aca="false">INDEX(Summary!$F$2:$F$201,MATCH($B2845,Summary!$A$2:$A$201,0))</f>
        <v>20</v>
      </c>
      <c r="M2845" s="0" t="n">
        <f aca="false">INDEX(Summary!$I$2:$I$201,MATCH($B2845,Summary!$A$2:$A$201,0))</f>
        <v>4</v>
      </c>
      <c r="N2845" s="0" t="n">
        <f aca="false">INDEX(Summary!$J$2:$J$201,MATCH($B2845,Summary!$A$2:$A$201,0))</f>
        <v>1</v>
      </c>
      <c r="O2845" s="2" t="n">
        <f aca="false">INDEX(Summary!$K$2:$K$201,MATCH($B2845,Summary!$A$2:$A$201,0))</f>
        <v>10.51</v>
      </c>
      <c r="P2845" s="3" t="n">
        <f aca="false">INDEX(Summary!$L$2:$L$201,MATCH($B2845,Summary!$A$2:$A$201,0))</f>
        <v>4</v>
      </c>
      <c r="Q2845" s="3" t="n">
        <f aca="false">INDEX(Summary!$M$2:$M$201,MATCH($B2845,Summary!$A$2:$A$201,0))</f>
        <v>2</v>
      </c>
      <c r="R2845" s="2" t="n">
        <f aca="false">INDEX(Summary!$N$2:$N$201,MATCH($B2845,Summary!$A$2:$A$201,0))</f>
        <v>9.57</v>
      </c>
      <c r="S2845" s="3" t="n">
        <f aca="false">INDEX(Summary!$O$2:$O$201,MATCH($B2845,Summary!$A$2:$A$201,0))</f>
        <v>8</v>
      </c>
      <c r="T2845" s="3" t="n">
        <f aca="false">INDEX(Summary!$P$2:$P$201,MATCH($B2845,Summary!$A$2:$A$201,0))</f>
        <v>1</v>
      </c>
      <c r="U2845" s="2" t="n">
        <f aca="false">INDEX(Summary!$Q$2:$Q$201,MATCH($B2845,Summary!$A$2:$A$201,0))</f>
        <v>12.6</v>
      </c>
      <c r="V2845" s="2" t="n">
        <f aca="false">INDEX(Summary!$R$2:$R$201,MATCH($B2845,Summary!$A$2:$A$201,0))</f>
        <v>30.58</v>
      </c>
      <c r="W2845" s="0" t="str">
        <f aca="false">INDEX(Summary!$S$2:$S$201,MATCH($B2845,Summary!$A$2:$A$201,0))</f>
        <v>Gold</v>
      </c>
      <c r="X2845" s="2" t="n">
        <f aca="false">INDEX(Summary!$T$2:$T$201,MATCH($B2845,Summary!$A$2:$A$201,0))</f>
        <v>74.59</v>
      </c>
      <c r="Y2845" s="0" t="str">
        <f aca="false">INDEX('Reward Model'!$E$18:$E$37,MATCH($E2845,'Reward Model'!$A$18:$A$37,0))</f>
        <v>Low</v>
      </c>
      <c r="Z2845" s="4" t="n">
        <f aca="false">ROUND(MIN(1,MAX('Reward Model'!$B$2,INDEX('Reward Model'!$C$12:$C$14,MATCH($K2845,'Reward Model'!$A$12:$A$14,0))/$J2845)),3)</f>
        <v>0.968</v>
      </c>
      <c r="AA2845" s="2" t="n">
        <f aca="false">IF($I2845="Correct",ROUND(INDEX('Reward Model'!$B$12:$B$14,MATCH($K2845,'Reward Model'!$A$12:$A$14,0))*Z2845,2),0)</f>
        <v>0.97</v>
      </c>
      <c r="AB2845" s="2" t="n">
        <f aca="false">IF($I2845="Correct",ROUND(INDEX('Reward Model'!$B$12:$B$14,MATCH($Y2845,'Reward Model'!$A$12:$A$14,0))*Z2845,2),0)</f>
        <v>0.97</v>
      </c>
    </row>
    <row r="2846" customFormat="false" ht="15" hidden="false" customHeight="false" outlineLevel="0" collapsed="false">
      <c r="A2846" s="0" t="s">
        <v>416</v>
      </c>
      <c r="B2846" s="0" t="s">
        <v>417</v>
      </c>
      <c r="C2846" s="0" t="s">
        <v>322</v>
      </c>
      <c r="D2846" s="0" t="s">
        <v>189</v>
      </c>
      <c r="E2846" s="0" t="n">
        <v>5</v>
      </c>
      <c r="F2846" s="0" t="s">
        <v>46</v>
      </c>
      <c r="G2846" s="0" t="s">
        <v>47</v>
      </c>
      <c r="H2846" s="0" t="s">
        <v>47</v>
      </c>
      <c r="I2846" s="0" t="s">
        <v>34</v>
      </c>
      <c r="J2846" s="0" t="n">
        <v>1.23</v>
      </c>
      <c r="K2846" s="0" t="s">
        <v>35</v>
      </c>
      <c r="L2846" s="0" t="n">
        <f aca="false">INDEX(Summary!$F$2:$F$201,MATCH($B2846,Summary!$A$2:$A$201,0))</f>
        <v>20</v>
      </c>
      <c r="M2846" s="0" t="n">
        <f aca="false">INDEX(Summary!$I$2:$I$201,MATCH($B2846,Summary!$A$2:$A$201,0))</f>
        <v>4</v>
      </c>
      <c r="N2846" s="0" t="n">
        <f aca="false">INDEX(Summary!$J$2:$J$201,MATCH($B2846,Summary!$A$2:$A$201,0))</f>
        <v>1</v>
      </c>
      <c r="O2846" s="2" t="n">
        <f aca="false">INDEX(Summary!$K$2:$K$201,MATCH($B2846,Summary!$A$2:$A$201,0))</f>
        <v>10.51</v>
      </c>
      <c r="P2846" s="3" t="n">
        <f aca="false">INDEX(Summary!$L$2:$L$201,MATCH($B2846,Summary!$A$2:$A$201,0))</f>
        <v>4</v>
      </c>
      <c r="Q2846" s="3" t="n">
        <f aca="false">INDEX(Summary!$M$2:$M$201,MATCH($B2846,Summary!$A$2:$A$201,0))</f>
        <v>2</v>
      </c>
      <c r="R2846" s="2" t="n">
        <f aca="false">INDEX(Summary!$N$2:$N$201,MATCH($B2846,Summary!$A$2:$A$201,0))</f>
        <v>9.57</v>
      </c>
      <c r="S2846" s="3" t="n">
        <f aca="false">INDEX(Summary!$O$2:$O$201,MATCH($B2846,Summary!$A$2:$A$201,0))</f>
        <v>8</v>
      </c>
      <c r="T2846" s="3" t="n">
        <f aca="false">INDEX(Summary!$P$2:$P$201,MATCH($B2846,Summary!$A$2:$A$201,0))</f>
        <v>1</v>
      </c>
      <c r="U2846" s="2" t="n">
        <f aca="false">INDEX(Summary!$Q$2:$Q$201,MATCH($B2846,Summary!$A$2:$A$201,0))</f>
        <v>12.6</v>
      </c>
      <c r="V2846" s="2" t="n">
        <f aca="false">INDEX(Summary!$R$2:$R$201,MATCH($B2846,Summary!$A$2:$A$201,0))</f>
        <v>30.58</v>
      </c>
      <c r="W2846" s="0" t="str">
        <f aca="false">INDEX(Summary!$S$2:$S$201,MATCH($B2846,Summary!$A$2:$A$201,0))</f>
        <v>Gold</v>
      </c>
      <c r="X2846" s="2" t="n">
        <f aca="false">INDEX(Summary!$T$2:$T$201,MATCH($B2846,Summary!$A$2:$A$201,0))</f>
        <v>74.59</v>
      </c>
      <c r="Y2846" s="0" t="str">
        <f aca="false">INDEX('Reward Model'!$E$18:$E$37,MATCH($E2846,'Reward Model'!$A$18:$A$37,0))</f>
        <v>Low</v>
      </c>
      <c r="Z2846" s="4" t="n">
        <f aca="false">ROUND(MIN(1,MAX('Reward Model'!$B$2,INDEX('Reward Model'!$C$12:$C$14,MATCH($K2846,'Reward Model'!$A$12:$A$14,0))/$J2846)),3)</f>
        <v>1</v>
      </c>
      <c r="AA2846" s="2" t="n">
        <f aca="false">IF($I2846="Correct",ROUND(INDEX('Reward Model'!$B$12:$B$14,MATCH($K2846,'Reward Model'!$A$12:$A$14,0))*Z2846,2),0)</f>
        <v>1</v>
      </c>
      <c r="AB2846" s="2" t="n">
        <f aca="false">IF($I2846="Correct",ROUND(INDEX('Reward Model'!$B$12:$B$14,MATCH($Y2846,'Reward Model'!$A$12:$A$14,0))*Z2846,2),0)</f>
        <v>1</v>
      </c>
    </row>
    <row r="2847" customFormat="false" ht="15" hidden="false" customHeight="false" outlineLevel="0" collapsed="false">
      <c r="A2847" s="0" t="s">
        <v>416</v>
      </c>
      <c r="B2847" s="0" t="s">
        <v>417</v>
      </c>
      <c r="C2847" s="0" t="s">
        <v>322</v>
      </c>
      <c r="D2847" s="0" t="s">
        <v>189</v>
      </c>
      <c r="E2847" s="0" t="n">
        <v>6</v>
      </c>
      <c r="F2847" s="0" t="s">
        <v>48</v>
      </c>
      <c r="G2847" s="0" t="s">
        <v>143</v>
      </c>
      <c r="H2847" s="0" t="s">
        <v>49</v>
      </c>
      <c r="I2847" s="0" t="s">
        <v>39</v>
      </c>
      <c r="J2847" s="0" t="n">
        <v>1.76</v>
      </c>
      <c r="K2847" s="0" t="s">
        <v>35</v>
      </c>
      <c r="L2847" s="0" t="n">
        <f aca="false">INDEX(Summary!$F$2:$F$201,MATCH($B2847,Summary!$A$2:$A$201,0))</f>
        <v>20</v>
      </c>
      <c r="M2847" s="0" t="n">
        <f aca="false">INDEX(Summary!$I$2:$I$201,MATCH($B2847,Summary!$A$2:$A$201,0))</f>
        <v>4</v>
      </c>
      <c r="N2847" s="0" t="n">
        <f aca="false">INDEX(Summary!$J$2:$J$201,MATCH($B2847,Summary!$A$2:$A$201,0))</f>
        <v>1</v>
      </c>
      <c r="O2847" s="2" t="n">
        <f aca="false">INDEX(Summary!$K$2:$K$201,MATCH($B2847,Summary!$A$2:$A$201,0))</f>
        <v>10.51</v>
      </c>
      <c r="P2847" s="3" t="n">
        <f aca="false">INDEX(Summary!$L$2:$L$201,MATCH($B2847,Summary!$A$2:$A$201,0))</f>
        <v>4</v>
      </c>
      <c r="Q2847" s="3" t="n">
        <f aca="false">INDEX(Summary!$M$2:$M$201,MATCH($B2847,Summary!$A$2:$A$201,0))</f>
        <v>2</v>
      </c>
      <c r="R2847" s="2" t="n">
        <f aca="false">INDEX(Summary!$N$2:$N$201,MATCH($B2847,Summary!$A$2:$A$201,0))</f>
        <v>9.57</v>
      </c>
      <c r="S2847" s="3" t="n">
        <f aca="false">INDEX(Summary!$O$2:$O$201,MATCH($B2847,Summary!$A$2:$A$201,0))</f>
        <v>8</v>
      </c>
      <c r="T2847" s="3" t="n">
        <f aca="false">INDEX(Summary!$P$2:$P$201,MATCH($B2847,Summary!$A$2:$A$201,0))</f>
        <v>1</v>
      </c>
      <c r="U2847" s="2" t="n">
        <f aca="false">INDEX(Summary!$Q$2:$Q$201,MATCH($B2847,Summary!$A$2:$A$201,0))</f>
        <v>12.6</v>
      </c>
      <c r="V2847" s="2" t="n">
        <f aca="false">INDEX(Summary!$R$2:$R$201,MATCH($B2847,Summary!$A$2:$A$201,0))</f>
        <v>30.58</v>
      </c>
      <c r="W2847" s="0" t="str">
        <f aca="false">INDEX(Summary!$S$2:$S$201,MATCH($B2847,Summary!$A$2:$A$201,0))</f>
        <v>Gold</v>
      </c>
      <c r="X2847" s="2" t="n">
        <f aca="false">INDEX(Summary!$T$2:$T$201,MATCH($B2847,Summary!$A$2:$A$201,0))</f>
        <v>74.59</v>
      </c>
      <c r="Y2847" s="0" t="str">
        <f aca="false">INDEX('Reward Model'!$E$18:$E$37,MATCH($E2847,'Reward Model'!$A$18:$A$37,0))</f>
        <v>Medium</v>
      </c>
      <c r="Z2847" s="4" t="n">
        <f aca="false">ROUND(MIN(1,MAX('Reward Model'!$B$2,INDEX('Reward Model'!$C$12:$C$14,MATCH($K2847,'Reward Model'!$A$12:$A$14,0))/$J2847)),3)</f>
        <v>0.852</v>
      </c>
      <c r="AA2847" s="2" t="n">
        <f aca="false">IF($I2847="Correct",ROUND(INDEX('Reward Model'!$B$12:$B$14,MATCH($K2847,'Reward Model'!$A$12:$A$14,0))*Z2847,2),0)</f>
        <v>0</v>
      </c>
      <c r="AB2847" s="2" t="n">
        <f aca="false">IF($I2847="Correct",ROUND(INDEX('Reward Model'!$B$12:$B$14,MATCH($Y2847,'Reward Model'!$A$12:$A$14,0))*Z2847,2),0)</f>
        <v>0</v>
      </c>
    </row>
    <row r="2848" customFormat="false" ht="15" hidden="false" customHeight="false" outlineLevel="0" collapsed="false">
      <c r="A2848" s="0" t="s">
        <v>416</v>
      </c>
      <c r="B2848" s="0" t="s">
        <v>417</v>
      </c>
      <c r="C2848" s="0" t="s">
        <v>322</v>
      </c>
      <c r="D2848" s="0" t="s">
        <v>189</v>
      </c>
      <c r="E2848" s="0" t="n">
        <v>7</v>
      </c>
      <c r="F2848" s="0" t="s">
        <v>50</v>
      </c>
      <c r="G2848" s="0" t="s">
        <v>51</v>
      </c>
      <c r="H2848" s="0" t="s">
        <v>51</v>
      </c>
      <c r="I2848" s="0" t="s">
        <v>34</v>
      </c>
      <c r="J2848" s="0" t="n">
        <v>1.75</v>
      </c>
      <c r="K2848" s="0" t="s">
        <v>35</v>
      </c>
      <c r="L2848" s="0" t="n">
        <f aca="false">INDEX(Summary!$F$2:$F$201,MATCH($B2848,Summary!$A$2:$A$201,0))</f>
        <v>20</v>
      </c>
      <c r="M2848" s="0" t="n">
        <f aca="false">INDEX(Summary!$I$2:$I$201,MATCH($B2848,Summary!$A$2:$A$201,0))</f>
        <v>4</v>
      </c>
      <c r="N2848" s="0" t="n">
        <f aca="false">INDEX(Summary!$J$2:$J$201,MATCH($B2848,Summary!$A$2:$A$201,0))</f>
        <v>1</v>
      </c>
      <c r="O2848" s="2" t="n">
        <f aca="false">INDEX(Summary!$K$2:$K$201,MATCH($B2848,Summary!$A$2:$A$201,0))</f>
        <v>10.51</v>
      </c>
      <c r="P2848" s="3" t="n">
        <f aca="false">INDEX(Summary!$L$2:$L$201,MATCH($B2848,Summary!$A$2:$A$201,0))</f>
        <v>4</v>
      </c>
      <c r="Q2848" s="3" t="n">
        <f aca="false">INDEX(Summary!$M$2:$M$201,MATCH($B2848,Summary!$A$2:$A$201,0))</f>
        <v>2</v>
      </c>
      <c r="R2848" s="2" t="n">
        <f aca="false">INDEX(Summary!$N$2:$N$201,MATCH($B2848,Summary!$A$2:$A$201,0))</f>
        <v>9.57</v>
      </c>
      <c r="S2848" s="3" t="n">
        <f aca="false">INDEX(Summary!$O$2:$O$201,MATCH($B2848,Summary!$A$2:$A$201,0))</f>
        <v>8</v>
      </c>
      <c r="T2848" s="3" t="n">
        <f aca="false">INDEX(Summary!$P$2:$P$201,MATCH($B2848,Summary!$A$2:$A$201,0))</f>
        <v>1</v>
      </c>
      <c r="U2848" s="2" t="n">
        <f aca="false">INDEX(Summary!$Q$2:$Q$201,MATCH($B2848,Summary!$A$2:$A$201,0))</f>
        <v>12.6</v>
      </c>
      <c r="V2848" s="2" t="n">
        <f aca="false">INDEX(Summary!$R$2:$R$201,MATCH($B2848,Summary!$A$2:$A$201,0))</f>
        <v>30.58</v>
      </c>
      <c r="W2848" s="0" t="str">
        <f aca="false">INDEX(Summary!$S$2:$S$201,MATCH($B2848,Summary!$A$2:$A$201,0))</f>
        <v>Gold</v>
      </c>
      <c r="X2848" s="2" t="n">
        <f aca="false">INDEX(Summary!$T$2:$T$201,MATCH($B2848,Summary!$A$2:$A$201,0))</f>
        <v>74.59</v>
      </c>
      <c r="Y2848" s="0" t="str">
        <f aca="false">INDEX('Reward Model'!$E$18:$E$37,MATCH($E2848,'Reward Model'!$A$18:$A$37,0))</f>
        <v>Low</v>
      </c>
      <c r="Z2848" s="4" t="n">
        <f aca="false">ROUND(MIN(1,MAX('Reward Model'!$B$2,INDEX('Reward Model'!$C$12:$C$14,MATCH($K2848,'Reward Model'!$A$12:$A$14,0))/$J2848)),3)</f>
        <v>0.857</v>
      </c>
      <c r="AA2848" s="2" t="n">
        <f aca="false">IF($I2848="Correct",ROUND(INDEX('Reward Model'!$B$12:$B$14,MATCH($K2848,'Reward Model'!$A$12:$A$14,0))*Z2848,2),0)</f>
        <v>0.86</v>
      </c>
      <c r="AB2848" s="2" t="n">
        <f aca="false">IF($I2848="Correct",ROUND(INDEX('Reward Model'!$B$12:$B$14,MATCH($Y2848,'Reward Model'!$A$12:$A$14,0))*Z2848,2),0)</f>
        <v>0.86</v>
      </c>
    </row>
    <row r="2849" customFormat="false" ht="15" hidden="false" customHeight="false" outlineLevel="0" collapsed="false">
      <c r="A2849" s="0" t="s">
        <v>416</v>
      </c>
      <c r="B2849" s="0" t="s">
        <v>417</v>
      </c>
      <c r="C2849" s="0" t="s">
        <v>322</v>
      </c>
      <c r="D2849" s="0" t="s">
        <v>189</v>
      </c>
      <c r="E2849" s="0" t="n">
        <v>8</v>
      </c>
      <c r="F2849" s="0" t="s">
        <v>52</v>
      </c>
      <c r="G2849" s="0" t="s">
        <v>54</v>
      </c>
      <c r="H2849" s="0" t="s">
        <v>54</v>
      </c>
      <c r="I2849" s="0" t="s">
        <v>34</v>
      </c>
      <c r="J2849" s="0" t="n">
        <v>1.33</v>
      </c>
      <c r="K2849" s="0" t="s">
        <v>35</v>
      </c>
      <c r="L2849" s="0" t="n">
        <f aca="false">INDEX(Summary!$F$2:$F$201,MATCH($B2849,Summary!$A$2:$A$201,0))</f>
        <v>20</v>
      </c>
      <c r="M2849" s="0" t="n">
        <f aca="false">INDEX(Summary!$I$2:$I$201,MATCH($B2849,Summary!$A$2:$A$201,0))</f>
        <v>4</v>
      </c>
      <c r="N2849" s="0" t="n">
        <f aca="false">INDEX(Summary!$J$2:$J$201,MATCH($B2849,Summary!$A$2:$A$201,0))</f>
        <v>1</v>
      </c>
      <c r="O2849" s="2" t="n">
        <f aca="false">INDEX(Summary!$K$2:$K$201,MATCH($B2849,Summary!$A$2:$A$201,0))</f>
        <v>10.51</v>
      </c>
      <c r="P2849" s="3" t="n">
        <f aca="false">INDEX(Summary!$L$2:$L$201,MATCH($B2849,Summary!$A$2:$A$201,0))</f>
        <v>4</v>
      </c>
      <c r="Q2849" s="3" t="n">
        <f aca="false">INDEX(Summary!$M$2:$M$201,MATCH($B2849,Summary!$A$2:$A$201,0))</f>
        <v>2</v>
      </c>
      <c r="R2849" s="2" t="n">
        <f aca="false">INDEX(Summary!$N$2:$N$201,MATCH($B2849,Summary!$A$2:$A$201,0))</f>
        <v>9.57</v>
      </c>
      <c r="S2849" s="3" t="n">
        <f aca="false">INDEX(Summary!$O$2:$O$201,MATCH($B2849,Summary!$A$2:$A$201,0))</f>
        <v>8</v>
      </c>
      <c r="T2849" s="3" t="n">
        <f aca="false">INDEX(Summary!$P$2:$P$201,MATCH($B2849,Summary!$A$2:$A$201,0))</f>
        <v>1</v>
      </c>
      <c r="U2849" s="2" t="n">
        <f aca="false">INDEX(Summary!$Q$2:$Q$201,MATCH($B2849,Summary!$A$2:$A$201,0))</f>
        <v>12.6</v>
      </c>
      <c r="V2849" s="2" t="n">
        <f aca="false">INDEX(Summary!$R$2:$R$201,MATCH($B2849,Summary!$A$2:$A$201,0))</f>
        <v>30.58</v>
      </c>
      <c r="W2849" s="0" t="str">
        <f aca="false">INDEX(Summary!$S$2:$S$201,MATCH($B2849,Summary!$A$2:$A$201,0))</f>
        <v>Gold</v>
      </c>
      <c r="X2849" s="2" t="n">
        <f aca="false">INDEX(Summary!$T$2:$T$201,MATCH($B2849,Summary!$A$2:$A$201,0))</f>
        <v>74.59</v>
      </c>
      <c r="Y2849" s="0" t="str">
        <f aca="false">INDEX('Reward Model'!$E$18:$E$37,MATCH($E2849,'Reward Model'!$A$18:$A$37,0))</f>
        <v>Medium</v>
      </c>
      <c r="Z2849" s="4" t="n">
        <f aca="false">ROUND(MIN(1,MAX('Reward Model'!$B$2,INDEX('Reward Model'!$C$12:$C$14,MATCH($K2849,'Reward Model'!$A$12:$A$14,0))/$J2849)),3)</f>
        <v>1</v>
      </c>
      <c r="AA2849" s="2" t="n">
        <f aca="false">IF($I2849="Correct",ROUND(INDEX('Reward Model'!$B$12:$B$14,MATCH($K2849,'Reward Model'!$A$12:$A$14,0))*Z2849,2),0)</f>
        <v>1</v>
      </c>
      <c r="AB2849" s="2" t="n">
        <f aca="false">IF($I2849="Correct",ROUND(INDEX('Reward Model'!$B$12:$B$14,MATCH($Y2849,'Reward Model'!$A$12:$A$14,0))*Z2849,2),0)</f>
        <v>2</v>
      </c>
    </row>
    <row r="2850" customFormat="false" ht="15" hidden="false" customHeight="false" outlineLevel="0" collapsed="false">
      <c r="A2850" s="0" t="s">
        <v>416</v>
      </c>
      <c r="B2850" s="0" t="s">
        <v>417</v>
      </c>
      <c r="C2850" s="0" t="s">
        <v>322</v>
      </c>
      <c r="D2850" s="0" t="s">
        <v>189</v>
      </c>
      <c r="E2850" s="0" t="n">
        <v>9</v>
      </c>
      <c r="F2850" s="0" t="s">
        <v>55</v>
      </c>
      <c r="G2850" s="0" t="s">
        <v>57</v>
      </c>
      <c r="H2850" s="0" t="s">
        <v>57</v>
      </c>
      <c r="I2850" s="0" t="s">
        <v>34</v>
      </c>
      <c r="J2850" s="0" t="n">
        <v>0.94</v>
      </c>
      <c r="K2850" s="0" t="s">
        <v>35</v>
      </c>
      <c r="L2850" s="0" t="n">
        <f aca="false">INDEX(Summary!$F$2:$F$201,MATCH($B2850,Summary!$A$2:$A$201,0))</f>
        <v>20</v>
      </c>
      <c r="M2850" s="0" t="n">
        <f aca="false">INDEX(Summary!$I$2:$I$201,MATCH($B2850,Summary!$A$2:$A$201,0))</f>
        <v>4</v>
      </c>
      <c r="N2850" s="0" t="n">
        <f aca="false">INDEX(Summary!$J$2:$J$201,MATCH($B2850,Summary!$A$2:$A$201,0))</f>
        <v>1</v>
      </c>
      <c r="O2850" s="2" t="n">
        <f aca="false">INDEX(Summary!$K$2:$K$201,MATCH($B2850,Summary!$A$2:$A$201,0))</f>
        <v>10.51</v>
      </c>
      <c r="P2850" s="3" t="n">
        <f aca="false">INDEX(Summary!$L$2:$L$201,MATCH($B2850,Summary!$A$2:$A$201,0))</f>
        <v>4</v>
      </c>
      <c r="Q2850" s="3" t="n">
        <f aca="false">INDEX(Summary!$M$2:$M$201,MATCH($B2850,Summary!$A$2:$A$201,0))</f>
        <v>2</v>
      </c>
      <c r="R2850" s="2" t="n">
        <f aca="false">INDEX(Summary!$N$2:$N$201,MATCH($B2850,Summary!$A$2:$A$201,0))</f>
        <v>9.57</v>
      </c>
      <c r="S2850" s="3" t="n">
        <f aca="false">INDEX(Summary!$O$2:$O$201,MATCH($B2850,Summary!$A$2:$A$201,0))</f>
        <v>8</v>
      </c>
      <c r="T2850" s="3" t="n">
        <f aca="false">INDEX(Summary!$P$2:$P$201,MATCH($B2850,Summary!$A$2:$A$201,0))</f>
        <v>1</v>
      </c>
      <c r="U2850" s="2" t="n">
        <f aca="false">INDEX(Summary!$Q$2:$Q$201,MATCH($B2850,Summary!$A$2:$A$201,0))</f>
        <v>12.6</v>
      </c>
      <c r="V2850" s="2" t="n">
        <f aca="false">INDEX(Summary!$R$2:$R$201,MATCH($B2850,Summary!$A$2:$A$201,0))</f>
        <v>30.58</v>
      </c>
      <c r="W2850" s="0" t="str">
        <f aca="false">INDEX(Summary!$S$2:$S$201,MATCH($B2850,Summary!$A$2:$A$201,0))</f>
        <v>Gold</v>
      </c>
      <c r="X2850" s="2" t="n">
        <f aca="false">INDEX(Summary!$T$2:$T$201,MATCH($B2850,Summary!$A$2:$A$201,0))</f>
        <v>74.59</v>
      </c>
      <c r="Y2850" s="0" t="str">
        <f aca="false">INDEX('Reward Model'!$E$18:$E$37,MATCH($E2850,'Reward Model'!$A$18:$A$37,0))</f>
        <v>Medium</v>
      </c>
      <c r="Z2850" s="4" t="n">
        <f aca="false">ROUND(MIN(1,MAX('Reward Model'!$B$2,INDEX('Reward Model'!$C$12:$C$14,MATCH($K2850,'Reward Model'!$A$12:$A$14,0))/$J2850)),3)</f>
        <v>1</v>
      </c>
      <c r="AA2850" s="2" t="n">
        <f aca="false">IF($I2850="Correct",ROUND(INDEX('Reward Model'!$B$12:$B$14,MATCH($K2850,'Reward Model'!$A$12:$A$14,0))*Z2850,2),0)</f>
        <v>1</v>
      </c>
      <c r="AB2850" s="2" t="n">
        <f aca="false">IF($I2850="Correct",ROUND(INDEX('Reward Model'!$B$12:$B$14,MATCH($Y2850,'Reward Model'!$A$12:$A$14,0))*Z2850,2),0)</f>
        <v>2</v>
      </c>
    </row>
    <row r="2851" customFormat="false" ht="15" hidden="false" customHeight="false" outlineLevel="0" collapsed="false">
      <c r="A2851" s="0" t="s">
        <v>416</v>
      </c>
      <c r="B2851" s="0" t="s">
        <v>417</v>
      </c>
      <c r="C2851" s="0" t="s">
        <v>322</v>
      </c>
      <c r="D2851" s="0" t="s">
        <v>189</v>
      </c>
      <c r="E2851" s="0" t="n">
        <v>10</v>
      </c>
      <c r="F2851" s="0" t="s">
        <v>58</v>
      </c>
      <c r="G2851" s="0" t="s">
        <v>138</v>
      </c>
      <c r="H2851" s="0" t="s">
        <v>59</v>
      </c>
      <c r="I2851" s="0" t="s">
        <v>39</v>
      </c>
      <c r="J2851" s="0" t="n">
        <v>2.11</v>
      </c>
      <c r="K2851" s="0" t="s">
        <v>60</v>
      </c>
      <c r="L2851" s="0" t="n">
        <f aca="false">INDEX(Summary!$F$2:$F$201,MATCH($B2851,Summary!$A$2:$A$201,0))</f>
        <v>20</v>
      </c>
      <c r="M2851" s="0" t="n">
        <f aca="false">INDEX(Summary!$I$2:$I$201,MATCH($B2851,Summary!$A$2:$A$201,0))</f>
        <v>4</v>
      </c>
      <c r="N2851" s="0" t="n">
        <f aca="false">INDEX(Summary!$J$2:$J$201,MATCH($B2851,Summary!$A$2:$A$201,0))</f>
        <v>1</v>
      </c>
      <c r="O2851" s="2" t="n">
        <f aca="false">INDEX(Summary!$K$2:$K$201,MATCH($B2851,Summary!$A$2:$A$201,0))</f>
        <v>10.51</v>
      </c>
      <c r="P2851" s="3" t="n">
        <f aca="false">INDEX(Summary!$L$2:$L$201,MATCH($B2851,Summary!$A$2:$A$201,0))</f>
        <v>4</v>
      </c>
      <c r="Q2851" s="3" t="n">
        <f aca="false">INDEX(Summary!$M$2:$M$201,MATCH($B2851,Summary!$A$2:$A$201,0))</f>
        <v>2</v>
      </c>
      <c r="R2851" s="2" t="n">
        <f aca="false">INDEX(Summary!$N$2:$N$201,MATCH($B2851,Summary!$A$2:$A$201,0))</f>
        <v>9.57</v>
      </c>
      <c r="S2851" s="3" t="n">
        <f aca="false">INDEX(Summary!$O$2:$O$201,MATCH($B2851,Summary!$A$2:$A$201,0))</f>
        <v>8</v>
      </c>
      <c r="T2851" s="3" t="n">
        <f aca="false">INDEX(Summary!$P$2:$P$201,MATCH($B2851,Summary!$A$2:$A$201,0))</f>
        <v>1</v>
      </c>
      <c r="U2851" s="2" t="n">
        <f aca="false">INDEX(Summary!$Q$2:$Q$201,MATCH($B2851,Summary!$A$2:$A$201,0))</f>
        <v>12.6</v>
      </c>
      <c r="V2851" s="2" t="n">
        <f aca="false">INDEX(Summary!$R$2:$R$201,MATCH($B2851,Summary!$A$2:$A$201,0))</f>
        <v>30.58</v>
      </c>
      <c r="W2851" s="0" t="str">
        <f aca="false">INDEX(Summary!$S$2:$S$201,MATCH($B2851,Summary!$A$2:$A$201,0))</f>
        <v>Gold</v>
      </c>
      <c r="X2851" s="2" t="n">
        <f aca="false">INDEX(Summary!$T$2:$T$201,MATCH($B2851,Summary!$A$2:$A$201,0))</f>
        <v>74.59</v>
      </c>
      <c r="Y2851" s="0" t="str">
        <f aca="false">INDEX('Reward Model'!$E$18:$E$37,MATCH($E2851,'Reward Model'!$A$18:$A$37,0))</f>
        <v>Medium</v>
      </c>
      <c r="Z2851" s="4" t="n">
        <f aca="false">ROUND(MIN(1,MAX('Reward Model'!$B$2,INDEX('Reward Model'!$C$12:$C$14,MATCH($K2851,'Reward Model'!$A$12:$A$14,0))/$J2851)),3)</f>
        <v>0.853</v>
      </c>
      <c r="AA2851" s="2" t="n">
        <f aca="false">IF($I2851="Correct",ROUND(INDEX('Reward Model'!$B$12:$B$14,MATCH($K2851,'Reward Model'!$A$12:$A$14,0))*Z2851,2),0)</f>
        <v>0</v>
      </c>
      <c r="AB2851" s="2" t="n">
        <f aca="false">IF($I2851="Correct",ROUND(INDEX('Reward Model'!$B$12:$B$14,MATCH($Y2851,'Reward Model'!$A$12:$A$14,0))*Z2851,2),0)</f>
        <v>0</v>
      </c>
    </row>
    <row r="2852" customFormat="false" ht="15" hidden="false" customHeight="false" outlineLevel="0" collapsed="false">
      <c r="A2852" s="0" t="s">
        <v>416</v>
      </c>
      <c r="B2852" s="0" t="s">
        <v>417</v>
      </c>
      <c r="C2852" s="0" t="s">
        <v>322</v>
      </c>
      <c r="D2852" s="0" t="s">
        <v>189</v>
      </c>
      <c r="E2852" s="0" t="n">
        <v>11</v>
      </c>
      <c r="F2852" s="0" t="s">
        <v>61</v>
      </c>
      <c r="G2852" s="0" t="s">
        <v>63</v>
      </c>
      <c r="H2852" s="0" t="s">
        <v>63</v>
      </c>
      <c r="I2852" s="0" t="s">
        <v>34</v>
      </c>
      <c r="J2852" s="0" t="n">
        <v>1.72</v>
      </c>
      <c r="K2852" s="0" t="s">
        <v>60</v>
      </c>
      <c r="L2852" s="0" t="n">
        <f aca="false">INDEX(Summary!$F$2:$F$201,MATCH($B2852,Summary!$A$2:$A$201,0))</f>
        <v>20</v>
      </c>
      <c r="M2852" s="0" t="n">
        <f aca="false">INDEX(Summary!$I$2:$I$201,MATCH($B2852,Summary!$A$2:$A$201,0))</f>
        <v>4</v>
      </c>
      <c r="N2852" s="0" t="n">
        <f aca="false">INDEX(Summary!$J$2:$J$201,MATCH($B2852,Summary!$A$2:$A$201,0))</f>
        <v>1</v>
      </c>
      <c r="O2852" s="2" t="n">
        <f aca="false">INDEX(Summary!$K$2:$K$201,MATCH($B2852,Summary!$A$2:$A$201,0))</f>
        <v>10.51</v>
      </c>
      <c r="P2852" s="3" t="n">
        <f aca="false">INDEX(Summary!$L$2:$L$201,MATCH($B2852,Summary!$A$2:$A$201,0))</f>
        <v>4</v>
      </c>
      <c r="Q2852" s="3" t="n">
        <f aca="false">INDEX(Summary!$M$2:$M$201,MATCH($B2852,Summary!$A$2:$A$201,0))</f>
        <v>2</v>
      </c>
      <c r="R2852" s="2" t="n">
        <f aca="false">INDEX(Summary!$N$2:$N$201,MATCH($B2852,Summary!$A$2:$A$201,0))</f>
        <v>9.57</v>
      </c>
      <c r="S2852" s="3" t="n">
        <f aca="false">INDEX(Summary!$O$2:$O$201,MATCH($B2852,Summary!$A$2:$A$201,0))</f>
        <v>8</v>
      </c>
      <c r="T2852" s="3" t="n">
        <f aca="false">INDEX(Summary!$P$2:$P$201,MATCH($B2852,Summary!$A$2:$A$201,0))</f>
        <v>1</v>
      </c>
      <c r="U2852" s="2" t="n">
        <f aca="false">INDEX(Summary!$Q$2:$Q$201,MATCH($B2852,Summary!$A$2:$A$201,0))</f>
        <v>12.6</v>
      </c>
      <c r="V2852" s="2" t="n">
        <f aca="false">INDEX(Summary!$R$2:$R$201,MATCH($B2852,Summary!$A$2:$A$201,0))</f>
        <v>30.58</v>
      </c>
      <c r="W2852" s="0" t="str">
        <f aca="false">INDEX(Summary!$S$2:$S$201,MATCH($B2852,Summary!$A$2:$A$201,0))</f>
        <v>Gold</v>
      </c>
      <c r="X2852" s="2" t="n">
        <f aca="false">INDEX(Summary!$T$2:$T$201,MATCH($B2852,Summary!$A$2:$A$201,0))</f>
        <v>74.59</v>
      </c>
      <c r="Y2852" s="0" t="str">
        <f aca="false">INDEX('Reward Model'!$E$18:$E$37,MATCH($E2852,'Reward Model'!$A$18:$A$37,0))</f>
        <v>Medium</v>
      </c>
      <c r="Z2852" s="4" t="n">
        <f aca="false">ROUND(MIN(1,MAX('Reward Model'!$B$2,INDEX('Reward Model'!$C$12:$C$14,MATCH($K2852,'Reward Model'!$A$12:$A$14,0))/$J2852)),3)</f>
        <v>1</v>
      </c>
      <c r="AA2852" s="2" t="n">
        <f aca="false">IF($I2852="Correct",ROUND(INDEX('Reward Model'!$B$12:$B$14,MATCH($K2852,'Reward Model'!$A$12:$A$14,0))*Z2852,2),0)</f>
        <v>2</v>
      </c>
      <c r="AB2852" s="2" t="n">
        <f aca="false">IF($I2852="Correct",ROUND(INDEX('Reward Model'!$B$12:$B$14,MATCH($Y2852,'Reward Model'!$A$12:$A$14,0))*Z2852,2),0)</f>
        <v>2</v>
      </c>
    </row>
    <row r="2853" customFormat="false" ht="15" hidden="false" customHeight="false" outlineLevel="0" collapsed="false">
      <c r="A2853" s="0" t="s">
        <v>416</v>
      </c>
      <c r="B2853" s="0" t="s">
        <v>417</v>
      </c>
      <c r="C2853" s="0" t="s">
        <v>322</v>
      </c>
      <c r="D2853" s="0" t="s">
        <v>189</v>
      </c>
      <c r="E2853" s="0" t="n">
        <v>12</v>
      </c>
      <c r="F2853" s="0" t="s">
        <v>64</v>
      </c>
      <c r="G2853" s="0" t="s">
        <v>65</v>
      </c>
      <c r="H2853" s="0" t="s">
        <v>65</v>
      </c>
      <c r="I2853" s="0" t="s">
        <v>34</v>
      </c>
      <c r="J2853" s="0" t="n">
        <v>1.35</v>
      </c>
      <c r="K2853" s="0" t="s">
        <v>60</v>
      </c>
      <c r="L2853" s="0" t="n">
        <f aca="false">INDEX(Summary!$F$2:$F$201,MATCH($B2853,Summary!$A$2:$A$201,0))</f>
        <v>20</v>
      </c>
      <c r="M2853" s="0" t="n">
        <f aca="false">INDEX(Summary!$I$2:$I$201,MATCH($B2853,Summary!$A$2:$A$201,0))</f>
        <v>4</v>
      </c>
      <c r="N2853" s="0" t="n">
        <f aca="false">INDEX(Summary!$J$2:$J$201,MATCH($B2853,Summary!$A$2:$A$201,0))</f>
        <v>1</v>
      </c>
      <c r="O2853" s="2" t="n">
        <f aca="false">INDEX(Summary!$K$2:$K$201,MATCH($B2853,Summary!$A$2:$A$201,0))</f>
        <v>10.51</v>
      </c>
      <c r="P2853" s="3" t="n">
        <f aca="false">INDEX(Summary!$L$2:$L$201,MATCH($B2853,Summary!$A$2:$A$201,0))</f>
        <v>4</v>
      </c>
      <c r="Q2853" s="3" t="n">
        <f aca="false">INDEX(Summary!$M$2:$M$201,MATCH($B2853,Summary!$A$2:$A$201,0))</f>
        <v>2</v>
      </c>
      <c r="R2853" s="2" t="n">
        <f aca="false">INDEX(Summary!$N$2:$N$201,MATCH($B2853,Summary!$A$2:$A$201,0))</f>
        <v>9.57</v>
      </c>
      <c r="S2853" s="3" t="n">
        <f aca="false">INDEX(Summary!$O$2:$O$201,MATCH($B2853,Summary!$A$2:$A$201,0))</f>
        <v>8</v>
      </c>
      <c r="T2853" s="3" t="n">
        <f aca="false">INDEX(Summary!$P$2:$P$201,MATCH($B2853,Summary!$A$2:$A$201,0))</f>
        <v>1</v>
      </c>
      <c r="U2853" s="2" t="n">
        <f aca="false">INDEX(Summary!$Q$2:$Q$201,MATCH($B2853,Summary!$A$2:$A$201,0))</f>
        <v>12.6</v>
      </c>
      <c r="V2853" s="2" t="n">
        <f aca="false">INDEX(Summary!$R$2:$R$201,MATCH($B2853,Summary!$A$2:$A$201,0))</f>
        <v>30.58</v>
      </c>
      <c r="W2853" s="0" t="str">
        <f aca="false">INDEX(Summary!$S$2:$S$201,MATCH($B2853,Summary!$A$2:$A$201,0))</f>
        <v>Gold</v>
      </c>
      <c r="X2853" s="2" t="n">
        <f aca="false">INDEX(Summary!$T$2:$T$201,MATCH($B2853,Summary!$A$2:$A$201,0))</f>
        <v>74.59</v>
      </c>
      <c r="Y2853" s="0" t="str">
        <f aca="false">INDEX('Reward Model'!$E$18:$E$37,MATCH($E2853,'Reward Model'!$A$18:$A$37,0))</f>
        <v>Medium</v>
      </c>
      <c r="Z2853" s="4" t="n">
        <f aca="false">ROUND(MIN(1,MAX('Reward Model'!$B$2,INDEX('Reward Model'!$C$12:$C$14,MATCH($K2853,'Reward Model'!$A$12:$A$14,0))/$J2853)),3)</f>
        <v>1</v>
      </c>
      <c r="AA2853" s="2" t="n">
        <f aca="false">IF($I2853="Correct",ROUND(INDEX('Reward Model'!$B$12:$B$14,MATCH($K2853,'Reward Model'!$A$12:$A$14,0))*Z2853,2),0)</f>
        <v>2</v>
      </c>
      <c r="AB2853" s="2" t="n">
        <f aca="false">IF($I2853="Correct",ROUND(INDEX('Reward Model'!$B$12:$B$14,MATCH($Y2853,'Reward Model'!$A$12:$A$14,0))*Z2853,2),0)</f>
        <v>2</v>
      </c>
    </row>
    <row r="2854" customFormat="false" ht="15" hidden="false" customHeight="false" outlineLevel="0" collapsed="false">
      <c r="A2854" s="0" t="s">
        <v>416</v>
      </c>
      <c r="B2854" s="0" t="s">
        <v>417</v>
      </c>
      <c r="C2854" s="0" t="s">
        <v>322</v>
      </c>
      <c r="D2854" s="0" t="s">
        <v>189</v>
      </c>
      <c r="E2854" s="0" t="n">
        <v>13</v>
      </c>
      <c r="F2854" s="0" t="s">
        <v>66</v>
      </c>
      <c r="G2854" s="0" t="s">
        <v>67</v>
      </c>
      <c r="H2854" s="0" t="s">
        <v>67</v>
      </c>
      <c r="I2854" s="0" t="s">
        <v>34</v>
      </c>
      <c r="J2854" s="0" t="n">
        <v>1.64</v>
      </c>
      <c r="K2854" s="0" t="s">
        <v>60</v>
      </c>
      <c r="L2854" s="0" t="n">
        <f aca="false">INDEX(Summary!$F$2:$F$201,MATCH($B2854,Summary!$A$2:$A$201,0))</f>
        <v>20</v>
      </c>
      <c r="M2854" s="0" t="n">
        <f aca="false">INDEX(Summary!$I$2:$I$201,MATCH($B2854,Summary!$A$2:$A$201,0))</f>
        <v>4</v>
      </c>
      <c r="N2854" s="0" t="n">
        <f aca="false">INDEX(Summary!$J$2:$J$201,MATCH($B2854,Summary!$A$2:$A$201,0))</f>
        <v>1</v>
      </c>
      <c r="O2854" s="2" t="n">
        <f aca="false">INDEX(Summary!$K$2:$K$201,MATCH($B2854,Summary!$A$2:$A$201,0))</f>
        <v>10.51</v>
      </c>
      <c r="P2854" s="3" t="n">
        <f aca="false">INDEX(Summary!$L$2:$L$201,MATCH($B2854,Summary!$A$2:$A$201,0))</f>
        <v>4</v>
      </c>
      <c r="Q2854" s="3" t="n">
        <f aca="false">INDEX(Summary!$M$2:$M$201,MATCH($B2854,Summary!$A$2:$A$201,0))</f>
        <v>2</v>
      </c>
      <c r="R2854" s="2" t="n">
        <f aca="false">INDEX(Summary!$N$2:$N$201,MATCH($B2854,Summary!$A$2:$A$201,0))</f>
        <v>9.57</v>
      </c>
      <c r="S2854" s="3" t="n">
        <f aca="false">INDEX(Summary!$O$2:$O$201,MATCH($B2854,Summary!$A$2:$A$201,0))</f>
        <v>8</v>
      </c>
      <c r="T2854" s="3" t="n">
        <f aca="false">INDEX(Summary!$P$2:$P$201,MATCH($B2854,Summary!$A$2:$A$201,0))</f>
        <v>1</v>
      </c>
      <c r="U2854" s="2" t="n">
        <f aca="false">INDEX(Summary!$Q$2:$Q$201,MATCH($B2854,Summary!$A$2:$A$201,0))</f>
        <v>12.6</v>
      </c>
      <c r="V2854" s="2" t="n">
        <f aca="false">INDEX(Summary!$R$2:$R$201,MATCH($B2854,Summary!$A$2:$A$201,0))</f>
        <v>30.58</v>
      </c>
      <c r="W2854" s="0" t="str">
        <f aca="false">INDEX(Summary!$S$2:$S$201,MATCH($B2854,Summary!$A$2:$A$201,0))</f>
        <v>Gold</v>
      </c>
      <c r="X2854" s="2" t="n">
        <f aca="false">INDEX(Summary!$T$2:$T$201,MATCH($B2854,Summary!$A$2:$A$201,0))</f>
        <v>74.59</v>
      </c>
      <c r="Y2854" s="0" t="str">
        <f aca="false">INDEX('Reward Model'!$E$18:$E$37,MATCH($E2854,'Reward Model'!$A$18:$A$37,0))</f>
        <v>Medium</v>
      </c>
      <c r="Z2854" s="4" t="n">
        <f aca="false">ROUND(MIN(1,MAX('Reward Model'!$B$2,INDEX('Reward Model'!$C$12:$C$14,MATCH($K2854,'Reward Model'!$A$12:$A$14,0))/$J2854)),3)</f>
        <v>1</v>
      </c>
      <c r="AA2854" s="2" t="n">
        <f aca="false">IF($I2854="Correct",ROUND(INDEX('Reward Model'!$B$12:$B$14,MATCH($K2854,'Reward Model'!$A$12:$A$14,0))*Z2854,2),0)</f>
        <v>2</v>
      </c>
      <c r="AB2854" s="2" t="n">
        <f aca="false">IF($I2854="Correct",ROUND(INDEX('Reward Model'!$B$12:$B$14,MATCH($Y2854,'Reward Model'!$A$12:$A$14,0))*Z2854,2),0)</f>
        <v>2</v>
      </c>
    </row>
    <row r="2855" customFormat="false" ht="15" hidden="false" customHeight="false" outlineLevel="0" collapsed="false">
      <c r="A2855" s="0" t="s">
        <v>416</v>
      </c>
      <c r="B2855" s="0" t="s">
        <v>417</v>
      </c>
      <c r="C2855" s="0" t="s">
        <v>322</v>
      </c>
      <c r="D2855" s="0" t="s">
        <v>189</v>
      </c>
      <c r="E2855" s="0" t="n">
        <v>14</v>
      </c>
      <c r="F2855" s="0" t="s">
        <v>68</v>
      </c>
      <c r="G2855" s="0" t="s">
        <v>51</v>
      </c>
      <c r="H2855" s="0" t="s">
        <v>51</v>
      </c>
      <c r="I2855" s="0" t="s">
        <v>34</v>
      </c>
      <c r="J2855" s="0" t="n">
        <v>1.37</v>
      </c>
      <c r="K2855" s="0" t="s">
        <v>60</v>
      </c>
      <c r="L2855" s="0" t="n">
        <f aca="false">INDEX(Summary!$F$2:$F$201,MATCH($B2855,Summary!$A$2:$A$201,0))</f>
        <v>20</v>
      </c>
      <c r="M2855" s="0" t="n">
        <f aca="false">INDEX(Summary!$I$2:$I$201,MATCH($B2855,Summary!$A$2:$A$201,0))</f>
        <v>4</v>
      </c>
      <c r="N2855" s="0" t="n">
        <f aca="false">INDEX(Summary!$J$2:$J$201,MATCH($B2855,Summary!$A$2:$A$201,0))</f>
        <v>1</v>
      </c>
      <c r="O2855" s="2" t="n">
        <f aca="false">INDEX(Summary!$K$2:$K$201,MATCH($B2855,Summary!$A$2:$A$201,0))</f>
        <v>10.51</v>
      </c>
      <c r="P2855" s="3" t="n">
        <f aca="false">INDEX(Summary!$L$2:$L$201,MATCH($B2855,Summary!$A$2:$A$201,0))</f>
        <v>4</v>
      </c>
      <c r="Q2855" s="3" t="n">
        <f aca="false">INDEX(Summary!$M$2:$M$201,MATCH($B2855,Summary!$A$2:$A$201,0))</f>
        <v>2</v>
      </c>
      <c r="R2855" s="2" t="n">
        <f aca="false">INDEX(Summary!$N$2:$N$201,MATCH($B2855,Summary!$A$2:$A$201,0))</f>
        <v>9.57</v>
      </c>
      <c r="S2855" s="3" t="n">
        <f aca="false">INDEX(Summary!$O$2:$O$201,MATCH($B2855,Summary!$A$2:$A$201,0))</f>
        <v>8</v>
      </c>
      <c r="T2855" s="3" t="n">
        <f aca="false">INDEX(Summary!$P$2:$P$201,MATCH($B2855,Summary!$A$2:$A$201,0))</f>
        <v>1</v>
      </c>
      <c r="U2855" s="2" t="n">
        <f aca="false">INDEX(Summary!$Q$2:$Q$201,MATCH($B2855,Summary!$A$2:$A$201,0))</f>
        <v>12.6</v>
      </c>
      <c r="V2855" s="2" t="n">
        <f aca="false">INDEX(Summary!$R$2:$R$201,MATCH($B2855,Summary!$A$2:$A$201,0))</f>
        <v>30.58</v>
      </c>
      <c r="W2855" s="0" t="str">
        <f aca="false">INDEX(Summary!$S$2:$S$201,MATCH($B2855,Summary!$A$2:$A$201,0))</f>
        <v>Gold</v>
      </c>
      <c r="X2855" s="2" t="n">
        <f aca="false">INDEX(Summary!$T$2:$T$201,MATCH($B2855,Summary!$A$2:$A$201,0))</f>
        <v>74.59</v>
      </c>
      <c r="Y2855" s="0" t="str">
        <f aca="false">INDEX('Reward Model'!$E$18:$E$37,MATCH($E2855,'Reward Model'!$A$18:$A$37,0))</f>
        <v>Medium</v>
      </c>
      <c r="Z2855" s="4" t="n">
        <f aca="false">ROUND(MIN(1,MAX('Reward Model'!$B$2,INDEX('Reward Model'!$C$12:$C$14,MATCH($K2855,'Reward Model'!$A$12:$A$14,0))/$J2855)),3)</f>
        <v>1</v>
      </c>
      <c r="AA2855" s="2" t="n">
        <f aca="false">IF($I2855="Correct",ROUND(INDEX('Reward Model'!$B$12:$B$14,MATCH($K2855,'Reward Model'!$A$12:$A$14,0))*Z2855,2),0)</f>
        <v>2</v>
      </c>
      <c r="AB2855" s="2" t="n">
        <f aca="false">IF($I2855="Correct",ROUND(INDEX('Reward Model'!$B$12:$B$14,MATCH($Y2855,'Reward Model'!$A$12:$A$14,0))*Z2855,2),0)</f>
        <v>2</v>
      </c>
    </row>
    <row r="2856" customFormat="false" ht="15" hidden="false" customHeight="false" outlineLevel="0" collapsed="false">
      <c r="A2856" s="0" t="s">
        <v>416</v>
      </c>
      <c r="B2856" s="0" t="s">
        <v>417</v>
      </c>
      <c r="C2856" s="0" t="s">
        <v>322</v>
      </c>
      <c r="D2856" s="0" t="s">
        <v>189</v>
      </c>
      <c r="E2856" s="0" t="n">
        <v>15</v>
      </c>
      <c r="F2856" s="0" t="s">
        <v>69</v>
      </c>
      <c r="G2856" s="0" t="s">
        <v>94</v>
      </c>
      <c r="H2856" s="0" t="s">
        <v>70</v>
      </c>
      <c r="I2856" s="0" t="s">
        <v>39</v>
      </c>
      <c r="J2856" s="0" t="n">
        <v>1.38</v>
      </c>
      <c r="K2856" s="0" t="s">
        <v>60</v>
      </c>
      <c r="L2856" s="0" t="n">
        <f aca="false">INDEX(Summary!$F$2:$F$201,MATCH($B2856,Summary!$A$2:$A$201,0))</f>
        <v>20</v>
      </c>
      <c r="M2856" s="0" t="n">
        <f aca="false">INDEX(Summary!$I$2:$I$201,MATCH($B2856,Summary!$A$2:$A$201,0))</f>
        <v>4</v>
      </c>
      <c r="N2856" s="0" t="n">
        <f aca="false">INDEX(Summary!$J$2:$J$201,MATCH($B2856,Summary!$A$2:$A$201,0))</f>
        <v>1</v>
      </c>
      <c r="O2856" s="2" t="n">
        <f aca="false">INDEX(Summary!$K$2:$K$201,MATCH($B2856,Summary!$A$2:$A$201,0))</f>
        <v>10.51</v>
      </c>
      <c r="P2856" s="3" t="n">
        <f aca="false">INDEX(Summary!$L$2:$L$201,MATCH($B2856,Summary!$A$2:$A$201,0))</f>
        <v>4</v>
      </c>
      <c r="Q2856" s="3" t="n">
        <f aca="false">INDEX(Summary!$M$2:$M$201,MATCH($B2856,Summary!$A$2:$A$201,0))</f>
        <v>2</v>
      </c>
      <c r="R2856" s="2" t="n">
        <f aca="false">INDEX(Summary!$N$2:$N$201,MATCH($B2856,Summary!$A$2:$A$201,0))</f>
        <v>9.57</v>
      </c>
      <c r="S2856" s="3" t="n">
        <f aca="false">INDEX(Summary!$O$2:$O$201,MATCH($B2856,Summary!$A$2:$A$201,0))</f>
        <v>8</v>
      </c>
      <c r="T2856" s="3" t="n">
        <f aca="false">INDEX(Summary!$P$2:$P$201,MATCH($B2856,Summary!$A$2:$A$201,0))</f>
        <v>1</v>
      </c>
      <c r="U2856" s="2" t="n">
        <f aca="false">INDEX(Summary!$Q$2:$Q$201,MATCH($B2856,Summary!$A$2:$A$201,0))</f>
        <v>12.6</v>
      </c>
      <c r="V2856" s="2" t="n">
        <f aca="false">INDEX(Summary!$R$2:$R$201,MATCH($B2856,Summary!$A$2:$A$201,0))</f>
        <v>30.58</v>
      </c>
      <c r="W2856" s="0" t="str">
        <f aca="false">INDEX(Summary!$S$2:$S$201,MATCH($B2856,Summary!$A$2:$A$201,0))</f>
        <v>Gold</v>
      </c>
      <c r="X2856" s="2" t="n">
        <f aca="false">INDEX(Summary!$T$2:$T$201,MATCH($B2856,Summary!$A$2:$A$201,0))</f>
        <v>74.59</v>
      </c>
      <c r="Y2856" s="0" t="str">
        <f aca="false">INDEX('Reward Model'!$E$18:$E$37,MATCH($E2856,'Reward Model'!$A$18:$A$37,0))</f>
        <v>Medium</v>
      </c>
      <c r="Z2856" s="4" t="n">
        <f aca="false">ROUND(MIN(1,MAX('Reward Model'!$B$2,INDEX('Reward Model'!$C$12:$C$14,MATCH($K2856,'Reward Model'!$A$12:$A$14,0))/$J2856)),3)</f>
        <v>1</v>
      </c>
      <c r="AA2856" s="2" t="n">
        <f aca="false">IF($I2856="Correct",ROUND(INDEX('Reward Model'!$B$12:$B$14,MATCH($K2856,'Reward Model'!$A$12:$A$14,0))*Z2856,2),0)</f>
        <v>0</v>
      </c>
      <c r="AB2856" s="2" t="n">
        <f aca="false">IF($I2856="Correct",ROUND(INDEX('Reward Model'!$B$12:$B$14,MATCH($Y2856,'Reward Model'!$A$12:$A$14,0))*Z2856,2),0)</f>
        <v>0</v>
      </c>
    </row>
    <row r="2857" customFormat="false" ht="15" hidden="false" customHeight="false" outlineLevel="0" collapsed="false">
      <c r="A2857" s="0" t="s">
        <v>416</v>
      </c>
      <c r="B2857" s="0" t="s">
        <v>417</v>
      </c>
      <c r="C2857" s="0" t="s">
        <v>322</v>
      </c>
      <c r="D2857" s="0" t="s">
        <v>189</v>
      </c>
      <c r="E2857" s="0" t="n">
        <v>16</v>
      </c>
      <c r="F2857" s="0" t="s">
        <v>71</v>
      </c>
      <c r="G2857" s="0" t="s">
        <v>87</v>
      </c>
      <c r="H2857" s="0" t="s">
        <v>72</v>
      </c>
      <c r="I2857" s="0" t="s">
        <v>39</v>
      </c>
      <c r="J2857" s="0" t="n">
        <v>2.21</v>
      </c>
      <c r="K2857" s="0" t="s">
        <v>73</v>
      </c>
      <c r="L2857" s="0" t="n">
        <f aca="false">INDEX(Summary!$F$2:$F$201,MATCH($B2857,Summary!$A$2:$A$201,0))</f>
        <v>20</v>
      </c>
      <c r="M2857" s="0" t="n">
        <f aca="false">INDEX(Summary!$I$2:$I$201,MATCH($B2857,Summary!$A$2:$A$201,0))</f>
        <v>4</v>
      </c>
      <c r="N2857" s="0" t="n">
        <f aca="false">INDEX(Summary!$J$2:$J$201,MATCH($B2857,Summary!$A$2:$A$201,0))</f>
        <v>1</v>
      </c>
      <c r="O2857" s="2" t="n">
        <f aca="false">INDEX(Summary!$K$2:$K$201,MATCH($B2857,Summary!$A$2:$A$201,0))</f>
        <v>10.51</v>
      </c>
      <c r="P2857" s="3" t="n">
        <f aca="false">INDEX(Summary!$L$2:$L$201,MATCH($B2857,Summary!$A$2:$A$201,0))</f>
        <v>4</v>
      </c>
      <c r="Q2857" s="3" t="n">
        <f aca="false">INDEX(Summary!$M$2:$M$201,MATCH($B2857,Summary!$A$2:$A$201,0))</f>
        <v>2</v>
      </c>
      <c r="R2857" s="2" t="n">
        <f aca="false">INDEX(Summary!$N$2:$N$201,MATCH($B2857,Summary!$A$2:$A$201,0))</f>
        <v>9.57</v>
      </c>
      <c r="S2857" s="3" t="n">
        <f aca="false">INDEX(Summary!$O$2:$O$201,MATCH($B2857,Summary!$A$2:$A$201,0))</f>
        <v>8</v>
      </c>
      <c r="T2857" s="3" t="n">
        <f aca="false">INDEX(Summary!$P$2:$P$201,MATCH($B2857,Summary!$A$2:$A$201,0))</f>
        <v>1</v>
      </c>
      <c r="U2857" s="2" t="n">
        <f aca="false">INDEX(Summary!$Q$2:$Q$201,MATCH($B2857,Summary!$A$2:$A$201,0))</f>
        <v>12.6</v>
      </c>
      <c r="V2857" s="2" t="n">
        <f aca="false">INDEX(Summary!$R$2:$R$201,MATCH($B2857,Summary!$A$2:$A$201,0))</f>
        <v>30.58</v>
      </c>
      <c r="W2857" s="0" t="str">
        <f aca="false">INDEX(Summary!$S$2:$S$201,MATCH($B2857,Summary!$A$2:$A$201,0))</f>
        <v>Gold</v>
      </c>
      <c r="X2857" s="2" t="n">
        <f aca="false">INDEX(Summary!$T$2:$T$201,MATCH($B2857,Summary!$A$2:$A$201,0))</f>
        <v>74.59</v>
      </c>
      <c r="Y2857" s="0" t="str">
        <f aca="false">INDEX('Reward Model'!$E$18:$E$37,MATCH($E2857,'Reward Model'!$A$18:$A$37,0))</f>
        <v>High</v>
      </c>
      <c r="Z2857" s="4" t="n">
        <f aca="false">ROUND(MIN(1,MAX('Reward Model'!$B$2,INDEX('Reward Model'!$C$12:$C$14,MATCH($K2857,'Reward Model'!$A$12:$A$14,0))/$J2857)),3)</f>
        <v>0.905</v>
      </c>
      <c r="AA2857" s="2" t="n">
        <f aca="false">IF($I2857="Correct",ROUND(INDEX('Reward Model'!$B$12:$B$14,MATCH($K2857,'Reward Model'!$A$12:$A$14,0))*Z2857,2),0)</f>
        <v>0</v>
      </c>
      <c r="AB2857" s="2" t="n">
        <f aca="false">IF($I2857="Correct",ROUND(INDEX('Reward Model'!$B$12:$B$14,MATCH($Y2857,'Reward Model'!$A$12:$A$14,0))*Z2857,2),0)</f>
        <v>0</v>
      </c>
    </row>
    <row r="2858" customFormat="false" ht="15" hidden="false" customHeight="false" outlineLevel="0" collapsed="false">
      <c r="A2858" s="0" t="s">
        <v>416</v>
      </c>
      <c r="B2858" s="0" t="s">
        <v>417</v>
      </c>
      <c r="C2858" s="0" t="s">
        <v>322</v>
      </c>
      <c r="D2858" s="0" t="s">
        <v>189</v>
      </c>
      <c r="E2858" s="0" t="n">
        <v>17</v>
      </c>
      <c r="F2858" s="0" t="s">
        <v>74</v>
      </c>
      <c r="G2858" s="0" t="s">
        <v>75</v>
      </c>
      <c r="H2858" s="0" t="s">
        <v>75</v>
      </c>
      <c r="I2858" s="0" t="s">
        <v>34</v>
      </c>
      <c r="J2858" s="0" t="n">
        <v>1.94</v>
      </c>
      <c r="K2858" s="0" t="s">
        <v>73</v>
      </c>
      <c r="L2858" s="0" t="n">
        <f aca="false">INDEX(Summary!$F$2:$F$201,MATCH($B2858,Summary!$A$2:$A$201,0))</f>
        <v>20</v>
      </c>
      <c r="M2858" s="0" t="n">
        <f aca="false">INDEX(Summary!$I$2:$I$201,MATCH($B2858,Summary!$A$2:$A$201,0))</f>
        <v>4</v>
      </c>
      <c r="N2858" s="0" t="n">
        <f aca="false">INDEX(Summary!$J$2:$J$201,MATCH($B2858,Summary!$A$2:$A$201,0))</f>
        <v>1</v>
      </c>
      <c r="O2858" s="2" t="n">
        <f aca="false">INDEX(Summary!$K$2:$K$201,MATCH($B2858,Summary!$A$2:$A$201,0))</f>
        <v>10.51</v>
      </c>
      <c r="P2858" s="3" t="n">
        <f aca="false">INDEX(Summary!$L$2:$L$201,MATCH($B2858,Summary!$A$2:$A$201,0))</f>
        <v>4</v>
      </c>
      <c r="Q2858" s="3" t="n">
        <f aca="false">INDEX(Summary!$M$2:$M$201,MATCH($B2858,Summary!$A$2:$A$201,0))</f>
        <v>2</v>
      </c>
      <c r="R2858" s="2" t="n">
        <f aca="false">INDEX(Summary!$N$2:$N$201,MATCH($B2858,Summary!$A$2:$A$201,0))</f>
        <v>9.57</v>
      </c>
      <c r="S2858" s="3" t="n">
        <f aca="false">INDEX(Summary!$O$2:$O$201,MATCH($B2858,Summary!$A$2:$A$201,0))</f>
        <v>8</v>
      </c>
      <c r="T2858" s="3" t="n">
        <f aca="false">INDEX(Summary!$P$2:$P$201,MATCH($B2858,Summary!$A$2:$A$201,0))</f>
        <v>1</v>
      </c>
      <c r="U2858" s="2" t="n">
        <f aca="false">INDEX(Summary!$Q$2:$Q$201,MATCH($B2858,Summary!$A$2:$A$201,0))</f>
        <v>12.6</v>
      </c>
      <c r="V2858" s="2" t="n">
        <f aca="false">INDEX(Summary!$R$2:$R$201,MATCH($B2858,Summary!$A$2:$A$201,0))</f>
        <v>30.58</v>
      </c>
      <c r="W2858" s="0" t="str">
        <f aca="false">INDEX(Summary!$S$2:$S$201,MATCH($B2858,Summary!$A$2:$A$201,0))</f>
        <v>Gold</v>
      </c>
      <c r="X2858" s="2" t="n">
        <f aca="false">INDEX(Summary!$T$2:$T$201,MATCH($B2858,Summary!$A$2:$A$201,0))</f>
        <v>74.59</v>
      </c>
      <c r="Y2858" s="0" t="str">
        <f aca="false">INDEX('Reward Model'!$E$18:$E$37,MATCH($E2858,'Reward Model'!$A$18:$A$37,0))</f>
        <v>High</v>
      </c>
      <c r="Z2858" s="4" t="n">
        <f aca="false">ROUND(MIN(1,MAX('Reward Model'!$B$2,INDEX('Reward Model'!$C$12:$C$14,MATCH($K2858,'Reward Model'!$A$12:$A$14,0))/$J2858)),3)</f>
        <v>1</v>
      </c>
      <c r="AA2858" s="2" t="n">
        <f aca="false">IF($I2858="Correct",ROUND(INDEX('Reward Model'!$B$12:$B$14,MATCH($K2858,'Reward Model'!$A$12:$A$14,0))*Z2858,2),0)</f>
        <v>3</v>
      </c>
      <c r="AB2858" s="2" t="n">
        <f aca="false">IF($I2858="Correct",ROUND(INDEX('Reward Model'!$B$12:$B$14,MATCH($Y2858,'Reward Model'!$A$12:$A$14,0))*Z2858,2),0)</f>
        <v>3</v>
      </c>
    </row>
    <row r="2859" customFormat="false" ht="15" hidden="false" customHeight="false" outlineLevel="0" collapsed="false">
      <c r="A2859" s="0" t="s">
        <v>416</v>
      </c>
      <c r="B2859" s="0" t="s">
        <v>417</v>
      </c>
      <c r="C2859" s="0" t="s">
        <v>322</v>
      </c>
      <c r="D2859" s="0" t="s">
        <v>189</v>
      </c>
      <c r="E2859" s="0" t="n">
        <v>18</v>
      </c>
      <c r="F2859" s="0" t="s">
        <v>76</v>
      </c>
      <c r="G2859" s="0" t="s">
        <v>77</v>
      </c>
      <c r="H2859" s="0" t="s">
        <v>77</v>
      </c>
      <c r="I2859" s="0" t="s">
        <v>34</v>
      </c>
      <c r="J2859" s="0" t="n">
        <v>2.22</v>
      </c>
      <c r="K2859" s="0" t="s">
        <v>73</v>
      </c>
      <c r="L2859" s="0" t="n">
        <f aca="false">INDEX(Summary!$F$2:$F$201,MATCH($B2859,Summary!$A$2:$A$201,0))</f>
        <v>20</v>
      </c>
      <c r="M2859" s="0" t="n">
        <f aca="false">INDEX(Summary!$I$2:$I$201,MATCH($B2859,Summary!$A$2:$A$201,0))</f>
        <v>4</v>
      </c>
      <c r="N2859" s="0" t="n">
        <f aca="false">INDEX(Summary!$J$2:$J$201,MATCH($B2859,Summary!$A$2:$A$201,0))</f>
        <v>1</v>
      </c>
      <c r="O2859" s="2" t="n">
        <f aca="false">INDEX(Summary!$K$2:$K$201,MATCH($B2859,Summary!$A$2:$A$201,0))</f>
        <v>10.51</v>
      </c>
      <c r="P2859" s="3" t="n">
        <f aca="false">INDEX(Summary!$L$2:$L$201,MATCH($B2859,Summary!$A$2:$A$201,0))</f>
        <v>4</v>
      </c>
      <c r="Q2859" s="3" t="n">
        <f aca="false">INDEX(Summary!$M$2:$M$201,MATCH($B2859,Summary!$A$2:$A$201,0))</f>
        <v>2</v>
      </c>
      <c r="R2859" s="2" t="n">
        <f aca="false">INDEX(Summary!$N$2:$N$201,MATCH($B2859,Summary!$A$2:$A$201,0))</f>
        <v>9.57</v>
      </c>
      <c r="S2859" s="3" t="n">
        <f aca="false">INDEX(Summary!$O$2:$O$201,MATCH($B2859,Summary!$A$2:$A$201,0))</f>
        <v>8</v>
      </c>
      <c r="T2859" s="3" t="n">
        <f aca="false">INDEX(Summary!$P$2:$P$201,MATCH($B2859,Summary!$A$2:$A$201,0))</f>
        <v>1</v>
      </c>
      <c r="U2859" s="2" t="n">
        <f aca="false">INDEX(Summary!$Q$2:$Q$201,MATCH($B2859,Summary!$A$2:$A$201,0))</f>
        <v>12.6</v>
      </c>
      <c r="V2859" s="2" t="n">
        <f aca="false">INDEX(Summary!$R$2:$R$201,MATCH($B2859,Summary!$A$2:$A$201,0))</f>
        <v>30.58</v>
      </c>
      <c r="W2859" s="0" t="str">
        <f aca="false">INDEX(Summary!$S$2:$S$201,MATCH($B2859,Summary!$A$2:$A$201,0))</f>
        <v>Gold</v>
      </c>
      <c r="X2859" s="2" t="n">
        <f aca="false">INDEX(Summary!$T$2:$T$201,MATCH($B2859,Summary!$A$2:$A$201,0))</f>
        <v>74.59</v>
      </c>
      <c r="Y2859" s="0" t="str">
        <f aca="false">INDEX('Reward Model'!$E$18:$E$37,MATCH($E2859,'Reward Model'!$A$18:$A$37,0))</f>
        <v>High</v>
      </c>
      <c r="Z2859" s="4" t="n">
        <f aca="false">ROUND(MIN(1,MAX('Reward Model'!$B$2,INDEX('Reward Model'!$C$12:$C$14,MATCH($K2859,'Reward Model'!$A$12:$A$14,0))/$J2859)),3)</f>
        <v>0.901</v>
      </c>
      <c r="AA2859" s="2" t="n">
        <f aca="false">IF($I2859="Correct",ROUND(INDEX('Reward Model'!$B$12:$B$14,MATCH($K2859,'Reward Model'!$A$12:$A$14,0))*Z2859,2),0)</f>
        <v>2.7</v>
      </c>
      <c r="AB2859" s="2" t="n">
        <f aca="false">IF($I2859="Correct",ROUND(INDEX('Reward Model'!$B$12:$B$14,MATCH($Y2859,'Reward Model'!$A$12:$A$14,0))*Z2859,2),0)</f>
        <v>2.7</v>
      </c>
    </row>
    <row r="2860" customFormat="false" ht="15" hidden="false" customHeight="false" outlineLevel="0" collapsed="false">
      <c r="A2860" s="0" t="s">
        <v>416</v>
      </c>
      <c r="B2860" s="0" t="s">
        <v>417</v>
      </c>
      <c r="C2860" s="0" t="s">
        <v>322</v>
      </c>
      <c r="D2860" s="0" t="s">
        <v>189</v>
      </c>
      <c r="E2860" s="0" t="n">
        <v>19</v>
      </c>
      <c r="F2860" s="0" t="s">
        <v>78</v>
      </c>
      <c r="G2860" s="0" t="s">
        <v>80</v>
      </c>
      <c r="H2860" s="0" t="s">
        <v>80</v>
      </c>
      <c r="I2860" s="0" t="s">
        <v>34</v>
      </c>
      <c r="J2860" s="0" t="n">
        <v>1.61</v>
      </c>
      <c r="K2860" s="0" t="s">
        <v>73</v>
      </c>
      <c r="L2860" s="0" t="n">
        <f aca="false">INDEX(Summary!$F$2:$F$201,MATCH($B2860,Summary!$A$2:$A$201,0))</f>
        <v>20</v>
      </c>
      <c r="M2860" s="0" t="n">
        <f aca="false">INDEX(Summary!$I$2:$I$201,MATCH($B2860,Summary!$A$2:$A$201,0))</f>
        <v>4</v>
      </c>
      <c r="N2860" s="0" t="n">
        <f aca="false">INDEX(Summary!$J$2:$J$201,MATCH($B2860,Summary!$A$2:$A$201,0))</f>
        <v>1</v>
      </c>
      <c r="O2860" s="2" t="n">
        <f aca="false">INDEX(Summary!$K$2:$K$201,MATCH($B2860,Summary!$A$2:$A$201,0))</f>
        <v>10.51</v>
      </c>
      <c r="P2860" s="3" t="n">
        <f aca="false">INDEX(Summary!$L$2:$L$201,MATCH($B2860,Summary!$A$2:$A$201,0))</f>
        <v>4</v>
      </c>
      <c r="Q2860" s="3" t="n">
        <f aca="false">INDEX(Summary!$M$2:$M$201,MATCH($B2860,Summary!$A$2:$A$201,0))</f>
        <v>2</v>
      </c>
      <c r="R2860" s="2" t="n">
        <f aca="false">INDEX(Summary!$N$2:$N$201,MATCH($B2860,Summary!$A$2:$A$201,0))</f>
        <v>9.57</v>
      </c>
      <c r="S2860" s="3" t="n">
        <f aca="false">INDEX(Summary!$O$2:$O$201,MATCH($B2860,Summary!$A$2:$A$201,0))</f>
        <v>8</v>
      </c>
      <c r="T2860" s="3" t="n">
        <f aca="false">INDEX(Summary!$P$2:$P$201,MATCH($B2860,Summary!$A$2:$A$201,0))</f>
        <v>1</v>
      </c>
      <c r="U2860" s="2" t="n">
        <f aca="false">INDEX(Summary!$Q$2:$Q$201,MATCH($B2860,Summary!$A$2:$A$201,0))</f>
        <v>12.6</v>
      </c>
      <c r="V2860" s="2" t="n">
        <f aca="false">INDEX(Summary!$R$2:$R$201,MATCH($B2860,Summary!$A$2:$A$201,0))</f>
        <v>30.58</v>
      </c>
      <c r="W2860" s="0" t="str">
        <f aca="false">INDEX(Summary!$S$2:$S$201,MATCH($B2860,Summary!$A$2:$A$201,0))</f>
        <v>Gold</v>
      </c>
      <c r="X2860" s="2" t="n">
        <f aca="false">INDEX(Summary!$T$2:$T$201,MATCH($B2860,Summary!$A$2:$A$201,0))</f>
        <v>74.59</v>
      </c>
      <c r="Y2860" s="0" t="str">
        <f aca="false">INDEX('Reward Model'!$E$18:$E$37,MATCH($E2860,'Reward Model'!$A$18:$A$37,0))</f>
        <v>High</v>
      </c>
      <c r="Z2860" s="4" t="n">
        <f aca="false">ROUND(MIN(1,MAX('Reward Model'!$B$2,INDEX('Reward Model'!$C$12:$C$14,MATCH($K2860,'Reward Model'!$A$12:$A$14,0))/$J2860)),3)</f>
        <v>1</v>
      </c>
      <c r="AA2860" s="2" t="n">
        <f aca="false">IF($I2860="Correct",ROUND(INDEX('Reward Model'!$B$12:$B$14,MATCH($K2860,'Reward Model'!$A$12:$A$14,0))*Z2860,2),0)</f>
        <v>3</v>
      </c>
      <c r="AB2860" s="2" t="n">
        <f aca="false">IF($I2860="Correct",ROUND(INDEX('Reward Model'!$B$12:$B$14,MATCH($Y2860,'Reward Model'!$A$12:$A$14,0))*Z2860,2),0)</f>
        <v>3</v>
      </c>
    </row>
    <row r="2861" customFormat="false" ht="15" hidden="false" customHeight="false" outlineLevel="0" collapsed="false">
      <c r="A2861" s="0" t="s">
        <v>416</v>
      </c>
      <c r="B2861" s="0" t="s">
        <v>417</v>
      </c>
      <c r="C2861" s="0" t="s">
        <v>322</v>
      </c>
      <c r="D2861" s="0" t="s">
        <v>189</v>
      </c>
      <c r="E2861" s="0" t="n">
        <v>20</v>
      </c>
      <c r="F2861" s="0" t="s">
        <v>81</v>
      </c>
      <c r="G2861" s="0" t="s">
        <v>83</v>
      </c>
      <c r="H2861" s="0" t="s">
        <v>83</v>
      </c>
      <c r="I2861" s="0" t="s">
        <v>34</v>
      </c>
      <c r="J2861" s="0" t="n">
        <v>2.53</v>
      </c>
      <c r="K2861" s="0" t="s">
        <v>73</v>
      </c>
      <c r="L2861" s="0" t="n">
        <f aca="false">INDEX(Summary!$F$2:$F$201,MATCH($B2861,Summary!$A$2:$A$201,0))</f>
        <v>20</v>
      </c>
      <c r="M2861" s="0" t="n">
        <f aca="false">INDEX(Summary!$I$2:$I$201,MATCH($B2861,Summary!$A$2:$A$201,0))</f>
        <v>4</v>
      </c>
      <c r="N2861" s="0" t="n">
        <f aca="false">INDEX(Summary!$J$2:$J$201,MATCH($B2861,Summary!$A$2:$A$201,0))</f>
        <v>1</v>
      </c>
      <c r="O2861" s="2" t="n">
        <f aca="false">INDEX(Summary!$K$2:$K$201,MATCH($B2861,Summary!$A$2:$A$201,0))</f>
        <v>10.51</v>
      </c>
      <c r="P2861" s="3" t="n">
        <f aca="false">INDEX(Summary!$L$2:$L$201,MATCH($B2861,Summary!$A$2:$A$201,0))</f>
        <v>4</v>
      </c>
      <c r="Q2861" s="3" t="n">
        <f aca="false">INDEX(Summary!$M$2:$M$201,MATCH($B2861,Summary!$A$2:$A$201,0))</f>
        <v>2</v>
      </c>
      <c r="R2861" s="2" t="n">
        <f aca="false">INDEX(Summary!$N$2:$N$201,MATCH($B2861,Summary!$A$2:$A$201,0))</f>
        <v>9.57</v>
      </c>
      <c r="S2861" s="3" t="n">
        <f aca="false">INDEX(Summary!$O$2:$O$201,MATCH($B2861,Summary!$A$2:$A$201,0))</f>
        <v>8</v>
      </c>
      <c r="T2861" s="3" t="n">
        <f aca="false">INDEX(Summary!$P$2:$P$201,MATCH($B2861,Summary!$A$2:$A$201,0))</f>
        <v>1</v>
      </c>
      <c r="U2861" s="2" t="n">
        <f aca="false">INDEX(Summary!$Q$2:$Q$201,MATCH($B2861,Summary!$A$2:$A$201,0))</f>
        <v>12.6</v>
      </c>
      <c r="V2861" s="2" t="n">
        <f aca="false">INDEX(Summary!$R$2:$R$201,MATCH($B2861,Summary!$A$2:$A$201,0))</f>
        <v>30.58</v>
      </c>
      <c r="W2861" s="0" t="str">
        <f aca="false">INDEX(Summary!$S$2:$S$201,MATCH($B2861,Summary!$A$2:$A$201,0))</f>
        <v>Gold</v>
      </c>
      <c r="X2861" s="2" t="n">
        <f aca="false">INDEX(Summary!$T$2:$T$201,MATCH($B2861,Summary!$A$2:$A$201,0))</f>
        <v>74.59</v>
      </c>
      <c r="Y2861" s="0" t="str">
        <f aca="false">INDEX('Reward Model'!$E$18:$E$37,MATCH($E2861,'Reward Model'!$A$18:$A$37,0))</f>
        <v>High</v>
      </c>
      <c r="Z2861" s="4" t="n">
        <f aca="false">ROUND(MIN(1,MAX('Reward Model'!$B$2,INDEX('Reward Model'!$C$12:$C$14,MATCH($K2861,'Reward Model'!$A$12:$A$14,0))/$J2861)),3)</f>
        <v>0.791</v>
      </c>
      <c r="AA2861" s="2" t="n">
        <f aca="false">IF($I2861="Correct",ROUND(INDEX('Reward Model'!$B$12:$B$14,MATCH($K2861,'Reward Model'!$A$12:$A$14,0))*Z2861,2),0)</f>
        <v>2.37</v>
      </c>
      <c r="AB2861" s="2" t="n">
        <f aca="false">IF($I2861="Correct",ROUND(INDEX('Reward Model'!$B$12:$B$14,MATCH($Y2861,'Reward Model'!$A$12:$A$14,0))*Z2861,2),0)</f>
        <v>2.37</v>
      </c>
    </row>
    <row r="2862" customFormat="false" ht="15" hidden="false" customHeight="false" outlineLevel="0" collapsed="false">
      <c r="A2862" s="0" t="s">
        <v>418</v>
      </c>
      <c r="B2862" s="0" t="s">
        <v>419</v>
      </c>
      <c r="C2862" s="0" t="s">
        <v>322</v>
      </c>
      <c r="D2862" s="0" t="s">
        <v>189</v>
      </c>
      <c r="E2862" s="0" t="n">
        <v>1</v>
      </c>
      <c r="F2862" s="0" t="s">
        <v>32</v>
      </c>
      <c r="G2862" s="0" t="s">
        <v>33</v>
      </c>
      <c r="H2862" s="0" t="s">
        <v>33</v>
      </c>
      <c r="I2862" s="0" t="s">
        <v>34</v>
      </c>
      <c r="J2862" s="0" t="n">
        <v>1.68</v>
      </c>
      <c r="K2862" s="0" t="s">
        <v>35</v>
      </c>
      <c r="L2862" s="0" t="n">
        <f aca="false">INDEX(Summary!$F$2:$F$201,MATCH($B2862,Summary!$A$2:$A$201,0))</f>
        <v>20</v>
      </c>
      <c r="M2862" s="0" t="n">
        <f aca="false">INDEX(Summary!$I$2:$I$201,MATCH($B2862,Summary!$A$2:$A$201,0))</f>
        <v>4</v>
      </c>
      <c r="N2862" s="0" t="n">
        <f aca="false">INDEX(Summary!$J$2:$J$201,MATCH($B2862,Summary!$A$2:$A$201,0))</f>
        <v>1</v>
      </c>
      <c r="O2862" s="2" t="n">
        <f aca="false">INDEX(Summary!$K$2:$K$201,MATCH($B2862,Summary!$A$2:$A$201,0))</f>
        <v>10.8</v>
      </c>
      <c r="P2862" s="3" t="n">
        <f aca="false">INDEX(Summary!$L$2:$L$201,MATCH($B2862,Summary!$A$2:$A$201,0))</f>
        <v>4</v>
      </c>
      <c r="Q2862" s="3" t="n">
        <f aca="false">INDEX(Summary!$M$2:$M$201,MATCH($B2862,Summary!$A$2:$A$201,0))</f>
        <v>2</v>
      </c>
      <c r="R2862" s="2" t="n">
        <f aca="false">INDEX(Summary!$N$2:$N$201,MATCH($B2862,Summary!$A$2:$A$201,0))</f>
        <v>10.76</v>
      </c>
      <c r="S2862" s="3" t="n">
        <f aca="false">INDEX(Summary!$O$2:$O$201,MATCH($B2862,Summary!$A$2:$A$201,0))</f>
        <v>8</v>
      </c>
      <c r="T2862" s="3" t="n">
        <f aca="false">INDEX(Summary!$P$2:$P$201,MATCH($B2862,Summary!$A$2:$A$201,0))</f>
        <v>1</v>
      </c>
      <c r="U2862" s="2" t="n">
        <f aca="false">INDEX(Summary!$Q$2:$Q$201,MATCH($B2862,Summary!$A$2:$A$201,0))</f>
        <v>13.57</v>
      </c>
      <c r="V2862" s="2" t="n">
        <f aca="false">INDEX(Summary!$R$2:$R$201,MATCH($B2862,Summary!$A$2:$A$201,0))</f>
        <v>29.41</v>
      </c>
      <c r="W2862" s="0" t="str">
        <f aca="false">INDEX(Summary!$S$2:$S$201,MATCH($B2862,Summary!$A$2:$A$201,0))</f>
        <v>Gold</v>
      </c>
      <c r="X2862" s="2" t="n">
        <f aca="false">INDEX(Summary!$T$2:$T$201,MATCH($B2862,Summary!$A$2:$A$201,0))</f>
        <v>71.73</v>
      </c>
      <c r="Y2862" s="0" t="str">
        <f aca="false">INDEX('Reward Model'!$E$18:$E$37,MATCH($E2862,'Reward Model'!$A$18:$A$37,0))</f>
        <v>Medium</v>
      </c>
      <c r="Z2862" s="4" t="n">
        <f aca="false">ROUND(MIN(1,MAX('Reward Model'!$B$2,INDEX('Reward Model'!$C$12:$C$14,MATCH($K2862,'Reward Model'!$A$12:$A$14,0))/$J2862)),3)</f>
        <v>0.893</v>
      </c>
      <c r="AA2862" s="2" t="n">
        <f aca="false">IF($I2862="Correct",ROUND(INDEX('Reward Model'!$B$12:$B$14,MATCH($K2862,'Reward Model'!$A$12:$A$14,0))*Z2862,2),0)</f>
        <v>0.89</v>
      </c>
      <c r="AB2862" s="2" t="n">
        <f aca="false">IF($I2862="Correct",ROUND(INDEX('Reward Model'!$B$12:$B$14,MATCH($Y2862,'Reward Model'!$A$12:$A$14,0))*Z2862,2),0)</f>
        <v>1.79</v>
      </c>
    </row>
    <row r="2863" customFormat="false" ht="15" hidden="false" customHeight="false" outlineLevel="0" collapsed="false">
      <c r="A2863" s="0" t="s">
        <v>418</v>
      </c>
      <c r="B2863" s="0" t="s">
        <v>419</v>
      </c>
      <c r="C2863" s="0" t="s">
        <v>322</v>
      </c>
      <c r="D2863" s="0" t="s">
        <v>189</v>
      </c>
      <c r="E2863" s="0" t="n">
        <v>2</v>
      </c>
      <c r="F2863" s="0" t="s">
        <v>36</v>
      </c>
      <c r="G2863" s="0" t="s">
        <v>38</v>
      </c>
      <c r="H2863" s="0" t="s">
        <v>38</v>
      </c>
      <c r="I2863" s="0" t="s">
        <v>34</v>
      </c>
      <c r="J2863" s="0" t="n">
        <v>1.01</v>
      </c>
      <c r="K2863" s="0" t="s">
        <v>35</v>
      </c>
      <c r="L2863" s="0" t="n">
        <f aca="false">INDEX(Summary!$F$2:$F$201,MATCH($B2863,Summary!$A$2:$A$201,0))</f>
        <v>20</v>
      </c>
      <c r="M2863" s="0" t="n">
        <f aca="false">INDEX(Summary!$I$2:$I$201,MATCH($B2863,Summary!$A$2:$A$201,0))</f>
        <v>4</v>
      </c>
      <c r="N2863" s="0" t="n">
        <f aca="false">INDEX(Summary!$J$2:$J$201,MATCH($B2863,Summary!$A$2:$A$201,0))</f>
        <v>1</v>
      </c>
      <c r="O2863" s="2" t="n">
        <f aca="false">INDEX(Summary!$K$2:$K$201,MATCH($B2863,Summary!$A$2:$A$201,0))</f>
        <v>10.8</v>
      </c>
      <c r="P2863" s="3" t="n">
        <f aca="false">INDEX(Summary!$L$2:$L$201,MATCH($B2863,Summary!$A$2:$A$201,0))</f>
        <v>4</v>
      </c>
      <c r="Q2863" s="3" t="n">
        <f aca="false">INDEX(Summary!$M$2:$M$201,MATCH($B2863,Summary!$A$2:$A$201,0))</f>
        <v>2</v>
      </c>
      <c r="R2863" s="2" t="n">
        <f aca="false">INDEX(Summary!$N$2:$N$201,MATCH($B2863,Summary!$A$2:$A$201,0))</f>
        <v>10.76</v>
      </c>
      <c r="S2863" s="3" t="n">
        <f aca="false">INDEX(Summary!$O$2:$O$201,MATCH($B2863,Summary!$A$2:$A$201,0))</f>
        <v>8</v>
      </c>
      <c r="T2863" s="3" t="n">
        <f aca="false">INDEX(Summary!$P$2:$P$201,MATCH($B2863,Summary!$A$2:$A$201,0))</f>
        <v>1</v>
      </c>
      <c r="U2863" s="2" t="n">
        <f aca="false">INDEX(Summary!$Q$2:$Q$201,MATCH($B2863,Summary!$A$2:$A$201,0))</f>
        <v>13.57</v>
      </c>
      <c r="V2863" s="2" t="n">
        <f aca="false">INDEX(Summary!$R$2:$R$201,MATCH($B2863,Summary!$A$2:$A$201,0))</f>
        <v>29.41</v>
      </c>
      <c r="W2863" s="0" t="str">
        <f aca="false">INDEX(Summary!$S$2:$S$201,MATCH($B2863,Summary!$A$2:$A$201,0))</f>
        <v>Gold</v>
      </c>
      <c r="X2863" s="2" t="n">
        <f aca="false">INDEX(Summary!$T$2:$T$201,MATCH($B2863,Summary!$A$2:$A$201,0))</f>
        <v>71.73</v>
      </c>
      <c r="Y2863" s="0" t="str">
        <f aca="false">INDEX('Reward Model'!$E$18:$E$37,MATCH($E2863,'Reward Model'!$A$18:$A$37,0))</f>
        <v>Low</v>
      </c>
      <c r="Z2863" s="4" t="n">
        <f aca="false">ROUND(MIN(1,MAX('Reward Model'!$B$2,INDEX('Reward Model'!$C$12:$C$14,MATCH($K2863,'Reward Model'!$A$12:$A$14,0))/$J2863)),3)</f>
        <v>1</v>
      </c>
      <c r="AA2863" s="2" t="n">
        <f aca="false">IF($I2863="Correct",ROUND(INDEX('Reward Model'!$B$12:$B$14,MATCH($K2863,'Reward Model'!$A$12:$A$14,0))*Z2863,2),0)</f>
        <v>1</v>
      </c>
      <c r="AB2863" s="2" t="n">
        <f aca="false">IF($I2863="Correct",ROUND(INDEX('Reward Model'!$B$12:$B$14,MATCH($Y2863,'Reward Model'!$A$12:$A$14,0))*Z2863,2),0)</f>
        <v>1</v>
      </c>
    </row>
    <row r="2864" customFormat="false" ht="15" hidden="false" customHeight="false" outlineLevel="0" collapsed="false">
      <c r="A2864" s="0" t="s">
        <v>418</v>
      </c>
      <c r="B2864" s="0" t="s">
        <v>419</v>
      </c>
      <c r="C2864" s="0" t="s">
        <v>322</v>
      </c>
      <c r="D2864" s="0" t="s">
        <v>189</v>
      </c>
      <c r="E2864" s="0" t="n">
        <v>3</v>
      </c>
      <c r="F2864" s="0" t="s">
        <v>40</v>
      </c>
      <c r="G2864" s="0" t="s">
        <v>42</v>
      </c>
      <c r="H2864" s="0" t="s">
        <v>42</v>
      </c>
      <c r="I2864" s="0" t="s">
        <v>34</v>
      </c>
      <c r="J2864" s="0" t="n">
        <v>1.76</v>
      </c>
      <c r="K2864" s="0" t="s">
        <v>35</v>
      </c>
      <c r="L2864" s="0" t="n">
        <f aca="false">INDEX(Summary!$F$2:$F$201,MATCH($B2864,Summary!$A$2:$A$201,0))</f>
        <v>20</v>
      </c>
      <c r="M2864" s="0" t="n">
        <f aca="false">INDEX(Summary!$I$2:$I$201,MATCH($B2864,Summary!$A$2:$A$201,0))</f>
        <v>4</v>
      </c>
      <c r="N2864" s="0" t="n">
        <f aca="false">INDEX(Summary!$J$2:$J$201,MATCH($B2864,Summary!$A$2:$A$201,0))</f>
        <v>1</v>
      </c>
      <c r="O2864" s="2" t="n">
        <f aca="false">INDEX(Summary!$K$2:$K$201,MATCH($B2864,Summary!$A$2:$A$201,0))</f>
        <v>10.8</v>
      </c>
      <c r="P2864" s="3" t="n">
        <f aca="false">INDEX(Summary!$L$2:$L$201,MATCH($B2864,Summary!$A$2:$A$201,0))</f>
        <v>4</v>
      </c>
      <c r="Q2864" s="3" t="n">
        <f aca="false">INDEX(Summary!$M$2:$M$201,MATCH($B2864,Summary!$A$2:$A$201,0))</f>
        <v>2</v>
      </c>
      <c r="R2864" s="2" t="n">
        <f aca="false">INDEX(Summary!$N$2:$N$201,MATCH($B2864,Summary!$A$2:$A$201,0))</f>
        <v>10.76</v>
      </c>
      <c r="S2864" s="3" t="n">
        <f aca="false">INDEX(Summary!$O$2:$O$201,MATCH($B2864,Summary!$A$2:$A$201,0))</f>
        <v>8</v>
      </c>
      <c r="T2864" s="3" t="n">
        <f aca="false">INDEX(Summary!$P$2:$P$201,MATCH($B2864,Summary!$A$2:$A$201,0))</f>
        <v>1</v>
      </c>
      <c r="U2864" s="2" t="n">
        <f aca="false">INDEX(Summary!$Q$2:$Q$201,MATCH($B2864,Summary!$A$2:$A$201,0))</f>
        <v>13.57</v>
      </c>
      <c r="V2864" s="2" t="n">
        <f aca="false">INDEX(Summary!$R$2:$R$201,MATCH($B2864,Summary!$A$2:$A$201,0))</f>
        <v>29.41</v>
      </c>
      <c r="W2864" s="0" t="str">
        <f aca="false">INDEX(Summary!$S$2:$S$201,MATCH($B2864,Summary!$A$2:$A$201,0))</f>
        <v>Gold</v>
      </c>
      <c r="X2864" s="2" t="n">
        <f aca="false">INDEX(Summary!$T$2:$T$201,MATCH($B2864,Summary!$A$2:$A$201,0))</f>
        <v>71.73</v>
      </c>
      <c r="Y2864" s="0" t="str">
        <f aca="false">INDEX('Reward Model'!$E$18:$E$37,MATCH($E2864,'Reward Model'!$A$18:$A$37,0))</f>
        <v>Medium</v>
      </c>
      <c r="Z2864" s="4" t="n">
        <f aca="false">ROUND(MIN(1,MAX('Reward Model'!$B$2,INDEX('Reward Model'!$C$12:$C$14,MATCH($K2864,'Reward Model'!$A$12:$A$14,0))/$J2864)),3)</f>
        <v>0.852</v>
      </c>
      <c r="AA2864" s="2" t="n">
        <f aca="false">IF($I2864="Correct",ROUND(INDEX('Reward Model'!$B$12:$B$14,MATCH($K2864,'Reward Model'!$A$12:$A$14,0))*Z2864,2),0)</f>
        <v>0.85</v>
      </c>
      <c r="AB2864" s="2" t="n">
        <f aca="false">IF($I2864="Correct",ROUND(INDEX('Reward Model'!$B$12:$B$14,MATCH($Y2864,'Reward Model'!$A$12:$A$14,0))*Z2864,2),0)</f>
        <v>1.7</v>
      </c>
    </row>
    <row r="2865" customFormat="false" ht="15" hidden="false" customHeight="false" outlineLevel="0" collapsed="false">
      <c r="A2865" s="0" t="s">
        <v>418</v>
      </c>
      <c r="B2865" s="0" t="s">
        <v>419</v>
      </c>
      <c r="C2865" s="0" t="s">
        <v>322</v>
      </c>
      <c r="D2865" s="0" t="s">
        <v>189</v>
      </c>
      <c r="E2865" s="0" t="n">
        <v>4</v>
      </c>
      <c r="F2865" s="0" t="s">
        <v>43</v>
      </c>
      <c r="G2865" s="0" t="s">
        <v>45</v>
      </c>
      <c r="H2865" s="0" t="s">
        <v>45</v>
      </c>
      <c r="I2865" s="0" t="s">
        <v>34</v>
      </c>
      <c r="J2865" s="0" t="n">
        <v>1.08</v>
      </c>
      <c r="K2865" s="0" t="s">
        <v>35</v>
      </c>
      <c r="L2865" s="0" t="n">
        <f aca="false">INDEX(Summary!$F$2:$F$201,MATCH($B2865,Summary!$A$2:$A$201,0))</f>
        <v>20</v>
      </c>
      <c r="M2865" s="0" t="n">
        <f aca="false">INDEX(Summary!$I$2:$I$201,MATCH($B2865,Summary!$A$2:$A$201,0))</f>
        <v>4</v>
      </c>
      <c r="N2865" s="0" t="n">
        <f aca="false">INDEX(Summary!$J$2:$J$201,MATCH($B2865,Summary!$A$2:$A$201,0))</f>
        <v>1</v>
      </c>
      <c r="O2865" s="2" t="n">
        <f aca="false">INDEX(Summary!$K$2:$K$201,MATCH($B2865,Summary!$A$2:$A$201,0))</f>
        <v>10.8</v>
      </c>
      <c r="P2865" s="3" t="n">
        <f aca="false">INDEX(Summary!$L$2:$L$201,MATCH($B2865,Summary!$A$2:$A$201,0))</f>
        <v>4</v>
      </c>
      <c r="Q2865" s="3" t="n">
        <f aca="false">INDEX(Summary!$M$2:$M$201,MATCH($B2865,Summary!$A$2:$A$201,0))</f>
        <v>2</v>
      </c>
      <c r="R2865" s="2" t="n">
        <f aca="false">INDEX(Summary!$N$2:$N$201,MATCH($B2865,Summary!$A$2:$A$201,0))</f>
        <v>10.76</v>
      </c>
      <c r="S2865" s="3" t="n">
        <f aca="false">INDEX(Summary!$O$2:$O$201,MATCH($B2865,Summary!$A$2:$A$201,0))</f>
        <v>8</v>
      </c>
      <c r="T2865" s="3" t="n">
        <f aca="false">INDEX(Summary!$P$2:$P$201,MATCH($B2865,Summary!$A$2:$A$201,0))</f>
        <v>1</v>
      </c>
      <c r="U2865" s="2" t="n">
        <f aca="false">INDEX(Summary!$Q$2:$Q$201,MATCH($B2865,Summary!$A$2:$A$201,0))</f>
        <v>13.57</v>
      </c>
      <c r="V2865" s="2" t="n">
        <f aca="false">INDEX(Summary!$R$2:$R$201,MATCH($B2865,Summary!$A$2:$A$201,0))</f>
        <v>29.41</v>
      </c>
      <c r="W2865" s="0" t="str">
        <f aca="false">INDEX(Summary!$S$2:$S$201,MATCH($B2865,Summary!$A$2:$A$201,0))</f>
        <v>Gold</v>
      </c>
      <c r="X2865" s="2" t="n">
        <f aca="false">INDEX(Summary!$T$2:$T$201,MATCH($B2865,Summary!$A$2:$A$201,0))</f>
        <v>71.73</v>
      </c>
      <c r="Y2865" s="0" t="str">
        <f aca="false">INDEX('Reward Model'!$E$18:$E$37,MATCH($E2865,'Reward Model'!$A$18:$A$37,0))</f>
        <v>Low</v>
      </c>
      <c r="Z2865" s="4" t="n">
        <f aca="false">ROUND(MIN(1,MAX('Reward Model'!$B$2,INDEX('Reward Model'!$C$12:$C$14,MATCH($K2865,'Reward Model'!$A$12:$A$14,0))/$J2865)),3)</f>
        <v>1</v>
      </c>
      <c r="AA2865" s="2" t="n">
        <f aca="false">IF($I2865="Correct",ROUND(INDEX('Reward Model'!$B$12:$B$14,MATCH($K2865,'Reward Model'!$A$12:$A$14,0))*Z2865,2),0)</f>
        <v>1</v>
      </c>
      <c r="AB2865" s="2" t="n">
        <f aca="false">IF($I2865="Correct",ROUND(INDEX('Reward Model'!$B$12:$B$14,MATCH($Y2865,'Reward Model'!$A$12:$A$14,0))*Z2865,2),0)</f>
        <v>1</v>
      </c>
    </row>
    <row r="2866" customFormat="false" ht="15" hidden="false" customHeight="false" outlineLevel="0" collapsed="false">
      <c r="A2866" s="0" t="s">
        <v>418</v>
      </c>
      <c r="B2866" s="0" t="s">
        <v>419</v>
      </c>
      <c r="C2866" s="0" t="s">
        <v>322</v>
      </c>
      <c r="D2866" s="0" t="s">
        <v>189</v>
      </c>
      <c r="E2866" s="0" t="n">
        <v>5</v>
      </c>
      <c r="F2866" s="0" t="s">
        <v>46</v>
      </c>
      <c r="G2866" s="0" t="s">
        <v>47</v>
      </c>
      <c r="H2866" s="0" t="s">
        <v>47</v>
      </c>
      <c r="I2866" s="0" t="s">
        <v>34</v>
      </c>
      <c r="J2866" s="0" t="n">
        <v>1.41</v>
      </c>
      <c r="K2866" s="0" t="s">
        <v>35</v>
      </c>
      <c r="L2866" s="0" t="n">
        <f aca="false">INDEX(Summary!$F$2:$F$201,MATCH($B2866,Summary!$A$2:$A$201,0))</f>
        <v>20</v>
      </c>
      <c r="M2866" s="0" t="n">
        <f aca="false">INDEX(Summary!$I$2:$I$201,MATCH($B2866,Summary!$A$2:$A$201,0))</f>
        <v>4</v>
      </c>
      <c r="N2866" s="0" t="n">
        <f aca="false">INDEX(Summary!$J$2:$J$201,MATCH($B2866,Summary!$A$2:$A$201,0))</f>
        <v>1</v>
      </c>
      <c r="O2866" s="2" t="n">
        <f aca="false">INDEX(Summary!$K$2:$K$201,MATCH($B2866,Summary!$A$2:$A$201,0))</f>
        <v>10.8</v>
      </c>
      <c r="P2866" s="3" t="n">
        <f aca="false">INDEX(Summary!$L$2:$L$201,MATCH($B2866,Summary!$A$2:$A$201,0))</f>
        <v>4</v>
      </c>
      <c r="Q2866" s="3" t="n">
        <f aca="false">INDEX(Summary!$M$2:$M$201,MATCH($B2866,Summary!$A$2:$A$201,0))</f>
        <v>2</v>
      </c>
      <c r="R2866" s="2" t="n">
        <f aca="false">INDEX(Summary!$N$2:$N$201,MATCH($B2866,Summary!$A$2:$A$201,0))</f>
        <v>10.76</v>
      </c>
      <c r="S2866" s="3" t="n">
        <f aca="false">INDEX(Summary!$O$2:$O$201,MATCH($B2866,Summary!$A$2:$A$201,0))</f>
        <v>8</v>
      </c>
      <c r="T2866" s="3" t="n">
        <f aca="false">INDEX(Summary!$P$2:$P$201,MATCH($B2866,Summary!$A$2:$A$201,0))</f>
        <v>1</v>
      </c>
      <c r="U2866" s="2" t="n">
        <f aca="false">INDEX(Summary!$Q$2:$Q$201,MATCH($B2866,Summary!$A$2:$A$201,0))</f>
        <v>13.57</v>
      </c>
      <c r="V2866" s="2" t="n">
        <f aca="false">INDEX(Summary!$R$2:$R$201,MATCH($B2866,Summary!$A$2:$A$201,0))</f>
        <v>29.41</v>
      </c>
      <c r="W2866" s="0" t="str">
        <f aca="false">INDEX(Summary!$S$2:$S$201,MATCH($B2866,Summary!$A$2:$A$201,0))</f>
        <v>Gold</v>
      </c>
      <c r="X2866" s="2" t="n">
        <f aca="false">INDEX(Summary!$T$2:$T$201,MATCH($B2866,Summary!$A$2:$A$201,0))</f>
        <v>71.73</v>
      </c>
      <c r="Y2866" s="0" t="str">
        <f aca="false">INDEX('Reward Model'!$E$18:$E$37,MATCH($E2866,'Reward Model'!$A$18:$A$37,0))</f>
        <v>Low</v>
      </c>
      <c r="Z2866" s="4" t="n">
        <f aca="false">ROUND(MIN(1,MAX('Reward Model'!$B$2,INDEX('Reward Model'!$C$12:$C$14,MATCH($K2866,'Reward Model'!$A$12:$A$14,0))/$J2866)),3)</f>
        <v>1</v>
      </c>
      <c r="AA2866" s="2" t="n">
        <f aca="false">IF($I2866="Correct",ROUND(INDEX('Reward Model'!$B$12:$B$14,MATCH($K2866,'Reward Model'!$A$12:$A$14,0))*Z2866,2),0)</f>
        <v>1</v>
      </c>
      <c r="AB2866" s="2" t="n">
        <f aca="false">IF($I2866="Correct",ROUND(INDEX('Reward Model'!$B$12:$B$14,MATCH($Y2866,'Reward Model'!$A$12:$A$14,0))*Z2866,2),0)</f>
        <v>1</v>
      </c>
    </row>
    <row r="2867" customFormat="false" ht="15" hidden="false" customHeight="false" outlineLevel="0" collapsed="false">
      <c r="A2867" s="0" t="s">
        <v>418</v>
      </c>
      <c r="B2867" s="0" t="s">
        <v>419</v>
      </c>
      <c r="C2867" s="0" t="s">
        <v>322</v>
      </c>
      <c r="D2867" s="0" t="s">
        <v>189</v>
      </c>
      <c r="E2867" s="0" t="n">
        <v>6</v>
      </c>
      <c r="F2867" s="0" t="s">
        <v>48</v>
      </c>
      <c r="G2867" s="0" t="s">
        <v>169</v>
      </c>
      <c r="H2867" s="0" t="s">
        <v>49</v>
      </c>
      <c r="I2867" s="0" t="s">
        <v>39</v>
      </c>
      <c r="J2867" s="0" t="n">
        <v>1.85</v>
      </c>
      <c r="K2867" s="0" t="s">
        <v>35</v>
      </c>
      <c r="L2867" s="0" t="n">
        <f aca="false">INDEX(Summary!$F$2:$F$201,MATCH($B2867,Summary!$A$2:$A$201,0))</f>
        <v>20</v>
      </c>
      <c r="M2867" s="0" t="n">
        <f aca="false">INDEX(Summary!$I$2:$I$201,MATCH($B2867,Summary!$A$2:$A$201,0))</f>
        <v>4</v>
      </c>
      <c r="N2867" s="0" t="n">
        <f aca="false">INDEX(Summary!$J$2:$J$201,MATCH($B2867,Summary!$A$2:$A$201,0))</f>
        <v>1</v>
      </c>
      <c r="O2867" s="2" t="n">
        <f aca="false">INDEX(Summary!$K$2:$K$201,MATCH($B2867,Summary!$A$2:$A$201,0))</f>
        <v>10.8</v>
      </c>
      <c r="P2867" s="3" t="n">
        <f aca="false">INDEX(Summary!$L$2:$L$201,MATCH($B2867,Summary!$A$2:$A$201,0))</f>
        <v>4</v>
      </c>
      <c r="Q2867" s="3" t="n">
        <f aca="false">INDEX(Summary!$M$2:$M$201,MATCH($B2867,Summary!$A$2:$A$201,0))</f>
        <v>2</v>
      </c>
      <c r="R2867" s="2" t="n">
        <f aca="false">INDEX(Summary!$N$2:$N$201,MATCH($B2867,Summary!$A$2:$A$201,0))</f>
        <v>10.76</v>
      </c>
      <c r="S2867" s="3" t="n">
        <f aca="false">INDEX(Summary!$O$2:$O$201,MATCH($B2867,Summary!$A$2:$A$201,0))</f>
        <v>8</v>
      </c>
      <c r="T2867" s="3" t="n">
        <f aca="false">INDEX(Summary!$P$2:$P$201,MATCH($B2867,Summary!$A$2:$A$201,0))</f>
        <v>1</v>
      </c>
      <c r="U2867" s="2" t="n">
        <f aca="false">INDEX(Summary!$Q$2:$Q$201,MATCH($B2867,Summary!$A$2:$A$201,0))</f>
        <v>13.57</v>
      </c>
      <c r="V2867" s="2" t="n">
        <f aca="false">INDEX(Summary!$R$2:$R$201,MATCH($B2867,Summary!$A$2:$A$201,0))</f>
        <v>29.41</v>
      </c>
      <c r="W2867" s="0" t="str">
        <f aca="false">INDEX(Summary!$S$2:$S$201,MATCH($B2867,Summary!$A$2:$A$201,0))</f>
        <v>Gold</v>
      </c>
      <c r="X2867" s="2" t="n">
        <f aca="false">INDEX(Summary!$T$2:$T$201,MATCH($B2867,Summary!$A$2:$A$201,0))</f>
        <v>71.73</v>
      </c>
      <c r="Y2867" s="0" t="str">
        <f aca="false">INDEX('Reward Model'!$E$18:$E$37,MATCH($E2867,'Reward Model'!$A$18:$A$37,0))</f>
        <v>Medium</v>
      </c>
      <c r="Z2867" s="4" t="n">
        <f aca="false">ROUND(MIN(1,MAX('Reward Model'!$B$2,INDEX('Reward Model'!$C$12:$C$14,MATCH($K2867,'Reward Model'!$A$12:$A$14,0))/$J2867)),3)</f>
        <v>0.811</v>
      </c>
      <c r="AA2867" s="2" t="n">
        <f aca="false">IF($I2867="Correct",ROUND(INDEX('Reward Model'!$B$12:$B$14,MATCH($K2867,'Reward Model'!$A$12:$A$14,0))*Z2867,2),0)</f>
        <v>0</v>
      </c>
      <c r="AB2867" s="2" t="n">
        <f aca="false">IF($I2867="Correct",ROUND(INDEX('Reward Model'!$B$12:$B$14,MATCH($Y2867,'Reward Model'!$A$12:$A$14,0))*Z2867,2),0)</f>
        <v>0</v>
      </c>
    </row>
    <row r="2868" customFormat="false" ht="15" hidden="false" customHeight="false" outlineLevel="0" collapsed="false">
      <c r="A2868" s="0" t="s">
        <v>418</v>
      </c>
      <c r="B2868" s="0" t="s">
        <v>419</v>
      </c>
      <c r="C2868" s="0" t="s">
        <v>322</v>
      </c>
      <c r="D2868" s="0" t="s">
        <v>189</v>
      </c>
      <c r="E2868" s="0" t="n">
        <v>7</v>
      </c>
      <c r="F2868" s="0" t="s">
        <v>50</v>
      </c>
      <c r="G2868" s="0" t="s">
        <v>51</v>
      </c>
      <c r="H2868" s="0" t="s">
        <v>51</v>
      </c>
      <c r="I2868" s="0" t="s">
        <v>34</v>
      </c>
      <c r="J2868" s="0" t="n">
        <v>1.76</v>
      </c>
      <c r="K2868" s="0" t="s">
        <v>35</v>
      </c>
      <c r="L2868" s="0" t="n">
        <f aca="false">INDEX(Summary!$F$2:$F$201,MATCH($B2868,Summary!$A$2:$A$201,0))</f>
        <v>20</v>
      </c>
      <c r="M2868" s="0" t="n">
        <f aca="false">INDEX(Summary!$I$2:$I$201,MATCH($B2868,Summary!$A$2:$A$201,0))</f>
        <v>4</v>
      </c>
      <c r="N2868" s="0" t="n">
        <f aca="false">INDEX(Summary!$J$2:$J$201,MATCH($B2868,Summary!$A$2:$A$201,0))</f>
        <v>1</v>
      </c>
      <c r="O2868" s="2" t="n">
        <f aca="false">INDEX(Summary!$K$2:$K$201,MATCH($B2868,Summary!$A$2:$A$201,0))</f>
        <v>10.8</v>
      </c>
      <c r="P2868" s="3" t="n">
        <f aca="false">INDEX(Summary!$L$2:$L$201,MATCH($B2868,Summary!$A$2:$A$201,0))</f>
        <v>4</v>
      </c>
      <c r="Q2868" s="3" t="n">
        <f aca="false">INDEX(Summary!$M$2:$M$201,MATCH($B2868,Summary!$A$2:$A$201,0))</f>
        <v>2</v>
      </c>
      <c r="R2868" s="2" t="n">
        <f aca="false">INDEX(Summary!$N$2:$N$201,MATCH($B2868,Summary!$A$2:$A$201,0))</f>
        <v>10.76</v>
      </c>
      <c r="S2868" s="3" t="n">
        <f aca="false">INDEX(Summary!$O$2:$O$201,MATCH($B2868,Summary!$A$2:$A$201,0))</f>
        <v>8</v>
      </c>
      <c r="T2868" s="3" t="n">
        <f aca="false">INDEX(Summary!$P$2:$P$201,MATCH($B2868,Summary!$A$2:$A$201,0))</f>
        <v>1</v>
      </c>
      <c r="U2868" s="2" t="n">
        <f aca="false">INDEX(Summary!$Q$2:$Q$201,MATCH($B2868,Summary!$A$2:$A$201,0))</f>
        <v>13.57</v>
      </c>
      <c r="V2868" s="2" t="n">
        <f aca="false">INDEX(Summary!$R$2:$R$201,MATCH($B2868,Summary!$A$2:$A$201,0))</f>
        <v>29.41</v>
      </c>
      <c r="W2868" s="0" t="str">
        <f aca="false">INDEX(Summary!$S$2:$S$201,MATCH($B2868,Summary!$A$2:$A$201,0))</f>
        <v>Gold</v>
      </c>
      <c r="X2868" s="2" t="n">
        <f aca="false">INDEX(Summary!$T$2:$T$201,MATCH($B2868,Summary!$A$2:$A$201,0))</f>
        <v>71.73</v>
      </c>
      <c r="Y2868" s="0" t="str">
        <f aca="false">INDEX('Reward Model'!$E$18:$E$37,MATCH($E2868,'Reward Model'!$A$18:$A$37,0))</f>
        <v>Low</v>
      </c>
      <c r="Z2868" s="4" t="n">
        <f aca="false">ROUND(MIN(1,MAX('Reward Model'!$B$2,INDEX('Reward Model'!$C$12:$C$14,MATCH($K2868,'Reward Model'!$A$12:$A$14,0))/$J2868)),3)</f>
        <v>0.852</v>
      </c>
      <c r="AA2868" s="2" t="n">
        <f aca="false">IF($I2868="Correct",ROUND(INDEX('Reward Model'!$B$12:$B$14,MATCH($K2868,'Reward Model'!$A$12:$A$14,0))*Z2868,2),0)</f>
        <v>0.85</v>
      </c>
      <c r="AB2868" s="2" t="n">
        <f aca="false">IF($I2868="Correct",ROUND(INDEX('Reward Model'!$B$12:$B$14,MATCH($Y2868,'Reward Model'!$A$12:$A$14,0))*Z2868,2),0)</f>
        <v>0.85</v>
      </c>
    </row>
    <row r="2869" customFormat="false" ht="15" hidden="false" customHeight="false" outlineLevel="0" collapsed="false">
      <c r="A2869" s="0" t="s">
        <v>418</v>
      </c>
      <c r="B2869" s="0" t="s">
        <v>419</v>
      </c>
      <c r="C2869" s="0" t="s">
        <v>322</v>
      </c>
      <c r="D2869" s="0" t="s">
        <v>189</v>
      </c>
      <c r="E2869" s="0" t="n">
        <v>8</v>
      </c>
      <c r="F2869" s="0" t="s">
        <v>52</v>
      </c>
      <c r="G2869" s="0" t="s">
        <v>54</v>
      </c>
      <c r="H2869" s="0" t="s">
        <v>54</v>
      </c>
      <c r="I2869" s="0" t="s">
        <v>34</v>
      </c>
      <c r="J2869" s="0" t="n">
        <v>1.89</v>
      </c>
      <c r="K2869" s="0" t="s">
        <v>35</v>
      </c>
      <c r="L2869" s="0" t="n">
        <f aca="false">INDEX(Summary!$F$2:$F$201,MATCH($B2869,Summary!$A$2:$A$201,0))</f>
        <v>20</v>
      </c>
      <c r="M2869" s="0" t="n">
        <f aca="false">INDEX(Summary!$I$2:$I$201,MATCH($B2869,Summary!$A$2:$A$201,0))</f>
        <v>4</v>
      </c>
      <c r="N2869" s="0" t="n">
        <f aca="false">INDEX(Summary!$J$2:$J$201,MATCH($B2869,Summary!$A$2:$A$201,0))</f>
        <v>1</v>
      </c>
      <c r="O2869" s="2" t="n">
        <f aca="false">INDEX(Summary!$K$2:$K$201,MATCH($B2869,Summary!$A$2:$A$201,0))</f>
        <v>10.8</v>
      </c>
      <c r="P2869" s="3" t="n">
        <f aca="false">INDEX(Summary!$L$2:$L$201,MATCH($B2869,Summary!$A$2:$A$201,0))</f>
        <v>4</v>
      </c>
      <c r="Q2869" s="3" t="n">
        <f aca="false">INDEX(Summary!$M$2:$M$201,MATCH($B2869,Summary!$A$2:$A$201,0))</f>
        <v>2</v>
      </c>
      <c r="R2869" s="2" t="n">
        <f aca="false">INDEX(Summary!$N$2:$N$201,MATCH($B2869,Summary!$A$2:$A$201,0))</f>
        <v>10.76</v>
      </c>
      <c r="S2869" s="3" t="n">
        <f aca="false">INDEX(Summary!$O$2:$O$201,MATCH($B2869,Summary!$A$2:$A$201,0))</f>
        <v>8</v>
      </c>
      <c r="T2869" s="3" t="n">
        <f aca="false">INDEX(Summary!$P$2:$P$201,MATCH($B2869,Summary!$A$2:$A$201,0))</f>
        <v>1</v>
      </c>
      <c r="U2869" s="2" t="n">
        <f aca="false">INDEX(Summary!$Q$2:$Q$201,MATCH($B2869,Summary!$A$2:$A$201,0))</f>
        <v>13.57</v>
      </c>
      <c r="V2869" s="2" t="n">
        <f aca="false">INDEX(Summary!$R$2:$R$201,MATCH($B2869,Summary!$A$2:$A$201,0))</f>
        <v>29.41</v>
      </c>
      <c r="W2869" s="0" t="str">
        <f aca="false">INDEX(Summary!$S$2:$S$201,MATCH($B2869,Summary!$A$2:$A$201,0))</f>
        <v>Gold</v>
      </c>
      <c r="X2869" s="2" t="n">
        <f aca="false">INDEX(Summary!$T$2:$T$201,MATCH($B2869,Summary!$A$2:$A$201,0))</f>
        <v>71.73</v>
      </c>
      <c r="Y2869" s="0" t="str">
        <f aca="false">INDEX('Reward Model'!$E$18:$E$37,MATCH($E2869,'Reward Model'!$A$18:$A$37,0))</f>
        <v>Medium</v>
      </c>
      <c r="Z2869" s="4" t="n">
        <f aca="false">ROUND(MIN(1,MAX('Reward Model'!$B$2,INDEX('Reward Model'!$C$12:$C$14,MATCH($K2869,'Reward Model'!$A$12:$A$14,0))/$J2869)),3)</f>
        <v>0.794</v>
      </c>
      <c r="AA2869" s="2" t="n">
        <f aca="false">IF($I2869="Correct",ROUND(INDEX('Reward Model'!$B$12:$B$14,MATCH($K2869,'Reward Model'!$A$12:$A$14,0))*Z2869,2),0)</f>
        <v>0.79</v>
      </c>
      <c r="AB2869" s="2" t="n">
        <f aca="false">IF($I2869="Correct",ROUND(INDEX('Reward Model'!$B$12:$B$14,MATCH($Y2869,'Reward Model'!$A$12:$A$14,0))*Z2869,2),0)</f>
        <v>1.59</v>
      </c>
    </row>
    <row r="2870" customFormat="false" ht="15" hidden="false" customHeight="false" outlineLevel="0" collapsed="false">
      <c r="A2870" s="0" t="s">
        <v>418</v>
      </c>
      <c r="B2870" s="0" t="s">
        <v>419</v>
      </c>
      <c r="C2870" s="0" t="s">
        <v>322</v>
      </c>
      <c r="D2870" s="0" t="s">
        <v>189</v>
      </c>
      <c r="E2870" s="0" t="n">
        <v>9</v>
      </c>
      <c r="F2870" s="0" t="s">
        <v>55</v>
      </c>
      <c r="G2870" s="0" t="s">
        <v>57</v>
      </c>
      <c r="H2870" s="0" t="s">
        <v>57</v>
      </c>
      <c r="I2870" s="0" t="s">
        <v>34</v>
      </c>
      <c r="J2870" s="0" t="n">
        <v>1.13</v>
      </c>
      <c r="K2870" s="0" t="s">
        <v>35</v>
      </c>
      <c r="L2870" s="0" t="n">
        <f aca="false">INDEX(Summary!$F$2:$F$201,MATCH($B2870,Summary!$A$2:$A$201,0))</f>
        <v>20</v>
      </c>
      <c r="M2870" s="0" t="n">
        <f aca="false">INDEX(Summary!$I$2:$I$201,MATCH($B2870,Summary!$A$2:$A$201,0))</f>
        <v>4</v>
      </c>
      <c r="N2870" s="0" t="n">
        <f aca="false">INDEX(Summary!$J$2:$J$201,MATCH($B2870,Summary!$A$2:$A$201,0))</f>
        <v>1</v>
      </c>
      <c r="O2870" s="2" t="n">
        <f aca="false">INDEX(Summary!$K$2:$K$201,MATCH($B2870,Summary!$A$2:$A$201,0))</f>
        <v>10.8</v>
      </c>
      <c r="P2870" s="3" t="n">
        <f aca="false">INDEX(Summary!$L$2:$L$201,MATCH($B2870,Summary!$A$2:$A$201,0))</f>
        <v>4</v>
      </c>
      <c r="Q2870" s="3" t="n">
        <f aca="false">INDEX(Summary!$M$2:$M$201,MATCH($B2870,Summary!$A$2:$A$201,0))</f>
        <v>2</v>
      </c>
      <c r="R2870" s="2" t="n">
        <f aca="false">INDEX(Summary!$N$2:$N$201,MATCH($B2870,Summary!$A$2:$A$201,0))</f>
        <v>10.76</v>
      </c>
      <c r="S2870" s="3" t="n">
        <f aca="false">INDEX(Summary!$O$2:$O$201,MATCH($B2870,Summary!$A$2:$A$201,0))</f>
        <v>8</v>
      </c>
      <c r="T2870" s="3" t="n">
        <f aca="false">INDEX(Summary!$P$2:$P$201,MATCH($B2870,Summary!$A$2:$A$201,0))</f>
        <v>1</v>
      </c>
      <c r="U2870" s="2" t="n">
        <f aca="false">INDEX(Summary!$Q$2:$Q$201,MATCH($B2870,Summary!$A$2:$A$201,0))</f>
        <v>13.57</v>
      </c>
      <c r="V2870" s="2" t="n">
        <f aca="false">INDEX(Summary!$R$2:$R$201,MATCH($B2870,Summary!$A$2:$A$201,0))</f>
        <v>29.41</v>
      </c>
      <c r="W2870" s="0" t="str">
        <f aca="false">INDEX(Summary!$S$2:$S$201,MATCH($B2870,Summary!$A$2:$A$201,0))</f>
        <v>Gold</v>
      </c>
      <c r="X2870" s="2" t="n">
        <f aca="false">INDEX(Summary!$T$2:$T$201,MATCH($B2870,Summary!$A$2:$A$201,0))</f>
        <v>71.73</v>
      </c>
      <c r="Y2870" s="0" t="str">
        <f aca="false">INDEX('Reward Model'!$E$18:$E$37,MATCH($E2870,'Reward Model'!$A$18:$A$37,0))</f>
        <v>Medium</v>
      </c>
      <c r="Z2870" s="4" t="n">
        <f aca="false">ROUND(MIN(1,MAX('Reward Model'!$B$2,INDEX('Reward Model'!$C$12:$C$14,MATCH($K2870,'Reward Model'!$A$12:$A$14,0))/$J2870)),3)</f>
        <v>1</v>
      </c>
      <c r="AA2870" s="2" t="n">
        <f aca="false">IF($I2870="Correct",ROUND(INDEX('Reward Model'!$B$12:$B$14,MATCH($K2870,'Reward Model'!$A$12:$A$14,0))*Z2870,2),0)</f>
        <v>1</v>
      </c>
      <c r="AB2870" s="2" t="n">
        <f aca="false">IF($I2870="Correct",ROUND(INDEX('Reward Model'!$B$12:$B$14,MATCH($Y2870,'Reward Model'!$A$12:$A$14,0))*Z2870,2),0)</f>
        <v>2</v>
      </c>
    </row>
    <row r="2871" customFormat="false" ht="15" hidden="false" customHeight="false" outlineLevel="0" collapsed="false">
      <c r="A2871" s="0" t="s">
        <v>418</v>
      </c>
      <c r="B2871" s="0" t="s">
        <v>419</v>
      </c>
      <c r="C2871" s="0" t="s">
        <v>322</v>
      </c>
      <c r="D2871" s="0" t="s">
        <v>189</v>
      </c>
      <c r="E2871" s="0" t="n">
        <v>10</v>
      </c>
      <c r="F2871" s="0" t="s">
        <v>58</v>
      </c>
      <c r="G2871" s="0" t="s">
        <v>59</v>
      </c>
      <c r="H2871" s="0" t="s">
        <v>59</v>
      </c>
      <c r="I2871" s="0" t="s">
        <v>34</v>
      </c>
      <c r="J2871" s="0" t="n">
        <v>2</v>
      </c>
      <c r="K2871" s="0" t="s">
        <v>60</v>
      </c>
      <c r="L2871" s="0" t="n">
        <f aca="false">INDEX(Summary!$F$2:$F$201,MATCH($B2871,Summary!$A$2:$A$201,0))</f>
        <v>20</v>
      </c>
      <c r="M2871" s="0" t="n">
        <f aca="false">INDEX(Summary!$I$2:$I$201,MATCH($B2871,Summary!$A$2:$A$201,0))</f>
        <v>4</v>
      </c>
      <c r="N2871" s="0" t="n">
        <f aca="false">INDEX(Summary!$J$2:$J$201,MATCH($B2871,Summary!$A$2:$A$201,0))</f>
        <v>1</v>
      </c>
      <c r="O2871" s="2" t="n">
        <f aca="false">INDEX(Summary!$K$2:$K$201,MATCH($B2871,Summary!$A$2:$A$201,0))</f>
        <v>10.8</v>
      </c>
      <c r="P2871" s="3" t="n">
        <f aca="false">INDEX(Summary!$L$2:$L$201,MATCH($B2871,Summary!$A$2:$A$201,0))</f>
        <v>4</v>
      </c>
      <c r="Q2871" s="3" t="n">
        <f aca="false">INDEX(Summary!$M$2:$M$201,MATCH($B2871,Summary!$A$2:$A$201,0))</f>
        <v>2</v>
      </c>
      <c r="R2871" s="2" t="n">
        <f aca="false">INDEX(Summary!$N$2:$N$201,MATCH($B2871,Summary!$A$2:$A$201,0))</f>
        <v>10.76</v>
      </c>
      <c r="S2871" s="3" t="n">
        <f aca="false">INDEX(Summary!$O$2:$O$201,MATCH($B2871,Summary!$A$2:$A$201,0))</f>
        <v>8</v>
      </c>
      <c r="T2871" s="3" t="n">
        <f aca="false">INDEX(Summary!$P$2:$P$201,MATCH($B2871,Summary!$A$2:$A$201,0))</f>
        <v>1</v>
      </c>
      <c r="U2871" s="2" t="n">
        <f aca="false">INDEX(Summary!$Q$2:$Q$201,MATCH($B2871,Summary!$A$2:$A$201,0))</f>
        <v>13.57</v>
      </c>
      <c r="V2871" s="2" t="n">
        <f aca="false">INDEX(Summary!$R$2:$R$201,MATCH($B2871,Summary!$A$2:$A$201,0))</f>
        <v>29.41</v>
      </c>
      <c r="W2871" s="0" t="str">
        <f aca="false">INDEX(Summary!$S$2:$S$201,MATCH($B2871,Summary!$A$2:$A$201,0))</f>
        <v>Gold</v>
      </c>
      <c r="X2871" s="2" t="n">
        <f aca="false">INDEX(Summary!$T$2:$T$201,MATCH($B2871,Summary!$A$2:$A$201,0))</f>
        <v>71.73</v>
      </c>
      <c r="Y2871" s="0" t="str">
        <f aca="false">INDEX('Reward Model'!$E$18:$E$37,MATCH($E2871,'Reward Model'!$A$18:$A$37,0))</f>
        <v>Medium</v>
      </c>
      <c r="Z2871" s="4" t="n">
        <f aca="false">ROUND(MIN(1,MAX('Reward Model'!$B$2,INDEX('Reward Model'!$C$12:$C$14,MATCH($K2871,'Reward Model'!$A$12:$A$14,0))/$J2871)),3)</f>
        <v>0.9</v>
      </c>
      <c r="AA2871" s="2" t="n">
        <f aca="false">IF($I2871="Correct",ROUND(INDEX('Reward Model'!$B$12:$B$14,MATCH($K2871,'Reward Model'!$A$12:$A$14,0))*Z2871,2),0)</f>
        <v>1.8</v>
      </c>
      <c r="AB2871" s="2" t="n">
        <f aca="false">IF($I2871="Correct",ROUND(INDEX('Reward Model'!$B$12:$B$14,MATCH($Y2871,'Reward Model'!$A$12:$A$14,0))*Z2871,2),0)</f>
        <v>1.8</v>
      </c>
    </row>
    <row r="2872" customFormat="false" ht="15" hidden="false" customHeight="false" outlineLevel="0" collapsed="false">
      <c r="A2872" s="0" t="s">
        <v>418</v>
      </c>
      <c r="B2872" s="0" t="s">
        <v>419</v>
      </c>
      <c r="C2872" s="0" t="s">
        <v>322</v>
      </c>
      <c r="D2872" s="0" t="s">
        <v>189</v>
      </c>
      <c r="E2872" s="0" t="n">
        <v>11</v>
      </c>
      <c r="F2872" s="0" t="s">
        <v>61</v>
      </c>
      <c r="G2872" s="0" t="s">
        <v>63</v>
      </c>
      <c r="H2872" s="0" t="s">
        <v>63</v>
      </c>
      <c r="I2872" s="0" t="s">
        <v>34</v>
      </c>
      <c r="J2872" s="0" t="n">
        <v>1.25</v>
      </c>
      <c r="K2872" s="0" t="s">
        <v>60</v>
      </c>
      <c r="L2872" s="0" t="n">
        <f aca="false">INDEX(Summary!$F$2:$F$201,MATCH($B2872,Summary!$A$2:$A$201,0))</f>
        <v>20</v>
      </c>
      <c r="M2872" s="0" t="n">
        <f aca="false">INDEX(Summary!$I$2:$I$201,MATCH($B2872,Summary!$A$2:$A$201,0))</f>
        <v>4</v>
      </c>
      <c r="N2872" s="0" t="n">
        <f aca="false">INDEX(Summary!$J$2:$J$201,MATCH($B2872,Summary!$A$2:$A$201,0))</f>
        <v>1</v>
      </c>
      <c r="O2872" s="2" t="n">
        <f aca="false">INDEX(Summary!$K$2:$K$201,MATCH($B2872,Summary!$A$2:$A$201,0))</f>
        <v>10.8</v>
      </c>
      <c r="P2872" s="3" t="n">
        <f aca="false">INDEX(Summary!$L$2:$L$201,MATCH($B2872,Summary!$A$2:$A$201,0))</f>
        <v>4</v>
      </c>
      <c r="Q2872" s="3" t="n">
        <f aca="false">INDEX(Summary!$M$2:$M$201,MATCH($B2872,Summary!$A$2:$A$201,0))</f>
        <v>2</v>
      </c>
      <c r="R2872" s="2" t="n">
        <f aca="false">INDEX(Summary!$N$2:$N$201,MATCH($B2872,Summary!$A$2:$A$201,0))</f>
        <v>10.76</v>
      </c>
      <c r="S2872" s="3" t="n">
        <f aca="false">INDEX(Summary!$O$2:$O$201,MATCH($B2872,Summary!$A$2:$A$201,0))</f>
        <v>8</v>
      </c>
      <c r="T2872" s="3" t="n">
        <f aca="false">INDEX(Summary!$P$2:$P$201,MATCH($B2872,Summary!$A$2:$A$201,0))</f>
        <v>1</v>
      </c>
      <c r="U2872" s="2" t="n">
        <f aca="false">INDEX(Summary!$Q$2:$Q$201,MATCH($B2872,Summary!$A$2:$A$201,0))</f>
        <v>13.57</v>
      </c>
      <c r="V2872" s="2" t="n">
        <f aca="false">INDEX(Summary!$R$2:$R$201,MATCH($B2872,Summary!$A$2:$A$201,0))</f>
        <v>29.41</v>
      </c>
      <c r="W2872" s="0" t="str">
        <f aca="false">INDEX(Summary!$S$2:$S$201,MATCH($B2872,Summary!$A$2:$A$201,0))</f>
        <v>Gold</v>
      </c>
      <c r="X2872" s="2" t="n">
        <f aca="false">INDEX(Summary!$T$2:$T$201,MATCH($B2872,Summary!$A$2:$A$201,0))</f>
        <v>71.73</v>
      </c>
      <c r="Y2872" s="0" t="str">
        <f aca="false">INDEX('Reward Model'!$E$18:$E$37,MATCH($E2872,'Reward Model'!$A$18:$A$37,0))</f>
        <v>Medium</v>
      </c>
      <c r="Z2872" s="4" t="n">
        <f aca="false">ROUND(MIN(1,MAX('Reward Model'!$B$2,INDEX('Reward Model'!$C$12:$C$14,MATCH($K2872,'Reward Model'!$A$12:$A$14,0))/$J2872)),3)</f>
        <v>1</v>
      </c>
      <c r="AA2872" s="2" t="n">
        <f aca="false">IF($I2872="Correct",ROUND(INDEX('Reward Model'!$B$12:$B$14,MATCH($K2872,'Reward Model'!$A$12:$A$14,0))*Z2872,2),0)</f>
        <v>2</v>
      </c>
      <c r="AB2872" s="2" t="n">
        <f aca="false">IF($I2872="Correct",ROUND(INDEX('Reward Model'!$B$12:$B$14,MATCH($Y2872,'Reward Model'!$A$12:$A$14,0))*Z2872,2),0)</f>
        <v>2</v>
      </c>
    </row>
    <row r="2873" customFormat="false" ht="15" hidden="false" customHeight="false" outlineLevel="0" collapsed="false">
      <c r="A2873" s="0" t="s">
        <v>418</v>
      </c>
      <c r="B2873" s="0" t="s">
        <v>419</v>
      </c>
      <c r="C2873" s="0" t="s">
        <v>322</v>
      </c>
      <c r="D2873" s="0" t="s">
        <v>189</v>
      </c>
      <c r="E2873" s="0" t="n">
        <v>12</v>
      </c>
      <c r="F2873" s="0" t="s">
        <v>64</v>
      </c>
      <c r="G2873" s="0" t="s">
        <v>146</v>
      </c>
      <c r="H2873" s="0" t="s">
        <v>65</v>
      </c>
      <c r="I2873" s="0" t="s">
        <v>39</v>
      </c>
      <c r="J2873" s="0" t="n">
        <v>1.73</v>
      </c>
      <c r="K2873" s="0" t="s">
        <v>60</v>
      </c>
      <c r="L2873" s="0" t="n">
        <f aca="false">INDEX(Summary!$F$2:$F$201,MATCH($B2873,Summary!$A$2:$A$201,0))</f>
        <v>20</v>
      </c>
      <c r="M2873" s="0" t="n">
        <f aca="false">INDEX(Summary!$I$2:$I$201,MATCH($B2873,Summary!$A$2:$A$201,0))</f>
        <v>4</v>
      </c>
      <c r="N2873" s="0" t="n">
        <f aca="false">INDEX(Summary!$J$2:$J$201,MATCH($B2873,Summary!$A$2:$A$201,0))</f>
        <v>1</v>
      </c>
      <c r="O2873" s="2" t="n">
        <f aca="false">INDEX(Summary!$K$2:$K$201,MATCH($B2873,Summary!$A$2:$A$201,0))</f>
        <v>10.8</v>
      </c>
      <c r="P2873" s="3" t="n">
        <f aca="false">INDEX(Summary!$L$2:$L$201,MATCH($B2873,Summary!$A$2:$A$201,0))</f>
        <v>4</v>
      </c>
      <c r="Q2873" s="3" t="n">
        <f aca="false">INDEX(Summary!$M$2:$M$201,MATCH($B2873,Summary!$A$2:$A$201,0))</f>
        <v>2</v>
      </c>
      <c r="R2873" s="2" t="n">
        <f aca="false">INDEX(Summary!$N$2:$N$201,MATCH($B2873,Summary!$A$2:$A$201,0))</f>
        <v>10.76</v>
      </c>
      <c r="S2873" s="3" t="n">
        <f aca="false">INDEX(Summary!$O$2:$O$201,MATCH($B2873,Summary!$A$2:$A$201,0))</f>
        <v>8</v>
      </c>
      <c r="T2873" s="3" t="n">
        <f aca="false">INDEX(Summary!$P$2:$P$201,MATCH($B2873,Summary!$A$2:$A$201,0))</f>
        <v>1</v>
      </c>
      <c r="U2873" s="2" t="n">
        <f aca="false">INDEX(Summary!$Q$2:$Q$201,MATCH($B2873,Summary!$A$2:$A$201,0))</f>
        <v>13.57</v>
      </c>
      <c r="V2873" s="2" t="n">
        <f aca="false">INDEX(Summary!$R$2:$R$201,MATCH($B2873,Summary!$A$2:$A$201,0))</f>
        <v>29.41</v>
      </c>
      <c r="W2873" s="0" t="str">
        <f aca="false">INDEX(Summary!$S$2:$S$201,MATCH($B2873,Summary!$A$2:$A$201,0))</f>
        <v>Gold</v>
      </c>
      <c r="X2873" s="2" t="n">
        <f aca="false">INDEX(Summary!$T$2:$T$201,MATCH($B2873,Summary!$A$2:$A$201,0))</f>
        <v>71.73</v>
      </c>
      <c r="Y2873" s="0" t="str">
        <f aca="false">INDEX('Reward Model'!$E$18:$E$37,MATCH($E2873,'Reward Model'!$A$18:$A$37,0))</f>
        <v>Medium</v>
      </c>
      <c r="Z2873" s="4" t="n">
        <f aca="false">ROUND(MIN(1,MAX('Reward Model'!$B$2,INDEX('Reward Model'!$C$12:$C$14,MATCH($K2873,'Reward Model'!$A$12:$A$14,0))/$J2873)),3)</f>
        <v>1</v>
      </c>
      <c r="AA2873" s="2" t="n">
        <f aca="false">IF($I2873="Correct",ROUND(INDEX('Reward Model'!$B$12:$B$14,MATCH($K2873,'Reward Model'!$A$12:$A$14,0))*Z2873,2),0)</f>
        <v>0</v>
      </c>
      <c r="AB2873" s="2" t="n">
        <f aca="false">IF($I2873="Correct",ROUND(INDEX('Reward Model'!$B$12:$B$14,MATCH($Y2873,'Reward Model'!$A$12:$A$14,0))*Z2873,2),0)</f>
        <v>0</v>
      </c>
    </row>
    <row r="2874" customFormat="false" ht="15" hidden="false" customHeight="false" outlineLevel="0" collapsed="false">
      <c r="A2874" s="0" t="s">
        <v>418</v>
      </c>
      <c r="B2874" s="0" t="s">
        <v>419</v>
      </c>
      <c r="C2874" s="0" t="s">
        <v>322</v>
      </c>
      <c r="D2874" s="0" t="s">
        <v>189</v>
      </c>
      <c r="E2874" s="0" t="n">
        <v>13</v>
      </c>
      <c r="F2874" s="0" t="s">
        <v>66</v>
      </c>
      <c r="G2874" s="0" t="s">
        <v>67</v>
      </c>
      <c r="H2874" s="0" t="s">
        <v>67</v>
      </c>
      <c r="I2874" s="0" t="s">
        <v>34</v>
      </c>
      <c r="J2874" s="0" t="n">
        <v>2.16</v>
      </c>
      <c r="K2874" s="0" t="s">
        <v>60</v>
      </c>
      <c r="L2874" s="0" t="n">
        <f aca="false">INDEX(Summary!$F$2:$F$201,MATCH($B2874,Summary!$A$2:$A$201,0))</f>
        <v>20</v>
      </c>
      <c r="M2874" s="0" t="n">
        <f aca="false">INDEX(Summary!$I$2:$I$201,MATCH($B2874,Summary!$A$2:$A$201,0))</f>
        <v>4</v>
      </c>
      <c r="N2874" s="0" t="n">
        <f aca="false">INDEX(Summary!$J$2:$J$201,MATCH($B2874,Summary!$A$2:$A$201,0))</f>
        <v>1</v>
      </c>
      <c r="O2874" s="2" t="n">
        <f aca="false">INDEX(Summary!$K$2:$K$201,MATCH($B2874,Summary!$A$2:$A$201,0))</f>
        <v>10.8</v>
      </c>
      <c r="P2874" s="3" t="n">
        <f aca="false">INDEX(Summary!$L$2:$L$201,MATCH($B2874,Summary!$A$2:$A$201,0))</f>
        <v>4</v>
      </c>
      <c r="Q2874" s="3" t="n">
        <f aca="false">INDEX(Summary!$M$2:$M$201,MATCH($B2874,Summary!$A$2:$A$201,0))</f>
        <v>2</v>
      </c>
      <c r="R2874" s="2" t="n">
        <f aca="false">INDEX(Summary!$N$2:$N$201,MATCH($B2874,Summary!$A$2:$A$201,0))</f>
        <v>10.76</v>
      </c>
      <c r="S2874" s="3" t="n">
        <f aca="false">INDEX(Summary!$O$2:$O$201,MATCH($B2874,Summary!$A$2:$A$201,0))</f>
        <v>8</v>
      </c>
      <c r="T2874" s="3" t="n">
        <f aca="false">INDEX(Summary!$P$2:$P$201,MATCH($B2874,Summary!$A$2:$A$201,0))</f>
        <v>1</v>
      </c>
      <c r="U2874" s="2" t="n">
        <f aca="false">INDEX(Summary!$Q$2:$Q$201,MATCH($B2874,Summary!$A$2:$A$201,0))</f>
        <v>13.57</v>
      </c>
      <c r="V2874" s="2" t="n">
        <f aca="false">INDEX(Summary!$R$2:$R$201,MATCH($B2874,Summary!$A$2:$A$201,0))</f>
        <v>29.41</v>
      </c>
      <c r="W2874" s="0" t="str">
        <f aca="false">INDEX(Summary!$S$2:$S$201,MATCH($B2874,Summary!$A$2:$A$201,0))</f>
        <v>Gold</v>
      </c>
      <c r="X2874" s="2" t="n">
        <f aca="false">INDEX(Summary!$T$2:$T$201,MATCH($B2874,Summary!$A$2:$A$201,0))</f>
        <v>71.73</v>
      </c>
      <c r="Y2874" s="0" t="str">
        <f aca="false">INDEX('Reward Model'!$E$18:$E$37,MATCH($E2874,'Reward Model'!$A$18:$A$37,0))</f>
        <v>Medium</v>
      </c>
      <c r="Z2874" s="4" t="n">
        <f aca="false">ROUND(MIN(1,MAX('Reward Model'!$B$2,INDEX('Reward Model'!$C$12:$C$14,MATCH($K2874,'Reward Model'!$A$12:$A$14,0))/$J2874)),3)</f>
        <v>0.833</v>
      </c>
      <c r="AA2874" s="2" t="n">
        <f aca="false">IF($I2874="Correct",ROUND(INDEX('Reward Model'!$B$12:$B$14,MATCH($K2874,'Reward Model'!$A$12:$A$14,0))*Z2874,2),0)</f>
        <v>1.67</v>
      </c>
      <c r="AB2874" s="2" t="n">
        <f aca="false">IF($I2874="Correct",ROUND(INDEX('Reward Model'!$B$12:$B$14,MATCH($Y2874,'Reward Model'!$A$12:$A$14,0))*Z2874,2),0)</f>
        <v>1.67</v>
      </c>
    </row>
    <row r="2875" customFormat="false" ht="15" hidden="false" customHeight="false" outlineLevel="0" collapsed="false">
      <c r="A2875" s="0" t="s">
        <v>418</v>
      </c>
      <c r="B2875" s="0" t="s">
        <v>419</v>
      </c>
      <c r="C2875" s="0" t="s">
        <v>322</v>
      </c>
      <c r="D2875" s="0" t="s">
        <v>189</v>
      </c>
      <c r="E2875" s="0" t="n">
        <v>14</v>
      </c>
      <c r="F2875" s="0" t="s">
        <v>68</v>
      </c>
      <c r="G2875" s="0" t="s">
        <v>100</v>
      </c>
      <c r="H2875" s="0" t="s">
        <v>51</v>
      </c>
      <c r="I2875" s="0" t="s">
        <v>39</v>
      </c>
      <c r="J2875" s="0" t="n">
        <v>2.14</v>
      </c>
      <c r="K2875" s="0" t="s">
        <v>60</v>
      </c>
      <c r="L2875" s="0" t="n">
        <f aca="false">INDEX(Summary!$F$2:$F$201,MATCH($B2875,Summary!$A$2:$A$201,0))</f>
        <v>20</v>
      </c>
      <c r="M2875" s="0" t="n">
        <f aca="false">INDEX(Summary!$I$2:$I$201,MATCH($B2875,Summary!$A$2:$A$201,0))</f>
        <v>4</v>
      </c>
      <c r="N2875" s="0" t="n">
        <f aca="false">INDEX(Summary!$J$2:$J$201,MATCH($B2875,Summary!$A$2:$A$201,0))</f>
        <v>1</v>
      </c>
      <c r="O2875" s="2" t="n">
        <f aca="false">INDEX(Summary!$K$2:$K$201,MATCH($B2875,Summary!$A$2:$A$201,0))</f>
        <v>10.8</v>
      </c>
      <c r="P2875" s="3" t="n">
        <f aca="false">INDEX(Summary!$L$2:$L$201,MATCH($B2875,Summary!$A$2:$A$201,0))</f>
        <v>4</v>
      </c>
      <c r="Q2875" s="3" t="n">
        <f aca="false">INDEX(Summary!$M$2:$M$201,MATCH($B2875,Summary!$A$2:$A$201,0))</f>
        <v>2</v>
      </c>
      <c r="R2875" s="2" t="n">
        <f aca="false">INDEX(Summary!$N$2:$N$201,MATCH($B2875,Summary!$A$2:$A$201,0))</f>
        <v>10.76</v>
      </c>
      <c r="S2875" s="3" t="n">
        <f aca="false">INDEX(Summary!$O$2:$O$201,MATCH($B2875,Summary!$A$2:$A$201,0))</f>
        <v>8</v>
      </c>
      <c r="T2875" s="3" t="n">
        <f aca="false">INDEX(Summary!$P$2:$P$201,MATCH($B2875,Summary!$A$2:$A$201,0))</f>
        <v>1</v>
      </c>
      <c r="U2875" s="2" t="n">
        <f aca="false">INDEX(Summary!$Q$2:$Q$201,MATCH($B2875,Summary!$A$2:$A$201,0))</f>
        <v>13.57</v>
      </c>
      <c r="V2875" s="2" t="n">
        <f aca="false">INDEX(Summary!$R$2:$R$201,MATCH($B2875,Summary!$A$2:$A$201,0))</f>
        <v>29.41</v>
      </c>
      <c r="W2875" s="0" t="str">
        <f aca="false">INDEX(Summary!$S$2:$S$201,MATCH($B2875,Summary!$A$2:$A$201,0))</f>
        <v>Gold</v>
      </c>
      <c r="X2875" s="2" t="n">
        <f aca="false">INDEX(Summary!$T$2:$T$201,MATCH($B2875,Summary!$A$2:$A$201,0))</f>
        <v>71.73</v>
      </c>
      <c r="Y2875" s="0" t="str">
        <f aca="false">INDEX('Reward Model'!$E$18:$E$37,MATCH($E2875,'Reward Model'!$A$18:$A$37,0))</f>
        <v>Medium</v>
      </c>
      <c r="Z2875" s="4" t="n">
        <f aca="false">ROUND(MIN(1,MAX('Reward Model'!$B$2,INDEX('Reward Model'!$C$12:$C$14,MATCH($K2875,'Reward Model'!$A$12:$A$14,0))/$J2875)),3)</f>
        <v>0.841</v>
      </c>
      <c r="AA2875" s="2" t="n">
        <f aca="false">IF($I2875="Correct",ROUND(INDEX('Reward Model'!$B$12:$B$14,MATCH($K2875,'Reward Model'!$A$12:$A$14,0))*Z2875,2),0)</f>
        <v>0</v>
      </c>
      <c r="AB2875" s="2" t="n">
        <f aca="false">IF($I2875="Correct",ROUND(INDEX('Reward Model'!$B$12:$B$14,MATCH($Y2875,'Reward Model'!$A$12:$A$14,0))*Z2875,2),0)</f>
        <v>0</v>
      </c>
    </row>
    <row r="2876" customFormat="false" ht="15" hidden="false" customHeight="false" outlineLevel="0" collapsed="false">
      <c r="A2876" s="0" t="s">
        <v>418</v>
      </c>
      <c r="B2876" s="0" t="s">
        <v>419</v>
      </c>
      <c r="C2876" s="0" t="s">
        <v>322</v>
      </c>
      <c r="D2876" s="0" t="s">
        <v>189</v>
      </c>
      <c r="E2876" s="0" t="n">
        <v>15</v>
      </c>
      <c r="F2876" s="0" t="s">
        <v>69</v>
      </c>
      <c r="G2876" s="0" t="s">
        <v>70</v>
      </c>
      <c r="H2876" s="0" t="s">
        <v>70</v>
      </c>
      <c r="I2876" s="0" t="s">
        <v>34</v>
      </c>
      <c r="J2876" s="0" t="n">
        <v>1.48</v>
      </c>
      <c r="K2876" s="0" t="s">
        <v>60</v>
      </c>
      <c r="L2876" s="0" t="n">
        <f aca="false">INDEX(Summary!$F$2:$F$201,MATCH($B2876,Summary!$A$2:$A$201,0))</f>
        <v>20</v>
      </c>
      <c r="M2876" s="0" t="n">
        <f aca="false">INDEX(Summary!$I$2:$I$201,MATCH($B2876,Summary!$A$2:$A$201,0))</f>
        <v>4</v>
      </c>
      <c r="N2876" s="0" t="n">
        <f aca="false">INDEX(Summary!$J$2:$J$201,MATCH($B2876,Summary!$A$2:$A$201,0))</f>
        <v>1</v>
      </c>
      <c r="O2876" s="2" t="n">
        <f aca="false">INDEX(Summary!$K$2:$K$201,MATCH($B2876,Summary!$A$2:$A$201,0))</f>
        <v>10.8</v>
      </c>
      <c r="P2876" s="3" t="n">
        <f aca="false">INDEX(Summary!$L$2:$L$201,MATCH($B2876,Summary!$A$2:$A$201,0))</f>
        <v>4</v>
      </c>
      <c r="Q2876" s="3" t="n">
        <f aca="false">INDEX(Summary!$M$2:$M$201,MATCH($B2876,Summary!$A$2:$A$201,0))</f>
        <v>2</v>
      </c>
      <c r="R2876" s="2" t="n">
        <f aca="false">INDEX(Summary!$N$2:$N$201,MATCH($B2876,Summary!$A$2:$A$201,0))</f>
        <v>10.76</v>
      </c>
      <c r="S2876" s="3" t="n">
        <f aca="false">INDEX(Summary!$O$2:$O$201,MATCH($B2876,Summary!$A$2:$A$201,0))</f>
        <v>8</v>
      </c>
      <c r="T2876" s="3" t="n">
        <f aca="false">INDEX(Summary!$P$2:$P$201,MATCH($B2876,Summary!$A$2:$A$201,0))</f>
        <v>1</v>
      </c>
      <c r="U2876" s="2" t="n">
        <f aca="false">INDEX(Summary!$Q$2:$Q$201,MATCH($B2876,Summary!$A$2:$A$201,0))</f>
        <v>13.57</v>
      </c>
      <c r="V2876" s="2" t="n">
        <f aca="false">INDEX(Summary!$R$2:$R$201,MATCH($B2876,Summary!$A$2:$A$201,0))</f>
        <v>29.41</v>
      </c>
      <c r="W2876" s="0" t="str">
        <f aca="false">INDEX(Summary!$S$2:$S$201,MATCH($B2876,Summary!$A$2:$A$201,0))</f>
        <v>Gold</v>
      </c>
      <c r="X2876" s="2" t="n">
        <f aca="false">INDEX(Summary!$T$2:$T$201,MATCH($B2876,Summary!$A$2:$A$201,0))</f>
        <v>71.73</v>
      </c>
      <c r="Y2876" s="0" t="str">
        <f aca="false">INDEX('Reward Model'!$E$18:$E$37,MATCH($E2876,'Reward Model'!$A$18:$A$37,0))</f>
        <v>Medium</v>
      </c>
      <c r="Z2876" s="4" t="n">
        <f aca="false">ROUND(MIN(1,MAX('Reward Model'!$B$2,INDEX('Reward Model'!$C$12:$C$14,MATCH($K2876,'Reward Model'!$A$12:$A$14,0))/$J2876)),3)</f>
        <v>1</v>
      </c>
      <c r="AA2876" s="2" t="n">
        <f aca="false">IF($I2876="Correct",ROUND(INDEX('Reward Model'!$B$12:$B$14,MATCH($K2876,'Reward Model'!$A$12:$A$14,0))*Z2876,2),0)</f>
        <v>2</v>
      </c>
      <c r="AB2876" s="2" t="n">
        <f aca="false">IF($I2876="Correct",ROUND(INDEX('Reward Model'!$B$12:$B$14,MATCH($Y2876,'Reward Model'!$A$12:$A$14,0))*Z2876,2),0)</f>
        <v>2</v>
      </c>
    </row>
    <row r="2877" customFormat="false" ht="15" hidden="false" customHeight="false" outlineLevel="0" collapsed="false">
      <c r="A2877" s="0" t="s">
        <v>418</v>
      </c>
      <c r="B2877" s="0" t="s">
        <v>419</v>
      </c>
      <c r="C2877" s="0" t="s">
        <v>322</v>
      </c>
      <c r="D2877" s="0" t="s">
        <v>189</v>
      </c>
      <c r="E2877" s="0" t="n">
        <v>16</v>
      </c>
      <c r="F2877" s="0" t="s">
        <v>71</v>
      </c>
      <c r="G2877" s="0" t="s">
        <v>72</v>
      </c>
      <c r="H2877" s="0" t="s">
        <v>72</v>
      </c>
      <c r="I2877" s="0" t="s">
        <v>34</v>
      </c>
      <c r="J2877" s="0" t="n">
        <v>2.13</v>
      </c>
      <c r="K2877" s="0" t="s">
        <v>73</v>
      </c>
      <c r="L2877" s="0" t="n">
        <f aca="false">INDEX(Summary!$F$2:$F$201,MATCH($B2877,Summary!$A$2:$A$201,0))</f>
        <v>20</v>
      </c>
      <c r="M2877" s="0" t="n">
        <f aca="false">INDEX(Summary!$I$2:$I$201,MATCH($B2877,Summary!$A$2:$A$201,0))</f>
        <v>4</v>
      </c>
      <c r="N2877" s="0" t="n">
        <f aca="false">INDEX(Summary!$J$2:$J$201,MATCH($B2877,Summary!$A$2:$A$201,0))</f>
        <v>1</v>
      </c>
      <c r="O2877" s="2" t="n">
        <f aca="false">INDEX(Summary!$K$2:$K$201,MATCH($B2877,Summary!$A$2:$A$201,0))</f>
        <v>10.8</v>
      </c>
      <c r="P2877" s="3" t="n">
        <f aca="false">INDEX(Summary!$L$2:$L$201,MATCH($B2877,Summary!$A$2:$A$201,0))</f>
        <v>4</v>
      </c>
      <c r="Q2877" s="3" t="n">
        <f aca="false">INDEX(Summary!$M$2:$M$201,MATCH($B2877,Summary!$A$2:$A$201,0))</f>
        <v>2</v>
      </c>
      <c r="R2877" s="2" t="n">
        <f aca="false">INDEX(Summary!$N$2:$N$201,MATCH($B2877,Summary!$A$2:$A$201,0))</f>
        <v>10.76</v>
      </c>
      <c r="S2877" s="3" t="n">
        <f aca="false">INDEX(Summary!$O$2:$O$201,MATCH($B2877,Summary!$A$2:$A$201,0))</f>
        <v>8</v>
      </c>
      <c r="T2877" s="3" t="n">
        <f aca="false">INDEX(Summary!$P$2:$P$201,MATCH($B2877,Summary!$A$2:$A$201,0))</f>
        <v>1</v>
      </c>
      <c r="U2877" s="2" t="n">
        <f aca="false">INDEX(Summary!$Q$2:$Q$201,MATCH($B2877,Summary!$A$2:$A$201,0))</f>
        <v>13.57</v>
      </c>
      <c r="V2877" s="2" t="n">
        <f aca="false">INDEX(Summary!$R$2:$R$201,MATCH($B2877,Summary!$A$2:$A$201,0))</f>
        <v>29.41</v>
      </c>
      <c r="W2877" s="0" t="str">
        <f aca="false">INDEX(Summary!$S$2:$S$201,MATCH($B2877,Summary!$A$2:$A$201,0))</f>
        <v>Gold</v>
      </c>
      <c r="X2877" s="2" t="n">
        <f aca="false">INDEX(Summary!$T$2:$T$201,MATCH($B2877,Summary!$A$2:$A$201,0))</f>
        <v>71.73</v>
      </c>
      <c r="Y2877" s="0" t="str">
        <f aca="false">INDEX('Reward Model'!$E$18:$E$37,MATCH($E2877,'Reward Model'!$A$18:$A$37,0))</f>
        <v>High</v>
      </c>
      <c r="Z2877" s="4" t="n">
        <f aca="false">ROUND(MIN(1,MAX('Reward Model'!$B$2,INDEX('Reward Model'!$C$12:$C$14,MATCH($K2877,'Reward Model'!$A$12:$A$14,0))/$J2877)),3)</f>
        <v>0.939</v>
      </c>
      <c r="AA2877" s="2" t="n">
        <f aca="false">IF($I2877="Correct",ROUND(INDEX('Reward Model'!$B$12:$B$14,MATCH($K2877,'Reward Model'!$A$12:$A$14,0))*Z2877,2),0)</f>
        <v>2.82</v>
      </c>
      <c r="AB2877" s="2" t="n">
        <f aca="false">IF($I2877="Correct",ROUND(INDEX('Reward Model'!$B$12:$B$14,MATCH($Y2877,'Reward Model'!$A$12:$A$14,0))*Z2877,2),0)</f>
        <v>2.82</v>
      </c>
    </row>
    <row r="2878" customFormat="false" ht="15" hidden="false" customHeight="false" outlineLevel="0" collapsed="false">
      <c r="A2878" s="0" t="s">
        <v>418</v>
      </c>
      <c r="B2878" s="0" t="s">
        <v>419</v>
      </c>
      <c r="C2878" s="0" t="s">
        <v>322</v>
      </c>
      <c r="D2878" s="0" t="s">
        <v>189</v>
      </c>
      <c r="E2878" s="0" t="n">
        <v>17</v>
      </c>
      <c r="F2878" s="0" t="s">
        <v>74</v>
      </c>
      <c r="G2878" s="0" t="s">
        <v>75</v>
      </c>
      <c r="H2878" s="0" t="s">
        <v>75</v>
      </c>
      <c r="I2878" s="0" t="s">
        <v>34</v>
      </c>
      <c r="J2878" s="0" t="n">
        <v>2.53</v>
      </c>
      <c r="K2878" s="0" t="s">
        <v>73</v>
      </c>
      <c r="L2878" s="0" t="n">
        <f aca="false">INDEX(Summary!$F$2:$F$201,MATCH($B2878,Summary!$A$2:$A$201,0))</f>
        <v>20</v>
      </c>
      <c r="M2878" s="0" t="n">
        <f aca="false">INDEX(Summary!$I$2:$I$201,MATCH($B2878,Summary!$A$2:$A$201,0))</f>
        <v>4</v>
      </c>
      <c r="N2878" s="0" t="n">
        <f aca="false">INDEX(Summary!$J$2:$J$201,MATCH($B2878,Summary!$A$2:$A$201,0))</f>
        <v>1</v>
      </c>
      <c r="O2878" s="2" t="n">
        <f aca="false">INDEX(Summary!$K$2:$K$201,MATCH($B2878,Summary!$A$2:$A$201,0))</f>
        <v>10.8</v>
      </c>
      <c r="P2878" s="3" t="n">
        <f aca="false">INDEX(Summary!$L$2:$L$201,MATCH($B2878,Summary!$A$2:$A$201,0))</f>
        <v>4</v>
      </c>
      <c r="Q2878" s="3" t="n">
        <f aca="false">INDEX(Summary!$M$2:$M$201,MATCH($B2878,Summary!$A$2:$A$201,0))</f>
        <v>2</v>
      </c>
      <c r="R2878" s="2" t="n">
        <f aca="false">INDEX(Summary!$N$2:$N$201,MATCH($B2878,Summary!$A$2:$A$201,0))</f>
        <v>10.76</v>
      </c>
      <c r="S2878" s="3" t="n">
        <f aca="false">INDEX(Summary!$O$2:$O$201,MATCH($B2878,Summary!$A$2:$A$201,0))</f>
        <v>8</v>
      </c>
      <c r="T2878" s="3" t="n">
        <f aca="false">INDEX(Summary!$P$2:$P$201,MATCH($B2878,Summary!$A$2:$A$201,0))</f>
        <v>1</v>
      </c>
      <c r="U2878" s="2" t="n">
        <f aca="false">INDEX(Summary!$Q$2:$Q$201,MATCH($B2878,Summary!$A$2:$A$201,0))</f>
        <v>13.57</v>
      </c>
      <c r="V2878" s="2" t="n">
        <f aca="false">INDEX(Summary!$R$2:$R$201,MATCH($B2878,Summary!$A$2:$A$201,0))</f>
        <v>29.41</v>
      </c>
      <c r="W2878" s="0" t="str">
        <f aca="false">INDEX(Summary!$S$2:$S$201,MATCH($B2878,Summary!$A$2:$A$201,0))</f>
        <v>Gold</v>
      </c>
      <c r="X2878" s="2" t="n">
        <f aca="false">INDEX(Summary!$T$2:$T$201,MATCH($B2878,Summary!$A$2:$A$201,0))</f>
        <v>71.73</v>
      </c>
      <c r="Y2878" s="0" t="str">
        <f aca="false">INDEX('Reward Model'!$E$18:$E$37,MATCH($E2878,'Reward Model'!$A$18:$A$37,0))</f>
        <v>High</v>
      </c>
      <c r="Z2878" s="4" t="n">
        <f aca="false">ROUND(MIN(1,MAX('Reward Model'!$B$2,INDEX('Reward Model'!$C$12:$C$14,MATCH($K2878,'Reward Model'!$A$12:$A$14,0))/$J2878)),3)</f>
        <v>0.791</v>
      </c>
      <c r="AA2878" s="2" t="n">
        <f aca="false">IF($I2878="Correct",ROUND(INDEX('Reward Model'!$B$12:$B$14,MATCH($K2878,'Reward Model'!$A$12:$A$14,0))*Z2878,2),0)</f>
        <v>2.37</v>
      </c>
      <c r="AB2878" s="2" t="n">
        <f aca="false">IF($I2878="Correct",ROUND(INDEX('Reward Model'!$B$12:$B$14,MATCH($Y2878,'Reward Model'!$A$12:$A$14,0))*Z2878,2),0)</f>
        <v>2.37</v>
      </c>
    </row>
    <row r="2879" customFormat="false" ht="15" hidden="false" customHeight="false" outlineLevel="0" collapsed="false">
      <c r="A2879" s="0" t="s">
        <v>418</v>
      </c>
      <c r="B2879" s="0" t="s">
        <v>419</v>
      </c>
      <c r="C2879" s="0" t="s">
        <v>322</v>
      </c>
      <c r="D2879" s="0" t="s">
        <v>189</v>
      </c>
      <c r="E2879" s="0" t="n">
        <v>18</v>
      </c>
      <c r="F2879" s="0" t="s">
        <v>76</v>
      </c>
      <c r="G2879" s="0" t="s">
        <v>77</v>
      </c>
      <c r="H2879" s="0" t="s">
        <v>77</v>
      </c>
      <c r="I2879" s="0" t="s">
        <v>34</v>
      </c>
      <c r="J2879" s="0" t="n">
        <v>1.86</v>
      </c>
      <c r="K2879" s="0" t="s">
        <v>73</v>
      </c>
      <c r="L2879" s="0" t="n">
        <f aca="false">INDEX(Summary!$F$2:$F$201,MATCH($B2879,Summary!$A$2:$A$201,0))</f>
        <v>20</v>
      </c>
      <c r="M2879" s="0" t="n">
        <f aca="false">INDEX(Summary!$I$2:$I$201,MATCH($B2879,Summary!$A$2:$A$201,0))</f>
        <v>4</v>
      </c>
      <c r="N2879" s="0" t="n">
        <f aca="false">INDEX(Summary!$J$2:$J$201,MATCH($B2879,Summary!$A$2:$A$201,0))</f>
        <v>1</v>
      </c>
      <c r="O2879" s="2" t="n">
        <f aca="false">INDEX(Summary!$K$2:$K$201,MATCH($B2879,Summary!$A$2:$A$201,0))</f>
        <v>10.8</v>
      </c>
      <c r="P2879" s="3" t="n">
        <f aca="false">INDEX(Summary!$L$2:$L$201,MATCH($B2879,Summary!$A$2:$A$201,0))</f>
        <v>4</v>
      </c>
      <c r="Q2879" s="3" t="n">
        <f aca="false">INDEX(Summary!$M$2:$M$201,MATCH($B2879,Summary!$A$2:$A$201,0))</f>
        <v>2</v>
      </c>
      <c r="R2879" s="2" t="n">
        <f aca="false">INDEX(Summary!$N$2:$N$201,MATCH($B2879,Summary!$A$2:$A$201,0))</f>
        <v>10.76</v>
      </c>
      <c r="S2879" s="3" t="n">
        <f aca="false">INDEX(Summary!$O$2:$O$201,MATCH($B2879,Summary!$A$2:$A$201,0))</f>
        <v>8</v>
      </c>
      <c r="T2879" s="3" t="n">
        <f aca="false">INDEX(Summary!$P$2:$P$201,MATCH($B2879,Summary!$A$2:$A$201,0))</f>
        <v>1</v>
      </c>
      <c r="U2879" s="2" t="n">
        <f aca="false">INDEX(Summary!$Q$2:$Q$201,MATCH($B2879,Summary!$A$2:$A$201,0))</f>
        <v>13.57</v>
      </c>
      <c r="V2879" s="2" t="n">
        <f aca="false">INDEX(Summary!$R$2:$R$201,MATCH($B2879,Summary!$A$2:$A$201,0))</f>
        <v>29.41</v>
      </c>
      <c r="W2879" s="0" t="str">
        <f aca="false">INDEX(Summary!$S$2:$S$201,MATCH($B2879,Summary!$A$2:$A$201,0))</f>
        <v>Gold</v>
      </c>
      <c r="X2879" s="2" t="n">
        <f aca="false">INDEX(Summary!$T$2:$T$201,MATCH($B2879,Summary!$A$2:$A$201,0))</f>
        <v>71.73</v>
      </c>
      <c r="Y2879" s="0" t="str">
        <f aca="false">INDEX('Reward Model'!$E$18:$E$37,MATCH($E2879,'Reward Model'!$A$18:$A$37,0))</f>
        <v>High</v>
      </c>
      <c r="Z2879" s="4" t="n">
        <f aca="false">ROUND(MIN(1,MAX('Reward Model'!$B$2,INDEX('Reward Model'!$C$12:$C$14,MATCH($K2879,'Reward Model'!$A$12:$A$14,0))/$J2879)),3)</f>
        <v>1</v>
      </c>
      <c r="AA2879" s="2" t="n">
        <f aca="false">IF($I2879="Correct",ROUND(INDEX('Reward Model'!$B$12:$B$14,MATCH($K2879,'Reward Model'!$A$12:$A$14,0))*Z2879,2),0)</f>
        <v>3</v>
      </c>
      <c r="AB2879" s="2" t="n">
        <f aca="false">IF($I2879="Correct",ROUND(INDEX('Reward Model'!$B$12:$B$14,MATCH($Y2879,'Reward Model'!$A$12:$A$14,0))*Z2879,2),0)</f>
        <v>3</v>
      </c>
    </row>
    <row r="2880" customFormat="false" ht="15" hidden="false" customHeight="false" outlineLevel="0" collapsed="false">
      <c r="A2880" s="0" t="s">
        <v>418</v>
      </c>
      <c r="B2880" s="0" t="s">
        <v>419</v>
      </c>
      <c r="C2880" s="0" t="s">
        <v>322</v>
      </c>
      <c r="D2880" s="0" t="s">
        <v>189</v>
      </c>
      <c r="E2880" s="0" t="n">
        <v>19</v>
      </c>
      <c r="F2880" s="0" t="s">
        <v>78</v>
      </c>
      <c r="G2880" s="0" t="s">
        <v>80</v>
      </c>
      <c r="H2880" s="0" t="s">
        <v>80</v>
      </c>
      <c r="I2880" s="0" t="s">
        <v>34</v>
      </c>
      <c r="J2880" s="0" t="n">
        <v>2.13</v>
      </c>
      <c r="K2880" s="0" t="s">
        <v>73</v>
      </c>
      <c r="L2880" s="0" t="n">
        <f aca="false">INDEX(Summary!$F$2:$F$201,MATCH($B2880,Summary!$A$2:$A$201,0))</f>
        <v>20</v>
      </c>
      <c r="M2880" s="0" t="n">
        <f aca="false">INDEX(Summary!$I$2:$I$201,MATCH($B2880,Summary!$A$2:$A$201,0))</f>
        <v>4</v>
      </c>
      <c r="N2880" s="0" t="n">
        <f aca="false">INDEX(Summary!$J$2:$J$201,MATCH($B2880,Summary!$A$2:$A$201,0))</f>
        <v>1</v>
      </c>
      <c r="O2880" s="2" t="n">
        <f aca="false">INDEX(Summary!$K$2:$K$201,MATCH($B2880,Summary!$A$2:$A$201,0))</f>
        <v>10.8</v>
      </c>
      <c r="P2880" s="3" t="n">
        <f aca="false">INDEX(Summary!$L$2:$L$201,MATCH($B2880,Summary!$A$2:$A$201,0))</f>
        <v>4</v>
      </c>
      <c r="Q2880" s="3" t="n">
        <f aca="false">INDEX(Summary!$M$2:$M$201,MATCH($B2880,Summary!$A$2:$A$201,0))</f>
        <v>2</v>
      </c>
      <c r="R2880" s="2" t="n">
        <f aca="false">INDEX(Summary!$N$2:$N$201,MATCH($B2880,Summary!$A$2:$A$201,0))</f>
        <v>10.76</v>
      </c>
      <c r="S2880" s="3" t="n">
        <f aca="false">INDEX(Summary!$O$2:$O$201,MATCH($B2880,Summary!$A$2:$A$201,0))</f>
        <v>8</v>
      </c>
      <c r="T2880" s="3" t="n">
        <f aca="false">INDEX(Summary!$P$2:$P$201,MATCH($B2880,Summary!$A$2:$A$201,0))</f>
        <v>1</v>
      </c>
      <c r="U2880" s="2" t="n">
        <f aca="false">INDEX(Summary!$Q$2:$Q$201,MATCH($B2880,Summary!$A$2:$A$201,0))</f>
        <v>13.57</v>
      </c>
      <c r="V2880" s="2" t="n">
        <f aca="false">INDEX(Summary!$R$2:$R$201,MATCH($B2880,Summary!$A$2:$A$201,0))</f>
        <v>29.41</v>
      </c>
      <c r="W2880" s="0" t="str">
        <f aca="false">INDEX(Summary!$S$2:$S$201,MATCH($B2880,Summary!$A$2:$A$201,0))</f>
        <v>Gold</v>
      </c>
      <c r="X2880" s="2" t="n">
        <f aca="false">INDEX(Summary!$T$2:$T$201,MATCH($B2880,Summary!$A$2:$A$201,0))</f>
        <v>71.73</v>
      </c>
      <c r="Y2880" s="0" t="str">
        <f aca="false">INDEX('Reward Model'!$E$18:$E$37,MATCH($E2880,'Reward Model'!$A$18:$A$37,0))</f>
        <v>High</v>
      </c>
      <c r="Z2880" s="4" t="n">
        <f aca="false">ROUND(MIN(1,MAX('Reward Model'!$B$2,INDEX('Reward Model'!$C$12:$C$14,MATCH($K2880,'Reward Model'!$A$12:$A$14,0))/$J2880)),3)</f>
        <v>0.939</v>
      </c>
      <c r="AA2880" s="2" t="n">
        <f aca="false">IF($I2880="Correct",ROUND(INDEX('Reward Model'!$B$12:$B$14,MATCH($K2880,'Reward Model'!$A$12:$A$14,0))*Z2880,2),0)</f>
        <v>2.82</v>
      </c>
      <c r="AB2880" s="2" t="n">
        <f aca="false">IF($I2880="Correct",ROUND(INDEX('Reward Model'!$B$12:$B$14,MATCH($Y2880,'Reward Model'!$A$12:$A$14,0))*Z2880,2),0)</f>
        <v>2.82</v>
      </c>
    </row>
    <row r="2881" customFormat="false" ht="15" hidden="false" customHeight="false" outlineLevel="0" collapsed="false">
      <c r="A2881" s="0" t="s">
        <v>418</v>
      </c>
      <c r="B2881" s="0" t="s">
        <v>419</v>
      </c>
      <c r="C2881" s="0" t="s">
        <v>322</v>
      </c>
      <c r="D2881" s="0" t="s">
        <v>189</v>
      </c>
      <c r="E2881" s="0" t="n">
        <v>20</v>
      </c>
      <c r="F2881" s="0" t="s">
        <v>81</v>
      </c>
      <c r="G2881" s="0" t="s">
        <v>166</v>
      </c>
      <c r="H2881" s="0" t="s">
        <v>83</v>
      </c>
      <c r="I2881" s="0" t="s">
        <v>39</v>
      </c>
      <c r="J2881" s="0" t="n">
        <v>2.15</v>
      </c>
      <c r="K2881" s="0" t="s">
        <v>73</v>
      </c>
      <c r="L2881" s="0" t="n">
        <f aca="false">INDEX(Summary!$F$2:$F$201,MATCH($B2881,Summary!$A$2:$A$201,0))</f>
        <v>20</v>
      </c>
      <c r="M2881" s="0" t="n">
        <f aca="false">INDEX(Summary!$I$2:$I$201,MATCH($B2881,Summary!$A$2:$A$201,0))</f>
        <v>4</v>
      </c>
      <c r="N2881" s="0" t="n">
        <f aca="false">INDEX(Summary!$J$2:$J$201,MATCH($B2881,Summary!$A$2:$A$201,0))</f>
        <v>1</v>
      </c>
      <c r="O2881" s="2" t="n">
        <f aca="false">INDEX(Summary!$K$2:$K$201,MATCH($B2881,Summary!$A$2:$A$201,0))</f>
        <v>10.8</v>
      </c>
      <c r="P2881" s="3" t="n">
        <f aca="false">INDEX(Summary!$L$2:$L$201,MATCH($B2881,Summary!$A$2:$A$201,0))</f>
        <v>4</v>
      </c>
      <c r="Q2881" s="3" t="n">
        <f aca="false">INDEX(Summary!$M$2:$M$201,MATCH($B2881,Summary!$A$2:$A$201,0))</f>
        <v>2</v>
      </c>
      <c r="R2881" s="2" t="n">
        <f aca="false">INDEX(Summary!$N$2:$N$201,MATCH($B2881,Summary!$A$2:$A$201,0))</f>
        <v>10.76</v>
      </c>
      <c r="S2881" s="3" t="n">
        <f aca="false">INDEX(Summary!$O$2:$O$201,MATCH($B2881,Summary!$A$2:$A$201,0))</f>
        <v>8</v>
      </c>
      <c r="T2881" s="3" t="n">
        <f aca="false">INDEX(Summary!$P$2:$P$201,MATCH($B2881,Summary!$A$2:$A$201,0))</f>
        <v>1</v>
      </c>
      <c r="U2881" s="2" t="n">
        <f aca="false">INDEX(Summary!$Q$2:$Q$201,MATCH($B2881,Summary!$A$2:$A$201,0))</f>
        <v>13.57</v>
      </c>
      <c r="V2881" s="2" t="n">
        <f aca="false">INDEX(Summary!$R$2:$R$201,MATCH($B2881,Summary!$A$2:$A$201,0))</f>
        <v>29.41</v>
      </c>
      <c r="W2881" s="0" t="str">
        <f aca="false">INDEX(Summary!$S$2:$S$201,MATCH($B2881,Summary!$A$2:$A$201,0))</f>
        <v>Gold</v>
      </c>
      <c r="X2881" s="2" t="n">
        <f aca="false">INDEX(Summary!$T$2:$T$201,MATCH($B2881,Summary!$A$2:$A$201,0))</f>
        <v>71.73</v>
      </c>
      <c r="Y2881" s="0" t="str">
        <f aca="false">INDEX('Reward Model'!$E$18:$E$37,MATCH($E2881,'Reward Model'!$A$18:$A$37,0))</f>
        <v>High</v>
      </c>
      <c r="Z2881" s="4" t="n">
        <f aca="false">ROUND(MIN(1,MAX('Reward Model'!$B$2,INDEX('Reward Model'!$C$12:$C$14,MATCH($K2881,'Reward Model'!$A$12:$A$14,0))/$J2881)),3)</f>
        <v>0.93</v>
      </c>
      <c r="AA2881" s="2" t="n">
        <f aca="false">IF($I2881="Correct",ROUND(INDEX('Reward Model'!$B$12:$B$14,MATCH($K2881,'Reward Model'!$A$12:$A$14,0))*Z2881,2),0)</f>
        <v>0</v>
      </c>
      <c r="AB2881" s="2" t="n">
        <f aca="false">IF($I2881="Correct",ROUND(INDEX('Reward Model'!$B$12:$B$14,MATCH($Y2881,'Reward Model'!$A$12:$A$14,0))*Z2881,2),0)</f>
        <v>0</v>
      </c>
    </row>
    <row r="2882" customFormat="false" ht="15" hidden="false" customHeight="false" outlineLevel="0" collapsed="false">
      <c r="A2882" s="0" t="s">
        <v>420</v>
      </c>
      <c r="B2882" s="0" t="s">
        <v>421</v>
      </c>
      <c r="C2882" s="0" t="s">
        <v>322</v>
      </c>
      <c r="D2882" s="0" t="s">
        <v>189</v>
      </c>
      <c r="E2882" s="0" t="n">
        <v>1</v>
      </c>
      <c r="F2882" s="0" t="s">
        <v>32</v>
      </c>
      <c r="G2882" s="0" t="s">
        <v>33</v>
      </c>
      <c r="H2882" s="0" t="s">
        <v>33</v>
      </c>
      <c r="I2882" s="0" t="s">
        <v>34</v>
      </c>
      <c r="J2882" s="0" t="n">
        <v>0.99</v>
      </c>
      <c r="K2882" s="0" t="s">
        <v>35</v>
      </c>
      <c r="L2882" s="0" t="n">
        <f aca="false">INDEX(Summary!$F$2:$F$201,MATCH($B2882,Summary!$A$2:$A$201,0))</f>
        <v>20</v>
      </c>
      <c r="M2882" s="0" t="n">
        <f aca="false">INDEX(Summary!$I$2:$I$201,MATCH($B2882,Summary!$A$2:$A$201,0))</f>
        <v>2</v>
      </c>
      <c r="N2882" s="0" t="n">
        <f aca="false">INDEX(Summary!$J$2:$J$201,MATCH($B2882,Summary!$A$2:$A$201,0))</f>
        <v>3</v>
      </c>
      <c r="O2882" s="2" t="n">
        <f aca="false">INDEX(Summary!$K$2:$K$201,MATCH($B2882,Summary!$A$2:$A$201,0))</f>
        <v>10.36</v>
      </c>
      <c r="P2882" s="3" t="n">
        <f aca="false">INDEX(Summary!$L$2:$L$201,MATCH($B2882,Summary!$A$2:$A$201,0))</f>
        <v>3</v>
      </c>
      <c r="Q2882" s="3" t="n">
        <f aca="false">INDEX(Summary!$M$2:$M$201,MATCH($B2882,Summary!$A$2:$A$201,0))</f>
        <v>3</v>
      </c>
      <c r="R2882" s="2" t="n">
        <f aca="false">INDEX(Summary!$N$2:$N$201,MATCH($B2882,Summary!$A$2:$A$201,0))</f>
        <v>10.93</v>
      </c>
      <c r="S2882" s="3" t="n">
        <f aca="false">INDEX(Summary!$O$2:$O$201,MATCH($B2882,Summary!$A$2:$A$201,0))</f>
        <v>8</v>
      </c>
      <c r="T2882" s="3" t="n">
        <f aca="false">INDEX(Summary!$P$2:$P$201,MATCH($B2882,Summary!$A$2:$A$201,0))</f>
        <v>1</v>
      </c>
      <c r="U2882" s="2" t="n">
        <f aca="false">INDEX(Summary!$Q$2:$Q$201,MATCH($B2882,Summary!$A$2:$A$201,0))</f>
        <v>11.76</v>
      </c>
      <c r="V2882" s="2" t="n">
        <f aca="false">INDEX(Summary!$R$2:$R$201,MATCH($B2882,Summary!$A$2:$A$201,0))</f>
        <v>22.83</v>
      </c>
      <c r="W2882" s="0" t="str">
        <f aca="false">INDEX(Summary!$S$2:$S$201,MATCH($B2882,Summary!$A$2:$A$201,0))</f>
        <v>Silver</v>
      </c>
      <c r="X2882" s="2" t="n">
        <f aca="false">INDEX(Summary!$T$2:$T$201,MATCH($B2882,Summary!$A$2:$A$201,0))</f>
        <v>55.68</v>
      </c>
      <c r="Y2882" s="0" t="str">
        <f aca="false">INDEX('Reward Model'!$E$18:$E$37,MATCH($E2882,'Reward Model'!$A$18:$A$37,0))</f>
        <v>Medium</v>
      </c>
      <c r="Z2882" s="4" t="n">
        <f aca="false">ROUND(MIN(1,MAX('Reward Model'!$B$2,INDEX('Reward Model'!$C$12:$C$14,MATCH($K2882,'Reward Model'!$A$12:$A$14,0))/$J2882)),3)</f>
        <v>1</v>
      </c>
      <c r="AA2882" s="2" t="n">
        <f aca="false">IF($I2882="Correct",ROUND(INDEX('Reward Model'!$B$12:$B$14,MATCH($K2882,'Reward Model'!$A$12:$A$14,0))*Z2882,2),0)</f>
        <v>1</v>
      </c>
      <c r="AB2882" s="2" t="n">
        <f aca="false">IF($I2882="Correct",ROUND(INDEX('Reward Model'!$B$12:$B$14,MATCH($Y2882,'Reward Model'!$A$12:$A$14,0))*Z2882,2),0)</f>
        <v>2</v>
      </c>
    </row>
    <row r="2883" customFormat="false" ht="15" hidden="false" customHeight="false" outlineLevel="0" collapsed="false">
      <c r="A2883" s="0" t="s">
        <v>420</v>
      </c>
      <c r="B2883" s="0" t="s">
        <v>421</v>
      </c>
      <c r="C2883" s="0" t="s">
        <v>322</v>
      </c>
      <c r="D2883" s="0" t="s">
        <v>189</v>
      </c>
      <c r="E2883" s="0" t="n">
        <v>2</v>
      </c>
      <c r="F2883" s="0" t="s">
        <v>36</v>
      </c>
      <c r="G2883" s="0" t="s">
        <v>38</v>
      </c>
      <c r="H2883" s="0" t="s">
        <v>38</v>
      </c>
      <c r="I2883" s="0" t="s">
        <v>34</v>
      </c>
      <c r="J2883" s="0" t="n">
        <v>1.12</v>
      </c>
      <c r="K2883" s="0" t="s">
        <v>35</v>
      </c>
      <c r="L2883" s="0" t="n">
        <f aca="false">INDEX(Summary!$F$2:$F$201,MATCH($B2883,Summary!$A$2:$A$201,0))</f>
        <v>20</v>
      </c>
      <c r="M2883" s="0" t="n">
        <f aca="false">INDEX(Summary!$I$2:$I$201,MATCH($B2883,Summary!$A$2:$A$201,0))</f>
        <v>2</v>
      </c>
      <c r="N2883" s="0" t="n">
        <f aca="false">INDEX(Summary!$J$2:$J$201,MATCH($B2883,Summary!$A$2:$A$201,0))</f>
        <v>3</v>
      </c>
      <c r="O2883" s="2" t="n">
        <f aca="false">INDEX(Summary!$K$2:$K$201,MATCH($B2883,Summary!$A$2:$A$201,0))</f>
        <v>10.36</v>
      </c>
      <c r="P2883" s="3" t="n">
        <f aca="false">INDEX(Summary!$L$2:$L$201,MATCH($B2883,Summary!$A$2:$A$201,0))</f>
        <v>3</v>
      </c>
      <c r="Q2883" s="3" t="n">
        <f aca="false">INDEX(Summary!$M$2:$M$201,MATCH($B2883,Summary!$A$2:$A$201,0))</f>
        <v>3</v>
      </c>
      <c r="R2883" s="2" t="n">
        <f aca="false">INDEX(Summary!$N$2:$N$201,MATCH($B2883,Summary!$A$2:$A$201,0))</f>
        <v>10.93</v>
      </c>
      <c r="S2883" s="3" t="n">
        <f aca="false">INDEX(Summary!$O$2:$O$201,MATCH($B2883,Summary!$A$2:$A$201,0))</f>
        <v>8</v>
      </c>
      <c r="T2883" s="3" t="n">
        <f aca="false">INDEX(Summary!$P$2:$P$201,MATCH($B2883,Summary!$A$2:$A$201,0))</f>
        <v>1</v>
      </c>
      <c r="U2883" s="2" t="n">
        <f aca="false">INDEX(Summary!$Q$2:$Q$201,MATCH($B2883,Summary!$A$2:$A$201,0))</f>
        <v>11.76</v>
      </c>
      <c r="V2883" s="2" t="n">
        <f aca="false">INDEX(Summary!$R$2:$R$201,MATCH($B2883,Summary!$A$2:$A$201,0))</f>
        <v>22.83</v>
      </c>
      <c r="W2883" s="0" t="str">
        <f aca="false">INDEX(Summary!$S$2:$S$201,MATCH($B2883,Summary!$A$2:$A$201,0))</f>
        <v>Silver</v>
      </c>
      <c r="X2883" s="2" t="n">
        <f aca="false">INDEX(Summary!$T$2:$T$201,MATCH($B2883,Summary!$A$2:$A$201,0))</f>
        <v>55.68</v>
      </c>
      <c r="Y2883" s="0" t="str">
        <f aca="false">INDEX('Reward Model'!$E$18:$E$37,MATCH($E2883,'Reward Model'!$A$18:$A$37,0))</f>
        <v>Low</v>
      </c>
      <c r="Z2883" s="4" t="n">
        <f aca="false">ROUND(MIN(1,MAX('Reward Model'!$B$2,INDEX('Reward Model'!$C$12:$C$14,MATCH($K2883,'Reward Model'!$A$12:$A$14,0))/$J2883)),3)</f>
        <v>1</v>
      </c>
      <c r="AA2883" s="2" t="n">
        <f aca="false">IF($I2883="Correct",ROUND(INDEX('Reward Model'!$B$12:$B$14,MATCH($K2883,'Reward Model'!$A$12:$A$14,0))*Z2883,2),0)</f>
        <v>1</v>
      </c>
      <c r="AB2883" s="2" t="n">
        <f aca="false">IF($I2883="Correct",ROUND(INDEX('Reward Model'!$B$12:$B$14,MATCH($Y2883,'Reward Model'!$A$12:$A$14,0))*Z2883,2),0)</f>
        <v>1</v>
      </c>
    </row>
    <row r="2884" customFormat="false" ht="15" hidden="false" customHeight="false" outlineLevel="0" collapsed="false">
      <c r="A2884" s="0" t="s">
        <v>420</v>
      </c>
      <c r="B2884" s="0" t="s">
        <v>421</v>
      </c>
      <c r="C2884" s="0" t="s">
        <v>322</v>
      </c>
      <c r="D2884" s="0" t="s">
        <v>189</v>
      </c>
      <c r="E2884" s="0" t="n">
        <v>3</v>
      </c>
      <c r="F2884" s="0" t="s">
        <v>40</v>
      </c>
      <c r="G2884" s="0" t="s">
        <v>123</v>
      </c>
      <c r="H2884" s="0" t="s">
        <v>42</v>
      </c>
      <c r="I2884" s="0" t="s">
        <v>39</v>
      </c>
      <c r="J2884" s="0" t="n">
        <v>1.57</v>
      </c>
      <c r="K2884" s="0" t="s">
        <v>35</v>
      </c>
      <c r="L2884" s="0" t="n">
        <f aca="false">INDEX(Summary!$F$2:$F$201,MATCH($B2884,Summary!$A$2:$A$201,0))</f>
        <v>20</v>
      </c>
      <c r="M2884" s="0" t="n">
        <f aca="false">INDEX(Summary!$I$2:$I$201,MATCH($B2884,Summary!$A$2:$A$201,0))</f>
        <v>2</v>
      </c>
      <c r="N2884" s="0" t="n">
        <f aca="false">INDEX(Summary!$J$2:$J$201,MATCH($B2884,Summary!$A$2:$A$201,0))</f>
        <v>3</v>
      </c>
      <c r="O2884" s="2" t="n">
        <f aca="false">INDEX(Summary!$K$2:$K$201,MATCH($B2884,Summary!$A$2:$A$201,0))</f>
        <v>10.36</v>
      </c>
      <c r="P2884" s="3" t="n">
        <f aca="false">INDEX(Summary!$L$2:$L$201,MATCH($B2884,Summary!$A$2:$A$201,0))</f>
        <v>3</v>
      </c>
      <c r="Q2884" s="3" t="n">
        <f aca="false">INDEX(Summary!$M$2:$M$201,MATCH($B2884,Summary!$A$2:$A$201,0))</f>
        <v>3</v>
      </c>
      <c r="R2884" s="2" t="n">
        <f aca="false">INDEX(Summary!$N$2:$N$201,MATCH($B2884,Summary!$A$2:$A$201,0))</f>
        <v>10.93</v>
      </c>
      <c r="S2884" s="3" t="n">
        <f aca="false">INDEX(Summary!$O$2:$O$201,MATCH($B2884,Summary!$A$2:$A$201,0))</f>
        <v>8</v>
      </c>
      <c r="T2884" s="3" t="n">
        <f aca="false">INDEX(Summary!$P$2:$P$201,MATCH($B2884,Summary!$A$2:$A$201,0))</f>
        <v>1</v>
      </c>
      <c r="U2884" s="2" t="n">
        <f aca="false">INDEX(Summary!$Q$2:$Q$201,MATCH($B2884,Summary!$A$2:$A$201,0))</f>
        <v>11.76</v>
      </c>
      <c r="V2884" s="2" t="n">
        <f aca="false">INDEX(Summary!$R$2:$R$201,MATCH($B2884,Summary!$A$2:$A$201,0))</f>
        <v>22.83</v>
      </c>
      <c r="W2884" s="0" t="str">
        <f aca="false">INDEX(Summary!$S$2:$S$201,MATCH($B2884,Summary!$A$2:$A$201,0))</f>
        <v>Silver</v>
      </c>
      <c r="X2884" s="2" t="n">
        <f aca="false">INDEX(Summary!$T$2:$T$201,MATCH($B2884,Summary!$A$2:$A$201,0))</f>
        <v>55.68</v>
      </c>
      <c r="Y2884" s="0" t="str">
        <f aca="false">INDEX('Reward Model'!$E$18:$E$37,MATCH($E2884,'Reward Model'!$A$18:$A$37,0))</f>
        <v>Medium</v>
      </c>
      <c r="Z2884" s="4" t="n">
        <f aca="false">ROUND(MIN(1,MAX('Reward Model'!$B$2,INDEX('Reward Model'!$C$12:$C$14,MATCH($K2884,'Reward Model'!$A$12:$A$14,0))/$J2884)),3)</f>
        <v>0.955</v>
      </c>
      <c r="AA2884" s="2" t="n">
        <f aca="false">IF($I2884="Correct",ROUND(INDEX('Reward Model'!$B$12:$B$14,MATCH($K2884,'Reward Model'!$A$12:$A$14,0))*Z2884,2),0)</f>
        <v>0</v>
      </c>
      <c r="AB2884" s="2" t="n">
        <f aca="false">IF($I2884="Correct",ROUND(INDEX('Reward Model'!$B$12:$B$14,MATCH($Y2884,'Reward Model'!$A$12:$A$14,0))*Z2884,2),0)</f>
        <v>0</v>
      </c>
    </row>
    <row r="2885" customFormat="false" ht="15" hidden="false" customHeight="false" outlineLevel="0" collapsed="false">
      <c r="A2885" s="0" t="s">
        <v>420</v>
      </c>
      <c r="B2885" s="0" t="s">
        <v>421</v>
      </c>
      <c r="C2885" s="0" t="s">
        <v>322</v>
      </c>
      <c r="D2885" s="0" t="s">
        <v>189</v>
      </c>
      <c r="E2885" s="0" t="n">
        <v>4</v>
      </c>
      <c r="F2885" s="0" t="s">
        <v>43</v>
      </c>
      <c r="G2885" s="0" t="s">
        <v>45</v>
      </c>
      <c r="H2885" s="0" t="s">
        <v>45</v>
      </c>
      <c r="I2885" s="0" t="s">
        <v>34</v>
      </c>
      <c r="J2885" s="0" t="n">
        <v>1.57</v>
      </c>
      <c r="K2885" s="0" t="s">
        <v>35</v>
      </c>
      <c r="L2885" s="0" t="n">
        <f aca="false">INDEX(Summary!$F$2:$F$201,MATCH($B2885,Summary!$A$2:$A$201,0))</f>
        <v>20</v>
      </c>
      <c r="M2885" s="0" t="n">
        <f aca="false">INDEX(Summary!$I$2:$I$201,MATCH($B2885,Summary!$A$2:$A$201,0))</f>
        <v>2</v>
      </c>
      <c r="N2885" s="0" t="n">
        <f aca="false">INDEX(Summary!$J$2:$J$201,MATCH($B2885,Summary!$A$2:$A$201,0))</f>
        <v>3</v>
      </c>
      <c r="O2885" s="2" t="n">
        <f aca="false">INDEX(Summary!$K$2:$K$201,MATCH($B2885,Summary!$A$2:$A$201,0))</f>
        <v>10.36</v>
      </c>
      <c r="P2885" s="3" t="n">
        <f aca="false">INDEX(Summary!$L$2:$L$201,MATCH($B2885,Summary!$A$2:$A$201,0))</f>
        <v>3</v>
      </c>
      <c r="Q2885" s="3" t="n">
        <f aca="false">INDEX(Summary!$M$2:$M$201,MATCH($B2885,Summary!$A$2:$A$201,0))</f>
        <v>3</v>
      </c>
      <c r="R2885" s="2" t="n">
        <f aca="false">INDEX(Summary!$N$2:$N$201,MATCH($B2885,Summary!$A$2:$A$201,0))</f>
        <v>10.93</v>
      </c>
      <c r="S2885" s="3" t="n">
        <f aca="false">INDEX(Summary!$O$2:$O$201,MATCH($B2885,Summary!$A$2:$A$201,0))</f>
        <v>8</v>
      </c>
      <c r="T2885" s="3" t="n">
        <f aca="false">INDEX(Summary!$P$2:$P$201,MATCH($B2885,Summary!$A$2:$A$201,0))</f>
        <v>1</v>
      </c>
      <c r="U2885" s="2" t="n">
        <f aca="false">INDEX(Summary!$Q$2:$Q$201,MATCH($B2885,Summary!$A$2:$A$201,0))</f>
        <v>11.76</v>
      </c>
      <c r="V2885" s="2" t="n">
        <f aca="false">INDEX(Summary!$R$2:$R$201,MATCH($B2885,Summary!$A$2:$A$201,0))</f>
        <v>22.83</v>
      </c>
      <c r="W2885" s="0" t="str">
        <f aca="false">INDEX(Summary!$S$2:$S$201,MATCH($B2885,Summary!$A$2:$A$201,0))</f>
        <v>Silver</v>
      </c>
      <c r="X2885" s="2" t="n">
        <f aca="false">INDEX(Summary!$T$2:$T$201,MATCH($B2885,Summary!$A$2:$A$201,0))</f>
        <v>55.68</v>
      </c>
      <c r="Y2885" s="0" t="str">
        <f aca="false">INDEX('Reward Model'!$E$18:$E$37,MATCH($E2885,'Reward Model'!$A$18:$A$37,0))</f>
        <v>Low</v>
      </c>
      <c r="Z2885" s="4" t="n">
        <f aca="false">ROUND(MIN(1,MAX('Reward Model'!$B$2,INDEX('Reward Model'!$C$12:$C$14,MATCH($K2885,'Reward Model'!$A$12:$A$14,0))/$J2885)),3)</f>
        <v>0.955</v>
      </c>
      <c r="AA2885" s="2" t="n">
        <f aca="false">IF($I2885="Correct",ROUND(INDEX('Reward Model'!$B$12:$B$14,MATCH($K2885,'Reward Model'!$A$12:$A$14,0))*Z2885,2),0)</f>
        <v>0.96</v>
      </c>
      <c r="AB2885" s="2" t="n">
        <f aca="false">IF($I2885="Correct",ROUND(INDEX('Reward Model'!$B$12:$B$14,MATCH($Y2885,'Reward Model'!$A$12:$A$14,0))*Z2885,2),0)</f>
        <v>0.96</v>
      </c>
    </row>
    <row r="2886" customFormat="false" ht="15" hidden="false" customHeight="false" outlineLevel="0" collapsed="false">
      <c r="A2886" s="0" t="s">
        <v>420</v>
      </c>
      <c r="B2886" s="0" t="s">
        <v>421</v>
      </c>
      <c r="C2886" s="0" t="s">
        <v>322</v>
      </c>
      <c r="D2886" s="0" t="s">
        <v>189</v>
      </c>
      <c r="E2886" s="0" t="n">
        <v>5</v>
      </c>
      <c r="F2886" s="0" t="s">
        <v>46</v>
      </c>
      <c r="G2886" s="0" t="s">
        <v>47</v>
      </c>
      <c r="H2886" s="0" t="s">
        <v>47</v>
      </c>
      <c r="I2886" s="0" t="s">
        <v>34</v>
      </c>
      <c r="J2886" s="0" t="n">
        <v>1.45</v>
      </c>
      <c r="K2886" s="0" t="s">
        <v>35</v>
      </c>
      <c r="L2886" s="0" t="n">
        <f aca="false">INDEX(Summary!$F$2:$F$201,MATCH($B2886,Summary!$A$2:$A$201,0))</f>
        <v>20</v>
      </c>
      <c r="M2886" s="0" t="n">
        <f aca="false">INDEX(Summary!$I$2:$I$201,MATCH($B2886,Summary!$A$2:$A$201,0))</f>
        <v>2</v>
      </c>
      <c r="N2886" s="0" t="n">
        <f aca="false">INDEX(Summary!$J$2:$J$201,MATCH($B2886,Summary!$A$2:$A$201,0))</f>
        <v>3</v>
      </c>
      <c r="O2886" s="2" t="n">
        <f aca="false">INDEX(Summary!$K$2:$K$201,MATCH($B2886,Summary!$A$2:$A$201,0))</f>
        <v>10.36</v>
      </c>
      <c r="P2886" s="3" t="n">
        <f aca="false">INDEX(Summary!$L$2:$L$201,MATCH($B2886,Summary!$A$2:$A$201,0))</f>
        <v>3</v>
      </c>
      <c r="Q2886" s="3" t="n">
        <f aca="false">INDEX(Summary!$M$2:$M$201,MATCH($B2886,Summary!$A$2:$A$201,0))</f>
        <v>3</v>
      </c>
      <c r="R2886" s="2" t="n">
        <f aca="false">INDEX(Summary!$N$2:$N$201,MATCH($B2886,Summary!$A$2:$A$201,0))</f>
        <v>10.93</v>
      </c>
      <c r="S2886" s="3" t="n">
        <f aca="false">INDEX(Summary!$O$2:$O$201,MATCH($B2886,Summary!$A$2:$A$201,0))</f>
        <v>8</v>
      </c>
      <c r="T2886" s="3" t="n">
        <f aca="false">INDEX(Summary!$P$2:$P$201,MATCH($B2886,Summary!$A$2:$A$201,0))</f>
        <v>1</v>
      </c>
      <c r="U2886" s="2" t="n">
        <f aca="false">INDEX(Summary!$Q$2:$Q$201,MATCH($B2886,Summary!$A$2:$A$201,0))</f>
        <v>11.76</v>
      </c>
      <c r="V2886" s="2" t="n">
        <f aca="false">INDEX(Summary!$R$2:$R$201,MATCH($B2886,Summary!$A$2:$A$201,0))</f>
        <v>22.83</v>
      </c>
      <c r="W2886" s="0" t="str">
        <f aca="false">INDEX(Summary!$S$2:$S$201,MATCH($B2886,Summary!$A$2:$A$201,0))</f>
        <v>Silver</v>
      </c>
      <c r="X2886" s="2" t="n">
        <f aca="false">INDEX(Summary!$T$2:$T$201,MATCH($B2886,Summary!$A$2:$A$201,0))</f>
        <v>55.68</v>
      </c>
      <c r="Y2886" s="0" t="str">
        <f aca="false">INDEX('Reward Model'!$E$18:$E$37,MATCH($E2886,'Reward Model'!$A$18:$A$37,0))</f>
        <v>Low</v>
      </c>
      <c r="Z2886" s="4" t="n">
        <f aca="false">ROUND(MIN(1,MAX('Reward Model'!$B$2,INDEX('Reward Model'!$C$12:$C$14,MATCH($K2886,'Reward Model'!$A$12:$A$14,0))/$J2886)),3)</f>
        <v>1</v>
      </c>
      <c r="AA2886" s="2" t="n">
        <f aca="false">IF($I2886="Correct",ROUND(INDEX('Reward Model'!$B$12:$B$14,MATCH($K2886,'Reward Model'!$A$12:$A$14,0))*Z2886,2),0)</f>
        <v>1</v>
      </c>
      <c r="AB2886" s="2" t="n">
        <f aca="false">IF($I2886="Correct",ROUND(INDEX('Reward Model'!$B$12:$B$14,MATCH($Y2886,'Reward Model'!$A$12:$A$14,0))*Z2886,2),0)</f>
        <v>1</v>
      </c>
    </row>
    <row r="2887" customFormat="false" ht="15" hidden="false" customHeight="false" outlineLevel="0" collapsed="false">
      <c r="A2887" s="0" t="s">
        <v>420</v>
      </c>
      <c r="B2887" s="0" t="s">
        <v>421</v>
      </c>
      <c r="C2887" s="0" t="s">
        <v>322</v>
      </c>
      <c r="D2887" s="0" t="s">
        <v>189</v>
      </c>
      <c r="E2887" s="0" t="n">
        <v>6</v>
      </c>
      <c r="F2887" s="0" t="s">
        <v>48</v>
      </c>
      <c r="G2887" s="0" t="s">
        <v>49</v>
      </c>
      <c r="H2887" s="0" t="s">
        <v>49</v>
      </c>
      <c r="I2887" s="0" t="s">
        <v>34</v>
      </c>
      <c r="J2887" s="0" t="n">
        <v>1.6</v>
      </c>
      <c r="K2887" s="0" t="s">
        <v>35</v>
      </c>
      <c r="L2887" s="0" t="n">
        <f aca="false">INDEX(Summary!$F$2:$F$201,MATCH($B2887,Summary!$A$2:$A$201,0))</f>
        <v>20</v>
      </c>
      <c r="M2887" s="0" t="n">
        <f aca="false">INDEX(Summary!$I$2:$I$201,MATCH($B2887,Summary!$A$2:$A$201,0))</f>
        <v>2</v>
      </c>
      <c r="N2887" s="0" t="n">
        <f aca="false">INDEX(Summary!$J$2:$J$201,MATCH($B2887,Summary!$A$2:$A$201,0))</f>
        <v>3</v>
      </c>
      <c r="O2887" s="2" t="n">
        <f aca="false">INDEX(Summary!$K$2:$K$201,MATCH($B2887,Summary!$A$2:$A$201,0))</f>
        <v>10.36</v>
      </c>
      <c r="P2887" s="3" t="n">
        <f aca="false">INDEX(Summary!$L$2:$L$201,MATCH($B2887,Summary!$A$2:$A$201,0))</f>
        <v>3</v>
      </c>
      <c r="Q2887" s="3" t="n">
        <f aca="false">INDEX(Summary!$M$2:$M$201,MATCH($B2887,Summary!$A$2:$A$201,0))</f>
        <v>3</v>
      </c>
      <c r="R2887" s="2" t="n">
        <f aca="false">INDEX(Summary!$N$2:$N$201,MATCH($B2887,Summary!$A$2:$A$201,0))</f>
        <v>10.93</v>
      </c>
      <c r="S2887" s="3" t="n">
        <f aca="false">INDEX(Summary!$O$2:$O$201,MATCH($B2887,Summary!$A$2:$A$201,0))</f>
        <v>8</v>
      </c>
      <c r="T2887" s="3" t="n">
        <f aca="false">INDEX(Summary!$P$2:$P$201,MATCH($B2887,Summary!$A$2:$A$201,0))</f>
        <v>1</v>
      </c>
      <c r="U2887" s="2" t="n">
        <f aca="false">INDEX(Summary!$Q$2:$Q$201,MATCH($B2887,Summary!$A$2:$A$201,0))</f>
        <v>11.76</v>
      </c>
      <c r="V2887" s="2" t="n">
        <f aca="false">INDEX(Summary!$R$2:$R$201,MATCH($B2887,Summary!$A$2:$A$201,0))</f>
        <v>22.83</v>
      </c>
      <c r="W2887" s="0" t="str">
        <f aca="false">INDEX(Summary!$S$2:$S$201,MATCH($B2887,Summary!$A$2:$A$201,0))</f>
        <v>Silver</v>
      </c>
      <c r="X2887" s="2" t="n">
        <f aca="false">INDEX(Summary!$T$2:$T$201,MATCH($B2887,Summary!$A$2:$A$201,0))</f>
        <v>55.68</v>
      </c>
      <c r="Y2887" s="0" t="str">
        <f aca="false">INDEX('Reward Model'!$E$18:$E$37,MATCH($E2887,'Reward Model'!$A$18:$A$37,0))</f>
        <v>Medium</v>
      </c>
      <c r="Z2887" s="4" t="n">
        <f aca="false">ROUND(MIN(1,MAX('Reward Model'!$B$2,INDEX('Reward Model'!$C$12:$C$14,MATCH($K2887,'Reward Model'!$A$12:$A$14,0))/$J2887)),3)</f>
        <v>0.938</v>
      </c>
      <c r="AA2887" s="2" t="n">
        <f aca="false">IF($I2887="Correct",ROUND(INDEX('Reward Model'!$B$12:$B$14,MATCH($K2887,'Reward Model'!$A$12:$A$14,0))*Z2887,2),0)</f>
        <v>0.94</v>
      </c>
      <c r="AB2887" s="2" t="n">
        <f aca="false">IF($I2887="Correct",ROUND(INDEX('Reward Model'!$B$12:$B$14,MATCH($Y2887,'Reward Model'!$A$12:$A$14,0))*Z2887,2),0)</f>
        <v>1.88</v>
      </c>
    </row>
    <row r="2888" customFormat="false" ht="15" hidden="false" customHeight="false" outlineLevel="0" collapsed="false">
      <c r="A2888" s="0" t="s">
        <v>420</v>
      </c>
      <c r="B2888" s="0" t="s">
        <v>421</v>
      </c>
      <c r="C2888" s="0" t="s">
        <v>322</v>
      </c>
      <c r="D2888" s="0" t="s">
        <v>189</v>
      </c>
      <c r="E2888" s="0" t="n">
        <v>7</v>
      </c>
      <c r="F2888" s="0" t="s">
        <v>50</v>
      </c>
      <c r="G2888" s="0" t="s">
        <v>51</v>
      </c>
      <c r="H2888" s="0" t="s">
        <v>51</v>
      </c>
      <c r="I2888" s="0" t="s">
        <v>34</v>
      </c>
      <c r="J2888" s="0" t="n">
        <v>0.94</v>
      </c>
      <c r="K2888" s="0" t="s">
        <v>35</v>
      </c>
      <c r="L2888" s="0" t="n">
        <f aca="false">INDEX(Summary!$F$2:$F$201,MATCH($B2888,Summary!$A$2:$A$201,0))</f>
        <v>20</v>
      </c>
      <c r="M2888" s="0" t="n">
        <f aca="false">INDEX(Summary!$I$2:$I$201,MATCH($B2888,Summary!$A$2:$A$201,0))</f>
        <v>2</v>
      </c>
      <c r="N2888" s="0" t="n">
        <f aca="false">INDEX(Summary!$J$2:$J$201,MATCH($B2888,Summary!$A$2:$A$201,0))</f>
        <v>3</v>
      </c>
      <c r="O2888" s="2" t="n">
        <f aca="false">INDEX(Summary!$K$2:$K$201,MATCH($B2888,Summary!$A$2:$A$201,0))</f>
        <v>10.36</v>
      </c>
      <c r="P2888" s="3" t="n">
        <f aca="false">INDEX(Summary!$L$2:$L$201,MATCH($B2888,Summary!$A$2:$A$201,0))</f>
        <v>3</v>
      </c>
      <c r="Q2888" s="3" t="n">
        <f aca="false">INDEX(Summary!$M$2:$M$201,MATCH($B2888,Summary!$A$2:$A$201,0))</f>
        <v>3</v>
      </c>
      <c r="R2888" s="2" t="n">
        <f aca="false">INDEX(Summary!$N$2:$N$201,MATCH($B2888,Summary!$A$2:$A$201,0))</f>
        <v>10.93</v>
      </c>
      <c r="S2888" s="3" t="n">
        <f aca="false">INDEX(Summary!$O$2:$O$201,MATCH($B2888,Summary!$A$2:$A$201,0))</f>
        <v>8</v>
      </c>
      <c r="T2888" s="3" t="n">
        <f aca="false">INDEX(Summary!$P$2:$P$201,MATCH($B2888,Summary!$A$2:$A$201,0))</f>
        <v>1</v>
      </c>
      <c r="U2888" s="2" t="n">
        <f aca="false">INDEX(Summary!$Q$2:$Q$201,MATCH($B2888,Summary!$A$2:$A$201,0))</f>
        <v>11.76</v>
      </c>
      <c r="V2888" s="2" t="n">
        <f aca="false">INDEX(Summary!$R$2:$R$201,MATCH($B2888,Summary!$A$2:$A$201,0))</f>
        <v>22.83</v>
      </c>
      <c r="W2888" s="0" t="str">
        <f aca="false">INDEX(Summary!$S$2:$S$201,MATCH($B2888,Summary!$A$2:$A$201,0))</f>
        <v>Silver</v>
      </c>
      <c r="X2888" s="2" t="n">
        <f aca="false">INDEX(Summary!$T$2:$T$201,MATCH($B2888,Summary!$A$2:$A$201,0))</f>
        <v>55.68</v>
      </c>
      <c r="Y2888" s="0" t="str">
        <f aca="false">INDEX('Reward Model'!$E$18:$E$37,MATCH($E2888,'Reward Model'!$A$18:$A$37,0))</f>
        <v>Low</v>
      </c>
      <c r="Z2888" s="4" t="n">
        <f aca="false">ROUND(MIN(1,MAX('Reward Model'!$B$2,INDEX('Reward Model'!$C$12:$C$14,MATCH($K2888,'Reward Model'!$A$12:$A$14,0))/$J2888)),3)</f>
        <v>1</v>
      </c>
      <c r="AA2888" s="2" t="n">
        <f aca="false">IF($I2888="Correct",ROUND(INDEX('Reward Model'!$B$12:$B$14,MATCH($K2888,'Reward Model'!$A$12:$A$14,0))*Z2888,2),0)</f>
        <v>1</v>
      </c>
      <c r="AB2888" s="2" t="n">
        <f aca="false">IF($I2888="Correct",ROUND(INDEX('Reward Model'!$B$12:$B$14,MATCH($Y2888,'Reward Model'!$A$12:$A$14,0))*Z2888,2),0)</f>
        <v>1</v>
      </c>
    </row>
    <row r="2889" customFormat="false" ht="15" hidden="false" customHeight="false" outlineLevel="0" collapsed="false">
      <c r="A2889" s="0" t="s">
        <v>420</v>
      </c>
      <c r="B2889" s="0" t="s">
        <v>421</v>
      </c>
      <c r="C2889" s="0" t="s">
        <v>322</v>
      </c>
      <c r="D2889" s="0" t="s">
        <v>189</v>
      </c>
      <c r="E2889" s="0" t="n">
        <v>8</v>
      </c>
      <c r="F2889" s="0" t="s">
        <v>52</v>
      </c>
      <c r="G2889" s="0" t="s">
        <v>54</v>
      </c>
      <c r="H2889" s="0" t="s">
        <v>54</v>
      </c>
      <c r="I2889" s="0" t="s">
        <v>34</v>
      </c>
      <c r="J2889" s="0" t="n">
        <v>0.95</v>
      </c>
      <c r="K2889" s="0" t="s">
        <v>35</v>
      </c>
      <c r="L2889" s="0" t="n">
        <f aca="false">INDEX(Summary!$F$2:$F$201,MATCH($B2889,Summary!$A$2:$A$201,0))</f>
        <v>20</v>
      </c>
      <c r="M2889" s="0" t="n">
        <f aca="false">INDEX(Summary!$I$2:$I$201,MATCH($B2889,Summary!$A$2:$A$201,0))</f>
        <v>2</v>
      </c>
      <c r="N2889" s="0" t="n">
        <f aca="false">INDEX(Summary!$J$2:$J$201,MATCH($B2889,Summary!$A$2:$A$201,0))</f>
        <v>3</v>
      </c>
      <c r="O2889" s="2" t="n">
        <f aca="false">INDEX(Summary!$K$2:$K$201,MATCH($B2889,Summary!$A$2:$A$201,0))</f>
        <v>10.36</v>
      </c>
      <c r="P2889" s="3" t="n">
        <f aca="false">INDEX(Summary!$L$2:$L$201,MATCH($B2889,Summary!$A$2:$A$201,0))</f>
        <v>3</v>
      </c>
      <c r="Q2889" s="3" t="n">
        <f aca="false">INDEX(Summary!$M$2:$M$201,MATCH($B2889,Summary!$A$2:$A$201,0))</f>
        <v>3</v>
      </c>
      <c r="R2889" s="2" t="n">
        <f aca="false">INDEX(Summary!$N$2:$N$201,MATCH($B2889,Summary!$A$2:$A$201,0))</f>
        <v>10.93</v>
      </c>
      <c r="S2889" s="3" t="n">
        <f aca="false">INDEX(Summary!$O$2:$O$201,MATCH($B2889,Summary!$A$2:$A$201,0))</f>
        <v>8</v>
      </c>
      <c r="T2889" s="3" t="n">
        <f aca="false">INDEX(Summary!$P$2:$P$201,MATCH($B2889,Summary!$A$2:$A$201,0))</f>
        <v>1</v>
      </c>
      <c r="U2889" s="2" t="n">
        <f aca="false">INDEX(Summary!$Q$2:$Q$201,MATCH($B2889,Summary!$A$2:$A$201,0))</f>
        <v>11.76</v>
      </c>
      <c r="V2889" s="2" t="n">
        <f aca="false">INDEX(Summary!$R$2:$R$201,MATCH($B2889,Summary!$A$2:$A$201,0))</f>
        <v>22.83</v>
      </c>
      <c r="W2889" s="0" t="str">
        <f aca="false">INDEX(Summary!$S$2:$S$201,MATCH($B2889,Summary!$A$2:$A$201,0))</f>
        <v>Silver</v>
      </c>
      <c r="X2889" s="2" t="n">
        <f aca="false">INDEX(Summary!$T$2:$T$201,MATCH($B2889,Summary!$A$2:$A$201,0))</f>
        <v>55.68</v>
      </c>
      <c r="Y2889" s="0" t="str">
        <f aca="false">INDEX('Reward Model'!$E$18:$E$37,MATCH($E2889,'Reward Model'!$A$18:$A$37,0))</f>
        <v>Medium</v>
      </c>
      <c r="Z2889" s="4" t="n">
        <f aca="false">ROUND(MIN(1,MAX('Reward Model'!$B$2,INDEX('Reward Model'!$C$12:$C$14,MATCH($K2889,'Reward Model'!$A$12:$A$14,0))/$J2889)),3)</f>
        <v>1</v>
      </c>
      <c r="AA2889" s="2" t="n">
        <f aca="false">IF($I2889="Correct",ROUND(INDEX('Reward Model'!$B$12:$B$14,MATCH($K2889,'Reward Model'!$A$12:$A$14,0))*Z2889,2),0)</f>
        <v>1</v>
      </c>
      <c r="AB2889" s="2" t="n">
        <f aca="false">IF($I2889="Correct",ROUND(INDEX('Reward Model'!$B$12:$B$14,MATCH($Y2889,'Reward Model'!$A$12:$A$14,0))*Z2889,2),0)</f>
        <v>2</v>
      </c>
    </row>
    <row r="2890" customFormat="false" ht="15" hidden="false" customHeight="false" outlineLevel="0" collapsed="false">
      <c r="A2890" s="0" t="s">
        <v>420</v>
      </c>
      <c r="B2890" s="0" t="s">
        <v>421</v>
      </c>
      <c r="C2890" s="0" t="s">
        <v>322</v>
      </c>
      <c r="D2890" s="0" t="s">
        <v>189</v>
      </c>
      <c r="E2890" s="0" t="n">
        <v>9</v>
      </c>
      <c r="F2890" s="0" t="s">
        <v>55</v>
      </c>
      <c r="G2890" s="0" t="s">
        <v>57</v>
      </c>
      <c r="H2890" s="0" t="s">
        <v>57</v>
      </c>
      <c r="I2890" s="0" t="s">
        <v>34</v>
      </c>
      <c r="J2890" s="0" t="n">
        <v>1.57</v>
      </c>
      <c r="K2890" s="0" t="s">
        <v>35</v>
      </c>
      <c r="L2890" s="0" t="n">
        <f aca="false">INDEX(Summary!$F$2:$F$201,MATCH($B2890,Summary!$A$2:$A$201,0))</f>
        <v>20</v>
      </c>
      <c r="M2890" s="0" t="n">
        <f aca="false">INDEX(Summary!$I$2:$I$201,MATCH($B2890,Summary!$A$2:$A$201,0))</f>
        <v>2</v>
      </c>
      <c r="N2890" s="0" t="n">
        <f aca="false">INDEX(Summary!$J$2:$J$201,MATCH($B2890,Summary!$A$2:$A$201,0))</f>
        <v>3</v>
      </c>
      <c r="O2890" s="2" t="n">
        <f aca="false">INDEX(Summary!$K$2:$K$201,MATCH($B2890,Summary!$A$2:$A$201,0))</f>
        <v>10.36</v>
      </c>
      <c r="P2890" s="3" t="n">
        <f aca="false">INDEX(Summary!$L$2:$L$201,MATCH($B2890,Summary!$A$2:$A$201,0))</f>
        <v>3</v>
      </c>
      <c r="Q2890" s="3" t="n">
        <f aca="false">INDEX(Summary!$M$2:$M$201,MATCH($B2890,Summary!$A$2:$A$201,0))</f>
        <v>3</v>
      </c>
      <c r="R2890" s="2" t="n">
        <f aca="false">INDEX(Summary!$N$2:$N$201,MATCH($B2890,Summary!$A$2:$A$201,0))</f>
        <v>10.93</v>
      </c>
      <c r="S2890" s="3" t="n">
        <f aca="false">INDEX(Summary!$O$2:$O$201,MATCH($B2890,Summary!$A$2:$A$201,0))</f>
        <v>8</v>
      </c>
      <c r="T2890" s="3" t="n">
        <f aca="false">INDEX(Summary!$P$2:$P$201,MATCH($B2890,Summary!$A$2:$A$201,0))</f>
        <v>1</v>
      </c>
      <c r="U2890" s="2" t="n">
        <f aca="false">INDEX(Summary!$Q$2:$Q$201,MATCH($B2890,Summary!$A$2:$A$201,0))</f>
        <v>11.76</v>
      </c>
      <c r="V2890" s="2" t="n">
        <f aca="false">INDEX(Summary!$R$2:$R$201,MATCH($B2890,Summary!$A$2:$A$201,0))</f>
        <v>22.83</v>
      </c>
      <c r="W2890" s="0" t="str">
        <f aca="false">INDEX(Summary!$S$2:$S$201,MATCH($B2890,Summary!$A$2:$A$201,0))</f>
        <v>Silver</v>
      </c>
      <c r="X2890" s="2" t="n">
        <f aca="false">INDEX(Summary!$T$2:$T$201,MATCH($B2890,Summary!$A$2:$A$201,0))</f>
        <v>55.68</v>
      </c>
      <c r="Y2890" s="0" t="str">
        <f aca="false">INDEX('Reward Model'!$E$18:$E$37,MATCH($E2890,'Reward Model'!$A$18:$A$37,0))</f>
        <v>Medium</v>
      </c>
      <c r="Z2890" s="4" t="n">
        <f aca="false">ROUND(MIN(1,MAX('Reward Model'!$B$2,INDEX('Reward Model'!$C$12:$C$14,MATCH($K2890,'Reward Model'!$A$12:$A$14,0))/$J2890)),3)</f>
        <v>0.955</v>
      </c>
      <c r="AA2890" s="2" t="n">
        <f aca="false">IF($I2890="Correct",ROUND(INDEX('Reward Model'!$B$12:$B$14,MATCH($K2890,'Reward Model'!$A$12:$A$14,0))*Z2890,2),0)</f>
        <v>0.96</v>
      </c>
      <c r="AB2890" s="2" t="n">
        <f aca="false">IF($I2890="Correct",ROUND(INDEX('Reward Model'!$B$12:$B$14,MATCH($Y2890,'Reward Model'!$A$12:$A$14,0))*Z2890,2),0)</f>
        <v>1.91</v>
      </c>
    </row>
    <row r="2891" customFormat="false" ht="15" hidden="false" customHeight="false" outlineLevel="0" collapsed="false">
      <c r="A2891" s="0" t="s">
        <v>420</v>
      </c>
      <c r="B2891" s="0" t="s">
        <v>421</v>
      </c>
      <c r="C2891" s="0" t="s">
        <v>322</v>
      </c>
      <c r="D2891" s="0" t="s">
        <v>189</v>
      </c>
      <c r="E2891" s="0" t="n">
        <v>10</v>
      </c>
      <c r="F2891" s="0" t="s">
        <v>58</v>
      </c>
      <c r="G2891" s="0" t="s">
        <v>59</v>
      </c>
      <c r="H2891" s="0" t="s">
        <v>59</v>
      </c>
      <c r="I2891" s="0" t="s">
        <v>34</v>
      </c>
      <c r="J2891" s="0" t="n">
        <v>1.78</v>
      </c>
      <c r="K2891" s="0" t="s">
        <v>60</v>
      </c>
      <c r="L2891" s="0" t="n">
        <f aca="false">INDEX(Summary!$F$2:$F$201,MATCH($B2891,Summary!$A$2:$A$201,0))</f>
        <v>20</v>
      </c>
      <c r="M2891" s="0" t="n">
        <f aca="false">INDEX(Summary!$I$2:$I$201,MATCH($B2891,Summary!$A$2:$A$201,0))</f>
        <v>2</v>
      </c>
      <c r="N2891" s="0" t="n">
        <f aca="false">INDEX(Summary!$J$2:$J$201,MATCH($B2891,Summary!$A$2:$A$201,0))</f>
        <v>3</v>
      </c>
      <c r="O2891" s="2" t="n">
        <f aca="false">INDEX(Summary!$K$2:$K$201,MATCH($B2891,Summary!$A$2:$A$201,0))</f>
        <v>10.36</v>
      </c>
      <c r="P2891" s="3" t="n">
        <f aca="false">INDEX(Summary!$L$2:$L$201,MATCH($B2891,Summary!$A$2:$A$201,0))</f>
        <v>3</v>
      </c>
      <c r="Q2891" s="3" t="n">
        <f aca="false">INDEX(Summary!$M$2:$M$201,MATCH($B2891,Summary!$A$2:$A$201,0))</f>
        <v>3</v>
      </c>
      <c r="R2891" s="2" t="n">
        <f aca="false">INDEX(Summary!$N$2:$N$201,MATCH($B2891,Summary!$A$2:$A$201,0))</f>
        <v>10.93</v>
      </c>
      <c r="S2891" s="3" t="n">
        <f aca="false">INDEX(Summary!$O$2:$O$201,MATCH($B2891,Summary!$A$2:$A$201,0))</f>
        <v>8</v>
      </c>
      <c r="T2891" s="3" t="n">
        <f aca="false">INDEX(Summary!$P$2:$P$201,MATCH($B2891,Summary!$A$2:$A$201,0))</f>
        <v>1</v>
      </c>
      <c r="U2891" s="2" t="n">
        <f aca="false">INDEX(Summary!$Q$2:$Q$201,MATCH($B2891,Summary!$A$2:$A$201,0))</f>
        <v>11.76</v>
      </c>
      <c r="V2891" s="2" t="n">
        <f aca="false">INDEX(Summary!$R$2:$R$201,MATCH($B2891,Summary!$A$2:$A$201,0))</f>
        <v>22.83</v>
      </c>
      <c r="W2891" s="0" t="str">
        <f aca="false">INDEX(Summary!$S$2:$S$201,MATCH($B2891,Summary!$A$2:$A$201,0))</f>
        <v>Silver</v>
      </c>
      <c r="X2891" s="2" t="n">
        <f aca="false">INDEX(Summary!$T$2:$T$201,MATCH($B2891,Summary!$A$2:$A$201,0))</f>
        <v>55.68</v>
      </c>
      <c r="Y2891" s="0" t="str">
        <f aca="false">INDEX('Reward Model'!$E$18:$E$37,MATCH($E2891,'Reward Model'!$A$18:$A$37,0))</f>
        <v>Medium</v>
      </c>
      <c r="Z2891" s="4" t="n">
        <f aca="false">ROUND(MIN(1,MAX('Reward Model'!$B$2,INDEX('Reward Model'!$C$12:$C$14,MATCH($K2891,'Reward Model'!$A$12:$A$14,0))/$J2891)),3)</f>
        <v>1</v>
      </c>
      <c r="AA2891" s="2" t="n">
        <f aca="false">IF($I2891="Correct",ROUND(INDEX('Reward Model'!$B$12:$B$14,MATCH($K2891,'Reward Model'!$A$12:$A$14,0))*Z2891,2),0)</f>
        <v>2</v>
      </c>
      <c r="AB2891" s="2" t="n">
        <f aca="false">IF($I2891="Correct",ROUND(INDEX('Reward Model'!$B$12:$B$14,MATCH($Y2891,'Reward Model'!$A$12:$A$14,0))*Z2891,2),0)</f>
        <v>2</v>
      </c>
    </row>
    <row r="2892" customFormat="false" ht="15" hidden="false" customHeight="false" outlineLevel="0" collapsed="false">
      <c r="A2892" s="0" t="s">
        <v>420</v>
      </c>
      <c r="B2892" s="0" t="s">
        <v>421</v>
      </c>
      <c r="C2892" s="0" t="s">
        <v>322</v>
      </c>
      <c r="D2892" s="0" t="s">
        <v>189</v>
      </c>
      <c r="E2892" s="0" t="n">
        <v>11</v>
      </c>
      <c r="F2892" s="0" t="s">
        <v>61</v>
      </c>
      <c r="G2892" s="0" t="s">
        <v>62</v>
      </c>
      <c r="H2892" s="0" t="s">
        <v>63</v>
      </c>
      <c r="I2892" s="0" t="s">
        <v>39</v>
      </c>
      <c r="J2892" s="0" t="n">
        <v>1.56</v>
      </c>
      <c r="K2892" s="0" t="s">
        <v>60</v>
      </c>
      <c r="L2892" s="0" t="n">
        <f aca="false">INDEX(Summary!$F$2:$F$201,MATCH($B2892,Summary!$A$2:$A$201,0))</f>
        <v>20</v>
      </c>
      <c r="M2892" s="0" t="n">
        <f aca="false">INDEX(Summary!$I$2:$I$201,MATCH($B2892,Summary!$A$2:$A$201,0))</f>
        <v>2</v>
      </c>
      <c r="N2892" s="0" t="n">
        <f aca="false">INDEX(Summary!$J$2:$J$201,MATCH($B2892,Summary!$A$2:$A$201,0))</f>
        <v>3</v>
      </c>
      <c r="O2892" s="2" t="n">
        <f aca="false">INDEX(Summary!$K$2:$K$201,MATCH($B2892,Summary!$A$2:$A$201,0))</f>
        <v>10.36</v>
      </c>
      <c r="P2892" s="3" t="n">
        <f aca="false">INDEX(Summary!$L$2:$L$201,MATCH($B2892,Summary!$A$2:$A$201,0))</f>
        <v>3</v>
      </c>
      <c r="Q2892" s="3" t="n">
        <f aca="false">INDEX(Summary!$M$2:$M$201,MATCH($B2892,Summary!$A$2:$A$201,0))</f>
        <v>3</v>
      </c>
      <c r="R2892" s="2" t="n">
        <f aca="false">INDEX(Summary!$N$2:$N$201,MATCH($B2892,Summary!$A$2:$A$201,0))</f>
        <v>10.93</v>
      </c>
      <c r="S2892" s="3" t="n">
        <f aca="false">INDEX(Summary!$O$2:$O$201,MATCH($B2892,Summary!$A$2:$A$201,0))</f>
        <v>8</v>
      </c>
      <c r="T2892" s="3" t="n">
        <f aca="false">INDEX(Summary!$P$2:$P$201,MATCH($B2892,Summary!$A$2:$A$201,0))</f>
        <v>1</v>
      </c>
      <c r="U2892" s="2" t="n">
        <f aca="false">INDEX(Summary!$Q$2:$Q$201,MATCH($B2892,Summary!$A$2:$A$201,0))</f>
        <v>11.76</v>
      </c>
      <c r="V2892" s="2" t="n">
        <f aca="false">INDEX(Summary!$R$2:$R$201,MATCH($B2892,Summary!$A$2:$A$201,0))</f>
        <v>22.83</v>
      </c>
      <c r="W2892" s="0" t="str">
        <f aca="false">INDEX(Summary!$S$2:$S$201,MATCH($B2892,Summary!$A$2:$A$201,0))</f>
        <v>Silver</v>
      </c>
      <c r="X2892" s="2" t="n">
        <f aca="false">INDEX(Summary!$T$2:$T$201,MATCH($B2892,Summary!$A$2:$A$201,0))</f>
        <v>55.68</v>
      </c>
      <c r="Y2892" s="0" t="str">
        <f aca="false">INDEX('Reward Model'!$E$18:$E$37,MATCH($E2892,'Reward Model'!$A$18:$A$37,0))</f>
        <v>Medium</v>
      </c>
      <c r="Z2892" s="4" t="n">
        <f aca="false">ROUND(MIN(1,MAX('Reward Model'!$B$2,INDEX('Reward Model'!$C$12:$C$14,MATCH($K2892,'Reward Model'!$A$12:$A$14,0))/$J2892)),3)</f>
        <v>1</v>
      </c>
      <c r="AA2892" s="2" t="n">
        <f aca="false">IF($I2892="Correct",ROUND(INDEX('Reward Model'!$B$12:$B$14,MATCH($K2892,'Reward Model'!$A$12:$A$14,0))*Z2892,2),0)</f>
        <v>0</v>
      </c>
      <c r="AB2892" s="2" t="n">
        <f aca="false">IF($I2892="Correct",ROUND(INDEX('Reward Model'!$B$12:$B$14,MATCH($Y2892,'Reward Model'!$A$12:$A$14,0))*Z2892,2),0)</f>
        <v>0</v>
      </c>
    </row>
    <row r="2893" customFormat="false" ht="15" hidden="false" customHeight="false" outlineLevel="0" collapsed="false">
      <c r="A2893" s="0" t="s">
        <v>420</v>
      </c>
      <c r="B2893" s="0" t="s">
        <v>421</v>
      </c>
      <c r="C2893" s="0" t="s">
        <v>322</v>
      </c>
      <c r="D2893" s="0" t="s">
        <v>189</v>
      </c>
      <c r="E2893" s="0" t="n">
        <v>12</v>
      </c>
      <c r="F2893" s="0" t="s">
        <v>64</v>
      </c>
      <c r="G2893" s="0" t="s">
        <v>65</v>
      </c>
      <c r="H2893" s="0" t="s">
        <v>65</v>
      </c>
      <c r="I2893" s="0" t="s">
        <v>34</v>
      </c>
      <c r="J2893" s="0" t="n">
        <v>1.41</v>
      </c>
      <c r="K2893" s="0" t="s">
        <v>60</v>
      </c>
      <c r="L2893" s="0" t="n">
        <f aca="false">INDEX(Summary!$F$2:$F$201,MATCH($B2893,Summary!$A$2:$A$201,0))</f>
        <v>20</v>
      </c>
      <c r="M2893" s="0" t="n">
        <f aca="false">INDEX(Summary!$I$2:$I$201,MATCH($B2893,Summary!$A$2:$A$201,0))</f>
        <v>2</v>
      </c>
      <c r="N2893" s="0" t="n">
        <f aca="false">INDEX(Summary!$J$2:$J$201,MATCH($B2893,Summary!$A$2:$A$201,0))</f>
        <v>3</v>
      </c>
      <c r="O2893" s="2" t="n">
        <f aca="false">INDEX(Summary!$K$2:$K$201,MATCH($B2893,Summary!$A$2:$A$201,0))</f>
        <v>10.36</v>
      </c>
      <c r="P2893" s="3" t="n">
        <f aca="false">INDEX(Summary!$L$2:$L$201,MATCH($B2893,Summary!$A$2:$A$201,0))</f>
        <v>3</v>
      </c>
      <c r="Q2893" s="3" t="n">
        <f aca="false">INDEX(Summary!$M$2:$M$201,MATCH($B2893,Summary!$A$2:$A$201,0))</f>
        <v>3</v>
      </c>
      <c r="R2893" s="2" t="n">
        <f aca="false">INDEX(Summary!$N$2:$N$201,MATCH($B2893,Summary!$A$2:$A$201,0))</f>
        <v>10.93</v>
      </c>
      <c r="S2893" s="3" t="n">
        <f aca="false">INDEX(Summary!$O$2:$O$201,MATCH($B2893,Summary!$A$2:$A$201,0))</f>
        <v>8</v>
      </c>
      <c r="T2893" s="3" t="n">
        <f aca="false">INDEX(Summary!$P$2:$P$201,MATCH($B2893,Summary!$A$2:$A$201,0))</f>
        <v>1</v>
      </c>
      <c r="U2893" s="2" t="n">
        <f aca="false">INDEX(Summary!$Q$2:$Q$201,MATCH($B2893,Summary!$A$2:$A$201,0))</f>
        <v>11.76</v>
      </c>
      <c r="V2893" s="2" t="n">
        <f aca="false">INDEX(Summary!$R$2:$R$201,MATCH($B2893,Summary!$A$2:$A$201,0))</f>
        <v>22.83</v>
      </c>
      <c r="W2893" s="0" t="str">
        <f aca="false">INDEX(Summary!$S$2:$S$201,MATCH($B2893,Summary!$A$2:$A$201,0))</f>
        <v>Silver</v>
      </c>
      <c r="X2893" s="2" t="n">
        <f aca="false">INDEX(Summary!$T$2:$T$201,MATCH($B2893,Summary!$A$2:$A$201,0))</f>
        <v>55.68</v>
      </c>
      <c r="Y2893" s="0" t="str">
        <f aca="false">INDEX('Reward Model'!$E$18:$E$37,MATCH($E2893,'Reward Model'!$A$18:$A$37,0))</f>
        <v>Medium</v>
      </c>
      <c r="Z2893" s="4" t="n">
        <f aca="false">ROUND(MIN(1,MAX('Reward Model'!$B$2,INDEX('Reward Model'!$C$12:$C$14,MATCH($K2893,'Reward Model'!$A$12:$A$14,0))/$J2893)),3)</f>
        <v>1</v>
      </c>
      <c r="AA2893" s="2" t="n">
        <f aca="false">IF($I2893="Correct",ROUND(INDEX('Reward Model'!$B$12:$B$14,MATCH($K2893,'Reward Model'!$A$12:$A$14,0))*Z2893,2),0)</f>
        <v>2</v>
      </c>
      <c r="AB2893" s="2" t="n">
        <f aca="false">IF($I2893="Correct",ROUND(INDEX('Reward Model'!$B$12:$B$14,MATCH($Y2893,'Reward Model'!$A$12:$A$14,0))*Z2893,2),0)</f>
        <v>2</v>
      </c>
    </row>
    <row r="2894" customFormat="false" ht="15" hidden="false" customHeight="false" outlineLevel="0" collapsed="false">
      <c r="A2894" s="0" t="s">
        <v>420</v>
      </c>
      <c r="B2894" s="0" t="s">
        <v>421</v>
      </c>
      <c r="C2894" s="0" t="s">
        <v>322</v>
      </c>
      <c r="D2894" s="0" t="s">
        <v>189</v>
      </c>
      <c r="E2894" s="0" t="n">
        <v>13</v>
      </c>
      <c r="F2894" s="0" t="s">
        <v>66</v>
      </c>
      <c r="G2894" s="0" t="s">
        <v>165</v>
      </c>
      <c r="H2894" s="0" t="s">
        <v>67</v>
      </c>
      <c r="I2894" s="0" t="s">
        <v>39</v>
      </c>
      <c r="J2894" s="0" t="n">
        <v>1.94</v>
      </c>
      <c r="K2894" s="0" t="s">
        <v>60</v>
      </c>
      <c r="L2894" s="0" t="n">
        <f aca="false">INDEX(Summary!$F$2:$F$201,MATCH($B2894,Summary!$A$2:$A$201,0))</f>
        <v>20</v>
      </c>
      <c r="M2894" s="0" t="n">
        <f aca="false">INDEX(Summary!$I$2:$I$201,MATCH($B2894,Summary!$A$2:$A$201,0))</f>
        <v>2</v>
      </c>
      <c r="N2894" s="0" t="n">
        <f aca="false">INDEX(Summary!$J$2:$J$201,MATCH($B2894,Summary!$A$2:$A$201,0))</f>
        <v>3</v>
      </c>
      <c r="O2894" s="2" t="n">
        <f aca="false">INDEX(Summary!$K$2:$K$201,MATCH($B2894,Summary!$A$2:$A$201,0))</f>
        <v>10.36</v>
      </c>
      <c r="P2894" s="3" t="n">
        <f aca="false">INDEX(Summary!$L$2:$L$201,MATCH($B2894,Summary!$A$2:$A$201,0))</f>
        <v>3</v>
      </c>
      <c r="Q2894" s="3" t="n">
        <f aca="false">INDEX(Summary!$M$2:$M$201,MATCH($B2894,Summary!$A$2:$A$201,0))</f>
        <v>3</v>
      </c>
      <c r="R2894" s="2" t="n">
        <f aca="false">INDEX(Summary!$N$2:$N$201,MATCH($B2894,Summary!$A$2:$A$201,0))</f>
        <v>10.93</v>
      </c>
      <c r="S2894" s="3" t="n">
        <f aca="false">INDEX(Summary!$O$2:$O$201,MATCH($B2894,Summary!$A$2:$A$201,0))</f>
        <v>8</v>
      </c>
      <c r="T2894" s="3" t="n">
        <f aca="false">INDEX(Summary!$P$2:$P$201,MATCH($B2894,Summary!$A$2:$A$201,0))</f>
        <v>1</v>
      </c>
      <c r="U2894" s="2" t="n">
        <f aca="false">INDEX(Summary!$Q$2:$Q$201,MATCH($B2894,Summary!$A$2:$A$201,0))</f>
        <v>11.76</v>
      </c>
      <c r="V2894" s="2" t="n">
        <f aca="false">INDEX(Summary!$R$2:$R$201,MATCH($B2894,Summary!$A$2:$A$201,0))</f>
        <v>22.83</v>
      </c>
      <c r="W2894" s="0" t="str">
        <f aca="false">INDEX(Summary!$S$2:$S$201,MATCH($B2894,Summary!$A$2:$A$201,0))</f>
        <v>Silver</v>
      </c>
      <c r="X2894" s="2" t="n">
        <f aca="false">INDEX(Summary!$T$2:$T$201,MATCH($B2894,Summary!$A$2:$A$201,0))</f>
        <v>55.68</v>
      </c>
      <c r="Y2894" s="0" t="str">
        <f aca="false">INDEX('Reward Model'!$E$18:$E$37,MATCH($E2894,'Reward Model'!$A$18:$A$37,0))</f>
        <v>Medium</v>
      </c>
      <c r="Z2894" s="4" t="n">
        <f aca="false">ROUND(MIN(1,MAX('Reward Model'!$B$2,INDEX('Reward Model'!$C$12:$C$14,MATCH($K2894,'Reward Model'!$A$12:$A$14,0))/$J2894)),3)</f>
        <v>0.928</v>
      </c>
      <c r="AA2894" s="2" t="n">
        <f aca="false">IF($I2894="Correct",ROUND(INDEX('Reward Model'!$B$12:$B$14,MATCH($K2894,'Reward Model'!$A$12:$A$14,0))*Z2894,2),0)</f>
        <v>0</v>
      </c>
      <c r="AB2894" s="2" t="n">
        <f aca="false">IF($I2894="Correct",ROUND(INDEX('Reward Model'!$B$12:$B$14,MATCH($Y2894,'Reward Model'!$A$12:$A$14,0))*Z2894,2),0)</f>
        <v>0</v>
      </c>
    </row>
    <row r="2895" customFormat="false" ht="15" hidden="false" customHeight="false" outlineLevel="0" collapsed="false">
      <c r="A2895" s="0" t="s">
        <v>420</v>
      </c>
      <c r="B2895" s="0" t="s">
        <v>421</v>
      </c>
      <c r="C2895" s="0" t="s">
        <v>322</v>
      </c>
      <c r="D2895" s="0" t="s">
        <v>189</v>
      </c>
      <c r="E2895" s="0" t="n">
        <v>14</v>
      </c>
      <c r="F2895" s="0" t="s">
        <v>68</v>
      </c>
      <c r="G2895" s="0" t="s">
        <v>86</v>
      </c>
      <c r="H2895" s="0" t="s">
        <v>51</v>
      </c>
      <c r="I2895" s="0" t="s">
        <v>39</v>
      </c>
      <c r="J2895" s="0" t="n">
        <v>2.25</v>
      </c>
      <c r="K2895" s="0" t="s">
        <v>60</v>
      </c>
      <c r="L2895" s="0" t="n">
        <f aca="false">INDEX(Summary!$F$2:$F$201,MATCH($B2895,Summary!$A$2:$A$201,0))</f>
        <v>20</v>
      </c>
      <c r="M2895" s="0" t="n">
        <f aca="false">INDEX(Summary!$I$2:$I$201,MATCH($B2895,Summary!$A$2:$A$201,0))</f>
        <v>2</v>
      </c>
      <c r="N2895" s="0" t="n">
        <f aca="false">INDEX(Summary!$J$2:$J$201,MATCH($B2895,Summary!$A$2:$A$201,0))</f>
        <v>3</v>
      </c>
      <c r="O2895" s="2" t="n">
        <f aca="false">INDEX(Summary!$K$2:$K$201,MATCH($B2895,Summary!$A$2:$A$201,0))</f>
        <v>10.36</v>
      </c>
      <c r="P2895" s="3" t="n">
        <f aca="false">INDEX(Summary!$L$2:$L$201,MATCH($B2895,Summary!$A$2:$A$201,0))</f>
        <v>3</v>
      </c>
      <c r="Q2895" s="3" t="n">
        <f aca="false">INDEX(Summary!$M$2:$M$201,MATCH($B2895,Summary!$A$2:$A$201,0))</f>
        <v>3</v>
      </c>
      <c r="R2895" s="2" t="n">
        <f aca="false">INDEX(Summary!$N$2:$N$201,MATCH($B2895,Summary!$A$2:$A$201,0))</f>
        <v>10.93</v>
      </c>
      <c r="S2895" s="3" t="n">
        <f aca="false">INDEX(Summary!$O$2:$O$201,MATCH($B2895,Summary!$A$2:$A$201,0))</f>
        <v>8</v>
      </c>
      <c r="T2895" s="3" t="n">
        <f aca="false">INDEX(Summary!$P$2:$P$201,MATCH($B2895,Summary!$A$2:$A$201,0))</f>
        <v>1</v>
      </c>
      <c r="U2895" s="2" t="n">
        <f aca="false">INDEX(Summary!$Q$2:$Q$201,MATCH($B2895,Summary!$A$2:$A$201,0))</f>
        <v>11.76</v>
      </c>
      <c r="V2895" s="2" t="n">
        <f aca="false">INDEX(Summary!$R$2:$R$201,MATCH($B2895,Summary!$A$2:$A$201,0))</f>
        <v>22.83</v>
      </c>
      <c r="W2895" s="0" t="str">
        <f aca="false">INDEX(Summary!$S$2:$S$201,MATCH($B2895,Summary!$A$2:$A$201,0))</f>
        <v>Silver</v>
      </c>
      <c r="X2895" s="2" t="n">
        <f aca="false">INDEX(Summary!$T$2:$T$201,MATCH($B2895,Summary!$A$2:$A$201,0))</f>
        <v>55.68</v>
      </c>
      <c r="Y2895" s="0" t="str">
        <f aca="false">INDEX('Reward Model'!$E$18:$E$37,MATCH($E2895,'Reward Model'!$A$18:$A$37,0))</f>
        <v>Medium</v>
      </c>
      <c r="Z2895" s="4" t="n">
        <f aca="false">ROUND(MIN(1,MAX('Reward Model'!$B$2,INDEX('Reward Model'!$C$12:$C$14,MATCH($K2895,'Reward Model'!$A$12:$A$14,0))/$J2895)),3)</f>
        <v>0.8</v>
      </c>
      <c r="AA2895" s="2" t="n">
        <f aca="false">IF($I2895="Correct",ROUND(INDEX('Reward Model'!$B$12:$B$14,MATCH($K2895,'Reward Model'!$A$12:$A$14,0))*Z2895,2),0)</f>
        <v>0</v>
      </c>
      <c r="AB2895" s="2" t="n">
        <f aca="false">IF($I2895="Correct",ROUND(INDEX('Reward Model'!$B$12:$B$14,MATCH($Y2895,'Reward Model'!$A$12:$A$14,0))*Z2895,2),0)</f>
        <v>0</v>
      </c>
    </row>
    <row r="2896" customFormat="false" ht="15" hidden="false" customHeight="false" outlineLevel="0" collapsed="false">
      <c r="A2896" s="0" t="s">
        <v>420</v>
      </c>
      <c r="B2896" s="0" t="s">
        <v>421</v>
      </c>
      <c r="C2896" s="0" t="s">
        <v>322</v>
      </c>
      <c r="D2896" s="0" t="s">
        <v>189</v>
      </c>
      <c r="E2896" s="0" t="n">
        <v>15</v>
      </c>
      <c r="F2896" s="0" t="s">
        <v>69</v>
      </c>
      <c r="G2896" s="0" t="s">
        <v>70</v>
      </c>
      <c r="H2896" s="0" t="s">
        <v>70</v>
      </c>
      <c r="I2896" s="0" t="s">
        <v>34</v>
      </c>
      <c r="J2896" s="0" t="n">
        <v>1.99</v>
      </c>
      <c r="K2896" s="0" t="s">
        <v>60</v>
      </c>
      <c r="L2896" s="0" t="n">
        <f aca="false">INDEX(Summary!$F$2:$F$201,MATCH($B2896,Summary!$A$2:$A$201,0))</f>
        <v>20</v>
      </c>
      <c r="M2896" s="0" t="n">
        <f aca="false">INDEX(Summary!$I$2:$I$201,MATCH($B2896,Summary!$A$2:$A$201,0))</f>
        <v>2</v>
      </c>
      <c r="N2896" s="0" t="n">
        <f aca="false">INDEX(Summary!$J$2:$J$201,MATCH($B2896,Summary!$A$2:$A$201,0))</f>
        <v>3</v>
      </c>
      <c r="O2896" s="2" t="n">
        <f aca="false">INDEX(Summary!$K$2:$K$201,MATCH($B2896,Summary!$A$2:$A$201,0))</f>
        <v>10.36</v>
      </c>
      <c r="P2896" s="3" t="n">
        <f aca="false">INDEX(Summary!$L$2:$L$201,MATCH($B2896,Summary!$A$2:$A$201,0))</f>
        <v>3</v>
      </c>
      <c r="Q2896" s="3" t="n">
        <f aca="false">INDEX(Summary!$M$2:$M$201,MATCH($B2896,Summary!$A$2:$A$201,0))</f>
        <v>3</v>
      </c>
      <c r="R2896" s="2" t="n">
        <f aca="false">INDEX(Summary!$N$2:$N$201,MATCH($B2896,Summary!$A$2:$A$201,0))</f>
        <v>10.93</v>
      </c>
      <c r="S2896" s="3" t="n">
        <f aca="false">INDEX(Summary!$O$2:$O$201,MATCH($B2896,Summary!$A$2:$A$201,0))</f>
        <v>8</v>
      </c>
      <c r="T2896" s="3" t="n">
        <f aca="false">INDEX(Summary!$P$2:$P$201,MATCH($B2896,Summary!$A$2:$A$201,0))</f>
        <v>1</v>
      </c>
      <c r="U2896" s="2" t="n">
        <f aca="false">INDEX(Summary!$Q$2:$Q$201,MATCH($B2896,Summary!$A$2:$A$201,0))</f>
        <v>11.76</v>
      </c>
      <c r="V2896" s="2" t="n">
        <f aca="false">INDEX(Summary!$R$2:$R$201,MATCH($B2896,Summary!$A$2:$A$201,0))</f>
        <v>22.83</v>
      </c>
      <c r="W2896" s="0" t="str">
        <f aca="false">INDEX(Summary!$S$2:$S$201,MATCH($B2896,Summary!$A$2:$A$201,0))</f>
        <v>Silver</v>
      </c>
      <c r="X2896" s="2" t="n">
        <f aca="false">INDEX(Summary!$T$2:$T$201,MATCH($B2896,Summary!$A$2:$A$201,0))</f>
        <v>55.68</v>
      </c>
      <c r="Y2896" s="0" t="str">
        <f aca="false">INDEX('Reward Model'!$E$18:$E$37,MATCH($E2896,'Reward Model'!$A$18:$A$37,0))</f>
        <v>Medium</v>
      </c>
      <c r="Z2896" s="4" t="n">
        <f aca="false">ROUND(MIN(1,MAX('Reward Model'!$B$2,INDEX('Reward Model'!$C$12:$C$14,MATCH($K2896,'Reward Model'!$A$12:$A$14,0))/$J2896)),3)</f>
        <v>0.905</v>
      </c>
      <c r="AA2896" s="2" t="n">
        <f aca="false">IF($I2896="Correct",ROUND(INDEX('Reward Model'!$B$12:$B$14,MATCH($K2896,'Reward Model'!$A$12:$A$14,0))*Z2896,2),0)</f>
        <v>1.81</v>
      </c>
      <c r="AB2896" s="2" t="n">
        <f aca="false">IF($I2896="Correct",ROUND(INDEX('Reward Model'!$B$12:$B$14,MATCH($Y2896,'Reward Model'!$A$12:$A$14,0))*Z2896,2),0)</f>
        <v>1.81</v>
      </c>
    </row>
    <row r="2897" customFormat="false" ht="15" hidden="false" customHeight="false" outlineLevel="0" collapsed="false">
      <c r="A2897" s="0" t="s">
        <v>420</v>
      </c>
      <c r="B2897" s="0" t="s">
        <v>421</v>
      </c>
      <c r="C2897" s="0" t="s">
        <v>322</v>
      </c>
      <c r="D2897" s="0" t="s">
        <v>189</v>
      </c>
      <c r="E2897" s="0" t="n">
        <v>16</v>
      </c>
      <c r="F2897" s="0" t="s">
        <v>71</v>
      </c>
      <c r="G2897" s="0" t="s">
        <v>87</v>
      </c>
      <c r="H2897" s="0" t="s">
        <v>72</v>
      </c>
      <c r="I2897" s="0" t="s">
        <v>39</v>
      </c>
      <c r="J2897" s="0" t="n">
        <v>1.82</v>
      </c>
      <c r="K2897" s="0" t="s">
        <v>73</v>
      </c>
      <c r="L2897" s="0" t="n">
        <f aca="false">INDEX(Summary!$F$2:$F$201,MATCH($B2897,Summary!$A$2:$A$201,0))</f>
        <v>20</v>
      </c>
      <c r="M2897" s="0" t="n">
        <f aca="false">INDEX(Summary!$I$2:$I$201,MATCH($B2897,Summary!$A$2:$A$201,0))</f>
        <v>2</v>
      </c>
      <c r="N2897" s="0" t="n">
        <f aca="false">INDEX(Summary!$J$2:$J$201,MATCH($B2897,Summary!$A$2:$A$201,0))</f>
        <v>3</v>
      </c>
      <c r="O2897" s="2" t="n">
        <f aca="false">INDEX(Summary!$K$2:$K$201,MATCH($B2897,Summary!$A$2:$A$201,0))</f>
        <v>10.36</v>
      </c>
      <c r="P2897" s="3" t="n">
        <f aca="false">INDEX(Summary!$L$2:$L$201,MATCH($B2897,Summary!$A$2:$A$201,0))</f>
        <v>3</v>
      </c>
      <c r="Q2897" s="3" t="n">
        <f aca="false">INDEX(Summary!$M$2:$M$201,MATCH($B2897,Summary!$A$2:$A$201,0))</f>
        <v>3</v>
      </c>
      <c r="R2897" s="2" t="n">
        <f aca="false">INDEX(Summary!$N$2:$N$201,MATCH($B2897,Summary!$A$2:$A$201,0))</f>
        <v>10.93</v>
      </c>
      <c r="S2897" s="3" t="n">
        <f aca="false">INDEX(Summary!$O$2:$O$201,MATCH($B2897,Summary!$A$2:$A$201,0))</f>
        <v>8</v>
      </c>
      <c r="T2897" s="3" t="n">
        <f aca="false">INDEX(Summary!$P$2:$P$201,MATCH($B2897,Summary!$A$2:$A$201,0))</f>
        <v>1</v>
      </c>
      <c r="U2897" s="2" t="n">
        <f aca="false">INDEX(Summary!$Q$2:$Q$201,MATCH($B2897,Summary!$A$2:$A$201,0))</f>
        <v>11.76</v>
      </c>
      <c r="V2897" s="2" t="n">
        <f aca="false">INDEX(Summary!$R$2:$R$201,MATCH($B2897,Summary!$A$2:$A$201,0))</f>
        <v>22.83</v>
      </c>
      <c r="W2897" s="0" t="str">
        <f aca="false">INDEX(Summary!$S$2:$S$201,MATCH($B2897,Summary!$A$2:$A$201,0))</f>
        <v>Silver</v>
      </c>
      <c r="X2897" s="2" t="n">
        <f aca="false">INDEX(Summary!$T$2:$T$201,MATCH($B2897,Summary!$A$2:$A$201,0))</f>
        <v>55.68</v>
      </c>
      <c r="Y2897" s="0" t="str">
        <f aca="false">INDEX('Reward Model'!$E$18:$E$37,MATCH($E2897,'Reward Model'!$A$18:$A$37,0))</f>
        <v>High</v>
      </c>
      <c r="Z2897" s="4" t="n">
        <f aca="false">ROUND(MIN(1,MAX('Reward Model'!$B$2,INDEX('Reward Model'!$C$12:$C$14,MATCH($K2897,'Reward Model'!$A$12:$A$14,0))/$J2897)),3)</f>
        <v>1</v>
      </c>
      <c r="AA2897" s="2" t="n">
        <f aca="false">IF($I2897="Correct",ROUND(INDEX('Reward Model'!$B$12:$B$14,MATCH($K2897,'Reward Model'!$A$12:$A$14,0))*Z2897,2),0)</f>
        <v>0</v>
      </c>
      <c r="AB2897" s="2" t="n">
        <f aca="false">IF($I2897="Correct",ROUND(INDEX('Reward Model'!$B$12:$B$14,MATCH($Y2897,'Reward Model'!$A$12:$A$14,0))*Z2897,2),0)</f>
        <v>0</v>
      </c>
    </row>
    <row r="2898" customFormat="false" ht="15" hidden="false" customHeight="false" outlineLevel="0" collapsed="false">
      <c r="A2898" s="0" t="s">
        <v>420</v>
      </c>
      <c r="B2898" s="0" t="s">
        <v>421</v>
      </c>
      <c r="C2898" s="0" t="s">
        <v>322</v>
      </c>
      <c r="D2898" s="0" t="s">
        <v>189</v>
      </c>
      <c r="E2898" s="0" t="n">
        <v>17</v>
      </c>
      <c r="F2898" s="0" t="s">
        <v>74</v>
      </c>
      <c r="G2898" s="0" t="s">
        <v>75</v>
      </c>
      <c r="H2898" s="0" t="s">
        <v>75</v>
      </c>
      <c r="I2898" s="0" t="s">
        <v>34</v>
      </c>
      <c r="J2898" s="0" t="n">
        <v>2.35</v>
      </c>
      <c r="K2898" s="0" t="s">
        <v>73</v>
      </c>
      <c r="L2898" s="0" t="n">
        <f aca="false">INDEX(Summary!$F$2:$F$201,MATCH($B2898,Summary!$A$2:$A$201,0))</f>
        <v>20</v>
      </c>
      <c r="M2898" s="0" t="n">
        <f aca="false">INDEX(Summary!$I$2:$I$201,MATCH($B2898,Summary!$A$2:$A$201,0))</f>
        <v>2</v>
      </c>
      <c r="N2898" s="0" t="n">
        <f aca="false">INDEX(Summary!$J$2:$J$201,MATCH($B2898,Summary!$A$2:$A$201,0))</f>
        <v>3</v>
      </c>
      <c r="O2898" s="2" t="n">
        <f aca="false">INDEX(Summary!$K$2:$K$201,MATCH($B2898,Summary!$A$2:$A$201,0))</f>
        <v>10.36</v>
      </c>
      <c r="P2898" s="3" t="n">
        <f aca="false">INDEX(Summary!$L$2:$L$201,MATCH($B2898,Summary!$A$2:$A$201,0))</f>
        <v>3</v>
      </c>
      <c r="Q2898" s="3" t="n">
        <f aca="false">INDEX(Summary!$M$2:$M$201,MATCH($B2898,Summary!$A$2:$A$201,0))</f>
        <v>3</v>
      </c>
      <c r="R2898" s="2" t="n">
        <f aca="false">INDEX(Summary!$N$2:$N$201,MATCH($B2898,Summary!$A$2:$A$201,0))</f>
        <v>10.93</v>
      </c>
      <c r="S2898" s="3" t="n">
        <f aca="false">INDEX(Summary!$O$2:$O$201,MATCH($B2898,Summary!$A$2:$A$201,0))</f>
        <v>8</v>
      </c>
      <c r="T2898" s="3" t="n">
        <f aca="false">INDEX(Summary!$P$2:$P$201,MATCH($B2898,Summary!$A$2:$A$201,0))</f>
        <v>1</v>
      </c>
      <c r="U2898" s="2" t="n">
        <f aca="false">INDEX(Summary!$Q$2:$Q$201,MATCH($B2898,Summary!$A$2:$A$201,0))</f>
        <v>11.76</v>
      </c>
      <c r="V2898" s="2" t="n">
        <f aca="false">INDEX(Summary!$R$2:$R$201,MATCH($B2898,Summary!$A$2:$A$201,0))</f>
        <v>22.83</v>
      </c>
      <c r="W2898" s="0" t="str">
        <f aca="false">INDEX(Summary!$S$2:$S$201,MATCH($B2898,Summary!$A$2:$A$201,0))</f>
        <v>Silver</v>
      </c>
      <c r="X2898" s="2" t="n">
        <f aca="false">INDEX(Summary!$T$2:$T$201,MATCH($B2898,Summary!$A$2:$A$201,0))</f>
        <v>55.68</v>
      </c>
      <c r="Y2898" s="0" t="str">
        <f aca="false">INDEX('Reward Model'!$E$18:$E$37,MATCH($E2898,'Reward Model'!$A$18:$A$37,0))</f>
        <v>High</v>
      </c>
      <c r="Z2898" s="4" t="n">
        <f aca="false">ROUND(MIN(1,MAX('Reward Model'!$B$2,INDEX('Reward Model'!$C$12:$C$14,MATCH($K2898,'Reward Model'!$A$12:$A$14,0))/$J2898)),3)</f>
        <v>0.851</v>
      </c>
      <c r="AA2898" s="2" t="n">
        <f aca="false">IF($I2898="Correct",ROUND(INDEX('Reward Model'!$B$12:$B$14,MATCH($K2898,'Reward Model'!$A$12:$A$14,0))*Z2898,2),0)</f>
        <v>2.55</v>
      </c>
      <c r="AB2898" s="2" t="n">
        <f aca="false">IF($I2898="Correct",ROUND(INDEX('Reward Model'!$B$12:$B$14,MATCH($Y2898,'Reward Model'!$A$12:$A$14,0))*Z2898,2),0)</f>
        <v>2.55</v>
      </c>
    </row>
    <row r="2899" customFormat="false" ht="15" hidden="false" customHeight="false" outlineLevel="0" collapsed="false">
      <c r="A2899" s="0" t="s">
        <v>420</v>
      </c>
      <c r="B2899" s="0" t="s">
        <v>421</v>
      </c>
      <c r="C2899" s="0" t="s">
        <v>322</v>
      </c>
      <c r="D2899" s="0" t="s">
        <v>189</v>
      </c>
      <c r="E2899" s="0" t="n">
        <v>18</v>
      </c>
      <c r="F2899" s="0" t="s">
        <v>76</v>
      </c>
      <c r="G2899" s="0" t="s">
        <v>77</v>
      </c>
      <c r="H2899" s="0" t="s">
        <v>77</v>
      </c>
      <c r="I2899" s="0" t="s">
        <v>34</v>
      </c>
      <c r="J2899" s="0" t="n">
        <v>2.21</v>
      </c>
      <c r="K2899" s="0" t="s">
        <v>73</v>
      </c>
      <c r="L2899" s="0" t="n">
        <f aca="false">INDEX(Summary!$F$2:$F$201,MATCH($B2899,Summary!$A$2:$A$201,0))</f>
        <v>20</v>
      </c>
      <c r="M2899" s="0" t="n">
        <f aca="false">INDEX(Summary!$I$2:$I$201,MATCH($B2899,Summary!$A$2:$A$201,0))</f>
        <v>2</v>
      </c>
      <c r="N2899" s="0" t="n">
        <f aca="false">INDEX(Summary!$J$2:$J$201,MATCH($B2899,Summary!$A$2:$A$201,0))</f>
        <v>3</v>
      </c>
      <c r="O2899" s="2" t="n">
        <f aca="false">INDEX(Summary!$K$2:$K$201,MATCH($B2899,Summary!$A$2:$A$201,0))</f>
        <v>10.36</v>
      </c>
      <c r="P2899" s="3" t="n">
        <f aca="false">INDEX(Summary!$L$2:$L$201,MATCH($B2899,Summary!$A$2:$A$201,0))</f>
        <v>3</v>
      </c>
      <c r="Q2899" s="3" t="n">
        <f aca="false">INDEX(Summary!$M$2:$M$201,MATCH($B2899,Summary!$A$2:$A$201,0))</f>
        <v>3</v>
      </c>
      <c r="R2899" s="2" t="n">
        <f aca="false">INDEX(Summary!$N$2:$N$201,MATCH($B2899,Summary!$A$2:$A$201,0))</f>
        <v>10.93</v>
      </c>
      <c r="S2899" s="3" t="n">
        <f aca="false">INDEX(Summary!$O$2:$O$201,MATCH($B2899,Summary!$A$2:$A$201,0))</f>
        <v>8</v>
      </c>
      <c r="T2899" s="3" t="n">
        <f aca="false">INDEX(Summary!$P$2:$P$201,MATCH($B2899,Summary!$A$2:$A$201,0))</f>
        <v>1</v>
      </c>
      <c r="U2899" s="2" t="n">
        <f aca="false">INDEX(Summary!$Q$2:$Q$201,MATCH($B2899,Summary!$A$2:$A$201,0))</f>
        <v>11.76</v>
      </c>
      <c r="V2899" s="2" t="n">
        <f aca="false">INDEX(Summary!$R$2:$R$201,MATCH($B2899,Summary!$A$2:$A$201,0))</f>
        <v>22.83</v>
      </c>
      <c r="W2899" s="0" t="str">
        <f aca="false">INDEX(Summary!$S$2:$S$201,MATCH($B2899,Summary!$A$2:$A$201,0))</f>
        <v>Silver</v>
      </c>
      <c r="X2899" s="2" t="n">
        <f aca="false">INDEX(Summary!$T$2:$T$201,MATCH($B2899,Summary!$A$2:$A$201,0))</f>
        <v>55.68</v>
      </c>
      <c r="Y2899" s="0" t="str">
        <f aca="false">INDEX('Reward Model'!$E$18:$E$37,MATCH($E2899,'Reward Model'!$A$18:$A$37,0))</f>
        <v>High</v>
      </c>
      <c r="Z2899" s="4" t="n">
        <f aca="false">ROUND(MIN(1,MAX('Reward Model'!$B$2,INDEX('Reward Model'!$C$12:$C$14,MATCH($K2899,'Reward Model'!$A$12:$A$14,0))/$J2899)),3)</f>
        <v>0.905</v>
      </c>
      <c r="AA2899" s="2" t="n">
        <f aca="false">IF($I2899="Correct",ROUND(INDEX('Reward Model'!$B$12:$B$14,MATCH($K2899,'Reward Model'!$A$12:$A$14,0))*Z2899,2),0)</f>
        <v>2.72</v>
      </c>
      <c r="AB2899" s="2" t="n">
        <f aca="false">IF($I2899="Correct",ROUND(INDEX('Reward Model'!$B$12:$B$14,MATCH($Y2899,'Reward Model'!$A$12:$A$14,0))*Z2899,2),0)</f>
        <v>2.72</v>
      </c>
    </row>
    <row r="2900" customFormat="false" ht="15" hidden="false" customHeight="false" outlineLevel="0" collapsed="false">
      <c r="A2900" s="0" t="s">
        <v>420</v>
      </c>
      <c r="B2900" s="0" t="s">
        <v>421</v>
      </c>
      <c r="C2900" s="0" t="s">
        <v>322</v>
      </c>
      <c r="D2900" s="0" t="s">
        <v>189</v>
      </c>
      <c r="E2900" s="0" t="n">
        <v>19</v>
      </c>
      <c r="F2900" s="0" t="s">
        <v>78</v>
      </c>
      <c r="G2900" s="0" t="s">
        <v>132</v>
      </c>
      <c r="H2900" s="0" t="s">
        <v>80</v>
      </c>
      <c r="I2900" s="0" t="s">
        <v>39</v>
      </c>
      <c r="J2900" s="0" t="n">
        <v>1.92</v>
      </c>
      <c r="K2900" s="0" t="s">
        <v>73</v>
      </c>
      <c r="L2900" s="0" t="n">
        <f aca="false">INDEX(Summary!$F$2:$F$201,MATCH($B2900,Summary!$A$2:$A$201,0))</f>
        <v>20</v>
      </c>
      <c r="M2900" s="0" t="n">
        <f aca="false">INDEX(Summary!$I$2:$I$201,MATCH($B2900,Summary!$A$2:$A$201,0))</f>
        <v>2</v>
      </c>
      <c r="N2900" s="0" t="n">
        <f aca="false">INDEX(Summary!$J$2:$J$201,MATCH($B2900,Summary!$A$2:$A$201,0))</f>
        <v>3</v>
      </c>
      <c r="O2900" s="2" t="n">
        <f aca="false">INDEX(Summary!$K$2:$K$201,MATCH($B2900,Summary!$A$2:$A$201,0))</f>
        <v>10.36</v>
      </c>
      <c r="P2900" s="3" t="n">
        <f aca="false">INDEX(Summary!$L$2:$L$201,MATCH($B2900,Summary!$A$2:$A$201,0))</f>
        <v>3</v>
      </c>
      <c r="Q2900" s="3" t="n">
        <f aca="false">INDEX(Summary!$M$2:$M$201,MATCH($B2900,Summary!$A$2:$A$201,0))</f>
        <v>3</v>
      </c>
      <c r="R2900" s="2" t="n">
        <f aca="false">INDEX(Summary!$N$2:$N$201,MATCH($B2900,Summary!$A$2:$A$201,0))</f>
        <v>10.93</v>
      </c>
      <c r="S2900" s="3" t="n">
        <f aca="false">INDEX(Summary!$O$2:$O$201,MATCH($B2900,Summary!$A$2:$A$201,0))</f>
        <v>8</v>
      </c>
      <c r="T2900" s="3" t="n">
        <f aca="false">INDEX(Summary!$P$2:$P$201,MATCH($B2900,Summary!$A$2:$A$201,0))</f>
        <v>1</v>
      </c>
      <c r="U2900" s="2" t="n">
        <f aca="false">INDEX(Summary!$Q$2:$Q$201,MATCH($B2900,Summary!$A$2:$A$201,0))</f>
        <v>11.76</v>
      </c>
      <c r="V2900" s="2" t="n">
        <f aca="false">INDEX(Summary!$R$2:$R$201,MATCH($B2900,Summary!$A$2:$A$201,0))</f>
        <v>22.83</v>
      </c>
      <c r="W2900" s="0" t="str">
        <f aca="false">INDEX(Summary!$S$2:$S$201,MATCH($B2900,Summary!$A$2:$A$201,0))</f>
        <v>Silver</v>
      </c>
      <c r="X2900" s="2" t="n">
        <f aca="false">INDEX(Summary!$T$2:$T$201,MATCH($B2900,Summary!$A$2:$A$201,0))</f>
        <v>55.68</v>
      </c>
      <c r="Y2900" s="0" t="str">
        <f aca="false">INDEX('Reward Model'!$E$18:$E$37,MATCH($E2900,'Reward Model'!$A$18:$A$37,0))</f>
        <v>High</v>
      </c>
      <c r="Z2900" s="4" t="n">
        <f aca="false">ROUND(MIN(1,MAX('Reward Model'!$B$2,INDEX('Reward Model'!$C$12:$C$14,MATCH($K2900,'Reward Model'!$A$12:$A$14,0))/$J2900)),3)</f>
        <v>1</v>
      </c>
      <c r="AA2900" s="2" t="n">
        <f aca="false">IF($I2900="Correct",ROUND(INDEX('Reward Model'!$B$12:$B$14,MATCH($K2900,'Reward Model'!$A$12:$A$14,0))*Z2900,2),0)</f>
        <v>0</v>
      </c>
      <c r="AB2900" s="2" t="n">
        <f aca="false">IF($I2900="Correct",ROUND(INDEX('Reward Model'!$B$12:$B$14,MATCH($Y2900,'Reward Model'!$A$12:$A$14,0))*Z2900,2),0)</f>
        <v>0</v>
      </c>
    </row>
    <row r="2901" customFormat="false" ht="15" hidden="false" customHeight="false" outlineLevel="0" collapsed="false">
      <c r="A2901" s="0" t="s">
        <v>420</v>
      </c>
      <c r="B2901" s="0" t="s">
        <v>421</v>
      </c>
      <c r="C2901" s="0" t="s">
        <v>322</v>
      </c>
      <c r="D2901" s="0" t="s">
        <v>189</v>
      </c>
      <c r="E2901" s="0" t="n">
        <v>20</v>
      </c>
      <c r="F2901" s="0" t="s">
        <v>81</v>
      </c>
      <c r="G2901" s="0" t="s">
        <v>82</v>
      </c>
      <c r="H2901" s="0" t="s">
        <v>83</v>
      </c>
      <c r="I2901" s="0" t="s">
        <v>39</v>
      </c>
      <c r="J2901" s="0" t="n">
        <v>2.06</v>
      </c>
      <c r="K2901" s="0" t="s">
        <v>73</v>
      </c>
      <c r="L2901" s="0" t="n">
        <f aca="false">INDEX(Summary!$F$2:$F$201,MATCH($B2901,Summary!$A$2:$A$201,0))</f>
        <v>20</v>
      </c>
      <c r="M2901" s="0" t="n">
        <f aca="false">INDEX(Summary!$I$2:$I$201,MATCH($B2901,Summary!$A$2:$A$201,0))</f>
        <v>2</v>
      </c>
      <c r="N2901" s="0" t="n">
        <f aca="false">INDEX(Summary!$J$2:$J$201,MATCH($B2901,Summary!$A$2:$A$201,0))</f>
        <v>3</v>
      </c>
      <c r="O2901" s="2" t="n">
        <f aca="false">INDEX(Summary!$K$2:$K$201,MATCH($B2901,Summary!$A$2:$A$201,0))</f>
        <v>10.36</v>
      </c>
      <c r="P2901" s="3" t="n">
        <f aca="false">INDEX(Summary!$L$2:$L$201,MATCH($B2901,Summary!$A$2:$A$201,0))</f>
        <v>3</v>
      </c>
      <c r="Q2901" s="3" t="n">
        <f aca="false">INDEX(Summary!$M$2:$M$201,MATCH($B2901,Summary!$A$2:$A$201,0))</f>
        <v>3</v>
      </c>
      <c r="R2901" s="2" t="n">
        <f aca="false">INDEX(Summary!$N$2:$N$201,MATCH($B2901,Summary!$A$2:$A$201,0))</f>
        <v>10.93</v>
      </c>
      <c r="S2901" s="3" t="n">
        <f aca="false">INDEX(Summary!$O$2:$O$201,MATCH($B2901,Summary!$A$2:$A$201,0))</f>
        <v>8</v>
      </c>
      <c r="T2901" s="3" t="n">
        <f aca="false">INDEX(Summary!$P$2:$P$201,MATCH($B2901,Summary!$A$2:$A$201,0))</f>
        <v>1</v>
      </c>
      <c r="U2901" s="2" t="n">
        <f aca="false">INDEX(Summary!$Q$2:$Q$201,MATCH($B2901,Summary!$A$2:$A$201,0))</f>
        <v>11.76</v>
      </c>
      <c r="V2901" s="2" t="n">
        <f aca="false">INDEX(Summary!$R$2:$R$201,MATCH($B2901,Summary!$A$2:$A$201,0))</f>
        <v>22.83</v>
      </c>
      <c r="W2901" s="0" t="str">
        <f aca="false">INDEX(Summary!$S$2:$S$201,MATCH($B2901,Summary!$A$2:$A$201,0))</f>
        <v>Silver</v>
      </c>
      <c r="X2901" s="2" t="n">
        <f aca="false">INDEX(Summary!$T$2:$T$201,MATCH($B2901,Summary!$A$2:$A$201,0))</f>
        <v>55.68</v>
      </c>
      <c r="Y2901" s="0" t="str">
        <f aca="false">INDEX('Reward Model'!$E$18:$E$37,MATCH($E2901,'Reward Model'!$A$18:$A$37,0))</f>
        <v>High</v>
      </c>
      <c r="Z2901" s="4" t="n">
        <f aca="false">ROUND(MIN(1,MAX('Reward Model'!$B$2,INDEX('Reward Model'!$C$12:$C$14,MATCH($K2901,'Reward Model'!$A$12:$A$14,0))/$J2901)),3)</f>
        <v>0.971</v>
      </c>
      <c r="AA2901" s="2" t="n">
        <f aca="false">IF($I2901="Correct",ROUND(INDEX('Reward Model'!$B$12:$B$14,MATCH($K2901,'Reward Model'!$A$12:$A$14,0))*Z2901,2),0)</f>
        <v>0</v>
      </c>
      <c r="AB2901" s="2" t="n">
        <f aca="false">IF($I2901="Correct",ROUND(INDEX('Reward Model'!$B$12:$B$14,MATCH($Y2901,'Reward Model'!$A$12:$A$14,0))*Z2901,2),0)</f>
        <v>0</v>
      </c>
    </row>
    <row r="2902" customFormat="false" ht="15" hidden="false" customHeight="false" outlineLevel="0" collapsed="false">
      <c r="A2902" s="0" t="s">
        <v>422</v>
      </c>
      <c r="B2902" s="0" t="s">
        <v>423</v>
      </c>
      <c r="C2902" s="0" t="s">
        <v>322</v>
      </c>
      <c r="D2902" s="0" t="s">
        <v>189</v>
      </c>
      <c r="E2902" s="0" t="n">
        <v>1</v>
      </c>
      <c r="F2902" s="0" t="s">
        <v>32</v>
      </c>
      <c r="G2902" s="0" t="s">
        <v>91</v>
      </c>
      <c r="H2902" s="0" t="s">
        <v>33</v>
      </c>
      <c r="I2902" s="0" t="s">
        <v>39</v>
      </c>
      <c r="J2902" s="0" t="n">
        <v>1.67</v>
      </c>
      <c r="K2902" s="0" t="s">
        <v>35</v>
      </c>
      <c r="L2902" s="0" t="n">
        <f aca="false">INDEX(Summary!$F$2:$F$201,MATCH($B2902,Summary!$A$2:$A$201,0))</f>
        <v>20</v>
      </c>
      <c r="M2902" s="0" t="n">
        <f aca="false">INDEX(Summary!$I$2:$I$201,MATCH($B2902,Summary!$A$2:$A$201,0))</f>
        <v>3</v>
      </c>
      <c r="N2902" s="0" t="n">
        <f aca="false">INDEX(Summary!$J$2:$J$201,MATCH($B2902,Summary!$A$2:$A$201,0))</f>
        <v>2</v>
      </c>
      <c r="O2902" s="2" t="n">
        <f aca="false">INDEX(Summary!$K$2:$K$201,MATCH($B2902,Summary!$A$2:$A$201,0))</f>
        <v>7.05</v>
      </c>
      <c r="P2902" s="3" t="n">
        <f aca="false">INDEX(Summary!$L$2:$L$201,MATCH($B2902,Summary!$A$2:$A$201,0))</f>
        <v>2</v>
      </c>
      <c r="Q2902" s="3" t="n">
        <f aca="false">INDEX(Summary!$M$2:$M$201,MATCH($B2902,Summary!$A$2:$A$201,0))</f>
        <v>4</v>
      </c>
      <c r="R2902" s="2" t="n">
        <f aca="false">INDEX(Summary!$N$2:$N$201,MATCH($B2902,Summary!$A$2:$A$201,0))</f>
        <v>10.42</v>
      </c>
      <c r="S2902" s="3" t="n">
        <f aca="false">INDEX(Summary!$O$2:$O$201,MATCH($B2902,Summary!$A$2:$A$201,0))</f>
        <v>4</v>
      </c>
      <c r="T2902" s="3" t="n">
        <f aca="false">INDEX(Summary!$P$2:$P$201,MATCH($B2902,Summary!$A$2:$A$201,0))</f>
        <v>5</v>
      </c>
      <c r="U2902" s="2" t="n">
        <f aca="false">INDEX(Summary!$Q$2:$Q$201,MATCH($B2902,Summary!$A$2:$A$201,0))</f>
        <v>13.49</v>
      </c>
      <c r="V2902" s="2" t="n">
        <f aca="false">INDEX(Summary!$R$2:$R$201,MATCH($B2902,Summary!$A$2:$A$201,0))</f>
        <v>18.2</v>
      </c>
      <c r="W2902" s="0" t="str">
        <f aca="false">INDEX(Summary!$S$2:$S$201,MATCH($B2902,Summary!$A$2:$A$201,0))</f>
        <v>Bronze</v>
      </c>
      <c r="X2902" s="2" t="n">
        <f aca="false">INDEX(Summary!$T$2:$T$201,MATCH($B2902,Summary!$A$2:$A$201,0))</f>
        <v>44.39</v>
      </c>
      <c r="Y2902" s="0" t="str">
        <f aca="false">INDEX('Reward Model'!$E$18:$E$37,MATCH($E2902,'Reward Model'!$A$18:$A$37,0))</f>
        <v>Medium</v>
      </c>
      <c r="Z2902" s="4" t="n">
        <f aca="false">ROUND(MIN(1,MAX('Reward Model'!$B$2,INDEX('Reward Model'!$C$12:$C$14,MATCH($K2902,'Reward Model'!$A$12:$A$14,0))/$J2902)),3)</f>
        <v>0.898</v>
      </c>
      <c r="AA2902" s="2" t="n">
        <f aca="false">IF($I2902="Correct",ROUND(INDEX('Reward Model'!$B$12:$B$14,MATCH($K2902,'Reward Model'!$A$12:$A$14,0))*Z2902,2),0)</f>
        <v>0</v>
      </c>
      <c r="AB2902" s="2" t="n">
        <f aca="false">IF($I2902="Correct",ROUND(INDEX('Reward Model'!$B$12:$B$14,MATCH($Y2902,'Reward Model'!$A$12:$A$14,0))*Z2902,2),0)</f>
        <v>0</v>
      </c>
    </row>
    <row r="2903" customFormat="false" ht="15" hidden="false" customHeight="false" outlineLevel="0" collapsed="false">
      <c r="A2903" s="0" t="s">
        <v>422</v>
      </c>
      <c r="B2903" s="0" t="s">
        <v>423</v>
      </c>
      <c r="C2903" s="0" t="s">
        <v>322</v>
      </c>
      <c r="D2903" s="0" t="s">
        <v>189</v>
      </c>
      <c r="E2903" s="0" t="n">
        <v>2</v>
      </c>
      <c r="F2903" s="0" t="s">
        <v>36</v>
      </c>
      <c r="G2903" s="0" t="s">
        <v>38</v>
      </c>
      <c r="H2903" s="0" t="s">
        <v>38</v>
      </c>
      <c r="I2903" s="0" t="s">
        <v>34</v>
      </c>
      <c r="J2903" s="0" t="n">
        <v>1.08</v>
      </c>
      <c r="K2903" s="0" t="s">
        <v>35</v>
      </c>
      <c r="L2903" s="0" t="n">
        <f aca="false">INDEX(Summary!$F$2:$F$201,MATCH($B2903,Summary!$A$2:$A$201,0))</f>
        <v>20</v>
      </c>
      <c r="M2903" s="0" t="n">
        <f aca="false">INDEX(Summary!$I$2:$I$201,MATCH($B2903,Summary!$A$2:$A$201,0))</f>
        <v>3</v>
      </c>
      <c r="N2903" s="0" t="n">
        <f aca="false">INDEX(Summary!$J$2:$J$201,MATCH($B2903,Summary!$A$2:$A$201,0))</f>
        <v>2</v>
      </c>
      <c r="O2903" s="2" t="n">
        <f aca="false">INDEX(Summary!$K$2:$K$201,MATCH($B2903,Summary!$A$2:$A$201,0))</f>
        <v>7.05</v>
      </c>
      <c r="P2903" s="3" t="n">
        <f aca="false">INDEX(Summary!$L$2:$L$201,MATCH($B2903,Summary!$A$2:$A$201,0))</f>
        <v>2</v>
      </c>
      <c r="Q2903" s="3" t="n">
        <f aca="false">INDEX(Summary!$M$2:$M$201,MATCH($B2903,Summary!$A$2:$A$201,0))</f>
        <v>4</v>
      </c>
      <c r="R2903" s="2" t="n">
        <f aca="false">INDEX(Summary!$N$2:$N$201,MATCH($B2903,Summary!$A$2:$A$201,0))</f>
        <v>10.42</v>
      </c>
      <c r="S2903" s="3" t="n">
        <f aca="false">INDEX(Summary!$O$2:$O$201,MATCH($B2903,Summary!$A$2:$A$201,0))</f>
        <v>4</v>
      </c>
      <c r="T2903" s="3" t="n">
        <f aca="false">INDEX(Summary!$P$2:$P$201,MATCH($B2903,Summary!$A$2:$A$201,0))</f>
        <v>5</v>
      </c>
      <c r="U2903" s="2" t="n">
        <f aca="false">INDEX(Summary!$Q$2:$Q$201,MATCH($B2903,Summary!$A$2:$A$201,0))</f>
        <v>13.49</v>
      </c>
      <c r="V2903" s="2" t="n">
        <f aca="false">INDEX(Summary!$R$2:$R$201,MATCH($B2903,Summary!$A$2:$A$201,0))</f>
        <v>18.2</v>
      </c>
      <c r="W2903" s="0" t="str">
        <f aca="false">INDEX(Summary!$S$2:$S$201,MATCH($B2903,Summary!$A$2:$A$201,0))</f>
        <v>Bronze</v>
      </c>
      <c r="X2903" s="2" t="n">
        <f aca="false">INDEX(Summary!$T$2:$T$201,MATCH($B2903,Summary!$A$2:$A$201,0))</f>
        <v>44.39</v>
      </c>
      <c r="Y2903" s="0" t="str">
        <f aca="false">INDEX('Reward Model'!$E$18:$E$37,MATCH($E2903,'Reward Model'!$A$18:$A$37,0))</f>
        <v>Low</v>
      </c>
      <c r="Z2903" s="4" t="n">
        <f aca="false">ROUND(MIN(1,MAX('Reward Model'!$B$2,INDEX('Reward Model'!$C$12:$C$14,MATCH($K2903,'Reward Model'!$A$12:$A$14,0))/$J2903)),3)</f>
        <v>1</v>
      </c>
      <c r="AA2903" s="2" t="n">
        <f aca="false">IF($I2903="Correct",ROUND(INDEX('Reward Model'!$B$12:$B$14,MATCH($K2903,'Reward Model'!$A$12:$A$14,0))*Z2903,2),0)</f>
        <v>1</v>
      </c>
      <c r="AB2903" s="2" t="n">
        <f aca="false">IF($I2903="Correct",ROUND(INDEX('Reward Model'!$B$12:$B$14,MATCH($Y2903,'Reward Model'!$A$12:$A$14,0))*Z2903,2),0)</f>
        <v>1</v>
      </c>
    </row>
    <row r="2904" customFormat="false" ht="15" hidden="false" customHeight="false" outlineLevel="0" collapsed="false">
      <c r="A2904" s="0" t="s">
        <v>422</v>
      </c>
      <c r="B2904" s="0" t="s">
        <v>423</v>
      </c>
      <c r="C2904" s="0" t="s">
        <v>322</v>
      </c>
      <c r="D2904" s="0" t="s">
        <v>189</v>
      </c>
      <c r="E2904" s="0" t="n">
        <v>3</v>
      </c>
      <c r="F2904" s="0" t="s">
        <v>40</v>
      </c>
      <c r="G2904" s="0" t="s">
        <v>42</v>
      </c>
      <c r="H2904" s="0" t="s">
        <v>42</v>
      </c>
      <c r="I2904" s="0" t="s">
        <v>34</v>
      </c>
      <c r="J2904" s="0" t="n">
        <v>1.79</v>
      </c>
      <c r="K2904" s="0" t="s">
        <v>35</v>
      </c>
      <c r="L2904" s="0" t="n">
        <f aca="false">INDEX(Summary!$F$2:$F$201,MATCH($B2904,Summary!$A$2:$A$201,0))</f>
        <v>20</v>
      </c>
      <c r="M2904" s="0" t="n">
        <f aca="false">INDEX(Summary!$I$2:$I$201,MATCH($B2904,Summary!$A$2:$A$201,0))</f>
        <v>3</v>
      </c>
      <c r="N2904" s="0" t="n">
        <f aca="false">INDEX(Summary!$J$2:$J$201,MATCH($B2904,Summary!$A$2:$A$201,0))</f>
        <v>2</v>
      </c>
      <c r="O2904" s="2" t="n">
        <f aca="false">INDEX(Summary!$K$2:$K$201,MATCH($B2904,Summary!$A$2:$A$201,0))</f>
        <v>7.05</v>
      </c>
      <c r="P2904" s="3" t="n">
        <f aca="false">INDEX(Summary!$L$2:$L$201,MATCH($B2904,Summary!$A$2:$A$201,0))</f>
        <v>2</v>
      </c>
      <c r="Q2904" s="3" t="n">
        <f aca="false">INDEX(Summary!$M$2:$M$201,MATCH($B2904,Summary!$A$2:$A$201,0))</f>
        <v>4</v>
      </c>
      <c r="R2904" s="2" t="n">
        <f aca="false">INDEX(Summary!$N$2:$N$201,MATCH($B2904,Summary!$A$2:$A$201,0))</f>
        <v>10.42</v>
      </c>
      <c r="S2904" s="3" t="n">
        <f aca="false">INDEX(Summary!$O$2:$O$201,MATCH($B2904,Summary!$A$2:$A$201,0))</f>
        <v>4</v>
      </c>
      <c r="T2904" s="3" t="n">
        <f aca="false">INDEX(Summary!$P$2:$P$201,MATCH($B2904,Summary!$A$2:$A$201,0))</f>
        <v>5</v>
      </c>
      <c r="U2904" s="2" t="n">
        <f aca="false">INDEX(Summary!$Q$2:$Q$201,MATCH($B2904,Summary!$A$2:$A$201,0))</f>
        <v>13.49</v>
      </c>
      <c r="V2904" s="2" t="n">
        <f aca="false">INDEX(Summary!$R$2:$R$201,MATCH($B2904,Summary!$A$2:$A$201,0))</f>
        <v>18.2</v>
      </c>
      <c r="W2904" s="0" t="str">
        <f aca="false">INDEX(Summary!$S$2:$S$201,MATCH($B2904,Summary!$A$2:$A$201,0))</f>
        <v>Bronze</v>
      </c>
      <c r="X2904" s="2" t="n">
        <f aca="false">INDEX(Summary!$T$2:$T$201,MATCH($B2904,Summary!$A$2:$A$201,0))</f>
        <v>44.39</v>
      </c>
      <c r="Y2904" s="0" t="str">
        <f aca="false">INDEX('Reward Model'!$E$18:$E$37,MATCH($E2904,'Reward Model'!$A$18:$A$37,0))</f>
        <v>Medium</v>
      </c>
      <c r="Z2904" s="4" t="n">
        <f aca="false">ROUND(MIN(1,MAX('Reward Model'!$B$2,INDEX('Reward Model'!$C$12:$C$14,MATCH($K2904,'Reward Model'!$A$12:$A$14,0))/$J2904)),3)</f>
        <v>0.838</v>
      </c>
      <c r="AA2904" s="2" t="n">
        <f aca="false">IF($I2904="Correct",ROUND(INDEX('Reward Model'!$B$12:$B$14,MATCH($K2904,'Reward Model'!$A$12:$A$14,0))*Z2904,2),0)</f>
        <v>0.84</v>
      </c>
      <c r="AB2904" s="2" t="n">
        <f aca="false">IF($I2904="Correct",ROUND(INDEX('Reward Model'!$B$12:$B$14,MATCH($Y2904,'Reward Model'!$A$12:$A$14,0))*Z2904,2),0)</f>
        <v>1.68</v>
      </c>
    </row>
    <row r="2905" customFormat="false" ht="15" hidden="false" customHeight="false" outlineLevel="0" collapsed="false">
      <c r="A2905" s="0" t="s">
        <v>422</v>
      </c>
      <c r="B2905" s="0" t="s">
        <v>423</v>
      </c>
      <c r="C2905" s="0" t="s">
        <v>322</v>
      </c>
      <c r="D2905" s="0" t="s">
        <v>189</v>
      </c>
      <c r="E2905" s="0" t="n">
        <v>4</v>
      </c>
      <c r="F2905" s="0" t="s">
        <v>43</v>
      </c>
      <c r="G2905" s="0" t="s">
        <v>44</v>
      </c>
      <c r="H2905" s="0" t="s">
        <v>45</v>
      </c>
      <c r="I2905" s="0" t="s">
        <v>39</v>
      </c>
      <c r="J2905" s="0" t="n">
        <v>1.38</v>
      </c>
      <c r="K2905" s="0" t="s">
        <v>35</v>
      </c>
      <c r="L2905" s="0" t="n">
        <f aca="false">INDEX(Summary!$F$2:$F$201,MATCH($B2905,Summary!$A$2:$A$201,0))</f>
        <v>20</v>
      </c>
      <c r="M2905" s="0" t="n">
        <f aca="false">INDEX(Summary!$I$2:$I$201,MATCH($B2905,Summary!$A$2:$A$201,0))</f>
        <v>3</v>
      </c>
      <c r="N2905" s="0" t="n">
        <f aca="false">INDEX(Summary!$J$2:$J$201,MATCH($B2905,Summary!$A$2:$A$201,0))</f>
        <v>2</v>
      </c>
      <c r="O2905" s="2" t="n">
        <f aca="false">INDEX(Summary!$K$2:$K$201,MATCH($B2905,Summary!$A$2:$A$201,0))</f>
        <v>7.05</v>
      </c>
      <c r="P2905" s="3" t="n">
        <f aca="false">INDEX(Summary!$L$2:$L$201,MATCH($B2905,Summary!$A$2:$A$201,0))</f>
        <v>2</v>
      </c>
      <c r="Q2905" s="3" t="n">
        <f aca="false">INDEX(Summary!$M$2:$M$201,MATCH($B2905,Summary!$A$2:$A$201,0))</f>
        <v>4</v>
      </c>
      <c r="R2905" s="2" t="n">
        <f aca="false">INDEX(Summary!$N$2:$N$201,MATCH($B2905,Summary!$A$2:$A$201,0))</f>
        <v>10.42</v>
      </c>
      <c r="S2905" s="3" t="n">
        <f aca="false">INDEX(Summary!$O$2:$O$201,MATCH($B2905,Summary!$A$2:$A$201,0))</f>
        <v>4</v>
      </c>
      <c r="T2905" s="3" t="n">
        <f aca="false">INDEX(Summary!$P$2:$P$201,MATCH($B2905,Summary!$A$2:$A$201,0))</f>
        <v>5</v>
      </c>
      <c r="U2905" s="2" t="n">
        <f aca="false">INDEX(Summary!$Q$2:$Q$201,MATCH($B2905,Summary!$A$2:$A$201,0))</f>
        <v>13.49</v>
      </c>
      <c r="V2905" s="2" t="n">
        <f aca="false">INDEX(Summary!$R$2:$R$201,MATCH($B2905,Summary!$A$2:$A$201,0))</f>
        <v>18.2</v>
      </c>
      <c r="W2905" s="0" t="str">
        <f aca="false">INDEX(Summary!$S$2:$S$201,MATCH($B2905,Summary!$A$2:$A$201,0))</f>
        <v>Bronze</v>
      </c>
      <c r="X2905" s="2" t="n">
        <f aca="false">INDEX(Summary!$T$2:$T$201,MATCH($B2905,Summary!$A$2:$A$201,0))</f>
        <v>44.39</v>
      </c>
      <c r="Y2905" s="0" t="str">
        <f aca="false">INDEX('Reward Model'!$E$18:$E$37,MATCH($E2905,'Reward Model'!$A$18:$A$37,0))</f>
        <v>Low</v>
      </c>
      <c r="Z2905" s="4" t="n">
        <f aca="false">ROUND(MIN(1,MAX('Reward Model'!$B$2,INDEX('Reward Model'!$C$12:$C$14,MATCH($K2905,'Reward Model'!$A$12:$A$14,0))/$J2905)),3)</f>
        <v>1</v>
      </c>
      <c r="AA2905" s="2" t="n">
        <f aca="false">IF($I2905="Correct",ROUND(INDEX('Reward Model'!$B$12:$B$14,MATCH($K2905,'Reward Model'!$A$12:$A$14,0))*Z2905,2),0)</f>
        <v>0</v>
      </c>
      <c r="AB2905" s="2" t="n">
        <f aca="false">IF($I2905="Correct",ROUND(INDEX('Reward Model'!$B$12:$B$14,MATCH($Y2905,'Reward Model'!$A$12:$A$14,0))*Z2905,2),0)</f>
        <v>0</v>
      </c>
    </row>
    <row r="2906" customFormat="false" ht="15" hidden="false" customHeight="false" outlineLevel="0" collapsed="false">
      <c r="A2906" s="0" t="s">
        <v>422</v>
      </c>
      <c r="B2906" s="0" t="s">
        <v>423</v>
      </c>
      <c r="C2906" s="0" t="s">
        <v>322</v>
      </c>
      <c r="D2906" s="0" t="s">
        <v>189</v>
      </c>
      <c r="E2906" s="0" t="n">
        <v>5</v>
      </c>
      <c r="F2906" s="0" t="s">
        <v>46</v>
      </c>
      <c r="G2906" s="0" t="s">
        <v>149</v>
      </c>
      <c r="H2906" s="0" t="s">
        <v>47</v>
      </c>
      <c r="I2906" s="0" t="s">
        <v>39</v>
      </c>
      <c r="J2906" s="0" t="n">
        <v>1.13</v>
      </c>
      <c r="K2906" s="0" t="s">
        <v>35</v>
      </c>
      <c r="L2906" s="0" t="n">
        <f aca="false">INDEX(Summary!$F$2:$F$201,MATCH($B2906,Summary!$A$2:$A$201,0))</f>
        <v>20</v>
      </c>
      <c r="M2906" s="0" t="n">
        <f aca="false">INDEX(Summary!$I$2:$I$201,MATCH($B2906,Summary!$A$2:$A$201,0))</f>
        <v>3</v>
      </c>
      <c r="N2906" s="0" t="n">
        <f aca="false">INDEX(Summary!$J$2:$J$201,MATCH($B2906,Summary!$A$2:$A$201,0))</f>
        <v>2</v>
      </c>
      <c r="O2906" s="2" t="n">
        <f aca="false">INDEX(Summary!$K$2:$K$201,MATCH($B2906,Summary!$A$2:$A$201,0))</f>
        <v>7.05</v>
      </c>
      <c r="P2906" s="3" t="n">
        <f aca="false">INDEX(Summary!$L$2:$L$201,MATCH($B2906,Summary!$A$2:$A$201,0))</f>
        <v>2</v>
      </c>
      <c r="Q2906" s="3" t="n">
        <f aca="false">INDEX(Summary!$M$2:$M$201,MATCH($B2906,Summary!$A$2:$A$201,0))</f>
        <v>4</v>
      </c>
      <c r="R2906" s="2" t="n">
        <f aca="false">INDEX(Summary!$N$2:$N$201,MATCH($B2906,Summary!$A$2:$A$201,0))</f>
        <v>10.42</v>
      </c>
      <c r="S2906" s="3" t="n">
        <f aca="false">INDEX(Summary!$O$2:$O$201,MATCH($B2906,Summary!$A$2:$A$201,0))</f>
        <v>4</v>
      </c>
      <c r="T2906" s="3" t="n">
        <f aca="false">INDEX(Summary!$P$2:$P$201,MATCH($B2906,Summary!$A$2:$A$201,0))</f>
        <v>5</v>
      </c>
      <c r="U2906" s="2" t="n">
        <f aca="false">INDEX(Summary!$Q$2:$Q$201,MATCH($B2906,Summary!$A$2:$A$201,0))</f>
        <v>13.49</v>
      </c>
      <c r="V2906" s="2" t="n">
        <f aca="false">INDEX(Summary!$R$2:$R$201,MATCH($B2906,Summary!$A$2:$A$201,0))</f>
        <v>18.2</v>
      </c>
      <c r="W2906" s="0" t="str">
        <f aca="false">INDEX(Summary!$S$2:$S$201,MATCH($B2906,Summary!$A$2:$A$201,0))</f>
        <v>Bronze</v>
      </c>
      <c r="X2906" s="2" t="n">
        <f aca="false">INDEX(Summary!$T$2:$T$201,MATCH($B2906,Summary!$A$2:$A$201,0))</f>
        <v>44.39</v>
      </c>
      <c r="Y2906" s="0" t="str">
        <f aca="false">INDEX('Reward Model'!$E$18:$E$37,MATCH($E2906,'Reward Model'!$A$18:$A$37,0))</f>
        <v>Low</v>
      </c>
      <c r="Z2906" s="4" t="n">
        <f aca="false">ROUND(MIN(1,MAX('Reward Model'!$B$2,INDEX('Reward Model'!$C$12:$C$14,MATCH($K2906,'Reward Model'!$A$12:$A$14,0))/$J2906)),3)</f>
        <v>1</v>
      </c>
      <c r="AA2906" s="2" t="n">
        <f aca="false">IF($I2906="Correct",ROUND(INDEX('Reward Model'!$B$12:$B$14,MATCH($K2906,'Reward Model'!$A$12:$A$14,0))*Z2906,2),0)</f>
        <v>0</v>
      </c>
      <c r="AB2906" s="2" t="n">
        <f aca="false">IF($I2906="Correct",ROUND(INDEX('Reward Model'!$B$12:$B$14,MATCH($Y2906,'Reward Model'!$A$12:$A$14,0))*Z2906,2),0)</f>
        <v>0</v>
      </c>
    </row>
    <row r="2907" customFormat="false" ht="15" hidden="false" customHeight="false" outlineLevel="0" collapsed="false">
      <c r="A2907" s="0" t="s">
        <v>422</v>
      </c>
      <c r="B2907" s="0" t="s">
        <v>423</v>
      </c>
      <c r="C2907" s="0" t="s">
        <v>322</v>
      </c>
      <c r="D2907" s="0" t="s">
        <v>189</v>
      </c>
      <c r="E2907" s="0" t="n">
        <v>6</v>
      </c>
      <c r="F2907" s="0" t="s">
        <v>48</v>
      </c>
      <c r="G2907" s="0" t="s">
        <v>169</v>
      </c>
      <c r="H2907" s="0" t="s">
        <v>49</v>
      </c>
      <c r="I2907" s="0" t="s">
        <v>39</v>
      </c>
      <c r="J2907" s="0" t="n">
        <v>1.42</v>
      </c>
      <c r="K2907" s="0" t="s">
        <v>35</v>
      </c>
      <c r="L2907" s="0" t="n">
        <f aca="false">INDEX(Summary!$F$2:$F$201,MATCH($B2907,Summary!$A$2:$A$201,0))</f>
        <v>20</v>
      </c>
      <c r="M2907" s="0" t="n">
        <f aca="false">INDEX(Summary!$I$2:$I$201,MATCH($B2907,Summary!$A$2:$A$201,0))</f>
        <v>3</v>
      </c>
      <c r="N2907" s="0" t="n">
        <f aca="false">INDEX(Summary!$J$2:$J$201,MATCH($B2907,Summary!$A$2:$A$201,0))</f>
        <v>2</v>
      </c>
      <c r="O2907" s="2" t="n">
        <f aca="false">INDEX(Summary!$K$2:$K$201,MATCH($B2907,Summary!$A$2:$A$201,0))</f>
        <v>7.05</v>
      </c>
      <c r="P2907" s="3" t="n">
        <f aca="false">INDEX(Summary!$L$2:$L$201,MATCH($B2907,Summary!$A$2:$A$201,0))</f>
        <v>2</v>
      </c>
      <c r="Q2907" s="3" t="n">
        <f aca="false">INDEX(Summary!$M$2:$M$201,MATCH($B2907,Summary!$A$2:$A$201,0))</f>
        <v>4</v>
      </c>
      <c r="R2907" s="2" t="n">
        <f aca="false">INDEX(Summary!$N$2:$N$201,MATCH($B2907,Summary!$A$2:$A$201,0))</f>
        <v>10.42</v>
      </c>
      <c r="S2907" s="3" t="n">
        <f aca="false">INDEX(Summary!$O$2:$O$201,MATCH($B2907,Summary!$A$2:$A$201,0))</f>
        <v>4</v>
      </c>
      <c r="T2907" s="3" t="n">
        <f aca="false">INDEX(Summary!$P$2:$P$201,MATCH($B2907,Summary!$A$2:$A$201,0))</f>
        <v>5</v>
      </c>
      <c r="U2907" s="2" t="n">
        <f aca="false">INDEX(Summary!$Q$2:$Q$201,MATCH($B2907,Summary!$A$2:$A$201,0))</f>
        <v>13.49</v>
      </c>
      <c r="V2907" s="2" t="n">
        <f aca="false">INDEX(Summary!$R$2:$R$201,MATCH($B2907,Summary!$A$2:$A$201,0))</f>
        <v>18.2</v>
      </c>
      <c r="W2907" s="0" t="str">
        <f aca="false">INDEX(Summary!$S$2:$S$201,MATCH($B2907,Summary!$A$2:$A$201,0))</f>
        <v>Bronze</v>
      </c>
      <c r="X2907" s="2" t="n">
        <f aca="false">INDEX(Summary!$T$2:$T$201,MATCH($B2907,Summary!$A$2:$A$201,0))</f>
        <v>44.39</v>
      </c>
      <c r="Y2907" s="0" t="str">
        <f aca="false">INDEX('Reward Model'!$E$18:$E$37,MATCH($E2907,'Reward Model'!$A$18:$A$37,0))</f>
        <v>Medium</v>
      </c>
      <c r="Z2907" s="4" t="n">
        <f aca="false">ROUND(MIN(1,MAX('Reward Model'!$B$2,INDEX('Reward Model'!$C$12:$C$14,MATCH($K2907,'Reward Model'!$A$12:$A$14,0))/$J2907)),3)</f>
        <v>1</v>
      </c>
      <c r="AA2907" s="2" t="n">
        <f aca="false">IF($I2907="Correct",ROUND(INDEX('Reward Model'!$B$12:$B$14,MATCH($K2907,'Reward Model'!$A$12:$A$14,0))*Z2907,2),0)</f>
        <v>0</v>
      </c>
      <c r="AB2907" s="2" t="n">
        <f aca="false">IF($I2907="Correct",ROUND(INDEX('Reward Model'!$B$12:$B$14,MATCH($Y2907,'Reward Model'!$A$12:$A$14,0))*Z2907,2),0)</f>
        <v>0</v>
      </c>
    </row>
    <row r="2908" customFormat="false" ht="15" hidden="false" customHeight="false" outlineLevel="0" collapsed="false">
      <c r="A2908" s="0" t="s">
        <v>422</v>
      </c>
      <c r="B2908" s="0" t="s">
        <v>423</v>
      </c>
      <c r="C2908" s="0" t="s">
        <v>322</v>
      </c>
      <c r="D2908" s="0" t="s">
        <v>189</v>
      </c>
      <c r="E2908" s="0" t="n">
        <v>7</v>
      </c>
      <c r="F2908" s="0" t="s">
        <v>50</v>
      </c>
      <c r="G2908" s="0" t="s">
        <v>51</v>
      </c>
      <c r="H2908" s="0" t="s">
        <v>51</v>
      </c>
      <c r="I2908" s="0" t="s">
        <v>34</v>
      </c>
      <c r="J2908" s="0" t="n">
        <v>1.13</v>
      </c>
      <c r="K2908" s="0" t="s">
        <v>35</v>
      </c>
      <c r="L2908" s="0" t="n">
        <f aca="false">INDEX(Summary!$F$2:$F$201,MATCH($B2908,Summary!$A$2:$A$201,0))</f>
        <v>20</v>
      </c>
      <c r="M2908" s="0" t="n">
        <f aca="false">INDEX(Summary!$I$2:$I$201,MATCH($B2908,Summary!$A$2:$A$201,0))</f>
        <v>3</v>
      </c>
      <c r="N2908" s="0" t="n">
        <f aca="false">INDEX(Summary!$J$2:$J$201,MATCH($B2908,Summary!$A$2:$A$201,0))</f>
        <v>2</v>
      </c>
      <c r="O2908" s="2" t="n">
        <f aca="false">INDEX(Summary!$K$2:$K$201,MATCH($B2908,Summary!$A$2:$A$201,0))</f>
        <v>7.05</v>
      </c>
      <c r="P2908" s="3" t="n">
        <f aca="false">INDEX(Summary!$L$2:$L$201,MATCH($B2908,Summary!$A$2:$A$201,0))</f>
        <v>2</v>
      </c>
      <c r="Q2908" s="3" t="n">
        <f aca="false">INDEX(Summary!$M$2:$M$201,MATCH($B2908,Summary!$A$2:$A$201,0))</f>
        <v>4</v>
      </c>
      <c r="R2908" s="2" t="n">
        <f aca="false">INDEX(Summary!$N$2:$N$201,MATCH($B2908,Summary!$A$2:$A$201,0))</f>
        <v>10.42</v>
      </c>
      <c r="S2908" s="3" t="n">
        <f aca="false">INDEX(Summary!$O$2:$O$201,MATCH($B2908,Summary!$A$2:$A$201,0))</f>
        <v>4</v>
      </c>
      <c r="T2908" s="3" t="n">
        <f aca="false">INDEX(Summary!$P$2:$P$201,MATCH($B2908,Summary!$A$2:$A$201,0))</f>
        <v>5</v>
      </c>
      <c r="U2908" s="2" t="n">
        <f aca="false">INDEX(Summary!$Q$2:$Q$201,MATCH($B2908,Summary!$A$2:$A$201,0))</f>
        <v>13.49</v>
      </c>
      <c r="V2908" s="2" t="n">
        <f aca="false">INDEX(Summary!$R$2:$R$201,MATCH($B2908,Summary!$A$2:$A$201,0))</f>
        <v>18.2</v>
      </c>
      <c r="W2908" s="0" t="str">
        <f aca="false">INDEX(Summary!$S$2:$S$201,MATCH($B2908,Summary!$A$2:$A$201,0))</f>
        <v>Bronze</v>
      </c>
      <c r="X2908" s="2" t="n">
        <f aca="false">INDEX(Summary!$T$2:$T$201,MATCH($B2908,Summary!$A$2:$A$201,0))</f>
        <v>44.39</v>
      </c>
      <c r="Y2908" s="0" t="str">
        <f aca="false">INDEX('Reward Model'!$E$18:$E$37,MATCH($E2908,'Reward Model'!$A$18:$A$37,0))</f>
        <v>Low</v>
      </c>
      <c r="Z2908" s="4" t="n">
        <f aca="false">ROUND(MIN(1,MAX('Reward Model'!$B$2,INDEX('Reward Model'!$C$12:$C$14,MATCH($K2908,'Reward Model'!$A$12:$A$14,0))/$J2908)),3)</f>
        <v>1</v>
      </c>
      <c r="AA2908" s="2" t="n">
        <f aca="false">IF($I2908="Correct",ROUND(INDEX('Reward Model'!$B$12:$B$14,MATCH($K2908,'Reward Model'!$A$12:$A$14,0))*Z2908,2),0)</f>
        <v>1</v>
      </c>
      <c r="AB2908" s="2" t="n">
        <f aca="false">IF($I2908="Correct",ROUND(INDEX('Reward Model'!$B$12:$B$14,MATCH($Y2908,'Reward Model'!$A$12:$A$14,0))*Z2908,2),0)</f>
        <v>1</v>
      </c>
    </row>
    <row r="2909" customFormat="false" ht="15" hidden="false" customHeight="false" outlineLevel="0" collapsed="false">
      <c r="A2909" s="0" t="s">
        <v>422</v>
      </c>
      <c r="B2909" s="0" t="s">
        <v>423</v>
      </c>
      <c r="C2909" s="0" t="s">
        <v>322</v>
      </c>
      <c r="D2909" s="0" t="s">
        <v>189</v>
      </c>
      <c r="E2909" s="0" t="n">
        <v>8</v>
      </c>
      <c r="F2909" s="0" t="s">
        <v>52</v>
      </c>
      <c r="G2909" s="0" t="s">
        <v>137</v>
      </c>
      <c r="H2909" s="0" t="s">
        <v>54</v>
      </c>
      <c r="I2909" s="0" t="s">
        <v>39</v>
      </c>
      <c r="J2909" s="0" t="n">
        <v>1.92</v>
      </c>
      <c r="K2909" s="0" t="s">
        <v>35</v>
      </c>
      <c r="L2909" s="0" t="n">
        <f aca="false">INDEX(Summary!$F$2:$F$201,MATCH($B2909,Summary!$A$2:$A$201,0))</f>
        <v>20</v>
      </c>
      <c r="M2909" s="0" t="n">
        <f aca="false">INDEX(Summary!$I$2:$I$201,MATCH($B2909,Summary!$A$2:$A$201,0))</f>
        <v>3</v>
      </c>
      <c r="N2909" s="0" t="n">
        <f aca="false">INDEX(Summary!$J$2:$J$201,MATCH($B2909,Summary!$A$2:$A$201,0))</f>
        <v>2</v>
      </c>
      <c r="O2909" s="2" t="n">
        <f aca="false">INDEX(Summary!$K$2:$K$201,MATCH($B2909,Summary!$A$2:$A$201,0))</f>
        <v>7.05</v>
      </c>
      <c r="P2909" s="3" t="n">
        <f aca="false">INDEX(Summary!$L$2:$L$201,MATCH($B2909,Summary!$A$2:$A$201,0))</f>
        <v>2</v>
      </c>
      <c r="Q2909" s="3" t="n">
        <f aca="false">INDEX(Summary!$M$2:$M$201,MATCH($B2909,Summary!$A$2:$A$201,0))</f>
        <v>4</v>
      </c>
      <c r="R2909" s="2" t="n">
        <f aca="false">INDEX(Summary!$N$2:$N$201,MATCH($B2909,Summary!$A$2:$A$201,0))</f>
        <v>10.42</v>
      </c>
      <c r="S2909" s="3" t="n">
        <f aca="false">INDEX(Summary!$O$2:$O$201,MATCH($B2909,Summary!$A$2:$A$201,0))</f>
        <v>4</v>
      </c>
      <c r="T2909" s="3" t="n">
        <f aca="false">INDEX(Summary!$P$2:$P$201,MATCH($B2909,Summary!$A$2:$A$201,0))</f>
        <v>5</v>
      </c>
      <c r="U2909" s="2" t="n">
        <f aca="false">INDEX(Summary!$Q$2:$Q$201,MATCH($B2909,Summary!$A$2:$A$201,0))</f>
        <v>13.49</v>
      </c>
      <c r="V2909" s="2" t="n">
        <f aca="false">INDEX(Summary!$R$2:$R$201,MATCH($B2909,Summary!$A$2:$A$201,0))</f>
        <v>18.2</v>
      </c>
      <c r="W2909" s="0" t="str">
        <f aca="false">INDEX(Summary!$S$2:$S$201,MATCH($B2909,Summary!$A$2:$A$201,0))</f>
        <v>Bronze</v>
      </c>
      <c r="X2909" s="2" t="n">
        <f aca="false">INDEX(Summary!$T$2:$T$201,MATCH($B2909,Summary!$A$2:$A$201,0))</f>
        <v>44.39</v>
      </c>
      <c r="Y2909" s="0" t="str">
        <f aca="false">INDEX('Reward Model'!$E$18:$E$37,MATCH($E2909,'Reward Model'!$A$18:$A$37,0))</f>
        <v>Medium</v>
      </c>
      <c r="Z2909" s="4" t="n">
        <f aca="false">ROUND(MIN(1,MAX('Reward Model'!$B$2,INDEX('Reward Model'!$C$12:$C$14,MATCH($K2909,'Reward Model'!$A$12:$A$14,0))/$J2909)),3)</f>
        <v>0.781</v>
      </c>
      <c r="AA2909" s="2" t="n">
        <f aca="false">IF($I2909="Correct",ROUND(INDEX('Reward Model'!$B$12:$B$14,MATCH($K2909,'Reward Model'!$A$12:$A$14,0))*Z2909,2),0)</f>
        <v>0</v>
      </c>
      <c r="AB2909" s="2" t="n">
        <f aca="false">IF($I2909="Correct",ROUND(INDEX('Reward Model'!$B$12:$B$14,MATCH($Y2909,'Reward Model'!$A$12:$A$14,0))*Z2909,2),0)</f>
        <v>0</v>
      </c>
    </row>
    <row r="2910" customFormat="false" ht="15" hidden="false" customHeight="false" outlineLevel="0" collapsed="false">
      <c r="A2910" s="0" t="s">
        <v>422</v>
      </c>
      <c r="B2910" s="0" t="s">
        <v>423</v>
      </c>
      <c r="C2910" s="0" t="s">
        <v>322</v>
      </c>
      <c r="D2910" s="0" t="s">
        <v>189</v>
      </c>
      <c r="E2910" s="0" t="n">
        <v>9</v>
      </c>
      <c r="F2910" s="0" t="s">
        <v>55</v>
      </c>
      <c r="G2910" s="0" t="s">
        <v>57</v>
      </c>
      <c r="H2910" s="0" t="s">
        <v>57</v>
      </c>
      <c r="I2910" s="0" t="s">
        <v>34</v>
      </c>
      <c r="J2910" s="0" t="n">
        <v>1.97</v>
      </c>
      <c r="K2910" s="0" t="s">
        <v>35</v>
      </c>
      <c r="L2910" s="0" t="n">
        <f aca="false">INDEX(Summary!$F$2:$F$201,MATCH($B2910,Summary!$A$2:$A$201,0))</f>
        <v>20</v>
      </c>
      <c r="M2910" s="0" t="n">
        <f aca="false">INDEX(Summary!$I$2:$I$201,MATCH($B2910,Summary!$A$2:$A$201,0))</f>
        <v>3</v>
      </c>
      <c r="N2910" s="0" t="n">
        <f aca="false">INDEX(Summary!$J$2:$J$201,MATCH($B2910,Summary!$A$2:$A$201,0))</f>
        <v>2</v>
      </c>
      <c r="O2910" s="2" t="n">
        <f aca="false">INDEX(Summary!$K$2:$K$201,MATCH($B2910,Summary!$A$2:$A$201,0))</f>
        <v>7.05</v>
      </c>
      <c r="P2910" s="3" t="n">
        <f aca="false">INDEX(Summary!$L$2:$L$201,MATCH($B2910,Summary!$A$2:$A$201,0))</f>
        <v>2</v>
      </c>
      <c r="Q2910" s="3" t="n">
        <f aca="false">INDEX(Summary!$M$2:$M$201,MATCH($B2910,Summary!$A$2:$A$201,0))</f>
        <v>4</v>
      </c>
      <c r="R2910" s="2" t="n">
        <f aca="false">INDEX(Summary!$N$2:$N$201,MATCH($B2910,Summary!$A$2:$A$201,0))</f>
        <v>10.42</v>
      </c>
      <c r="S2910" s="3" t="n">
        <f aca="false">INDEX(Summary!$O$2:$O$201,MATCH($B2910,Summary!$A$2:$A$201,0))</f>
        <v>4</v>
      </c>
      <c r="T2910" s="3" t="n">
        <f aca="false">INDEX(Summary!$P$2:$P$201,MATCH($B2910,Summary!$A$2:$A$201,0))</f>
        <v>5</v>
      </c>
      <c r="U2910" s="2" t="n">
        <f aca="false">INDEX(Summary!$Q$2:$Q$201,MATCH($B2910,Summary!$A$2:$A$201,0))</f>
        <v>13.49</v>
      </c>
      <c r="V2910" s="2" t="n">
        <f aca="false">INDEX(Summary!$R$2:$R$201,MATCH($B2910,Summary!$A$2:$A$201,0))</f>
        <v>18.2</v>
      </c>
      <c r="W2910" s="0" t="str">
        <f aca="false">INDEX(Summary!$S$2:$S$201,MATCH($B2910,Summary!$A$2:$A$201,0))</f>
        <v>Bronze</v>
      </c>
      <c r="X2910" s="2" t="n">
        <f aca="false">INDEX(Summary!$T$2:$T$201,MATCH($B2910,Summary!$A$2:$A$201,0))</f>
        <v>44.39</v>
      </c>
      <c r="Y2910" s="0" t="str">
        <f aca="false">INDEX('Reward Model'!$E$18:$E$37,MATCH($E2910,'Reward Model'!$A$18:$A$37,0))</f>
        <v>Medium</v>
      </c>
      <c r="Z2910" s="4" t="n">
        <f aca="false">ROUND(MIN(1,MAX('Reward Model'!$B$2,INDEX('Reward Model'!$C$12:$C$14,MATCH($K2910,'Reward Model'!$A$12:$A$14,0))/$J2910)),3)</f>
        <v>0.761</v>
      </c>
      <c r="AA2910" s="2" t="n">
        <f aca="false">IF($I2910="Correct",ROUND(INDEX('Reward Model'!$B$12:$B$14,MATCH($K2910,'Reward Model'!$A$12:$A$14,0))*Z2910,2),0)</f>
        <v>0.76</v>
      </c>
      <c r="AB2910" s="2" t="n">
        <f aca="false">IF($I2910="Correct",ROUND(INDEX('Reward Model'!$B$12:$B$14,MATCH($Y2910,'Reward Model'!$A$12:$A$14,0))*Z2910,2),0)</f>
        <v>1.52</v>
      </c>
    </row>
    <row r="2911" customFormat="false" ht="15" hidden="false" customHeight="false" outlineLevel="0" collapsed="false">
      <c r="A2911" s="0" t="s">
        <v>422</v>
      </c>
      <c r="B2911" s="0" t="s">
        <v>423</v>
      </c>
      <c r="C2911" s="0" t="s">
        <v>322</v>
      </c>
      <c r="D2911" s="0" t="s">
        <v>189</v>
      </c>
      <c r="E2911" s="0" t="n">
        <v>10</v>
      </c>
      <c r="F2911" s="0" t="s">
        <v>58</v>
      </c>
      <c r="G2911" s="0" t="s">
        <v>99</v>
      </c>
      <c r="H2911" s="0" t="s">
        <v>59</v>
      </c>
      <c r="I2911" s="0" t="s">
        <v>39</v>
      </c>
      <c r="J2911" s="0" t="n">
        <v>2.1</v>
      </c>
      <c r="K2911" s="0" t="s">
        <v>60</v>
      </c>
      <c r="L2911" s="0" t="n">
        <f aca="false">INDEX(Summary!$F$2:$F$201,MATCH($B2911,Summary!$A$2:$A$201,0))</f>
        <v>20</v>
      </c>
      <c r="M2911" s="0" t="n">
        <f aca="false">INDEX(Summary!$I$2:$I$201,MATCH($B2911,Summary!$A$2:$A$201,0))</f>
        <v>3</v>
      </c>
      <c r="N2911" s="0" t="n">
        <f aca="false">INDEX(Summary!$J$2:$J$201,MATCH($B2911,Summary!$A$2:$A$201,0))</f>
        <v>2</v>
      </c>
      <c r="O2911" s="2" t="n">
        <f aca="false">INDEX(Summary!$K$2:$K$201,MATCH($B2911,Summary!$A$2:$A$201,0))</f>
        <v>7.05</v>
      </c>
      <c r="P2911" s="3" t="n">
        <f aca="false">INDEX(Summary!$L$2:$L$201,MATCH($B2911,Summary!$A$2:$A$201,0))</f>
        <v>2</v>
      </c>
      <c r="Q2911" s="3" t="n">
        <f aca="false">INDEX(Summary!$M$2:$M$201,MATCH($B2911,Summary!$A$2:$A$201,0))</f>
        <v>4</v>
      </c>
      <c r="R2911" s="2" t="n">
        <f aca="false">INDEX(Summary!$N$2:$N$201,MATCH($B2911,Summary!$A$2:$A$201,0))</f>
        <v>10.42</v>
      </c>
      <c r="S2911" s="3" t="n">
        <f aca="false">INDEX(Summary!$O$2:$O$201,MATCH($B2911,Summary!$A$2:$A$201,0))</f>
        <v>4</v>
      </c>
      <c r="T2911" s="3" t="n">
        <f aca="false">INDEX(Summary!$P$2:$P$201,MATCH($B2911,Summary!$A$2:$A$201,0))</f>
        <v>5</v>
      </c>
      <c r="U2911" s="2" t="n">
        <f aca="false">INDEX(Summary!$Q$2:$Q$201,MATCH($B2911,Summary!$A$2:$A$201,0))</f>
        <v>13.49</v>
      </c>
      <c r="V2911" s="2" t="n">
        <f aca="false">INDEX(Summary!$R$2:$R$201,MATCH($B2911,Summary!$A$2:$A$201,0))</f>
        <v>18.2</v>
      </c>
      <c r="W2911" s="0" t="str">
        <f aca="false">INDEX(Summary!$S$2:$S$201,MATCH($B2911,Summary!$A$2:$A$201,0))</f>
        <v>Bronze</v>
      </c>
      <c r="X2911" s="2" t="n">
        <f aca="false">INDEX(Summary!$T$2:$T$201,MATCH($B2911,Summary!$A$2:$A$201,0))</f>
        <v>44.39</v>
      </c>
      <c r="Y2911" s="0" t="str">
        <f aca="false">INDEX('Reward Model'!$E$18:$E$37,MATCH($E2911,'Reward Model'!$A$18:$A$37,0))</f>
        <v>Medium</v>
      </c>
      <c r="Z2911" s="4" t="n">
        <f aca="false">ROUND(MIN(1,MAX('Reward Model'!$B$2,INDEX('Reward Model'!$C$12:$C$14,MATCH($K2911,'Reward Model'!$A$12:$A$14,0))/$J2911)),3)</f>
        <v>0.857</v>
      </c>
      <c r="AA2911" s="2" t="n">
        <f aca="false">IF($I2911="Correct",ROUND(INDEX('Reward Model'!$B$12:$B$14,MATCH($K2911,'Reward Model'!$A$12:$A$14,0))*Z2911,2),0)</f>
        <v>0</v>
      </c>
      <c r="AB2911" s="2" t="n">
        <f aca="false">IF($I2911="Correct",ROUND(INDEX('Reward Model'!$B$12:$B$14,MATCH($Y2911,'Reward Model'!$A$12:$A$14,0))*Z2911,2),0)</f>
        <v>0</v>
      </c>
    </row>
    <row r="2912" customFormat="false" ht="15" hidden="false" customHeight="false" outlineLevel="0" collapsed="false">
      <c r="A2912" s="0" t="s">
        <v>422</v>
      </c>
      <c r="B2912" s="0" t="s">
        <v>423</v>
      </c>
      <c r="C2912" s="0" t="s">
        <v>322</v>
      </c>
      <c r="D2912" s="0" t="s">
        <v>189</v>
      </c>
      <c r="E2912" s="0" t="n">
        <v>11</v>
      </c>
      <c r="F2912" s="0" t="s">
        <v>61</v>
      </c>
      <c r="G2912" s="0" t="s">
        <v>63</v>
      </c>
      <c r="H2912" s="0" t="s">
        <v>63</v>
      </c>
      <c r="I2912" s="0" t="s">
        <v>34</v>
      </c>
      <c r="J2912" s="0" t="n">
        <v>1.5</v>
      </c>
      <c r="K2912" s="0" t="s">
        <v>60</v>
      </c>
      <c r="L2912" s="0" t="n">
        <f aca="false">INDEX(Summary!$F$2:$F$201,MATCH($B2912,Summary!$A$2:$A$201,0))</f>
        <v>20</v>
      </c>
      <c r="M2912" s="0" t="n">
        <f aca="false">INDEX(Summary!$I$2:$I$201,MATCH($B2912,Summary!$A$2:$A$201,0))</f>
        <v>3</v>
      </c>
      <c r="N2912" s="0" t="n">
        <f aca="false">INDEX(Summary!$J$2:$J$201,MATCH($B2912,Summary!$A$2:$A$201,0))</f>
        <v>2</v>
      </c>
      <c r="O2912" s="2" t="n">
        <f aca="false">INDEX(Summary!$K$2:$K$201,MATCH($B2912,Summary!$A$2:$A$201,0))</f>
        <v>7.05</v>
      </c>
      <c r="P2912" s="3" t="n">
        <f aca="false">INDEX(Summary!$L$2:$L$201,MATCH($B2912,Summary!$A$2:$A$201,0))</f>
        <v>2</v>
      </c>
      <c r="Q2912" s="3" t="n">
        <f aca="false">INDEX(Summary!$M$2:$M$201,MATCH($B2912,Summary!$A$2:$A$201,0))</f>
        <v>4</v>
      </c>
      <c r="R2912" s="2" t="n">
        <f aca="false">INDEX(Summary!$N$2:$N$201,MATCH($B2912,Summary!$A$2:$A$201,0))</f>
        <v>10.42</v>
      </c>
      <c r="S2912" s="3" t="n">
        <f aca="false">INDEX(Summary!$O$2:$O$201,MATCH($B2912,Summary!$A$2:$A$201,0))</f>
        <v>4</v>
      </c>
      <c r="T2912" s="3" t="n">
        <f aca="false">INDEX(Summary!$P$2:$P$201,MATCH($B2912,Summary!$A$2:$A$201,0))</f>
        <v>5</v>
      </c>
      <c r="U2912" s="2" t="n">
        <f aca="false">INDEX(Summary!$Q$2:$Q$201,MATCH($B2912,Summary!$A$2:$A$201,0))</f>
        <v>13.49</v>
      </c>
      <c r="V2912" s="2" t="n">
        <f aca="false">INDEX(Summary!$R$2:$R$201,MATCH($B2912,Summary!$A$2:$A$201,0))</f>
        <v>18.2</v>
      </c>
      <c r="W2912" s="0" t="str">
        <f aca="false">INDEX(Summary!$S$2:$S$201,MATCH($B2912,Summary!$A$2:$A$201,0))</f>
        <v>Bronze</v>
      </c>
      <c r="X2912" s="2" t="n">
        <f aca="false">INDEX(Summary!$T$2:$T$201,MATCH($B2912,Summary!$A$2:$A$201,0))</f>
        <v>44.39</v>
      </c>
      <c r="Y2912" s="0" t="str">
        <f aca="false">INDEX('Reward Model'!$E$18:$E$37,MATCH($E2912,'Reward Model'!$A$18:$A$37,0))</f>
        <v>Medium</v>
      </c>
      <c r="Z2912" s="4" t="n">
        <f aca="false">ROUND(MIN(1,MAX('Reward Model'!$B$2,INDEX('Reward Model'!$C$12:$C$14,MATCH($K2912,'Reward Model'!$A$12:$A$14,0))/$J2912)),3)</f>
        <v>1</v>
      </c>
      <c r="AA2912" s="2" t="n">
        <f aca="false">IF($I2912="Correct",ROUND(INDEX('Reward Model'!$B$12:$B$14,MATCH($K2912,'Reward Model'!$A$12:$A$14,0))*Z2912,2),0)</f>
        <v>2</v>
      </c>
      <c r="AB2912" s="2" t="n">
        <f aca="false">IF($I2912="Correct",ROUND(INDEX('Reward Model'!$B$12:$B$14,MATCH($Y2912,'Reward Model'!$A$12:$A$14,0))*Z2912,2),0)</f>
        <v>2</v>
      </c>
    </row>
    <row r="2913" customFormat="false" ht="15" hidden="false" customHeight="false" outlineLevel="0" collapsed="false">
      <c r="A2913" s="0" t="s">
        <v>422</v>
      </c>
      <c r="B2913" s="0" t="s">
        <v>423</v>
      </c>
      <c r="C2913" s="0" t="s">
        <v>322</v>
      </c>
      <c r="D2913" s="0" t="s">
        <v>189</v>
      </c>
      <c r="E2913" s="0" t="n">
        <v>12</v>
      </c>
      <c r="F2913" s="0" t="s">
        <v>64</v>
      </c>
      <c r="G2913" s="0" t="s">
        <v>146</v>
      </c>
      <c r="H2913" s="0" t="s">
        <v>65</v>
      </c>
      <c r="I2913" s="0" t="s">
        <v>39</v>
      </c>
      <c r="J2913" s="0" t="n">
        <v>1.73</v>
      </c>
      <c r="K2913" s="0" t="s">
        <v>60</v>
      </c>
      <c r="L2913" s="0" t="n">
        <f aca="false">INDEX(Summary!$F$2:$F$201,MATCH($B2913,Summary!$A$2:$A$201,0))</f>
        <v>20</v>
      </c>
      <c r="M2913" s="0" t="n">
        <f aca="false">INDEX(Summary!$I$2:$I$201,MATCH($B2913,Summary!$A$2:$A$201,0))</f>
        <v>3</v>
      </c>
      <c r="N2913" s="0" t="n">
        <f aca="false">INDEX(Summary!$J$2:$J$201,MATCH($B2913,Summary!$A$2:$A$201,0))</f>
        <v>2</v>
      </c>
      <c r="O2913" s="2" t="n">
        <f aca="false">INDEX(Summary!$K$2:$K$201,MATCH($B2913,Summary!$A$2:$A$201,0))</f>
        <v>7.05</v>
      </c>
      <c r="P2913" s="3" t="n">
        <f aca="false">INDEX(Summary!$L$2:$L$201,MATCH($B2913,Summary!$A$2:$A$201,0))</f>
        <v>2</v>
      </c>
      <c r="Q2913" s="3" t="n">
        <f aca="false">INDEX(Summary!$M$2:$M$201,MATCH($B2913,Summary!$A$2:$A$201,0))</f>
        <v>4</v>
      </c>
      <c r="R2913" s="2" t="n">
        <f aca="false">INDEX(Summary!$N$2:$N$201,MATCH($B2913,Summary!$A$2:$A$201,0))</f>
        <v>10.42</v>
      </c>
      <c r="S2913" s="3" t="n">
        <f aca="false">INDEX(Summary!$O$2:$O$201,MATCH($B2913,Summary!$A$2:$A$201,0))</f>
        <v>4</v>
      </c>
      <c r="T2913" s="3" t="n">
        <f aca="false">INDEX(Summary!$P$2:$P$201,MATCH($B2913,Summary!$A$2:$A$201,0))</f>
        <v>5</v>
      </c>
      <c r="U2913" s="2" t="n">
        <f aca="false">INDEX(Summary!$Q$2:$Q$201,MATCH($B2913,Summary!$A$2:$A$201,0))</f>
        <v>13.49</v>
      </c>
      <c r="V2913" s="2" t="n">
        <f aca="false">INDEX(Summary!$R$2:$R$201,MATCH($B2913,Summary!$A$2:$A$201,0))</f>
        <v>18.2</v>
      </c>
      <c r="W2913" s="0" t="str">
        <f aca="false">INDEX(Summary!$S$2:$S$201,MATCH($B2913,Summary!$A$2:$A$201,0))</f>
        <v>Bronze</v>
      </c>
      <c r="X2913" s="2" t="n">
        <f aca="false">INDEX(Summary!$T$2:$T$201,MATCH($B2913,Summary!$A$2:$A$201,0))</f>
        <v>44.39</v>
      </c>
      <c r="Y2913" s="0" t="str">
        <f aca="false">INDEX('Reward Model'!$E$18:$E$37,MATCH($E2913,'Reward Model'!$A$18:$A$37,0))</f>
        <v>Medium</v>
      </c>
      <c r="Z2913" s="4" t="n">
        <f aca="false">ROUND(MIN(1,MAX('Reward Model'!$B$2,INDEX('Reward Model'!$C$12:$C$14,MATCH($K2913,'Reward Model'!$A$12:$A$14,0))/$J2913)),3)</f>
        <v>1</v>
      </c>
      <c r="AA2913" s="2" t="n">
        <f aca="false">IF($I2913="Correct",ROUND(INDEX('Reward Model'!$B$12:$B$14,MATCH($K2913,'Reward Model'!$A$12:$A$14,0))*Z2913,2),0)</f>
        <v>0</v>
      </c>
      <c r="AB2913" s="2" t="n">
        <f aca="false">IF($I2913="Correct",ROUND(INDEX('Reward Model'!$B$12:$B$14,MATCH($Y2913,'Reward Model'!$A$12:$A$14,0))*Z2913,2),0)</f>
        <v>0</v>
      </c>
    </row>
    <row r="2914" customFormat="false" ht="15" hidden="false" customHeight="false" outlineLevel="0" collapsed="false">
      <c r="A2914" s="0" t="s">
        <v>422</v>
      </c>
      <c r="B2914" s="0" t="s">
        <v>423</v>
      </c>
      <c r="C2914" s="0" t="s">
        <v>322</v>
      </c>
      <c r="D2914" s="0" t="s">
        <v>189</v>
      </c>
      <c r="E2914" s="0" t="n">
        <v>13</v>
      </c>
      <c r="F2914" s="0" t="s">
        <v>66</v>
      </c>
      <c r="G2914" s="0" t="s">
        <v>124</v>
      </c>
      <c r="H2914" s="0" t="s">
        <v>67</v>
      </c>
      <c r="I2914" s="0" t="s">
        <v>39</v>
      </c>
      <c r="J2914" s="0" t="n">
        <v>1.27</v>
      </c>
      <c r="K2914" s="0" t="s">
        <v>60</v>
      </c>
      <c r="L2914" s="0" t="n">
        <f aca="false">INDEX(Summary!$F$2:$F$201,MATCH($B2914,Summary!$A$2:$A$201,0))</f>
        <v>20</v>
      </c>
      <c r="M2914" s="0" t="n">
        <f aca="false">INDEX(Summary!$I$2:$I$201,MATCH($B2914,Summary!$A$2:$A$201,0))</f>
        <v>3</v>
      </c>
      <c r="N2914" s="0" t="n">
        <f aca="false">INDEX(Summary!$J$2:$J$201,MATCH($B2914,Summary!$A$2:$A$201,0))</f>
        <v>2</v>
      </c>
      <c r="O2914" s="2" t="n">
        <f aca="false">INDEX(Summary!$K$2:$K$201,MATCH($B2914,Summary!$A$2:$A$201,0))</f>
        <v>7.05</v>
      </c>
      <c r="P2914" s="3" t="n">
        <f aca="false">INDEX(Summary!$L$2:$L$201,MATCH($B2914,Summary!$A$2:$A$201,0))</f>
        <v>2</v>
      </c>
      <c r="Q2914" s="3" t="n">
        <f aca="false">INDEX(Summary!$M$2:$M$201,MATCH($B2914,Summary!$A$2:$A$201,0))</f>
        <v>4</v>
      </c>
      <c r="R2914" s="2" t="n">
        <f aca="false">INDEX(Summary!$N$2:$N$201,MATCH($B2914,Summary!$A$2:$A$201,0))</f>
        <v>10.42</v>
      </c>
      <c r="S2914" s="3" t="n">
        <f aca="false">INDEX(Summary!$O$2:$O$201,MATCH($B2914,Summary!$A$2:$A$201,0))</f>
        <v>4</v>
      </c>
      <c r="T2914" s="3" t="n">
        <f aca="false">INDEX(Summary!$P$2:$P$201,MATCH($B2914,Summary!$A$2:$A$201,0))</f>
        <v>5</v>
      </c>
      <c r="U2914" s="2" t="n">
        <f aca="false">INDEX(Summary!$Q$2:$Q$201,MATCH($B2914,Summary!$A$2:$A$201,0))</f>
        <v>13.49</v>
      </c>
      <c r="V2914" s="2" t="n">
        <f aca="false">INDEX(Summary!$R$2:$R$201,MATCH($B2914,Summary!$A$2:$A$201,0))</f>
        <v>18.2</v>
      </c>
      <c r="W2914" s="0" t="str">
        <f aca="false">INDEX(Summary!$S$2:$S$201,MATCH($B2914,Summary!$A$2:$A$201,0))</f>
        <v>Bronze</v>
      </c>
      <c r="X2914" s="2" t="n">
        <f aca="false">INDEX(Summary!$T$2:$T$201,MATCH($B2914,Summary!$A$2:$A$201,0))</f>
        <v>44.39</v>
      </c>
      <c r="Y2914" s="0" t="str">
        <f aca="false">INDEX('Reward Model'!$E$18:$E$37,MATCH($E2914,'Reward Model'!$A$18:$A$37,0))</f>
        <v>Medium</v>
      </c>
      <c r="Z2914" s="4" t="n">
        <f aca="false">ROUND(MIN(1,MAX('Reward Model'!$B$2,INDEX('Reward Model'!$C$12:$C$14,MATCH($K2914,'Reward Model'!$A$12:$A$14,0))/$J2914)),3)</f>
        <v>1</v>
      </c>
      <c r="AA2914" s="2" t="n">
        <f aca="false">IF($I2914="Correct",ROUND(INDEX('Reward Model'!$B$12:$B$14,MATCH($K2914,'Reward Model'!$A$12:$A$14,0))*Z2914,2),0)</f>
        <v>0</v>
      </c>
      <c r="AB2914" s="2" t="n">
        <f aca="false">IF($I2914="Correct",ROUND(INDEX('Reward Model'!$B$12:$B$14,MATCH($Y2914,'Reward Model'!$A$12:$A$14,0))*Z2914,2),0)</f>
        <v>0</v>
      </c>
    </row>
    <row r="2915" customFormat="false" ht="15" hidden="false" customHeight="false" outlineLevel="0" collapsed="false">
      <c r="A2915" s="0" t="s">
        <v>422</v>
      </c>
      <c r="B2915" s="0" t="s">
        <v>423</v>
      </c>
      <c r="C2915" s="0" t="s">
        <v>322</v>
      </c>
      <c r="D2915" s="0" t="s">
        <v>189</v>
      </c>
      <c r="E2915" s="0" t="n">
        <v>14</v>
      </c>
      <c r="F2915" s="0" t="s">
        <v>68</v>
      </c>
      <c r="G2915" s="0" t="s">
        <v>51</v>
      </c>
      <c r="H2915" s="0" t="s">
        <v>51</v>
      </c>
      <c r="I2915" s="0" t="s">
        <v>34</v>
      </c>
      <c r="J2915" s="0" t="n">
        <v>1.71</v>
      </c>
      <c r="K2915" s="0" t="s">
        <v>60</v>
      </c>
      <c r="L2915" s="0" t="n">
        <f aca="false">INDEX(Summary!$F$2:$F$201,MATCH($B2915,Summary!$A$2:$A$201,0))</f>
        <v>20</v>
      </c>
      <c r="M2915" s="0" t="n">
        <f aca="false">INDEX(Summary!$I$2:$I$201,MATCH($B2915,Summary!$A$2:$A$201,0))</f>
        <v>3</v>
      </c>
      <c r="N2915" s="0" t="n">
        <f aca="false">INDEX(Summary!$J$2:$J$201,MATCH($B2915,Summary!$A$2:$A$201,0))</f>
        <v>2</v>
      </c>
      <c r="O2915" s="2" t="n">
        <f aca="false">INDEX(Summary!$K$2:$K$201,MATCH($B2915,Summary!$A$2:$A$201,0))</f>
        <v>7.05</v>
      </c>
      <c r="P2915" s="3" t="n">
        <f aca="false">INDEX(Summary!$L$2:$L$201,MATCH($B2915,Summary!$A$2:$A$201,0))</f>
        <v>2</v>
      </c>
      <c r="Q2915" s="3" t="n">
        <f aca="false">INDEX(Summary!$M$2:$M$201,MATCH($B2915,Summary!$A$2:$A$201,0))</f>
        <v>4</v>
      </c>
      <c r="R2915" s="2" t="n">
        <f aca="false">INDEX(Summary!$N$2:$N$201,MATCH($B2915,Summary!$A$2:$A$201,0))</f>
        <v>10.42</v>
      </c>
      <c r="S2915" s="3" t="n">
        <f aca="false">INDEX(Summary!$O$2:$O$201,MATCH($B2915,Summary!$A$2:$A$201,0))</f>
        <v>4</v>
      </c>
      <c r="T2915" s="3" t="n">
        <f aca="false">INDEX(Summary!$P$2:$P$201,MATCH($B2915,Summary!$A$2:$A$201,0))</f>
        <v>5</v>
      </c>
      <c r="U2915" s="2" t="n">
        <f aca="false">INDEX(Summary!$Q$2:$Q$201,MATCH($B2915,Summary!$A$2:$A$201,0))</f>
        <v>13.49</v>
      </c>
      <c r="V2915" s="2" t="n">
        <f aca="false">INDEX(Summary!$R$2:$R$201,MATCH($B2915,Summary!$A$2:$A$201,0))</f>
        <v>18.2</v>
      </c>
      <c r="W2915" s="0" t="str">
        <f aca="false">INDEX(Summary!$S$2:$S$201,MATCH($B2915,Summary!$A$2:$A$201,0))</f>
        <v>Bronze</v>
      </c>
      <c r="X2915" s="2" t="n">
        <f aca="false">INDEX(Summary!$T$2:$T$201,MATCH($B2915,Summary!$A$2:$A$201,0))</f>
        <v>44.39</v>
      </c>
      <c r="Y2915" s="0" t="str">
        <f aca="false">INDEX('Reward Model'!$E$18:$E$37,MATCH($E2915,'Reward Model'!$A$18:$A$37,0))</f>
        <v>Medium</v>
      </c>
      <c r="Z2915" s="4" t="n">
        <f aca="false">ROUND(MIN(1,MAX('Reward Model'!$B$2,INDEX('Reward Model'!$C$12:$C$14,MATCH($K2915,'Reward Model'!$A$12:$A$14,0))/$J2915)),3)</f>
        <v>1</v>
      </c>
      <c r="AA2915" s="2" t="n">
        <f aca="false">IF($I2915="Correct",ROUND(INDEX('Reward Model'!$B$12:$B$14,MATCH($K2915,'Reward Model'!$A$12:$A$14,0))*Z2915,2),0)</f>
        <v>2</v>
      </c>
      <c r="AB2915" s="2" t="n">
        <f aca="false">IF($I2915="Correct",ROUND(INDEX('Reward Model'!$B$12:$B$14,MATCH($Y2915,'Reward Model'!$A$12:$A$14,0))*Z2915,2),0)</f>
        <v>2</v>
      </c>
    </row>
    <row r="2916" customFormat="false" ht="15" hidden="false" customHeight="false" outlineLevel="0" collapsed="false">
      <c r="A2916" s="0" t="s">
        <v>422</v>
      </c>
      <c r="B2916" s="0" t="s">
        <v>423</v>
      </c>
      <c r="C2916" s="0" t="s">
        <v>322</v>
      </c>
      <c r="D2916" s="0" t="s">
        <v>189</v>
      </c>
      <c r="E2916" s="0" t="n">
        <v>15</v>
      </c>
      <c r="F2916" s="0" t="s">
        <v>69</v>
      </c>
      <c r="G2916" s="0" t="s">
        <v>139</v>
      </c>
      <c r="H2916" s="0" t="s">
        <v>70</v>
      </c>
      <c r="I2916" s="0" t="s">
        <v>39</v>
      </c>
      <c r="J2916" s="0" t="n">
        <v>2.11</v>
      </c>
      <c r="K2916" s="0" t="s">
        <v>60</v>
      </c>
      <c r="L2916" s="0" t="n">
        <f aca="false">INDEX(Summary!$F$2:$F$201,MATCH($B2916,Summary!$A$2:$A$201,0))</f>
        <v>20</v>
      </c>
      <c r="M2916" s="0" t="n">
        <f aca="false">INDEX(Summary!$I$2:$I$201,MATCH($B2916,Summary!$A$2:$A$201,0))</f>
        <v>3</v>
      </c>
      <c r="N2916" s="0" t="n">
        <f aca="false">INDEX(Summary!$J$2:$J$201,MATCH($B2916,Summary!$A$2:$A$201,0))</f>
        <v>2</v>
      </c>
      <c r="O2916" s="2" t="n">
        <f aca="false">INDEX(Summary!$K$2:$K$201,MATCH($B2916,Summary!$A$2:$A$201,0))</f>
        <v>7.05</v>
      </c>
      <c r="P2916" s="3" t="n">
        <f aca="false">INDEX(Summary!$L$2:$L$201,MATCH($B2916,Summary!$A$2:$A$201,0))</f>
        <v>2</v>
      </c>
      <c r="Q2916" s="3" t="n">
        <f aca="false">INDEX(Summary!$M$2:$M$201,MATCH($B2916,Summary!$A$2:$A$201,0))</f>
        <v>4</v>
      </c>
      <c r="R2916" s="2" t="n">
        <f aca="false">INDEX(Summary!$N$2:$N$201,MATCH($B2916,Summary!$A$2:$A$201,0))</f>
        <v>10.42</v>
      </c>
      <c r="S2916" s="3" t="n">
        <f aca="false">INDEX(Summary!$O$2:$O$201,MATCH($B2916,Summary!$A$2:$A$201,0))</f>
        <v>4</v>
      </c>
      <c r="T2916" s="3" t="n">
        <f aca="false">INDEX(Summary!$P$2:$P$201,MATCH($B2916,Summary!$A$2:$A$201,0))</f>
        <v>5</v>
      </c>
      <c r="U2916" s="2" t="n">
        <f aca="false">INDEX(Summary!$Q$2:$Q$201,MATCH($B2916,Summary!$A$2:$A$201,0))</f>
        <v>13.49</v>
      </c>
      <c r="V2916" s="2" t="n">
        <f aca="false">INDEX(Summary!$R$2:$R$201,MATCH($B2916,Summary!$A$2:$A$201,0))</f>
        <v>18.2</v>
      </c>
      <c r="W2916" s="0" t="str">
        <f aca="false">INDEX(Summary!$S$2:$S$201,MATCH($B2916,Summary!$A$2:$A$201,0))</f>
        <v>Bronze</v>
      </c>
      <c r="X2916" s="2" t="n">
        <f aca="false">INDEX(Summary!$T$2:$T$201,MATCH($B2916,Summary!$A$2:$A$201,0))</f>
        <v>44.39</v>
      </c>
      <c r="Y2916" s="0" t="str">
        <f aca="false">INDEX('Reward Model'!$E$18:$E$37,MATCH($E2916,'Reward Model'!$A$18:$A$37,0))</f>
        <v>Medium</v>
      </c>
      <c r="Z2916" s="4" t="n">
        <f aca="false">ROUND(MIN(1,MAX('Reward Model'!$B$2,INDEX('Reward Model'!$C$12:$C$14,MATCH($K2916,'Reward Model'!$A$12:$A$14,0))/$J2916)),3)</f>
        <v>0.853</v>
      </c>
      <c r="AA2916" s="2" t="n">
        <f aca="false">IF($I2916="Correct",ROUND(INDEX('Reward Model'!$B$12:$B$14,MATCH($K2916,'Reward Model'!$A$12:$A$14,0))*Z2916,2),0)</f>
        <v>0</v>
      </c>
      <c r="AB2916" s="2" t="n">
        <f aca="false">IF($I2916="Correct",ROUND(INDEX('Reward Model'!$B$12:$B$14,MATCH($Y2916,'Reward Model'!$A$12:$A$14,0))*Z2916,2),0)</f>
        <v>0</v>
      </c>
    </row>
    <row r="2917" customFormat="false" ht="15" hidden="false" customHeight="false" outlineLevel="0" collapsed="false">
      <c r="A2917" s="0" t="s">
        <v>422</v>
      </c>
      <c r="B2917" s="0" t="s">
        <v>423</v>
      </c>
      <c r="C2917" s="0" t="s">
        <v>322</v>
      </c>
      <c r="D2917" s="0" t="s">
        <v>189</v>
      </c>
      <c r="E2917" s="0" t="n">
        <v>16</v>
      </c>
      <c r="F2917" s="0" t="s">
        <v>71</v>
      </c>
      <c r="G2917" s="0" t="s">
        <v>101</v>
      </c>
      <c r="H2917" s="0" t="s">
        <v>72</v>
      </c>
      <c r="I2917" s="0" t="s">
        <v>39</v>
      </c>
      <c r="J2917" s="0" t="n">
        <v>1.32</v>
      </c>
      <c r="K2917" s="0" t="s">
        <v>73</v>
      </c>
      <c r="L2917" s="0" t="n">
        <f aca="false">INDEX(Summary!$F$2:$F$201,MATCH($B2917,Summary!$A$2:$A$201,0))</f>
        <v>20</v>
      </c>
      <c r="M2917" s="0" t="n">
        <f aca="false">INDEX(Summary!$I$2:$I$201,MATCH($B2917,Summary!$A$2:$A$201,0))</f>
        <v>3</v>
      </c>
      <c r="N2917" s="0" t="n">
        <f aca="false">INDEX(Summary!$J$2:$J$201,MATCH($B2917,Summary!$A$2:$A$201,0))</f>
        <v>2</v>
      </c>
      <c r="O2917" s="2" t="n">
        <f aca="false">INDEX(Summary!$K$2:$K$201,MATCH($B2917,Summary!$A$2:$A$201,0))</f>
        <v>7.05</v>
      </c>
      <c r="P2917" s="3" t="n">
        <f aca="false">INDEX(Summary!$L$2:$L$201,MATCH($B2917,Summary!$A$2:$A$201,0))</f>
        <v>2</v>
      </c>
      <c r="Q2917" s="3" t="n">
        <f aca="false">INDEX(Summary!$M$2:$M$201,MATCH($B2917,Summary!$A$2:$A$201,0))</f>
        <v>4</v>
      </c>
      <c r="R2917" s="2" t="n">
        <f aca="false">INDEX(Summary!$N$2:$N$201,MATCH($B2917,Summary!$A$2:$A$201,0))</f>
        <v>10.42</v>
      </c>
      <c r="S2917" s="3" t="n">
        <f aca="false">INDEX(Summary!$O$2:$O$201,MATCH($B2917,Summary!$A$2:$A$201,0))</f>
        <v>4</v>
      </c>
      <c r="T2917" s="3" t="n">
        <f aca="false">INDEX(Summary!$P$2:$P$201,MATCH($B2917,Summary!$A$2:$A$201,0))</f>
        <v>5</v>
      </c>
      <c r="U2917" s="2" t="n">
        <f aca="false">INDEX(Summary!$Q$2:$Q$201,MATCH($B2917,Summary!$A$2:$A$201,0))</f>
        <v>13.49</v>
      </c>
      <c r="V2917" s="2" t="n">
        <f aca="false">INDEX(Summary!$R$2:$R$201,MATCH($B2917,Summary!$A$2:$A$201,0))</f>
        <v>18.2</v>
      </c>
      <c r="W2917" s="0" t="str">
        <f aca="false">INDEX(Summary!$S$2:$S$201,MATCH($B2917,Summary!$A$2:$A$201,0))</f>
        <v>Bronze</v>
      </c>
      <c r="X2917" s="2" t="n">
        <f aca="false">INDEX(Summary!$T$2:$T$201,MATCH($B2917,Summary!$A$2:$A$201,0))</f>
        <v>44.39</v>
      </c>
      <c r="Y2917" s="0" t="str">
        <f aca="false">INDEX('Reward Model'!$E$18:$E$37,MATCH($E2917,'Reward Model'!$A$18:$A$37,0))</f>
        <v>High</v>
      </c>
      <c r="Z2917" s="4" t="n">
        <f aca="false">ROUND(MIN(1,MAX('Reward Model'!$B$2,INDEX('Reward Model'!$C$12:$C$14,MATCH($K2917,'Reward Model'!$A$12:$A$14,0))/$J2917)),3)</f>
        <v>1</v>
      </c>
      <c r="AA2917" s="2" t="n">
        <f aca="false">IF($I2917="Correct",ROUND(INDEX('Reward Model'!$B$12:$B$14,MATCH($K2917,'Reward Model'!$A$12:$A$14,0))*Z2917,2),0)</f>
        <v>0</v>
      </c>
      <c r="AB2917" s="2" t="n">
        <f aca="false">IF($I2917="Correct",ROUND(INDEX('Reward Model'!$B$12:$B$14,MATCH($Y2917,'Reward Model'!$A$12:$A$14,0))*Z2917,2),0)</f>
        <v>0</v>
      </c>
    </row>
    <row r="2918" customFormat="false" ht="15" hidden="false" customHeight="false" outlineLevel="0" collapsed="false">
      <c r="A2918" s="0" t="s">
        <v>422</v>
      </c>
      <c r="B2918" s="0" t="s">
        <v>423</v>
      </c>
      <c r="C2918" s="0" t="s">
        <v>322</v>
      </c>
      <c r="D2918" s="0" t="s">
        <v>189</v>
      </c>
      <c r="E2918" s="0" t="n">
        <v>17</v>
      </c>
      <c r="F2918" s="0" t="s">
        <v>74</v>
      </c>
      <c r="G2918" s="0" t="s">
        <v>105</v>
      </c>
      <c r="H2918" s="0" t="s">
        <v>75</v>
      </c>
      <c r="I2918" s="0" t="s">
        <v>39</v>
      </c>
      <c r="J2918" s="0" t="n">
        <v>1.26</v>
      </c>
      <c r="K2918" s="0" t="s">
        <v>73</v>
      </c>
      <c r="L2918" s="0" t="n">
        <f aca="false">INDEX(Summary!$F$2:$F$201,MATCH($B2918,Summary!$A$2:$A$201,0))</f>
        <v>20</v>
      </c>
      <c r="M2918" s="0" t="n">
        <f aca="false">INDEX(Summary!$I$2:$I$201,MATCH($B2918,Summary!$A$2:$A$201,0))</f>
        <v>3</v>
      </c>
      <c r="N2918" s="0" t="n">
        <f aca="false">INDEX(Summary!$J$2:$J$201,MATCH($B2918,Summary!$A$2:$A$201,0))</f>
        <v>2</v>
      </c>
      <c r="O2918" s="2" t="n">
        <f aca="false">INDEX(Summary!$K$2:$K$201,MATCH($B2918,Summary!$A$2:$A$201,0))</f>
        <v>7.05</v>
      </c>
      <c r="P2918" s="3" t="n">
        <f aca="false">INDEX(Summary!$L$2:$L$201,MATCH($B2918,Summary!$A$2:$A$201,0))</f>
        <v>2</v>
      </c>
      <c r="Q2918" s="3" t="n">
        <f aca="false">INDEX(Summary!$M$2:$M$201,MATCH($B2918,Summary!$A$2:$A$201,0))</f>
        <v>4</v>
      </c>
      <c r="R2918" s="2" t="n">
        <f aca="false">INDEX(Summary!$N$2:$N$201,MATCH($B2918,Summary!$A$2:$A$201,0))</f>
        <v>10.42</v>
      </c>
      <c r="S2918" s="3" t="n">
        <f aca="false">INDEX(Summary!$O$2:$O$201,MATCH($B2918,Summary!$A$2:$A$201,0))</f>
        <v>4</v>
      </c>
      <c r="T2918" s="3" t="n">
        <f aca="false">INDEX(Summary!$P$2:$P$201,MATCH($B2918,Summary!$A$2:$A$201,0))</f>
        <v>5</v>
      </c>
      <c r="U2918" s="2" t="n">
        <f aca="false">INDEX(Summary!$Q$2:$Q$201,MATCH($B2918,Summary!$A$2:$A$201,0))</f>
        <v>13.49</v>
      </c>
      <c r="V2918" s="2" t="n">
        <f aca="false">INDEX(Summary!$R$2:$R$201,MATCH($B2918,Summary!$A$2:$A$201,0))</f>
        <v>18.2</v>
      </c>
      <c r="W2918" s="0" t="str">
        <f aca="false">INDEX(Summary!$S$2:$S$201,MATCH($B2918,Summary!$A$2:$A$201,0))</f>
        <v>Bronze</v>
      </c>
      <c r="X2918" s="2" t="n">
        <f aca="false">INDEX(Summary!$T$2:$T$201,MATCH($B2918,Summary!$A$2:$A$201,0))</f>
        <v>44.39</v>
      </c>
      <c r="Y2918" s="0" t="str">
        <f aca="false">INDEX('Reward Model'!$E$18:$E$37,MATCH($E2918,'Reward Model'!$A$18:$A$37,0))</f>
        <v>High</v>
      </c>
      <c r="Z2918" s="4" t="n">
        <f aca="false">ROUND(MIN(1,MAX('Reward Model'!$B$2,INDEX('Reward Model'!$C$12:$C$14,MATCH($K2918,'Reward Model'!$A$12:$A$14,0))/$J2918)),3)</f>
        <v>1</v>
      </c>
      <c r="AA2918" s="2" t="n">
        <f aca="false">IF($I2918="Correct",ROUND(INDEX('Reward Model'!$B$12:$B$14,MATCH($K2918,'Reward Model'!$A$12:$A$14,0))*Z2918,2),0)</f>
        <v>0</v>
      </c>
      <c r="AB2918" s="2" t="n">
        <f aca="false">IF($I2918="Correct",ROUND(INDEX('Reward Model'!$B$12:$B$14,MATCH($Y2918,'Reward Model'!$A$12:$A$14,0))*Z2918,2),0)</f>
        <v>0</v>
      </c>
    </row>
    <row r="2919" customFormat="false" ht="15" hidden="false" customHeight="false" outlineLevel="0" collapsed="false">
      <c r="A2919" s="0" t="s">
        <v>422</v>
      </c>
      <c r="B2919" s="0" t="s">
        <v>423</v>
      </c>
      <c r="C2919" s="0" t="s">
        <v>322</v>
      </c>
      <c r="D2919" s="0" t="s">
        <v>189</v>
      </c>
      <c r="E2919" s="0" t="n">
        <v>18</v>
      </c>
      <c r="F2919" s="0" t="s">
        <v>76</v>
      </c>
      <c r="G2919" s="0" t="s">
        <v>77</v>
      </c>
      <c r="H2919" s="0" t="s">
        <v>77</v>
      </c>
      <c r="I2919" s="0" t="s">
        <v>34</v>
      </c>
      <c r="J2919" s="0" t="n">
        <v>1.2</v>
      </c>
      <c r="K2919" s="0" t="s">
        <v>73</v>
      </c>
      <c r="L2919" s="0" t="n">
        <f aca="false">INDEX(Summary!$F$2:$F$201,MATCH($B2919,Summary!$A$2:$A$201,0))</f>
        <v>20</v>
      </c>
      <c r="M2919" s="0" t="n">
        <f aca="false">INDEX(Summary!$I$2:$I$201,MATCH($B2919,Summary!$A$2:$A$201,0))</f>
        <v>3</v>
      </c>
      <c r="N2919" s="0" t="n">
        <f aca="false">INDEX(Summary!$J$2:$J$201,MATCH($B2919,Summary!$A$2:$A$201,0))</f>
        <v>2</v>
      </c>
      <c r="O2919" s="2" t="n">
        <f aca="false">INDEX(Summary!$K$2:$K$201,MATCH($B2919,Summary!$A$2:$A$201,0))</f>
        <v>7.05</v>
      </c>
      <c r="P2919" s="3" t="n">
        <f aca="false">INDEX(Summary!$L$2:$L$201,MATCH($B2919,Summary!$A$2:$A$201,0))</f>
        <v>2</v>
      </c>
      <c r="Q2919" s="3" t="n">
        <f aca="false">INDEX(Summary!$M$2:$M$201,MATCH($B2919,Summary!$A$2:$A$201,0))</f>
        <v>4</v>
      </c>
      <c r="R2919" s="2" t="n">
        <f aca="false">INDEX(Summary!$N$2:$N$201,MATCH($B2919,Summary!$A$2:$A$201,0))</f>
        <v>10.42</v>
      </c>
      <c r="S2919" s="3" t="n">
        <f aca="false">INDEX(Summary!$O$2:$O$201,MATCH($B2919,Summary!$A$2:$A$201,0))</f>
        <v>4</v>
      </c>
      <c r="T2919" s="3" t="n">
        <f aca="false">INDEX(Summary!$P$2:$P$201,MATCH($B2919,Summary!$A$2:$A$201,0))</f>
        <v>5</v>
      </c>
      <c r="U2919" s="2" t="n">
        <f aca="false">INDEX(Summary!$Q$2:$Q$201,MATCH($B2919,Summary!$A$2:$A$201,0))</f>
        <v>13.49</v>
      </c>
      <c r="V2919" s="2" t="n">
        <f aca="false">INDEX(Summary!$R$2:$R$201,MATCH($B2919,Summary!$A$2:$A$201,0))</f>
        <v>18.2</v>
      </c>
      <c r="W2919" s="0" t="str">
        <f aca="false">INDEX(Summary!$S$2:$S$201,MATCH($B2919,Summary!$A$2:$A$201,0))</f>
        <v>Bronze</v>
      </c>
      <c r="X2919" s="2" t="n">
        <f aca="false">INDEX(Summary!$T$2:$T$201,MATCH($B2919,Summary!$A$2:$A$201,0))</f>
        <v>44.39</v>
      </c>
      <c r="Y2919" s="0" t="str">
        <f aca="false">INDEX('Reward Model'!$E$18:$E$37,MATCH($E2919,'Reward Model'!$A$18:$A$37,0))</f>
        <v>High</v>
      </c>
      <c r="Z2919" s="4" t="n">
        <f aca="false">ROUND(MIN(1,MAX('Reward Model'!$B$2,INDEX('Reward Model'!$C$12:$C$14,MATCH($K2919,'Reward Model'!$A$12:$A$14,0))/$J2919)),3)</f>
        <v>1</v>
      </c>
      <c r="AA2919" s="2" t="n">
        <f aca="false">IF($I2919="Correct",ROUND(INDEX('Reward Model'!$B$12:$B$14,MATCH($K2919,'Reward Model'!$A$12:$A$14,0))*Z2919,2),0)</f>
        <v>3</v>
      </c>
      <c r="AB2919" s="2" t="n">
        <f aca="false">IF($I2919="Correct",ROUND(INDEX('Reward Model'!$B$12:$B$14,MATCH($Y2919,'Reward Model'!$A$12:$A$14,0))*Z2919,2),0)</f>
        <v>3</v>
      </c>
    </row>
    <row r="2920" customFormat="false" ht="15" hidden="false" customHeight="false" outlineLevel="0" collapsed="false">
      <c r="A2920" s="0" t="s">
        <v>422</v>
      </c>
      <c r="B2920" s="0" t="s">
        <v>423</v>
      </c>
      <c r="C2920" s="0" t="s">
        <v>322</v>
      </c>
      <c r="D2920" s="0" t="s">
        <v>189</v>
      </c>
      <c r="E2920" s="0" t="n">
        <v>19</v>
      </c>
      <c r="F2920" s="0" t="s">
        <v>78</v>
      </c>
      <c r="G2920" s="0" t="s">
        <v>80</v>
      </c>
      <c r="H2920" s="0" t="s">
        <v>80</v>
      </c>
      <c r="I2920" s="0" t="s">
        <v>34</v>
      </c>
      <c r="J2920" s="0" t="n">
        <v>1.65</v>
      </c>
      <c r="K2920" s="0" t="s">
        <v>73</v>
      </c>
      <c r="L2920" s="0" t="n">
        <f aca="false">INDEX(Summary!$F$2:$F$201,MATCH($B2920,Summary!$A$2:$A$201,0))</f>
        <v>20</v>
      </c>
      <c r="M2920" s="0" t="n">
        <f aca="false">INDEX(Summary!$I$2:$I$201,MATCH($B2920,Summary!$A$2:$A$201,0))</f>
        <v>3</v>
      </c>
      <c r="N2920" s="0" t="n">
        <f aca="false">INDEX(Summary!$J$2:$J$201,MATCH($B2920,Summary!$A$2:$A$201,0))</f>
        <v>2</v>
      </c>
      <c r="O2920" s="2" t="n">
        <f aca="false">INDEX(Summary!$K$2:$K$201,MATCH($B2920,Summary!$A$2:$A$201,0))</f>
        <v>7.05</v>
      </c>
      <c r="P2920" s="3" t="n">
        <f aca="false">INDEX(Summary!$L$2:$L$201,MATCH($B2920,Summary!$A$2:$A$201,0))</f>
        <v>2</v>
      </c>
      <c r="Q2920" s="3" t="n">
        <f aca="false">INDEX(Summary!$M$2:$M$201,MATCH($B2920,Summary!$A$2:$A$201,0))</f>
        <v>4</v>
      </c>
      <c r="R2920" s="2" t="n">
        <f aca="false">INDEX(Summary!$N$2:$N$201,MATCH($B2920,Summary!$A$2:$A$201,0))</f>
        <v>10.42</v>
      </c>
      <c r="S2920" s="3" t="n">
        <f aca="false">INDEX(Summary!$O$2:$O$201,MATCH($B2920,Summary!$A$2:$A$201,0))</f>
        <v>4</v>
      </c>
      <c r="T2920" s="3" t="n">
        <f aca="false">INDEX(Summary!$P$2:$P$201,MATCH($B2920,Summary!$A$2:$A$201,0))</f>
        <v>5</v>
      </c>
      <c r="U2920" s="2" t="n">
        <f aca="false">INDEX(Summary!$Q$2:$Q$201,MATCH($B2920,Summary!$A$2:$A$201,0))</f>
        <v>13.49</v>
      </c>
      <c r="V2920" s="2" t="n">
        <f aca="false">INDEX(Summary!$R$2:$R$201,MATCH($B2920,Summary!$A$2:$A$201,0))</f>
        <v>18.2</v>
      </c>
      <c r="W2920" s="0" t="str">
        <f aca="false">INDEX(Summary!$S$2:$S$201,MATCH($B2920,Summary!$A$2:$A$201,0))</f>
        <v>Bronze</v>
      </c>
      <c r="X2920" s="2" t="n">
        <f aca="false">INDEX(Summary!$T$2:$T$201,MATCH($B2920,Summary!$A$2:$A$201,0))</f>
        <v>44.39</v>
      </c>
      <c r="Y2920" s="0" t="str">
        <f aca="false">INDEX('Reward Model'!$E$18:$E$37,MATCH($E2920,'Reward Model'!$A$18:$A$37,0))</f>
        <v>High</v>
      </c>
      <c r="Z2920" s="4" t="n">
        <f aca="false">ROUND(MIN(1,MAX('Reward Model'!$B$2,INDEX('Reward Model'!$C$12:$C$14,MATCH($K2920,'Reward Model'!$A$12:$A$14,0))/$J2920)),3)</f>
        <v>1</v>
      </c>
      <c r="AA2920" s="2" t="n">
        <f aca="false">IF($I2920="Correct",ROUND(INDEX('Reward Model'!$B$12:$B$14,MATCH($K2920,'Reward Model'!$A$12:$A$14,0))*Z2920,2),0)</f>
        <v>3</v>
      </c>
      <c r="AB2920" s="2" t="n">
        <f aca="false">IF($I2920="Correct",ROUND(INDEX('Reward Model'!$B$12:$B$14,MATCH($Y2920,'Reward Model'!$A$12:$A$14,0))*Z2920,2),0)</f>
        <v>3</v>
      </c>
    </row>
    <row r="2921" customFormat="false" ht="15" hidden="false" customHeight="false" outlineLevel="0" collapsed="false">
      <c r="A2921" s="0" t="s">
        <v>422</v>
      </c>
      <c r="B2921" s="0" t="s">
        <v>423</v>
      </c>
      <c r="C2921" s="0" t="s">
        <v>322</v>
      </c>
      <c r="D2921" s="0" t="s">
        <v>189</v>
      </c>
      <c r="E2921" s="0" t="n">
        <v>20</v>
      </c>
      <c r="F2921" s="0" t="s">
        <v>81</v>
      </c>
      <c r="G2921" s="0" t="s">
        <v>83</v>
      </c>
      <c r="H2921" s="0" t="s">
        <v>83</v>
      </c>
      <c r="I2921" s="0" t="s">
        <v>34</v>
      </c>
      <c r="J2921" s="0" t="n">
        <v>1.62</v>
      </c>
      <c r="K2921" s="0" t="s">
        <v>73</v>
      </c>
      <c r="L2921" s="0" t="n">
        <f aca="false">INDEX(Summary!$F$2:$F$201,MATCH($B2921,Summary!$A$2:$A$201,0))</f>
        <v>20</v>
      </c>
      <c r="M2921" s="0" t="n">
        <f aca="false">INDEX(Summary!$I$2:$I$201,MATCH($B2921,Summary!$A$2:$A$201,0))</f>
        <v>3</v>
      </c>
      <c r="N2921" s="0" t="n">
        <f aca="false">INDEX(Summary!$J$2:$J$201,MATCH($B2921,Summary!$A$2:$A$201,0))</f>
        <v>2</v>
      </c>
      <c r="O2921" s="2" t="n">
        <f aca="false">INDEX(Summary!$K$2:$K$201,MATCH($B2921,Summary!$A$2:$A$201,0))</f>
        <v>7.05</v>
      </c>
      <c r="P2921" s="3" t="n">
        <f aca="false">INDEX(Summary!$L$2:$L$201,MATCH($B2921,Summary!$A$2:$A$201,0))</f>
        <v>2</v>
      </c>
      <c r="Q2921" s="3" t="n">
        <f aca="false">INDEX(Summary!$M$2:$M$201,MATCH($B2921,Summary!$A$2:$A$201,0))</f>
        <v>4</v>
      </c>
      <c r="R2921" s="2" t="n">
        <f aca="false">INDEX(Summary!$N$2:$N$201,MATCH($B2921,Summary!$A$2:$A$201,0))</f>
        <v>10.42</v>
      </c>
      <c r="S2921" s="3" t="n">
        <f aca="false">INDEX(Summary!$O$2:$O$201,MATCH($B2921,Summary!$A$2:$A$201,0))</f>
        <v>4</v>
      </c>
      <c r="T2921" s="3" t="n">
        <f aca="false">INDEX(Summary!$P$2:$P$201,MATCH($B2921,Summary!$A$2:$A$201,0))</f>
        <v>5</v>
      </c>
      <c r="U2921" s="2" t="n">
        <f aca="false">INDEX(Summary!$Q$2:$Q$201,MATCH($B2921,Summary!$A$2:$A$201,0))</f>
        <v>13.49</v>
      </c>
      <c r="V2921" s="2" t="n">
        <f aca="false">INDEX(Summary!$R$2:$R$201,MATCH($B2921,Summary!$A$2:$A$201,0))</f>
        <v>18.2</v>
      </c>
      <c r="W2921" s="0" t="str">
        <f aca="false">INDEX(Summary!$S$2:$S$201,MATCH($B2921,Summary!$A$2:$A$201,0))</f>
        <v>Bronze</v>
      </c>
      <c r="X2921" s="2" t="n">
        <f aca="false">INDEX(Summary!$T$2:$T$201,MATCH($B2921,Summary!$A$2:$A$201,0))</f>
        <v>44.39</v>
      </c>
      <c r="Y2921" s="0" t="str">
        <f aca="false">INDEX('Reward Model'!$E$18:$E$37,MATCH($E2921,'Reward Model'!$A$18:$A$37,0))</f>
        <v>High</v>
      </c>
      <c r="Z2921" s="4" t="n">
        <f aca="false">ROUND(MIN(1,MAX('Reward Model'!$B$2,INDEX('Reward Model'!$C$12:$C$14,MATCH($K2921,'Reward Model'!$A$12:$A$14,0))/$J2921)),3)</f>
        <v>1</v>
      </c>
      <c r="AA2921" s="2" t="n">
        <f aca="false">IF($I2921="Correct",ROUND(INDEX('Reward Model'!$B$12:$B$14,MATCH($K2921,'Reward Model'!$A$12:$A$14,0))*Z2921,2),0)</f>
        <v>3</v>
      </c>
      <c r="AB2921" s="2" t="n">
        <f aca="false">IF($I2921="Correct",ROUND(INDEX('Reward Model'!$B$12:$B$14,MATCH($Y2921,'Reward Model'!$A$12:$A$14,0))*Z2921,2),0)</f>
        <v>3</v>
      </c>
    </row>
    <row r="2922" customFormat="false" ht="15" hidden="false" customHeight="false" outlineLevel="0" collapsed="false">
      <c r="A2922" s="0" t="s">
        <v>424</v>
      </c>
      <c r="B2922" s="0" t="s">
        <v>425</v>
      </c>
      <c r="C2922" s="0" t="s">
        <v>322</v>
      </c>
      <c r="D2922" s="0" t="s">
        <v>189</v>
      </c>
      <c r="E2922" s="0" t="n">
        <v>1</v>
      </c>
      <c r="F2922" s="0" t="s">
        <v>32</v>
      </c>
      <c r="G2922" s="0" t="s">
        <v>33</v>
      </c>
      <c r="H2922" s="0" t="s">
        <v>33</v>
      </c>
      <c r="I2922" s="0" t="s">
        <v>34</v>
      </c>
      <c r="J2922" s="0" t="n">
        <v>1.44</v>
      </c>
      <c r="K2922" s="0" t="s">
        <v>35</v>
      </c>
      <c r="L2922" s="0" t="n">
        <f aca="false">INDEX(Summary!$F$2:$F$201,MATCH($B2922,Summary!$A$2:$A$201,0))</f>
        <v>20</v>
      </c>
      <c r="M2922" s="0" t="n">
        <f aca="false">INDEX(Summary!$I$2:$I$201,MATCH($B2922,Summary!$A$2:$A$201,0))</f>
        <v>1</v>
      </c>
      <c r="N2922" s="0" t="n">
        <f aca="false">INDEX(Summary!$J$2:$J$201,MATCH($B2922,Summary!$A$2:$A$201,0))</f>
        <v>4</v>
      </c>
      <c r="O2922" s="2" t="n">
        <f aca="false">INDEX(Summary!$K$2:$K$201,MATCH($B2922,Summary!$A$2:$A$201,0))</f>
        <v>7.32</v>
      </c>
      <c r="P2922" s="3" t="n">
        <f aca="false">INDEX(Summary!$L$2:$L$201,MATCH($B2922,Summary!$A$2:$A$201,0))</f>
        <v>5</v>
      </c>
      <c r="Q2922" s="3" t="n">
        <f aca="false">INDEX(Summary!$M$2:$M$201,MATCH($B2922,Summary!$A$2:$A$201,0))</f>
        <v>1</v>
      </c>
      <c r="R2922" s="2" t="n">
        <f aca="false">INDEX(Summary!$N$2:$N$201,MATCH($B2922,Summary!$A$2:$A$201,0))</f>
        <v>10.2</v>
      </c>
      <c r="S2922" s="3" t="n">
        <f aca="false">INDEX(Summary!$O$2:$O$201,MATCH($B2922,Summary!$A$2:$A$201,0))</f>
        <v>8</v>
      </c>
      <c r="T2922" s="3" t="n">
        <f aca="false">INDEX(Summary!$P$2:$P$201,MATCH($B2922,Summary!$A$2:$A$201,0))</f>
        <v>1</v>
      </c>
      <c r="U2922" s="2" t="n">
        <f aca="false">INDEX(Summary!$Q$2:$Q$201,MATCH($B2922,Summary!$A$2:$A$201,0))</f>
        <v>13.17</v>
      </c>
      <c r="V2922" s="2" t="n">
        <f aca="false">INDEX(Summary!$R$2:$R$201,MATCH($B2922,Summary!$A$2:$A$201,0))</f>
        <v>24.21</v>
      </c>
      <c r="W2922" s="0" t="str">
        <f aca="false">INDEX(Summary!$S$2:$S$201,MATCH($B2922,Summary!$A$2:$A$201,0))</f>
        <v>Silver</v>
      </c>
      <c r="X2922" s="2" t="n">
        <f aca="false">INDEX(Summary!$T$2:$T$201,MATCH($B2922,Summary!$A$2:$A$201,0))</f>
        <v>59.05</v>
      </c>
      <c r="Y2922" s="0" t="str">
        <f aca="false">INDEX('Reward Model'!$E$18:$E$37,MATCH($E2922,'Reward Model'!$A$18:$A$37,0))</f>
        <v>Medium</v>
      </c>
      <c r="Z2922" s="4" t="n">
        <f aca="false">ROUND(MIN(1,MAX('Reward Model'!$B$2,INDEX('Reward Model'!$C$12:$C$14,MATCH($K2922,'Reward Model'!$A$12:$A$14,0))/$J2922)),3)</f>
        <v>1</v>
      </c>
      <c r="AA2922" s="2" t="n">
        <f aca="false">IF($I2922="Correct",ROUND(INDEX('Reward Model'!$B$12:$B$14,MATCH($K2922,'Reward Model'!$A$12:$A$14,0))*Z2922,2),0)</f>
        <v>1</v>
      </c>
      <c r="AB2922" s="2" t="n">
        <f aca="false">IF($I2922="Correct",ROUND(INDEX('Reward Model'!$B$12:$B$14,MATCH($Y2922,'Reward Model'!$A$12:$A$14,0))*Z2922,2),0)</f>
        <v>2</v>
      </c>
    </row>
    <row r="2923" customFormat="false" ht="15" hidden="false" customHeight="false" outlineLevel="0" collapsed="false">
      <c r="A2923" s="0" t="s">
        <v>424</v>
      </c>
      <c r="B2923" s="0" t="s">
        <v>425</v>
      </c>
      <c r="C2923" s="0" t="s">
        <v>322</v>
      </c>
      <c r="D2923" s="0" t="s">
        <v>189</v>
      </c>
      <c r="E2923" s="0" t="n">
        <v>2</v>
      </c>
      <c r="F2923" s="0" t="s">
        <v>36</v>
      </c>
      <c r="G2923" s="0" t="s">
        <v>38</v>
      </c>
      <c r="H2923" s="0" t="s">
        <v>38</v>
      </c>
      <c r="I2923" s="0" t="s">
        <v>34</v>
      </c>
      <c r="J2923" s="0" t="n">
        <v>1.55</v>
      </c>
      <c r="K2923" s="0" t="s">
        <v>35</v>
      </c>
      <c r="L2923" s="0" t="n">
        <f aca="false">INDEX(Summary!$F$2:$F$201,MATCH($B2923,Summary!$A$2:$A$201,0))</f>
        <v>20</v>
      </c>
      <c r="M2923" s="0" t="n">
        <f aca="false">INDEX(Summary!$I$2:$I$201,MATCH($B2923,Summary!$A$2:$A$201,0))</f>
        <v>1</v>
      </c>
      <c r="N2923" s="0" t="n">
        <f aca="false">INDEX(Summary!$J$2:$J$201,MATCH($B2923,Summary!$A$2:$A$201,0))</f>
        <v>4</v>
      </c>
      <c r="O2923" s="2" t="n">
        <f aca="false">INDEX(Summary!$K$2:$K$201,MATCH($B2923,Summary!$A$2:$A$201,0))</f>
        <v>7.32</v>
      </c>
      <c r="P2923" s="3" t="n">
        <f aca="false">INDEX(Summary!$L$2:$L$201,MATCH($B2923,Summary!$A$2:$A$201,0))</f>
        <v>5</v>
      </c>
      <c r="Q2923" s="3" t="n">
        <f aca="false">INDEX(Summary!$M$2:$M$201,MATCH($B2923,Summary!$A$2:$A$201,0))</f>
        <v>1</v>
      </c>
      <c r="R2923" s="2" t="n">
        <f aca="false">INDEX(Summary!$N$2:$N$201,MATCH($B2923,Summary!$A$2:$A$201,0))</f>
        <v>10.2</v>
      </c>
      <c r="S2923" s="3" t="n">
        <f aca="false">INDEX(Summary!$O$2:$O$201,MATCH($B2923,Summary!$A$2:$A$201,0))</f>
        <v>8</v>
      </c>
      <c r="T2923" s="3" t="n">
        <f aca="false">INDEX(Summary!$P$2:$P$201,MATCH($B2923,Summary!$A$2:$A$201,0))</f>
        <v>1</v>
      </c>
      <c r="U2923" s="2" t="n">
        <f aca="false">INDEX(Summary!$Q$2:$Q$201,MATCH($B2923,Summary!$A$2:$A$201,0))</f>
        <v>13.17</v>
      </c>
      <c r="V2923" s="2" t="n">
        <f aca="false">INDEX(Summary!$R$2:$R$201,MATCH($B2923,Summary!$A$2:$A$201,0))</f>
        <v>24.21</v>
      </c>
      <c r="W2923" s="0" t="str">
        <f aca="false">INDEX(Summary!$S$2:$S$201,MATCH($B2923,Summary!$A$2:$A$201,0))</f>
        <v>Silver</v>
      </c>
      <c r="X2923" s="2" t="n">
        <f aca="false">INDEX(Summary!$T$2:$T$201,MATCH($B2923,Summary!$A$2:$A$201,0))</f>
        <v>59.05</v>
      </c>
      <c r="Y2923" s="0" t="str">
        <f aca="false">INDEX('Reward Model'!$E$18:$E$37,MATCH($E2923,'Reward Model'!$A$18:$A$37,0))</f>
        <v>Low</v>
      </c>
      <c r="Z2923" s="4" t="n">
        <f aca="false">ROUND(MIN(1,MAX('Reward Model'!$B$2,INDEX('Reward Model'!$C$12:$C$14,MATCH($K2923,'Reward Model'!$A$12:$A$14,0))/$J2923)),3)</f>
        <v>0.968</v>
      </c>
      <c r="AA2923" s="2" t="n">
        <f aca="false">IF($I2923="Correct",ROUND(INDEX('Reward Model'!$B$12:$B$14,MATCH($K2923,'Reward Model'!$A$12:$A$14,0))*Z2923,2),0)</f>
        <v>0.97</v>
      </c>
      <c r="AB2923" s="2" t="n">
        <f aca="false">IF($I2923="Correct",ROUND(INDEX('Reward Model'!$B$12:$B$14,MATCH($Y2923,'Reward Model'!$A$12:$A$14,0))*Z2923,2),0)</f>
        <v>0.97</v>
      </c>
    </row>
    <row r="2924" customFormat="false" ht="15" hidden="false" customHeight="false" outlineLevel="0" collapsed="false">
      <c r="A2924" s="0" t="s">
        <v>424</v>
      </c>
      <c r="B2924" s="0" t="s">
        <v>425</v>
      </c>
      <c r="C2924" s="0" t="s">
        <v>322</v>
      </c>
      <c r="D2924" s="0" t="s">
        <v>189</v>
      </c>
      <c r="E2924" s="0" t="n">
        <v>3</v>
      </c>
      <c r="F2924" s="0" t="s">
        <v>40</v>
      </c>
      <c r="G2924" s="0" t="s">
        <v>42</v>
      </c>
      <c r="H2924" s="0" t="s">
        <v>42</v>
      </c>
      <c r="I2924" s="0" t="s">
        <v>34</v>
      </c>
      <c r="J2924" s="0" t="n">
        <v>1.44</v>
      </c>
      <c r="K2924" s="0" t="s">
        <v>35</v>
      </c>
      <c r="L2924" s="0" t="n">
        <f aca="false">INDEX(Summary!$F$2:$F$201,MATCH($B2924,Summary!$A$2:$A$201,0))</f>
        <v>20</v>
      </c>
      <c r="M2924" s="0" t="n">
        <f aca="false">INDEX(Summary!$I$2:$I$201,MATCH($B2924,Summary!$A$2:$A$201,0))</f>
        <v>1</v>
      </c>
      <c r="N2924" s="0" t="n">
        <f aca="false">INDEX(Summary!$J$2:$J$201,MATCH($B2924,Summary!$A$2:$A$201,0))</f>
        <v>4</v>
      </c>
      <c r="O2924" s="2" t="n">
        <f aca="false">INDEX(Summary!$K$2:$K$201,MATCH($B2924,Summary!$A$2:$A$201,0))</f>
        <v>7.32</v>
      </c>
      <c r="P2924" s="3" t="n">
        <f aca="false">INDEX(Summary!$L$2:$L$201,MATCH($B2924,Summary!$A$2:$A$201,0))</f>
        <v>5</v>
      </c>
      <c r="Q2924" s="3" t="n">
        <f aca="false">INDEX(Summary!$M$2:$M$201,MATCH($B2924,Summary!$A$2:$A$201,0))</f>
        <v>1</v>
      </c>
      <c r="R2924" s="2" t="n">
        <f aca="false">INDEX(Summary!$N$2:$N$201,MATCH($B2924,Summary!$A$2:$A$201,0))</f>
        <v>10.2</v>
      </c>
      <c r="S2924" s="3" t="n">
        <f aca="false">INDEX(Summary!$O$2:$O$201,MATCH($B2924,Summary!$A$2:$A$201,0))</f>
        <v>8</v>
      </c>
      <c r="T2924" s="3" t="n">
        <f aca="false">INDEX(Summary!$P$2:$P$201,MATCH($B2924,Summary!$A$2:$A$201,0))</f>
        <v>1</v>
      </c>
      <c r="U2924" s="2" t="n">
        <f aca="false">INDEX(Summary!$Q$2:$Q$201,MATCH($B2924,Summary!$A$2:$A$201,0))</f>
        <v>13.17</v>
      </c>
      <c r="V2924" s="2" t="n">
        <f aca="false">INDEX(Summary!$R$2:$R$201,MATCH($B2924,Summary!$A$2:$A$201,0))</f>
        <v>24.21</v>
      </c>
      <c r="W2924" s="0" t="str">
        <f aca="false">INDEX(Summary!$S$2:$S$201,MATCH($B2924,Summary!$A$2:$A$201,0))</f>
        <v>Silver</v>
      </c>
      <c r="X2924" s="2" t="n">
        <f aca="false">INDEX(Summary!$T$2:$T$201,MATCH($B2924,Summary!$A$2:$A$201,0))</f>
        <v>59.05</v>
      </c>
      <c r="Y2924" s="0" t="str">
        <f aca="false">INDEX('Reward Model'!$E$18:$E$37,MATCH($E2924,'Reward Model'!$A$18:$A$37,0))</f>
        <v>Medium</v>
      </c>
      <c r="Z2924" s="4" t="n">
        <f aca="false">ROUND(MIN(1,MAX('Reward Model'!$B$2,INDEX('Reward Model'!$C$12:$C$14,MATCH($K2924,'Reward Model'!$A$12:$A$14,0))/$J2924)),3)</f>
        <v>1</v>
      </c>
      <c r="AA2924" s="2" t="n">
        <f aca="false">IF($I2924="Correct",ROUND(INDEX('Reward Model'!$B$12:$B$14,MATCH($K2924,'Reward Model'!$A$12:$A$14,0))*Z2924,2),0)</f>
        <v>1</v>
      </c>
      <c r="AB2924" s="2" t="n">
        <f aca="false">IF($I2924="Correct",ROUND(INDEX('Reward Model'!$B$12:$B$14,MATCH($Y2924,'Reward Model'!$A$12:$A$14,0))*Z2924,2),0)</f>
        <v>2</v>
      </c>
    </row>
    <row r="2925" customFormat="false" ht="15" hidden="false" customHeight="false" outlineLevel="0" collapsed="false">
      <c r="A2925" s="0" t="s">
        <v>424</v>
      </c>
      <c r="B2925" s="0" t="s">
        <v>425</v>
      </c>
      <c r="C2925" s="0" t="s">
        <v>322</v>
      </c>
      <c r="D2925" s="0" t="s">
        <v>189</v>
      </c>
      <c r="E2925" s="0" t="n">
        <v>4</v>
      </c>
      <c r="F2925" s="0" t="s">
        <v>43</v>
      </c>
      <c r="G2925" s="0" t="s">
        <v>45</v>
      </c>
      <c r="H2925" s="0" t="s">
        <v>45</v>
      </c>
      <c r="I2925" s="0" t="s">
        <v>34</v>
      </c>
      <c r="J2925" s="0" t="n">
        <v>1.83</v>
      </c>
      <c r="K2925" s="0" t="s">
        <v>35</v>
      </c>
      <c r="L2925" s="0" t="n">
        <f aca="false">INDEX(Summary!$F$2:$F$201,MATCH($B2925,Summary!$A$2:$A$201,0))</f>
        <v>20</v>
      </c>
      <c r="M2925" s="0" t="n">
        <f aca="false">INDEX(Summary!$I$2:$I$201,MATCH($B2925,Summary!$A$2:$A$201,0))</f>
        <v>1</v>
      </c>
      <c r="N2925" s="0" t="n">
        <f aca="false">INDEX(Summary!$J$2:$J$201,MATCH($B2925,Summary!$A$2:$A$201,0))</f>
        <v>4</v>
      </c>
      <c r="O2925" s="2" t="n">
        <f aca="false">INDEX(Summary!$K$2:$K$201,MATCH($B2925,Summary!$A$2:$A$201,0))</f>
        <v>7.32</v>
      </c>
      <c r="P2925" s="3" t="n">
        <f aca="false">INDEX(Summary!$L$2:$L$201,MATCH($B2925,Summary!$A$2:$A$201,0))</f>
        <v>5</v>
      </c>
      <c r="Q2925" s="3" t="n">
        <f aca="false">INDEX(Summary!$M$2:$M$201,MATCH($B2925,Summary!$A$2:$A$201,0))</f>
        <v>1</v>
      </c>
      <c r="R2925" s="2" t="n">
        <f aca="false">INDEX(Summary!$N$2:$N$201,MATCH($B2925,Summary!$A$2:$A$201,0))</f>
        <v>10.2</v>
      </c>
      <c r="S2925" s="3" t="n">
        <f aca="false">INDEX(Summary!$O$2:$O$201,MATCH($B2925,Summary!$A$2:$A$201,0))</f>
        <v>8</v>
      </c>
      <c r="T2925" s="3" t="n">
        <f aca="false">INDEX(Summary!$P$2:$P$201,MATCH($B2925,Summary!$A$2:$A$201,0))</f>
        <v>1</v>
      </c>
      <c r="U2925" s="2" t="n">
        <f aca="false">INDEX(Summary!$Q$2:$Q$201,MATCH($B2925,Summary!$A$2:$A$201,0))</f>
        <v>13.17</v>
      </c>
      <c r="V2925" s="2" t="n">
        <f aca="false">INDEX(Summary!$R$2:$R$201,MATCH($B2925,Summary!$A$2:$A$201,0))</f>
        <v>24.21</v>
      </c>
      <c r="W2925" s="0" t="str">
        <f aca="false">INDEX(Summary!$S$2:$S$201,MATCH($B2925,Summary!$A$2:$A$201,0))</f>
        <v>Silver</v>
      </c>
      <c r="X2925" s="2" t="n">
        <f aca="false">INDEX(Summary!$T$2:$T$201,MATCH($B2925,Summary!$A$2:$A$201,0))</f>
        <v>59.05</v>
      </c>
      <c r="Y2925" s="0" t="str">
        <f aca="false">INDEX('Reward Model'!$E$18:$E$37,MATCH($E2925,'Reward Model'!$A$18:$A$37,0))</f>
        <v>Low</v>
      </c>
      <c r="Z2925" s="4" t="n">
        <f aca="false">ROUND(MIN(1,MAX('Reward Model'!$B$2,INDEX('Reward Model'!$C$12:$C$14,MATCH($K2925,'Reward Model'!$A$12:$A$14,0))/$J2925)),3)</f>
        <v>0.82</v>
      </c>
      <c r="AA2925" s="2" t="n">
        <f aca="false">IF($I2925="Correct",ROUND(INDEX('Reward Model'!$B$12:$B$14,MATCH($K2925,'Reward Model'!$A$12:$A$14,0))*Z2925,2),0)</f>
        <v>0.82</v>
      </c>
      <c r="AB2925" s="2" t="n">
        <f aca="false">IF($I2925="Correct",ROUND(INDEX('Reward Model'!$B$12:$B$14,MATCH($Y2925,'Reward Model'!$A$12:$A$14,0))*Z2925,2),0)</f>
        <v>0.82</v>
      </c>
    </row>
    <row r="2926" customFormat="false" ht="15" hidden="false" customHeight="false" outlineLevel="0" collapsed="false">
      <c r="A2926" s="0" t="s">
        <v>424</v>
      </c>
      <c r="B2926" s="0" t="s">
        <v>425</v>
      </c>
      <c r="C2926" s="0" t="s">
        <v>322</v>
      </c>
      <c r="D2926" s="0" t="s">
        <v>189</v>
      </c>
      <c r="E2926" s="0" t="n">
        <v>5</v>
      </c>
      <c r="F2926" s="0" t="s">
        <v>46</v>
      </c>
      <c r="G2926" s="0" t="s">
        <v>47</v>
      </c>
      <c r="H2926" s="0" t="s">
        <v>47</v>
      </c>
      <c r="I2926" s="0" t="s">
        <v>34</v>
      </c>
      <c r="J2926" s="0" t="n">
        <v>1.45</v>
      </c>
      <c r="K2926" s="0" t="s">
        <v>35</v>
      </c>
      <c r="L2926" s="0" t="n">
        <f aca="false">INDEX(Summary!$F$2:$F$201,MATCH($B2926,Summary!$A$2:$A$201,0))</f>
        <v>20</v>
      </c>
      <c r="M2926" s="0" t="n">
        <f aca="false">INDEX(Summary!$I$2:$I$201,MATCH($B2926,Summary!$A$2:$A$201,0))</f>
        <v>1</v>
      </c>
      <c r="N2926" s="0" t="n">
        <f aca="false">INDEX(Summary!$J$2:$J$201,MATCH($B2926,Summary!$A$2:$A$201,0))</f>
        <v>4</v>
      </c>
      <c r="O2926" s="2" t="n">
        <f aca="false">INDEX(Summary!$K$2:$K$201,MATCH($B2926,Summary!$A$2:$A$201,0))</f>
        <v>7.32</v>
      </c>
      <c r="P2926" s="3" t="n">
        <f aca="false">INDEX(Summary!$L$2:$L$201,MATCH($B2926,Summary!$A$2:$A$201,0))</f>
        <v>5</v>
      </c>
      <c r="Q2926" s="3" t="n">
        <f aca="false">INDEX(Summary!$M$2:$M$201,MATCH($B2926,Summary!$A$2:$A$201,0))</f>
        <v>1</v>
      </c>
      <c r="R2926" s="2" t="n">
        <f aca="false">INDEX(Summary!$N$2:$N$201,MATCH($B2926,Summary!$A$2:$A$201,0))</f>
        <v>10.2</v>
      </c>
      <c r="S2926" s="3" t="n">
        <f aca="false">INDEX(Summary!$O$2:$O$201,MATCH($B2926,Summary!$A$2:$A$201,0))</f>
        <v>8</v>
      </c>
      <c r="T2926" s="3" t="n">
        <f aca="false">INDEX(Summary!$P$2:$P$201,MATCH($B2926,Summary!$A$2:$A$201,0))</f>
        <v>1</v>
      </c>
      <c r="U2926" s="2" t="n">
        <f aca="false">INDEX(Summary!$Q$2:$Q$201,MATCH($B2926,Summary!$A$2:$A$201,0))</f>
        <v>13.17</v>
      </c>
      <c r="V2926" s="2" t="n">
        <f aca="false">INDEX(Summary!$R$2:$R$201,MATCH($B2926,Summary!$A$2:$A$201,0))</f>
        <v>24.21</v>
      </c>
      <c r="W2926" s="0" t="str">
        <f aca="false">INDEX(Summary!$S$2:$S$201,MATCH($B2926,Summary!$A$2:$A$201,0))</f>
        <v>Silver</v>
      </c>
      <c r="X2926" s="2" t="n">
        <f aca="false">INDEX(Summary!$T$2:$T$201,MATCH($B2926,Summary!$A$2:$A$201,0))</f>
        <v>59.05</v>
      </c>
      <c r="Y2926" s="0" t="str">
        <f aca="false">INDEX('Reward Model'!$E$18:$E$37,MATCH($E2926,'Reward Model'!$A$18:$A$37,0))</f>
        <v>Low</v>
      </c>
      <c r="Z2926" s="4" t="n">
        <f aca="false">ROUND(MIN(1,MAX('Reward Model'!$B$2,INDEX('Reward Model'!$C$12:$C$14,MATCH($K2926,'Reward Model'!$A$12:$A$14,0))/$J2926)),3)</f>
        <v>1</v>
      </c>
      <c r="AA2926" s="2" t="n">
        <f aca="false">IF($I2926="Correct",ROUND(INDEX('Reward Model'!$B$12:$B$14,MATCH($K2926,'Reward Model'!$A$12:$A$14,0))*Z2926,2),0)</f>
        <v>1</v>
      </c>
      <c r="AB2926" s="2" t="n">
        <f aca="false">IF($I2926="Correct",ROUND(INDEX('Reward Model'!$B$12:$B$14,MATCH($Y2926,'Reward Model'!$A$12:$A$14,0))*Z2926,2),0)</f>
        <v>1</v>
      </c>
    </row>
    <row r="2927" customFormat="false" ht="15" hidden="false" customHeight="false" outlineLevel="0" collapsed="false">
      <c r="A2927" s="0" t="s">
        <v>424</v>
      </c>
      <c r="B2927" s="0" t="s">
        <v>425</v>
      </c>
      <c r="C2927" s="0" t="s">
        <v>322</v>
      </c>
      <c r="D2927" s="0" t="s">
        <v>189</v>
      </c>
      <c r="E2927" s="0" t="n">
        <v>6</v>
      </c>
      <c r="F2927" s="0" t="s">
        <v>48</v>
      </c>
      <c r="G2927" s="0" t="s">
        <v>49</v>
      </c>
      <c r="H2927" s="0" t="s">
        <v>49</v>
      </c>
      <c r="I2927" s="0" t="s">
        <v>34</v>
      </c>
      <c r="J2927" s="0" t="n">
        <v>1.38</v>
      </c>
      <c r="K2927" s="0" t="s">
        <v>35</v>
      </c>
      <c r="L2927" s="0" t="n">
        <f aca="false">INDEX(Summary!$F$2:$F$201,MATCH($B2927,Summary!$A$2:$A$201,0))</f>
        <v>20</v>
      </c>
      <c r="M2927" s="0" t="n">
        <f aca="false">INDEX(Summary!$I$2:$I$201,MATCH($B2927,Summary!$A$2:$A$201,0))</f>
        <v>1</v>
      </c>
      <c r="N2927" s="0" t="n">
        <f aca="false">INDEX(Summary!$J$2:$J$201,MATCH($B2927,Summary!$A$2:$A$201,0))</f>
        <v>4</v>
      </c>
      <c r="O2927" s="2" t="n">
        <f aca="false">INDEX(Summary!$K$2:$K$201,MATCH($B2927,Summary!$A$2:$A$201,0))</f>
        <v>7.32</v>
      </c>
      <c r="P2927" s="3" t="n">
        <f aca="false">INDEX(Summary!$L$2:$L$201,MATCH($B2927,Summary!$A$2:$A$201,0))</f>
        <v>5</v>
      </c>
      <c r="Q2927" s="3" t="n">
        <f aca="false">INDEX(Summary!$M$2:$M$201,MATCH($B2927,Summary!$A$2:$A$201,0))</f>
        <v>1</v>
      </c>
      <c r="R2927" s="2" t="n">
        <f aca="false">INDEX(Summary!$N$2:$N$201,MATCH($B2927,Summary!$A$2:$A$201,0))</f>
        <v>10.2</v>
      </c>
      <c r="S2927" s="3" t="n">
        <f aca="false">INDEX(Summary!$O$2:$O$201,MATCH($B2927,Summary!$A$2:$A$201,0))</f>
        <v>8</v>
      </c>
      <c r="T2927" s="3" t="n">
        <f aca="false">INDEX(Summary!$P$2:$P$201,MATCH($B2927,Summary!$A$2:$A$201,0))</f>
        <v>1</v>
      </c>
      <c r="U2927" s="2" t="n">
        <f aca="false">INDEX(Summary!$Q$2:$Q$201,MATCH($B2927,Summary!$A$2:$A$201,0))</f>
        <v>13.17</v>
      </c>
      <c r="V2927" s="2" t="n">
        <f aca="false">INDEX(Summary!$R$2:$R$201,MATCH($B2927,Summary!$A$2:$A$201,0))</f>
        <v>24.21</v>
      </c>
      <c r="W2927" s="0" t="str">
        <f aca="false">INDEX(Summary!$S$2:$S$201,MATCH($B2927,Summary!$A$2:$A$201,0))</f>
        <v>Silver</v>
      </c>
      <c r="X2927" s="2" t="n">
        <f aca="false">INDEX(Summary!$T$2:$T$201,MATCH($B2927,Summary!$A$2:$A$201,0))</f>
        <v>59.05</v>
      </c>
      <c r="Y2927" s="0" t="str">
        <f aca="false">INDEX('Reward Model'!$E$18:$E$37,MATCH($E2927,'Reward Model'!$A$18:$A$37,0))</f>
        <v>Medium</v>
      </c>
      <c r="Z2927" s="4" t="n">
        <f aca="false">ROUND(MIN(1,MAX('Reward Model'!$B$2,INDEX('Reward Model'!$C$12:$C$14,MATCH($K2927,'Reward Model'!$A$12:$A$14,0))/$J2927)),3)</f>
        <v>1</v>
      </c>
      <c r="AA2927" s="2" t="n">
        <f aca="false">IF($I2927="Correct",ROUND(INDEX('Reward Model'!$B$12:$B$14,MATCH($K2927,'Reward Model'!$A$12:$A$14,0))*Z2927,2),0)</f>
        <v>1</v>
      </c>
      <c r="AB2927" s="2" t="n">
        <f aca="false">IF($I2927="Correct",ROUND(INDEX('Reward Model'!$B$12:$B$14,MATCH($Y2927,'Reward Model'!$A$12:$A$14,0))*Z2927,2),0)</f>
        <v>2</v>
      </c>
    </row>
    <row r="2928" customFormat="false" ht="15" hidden="false" customHeight="false" outlineLevel="0" collapsed="false">
      <c r="A2928" s="0" t="s">
        <v>424</v>
      </c>
      <c r="B2928" s="0" t="s">
        <v>425</v>
      </c>
      <c r="C2928" s="0" t="s">
        <v>322</v>
      </c>
      <c r="D2928" s="0" t="s">
        <v>189</v>
      </c>
      <c r="E2928" s="0" t="n">
        <v>7</v>
      </c>
      <c r="F2928" s="0" t="s">
        <v>50</v>
      </c>
      <c r="G2928" s="0" t="s">
        <v>51</v>
      </c>
      <c r="H2928" s="0" t="s">
        <v>51</v>
      </c>
      <c r="I2928" s="0" t="s">
        <v>34</v>
      </c>
      <c r="J2928" s="0" t="n">
        <v>1.04</v>
      </c>
      <c r="K2928" s="0" t="s">
        <v>35</v>
      </c>
      <c r="L2928" s="0" t="n">
        <f aca="false">INDEX(Summary!$F$2:$F$201,MATCH($B2928,Summary!$A$2:$A$201,0))</f>
        <v>20</v>
      </c>
      <c r="M2928" s="0" t="n">
        <f aca="false">INDEX(Summary!$I$2:$I$201,MATCH($B2928,Summary!$A$2:$A$201,0))</f>
        <v>1</v>
      </c>
      <c r="N2928" s="0" t="n">
        <f aca="false">INDEX(Summary!$J$2:$J$201,MATCH($B2928,Summary!$A$2:$A$201,0))</f>
        <v>4</v>
      </c>
      <c r="O2928" s="2" t="n">
        <f aca="false">INDEX(Summary!$K$2:$K$201,MATCH($B2928,Summary!$A$2:$A$201,0))</f>
        <v>7.32</v>
      </c>
      <c r="P2928" s="3" t="n">
        <f aca="false">INDEX(Summary!$L$2:$L$201,MATCH($B2928,Summary!$A$2:$A$201,0))</f>
        <v>5</v>
      </c>
      <c r="Q2928" s="3" t="n">
        <f aca="false">INDEX(Summary!$M$2:$M$201,MATCH($B2928,Summary!$A$2:$A$201,0))</f>
        <v>1</v>
      </c>
      <c r="R2928" s="2" t="n">
        <f aca="false">INDEX(Summary!$N$2:$N$201,MATCH($B2928,Summary!$A$2:$A$201,0))</f>
        <v>10.2</v>
      </c>
      <c r="S2928" s="3" t="n">
        <f aca="false">INDEX(Summary!$O$2:$O$201,MATCH($B2928,Summary!$A$2:$A$201,0))</f>
        <v>8</v>
      </c>
      <c r="T2928" s="3" t="n">
        <f aca="false">INDEX(Summary!$P$2:$P$201,MATCH($B2928,Summary!$A$2:$A$201,0))</f>
        <v>1</v>
      </c>
      <c r="U2928" s="2" t="n">
        <f aca="false">INDEX(Summary!$Q$2:$Q$201,MATCH($B2928,Summary!$A$2:$A$201,0))</f>
        <v>13.17</v>
      </c>
      <c r="V2928" s="2" t="n">
        <f aca="false">INDEX(Summary!$R$2:$R$201,MATCH($B2928,Summary!$A$2:$A$201,0))</f>
        <v>24.21</v>
      </c>
      <c r="W2928" s="0" t="str">
        <f aca="false">INDEX(Summary!$S$2:$S$201,MATCH($B2928,Summary!$A$2:$A$201,0))</f>
        <v>Silver</v>
      </c>
      <c r="X2928" s="2" t="n">
        <f aca="false">INDEX(Summary!$T$2:$T$201,MATCH($B2928,Summary!$A$2:$A$201,0))</f>
        <v>59.05</v>
      </c>
      <c r="Y2928" s="0" t="str">
        <f aca="false">INDEX('Reward Model'!$E$18:$E$37,MATCH($E2928,'Reward Model'!$A$18:$A$37,0))</f>
        <v>Low</v>
      </c>
      <c r="Z2928" s="4" t="n">
        <f aca="false">ROUND(MIN(1,MAX('Reward Model'!$B$2,INDEX('Reward Model'!$C$12:$C$14,MATCH($K2928,'Reward Model'!$A$12:$A$14,0))/$J2928)),3)</f>
        <v>1</v>
      </c>
      <c r="AA2928" s="2" t="n">
        <f aca="false">IF($I2928="Correct",ROUND(INDEX('Reward Model'!$B$12:$B$14,MATCH($K2928,'Reward Model'!$A$12:$A$14,0))*Z2928,2),0)</f>
        <v>1</v>
      </c>
      <c r="AB2928" s="2" t="n">
        <f aca="false">IF($I2928="Correct",ROUND(INDEX('Reward Model'!$B$12:$B$14,MATCH($Y2928,'Reward Model'!$A$12:$A$14,0))*Z2928,2),0)</f>
        <v>1</v>
      </c>
    </row>
    <row r="2929" customFormat="false" ht="15" hidden="false" customHeight="false" outlineLevel="0" collapsed="false">
      <c r="A2929" s="0" t="s">
        <v>424</v>
      </c>
      <c r="B2929" s="0" t="s">
        <v>425</v>
      </c>
      <c r="C2929" s="0" t="s">
        <v>322</v>
      </c>
      <c r="D2929" s="0" t="s">
        <v>189</v>
      </c>
      <c r="E2929" s="0" t="n">
        <v>8</v>
      </c>
      <c r="F2929" s="0" t="s">
        <v>52</v>
      </c>
      <c r="G2929" s="0" t="s">
        <v>54</v>
      </c>
      <c r="H2929" s="0" t="s">
        <v>54</v>
      </c>
      <c r="I2929" s="0" t="s">
        <v>34</v>
      </c>
      <c r="J2929" s="0" t="n">
        <v>1.69</v>
      </c>
      <c r="K2929" s="0" t="s">
        <v>35</v>
      </c>
      <c r="L2929" s="0" t="n">
        <f aca="false">INDEX(Summary!$F$2:$F$201,MATCH($B2929,Summary!$A$2:$A$201,0))</f>
        <v>20</v>
      </c>
      <c r="M2929" s="0" t="n">
        <f aca="false">INDEX(Summary!$I$2:$I$201,MATCH($B2929,Summary!$A$2:$A$201,0))</f>
        <v>1</v>
      </c>
      <c r="N2929" s="0" t="n">
        <f aca="false">INDEX(Summary!$J$2:$J$201,MATCH($B2929,Summary!$A$2:$A$201,0))</f>
        <v>4</v>
      </c>
      <c r="O2929" s="2" t="n">
        <f aca="false">INDEX(Summary!$K$2:$K$201,MATCH($B2929,Summary!$A$2:$A$201,0))</f>
        <v>7.32</v>
      </c>
      <c r="P2929" s="3" t="n">
        <f aca="false">INDEX(Summary!$L$2:$L$201,MATCH($B2929,Summary!$A$2:$A$201,0))</f>
        <v>5</v>
      </c>
      <c r="Q2929" s="3" t="n">
        <f aca="false">INDEX(Summary!$M$2:$M$201,MATCH($B2929,Summary!$A$2:$A$201,0))</f>
        <v>1</v>
      </c>
      <c r="R2929" s="2" t="n">
        <f aca="false">INDEX(Summary!$N$2:$N$201,MATCH($B2929,Summary!$A$2:$A$201,0))</f>
        <v>10.2</v>
      </c>
      <c r="S2929" s="3" t="n">
        <f aca="false">INDEX(Summary!$O$2:$O$201,MATCH($B2929,Summary!$A$2:$A$201,0))</f>
        <v>8</v>
      </c>
      <c r="T2929" s="3" t="n">
        <f aca="false">INDEX(Summary!$P$2:$P$201,MATCH($B2929,Summary!$A$2:$A$201,0))</f>
        <v>1</v>
      </c>
      <c r="U2929" s="2" t="n">
        <f aca="false">INDEX(Summary!$Q$2:$Q$201,MATCH($B2929,Summary!$A$2:$A$201,0))</f>
        <v>13.17</v>
      </c>
      <c r="V2929" s="2" t="n">
        <f aca="false">INDEX(Summary!$R$2:$R$201,MATCH($B2929,Summary!$A$2:$A$201,0))</f>
        <v>24.21</v>
      </c>
      <c r="W2929" s="0" t="str">
        <f aca="false">INDEX(Summary!$S$2:$S$201,MATCH($B2929,Summary!$A$2:$A$201,0))</f>
        <v>Silver</v>
      </c>
      <c r="X2929" s="2" t="n">
        <f aca="false">INDEX(Summary!$T$2:$T$201,MATCH($B2929,Summary!$A$2:$A$201,0))</f>
        <v>59.05</v>
      </c>
      <c r="Y2929" s="0" t="str">
        <f aca="false">INDEX('Reward Model'!$E$18:$E$37,MATCH($E2929,'Reward Model'!$A$18:$A$37,0))</f>
        <v>Medium</v>
      </c>
      <c r="Z2929" s="4" t="n">
        <f aca="false">ROUND(MIN(1,MAX('Reward Model'!$B$2,INDEX('Reward Model'!$C$12:$C$14,MATCH($K2929,'Reward Model'!$A$12:$A$14,0))/$J2929)),3)</f>
        <v>0.888</v>
      </c>
      <c r="AA2929" s="2" t="n">
        <f aca="false">IF($I2929="Correct",ROUND(INDEX('Reward Model'!$B$12:$B$14,MATCH($K2929,'Reward Model'!$A$12:$A$14,0))*Z2929,2),0)</f>
        <v>0.89</v>
      </c>
      <c r="AB2929" s="2" t="n">
        <f aca="false">IF($I2929="Correct",ROUND(INDEX('Reward Model'!$B$12:$B$14,MATCH($Y2929,'Reward Model'!$A$12:$A$14,0))*Z2929,2),0)</f>
        <v>1.78</v>
      </c>
    </row>
    <row r="2930" customFormat="false" ht="15" hidden="false" customHeight="false" outlineLevel="0" collapsed="false">
      <c r="A2930" s="0" t="s">
        <v>424</v>
      </c>
      <c r="B2930" s="0" t="s">
        <v>425</v>
      </c>
      <c r="C2930" s="0" t="s">
        <v>322</v>
      </c>
      <c r="D2930" s="0" t="s">
        <v>189</v>
      </c>
      <c r="E2930" s="0" t="n">
        <v>9</v>
      </c>
      <c r="F2930" s="0" t="s">
        <v>55</v>
      </c>
      <c r="G2930" s="0" t="s">
        <v>108</v>
      </c>
      <c r="H2930" s="0" t="s">
        <v>57</v>
      </c>
      <c r="I2930" s="0" t="s">
        <v>39</v>
      </c>
      <c r="J2930" s="0" t="n">
        <v>1.35</v>
      </c>
      <c r="K2930" s="0" t="s">
        <v>35</v>
      </c>
      <c r="L2930" s="0" t="n">
        <f aca="false">INDEX(Summary!$F$2:$F$201,MATCH($B2930,Summary!$A$2:$A$201,0))</f>
        <v>20</v>
      </c>
      <c r="M2930" s="0" t="n">
        <f aca="false">INDEX(Summary!$I$2:$I$201,MATCH($B2930,Summary!$A$2:$A$201,0))</f>
        <v>1</v>
      </c>
      <c r="N2930" s="0" t="n">
        <f aca="false">INDEX(Summary!$J$2:$J$201,MATCH($B2930,Summary!$A$2:$A$201,0))</f>
        <v>4</v>
      </c>
      <c r="O2930" s="2" t="n">
        <f aca="false">INDEX(Summary!$K$2:$K$201,MATCH($B2930,Summary!$A$2:$A$201,0))</f>
        <v>7.32</v>
      </c>
      <c r="P2930" s="3" t="n">
        <f aca="false">INDEX(Summary!$L$2:$L$201,MATCH($B2930,Summary!$A$2:$A$201,0))</f>
        <v>5</v>
      </c>
      <c r="Q2930" s="3" t="n">
        <f aca="false">INDEX(Summary!$M$2:$M$201,MATCH($B2930,Summary!$A$2:$A$201,0))</f>
        <v>1</v>
      </c>
      <c r="R2930" s="2" t="n">
        <f aca="false">INDEX(Summary!$N$2:$N$201,MATCH($B2930,Summary!$A$2:$A$201,0))</f>
        <v>10.2</v>
      </c>
      <c r="S2930" s="3" t="n">
        <f aca="false">INDEX(Summary!$O$2:$O$201,MATCH($B2930,Summary!$A$2:$A$201,0))</f>
        <v>8</v>
      </c>
      <c r="T2930" s="3" t="n">
        <f aca="false">INDEX(Summary!$P$2:$P$201,MATCH($B2930,Summary!$A$2:$A$201,0))</f>
        <v>1</v>
      </c>
      <c r="U2930" s="2" t="n">
        <f aca="false">INDEX(Summary!$Q$2:$Q$201,MATCH($B2930,Summary!$A$2:$A$201,0))</f>
        <v>13.17</v>
      </c>
      <c r="V2930" s="2" t="n">
        <f aca="false">INDEX(Summary!$R$2:$R$201,MATCH($B2930,Summary!$A$2:$A$201,0))</f>
        <v>24.21</v>
      </c>
      <c r="W2930" s="0" t="str">
        <f aca="false">INDEX(Summary!$S$2:$S$201,MATCH($B2930,Summary!$A$2:$A$201,0))</f>
        <v>Silver</v>
      </c>
      <c r="X2930" s="2" t="n">
        <f aca="false">INDEX(Summary!$T$2:$T$201,MATCH($B2930,Summary!$A$2:$A$201,0))</f>
        <v>59.05</v>
      </c>
      <c r="Y2930" s="0" t="str">
        <f aca="false">INDEX('Reward Model'!$E$18:$E$37,MATCH($E2930,'Reward Model'!$A$18:$A$37,0))</f>
        <v>Medium</v>
      </c>
      <c r="Z2930" s="4" t="n">
        <f aca="false">ROUND(MIN(1,MAX('Reward Model'!$B$2,INDEX('Reward Model'!$C$12:$C$14,MATCH($K2930,'Reward Model'!$A$12:$A$14,0))/$J2930)),3)</f>
        <v>1</v>
      </c>
      <c r="AA2930" s="2" t="n">
        <f aca="false">IF($I2930="Correct",ROUND(INDEX('Reward Model'!$B$12:$B$14,MATCH($K2930,'Reward Model'!$A$12:$A$14,0))*Z2930,2),0)</f>
        <v>0</v>
      </c>
      <c r="AB2930" s="2" t="n">
        <f aca="false">IF($I2930="Correct",ROUND(INDEX('Reward Model'!$B$12:$B$14,MATCH($Y2930,'Reward Model'!$A$12:$A$14,0))*Z2930,2),0)</f>
        <v>0</v>
      </c>
    </row>
    <row r="2931" customFormat="false" ht="15" hidden="false" customHeight="false" outlineLevel="0" collapsed="false">
      <c r="A2931" s="0" t="s">
        <v>424</v>
      </c>
      <c r="B2931" s="0" t="s">
        <v>425</v>
      </c>
      <c r="C2931" s="0" t="s">
        <v>322</v>
      </c>
      <c r="D2931" s="0" t="s">
        <v>189</v>
      </c>
      <c r="E2931" s="0" t="n">
        <v>10</v>
      </c>
      <c r="F2931" s="0" t="s">
        <v>58</v>
      </c>
      <c r="G2931" s="0" t="s">
        <v>59</v>
      </c>
      <c r="H2931" s="0" t="s">
        <v>59</v>
      </c>
      <c r="I2931" s="0" t="s">
        <v>34</v>
      </c>
      <c r="J2931" s="0" t="n">
        <v>1.27</v>
      </c>
      <c r="K2931" s="0" t="s">
        <v>60</v>
      </c>
      <c r="L2931" s="0" t="n">
        <f aca="false">INDEX(Summary!$F$2:$F$201,MATCH($B2931,Summary!$A$2:$A$201,0))</f>
        <v>20</v>
      </c>
      <c r="M2931" s="0" t="n">
        <f aca="false">INDEX(Summary!$I$2:$I$201,MATCH($B2931,Summary!$A$2:$A$201,0))</f>
        <v>1</v>
      </c>
      <c r="N2931" s="0" t="n">
        <f aca="false">INDEX(Summary!$J$2:$J$201,MATCH($B2931,Summary!$A$2:$A$201,0))</f>
        <v>4</v>
      </c>
      <c r="O2931" s="2" t="n">
        <f aca="false">INDEX(Summary!$K$2:$K$201,MATCH($B2931,Summary!$A$2:$A$201,0))</f>
        <v>7.32</v>
      </c>
      <c r="P2931" s="3" t="n">
        <f aca="false">INDEX(Summary!$L$2:$L$201,MATCH($B2931,Summary!$A$2:$A$201,0))</f>
        <v>5</v>
      </c>
      <c r="Q2931" s="3" t="n">
        <f aca="false">INDEX(Summary!$M$2:$M$201,MATCH($B2931,Summary!$A$2:$A$201,0))</f>
        <v>1</v>
      </c>
      <c r="R2931" s="2" t="n">
        <f aca="false">INDEX(Summary!$N$2:$N$201,MATCH($B2931,Summary!$A$2:$A$201,0))</f>
        <v>10.2</v>
      </c>
      <c r="S2931" s="3" t="n">
        <f aca="false">INDEX(Summary!$O$2:$O$201,MATCH($B2931,Summary!$A$2:$A$201,0))</f>
        <v>8</v>
      </c>
      <c r="T2931" s="3" t="n">
        <f aca="false">INDEX(Summary!$P$2:$P$201,MATCH($B2931,Summary!$A$2:$A$201,0))</f>
        <v>1</v>
      </c>
      <c r="U2931" s="2" t="n">
        <f aca="false">INDEX(Summary!$Q$2:$Q$201,MATCH($B2931,Summary!$A$2:$A$201,0))</f>
        <v>13.17</v>
      </c>
      <c r="V2931" s="2" t="n">
        <f aca="false">INDEX(Summary!$R$2:$R$201,MATCH($B2931,Summary!$A$2:$A$201,0))</f>
        <v>24.21</v>
      </c>
      <c r="W2931" s="0" t="str">
        <f aca="false">INDEX(Summary!$S$2:$S$201,MATCH($B2931,Summary!$A$2:$A$201,0))</f>
        <v>Silver</v>
      </c>
      <c r="X2931" s="2" t="n">
        <f aca="false">INDEX(Summary!$T$2:$T$201,MATCH($B2931,Summary!$A$2:$A$201,0))</f>
        <v>59.05</v>
      </c>
      <c r="Y2931" s="0" t="str">
        <f aca="false">INDEX('Reward Model'!$E$18:$E$37,MATCH($E2931,'Reward Model'!$A$18:$A$37,0))</f>
        <v>Medium</v>
      </c>
      <c r="Z2931" s="4" t="n">
        <f aca="false">ROUND(MIN(1,MAX('Reward Model'!$B$2,INDEX('Reward Model'!$C$12:$C$14,MATCH($K2931,'Reward Model'!$A$12:$A$14,0))/$J2931)),3)</f>
        <v>1</v>
      </c>
      <c r="AA2931" s="2" t="n">
        <f aca="false">IF($I2931="Correct",ROUND(INDEX('Reward Model'!$B$12:$B$14,MATCH($K2931,'Reward Model'!$A$12:$A$14,0))*Z2931,2),0)</f>
        <v>2</v>
      </c>
      <c r="AB2931" s="2" t="n">
        <f aca="false">IF($I2931="Correct",ROUND(INDEX('Reward Model'!$B$12:$B$14,MATCH($Y2931,'Reward Model'!$A$12:$A$14,0))*Z2931,2),0)</f>
        <v>2</v>
      </c>
    </row>
    <row r="2932" customFormat="false" ht="15" hidden="false" customHeight="false" outlineLevel="0" collapsed="false">
      <c r="A2932" s="0" t="s">
        <v>424</v>
      </c>
      <c r="B2932" s="0" t="s">
        <v>425</v>
      </c>
      <c r="C2932" s="0" t="s">
        <v>322</v>
      </c>
      <c r="D2932" s="0" t="s">
        <v>189</v>
      </c>
      <c r="E2932" s="0" t="n">
        <v>11</v>
      </c>
      <c r="F2932" s="0" t="s">
        <v>61</v>
      </c>
      <c r="G2932" s="0" t="s">
        <v>62</v>
      </c>
      <c r="H2932" s="0" t="s">
        <v>63</v>
      </c>
      <c r="I2932" s="0" t="s">
        <v>39</v>
      </c>
      <c r="J2932" s="0" t="n">
        <v>2.18</v>
      </c>
      <c r="K2932" s="0" t="s">
        <v>60</v>
      </c>
      <c r="L2932" s="0" t="n">
        <f aca="false">INDEX(Summary!$F$2:$F$201,MATCH($B2932,Summary!$A$2:$A$201,0))</f>
        <v>20</v>
      </c>
      <c r="M2932" s="0" t="n">
        <f aca="false">INDEX(Summary!$I$2:$I$201,MATCH($B2932,Summary!$A$2:$A$201,0))</f>
        <v>1</v>
      </c>
      <c r="N2932" s="0" t="n">
        <f aca="false">INDEX(Summary!$J$2:$J$201,MATCH($B2932,Summary!$A$2:$A$201,0))</f>
        <v>4</v>
      </c>
      <c r="O2932" s="2" t="n">
        <f aca="false">INDEX(Summary!$K$2:$K$201,MATCH($B2932,Summary!$A$2:$A$201,0))</f>
        <v>7.32</v>
      </c>
      <c r="P2932" s="3" t="n">
        <f aca="false">INDEX(Summary!$L$2:$L$201,MATCH($B2932,Summary!$A$2:$A$201,0))</f>
        <v>5</v>
      </c>
      <c r="Q2932" s="3" t="n">
        <f aca="false">INDEX(Summary!$M$2:$M$201,MATCH($B2932,Summary!$A$2:$A$201,0))</f>
        <v>1</v>
      </c>
      <c r="R2932" s="2" t="n">
        <f aca="false">INDEX(Summary!$N$2:$N$201,MATCH($B2932,Summary!$A$2:$A$201,0))</f>
        <v>10.2</v>
      </c>
      <c r="S2932" s="3" t="n">
        <f aca="false">INDEX(Summary!$O$2:$O$201,MATCH($B2932,Summary!$A$2:$A$201,0))</f>
        <v>8</v>
      </c>
      <c r="T2932" s="3" t="n">
        <f aca="false">INDEX(Summary!$P$2:$P$201,MATCH($B2932,Summary!$A$2:$A$201,0))</f>
        <v>1</v>
      </c>
      <c r="U2932" s="2" t="n">
        <f aca="false">INDEX(Summary!$Q$2:$Q$201,MATCH($B2932,Summary!$A$2:$A$201,0))</f>
        <v>13.17</v>
      </c>
      <c r="V2932" s="2" t="n">
        <f aca="false">INDEX(Summary!$R$2:$R$201,MATCH($B2932,Summary!$A$2:$A$201,0))</f>
        <v>24.21</v>
      </c>
      <c r="W2932" s="0" t="str">
        <f aca="false">INDEX(Summary!$S$2:$S$201,MATCH($B2932,Summary!$A$2:$A$201,0))</f>
        <v>Silver</v>
      </c>
      <c r="X2932" s="2" t="n">
        <f aca="false">INDEX(Summary!$T$2:$T$201,MATCH($B2932,Summary!$A$2:$A$201,0))</f>
        <v>59.05</v>
      </c>
      <c r="Y2932" s="0" t="str">
        <f aca="false">INDEX('Reward Model'!$E$18:$E$37,MATCH($E2932,'Reward Model'!$A$18:$A$37,0))</f>
        <v>Medium</v>
      </c>
      <c r="Z2932" s="4" t="n">
        <f aca="false">ROUND(MIN(1,MAX('Reward Model'!$B$2,INDEX('Reward Model'!$C$12:$C$14,MATCH($K2932,'Reward Model'!$A$12:$A$14,0))/$J2932)),3)</f>
        <v>0.826</v>
      </c>
      <c r="AA2932" s="2" t="n">
        <f aca="false">IF($I2932="Correct",ROUND(INDEX('Reward Model'!$B$12:$B$14,MATCH($K2932,'Reward Model'!$A$12:$A$14,0))*Z2932,2),0)</f>
        <v>0</v>
      </c>
      <c r="AB2932" s="2" t="n">
        <f aca="false">IF($I2932="Correct",ROUND(INDEX('Reward Model'!$B$12:$B$14,MATCH($Y2932,'Reward Model'!$A$12:$A$14,0))*Z2932,2),0)</f>
        <v>0</v>
      </c>
    </row>
    <row r="2933" customFormat="false" ht="15" hidden="false" customHeight="false" outlineLevel="0" collapsed="false">
      <c r="A2933" s="0" t="s">
        <v>424</v>
      </c>
      <c r="B2933" s="0" t="s">
        <v>425</v>
      </c>
      <c r="C2933" s="0" t="s">
        <v>322</v>
      </c>
      <c r="D2933" s="0" t="s">
        <v>189</v>
      </c>
      <c r="E2933" s="0" t="n">
        <v>12</v>
      </c>
      <c r="F2933" s="0" t="s">
        <v>64</v>
      </c>
      <c r="G2933" s="0" t="s">
        <v>65</v>
      </c>
      <c r="H2933" s="0" t="s">
        <v>65</v>
      </c>
      <c r="I2933" s="0" t="s">
        <v>34</v>
      </c>
      <c r="J2933" s="0" t="n">
        <v>1.98</v>
      </c>
      <c r="K2933" s="0" t="s">
        <v>60</v>
      </c>
      <c r="L2933" s="0" t="n">
        <f aca="false">INDEX(Summary!$F$2:$F$201,MATCH($B2933,Summary!$A$2:$A$201,0))</f>
        <v>20</v>
      </c>
      <c r="M2933" s="0" t="n">
        <f aca="false">INDEX(Summary!$I$2:$I$201,MATCH($B2933,Summary!$A$2:$A$201,0))</f>
        <v>1</v>
      </c>
      <c r="N2933" s="0" t="n">
        <f aca="false">INDEX(Summary!$J$2:$J$201,MATCH($B2933,Summary!$A$2:$A$201,0))</f>
        <v>4</v>
      </c>
      <c r="O2933" s="2" t="n">
        <f aca="false">INDEX(Summary!$K$2:$K$201,MATCH($B2933,Summary!$A$2:$A$201,0))</f>
        <v>7.32</v>
      </c>
      <c r="P2933" s="3" t="n">
        <f aca="false">INDEX(Summary!$L$2:$L$201,MATCH($B2933,Summary!$A$2:$A$201,0))</f>
        <v>5</v>
      </c>
      <c r="Q2933" s="3" t="n">
        <f aca="false">INDEX(Summary!$M$2:$M$201,MATCH($B2933,Summary!$A$2:$A$201,0))</f>
        <v>1</v>
      </c>
      <c r="R2933" s="2" t="n">
        <f aca="false">INDEX(Summary!$N$2:$N$201,MATCH($B2933,Summary!$A$2:$A$201,0))</f>
        <v>10.2</v>
      </c>
      <c r="S2933" s="3" t="n">
        <f aca="false">INDEX(Summary!$O$2:$O$201,MATCH($B2933,Summary!$A$2:$A$201,0))</f>
        <v>8</v>
      </c>
      <c r="T2933" s="3" t="n">
        <f aca="false">INDEX(Summary!$P$2:$P$201,MATCH($B2933,Summary!$A$2:$A$201,0))</f>
        <v>1</v>
      </c>
      <c r="U2933" s="2" t="n">
        <f aca="false">INDEX(Summary!$Q$2:$Q$201,MATCH($B2933,Summary!$A$2:$A$201,0))</f>
        <v>13.17</v>
      </c>
      <c r="V2933" s="2" t="n">
        <f aca="false">INDEX(Summary!$R$2:$R$201,MATCH($B2933,Summary!$A$2:$A$201,0))</f>
        <v>24.21</v>
      </c>
      <c r="W2933" s="0" t="str">
        <f aca="false">INDEX(Summary!$S$2:$S$201,MATCH($B2933,Summary!$A$2:$A$201,0))</f>
        <v>Silver</v>
      </c>
      <c r="X2933" s="2" t="n">
        <f aca="false">INDEX(Summary!$T$2:$T$201,MATCH($B2933,Summary!$A$2:$A$201,0))</f>
        <v>59.05</v>
      </c>
      <c r="Y2933" s="0" t="str">
        <f aca="false">INDEX('Reward Model'!$E$18:$E$37,MATCH($E2933,'Reward Model'!$A$18:$A$37,0))</f>
        <v>Medium</v>
      </c>
      <c r="Z2933" s="4" t="n">
        <f aca="false">ROUND(MIN(1,MAX('Reward Model'!$B$2,INDEX('Reward Model'!$C$12:$C$14,MATCH($K2933,'Reward Model'!$A$12:$A$14,0))/$J2933)),3)</f>
        <v>0.909</v>
      </c>
      <c r="AA2933" s="2" t="n">
        <f aca="false">IF($I2933="Correct",ROUND(INDEX('Reward Model'!$B$12:$B$14,MATCH($K2933,'Reward Model'!$A$12:$A$14,0))*Z2933,2),0)</f>
        <v>1.82</v>
      </c>
      <c r="AB2933" s="2" t="n">
        <f aca="false">IF($I2933="Correct",ROUND(INDEX('Reward Model'!$B$12:$B$14,MATCH($Y2933,'Reward Model'!$A$12:$A$14,0))*Z2933,2),0)</f>
        <v>1.82</v>
      </c>
    </row>
    <row r="2934" customFormat="false" ht="15" hidden="false" customHeight="false" outlineLevel="0" collapsed="false">
      <c r="A2934" s="0" t="s">
        <v>424</v>
      </c>
      <c r="B2934" s="0" t="s">
        <v>425</v>
      </c>
      <c r="C2934" s="0" t="s">
        <v>322</v>
      </c>
      <c r="D2934" s="0" t="s">
        <v>189</v>
      </c>
      <c r="E2934" s="0" t="n">
        <v>13</v>
      </c>
      <c r="F2934" s="0" t="s">
        <v>66</v>
      </c>
      <c r="G2934" s="0" t="s">
        <v>67</v>
      </c>
      <c r="H2934" s="0" t="s">
        <v>67</v>
      </c>
      <c r="I2934" s="0" t="s">
        <v>34</v>
      </c>
      <c r="J2934" s="0" t="n">
        <v>1.49</v>
      </c>
      <c r="K2934" s="0" t="s">
        <v>60</v>
      </c>
      <c r="L2934" s="0" t="n">
        <f aca="false">INDEX(Summary!$F$2:$F$201,MATCH($B2934,Summary!$A$2:$A$201,0))</f>
        <v>20</v>
      </c>
      <c r="M2934" s="0" t="n">
        <f aca="false">INDEX(Summary!$I$2:$I$201,MATCH($B2934,Summary!$A$2:$A$201,0))</f>
        <v>1</v>
      </c>
      <c r="N2934" s="0" t="n">
        <f aca="false">INDEX(Summary!$J$2:$J$201,MATCH($B2934,Summary!$A$2:$A$201,0))</f>
        <v>4</v>
      </c>
      <c r="O2934" s="2" t="n">
        <f aca="false">INDEX(Summary!$K$2:$K$201,MATCH($B2934,Summary!$A$2:$A$201,0))</f>
        <v>7.32</v>
      </c>
      <c r="P2934" s="3" t="n">
        <f aca="false">INDEX(Summary!$L$2:$L$201,MATCH($B2934,Summary!$A$2:$A$201,0))</f>
        <v>5</v>
      </c>
      <c r="Q2934" s="3" t="n">
        <f aca="false">INDEX(Summary!$M$2:$M$201,MATCH($B2934,Summary!$A$2:$A$201,0))</f>
        <v>1</v>
      </c>
      <c r="R2934" s="2" t="n">
        <f aca="false">INDEX(Summary!$N$2:$N$201,MATCH($B2934,Summary!$A$2:$A$201,0))</f>
        <v>10.2</v>
      </c>
      <c r="S2934" s="3" t="n">
        <f aca="false">INDEX(Summary!$O$2:$O$201,MATCH($B2934,Summary!$A$2:$A$201,0))</f>
        <v>8</v>
      </c>
      <c r="T2934" s="3" t="n">
        <f aca="false">INDEX(Summary!$P$2:$P$201,MATCH($B2934,Summary!$A$2:$A$201,0))</f>
        <v>1</v>
      </c>
      <c r="U2934" s="2" t="n">
        <f aca="false">INDEX(Summary!$Q$2:$Q$201,MATCH($B2934,Summary!$A$2:$A$201,0))</f>
        <v>13.17</v>
      </c>
      <c r="V2934" s="2" t="n">
        <f aca="false">INDEX(Summary!$R$2:$R$201,MATCH($B2934,Summary!$A$2:$A$201,0))</f>
        <v>24.21</v>
      </c>
      <c r="W2934" s="0" t="str">
        <f aca="false">INDEX(Summary!$S$2:$S$201,MATCH($B2934,Summary!$A$2:$A$201,0))</f>
        <v>Silver</v>
      </c>
      <c r="X2934" s="2" t="n">
        <f aca="false">INDEX(Summary!$T$2:$T$201,MATCH($B2934,Summary!$A$2:$A$201,0))</f>
        <v>59.05</v>
      </c>
      <c r="Y2934" s="0" t="str">
        <f aca="false">INDEX('Reward Model'!$E$18:$E$37,MATCH($E2934,'Reward Model'!$A$18:$A$37,0))</f>
        <v>Medium</v>
      </c>
      <c r="Z2934" s="4" t="n">
        <f aca="false">ROUND(MIN(1,MAX('Reward Model'!$B$2,INDEX('Reward Model'!$C$12:$C$14,MATCH($K2934,'Reward Model'!$A$12:$A$14,0))/$J2934)),3)</f>
        <v>1</v>
      </c>
      <c r="AA2934" s="2" t="n">
        <f aca="false">IF($I2934="Correct",ROUND(INDEX('Reward Model'!$B$12:$B$14,MATCH($K2934,'Reward Model'!$A$12:$A$14,0))*Z2934,2),0)</f>
        <v>2</v>
      </c>
      <c r="AB2934" s="2" t="n">
        <f aca="false">IF($I2934="Correct",ROUND(INDEX('Reward Model'!$B$12:$B$14,MATCH($Y2934,'Reward Model'!$A$12:$A$14,0))*Z2934,2),0)</f>
        <v>2</v>
      </c>
    </row>
    <row r="2935" customFormat="false" ht="15" hidden="false" customHeight="false" outlineLevel="0" collapsed="false">
      <c r="A2935" s="0" t="s">
        <v>424</v>
      </c>
      <c r="B2935" s="0" t="s">
        <v>425</v>
      </c>
      <c r="C2935" s="0" t="s">
        <v>322</v>
      </c>
      <c r="D2935" s="0" t="s">
        <v>189</v>
      </c>
      <c r="E2935" s="0" t="n">
        <v>14</v>
      </c>
      <c r="F2935" s="0" t="s">
        <v>68</v>
      </c>
      <c r="G2935" s="0" t="s">
        <v>51</v>
      </c>
      <c r="H2935" s="0" t="s">
        <v>51</v>
      </c>
      <c r="I2935" s="0" t="s">
        <v>34</v>
      </c>
      <c r="J2935" s="0" t="n">
        <v>1.3</v>
      </c>
      <c r="K2935" s="0" t="s">
        <v>60</v>
      </c>
      <c r="L2935" s="0" t="n">
        <f aca="false">INDEX(Summary!$F$2:$F$201,MATCH($B2935,Summary!$A$2:$A$201,0))</f>
        <v>20</v>
      </c>
      <c r="M2935" s="0" t="n">
        <f aca="false">INDEX(Summary!$I$2:$I$201,MATCH($B2935,Summary!$A$2:$A$201,0))</f>
        <v>1</v>
      </c>
      <c r="N2935" s="0" t="n">
        <f aca="false">INDEX(Summary!$J$2:$J$201,MATCH($B2935,Summary!$A$2:$A$201,0))</f>
        <v>4</v>
      </c>
      <c r="O2935" s="2" t="n">
        <f aca="false">INDEX(Summary!$K$2:$K$201,MATCH($B2935,Summary!$A$2:$A$201,0))</f>
        <v>7.32</v>
      </c>
      <c r="P2935" s="3" t="n">
        <f aca="false">INDEX(Summary!$L$2:$L$201,MATCH($B2935,Summary!$A$2:$A$201,0))</f>
        <v>5</v>
      </c>
      <c r="Q2935" s="3" t="n">
        <f aca="false">INDEX(Summary!$M$2:$M$201,MATCH($B2935,Summary!$A$2:$A$201,0))</f>
        <v>1</v>
      </c>
      <c r="R2935" s="2" t="n">
        <f aca="false">INDEX(Summary!$N$2:$N$201,MATCH($B2935,Summary!$A$2:$A$201,0))</f>
        <v>10.2</v>
      </c>
      <c r="S2935" s="3" t="n">
        <f aca="false">INDEX(Summary!$O$2:$O$201,MATCH($B2935,Summary!$A$2:$A$201,0))</f>
        <v>8</v>
      </c>
      <c r="T2935" s="3" t="n">
        <f aca="false">INDEX(Summary!$P$2:$P$201,MATCH($B2935,Summary!$A$2:$A$201,0))</f>
        <v>1</v>
      </c>
      <c r="U2935" s="2" t="n">
        <f aca="false">INDEX(Summary!$Q$2:$Q$201,MATCH($B2935,Summary!$A$2:$A$201,0))</f>
        <v>13.17</v>
      </c>
      <c r="V2935" s="2" t="n">
        <f aca="false">INDEX(Summary!$R$2:$R$201,MATCH($B2935,Summary!$A$2:$A$201,0))</f>
        <v>24.21</v>
      </c>
      <c r="W2935" s="0" t="str">
        <f aca="false">INDEX(Summary!$S$2:$S$201,MATCH($B2935,Summary!$A$2:$A$201,0))</f>
        <v>Silver</v>
      </c>
      <c r="X2935" s="2" t="n">
        <f aca="false">INDEX(Summary!$T$2:$T$201,MATCH($B2935,Summary!$A$2:$A$201,0))</f>
        <v>59.05</v>
      </c>
      <c r="Y2935" s="0" t="str">
        <f aca="false">INDEX('Reward Model'!$E$18:$E$37,MATCH($E2935,'Reward Model'!$A$18:$A$37,0))</f>
        <v>Medium</v>
      </c>
      <c r="Z2935" s="4" t="n">
        <f aca="false">ROUND(MIN(1,MAX('Reward Model'!$B$2,INDEX('Reward Model'!$C$12:$C$14,MATCH($K2935,'Reward Model'!$A$12:$A$14,0))/$J2935)),3)</f>
        <v>1</v>
      </c>
      <c r="AA2935" s="2" t="n">
        <f aca="false">IF($I2935="Correct",ROUND(INDEX('Reward Model'!$B$12:$B$14,MATCH($K2935,'Reward Model'!$A$12:$A$14,0))*Z2935,2),0)</f>
        <v>2</v>
      </c>
      <c r="AB2935" s="2" t="n">
        <f aca="false">IF($I2935="Correct",ROUND(INDEX('Reward Model'!$B$12:$B$14,MATCH($Y2935,'Reward Model'!$A$12:$A$14,0))*Z2935,2),0)</f>
        <v>2</v>
      </c>
    </row>
    <row r="2936" customFormat="false" ht="15" hidden="false" customHeight="false" outlineLevel="0" collapsed="false">
      <c r="A2936" s="0" t="s">
        <v>424</v>
      </c>
      <c r="B2936" s="0" t="s">
        <v>425</v>
      </c>
      <c r="C2936" s="0" t="s">
        <v>322</v>
      </c>
      <c r="D2936" s="0" t="s">
        <v>189</v>
      </c>
      <c r="E2936" s="0" t="n">
        <v>15</v>
      </c>
      <c r="F2936" s="0" t="s">
        <v>69</v>
      </c>
      <c r="G2936" s="0" t="s">
        <v>70</v>
      </c>
      <c r="H2936" s="0" t="s">
        <v>70</v>
      </c>
      <c r="I2936" s="0" t="s">
        <v>34</v>
      </c>
      <c r="J2936" s="0" t="n">
        <v>1.98</v>
      </c>
      <c r="K2936" s="0" t="s">
        <v>60</v>
      </c>
      <c r="L2936" s="0" t="n">
        <f aca="false">INDEX(Summary!$F$2:$F$201,MATCH($B2936,Summary!$A$2:$A$201,0))</f>
        <v>20</v>
      </c>
      <c r="M2936" s="0" t="n">
        <f aca="false">INDEX(Summary!$I$2:$I$201,MATCH($B2936,Summary!$A$2:$A$201,0))</f>
        <v>1</v>
      </c>
      <c r="N2936" s="0" t="n">
        <f aca="false">INDEX(Summary!$J$2:$J$201,MATCH($B2936,Summary!$A$2:$A$201,0))</f>
        <v>4</v>
      </c>
      <c r="O2936" s="2" t="n">
        <f aca="false">INDEX(Summary!$K$2:$K$201,MATCH($B2936,Summary!$A$2:$A$201,0))</f>
        <v>7.32</v>
      </c>
      <c r="P2936" s="3" t="n">
        <f aca="false">INDEX(Summary!$L$2:$L$201,MATCH($B2936,Summary!$A$2:$A$201,0))</f>
        <v>5</v>
      </c>
      <c r="Q2936" s="3" t="n">
        <f aca="false">INDEX(Summary!$M$2:$M$201,MATCH($B2936,Summary!$A$2:$A$201,0))</f>
        <v>1</v>
      </c>
      <c r="R2936" s="2" t="n">
        <f aca="false">INDEX(Summary!$N$2:$N$201,MATCH($B2936,Summary!$A$2:$A$201,0))</f>
        <v>10.2</v>
      </c>
      <c r="S2936" s="3" t="n">
        <f aca="false">INDEX(Summary!$O$2:$O$201,MATCH($B2936,Summary!$A$2:$A$201,0))</f>
        <v>8</v>
      </c>
      <c r="T2936" s="3" t="n">
        <f aca="false">INDEX(Summary!$P$2:$P$201,MATCH($B2936,Summary!$A$2:$A$201,0))</f>
        <v>1</v>
      </c>
      <c r="U2936" s="2" t="n">
        <f aca="false">INDEX(Summary!$Q$2:$Q$201,MATCH($B2936,Summary!$A$2:$A$201,0))</f>
        <v>13.17</v>
      </c>
      <c r="V2936" s="2" t="n">
        <f aca="false">INDEX(Summary!$R$2:$R$201,MATCH($B2936,Summary!$A$2:$A$201,0))</f>
        <v>24.21</v>
      </c>
      <c r="W2936" s="0" t="str">
        <f aca="false">INDEX(Summary!$S$2:$S$201,MATCH($B2936,Summary!$A$2:$A$201,0))</f>
        <v>Silver</v>
      </c>
      <c r="X2936" s="2" t="n">
        <f aca="false">INDEX(Summary!$T$2:$T$201,MATCH($B2936,Summary!$A$2:$A$201,0))</f>
        <v>59.05</v>
      </c>
      <c r="Y2936" s="0" t="str">
        <f aca="false">INDEX('Reward Model'!$E$18:$E$37,MATCH($E2936,'Reward Model'!$A$18:$A$37,0))</f>
        <v>Medium</v>
      </c>
      <c r="Z2936" s="4" t="n">
        <f aca="false">ROUND(MIN(1,MAX('Reward Model'!$B$2,INDEX('Reward Model'!$C$12:$C$14,MATCH($K2936,'Reward Model'!$A$12:$A$14,0))/$J2936)),3)</f>
        <v>0.909</v>
      </c>
      <c r="AA2936" s="2" t="n">
        <f aca="false">IF($I2936="Correct",ROUND(INDEX('Reward Model'!$B$12:$B$14,MATCH($K2936,'Reward Model'!$A$12:$A$14,0))*Z2936,2),0)</f>
        <v>1.82</v>
      </c>
      <c r="AB2936" s="2" t="n">
        <f aca="false">IF($I2936="Correct",ROUND(INDEX('Reward Model'!$B$12:$B$14,MATCH($Y2936,'Reward Model'!$A$12:$A$14,0))*Z2936,2),0)</f>
        <v>1.82</v>
      </c>
    </row>
    <row r="2937" customFormat="false" ht="15" hidden="false" customHeight="false" outlineLevel="0" collapsed="false">
      <c r="A2937" s="0" t="s">
        <v>424</v>
      </c>
      <c r="B2937" s="0" t="s">
        <v>425</v>
      </c>
      <c r="C2937" s="0" t="s">
        <v>322</v>
      </c>
      <c r="D2937" s="0" t="s">
        <v>189</v>
      </c>
      <c r="E2937" s="0" t="n">
        <v>16</v>
      </c>
      <c r="F2937" s="0" t="s">
        <v>71</v>
      </c>
      <c r="G2937" s="0" t="s">
        <v>87</v>
      </c>
      <c r="H2937" s="0" t="s">
        <v>72</v>
      </c>
      <c r="I2937" s="0" t="s">
        <v>39</v>
      </c>
      <c r="J2937" s="0" t="n">
        <v>1.31</v>
      </c>
      <c r="K2937" s="0" t="s">
        <v>73</v>
      </c>
      <c r="L2937" s="0" t="n">
        <f aca="false">INDEX(Summary!$F$2:$F$201,MATCH($B2937,Summary!$A$2:$A$201,0))</f>
        <v>20</v>
      </c>
      <c r="M2937" s="0" t="n">
        <f aca="false">INDEX(Summary!$I$2:$I$201,MATCH($B2937,Summary!$A$2:$A$201,0))</f>
        <v>1</v>
      </c>
      <c r="N2937" s="0" t="n">
        <f aca="false">INDEX(Summary!$J$2:$J$201,MATCH($B2937,Summary!$A$2:$A$201,0))</f>
        <v>4</v>
      </c>
      <c r="O2937" s="2" t="n">
        <f aca="false">INDEX(Summary!$K$2:$K$201,MATCH($B2937,Summary!$A$2:$A$201,0))</f>
        <v>7.32</v>
      </c>
      <c r="P2937" s="3" t="n">
        <f aca="false">INDEX(Summary!$L$2:$L$201,MATCH($B2937,Summary!$A$2:$A$201,0))</f>
        <v>5</v>
      </c>
      <c r="Q2937" s="3" t="n">
        <f aca="false">INDEX(Summary!$M$2:$M$201,MATCH($B2937,Summary!$A$2:$A$201,0))</f>
        <v>1</v>
      </c>
      <c r="R2937" s="2" t="n">
        <f aca="false">INDEX(Summary!$N$2:$N$201,MATCH($B2937,Summary!$A$2:$A$201,0))</f>
        <v>10.2</v>
      </c>
      <c r="S2937" s="3" t="n">
        <f aca="false">INDEX(Summary!$O$2:$O$201,MATCH($B2937,Summary!$A$2:$A$201,0))</f>
        <v>8</v>
      </c>
      <c r="T2937" s="3" t="n">
        <f aca="false">INDEX(Summary!$P$2:$P$201,MATCH($B2937,Summary!$A$2:$A$201,0))</f>
        <v>1</v>
      </c>
      <c r="U2937" s="2" t="n">
        <f aca="false">INDEX(Summary!$Q$2:$Q$201,MATCH($B2937,Summary!$A$2:$A$201,0))</f>
        <v>13.17</v>
      </c>
      <c r="V2937" s="2" t="n">
        <f aca="false">INDEX(Summary!$R$2:$R$201,MATCH($B2937,Summary!$A$2:$A$201,0))</f>
        <v>24.21</v>
      </c>
      <c r="W2937" s="0" t="str">
        <f aca="false">INDEX(Summary!$S$2:$S$201,MATCH($B2937,Summary!$A$2:$A$201,0))</f>
        <v>Silver</v>
      </c>
      <c r="X2937" s="2" t="n">
        <f aca="false">INDEX(Summary!$T$2:$T$201,MATCH($B2937,Summary!$A$2:$A$201,0))</f>
        <v>59.05</v>
      </c>
      <c r="Y2937" s="0" t="str">
        <f aca="false">INDEX('Reward Model'!$E$18:$E$37,MATCH($E2937,'Reward Model'!$A$18:$A$37,0))</f>
        <v>High</v>
      </c>
      <c r="Z2937" s="4" t="n">
        <f aca="false">ROUND(MIN(1,MAX('Reward Model'!$B$2,INDEX('Reward Model'!$C$12:$C$14,MATCH($K2937,'Reward Model'!$A$12:$A$14,0))/$J2937)),3)</f>
        <v>1</v>
      </c>
      <c r="AA2937" s="2" t="n">
        <f aca="false">IF($I2937="Correct",ROUND(INDEX('Reward Model'!$B$12:$B$14,MATCH($K2937,'Reward Model'!$A$12:$A$14,0))*Z2937,2),0)</f>
        <v>0</v>
      </c>
      <c r="AB2937" s="2" t="n">
        <f aca="false">IF($I2937="Correct",ROUND(INDEX('Reward Model'!$B$12:$B$14,MATCH($Y2937,'Reward Model'!$A$12:$A$14,0))*Z2937,2),0)</f>
        <v>0</v>
      </c>
    </row>
    <row r="2938" customFormat="false" ht="15" hidden="false" customHeight="false" outlineLevel="0" collapsed="false">
      <c r="A2938" s="0" t="s">
        <v>424</v>
      </c>
      <c r="B2938" s="0" t="s">
        <v>425</v>
      </c>
      <c r="C2938" s="0" t="s">
        <v>322</v>
      </c>
      <c r="D2938" s="0" t="s">
        <v>189</v>
      </c>
      <c r="E2938" s="0" t="n">
        <v>17</v>
      </c>
      <c r="F2938" s="0" t="s">
        <v>74</v>
      </c>
      <c r="G2938" s="0" t="s">
        <v>75</v>
      </c>
      <c r="H2938" s="0" t="s">
        <v>75</v>
      </c>
      <c r="I2938" s="0" t="s">
        <v>34</v>
      </c>
      <c r="J2938" s="0" t="n">
        <v>1.29</v>
      </c>
      <c r="K2938" s="0" t="s">
        <v>73</v>
      </c>
      <c r="L2938" s="0" t="n">
        <f aca="false">INDEX(Summary!$F$2:$F$201,MATCH($B2938,Summary!$A$2:$A$201,0))</f>
        <v>20</v>
      </c>
      <c r="M2938" s="0" t="n">
        <f aca="false">INDEX(Summary!$I$2:$I$201,MATCH($B2938,Summary!$A$2:$A$201,0))</f>
        <v>1</v>
      </c>
      <c r="N2938" s="0" t="n">
        <f aca="false">INDEX(Summary!$J$2:$J$201,MATCH($B2938,Summary!$A$2:$A$201,0))</f>
        <v>4</v>
      </c>
      <c r="O2938" s="2" t="n">
        <f aca="false">INDEX(Summary!$K$2:$K$201,MATCH($B2938,Summary!$A$2:$A$201,0))</f>
        <v>7.32</v>
      </c>
      <c r="P2938" s="3" t="n">
        <f aca="false">INDEX(Summary!$L$2:$L$201,MATCH($B2938,Summary!$A$2:$A$201,0))</f>
        <v>5</v>
      </c>
      <c r="Q2938" s="3" t="n">
        <f aca="false">INDEX(Summary!$M$2:$M$201,MATCH($B2938,Summary!$A$2:$A$201,0))</f>
        <v>1</v>
      </c>
      <c r="R2938" s="2" t="n">
        <f aca="false">INDEX(Summary!$N$2:$N$201,MATCH($B2938,Summary!$A$2:$A$201,0))</f>
        <v>10.2</v>
      </c>
      <c r="S2938" s="3" t="n">
        <f aca="false">INDEX(Summary!$O$2:$O$201,MATCH($B2938,Summary!$A$2:$A$201,0))</f>
        <v>8</v>
      </c>
      <c r="T2938" s="3" t="n">
        <f aca="false">INDEX(Summary!$P$2:$P$201,MATCH($B2938,Summary!$A$2:$A$201,0))</f>
        <v>1</v>
      </c>
      <c r="U2938" s="2" t="n">
        <f aca="false">INDEX(Summary!$Q$2:$Q$201,MATCH($B2938,Summary!$A$2:$A$201,0))</f>
        <v>13.17</v>
      </c>
      <c r="V2938" s="2" t="n">
        <f aca="false">INDEX(Summary!$R$2:$R$201,MATCH($B2938,Summary!$A$2:$A$201,0))</f>
        <v>24.21</v>
      </c>
      <c r="W2938" s="0" t="str">
        <f aca="false">INDEX(Summary!$S$2:$S$201,MATCH($B2938,Summary!$A$2:$A$201,0))</f>
        <v>Silver</v>
      </c>
      <c r="X2938" s="2" t="n">
        <f aca="false">INDEX(Summary!$T$2:$T$201,MATCH($B2938,Summary!$A$2:$A$201,0))</f>
        <v>59.05</v>
      </c>
      <c r="Y2938" s="0" t="str">
        <f aca="false">INDEX('Reward Model'!$E$18:$E$37,MATCH($E2938,'Reward Model'!$A$18:$A$37,0))</f>
        <v>High</v>
      </c>
      <c r="Z2938" s="4" t="n">
        <f aca="false">ROUND(MIN(1,MAX('Reward Model'!$B$2,INDEX('Reward Model'!$C$12:$C$14,MATCH($K2938,'Reward Model'!$A$12:$A$14,0))/$J2938)),3)</f>
        <v>1</v>
      </c>
      <c r="AA2938" s="2" t="n">
        <f aca="false">IF($I2938="Correct",ROUND(INDEX('Reward Model'!$B$12:$B$14,MATCH($K2938,'Reward Model'!$A$12:$A$14,0))*Z2938,2),0)</f>
        <v>3</v>
      </c>
      <c r="AB2938" s="2" t="n">
        <f aca="false">IF($I2938="Correct",ROUND(INDEX('Reward Model'!$B$12:$B$14,MATCH($Y2938,'Reward Model'!$A$12:$A$14,0))*Z2938,2),0)</f>
        <v>3</v>
      </c>
    </row>
    <row r="2939" customFormat="false" ht="15" hidden="false" customHeight="false" outlineLevel="0" collapsed="false">
      <c r="A2939" s="0" t="s">
        <v>424</v>
      </c>
      <c r="B2939" s="0" t="s">
        <v>425</v>
      </c>
      <c r="C2939" s="0" t="s">
        <v>322</v>
      </c>
      <c r="D2939" s="0" t="s">
        <v>189</v>
      </c>
      <c r="E2939" s="0" t="n">
        <v>18</v>
      </c>
      <c r="F2939" s="0" t="s">
        <v>76</v>
      </c>
      <c r="G2939" s="0" t="s">
        <v>128</v>
      </c>
      <c r="H2939" s="0" t="s">
        <v>77</v>
      </c>
      <c r="I2939" s="0" t="s">
        <v>39</v>
      </c>
      <c r="J2939" s="0" t="n">
        <v>1.58</v>
      </c>
      <c r="K2939" s="0" t="s">
        <v>73</v>
      </c>
      <c r="L2939" s="0" t="n">
        <f aca="false">INDEX(Summary!$F$2:$F$201,MATCH($B2939,Summary!$A$2:$A$201,0))</f>
        <v>20</v>
      </c>
      <c r="M2939" s="0" t="n">
        <f aca="false">INDEX(Summary!$I$2:$I$201,MATCH($B2939,Summary!$A$2:$A$201,0))</f>
        <v>1</v>
      </c>
      <c r="N2939" s="0" t="n">
        <f aca="false">INDEX(Summary!$J$2:$J$201,MATCH($B2939,Summary!$A$2:$A$201,0))</f>
        <v>4</v>
      </c>
      <c r="O2939" s="2" t="n">
        <f aca="false">INDEX(Summary!$K$2:$K$201,MATCH($B2939,Summary!$A$2:$A$201,0))</f>
        <v>7.32</v>
      </c>
      <c r="P2939" s="3" t="n">
        <f aca="false">INDEX(Summary!$L$2:$L$201,MATCH($B2939,Summary!$A$2:$A$201,0))</f>
        <v>5</v>
      </c>
      <c r="Q2939" s="3" t="n">
        <f aca="false">INDEX(Summary!$M$2:$M$201,MATCH($B2939,Summary!$A$2:$A$201,0))</f>
        <v>1</v>
      </c>
      <c r="R2939" s="2" t="n">
        <f aca="false">INDEX(Summary!$N$2:$N$201,MATCH($B2939,Summary!$A$2:$A$201,0))</f>
        <v>10.2</v>
      </c>
      <c r="S2939" s="3" t="n">
        <f aca="false">INDEX(Summary!$O$2:$O$201,MATCH($B2939,Summary!$A$2:$A$201,0))</f>
        <v>8</v>
      </c>
      <c r="T2939" s="3" t="n">
        <f aca="false">INDEX(Summary!$P$2:$P$201,MATCH($B2939,Summary!$A$2:$A$201,0))</f>
        <v>1</v>
      </c>
      <c r="U2939" s="2" t="n">
        <f aca="false">INDEX(Summary!$Q$2:$Q$201,MATCH($B2939,Summary!$A$2:$A$201,0))</f>
        <v>13.17</v>
      </c>
      <c r="V2939" s="2" t="n">
        <f aca="false">INDEX(Summary!$R$2:$R$201,MATCH($B2939,Summary!$A$2:$A$201,0))</f>
        <v>24.21</v>
      </c>
      <c r="W2939" s="0" t="str">
        <f aca="false">INDEX(Summary!$S$2:$S$201,MATCH($B2939,Summary!$A$2:$A$201,0))</f>
        <v>Silver</v>
      </c>
      <c r="X2939" s="2" t="n">
        <f aca="false">INDEX(Summary!$T$2:$T$201,MATCH($B2939,Summary!$A$2:$A$201,0))</f>
        <v>59.05</v>
      </c>
      <c r="Y2939" s="0" t="str">
        <f aca="false">INDEX('Reward Model'!$E$18:$E$37,MATCH($E2939,'Reward Model'!$A$18:$A$37,0))</f>
        <v>High</v>
      </c>
      <c r="Z2939" s="4" t="n">
        <f aca="false">ROUND(MIN(1,MAX('Reward Model'!$B$2,INDEX('Reward Model'!$C$12:$C$14,MATCH($K2939,'Reward Model'!$A$12:$A$14,0))/$J2939)),3)</f>
        <v>1</v>
      </c>
      <c r="AA2939" s="2" t="n">
        <f aca="false">IF($I2939="Correct",ROUND(INDEX('Reward Model'!$B$12:$B$14,MATCH($K2939,'Reward Model'!$A$12:$A$14,0))*Z2939,2),0)</f>
        <v>0</v>
      </c>
      <c r="AB2939" s="2" t="n">
        <f aca="false">IF($I2939="Correct",ROUND(INDEX('Reward Model'!$B$12:$B$14,MATCH($Y2939,'Reward Model'!$A$12:$A$14,0))*Z2939,2),0)</f>
        <v>0</v>
      </c>
    </row>
    <row r="2940" customFormat="false" ht="15" hidden="false" customHeight="false" outlineLevel="0" collapsed="false">
      <c r="A2940" s="0" t="s">
        <v>424</v>
      </c>
      <c r="B2940" s="0" t="s">
        <v>425</v>
      </c>
      <c r="C2940" s="0" t="s">
        <v>322</v>
      </c>
      <c r="D2940" s="0" t="s">
        <v>189</v>
      </c>
      <c r="E2940" s="0" t="n">
        <v>19</v>
      </c>
      <c r="F2940" s="0" t="s">
        <v>78</v>
      </c>
      <c r="G2940" s="0" t="s">
        <v>51</v>
      </c>
      <c r="H2940" s="0" t="s">
        <v>80</v>
      </c>
      <c r="I2940" s="0" t="s">
        <v>39</v>
      </c>
      <c r="J2940" s="0" t="n">
        <v>1.28</v>
      </c>
      <c r="K2940" s="0" t="s">
        <v>73</v>
      </c>
      <c r="L2940" s="0" t="n">
        <f aca="false">INDEX(Summary!$F$2:$F$201,MATCH($B2940,Summary!$A$2:$A$201,0))</f>
        <v>20</v>
      </c>
      <c r="M2940" s="0" t="n">
        <f aca="false">INDEX(Summary!$I$2:$I$201,MATCH($B2940,Summary!$A$2:$A$201,0))</f>
        <v>1</v>
      </c>
      <c r="N2940" s="0" t="n">
        <f aca="false">INDEX(Summary!$J$2:$J$201,MATCH($B2940,Summary!$A$2:$A$201,0))</f>
        <v>4</v>
      </c>
      <c r="O2940" s="2" t="n">
        <f aca="false">INDEX(Summary!$K$2:$K$201,MATCH($B2940,Summary!$A$2:$A$201,0))</f>
        <v>7.32</v>
      </c>
      <c r="P2940" s="3" t="n">
        <f aca="false">INDEX(Summary!$L$2:$L$201,MATCH($B2940,Summary!$A$2:$A$201,0))</f>
        <v>5</v>
      </c>
      <c r="Q2940" s="3" t="n">
        <f aca="false">INDEX(Summary!$M$2:$M$201,MATCH($B2940,Summary!$A$2:$A$201,0))</f>
        <v>1</v>
      </c>
      <c r="R2940" s="2" t="n">
        <f aca="false">INDEX(Summary!$N$2:$N$201,MATCH($B2940,Summary!$A$2:$A$201,0))</f>
        <v>10.2</v>
      </c>
      <c r="S2940" s="3" t="n">
        <f aca="false">INDEX(Summary!$O$2:$O$201,MATCH($B2940,Summary!$A$2:$A$201,0))</f>
        <v>8</v>
      </c>
      <c r="T2940" s="3" t="n">
        <f aca="false">INDEX(Summary!$P$2:$P$201,MATCH($B2940,Summary!$A$2:$A$201,0))</f>
        <v>1</v>
      </c>
      <c r="U2940" s="2" t="n">
        <f aca="false">INDEX(Summary!$Q$2:$Q$201,MATCH($B2940,Summary!$A$2:$A$201,0))</f>
        <v>13.17</v>
      </c>
      <c r="V2940" s="2" t="n">
        <f aca="false">INDEX(Summary!$R$2:$R$201,MATCH($B2940,Summary!$A$2:$A$201,0))</f>
        <v>24.21</v>
      </c>
      <c r="W2940" s="0" t="str">
        <f aca="false">INDEX(Summary!$S$2:$S$201,MATCH($B2940,Summary!$A$2:$A$201,0))</f>
        <v>Silver</v>
      </c>
      <c r="X2940" s="2" t="n">
        <f aca="false">INDEX(Summary!$T$2:$T$201,MATCH($B2940,Summary!$A$2:$A$201,0))</f>
        <v>59.05</v>
      </c>
      <c r="Y2940" s="0" t="str">
        <f aca="false">INDEX('Reward Model'!$E$18:$E$37,MATCH($E2940,'Reward Model'!$A$18:$A$37,0))</f>
        <v>High</v>
      </c>
      <c r="Z2940" s="4" t="n">
        <f aca="false">ROUND(MIN(1,MAX('Reward Model'!$B$2,INDEX('Reward Model'!$C$12:$C$14,MATCH($K2940,'Reward Model'!$A$12:$A$14,0))/$J2940)),3)</f>
        <v>1</v>
      </c>
      <c r="AA2940" s="2" t="n">
        <f aca="false">IF($I2940="Correct",ROUND(INDEX('Reward Model'!$B$12:$B$14,MATCH($K2940,'Reward Model'!$A$12:$A$14,0))*Z2940,2),0)</f>
        <v>0</v>
      </c>
      <c r="AB2940" s="2" t="n">
        <f aca="false">IF($I2940="Correct",ROUND(INDEX('Reward Model'!$B$12:$B$14,MATCH($Y2940,'Reward Model'!$A$12:$A$14,0))*Z2940,2),0)</f>
        <v>0</v>
      </c>
    </row>
    <row r="2941" customFormat="false" ht="15" hidden="false" customHeight="false" outlineLevel="0" collapsed="false">
      <c r="A2941" s="0" t="s">
        <v>424</v>
      </c>
      <c r="B2941" s="0" t="s">
        <v>425</v>
      </c>
      <c r="C2941" s="0" t="s">
        <v>322</v>
      </c>
      <c r="D2941" s="0" t="s">
        <v>189</v>
      </c>
      <c r="E2941" s="0" t="n">
        <v>20</v>
      </c>
      <c r="F2941" s="0" t="s">
        <v>81</v>
      </c>
      <c r="G2941" s="0" t="s">
        <v>119</v>
      </c>
      <c r="H2941" s="0" t="s">
        <v>83</v>
      </c>
      <c r="I2941" s="0" t="s">
        <v>39</v>
      </c>
      <c r="J2941" s="0" t="n">
        <v>1.86</v>
      </c>
      <c r="K2941" s="0" t="s">
        <v>73</v>
      </c>
      <c r="L2941" s="0" t="n">
        <f aca="false">INDEX(Summary!$F$2:$F$201,MATCH($B2941,Summary!$A$2:$A$201,0))</f>
        <v>20</v>
      </c>
      <c r="M2941" s="0" t="n">
        <f aca="false">INDEX(Summary!$I$2:$I$201,MATCH($B2941,Summary!$A$2:$A$201,0))</f>
        <v>1</v>
      </c>
      <c r="N2941" s="0" t="n">
        <f aca="false">INDEX(Summary!$J$2:$J$201,MATCH($B2941,Summary!$A$2:$A$201,0))</f>
        <v>4</v>
      </c>
      <c r="O2941" s="2" t="n">
        <f aca="false">INDEX(Summary!$K$2:$K$201,MATCH($B2941,Summary!$A$2:$A$201,0))</f>
        <v>7.32</v>
      </c>
      <c r="P2941" s="3" t="n">
        <f aca="false">INDEX(Summary!$L$2:$L$201,MATCH($B2941,Summary!$A$2:$A$201,0))</f>
        <v>5</v>
      </c>
      <c r="Q2941" s="3" t="n">
        <f aca="false">INDEX(Summary!$M$2:$M$201,MATCH($B2941,Summary!$A$2:$A$201,0))</f>
        <v>1</v>
      </c>
      <c r="R2941" s="2" t="n">
        <f aca="false">INDEX(Summary!$N$2:$N$201,MATCH($B2941,Summary!$A$2:$A$201,0))</f>
        <v>10.2</v>
      </c>
      <c r="S2941" s="3" t="n">
        <f aca="false">INDEX(Summary!$O$2:$O$201,MATCH($B2941,Summary!$A$2:$A$201,0))</f>
        <v>8</v>
      </c>
      <c r="T2941" s="3" t="n">
        <f aca="false">INDEX(Summary!$P$2:$P$201,MATCH($B2941,Summary!$A$2:$A$201,0))</f>
        <v>1</v>
      </c>
      <c r="U2941" s="2" t="n">
        <f aca="false">INDEX(Summary!$Q$2:$Q$201,MATCH($B2941,Summary!$A$2:$A$201,0))</f>
        <v>13.17</v>
      </c>
      <c r="V2941" s="2" t="n">
        <f aca="false">INDEX(Summary!$R$2:$R$201,MATCH($B2941,Summary!$A$2:$A$201,0))</f>
        <v>24.21</v>
      </c>
      <c r="W2941" s="0" t="str">
        <f aca="false">INDEX(Summary!$S$2:$S$201,MATCH($B2941,Summary!$A$2:$A$201,0))</f>
        <v>Silver</v>
      </c>
      <c r="X2941" s="2" t="n">
        <f aca="false">INDEX(Summary!$T$2:$T$201,MATCH($B2941,Summary!$A$2:$A$201,0))</f>
        <v>59.05</v>
      </c>
      <c r="Y2941" s="0" t="str">
        <f aca="false">INDEX('Reward Model'!$E$18:$E$37,MATCH($E2941,'Reward Model'!$A$18:$A$37,0))</f>
        <v>High</v>
      </c>
      <c r="Z2941" s="4" t="n">
        <f aca="false">ROUND(MIN(1,MAX('Reward Model'!$B$2,INDEX('Reward Model'!$C$12:$C$14,MATCH($K2941,'Reward Model'!$A$12:$A$14,0))/$J2941)),3)</f>
        <v>1</v>
      </c>
      <c r="AA2941" s="2" t="n">
        <f aca="false">IF($I2941="Correct",ROUND(INDEX('Reward Model'!$B$12:$B$14,MATCH($K2941,'Reward Model'!$A$12:$A$14,0))*Z2941,2),0)</f>
        <v>0</v>
      </c>
      <c r="AB2941" s="2" t="n">
        <f aca="false">IF($I2941="Correct",ROUND(INDEX('Reward Model'!$B$12:$B$14,MATCH($Y2941,'Reward Model'!$A$12:$A$14,0))*Z2941,2),0)</f>
        <v>0</v>
      </c>
    </row>
    <row r="2942" customFormat="false" ht="15" hidden="false" customHeight="false" outlineLevel="0" collapsed="false">
      <c r="A2942" s="0" t="s">
        <v>426</v>
      </c>
      <c r="B2942" s="0" t="s">
        <v>427</v>
      </c>
      <c r="C2942" s="0" t="s">
        <v>322</v>
      </c>
      <c r="D2942" s="0" t="s">
        <v>189</v>
      </c>
      <c r="E2942" s="0" t="n">
        <v>1</v>
      </c>
      <c r="F2942" s="0" t="s">
        <v>32</v>
      </c>
      <c r="G2942" s="0" t="s">
        <v>33</v>
      </c>
      <c r="H2942" s="0" t="s">
        <v>33</v>
      </c>
      <c r="I2942" s="0" t="s">
        <v>34</v>
      </c>
      <c r="J2942" s="0" t="n">
        <v>1.93</v>
      </c>
      <c r="K2942" s="0" t="s">
        <v>35</v>
      </c>
      <c r="L2942" s="0" t="n">
        <f aca="false">INDEX(Summary!$F$2:$F$201,MATCH($B2942,Summary!$A$2:$A$201,0))</f>
        <v>20</v>
      </c>
      <c r="M2942" s="0" t="n">
        <f aca="false">INDEX(Summary!$I$2:$I$201,MATCH($B2942,Summary!$A$2:$A$201,0))</f>
        <v>2</v>
      </c>
      <c r="N2942" s="0" t="n">
        <f aca="false">INDEX(Summary!$J$2:$J$201,MATCH($B2942,Summary!$A$2:$A$201,0))</f>
        <v>3</v>
      </c>
      <c r="O2942" s="2" t="n">
        <f aca="false">INDEX(Summary!$K$2:$K$201,MATCH($B2942,Summary!$A$2:$A$201,0))</f>
        <v>11</v>
      </c>
      <c r="P2942" s="3" t="n">
        <f aca="false">INDEX(Summary!$L$2:$L$201,MATCH($B2942,Summary!$A$2:$A$201,0))</f>
        <v>4</v>
      </c>
      <c r="Q2942" s="3" t="n">
        <f aca="false">INDEX(Summary!$M$2:$M$201,MATCH($B2942,Summary!$A$2:$A$201,0))</f>
        <v>2</v>
      </c>
      <c r="R2942" s="2" t="n">
        <f aca="false">INDEX(Summary!$N$2:$N$201,MATCH($B2942,Summary!$A$2:$A$201,0))</f>
        <v>10.78</v>
      </c>
      <c r="S2942" s="3" t="n">
        <f aca="false">INDEX(Summary!$O$2:$O$201,MATCH($B2942,Summary!$A$2:$A$201,0))</f>
        <v>7</v>
      </c>
      <c r="T2942" s="3" t="n">
        <f aca="false">INDEX(Summary!$P$2:$P$201,MATCH($B2942,Summary!$A$2:$A$201,0))</f>
        <v>2</v>
      </c>
      <c r="U2942" s="2" t="n">
        <f aca="false">INDEX(Summary!$Q$2:$Q$201,MATCH($B2942,Summary!$A$2:$A$201,0))</f>
        <v>14.27</v>
      </c>
      <c r="V2942" s="2" t="n">
        <f aca="false">INDEX(Summary!$R$2:$R$201,MATCH($B2942,Summary!$A$2:$A$201,0))</f>
        <v>22.34</v>
      </c>
      <c r="W2942" s="0" t="str">
        <f aca="false">INDEX(Summary!$S$2:$S$201,MATCH($B2942,Summary!$A$2:$A$201,0))</f>
        <v>Silver</v>
      </c>
      <c r="X2942" s="2" t="n">
        <f aca="false">INDEX(Summary!$T$2:$T$201,MATCH($B2942,Summary!$A$2:$A$201,0))</f>
        <v>54.49</v>
      </c>
      <c r="Y2942" s="0" t="str">
        <f aca="false">INDEX('Reward Model'!$E$18:$E$37,MATCH($E2942,'Reward Model'!$A$18:$A$37,0))</f>
        <v>Medium</v>
      </c>
      <c r="Z2942" s="4" t="n">
        <f aca="false">ROUND(MIN(1,MAX('Reward Model'!$B$2,INDEX('Reward Model'!$C$12:$C$14,MATCH($K2942,'Reward Model'!$A$12:$A$14,0))/$J2942)),3)</f>
        <v>0.777</v>
      </c>
      <c r="AA2942" s="2" t="n">
        <f aca="false">IF($I2942="Correct",ROUND(INDEX('Reward Model'!$B$12:$B$14,MATCH($K2942,'Reward Model'!$A$12:$A$14,0))*Z2942,2),0)</f>
        <v>0.78</v>
      </c>
      <c r="AB2942" s="2" t="n">
        <f aca="false">IF($I2942="Correct",ROUND(INDEX('Reward Model'!$B$12:$B$14,MATCH($Y2942,'Reward Model'!$A$12:$A$14,0))*Z2942,2),0)</f>
        <v>1.55</v>
      </c>
    </row>
    <row r="2943" customFormat="false" ht="15" hidden="false" customHeight="false" outlineLevel="0" collapsed="false">
      <c r="A2943" s="0" t="s">
        <v>426</v>
      </c>
      <c r="B2943" s="0" t="s">
        <v>427</v>
      </c>
      <c r="C2943" s="0" t="s">
        <v>322</v>
      </c>
      <c r="D2943" s="0" t="s">
        <v>189</v>
      </c>
      <c r="E2943" s="0" t="n">
        <v>2</v>
      </c>
      <c r="F2943" s="0" t="s">
        <v>36</v>
      </c>
      <c r="G2943" s="0" t="s">
        <v>38</v>
      </c>
      <c r="H2943" s="0" t="s">
        <v>38</v>
      </c>
      <c r="I2943" s="0" t="s">
        <v>34</v>
      </c>
      <c r="J2943" s="0" t="n">
        <v>1.96</v>
      </c>
      <c r="K2943" s="0" t="s">
        <v>35</v>
      </c>
      <c r="L2943" s="0" t="n">
        <f aca="false">INDEX(Summary!$F$2:$F$201,MATCH($B2943,Summary!$A$2:$A$201,0))</f>
        <v>20</v>
      </c>
      <c r="M2943" s="0" t="n">
        <f aca="false">INDEX(Summary!$I$2:$I$201,MATCH($B2943,Summary!$A$2:$A$201,0))</f>
        <v>2</v>
      </c>
      <c r="N2943" s="0" t="n">
        <f aca="false">INDEX(Summary!$J$2:$J$201,MATCH($B2943,Summary!$A$2:$A$201,0))</f>
        <v>3</v>
      </c>
      <c r="O2943" s="2" t="n">
        <f aca="false">INDEX(Summary!$K$2:$K$201,MATCH($B2943,Summary!$A$2:$A$201,0))</f>
        <v>11</v>
      </c>
      <c r="P2943" s="3" t="n">
        <f aca="false">INDEX(Summary!$L$2:$L$201,MATCH($B2943,Summary!$A$2:$A$201,0))</f>
        <v>4</v>
      </c>
      <c r="Q2943" s="3" t="n">
        <f aca="false">INDEX(Summary!$M$2:$M$201,MATCH($B2943,Summary!$A$2:$A$201,0))</f>
        <v>2</v>
      </c>
      <c r="R2943" s="2" t="n">
        <f aca="false">INDEX(Summary!$N$2:$N$201,MATCH($B2943,Summary!$A$2:$A$201,0))</f>
        <v>10.78</v>
      </c>
      <c r="S2943" s="3" t="n">
        <f aca="false">INDEX(Summary!$O$2:$O$201,MATCH($B2943,Summary!$A$2:$A$201,0))</f>
        <v>7</v>
      </c>
      <c r="T2943" s="3" t="n">
        <f aca="false">INDEX(Summary!$P$2:$P$201,MATCH($B2943,Summary!$A$2:$A$201,0))</f>
        <v>2</v>
      </c>
      <c r="U2943" s="2" t="n">
        <f aca="false">INDEX(Summary!$Q$2:$Q$201,MATCH($B2943,Summary!$A$2:$A$201,0))</f>
        <v>14.27</v>
      </c>
      <c r="V2943" s="2" t="n">
        <f aca="false">INDEX(Summary!$R$2:$R$201,MATCH($B2943,Summary!$A$2:$A$201,0))</f>
        <v>22.34</v>
      </c>
      <c r="W2943" s="0" t="str">
        <f aca="false">INDEX(Summary!$S$2:$S$201,MATCH($B2943,Summary!$A$2:$A$201,0))</f>
        <v>Silver</v>
      </c>
      <c r="X2943" s="2" t="n">
        <f aca="false">INDEX(Summary!$T$2:$T$201,MATCH($B2943,Summary!$A$2:$A$201,0))</f>
        <v>54.49</v>
      </c>
      <c r="Y2943" s="0" t="str">
        <f aca="false">INDEX('Reward Model'!$E$18:$E$37,MATCH($E2943,'Reward Model'!$A$18:$A$37,0))</f>
        <v>Low</v>
      </c>
      <c r="Z2943" s="4" t="n">
        <f aca="false">ROUND(MIN(1,MAX('Reward Model'!$B$2,INDEX('Reward Model'!$C$12:$C$14,MATCH($K2943,'Reward Model'!$A$12:$A$14,0))/$J2943)),3)</f>
        <v>0.765</v>
      </c>
      <c r="AA2943" s="2" t="n">
        <f aca="false">IF($I2943="Correct",ROUND(INDEX('Reward Model'!$B$12:$B$14,MATCH($K2943,'Reward Model'!$A$12:$A$14,0))*Z2943,2),0)</f>
        <v>0.77</v>
      </c>
      <c r="AB2943" s="2" t="n">
        <f aca="false">IF($I2943="Correct",ROUND(INDEX('Reward Model'!$B$12:$B$14,MATCH($Y2943,'Reward Model'!$A$12:$A$14,0))*Z2943,2),0)</f>
        <v>0.77</v>
      </c>
    </row>
    <row r="2944" customFormat="false" ht="15" hidden="false" customHeight="false" outlineLevel="0" collapsed="false">
      <c r="A2944" s="0" t="s">
        <v>426</v>
      </c>
      <c r="B2944" s="0" t="s">
        <v>427</v>
      </c>
      <c r="C2944" s="0" t="s">
        <v>322</v>
      </c>
      <c r="D2944" s="0" t="s">
        <v>189</v>
      </c>
      <c r="E2944" s="0" t="n">
        <v>3</v>
      </c>
      <c r="F2944" s="0" t="s">
        <v>40</v>
      </c>
      <c r="G2944" s="0" t="s">
        <v>142</v>
      </c>
      <c r="H2944" s="0" t="s">
        <v>42</v>
      </c>
      <c r="I2944" s="0" t="s">
        <v>39</v>
      </c>
      <c r="J2944" s="0" t="n">
        <v>1.36</v>
      </c>
      <c r="K2944" s="0" t="s">
        <v>35</v>
      </c>
      <c r="L2944" s="0" t="n">
        <f aca="false">INDEX(Summary!$F$2:$F$201,MATCH($B2944,Summary!$A$2:$A$201,0))</f>
        <v>20</v>
      </c>
      <c r="M2944" s="0" t="n">
        <f aca="false">INDEX(Summary!$I$2:$I$201,MATCH($B2944,Summary!$A$2:$A$201,0))</f>
        <v>2</v>
      </c>
      <c r="N2944" s="0" t="n">
        <f aca="false">INDEX(Summary!$J$2:$J$201,MATCH($B2944,Summary!$A$2:$A$201,0))</f>
        <v>3</v>
      </c>
      <c r="O2944" s="2" t="n">
        <f aca="false">INDEX(Summary!$K$2:$K$201,MATCH($B2944,Summary!$A$2:$A$201,0))</f>
        <v>11</v>
      </c>
      <c r="P2944" s="3" t="n">
        <f aca="false">INDEX(Summary!$L$2:$L$201,MATCH($B2944,Summary!$A$2:$A$201,0))</f>
        <v>4</v>
      </c>
      <c r="Q2944" s="3" t="n">
        <f aca="false">INDEX(Summary!$M$2:$M$201,MATCH($B2944,Summary!$A$2:$A$201,0))</f>
        <v>2</v>
      </c>
      <c r="R2944" s="2" t="n">
        <f aca="false">INDEX(Summary!$N$2:$N$201,MATCH($B2944,Summary!$A$2:$A$201,0))</f>
        <v>10.78</v>
      </c>
      <c r="S2944" s="3" t="n">
        <f aca="false">INDEX(Summary!$O$2:$O$201,MATCH($B2944,Summary!$A$2:$A$201,0))</f>
        <v>7</v>
      </c>
      <c r="T2944" s="3" t="n">
        <f aca="false">INDEX(Summary!$P$2:$P$201,MATCH($B2944,Summary!$A$2:$A$201,0))</f>
        <v>2</v>
      </c>
      <c r="U2944" s="2" t="n">
        <f aca="false">INDEX(Summary!$Q$2:$Q$201,MATCH($B2944,Summary!$A$2:$A$201,0))</f>
        <v>14.27</v>
      </c>
      <c r="V2944" s="2" t="n">
        <f aca="false">INDEX(Summary!$R$2:$R$201,MATCH($B2944,Summary!$A$2:$A$201,0))</f>
        <v>22.34</v>
      </c>
      <c r="W2944" s="0" t="str">
        <f aca="false">INDEX(Summary!$S$2:$S$201,MATCH($B2944,Summary!$A$2:$A$201,0))</f>
        <v>Silver</v>
      </c>
      <c r="X2944" s="2" t="n">
        <f aca="false">INDEX(Summary!$T$2:$T$201,MATCH($B2944,Summary!$A$2:$A$201,0))</f>
        <v>54.49</v>
      </c>
      <c r="Y2944" s="0" t="str">
        <f aca="false">INDEX('Reward Model'!$E$18:$E$37,MATCH($E2944,'Reward Model'!$A$18:$A$37,0))</f>
        <v>Medium</v>
      </c>
      <c r="Z2944" s="4" t="n">
        <f aca="false">ROUND(MIN(1,MAX('Reward Model'!$B$2,INDEX('Reward Model'!$C$12:$C$14,MATCH($K2944,'Reward Model'!$A$12:$A$14,0))/$J2944)),3)</f>
        <v>1</v>
      </c>
      <c r="AA2944" s="2" t="n">
        <f aca="false">IF($I2944="Correct",ROUND(INDEX('Reward Model'!$B$12:$B$14,MATCH($K2944,'Reward Model'!$A$12:$A$14,0))*Z2944,2),0)</f>
        <v>0</v>
      </c>
      <c r="AB2944" s="2" t="n">
        <f aca="false">IF($I2944="Correct",ROUND(INDEX('Reward Model'!$B$12:$B$14,MATCH($Y2944,'Reward Model'!$A$12:$A$14,0))*Z2944,2),0)</f>
        <v>0</v>
      </c>
    </row>
    <row r="2945" customFormat="false" ht="15" hidden="false" customHeight="false" outlineLevel="0" collapsed="false">
      <c r="A2945" s="0" t="s">
        <v>426</v>
      </c>
      <c r="B2945" s="0" t="s">
        <v>427</v>
      </c>
      <c r="C2945" s="0" t="s">
        <v>322</v>
      </c>
      <c r="D2945" s="0" t="s">
        <v>189</v>
      </c>
      <c r="E2945" s="0" t="n">
        <v>4</v>
      </c>
      <c r="F2945" s="0" t="s">
        <v>43</v>
      </c>
      <c r="G2945" s="0" t="s">
        <v>45</v>
      </c>
      <c r="H2945" s="0" t="s">
        <v>45</v>
      </c>
      <c r="I2945" s="0" t="s">
        <v>34</v>
      </c>
      <c r="J2945" s="0" t="n">
        <v>1.94</v>
      </c>
      <c r="K2945" s="0" t="s">
        <v>35</v>
      </c>
      <c r="L2945" s="0" t="n">
        <f aca="false">INDEX(Summary!$F$2:$F$201,MATCH($B2945,Summary!$A$2:$A$201,0))</f>
        <v>20</v>
      </c>
      <c r="M2945" s="0" t="n">
        <f aca="false">INDEX(Summary!$I$2:$I$201,MATCH($B2945,Summary!$A$2:$A$201,0))</f>
        <v>2</v>
      </c>
      <c r="N2945" s="0" t="n">
        <f aca="false">INDEX(Summary!$J$2:$J$201,MATCH($B2945,Summary!$A$2:$A$201,0))</f>
        <v>3</v>
      </c>
      <c r="O2945" s="2" t="n">
        <f aca="false">INDEX(Summary!$K$2:$K$201,MATCH($B2945,Summary!$A$2:$A$201,0))</f>
        <v>11</v>
      </c>
      <c r="P2945" s="3" t="n">
        <f aca="false">INDEX(Summary!$L$2:$L$201,MATCH($B2945,Summary!$A$2:$A$201,0))</f>
        <v>4</v>
      </c>
      <c r="Q2945" s="3" t="n">
        <f aca="false">INDEX(Summary!$M$2:$M$201,MATCH($B2945,Summary!$A$2:$A$201,0))</f>
        <v>2</v>
      </c>
      <c r="R2945" s="2" t="n">
        <f aca="false">INDEX(Summary!$N$2:$N$201,MATCH($B2945,Summary!$A$2:$A$201,0))</f>
        <v>10.78</v>
      </c>
      <c r="S2945" s="3" t="n">
        <f aca="false">INDEX(Summary!$O$2:$O$201,MATCH($B2945,Summary!$A$2:$A$201,0))</f>
        <v>7</v>
      </c>
      <c r="T2945" s="3" t="n">
        <f aca="false">INDEX(Summary!$P$2:$P$201,MATCH($B2945,Summary!$A$2:$A$201,0))</f>
        <v>2</v>
      </c>
      <c r="U2945" s="2" t="n">
        <f aca="false">INDEX(Summary!$Q$2:$Q$201,MATCH($B2945,Summary!$A$2:$A$201,0))</f>
        <v>14.27</v>
      </c>
      <c r="V2945" s="2" t="n">
        <f aca="false">INDEX(Summary!$R$2:$R$201,MATCH($B2945,Summary!$A$2:$A$201,0))</f>
        <v>22.34</v>
      </c>
      <c r="W2945" s="0" t="str">
        <f aca="false">INDEX(Summary!$S$2:$S$201,MATCH($B2945,Summary!$A$2:$A$201,0))</f>
        <v>Silver</v>
      </c>
      <c r="X2945" s="2" t="n">
        <f aca="false">INDEX(Summary!$T$2:$T$201,MATCH($B2945,Summary!$A$2:$A$201,0))</f>
        <v>54.49</v>
      </c>
      <c r="Y2945" s="0" t="str">
        <f aca="false">INDEX('Reward Model'!$E$18:$E$37,MATCH($E2945,'Reward Model'!$A$18:$A$37,0))</f>
        <v>Low</v>
      </c>
      <c r="Z2945" s="4" t="n">
        <f aca="false">ROUND(MIN(1,MAX('Reward Model'!$B$2,INDEX('Reward Model'!$C$12:$C$14,MATCH($K2945,'Reward Model'!$A$12:$A$14,0))/$J2945)),3)</f>
        <v>0.773</v>
      </c>
      <c r="AA2945" s="2" t="n">
        <f aca="false">IF($I2945="Correct",ROUND(INDEX('Reward Model'!$B$12:$B$14,MATCH($K2945,'Reward Model'!$A$12:$A$14,0))*Z2945,2),0)</f>
        <v>0.77</v>
      </c>
      <c r="AB2945" s="2" t="n">
        <f aca="false">IF($I2945="Correct",ROUND(INDEX('Reward Model'!$B$12:$B$14,MATCH($Y2945,'Reward Model'!$A$12:$A$14,0))*Z2945,2),0)</f>
        <v>0.77</v>
      </c>
    </row>
    <row r="2946" customFormat="false" ht="15" hidden="false" customHeight="false" outlineLevel="0" collapsed="false">
      <c r="A2946" s="0" t="s">
        <v>426</v>
      </c>
      <c r="B2946" s="0" t="s">
        <v>427</v>
      </c>
      <c r="C2946" s="0" t="s">
        <v>322</v>
      </c>
      <c r="D2946" s="0" t="s">
        <v>189</v>
      </c>
      <c r="E2946" s="0" t="n">
        <v>5</v>
      </c>
      <c r="F2946" s="0" t="s">
        <v>46</v>
      </c>
      <c r="G2946" s="0" t="s">
        <v>47</v>
      </c>
      <c r="H2946" s="0" t="s">
        <v>47</v>
      </c>
      <c r="I2946" s="0" t="s">
        <v>34</v>
      </c>
      <c r="J2946" s="0" t="n">
        <v>1.3</v>
      </c>
      <c r="K2946" s="0" t="s">
        <v>35</v>
      </c>
      <c r="L2946" s="0" t="n">
        <f aca="false">INDEX(Summary!$F$2:$F$201,MATCH($B2946,Summary!$A$2:$A$201,0))</f>
        <v>20</v>
      </c>
      <c r="M2946" s="0" t="n">
        <f aca="false">INDEX(Summary!$I$2:$I$201,MATCH($B2946,Summary!$A$2:$A$201,0))</f>
        <v>2</v>
      </c>
      <c r="N2946" s="0" t="n">
        <f aca="false">INDEX(Summary!$J$2:$J$201,MATCH($B2946,Summary!$A$2:$A$201,0))</f>
        <v>3</v>
      </c>
      <c r="O2946" s="2" t="n">
        <f aca="false">INDEX(Summary!$K$2:$K$201,MATCH($B2946,Summary!$A$2:$A$201,0))</f>
        <v>11</v>
      </c>
      <c r="P2946" s="3" t="n">
        <f aca="false">INDEX(Summary!$L$2:$L$201,MATCH($B2946,Summary!$A$2:$A$201,0))</f>
        <v>4</v>
      </c>
      <c r="Q2946" s="3" t="n">
        <f aca="false">INDEX(Summary!$M$2:$M$201,MATCH($B2946,Summary!$A$2:$A$201,0))</f>
        <v>2</v>
      </c>
      <c r="R2946" s="2" t="n">
        <f aca="false">INDEX(Summary!$N$2:$N$201,MATCH($B2946,Summary!$A$2:$A$201,0))</f>
        <v>10.78</v>
      </c>
      <c r="S2946" s="3" t="n">
        <f aca="false">INDEX(Summary!$O$2:$O$201,MATCH($B2946,Summary!$A$2:$A$201,0))</f>
        <v>7</v>
      </c>
      <c r="T2946" s="3" t="n">
        <f aca="false">INDEX(Summary!$P$2:$P$201,MATCH($B2946,Summary!$A$2:$A$201,0))</f>
        <v>2</v>
      </c>
      <c r="U2946" s="2" t="n">
        <f aca="false">INDEX(Summary!$Q$2:$Q$201,MATCH($B2946,Summary!$A$2:$A$201,0))</f>
        <v>14.27</v>
      </c>
      <c r="V2946" s="2" t="n">
        <f aca="false">INDEX(Summary!$R$2:$R$201,MATCH($B2946,Summary!$A$2:$A$201,0))</f>
        <v>22.34</v>
      </c>
      <c r="W2946" s="0" t="str">
        <f aca="false">INDEX(Summary!$S$2:$S$201,MATCH($B2946,Summary!$A$2:$A$201,0))</f>
        <v>Silver</v>
      </c>
      <c r="X2946" s="2" t="n">
        <f aca="false">INDEX(Summary!$T$2:$T$201,MATCH($B2946,Summary!$A$2:$A$201,0))</f>
        <v>54.49</v>
      </c>
      <c r="Y2946" s="0" t="str">
        <f aca="false">INDEX('Reward Model'!$E$18:$E$37,MATCH($E2946,'Reward Model'!$A$18:$A$37,0))</f>
        <v>Low</v>
      </c>
      <c r="Z2946" s="4" t="n">
        <f aca="false">ROUND(MIN(1,MAX('Reward Model'!$B$2,INDEX('Reward Model'!$C$12:$C$14,MATCH($K2946,'Reward Model'!$A$12:$A$14,0))/$J2946)),3)</f>
        <v>1</v>
      </c>
      <c r="AA2946" s="2" t="n">
        <f aca="false">IF($I2946="Correct",ROUND(INDEX('Reward Model'!$B$12:$B$14,MATCH($K2946,'Reward Model'!$A$12:$A$14,0))*Z2946,2),0)</f>
        <v>1</v>
      </c>
      <c r="AB2946" s="2" t="n">
        <f aca="false">IF($I2946="Correct",ROUND(INDEX('Reward Model'!$B$12:$B$14,MATCH($Y2946,'Reward Model'!$A$12:$A$14,0))*Z2946,2),0)</f>
        <v>1</v>
      </c>
    </row>
    <row r="2947" customFormat="false" ht="15" hidden="false" customHeight="false" outlineLevel="0" collapsed="false">
      <c r="A2947" s="0" t="s">
        <v>426</v>
      </c>
      <c r="B2947" s="0" t="s">
        <v>427</v>
      </c>
      <c r="C2947" s="0" t="s">
        <v>322</v>
      </c>
      <c r="D2947" s="0" t="s">
        <v>189</v>
      </c>
      <c r="E2947" s="0" t="n">
        <v>6</v>
      </c>
      <c r="F2947" s="0" t="s">
        <v>48</v>
      </c>
      <c r="G2947" s="0" t="s">
        <v>49</v>
      </c>
      <c r="H2947" s="0" t="s">
        <v>49</v>
      </c>
      <c r="I2947" s="0" t="s">
        <v>34</v>
      </c>
      <c r="J2947" s="0" t="n">
        <v>1.65</v>
      </c>
      <c r="K2947" s="0" t="s">
        <v>35</v>
      </c>
      <c r="L2947" s="0" t="n">
        <f aca="false">INDEX(Summary!$F$2:$F$201,MATCH($B2947,Summary!$A$2:$A$201,0))</f>
        <v>20</v>
      </c>
      <c r="M2947" s="0" t="n">
        <f aca="false">INDEX(Summary!$I$2:$I$201,MATCH($B2947,Summary!$A$2:$A$201,0))</f>
        <v>2</v>
      </c>
      <c r="N2947" s="0" t="n">
        <f aca="false">INDEX(Summary!$J$2:$J$201,MATCH($B2947,Summary!$A$2:$A$201,0))</f>
        <v>3</v>
      </c>
      <c r="O2947" s="2" t="n">
        <f aca="false">INDEX(Summary!$K$2:$K$201,MATCH($B2947,Summary!$A$2:$A$201,0))</f>
        <v>11</v>
      </c>
      <c r="P2947" s="3" t="n">
        <f aca="false">INDEX(Summary!$L$2:$L$201,MATCH($B2947,Summary!$A$2:$A$201,0))</f>
        <v>4</v>
      </c>
      <c r="Q2947" s="3" t="n">
        <f aca="false">INDEX(Summary!$M$2:$M$201,MATCH($B2947,Summary!$A$2:$A$201,0))</f>
        <v>2</v>
      </c>
      <c r="R2947" s="2" t="n">
        <f aca="false">INDEX(Summary!$N$2:$N$201,MATCH($B2947,Summary!$A$2:$A$201,0))</f>
        <v>10.78</v>
      </c>
      <c r="S2947" s="3" t="n">
        <f aca="false">INDEX(Summary!$O$2:$O$201,MATCH($B2947,Summary!$A$2:$A$201,0))</f>
        <v>7</v>
      </c>
      <c r="T2947" s="3" t="n">
        <f aca="false">INDEX(Summary!$P$2:$P$201,MATCH($B2947,Summary!$A$2:$A$201,0))</f>
        <v>2</v>
      </c>
      <c r="U2947" s="2" t="n">
        <f aca="false">INDEX(Summary!$Q$2:$Q$201,MATCH($B2947,Summary!$A$2:$A$201,0))</f>
        <v>14.27</v>
      </c>
      <c r="V2947" s="2" t="n">
        <f aca="false">INDEX(Summary!$R$2:$R$201,MATCH($B2947,Summary!$A$2:$A$201,0))</f>
        <v>22.34</v>
      </c>
      <c r="W2947" s="0" t="str">
        <f aca="false">INDEX(Summary!$S$2:$S$201,MATCH($B2947,Summary!$A$2:$A$201,0))</f>
        <v>Silver</v>
      </c>
      <c r="X2947" s="2" t="n">
        <f aca="false">INDEX(Summary!$T$2:$T$201,MATCH($B2947,Summary!$A$2:$A$201,0))</f>
        <v>54.49</v>
      </c>
      <c r="Y2947" s="0" t="str">
        <f aca="false">INDEX('Reward Model'!$E$18:$E$37,MATCH($E2947,'Reward Model'!$A$18:$A$37,0))</f>
        <v>Medium</v>
      </c>
      <c r="Z2947" s="4" t="n">
        <f aca="false">ROUND(MIN(1,MAX('Reward Model'!$B$2,INDEX('Reward Model'!$C$12:$C$14,MATCH($K2947,'Reward Model'!$A$12:$A$14,0))/$J2947)),3)</f>
        <v>0.909</v>
      </c>
      <c r="AA2947" s="2" t="n">
        <f aca="false">IF($I2947="Correct",ROUND(INDEX('Reward Model'!$B$12:$B$14,MATCH($K2947,'Reward Model'!$A$12:$A$14,0))*Z2947,2),0)</f>
        <v>0.91</v>
      </c>
      <c r="AB2947" s="2" t="n">
        <f aca="false">IF($I2947="Correct",ROUND(INDEX('Reward Model'!$B$12:$B$14,MATCH($Y2947,'Reward Model'!$A$12:$A$14,0))*Z2947,2),0)</f>
        <v>1.82</v>
      </c>
    </row>
    <row r="2948" customFormat="false" ht="15" hidden="false" customHeight="false" outlineLevel="0" collapsed="false">
      <c r="A2948" s="0" t="s">
        <v>426</v>
      </c>
      <c r="B2948" s="0" t="s">
        <v>427</v>
      </c>
      <c r="C2948" s="0" t="s">
        <v>322</v>
      </c>
      <c r="D2948" s="0" t="s">
        <v>189</v>
      </c>
      <c r="E2948" s="0" t="n">
        <v>7</v>
      </c>
      <c r="F2948" s="0" t="s">
        <v>50</v>
      </c>
      <c r="G2948" s="0" t="s">
        <v>92</v>
      </c>
      <c r="H2948" s="0" t="s">
        <v>51</v>
      </c>
      <c r="I2948" s="0" t="s">
        <v>39</v>
      </c>
      <c r="J2948" s="0" t="n">
        <v>1.58</v>
      </c>
      <c r="K2948" s="0" t="s">
        <v>35</v>
      </c>
      <c r="L2948" s="0" t="n">
        <f aca="false">INDEX(Summary!$F$2:$F$201,MATCH($B2948,Summary!$A$2:$A$201,0))</f>
        <v>20</v>
      </c>
      <c r="M2948" s="0" t="n">
        <f aca="false">INDEX(Summary!$I$2:$I$201,MATCH($B2948,Summary!$A$2:$A$201,0))</f>
        <v>2</v>
      </c>
      <c r="N2948" s="0" t="n">
        <f aca="false">INDEX(Summary!$J$2:$J$201,MATCH($B2948,Summary!$A$2:$A$201,0))</f>
        <v>3</v>
      </c>
      <c r="O2948" s="2" t="n">
        <f aca="false">INDEX(Summary!$K$2:$K$201,MATCH($B2948,Summary!$A$2:$A$201,0))</f>
        <v>11</v>
      </c>
      <c r="P2948" s="3" t="n">
        <f aca="false">INDEX(Summary!$L$2:$L$201,MATCH($B2948,Summary!$A$2:$A$201,0))</f>
        <v>4</v>
      </c>
      <c r="Q2948" s="3" t="n">
        <f aca="false">INDEX(Summary!$M$2:$M$201,MATCH($B2948,Summary!$A$2:$A$201,0))</f>
        <v>2</v>
      </c>
      <c r="R2948" s="2" t="n">
        <f aca="false">INDEX(Summary!$N$2:$N$201,MATCH($B2948,Summary!$A$2:$A$201,0))</f>
        <v>10.78</v>
      </c>
      <c r="S2948" s="3" t="n">
        <f aca="false">INDEX(Summary!$O$2:$O$201,MATCH($B2948,Summary!$A$2:$A$201,0))</f>
        <v>7</v>
      </c>
      <c r="T2948" s="3" t="n">
        <f aca="false">INDEX(Summary!$P$2:$P$201,MATCH($B2948,Summary!$A$2:$A$201,0))</f>
        <v>2</v>
      </c>
      <c r="U2948" s="2" t="n">
        <f aca="false">INDEX(Summary!$Q$2:$Q$201,MATCH($B2948,Summary!$A$2:$A$201,0))</f>
        <v>14.27</v>
      </c>
      <c r="V2948" s="2" t="n">
        <f aca="false">INDEX(Summary!$R$2:$R$201,MATCH($B2948,Summary!$A$2:$A$201,0))</f>
        <v>22.34</v>
      </c>
      <c r="W2948" s="0" t="str">
        <f aca="false">INDEX(Summary!$S$2:$S$201,MATCH($B2948,Summary!$A$2:$A$201,0))</f>
        <v>Silver</v>
      </c>
      <c r="X2948" s="2" t="n">
        <f aca="false">INDEX(Summary!$T$2:$T$201,MATCH($B2948,Summary!$A$2:$A$201,0))</f>
        <v>54.49</v>
      </c>
      <c r="Y2948" s="0" t="str">
        <f aca="false">INDEX('Reward Model'!$E$18:$E$37,MATCH($E2948,'Reward Model'!$A$18:$A$37,0))</f>
        <v>Low</v>
      </c>
      <c r="Z2948" s="4" t="n">
        <f aca="false">ROUND(MIN(1,MAX('Reward Model'!$B$2,INDEX('Reward Model'!$C$12:$C$14,MATCH($K2948,'Reward Model'!$A$12:$A$14,0))/$J2948)),3)</f>
        <v>0.949</v>
      </c>
      <c r="AA2948" s="2" t="n">
        <f aca="false">IF($I2948="Correct",ROUND(INDEX('Reward Model'!$B$12:$B$14,MATCH($K2948,'Reward Model'!$A$12:$A$14,0))*Z2948,2),0)</f>
        <v>0</v>
      </c>
      <c r="AB2948" s="2" t="n">
        <f aca="false">IF($I2948="Correct",ROUND(INDEX('Reward Model'!$B$12:$B$14,MATCH($Y2948,'Reward Model'!$A$12:$A$14,0))*Z2948,2),0)</f>
        <v>0</v>
      </c>
    </row>
    <row r="2949" customFormat="false" ht="15" hidden="false" customHeight="false" outlineLevel="0" collapsed="false">
      <c r="A2949" s="0" t="s">
        <v>426</v>
      </c>
      <c r="B2949" s="0" t="s">
        <v>427</v>
      </c>
      <c r="C2949" s="0" t="s">
        <v>322</v>
      </c>
      <c r="D2949" s="0" t="s">
        <v>189</v>
      </c>
      <c r="E2949" s="0" t="n">
        <v>8</v>
      </c>
      <c r="F2949" s="0" t="s">
        <v>52</v>
      </c>
      <c r="G2949" s="0" t="s">
        <v>54</v>
      </c>
      <c r="H2949" s="0" t="s">
        <v>54</v>
      </c>
      <c r="I2949" s="0" t="s">
        <v>34</v>
      </c>
      <c r="J2949" s="0" t="n">
        <v>1.54</v>
      </c>
      <c r="K2949" s="0" t="s">
        <v>35</v>
      </c>
      <c r="L2949" s="0" t="n">
        <f aca="false">INDEX(Summary!$F$2:$F$201,MATCH($B2949,Summary!$A$2:$A$201,0))</f>
        <v>20</v>
      </c>
      <c r="M2949" s="0" t="n">
        <f aca="false">INDEX(Summary!$I$2:$I$201,MATCH($B2949,Summary!$A$2:$A$201,0))</f>
        <v>2</v>
      </c>
      <c r="N2949" s="0" t="n">
        <f aca="false">INDEX(Summary!$J$2:$J$201,MATCH($B2949,Summary!$A$2:$A$201,0))</f>
        <v>3</v>
      </c>
      <c r="O2949" s="2" t="n">
        <f aca="false">INDEX(Summary!$K$2:$K$201,MATCH($B2949,Summary!$A$2:$A$201,0))</f>
        <v>11</v>
      </c>
      <c r="P2949" s="3" t="n">
        <f aca="false">INDEX(Summary!$L$2:$L$201,MATCH($B2949,Summary!$A$2:$A$201,0))</f>
        <v>4</v>
      </c>
      <c r="Q2949" s="3" t="n">
        <f aca="false">INDEX(Summary!$M$2:$M$201,MATCH($B2949,Summary!$A$2:$A$201,0))</f>
        <v>2</v>
      </c>
      <c r="R2949" s="2" t="n">
        <f aca="false">INDEX(Summary!$N$2:$N$201,MATCH($B2949,Summary!$A$2:$A$201,0))</f>
        <v>10.78</v>
      </c>
      <c r="S2949" s="3" t="n">
        <f aca="false">INDEX(Summary!$O$2:$O$201,MATCH($B2949,Summary!$A$2:$A$201,0))</f>
        <v>7</v>
      </c>
      <c r="T2949" s="3" t="n">
        <f aca="false">INDEX(Summary!$P$2:$P$201,MATCH($B2949,Summary!$A$2:$A$201,0))</f>
        <v>2</v>
      </c>
      <c r="U2949" s="2" t="n">
        <f aca="false">INDEX(Summary!$Q$2:$Q$201,MATCH($B2949,Summary!$A$2:$A$201,0))</f>
        <v>14.27</v>
      </c>
      <c r="V2949" s="2" t="n">
        <f aca="false">INDEX(Summary!$R$2:$R$201,MATCH($B2949,Summary!$A$2:$A$201,0))</f>
        <v>22.34</v>
      </c>
      <c r="W2949" s="0" t="str">
        <f aca="false">INDEX(Summary!$S$2:$S$201,MATCH($B2949,Summary!$A$2:$A$201,0))</f>
        <v>Silver</v>
      </c>
      <c r="X2949" s="2" t="n">
        <f aca="false">INDEX(Summary!$T$2:$T$201,MATCH($B2949,Summary!$A$2:$A$201,0))</f>
        <v>54.49</v>
      </c>
      <c r="Y2949" s="0" t="str">
        <f aca="false">INDEX('Reward Model'!$E$18:$E$37,MATCH($E2949,'Reward Model'!$A$18:$A$37,0))</f>
        <v>Medium</v>
      </c>
      <c r="Z2949" s="4" t="n">
        <f aca="false">ROUND(MIN(1,MAX('Reward Model'!$B$2,INDEX('Reward Model'!$C$12:$C$14,MATCH($K2949,'Reward Model'!$A$12:$A$14,0))/$J2949)),3)</f>
        <v>0.974</v>
      </c>
      <c r="AA2949" s="2" t="n">
        <f aca="false">IF($I2949="Correct",ROUND(INDEX('Reward Model'!$B$12:$B$14,MATCH($K2949,'Reward Model'!$A$12:$A$14,0))*Z2949,2),0)</f>
        <v>0.97</v>
      </c>
      <c r="AB2949" s="2" t="n">
        <f aca="false">IF($I2949="Correct",ROUND(INDEX('Reward Model'!$B$12:$B$14,MATCH($Y2949,'Reward Model'!$A$12:$A$14,0))*Z2949,2),0)</f>
        <v>1.95</v>
      </c>
    </row>
    <row r="2950" customFormat="false" ht="15" hidden="false" customHeight="false" outlineLevel="0" collapsed="false">
      <c r="A2950" s="0" t="s">
        <v>426</v>
      </c>
      <c r="B2950" s="0" t="s">
        <v>427</v>
      </c>
      <c r="C2950" s="0" t="s">
        <v>322</v>
      </c>
      <c r="D2950" s="0" t="s">
        <v>189</v>
      </c>
      <c r="E2950" s="0" t="n">
        <v>9</v>
      </c>
      <c r="F2950" s="0" t="s">
        <v>55</v>
      </c>
      <c r="G2950" s="0" t="s">
        <v>57</v>
      </c>
      <c r="H2950" s="0" t="s">
        <v>57</v>
      </c>
      <c r="I2950" s="0" t="s">
        <v>34</v>
      </c>
      <c r="J2950" s="0" t="n">
        <v>1.01</v>
      </c>
      <c r="K2950" s="0" t="s">
        <v>35</v>
      </c>
      <c r="L2950" s="0" t="n">
        <f aca="false">INDEX(Summary!$F$2:$F$201,MATCH($B2950,Summary!$A$2:$A$201,0))</f>
        <v>20</v>
      </c>
      <c r="M2950" s="0" t="n">
        <f aca="false">INDEX(Summary!$I$2:$I$201,MATCH($B2950,Summary!$A$2:$A$201,0))</f>
        <v>2</v>
      </c>
      <c r="N2950" s="0" t="n">
        <f aca="false">INDEX(Summary!$J$2:$J$201,MATCH($B2950,Summary!$A$2:$A$201,0))</f>
        <v>3</v>
      </c>
      <c r="O2950" s="2" t="n">
        <f aca="false">INDEX(Summary!$K$2:$K$201,MATCH($B2950,Summary!$A$2:$A$201,0))</f>
        <v>11</v>
      </c>
      <c r="P2950" s="3" t="n">
        <f aca="false">INDEX(Summary!$L$2:$L$201,MATCH($B2950,Summary!$A$2:$A$201,0))</f>
        <v>4</v>
      </c>
      <c r="Q2950" s="3" t="n">
        <f aca="false">INDEX(Summary!$M$2:$M$201,MATCH($B2950,Summary!$A$2:$A$201,0))</f>
        <v>2</v>
      </c>
      <c r="R2950" s="2" t="n">
        <f aca="false">INDEX(Summary!$N$2:$N$201,MATCH($B2950,Summary!$A$2:$A$201,0))</f>
        <v>10.78</v>
      </c>
      <c r="S2950" s="3" t="n">
        <f aca="false">INDEX(Summary!$O$2:$O$201,MATCH($B2950,Summary!$A$2:$A$201,0))</f>
        <v>7</v>
      </c>
      <c r="T2950" s="3" t="n">
        <f aca="false">INDEX(Summary!$P$2:$P$201,MATCH($B2950,Summary!$A$2:$A$201,0))</f>
        <v>2</v>
      </c>
      <c r="U2950" s="2" t="n">
        <f aca="false">INDEX(Summary!$Q$2:$Q$201,MATCH($B2950,Summary!$A$2:$A$201,0))</f>
        <v>14.27</v>
      </c>
      <c r="V2950" s="2" t="n">
        <f aca="false">INDEX(Summary!$R$2:$R$201,MATCH($B2950,Summary!$A$2:$A$201,0))</f>
        <v>22.34</v>
      </c>
      <c r="W2950" s="0" t="str">
        <f aca="false">INDEX(Summary!$S$2:$S$201,MATCH($B2950,Summary!$A$2:$A$201,0))</f>
        <v>Silver</v>
      </c>
      <c r="X2950" s="2" t="n">
        <f aca="false">INDEX(Summary!$T$2:$T$201,MATCH($B2950,Summary!$A$2:$A$201,0))</f>
        <v>54.49</v>
      </c>
      <c r="Y2950" s="0" t="str">
        <f aca="false">INDEX('Reward Model'!$E$18:$E$37,MATCH($E2950,'Reward Model'!$A$18:$A$37,0))</f>
        <v>Medium</v>
      </c>
      <c r="Z2950" s="4" t="n">
        <f aca="false">ROUND(MIN(1,MAX('Reward Model'!$B$2,INDEX('Reward Model'!$C$12:$C$14,MATCH($K2950,'Reward Model'!$A$12:$A$14,0))/$J2950)),3)</f>
        <v>1</v>
      </c>
      <c r="AA2950" s="2" t="n">
        <f aca="false">IF($I2950="Correct",ROUND(INDEX('Reward Model'!$B$12:$B$14,MATCH($K2950,'Reward Model'!$A$12:$A$14,0))*Z2950,2),0)</f>
        <v>1</v>
      </c>
      <c r="AB2950" s="2" t="n">
        <f aca="false">IF($I2950="Correct",ROUND(INDEX('Reward Model'!$B$12:$B$14,MATCH($Y2950,'Reward Model'!$A$12:$A$14,0))*Z2950,2),0)</f>
        <v>2</v>
      </c>
    </row>
    <row r="2951" customFormat="false" ht="15" hidden="false" customHeight="false" outlineLevel="0" collapsed="false">
      <c r="A2951" s="0" t="s">
        <v>426</v>
      </c>
      <c r="B2951" s="0" t="s">
        <v>427</v>
      </c>
      <c r="C2951" s="0" t="s">
        <v>322</v>
      </c>
      <c r="D2951" s="0" t="s">
        <v>189</v>
      </c>
      <c r="E2951" s="0" t="n">
        <v>10</v>
      </c>
      <c r="F2951" s="0" t="s">
        <v>58</v>
      </c>
      <c r="G2951" s="0" t="s">
        <v>59</v>
      </c>
      <c r="H2951" s="0" t="s">
        <v>59</v>
      </c>
      <c r="I2951" s="0" t="s">
        <v>34</v>
      </c>
      <c r="J2951" s="0" t="n">
        <v>1.45</v>
      </c>
      <c r="K2951" s="0" t="s">
        <v>60</v>
      </c>
      <c r="L2951" s="0" t="n">
        <f aca="false">INDEX(Summary!$F$2:$F$201,MATCH($B2951,Summary!$A$2:$A$201,0))</f>
        <v>20</v>
      </c>
      <c r="M2951" s="0" t="n">
        <f aca="false">INDEX(Summary!$I$2:$I$201,MATCH($B2951,Summary!$A$2:$A$201,0))</f>
        <v>2</v>
      </c>
      <c r="N2951" s="0" t="n">
        <f aca="false">INDEX(Summary!$J$2:$J$201,MATCH($B2951,Summary!$A$2:$A$201,0))</f>
        <v>3</v>
      </c>
      <c r="O2951" s="2" t="n">
        <f aca="false">INDEX(Summary!$K$2:$K$201,MATCH($B2951,Summary!$A$2:$A$201,0))</f>
        <v>11</v>
      </c>
      <c r="P2951" s="3" t="n">
        <f aca="false">INDEX(Summary!$L$2:$L$201,MATCH($B2951,Summary!$A$2:$A$201,0))</f>
        <v>4</v>
      </c>
      <c r="Q2951" s="3" t="n">
        <f aca="false">INDEX(Summary!$M$2:$M$201,MATCH($B2951,Summary!$A$2:$A$201,0))</f>
        <v>2</v>
      </c>
      <c r="R2951" s="2" t="n">
        <f aca="false">INDEX(Summary!$N$2:$N$201,MATCH($B2951,Summary!$A$2:$A$201,0))</f>
        <v>10.78</v>
      </c>
      <c r="S2951" s="3" t="n">
        <f aca="false">INDEX(Summary!$O$2:$O$201,MATCH($B2951,Summary!$A$2:$A$201,0))</f>
        <v>7</v>
      </c>
      <c r="T2951" s="3" t="n">
        <f aca="false">INDEX(Summary!$P$2:$P$201,MATCH($B2951,Summary!$A$2:$A$201,0))</f>
        <v>2</v>
      </c>
      <c r="U2951" s="2" t="n">
        <f aca="false">INDEX(Summary!$Q$2:$Q$201,MATCH($B2951,Summary!$A$2:$A$201,0))</f>
        <v>14.27</v>
      </c>
      <c r="V2951" s="2" t="n">
        <f aca="false">INDEX(Summary!$R$2:$R$201,MATCH($B2951,Summary!$A$2:$A$201,0))</f>
        <v>22.34</v>
      </c>
      <c r="W2951" s="0" t="str">
        <f aca="false">INDEX(Summary!$S$2:$S$201,MATCH($B2951,Summary!$A$2:$A$201,0))</f>
        <v>Silver</v>
      </c>
      <c r="X2951" s="2" t="n">
        <f aca="false">INDEX(Summary!$T$2:$T$201,MATCH($B2951,Summary!$A$2:$A$201,0))</f>
        <v>54.49</v>
      </c>
      <c r="Y2951" s="0" t="str">
        <f aca="false">INDEX('Reward Model'!$E$18:$E$37,MATCH($E2951,'Reward Model'!$A$18:$A$37,0))</f>
        <v>Medium</v>
      </c>
      <c r="Z2951" s="4" t="n">
        <f aca="false">ROUND(MIN(1,MAX('Reward Model'!$B$2,INDEX('Reward Model'!$C$12:$C$14,MATCH($K2951,'Reward Model'!$A$12:$A$14,0))/$J2951)),3)</f>
        <v>1</v>
      </c>
      <c r="AA2951" s="2" t="n">
        <f aca="false">IF($I2951="Correct",ROUND(INDEX('Reward Model'!$B$12:$B$14,MATCH($K2951,'Reward Model'!$A$12:$A$14,0))*Z2951,2),0)</f>
        <v>2</v>
      </c>
      <c r="AB2951" s="2" t="n">
        <f aca="false">IF($I2951="Correct",ROUND(INDEX('Reward Model'!$B$12:$B$14,MATCH($Y2951,'Reward Model'!$A$12:$A$14,0))*Z2951,2),0)</f>
        <v>2</v>
      </c>
    </row>
    <row r="2952" customFormat="false" ht="15" hidden="false" customHeight="false" outlineLevel="0" collapsed="false">
      <c r="A2952" s="0" t="s">
        <v>426</v>
      </c>
      <c r="B2952" s="0" t="s">
        <v>427</v>
      </c>
      <c r="C2952" s="0" t="s">
        <v>322</v>
      </c>
      <c r="D2952" s="0" t="s">
        <v>189</v>
      </c>
      <c r="E2952" s="0" t="n">
        <v>11</v>
      </c>
      <c r="F2952" s="0" t="s">
        <v>61</v>
      </c>
      <c r="G2952" s="0" t="s">
        <v>150</v>
      </c>
      <c r="H2952" s="0" t="s">
        <v>63</v>
      </c>
      <c r="I2952" s="0" t="s">
        <v>39</v>
      </c>
      <c r="J2952" s="0" t="n">
        <v>1.26</v>
      </c>
      <c r="K2952" s="0" t="s">
        <v>60</v>
      </c>
      <c r="L2952" s="0" t="n">
        <f aca="false">INDEX(Summary!$F$2:$F$201,MATCH($B2952,Summary!$A$2:$A$201,0))</f>
        <v>20</v>
      </c>
      <c r="M2952" s="0" t="n">
        <f aca="false">INDEX(Summary!$I$2:$I$201,MATCH($B2952,Summary!$A$2:$A$201,0))</f>
        <v>2</v>
      </c>
      <c r="N2952" s="0" t="n">
        <f aca="false">INDEX(Summary!$J$2:$J$201,MATCH($B2952,Summary!$A$2:$A$201,0))</f>
        <v>3</v>
      </c>
      <c r="O2952" s="2" t="n">
        <f aca="false">INDEX(Summary!$K$2:$K$201,MATCH($B2952,Summary!$A$2:$A$201,0))</f>
        <v>11</v>
      </c>
      <c r="P2952" s="3" t="n">
        <f aca="false">INDEX(Summary!$L$2:$L$201,MATCH($B2952,Summary!$A$2:$A$201,0))</f>
        <v>4</v>
      </c>
      <c r="Q2952" s="3" t="n">
        <f aca="false">INDEX(Summary!$M$2:$M$201,MATCH($B2952,Summary!$A$2:$A$201,0))</f>
        <v>2</v>
      </c>
      <c r="R2952" s="2" t="n">
        <f aca="false">INDEX(Summary!$N$2:$N$201,MATCH($B2952,Summary!$A$2:$A$201,0))</f>
        <v>10.78</v>
      </c>
      <c r="S2952" s="3" t="n">
        <f aca="false">INDEX(Summary!$O$2:$O$201,MATCH($B2952,Summary!$A$2:$A$201,0))</f>
        <v>7</v>
      </c>
      <c r="T2952" s="3" t="n">
        <f aca="false">INDEX(Summary!$P$2:$P$201,MATCH($B2952,Summary!$A$2:$A$201,0))</f>
        <v>2</v>
      </c>
      <c r="U2952" s="2" t="n">
        <f aca="false">INDEX(Summary!$Q$2:$Q$201,MATCH($B2952,Summary!$A$2:$A$201,0))</f>
        <v>14.27</v>
      </c>
      <c r="V2952" s="2" t="n">
        <f aca="false">INDEX(Summary!$R$2:$R$201,MATCH($B2952,Summary!$A$2:$A$201,0))</f>
        <v>22.34</v>
      </c>
      <c r="W2952" s="0" t="str">
        <f aca="false">INDEX(Summary!$S$2:$S$201,MATCH($B2952,Summary!$A$2:$A$201,0))</f>
        <v>Silver</v>
      </c>
      <c r="X2952" s="2" t="n">
        <f aca="false">INDEX(Summary!$T$2:$T$201,MATCH($B2952,Summary!$A$2:$A$201,0))</f>
        <v>54.49</v>
      </c>
      <c r="Y2952" s="0" t="str">
        <f aca="false">INDEX('Reward Model'!$E$18:$E$37,MATCH($E2952,'Reward Model'!$A$18:$A$37,0))</f>
        <v>Medium</v>
      </c>
      <c r="Z2952" s="4" t="n">
        <f aca="false">ROUND(MIN(1,MAX('Reward Model'!$B$2,INDEX('Reward Model'!$C$12:$C$14,MATCH($K2952,'Reward Model'!$A$12:$A$14,0))/$J2952)),3)</f>
        <v>1</v>
      </c>
      <c r="AA2952" s="2" t="n">
        <f aca="false">IF($I2952="Correct",ROUND(INDEX('Reward Model'!$B$12:$B$14,MATCH($K2952,'Reward Model'!$A$12:$A$14,0))*Z2952,2),0)</f>
        <v>0</v>
      </c>
      <c r="AB2952" s="2" t="n">
        <f aca="false">IF($I2952="Correct",ROUND(INDEX('Reward Model'!$B$12:$B$14,MATCH($Y2952,'Reward Model'!$A$12:$A$14,0))*Z2952,2),0)</f>
        <v>0</v>
      </c>
    </row>
    <row r="2953" customFormat="false" ht="15" hidden="false" customHeight="false" outlineLevel="0" collapsed="false">
      <c r="A2953" s="0" t="s">
        <v>426</v>
      </c>
      <c r="B2953" s="0" t="s">
        <v>427</v>
      </c>
      <c r="C2953" s="0" t="s">
        <v>322</v>
      </c>
      <c r="D2953" s="0" t="s">
        <v>189</v>
      </c>
      <c r="E2953" s="0" t="n">
        <v>12</v>
      </c>
      <c r="F2953" s="0" t="s">
        <v>64</v>
      </c>
      <c r="G2953" s="0" t="s">
        <v>65</v>
      </c>
      <c r="H2953" s="0" t="s">
        <v>65</v>
      </c>
      <c r="I2953" s="0" t="s">
        <v>34</v>
      </c>
      <c r="J2953" s="0" t="n">
        <v>1.67</v>
      </c>
      <c r="K2953" s="0" t="s">
        <v>60</v>
      </c>
      <c r="L2953" s="0" t="n">
        <f aca="false">INDEX(Summary!$F$2:$F$201,MATCH($B2953,Summary!$A$2:$A$201,0))</f>
        <v>20</v>
      </c>
      <c r="M2953" s="0" t="n">
        <f aca="false">INDEX(Summary!$I$2:$I$201,MATCH($B2953,Summary!$A$2:$A$201,0))</f>
        <v>2</v>
      </c>
      <c r="N2953" s="0" t="n">
        <f aca="false">INDEX(Summary!$J$2:$J$201,MATCH($B2953,Summary!$A$2:$A$201,0))</f>
        <v>3</v>
      </c>
      <c r="O2953" s="2" t="n">
        <f aca="false">INDEX(Summary!$K$2:$K$201,MATCH($B2953,Summary!$A$2:$A$201,0))</f>
        <v>11</v>
      </c>
      <c r="P2953" s="3" t="n">
        <f aca="false">INDEX(Summary!$L$2:$L$201,MATCH($B2953,Summary!$A$2:$A$201,0))</f>
        <v>4</v>
      </c>
      <c r="Q2953" s="3" t="n">
        <f aca="false">INDEX(Summary!$M$2:$M$201,MATCH($B2953,Summary!$A$2:$A$201,0))</f>
        <v>2</v>
      </c>
      <c r="R2953" s="2" t="n">
        <f aca="false">INDEX(Summary!$N$2:$N$201,MATCH($B2953,Summary!$A$2:$A$201,0))</f>
        <v>10.78</v>
      </c>
      <c r="S2953" s="3" t="n">
        <f aca="false">INDEX(Summary!$O$2:$O$201,MATCH($B2953,Summary!$A$2:$A$201,0))</f>
        <v>7</v>
      </c>
      <c r="T2953" s="3" t="n">
        <f aca="false">INDEX(Summary!$P$2:$P$201,MATCH($B2953,Summary!$A$2:$A$201,0))</f>
        <v>2</v>
      </c>
      <c r="U2953" s="2" t="n">
        <f aca="false">INDEX(Summary!$Q$2:$Q$201,MATCH($B2953,Summary!$A$2:$A$201,0))</f>
        <v>14.27</v>
      </c>
      <c r="V2953" s="2" t="n">
        <f aca="false">INDEX(Summary!$R$2:$R$201,MATCH($B2953,Summary!$A$2:$A$201,0))</f>
        <v>22.34</v>
      </c>
      <c r="W2953" s="0" t="str">
        <f aca="false">INDEX(Summary!$S$2:$S$201,MATCH($B2953,Summary!$A$2:$A$201,0))</f>
        <v>Silver</v>
      </c>
      <c r="X2953" s="2" t="n">
        <f aca="false">INDEX(Summary!$T$2:$T$201,MATCH($B2953,Summary!$A$2:$A$201,0))</f>
        <v>54.49</v>
      </c>
      <c r="Y2953" s="0" t="str">
        <f aca="false">INDEX('Reward Model'!$E$18:$E$37,MATCH($E2953,'Reward Model'!$A$18:$A$37,0))</f>
        <v>Medium</v>
      </c>
      <c r="Z2953" s="4" t="n">
        <f aca="false">ROUND(MIN(1,MAX('Reward Model'!$B$2,INDEX('Reward Model'!$C$12:$C$14,MATCH($K2953,'Reward Model'!$A$12:$A$14,0))/$J2953)),3)</f>
        <v>1</v>
      </c>
      <c r="AA2953" s="2" t="n">
        <f aca="false">IF($I2953="Correct",ROUND(INDEX('Reward Model'!$B$12:$B$14,MATCH($K2953,'Reward Model'!$A$12:$A$14,0))*Z2953,2),0)</f>
        <v>2</v>
      </c>
      <c r="AB2953" s="2" t="n">
        <f aca="false">IF($I2953="Correct",ROUND(INDEX('Reward Model'!$B$12:$B$14,MATCH($Y2953,'Reward Model'!$A$12:$A$14,0))*Z2953,2),0)</f>
        <v>2</v>
      </c>
    </row>
    <row r="2954" customFormat="false" ht="15" hidden="false" customHeight="false" outlineLevel="0" collapsed="false">
      <c r="A2954" s="0" t="s">
        <v>426</v>
      </c>
      <c r="B2954" s="0" t="s">
        <v>427</v>
      </c>
      <c r="C2954" s="0" t="s">
        <v>322</v>
      </c>
      <c r="D2954" s="0" t="s">
        <v>189</v>
      </c>
      <c r="E2954" s="0" t="n">
        <v>13</v>
      </c>
      <c r="F2954" s="0" t="s">
        <v>66</v>
      </c>
      <c r="G2954" s="0" t="s">
        <v>165</v>
      </c>
      <c r="H2954" s="0" t="s">
        <v>67</v>
      </c>
      <c r="I2954" s="0" t="s">
        <v>39</v>
      </c>
      <c r="J2954" s="0" t="n">
        <v>2.23</v>
      </c>
      <c r="K2954" s="0" t="s">
        <v>60</v>
      </c>
      <c r="L2954" s="0" t="n">
        <f aca="false">INDEX(Summary!$F$2:$F$201,MATCH($B2954,Summary!$A$2:$A$201,0))</f>
        <v>20</v>
      </c>
      <c r="M2954" s="0" t="n">
        <f aca="false">INDEX(Summary!$I$2:$I$201,MATCH($B2954,Summary!$A$2:$A$201,0))</f>
        <v>2</v>
      </c>
      <c r="N2954" s="0" t="n">
        <f aca="false">INDEX(Summary!$J$2:$J$201,MATCH($B2954,Summary!$A$2:$A$201,0))</f>
        <v>3</v>
      </c>
      <c r="O2954" s="2" t="n">
        <f aca="false">INDEX(Summary!$K$2:$K$201,MATCH($B2954,Summary!$A$2:$A$201,0))</f>
        <v>11</v>
      </c>
      <c r="P2954" s="3" t="n">
        <f aca="false">INDEX(Summary!$L$2:$L$201,MATCH($B2954,Summary!$A$2:$A$201,0))</f>
        <v>4</v>
      </c>
      <c r="Q2954" s="3" t="n">
        <f aca="false">INDEX(Summary!$M$2:$M$201,MATCH($B2954,Summary!$A$2:$A$201,0))</f>
        <v>2</v>
      </c>
      <c r="R2954" s="2" t="n">
        <f aca="false">INDEX(Summary!$N$2:$N$201,MATCH($B2954,Summary!$A$2:$A$201,0))</f>
        <v>10.78</v>
      </c>
      <c r="S2954" s="3" t="n">
        <f aca="false">INDEX(Summary!$O$2:$O$201,MATCH($B2954,Summary!$A$2:$A$201,0))</f>
        <v>7</v>
      </c>
      <c r="T2954" s="3" t="n">
        <f aca="false">INDEX(Summary!$P$2:$P$201,MATCH($B2954,Summary!$A$2:$A$201,0))</f>
        <v>2</v>
      </c>
      <c r="U2954" s="2" t="n">
        <f aca="false">INDEX(Summary!$Q$2:$Q$201,MATCH($B2954,Summary!$A$2:$A$201,0))</f>
        <v>14.27</v>
      </c>
      <c r="V2954" s="2" t="n">
        <f aca="false">INDEX(Summary!$R$2:$R$201,MATCH($B2954,Summary!$A$2:$A$201,0))</f>
        <v>22.34</v>
      </c>
      <c r="W2954" s="0" t="str">
        <f aca="false">INDEX(Summary!$S$2:$S$201,MATCH($B2954,Summary!$A$2:$A$201,0))</f>
        <v>Silver</v>
      </c>
      <c r="X2954" s="2" t="n">
        <f aca="false">INDEX(Summary!$T$2:$T$201,MATCH($B2954,Summary!$A$2:$A$201,0))</f>
        <v>54.49</v>
      </c>
      <c r="Y2954" s="0" t="str">
        <f aca="false">INDEX('Reward Model'!$E$18:$E$37,MATCH($E2954,'Reward Model'!$A$18:$A$37,0))</f>
        <v>Medium</v>
      </c>
      <c r="Z2954" s="4" t="n">
        <f aca="false">ROUND(MIN(1,MAX('Reward Model'!$B$2,INDEX('Reward Model'!$C$12:$C$14,MATCH($K2954,'Reward Model'!$A$12:$A$14,0))/$J2954)),3)</f>
        <v>0.807</v>
      </c>
      <c r="AA2954" s="2" t="n">
        <f aca="false">IF($I2954="Correct",ROUND(INDEX('Reward Model'!$B$12:$B$14,MATCH($K2954,'Reward Model'!$A$12:$A$14,0))*Z2954,2),0)</f>
        <v>0</v>
      </c>
      <c r="AB2954" s="2" t="n">
        <f aca="false">IF($I2954="Correct",ROUND(INDEX('Reward Model'!$B$12:$B$14,MATCH($Y2954,'Reward Model'!$A$12:$A$14,0))*Z2954,2),0)</f>
        <v>0</v>
      </c>
    </row>
    <row r="2955" customFormat="false" ht="15" hidden="false" customHeight="false" outlineLevel="0" collapsed="false">
      <c r="A2955" s="0" t="s">
        <v>426</v>
      </c>
      <c r="B2955" s="0" t="s">
        <v>427</v>
      </c>
      <c r="C2955" s="0" t="s">
        <v>322</v>
      </c>
      <c r="D2955" s="0" t="s">
        <v>189</v>
      </c>
      <c r="E2955" s="0" t="n">
        <v>14</v>
      </c>
      <c r="F2955" s="0" t="s">
        <v>68</v>
      </c>
      <c r="G2955" s="0" t="s">
        <v>51</v>
      </c>
      <c r="H2955" s="0" t="s">
        <v>51</v>
      </c>
      <c r="I2955" s="0" t="s">
        <v>34</v>
      </c>
      <c r="J2955" s="0" t="n">
        <v>2.03</v>
      </c>
      <c r="K2955" s="0" t="s">
        <v>60</v>
      </c>
      <c r="L2955" s="0" t="n">
        <f aca="false">INDEX(Summary!$F$2:$F$201,MATCH($B2955,Summary!$A$2:$A$201,0))</f>
        <v>20</v>
      </c>
      <c r="M2955" s="0" t="n">
        <f aca="false">INDEX(Summary!$I$2:$I$201,MATCH($B2955,Summary!$A$2:$A$201,0))</f>
        <v>2</v>
      </c>
      <c r="N2955" s="0" t="n">
        <f aca="false">INDEX(Summary!$J$2:$J$201,MATCH($B2955,Summary!$A$2:$A$201,0))</f>
        <v>3</v>
      </c>
      <c r="O2955" s="2" t="n">
        <f aca="false">INDEX(Summary!$K$2:$K$201,MATCH($B2955,Summary!$A$2:$A$201,0))</f>
        <v>11</v>
      </c>
      <c r="P2955" s="3" t="n">
        <f aca="false">INDEX(Summary!$L$2:$L$201,MATCH($B2955,Summary!$A$2:$A$201,0))</f>
        <v>4</v>
      </c>
      <c r="Q2955" s="3" t="n">
        <f aca="false">INDEX(Summary!$M$2:$M$201,MATCH($B2955,Summary!$A$2:$A$201,0))</f>
        <v>2</v>
      </c>
      <c r="R2955" s="2" t="n">
        <f aca="false">INDEX(Summary!$N$2:$N$201,MATCH($B2955,Summary!$A$2:$A$201,0))</f>
        <v>10.78</v>
      </c>
      <c r="S2955" s="3" t="n">
        <f aca="false">INDEX(Summary!$O$2:$O$201,MATCH($B2955,Summary!$A$2:$A$201,0))</f>
        <v>7</v>
      </c>
      <c r="T2955" s="3" t="n">
        <f aca="false">INDEX(Summary!$P$2:$P$201,MATCH($B2955,Summary!$A$2:$A$201,0))</f>
        <v>2</v>
      </c>
      <c r="U2955" s="2" t="n">
        <f aca="false">INDEX(Summary!$Q$2:$Q$201,MATCH($B2955,Summary!$A$2:$A$201,0))</f>
        <v>14.27</v>
      </c>
      <c r="V2955" s="2" t="n">
        <f aca="false">INDEX(Summary!$R$2:$R$201,MATCH($B2955,Summary!$A$2:$A$201,0))</f>
        <v>22.34</v>
      </c>
      <c r="W2955" s="0" t="str">
        <f aca="false">INDEX(Summary!$S$2:$S$201,MATCH($B2955,Summary!$A$2:$A$201,0))</f>
        <v>Silver</v>
      </c>
      <c r="X2955" s="2" t="n">
        <f aca="false">INDEX(Summary!$T$2:$T$201,MATCH($B2955,Summary!$A$2:$A$201,0))</f>
        <v>54.49</v>
      </c>
      <c r="Y2955" s="0" t="str">
        <f aca="false">INDEX('Reward Model'!$E$18:$E$37,MATCH($E2955,'Reward Model'!$A$18:$A$37,0))</f>
        <v>Medium</v>
      </c>
      <c r="Z2955" s="4" t="n">
        <f aca="false">ROUND(MIN(1,MAX('Reward Model'!$B$2,INDEX('Reward Model'!$C$12:$C$14,MATCH($K2955,'Reward Model'!$A$12:$A$14,0))/$J2955)),3)</f>
        <v>0.887</v>
      </c>
      <c r="AA2955" s="2" t="n">
        <f aca="false">IF($I2955="Correct",ROUND(INDEX('Reward Model'!$B$12:$B$14,MATCH($K2955,'Reward Model'!$A$12:$A$14,0))*Z2955,2),0)</f>
        <v>1.77</v>
      </c>
      <c r="AB2955" s="2" t="n">
        <f aca="false">IF($I2955="Correct",ROUND(INDEX('Reward Model'!$B$12:$B$14,MATCH($Y2955,'Reward Model'!$A$12:$A$14,0))*Z2955,2),0)</f>
        <v>1.77</v>
      </c>
    </row>
    <row r="2956" customFormat="false" ht="15" hidden="false" customHeight="false" outlineLevel="0" collapsed="false">
      <c r="A2956" s="0" t="s">
        <v>426</v>
      </c>
      <c r="B2956" s="0" t="s">
        <v>427</v>
      </c>
      <c r="C2956" s="0" t="s">
        <v>322</v>
      </c>
      <c r="D2956" s="0" t="s">
        <v>189</v>
      </c>
      <c r="E2956" s="0" t="n">
        <v>15</v>
      </c>
      <c r="F2956" s="0" t="s">
        <v>69</v>
      </c>
      <c r="G2956" s="0" t="s">
        <v>70</v>
      </c>
      <c r="H2956" s="0" t="s">
        <v>70</v>
      </c>
      <c r="I2956" s="0" t="s">
        <v>34</v>
      </c>
      <c r="J2956" s="0" t="n">
        <v>2.14</v>
      </c>
      <c r="K2956" s="0" t="s">
        <v>60</v>
      </c>
      <c r="L2956" s="0" t="n">
        <f aca="false">INDEX(Summary!$F$2:$F$201,MATCH($B2956,Summary!$A$2:$A$201,0))</f>
        <v>20</v>
      </c>
      <c r="M2956" s="0" t="n">
        <f aca="false">INDEX(Summary!$I$2:$I$201,MATCH($B2956,Summary!$A$2:$A$201,0))</f>
        <v>2</v>
      </c>
      <c r="N2956" s="0" t="n">
        <f aca="false">INDEX(Summary!$J$2:$J$201,MATCH($B2956,Summary!$A$2:$A$201,0))</f>
        <v>3</v>
      </c>
      <c r="O2956" s="2" t="n">
        <f aca="false">INDEX(Summary!$K$2:$K$201,MATCH($B2956,Summary!$A$2:$A$201,0))</f>
        <v>11</v>
      </c>
      <c r="P2956" s="3" t="n">
        <f aca="false">INDEX(Summary!$L$2:$L$201,MATCH($B2956,Summary!$A$2:$A$201,0))</f>
        <v>4</v>
      </c>
      <c r="Q2956" s="3" t="n">
        <f aca="false">INDEX(Summary!$M$2:$M$201,MATCH($B2956,Summary!$A$2:$A$201,0))</f>
        <v>2</v>
      </c>
      <c r="R2956" s="2" t="n">
        <f aca="false">INDEX(Summary!$N$2:$N$201,MATCH($B2956,Summary!$A$2:$A$201,0))</f>
        <v>10.78</v>
      </c>
      <c r="S2956" s="3" t="n">
        <f aca="false">INDEX(Summary!$O$2:$O$201,MATCH($B2956,Summary!$A$2:$A$201,0))</f>
        <v>7</v>
      </c>
      <c r="T2956" s="3" t="n">
        <f aca="false">INDEX(Summary!$P$2:$P$201,MATCH($B2956,Summary!$A$2:$A$201,0))</f>
        <v>2</v>
      </c>
      <c r="U2956" s="2" t="n">
        <f aca="false">INDEX(Summary!$Q$2:$Q$201,MATCH($B2956,Summary!$A$2:$A$201,0))</f>
        <v>14.27</v>
      </c>
      <c r="V2956" s="2" t="n">
        <f aca="false">INDEX(Summary!$R$2:$R$201,MATCH($B2956,Summary!$A$2:$A$201,0))</f>
        <v>22.34</v>
      </c>
      <c r="W2956" s="0" t="str">
        <f aca="false">INDEX(Summary!$S$2:$S$201,MATCH($B2956,Summary!$A$2:$A$201,0))</f>
        <v>Silver</v>
      </c>
      <c r="X2956" s="2" t="n">
        <f aca="false">INDEX(Summary!$T$2:$T$201,MATCH($B2956,Summary!$A$2:$A$201,0))</f>
        <v>54.49</v>
      </c>
      <c r="Y2956" s="0" t="str">
        <f aca="false">INDEX('Reward Model'!$E$18:$E$37,MATCH($E2956,'Reward Model'!$A$18:$A$37,0))</f>
        <v>Medium</v>
      </c>
      <c r="Z2956" s="4" t="n">
        <f aca="false">ROUND(MIN(1,MAX('Reward Model'!$B$2,INDEX('Reward Model'!$C$12:$C$14,MATCH($K2956,'Reward Model'!$A$12:$A$14,0))/$J2956)),3)</f>
        <v>0.841</v>
      </c>
      <c r="AA2956" s="2" t="n">
        <f aca="false">IF($I2956="Correct",ROUND(INDEX('Reward Model'!$B$12:$B$14,MATCH($K2956,'Reward Model'!$A$12:$A$14,0))*Z2956,2),0)</f>
        <v>1.68</v>
      </c>
      <c r="AB2956" s="2" t="n">
        <f aca="false">IF($I2956="Correct",ROUND(INDEX('Reward Model'!$B$12:$B$14,MATCH($Y2956,'Reward Model'!$A$12:$A$14,0))*Z2956,2),0)</f>
        <v>1.68</v>
      </c>
    </row>
    <row r="2957" customFormat="false" ht="15" hidden="false" customHeight="false" outlineLevel="0" collapsed="false">
      <c r="A2957" s="0" t="s">
        <v>426</v>
      </c>
      <c r="B2957" s="0" t="s">
        <v>427</v>
      </c>
      <c r="C2957" s="0" t="s">
        <v>322</v>
      </c>
      <c r="D2957" s="0" t="s">
        <v>189</v>
      </c>
      <c r="E2957" s="0" t="n">
        <v>16</v>
      </c>
      <c r="F2957" s="0" t="s">
        <v>71</v>
      </c>
      <c r="G2957" s="0" t="s">
        <v>104</v>
      </c>
      <c r="H2957" s="0" t="s">
        <v>72</v>
      </c>
      <c r="I2957" s="0" t="s">
        <v>39</v>
      </c>
      <c r="J2957" s="0" t="n">
        <v>2.49</v>
      </c>
      <c r="K2957" s="0" t="s">
        <v>73</v>
      </c>
      <c r="L2957" s="0" t="n">
        <f aca="false">INDEX(Summary!$F$2:$F$201,MATCH($B2957,Summary!$A$2:$A$201,0))</f>
        <v>20</v>
      </c>
      <c r="M2957" s="0" t="n">
        <f aca="false">INDEX(Summary!$I$2:$I$201,MATCH($B2957,Summary!$A$2:$A$201,0))</f>
        <v>2</v>
      </c>
      <c r="N2957" s="0" t="n">
        <f aca="false">INDEX(Summary!$J$2:$J$201,MATCH($B2957,Summary!$A$2:$A$201,0))</f>
        <v>3</v>
      </c>
      <c r="O2957" s="2" t="n">
        <f aca="false">INDEX(Summary!$K$2:$K$201,MATCH($B2957,Summary!$A$2:$A$201,0))</f>
        <v>11</v>
      </c>
      <c r="P2957" s="3" t="n">
        <f aca="false">INDEX(Summary!$L$2:$L$201,MATCH($B2957,Summary!$A$2:$A$201,0))</f>
        <v>4</v>
      </c>
      <c r="Q2957" s="3" t="n">
        <f aca="false">INDEX(Summary!$M$2:$M$201,MATCH($B2957,Summary!$A$2:$A$201,0))</f>
        <v>2</v>
      </c>
      <c r="R2957" s="2" t="n">
        <f aca="false">INDEX(Summary!$N$2:$N$201,MATCH($B2957,Summary!$A$2:$A$201,0))</f>
        <v>10.78</v>
      </c>
      <c r="S2957" s="3" t="n">
        <f aca="false">INDEX(Summary!$O$2:$O$201,MATCH($B2957,Summary!$A$2:$A$201,0))</f>
        <v>7</v>
      </c>
      <c r="T2957" s="3" t="n">
        <f aca="false">INDEX(Summary!$P$2:$P$201,MATCH($B2957,Summary!$A$2:$A$201,0))</f>
        <v>2</v>
      </c>
      <c r="U2957" s="2" t="n">
        <f aca="false">INDEX(Summary!$Q$2:$Q$201,MATCH($B2957,Summary!$A$2:$A$201,0))</f>
        <v>14.27</v>
      </c>
      <c r="V2957" s="2" t="n">
        <f aca="false">INDEX(Summary!$R$2:$R$201,MATCH($B2957,Summary!$A$2:$A$201,0))</f>
        <v>22.34</v>
      </c>
      <c r="W2957" s="0" t="str">
        <f aca="false">INDEX(Summary!$S$2:$S$201,MATCH($B2957,Summary!$A$2:$A$201,0))</f>
        <v>Silver</v>
      </c>
      <c r="X2957" s="2" t="n">
        <f aca="false">INDEX(Summary!$T$2:$T$201,MATCH($B2957,Summary!$A$2:$A$201,0))</f>
        <v>54.49</v>
      </c>
      <c r="Y2957" s="0" t="str">
        <f aca="false">INDEX('Reward Model'!$E$18:$E$37,MATCH($E2957,'Reward Model'!$A$18:$A$37,0))</f>
        <v>High</v>
      </c>
      <c r="Z2957" s="4" t="n">
        <f aca="false">ROUND(MIN(1,MAX('Reward Model'!$B$2,INDEX('Reward Model'!$C$12:$C$14,MATCH($K2957,'Reward Model'!$A$12:$A$14,0))/$J2957)),3)</f>
        <v>0.803</v>
      </c>
      <c r="AA2957" s="2" t="n">
        <f aca="false">IF($I2957="Correct",ROUND(INDEX('Reward Model'!$B$12:$B$14,MATCH($K2957,'Reward Model'!$A$12:$A$14,0))*Z2957,2),0)</f>
        <v>0</v>
      </c>
      <c r="AB2957" s="2" t="n">
        <f aca="false">IF($I2957="Correct",ROUND(INDEX('Reward Model'!$B$12:$B$14,MATCH($Y2957,'Reward Model'!$A$12:$A$14,0))*Z2957,2),0)</f>
        <v>0</v>
      </c>
    </row>
    <row r="2958" customFormat="false" ht="15" hidden="false" customHeight="false" outlineLevel="0" collapsed="false">
      <c r="A2958" s="0" t="s">
        <v>426</v>
      </c>
      <c r="B2958" s="0" t="s">
        <v>427</v>
      </c>
      <c r="C2958" s="0" t="s">
        <v>322</v>
      </c>
      <c r="D2958" s="0" t="s">
        <v>189</v>
      </c>
      <c r="E2958" s="0" t="n">
        <v>17</v>
      </c>
      <c r="F2958" s="0" t="s">
        <v>74</v>
      </c>
      <c r="G2958" s="0" t="s">
        <v>105</v>
      </c>
      <c r="H2958" s="0" t="s">
        <v>75</v>
      </c>
      <c r="I2958" s="0" t="s">
        <v>39</v>
      </c>
      <c r="J2958" s="0" t="n">
        <v>1.74</v>
      </c>
      <c r="K2958" s="0" t="s">
        <v>73</v>
      </c>
      <c r="L2958" s="0" t="n">
        <f aca="false">INDEX(Summary!$F$2:$F$201,MATCH($B2958,Summary!$A$2:$A$201,0))</f>
        <v>20</v>
      </c>
      <c r="M2958" s="0" t="n">
        <f aca="false">INDEX(Summary!$I$2:$I$201,MATCH($B2958,Summary!$A$2:$A$201,0))</f>
        <v>2</v>
      </c>
      <c r="N2958" s="0" t="n">
        <f aca="false">INDEX(Summary!$J$2:$J$201,MATCH($B2958,Summary!$A$2:$A$201,0))</f>
        <v>3</v>
      </c>
      <c r="O2958" s="2" t="n">
        <f aca="false">INDEX(Summary!$K$2:$K$201,MATCH($B2958,Summary!$A$2:$A$201,0))</f>
        <v>11</v>
      </c>
      <c r="P2958" s="3" t="n">
        <f aca="false">INDEX(Summary!$L$2:$L$201,MATCH($B2958,Summary!$A$2:$A$201,0))</f>
        <v>4</v>
      </c>
      <c r="Q2958" s="3" t="n">
        <f aca="false">INDEX(Summary!$M$2:$M$201,MATCH($B2958,Summary!$A$2:$A$201,0))</f>
        <v>2</v>
      </c>
      <c r="R2958" s="2" t="n">
        <f aca="false">INDEX(Summary!$N$2:$N$201,MATCH($B2958,Summary!$A$2:$A$201,0))</f>
        <v>10.78</v>
      </c>
      <c r="S2958" s="3" t="n">
        <f aca="false">INDEX(Summary!$O$2:$O$201,MATCH($B2958,Summary!$A$2:$A$201,0))</f>
        <v>7</v>
      </c>
      <c r="T2958" s="3" t="n">
        <f aca="false">INDEX(Summary!$P$2:$P$201,MATCH($B2958,Summary!$A$2:$A$201,0))</f>
        <v>2</v>
      </c>
      <c r="U2958" s="2" t="n">
        <f aca="false">INDEX(Summary!$Q$2:$Q$201,MATCH($B2958,Summary!$A$2:$A$201,0))</f>
        <v>14.27</v>
      </c>
      <c r="V2958" s="2" t="n">
        <f aca="false">INDEX(Summary!$R$2:$R$201,MATCH($B2958,Summary!$A$2:$A$201,0))</f>
        <v>22.34</v>
      </c>
      <c r="W2958" s="0" t="str">
        <f aca="false">INDEX(Summary!$S$2:$S$201,MATCH($B2958,Summary!$A$2:$A$201,0))</f>
        <v>Silver</v>
      </c>
      <c r="X2958" s="2" t="n">
        <f aca="false">INDEX(Summary!$T$2:$T$201,MATCH($B2958,Summary!$A$2:$A$201,0))</f>
        <v>54.49</v>
      </c>
      <c r="Y2958" s="0" t="str">
        <f aca="false">INDEX('Reward Model'!$E$18:$E$37,MATCH($E2958,'Reward Model'!$A$18:$A$37,0))</f>
        <v>High</v>
      </c>
      <c r="Z2958" s="4" t="n">
        <f aca="false">ROUND(MIN(1,MAX('Reward Model'!$B$2,INDEX('Reward Model'!$C$12:$C$14,MATCH($K2958,'Reward Model'!$A$12:$A$14,0))/$J2958)),3)</f>
        <v>1</v>
      </c>
      <c r="AA2958" s="2" t="n">
        <f aca="false">IF($I2958="Correct",ROUND(INDEX('Reward Model'!$B$12:$B$14,MATCH($K2958,'Reward Model'!$A$12:$A$14,0))*Z2958,2),0)</f>
        <v>0</v>
      </c>
      <c r="AB2958" s="2" t="n">
        <f aca="false">IF($I2958="Correct",ROUND(INDEX('Reward Model'!$B$12:$B$14,MATCH($Y2958,'Reward Model'!$A$12:$A$14,0))*Z2958,2),0)</f>
        <v>0</v>
      </c>
    </row>
    <row r="2959" customFormat="false" ht="15" hidden="false" customHeight="false" outlineLevel="0" collapsed="false">
      <c r="A2959" s="0" t="s">
        <v>426</v>
      </c>
      <c r="B2959" s="0" t="s">
        <v>427</v>
      </c>
      <c r="C2959" s="0" t="s">
        <v>322</v>
      </c>
      <c r="D2959" s="0" t="s">
        <v>189</v>
      </c>
      <c r="E2959" s="0" t="n">
        <v>18</v>
      </c>
      <c r="F2959" s="0" t="s">
        <v>76</v>
      </c>
      <c r="G2959" s="0" t="s">
        <v>77</v>
      </c>
      <c r="H2959" s="0" t="s">
        <v>77</v>
      </c>
      <c r="I2959" s="0" t="s">
        <v>34</v>
      </c>
      <c r="J2959" s="0" t="n">
        <v>2.47</v>
      </c>
      <c r="K2959" s="0" t="s">
        <v>73</v>
      </c>
      <c r="L2959" s="0" t="n">
        <f aca="false">INDEX(Summary!$F$2:$F$201,MATCH($B2959,Summary!$A$2:$A$201,0))</f>
        <v>20</v>
      </c>
      <c r="M2959" s="0" t="n">
        <f aca="false">INDEX(Summary!$I$2:$I$201,MATCH($B2959,Summary!$A$2:$A$201,0))</f>
        <v>2</v>
      </c>
      <c r="N2959" s="0" t="n">
        <f aca="false">INDEX(Summary!$J$2:$J$201,MATCH($B2959,Summary!$A$2:$A$201,0))</f>
        <v>3</v>
      </c>
      <c r="O2959" s="2" t="n">
        <f aca="false">INDEX(Summary!$K$2:$K$201,MATCH($B2959,Summary!$A$2:$A$201,0))</f>
        <v>11</v>
      </c>
      <c r="P2959" s="3" t="n">
        <f aca="false">INDEX(Summary!$L$2:$L$201,MATCH($B2959,Summary!$A$2:$A$201,0))</f>
        <v>4</v>
      </c>
      <c r="Q2959" s="3" t="n">
        <f aca="false">INDEX(Summary!$M$2:$M$201,MATCH($B2959,Summary!$A$2:$A$201,0))</f>
        <v>2</v>
      </c>
      <c r="R2959" s="2" t="n">
        <f aca="false">INDEX(Summary!$N$2:$N$201,MATCH($B2959,Summary!$A$2:$A$201,0))</f>
        <v>10.78</v>
      </c>
      <c r="S2959" s="3" t="n">
        <f aca="false">INDEX(Summary!$O$2:$O$201,MATCH($B2959,Summary!$A$2:$A$201,0))</f>
        <v>7</v>
      </c>
      <c r="T2959" s="3" t="n">
        <f aca="false">INDEX(Summary!$P$2:$P$201,MATCH($B2959,Summary!$A$2:$A$201,0))</f>
        <v>2</v>
      </c>
      <c r="U2959" s="2" t="n">
        <f aca="false">INDEX(Summary!$Q$2:$Q$201,MATCH($B2959,Summary!$A$2:$A$201,0))</f>
        <v>14.27</v>
      </c>
      <c r="V2959" s="2" t="n">
        <f aca="false">INDEX(Summary!$R$2:$R$201,MATCH($B2959,Summary!$A$2:$A$201,0))</f>
        <v>22.34</v>
      </c>
      <c r="W2959" s="0" t="str">
        <f aca="false">INDEX(Summary!$S$2:$S$201,MATCH($B2959,Summary!$A$2:$A$201,0))</f>
        <v>Silver</v>
      </c>
      <c r="X2959" s="2" t="n">
        <f aca="false">INDEX(Summary!$T$2:$T$201,MATCH($B2959,Summary!$A$2:$A$201,0))</f>
        <v>54.49</v>
      </c>
      <c r="Y2959" s="0" t="str">
        <f aca="false">INDEX('Reward Model'!$E$18:$E$37,MATCH($E2959,'Reward Model'!$A$18:$A$37,0))</f>
        <v>High</v>
      </c>
      <c r="Z2959" s="4" t="n">
        <f aca="false">ROUND(MIN(1,MAX('Reward Model'!$B$2,INDEX('Reward Model'!$C$12:$C$14,MATCH($K2959,'Reward Model'!$A$12:$A$14,0))/$J2959)),3)</f>
        <v>0.81</v>
      </c>
      <c r="AA2959" s="2" t="n">
        <f aca="false">IF($I2959="Correct",ROUND(INDEX('Reward Model'!$B$12:$B$14,MATCH($K2959,'Reward Model'!$A$12:$A$14,0))*Z2959,2),0)</f>
        <v>2.43</v>
      </c>
      <c r="AB2959" s="2" t="n">
        <f aca="false">IF($I2959="Correct",ROUND(INDEX('Reward Model'!$B$12:$B$14,MATCH($Y2959,'Reward Model'!$A$12:$A$14,0))*Z2959,2),0)</f>
        <v>2.43</v>
      </c>
    </row>
    <row r="2960" customFormat="false" ht="15" hidden="false" customHeight="false" outlineLevel="0" collapsed="false">
      <c r="A2960" s="0" t="s">
        <v>426</v>
      </c>
      <c r="B2960" s="0" t="s">
        <v>427</v>
      </c>
      <c r="C2960" s="0" t="s">
        <v>322</v>
      </c>
      <c r="D2960" s="0" t="s">
        <v>189</v>
      </c>
      <c r="E2960" s="0" t="n">
        <v>19</v>
      </c>
      <c r="F2960" s="0" t="s">
        <v>78</v>
      </c>
      <c r="G2960" s="0" t="s">
        <v>80</v>
      </c>
      <c r="H2960" s="0" t="s">
        <v>80</v>
      </c>
      <c r="I2960" s="0" t="s">
        <v>34</v>
      </c>
      <c r="J2960" s="0" t="n">
        <v>2.31</v>
      </c>
      <c r="K2960" s="0" t="s">
        <v>73</v>
      </c>
      <c r="L2960" s="0" t="n">
        <f aca="false">INDEX(Summary!$F$2:$F$201,MATCH($B2960,Summary!$A$2:$A$201,0))</f>
        <v>20</v>
      </c>
      <c r="M2960" s="0" t="n">
        <f aca="false">INDEX(Summary!$I$2:$I$201,MATCH($B2960,Summary!$A$2:$A$201,0))</f>
        <v>2</v>
      </c>
      <c r="N2960" s="0" t="n">
        <f aca="false">INDEX(Summary!$J$2:$J$201,MATCH($B2960,Summary!$A$2:$A$201,0))</f>
        <v>3</v>
      </c>
      <c r="O2960" s="2" t="n">
        <f aca="false">INDEX(Summary!$K$2:$K$201,MATCH($B2960,Summary!$A$2:$A$201,0))</f>
        <v>11</v>
      </c>
      <c r="P2960" s="3" t="n">
        <f aca="false">INDEX(Summary!$L$2:$L$201,MATCH($B2960,Summary!$A$2:$A$201,0))</f>
        <v>4</v>
      </c>
      <c r="Q2960" s="3" t="n">
        <f aca="false">INDEX(Summary!$M$2:$M$201,MATCH($B2960,Summary!$A$2:$A$201,0))</f>
        <v>2</v>
      </c>
      <c r="R2960" s="2" t="n">
        <f aca="false">INDEX(Summary!$N$2:$N$201,MATCH($B2960,Summary!$A$2:$A$201,0))</f>
        <v>10.78</v>
      </c>
      <c r="S2960" s="3" t="n">
        <f aca="false">INDEX(Summary!$O$2:$O$201,MATCH($B2960,Summary!$A$2:$A$201,0))</f>
        <v>7</v>
      </c>
      <c r="T2960" s="3" t="n">
        <f aca="false">INDEX(Summary!$P$2:$P$201,MATCH($B2960,Summary!$A$2:$A$201,0))</f>
        <v>2</v>
      </c>
      <c r="U2960" s="2" t="n">
        <f aca="false">INDEX(Summary!$Q$2:$Q$201,MATCH($B2960,Summary!$A$2:$A$201,0))</f>
        <v>14.27</v>
      </c>
      <c r="V2960" s="2" t="n">
        <f aca="false">INDEX(Summary!$R$2:$R$201,MATCH($B2960,Summary!$A$2:$A$201,0))</f>
        <v>22.34</v>
      </c>
      <c r="W2960" s="0" t="str">
        <f aca="false">INDEX(Summary!$S$2:$S$201,MATCH($B2960,Summary!$A$2:$A$201,0))</f>
        <v>Silver</v>
      </c>
      <c r="X2960" s="2" t="n">
        <f aca="false">INDEX(Summary!$T$2:$T$201,MATCH($B2960,Summary!$A$2:$A$201,0))</f>
        <v>54.49</v>
      </c>
      <c r="Y2960" s="0" t="str">
        <f aca="false">INDEX('Reward Model'!$E$18:$E$37,MATCH($E2960,'Reward Model'!$A$18:$A$37,0))</f>
        <v>High</v>
      </c>
      <c r="Z2960" s="4" t="n">
        <f aca="false">ROUND(MIN(1,MAX('Reward Model'!$B$2,INDEX('Reward Model'!$C$12:$C$14,MATCH($K2960,'Reward Model'!$A$12:$A$14,0))/$J2960)),3)</f>
        <v>0.866</v>
      </c>
      <c r="AA2960" s="2" t="n">
        <f aca="false">IF($I2960="Correct",ROUND(INDEX('Reward Model'!$B$12:$B$14,MATCH($K2960,'Reward Model'!$A$12:$A$14,0))*Z2960,2),0)</f>
        <v>2.6</v>
      </c>
      <c r="AB2960" s="2" t="n">
        <f aca="false">IF($I2960="Correct",ROUND(INDEX('Reward Model'!$B$12:$B$14,MATCH($Y2960,'Reward Model'!$A$12:$A$14,0))*Z2960,2),0)</f>
        <v>2.6</v>
      </c>
    </row>
    <row r="2961" customFormat="false" ht="15" hidden="false" customHeight="false" outlineLevel="0" collapsed="false">
      <c r="A2961" s="0" t="s">
        <v>426</v>
      </c>
      <c r="B2961" s="0" t="s">
        <v>427</v>
      </c>
      <c r="C2961" s="0" t="s">
        <v>322</v>
      </c>
      <c r="D2961" s="0" t="s">
        <v>189</v>
      </c>
      <c r="E2961" s="0" t="n">
        <v>20</v>
      </c>
      <c r="F2961" s="0" t="s">
        <v>81</v>
      </c>
      <c r="G2961" s="0" t="s">
        <v>82</v>
      </c>
      <c r="H2961" s="0" t="s">
        <v>83</v>
      </c>
      <c r="I2961" s="0" t="s">
        <v>39</v>
      </c>
      <c r="J2961" s="0" t="n">
        <v>1.99</v>
      </c>
      <c r="K2961" s="0" t="s">
        <v>73</v>
      </c>
      <c r="L2961" s="0" t="n">
        <f aca="false">INDEX(Summary!$F$2:$F$201,MATCH($B2961,Summary!$A$2:$A$201,0))</f>
        <v>20</v>
      </c>
      <c r="M2961" s="0" t="n">
        <f aca="false">INDEX(Summary!$I$2:$I$201,MATCH($B2961,Summary!$A$2:$A$201,0))</f>
        <v>2</v>
      </c>
      <c r="N2961" s="0" t="n">
        <f aca="false">INDEX(Summary!$J$2:$J$201,MATCH($B2961,Summary!$A$2:$A$201,0))</f>
        <v>3</v>
      </c>
      <c r="O2961" s="2" t="n">
        <f aca="false">INDEX(Summary!$K$2:$K$201,MATCH($B2961,Summary!$A$2:$A$201,0))</f>
        <v>11</v>
      </c>
      <c r="P2961" s="3" t="n">
        <f aca="false">INDEX(Summary!$L$2:$L$201,MATCH($B2961,Summary!$A$2:$A$201,0))</f>
        <v>4</v>
      </c>
      <c r="Q2961" s="3" t="n">
        <f aca="false">INDEX(Summary!$M$2:$M$201,MATCH($B2961,Summary!$A$2:$A$201,0))</f>
        <v>2</v>
      </c>
      <c r="R2961" s="2" t="n">
        <f aca="false">INDEX(Summary!$N$2:$N$201,MATCH($B2961,Summary!$A$2:$A$201,0))</f>
        <v>10.78</v>
      </c>
      <c r="S2961" s="3" t="n">
        <f aca="false">INDEX(Summary!$O$2:$O$201,MATCH($B2961,Summary!$A$2:$A$201,0))</f>
        <v>7</v>
      </c>
      <c r="T2961" s="3" t="n">
        <f aca="false">INDEX(Summary!$P$2:$P$201,MATCH($B2961,Summary!$A$2:$A$201,0))</f>
        <v>2</v>
      </c>
      <c r="U2961" s="2" t="n">
        <f aca="false">INDEX(Summary!$Q$2:$Q$201,MATCH($B2961,Summary!$A$2:$A$201,0))</f>
        <v>14.27</v>
      </c>
      <c r="V2961" s="2" t="n">
        <f aca="false">INDEX(Summary!$R$2:$R$201,MATCH($B2961,Summary!$A$2:$A$201,0))</f>
        <v>22.34</v>
      </c>
      <c r="W2961" s="0" t="str">
        <f aca="false">INDEX(Summary!$S$2:$S$201,MATCH($B2961,Summary!$A$2:$A$201,0))</f>
        <v>Silver</v>
      </c>
      <c r="X2961" s="2" t="n">
        <f aca="false">INDEX(Summary!$T$2:$T$201,MATCH($B2961,Summary!$A$2:$A$201,0))</f>
        <v>54.49</v>
      </c>
      <c r="Y2961" s="0" t="str">
        <f aca="false">INDEX('Reward Model'!$E$18:$E$37,MATCH($E2961,'Reward Model'!$A$18:$A$37,0))</f>
        <v>High</v>
      </c>
      <c r="Z2961" s="4" t="n">
        <f aca="false">ROUND(MIN(1,MAX('Reward Model'!$B$2,INDEX('Reward Model'!$C$12:$C$14,MATCH($K2961,'Reward Model'!$A$12:$A$14,0))/$J2961)),3)</f>
        <v>1</v>
      </c>
      <c r="AA2961" s="2" t="n">
        <f aca="false">IF($I2961="Correct",ROUND(INDEX('Reward Model'!$B$12:$B$14,MATCH($K2961,'Reward Model'!$A$12:$A$14,0))*Z2961,2),0)</f>
        <v>0</v>
      </c>
      <c r="AB2961" s="2" t="n">
        <f aca="false">IF($I2961="Correct",ROUND(INDEX('Reward Model'!$B$12:$B$14,MATCH($Y2961,'Reward Model'!$A$12:$A$14,0))*Z2961,2),0)</f>
        <v>0</v>
      </c>
    </row>
    <row r="2962" customFormat="false" ht="15" hidden="false" customHeight="false" outlineLevel="0" collapsed="false">
      <c r="A2962" s="0" t="s">
        <v>428</v>
      </c>
      <c r="B2962" s="0" t="s">
        <v>429</v>
      </c>
      <c r="C2962" s="0" t="s">
        <v>322</v>
      </c>
      <c r="D2962" s="0" t="s">
        <v>189</v>
      </c>
      <c r="E2962" s="0" t="n">
        <v>1</v>
      </c>
      <c r="F2962" s="0" t="s">
        <v>32</v>
      </c>
      <c r="G2962" s="0" t="s">
        <v>33</v>
      </c>
      <c r="H2962" s="0" t="s">
        <v>33</v>
      </c>
      <c r="I2962" s="0" t="s">
        <v>34</v>
      </c>
      <c r="J2962" s="0" t="n">
        <v>1.87</v>
      </c>
      <c r="K2962" s="0" t="s">
        <v>35</v>
      </c>
      <c r="L2962" s="0" t="n">
        <f aca="false">INDEX(Summary!$F$2:$F$201,MATCH($B2962,Summary!$A$2:$A$201,0))</f>
        <v>20</v>
      </c>
      <c r="M2962" s="0" t="n">
        <f aca="false">INDEX(Summary!$I$2:$I$201,MATCH($B2962,Summary!$A$2:$A$201,0))</f>
        <v>4</v>
      </c>
      <c r="N2962" s="0" t="n">
        <f aca="false">INDEX(Summary!$J$2:$J$201,MATCH($B2962,Summary!$A$2:$A$201,0))</f>
        <v>1</v>
      </c>
      <c r="O2962" s="2" t="n">
        <f aca="false">INDEX(Summary!$K$2:$K$201,MATCH($B2962,Summary!$A$2:$A$201,0))</f>
        <v>9.39</v>
      </c>
      <c r="P2962" s="3" t="n">
        <f aca="false">INDEX(Summary!$L$2:$L$201,MATCH($B2962,Summary!$A$2:$A$201,0))</f>
        <v>4</v>
      </c>
      <c r="Q2962" s="3" t="n">
        <f aca="false">INDEX(Summary!$M$2:$M$201,MATCH($B2962,Summary!$A$2:$A$201,0))</f>
        <v>2</v>
      </c>
      <c r="R2962" s="2" t="n">
        <f aca="false">INDEX(Summary!$N$2:$N$201,MATCH($B2962,Summary!$A$2:$A$201,0))</f>
        <v>9.25</v>
      </c>
      <c r="S2962" s="3" t="n">
        <f aca="false">INDEX(Summary!$O$2:$O$201,MATCH($B2962,Summary!$A$2:$A$201,0))</f>
        <v>8</v>
      </c>
      <c r="T2962" s="3" t="n">
        <f aca="false">INDEX(Summary!$P$2:$P$201,MATCH($B2962,Summary!$A$2:$A$201,0))</f>
        <v>1</v>
      </c>
      <c r="U2962" s="2" t="n">
        <f aca="false">INDEX(Summary!$Q$2:$Q$201,MATCH($B2962,Summary!$A$2:$A$201,0))</f>
        <v>13.07</v>
      </c>
      <c r="V2962" s="2" t="n">
        <f aca="false">INDEX(Summary!$R$2:$R$201,MATCH($B2962,Summary!$A$2:$A$201,0))</f>
        <v>31.98</v>
      </c>
      <c r="W2962" s="0" t="str">
        <f aca="false">INDEX(Summary!$S$2:$S$201,MATCH($B2962,Summary!$A$2:$A$201,0))</f>
        <v>Gold</v>
      </c>
      <c r="X2962" s="2" t="n">
        <f aca="false">INDEX(Summary!$T$2:$T$201,MATCH($B2962,Summary!$A$2:$A$201,0))</f>
        <v>78</v>
      </c>
      <c r="Y2962" s="0" t="str">
        <f aca="false">INDEX('Reward Model'!$E$18:$E$37,MATCH($E2962,'Reward Model'!$A$18:$A$37,0))</f>
        <v>Medium</v>
      </c>
      <c r="Z2962" s="4" t="n">
        <f aca="false">ROUND(MIN(1,MAX('Reward Model'!$B$2,INDEX('Reward Model'!$C$12:$C$14,MATCH($K2962,'Reward Model'!$A$12:$A$14,0))/$J2962)),3)</f>
        <v>0.802</v>
      </c>
      <c r="AA2962" s="2" t="n">
        <f aca="false">IF($I2962="Correct",ROUND(INDEX('Reward Model'!$B$12:$B$14,MATCH($K2962,'Reward Model'!$A$12:$A$14,0))*Z2962,2),0)</f>
        <v>0.8</v>
      </c>
      <c r="AB2962" s="2" t="n">
        <f aca="false">IF($I2962="Correct",ROUND(INDEX('Reward Model'!$B$12:$B$14,MATCH($Y2962,'Reward Model'!$A$12:$A$14,0))*Z2962,2),0)</f>
        <v>1.6</v>
      </c>
    </row>
    <row r="2963" customFormat="false" ht="15" hidden="false" customHeight="false" outlineLevel="0" collapsed="false">
      <c r="A2963" s="0" t="s">
        <v>428</v>
      </c>
      <c r="B2963" s="0" t="s">
        <v>429</v>
      </c>
      <c r="C2963" s="0" t="s">
        <v>322</v>
      </c>
      <c r="D2963" s="0" t="s">
        <v>189</v>
      </c>
      <c r="E2963" s="0" t="n">
        <v>2</v>
      </c>
      <c r="F2963" s="0" t="s">
        <v>36</v>
      </c>
      <c r="G2963" s="0" t="s">
        <v>38</v>
      </c>
      <c r="H2963" s="0" t="s">
        <v>38</v>
      </c>
      <c r="I2963" s="0" t="s">
        <v>34</v>
      </c>
      <c r="J2963" s="0" t="n">
        <v>0.98</v>
      </c>
      <c r="K2963" s="0" t="s">
        <v>35</v>
      </c>
      <c r="L2963" s="0" t="n">
        <f aca="false">INDEX(Summary!$F$2:$F$201,MATCH($B2963,Summary!$A$2:$A$201,0))</f>
        <v>20</v>
      </c>
      <c r="M2963" s="0" t="n">
        <f aca="false">INDEX(Summary!$I$2:$I$201,MATCH($B2963,Summary!$A$2:$A$201,0))</f>
        <v>4</v>
      </c>
      <c r="N2963" s="0" t="n">
        <f aca="false">INDEX(Summary!$J$2:$J$201,MATCH($B2963,Summary!$A$2:$A$201,0))</f>
        <v>1</v>
      </c>
      <c r="O2963" s="2" t="n">
        <f aca="false">INDEX(Summary!$K$2:$K$201,MATCH($B2963,Summary!$A$2:$A$201,0))</f>
        <v>9.39</v>
      </c>
      <c r="P2963" s="3" t="n">
        <f aca="false">INDEX(Summary!$L$2:$L$201,MATCH($B2963,Summary!$A$2:$A$201,0))</f>
        <v>4</v>
      </c>
      <c r="Q2963" s="3" t="n">
        <f aca="false">INDEX(Summary!$M$2:$M$201,MATCH($B2963,Summary!$A$2:$A$201,0))</f>
        <v>2</v>
      </c>
      <c r="R2963" s="2" t="n">
        <f aca="false">INDEX(Summary!$N$2:$N$201,MATCH($B2963,Summary!$A$2:$A$201,0))</f>
        <v>9.25</v>
      </c>
      <c r="S2963" s="3" t="n">
        <f aca="false">INDEX(Summary!$O$2:$O$201,MATCH($B2963,Summary!$A$2:$A$201,0))</f>
        <v>8</v>
      </c>
      <c r="T2963" s="3" t="n">
        <f aca="false">INDEX(Summary!$P$2:$P$201,MATCH($B2963,Summary!$A$2:$A$201,0))</f>
        <v>1</v>
      </c>
      <c r="U2963" s="2" t="n">
        <f aca="false">INDEX(Summary!$Q$2:$Q$201,MATCH($B2963,Summary!$A$2:$A$201,0))</f>
        <v>13.07</v>
      </c>
      <c r="V2963" s="2" t="n">
        <f aca="false">INDEX(Summary!$R$2:$R$201,MATCH($B2963,Summary!$A$2:$A$201,0))</f>
        <v>31.98</v>
      </c>
      <c r="W2963" s="0" t="str">
        <f aca="false">INDEX(Summary!$S$2:$S$201,MATCH($B2963,Summary!$A$2:$A$201,0))</f>
        <v>Gold</v>
      </c>
      <c r="X2963" s="2" t="n">
        <f aca="false">INDEX(Summary!$T$2:$T$201,MATCH($B2963,Summary!$A$2:$A$201,0))</f>
        <v>78</v>
      </c>
      <c r="Y2963" s="0" t="str">
        <f aca="false">INDEX('Reward Model'!$E$18:$E$37,MATCH($E2963,'Reward Model'!$A$18:$A$37,0))</f>
        <v>Low</v>
      </c>
      <c r="Z2963" s="4" t="n">
        <f aca="false">ROUND(MIN(1,MAX('Reward Model'!$B$2,INDEX('Reward Model'!$C$12:$C$14,MATCH($K2963,'Reward Model'!$A$12:$A$14,0))/$J2963)),3)</f>
        <v>1</v>
      </c>
      <c r="AA2963" s="2" t="n">
        <f aca="false">IF($I2963="Correct",ROUND(INDEX('Reward Model'!$B$12:$B$14,MATCH($K2963,'Reward Model'!$A$12:$A$14,0))*Z2963,2),0)</f>
        <v>1</v>
      </c>
      <c r="AB2963" s="2" t="n">
        <f aca="false">IF($I2963="Correct",ROUND(INDEX('Reward Model'!$B$12:$B$14,MATCH($Y2963,'Reward Model'!$A$12:$A$14,0))*Z2963,2),0)</f>
        <v>1</v>
      </c>
    </row>
    <row r="2964" customFormat="false" ht="15" hidden="false" customHeight="false" outlineLevel="0" collapsed="false">
      <c r="A2964" s="0" t="s">
        <v>428</v>
      </c>
      <c r="B2964" s="0" t="s">
        <v>429</v>
      </c>
      <c r="C2964" s="0" t="s">
        <v>322</v>
      </c>
      <c r="D2964" s="0" t="s">
        <v>189</v>
      </c>
      <c r="E2964" s="0" t="n">
        <v>3</v>
      </c>
      <c r="F2964" s="0" t="s">
        <v>40</v>
      </c>
      <c r="G2964" s="0" t="s">
        <v>42</v>
      </c>
      <c r="H2964" s="0" t="s">
        <v>42</v>
      </c>
      <c r="I2964" s="0" t="s">
        <v>34</v>
      </c>
      <c r="J2964" s="0" t="n">
        <v>1.11</v>
      </c>
      <c r="K2964" s="0" t="s">
        <v>35</v>
      </c>
      <c r="L2964" s="0" t="n">
        <f aca="false">INDEX(Summary!$F$2:$F$201,MATCH($B2964,Summary!$A$2:$A$201,0))</f>
        <v>20</v>
      </c>
      <c r="M2964" s="0" t="n">
        <f aca="false">INDEX(Summary!$I$2:$I$201,MATCH($B2964,Summary!$A$2:$A$201,0))</f>
        <v>4</v>
      </c>
      <c r="N2964" s="0" t="n">
        <f aca="false">INDEX(Summary!$J$2:$J$201,MATCH($B2964,Summary!$A$2:$A$201,0))</f>
        <v>1</v>
      </c>
      <c r="O2964" s="2" t="n">
        <f aca="false">INDEX(Summary!$K$2:$K$201,MATCH($B2964,Summary!$A$2:$A$201,0))</f>
        <v>9.39</v>
      </c>
      <c r="P2964" s="3" t="n">
        <f aca="false">INDEX(Summary!$L$2:$L$201,MATCH($B2964,Summary!$A$2:$A$201,0))</f>
        <v>4</v>
      </c>
      <c r="Q2964" s="3" t="n">
        <f aca="false">INDEX(Summary!$M$2:$M$201,MATCH($B2964,Summary!$A$2:$A$201,0))</f>
        <v>2</v>
      </c>
      <c r="R2964" s="2" t="n">
        <f aca="false">INDEX(Summary!$N$2:$N$201,MATCH($B2964,Summary!$A$2:$A$201,0))</f>
        <v>9.25</v>
      </c>
      <c r="S2964" s="3" t="n">
        <f aca="false">INDEX(Summary!$O$2:$O$201,MATCH($B2964,Summary!$A$2:$A$201,0))</f>
        <v>8</v>
      </c>
      <c r="T2964" s="3" t="n">
        <f aca="false">INDEX(Summary!$P$2:$P$201,MATCH($B2964,Summary!$A$2:$A$201,0))</f>
        <v>1</v>
      </c>
      <c r="U2964" s="2" t="n">
        <f aca="false">INDEX(Summary!$Q$2:$Q$201,MATCH($B2964,Summary!$A$2:$A$201,0))</f>
        <v>13.07</v>
      </c>
      <c r="V2964" s="2" t="n">
        <f aca="false">INDEX(Summary!$R$2:$R$201,MATCH($B2964,Summary!$A$2:$A$201,0))</f>
        <v>31.98</v>
      </c>
      <c r="W2964" s="0" t="str">
        <f aca="false">INDEX(Summary!$S$2:$S$201,MATCH($B2964,Summary!$A$2:$A$201,0))</f>
        <v>Gold</v>
      </c>
      <c r="X2964" s="2" t="n">
        <f aca="false">INDEX(Summary!$T$2:$T$201,MATCH($B2964,Summary!$A$2:$A$201,0))</f>
        <v>78</v>
      </c>
      <c r="Y2964" s="0" t="str">
        <f aca="false">INDEX('Reward Model'!$E$18:$E$37,MATCH($E2964,'Reward Model'!$A$18:$A$37,0))</f>
        <v>Medium</v>
      </c>
      <c r="Z2964" s="4" t="n">
        <f aca="false">ROUND(MIN(1,MAX('Reward Model'!$B$2,INDEX('Reward Model'!$C$12:$C$14,MATCH($K2964,'Reward Model'!$A$12:$A$14,0))/$J2964)),3)</f>
        <v>1</v>
      </c>
      <c r="AA2964" s="2" t="n">
        <f aca="false">IF($I2964="Correct",ROUND(INDEX('Reward Model'!$B$12:$B$14,MATCH($K2964,'Reward Model'!$A$12:$A$14,0))*Z2964,2),0)</f>
        <v>1</v>
      </c>
      <c r="AB2964" s="2" t="n">
        <f aca="false">IF($I2964="Correct",ROUND(INDEX('Reward Model'!$B$12:$B$14,MATCH($Y2964,'Reward Model'!$A$12:$A$14,0))*Z2964,2),0)</f>
        <v>2</v>
      </c>
    </row>
    <row r="2965" customFormat="false" ht="15" hidden="false" customHeight="false" outlineLevel="0" collapsed="false">
      <c r="A2965" s="0" t="s">
        <v>428</v>
      </c>
      <c r="B2965" s="0" t="s">
        <v>429</v>
      </c>
      <c r="C2965" s="0" t="s">
        <v>322</v>
      </c>
      <c r="D2965" s="0" t="s">
        <v>189</v>
      </c>
      <c r="E2965" s="0" t="n">
        <v>4</v>
      </c>
      <c r="F2965" s="0" t="s">
        <v>43</v>
      </c>
      <c r="G2965" s="0" t="s">
        <v>111</v>
      </c>
      <c r="H2965" s="0" t="s">
        <v>45</v>
      </c>
      <c r="I2965" s="0" t="s">
        <v>39</v>
      </c>
      <c r="J2965" s="0" t="n">
        <v>1.85</v>
      </c>
      <c r="K2965" s="0" t="s">
        <v>35</v>
      </c>
      <c r="L2965" s="0" t="n">
        <f aca="false">INDEX(Summary!$F$2:$F$201,MATCH($B2965,Summary!$A$2:$A$201,0))</f>
        <v>20</v>
      </c>
      <c r="M2965" s="0" t="n">
        <f aca="false">INDEX(Summary!$I$2:$I$201,MATCH($B2965,Summary!$A$2:$A$201,0))</f>
        <v>4</v>
      </c>
      <c r="N2965" s="0" t="n">
        <f aca="false">INDEX(Summary!$J$2:$J$201,MATCH($B2965,Summary!$A$2:$A$201,0))</f>
        <v>1</v>
      </c>
      <c r="O2965" s="2" t="n">
        <f aca="false">INDEX(Summary!$K$2:$K$201,MATCH($B2965,Summary!$A$2:$A$201,0))</f>
        <v>9.39</v>
      </c>
      <c r="P2965" s="3" t="n">
        <f aca="false">INDEX(Summary!$L$2:$L$201,MATCH($B2965,Summary!$A$2:$A$201,0))</f>
        <v>4</v>
      </c>
      <c r="Q2965" s="3" t="n">
        <f aca="false">INDEX(Summary!$M$2:$M$201,MATCH($B2965,Summary!$A$2:$A$201,0))</f>
        <v>2</v>
      </c>
      <c r="R2965" s="2" t="n">
        <f aca="false">INDEX(Summary!$N$2:$N$201,MATCH($B2965,Summary!$A$2:$A$201,0))</f>
        <v>9.25</v>
      </c>
      <c r="S2965" s="3" t="n">
        <f aca="false">INDEX(Summary!$O$2:$O$201,MATCH($B2965,Summary!$A$2:$A$201,0))</f>
        <v>8</v>
      </c>
      <c r="T2965" s="3" t="n">
        <f aca="false">INDEX(Summary!$P$2:$P$201,MATCH($B2965,Summary!$A$2:$A$201,0))</f>
        <v>1</v>
      </c>
      <c r="U2965" s="2" t="n">
        <f aca="false">INDEX(Summary!$Q$2:$Q$201,MATCH($B2965,Summary!$A$2:$A$201,0))</f>
        <v>13.07</v>
      </c>
      <c r="V2965" s="2" t="n">
        <f aca="false">INDEX(Summary!$R$2:$R$201,MATCH($B2965,Summary!$A$2:$A$201,0))</f>
        <v>31.98</v>
      </c>
      <c r="W2965" s="0" t="str">
        <f aca="false">INDEX(Summary!$S$2:$S$201,MATCH($B2965,Summary!$A$2:$A$201,0))</f>
        <v>Gold</v>
      </c>
      <c r="X2965" s="2" t="n">
        <f aca="false">INDEX(Summary!$T$2:$T$201,MATCH($B2965,Summary!$A$2:$A$201,0))</f>
        <v>78</v>
      </c>
      <c r="Y2965" s="0" t="str">
        <f aca="false">INDEX('Reward Model'!$E$18:$E$37,MATCH($E2965,'Reward Model'!$A$18:$A$37,0))</f>
        <v>Low</v>
      </c>
      <c r="Z2965" s="4" t="n">
        <f aca="false">ROUND(MIN(1,MAX('Reward Model'!$B$2,INDEX('Reward Model'!$C$12:$C$14,MATCH($K2965,'Reward Model'!$A$12:$A$14,0))/$J2965)),3)</f>
        <v>0.811</v>
      </c>
      <c r="AA2965" s="2" t="n">
        <f aca="false">IF($I2965="Correct",ROUND(INDEX('Reward Model'!$B$12:$B$14,MATCH($K2965,'Reward Model'!$A$12:$A$14,0))*Z2965,2),0)</f>
        <v>0</v>
      </c>
      <c r="AB2965" s="2" t="n">
        <f aca="false">IF($I2965="Correct",ROUND(INDEX('Reward Model'!$B$12:$B$14,MATCH($Y2965,'Reward Model'!$A$12:$A$14,0))*Z2965,2),0)</f>
        <v>0</v>
      </c>
    </row>
    <row r="2966" customFormat="false" ht="15" hidden="false" customHeight="false" outlineLevel="0" collapsed="false">
      <c r="A2966" s="0" t="s">
        <v>428</v>
      </c>
      <c r="B2966" s="0" t="s">
        <v>429</v>
      </c>
      <c r="C2966" s="0" t="s">
        <v>322</v>
      </c>
      <c r="D2966" s="0" t="s">
        <v>189</v>
      </c>
      <c r="E2966" s="0" t="n">
        <v>5</v>
      </c>
      <c r="F2966" s="0" t="s">
        <v>46</v>
      </c>
      <c r="G2966" s="0" t="s">
        <v>47</v>
      </c>
      <c r="H2966" s="0" t="s">
        <v>47</v>
      </c>
      <c r="I2966" s="0" t="s">
        <v>34</v>
      </c>
      <c r="J2966" s="0" t="n">
        <v>1.33</v>
      </c>
      <c r="K2966" s="0" t="s">
        <v>35</v>
      </c>
      <c r="L2966" s="0" t="n">
        <f aca="false">INDEX(Summary!$F$2:$F$201,MATCH($B2966,Summary!$A$2:$A$201,0))</f>
        <v>20</v>
      </c>
      <c r="M2966" s="0" t="n">
        <f aca="false">INDEX(Summary!$I$2:$I$201,MATCH($B2966,Summary!$A$2:$A$201,0))</f>
        <v>4</v>
      </c>
      <c r="N2966" s="0" t="n">
        <f aca="false">INDEX(Summary!$J$2:$J$201,MATCH($B2966,Summary!$A$2:$A$201,0))</f>
        <v>1</v>
      </c>
      <c r="O2966" s="2" t="n">
        <f aca="false">INDEX(Summary!$K$2:$K$201,MATCH($B2966,Summary!$A$2:$A$201,0))</f>
        <v>9.39</v>
      </c>
      <c r="P2966" s="3" t="n">
        <f aca="false">INDEX(Summary!$L$2:$L$201,MATCH($B2966,Summary!$A$2:$A$201,0))</f>
        <v>4</v>
      </c>
      <c r="Q2966" s="3" t="n">
        <f aca="false">INDEX(Summary!$M$2:$M$201,MATCH($B2966,Summary!$A$2:$A$201,0))</f>
        <v>2</v>
      </c>
      <c r="R2966" s="2" t="n">
        <f aca="false">INDEX(Summary!$N$2:$N$201,MATCH($B2966,Summary!$A$2:$A$201,0))</f>
        <v>9.25</v>
      </c>
      <c r="S2966" s="3" t="n">
        <f aca="false">INDEX(Summary!$O$2:$O$201,MATCH($B2966,Summary!$A$2:$A$201,0))</f>
        <v>8</v>
      </c>
      <c r="T2966" s="3" t="n">
        <f aca="false">INDEX(Summary!$P$2:$P$201,MATCH($B2966,Summary!$A$2:$A$201,0))</f>
        <v>1</v>
      </c>
      <c r="U2966" s="2" t="n">
        <f aca="false">INDEX(Summary!$Q$2:$Q$201,MATCH($B2966,Summary!$A$2:$A$201,0))</f>
        <v>13.07</v>
      </c>
      <c r="V2966" s="2" t="n">
        <f aca="false">INDEX(Summary!$R$2:$R$201,MATCH($B2966,Summary!$A$2:$A$201,0))</f>
        <v>31.98</v>
      </c>
      <c r="W2966" s="0" t="str">
        <f aca="false">INDEX(Summary!$S$2:$S$201,MATCH($B2966,Summary!$A$2:$A$201,0))</f>
        <v>Gold</v>
      </c>
      <c r="X2966" s="2" t="n">
        <f aca="false">INDEX(Summary!$T$2:$T$201,MATCH($B2966,Summary!$A$2:$A$201,0))</f>
        <v>78</v>
      </c>
      <c r="Y2966" s="0" t="str">
        <f aca="false">INDEX('Reward Model'!$E$18:$E$37,MATCH($E2966,'Reward Model'!$A$18:$A$37,0))</f>
        <v>Low</v>
      </c>
      <c r="Z2966" s="4" t="n">
        <f aca="false">ROUND(MIN(1,MAX('Reward Model'!$B$2,INDEX('Reward Model'!$C$12:$C$14,MATCH($K2966,'Reward Model'!$A$12:$A$14,0))/$J2966)),3)</f>
        <v>1</v>
      </c>
      <c r="AA2966" s="2" t="n">
        <f aca="false">IF($I2966="Correct",ROUND(INDEX('Reward Model'!$B$12:$B$14,MATCH($K2966,'Reward Model'!$A$12:$A$14,0))*Z2966,2),0)</f>
        <v>1</v>
      </c>
      <c r="AB2966" s="2" t="n">
        <f aca="false">IF($I2966="Correct",ROUND(INDEX('Reward Model'!$B$12:$B$14,MATCH($Y2966,'Reward Model'!$A$12:$A$14,0))*Z2966,2),0)</f>
        <v>1</v>
      </c>
    </row>
    <row r="2967" customFormat="false" ht="15" hidden="false" customHeight="false" outlineLevel="0" collapsed="false">
      <c r="A2967" s="0" t="s">
        <v>428</v>
      </c>
      <c r="B2967" s="0" t="s">
        <v>429</v>
      </c>
      <c r="C2967" s="0" t="s">
        <v>322</v>
      </c>
      <c r="D2967" s="0" t="s">
        <v>189</v>
      </c>
      <c r="E2967" s="0" t="n">
        <v>6</v>
      </c>
      <c r="F2967" s="0" t="s">
        <v>48</v>
      </c>
      <c r="G2967" s="0" t="s">
        <v>49</v>
      </c>
      <c r="H2967" s="0" t="s">
        <v>49</v>
      </c>
      <c r="I2967" s="0" t="s">
        <v>34</v>
      </c>
      <c r="J2967" s="0" t="n">
        <v>1.46</v>
      </c>
      <c r="K2967" s="0" t="s">
        <v>35</v>
      </c>
      <c r="L2967" s="0" t="n">
        <f aca="false">INDEX(Summary!$F$2:$F$201,MATCH($B2967,Summary!$A$2:$A$201,0))</f>
        <v>20</v>
      </c>
      <c r="M2967" s="0" t="n">
        <f aca="false">INDEX(Summary!$I$2:$I$201,MATCH($B2967,Summary!$A$2:$A$201,0))</f>
        <v>4</v>
      </c>
      <c r="N2967" s="0" t="n">
        <f aca="false">INDEX(Summary!$J$2:$J$201,MATCH($B2967,Summary!$A$2:$A$201,0))</f>
        <v>1</v>
      </c>
      <c r="O2967" s="2" t="n">
        <f aca="false">INDEX(Summary!$K$2:$K$201,MATCH($B2967,Summary!$A$2:$A$201,0))</f>
        <v>9.39</v>
      </c>
      <c r="P2967" s="3" t="n">
        <f aca="false">INDEX(Summary!$L$2:$L$201,MATCH($B2967,Summary!$A$2:$A$201,0))</f>
        <v>4</v>
      </c>
      <c r="Q2967" s="3" t="n">
        <f aca="false">INDEX(Summary!$M$2:$M$201,MATCH($B2967,Summary!$A$2:$A$201,0))</f>
        <v>2</v>
      </c>
      <c r="R2967" s="2" t="n">
        <f aca="false">INDEX(Summary!$N$2:$N$201,MATCH($B2967,Summary!$A$2:$A$201,0))</f>
        <v>9.25</v>
      </c>
      <c r="S2967" s="3" t="n">
        <f aca="false">INDEX(Summary!$O$2:$O$201,MATCH($B2967,Summary!$A$2:$A$201,0))</f>
        <v>8</v>
      </c>
      <c r="T2967" s="3" t="n">
        <f aca="false">INDEX(Summary!$P$2:$P$201,MATCH($B2967,Summary!$A$2:$A$201,0))</f>
        <v>1</v>
      </c>
      <c r="U2967" s="2" t="n">
        <f aca="false">INDEX(Summary!$Q$2:$Q$201,MATCH($B2967,Summary!$A$2:$A$201,0))</f>
        <v>13.07</v>
      </c>
      <c r="V2967" s="2" t="n">
        <f aca="false">INDEX(Summary!$R$2:$R$201,MATCH($B2967,Summary!$A$2:$A$201,0))</f>
        <v>31.98</v>
      </c>
      <c r="W2967" s="0" t="str">
        <f aca="false">INDEX(Summary!$S$2:$S$201,MATCH($B2967,Summary!$A$2:$A$201,0))</f>
        <v>Gold</v>
      </c>
      <c r="X2967" s="2" t="n">
        <f aca="false">INDEX(Summary!$T$2:$T$201,MATCH($B2967,Summary!$A$2:$A$201,0))</f>
        <v>78</v>
      </c>
      <c r="Y2967" s="0" t="str">
        <f aca="false">INDEX('Reward Model'!$E$18:$E$37,MATCH($E2967,'Reward Model'!$A$18:$A$37,0))</f>
        <v>Medium</v>
      </c>
      <c r="Z2967" s="4" t="n">
        <f aca="false">ROUND(MIN(1,MAX('Reward Model'!$B$2,INDEX('Reward Model'!$C$12:$C$14,MATCH($K2967,'Reward Model'!$A$12:$A$14,0))/$J2967)),3)</f>
        <v>1</v>
      </c>
      <c r="AA2967" s="2" t="n">
        <f aca="false">IF($I2967="Correct",ROUND(INDEX('Reward Model'!$B$12:$B$14,MATCH($K2967,'Reward Model'!$A$12:$A$14,0))*Z2967,2),0)</f>
        <v>1</v>
      </c>
      <c r="AB2967" s="2" t="n">
        <f aca="false">IF($I2967="Correct",ROUND(INDEX('Reward Model'!$B$12:$B$14,MATCH($Y2967,'Reward Model'!$A$12:$A$14,0))*Z2967,2),0)</f>
        <v>2</v>
      </c>
    </row>
    <row r="2968" customFormat="false" ht="15" hidden="false" customHeight="false" outlineLevel="0" collapsed="false">
      <c r="A2968" s="0" t="s">
        <v>428</v>
      </c>
      <c r="B2968" s="0" t="s">
        <v>429</v>
      </c>
      <c r="C2968" s="0" t="s">
        <v>322</v>
      </c>
      <c r="D2968" s="0" t="s">
        <v>189</v>
      </c>
      <c r="E2968" s="0" t="n">
        <v>7</v>
      </c>
      <c r="F2968" s="0" t="s">
        <v>50</v>
      </c>
      <c r="G2968" s="0" t="s">
        <v>51</v>
      </c>
      <c r="H2968" s="0" t="s">
        <v>51</v>
      </c>
      <c r="I2968" s="0" t="s">
        <v>34</v>
      </c>
      <c r="J2968" s="0" t="n">
        <v>1.5</v>
      </c>
      <c r="K2968" s="0" t="s">
        <v>35</v>
      </c>
      <c r="L2968" s="0" t="n">
        <f aca="false">INDEX(Summary!$F$2:$F$201,MATCH($B2968,Summary!$A$2:$A$201,0))</f>
        <v>20</v>
      </c>
      <c r="M2968" s="0" t="n">
        <f aca="false">INDEX(Summary!$I$2:$I$201,MATCH($B2968,Summary!$A$2:$A$201,0))</f>
        <v>4</v>
      </c>
      <c r="N2968" s="0" t="n">
        <f aca="false">INDEX(Summary!$J$2:$J$201,MATCH($B2968,Summary!$A$2:$A$201,0))</f>
        <v>1</v>
      </c>
      <c r="O2968" s="2" t="n">
        <f aca="false">INDEX(Summary!$K$2:$K$201,MATCH($B2968,Summary!$A$2:$A$201,0))</f>
        <v>9.39</v>
      </c>
      <c r="P2968" s="3" t="n">
        <f aca="false">INDEX(Summary!$L$2:$L$201,MATCH($B2968,Summary!$A$2:$A$201,0))</f>
        <v>4</v>
      </c>
      <c r="Q2968" s="3" t="n">
        <f aca="false">INDEX(Summary!$M$2:$M$201,MATCH($B2968,Summary!$A$2:$A$201,0))</f>
        <v>2</v>
      </c>
      <c r="R2968" s="2" t="n">
        <f aca="false">INDEX(Summary!$N$2:$N$201,MATCH($B2968,Summary!$A$2:$A$201,0))</f>
        <v>9.25</v>
      </c>
      <c r="S2968" s="3" t="n">
        <f aca="false">INDEX(Summary!$O$2:$O$201,MATCH($B2968,Summary!$A$2:$A$201,0))</f>
        <v>8</v>
      </c>
      <c r="T2968" s="3" t="n">
        <f aca="false">INDEX(Summary!$P$2:$P$201,MATCH($B2968,Summary!$A$2:$A$201,0))</f>
        <v>1</v>
      </c>
      <c r="U2968" s="2" t="n">
        <f aca="false">INDEX(Summary!$Q$2:$Q$201,MATCH($B2968,Summary!$A$2:$A$201,0))</f>
        <v>13.07</v>
      </c>
      <c r="V2968" s="2" t="n">
        <f aca="false">INDEX(Summary!$R$2:$R$201,MATCH($B2968,Summary!$A$2:$A$201,0))</f>
        <v>31.98</v>
      </c>
      <c r="W2968" s="0" t="str">
        <f aca="false">INDEX(Summary!$S$2:$S$201,MATCH($B2968,Summary!$A$2:$A$201,0))</f>
        <v>Gold</v>
      </c>
      <c r="X2968" s="2" t="n">
        <f aca="false">INDEX(Summary!$T$2:$T$201,MATCH($B2968,Summary!$A$2:$A$201,0))</f>
        <v>78</v>
      </c>
      <c r="Y2968" s="0" t="str">
        <f aca="false">INDEX('Reward Model'!$E$18:$E$37,MATCH($E2968,'Reward Model'!$A$18:$A$37,0))</f>
        <v>Low</v>
      </c>
      <c r="Z2968" s="4" t="n">
        <f aca="false">ROUND(MIN(1,MAX('Reward Model'!$B$2,INDEX('Reward Model'!$C$12:$C$14,MATCH($K2968,'Reward Model'!$A$12:$A$14,0))/$J2968)),3)</f>
        <v>1</v>
      </c>
      <c r="AA2968" s="2" t="n">
        <f aca="false">IF($I2968="Correct",ROUND(INDEX('Reward Model'!$B$12:$B$14,MATCH($K2968,'Reward Model'!$A$12:$A$14,0))*Z2968,2),0)</f>
        <v>1</v>
      </c>
      <c r="AB2968" s="2" t="n">
        <f aca="false">IF($I2968="Correct",ROUND(INDEX('Reward Model'!$B$12:$B$14,MATCH($Y2968,'Reward Model'!$A$12:$A$14,0))*Z2968,2),0)</f>
        <v>1</v>
      </c>
    </row>
    <row r="2969" customFormat="false" ht="15" hidden="false" customHeight="false" outlineLevel="0" collapsed="false">
      <c r="A2969" s="0" t="s">
        <v>428</v>
      </c>
      <c r="B2969" s="0" t="s">
        <v>429</v>
      </c>
      <c r="C2969" s="0" t="s">
        <v>322</v>
      </c>
      <c r="D2969" s="0" t="s">
        <v>189</v>
      </c>
      <c r="E2969" s="0" t="n">
        <v>8</v>
      </c>
      <c r="F2969" s="0" t="s">
        <v>52</v>
      </c>
      <c r="G2969" s="0" t="s">
        <v>54</v>
      </c>
      <c r="H2969" s="0" t="s">
        <v>54</v>
      </c>
      <c r="I2969" s="0" t="s">
        <v>34</v>
      </c>
      <c r="J2969" s="0" t="n">
        <v>1.06</v>
      </c>
      <c r="K2969" s="0" t="s">
        <v>35</v>
      </c>
      <c r="L2969" s="0" t="n">
        <f aca="false">INDEX(Summary!$F$2:$F$201,MATCH($B2969,Summary!$A$2:$A$201,0))</f>
        <v>20</v>
      </c>
      <c r="M2969" s="0" t="n">
        <f aca="false">INDEX(Summary!$I$2:$I$201,MATCH($B2969,Summary!$A$2:$A$201,0))</f>
        <v>4</v>
      </c>
      <c r="N2969" s="0" t="n">
        <f aca="false">INDEX(Summary!$J$2:$J$201,MATCH($B2969,Summary!$A$2:$A$201,0))</f>
        <v>1</v>
      </c>
      <c r="O2969" s="2" t="n">
        <f aca="false">INDEX(Summary!$K$2:$K$201,MATCH($B2969,Summary!$A$2:$A$201,0))</f>
        <v>9.39</v>
      </c>
      <c r="P2969" s="3" t="n">
        <f aca="false">INDEX(Summary!$L$2:$L$201,MATCH($B2969,Summary!$A$2:$A$201,0))</f>
        <v>4</v>
      </c>
      <c r="Q2969" s="3" t="n">
        <f aca="false">INDEX(Summary!$M$2:$M$201,MATCH($B2969,Summary!$A$2:$A$201,0))</f>
        <v>2</v>
      </c>
      <c r="R2969" s="2" t="n">
        <f aca="false">INDEX(Summary!$N$2:$N$201,MATCH($B2969,Summary!$A$2:$A$201,0))</f>
        <v>9.25</v>
      </c>
      <c r="S2969" s="3" t="n">
        <f aca="false">INDEX(Summary!$O$2:$O$201,MATCH($B2969,Summary!$A$2:$A$201,0))</f>
        <v>8</v>
      </c>
      <c r="T2969" s="3" t="n">
        <f aca="false">INDEX(Summary!$P$2:$P$201,MATCH($B2969,Summary!$A$2:$A$201,0))</f>
        <v>1</v>
      </c>
      <c r="U2969" s="2" t="n">
        <f aca="false">INDEX(Summary!$Q$2:$Q$201,MATCH($B2969,Summary!$A$2:$A$201,0))</f>
        <v>13.07</v>
      </c>
      <c r="V2969" s="2" t="n">
        <f aca="false">INDEX(Summary!$R$2:$R$201,MATCH($B2969,Summary!$A$2:$A$201,0))</f>
        <v>31.98</v>
      </c>
      <c r="W2969" s="0" t="str">
        <f aca="false">INDEX(Summary!$S$2:$S$201,MATCH($B2969,Summary!$A$2:$A$201,0))</f>
        <v>Gold</v>
      </c>
      <c r="X2969" s="2" t="n">
        <f aca="false">INDEX(Summary!$T$2:$T$201,MATCH($B2969,Summary!$A$2:$A$201,0))</f>
        <v>78</v>
      </c>
      <c r="Y2969" s="0" t="str">
        <f aca="false">INDEX('Reward Model'!$E$18:$E$37,MATCH($E2969,'Reward Model'!$A$18:$A$37,0))</f>
        <v>Medium</v>
      </c>
      <c r="Z2969" s="4" t="n">
        <f aca="false">ROUND(MIN(1,MAX('Reward Model'!$B$2,INDEX('Reward Model'!$C$12:$C$14,MATCH($K2969,'Reward Model'!$A$12:$A$14,0))/$J2969)),3)</f>
        <v>1</v>
      </c>
      <c r="AA2969" s="2" t="n">
        <f aca="false">IF($I2969="Correct",ROUND(INDEX('Reward Model'!$B$12:$B$14,MATCH($K2969,'Reward Model'!$A$12:$A$14,0))*Z2969,2),0)</f>
        <v>1</v>
      </c>
      <c r="AB2969" s="2" t="n">
        <f aca="false">IF($I2969="Correct",ROUND(INDEX('Reward Model'!$B$12:$B$14,MATCH($Y2969,'Reward Model'!$A$12:$A$14,0))*Z2969,2),0)</f>
        <v>2</v>
      </c>
    </row>
    <row r="2970" customFormat="false" ht="15" hidden="false" customHeight="false" outlineLevel="0" collapsed="false">
      <c r="A2970" s="0" t="s">
        <v>428</v>
      </c>
      <c r="B2970" s="0" t="s">
        <v>429</v>
      </c>
      <c r="C2970" s="0" t="s">
        <v>322</v>
      </c>
      <c r="D2970" s="0" t="s">
        <v>189</v>
      </c>
      <c r="E2970" s="0" t="n">
        <v>9</v>
      </c>
      <c r="F2970" s="0" t="s">
        <v>55</v>
      </c>
      <c r="G2970" s="0" t="s">
        <v>57</v>
      </c>
      <c r="H2970" s="0" t="s">
        <v>57</v>
      </c>
      <c r="I2970" s="0" t="s">
        <v>34</v>
      </c>
      <c r="J2970" s="0" t="n">
        <v>1.91</v>
      </c>
      <c r="K2970" s="0" t="s">
        <v>35</v>
      </c>
      <c r="L2970" s="0" t="n">
        <f aca="false">INDEX(Summary!$F$2:$F$201,MATCH($B2970,Summary!$A$2:$A$201,0))</f>
        <v>20</v>
      </c>
      <c r="M2970" s="0" t="n">
        <f aca="false">INDEX(Summary!$I$2:$I$201,MATCH($B2970,Summary!$A$2:$A$201,0))</f>
        <v>4</v>
      </c>
      <c r="N2970" s="0" t="n">
        <f aca="false">INDEX(Summary!$J$2:$J$201,MATCH($B2970,Summary!$A$2:$A$201,0))</f>
        <v>1</v>
      </c>
      <c r="O2970" s="2" t="n">
        <f aca="false">INDEX(Summary!$K$2:$K$201,MATCH($B2970,Summary!$A$2:$A$201,0))</f>
        <v>9.39</v>
      </c>
      <c r="P2970" s="3" t="n">
        <f aca="false">INDEX(Summary!$L$2:$L$201,MATCH($B2970,Summary!$A$2:$A$201,0))</f>
        <v>4</v>
      </c>
      <c r="Q2970" s="3" t="n">
        <f aca="false">INDEX(Summary!$M$2:$M$201,MATCH($B2970,Summary!$A$2:$A$201,0))</f>
        <v>2</v>
      </c>
      <c r="R2970" s="2" t="n">
        <f aca="false">INDEX(Summary!$N$2:$N$201,MATCH($B2970,Summary!$A$2:$A$201,0))</f>
        <v>9.25</v>
      </c>
      <c r="S2970" s="3" t="n">
        <f aca="false">INDEX(Summary!$O$2:$O$201,MATCH($B2970,Summary!$A$2:$A$201,0))</f>
        <v>8</v>
      </c>
      <c r="T2970" s="3" t="n">
        <f aca="false">INDEX(Summary!$P$2:$P$201,MATCH($B2970,Summary!$A$2:$A$201,0))</f>
        <v>1</v>
      </c>
      <c r="U2970" s="2" t="n">
        <f aca="false">INDEX(Summary!$Q$2:$Q$201,MATCH($B2970,Summary!$A$2:$A$201,0))</f>
        <v>13.07</v>
      </c>
      <c r="V2970" s="2" t="n">
        <f aca="false">INDEX(Summary!$R$2:$R$201,MATCH($B2970,Summary!$A$2:$A$201,0))</f>
        <v>31.98</v>
      </c>
      <c r="W2970" s="0" t="str">
        <f aca="false">INDEX(Summary!$S$2:$S$201,MATCH($B2970,Summary!$A$2:$A$201,0))</f>
        <v>Gold</v>
      </c>
      <c r="X2970" s="2" t="n">
        <f aca="false">INDEX(Summary!$T$2:$T$201,MATCH($B2970,Summary!$A$2:$A$201,0))</f>
        <v>78</v>
      </c>
      <c r="Y2970" s="0" t="str">
        <f aca="false">INDEX('Reward Model'!$E$18:$E$37,MATCH($E2970,'Reward Model'!$A$18:$A$37,0))</f>
        <v>Medium</v>
      </c>
      <c r="Z2970" s="4" t="n">
        <f aca="false">ROUND(MIN(1,MAX('Reward Model'!$B$2,INDEX('Reward Model'!$C$12:$C$14,MATCH($K2970,'Reward Model'!$A$12:$A$14,0))/$J2970)),3)</f>
        <v>0.785</v>
      </c>
      <c r="AA2970" s="2" t="n">
        <f aca="false">IF($I2970="Correct",ROUND(INDEX('Reward Model'!$B$12:$B$14,MATCH($K2970,'Reward Model'!$A$12:$A$14,0))*Z2970,2),0)</f>
        <v>0.79</v>
      </c>
      <c r="AB2970" s="2" t="n">
        <f aca="false">IF($I2970="Correct",ROUND(INDEX('Reward Model'!$B$12:$B$14,MATCH($Y2970,'Reward Model'!$A$12:$A$14,0))*Z2970,2),0)</f>
        <v>1.57</v>
      </c>
    </row>
    <row r="2971" customFormat="false" ht="15" hidden="false" customHeight="false" outlineLevel="0" collapsed="false">
      <c r="A2971" s="0" t="s">
        <v>428</v>
      </c>
      <c r="B2971" s="0" t="s">
        <v>429</v>
      </c>
      <c r="C2971" s="0" t="s">
        <v>322</v>
      </c>
      <c r="D2971" s="0" t="s">
        <v>189</v>
      </c>
      <c r="E2971" s="0" t="n">
        <v>10</v>
      </c>
      <c r="F2971" s="0" t="s">
        <v>58</v>
      </c>
      <c r="G2971" s="0" t="s">
        <v>59</v>
      </c>
      <c r="H2971" s="0" t="s">
        <v>59</v>
      </c>
      <c r="I2971" s="0" t="s">
        <v>34</v>
      </c>
      <c r="J2971" s="0" t="n">
        <v>1.15</v>
      </c>
      <c r="K2971" s="0" t="s">
        <v>60</v>
      </c>
      <c r="L2971" s="0" t="n">
        <f aca="false">INDEX(Summary!$F$2:$F$201,MATCH($B2971,Summary!$A$2:$A$201,0))</f>
        <v>20</v>
      </c>
      <c r="M2971" s="0" t="n">
        <f aca="false">INDEX(Summary!$I$2:$I$201,MATCH($B2971,Summary!$A$2:$A$201,0))</f>
        <v>4</v>
      </c>
      <c r="N2971" s="0" t="n">
        <f aca="false">INDEX(Summary!$J$2:$J$201,MATCH($B2971,Summary!$A$2:$A$201,0))</f>
        <v>1</v>
      </c>
      <c r="O2971" s="2" t="n">
        <f aca="false">INDEX(Summary!$K$2:$K$201,MATCH($B2971,Summary!$A$2:$A$201,0))</f>
        <v>9.39</v>
      </c>
      <c r="P2971" s="3" t="n">
        <f aca="false">INDEX(Summary!$L$2:$L$201,MATCH($B2971,Summary!$A$2:$A$201,0))</f>
        <v>4</v>
      </c>
      <c r="Q2971" s="3" t="n">
        <f aca="false">INDEX(Summary!$M$2:$M$201,MATCH($B2971,Summary!$A$2:$A$201,0))</f>
        <v>2</v>
      </c>
      <c r="R2971" s="2" t="n">
        <f aca="false">INDEX(Summary!$N$2:$N$201,MATCH($B2971,Summary!$A$2:$A$201,0))</f>
        <v>9.25</v>
      </c>
      <c r="S2971" s="3" t="n">
        <f aca="false">INDEX(Summary!$O$2:$O$201,MATCH($B2971,Summary!$A$2:$A$201,0))</f>
        <v>8</v>
      </c>
      <c r="T2971" s="3" t="n">
        <f aca="false">INDEX(Summary!$P$2:$P$201,MATCH($B2971,Summary!$A$2:$A$201,0))</f>
        <v>1</v>
      </c>
      <c r="U2971" s="2" t="n">
        <f aca="false">INDEX(Summary!$Q$2:$Q$201,MATCH($B2971,Summary!$A$2:$A$201,0))</f>
        <v>13.07</v>
      </c>
      <c r="V2971" s="2" t="n">
        <f aca="false">INDEX(Summary!$R$2:$R$201,MATCH($B2971,Summary!$A$2:$A$201,0))</f>
        <v>31.98</v>
      </c>
      <c r="W2971" s="0" t="str">
        <f aca="false">INDEX(Summary!$S$2:$S$201,MATCH($B2971,Summary!$A$2:$A$201,0))</f>
        <v>Gold</v>
      </c>
      <c r="X2971" s="2" t="n">
        <f aca="false">INDEX(Summary!$T$2:$T$201,MATCH($B2971,Summary!$A$2:$A$201,0))</f>
        <v>78</v>
      </c>
      <c r="Y2971" s="0" t="str">
        <f aca="false">INDEX('Reward Model'!$E$18:$E$37,MATCH($E2971,'Reward Model'!$A$18:$A$37,0))</f>
        <v>Medium</v>
      </c>
      <c r="Z2971" s="4" t="n">
        <f aca="false">ROUND(MIN(1,MAX('Reward Model'!$B$2,INDEX('Reward Model'!$C$12:$C$14,MATCH($K2971,'Reward Model'!$A$12:$A$14,0))/$J2971)),3)</f>
        <v>1</v>
      </c>
      <c r="AA2971" s="2" t="n">
        <f aca="false">IF($I2971="Correct",ROUND(INDEX('Reward Model'!$B$12:$B$14,MATCH($K2971,'Reward Model'!$A$12:$A$14,0))*Z2971,2),0)</f>
        <v>2</v>
      </c>
      <c r="AB2971" s="2" t="n">
        <f aca="false">IF($I2971="Correct",ROUND(INDEX('Reward Model'!$B$12:$B$14,MATCH($Y2971,'Reward Model'!$A$12:$A$14,0))*Z2971,2),0)</f>
        <v>2</v>
      </c>
    </row>
    <row r="2972" customFormat="false" ht="15" hidden="false" customHeight="false" outlineLevel="0" collapsed="false">
      <c r="A2972" s="0" t="s">
        <v>428</v>
      </c>
      <c r="B2972" s="0" t="s">
        <v>429</v>
      </c>
      <c r="C2972" s="0" t="s">
        <v>322</v>
      </c>
      <c r="D2972" s="0" t="s">
        <v>189</v>
      </c>
      <c r="E2972" s="0" t="n">
        <v>11</v>
      </c>
      <c r="F2972" s="0" t="s">
        <v>61</v>
      </c>
      <c r="G2972" s="0" t="s">
        <v>63</v>
      </c>
      <c r="H2972" s="0" t="s">
        <v>63</v>
      </c>
      <c r="I2972" s="0" t="s">
        <v>34</v>
      </c>
      <c r="J2972" s="0" t="n">
        <v>1.66</v>
      </c>
      <c r="K2972" s="0" t="s">
        <v>60</v>
      </c>
      <c r="L2972" s="0" t="n">
        <f aca="false">INDEX(Summary!$F$2:$F$201,MATCH($B2972,Summary!$A$2:$A$201,0))</f>
        <v>20</v>
      </c>
      <c r="M2972" s="0" t="n">
        <f aca="false">INDEX(Summary!$I$2:$I$201,MATCH($B2972,Summary!$A$2:$A$201,0))</f>
        <v>4</v>
      </c>
      <c r="N2972" s="0" t="n">
        <f aca="false">INDEX(Summary!$J$2:$J$201,MATCH($B2972,Summary!$A$2:$A$201,0))</f>
        <v>1</v>
      </c>
      <c r="O2972" s="2" t="n">
        <f aca="false">INDEX(Summary!$K$2:$K$201,MATCH($B2972,Summary!$A$2:$A$201,0))</f>
        <v>9.39</v>
      </c>
      <c r="P2972" s="3" t="n">
        <f aca="false">INDEX(Summary!$L$2:$L$201,MATCH($B2972,Summary!$A$2:$A$201,0))</f>
        <v>4</v>
      </c>
      <c r="Q2972" s="3" t="n">
        <f aca="false">INDEX(Summary!$M$2:$M$201,MATCH($B2972,Summary!$A$2:$A$201,0))</f>
        <v>2</v>
      </c>
      <c r="R2972" s="2" t="n">
        <f aca="false">INDEX(Summary!$N$2:$N$201,MATCH($B2972,Summary!$A$2:$A$201,0))</f>
        <v>9.25</v>
      </c>
      <c r="S2972" s="3" t="n">
        <f aca="false">INDEX(Summary!$O$2:$O$201,MATCH($B2972,Summary!$A$2:$A$201,0))</f>
        <v>8</v>
      </c>
      <c r="T2972" s="3" t="n">
        <f aca="false">INDEX(Summary!$P$2:$P$201,MATCH($B2972,Summary!$A$2:$A$201,0))</f>
        <v>1</v>
      </c>
      <c r="U2972" s="2" t="n">
        <f aca="false">INDEX(Summary!$Q$2:$Q$201,MATCH($B2972,Summary!$A$2:$A$201,0))</f>
        <v>13.07</v>
      </c>
      <c r="V2972" s="2" t="n">
        <f aca="false">INDEX(Summary!$R$2:$R$201,MATCH($B2972,Summary!$A$2:$A$201,0))</f>
        <v>31.98</v>
      </c>
      <c r="W2972" s="0" t="str">
        <f aca="false">INDEX(Summary!$S$2:$S$201,MATCH($B2972,Summary!$A$2:$A$201,0))</f>
        <v>Gold</v>
      </c>
      <c r="X2972" s="2" t="n">
        <f aca="false">INDEX(Summary!$T$2:$T$201,MATCH($B2972,Summary!$A$2:$A$201,0))</f>
        <v>78</v>
      </c>
      <c r="Y2972" s="0" t="str">
        <f aca="false">INDEX('Reward Model'!$E$18:$E$37,MATCH($E2972,'Reward Model'!$A$18:$A$37,0))</f>
        <v>Medium</v>
      </c>
      <c r="Z2972" s="4" t="n">
        <f aca="false">ROUND(MIN(1,MAX('Reward Model'!$B$2,INDEX('Reward Model'!$C$12:$C$14,MATCH($K2972,'Reward Model'!$A$12:$A$14,0))/$J2972)),3)</f>
        <v>1</v>
      </c>
      <c r="AA2972" s="2" t="n">
        <f aca="false">IF($I2972="Correct",ROUND(INDEX('Reward Model'!$B$12:$B$14,MATCH($K2972,'Reward Model'!$A$12:$A$14,0))*Z2972,2),0)</f>
        <v>2</v>
      </c>
      <c r="AB2972" s="2" t="n">
        <f aca="false">IF($I2972="Correct",ROUND(INDEX('Reward Model'!$B$12:$B$14,MATCH($Y2972,'Reward Model'!$A$12:$A$14,0))*Z2972,2),0)</f>
        <v>2</v>
      </c>
    </row>
    <row r="2973" customFormat="false" ht="15" hidden="false" customHeight="false" outlineLevel="0" collapsed="false">
      <c r="A2973" s="0" t="s">
        <v>428</v>
      </c>
      <c r="B2973" s="0" t="s">
        <v>429</v>
      </c>
      <c r="C2973" s="0" t="s">
        <v>322</v>
      </c>
      <c r="D2973" s="0" t="s">
        <v>189</v>
      </c>
      <c r="E2973" s="0" t="n">
        <v>12</v>
      </c>
      <c r="F2973" s="0" t="s">
        <v>64</v>
      </c>
      <c r="G2973" s="0" t="s">
        <v>112</v>
      </c>
      <c r="H2973" s="0" t="s">
        <v>65</v>
      </c>
      <c r="I2973" s="0" t="s">
        <v>39</v>
      </c>
      <c r="J2973" s="0" t="n">
        <v>1.51</v>
      </c>
      <c r="K2973" s="0" t="s">
        <v>60</v>
      </c>
      <c r="L2973" s="0" t="n">
        <f aca="false">INDEX(Summary!$F$2:$F$201,MATCH($B2973,Summary!$A$2:$A$201,0))</f>
        <v>20</v>
      </c>
      <c r="M2973" s="0" t="n">
        <f aca="false">INDEX(Summary!$I$2:$I$201,MATCH($B2973,Summary!$A$2:$A$201,0))</f>
        <v>4</v>
      </c>
      <c r="N2973" s="0" t="n">
        <f aca="false">INDEX(Summary!$J$2:$J$201,MATCH($B2973,Summary!$A$2:$A$201,0))</f>
        <v>1</v>
      </c>
      <c r="O2973" s="2" t="n">
        <f aca="false">INDEX(Summary!$K$2:$K$201,MATCH($B2973,Summary!$A$2:$A$201,0))</f>
        <v>9.39</v>
      </c>
      <c r="P2973" s="3" t="n">
        <f aca="false">INDEX(Summary!$L$2:$L$201,MATCH($B2973,Summary!$A$2:$A$201,0))</f>
        <v>4</v>
      </c>
      <c r="Q2973" s="3" t="n">
        <f aca="false">INDEX(Summary!$M$2:$M$201,MATCH($B2973,Summary!$A$2:$A$201,0))</f>
        <v>2</v>
      </c>
      <c r="R2973" s="2" t="n">
        <f aca="false">INDEX(Summary!$N$2:$N$201,MATCH($B2973,Summary!$A$2:$A$201,0))</f>
        <v>9.25</v>
      </c>
      <c r="S2973" s="3" t="n">
        <f aca="false">INDEX(Summary!$O$2:$O$201,MATCH($B2973,Summary!$A$2:$A$201,0))</f>
        <v>8</v>
      </c>
      <c r="T2973" s="3" t="n">
        <f aca="false">INDEX(Summary!$P$2:$P$201,MATCH($B2973,Summary!$A$2:$A$201,0))</f>
        <v>1</v>
      </c>
      <c r="U2973" s="2" t="n">
        <f aca="false">INDEX(Summary!$Q$2:$Q$201,MATCH($B2973,Summary!$A$2:$A$201,0))</f>
        <v>13.07</v>
      </c>
      <c r="V2973" s="2" t="n">
        <f aca="false">INDEX(Summary!$R$2:$R$201,MATCH($B2973,Summary!$A$2:$A$201,0))</f>
        <v>31.98</v>
      </c>
      <c r="W2973" s="0" t="str">
        <f aca="false">INDEX(Summary!$S$2:$S$201,MATCH($B2973,Summary!$A$2:$A$201,0))</f>
        <v>Gold</v>
      </c>
      <c r="X2973" s="2" t="n">
        <f aca="false">INDEX(Summary!$T$2:$T$201,MATCH($B2973,Summary!$A$2:$A$201,0))</f>
        <v>78</v>
      </c>
      <c r="Y2973" s="0" t="str">
        <f aca="false">INDEX('Reward Model'!$E$18:$E$37,MATCH($E2973,'Reward Model'!$A$18:$A$37,0))</f>
        <v>Medium</v>
      </c>
      <c r="Z2973" s="4" t="n">
        <f aca="false">ROUND(MIN(1,MAX('Reward Model'!$B$2,INDEX('Reward Model'!$C$12:$C$14,MATCH($K2973,'Reward Model'!$A$12:$A$14,0))/$J2973)),3)</f>
        <v>1</v>
      </c>
      <c r="AA2973" s="2" t="n">
        <f aca="false">IF($I2973="Correct",ROUND(INDEX('Reward Model'!$B$12:$B$14,MATCH($K2973,'Reward Model'!$A$12:$A$14,0))*Z2973,2),0)</f>
        <v>0</v>
      </c>
      <c r="AB2973" s="2" t="n">
        <f aca="false">IF($I2973="Correct",ROUND(INDEX('Reward Model'!$B$12:$B$14,MATCH($Y2973,'Reward Model'!$A$12:$A$14,0))*Z2973,2),0)</f>
        <v>0</v>
      </c>
    </row>
    <row r="2974" customFormat="false" ht="15" hidden="false" customHeight="false" outlineLevel="0" collapsed="false">
      <c r="A2974" s="0" t="s">
        <v>428</v>
      </c>
      <c r="B2974" s="0" t="s">
        <v>429</v>
      </c>
      <c r="C2974" s="0" t="s">
        <v>322</v>
      </c>
      <c r="D2974" s="0" t="s">
        <v>189</v>
      </c>
      <c r="E2974" s="0" t="n">
        <v>13</v>
      </c>
      <c r="F2974" s="0" t="s">
        <v>66</v>
      </c>
      <c r="G2974" s="0" t="s">
        <v>165</v>
      </c>
      <c r="H2974" s="0" t="s">
        <v>67</v>
      </c>
      <c r="I2974" s="0" t="s">
        <v>39</v>
      </c>
      <c r="J2974" s="0" t="n">
        <v>1.64</v>
      </c>
      <c r="K2974" s="0" t="s">
        <v>60</v>
      </c>
      <c r="L2974" s="0" t="n">
        <f aca="false">INDEX(Summary!$F$2:$F$201,MATCH($B2974,Summary!$A$2:$A$201,0))</f>
        <v>20</v>
      </c>
      <c r="M2974" s="0" t="n">
        <f aca="false">INDEX(Summary!$I$2:$I$201,MATCH($B2974,Summary!$A$2:$A$201,0))</f>
        <v>4</v>
      </c>
      <c r="N2974" s="0" t="n">
        <f aca="false">INDEX(Summary!$J$2:$J$201,MATCH($B2974,Summary!$A$2:$A$201,0))</f>
        <v>1</v>
      </c>
      <c r="O2974" s="2" t="n">
        <f aca="false">INDEX(Summary!$K$2:$K$201,MATCH($B2974,Summary!$A$2:$A$201,0))</f>
        <v>9.39</v>
      </c>
      <c r="P2974" s="3" t="n">
        <f aca="false">INDEX(Summary!$L$2:$L$201,MATCH($B2974,Summary!$A$2:$A$201,0))</f>
        <v>4</v>
      </c>
      <c r="Q2974" s="3" t="n">
        <f aca="false">INDEX(Summary!$M$2:$M$201,MATCH($B2974,Summary!$A$2:$A$201,0))</f>
        <v>2</v>
      </c>
      <c r="R2974" s="2" t="n">
        <f aca="false">INDEX(Summary!$N$2:$N$201,MATCH($B2974,Summary!$A$2:$A$201,0))</f>
        <v>9.25</v>
      </c>
      <c r="S2974" s="3" t="n">
        <f aca="false">INDEX(Summary!$O$2:$O$201,MATCH($B2974,Summary!$A$2:$A$201,0))</f>
        <v>8</v>
      </c>
      <c r="T2974" s="3" t="n">
        <f aca="false">INDEX(Summary!$P$2:$P$201,MATCH($B2974,Summary!$A$2:$A$201,0))</f>
        <v>1</v>
      </c>
      <c r="U2974" s="2" t="n">
        <f aca="false">INDEX(Summary!$Q$2:$Q$201,MATCH($B2974,Summary!$A$2:$A$201,0))</f>
        <v>13.07</v>
      </c>
      <c r="V2974" s="2" t="n">
        <f aca="false">INDEX(Summary!$R$2:$R$201,MATCH($B2974,Summary!$A$2:$A$201,0))</f>
        <v>31.98</v>
      </c>
      <c r="W2974" s="0" t="str">
        <f aca="false">INDEX(Summary!$S$2:$S$201,MATCH($B2974,Summary!$A$2:$A$201,0))</f>
        <v>Gold</v>
      </c>
      <c r="X2974" s="2" t="n">
        <f aca="false">INDEX(Summary!$T$2:$T$201,MATCH($B2974,Summary!$A$2:$A$201,0))</f>
        <v>78</v>
      </c>
      <c r="Y2974" s="0" t="str">
        <f aca="false">INDEX('Reward Model'!$E$18:$E$37,MATCH($E2974,'Reward Model'!$A$18:$A$37,0))</f>
        <v>Medium</v>
      </c>
      <c r="Z2974" s="4" t="n">
        <f aca="false">ROUND(MIN(1,MAX('Reward Model'!$B$2,INDEX('Reward Model'!$C$12:$C$14,MATCH($K2974,'Reward Model'!$A$12:$A$14,0))/$J2974)),3)</f>
        <v>1</v>
      </c>
      <c r="AA2974" s="2" t="n">
        <f aca="false">IF($I2974="Correct",ROUND(INDEX('Reward Model'!$B$12:$B$14,MATCH($K2974,'Reward Model'!$A$12:$A$14,0))*Z2974,2),0)</f>
        <v>0</v>
      </c>
      <c r="AB2974" s="2" t="n">
        <f aca="false">IF($I2974="Correct",ROUND(INDEX('Reward Model'!$B$12:$B$14,MATCH($Y2974,'Reward Model'!$A$12:$A$14,0))*Z2974,2),0)</f>
        <v>0</v>
      </c>
    </row>
    <row r="2975" customFormat="false" ht="15" hidden="false" customHeight="false" outlineLevel="0" collapsed="false">
      <c r="A2975" s="0" t="s">
        <v>428</v>
      </c>
      <c r="B2975" s="0" t="s">
        <v>429</v>
      </c>
      <c r="C2975" s="0" t="s">
        <v>322</v>
      </c>
      <c r="D2975" s="0" t="s">
        <v>189</v>
      </c>
      <c r="E2975" s="0" t="n">
        <v>14</v>
      </c>
      <c r="F2975" s="0" t="s">
        <v>68</v>
      </c>
      <c r="G2975" s="0" t="s">
        <v>51</v>
      </c>
      <c r="H2975" s="0" t="s">
        <v>51</v>
      </c>
      <c r="I2975" s="0" t="s">
        <v>34</v>
      </c>
      <c r="J2975" s="0" t="n">
        <v>1.63</v>
      </c>
      <c r="K2975" s="0" t="s">
        <v>60</v>
      </c>
      <c r="L2975" s="0" t="n">
        <f aca="false">INDEX(Summary!$F$2:$F$201,MATCH($B2975,Summary!$A$2:$A$201,0))</f>
        <v>20</v>
      </c>
      <c r="M2975" s="0" t="n">
        <f aca="false">INDEX(Summary!$I$2:$I$201,MATCH($B2975,Summary!$A$2:$A$201,0))</f>
        <v>4</v>
      </c>
      <c r="N2975" s="0" t="n">
        <f aca="false">INDEX(Summary!$J$2:$J$201,MATCH($B2975,Summary!$A$2:$A$201,0))</f>
        <v>1</v>
      </c>
      <c r="O2975" s="2" t="n">
        <f aca="false">INDEX(Summary!$K$2:$K$201,MATCH($B2975,Summary!$A$2:$A$201,0))</f>
        <v>9.39</v>
      </c>
      <c r="P2975" s="3" t="n">
        <f aca="false">INDEX(Summary!$L$2:$L$201,MATCH($B2975,Summary!$A$2:$A$201,0))</f>
        <v>4</v>
      </c>
      <c r="Q2975" s="3" t="n">
        <f aca="false">INDEX(Summary!$M$2:$M$201,MATCH($B2975,Summary!$A$2:$A$201,0))</f>
        <v>2</v>
      </c>
      <c r="R2975" s="2" t="n">
        <f aca="false">INDEX(Summary!$N$2:$N$201,MATCH($B2975,Summary!$A$2:$A$201,0))</f>
        <v>9.25</v>
      </c>
      <c r="S2975" s="3" t="n">
        <f aca="false">INDEX(Summary!$O$2:$O$201,MATCH($B2975,Summary!$A$2:$A$201,0))</f>
        <v>8</v>
      </c>
      <c r="T2975" s="3" t="n">
        <f aca="false">INDEX(Summary!$P$2:$P$201,MATCH($B2975,Summary!$A$2:$A$201,0))</f>
        <v>1</v>
      </c>
      <c r="U2975" s="2" t="n">
        <f aca="false">INDEX(Summary!$Q$2:$Q$201,MATCH($B2975,Summary!$A$2:$A$201,0))</f>
        <v>13.07</v>
      </c>
      <c r="V2975" s="2" t="n">
        <f aca="false">INDEX(Summary!$R$2:$R$201,MATCH($B2975,Summary!$A$2:$A$201,0))</f>
        <v>31.98</v>
      </c>
      <c r="W2975" s="0" t="str">
        <f aca="false">INDEX(Summary!$S$2:$S$201,MATCH($B2975,Summary!$A$2:$A$201,0))</f>
        <v>Gold</v>
      </c>
      <c r="X2975" s="2" t="n">
        <f aca="false">INDEX(Summary!$T$2:$T$201,MATCH($B2975,Summary!$A$2:$A$201,0))</f>
        <v>78</v>
      </c>
      <c r="Y2975" s="0" t="str">
        <f aca="false">INDEX('Reward Model'!$E$18:$E$37,MATCH($E2975,'Reward Model'!$A$18:$A$37,0))</f>
        <v>Medium</v>
      </c>
      <c r="Z2975" s="4" t="n">
        <f aca="false">ROUND(MIN(1,MAX('Reward Model'!$B$2,INDEX('Reward Model'!$C$12:$C$14,MATCH($K2975,'Reward Model'!$A$12:$A$14,0))/$J2975)),3)</f>
        <v>1</v>
      </c>
      <c r="AA2975" s="2" t="n">
        <f aca="false">IF($I2975="Correct",ROUND(INDEX('Reward Model'!$B$12:$B$14,MATCH($K2975,'Reward Model'!$A$12:$A$14,0))*Z2975,2),0)</f>
        <v>2</v>
      </c>
      <c r="AB2975" s="2" t="n">
        <f aca="false">IF($I2975="Correct",ROUND(INDEX('Reward Model'!$B$12:$B$14,MATCH($Y2975,'Reward Model'!$A$12:$A$14,0))*Z2975,2),0)</f>
        <v>2</v>
      </c>
    </row>
    <row r="2976" customFormat="false" ht="15" hidden="false" customHeight="false" outlineLevel="0" collapsed="false">
      <c r="A2976" s="0" t="s">
        <v>428</v>
      </c>
      <c r="B2976" s="0" t="s">
        <v>429</v>
      </c>
      <c r="C2976" s="0" t="s">
        <v>322</v>
      </c>
      <c r="D2976" s="0" t="s">
        <v>189</v>
      </c>
      <c r="E2976" s="0" t="n">
        <v>15</v>
      </c>
      <c r="F2976" s="0" t="s">
        <v>69</v>
      </c>
      <c r="G2976" s="0" t="s">
        <v>70</v>
      </c>
      <c r="H2976" s="0" t="s">
        <v>70</v>
      </c>
      <c r="I2976" s="0" t="s">
        <v>34</v>
      </c>
      <c r="J2976" s="0" t="n">
        <v>1.66</v>
      </c>
      <c r="K2976" s="0" t="s">
        <v>60</v>
      </c>
      <c r="L2976" s="0" t="n">
        <f aca="false">INDEX(Summary!$F$2:$F$201,MATCH($B2976,Summary!$A$2:$A$201,0))</f>
        <v>20</v>
      </c>
      <c r="M2976" s="0" t="n">
        <f aca="false">INDEX(Summary!$I$2:$I$201,MATCH($B2976,Summary!$A$2:$A$201,0))</f>
        <v>4</v>
      </c>
      <c r="N2976" s="0" t="n">
        <f aca="false">INDEX(Summary!$J$2:$J$201,MATCH($B2976,Summary!$A$2:$A$201,0))</f>
        <v>1</v>
      </c>
      <c r="O2976" s="2" t="n">
        <f aca="false">INDEX(Summary!$K$2:$K$201,MATCH($B2976,Summary!$A$2:$A$201,0))</f>
        <v>9.39</v>
      </c>
      <c r="P2976" s="3" t="n">
        <f aca="false">INDEX(Summary!$L$2:$L$201,MATCH($B2976,Summary!$A$2:$A$201,0))</f>
        <v>4</v>
      </c>
      <c r="Q2976" s="3" t="n">
        <f aca="false">INDEX(Summary!$M$2:$M$201,MATCH($B2976,Summary!$A$2:$A$201,0))</f>
        <v>2</v>
      </c>
      <c r="R2976" s="2" t="n">
        <f aca="false">INDEX(Summary!$N$2:$N$201,MATCH($B2976,Summary!$A$2:$A$201,0))</f>
        <v>9.25</v>
      </c>
      <c r="S2976" s="3" t="n">
        <f aca="false">INDEX(Summary!$O$2:$O$201,MATCH($B2976,Summary!$A$2:$A$201,0))</f>
        <v>8</v>
      </c>
      <c r="T2976" s="3" t="n">
        <f aca="false">INDEX(Summary!$P$2:$P$201,MATCH($B2976,Summary!$A$2:$A$201,0))</f>
        <v>1</v>
      </c>
      <c r="U2976" s="2" t="n">
        <f aca="false">INDEX(Summary!$Q$2:$Q$201,MATCH($B2976,Summary!$A$2:$A$201,0))</f>
        <v>13.07</v>
      </c>
      <c r="V2976" s="2" t="n">
        <f aca="false">INDEX(Summary!$R$2:$R$201,MATCH($B2976,Summary!$A$2:$A$201,0))</f>
        <v>31.98</v>
      </c>
      <c r="W2976" s="0" t="str">
        <f aca="false">INDEX(Summary!$S$2:$S$201,MATCH($B2976,Summary!$A$2:$A$201,0))</f>
        <v>Gold</v>
      </c>
      <c r="X2976" s="2" t="n">
        <f aca="false">INDEX(Summary!$T$2:$T$201,MATCH($B2976,Summary!$A$2:$A$201,0))</f>
        <v>78</v>
      </c>
      <c r="Y2976" s="0" t="str">
        <f aca="false">INDEX('Reward Model'!$E$18:$E$37,MATCH($E2976,'Reward Model'!$A$18:$A$37,0))</f>
        <v>Medium</v>
      </c>
      <c r="Z2976" s="4" t="n">
        <f aca="false">ROUND(MIN(1,MAX('Reward Model'!$B$2,INDEX('Reward Model'!$C$12:$C$14,MATCH($K2976,'Reward Model'!$A$12:$A$14,0))/$J2976)),3)</f>
        <v>1</v>
      </c>
      <c r="AA2976" s="2" t="n">
        <f aca="false">IF($I2976="Correct",ROUND(INDEX('Reward Model'!$B$12:$B$14,MATCH($K2976,'Reward Model'!$A$12:$A$14,0))*Z2976,2),0)</f>
        <v>2</v>
      </c>
      <c r="AB2976" s="2" t="n">
        <f aca="false">IF($I2976="Correct",ROUND(INDEX('Reward Model'!$B$12:$B$14,MATCH($Y2976,'Reward Model'!$A$12:$A$14,0))*Z2976,2),0)</f>
        <v>2</v>
      </c>
    </row>
    <row r="2977" customFormat="false" ht="15" hidden="false" customHeight="false" outlineLevel="0" collapsed="false">
      <c r="A2977" s="0" t="s">
        <v>428</v>
      </c>
      <c r="B2977" s="0" t="s">
        <v>429</v>
      </c>
      <c r="C2977" s="0" t="s">
        <v>322</v>
      </c>
      <c r="D2977" s="0" t="s">
        <v>189</v>
      </c>
      <c r="E2977" s="0" t="n">
        <v>16</v>
      </c>
      <c r="F2977" s="0" t="s">
        <v>71</v>
      </c>
      <c r="G2977" s="0" t="s">
        <v>72</v>
      </c>
      <c r="H2977" s="0" t="s">
        <v>72</v>
      </c>
      <c r="I2977" s="0" t="s">
        <v>34</v>
      </c>
      <c r="J2977" s="0" t="n">
        <v>1.87</v>
      </c>
      <c r="K2977" s="0" t="s">
        <v>73</v>
      </c>
      <c r="L2977" s="0" t="n">
        <f aca="false">INDEX(Summary!$F$2:$F$201,MATCH($B2977,Summary!$A$2:$A$201,0))</f>
        <v>20</v>
      </c>
      <c r="M2977" s="0" t="n">
        <f aca="false">INDEX(Summary!$I$2:$I$201,MATCH($B2977,Summary!$A$2:$A$201,0))</f>
        <v>4</v>
      </c>
      <c r="N2977" s="0" t="n">
        <f aca="false">INDEX(Summary!$J$2:$J$201,MATCH($B2977,Summary!$A$2:$A$201,0))</f>
        <v>1</v>
      </c>
      <c r="O2977" s="2" t="n">
        <f aca="false">INDEX(Summary!$K$2:$K$201,MATCH($B2977,Summary!$A$2:$A$201,0))</f>
        <v>9.39</v>
      </c>
      <c r="P2977" s="3" t="n">
        <f aca="false">INDEX(Summary!$L$2:$L$201,MATCH($B2977,Summary!$A$2:$A$201,0))</f>
        <v>4</v>
      </c>
      <c r="Q2977" s="3" t="n">
        <f aca="false">INDEX(Summary!$M$2:$M$201,MATCH($B2977,Summary!$A$2:$A$201,0))</f>
        <v>2</v>
      </c>
      <c r="R2977" s="2" t="n">
        <f aca="false">INDEX(Summary!$N$2:$N$201,MATCH($B2977,Summary!$A$2:$A$201,0))</f>
        <v>9.25</v>
      </c>
      <c r="S2977" s="3" t="n">
        <f aca="false">INDEX(Summary!$O$2:$O$201,MATCH($B2977,Summary!$A$2:$A$201,0))</f>
        <v>8</v>
      </c>
      <c r="T2977" s="3" t="n">
        <f aca="false">INDEX(Summary!$P$2:$P$201,MATCH($B2977,Summary!$A$2:$A$201,0))</f>
        <v>1</v>
      </c>
      <c r="U2977" s="2" t="n">
        <f aca="false">INDEX(Summary!$Q$2:$Q$201,MATCH($B2977,Summary!$A$2:$A$201,0))</f>
        <v>13.07</v>
      </c>
      <c r="V2977" s="2" t="n">
        <f aca="false">INDEX(Summary!$R$2:$R$201,MATCH($B2977,Summary!$A$2:$A$201,0))</f>
        <v>31.98</v>
      </c>
      <c r="W2977" s="0" t="str">
        <f aca="false">INDEX(Summary!$S$2:$S$201,MATCH($B2977,Summary!$A$2:$A$201,0))</f>
        <v>Gold</v>
      </c>
      <c r="X2977" s="2" t="n">
        <f aca="false">INDEX(Summary!$T$2:$T$201,MATCH($B2977,Summary!$A$2:$A$201,0))</f>
        <v>78</v>
      </c>
      <c r="Y2977" s="0" t="str">
        <f aca="false">INDEX('Reward Model'!$E$18:$E$37,MATCH($E2977,'Reward Model'!$A$18:$A$37,0))</f>
        <v>High</v>
      </c>
      <c r="Z2977" s="4" t="n">
        <f aca="false">ROUND(MIN(1,MAX('Reward Model'!$B$2,INDEX('Reward Model'!$C$12:$C$14,MATCH($K2977,'Reward Model'!$A$12:$A$14,0))/$J2977)),3)</f>
        <v>1</v>
      </c>
      <c r="AA2977" s="2" t="n">
        <f aca="false">IF($I2977="Correct",ROUND(INDEX('Reward Model'!$B$12:$B$14,MATCH($K2977,'Reward Model'!$A$12:$A$14,0))*Z2977,2),0)</f>
        <v>3</v>
      </c>
      <c r="AB2977" s="2" t="n">
        <f aca="false">IF($I2977="Correct",ROUND(INDEX('Reward Model'!$B$12:$B$14,MATCH($Y2977,'Reward Model'!$A$12:$A$14,0))*Z2977,2),0)</f>
        <v>3</v>
      </c>
    </row>
    <row r="2978" customFormat="false" ht="15" hidden="false" customHeight="false" outlineLevel="0" collapsed="false">
      <c r="A2978" s="0" t="s">
        <v>428</v>
      </c>
      <c r="B2978" s="0" t="s">
        <v>429</v>
      </c>
      <c r="C2978" s="0" t="s">
        <v>322</v>
      </c>
      <c r="D2978" s="0" t="s">
        <v>189</v>
      </c>
      <c r="E2978" s="0" t="n">
        <v>17</v>
      </c>
      <c r="F2978" s="0" t="s">
        <v>74</v>
      </c>
      <c r="G2978" s="0" t="s">
        <v>105</v>
      </c>
      <c r="H2978" s="0" t="s">
        <v>75</v>
      </c>
      <c r="I2978" s="0" t="s">
        <v>39</v>
      </c>
      <c r="J2978" s="0" t="n">
        <v>1.73</v>
      </c>
      <c r="K2978" s="0" t="s">
        <v>73</v>
      </c>
      <c r="L2978" s="0" t="n">
        <f aca="false">INDEX(Summary!$F$2:$F$201,MATCH($B2978,Summary!$A$2:$A$201,0))</f>
        <v>20</v>
      </c>
      <c r="M2978" s="0" t="n">
        <f aca="false">INDEX(Summary!$I$2:$I$201,MATCH($B2978,Summary!$A$2:$A$201,0))</f>
        <v>4</v>
      </c>
      <c r="N2978" s="0" t="n">
        <f aca="false">INDEX(Summary!$J$2:$J$201,MATCH($B2978,Summary!$A$2:$A$201,0))</f>
        <v>1</v>
      </c>
      <c r="O2978" s="2" t="n">
        <f aca="false">INDEX(Summary!$K$2:$K$201,MATCH($B2978,Summary!$A$2:$A$201,0))</f>
        <v>9.39</v>
      </c>
      <c r="P2978" s="3" t="n">
        <f aca="false">INDEX(Summary!$L$2:$L$201,MATCH($B2978,Summary!$A$2:$A$201,0))</f>
        <v>4</v>
      </c>
      <c r="Q2978" s="3" t="n">
        <f aca="false">INDEX(Summary!$M$2:$M$201,MATCH($B2978,Summary!$A$2:$A$201,0))</f>
        <v>2</v>
      </c>
      <c r="R2978" s="2" t="n">
        <f aca="false">INDEX(Summary!$N$2:$N$201,MATCH($B2978,Summary!$A$2:$A$201,0))</f>
        <v>9.25</v>
      </c>
      <c r="S2978" s="3" t="n">
        <f aca="false">INDEX(Summary!$O$2:$O$201,MATCH($B2978,Summary!$A$2:$A$201,0))</f>
        <v>8</v>
      </c>
      <c r="T2978" s="3" t="n">
        <f aca="false">INDEX(Summary!$P$2:$P$201,MATCH($B2978,Summary!$A$2:$A$201,0))</f>
        <v>1</v>
      </c>
      <c r="U2978" s="2" t="n">
        <f aca="false">INDEX(Summary!$Q$2:$Q$201,MATCH($B2978,Summary!$A$2:$A$201,0))</f>
        <v>13.07</v>
      </c>
      <c r="V2978" s="2" t="n">
        <f aca="false">INDEX(Summary!$R$2:$R$201,MATCH($B2978,Summary!$A$2:$A$201,0))</f>
        <v>31.98</v>
      </c>
      <c r="W2978" s="0" t="str">
        <f aca="false">INDEX(Summary!$S$2:$S$201,MATCH($B2978,Summary!$A$2:$A$201,0))</f>
        <v>Gold</v>
      </c>
      <c r="X2978" s="2" t="n">
        <f aca="false">INDEX(Summary!$T$2:$T$201,MATCH($B2978,Summary!$A$2:$A$201,0))</f>
        <v>78</v>
      </c>
      <c r="Y2978" s="0" t="str">
        <f aca="false">INDEX('Reward Model'!$E$18:$E$37,MATCH($E2978,'Reward Model'!$A$18:$A$37,0))</f>
        <v>High</v>
      </c>
      <c r="Z2978" s="4" t="n">
        <f aca="false">ROUND(MIN(1,MAX('Reward Model'!$B$2,INDEX('Reward Model'!$C$12:$C$14,MATCH($K2978,'Reward Model'!$A$12:$A$14,0))/$J2978)),3)</f>
        <v>1</v>
      </c>
      <c r="AA2978" s="2" t="n">
        <f aca="false">IF($I2978="Correct",ROUND(INDEX('Reward Model'!$B$12:$B$14,MATCH($K2978,'Reward Model'!$A$12:$A$14,0))*Z2978,2),0)</f>
        <v>0</v>
      </c>
      <c r="AB2978" s="2" t="n">
        <f aca="false">IF($I2978="Correct",ROUND(INDEX('Reward Model'!$B$12:$B$14,MATCH($Y2978,'Reward Model'!$A$12:$A$14,0))*Z2978,2),0)</f>
        <v>0</v>
      </c>
    </row>
    <row r="2979" customFormat="false" ht="15" hidden="false" customHeight="false" outlineLevel="0" collapsed="false">
      <c r="A2979" s="0" t="s">
        <v>428</v>
      </c>
      <c r="B2979" s="0" t="s">
        <v>429</v>
      </c>
      <c r="C2979" s="0" t="s">
        <v>322</v>
      </c>
      <c r="D2979" s="0" t="s">
        <v>189</v>
      </c>
      <c r="E2979" s="0" t="n">
        <v>18</v>
      </c>
      <c r="F2979" s="0" t="s">
        <v>76</v>
      </c>
      <c r="G2979" s="0" t="s">
        <v>77</v>
      </c>
      <c r="H2979" s="0" t="s">
        <v>77</v>
      </c>
      <c r="I2979" s="0" t="s">
        <v>34</v>
      </c>
      <c r="J2979" s="0" t="n">
        <v>2.14</v>
      </c>
      <c r="K2979" s="0" t="s">
        <v>73</v>
      </c>
      <c r="L2979" s="0" t="n">
        <f aca="false">INDEX(Summary!$F$2:$F$201,MATCH($B2979,Summary!$A$2:$A$201,0))</f>
        <v>20</v>
      </c>
      <c r="M2979" s="0" t="n">
        <f aca="false">INDEX(Summary!$I$2:$I$201,MATCH($B2979,Summary!$A$2:$A$201,0))</f>
        <v>4</v>
      </c>
      <c r="N2979" s="0" t="n">
        <f aca="false">INDEX(Summary!$J$2:$J$201,MATCH($B2979,Summary!$A$2:$A$201,0))</f>
        <v>1</v>
      </c>
      <c r="O2979" s="2" t="n">
        <f aca="false">INDEX(Summary!$K$2:$K$201,MATCH($B2979,Summary!$A$2:$A$201,0))</f>
        <v>9.39</v>
      </c>
      <c r="P2979" s="3" t="n">
        <f aca="false">INDEX(Summary!$L$2:$L$201,MATCH($B2979,Summary!$A$2:$A$201,0))</f>
        <v>4</v>
      </c>
      <c r="Q2979" s="3" t="n">
        <f aca="false">INDEX(Summary!$M$2:$M$201,MATCH($B2979,Summary!$A$2:$A$201,0))</f>
        <v>2</v>
      </c>
      <c r="R2979" s="2" t="n">
        <f aca="false">INDEX(Summary!$N$2:$N$201,MATCH($B2979,Summary!$A$2:$A$201,0))</f>
        <v>9.25</v>
      </c>
      <c r="S2979" s="3" t="n">
        <f aca="false">INDEX(Summary!$O$2:$O$201,MATCH($B2979,Summary!$A$2:$A$201,0))</f>
        <v>8</v>
      </c>
      <c r="T2979" s="3" t="n">
        <f aca="false">INDEX(Summary!$P$2:$P$201,MATCH($B2979,Summary!$A$2:$A$201,0))</f>
        <v>1</v>
      </c>
      <c r="U2979" s="2" t="n">
        <f aca="false">INDEX(Summary!$Q$2:$Q$201,MATCH($B2979,Summary!$A$2:$A$201,0))</f>
        <v>13.07</v>
      </c>
      <c r="V2979" s="2" t="n">
        <f aca="false">INDEX(Summary!$R$2:$R$201,MATCH($B2979,Summary!$A$2:$A$201,0))</f>
        <v>31.98</v>
      </c>
      <c r="W2979" s="0" t="str">
        <f aca="false">INDEX(Summary!$S$2:$S$201,MATCH($B2979,Summary!$A$2:$A$201,0))</f>
        <v>Gold</v>
      </c>
      <c r="X2979" s="2" t="n">
        <f aca="false">INDEX(Summary!$T$2:$T$201,MATCH($B2979,Summary!$A$2:$A$201,0))</f>
        <v>78</v>
      </c>
      <c r="Y2979" s="0" t="str">
        <f aca="false">INDEX('Reward Model'!$E$18:$E$37,MATCH($E2979,'Reward Model'!$A$18:$A$37,0))</f>
        <v>High</v>
      </c>
      <c r="Z2979" s="4" t="n">
        <f aca="false">ROUND(MIN(1,MAX('Reward Model'!$B$2,INDEX('Reward Model'!$C$12:$C$14,MATCH($K2979,'Reward Model'!$A$12:$A$14,0))/$J2979)),3)</f>
        <v>0.935</v>
      </c>
      <c r="AA2979" s="2" t="n">
        <f aca="false">IF($I2979="Correct",ROUND(INDEX('Reward Model'!$B$12:$B$14,MATCH($K2979,'Reward Model'!$A$12:$A$14,0))*Z2979,2),0)</f>
        <v>2.81</v>
      </c>
      <c r="AB2979" s="2" t="n">
        <f aca="false">IF($I2979="Correct",ROUND(INDEX('Reward Model'!$B$12:$B$14,MATCH($Y2979,'Reward Model'!$A$12:$A$14,0))*Z2979,2),0)</f>
        <v>2.81</v>
      </c>
    </row>
    <row r="2980" customFormat="false" ht="15" hidden="false" customHeight="false" outlineLevel="0" collapsed="false">
      <c r="A2980" s="0" t="s">
        <v>428</v>
      </c>
      <c r="B2980" s="0" t="s">
        <v>429</v>
      </c>
      <c r="C2980" s="0" t="s">
        <v>322</v>
      </c>
      <c r="D2980" s="0" t="s">
        <v>189</v>
      </c>
      <c r="E2980" s="0" t="n">
        <v>19</v>
      </c>
      <c r="F2980" s="0" t="s">
        <v>78</v>
      </c>
      <c r="G2980" s="0" t="s">
        <v>80</v>
      </c>
      <c r="H2980" s="0" t="s">
        <v>80</v>
      </c>
      <c r="I2980" s="0" t="s">
        <v>34</v>
      </c>
      <c r="J2980" s="0" t="n">
        <v>1.87</v>
      </c>
      <c r="K2980" s="0" t="s">
        <v>73</v>
      </c>
      <c r="L2980" s="0" t="n">
        <f aca="false">INDEX(Summary!$F$2:$F$201,MATCH($B2980,Summary!$A$2:$A$201,0))</f>
        <v>20</v>
      </c>
      <c r="M2980" s="0" t="n">
        <f aca="false">INDEX(Summary!$I$2:$I$201,MATCH($B2980,Summary!$A$2:$A$201,0))</f>
        <v>4</v>
      </c>
      <c r="N2980" s="0" t="n">
        <f aca="false">INDEX(Summary!$J$2:$J$201,MATCH($B2980,Summary!$A$2:$A$201,0))</f>
        <v>1</v>
      </c>
      <c r="O2980" s="2" t="n">
        <f aca="false">INDEX(Summary!$K$2:$K$201,MATCH($B2980,Summary!$A$2:$A$201,0))</f>
        <v>9.39</v>
      </c>
      <c r="P2980" s="3" t="n">
        <f aca="false">INDEX(Summary!$L$2:$L$201,MATCH($B2980,Summary!$A$2:$A$201,0))</f>
        <v>4</v>
      </c>
      <c r="Q2980" s="3" t="n">
        <f aca="false">INDEX(Summary!$M$2:$M$201,MATCH($B2980,Summary!$A$2:$A$201,0))</f>
        <v>2</v>
      </c>
      <c r="R2980" s="2" t="n">
        <f aca="false">INDEX(Summary!$N$2:$N$201,MATCH($B2980,Summary!$A$2:$A$201,0))</f>
        <v>9.25</v>
      </c>
      <c r="S2980" s="3" t="n">
        <f aca="false">INDEX(Summary!$O$2:$O$201,MATCH($B2980,Summary!$A$2:$A$201,0))</f>
        <v>8</v>
      </c>
      <c r="T2980" s="3" t="n">
        <f aca="false">INDEX(Summary!$P$2:$P$201,MATCH($B2980,Summary!$A$2:$A$201,0))</f>
        <v>1</v>
      </c>
      <c r="U2980" s="2" t="n">
        <f aca="false">INDEX(Summary!$Q$2:$Q$201,MATCH($B2980,Summary!$A$2:$A$201,0))</f>
        <v>13.07</v>
      </c>
      <c r="V2980" s="2" t="n">
        <f aca="false">INDEX(Summary!$R$2:$R$201,MATCH($B2980,Summary!$A$2:$A$201,0))</f>
        <v>31.98</v>
      </c>
      <c r="W2980" s="0" t="str">
        <f aca="false">INDEX(Summary!$S$2:$S$201,MATCH($B2980,Summary!$A$2:$A$201,0))</f>
        <v>Gold</v>
      </c>
      <c r="X2980" s="2" t="n">
        <f aca="false">INDEX(Summary!$T$2:$T$201,MATCH($B2980,Summary!$A$2:$A$201,0))</f>
        <v>78</v>
      </c>
      <c r="Y2980" s="0" t="str">
        <f aca="false">INDEX('Reward Model'!$E$18:$E$37,MATCH($E2980,'Reward Model'!$A$18:$A$37,0))</f>
        <v>High</v>
      </c>
      <c r="Z2980" s="4" t="n">
        <f aca="false">ROUND(MIN(1,MAX('Reward Model'!$B$2,INDEX('Reward Model'!$C$12:$C$14,MATCH($K2980,'Reward Model'!$A$12:$A$14,0))/$J2980)),3)</f>
        <v>1</v>
      </c>
      <c r="AA2980" s="2" t="n">
        <f aca="false">IF($I2980="Correct",ROUND(INDEX('Reward Model'!$B$12:$B$14,MATCH($K2980,'Reward Model'!$A$12:$A$14,0))*Z2980,2),0)</f>
        <v>3</v>
      </c>
      <c r="AB2980" s="2" t="n">
        <f aca="false">IF($I2980="Correct",ROUND(INDEX('Reward Model'!$B$12:$B$14,MATCH($Y2980,'Reward Model'!$A$12:$A$14,0))*Z2980,2),0)</f>
        <v>3</v>
      </c>
    </row>
    <row r="2981" customFormat="false" ht="15" hidden="false" customHeight="false" outlineLevel="0" collapsed="false">
      <c r="A2981" s="0" t="s">
        <v>428</v>
      </c>
      <c r="B2981" s="0" t="s">
        <v>429</v>
      </c>
      <c r="C2981" s="0" t="s">
        <v>322</v>
      </c>
      <c r="D2981" s="0" t="s">
        <v>189</v>
      </c>
      <c r="E2981" s="0" t="n">
        <v>20</v>
      </c>
      <c r="F2981" s="0" t="s">
        <v>81</v>
      </c>
      <c r="G2981" s="0" t="s">
        <v>83</v>
      </c>
      <c r="H2981" s="0" t="s">
        <v>83</v>
      </c>
      <c r="I2981" s="0" t="s">
        <v>34</v>
      </c>
      <c r="J2981" s="0" t="n">
        <v>1.78</v>
      </c>
      <c r="K2981" s="0" t="s">
        <v>73</v>
      </c>
      <c r="L2981" s="0" t="n">
        <f aca="false">INDEX(Summary!$F$2:$F$201,MATCH($B2981,Summary!$A$2:$A$201,0))</f>
        <v>20</v>
      </c>
      <c r="M2981" s="0" t="n">
        <f aca="false">INDEX(Summary!$I$2:$I$201,MATCH($B2981,Summary!$A$2:$A$201,0))</f>
        <v>4</v>
      </c>
      <c r="N2981" s="0" t="n">
        <f aca="false">INDEX(Summary!$J$2:$J$201,MATCH($B2981,Summary!$A$2:$A$201,0))</f>
        <v>1</v>
      </c>
      <c r="O2981" s="2" t="n">
        <f aca="false">INDEX(Summary!$K$2:$K$201,MATCH($B2981,Summary!$A$2:$A$201,0))</f>
        <v>9.39</v>
      </c>
      <c r="P2981" s="3" t="n">
        <f aca="false">INDEX(Summary!$L$2:$L$201,MATCH($B2981,Summary!$A$2:$A$201,0))</f>
        <v>4</v>
      </c>
      <c r="Q2981" s="3" t="n">
        <f aca="false">INDEX(Summary!$M$2:$M$201,MATCH($B2981,Summary!$A$2:$A$201,0))</f>
        <v>2</v>
      </c>
      <c r="R2981" s="2" t="n">
        <f aca="false">INDEX(Summary!$N$2:$N$201,MATCH($B2981,Summary!$A$2:$A$201,0))</f>
        <v>9.25</v>
      </c>
      <c r="S2981" s="3" t="n">
        <f aca="false">INDEX(Summary!$O$2:$O$201,MATCH($B2981,Summary!$A$2:$A$201,0))</f>
        <v>8</v>
      </c>
      <c r="T2981" s="3" t="n">
        <f aca="false">INDEX(Summary!$P$2:$P$201,MATCH($B2981,Summary!$A$2:$A$201,0))</f>
        <v>1</v>
      </c>
      <c r="U2981" s="2" t="n">
        <f aca="false">INDEX(Summary!$Q$2:$Q$201,MATCH($B2981,Summary!$A$2:$A$201,0))</f>
        <v>13.07</v>
      </c>
      <c r="V2981" s="2" t="n">
        <f aca="false">INDEX(Summary!$R$2:$R$201,MATCH($B2981,Summary!$A$2:$A$201,0))</f>
        <v>31.98</v>
      </c>
      <c r="W2981" s="0" t="str">
        <f aca="false">INDEX(Summary!$S$2:$S$201,MATCH($B2981,Summary!$A$2:$A$201,0))</f>
        <v>Gold</v>
      </c>
      <c r="X2981" s="2" t="n">
        <f aca="false">INDEX(Summary!$T$2:$T$201,MATCH($B2981,Summary!$A$2:$A$201,0))</f>
        <v>78</v>
      </c>
      <c r="Y2981" s="0" t="str">
        <f aca="false">INDEX('Reward Model'!$E$18:$E$37,MATCH($E2981,'Reward Model'!$A$18:$A$37,0))</f>
        <v>High</v>
      </c>
      <c r="Z2981" s="4" t="n">
        <f aca="false">ROUND(MIN(1,MAX('Reward Model'!$B$2,INDEX('Reward Model'!$C$12:$C$14,MATCH($K2981,'Reward Model'!$A$12:$A$14,0))/$J2981)),3)</f>
        <v>1</v>
      </c>
      <c r="AA2981" s="2" t="n">
        <f aca="false">IF($I2981="Correct",ROUND(INDEX('Reward Model'!$B$12:$B$14,MATCH($K2981,'Reward Model'!$A$12:$A$14,0))*Z2981,2),0)</f>
        <v>3</v>
      </c>
      <c r="AB2981" s="2" t="n">
        <f aca="false">IF($I2981="Correct",ROUND(INDEX('Reward Model'!$B$12:$B$14,MATCH($Y2981,'Reward Model'!$A$12:$A$14,0))*Z2981,2),0)</f>
        <v>3</v>
      </c>
    </row>
    <row r="2982" customFormat="false" ht="15" hidden="false" customHeight="false" outlineLevel="0" collapsed="false">
      <c r="A2982" s="0" t="s">
        <v>430</v>
      </c>
      <c r="B2982" s="0" t="s">
        <v>431</v>
      </c>
      <c r="C2982" s="0" t="s">
        <v>322</v>
      </c>
      <c r="D2982" s="0" t="s">
        <v>189</v>
      </c>
      <c r="E2982" s="0" t="n">
        <v>1</v>
      </c>
      <c r="F2982" s="0" t="s">
        <v>32</v>
      </c>
      <c r="G2982" s="0" t="s">
        <v>33</v>
      </c>
      <c r="H2982" s="0" t="s">
        <v>33</v>
      </c>
      <c r="I2982" s="0" t="s">
        <v>34</v>
      </c>
      <c r="J2982" s="0" t="n">
        <v>1.75</v>
      </c>
      <c r="K2982" s="0" t="s">
        <v>35</v>
      </c>
      <c r="L2982" s="0" t="n">
        <f aca="false">INDEX(Summary!$F$2:$F$201,MATCH($B2982,Summary!$A$2:$A$201,0))</f>
        <v>20</v>
      </c>
      <c r="M2982" s="0" t="n">
        <f aca="false">INDEX(Summary!$I$2:$I$201,MATCH($B2982,Summary!$A$2:$A$201,0))</f>
        <v>3</v>
      </c>
      <c r="N2982" s="0" t="n">
        <f aca="false">INDEX(Summary!$J$2:$J$201,MATCH($B2982,Summary!$A$2:$A$201,0))</f>
        <v>2</v>
      </c>
      <c r="O2982" s="2" t="n">
        <f aca="false">INDEX(Summary!$K$2:$K$201,MATCH($B2982,Summary!$A$2:$A$201,0))</f>
        <v>10.07</v>
      </c>
      <c r="P2982" s="3" t="n">
        <f aca="false">INDEX(Summary!$L$2:$L$201,MATCH($B2982,Summary!$A$2:$A$201,0))</f>
        <v>5</v>
      </c>
      <c r="Q2982" s="3" t="n">
        <f aca="false">INDEX(Summary!$M$2:$M$201,MATCH($B2982,Summary!$A$2:$A$201,0))</f>
        <v>1</v>
      </c>
      <c r="R2982" s="2" t="n">
        <f aca="false">INDEX(Summary!$N$2:$N$201,MATCH($B2982,Summary!$A$2:$A$201,0))</f>
        <v>10.73</v>
      </c>
      <c r="S2982" s="3" t="n">
        <f aca="false">INDEX(Summary!$O$2:$O$201,MATCH($B2982,Summary!$A$2:$A$201,0))</f>
        <v>8</v>
      </c>
      <c r="T2982" s="3" t="n">
        <f aca="false">INDEX(Summary!$P$2:$P$201,MATCH($B2982,Summary!$A$2:$A$201,0))</f>
        <v>1</v>
      </c>
      <c r="U2982" s="2" t="n">
        <f aca="false">INDEX(Summary!$Q$2:$Q$201,MATCH($B2982,Summary!$A$2:$A$201,0))</f>
        <v>12.35</v>
      </c>
      <c r="V2982" s="2" t="n">
        <f aca="false">INDEX(Summary!$R$2:$R$201,MATCH($B2982,Summary!$A$2:$A$201,0))</f>
        <v>29.19</v>
      </c>
      <c r="W2982" s="0" t="str">
        <f aca="false">INDEX(Summary!$S$2:$S$201,MATCH($B2982,Summary!$A$2:$A$201,0))</f>
        <v>Gold</v>
      </c>
      <c r="X2982" s="2" t="n">
        <f aca="false">INDEX(Summary!$T$2:$T$201,MATCH($B2982,Summary!$A$2:$A$201,0))</f>
        <v>71.2</v>
      </c>
      <c r="Y2982" s="0" t="str">
        <f aca="false">INDEX('Reward Model'!$E$18:$E$37,MATCH($E2982,'Reward Model'!$A$18:$A$37,0))</f>
        <v>Medium</v>
      </c>
      <c r="Z2982" s="4" t="n">
        <f aca="false">ROUND(MIN(1,MAX('Reward Model'!$B$2,INDEX('Reward Model'!$C$12:$C$14,MATCH($K2982,'Reward Model'!$A$12:$A$14,0))/$J2982)),3)</f>
        <v>0.857</v>
      </c>
      <c r="AA2982" s="2" t="n">
        <f aca="false">IF($I2982="Correct",ROUND(INDEX('Reward Model'!$B$12:$B$14,MATCH($K2982,'Reward Model'!$A$12:$A$14,0))*Z2982,2),0)</f>
        <v>0.86</v>
      </c>
      <c r="AB2982" s="2" t="n">
        <f aca="false">IF($I2982="Correct",ROUND(INDEX('Reward Model'!$B$12:$B$14,MATCH($Y2982,'Reward Model'!$A$12:$A$14,0))*Z2982,2),0)</f>
        <v>1.71</v>
      </c>
    </row>
    <row r="2983" customFormat="false" ht="15" hidden="false" customHeight="false" outlineLevel="0" collapsed="false">
      <c r="A2983" s="0" t="s">
        <v>430</v>
      </c>
      <c r="B2983" s="0" t="s">
        <v>431</v>
      </c>
      <c r="C2983" s="0" t="s">
        <v>322</v>
      </c>
      <c r="D2983" s="0" t="s">
        <v>189</v>
      </c>
      <c r="E2983" s="0" t="n">
        <v>2</v>
      </c>
      <c r="F2983" s="0" t="s">
        <v>36</v>
      </c>
      <c r="G2983" s="0" t="s">
        <v>38</v>
      </c>
      <c r="H2983" s="0" t="s">
        <v>38</v>
      </c>
      <c r="I2983" s="0" t="s">
        <v>34</v>
      </c>
      <c r="J2983" s="0" t="n">
        <v>1.4</v>
      </c>
      <c r="K2983" s="0" t="s">
        <v>35</v>
      </c>
      <c r="L2983" s="0" t="n">
        <f aca="false">INDEX(Summary!$F$2:$F$201,MATCH($B2983,Summary!$A$2:$A$201,0))</f>
        <v>20</v>
      </c>
      <c r="M2983" s="0" t="n">
        <f aca="false">INDEX(Summary!$I$2:$I$201,MATCH($B2983,Summary!$A$2:$A$201,0))</f>
        <v>3</v>
      </c>
      <c r="N2983" s="0" t="n">
        <f aca="false">INDEX(Summary!$J$2:$J$201,MATCH($B2983,Summary!$A$2:$A$201,0))</f>
        <v>2</v>
      </c>
      <c r="O2983" s="2" t="n">
        <f aca="false">INDEX(Summary!$K$2:$K$201,MATCH($B2983,Summary!$A$2:$A$201,0))</f>
        <v>10.07</v>
      </c>
      <c r="P2983" s="3" t="n">
        <f aca="false">INDEX(Summary!$L$2:$L$201,MATCH($B2983,Summary!$A$2:$A$201,0))</f>
        <v>5</v>
      </c>
      <c r="Q2983" s="3" t="n">
        <f aca="false">INDEX(Summary!$M$2:$M$201,MATCH($B2983,Summary!$A$2:$A$201,0))</f>
        <v>1</v>
      </c>
      <c r="R2983" s="2" t="n">
        <f aca="false">INDEX(Summary!$N$2:$N$201,MATCH($B2983,Summary!$A$2:$A$201,0))</f>
        <v>10.73</v>
      </c>
      <c r="S2983" s="3" t="n">
        <f aca="false">INDEX(Summary!$O$2:$O$201,MATCH($B2983,Summary!$A$2:$A$201,0))</f>
        <v>8</v>
      </c>
      <c r="T2983" s="3" t="n">
        <f aca="false">INDEX(Summary!$P$2:$P$201,MATCH($B2983,Summary!$A$2:$A$201,0))</f>
        <v>1</v>
      </c>
      <c r="U2983" s="2" t="n">
        <f aca="false">INDEX(Summary!$Q$2:$Q$201,MATCH($B2983,Summary!$A$2:$A$201,0))</f>
        <v>12.35</v>
      </c>
      <c r="V2983" s="2" t="n">
        <f aca="false">INDEX(Summary!$R$2:$R$201,MATCH($B2983,Summary!$A$2:$A$201,0))</f>
        <v>29.19</v>
      </c>
      <c r="W2983" s="0" t="str">
        <f aca="false">INDEX(Summary!$S$2:$S$201,MATCH($B2983,Summary!$A$2:$A$201,0))</f>
        <v>Gold</v>
      </c>
      <c r="X2983" s="2" t="n">
        <f aca="false">INDEX(Summary!$T$2:$T$201,MATCH($B2983,Summary!$A$2:$A$201,0))</f>
        <v>71.2</v>
      </c>
      <c r="Y2983" s="0" t="str">
        <f aca="false">INDEX('Reward Model'!$E$18:$E$37,MATCH($E2983,'Reward Model'!$A$18:$A$37,0))</f>
        <v>Low</v>
      </c>
      <c r="Z2983" s="4" t="n">
        <f aca="false">ROUND(MIN(1,MAX('Reward Model'!$B$2,INDEX('Reward Model'!$C$12:$C$14,MATCH($K2983,'Reward Model'!$A$12:$A$14,0))/$J2983)),3)</f>
        <v>1</v>
      </c>
      <c r="AA2983" s="2" t="n">
        <f aca="false">IF($I2983="Correct",ROUND(INDEX('Reward Model'!$B$12:$B$14,MATCH($K2983,'Reward Model'!$A$12:$A$14,0))*Z2983,2),0)</f>
        <v>1</v>
      </c>
      <c r="AB2983" s="2" t="n">
        <f aca="false">IF($I2983="Correct",ROUND(INDEX('Reward Model'!$B$12:$B$14,MATCH($Y2983,'Reward Model'!$A$12:$A$14,0))*Z2983,2),0)</f>
        <v>1</v>
      </c>
    </row>
    <row r="2984" customFormat="false" ht="15" hidden="false" customHeight="false" outlineLevel="0" collapsed="false">
      <c r="A2984" s="0" t="s">
        <v>430</v>
      </c>
      <c r="B2984" s="0" t="s">
        <v>431</v>
      </c>
      <c r="C2984" s="0" t="s">
        <v>322</v>
      </c>
      <c r="D2984" s="0" t="s">
        <v>189</v>
      </c>
      <c r="E2984" s="0" t="n">
        <v>3</v>
      </c>
      <c r="F2984" s="0" t="s">
        <v>40</v>
      </c>
      <c r="G2984" s="0" t="s">
        <v>42</v>
      </c>
      <c r="H2984" s="0" t="s">
        <v>42</v>
      </c>
      <c r="I2984" s="0" t="s">
        <v>34</v>
      </c>
      <c r="J2984" s="0" t="n">
        <v>1.2</v>
      </c>
      <c r="K2984" s="0" t="s">
        <v>35</v>
      </c>
      <c r="L2984" s="0" t="n">
        <f aca="false">INDEX(Summary!$F$2:$F$201,MATCH($B2984,Summary!$A$2:$A$201,0))</f>
        <v>20</v>
      </c>
      <c r="M2984" s="0" t="n">
        <f aca="false">INDEX(Summary!$I$2:$I$201,MATCH($B2984,Summary!$A$2:$A$201,0))</f>
        <v>3</v>
      </c>
      <c r="N2984" s="0" t="n">
        <f aca="false">INDEX(Summary!$J$2:$J$201,MATCH($B2984,Summary!$A$2:$A$201,0))</f>
        <v>2</v>
      </c>
      <c r="O2984" s="2" t="n">
        <f aca="false">INDEX(Summary!$K$2:$K$201,MATCH($B2984,Summary!$A$2:$A$201,0))</f>
        <v>10.07</v>
      </c>
      <c r="P2984" s="3" t="n">
        <f aca="false">INDEX(Summary!$L$2:$L$201,MATCH($B2984,Summary!$A$2:$A$201,0))</f>
        <v>5</v>
      </c>
      <c r="Q2984" s="3" t="n">
        <f aca="false">INDEX(Summary!$M$2:$M$201,MATCH($B2984,Summary!$A$2:$A$201,0))</f>
        <v>1</v>
      </c>
      <c r="R2984" s="2" t="n">
        <f aca="false">INDEX(Summary!$N$2:$N$201,MATCH($B2984,Summary!$A$2:$A$201,0))</f>
        <v>10.73</v>
      </c>
      <c r="S2984" s="3" t="n">
        <f aca="false">INDEX(Summary!$O$2:$O$201,MATCH($B2984,Summary!$A$2:$A$201,0))</f>
        <v>8</v>
      </c>
      <c r="T2984" s="3" t="n">
        <f aca="false">INDEX(Summary!$P$2:$P$201,MATCH($B2984,Summary!$A$2:$A$201,0))</f>
        <v>1</v>
      </c>
      <c r="U2984" s="2" t="n">
        <f aca="false">INDEX(Summary!$Q$2:$Q$201,MATCH($B2984,Summary!$A$2:$A$201,0))</f>
        <v>12.35</v>
      </c>
      <c r="V2984" s="2" t="n">
        <f aca="false">INDEX(Summary!$R$2:$R$201,MATCH($B2984,Summary!$A$2:$A$201,0))</f>
        <v>29.19</v>
      </c>
      <c r="W2984" s="0" t="str">
        <f aca="false">INDEX(Summary!$S$2:$S$201,MATCH($B2984,Summary!$A$2:$A$201,0))</f>
        <v>Gold</v>
      </c>
      <c r="X2984" s="2" t="n">
        <f aca="false">INDEX(Summary!$T$2:$T$201,MATCH($B2984,Summary!$A$2:$A$201,0))</f>
        <v>71.2</v>
      </c>
      <c r="Y2984" s="0" t="str">
        <f aca="false">INDEX('Reward Model'!$E$18:$E$37,MATCH($E2984,'Reward Model'!$A$18:$A$37,0))</f>
        <v>Medium</v>
      </c>
      <c r="Z2984" s="4" t="n">
        <f aca="false">ROUND(MIN(1,MAX('Reward Model'!$B$2,INDEX('Reward Model'!$C$12:$C$14,MATCH($K2984,'Reward Model'!$A$12:$A$14,0))/$J2984)),3)</f>
        <v>1</v>
      </c>
      <c r="AA2984" s="2" t="n">
        <f aca="false">IF($I2984="Correct",ROUND(INDEX('Reward Model'!$B$12:$B$14,MATCH($K2984,'Reward Model'!$A$12:$A$14,0))*Z2984,2),0)</f>
        <v>1</v>
      </c>
      <c r="AB2984" s="2" t="n">
        <f aca="false">IF($I2984="Correct",ROUND(INDEX('Reward Model'!$B$12:$B$14,MATCH($Y2984,'Reward Model'!$A$12:$A$14,0))*Z2984,2),0)</f>
        <v>2</v>
      </c>
    </row>
    <row r="2985" customFormat="false" ht="15" hidden="false" customHeight="false" outlineLevel="0" collapsed="false">
      <c r="A2985" s="0" t="s">
        <v>430</v>
      </c>
      <c r="B2985" s="0" t="s">
        <v>431</v>
      </c>
      <c r="C2985" s="0" t="s">
        <v>322</v>
      </c>
      <c r="D2985" s="0" t="s">
        <v>189</v>
      </c>
      <c r="E2985" s="0" t="n">
        <v>4</v>
      </c>
      <c r="F2985" s="0" t="s">
        <v>43</v>
      </c>
      <c r="G2985" s="0" t="s">
        <v>45</v>
      </c>
      <c r="H2985" s="0" t="s">
        <v>45</v>
      </c>
      <c r="I2985" s="0" t="s">
        <v>34</v>
      </c>
      <c r="J2985" s="0" t="n">
        <v>1.86</v>
      </c>
      <c r="K2985" s="0" t="s">
        <v>35</v>
      </c>
      <c r="L2985" s="0" t="n">
        <f aca="false">INDEX(Summary!$F$2:$F$201,MATCH($B2985,Summary!$A$2:$A$201,0))</f>
        <v>20</v>
      </c>
      <c r="M2985" s="0" t="n">
        <f aca="false">INDEX(Summary!$I$2:$I$201,MATCH($B2985,Summary!$A$2:$A$201,0))</f>
        <v>3</v>
      </c>
      <c r="N2985" s="0" t="n">
        <f aca="false">INDEX(Summary!$J$2:$J$201,MATCH($B2985,Summary!$A$2:$A$201,0))</f>
        <v>2</v>
      </c>
      <c r="O2985" s="2" t="n">
        <f aca="false">INDEX(Summary!$K$2:$K$201,MATCH($B2985,Summary!$A$2:$A$201,0))</f>
        <v>10.07</v>
      </c>
      <c r="P2985" s="3" t="n">
        <f aca="false">INDEX(Summary!$L$2:$L$201,MATCH($B2985,Summary!$A$2:$A$201,0))</f>
        <v>5</v>
      </c>
      <c r="Q2985" s="3" t="n">
        <f aca="false">INDEX(Summary!$M$2:$M$201,MATCH($B2985,Summary!$A$2:$A$201,0))</f>
        <v>1</v>
      </c>
      <c r="R2985" s="2" t="n">
        <f aca="false">INDEX(Summary!$N$2:$N$201,MATCH($B2985,Summary!$A$2:$A$201,0))</f>
        <v>10.73</v>
      </c>
      <c r="S2985" s="3" t="n">
        <f aca="false">INDEX(Summary!$O$2:$O$201,MATCH($B2985,Summary!$A$2:$A$201,0))</f>
        <v>8</v>
      </c>
      <c r="T2985" s="3" t="n">
        <f aca="false">INDEX(Summary!$P$2:$P$201,MATCH($B2985,Summary!$A$2:$A$201,0))</f>
        <v>1</v>
      </c>
      <c r="U2985" s="2" t="n">
        <f aca="false">INDEX(Summary!$Q$2:$Q$201,MATCH($B2985,Summary!$A$2:$A$201,0))</f>
        <v>12.35</v>
      </c>
      <c r="V2985" s="2" t="n">
        <f aca="false">INDEX(Summary!$R$2:$R$201,MATCH($B2985,Summary!$A$2:$A$201,0))</f>
        <v>29.19</v>
      </c>
      <c r="W2985" s="0" t="str">
        <f aca="false">INDEX(Summary!$S$2:$S$201,MATCH($B2985,Summary!$A$2:$A$201,0))</f>
        <v>Gold</v>
      </c>
      <c r="X2985" s="2" t="n">
        <f aca="false">INDEX(Summary!$T$2:$T$201,MATCH($B2985,Summary!$A$2:$A$201,0))</f>
        <v>71.2</v>
      </c>
      <c r="Y2985" s="0" t="str">
        <f aca="false">INDEX('Reward Model'!$E$18:$E$37,MATCH($E2985,'Reward Model'!$A$18:$A$37,0))</f>
        <v>Low</v>
      </c>
      <c r="Z2985" s="4" t="n">
        <f aca="false">ROUND(MIN(1,MAX('Reward Model'!$B$2,INDEX('Reward Model'!$C$12:$C$14,MATCH($K2985,'Reward Model'!$A$12:$A$14,0))/$J2985)),3)</f>
        <v>0.806</v>
      </c>
      <c r="AA2985" s="2" t="n">
        <f aca="false">IF($I2985="Correct",ROUND(INDEX('Reward Model'!$B$12:$B$14,MATCH($K2985,'Reward Model'!$A$12:$A$14,0))*Z2985,2),0)</f>
        <v>0.81</v>
      </c>
      <c r="AB2985" s="2" t="n">
        <f aca="false">IF($I2985="Correct",ROUND(INDEX('Reward Model'!$B$12:$B$14,MATCH($Y2985,'Reward Model'!$A$12:$A$14,0))*Z2985,2),0)</f>
        <v>0.81</v>
      </c>
    </row>
    <row r="2986" customFormat="false" ht="15" hidden="false" customHeight="false" outlineLevel="0" collapsed="false">
      <c r="A2986" s="0" t="s">
        <v>430</v>
      </c>
      <c r="B2986" s="0" t="s">
        <v>431</v>
      </c>
      <c r="C2986" s="0" t="s">
        <v>322</v>
      </c>
      <c r="D2986" s="0" t="s">
        <v>189</v>
      </c>
      <c r="E2986" s="0" t="n">
        <v>5</v>
      </c>
      <c r="F2986" s="0" t="s">
        <v>46</v>
      </c>
      <c r="G2986" s="0" t="s">
        <v>47</v>
      </c>
      <c r="H2986" s="0" t="s">
        <v>47</v>
      </c>
      <c r="I2986" s="0" t="s">
        <v>34</v>
      </c>
      <c r="J2986" s="0" t="n">
        <v>1.76</v>
      </c>
      <c r="K2986" s="0" t="s">
        <v>35</v>
      </c>
      <c r="L2986" s="0" t="n">
        <f aca="false">INDEX(Summary!$F$2:$F$201,MATCH($B2986,Summary!$A$2:$A$201,0))</f>
        <v>20</v>
      </c>
      <c r="M2986" s="0" t="n">
        <f aca="false">INDEX(Summary!$I$2:$I$201,MATCH($B2986,Summary!$A$2:$A$201,0))</f>
        <v>3</v>
      </c>
      <c r="N2986" s="0" t="n">
        <f aca="false">INDEX(Summary!$J$2:$J$201,MATCH($B2986,Summary!$A$2:$A$201,0))</f>
        <v>2</v>
      </c>
      <c r="O2986" s="2" t="n">
        <f aca="false">INDEX(Summary!$K$2:$K$201,MATCH($B2986,Summary!$A$2:$A$201,0))</f>
        <v>10.07</v>
      </c>
      <c r="P2986" s="3" t="n">
        <f aca="false">INDEX(Summary!$L$2:$L$201,MATCH($B2986,Summary!$A$2:$A$201,0))</f>
        <v>5</v>
      </c>
      <c r="Q2986" s="3" t="n">
        <f aca="false">INDEX(Summary!$M$2:$M$201,MATCH($B2986,Summary!$A$2:$A$201,0))</f>
        <v>1</v>
      </c>
      <c r="R2986" s="2" t="n">
        <f aca="false">INDEX(Summary!$N$2:$N$201,MATCH($B2986,Summary!$A$2:$A$201,0))</f>
        <v>10.73</v>
      </c>
      <c r="S2986" s="3" t="n">
        <f aca="false">INDEX(Summary!$O$2:$O$201,MATCH($B2986,Summary!$A$2:$A$201,0))</f>
        <v>8</v>
      </c>
      <c r="T2986" s="3" t="n">
        <f aca="false">INDEX(Summary!$P$2:$P$201,MATCH($B2986,Summary!$A$2:$A$201,0))</f>
        <v>1</v>
      </c>
      <c r="U2986" s="2" t="n">
        <f aca="false">INDEX(Summary!$Q$2:$Q$201,MATCH($B2986,Summary!$A$2:$A$201,0))</f>
        <v>12.35</v>
      </c>
      <c r="V2986" s="2" t="n">
        <f aca="false">INDEX(Summary!$R$2:$R$201,MATCH($B2986,Summary!$A$2:$A$201,0))</f>
        <v>29.19</v>
      </c>
      <c r="W2986" s="0" t="str">
        <f aca="false">INDEX(Summary!$S$2:$S$201,MATCH($B2986,Summary!$A$2:$A$201,0))</f>
        <v>Gold</v>
      </c>
      <c r="X2986" s="2" t="n">
        <f aca="false">INDEX(Summary!$T$2:$T$201,MATCH($B2986,Summary!$A$2:$A$201,0))</f>
        <v>71.2</v>
      </c>
      <c r="Y2986" s="0" t="str">
        <f aca="false">INDEX('Reward Model'!$E$18:$E$37,MATCH($E2986,'Reward Model'!$A$18:$A$37,0))</f>
        <v>Low</v>
      </c>
      <c r="Z2986" s="4" t="n">
        <f aca="false">ROUND(MIN(1,MAX('Reward Model'!$B$2,INDEX('Reward Model'!$C$12:$C$14,MATCH($K2986,'Reward Model'!$A$12:$A$14,0))/$J2986)),3)</f>
        <v>0.852</v>
      </c>
      <c r="AA2986" s="2" t="n">
        <f aca="false">IF($I2986="Correct",ROUND(INDEX('Reward Model'!$B$12:$B$14,MATCH($K2986,'Reward Model'!$A$12:$A$14,0))*Z2986,2),0)</f>
        <v>0.85</v>
      </c>
      <c r="AB2986" s="2" t="n">
        <f aca="false">IF($I2986="Correct",ROUND(INDEX('Reward Model'!$B$12:$B$14,MATCH($Y2986,'Reward Model'!$A$12:$A$14,0))*Z2986,2),0)</f>
        <v>0.85</v>
      </c>
    </row>
    <row r="2987" customFormat="false" ht="15" hidden="false" customHeight="false" outlineLevel="0" collapsed="false">
      <c r="A2987" s="0" t="s">
        <v>430</v>
      </c>
      <c r="B2987" s="0" t="s">
        <v>431</v>
      </c>
      <c r="C2987" s="0" t="s">
        <v>322</v>
      </c>
      <c r="D2987" s="0" t="s">
        <v>189</v>
      </c>
      <c r="E2987" s="0" t="n">
        <v>6</v>
      </c>
      <c r="F2987" s="0" t="s">
        <v>48</v>
      </c>
      <c r="G2987" s="0" t="s">
        <v>49</v>
      </c>
      <c r="H2987" s="0" t="s">
        <v>49</v>
      </c>
      <c r="I2987" s="0" t="s">
        <v>34</v>
      </c>
      <c r="J2987" s="0" t="n">
        <v>1.14</v>
      </c>
      <c r="K2987" s="0" t="s">
        <v>35</v>
      </c>
      <c r="L2987" s="0" t="n">
        <f aca="false">INDEX(Summary!$F$2:$F$201,MATCH($B2987,Summary!$A$2:$A$201,0))</f>
        <v>20</v>
      </c>
      <c r="M2987" s="0" t="n">
        <f aca="false">INDEX(Summary!$I$2:$I$201,MATCH($B2987,Summary!$A$2:$A$201,0))</f>
        <v>3</v>
      </c>
      <c r="N2987" s="0" t="n">
        <f aca="false">INDEX(Summary!$J$2:$J$201,MATCH($B2987,Summary!$A$2:$A$201,0))</f>
        <v>2</v>
      </c>
      <c r="O2987" s="2" t="n">
        <f aca="false">INDEX(Summary!$K$2:$K$201,MATCH($B2987,Summary!$A$2:$A$201,0))</f>
        <v>10.07</v>
      </c>
      <c r="P2987" s="3" t="n">
        <f aca="false">INDEX(Summary!$L$2:$L$201,MATCH($B2987,Summary!$A$2:$A$201,0))</f>
        <v>5</v>
      </c>
      <c r="Q2987" s="3" t="n">
        <f aca="false">INDEX(Summary!$M$2:$M$201,MATCH($B2987,Summary!$A$2:$A$201,0))</f>
        <v>1</v>
      </c>
      <c r="R2987" s="2" t="n">
        <f aca="false">INDEX(Summary!$N$2:$N$201,MATCH($B2987,Summary!$A$2:$A$201,0))</f>
        <v>10.73</v>
      </c>
      <c r="S2987" s="3" t="n">
        <f aca="false">INDEX(Summary!$O$2:$O$201,MATCH($B2987,Summary!$A$2:$A$201,0))</f>
        <v>8</v>
      </c>
      <c r="T2987" s="3" t="n">
        <f aca="false">INDEX(Summary!$P$2:$P$201,MATCH($B2987,Summary!$A$2:$A$201,0))</f>
        <v>1</v>
      </c>
      <c r="U2987" s="2" t="n">
        <f aca="false">INDEX(Summary!$Q$2:$Q$201,MATCH($B2987,Summary!$A$2:$A$201,0))</f>
        <v>12.35</v>
      </c>
      <c r="V2987" s="2" t="n">
        <f aca="false">INDEX(Summary!$R$2:$R$201,MATCH($B2987,Summary!$A$2:$A$201,0))</f>
        <v>29.19</v>
      </c>
      <c r="W2987" s="0" t="str">
        <f aca="false">INDEX(Summary!$S$2:$S$201,MATCH($B2987,Summary!$A$2:$A$201,0))</f>
        <v>Gold</v>
      </c>
      <c r="X2987" s="2" t="n">
        <f aca="false">INDEX(Summary!$T$2:$T$201,MATCH($B2987,Summary!$A$2:$A$201,0))</f>
        <v>71.2</v>
      </c>
      <c r="Y2987" s="0" t="str">
        <f aca="false">INDEX('Reward Model'!$E$18:$E$37,MATCH($E2987,'Reward Model'!$A$18:$A$37,0))</f>
        <v>Medium</v>
      </c>
      <c r="Z2987" s="4" t="n">
        <f aca="false">ROUND(MIN(1,MAX('Reward Model'!$B$2,INDEX('Reward Model'!$C$12:$C$14,MATCH($K2987,'Reward Model'!$A$12:$A$14,0))/$J2987)),3)</f>
        <v>1</v>
      </c>
      <c r="AA2987" s="2" t="n">
        <f aca="false">IF($I2987="Correct",ROUND(INDEX('Reward Model'!$B$12:$B$14,MATCH($K2987,'Reward Model'!$A$12:$A$14,0))*Z2987,2),0)</f>
        <v>1</v>
      </c>
      <c r="AB2987" s="2" t="n">
        <f aca="false">IF($I2987="Correct",ROUND(INDEX('Reward Model'!$B$12:$B$14,MATCH($Y2987,'Reward Model'!$A$12:$A$14,0))*Z2987,2),0)</f>
        <v>2</v>
      </c>
    </row>
    <row r="2988" customFormat="false" ht="15" hidden="false" customHeight="false" outlineLevel="0" collapsed="false">
      <c r="A2988" s="0" t="s">
        <v>430</v>
      </c>
      <c r="B2988" s="0" t="s">
        <v>431</v>
      </c>
      <c r="C2988" s="0" t="s">
        <v>322</v>
      </c>
      <c r="D2988" s="0" t="s">
        <v>189</v>
      </c>
      <c r="E2988" s="0" t="n">
        <v>7</v>
      </c>
      <c r="F2988" s="0" t="s">
        <v>50</v>
      </c>
      <c r="G2988" s="0" t="s">
        <v>51</v>
      </c>
      <c r="H2988" s="0" t="s">
        <v>51</v>
      </c>
      <c r="I2988" s="0" t="s">
        <v>34</v>
      </c>
      <c r="J2988" s="0" t="n">
        <v>1.04</v>
      </c>
      <c r="K2988" s="0" t="s">
        <v>35</v>
      </c>
      <c r="L2988" s="0" t="n">
        <f aca="false">INDEX(Summary!$F$2:$F$201,MATCH($B2988,Summary!$A$2:$A$201,0))</f>
        <v>20</v>
      </c>
      <c r="M2988" s="0" t="n">
        <f aca="false">INDEX(Summary!$I$2:$I$201,MATCH($B2988,Summary!$A$2:$A$201,0))</f>
        <v>3</v>
      </c>
      <c r="N2988" s="0" t="n">
        <f aca="false">INDEX(Summary!$J$2:$J$201,MATCH($B2988,Summary!$A$2:$A$201,0))</f>
        <v>2</v>
      </c>
      <c r="O2988" s="2" t="n">
        <f aca="false">INDEX(Summary!$K$2:$K$201,MATCH($B2988,Summary!$A$2:$A$201,0))</f>
        <v>10.07</v>
      </c>
      <c r="P2988" s="3" t="n">
        <f aca="false">INDEX(Summary!$L$2:$L$201,MATCH($B2988,Summary!$A$2:$A$201,0))</f>
        <v>5</v>
      </c>
      <c r="Q2988" s="3" t="n">
        <f aca="false">INDEX(Summary!$M$2:$M$201,MATCH($B2988,Summary!$A$2:$A$201,0))</f>
        <v>1</v>
      </c>
      <c r="R2988" s="2" t="n">
        <f aca="false">INDEX(Summary!$N$2:$N$201,MATCH($B2988,Summary!$A$2:$A$201,0))</f>
        <v>10.73</v>
      </c>
      <c r="S2988" s="3" t="n">
        <f aca="false">INDEX(Summary!$O$2:$O$201,MATCH($B2988,Summary!$A$2:$A$201,0))</f>
        <v>8</v>
      </c>
      <c r="T2988" s="3" t="n">
        <f aca="false">INDEX(Summary!$P$2:$P$201,MATCH($B2988,Summary!$A$2:$A$201,0))</f>
        <v>1</v>
      </c>
      <c r="U2988" s="2" t="n">
        <f aca="false">INDEX(Summary!$Q$2:$Q$201,MATCH($B2988,Summary!$A$2:$A$201,0))</f>
        <v>12.35</v>
      </c>
      <c r="V2988" s="2" t="n">
        <f aca="false">INDEX(Summary!$R$2:$R$201,MATCH($B2988,Summary!$A$2:$A$201,0))</f>
        <v>29.19</v>
      </c>
      <c r="W2988" s="0" t="str">
        <f aca="false">INDEX(Summary!$S$2:$S$201,MATCH($B2988,Summary!$A$2:$A$201,0))</f>
        <v>Gold</v>
      </c>
      <c r="X2988" s="2" t="n">
        <f aca="false">INDEX(Summary!$T$2:$T$201,MATCH($B2988,Summary!$A$2:$A$201,0))</f>
        <v>71.2</v>
      </c>
      <c r="Y2988" s="0" t="str">
        <f aca="false">INDEX('Reward Model'!$E$18:$E$37,MATCH($E2988,'Reward Model'!$A$18:$A$37,0))</f>
        <v>Low</v>
      </c>
      <c r="Z2988" s="4" t="n">
        <f aca="false">ROUND(MIN(1,MAX('Reward Model'!$B$2,INDEX('Reward Model'!$C$12:$C$14,MATCH($K2988,'Reward Model'!$A$12:$A$14,0))/$J2988)),3)</f>
        <v>1</v>
      </c>
      <c r="AA2988" s="2" t="n">
        <f aca="false">IF($I2988="Correct",ROUND(INDEX('Reward Model'!$B$12:$B$14,MATCH($K2988,'Reward Model'!$A$12:$A$14,0))*Z2988,2),0)</f>
        <v>1</v>
      </c>
      <c r="AB2988" s="2" t="n">
        <f aca="false">IF($I2988="Correct",ROUND(INDEX('Reward Model'!$B$12:$B$14,MATCH($Y2988,'Reward Model'!$A$12:$A$14,0))*Z2988,2),0)</f>
        <v>1</v>
      </c>
    </row>
    <row r="2989" customFormat="false" ht="15" hidden="false" customHeight="false" outlineLevel="0" collapsed="false">
      <c r="A2989" s="0" t="s">
        <v>430</v>
      </c>
      <c r="B2989" s="0" t="s">
        <v>431</v>
      </c>
      <c r="C2989" s="0" t="s">
        <v>322</v>
      </c>
      <c r="D2989" s="0" t="s">
        <v>189</v>
      </c>
      <c r="E2989" s="0" t="n">
        <v>8</v>
      </c>
      <c r="F2989" s="0" t="s">
        <v>52</v>
      </c>
      <c r="G2989" s="0" t="s">
        <v>93</v>
      </c>
      <c r="H2989" s="0" t="s">
        <v>54</v>
      </c>
      <c r="I2989" s="0" t="s">
        <v>39</v>
      </c>
      <c r="J2989" s="0" t="n">
        <v>0.99</v>
      </c>
      <c r="K2989" s="0" t="s">
        <v>35</v>
      </c>
      <c r="L2989" s="0" t="n">
        <f aca="false">INDEX(Summary!$F$2:$F$201,MATCH($B2989,Summary!$A$2:$A$201,0))</f>
        <v>20</v>
      </c>
      <c r="M2989" s="0" t="n">
        <f aca="false">INDEX(Summary!$I$2:$I$201,MATCH($B2989,Summary!$A$2:$A$201,0))</f>
        <v>3</v>
      </c>
      <c r="N2989" s="0" t="n">
        <f aca="false">INDEX(Summary!$J$2:$J$201,MATCH($B2989,Summary!$A$2:$A$201,0))</f>
        <v>2</v>
      </c>
      <c r="O2989" s="2" t="n">
        <f aca="false">INDEX(Summary!$K$2:$K$201,MATCH($B2989,Summary!$A$2:$A$201,0))</f>
        <v>10.07</v>
      </c>
      <c r="P2989" s="3" t="n">
        <f aca="false">INDEX(Summary!$L$2:$L$201,MATCH($B2989,Summary!$A$2:$A$201,0))</f>
        <v>5</v>
      </c>
      <c r="Q2989" s="3" t="n">
        <f aca="false">INDEX(Summary!$M$2:$M$201,MATCH($B2989,Summary!$A$2:$A$201,0))</f>
        <v>1</v>
      </c>
      <c r="R2989" s="2" t="n">
        <f aca="false">INDEX(Summary!$N$2:$N$201,MATCH($B2989,Summary!$A$2:$A$201,0))</f>
        <v>10.73</v>
      </c>
      <c r="S2989" s="3" t="n">
        <f aca="false">INDEX(Summary!$O$2:$O$201,MATCH($B2989,Summary!$A$2:$A$201,0))</f>
        <v>8</v>
      </c>
      <c r="T2989" s="3" t="n">
        <f aca="false">INDEX(Summary!$P$2:$P$201,MATCH($B2989,Summary!$A$2:$A$201,0))</f>
        <v>1</v>
      </c>
      <c r="U2989" s="2" t="n">
        <f aca="false">INDEX(Summary!$Q$2:$Q$201,MATCH($B2989,Summary!$A$2:$A$201,0))</f>
        <v>12.35</v>
      </c>
      <c r="V2989" s="2" t="n">
        <f aca="false">INDEX(Summary!$R$2:$R$201,MATCH($B2989,Summary!$A$2:$A$201,0))</f>
        <v>29.19</v>
      </c>
      <c r="W2989" s="0" t="str">
        <f aca="false">INDEX(Summary!$S$2:$S$201,MATCH($B2989,Summary!$A$2:$A$201,0))</f>
        <v>Gold</v>
      </c>
      <c r="X2989" s="2" t="n">
        <f aca="false">INDEX(Summary!$T$2:$T$201,MATCH($B2989,Summary!$A$2:$A$201,0))</f>
        <v>71.2</v>
      </c>
      <c r="Y2989" s="0" t="str">
        <f aca="false">INDEX('Reward Model'!$E$18:$E$37,MATCH($E2989,'Reward Model'!$A$18:$A$37,0))</f>
        <v>Medium</v>
      </c>
      <c r="Z2989" s="4" t="n">
        <f aca="false">ROUND(MIN(1,MAX('Reward Model'!$B$2,INDEX('Reward Model'!$C$12:$C$14,MATCH($K2989,'Reward Model'!$A$12:$A$14,0))/$J2989)),3)</f>
        <v>1</v>
      </c>
      <c r="AA2989" s="2" t="n">
        <f aca="false">IF($I2989="Correct",ROUND(INDEX('Reward Model'!$B$12:$B$14,MATCH($K2989,'Reward Model'!$A$12:$A$14,0))*Z2989,2),0)</f>
        <v>0</v>
      </c>
      <c r="AB2989" s="2" t="n">
        <f aca="false">IF($I2989="Correct",ROUND(INDEX('Reward Model'!$B$12:$B$14,MATCH($Y2989,'Reward Model'!$A$12:$A$14,0))*Z2989,2),0)</f>
        <v>0</v>
      </c>
    </row>
    <row r="2990" customFormat="false" ht="15" hidden="false" customHeight="false" outlineLevel="0" collapsed="false">
      <c r="A2990" s="0" t="s">
        <v>430</v>
      </c>
      <c r="B2990" s="0" t="s">
        <v>431</v>
      </c>
      <c r="C2990" s="0" t="s">
        <v>322</v>
      </c>
      <c r="D2990" s="0" t="s">
        <v>189</v>
      </c>
      <c r="E2990" s="0" t="n">
        <v>9</v>
      </c>
      <c r="F2990" s="0" t="s">
        <v>55</v>
      </c>
      <c r="G2990" s="0" t="s">
        <v>57</v>
      </c>
      <c r="H2990" s="0" t="s">
        <v>57</v>
      </c>
      <c r="I2990" s="0" t="s">
        <v>34</v>
      </c>
      <c r="J2990" s="0" t="n">
        <v>1.21</v>
      </c>
      <c r="K2990" s="0" t="s">
        <v>35</v>
      </c>
      <c r="L2990" s="0" t="n">
        <f aca="false">INDEX(Summary!$F$2:$F$201,MATCH($B2990,Summary!$A$2:$A$201,0))</f>
        <v>20</v>
      </c>
      <c r="M2990" s="0" t="n">
        <f aca="false">INDEX(Summary!$I$2:$I$201,MATCH($B2990,Summary!$A$2:$A$201,0))</f>
        <v>3</v>
      </c>
      <c r="N2990" s="0" t="n">
        <f aca="false">INDEX(Summary!$J$2:$J$201,MATCH($B2990,Summary!$A$2:$A$201,0))</f>
        <v>2</v>
      </c>
      <c r="O2990" s="2" t="n">
        <f aca="false">INDEX(Summary!$K$2:$K$201,MATCH($B2990,Summary!$A$2:$A$201,0))</f>
        <v>10.07</v>
      </c>
      <c r="P2990" s="3" t="n">
        <f aca="false">INDEX(Summary!$L$2:$L$201,MATCH($B2990,Summary!$A$2:$A$201,0))</f>
        <v>5</v>
      </c>
      <c r="Q2990" s="3" t="n">
        <f aca="false">INDEX(Summary!$M$2:$M$201,MATCH($B2990,Summary!$A$2:$A$201,0))</f>
        <v>1</v>
      </c>
      <c r="R2990" s="2" t="n">
        <f aca="false">INDEX(Summary!$N$2:$N$201,MATCH($B2990,Summary!$A$2:$A$201,0))</f>
        <v>10.73</v>
      </c>
      <c r="S2990" s="3" t="n">
        <f aca="false">INDEX(Summary!$O$2:$O$201,MATCH($B2990,Summary!$A$2:$A$201,0))</f>
        <v>8</v>
      </c>
      <c r="T2990" s="3" t="n">
        <f aca="false">INDEX(Summary!$P$2:$P$201,MATCH($B2990,Summary!$A$2:$A$201,0))</f>
        <v>1</v>
      </c>
      <c r="U2990" s="2" t="n">
        <f aca="false">INDEX(Summary!$Q$2:$Q$201,MATCH($B2990,Summary!$A$2:$A$201,0))</f>
        <v>12.35</v>
      </c>
      <c r="V2990" s="2" t="n">
        <f aca="false">INDEX(Summary!$R$2:$R$201,MATCH($B2990,Summary!$A$2:$A$201,0))</f>
        <v>29.19</v>
      </c>
      <c r="W2990" s="0" t="str">
        <f aca="false">INDEX(Summary!$S$2:$S$201,MATCH($B2990,Summary!$A$2:$A$201,0))</f>
        <v>Gold</v>
      </c>
      <c r="X2990" s="2" t="n">
        <f aca="false">INDEX(Summary!$T$2:$T$201,MATCH($B2990,Summary!$A$2:$A$201,0))</f>
        <v>71.2</v>
      </c>
      <c r="Y2990" s="0" t="str">
        <f aca="false">INDEX('Reward Model'!$E$18:$E$37,MATCH($E2990,'Reward Model'!$A$18:$A$37,0))</f>
        <v>Medium</v>
      </c>
      <c r="Z2990" s="4" t="n">
        <f aca="false">ROUND(MIN(1,MAX('Reward Model'!$B$2,INDEX('Reward Model'!$C$12:$C$14,MATCH($K2990,'Reward Model'!$A$12:$A$14,0))/$J2990)),3)</f>
        <v>1</v>
      </c>
      <c r="AA2990" s="2" t="n">
        <f aca="false">IF($I2990="Correct",ROUND(INDEX('Reward Model'!$B$12:$B$14,MATCH($K2990,'Reward Model'!$A$12:$A$14,0))*Z2990,2),0)</f>
        <v>1</v>
      </c>
      <c r="AB2990" s="2" t="n">
        <f aca="false">IF($I2990="Correct",ROUND(INDEX('Reward Model'!$B$12:$B$14,MATCH($Y2990,'Reward Model'!$A$12:$A$14,0))*Z2990,2),0)</f>
        <v>2</v>
      </c>
    </row>
    <row r="2991" customFormat="false" ht="15" hidden="false" customHeight="false" outlineLevel="0" collapsed="false">
      <c r="A2991" s="0" t="s">
        <v>430</v>
      </c>
      <c r="B2991" s="0" t="s">
        <v>431</v>
      </c>
      <c r="C2991" s="0" t="s">
        <v>322</v>
      </c>
      <c r="D2991" s="0" t="s">
        <v>189</v>
      </c>
      <c r="E2991" s="0" t="n">
        <v>10</v>
      </c>
      <c r="F2991" s="0" t="s">
        <v>58</v>
      </c>
      <c r="G2991" s="0" t="s">
        <v>59</v>
      </c>
      <c r="H2991" s="0" t="s">
        <v>59</v>
      </c>
      <c r="I2991" s="0" t="s">
        <v>34</v>
      </c>
      <c r="J2991" s="0" t="n">
        <v>1.16</v>
      </c>
      <c r="K2991" s="0" t="s">
        <v>60</v>
      </c>
      <c r="L2991" s="0" t="n">
        <f aca="false">INDEX(Summary!$F$2:$F$201,MATCH($B2991,Summary!$A$2:$A$201,0))</f>
        <v>20</v>
      </c>
      <c r="M2991" s="0" t="n">
        <f aca="false">INDEX(Summary!$I$2:$I$201,MATCH($B2991,Summary!$A$2:$A$201,0))</f>
        <v>3</v>
      </c>
      <c r="N2991" s="0" t="n">
        <f aca="false">INDEX(Summary!$J$2:$J$201,MATCH($B2991,Summary!$A$2:$A$201,0))</f>
        <v>2</v>
      </c>
      <c r="O2991" s="2" t="n">
        <f aca="false">INDEX(Summary!$K$2:$K$201,MATCH($B2991,Summary!$A$2:$A$201,0))</f>
        <v>10.07</v>
      </c>
      <c r="P2991" s="3" t="n">
        <f aca="false">INDEX(Summary!$L$2:$L$201,MATCH($B2991,Summary!$A$2:$A$201,0))</f>
        <v>5</v>
      </c>
      <c r="Q2991" s="3" t="n">
        <f aca="false">INDEX(Summary!$M$2:$M$201,MATCH($B2991,Summary!$A$2:$A$201,0))</f>
        <v>1</v>
      </c>
      <c r="R2991" s="2" t="n">
        <f aca="false">INDEX(Summary!$N$2:$N$201,MATCH($B2991,Summary!$A$2:$A$201,0))</f>
        <v>10.73</v>
      </c>
      <c r="S2991" s="3" t="n">
        <f aca="false">INDEX(Summary!$O$2:$O$201,MATCH($B2991,Summary!$A$2:$A$201,0))</f>
        <v>8</v>
      </c>
      <c r="T2991" s="3" t="n">
        <f aca="false">INDEX(Summary!$P$2:$P$201,MATCH($B2991,Summary!$A$2:$A$201,0))</f>
        <v>1</v>
      </c>
      <c r="U2991" s="2" t="n">
        <f aca="false">INDEX(Summary!$Q$2:$Q$201,MATCH($B2991,Summary!$A$2:$A$201,0))</f>
        <v>12.35</v>
      </c>
      <c r="V2991" s="2" t="n">
        <f aca="false">INDEX(Summary!$R$2:$R$201,MATCH($B2991,Summary!$A$2:$A$201,0))</f>
        <v>29.19</v>
      </c>
      <c r="W2991" s="0" t="str">
        <f aca="false">INDEX(Summary!$S$2:$S$201,MATCH($B2991,Summary!$A$2:$A$201,0))</f>
        <v>Gold</v>
      </c>
      <c r="X2991" s="2" t="n">
        <f aca="false">INDEX(Summary!$T$2:$T$201,MATCH($B2991,Summary!$A$2:$A$201,0))</f>
        <v>71.2</v>
      </c>
      <c r="Y2991" s="0" t="str">
        <f aca="false">INDEX('Reward Model'!$E$18:$E$37,MATCH($E2991,'Reward Model'!$A$18:$A$37,0))</f>
        <v>Medium</v>
      </c>
      <c r="Z2991" s="4" t="n">
        <f aca="false">ROUND(MIN(1,MAX('Reward Model'!$B$2,INDEX('Reward Model'!$C$12:$C$14,MATCH($K2991,'Reward Model'!$A$12:$A$14,0))/$J2991)),3)</f>
        <v>1</v>
      </c>
      <c r="AA2991" s="2" t="n">
        <f aca="false">IF($I2991="Correct",ROUND(INDEX('Reward Model'!$B$12:$B$14,MATCH($K2991,'Reward Model'!$A$12:$A$14,0))*Z2991,2),0)</f>
        <v>2</v>
      </c>
      <c r="AB2991" s="2" t="n">
        <f aca="false">IF($I2991="Correct",ROUND(INDEX('Reward Model'!$B$12:$B$14,MATCH($Y2991,'Reward Model'!$A$12:$A$14,0))*Z2991,2),0)</f>
        <v>2</v>
      </c>
    </row>
    <row r="2992" customFormat="false" ht="15" hidden="false" customHeight="false" outlineLevel="0" collapsed="false">
      <c r="A2992" s="0" t="s">
        <v>430</v>
      </c>
      <c r="B2992" s="0" t="s">
        <v>431</v>
      </c>
      <c r="C2992" s="0" t="s">
        <v>322</v>
      </c>
      <c r="D2992" s="0" t="s">
        <v>189</v>
      </c>
      <c r="E2992" s="0" t="n">
        <v>11</v>
      </c>
      <c r="F2992" s="0" t="s">
        <v>61</v>
      </c>
      <c r="G2992" s="0" t="s">
        <v>63</v>
      </c>
      <c r="H2992" s="0" t="s">
        <v>63</v>
      </c>
      <c r="I2992" s="0" t="s">
        <v>34</v>
      </c>
      <c r="J2992" s="0" t="n">
        <v>1.87</v>
      </c>
      <c r="K2992" s="0" t="s">
        <v>60</v>
      </c>
      <c r="L2992" s="0" t="n">
        <f aca="false">INDEX(Summary!$F$2:$F$201,MATCH($B2992,Summary!$A$2:$A$201,0))</f>
        <v>20</v>
      </c>
      <c r="M2992" s="0" t="n">
        <f aca="false">INDEX(Summary!$I$2:$I$201,MATCH($B2992,Summary!$A$2:$A$201,0))</f>
        <v>3</v>
      </c>
      <c r="N2992" s="0" t="n">
        <f aca="false">INDEX(Summary!$J$2:$J$201,MATCH($B2992,Summary!$A$2:$A$201,0))</f>
        <v>2</v>
      </c>
      <c r="O2992" s="2" t="n">
        <f aca="false">INDEX(Summary!$K$2:$K$201,MATCH($B2992,Summary!$A$2:$A$201,0))</f>
        <v>10.07</v>
      </c>
      <c r="P2992" s="3" t="n">
        <f aca="false">INDEX(Summary!$L$2:$L$201,MATCH($B2992,Summary!$A$2:$A$201,0))</f>
        <v>5</v>
      </c>
      <c r="Q2992" s="3" t="n">
        <f aca="false">INDEX(Summary!$M$2:$M$201,MATCH($B2992,Summary!$A$2:$A$201,0))</f>
        <v>1</v>
      </c>
      <c r="R2992" s="2" t="n">
        <f aca="false">INDEX(Summary!$N$2:$N$201,MATCH($B2992,Summary!$A$2:$A$201,0))</f>
        <v>10.73</v>
      </c>
      <c r="S2992" s="3" t="n">
        <f aca="false">INDEX(Summary!$O$2:$O$201,MATCH($B2992,Summary!$A$2:$A$201,0))</f>
        <v>8</v>
      </c>
      <c r="T2992" s="3" t="n">
        <f aca="false">INDEX(Summary!$P$2:$P$201,MATCH($B2992,Summary!$A$2:$A$201,0))</f>
        <v>1</v>
      </c>
      <c r="U2992" s="2" t="n">
        <f aca="false">INDEX(Summary!$Q$2:$Q$201,MATCH($B2992,Summary!$A$2:$A$201,0))</f>
        <v>12.35</v>
      </c>
      <c r="V2992" s="2" t="n">
        <f aca="false">INDEX(Summary!$R$2:$R$201,MATCH($B2992,Summary!$A$2:$A$201,0))</f>
        <v>29.19</v>
      </c>
      <c r="W2992" s="0" t="str">
        <f aca="false">INDEX(Summary!$S$2:$S$201,MATCH($B2992,Summary!$A$2:$A$201,0))</f>
        <v>Gold</v>
      </c>
      <c r="X2992" s="2" t="n">
        <f aca="false">INDEX(Summary!$T$2:$T$201,MATCH($B2992,Summary!$A$2:$A$201,0))</f>
        <v>71.2</v>
      </c>
      <c r="Y2992" s="0" t="str">
        <f aca="false">INDEX('Reward Model'!$E$18:$E$37,MATCH($E2992,'Reward Model'!$A$18:$A$37,0))</f>
        <v>Medium</v>
      </c>
      <c r="Z2992" s="4" t="n">
        <f aca="false">ROUND(MIN(1,MAX('Reward Model'!$B$2,INDEX('Reward Model'!$C$12:$C$14,MATCH($K2992,'Reward Model'!$A$12:$A$14,0))/$J2992)),3)</f>
        <v>0.963</v>
      </c>
      <c r="AA2992" s="2" t="n">
        <f aca="false">IF($I2992="Correct",ROUND(INDEX('Reward Model'!$B$12:$B$14,MATCH($K2992,'Reward Model'!$A$12:$A$14,0))*Z2992,2),0)</f>
        <v>1.93</v>
      </c>
      <c r="AB2992" s="2" t="n">
        <f aca="false">IF($I2992="Correct",ROUND(INDEX('Reward Model'!$B$12:$B$14,MATCH($Y2992,'Reward Model'!$A$12:$A$14,0))*Z2992,2),0)</f>
        <v>1.93</v>
      </c>
    </row>
    <row r="2993" customFormat="false" ht="15" hidden="false" customHeight="false" outlineLevel="0" collapsed="false">
      <c r="A2993" s="0" t="s">
        <v>430</v>
      </c>
      <c r="B2993" s="0" t="s">
        <v>431</v>
      </c>
      <c r="C2993" s="0" t="s">
        <v>322</v>
      </c>
      <c r="D2993" s="0" t="s">
        <v>189</v>
      </c>
      <c r="E2993" s="0" t="n">
        <v>12</v>
      </c>
      <c r="F2993" s="0" t="s">
        <v>64</v>
      </c>
      <c r="G2993" s="0" t="s">
        <v>127</v>
      </c>
      <c r="H2993" s="0" t="s">
        <v>65</v>
      </c>
      <c r="I2993" s="0" t="s">
        <v>39</v>
      </c>
      <c r="J2993" s="0" t="n">
        <v>1.12</v>
      </c>
      <c r="K2993" s="0" t="s">
        <v>60</v>
      </c>
      <c r="L2993" s="0" t="n">
        <f aca="false">INDEX(Summary!$F$2:$F$201,MATCH($B2993,Summary!$A$2:$A$201,0))</f>
        <v>20</v>
      </c>
      <c r="M2993" s="0" t="n">
        <f aca="false">INDEX(Summary!$I$2:$I$201,MATCH($B2993,Summary!$A$2:$A$201,0))</f>
        <v>3</v>
      </c>
      <c r="N2993" s="0" t="n">
        <f aca="false">INDEX(Summary!$J$2:$J$201,MATCH($B2993,Summary!$A$2:$A$201,0))</f>
        <v>2</v>
      </c>
      <c r="O2993" s="2" t="n">
        <f aca="false">INDEX(Summary!$K$2:$K$201,MATCH($B2993,Summary!$A$2:$A$201,0))</f>
        <v>10.07</v>
      </c>
      <c r="P2993" s="3" t="n">
        <f aca="false">INDEX(Summary!$L$2:$L$201,MATCH($B2993,Summary!$A$2:$A$201,0))</f>
        <v>5</v>
      </c>
      <c r="Q2993" s="3" t="n">
        <f aca="false">INDEX(Summary!$M$2:$M$201,MATCH($B2993,Summary!$A$2:$A$201,0))</f>
        <v>1</v>
      </c>
      <c r="R2993" s="2" t="n">
        <f aca="false">INDEX(Summary!$N$2:$N$201,MATCH($B2993,Summary!$A$2:$A$201,0))</f>
        <v>10.73</v>
      </c>
      <c r="S2993" s="3" t="n">
        <f aca="false">INDEX(Summary!$O$2:$O$201,MATCH($B2993,Summary!$A$2:$A$201,0))</f>
        <v>8</v>
      </c>
      <c r="T2993" s="3" t="n">
        <f aca="false">INDEX(Summary!$P$2:$P$201,MATCH($B2993,Summary!$A$2:$A$201,0))</f>
        <v>1</v>
      </c>
      <c r="U2993" s="2" t="n">
        <f aca="false">INDEX(Summary!$Q$2:$Q$201,MATCH($B2993,Summary!$A$2:$A$201,0))</f>
        <v>12.35</v>
      </c>
      <c r="V2993" s="2" t="n">
        <f aca="false">INDEX(Summary!$R$2:$R$201,MATCH($B2993,Summary!$A$2:$A$201,0))</f>
        <v>29.19</v>
      </c>
      <c r="W2993" s="0" t="str">
        <f aca="false">INDEX(Summary!$S$2:$S$201,MATCH($B2993,Summary!$A$2:$A$201,0))</f>
        <v>Gold</v>
      </c>
      <c r="X2993" s="2" t="n">
        <f aca="false">INDEX(Summary!$T$2:$T$201,MATCH($B2993,Summary!$A$2:$A$201,0))</f>
        <v>71.2</v>
      </c>
      <c r="Y2993" s="0" t="str">
        <f aca="false">INDEX('Reward Model'!$E$18:$E$37,MATCH($E2993,'Reward Model'!$A$18:$A$37,0))</f>
        <v>Medium</v>
      </c>
      <c r="Z2993" s="4" t="n">
        <f aca="false">ROUND(MIN(1,MAX('Reward Model'!$B$2,INDEX('Reward Model'!$C$12:$C$14,MATCH($K2993,'Reward Model'!$A$12:$A$14,0))/$J2993)),3)</f>
        <v>1</v>
      </c>
      <c r="AA2993" s="2" t="n">
        <f aca="false">IF($I2993="Correct",ROUND(INDEX('Reward Model'!$B$12:$B$14,MATCH($K2993,'Reward Model'!$A$12:$A$14,0))*Z2993,2),0)</f>
        <v>0</v>
      </c>
      <c r="AB2993" s="2" t="n">
        <f aca="false">IF($I2993="Correct",ROUND(INDEX('Reward Model'!$B$12:$B$14,MATCH($Y2993,'Reward Model'!$A$12:$A$14,0))*Z2993,2),0)</f>
        <v>0</v>
      </c>
    </row>
    <row r="2994" customFormat="false" ht="15" hidden="false" customHeight="false" outlineLevel="0" collapsed="false">
      <c r="A2994" s="0" t="s">
        <v>430</v>
      </c>
      <c r="B2994" s="0" t="s">
        <v>431</v>
      </c>
      <c r="C2994" s="0" t="s">
        <v>322</v>
      </c>
      <c r="D2994" s="0" t="s">
        <v>189</v>
      </c>
      <c r="E2994" s="0" t="n">
        <v>13</v>
      </c>
      <c r="F2994" s="0" t="s">
        <v>66</v>
      </c>
      <c r="G2994" s="0" t="s">
        <v>67</v>
      </c>
      <c r="H2994" s="0" t="s">
        <v>67</v>
      </c>
      <c r="I2994" s="0" t="s">
        <v>34</v>
      </c>
      <c r="J2994" s="0" t="n">
        <v>2.27</v>
      </c>
      <c r="K2994" s="0" t="s">
        <v>60</v>
      </c>
      <c r="L2994" s="0" t="n">
        <f aca="false">INDEX(Summary!$F$2:$F$201,MATCH($B2994,Summary!$A$2:$A$201,0))</f>
        <v>20</v>
      </c>
      <c r="M2994" s="0" t="n">
        <f aca="false">INDEX(Summary!$I$2:$I$201,MATCH($B2994,Summary!$A$2:$A$201,0))</f>
        <v>3</v>
      </c>
      <c r="N2994" s="0" t="n">
        <f aca="false">INDEX(Summary!$J$2:$J$201,MATCH($B2994,Summary!$A$2:$A$201,0))</f>
        <v>2</v>
      </c>
      <c r="O2994" s="2" t="n">
        <f aca="false">INDEX(Summary!$K$2:$K$201,MATCH($B2994,Summary!$A$2:$A$201,0))</f>
        <v>10.07</v>
      </c>
      <c r="P2994" s="3" t="n">
        <f aca="false">INDEX(Summary!$L$2:$L$201,MATCH($B2994,Summary!$A$2:$A$201,0))</f>
        <v>5</v>
      </c>
      <c r="Q2994" s="3" t="n">
        <f aca="false">INDEX(Summary!$M$2:$M$201,MATCH($B2994,Summary!$A$2:$A$201,0))</f>
        <v>1</v>
      </c>
      <c r="R2994" s="2" t="n">
        <f aca="false">INDEX(Summary!$N$2:$N$201,MATCH($B2994,Summary!$A$2:$A$201,0))</f>
        <v>10.73</v>
      </c>
      <c r="S2994" s="3" t="n">
        <f aca="false">INDEX(Summary!$O$2:$O$201,MATCH($B2994,Summary!$A$2:$A$201,0))</f>
        <v>8</v>
      </c>
      <c r="T2994" s="3" t="n">
        <f aca="false">INDEX(Summary!$P$2:$P$201,MATCH($B2994,Summary!$A$2:$A$201,0))</f>
        <v>1</v>
      </c>
      <c r="U2994" s="2" t="n">
        <f aca="false">INDEX(Summary!$Q$2:$Q$201,MATCH($B2994,Summary!$A$2:$A$201,0))</f>
        <v>12.35</v>
      </c>
      <c r="V2994" s="2" t="n">
        <f aca="false">INDEX(Summary!$R$2:$R$201,MATCH($B2994,Summary!$A$2:$A$201,0))</f>
        <v>29.19</v>
      </c>
      <c r="W2994" s="0" t="str">
        <f aca="false">INDEX(Summary!$S$2:$S$201,MATCH($B2994,Summary!$A$2:$A$201,0))</f>
        <v>Gold</v>
      </c>
      <c r="X2994" s="2" t="n">
        <f aca="false">INDEX(Summary!$T$2:$T$201,MATCH($B2994,Summary!$A$2:$A$201,0))</f>
        <v>71.2</v>
      </c>
      <c r="Y2994" s="0" t="str">
        <f aca="false">INDEX('Reward Model'!$E$18:$E$37,MATCH($E2994,'Reward Model'!$A$18:$A$37,0))</f>
        <v>Medium</v>
      </c>
      <c r="Z2994" s="4" t="n">
        <f aca="false">ROUND(MIN(1,MAX('Reward Model'!$B$2,INDEX('Reward Model'!$C$12:$C$14,MATCH($K2994,'Reward Model'!$A$12:$A$14,0))/$J2994)),3)</f>
        <v>0.793</v>
      </c>
      <c r="AA2994" s="2" t="n">
        <f aca="false">IF($I2994="Correct",ROUND(INDEX('Reward Model'!$B$12:$B$14,MATCH($K2994,'Reward Model'!$A$12:$A$14,0))*Z2994,2),0)</f>
        <v>1.59</v>
      </c>
      <c r="AB2994" s="2" t="n">
        <f aca="false">IF($I2994="Correct",ROUND(INDEX('Reward Model'!$B$12:$B$14,MATCH($Y2994,'Reward Model'!$A$12:$A$14,0))*Z2994,2),0)</f>
        <v>1.59</v>
      </c>
    </row>
    <row r="2995" customFormat="false" ht="15" hidden="false" customHeight="false" outlineLevel="0" collapsed="false">
      <c r="A2995" s="0" t="s">
        <v>430</v>
      </c>
      <c r="B2995" s="0" t="s">
        <v>431</v>
      </c>
      <c r="C2995" s="0" t="s">
        <v>322</v>
      </c>
      <c r="D2995" s="0" t="s">
        <v>189</v>
      </c>
      <c r="E2995" s="0" t="n">
        <v>14</v>
      </c>
      <c r="F2995" s="0" t="s">
        <v>68</v>
      </c>
      <c r="G2995" s="0" t="s">
        <v>51</v>
      </c>
      <c r="H2995" s="0" t="s">
        <v>51</v>
      </c>
      <c r="I2995" s="0" t="s">
        <v>34</v>
      </c>
      <c r="J2995" s="0" t="n">
        <v>2.01</v>
      </c>
      <c r="K2995" s="0" t="s">
        <v>60</v>
      </c>
      <c r="L2995" s="0" t="n">
        <f aca="false">INDEX(Summary!$F$2:$F$201,MATCH($B2995,Summary!$A$2:$A$201,0))</f>
        <v>20</v>
      </c>
      <c r="M2995" s="0" t="n">
        <f aca="false">INDEX(Summary!$I$2:$I$201,MATCH($B2995,Summary!$A$2:$A$201,0))</f>
        <v>3</v>
      </c>
      <c r="N2995" s="0" t="n">
        <f aca="false">INDEX(Summary!$J$2:$J$201,MATCH($B2995,Summary!$A$2:$A$201,0))</f>
        <v>2</v>
      </c>
      <c r="O2995" s="2" t="n">
        <f aca="false">INDEX(Summary!$K$2:$K$201,MATCH($B2995,Summary!$A$2:$A$201,0))</f>
        <v>10.07</v>
      </c>
      <c r="P2995" s="3" t="n">
        <f aca="false">INDEX(Summary!$L$2:$L$201,MATCH($B2995,Summary!$A$2:$A$201,0))</f>
        <v>5</v>
      </c>
      <c r="Q2995" s="3" t="n">
        <f aca="false">INDEX(Summary!$M$2:$M$201,MATCH($B2995,Summary!$A$2:$A$201,0))</f>
        <v>1</v>
      </c>
      <c r="R2995" s="2" t="n">
        <f aca="false">INDEX(Summary!$N$2:$N$201,MATCH($B2995,Summary!$A$2:$A$201,0))</f>
        <v>10.73</v>
      </c>
      <c r="S2995" s="3" t="n">
        <f aca="false">INDEX(Summary!$O$2:$O$201,MATCH($B2995,Summary!$A$2:$A$201,0))</f>
        <v>8</v>
      </c>
      <c r="T2995" s="3" t="n">
        <f aca="false">INDEX(Summary!$P$2:$P$201,MATCH($B2995,Summary!$A$2:$A$201,0))</f>
        <v>1</v>
      </c>
      <c r="U2995" s="2" t="n">
        <f aca="false">INDEX(Summary!$Q$2:$Q$201,MATCH($B2995,Summary!$A$2:$A$201,0))</f>
        <v>12.35</v>
      </c>
      <c r="V2995" s="2" t="n">
        <f aca="false">INDEX(Summary!$R$2:$R$201,MATCH($B2995,Summary!$A$2:$A$201,0))</f>
        <v>29.19</v>
      </c>
      <c r="W2995" s="0" t="str">
        <f aca="false">INDEX(Summary!$S$2:$S$201,MATCH($B2995,Summary!$A$2:$A$201,0))</f>
        <v>Gold</v>
      </c>
      <c r="X2995" s="2" t="n">
        <f aca="false">INDEX(Summary!$T$2:$T$201,MATCH($B2995,Summary!$A$2:$A$201,0))</f>
        <v>71.2</v>
      </c>
      <c r="Y2995" s="0" t="str">
        <f aca="false">INDEX('Reward Model'!$E$18:$E$37,MATCH($E2995,'Reward Model'!$A$18:$A$37,0))</f>
        <v>Medium</v>
      </c>
      <c r="Z2995" s="4" t="n">
        <f aca="false">ROUND(MIN(1,MAX('Reward Model'!$B$2,INDEX('Reward Model'!$C$12:$C$14,MATCH($K2995,'Reward Model'!$A$12:$A$14,0))/$J2995)),3)</f>
        <v>0.896</v>
      </c>
      <c r="AA2995" s="2" t="n">
        <f aca="false">IF($I2995="Correct",ROUND(INDEX('Reward Model'!$B$12:$B$14,MATCH($K2995,'Reward Model'!$A$12:$A$14,0))*Z2995,2),0)</f>
        <v>1.79</v>
      </c>
      <c r="AB2995" s="2" t="n">
        <f aca="false">IF($I2995="Correct",ROUND(INDEX('Reward Model'!$B$12:$B$14,MATCH($Y2995,'Reward Model'!$A$12:$A$14,0))*Z2995,2),0)</f>
        <v>1.79</v>
      </c>
    </row>
    <row r="2996" customFormat="false" ht="15" hidden="false" customHeight="false" outlineLevel="0" collapsed="false">
      <c r="A2996" s="0" t="s">
        <v>430</v>
      </c>
      <c r="B2996" s="0" t="s">
        <v>431</v>
      </c>
      <c r="C2996" s="0" t="s">
        <v>322</v>
      </c>
      <c r="D2996" s="0" t="s">
        <v>189</v>
      </c>
      <c r="E2996" s="0" t="n">
        <v>15</v>
      </c>
      <c r="F2996" s="0" t="s">
        <v>69</v>
      </c>
      <c r="G2996" s="0" t="s">
        <v>70</v>
      </c>
      <c r="H2996" s="0" t="s">
        <v>70</v>
      </c>
      <c r="I2996" s="0" t="s">
        <v>34</v>
      </c>
      <c r="J2996" s="0" t="n">
        <v>2.3</v>
      </c>
      <c r="K2996" s="0" t="s">
        <v>60</v>
      </c>
      <c r="L2996" s="0" t="n">
        <f aca="false">INDEX(Summary!$F$2:$F$201,MATCH($B2996,Summary!$A$2:$A$201,0))</f>
        <v>20</v>
      </c>
      <c r="M2996" s="0" t="n">
        <f aca="false">INDEX(Summary!$I$2:$I$201,MATCH($B2996,Summary!$A$2:$A$201,0))</f>
        <v>3</v>
      </c>
      <c r="N2996" s="0" t="n">
        <f aca="false">INDEX(Summary!$J$2:$J$201,MATCH($B2996,Summary!$A$2:$A$201,0))</f>
        <v>2</v>
      </c>
      <c r="O2996" s="2" t="n">
        <f aca="false">INDEX(Summary!$K$2:$K$201,MATCH($B2996,Summary!$A$2:$A$201,0))</f>
        <v>10.07</v>
      </c>
      <c r="P2996" s="3" t="n">
        <f aca="false">INDEX(Summary!$L$2:$L$201,MATCH($B2996,Summary!$A$2:$A$201,0))</f>
        <v>5</v>
      </c>
      <c r="Q2996" s="3" t="n">
        <f aca="false">INDEX(Summary!$M$2:$M$201,MATCH($B2996,Summary!$A$2:$A$201,0))</f>
        <v>1</v>
      </c>
      <c r="R2996" s="2" t="n">
        <f aca="false">INDEX(Summary!$N$2:$N$201,MATCH($B2996,Summary!$A$2:$A$201,0))</f>
        <v>10.73</v>
      </c>
      <c r="S2996" s="3" t="n">
        <f aca="false">INDEX(Summary!$O$2:$O$201,MATCH($B2996,Summary!$A$2:$A$201,0))</f>
        <v>8</v>
      </c>
      <c r="T2996" s="3" t="n">
        <f aca="false">INDEX(Summary!$P$2:$P$201,MATCH($B2996,Summary!$A$2:$A$201,0))</f>
        <v>1</v>
      </c>
      <c r="U2996" s="2" t="n">
        <f aca="false">INDEX(Summary!$Q$2:$Q$201,MATCH($B2996,Summary!$A$2:$A$201,0))</f>
        <v>12.35</v>
      </c>
      <c r="V2996" s="2" t="n">
        <f aca="false">INDEX(Summary!$R$2:$R$201,MATCH($B2996,Summary!$A$2:$A$201,0))</f>
        <v>29.19</v>
      </c>
      <c r="W2996" s="0" t="str">
        <f aca="false">INDEX(Summary!$S$2:$S$201,MATCH($B2996,Summary!$A$2:$A$201,0))</f>
        <v>Gold</v>
      </c>
      <c r="X2996" s="2" t="n">
        <f aca="false">INDEX(Summary!$T$2:$T$201,MATCH($B2996,Summary!$A$2:$A$201,0))</f>
        <v>71.2</v>
      </c>
      <c r="Y2996" s="0" t="str">
        <f aca="false">INDEX('Reward Model'!$E$18:$E$37,MATCH($E2996,'Reward Model'!$A$18:$A$37,0))</f>
        <v>Medium</v>
      </c>
      <c r="Z2996" s="4" t="n">
        <f aca="false">ROUND(MIN(1,MAX('Reward Model'!$B$2,INDEX('Reward Model'!$C$12:$C$14,MATCH($K2996,'Reward Model'!$A$12:$A$14,0))/$J2996)),3)</f>
        <v>0.783</v>
      </c>
      <c r="AA2996" s="2" t="n">
        <f aca="false">IF($I2996="Correct",ROUND(INDEX('Reward Model'!$B$12:$B$14,MATCH($K2996,'Reward Model'!$A$12:$A$14,0))*Z2996,2),0)</f>
        <v>1.57</v>
      </c>
      <c r="AB2996" s="2" t="n">
        <f aca="false">IF($I2996="Correct",ROUND(INDEX('Reward Model'!$B$12:$B$14,MATCH($Y2996,'Reward Model'!$A$12:$A$14,0))*Z2996,2),0)</f>
        <v>1.57</v>
      </c>
    </row>
    <row r="2997" customFormat="false" ht="15" hidden="false" customHeight="false" outlineLevel="0" collapsed="false">
      <c r="A2997" s="0" t="s">
        <v>430</v>
      </c>
      <c r="B2997" s="0" t="s">
        <v>431</v>
      </c>
      <c r="C2997" s="0" t="s">
        <v>322</v>
      </c>
      <c r="D2997" s="0" t="s">
        <v>189</v>
      </c>
      <c r="E2997" s="0" t="n">
        <v>16</v>
      </c>
      <c r="F2997" s="0" t="s">
        <v>71</v>
      </c>
      <c r="G2997" s="0" t="s">
        <v>104</v>
      </c>
      <c r="H2997" s="0" t="s">
        <v>72</v>
      </c>
      <c r="I2997" s="0" t="s">
        <v>39</v>
      </c>
      <c r="J2997" s="0" t="n">
        <v>2.3</v>
      </c>
      <c r="K2997" s="0" t="s">
        <v>73</v>
      </c>
      <c r="L2997" s="0" t="n">
        <f aca="false">INDEX(Summary!$F$2:$F$201,MATCH($B2997,Summary!$A$2:$A$201,0))</f>
        <v>20</v>
      </c>
      <c r="M2997" s="0" t="n">
        <f aca="false">INDEX(Summary!$I$2:$I$201,MATCH($B2997,Summary!$A$2:$A$201,0))</f>
        <v>3</v>
      </c>
      <c r="N2997" s="0" t="n">
        <f aca="false">INDEX(Summary!$J$2:$J$201,MATCH($B2997,Summary!$A$2:$A$201,0))</f>
        <v>2</v>
      </c>
      <c r="O2997" s="2" t="n">
        <f aca="false">INDEX(Summary!$K$2:$K$201,MATCH($B2997,Summary!$A$2:$A$201,0))</f>
        <v>10.07</v>
      </c>
      <c r="P2997" s="3" t="n">
        <f aca="false">INDEX(Summary!$L$2:$L$201,MATCH($B2997,Summary!$A$2:$A$201,0))</f>
        <v>5</v>
      </c>
      <c r="Q2997" s="3" t="n">
        <f aca="false">INDEX(Summary!$M$2:$M$201,MATCH($B2997,Summary!$A$2:$A$201,0))</f>
        <v>1</v>
      </c>
      <c r="R2997" s="2" t="n">
        <f aca="false">INDEX(Summary!$N$2:$N$201,MATCH($B2997,Summary!$A$2:$A$201,0))</f>
        <v>10.73</v>
      </c>
      <c r="S2997" s="3" t="n">
        <f aca="false">INDEX(Summary!$O$2:$O$201,MATCH($B2997,Summary!$A$2:$A$201,0))</f>
        <v>8</v>
      </c>
      <c r="T2997" s="3" t="n">
        <f aca="false">INDEX(Summary!$P$2:$P$201,MATCH($B2997,Summary!$A$2:$A$201,0))</f>
        <v>1</v>
      </c>
      <c r="U2997" s="2" t="n">
        <f aca="false">INDEX(Summary!$Q$2:$Q$201,MATCH($B2997,Summary!$A$2:$A$201,0))</f>
        <v>12.35</v>
      </c>
      <c r="V2997" s="2" t="n">
        <f aca="false">INDEX(Summary!$R$2:$R$201,MATCH($B2997,Summary!$A$2:$A$201,0))</f>
        <v>29.19</v>
      </c>
      <c r="W2997" s="0" t="str">
        <f aca="false">INDEX(Summary!$S$2:$S$201,MATCH($B2997,Summary!$A$2:$A$201,0))</f>
        <v>Gold</v>
      </c>
      <c r="X2997" s="2" t="n">
        <f aca="false">INDEX(Summary!$T$2:$T$201,MATCH($B2997,Summary!$A$2:$A$201,0))</f>
        <v>71.2</v>
      </c>
      <c r="Y2997" s="0" t="str">
        <f aca="false">INDEX('Reward Model'!$E$18:$E$37,MATCH($E2997,'Reward Model'!$A$18:$A$37,0))</f>
        <v>High</v>
      </c>
      <c r="Z2997" s="4" t="n">
        <f aca="false">ROUND(MIN(1,MAX('Reward Model'!$B$2,INDEX('Reward Model'!$C$12:$C$14,MATCH($K2997,'Reward Model'!$A$12:$A$14,0))/$J2997)),3)</f>
        <v>0.87</v>
      </c>
      <c r="AA2997" s="2" t="n">
        <f aca="false">IF($I2997="Correct",ROUND(INDEX('Reward Model'!$B$12:$B$14,MATCH($K2997,'Reward Model'!$A$12:$A$14,0))*Z2997,2),0)</f>
        <v>0</v>
      </c>
      <c r="AB2997" s="2" t="n">
        <f aca="false">IF($I2997="Correct",ROUND(INDEX('Reward Model'!$B$12:$B$14,MATCH($Y2997,'Reward Model'!$A$12:$A$14,0))*Z2997,2),0)</f>
        <v>0</v>
      </c>
    </row>
    <row r="2998" customFormat="false" ht="15" hidden="false" customHeight="false" outlineLevel="0" collapsed="false">
      <c r="A2998" s="0" t="s">
        <v>430</v>
      </c>
      <c r="B2998" s="0" t="s">
        <v>431</v>
      </c>
      <c r="C2998" s="0" t="s">
        <v>322</v>
      </c>
      <c r="D2998" s="0" t="s">
        <v>189</v>
      </c>
      <c r="E2998" s="0" t="n">
        <v>17</v>
      </c>
      <c r="F2998" s="0" t="s">
        <v>74</v>
      </c>
      <c r="G2998" s="0" t="s">
        <v>75</v>
      </c>
      <c r="H2998" s="0" t="s">
        <v>75</v>
      </c>
      <c r="I2998" s="0" t="s">
        <v>34</v>
      </c>
      <c r="J2998" s="0" t="n">
        <v>2.04</v>
      </c>
      <c r="K2998" s="0" t="s">
        <v>73</v>
      </c>
      <c r="L2998" s="0" t="n">
        <f aca="false">INDEX(Summary!$F$2:$F$201,MATCH($B2998,Summary!$A$2:$A$201,0))</f>
        <v>20</v>
      </c>
      <c r="M2998" s="0" t="n">
        <f aca="false">INDEX(Summary!$I$2:$I$201,MATCH($B2998,Summary!$A$2:$A$201,0))</f>
        <v>3</v>
      </c>
      <c r="N2998" s="0" t="n">
        <f aca="false">INDEX(Summary!$J$2:$J$201,MATCH($B2998,Summary!$A$2:$A$201,0))</f>
        <v>2</v>
      </c>
      <c r="O2998" s="2" t="n">
        <f aca="false">INDEX(Summary!$K$2:$K$201,MATCH($B2998,Summary!$A$2:$A$201,0))</f>
        <v>10.07</v>
      </c>
      <c r="P2998" s="3" t="n">
        <f aca="false">INDEX(Summary!$L$2:$L$201,MATCH($B2998,Summary!$A$2:$A$201,0))</f>
        <v>5</v>
      </c>
      <c r="Q2998" s="3" t="n">
        <f aca="false">INDEX(Summary!$M$2:$M$201,MATCH($B2998,Summary!$A$2:$A$201,0))</f>
        <v>1</v>
      </c>
      <c r="R2998" s="2" t="n">
        <f aca="false">INDEX(Summary!$N$2:$N$201,MATCH($B2998,Summary!$A$2:$A$201,0))</f>
        <v>10.73</v>
      </c>
      <c r="S2998" s="3" t="n">
        <f aca="false">INDEX(Summary!$O$2:$O$201,MATCH($B2998,Summary!$A$2:$A$201,0))</f>
        <v>8</v>
      </c>
      <c r="T2998" s="3" t="n">
        <f aca="false">INDEX(Summary!$P$2:$P$201,MATCH($B2998,Summary!$A$2:$A$201,0))</f>
        <v>1</v>
      </c>
      <c r="U2998" s="2" t="n">
        <f aca="false">INDEX(Summary!$Q$2:$Q$201,MATCH($B2998,Summary!$A$2:$A$201,0))</f>
        <v>12.35</v>
      </c>
      <c r="V2998" s="2" t="n">
        <f aca="false">INDEX(Summary!$R$2:$R$201,MATCH($B2998,Summary!$A$2:$A$201,0))</f>
        <v>29.19</v>
      </c>
      <c r="W2998" s="0" t="str">
        <f aca="false">INDEX(Summary!$S$2:$S$201,MATCH($B2998,Summary!$A$2:$A$201,0))</f>
        <v>Gold</v>
      </c>
      <c r="X2998" s="2" t="n">
        <f aca="false">INDEX(Summary!$T$2:$T$201,MATCH($B2998,Summary!$A$2:$A$201,0))</f>
        <v>71.2</v>
      </c>
      <c r="Y2998" s="0" t="str">
        <f aca="false">INDEX('Reward Model'!$E$18:$E$37,MATCH($E2998,'Reward Model'!$A$18:$A$37,0))</f>
        <v>High</v>
      </c>
      <c r="Z2998" s="4" t="n">
        <f aca="false">ROUND(MIN(1,MAX('Reward Model'!$B$2,INDEX('Reward Model'!$C$12:$C$14,MATCH($K2998,'Reward Model'!$A$12:$A$14,0))/$J2998)),3)</f>
        <v>0.98</v>
      </c>
      <c r="AA2998" s="2" t="n">
        <f aca="false">IF($I2998="Correct",ROUND(INDEX('Reward Model'!$B$12:$B$14,MATCH($K2998,'Reward Model'!$A$12:$A$14,0))*Z2998,2),0)</f>
        <v>2.94</v>
      </c>
      <c r="AB2998" s="2" t="n">
        <f aca="false">IF($I2998="Correct",ROUND(INDEX('Reward Model'!$B$12:$B$14,MATCH($Y2998,'Reward Model'!$A$12:$A$14,0))*Z2998,2),0)</f>
        <v>2.94</v>
      </c>
    </row>
    <row r="2999" customFormat="false" ht="15" hidden="false" customHeight="false" outlineLevel="0" collapsed="false">
      <c r="A2999" s="0" t="s">
        <v>430</v>
      </c>
      <c r="B2999" s="0" t="s">
        <v>431</v>
      </c>
      <c r="C2999" s="0" t="s">
        <v>322</v>
      </c>
      <c r="D2999" s="0" t="s">
        <v>189</v>
      </c>
      <c r="E2999" s="0" t="n">
        <v>18</v>
      </c>
      <c r="F2999" s="0" t="s">
        <v>76</v>
      </c>
      <c r="G2999" s="0" t="s">
        <v>77</v>
      </c>
      <c r="H2999" s="0" t="s">
        <v>77</v>
      </c>
      <c r="I2999" s="0" t="s">
        <v>34</v>
      </c>
      <c r="J2999" s="0" t="n">
        <v>1.93</v>
      </c>
      <c r="K2999" s="0" t="s">
        <v>73</v>
      </c>
      <c r="L2999" s="0" t="n">
        <f aca="false">INDEX(Summary!$F$2:$F$201,MATCH($B2999,Summary!$A$2:$A$201,0))</f>
        <v>20</v>
      </c>
      <c r="M2999" s="0" t="n">
        <f aca="false">INDEX(Summary!$I$2:$I$201,MATCH($B2999,Summary!$A$2:$A$201,0))</f>
        <v>3</v>
      </c>
      <c r="N2999" s="0" t="n">
        <f aca="false">INDEX(Summary!$J$2:$J$201,MATCH($B2999,Summary!$A$2:$A$201,0))</f>
        <v>2</v>
      </c>
      <c r="O2999" s="2" t="n">
        <f aca="false">INDEX(Summary!$K$2:$K$201,MATCH($B2999,Summary!$A$2:$A$201,0))</f>
        <v>10.07</v>
      </c>
      <c r="P2999" s="3" t="n">
        <f aca="false">INDEX(Summary!$L$2:$L$201,MATCH($B2999,Summary!$A$2:$A$201,0))</f>
        <v>5</v>
      </c>
      <c r="Q2999" s="3" t="n">
        <f aca="false">INDEX(Summary!$M$2:$M$201,MATCH($B2999,Summary!$A$2:$A$201,0))</f>
        <v>1</v>
      </c>
      <c r="R2999" s="2" t="n">
        <f aca="false">INDEX(Summary!$N$2:$N$201,MATCH($B2999,Summary!$A$2:$A$201,0))</f>
        <v>10.73</v>
      </c>
      <c r="S2999" s="3" t="n">
        <f aca="false">INDEX(Summary!$O$2:$O$201,MATCH($B2999,Summary!$A$2:$A$201,0))</f>
        <v>8</v>
      </c>
      <c r="T2999" s="3" t="n">
        <f aca="false">INDEX(Summary!$P$2:$P$201,MATCH($B2999,Summary!$A$2:$A$201,0))</f>
        <v>1</v>
      </c>
      <c r="U2999" s="2" t="n">
        <f aca="false">INDEX(Summary!$Q$2:$Q$201,MATCH($B2999,Summary!$A$2:$A$201,0))</f>
        <v>12.35</v>
      </c>
      <c r="V2999" s="2" t="n">
        <f aca="false">INDEX(Summary!$R$2:$R$201,MATCH($B2999,Summary!$A$2:$A$201,0))</f>
        <v>29.19</v>
      </c>
      <c r="W2999" s="0" t="str">
        <f aca="false">INDEX(Summary!$S$2:$S$201,MATCH($B2999,Summary!$A$2:$A$201,0))</f>
        <v>Gold</v>
      </c>
      <c r="X2999" s="2" t="n">
        <f aca="false">INDEX(Summary!$T$2:$T$201,MATCH($B2999,Summary!$A$2:$A$201,0))</f>
        <v>71.2</v>
      </c>
      <c r="Y2999" s="0" t="str">
        <f aca="false">INDEX('Reward Model'!$E$18:$E$37,MATCH($E2999,'Reward Model'!$A$18:$A$37,0))</f>
        <v>High</v>
      </c>
      <c r="Z2999" s="4" t="n">
        <f aca="false">ROUND(MIN(1,MAX('Reward Model'!$B$2,INDEX('Reward Model'!$C$12:$C$14,MATCH($K2999,'Reward Model'!$A$12:$A$14,0))/$J2999)),3)</f>
        <v>1</v>
      </c>
      <c r="AA2999" s="2" t="n">
        <f aca="false">IF($I2999="Correct",ROUND(INDEX('Reward Model'!$B$12:$B$14,MATCH($K2999,'Reward Model'!$A$12:$A$14,0))*Z2999,2),0)</f>
        <v>3</v>
      </c>
      <c r="AB2999" s="2" t="n">
        <f aca="false">IF($I2999="Correct",ROUND(INDEX('Reward Model'!$B$12:$B$14,MATCH($Y2999,'Reward Model'!$A$12:$A$14,0))*Z2999,2),0)</f>
        <v>3</v>
      </c>
    </row>
    <row r="3000" customFormat="false" ht="15" hidden="false" customHeight="false" outlineLevel="0" collapsed="false">
      <c r="A3000" s="0" t="s">
        <v>430</v>
      </c>
      <c r="B3000" s="0" t="s">
        <v>431</v>
      </c>
      <c r="C3000" s="0" t="s">
        <v>322</v>
      </c>
      <c r="D3000" s="0" t="s">
        <v>189</v>
      </c>
      <c r="E3000" s="0" t="n">
        <v>19</v>
      </c>
      <c r="F3000" s="0" t="s">
        <v>78</v>
      </c>
      <c r="G3000" s="0" t="s">
        <v>80</v>
      </c>
      <c r="H3000" s="0" t="s">
        <v>80</v>
      </c>
      <c r="I3000" s="0" t="s">
        <v>34</v>
      </c>
      <c r="J3000" s="0" t="n">
        <v>1.45</v>
      </c>
      <c r="K3000" s="0" t="s">
        <v>73</v>
      </c>
      <c r="L3000" s="0" t="n">
        <f aca="false">INDEX(Summary!$F$2:$F$201,MATCH($B3000,Summary!$A$2:$A$201,0))</f>
        <v>20</v>
      </c>
      <c r="M3000" s="0" t="n">
        <f aca="false">INDEX(Summary!$I$2:$I$201,MATCH($B3000,Summary!$A$2:$A$201,0))</f>
        <v>3</v>
      </c>
      <c r="N3000" s="0" t="n">
        <f aca="false">INDEX(Summary!$J$2:$J$201,MATCH($B3000,Summary!$A$2:$A$201,0))</f>
        <v>2</v>
      </c>
      <c r="O3000" s="2" t="n">
        <f aca="false">INDEX(Summary!$K$2:$K$201,MATCH($B3000,Summary!$A$2:$A$201,0))</f>
        <v>10.07</v>
      </c>
      <c r="P3000" s="3" t="n">
        <f aca="false">INDEX(Summary!$L$2:$L$201,MATCH($B3000,Summary!$A$2:$A$201,0))</f>
        <v>5</v>
      </c>
      <c r="Q3000" s="3" t="n">
        <f aca="false">INDEX(Summary!$M$2:$M$201,MATCH($B3000,Summary!$A$2:$A$201,0))</f>
        <v>1</v>
      </c>
      <c r="R3000" s="2" t="n">
        <f aca="false">INDEX(Summary!$N$2:$N$201,MATCH($B3000,Summary!$A$2:$A$201,0))</f>
        <v>10.73</v>
      </c>
      <c r="S3000" s="3" t="n">
        <f aca="false">INDEX(Summary!$O$2:$O$201,MATCH($B3000,Summary!$A$2:$A$201,0))</f>
        <v>8</v>
      </c>
      <c r="T3000" s="3" t="n">
        <f aca="false">INDEX(Summary!$P$2:$P$201,MATCH($B3000,Summary!$A$2:$A$201,0))</f>
        <v>1</v>
      </c>
      <c r="U3000" s="2" t="n">
        <f aca="false">INDEX(Summary!$Q$2:$Q$201,MATCH($B3000,Summary!$A$2:$A$201,0))</f>
        <v>12.35</v>
      </c>
      <c r="V3000" s="2" t="n">
        <f aca="false">INDEX(Summary!$R$2:$R$201,MATCH($B3000,Summary!$A$2:$A$201,0))</f>
        <v>29.19</v>
      </c>
      <c r="W3000" s="0" t="str">
        <f aca="false">INDEX(Summary!$S$2:$S$201,MATCH($B3000,Summary!$A$2:$A$201,0))</f>
        <v>Gold</v>
      </c>
      <c r="X3000" s="2" t="n">
        <f aca="false">INDEX(Summary!$T$2:$T$201,MATCH($B3000,Summary!$A$2:$A$201,0))</f>
        <v>71.2</v>
      </c>
      <c r="Y3000" s="0" t="str">
        <f aca="false">INDEX('Reward Model'!$E$18:$E$37,MATCH($E3000,'Reward Model'!$A$18:$A$37,0))</f>
        <v>High</v>
      </c>
      <c r="Z3000" s="4" t="n">
        <f aca="false">ROUND(MIN(1,MAX('Reward Model'!$B$2,INDEX('Reward Model'!$C$12:$C$14,MATCH($K3000,'Reward Model'!$A$12:$A$14,0))/$J3000)),3)</f>
        <v>1</v>
      </c>
      <c r="AA3000" s="2" t="n">
        <f aca="false">IF($I3000="Correct",ROUND(INDEX('Reward Model'!$B$12:$B$14,MATCH($K3000,'Reward Model'!$A$12:$A$14,0))*Z3000,2),0)</f>
        <v>3</v>
      </c>
      <c r="AB3000" s="2" t="n">
        <f aca="false">IF($I3000="Correct",ROUND(INDEX('Reward Model'!$B$12:$B$14,MATCH($Y3000,'Reward Model'!$A$12:$A$14,0))*Z3000,2),0)</f>
        <v>3</v>
      </c>
    </row>
    <row r="3001" customFormat="false" ht="15" hidden="false" customHeight="false" outlineLevel="0" collapsed="false">
      <c r="A3001" s="0" t="s">
        <v>430</v>
      </c>
      <c r="B3001" s="0" t="s">
        <v>431</v>
      </c>
      <c r="C3001" s="0" t="s">
        <v>322</v>
      </c>
      <c r="D3001" s="0" t="s">
        <v>189</v>
      </c>
      <c r="E3001" s="0" t="n">
        <v>20</v>
      </c>
      <c r="F3001" s="0" t="s">
        <v>81</v>
      </c>
      <c r="G3001" s="0" t="s">
        <v>119</v>
      </c>
      <c r="H3001" s="0" t="s">
        <v>83</v>
      </c>
      <c r="I3001" s="0" t="s">
        <v>39</v>
      </c>
      <c r="J3001" s="0" t="n">
        <v>2.35</v>
      </c>
      <c r="K3001" s="0" t="s">
        <v>73</v>
      </c>
      <c r="L3001" s="0" t="n">
        <f aca="false">INDEX(Summary!$F$2:$F$201,MATCH($B3001,Summary!$A$2:$A$201,0))</f>
        <v>20</v>
      </c>
      <c r="M3001" s="0" t="n">
        <f aca="false">INDEX(Summary!$I$2:$I$201,MATCH($B3001,Summary!$A$2:$A$201,0))</f>
        <v>3</v>
      </c>
      <c r="N3001" s="0" t="n">
        <f aca="false">INDEX(Summary!$J$2:$J$201,MATCH($B3001,Summary!$A$2:$A$201,0))</f>
        <v>2</v>
      </c>
      <c r="O3001" s="2" t="n">
        <f aca="false">INDEX(Summary!$K$2:$K$201,MATCH($B3001,Summary!$A$2:$A$201,0))</f>
        <v>10.07</v>
      </c>
      <c r="P3001" s="3" t="n">
        <f aca="false">INDEX(Summary!$L$2:$L$201,MATCH($B3001,Summary!$A$2:$A$201,0))</f>
        <v>5</v>
      </c>
      <c r="Q3001" s="3" t="n">
        <f aca="false">INDEX(Summary!$M$2:$M$201,MATCH($B3001,Summary!$A$2:$A$201,0))</f>
        <v>1</v>
      </c>
      <c r="R3001" s="2" t="n">
        <f aca="false">INDEX(Summary!$N$2:$N$201,MATCH($B3001,Summary!$A$2:$A$201,0))</f>
        <v>10.73</v>
      </c>
      <c r="S3001" s="3" t="n">
        <f aca="false">INDEX(Summary!$O$2:$O$201,MATCH($B3001,Summary!$A$2:$A$201,0))</f>
        <v>8</v>
      </c>
      <c r="T3001" s="3" t="n">
        <f aca="false">INDEX(Summary!$P$2:$P$201,MATCH($B3001,Summary!$A$2:$A$201,0))</f>
        <v>1</v>
      </c>
      <c r="U3001" s="2" t="n">
        <f aca="false">INDEX(Summary!$Q$2:$Q$201,MATCH($B3001,Summary!$A$2:$A$201,0))</f>
        <v>12.35</v>
      </c>
      <c r="V3001" s="2" t="n">
        <f aca="false">INDEX(Summary!$R$2:$R$201,MATCH($B3001,Summary!$A$2:$A$201,0))</f>
        <v>29.19</v>
      </c>
      <c r="W3001" s="0" t="str">
        <f aca="false">INDEX(Summary!$S$2:$S$201,MATCH($B3001,Summary!$A$2:$A$201,0))</f>
        <v>Gold</v>
      </c>
      <c r="X3001" s="2" t="n">
        <f aca="false">INDEX(Summary!$T$2:$T$201,MATCH($B3001,Summary!$A$2:$A$201,0))</f>
        <v>71.2</v>
      </c>
      <c r="Y3001" s="0" t="str">
        <f aca="false">INDEX('Reward Model'!$E$18:$E$37,MATCH($E3001,'Reward Model'!$A$18:$A$37,0))</f>
        <v>High</v>
      </c>
      <c r="Z3001" s="4" t="n">
        <f aca="false">ROUND(MIN(1,MAX('Reward Model'!$B$2,INDEX('Reward Model'!$C$12:$C$14,MATCH($K3001,'Reward Model'!$A$12:$A$14,0))/$J3001)),3)</f>
        <v>0.851</v>
      </c>
      <c r="AA3001" s="2" t="n">
        <f aca="false">IF($I3001="Correct",ROUND(INDEX('Reward Model'!$B$12:$B$14,MATCH($K3001,'Reward Model'!$A$12:$A$14,0))*Z3001,2),0)</f>
        <v>0</v>
      </c>
      <c r="AB3001" s="2" t="n">
        <f aca="false">IF($I3001="Correct",ROUND(INDEX('Reward Model'!$B$12:$B$14,MATCH($Y3001,'Reward Model'!$A$12:$A$14,0))*Z3001,2),0)</f>
        <v>0</v>
      </c>
    </row>
    <row r="3002" customFormat="false" ht="15" hidden="false" customHeight="false" outlineLevel="0" collapsed="false">
      <c r="A3002" s="0" t="s">
        <v>432</v>
      </c>
      <c r="B3002" s="0" t="s">
        <v>433</v>
      </c>
      <c r="C3002" s="0" t="s">
        <v>322</v>
      </c>
      <c r="D3002" s="0" t="s">
        <v>189</v>
      </c>
      <c r="E3002" s="0" t="n">
        <v>1</v>
      </c>
      <c r="F3002" s="0" t="s">
        <v>32</v>
      </c>
      <c r="G3002" s="0" t="s">
        <v>33</v>
      </c>
      <c r="H3002" s="0" t="s">
        <v>33</v>
      </c>
      <c r="I3002" s="0" t="s">
        <v>34</v>
      </c>
      <c r="J3002" s="0" t="n">
        <v>1.08</v>
      </c>
      <c r="K3002" s="0" t="s">
        <v>35</v>
      </c>
      <c r="L3002" s="0" t="n">
        <f aca="false">INDEX(Summary!$F$2:$F$201,MATCH($B3002,Summary!$A$2:$A$201,0))</f>
        <v>20</v>
      </c>
      <c r="M3002" s="0" t="n">
        <f aca="false">INDEX(Summary!$I$2:$I$201,MATCH($B3002,Summary!$A$2:$A$201,0))</f>
        <v>2</v>
      </c>
      <c r="N3002" s="0" t="n">
        <f aca="false">INDEX(Summary!$J$2:$J$201,MATCH($B3002,Summary!$A$2:$A$201,0))</f>
        <v>3</v>
      </c>
      <c r="O3002" s="2" t="n">
        <f aca="false">INDEX(Summary!$K$2:$K$201,MATCH($B3002,Summary!$A$2:$A$201,0))</f>
        <v>9.49</v>
      </c>
      <c r="P3002" s="3" t="n">
        <f aca="false">INDEX(Summary!$L$2:$L$201,MATCH($B3002,Summary!$A$2:$A$201,0))</f>
        <v>5</v>
      </c>
      <c r="Q3002" s="3" t="n">
        <f aca="false">INDEX(Summary!$M$2:$M$201,MATCH($B3002,Summary!$A$2:$A$201,0))</f>
        <v>1</v>
      </c>
      <c r="R3002" s="2" t="n">
        <f aca="false">INDEX(Summary!$N$2:$N$201,MATCH($B3002,Summary!$A$2:$A$201,0))</f>
        <v>10.9</v>
      </c>
      <c r="S3002" s="3" t="n">
        <f aca="false">INDEX(Summary!$O$2:$O$201,MATCH($B3002,Summary!$A$2:$A$201,0))</f>
        <v>7</v>
      </c>
      <c r="T3002" s="3" t="n">
        <f aca="false">INDEX(Summary!$P$2:$P$201,MATCH($B3002,Summary!$A$2:$A$201,0))</f>
        <v>2</v>
      </c>
      <c r="U3002" s="2" t="n">
        <f aca="false">INDEX(Summary!$Q$2:$Q$201,MATCH($B3002,Summary!$A$2:$A$201,0))</f>
        <v>13.16</v>
      </c>
      <c r="V3002" s="2" t="n">
        <f aca="false">INDEX(Summary!$R$2:$R$201,MATCH($B3002,Summary!$A$2:$A$201,0))</f>
        <v>25.11</v>
      </c>
      <c r="W3002" s="0" t="str">
        <f aca="false">INDEX(Summary!$S$2:$S$201,MATCH($B3002,Summary!$A$2:$A$201,0))</f>
        <v>Silver</v>
      </c>
      <c r="X3002" s="2" t="n">
        <f aca="false">INDEX(Summary!$T$2:$T$201,MATCH($B3002,Summary!$A$2:$A$201,0))</f>
        <v>61.24</v>
      </c>
      <c r="Y3002" s="0" t="str">
        <f aca="false">INDEX('Reward Model'!$E$18:$E$37,MATCH($E3002,'Reward Model'!$A$18:$A$37,0))</f>
        <v>Medium</v>
      </c>
      <c r="Z3002" s="4" t="n">
        <f aca="false">ROUND(MIN(1,MAX('Reward Model'!$B$2,INDEX('Reward Model'!$C$12:$C$14,MATCH($K3002,'Reward Model'!$A$12:$A$14,0))/$J3002)),3)</f>
        <v>1</v>
      </c>
      <c r="AA3002" s="2" t="n">
        <f aca="false">IF($I3002="Correct",ROUND(INDEX('Reward Model'!$B$12:$B$14,MATCH($K3002,'Reward Model'!$A$12:$A$14,0))*Z3002,2),0)</f>
        <v>1</v>
      </c>
      <c r="AB3002" s="2" t="n">
        <f aca="false">IF($I3002="Correct",ROUND(INDEX('Reward Model'!$B$12:$B$14,MATCH($Y3002,'Reward Model'!$A$12:$A$14,0))*Z3002,2),0)</f>
        <v>2</v>
      </c>
    </row>
    <row r="3003" customFormat="false" ht="15" hidden="false" customHeight="false" outlineLevel="0" collapsed="false">
      <c r="A3003" s="0" t="s">
        <v>432</v>
      </c>
      <c r="B3003" s="0" t="s">
        <v>433</v>
      </c>
      <c r="C3003" s="0" t="s">
        <v>322</v>
      </c>
      <c r="D3003" s="0" t="s">
        <v>189</v>
      </c>
      <c r="E3003" s="0" t="n">
        <v>2</v>
      </c>
      <c r="F3003" s="0" t="s">
        <v>36</v>
      </c>
      <c r="G3003" s="0" t="s">
        <v>38</v>
      </c>
      <c r="H3003" s="0" t="s">
        <v>38</v>
      </c>
      <c r="I3003" s="0" t="s">
        <v>34</v>
      </c>
      <c r="J3003" s="0" t="n">
        <v>1.63</v>
      </c>
      <c r="K3003" s="0" t="s">
        <v>35</v>
      </c>
      <c r="L3003" s="0" t="n">
        <f aca="false">INDEX(Summary!$F$2:$F$201,MATCH($B3003,Summary!$A$2:$A$201,0))</f>
        <v>20</v>
      </c>
      <c r="M3003" s="0" t="n">
        <f aca="false">INDEX(Summary!$I$2:$I$201,MATCH($B3003,Summary!$A$2:$A$201,0))</f>
        <v>2</v>
      </c>
      <c r="N3003" s="0" t="n">
        <f aca="false">INDEX(Summary!$J$2:$J$201,MATCH($B3003,Summary!$A$2:$A$201,0))</f>
        <v>3</v>
      </c>
      <c r="O3003" s="2" t="n">
        <f aca="false">INDEX(Summary!$K$2:$K$201,MATCH($B3003,Summary!$A$2:$A$201,0))</f>
        <v>9.49</v>
      </c>
      <c r="P3003" s="3" t="n">
        <f aca="false">INDEX(Summary!$L$2:$L$201,MATCH($B3003,Summary!$A$2:$A$201,0))</f>
        <v>5</v>
      </c>
      <c r="Q3003" s="3" t="n">
        <f aca="false">INDEX(Summary!$M$2:$M$201,MATCH($B3003,Summary!$A$2:$A$201,0))</f>
        <v>1</v>
      </c>
      <c r="R3003" s="2" t="n">
        <f aca="false">INDEX(Summary!$N$2:$N$201,MATCH($B3003,Summary!$A$2:$A$201,0))</f>
        <v>10.9</v>
      </c>
      <c r="S3003" s="3" t="n">
        <f aca="false">INDEX(Summary!$O$2:$O$201,MATCH($B3003,Summary!$A$2:$A$201,0))</f>
        <v>7</v>
      </c>
      <c r="T3003" s="3" t="n">
        <f aca="false">INDEX(Summary!$P$2:$P$201,MATCH($B3003,Summary!$A$2:$A$201,0))</f>
        <v>2</v>
      </c>
      <c r="U3003" s="2" t="n">
        <f aca="false">INDEX(Summary!$Q$2:$Q$201,MATCH($B3003,Summary!$A$2:$A$201,0))</f>
        <v>13.16</v>
      </c>
      <c r="V3003" s="2" t="n">
        <f aca="false">INDEX(Summary!$R$2:$R$201,MATCH($B3003,Summary!$A$2:$A$201,0))</f>
        <v>25.11</v>
      </c>
      <c r="W3003" s="0" t="str">
        <f aca="false">INDEX(Summary!$S$2:$S$201,MATCH($B3003,Summary!$A$2:$A$201,0))</f>
        <v>Silver</v>
      </c>
      <c r="X3003" s="2" t="n">
        <f aca="false">INDEX(Summary!$T$2:$T$201,MATCH($B3003,Summary!$A$2:$A$201,0))</f>
        <v>61.24</v>
      </c>
      <c r="Y3003" s="0" t="str">
        <f aca="false">INDEX('Reward Model'!$E$18:$E$37,MATCH($E3003,'Reward Model'!$A$18:$A$37,0))</f>
        <v>Low</v>
      </c>
      <c r="Z3003" s="4" t="n">
        <f aca="false">ROUND(MIN(1,MAX('Reward Model'!$B$2,INDEX('Reward Model'!$C$12:$C$14,MATCH($K3003,'Reward Model'!$A$12:$A$14,0))/$J3003)),3)</f>
        <v>0.92</v>
      </c>
      <c r="AA3003" s="2" t="n">
        <f aca="false">IF($I3003="Correct",ROUND(INDEX('Reward Model'!$B$12:$B$14,MATCH($K3003,'Reward Model'!$A$12:$A$14,0))*Z3003,2),0)</f>
        <v>0.92</v>
      </c>
      <c r="AB3003" s="2" t="n">
        <f aca="false">IF($I3003="Correct",ROUND(INDEX('Reward Model'!$B$12:$B$14,MATCH($Y3003,'Reward Model'!$A$12:$A$14,0))*Z3003,2),0)</f>
        <v>0.92</v>
      </c>
    </row>
    <row r="3004" customFormat="false" ht="15" hidden="false" customHeight="false" outlineLevel="0" collapsed="false">
      <c r="A3004" s="0" t="s">
        <v>432</v>
      </c>
      <c r="B3004" s="0" t="s">
        <v>433</v>
      </c>
      <c r="C3004" s="0" t="s">
        <v>322</v>
      </c>
      <c r="D3004" s="0" t="s">
        <v>189</v>
      </c>
      <c r="E3004" s="0" t="n">
        <v>3</v>
      </c>
      <c r="F3004" s="0" t="s">
        <v>40</v>
      </c>
      <c r="G3004" s="0" t="s">
        <v>42</v>
      </c>
      <c r="H3004" s="0" t="s">
        <v>42</v>
      </c>
      <c r="I3004" s="0" t="s">
        <v>34</v>
      </c>
      <c r="J3004" s="0" t="n">
        <v>1.64</v>
      </c>
      <c r="K3004" s="0" t="s">
        <v>35</v>
      </c>
      <c r="L3004" s="0" t="n">
        <f aca="false">INDEX(Summary!$F$2:$F$201,MATCH($B3004,Summary!$A$2:$A$201,0))</f>
        <v>20</v>
      </c>
      <c r="M3004" s="0" t="n">
        <f aca="false">INDEX(Summary!$I$2:$I$201,MATCH($B3004,Summary!$A$2:$A$201,0))</f>
        <v>2</v>
      </c>
      <c r="N3004" s="0" t="n">
        <f aca="false">INDEX(Summary!$J$2:$J$201,MATCH($B3004,Summary!$A$2:$A$201,0))</f>
        <v>3</v>
      </c>
      <c r="O3004" s="2" t="n">
        <f aca="false">INDEX(Summary!$K$2:$K$201,MATCH($B3004,Summary!$A$2:$A$201,0))</f>
        <v>9.49</v>
      </c>
      <c r="P3004" s="3" t="n">
        <f aca="false">INDEX(Summary!$L$2:$L$201,MATCH($B3004,Summary!$A$2:$A$201,0))</f>
        <v>5</v>
      </c>
      <c r="Q3004" s="3" t="n">
        <f aca="false">INDEX(Summary!$M$2:$M$201,MATCH($B3004,Summary!$A$2:$A$201,0))</f>
        <v>1</v>
      </c>
      <c r="R3004" s="2" t="n">
        <f aca="false">INDEX(Summary!$N$2:$N$201,MATCH($B3004,Summary!$A$2:$A$201,0))</f>
        <v>10.9</v>
      </c>
      <c r="S3004" s="3" t="n">
        <f aca="false">INDEX(Summary!$O$2:$O$201,MATCH($B3004,Summary!$A$2:$A$201,0))</f>
        <v>7</v>
      </c>
      <c r="T3004" s="3" t="n">
        <f aca="false">INDEX(Summary!$P$2:$P$201,MATCH($B3004,Summary!$A$2:$A$201,0))</f>
        <v>2</v>
      </c>
      <c r="U3004" s="2" t="n">
        <f aca="false">INDEX(Summary!$Q$2:$Q$201,MATCH($B3004,Summary!$A$2:$A$201,0))</f>
        <v>13.16</v>
      </c>
      <c r="V3004" s="2" t="n">
        <f aca="false">INDEX(Summary!$R$2:$R$201,MATCH($B3004,Summary!$A$2:$A$201,0))</f>
        <v>25.11</v>
      </c>
      <c r="W3004" s="0" t="str">
        <f aca="false">INDEX(Summary!$S$2:$S$201,MATCH($B3004,Summary!$A$2:$A$201,0))</f>
        <v>Silver</v>
      </c>
      <c r="X3004" s="2" t="n">
        <f aca="false">INDEX(Summary!$T$2:$T$201,MATCH($B3004,Summary!$A$2:$A$201,0))</f>
        <v>61.24</v>
      </c>
      <c r="Y3004" s="0" t="str">
        <f aca="false">INDEX('Reward Model'!$E$18:$E$37,MATCH($E3004,'Reward Model'!$A$18:$A$37,0))</f>
        <v>Medium</v>
      </c>
      <c r="Z3004" s="4" t="n">
        <f aca="false">ROUND(MIN(1,MAX('Reward Model'!$B$2,INDEX('Reward Model'!$C$12:$C$14,MATCH($K3004,'Reward Model'!$A$12:$A$14,0))/$J3004)),3)</f>
        <v>0.915</v>
      </c>
      <c r="AA3004" s="2" t="n">
        <f aca="false">IF($I3004="Correct",ROUND(INDEX('Reward Model'!$B$12:$B$14,MATCH($K3004,'Reward Model'!$A$12:$A$14,0))*Z3004,2),0)</f>
        <v>0.92</v>
      </c>
      <c r="AB3004" s="2" t="n">
        <f aca="false">IF($I3004="Correct",ROUND(INDEX('Reward Model'!$B$12:$B$14,MATCH($Y3004,'Reward Model'!$A$12:$A$14,0))*Z3004,2),0)</f>
        <v>1.83</v>
      </c>
    </row>
    <row r="3005" customFormat="false" ht="15" hidden="false" customHeight="false" outlineLevel="0" collapsed="false">
      <c r="A3005" s="0" t="s">
        <v>432</v>
      </c>
      <c r="B3005" s="0" t="s">
        <v>433</v>
      </c>
      <c r="C3005" s="0" t="s">
        <v>322</v>
      </c>
      <c r="D3005" s="0" t="s">
        <v>189</v>
      </c>
      <c r="E3005" s="0" t="n">
        <v>4</v>
      </c>
      <c r="F3005" s="0" t="s">
        <v>43</v>
      </c>
      <c r="G3005" s="0" t="s">
        <v>45</v>
      </c>
      <c r="H3005" s="0" t="s">
        <v>45</v>
      </c>
      <c r="I3005" s="0" t="s">
        <v>34</v>
      </c>
      <c r="J3005" s="0" t="n">
        <v>1.67</v>
      </c>
      <c r="K3005" s="0" t="s">
        <v>35</v>
      </c>
      <c r="L3005" s="0" t="n">
        <f aca="false">INDEX(Summary!$F$2:$F$201,MATCH($B3005,Summary!$A$2:$A$201,0))</f>
        <v>20</v>
      </c>
      <c r="M3005" s="0" t="n">
        <f aca="false">INDEX(Summary!$I$2:$I$201,MATCH($B3005,Summary!$A$2:$A$201,0))</f>
        <v>2</v>
      </c>
      <c r="N3005" s="0" t="n">
        <f aca="false">INDEX(Summary!$J$2:$J$201,MATCH($B3005,Summary!$A$2:$A$201,0))</f>
        <v>3</v>
      </c>
      <c r="O3005" s="2" t="n">
        <f aca="false">INDEX(Summary!$K$2:$K$201,MATCH($B3005,Summary!$A$2:$A$201,0))</f>
        <v>9.49</v>
      </c>
      <c r="P3005" s="3" t="n">
        <f aca="false">INDEX(Summary!$L$2:$L$201,MATCH($B3005,Summary!$A$2:$A$201,0))</f>
        <v>5</v>
      </c>
      <c r="Q3005" s="3" t="n">
        <f aca="false">INDEX(Summary!$M$2:$M$201,MATCH($B3005,Summary!$A$2:$A$201,0))</f>
        <v>1</v>
      </c>
      <c r="R3005" s="2" t="n">
        <f aca="false">INDEX(Summary!$N$2:$N$201,MATCH($B3005,Summary!$A$2:$A$201,0))</f>
        <v>10.9</v>
      </c>
      <c r="S3005" s="3" t="n">
        <f aca="false">INDEX(Summary!$O$2:$O$201,MATCH($B3005,Summary!$A$2:$A$201,0))</f>
        <v>7</v>
      </c>
      <c r="T3005" s="3" t="n">
        <f aca="false">INDEX(Summary!$P$2:$P$201,MATCH($B3005,Summary!$A$2:$A$201,0))</f>
        <v>2</v>
      </c>
      <c r="U3005" s="2" t="n">
        <f aca="false">INDEX(Summary!$Q$2:$Q$201,MATCH($B3005,Summary!$A$2:$A$201,0))</f>
        <v>13.16</v>
      </c>
      <c r="V3005" s="2" t="n">
        <f aca="false">INDEX(Summary!$R$2:$R$201,MATCH($B3005,Summary!$A$2:$A$201,0))</f>
        <v>25.11</v>
      </c>
      <c r="W3005" s="0" t="str">
        <f aca="false">INDEX(Summary!$S$2:$S$201,MATCH($B3005,Summary!$A$2:$A$201,0))</f>
        <v>Silver</v>
      </c>
      <c r="X3005" s="2" t="n">
        <f aca="false">INDEX(Summary!$T$2:$T$201,MATCH($B3005,Summary!$A$2:$A$201,0))</f>
        <v>61.24</v>
      </c>
      <c r="Y3005" s="0" t="str">
        <f aca="false">INDEX('Reward Model'!$E$18:$E$37,MATCH($E3005,'Reward Model'!$A$18:$A$37,0))</f>
        <v>Low</v>
      </c>
      <c r="Z3005" s="4" t="n">
        <f aca="false">ROUND(MIN(1,MAX('Reward Model'!$B$2,INDEX('Reward Model'!$C$12:$C$14,MATCH($K3005,'Reward Model'!$A$12:$A$14,0))/$J3005)),3)</f>
        <v>0.898</v>
      </c>
      <c r="AA3005" s="2" t="n">
        <f aca="false">IF($I3005="Correct",ROUND(INDEX('Reward Model'!$B$12:$B$14,MATCH($K3005,'Reward Model'!$A$12:$A$14,0))*Z3005,2),0)</f>
        <v>0.9</v>
      </c>
      <c r="AB3005" s="2" t="n">
        <f aca="false">IF($I3005="Correct",ROUND(INDEX('Reward Model'!$B$12:$B$14,MATCH($Y3005,'Reward Model'!$A$12:$A$14,0))*Z3005,2),0)</f>
        <v>0.9</v>
      </c>
    </row>
    <row r="3006" customFormat="false" ht="15" hidden="false" customHeight="false" outlineLevel="0" collapsed="false">
      <c r="A3006" s="0" t="s">
        <v>432</v>
      </c>
      <c r="B3006" s="0" t="s">
        <v>433</v>
      </c>
      <c r="C3006" s="0" t="s">
        <v>322</v>
      </c>
      <c r="D3006" s="0" t="s">
        <v>189</v>
      </c>
      <c r="E3006" s="0" t="n">
        <v>5</v>
      </c>
      <c r="F3006" s="0" t="s">
        <v>46</v>
      </c>
      <c r="G3006" s="0" t="s">
        <v>98</v>
      </c>
      <c r="H3006" s="0" t="s">
        <v>47</v>
      </c>
      <c r="I3006" s="0" t="s">
        <v>39</v>
      </c>
      <c r="J3006" s="0" t="n">
        <v>1.95</v>
      </c>
      <c r="K3006" s="0" t="s">
        <v>35</v>
      </c>
      <c r="L3006" s="0" t="n">
        <f aca="false">INDEX(Summary!$F$2:$F$201,MATCH($B3006,Summary!$A$2:$A$201,0))</f>
        <v>20</v>
      </c>
      <c r="M3006" s="0" t="n">
        <f aca="false">INDEX(Summary!$I$2:$I$201,MATCH($B3006,Summary!$A$2:$A$201,0))</f>
        <v>2</v>
      </c>
      <c r="N3006" s="0" t="n">
        <f aca="false">INDEX(Summary!$J$2:$J$201,MATCH($B3006,Summary!$A$2:$A$201,0))</f>
        <v>3</v>
      </c>
      <c r="O3006" s="2" t="n">
        <f aca="false">INDEX(Summary!$K$2:$K$201,MATCH($B3006,Summary!$A$2:$A$201,0))</f>
        <v>9.49</v>
      </c>
      <c r="P3006" s="3" t="n">
        <f aca="false">INDEX(Summary!$L$2:$L$201,MATCH($B3006,Summary!$A$2:$A$201,0))</f>
        <v>5</v>
      </c>
      <c r="Q3006" s="3" t="n">
        <f aca="false">INDEX(Summary!$M$2:$M$201,MATCH($B3006,Summary!$A$2:$A$201,0))</f>
        <v>1</v>
      </c>
      <c r="R3006" s="2" t="n">
        <f aca="false">INDEX(Summary!$N$2:$N$201,MATCH($B3006,Summary!$A$2:$A$201,0))</f>
        <v>10.9</v>
      </c>
      <c r="S3006" s="3" t="n">
        <f aca="false">INDEX(Summary!$O$2:$O$201,MATCH($B3006,Summary!$A$2:$A$201,0))</f>
        <v>7</v>
      </c>
      <c r="T3006" s="3" t="n">
        <f aca="false">INDEX(Summary!$P$2:$P$201,MATCH($B3006,Summary!$A$2:$A$201,0))</f>
        <v>2</v>
      </c>
      <c r="U3006" s="2" t="n">
        <f aca="false">INDEX(Summary!$Q$2:$Q$201,MATCH($B3006,Summary!$A$2:$A$201,0))</f>
        <v>13.16</v>
      </c>
      <c r="V3006" s="2" t="n">
        <f aca="false">INDEX(Summary!$R$2:$R$201,MATCH($B3006,Summary!$A$2:$A$201,0))</f>
        <v>25.11</v>
      </c>
      <c r="W3006" s="0" t="str">
        <f aca="false">INDEX(Summary!$S$2:$S$201,MATCH($B3006,Summary!$A$2:$A$201,0))</f>
        <v>Silver</v>
      </c>
      <c r="X3006" s="2" t="n">
        <f aca="false">INDEX(Summary!$T$2:$T$201,MATCH($B3006,Summary!$A$2:$A$201,0))</f>
        <v>61.24</v>
      </c>
      <c r="Y3006" s="0" t="str">
        <f aca="false">INDEX('Reward Model'!$E$18:$E$37,MATCH($E3006,'Reward Model'!$A$18:$A$37,0))</f>
        <v>Low</v>
      </c>
      <c r="Z3006" s="4" t="n">
        <f aca="false">ROUND(MIN(1,MAX('Reward Model'!$B$2,INDEX('Reward Model'!$C$12:$C$14,MATCH($K3006,'Reward Model'!$A$12:$A$14,0))/$J3006)),3)</f>
        <v>0.769</v>
      </c>
      <c r="AA3006" s="2" t="n">
        <f aca="false">IF($I3006="Correct",ROUND(INDEX('Reward Model'!$B$12:$B$14,MATCH($K3006,'Reward Model'!$A$12:$A$14,0))*Z3006,2),0)</f>
        <v>0</v>
      </c>
      <c r="AB3006" s="2" t="n">
        <f aca="false">IF($I3006="Correct",ROUND(INDEX('Reward Model'!$B$12:$B$14,MATCH($Y3006,'Reward Model'!$A$12:$A$14,0))*Z3006,2),0)</f>
        <v>0</v>
      </c>
    </row>
    <row r="3007" customFormat="false" ht="15" hidden="false" customHeight="false" outlineLevel="0" collapsed="false">
      <c r="A3007" s="0" t="s">
        <v>432</v>
      </c>
      <c r="B3007" s="0" t="s">
        <v>433</v>
      </c>
      <c r="C3007" s="0" t="s">
        <v>322</v>
      </c>
      <c r="D3007" s="0" t="s">
        <v>189</v>
      </c>
      <c r="E3007" s="0" t="n">
        <v>6</v>
      </c>
      <c r="F3007" s="0" t="s">
        <v>48</v>
      </c>
      <c r="G3007" s="0" t="s">
        <v>49</v>
      </c>
      <c r="H3007" s="0" t="s">
        <v>49</v>
      </c>
      <c r="I3007" s="0" t="s">
        <v>34</v>
      </c>
      <c r="J3007" s="0" t="n">
        <v>1.19</v>
      </c>
      <c r="K3007" s="0" t="s">
        <v>35</v>
      </c>
      <c r="L3007" s="0" t="n">
        <f aca="false">INDEX(Summary!$F$2:$F$201,MATCH($B3007,Summary!$A$2:$A$201,0))</f>
        <v>20</v>
      </c>
      <c r="M3007" s="0" t="n">
        <f aca="false">INDEX(Summary!$I$2:$I$201,MATCH($B3007,Summary!$A$2:$A$201,0))</f>
        <v>2</v>
      </c>
      <c r="N3007" s="0" t="n">
        <f aca="false">INDEX(Summary!$J$2:$J$201,MATCH($B3007,Summary!$A$2:$A$201,0))</f>
        <v>3</v>
      </c>
      <c r="O3007" s="2" t="n">
        <f aca="false">INDEX(Summary!$K$2:$K$201,MATCH($B3007,Summary!$A$2:$A$201,0))</f>
        <v>9.49</v>
      </c>
      <c r="P3007" s="3" t="n">
        <f aca="false">INDEX(Summary!$L$2:$L$201,MATCH($B3007,Summary!$A$2:$A$201,0))</f>
        <v>5</v>
      </c>
      <c r="Q3007" s="3" t="n">
        <f aca="false">INDEX(Summary!$M$2:$M$201,MATCH($B3007,Summary!$A$2:$A$201,0))</f>
        <v>1</v>
      </c>
      <c r="R3007" s="2" t="n">
        <f aca="false">INDEX(Summary!$N$2:$N$201,MATCH($B3007,Summary!$A$2:$A$201,0))</f>
        <v>10.9</v>
      </c>
      <c r="S3007" s="3" t="n">
        <f aca="false">INDEX(Summary!$O$2:$O$201,MATCH($B3007,Summary!$A$2:$A$201,0))</f>
        <v>7</v>
      </c>
      <c r="T3007" s="3" t="n">
        <f aca="false">INDEX(Summary!$P$2:$P$201,MATCH($B3007,Summary!$A$2:$A$201,0))</f>
        <v>2</v>
      </c>
      <c r="U3007" s="2" t="n">
        <f aca="false">INDEX(Summary!$Q$2:$Q$201,MATCH($B3007,Summary!$A$2:$A$201,0))</f>
        <v>13.16</v>
      </c>
      <c r="V3007" s="2" t="n">
        <f aca="false">INDEX(Summary!$R$2:$R$201,MATCH($B3007,Summary!$A$2:$A$201,0))</f>
        <v>25.11</v>
      </c>
      <c r="W3007" s="0" t="str">
        <f aca="false">INDEX(Summary!$S$2:$S$201,MATCH($B3007,Summary!$A$2:$A$201,0))</f>
        <v>Silver</v>
      </c>
      <c r="X3007" s="2" t="n">
        <f aca="false">INDEX(Summary!$T$2:$T$201,MATCH($B3007,Summary!$A$2:$A$201,0))</f>
        <v>61.24</v>
      </c>
      <c r="Y3007" s="0" t="str">
        <f aca="false">INDEX('Reward Model'!$E$18:$E$37,MATCH($E3007,'Reward Model'!$A$18:$A$37,0))</f>
        <v>Medium</v>
      </c>
      <c r="Z3007" s="4" t="n">
        <f aca="false">ROUND(MIN(1,MAX('Reward Model'!$B$2,INDEX('Reward Model'!$C$12:$C$14,MATCH($K3007,'Reward Model'!$A$12:$A$14,0))/$J3007)),3)</f>
        <v>1</v>
      </c>
      <c r="AA3007" s="2" t="n">
        <f aca="false">IF($I3007="Correct",ROUND(INDEX('Reward Model'!$B$12:$B$14,MATCH($K3007,'Reward Model'!$A$12:$A$14,0))*Z3007,2),0)</f>
        <v>1</v>
      </c>
      <c r="AB3007" s="2" t="n">
        <f aca="false">IF($I3007="Correct",ROUND(INDEX('Reward Model'!$B$12:$B$14,MATCH($Y3007,'Reward Model'!$A$12:$A$14,0))*Z3007,2),0)</f>
        <v>2</v>
      </c>
    </row>
    <row r="3008" customFormat="false" ht="15" hidden="false" customHeight="false" outlineLevel="0" collapsed="false">
      <c r="A3008" s="0" t="s">
        <v>432</v>
      </c>
      <c r="B3008" s="0" t="s">
        <v>433</v>
      </c>
      <c r="C3008" s="0" t="s">
        <v>322</v>
      </c>
      <c r="D3008" s="0" t="s">
        <v>189</v>
      </c>
      <c r="E3008" s="0" t="n">
        <v>7</v>
      </c>
      <c r="F3008" s="0" t="s">
        <v>50</v>
      </c>
      <c r="G3008" s="0" t="s">
        <v>51</v>
      </c>
      <c r="H3008" s="0" t="s">
        <v>51</v>
      </c>
      <c r="I3008" s="0" t="s">
        <v>34</v>
      </c>
      <c r="J3008" s="0" t="n">
        <v>1.67</v>
      </c>
      <c r="K3008" s="0" t="s">
        <v>35</v>
      </c>
      <c r="L3008" s="0" t="n">
        <f aca="false">INDEX(Summary!$F$2:$F$201,MATCH($B3008,Summary!$A$2:$A$201,0))</f>
        <v>20</v>
      </c>
      <c r="M3008" s="0" t="n">
        <f aca="false">INDEX(Summary!$I$2:$I$201,MATCH($B3008,Summary!$A$2:$A$201,0))</f>
        <v>2</v>
      </c>
      <c r="N3008" s="0" t="n">
        <f aca="false">INDEX(Summary!$J$2:$J$201,MATCH($B3008,Summary!$A$2:$A$201,0))</f>
        <v>3</v>
      </c>
      <c r="O3008" s="2" t="n">
        <f aca="false">INDEX(Summary!$K$2:$K$201,MATCH($B3008,Summary!$A$2:$A$201,0))</f>
        <v>9.49</v>
      </c>
      <c r="P3008" s="3" t="n">
        <f aca="false">INDEX(Summary!$L$2:$L$201,MATCH($B3008,Summary!$A$2:$A$201,0))</f>
        <v>5</v>
      </c>
      <c r="Q3008" s="3" t="n">
        <f aca="false">INDEX(Summary!$M$2:$M$201,MATCH($B3008,Summary!$A$2:$A$201,0))</f>
        <v>1</v>
      </c>
      <c r="R3008" s="2" t="n">
        <f aca="false">INDEX(Summary!$N$2:$N$201,MATCH($B3008,Summary!$A$2:$A$201,0))</f>
        <v>10.9</v>
      </c>
      <c r="S3008" s="3" t="n">
        <f aca="false">INDEX(Summary!$O$2:$O$201,MATCH($B3008,Summary!$A$2:$A$201,0))</f>
        <v>7</v>
      </c>
      <c r="T3008" s="3" t="n">
        <f aca="false">INDEX(Summary!$P$2:$P$201,MATCH($B3008,Summary!$A$2:$A$201,0))</f>
        <v>2</v>
      </c>
      <c r="U3008" s="2" t="n">
        <f aca="false">INDEX(Summary!$Q$2:$Q$201,MATCH($B3008,Summary!$A$2:$A$201,0))</f>
        <v>13.16</v>
      </c>
      <c r="V3008" s="2" t="n">
        <f aca="false">INDEX(Summary!$R$2:$R$201,MATCH($B3008,Summary!$A$2:$A$201,0))</f>
        <v>25.11</v>
      </c>
      <c r="W3008" s="0" t="str">
        <f aca="false">INDEX(Summary!$S$2:$S$201,MATCH($B3008,Summary!$A$2:$A$201,0))</f>
        <v>Silver</v>
      </c>
      <c r="X3008" s="2" t="n">
        <f aca="false">INDEX(Summary!$T$2:$T$201,MATCH($B3008,Summary!$A$2:$A$201,0))</f>
        <v>61.24</v>
      </c>
      <c r="Y3008" s="0" t="str">
        <f aca="false">INDEX('Reward Model'!$E$18:$E$37,MATCH($E3008,'Reward Model'!$A$18:$A$37,0))</f>
        <v>Low</v>
      </c>
      <c r="Z3008" s="4" t="n">
        <f aca="false">ROUND(MIN(1,MAX('Reward Model'!$B$2,INDEX('Reward Model'!$C$12:$C$14,MATCH($K3008,'Reward Model'!$A$12:$A$14,0))/$J3008)),3)</f>
        <v>0.898</v>
      </c>
      <c r="AA3008" s="2" t="n">
        <f aca="false">IF($I3008="Correct",ROUND(INDEX('Reward Model'!$B$12:$B$14,MATCH($K3008,'Reward Model'!$A$12:$A$14,0))*Z3008,2),0)</f>
        <v>0.9</v>
      </c>
      <c r="AB3008" s="2" t="n">
        <f aca="false">IF($I3008="Correct",ROUND(INDEX('Reward Model'!$B$12:$B$14,MATCH($Y3008,'Reward Model'!$A$12:$A$14,0))*Z3008,2),0)</f>
        <v>0.9</v>
      </c>
    </row>
    <row r="3009" customFormat="false" ht="15" hidden="false" customHeight="false" outlineLevel="0" collapsed="false">
      <c r="A3009" s="0" t="s">
        <v>432</v>
      </c>
      <c r="B3009" s="0" t="s">
        <v>433</v>
      </c>
      <c r="C3009" s="0" t="s">
        <v>322</v>
      </c>
      <c r="D3009" s="0" t="s">
        <v>189</v>
      </c>
      <c r="E3009" s="0" t="n">
        <v>8</v>
      </c>
      <c r="F3009" s="0" t="s">
        <v>52</v>
      </c>
      <c r="G3009" s="0" t="s">
        <v>54</v>
      </c>
      <c r="H3009" s="0" t="s">
        <v>54</v>
      </c>
      <c r="I3009" s="0" t="s">
        <v>34</v>
      </c>
      <c r="J3009" s="0" t="n">
        <v>0.95</v>
      </c>
      <c r="K3009" s="0" t="s">
        <v>35</v>
      </c>
      <c r="L3009" s="0" t="n">
        <f aca="false">INDEX(Summary!$F$2:$F$201,MATCH($B3009,Summary!$A$2:$A$201,0))</f>
        <v>20</v>
      </c>
      <c r="M3009" s="0" t="n">
        <f aca="false">INDEX(Summary!$I$2:$I$201,MATCH($B3009,Summary!$A$2:$A$201,0))</f>
        <v>2</v>
      </c>
      <c r="N3009" s="0" t="n">
        <f aca="false">INDEX(Summary!$J$2:$J$201,MATCH($B3009,Summary!$A$2:$A$201,0))</f>
        <v>3</v>
      </c>
      <c r="O3009" s="2" t="n">
        <f aca="false">INDEX(Summary!$K$2:$K$201,MATCH($B3009,Summary!$A$2:$A$201,0))</f>
        <v>9.49</v>
      </c>
      <c r="P3009" s="3" t="n">
        <f aca="false">INDEX(Summary!$L$2:$L$201,MATCH($B3009,Summary!$A$2:$A$201,0))</f>
        <v>5</v>
      </c>
      <c r="Q3009" s="3" t="n">
        <f aca="false">INDEX(Summary!$M$2:$M$201,MATCH($B3009,Summary!$A$2:$A$201,0))</f>
        <v>1</v>
      </c>
      <c r="R3009" s="2" t="n">
        <f aca="false">INDEX(Summary!$N$2:$N$201,MATCH($B3009,Summary!$A$2:$A$201,0))</f>
        <v>10.9</v>
      </c>
      <c r="S3009" s="3" t="n">
        <f aca="false">INDEX(Summary!$O$2:$O$201,MATCH($B3009,Summary!$A$2:$A$201,0))</f>
        <v>7</v>
      </c>
      <c r="T3009" s="3" t="n">
        <f aca="false">INDEX(Summary!$P$2:$P$201,MATCH($B3009,Summary!$A$2:$A$201,0))</f>
        <v>2</v>
      </c>
      <c r="U3009" s="2" t="n">
        <f aca="false">INDEX(Summary!$Q$2:$Q$201,MATCH($B3009,Summary!$A$2:$A$201,0))</f>
        <v>13.16</v>
      </c>
      <c r="V3009" s="2" t="n">
        <f aca="false">INDEX(Summary!$R$2:$R$201,MATCH($B3009,Summary!$A$2:$A$201,0))</f>
        <v>25.11</v>
      </c>
      <c r="W3009" s="0" t="str">
        <f aca="false">INDEX(Summary!$S$2:$S$201,MATCH($B3009,Summary!$A$2:$A$201,0))</f>
        <v>Silver</v>
      </c>
      <c r="X3009" s="2" t="n">
        <f aca="false">INDEX(Summary!$T$2:$T$201,MATCH($B3009,Summary!$A$2:$A$201,0))</f>
        <v>61.24</v>
      </c>
      <c r="Y3009" s="0" t="str">
        <f aca="false">INDEX('Reward Model'!$E$18:$E$37,MATCH($E3009,'Reward Model'!$A$18:$A$37,0))</f>
        <v>Medium</v>
      </c>
      <c r="Z3009" s="4" t="n">
        <f aca="false">ROUND(MIN(1,MAX('Reward Model'!$B$2,INDEX('Reward Model'!$C$12:$C$14,MATCH($K3009,'Reward Model'!$A$12:$A$14,0))/$J3009)),3)</f>
        <v>1</v>
      </c>
      <c r="AA3009" s="2" t="n">
        <f aca="false">IF($I3009="Correct",ROUND(INDEX('Reward Model'!$B$12:$B$14,MATCH($K3009,'Reward Model'!$A$12:$A$14,0))*Z3009,2),0)</f>
        <v>1</v>
      </c>
      <c r="AB3009" s="2" t="n">
        <f aca="false">IF($I3009="Correct",ROUND(INDEX('Reward Model'!$B$12:$B$14,MATCH($Y3009,'Reward Model'!$A$12:$A$14,0))*Z3009,2),0)</f>
        <v>2</v>
      </c>
    </row>
    <row r="3010" customFormat="false" ht="15" hidden="false" customHeight="false" outlineLevel="0" collapsed="false">
      <c r="A3010" s="0" t="s">
        <v>432</v>
      </c>
      <c r="B3010" s="0" t="s">
        <v>433</v>
      </c>
      <c r="C3010" s="0" t="s">
        <v>322</v>
      </c>
      <c r="D3010" s="0" t="s">
        <v>189</v>
      </c>
      <c r="E3010" s="0" t="n">
        <v>9</v>
      </c>
      <c r="F3010" s="0" t="s">
        <v>55</v>
      </c>
      <c r="G3010" s="0" t="s">
        <v>341</v>
      </c>
      <c r="H3010" s="0" t="s">
        <v>57</v>
      </c>
      <c r="I3010" s="0" t="s">
        <v>39</v>
      </c>
      <c r="J3010" s="0" t="n">
        <v>1.38</v>
      </c>
      <c r="K3010" s="0" t="s">
        <v>35</v>
      </c>
      <c r="L3010" s="0" t="n">
        <f aca="false">INDEX(Summary!$F$2:$F$201,MATCH($B3010,Summary!$A$2:$A$201,0))</f>
        <v>20</v>
      </c>
      <c r="M3010" s="0" t="n">
        <f aca="false">INDEX(Summary!$I$2:$I$201,MATCH($B3010,Summary!$A$2:$A$201,0))</f>
        <v>2</v>
      </c>
      <c r="N3010" s="0" t="n">
        <f aca="false">INDEX(Summary!$J$2:$J$201,MATCH($B3010,Summary!$A$2:$A$201,0))</f>
        <v>3</v>
      </c>
      <c r="O3010" s="2" t="n">
        <f aca="false">INDEX(Summary!$K$2:$K$201,MATCH($B3010,Summary!$A$2:$A$201,0))</f>
        <v>9.49</v>
      </c>
      <c r="P3010" s="3" t="n">
        <f aca="false">INDEX(Summary!$L$2:$L$201,MATCH($B3010,Summary!$A$2:$A$201,0))</f>
        <v>5</v>
      </c>
      <c r="Q3010" s="3" t="n">
        <f aca="false">INDEX(Summary!$M$2:$M$201,MATCH($B3010,Summary!$A$2:$A$201,0))</f>
        <v>1</v>
      </c>
      <c r="R3010" s="2" t="n">
        <f aca="false">INDEX(Summary!$N$2:$N$201,MATCH($B3010,Summary!$A$2:$A$201,0))</f>
        <v>10.9</v>
      </c>
      <c r="S3010" s="3" t="n">
        <f aca="false">INDEX(Summary!$O$2:$O$201,MATCH($B3010,Summary!$A$2:$A$201,0))</f>
        <v>7</v>
      </c>
      <c r="T3010" s="3" t="n">
        <f aca="false">INDEX(Summary!$P$2:$P$201,MATCH($B3010,Summary!$A$2:$A$201,0))</f>
        <v>2</v>
      </c>
      <c r="U3010" s="2" t="n">
        <f aca="false">INDEX(Summary!$Q$2:$Q$201,MATCH($B3010,Summary!$A$2:$A$201,0))</f>
        <v>13.16</v>
      </c>
      <c r="V3010" s="2" t="n">
        <f aca="false">INDEX(Summary!$R$2:$R$201,MATCH($B3010,Summary!$A$2:$A$201,0))</f>
        <v>25.11</v>
      </c>
      <c r="W3010" s="0" t="str">
        <f aca="false">INDEX(Summary!$S$2:$S$201,MATCH($B3010,Summary!$A$2:$A$201,0))</f>
        <v>Silver</v>
      </c>
      <c r="X3010" s="2" t="n">
        <f aca="false">INDEX(Summary!$T$2:$T$201,MATCH($B3010,Summary!$A$2:$A$201,0))</f>
        <v>61.24</v>
      </c>
      <c r="Y3010" s="0" t="str">
        <f aca="false">INDEX('Reward Model'!$E$18:$E$37,MATCH($E3010,'Reward Model'!$A$18:$A$37,0))</f>
        <v>Medium</v>
      </c>
      <c r="Z3010" s="4" t="n">
        <f aca="false">ROUND(MIN(1,MAX('Reward Model'!$B$2,INDEX('Reward Model'!$C$12:$C$14,MATCH($K3010,'Reward Model'!$A$12:$A$14,0))/$J3010)),3)</f>
        <v>1</v>
      </c>
      <c r="AA3010" s="2" t="n">
        <f aca="false">IF($I3010="Correct",ROUND(INDEX('Reward Model'!$B$12:$B$14,MATCH($K3010,'Reward Model'!$A$12:$A$14,0))*Z3010,2),0)</f>
        <v>0</v>
      </c>
      <c r="AB3010" s="2" t="n">
        <f aca="false">IF($I3010="Correct",ROUND(INDEX('Reward Model'!$B$12:$B$14,MATCH($Y3010,'Reward Model'!$A$12:$A$14,0))*Z3010,2),0)</f>
        <v>0</v>
      </c>
    </row>
    <row r="3011" customFormat="false" ht="15" hidden="false" customHeight="false" outlineLevel="0" collapsed="false">
      <c r="A3011" s="0" t="s">
        <v>432</v>
      </c>
      <c r="B3011" s="0" t="s">
        <v>433</v>
      </c>
      <c r="C3011" s="0" t="s">
        <v>322</v>
      </c>
      <c r="D3011" s="0" t="s">
        <v>189</v>
      </c>
      <c r="E3011" s="0" t="n">
        <v>10</v>
      </c>
      <c r="F3011" s="0" t="s">
        <v>58</v>
      </c>
      <c r="G3011" s="0" t="s">
        <v>59</v>
      </c>
      <c r="H3011" s="0" t="s">
        <v>59</v>
      </c>
      <c r="I3011" s="0" t="s">
        <v>34</v>
      </c>
      <c r="J3011" s="0" t="n">
        <v>1.98</v>
      </c>
      <c r="K3011" s="0" t="s">
        <v>60</v>
      </c>
      <c r="L3011" s="0" t="n">
        <f aca="false">INDEX(Summary!$F$2:$F$201,MATCH($B3011,Summary!$A$2:$A$201,0))</f>
        <v>20</v>
      </c>
      <c r="M3011" s="0" t="n">
        <f aca="false">INDEX(Summary!$I$2:$I$201,MATCH($B3011,Summary!$A$2:$A$201,0))</f>
        <v>2</v>
      </c>
      <c r="N3011" s="0" t="n">
        <f aca="false">INDEX(Summary!$J$2:$J$201,MATCH($B3011,Summary!$A$2:$A$201,0))</f>
        <v>3</v>
      </c>
      <c r="O3011" s="2" t="n">
        <f aca="false">INDEX(Summary!$K$2:$K$201,MATCH($B3011,Summary!$A$2:$A$201,0))</f>
        <v>9.49</v>
      </c>
      <c r="P3011" s="3" t="n">
        <f aca="false">INDEX(Summary!$L$2:$L$201,MATCH($B3011,Summary!$A$2:$A$201,0))</f>
        <v>5</v>
      </c>
      <c r="Q3011" s="3" t="n">
        <f aca="false">INDEX(Summary!$M$2:$M$201,MATCH($B3011,Summary!$A$2:$A$201,0))</f>
        <v>1</v>
      </c>
      <c r="R3011" s="2" t="n">
        <f aca="false">INDEX(Summary!$N$2:$N$201,MATCH($B3011,Summary!$A$2:$A$201,0))</f>
        <v>10.9</v>
      </c>
      <c r="S3011" s="3" t="n">
        <f aca="false">INDEX(Summary!$O$2:$O$201,MATCH($B3011,Summary!$A$2:$A$201,0))</f>
        <v>7</v>
      </c>
      <c r="T3011" s="3" t="n">
        <f aca="false">INDEX(Summary!$P$2:$P$201,MATCH($B3011,Summary!$A$2:$A$201,0))</f>
        <v>2</v>
      </c>
      <c r="U3011" s="2" t="n">
        <f aca="false">INDEX(Summary!$Q$2:$Q$201,MATCH($B3011,Summary!$A$2:$A$201,0))</f>
        <v>13.16</v>
      </c>
      <c r="V3011" s="2" t="n">
        <f aca="false">INDEX(Summary!$R$2:$R$201,MATCH($B3011,Summary!$A$2:$A$201,0))</f>
        <v>25.11</v>
      </c>
      <c r="W3011" s="0" t="str">
        <f aca="false">INDEX(Summary!$S$2:$S$201,MATCH($B3011,Summary!$A$2:$A$201,0))</f>
        <v>Silver</v>
      </c>
      <c r="X3011" s="2" t="n">
        <f aca="false">INDEX(Summary!$T$2:$T$201,MATCH($B3011,Summary!$A$2:$A$201,0))</f>
        <v>61.24</v>
      </c>
      <c r="Y3011" s="0" t="str">
        <f aca="false">INDEX('Reward Model'!$E$18:$E$37,MATCH($E3011,'Reward Model'!$A$18:$A$37,0))</f>
        <v>Medium</v>
      </c>
      <c r="Z3011" s="4" t="n">
        <f aca="false">ROUND(MIN(1,MAX('Reward Model'!$B$2,INDEX('Reward Model'!$C$12:$C$14,MATCH($K3011,'Reward Model'!$A$12:$A$14,0))/$J3011)),3)</f>
        <v>0.909</v>
      </c>
      <c r="AA3011" s="2" t="n">
        <f aca="false">IF($I3011="Correct",ROUND(INDEX('Reward Model'!$B$12:$B$14,MATCH($K3011,'Reward Model'!$A$12:$A$14,0))*Z3011,2),0)</f>
        <v>1.82</v>
      </c>
      <c r="AB3011" s="2" t="n">
        <f aca="false">IF($I3011="Correct",ROUND(INDEX('Reward Model'!$B$12:$B$14,MATCH($Y3011,'Reward Model'!$A$12:$A$14,0))*Z3011,2),0)</f>
        <v>1.82</v>
      </c>
    </row>
    <row r="3012" customFormat="false" ht="15" hidden="false" customHeight="false" outlineLevel="0" collapsed="false">
      <c r="A3012" s="0" t="s">
        <v>432</v>
      </c>
      <c r="B3012" s="0" t="s">
        <v>433</v>
      </c>
      <c r="C3012" s="0" t="s">
        <v>322</v>
      </c>
      <c r="D3012" s="0" t="s">
        <v>189</v>
      </c>
      <c r="E3012" s="0" t="n">
        <v>11</v>
      </c>
      <c r="F3012" s="0" t="s">
        <v>61</v>
      </c>
      <c r="G3012" s="0" t="s">
        <v>63</v>
      </c>
      <c r="H3012" s="0" t="s">
        <v>63</v>
      </c>
      <c r="I3012" s="0" t="s">
        <v>34</v>
      </c>
      <c r="J3012" s="0" t="n">
        <v>2.17</v>
      </c>
      <c r="K3012" s="0" t="s">
        <v>60</v>
      </c>
      <c r="L3012" s="0" t="n">
        <f aca="false">INDEX(Summary!$F$2:$F$201,MATCH($B3012,Summary!$A$2:$A$201,0))</f>
        <v>20</v>
      </c>
      <c r="M3012" s="0" t="n">
        <f aca="false">INDEX(Summary!$I$2:$I$201,MATCH($B3012,Summary!$A$2:$A$201,0))</f>
        <v>2</v>
      </c>
      <c r="N3012" s="0" t="n">
        <f aca="false">INDEX(Summary!$J$2:$J$201,MATCH($B3012,Summary!$A$2:$A$201,0))</f>
        <v>3</v>
      </c>
      <c r="O3012" s="2" t="n">
        <f aca="false">INDEX(Summary!$K$2:$K$201,MATCH($B3012,Summary!$A$2:$A$201,0))</f>
        <v>9.49</v>
      </c>
      <c r="P3012" s="3" t="n">
        <f aca="false">INDEX(Summary!$L$2:$L$201,MATCH($B3012,Summary!$A$2:$A$201,0))</f>
        <v>5</v>
      </c>
      <c r="Q3012" s="3" t="n">
        <f aca="false">INDEX(Summary!$M$2:$M$201,MATCH($B3012,Summary!$A$2:$A$201,0))</f>
        <v>1</v>
      </c>
      <c r="R3012" s="2" t="n">
        <f aca="false">INDEX(Summary!$N$2:$N$201,MATCH($B3012,Summary!$A$2:$A$201,0))</f>
        <v>10.9</v>
      </c>
      <c r="S3012" s="3" t="n">
        <f aca="false">INDEX(Summary!$O$2:$O$201,MATCH($B3012,Summary!$A$2:$A$201,0))</f>
        <v>7</v>
      </c>
      <c r="T3012" s="3" t="n">
        <f aca="false">INDEX(Summary!$P$2:$P$201,MATCH($B3012,Summary!$A$2:$A$201,0))</f>
        <v>2</v>
      </c>
      <c r="U3012" s="2" t="n">
        <f aca="false">INDEX(Summary!$Q$2:$Q$201,MATCH($B3012,Summary!$A$2:$A$201,0))</f>
        <v>13.16</v>
      </c>
      <c r="V3012" s="2" t="n">
        <f aca="false">INDEX(Summary!$R$2:$R$201,MATCH($B3012,Summary!$A$2:$A$201,0))</f>
        <v>25.11</v>
      </c>
      <c r="W3012" s="0" t="str">
        <f aca="false">INDEX(Summary!$S$2:$S$201,MATCH($B3012,Summary!$A$2:$A$201,0))</f>
        <v>Silver</v>
      </c>
      <c r="X3012" s="2" t="n">
        <f aca="false">INDEX(Summary!$T$2:$T$201,MATCH($B3012,Summary!$A$2:$A$201,0))</f>
        <v>61.24</v>
      </c>
      <c r="Y3012" s="0" t="str">
        <f aca="false">INDEX('Reward Model'!$E$18:$E$37,MATCH($E3012,'Reward Model'!$A$18:$A$37,0))</f>
        <v>Medium</v>
      </c>
      <c r="Z3012" s="4" t="n">
        <f aca="false">ROUND(MIN(1,MAX('Reward Model'!$B$2,INDEX('Reward Model'!$C$12:$C$14,MATCH($K3012,'Reward Model'!$A$12:$A$14,0))/$J3012)),3)</f>
        <v>0.829</v>
      </c>
      <c r="AA3012" s="2" t="n">
        <f aca="false">IF($I3012="Correct",ROUND(INDEX('Reward Model'!$B$12:$B$14,MATCH($K3012,'Reward Model'!$A$12:$A$14,0))*Z3012,2),0)</f>
        <v>1.66</v>
      </c>
      <c r="AB3012" s="2" t="n">
        <f aca="false">IF($I3012="Correct",ROUND(INDEX('Reward Model'!$B$12:$B$14,MATCH($Y3012,'Reward Model'!$A$12:$A$14,0))*Z3012,2),0)</f>
        <v>1.66</v>
      </c>
    </row>
    <row r="3013" customFormat="false" ht="15" hidden="false" customHeight="false" outlineLevel="0" collapsed="false">
      <c r="A3013" s="0" t="s">
        <v>432</v>
      </c>
      <c r="B3013" s="0" t="s">
        <v>433</v>
      </c>
      <c r="C3013" s="0" t="s">
        <v>322</v>
      </c>
      <c r="D3013" s="0" t="s">
        <v>189</v>
      </c>
      <c r="E3013" s="0" t="n">
        <v>12</v>
      </c>
      <c r="F3013" s="0" t="s">
        <v>64</v>
      </c>
      <c r="G3013" s="0" t="s">
        <v>112</v>
      </c>
      <c r="H3013" s="0" t="s">
        <v>65</v>
      </c>
      <c r="I3013" s="0" t="s">
        <v>39</v>
      </c>
      <c r="J3013" s="0" t="n">
        <v>1.2</v>
      </c>
      <c r="K3013" s="0" t="s">
        <v>60</v>
      </c>
      <c r="L3013" s="0" t="n">
        <f aca="false">INDEX(Summary!$F$2:$F$201,MATCH($B3013,Summary!$A$2:$A$201,0))</f>
        <v>20</v>
      </c>
      <c r="M3013" s="0" t="n">
        <f aca="false">INDEX(Summary!$I$2:$I$201,MATCH($B3013,Summary!$A$2:$A$201,0))</f>
        <v>2</v>
      </c>
      <c r="N3013" s="0" t="n">
        <f aca="false">INDEX(Summary!$J$2:$J$201,MATCH($B3013,Summary!$A$2:$A$201,0))</f>
        <v>3</v>
      </c>
      <c r="O3013" s="2" t="n">
        <f aca="false">INDEX(Summary!$K$2:$K$201,MATCH($B3013,Summary!$A$2:$A$201,0))</f>
        <v>9.49</v>
      </c>
      <c r="P3013" s="3" t="n">
        <f aca="false">INDEX(Summary!$L$2:$L$201,MATCH($B3013,Summary!$A$2:$A$201,0))</f>
        <v>5</v>
      </c>
      <c r="Q3013" s="3" t="n">
        <f aca="false">INDEX(Summary!$M$2:$M$201,MATCH($B3013,Summary!$A$2:$A$201,0))</f>
        <v>1</v>
      </c>
      <c r="R3013" s="2" t="n">
        <f aca="false">INDEX(Summary!$N$2:$N$201,MATCH($B3013,Summary!$A$2:$A$201,0))</f>
        <v>10.9</v>
      </c>
      <c r="S3013" s="3" t="n">
        <f aca="false">INDEX(Summary!$O$2:$O$201,MATCH($B3013,Summary!$A$2:$A$201,0))</f>
        <v>7</v>
      </c>
      <c r="T3013" s="3" t="n">
        <f aca="false">INDEX(Summary!$P$2:$P$201,MATCH($B3013,Summary!$A$2:$A$201,0))</f>
        <v>2</v>
      </c>
      <c r="U3013" s="2" t="n">
        <f aca="false">INDEX(Summary!$Q$2:$Q$201,MATCH($B3013,Summary!$A$2:$A$201,0))</f>
        <v>13.16</v>
      </c>
      <c r="V3013" s="2" t="n">
        <f aca="false">INDEX(Summary!$R$2:$R$201,MATCH($B3013,Summary!$A$2:$A$201,0))</f>
        <v>25.11</v>
      </c>
      <c r="W3013" s="0" t="str">
        <f aca="false">INDEX(Summary!$S$2:$S$201,MATCH($B3013,Summary!$A$2:$A$201,0))</f>
        <v>Silver</v>
      </c>
      <c r="X3013" s="2" t="n">
        <f aca="false">INDEX(Summary!$T$2:$T$201,MATCH($B3013,Summary!$A$2:$A$201,0))</f>
        <v>61.24</v>
      </c>
      <c r="Y3013" s="0" t="str">
        <f aca="false">INDEX('Reward Model'!$E$18:$E$37,MATCH($E3013,'Reward Model'!$A$18:$A$37,0))</f>
        <v>Medium</v>
      </c>
      <c r="Z3013" s="4" t="n">
        <f aca="false">ROUND(MIN(1,MAX('Reward Model'!$B$2,INDEX('Reward Model'!$C$12:$C$14,MATCH($K3013,'Reward Model'!$A$12:$A$14,0))/$J3013)),3)</f>
        <v>1</v>
      </c>
      <c r="AA3013" s="2" t="n">
        <f aca="false">IF($I3013="Correct",ROUND(INDEX('Reward Model'!$B$12:$B$14,MATCH($K3013,'Reward Model'!$A$12:$A$14,0))*Z3013,2),0)</f>
        <v>0</v>
      </c>
      <c r="AB3013" s="2" t="n">
        <f aca="false">IF($I3013="Correct",ROUND(INDEX('Reward Model'!$B$12:$B$14,MATCH($Y3013,'Reward Model'!$A$12:$A$14,0))*Z3013,2),0)</f>
        <v>0</v>
      </c>
    </row>
    <row r="3014" customFormat="false" ht="15" hidden="false" customHeight="false" outlineLevel="0" collapsed="false">
      <c r="A3014" s="0" t="s">
        <v>432</v>
      </c>
      <c r="B3014" s="0" t="s">
        <v>433</v>
      </c>
      <c r="C3014" s="0" t="s">
        <v>322</v>
      </c>
      <c r="D3014" s="0" t="s">
        <v>189</v>
      </c>
      <c r="E3014" s="0" t="n">
        <v>13</v>
      </c>
      <c r="F3014" s="0" t="s">
        <v>66</v>
      </c>
      <c r="G3014" s="0" t="s">
        <v>67</v>
      </c>
      <c r="H3014" s="0" t="s">
        <v>67</v>
      </c>
      <c r="I3014" s="0" t="s">
        <v>34</v>
      </c>
      <c r="J3014" s="0" t="n">
        <v>1.4</v>
      </c>
      <c r="K3014" s="0" t="s">
        <v>60</v>
      </c>
      <c r="L3014" s="0" t="n">
        <f aca="false">INDEX(Summary!$F$2:$F$201,MATCH($B3014,Summary!$A$2:$A$201,0))</f>
        <v>20</v>
      </c>
      <c r="M3014" s="0" t="n">
        <f aca="false">INDEX(Summary!$I$2:$I$201,MATCH($B3014,Summary!$A$2:$A$201,0))</f>
        <v>2</v>
      </c>
      <c r="N3014" s="0" t="n">
        <f aca="false">INDEX(Summary!$J$2:$J$201,MATCH($B3014,Summary!$A$2:$A$201,0))</f>
        <v>3</v>
      </c>
      <c r="O3014" s="2" t="n">
        <f aca="false">INDEX(Summary!$K$2:$K$201,MATCH($B3014,Summary!$A$2:$A$201,0))</f>
        <v>9.49</v>
      </c>
      <c r="P3014" s="3" t="n">
        <f aca="false">INDEX(Summary!$L$2:$L$201,MATCH($B3014,Summary!$A$2:$A$201,0))</f>
        <v>5</v>
      </c>
      <c r="Q3014" s="3" t="n">
        <f aca="false">INDEX(Summary!$M$2:$M$201,MATCH($B3014,Summary!$A$2:$A$201,0))</f>
        <v>1</v>
      </c>
      <c r="R3014" s="2" t="n">
        <f aca="false">INDEX(Summary!$N$2:$N$201,MATCH($B3014,Summary!$A$2:$A$201,0))</f>
        <v>10.9</v>
      </c>
      <c r="S3014" s="3" t="n">
        <f aca="false">INDEX(Summary!$O$2:$O$201,MATCH($B3014,Summary!$A$2:$A$201,0))</f>
        <v>7</v>
      </c>
      <c r="T3014" s="3" t="n">
        <f aca="false">INDEX(Summary!$P$2:$P$201,MATCH($B3014,Summary!$A$2:$A$201,0))</f>
        <v>2</v>
      </c>
      <c r="U3014" s="2" t="n">
        <f aca="false">INDEX(Summary!$Q$2:$Q$201,MATCH($B3014,Summary!$A$2:$A$201,0))</f>
        <v>13.16</v>
      </c>
      <c r="V3014" s="2" t="n">
        <f aca="false">INDEX(Summary!$R$2:$R$201,MATCH($B3014,Summary!$A$2:$A$201,0))</f>
        <v>25.11</v>
      </c>
      <c r="W3014" s="0" t="str">
        <f aca="false">INDEX(Summary!$S$2:$S$201,MATCH($B3014,Summary!$A$2:$A$201,0))</f>
        <v>Silver</v>
      </c>
      <c r="X3014" s="2" t="n">
        <f aca="false">INDEX(Summary!$T$2:$T$201,MATCH($B3014,Summary!$A$2:$A$201,0))</f>
        <v>61.24</v>
      </c>
      <c r="Y3014" s="0" t="str">
        <f aca="false">INDEX('Reward Model'!$E$18:$E$37,MATCH($E3014,'Reward Model'!$A$18:$A$37,0))</f>
        <v>Medium</v>
      </c>
      <c r="Z3014" s="4" t="n">
        <f aca="false">ROUND(MIN(1,MAX('Reward Model'!$B$2,INDEX('Reward Model'!$C$12:$C$14,MATCH($K3014,'Reward Model'!$A$12:$A$14,0))/$J3014)),3)</f>
        <v>1</v>
      </c>
      <c r="AA3014" s="2" t="n">
        <f aca="false">IF($I3014="Correct",ROUND(INDEX('Reward Model'!$B$12:$B$14,MATCH($K3014,'Reward Model'!$A$12:$A$14,0))*Z3014,2),0)</f>
        <v>2</v>
      </c>
      <c r="AB3014" s="2" t="n">
        <f aca="false">IF($I3014="Correct",ROUND(INDEX('Reward Model'!$B$12:$B$14,MATCH($Y3014,'Reward Model'!$A$12:$A$14,0))*Z3014,2),0)</f>
        <v>2</v>
      </c>
    </row>
    <row r="3015" customFormat="false" ht="15" hidden="false" customHeight="false" outlineLevel="0" collapsed="false">
      <c r="A3015" s="0" t="s">
        <v>432</v>
      </c>
      <c r="B3015" s="0" t="s">
        <v>433</v>
      </c>
      <c r="C3015" s="0" t="s">
        <v>322</v>
      </c>
      <c r="D3015" s="0" t="s">
        <v>189</v>
      </c>
      <c r="E3015" s="0" t="n">
        <v>14</v>
      </c>
      <c r="F3015" s="0" t="s">
        <v>68</v>
      </c>
      <c r="G3015" s="0" t="s">
        <v>51</v>
      </c>
      <c r="H3015" s="0" t="s">
        <v>51</v>
      </c>
      <c r="I3015" s="0" t="s">
        <v>34</v>
      </c>
      <c r="J3015" s="0" t="n">
        <v>2.14</v>
      </c>
      <c r="K3015" s="0" t="s">
        <v>60</v>
      </c>
      <c r="L3015" s="0" t="n">
        <f aca="false">INDEX(Summary!$F$2:$F$201,MATCH($B3015,Summary!$A$2:$A$201,0))</f>
        <v>20</v>
      </c>
      <c r="M3015" s="0" t="n">
        <f aca="false">INDEX(Summary!$I$2:$I$201,MATCH($B3015,Summary!$A$2:$A$201,0))</f>
        <v>2</v>
      </c>
      <c r="N3015" s="0" t="n">
        <f aca="false">INDEX(Summary!$J$2:$J$201,MATCH($B3015,Summary!$A$2:$A$201,0))</f>
        <v>3</v>
      </c>
      <c r="O3015" s="2" t="n">
        <f aca="false">INDEX(Summary!$K$2:$K$201,MATCH($B3015,Summary!$A$2:$A$201,0))</f>
        <v>9.49</v>
      </c>
      <c r="P3015" s="3" t="n">
        <f aca="false">INDEX(Summary!$L$2:$L$201,MATCH($B3015,Summary!$A$2:$A$201,0))</f>
        <v>5</v>
      </c>
      <c r="Q3015" s="3" t="n">
        <f aca="false">INDEX(Summary!$M$2:$M$201,MATCH($B3015,Summary!$A$2:$A$201,0))</f>
        <v>1</v>
      </c>
      <c r="R3015" s="2" t="n">
        <f aca="false">INDEX(Summary!$N$2:$N$201,MATCH($B3015,Summary!$A$2:$A$201,0))</f>
        <v>10.9</v>
      </c>
      <c r="S3015" s="3" t="n">
        <f aca="false">INDEX(Summary!$O$2:$O$201,MATCH($B3015,Summary!$A$2:$A$201,0))</f>
        <v>7</v>
      </c>
      <c r="T3015" s="3" t="n">
        <f aca="false">INDEX(Summary!$P$2:$P$201,MATCH($B3015,Summary!$A$2:$A$201,0))</f>
        <v>2</v>
      </c>
      <c r="U3015" s="2" t="n">
        <f aca="false">INDEX(Summary!$Q$2:$Q$201,MATCH($B3015,Summary!$A$2:$A$201,0))</f>
        <v>13.16</v>
      </c>
      <c r="V3015" s="2" t="n">
        <f aca="false">INDEX(Summary!$R$2:$R$201,MATCH($B3015,Summary!$A$2:$A$201,0))</f>
        <v>25.11</v>
      </c>
      <c r="W3015" s="0" t="str">
        <f aca="false">INDEX(Summary!$S$2:$S$201,MATCH($B3015,Summary!$A$2:$A$201,0))</f>
        <v>Silver</v>
      </c>
      <c r="X3015" s="2" t="n">
        <f aca="false">INDEX(Summary!$T$2:$T$201,MATCH($B3015,Summary!$A$2:$A$201,0))</f>
        <v>61.24</v>
      </c>
      <c r="Y3015" s="0" t="str">
        <f aca="false">INDEX('Reward Model'!$E$18:$E$37,MATCH($E3015,'Reward Model'!$A$18:$A$37,0))</f>
        <v>Medium</v>
      </c>
      <c r="Z3015" s="4" t="n">
        <f aca="false">ROUND(MIN(1,MAX('Reward Model'!$B$2,INDEX('Reward Model'!$C$12:$C$14,MATCH($K3015,'Reward Model'!$A$12:$A$14,0))/$J3015)),3)</f>
        <v>0.841</v>
      </c>
      <c r="AA3015" s="2" t="n">
        <f aca="false">IF($I3015="Correct",ROUND(INDEX('Reward Model'!$B$12:$B$14,MATCH($K3015,'Reward Model'!$A$12:$A$14,0))*Z3015,2),0)</f>
        <v>1.68</v>
      </c>
      <c r="AB3015" s="2" t="n">
        <f aca="false">IF($I3015="Correct",ROUND(INDEX('Reward Model'!$B$12:$B$14,MATCH($Y3015,'Reward Model'!$A$12:$A$14,0))*Z3015,2),0)</f>
        <v>1.68</v>
      </c>
    </row>
    <row r="3016" customFormat="false" ht="15" hidden="false" customHeight="false" outlineLevel="0" collapsed="false">
      <c r="A3016" s="0" t="s">
        <v>432</v>
      </c>
      <c r="B3016" s="0" t="s">
        <v>433</v>
      </c>
      <c r="C3016" s="0" t="s">
        <v>322</v>
      </c>
      <c r="D3016" s="0" t="s">
        <v>189</v>
      </c>
      <c r="E3016" s="0" t="n">
        <v>15</v>
      </c>
      <c r="F3016" s="0" t="s">
        <v>69</v>
      </c>
      <c r="G3016" s="0" t="s">
        <v>70</v>
      </c>
      <c r="H3016" s="0" t="s">
        <v>70</v>
      </c>
      <c r="I3016" s="0" t="s">
        <v>34</v>
      </c>
      <c r="J3016" s="0" t="n">
        <v>2.01</v>
      </c>
      <c r="K3016" s="0" t="s">
        <v>60</v>
      </c>
      <c r="L3016" s="0" t="n">
        <f aca="false">INDEX(Summary!$F$2:$F$201,MATCH($B3016,Summary!$A$2:$A$201,0))</f>
        <v>20</v>
      </c>
      <c r="M3016" s="0" t="n">
        <f aca="false">INDEX(Summary!$I$2:$I$201,MATCH($B3016,Summary!$A$2:$A$201,0))</f>
        <v>2</v>
      </c>
      <c r="N3016" s="0" t="n">
        <f aca="false">INDEX(Summary!$J$2:$J$201,MATCH($B3016,Summary!$A$2:$A$201,0))</f>
        <v>3</v>
      </c>
      <c r="O3016" s="2" t="n">
        <f aca="false">INDEX(Summary!$K$2:$K$201,MATCH($B3016,Summary!$A$2:$A$201,0))</f>
        <v>9.49</v>
      </c>
      <c r="P3016" s="3" t="n">
        <f aca="false">INDEX(Summary!$L$2:$L$201,MATCH($B3016,Summary!$A$2:$A$201,0))</f>
        <v>5</v>
      </c>
      <c r="Q3016" s="3" t="n">
        <f aca="false">INDEX(Summary!$M$2:$M$201,MATCH($B3016,Summary!$A$2:$A$201,0))</f>
        <v>1</v>
      </c>
      <c r="R3016" s="2" t="n">
        <f aca="false">INDEX(Summary!$N$2:$N$201,MATCH($B3016,Summary!$A$2:$A$201,0))</f>
        <v>10.9</v>
      </c>
      <c r="S3016" s="3" t="n">
        <f aca="false">INDEX(Summary!$O$2:$O$201,MATCH($B3016,Summary!$A$2:$A$201,0))</f>
        <v>7</v>
      </c>
      <c r="T3016" s="3" t="n">
        <f aca="false">INDEX(Summary!$P$2:$P$201,MATCH($B3016,Summary!$A$2:$A$201,0))</f>
        <v>2</v>
      </c>
      <c r="U3016" s="2" t="n">
        <f aca="false">INDEX(Summary!$Q$2:$Q$201,MATCH($B3016,Summary!$A$2:$A$201,0))</f>
        <v>13.16</v>
      </c>
      <c r="V3016" s="2" t="n">
        <f aca="false">INDEX(Summary!$R$2:$R$201,MATCH($B3016,Summary!$A$2:$A$201,0))</f>
        <v>25.11</v>
      </c>
      <c r="W3016" s="0" t="str">
        <f aca="false">INDEX(Summary!$S$2:$S$201,MATCH($B3016,Summary!$A$2:$A$201,0))</f>
        <v>Silver</v>
      </c>
      <c r="X3016" s="2" t="n">
        <f aca="false">INDEX(Summary!$T$2:$T$201,MATCH($B3016,Summary!$A$2:$A$201,0))</f>
        <v>61.24</v>
      </c>
      <c r="Y3016" s="0" t="str">
        <f aca="false">INDEX('Reward Model'!$E$18:$E$37,MATCH($E3016,'Reward Model'!$A$18:$A$37,0))</f>
        <v>Medium</v>
      </c>
      <c r="Z3016" s="4" t="n">
        <f aca="false">ROUND(MIN(1,MAX('Reward Model'!$B$2,INDEX('Reward Model'!$C$12:$C$14,MATCH($K3016,'Reward Model'!$A$12:$A$14,0))/$J3016)),3)</f>
        <v>0.896</v>
      </c>
      <c r="AA3016" s="2" t="n">
        <f aca="false">IF($I3016="Correct",ROUND(INDEX('Reward Model'!$B$12:$B$14,MATCH($K3016,'Reward Model'!$A$12:$A$14,0))*Z3016,2),0)</f>
        <v>1.79</v>
      </c>
      <c r="AB3016" s="2" t="n">
        <f aca="false">IF($I3016="Correct",ROUND(INDEX('Reward Model'!$B$12:$B$14,MATCH($Y3016,'Reward Model'!$A$12:$A$14,0))*Z3016,2),0)</f>
        <v>1.79</v>
      </c>
    </row>
    <row r="3017" customFormat="false" ht="15" hidden="false" customHeight="false" outlineLevel="0" collapsed="false">
      <c r="A3017" s="0" t="s">
        <v>432</v>
      </c>
      <c r="B3017" s="0" t="s">
        <v>433</v>
      </c>
      <c r="C3017" s="0" t="s">
        <v>322</v>
      </c>
      <c r="D3017" s="0" t="s">
        <v>189</v>
      </c>
      <c r="E3017" s="0" t="n">
        <v>16</v>
      </c>
      <c r="F3017" s="0" t="s">
        <v>71</v>
      </c>
      <c r="G3017" s="0" t="s">
        <v>72</v>
      </c>
      <c r="H3017" s="0" t="s">
        <v>72</v>
      </c>
      <c r="I3017" s="0" t="s">
        <v>34</v>
      </c>
      <c r="J3017" s="0" t="n">
        <v>1.44</v>
      </c>
      <c r="K3017" s="0" t="s">
        <v>73</v>
      </c>
      <c r="L3017" s="0" t="n">
        <f aca="false">INDEX(Summary!$F$2:$F$201,MATCH($B3017,Summary!$A$2:$A$201,0))</f>
        <v>20</v>
      </c>
      <c r="M3017" s="0" t="n">
        <f aca="false">INDEX(Summary!$I$2:$I$201,MATCH($B3017,Summary!$A$2:$A$201,0))</f>
        <v>2</v>
      </c>
      <c r="N3017" s="0" t="n">
        <f aca="false">INDEX(Summary!$J$2:$J$201,MATCH($B3017,Summary!$A$2:$A$201,0))</f>
        <v>3</v>
      </c>
      <c r="O3017" s="2" t="n">
        <f aca="false">INDEX(Summary!$K$2:$K$201,MATCH($B3017,Summary!$A$2:$A$201,0))</f>
        <v>9.49</v>
      </c>
      <c r="P3017" s="3" t="n">
        <f aca="false">INDEX(Summary!$L$2:$L$201,MATCH($B3017,Summary!$A$2:$A$201,0))</f>
        <v>5</v>
      </c>
      <c r="Q3017" s="3" t="n">
        <f aca="false">INDEX(Summary!$M$2:$M$201,MATCH($B3017,Summary!$A$2:$A$201,0))</f>
        <v>1</v>
      </c>
      <c r="R3017" s="2" t="n">
        <f aca="false">INDEX(Summary!$N$2:$N$201,MATCH($B3017,Summary!$A$2:$A$201,0))</f>
        <v>10.9</v>
      </c>
      <c r="S3017" s="3" t="n">
        <f aca="false">INDEX(Summary!$O$2:$O$201,MATCH($B3017,Summary!$A$2:$A$201,0))</f>
        <v>7</v>
      </c>
      <c r="T3017" s="3" t="n">
        <f aca="false">INDEX(Summary!$P$2:$P$201,MATCH($B3017,Summary!$A$2:$A$201,0))</f>
        <v>2</v>
      </c>
      <c r="U3017" s="2" t="n">
        <f aca="false">INDEX(Summary!$Q$2:$Q$201,MATCH($B3017,Summary!$A$2:$A$201,0))</f>
        <v>13.16</v>
      </c>
      <c r="V3017" s="2" t="n">
        <f aca="false">INDEX(Summary!$R$2:$R$201,MATCH($B3017,Summary!$A$2:$A$201,0))</f>
        <v>25.11</v>
      </c>
      <c r="W3017" s="0" t="str">
        <f aca="false">INDEX(Summary!$S$2:$S$201,MATCH($B3017,Summary!$A$2:$A$201,0))</f>
        <v>Silver</v>
      </c>
      <c r="X3017" s="2" t="n">
        <f aca="false">INDEX(Summary!$T$2:$T$201,MATCH($B3017,Summary!$A$2:$A$201,0))</f>
        <v>61.24</v>
      </c>
      <c r="Y3017" s="0" t="str">
        <f aca="false">INDEX('Reward Model'!$E$18:$E$37,MATCH($E3017,'Reward Model'!$A$18:$A$37,0))</f>
        <v>High</v>
      </c>
      <c r="Z3017" s="4" t="n">
        <f aca="false">ROUND(MIN(1,MAX('Reward Model'!$B$2,INDEX('Reward Model'!$C$12:$C$14,MATCH($K3017,'Reward Model'!$A$12:$A$14,0))/$J3017)),3)</f>
        <v>1</v>
      </c>
      <c r="AA3017" s="2" t="n">
        <f aca="false">IF($I3017="Correct",ROUND(INDEX('Reward Model'!$B$12:$B$14,MATCH($K3017,'Reward Model'!$A$12:$A$14,0))*Z3017,2),0)</f>
        <v>3</v>
      </c>
      <c r="AB3017" s="2" t="n">
        <f aca="false">IF($I3017="Correct",ROUND(INDEX('Reward Model'!$B$12:$B$14,MATCH($Y3017,'Reward Model'!$A$12:$A$14,0))*Z3017,2),0)</f>
        <v>3</v>
      </c>
    </row>
    <row r="3018" customFormat="false" ht="15" hidden="false" customHeight="false" outlineLevel="0" collapsed="false">
      <c r="A3018" s="0" t="s">
        <v>432</v>
      </c>
      <c r="B3018" s="0" t="s">
        <v>433</v>
      </c>
      <c r="C3018" s="0" t="s">
        <v>322</v>
      </c>
      <c r="D3018" s="0" t="s">
        <v>189</v>
      </c>
      <c r="E3018" s="0" t="n">
        <v>17</v>
      </c>
      <c r="F3018" s="0" t="s">
        <v>74</v>
      </c>
      <c r="G3018" s="0" t="s">
        <v>113</v>
      </c>
      <c r="H3018" s="0" t="s">
        <v>75</v>
      </c>
      <c r="I3018" s="0" t="s">
        <v>39</v>
      </c>
      <c r="J3018" s="0" t="n">
        <v>1.51</v>
      </c>
      <c r="K3018" s="0" t="s">
        <v>73</v>
      </c>
      <c r="L3018" s="0" t="n">
        <f aca="false">INDEX(Summary!$F$2:$F$201,MATCH($B3018,Summary!$A$2:$A$201,0))</f>
        <v>20</v>
      </c>
      <c r="M3018" s="0" t="n">
        <f aca="false">INDEX(Summary!$I$2:$I$201,MATCH($B3018,Summary!$A$2:$A$201,0))</f>
        <v>2</v>
      </c>
      <c r="N3018" s="0" t="n">
        <f aca="false">INDEX(Summary!$J$2:$J$201,MATCH($B3018,Summary!$A$2:$A$201,0))</f>
        <v>3</v>
      </c>
      <c r="O3018" s="2" t="n">
        <f aca="false">INDEX(Summary!$K$2:$K$201,MATCH($B3018,Summary!$A$2:$A$201,0))</f>
        <v>9.49</v>
      </c>
      <c r="P3018" s="3" t="n">
        <f aca="false">INDEX(Summary!$L$2:$L$201,MATCH($B3018,Summary!$A$2:$A$201,0))</f>
        <v>5</v>
      </c>
      <c r="Q3018" s="3" t="n">
        <f aca="false">INDEX(Summary!$M$2:$M$201,MATCH($B3018,Summary!$A$2:$A$201,0))</f>
        <v>1</v>
      </c>
      <c r="R3018" s="2" t="n">
        <f aca="false">INDEX(Summary!$N$2:$N$201,MATCH($B3018,Summary!$A$2:$A$201,0))</f>
        <v>10.9</v>
      </c>
      <c r="S3018" s="3" t="n">
        <f aca="false">INDEX(Summary!$O$2:$O$201,MATCH($B3018,Summary!$A$2:$A$201,0))</f>
        <v>7</v>
      </c>
      <c r="T3018" s="3" t="n">
        <f aca="false">INDEX(Summary!$P$2:$P$201,MATCH($B3018,Summary!$A$2:$A$201,0))</f>
        <v>2</v>
      </c>
      <c r="U3018" s="2" t="n">
        <f aca="false">INDEX(Summary!$Q$2:$Q$201,MATCH($B3018,Summary!$A$2:$A$201,0))</f>
        <v>13.16</v>
      </c>
      <c r="V3018" s="2" t="n">
        <f aca="false">INDEX(Summary!$R$2:$R$201,MATCH($B3018,Summary!$A$2:$A$201,0))</f>
        <v>25.11</v>
      </c>
      <c r="W3018" s="0" t="str">
        <f aca="false">INDEX(Summary!$S$2:$S$201,MATCH($B3018,Summary!$A$2:$A$201,0))</f>
        <v>Silver</v>
      </c>
      <c r="X3018" s="2" t="n">
        <f aca="false">INDEX(Summary!$T$2:$T$201,MATCH($B3018,Summary!$A$2:$A$201,0))</f>
        <v>61.24</v>
      </c>
      <c r="Y3018" s="0" t="str">
        <f aca="false">INDEX('Reward Model'!$E$18:$E$37,MATCH($E3018,'Reward Model'!$A$18:$A$37,0))</f>
        <v>High</v>
      </c>
      <c r="Z3018" s="4" t="n">
        <f aca="false">ROUND(MIN(1,MAX('Reward Model'!$B$2,INDEX('Reward Model'!$C$12:$C$14,MATCH($K3018,'Reward Model'!$A$12:$A$14,0))/$J3018)),3)</f>
        <v>1</v>
      </c>
      <c r="AA3018" s="2" t="n">
        <f aca="false">IF($I3018="Correct",ROUND(INDEX('Reward Model'!$B$12:$B$14,MATCH($K3018,'Reward Model'!$A$12:$A$14,0))*Z3018,2),0)</f>
        <v>0</v>
      </c>
      <c r="AB3018" s="2" t="n">
        <f aca="false">IF($I3018="Correct",ROUND(INDEX('Reward Model'!$B$12:$B$14,MATCH($Y3018,'Reward Model'!$A$12:$A$14,0))*Z3018,2),0)</f>
        <v>0</v>
      </c>
    </row>
    <row r="3019" customFormat="false" ht="15" hidden="false" customHeight="false" outlineLevel="0" collapsed="false">
      <c r="A3019" s="0" t="s">
        <v>432</v>
      </c>
      <c r="B3019" s="0" t="s">
        <v>433</v>
      </c>
      <c r="C3019" s="0" t="s">
        <v>322</v>
      </c>
      <c r="D3019" s="0" t="s">
        <v>189</v>
      </c>
      <c r="E3019" s="0" t="n">
        <v>18</v>
      </c>
      <c r="F3019" s="0" t="s">
        <v>76</v>
      </c>
      <c r="G3019" s="0" t="s">
        <v>56</v>
      </c>
      <c r="H3019" s="0" t="s">
        <v>77</v>
      </c>
      <c r="I3019" s="0" t="s">
        <v>39</v>
      </c>
      <c r="J3019" s="0" t="n">
        <v>2.4</v>
      </c>
      <c r="K3019" s="0" t="s">
        <v>73</v>
      </c>
      <c r="L3019" s="0" t="n">
        <f aca="false">INDEX(Summary!$F$2:$F$201,MATCH($B3019,Summary!$A$2:$A$201,0))</f>
        <v>20</v>
      </c>
      <c r="M3019" s="0" t="n">
        <f aca="false">INDEX(Summary!$I$2:$I$201,MATCH($B3019,Summary!$A$2:$A$201,0))</f>
        <v>2</v>
      </c>
      <c r="N3019" s="0" t="n">
        <f aca="false">INDEX(Summary!$J$2:$J$201,MATCH($B3019,Summary!$A$2:$A$201,0))</f>
        <v>3</v>
      </c>
      <c r="O3019" s="2" t="n">
        <f aca="false">INDEX(Summary!$K$2:$K$201,MATCH($B3019,Summary!$A$2:$A$201,0))</f>
        <v>9.49</v>
      </c>
      <c r="P3019" s="3" t="n">
        <f aca="false">INDEX(Summary!$L$2:$L$201,MATCH($B3019,Summary!$A$2:$A$201,0))</f>
        <v>5</v>
      </c>
      <c r="Q3019" s="3" t="n">
        <f aca="false">INDEX(Summary!$M$2:$M$201,MATCH($B3019,Summary!$A$2:$A$201,0))</f>
        <v>1</v>
      </c>
      <c r="R3019" s="2" t="n">
        <f aca="false">INDEX(Summary!$N$2:$N$201,MATCH($B3019,Summary!$A$2:$A$201,0))</f>
        <v>10.9</v>
      </c>
      <c r="S3019" s="3" t="n">
        <f aca="false">INDEX(Summary!$O$2:$O$201,MATCH($B3019,Summary!$A$2:$A$201,0))</f>
        <v>7</v>
      </c>
      <c r="T3019" s="3" t="n">
        <f aca="false">INDEX(Summary!$P$2:$P$201,MATCH($B3019,Summary!$A$2:$A$201,0))</f>
        <v>2</v>
      </c>
      <c r="U3019" s="2" t="n">
        <f aca="false">INDEX(Summary!$Q$2:$Q$201,MATCH($B3019,Summary!$A$2:$A$201,0))</f>
        <v>13.16</v>
      </c>
      <c r="V3019" s="2" t="n">
        <f aca="false">INDEX(Summary!$R$2:$R$201,MATCH($B3019,Summary!$A$2:$A$201,0))</f>
        <v>25.11</v>
      </c>
      <c r="W3019" s="0" t="str">
        <f aca="false">INDEX(Summary!$S$2:$S$201,MATCH($B3019,Summary!$A$2:$A$201,0))</f>
        <v>Silver</v>
      </c>
      <c r="X3019" s="2" t="n">
        <f aca="false">INDEX(Summary!$T$2:$T$201,MATCH($B3019,Summary!$A$2:$A$201,0))</f>
        <v>61.24</v>
      </c>
      <c r="Y3019" s="0" t="str">
        <f aca="false">INDEX('Reward Model'!$E$18:$E$37,MATCH($E3019,'Reward Model'!$A$18:$A$37,0))</f>
        <v>High</v>
      </c>
      <c r="Z3019" s="4" t="n">
        <f aca="false">ROUND(MIN(1,MAX('Reward Model'!$B$2,INDEX('Reward Model'!$C$12:$C$14,MATCH($K3019,'Reward Model'!$A$12:$A$14,0))/$J3019)),3)</f>
        <v>0.833</v>
      </c>
      <c r="AA3019" s="2" t="n">
        <f aca="false">IF($I3019="Correct",ROUND(INDEX('Reward Model'!$B$12:$B$14,MATCH($K3019,'Reward Model'!$A$12:$A$14,0))*Z3019,2),0)</f>
        <v>0</v>
      </c>
      <c r="AB3019" s="2" t="n">
        <f aca="false">IF($I3019="Correct",ROUND(INDEX('Reward Model'!$B$12:$B$14,MATCH($Y3019,'Reward Model'!$A$12:$A$14,0))*Z3019,2),0)</f>
        <v>0</v>
      </c>
    </row>
    <row r="3020" customFormat="false" ht="15" hidden="false" customHeight="false" outlineLevel="0" collapsed="false">
      <c r="A3020" s="0" t="s">
        <v>432</v>
      </c>
      <c r="B3020" s="0" t="s">
        <v>433</v>
      </c>
      <c r="C3020" s="0" t="s">
        <v>322</v>
      </c>
      <c r="D3020" s="0" t="s">
        <v>189</v>
      </c>
      <c r="E3020" s="0" t="n">
        <v>19</v>
      </c>
      <c r="F3020" s="0" t="s">
        <v>78</v>
      </c>
      <c r="G3020" s="0" t="s">
        <v>80</v>
      </c>
      <c r="H3020" s="0" t="s">
        <v>80</v>
      </c>
      <c r="I3020" s="0" t="s">
        <v>34</v>
      </c>
      <c r="J3020" s="0" t="n">
        <v>2.3</v>
      </c>
      <c r="K3020" s="0" t="s">
        <v>73</v>
      </c>
      <c r="L3020" s="0" t="n">
        <f aca="false">INDEX(Summary!$F$2:$F$201,MATCH($B3020,Summary!$A$2:$A$201,0))</f>
        <v>20</v>
      </c>
      <c r="M3020" s="0" t="n">
        <f aca="false">INDEX(Summary!$I$2:$I$201,MATCH($B3020,Summary!$A$2:$A$201,0))</f>
        <v>2</v>
      </c>
      <c r="N3020" s="0" t="n">
        <f aca="false">INDEX(Summary!$J$2:$J$201,MATCH($B3020,Summary!$A$2:$A$201,0))</f>
        <v>3</v>
      </c>
      <c r="O3020" s="2" t="n">
        <f aca="false">INDEX(Summary!$K$2:$K$201,MATCH($B3020,Summary!$A$2:$A$201,0))</f>
        <v>9.49</v>
      </c>
      <c r="P3020" s="3" t="n">
        <f aca="false">INDEX(Summary!$L$2:$L$201,MATCH($B3020,Summary!$A$2:$A$201,0))</f>
        <v>5</v>
      </c>
      <c r="Q3020" s="3" t="n">
        <f aca="false">INDEX(Summary!$M$2:$M$201,MATCH($B3020,Summary!$A$2:$A$201,0))</f>
        <v>1</v>
      </c>
      <c r="R3020" s="2" t="n">
        <f aca="false">INDEX(Summary!$N$2:$N$201,MATCH($B3020,Summary!$A$2:$A$201,0))</f>
        <v>10.9</v>
      </c>
      <c r="S3020" s="3" t="n">
        <f aca="false">INDEX(Summary!$O$2:$O$201,MATCH($B3020,Summary!$A$2:$A$201,0))</f>
        <v>7</v>
      </c>
      <c r="T3020" s="3" t="n">
        <f aca="false">INDEX(Summary!$P$2:$P$201,MATCH($B3020,Summary!$A$2:$A$201,0))</f>
        <v>2</v>
      </c>
      <c r="U3020" s="2" t="n">
        <f aca="false">INDEX(Summary!$Q$2:$Q$201,MATCH($B3020,Summary!$A$2:$A$201,0))</f>
        <v>13.16</v>
      </c>
      <c r="V3020" s="2" t="n">
        <f aca="false">INDEX(Summary!$R$2:$R$201,MATCH($B3020,Summary!$A$2:$A$201,0))</f>
        <v>25.11</v>
      </c>
      <c r="W3020" s="0" t="str">
        <f aca="false">INDEX(Summary!$S$2:$S$201,MATCH($B3020,Summary!$A$2:$A$201,0))</f>
        <v>Silver</v>
      </c>
      <c r="X3020" s="2" t="n">
        <f aca="false">INDEX(Summary!$T$2:$T$201,MATCH($B3020,Summary!$A$2:$A$201,0))</f>
        <v>61.24</v>
      </c>
      <c r="Y3020" s="0" t="str">
        <f aca="false">INDEX('Reward Model'!$E$18:$E$37,MATCH($E3020,'Reward Model'!$A$18:$A$37,0))</f>
        <v>High</v>
      </c>
      <c r="Z3020" s="4" t="n">
        <f aca="false">ROUND(MIN(1,MAX('Reward Model'!$B$2,INDEX('Reward Model'!$C$12:$C$14,MATCH($K3020,'Reward Model'!$A$12:$A$14,0))/$J3020)),3)</f>
        <v>0.87</v>
      </c>
      <c r="AA3020" s="2" t="n">
        <f aca="false">IF($I3020="Correct",ROUND(INDEX('Reward Model'!$B$12:$B$14,MATCH($K3020,'Reward Model'!$A$12:$A$14,0))*Z3020,2),0)</f>
        <v>2.61</v>
      </c>
      <c r="AB3020" s="2" t="n">
        <f aca="false">IF($I3020="Correct",ROUND(INDEX('Reward Model'!$B$12:$B$14,MATCH($Y3020,'Reward Model'!$A$12:$A$14,0))*Z3020,2),0)</f>
        <v>2.61</v>
      </c>
    </row>
    <row r="3021" customFormat="false" ht="15" hidden="false" customHeight="false" outlineLevel="0" collapsed="false">
      <c r="A3021" s="0" t="s">
        <v>432</v>
      </c>
      <c r="B3021" s="0" t="s">
        <v>433</v>
      </c>
      <c r="C3021" s="0" t="s">
        <v>322</v>
      </c>
      <c r="D3021" s="0" t="s">
        <v>189</v>
      </c>
      <c r="E3021" s="0" t="n">
        <v>20</v>
      </c>
      <c r="F3021" s="0" t="s">
        <v>81</v>
      </c>
      <c r="G3021" s="0" t="s">
        <v>166</v>
      </c>
      <c r="H3021" s="0" t="s">
        <v>83</v>
      </c>
      <c r="I3021" s="0" t="s">
        <v>39</v>
      </c>
      <c r="J3021" s="0" t="n">
        <v>1.84</v>
      </c>
      <c r="K3021" s="0" t="s">
        <v>73</v>
      </c>
      <c r="L3021" s="0" t="n">
        <f aca="false">INDEX(Summary!$F$2:$F$201,MATCH($B3021,Summary!$A$2:$A$201,0))</f>
        <v>20</v>
      </c>
      <c r="M3021" s="0" t="n">
        <f aca="false">INDEX(Summary!$I$2:$I$201,MATCH($B3021,Summary!$A$2:$A$201,0))</f>
        <v>2</v>
      </c>
      <c r="N3021" s="0" t="n">
        <f aca="false">INDEX(Summary!$J$2:$J$201,MATCH($B3021,Summary!$A$2:$A$201,0))</f>
        <v>3</v>
      </c>
      <c r="O3021" s="2" t="n">
        <f aca="false">INDEX(Summary!$K$2:$K$201,MATCH($B3021,Summary!$A$2:$A$201,0))</f>
        <v>9.49</v>
      </c>
      <c r="P3021" s="3" t="n">
        <f aca="false">INDEX(Summary!$L$2:$L$201,MATCH($B3021,Summary!$A$2:$A$201,0))</f>
        <v>5</v>
      </c>
      <c r="Q3021" s="3" t="n">
        <f aca="false">INDEX(Summary!$M$2:$M$201,MATCH($B3021,Summary!$A$2:$A$201,0))</f>
        <v>1</v>
      </c>
      <c r="R3021" s="2" t="n">
        <f aca="false">INDEX(Summary!$N$2:$N$201,MATCH($B3021,Summary!$A$2:$A$201,0))</f>
        <v>10.9</v>
      </c>
      <c r="S3021" s="3" t="n">
        <f aca="false">INDEX(Summary!$O$2:$O$201,MATCH($B3021,Summary!$A$2:$A$201,0))</f>
        <v>7</v>
      </c>
      <c r="T3021" s="3" t="n">
        <f aca="false">INDEX(Summary!$P$2:$P$201,MATCH($B3021,Summary!$A$2:$A$201,0))</f>
        <v>2</v>
      </c>
      <c r="U3021" s="2" t="n">
        <f aca="false">INDEX(Summary!$Q$2:$Q$201,MATCH($B3021,Summary!$A$2:$A$201,0))</f>
        <v>13.16</v>
      </c>
      <c r="V3021" s="2" t="n">
        <f aca="false">INDEX(Summary!$R$2:$R$201,MATCH($B3021,Summary!$A$2:$A$201,0))</f>
        <v>25.11</v>
      </c>
      <c r="W3021" s="0" t="str">
        <f aca="false">INDEX(Summary!$S$2:$S$201,MATCH($B3021,Summary!$A$2:$A$201,0))</f>
        <v>Silver</v>
      </c>
      <c r="X3021" s="2" t="n">
        <f aca="false">INDEX(Summary!$T$2:$T$201,MATCH($B3021,Summary!$A$2:$A$201,0))</f>
        <v>61.24</v>
      </c>
      <c r="Y3021" s="0" t="str">
        <f aca="false">INDEX('Reward Model'!$E$18:$E$37,MATCH($E3021,'Reward Model'!$A$18:$A$37,0))</f>
        <v>High</v>
      </c>
      <c r="Z3021" s="4" t="n">
        <f aca="false">ROUND(MIN(1,MAX('Reward Model'!$B$2,INDEX('Reward Model'!$C$12:$C$14,MATCH($K3021,'Reward Model'!$A$12:$A$14,0))/$J3021)),3)</f>
        <v>1</v>
      </c>
      <c r="AA3021" s="2" t="n">
        <f aca="false">IF($I3021="Correct",ROUND(INDEX('Reward Model'!$B$12:$B$14,MATCH($K3021,'Reward Model'!$A$12:$A$14,0))*Z3021,2),0)</f>
        <v>0</v>
      </c>
      <c r="AB3021" s="2" t="n">
        <f aca="false">IF($I3021="Correct",ROUND(INDEX('Reward Model'!$B$12:$B$14,MATCH($Y3021,'Reward Model'!$A$12:$A$14,0))*Z3021,2),0)</f>
        <v>0</v>
      </c>
    </row>
    <row r="3022" customFormat="false" ht="15" hidden="false" customHeight="false" outlineLevel="0" collapsed="false">
      <c r="A3022" s="0" t="s">
        <v>434</v>
      </c>
      <c r="B3022" s="0" t="s">
        <v>435</v>
      </c>
      <c r="C3022" s="0" t="s">
        <v>322</v>
      </c>
      <c r="D3022" s="0" t="s">
        <v>189</v>
      </c>
      <c r="E3022" s="0" t="n">
        <v>1</v>
      </c>
      <c r="F3022" s="0" t="s">
        <v>32</v>
      </c>
      <c r="G3022" s="0" t="s">
        <v>33</v>
      </c>
      <c r="H3022" s="0" t="s">
        <v>33</v>
      </c>
      <c r="I3022" s="0" t="s">
        <v>34</v>
      </c>
      <c r="J3022" s="0" t="n">
        <v>1.89</v>
      </c>
      <c r="K3022" s="0" t="s">
        <v>35</v>
      </c>
      <c r="L3022" s="0" t="n">
        <f aca="false">INDEX(Summary!$F$2:$F$201,MATCH($B3022,Summary!$A$2:$A$201,0))</f>
        <v>20</v>
      </c>
      <c r="M3022" s="0" t="n">
        <f aca="false">INDEX(Summary!$I$2:$I$201,MATCH($B3022,Summary!$A$2:$A$201,0))</f>
        <v>2</v>
      </c>
      <c r="N3022" s="0" t="n">
        <f aca="false">INDEX(Summary!$J$2:$J$201,MATCH($B3022,Summary!$A$2:$A$201,0))</f>
        <v>3</v>
      </c>
      <c r="O3022" s="2" t="n">
        <f aca="false">INDEX(Summary!$K$2:$K$201,MATCH($B3022,Summary!$A$2:$A$201,0))</f>
        <v>8.36</v>
      </c>
      <c r="P3022" s="3" t="n">
        <f aca="false">INDEX(Summary!$L$2:$L$201,MATCH($B3022,Summary!$A$2:$A$201,0))</f>
        <v>1</v>
      </c>
      <c r="Q3022" s="3" t="n">
        <f aca="false">INDEX(Summary!$M$2:$M$201,MATCH($B3022,Summary!$A$2:$A$201,0))</f>
        <v>5</v>
      </c>
      <c r="R3022" s="2" t="n">
        <f aca="false">INDEX(Summary!$N$2:$N$201,MATCH($B3022,Summary!$A$2:$A$201,0))</f>
        <v>8.71</v>
      </c>
      <c r="S3022" s="3" t="n">
        <f aca="false">INDEX(Summary!$O$2:$O$201,MATCH($B3022,Summary!$A$2:$A$201,0))</f>
        <v>6</v>
      </c>
      <c r="T3022" s="3" t="n">
        <f aca="false">INDEX(Summary!$P$2:$P$201,MATCH($B3022,Summary!$A$2:$A$201,0))</f>
        <v>3</v>
      </c>
      <c r="U3022" s="2" t="n">
        <f aca="false">INDEX(Summary!$Q$2:$Q$201,MATCH($B3022,Summary!$A$2:$A$201,0))</f>
        <v>13.32</v>
      </c>
      <c r="V3022" s="2" t="n">
        <f aca="false">INDEX(Summary!$R$2:$R$201,MATCH($B3022,Summary!$A$2:$A$201,0))</f>
        <v>17.18</v>
      </c>
      <c r="W3022" s="0" t="str">
        <f aca="false">INDEX(Summary!$S$2:$S$201,MATCH($B3022,Summary!$A$2:$A$201,0))</f>
        <v>Bronze</v>
      </c>
      <c r="X3022" s="2" t="n">
        <f aca="false">INDEX(Summary!$T$2:$T$201,MATCH($B3022,Summary!$A$2:$A$201,0))</f>
        <v>41.9</v>
      </c>
      <c r="Y3022" s="0" t="str">
        <f aca="false">INDEX('Reward Model'!$E$18:$E$37,MATCH($E3022,'Reward Model'!$A$18:$A$37,0))</f>
        <v>Medium</v>
      </c>
      <c r="Z3022" s="4" t="n">
        <f aca="false">ROUND(MIN(1,MAX('Reward Model'!$B$2,INDEX('Reward Model'!$C$12:$C$14,MATCH($K3022,'Reward Model'!$A$12:$A$14,0))/$J3022)),3)</f>
        <v>0.794</v>
      </c>
      <c r="AA3022" s="2" t="n">
        <f aca="false">IF($I3022="Correct",ROUND(INDEX('Reward Model'!$B$12:$B$14,MATCH($K3022,'Reward Model'!$A$12:$A$14,0))*Z3022,2),0)</f>
        <v>0.79</v>
      </c>
      <c r="AB3022" s="2" t="n">
        <f aca="false">IF($I3022="Correct",ROUND(INDEX('Reward Model'!$B$12:$B$14,MATCH($Y3022,'Reward Model'!$A$12:$A$14,0))*Z3022,2),0)</f>
        <v>1.59</v>
      </c>
    </row>
    <row r="3023" customFormat="false" ht="15" hidden="false" customHeight="false" outlineLevel="0" collapsed="false">
      <c r="A3023" s="0" t="s">
        <v>434</v>
      </c>
      <c r="B3023" s="0" t="s">
        <v>435</v>
      </c>
      <c r="C3023" s="0" t="s">
        <v>322</v>
      </c>
      <c r="D3023" s="0" t="s">
        <v>189</v>
      </c>
      <c r="E3023" s="0" t="n">
        <v>2</v>
      </c>
      <c r="F3023" s="0" t="s">
        <v>36</v>
      </c>
      <c r="G3023" s="0" t="s">
        <v>37</v>
      </c>
      <c r="H3023" s="0" t="s">
        <v>38</v>
      </c>
      <c r="I3023" s="0" t="s">
        <v>39</v>
      </c>
      <c r="J3023" s="0" t="n">
        <v>0.92</v>
      </c>
      <c r="K3023" s="0" t="s">
        <v>35</v>
      </c>
      <c r="L3023" s="0" t="n">
        <f aca="false">INDEX(Summary!$F$2:$F$201,MATCH($B3023,Summary!$A$2:$A$201,0))</f>
        <v>20</v>
      </c>
      <c r="M3023" s="0" t="n">
        <f aca="false">INDEX(Summary!$I$2:$I$201,MATCH($B3023,Summary!$A$2:$A$201,0))</f>
        <v>2</v>
      </c>
      <c r="N3023" s="0" t="n">
        <f aca="false">INDEX(Summary!$J$2:$J$201,MATCH($B3023,Summary!$A$2:$A$201,0))</f>
        <v>3</v>
      </c>
      <c r="O3023" s="2" t="n">
        <f aca="false">INDEX(Summary!$K$2:$K$201,MATCH($B3023,Summary!$A$2:$A$201,0))</f>
        <v>8.36</v>
      </c>
      <c r="P3023" s="3" t="n">
        <f aca="false">INDEX(Summary!$L$2:$L$201,MATCH($B3023,Summary!$A$2:$A$201,0))</f>
        <v>1</v>
      </c>
      <c r="Q3023" s="3" t="n">
        <f aca="false">INDEX(Summary!$M$2:$M$201,MATCH($B3023,Summary!$A$2:$A$201,0))</f>
        <v>5</v>
      </c>
      <c r="R3023" s="2" t="n">
        <f aca="false">INDEX(Summary!$N$2:$N$201,MATCH($B3023,Summary!$A$2:$A$201,0))</f>
        <v>8.71</v>
      </c>
      <c r="S3023" s="3" t="n">
        <f aca="false">INDEX(Summary!$O$2:$O$201,MATCH($B3023,Summary!$A$2:$A$201,0))</f>
        <v>6</v>
      </c>
      <c r="T3023" s="3" t="n">
        <f aca="false">INDEX(Summary!$P$2:$P$201,MATCH($B3023,Summary!$A$2:$A$201,0))</f>
        <v>3</v>
      </c>
      <c r="U3023" s="2" t="n">
        <f aca="false">INDEX(Summary!$Q$2:$Q$201,MATCH($B3023,Summary!$A$2:$A$201,0))</f>
        <v>13.32</v>
      </c>
      <c r="V3023" s="2" t="n">
        <f aca="false">INDEX(Summary!$R$2:$R$201,MATCH($B3023,Summary!$A$2:$A$201,0))</f>
        <v>17.18</v>
      </c>
      <c r="W3023" s="0" t="str">
        <f aca="false">INDEX(Summary!$S$2:$S$201,MATCH($B3023,Summary!$A$2:$A$201,0))</f>
        <v>Bronze</v>
      </c>
      <c r="X3023" s="2" t="n">
        <f aca="false">INDEX(Summary!$T$2:$T$201,MATCH($B3023,Summary!$A$2:$A$201,0))</f>
        <v>41.9</v>
      </c>
      <c r="Y3023" s="0" t="str">
        <f aca="false">INDEX('Reward Model'!$E$18:$E$37,MATCH($E3023,'Reward Model'!$A$18:$A$37,0))</f>
        <v>Low</v>
      </c>
      <c r="Z3023" s="4" t="n">
        <f aca="false">ROUND(MIN(1,MAX('Reward Model'!$B$2,INDEX('Reward Model'!$C$12:$C$14,MATCH($K3023,'Reward Model'!$A$12:$A$14,0))/$J3023)),3)</f>
        <v>1</v>
      </c>
      <c r="AA3023" s="2" t="n">
        <f aca="false">IF($I3023="Correct",ROUND(INDEX('Reward Model'!$B$12:$B$14,MATCH($K3023,'Reward Model'!$A$12:$A$14,0))*Z3023,2),0)</f>
        <v>0</v>
      </c>
      <c r="AB3023" s="2" t="n">
        <f aca="false">IF($I3023="Correct",ROUND(INDEX('Reward Model'!$B$12:$B$14,MATCH($Y3023,'Reward Model'!$A$12:$A$14,0))*Z3023,2),0)</f>
        <v>0</v>
      </c>
    </row>
    <row r="3024" customFormat="false" ht="15" hidden="false" customHeight="false" outlineLevel="0" collapsed="false">
      <c r="A3024" s="0" t="s">
        <v>434</v>
      </c>
      <c r="B3024" s="0" t="s">
        <v>435</v>
      </c>
      <c r="C3024" s="0" t="s">
        <v>322</v>
      </c>
      <c r="D3024" s="0" t="s">
        <v>189</v>
      </c>
      <c r="E3024" s="0" t="n">
        <v>3</v>
      </c>
      <c r="F3024" s="0" t="s">
        <v>40</v>
      </c>
      <c r="G3024" s="0" t="s">
        <v>41</v>
      </c>
      <c r="H3024" s="0" t="s">
        <v>42</v>
      </c>
      <c r="I3024" s="0" t="s">
        <v>39</v>
      </c>
      <c r="J3024" s="0" t="n">
        <v>1.22</v>
      </c>
      <c r="K3024" s="0" t="s">
        <v>35</v>
      </c>
      <c r="L3024" s="0" t="n">
        <f aca="false">INDEX(Summary!$F$2:$F$201,MATCH($B3024,Summary!$A$2:$A$201,0))</f>
        <v>20</v>
      </c>
      <c r="M3024" s="0" t="n">
        <f aca="false">INDEX(Summary!$I$2:$I$201,MATCH($B3024,Summary!$A$2:$A$201,0))</f>
        <v>2</v>
      </c>
      <c r="N3024" s="0" t="n">
        <f aca="false">INDEX(Summary!$J$2:$J$201,MATCH($B3024,Summary!$A$2:$A$201,0))</f>
        <v>3</v>
      </c>
      <c r="O3024" s="2" t="n">
        <f aca="false">INDEX(Summary!$K$2:$K$201,MATCH($B3024,Summary!$A$2:$A$201,0))</f>
        <v>8.36</v>
      </c>
      <c r="P3024" s="3" t="n">
        <f aca="false">INDEX(Summary!$L$2:$L$201,MATCH($B3024,Summary!$A$2:$A$201,0))</f>
        <v>1</v>
      </c>
      <c r="Q3024" s="3" t="n">
        <f aca="false">INDEX(Summary!$M$2:$M$201,MATCH($B3024,Summary!$A$2:$A$201,0))</f>
        <v>5</v>
      </c>
      <c r="R3024" s="2" t="n">
        <f aca="false">INDEX(Summary!$N$2:$N$201,MATCH($B3024,Summary!$A$2:$A$201,0))</f>
        <v>8.71</v>
      </c>
      <c r="S3024" s="3" t="n">
        <f aca="false">INDEX(Summary!$O$2:$O$201,MATCH($B3024,Summary!$A$2:$A$201,0))</f>
        <v>6</v>
      </c>
      <c r="T3024" s="3" t="n">
        <f aca="false">INDEX(Summary!$P$2:$P$201,MATCH($B3024,Summary!$A$2:$A$201,0))</f>
        <v>3</v>
      </c>
      <c r="U3024" s="2" t="n">
        <f aca="false">INDEX(Summary!$Q$2:$Q$201,MATCH($B3024,Summary!$A$2:$A$201,0))</f>
        <v>13.32</v>
      </c>
      <c r="V3024" s="2" t="n">
        <f aca="false">INDEX(Summary!$R$2:$R$201,MATCH($B3024,Summary!$A$2:$A$201,0))</f>
        <v>17.18</v>
      </c>
      <c r="W3024" s="0" t="str">
        <f aca="false">INDEX(Summary!$S$2:$S$201,MATCH($B3024,Summary!$A$2:$A$201,0))</f>
        <v>Bronze</v>
      </c>
      <c r="X3024" s="2" t="n">
        <f aca="false">INDEX(Summary!$T$2:$T$201,MATCH($B3024,Summary!$A$2:$A$201,0))</f>
        <v>41.9</v>
      </c>
      <c r="Y3024" s="0" t="str">
        <f aca="false">INDEX('Reward Model'!$E$18:$E$37,MATCH($E3024,'Reward Model'!$A$18:$A$37,0))</f>
        <v>Medium</v>
      </c>
      <c r="Z3024" s="4" t="n">
        <f aca="false">ROUND(MIN(1,MAX('Reward Model'!$B$2,INDEX('Reward Model'!$C$12:$C$14,MATCH($K3024,'Reward Model'!$A$12:$A$14,0))/$J3024)),3)</f>
        <v>1</v>
      </c>
      <c r="AA3024" s="2" t="n">
        <f aca="false">IF($I3024="Correct",ROUND(INDEX('Reward Model'!$B$12:$B$14,MATCH($K3024,'Reward Model'!$A$12:$A$14,0))*Z3024,2),0)</f>
        <v>0</v>
      </c>
      <c r="AB3024" s="2" t="n">
        <f aca="false">IF($I3024="Correct",ROUND(INDEX('Reward Model'!$B$12:$B$14,MATCH($Y3024,'Reward Model'!$A$12:$A$14,0))*Z3024,2),0)</f>
        <v>0</v>
      </c>
    </row>
    <row r="3025" customFormat="false" ht="15" hidden="false" customHeight="false" outlineLevel="0" collapsed="false">
      <c r="A3025" s="0" t="s">
        <v>434</v>
      </c>
      <c r="B3025" s="0" t="s">
        <v>435</v>
      </c>
      <c r="C3025" s="0" t="s">
        <v>322</v>
      </c>
      <c r="D3025" s="0" t="s">
        <v>189</v>
      </c>
      <c r="E3025" s="0" t="n">
        <v>4</v>
      </c>
      <c r="F3025" s="0" t="s">
        <v>43</v>
      </c>
      <c r="G3025" s="0" t="s">
        <v>45</v>
      </c>
      <c r="H3025" s="0" t="s">
        <v>45</v>
      </c>
      <c r="I3025" s="0" t="s">
        <v>34</v>
      </c>
      <c r="J3025" s="0" t="n">
        <v>1.63</v>
      </c>
      <c r="K3025" s="0" t="s">
        <v>35</v>
      </c>
      <c r="L3025" s="0" t="n">
        <f aca="false">INDEX(Summary!$F$2:$F$201,MATCH($B3025,Summary!$A$2:$A$201,0))</f>
        <v>20</v>
      </c>
      <c r="M3025" s="0" t="n">
        <f aca="false">INDEX(Summary!$I$2:$I$201,MATCH($B3025,Summary!$A$2:$A$201,0))</f>
        <v>2</v>
      </c>
      <c r="N3025" s="0" t="n">
        <f aca="false">INDEX(Summary!$J$2:$J$201,MATCH($B3025,Summary!$A$2:$A$201,0))</f>
        <v>3</v>
      </c>
      <c r="O3025" s="2" t="n">
        <f aca="false">INDEX(Summary!$K$2:$K$201,MATCH($B3025,Summary!$A$2:$A$201,0))</f>
        <v>8.36</v>
      </c>
      <c r="P3025" s="3" t="n">
        <f aca="false">INDEX(Summary!$L$2:$L$201,MATCH($B3025,Summary!$A$2:$A$201,0))</f>
        <v>1</v>
      </c>
      <c r="Q3025" s="3" t="n">
        <f aca="false">INDEX(Summary!$M$2:$M$201,MATCH($B3025,Summary!$A$2:$A$201,0))</f>
        <v>5</v>
      </c>
      <c r="R3025" s="2" t="n">
        <f aca="false">INDEX(Summary!$N$2:$N$201,MATCH($B3025,Summary!$A$2:$A$201,0))</f>
        <v>8.71</v>
      </c>
      <c r="S3025" s="3" t="n">
        <f aca="false">INDEX(Summary!$O$2:$O$201,MATCH($B3025,Summary!$A$2:$A$201,0))</f>
        <v>6</v>
      </c>
      <c r="T3025" s="3" t="n">
        <f aca="false">INDEX(Summary!$P$2:$P$201,MATCH($B3025,Summary!$A$2:$A$201,0))</f>
        <v>3</v>
      </c>
      <c r="U3025" s="2" t="n">
        <f aca="false">INDEX(Summary!$Q$2:$Q$201,MATCH($B3025,Summary!$A$2:$A$201,0))</f>
        <v>13.32</v>
      </c>
      <c r="V3025" s="2" t="n">
        <f aca="false">INDEX(Summary!$R$2:$R$201,MATCH($B3025,Summary!$A$2:$A$201,0))</f>
        <v>17.18</v>
      </c>
      <c r="W3025" s="0" t="str">
        <f aca="false">INDEX(Summary!$S$2:$S$201,MATCH($B3025,Summary!$A$2:$A$201,0))</f>
        <v>Bronze</v>
      </c>
      <c r="X3025" s="2" t="n">
        <f aca="false">INDEX(Summary!$T$2:$T$201,MATCH($B3025,Summary!$A$2:$A$201,0))</f>
        <v>41.9</v>
      </c>
      <c r="Y3025" s="0" t="str">
        <f aca="false">INDEX('Reward Model'!$E$18:$E$37,MATCH($E3025,'Reward Model'!$A$18:$A$37,0))</f>
        <v>Low</v>
      </c>
      <c r="Z3025" s="4" t="n">
        <f aca="false">ROUND(MIN(1,MAX('Reward Model'!$B$2,INDEX('Reward Model'!$C$12:$C$14,MATCH($K3025,'Reward Model'!$A$12:$A$14,0))/$J3025)),3)</f>
        <v>0.92</v>
      </c>
      <c r="AA3025" s="2" t="n">
        <f aca="false">IF($I3025="Correct",ROUND(INDEX('Reward Model'!$B$12:$B$14,MATCH($K3025,'Reward Model'!$A$12:$A$14,0))*Z3025,2),0)</f>
        <v>0.92</v>
      </c>
      <c r="AB3025" s="2" t="n">
        <f aca="false">IF($I3025="Correct",ROUND(INDEX('Reward Model'!$B$12:$B$14,MATCH($Y3025,'Reward Model'!$A$12:$A$14,0))*Z3025,2),0)</f>
        <v>0.92</v>
      </c>
    </row>
    <row r="3026" customFormat="false" ht="15" hidden="false" customHeight="false" outlineLevel="0" collapsed="false">
      <c r="A3026" s="0" t="s">
        <v>434</v>
      </c>
      <c r="B3026" s="0" t="s">
        <v>435</v>
      </c>
      <c r="C3026" s="0" t="s">
        <v>322</v>
      </c>
      <c r="D3026" s="0" t="s">
        <v>189</v>
      </c>
      <c r="E3026" s="0" t="n">
        <v>5</v>
      </c>
      <c r="F3026" s="0" t="s">
        <v>46</v>
      </c>
      <c r="G3026" s="0" t="s">
        <v>164</v>
      </c>
      <c r="H3026" s="0" t="s">
        <v>47</v>
      </c>
      <c r="I3026" s="0" t="s">
        <v>39</v>
      </c>
      <c r="J3026" s="0" t="n">
        <v>1.89</v>
      </c>
      <c r="K3026" s="0" t="s">
        <v>35</v>
      </c>
      <c r="L3026" s="0" t="n">
        <f aca="false">INDEX(Summary!$F$2:$F$201,MATCH($B3026,Summary!$A$2:$A$201,0))</f>
        <v>20</v>
      </c>
      <c r="M3026" s="0" t="n">
        <f aca="false">INDEX(Summary!$I$2:$I$201,MATCH($B3026,Summary!$A$2:$A$201,0))</f>
        <v>2</v>
      </c>
      <c r="N3026" s="0" t="n">
        <f aca="false">INDEX(Summary!$J$2:$J$201,MATCH($B3026,Summary!$A$2:$A$201,0))</f>
        <v>3</v>
      </c>
      <c r="O3026" s="2" t="n">
        <f aca="false">INDEX(Summary!$K$2:$K$201,MATCH($B3026,Summary!$A$2:$A$201,0))</f>
        <v>8.36</v>
      </c>
      <c r="P3026" s="3" t="n">
        <f aca="false">INDEX(Summary!$L$2:$L$201,MATCH($B3026,Summary!$A$2:$A$201,0))</f>
        <v>1</v>
      </c>
      <c r="Q3026" s="3" t="n">
        <f aca="false">INDEX(Summary!$M$2:$M$201,MATCH($B3026,Summary!$A$2:$A$201,0))</f>
        <v>5</v>
      </c>
      <c r="R3026" s="2" t="n">
        <f aca="false">INDEX(Summary!$N$2:$N$201,MATCH($B3026,Summary!$A$2:$A$201,0))</f>
        <v>8.71</v>
      </c>
      <c r="S3026" s="3" t="n">
        <f aca="false">INDEX(Summary!$O$2:$O$201,MATCH($B3026,Summary!$A$2:$A$201,0))</f>
        <v>6</v>
      </c>
      <c r="T3026" s="3" t="n">
        <f aca="false">INDEX(Summary!$P$2:$P$201,MATCH($B3026,Summary!$A$2:$A$201,0))</f>
        <v>3</v>
      </c>
      <c r="U3026" s="2" t="n">
        <f aca="false">INDEX(Summary!$Q$2:$Q$201,MATCH($B3026,Summary!$A$2:$A$201,0))</f>
        <v>13.32</v>
      </c>
      <c r="V3026" s="2" t="n">
        <f aca="false">INDEX(Summary!$R$2:$R$201,MATCH($B3026,Summary!$A$2:$A$201,0))</f>
        <v>17.18</v>
      </c>
      <c r="W3026" s="0" t="str">
        <f aca="false">INDEX(Summary!$S$2:$S$201,MATCH($B3026,Summary!$A$2:$A$201,0))</f>
        <v>Bronze</v>
      </c>
      <c r="X3026" s="2" t="n">
        <f aca="false">INDEX(Summary!$T$2:$T$201,MATCH($B3026,Summary!$A$2:$A$201,0))</f>
        <v>41.9</v>
      </c>
      <c r="Y3026" s="0" t="str">
        <f aca="false">INDEX('Reward Model'!$E$18:$E$37,MATCH($E3026,'Reward Model'!$A$18:$A$37,0))</f>
        <v>Low</v>
      </c>
      <c r="Z3026" s="4" t="n">
        <f aca="false">ROUND(MIN(1,MAX('Reward Model'!$B$2,INDEX('Reward Model'!$C$12:$C$14,MATCH($K3026,'Reward Model'!$A$12:$A$14,0))/$J3026)),3)</f>
        <v>0.794</v>
      </c>
      <c r="AA3026" s="2" t="n">
        <f aca="false">IF($I3026="Correct",ROUND(INDEX('Reward Model'!$B$12:$B$14,MATCH($K3026,'Reward Model'!$A$12:$A$14,0))*Z3026,2),0)</f>
        <v>0</v>
      </c>
      <c r="AB3026" s="2" t="n">
        <f aca="false">IF($I3026="Correct",ROUND(INDEX('Reward Model'!$B$12:$B$14,MATCH($Y3026,'Reward Model'!$A$12:$A$14,0))*Z3026,2),0)</f>
        <v>0</v>
      </c>
    </row>
    <row r="3027" customFormat="false" ht="15" hidden="false" customHeight="false" outlineLevel="0" collapsed="false">
      <c r="A3027" s="0" t="s">
        <v>434</v>
      </c>
      <c r="B3027" s="0" t="s">
        <v>435</v>
      </c>
      <c r="C3027" s="0" t="s">
        <v>322</v>
      </c>
      <c r="D3027" s="0" t="s">
        <v>189</v>
      </c>
      <c r="E3027" s="0" t="n">
        <v>6</v>
      </c>
      <c r="F3027" s="0" t="s">
        <v>48</v>
      </c>
      <c r="G3027" s="0" t="s">
        <v>49</v>
      </c>
      <c r="H3027" s="0" t="s">
        <v>49</v>
      </c>
      <c r="I3027" s="0" t="s">
        <v>34</v>
      </c>
      <c r="J3027" s="0" t="n">
        <v>1.59</v>
      </c>
      <c r="K3027" s="0" t="s">
        <v>35</v>
      </c>
      <c r="L3027" s="0" t="n">
        <f aca="false">INDEX(Summary!$F$2:$F$201,MATCH($B3027,Summary!$A$2:$A$201,0))</f>
        <v>20</v>
      </c>
      <c r="M3027" s="0" t="n">
        <f aca="false">INDEX(Summary!$I$2:$I$201,MATCH($B3027,Summary!$A$2:$A$201,0))</f>
        <v>2</v>
      </c>
      <c r="N3027" s="0" t="n">
        <f aca="false">INDEX(Summary!$J$2:$J$201,MATCH($B3027,Summary!$A$2:$A$201,0))</f>
        <v>3</v>
      </c>
      <c r="O3027" s="2" t="n">
        <f aca="false">INDEX(Summary!$K$2:$K$201,MATCH($B3027,Summary!$A$2:$A$201,0))</f>
        <v>8.36</v>
      </c>
      <c r="P3027" s="3" t="n">
        <f aca="false">INDEX(Summary!$L$2:$L$201,MATCH($B3027,Summary!$A$2:$A$201,0))</f>
        <v>1</v>
      </c>
      <c r="Q3027" s="3" t="n">
        <f aca="false">INDEX(Summary!$M$2:$M$201,MATCH($B3027,Summary!$A$2:$A$201,0))</f>
        <v>5</v>
      </c>
      <c r="R3027" s="2" t="n">
        <f aca="false">INDEX(Summary!$N$2:$N$201,MATCH($B3027,Summary!$A$2:$A$201,0))</f>
        <v>8.71</v>
      </c>
      <c r="S3027" s="3" t="n">
        <f aca="false">INDEX(Summary!$O$2:$O$201,MATCH($B3027,Summary!$A$2:$A$201,0))</f>
        <v>6</v>
      </c>
      <c r="T3027" s="3" t="n">
        <f aca="false">INDEX(Summary!$P$2:$P$201,MATCH($B3027,Summary!$A$2:$A$201,0))</f>
        <v>3</v>
      </c>
      <c r="U3027" s="2" t="n">
        <f aca="false">INDEX(Summary!$Q$2:$Q$201,MATCH($B3027,Summary!$A$2:$A$201,0))</f>
        <v>13.32</v>
      </c>
      <c r="V3027" s="2" t="n">
        <f aca="false">INDEX(Summary!$R$2:$R$201,MATCH($B3027,Summary!$A$2:$A$201,0))</f>
        <v>17.18</v>
      </c>
      <c r="W3027" s="0" t="str">
        <f aca="false">INDEX(Summary!$S$2:$S$201,MATCH($B3027,Summary!$A$2:$A$201,0))</f>
        <v>Bronze</v>
      </c>
      <c r="X3027" s="2" t="n">
        <f aca="false">INDEX(Summary!$T$2:$T$201,MATCH($B3027,Summary!$A$2:$A$201,0))</f>
        <v>41.9</v>
      </c>
      <c r="Y3027" s="0" t="str">
        <f aca="false">INDEX('Reward Model'!$E$18:$E$37,MATCH($E3027,'Reward Model'!$A$18:$A$37,0))</f>
        <v>Medium</v>
      </c>
      <c r="Z3027" s="4" t="n">
        <f aca="false">ROUND(MIN(1,MAX('Reward Model'!$B$2,INDEX('Reward Model'!$C$12:$C$14,MATCH($K3027,'Reward Model'!$A$12:$A$14,0))/$J3027)),3)</f>
        <v>0.943</v>
      </c>
      <c r="AA3027" s="2" t="n">
        <f aca="false">IF($I3027="Correct",ROUND(INDEX('Reward Model'!$B$12:$B$14,MATCH($K3027,'Reward Model'!$A$12:$A$14,0))*Z3027,2),0)</f>
        <v>0.94</v>
      </c>
      <c r="AB3027" s="2" t="n">
        <f aca="false">IF($I3027="Correct",ROUND(INDEX('Reward Model'!$B$12:$B$14,MATCH($Y3027,'Reward Model'!$A$12:$A$14,0))*Z3027,2),0)</f>
        <v>1.89</v>
      </c>
    </row>
    <row r="3028" customFormat="false" ht="15" hidden="false" customHeight="false" outlineLevel="0" collapsed="false">
      <c r="A3028" s="0" t="s">
        <v>434</v>
      </c>
      <c r="B3028" s="0" t="s">
        <v>435</v>
      </c>
      <c r="C3028" s="0" t="s">
        <v>322</v>
      </c>
      <c r="D3028" s="0" t="s">
        <v>189</v>
      </c>
      <c r="E3028" s="0" t="n">
        <v>7</v>
      </c>
      <c r="F3028" s="0" t="s">
        <v>50</v>
      </c>
      <c r="G3028" s="0" t="s">
        <v>51</v>
      </c>
      <c r="H3028" s="0" t="s">
        <v>51</v>
      </c>
      <c r="I3028" s="0" t="s">
        <v>34</v>
      </c>
      <c r="J3028" s="0" t="n">
        <v>1.9</v>
      </c>
      <c r="K3028" s="0" t="s">
        <v>35</v>
      </c>
      <c r="L3028" s="0" t="n">
        <f aca="false">INDEX(Summary!$F$2:$F$201,MATCH($B3028,Summary!$A$2:$A$201,0))</f>
        <v>20</v>
      </c>
      <c r="M3028" s="0" t="n">
        <f aca="false">INDEX(Summary!$I$2:$I$201,MATCH($B3028,Summary!$A$2:$A$201,0))</f>
        <v>2</v>
      </c>
      <c r="N3028" s="0" t="n">
        <f aca="false">INDEX(Summary!$J$2:$J$201,MATCH($B3028,Summary!$A$2:$A$201,0))</f>
        <v>3</v>
      </c>
      <c r="O3028" s="2" t="n">
        <f aca="false">INDEX(Summary!$K$2:$K$201,MATCH($B3028,Summary!$A$2:$A$201,0))</f>
        <v>8.36</v>
      </c>
      <c r="P3028" s="3" t="n">
        <f aca="false">INDEX(Summary!$L$2:$L$201,MATCH($B3028,Summary!$A$2:$A$201,0))</f>
        <v>1</v>
      </c>
      <c r="Q3028" s="3" t="n">
        <f aca="false">INDEX(Summary!$M$2:$M$201,MATCH($B3028,Summary!$A$2:$A$201,0))</f>
        <v>5</v>
      </c>
      <c r="R3028" s="2" t="n">
        <f aca="false">INDEX(Summary!$N$2:$N$201,MATCH($B3028,Summary!$A$2:$A$201,0))</f>
        <v>8.71</v>
      </c>
      <c r="S3028" s="3" t="n">
        <f aca="false">INDEX(Summary!$O$2:$O$201,MATCH($B3028,Summary!$A$2:$A$201,0))</f>
        <v>6</v>
      </c>
      <c r="T3028" s="3" t="n">
        <f aca="false">INDEX(Summary!$P$2:$P$201,MATCH($B3028,Summary!$A$2:$A$201,0))</f>
        <v>3</v>
      </c>
      <c r="U3028" s="2" t="n">
        <f aca="false">INDEX(Summary!$Q$2:$Q$201,MATCH($B3028,Summary!$A$2:$A$201,0))</f>
        <v>13.32</v>
      </c>
      <c r="V3028" s="2" t="n">
        <f aca="false">INDEX(Summary!$R$2:$R$201,MATCH($B3028,Summary!$A$2:$A$201,0))</f>
        <v>17.18</v>
      </c>
      <c r="W3028" s="0" t="str">
        <f aca="false">INDEX(Summary!$S$2:$S$201,MATCH($B3028,Summary!$A$2:$A$201,0))</f>
        <v>Bronze</v>
      </c>
      <c r="X3028" s="2" t="n">
        <f aca="false">INDEX(Summary!$T$2:$T$201,MATCH($B3028,Summary!$A$2:$A$201,0))</f>
        <v>41.9</v>
      </c>
      <c r="Y3028" s="0" t="str">
        <f aca="false">INDEX('Reward Model'!$E$18:$E$37,MATCH($E3028,'Reward Model'!$A$18:$A$37,0))</f>
        <v>Low</v>
      </c>
      <c r="Z3028" s="4" t="n">
        <f aca="false">ROUND(MIN(1,MAX('Reward Model'!$B$2,INDEX('Reward Model'!$C$12:$C$14,MATCH($K3028,'Reward Model'!$A$12:$A$14,0))/$J3028)),3)</f>
        <v>0.789</v>
      </c>
      <c r="AA3028" s="2" t="n">
        <f aca="false">IF($I3028="Correct",ROUND(INDEX('Reward Model'!$B$12:$B$14,MATCH($K3028,'Reward Model'!$A$12:$A$14,0))*Z3028,2),0)</f>
        <v>0.79</v>
      </c>
      <c r="AB3028" s="2" t="n">
        <f aca="false">IF($I3028="Correct",ROUND(INDEX('Reward Model'!$B$12:$B$14,MATCH($Y3028,'Reward Model'!$A$12:$A$14,0))*Z3028,2),0)</f>
        <v>0.79</v>
      </c>
    </row>
    <row r="3029" customFormat="false" ht="15" hidden="false" customHeight="false" outlineLevel="0" collapsed="false">
      <c r="A3029" s="0" t="s">
        <v>434</v>
      </c>
      <c r="B3029" s="0" t="s">
        <v>435</v>
      </c>
      <c r="C3029" s="0" t="s">
        <v>322</v>
      </c>
      <c r="D3029" s="0" t="s">
        <v>189</v>
      </c>
      <c r="E3029" s="0" t="n">
        <v>8</v>
      </c>
      <c r="F3029" s="0" t="s">
        <v>52</v>
      </c>
      <c r="G3029" s="0" t="s">
        <v>54</v>
      </c>
      <c r="H3029" s="0" t="s">
        <v>54</v>
      </c>
      <c r="I3029" s="0" t="s">
        <v>34</v>
      </c>
      <c r="J3029" s="0" t="n">
        <v>1.16</v>
      </c>
      <c r="K3029" s="0" t="s">
        <v>35</v>
      </c>
      <c r="L3029" s="0" t="n">
        <f aca="false">INDEX(Summary!$F$2:$F$201,MATCH($B3029,Summary!$A$2:$A$201,0))</f>
        <v>20</v>
      </c>
      <c r="M3029" s="0" t="n">
        <f aca="false">INDEX(Summary!$I$2:$I$201,MATCH($B3029,Summary!$A$2:$A$201,0))</f>
        <v>2</v>
      </c>
      <c r="N3029" s="0" t="n">
        <f aca="false">INDEX(Summary!$J$2:$J$201,MATCH($B3029,Summary!$A$2:$A$201,0))</f>
        <v>3</v>
      </c>
      <c r="O3029" s="2" t="n">
        <f aca="false">INDEX(Summary!$K$2:$K$201,MATCH($B3029,Summary!$A$2:$A$201,0))</f>
        <v>8.36</v>
      </c>
      <c r="P3029" s="3" t="n">
        <f aca="false">INDEX(Summary!$L$2:$L$201,MATCH($B3029,Summary!$A$2:$A$201,0))</f>
        <v>1</v>
      </c>
      <c r="Q3029" s="3" t="n">
        <f aca="false">INDEX(Summary!$M$2:$M$201,MATCH($B3029,Summary!$A$2:$A$201,0))</f>
        <v>5</v>
      </c>
      <c r="R3029" s="2" t="n">
        <f aca="false">INDEX(Summary!$N$2:$N$201,MATCH($B3029,Summary!$A$2:$A$201,0))</f>
        <v>8.71</v>
      </c>
      <c r="S3029" s="3" t="n">
        <f aca="false">INDEX(Summary!$O$2:$O$201,MATCH($B3029,Summary!$A$2:$A$201,0))</f>
        <v>6</v>
      </c>
      <c r="T3029" s="3" t="n">
        <f aca="false">INDEX(Summary!$P$2:$P$201,MATCH($B3029,Summary!$A$2:$A$201,0))</f>
        <v>3</v>
      </c>
      <c r="U3029" s="2" t="n">
        <f aca="false">INDEX(Summary!$Q$2:$Q$201,MATCH($B3029,Summary!$A$2:$A$201,0))</f>
        <v>13.32</v>
      </c>
      <c r="V3029" s="2" t="n">
        <f aca="false">INDEX(Summary!$R$2:$R$201,MATCH($B3029,Summary!$A$2:$A$201,0))</f>
        <v>17.18</v>
      </c>
      <c r="W3029" s="0" t="str">
        <f aca="false">INDEX(Summary!$S$2:$S$201,MATCH($B3029,Summary!$A$2:$A$201,0))</f>
        <v>Bronze</v>
      </c>
      <c r="X3029" s="2" t="n">
        <f aca="false">INDEX(Summary!$T$2:$T$201,MATCH($B3029,Summary!$A$2:$A$201,0))</f>
        <v>41.9</v>
      </c>
      <c r="Y3029" s="0" t="str">
        <f aca="false">INDEX('Reward Model'!$E$18:$E$37,MATCH($E3029,'Reward Model'!$A$18:$A$37,0))</f>
        <v>Medium</v>
      </c>
      <c r="Z3029" s="4" t="n">
        <f aca="false">ROUND(MIN(1,MAX('Reward Model'!$B$2,INDEX('Reward Model'!$C$12:$C$14,MATCH($K3029,'Reward Model'!$A$12:$A$14,0))/$J3029)),3)</f>
        <v>1</v>
      </c>
      <c r="AA3029" s="2" t="n">
        <f aca="false">IF($I3029="Correct",ROUND(INDEX('Reward Model'!$B$12:$B$14,MATCH($K3029,'Reward Model'!$A$12:$A$14,0))*Z3029,2),0)</f>
        <v>1</v>
      </c>
      <c r="AB3029" s="2" t="n">
        <f aca="false">IF($I3029="Correct",ROUND(INDEX('Reward Model'!$B$12:$B$14,MATCH($Y3029,'Reward Model'!$A$12:$A$14,0))*Z3029,2),0)</f>
        <v>2</v>
      </c>
    </row>
    <row r="3030" customFormat="false" ht="15" hidden="false" customHeight="false" outlineLevel="0" collapsed="false">
      <c r="A3030" s="0" t="s">
        <v>434</v>
      </c>
      <c r="B3030" s="0" t="s">
        <v>435</v>
      </c>
      <c r="C3030" s="0" t="s">
        <v>322</v>
      </c>
      <c r="D3030" s="0" t="s">
        <v>189</v>
      </c>
      <c r="E3030" s="0" t="n">
        <v>9</v>
      </c>
      <c r="F3030" s="0" t="s">
        <v>55</v>
      </c>
      <c r="G3030" s="0" t="s">
        <v>57</v>
      </c>
      <c r="H3030" s="0" t="s">
        <v>57</v>
      </c>
      <c r="I3030" s="0" t="s">
        <v>34</v>
      </c>
      <c r="J3030" s="0" t="n">
        <v>1.12</v>
      </c>
      <c r="K3030" s="0" t="s">
        <v>35</v>
      </c>
      <c r="L3030" s="0" t="n">
        <f aca="false">INDEX(Summary!$F$2:$F$201,MATCH($B3030,Summary!$A$2:$A$201,0))</f>
        <v>20</v>
      </c>
      <c r="M3030" s="0" t="n">
        <f aca="false">INDEX(Summary!$I$2:$I$201,MATCH($B3030,Summary!$A$2:$A$201,0))</f>
        <v>2</v>
      </c>
      <c r="N3030" s="0" t="n">
        <f aca="false">INDEX(Summary!$J$2:$J$201,MATCH($B3030,Summary!$A$2:$A$201,0))</f>
        <v>3</v>
      </c>
      <c r="O3030" s="2" t="n">
        <f aca="false">INDEX(Summary!$K$2:$K$201,MATCH($B3030,Summary!$A$2:$A$201,0))</f>
        <v>8.36</v>
      </c>
      <c r="P3030" s="3" t="n">
        <f aca="false">INDEX(Summary!$L$2:$L$201,MATCH($B3030,Summary!$A$2:$A$201,0))</f>
        <v>1</v>
      </c>
      <c r="Q3030" s="3" t="n">
        <f aca="false">INDEX(Summary!$M$2:$M$201,MATCH($B3030,Summary!$A$2:$A$201,0))</f>
        <v>5</v>
      </c>
      <c r="R3030" s="2" t="n">
        <f aca="false">INDEX(Summary!$N$2:$N$201,MATCH($B3030,Summary!$A$2:$A$201,0))</f>
        <v>8.71</v>
      </c>
      <c r="S3030" s="3" t="n">
        <f aca="false">INDEX(Summary!$O$2:$O$201,MATCH($B3030,Summary!$A$2:$A$201,0))</f>
        <v>6</v>
      </c>
      <c r="T3030" s="3" t="n">
        <f aca="false">INDEX(Summary!$P$2:$P$201,MATCH($B3030,Summary!$A$2:$A$201,0))</f>
        <v>3</v>
      </c>
      <c r="U3030" s="2" t="n">
        <f aca="false">INDEX(Summary!$Q$2:$Q$201,MATCH($B3030,Summary!$A$2:$A$201,0))</f>
        <v>13.32</v>
      </c>
      <c r="V3030" s="2" t="n">
        <f aca="false">INDEX(Summary!$R$2:$R$201,MATCH($B3030,Summary!$A$2:$A$201,0))</f>
        <v>17.18</v>
      </c>
      <c r="W3030" s="0" t="str">
        <f aca="false">INDEX(Summary!$S$2:$S$201,MATCH($B3030,Summary!$A$2:$A$201,0))</f>
        <v>Bronze</v>
      </c>
      <c r="X3030" s="2" t="n">
        <f aca="false">INDEX(Summary!$T$2:$T$201,MATCH($B3030,Summary!$A$2:$A$201,0))</f>
        <v>41.9</v>
      </c>
      <c r="Y3030" s="0" t="str">
        <f aca="false">INDEX('Reward Model'!$E$18:$E$37,MATCH($E3030,'Reward Model'!$A$18:$A$37,0))</f>
        <v>Medium</v>
      </c>
      <c r="Z3030" s="4" t="n">
        <f aca="false">ROUND(MIN(1,MAX('Reward Model'!$B$2,INDEX('Reward Model'!$C$12:$C$14,MATCH($K3030,'Reward Model'!$A$12:$A$14,0))/$J3030)),3)</f>
        <v>1</v>
      </c>
      <c r="AA3030" s="2" t="n">
        <f aca="false">IF($I3030="Correct",ROUND(INDEX('Reward Model'!$B$12:$B$14,MATCH($K3030,'Reward Model'!$A$12:$A$14,0))*Z3030,2),0)</f>
        <v>1</v>
      </c>
      <c r="AB3030" s="2" t="n">
        <f aca="false">IF($I3030="Correct",ROUND(INDEX('Reward Model'!$B$12:$B$14,MATCH($Y3030,'Reward Model'!$A$12:$A$14,0))*Z3030,2),0)</f>
        <v>2</v>
      </c>
    </row>
    <row r="3031" customFormat="false" ht="15" hidden="false" customHeight="false" outlineLevel="0" collapsed="false">
      <c r="A3031" s="0" t="s">
        <v>434</v>
      </c>
      <c r="B3031" s="0" t="s">
        <v>435</v>
      </c>
      <c r="C3031" s="0" t="s">
        <v>322</v>
      </c>
      <c r="D3031" s="0" t="s">
        <v>189</v>
      </c>
      <c r="E3031" s="0" t="n">
        <v>10</v>
      </c>
      <c r="F3031" s="0" t="s">
        <v>58</v>
      </c>
      <c r="G3031" s="0" t="s">
        <v>99</v>
      </c>
      <c r="H3031" s="0" t="s">
        <v>59</v>
      </c>
      <c r="I3031" s="0" t="s">
        <v>39</v>
      </c>
      <c r="J3031" s="0" t="n">
        <v>1.12</v>
      </c>
      <c r="K3031" s="0" t="s">
        <v>60</v>
      </c>
      <c r="L3031" s="0" t="n">
        <f aca="false">INDEX(Summary!$F$2:$F$201,MATCH($B3031,Summary!$A$2:$A$201,0))</f>
        <v>20</v>
      </c>
      <c r="M3031" s="0" t="n">
        <f aca="false">INDEX(Summary!$I$2:$I$201,MATCH($B3031,Summary!$A$2:$A$201,0))</f>
        <v>2</v>
      </c>
      <c r="N3031" s="0" t="n">
        <f aca="false">INDEX(Summary!$J$2:$J$201,MATCH($B3031,Summary!$A$2:$A$201,0))</f>
        <v>3</v>
      </c>
      <c r="O3031" s="2" t="n">
        <f aca="false">INDEX(Summary!$K$2:$K$201,MATCH($B3031,Summary!$A$2:$A$201,0))</f>
        <v>8.36</v>
      </c>
      <c r="P3031" s="3" t="n">
        <f aca="false">INDEX(Summary!$L$2:$L$201,MATCH($B3031,Summary!$A$2:$A$201,0))</f>
        <v>1</v>
      </c>
      <c r="Q3031" s="3" t="n">
        <f aca="false">INDEX(Summary!$M$2:$M$201,MATCH($B3031,Summary!$A$2:$A$201,0))</f>
        <v>5</v>
      </c>
      <c r="R3031" s="2" t="n">
        <f aca="false">INDEX(Summary!$N$2:$N$201,MATCH($B3031,Summary!$A$2:$A$201,0))</f>
        <v>8.71</v>
      </c>
      <c r="S3031" s="3" t="n">
        <f aca="false">INDEX(Summary!$O$2:$O$201,MATCH($B3031,Summary!$A$2:$A$201,0))</f>
        <v>6</v>
      </c>
      <c r="T3031" s="3" t="n">
        <f aca="false">INDEX(Summary!$P$2:$P$201,MATCH($B3031,Summary!$A$2:$A$201,0))</f>
        <v>3</v>
      </c>
      <c r="U3031" s="2" t="n">
        <f aca="false">INDEX(Summary!$Q$2:$Q$201,MATCH($B3031,Summary!$A$2:$A$201,0))</f>
        <v>13.32</v>
      </c>
      <c r="V3031" s="2" t="n">
        <f aca="false">INDEX(Summary!$R$2:$R$201,MATCH($B3031,Summary!$A$2:$A$201,0))</f>
        <v>17.18</v>
      </c>
      <c r="W3031" s="0" t="str">
        <f aca="false">INDEX(Summary!$S$2:$S$201,MATCH($B3031,Summary!$A$2:$A$201,0))</f>
        <v>Bronze</v>
      </c>
      <c r="X3031" s="2" t="n">
        <f aca="false">INDEX(Summary!$T$2:$T$201,MATCH($B3031,Summary!$A$2:$A$201,0))</f>
        <v>41.9</v>
      </c>
      <c r="Y3031" s="0" t="str">
        <f aca="false">INDEX('Reward Model'!$E$18:$E$37,MATCH($E3031,'Reward Model'!$A$18:$A$37,0))</f>
        <v>Medium</v>
      </c>
      <c r="Z3031" s="4" t="n">
        <f aca="false">ROUND(MIN(1,MAX('Reward Model'!$B$2,INDEX('Reward Model'!$C$12:$C$14,MATCH($K3031,'Reward Model'!$A$12:$A$14,0))/$J3031)),3)</f>
        <v>1</v>
      </c>
      <c r="AA3031" s="2" t="n">
        <f aca="false">IF($I3031="Correct",ROUND(INDEX('Reward Model'!$B$12:$B$14,MATCH($K3031,'Reward Model'!$A$12:$A$14,0))*Z3031,2),0)</f>
        <v>0</v>
      </c>
      <c r="AB3031" s="2" t="n">
        <f aca="false">IF($I3031="Correct",ROUND(INDEX('Reward Model'!$B$12:$B$14,MATCH($Y3031,'Reward Model'!$A$12:$A$14,0))*Z3031,2),0)</f>
        <v>0</v>
      </c>
    </row>
    <row r="3032" customFormat="false" ht="15" hidden="false" customHeight="false" outlineLevel="0" collapsed="false">
      <c r="A3032" s="0" t="s">
        <v>434</v>
      </c>
      <c r="B3032" s="0" t="s">
        <v>435</v>
      </c>
      <c r="C3032" s="0" t="s">
        <v>322</v>
      </c>
      <c r="D3032" s="0" t="s">
        <v>189</v>
      </c>
      <c r="E3032" s="0" t="n">
        <v>11</v>
      </c>
      <c r="F3032" s="0" t="s">
        <v>61</v>
      </c>
      <c r="G3032" s="0" t="s">
        <v>62</v>
      </c>
      <c r="H3032" s="0" t="s">
        <v>63</v>
      </c>
      <c r="I3032" s="0" t="s">
        <v>39</v>
      </c>
      <c r="J3032" s="0" t="n">
        <v>2.03</v>
      </c>
      <c r="K3032" s="0" t="s">
        <v>60</v>
      </c>
      <c r="L3032" s="0" t="n">
        <f aca="false">INDEX(Summary!$F$2:$F$201,MATCH($B3032,Summary!$A$2:$A$201,0))</f>
        <v>20</v>
      </c>
      <c r="M3032" s="0" t="n">
        <f aca="false">INDEX(Summary!$I$2:$I$201,MATCH($B3032,Summary!$A$2:$A$201,0))</f>
        <v>2</v>
      </c>
      <c r="N3032" s="0" t="n">
        <f aca="false">INDEX(Summary!$J$2:$J$201,MATCH($B3032,Summary!$A$2:$A$201,0))</f>
        <v>3</v>
      </c>
      <c r="O3032" s="2" t="n">
        <f aca="false">INDEX(Summary!$K$2:$K$201,MATCH($B3032,Summary!$A$2:$A$201,0))</f>
        <v>8.36</v>
      </c>
      <c r="P3032" s="3" t="n">
        <f aca="false">INDEX(Summary!$L$2:$L$201,MATCH($B3032,Summary!$A$2:$A$201,0))</f>
        <v>1</v>
      </c>
      <c r="Q3032" s="3" t="n">
        <f aca="false">INDEX(Summary!$M$2:$M$201,MATCH($B3032,Summary!$A$2:$A$201,0))</f>
        <v>5</v>
      </c>
      <c r="R3032" s="2" t="n">
        <f aca="false">INDEX(Summary!$N$2:$N$201,MATCH($B3032,Summary!$A$2:$A$201,0))</f>
        <v>8.71</v>
      </c>
      <c r="S3032" s="3" t="n">
        <f aca="false">INDEX(Summary!$O$2:$O$201,MATCH($B3032,Summary!$A$2:$A$201,0))</f>
        <v>6</v>
      </c>
      <c r="T3032" s="3" t="n">
        <f aca="false">INDEX(Summary!$P$2:$P$201,MATCH($B3032,Summary!$A$2:$A$201,0))</f>
        <v>3</v>
      </c>
      <c r="U3032" s="2" t="n">
        <f aca="false">INDEX(Summary!$Q$2:$Q$201,MATCH($B3032,Summary!$A$2:$A$201,0))</f>
        <v>13.32</v>
      </c>
      <c r="V3032" s="2" t="n">
        <f aca="false">INDEX(Summary!$R$2:$R$201,MATCH($B3032,Summary!$A$2:$A$201,0))</f>
        <v>17.18</v>
      </c>
      <c r="W3032" s="0" t="str">
        <f aca="false">INDEX(Summary!$S$2:$S$201,MATCH($B3032,Summary!$A$2:$A$201,0))</f>
        <v>Bronze</v>
      </c>
      <c r="X3032" s="2" t="n">
        <f aca="false">INDEX(Summary!$T$2:$T$201,MATCH($B3032,Summary!$A$2:$A$201,0))</f>
        <v>41.9</v>
      </c>
      <c r="Y3032" s="0" t="str">
        <f aca="false">INDEX('Reward Model'!$E$18:$E$37,MATCH($E3032,'Reward Model'!$A$18:$A$37,0))</f>
        <v>Medium</v>
      </c>
      <c r="Z3032" s="4" t="n">
        <f aca="false">ROUND(MIN(1,MAX('Reward Model'!$B$2,INDEX('Reward Model'!$C$12:$C$14,MATCH($K3032,'Reward Model'!$A$12:$A$14,0))/$J3032)),3)</f>
        <v>0.887</v>
      </c>
      <c r="AA3032" s="2" t="n">
        <f aca="false">IF($I3032="Correct",ROUND(INDEX('Reward Model'!$B$12:$B$14,MATCH($K3032,'Reward Model'!$A$12:$A$14,0))*Z3032,2),0)</f>
        <v>0</v>
      </c>
      <c r="AB3032" s="2" t="n">
        <f aca="false">IF($I3032="Correct",ROUND(INDEX('Reward Model'!$B$12:$B$14,MATCH($Y3032,'Reward Model'!$A$12:$A$14,0))*Z3032,2),0)</f>
        <v>0</v>
      </c>
    </row>
    <row r="3033" customFormat="false" ht="15" hidden="false" customHeight="false" outlineLevel="0" collapsed="false">
      <c r="A3033" s="0" t="s">
        <v>434</v>
      </c>
      <c r="B3033" s="0" t="s">
        <v>435</v>
      </c>
      <c r="C3033" s="0" t="s">
        <v>322</v>
      </c>
      <c r="D3033" s="0" t="s">
        <v>189</v>
      </c>
      <c r="E3033" s="0" t="n">
        <v>12</v>
      </c>
      <c r="F3033" s="0" t="s">
        <v>64</v>
      </c>
      <c r="G3033" s="0" t="s">
        <v>127</v>
      </c>
      <c r="H3033" s="0" t="s">
        <v>65</v>
      </c>
      <c r="I3033" s="0" t="s">
        <v>39</v>
      </c>
      <c r="J3033" s="0" t="n">
        <v>1.2</v>
      </c>
      <c r="K3033" s="0" t="s">
        <v>60</v>
      </c>
      <c r="L3033" s="0" t="n">
        <f aca="false">INDEX(Summary!$F$2:$F$201,MATCH($B3033,Summary!$A$2:$A$201,0))</f>
        <v>20</v>
      </c>
      <c r="M3033" s="0" t="n">
        <f aca="false">INDEX(Summary!$I$2:$I$201,MATCH($B3033,Summary!$A$2:$A$201,0))</f>
        <v>2</v>
      </c>
      <c r="N3033" s="0" t="n">
        <f aca="false">INDEX(Summary!$J$2:$J$201,MATCH($B3033,Summary!$A$2:$A$201,0))</f>
        <v>3</v>
      </c>
      <c r="O3033" s="2" t="n">
        <f aca="false">INDEX(Summary!$K$2:$K$201,MATCH($B3033,Summary!$A$2:$A$201,0))</f>
        <v>8.36</v>
      </c>
      <c r="P3033" s="3" t="n">
        <f aca="false">INDEX(Summary!$L$2:$L$201,MATCH($B3033,Summary!$A$2:$A$201,0))</f>
        <v>1</v>
      </c>
      <c r="Q3033" s="3" t="n">
        <f aca="false">INDEX(Summary!$M$2:$M$201,MATCH($B3033,Summary!$A$2:$A$201,0))</f>
        <v>5</v>
      </c>
      <c r="R3033" s="2" t="n">
        <f aca="false">INDEX(Summary!$N$2:$N$201,MATCH($B3033,Summary!$A$2:$A$201,0))</f>
        <v>8.71</v>
      </c>
      <c r="S3033" s="3" t="n">
        <f aca="false">INDEX(Summary!$O$2:$O$201,MATCH($B3033,Summary!$A$2:$A$201,0))</f>
        <v>6</v>
      </c>
      <c r="T3033" s="3" t="n">
        <f aca="false">INDEX(Summary!$P$2:$P$201,MATCH($B3033,Summary!$A$2:$A$201,0))</f>
        <v>3</v>
      </c>
      <c r="U3033" s="2" t="n">
        <f aca="false">INDEX(Summary!$Q$2:$Q$201,MATCH($B3033,Summary!$A$2:$A$201,0))</f>
        <v>13.32</v>
      </c>
      <c r="V3033" s="2" t="n">
        <f aca="false">INDEX(Summary!$R$2:$R$201,MATCH($B3033,Summary!$A$2:$A$201,0))</f>
        <v>17.18</v>
      </c>
      <c r="W3033" s="0" t="str">
        <f aca="false">INDEX(Summary!$S$2:$S$201,MATCH($B3033,Summary!$A$2:$A$201,0))</f>
        <v>Bronze</v>
      </c>
      <c r="X3033" s="2" t="n">
        <f aca="false">INDEX(Summary!$T$2:$T$201,MATCH($B3033,Summary!$A$2:$A$201,0))</f>
        <v>41.9</v>
      </c>
      <c r="Y3033" s="0" t="str">
        <f aca="false">INDEX('Reward Model'!$E$18:$E$37,MATCH($E3033,'Reward Model'!$A$18:$A$37,0))</f>
        <v>Medium</v>
      </c>
      <c r="Z3033" s="4" t="n">
        <f aca="false">ROUND(MIN(1,MAX('Reward Model'!$B$2,INDEX('Reward Model'!$C$12:$C$14,MATCH($K3033,'Reward Model'!$A$12:$A$14,0))/$J3033)),3)</f>
        <v>1</v>
      </c>
      <c r="AA3033" s="2" t="n">
        <f aca="false">IF($I3033="Correct",ROUND(INDEX('Reward Model'!$B$12:$B$14,MATCH($K3033,'Reward Model'!$A$12:$A$14,0))*Z3033,2),0)</f>
        <v>0</v>
      </c>
      <c r="AB3033" s="2" t="n">
        <f aca="false">IF($I3033="Correct",ROUND(INDEX('Reward Model'!$B$12:$B$14,MATCH($Y3033,'Reward Model'!$A$12:$A$14,0))*Z3033,2),0)</f>
        <v>0</v>
      </c>
    </row>
    <row r="3034" customFormat="false" ht="15" hidden="false" customHeight="false" outlineLevel="0" collapsed="false">
      <c r="A3034" s="0" t="s">
        <v>434</v>
      </c>
      <c r="B3034" s="0" t="s">
        <v>435</v>
      </c>
      <c r="C3034" s="0" t="s">
        <v>322</v>
      </c>
      <c r="D3034" s="0" t="s">
        <v>189</v>
      </c>
      <c r="E3034" s="0" t="n">
        <v>13</v>
      </c>
      <c r="F3034" s="0" t="s">
        <v>66</v>
      </c>
      <c r="G3034" s="0" t="s">
        <v>165</v>
      </c>
      <c r="H3034" s="0" t="s">
        <v>67</v>
      </c>
      <c r="I3034" s="0" t="s">
        <v>39</v>
      </c>
      <c r="J3034" s="0" t="n">
        <v>1.24</v>
      </c>
      <c r="K3034" s="0" t="s">
        <v>60</v>
      </c>
      <c r="L3034" s="0" t="n">
        <f aca="false">INDEX(Summary!$F$2:$F$201,MATCH($B3034,Summary!$A$2:$A$201,0))</f>
        <v>20</v>
      </c>
      <c r="M3034" s="0" t="n">
        <f aca="false">INDEX(Summary!$I$2:$I$201,MATCH($B3034,Summary!$A$2:$A$201,0))</f>
        <v>2</v>
      </c>
      <c r="N3034" s="0" t="n">
        <f aca="false">INDEX(Summary!$J$2:$J$201,MATCH($B3034,Summary!$A$2:$A$201,0))</f>
        <v>3</v>
      </c>
      <c r="O3034" s="2" t="n">
        <f aca="false">INDEX(Summary!$K$2:$K$201,MATCH($B3034,Summary!$A$2:$A$201,0))</f>
        <v>8.36</v>
      </c>
      <c r="P3034" s="3" t="n">
        <f aca="false">INDEX(Summary!$L$2:$L$201,MATCH($B3034,Summary!$A$2:$A$201,0))</f>
        <v>1</v>
      </c>
      <c r="Q3034" s="3" t="n">
        <f aca="false">INDEX(Summary!$M$2:$M$201,MATCH($B3034,Summary!$A$2:$A$201,0))</f>
        <v>5</v>
      </c>
      <c r="R3034" s="2" t="n">
        <f aca="false">INDEX(Summary!$N$2:$N$201,MATCH($B3034,Summary!$A$2:$A$201,0))</f>
        <v>8.71</v>
      </c>
      <c r="S3034" s="3" t="n">
        <f aca="false">INDEX(Summary!$O$2:$O$201,MATCH($B3034,Summary!$A$2:$A$201,0))</f>
        <v>6</v>
      </c>
      <c r="T3034" s="3" t="n">
        <f aca="false">INDEX(Summary!$P$2:$P$201,MATCH($B3034,Summary!$A$2:$A$201,0))</f>
        <v>3</v>
      </c>
      <c r="U3034" s="2" t="n">
        <f aca="false">INDEX(Summary!$Q$2:$Q$201,MATCH($B3034,Summary!$A$2:$A$201,0))</f>
        <v>13.32</v>
      </c>
      <c r="V3034" s="2" t="n">
        <f aca="false">INDEX(Summary!$R$2:$R$201,MATCH($B3034,Summary!$A$2:$A$201,0))</f>
        <v>17.18</v>
      </c>
      <c r="W3034" s="0" t="str">
        <f aca="false">INDEX(Summary!$S$2:$S$201,MATCH($B3034,Summary!$A$2:$A$201,0))</f>
        <v>Bronze</v>
      </c>
      <c r="X3034" s="2" t="n">
        <f aca="false">INDEX(Summary!$T$2:$T$201,MATCH($B3034,Summary!$A$2:$A$201,0))</f>
        <v>41.9</v>
      </c>
      <c r="Y3034" s="0" t="str">
        <f aca="false">INDEX('Reward Model'!$E$18:$E$37,MATCH($E3034,'Reward Model'!$A$18:$A$37,0))</f>
        <v>Medium</v>
      </c>
      <c r="Z3034" s="4" t="n">
        <f aca="false">ROUND(MIN(1,MAX('Reward Model'!$B$2,INDEX('Reward Model'!$C$12:$C$14,MATCH($K3034,'Reward Model'!$A$12:$A$14,0))/$J3034)),3)</f>
        <v>1</v>
      </c>
      <c r="AA3034" s="2" t="n">
        <f aca="false">IF($I3034="Correct",ROUND(INDEX('Reward Model'!$B$12:$B$14,MATCH($K3034,'Reward Model'!$A$12:$A$14,0))*Z3034,2),0)</f>
        <v>0</v>
      </c>
      <c r="AB3034" s="2" t="n">
        <f aca="false">IF($I3034="Correct",ROUND(INDEX('Reward Model'!$B$12:$B$14,MATCH($Y3034,'Reward Model'!$A$12:$A$14,0))*Z3034,2),0)</f>
        <v>0</v>
      </c>
    </row>
    <row r="3035" customFormat="false" ht="15" hidden="false" customHeight="false" outlineLevel="0" collapsed="false">
      <c r="A3035" s="0" t="s">
        <v>434</v>
      </c>
      <c r="B3035" s="0" t="s">
        <v>435</v>
      </c>
      <c r="C3035" s="0" t="s">
        <v>322</v>
      </c>
      <c r="D3035" s="0" t="s">
        <v>189</v>
      </c>
      <c r="E3035" s="0" t="n">
        <v>14</v>
      </c>
      <c r="F3035" s="0" t="s">
        <v>68</v>
      </c>
      <c r="G3035" s="0" t="s">
        <v>51</v>
      </c>
      <c r="H3035" s="0" t="s">
        <v>51</v>
      </c>
      <c r="I3035" s="0" t="s">
        <v>34</v>
      </c>
      <c r="J3035" s="0" t="n">
        <v>1.81</v>
      </c>
      <c r="K3035" s="0" t="s">
        <v>60</v>
      </c>
      <c r="L3035" s="0" t="n">
        <f aca="false">INDEX(Summary!$F$2:$F$201,MATCH($B3035,Summary!$A$2:$A$201,0))</f>
        <v>20</v>
      </c>
      <c r="M3035" s="0" t="n">
        <f aca="false">INDEX(Summary!$I$2:$I$201,MATCH($B3035,Summary!$A$2:$A$201,0))</f>
        <v>2</v>
      </c>
      <c r="N3035" s="0" t="n">
        <f aca="false">INDEX(Summary!$J$2:$J$201,MATCH($B3035,Summary!$A$2:$A$201,0))</f>
        <v>3</v>
      </c>
      <c r="O3035" s="2" t="n">
        <f aca="false">INDEX(Summary!$K$2:$K$201,MATCH($B3035,Summary!$A$2:$A$201,0))</f>
        <v>8.36</v>
      </c>
      <c r="P3035" s="3" t="n">
        <f aca="false">INDEX(Summary!$L$2:$L$201,MATCH($B3035,Summary!$A$2:$A$201,0))</f>
        <v>1</v>
      </c>
      <c r="Q3035" s="3" t="n">
        <f aca="false">INDEX(Summary!$M$2:$M$201,MATCH($B3035,Summary!$A$2:$A$201,0))</f>
        <v>5</v>
      </c>
      <c r="R3035" s="2" t="n">
        <f aca="false">INDEX(Summary!$N$2:$N$201,MATCH($B3035,Summary!$A$2:$A$201,0))</f>
        <v>8.71</v>
      </c>
      <c r="S3035" s="3" t="n">
        <f aca="false">INDEX(Summary!$O$2:$O$201,MATCH($B3035,Summary!$A$2:$A$201,0))</f>
        <v>6</v>
      </c>
      <c r="T3035" s="3" t="n">
        <f aca="false">INDEX(Summary!$P$2:$P$201,MATCH($B3035,Summary!$A$2:$A$201,0))</f>
        <v>3</v>
      </c>
      <c r="U3035" s="2" t="n">
        <f aca="false">INDEX(Summary!$Q$2:$Q$201,MATCH($B3035,Summary!$A$2:$A$201,0))</f>
        <v>13.32</v>
      </c>
      <c r="V3035" s="2" t="n">
        <f aca="false">INDEX(Summary!$R$2:$R$201,MATCH($B3035,Summary!$A$2:$A$201,0))</f>
        <v>17.18</v>
      </c>
      <c r="W3035" s="0" t="str">
        <f aca="false">INDEX(Summary!$S$2:$S$201,MATCH($B3035,Summary!$A$2:$A$201,0))</f>
        <v>Bronze</v>
      </c>
      <c r="X3035" s="2" t="n">
        <f aca="false">INDEX(Summary!$T$2:$T$201,MATCH($B3035,Summary!$A$2:$A$201,0))</f>
        <v>41.9</v>
      </c>
      <c r="Y3035" s="0" t="str">
        <f aca="false">INDEX('Reward Model'!$E$18:$E$37,MATCH($E3035,'Reward Model'!$A$18:$A$37,0))</f>
        <v>Medium</v>
      </c>
      <c r="Z3035" s="4" t="n">
        <f aca="false">ROUND(MIN(1,MAX('Reward Model'!$B$2,INDEX('Reward Model'!$C$12:$C$14,MATCH($K3035,'Reward Model'!$A$12:$A$14,0))/$J3035)),3)</f>
        <v>0.994</v>
      </c>
      <c r="AA3035" s="2" t="n">
        <f aca="false">IF($I3035="Correct",ROUND(INDEX('Reward Model'!$B$12:$B$14,MATCH($K3035,'Reward Model'!$A$12:$A$14,0))*Z3035,2),0)</f>
        <v>1.99</v>
      </c>
      <c r="AB3035" s="2" t="n">
        <f aca="false">IF($I3035="Correct",ROUND(INDEX('Reward Model'!$B$12:$B$14,MATCH($Y3035,'Reward Model'!$A$12:$A$14,0))*Z3035,2),0)</f>
        <v>1.99</v>
      </c>
    </row>
    <row r="3036" customFormat="false" ht="15" hidden="false" customHeight="false" outlineLevel="0" collapsed="false">
      <c r="A3036" s="0" t="s">
        <v>434</v>
      </c>
      <c r="B3036" s="0" t="s">
        <v>435</v>
      </c>
      <c r="C3036" s="0" t="s">
        <v>322</v>
      </c>
      <c r="D3036" s="0" t="s">
        <v>189</v>
      </c>
      <c r="E3036" s="0" t="n">
        <v>15</v>
      </c>
      <c r="F3036" s="0" t="s">
        <v>69</v>
      </c>
      <c r="G3036" s="0" t="s">
        <v>94</v>
      </c>
      <c r="H3036" s="0" t="s">
        <v>70</v>
      </c>
      <c r="I3036" s="0" t="s">
        <v>39</v>
      </c>
      <c r="J3036" s="0" t="n">
        <v>1.31</v>
      </c>
      <c r="K3036" s="0" t="s">
        <v>60</v>
      </c>
      <c r="L3036" s="0" t="n">
        <f aca="false">INDEX(Summary!$F$2:$F$201,MATCH($B3036,Summary!$A$2:$A$201,0))</f>
        <v>20</v>
      </c>
      <c r="M3036" s="0" t="n">
        <f aca="false">INDEX(Summary!$I$2:$I$201,MATCH($B3036,Summary!$A$2:$A$201,0))</f>
        <v>2</v>
      </c>
      <c r="N3036" s="0" t="n">
        <f aca="false">INDEX(Summary!$J$2:$J$201,MATCH($B3036,Summary!$A$2:$A$201,0))</f>
        <v>3</v>
      </c>
      <c r="O3036" s="2" t="n">
        <f aca="false">INDEX(Summary!$K$2:$K$201,MATCH($B3036,Summary!$A$2:$A$201,0))</f>
        <v>8.36</v>
      </c>
      <c r="P3036" s="3" t="n">
        <f aca="false">INDEX(Summary!$L$2:$L$201,MATCH($B3036,Summary!$A$2:$A$201,0))</f>
        <v>1</v>
      </c>
      <c r="Q3036" s="3" t="n">
        <f aca="false">INDEX(Summary!$M$2:$M$201,MATCH($B3036,Summary!$A$2:$A$201,0))</f>
        <v>5</v>
      </c>
      <c r="R3036" s="2" t="n">
        <f aca="false">INDEX(Summary!$N$2:$N$201,MATCH($B3036,Summary!$A$2:$A$201,0))</f>
        <v>8.71</v>
      </c>
      <c r="S3036" s="3" t="n">
        <f aca="false">INDEX(Summary!$O$2:$O$201,MATCH($B3036,Summary!$A$2:$A$201,0))</f>
        <v>6</v>
      </c>
      <c r="T3036" s="3" t="n">
        <f aca="false">INDEX(Summary!$P$2:$P$201,MATCH($B3036,Summary!$A$2:$A$201,0))</f>
        <v>3</v>
      </c>
      <c r="U3036" s="2" t="n">
        <f aca="false">INDEX(Summary!$Q$2:$Q$201,MATCH($B3036,Summary!$A$2:$A$201,0))</f>
        <v>13.32</v>
      </c>
      <c r="V3036" s="2" t="n">
        <f aca="false">INDEX(Summary!$R$2:$R$201,MATCH($B3036,Summary!$A$2:$A$201,0))</f>
        <v>17.18</v>
      </c>
      <c r="W3036" s="0" t="str">
        <f aca="false">INDEX(Summary!$S$2:$S$201,MATCH($B3036,Summary!$A$2:$A$201,0))</f>
        <v>Bronze</v>
      </c>
      <c r="X3036" s="2" t="n">
        <f aca="false">INDEX(Summary!$T$2:$T$201,MATCH($B3036,Summary!$A$2:$A$201,0))</f>
        <v>41.9</v>
      </c>
      <c r="Y3036" s="0" t="str">
        <f aca="false">INDEX('Reward Model'!$E$18:$E$37,MATCH($E3036,'Reward Model'!$A$18:$A$37,0))</f>
        <v>Medium</v>
      </c>
      <c r="Z3036" s="4" t="n">
        <f aca="false">ROUND(MIN(1,MAX('Reward Model'!$B$2,INDEX('Reward Model'!$C$12:$C$14,MATCH($K3036,'Reward Model'!$A$12:$A$14,0))/$J3036)),3)</f>
        <v>1</v>
      </c>
      <c r="AA3036" s="2" t="n">
        <f aca="false">IF($I3036="Correct",ROUND(INDEX('Reward Model'!$B$12:$B$14,MATCH($K3036,'Reward Model'!$A$12:$A$14,0))*Z3036,2),0)</f>
        <v>0</v>
      </c>
      <c r="AB3036" s="2" t="n">
        <f aca="false">IF($I3036="Correct",ROUND(INDEX('Reward Model'!$B$12:$B$14,MATCH($Y3036,'Reward Model'!$A$12:$A$14,0))*Z3036,2),0)</f>
        <v>0</v>
      </c>
    </row>
    <row r="3037" customFormat="false" ht="15" hidden="false" customHeight="false" outlineLevel="0" collapsed="false">
      <c r="A3037" s="0" t="s">
        <v>434</v>
      </c>
      <c r="B3037" s="0" t="s">
        <v>435</v>
      </c>
      <c r="C3037" s="0" t="s">
        <v>322</v>
      </c>
      <c r="D3037" s="0" t="s">
        <v>189</v>
      </c>
      <c r="E3037" s="0" t="n">
        <v>16</v>
      </c>
      <c r="F3037" s="0" t="s">
        <v>71</v>
      </c>
      <c r="G3037" s="0" t="s">
        <v>72</v>
      </c>
      <c r="H3037" s="0" t="s">
        <v>72</v>
      </c>
      <c r="I3037" s="0" t="s">
        <v>34</v>
      </c>
      <c r="J3037" s="0" t="n">
        <v>1.81</v>
      </c>
      <c r="K3037" s="0" t="s">
        <v>73</v>
      </c>
      <c r="L3037" s="0" t="n">
        <f aca="false">INDEX(Summary!$F$2:$F$201,MATCH($B3037,Summary!$A$2:$A$201,0))</f>
        <v>20</v>
      </c>
      <c r="M3037" s="0" t="n">
        <f aca="false">INDEX(Summary!$I$2:$I$201,MATCH($B3037,Summary!$A$2:$A$201,0))</f>
        <v>2</v>
      </c>
      <c r="N3037" s="0" t="n">
        <f aca="false">INDEX(Summary!$J$2:$J$201,MATCH($B3037,Summary!$A$2:$A$201,0))</f>
        <v>3</v>
      </c>
      <c r="O3037" s="2" t="n">
        <f aca="false">INDEX(Summary!$K$2:$K$201,MATCH($B3037,Summary!$A$2:$A$201,0))</f>
        <v>8.36</v>
      </c>
      <c r="P3037" s="3" t="n">
        <f aca="false">INDEX(Summary!$L$2:$L$201,MATCH($B3037,Summary!$A$2:$A$201,0))</f>
        <v>1</v>
      </c>
      <c r="Q3037" s="3" t="n">
        <f aca="false">INDEX(Summary!$M$2:$M$201,MATCH($B3037,Summary!$A$2:$A$201,0))</f>
        <v>5</v>
      </c>
      <c r="R3037" s="2" t="n">
        <f aca="false">INDEX(Summary!$N$2:$N$201,MATCH($B3037,Summary!$A$2:$A$201,0))</f>
        <v>8.71</v>
      </c>
      <c r="S3037" s="3" t="n">
        <f aca="false">INDEX(Summary!$O$2:$O$201,MATCH($B3037,Summary!$A$2:$A$201,0))</f>
        <v>6</v>
      </c>
      <c r="T3037" s="3" t="n">
        <f aca="false">INDEX(Summary!$P$2:$P$201,MATCH($B3037,Summary!$A$2:$A$201,0))</f>
        <v>3</v>
      </c>
      <c r="U3037" s="2" t="n">
        <f aca="false">INDEX(Summary!$Q$2:$Q$201,MATCH($B3037,Summary!$A$2:$A$201,0))</f>
        <v>13.32</v>
      </c>
      <c r="V3037" s="2" t="n">
        <f aca="false">INDEX(Summary!$R$2:$R$201,MATCH($B3037,Summary!$A$2:$A$201,0))</f>
        <v>17.18</v>
      </c>
      <c r="W3037" s="0" t="str">
        <f aca="false">INDEX(Summary!$S$2:$S$201,MATCH($B3037,Summary!$A$2:$A$201,0))</f>
        <v>Bronze</v>
      </c>
      <c r="X3037" s="2" t="n">
        <f aca="false">INDEX(Summary!$T$2:$T$201,MATCH($B3037,Summary!$A$2:$A$201,0))</f>
        <v>41.9</v>
      </c>
      <c r="Y3037" s="0" t="str">
        <f aca="false">INDEX('Reward Model'!$E$18:$E$37,MATCH($E3037,'Reward Model'!$A$18:$A$37,0))</f>
        <v>High</v>
      </c>
      <c r="Z3037" s="4" t="n">
        <f aca="false">ROUND(MIN(1,MAX('Reward Model'!$B$2,INDEX('Reward Model'!$C$12:$C$14,MATCH($K3037,'Reward Model'!$A$12:$A$14,0))/$J3037)),3)</f>
        <v>1</v>
      </c>
      <c r="AA3037" s="2" t="n">
        <f aca="false">IF($I3037="Correct",ROUND(INDEX('Reward Model'!$B$12:$B$14,MATCH($K3037,'Reward Model'!$A$12:$A$14,0))*Z3037,2),0)</f>
        <v>3</v>
      </c>
      <c r="AB3037" s="2" t="n">
        <f aca="false">IF($I3037="Correct",ROUND(INDEX('Reward Model'!$B$12:$B$14,MATCH($Y3037,'Reward Model'!$A$12:$A$14,0))*Z3037,2),0)</f>
        <v>3</v>
      </c>
    </row>
    <row r="3038" customFormat="false" ht="15" hidden="false" customHeight="false" outlineLevel="0" collapsed="false">
      <c r="A3038" s="0" t="s">
        <v>434</v>
      </c>
      <c r="B3038" s="0" t="s">
        <v>435</v>
      </c>
      <c r="C3038" s="0" t="s">
        <v>322</v>
      </c>
      <c r="D3038" s="0" t="s">
        <v>189</v>
      </c>
      <c r="E3038" s="0" t="n">
        <v>17</v>
      </c>
      <c r="F3038" s="0" t="s">
        <v>74</v>
      </c>
      <c r="G3038" s="0" t="s">
        <v>105</v>
      </c>
      <c r="H3038" s="0" t="s">
        <v>75</v>
      </c>
      <c r="I3038" s="0" t="s">
        <v>39</v>
      </c>
      <c r="J3038" s="0" t="n">
        <v>1.59</v>
      </c>
      <c r="K3038" s="0" t="s">
        <v>73</v>
      </c>
      <c r="L3038" s="0" t="n">
        <f aca="false">INDEX(Summary!$F$2:$F$201,MATCH($B3038,Summary!$A$2:$A$201,0))</f>
        <v>20</v>
      </c>
      <c r="M3038" s="0" t="n">
        <f aca="false">INDEX(Summary!$I$2:$I$201,MATCH($B3038,Summary!$A$2:$A$201,0))</f>
        <v>2</v>
      </c>
      <c r="N3038" s="0" t="n">
        <f aca="false">INDEX(Summary!$J$2:$J$201,MATCH($B3038,Summary!$A$2:$A$201,0))</f>
        <v>3</v>
      </c>
      <c r="O3038" s="2" t="n">
        <f aca="false">INDEX(Summary!$K$2:$K$201,MATCH($B3038,Summary!$A$2:$A$201,0))</f>
        <v>8.36</v>
      </c>
      <c r="P3038" s="3" t="n">
        <f aca="false">INDEX(Summary!$L$2:$L$201,MATCH($B3038,Summary!$A$2:$A$201,0))</f>
        <v>1</v>
      </c>
      <c r="Q3038" s="3" t="n">
        <f aca="false">INDEX(Summary!$M$2:$M$201,MATCH($B3038,Summary!$A$2:$A$201,0))</f>
        <v>5</v>
      </c>
      <c r="R3038" s="2" t="n">
        <f aca="false">INDEX(Summary!$N$2:$N$201,MATCH($B3038,Summary!$A$2:$A$201,0))</f>
        <v>8.71</v>
      </c>
      <c r="S3038" s="3" t="n">
        <f aca="false">INDEX(Summary!$O$2:$O$201,MATCH($B3038,Summary!$A$2:$A$201,0))</f>
        <v>6</v>
      </c>
      <c r="T3038" s="3" t="n">
        <f aca="false">INDEX(Summary!$P$2:$P$201,MATCH($B3038,Summary!$A$2:$A$201,0))</f>
        <v>3</v>
      </c>
      <c r="U3038" s="2" t="n">
        <f aca="false">INDEX(Summary!$Q$2:$Q$201,MATCH($B3038,Summary!$A$2:$A$201,0))</f>
        <v>13.32</v>
      </c>
      <c r="V3038" s="2" t="n">
        <f aca="false">INDEX(Summary!$R$2:$R$201,MATCH($B3038,Summary!$A$2:$A$201,0))</f>
        <v>17.18</v>
      </c>
      <c r="W3038" s="0" t="str">
        <f aca="false">INDEX(Summary!$S$2:$S$201,MATCH($B3038,Summary!$A$2:$A$201,0))</f>
        <v>Bronze</v>
      </c>
      <c r="X3038" s="2" t="n">
        <f aca="false">INDEX(Summary!$T$2:$T$201,MATCH($B3038,Summary!$A$2:$A$201,0))</f>
        <v>41.9</v>
      </c>
      <c r="Y3038" s="0" t="str">
        <f aca="false">INDEX('Reward Model'!$E$18:$E$37,MATCH($E3038,'Reward Model'!$A$18:$A$37,0))</f>
        <v>High</v>
      </c>
      <c r="Z3038" s="4" t="n">
        <f aca="false">ROUND(MIN(1,MAX('Reward Model'!$B$2,INDEX('Reward Model'!$C$12:$C$14,MATCH($K3038,'Reward Model'!$A$12:$A$14,0))/$J3038)),3)</f>
        <v>1</v>
      </c>
      <c r="AA3038" s="2" t="n">
        <f aca="false">IF($I3038="Correct",ROUND(INDEX('Reward Model'!$B$12:$B$14,MATCH($K3038,'Reward Model'!$A$12:$A$14,0))*Z3038,2),0)</f>
        <v>0</v>
      </c>
      <c r="AB3038" s="2" t="n">
        <f aca="false">IF($I3038="Correct",ROUND(INDEX('Reward Model'!$B$12:$B$14,MATCH($Y3038,'Reward Model'!$A$12:$A$14,0))*Z3038,2),0)</f>
        <v>0</v>
      </c>
    </row>
    <row r="3039" customFormat="false" ht="15" hidden="false" customHeight="false" outlineLevel="0" collapsed="false">
      <c r="A3039" s="0" t="s">
        <v>434</v>
      </c>
      <c r="B3039" s="0" t="s">
        <v>435</v>
      </c>
      <c r="C3039" s="0" t="s">
        <v>322</v>
      </c>
      <c r="D3039" s="0" t="s">
        <v>189</v>
      </c>
      <c r="E3039" s="0" t="n">
        <v>18</v>
      </c>
      <c r="F3039" s="0" t="s">
        <v>76</v>
      </c>
      <c r="G3039" s="0" t="s">
        <v>128</v>
      </c>
      <c r="H3039" s="0" t="s">
        <v>77</v>
      </c>
      <c r="I3039" s="0" t="s">
        <v>39</v>
      </c>
      <c r="J3039" s="0" t="n">
        <v>1.76</v>
      </c>
      <c r="K3039" s="0" t="s">
        <v>73</v>
      </c>
      <c r="L3039" s="0" t="n">
        <f aca="false">INDEX(Summary!$F$2:$F$201,MATCH($B3039,Summary!$A$2:$A$201,0))</f>
        <v>20</v>
      </c>
      <c r="M3039" s="0" t="n">
        <f aca="false">INDEX(Summary!$I$2:$I$201,MATCH($B3039,Summary!$A$2:$A$201,0))</f>
        <v>2</v>
      </c>
      <c r="N3039" s="0" t="n">
        <f aca="false">INDEX(Summary!$J$2:$J$201,MATCH($B3039,Summary!$A$2:$A$201,0))</f>
        <v>3</v>
      </c>
      <c r="O3039" s="2" t="n">
        <f aca="false">INDEX(Summary!$K$2:$K$201,MATCH($B3039,Summary!$A$2:$A$201,0))</f>
        <v>8.36</v>
      </c>
      <c r="P3039" s="3" t="n">
        <f aca="false">INDEX(Summary!$L$2:$L$201,MATCH($B3039,Summary!$A$2:$A$201,0))</f>
        <v>1</v>
      </c>
      <c r="Q3039" s="3" t="n">
        <f aca="false">INDEX(Summary!$M$2:$M$201,MATCH($B3039,Summary!$A$2:$A$201,0))</f>
        <v>5</v>
      </c>
      <c r="R3039" s="2" t="n">
        <f aca="false">INDEX(Summary!$N$2:$N$201,MATCH($B3039,Summary!$A$2:$A$201,0))</f>
        <v>8.71</v>
      </c>
      <c r="S3039" s="3" t="n">
        <f aca="false">INDEX(Summary!$O$2:$O$201,MATCH($B3039,Summary!$A$2:$A$201,0))</f>
        <v>6</v>
      </c>
      <c r="T3039" s="3" t="n">
        <f aca="false">INDEX(Summary!$P$2:$P$201,MATCH($B3039,Summary!$A$2:$A$201,0))</f>
        <v>3</v>
      </c>
      <c r="U3039" s="2" t="n">
        <f aca="false">INDEX(Summary!$Q$2:$Q$201,MATCH($B3039,Summary!$A$2:$A$201,0))</f>
        <v>13.32</v>
      </c>
      <c r="V3039" s="2" t="n">
        <f aca="false">INDEX(Summary!$R$2:$R$201,MATCH($B3039,Summary!$A$2:$A$201,0))</f>
        <v>17.18</v>
      </c>
      <c r="W3039" s="0" t="str">
        <f aca="false">INDEX(Summary!$S$2:$S$201,MATCH($B3039,Summary!$A$2:$A$201,0))</f>
        <v>Bronze</v>
      </c>
      <c r="X3039" s="2" t="n">
        <f aca="false">INDEX(Summary!$T$2:$T$201,MATCH($B3039,Summary!$A$2:$A$201,0))</f>
        <v>41.9</v>
      </c>
      <c r="Y3039" s="0" t="str">
        <f aca="false">INDEX('Reward Model'!$E$18:$E$37,MATCH($E3039,'Reward Model'!$A$18:$A$37,0))</f>
        <v>High</v>
      </c>
      <c r="Z3039" s="4" t="n">
        <f aca="false">ROUND(MIN(1,MAX('Reward Model'!$B$2,INDEX('Reward Model'!$C$12:$C$14,MATCH($K3039,'Reward Model'!$A$12:$A$14,0))/$J3039)),3)</f>
        <v>1</v>
      </c>
      <c r="AA3039" s="2" t="n">
        <f aca="false">IF($I3039="Correct",ROUND(INDEX('Reward Model'!$B$12:$B$14,MATCH($K3039,'Reward Model'!$A$12:$A$14,0))*Z3039,2),0)</f>
        <v>0</v>
      </c>
      <c r="AB3039" s="2" t="n">
        <f aca="false">IF($I3039="Correct",ROUND(INDEX('Reward Model'!$B$12:$B$14,MATCH($Y3039,'Reward Model'!$A$12:$A$14,0))*Z3039,2),0)</f>
        <v>0</v>
      </c>
    </row>
    <row r="3040" customFormat="false" ht="15" hidden="false" customHeight="false" outlineLevel="0" collapsed="false">
      <c r="A3040" s="0" t="s">
        <v>434</v>
      </c>
      <c r="B3040" s="0" t="s">
        <v>435</v>
      </c>
      <c r="C3040" s="0" t="s">
        <v>322</v>
      </c>
      <c r="D3040" s="0" t="s">
        <v>189</v>
      </c>
      <c r="E3040" s="0" t="n">
        <v>19</v>
      </c>
      <c r="F3040" s="0" t="s">
        <v>78</v>
      </c>
      <c r="G3040" s="0" t="s">
        <v>132</v>
      </c>
      <c r="H3040" s="0" t="s">
        <v>80</v>
      </c>
      <c r="I3040" s="0" t="s">
        <v>39</v>
      </c>
      <c r="J3040" s="0" t="n">
        <v>1.7</v>
      </c>
      <c r="K3040" s="0" t="s">
        <v>73</v>
      </c>
      <c r="L3040" s="0" t="n">
        <f aca="false">INDEX(Summary!$F$2:$F$201,MATCH($B3040,Summary!$A$2:$A$201,0))</f>
        <v>20</v>
      </c>
      <c r="M3040" s="0" t="n">
        <f aca="false">INDEX(Summary!$I$2:$I$201,MATCH($B3040,Summary!$A$2:$A$201,0))</f>
        <v>2</v>
      </c>
      <c r="N3040" s="0" t="n">
        <f aca="false">INDEX(Summary!$J$2:$J$201,MATCH($B3040,Summary!$A$2:$A$201,0))</f>
        <v>3</v>
      </c>
      <c r="O3040" s="2" t="n">
        <f aca="false">INDEX(Summary!$K$2:$K$201,MATCH($B3040,Summary!$A$2:$A$201,0))</f>
        <v>8.36</v>
      </c>
      <c r="P3040" s="3" t="n">
        <f aca="false">INDEX(Summary!$L$2:$L$201,MATCH($B3040,Summary!$A$2:$A$201,0))</f>
        <v>1</v>
      </c>
      <c r="Q3040" s="3" t="n">
        <f aca="false">INDEX(Summary!$M$2:$M$201,MATCH($B3040,Summary!$A$2:$A$201,0))</f>
        <v>5</v>
      </c>
      <c r="R3040" s="2" t="n">
        <f aca="false">INDEX(Summary!$N$2:$N$201,MATCH($B3040,Summary!$A$2:$A$201,0))</f>
        <v>8.71</v>
      </c>
      <c r="S3040" s="3" t="n">
        <f aca="false">INDEX(Summary!$O$2:$O$201,MATCH($B3040,Summary!$A$2:$A$201,0))</f>
        <v>6</v>
      </c>
      <c r="T3040" s="3" t="n">
        <f aca="false">INDEX(Summary!$P$2:$P$201,MATCH($B3040,Summary!$A$2:$A$201,0))</f>
        <v>3</v>
      </c>
      <c r="U3040" s="2" t="n">
        <f aca="false">INDEX(Summary!$Q$2:$Q$201,MATCH($B3040,Summary!$A$2:$A$201,0))</f>
        <v>13.32</v>
      </c>
      <c r="V3040" s="2" t="n">
        <f aca="false">INDEX(Summary!$R$2:$R$201,MATCH($B3040,Summary!$A$2:$A$201,0))</f>
        <v>17.18</v>
      </c>
      <c r="W3040" s="0" t="str">
        <f aca="false">INDEX(Summary!$S$2:$S$201,MATCH($B3040,Summary!$A$2:$A$201,0))</f>
        <v>Bronze</v>
      </c>
      <c r="X3040" s="2" t="n">
        <f aca="false">INDEX(Summary!$T$2:$T$201,MATCH($B3040,Summary!$A$2:$A$201,0))</f>
        <v>41.9</v>
      </c>
      <c r="Y3040" s="0" t="str">
        <f aca="false">INDEX('Reward Model'!$E$18:$E$37,MATCH($E3040,'Reward Model'!$A$18:$A$37,0))</f>
        <v>High</v>
      </c>
      <c r="Z3040" s="4" t="n">
        <f aca="false">ROUND(MIN(1,MAX('Reward Model'!$B$2,INDEX('Reward Model'!$C$12:$C$14,MATCH($K3040,'Reward Model'!$A$12:$A$14,0))/$J3040)),3)</f>
        <v>1</v>
      </c>
      <c r="AA3040" s="2" t="n">
        <f aca="false">IF($I3040="Correct",ROUND(INDEX('Reward Model'!$B$12:$B$14,MATCH($K3040,'Reward Model'!$A$12:$A$14,0))*Z3040,2),0)</f>
        <v>0</v>
      </c>
      <c r="AB3040" s="2" t="n">
        <f aca="false">IF($I3040="Correct",ROUND(INDEX('Reward Model'!$B$12:$B$14,MATCH($Y3040,'Reward Model'!$A$12:$A$14,0))*Z3040,2),0)</f>
        <v>0</v>
      </c>
    </row>
    <row r="3041" customFormat="false" ht="15" hidden="false" customHeight="false" outlineLevel="0" collapsed="false">
      <c r="A3041" s="0" t="s">
        <v>434</v>
      </c>
      <c r="B3041" s="0" t="s">
        <v>435</v>
      </c>
      <c r="C3041" s="0" t="s">
        <v>322</v>
      </c>
      <c r="D3041" s="0" t="s">
        <v>189</v>
      </c>
      <c r="E3041" s="0" t="n">
        <v>20</v>
      </c>
      <c r="F3041" s="0" t="s">
        <v>81</v>
      </c>
      <c r="G3041" s="0" t="s">
        <v>83</v>
      </c>
      <c r="H3041" s="0" t="s">
        <v>83</v>
      </c>
      <c r="I3041" s="0" t="s">
        <v>34</v>
      </c>
      <c r="J3041" s="0" t="n">
        <v>1.5</v>
      </c>
      <c r="K3041" s="0" t="s">
        <v>73</v>
      </c>
      <c r="L3041" s="0" t="n">
        <f aca="false">INDEX(Summary!$F$2:$F$201,MATCH($B3041,Summary!$A$2:$A$201,0))</f>
        <v>20</v>
      </c>
      <c r="M3041" s="0" t="n">
        <f aca="false">INDEX(Summary!$I$2:$I$201,MATCH($B3041,Summary!$A$2:$A$201,0))</f>
        <v>2</v>
      </c>
      <c r="N3041" s="0" t="n">
        <f aca="false">INDEX(Summary!$J$2:$J$201,MATCH($B3041,Summary!$A$2:$A$201,0))</f>
        <v>3</v>
      </c>
      <c r="O3041" s="2" t="n">
        <f aca="false">INDEX(Summary!$K$2:$K$201,MATCH($B3041,Summary!$A$2:$A$201,0))</f>
        <v>8.36</v>
      </c>
      <c r="P3041" s="3" t="n">
        <f aca="false">INDEX(Summary!$L$2:$L$201,MATCH($B3041,Summary!$A$2:$A$201,0))</f>
        <v>1</v>
      </c>
      <c r="Q3041" s="3" t="n">
        <f aca="false">INDEX(Summary!$M$2:$M$201,MATCH($B3041,Summary!$A$2:$A$201,0))</f>
        <v>5</v>
      </c>
      <c r="R3041" s="2" t="n">
        <f aca="false">INDEX(Summary!$N$2:$N$201,MATCH($B3041,Summary!$A$2:$A$201,0))</f>
        <v>8.71</v>
      </c>
      <c r="S3041" s="3" t="n">
        <f aca="false">INDEX(Summary!$O$2:$O$201,MATCH($B3041,Summary!$A$2:$A$201,0))</f>
        <v>6</v>
      </c>
      <c r="T3041" s="3" t="n">
        <f aca="false">INDEX(Summary!$P$2:$P$201,MATCH($B3041,Summary!$A$2:$A$201,0))</f>
        <v>3</v>
      </c>
      <c r="U3041" s="2" t="n">
        <f aca="false">INDEX(Summary!$Q$2:$Q$201,MATCH($B3041,Summary!$A$2:$A$201,0))</f>
        <v>13.32</v>
      </c>
      <c r="V3041" s="2" t="n">
        <f aca="false">INDEX(Summary!$R$2:$R$201,MATCH($B3041,Summary!$A$2:$A$201,0))</f>
        <v>17.18</v>
      </c>
      <c r="W3041" s="0" t="str">
        <f aca="false">INDEX(Summary!$S$2:$S$201,MATCH($B3041,Summary!$A$2:$A$201,0))</f>
        <v>Bronze</v>
      </c>
      <c r="X3041" s="2" t="n">
        <f aca="false">INDEX(Summary!$T$2:$T$201,MATCH($B3041,Summary!$A$2:$A$201,0))</f>
        <v>41.9</v>
      </c>
      <c r="Y3041" s="0" t="str">
        <f aca="false">INDEX('Reward Model'!$E$18:$E$37,MATCH($E3041,'Reward Model'!$A$18:$A$37,0))</f>
        <v>High</v>
      </c>
      <c r="Z3041" s="4" t="n">
        <f aca="false">ROUND(MIN(1,MAX('Reward Model'!$B$2,INDEX('Reward Model'!$C$12:$C$14,MATCH($K3041,'Reward Model'!$A$12:$A$14,0))/$J3041)),3)</f>
        <v>1</v>
      </c>
      <c r="AA3041" s="2" t="n">
        <f aca="false">IF($I3041="Correct",ROUND(INDEX('Reward Model'!$B$12:$B$14,MATCH($K3041,'Reward Model'!$A$12:$A$14,0))*Z3041,2),0)</f>
        <v>3</v>
      </c>
      <c r="AB3041" s="2" t="n">
        <f aca="false">IF($I3041="Correct",ROUND(INDEX('Reward Model'!$B$12:$B$14,MATCH($Y3041,'Reward Model'!$A$12:$A$14,0))*Z3041,2),0)</f>
        <v>3</v>
      </c>
    </row>
    <row r="3042" customFormat="false" ht="15" hidden="false" customHeight="false" outlineLevel="0" collapsed="false">
      <c r="A3042" s="0" t="s">
        <v>436</v>
      </c>
      <c r="B3042" s="0" t="s">
        <v>437</v>
      </c>
      <c r="C3042" s="0" t="s">
        <v>322</v>
      </c>
      <c r="D3042" s="0" t="s">
        <v>189</v>
      </c>
      <c r="E3042" s="0" t="n">
        <v>1</v>
      </c>
      <c r="F3042" s="0" t="s">
        <v>32</v>
      </c>
      <c r="G3042" s="0" t="s">
        <v>33</v>
      </c>
      <c r="H3042" s="0" t="s">
        <v>33</v>
      </c>
      <c r="I3042" s="0" t="s">
        <v>34</v>
      </c>
      <c r="J3042" s="0" t="n">
        <v>1.18</v>
      </c>
      <c r="K3042" s="0" t="s">
        <v>35</v>
      </c>
      <c r="L3042" s="0" t="n">
        <f aca="false">INDEX(Summary!$F$2:$F$201,MATCH($B3042,Summary!$A$2:$A$201,0))</f>
        <v>20</v>
      </c>
      <c r="M3042" s="0" t="n">
        <f aca="false">INDEX(Summary!$I$2:$I$201,MATCH($B3042,Summary!$A$2:$A$201,0))</f>
        <v>1</v>
      </c>
      <c r="N3042" s="0" t="n">
        <f aca="false">INDEX(Summary!$J$2:$J$201,MATCH($B3042,Summary!$A$2:$A$201,0))</f>
        <v>4</v>
      </c>
      <c r="O3042" s="2" t="n">
        <f aca="false">INDEX(Summary!$K$2:$K$201,MATCH($B3042,Summary!$A$2:$A$201,0))</f>
        <v>10.03</v>
      </c>
      <c r="P3042" s="3" t="n">
        <f aca="false">INDEX(Summary!$L$2:$L$201,MATCH($B3042,Summary!$A$2:$A$201,0))</f>
        <v>5</v>
      </c>
      <c r="Q3042" s="3" t="n">
        <f aca="false">INDEX(Summary!$M$2:$M$201,MATCH($B3042,Summary!$A$2:$A$201,0))</f>
        <v>1</v>
      </c>
      <c r="R3042" s="2" t="n">
        <f aca="false">INDEX(Summary!$N$2:$N$201,MATCH($B3042,Summary!$A$2:$A$201,0))</f>
        <v>10.43</v>
      </c>
      <c r="S3042" s="3" t="n">
        <f aca="false">INDEX(Summary!$O$2:$O$201,MATCH($B3042,Summary!$A$2:$A$201,0))</f>
        <v>8</v>
      </c>
      <c r="T3042" s="3" t="n">
        <f aca="false">INDEX(Summary!$P$2:$P$201,MATCH($B3042,Summary!$A$2:$A$201,0))</f>
        <v>1</v>
      </c>
      <c r="U3042" s="2" t="n">
        <f aca="false">INDEX(Summary!$Q$2:$Q$201,MATCH($B3042,Summary!$A$2:$A$201,0))</f>
        <v>12.48</v>
      </c>
      <c r="V3042" s="2" t="n">
        <f aca="false">INDEX(Summary!$R$2:$R$201,MATCH($B3042,Summary!$A$2:$A$201,0))</f>
        <v>23.82</v>
      </c>
      <c r="W3042" s="0" t="str">
        <f aca="false">INDEX(Summary!$S$2:$S$201,MATCH($B3042,Summary!$A$2:$A$201,0))</f>
        <v>Silver</v>
      </c>
      <c r="X3042" s="2" t="n">
        <f aca="false">INDEX(Summary!$T$2:$T$201,MATCH($B3042,Summary!$A$2:$A$201,0))</f>
        <v>58.1</v>
      </c>
      <c r="Y3042" s="0" t="str">
        <f aca="false">INDEX('Reward Model'!$E$18:$E$37,MATCH($E3042,'Reward Model'!$A$18:$A$37,0))</f>
        <v>Medium</v>
      </c>
      <c r="Z3042" s="4" t="n">
        <f aca="false">ROUND(MIN(1,MAX('Reward Model'!$B$2,INDEX('Reward Model'!$C$12:$C$14,MATCH($K3042,'Reward Model'!$A$12:$A$14,0))/$J3042)),3)</f>
        <v>1</v>
      </c>
      <c r="AA3042" s="2" t="n">
        <f aca="false">IF($I3042="Correct",ROUND(INDEX('Reward Model'!$B$12:$B$14,MATCH($K3042,'Reward Model'!$A$12:$A$14,0))*Z3042,2),0)</f>
        <v>1</v>
      </c>
      <c r="AB3042" s="2" t="n">
        <f aca="false">IF($I3042="Correct",ROUND(INDEX('Reward Model'!$B$12:$B$14,MATCH($Y3042,'Reward Model'!$A$12:$A$14,0))*Z3042,2),0)</f>
        <v>2</v>
      </c>
    </row>
    <row r="3043" customFormat="false" ht="15" hidden="false" customHeight="false" outlineLevel="0" collapsed="false">
      <c r="A3043" s="0" t="s">
        <v>436</v>
      </c>
      <c r="B3043" s="0" t="s">
        <v>437</v>
      </c>
      <c r="C3043" s="0" t="s">
        <v>322</v>
      </c>
      <c r="D3043" s="0" t="s">
        <v>189</v>
      </c>
      <c r="E3043" s="0" t="n">
        <v>2</v>
      </c>
      <c r="F3043" s="0" t="s">
        <v>36</v>
      </c>
      <c r="G3043" s="0" t="s">
        <v>38</v>
      </c>
      <c r="H3043" s="0" t="s">
        <v>38</v>
      </c>
      <c r="I3043" s="0" t="s">
        <v>34</v>
      </c>
      <c r="J3043" s="0" t="n">
        <v>1.8</v>
      </c>
      <c r="K3043" s="0" t="s">
        <v>35</v>
      </c>
      <c r="L3043" s="0" t="n">
        <f aca="false">INDEX(Summary!$F$2:$F$201,MATCH($B3043,Summary!$A$2:$A$201,0))</f>
        <v>20</v>
      </c>
      <c r="M3043" s="0" t="n">
        <f aca="false">INDEX(Summary!$I$2:$I$201,MATCH($B3043,Summary!$A$2:$A$201,0))</f>
        <v>1</v>
      </c>
      <c r="N3043" s="0" t="n">
        <f aca="false">INDEX(Summary!$J$2:$J$201,MATCH($B3043,Summary!$A$2:$A$201,0))</f>
        <v>4</v>
      </c>
      <c r="O3043" s="2" t="n">
        <f aca="false">INDEX(Summary!$K$2:$K$201,MATCH($B3043,Summary!$A$2:$A$201,0))</f>
        <v>10.03</v>
      </c>
      <c r="P3043" s="3" t="n">
        <f aca="false">INDEX(Summary!$L$2:$L$201,MATCH($B3043,Summary!$A$2:$A$201,0))</f>
        <v>5</v>
      </c>
      <c r="Q3043" s="3" t="n">
        <f aca="false">INDEX(Summary!$M$2:$M$201,MATCH($B3043,Summary!$A$2:$A$201,0))</f>
        <v>1</v>
      </c>
      <c r="R3043" s="2" t="n">
        <f aca="false">INDEX(Summary!$N$2:$N$201,MATCH($B3043,Summary!$A$2:$A$201,0))</f>
        <v>10.43</v>
      </c>
      <c r="S3043" s="3" t="n">
        <f aca="false">INDEX(Summary!$O$2:$O$201,MATCH($B3043,Summary!$A$2:$A$201,0))</f>
        <v>8</v>
      </c>
      <c r="T3043" s="3" t="n">
        <f aca="false">INDEX(Summary!$P$2:$P$201,MATCH($B3043,Summary!$A$2:$A$201,0))</f>
        <v>1</v>
      </c>
      <c r="U3043" s="2" t="n">
        <f aca="false">INDEX(Summary!$Q$2:$Q$201,MATCH($B3043,Summary!$A$2:$A$201,0))</f>
        <v>12.48</v>
      </c>
      <c r="V3043" s="2" t="n">
        <f aca="false">INDEX(Summary!$R$2:$R$201,MATCH($B3043,Summary!$A$2:$A$201,0))</f>
        <v>23.82</v>
      </c>
      <c r="W3043" s="0" t="str">
        <f aca="false">INDEX(Summary!$S$2:$S$201,MATCH($B3043,Summary!$A$2:$A$201,0))</f>
        <v>Silver</v>
      </c>
      <c r="X3043" s="2" t="n">
        <f aca="false">INDEX(Summary!$T$2:$T$201,MATCH($B3043,Summary!$A$2:$A$201,0))</f>
        <v>58.1</v>
      </c>
      <c r="Y3043" s="0" t="str">
        <f aca="false">INDEX('Reward Model'!$E$18:$E$37,MATCH($E3043,'Reward Model'!$A$18:$A$37,0))</f>
        <v>Low</v>
      </c>
      <c r="Z3043" s="4" t="n">
        <f aca="false">ROUND(MIN(1,MAX('Reward Model'!$B$2,INDEX('Reward Model'!$C$12:$C$14,MATCH($K3043,'Reward Model'!$A$12:$A$14,0))/$J3043)),3)</f>
        <v>0.833</v>
      </c>
      <c r="AA3043" s="2" t="n">
        <f aca="false">IF($I3043="Correct",ROUND(INDEX('Reward Model'!$B$12:$B$14,MATCH($K3043,'Reward Model'!$A$12:$A$14,0))*Z3043,2),0)</f>
        <v>0.83</v>
      </c>
      <c r="AB3043" s="2" t="n">
        <f aca="false">IF($I3043="Correct",ROUND(INDEX('Reward Model'!$B$12:$B$14,MATCH($Y3043,'Reward Model'!$A$12:$A$14,0))*Z3043,2),0)</f>
        <v>0.83</v>
      </c>
    </row>
    <row r="3044" customFormat="false" ht="15" hidden="false" customHeight="false" outlineLevel="0" collapsed="false">
      <c r="A3044" s="0" t="s">
        <v>436</v>
      </c>
      <c r="B3044" s="0" t="s">
        <v>437</v>
      </c>
      <c r="C3044" s="0" t="s">
        <v>322</v>
      </c>
      <c r="D3044" s="0" t="s">
        <v>189</v>
      </c>
      <c r="E3044" s="0" t="n">
        <v>3</v>
      </c>
      <c r="F3044" s="0" t="s">
        <v>40</v>
      </c>
      <c r="G3044" s="0" t="s">
        <v>42</v>
      </c>
      <c r="H3044" s="0" t="s">
        <v>42</v>
      </c>
      <c r="I3044" s="0" t="s">
        <v>34</v>
      </c>
      <c r="J3044" s="0" t="n">
        <v>1.13</v>
      </c>
      <c r="K3044" s="0" t="s">
        <v>35</v>
      </c>
      <c r="L3044" s="0" t="n">
        <f aca="false">INDEX(Summary!$F$2:$F$201,MATCH($B3044,Summary!$A$2:$A$201,0))</f>
        <v>20</v>
      </c>
      <c r="M3044" s="0" t="n">
        <f aca="false">INDEX(Summary!$I$2:$I$201,MATCH($B3044,Summary!$A$2:$A$201,0))</f>
        <v>1</v>
      </c>
      <c r="N3044" s="0" t="n">
        <f aca="false">INDEX(Summary!$J$2:$J$201,MATCH($B3044,Summary!$A$2:$A$201,0))</f>
        <v>4</v>
      </c>
      <c r="O3044" s="2" t="n">
        <f aca="false">INDEX(Summary!$K$2:$K$201,MATCH($B3044,Summary!$A$2:$A$201,0))</f>
        <v>10.03</v>
      </c>
      <c r="P3044" s="3" t="n">
        <f aca="false">INDEX(Summary!$L$2:$L$201,MATCH($B3044,Summary!$A$2:$A$201,0))</f>
        <v>5</v>
      </c>
      <c r="Q3044" s="3" t="n">
        <f aca="false">INDEX(Summary!$M$2:$M$201,MATCH($B3044,Summary!$A$2:$A$201,0))</f>
        <v>1</v>
      </c>
      <c r="R3044" s="2" t="n">
        <f aca="false">INDEX(Summary!$N$2:$N$201,MATCH($B3044,Summary!$A$2:$A$201,0))</f>
        <v>10.43</v>
      </c>
      <c r="S3044" s="3" t="n">
        <f aca="false">INDEX(Summary!$O$2:$O$201,MATCH($B3044,Summary!$A$2:$A$201,0))</f>
        <v>8</v>
      </c>
      <c r="T3044" s="3" t="n">
        <f aca="false">INDEX(Summary!$P$2:$P$201,MATCH($B3044,Summary!$A$2:$A$201,0))</f>
        <v>1</v>
      </c>
      <c r="U3044" s="2" t="n">
        <f aca="false">INDEX(Summary!$Q$2:$Q$201,MATCH($B3044,Summary!$A$2:$A$201,0))</f>
        <v>12.48</v>
      </c>
      <c r="V3044" s="2" t="n">
        <f aca="false">INDEX(Summary!$R$2:$R$201,MATCH($B3044,Summary!$A$2:$A$201,0))</f>
        <v>23.82</v>
      </c>
      <c r="W3044" s="0" t="str">
        <f aca="false">INDEX(Summary!$S$2:$S$201,MATCH($B3044,Summary!$A$2:$A$201,0))</f>
        <v>Silver</v>
      </c>
      <c r="X3044" s="2" t="n">
        <f aca="false">INDEX(Summary!$T$2:$T$201,MATCH($B3044,Summary!$A$2:$A$201,0))</f>
        <v>58.1</v>
      </c>
      <c r="Y3044" s="0" t="str">
        <f aca="false">INDEX('Reward Model'!$E$18:$E$37,MATCH($E3044,'Reward Model'!$A$18:$A$37,0))</f>
        <v>Medium</v>
      </c>
      <c r="Z3044" s="4" t="n">
        <f aca="false">ROUND(MIN(1,MAX('Reward Model'!$B$2,INDEX('Reward Model'!$C$12:$C$14,MATCH($K3044,'Reward Model'!$A$12:$A$14,0))/$J3044)),3)</f>
        <v>1</v>
      </c>
      <c r="AA3044" s="2" t="n">
        <f aca="false">IF($I3044="Correct",ROUND(INDEX('Reward Model'!$B$12:$B$14,MATCH($K3044,'Reward Model'!$A$12:$A$14,0))*Z3044,2),0)</f>
        <v>1</v>
      </c>
      <c r="AB3044" s="2" t="n">
        <f aca="false">IF($I3044="Correct",ROUND(INDEX('Reward Model'!$B$12:$B$14,MATCH($Y3044,'Reward Model'!$A$12:$A$14,0))*Z3044,2),0)</f>
        <v>2</v>
      </c>
    </row>
    <row r="3045" customFormat="false" ht="15" hidden="false" customHeight="false" outlineLevel="0" collapsed="false">
      <c r="A3045" s="0" t="s">
        <v>436</v>
      </c>
      <c r="B3045" s="0" t="s">
        <v>437</v>
      </c>
      <c r="C3045" s="0" t="s">
        <v>322</v>
      </c>
      <c r="D3045" s="0" t="s">
        <v>189</v>
      </c>
      <c r="E3045" s="0" t="n">
        <v>4</v>
      </c>
      <c r="F3045" s="0" t="s">
        <v>43</v>
      </c>
      <c r="G3045" s="0" t="s">
        <v>45</v>
      </c>
      <c r="H3045" s="0" t="s">
        <v>45</v>
      </c>
      <c r="I3045" s="0" t="s">
        <v>34</v>
      </c>
      <c r="J3045" s="0" t="n">
        <v>1.5</v>
      </c>
      <c r="K3045" s="0" t="s">
        <v>35</v>
      </c>
      <c r="L3045" s="0" t="n">
        <f aca="false">INDEX(Summary!$F$2:$F$201,MATCH($B3045,Summary!$A$2:$A$201,0))</f>
        <v>20</v>
      </c>
      <c r="M3045" s="0" t="n">
        <f aca="false">INDEX(Summary!$I$2:$I$201,MATCH($B3045,Summary!$A$2:$A$201,0))</f>
        <v>1</v>
      </c>
      <c r="N3045" s="0" t="n">
        <f aca="false">INDEX(Summary!$J$2:$J$201,MATCH($B3045,Summary!$A$2:$A$201,0))</f>
        <v>4</v>
      </c>
      <c r="O3045" s="2" t="n">
        <f aca="false">INDEX(Summary!$K$2:$K$201,MATCH($B3045,Summary!$A$2:$A$201,0))</f>
        <v>10.03</v>
      </c>
      <c r="P3045" s="3" t="n">
        <f aca="false">INDEX(Summary!$L$2:$L$201,MATCH($B3045,Summary!$A$2:$A$201,0))</f>
        <v>5</v>
      </c>
      <c r="Q3045" s="3" t="n">
        <f aca="false">INDEX(Summary!$M$2:$M$201,MATCH($B3045,Summary!$A$2:$A$201,0))</f>
        <v>1</v>
      </c>
      <c r="R3045" s="2" t="n">
        <f aca="false">INDEX(Summary!$N$2:$N$201,MATCH($B3045,Summary!$A$2:$A$201,0))</f>
        <v>10.43</v>
      </c>
      <c r="S3045" s="3" t="n">
        <f aca="false">INDEX(Summary!$O$2:$O$201,MATCH($B3045,Summary!$A$2:$A$201,0))</f>
        <v>8</v>
      </c>
      <c r="T3045" s="3" t="n">
        <f aca="false">INDEX(Summary!$P$2:$P$201,MATCH($B3045,Summary!$A$2:$A$201,0))</f>
        <v>1</v>
      </c>
      <c r="U3045" s="2" t="n">
        <f aca="false">INDEX(Summary!$Q$2:$Q$201,MATCH($B3045,Summary!$A$2:$A$201,0))</f>
        <v>12.48</v>
      </c>
      <c r="V3045" s="2" t="n">
        <f aca="false">INDEX(Summary!$R$2:$R$201,MATCH($B3045,Summary!$A$2:$A$201,0))</f>
        <v>23.82</v>
      </c>
      <c r="W3045" s="0" t="str">
        <f aca="false">INDEX(Summary!$S$2:$S$201,MATCH($B3045,Summary!$A$2:$A$201,0))</f>
        <v>Silver</v>
      </c>
      <c r="X3045" s="2" t="n">
        <f aca="false">INDEX(Summary!$T$2:$T$201,MATCH($B3045,Summary!$A$2:$A$201,0))</f>
        <v>58.1</v>
      </c>
      <c r="Y3045" s="0" t="str">
        <f aca="false">INDEX('Reward Model'!$E$18:$E$37,MATCH($E3045,'Reward Model'!$A$18:$A$37,0))</f>
        <v>Low</v>
      </c>
      <c r="Z3045" s="4" t="n">
        <f aca="false">ROUND(MIN(1,MAX('Reward Model'!$B$2,INDEX('Reward Model'!$C$12:$C$14,MATCH($K3045,'Reward Model'!$A$12:$A$14,0))/$J3045)),3)</f>
        <v>1</v>
      </c>
      <c r="AA3045" s="2" t="n">
        <f aca="false">IF($I3045="Correct",ROUND(INDEX('Reward Model'!$B$12:$B$14,MATCH($K3045,'Reward Model'!$A$12:$A$14,0))*Z3045,2),0)</f>
        <v>1</v>
      </c>
      <c r="AB3045" s="2" t="n">
        <f aca="false">IF($I3045="Correct",ROUND(INDEX('Reward Model'!$B$12:$B$14,MATCH($Y3045,'Reward Model'!$A$12:$A$14,0))*Z3045,2),0)</f>
        <v>1</v>
      </c>
    </row>
    <row r="3046" customFormat="false" ht="15" hidden="false" customHeight="false" outlineLevel="0" collapsed="false">
      <c r="A3046" s="0" t="s">
        <v>436</v>
      </c>
      <c r="B3046" s="0" t="s">
        <v>437</v>
      </c>
      <c r="C3046" s="0" t="s">
        <v>322</v>
      </c>
      <c r="D3046" s="0" t="s">
        <v>189</v>
      </c>
      <c r="E3046" s="0" t="n">
        <v>5</v>
      </c>
      <c r="F3046" s="0" t="s">
        <v>46</v>
      </c>
      <c r="G3046" s="0" t="s">
        <v>47</v>
      </c>
      <c r="H3046" s="0" t="s">
        <v>47</v>
      </c>
      <c r="I3046" s="0" t="s">
        <v>34</v>
      </c>
      <c r="J3046" s="0" t="n">
        <v>1.68</v>
      </c>
      <c r="K3046" s="0" t="s">
        <v>35</v>
      </c>
      <c r="L3046" s="0" t="n">
        <f aca="false">INDEX(Summary!$F$2:$F$201,MATCH($B3046,Summary!$A$2:$A$201,0))</f>
        <v>20</v>
      </c>
      <c r="M3046" s="0" t="n">
        <f aca="false">INDEX(Summary!$I$2:$I$201,MATCH($B3046,Summary!$A$2:$A$201,0))</f>
        <v>1</v>
      </c>
      <c r="N3046" s="0" t="n">
        <f aca="false">INDEX(Summary!$J$2:$J$201,MATCH($B3046,Summary!$A$2:$A$201,0))</f>
        <v>4</v>
      </c>
      <c r="O3046" s="2" t="n">
        <f aca="false">INDEX(Summary!$K$2:$K$201,MATCH($B3046,Summary!$A$2:$A$201,0))</f>
        <v>10.03</v>
      </c>
      <c r="P3046" s="3" t="n">
        <f aca="false">INDEX(Summary!$L$2:$L$201,MATCH($B3046,Summary!$A$2:$A$201,0))</f>
        <v>5</v>
      </c>
      <c r="Q3046" s="3" t="n">
        <f aca="false">INDEX(Summary!$M$2:$M$201,MATCH($B3046,Summary!$A$2:$A$201,0))</f>
        <v>1</v>
      </c>
      <c r="R3046" s="2" t="n">
        <f aca="false">INDEX(Summary!$N$2:$N$201,MATCH($B3046,Summary!$A$2:$A$201,0))</f>
        <v>10.43</v>
      </c>
      <c r="S3046" s="3" t="n">
        <f aca="false">INDEX(Summary!$O$2:$O$201,MATCH($B3046,Summary!$A$2:$A$201,0))</f>
        <v>8</v>
      </c>
      <c r="T3046" s="3" t="n">
        <f aca="false">INDEX(Summary!$P$2:$P$201,MATCH($B3046,Summary!$A$2:$A$201,0))</f>
        <v>1</v>
      </c>
      <c r="U3046" s="2" t="n">
        <f aca="false">INDEX(Summary!$Q$2:$Q$201,MATCH($B3046,Summary!$A$2:$A$201,0))</f>
        <v>12.48</v>
      </c>
      <c r="V3046" s="2" t="n">
        <f aca="false">INDEX(Summary!$R$2:$R$201,MATCH($B3046,Summary!$A$2:$A$201,0))</f>
        <v>23.82</v>
      </c>
      <c r="W3046" s="0" t="str">
        <f aca="false">INDEX(Summary!$S$2:$S$201,MATCH($B3046,Summary!$A$2:$A$201,0))</f>
        <v>Silver</v>
      </c>
      <c r="X3046" s="2" t="n">
        <f aca="false">INDEX(Summary!$T$2:$T$201,MATCH($B3046,Summary!$A$2:$A$201,0))</f>
        <v>58.1</v>
      </c>
      <c r="Y3046" s="0" t="str">
        <f aca="false">INDEX('Reward Model'!$E$18:$E$37,MATCH($E3046,'Reward Model'!$A$18:$A$37,0))</f>
        <v>Low</v>
      </c>
      <c r="Z3046" s="4" t="n">
        <f aca="false">ROUND(MIN(1,MAX('Reward Model'!$B$2,INDEX('Reward Model'!$C$12:$C$14,MATCH($K3046,'Reward Model'!$A$12:$A$14,0))/$J3046)),3)</f>
        <v>0.893</v>
      </c>
      <c r="AA3046" s="2" t="n">
        <f aca="false">IF($I3046="Correct",ROUND(INDEX('Reward Model'!$B$12:$B$14,MATCH($K3046,'Reward Model'!$A$12:$A$14,0))*Z3046,2),0)</f>
        <v>0.89</v>
      </c>
      <c r="AB3046" s="2" t="n">
        <f aca="false">IF($I3046="Correct",ROUND(INDEX('Reward Model'!$B$12:$B$14,MATCH($Y3046,'Reward Model'!$A$12:$A$14,0))*Z3046,2),0)</f>
        <v>0.89</v>
      </c>
    </row>
    <row r="3047" customFormat="false" ht="15" hidden="false" customHeight="false" outlineLevel="0" collapsed="false">
      <c r="A3047" s="0" t="s">
        <v>436</v>
      </c>
      <c r="B3047" s="0" t="s">
        <v>437</v>
      </c>
      <c r="C3047" s="0" t="s">
        <v>322</v>
      </c>
      <c r="D3047" s="0" t="s">
        <v>189</v>
      </c>
      <c r="E3047" s="0" t="n">
        <v>6</v>
      </c>
      <c r="F3047" s="0" t="s">
        <v>48</v>
      </c>
      <c r="G3047" s="0" t="s">
        <v>169</v>
      </c>
      <c r="H3047" s="0" t="s">
        <v>49</v>
      </c>
      <c r="I3047" s="0" t="s">
        <v>39</v>
      </c>
      <c r="J3047" s="0" t="n">
        <v>0.94</v>
      </c>
      <c r="K3047" s="0" t="s">
        <v>35</v>
      </c>
      <c r="L3047" s="0" t="n">
        <f aca="false">INDEX(Summary!$F$2:$F$201,MATCH($B3047,Summary!$A$2:$A$201,0))</f>
        <v>20</v>
      </c>
      <c r="M3047" s="0" t="n">
        <f aca="false">INDEX(Summary!$I$2:$I$201,MATCH($B3047,Summary!$A$2:$A$201,0))</f>
        <v>1</v>
      </c>
      <c r="N3047" s="0" t="n">
        <f aca="false">INDEX(Summary!$J$2:$J$201,MATCH($B3047,Summary!$A$2:$A$201,0))</f>
        <v>4</v>
      </c>
      <c r="O3047" s="2" t="n">
        <f aca="false">INDEX(Summary!$K$2:$K$201,MATCH($B3047,Summary!$A$2:$A$201,0))</f>
        <v>10.03</v>
      </c>
      <c r="P3047" s="3" t="n">
        <f aca="false">INDEX(Summary!$L$2:$L$201,MATCH($B3047,Summary!$A$2:$A$201,0))</f>
        <v>5</v>
      </c>
      <c r="Q3047" s="3" t="n">
        <f aca="false">INDEX(Summary!$M$2:$M$201,MATCH($B3047,Summary!$A$2:$A$201,0))</f>
        <v>1</v>
      </c>
      <c r="R3047" s="2" t="n">
        <f aca="false">INDEX(Summary!$N$2:$N$201,MATCH($B3047,Summary!$A$2:$A$201,0))</f>
        <v>10.43</v>
      </c>
      <c r="S3047" s="3" t="n">
        <f aca="false">INDEX(Summary!$O$2:$O$201,MATCH($B3047,Summary!$A$2:$A$201,0))</f>
        <v>8</v>
      </c>
      <c r="T3047" s="3" t="n">
        <f aca="false">INDEX(Summary!$P$2:$P$201,MATCH($B3047,Summary!$A$2:$A$201,0))</f>
        <v>1</v>
      </c>
      <c r="U3047" s="2" t="n">
        <f aca="false">INDEX(Summary!$Q$2:$Q$201,MATCH($B3047,Summary!$A$2:$A$201,0))</f>
        <v>12.48</v>
      </c>
      <c r="V3047" s="2" t="n">
        <f aca="false">INDEX(Summary!$R$2:$R$201,MATCH($B3047,Summary!$A$2:$A$201,0))</f>
        <v>23.82</v>
      </c>
      <c r="W3047" s="0" t="str">
        <f aca="false">INDEX(Summary!$S$2:$S$201,MATCH($B3047,Summary!$A$2:$A$201,0))</f>
        <v>Silver</v>
      </c>
      <c r="X3047" s="2" t="n">
        <f aca="false">INDEX(Summary!$T$2:$T$201,MATCH($B3047,Summary!$A$2:$A$201,0))</f>
        <v>58.1</v>
      </c>
      <c r="Y3047" s="0" t="str">
        <f aca="false">INDEX('Reward Model'!$E$18:$E$37,MATCH($E3047,'Reward Model'!$A$18:$A$37,0))</f>
        <v>Medium</v>
      </c>
      <c r="Z3047" s="4" t="n">
        <f aca="false">ROUND(MIN(1,MAX('Reward Model'!$B$2,INDEX('Reward Model'!$C$12:$C$14,MATCH($K3047,'Reward Model'!$A$12:$A$14,0))/$J3047)),3)</f>
        <v>1</v>
      </c>
      <c r="AA3047" s="2" t="n">
        <f aca="false">IF($I3047="Correct",ROUND(INDEX('Reward Model'!$B$12:$B$14,MATCH($K3047,'Reward Model'!$A$12:$A$14,0))*Z3047,2),0)</f>
        <v>0</v>
      </c>
      <c r="AB3047" s="2" t="n">
        <f aca="false">IF($I3047="Correct",ROUND(INDEX('Reward Model'!$B$12:$B$14,MATCH($Y3047,'Reward Model'!$A$12:$A$14,0))*Z3047,2),0)</f>
        <v>0</v>
      </c>
    </row>
    <row r="3048" customFormat="false" ht="15" hidden="false" customHeight="false" outlineLevel="0" collapsed="false">
      <c r="A3048" s="0" t="s">
        <v>436</v>
      </c>
      <c r="B3048" s="0" t="s">
        <v>437</v>
      </c>
      <c r="C3048" s="0" t="s">
        <v>322</v>
      </c>
      <c r="D3048" s="0" t="s">
        <v>189</v>
      </c>
      <c r="E3048" s="0" t="n">
        <v>7</v>
      </c>
      <c r="F3048" s="0" t="s">
        <v>50</v>
      </c>
      <c r="G3048" s="0" t="s">
        <v>51</v>
      </c>
      <c r="H3048" s="0" t="s">
        <v>51</v>
      </c>
      <c r="I3048" s="0" t="s">
        <v>34</v>
      </c>
      <c r="J3048" s="0" t="n">
        <v>1.2</v>
      </c>
      <c r="K3048" s="0" t="s">
        <v>35</v>
      </c>
      <c r="L3048" s="0" t="n">
        <f aca="false">INDEX(Summary!$F$2:$F$201,MATCH($B3048,Summary!$A$2:$A$201,0))</f>
        <v>20</v>
      </c>
      <c r="M3048" s="0" t="n">
        <f aca="false">INDEX(Summary!$I$2:$I$201,MATCH($B3048,Summary!$A$2:$A$201,0))</f>
        <v>1</v>
      </c>
      <c r="N3048" s="0" t="n">
        <f aca="false">INDEX(Summary!$J$2:$J$201,MATCH($B3048,Summary!$A$2:$A$201,0))</f>
        <v>4</v>
      </c>
      <c r="O3048" s="2" t="n">
        <f aca="false">INDEX(Summary!$K$2:$K$201,MATCH($B3048,Summary!$A$2:$A$201,0))</f>
        <v>10.03</v>
      </c>
      <c r="P3048" s="3" t="n">
        <f aca="false">INDEX(Summary!$L$2:$L$201,MATCH($B3048,Summary!$A$2:$A$201,0))</f>
        <v>5</v>
      </c>
      <c r="Q3048" s="3" t="n">
        <f aca="false">INDEX(Summary!$M$2:$M$201,MATCH($B3048,Summary!$A$2:$A$201,0))</f>
        <v>1</v>
      </c>
      <c r="R3048" s="2" t="n">
        <f aca="false">INDEX(Summary!$N$2:$N$201,MATCH($B3048,Summary!$A$2:$A$201,0))</f>
        <v>10.43</v>
      </c>
      <c r="S3048" s="3" t="n">
        <f aca="false">INDEX(Summary!$O$2:$O$201,MATCH($B3048,Summary!$A$2:$A$201,0))</f>
        <v>8</v>
      </c>
      <c r="T3048" s="3" t="n">
        <f aca="false">INDEX(Summary!$P$2:$P$201,MATCH($B3048,Summary!$A$2:$A$201,0))</f>
        <v>1</v>
      </c>
      <c r="U3048" s="2" t="n">
        <f aca="false">INDEX(Summary!$Q$2:$Q$201,MATCH($B3048,Summary!$A$2:$A$201,0))</f>
        <v>12.48</v>
      </c>
      <c r="V3048" s="2" t="n">
        <f aca="false">INDEX(Summary!$R$2:$R$201,MATCH($B3048,Summary!$A$2:$A$201,0))</f>
        <v>23.82</v>
      </c>
      <c r="W3048" s="0" t="str">
        <f aca="false">INDEX(Summary!$S$2:$S$201,MATCH($B3048,Summary!$A$2:$A$201,0))</f>
        <v>Silver</v>
      </c>
      <c r="X3048" s="2" t="n">
        <f aca="false">INDEX(Summary!$T$2:$T$201,MATCH($B3048,Summary!$A$2:$A$201,0))</f>
        <v>58.1</v>
      </c>
      <c r="Y3048" s="0" t="str">
        <f aca="false">INDEX('Reward Model'!$E$18:$E$37,MATCH($E3048,'Reward Model'!$A$18:$A$37,0))</f>
        <v>Low</v>
      </c>
      <c r="Z3048" s="4" t="n">
        <f aca="false">ROUND(MIN(1,MAX('Reward Model'!$B$2,INDEX('Reward Model'!$C$12:$C$14,MATCH($K3048,'Reward Model'!$A$12:$A$14,0))/$J3048)),3)</f>
        <v>1</v>
      </c>
      <c r="AA3048" s="2" t="n">
        <f aca="false">IF($I3048="Correct",ROUND(INDEX('Reward Model'!$B$12:$B$14,MATCH($K3048,'Reward Model'!$A$12:$A$14,0))*Z3048,2),0)</f>
        <v>1</v>
      </c>
      <c r="AB3048" s="2" t="n">
        <f aca="false">IF($I3048="Correct",ROUND(INDEX('Reward Model'!$B$12:$B$14,MATCH($Y3048,'Reward Model'!$A$12:$A$14,0))*Z3048,2),0)</f>
        <v>1</v>
      </c>
    </row>
    <row r="3049" customFormat="false" ht="15" hidden="false" customHeight="false" outlineLevel="0" collapsed="false">
      <c r="A3049" s="0" t="s">
        <v>436</v>
      </c>
      <c r="B3049" s="0" t="s">
        <v>437</v>
      </c>
      <c r="C3049" s="0" t="s">
        <v>322</v>
      </c>
      <c r="D3049" s="0" t="s">
        <v>189</v>
      </c>
      <c r="E3049" s="0" t="n">
        <v>8</v>
      </c>
      <c r="F3049" s="0" t="s">
        <v>52</v>
      </c>
      <c r="G3049" s="0" t="s">
        <v>54</v>
      </c>
      <c r="H3049" s="0" t="s">
        <v>54</v>
      </c>
      <c r="I3049" s="0" t="s">
        <v>34</v>
      </c>
      <c r="J3049" s="0" t="n">
        <v>1.35</v>
      </c>
      <c r="K3049" s="0" t="s">
        <v>35</v>
      </c>
      <c r="L3049" s="0" t="n">
        <f aca="false">INDEX(Summary!$F$2:$F$201,MATCH($B3049,Summary!$A$2:$A$201,0))</f>
        <v>20</v>
      </c>
      <c r="M3049" s="0" t="n">
        <f aca="false">INDEX(Summary!$I$2:$I$201,MATCH($B3049,Summary!$A$2:$A$201,0))</f>
        <v>1</v>
      </c>
      <c r="N3049" s="0" t="n">
        <f aca="false">INDEX(Summary!$J$2:$J$201,MATCH($B3049,Summary!$A$2:$A$201,0))</f>
        <v>4</v>
      </c>
      <c r="O3049" s="2" t="n">
        <f aca="false">INDEX(Summary!$K$2:$K$201,MATCH($B3049,Summary!$A$2:$A$201,0))</f>
        <v>10.03</v>
      </c>
      <c r="P3049" s="3" t="n">
        <f aca="false">INDEX(Summary!$L$2:$L$201,MATCH($B3049,Summary!$A$2:$A$201,0))</f>
        <v>5</v>
      </c>
      <c r="Q3049" s="3" t="n">
        <f aca="false">INDEX(Summary!$M$2:$M$201,MATCH($B3049,Summary!$A$2:$A$201,0))</f>
        <v>1</v>
      </c>
      <c r="R3049" s="2" t="n">
        <f aca="false">INDEX(Summary!$N$2:$N$201,MATCH($B3049,Summary!$A$2:$A$201,0))</f>
        <v>10.43</v>
      </c>
      <c r="S3049" s="3" t="n">
        <f aca="false">INDEX(Summary!$O$2:$O$201,MATCH($B3049,Summary!$A$2:$A$201,0))</f>
        <v>8</v>
      </c>
      <c r="T3049" s="3" t="n">
        <f aca="false">INDEX(Summary!$P$2:$P$201,MATCH($B3049,Summary!$A$2:$A$201,0))</f>
        <v>1</v>
      </c>
      <c r="U3049" s="2" t="n">
        <f aca="false">INDEX(Summary!$Q$2:$Q$201,MATCH($B3049,Summary!$A$2:$A$201,0))</f>
        <v>12.48</v>
      </c>
      <c r="V3049" s="2" t="n">
        <f aca="false">INDEX(Summary!$R$2:$R$201,MATCH($B3049,Summary!$A$2:$A$201,0))</f>
        <v>23.82</v>
      </c>
      <c r="W3049" s="0" t="str">
        <f aca="false">INDEX(Summary!$S$2:$S$201,MATCH($B3049,Summary!$A$2:$A$201,0))</f>
        <v>Silver</v>
      </c>
      <c r="X3049" s="2" t="n">
        <f aca="false">INDEX(Summary!$T$2:$T$201,MATCH($B3049,Summary!$A$2:$A$201,0))</f>
        <v>58.1</v>
      </c>
      <c r="Y3049" s="0" t="str">
        <f aca="false">INDEX('Reward Model'!$E$18:$E$37,MATCH($E3049,'Reward Model'!$A$18:$A$37,0))</f>
        <v>Medium</v>
      </c>
      <c r="Z3049" s="4" t="n">
        <f aca="false">ROUND(MIN(1,MAX('Reward Model'!$B$2,INDEX('Reward Model'!$C$12:$C$14,MATCH($K3049,'Reward Model'!$A$12:$A$14,0))/$J3049)),3)</f>
        <v>1</v>
      </c>
      <c r="AA3049" s="2" t="n">
        <f aca="false">IF($I3049="Correct",ROUND(INDEX('Reward Model'!$B$12:$B$14,MATCH($K3049,'Reward Model'!$A$12:$A$14,0))*Z3049,2),0)</f>
        <v>1</v>
      </c>
      <c r="AB3049" s="2" t="n">
        <f aca="false">IF($I3049="Correct",ROUND(INDEX('Reward Model'!$B$12:$B$14,MATCH($Y3049,'Reward Model'!$A$12:$A$14,0))*Z3049,2),0)</f>
        <v>2</v>
      </c>
    </row>
    <row r="3050" customFormat="false" ht="15" hidden="false" customHeight="false" outlineLevel="0" collapsed="false">
      <c r="A3050" s="0" t="s">
        <v>436</v>
      </c>
      <c r="B3050" s="0" t="s">
        <v>437</v>
      </c>
      <c r="C3050" s="0" t="s">
        <v>322</v>
      </c>
      <c r="D3050" s="0" t="s">
        <v>189</v>
      </c>
      <c r="E3050" s="0" t="n">
        <v>9</v>
      </c>
      <c r="F3050" s="0" t="s">
        <v>55</v>
      </c>
      <c r="G3050" s="0" t="s">
        <v>57</v>
      </c>
      <c r="H3050" s="0" t="s">
        <v>57</v>
      </c>
      <c r="I3050" s="0" t="s">
        <v>34</v>
      </c>
      <c r="J3050" s="0" t="n">
        <v>1.7</v>
      </c>
      <c r="K3050" s="0" t="s">
        <v>35</v>
      </c>
      <c r="L3050" s="0" t="n">
        <f aca="false">INDEX(Summary!$F$2:$F$201,MATCH($B3050,Summary!$A$2:$A$201,0))</f>
        <v>20</v>
      </c>
      <c r="M3050" s="0" t="n">
        <f aca="false">INDEX(Summary!$I$2:$I$201,MATCH($B3050,Summary!$A$2:$A$201,0))</f>
        <v>1</v>
      </c>
      <c r="N3050" s="0" t="n">
        <f aca="false">INDEX(Summary!$J$2:$J$201,MATCH($B3050,Summary!$A$2:$A$201,0))</f>
        <v>4</v>
      </c>
      <c r="O3050" s="2" t="n">
        <f aca="false">INDEX(Summary!$K$2:$K$201,MATCH($B3050,Summary!$A$2:$A$201,0))</f>
        <v>10.03</v>
      </c>
      <c r="P3050" s="3" t="n">
        <f aca="false">INDEX(Summary!$L$2:$L$201,MATCH($B3050,Summary!$A$2:$A$201,0))</f>
        <v>5</v>
      </c>
      <c r="Q3050" s="3" t="n">
        <f aca="false">INDEX(Summary!$M$2:$M$201,MATCH($B3050,Summary!$A$2:$A$201,0))</f>
        <v>1</v>
      </c>
      <c r="R3050" s="2" t="n">
        <f aca="false">INDEX(Summary!$N$2:$N$201,MATCH($B3050,Summary!$A$2:$A$201,0))</f>
        <v>10.43</v>
      </c>
      <c r="S3050" s="3" t="n">
        <f aca="false">INDEX(Summary!$O$2:$O$201,MATCH($B3050,Summary!$A$2:$A$201,0))</f>
        <v>8</v>
      </c>
      <c r="T3050" s="3" t="n">
        <f aca="false">INDEX(Summary!$P$2:$P$201,MATCH($B3050,Summary!$A$2:$A$201,0))</f>
        <v>1</v>
      </c>
      <c r="U3050" s="2" t="n">
        <f aca="false">INDEX(Summary!$Q$2:$Q$201,MATCH($B3050,Summary!$A$2:$A$201,0))</f>
        <v>12.48</v>
      </c>
      <c r="V3050" s="2" t="n">
        <f aca="false">INDEX(Summary!$R$2:$R$201,MATCH($B3050,Summary!$A$2:$A$201,0))</f>
        <v>23.82</v>
      </c>
      <c r="W3050" s="0" t="str">
        <f aca="false">INDEX(Summary!$S$2:$S$201,MATCH($B3050,Summary!$A$2:$A$201,0))</f>
        <v>Silver</v>
      </c>
      <c r="X3050" s="2" t="n">
        <f aca="false">INDEX(Summary!$T$2:$T$201,MATCH($B3050,Summary!$A$2:$A$201,0))</f>
        <v>58.1</v>
      </c>
      <c r="Y3050" s="0" t="str">
        <f aca="false">INDEX('Reward Model'!$E$18:$E$37,MATCH($E3050,'Reward Model'!$A$18:$A$37,0))</f>
        <v>Medium</v>
      </c>
      <c r="Z3050" s="4" t="n">
        <f aca="false">ROUND(MIN(1,MAX('Reward Model'!$B$2,INDEX('Reward Model'!$C$12:$C$14,MATCH($K3050,'Reward Model'!$A$12:$A$14,0))/$J3050)),3)</f>
        <v>0.882</v>
      </c>
      <c r="AA3050" s="2" t="n">
        <f aca="false">IF($I3050="Correct",ROUND(INDEX('Reward Model'!$B$12:$B$14,MATCH($K3050,'Reward Model'!$A$12:$A$14,0))*Z3050,2),0)</f>
        <v>0.88</v>
      </c>
      <c r="AB3050" s="2" t="n">
        <f aca="false">IF($I3050="Correct",ROUND(INDEX('Reward Model'!$B$12:$B$14,MATCH($Y3050,'Reward Model'!$A$12:$A$14,0))*Z3050,2),0)</f>
        <v>1.76</v>
      </c>
    </row>
    <row r="3051" customFormat="false" ht="15" hidden="false" customHeight="false" outlineLevel="0" collapsed="false">
      <c r="A3051" s="0" t="s">
        <v>436</v>
      </c>
      <c r="B3051" s="0" t="s">
        <v>437</v>
      </c>
      <c r="C3051" s="0" t="s">
        <v>322</v>
      </c>
      <c r="D3051" s="0" t="s">
        <v>189</v>
      </c>
      <c r="E3051" s="0" t="n">
        <v>10</v>
      </c>
      <c r="F3051" s="0" t="s">
        <v>58</v>
      </c>
      <c r="G3051" s="0" t="s">
        <v>59</v>
      </c>
      <c r="H3051" s="0" t="s">
        <v>59</v>
      </c>
      <c r="I3051" s="0" t="s">
        <v>34</v>
      </c>
      <c r="J3051" s="0" t="n">
        <v>1.74</v>
      </c>
      <c r="K3051" s="0" t="s">
        <v>60</v>
      </c>
      <c r="L3051" s="0" t="n">
        <f aca="false">INDEX(Summary!$F$2:$F$201,MATCH($B3051,Summary!$A$2:$A$201,0))</f>
        <v>20</v>
      </c>
      <c r="M3051" s="0" t="n">
        <f aca="false">INDEX(Summary!$I$2:$I$201,MATCH($B3051,Summary!$A$2:$A$201,0))</f>
        <v>1</v>
      </c>
      <c r="N3051" s="0" t="n">
        <f aca="false">INDEX(Summary!$J$2:$J$201,MATCH($B3051,Summary!$A$2:$A$201,0))</f>
        <v>4</v>
      </c>
      <c r="O3051" s="2" t="n">
        <f aca="false">INDEX(Summary!$K$2:$K$201,MATCH($B3051,Summary!$A$2:$A$201,0))</f>
        <v>10.03</v>
      </c>
      <c r="P3051" s="3" t="n">
        <f aca="false">INDEX(Summary!$L$2:$L$201,MATCH($B3051,Summary!$A$2:$A$201,0))</f>
        <v>5</v>
      </c>
      <c r="Q3051" s="3" t="n">
        <f aca="false">INDEX(Summary!$M$2:$M$201,MATCH($B3051,Summary!$A$2:$A$201,0))</f>
        <v>1</v>
      </c>
      <c r="R3051" s="2" t="n">
        <f aca="false">INDEX(Summary!$N$2:$N$201,MATCH($B3051,Summary!$A$2:$A$201,0))</f>
        <v>10.43</v>
      </c>
      <c r="S3051" s="3" t="n">
        <f aca="false">INDEX(Summary!$O$2:$O$201,MATCH($B3051,Summary!$A$2:$A$201,0))</f>
        <v>8</v>
      </c>
      <c r="T3051" s="3" t="n">
        <f aca="false">INDEX(Summary!$P$2:$P$201,MATCH($B3051,Summary!$A$2:$A$201,0))</f>
        <v>1</v>
      </c>
      <c r="U3051" s="2" t="n">
        <f aca="false">INDEX(Summary!$Q$2:$Q$201,MATCH($B3051,Summary!$A$2:$A$201,0))</f>
        <v>12.48</v>
      </c>
      <c r="V3051" s="2" t="n">
        <f aca="false">INDEX(Summary!$R$2:$R$201,MATCH($B3051,Summary!$A$2:$A$201,0))</f>
        <v>23.82</v>
      </c>
      <c r="W3051" s="0" t="str">
        <f aca="false">INDEX(Summary!$S$2:$S$201,MATCH($B3051,Summary!$A$2:$A$201,0))</f>
        <v>Silver</v>
      </c>
      <c r="X3051" s="2" t="n">
        <f aca="false">INDEX(Summary!$T$2:$T$201,MATCH($B3051,Summary!$A$2:$A$201,0))</f>
        <v>58.1</v>
      </c>
      <c r="Y3051" s="0" t="str">
        <f aca="false">INDEX('Reward Model'!$E$18:$E$37,MATCH($E3051,'Reward Model'!$A$18:$A$37,0))</f>
        <v>Medium</v>
      </c>
      <c r="Z3051" s="4" t="n">
        <f aca="false">ROUND(MIN(1,MAX('Reward Model'!$B$2,INDEX('Reward Model'!$C$12:$C$14,MATCH($K3051,'Reward Model'!$A$12:$A$14,0))/$J3051)),3)</f>
        <v>1</v>
      </c>
      <c r="AA3051" s="2" t="n">
        <f aca="false">IF($I3051="Correct",ROUND(INDEX('Reward Model'!$B$12:$B$14,MATCH($K3051,'Reward Model'!$A$12:$A$14,0))*Z3051,2),0)</f>
        <v>2</v>
      </c>
      <c r="AB3051" s="2" t="n">
        <f aca="false">IF($I3051="Correct",ROUND(INDEX('Reward Model'!$B$12:$B$14,MATCH($Y3051,'Reward Model'!$A$12:$A$14,0))*Z3051,2),0)</f>
        <v>2</v>
      </c>
    </row>
    <row r="3052" customFormat="false" ht="15" hidden="false" customHeight="false" outlineLevel="0" collapsed="false">
      <c r="A3052" s="0" t="s">
        <v>436</v>
      </c>
      <c r="B3052" s="0" t="s">
        <v>437</v>
      </c>
      <c r="C3052" s="0" t="s">
        <v>322</v>
      </c>
      <c r="D3052" s="0" t="s">
        <v>189</v>
      </c>
      <c r="E3052" s="0" t="n">
        <v>11</v>
      </c>
      <c r="F3052" s="0" t="s">
        <v>61</v>
      </c>
      <c r="G3052" s="0" t="s">
        <v>63</v>
      </c>
      <c r="H3052" s="0" t="s">
        <v>63</v>
      </c>
      <c r="I3052" s="0" t="s">
        <v>34</v>
      </c>
      <c r="J3052" s="0" t="n">
        <v>1.43</v>
      </c>
      <c r="K3052" s="0" t="s">
        <v>60</v>
      </c>
      <c r="L3052" s="0" t="n">
        <f aca="false">INDEX(Summary!$F$2:$F$201,MATCH($B3052,Summary!$A$2:$A$201,0))</f>
        <v>20</v>
      </c>
      <c r="M3052" s="0" t="n">
        <f aca="false">INDEX(Summary!$I$2:$I$201,MATCH($B3052,Summary!$A$2:$A$201,0))</f>
        <v>1</v>
      </c>
      <c r="N3052" s="0" t="n">
        <f aca="false">INDEX(Summary!$J$2:$J$201,MATCH($B3052,Summary!$A$2:$A$201,0))</f>
        <v>4</v>
      </c>
      <c r="O3052" s="2" t="n">
        <f aca="false">INDEX(Summary!$K$2:$K$201,MATCH($B3052,Summary!$A$2:$A$201,0))</f>
        <v>10.03</v>
      </c>
      <c r="P3052" s="3" t="n">
        <f aca="false">INDEX(Summary!$L$2:$L$201,MATCH($B3052,Summary!$A$2:$A$201,0))</f>
        <v>5</v>
      </c>
      <c r="Q3052" s="3" t="n">
        <f aca="false">INDEX(Summary!$M$2:$M$201,MATCH($B3052,Summary!$A$2:$A$201,0))</f>
        <v>1</v>
      </c>
      <c r="R3052" s="2" t="n">
        <f aca="false">INDEX(Summary!$N$2:$N$201,MATCH($B3052,Summary!$A$2:$A$201,0))</f>
        <v>10.43</v>
      </c>
      <c r="S3052" s="3" t="n">
        <f aca="false">INDEX(Summary!$O$2:$O$201,MATCH($B3052,Summary!$A$2:$A$201,0))</f>
        <v>8</v>
      </c>
      <c r="T3052" s="3" t="n">
        <f aca="false">INDEX(Summary!$P$2:$P$201,MATCH($B3052,Summary!$A$2:$A$201,0))</f>
        <v>1</v>
      </c>
      <c r="U3052" s="2" t="n">
        <f aca="false">INDEX(Summary!$Q$2:$Q$201,MATCH($B3052,Summary!$A$2:$A$201,0))</f>
        <v>12.48</v>
      </c>
      <c r="V3052" s="2" t="n">
        <f aca="false">INDEX(Summary!$R$2:$R$201,MATCH($B3052,Summary!$A$2:$A$201,0))</f>
        <v>23.82</v>
      </c>
      <c r="W3052" s="0" t="str">
        <f aca="false">INDEX(Summary!$S$2:$S$201,MATCH($B3052,Summary!$A$2:$A$201,0))</f>
        <v>Silver</v>
      </c>
      <c r="X3052" s="2" t="n">
        <f aca="false">INDEX(Summary!$T$2:$T$201,MATCH($B3052,Summary!$A$2:$A$201,0))</f>
        <v>58.1</v>
      </c>
      <c r="Y3052" s="0" t="str">
        <f aca="false">INDEX('Reward Model'!$E$18:$E$37,MATCH($E3052,'Reward Model'!$A$18:$A$37,0))</f>
        <v>Medium</v>
      </c>
      <c r="Z3052" s="4" t="n">
        <f aca="false">ROUND(MIN(1,MAX('Reward Model'!$B$2,INDEX('Reward Model'!$C$12:$C$14,MATCH($K3052,'Reward Model'!$A$12:$A$14,0))/$J3052)),3)</f>
        <v>1</v>
      </c>
      <c r="AA3052" s="2" t="n">
        <f aca="false">IF($I3052="Correct",ROUND(INDEX('Reward Model'!$B$12:$B$14,MATCH($K3052,'Reward Model'!$A$12:$A$14,0))*Z3052,2),0)</f>
        <v>2</v>
      </c>
      <c r="AB3052" s="2" t="n">
        <f aca="false">IF($I3052="Correct",ROUND(INDEX('Reward Model'!$B$12:$B$14,MATCH($Y3052,'Reward Model'!$A$12:$A$14,0))*Z3052,2),0)</f>
        <v>2</v>
      </c>
    </row>
    <row r="3053" customFormat="false" ht="15" hidden="false" customHeight="false" outlineLevel="0" collapsed="false">
      <c r="A3053" s="0" t="s">
        <v>436</v>
      </c>
      <c r="B3053" s="0" t="s">
        <v>437</v>
      </c>
      <c r="C3053" s="0" t="s">
        <v>322</v>
      </c>
      <c r="D3053" s="0" t="s">
        <v>189</v>
      </c>
      <c r="E3053" s="0" t="n">
        <v>12</v>
      </c>
      <c r="F3053" s="0" t="s">
        <v>64</v>
      </c>
      <c r="G3053" s="0" t="s">
        <v>146</v>
      </c>
      <c r="H3053" s="0" t="s">
        <v>65</v>
      </c>
      <c r="I3053" s="0" t="s">
        <v>39</v>
      </c>
      <c r="J3053" s="0" t="n">
        <v>1.4</v>
      </c>
      <c r="K3053" s="0" t="s">
        <v>60</v>
      </c>
      <c r="L3053" s="0" t="n">
        <f aca="false">INDEX(Summary!$F$2:$F$201,MATCH($B3053,Summary!$A$2:$A$201,0))</f>
        <v>20</v>
      </c>
      <c r="M3053" s="0" t="n">
        <f aca="false">INDEX(Summary!$I$2:$I$201,MATCH($B3053,Summary!$A$2:$A$201,0))</f>
        <v>1</v>
      </c>
      <c r="N3053" s="0" t="n">
        <f aca="false">INDEX(Summary!$J$2:$J$201,MATCH($B3053,Summary!$A$2:$A$201,0))</f>
        <v>4</v>
      </c>
      <c r="O3053" s="2" t="n">
        <f aca="false">INDEX(Summary!$K$2:$K$201,MATCH($B3053,Summary!$A$2:$A$201,0))</f>
        <v>10.03</v>
      </c>
      <c r="P3053" s="3" t="n">
        <f aca="false">INDEX(Summary!$L$2:$L$201,MATCH($B3053,Summary!$A$2:$A$201,0))</f>
        <v>5</v>
      </c>
      <c r="Q3053" s="3" t="n">
        <f aca="false">INDEX(Summary!$M$2:$M$201,MATCH($B3053,Summary!$A$2:$A$201,0))</f>
        <v>1</v>
      </c>
      <c r="R3053" s="2" t="n">
        <f aca="false">INDEX(Summary!$N$2:$N$201,MATCH($B3053,Summary!$A$2:$A$201,0))</f>
        <v>10.43</v>
      </c>
      <c r="S3053" s="3" t="n">
        <f aca="false">INDEX(Summary!$O$2:$O$201,MATCH($B3053,Summary!$A$2:$A$201,0))</f>
        <v>8</v>
      </c>
      <c r="T3053" s="3" t="n">
        <f aca="false">INDEX(Summary!$P$2:$P$201,MATCH($B3053,Summary!$A$2:$A$201,0))</f>
        <v>1</v>
      </c>
      <c r="U3053" s="2" t="n">
        <f aca="false">INDEX(Summary!$Q$2:$Q$201,MATCH($B3053,Summary!$A$2:$A$201,0))</f>
        <v>12.48</v>
      </c>
      <c r="V3053" s="2" t="n">
        <f aca="false">INDEX(Summary!$R$2:$R$201,MATCH($B3053,Summary!$A$2:$A$201,0))</f>
        <v>23.82</v>
      </c>
      <c r="W3053" s="0" t="str">
        <f aca="false">INDEX(Summary!$S$2:$S$201,MATCH($B3053,Summary!$A$2:$A$201,0))</f>
        <v>Silver</v>
      </c>
      <c r="X3053" s="2" t="n">
        <f aca="false">INDEX(Summary!$T$2:$T$201,MATCH($B3053,Summary!$A$2:$A$201,0))</f>
        <v>58.1</v>
      </c>
      <c r="Y3053" s="0" t="str">
        <f aca="false">INDEX('Reward Model'!$E$18:$E$37,MATCH($E3053,'Reward Model'!$A$18:$A$37,0))</f>
        <v>Medium</v>
      </c>
      <c r="Z3053" s="4" t="n">
        <f aca="false">ROUND(MIN(1,MAX('Reward Model'!$B$2,INDEX('Reward Model'!$C$12:$C$14,MATCH($K3053,'Reward Model'!$A$12:$A$14,0))/$J3053)),3)</f>
        <v>1</v>
      </c>
      <c r="AA3053" s="2" t="n">
        <f aca="false">IF($I3053="Correct",ROUND(INDEX('Reward Model'!$B$12:$B$14,MATCH($K3053,'Reward Model'!$A$12:$A$14,0))*Z3053,2),0)</f>
        <v>0</v>
      </c>
      <c r="AB3053" s="2" t="n">
        <f aca="false">IF($I3053="Correct",ROUND(INDEX('Reward Model'!$B$12:$B$14,MATCH($Y3053,'Reward Model'!$A$12:$A$14,0))*Z3053,2),0)</f>
        <v>0</v>
      </c>
    </row>
    <row r="3054" customFormat="false" ht="15" hidden="false" customHeight="false" outlineLevel="0" collapsed="false">
      <c r="A3054" s="0" t="s">
        <v>436</v>
      </c>
      <c r="B3054" s="0" t="s">
        <v>437</v>
      </c>
      <c r="C3054" s="0" t="s">
        <v>322</v>
      </c>
      <c r="D3054" s="0" t="s">
        <v>189</v>
      </c>
      <c r="E3054" s="0" t="n">
        <v>13</v>
      </c>
      <c r="F3054" s="0" t="s">
        <v>66</v>
      </c>
      <c r="G3054" s="0" t="s">
        <v>67</v>
      </c>
      <c r="H3054" s="0" t="s">
        <v>67</v>
      </c>
      <c r="I3054" s="0" t="s">
        <v>34</v>
      </c>
      <c r="J3054" s="0" t="n">
        <v>2.06</v>
      </c>
      <c r="K3054" s="0" t="s">
        <v>60</v>
      </c>
      <c r="L3054" s="0" t="n">
        <f aca="false">INDEX(Summary!$F$2:$F$201,MATCH($B3054,Summary!$A$2:$A$201,0))</f>
        <v>20</v>
      </c>
      <c r="M3054" s="0" t="n">
        <f aca="false">INDEX(Summary!$I$2:$I$201,MATCH($B3054,Summary!$A$2:$A$201,0))</f>
        <v>1</v>
      </c>
      <c r="N3054" s="0" t="n">
        <f aca="false">INDEX(Summary!$J$2:$J$201,MATCH($B3054,Summary!$A$2:$A$201,0))</f>
        <v>4</v>
      </c>
      <c r="O3054" s="2" t="n">
        <f aca="false">INDEX(Summary!$K$2:$K$201,MATCH($B3054,Summary!$A$2:$A$201,0))</f>
        <v>10.03</v>
      </c>
      <c r="P3054" s="3" t="n">
        <f aca="false">INDEX(Summary!$L$2:$L$201,MATCH($B3054,Summary!$A$2:$A$201,0))</f>
        <v>5</v>
      </c>
      <c r="Q3054" s="3" t="n">
        <f aca="false">INDEX(Summary!$M$2:$M$201,MATCH($B3054,Summary!$A$2:$A$201,0))</f>
        <v>1</v>
      </c>
      <c r="R3054" s="2" t="n">
        <f aca="false">INDEX(Summary!$N$2:$N$201,MATCH($B3054,Summary!$A$2:$A$201,0))</f>
        <v>10.43</v>
      </c>
      <c r="S3054" s="3" t="n">
        <f aca="false">INDEX(Summary!$O$2:$O$201,MATCH($B3054,Summary!$A$2:$A$201,0))</f>
        <v>8</v>
      </c>
      <c r="T3054" s="3" t="n">
        <f aca="false">INDEX(Summary!$P$2:$P$201,MATCH($B3054,Summary!$A$2:$A$201,0))</f>
        <v>1</v>
      </c>
      <c r="U3054" s="2" t="n">
        <f aca="false">INDEX(Summary!$Q$2:$Q$201,MATCH($B3054,Summary!$A$2:$A$201,0))</f>
        <v>12.48</v>
      </c>
      <c r="V3054" s="2" t="n">
        <f aca="false">INDEX(Summary!$R$2:$R$201,MATCH($B3054,Summary!$A$2:$A$201,0))</f>
        <v>23.82</v>
      </c>
      <c r="W3054" s="0" t="str">
        <f aca="false">INDEX(Summary!$S$2:$S$201,MATCH($B3054,Summary!$A$2:$A$201,0))</f>
        <v>Silver</v>
      </c>
      <c r="X3054" s="2" t="n">
        <f aca="false">INDEX(Summary!$T$2:$T$201,MATCH($B3054,Summary!$A$2:$A$201,0))</f>
        <v>58.1</v>
      </c>
      <c r="Y3054" s="0" t="str">
        <f aca="false">INDEX('Reward Model'!$E$18:$E$37,MATCH($E3054,'Reward Model'!$A$18:$A$37,0))</f>
        <v>Medium</v>
      </c>
      <c r="Z3054" s="4" t="n">
        <f aca="false">ROUND(MIN(1,MAX('Reward Model'!$B$2,INDEX('Reward Model'!$C$12:$C$14,MATCH($K3054,'Reward Model'!$A$12:$A$14,0))/$J3054)),3)</f>
        <v>0.874</v>
      </c>
      <c r="AA3054" s="2" t="n">
        <f aca="false">IF($I3054="Correct",ROUND(INDEX('Reward Model'!$B$12:$B$14,MATCH($K3054,'Reward Model'!$A$12:$A$14,0))*Z3054,2),0)</f>
        <v>1.75</v>
      </c>
      <c r="AB3054" s="2" t="n">
        <f aca="false">IF($I3054="Correct",ROUND(INDEX('Reward Model'!$B$12:$B$14,MATCH($Y3054,'Reward Model'!$A$12:$A$14,0))*Z3054,2),0)</f>
        <v>1.75</v>
      </c>
    </row>
    <row r="3055" customFormat="false" ht="15" hidden="false" customHeight="false" outlineLevel="0" collapsed="false">
      <c r="A3055" s="0" t="s">
        <v>436</v>
      </c>
      <c r="B3055" s="0" t="s">
        <v>437</v>
      </c>
      <c r="C3055" s="0" t="s">
        <v>322</v>
      </c>
      <c r="D3055" s="0" t="s">
        <v>189</v>
      </c>
      <c r="E3055" s="0" t="n">
        <v>14</v>
      </c>
      <c r="F3055" s="0" t="s">
        <v>68</v>
      </c>
      <c r="G3055" s="0" t="s">
        <v>51</v>
      </c>
      <c r="H3055" s="0" t="s">
        <v>51</v>
      </c>
      <c r="I3055" s="0" t="s">
        <v>34</v>
      </c>
      <c r="J3055" s="0" t="n">
        <v>1.76</v>
      </c>
      <c r="K3055" s="0" t="s">
        <v>60</v>
      </c>
      <c r="L3055" s="0" t="n">
        <f aca="false">INDEX(Summary!$F$2:$F$201,MATCH($B3055,Summary!$A$2:$A$201,0))</f>
        <v>20</v>
      </c>
      <c r="M3055" s="0" t="n">
        <f aca="false">INDEX(Summary!$I$2:$I$201,MATCH($B3055,Summary!$A$2:$A$201,0))</f>
        <v>1</v>
      </c>
      <c r="N3055" s="0" t="n">
        <f aca="false">INDEX(Summary!$J$2:$J$201,MATCH($B3055,Summary!$A$2:$A$201,0))</f>
        <v>4</v>
      </c>
      <c r="O3055" s="2" t="n">
        <f aca="false">INDEX(Summary!$K$2:$K$201,MATCH($B3055,Summary!$A$2:$A$201,0))</f>
        <v>10.03</v>
      </c>
      <c r="P3055" s="3" t="n">
        <f aca="false">INDEX(Summary!$L$2:$L$201,MATCH($B3055,Summary!$A$2:$A$201,0))</f>
        <v>5</v>
      </c>
      <c r="Q3055" s="3" t="n">
        <f aca="false">INDEX(Summary!$M$2:$M$201,MATCH($B3055,Summary!$A$2:$A$201,0))</f>
        <v>1</v>
      </c>
      <c r="R3055" s="2" t="n">
        <f aca="false">INDEX(Summary!$N$2:$N$201,MATCH($B3055,Summary!$A$2:$A$201,0))</f>
        <v>10.43</v>
      </c>
      <c r="S3055" s="3" t="n">
        <f aca="false">INDEX(Summary!$O$2:$O$201,MATCH($B3055,Summary!$A$2:$A$201,0))</f>
        <v>8</v>
      </c>
      <c r="T3055" s="3" t="n">
        <f aca="false">INDEX(Summary!$P$2:$P$201,MATCH($B3055,Summary!$A$2:$A$201,0))</f>
        <v>1</v>
      </c>
      <c r="U3055" s="2" t="n">
        <f aca="false">INDEX(Summary!$Q$2:$Q$201,MATCH($B3055,Summary!$A$2:$A$201,0))</f>
        <v>12.48</v>
      </c>
      <c r="V3055" s="2" t="n">
        <f aca="false">INDEX(Summary!$R$2:$R$201,MATCH($B3055,Summary!$A$2:$A$201,0))</f>
        <v>23.82</v>
      </c>
      <c r="W3055" s="0" t="str">
        <f aca="false">INDEX(Summary!$S$2:$S$201,MATCH($B3055,Summary!$A$2:$A$201,0))</f>
        <v>Silver</v>
      </c>
      <c r="X3055" s="2" t="n">
        <f aca="false">INDEX(Summary!$T$2:$T$201,MATCH($B3055,Summary!$A$2:$A$201,0))</f>
        <v>58.1</v>
      </c>
      <c r="Y3055" s="0" t="str">
        <f aca="false">INDEX('Reward Model'!$E$18:$E$37,MATCH($E3055,'Reward Model'!$A$18:$A$37,0))</f>
        <v>Medium</v>
      </c>
      <c r="Z3055" s="4" t="n">
        <f aca="false">ROUND(MIN(1,MAX('Reward Model'!$B$2,INDEX('Reward Model'!$C$12:$C$14,MATCH($K3055,'Reward Model'!$A$12:$A$14,0))/$J3055)),3)</f>
        <v>1</v>
      </c>
      <c r="AA3055" s="2" t="n">
        <f aca="false">IF($I3055="Correct",ROUND(INDEX('Reward Model'!$B$12:$B$14,MATCH($K3055,'Reward Model'!$A$12:$A$14,0))*Z3055,2),0)</f>
        <v>2</v>
      </c>
      <c r="AB3055" s="2" t="n">
        <f aca="false">IF($I3055="Correct",ROUND(INDEX('Reward Model'!$B$12:$B$14,MATCH($Y3055,'Reward Model'!$A$12:$A$14,0))*Z3055,2),0)</f>
        <v>2</v>
      </c>
    </row>
    <row r="3056" customFormat="false" ht="15" hidden="false" customHeight="false" outlineLevel="0" collapsed="false">
      <c r="A3056" s="0" t="s">
        <v>436</v>
      </c>
      <c r="B3056" s="0" t="s">
        <v>437</v>
      </c>
      <c r="C3056" s="0" t="s">
        <v>322</v>
      </c>
      <c r="D3056" s="0" t="s">
        <v>189</v>
      </c>
      <c r="E3056" s="0" t="n">
        <v>15</v>
      </c>
      <c r="F3056" s="0" t="s">
        <v>69</v>
      </c>
      <c r="G3056" s="0" t="s">
        <v>70</v>
      </c>
      <c r="H3056" s="0" t="s">
        <v>70</v>
      </c>
      <c r="I3056" s="0" t="s">
        <v>34</v>
      </c>
      <c r="J3056" s="0" t="n">
        <v>2.04</v>
      </c>
      <c r="K3056" s="0" t="s">
        <v>60</v>
      </c>
      <c r="L3056" s="0" t="n">
        <f aca="false">INDEX(Summary!$F$2:$F$201,MATCH($B3056,Summary!$A$2:$A$201,0))</f>
        <v>20</v>
      </c>
      <c r="M3056" s="0" t="n">
        <f aca="false">INDEX(Summary!$I$2:$I$201,MATCH($B3056,Summary!$A$2:$A$201,0))</f>
        <v>1</v>
      </c>
      <c r="N3056" s="0" t="n">
        <f aca="false">INDEX(Summary!$J$2:$J$201,MATCH($B3056,Summary!$A$2:$A$201,0))</f>
        <v>4</v>
      </c>
      <c r="O3056" s="2" t="n">
        <f aca="false">INDEX(Summary!$K$2:$K$201,MATCH($B3056,Summary!$A$2:$A$201,0))</f>
        <v>10.03</v>
      </c>
      <c r="P3056" s="3" t="n">
        <f aca="false">INDEX(Summary!$L$2:$L$201,MATCH($B3056,Summary!$A$2:$A$201,0))</f>
        <v>5</v>
      </c>
      <c r="Q3056" s="3" t="n">
        <f aca="false">INDEX(Summary!$M$2:$M$201,MATCH($B3056,Summary!$A$2:$A$201,0))</f>
        <v>1</v>
      </c>
      <c r="R3056" s="2" t="n">
        <f aca="false">INDEX(Summary!$N$2:$N$201,MATCH($B3056,Summary!$A$2:$A$201,0))</f>
        <v>10.43</v>
      </c>
      <c r="S3056" s="3" t="n">
        <f aca="false">INDEX(Summary!$O$2:$O$201,MATCH($B3056,Summary!$A$2:$A$201,0))</f>
        <v>8</v>
      </c>
      <c r="T3056" s="3" t="n">
        <f aca="false">INDEX(Summary!$P$2:$P$201,MATCH($B3056,Summary!$A$2:$A$201,0))</f>
        <v>1</v>
      </c>
      <c r="U3056" s="2" t="n">
        <f aca="false">INDEX(Summary!$Q$2:$Q$201,MATCH($B3056,Summary!$A$2:$A$201,0))</f>
        <v>12.48</v>
      </c>
      <c r="V3056" s="2" t="n">
        <f aca="false">INDEX(Summary!$R$2:$R$201,MATCH($B3056,Summary!$A$2:$A$201,0))</f>
        <v>23.82</v>
      </c>
      <c r="W3056" s="0" t="str">
        <f aca="false">INDEX(Summary!$S$2:$S$201,MATCH($B3056,Summary!$A$2:$A$201,0))</f>
        <v>Silver</v>
      </c>
      <c r="X3056" s="2" t="n">
        <f aca="false">INDEX(Summary!$T$2:$T$201,MATCH($B3056,Summary!$A$2:$A$201,0))</f>
        <v>58.1</v>
      </c>
      <c r="Y3056" s="0" t="str">
        <f aca="false">INDEX('Reward Model'!$E$18:$E$37,MATCH($E3056,'Reward Model'!$A$18:$A$37,0))</f>
        <v>Medium</v>
      </c>
      <c r="Z3056" s="4" t="n">
        <f aca="false">ROUND(MIN(1,MAX('Reward Model'!$B$2,INDEX('Reward Model'!$C$12:$C$14,MATCH($K3056,'Reward Model'!$A$12:$A$14,0))/$J3056)),3)</f>
        <v>0.882</v>
      </c>
      <c r="AA3056" s="2" t="n">
        <f aca="false">IF($I3056="Correct",ROUND(INDEX('Reward Model'!$B$12:$B$14,MATCH($K3056,'Reward Model'!$A$12:$A$14,0))*Z3056,2),0)</f>
        <v>1.76</v>
      </c>
      <c r="AB3056" s="2" t="n">
        <f aca="false">IF($I3056="Correct",ROUND(INDEX('Reward Model'!$B$12:$B$14,MATCH($Y3056,'Reward Model'!$A$12:$A$14,0))*Z3056,2),0)</f>
        <v>1.76</v>
      </c>
    </row>
    <row r="3057" customFormat="false" ht="15" hidden="false" customHeight="false" outlineLevel="0" collapsed="false">
      <c r="A3057" s="0" t="s">
        <v>436</v>
      </c>
      <c r="B3057" s="0" t="s">
        <v>437</v>
      </c>
      <c r="C3057" s="0" t="s">
        <v>322</v>
      </c>
      <c r="D3057" s="0" t="s">
        <v>189</v>
      </c>
      <c r="E3057" s="0" t="n">
        <v>16</v>
      </c>
      <c r="F3057" s="0" t="s">
        <v>71</v>
      </c>
      <c r="G3057" s="0" t="s">
        <v>104</v>
      </c>
      <c r="H3057" s="0" t="s">
        <v>72</v>
      </c>
      <c r="I3057" s="0" t="s">
        <v>39</v>
      </c>
      <c r="J3057" s="0" t="n">
        <v>1.47</v>
      </c>
      <c r="K3057" s="0" t="s">
        <v>73</v>
      </c>
      <c r="L3057" s="0" t="n">
        <f aca="false">INDEX(Summary!$F$2:$F$201,MATCH($B3057,Summary!$A$2:$A$201,0))</f>
        <v>20</v>
      </c>
      <c r="M3057" s="0" t="n">
        <f aca="false">INDEX(Summary!$I$2:$I$201,MATCH($B3057,Summary!$A$2:$A$201,0))</f>
        <v>1</v>
      </c>
      <c r="N3057" s="0" t="n">
        <f aca="false">INDEX(Summary!$J$2:$J$201,MATCH($B3057,Summary!$A$2:$A$201,0))</f>
        <v>4</v>
      </c>
      <c r="O3057" s="2" t="n">
        <f aca="false">INDEX(Summary!$K$2:$K$201,MATCH($B3057,Summary!$A$2:$A$201,0))</f>
        <v>10.03</v>
      </c>
      <c r="P3057" s="3" t="n">
        <f aca="false">INDEX(Summary!$L$2:$L$201,MATCH($B3057,Summary!$A$2:$A$201,0))</f>
        <v>5</v>
      </c>
      <c r="Q3057" s="3" t="n">
        <f aca="false">INDEX(Summary!$M$2:$M$201,MATCH($B3057,Summary!$A$2:$A$201,0))</f>
        <v>1</v>
      </c>
      <c r="R3057" s="2" t="n">
        <f aca="false">INDEX(Summary!$N$2:$N$201,MATCH($B3057,Summary!$A$2:$A$201,0))</f>
        <v>10.43</v>
      </c>
      <c r="S3057" s="3" t="n">
        <f aca="false">INDEX(Summary!$O$2:$O$201,MATCH($B3057,Summary!$A$2:$A$201,0))</f>
        <v>8</v>
      </c>
      <c r="T3057" s="3" t="n">
        <f aca="false">INDEX(Summary!$P$2:$P$201,MATCH($B3057,Summary!$A$2:$A$201,0))</f>
        <v>1</v>
      </c>
      <c r="U3057" s="2" t="n">
        <f aca="false">INDEX(Summary!$Q$2:$Q$201,MATCH($B3057,Summary!$A$2:$A$201,0))</f>
        <v>12.48</v>
      </c>
      <c r="V3057" s="2" t="n">
        <f aca="false">INDEX(Summary!$R$2:$R$201,MATCH($B3057,Summary!$A$2:$A$201,0))</f>
        <v>23.82</v>
      </c>
      <c r="W3057" s="0" t="str">
        <f aca="false">INDEX(Summary!$S$2:$S$201,MATCH($B3057,Summary!$A$2:$A$201,0))</f>
        <v>Silver</v>
      </c>
      <c r="X3057" s="2" t="n">
        <f aca="false">INDEX(Summary!$T$2:$T$201,MATCH($B3057,Summary!$A$2:$A$201,0))</f>
        <v>58.1</v>
      </c>
      <c r="Y3057" s="0" t="str">
        <f aca="false">INDEX('Reward Model'!$E$18:$E$37,MATCH($E3057,'Reward Model'!$A$18:$A$37,0))</f>
        <v>High</v>
      </c>
      <c r="Z3057" s="4" t="n">
        <f aca="false">ROUND(MIN(1,MAX('Reward Model'!$B$2,INDEX('Reward Model'!$C$12:$C$14,MATCH($K3057,'Reward Model'!$A$12:$A$14,0))/$J3057)),3)</f>
        <v>1</v>
      </c>
      <c r="AA3057" s="2" t="n">
        <f aca="false">IF($I3057="Correct",ROUND(INDEX('Reward Model'!$B$12:$B$14,MATCH($K3057,'Reward Model'!$A$12:$A$14,0))*Z3057,2),0)</f>
        <v>0</v>
      </c>
      <c r="AB3057" s="2" t="n">
        <f aca="false">IF($I3057="Correct",ROUND(INDEX('Reward Model'!$B$12:$B$14,MATCH($Y3057,'Reward Model'!$A$12:$A$14,0))*Z3057,2),0)</f>
        <v>0</v>
      </c>
    </row>
    <row r="3058" customFormat="false" ht="15" hidden="false" customHeight="false" outlineLevel="0" collapsed="false">
      <c r="A3058" s="0" t="s">
        <v>436</v>
      </c>
      <c r="B3058" s="0" t="s">
        <v>437</v>
      </c>
      <c r="C3058" s="0" t="s">
        <v>322</v>
      </c>
      <c r="D3058" s="0" t="s">
        <v>189</v>
      </c>
      <c r="E3058" s="0" t="n">
        <v>17</v>
      </c>
      <c r="F3058" s="0" t="s">
        <v>74</v>
      </c>
      <c r="G3058" s="0" t="s">
        <v>113</v>
      </c>
      <c r="H3058" s="0" t="s">
        <v>75</v>
      </c>
      <c r="I3058" s="0" t="s">
        <v>39</v>
      </c>
      <c r="J3058" s="0" t="n">
        <v>1.89</v>
      </c>
      <c r="K3058" s="0" t="s">
        <v>73</v>
      </c>
      <c r="L3058" s="0" t="n">
        <f aca="false">INDEX(Summary!$F$2:$F$201,MATCH($B3058,Summary!$A$2:$A$201,0))</f>
        <v>20</v>
      </c>
      <c r="M3058" s="0" t="n">
        <f aca="false">INDEX(Summary!$I$2:$I$201,MATCH($B3058,Summary!$A$2:$A$201,0))</f>
        <v>1</v>
      </c>
      <c r="N3058" s="0" t="n">
        <f aca="false">INDEX(Summary!$J$2:$J$201,MATCH($B3058,Summary!$A$2:$A$201,0))</f>
        <v>4</v>
      </c>
      <c r="O3058" s="2" t="n">
        <f aca="false">INDEX(Summary!$K$2:$K$201,MATCH($B3058,Summary!$A$2:$A$201,0))</f>
        <v>10.03</v>
      </c>
      <c r="P3058" s="3" t="n">
        <f aca="false">INDEX(Summary!$L$2:$L$201,MATCH($B3058,Summary!$A$2:$A$201,0))</f>
        <v>5</v>
      </c>
      <c r="Q3058" s="3" t="n">
        <f aca="false">INDEX(Summary!$M$2:$M$201,MATCH($B3058,Summary!$A$2:$A$201,0))</f>
        <v>1</v>
      </c>
      <c r="R3058" s="2" t="n">
        <f aca="false">INDEX(Summary!$N$2:$N$201,MATCH($B3058,Summary!$A$2:$A$201,0))</f>
        <v>10.43</v>
      </c>
      <c r="S3058" s="3" t="n">
        <f aca="false">INDEX(Summary!$O$2:$O$201,MATCH($B3058,Summary!$A$2:$A$201,0))</f>
        <v>8</v>
      </c>
      <c r="T3058" s="3" t="n">
        <f aca="false">INDEX(Summary!$P$2:$P$201,MATCH($B3058,Summary!$A$2:$A$201,0))</f>
        <v>1</v>
      </c>
      <c r="U3058" s="2" t="n">
        <f aca="false">INDEX(Summary!$Q$2:$Q$201,MATCH($B3058,Summary!$A$2:$A$201,0))</f>
        <v>12.48</v>
      </c>
      <c r="V3058" s="2" t="n">
        <f aca="false">INDEX(Summary!$R$2:$R$201,MATCH($B3058,Summary!$A$2:$A$201,0))</f>
        <v>23.82</v>
      </c>
      <c r="W3058" s="0" t="str">
        <f aca="false">INDEX(Summary!$S$2:$S$201,MATCH($B3058,Summary!$A$2:$A$201,0))</f>
        <v>Silver</v>
      </c>
      <c r="X3058" s="2" t="n">
        <f aca="false">INDEX(Summary!$T$2:$T$201,MATCH($B3058,Summary!$A$2:$A$201,0))</f>
        <v>58.1</v>
      </c>
      <c r="Y3058" s="0" t="str">
        <f aca="false">INDEX('Reward Model'!$E$18:$E$37,MATCH($E3058,'Reward Model'!$A$18:$A$37,0))</f>
        <v>High</v>
      </c>
      <c r="Z3058" s="4" t="n">
        <f aca="false">ROUND(MIN(1,MAX('Reward Model'!$B$2,INDEX('Reward Model'!$C$12:$C$14,MATCH($K3058,'Reward Model'!$A$12:$A$14,0))/$J3058)),3)</f>
        <v>1</v>
      </c>
      <c r="AA3058" s="2" t="n">
        <f aca="false">IF($I3058="Correct",ROUND(INDEX('Reward Model'!$B$12:$B$14,MATCH($K3058,'Reward Model'!$A$12:$A$14,0))*Z3058,2),0)</f>
        <v>0</v>
      </c>
      <c r="AB3058" s="2" t="n">
        <f aca="false">IF($I3058="Correct",ROUND(INDEX('Reward Model'!$B$12:$B$14,MATCH($Y3058,'Reward Model'!$A$12:$A$14,0))*Z3058,2),0)</f>
        <v>0</v>
      </c>
    </row>
    <row r="3059" customFormat="false" ht="15" hidden="false" customHeight="false" outlineLevel="0" collapsed="false">
      <c r="A3059" s="0" t="s">
        <v>436</v>
      </c>
      <c r="B3059" s="0" t="s">
        <v>437</v>
      </c>
      <c r="C3059" s="0" t="s">
        <v>322</v>
      </c>
      <c r="D3059" s="0" t="s">
        <v>189</v>
      </c>
      <c r="E3059" s="0" t="n">
        <v>18</v>
      </c>
      <c r="F3059" s="0" t="s">
        <v>76</v>
      </c>
      <c r="G3059" s="0" t="s">
        <v>88</v>
      </c>
      <c r="H3059" s="0" t="s">
        <v>77</v>
      </c>
      <c r="I3059" s="0" t="s">
        <v>39</v>
      </c>
      <c r="J3059" s="0" t="n">
        <v>2.59</v>
      </c>
      <c r="K3059" s="0" t="s">
        <v>73</v>
      </c>
      <c r="L3059" s="0" t="n">
        <f aca="false">INDEX(Summary!$F$2:$F$201,MATCH($B3059,Summary!$A$2:$A$201,0))</f>
        <v>20</v>
      </c>
      <c r="M3059" s="0" t="n">
        <f aca="false">INDEX(Summary!$I$2:$I$201,MATCH($B3059,Summary!$A$2:$A$201,0))</f>
        <v>1</v>
      </c>
      <c r="N3059" s="0" t="n">
        <f aca="false">INDEX(Summary!$J$2:$J$201,MATCH($B3059,Summary!$A$2:$A$201,0))</f>
        <v>4</v>
      </c>
      <c r="O3059" s="2" t="n">
        <f aca="false">INDEX(Summary!$K$2:$K$201,MATCH($B3059,Summary!$A$2:$A$201,0))</f>
        <v>10.03</v>
      </c>
      <c r="P3059" s="3" t="n">
        <f aca="false">INDEX(Summary!$L$2:$L$201,MATCH($B3059,Summary!$A$2:$A$201,0))</f>
        <v>5</v>
      </c>
      <c r="Q3059" s="3" t="n">
        <f aca="false">INDEX(Summary!$M$2:$M$201,MATCH($B3059,Summary!$A$2:$A$201,0))</f>
        <v>1</v>
      </c>
      <c r="R3059" s="2" t="n">
        <f aca="false">INDEX(Summary!$N$2:$N$201,MATCH($B3059,Summary!$A$2:$A$201,0))</f>
        <v>10.43</v>
      </c>
      <c r="S3059" s="3" t="n">
        <f aca="false">INDEX(Summary!$O$2:$O$201,MATCH($B3059,Summary!$A$2:$A$201,0))</f>
        <v>8</v>
      </c>
      <c r="T3059" s="3" t="n">
        <f aca="false">INDEX(Summary!$P$2:$P$201,MATCH($B3059,Summary!$A$2:$A$201,0))</f>
        <v>1</v>
      </c>
      <c r="U3059" s="2" t="n">
        <f aca="false">INDEX(Summary!$Q$2:$Q$201,MATCH($B3059,Summary!$A$2:$A$201,0))</f>
        <v>12.48</v>
      </c>
      <c r="V3059" s="2" t="n">
        <f aca="false">INDEX(Summary!$R$2:$R$201,MATCH($B3059,Summary!$A$2:$A$201,0))</f>
        <v>23.82</v>
      </c>
      <c r="W3059" s="0" t="str">
        <f aca="false">INDEX(Summary!$S$2:$S$201,MATCH($B3059,Summary!$A$2:$A$201,0))</f>
        <v>Silver</v>
      </c>
      <c r="X3059" s="2" t="n">
        <f aca="false">INDEX(Summary!$T$2:$T$201,MATCH($B3059,Summary!$A$2:$A$201,0))</f>
        <v>58.1</v>
      </c>
      <c r="Y3059" s="0" t="str">
        <f aca="false">INDEX('Reward Model'!$E$18:$E$37,MATCH($E3059,'Reward Model'!$A$18:$A$37,0))</f>
        <v>High</v>
      </c>
      <c r="Z3059" s="4" t="n">
        <f aca="false">ROUND(MIN(1,MAX('Reward Model'!$B$2,INDEX('Reward Model'!$C$12:$C$14,MATCH($K3059,'Reward Model'!$A$12:$A$14,0))/$J3059)),3)</f>
        <v>0.772</v>
      </c>
      <c r="AA3059" s="2" t="n">
        <f aca="false">IF($I3059="Correct",ROUND(INDEX('Reward Model'!$B$12:$B$14,MATCH($K3059,'Reward Model'!$A$12:$A$14,0))*Z3059,2),0)</f>
        <v>0</v>
      </c>
      <c r="AB3059" s="2" t="n">
        <f aca="false">IF($I3059="Correct",ROUND(INDEX('Reward Model'!$B$12:$B$14,MATCH($Y3059,'Reward Model'!$A$12:$A$14,0))*Z3059,2),0)</f>
        <v>0</v>
      </c>
    </row>
    <row r="3060" customFormat="false" ht="15" hidden="false" customHeight="false" outlineLevel="0" collapsed="false">
      <c r="A3060" s="0" t="s">
        <v>436</v>
      </c>
      <c r="B3060" s="0" t="s">
        <v>437</v>
      </c>
      <c r="C3060" s="0" t="s">
        <v>322</v>
      </c>
      <c r="D3060" s="0" t="s">
        <v>189</v>
      </c>
      <c r="E3060" s="0" t="n">
        <v>19</v>
      </c>
      <c r="F3060" s="0" t="s">
        <v>78</v>
      </c>
      <c r="G3060" s="0" t="s">
        <v>132</v>
      </c>
      <c r="H3060" s="0" t="s">
        <v>80</v>
      </c>
      <c r="I3060" s="0" t="s">
        <v>39</v>
      </c>
      <c r="J3060" s="0" t="n">
        <v>1.96</v>
      </c>
      <c r="K3060" s="0" t="s">
        <v>73</v>
      </c>
      <c r="L3060" s="0" t="n">
        <f aca="false">INDEX(Summary!$F$2:$F$201,MATCH($B3060,Summary!$A$2:$A$201,0))</f>
        <v>20</v>
      </c>
      <c r="M3060" s="0" t="n">
        <f aca="false">INDEX(Summary!$I$2:$I$201,MATCH($B3060,Summary!$A$2:$A$201,0))</f>
        <v>1</v>
      </c>
      <c r="N3060" s="0" t="n">
        <f aca="false">INDEX(Summary!$J$2:$J$201,MATCH($B3060,Summary!$A$2:$A$201,0))</f>
        <v>4</v>
      </c>
      <c r="O3060" s="2" t="n">
        <f aca="false">INDEX(Summary!$K$2:$K$201,MATCH($B3060,Summary!$A$2:$A$201,0))</f>
        <v>10.03</v>
      </c>
      <c r="P3060" s="3" t="n">
        <f aca="false">INDEX(Summary!$L$2:$L$201,MATCH($B3060,Summary!$A$2:$A$201,0))</f>
        <v>5</v>
      </c>
      <c r="Q3060" s="3" t="n">
        <f aca="false">INDEX(Summary!$M$2:$M$201,MATCH($B3060,Summary!$A$2:$A$201,0))</f>
        <v>1</v>
      </c>
      <c r="R3060" s="2" t="n">
        <f aca="false">INDEX(Summary!$N$2:$N$201,MATCH($B3060,Summary!$A$2:$A$201,0))</f>
        <v>10.43</v>
      </c>
      <c r="S3060" s="3" t="n">
        <f aca="false">INDEX(Summary!$O$2:$O$201,MATCH($B3060,Summary!$A$2:$A$201,0))</f>
        <v>8</v>
      </c>
      <c r="T3060" s="3" t="n">
        <f aca="false">INDEX(Summary!$P$2:$P$201,MATCH($B3060,Summary!$A$2:$A$201,0))</f>
        <v>1</v>
      </c>
      <c r="U3060" s="2" t="n">
        <f aca="false">INDEX(Summary!$Q$2:$Q$201,MATCH($B3060,Summary!$A$2:$A$201,0))</f>
        <v>12.48</v>
      </c>
      <c r="V3060" s="2" t="n">
        <f aca="false">INDEX(Summary!$R$2:$R$201,MATCH($B3060,Summary!$A$2:$A$201,0))</f>
        <v>23.82</v>
      </c>
      <c r="W3060" s="0" t="str">
        <f aca="false">INDEX(Summary!$S$2:$S$201,MATCH($B3060,Summary!$A$2:$A$201,0))</f>
        <v>Silver</v>
      </c>
      <c r="X3060" s="2" t="n">
        <f aca="false">INDEX(Summary!$T$2:$T$201,MATCH($B3060,Summary!$A$2:$A$201,0))</f>
        <v>58.1</v>
      </c>
      <c r="Y3060" s="0" t="str">
        <f aca="false">INDEX('Reward Model'!$E$18:$E$37,MATCH($E3060,'Reward Model'!$A$18:$A$37,0))</f>
        <v>High</v>
      </c>
      <c r="Z3060" s="4" t="n">
        <f aca="false">ROUND(MIN(1,MAX('Reward Model'!$B$2,INDEX('Reward Model'!$C$12:$C$14,MATCH($K3060,'Reward Model'!$A$12:$A$14,0))/$J3060)),3)</f>
        <v>1</v>
      </c>
      <c r="AA3060" s="2" t="n">
        <f aca="false">IF($I3060="Correct",ROUND(INDEX('Reward Model'!$B$12:$B$14,MATCH($K3060,'Reward Model'!$A$12:$A$14,0))*Z3060,2),0)</f>
        <v>0</v>
      </c>
      <c r="AB3060" s="2" t="n">
        <f aca="false">IF($I3060="Correct",ROUND(INDEX('Reward Model'!$B$12:$B$14,MATCH($Y3060,'Reward Model'!$A$12:$A$14,0))*Z3060,2),0)</f>
        <v>0</v>
      </c>
    </row>
    <row r="3061" customFormat="false" ht="15" hidden="false" customHeight="false" outlineLevel="0" collapsed="false">
      <c r="A3061" s="0" t="s">
        <v>436</v>
      </c>
      <c r="B3061" s="0" t="s">
        <v>437</v>
      </c>
      <c r="C3061" s="0" t="s">
        <v>322</v>
      </c>
      <c r="D3061" s="0" t="s">
        <v>189</v>
      </c>
      <c r="E3061" s="0" t="n">
        <v>20</v>
      </c>
      <c r="F3061" s="0" t="s">
        <v>81</v>
      </c>
      <c r="G3061" s="0" t="s">
        <v>83</v>
      </c>
      <c r="H3061" s="0" t="s">
        <v>83</v>
      </c>
      <c r="I3061" s="0" t="s">
        <v>34</v>
      </c>
      <c r="J3061" s="0" t="n">
        <v>2.12</v>
      </c>
      <c r="K3061" s="0" t="s">
        <v>73</v>
      </c>
      <c r="L3061" s="0" t="n">
        <f aca="false">INDEX(Summary!$F$2:$F$201,MATCH($B3061,Summary!$A$2:$A$201,0))</f>
        <v>20</v>
      </c>
      <c r="M3061" s="0" t="n">
        <f aca="false">INDEX(Summary!$I$2:$I$201,MATCH($B3061,Summary!$A$2:$A$201,0))</f>
        <v>1</v>
      </c>
      <c r="N3061" s="0" t="n">
        <f aca="false">INDEX(Summary!$J$2:$J$201,MATCH($B3061,Summary!$A$2:$A$201,0))</f>
        <v>4</v>
      </c>
      <c r="O3061" s="2" t="n">
        <f aca="false">INDEX(Summary!$K$2:$K$201,MATCH($B3061,Summary!$A$2:$A$201,0))</f>
        <v>10.03</v>
      </c>
      <c r="P3061" s="3" t="n">
        <f aca="false">INDEX(Summary!$L$2:$L$201,MATCH($B3061,Summary!$A$2:$A$201,0))</f>
        <v>5</v>
      </c>
      <c r="Q3061" s="3" t="n">
        <f aca="false">INDEX(Summary!$M$2:$M$201,MATCH($B3061,Summary!$A$2:$A$201,0))</f>
        <v>1</v>
      </c>
      <c r="R3061" s="2" t="n">
        <f aca="false">INDEX(Summary!$N$2:$N$201,MATCH($B3061,Summary!$A$2:$A$201,0))</f>
        <v>10.43</v>
      </c>
      <c r="S3061" s="3" t="n">
        <f aca="false">INDEX(Summary!$O$2:$O$201,MATCH($B3061,Summary!$A$2:$A$201,0))</f>
        <v>8</v>
      </c>
      <c r="T3061" s="3" t="n">
        <f aca="false">INDEX(Summary!$P$2:$P$201,MATCH($B3061,Summary!$A$2:$A$201,0))</f>
        <v>1</v>
      </c>
      <c r="U3061" s="2" t="n">
        <f aca="false">INDEX(Summary!$Q$2:$Q$201,MATCH($B3061,Summary!$A$2:$A$201,0))</f>
        <v>12.48</v>
      </c>
      <c r="V3061" s="2" t="n">
        <f aca="false">INDEX(Summary!$R$2:$R$201,MATCH($B3061,Summary!$A$2:$A$201,0))</f>
        <v>23.82</v>
      </c>
      <c r="W3061" s="0" t="str">
        <f aca="false">INDEX(Summary!$S$2:$S$201,MATCH($B3061,Summary!$A$2:$A$201,0))</f>
        <v>Silver</v>
      </c>
      <c r="X3061" s="2" t="n">
        <f aca="false">INDEX(Summary!$T$2:$T$201,MATCH($B3061,Summary!$A$2:$A$201,0))</f>
        <v>58.1</v>
      </c>
      <c r="Y3061" s="0" t="str">
        <f aca="false">INDEX('Reward Model'!$E$18:$E$37,MATCH($E3061,'Reward Model'!$A$18:$A$37,0))</f>
        <v>High</v>
      </c>
      <c r="Z3061" s="4" t="n">
        <f aca="false">ROUND(MIN(1,MAX('Reward Model'!$B$2,INDEX('Reward Model'!$C$12:$C$14,MATCH($K3061,'Reward Model'!$A$12:$A$14,0))/$J3061)),3)</f>
        <v>0.943</v>
      </c>
      <c r="AA3061" s="2" t="n">
        <f aca="false">IF($I3061="Correct",ROUND(INDEX('Reward Model'!$B$12:$B$14,MATCH($K3061,'Reward Model'!$A$12:$A$14,0))*Z3061,2),0)</f>
        <v>2.83</v>
      </c>
      <c r="AB3061" s="2" t="n">
        <f aca="false">IF($I3061="Correct",ROUND(INDEX('Reward Model'!$B$12:$B$14,MATCH($Y3061,'Reward Model'!$A$12:$A$14,0))*Z3061,2),0)</f>
        <v>2.83</v>
      </c>
    </row>
    <row r="3062" customFormat="false" ht="15" hidden="false" customHeight="false" outlineLevel="0" collapsed="false">
      <c r="A3062" s="0" t="s">
        <v>438</v>
      </c>
      <c r="B3062" s="0" t="s">
        <v>439</v>
      </c>
      <c r="C3062" s="0" t="s">
        <v>322</v>
      </c>
      <c r="D3062" s="0" t="s">
        <v>189</v>
      </c>
      <c r="E3062" s="0" t="n">
        <v>1</v>
      </c>
      <c r="F3062" s="0" t="s">
        <v>32</v>
      </c>
      <c r="G3062" s="0" t="s">
        <v>33</v>
      </c>
      <c r="H3062" s="0" t="s">
        <v>33</v>
      </c>
      <c r="I3062" s="0" t="s">
        <v>34</v>
      </c>
      <c r="J3062" s="0" t="n">
        <v>1.44</v>
      </c>
      <c r="K3062" s="0" t="s">
        <v>35</v>
      </c>
      <c r="L3062" s="0" t="n">
        <f aca="false">INDEX(Summary!$F$2:$F$201,MATCH($B3062,Summary!$A$2:$A$201,0))</f>
        <v>20</v>
      </c>
      <c r="M3062" s="0" t="n">
        <f aca="false">INDEX(Summary!$I$2:$I$201,MATCH($B3062,Summary!$A$2:$A$201,0))</f>
        <v>4</v>
      </c>
      <c r="N3062" s="0" t="n">
        <f aca="false">INDEX(Summary!$J$2:$J$201,MATCH($B3062,Summary!$A$2:$A$201,0))</f>
        <v>1</v>
      </c>
      <c r="O3062" s="2" t="n">
        <f aca="false">INDEX(Summary!$K$2:$K$201,MATCH($B3062,Summary!$A$2:$A$201,0))</f>
        <v>8.34</v>
      </c>
      <c r="P3062" s="3" t="n">
        <f aca="false">INDEX(Summary!$L$2:$L$201,MATCH($B3062,Summary!$A$2:$A$201,0))</f>
        <v>5</v>
      </c>
      <c r="Q3062" s="3" t="n">
        <f aca="false">INDEX(Summary!$M$2:$M$201,MATCH($B3062,Summary!$A$2:$A$201,0))</f>
        <v>1</v>
      </c>
      <c r="R3062" s="2" t="n">
        <f aca="false">INDEX(Summary!$N$2:$N$201,MATCH($B3062,Summary!$A$2:$A$201,0))</f>
        <v>9.76</v>
      </c>
      <c r="S3062" s="3" t="n">
        <f aca="false">INDEX(Summary!$O$2:$O$201,MATCH($B3062,Summary!$A$2:$A$201,0))</f>
        <v>8</v>
      </c>
      <c r="T3062" s="3" t="n">
        <f aca="false">INDEX(Summary!$P$2:$P$201,MATCH($B3062,Summary!$A$2:$A$201,0))</f>
        <v>1</v>
      </c>
      <c r="U3062" s="2" t="n">
        <f aca="false">INDEX(Summary!$Q$2:$Q$201,MATCH($B3062,Summary!$A$2:$A$201,0))</f>
        <v>13.07</v>
      </c>
      <c r="V3062" s="2" t="n">
        <f aca="false">INDEX(Summary!$R$2:$R$201,MATCH($B3062,Summary!$A$2:$A$201,0))</f>
        <v>32.9</v>
      </c>
      <c r="W3062" s="0" t="str">
        <f aca="false">INDEX(Summary!$S$2:$S$201,MATCH($B3062,Summary!$A$2:$A$201,0))</f>
        <v>Gold</v>
      </c>
      <c r="X3062" s="2" t="n">
        <f aca="false">INDEX(Summary!$T$2:$T$201,MATCH($B3062,Summary!$A$2:$A$201,0))</f>
        <v>80.24</v>
      </c>
      <c r="Y3062" s="0" t="str">
        <f aca="false">INDEX('Reward Model'!$E$18:$E$37,MATCH($E3062,'Reward Model'!$A$18:$A$37,0))</f>
        <v>Medium</v>
      </c>
      <c r="Z3062" s="4" t="n">
        <f aca="false">ROUND(MIN(1,MAX('Reward Model'!$B$2,INDEX('Reward Model'!$C$12:$C$14,MATCH($K3062,'Reward Model'!$A$12:$A$14,0))/$J3062)),3)</f>
        <v>1</v>
      </c>
      <c r="AA3062" s="2" t="n">
        <f aca="false">IF($I3062="Correct",ROUND(INDEX('Reward Model'!$B$12:$B$14,MATCH($K3062,'Reward Model'!$A$12:$A$14,0))*Z3062,2),0)</f>
        <v>1</v>
      </c>
      <c r="AB3062" s="2" t="n">
        <f aca="false">IF($I3062="Correct",ROUND(INDEX('Reward Model'!$B$12:$B$14,MATCH($Y3062,'Reward Model'!$A$12:$A$14,0))*Z3062,2),0)</f>
        <v>2</v>
      </c>
    </row>
    <row r="3063" customFormat="false" ht="15" hidden="false" customHeight="false" outlineLevel="0" collapsed="false">
      <c r="A3063" s="0" t="s">
        <v>438</v>
      </c>
      <c r="B3063" s="0" t="s">
        <v>439</v>
      </c>
      <c r="C3063" s="0" t="s">
        <v>322</v>
      </c>
      <c r="D3063" s="0" t="s">
        <v>189</v>
      </c>
      <c r="E3063" s="0" t="n">
        <v>2</v>
      </c>
      <c r="F3063" s="0" t="s">
        <v>36</v>
      </c>
      <c r="G3063" s="0" t="s">
        <v>38</v>
      </c>
      <c r="H3063" s="0" t="s">
        <v>38</v>
      </c>
      <c r="I3063" s="0" t="s">
        <v>34</v>
      </c>
      <c r="J3063" s="0" t="n">
        <v>1.56</v>
      </c>
      <c r="K3063" s="0" t="s">
        <v>35</v>
      </c>
      <c r="L3063" s="0" t="n">
        <f aca="false">INDEX(Summary!$F$2:$F$201,MATCH($B3063,Summary!$A$2:$A$201,0))</f>
        <v>20</v>
      </c>
      <c r="M3063" s="0" t="n">
        <f aca="false">INDEX(Summary!$I$2:$I$201,MATCH($B3063,Summary!$A$2:$A$201,0))</f>
        <v>4</v>
      </c>
      <c r="N3063" s="0" t="n">
        <f aca="false">INDEX(Summary!$J$2:$J$201,MATCH($B3063,Summary!$A$2:$A$201,0))</f>
        <v>1</v>
      </c>
      <c r="O3063" s="2" t="n">
        <f aca="false">INDEX(Summary!$K$2:$K$201,MATCH($B3063,Summary!$A$2:$A$201,0))</f>
        <v>8.34</v>
      </c>
      <c r="P3063" s="3" t="n">
        <f aca="false">INDEX(Summary!$L$2:$L$201,MATCH($B3063,Summary!$A$2:$A$201,0))</f>
        <v>5</v>
      </c>
      <c r="Q3063" s="3" t="n">
        <f aca="false">INDEX(Summary!$M$2:$M$201,MATCH($B3063,Summary!$A$2:$A$201,0))</f>
        <v>1</v>
      </c>
      <c r="R3063" s="2" t="n">
        <f aca="false">INDEX(Summary!$N$2:$N$201,MATCH($B3063,Summary!$A$2:$A$201,0))</f>
        <v>9.76</v>
      </c>
      <c r="S3063" s="3" t="n">
        <f aca="false">INDEX(Summary!$O$2:$O$201,MATCH($B3063,Summary!$A$2:$A$201,0))</f>
        <v>8</v>
      </c>
      <c r="T3063" s="3" t="n">
        <f aca="false">INDEX(Summary!$P$2:$P$201,MATCH($B3063,Summary!$A$2:$A$201,0))</f>
        <v>1</v>
      </c>
      <c r="U3063" s="2" t="n">
        <f aca="false">INDEX(Summary!$Q$2:$Q$201,MATCH($B3063,Summary!$A$2:$A$201,0))</f>
        <v>13.07</v>
      </c>
      <c r="V3063" s="2" t="n">
        <f aca="false">INDEX(Summary!$R$2:$R$201,MATCH($B3063,Summary!$A$2:$A$201,0))</f>
        <v>32.9</v>
      </c>
      <c r="W3063" s="0" t="str">
        <f aca="false">INDEX(Summary!$S$2:$S$201,MATCH($B3063,Summary!$A$2:$A$201,0))</f>
        <v>Gold</v>
      </c>
      <c r="X3063" s="2" t="n">
        <f aca="false">INDEX(Summary!$T$2:$T$201,MATCH($B3063,Summary!$A$2:$A$201,0))</f>
        <v>80.24</v>
      </c>
      <c r="Y3063" s="0" t="str">
        <f aca="false">INDEX('Reward Model'!$E$18:$E$37,MATCH($E3063,'Reward Model'!$A$18:$A$37,0))</f>
        <v>Low</v>
      </c>
      <c r="Z3063" s="4" t="n">
        <f aca="false">ROUND(MIN(1,MAX('Reward Model'!$B$2,INDEX('Reward Model'!$C$12:$C$14,MATCH($K3063,'Reward Model'!$A$12:$A$14,0))/$J3063)),3)</f>
        <v>0.962</v>
      </c>
      <c r="AA3063" s="2" t="n">
        <f aca="false">IF($I3063="Correct",ROUND(INDEX('Reward Model'!$B$12:$B$14,MATCH($K3063,'Reward Model'!$A$12:$A$14,0))*Z3063,2),0)</f>
        <v>0.96</v>
      </c>
      <c r="AB3063" s="2" t="n">
        <f aca="false">IF($I3063="Correct",ROUND(INDEX('Reward Model'!$B$12:$B$14,MATCH($Y3063,'Reward Model'!$A$12:$A$14,0))*Z3063,2),0)</f>
        <v>0.96</v>
      </c>
    </row>
    <row r="3064" customFormat="false" ht="15" hidden="false" customHeight="false" outlineLevel="0" collapsed="false">
      <c r="A3064" s="0" t="s">
        <v>438</v>
      </c>
      <c r="B3064" s="0" t="s">
        <v>439</v>
      </c>
      <c r="C3064" s="0" t="s">
        <v>322</v>
      </c>
      <c r="D3064" s="0" t="s">
        <v>189</v>
      </c>
      <c r="E3064" s="0" t="n">
        <v>3</v>
      </c>
      <c r="F3064" s="0" t="s">
        <v>40</v>
      </c>
      <c r="G3064" s="0" t="s">
        <v>42</v>
      </c>
      <c r="H3064" s="0" t="s">
        <v>42</v>
      </c>
      <c r="I3064" s="0" t="s">
        <v>34</v>
      </c>
      <c r="J3064" s="0" t="n">
        <v>1.58</v>
      </c>
      <c r="K3064" s="0" t="s">
        <v>35</v>
      </c>
      <c r="L3064" s="0" t="n">
        <f aca="false">INDEX(Summary!$F$2:$F$201,MATCH($B3064,Summary!$A$2:$A$201,0))</f>
        <v>20</v>
      </c>
      <c r="M3064" s="0" t="n">
        <f aca="false">INDEX(Summary!$I$2:$I$201,MATCH($B3064,Summary!$A$2:$A$201,0))</f>
        <v>4</v>
      </c>
      <c r="N3064" s="0" t="n">
        <f aca="false">INDEX(Summary!$J$2:$J$201,MATCH($B3064,Summary!$A$2:$A$201,0))</f>
        <v>1</v>
      </c>
      <c r="O3064" s="2" t="n">
        <f aca="false">INDEX(Summary!$K$2:$K$201,MATCH($B3064,Summary!$A$2:$A$201,0))</f>
        <v>8.34</v>
      </c>
      <c r="P3064" s="3" t="n">
        <f aca="false">INDEX(Summary!$L$2:$L$201,MATCH($B3064,Summary!$A$2:$A$201,0))</f>
        <v>5</v>
      </c>
      <c r="Q3064" s="3" t="n">
        <f aca="false">INDEX(Summary!$M$2:$M$201,MATCH($B3064,Summary!$A$2:$A$201,0))</f>
        <v>1</v>
      </c>
      <c r="R3064" s="2" t="n">
        <f aca="false">INDEX(Summary!$N$2:$N$201,MATCH($B3064,Summary!$A$2:$A$201,0))</f>
        <v>9.76</v>
      </c>
      <c r="S3064" s="3" t="n">
        <f aca="false">INDEX(Summary!$O$2:$O$201,MATCH($B3064,Summary!$A$2:$A$201,0))</f>
        <v>8</v>
      </c>
      <c r="T3064" s="3" t="n">
        <f aca="false">INDEX(Summary!$P$2:$P$201,MATCH($B3064,Summary!$A$2:$A$201,0))</f>
        <v>1</v>
      </c>
      <c r="U3064" s="2" t="n">
        <f aca="false">INDEX(Summary!$Q$2:$Q$201,MATCH($B3064,Summary!$A$2:$A$201,0))</f>
        <v>13.07</v>
      </c>
      <c r="V3064" s="2" t="n">
        <f aca="false">INDEX(Summary!$R$2:$R$201,MATCH($B3064,Summary!$A$2:$A$201,0))</f>
        <v>32.9</v>
      </c>
      <c r="W3064" s="0" t="str">
        <f aca="false">INDEX(Summary!$S$2:$S$201,MATCH($B3064,Summary!$A$2:$A$201,0))</f>
        <v>Gold</v>
      </c>
      <c r="X3064" s="2" t="n">
        <f aca="false">INDEX(Summary!$T$2:$T$201,MATCH($B3064,Summary!$A$2:$A$201,0))</f>
        <v>80.24</v>
      </c>
      <c r="Y3064" s="0" t="str">
        <f aca="false">INDEX('Reward Model'!$E$18:$E$37,MATCH($E3064,'Reward Model'!$A$18:$A$37,0))</f>
        <v>Medium</v>
      </c>
      <c r="Z3064" s="4" t="n">
        <f aca="false">ROUND(MIN(1,MAX('Reward Model'!$B$2,INDEX('Reward Model'!$C$12:$C$14,MATCH($K3064,'Reward Model'!$A$12:$A$14,0))/$J3064)),3)</f>
        <v>0.949</v>
      </c>
      <c r="AA3064" s="2" t="n">
        <f aca="false">IF($I3064="Correct",ROUND(INDEX('Reward Model'!$B$12:$B$14,MATCH($K3064,'Reward Model'!$A$12:$A$14,0))*Z3064,2),0)</f>
        <v>0.95</v>
      </c>
      <c r="AB3064" s="2" t="n">
        <f aca="false">IF($I3064="Correct",ROUND(INDEX('Reward Model'!$B$12:$B$14,MATCH($Y3064,'Reward Model'!$A$12:$A$14,0))*Z3064,2),0)</f>
        <v>1.9</v>
      </c>
    </row>
    <row r="3065" customFormat="false" ht="15" hidden="false" customHeight="false" outlineLevel="0" collapsed="false">
      <c r="A3065" s="0" t="s">
        <v>438</v>
      </c>
      <c r="B3065" s="0" t="s">
        <v>439</v>
      </c>
      <c r="C3065" s="0" t="s">
        <v>322</v>
      </c>
      <c r="D3065" s="0" t="s">
        <v>189</v>
      </c>
      <c r="E3065" s="0" t="n">
        <v>4</v>
      </c>
      <c r="F3065" s="0" t="s">
        <v>43</v>
      </c>
      <c r="G3065" s="0" t="s">
        <v>45</v>
      </c>
      <c r="H3065" s="0" t="s">
        <v>45</v>
      </c>
      <c r="I3065" s="0" t="s">
        <v>34</v>
      </c>
      <c r="J3065" s="0" t="n">
        <v>1.61</v>
      </c>
      <c r="K3065" s="0" t="s">
        <v>35</v>
      </c>
      <c r="L3065" s="0" t="n">
        <f aca="false">INDEX(Summary!$F$2:$F$201,MATCH($B3065,Summary!$A$2:$A$201,0))</f>
        <v>20</v>
      </c>
      <c r="M3065" s="0" t="n">
        <f aca="false">INDEX(Summary!$I$2:$I$201,MATCH($B3065,Summary!$A$2:$A$201,0))</f>
        <v>4</v>
      </c>
      <c r="N3065" s="0" t="n">
        <f aca="false">INDEX(Summary!$J$2:$J$201,MATCH($B3065,Summary!$A$2:$A$201,0))</f>
        <v>1</v>
      </c>
      <c r="O3065" s="2" t="n">
        <f aca="false">INDEX(Summary!$K$2:$K$201,MATCH($B3065,Summary!$A$2:$A$201,0))</f>
        <v>8.34</v>
      </c>
      <c r="P3065" s="3" t="n">
        <f aca="false">INDEX(Summary!$L$2:$L$201,MATCH($B3065,Summary!$A$2:$A$201,0))</f>
        <v>5</v>
      </c>
      <c r="Q3065" s="3" t="n">
        <f aca="false">INDEX(Summary!$M$2:$M$201,MATCH($B3065,Summary!$A$2:$A$201,0))</f>
        <v>1</v>
      </c>
      <c r="R3065" s="2" t="n">
        <f aca="false">INDEX(Summary!$N$2:$N$201,MATCH($B3065,Summary!$A$2:$A$201,0))</f>
        <v>9.76</v>
      </c>
      <c r="S3065" s="3" t="n">
        <f aca="false">INDEX(Summary!$O$2:$O$201,MATCH($B3065,Summary!$A$2:$A$201,0))</f>
        <v>8</v>
      </c>
      <c r="T3065" s="3" t="n">
        <f aca="false">INDEX(Summary!$P$2:$P$201,MATCH($B3065,Summary!$A$2:$A$201,0))</f>
        <v>1</v>
      </c>
      <c r="U3065" s="2" t="n">
        <f aca="false">INDEX(Summary!$Q$2:$Q$201,MATCH($B3065,Summary!$A$2:$A$201,0))</f>
        <v>13.07</v>
      </c>
      <c r="V3065" s="2" t="n">
        <f aca="false">INDEX(Summary!$R$2:$R$201,MATCH($B3065,Summary!$A$2:$A$201,0))</f>
        <v>32.9</v>
      </c>
      <c r="W3065" s="0" t="str">
        <f aca="false">INDEX(Summary!$S$2:$S$201,MATCH($B3065,Summary!$A$2:$A$201,0))</f>
        <v>Gold</v>
      </c>
      <c r="X3065" s="2" t="n">
        <f aca="false">INDEX(Summary!$T$2:$T$201,MATCH($B3065,Summary!$A$2:$A$201,0))</f>
        <v>80.24</v>
      </c>
      <c r="Y3065" s="0" t="str">
        <f aca="false">INDEX('Reward Model'!$E$18:$E$37,MATCH($E3065,'Reward Model'!$A$18:$A$37,0))</f>
        <v>Low</v>
      </c>
      <c r="Z3065" s="4" t="n">
        <f aca="false">ROUND(MIN(1,MAX('Reward Model'!$B$2,INDEX('Reward Model'!$C$12:$C$14,MATCH($K3065,'Reward Model'!$A$12:$A$14,0))/$J3065)),3)</f>
        <v>0.932</v>
      </c>
      <c r="AA3065" s="2" t="n">
        <f aca="false">IF($I3065="Correct",ROUND(INDEX('Reward Model'!$B$12:$B$14,MATCH($K3065,'Reward Model'!$A$12:$A$14,0))*Z3065,2),0)</f>
        <v>0.93</v>
      </c>
      <c r="AB3065" s="2" t="n">
        <f aca="false">IF($I3065="Correct",ROUND(INDEX('Reward Model'!$B$12:$B$14,MATCH($Y3065,'Reward Model'!$A$12:$A$14,0))*Z3065,2),0)</f>
        <v>0.93</v>
      </c>
    </row>
    <row r="3066" customFormat="false" ht="15" hidden="false" customHeight="false" outlineLevel="0" collapsed="false">
      <c r="A3066" s="0" t="s">
        <v>438</v>
      </c>
      <c r="B3066" s="0" t="s">
        <v>439</v>
      </c>
      <c r="C3066" s="0" t="s">
        <v>322</v>
      </c>
      <c r="D3066" s="0" t="s">
        <v>189</v>
      </c>
      <c r="E3066" s="0" t="n">
        <v>5</v>
      </c>
      <c r="F3066" s="0" t="s">
        <v>46</v>
      </c>
      <c r="G3066" s="0" t="s">
        <v>47</v>
      </c>
      <c r="H3066" s="0" t="s">
        <v>47</v>
      </c>
      <c r="I3066" s="0" t="s">
        <v>34</v>
      </c>
      <c r="J3066" s="0" t="n">
        <v>1.31</v>
      </c>
      <c r="K3066" s="0" t="s">
        <v>35</v>
      </c>
      <c r="L3066" s="0" t="n">
        <f aca="false">INDEX(Summary!$F$2:$F$201,MATCH($B3066,Summary!$A$2:$A$201,0))</f>
        <v>20</v>
      </c>
      <c r="M3066" s="0" t="n">
        <f aca="false">INDEX(Summary!$I$2:$I$201,MATCH($B3066,Summary!$A$2:$A$201,0))</f>
        <v>4</v>
      </c>
      <c r="N3066" s="0" t="n">
        <f aca="false">INDEX(Summary!$J$2:$J$201,MATCH($B3066,Summary!$A$2:$A$201,0))</f>
        <v>1</v>
      </c>
      <c r="O3066" s="2" t="n">
        <f aca="false">INDEX(Summary!$K$2:$K$201,MATCH($B3066,Summary!$A$2:$A$201,0))</f>
        <v>8.34</v>
      </c>
      <c r="P3066" s="3" t="n">
        <f aca="false">INDEX(Summary!$L$2:$L$201,MATCH($B3066,Summary!$A$2:$A$201,0))</f>
        <v>5</v>
      </c>
      <c r="Q3066" s="3" t="n">
        <f aca="false">INDEX(Summary!$M$2:$M$201,MATCH($B3066,Summary!$A$2:$A$201,0))</f>
        <v>1</v>
      </c>
      <c r="R3066" s="2" t="n">
        <f aca="false">INDEX(Summary!$N$2:$N$201,MATCH($B3066,Summary!$A$2:$A$201,0))</f>
        <v>9.76</v>
      </c>
      <c r="S3066" s="3" t="n">
        <f aca="false">INDEX(Summary!$O$2:$O$201,MATCH($B3066,Summary!$A$2:$A$201,0))</f>
        <v>8</v>
      </c>
      <c r="T3066" s="3" t="n">
        <f aca="false">INDEX(Summary!$P$2:$P$201,MATCH($B3066,Summary!$A$2:$A$201,0))</f>
        <v>1</v>
      </c>
      <c r="U3066" s="2" t="n">
        <f aca="false">INDEX(Summary!$Q$2:$Q$201,MATCH($B3066,Summary!$A$2:$A$201,0))</f>
        <v>13.07</v>
      </c>
      <c r="V3066" s="2" t="n">
        <f aca="false">INDEX(Summary!$R$2:$R$201,MATCH($B3066,Summary!$A$2:$A$201,0))</f>
        <v>32.9</v>
      </c>
      <c r="W3066" s="0" t="str">
        <f aca="false">INDEX(Summary!$S$2:$S$201,MATCH($B3066,Summary!$A$2:$A$201,0))</f>
        <v>Gold</v>
      </c>
      <c r="X3066" s="2" t="n">
        <f aca="false">INDEX(Summary!$T$2:$T$201,MATCH($B3066,Summary!$A$2:$A$201,0))</f>
        <v>80.24</v>
      </c>
      <c r="Y3066" s="0" t="str">
        <f aca="false">INDEX('Reward Model'!$E$18:$E$37,MATCH($E3066,'Reward Model'!$A$18:$A$37,0))</f>
        <v>Low</v>
      </c>
      <c r="Z3066" s="4" t="n">
        <f aca="false">ROUND(MIN(1,MAX('Reward Model'!$B$2,INDEX('Reward Model'!$C$12:$C$14,MATCH($K3066,'Reward Model'!$A$12:$A$14,0))/$J3066)),3)</f>
        <v>1</v>
      </c>
      <c r="AA3066" s="2" t="n">
        <f aca="false">IF($I3066="Correct",ROUND(INDEX('Reward Model'!$B$12:$B$14,MATCH($K3066,'Reward Model'!$A$12:$A$14,0))*Z3066,2),0)</f>
        <v>1</v>
      </c>
      <c r="AB3066" s="2" t="n">
        <f aca="false">IF($I3066="Correct",ROUND(INDEX('Reward Model'!$B$12:$B$14,MATCH($Y3066,'Reward Model'!$A$12:$A$14,0))*Z3066,2),0)</f>
        <v>1</v>
      </c>
    </row>
    <row r="3067" customFormat="false" ht="15" hidden="false" customHeight="false" outlineLevel="0" collapsed="false">
      <c r="A3067" s="0" t="s">
        <v>438</v>
      </c>
      <c r="B3067" s="0" t="s">
        <v>439</v>
      </c>
      <c r="C3067" s="0" t="s">
        <v>322</v>
      </c>
      <c r="D3067" s="0" t="s">
        <v>189</v>
      </c>
      <c r="E3067" s="0" t="n">
        <v>6</v>
      </c>
      <c r="F3067" s="0" t="s">
        <v>48</v>
      </c>
      <c r="G3067" s="0" t="s">
        <v>49</v>
      </c>
      <c r="H3067" s="0" t="s">
        <v>49</v>
      </c>
      <c r="I3067" s="0" t="s">
        <v>34</v>
      </c>
      <c r="J3067" s="0" t="n">
        <v>1.58</v>
      </c>
      <c r="K3067" s="0" t="s">
        <v>35</v>
      </c>
      <c r="L3067" s="0" t="n">
        <f aca="false">INDEX(Summary!$F$2:$F$201,MATCH($B3067,Summary!$A$2:$A$201,0))</f>
        <v>20</v>
      </c>
      <c r="M3067" s="0" t="n">
        <f aca="false">INDEX(Summary!$I$2:$I$201,MATCH($B3067,Summary!$A$2:$A$201,0))</f>
        <v>4</v>
      </c>
      <c r="N3067" s="0" t="n">
        <f aca="false">INDEX(Summary!$J$2:$J$201,MATCH($B3067,Summary!$A$2:$A$201,0))</f>
        <v>1</v>
      </c>
      <c r="O3067" s="2" t="n">
        <f aca="false">INDEX(Summary!$K$2:$K$201,MATCH($B3067,Summary!$A$2:$A$201,0))</f>
        <v>8.34</v>
      </c>
      <c r="P3067" s="3" t="n">
        <f aca="false">INDEX(Summary!$L$2:$L$201,MATCH($B3067,Summary!$A$2:$A$201,0))</f>
        <v>5</v>
      </c>
      <c r="Q3067" s="3" t="n">
        <f aca="false">INDEX(Summary!$M$2:$M$201,MATCH($B3067,Summary!$A$2:$A$201,0))</f>
        <v>1</v>
      </c>
      <c r="R3067" s="2" t="n">
        <f aca="false">INDEX(Summary!$N$2:$N$201,MATCH($B3067,Summary!$A$2:$A$201,0))</f>
        <v>9.76</v>
      </c>
      <c r="S3067" s="3" t="n">
        <f aca="false">INDEX(Summary!$O$2:$O$201,MATCH($B3067,Summary!$A$2:$A$201,0))</f>
        <v>8</v>
      </c>
      <c r="T3067" s="3" t="n">
        <f aca="false">INDEX(Summary!$P$2:$P$201,MATCH($B3067,Summary!$A$2:$A$201,0))</f>
        <v>1</v>
      </c>
      <c r="U3067" s="2" t="n">
        <f aca="false">INDEX(Summary!$Q$2:$Q$201,MATCH($B3067,Summary!$A$2:$A$201,0))</f>
        <v>13.07</v>
      </c>
      <c r="V3067" s="2" t="n">
        <f aca="false">INDEX(Summary!$R$2:$R$201,MATCH($B3067,Summary!$A$2:$A$201,0))</f>
        <v>32.9</v>
      </c>
      <c r="W3067" s="0" t="str">
        <f aca="false">INDEX(Summary!$S$2:$S$201,MATCH($B3067,Summary!$A$2:$A$201,0))</f>
        <v>Gold</v>
      </c>
      <c r="X3067" s="2" t="n">
        <f aca="false">INDEX(Summary!$T$2:$T$201,MATCH($B3067,Summary!$A$2:$A$201,0))</f>
        <v>80.24</v>
      </c>
      <c r="Y3067" s="0" t="str">
        <f aca="false">INDEX('Reward Model'!$E$18:$E$37,MATCH($E3067,'Reward Model'!$A$18:$A$37,0))</f>
        <v>Medium</v>
      </c>
      <c r="Z3067" s="4" t="n">
        <f aca="false">ROUND(MIN(1,MAX('Reward Model'!$B$2,INDEX('Reward Model'!$C$12:$C$14,MATCH($K3067,'Reward Model'!$A$12:$A$14,0))/$J3067)),3)</f>
        <v>0.949</v>
      </c>
      <c r="AA3067" s="2" t="n">
        <f aca="false">IF($I3067="Correct",ROUND(INDEX('Reward Model'!$B$12:$B$14,MATCH($K3067,'Reward Model'!$A$12:$A$14,0))*Z3067,2),0)</f>
        <v>0.95</v>
      </c>
      <c r="AB3067" s="2" t="n">
        <f aca="false">IF($I3067="Correct",ROUND(INDEX('Reward Model'!$B$12:$B$14,MATCH($Y3067,'Reward Model'!$A$12:$A$14,0))*Z3067,2),0)</f>
        <v>1.9</v>
      </c>
    </row>
    <row r="3068" customFormat="false" ht="15" hidden="false" customHeight="false" outlineLevel="0" collapsed="false">
      <c r="A3068" s="0" t="s">
        <v>438</v>
      </c>
      <c r="B3068" s="0" t="s">
        <v>439</v>
      </c>
      <c r="C3068" s="0" t="s">
        <v>322</v>
      </c>
      <c r="D3068" s="0" t="s">
        <v>189</v>
      </c>
      <c r="E3068" s="0" t="n">
        <v>7</v>
      </c>
      <c r="F3068" s="0" t="s">
        <v>50</v>
      </c>
      <c r="G3068" s="0" t="s">
        <v>51</v>
      </c>
      <c r="H3068" s="0" t="s">
        <v>51</v>
      </c>
      <c r="I3068" s="0" t="s">
        <v>34</v>
      </c>
      <c r="J3068" s="0" t="n">
        <v>1.09</v>
      </c>
      <c r="K3068" s="0" t="s">
        <v>35</v>
      </c>
      <c r="L3068" s="0" t="n">
        <f aca="false">INDEX(Summary!$F$2:$F$201,MATCH($B3068,Summary!$A$2:$A$201,0))</f>
        <v>20</v>
      </c>
      <c r="M3068" s="0" t="n">
        <f aca="false">INDEX(Summary!$I$2:$I$201,MATCH($B3068,Summary!$A$2:$A$201,0))</f>
        <v>4</v>
      </c>
      <c r="N3068" s="0" t="n">
        <f aca="false">INDEX(Summary!$J$2:$J$201,MATCH($B3068,Summary!$A$2:$A$201,0))</f>
        <v>1</v>
      </c>
      <c r="O3068" s="2" t="n">
        <f aca="false">INDEX(Summary!$K$2:$K$201,MATCH($B3068,Summary!$A$2:$A$201,0))</f>
        <v>8.34</v>
      </c>
      <c r="P3068" s="3" t="n">
        <f aca="false">INDEX(Summary!$L$2:$L$201,MATCH($B3068,Summary!$A$2:$A$201,0))</f>
        <v>5</v>
      </c>
      <c r="Q3068" s="3" t="n">
        <f aca="false">INDEX(Summary!$M$2:$M$201,MATCH($B3068,Summary!$A$2:$A$201,0))</f>
        <v>1</v>
      </c>
      <c r="R3068" s="2" t="n">
        <f aca="false">INDEX(Summary!$N$2:$N$201,MATCH($B3068,Summary!$A$2:$A$201,0))</f>
        <v>9.76</v>
      </c>
      <c r="S3068" s="3" t="n">
        <f aca="false">INDEX(Summary!$O$2:$O$201,MATCH($B3068,Summary!$A$2:$A$201,0))</f>
        <v>8</v>
      </c>
      <c r="T3068" s="3" t="n">
        <f aca="false">INDEX(Summary!$P$2:$P$201,MATCH($B3068,Summary!$A$2:$A$201,0))</f>
        <v>1</v>
      </c>
      <c r="U3068" s="2" t="n">
        <f aca="false">INDEX(Summary!$Q$2:$Q$201,MATCH($B3068,Summary!$A$2:$A$201,0))</f>
        <v>13.07</v>
      </c>
      <c r="V3068" s="2" t="n">
        <f aca="false">INDEX(Summary!$R$2:$R$201,MATCH($B3068,Summary!$A$2:$A$201,0))</f>
        <v>32.9</v>
      </c>
      <c r="W3068" s="0" t="str">
        <f aca="false">INDEX(Summary!$S$2:$S$201,MATCH($B3068,Summary!$A$2:$A$201,0))</f>
        <v>Gold</v>
      </c>
      <c r="X3068" s="2" t="n">
        <f aca="false">INDEX(Summary!$T$2:$T$201,MATCH($B3068,Summary!$A$2:$A$201,0))</f>
        <v>80.24</v>
      </c>
      <c r="Y3068" s="0" t="str">
        <f aca="false">INDEX('Reward Model'!$E$18:$E$37,MATCH($E3068,'Reward Model'!$A$18:$A$37,0))</f>
        <v>Low</v>
      </c>
      <c r="Z3068" s="4" t="n">
        <f aca="false">ROUND(MIN(1,MAX('Reward Model'!$B$2,INDEX('Reward Model'!$C$12:$C$14,MATCH($K3068,'Reward Model'!$A$12:$A$14,0))/$J3068)),3)</f>
        <v>1</v>
      </c>
      <c r="AA3068" s="2" t="n">
        <f aca="false">IF($I3068="Correct",ROUND(INDEX('Reward Model'!$B$12:$B$14,MATCH($K3068,'Reward Model'!$A$12:$A$14,0))*Z3068,2),0)</f>
        <v>1</v>
      </c>
      <c r="AB3068" s="2" t="n">
        <f aca="false">IF($I3068="Correct",ROUND(INDEX('Reward Model'!$B$12:$B$14,MATCH($Y3068,'Reward Model'!$A$12:$A$14,0))*Z3068,2),0)</f>
        <v>1</v>
      </c>
    </row>
    <row r="3069" customFormat="false" ht="15" hidden="false" customHeight="false" outlineLevel="0" collapsed="false">
      <c r="A3069" s="0" t="s">
        <v>438</v>
      </c>
      <c r="B3069" s="0" t="s">
        <v>439</v>
      </c>
      <c r="C3069" s="0" t="s">
        <v>322</v>
      </c>
      <c r="D3069" s="0" t="s">
        <v>189</v>
      </c>
      <c r="E3069" s="0" t="n">
        <v>8</v>
      </c>
      <c r="F3069" s="0" t="s">
        <v>52</v>
      </c>
      <c r="G3069" s="0" t="s">
        <v>54</v>
      </c>
      <c r="H3069" s="0" t="s">
        <v>54</v>
      </c>
      <c r="I3069" s="0" t="s">
        <v>34</v>
      </c>
      <c r="J3069" s="0" t="n">
        <v>1.74</v>
      </c>
      <c r="K3069" s="0" t="s">
        <v>35</v>
      </c>
      <c r="L3069" s="0" t="n">
        <f aca="false">INDEX(Summary!$F$2:$F$201,MATCH($B3069,Summary!$A$2:$A$201,0))</f>
        <v>20</v>
      </c>
      <c r="M3069" s="0" t="n">
        <f aca="false">INDEX(Summary!$I$2:$I$201,MATCH($B3069,Summary!$A$2:$A$201,0))</f>
        <v>4</v>
      </c>
      <c r="N3069" s="0" t="n">
        <f aca="false">INDEX(Summary!$J$2:$J$201,MATCH($B3069,Summary!$A$2:$A$201,0))</f>
        <v>1</v>
      </c>
      <c r="O3069" s="2" t="n">
        <f aca="false">INDEX(Summary!$K$2:$K$201,MATCH($B3069,Summary!$A$2:$A$201,0))</f>
        <v>8.34</v>
      </c>
      <c r="P3069" s="3" t="n">
        <f aca="false">INDEX(Summary!$L$2:$L$201,MATCH($B3069,Summary!$A$2:$A$201,0))</f>
        <v>5</v>
      </c>
      <c r="Q3069" s="3" t="n">
        <f aca="false">INDEX(Summary!$M$2:$M$201,MATCH($B3069,Summary!$A$2:$A$201,0))</f>
        <v>1</v>
      </c>
      <c r="R3069" s="2" t="n">
        <f aca="false">INDEX(Summary!$N$2:$N$201,MATCH($B3069,Summary!$A$2:$A$201,0))</f>
        <v>9.76</v>
      </c>
      <c r="S3069" s="3" t="n">
        <f aca="false">INDEX(Summary!$O$2:$O$201,MATCH($B3069,Summary!$A$2:$A$201,0))</f>
        <v>8</v>
      </c>
      <c r="T3069" s="3" t="n">
        <f aca="false">INDEX(Summary!$P$2:$P$201,MATCH($B3069,Summary!$A$2:$A$201,0))</f>
        <v>1</v>
      </c>
      <c r="U3069" s="2" t="n">
        <f aca="false">INDEX(Summary!$Q$2:$Q$201,MATCH($B3069,Summary!$A$2:$A$201,0))</f>
        <v>13.07</v>
      </c>
      <c r="V3069" s="2" t="n">
        <f aca="false">INDEX(Summary!$R$2:$R$201,MATCH($B3069,Summary!$A$2:$A$201,0))</f>
        <v>32.9</v>
      </c>
      <c r="W3069" s="0" t="str">
        <f aca="false">INDEX(Summary!$S$2:$S$201,MATCH($B3069,Summary!$A$2:$A$201,0))</f>
        <v>Gold</v>
      </c>
      <c r="X3069" s="2" t="n">
        <f aca="false">INDEX(Summary!$T$2:$T$201,MATCH($B3069,Summary!$A$2:$A$201,0))</f>
        <v>80.24</v>
      </c>
      <c r="Y3069" s="0" t="str">
        <f aca="false">INDEX('Reward Model'!$E$18:$E$37,MATCH($E3069,'Reward Model'!$A$18:$A$37,0))</f>
        <v>Medium</v>
      </c>
      <c r="Z3069" s="4" t="n">
        <f aca="false">ROUND(MIN(1,MAX('Reward Model'!$B$2,INDEX('Reward Model'!$C$12:$C$14,MATCH($K3069,'Reward Model'!$A$12:$A$14,0))/$J3069)),3)</f>
        <v>0.862</v>
      </c>
      <c r="AA3069" s="2" t="n">
        <f aca="false">IF($I3069="Correct",ROUND(INDEX('Reward Model'!$B$12:$B$14,MATCH($K3069,'Reward Model'!$A$12:$A$14,0))*Z3069,2),0)</f>
        <v>0.86</v>
      </c>
      <c r="AB3069" s="2" t="n">
        <f aca="false">IF($I3069="Correct",ROUND(INDEX('Reward Model'!$B$12:$B$14,MATCH($Y3069,'Reward Model'!$A$12:$A$14,0))*Z3069,2),0)</f>
        <v>1.72</v>
      </c>
    </row>
    <row r="3070" customFormat="false" ht="15" hidden="false" customHeight="false" outlineLevel="0" collapsed="false">
      <c r="A3070" s="0" t="s">
        <v>438</v>
      </c>
      <c r="B3070" s="0" t="s">
        <v>439</v>
      </c>
      <c r="C3070" s="0" t="s">
        <v>322</v>
      </c>
      <c r="D3070" s="0" t="s">
        <v>189</v>
      </c>
      <c r="E3070" s="0" t="n">
        <v>9</v>
      </c>
      <c r="F3070" s="0" t="s">
        <v>55</v>
      </c>
      <c r="G3070" s="0" t="s">
        <v>341</v>
      </c>
      <c r="H3070" s="0" t="s">
        <v>57</v>
      </c>
      <c r="I3070" s="0" t="s">
        <v>39</v>
      </c>
      <c r="J3070" s="0" t="n">
        <v>1.16</v>
      </c>
      <c r="K3070" s="0" t="s">
        <v>35</v>
      </c>
      <c r="L3070" s="0" t="n">
        <f aca="false">INDEX(Summary!$F$2:$F$201,MATCH($B3070,Summary!$A$2:$A$201,0))</f>
        <v>20</v>
      </c>
      <c r="M3070" s="0" t="n">
        <f aca="false">INDEX(Summary!$I$2:$I$201,MATCH($B3070,Summary!$A$2:$A$201,0))</f>
        <v>4</v>
      </c>
      <c r="N3070" s="0" t="n">
        <f aca="false">INDEX(Summary!$J$2:$J$201,MATCH($B3070,Summary!$A$2:$A$201,0))</f>
        <v>1</v>
      </c>
      <c r="O3070" s="2" t="n">
        <f aca="false">INDEX(Summary!$K$2:$K$201,MATCH($B3070,Summary!$A$2:$A$201,0))</f>
        <v>8.34</v>
      </c>
      <c r="P3070" s="3" t="n">
        <f aca="false">INDEX(Summary!$L$2:$L$201,MATCH($B3070,Summary!$A$2:$A$201,0))</f>
        <v>5</v>
      </c>
      <c r="Q3070" s="3" t="n">
        <f aca="false">INDEX(Summary!$M$2:$M$201,MATCH($B3070,Summary!$A$2:$A$201,0))</f>
        <v>1</v>
      </c>
      <c r="R3070" s="2" t="n">
        <f aca="false">INDEX(Summary!$N$2:$N$201,MATCH($B3070,Summary!$A$2:$A$201,0))</f>
        <v>9.76</v>
      </c>
      <c r="S3070" s="3" t="n">
        <f aca="false">INDEX(Summary!$O$2:$O$201,MATCH($B3070,Summary!$A$2:$A$201,0))</f>
        <v>8</v>
      </c>
      <c r="T3070" s="3" t="n">
        <f aca="false">INDEX(Summary!$P$2:$P$201,MATCH($B3070,Summary!$A$2:$A$201,0))</f>
        <v>1</v>
      </c>
      <c r="U3070" s="2" t="n">
        <f aca="false">INDEX(Summary!$Q$2:$Q$201,MATCH($B3070,Summary!$A$2:$A$201,0))</f>
        <v>13.07</v>
      </c>
      <c r="V3070" s="2" t="n">
        <f aca="false">INDEX(Summary!$R$2:$R$201,MATCH($B3070,Summary!$A$2:$A$201,0))</f>
        <v>32.9</v>
      </c>
      <c r="W3070" s="0" t="str">
        <f aca="false">INDEX(Summary!$S$2:$S$201,MATCH($B3070,Summary!$A$2:$A$201,0))</f>
        <v>Gold</v>
      </c>
      <c r="X3070" s="2" t="n">
        <f aca="false">INDEX(Summary!$T$2:$T$201,MATCH($B3070,Summary!$A$2:$A$201,0))</f>
        <v>80.24</v>
      </c>
      <c r="Y3070" s="0" t="str">
        <f aca="false">INDEX('Reward Model'!$E$18:$E$37,MATCH($E3070,'Reward Model'!$A$18:$A$37,0))</f>
        <v>Medium</v>
      </c>
      <c r="Z3070" s="4" t="n">
        <f aca="false">ROUND(MIN(1,MAX('Reward Model'!$B$2,INDEX('Reward Model'!$C$12:$C$14,MATCH($K3070,'Reward Model'!$A$12:$A$14,0))/$J3070)),3)</f>
        <v>1</v>
      </c>
      <c r="AA3070" s="2" t="n">
        <f aca="false">IF($I3070="Correct",ROUND(INDEX('Reward Model'!$B$12:$B$14,MATCH($K3070,'Reward Model'!$A$12:$A$14,0))*Z3070,2),0)</f>
        <v>0</v>
      </c>
      <c r="AB3070" s="2" t="n">
        <f aca="false">IF($I3070="Correct",ROUND(INDEX('Reward Model'!$B$12:$B$14,MATCH($Y3070,'Reward Model'!$A$12:$A$14,0))*Z3070,2),0)</f>
        <v>0</v>
      </c>
    </row>
    <row r="3071" customFormat="false" ht="15" hidden="false" customHeight="false" outlineLevel="0" collapsed="false">
      <c r="A3071" s="0" t="s">
        <v>438</v>
      </c>
      <c r="B3071" s="0" t="s">
        <v>439</v>
      </c>
      <c r="C3071" s="0" t="s">
        <v>322</v>
      </c>
      <c r="D3071" s="0" t="s">
        <v>189</v>
      </c>
      <c r="E3071" s="0" t="n">
        <v>10</v>
      </c>
      <c r="F3071" s="0" t="s">
        <v>58</v>
      </c>
      <c r="G3071" s="0" t="s">
        <v>59</v>
      </c>
      <c r="H3071" s="0" t="s">
        <v>59</v>
      </c>
      <c r="I3071" s="0" t="s">
        <v>34</v>
      </c>
      <c r="J3071" s="0" t="n">
        <v>1.36</v>
      </c>
      <c r="K3071" s="0" t="s">
        <v>60</v>
      </c>
      <c r="L3071" s="0" t="n">
        <f aca="false">INDEX(Summary!$F$2:$F$201,MATCH($B3071,Summary!$A$2:$A$201,0))</f>
        <v>20</v>
      </c>
      <c r="M3071" s="0" t="n">
        <f aca="false">INDEX(Summary!$I$2:$I$201,MATCH($B3071,Summary!$A$2:$A$201,0))</f>
        <v>4</v>
      </c>
      <c r="N3071" s="0" t="n">
        <f aca="false">INDEX(Summary!$J$2:$J$201,MATCH($B3071,Summary!$A$2:$A$201,0))</f>
        <v>1</v>
      </c>
      <c r="O3071" s="2" t="n">
        <f aca="false">INDEX(Summary!$K$2:$K$201,MATCH($B3071,Summary!$A$2:$A$201,0))</f>
        <v>8.34</v>
      </c>
      <c r="P3071" s="3" t="n">
        <f aca="false">INDEX(Summary!$L$2:$L$201,MATCH($B3071,Summary!$A$2:$A$201,0))</f>
        <v>5</v>
      </c>
      <c r="Q3071" s="3" t="n">
        <f aca="false">INDEX(Summary!$M$2:$M$201,MATCH($B3071,Summary!$A$2:$A$201,0))</f>
        <v>1</v>
      </c>
      <c r="R3071" s="2" t="n">
        <f aca="false">INDEX(Summary!$N$2:$N$201,MATCH($B3071,Summary!$A$2:$A$201,0))</f>
        <v>9.76</v>
      </c>
      <c r="S3071" s="3" t="n">
        <f aca="false">INDEX(Summary!$O$2:$O$201,MATCH($B3071,Summary!$A$2:$A$201,0))</f>
        <v>8</v>
      </c>
      <c r="T3071" s="3" t="n">
        <f aca="false">INDEX(Summary!$P$2:$P$201,MATCH($B3071,Summary!$A$2:$A$201,0))</f>
        <v>1</v>
      </c>
      <c r="U3071" s="2" t="n">
        <f aca="false">INDEX(Summary!$Q$2:$Q$201,MATCH($B3071,Summary!$A$2:$A$201,0))</f>
        <v>13.07</v>
      </c>
      <c r="V3071" s="2" t="n">
        <f aca="false">INDEX(Summary!$R$2:$R$201,MATCH($B3071,Summary!$A$2:$A$201,0))</f>
        <v>32.9</v>
      </c>
      <c r="W3071" s="0" t="str">
        <f aca="false">INDEX(Summary!$S$2:$S$201,MATCH($B3071,Summary!$A$2:$A$201,0))</f>
        <v>Gold</v>
      </c>
      <c r="X3071" s="2" t="n">
        <f aca="false">INDEX(Summary!$T$2:$T$201,MATCH($B3071,Summary!$A$2:$A$201,0))</f>
        <v>80.24</v>
      </c>
      <c r="Y3071" s="0" t="str">
        <f aca="false">INDEX('Reward Model'!$E$18:$E$37,MATCH($E3071,'Reward Model'!$A$18:$A$37,0))</f>
        <v>Medium</v>
      </c>
      <c r="Z3071" s="4" t="n">
        <f aca="false">ROUND(MIN(1,MAX('Reward Model'!$B$2,INDEX('Reward Model'!$C$12:$C$14,MATCH($K3071,'Reward Model'!$A$12:$A$14,0))/$J3071)),3)</f>
        <v>1</v>
      </c>
      <c r="AA3071" s="2" t="n">
        <f aca="false">IF($I3071="Correct",ROUND(INDEX('Reward Model'!$B$12:$B$14,MATCH($K3071,'Reward Model'!$A$12:$A$14,0))*Z3071,2),0)</f>
        <v>2</v>
      </c>
      <c r="AB3071" s="2" t="n">
        <f aca="false">IF($I3071="Correct",ROUND(INDEX('Reward Model'!$B$12:$B$14,MATCH($Y3071,'Reward Model'!$A$12:$A$14,0))*Z3071,2),0)</f>
        <v>2</v>
      </c>
    </row>
    <row r="3072" customFormat="false" ht="15" hidden="false" customHeight="false" outlineLevel="0" collapsed="false">
      <c r="A3072" s="0" t="s">
        <v>438</v>
      </c>
      <c r="B3072" s="0" t="s">
        <v>439</v>
      </c>
      <c r="C3072" s="0" t="s">
        <v>322</v>
      </c>
      <c r="D3072" s="0" t="s">
        <v>189</v>
      </c>
      <c r="E3072" s="0" t="n">
        <v>11</v>
      </c>
      <c r="F3072" s="0" t="s">
        <v>61</v>
      </c>
      <c r="G3072" s="0" t="s">
        <v>63</v>
      </c>
      <c r="H3072" s="0" t="s">
        <v>63</v>
      </c>
      <c r="I3072" s="0" t="s">
        <v>34</v>
      </c>
      <c r="J3072" s="0" t="n">
        <v>1.63</v>
      </c>
      <c r="K3072" s="0" t="s">
        <v>60</v>
      </c>
      <c r="L3072" s="0" t="n">
        <f aca="false">INDEX(Summary!$F$2:$F$201,MATCH($B3072,Summary!$A$2:$A$201,0))</f>
        <v>20</v>
      </c>
      <c r="M3072" s="0" t="n">
        <f aca="false">INDEX(Summary!$I$2:$I$201,MATCH($B3072,Summary!$A$2:$A$201,0))</f>
        <v>4</v>
      </c>
      <c r="N3072" s="0" t="n">
        <f aca="false">INDEX(Summary!$J$2:$J$201,MATCH($B3072,Summary!$A$2:$A$201,0))</f>
        <v>1</v>
      </c>
      <c r="O3072" s="2" t="n">
        <f aca="false">INDEX(Summary!$K$2:$K$201,MATCH($B3072,Summary!$A$2:$A$201,0))</f>
        <v>8.34</v>
      </c>
      <c r="P3072" s="3" t="n">
        <f aca="false">INDEX(Summary!$L$2:$L$201,MATCH($B3072,Summary!$A$2:$A$201,0))</f>
        <v>5</v>
      </c>
      <c r="Q3072" s="3" t="n">
        <f aca="false">INDEX(Summary!$M$2:$M$201,MATCH($B3072,Summary!$A$2:$A$201,0))</f>
        <v>1</v>
      </c>
      <c r="R3072" s="2" t="n">
        <f aca="false">INDEX(Summary!$N$2:$N$201,MATCH($B3072,Summary!$A$2:$A$201,0))</f>
        <v>9.76</v>
      </c>
      <c r="S3072" s="3" t="n">
        <f aca="false">INDEX(Summary!$O$2:$O$201,MATCH($B3072,Summary!$A$2:$A$201,0))</f>
        <v>8</v>
      </c>
      <c r="T3072" s="3" t="n">
        <f aca="false">INDEX(Summary!$P$2:$P$201,MATCH($B3072,Summary!$A$2:$A$201,0))</f>
        <v>1</v>
      </c>
      <c r="U3072" s="2" t="n">
        <f aca="false">INDEX(Summary!$Q$2:$Q$201,MATCH($B3072,Summary!$A$2:$A$201,0))</f>
        <v>13.07</v>
      </c>
      <c r="V3072" s="2" t="n">
        <f aca="false">INDEX(Summary!$R$2:$R$201,MATCH($B3072,Summary!$A$2:$A$201,0))</f>
        <v>32.9</v>
      </c>
      <c r="W3072" s="0" t="str">
        <f aca="false">INDEX(Summary!$S$2:$S$201,MATCH($B3072,Summary!$A$2:$A$201,0))</f>
        <v>Gold</v>
      </c>
      <c r="X3072" s="2" t="n">
        <f aca="false">INDEX(Summary!$T$2:$T$201,MATCH($B3072,Summary!$A$2:$A$201,0))</f>
        <v>80.24</v>
      </c>
      <c r="Y3072" s="0" t="str">
        <f aca="false">INDEX('Reward Model'!$E$18:$E$37,MATCH($E3072,'Reward Model'!$A$18:$A$37,0))</f>
        <v>Medium</v>
      </c>
      <c r="Z3072" s="4" t="n">
        <f aca="false">ROUND(MIN(1,MAX('Reward Model'!$B$2,INDEX('Reward Model'!$C$12:$C$14,MATCH($K3072,'Reward Model'!$A$12:$A$14,0))/$J3072)),3)</f>
        <v>1</v>
      </c>
      <c r="AA3072" s="2" t="n">
        <f aca="false">IF($I3072="Correct",ROUND(INDEX('Reward Model'!$B$12:$B$14,MATCH($K3072,'Reward Model'!$A$12:$A$14,0))*Z3072,2),0)</f>
        <v>2</v>
      </c>
      <c r="AB3072" s="2" t="n">
        <f aca="false">IF($I3072="Correct",ROUND(INDEX('Reward Model'!$B$12:$B$14,MATCH($Y3072,'Reward Model'!$A$12:$A$14,0))*Z3072,2),0)</f>
        <v>2</v>
      </c>
    </row>
    <row r="3073" customFormat="false" ht="15" hidden="false" customHeight="false" outlineLevel="0" collapsed="false">
      <c r="A3073" s="0" t="s">
        <v>438</v>
      </c>
      <c r="B3073" s="0" t="s">
        <v>439</v>
      </c>
      <c r="C3073" s="0" t="s">
        <v>322</v>
      </c>
      <c r="D3073" s="0" t="s">
        <v>189</v>
      </c>
      <c r="E3073" s="0" t="n">
        <v>12</v>
      </c>
      <c r="F3073" s="0" t="s">
        <v>64</v>
      </c>
      <c r="G3073" s="0" t="s">
        <v>65</v>
      </c>
      <c r="H3073" s="0" t="s">
        <v>65</v>
      </c>
      <c r="I3073" s="0" t="s">
        <v>34</v>
      </c>
      <c r="J3073" s="0" t="n">
        <v>1.43</v>
      </c>
      <c r="K3073" s="0" t="s">
        <v>60</v>
      </c>
      <c r="L3073" s="0" t="n">
        <f aca="false">INDEX(Summary!$F$2:$F$201,MATCH($B3073,Summary!$A$2:$A$201,0))</f>
        <v>20</v>
      </c>
      <c r="M3073" s="0" t="n">
        <f aca="false">INDEX(Summary!$I$2:$I$201,MATCH($B3073,Summary!$A$2:$A$201,0))</f>
        <v>4</v>
      </c>
      <c r="N3073" s="0" t="n">
        <f aca="false">INDEX(Summary!$J$2:$J$201,MATCH($B3073,Summary!$A$2:$A$201,0))</f>
        <v>1</v>
      </c>
      <c r="O3073" s="2" t="n">
        <f aca="false">INDEX(Summary!$K$2:$K$201,MATCH($B3073,Summary!$A$2:$A$201,0))</f>
        <v>8.34</v>
      </c>
      <c r="P3073" s="3" t="n">
        <f aca="false">INDEX(Summary!$L$2:$L$201,MATCH($B3073,Summary!$A$2:$A$201,0))</f>
        <v>5</v>
      </c>
      <c r="Q3073" s="3" t="n">
        <f aca="false">INDEX(Summary!$M$2:$M$201,MATCH($B3073,Summary!$A$2:$A$201,0))</f>
        <v>1</v>
      </c>
      <c r="R3073" s="2" t="n">
        <f aca="false">INDEX(Summary!$N$2:$N$201,MATCH($B3073,Summary!$A$2:$A$201,0))</f>
        <v>9.76</v>
      </c>
      <c r="S3073" s="3" t="n">
        <f aca="false">INDEX(Summary!$O$2:$O$201,MATCH($B3073,Summary!$A$2:$A$201,0))</f>
        <v>8</v>
      </c>
      <c r="T3073" s="3" t="n">
        <f aca="false">INDEX(Summary!$P$2:$P$201,MATCH($B3073,Summary!$A$2:$A$201,0))</f>
        <v>1</v>
      </c>
      <c r="U3073" s="2" t="n">
        <f aca="false">INDEX(Summary!$Q$2:$Q$201,MATCH($B3073,Summary!$A$2:$A$201,0))</f>
        <v>13.07</v>
      </c>
      <c r="V3073" s="2" t="n">
        <f aca="false">INDEX(Summary!$R$2:$R$201,MATCH($B3073,Summary!$A$2:$A$201,0))</f>
        <v>32.9</v>
      </c>
      <c r="W3073" s="0" t="str">
        <f aca="false">INDEX(Summary!$S$2:$S$201,MATCH($B3073,Summary!$A$2:$A$201,0))</f>
        <v>Gold</v>
      </c>
      <c r="X3073" s="2" t="n">
        <f aca="false">INDEX(Summary!$T$2:$T$201,MATCH($B3073,Summary!$A$2:$A$201,0))</f>
        <v>80.24</v>
      </c>
      <c r="Y3073" s="0" t="str">
        <f aca="false">INDEX('Reward Model'!$E$18:$E$37,MATCH($E3073,'Reward Model'!$A$18:$A$37,0))</f>
        <v>Medium</v>
      </c>
      <c r="Z3073" s="4" t="n">
        <f aca="false">ROUND(MIN(1,MAX('Reward Model'!$B$2,INDEX('Reward Model'!$C$12:$C$14,MATCH($K3073,'Reward Model'!$A$12:$A$14,0))/$J3073)),3)</f>
        <v>1</v>
      </c>
      <c r="AA3073" s="2" t="n">
        <f aca="false">IF($I3073="Correct",ROUND(INDEX('Reward Model'!$B$12:$B$14,MATCH($K3073,'Reward Model'!$A$12:$A$14,0))*Z3073,2),0)</f>
        <v>2</v>
      </c>
      <c r="AB3073" s="2" t="n">
        <f aca="false">IF($I3073="Correct",ROUND(INDEX('Reward Model'!$B$12:$B$14,MATCH($Y3073,'Reward Model'!$A$12:$A$14,0))*Z3073,2),0)</f>
        <v>2</v>
      </c>
    </row>
    <row r="3074" customFormat="false" ht="15" hidden="false" customHeight="false" outlineLevel="0" collapsed="false">
      <c r="A3074" s="0" t="s">
        <v>438</v>
      </c>
      <c r="B3074" s="0" t="s">
        <v>439</v>
      </c>
      <c r="C3074" s="0" t="s">
        <v>322</v>
      </c>
      <c r="D3074" s="0" t="s">
        <v>189</v>
      </c>
      <c r="E3074" s="0" t="n">
        <v>13</v>
      </c>
      <c r="F3074" s="0" t="s">
        <v>66</v>
      </c>
      <c r="G3074" s="0" t="s">
        <v>67</v>
      </c>
      <c r="H3074" s="0" t="s">
        <v>67</v>
      </c>
      <c r="I3074" s="0" t="s">
        <v>34</v>
      </c>
      <c r="J3074" s="0" t="n">
        <v>2.15</v>
      </c>
      <c r="K3074" s="0" t="s">
        <v>60</v>
      </c>
      <c r="L3074" s="0" t="n">
        <f aca="false">INDEX(Summary!$F$2:$F$201,MATCH($B3074,Summary!$A$2:$A$201,0))</f>
        <v>20</v>
      </c>
      <c r="M3074" s="0" t="n">
        <f aca="false">INDEX(Summary!$I$2:$I$201,MATCH($B3074,Summary!$A$2:$A$201,0))</f>
        <v>4</v>
      </c>
      <c r="N3074" s="0" t="n">
        <f aca="false">INDEX(Summary!$J$2:$J$201,MATCH($B3074,Summary!$A$2:$A$201,0))</f>
        <v>1</v>
      </c>
      <c r="O3074" s="2" t="n">
        <f aca="false">INDEX(Summary!$K$2:$K$201,MATCH($B3074,Summary!$A$2:$A$201,0))</f>
        <v>8.34</v>
      </c>
      <c r="P3074" s="3" t="n">
        <f aca="false">INDEX(Summary!$L$2:$L$201,MATCH($B3074,Summary!$A$2:$A$201,0))</f>
        <v>5</v>
      </c>
      <c r="Q3074" s="3" t="n">
        <f aca="false">INDEX(Summary!$M$2:$M$201,MATCH($B3074,Summary!$A$2:$A$201,0))</f>
        <v>1</v>
      </c>
      <c r="R3074" s="2" t="n">
        <f aca="false">INDEX(Summary!$N$2:$N$201,MATCH($B3074,Summary!$A$2:$A$201,0))</f>
        <v>9.76</v>
      </c>
      <c r="S3074" s="3" t="n">
        <f aca="false">INDEX(Summary!$O$2:$O$201,MATCH($B3074,Summary!$A$2:$A$201,0))</f>
        <v>8</v>
      </c>
      <c r="T3074" s="3" t="n">
        <f aca="false">INDEX(Summary!$P$2:$P$201,MATCH($B3074,Summary!$A$2:$A$201,0))</f>
        <v>1</v>
      </c>
      <c r="U3074" s="2" t="n">
        <f aca="false">INDEX(Summary!$Q$2:$Q$201,MATCH($B3074,Summary!$A$2:$A$201,0))</f>
        <v>13.07</v>
      </c>
      <c r="V3074" s="2" t="n">
        <f aca="false">INDEX(Summary!$R$2:$R$201,MATCH($B3074,Summary!$A$2:$A$201,0))</f>
        <v>32.9</v>
      </c>
      <c r="W3074" s="0" t="str">
        <f aca="false">INDEX(Summary!$S$2:$S$201,MATCH($B3074,Summary!$A$2:$A$201,0))</f>
        <v>Gold</v>
      </c>
      <c r="X3074" s="2" t="n">
        <f aca="false">INDEX(Summary!$T$2:$T$201,MATCH($B3074,Summary!$A$2:$A$201,0))</f>
        <v>80.24</v>
      </c>
      <c r="Y3074" s="0" t="str">
        <f aca="false">INDEX('Reward Model'!$E$18:$E$37,MATCH($E3074,'Reward Model'!$A$18:$A$37,0))</f>
        <v>Medium</v>
      </c>
      <c r="Z3074" s="4" t="n">
        <f aca="false">ROUND(MIN(1,MAX('Reward Model'!$B$2,INDEX('Reward Model'!$C$12:$C$14,MATCH($K3074,'Reward Model'!$A$12:$A$14,0))/$J3074)),3)</f>
        <v>0.837</v>
      </c>
      <c r="AA3074" s="2" t="n">
        <f aca="false">IF($I3074="Correct",ROUND(INDEX('Reward Model'!$B$12:$B$14,MATCH($K3074,'Reward Model'!$A$12:$A$14,0))*Z3074,2),0)</f>
        <v>1.67</v>
      </c>
      <c r="AB3074" s="2" t="n">
        <f aca="false">IF($I3074="Correct",ROUND(INDEX('Reward Model'!$B$12:$B$14,MATCH($Y3074,'Reward Model'!$A$12:$A$14,0))*Z3074,2),0)</f>
        <v>1.67</v>
      </c>
    </row>
    <row r="3075" customFormat="false" ht="15" hidden="false" customHeight="false" outlineLevel="0" collapsed="false">
      <c r="A3075" s="0" t="s">
        <v>438</v>
      </c>
      <c r="B3075" s="0" t="s">
        <v>439</v>
      </c>
      <c r="C3075" s="0" t="s">
        <v>322</v>
      </c>
      <c r="D3075" s="0" t="s">
        <v>189</v>
      </c>
      <c r="E3075" s="0" t="n">
        <v>14</v>
      </c>
      <c r="F3075" s="0" t="s">
        <v>68</v>
      </c>
      <c r="G3075" s="0" t="s">
        <v>51</v>
      </c>
      <c r="H3075" s="0" t="s">
        <v>51</v>
      </c>
      <c r="I3075" s="0" t="s">
        <v>34</v>
      </c>
      <c r="J3075" s="0" t="n">
        <v>1.98</v>
      </c>
      <c r="K3075" s="0" t="s">
        <v>60</v>
      </c>
      <c r="L3075" s="0" t="n">
        <f aca="false">INDEX(Summary!$F$2:$F$201,MATCH($B3075,Summary!$A$2:$A$201,0))</f>
        <v>20</v>
      </c>
      <c r="M3075" s="0" t="n">
        <f aca="false">INDEX(Summary!$I$2:$I$201,MATCH($B3075,Summary!$A$2:$A$201,0))</f>
        <v>4</v>
      </c>
      <c r="N3075" s="0" t="n">
        <f aca="false">INDEX(Summary!$J$2:$J$201,MATCH($B3075,Summary!$A$2:$A$201,0))</f>
        <v>1</v>
      </c>
      <c r="O3075" s="2" t="n">
        <f aca="false">INDEX(Summary!$K$2:$K$201,MATCH($B3075,Summary!$A$2:$A$201,0))</f>
        <v>8.34</v>
      </c>
      <c r="P3075" s="3" t="n">
        <f aca="false">INDEX(Summary!$L$2:$L$201,MATCH($B3075,Summary!$A$2:$A$201,0))</f>
        <v>5</v>
      </c>
      <c r="Q3075" s="3" t="n">
        <f aca="false">INDEX(Summary!$M$2:$M$201,MATCH($B3075,Summary!$A$2:$A$201,0))</f>
        <v>1</v>
      </c>
      <c r="R3075" s="2" t="n">
        <f aca="false">INDEX(Summary!$N$2:$N$201,MATCH($B3075,Summary!$A$2:$A$201,0))</f>
        <v>9.76</v>
      </c>
      <c r="S3075" s="3" t="n">
        <f aca="false">INDEX(Summary!$O$2:$O$201,MATCH($B3075,Summary!$A$2:$A$201,0))</f>
        <v>8</v>
      </c>
      <c r="T3075" s="3" t="n">
        <f aca="false">INDEX(Summary!$P$2:$P$201,MATCH($B3075,Summary!$A$2:$A$201,0))</f>
        <v>1</v>
      </c>
      <c r="U3075" s="2" t="n">
        <f aca="false">INDEX(Summary!$Q$2:$Q$201,MATCH($B3075,Summary!$A$2:$A$201,0))</f>
        <v>13.07</v>
      </c>
      <c r="V3075" s="2" t="n">
        <f aca="false">INDEX(Summary!$R$2:$R$201,MATCH($B3075,Summary!$A$2:$A$201,0))</f>
        <v>32.9</v>
      </c>
      <c r="W3075" s="0" t="str">
        <f aca="false">INDEX(Summary!$S$2:$S$201,MATCH($B3075,Summary!$A$2:$A$201,0))</f>
        <v>Gold</v>
      </c>
      <c r="X3075" s="2" t="n">
        <f aca="false">INDEX(Summary!$T$2:$T$201,MATCH($B3075,Summary!$A$2:$A$201,0))</f>
        <v>80.24</v>
      </c>
      <c r="Y3075" s="0" t="str">
        <f aca="false">INDEX('Reward Model'!$E$18:$E$37,MATCH($E3075,'Reward Model'!$A$18:$A$37,0))</f>
        <v>Medium</v>
      </c>
      <c r="Z3075" s="4" t="n">
        <f aca="false">ROUND(MIN(1,MAX('Reward Model'!$B$2,INDEX('Reward Model'!$C$12:$C$14,MATCH($K3075,'Reward Model'!$A$12:$A$14,0))/$J3075)),3)</f>
        <v>0.909</v>
      </c>
      <c r="AA3075" s="2" t="n">
        <f aca="false">IF($I3075="Correct",ROUND(INDEX('Reward Model'!$B$12:$B$14,MATCH($K3075,'Reward Model'!$A$12:$A$14,0))*Z3075,2),0)</f>
        <v>1.82</v>
      </c>
      <c r="AB3075" s="2" t="n">
        <f aca="false">IF($I3075="Correct",ROUND(INDEX('Reward Model'!$B$12:$B$14,MATCH($Y3075,'Reward Model'!$A$12:$A$14,0))*Z3075,2),0)</f>
        <v>1.82</v>
      </c>
    </row>
    <row r="3076" customFormat="false" ht="15" hidden="false" customHeight="false" outlineLevel="0" collapsed="false">
      <c r="A3076" s="0" t="s">
        <v>438</v>
      </c>
      <c r="B3076" s="0" t="s">
        <v>439</v>
      </c>
      <c r="C3076" s="0" t="s">
        <v>322</v>
      </c>
      <c r="D3076" s="0" t="s">
        <v>189</v>
      </c>
      <c r="E3076" s="0" t="n">
        <v>15</v>
      </c>
      <c r="F3076" s="0" t="s">
        <v>69</v>
      </c>
      <c r="G3076" s="0" t="s">
        <v>139</v>
      </c>
      <c r="H3076" s="0" t="s">
        <v>70</v>
      </c>
      <c r="I3076" s="0" t="s">
        <v>39</v>
      </c>
      <c r="J3076" s="0" t="n">
        <v>1.21</v>
      </c>
      <c r="K3076" s="0" t="s">
        <v>60</v>
      </c>
      <c r="L3076" s="0" t="n">
        <f aca="false">INDEX(Summary!$F$2:$F$201,MATCH($B3076,Summary!$A$2:$A$201,0))</f>
        <v>20</v>
      </c>
      <c r="M3076" s="0" t="n">
        <f aca="false">INDEX(Summary!$I$2:$I$201,MATCH($B3076,Summary!$A$2:$A$201,0))</f>
        <v>4</v>
      </c>
      <c r="N3076" s="0" t="n">
        <f aca="false">INDEX(Summary!$J$2:$J$201,MATCH($B3076,Summary!$A$2:$A$201,0))</f>
        <v>1</v>
      </c>
      <c r="O3076" s="2" t="n">
        <f aca="false">INDEX(Summary!$K$2:$K$201,MATCH($B3076,Summary!$A$2:$A$201,0))</f>
        <v>8.34</v>
      </c>
      <c r="P3076" s="3" t="n">
        <f aca="false">INDEX(Summary!$L$2:$L$201,MATCH($B3076,Summary!$A$2:$A$201,0))</f>
        <v>5</v>
      </c>
      <c r="Q3076" s="3" t="n">
        <f aca="false">INDEX(Summary!$M$2:$M$201,MATCH($B3076,Summary!$A$2:$A$201,0))</f>
        <v>1</v>
      </c>
      <c r="R3076" s="2" t="n">
        <f aca="false">INDEX(Summary!$N$2:$N$201,MATCH($B3076,Summary!$A$2:$A$201,0))</f>
        <v>9.76</v>
      </c>
      <c r="S3076" s="3" t="n">
        <f aca="false">INDEX(Summary!$O$2:$O$201,MATCH($B3076,Summary!$A$2:$A$201,0))</f>
        <v>8</v>
      </c>
      <c r="T3076" s="3" t="n">
        <f aca="false">INDEX(Summary!$P$2:$P$201,MATCH($B3076,Summary!$A$2:$A$201,0))</f>
        <v>1</v>
      </c>
      <c r="U3076" s="2" t="n">
        <f aca="false">INDEX(Summary!$Q$2:$Q$201,MATCH($B3076,Summary!$A$2:$A$201,0))</f>
        <v>13.07</v>
      </c>
      <c r="V3076" s="2" t="n">
        <f aca="false">INDEX(Summary!$R$2:$R$201,MATCH($B3076,Summary!$A$2:$A$201,0))</f>
        <v>32.9</v>
      </c>
      <c r="W3076" s="0" t="str">
        <f aca="false">INDEX(Summary!$S$2:$S$201,MATCH($B3076,Summary!$A$2:$A$201,0))</f>
        <v>Gold</v>
      </c>
      <c r="X3076" s="2" t="n">
        <f aca="false">INDEX(Summary!$T$2:$T$201,MATCH($B3076,Summary!$A$2:$A$201,0))</f>
        <v>80.24</v>
      </c>
      <c r="Y3076" s="0" t="str">
        <f aca="false">INDEX('Reward Model'!$E$18:$E$37,MATCH($E3076,'Reward Model'!$A$18:$A$37,0))</f>
        <v>Medium</v>
      </c>
      <c r="Z3076" s="4" t="n">
        <f aca="false">ROUND(MIN(1,MAX('Reward Model'!$B$2,INDEX('Reward Model'!$C$12:$C$14,MATCH($K3076,'Reward Model'!$A$12:$A$14,0))/$J3076)),3)</f>
        <v>1</v>
      </c>
      <c r="AA3076" s="2" t="n">
        <f aca="false">IF($I3076="Correct",ROUND(INDEX('Reward Model'!$B$12:$B$14,MATCH($K3076,'Reward Model'!$A$12:$A$14,0))*Z3076,2),0)</f>
        <v>0</v>
      </c>
      <c r="AB3076" s="2" t="n">
        <f aca="false">IF($I3076="Correct",ROUND(INDEX('Reward Model'!$B$12:$B$14,MATCH($Y3076,'Reward Model'!$A$12:$A$14,0))*Z3076,2),0)</f>
        <v>0</v>
      </c>
    </row>
    <row r="3077" customFormat="false" ht="15" hidden="false" customHeight="false" outlineLevel="0" collapsed="false">
      <c r="A3077" s="0" t="s">
        <v>438</v>
      </c>
      <c r="B3077" s="0" t="s">
        <v>439</v>
      </c>
      <c r="C3077" s="0" t="s">
        <v>322</v>
      </c>
      <c r="D3077" s="0" t="s">
        <v>189</v>
      </c>
      <c r="E3077" s="0" t="n">
        <v>16</v>
      </c>
      <c r="F3077" s="0" t="s">
        <v>71</v>
      </c>
      <c r="G3077" s="0" t="s">
        <v>72</v>
      </c>
      <c r="H3077" s="0" t="s">
        <v>72</v>
      </c>
      <c r="I3077" s="0" t="s">
        <v>34</v>
      </c>
      <c r="J3077" s="0" t="n">
        <v>1.68</v>
      </c>
      <c r="K3077" s="0" t="s">
        <v>73</v>
      </c>
      <c r="L3077" s="0" t="n">
        <f aca="false">INDEX(Summary!$F$2:$F$201,MATCH($B3077,Summary!$A$2:$A$201,0))</f>
        <v>20</v>
      </c>
      <c r="M3077" s="0" t="n">
        <f aca="false">INDEX(Summary!$I$2:$I$201,MATCH($B3077,Summary!$A$2:$A$201,0))</f>
        <v>4</v>
      </c>
      <c r="N3077" s="0" t="n">
        <f aca="false">INDEX(Summary!$J$2:$J$201,MATCH($B3077,Summary!$A$2:$A$201,0))</f>
        <v>1</v>
      </c>
      <c r="O3077" s="2" t="n">
        <f aca="false">INDEX(Summary!$K$2:$K$201,MATCH($B3077,Summary!$A$2:$A$201,0))</f>
        <v>8.34</v>
      </c>
      <c r="P3077" s="3" t="n">
        <f aca="false">INDEX(Summary!$L$2:$L$201,MATCH($B3077,Summary!$A$2:$A$201,0))</f>
        <v>5</v>
      </c>
      <c r="Q3077" s="3" t="n">
        <f aca="false">INDEX(Summary!$M$2:$M$201,MATCH($B3077,Summary!$A$2:$A$201,0))</f>
        <v>1</v>
      </c>
      <c r="R3077" s="2" t="n">
        <f aca="false">INDEX(Summary!$N$2:$N$201,MATCH($B3077,Summary!$A$2:$A$201,0))</f>
        <v>9.76</v>
      </c>
      <c r="S3077" s="3" t="n">
        <f aca="false">INDEX(Summary!$O$2:$O$201,MATCH($B3077,Summary!$A$2:$A$201,0))</f>
        <v>8</v>
      </c>
      <c r="T3077" s="3" t="n">
        <f aca="false">INDEX(Summary!$P$2:$P$201,MATCH($B3077,Summary!$A$2:$A$201,0))</f>
        <v>1</v>
      </c>
      <c r="U3077" s="2" t="n">
        <f aca="false">INDEX(Summary!$Q$2:$Q$201,MATCH($B3077,Summary!$A$2:$A$201,0))</f>
        <v>13.07</v>
      </c>
      <c r="V3077" s="2" t="n">
        <f aca="false">INDEX(Summary!$R$2:$R$201,MATCH($B3077,Summary!$A$2:$A$201,0))</f>
        <v>32.9</v>
      </c>
      <c r="W3077" s="0" t="str">
        <f aca="false">INDEX(Summary!$S$2:$S$201,MATCH($B3077,Summary!$A$2:$A$201,0))</f>
        <v>Gold</v>
      </c>
      <c r="X3077" s="2" t="n">
        <f aca="false">INDEX(Summary!$T$2:$T$201,MATCH($B3077,Summary!$A$2:$A$201,0))</f>
        <v>80.24</v>
      </c>
      <c r="Y3077" s="0" t="str">
        <f aca="false">INDEX('Reward Model'!$E$18:$E$37,MATCH($E3077,'Reward Model'!$A$18:$A$37,0))</f>
        <v>High</v>
      </c>
      <c r="Z3077" s="4" t="n">
        <f aca="false">ROUND(MIN(1,MAX('Reward Model'!$B$2,INDEX('Reward Model'!$C$12:$C$14,MATCH($K3077,'Reward Model'!$A$12:$A$14,0))/$J3077)),3)</f>
        <v>1</v>
      </c>
      <c r="AA3077" s="2" t="n">
        <f aca="false">IF($I3077="Correct",ROUND(INDEX('Reward Model'!$B$12:$B$14,MATCH($K3077,'Reward Model'!$A$12:$A$14,0))*Z3077,2),0)</f>
        <v>3</v>
      </c>
      <c r="AB3077" s="2" t="n">
        <f aca="false">IF($I3077="Correct",ROUND(INDEX('Reward Model'!$B$12:$B$14,MATCH($Y3077,'Reward Model'!$A$12:$A$14,0))*Z3077,2),0)</f>
        <v>3</v>
      </c>
    </row>
    <row r="3078" customFormat="false" ht="15" hidden="false" customHeight="false" outlineLevel="0" collapsed="false">
      <c r="A3078" s="0" t="s">
        <v>438</v>
      </c>
      <c r="B3078" s="0" t="s">
        <v>439</v>
      </c>
      <c r="C3078" s="0" t="s">
        <v>322</v>
      </c>
      <c r="D3078" s="0" t="s">
        <v>189</v>
      </c>
      <c r="E3078" s="0" t="n">
        <v>17</v>
      </c>
      <c r="F3078" s="0" t="s">
        <v>74</v>
      </c>
      <c r="G3078" s="0" t="s">
        <v>75</v>
      </c>
      <c r="H3078" s="0" t="s">
        <v>75</v>
      </c>
      <c r="I3078" s="0" t="s">
        <v>34</v>
      </c>
      <c r="J3078" s="0" t="n">
        <v>1.37</v>
      </c>
      <c r="K3078" s="0" t="s">
        <v>73</v>
      </c>
      <c r="L3078" s="0" t="n">
        <f aca="false">INDEX(Summary!$F$2:$F$201,MATCH($B3078,Summary!$A$2:$A$201,0))</f>
        <v>20</v>
      </c>
      <c r="M3078" s="0" t="n">
        <f aca="false">INDEX(Summary!$I$2:$I$201,MATCH($B3078,Summary!$A$2:$A$201,0))</f>
        <v>4</v>
      </c>
      <c r="N3078" s="0" t="n">
        <f aca="false">INDEX(Summary!$J$2:$J$201,MATCH($B3078,Summary!$A$2:$A$201,0))</f>
        <v>1</v>
      </c>
      <c r="O3078" s="2" t="n">
        <f aca="false">INDEX(Summary!$K$2:$K$201,MATCH($B3078,Summary!$A$2:$A$201,0))</f>
        <v>8.34</v>
      </c>
      <c r="P3078" s="3" t="n">
        <f aca="false">INDEX(Summary!$L$2:$L$201,MATCH($B3078,Summary!$A$2:$A$201,0))</f>
        <v>5</v>
      </c>
      <c r="Q3078" s="3" t="n">
        <f aca="false">INDEX(Summary!$M$2:$M$201,MATCH($B3078,Summary!$A$2:$A$201,0))</f>
        <v>1</v>
      </c>
      <c r="R3078" s="2" t="n">
        <f aca="false">INDEX(Summary!$N$2:$N$201,MATCH($B3078,Summary!$A$2:$A$201,0))</f>
        <v>9.76</v>
      </c>
      <c r="S3078" s="3" t="n">
        <f aca="false">INDEX(Summary!$O$2:$O$201,MATCH($B3078,Summary!$A$2:$A$201,0))</f>
        <v>8</v>
      </c>
      <c r="T3078" s="3" t="n">
        <f aca="false">INDEX(Summary!$P$2:$P$201,MATCH($B3078,Summary!$A$2:$A$201,0))</f>
        <v>1</v>
      </c>
      <c r="U3078" s="2" t="n">
        <f aca="false">INDEX(Summary!$Q$2:$Q$201,MATCH($B3078,Summary!$A$2:$A$201,0))</f>
        <v>13.07</v>
      </c>
      <c r="V3078" s="2" t="n">
        <f aca="false">INDEX(Summary!$R$2:$R$201,MATCH($B3078,Summary!$A$2:$A$201,0))</f>
        <v>32.9</v>
      </c>
      <c r="W3078" s="0" t="str">
        <f aca="false">INDEX(Summary!$S$2:$S$201,MATCH($B3078,Summary!$A$2:$A$201,0))</f>
        <v>Gold</v>
      </c>
      <c r="X3078" s="2" t="n">
        <f aca="false">INDEX(Summary!$T$2:$T$201,MATCH($B3078,Summary!$A$2:$A$201,0))</f>
        <v>80.24</v>
      </c>
      <c r="Y3078" s="0" t="str">
        <f aca="false">INDEX('Reward Model'!$E$18:$E$37,MATCH($E3078,'Reward Model'!$A$18:$A$37,0))</f>
        <v>High</v>
      </c>
      <c r="Z3078" s="4" t="n">
        <f aca="false">ROUND(MIN(1,MAX('Reward Model'!$B$2,INDEX('Reward Model'!$C$12:$C$14,MATCH($K3078,'Reward Model'!$A$12:$A$14,0))/$J3078)),3)</f>
        <v>1</v>
      </c>
      <c r="AA3078" s="2" t="n">
        <f aca="false">IF($I3078="Correct",ROUND(INDEX('Reward Model'!$B$12:$B$14,MATCH($K3078,'Reward Model'!$A$12:$A$14,0))*Z3078,2),0)</f>
        <v>3</v>
      </c>
      <c r="AB3078" s="2" t="n">
        <f aca="false">IF($I3078="Correct",ROUND(INDEX('Reward Model'!$B$12:$B$14,MATCH($Y3078,'Reward Model'!$A$12:$A$14,0))*Z3078,2),0)</f>
        <v>3</v>
      </c>
    </row>
    <row r="3079" customFormat="false" ht="15" hidden="false" customHeight="false" outlineLevel="0" collapsed="false">
      <c r="A3079" s="0" t="s">
        <v>438</v>
      </c>
      <c r="B3079" s="0" t="s">
        <v>439</v>
      </c>
      <c r="C3079" s="0" t="s">
        <v>322</v>
      </c>
      <c r="D3079" s="0" t="s">
        <v>189</v>
      </c>
      <c r="E3079" s="0" t="n">
        <v>18</v>
      </c>
      <c r="F3079" s="0" t="s">
        <v>76</v>
      </c>
      <c r="G3079" s="0" t="s">
        <v>77</v>
      </c>
      <c r="H3079" s="0" t="s">
        <v>77</v>
      </c>
      <c r="I3079" s="0" t="s">
        <v>34</v>
      </c>
      <c r="J3079" s="0" t="n">
        <v>1.38</v>
      </c>
      <c r="K3079" s="0" t="s">
        <v>73</v>
      </c>
      <c r="L3079" s="0" t="n">
        <f aca="false">INDEX(Summary!$F$2:$F$201,MATCH($B3079,Summary!$A$2:$A$201,0))</f>
        <v>20</v>
      </c>
      <c r="M3079" s="0" t="n">
        <f aca="false">INDEX(Summary!$I$2:$I$201,MATCH($B3079,Summary!$A$2:$A$201,0))</f>
        <v>4</v>
      </c>
      <c r="N3079" s="0" t="n">
        <f aca="false">INDEX(Summary!$J$2:$J$201,MATCH($B3079,Summary!$A$2:$A$201,0))</f>
        <v>1</v>
      </c>
      <c r="O3079" s="2" t="n">
        <f aca="false">INDEX(Summary!$K$2:$K$201,MATCH($B3079,Summary!$A$2:$A$201,0))</f>
        <v>8.34</v>
      </c>
      <c r="P3079" s="3" t="n">
        <f aca="false">INDEX(Summary!$L$2:$L$201,MATCH($B3079,Summary!$A$2:$A$201,0))</f>
        <v>5</v>
      </c>
      <c r="Q3079" s="3" t="n">
        <f aca="false">INDEX(Summary!$M$2:$M$201,MATCH($B3079,Summary!$A$2:$A$201,0))</f>
        <v>1</v>
      </c>
      <c r="R3079" s="2" t="n">
        <f aca="false">INDEX(Summary!$N$2:$N$201,MATCH($B3079,Summary!$A$2:$A$201,0))</f>
        <v>9.76</v>
      </c>
      <c r="S3079" s="3" t="n">
        <f aca="false">INDEX(Summary!$O$2:$O$201,MATCH($B3079,Summary!$A$2:$A$201,0))</f>
        <v>8</v>
      </c>
      <c r="T3079" s="3" t="n">
        <f aca="false">INDEX(Summary!$P$2:$P$201,MATCH($B3079,Summary!$A$2:$A$201,0))</f>
        <v>1</v>
      </c>
      <c r="U3079" s="2" t="n">
        <f aca="false">INDEX(Summary!$Q$2:$Q$201,MATCH($B3079,Summary!$A$2:$A$201,0))</f>
        <v>13.07</v>
      </c>
      <c r="V3079" s="2" t="n">
        <f aca="false">INDEX(Summary!$R$2:$R$201,MATCH($B3079,Summary!$A$2:$A$201,0))</f>
        <v>32.9</v>
      </c>
      <c r="W3079" s="0" t="str">
        <f aca="false">INDEX(Summary!$S$2:$S$201,MATCH($B3079,Summary!$A$2:$A$201,0))</f>
        <v>Gold</v>
      </c>
      <c r="X3079" s="2" t="n">
        <f aca="false">INDEX(Summary!$T$2:$T$201,MATCH($B3079,Summary!$A$2:$A$201,0))</f>
        <v>80.24</v>
      </c>
      <c r="Y3079" s="0" t="str">
        <f aca="false">INDEX('Reward Model'!$E$18:$E$37,MATCH($E3079,'Reward Model'!$A$18:$A$37,0))</f>
        <v>High</v>
      </c>
      <c r="Z3079" s="4" t="n">
        <f aca="false">ROUND(MIN(1,MAX('Reward Model'!$B$2,INDEX('Reward Model'!$C$12:$C$14,MATCH($K3079,'Reward Model'!$A$12:$A$14,0))/$J3079)),3)</f>
        <v>1</v>
      </c>
      <c r="AA3079" s="2" t="n">
        <f aca="false">IF($I3079="Correct",ROUND(INDEX('Reward Model'!$B$12:$B$14,MATCH($K3079,'Reward Model'!$A$12:$A$14,0))*Z3079,2),0)</f>
        <v>3</v>
      </c>
      <c r="AB3079" s="2" t="n">
        <f aca="false">IF($I3079="Correct",ROUND(INDEX('Reward Model'!$B$12:$B$14,MATCH($Y3079,'Reward Model'!$A$12:$A$14,0))*Z3079,2),0)</f>
        <v>3</v>
      </c>
    </row>
    <row r="3080" customFormat="false" ht="15" hidden="false" customHeight="false" outlineLevel="0" collapsed="false">
      <c r="A3080" s="0" t="s">
        <v>438</v>
      </c>
      <c r="B3080" s="0" t="s">
        <v>439</v>
      </c>
      <c r="C3080" s="0" t="s">
        <v>322</v>
      </c>
      <c r="D3080" s="0" t="s">
        <v>189</v>
      </c>
      <c r="E3080" s="0" t="n">
        <v>19</v>
      </c>
      <c r="F3080" s="0" t="s">
        <v>78</v>
      </c>
      <c r="G3080" s="0" t="s">
        <v>79</v>
      </c>
      <c r="H3080" s="0" t="s">
        <v>80</v>
      </c>
      <c r="I3080" s="0" t="s">
        <v>39</v>
      </c>
      <c r="J3080" s="0" t="n">
        <v>2.15</v>
      </c>
      <c r="K3080" s="0" t="s">
        <v>73</v>
      </c>
      <c r="L3080" s="0" t="n">
        <f aca="false">INDEX(Summary!$F$2:$F$201,MATCH($B3080,Summary!$A$2:$A$201,0))</f>
        <v>20</v>
      </c>
      <c r="M3080" s="0" t="n">
        <f aca="false">INDEX(Summary!$I$2:$I$201,MATCH($B3080,Summary!$A$2:$A$201,0))</f>
        <v>4</v>
      </c>
      <c r="N3080" s="0" t="n">
        <f aca="false">INDEX(Summary!$J$2:$J$201,MATCH($B3080,Summary!$A$2:$A$201,0))</f>
        <v>1</v>
      </c>
      <c r="O3080" s="2" t="n">
        <f aca="false">INDEX(Summary!$K$2:$K$201,MATCH($B3080,Summary!$A$2:$A$201,0))</f>
        <v>8.34</v>
      </c>
      <c r="P3080" s="3" t="n">
        <f aca="false">INDEX(Summary!$L$2:$L$201,MATCH($B3080,Summary!$A$2:$A$201,0))</f>
        <v>5</v>
      </c>
      <c r="Q3080" s="3" t="n">
        <f aca="false">INDEX(Summary!$M$2:$M$201,MATCH($B3080,Summary!$A$2:$A$201,0))</f>
        <v>1</v>
      </c>
      <c r="R3080" s="2" t="n">
        <f aca="false">INDEX(Summary!$N$2:$N$201,MATCH($B3080,Summary!$A$2:$A$201,0))</f>
        <v>9.76</v>
      </c>
      <c r="S3080" s="3" t="n">
        <f aca="false">INDEX(Summary!$O$2:$O$201,MATCH($B3080,Summary!$A$2:$A$201,0))</f>
        <v>8</v>
      </c>
      <c r="T3080" s="3" t="n">
        <f aca="false">INDEX(Summary!$P$2:$P$201,MATCH($B3080,Summary!$A$2:$A$201,0))</f>
        <v>1</v>
      </c>
      <c r="U3080" s="2" t="n">
        <f aca="false">INDEX(Summary!$Q$2:$Q$201,MATCH($B3080,Summary!$A$2:$A$201,0))</f>
        <v>13.07</v>
      </c>
      <c r="V3080" s="2" t="n">
        <f aca="false">INDEX(Summary!$R$2:$R$201,MATCH($B3080,Summary!$A$2:$A$201,0))</f>
        <v>32.9</v>
      </c>
      <c r="W3080" s="0" t="str">
        <f aca="false">INDEX(Summary!$S$2:$S$201,MATCH($B3080,Summary!$A$2:$A$201,0))</f>
        <v>Gold</v>
      </c>
      <c r="X3080" s="2" t="n">
        <f aca="false">INDEX(Summary!$T$2:$T$201,MATCH($B3080,Summary!$A$2:$A$201,0))</f>
        <v>80.24</v>
      </c>
      <c r="Y3080" s="0" t="str">
        <f aca="false">INDEX('Reward Model'!$E$18:$E$37,MATCH($E3080,'Reward Model'!$A$18:$A$37,0))</f>
        <v>High</v>
      </c>
      <c r="Z3080" s="4" t="n">
        <f aca="false">ROUND(MIN(1,MAX('Reward Model'!$B$2,INDEX('Reward Model'!$C$12:$C$14,MATCH($K3080,'Reward Model'!$A$12:$A$14,0))/$J3080)),3)</f>
        <v>0.93</v>
      </c>
      <c r="AA3080" s="2" t="n">
        <f aca="false">IF($I3080="Correct",ROUND(INDEX('Reward Model'!$B$12:$B$14,MATCH($K3080,'Reward Model'!$A$12:$A$14,0))*Z3080,2),0)</f>
        <v>0</v>
      </c>
      <c r="AB3080" s="2" t="n">
        <f aca="false">IF($I3080="Correct",ROUND(INDEX('Reward Model'!$B$12:$B$14,MATCH($Y3080,'Reward Model'!$A$12:$A$14,0))*Z3080,2),0)</f>
        <v>0</v>
      </c>
    </row>
    <row r="3081" customFormat="false" ht="15" hidden="false" customHeight="false" outlineLevel="0" collapsed="false">
      <c r="A3081" s="0" t="s">
        <v>438</v>
      </c>
      <c r="B3081" s="0" t="s">
        <v>439</v>
      </c>
      <c r="C3081" s="0" t="s">
        <v>322</v>
      </c>
      <c r="D3081" s="0" t="s">
        <v>189</v>
      </c>
      <c r="E3081" s="0" t="n">
        <v>20</v>
      </c>
      <c r="F3081" s="0" t="s">
        <v>81</v>
      </c>
      <c r="G3081" s="0" t="s">
        <v>83</v>
      </c>
      <c r="H3081" s="0" t="s">
        <v>83</v>
      </c>
      <c r="I3081" s="0" t="s">
        <v>34</v>
      </c>
      <c r="J3081" s="0" t="n">
        <v>1.76</v>
      </c>
      <c r="K3081" s="0" t="s">
        <v>73</v>
      </c>
      <c r="L3081" s="0" t="n">
        <f aca="false">INDEX(Summary!$F$2:$F$201,MATCH($B3081,Summary!$A$2:$A$201,0))</f>
        <v>20</v>
      </c>
      <c r="M3081" s="0" t="n">
        <f aca="false">INDEX(Summary!$I$2:$I$201,MATCH($B3081,Summary!$A$2:$A$201,0))</f>
        <v>4</v>
      </c>
      <c r="N3081" s="0" t="n">
        <f aca="false">INDEX(Summary!$J$2:$J$201,MATCH($B3081,Summary!$A$2:$A$201,0))</f>
        <v>1</v>
      </c>
      <c r="O3081" s="2" t="n">
        <f aca="false">INDEX(Summary!$K$2:$K$201,MATCH($B3081,Summary!$A$2:$A$201,0))</f>
        <v>8.34</v>
      </c>
      <c r="P3081" s="3" t="n">
        <f aca="false">INDEX(Summary!$L$2:$L$201,MATCH($B3081,Summary!$A$2:$A$201,0))</f>
        <v>5</v>
      </c>
      <c r="Q3081" s="3" t="n">
        <f aca="false">INDEX(Summary!$M$2:$M$201,MATCH($B3081,Summary!$A$2:$A$201,0))</f>
        <v>1</v>
      </c>
      <c r="R3081" s="2" t="n">
        <f aca="false">INDEX(Summary!$N$2:$N$201,MATCH($B3081,Summary!$A$2:$A$201,0))</f>
        <v>9.76</v>
      </c>
      <c r="S3081" s="3" t="n">
        <f aca="false">INDEX(Summary!$O$2:$O$201,MATCH($B3081,Summary!$A$2:$A$201,0))</f>
        <v>8</v>
      </c>
      <c r="T3081" s="3" t="n">
        <f aca="false">INDEX(Summary!$P$2:$P$201,MATCH($B3081,Summary!$A$2:$A$201,0))</f>
        <v>1</v>
      </c>
      <c r="U3081" s="2" t="n">
        <f aca="false">INDEX(Summary!$Q$2:$Q$201,MATCH($B3081,Summary!$A$2:$A$201,0))</f>
        <v>13.07</v>
      </c>
      <c r="V3081" s="2" t="n">
        <f aca="false">INDEX(Summary!$R$2:$R$201,MATCH($B3081,Summary!$A$2:$A$201,0))</f>
        <v>32.9</v>
      </c>
      <c r="W3081" s="0" t="str">
        <f aca="false">INDEX(Summary!$S$2:$S$201,MATCH($B3081,Summary!$A$2:$A$201,0))</f>
        <v>Gold</v>
      </c>
      <c r="X3081" s="2" t="n">
        <f aca="false">INDEX(Summary!$T$2:$T$201,MATCH($B3081,Summary!$A$2:$A$201,0))</f>
        <v>80.24</v>
      </c>
      <c r="Y3081" s="0" t="str">
        <f aca="false">INDEX('Reward Model'!$E$18:$E$37,MATCH($E3081,'Reward Model'!$A$18:$A$37,0))</f>
        <v>High</v>
      </c>
      <c r="Z3081" s="4" t="n">
        <f aca="false">ROUND(MIN(1,MAX('Reward Model'!$B$2,INDEX('Reward Model'!$C$12:$C$14,MATCH($K3081,'Reward Model'!$A$12:$A$14,0))/$J3081)),3)</f>
        <v>1</v>
      </c>
      <c r="AA3081" s="2" t="n">
        <f aca="false">IF($I3081="Correct",ROUND(INDEX('Reward Model'!$B$12:$B$14,MATCH($K3081,'Reward Model'!$A$12:$A$14,0))*Z3081,2),0)</f>
        <v>3</v>
      </c>
      <c r="AB3081" s="2" t="n">
        <f aca="false">IF($I3081="Correct",ROUND(INDEX('Reward Model'!$B$12:$B$14,MATCH($Y3081,'Reward Model'!$A$12:$A$14,0))*Z3081,2),0)</f>
        <v>3</v>
      </c>
    </row>
    <row r="3082" customFormat="false" ht="15" hidden="false" customHeight="false" outlineLevel="0" collapsed="false">
      <c r="A3082" s="0" t="s">
        <v>440</v>
      </c>
      <c r="B3082" s="0" t="s">
        <v>441</v>
      </c>
      <c r="C3082" s="0" t="s">
        <v>322</v>
      </c>
      <c r="D3082" s="0" t="s">
        <v>189</v>
      </c>
      <c r="E3082" s="0" t="n">
        <v>1</v>
      </c>
      <c r="F3082" s="0" t="s">
        <v>32</v>
      </c>
      <c r="G3082" s="0" t="s">
        <v>33</v>
      </c>
      <c r="H3082" s="0" t="s">
        <v>33</v>
      </c>
      <c r="I3082" s="0" t="s">
        <v>34</v>
      </c>
      <c r="J3082" s="0" t="n">
        <v>1.45</v>
      </c>
      <c r="K3082" s="0" t="s">
        <v>35</v>
      </c>
      <c r="L3082" s="0" t="n">
        <f aca="false">INDEX(Summary!$F$2:$F$201,MATCH($B3082,Summary!$A$2:$A$201,0))</f>
        <v>20</v>
      </c>
      <c r="M3082" s="0" t="n">
        <f aca="false">INDEX(Summary!$I$2:$I$201,MATCH($B3082,Summary!$A$2:$A$201,0))</f>
        <v>1</v>
      </c>
      <c r="N3082" s="0" t="n">
        <f aca="false">INDEX(Summary!$J$2:$J$201,MATCH($B3082,Summary!$A$2:$A$201,0))</f>
        <v>4</v>
      </c>
      <c r="O3082" s="2" t="n">
        <f aca="false">INDEX(Summary!$K$2:$K$201,MATCH($B3082,Summary!$A$2:$A$201,0))</f>
        <v>9.81</v>
      </c>
      <c r="P3082" s="3" t="n">
        <f aca="false">INDEX(Summary!$L$2:$L$201,MATCH($B3082,Summary!$A$2:$A$201,0))</f>
        <v>4</v>
      </c>
      <c r="Q3082" s="3" t="n">
        <f aca="false">INDEX(Summary!$M$2:$M$201,MATCH($B3082,Summary!$A$2:$A$201,0))</f>
        <v>2</v>
      </c>
      <c r="R3082" s="2" t="n">
        <f aca="false">INDEX(Summary!$N$2:$N$201,MATCH($B3082,Summary!$A$2:$A$201,0))</f>
        <v>9.36</v>
      </c>
      <c r="S3082" s="3" t="n">
        <f aca="false">INDEX(Summary!$O$2:$O$201,MATCH($B3082,Summary!$A$2:$A$201,0))</f>
        <v>6</v>
      </c>
      <c r="T3082" s="3" t="n">
        <f aca="false">INDEX(Summary!$P$2:$P$201,MATCH($B3082,Summary!$A$2:$A$201,0))</f>
        <v>3</v>
      </c>
      <c r="U3082" s="2" t="n">
        <f aca="false">INDEX(Summary!$Q$2:$Q$201,MATCH($B3082,Summary!$A$2:$A$201,0))</f>
        <v>12.68</v>
      </c>
      <c r="V3082" s="2" t="n">
        <f aca="false">INDEX(Summary!$R$2:$R$201,MATCH($B3082,Summary!$A$2:$A$201,0))</f>
        <v>19.91</v>
      </c>
      <c r="W3082" s="0" t="str">
        <f aca="false">INDEX(Summary!$S$2:$S$201,MATCH($B3082,Summary!$A$2:$A$201,0))</f>
        <v>Bronze</v>
      </c>
      <c r="X3082" s="2" t="n">
        <f aca="false">INDEX(Summary!$T$2:$T$201,MATCH($B3082,Summary!$A$2:$A$201,0))</f>
        <v>48.56</v>
      </c>
      <c r="Y3082" s="0" t="str">
        <f aca="false">INDEX('Reward Model'!$E$18:$E$37,MATCH($E3082,'Reward Model'!$A$18:$A$37,0))</f>
        <v>Medium</v>
      </c>
      <c r="Z3082" s="4" t="n">
        <f aca="false">ROUND(MIN(1,MAX('Reward Model'!$B$2,INDEX('Reward Model'!$C$12:$C$14,MATCH($K3082,'Reward Model'!$A$12:$A$14,0))/$J3082)),3)</f>
        <v>1</v>
      </c>
      <c r="AA3082" s="2" t="n">
        <f aca="false">IF($I3082="Correct",ROUND(INDEX('Reward Model'!$B$12:$B$14,MATCH($K3082,'Reward Model'!$A$12:$A$14,0))*Z3082,2),0)</f>
        <v>1</v>
      </c>
      <c r="AB3082" s="2" t="n">
        <f aca="false">IF($I3082="Correct",ROUND(INDEX('Reward Model'!$B$12:$B$14,MATCH($Y3082,'Reward Model'!$A$12:$A$14,0))*Z3082,2),0)</f>
        <v>2</v>
      </c>
    </row>
    <row r="3083" customFormat="false" ht="15" hidden="false" customHeight="false" outlineLevel="0" collapsed="false">
      <c r="A3083" s="0" t="s">
        <v>440</v>
      </c>
      <c r="B3083" s="0" t="s">
        <v>441</v>
      </c>
      <c r="C3083" s="0" t="s">
        <v>322</v>
      </c>
      <c r="D3083" s="0" t="s">
        <v>189</v>
      </c>
      <c r="E3083" s="0" t="n">
        <v>2</v>
      </c>
      <c r="F3083" s="0" t="s">
        <v>36</v>
      </c>
      <c r="G3083" s="0" t="s">
        <v>38</v>
      </c>
      <c r="H3083" s="0" t="s">
        <v>38</v>
      </c>
      <c r="I3083" s="0" t="s">
        <v>34</v>
      </c>
      <c r="J3083" s="0" t="n">
        <v>1.7</v>
      </c>
      <c r="K3083" s="0" t="s">
        <v>35</v>
      </c>
      <c r="L3083" s="0" t="n">
        <f aca="false">INDEX(Summary!$F$2:$F$201,MATCH($B3083,Summary!$A$2:$A$201,0))</f>
        <v>20</v>
      </c>
      <c r="M3083" s="0" t="n">
        <f aca="false">INDEX(Summary!$I$2:$I$201,MATCH($B3083,Summary!$A$2:$A$201,0))</f>
        <v>1</v>
      </c>
      <c r="N3083" s="0" t="n">
        <f aca="false">INDEX(Summary!$J$2:$J$201,MATCH($B3083,Summary!$A$2:$A$201,0))</f>
        <v>4</v>
      </c>
      <c r="O3083" s="2" t="n">
        <f aca="false">INDEX(Summary!$K$2:$K$201,MATCH($B3083,Summary!$A$2:$A$201,0))</f>
        <v>9.81</v>
      </c>
      <c r="P3083" s="3" t="n">
        <f aca="false">INDEX(Summary!$L$2:$L$201,MATCH($B3083,Summary!$A$2:$A$201,0))</f>
        <v>4</v>
      </c>
      <c r="Q3083" s="3" t="n">
        <f aca="false">INDEX(Summary!$M$2:$M$201,MATCH($B3083,Summary!$A$2:$A$201,0))</f>
        <v>2</v>
      </c>
      <c r="R3083" s="2" t="n">
        <f aca="false">INDEX(Summary!$N$2:$N$201,MATCH($B3083,Summary!$A$2:$A$201,0))</f>
        <v>9.36</v>
      </c>
      <c r="S3083" s="3" t="n">
        <f aca="false">INDEX(Summary!$O$2:$O$201,MATCH($B3083,Summary!$A$2:$A$201,0))</f>
        <v>6</v>
      </c>
      <c r="T3083" s="3" t="n">
        <f aca="false">INDEX(Summary!$P$2:$P$201,MATCH($B3083,Summary!$A$2:$A$201,0))</f>
        <v>3</v>
      </c>
      <c r="U3083" s="2" t="n">
        <f aca="false">INDEX(Summary!$Q$2:$Q$201,MATCH($B3083,Summary!$A$2:$A$201,0))</f>
        <v>12.68</v>
      </c>
      <c r="V3083" s="2" t="n">
        <f aca="false">INDEX(Summary!$R$2:$R$201,MATCH($B3083,Summary!$A$2:$A$201,0))</f>
        <v>19.91</v>
      </c>
      <c r="W3083" s="0" t="str">
        <f aca="false">INDEX(Summary!$S$2:$S$201,MATCH($B3083,Summary!$A$2:$A$201,0))</f>
        <v>Bronze</v>
      </c>
      <c r="X3083" s="2" t="n">
        <f aca="false">INDEX(Summary!$T$2:$T$201,MATCH($B3083,Summary!$A$2:$A$201,0))</f>
        <v>48.56</v>
      </c>
      <c r="Y3083" s="0" t="str">
        <f aca="false">INDEX('Reward Model'!$E$18:$E$37,MATCH($E3083,'Reward Model'!$A$18:$A$37,0))</f>
        <v>Low</v>
      </c>
      <c r="Z3083" s="4" t="n">
        <f aca="false">ROUND(MIN(1,MAX('Reward Model'!$B$2,INDEX('Reward Model'!$C$12:$C$14,MATCH($K3083,'Reward Model'!$A$12:$A$14,0))/$J3083)),3)</f>
        <v>0.882</v>
      </c>
      <c r="AA3083" s="2" t="n">
        <f aca="false">IF($I3083="Correct",ROUND(INDEX('Reward Model'!$B$12:$B$14,MATCH($K3083,'Reward Model'!$A$12:$A$14,0))*Z3083,2),0)</f>
        <v>0.88</v>
      </c>
      <c r="AB3083" s="2" t="n">
        <f aca="false">IF($I3083="Correct",ROUND(INDEX('Reward Model'!$B$12:$B$14,MATCH($Y3083,'Reward Model'!$A$12:$A$14,0))*Z3083,2),0)</f>
        <v>0.88</v>
      </c>
    </row>
    <row r="3084" customFormat="false" ht="15" hidden="false" customHeight="false" outlineLevel="0" collapsed="false">
      <c r="A3084" s="0" t="s">
        <v>440</v>
      </c>
      <c r="B3084" s="0" t="s">
        <v>441</v>
      </c>
      <c r="C3084" s="0" t="s">
        <v>322</v>
      </c>
      <c r="D3084" s="0" t="s">
        <v>189</v>
      </c>
      <c r="E3084" s="0" t="n">
        <v>3</v>
      </c>
      <c r="F3084" s="0" t="s">
        <v>40</v>
      </c>
      <c r="G3084" s="0" t="s">
        <v>42</v>
      </c>
      <c r="H3084" s="0" t="s">
        <v>42</v>
      </c>
      <c r="I3084" s="0" t="s">
        <v>34</v>
      </c>
      <c r="J3084" s="0" t="n">
        <v>1.24</v>
      </c>
      <c r="K3084" s="0" t="s">
        <v>35</v>
      </c>
      <c r="L3084" s="0" t="n">
        <f aca="false">INDEX(Summary!$F$2:$F$201,MATCH($B3084,Summary!$A$2:$A$201,0))</f>
        <v>20</v>
      </c>
      <c r="M3084" s="0" t="n">
        <f aca="false">INDEX(Summary!$I$2:$I$201,MATCH($B3084,Summary!$A$2:$A$201,0))</f>
        <v>1</v>
      </c>
      <c r="N3084" s="0" t="n">
        <f aca="false">INDEX(Summary!$J$2:$J$201,MATCH($B3084,Summary!$A$2:$A$201,0))</f>
        <v>4</v>
      </c>
      <c r="O3084" s="2" t="n">
        <f aca="false">INDEX(Summary!$K$2:$K$201,MATCH($B3084,Summary!$A$2:$A$201,0))</f>
        <v>9.81</v>
      </c>
      <c r="P3084" s="3" t="n">
        <f aca="false">INDEX(Summary!$L$2:$L$201,MATCH($B3084,Summary!$A$2:$A$201,0))</f>
        <v>4</v>
      </c>
      <c r="Q3084" s="3" t="n">
        <f aca="false">INDEX(Summary!$M$2:$M$201,MATCH($B3084,Summary!$A$2:$A$201,0))</f>
        <v>2</v>
      </c>
      <c r="R3084" s="2" t="n">
        <f aca="false">INDEX(Summary!$N$2:$N$201,MATCH($B3084,Summary!$A$2:$A$201,0))</f>
        <v>9.36</v>
      </c>
      <c r="S3084" s="3" t="n">
        <f aca="false">INDEX(Summary!$O$2:$O$201,MATCH($B3084,Summary!$A$2:$A$201,0))</f>
        <v>6</v>
      </c>
      <c r="T3084" s="3" t="n">
        <f aca="false">INDEX(Summary!$P$2:$P$201,MATCH($B3084,Summary!$A$2:$A$201,0))</f>
        <v>3</v>
      </c>
      <c r="U3084" s="2" t="n">
        <f aca="false">INDEX(Summary!$Q$2:$Q$201,MATCH($B3084,Summary!$A$2:$A$201,0))</f>
        <v>12.68</v>
      </c>
      <c r="V3084" s="2" t="n">
        <f aca="false">INDEX(Summary!$R$2:$R$201,MATCH($B3084,Summary!$A$2:$A$201,0))</f>
        <v>19.91</v>
      </c>
      <c r="W3084" s="0" t="str">
        <f aca="false">INDEX(Summary!$S$2:$S$201,MATCH($B3084,Summary!$A$2:$A$201,0))</f>
        <v>Bronze</v>
      </c>
      <c r="X3084" s="2" t="n">
        <f aca="false">INDEX(Summary!$T$2:$T$201,MATCH($B3084,Summary!$A$2:$A$201,0))</f>
        <v>48.56</v>
      </c>
      <c r="Y3084" s="0" t="str">
        <f aca="false">INDEX('Reward Model'!$E$18:$E$37,MATCH($E3084,'Reward Model'!$A$18:$A$37,0))</f>
        <v>Medium</v>
      </c>
      <c r="Z3084" s="4" t="n">
        <f aca="false">ROUND(MIN(1,MAX('Reward Model'!$B$2,INDEX('Reward Model'!$C$12:$C$14,MATCH($K3084,'Reward Model'!$A$12:$A$14,0))/$J3084)),3)</f>
        <v>1</v>
      </c>
      <c r="AA3084" s="2" t="n">
        <f aca="false">IF($I3084="Correct",ROUND(INDEX('Reward Model'!$B$12:$B$14,MATCH($K3084,'Reward Model'!$A$12:$A$14,0))*Z3084,2),0)</f>
        <v>1</v>
      </c>
      <c r="AB3084" s="2" t="n">
        <f aca="false">IF($I3084="Correct",ROUND(INDEX('Reward Model'!$B$12:$B$14,MATCH($Y3084,'Reward Model'!$A$12:$A$14,0))*Z3084,2),0)</f>
        <v>2</v>
      </c>
    </row>
    <row r="3085" customFormat="false" ht="15" hidden="false" customHeight="false" outlineLevel="0" collapsed="false">
      <c r="A3085" s="0" t="s">
        <v>440</v>
      </c>
      <c r="B3085" s="0" t="s">
        <v>441</v>
      </c>
      <c r="C3085" s="0" t="s">
        <v>322</v>
      </c>
      <c r="D3085" s="0" t="s">
        <v>189</v>
      </c>
      <c r="E3085" s="0" t="n">
        <v>4</v>
      </c>
      <c r="F3085" s="0" t="s">
        <v>43</v>
      </c>
      <c r="G3085" s="0" t="s">
        <v>44</v>
      </c>
      <c r="H3085" s="0" t="s">
        <v>45</v>
      </c>
      <c r="I3085" s="0" t="s">
        <v>39</v>
      </c>
      <c r="J3085" s="0" t="n">
        <v>1.38</v>
      </c>
      <c r="K3085" s="0" t="s">
        <v>35</v>
      </c>
      <c r="L3085" s="0" t="n">
        <f aca="false">INDEX(Summary!$F$2:$F$201,MATCH($B3085,Summary!$A$2:$A$201,0))</f>
        <v>20</v>
      </c>
      <c r="M3085" s="0" t="n">
        <f aca="false">INDEX(Summary!$I$2:$I$201,MATCH($B3085,Summary!$A$2:$A$201,0))</f>
        <v>1</v>
      </c>
      <c r="N3085" s="0" t="n">
        <f aca="false">INDEX(Summary!$J$2:$J$201,MATCH($B3085,Summary!$A$2:$A$201,0))</f>
        <v>4</v>
      </c>
      <c r="O3085" s="2" t="n">
        <f aca="false">INDEX(Summary!$K$2:$K$201,MATCH($B3085,Summary!$A$2:$A$201,0))</f>
        <v>9.81</v>
      </c>
      <c r="P3085" s="3" t="n">
        <f aca="false">INDEX(Summary!$L$2:$L$201,MATCH($B3085,Summary!$A$2:$A$201,0))</f>
        <v>4</v>
      </c>
      <c r="Q3085" s="3" t="n">
        <f aca="false">INDEX(Summary!$M$2:$M$201,MATCH($B3085,Summary!$A$2:$A$201,0))</f>
        <v>2</v>
      </c>
      <c r="R3085" s="2" t="n">
        <f aca="false">INDEX(Summary!$N$2:$N$201,MATCH($B3085,Summary!$A$2:$A$201,0))</f>
        <v>9.36</v>
      </c>
      <c r="S3085" s="3" t="n">
        <f aca="false">INDEX(Summary!$O$2:$O$201,MATCH($B3085,Summary!$A$2:$A$201,0))</f>
        <v>6</v>
      </c>
      <c r="T3085" s="3" t="n">
        <f aca="false">INDEX(Summary!$P$2:$P$201,MATCH($B3085,Summary!$A$2:$A$201,0))</f>
        <v>3</v>
      </c>
      <c r="U3085" s="2" t="n">
        <f aca="false">INDEX(Summary!$Q$2:$Q$201,MATCH($B3085,Summary!$A$2:$A$201,0))</f>
        <v>12.68</v>
      </c>
      <c r="V3085" s="2" t="n">
        <f aca="false">INDEX(Summary!$R$2:$R$201,MATCH($B3085,Summary!$A$2:$A$201,0))</f>
        <v>19.91</v>
      </c>
      <c r="W3085" s="0" t="str">
        <f aca="false">INDEX(Summary!$S$2:$S$201,MATCH($B3085,Summary!$A$2:$A$201,0))</f>
        <v>Bronze</v>
      </c>
      <c r="X3085" s="2" t="n">
        <f aca="false">INDEX(Summary!$T$2:$T$201,MATCH($B3085,Summary!$A$2:$A$201,0))</f>
        <v>48.56</v>
      </c>
      <c r="Y3085" s="0" t="str">
        <f aca="false">INDEX('Reward Model'!$E$18:$E$37,MATCH($E3085,'Reward Model'!$A$18:$A$37,0))</f>
        <v>Low</v>
      </c>
      <c r="Z3085" s="4" t="n">
        <f aca="false">ROUND(MIN(1,MAX('Reward Model'!$B$2,INDEX('Reward Model'!$C$12:$C$14,MATCH($K3085,'Reward Model'!$A$12:$A$14,0))/$J3085)),3)</f>
        <v>1</v>
      </c>
      <c r="AA3085" s="2" t="n">
        <f aca="false">IF($I3085="Correct",ROUND(INDEX('Reward Model'!$B$12:$B$14,MATCH($K3085,'Reward Model'!$A$12:$A$14,0))*Z3085,2),0)</f>
        <v>0</v>
      </c>
      <c r="AB3085" s="2" t="n">
        <f aca="false">IF($I3085="Correct",ROUND(INDEX('Reward Model'!$B$12:$B$14,MATCH($Y3085,'Reward Model'!$A$12:$A$14,0))*Z3085,2),0)</f>
        <v>0</v>
      </c>
    </row>
    <row r="3086" customFormat="false" ht="15" hidden="false" customHeight="false" outlineLevel="0" collapsed="false">
      <c r="A3086" s="0" t="s">
        <v>440</v>
      </c>
      <c r="B3086" s="0" t="s">
        <v>441</v>
      </c>
      <c r="C3086" s="0" t="s">
        <v>322</v>
      </c>
      <c r="D3086" s="0" t="s">
        <v>189</v>
      </c>
      <c r="E3086" s="0" t="n">
        <v>5</v>
      </c>
      <c r="F3086" s="0" t="s">
        <v>46</v>
      </c>
      <c r="G3086" s="0" t="s">
        <v>98</v>
      </c>
      <c r="H3086" s="0" t="s">
        <v>47</v>
      </c>
      <c r="I3086" s="0" t="s">
        <v>39</v>
      </c>
      <c r="J3086" s="0" t="n">
        <v>1.21</v>
      </c>
      <c r="K3086" s="0" t="s">
        <v>35</v>
      </c>
      <c r="L3086" s="0" t="n">
        <f aca="false">INDEX(Summary!$F$2:$F$201,MATCH($B3086,Summary!$A$2:$A$201,0))</f>
        <v>20</v>
      </c>
      <c r="M3086" s="0" t="n">
        <f aca="false">INDEX(Summary!$I$2:$I$201,MATCH($B3086,Summary!$A$2:$A$201,0))</f>
        <v>1</v>
      </c>
      <c r="N3086" s="0" t="n">
        <f aca="false">INDEX(Summary!$J$2:$J$201,MATCH($B3086,Summary!$A$2:$A$201,0))</f>
        <v>4</v>
      </c>
      <c r="O3086" s="2" t="n">
        <f aca="false">INDEX(Summary!$K$2:$K$201,MATCH($B3086,Summary!$A$2:$A$201,0))</f>
        <v>9.81</v>
      </c>
      <c r="P3086" s="3" t="n">
        <f aca="false">INDEX(Summary!$L$2:$L$201,MATCH($B3086,Summary!$A$2:$A$201,0))</f>
        <v>4</v>
      </c>
      <c r="Q3086" s="3" t="n">
        <f aca="false">INDEX(Summary!$M$2:$M$201,MATCH($B3086,Summary!$A$2:$A$201,0))</f>
        <v>2</v>
      </c>
      <c r="R3086" s="2" t="n">
        <f aca="false">INDEX(Summary!$N$2:$N$201,MATCH($B3086,Summary!$A$2:$A$201,0))</f>
        <v>9.36</v>
      </c>
      <c r="S3086" s="3" t="n">
        <f aca="false">INDEX(Summary!$O$2:$O$201,MATCH($B3086,Summary!$A$2:$A$201,0))</f>
        <v>6</v>
      </c>
      <c r="T3086" s="3" t="n">
        <f aca="false">INDEX(Summary!$P$2:$P$201,MATCH($B3086,Summary!$A$2:$A$201,0))</f>
        <v>3</v>
      </c>
      <c r="U3086" s="2" t="n">
        <f aca="false">INDEX(Summary!$Q$2:$Q$201,MATCH($B3086,Summary!$A$2:$A$201,0))</f>
        <v>12.68</v>
      </c>
      <c r="V3086" s="2" t="n">
        <f aca="false">INDEX(Summary!$R$2:$R$201,MATCH($B3086,Summary!$A$2:$A$201,0))</f>
        <v>19.91</v>
      </c>
      <c r="W3086" s="0" t="str">
        <f aca="false">INDEX(Summary!$S$2:$S$201,MATCH($B3086,Summary!$A$2:$A$201,0))</f>
        <v>Bronze</v>
      </c>
      <c r="X3086" s="2" t="n">
        <f aca="false">INDEX(Summary!$T$2:$T$201,MATCH($B3086,Summary!$A$2:$A$201,0))</f>
        <v>48.56</v>
      </c>
      <c r="Y3086" s="0" t="str">
        <f aca="false">INDEX('Reward Model'!$E$18:$E$37,MATCH($E3086,'Reward Model'!$A$18:$A$37,0))</f>
        <v>Low</v>
      </c>
      <c r="Z3086" s="4" t="n">
        <f aca="false">ROUND(MIN(1,MAX('Reward Model'!$B$2,INDEX('Reward Model'!$C$12:$C$14,MATCH($K3086,'Reward Model'!$A$12:$A$14,0))/$J3086)),3)</f>
        <v>1</v>
      </c>
      <c r="AA3086" s="2" t="n">
        <f aca="false">IF($I3086="Correct",ROUND(INDEX('Reward Model'!$B$12:$B$14,MATCH($K3086,'Reward Model'!$A$12:$A$14,0))*Z3086,2),0)</f>
        <v>0</v>
      </c>
      <c r="AB3086" s="2" t="n">
        <f aca="false">IF($I3086="Correct",ROUND(INDEX('Reward Model'!$B$12:$B$14,MATCH($Y3086,'Reward Model'!$A$12:$A$14,0))*Z3086,2),0)</f>
        <v>0</v>
      </c>
    </row>
    <row r="3087" customFormat="false" ht="15" hidden="false" customHeight="false" outlineLevel="0" collapsed="false">
      <c r="A3087" s="0" t="s">
        <v>440</v>
      </c>
      <c r="B3087" s="0" t="s">
        <v>441</v>
      </c>
      <c r="C3087" s="0" t="s">
        <v>322</v>
      </c>
      <c r="D3087" s="0" t="s">
        <v>189</v>
      </c>
      <c r="E3087" s="0" t="n">
        <v>6</v>
      </c>
      <c r="F3087" s="0" t="s">
        <v>48</v>
      </c>
      <c r="G3087" s="0" t="s">
        <v>49</v>
      </c>
      <c r="H3087" s="0" t="s">
        <v>49</v>
      </c>
      <c r="I3087" s="0" t="s">
        <v>34</v>
      </c>
      <c r="J3087" s="0" t="n">
        <v>1.39</v>
      </c>
      <c r="K3087" s="0" t="s">
        <v>35</v>
      </c>
      <c r="L3087" s="0" t="n">
        <f aca="false">INDEX(Summary!$F$2:$F$201,MATCH($B3087,Summary!$A$2:$A$201,0))</f>
        <v>20</v>
      </c>
      <c r="M3087" s="0" t="n">
        <f aca="false">INDEX(Summary!$I$2:$I$201,MATCH($B3087,Summary!$A$2:$A$201,0))</f>
        <v>1</v>
      </c>
      <c r="N3087" s="0" t="n">
        <f aca="false">INDEX(Summary!$J$2:$J$201,MATCH($B3087,Summary!$A$2:$A$201,0))</f>
        <v>4</v>
      </c>
      <c r="O3087" s="2" t="n">
        <f aca="false">INDEX(Summary!$K$2:$K$201,MATCH($B3087,Summary!$A$2:$A$201,0))</f>
        <v>9.81</v>
      </c>
      <c r="P3087" s="3" t="n">
        <f aca="false">INDEX(Summary!$L$2:$L$201,MATCH($B3087,Summary!$A$2:$A$201,0))</f>
        <v>4</v>
      </c>
      <c r="Q3087" s="3" t="n">
        <f aca="false">INDEX(Summary!$M$2:$M$201,MATCH($B3087,Summary!$A$2:$A$201,0))</f>
        <v>2</v>
      </c>
      <c r="R3087" s="2" t="n">
        <f aca="false">INDEX(Summary!$N$2:$N$201,MATCH($B3087,Summary!$A$2:$A$201,0))</f>
        <v>9.36</v>
      </c>
      <c r="S3087" s="3" t="n">
        <f aca="false">INDEX(Summary!$O$2:$O$201,MATCH($B3087,Summary!$A$2:$A$201,0))</f>
        <v>6</v>
      </c>
      <c r="T3087" s="3" t="n">
        <f aca="false">INDEX(Summary!$P$2:$P$201,MATCH($B3087,Summary!$A$2:$A$201,0))</f>
        <v>3</v>
      </c>
      <c r="U3087" s="2" t="n">
        <f aca="false">INDEX(Summary!$Q$2:$Q$201,MATCH($B3087,Summary!$A$2:$A$201,0))</f>
        <v>12.68</v>
      </c>
      <c r="V3087" s="2" t="n">
        <f aca="false">INDEX(Summary!$R$2:$R$201,MATCH($B3087,Summary!$A$2:$A$201,0))</f>
        <v>19.91</v>
      </c>
      <c r="W3087" s="0" t="str">
        <f aca="false">INDEX(Summary!$S$2:$S$201,MATCH($B3087,Summary!$A$2:$A$201,0))</f>
        <v>Bronze</v>
      </c>
      <c r="X3087" s="2" t="n">
        <f aca="false">INDEX(Summary!$T$2:$T$201,MATCH($B3087,Summary!$A$2:$A$201,0))</f>
        <v>48.56</v>
      </c>
      <c r="Y3087" s="0" t="str">
        <f aca="false">INDEX('Reward Model'!$E$18:$E$37,MATCH($E3087,'Reward Model'!$A$18:$A$37,0))</f>
        <v>Medium</v>
      </c>
      <c r="Z3087" s="4" t="n">
        <f aca="false">ROUND(MIN(1,MAX('Reward Model'!$B$2,INDEX('Reward Model'!$C$12:$C$14,MATCH($K3087,'Reward Model'!$A$12:$A$14,0))/$J3087)),3)</f>
        <v>1</v>
      </c>
      <c r="AA3087" s="2" t="n">
        <f aca="false">IF($I3087="Correct",ROUND(INDEX('Reward Model'!$B$12:$B$14,MATCH($K3087,'Reward Model'!$A$12:$A$14,0))*Z3087,2),0)</f>
        <v>1</v>
      </c>
      <c r="AB3087" s="2" t="n">
        <f aca="false">IF($I3087="Correct",ROUND(INDEX('Reward Model'!$B$12:$B$14,MATCH($Y3087,'Reward Model'!$A$12:$A$14,0))*Z3087,2),0)</f>
        <v>2</v>
      </c>
    </row>
    <row r="3088" customFormat="false" ht="15" hidden="false" customHeight="false" outlineLevel="0" collapsed="false">
      <c r="A3088" s="0" t="s">
        <v>440</v>
      </c>
      <c r="B3088" s="0" t="s">
        <v>441</v>
      </c>
      <c r="C3088" s="0" t="s">
        <v>322</v>
      </c>
      <c r="D3088" s="0" t="s">
        <v>189</v>
      </c>
      <c r="E3088" s="0" t="n">
        <v>7</v>
      </c>
      <c r="F3088" s="0" t="s">
        <v>50</v>
      </c>
      <c r="G3088" s="0" t="s">
        <v>51</v>
      </c>
      <c r="H3088" s="0" t="s">
        <v>51</v>
      </c>
      <c r="I3088" s="0" t="s">
        <v>34</v>
      </c>
      <c r="J3088" s="0" t="n">
        <v>1.81</v>
      </c>
      <c r="K3088" s="0" t="s">
        <v>35</v>
      </c>
      <c r="L3088" s="0" t="n">
        <f aca="false">INDEX(Summary!$F$2:$F$201,MATCH($B3088,Summary!$A$2:$A$201,0))</f>
        <v>20</v>
      </c>
      <c r="M3088" s="0" t="n">
        <f aca="false">INDEX(Summary!$I$2:$I$201,MATCH($B3088,Summary!$A$2:$A$201,0))</f>
        <v>1</v>
      </c>
      <c r="N3088" s="0" t="n">
        <f aca="false">INDEX(Summary!$J$2:$J$201,MATCH($B3088,Summary!$A$2:$A$201,0))</f>
        <v>4</v>
      </c>
      <c r="O3088" s="2" t="n">
        <f aca="false">INDEX(Summary!$K$2:$K$201,MATCH($B3088,Summary!$A$2:$A$201,0))</f>
        <v>9.81</v>
      </c>
      <c r="P3088" s="3" t="n">
        <f aca="false">INDEX(Summary!$L$2:$L$201,MATCH($B3088,Summary!$A$2:$A$201,0))</f>
        <v>4</v>
      </c>
      <c r="Q3088" s="3" t="n">
        <f aca="false">INDEX(Summary!$M$2:$M$201,MATCH($B3088,Summary!$A$2:$A$201,0))</f>
        <v>2</v>
      </c>
      <c r="R3088" s="2" t="n">
        <f aca="false">INDEX(Summary!$N$2:$N$201,MATCH($B3088,Summary!$A$2:$A$201,0))</f>
        <v>9.36</v>
      </c>
      <c r="S3088" s="3" t="n">
        <f aca="false">INDEX(Summary!$O$2:$O$201,MATCH($B3088,Summary!$A$2:$A$201,0))</f>
        <v>6</v>
      </c>
      <c r="T3088" s="3" t="n">
        <f aca="false">INDEX(Summary!$P$2:$P$201,MATCH($B3088,Summary!$A$2:$A$201,0))</f>
        <v>3</v>
      </c>
      <c r="U3088" s="2" t="n">
        <f aca="false">INDEX(Summary!$Q$2:$Q$201,MATCH($B3088,Summary!$A$2:$A$201,0))</f>
        <v>12.68</v>
      </c>
      <c r="V3088" s="2" t="n">
        <f aca="false">INDEX(Summary!$R$2:$R$201,MATCH($B3088,Summary!$A$2:$A$201,0))</f>
        <v>19.91</v>
      </c>
      <c r="W3088" s="0" t="str">
        <f aca="false">INDEX(Summary!$S$2:$S$201,MATCH($B3088,Summary!$A$2:$A$201,0))</f>
        <v>Bronze</v>
      </c>
      <c r="X3088" s="2" t="n">
        <f aca="false">INDEX(Summary!$T$2:$T$201,MATCH($B3088,Summary!$A$2:$A$201,0))</f>
        <v>48.56</v>
      </c>
      <c r="Y3088" s="0" t="str">
        <f aca="false">INDEX('Reward Model'!$E$18:$E$37,MATCH($E3088,'Reward Model'!$A$18:$A$37,0))</f>
        <v>Low</v>
      </c>
      <c r="Z3088" s="4" t="n">
        <f aca="false">ROUND(MIN(1,MAX('Reward Model'!$B$2,INDEX('Reward Model'!$C$12:$C$14,MATCH($K3088,'Reward Model'!$A$12:$A$14,0))/$J3088)),3)</f>
        <v>0.829</v>
      </c>
      <c r="AA3088" s="2" t="n">
        <f aca="false">IF($I3088="Correct",ROUND(INDEX('Reward Model'!$B$12:$B$14,MATCH($K3088,'Reward Model'!$A$12:$A$14,0))*Z3088,2),0)</f>
        <v>0.83</v>
      </c>
      <c r="AB3088" s="2" t="n">
        <f aca="false">IF($I3088="Correct",ROUND(INDEX('Reward Model'!$B$12:$B$14,MATCH($Y3088,'Reward Model'!$A$12:$A$14,0))*Z3088,2),0)</f>
        <v>0.83</v>
      </c>
    </row>
    <row r="3089" customFormat="false" ht="15" hidden="false" customHeight="false" outlineLevel="0" collapsed="false">
      <c r="A3089" s="0" t="s">
        <v>440</v>
      </c>
      <c r="B3089" s="0" t="s">
        <v>441</v>
      </c>
      <c r="C3089" s="0" t="s">
        <v>322</v>
      </c>
      <c r="D3089" s="0" t="s">
        <v>189</v>
      </c>
      <c r="E3089" s="0" t="n">
        <v>8</v>
      </c>
      <c r="F3089" s="0" t="s">
        <v>52</v>
      </c>
      <c r="G3089" s="0" t="s">
        <v>93</v>
      </c>
      <c r="H3089" s="0" t="s">
        <v>54</v>
      </c>
      <c r="I3089" s="0" t="s">
        <v>39</v>
      </c>
      <c r="J3089" s="0" t="n">
        <v>1.19</v>
      </c>
      <c r="K3089" s="0" t="s">
        <v>35</v>
      </c>
      <c r="L3089" s="0" t="n">
        <f aca="false">INDEX(Summary!$F$2:$F$201,MATCH($B3089,Summary!$A$2:$A$201,0))</f>
        <v>20</v>
      </c>
      <c r="M3089" s="0" t="n">
        <f aca="false">INDEX(Summary!$I$2:$I$201,MATCH($B3089,Summary!$A$2:$A$201,0))</f>
        <v>1</v>
      </c>
      <c r="N3089" s="0" t="n">
        <f aca="false">INDEX(Summary!$J$2:$J$201,MATCH($B3089,Summary!$A$2:$A$201,0))</f>
        <v>4</v>
      </c>
      <c r="O3089" s="2" t="n">
        <f aca="false">INDEX(Summary!$K$2:$K$201,MATCH($B3089,Summary!$A$2:$A$201,0))</f>
        <v>9.81</v>
      </c>
      <c r="P3089" s="3" t="n">
        <f aca="false">INDEX(Summary!$L$2:$L$201,MATCH($B3089,Summary!$A$2:$A$201,0))</f>
        <v>4</v>
      </c>
      <c r="Q3089" s="3" t="n">
        <f aca="false">INDEX(Summary!$M$2:$M$201,MATCH($B3089,Summary!$A$2:$A$201,0))</f>
        <v>2</v>
      </c>
      <c r="R3089" s="2" t="n">
        <f aca="false">INDEX(Summary!$N$2:$N$201,MATCH($B3089,Summary!$A$2:$A$201,0))</f>
        <v>9.36</v>
      </c>
      <c r="S3089" s="3" t="n">
        <f aca="false">INDEX(Summary!$O$2:$O$201,MATCH($B3089,Summary!$A$2:$A$201,0))</f>
        <v>6</v>
      </c>
      <c r="T3089" s="3" t="n">
        <f aca="false">INDEX(Summary!$P$2:$P$201,MATCH($B3089,Summary!$A$2:$A$201,0))</f>
        <v>3</v>
      </c>
      <c r="U3089" s="2" t="n">
        <f aca="false">INDEX(Summary!$Q$2:$Q$201,MATCH($B3089,Summary!$A$2:$A$201,0))</f>
        <v>12.68</v>
      </c>
      <c r="V3089" s="2" t="n">
        <f aca="false">INDEX(Summary!$R$2:$R$201,MATCH($B3089,Summary!$A$2:$A$201,0))</f>
        <v>19.91</v>
      </c>
      <c r="W3089" s="0" t="str">
        <f aca="false">INDEX(Summary!$S$2:$S$201,MATCH($B3089,Summary!$A$2:$A$201,0))</f>
        <v>Bronze</v>
      </c>
      <c r="X3089" s="2" t="n">
        <f aca="false">INDEX(Summary!$T$2:$T$201,MATCH($B3089,Summary!$A$2:$A$201,0))</f>
        <v>48.56</v>
      </c>
      <c r="Y3089" s="0" t="str">
        <f aca="false">INDEX('Reward Model'!$E$18:$E$37,MATCH($E3089,'Reward Model'!$A$18:$A$37,0))</f>
        <v>Medium</v>
      </c>
      <c r="Z3089" s="4" t="n">
        <f aca="false">ROUND(MIN(1,MAX('Reward Model'!$B$2,INDEX('Reward Model'!$C$12:$C$14,MATCH($K3089,'Reward Model'!$A$12:$A$14,0))/$J3089)),3)</f>
        <v>1</v>
      </c>
      <c r="AA3089" s="2" t="n">
        <f aca="false">IF($I3089="Correct",ROUND(INDEX('Reward Model'!$B$12:$B$14,MATCH($K3089,'Reward Model'!$A$12:$A$14,0))*Z3089,2),0)</f>
        <v>0</v>
      </c>
      <c r="AB3089" s="2" t="n">
        <f aca="false">IF($I3089="Correct",ROUND(INDEX('Reward Model'!$B$12:$B$14,MATCH($Y3089,'Reward Model'!$A$12:$A$14,0))*Z3089,2),0)</f>
        <v>0</v>
      </c>
    </row>
    <row r="3090" customFormat="false" ht="15" hidden="false" customHeight="false" outlineLevel="0" collapsed="false">
      <c r="A3090" s="0" t="s">
        <v>440</v>
      </c>
      <c r="B3090" s="0" t="s">
        <v>441</v>
      </c>
      <c r="C3090" s="0" t="s">
        <v>322</v>
      </c>
      <c r="D3090" s="0" t="s">
        <v>189</v>
      </c>
      <c r="E3090" s="0" t="n">
        <v>9</v>
      </c>
      <c r="F3090" s="0" t="s">
        <v>55</v>
      </c>
      <c r="G3090" s="0" t="s">
        <v>57</v>
      </c>
      <c r="H3090" s="0" t="s">
        <v>57</v>
      </c>
      <c r="I3090" s="0" t="s">
        <v>34</v>
      </c>
      <c r="J3090" s="0" t="n">
        <v>1.31</v>
      </c>
      <c r="K3090" s="0" t="s">
        <v>35</v>
      </c>
      <c r="L3090" s="0" t="n">
        <f aca="false">INDEX(Summary!$F$2:$F$201,MATCH($B3090,Summary!$A$2:$A$201,0))</f>
        <v>20</v>
      </c>
      <c r="M3090" s="0" t="n">
        <f aca="false">INDEX(Summary!$I$2:$I$201,MATCH($B3090,Summary!$A$2:$A$201,0))</f>
        <v>1</v>
      </c>
      <c r="N3090" s="0" t="n">
        <f aca="false">INDEX(Summary!$J$2:$J$201,MATCH($B3090,Summary!$A$2:$A$201,0))</f>
        <v>4</v>
      </c>
      <c r="O3090" s="2" t="n">
        <f aca="false">INDEX(Summary!$K$2:$K$201,MATCH($B3090,Summary!$A$2:$A$201,0))</f>
        <v>9.81</v>
      </c>
      <c r="P3090" s="3" t="n">
        <f aca="false">INDEX(Summary!$L$2:$L$201,MATCH($B3090,Summary!$A$2:$A$201,0))</f>
        <v>4</v>
      </c>
      <c r="Q3090" s="3" t="n">
        <f aca="false">INDEX(Summary!$M$2:$M$201,MATCH($B3090,Summary!$A$2:$A$201,0))</f>
        <v>2</v>
      </c>
      <c r="R3090" s="2" t="n">
        <f aca="false">INDEX(Summary!$N$2:$N$201,MATCH($B3090,Summary!$A$2:$A$201,0))</f>
        <v>9.36</v>
      </c>
      <c r="S3090" s="3" t="n">
        <f aca="false">INDEX(Summary!$O$2:$O$201,MATCH($B3090,Summary!$A$2:$A$201,0))</f>
        <v>6</v>
      </c>
      <c r="T3090" s="3" t="n">
        <f aca="false">INDEX(Summary!$P$2:$P$201,MATCH($B3090,Summary!$A$2:$A$201,0))</f>
        <v>3</v>
      </c>
      <c r="U3090" s="2" t="n">
        <f aca="false">INDEX(Summary!$Q$2:$Q$201,MATCH($B3090,Summary!$A$2:$A$201,0))</f>
        <v>12.68</v>
      </c>
      <c r="V3090" s="2" t="n">
        <f aca="false">INDEX(Summary!$R$2:$R$201,MATCH($B3090,Summary!$A$2:$A$201,0))</f>
        <v>19.91</v>
      </c>
      <c r="W3090" s="0" t="str">
        <f aca="false">INDEX(Summary!$S$2:$S$201,MATCH($B3090,Summary!$A$2:$A$201,0))</f>
        <v>Bronze</v>
      </c>
      <c r="X3090" s="2" t="n">
        <f aca="false">INDEX(Summary!$T$2:$T$201,MATCH($B3090,Summary!$A$2:$A$201,0))</f>
        <v>48.56</v>
      </c>
      <c r="Y3090" s="0" t="str">
        <f aca="false">INDEX('Reward Model'!$E$18:$E$37,MATCH($E3090,'Reward Model'!$A$18:$A$37,0))</f>
        <v>Medium</v>
      </c>
      <c r="Z3090" s="4" t="n">
        <f aca="false">ROUND(MIN(1,MAX('Reward Model'!$B$2,INDEX('Reward Model'!$C$12:$C$14,MATCH($K3090,'Reward Model'!$A$12:$A$14,0))/$J3090)),3)</f>
        <v>1</v>
      </c>
      <c r="AA3090" s="2" t="n">
        <f aca="false">IF($I3090="Correct",ROUND(INDEX('Reward Model'!$B$12:$B$14,MATCH($K3090,'Reward Model'!$A$12:$A$14,0))*Z3090,2),0)</f>
        <v>1</v>
      </c>
      <c r="AB3090" s="2" t="n">
        <f aca="false">IF($I3090="Correct",ROUND(INDEX('Reward Model'!$B$12:$B$14,MATCH($Y3090,'Reward Model'!$A$12:$A$14,0))*Z3090,2),0)</f>
        <v>2</v>
      </c>
    </row>
    <row r="3091" customFormat="false" ht="15" hidden="false" customHeight="false" outlineLevel="0" collapsed="false">
      <c r="A3091" s="0" t="s">
        <v>440</v>
      </c>
      <c r="B3091" s="0" t="s">
        <v>441</v>
      </c>
      <c r="C3091" s="0" t="s">
        <v>322</v>
      </c>
      <c r="D3091" s="0" t="s">
        <v>189</v>
      </c>
      <c r="E3091" s="0" t="n">
        <v>10</v>
      </c>
      <c r="F3091" s="0" t="s">
        <v>58</v>
      </c>
      <c r="G3091" s="0" t="s">
        <v>138</v>
      </c>
      <c r="H3091" s="0" t="s">
        <v>59</v>
      </c>
      <c r="I3091" s="0" t="s">
        <v>39</v>
      </c>
      <c r="J3091" s="0" t="n">
        <v>2</v>
      </c>
      <c r="K3091" s="0" t="s">
        <v>60</v>
      </c>
      <c r="L3091" s="0" t="n">
        <f aca="false">INDEX(Summary!$F$2:$F$201,MATCH($B3091,Summary!$A$2:$A$201,0))</f>
        <v>20</v>
      </c>
      <c r="M3091" s="0" t="n">
        <f aca="false">INDEX(Summary!$I$2:$I$201,MATCH($B3091,Summary!$A$2:$A$201,0))</f>
        <v>1</v>
      </c>
      <c r="N3091" s="0" t="n">
        <f aca="false">INDEX(Summary!$J$2:$J$201,MATCH($B3091,Summary!$A$2:$A$201,0))</f>
        <v>4</v>
      </c>
      <c r="O3091" s="2" t="n">
        <f aca="false">INDEX(Summary!$K$2:$K$201,MATCH($B3091,Summary!$A$2:$A$201,0))</f>
        <v>9.81</v>
      </c>
      <c r="P3091" s="3" t="n">
        <f aca="false">INDEX(Summary!$L$2:$L$201,MATCH($B3091,Summary!$A$2:$A$201,0))</f>
        <v>4</v>
      </c>
      <c r="Q3091" s="3" t="n">
        <f aca="false">INDEX(Summary!$M$2:$M$201,MATCH($B3091,Summary!$A$2:$A$201,0))</f>
        <v>2</v>
      </c>
      <c r="R3091" s="2" t="n">
        <f aca="false">INDEX(Summary!$N$2:$N$201,MATCH($B3091,Summary!$A$2:$A$201,0))</f>
        <v>9.36</v>
      </c>
      <c r="S3091" s="3" t="n">
        <f aca="false">INDEX(Summary!$O$2:$O$201,MATCH($B3091,Summary!$A$2:$A$201,0))</f>
        <v>6</v>
      </c>
      <c r="T3091" s="3" t="n">
        <f aca="false">INDEX(Summary!$P$2:$P$201,MATCH($B3091,Summary!$A$2:$A$201,0))</f>
        <v>3</v>
      </c>
      <c r="U3091" s="2" t="n">
        <f aca="false">INDEX(Summary!$Q$2:$Q$201,MATCH($B3091,Summary!$A$2:$A$201,0))</f>
        <v>12.68</v>
      </c>
      <c r="V3091" s="2" t="n">
        <f aca="false">INDEX(Summary!$R$2:$R$201,MATCH($B3091,Summary!$A$2:$A$201,0))</f>
        <v>19.91</v>
      </c>
      <c r="W3091" s="0" t="str">
        <f aca="false">INDEX(Summary!$S$2:$S$201,MATCH($B3091,Summary!$A$2:$A$201,0))</f>
        <v>Bronze</v>
      </c>
      <c r="X3091" s="2" t="n">
        <f aca="false">INDEX(Summary!$T$2:$T$201,MATCH($B3091,Summary!$A$2:$A$201,0))</f>
        <v>48.56</v>
      </c>
      <c r="Y3091" s="0" t="str">
        <f aca="false">INDEX('Reward Model'!$E$18:$E$37,MATCH($E3091,'Reward Model'!$A$18:$A$37,0))</f>
        <v>Medium</v>
      </c>
      <c r="Z3091" s="4" t="n">
        <f aca="false">ROUND(MIN(1,MAX('Reward Model'!$B$2,INDEX('Reward Model'!$C$12:$C$14,MATCH($K3091,'Reward Model'!$A$12:$A$14,0))/$J3091)),3)</f>
        <v>0.9</v>
      </c>
      <c r="AA3091" s="2" t="n">
        <f aca="false">IF($I3091="Correct",ROUND(INDEX('Reward Model'!$B$12:$B$14,MATCH($K3091,'Reward Model'!$A$12:$A$14,0))*Z3091,2),0)</f>
        <v>0</v>
      </c>
      <c r="AB3091" s="2" t="n">
        <f aca="false">IF($I3091="Correct",ROUND(INDEX('Reward Model'!$B$12:$B$14,MATCH($Y3091,'Reward Model'!$A$12:$A$14,0))*Z3091,2),0)</f>
        <v>0</v>
      </c>
    </row>
    <row r="3092" customFormat="false" ht="15" hidden="false" customHeight="false" outlineLevel="0" collapsed="false">
      <c r="A3092" s="0" t="s">
        <v>440</v>
      </c>
      <c r="B3092" s="0" t="s">
        <v>441</v>
      </c>
      <c r="C3092" s="0" t="s">
        <v>322</v>
      </c>
      <c r="D3092" s="0" t="s">
        <v>189</v>
      </c>
      <c r="E3092" s="0" t="n">
        <v>11</v>
      </c>
      <c r="F3092" s="0" t="s">
        <v>61</v>
      </c>
      <c r="G3092" s="0" t="s">
        <v>150</v>
      </c>
      <c r="H3092" s="0" t="s">
        <v>63</v>
      </c>
      <c r="I3092" s="0" t="s">
        <v>39</v>
      </c>
      <c r="J3092" s="0" t="n">
        <v>1.37</v>
      </c>
      <c r="K3092" s="0" t="s">
        <v>60</v>
      </c>
      <c r="L3092" s="0" t="n">
        <f aca="false">INDEX(Summary!$F$2:$F$201,MATCH($B3092,Summary!$A$2:$A$201,0))</f>
        <v>20</v>
      </c>
      <c r="M3092" s="0" t="n">
        <f aca="false">INDEX(Summary!$I$2:$I$201,MATCH($B3092,Summary!$A$2:$A$201,0))</f>
        <v>1</v>
      </c>
      <c r="N3092" s="0" t="n">
        <f aca="false">INDEX(Summary!$J$2:$J$201,MATCH($B3092,Summary!$A$2:$A$201,0))</f>
        <v>4</v>
      </c>
      <c r="O3092" s="2" t="n">
        <f aca="false">INDEX(Summary!$K$2:$K$201,MATCH($B3092,Summary!$A$2:$A$201,0))</f>
        <v>9.81</v>
      </c>
      <c r="P3092" s="3" t="n">
        <f aca="false">INDEX(Summary!$L$2:$L$201,MATCH($B3092,Summary!$A$2:$A$201,0))</f>
        <v>4</v>
      </c>
      <c r="Q3092" s="3" t="n">
        <f aca="false">INDEX(Summary!$M$2:$M$201,MATCH($B3092,Summary!$A$2:$A$201,0))</f>
        <v>2</v>
      </c>
      <c r="R3092" s="2" t="n">
        <f aca="false">INDEX(Summary!$N$2:$N$201,MATCH($B3092,Summary!$A$2:$A$201,0))</f>
        <v>9.36</v>
      </c>
      <c r="S3092" s="3" t="n">
        <f aca="false">INDEX(Summary!$O$2:$O$201,MATCH($B3092,Summary!$A$2:$A$201,0))</f>
        <v>6</v>
      </c>
      <c r="T3092" s="3" t="n">
        <f aca="false">INDEX(Summary!$P$2:$P$201,MATCH($B3092,Summary!$A$2:$A$201,0))</f>
        <v>3</v>
      </c>
      <c r="U3092" s="2" t="n">
        <f aca="false">INDEX(Summary!$Q$2:$Q$201,MATCH($B3092,Summary!$A$2:$A$201,0))</f>
        <v>12.68</v>
      </c>
      <c r="V3092" s="2" t="n">
        <f aca="false">INDEX(Summary!$R$2:$R$201,MATCH($B3092,Summary!$A$2:$A$201,0))</f>
        <v>19.91</v>
      </c>
      <c r="W3092" s="0" t="str">
        <f aca="false">INDEX(Summary!$S$2:$S$201,MATCH($B3092,Summary!$A$2:$A$201,0))</f>
        <v>Bronze</v>
      </c>
      <c r="X3092" s="2" t="n">
        <f aca="false">INDEX(Summary!$T$2:$T$201,MATCH($B3092,Summary!$A$2:$A$201,0))</f>
        <v>48.56</v>
      </c>
      <c r="Y3092" s="0" t="str">
        <f aca="false">INDEX('Reward Model'!$E$18:$E$37,MATCH($E3092,'Reward Model'!$A$18:$A$37,0))</f>
        <v>Medium</v>
      </c>
      <c r="Z3092" s="4" t="n">
        <f aca="false">ROUND(MIN(1,MAX('Reward Model'!$B$2,INDEX('Reward Model'!$C$12:$C$14,MATCH($K3092,'Reward Model'!$A$12:$A$14,0))/$J3092)),3)</f>
        <v>1</v>
      </c>
      <c r="AA3092" s="2" t="n">
        <f aca="false">IF($I3092="Correct",ROUND(INDEX('Reward Model'!$B$12:$B$14,MATCH($K3092,'Reward Model'!$A$12:$A$14,0))*Z3092,2),0)</f>
        <v>0</v>
      </c>
      <c r="AB3092" s="2" t="n">
        <f aca="false">IF($I3092="Correct",ROUND(INDEX('Reward Model'!$B$12:$B$14,MATCH($Y3092,'Reward Model'!$A$12:$A$14,0))*Z3092,2),0)</f>
        <v>0</v>
      </c>
    </row>
    <row r="3093" customFormat="false" ht="15" hidden="false" customHeight="false" outlineLevel="0" collapsed="false">
      <c r="A3093" s="0" t="s">
        <v>440</v>
      </c>
      <c r="B3093" s="0" t="s">
        <v>441</v>
      </c>
      <c r="C3093" s="0" t="s">
        <v>322</v>
      </c>
      <c r="D3093" s="0" t="s">
        <v>189</v>
      </c>
      <c r="E3093" s="0" t="n">
        <v>12</v>
      </c>
      <c r="F3093" s="0" t="s">
        <v>64</v>
      </c>
      <c r="G3093" s="0" t="s">
        <v>65</v>
      </c>
      <c r="H3093" s="0" t="s">
        <v>65</v>
      </c>
      <c r="I3093" s="0" t="s">
        <v>34</v>
      </c>
      <c r="J3093" s="0" t="n">
        <v>1.22</v>
      </c>
      <c r="K3093" s="0" t="s">
        <v>60</v>
      </c>
      <c r="L3093" s="0" t="n">
        <f aca="false">INDEX(Summary!$F$2:$F$201,MATCH($B3093,Summary!$A$2:$A$201,0))</f>
        <v>20</v>
      </c>
      <c r="M3093" s="0" t="n">
        <f aca="false">INDEX(Summary!$I$2:$I$201,MATCH($B3093,Summary!$A$2:$A$201,0))</f>
        <v>1</v>
      </c>
      <c r="N3093" s="0" t="n">
        <f aca="false">INDEX(Summary!$J$2:$J$201,MATCH($B3093,Summary!$A$2:$A$201,0))</f>
        <v>4</v>
      </c>
      <c r="O3093" s="2" t="n">
        <f aca="false">INDEX(Summary!$K$2:$K$201,MATCH($B3093,Summary!$A$2:$A$201,0))</f>
        <v>9.81</v>
      </c>
      <c r="P3093" s="3" t="n">
        <f aca="false">INDEX(Summary!$L$2:$L$201,MATCH($B3093,Summary!$A$2:$A$201,0))</f>
        <v>4</v>
      </c>
      <c r="Q3093" s="3" t="n">
        <f aca="false">INDEX(Summary!$M$2:$M$201,MATCH($B3093,Summary!$A$2:$A$201,0))</f>
        <v>2</v>
      </c>
      <c r="R3093" s="2" t="n">
        <f aca="false">INDEX(Summary!$N$2:$N$201,MATCH($B3093,Summary!$A$2:$A$201,0))</f>
        <v>9.36</v>
      </c>
      <c r="S3093" s="3" t="n">
        <f aca="false">INDEX(Summary!$O$2:$O$201,MATCH($B3093,Summary!$A$2:$A$201,0))</f>
        <v>6</v>
      </c>
      <c r="T3093" s="3" t="n">
        <f aca="false">INDEX(Summary!$P$2:$P$201,MATCH($B3093,Summary!$A$2:$A$201,0))</f>
        <v>3</v>
      </c>
      <c r="U3093" s="2" t="n">
        <f aca="false">INDEX(Summary!$Q$2:$Q$201,MATCH($B3093,Summary!$A$2:$A$201,0))</f>
        <v>12.68</v>
      </c>
      <c r="V3093" s="2" t="n">
        <f aca="false">INDEX(Summary!$R$2:$R$201,MATCH($B3093,Summary!$A$2:$A$201,0))</f>
        <v>19.91</v>
      </c>
      <c r="W3093" s="0" t="str">
        <f aca="false">INDEX(Summary!$S$2:$S$201,MATCH($B3093,Summary!$A$2:$A$201,0))</f>
        <v>Bronze</v>
      </c>
      <c r="X3093" s="2" t="n">
        <f aca="false">INDEX(Summary!$T$2:$T$201,MATCH($B3093,Summary!$A$2:$A$201,0))</f>
        <v>48.56</v>
      </c>
      <c r="Y3093" s="0" t="str">
        <f aca="false">INDEX('Reward Model'!$E$18:$E$37,MATCH($E3093,'Reward Model'!$A$18:$A$37,0))</f>
        <v>Medium</v>
      </c>
      <c r="Z3093" s="4" t="n">
        <f aca="false">ROUND(MIN(1,MAX('Reward Model'!$B$2,INDEX('Reward Model'!$C$12:$C$14,MATCH($K3093,'Reward Model'!$A$12:$A$14,0))/$J3093)),3)</f>
        <v>1</v>
      </c>
      <c r="AA3093" s="2" t="n">
        <f aca="false">IF($I3093="Correct",ROUND(INDEX('Reward Model'!$B$12:$B$14,MATCH($K3093,'Reward Model'!$A$12:$A$14,0))*Z3093,2),0)</f>
        <v>2</v>
      </c>
      <c r="AB3093" s="2" t="n">
        <f aca="false">IF($I3093="Correct",ROUND(INDEX('Reward Model'!$B$12:$B$14,MATCH($Y3093,'Reward Model'!$A$12:$A$14,0))*Z3093,2),0)</f>
        <v>2</v>
      </c>
    </row>
    <row r="3094" customFormat="false" ht="15" hidden="false" customHeight="false" outlineLevel="0" collapsed="false">
      <c r="A3094" s="0" t="s">
        <v>440</v>
      </c>
      <c r="B3094" s="0" t="s">
        <v>441</v>
      </c>
      <c r="C3094" s="0" t="s">
        <v>322</v>
      </c>
      <c r="D3094" s="0" t="s">
        <v>189</v>
      </c>
      <c r="E3094" s="0" t="n">
        <v>13</v>
      </c>
      <c r="F3094" s="0" t="s">
        <v>66</v>
      </c>
      <c r="G3094" s="0" t="s">
        <v>67</v>
      </c>
      <c r="H3094" s="0" t="s">
        <v>67</v>
      </c>
      <c r="I3094" s="0" t="s">
        <v>34</v>
      </c>
      <c r="J3094" s="0" t="n">
        <v>1.56</v>
      </c>
      <c r="K3094" s="0" t="s">
        <v>60</v>
      </c>
      <c r="L3094" s="0" t="n">
        <f aca="false">INDEX(Summary!$F$2:$F$201,MATCH($B3094,Summary!$A$2:$A$201,0))</f>
        <v>20</v>
      </c>
      <c r="M3094" s="0" t="n">
        <f aca="false">INDEX(Summary!$I$2:$I$201,MATCH($B3094,Summary!$A$2:$A$201,0))</f>
        <v>1</v>
      </c>
      <c r="N3094" s="0" t="n">
        <f aca="false">INDEX(Summary!$J$2:$J$201,MATCH($B3094,Summary!$A$2:$A$201,0))</f>
        <v>4</v>
      </c>
      <c r="O3094" s="2" t="n">
        <f aca="false">INDEX(Summary!$K$2:$K$201,MATCH($B3094,Summary!$A$2:$A$201,0))</f>
        <v>9.81</v>
      </c>
      <c r="P3094" s="3" t="n">
        <f aca="false">INDEX(Summary!$L$2:$L$201,MATCH($B3094,Summary!$A$2:$A$201,0))</f>
        <v>4</v>
      </c>
      <c r="Q3094" s="3" t="n">
        <f aca="false">INDEX(Summary!$M$2:$M$201,MATCH($B3094,Summary!$A$2:$A$201,0))</f>
        <v>2</v>
      </c>
      <c r="R3094" s="2" t="n">
        <f aca="false">INDEX(Summary!$N$2:$N$201,MATCH($B3094,Summary!$A$2:$A$201,0))</f>
        <v>9.36</v>
      </c>
      <c r="S3094" s="3" t="n">
        <f aca="false">INDEX(Summary!$O$2:$O$201,MATCH($B3094,Summary!$A$2:$A$201,0))</f>
        <v>6</v>
      </c>
      <c r="T3094" s="3" t="n">
        <f aca="false">INDEX(Summary!$P$2:$P$201,MATCH($B3094,Summary!$A$2:$A$201,0))</f>
        <v>3</v>
      </c>
      <c r="U3094" s="2" t="n">
        <f aca="false">INDEX(Summary!$Q$2:$Q$201,MATCH($B3094,Summary!$A$2:$A$201,0))</f>
        <v>12.68</v>
      </c>
      <c r="V3094" s="2" t="n">
        <f aca="false">INDEX(Summary!$R$2:$R$201,MATCH($B3094,Summary!$A$2:$A$201,0))</f>
        <v>19.91</v>
      </c>
      <c r="W3094" s="0" t="str">
        <f aca="false">INDEX(Summary!$S$2:$S$201,MATCH($B3094,Summary!$A$2:$A$201,0))</f>
        <v>Bronze</v>
      </c>
      <c r="X3094" s="2" t="n">
        <f aca="false">INDEX(Summary!$T$2:$T$201,MATCH($B3094,Summary!$A$2:$A$201,0))</f>
        <v>48.56</v>
      </c>
      <c r="Y3094" s="0" t="str">
        <f aca="false">INDEX('Reward Model'!$E$18:$E$37,MATCH($E3094,'Reward Model'!$A$18:$A$37,0))</f>
        <v>Medium</v>
      </c>
      <c r="Z3094" s="4" t="n">
        <f aca="false">ROUND(MIN(1,MAX('Reward Model'!$B$2,INDEX('Reward Model'!$C$12:$C$14,MATCH($K3094,'Reward Model'!$A$12:$A$14,0))/$J3094)),3)</f>
        <v>1</v>
      </c>
      <c r="AA3094" s="2" t="n">
        <f aca="false">IF($I3094="Correct",ROUND(INDEX('Reward Model'!$B$12:$B$14,MATCH($K3094,'Reward Model'!$A$12:$A$14,0))*Z3094,2),0)</f>
        <v>2</v>
      </c>
      <c r="AB3094" s="2" t="n">
        <f aca="false">IF($I3094="Correct",ROUND(INDEX('Reward Model'!$B$12:$B$14,MATCH($Y3094,'Reward Model'!$A$12:$A$14,0))*Z3094,2),0)</f>
        <v>2</v>
      </c>
    </row>
    <row r="3095" customFormat="false" ht="15" hidden="false" customHeight="false" outlineLevel="0" collapsed="false">
      <c r="A3095" s="0" t="s">
        <v>440</v>
      </c>
      <c r="B3095" s="0" t="s">
        <v>441</v>
      </c>
      <c r="C3095" s="0" t="s">
        <v>322</v>
      </c>
      <c r="D3095" s="0" t="s">
        <v>189</v>
      </c>
      <c r="E3095" s="0" t="n">
        <v>14</v>
      </c>
      <c r="F3095" s="0" t="s">
        <v>68</v>
      </c>
      <c r="G3095" s="0" t="s">
        <v>51</v>
      </c>
      <c r="H3095" s="0" t="s">
        <v>51</v>
      </c>
      <c r="I3095" s="0" t="s">
        <v>34</v>
      </c>
      <c r="J3095" s="0" t="n">
        <v>1.15</v>
      </c>
      <c r="K3095" s="0" t="s">
        <v>60</v>
      </c>
      <c r="L3095" s="0" t="n">
        <f aca="false">INDEX(Summary!$F$2:$F$201,MATCH($B3095,Summary!$A$2:$A$201,0))</f>
        <v>20</v>
      </c>
      <c r="M3095" s="0" t="n">
        <f aca="false">INDEX(Summary!$I$2:$I$201,MATCH($B3095,Summary!$A$2:$A$201,0))</f>
        <v>1</v>
      </c>
      <c r="N3095" s="0" t="n">
        <f aca="false">INDEX(Summary!$J$2:$J$201,MATCH($B3095,Summary!$A$2:$A$201,0))</f>
        <v>4</v>
      </c>
      <c r="O3095" s="2" t="n">
        <f aca="false">INDEX(Summary!$K$2:$K$201,MATCH($B3095,Summary!$A$2:$A$201,0))</f>
        <v>9.81</v>
      </c>
      <c r="P3095" s="3" t="n">
        <f aca="false">INDEX(Summary!$L$2:$L$201,MATCH($B3095,Summary!$A$2:$A$201,0))</f>
        <v>4</v>
      </c>
      <c r="Q3095" s="3" t="n">
        <f aca="false">INDEX(Summary!$M$2:$M$201,MATCH($B3095,Summary!$A$2:$A$201,0))</f>
        <v>2</v>
      </c>
      <c r="R3095" s="2" t="n">
        <f aca="false">INDEX(Summary!$N$2:$N$201,MATCH($B3095,Summary!$A$2:$A$201,0))</f>
        <v>9.36</v>
      </c>
      <c r="S3095" s="3" t="n">
        <f aca="false">INDEX(Summary!$O$2:$O$201,MATCH($B3095,Summary!$A$2:$A$201,0))</f>
        <v>6</v>
      </c>
      <c r="T3095" s="3" t="n">
        <f aca="false">INDEX(Summary!$P$2:$P$201,MATCH($B3095,Summary!$A$2:$A$201,0))</f>
        <v>3</v>
      </c>
      <c r="U3095" s="2" t="n">
        <f aca="false">INDEX(Summary!$Q$2:$Q$201,MATCH($B3095,Summary!$A$2:$A$201,0))</f>
        <v>12.68</v>
      </c>
      <c r="V3095" s="2" t="n">
        <f aca="false">INDEX(Summary!$R$2:$R$201,MATCH($B3095,Summary!$A$2:$A$201,0))</f>
        <v>19.91</v>
      </c>
      <c r="W3095" s="0" t="str">
        <f aca="false">INDEX(Summary!$S$2:$S$201,MATCH($B3095,Summary!$A$2:$A$201,0))</f>
        <v>Bronze</v>
      </c>
      <c r="X3095" s="2" t="n">
        <f aca="false">INDEX(Summary!$T$2:$T$201,MATCH($B3095,Summary!$A$2:$A$201,0))</f>
        <v>48.56</v>
      </c>
      <c r="Y3095" s="0" t="str">
        <f aca="false">INDEX('Reward Model'!$E$18:$E$37,MATCH($E3095,'Reward Model'!$A$18:$A$37,0))</f>
        <v>Medium</v>
      </c>
      <c r="Z3095" s="4" t="n">
        <f aca="false">ROUND(MIN(1,MAX('Reward Model'!$B$2,INDEX('Reward Model'!$C$12:$C$14,MATCH($K3095,'Reward Model'!$A$12:$A$14,0))/$J3095)),3)</f>
        <v>1</v>
      </c>
      <c r="AA3095" s="2" t="n">
        <f aca="false">IF($I3095="Correct",ROUND(INDEX('Reward Model'!$B$12:$B$14,MATCH($K3095,'Reward Model'!$A$12:$A$14,0))*Z3095,2),0)</f>
        <v>2</v>
      </c>
      <c r="AB3095" s="2" t="n">
        <f aca="false">IF($I3095="Correct",ROUND(INDEX('Reward Model'!$B$12:$B$14,MATCH($Y3095,'Reward Model'!$A$12:$A$14,0))*Z3095,2),0)</f>
        <v>2</v>
      </c>
    </row>
    <row r="3096" customFormat="false" ht="15" hidden="false" customHeight="false" outlineLevel="0" collapsed="false">
      <c r="A3096" s="0" t="s">
        <v>440</v>
      </c>
      <c r="B3096" s="0" t="s">
        <v>441</v>
      </c>
      <c r="C3096" s="0" t="s">
        <v>322</v>
      </c>
      <c r="D3096" s="0" t="s">
        <v>189</v>
      </c>
      <c r="E3096" s="0" t="n">
        <v>15</v>
      </c>
      <c r="F3096" s="0" t="s">
        <v>69</v>
      </c>
      <c r="G3096" s="0" t="s">
        <v>70</v>
      </c>
      <c r="H3096" s="0" t="s">
        <v>70</v>
      </c>
      <c r="I3096" s="0" t="s">
        <v>34</v>
      </c>
      <c r="J3096" s="0" t="n">
        <v>2.06</v>
      </c>
      <c r="K3096" s="0" t="s">
        <v>60</v>
      </c>
      <c r="L3096" s="0" t="n">
        <f aca="false">INDEX(Summary!$F$2:$F$201,MATCH($B3096,Summary!$A$2:$A$201,0))</f>
        <v>20</v>
      </c>
      <c r="M3096" s="0" t="n">
        <f aca="false">INDEX(Summary!$I$2:$I$201,MATCH($B3096,Summary!$A$2:$A$201,0))</f>
        <v>1</v>
      </c>
      <c r="N3096" s="0" t="n">
        <f aca="false">INDEX(Summary!$J$2:$J$201,MATCH($B3096,Summary!$A$2:$A$201,0))</f>
        <v>4</v>
      </c>
      <c r="O3096" s="2" t="n">
        <f aca="false">INDEX(Summary!$K$2:$K$201,MATCH($B3096,Summary!$A$2:$A$201,0))</f>
        <v>9.81</v>
      </c>
      <c r="P3096" s="3" t="n">
        <f aca="false">INDEX(Summary!$L$2:$L$201,MATCH($B3096,Summary!$A$2:$A$201,0))</f>
        <v>4</v>
      </c>
      <c r="Q3096" s="3" t="n">
        <f aca="false">INDEX(Summary!$M$2:$M$201,MATCH($B3096,Summary!$A$2:$A$201,0))</f>
        <v>2</v>
      </c>
      <c r="R3096" s="2" t="n">
        <f aca="false">INDEX(Summary!$N$2:$N$201,MATCH($B3096,Summary!$A$2:$A$201,0))</f>
        <v>9.36</v>
      </c>
      <c r="S3096" s="3" t="n">
        <f aca="false">INDEX(Summary!$O$2:$O$201,MATCH($B3096,Summary!$A$2:$A$201,0))</f>
        <v>6</v>
      </c>
      <c r="T3096" s="3" t="n">
        <f aca="false">INDEX(Summary!$P$2:$P$201,MATCH($B3096,Summary!$A$2:$A$201,0))</f>
        <v>3</v>
      </c>
      <c r="U3096" s="2" t="n">
        <f aca="false">INDEX(Summary!$Q$2:$Q$201,MATCH($B3096,Summary!$A$2:$A$201,0))</f>
        <v>12.68</v>
      </c>
      <c r="V3096" s="2" t="n">
        <f aca="false">INDEX(Summary!$R$2:$R$201,MATCH($B3096,Summary!$A$2:$A$201,0))</f>
        <v>19.91</v>
      </c>
      <c r="W3096" s="0" t="str">
        <f aca="false">INDEX(Summary!$S$2:$S$201,MATCH($B3096,Summary!$A$2:$A$201,0))</f>
        <v>Bronze</v>
      </c>
      <c r="X3096" s="2" t="n">
        <f aca="false">INDEX(Summary!$T$2:$T$201,MATCH($B3096,Summary!$A$2:$A$201,0))</f>
        <v>48.56</v>
      </c>
      <c r="Y3096" s="0" t="str">
        <f aca="false">INDEX('Reward Model'!$E$18:$E$37,MATCH($E3096,'Reward Model'!$A$18:$A$37,0))</f>
        <v>Medium</v>
      </c>
      <c r="Z3096" s="4" t="n">
        <f aca="false">ROUND(MIN(1,MAX('Reward Model'!$B$2,INDEX('Reward Model'!$C$12:$C$14,MATCH($K3096,'Reward Model'!$A$12:$A$14,0))/$J3096)),3)</f>
        <v>0.874</v>
      </c>
      <c r="AA3096" s="2" t="n">
        <f aca="false">IF($I3096="Correct",ROUND(INDEX('Reward Model'!$B$12:$B$14,MATCH($K3096,'Reward Model'!$A$12:$A$14,0))*Z3096,2),0)</f>
        <v>1.75</v>
      </c>
      <c r="AB3096" s="2" t="n">
        <f aca="false">IF($I3096="Correct",ROUND(INDEX('Reward Model'!$B$12:$B$14,MATCH($Y3096,'Reward Model'!$A$12:$A$14,0))*Z3096,2),0)</f>
        <v>1.75</v>
      </c>
    </row>
    <row r="3097" customFormat="false" ht="15" hidden="false" customHeight="false" outlineLevel="0" collapsed="false">
      <c r="A3097" s="0" t="s">
        <v>440</v>
      </c>
      <c r="B3097" s="0" t="s">
        <v>441</v>
      </c>
      <c r="C3097" s="0" t="s">
        <v>322</v>
      </c>
      <c r="D3097" s="0" t="s">
        <v>189</v>
      </c>
      <c r="E3097" s="0" t="n">
        <v>16</v>
      </c>
      <c r="F3097" s="0" t="s">
        <v>71</v>
      </c>
      <c r="G3097" s="0" t="s">
        <v>87</v>
      </c>
      <c r="H3097" s="0" t="s">
        <v>72</v>
      </c>
      <c r="I3097" s="0" t="s">
        <v>39</v>
      </c>
      <c r="J3097" s="0" t="n">
        <v>1.78</v>
      </c>
      <c r="K3097" s="0" t="s">
        <v>73</v>
      </c>
      <c r="L3097" s="0" t="n">
        <f aca="false">INDEX(Summary!$F$2:$F$201,MATCH($B3097,Summary!$A$2:$A$201,0))</f>
        <v>20</v>
      </c>
      <c r="M3097" s="0" t="n">
        <f aca="false">INDEX(Summary!$I$2:$I$201,MATCH($B3097,Summary!$A$2:$A$201,0))</f>
        <v>1</v>
      </c>
      <c r="N3097" s="0" t="n">
        <f aca="false">INDEX(Summary!$J$2:$J$201,MATCH($B3097,Summary!$A$2:$A$201,0))</f>
        <v>4</v>
      </c>
      <c r="O3097" s="2" t="n">
        <f aca="false">INDEX(Summary!$K$2:$K$201,MATCH($B3097,Summary!$A$2:$A$201,0))</f>
        <v>9.81</v>
      </c>
      <c r="P3097" s="3" t="n">
        <f aca="false">INDEX(Summary!$L$2:$L$201,MATCH($B3097,Summary!$A$2:$A$201,0))</f>
        <v>4</v>
      </c>
      <c r="Q3097" s="3" t="n">
        <f aca="false">INDEX(Summary!$M$2:$M$201,MATCH($B3097,Summary!$A$2:$A$201,0))</f>
        <v>2</v>
      </c>
      <c r="R3097" s="2" t="n">
        <f aca="false">INDEX(Summary!$N$2:$N$201,MATCH($B3097,Summary!$A$2:$A$201,0))</f>
        <v>9.36</v>
      </c>
      <c r="S3097" s="3" t="n">
        <f aca="false">INDEX(Summary!$O$2:$O$201,MATCH($B3097,Summary!$A$2:$A$201,0))</f>
        <v>6</v>
      </c>
      <c r="T3097" s="3" t="n">
        <f aca="false">INDEX(Summary!$P$2:$P$201,MATCH($B3097,Summary!$A$2:$A$201,0))</f>
        <v>3</v>
      </c>
      <c r="U3097" s="2" t="n">
        <f aca="false">INDEX(Summary!$Q$2:$Q$201,MATCH($B3097,Summary!$A$2:$A$201,0))</f>
        <v>12.68</v>
      </c>
      <c r="V3097" s="2" t="n">
        <f aca="false">INDEX(Summary!$R$2:$R$201,MATCH($B3097,Summary!$A$2:$A$201,0))</f>
        <v>19.91</v>
      </c>
      <c r="W3097" s="0" t="str">
        <f aca="false">INDEX(Summary!$S$2:$S$201,MATCH($B3097,Summary!$A$2:$A$201,0))</f>
        <v>Bronze</v>
      </c>
      <c r="X3097" s="2" t="n">
        <f aca="false">INDEX(Summary!$T$2:$T$201,MATCH($B3097,Summary!$A$2:$A$201,0))</f>
        <v>48.56</v>
      </c>
      <c r="Y3097" s="0" t="str">
        <f aca="false">INDEX('Reward Model'!$E$18:$E$37,MATCH($E3097,'Reward Model'!$A$18:$A$37,0))</f>
        <v>High</v>
      </c>
      <c r="Z3097" s="4" t="n">
        <f aca="false">ROUND(MIN(1,MAX('Reward Model'!$B$2,INDEX('Reward Model'!$C$12:$C$14,MATCH($K3097,'Reward Model'!$A$12:$A$14,0))/$J3097)),3)</f>
        <v>1</v>
      </c>
      <c r="AA3097" s="2" t="n">
        <f aca="false">IF($I3097="Correct",ROUND(INDEX('Reward Model'!$B$12:$B$14,MATCH($K3097,'Reward Model'!$A$12:$A$14,0))*Z3097,2),0)</f>
        <v>0</v>
      </c>
      <c r="AB3097" s="2" t="n">
        <f aca="false">IF($I3097="Correct",ROUND(INDEX('Reward Model'!$B$12:$B$14,MATCH($Y3097,'Reward Model'!$A$12:$A$14,0))*Z3097,2),0)</f>
        <v>0</v>
      </c>
    </row>
    <row r="3098" customFormat="false" ht="15" hidden="false" customHeight="false" outlineLevel="0" collapsed="false">
      <c r="A3098" s="0" t="s">
        <v>440</v>
      </c>
      <c r="B3098" s="0" t="s">
        <v>441</v>
      </c>
      <c r="C3098" s="0" t="s">
        <v>322</v>
      </c>
      <c r="D3098" s="0" t="s">
        <v>189</v>
      </c>
      <c r="E3098" s="0" t="n">
        <v>17</v>
      </c>
      <c r="F3098" s="0" t="s">
        <v>74</v>
      </c>
      <c r="G3098" s="0" t="s">
        <v>91</v>
      </c>
      <c r="H3098" s="0" t="s">
        <v>75</v>
      </c>
      <c r="I3098" s="0" t="s">
        <v>39</v>
      </c>
      <c r="J3098" s="0" t="n">
        <v>1.8</v>
      </c>
      <c r="K3098" s="0" t="s">
        <v>73</v>
      </c>
      <c r="L3098" s="0" t="n">
        <f aca="false">INDEX(Summary!$F$2:$F$201,MATCH($B3098,Summary!$A$2:$A$201,0))</f>
        <v>20</v>
      </c>
      <c r="M3098" s="0" t="n">
        <f aca="false">INDEX(Summary!$I$2:$I$201,MATCH($B3098,Summary!$A$2:$A$201,0))</f>
        <v>1</v>
      </c>
      <c r="N3098" s="0" t="n">
        <f aca="false">INDEX(Summary!$J$2:$J$201,MATCH($B3098,Summary!$A$2:$A$201,0))</f>
        <v>4</v>
      </c>
      <c r="O3098" s="2" t="n">
        <f aca="false">INDEX(Summary!$K$2:$K$201,MATCH($B3098,Summary!$A$2:$A$201,0))</f>
        <v>9.81</v>
      </c>
      <c r="P3098" s="3" t="n">
        <f aca="false">INDEX(Summary!$L$2:$L$201,MATCH($B3098,Summary!$A$2:$A$201,0))</f>
        <v>4</v>
      </c>
      <c r="Q3098" s="3" t="n">
        <f aca="false">INDEX(Summary!$M$2:$M$201,MATCH($B3098,Summary!$A$2:$A$201,0))</f>
        <v>2</v>
      </c>
      <c r="R3098" s="2" t="n">
        <f aca="false">INDEX(Summary!$N$2:$N$201,MATCH($B3098,Summary!$A$2:$A$201,0))</f>
        <v>9.36</v>
      </c>
      <c r="S3098" s="3" t="n">
        <f aca="false">INDEX(Summary!$O$2:$O$201,MATCH($B3098,Summary!$A$2:$A$201,0))</f>
        <v>6</v>
      </c>
      <c r="T3098" s="3" t="n">
        <f aca="false">INDEX(Summary!$P$2:$P$201,MATCH($B3098,Summary!$A$2:$A$201,0))</f>
        <v>3</v>
      </c>
      <c r="U3098" s="2" t="n">
        <f aca="false">INDEX(Summary!$Q$2:$Q$201,MATCH($B3098,Summary!$A$2:$A$201,0))</f>
        <v>12.68</v>
      </c>
      <c r="V3098" s="2" t="n">
        <f aca="false">INDEX(Summary!$R$2:$R$201,MATCH($B3098,Summary!$A$2:$A$201,0))</f>
        <v>19.91</v>
      </c>
      <c r="W3098" s="0" t="str">
        <f aca="false">INDEX(Summary!$S$2:$S$201,MATCH($B3098,Summary!$A$2:$A$201,0))</f>
        <v>Bronze</v>
      </c>
      <c r="X3098" s="2" t="n">
        <f aca="false">INDEX(Summary!$T$2:$T$201,MATCH($B3098,Summary!$A$2:$A$201,0))</f>
        <v>48.56</v>
      </c>
      <c r="Y3098" s="0" t="str">
        <f aca="false">INDEX('Reward Model'!$E$18:$E$37,MATCH($E3098,'Reward Model'!$A$18:$A$37,0))</f>
        <v>High</v>
      </c>
      <c r="Z3098" s="4" t="n">
        <f aca="false">ROUND(MIN(1,MAX('Reward Model'!$B$2,INDEX('Reward Model'!$C$12:$C$14,MATCH($K3098,'Reward Model'!$A$12:$A$14,0))/$J3098)),3)</f>
        <v>1</v>
      </c>
      <c r="AA3098" s="2" t="n">
        <f aca="false">IF($I3098="Correct",ROUND(INDEX('Reward Model'!$B$12:$B$14,MATCH($K3098,'Reward Model'!$A$12:$A$14,0))*Z3098,2),0)</f>
        <v>0</v>
      </c>
      <c r="AB3098" s="2" t="n">
        <f aca="false">IF($I3098="Correct",ROUND(INDEX('Reward Model'!$B$12:$B$14,MATCH($Y3098,'Reward Model'!$A$12:$A$14,0))*Z3098,2),0)</f>
        <v>0</v>
      </c>
    </row>
    <row r="3099" customFormat="false" ht="15" hidden="false" customHeight="false" outlineLevel="0" collapsed="false">
      <c r="A3099" s="0" t="s">
        <v>440</v>
      </c>
      <c r="B3099" s="0" t="s">
        <v>441</v>
      </c>
      <c r="C3099" s="0" t="s">
        <v>322</v>
      </c>
      <c r="D3099" s="0" t="s">
        <v>189</v>
      </c>
      <c r="E3099" s="0" t="n">
        <v>18</v>
      </c>
      <c r="F3099" s="0" t="s">
        <v>76</v>
      </c>
      <c r="G3099" s="0" t="s">
        <v>88</v>
      </c>
      <c r="H3099" s="0" t="s">
        <v>77</v>
      </c>
      <c r="I3099" s="0" t="s">
        <v>39</v>
      </c>
      <c r="J3099" s="0" t="n">
        <v>1.24</v>
      </c>
      <c r="K3099" s="0" t="s">
        <v>73</v>
      </c>
      <c r="L3099" s="0" t="n">
        <f aca="false">INDEX(Summary!$F$2:$F$201,MATCH($B3099,Summary!$A$2:$A$201,0))</f>
        <v>20</v>
      </c>
      <c r="M3099" s="0" t="n">
        <f aca="false">INDEX(Summary!$I$2:$I$201,MATCH($B3099,Summary!$A$2:$A$201,0))</f>
        <v>1</v>
      </c>
      <c r="N3099" s="0" t="n">
        <f aca="false">INDEX(Summary!$J$2:$J$201,MATCH($B3099,Summary!$A$2:$A$201,0))</f>
        <v>4</v>
      </c>
      <c r="O3099" s="2" t="n">
        <f aca="false">INDEX(Summary!$K$2:$K$201,MATCH($B3099,Summary!$A$2:$A$201,0))</f>
        <v>9.81</v>
      </c>
      <c r="P3099" s="3" t="n">
        <f aca="false">INDEX(Summary!$L$2:$L$201,MATCH($B3099,Summary!$A$2:$A$201,0))</f>
        <v>4</v>
      </c>
      <c r="Q3099" s="3" t="n">
        <f aca="false">INDEX(Summary!$M$2:$M$201,MATCH($B3099,Summary!$A$2:$A$201,0))</f>
        <v>2</v>
      </c>
      <c r="R3099" s="2" t="n">
        <f aca="false">INDEX(Summary!$N$2:$N$201,MATCH($B3099,Summary!$A$2:$A$201,0))</f>
        <v>9.36</v>
      </c>
      <c r="S3099" s="3" t="n">
        <f aca="false">INDEX(Summary!$O$2:$O$201,MATCH($B3099,Summary!$A$2:$A$201,0))</f>
        <v>6</v>
      </c>
      <c r="T3099" s="3" t="n">
        <f aca="false">INDEX(Summary!$P$2:$P$201,MATCH($B3099,Summary!$A$2:$A$201,0))</f>
        <v>3</v>
      </c>
      <c r="U3099" s="2" t="n">
        <f aca="false">INDEX(Summary!$Q$2:$Q$201,MATCH($B3099,Summary!$A$2:$A$201,0))</f>
        <v>12.68</v>
      </c>
      <c r="V3099" s="2" t="n">
        <f aca="false">INDEX(Summary!$R$2:$R$201,MATCH($B3099,Summary!$A$2:$A$201,0))</f>
        <v>19.91</v>
      </c>
      <c r="W3099" s="0" t="str">
        <f aca="false">INDEX(Summary!$S$2:$S$201,MATCH($B3099,Summary!$A$2:$A$201,0))</f>
        <v>Bronze</v>
      </c>
      <c r="X3099" s="2" t="n">
        <f aca="false">INDEX(Summary!$T$2:$T$201,MATCH($B3099,Summary!$A$2:$A$201,0))</f>
        <v>48.56</v>
      </c>
      <c r="Y3099" s="0" t="str">
        <f aca="false">INDEX('Reward Model'!$E$18:$E$37,MATCH($E3099,'Reward Model'!$A$18:$A$37,0))</f>
        <v>High</v>
      </c>
      <c r="Z3099" s="4" t="n">
        <f aca="false">ROUND(MIN(1,MAX('Reward Model'!$B$2,INDEX('Reward Model'!$C$12:$C$14,MATCH($K3099,'Reward Model'!$A$12:$A$14,0))/$J3099)),3)</f>
        <v>1</v>
      </c>
      <c r="AA3099" s="2" t="n">
        <f aca="false">IF($I3099="Correct",ROUND(INDEX('Reward Model'!$B$12:$B$14,MATCH($K3099,'Reward Model'!$A$12:$A$14,0))*Z3099,2),0)</f>
        <v>0</v>
      </c>
      <c r="AB3099" s="2" t="n">
        <f aca="false">IF($I3099="Correct",ROUND(INDEX('Reward Model'!$B$12:$B$14,MATCH($Y3099,'Reward Model'!$A$12:$A$14,0))*Z3099,2),0)</f>
        <v>0</v>
      </c>
    </row>
    <row r="3100" customFormat="false" ht="15" hidden="false" customHeight="false" outlineLevel="0" collapsed="false">
      <c r="A3100" s="0" t="s">
        <v>440</v>
      </c>
      <c r="B3100" s="0" t="s">
        <v>441</v>
      </c>
      <c r="C3100" s="0" t="s">
        <v>322</v>
      </c>
      <c r="D3100" s="0" t="s">
        <v>189</v>
      </c>
      <c r="E3100" s="0" t="n">
        <v>19</v>
      </c>
      <c r="F3100" s="0" t="s">
        <v>78</v>
      </c>
      <c r="G3100" s="0" t="s">
        <v>51</v>
      </c>
      <c r="H3100" s="0" t="s">
        <v>80</v>
      </c>
      <c r="I3100" s="0" t="s">
        <v>39</v>
      </c>
      <c r="J3100" s="0" t="n">
        <v>2.54</v>
      </c>
      <c r="K3100" s="0" t="s">
        <v>73</v>
      </c>
      <c r="L3100" s="0" t="n">
        <f aca="false">INDEX(Summary!$F$2:$F$201,MATCH($B3100,Summary!$A$2:$A$201,0))</f>
        <v>20</v>
      </c>
      <c r="M3100" s="0" t="n">
        <f aca="false">INDEX(Summary!$I$2:$I$201,MATCH($B3100,Summary!$A$2:$A$201,0))</f>
        <v>1</v>
      </c>
      <c r="N3100" s="0" t="n">
        <f aca="false">INDEX(Summary!$J$2:$J$201,MATCH($B3100,Summary!$A$2:$A$201,0))</f>
        <v>4</v>
      </c>
      <c r="O3100" s="2" t="n">
        <f aca="false">INDEX(Summary!$K$2:$K$201,MATCH($B3100,Summary!$A$2:$A$201,0))</f>
        <v>9.81</v>
      </c>
      <c r="P3100" s="3" t="n">
        <f aca="false">INDEX(Summary!$L$2:$L$201,MATCH($B3100,Summary!$A$2:$A$201,0))</f>
        <v>4</v>
      </c>
      <c r="Q3100" s="3" t="n">
        <f aca="false">INDEX(Summary!$M$2:$M$201,MATCH($B3100,Summary!$A$2:$A$201,0))</f>
        <v>2</v>
      </c>
      <c r="R3100" s="2" t="n">
        <f aca="false">INDEX(Summary!$N$2:$N$201,MATCH($B3100,Summary!$A$2:$A$201,0))</f>
        <v>9.36</v>
      </c>
      <c r="S3100" s="3" t="n">
        <f aca="false">INDEX(Summary!$O$2:$O$201,MATCH($B3100,Summary!$A$2:$A$201,0))</f>
        <v>6</v>
      </c>
      <c r="T3100" s="3" t="n">
        <f aca="false">INDEX(Summary!$P$2:$P$201,MATCH($B3100,Summary!$A$2:$A$201,0))</f>
        <v>3</v>
      </c>
      <c r="U3100" s="2" t="n">
        <f aca="false">INDEX(Summary!$Q$2:$Q$201,MATCH($B3100,Summary!$A$2:$A$201,0))</f>
        <v>12.68</v>
      </c>
      <c r="V3100" s="2" t="n">
        <f aca="false">INDEX(Summary!$R$2:$R$201,MATCH($B3100,Summary!$A$2:$A$201,0))</f>
        <v>19.91</v>
      </c>
      <c r="W3100" s="0" t="str">
        <f aca="false">INDEX(Summary!$S$2:$S$201,MATCH($B3100,Summary!$A$2:$A$201,0))</f>
        <v>Bronze</v>
      </c>
      <c r="X3100" s="2" t="n">
        <f aca="false">INDEX(Summary!$T$2:$T$201,MATCH($B3100,Summary!$A$2:$A$201,0))</f>
        <v>48.56</v>
      </c>
      <c r="Y3100" s="0" t="str">
        <f aca="false">INDEX('Reward Model'!$E$18:$E$37,MATCH($E3100,'Reward Model'!$A$18:$A$37,0))</f>
        <v>High</v>
      </c>
      <c r="Z3100" s="4" t="n">
        <f aca="false">ROUND(MIN(1,MAX('Reward Model'!$B$2,INDEX('Reward Model'!$C$12:$C$14,MATCH($K3100,'Reward Model'!$A$12:$A$14,0))/$J3100)),3)</f>
        <v>0.787</v>
      </c>
      <c r="AA3100" s="2" t="n">
        <f aca="false">IF($I3100="Correct",ROUND(INDEX('Reward Model'!$B$12:$B$14,MATCH($K3100,'Reward Model'!$A$12:$A$14,0))*Z3100,2),0)</f>
        <v>0</v>
      </c>
      <c r="AB3100" s="2" t="n">
        <f aca="false">IF($I3100="Correct",ROUND(INDEX('Reward Model'!$B$12:$B$14,MATCH($Y3100,'Reward Model'!$A$12:$A$14,0))*Z3100,2),0)</f>
        <v>0</v>
      </c>
    </row>
    <row r="3101" customFormat="false" ht="15" hidden="false" customHeight="false" outlineLevel="0" collapsed="false">
      <c r="A3101" s="0" t="s">
        <v>440</v>
      </c>
      <c r="B3101" s="0" t="s">
        <v>441</v>
      </c>
      <c r="C3101" s="0" t="s">
        <v>322</v>
      </c>
      <c r="D3101" s="0" t="s">
        <v>189</v>
      </c>
      <c r="E3101" s="0" t="n">
        <v>20</v>
      </c>
      <c r="F3101" s="0" t="s">
        <v>81</v>
      </c>
      <c r="G3101" s="0" t="s">
        <v>83</v>
      </c>
      <c r="H3101" s="0" t="s">
        <v>83</v>
      </c>
      <c r="I3101" s="0" t="s">
        <v>34</v>
      </c>
      <c r="J3101" s="0" t="n">
        <v>2.45</v>
      </c>
      <c r="K3101" s="0" t="s">
        <v>73</v>
      </c>
      <c r="L3101" s="0" t="n">
        <f aca="false">INDEX(Summary!$F$2:$F$201,MATCH($B3101,Summary!$A$2:$A$201,0))</f>
        <v>20</v>
      </c>
      <c r="M3101" s="0" t="n">
        <f aca="false">INDEX(Summary!$I$2:$I$201,MATCH($B3101,Summary!$A$2:$A$201,0))</f>
        <v>1</v>
      </c>
      <c r="N3101" s="0" t="n">
        <f aca="false">INDEX(Summary!$J$2:$J$201,MATCH($B3101,Summary!$A$2:$A$201,0))</f>
        <v>4</v>
      </c>
      <c r="O3101" s="2" t="n">
        <f aca="false">INDEX(Summary!$K$2:$K$201,MATCH($B3101,Summary!$A$2:$A$201,0))</f>
        <v>9.81</v>
      </c>
      <c r="P3101" s="3" t="n">
        <f aca="false">INDEX(Summary!$L$2:$L$201,MATCH($B3101,Summary!$A$2:$A$201,0))</f>
        <v>4</v>
      </c>
      <c r="Q3101" s="3" t="n">
        <f aca="false">INDEX(Summary!$M$2:$M$201,MATCH($B3101,Summary!$A$2:$A$201,0))</f>
        <v>2</v>
      </c>
      <c r="R3101" s="2" t="n">
        <f aca="false">INDEX(Summary!$N$2:$N$201,MATCH($B3101,Summary!$A$2:$A$201,0))</f>
        <v>9.36</v>
      </c>
      <c r="S3101" s="3" t="n">
        <f aca="false">INDEX(Summary!$O$2:$O$201,MATCH($B3101,Summary!$A$2:$A$201,0))</f>
        <v>6</v>
      </c>
      <c r="T3101" s="3" t="n">
        <f aca="false">INDEX(Summary!$P$2:$P$201,MATCH($B3101,Summary!$A$2:$A$201,0))</f>
        <v>3</v>
      </c>
      <c r="U3101" s="2" t="n">
        <f aca="false">INDEX(Summary!$Q$2:$Q$201,MATCH($B3101,Summary!$A$2:$A$201,0))</f>
        <v>12.68</v>
      </c>
      <c r="V3101" s="2" t="n">
        <f aca="false">INDEX(Summary!$R$2:$R$201,MATCH($B3101,Summary!$A$2:$A$201,0))</f>
        <v>19.91</v>
      </c>
      <c r="W3101" s="0" t="str">
        <f aca="false">INDEX(Summary!$S$2:$S$201,MATCH($B3101,Summary!$A$2:$A$201,0))</f>
        <v>Bronze</v>
      </c>
      <c r="X3101" s="2" t="n">
        <f aca="false">INDEX(Summary!$T$2:$T$201,MATCH($B3101,Summary!$A$2:$A$201,0))</f>
        <v>48.56</v>
      </c>
      <c r="Y3101" s="0" t="str">
        <f aca="false">INDEX('Reward Model'!$E$18:$E$37,MATCH($E3101,'Reward Model'!$A$18:$A$37,0))</f>
        <v>High</v>
      </c>
      <c r="Z3101" s="4" t="n">
        <f aca="false">ROUND(MIN(1,MAX('Reward Model'!$B$2,INDEX('Reward Model'!$C$12:$C$14,MATCH($K3101,'Reward Model'!$A$12:$A$14,0))/$J3101)),3)</f>
        <v>0.816</v>
      </c>
      <c r="AA3101" s="2" t="n">
        <f aca="false">IF($I3101="Correct",ROUND(INDEX('Reward Model'!$B$12:$B$14,MATCH($K3101,'Reward Model'!$A$12:$A$14,0))*Z3101,2),0)</f>
        <v>2.45</v>
      </c>
      <c r="AB3101" s="2" t="n">
        <f aca="false">IF($I3101="Correct",ROUND(INDEX('Reward Model'!$B$12:$B$14,MATCH($Y3101,'Reward Model'!$A$12:$A$14,0))*Z3101,2),0)</f>
        <v>2.45</v>
      </c>
    </row>
    <row r="3102" customFormat="false" ht="15" hidden="false" customHeight="false" outlineLevel="0" collapsed="false">
      <c r="A3102" s="0" t="s">
        <v>442</v>
      </c>
      <c r="B3102" s="0" t="s">
        <v>443</v>
      </c>
      <c r="C3102" s="0" t="s">
        <v>322</v>
      </c>
      <c r="D3102" s="0" t="s">
        <v>189</v>
      </c>
      <c r="E3102" s="0" t="n">
        <v>1</v>
      </c>
      <c r="F3102" s="0" t="s">
        <v>32</v>
      </c>
      <c r="G3102" s="0" t="s">
        <v>33</v>
      </c>
      <c r="H3102" s="0" t="s">
        <v>33</v>
      </c>
      <c r="I3102" s="0" t="s">
        <v>34</v>
      </c>
      <c r="J3102" s="0" t="n">
        <v>1.47</v>
      </c>
      <c r="K3102" s="0" t="s">
        <v>35</v>
      </c>
      <c r="L3102" s="0" t="n">
        <f aca="false">INDEX(Summary!$F$2:$F$201,MATCH($B3102,Summary!$A$2:$A$201,0))</f>
        <v>20</v>
      </c>
      <c r="M3102" s="0" t="n">
        <f aca="false">INDEX(Summary!$I$2:$I$201,MATCH($B3102,Summary!$A$2:$A$201,0))</f>
        <v>3</v>
      </c>
      <c r="N3102" s="0" t="n">
        <f aca="false">INDEX(Summary!$J$2:$J$201,MATCH($B3102,Summary!$A$2:$A$201,0))</f>
        <v>2</v>
      </c>
      <c r="O3102" s="2" t="n">
        <f aca="false">INDEX(Summary!$K$2:$K$201,MATCH($B3102,Summary!$A$2:$A$201,0))</f>
        <v>9</v>
      </c>
      <c r="P3102" s="3" t="n">
        <f aca="false">INDEX(Summary!$L$2:$L$201,MATCH($B3102,Summary!$A$2:$A$201,0))</f>
        <v>5</v>
      </c>
      <c r="Q3102" s="3" t="n">
        <f aca="false">INDEX(Summary!$M$2:$M$201,MATCH($B3102,Summary!$A$2:$A$201,0))</f>
        <v>1</v>
      </c>
      <c r="R3102" s="2" t="n">
        <f aca="false">INDEX(Summary!$N$2:$N$201,MATCH($B3102,Summary!$A$2:$A$201,0))</f>
        <v>9.76</v>
      </c>
      <c r="S3102" s="3" t="n">
        <f aca="false">INDEX(Summary!$O$2:$O$201,MATCH($B3102,Summary!$A$2:$A$201,0))</f>
        <v>8</v>
      </c>
      <c r="T3102" s="3" t="n">
        <f aca="false">INDEX(Summary!$P$2:$P$201,MATCH($B3102,Summary!$A$2:$A$201,0))</f>
        <v>1</v>
      </c>
      <c r="U3102" s="2" t="n">
        <f aca="false">INDEX(Summary!$Q$2:$Q$201,MATCH($B3102,Summary!$A$2:$A$201,0))</f>
        <v>14.73</v>
      </c>
      <c r="V3102" s="2" t="n">
        <f aca="false">INDEX(Summary!$R$2:$R$201,MATCH($B3102,Summary!$A$2:$A$201,0))</f>
        <v>28.42</v>
      </c>
      <c r="W3102" s="0" t="str">
        <f aca="false">INDEX(Summary!$S$2:$S$201,MATCH($B3102,Summary!$A$2:$A$201,0))</f>
        <v>Silver</v>
      </c>
      <c r="X3102" s="2" t="n">
        <f aca="false">INDEX(Summary!$T$2:$T$201,MATCH($B3102,Summary!$A$2:$A$201,0))</f>
        <v>69.32</v>
      </c>
      <c r="Y3102" s="0" t="str">
        <f aca="false">INDEX('Reward Model'!$E$18:$E$37,MATCH($E3102,'Reward Model'!$A$18:$A$37,0))</f>
        <v>Medium</v>
      </c>
      <c r="Z3102" s="4" t="n">
        <f aca="false">ROUND(MIN(1,MAX('Reward Model'!$B$2,INDEX('Reward Model'!$C$12:$C$14,MATCH($K3102,'Reward Model'!$A$12:$A$14,0))/$J3102)),3)</f>
        <v>1</v>
      </c>
      <c r="AA3102" s="2" t="n">
        <f aca="false">IF($I3102="Correct",ROUND(INDEX('Reward Model'!$B$12:$B$14,MATCH($K3102,'Reward Model'!$A$12:$A$14,0))*Z3102,2),0)</f>
        <v>1</v>
      </c>
      <c r="AB3102" s="2" t="n">
        <f aca="false">IF($I3102="Correct",ROUND(INDEX('Reward Model'!$B$12:$B$14,MATCH($Y3102,'Reward Model'!$A$12:$A$14,0))*Z3102,2),0)</f>
        <v>2</v>
      </c>
    </row>
    <row r="3103" customFormat="false" ht="15" hidden="false" customHeight="false" outlineLevel="0" collapsed="false">
      <c r="A3103" s="0" t="s">
        <v>442</v>
      </c>
      <c r="B3103" s="0" t="s">
        <v>443</v>
      </c>
      <c r="C3103" s="0" t="s">
        <v>322</v>
      </c>
      <c r="D3103" s="0" t="s">
        <v>189</v>
      </c>
      <c r="E3103" s="0" t="n">
        <v>2</v>
      </c>
      <c r="F3103" s="0" t="s">
        <v>36</v>
      </c>
      <c r="G3103" s="0" t="s">
        <v>38</v>
      </c>
      <c r="H3103" s="0" t="s">
        <v>38</v>
      </c>
      <c r="I3103" s="0" t="s">
        <v>34</v>
      </c>
      <c r="J3103" s="0" t="n">
        <v>1.88</v>
      </c>
      <c r="K3103" s="0" t="s">
        <v>35</v>
      </c>
      <c r="L3103" s="0" t="n">
        <f aca="false">INDEX(Summary!$F$2:$F$201,MATCH($B3103,Summary!$A$2:$A$201,0))</f>
        <v>20</v>
      </c>
      <c r="M3103" s="0" t="n">
        <f aca="false">INDEX(Summary!$I$2:$I$201,MATCH($B3103,Summary!$A$2:$A$201,0))</f>
        <v>3</v>
      </c>
      <c r="N3103" s="0" t="n">
        <f aca="false">INDEX(Summary!$J$2:$J$201,MATCH($B3103,Summary!$A$2:$A$201,0))</f>
        <v>2</v>
      </c>
      <c r="O3103" s="2" t="n">
        <f aca="false">INDEX(Summary!$K$2:$K$201,MATCH($B3103,Summary!$A$2:$A$201,0))</f>
        <v>9</v>
      </c>
      <c r="P3103" s="3" t="n">
        <f aca="false">INDEX(Summary!$L$2:$L$201,MATCH($B3103,Summary!$A$2:$A$201,0))</f>
        <v>5</v>
      </c>
      <c r="Q3103" s="3" t="n">
        <f aca="false">INDEX(Summary!$M$2:$M$201,MATCH($B3103,Summary!$A$2:$A$201,0))</f>
        <v>1</v>
      </c>
      <c r="R3103" s="2" t="n">
        <f aca="false">INDEX(Summary!$N$2:$N$201,MATCH($B3103,Summary!$A$2:$A$201,0))</f>
        <v>9.76</v>
      </c>
      <c r="S3103" s="3" t="n">
        <f aca="false">INDEX(Summary!$O$2:$O$201,MATCH($B3103,Summary!$A$2:$A$201,0))</f>
        <v>8</v>
      </c>
      <c r="T3103" s="3" t="n">
        <f aca="false">INDEX(Summary!$P$2:$P$201,MATCH($B3103,Summary!$A$2:$A$201,0))</f>
        <v>1</v>
      </c>
      <c r="U3103" s="2" t="n">
        <f aca="false">INDEX(Summary!$Q$2:$Q$201,MATCH($B3103,Summary!$A$2:$A$201,0))</f>
        <v>14.73</v>
      </c>
      <c r="V3103" s="2" t="n">
        <f aca="false">INDEX(Summary!$R$2:$R$201,MATCH($B3103,Summary!$A$2:$A$201,0))</f>
        <v>28.42</v>
      </c>
      <c r="W3103" s="0" t="str">
        <f aca="false">INDEX(Summary!$S$2:$S$201,MATCH($B3103,Summary!$A$2:$A$201,0))</f>
        <v>Silver</v>
      </c>
      <c r="X3103" s="2" t="n">
        <f aca="false">INDEX(Summary!$T$2:$T$201,MATCH($B3103,Summary!$A$2:$A$201,0))</f>
        <v>69.32</v>
      </c>
      <c r="Y3103" s="0" t="str">
        <f aca="false">INDEX('Reward Model'!$E$18:$E$37,MATCH($E3103,'Reward Model'!$A$18:$A$37,0))</f>
        <v>Low</v>
      </c>
      <c r="Z3103" s="4" t="n">
        <f aca="false">ROUND(MIN(1,MAX('Reward Model'!$B$2,INDEX('Reward Model'!$C$12:$C$14,MATCH($K3103,'Reward Model'!$A$12:$A$14,0))/$J3103)),3)</f>
        <v>0.798</v>
      </c>
      <c r="AA3103" s="2" t="n">
        <f aca="false">IF($I3103="Correct",ROUND(INDEX('Reward Model'!$B$12:$B$14,MATCH($K3103,'Reward Model'!$A$12:$A$14,0))*Z3103,2),0)</f>
        <v>0.8</v>
      </c>
      <c r="AB3103" s="2" t="n">
        <f aca="false">IF($I3103="Correct",ROUND(INDEX('Reward Model'!$B$12:$B$14,MATCH($Y3103,'Reward Model'!$A$12:$A$14,0))*Z3103,2),0)</f>
        <v>0.8</v>
      </c>
    </row>
    <row r="3104" customFormat="false" ht="15" hidden="false" customHeight="false" outlineLevel="0" collapsed="false">
      <c r="A3104" s="0" t="s">
        <v>442</v>
      </c>
      <c r="B3104" s="0" t="s">
        <v>443</v>
      </c>
      <c r="C3104" s="0" t="s">
        <v>322</v>
      </c>
      <c r="D3104" s="0" t="s">
        <v>189</v>
      </c>
      <c r="E3104" s="0" t="n">
        <v>3</v>
      </c>
      <c r="F3104" s="0" t="s">
        <v>40</v>
      </c>
      <c r="G3104" s="0" t="s">
        <v>142</v>
      </c>
      <c r="H3104" s="0" t="s">
        <v>42</v>
      </c>
      <c r="I3104" s="0" t="s">
        <v>39</v>
      </c>
      <c r="J3104" s="0" t="n">
        <v>1.63</v>
      </c>
      <c r="K3104" s="0" t="s">
        <v>35</v>
      </c>
      <c r="L3104" s="0" t="n">
        <f aca="false">INDEX(Summary!$F$2:$F$201,MATCH($B3104,Summary!$A$2:$A$201,0))</f>
        <v>20</v>
      </c>
      <c r="M3104" s="0" t="n">
        <f aca="false">INDEX(Summary!$I$2:$I$201,MATCH($B3104,Summary!$A$2:$A$201,0))</f>
        <v>3</v>
      </c>
      <c r="N3104" s="0" t="n">
        <f aca="false">INDEX(Summary!$J$2:$J$201,MATCH($B3104,Summary!$A$2:$A$201,0))</f>
        <v>2</v>
      </c>
      <c r="O3104" s="2" t="n">
        <f aca="false">INDEX(Summary!$K$2:$K$201,MATCH($B3104,Summary!$A$2:$A$201,0))</f>
        <v>9</v>
      </c>
      <c r="P3104" s="3" t="n">
        <f aca="false">INDEX(Summary!$L$2:$L$201,MATCH($B3104,Summary!$A$2:$A$201,0))</f>
        <v>5</v>
      </c>
      <c r="Q3104" s="3" t="n">
        <f aca="false">INDEX(Summary!$M$2:$M$201,MATCH($B3104,Summary!$A$2:$A$201,0))</f>
        <v>1</v>
      </c>
      <c r="R3104" s="2" t="n">
        <f aca="false">INDEX(Summary!$N$2:$N$201,MATCH($B3104,Summary!$A$2:$A$201,0))</f>
        <v>9.76</v>
      </c>
      <c r="S3104" s="3" t="n">
        <f aca="false">INDEX(Summary!$O$2:$O$201,MATCH($B3104,Summary!$A$2:$A$201,0))</f>
        <v>8</v>
      </c>
      <c r="T3104" s="3" t="n">
        <f aca="false">INDEX(Summary!$P$2:$P$201,MATCH($B3104,Summary!$A$2:$A$201,0))</f>
        <v>1</v>
      </c>
      <c r="U3104" s="2" t="n">
        <f aca="false">INDEX(Summary!$Q$2:$Q$201,MATCH($B3104,Summary!$A$2:$A$201,0))</f>
        <v>14.73</v>
      </c>
      <c r="V3104" s="2" t="n">
        <f aca="false">INDEX(Summary!$R$2:$R$201,MATCH($B3104,Summary!$A$2:$A$201,0))</f>
        <v>28.42</v>
      </c>
      <c r="W3104" s="0" t="str">
        <f aca="false">INDEX(Summary!$S$2:$S$201,MATCH($B3104,Summary!$A$2:$A$201,0))</f>
        <v>Silver</v>
      </c>
      <c r="X3104" s="2" t="n">
        <f aca="false">INDEX(Summary!$T$2:$T$201,MATCH($B3104,Summary!$A$2:$A$201,0))</f>
        <v>69.32</v>
      </c>
      <c r="Y3104" s="0" t="str">
        <f aca="false">INDEX('Reward Model'!$E$18:$E$37,MATCH($E3104,'Reward Model'!$A$18:$A$37,0))</f>
        <v>Medium</v>
      </c>
      <c r="Z3104" s="4" t="n">
        <f aca="false">ROUND(MIN(1,MAX('Reward Model'!$B$2,INDEX('Reward Model'!$C$12:$C$14,MATCH($K3104,'Reward Model'!$A$12:$A$14,0))/$J3104)),3)</f>
        <v>0.92</v>
      </c>
      <c r="AA3104" s="2" t="n">
        <f aca="false">IF($I3104="Correct",ROUND(INDEX('Reward Model'!$B$12:$B$14,MATCH($K3104,'Reward Model'!$A$12:$A$14,0))*Z3104,2),0)</f>
        <v>0</v>
      </c>
      <c r="AB3104" s="2" t="n">
        <f aca="false">IF($I3104="Correct",ROUND(INDEX('Reward Model'!$B$12:$B$14,MATCH($Y3104,'Reward Model'!$A$12:$A$14,0))*Z3104,2),0)</f>
        <v>0</v>
      </c>
    </row>
    <row r="3105" customFormat="false" ht="15" hidden="false" customHeight="false" outlineLevel="0" collapsed="false">
      <c r="A3105" s="0" t="s">
        <v>442</v>
      </c>
      <c r="B3105" s="0" t="s">
        <v>443</v>
      </c>
      <c r="C3105" s="0" t="s">
        <v>322</v>
      </c>
      <c r="D3105" s="0" t="s">
        <v>189</v>
      </c>
      <c r="E3105" s="0" t="n">
        <v>4</v>
      </c>
      <c r="F3105" s="0" t="s">
        <v>43</v>
      </c>
      <c r="G3105" s="0" t="s">
        <v>45</v>
      </c>
      <c r="H3105" s="0" t="s">
        <v>45</v>
      </c>
      <c r="I3105" s="0" t="s">
        <v>34</v>
      </c>
      <c r="J3105" s="0" t="n">
        <v>1.28</v>
      </c>
      <c r="K3105" s="0" t="s">
        <v>35</v>
      </c>
      <c r="L3105" s="0" t="n">
        <f aca="false">INDEX(Summary!$F$2:$F$201,MATCH($B3105,Summary!$A$2:$A$201,0))</f>
        <v>20</v>
      </c>
      <c r="M3105" s="0" t="n">
        <f aca="false">INDEX(Summary!$I$2:$I$201,MATCH($B3105,Summary!$A$2:$A$201,0))</f>
        <v>3</v>
      </c>
      <c r="N3105" s="0" t="n">
        <f aca="false">INDEX(Summary!$J$2:$J$201,MATCH($B3105,Summary!$A$2:$A$201,0))</f>
        <v>2</v>
      </c>
      <c r="O3105" s="2" t="n">
        <f aca="false">INDEX(Summary!$K$2:$K$201,MATCH($B3105,Summary!$A$2:$A$201,0))</f>
        <v>9</v>
      </c>
      <c r="P3105" s="3" t="n">
        <f aca="false">INDEX(Summary!$L$2:$L$201,MATCH($B3105,Summary!$A$2:$A$201,0))</f>
        <v>5</v>
      </c>
      <c r="Q3105" s="3" t="n">
        <f aca="false">INDEX(Summary!$M$2:$M$201,MATCH($B3105,Summary!$A$2:$A$201,0))</f>
        <v>1</v>
      </c>
      <c r="R3105" s="2" t="n">
        <f aca="false">INDEX(Summary!$N$2:$N$201,MATCH($B3105,Summary!$A$2:$A$201,0))</f>
        <v>9.76</v>
      </c>
      <c r="S3105" s="3" t="n">
        <f aca="false">INDEX(Summary!$O$2:$O$201,MATCH($B3105,Summary!$A$2:$A$201,0))</f>
        <v>8</v>
      </c>
      <c r="T3105" s="3" t="n">
        <f aca="false">INDEX(Summary!$P$2:$P$201,MATCH($B3105,Summary!$A$2:$A$201,0))</f>
        <v>1</v>
      </c>
      <c r="U3105" s="2" t="n">
        <f aca="false">INDEX(Summary!$Q$2:$Q$201,MATCH($B3105,Summary!$A$2:$A$201,0))</f>
        <v>14.73</v>
      </c>
      <c r="V3105" s="2" t="n">
        <f aca="false">INDEX(Summary!$R$2:$R$201,MATCH($B3105,Summary!$A$2:$A$201,0))</f>
        <v>28.42</v>
      </c>
      <c r="W3105" s="0" t="str">
        <f aca="false">INDEX(Summary!$S$2:$S$201,MATCH($B3105,Summary!$A$2:$A$201,0))</f>
        <v>Silver</v>
      </c>
      <c r="X3105" s="2" t="n">
        <f aca="false">INDEX(Summary!$T$2:$T$201,MATCH($B3105,Summary!$A$2:$A$201,0))</f>
        <v>69.32</v>
      </c>
      <c r="Y3105" s="0" t="str">
        <f aca="false">INDEX('Reward Model'!$E$18:$E$37,MATCH($E3105,'Reward Model'!$A$18:$A$37,0))</f>
        <v>Low</v>
      </c>
      <c r="Z3105" s="4" t="n">
        <f aca="false">ROUND(MIN(1,MAX('Reward Model'!$B$2,INDEX('Reward Model'!$C$12:$C$14,MATCH($K3105,'Reward Model'!$A$12:$A$14,0))/$J3105)),3)</f>
        <v>1</v>
      </c>
      <c r="AA3105" s="2" t="n">
        <f aca="false">IF($I3105="Correct",ROUND(INDEX('Reward Model'!$B$12:$B$14,MATCH($K3105,'Reward Model'!$A$12:$A$14,0))*Z3105,2),0)</f>
        <v>1</v>
      </c>
      <c r="AB3105" s="2" t="n">
        <f aca="false">IF($I3105="Correct",ROUND(INDEX('Reward Model'!$B$12:$B$14,MATCH($Y3105,'Reward Model'!$A$12:$A$14,0))*Z3105,2),0)</f>
        <v>1</v>
      </c>
    </row>
    <row r="3106" customFormat="false" ht="15" hidden="false" customHeight="false" outlineLevel="0" collapsed="false">
      <c r="A3106" s="0" t="s">
        <v>442</v>
      </c>
      <c r="B3106" s="0" t="s">
        <v>443</v>
      </c>
      <c r="C3106" s="0" t="s">
        <v>322</v>
      </c>
      <c r="D3106" s="0" t="s">
        <v>189</v>
      </c>
      <c r="E3106" s="0" t="n">
        <v>5</v>
      </c>
      <c r="F3106" s="0" t="s">
        <v>46</v>
      </c>
      <c r="G3106" s="0" t="s">
        <v>47</v>
      </c>
      <c r="H3106" s="0" t="s">
        <v>47</v>
      </c>
      <c r="I3106" s="0" t="s">
        <v>34</v>
      </c>
      <c r="J3106" s="0" t="n">
        <v>1.85</v>
      </c>
      <c r="K3106" s="0" t="s">
        <v>35</v>
      </c>
      <c r="L3106" s="0" t="n">
        <f aca="false">INDEX(Summary!$F$2:$F$201,MATCH($B3106,Summary!$A$2:$A$201,0))</f>
        <v>20</v>
      </c>
      <c r="M3106" s="0" t="n">
        <f aca="false">INDEX(Summary!$I$2:$I$201,MATCH($B3106,Summary!$A$2:$A$201,0))</f>
        <v>3</v>
      </c>
      <c r="N3106" s="0" t="n">
        <f aca="false">INDEX(Summary!$J$2:$J$201,MATCH($B3106,Summary!$A$2:$A$201,0))</f>
        <v>2</v>
      </c>
      <c r="O3106" s="2" t="n">
        <f aca="false">INDEX(Summary!$K$2:$K$201,MATCH($B3106,Summary!$A$2:$A$201,0))</f>
        <v>9</v>
      </c>
      <c r="P3106" s="3" t="n">
        <f aca="false">INDEX(Summary!$L$2:$L$201,MATCH($B3106,Summary!$A$2:$A$201,0))</f>
        <v>5</v>
      </c>
      <c r="Q3106" s="3" t="n">
        <f aca="false">INDEX(Summary!$M$2:$M$201,MATCH($B3106,Summary!$A$2:$A$201,0))</f>
        <v>1</v>
      </c>
      <c r="R3106" s="2" t="n">
        <f aca="false">INDEX(Summary!$N$2:$N$201,MATCH($B3106,Summary!$A$2:$A$201,0))</f>
        <v>9.76</v>
      </c>
      <c r="S3106" s="3" t="n">
        <f aca="false">INDEX(Summary!$O$2:$O$201,MATCH($B3106,Summary!$A$2:$A$201,0))</f>
        <v>8</v>
      </c>
      <c r="T3106" s="3" t="n">
        <f aca="false">INDEX(Summary!$P$2:$P$201,MATCH($B3106,Summary!$A$2:$A$201,0))</f>
        <v>1</v>
      </c>
      <c r="U3106" s="2" t="n">
        <f aca="false">INDEX(Summary!$Q$2:$Q$201,MATCH($B3106,Summary!$A$2:$A$201,0))</f>
        <v>14.73</v>
      </c>
      <c r="V3106" s="2" t="n">
        <f aca="false">INDEX(Summary!$R$2:$R$201,MATCH($B3106,Summary!$A$2:$A$201,0))</f>
        <v>28.42</v>
      </c>
      <c r="W3106" s="0" t="str">
        <f aca="false">INDEX(Summary!$S$2:$S$201,MATCH($B3106,Summary!$A$2:$A$201,0))</f>
        <v>Silver</v>
      </c>
      <c r="X3106" s="2" t="n">
        <f aca="false">INDEX(Summary!$T$2:$T$201,MATCH($B3106,Summary!$A$2:$A$201,0))</f>
        <v>69.32</v>
      </c>
      <c r="Y3106" s="0" t="str">
        <f aca="false">INDEX('Reward Model'!$E$18:$E$37,MATCH($E3106,'Reward Model'!$A$18:$A$37,0))</f>
        <v>Low</v>
      </c>
      <c r="Z3106" s="4" t="n">
        <f aca="false">ROUND(MIN(1,MAX('Reward Model'!$B$2,INDEX('Reward Model'!$C$12:$C$14,MATCH($K3106,'Reward Model'!$A$12:$A$14,0))/$J3106)),3)</f>
        <v>0.811</v>
      </c>
      <c r="AA3106" s="2" t="n">
        <f aca="false">IF($I3106="Correct",ROUND(INDEX('Reward Model'!$B$12:$B$14,MATCH($K3106,'Reward Model'!$A$12:$A$14,0))*Z3106,2),0)</f>
        <v>0.81</v>
      </c>
      <c r="AB3106" s="2" t="n">
        <f aca="false">IF($I3106="Correct",ROUND(INDEX('Reward Model'!$B$12:$B$14,MATCH($Y3106,'Reward Model'!$A$12:$A$14,0))*Z3106,2),0)</f>
        <v>0.81</v>
      </c>
    </row>
    <row r="3107" customFormat="false" ht="15" hidden="false" customHeight="false" outlineLevel="0" collapsed="false">
      <c r="A3107" s="0" t="s">
        <v>442</v>
      </c>
      <c r="B3107" s="0" t="s">
        <v>443</v>
      </c>
      <c r="C3107" s="0" t="s">
        <v>322</v>
      </c>
      <c r="D3107" s="0" t="s">
        <v>189</v>
      </c>
      <c r="E3107" s="0" t="n">
        <v>6</v>
      </c>
      <c r="F3107" s="0" t="s">
        <v>48</v>
      </c>
      <c r="G3107" s="0" t="s">
        <v>49</v>
      </c>
      <c r="H3107" s="0" t="s">
        <v>49</v>
      </c>
      <c r="I3107" s="0" t="s">
        <v>34</v>
      </c>
      <c r="J3107" s="0" t="n">
        <v>2</v>
      </c>
      <c r="K3107" s="0" t="s">
        <v>35</v>
      </c>
      <c r="L3107" s="0" t="n">
        <f aca="false">INDEX(Summary!$F$2:$F$201,MATCH($B3107,Summary!$A$2:$A$201,0))</f>
        <v>20</v>
      </c>
      <c r="M3107" s="0" t="n">
        <f aca="false">INDEX(Summary!$I$2:$I$201,MATCH($B3107,Summary!$A$2:$A$201,0))</f>
        <v>3</v>
      </c>
      <c r="N3107" s="0" t="n">
        <f aca="false">INDEX(Summary!$J$2:$J$201,MATCH($B3107,Summary!$A$2:$A$201,0))</f>
        <v>2</v>
      </c>
      <c r="O3107" s="2" t="n">
        <f aca="false">INDEX(Summary!$K$2:$K$201,MATCH($B3107,Summary!$A$2:$A$201,0))</f>
        <v>9</v>
      </c>
      <c r="P3107" s="3" t="n">
        <f aca="false">INDEX(Summary!$L$2:$L$201,MATCH($B3107,Summary!$A$2:$A$201,0))</f>
        <v>5</v>
      </c>
      <c r="Q3107" s="3" t="n">
        <f aca="false">INDEX(Summary!$M$2:$M$201,MATCH($B3107,Summary!$A$2:$A$201,0))</f>
        <v>1</v>
      </c>
      <c r="R3107" s="2" t="n">
        <f aca="false">INDEX(Summary!$N$2:$N$201,MATCH($B3107,Summary!$A$2:$A$201,0))</f>
        <v>9.76</v>
      </c>
      <c r="S3107" s="3" t="n">
        <f aca="false">INDEX(Summary!$O$2:$O$201,MATCH($B3107,Summary!$A$2:$A$201,0))</f>
        <v>8</v>
      </c>
      <c r="T3107" s="3" t="n">
        <f aca="false">INDEX(Summary!$P$2:$P$201,MATCH($B3107,Summary!$A$2:$A$201,0))</f>
        <v>1</v>
      </c>
      <c r="U3107" s="2" t="n">
        <f aca="false">INDEX(Summary!$Q$2:$Q$201,MATCH($B3107,Summary!$A$2:$A$201,0))</f>
        <v>14.73</v>
      </c>
      <c r="V3107" s="2" t="n">
        <f aca="false">INDEX(Summary!$R$2:$R$201,MATCH($B3107,Summary!$A$2:$A$201,0))</f>
        <v>28.42</v>
      </c>
      <c r="W3107" s="0" t="str">
        <f aca="false">INDEX(Summary!$S$2:$S$201,MATCH($B3107,Summary!$A$2:$A$201,0))</f>
        <v>Silver</v>
      </c>
      <c r="X3107" s="2" t="n">
        <f aca="false">INDEX(Summary!$T$2:$T$201,MATCH($B3107,Summary!$A$2:$A$201,0))</f>
        <v>69.32</v>
      </c>
      <c r="Y3107" s="0" t="str">
        <f aca="false">INDEX('Reward Model'!$E$18:$E$37,MATCH($E3107,'Reward Model'!$A$18:$A$37,0))</f>
        <v>Medium</v>
      </c>
      <c r="Z3107" s="4" t="n">
        <f aca="false">ROUND(MIN(1,MAX('Reward Model'!$B$2,INDEX('Reward Model'!$C$12:$C$14,MATCH($K3107,'Reward Model'!$A$12:$A$14,0))/$J3107)),3)</f>
        <v>0.75</v>
      </c>
      <c r="AA3107" s="2" t="n">
        <f aca="false">IF($I3107="Correct",ROUND(INDEX('Reward Model'!$B$12:$B$14,MATCH($K3107,'Reward Model'!$A$12:$A$14,0))*Z3107,2),0)</f>
        <v>0.75</v>
      </c>
      <c r="AB3107" s="2" t="n">
        <f aca="false">IF($I3107="Correct",ROUND(INDEX('Reward Model'!$B$12:$B$14,MATCH($Y3107,'Reward Model'!$A$12:$A$14,0))*Z3107,2),0)</f>
        <v>1.5</v>
      </c>
    </row>
    <row r="3108" customFormat="false" ht="15" hidden="false" customHeight="false" outlineLevel="0" collapsed="false">
      <c r="A3108" s="0" t="s">
        <v>442</v>
      </c>
      <c r="B3108" s="0" t="s">
        <v>443</v>
      </c>
      <c r="C3108" s="0" t="s">
        <v>322</v>
      </c>
      <c r="D3108" s="0" t="s">
        <v>189</v>
      </c>
      <c r="E3108" s="0" t="n">
        <v>7</v>
      </c>
      <c r="F3108" s="0" t="s">
        <v>50</v>
      </c>
      <c r="G3108" s="0" t="s">
        <v>51</v>
      </c>
      <c r="H3108" s="0" t="s">
        <v>51</v>
      </c>
      <c r="I3108" s="0" t="s">
        <v>34</v>
      </c>
      <c r="J3108" s="0" t="n">
        <v>1.58</v>
      </c>
      <c r="K3108" s="0" t="s">
        <v>35</v>
      </c>
      <c r="L3108" s="0" t="n">
        <f aca="false">INDEX(Summary!$F$2:$F$201,MATCH($B3108,Summary!$A$2:$A$201,0))</f>
        <v>20</v>
      </c>
      <c r="M3108" s="0" t="n">
        <f aca="false">INDEX(Summary!$I$2:$I$201,MATCH($B3108,Summary!$A$2:$A$201,0))</f>
        <v>3</v>
      </c>
      <c r="N3108" s="0" t="n">
        <f aca="false">INDEX(Summary!$J$2:$J$201,MATCH($B3108,Summary!$A$2:$A$201,0))</f>
        <v>2</v>
      </c>
      <c r="O3108" s="2" t="n">
        <f aca="false">INDEX(Summary!$K$2:$K$201,MATCH($B3108,Summary!$A$2:$A$201,0))</f>
        <v>9</v>
      </c>
      <c r="P3108" s="3" t="n">
        <f aca="false">INDEX(Summary!$L$2:$L$201,MATCH($B3108,Summary!$A$2:$A$201,0))</f>
        <v>5</v>
      </c>
      <c r="Q3108" s="3" t="n">
        <f aca="false">INDEX(Summary!$M$2:$M$201,MATCH($B3108,Summary!$A$2:$A$201,0))</f>
        <v>1</v>
      </c>
      <c r="R3108" s="2" t="n">
        <f aca="false">INDEX(Summary!$N$2:$N$201,MATCH($B3108,Summary!$A$2:$A$201,0))</f>
        <v>9.76</v>
      </c>
      <c r="S3108" s="3" t="n">
        <f aca="false">INDEX(Summary!$O$2:$O$201,MATCH($B3108,Summary!$A$2:$A$201,0))</f>
        <v>8</v>
      </c>
      <c r="T3108" s="3" t="n">
        <f aca="false">INDEX(Summary!$P$2:$P$201,MATCH($B3108,Summary!$A$2:$A$201,0))</f>
        <v>1</v>
      </c>
      <c r="U3108" s="2" t="n">
        <f aca="false">INDEX(Summary!$Q$2:$Q$201,MATCH($B3108,Summary!$A$2:$A$201,0))</f>
        <v>14.73</v>
      </c>
      <c r="V3108" s="2" t="n">
        <f aca="false">INDEX(Summary!$R$2:$R$201,MATCH($B3108,Summary!$A$2:$A$201,0))</f>
        <v>28.42</v>
      </c>
      <c r="W3108" s="0" t="str">
        <f aca="false">INDEX(Summary!$S$2:$S$201,MATCH($B3108,Summary!$A$2:$A$201,0))</f>
        <v>Silver</v>
      </c>
      <c r="X3108" s="2" t="n">
        <f aca="false">INDEX(Summary!$T$2:$T$201,MATCH($B3108,Summary!$A$2:$A$201,0))</f>
        <v>69.32</v>
      </c>
      <c r="Y3108" s="0" t="str">
        <f aca="false">INDEX('Reward Model'!$E$18:$E$37,MATCH($E3108,'Reward Model'!$A$18:$A$37,0))</f>
        <v>Low</v>
      </c>
      <c r="Z3108" s="4" t="n">
        <f aca="false">ROUND(MIN(1,MAX('Reward Model'!$B$2,INDEX('Reward Model'!$C$12:$C$14,MATCH($K3108,'Reward Model'!$A$12:$A$14,0))/$J3108)),3)</f>
        <v>0.949</v>
      </c>
      <c r="AA3108" s="2" t="n">
        <f aca="false">IF($I3108="Correct",ROUND(INDEX('Reward Model'!$B$12:$B$14,MATCH($K3108,'Reward Model'!$A$12:$A$14,0))*Z3108,2),0)</f>
        <v>0.95</v>
      </c>
      <c r="AB3108" s="2" t="n">
        <f aca="false">IF($I3108="Correct",ROUND(INDEX('Reward Model'!$B$12:$B$14,MATCH($Y3108,'Reward Model'!$A$12:$A$14,0))*Z3108,2),0)</f>
        <v>0.95</v>
      </c>
    </row>
    <row r="3109" customFormat="false" ht="15" hidden="false" customHeight="false" outlineLevel="0" collapsed="false">
      <c r="A3109" s="0" t="s">
        <v>442</v>
      </c>
      <c r="B3109" s="0" t="s">
        <v>443</v>
      </c>
      <c r="C3109" s="0" t="s">
        <v>322</v>
      </c>
      <c r="D3109" s="0" t="s">
        <v>189</v>
      </c>
      <c r="E3109" s="0" t="n">
        <v>8</v>
      </c>
      <c r="F3109" s="0" t="s">
        <v>52</v>
      </c>
      <c r="G3109" s="0" t="s">
        <v>54</v>
      </c>
      <c r="H3109" s="0" t="s">
        <v>54</v>
      </c>
      <c r="I3109" s="0" t="s">
        <v>34</v>
      </c>
      <c r="J3109" s="0" t="n">
        <v>1.86</v>
      </c>
      <c r="K3109" s="0" t="s">
        <v>35</v>
      </c>
      <c r="L3109" s="0" t="n">
        <f aca="false">INDEX(Summary!$F$2:$F$201,MATCH($B3109,Summary!$A$2:$A$201,0))</f>
        <v>20</v>
      </c>
      <c r="M3109" s="0" t="n">
        <f aca="false">INDEX(Summary!$I$2:$I$201,MATCH($B3109,Summary!$A$2:$A$201,0))</f>
        <v>3</v>
      </c>
      <c r="N3109" s="0" t="n">
        <f aca="false">INDEX(Summary!$J$2:$J$201,MATCH($B3109,Summary!$A$2:$A$201,0))</f>
        <v>2</v>
      </c>
      <c r="O3109" s="2" t="n">
        <f aca="false">INDEX(Summary!$K$2:$K$201,MATCH($B3109,Summary!$A$2:$A$201,0))</f>
        <v>9</v>
      </c>
      <c r="P3109" s="3" t="n">
        <f aca="false">INDEX(Summary!$L$2:$L$201,MATCH($B3109,Summary!$A$2:$A$201,0))</f>
        <v>5</v>
      </c>
      <c r="Q3109" s="3" t="n">
        <f aca="false">INDEX(Summary!$M$2:$M$201,MATCH($B3109,Summary!$A$2:$A$201,0))</f>
        <v>1</v>
      </c>
      <c r="R3109" s="2" t="n">
        <f aca="false">INDEX(Summary!$N$2:$N$201,MATCH($B3109,Summary!$A$2:$A$201,0))</f>
        <v>9.76</v>
      </c>
      <c r="S3109" s="3" t="n">
        <f aca="false">INDEX(Summary!$O$2:$O$201,MATCH($B3109,Summary!$A$2:$A$201,0))</f>
        <v>8</v>
      </c>
      <c r="T3109" s="3" t="n">
        <f aca="false">INDEX(Summary!$P$2:$P$201,MATCH($B3109,Summary!$A$2:$A$201,0))</f>
        <v>1</v>
      </c>
      <c r="U3109" s="2" t="n">
        <f aca="false">INDEX(Summary!$Q$2:$Q$201,MATCH($B3109,Summary!$A$2:$A$201,0))</f>
        <v>14.73</v>
      </c>
      <c r="V3109" s="2" t="n">
        <f aca="false">INDEX(Summary!$R$2:$R$201,MATCH($B3109,Summary!$A$2:$A$201,0))</f>
        <v>28.42</v>
      </c>
      <c r="W3109" s="0" t="str">
        <f aca="false">INDEX(Summary!$S$2:$S$201,MATCH($B3109,Summary!$A$2:$A$201,0))</f>
        <v>Silver</v>
      </c>
      <c r="X3109" s="2" t="n">
        <f aca="false">INDEX(Summary!$T$2:$T$201,MATCH($B3109,Summary!$A$2:$A$201,0))</f>
        <v>69.32</v>
      </c>
      <c r="Y3109" s="0" t="str">
        <f aca="false">INDEX('Reward Model'!$E$18:$E$37,MATCH($E3109,'Reward Model'!$A$18:$A$37,0))</f>
        <v>Medium</v>
      </c>
      <c r="Z3109" s="4" t="n">
        <f aca="false">ROUND(MIN(1,MAX('Reward Model'!$B$2,INDEX('Reward Model'!$C$12:$C$14,MATCH($K3109,'Reward Model'!$A$12:$A$14,0))/$J3109)),3)</f>
        <v>0.806</v>
      </c>
      <c r="AA3109" s="2" t="n">
        <f aca="false">IF($I3109="Correct",ROUND(INDEX('Reward Model'!$B$12:$B$14,MATCH($K3109,'Reward Model'!$A$12:$A$14,0))*Z3109,2),0)</f>
        <v>0.81</v>
      </c>
      <c r="AB3109" s="2" t="n">
        <f aca="false">IF($I3109="Correct",ROUND(INDEX('Reward Model'!$B$12:$B$14,MATCH($Y3109,'Reward Model'!$A$12:$A$14,0))*Z3109,2),0)</f>
        <v>1.61</v>
      </c>
    </row>
    <row r="3110" customFormat="false" ht="15" hidden="false" customHeight="false" outlineLevel="0" collapsed="false">
      <c r="A3110" s="0" t="s">
        <v>442</v>
      </c>
      <c r="B3110" s="0" t="s">
        <v>443</v>
      </c>
      <c r="C3110" s="0" t="s">
        <v>322</v>
      </c>
      <c r="D3110" s="0" t="s">
        <v>189</v>
      </c>
      <c r="E3110" s="0" t="n">
        <v>9</v>
      </c>
      <c r="F3110" s="0" t="s">
        <v>55</v>
      </c>
      <c r="G3110" s="0" t="s">
        <v>57</v>
      </c>
      <c r="H3110" s="0" t="s">
        <v>57</v>
      </c>
      <c r="I3110" s="0" t="s">
        <v>34</v>
      </c>
      <c r="J3110" s="0" t="n">
        <v>1.18</v>
      </c>
      <c r="K3110" s="0" t="s">
        <v>35</v>
      </c>
      <c r="L3110" s="0" t="n">
        <f aca="false">INDEX(Summary!$F$2:$F$201,MATCH($B3110,Summary!$A$2:$A$201,0))</f>
        <v>20</v>
      </c>
      <c r="M3110" s="0" t="n">
        <f aca="false">INDEX(Summary!$I$2:$I$201,MATCH($B3110,Summary!$A$2:$A$201,0))</f>
        <v>3</v>
      </c>
      <c r="N3110" s="0" t="n">
        <f aca="false">INDEX(Summary!$J$2:$J$201,MATCH($B3110,Summary!$A$2:$A$201,0))</f>
        <v>2</v>
      </c>
      <c r="O3110" s="2" t="n">
        <f aca="false">INDEX(Summary!$K$2:$K$201,MATCH($B3110,Summary!$A$2:$A$201,0))</f>
        <v>9</v>
      </c>
      <c r="P3110" s="3" t="n">
        <f aca="false">INDEX(Summary!$L$2:$L$201,MATCH($B3110,Summary!$A$2:$A$201,0))</f>
        <v>5</v>
      </c>
      <c r="Q3110" s="3" t="n">
        <f aca="false">INDEX(Summary!$M$2:$M$201,MATCH($B3110,Summary!$A$2:$A$201,0))</f>
        <v>1</v>
      </c>
      <c r="R3110" s="2" t="n">
        <f aca="false">INDEX(Summary!$N$2:$N$201,MATCH($B3110,Summary!$A$2:$A$201,0))</f>
        <v>9.76</v>
      </c>
      <c r="S3110" s="3" t="n">
        <f aca="false">INDEX(Summary!$O$2:$O$201,MATCH($B3110,Summary!$A$2:$A$201,0))</f>
        <v>8</v>
      </c>
      <c r="T3110" s="3" t="n">
        <f aca="false">INDEX(Summary!$P$2:$P$201,MATCH($B3110,Summary!$A$2:$A$201,0))</f>
        <v>1</v>
      </c>
      <c r="U3110" s="2" t="n">
        <f aca="false">INDEX(Summary!$Q$2:$Q$201,MATCH($B3110,Summary!$A$2:$A$201,0))</f>
        <v>14.73</v>
      </c>
      <c r="V3110" s="2" t="n">
        <f aca="false">INDEX(Summary!$R$2:$R$201,MATCH($B3110,Summary!$A$2:$A$201,0))</f>
        <v>28.42</v>
      </c>
      <c r="W3110" s="0" t="str">
        <f aca="false">INDEX(Summary!$S$2:$S$201,MATCH($B3110,Summary!$A$2:$A$201,0))</f>
        <v>Silver</v>
      </c>
      <c r="X3110" s="2" t="n">
        <f aca="false">INDEX(Summary!$T$2:$T$201,MATCH($B3110,Summary!$A$2:$A$201,0))</f>
        <v>69.32</v>
      </c>
      <c r="Y3110" s="0" t="str">
        <f aca="false">INDEX('Reward Model'!$E$18:$E$37,MATCH($E3110,'Reward Model'!$A$18:$A$37,0))</f>
        <v>Medium</v>
      </c>
      <c r="Z3110" s="4" t="n">
        <f aca="false">ROUND(MIN(1,MAX('Reward Model'!$B$2,INDEX('Reward Model'!$C$12:$C$14,MATCH($K3110,'Reward Model'!$A$12:$A$14,0))/$J3110)),3)</f>
        <v>1</v>
      </c>
      <c r="AA3110" s="2" t="n">
        <f aca="false">IF($I3110="Correct",ROUND(INDEX('Reward Model'!$B$12:$B$14,MATCH($K3110,'Reward Model'!$A$12:$A$14,0))*Z3110,2),0)</f>
        <v>1</v>
      </c>
      <c r="AB3110" s="2" t="n">
        <f aca="false">IF($I3110="Correct",ROUND(INDEX('Reward Model'!$B$12:$B$14,MATCH($Y3110,'Reward Model'!$A$12:$A$14,0))*Z3110,2),0)</f>
        <v>2</v>
      </c>
    </row>
    <row r="3111" customFormat="false" ht="15" hidden="false" customHeight="false" outlineLevel="0" collapsed="false">
      <c r="A3111" s="0" t="s">
        <v>442</v>
      </c>
      <c r="B3111" s="0" t="s">
        <v>443</v>
      </c>
      <c r="C3111" s="0" t="s">
        <v>322</v>
      </c>
      <c r="D3111" s="0" t="s">
        <v>189</v>
      </c>
      <c r="E3111" s="0" t="n">
        <v>10</v>
      </c>
      <c r="F3111" s="0" t="s">
        <v>58</v>
      </c>
      <c r="G3111" s="0" t="s">
        <v>59</v>
      </c>
      <c r="H3111" s="0" t="s">
        <v>59</v>
      </c>
      <c r="I3111" s="0" t="s">
        <v>34</v>
      </c>
      <c r="J3111" s="0" t="n">
        <v>2.24</v>
      </c>
      <c r="K3111" s="0" t="s">
        <v>60</v>
      </c>
      <c r="L3111" s="0" t="n">
        <f aca="false">INDEX(Summary!$F$2:$F$201,MATCH($B3111,Summary!$A$2:$A$201,0))</f>
        <v>20</v>
      </c>
      <c r="M3111" s="0" t="n">
        <f aca="false">INDEX(Summary!$I$2:$I$201,MATCH($B3111,Summary!$A$2:$A$201,0))</f>
        <v>3</v>
      </c>
      <c r="N3111" s="0" t="n">
        <f aca="false">INDEX(Summary!$J$2:$J$201,MATCH($B3111,Summary!$A$2:$A$201,0))</f>
        <v>2</v>
      </c>
      <c r="O3111" s="2" t="n">
        <f aca="false">INDEX(Summary!$K$2:$K$201,MATCH($B3111,Summary!$A$2:$A$201,0))</f>
        <v>9</v>
      </c>
      <c r="P3111" s="3" t="n">
        <f aca="false">INDEX(Summary!$L$2:$L$201,MATCH($B3111,Summary!$A$2:$A$201,0))</f>
        <v>5</v>
      </c>
      <c r="Q3111" s="3" t="n">
        <f aca="false">INDEX(Summary!$M$2:$M$201,MATCH($B3111,Summary!$A$2:$A$201,0))</f>
        <v>1</v>
      </c>
      <c r="R3111" s="2" t="n">
        <f aca="false">INDEX(Summary!$N$2:$N$201,MATCH($B3111,Summary!$A$2:$A$201,0))</f>
        <v>9.76</v>
      </c>
      <c r="S3111" s="3" t="n">
        <f aca="false">INDEX(Summary!$O$2:$O$201,MATCH($B3111,Summary!$A$2:$A$201,0))</f>
        <v>8</v>
      </c>
      <c r="T3111" s="3" t="n">
        <f aca="false">INDEX(Summary!$P$2:$P$201,MATCH($B3111,Summary!$A$2:$A$201,0))</f>
        <v>1</v>
      </c>
      <c r="U3111" s="2" t="n">
        <f aca="false">INDEX(Summary!$Q$2:$Q$201,MATCH($B3111,Summary!$A$2:$A$201,0))</f>
        <v>14.73</v>
      </c>
      <c r="V3111" s="2" t="n">
        <f aca="false">INDEX(Summary!$R$2:$R$201,MATCH($B3111,Summary!$A$2:$A$201,0))</f>
        <v>28.42</v>
      </c>
      <c r="W3111" s="0" t="str">
        <f aca="false">INDEX(Summary!$S$2:$S$201,MATCH($B3111,Summary!$A$2:$A$201,0))</f>
        <v>Silver</v>
      </c>
      <c r="X3111" s="2" t="n">
        <f aca="false">INDEX(Summary!$T$2:$T$201,MATCH($B3111,Summary!$A$2:$A$201,0))</f>
        <v>69.32</v>
      </c>
      <c r="Y3111" s="0" t="str">
        <f aca="false">INDEX('Reward Model'!$E$18:$E$37,MATCH($E3111,'Reward Model'!$A$18:$A$37,0))</f>
        <v>Medium</v>
      </c>
      <c r="Z3111" s="4" t="n">
        <f aca="false">ROUND(MIN(1,MAX('Reward Model'!$B$2,INDEX('Reward Model'!$C$12:$C$14,MATCH($K3111,'Reward Model'!$A$12:$A$14,0))/$J3111)),3)</f>
        <v>0.804</v>
      </c>
      <c r="AA3111" s="2" t="n">
        <f aca="false">IF($I3111="Correct",ROUND(INDEX('Reward Model'!$B$12:$B$14,MATCH($K3111,'Reward Model'!$A$12:$A$14,0))*Z3111,2),0)</f>
        <v>1.61</v>
      </c>
      <c r="AB3111" s="2" t="n">
        <f aca="false">IF($I3111="Correct",ROUND(INDEX('Reward Model'!$B$12:$B$14,MATCH($Y3111,'Reward Model'!$A$12:$A$14,0))*Z3111,2),0)</f>
        <v>1.61</v>
      </c>
    </row>
    <row r="3112" customFormat="false" ht="15" hidden="false" customHeight="false" outlineLevel="0" collapsed="false">
      <c r="A3112" s="0" t="s">
        <v>442</v>
      </c>
      <c r="B3112" s="0" t="s">
        <v>443</v>
      </c>
      <c r="C3112" s="0" t="s">
        <v>322</v>
      </c>
      <c r="D3112" s="0" t="s">
        <v>189</v>
      </c>
      <c r="E3112" s="0" t="n">
        <v>11</v>
      </c>
      <c r="F3112" s="0" t="s">
        <v>61</v>
      </c>
      <c r="G3112" s="0" t="s">
        <v>63</v>
      </c>
      <c r="H3112" s="0" t="s">
        <v>63</v>
      </c>
      <c r="I3112" s="0" t="s">
        <v>34</v>
      </c>
      <c r="J3112" s="0" t="n">
        <v>1.65</v>
      </c>
      <c r="K3112" s="0" t="s">
        <v>60</v>
      </c>
      <c r="L3112" s="0" t="n">
        <f aca="false">INDEX(Summary!$F$2:$F$201,MATCH($B3112,Summary!$A$2:$A$201,0))</f>
        <v>20</v>
      </c>
      <c r="M3112" s="0" t="n">
        <f aca="false">INDEX(Summary!$I$2:$I$201,MATCH($B3112,Summary!$A$2:$A$201,0))</f>
        <v>3</v>
      </c>
      <c r="N3112" s="0" t="n">
        <f aca="false">INDEX(Summary!$J$2:$J$201,MATCH($B3112,Summary!$A$2:$A$201,0))</f>
        <v>2</v>
      </c>
      <c r="O3112" s="2" t="n">
        <f aca="false">INDEX(Summary!$K$2:$K$201,MATCH($B3112,Summary!$A$2:$A$201,0))</f>
        <v>9</v>
      </c>
      <c r="P3112" s="3" t="n">
        <f aca="false">INDEX(Summary!$L$2:$L$201,MATCH($B3112,Summary!$A$2:$A$201,0))</f>
        <v>5</v>
      </c>
      <c r="Q3112" s="3" t="n">
        <f aca="false">INDEX(Summary!$M$2:$M$201,MATCH($B3112,Summary!$A$2:$A$201,0))</f>
        <v>1</v>
      </c>
      <c r="R3112" s="2" t="n">
        <f aca="false">INDEX(Summary!$N$2:$N$201,MATCH($B3112,Summary!$A$2:$A$201,0))</f>
        <v>9.76</v>
      </c>
      <c r="S3112" s="3" t="n">
        <f aca="false">INDEX(Summary!$O$2:$O$201,MATCH($B3112,Summary!$A$2:$A$201,0))</f>
        <v>8</v>
      </c>
      <c r="T3112" s="3" t="n">
        <f aca="false">INDEX(Summary!$P$2:$P$201,MATCH($B3112,Summary!$A$2:$A$201,0))</f>
        <v>1</v>
      </c>
      <c r="U3112" s="2" t="n">
        <f aca="false">INDEX(Summary!$Q$2:$Q$201,MATCH($B3112,Summary!$A$2:$A$201,0))</f>
        <v>14.73</v>
      </c>
      <c r="V3112" s="2" t="n">
        <f aca="false">INDEX(Summary!$R$2:$R$201,MATCH($B3112,Summary!$A$2:$A$201,0))</f>
        <v>28.42</v>
      </c>
      <c r="W3112" s="0" t="str">
        <f aca="false">INDEX(Summary!$S$2:$S$201,MATCH($B3112,Summary!$A$2:$A$201,0))</f>
        <v>Silver</v>
      </c>
      <c r="X3112" s="2" t="n">
        <f aca="false">INDEX(Summary!$T$2:$T$201,MATCH($B3112,Summary!$A$2:$A$201,0))</f>
        <v>69.32</v>
      </c>
      <c r="Y3112" s="0" t="str">
        <f aca="false">INDEX('Reward Model'!$E$18:$E$37,MATCH($E3112,'Reward Model'!$A$18:$A$37,0))</f>
        <v>Medium</v>
      </c>
      <c r="Z3112" s="4" t="n">
        <f aca="false">ROUND(MIN(1,MAX('Reward Model'!$B$2,INDEX('Reward Model'!$C$12:$C$14,MATCH($K3112,'Reward Model'!$A$12:$A$14,0))/$J3112)),3)</f>
        <v>1</v>
      </c>
      <c r="AA3112" s="2" t="n">
        <f aca="false">IF($I3112="Correct",ROUND(INDEX('Reward Model'!$B$12:$B$14,MATCH($K3112,'Reward Model'!$A$12:$A$14,0))*Z3112,2),0)</f>
        <v>2</v>
      </c>
      <c r="AB3112" s="2" t="n">
        <f aca="false">IF($I3112="Correct",ROUND(INDEX('Reward Model'!$B$12:$B$14,MATCH($Y3112,'Reward Model'!$A$12:$A$14,0))*Z3112,2),0)</f>
        <v>2</v>
      </c>
    </row>
    <row r="3113" customFormat="false" ht="15" hidden="false" customHeight="false" outlineLevel="0" collapsed="false">
      <c r="A3113" s="0" t="s">
        <v>442</v>
      </c>
      <c r="B3113" s="0" t="s">
        <v>443</v>
      </c>
      <c r="C3113" s="0" t="s">
        <v>322</v>
      </c>
      <c r="D3113" s="0" t="s">
        <v>189</v>
      </c>
      <c r="E3113" s="0" t="n">
        <v>12</v>
      </c>
      <c r="F3113" s="0" t="s">
        <v>64</v>
      </c>
      <c r="G3113" s="0" t="s">
        <v>146</v>
      </c>
      <c r="H3113" s="0" t="s">
        <v>65</v>
      </c>
      <c r="I3113" s="0" t="s">
        <v>39</v>
      </c>
      <c r="J3113" s="0" t="n">
        <v>1.14</v>
      </c>
      <c r="K3113" s="0" t="s">
        <v>60</v>
      </c>
      <c r="L3113" s="0" t="n">
        <f aca="false">INDEX(Summary!$F$2:$F$201,MATCH($B3113,Summary!$A$2:$A$201,0))</f>
        <v>20</v>
      </c>
      <c r="M3113" s="0" t="n">
        <f aca="false">INDEX(Summary!$I$2:$I$201,MATCH($B3113,Summary!$A$2:$A$201,0))</f>
        <v>3</v>
      </c>
      <c r="N3113" s="0" t="n">
        <f aca="false">INDEX(Summary!$J$2:$J$201,MATCH($B3113,Summary!$A$2:$A$201,0))</f>
        <v>2</v>
      </c>
      <c r="O3113" s="2" t="n">
        <f aca="false">INDEX(Summary!$K$2:$K$201,MATCH($B3113,Summary!$A$2:$A$201,0))</f>
        <v>9</v>
      </c>
      <c r="P3113" s="3" t="n">
        <f aca="false">INDEX(Summary!$L$2:$L$201,MATCH($B3113,Summary!$A$2:$A$201,0))</f>
        <v>5</v>
      </c>
      <c r="Q3113" s="3" t="n">
        <f aca="false">INDEX(Summary!$M$2:$M$201,MATCH($B3113,Summary!$A$2:$A$201,0))</f>
        <v>1</v>
      </c>
      <c r="R3113" s="2" t="n">
        <f aca="false">INDEX(Summary!$N$2:$N$201,MATCH($B3113,Summary!$A$2:$A$201,0))</f>
        <v>9.76</v>
      </c>
      <c r="S3113" s="3" t="n">
        <f aca="false">INDEX(Summary!$O$2:$O$201,MATCH($B3113,Summary!$A$2:$A$201,0))</f>
        <v>8</v>
      </c>
      <c r="T3113" s="3" t="n">
        <f aca="false">INDEX(Summary!$P$2:$P$201,MATCH($B3113,Summary!$A$2:$A$201,0))</f>
        <v>1</v>
      </c>
      <c r="U3113" s="2" t="n">
        <f aca="false">INDEX(Summary!$Q$2:$Q$201,MATCH($B3113,Summary!$A$2:$A$201,0))</f>
        <v>14.73</v>
      </c>
      <c r="V3113" s="2" t="n">
        <f aca="false">INDEX(Summary!$R$2:$R$201,MATCH($B3113,Summary!$A$2:$A$201,0))</f>
        <v>28.42</v>
      </c>
      <c r="W3113" s="0" t="str">
        <f aca="false">INDEX(Summary!$S$2:$S$201,MATCH($B3113,Summary!$A$2:$A$201,0))</f>
        <v>Silver</v>
      </c>
      <c r="X3113" s="2" t="n">
        <f aca="false">INDEX(Summary!$T$2:$T$201,MATCH($B3113,Summary!$A$2:$A$201,0))</f>
        <v>69.32</v>
      </c>
      <c r="Y3113" s="0" t="str">
        <f aca="false">INDEX('Reward Model'!$E$18:$E$37,MATCH($E3113,'Reward Model'!$A$18:$A$37,0))</f>
        <v>Medium</v>
      </c>
      <c r="Z3113" s="4" t="n">
        <f aca="false">ROUND(MIN(1,MAX('Reward Model'!$B$2,INDEX('Reward Model'!$C$12:$C$14,MATCH($K3113,'Reward Model'!$A$12:$A$14,0))/$J3113)),3)</f>
        <v>1</v>
      </c>
      <c r="AA3113" s="2" t="n">
        <f aca="false">IF($I3113="Correct",ROUND(INDEX('Reward Model'!$B$12:$B$14,MATCH($K3113,'Reward Model'!$A$12:$A$14,0))*Z3113,2),0)</f>
        <v>0</v>
      </c>
      <c r="AB3113" s="2" t="n">
        <f aca="false">IF($I3113="Correct",ROUND(INDEX('Reward Model'!$B$12:$B$14,MATCH($Y3113,'Reward Model'!$A$12:$A$14,0))*Z3113,2),0)</f>
        <v>0</v>
      </c>
    </row>
    <row r="3114" customFormat="false" ht="15" hidden="false" customHeight="false" outlineLevel="0" collapsed="false">
      <c r="A3114" s="0" t="s">
        <v>442</v>
      </c>
      <c r="B3114" s="0" t="s">
        <v>443</v>
      </c>
      <c r="C3114" s="0" t="s">
        <v>322</v>
      </c>
      <c r="D3114" s="0" t="s">
        <v>189</v>
      </c>
      <c r="E3114" s="0" t="n">
        <v>13</v>
      </c>
      <c r="F3114" s="0" t="s">
        <v>66</v>
      </c>
      <c r="G3114" s="0" t="s">
        <v>67</v>
      </c>
      <c r="H3114" s="0" t="s">
        <v>67</v>
      </c>
      <c r="I3114" s="0" t="s">
        <v>34</v>
      </c>
      <c r="J3114" s="0" t="n">
        <v>1.17</v>
      </c>
      <c r="K3114" s="0" t="s">
        <v>60</v>
      </c>
      <c r="L3114" s="0" t="n">
        <f aca="false">INDEX(Summary!$F$2:$F$201,MATCH($B3114,Summary!$A$2:$A$201,0))</f>
        <v>20</v>
      </c>
      <c r="M3114" s="0" t="n">
        <f aca="false">INDEX(Summary!$I$2:$I$201,MATCH($B3114,Summary!$A$2:$A$201,0))</f>
        <v>3</v>
      </c>
      <c r="N3114" s="0" t="n">
        <f aca="false">INDEX(Summary!$J$2:$J$201,MATCH($B3114,Summary!$A$2:$A$201,0))</f>
        <v>2</v>
      </c>
      <c r="O3114" s="2" t="n">
        <f aca="false">INDEX(Summary!$K$2:$K$201,MATCH($B3114,Summary!$A$2:$A$201,0))</f>
        <v>9</v>
      </c>
      <c r="P3114" s="3" t="n">
        <f aca="false">INDEX(Summary!$L$2:$L$201,MATCH($B3114,Summary!$A$2:$A$201,0))</f>
        <v>5</v>
      </c>
      <c r="Q3114" s="3" t="n">
        <f aca="false">INDEX(Summary!$M$2:$M$201,MATCH($B3114,Summary!$A$2:$A$201,0))</f>
        <v>1</v>
      </c>
      <c r="R3114" s="2" t="n">
        <f aca="false">INDEX(Summary!$N$2:$N$201,MATCH($B3114,Summary!$A$2:$A$201,0))</f>
        <v>9.76</v>
      </c>
      <c r="S3114" s="3" t="n">
        <f aca="false">INDEX(Summary!$O$2:$O$201,MATCH($B3114,Summary!$A$2:$A$201,0))</f>
        <v>8</v>
      </c>
      <c r="T3114" s="3" t="n">
        <f aca="false">INDEX(Summary!$P$2:$P$201,MATCH($B3114,Summary!$A$2:$A$201,0))</f>
        <v>1</v>
      </c>
      <c r="U3114" s="2" t="n">
        <f aca="false">INDEX(Summary!$Q$2:$Q$201,MATCH($B3114,Summary!$A$2:$A$201,0))</f>
        <v>14.73</v>
      </c>
      <c r="V3114" s="2" t="n">
        <f aca="false">INDEX(Summary!$R$2:$R$201,MATCH($B3114,Summary!$A$2:$A$201,0))</f>
        <v>28.42</v>
      </c>
      <c r="W3114" s="0" t="str">
        <f aca="false">INDEX(Summary!$S$2:$S$201,MATCH($B3114,Summary!$A$2:$A$201,0))</f>
        <v>Silver</v>
      </c>
      <c r="X3114" s="2" t="n">
        <f aca="false">INDEX(Summary!$T$2:$T$201,MATCH($B3114,Summary!$A$2:$A$201,0))</f>
        <v>69.32</v>
      </c>
      <c r="Y3114" s="0" t="str">
        <f aca="false">INDEX('Reward Model'!$E$18:$E$37,MATCH($E3114,'Reward Model'!$A$18:$A$37,0))</f>
        <v>Medium</v>
      </c>
      <c r="Z3114" s="4" t="n">
        <f aca="false">ROUND(MIN(1,MAX('Reward Model'!$B$2,INDEX('Reward Model'!$C$12:$C$14,MATCH($K3114,'Reward Model'!$A$12:$A$14,0))/$J3114)),3)</f>
        <v>1</v>
      </c>
      <c r="AA3114" s="2" t="n">
        <f aca="false">IF($I3114="Correct",ROUND(INDEX('Reward Model'!$B$12:$B$14,MATCH($K3114,'Reward Model'!$A$12:$A$14,0))*Z3114,2),0)</f>
        <v>2</v>
      </c>
      <c r="AB3114" s="2" t="n">
        <f aca="false">IF($I3114="Correct",ROUND(INDEX('Reward Model'!$B$12:$B$14,MATCH($Y3114,'Reward Model'!$A$12:$A$14,0))*Z3114,2),0)</f>
        <v>2</v>
      </c>
    </row>
    <row r="3115" customFormat="false" ht="15" hidden="false" customHeight="false" outlineLevel="0" collapsed="false">
      <c r="A3115" s="0" t="s">
        <v>442</v>
      </c>
      <c r="B3115" s="0" t="s">
        <v>443</v>
      </c>
      <c r="C3115" s="0" t="s">
        <v>322</v>
      </c>
      <c r="D3115" s="0" t="s">
        <v>189</v>
      </c>
      <c r="E3115" s="0" t="n">
        <v>14</v>
      </c>
      <c r="F3115" s="0" t="s">
        <v>68</v>
      </c>
      <c r="G3115" s="0" t="s">
        <v>51</v>
      </c>
      <c r="H3115" s="0" t="s">
        <v>51</v>
      </c>
      <c r="I3115" s="0" t="s">
        <v>34</v>
      </c>
      <c r="J3115" s="0" t="n">
        <v>1.53</v>
      </c>
      <c r="K3115" s="0" t="s">
        <v>60</v>
      </c>
      <c r="L3115" s="0" t="n">
        <f aca="false">INDEX(Summary!$F$2:$F$201,MATCH($B3115,Summary!$A$2:$A$201,0))</f>
        <v>20</v>
      </c>
      <c r="M3115" s="0" t="n">
        <f aca="false">INDEX(Summary!$I$2:$I$201,MATCH($B3115,Summary!$A$2:$A$201,0))</f>
        <v>3</v>
      </c>
      <c r="N3115" s="0" t="n">
        <f aca="false">INDEX(Summary!$J$2:$J$201,MATCH($B3115,Summary!$A$2:$A$201,0))</f>
        <v>2</v>
      </c>
      <c r="O3115" s="2" t="n">
        <f aca="false">INDEX(Summary!$K$2:$K$201,MATCH($B3115,Summary!$A$2:$A$201,0))</f>
        <v>9</v>
      </c>
      <c r="P3115" s="3" t="n">
        <f aca="false">INDEX(Summary!$L$2:$L$201,MATCH($B3115,Summary!$A$2:$A$201,0))</f>
        <v>5</v>
      </c>
      <c r="Q3115" s="3" t="n">
        <f aca="false">INDEX(Summary!$M$2:$M$201,MATCH($B3115,Summary!$A$2:$A$201,0))</f>
        <v>1</v>
      </c>
      <c r="R3115" s="2" t="n">
        <f aca="false">INDEX(Summary!$N$2:$N$201,MATCH($B3115,Summary!$A$2:$A$201,0))</f>
        <v>9.76</v>
      </c>
      <c r="S3115" s="3" t="n">
        <f aca="false">INDEX(Summary!$O$2:$O$201,MATCH($B3115,Summary!$A$2:$A$201,0))</f>
        <v>8</v>
      </c>
      <c r="T3115" s="3" t="n">
        <f aca="false">INDEX(Summary!$P$2:$P$201,MATCH($B3115,Summary!$A$2:$A$201,0))</f>
        <v>1</v>
      </c>
      <c r="U3115" s="2" t="n">
        <f aca="false">INDEX(Summary!$Q$2:$Q$201,MATCH($B3115,Summary!$A$2:$A$201,0))</f>
        <v>14.73</v>
      </c>
      <c r="V3115" s="2" t="n">
        <f aca="false">INDEX(Summary!$R$2:$R$201,MATCH($B3115,Summary!$A$2:$A$201,0))</f>
        <v>28.42</v>
      </c>
      <c r="W3115" s="0" t="str">
        <f aca="false">INDEX(Summary!$S$2:$S$201,MATCH($B3115,Summary!$A$2:$A$201,0))</f>
        <v>Silver</v>
      </c>
      <c r="X3115" s="2" t="n">
        <f aca="false">INDEX(Summary!$T$2:$T$201,MATCH($B3115,Summary!$A$2:$A$201,0))</f>
        <v>69.32</v>
      </c>
      <c r="Y3115" s="0" t="str">
        <f aca="false">INDEX('Reward Model'!$E$18:$E$37,MATCH($E3115,'Reward Model'!$A$18:$A$37,0))</f>
        <v>Medium</v>
      </c>
      <c r="Z3115" s="4" t="n">
        <f aca="false">ROUND(MIN(1,MAX('Reward Model'!$B$2,INDEX('Reward Model'!$C$12:$C$14,MATCH($K3115,'Reward Model'!$A$12:$A$14,0))/$J3115)),3)</f>
        <v>1</v>
      </c>
      <c r="AA3115" s="2" t="n">
        <f aca="false">IF($I3115="Correct",ROUND(INDEX('Reward Model'!$B$12:$B$14,MATCH($K3115,'Reward Model'!$A$12:$A$14,0))*Z3115,2),0)</f>
        <v>2</v>
      </c>
      <c r="AB3115" s="2" t="n">
        <f aca="false">IF($I3115="Correct",ROUND(INDEX('Reward Model'!$B$12:$B$14,MATCH($Y3115,'Reward Model'!$A$12:$A$14,0))*Z3115,2),0)</f>
        <v>2</v>
      </c>
    </row>
    <row r="3116" customFormat="false" ht="15" hidden="false" customHeight="false" outlineLevel="0" collapsed="false">
      <c r="A3116" s="0" t="s">
        <v>442</v>
      </c>
      <c r="B3116" s="0" t="s">
        <v>443</v>
      </c>
      <c r="C3116" s="0" t="s">
        <v>322</v>
      </c>
      <c r="D3116" s="0" t="s">
        <v>189</v>
      </c>
      <c r="E3116" s="0" t="n">
        <v>15</v>
      </c>
      <c r="F3116" s="0" t="s">
        <v>69</v>
      </c>
      <c r="G3116" s="0" t="s">
        <v>70</v>
      </c>
      <c r="H3116" s="0" t="s">
        <v>70</v>
      </c>
      <c r="I3116" s="0" t="s">
        <v>34</v>
      </c>
      <c r="J3116" s="0" t="n">
        <v>2.03</v>
      </c>
      <c r="K3116" s="0" t="s">
        <v>60</v>
      </c>
      <c r="L3116" s="0" t="n">
        <f aca="false">INDEX(Summary!$F$2:$F$201,MATCH($B3116,Summary!$A$2:$A$201,0))</f>
        <v>20</v>
      </c>
      <c r="M3116" s="0" t="n">
        <f aca="false">INDEX(Summary!$I$2:$I$201,MATCH($B3116,Summary!$A$2:$A$201,0))</f>
        <v>3</v>
      </c>
      <c r="N3116" s="0" t="n">
        <f aca="false">INDEX(Summary!$J$2:$J$201,MATCH($B3116,Summary!$A$2:$A$201,0))</f>
        <v>2</v>
      </c>
      <c r="O3116" s="2" t="n">
        <f aca="false">INDEX(Summary!$K$2:$K$201,MATCH($B3116,Summary!$A$2:$A$201,0))</f>
        <v>9</v>
      </c>
      <c r="P3116" s="3" t="n">
        <f aca="false">INDEX(Summary!$L$2:$L$201,MATCH($B3116,Summary!$A$2:$A$201,0))</f>
        <v>5</v>
      </c>
      <c r="Q3116" s="3" t="n">
        <f aca="false">INDEX(Summary!$M$2:$M$201,MATCH($B3116,Summary!$A$2:$A$201,0))</f>
        <v>1</v>
      </c>
      <c r="R3116" s="2" t="n">
        <f aca="false">INDEX(Summary!$N$2:$N$201,MATCH($B3116,Summary!$A$2:$A$201,0))</f>
        <v>9.76</v>
      </c>
      <c r="S3116" s="3" t="n">
        <f aca="false">INDEX(Summary!$O$2:$O$201,MATCH($B3116,Summary!$A$2:$A$201,0))</f>
        <v>8</v>
      </c>
      <c r="T3116" s="3" t="n">
        <f aca="false">INDEX(Summary!$P$2:$P$201,MATCH($B3116,Summary!$A$2:$A$201,0))</f>
        <v>1</v>
      </c>
      <c r="U3116" s="2" t="n">
        <f aca="false">INDEX(Summary!$Q$2:$Q$201,MATCH($B3116,Summary!$A$2:$A$201,0))</f>
        <v>14.73</v>
      </c>
      <c r="V3116" s="2" t="n">
        <f aca="false">INDEX(Summary!$R$2:$R$201,MATCH($B3116,Summary!$A$2:$A$201,0))</f>
        <v>28.42</v>
      </c>
      <c r="W3116" s="0" t="str">
        <f aca="false">INDEX(Summary!$S$2:$S$201,MATCH($B3116,Summary!$A$2:$A$201,0))</f>
        <v>Silver</v>
      </c>
      <c r="X3116" s="2" t="n">
        <f aca="false">INDEX(Summary!$T$2:$T$201,MATCH($B3116,Summary!$A$2:$A$201,0))</f>
        <v>69.32</v>
      </c>
      <c r="Y3116" s="0" t="str">
        <f aca="false">INDEX('Reward Model'!$E$18:$E$37,MATCH($E3116,'Reward Model'!$A$18:$A$37,0))</f>
        <v>Medium</v>
      </c>
      <c r="Z3116" s="4" t="n">
        <f aca="false">ROUND(MIN(1,MAX('Reward Model'!$B$2,INDEX('Reward Model'!$C$12:$C$14,MATCH($K3116,'Reward Model'!$A$12:$A$14,0))/$J3116)),3)</f>
        <v>0.887</v>
      </c>
      <c r="AA3116" s="2" t="n">
        <f aca="false">IF($I3116="Correct",ROUND(INDEX('Reward Model'!$B$12:$B$14,MATCH($K3116,'Reward Model'!$A$12:$A$14,0))*Z3116,2),0)</f>
        <v>1.77</v>
      </c>
      <c r="AB3116" s="2" t="n">
        <f aca="false">IF($I3116="Correct",ROUND(INDEX('Reward Model'!$B$12:$B$14,MATCH($Y3116,'Reward Model'!$A$12:$A$14,0))*Z3116,2),0)</f>
        <v>1.77</v>
      </c>
    </row>
    <row r="3117" customFormat="false" ht="15" hidden="false" customHeight="false" outlineLevel="0" collapsed="false">
      <c r="A3117" s="0" t="s">
        <v>442</v>
      </c>
      <c r="B3117" s="0" t="s">
        <v>443</v>
      </c>
      <c r="C3117" s="0" t="s">
        <v>322</v>
      </c>
      <c r="D3117" s="0" t="s">
        <v>189</v>
      </c>
      <c r="E3117" s="0" t="n">
        <v>16</v>
      </c>
      <c r="F3117" s="0" t="s">
        <v>71</v>
      </c>
      <c r="G3117" s="0" t="s">
        <v>87</v>
      </c>
      <c r="H3117" s="0" t="s">
        <v>72</v>
      </c>
      <c r="I3117" s="0" t="s">
        <v>39</v>
      </c>
      <c r="J3117" s="0" t="n">
        <v>1.51</v>
      </c>
      <c r="K3117" s="0" t="s">
        <v>73</v>
      </c>
      <c r="L3117" s="0" t="n">
        <f aca="false">INDEX(Summary!$F$2:$F$201,MATCH($B3117,Summary!$A$2:$A$201,0))</f>
        <v>20</v>
      </c>
      <c r="M3117" s="0" t="n">
        <f aca="false">INDEX(Summary!$I$2:$I$201,MATCH($B3117,Summary!$A$2:$A$201,0))</f>
        <v>3</v>
      </c>
      <c r="N3117" s="0" t="n">
        <f aca="false">INDEX(Summary!$J$2:$J$201,MATCH($B3117,Summary!$A$2:$A$201,0))</f>
        <v>2</v>
      </c>
      <c r="O3117" s="2" t="n">
        <f aca="false">INDEX(Summary!$K$2:$K$201,MATCH($B3117,Summary!$A$2:$A$201,0))</f>
        <v>9</v>
      </c>
      <c r="P3117" s="3" t="n">
        <f aca="false">INDEX(Summary!$L$2:$L$201,MATCH($B3117,Summary!$A$2:$A$201,0))</f>
        <v>5</v>
      </c>
      <c r="Q3117" s="3" t="n">
        <f aca="false">INDEX(Summary!$M$2:$M$201,MATCH($B3117,Summary!$A$2:$A$201,0))</f>
        <v>1</v>
      </c>
      <c r="R3117" s="2" t="n">
        <f aca="false">INDEX(Summary!$N$2:$N$201,MATCH($B3117,Summary!$A$2:$A$201,0))</f>
        <v>9.76</v>
      </c>
      <c r="S3117" s="3" t="n">
        <f aca="false">INDEX(Summary!$O$2:$O$201,MATCH($B3117,Summary!$A$2:$A$201,0))</f>
        <v>8</v>
      </c>
      <c r="T3117" s="3" t="n">
        <f aca="false">INDEX(Summary!$P$2:$P$201,MATCH($B3117,Summary!$A$2:$A$201,0))</f>
        <v>1</v>
      </c>
      <c r="U3117" s="2" t="n">
        <f aca="false">INDEX(Summary!$Q$2:$Q$201,MATCH($B3117,Summary!$A$2:$A$201,0))</f>
        <v>14.73</v>
      </c>
      <c r="V3117" s="2" t="n">
        <f aca="false">INDEX(Summary!$R$2:$R$201,MATCH($B3117,Summary!$A$2:$A$201,0))</f>
        <v>28.42</v>
      </c>
      <c r="W3117" s="0" t="str">
        <f aca="false">INDEX(Summary!$S$2:$S$201,MATCH($B3117,Summary!$A$2:$A$201,0))</f>
        <v>Silver</v>
      </c>
      <c r="X3117" s="2" t="n">
        <f aca="false">INDEX(Summary!$T$2:$T$201,MATCH($B3117,Summary!$A$2:$A$201,0))</f>
        <v>69.32</v>
      </c>
      <c r="Y3117" s="0" t="str">
        <f aca="false">INDEX('Reward Model'!$E$18:$E$37,MATCH($E3117,'Reward Model'!$A$18:$A$37,0))</f>
        <v>High</v>
      </c>
      <c r="Z3117" s="4" t="n">
        <f aca="false">ROUND(MIN(1,MAX('Reward Model'!$B$2,INDEX('Reward Model'!$C$12:$C$14,MATCH($K3117,'Reward Model'!$A$12:$A$14,0))/$J3117)),3)</f>
        <v>1</v>
      </c>
      <c r="AA3117" s="2" t="n">
        <f aca="false">IF($I3117="Correct",ROUND(INDEX('Reward Model'!$B$12:$B$14,MATCH($K3117,'Reward Model'!$A$12:$A$14,0))*Z3117,2),0)</f>
        <v>0</v>
      </c>
      <c r="AB3117" s="2" t="n">
        <f aca="false">IF($I3117="Correct",ROUND(INDEX('Reward Model'!$B$12:$B$14,MATCH($Y3117,'Reward Model'!$A$12:$A$14,0))*Z3117,2),0)</f>
        <v>0</v>
      </c>
    </row>
    <row r="3118" customFormat="false" ht="15" hidden="false" customHeight="false" outlineLevel="0" collapsed="false">
      <c r="A3118" s="0" t="s">
        <v>442</v>
      </c>
      <c r="B3118" s="0" t="s">
        <v>443</v>
      </c>
      <c r="C3118" s="0" t="s">
        <v>322</v>
      </c>
      <c r="D3118" s="0" t="s">
        <v>189</v>
      </c>
      <c r="E3118" s="0" t="n">
        <v>17</v>
      </c>
      <c r="F3118" s="0" t="s">
        <v>74</v>
      </c>
      <c r="G3118" s="0" t="s">
        <v>91</v>
      </c>
      <c r="H3118" s="0" t="s">
        <v>75</v>
      </c>
      <c r="I3118" s="0" t="s">
        <v>39</v>
      </c>
      <c r="J3118" s="0" t="n">
        <v>1.88</v>
      </c>
      <c r="K3118" s="0" t="s">
        <v>73</v>
      </c>
      <c r="L3118" s="0" t="n">
        <f aca="false">INDEX(Summary!$F$2:$F$201,MATCH($B3118,Summary!$A$2:$A$201,0))</f>
        <v>20</v>
      </c>
      <c r="M3118" s="0" t="n">
        <f aca="false">INDEX(Summary!$I$2:$I$201,MATCH($B3118,Summary!$A$2:$A$201,0))</f>
        <v>3</v>
      </c>
      <c r="N3118" s="0" t="n">
        <f aca="false">INDEX(Summary!$J$2:$J$201,MATCH($B3118,Summary!$A$2:$A$201,0))</f>
        <v>2</v>
      </c>
      <c r="O3118" s="2" t="n">
        <f aca="false">INDEX(Summary!$K$2:$K$201,MATCH($B3118,Summary!$A$2:$A$201,0))</f>
        <v>9</v>
      </c>
      <c r="P3118" s="3" t="n">
        <f aca="false">INDEX(Summary!$L$2:$L$201,MATCH($B3118,Summary!$A$2:$A$201,0))</f>
        <v>5</v>
      </c>
      <c r="Q3118" s="3" t="n">
        <f aca="false">INDEX(Summary!$M$2:$M$201,MATCH($B3118,Summary!$A$2:$A$201,0))</f>
        <v>1</v>
      </c>
      <c r="R3118" s="2" t="n">
        <f aca="false">INDEX(Summary!$N$2:$N$201,MATCH($B3118,Summary!$A$2:$A$201,0))</f>
        <v>9.76</v>
      </c>
      <c r="S3118" s="3" t="n">
        <f aca="false">INDEX(Summary!$O$2:$O$201,MATCH($B3118,Summary!$A$2:$A$201,0))</f>
        <v>8</v>
      </c>
      <c r="T3118" s="3" t="n">
        <f aca="false">INDEX(Summary!$P$2:$P$201,MATCH($B3118,Summary!$A$2:$A$201,0))</f>
        <v>1</v>
      </c>
      <c r="U3118" s="2" t="n">
        <f aca="false">INDEX(Summary!$Q$2:$Q$201,MATCH($B3118,Summary!$A$2:$A$201,0))</f>
        <v>14.73</v>
      </c>
      <c r="V3118" s="2" t="n">
        <f aca="false">INDEX(Summary!$R$2:$R$201,MATCH($B3118,Summary!$A$2:$A$201,0))</f>
        <v>28.42</v>
      </c>
      <c r="W3118" s="0" t="str">
        <f aca="false">INDEX(Summary!$S$2:$S$201,MATCH($B3118,Summary!$A$2:$A$201,0))</f>
        <v>Silver</v>
      </c>
      <c r="X3118" s="2" t="n">
        <f aca="false">INDEX(Summary!$T$2:$T$201,MATCH($B3118,Summary!$A$2:$A$201,0))</f>
        <v>69.32</v>
      </c>
      <c r="Y3118" s="0" t="str">
        <f aca="false">INDEX('Reward Model'!$E$18:$E$37,MATCH($E3118,'Reward Model'!$A$18:$A$37,0))</f>
        <v>High</v>
      </c>
      <c r="Z3118" s="4" t="n">
        <f aca="false">ROUND(MIN(1,MAX('Reward Model'!$B$2,INDEX('Reward Model'!$C$12:$C$14,MATCH($K3118,'Reward Model'!$A$12:$A$14,0))/$J3118)),3)</f>
        <v>1</v>
      </c>
      <c r="AA3118" s="2" t="n">
        <f aca="false">IF($I3118="Correct",ROUND(INDEX('Reward Model'!$B$12:$B$14,MATCH($K3118,'Reward Model'!$A$12:$A$14,0))*Z3118,2),0)</f>
        <v>0</v>
      </c>
      <c r="AB3118" s="2" t="n">
        <f aca="false">IF($I3118="Correct",ROUND(INDEX('Reward Model'!$B$12:$B$14,MATCH($Y3118,'Reward Model'!$A$12:$A$14,0))*Z3118,2),0)</f>
        <v>0</v>
      </c>
    </row>
    <row r="3119" customFormat="false" ht="15" hidden="false" customHeight="false" outlineLevel="0" collapsed="false">
      <c r="A3119" s="0" t="s">
        <v>442</v>
      </c>
      <c r="B3119" s="0" t="s">
        <v>443</v>
      </c>
      <c r="C3119" s="0" t="s">
        <v>322</v>
      </c>
      <c r="D3119" s="0" t="s">
        <v>189</v>
      </c>
      <c r="E3119" s="0" t="n">
        <v>18</v>
      </c>
      <c r="F3119" s="0" t="s">
        <v>76</v>
      </c>
      <c r="G3119" s="0" t="s">
        <v>77</v>
      </c>
      <c r="H3119" s="0" t="s">
        <v>77</v>
      </c>
      <c r="I3119" s="0" t="s">
        <v>34</v>
      </c>
      <c r="J3119" s="0" t="n">
        <v>1.35</v>
      </c>
      <c r="K3119" s="0" t="s">
        <v>73</v>
      </c>
      <c r="L3119" s="0" t="n">
        <f aca="false">INDEX(Summary!$F$2:$F$201,MATCH($B3119,Summary!$A$2:$A$201,0))</f>
        <v>20</v>
      </c>
      <c r="M3119" s="0" t="n">
        <f aca="false">INDEX(Summary!$I$2:$I$201,MATCH($B3119,Summary!$A$2:$A$201,0))</f>
        <v>3</v>
      </c>
      <c r="N3119" s="0" t="n">
        <f aca="false">INDEX(Summary!$J$2:$J$201,MATCH($B3119,Summary!$A$2:$A$201,0))</f>
        <v>2</v>
      </c>
      <c r="O3119" s="2" t="n">
        <f aca="false">INDEX(Summary!$K$2:$K$201,MATCH($B3119,Summary!$A$2:$A$201,0))</f>
        <v>9</v>
      </c>
      <c r="P3119" s="3" t="n">
        <f aca="false">INDEX(Summary!$L$2:$L$201,MATCH($B3119,Summary!$A$2:$A$201,0))</f>
        <v>5</v>
      </c>
      <c r="Q3119" s="3" t="n">
        <f aca="false">INDEX(Summary!$M$2:$M$201,MATCH($B3119,Summary!$A$2:$A$201,0))</f>
        <v>1</v>
      </c>
      <c r="R3119" s="2" t="n">
        <f aca="false">INDEX(Summary!$N$2:$N$201,MATCH($B3119,Summary!$A$2:$A$201,0))</f>
        <v>9.76</v>
      </c>
      <c r="S3119" s="3" t="n">
        <f aca="false">INDEX(Summary!$O$2:$O$201,MATCH($B3119,Summary!$A$2:$A$201,0))</f>
        <v>8</v>
      </c>
      <c r="T3119" s="3" t="n">
        <f aca="false">INDEX(Summary!$P$2:$P$201,MATCH($B3119,Summary!$A$2:$A$201,0))</f>
        <v>1</v>
      </c>
      <c r="U3119" s="2" t="n">
        <f aca="false">INDEX(Summary!$Q$2:$Q$201,MATCH($B3119,Summary!$A$2:$A$201,0))</f>
        <v>14.73</v>
      </c>
      <c r="V3119" s="2" t="n">
        <f aca="false">INDEX(Summary!$R$2:$R$201,MATCH($B3119,Summary!$A$2:$A$201,0))</f>
        <v>28.42</v>
      </c>
      <c r="W3119" s="0" t="str">
        <f aca="false">INDEX(Summary!$S$2:$S$201,MATCH($B3119,Summary!$A$2:$A$201,0))</f>
        <v>Silver</v>
      </c>
      <c r="X3119" s="2" t="n">
        <f aca="false">INDEX(Summary!$T$2:$T$201,MATCH($B3119,Summary!$A$2:$A$201,0))</f>
        <v>69.32</v>
      </c>
      <c r="Y3119" s="0" t="str">
        <f aca="false">INDEX('Reward Model'!$E$18:$E$37,MATCH($E3119,'Reward Model'!$A$18:$A$37,0))</f>
        <v>High</v>
      </c>
      <c r="Z3119" s="4" t="n">
        <f aca="false">ROUND(MIN(1,MAX('Reward Model'!$B$2,INDEX('Reward Model'!$C$12:$C$14,MATCH($K3119,'Reward Model'!$A$12:$A$14,0))/$J3119)),3)</f>
        <v>1</v>
      </c>
      <c r="AA3119" s="2" t="n">
        <f aca="false">IF($I3119="Correct",ROUND(INDEX('Reward Model'!$B$12:$B$14,MATCH($K3119,'Reward Model'!$A$12:$A$14,0))*Z3119,2),0)</f>
        <v>3</v>
      </c>
      <c r="AB3119" s="2" t="n">
        <f aca="false">IF($I3119="Correct",ROUND(INDEX('Reward Model'!$B$12:$B$14,MATCH($Y3119,'Reward Model'!$A$12:$A$14,0))*Z3119,2),0)</f>
        <v>3</v>
      </c>
    </row>
    <row r="3120" customFormat="false" ht="15" hidden="false" customHeight="false" outlineLevel="0" collapsed="false">
      <c r="A3120" s="0" t="s">
        <v>442</v>
      </c>
      <c r="B3120" s="0" t="s">
        <v>443</v>
      </c>
      <c r="C3120" s="0" t="s">
        <v>322</v>
      </c>
      <c r="D3120" s="0" t="s">
        <v>189</v>
      </c>
      <c r="E3120" s="0" t="n">
        <v>19</v>
      </c>
      <c r="F3120" s="0" t="s">
        <v>78</v>
      </c>
      <c r="G3120" s="0" t="s">
        <v>80</v>
      </c>
      <c r="H3120" s="0" t="s">
        <v>80</v>
      </c>
      <c r="I3120" s="0" t="s">
        <v>34</v>
      </c>
      <c r="J3120" s="0" t="n">
        <v>2.53</v>
      </c>
      <c r="K3120" s="0" t="s">
        <v>73</v>
      </c>
      <c r="L3120" s="0" t="n">
        <f aca="false">INDEX(Summary!$F$2:$F$201,MATCH($B3120,Summary!$A$2:$A$201,0))</f>
        <v>20</v>
      </c>
      <c r="M3120" s="0" t="n">
        <f aca="false">INDEX(Summary!$I$2:$I$201,MATCH($B3120,Summary!$A$2:$A$201,0))</f>
        <v>3</v>
      </c>
      <c r="N3120" s="0" t="n">
        <f aca="false">INDEX(Summary!$J$2:$J$201,MATCH($B3120,Summary!$A$2:$A$201,0))</f>
        <v>2</v>
      </c>
      <c r="O3120" s="2" t="n">
        <f aca="false">INDEX(Summary!$K$2:$K$201,MATCH($B3120,Summary!$A$2:$A$201,0))</f>
        <v>9</v>
      </c>
      <c r="P3120" s="3" t="n">
        <f aca="false">INDEX(Summary!$L$2:$L$201,MATCH($B3120,Summary!$A$2:$A$201,0))</f>
        <v>5</v>
      </c>
      <c r="Q3120" s="3" t="n">
        <f aca="false">INDEX(Summary!$M$2:$M$201,MATCH($B3120,Summary!$A$2:$A$201,0))</f>
        <v>1</v>
      </c>
      <c r="R3120" s="2" t="n">
        <f aca="false">INDEX(Summary!$N$2:$N$201,MATCH($B3120,Summary!$A$2:$A$201,0))</f>
        <v>9.76</v>
      </c>
      <c r="S3120" s="3" t="n">
        <f aca="false">INDEX(Summary!$O$2:$O$201,MATCH($B3120,Summary!$A$2:$A$201,0))</f>
        <v>8</v>
      </c>
      <c r="T3120" s="3" t="n">
        <f aca="false">INDEX(Summary!$P$2:$P$201,MATCH($B3120,Summary!$A$2:$A$201,0))</f>
        <v>1</v>
      </c>
      <c r="U3120" s="2" t="n">
        <f aca="false">INDEX(Summary!$Q$2:$Q$201,MATCH($B3120,Summary!$A$2:$A$201,0))</f>
        <v>14.73</v>
      </c>
      <c r="V3120" s="2" t="n">
        <f aca="false">INDEX(Summary!$R$2:$R$201,MATCH($B3120,Summary!$A$2:$A$201,0))</f>
        <v>28.42</v>
      </c>
      <c r="W3120" s="0" t="str">
        <f aca="false">INDEX(Summary!$S$2:$S$201,MATCH($B3120,Summary!$A$2:$A$201,0))</f>
        <v>Silver</v>
      </c>
      <c r="X3120" s="2" t="n">
        <f aca="false">INDEX(Summary!$T$2:$T$201,MATCH($B3120,Summary!$A$2:$A$201,0))</f>
        <v>69.32</v>
      </c>
      <c r="Y3120" s="0" t="str">
        <f aca="false">INDEX('Reward Model'!$E$18:$E$37,MATCH($E3120,'Reward Model'!$A$18:$A$37,0))</f>
        <v>High</v>
      </c>
      <c r="Z3120" s="4" t="n">
        <f aca="false">ROUND(MIN(1,MAX('Reward Model'!$B$2,INDEX('Reward Model'!$C$12:$C$14,MATCH($K3120,'Reward Model'!$A$12:$A$14,0))/$J3120)),3)</f>
        <v>0.791</v>
      </c>
      <c r="AA3120" s="2" t="n">
        <f aca="false">IF($I3120="Correct",ROUND(INDEX('Reward Model'!$B$12:$B$14,MATCH($K3120,'Reward Model'!$A$12:$A$14,0))*Z3120,2),0)</f>
        <v>2.37</v>
      </c>
      <c r="AB3120" s="2" t="n">
        <f aca="false">IF($I3120="Correct",ROUND(INDEX('Reward Model'!$B$12:$B$14,MATCH($Y3120,'Reward Model'!$A$12:$A$14,0))*Z3120,2),0)</f>
        <v>2.37</v>
      </c>
    </row>
    <row r="3121" customFormat="false" ht="15" hidden="false" customHeight="false" outlineLevel="0" collapsed="false">
      <c r="A3121" s="0" t="s">
        <v>442</v>
      </c>
      <c r="B3121" s="0" t="s">
        <v>443</v>
      </c>
      <c r="C3121" s="0" t="s">
        <v>322</v>
      </c>
      <c r="D3121" s="0" t="s">
        <v>189</v>
      </c>
      <c r="E3121" s="0" t="n">
        <v>20</v>
      </c>
      <c r="F3121" s="0" t="s">
        <v>81</v>
      </c>
      <c r="G3121" s="0" t="s">
        <v>83</v>
      </c>
      <c r="H3121" s="0" t="s">
        <v>83</v>
      </c>
      <c r="I3121" s="0" t="s">
        <v>34</v>
      </c>
      <c r="J3121" s="0" t="n">
        <v>1.73</v>
      </c>
      <c r="K3121" s="0" t="s">
        <v>73</v>
      </c>
      <c r="L3121" s="0" t="n">
        <f aca="false">INDEX(Summary!$F$2:$F$201,MATCH($B3121,Summary!$A$2:$A$201,0))</f>
        <v>20</v>
      </c>
      <c r="M3121" s="0" t="n">
        <f aca="false">INDEX(Summary!$I$2:$I$201,MATCH($B3121,Summary!$A$2:$A$201,0))</f>
        <v>3</v>
      </c>
      <c r="N3121" s="0" t="n">
        <f aca="false">INDEX(Summary!$J$2:$J$201,MATCH($B3121,Summary!$A$2:$A$201,0))</f>
        <v>2</v>
      </c>
      <c r="O3121" s="2" t="n">
        <f aca="false">INDEX(Summary!$K$2:$K$201,MATCH($B3121,Summary!$A$2:$A$201,0))</f>
        <v>9</v>
      </c>
      <c r="P3121" s="3" t="n">
        <f aca="false">INDEX(Summary!$L$2:$L$201,MATCH($B3121,Summary!$A$2:$A$201,0))</f>
        <v>5</v>
      </c>
      <c r="Q3121" s="3" t="n">
        <f aca="false">INDEX(Summary!$M$2:$M$201,MATCH($B3121,Summary!$A$2:$A$201,0))</f>
        <v>1</v>
      </c>
      <c r="R3121" s="2" t="n">
        <f aca="false">INDEX(Summary!$N$2:$N$201,MATCH($B3121,Summary!$A$2:$A$201,0))</f>
        <v>9.76</v>
      </c>
      <c r="S3121" s="3" t="n">
        <f aca="false">INDEX(Summary!$O$2:$O$201,MATCH($B3121,Summary!$A$2:$A$201,0))</f>
        <v>8</v>
      </c>
      <c r="T3121" s="3" t="n">
        <f aca="false">INDEX(Summary!$P$2:$P$201,MATCH($B3121,Summary!$A$2:$A$201,0))</f>
        <v>1</v>
      </c>
      <c r="U3121" s="2" t="n">
        <f aca="false">INDEX(Summary!$Q$2:$Q$201,MATCH($B3121,Summary!$A$2:$A$201,0))</f>
        <v>14.73</v>
      </c>
      <c r="V3121" s="2" t="n">
        <f aca="false">INDEX(Summary!$R$2:$R$201,MATCH($B3121,Summary!$A$2:$A$201,0))</f>
        <v>28.42</v>
      </c>
      <c r="W3121" s="0" t="str">
        <f aca="false">INDEX(Summary!$S$2:$S$201,MATCH($B3121,Summary!$A$2:$A$201,0))</f>
        <v>Silver</v>
      </c>
      <c r="X3121" s="2" t="n">
        <f aca="false">INDEX(Summary!$T$2:$T$201,MATCH($B3121,Summary!$A$2:$A$201,0))</f>
        <v>69.32</v>
      </c>
      <c r="Y3121" s="0" t="str">
        <f aca="false">INDEX('Reward Model'!$E$18:$E$37,MATCH($E3121,'Reward Model'!$A$18:$A$37,0))</f>
        <v>High</v>
      </c>
      <c r="Z3121" s="4" t="n">
        <f aca="false">ROUND(MIN(1,MAX('Reward Model'!$B$2,INDEX('Reward Model'!$C$12:$C$14,MATCH($K3121,'Reward Model'!$A$12:$A$14,0))/$J3121)),3)</f>
        <v>1</v>
      </c>
      <c r="AA3121" s="2" t="n">
        <f aca="false">IF($I3121="Correct",ROUND(INDEX('Reward Model'!$B$12:$B$14,MATCH($K3121,'Reward Model'!$A$12:$A$14,0))*Z3121,2),0)</f>
        <v>3</v>
      </c>
      <c r="AB3121" s="2" t="n">
        <f aca="false">IF($I3121="Correct",ROUND(INDEX('Reward Model'!$B$12:$B$14,MATCH($Y3121,'Reward Model'!$A$12:$A$14,0))*Z3121,2),0)</f>
        <v>3</v>
      </c>
    </row>
    <row r="3122" customFormat="false" ht="15" hidden="false" customHeight="false" outlineLevel="0" collapsed="false">
      <c r="A3122" s="0" t="s">
        <v>444</v>
      </c>
      <c r="B3122" s="0" t="s">
        <v>445</v>
      </c>
      <c r="C3122" s="0" t="s">
        <v>322</v>
      </c>
      <c r="D3122" s="0" t="s">
        <v>189</v>
      </c>
      <c r="E3122" s="0" t="n">
        <v>1</v>
      </c>
      <c r="F3122" s="0" t="s">
        <v>32</v>
      </c>
      <c r="G3122" s="0" t="s">
        <v>33</v>
      </c>
      <c r="H3122" s="0" t="s">
        <v>33</v>
      </c>
      <c r="I3122" s="0" t="s">
        <v>34</v>
      </c>
      <c r="J3122" s="0" t="n">
        <v>1.14</v>
      </c>
      <c r="K3122" s="0" t="s">
        <v>35</v>
      </c>
      <c r="L3122" s="0" t="n">
        <f aca="false">INDEX(Summary!$F$2:$F$201,MATCH($B3122,Summary!$A$2:$A$201,0))</f>
        <v>20</v>
      </c>
      <c r="M3122" s="0" t="n">
        <f aca="false">INDEX(Summary!$I$2:$I$201,MATCH($B3122,Summary!$A$2:$A$201,0))</f>
        <v>1</v>
      </c>
      <c r="N3122" s="0" t="n">
        <f aca="false">INDEX(Summary!$J$2:$J$201,MATCH($B3122,Summary!$A$2:$A$201,0))</f>
        <v>4</v>
      </c>
      <c r="O3122" s="2" t="n">
        <f aca="false">INDEX(Summary!$K$2:$K$201,MATCH($B3122,Summary!$A$2:$A$201,0))</f>
        <v>9.79</v>
      </c>
      <c r="P3122" s="3" t="n">
        <f aca="false">INDEX(Summary!$L$2:$L$201,MATCH($B3122,Summary!$A$2:$A$201,0))</f>
        <v>3</v>
      </c>
      <c r="Q3122" s="3" t="n">
        <f aca="false">INDEX(Summary!$M$2:$M$201,MATCH($B3122,Summary!$A$2:$A$201,0))</f>
        <v>3</v>
      </c>
      <c r="R3122" s="2" t="n">
        <f aca="false">INDEX(Summary!$N$2:$N$201,MATCH($B3122,Summary!$A$2:$A$201,0))</f>
        <v>9.94</v>
      </c>
      <c r="S3122" s="3" t="n">
        <f aca="false">INDEX(Summary!$O$2:$O$201,MATCH($B3122,Summary!$A$2:$A$201,0))</f>
        <v>7</v>
      </c>
      <c r="T3122" s="3" t="n">
        <f aca="false">INDEX(Summary!$P$2:$P$201,MATCH($B3122,Summary!$A$2:$A$201,0))</f>
        <v>2</v>
      </c>
      <c r="U3122" s="2" t="n">
        <f aca="false">INDEX(Summary!$Q$2:$Q$201,MATCH($B3122,Summary!$A$2:$A$201,0))</f>
        <v>12.85</v>
      </c>
      <c r="V3122" s="2" t="n">
        <f aca="false">INDEX(Summary!$R$2:$R$201,MATCH($B3122,Summary!$A$2:$A$201,0))</f>
        <v>19.37</v>
      </c>
      <c r="W3122" s="0" t="str">
        <f aca="false">INDEX(Summary!$S$2:$S$201,MATCH($B3122,Summary!$A$2:$A$201,0))</f>
        <v>Bronze</v>
      </c>
      <c r="X3122" s="2" t="n">
        <f aca="false">INDEX(Summary!$T$2:$T$201,MATCH($B3122,Summary!$A$2:$A$201,0))</f>
        <v>47.24</v>
      </c>
      <c r="Y3122" s="0" t="str">
        <f aca="false">INDEX('Reward Model'!$E$18:$E$37,MATCH($E3122,'Reward Model'!$A$18:$A$37,0))</f>
        <v>Medium</v>
      </c>
      <c r="Z3122" s="4" t="n">
        <f aca="false">ROUND(MIN(1,MAX('Reward Model'!$B$2,INDEX('Reward Model'!$C$12:$C$14,MATCH($K3122,'Reward Model'!$A$12:$A$14,0))/$J3122)),3)</f>
        <v>1</v>
      </c>
      <c r="AA3122" s="2" t="n">
        <f aca="false">IF($I3122="Correct",ROUND(INDEX('Reward Model'!$B$12:$B$14,MATCH($K3122,'Reward Model'!$A$12:$A$14,0))*Z3122,2),0)</f>
        <v>1</v>
      </c>
      <c r="AB3122" s="2" t="n">
        <f aca="false">IF($I3122="Correct",ROUND(INDEX('Reward Model'!$B$12:$B$14,MATCH($Y3122,'Reward Model'!$A$12:$A$14,0))*Z3122,2),0)</f>
        <v>2</v>
      </c>
    </row>
    <row r="3123" customFormat="false" ht="15" hidden="false" customHeight="false" outlineLevel="0" collapsed="false">
      <c r="A3123" s="0" t="s">
        <v>444</v>
      </c>
      <c r="B3123" s="0" t="s">
        <v>445</v>
      </c>
      <c r="C3123" s="0" t="s">
        <v>322</v>
      </c>
      <c r="D3123" s="0" t="s">
        <v>189</v>
      </c>
      <c r="E3123" s="0" t="n">
        <v>2</v>
      </c>
      <c r="F3123" s="0" t="s">
        <v>36</v>
      </c>
      <c r="G3123" s="0" t="s">
        <v>38</v>
      </c>
      <c r="H3123" s="0" t="s">
        <v>38</v>
      </c>
      <c r="I3123" s="0" t="s">
        <v>34</v>
      </c>
      <c r="J3123" s="0" t="n">
        <v>1.93</v>
      </c>
      <c r="K3123" s="0" t="s">
        <v>35</v>
      </c>
      <c r="L3123" s="0" t="n">
        <f aca="false">INDEX(Summary!$F$2:$F$201,MATCH($B3123,Summary!$A$2:$A$201,0))</f>
        <v>20</v>
      </c>
      <c r="M3123" s="0" t="n">
        <f aca="false">INDEX(Summary!$I$2:$I$201,MATCH($B3123,Summary!$A$2:$A$201,0))</f>
        <v>1</v>
      </c>
      <c r="N3123" s="0" t="n">
        <f aca="false">INDEX(Summary!$J$2:$J$201,MATCH($B3123,Summary!$A$2:$A$201,0))</f>
        <v>4</v>
      </c>
      <c r="O3123" s="2" t="n">
        <f aca="false">INDEX(Summary!$K$2:$K$201,MATCH($B3123,Summary!$A$2:$A$201,0))</f>
        <v>9.79</v>
      </c>
      <c r="P3123" s="3" t="n">
        <f aca="false">INDEX(Summary!$L$2:$L$201,MATCH($B3123,Summary!$A$2:$A$201,0))</f>
        <v>3</v>
      </c>
      <c r="Q3123" s="3" t="n">
        <f aca="false">INDEX(Summary!$M$2:$M$201,MATCH($B3123,Summary!$A$2:$A$201,0))</f>
        <v>3</v>
      </c>
      <c r="R3123" s="2" t="n">
        <f aca="false">INDEX(Summary!$N$2:$N$201,MATCH($B3123,Summary!$A$2:$A$201,0))</f>
        <v>9.94</v>
      </c>
      <c r="S3123" s="3" t="n">
        <f aca="false">INDEX(Summary!$O$2:$O$201,MATCH($B3123,Summary!$A$2:$A$201,0))</f>
        <v>7</v>
      </c>
      <c r="T3123" s="3" t="n">
        <f aca="false">INDEX(Summary!$P$2:$P$201,MATCH($B3123,Summary!$A$2:$A$201,0))</f>
        <v>2</v>
      </c>
      <c r="U3123" s="2" t="n">
        <f aca="false">INDEX(Summary!$Q$2:$Q$201,MATCH($B3123,Summary!$A$2:$A$201,0))</f>
        <v>12.85</v>
      </c>
      <c r="V3123" s="2" t="n">
        <f aca="false">INDEX(Summary!$R$2:$R$201,MATCH($B3123,Summary!$A$2:$A$201,0))</f>
        <v>19.37</v>
      </c>
      <c r="W3123" s="0" t="str">
        <f aca="false">INDEX(Summary!$S$2:$S$201,MATCH($B3123,Summary!$A$2:$A$201,0))</f>
        <v>Bronze</v>
      </c>
      <c r="X3123" s="2" t="n">
        <f aca="false">INDEX(Summary!$T$2:$T$201,MATCH($B3123,Summary!$A$2:$A$201,0))</f>
        <v>47.24</v>
      </c>
      <c r="Y3123" s="0" t="str">
        <f aca="false">INDEX('Reward Model'!$E$18:$E$37,MATCH($E3123,'Reward Model'!$A$18:$A$37,0))</f>
        <v>Low</v>
      </c>
      <c r="Z3123" s="4" t="n">
        <f aca="false">ROUND(MIN(1,MAX('Reward Model'!$B$2,INDEX('Reward Model'!$C$12:$C$14,MATCH($K3123,'Reward Model'!$A$12:$A$14,0))/$J3123)),3)</f>
        <v>0.777</v>
      </c>
      <c r="AA3123" s="2" t="n">
        <f aca="false">IF($I3123="Correct",ROUND(INDEX('Reward Model'!$B$12:$B$14,MATCH($K3123,'Reward Model'!$A$12:$A$14,0))*Z3123,2),0)</f>
        <v>0.78</v>
      </c>
      <c r="AB3123" s="2" t="n">
        <f aca="false">IF($I3123="Correct",ROUND(INDEX('Reward Model'!$B$12:$B$14,MATCH($Y3123,'Reward Model'!$A$12:$A$14,0))*Z3123,2),0)</f>
        <v>0.78</v>
      </c>
    </row>
    <row r="3124" customFormat="false" ht="15" hidden="false" customHeight="false" outlineLevel="0" collapsed="false">
      <c r="A3124" s="0" t="s">
        <v>444</v>
      </c>
      <c r="B3124" s="0" t="s">
        <v>445</v>
      </c>
      <c r="C3124" s="0" t="s">
        <v>322</v>
      </c>
      <c r="D3124" s="0" t="s">
        <v>189</v>
      </c>
      <c r="E3124" s="0" t="n">
        <v>3</v>
      </c>
      <c r="F3124" s="0" t="s">
        <v>40</v>
      </c>
      <c r="G3124" s="0" t="s">
        <v>42</v>
      </c>
      <c r="H3124" s="0" t="s">
        <v>42</v>
      </c>
      <c r="I3124" s="0" t="s">
        <v>34</v>
      </c>
      <c r="J3124" s="0" t="n">
        <v>1.46</v>
      </c>
      <c r="K3124" s="0" t="s">
        <v>35</v>
      </c>
      <c r="L3124" s="0" t="n">
        <f aca="false">INDEX(Summary!$F$2:$F$201,MATCH($B3124,Summary!$A$2:$A$201,0))</f>
        <v>20</v>
      </c>
      <c r="M3124" s="0" t="n">
        <f aca="false">INDEX(Summary!$I$2:$I$201,MATCH($B3124,Summary!$A$2:$A$201,0))</f>
        <v>1</v>
      </c>
      <c r="N3124" s="0" t="n">
        <f aca="false">INDEX(Summary!$J$2:$J$201,MATCH($B3124,Summary!$A$2:$A$201,0))</f>
        <v>4</v>
      </c>
      <c r="O3124" s="2" t="n">
        <f aca="false">INDEX(Summary!$K$2:$K$201,MATCH($B3124,Summary!$A$2:$A$201,0))</f>
        <v>9.79</v>
      </c>
      <c r="P3124" s="3" t="n">
        <f aca="false">INDEX(Summary!$L$2:$L$201,MATCH($B3124,Summary!$A$2:$A$201,0))</f>
        <v>3</v>
      </c>
      <c r="Q3124" s="3" t="n">
        <f aca="false">INDEX(Summary!$M$2:$M$201,MATCH($B3124,Summary!$A$2:$A$201,0))</f>
        <v>3</v>
      </c>
      <c r="R3124" s="2" t="n">
        <f aca="false">INDEX(Summary!$N$2:$N$201,MATCH($B3124,Summary!$A$2:$A$201,0))</f>
        <v>9.94</v>
      </c>
      <c r="S3124" s="3" t="n">
        <f aca="false">INDEX(Summary!$O$2:$O$201,MATCH($B3124,Summary!$A$2:$A$201,0))</f>
        <v>7</v>
      </c>
      <c r="T3124" s="3" t="n">
        <f aca="false">INDEX(Summary!$P$2:$P$201,MATCH($B3124,Summary!$A$2:$A$201,0))</f>
        <v>2</v>
      </c>
      <c r="U3124" s="2" t="n">
        <f aca="false">INDEX(Summary!$Q$2:$Q$201,MATCH($B3124,Summary!$A$2:$A$201,0))</f>
        <v>12.85</v>
      </c>
      <c r="V3124" s="2" t="n">
        <f aca="false">INDEX(Summary!$R$2:$R$201,MATCH($B3124,Summary!$A$2:$A$201,0))</f>
        <v>19.37</v>
      </c>
      <c r="W3124" s="0" t="str">
        <f aca="false">INDEX(Summary!$S$2:$S$201,MATCH($B3124,Summary!$A$2:$A$201,0))</f>
        <v>Bronze</v>
      </c>
      <c r="X3124" s="2" t="n">
        <f aca="false">INDEX(Summary!$T$2:$T$201,MATCH($B3124,Summary!$A$2:$A$201,0))</f>
        <v>47.24</v>
      </c>
      <c r="Y3124" s="0" t="str">
        <f aca="false">INDEX('Reward Model'!$E$18:$E$37,MATCH($E3124,'Reward Model'!$A$18:$A$37,0))</f>
        <v>Medium</v>
      </c>
      <c r="Z3124" s="4" t="n">
        <f aca="false">ROUND(MIN(1,MAX('Reward Model'!$B$2,INDEX('Reward Model'!$C$12:$C$14,MATCH($K3124,'Reward Model'!$A$12:$A$14,0))/$J3124)),3)</f>
        <v>1</v>
      </c>
      <c r="AA3124" s="2" t="n">
        <f aca="false">IF($I3124="Correct",ROUND(INDEX('Reward Model'!$B$12:$B$14,MATCH($K3124,'Reward Model'!$A$12:$A$14,0))*Z3124,2),0)</f>
        <v>1</v>
      </c>
      <c r="AB3124" s="2" t="n">
        <f aca="false">IF($I3124="Correct",ROUND(INDEX('Reward Model'!$B$12:$B$14,MATCH($Y3124,'Reward Model'!$A$12:$A$14,0))*Z3124,2),0)</f>
        <v>2</v>
      </c>
    </row>
    <row r="3125" customFormat="false" ht="15" hidden="false" customHeight="false" outlineLevel="0" collapsed="false">
      <c r="A3125" s="0" t="s">
        <v>444</v>
      </c>
      <c r="B3125" s="0" t="s">
        <v>445</v>
      </c>
      <c r="C3125" s="0" t="s">
        <v>322</v>
      </c>
      <c r="D3125" s="0" t="s">
        <v>189</v>
      </c>
      <c r="E3125" s="0" t="n">
        <v>4</v>
      </c>
      <c r="F3125" s="0" t="s">
        <v>43</v>
      </c>
      <c r="G3125" s="0" t="s">
        <v>45</v>
      </c>
      <c r="H3125" s="0" t="s">
        <v>45</v>
      </c>
      <c r="I3125" s="0" t="s">
        <v>34</v>
      </c>
      <c r="J3125" s="0" t="n">
        <v>1.85</v>
      </c>
      <c r="K3125" s="0" t="s">
        <v>35</v>
      </c>
      <c r="L3125" s="0" t="n">
        <f aca="false">INDEX(Summary!$F$2:$F$201,MATCH($B3125,Summary!$A$2:$A$201,0))</f>
        <v>20</v>
      </c>
      <c r="M3125" s="0" t="n">
        <f aca="false">INDEX(Summary!$I$2:$I$201,MATCH($B3125,Summary!$A$2:$A$201,0))</f>
        <v>1</v>
      </c>
      <c r="N3125" s="0" t="n">
        <f aca="false">INDEX(Summary!$J$2:$J$201,MATCH($B3125,Summary!$A$2:$A$201,0))</f>
        <v>4</v>
      </c>
      <c r="O3125" s="2" t="n">
        <f aca="false">INDEX(Summary!$K$2:$K$201,MATCH($B3125,Summary!$A$2:$A$201,0))</f>
        <v>9.79</v>
      </c>
      <c r="P3125" s="3" t="n">
        <f aca="false">INDEX(Summary!$L$2:$L$201,MATCH($B3125,Summary!$A$2:$A$201,0))</f>
        <v>3</v>
      </c>
      <c r="Q3125" s="3" t="n">
        <f aca="false">INDEX(Summary!$M$2:$M$201,MATCH($B3125,Summary!$A$2:$A$201,0))</f>
        <v>3</v>
      </c>
      <c r="R3125" s="2" t="n">
        <f aca="false">INDEX(Summary!$N$2:$N$201,MATCH($B3125,Summary!$A$2:$A$201,0))</f>
        <v>9.94</v>
      </c>
      <c r="S3125" s="3" t="n">
        <f aca="false">INDEX(Summary!$O$2:$O$201,MATCH($B3125,Summary!$A$2:$A$201,0))</f>
        <v>7</v>
      </c>
      <c r="T3125" s="3" t="n">
        <f aca="false">INDEX(Summary!$P$2:$P$201,MATCH($B3125,Summary!$A$2:$A$201,0))</f>
        <v>2</v>
      </c>
      <c r="U3125" s="2" t="n">
        <f aca="false">INDEX(Summary!$Q$2:$Q$201,MATCH($B3125,Summary!$A$2:$A$201,0))</f>
        <v>12.85</v>
      </c>
      <c r="V3125" s="2" t="n">
        <f aca="false">INDEX(Summary!$R$2:$R$201,MATCH($B3125,Summary!$A$2:$A$201,0))</f>
        <v>19.37</v>
      </c>
      <c r="W3125" s="0" t="str">
        <f aca="false">INDEX(Summary!$S$2:$S$201,MATCH($B3125,Summary!$A$2:$A$201,0))</f>
        <v>Bronze</v>
      </c>
      <c r="X3125" s="2" t="n">
        <f aca="false">INDEX(Summary!$T$2:$T$201,MATCH($B3125,Summary!$A$2:$A$201,0))</f>
        <v>47.24</v>
      </c>
      <c r="Y3125" s="0" t="str">
        <f aca="false">INDEX('Reward Model'!$E$18:$E$37,MATCH($E3125,'Reward Model'!$A$18:$A$37,0))</f>
        <v>Low</v>
      </c>
      <c r="Z3125" s="4" t="n">
        <f aca="false">ROUND(MIN(1,MAX('Reward Model'!$B$2,INDEX('Reward Model'!$C$12:$C$14,MATCH($K3125,'Reward Model'!$A$12:$A$14,0))/$J3125)),3)</f>
        <v>0.811</v>
      </c>
      <c r="AA3125" s="2" t="n">
        <f aca="false">IF($I3125="Correct",ROUND(INDEX('Reward Model'!$B$12:$B$14,MATCH($K3125,'Reward Model'!$A$12:$A$14,0))*Z3125,2),0)</f>
        <v>0.81</v>
      </c>
      <c r="AB3125" s="2" t="n">
        <f aca="false">IF($I3125="Correct",ROUND(INDEX('Reward Model'!$B$12:$B$14,MATCH($Y3125,'Reward Model'!$A$12:$A$14,0))*Z3125,2),0)</f>
        <v>0.81</v>
      </c>
    </row>
    <row r="3126" customFormat="false" ht="15" hidden="false" customHeight="false" outlineLevel="0" collapsed="false">
      <c r="A3126" s="0" t="s">
        <v>444</v>
      </c>
      <c r="B3126" s="0" t="s">
        <v>445</v>
      </c>
      <c r="C3126" s="0" t="s">
        <v>322</v>
      </c>
      <c r="D3126" s="0" t="s">
        <v>189</v>
      </c>
      <c r="E3126" s="0" t="n">
        <v>5</v>
      </c>
      <c r="F3126" s="0" t="s">
        <v>46</v>
      </c>
      <c r="G3126" s="0" t="s">
        <v>47</v>
      </c>
      <c r="H3126" s="0" t="s">
        <v>47</v>
      </c>
      <c r="I3126" s="0" t="s">
        <v>34</v>
      </c>
      <c r="J3126" s="0" t="n">
        <v>1.3</v>
      </c>
      <c r="K3126" s="0" t="s">
        <v>35</v>
      </c>
      <c r="L3126" s="0" t="n">
        <f aca="false">INDEX(Summary!$F$2:$F$201,MATCH($B3126,Summary!$A$2:$A$201,0))</f>
        <v>20</v>
      </c>
      <c r="M3126" s="0" t="n">
        <f aca="false">INDEX(Summary!$I$2:$I$201,MATCH($B3126,Summary!$A$2:$A$201,0))</f>
        <v>1</v>
      </c>
      <c r="N3126" s="0" t="n">
        <f aca="false">INDEX(Summary!$J$2:$J$201,MATCH($B3126,Summary!$A$2:$A$201,0))</f>
        <v>4</v>
      </c>
      <c r="O3126" s="2" t="n">
        <f aca="false">INDEX(Summary!$K$2:$K$201,MATCH($B3126,Summary!$A$2:$A$201,0))</f>
        <v>9.79</v>
      </c>
      <c r="P3126" s="3" t="n">
        <f aca="false">INDEX(Summary!$L$2:$L$201,MATCH($B3126,Summary!$A$2:$A$201,0))</f>
        <v>3</v>
      </c>
      <c r="Q3126" s="3" t="n">
        <f aca="false">INDEX(Summary!$M$2:$M$201,MATCH($B3126,Summary!$A$2:$A$201,0))</f>
        <v>3</v>
      </c>
      <c r="R3126" s="2" t="n">
        <f aca="false">INDEX(Summary!$N$2:$N$201,MATCH($B3126,Summary!$A$2:$A$201,0))</f>
        <v>9.94</v>
      </c>
      <c r="S3126" s="3" t="n">
        <f aca="false">INDEX(Summary!$O$2:$O$201,MATCH($B3126,Summary!$A$2:$A$201,0))</f>
        <v>7</v>
      </c>
      <c r="T3126" s="3" t="n">
        <f aca="false">INDEX(Summary!$P$2:$P$201,MATCH($B3126,Summary!$A$2:$A$201,0))</f>
        <v>2</v>
      </c>
      <c r="U3126" s="2" t="n">
        <f aca="false">INDEX(Summary!$Q$2:$Q$201,MATCH($B3126,Summary!$A$2:$A$201,0))</f>
        <v>12.85</v>
      </c>
      <c r="V3126" s="2" t="n">
        <f aca="false">INDEX(Summary!$R$2:$R$201,MATCH($B3126,Summary!$A$2:$A$201,0))</f>
        <v>19.37</v>
      </c>
      <c r="W3126" s="0" t="str">
        <f aca="false">INDEX(Summary!$S$2:$S$201,MATCH($B3126,Summary!$A$2:$A$201,0))</f>
        <v>Bronze</v>
      </c>
      <c r="X3126" s="2" t="n">
        <f aca="false">INDEX(Summary!$T$2:$T$201,MATCH($B3126,Summary!$A$2:$A$201,0))</f>
        <v>47.24</v>
      </c>
      <c r="Y3126" s="0" t="str">
        <f aca="false">INDEX('Reward Model'!$E$18:$E$37,MATCH($E3126,'Reward Model'!$A$18:$A$37,0))</f>
        <v>Low</v>
      </c>
      <c r="Z3126" s="4" t="n">
        <f aca="false">ROUND(MIN(1,MAX('Reward Model'!$B$2,INDEX('Reward Model'!$C$12:$C$14,MATCH($K3126,'Reward Model'!$A$12:$A$14,0))/$J3126)),3)</f>
        <v>1</v>
      </c>
      <c r="AA3126" s="2" t="n">
        <f aca="false">IF($I3126="Correct",ROUND(INDEX('Reward Model'!$B$12:$B$14,MATCH($K3126,'Reward Model'!$A$12:$A$14,0))*Z3126,2),0)</f>
        <v>1</v>
      </c>
      <c r="AB3126" s="2" t="n">
        <f aca="false">IF($I3126="Correct",ROUND(INDEX('Reward Model'!$B$12:$B$14,MATCH($Y3126,'Reward Model'!$A$12:$A$14,0))*Z3126,2),0)</f>
        <v>1</v>
      </c>
    </row>
    <row r="3127" customFormat="false" ht="15" hidden="false" customHeight="false" outlineLevel="0" collapsed="false">
      <c r="A3127" s="0" t="s">
        <v>444</v>
      </c>
      <c r="B3127" s="0" t="s">
        <v>445</v>
      </c>
      <c r="C3127" s="0" t="s">
        <v>322</v>
      </c>
      <c r="D3127" s="0" t="s">
        <v>189</v>
      </c>
      <c r="E3127" s="0" t="n">
        <v>6</v>
      </c>
      <c r="F3127" s="0" t="s">
        <v>48</v>
      </c>
      <c r="G3127" s="0" t="s">
        <v>49</v>
      </c>
      <c r="H3127" s="0" t="s">
        <v>49</v>
      </c>
      <c r="I3127" s="0" t="s">
        <v>34</v>
      </c>
      <c r="J3127" s="0" t="n">
        <v>1.17</v>
      </c>
      <c r="K3127" s="0" t="s">
        <v>35</v>
      </c>
      <c r="L3127" s="0" t="n">
        <f aca="false">INDEX(Summary!$F$2:$F$201,MATCH($B3127,Summary!$A$2:$A$201,0))</f>
        <v>20</v>
      </c>
      <c r="M3127" s="0" t="n">
        <f aca="false">INDEX(Summary!$I$2:$I$201,MATCH($B3127,Summary!$A$2:$A$201,0))</f>
        <v>1</v>
      </c>
      <c r="N3127" s="0" t="n">
        <f aca="false">INDEX(Summary!$J$2:$J$201,MATCH($B3127,Summary!$A$2:$A$201,0))</f>
        <v>4</v>
      </c>
      <c r="O3127" s="2" t="n">
        <f aca="false">INDEX(Summary!$K$2:$K$201,MATCH($B3127,Summary!$A$2:$A$201,0))</f>
        <v>9.79</v>
      </c>
      <c r="P3127" s="3" t="n">
        <f aca="false">INDEX(Summary!$L$2:$L$201,MATCH($B3127,Summary!$A$2:$A$201,0))</f>
        <v>3</v>
      </c>
      <c r="Q3127" s="3" t="n">
        <f aca="false">INDEX(Summary!$M$2:$M$201,MATCH($B3127,Summary!$A$2:$A$201,0))</f>
        <v>3</v>
      </c>
      <c r="R3127" s="2" t="n">
        <f aca="false">INDEX(Summary!$N$2:$N$201,MATCH($B3127,Summary!$A$2:$A$201,0))</f>
        <v>9.94</v>
      </c>
      <c r="S3127" s="3" t="n">
        <f aca="false">INDEX(Summary!$O$2:$O$201,MATCH($B3127,Summary!$A$2:$A$201,0))</f>
        <v>7</v>
      </c>
      <c r="T3127" s="3" t="n">
        <f aca="false">INDEX(Summary!$P$2:$P$201,MATCH($B3127,Summary!$A$2:$A$201,0))</f>
        <v>2</v>
      </c>
      <c r="U3127" s="2" t="n">
        <f aca="false">INDEX(Summary!$Q$2:$Q$201,MATCH($B3127,Summary!$A$2:$A$201,0))</f>
        <v>12.85</v>
      </c>
      <c r="V3127" s="2" t="n">
        <f aca="false">INDEX(Summary!$R$2:$R$201,MATCH($B3127,Summary!$A$2:$A$201,0))</f>
        <v>19.37</v>
      </c>
      <c r="W3127" s="0" t="str">
        <f aca="false">INDEX(Summary!$S$2:$S$201,MATCH($B3127,Summary!$A$2:$A$201,0))</f>
        <v>Bronze</v>
      </c>
      <c r="X3127" s="2" t="n">
        <f aca="false">INDEX(Summary!$T$2:$T$201,MATCH($B3127,Summary!$A$2:$A$201,0))</f>
        <v>47.24</v>
      </c>
      <c r="Y3127" s="0" t="str">
        <f aca="false">INDEX('Reward Model'!$E$18:$E$37,MATCH($E3127,'Reward Model'!$A$18:$A$37,0))</f>
        <v>Medium</v>
      </c>
      <c r="Z3127" s="4" t="n">
        <f aca="false">ROUND(MIN(1,MAX('Reward Model'!$B$2,INDEX('Reward Model'!$C$12:$C$14,MATCH($K3127,'Reward Model'!$A$12:$A$14,0))/$J3127)),3)</f>
        <v>1</v>
      </c>
      <c r="AA3127" s="2" t="n">
        <f aca="false">IF($I3127="Correct",ROUND(INDEX('Reward Model'!$B$12:$B$14,MATCH($K3127,'Reward Model'!$A$12:$A$14,0))*Z3127,2),0)</f>
        <v>1</v>
      </c>
      <c r="AB3127" s="2" t="n">
        <f aca="false">IF($I3127="Correct",ROUND(INDEX('Reward Model'!$B$12:$B$14,MATCH($Y3127,'Reward Model'!$A$12:$A$14,0))*Z3127,2),0)</f>
        <v>2</v>
      </c>
    </row>
    <row r="3128" customFormat="false" ht="15" hidden="false" customHeight="false" outlineLevel="0" collapsed="false">
      <c r="A3128" s="0" t="s">
        <v>444</v>
      </c>
      <c r="B3128" s="0" t="s">
        <v>445</v>
      </c>
      <c r="C3128" s="0" t="s">
        <v>322</v>
      </c>
      <c r="D3128" s="0" t="s">
        <v>189</v>
      </c>
      <c r="E3128" s="0" t="n">
        <v>7</v>
      </c>
      <c r="F3128" s="0" t="s">
        <v>50</v>
      </c>
      <c r="G3128" s="0" t="s">
        <v>92</v>
      </c>
      <c r="H3128" s="0" t="s">
        <v>51</v>
      </c>
      <c r="I3128" s="0" t="s">
        <v>39</v>
      </c>
      <c r="J3128" s="0" t="n">
        <v>1.55</v>
      </c>
      <c r="K3128" s="0" t="s">
        <v>35</v>
      </c>
      <c r="L3128" s="0" t="n">
        <f aca="false">INDEX(Summary!$F$2:$F$201,MATCH($B3128,Summary!$A$2:$A$201,0))</f>
        <v>20</v>
      </c>
      <c r="M3128" s="0" t="n">
        <f aca="false">INDEX(Summary!$I$2:$I$201,MATCH($B3128,Summary!$A$2:$A$201,0))</f>
        <v>1</v>
      </c>
      <c r="N3128" s="0" t="n">
        <f aca="false">INDEX(Summary!$J$2:$J$201,MATCH($B3128,Summary!$A$2:$A$201,0))</f>
        <v>4</v>
      </c>
      <c r="O3128" s="2" t="n">
        <f aca="false">INDEX(Summary!$K$2:$K$201,MATCH($B3128,Summary!$A$2:$A$201,0))</f>
        <v>9.79</v>
      </c>
      <c r="P3128" s="3" t="n">
        <f aca="false">INDEX(Summary!$L$2:$L$201,MATCH($B3128,Summary!$A$2:$A$201,0))</f>
        <v>3</v>
      </c>
      <c r="Q3128" s="3" t="n">
        <f aca="false">INDEX(Summary!$M$2:$M$201,MATCH($B3128,Summary!$A$2:$A$201,0))</f>
        <v>3</v>
      </c>
      <c r="R3128" s="2" t="n">
        <f aca="false">INDEX(Summary!$N$2:$N$201,MATCH($B3128,Summary!$A$2:$A$201,0))</f>
        <v>9.94</v>
      </c>
      <c r="S3128" s="3" t="n">
        <f aca="false">INDEX(Summary!$O$2:$O$201,MATCH($B3128,Summary!$A$2:$A$201,0))</f>
        <v>7</v>
      </c>
      <c r="T3128" s="3" t="n">
        <f aca="false">INDEX(Summary!$P$2:$P$201,MATCH($B3128,Summary!$A$2:$A$201,0))</f>
        <v>2</v>
      </c>
      <c r="U3128" s="2" t="n">
        <f aca="false">INDEX(Summary!$Q$2:$Q$201,MATCH($B3128,Summary!$A$2:$A$201,0))</f>
        <v>12.85</v>
      </c>
      <c r="V3128" s="2" t="n">
        <f aca="false">INDEX(Summary!$R$2:$R$201,MATCH($B3128,Summary!$A$2:$A$201,0))</f>
        <v>19.37</v>
      </c>
      <c r="W3128" s="0" t="str">
        <f aca="false">INDEX(Summary!$S$2:$S$201,MATCH($B3128,Summary!$A$2:$A$201,0))</f>
        <v>Bronze</v>
      </c>
      <c r="X3128" s="2" t="n">
        <f aca="false">INDEX(Summary!$T$2:$T$201,MATCH($B3128,Summary!$A$2:$A$201,0))</f>
        <v>47.24</v>
      </c>
      <c r="Y3128" s="0" t="str">
        <f aca="false">INDEX('Reward Model'!$E$18:$E$37,MATCH($E3128,'Reward Model'!$A$18:$A$37,0))</f>
        <v>Low</v>
      </c>
      <c r="Z3128" s="4" t="n">
        <f aca="false">ROUND(MIN(1,MAX('Reward Model'!$B$2,INDEX('Reward Model'!$C$12:$C$14,MATCH($K3128,'Reward Model'!$A$12:$A$14,0))/$J3128)),3)</f>
        <v>0.968</v>
      </c>
      <c r="AA3128" s="2" t="n">
        <f aca="false">IF($I3128="Correct",ROUND(INDEX('Reward Model'!$B$12:$B$14,MATCH($K3128,'Reward Model'!$A$12:$A$14,0))*Z3128,2),0)</f>
        <v>0</v>
      </c>
      <c r="AB3128" s="2" t="n">
        <f aca="false">IF($I3128="Correct",ROUND(INDEX('Reward Model'!$B$12:$B$14,MATCH($Y3128,'Reward Model'!$A$12:$A$14,0))*Z3128,2),0)</f>
        <v>0</v>
      </c>
    </row>
    <row r="3129" customFormat="false" ht="15" hidden="false" customHeight="false" outlineLevel="0" collapsed="false">
      <c r="A3129" s="0" t="s">
        <v>444</v>
      </c>
      <c r="B3129" s="0" t="s">
        <v>445</v>
      </c>
      <c r="C3129" s="0" t="s">
        <v>322</v>
      </c>
      <c r="D3129" s="0" t="s">
        <v>189</v>
      </c>
      <c r="E3129" s="0" t="n">
        <v>8</v>
      </c>
      <c r="F3129" s="0" t="s">
        <v>52</v>
      </c>
      <c r="G3129" s="0" t="s">
        <v>54</v>
      </c>
      <c r="H3129" s="0" t="s">
        <v>54</v>
      </c>
      <c r="I3129" s="0" t="s">
        <v>34</v>
      </c>
      <c r="J3129" s="0" t="n">
        <v>1.44</v>
      </c>
      <c r="K3129" s="0" t="s">
        <v>35</v>
      </c>
      <c r="L3129" s="0" t="n">
        <f aca="false">INDEX(Summary!$F$2:$F$201,MATCH($B3129,Summary!$A$2:$A$201,0))</f>
        <v>20</v>
      </c>
      <c r="M3129" s="0" t="n">
        <f aca="false">INDEX(Summary!$I$2:$I$201,MATCH($B3129,Summary!$A$2:$A$201,0))</f>
        <v>1</v>
      </c>
      <c r="N3129" s="0" t="n">
        <f aca="false">INDEX(Summary!$J$2:$J$201,MATCH($B3129,Summary!$A$2:$A$201,0))</f>
        <v>4</v>
      </c>
      <c r="O3129" s="2" t="n">
        <f aca="false">INDEX(Summary!$K$2:$K$201,MATCH($B3129,Summary!$A$2:$A$201,0))</f>
        <v>9.79</v>
      </c>
      <c r="P3129" s="3" t="n">
        <f aca="false">INDEX(Summary!$L$2:$L$201,MATCH($B3129,Summary!$A$2:$A$201,0))</f>
        <v>3</v>
      </c>
      <c r="Q3129" s="3" t="n">
        <f aca="false">INDEX(Summary!$M$2:$M$201,MATCH($B3129,Summary!$A$2:$A$201,0))</f>
        <v>3</v>
      </c>
      <c r="R3129" s="2" t="n">
        <f aca="false">INDEX(Summary!$N$2:$N$201,MATCH($B3129,Summary!$A$2:$A$201,0))</f>
        <v>9.94</v>
      </c>
      <c r="S3129" s="3" t="n">
        <f aca="false">INDEX(Summary!$O$2:$O$201,MATCH($B3129,Summary!$A$2:$A$201,0))</f>
        <v>7</v>
      </c>
      <c r="T3129" s="3" t="n">
        <f aca="false">INDEX(Summary!$P$2:$P$201,MATCH($B3129,Summary!$A$2:$A$201,0))</f>
        <v>2</v>
      </c>
      <c r="U3129" s="2" t="n">
        <f aca="false">INDEX(Summary!$Q$2:$Q$201,MATCH($B3129,Summary!$A$2:$A$201,0))</f>
        <v>12.85</v>
      </c>
      <c r="V3129" s="2" t="n">
        <f aca="false">INDEX(Summary!$R$2:$R$201,MATCH($B3129,Summary!$A$2:$A$201,0))</f>
        <v>19.37</v>
      </c>
      <c r="W3129" s="0" t="str">
        <f aca="false">INDEX(Summary!$S$2:$S$201,MATCH($B3129,Summary!$A$2:$A$201,0))</f>
        <v>Bronze</v>
      </c>
      <c r="X3129" s="2" t="n">
        <f aca="false">INDEX(Summary!$T$2:$T$201,MATCH($B3129,Summary!$A$2:$A$201,0))</f>
        <v>47.24</v>
      </c>
      <c r="Y3129" s="0" t="str">
        <f aca="false">INDEX('Reward Model'!$E$18:$E$37,MATCH($E3129,'Reward Model'!$A$18:$A$37,0))</f>
        <v>Medium</v>
      </c>
      <c r="Z3129" s="4" t="n">
        <f aca="false">ROUND(MIN(1,MAX('Reward Model'!$B$2,INDEX('Reward Model'!$C$12:$C$14,MATCH($K3129,'Reward Model'!$A$12:$A$14,0))/$J3129)),3)</f>
        <v>1</v>
      </c>
      <c r="AA3129" s="2" t="n">
        <f aca="false">IF($I3129="Correct",ROUND(INDEX('Reward Model'!$B$12:$B$14,MATCH($K3129,'Reward Model'!$A$12:$A$14,0))*Z3129,2),0)</f>
        <v>1</v>
      </c>
      <c r="AB3129" s="2" t="n">
        <f aca="false">IF($I3129="Correct",ROUND(INDEX('Reward Model'!$B$12:$B$14,MATCH($Y3129,'Reward Model'!$A$12:$A$14,0))*Z3129,2),0)</f>
        <v>2</v>
      </c>
    </row>
    <row r="3130" customFormat="false" ht="15" hidden="false" customHeight="false" outlineLevel="0" collapsed="false">
      <c r="A3130" s="0" t="s">
        <v>444</v>
      </c>
      <c r="B3130" s="0" t="s">
        <v>445</v>
      </c>
      <c r="C3130" s="0" t="s">
        <v>322</v>
      </c>
      <c r="D3130" s="0" t="s">
        <v>189</v>
      </c>
      <c r="E3130" s="0" t="n">
        <v>9</v>
      </c>
      <c r="F3130" s="0" t="s">
        <v>55</v>
      </c>
      <c r="G3130" s="0" t="s">
        <v>56</v>
      </c>
      <c r="H3130" s="0" t="s">
        <v>57</v>
      </c>
      <c r="I3130" s="0" t="s">
        <v>39</v>
      </c>
      <c r="J3130" s="0" t="n">
        <v>1.01</v>
      </c>
      <c r="K3130" s="0" t="s">
        <v>35</v>
      </c>
      <c r="L3130" s="0" t="n">
        <f aca="false">INDEX(Summary!$F$2:$F$201,MATCH($B3130,Summary!$A$2:$A$201,0))</f>
        <v>20</v>
      </c>
      <c r="M3130" s="0" t="n">
        <f aca="false">INDEX(Summary!$I$2:$I$201,MATCH($B3130,Summary!$A$2:$A$201,0))</f>
        <v>1</v>
      </c>
      <c r="N3130" s="0" t="n">
        <f aca="false">INDEX(Summary!$J$2:$J$201,MATCH($B3130,Summary!$A$2:$A$201,0))</f>
        <v>4</v>
      </c>
      <c r="O3130" s="2" t="n">
        <f aca="false">INDEX(Summary!$K$2:$K$201,MATCH($B3130,Summary!$A$2:$A$201,0))</f>
        <v>9.79</v>
      </c>
      <c r="P3130" s="3" t="n">
        <f aca="false">INDEX(Summary!$L$2:$L$201,MATCH($B3130,Summary!$A$2:$A$201,0))</f>
        <v>3</v>
      </c>
      <c r="Q3130" s="3" t="n">
        <f aca="false">INDEX(Summary!$M$2:$M$201,MATCH($B3130,Summary!$A$2:$A$201,0))</f>
        <v>3</v>
      </c>
      <c r="R3130" s="2" t="n">
        <f aca="false">INDEX(Summary!$N$2:$N$201,MATCH($B3130,Summary!$A$2:$A$201,0))</f>
        <v>9.94</v>
      </c>
      <c r="S3130" s="3" t="n">
        <f aca="false">INDEX(Summary!$O$2:$O$201,MATCH($B3130,Summary!$A$2:$A$201,0))</f>
        <v>7</v>
      </c>
      <c r="T3130" s="3" t="n">
        <f aca="false">INDEX(Summary!$P$2:$P$201,MATCH($B3130,Summary!$A$2:$A$201,0))</f>
        <v>2</v>
      </c>
      <c r="U3130" s="2" t="n">
        <f aca="false">INDEX(Summary!$Q$2:$Q$201,MATCH($B3130,Summary!$A$2:$A$201,0))</f>
        <v>12.85</v>
      </c>
      <c r="V3130" s="2" t="n">
        <f aca="false">INDEX(Summary!$R$2:$R$201,MATCH($B3130,Summary!$A$2:$A$201,0))</f>
        <v>19.37</v>
      </c>
      <c r="W3130" s="0" t="str">
        <f aca="false">INDEX(Summary!$S$2:$S$201,MATCH($B3130,Summary!$A$2:$A$201,0))</f>
        <v>Bronze</v>
      </c>
      <c r="X3130" s="2" t="n">
        <f aca="false">INDEX(Summary!$T$2:$T$201,MATCH($B3130,Summary!$A$2:$A$201,0))</f>
        <v>47.24</v>
      </c>
      <c r="Y3130" s="0" t="str">
        <f aca="false">INDEX('Reward Model'!$E$18:$E$37,MATCH($E3130,'Reward Model'!$A$18:$A$37,0))</f>
        <v>Medium</v>
      </c>
      <c r="Z3130" s="4" t="n">
        <f aca="false">ROUND(MIN(1,MAX('Reward Model'!$B$2,INDEX('Reward Model'!$C$12:$C$14,MATCH($K3130,'Reward Model'!$A$12:$A$14,0))/$J3130)),3)</f>
        <v>1</v>
      </c>
      <c r="AA3130" s="2" t="n">
        <f aca="false">IF($I3130="Correct",ROUND(INDEX('Reward Model'!$B$12:$B$14,MATCH($K3130,'Reward Model'!$A$12:$A$14,0))*Z3130,2),0)</f>
        <v>0</v>
      </c>
      <c r="AB3130" s="2" t="n">
        <f aca="false">IF($I3130="Correct",ROUND(INDEX('Reward Model'!$B$12:$B$14,MATCH($Y3130,'Reward Model'!$A$12:$A$14,0))*Z3130,2),0)</f>
        <v>0</v>
      </c>
    </row>
    <row r="3131" customFormat="false" ht="15" hidden="false" customHeight="false" outlineLevel="0" collapsed="false">
      <c r="A3131" s="0" t="s">
        <v>444</v>
      </c>
      <c r="B3131" s="0" t="s">
        <v>445</v>
      </c>
      <c r="C3131" s="0" t="s">
        <v>322</v>
      </c>
      <c r="D3131" s="0" t="s">
        <v>189</v>
      </c>
      <c r="E3131" s="0" t="n">
        <v>10</v>
      </c>
      <c r="F3131" s="0" t="s">
        <v>58</v>
      </c>
      <c r="G3131" s="0" t="s">
        <v>59</v>
      </c>
      <c r="H3131" s="0" t="s">
        <v>59</v>
      </c>
      <c r="I3131" s="0" t="s">
        <v>34</v>
      </c>
      <c r="J3131" s="0" t="n">
        <v>1.44</v>
      </c>
      <c r="K3131" s="0" t="s">
        <v>60</v>
      </c>
      <c r="L3131" s="0" t="n">
        <f aca="false">INDEX(Summary!$F$2:$F$201,MATCH($B3131,Summary!$A$2:$A$201,0))</f>
        <v>20</v>
      </c>
      <c r="M3131" s="0" t="n">
        <f aca="false">INDEX(Summary!$I$2:$I$201,MATCH($B3131,Summary!$A$2:$A$201,0))</f>
        <v>1</v>
      </c>
      <c r="N3131" s="0" t="n">
        <f aca="false">INDEX(Summary!$J$2:$J$201,MATCH($B3131,Summary!$A$2:$A$201,0))</f>
        <v>4</v>
      </c>
      <c r="O3131" s="2" t="n">
        <f aca="false">INDEX(Summary!$K$2:$K$201,MATCH($B3131,Summary!$A$2:$A$201,0))</f>
        <v>9.79</v>
      </c>
      <c r="P3131" s="3" t="n">
        <f aca="false">INDEX(Summary!$L$2:$L$201,MATCH($B3131,Summary!$A$2:$A$201,0))</f>
        <v>3</v>
      </c>
      <c r="Q3131" s="3" t="n">
        <f aca="false">INDEX(Summary!$M$2:$M$201,MATCH($B3131,Summary!$A$2:$A$201,0))</f>
        <v>3</v>
      </c>
      <c r="R3131" s="2" t="n">
        <f aca="false">INDEX(Summary!$N$2:$N$201,MATCH($B3131,Summary!$A$2:$A$201,0))</f>
        <v>9.94</v>
      </c>
      <c r="S3131" s="3" t="n">
        <f aca="false">INDEX(Summary!$O$2:$O$201,MATCH($B3131,Summary!$A$2:$A$201,0))</f>
        <v>7</v>
      </c>
      <c r="T3131" s="3" t="n">
        <f aca="false">INDEX(Summary!$P$2:$P$201,MATCH($B3131,Summary!$A$2:$A$201,0))</f>
        <v>2</v>
      </c>
      <c r="U3131" s="2" t="n">
        <f aca="false">INDEX(Summary!$Q$2:$Q$201,MATCH($B3131,Summary!$A$2:$A$201,0))</f>
        <v>12.85</v>
      </c>
      <c r="V3131" s="2" t="n">
        <f aca="false">INDEX(Summary!$R$2:$R$201,MATCH($B3131,Summary!$A$2:$A$201,0))</f>
        <v>19.37</v>
      </c>
      <c r="W3131" s="0" t="str">
        <f aca="false">INDEX(Summary!$S$2:$S$201,MATCH($B3131,Summary!$A$2:$A$201,0))</f>
        <v>Bronze</v>
      </c>
      <c r="X3131" s="2" t="n">
        <f aca="false">INDEX(Summary!$T$2:$T$201,MATCH($B3131,Summary!$A$2:$A$201,0))</f>
        <v>47.24</v>
      </c>
      <c r="Y3131" s="0" t="str">
        <f aca="false">INDEX('Reward Model'!$E$18:$E$37,MATCH($E3131,'Reward Model'!$A$18:$A$37,0))</f>
        <v>Medium</v>
      </c>
      <c r="Z3131" s="4" t="n">
        <f aca="false">ROUND(MIN(1,MAX('Reward Model'!$B$2,INDEX('Reward Model'!$C$12:$C$14,MATCH($K3131,'Reward Model'!$A$12:$A$14,0))/$J3131)),3)</f>
        <v>1</v>
      </c>
      <c r="AA3131" s="2" t="n">
        <f aca="false">IF($I3131="Correct",ROUND(INDEX('Reward Model'!$B$12:$B$14,MATCH($K3131,'Reward Model'!$A$12:$A$14,0))*Z3131,2),0)</f>
        <v>2</v>
      </c>
      <c r="AB3131" s="2" t="n">
        <f aca="false">IF($I3131="Correct",ROUND(INDEX('Reward Model'!$B$12:$B$14,MATCH($Y3131,'Reward Model'!$A$12:$A$14,0))*Z3131,2),0)</f>
        <v>2</v>
      </c>
    </row>
    <row r="3132" customFormat="false" ht="15" hidden="false" customHeight="false" outlineLevel="0" collapsed="false">
      <c r="A3132" s="0" t="s">
        <v>444</v>
      </c>
      <c r="B3132" s="0" t="s">
        <v>445</v>
      </c>
      <c r="C3132" s="0" t="s">
        <v>322</v>
      </c>
      <c r="D3132" s="0" t="s">
        <v>189</v>
      </c>
      <c r="E3132" s="0" t="n">
        <v>11</v>
      </c>
      <c r="F3132" s="0" t="s">
        <v>61</v>
      </c>
      <c r="G3132" s="0" t="s">
        <v>63</v>
      </c>
      <c r="H3132" s="0" t="s">
        <v>63</v>
      </c>
      <c r="I3132" s="0" t="s">
        <v>34</v>
      </c>
      <c r="J3132" s="0" t="n">
        <v>2.02</v>
      </c>
      <c r="K3132" s="0" t="s">
        <v>60</v>
      </c>
      <c r="L3132" s="0" t="n">
        <f aca="false">INDEX(Summary!$F$2:$F$201,MATCH($B3132,Summary!$A$2:$A$201,0))</f>
        <v>20</v>
      </c>
      <c r="M3132" s="0" t="n">
        <f aca="false">INDEX(Summary!$I$2:$I$201,MATCH($B3132,Summary!$A$2:$A$201,0))</f>
        <v>1</v>
      </c>
      <c r="N3132" s="0" t="n">
        <f aca="false">INDEX(Summary!$J$2:$J$201,MATCH($B3132,Summary!$A$2:$A$201,0))</f>
        <v>4</v>
      </c>
      <c r="O3132" s="2" t="n">
        <f aca="false">INDEX(Summary!$K$2:$K$201,MATCH($B3132,Summary!$A$2:$A$201,0))</f>
        <v>9.79</v>
      </c>
      <c r="P3132" s="3" t="n">
        <f aca="false">INDEX(Summary!$L$2:$L$201,MATCH($B3132,Summary!$A$2:$A$201,0))</f>
        <v>3</v>
      </c>
      <c r="Q3132" s="3" t="n">
        <f aca="false">INDEX(Summary!$M$2:$M$201,MATCH($B3132,Summary!$A$2:$A$201,0))</f>
        <v>3</v>
      </c>
      <c r="R3132" s="2" t="n">
        <f aca="false">INDEX(Summary!$N$2:$N$201,MATCH($B3132,Summary!$A$2:$A$201,0))</f>
        <v>9.94</v>
      </c>
      <c r="S3132" s="3" t="n">
        <f aca="false">INDEX(Summary!$O$2:$O$201,MATCH($B3132,Summary!$A$2:$A$201,0))</f>
        <v>7</v>
      </c>
      <c r="T3132" s="3" t="n">
        <f aca="false">INDEX(Summary!$P$2:$P$201,MATCH($B3132,Summary!$A$2:$A$201,0))</f>
        <v>2</v>
      </c>
      <c r="U3132" s="2" t="n">
        <f aca="false">INDEX(Summary!$Q$2:$Q$201,MATCH($B3132,Summary!$A$2:$A$201,0))</f>
        <v>12.85</v>
      </c>
      <c r="V3132" s="2" t="n">
        <f aca="false">INDEX(Summary!$R$2:$R$201,MATCH($B3132,Summary!$A$2:$A$201,0))</f>
        <v>19.37</v>
      </c>
      <c r="W3132" s="0" t="str">
        <f aca="false">INDEX(Summary!$S$2:$S$201,MATCH($B3132,Summary!$A$2:$A$201,0))</f>
        <v>Bronze</v>
      </c>
      <c r="X3132" s="2" t="n">
        <f aca="false">INDEX(Summary!$T$2:$T$201,MATCH($B3132,Summary!$A$2:$A$201,0))</f>
        <v>47.24</v>
      </c>
      <c r="Y3132" s="0" t="str">
        <f aca="false">INDEX('Reward Model'!$E$18:$E$37,MATCH($E3132,'Reward Model'!$A$18:$A$37,0))</f>
        <v>Medium</v>
      </c>
      <c r="Z3132" s="4" t="n">
        <f aca="false">ROUND(MIN(1,MAX('Reward Model'!$B$2,INDEX('Reward Model'!$C$12:$C$14,MATCH($K3132,'Reward Model'!$A$12:$A$14,0))/$J3132)),3)</f>
        <v>0.891</v>
      </c>
      <c r="AA3132" s="2" t="n">
        <f aca="false">IF($I3132="Correct",ROUND(INDEX('Reward Model'!$B$12:$B$14,MATCH($K3132,'Reward Model'!$A$12:$A$14,0))*Z3132,2),0)</f>
        <v>1.78</v>
      </c>
      <c r="AB3132" s="2" t="n">
        <f aca="false">IF($I3132="Correct",ROUND(INDEX('Reward Model'!$B$12:$B$14,MATCH($Y3132,'Reward Model'!$A$12:$A$14,0))*Z3132,2),0)</f>
        <v>1.78</v>
      </c>
    </row>
    <row r="3133" customFormat="false" ht="15" hidden="false" customHeight="false" outlineLevel="0" collapsed="false">
      <c r="A3133" s="0" t="s">
        <v>444</v>
      </c>
      <c r="B3133" s="0" t="s">
        <v>445</v>
      </c>
      <c r="C3133" s="0" t="s">
        <v>322</v>
      </c>
      <c r="D3133" s="0" t="s">
        <v>189</v>
      </c>
      <c r="E3133" s="0" t="n">
        <v>12</v>
      </c>
      <c r="F3133" s="0" t="s">
        <v>64</v>
      </c>
      <c r="G3133" s="0" t="s">
        <v>146</v>
      </c>
      <c r="H3133" s="0" t="s">
        <v>65</v>
      </c>
      <c r="I3133" s="0" t="s">
        <v>39</v>
      </c>
      <c r="J3133" s="0" t="n">
        <v>1.26</v>
      </c>
      <c r="K3133" s="0" t="s">
        <v>60</v>
      </c>
      <c r="L3133" s="0" t="n">
        <f aca="false">INDEX(Summary!$F$2:$F$201,MATCH($B3133,Summary!$A$2:$A$201,0))</f>
        <v>20</v>
      </c>
      <c r="M3133" s="0" t="n">
        <f aca="false">INDEX(Summary!$I$2:$I$201,MATCH($B3133,Summary!$A$2:$A$201,0))</f>
        <v>1</v>
      </c>
      <c r="N3133" s="0" t="n">
        <f aca="false">INDEX(Summary!$J$2:$J$201,MATCH($B3133,Summary!$A$2:$A$201,0))</f>
        <v>4</v>
      </c>
      <c r="O3133" s="2" t="n">
        <f aca="false">INDEX(Summary!$K$2:$K$201,MATCH($B3133,Summary!$A$2:$A$201,0))</f>
        <v>9.79</v>
      </c>
      <c r="P3133" s="3" t="n">
        <f aca="false">INDEX(Summary!$L$2:$L$201,MATCH($B3133,Summary!$A$2:$A$201,0))</f>
        <v>3</v>
      </c>
      <c r="Q3133" s="3" t="n">
        <f aca="false">INDEX(Summary!$M$2:$M$201,MATCH($B3133,Summary!$A$2:$A$201,0))</f>
        <v>3</v>
      </c>
      <c r="R3133" s="2" t="n">
        <f aca="false">INDEX(Summary!$N$2:$N$201,MATCH($B3133,Summary!$A$2:$A$201,0))</f>
        <v>9.94</v>
      </c>
      <c r="S3133" s="3" t="n">
        <f aca="false">INDEX(Summary!$O$2:$O$201,MATCH($B3133,Summary!$A$2:$A$201,0))</f>
        <v>7</v>
      </c>
      <c r="T3133" s="3" t="n">
        <f aca="false">INDEX(Summary!$P$2:$P$201,MATCH($B3133,Summary!$A$2:$A$201,0))</f>
        <v>2</v>
      </c>
      <c r="U3133" s="2" t="n">
        <f aca="false">INDEX(Summary!$Q$2:$Q$201,MATCH($B3133,Summary!$A$2:$A$201,0))</f>
        <v>12.85</v>
      </c>
      <c r="V3133" s="2" t="n">
        <f aca="false">INDEX(Summary!$R$2:$R$201,MATCH($B3133,Summary!$A$2:$A$201,0))</f>
        <v>19.37</v>
      </c>
      <c r="W3133" s="0" t="str">
        <f aca="false">INDEX(Summary!$S$2:$S$201,MATCH($B3133,Summary!$A$2:$A$201,0))</f>
        <v>Bronze</v>
      </c>
      <c r="X3133" s="2" t="n">
        <f aca="false">INDEX(Summary!$T$2:$T$201,MATCH($B3133,Summary!$A$2:$A$201,0))</f>
        <v>47.24</v>
      </c>
      <c r="Y3133" s="0" t="str">
        <f aca="false">INDEX('Reward Model'!$E$18:$E$37,MATCH($E3133,'Reward Model'!$A$18:$A$37,0))</f>
        <v>Medium</v>
      </c>
      <c r="Z3133" s="4" t="n">
        <f aca="false">ROUND(MIN(1,MAX('Reward Model'!$B$2,INDEX('Reward Model'!$C$12:$C$14,MATCH($K3133,'Reward Model'!$A$12:$A$14,0))/$J3133)),3)</f>
        <v>1</v>
      </c>
      <c r="AA3133" s="2" t="n">
        <f aca="false">IF($I3133="Correct",ROUND(INDEX('Reward Model'!$B$12:$B$14,MATCH($K3133,'Reward Model'!$A$12:$A$14,0))*Z3133,2),0)</f>
        <v>0</v>
      </c>
      <c r="AB3133" s="2" t="n">
        <f aca="false">IF($I3133="Correct",ROUND(INDEX('Reward Model'!$B$12:$B$14,MATCH($Y3133,'Reward Model'!$A$12:$A$14,0))*Z3133,2),0)</f>
        <v>0</v>
      </c>
    </row>
    <row r="3134" customFormat="false" ht="15" hidden="false" customHeight="false" outlineLevel="0" collapsed="false">
      <c r="A3134" s="0" t="s">
        <v>444</v>
      </c>
      <c r="B3134" s="0" t="s">
        <v>445</v>
      </c>
      <c r="C3134" s="0" t="s">
        <v>322</v>
      </c>
      <c r="D3134" s="0" t="s">
        <v>189</v>
      </c>
      <c r="E3134" s="0" t="n">
        <v>13</v>
      </c>
      <c r="F3134" s="0" t="s">
        <v>66</v>
      </c>
      <c r="G3134" s="0" t="s">
        <v>124</v>
      </c>
      <c r="H3134" s="0" t="s">
        <v>67</v>
      </c>
      <c r="I3134" s="0" t="s">
        <v>39</v>
      </c>
      <c r="J3134" s="0" t="n">
        <v>1.17</v>
      </c>
      <c r="K3134" s="0" t="s">
        <v>60</v>
      </c>
      <c r="L3134" s="0" t="n">
        <f aca="false">INDEX(Summary!$F$2:$F$201,MATCH($B3134,Summary!$A$2:$A$201,0))</f>
        <v>20</v>
      </c>
      <c r="M3134" s="0" t="n">
        <f aca="false">INDEX(Summary!$I$2:$I$201,MATCH($B3134,Summary!$A$2:$A$201,0))</f>
        <v>1</v>
      </c>
      <c r="N3134" s="0" t="n">
        <f aca="false">INDEX(Summary!$J$2:$J$201,MATCH($B3134,Summary!$A$2:$A$201,0))</f>
        <v>4</v>
      </c>
      <c r="O3134" s="2" t="n">
        <f aca="false">INDEX(Summary!$K$2:$K$201,MATCH($B3134,Summary!$A$2:$A$201,0))</f>
        <v>9.79</v>
      </c>
      <c r="P3134" s="3" t="n">
        <f aca="false">INDEX(Summary!$L$2:$L$201,MATCH($B3134,Summary!$A$2:$A$201,0))</f>
        <v>3</v>
      </c>
      <c r="Q3134" s="3" t="n">
        <f aca="false">INDEX(Summary!$M$2:$M$201,MATCH($B3134,Summary!$A$2:$A$201,0))</f>
        <v>3</v>
      </c>
      <c r="R3134" s="2" t="n">
        <f aca="false">INDEX(Summary!$N$2:$N$201,MATCH($B3134,Summary!$A$2:$A$201,0))</f>
        <v>9.94</v>
      </c>
      <c r="S3134" s="3" t="n">
        <f aca="false">INDEX(Summary!$O$2:$O$201,MATCH($B3134,Summary!$A$2:$A$201,0))</f>
        <v>7</v>
      </c>
      <c r="T3134" s="3" t="n">
        <f aca="false">INDEX(Summary!$P$2:$P$201,MATCH($B3134,Summary!$A$2:$A$201,0))</f>
        <v>2</v>
      </c>
      <c r="U3134" s="2" t="n">
        <f aca="false">INDEX(Summary!$Q$2:$Q$201,MATCH($B3134,Summary!$A$2:$A$201,0))</f>
        <v>12.85</v>
      </c>
      <c r="V3134" s="2" t="n">
        <f aca="false">INDEX(Summary!$R$2:$R$201,MATCH($B3134,Summary!$A$2:$A$201,0))</f>
        <v>19.37</v>
      </c>
      <c r="W3134" s="0" t="str">
        <f aca="false">INDEX(Summary!$S$2:$S$201,MATCH($B3134,Summary!$A$2:$A$201,0))</f>
        <v>Bronze</v>
      </c>
      <c r="X3134" s="2" t="n">
        <f aca="false">INDEX(Summary!$T$2:$T$201,MATCH($B3134,Summary!$A$2:$A$201,0))</f>
        <v>47.24</v>
      </c>
      <c r="Y3134" s="0" t="str">
        <f aca="false">INDEX('Reward Model'!$E$18:$E$37,MATCH($E3134,'Reward Model'!$A$18:$A$37,0))</f>
        <v>Medium</v>
      </c>
      <c r="Z3134" s="4" t="n">
        <f aca="false">ROUND(MIN(1,MAX('Reward Model'!$B$2,INDEX('Reward Model'!$C$12:$C$14,MATCH($K3134,'Reward Model'!$A$12:$A$14,0))/$J3134)),3)</f>
        <v>1</v>
      </c>
      <c r="AA3134" s="2" t="n">
        <f aca="false">IF($I3134="Correct",ROUND(INDEX('Reward Model'!$B$12:$B$14,MATCH($K3134,'Reward Model'!$A$12:$A$14,0))*Z3134,2),0)</f>
        <v>0</v>
      </c>
      <c r="AB3134" s="2" t="n">
        <f aca="false">IF($I3134="Correct",ROUND(INDEX('Reward Model'!$B$12:$B$14,MATCH($Y3134,'Reward Model'!$A$12:$A$14,0))*Z3134,2),0)</f>
        <v>0</v>
      </c>
    </row>
    <row r="3135" customFormat="false" ht="15" hidden="false" customHeight="false" outlineLevel="0" collapsed="false">
      <c r="A3135" s="0" t="s">
        <v>444</v>
      </c>
      <c r="B3135" s="0" t="s">
        <v>445</v>
      </c>
      <c r="C3135" s="0" t="s">
        <v>322</v>
      </c>
      <c r="D3135" s="0" t="s">
        <v>189</v>
      </c>
      <c r="E3135" s="0" t="n">
        <v>14</v>
      </c>
      <c r="F3135" s="0" t="s">
        <v>68</v>
      </c>
      <c r="G3135" s="0" t="s">
        <v>86</v>
      </c>
      <c r="H3135" s="0" t="s">
        <v>51</v>
      </c>
      <c r="I3135" s="0" t="s">
        <v>39</v>
      </c>
      <c r="J3135" s="0" t="n">
        <v>2.27</v>
      </c>
      <c r="K3135" s="0" t="s">
        <v>60</v>
      </c>
      <c r="L3135" s="0" t="n">
        <f aca="false">INDEX(Summary!$F$2:$F$201,MATCH($B3135,Summary!$A$2:$A$201,0))</f>
        <v>20</v>
      </c>
      <c r="M3135" s="0" t="n">
        <f aca="false">INDEX(Summary!$I$2:$I$201,MATCH($B3135,Summary!$A$2:$A$201,0))</f>
        <v>1</v>
      </c>
      <c r="N3135" s="0" t="n">
        <f aca="false">INDEX(Summary!$J$2:$J$201,MATCH($B3135,Summary!$A$2:$A$201,0))</f>
        <v>4</v>
      </c>
      <c r="O3135" s="2" t="n">
        <f aca="false">INDEX(Summary!$K$2:$K$201,MATCH($B3135,Summary!$A$2:$A$201,0))</f>
        <v>9.79</v>
      </c>
      <c r="P3135" s="3" t="n">
        <f aca="false">INDEX(Summary!$L$2:$L$201,MATCH($B3135,Summary!$A$2:$A$201,0))</f>
        <v>3</v>
      </c>
      <c r="Q3135" s="3" t="n">
        <f aca="false">INDEX(Summary!$M$2:$M$201,MATCH($B3135,Summary!$A$2:$A$201,0))</f>
        <v>3</v>
      </c>
      <c r="R3135" s="2" t="n">
        <f aca="false">INDEX(Summary!$N$2:$N$201,MATCH($B3135,Summary!$A$2:$A$201,0))</f>
        <v>9.94</v>
      </c>
      <c r="S3135" s="3" t="n">
        <f aca="false">INDEX(Summary!$O$2:$O$201,MATCH($B3135,Summary!$A$2:$A$201,0))</f>
        <v>7</v>
      </c>
      <c r="T3135" s="3" t="n">
        <f aca="false">INDEX(Summary!$P$2:$P$201,MATCH($B3135,Summary!$A$2:$A$201,0))</f>
        <v>2</v>
      </c>
      <c r="U3135" s="2" t="n">
        <f aca="false">INDEX(Summary!$Q$2:$Q$201,MATCH($B3135,Summary!$A$2:$A$201,0))</f>
        <v>12.85</v>
      </c>
      <c r="V3135" s="2" t="n">
        <f aca="false">INDEX(Summary!$R$2:$R$201,MATCH($B3135,Summary!$A$2:$A$201,0))</f>
        <v>19.37</v>
      </c>
      <c r="W3135" s="0" t="str">
        <f aca="false">INDEX(Summary!$S$2:$S$201,MATCH($B3135,Summary!$A$2:$A$201,0))</f>
        <v>Bronze</v>
      </c>
      <c r="X3135" s="2" t="n">
        <f aca="false">INDEX(Summary!$T$2:$T$201,MATCH($B3135,Summary!$A$2:$A$201,0))</f>
        <v>47.24</v>
      </c>
      <c r="Y3135" s="0" t="str">
        <f aca="false">INDEX('Reward Model'!$E$18:$E$37,MATCH($E3135,'Reward Model'!$A$18:$A$37,0))</f>
        <v>Medium</v>
      </c>
      <c r="Z3135" s="4" t="n">
        <f aca="false">ROUND(MIN(1,MAX('Reward Model'!$B$2,INDEX('Reward Model'!$C$12:$C$14,MATCH($K3135,'Reward Model'!$A$12:$A$14,0))/$J3135)),3)</f>
        <v>0.793</v>
      </c>
      <c r="AA3135" s="2" t="n">
        <f aca="false">IF($I3135="Correct",ROUND(INDEX('Reward Model'!$B$12:$B$14,MATCH($K3135,'Reward Model'!$A$12:$A$14,0))*Z3135,2),0)</f>
        <v>0</v>
      </c>
      <c r="AB3135" s="2" t="n">
        <f aca="false">IF($I3135="Correct",ROUND(INDEX('Reward Model'!$B$12:$B$14,MATCH($Y3135,'Reward Model'!$A$12:$A$14,0))*Z3135,2),0)</f>
        <v>0</v>
      </c>
    </row>
    <row r="3136" customFormat="false" ht="15" hidden="false" customHeight="false" outlineLevel="0" collapsed="false">
      <c r="A3136" s="0" t="s">
        <v>444</v>
      </c>
      <c r="B3136" s="0" t="s">
        <v>445</v>
      </c>
      <c r="C3136" s="0" t="s">
        <v>322</v>
      </c>
      <c r="D3136" s="0" t="s">
        <v>189</v>
      </c>
      <c r="E3136" s="0" t="n">
        <v>15</v>
      </c>
      <c r="F3136" s="0" t="s">
        <v>69</v>
      </c>
      <c r="G3136" s="0" t="s">
        <v>70</v>
      </c>
      <c r="H3136" s="0" t="s">
        <v>70</v>
      </c>
      <c r="I3136" s="0" t="s">
        <v>34</v>
      </c>
      <c r="J3136" s="0" t="n">
        <v>1.78</v>
      </c>
      <c r="K3136" s="0" t="s">
        <v>60</v>
      </c>
      <c r="L3136" s="0" t="n">
        <f aca="false">INDEX(Summary!$F$2:$F$201,MATCH($B3136,Summary!$A$2:$A$201,0))</f>
        <v>20</v>
      </c>
      <c r="M3136" s="0" t="n">
        <f aca="false">INDEX(Summary!$I$2:$I$201,MATCH($B3136,Summary!$A$2:$A$201,0))</f>
        <v>1</v>
      </c>
      <c r="N3136" s="0" t="n">
        <f aca="false">INDEX(Summary!$J$2:$J$201,MATCH($B3136,Summary!$A$2:$A$201,0))</f>
        <v>4</v>
      </c>
      <c r="O3136" s="2" t="n">
        <f aca="false">INDEX(Summary!$K$2:$K$201,MATCH($B3136,Summary!$A$2:$A$201,0))</f>
        <v>9.79</v>
      </c>
      <c r="P3136" s="3" t="n">
        <f aca="false">INDEX(Summary!$L$2:$L$201,MATCH($B3136,Summary!$A$2:$A$201,0))</f>
        <v>3</v>
      </c>
      <c r="Q3136" s="3" t="n">
        <f aca="false">INDEX(Summary!$M$2:$M$201,MATCH($B3136,Summary!$A$2:$A$201,0))</f>
        <v>3</v>
      </c>
      <c r="R3136" s="2" t="n">
        <f aca="false">INDEX(Summary!$N$2:$N$201,MATCH($B3136,Summary!$A$2:$A$201,0))</f>
        <v>9.94</v>
      </c>
      <c r="S3136" s="3" t="n">
        <f aca="false">INDEX(Summary!$O$2:$O$201,MATCH($B3136,Summary!$A$2:$A$201,0))</f>
        <v>7</v>
      </c>
      <c r="T3136" s="3" t="n">
        <f aca="false">INDEX(Summary!$P$2:$P$201,MATCH($B3136,Summary!$A$2:$A$201,0))</f>
        <v>2</v>
      </c>
      <c r="U3136" s="2" t="n">
        <f aca="false">INDEX(Summary!$Q$2:$Q$201,MATCH($B3136,Summary!$A$2:$A$201,0))</f>
        <v>12.85</v>
      </c>
      <c r="V3136" s="2" t="n">
        <f aca="false">INDEX(Summary!$R$2:$R$201,MATCH($B3136,Summary!$A$2:$A$201,0))</f>
        <v>19.37</v>
      </c>
      <c r="W3136" s="0" t="str">
        <f aca="false">INDEX(Summary!$S$2:$S$201,MATCH($B3136,Summary!$A$2:$A$201,0))</f>
        <v>Bronze</v>
      </c>
      <c r="X3136" s="2" t="n">
        <f aca="false">INDEX(Summary!$T$2:$T$201,MATCH($B3136,Summary!$A$2:$A$201,0))</f>
        <v>47.24</v>
      </c>
      <c r="Y3136" s="0" t="str">
        <f aca="false">INDEX('Reward Model'!$E$18:$E$37,MATCH($E3136,'Reward Model'!$A$18:$A$37,0))</f>
        <v>Medium</v>
      </c>
      <c r="Z3136" s="4" t="n">
        <f aca="false">ROUND(MIN(1,MAX('Reward Model'!$B$2,INDEX('Reward Model'!$C$12:$C$14,MATCH($K3136,'Reward Model'!$A$12:$A$14,0))/$J3136)),3)</f>
        <v>1</v>
      </c>
      <c r="AA3136" s="2" t="n">
        <f aca="false">IF($I3136="Correct",ROUND(INDEX('Reward Model'!$B$12:$B$14,MATCH($K3136,'Reward Model'!$A$12:$A$14,0))*Z3136,2),0)</f>
        <v>2</v>
      </c>
      <c r="AB3136" s="2" t="n">
        <f aca="false">IF($I3136="Correct",ROUND(INDEX('Reward Model'!$B$12:$B$14,MATCH($Y3136,'Reward Model'!$A$12:$A$14,0))*Z3136,2),0)</f>
        <v>2</v>
      </c>
    </row>
    <row r="3137" customFormat="false" ht="15" hidden="false" customHeight="false" outlineLevel="0" collapsed="false">
      <c r="A3137" s="0" t="s">
        <v>444</v>
      </c>
      <c r="B3137" s="0" t="s">
        <v>445</v>
      </c>
      <c r="C3137" s="0" t="s">
        <v>322</v>
      </c>
      <c r="D3137" s="0" t="s">
        <v>189</v>
      </c>
      <c r="E3137" s="0" t="n">
        <v>16</v>
      </c>
      <c r="F3137" s="0" t="s">
        <v>71</v>
      </c>
      <c r="G3137" s="0" t="s">
        <v>87</v>
      </c>
      <c r="H3137" s="0" t="s">
        <v>72</v>
      </c>
      <c r="I3137" s="0" t="s">
        <v>39</v>
      </c>
      <c r="J3137" s="0" t="n">
        <v>2.35</v>
      </c>
      <c r="K3137" s="0" t="s">
        <v>73</v>
      </c>
      <c r="L3137" s="0" t="n">
        <f aca="false">INDEX(Summary!$F$2:$F$201,MATCH($B3137,Summary!$A$2:$A$201,0))</f>
        <v>20</v>
      </c>
      <c r="M3137" s="0" t="n">
        <f aca="false">INDEX(Summary!$I$2:$I$201,MATCH($B3137,Summary!$A$2:$A$201,0))</f>
        <v>1</v>
      </c>
      <c r="N3137" s="0" t="n">
        <f aca="false">INDEX(Summary!$J$2:$J$201,MATCH($B3137,Summary!$A$2:$A$201,0))</f>
        <v>4</v>
      </c>
      <c r="O3137" s="2" t="n">
        <f aca="false">INDEX(Summary!$K$2:$K$201,MATCH($B3137,Summary!$A$2:$A$201,0))</f>
        <v>9.79</v>
      </c>
      <c r="P3137" s="3" t="n">
        <f aca="false">INDEX(Summary!$L$2:$L$201,MATCH($B3137,Summary!$A$2:$A$201,0))</f>
        <v>3</v>
      </c>
      <c r="Q3137" s="3" t="n">
        <f aca="false">INDEX(Summary!$M$2:$M$201,MATCH($B3137,Summary!$A$2:$A$201,0))</f>
        <v>3</v>
      </c>
      <c r="R3137" s="2" t="n">
        <f aca="false">INDEX(Summary!$N$2:$N$201,MATCH($B3137,Summary!$A$2:$A$201,0))</f>
        <v>9.94</v>
      </c>
      <c r="S3137" s="3" t="n">
        <f aca="false">INDEX(Summary!$O$2:$O$201,MATCH($B3137,Summary!$A$2:$A$201,0))</f>
        <v>7</v>
      </c>
      <c r="T3137" s="3" t="n">
        <f aca="false">INDEX(Summary!$P$2:$P$201,MATCH($B3137,Summary!$A$2:$A$201,0))</f>
        <v>2</v>
      </c>
      <c r="U3137" s="2" t="n">
        <f aca="false">INDEX(Summary!$Q$2:$Q$201,MATCH($B3137,Summary!$A$2:$A$201,0))</f>
        <v>12.85</v>
      </c>
      <c r="V3137" s="2" t="n">
        <f aca="false">INDEX(Summary!$R$2:$R$201,MATCH($B3137,Summary!$A$2:$A$201,0))</f>
        <v>19.37</v>
      </c>
      <c r="W3137" s="0" t="str">
        <f aca="false">INDEX(Summary!$S$2:$S$201,MATCH($B3137,Summary!$A$2:$A$201,0))</f>
        <v>Bronze</v>
      </c>
      <c r="X3137" s="2" t="n">
        <f aca="false">INDEX(Summary!$T$2:$T$201,MATCH($B3137,Summary!$A$2:$A$201,0))</f>
        <v>47.24</v>
      </c>
      <c r="Y3137" s="0" t="str">
        <f aca="false">INDEX('Reward Model'!$E$18:$E$37,MATCH($E3137,'Reward Model'!$A$18:$A$37,0))</f>
        <v>High</v>
      </c>
      <c r="Z3137" s="4" t="n">
        <f aca="false">ROUND(MIN(1,MAX('Reward Model'!$B$2,INDEX('Reward Model'!$C$12:$C$14,MATCH($K3137,'Reward Model'!$A$12:$A$14,0))/$J3137)),3)</f>
        <v>0.851</v>
      </c>
      <c r="AA3137" s="2" t="n">
        <f aca="false">IF($I3137="Correct",ROUND(INDEX('Reward Model'!$B$12:$B$14,MATCH($K3137,'Reward Model'!$A$12:$A$14,0))*Z3137,2),0)</f>
        <v>0</v>
      </c>
      <c r="AB3137" s="2" t="n">
        <f aca="false">IF($I3137="Correct",ROUND(INDEX('Reward Model'!$B$12:$B$14,MATCH($Y3137,'Reward Model'!$A$12:$A$14,0))*Z3137,2),0)</f>
        <v>0</v>
      </c>
    </row>
    <row r="3138" customFormat="false" ht="15" hidden="false" customHeight="false" outlineLevel="0" collapsed="false">
      <c r="A3138" s="0" t="s">
        <v>444</v>
      </c>
      <c r="B3138" s="0" t="s">
        <v>445</v>
      </c>
      <c r="C3138" s="0" t="s">
        <v>322</v>
      </c>
      <c r="D3138" s="0" t="s">
        <v>189</v>
      </c>
      <c r="E3138" s="0" t="n">
        <v>17</v>
      </c>
      <c r="F3138" s="0" t="s">
        <v>74</v>
      </c>
      <c r="G3138" s="0" t="s">
        <v>75</v>
      </c>
      <c r="H3138" s="0" t="s">
        <v>75</v>
      </c>
      <c r="I3138" s="0" t="s">
        <v>34</v>
      </c>
      <c r="J3138" s="0" t="n">
        <v>1.93</v>
      </c>
      <c r="K3138" s="0" t="s">
        <v>73</v>
      </c>
      <c r="L3138" s="0" t="n">
        <f aca="false">INDEX(Summary!$F$2:$F$201,MATCH($B3138,Summary!$A$2:$A$201,0))</f>
        <v>20</v>
      </c>
      <c r="M3138" s="0" t="n">
        <f aca="false">INDEX(Summary!$I$2:$I$201,MATCH($B3138,Summary!$A$2:$A$201,0))</f>
        <v>1</v>
      </c>
      <c r="N3138" s="0" t="n">
        <f aca="false">INDEX(Summary!$J$2:$J$201,MATCH($B3138,Summary!$A$2:$A$201,0))</f>
        <v>4</v>
      </c>
      <c r="O3138" s="2" t="n">
        <f aca="false">INDEX(Summary!$K$2:$K$201,MATCH($B3138,Summary!$A$2:$A$201,0))</f>
        <v>9.79</v>
      </c>
      <c r="P3138" s="3" t="n">
        <f aca="false">INDEX(Summary!$L$2:$L$201,MATCH($B3138,Summary!$A$2:$A$201,0))</f>
        <v>3</v>
      </c>
      <c r="Q3138" s="3" t="n">
        <f aca="false">INDEX(Summary!$M$2:$M$201,MATCH($B3138,Summary!$A$2:$A$201,0))</f>
        <v>3</v>
      </c>
      <c r="R3138" s="2" t="n">
        <f aca="false">INDEX(Summary!$N$2:$N$201,MATCH($B3138,Summary!$A$2:$A$201,0))</f>
        <v>9.94</v>
      </c>
      <c r="S3138" s="3" t="n">
        <f aca="false">INDEX(Summary!$O$2:$O$201,MATCH($B3138,Summary!$A$2:$A$201,0))</f>
        <v>7</v>
      </c>
      <c r="T3138" s="3" t="n">
        <f aca="false">INDEX(Summary!$P$2:$P$201,MATCH($B3138,Summary!$A$2:$A$201,0))</f>
        <v>2</v>
      </c>
      <c r="U3138" s="2" t="n">
        <f aca="false">INDEX(Summary!$Q$2:$Q$201,MATCH($B3138,Summary!$A$2:$A$201,0))</f>
        <v>12.85</v>
      </c>
      <c r="V3138" s="2" t="n">
        <f aca="false">INDEX(Summary!$R$2:$R$201,MATCH($B3138,Summary!$A$2:$A$201,0))</f>
        <v>19.37</v>
      </c>
      <c r="W3138" s="0" t="str">
        <f aca="false">INDEX(Summary!$S$2:$S$201,MATCH($B3138,Summary!$A$2:$A$201,0))</f>
        <v>Bronze</v>
      </c>
      <c r="X3138" s="2" t="n">
        <f aca="false">INDEX(Summary!$T$2:$T$201,MATCH($B3138,Summary!$A$2:$A$201,0))</f>
        <v>47.24</v>
      </c>
      <c r="Y3138" s="0" t="str">
        <f aca="false">INDEX('Reward Model'!$E$18:$E$37,MATCH($E3138,'Reward Model'!$A$18:$A$37,0))</f>
        <v>High</v>
      </c>
      <c r="Z3138" s="4" t="n">
        <f aca="false">ROUND(MIN(1,MAX('Reward Model'!$B$2,INDEX('Reward Model'!$C$12:$C$14,MATCH($K3138,'Reward Model'!$A$12:$A$14,0))/$J3138)),3)</f>
        <v>1</v>
      </c>
      <c r="AA3138" s="2" t="n">
        <f aca="false">IF($I3138="Correct",ROUND(INDEX('Reward Model'!$B$12:$B$14,MATCH($K3138,'Reward Model'!$A$12:$A$14,0))*Z3138,2),0)</f>
        <v>3</v>
      </c>
      <c r="AB3138" s="2" t="n">
        <f aca="false">IF($I3138="Correct",ROUND(INDEX('Reward Model'!$B$12:$B$14,MATCH($Y3138,'Reward Model'!$A$12:$A$14,0))*Z3138,2),0)</f>
        <v>3</v>
      </c>
    </row>
    <row r="3139" customFormat="false" ht="15" hidden="false" customHeight="false" outlineLevel="0" collapsed="false">
      <c r="A3139" s="0" t="s">
        <v>444</v>
      </c>
      <c r="B3139" s="0" t="s">
        <v>445</v>
      </c>
      <c r="C3139" s="0" t="s">
        <v>322</v>
      </c>
      <c r="D3139" s="0" t="s">
        <v>189</v>
      </c>
      <c r="E3139" s="0" t="n">
        <v>18</v>
      </c>
      <c r="F3139" s="0" t="s">
        <v>76</v>
      </c>
      <c r="G3139" s="0" t="s">
        <v>88</v>
      </c>
      <c r="H3139" s="0" t="s">
        <v>77</v>
      </c>
      <c r="I3139" s="0" t="s">
        <v>39</v>
      </c>
      <c r="J3139" s="0" t="n">
        <v>2.18</v>
      </c>
      <c r="K3139" s="0" t="s">
        <v>73</v>
      </c>
      <c r="L3139" s="0" t="n">
        <f aca="false">INDEX(Summary!$F$2:$F$201,MATCH($B3139,Summary!$A$2:$A$201,0))</f>
        <v>20</v>
      </c>
      <c r="M3139" s="0" t="n">
        <f aca="false">INDEX(Summary!$I$2:$I$201,MATCH($B3139,Summary!$A$2:$A$201,0))</f>
        <v>1</v>
      </c>
      <c r="N3139" s="0" t="n">
        <f aca="false">INDEX(Summary!$J$2:$J$201,MATCH($B3139,Summary!$A$2:$A$201,0))</f>
        <v>4</v>
      </c>
      <c r="O3139" s="2" t="n">
        <f aca="false">INDEX(Summary!$K$2:$K$201,MATCH($B3139,Summary!$A$2:$A$201,0))</f>
        <v>9.79</v>
      </c>
      <c r="P3139" s="3" t="n">
        <f aca="false">INDEX(Summary!$L$2:$L$201,MATCH($B3139,Summary!$A$2:$A$201,0))</f>
        <v>3</v>
      </c>
      <c r="Q3139" s="3" t="n">
        <f aca="false">INDEX(Summary!$M$2:$M$201,MATCH($B3139,Summary!$A$2:$A$201,0))</f>
        <v>3</v>
      </c>
      <c r="R3139" s="2" t="n">
        <f aca="false">INDEX(Summary!$N$2:$N$201,MATCH($B3139,Summary!$A$2:$A$201,0))</f>
        <v>9.94</v>
      </c>
      <c r="S3139" s="3" t="n">
        <f aca="false">INDEX(Summary!$O$2:$O$201,MATCH($B3139,Summary!$A$2:$A$201,0))</f>
        <v>7</v>
      </c>
      <c r="T3139" s="3" t="n">
        <f aca="false">INDEX(Summary!$P$2:$P$201,MATCH($B3139,Summary!$A$2:$A$201,0))</f>
        <v>2</v>
      </c>
      <c r="U3139" s="2" t="n">
        <f aca="false">INDEX(Summary!$Q$2:$Q$201,MATCH($B3139,Summary!$A$2:$A$201,0))</f>
        <v>12.85</v>
      </c>
      <c r="V3139" s="2" t="n">
        <f aca="false">INDEX(Summary!$R$2:$R$201,MATCH($B3139,Summary!$A$2:$A$201,0))</f>
        <v>19.37</v>
      </c>
      <c r="W3139" s="0" t="str">
        <f aca="false">INDEX(Summary!$S$2:$S$201,MATCH($B3139,Summary!$A$2:$A$201,0))</f>
        <v>Bronze</v>
      </c>
      <c r="X3139" s="2" t="n">
        <f aca="false">INDEX(Summary!$T$2:$T$201,MATCH($B3139,Summary!$A$2:$A$201,0))</f>
        <v>47.24</v>
      </c>
      <c r="Y3139" s="0" t="str">
        <f aca="false">INDEX('Reward Model'!$E$18:$E$37,MATCH($E3139,'Reward Model'!$A$18:$A$37,0))</f>
        <v>High</v>
      </c>
      <c r="Z3139" s="4" t="n">
        <f aca="false">ROUND(MIN(1,MAX('Reward Model'!$B$2,INDEX('Reward Model'!$C$12:$C$14,MATCH($K3139,'Reward Model'!$A$12:$A$14,0))/$J3139)),3)</f>
        <v>0.917</v>
      </c>
      <c r="AA3139" s="2" t="n">
        <f aca="false">IF($I3139="Correct",ROUND(INDEX('Reward Model'!$B$12:$B$14,MATCH($K3139,'Reward Model'!$A$12:$A$14,0))*Z3139,2),0)</f>
        <v>0</v>
      </c>
      <c r="AB3139" s="2" t="n">
        <f aca="false">IF($I3139="Correct",ROUND(INDEX('Reward Model'!$B$12:$B$14,MATCH($Y3139,'Reward Model'!$A$12:$A$14,0))*Z3139,2),0)</f>
        <v>0</v>
      </c>
    </row>
    <row r="3140" customFormat="false" ht="15" hidden="false" customHeight="false" outlineLevel="0" collapsed="false">
      <c r="A3140" s="0" t="s">
        <v>444</v>
      </c>
      <c r="B3140" s="0" t="s">
        <v>445</v>
      </c>
      <c r="C3140" s="0" t="s">
        <v>322</v>
      </c>
      <c r="D3140" s="0" t="s">
        <v>189</v>
      </c>
      <c r="E3140" s="0" t="n">
        <v>19</v>
      </c>
      <c r="F3140" s="0" t="s">
        <v>78</v>
      </c>
      <c r="G3140" s="0" t="s">
        <v>79</v>
      </c>
      <c r="H3140" s="0" t="s">
        <v>80</v>
      </c>
      <c r="I3140" s="0" t="s">
        <v>39</v>
      </c>
      <c r="J3140" s="0" t="n">
        <v>1.24</v>
      </c>
      <c r="K3140" s="0" t="s">
        <v>73</v>
      </c>
      <c r="L3140" s="0" t="n">
        <f aca="false">INDEX(Summary!$F$2:$F$201,MATCH($B3140,Summary!$A$2:$A$201,0))</f>
        <v>20</v>
      </c>
      <c r="M3140" s="0" t="n">
        <f aca="false">INDEX(Summary!$I$2:$I$201,MATCH($B3140,Summary!$A$2:$A$201,0))</f>
        <v>1</v>
      </c>
      <c r="N3140" s="0" t="n">
        <f aca="false">INDEX(Summary!$J$2:$J$201,MATCH($B3140,Summary!$A$2:$A$201,0))</f>
        <v>4</v>
      </c>
      <c r="O3140" s="2" t="n">
        <f aca="false">INDEX(Summary!$K$2:$K$201,MATCH($B3140,Summary!$A$2:$A$201,0))</f>
        <v>9.79</v>
      </c>
      <c r="P3140" s="3" t="n">
        <f aca="false">INDEX(Summary!$L$2:$L$201,MATCH($B3140,Summary!$A$2:$A$201,0))</f>
        <v>3</v>
      </c>
      <c r="Q3140" s="3" t="n">
        <f aca="false">INDEX(Summary!$M$2:$M$201,MATCH($B3140,Summary!$A$2:$A$201,0))</f>
        <v>3</v>
      </c>
      <c r="R3140" s="2" t="n">
        <f aca="false">INDEX(Summary!$N$2:$N$201,MATCH($B3140,Summary!$A$2:$A$201,0))</f>
        <v>9.94</v>
      </c>
      <c r="S3140" s="3" t="n">
        <f aca="false">INDEX(Summary!$O$2:$O$201,MATCH($B3140,Summary!$A$2:$A$201,0))</f>
        <v>7</v>
      </c>
      <c r="T3140" s="3" t="n">
        <f aca="false">INDEX(Summary!$P$2:$P$201,MATCH($B3140,Summary!$A$2:$A$201,0))</f>
        <v>2</v>
      </c>
      <c r="U3140" s="2" t="n">
        <f aca="false">INDEX(Summary!$Q$2:$Q$201,MATCH($B3140,Summary!$A$2:$A$201,0))</f>
        <v>12.85</v>
      </c>
      <c r="V3140" s="2" t="n">
        <f aca="false">INDEX(Summary!$R$2:$R$201,MATCH($B3140,Summary!$A$2:$A$201,0))</f>
        <v>19.37</v>
      </c>
      <c r="W3140" s="0" t="str">
        <f aca="false">INDEX(Summary!$S$2:$S$201,MATCH($B3140,Summary!$A$2:$A$201,0))</f>
        <v>Bronze</v>
      </c>
      <c r="X3140" s="2" t="n">
        <f aca="false">INDEX(Summary!$T$2:$T$201,MATCH($B3140,Summary!$A$2:$A$201,0))</f>
        <v>47.24</v>
      </c>
      <c r="Y3140" s="0" t="str">
        <f aca="false">INDEX('Reward Model'!$E$18:$E$37,MATCH($E3140,'Reward Model'!$A$18:$A$37,0))</f>
        <v>High</v>
      </c>
      <c r="Z3140" s="4" t="n">
        <f aca="false">ROUND(MIN(1,MAX('Reward Model'!$B$2,INDEX('Reward Model'!$C$12:$C$14,MATCH($K3140,'Reward Model'!$A$12:$A$14,0))/$J3140)),3)</f>
        <v>1</v>
      </c>
      <c r="AA3140" s="2" t="n">
        <f aca="false">IF($I3140="Correct",ROUND(INDEX('Reward Model'!$B$12:$B$14,MATCH($K3140,'Reward Model'!$A$12:$A$14,0))*Z3140,2),0)</f>
        <v>0</v>
      </c>
      <c r="AB3140" s="2" t="n">
        <f aca="false">IF($I3140="Correct",ROUND(INDEX('Reward Model'!$B$12:$B$14,MATCH($Y3140,'Reward Model'!$A$12:$A$14,0))*Z3140,2),0)</f>
        <v>0</v>
      </c>
    </row>
    <row r="3141" customFormat="false" ht="15" hidden="false" customHeight="false" outlineLevel="0" collapsed="false">
      <c r="A3141" s="0" t="s">
        <v>444</v>
      </c>
      <c r="B3141" s="0" t="s">
        <v>445</v>
      </c>
      <c r="C3141" s="0" t="s">
        <v>322</v>
      </c>
      <c r="D3141" s="0" t="s">
        <v>189</v>
      </c>
      <c r="E3141" s="0" t="n">
        <v>20</v>
      </c>
      <c r="F3141" s="0" t="s">
        <v>81</v>
      </c>
      <c r="G3141" s="0" t="s">
        <v>82</v>
      </c>
      <c r="H3141" s="0" t="s">
        <v>83</v>
      </c>
      <c r="I3141" s="0" t="s">
        <v>39</v>
      </c>
      <c r="J3141" s="0" t="n">
        <v>2.09</v>
      </c>
      <c r="K3141" s="0" t="s">
        <v>73</v>
      </c>
      <c r="L3141" s="0" t="n">
        <f aca="false">INDEX(Summary!$F$2:$F$201,MATCH($B3141,Summary!$A$2:$A$201,0))</f>
        <v>20</v>
      </c>
      <c r="M3141" s="0" t="n">
        <f aca="false">INDEX(Summary!$I$2:$I$201,MATCH($B3141,Summary!$A$2:$A$201,0))</f>
        <v>1</v>
      </c>
      <c r="N3141" s="0" t="n">
        <f aca="false">INDEX(Summary!$J$2:$J$201,MATCH($B3141,Summary!$A$2:$A$201,0))</f>
        <v>4</v>
      </c>
      <c r="O3141" s="2" t="n">
        <f aca="false">INDEX(Summary!$K$2:$K$201,MATCH($B3141,Summary!$A$2:$A$201,0))</f>
        <v>9.79</v>
      </c>
      <c r="P3141" s="3" t="n">
        <f aca="false">INDEX(Summary!$L$2:$L$201,MATCH($B3141,Summary!$A$2:$A$201,0))</f>
        <v>3</v>
      </c>
      <c r="Q3141" s="3" t="n">
        <f aca="false">INDEX(Summary!$M$2:$M$201,MATCH($B3141,Summary!$A$2:$A$201,0))</f>
        <v>3</v>
      </c>
      <c r="R3141" s="2" t="n">
        <f aca="false">INDEX(Summary!$N$2:$N$201,MATCH($B3141,Summary!$A$2:$A$201,0))</f>
        <v>9.94</v>
      </c>
      <c r="S3141" s="3" t="n">
        <f aca="false">INDEX(Summary!$O$2:$O$201,MATCH($B3141,Summary!$A$2:$A$201,0))</f>
        <v>7</v>
      </c>
      <c r="T3141" s="3" t="n">
        <f aca="false">INDEX(Summary!$P$2:$P$201,MATCH($B3141,Summary!$A$2:$A$201,0))</f>
        <v>2</v>
      </c>
      <c r="U3141" s="2" t="n">
        <f aca="false">INDEX(Summary!$Q$2:$Q$201,MATCH($B3141,Summary!$A$2:$A$201,0))</f>
        <v>12.85</v>
      </c>
      <c r="V3141" s="2" t="n">
        <f aca="false">INDEX(Summary!$R$2:$R$201,MATCH($B3141,Summary!$A$2:$A$201,0))</f>
        <v>19.37</v>
      </c>
      <c r="W3141" s="0" t="str">
        <f aca="false">INDEX(Summary!$S$2:$S$201,MATCH($B3141,Summary!$A$2:$A$201,0))</f>
        <v>Bronze</v>
      </c>
      <c r="X3141" s="2" t="n">
        <f aca="false">INDEX(Summary!$T$2:$T$201,MATCH($B3141,Summary!$A$2:$A$201,0))</f>
        <v>47.24</v>
      </c>
      <c r="Y3141" s="0" t="str">
        <f aca="false">INDEX('Reward Model'!$E$18:$E$37,MATCH($E3141,'Reward Model'!$A$18:$A$37,0))</f>
        <v>High</v>
      </c>
      <c r="Z3141" s="4" t="n">
        <f aca="false">ROUND(MIN(1,MAX('Reward Model'!$B$2,INDEX('Reward Model'!$C$12:$C$14,MATCH($K3141,'Reward Model'!$A$12:$A$14,0))/$J3141)),3)</f>
        <v>0.957</v>
      </c>
      <c r="AA3141" s="2" t="n">
        <f aca="false">IF($I3141="Correct",ROUND(INDEX('Reward Model'!$B$12:$B$14,MATCH($K3141,'Reward Model'!$A$12:$A$14,0))*Z3141,2),0)</f>
        <v>0</v>
      </c>
      <c r="AB3141" s="2" t="n">
        <f aca="false">IF($I3141="Correct",ROUND(INDEX('Reward Model'!$B$12:$B$14,MATCH($Y3141,'Reward Model'!$A$12:$A$14,0))*Z3141,2),0)</f>
        <v>0</v>
      </c>
    </row>
    <row r="3142" customFormat="false" ht="15" hidden="false" customHeight="false" outlineLevel="0" collapsed="false">
      <c r="A3142" s="0" t="s">
        <v>446</v>
      </c>
      <c r="B3142" s="0" t="s">
        <v>447</v>
      </c>
      <c r="C3142" s="0" t="s">
        <v>322</v>
      </c>
      <c r="D3142" s="0" t="s">
        <v>189</v>
      </c>
      <c r="E3142" s="0" t="n">
        <v>1</v>
      </c>
      <c r="F3142" s="0" t="s">
        <v>32</v>
      </c>
      <c r="G3142" s="0" t="s">
        <v>33</v>
      </c>
      <c r="H3142" s="0" t="s">
        <v>33</v>
      </c>
      <c r="I3142" s="0" t="s">
        <v>34</v>
      </c>
      <c r="J3142" s="0" t="n">
        <v>1.14</v>
      </c>
      <c r="K3142" s="0" t="s">
        <v>35</v>
      </c>
      <c r="L3142" s="0" t="n">
        <f aca="false">INDEX(Summary!$F$2:$F$201,MATCH($B3142,Summary!$A$2:$A$201,0))</f>
        <v>20</v>
      </c>
      <c r="M3142" s="0" t="n">
        <f aca="false">INDEX(Summary!$I$2:$I$201,MATCH($B3142,Summary!$A$2:$A$201,0))</f>
        <v>2</v>
      </c>
      <c r="N3142" s="0" t="n">
        <f aca="false">INDEX(Summary!$J$2:$J$201,MATCH($B3142,Summary!$A$2:$A$201,0))</f>
        <v>3</v>
      </c>
      <c r="O3142" s="2" t="n">
        <f aca="false">INDEX(Summary!$K$2:$K$201,MATCH($B3142,Summary!$A$2:$A$201,0))</f>
        <v>8.9</v>
      </c>
      <c r="P3142" s="3" t="n">
        <f aca="false">INDEX(Summary!$L$2:$L$201,MATCH($B3142,Summary!$A$2:$A$201,0))</f>
        <v>5</v>
      </c>
      <c r="Q3142" s="3" t="n">
        <f aca="false">INDEX(Summary!$M$2:$M$201,MATCH($B3142,Summary!$A$2:$A$201,0))</f>
        <v>1</v>
      </c>
      <c r="R3142" s="2" t="n">
        <f aca="false">INDEX(Summary!$N$2:$N$201,MATCH($B3142,Summary!$A$2:$A$201,0))</f>
        <v>11.25</v>
      </c>
      <c r="S3142" s="3" t="n">
        <f aca="false">INDEX(Summary!$O$2:$O$201,MATCH($B3142,Summary!$A$2:$A$201,0))</f>
        <v>6</v>
      </c>
      <c r="T3142" s="3" t="n">
        <f aca="false">INDEX(Summary!$P$2:$P$201,MATCH($B3142,Summary!$A$2:$A$201,0))</f>
        <v>3</v>
      </c>
      <c r="U3142" s="2" t="n">
        <f aca="false">INDEX(Summary!$Q$2:$Q$201,MATCH($B3142,Summary!$A$2:$A$201,0))</f>
        <v>13.61</v>
      </c>
      <c r="V3142" s="2" t="n">
        <f aca="false">INDEX(Summary!$R$2:$R$201,MATCH($B3142,Summary!$A$2:$A$201,0))</f>
        <v>22.89</v>
      </c>
      <c r="W3142" s="0" t="str">
        <f aca="false">INDEX(Summary!$S$2:$S$201,MATCH($B3142,Summary!$A$2:$A$201,0))</f>
        <v>Silver</v>
      </c>
      <c r="X3142" s="2" t="n">
        <f aca="false">INDEX(Summary!$T$2:$T$201,MATCH($B3142,Summary!$A$2:$A$201,0))</f>
        <v>55.83</v>
      </c>
      <c r="Y3142" s="0" t="str">
        <f aca="false">INDEX('Reward Model'!$E$18:$E$37,MATCH($E3142,'Reward Model'!$A$18:$A$37,0))</f>
        <v>Medium</v>
      </c>
      <c r="Z3142" s="4" t="n">
        <f aca="false">ROUND(MIN(1,MAX('Reward Model'!$B$2,INDEX('Reward Model'!$C$12:$C$14,MATCH($K3142,'Reward Model'!$A$12:$A$14,0))/$J3142)),3)</f>
        <v>1</v>
      </c>
      <c r="AA3142" s="2" t="n">
        <f aca="false">IF($I3142="Correct",ROUND(INDEX('Reward Model'!$B$12:$B$14,MATCH($K3142,'Reward Model'!$A$12:$A$14,0))*Z3142,2),0)</f>
        <v>1</v>
      </c>
      <c r="AB3142" s="2" t="n">
        <f aca="false">IF($I3142="Correct",ROUND(INDEX('Reward Model'!$B$12:$B$14,MATCH($Y3142,'Reward Model'!$A$12:$A$14,0))*Z3142,2),0)</f>
        <v>2</v>
      </c>
    </row>
    <row r="3143" customFormat="false" ht="15" hidden="false" customHeight="false" outlineLevel="0" collapsed="false">
      <c r="A3143" s="0" t="s">
        <v>446</v>
      </c>
      <c r="B3143" s="0" t="s">
        <v>447</v>
      </c>
      <c r="C3143" s="0" t="s">
        <v>322</v>
      </c>
      <c r="D3143" s="0" t="s">
        <v>189</v>
      </c>
      <c r="E3143" s="0" t="n">
        <v>2</v>
      </c>
      <c r="F3143" s="0" t="s">
        <v>36</v>
      </c>
      <c r="G3143" s="0" t="s">
        <v>94</v>
      </c>
      <c r="H3143" s="0" t="s">
        <v>38</v>
      </c>
      <c r="I3143" s="0" t="s">
        <v>39</v>
      </c>
      <c r="J3143" s="0" t="n">
        <v>1.56</v>
      </c>
      <c r="K3143" s="0" t="s">
        <v>35</v>
      </c>
      <c r="L3143" s="0" t="n">
        <f aca="false">INDEX(Summary!$F$2:$F$201,MATCH($B3143,Summary!$A$2:$A$201,0))</f>
        <v>20</v>
      </c>
      <c r="M3143" s="0" t="n">
        <f aca="false">INDEX(Summary!$I$2:$I$201,MATCH($B3143,Summary!$A$2:$A$201,0))</f>
        <v>2</v>
      </c>
      <c r="N3143" s="0" t="n">
        <f aca="false">INDEX(Summary!$J$2:$J$201,MATCH($B3143,Summary!$A$2:$A$201,0))</f>
        <v>3</v>
      </c>
      <c r="O3143" s="2" t="n">
        <f aca="false">INDEX(Summary!$K$2:$K$201,MATCH($B3143,Summary!$A$2:$A$201,0))</f>
        <v>8.9</v>
      </c>
      <c r="P3143" s="3" t="n">
        <f aca="false">INDEX(Summary!$L$2:$L$201,MATCH($B3143,Summary!$A$2:$A$201,0))</f>
        <v>5</v>
      </c>
      <c r="Q3143" s="3" t="n">
        <f aca="false">INDEX(Summary!$M$2:$M$201,MATCH($B3143,Summary!$A$2:$A$201,0))</f>
        <v>1</v>
      </c>
      <c r="R3143" s="2" t="n">
        <f aca="false">INDEX(Summary!$N$2:$N$201,MATCH($B3143,Summary!$A$2:$A$201,0))</f>
        <v>11.25</v>
      </c>
      <c r="S3143" s="3" t="n">
        <f aca="false">INDEX(Summary!$O$2:$O$201,MATCH($B3143,Summary!$A$2:$A$201,0))</f>
        <v>6</v>
      </c>
      <c r="T3143" s="3" t="n">
        <f aca="false">INDEX(Summary!$P$2:$P$201,MATCH($B3143,Summary!$A$2:$A$201,0))</f>
        <v>3</v>
      </c>
      <c r="U3143" s="2" t="n">
        <f aca="false">INDEX(Summary!$Q$2:$Q$201,MATCH($B3143,Summary!$A$2:$A$201,0))</f>
        <v>13.61</v>
      </c>
      <c r="V3143" s="2" t="n">
        <f aca="false">INDEX(Summary!$R$2:$R$201,MATCH($B3143,Summary!$A$2:$A$201,0))</f>
        <v>22.89</v>
      </c>
      <c r="W3143" s="0" t="str">
        <f aca="false">INDEX(Summary!$S$2:$S$201,MATCH($B3143,Summary!$A$2:$A$201,0))</f>
        <v>Silver</v>
      </c>
      <c r="X3143" s="2" t="n">
        <f aca="false">INDEX(Summary!$T$2:$T$201,MATCH($B3143,Summary!$A$2:$A$201,0))</f>
        <v>55.83</v>
      </c>
      <c r="Y3143" s="0" t="str">
        <f aca="false">INDEX('Reward Model'!$E$18:$E$37,MATCH($E3143,'Reward Model'!$A$18:$A$37,0))</f>
        <v>Low</v>
      </c>
      <c r="Z3143" s="4" t="n">
        <f aca="false">ROUND(MIN(1,MAX('Reward Model'!$B$2,INDEX('Reward Model'!$C$12:$C$14,MATCH($K3143,'Reward Model'!$A$12:$A$14,0))/$J3143)),3)</f>
        <v>0.962</v>
      </c>
      <c r="AA3143" s="2" t="n">
        <f aca="false">IF($I3143="Correct",ROUND(INDEX('Reward Model'!$B$12:$B$14,MATCH($K3143,'Reward Model'!$A$12:$A$14,0))*Z3143,2),0)</f>
        <v>0</v>
      </c>
      <c r="AB3143" s="2" t="n">
        <f aca="false">IF($I3143="Correct",ROUND(INDEX('Reward Model'!$B$12:$B$14,MATCH($Y3143,'Reward Model'!$A$12:$A$14,0))*Z3143,2),0)</f>
        <v>0</v>
      </c>
    </row>
    <row r="3144" customFormat="false" ht="15" hidden="false" customHeight="false" outlineLevel="0" collapsed="false">
      <c r="A3144" s="0" t="s">
        <v>446</v>
      </c>
      <c r="B3144" s="0" t="s">
        <v>447</v>
      </c>
      <c r="C3144" s="0" t="s">
        <v>322</v>
      </c>
      <c r="D3144" s="0" t="s">
        <v>189</v>
      </c>
      <c r="E3144" s="0" t="n">
        <v>3</v>
      </c>
      <c r="F3144" s="0" t="s">
        <v>40</v>
      </c>
      <c r="G3144" s="0" t="s">
        <v>41</v>
      </c>
      <c r="H3144" s="0" t="s">
        <v>42</v>
      </c>
      <c r="I3144" s="0" t="s">
        <v>39</v>
      </c>
      <c r="J3144" s="0" t="n">
        <v>1.65</v>
      </c>
      <c r="K3144" s="0" t="s">
        <v>35</v>
      </c>
      <c r="L3144" s="0" t="n">
        <f aca="false">INDEX(Summary!$F$2:$F$201,MATCH($B3144,Summary!$A$2:$A$201,0))</f>
        <v>20</v>
      </c>
      <c r="M3144" s="0" t="n">
        <f aca="false">INDEX(Summary!$I$2:$I$201,MATCH($B3144,Summary!$A$2:$A$201,0))</f>
        <v>2</v>
      </c>
      <c r="N3144" s="0" t="n">
        <f aca="false">INDEX(Summary!$J$2:$J$201,MATCH($B3144,Summary!$A$2:$A$201,0))</f>
        <v>3</v>
      </c>
      <c r="O3144" s="2" t="n">
        <f aca="false">INDEX(Summary!$K$2:$K$201,MATCH($B3144,Summary!$A$2:$A$201,0))</f>
        <v>8.9</v>
      </c>
      <c r="P3144" s="3" t="n">
        <f aca="false">INDEX(Summary!$L$2:$L$201,MATCH($B3144,Summary!$A$2:$A$201,0))</f>
        <v>5</v>
      </c>
      <c r="Q3144" s="3" t="n">
        <f aca="false">INDEX(Summary!$M$2:$M$201,MATCH($B3144,Summary!$A$2:$A$201,0))</f>
        <v>1</v>
      </c>
      <c r="R3144" s="2" t="n">
        <f aca="false">INDEX(Summary!$N$2:$N$201,MATCH($B3144,Summary!$A$2:$A$201,0))</f>
        <v>11.25</v>
      </c>
      <c r="S3144" s="3" t="n">
        <f aca="false">INDEX(Summary!$O$2:$O$201,MATCH($B3144,Summary!$A$2:$A$201,0))</f>
        <v>6</v>
      </c>
      <c r="T3144" s="3" t="n">
        <f aca="false">INDEX(Summary!$P$2:$P$201,MATCH($B3144,Summary!$A$2:$A$201,0))</f>
        <v>3</v>
      </c>
      <c r="U3144" s="2" t="n">
        <f aca="false">INDEX(Summary!$Q$2:$Q$201,MATCH($B3144,Summary!$A$2:$A$201,0))</f>
        <v>13.61</v>
      </c>
      <c r="V3144" s="2" t="n">
        <f aca="false">INDEX(Summary!$R$2:$R$201,MATCH($B3144,Summary!$A$2:$A$201,0))</f>
        <v>22.89</v>
      </c>
      <c r="W3144" s="0" t="str">
        <f aca="false">INDEX(Summary!$S$2:$S$201,MATCH($B3144,Summary!$A$2:$A$201,0))</f>
        <v>Silver</v>
      </c>
      <c r="X3144" s="2" t="n">
        <f aca="false">INDEX(Summary!$T$2:$T$201,MATCH($B3144,Summary!$A$2:$A$201,0))</f>
        <v>55.83</v>
      </c>
      <c r="Y3144" s="0" t="str">
        <f aca="false">INDEX('Reward Model'!$E$18:$E$37,MATCH($E3144,'Reward Model'!$A$18:$A$37,0))</f>
        <v>Medium</v>
      </c>
      <c r="Z3144" s="4" t="n">
        <f aca="false">ROUND(MIN(1,MAX('Reward Model'!$B$2,INDEX('Reward Model'!$C$12:$C$14,MATCH($K3144,'Reward Model'!$A$12:$A$14,0))/$J3144)),3)</f>
        <v>0.909</v>
      </c>
      <c r="AA3144" s="2" t="n">
        <f aca="false">IF($I3144="Correct",ROUND(INDEX('Reward Model'!$B$12:$B$14,MATCH($K3144,'Reward Model'!$A$12:$A$14,0))*Z3144,2),0)</f>
        <v>0</v>
      </c>
      <c r="AB3144" s="2" t="n">
        <f aca="false">IF($I3144="Correct",ROUND(INDEX('Reward Model'!$B$12:$B$14,MATCH($Y3144,'Reward Model'!$A$12:$A$14,0))*Z3144,2),0)</f>
        <v>0</v>
      </c>
    </row>
    <row r="3145" customFormat="false" ht="15" hidden="false" customHeight="false" outlineLevel="0" collapsed="false">
      <c r="A3145" s="0" t="s">
        <v>446</v>
      </c>
      <c r="B3145" s="0" t="s">
        <v>447</v>
      </c>
      <c r="C3145" s="0" t="s">
        <v>322</v>
      </c>
      <c r="D3145" s="0" t="s">
        <v>189</v>
      </c>
      <c r="E3145" s="0" t="n">
        <v>4</v>
      </c>
      <c r="F3145" s="0" t="s">
        <v>43</v>
      </c>
      <c r="G3145" s="0" t="s">
        <v>45</v>
      </c>
      <c r="H3145" s="0" t="s">
        <v>45</v>
      </c>
      <c r="I3145" s="0" t="s">
        <v>34</v>
      </c>
      <c r="J3145" s="0" t="n">
        <v>1.13</v>
      </c>
      <c r="K3145" s="0" t="s">
        <v>35</v>
      </c>
      <c r="L3145" s="0" t="n">
        <f aca="false">INDEX(Summary!$F$2:$F$201,MATCH($B3145,Summary!$A$2:$A$201,0))</f>
        <v>20</v>
      </c>
      <c r="M3145" s="0" t="n">
        <f aca="false">INDEX(Summary!$I$2:$I$201,MATCH($B3145,Summary!$A$2:$A$201,0))</f>
        <v>2</v>
      </c>
      <c r="N3145" s="0" t="n">
        <f aca="false">INDEX(Summary!$J$2:$J$201,MATCH($B3145,Summary!$A$2:$A$201,0))</f>
        <v>3</v>
      </c>
      <c r="O3145" s="2" t="n">
        <f aca="false">INDEX(Summary!$K$2:$K$201,MATCH($B3145,Summary!$A$2:$A$201,0))</f>
        <v>8.9</v>
      </c>
      <c r="P3145" s="3" t="n">
        <f aca="false">INDEX(Summary!$L$2:$L$201,MATCH($B3145,Summary!$A$2:$A$201,0))</f>
        <v>5</v>
      </c>
      <c r="Q3145" s="3" t="n">
        <f aca="false">INDEX(Summary!$M$2:$M$201,MATCH($B3145,Summary!$A$2:$A$201,0))</f>
        <v>1</v>
      </c>
      <c r="R3145" s="2" t="n">
        <f aca="false">INDEX(Summary!$N$2:$N$201,MATCH($B3145,Summary!$A$2:$A$201,0))</f>
        <v>11.25</v>
      </c>
      <c r="S3145" s="3" t="n">
        <f aca="false">INDEX(Summary!$O$2:$O$201,MATCH($B3145,Summary!$A$2:$A$201,0))</f>
        <v>6</v>
      </c>
      <c r="T3145" s="3" t="n">
        <f aca="false">INDEX(Summary!$P$2:$P$201,MATCH($B3145,Summary!$A$2:$A$201,0))</f>
        <v>3</v>
      </c>
      <c r="U3145" s="2" t="n">
        <f aca="false">INDEX(Summary!$Q$2:$Q$201,MATCH($B3145,Summary!$A$2:$A$201,0))</f>
        <v>13.61</v>
      </c>
      <c r="V3145" s="2" t="n">
        <f aca="false">INDEX(Summary!$R$2:$R$201,MATCH($B3145,Summary!$A$2:$A$201,0))</f>
        <v>22.89</v>
      </c>
      <c r="W3145" s="0" t="str">
        <f aca="false">INDEX(Summary!$S$2:$S$201,MATCH($B3145,Summary!$A$2:$A$201,0))</f>
        <v>Silver</v>
      </c>
      <c r="X3145" s="2" t="n">
        <f aca="false">INDEX(Summary!$T$2:$T$201,MATCH($B3145,Summary!$A$2:$A$201,0))</f>
        <v>55.83</v>
      </c>
      <c r="Y3145" s="0" t="str">
        <f aca="false">INDEX('Reward Model'!$E$18:$E$37,MATCH($E3145,'Reward Model'!$A$18:$A$37,0))</f>
        <v>Low</v>
      </c>
      <c r="Z3145" s="4" t="n">
        <f aca="false">ROUND(MIN(1,MAX('Reward Model'!$B$2,INDEX('Reward Model'!$C$12:$C$14,MATCH($K3145,'Reward Model'!$A$12:$A$14,0))/$J3145)),3)</f>
        <v>1</v>
      </c>
      <c r="AA3145" s="2" t="n">
        <f aca="false">IF($I3145="Correct",ROUND(INDEX('Reward Model'!$B$12:$B$14,MATCH($K3145,'Reward Model'!$A$12:$A$14,0))*Z3145,2),0)</f>
        <v>1</v>
      </c>
      <c r="AB3145" s="2" t="n">
        <f aca="false">IF($I3145="Correct",ROUND(INDEX('Reward Model'!$B$12:$B$14,MATCH($Y3145,'Reward Model'!$A$12:$A$14,0))*Z3145,2),0)</f>
        <v>1</v>
      </c>
    </row>
    <row r="3146" customFormat="false" ht="15" hidden="false" customHeight="false" outlineLevel="0" collapsed="false">
      <c r="A3146" s="0" t="s">
        <v>446</v>
      </c>
      <c r="B3146" s="0" t="s">
        <v>447</v>
      </c>
      <c r="C3146" s="0" t="s">
        <v>322</v>
      </c>
      <c r="D3146" s="0" t="s">
        <v>189</v>
      </c>
      <c r="E3146" s="0" t="n">
        <v>5</v>
      </c>
      <c r="F3146" s="0" t="s">
        <v>46</v>
      </c>
      <c r="G3146" s="0" t="s">
        <v>47</v>
      </c>
      <c r="H3146" s="0" t="s">
        <v>47</v>
      </c>
      <c r="I3146" s="0" t="s">
        <v>34</v>
      </c>
      <c r="J3146" s="0" t="n">
        <v>0.92</v>
      </c>
      <c r="K3146" s="0" t="s">
        <v>35</v>
      </c>
      <c r="L3146" s="0" t="n">
        <f aca="false">INDEX(Summary!$F$2:$F$201,MATCH($B3146,Summary!$A$2:$A$201,0))</f>
        <v>20</v>
      </c>
      <c r="M3146" s="0" t="n">
        <f aca="false">INDEX(Summary!$I$2:$I$201,MATCH($B3146,Summary!$A$2:$A$201,0))</f>
        <v>2</v>
      </c>
      <c r="N3146" s="0" t="n">
        <f aca="false">INDEX(Summary!$J$2:$J$201,MATCH($B3146,Summary!$A$2:$A$201,0))</f>
        <v>3</v>
      </c>
      <c r="O3146" s="2" t="n">
        <f aca="false">INDEX(Summary!$K$2:$K$201,MATCH($B3146,Summary!$A$2:$A$201,0))</f>
        <v>8.9</v>
      </c>
      <c r="P3146" s="3" t="n">
        <f aca="false">INDEX(Summary!$L$2:$L$201,MATCH($B3146,Summary!$A$2:$A$201,0))</f>
        <v>5</v>
      </c>
      <c r="Q3146" s="3" t="n">
        <f aca="false">INDEX(Summary!$M$2:$M$201,MATCH($B3146,Summary!$A$2:$A$201,0))</f>
        <v>1</v>
      </c>
      <c r="R3146" s="2" t="n">
        <f aca="false">INDEX(Summary!$N$2:$N$201,MATCH($B3146,Summary!$A$2:$A$201,0))</f>
        <v>11.25</v>
      </c>
      <c r="S3146" s="3" t="n">
        <f aca="false">INDEX(Summary!$O$2:$O$201,MATCH($B3146,Summary!$A$2:$A$201,0))</f>
        <v>6</v>
      </c>
      <c r="T3146" s="3" t="n">
        <f aca="false">INDEX(Summary!$P$2:$P$201,MATCH($B3146,Summary!$A$2:$A$201,0))</f>
        <v>3</v>
      </c>
      <c r="U3146" s="2" t="n">
        <f aca="false">INDEX(Summary!$Q$2:$Q$201,MATCH($B3146,Summary!$A$2:$A$201,0))</f>
        <v>13.61</v>
      </c>
      <c r="V3146" s="2" t="n">
        <f aca="false">INDEX(Summary!$R$2:$R$201,MATCH($B3146,Summary!$A$2:$A$201,0))</f>
        <v>22.89</v>
      </c>
      <c r="W3146" s="0" t="str">
        <f aca="false">INDEX(Summary!$S$2:$S$201,MATCH($B3146,Summary!$A$2:$A$201,0))</f>
        <v>Silver</v>
      </c>
      <c r="X3146" s="2" t="n">
        <f aca="false">INDEX(Summary!$T$2:$T$201,MATCH($B3146,Summary!$A$2:$A$201,0))</f>
        <v>55.83</v>
      </c>
      <c r="Y3146" s="0" t="str">
        <f aca="false">INDEX('Reward Model'!$E$18:$E$37,MATCH($E3146,'Reward Model'!$A$18:$A$37,0))</f>
        <v>Low</v>
      </c>
      <c r="Z3146" s="4" t="n">
        <f aca="false">ROUND(MIN(1,MAX('Reward Model'!$B$2,INDEX('Reward Model'!$C$12:$C$14,MATCH($K3146,'Reward Model'!$A$12:$A$14,0))/$J3146)),3)</f>
        <v>1</v>
      </c>
      <c r="AA3146" s="2" t="n">
        <f aca="false">IF($I3146="Correct",ROUND(INDEX('Reward Model'!$B$12:$B$14,MATCH($K3146,'Reward Model'!$A$12:$A$14,0))*Z3146,2),0)</f>
        <v>1</v>
      </c>
      <c r="AB3146" s="2" t="n">
        <f aca="false">IF($I3146="Correct",ROUND(INDEX('Reward Model'!$B$12:$B$14,MATCH($Y3146,'Reward Model'!$A$12:$A$14,0))*Z3146,2),0)</f>
        <v>1</v>
      </c>
    </row>
    <row r="3147" customFormat="false" ht="15" hidden="false" customHeight="false" outlineLevel="0" collapsed="false">
      <c r="A3147" s="0" t="s">
        <v>446</v>
      </c>
      <c r="B3147" s="0" t="s">
        <v>447</v>
      </c>
      <c r="C3147" s="0" t="s">
        <v>322</v>
      </c>
      <c r="D3147" s="0" t="s">
        <v>189</v>
      </c>
      <c r="E3147" s="0" t="n">
        <v>6</v>
      </c>
      <c r="F3147" s="0" t="s">
        <v>48</v>
      </c>
      <c r="G3147" s="0" t="s">
        <v>49</v>
      </c>
      <c r="H3147" s="0" t="s">
        <v>49</v>
      </c>
      <c r="I3147" s="0" t="s">
        <v>34</v>
      </c>
      <c r="J3147" s="0" t="n">
        <v>1.8</v>
      </c>
      <c r="K3147" s="0" t="s">
        <v>35</v>
      </c>
      <c r="L3147" s="0" t="n">
        <f aca="false">INDEX(Summary!$F$2:$F$201,MATCH($B3147,Summary!$A$2:$A$201,0))</f>
        <v>20</v>
      </c>
      <c r="M3147" s="0" t="n">
        <f aca="false">INDEX(Summary!$I$2:$I$201,MATCH($B3147,Summary!$A$2:$A$201,0))</f>
        <v>2</v>
      </c>
      <c r="N3147" s="0" t="n">
        <f aca="false">INDEX(Summary!$J$2:$J$201,MATCH($B3147,Summary!$A$2:$A$201,0))</f>
        <v>3</v>
      </c>
      <c r="O3147" s="2" t="n">
        <f aca="false">INDEX(Summary!$K$2:$K$201,MATCH($B3147,Summary!$A$2:$A$201,0))</f>
        <v>8.9</v>
      </c>
      <c r="P3147" s="3" t="n">
        <f aca="false">INDEX(Summary!$L$2:$L$201,MATCH($B3147,Summary!$A$2:$A$201,0))</f>
        <v>5</v>
      </c>
      <c r="Q3147" s="3" t="n">
        <f aca="false">INDEX(Summary!$M$2:$M$201,MATCH($B3147,Summary!$A$2:$A$201,0))</f>
        <v>1</v>
      </c>
      <c r="R3147" s="2" t="n">
        <f aca="false">INDEX(Summary!$N$2:$N$201,MATCH($B3147,Summary!$A$2:$A$201,0))</f>
        <v>11.25</v>
      </c>
      <c r="S3147" s="3" t="n">
        <f aca="false">INDEX(Summary!$O$2:$O$201,MATCH($B3147,Summary!$A$2:$A$201,0))</f>
        <v>6</v>
      </c>
      <c r="T3147" s="3" t="n">
        <f aca="false">INDEX(Summary!$P$2:$P$201,MATCH($B3147,Summary!$A$2:$A$201,0))</f>
        <v>3</v>
      </c>
      <c r="U3147" s="2" t="n">
        <f aca="false">INDEX(Summary!$Q$2:$Q$201,MATCH($B3147,Summary!$A$2:$A$201,0))</f>
        <v>13.61</v>
      </c>
      <c r="V3147" s="2" t="n">
        <f aca="false">INDEX(Summary!$R$2:$R$201,MATCH($B3147,Summary!$A$2:$A$201,0))</f>
        <v>22.89</v>
      </c>
      <c r="W3147" s="0" t="str">
        <f aca="false">INDEX(Summary!$S$2:$S$201,MATCH($B3147,Summary!$A$2:$A$201,0))</f>
        <v>Silver</v>
      </c>
      <c r="X3147" s="2" t="n">
        <f aca="false">INDEX(Summary!$T$2:$T$201,MATCH($B3147,Summary!$A$2:$A$201,0))</f>
        <v>55.83</v>
      </c>
      <c r="Y3147" s="0" t="str">
        <f aca="false">INDEX('Reward Model'!$E$18:$E$37,MATCH($E3147,'Reward Model'!$A$18:$A$37,0))</f>
        <v>Medium</v>
      </c>
      <c r="Z3147" s="4" t="n">
        <f aca="false">ROUND(MIN(1,MAX('Reward Model'!$B$2,INDEX('Reward Model'!$C$12:$C$14,MATCH($K3147,'Reward Model'!$A$12:$A$14,0))/$J3147)),3)</f>
        <v>0.833</v>
      </c>
      <c r="AA3147" s="2" t="n">
        <f aca="false">IF($I3147="Correct",ROUND(INDEX('Reward Model'!$B$12:$B$14,MATCH($K3147,'Reward Model'!$A$12:$A$14,0))*Z3147,2),0)</f>
        <v>0.83</v>
      </c>
      <c r="AB3147" s="2" t="n">
        <f aca="false">IF($I3147="Correct",ROUND(INDEX('Reward Model'!$B$12:$B$14,MATCH($Y3147,'Reward Model'!$A$12:$A$14,0))*Z3147,2),0)</f>
        <v>1.67</v>
      </c>
    </row>
    <row r="3148" customFormat="false" ht="15" hidden="false" customHeight="false" outlineLevel="0" collapsed="false">
      <c r="A3148" s="0" t="s">
        <v>446</v>
      </c>
      <c r="B3148" s="0" t="s">
        <v>447</v>
      </c>
      <c r="C3148" s="0" t="s">
        <v>322</v>
      </c>
      <c r="D3148" s="0" t="s">
        <v>189</v>
      </c>
      <c r="E3148" s="0" t="n">
        <v>7</v>
      </c>
      <c r="F3148" s="0" t="s">
        <v>50</v>
      </c>
      <c r="G3148" s="0" t="s">
        <v>51</v>
      </c>
      <c r="H3148" s="0" t="s">
        <v>51</v>
      </c>
      <c r="I3148" s="0" t="s">
        <v>34</v>
      </c>
      <c r="J3148" s="0" t="n">
        <v>1.93</v>
      </c>
      <c r="K3148" s="0" t="s">
        <v>35</v>
      </c>
      <c r="L3148" s="0" t="n">
        <f aca="false">INDEX(Summary!$F$2:$F$201,MATCH($B3148,Summary!$A$2:$A$201,0))</f>
        <v>20</v>
      </c>
      <c r="M3148" s="0" t="n">
        <f aca="false">INDEX(Summary!$I$2:$I$201,MATCH($B3148,Summary!$A$2:$A$201,0))</f>
        <v>2</v>
      </c>
      <c r="N3148" s="0" t="n">
        <f aca="false">INDEX(Summary!$J$2:$J$201,MATCH($B3148,Summary!$A$2:$A$201,0))</f>
        <v>3</v>
      </c>
      <c r="O3148" s="2" t="n">
        <f aca="false">INDEX(Summary!$K$2:$K$201,MATCH($B3148,Summary!$A$2:$A$201,0))</f>
        <v>8.9</v>
      </c>
      <c r="P3148" s="3" t="n">
        <f aca="false">INDEX(Summary!$L$2:$L$201,MATCH($B3148,Summary!$A$2:$A$201,0))</f>
        <v>5</v>
      </c>
      <c r="Q3148" s="3" t="n">
        <f aca="false">INDEX(Summary!$M$2:$M$201,MATCH($B3148,Summary!$A$2:$A$201,0))</f>
        <v>1</v>
      </c>
      <c r="R3148" s="2" t="n">
        <f aca="false">INDEX(Summary!$N$2:$N$201,MATCH($B3148,Summary!$A$2:$A$201,0))</f>
        <v>11.25</v>
      </c>
      <c r="S3148" s="3" t="n">
        <f aca="false">INDEX(Summary!$O$2:$O$201,MATCH($B3148,Summary!$A$2:$A$201,0))</f>
        <v>6</v>
      </c>
      <c r="T3148" s="3" t="n">
        <f aca="false">INDEX(Summary!$P$2:$P$201,MATCH($B3148,Summary!$A$2:$A$201,0))</f>
        <v>3</v>
      </c>
      <c r="U3148" s="2" t="n">
        <f aca="false">INDEX(Summary!$Q$2:$Q$201,MATCH($B3148,Summary!$A$2:$A$201,0))</f>
        <v>13.61</v>
      </c>
      <c r="V3148" s="2" t="n">
        <f aca="false">INDEX(Summary!$R$2:$R$201,MATCH($B3148,Summary!$A$2:$A$201,0))</f>
        <v>22.89</v>
      </c>
      <c r="W3148" s="0" t="str">
        <f aca="false">INDEX(Summary!$S$2:$S$201,MATCH($B3148,Summary!$A$2:$A$201,0))</f>
        <v>Silver</v>
      </c>
      <c r="X3148" s="2" t="n">
        <f aca="false">INDEX(Summary!$T$2:$T$201,MATCH($B3148,Summary!$A$2:$A$201,0))</f>
        <v>55.83</v>
      </c>
      <c r="Y3148" s="0" t="str">
        <f aca="false">INDEX('Reward Model'!$E$18:$E$37,MATCH($E3148,'Reward Model'!$A$18:$A$37,0))</f>
        <v>Low</v>
      </c>
      <c r="Z3148" s="4" t="n">
        <f aca="false">ROUND(MIN(1,MAX('Reward Model'!$B$2,INDEX('Reward Model'!$C$12:$C$14,MATCH($K3148,'Reward Model'!$A$12:$A$14,0))/$J3148)),3)</f>
        <v>0.777</v>
      </c>
      <c r="AA3148" s="2" t="n">
        <f aca="false">IF($I3148="Correct",ROUND(INDEX('Reward Model'!$B$12:$B$14,MATCH($K3148,'Reward Model'!$A$12:$A$14,0))*Z3148,2),0)</f>
        <v>0.78</v>
      </c>
      <c r="AB3148" s="2" t="n">
        <f aca="false">IF($I3148="Correct",ROUND(INDEX('Reward Model'!$B$12:$B$14,MATCH($Y3148,'Reward Model'!$A$12:$A$14,0))*Z3148,2),0)</f>
        <v>0.78</v>
      </c>
    </row>
    <row r="3149" customFormat="false" ht="15" hidden="false" customHeight="false" outlineLevel="0" collapsed="false">
      <c r="A3149" s="0" t="s">
        <v>446</v>
      </c>
      <c r="B3149" s="0" t="s">
        <v>447</v>
      </c>
      <c r="C3149" s="0" t="s">
        <v>322</v>
      </c>
      <c r="D3149" s="0" t="s">
        <v>189</v>
      </c>
      <c r="E3149" s="0" t="n">
        <v>8</v>
      </c>
      <c r="F3149" s="0" t="s">
        <v>52</v>
      </c>
      <c r="G3149" s="0" t="s">
        <v>54</v>
      </c>
      <c r="H3149" s="0" t="s">
        <v>54</v>
      </c>
      <c r="I3149" s="0" t="s">
        <v>34</v>
      </c>
      <c r="J3149" s="0" t="n">
        <v>1.99</v>
      </c>
      <c r="K3149" s="0" t="s">
        <v>35</v>
      </c>
      <c r="L3149" s="0" t="n">
        <f aca="false">INDEX(Summary!$F$2:$F$201,MATCH($B3149,Summary!$A$2:$A$201,0))</f>
        <v>20</v>
      </c>
      <c r="M3149" s="0" t="n">
        <f aca="false">INDEX(Summary!$I$2:$I$201,MATCH($B3149,Summary!$A$2:$A$201,0))</f>
        <v>2</v>
      </c>
      <c r="N3149" s="0" t="n">
        <f aca="false">INDEX(Summary!$J$2:$J$201,MATCH($B3149,Summary!$A$2:$A$201,0))</f>
        <v>3</v>
      </c>
      <c r="O3149" s="2" t="n">
        <f aca="false">INDEX(Summary!$K$2:$K$201,MATCH($B3149,Summary!$A$2:$A$201,0))</f>
        <v>8.9</v>
      </c>
      <c r="P3149" s="3" t="n">
        <f aca="false">INDEX(Summary!$L$2:$L$201,MATCH($B3149,Summary!$A$2:$A$201,0))</f>
        <v>5</v>
      </c>
      <c r="Q3149" s="3" t="n">
        <f aca="false">INDEX(Summary!$M$2:$M$201,MATCH($B3149,Summary!$A$2:$A$201,0))</f>
        <v>1</v>
      </c>
      <c r="R3149" s="2" t="n">
        <f aca="false">INDEX(Summary!$N$2:$N$201,MATCH($B3149,Summary!$A$2:$A$201,0))</f>
        <v>11.25</v>
      </c>
      <c r="S3149" s="3" t="n">
        <f aca="false">INDEX(Summary!$O$2:$O$201,MATCH($B3149,Summary!$A$2:$A$201,0))</f>
        <v>6</v>
      </c>
      <c r="T3149" s="3" t="n">
        <f aca="false">INDEX(Summary!$P$2:$P$201,MATCH($B3149,Summary!$A$2:$A$201,0))</f>
        <v>3</v>
      </c>
      <c r="U3149" s="2" t="n">
        <f aca="false">INDEX(Summary!$Q$2:$Q$201,MATCH($B3149,Summary!$A$2:$A$201,0))</f>
        <v>13.61</v>
      </c>
      <c r="V3149" s="2" t="n">
        <f aca="false">INDEX(Summary!$R$2:$R$201,MATCH($B3149,Summary!$A$2:$A$201,0))</f>
        <v>22.89</v>
      </c>
      <c r="W3149" s="0" t="str">
        <f aca="false">INDEX(Summary!$S$2:$S$201,MATCH($B3149,Summary!$A$2:$A$201,0))</f>
        <v>Silver</v>
      </c>
      <c r="X3149" s="2" t="n">
        <f aca="false">INDEX(Summary!$T$2:$T$201,MATCH($B3149,Summary!$A$2:$A$201,0))</f>
        <v>55.83</v>
      </c>
      <c r="Y3149" s="0" t="str">
        <f aca="false">INDEX('Reward Model'!$E$18:$E$37,MATCH($E3149,'Reward Model'!$A$18:$A$37,0))</f>
        <v>Medium</v>
      </c>
      <c r="Z3149" s="4" t="n">
        <f aca="false">ROUND(MIN(1,MAX('Reward Model'!$B$2,INDEX('Reward Model'!$C$12:$C$14,MATCH($K3149,'Reward Model'!$A$12:$A$14,0))/$J3149)),3)</f>
        <v>0.754</v>
      </c>
      <c r="AA3149" s="2" t="n">
        <f aca="false">IF($I3149="Correct",ROUND(INDEX('Reward Model'!$B$12:$B$14,MATCH($K3149,'Reward Model'!$A$12:$A$14,0))*Z3149,2),0)</f>
        <v>0.75</v>
      </c>
      <c r="AB3149" s="2" t="n">
        <f aca="false">IF($I3149="Correct",ROUND(INDEX('Reward Model'!$B$12:$B$14,MATCH($Y3149,'Reward Model'!$A$12:$A$14,0))*Z3149,2),0)</f>
        <v>1.51</v>
      </c>
    </row>
    <row r="3150" customFormat="false" ht="15" hidden="false" customHeight="false" outlineLevel="0" collapsed="false">
      <c r="A3150" s="0" t="s">
        <v>446</v>
      </c>
      <c r="B3150" s="0" t="s">
        <v>447</v>
      </c>
      <c r="C3150" s="0" t="s">
        <v>322</v>
      </c>
      <c r="D3150" s="0" t="s">
        <v>189</v>
      </c>
      <c r="E3150" s="0" t="n">
        <v>9</v>
      </c>
      <c r="F3150" s="0" t="s">
        <v>55</v>
      </c>
      <c r="G3150" s="0" t="s">
        <v>108</v>
      </c>
      <c r="H3150" s="0" t="s">
        <v>57</v>
      </c>
      <c r="I3150" s="0" t="s">
        <v>39</v>
      </c>
      <c r="J3150" s="0" t="n">
        <v>1.49</v>
      </c>
      <c r="K3150" s="0" t="s">
        <v>35</v>
      </c>
      <c r="L3150" s="0" t="n">
        <f aca="false">INDEX(Summary!$F$2:$F$201,MATCH($B3150,Summary!$A$2:$A$201,0))</f>
        <v>20</v>
      </c>
      <c r="M3150" s="0" t="n">
        <f aca="false">INDEX(Summary!$I$2:$I$201,MATCH($B3150,Summary!$A$2:$A$201,0))</f>
        <v>2</v>
      </c>
      <c r="N3150" s="0" t="n">
        <f aca="false">INDEX(Summary!$J$2:$J$201,MATCH($B3150,Summary!$A$2:$A$201,0))</f>
        <v>3</v>
      </c>
      <c r="O3150" s="2" t="n">
        <f aca="false">INDEX(Summary!$K$2:$K$201,MATCH($B3150,Summary!$A$2:$A$201,0))</f>
        <v>8.9</v>
      </c>
      <c r="P3150" s="3" t="n">
        <f aca="false">INDEX(Summary!$L$2:$L$201,MATCH($B3150,Summary!$A$2:$A$201,0))</f>
        <v>5</v>
      </c>
      <c r="Q3150" s="3" t="n">
        <f aca="false">INDEX(Summary!$M$2:$M$201,MATCH($B3150,Summary!$A$2:$A$201,0))</f>
        <v>1</v>
      </c>
      <c r="R3150" s="2" t="n">
        <f aca="false">INDEX(Summary!$N$2:$N$201,MATCH($B3150,Summary!$A$2:$A$201,0))</f>
        <v>11.25</v>
      </c>
      <c r="S3150" s="3" t="n">
        <f aca="false">INDEX(Summary!$O$2:$O$201,MATCH($B3150,Summary!$A$2:$A$201,0))</f>
        <v>6</v>
      </c>
      <c r="T3150" s="3" t="n">
        <f aca="false">INDEX(Summary!$P$2:$P$201,MATCH($B3150,Summary!$A$2:$A$201,0))</f>
        <v>3</v>
      </c>
      <c r="U3150" s="2" t="n">
        <f aca="false">INDEX(Summary!$Q$2:$Q$201,MATCH($B3150,Summary!$A$2:$A$201,0))</f>
        <v>13.61</v>
      </c>
      <c r="V3150" s="2" t="n">
        <f aca="false">INDEX(Summary!$R$2:$R$201,MATCH($B3150,Summary!$A$2:$A$201,0))</f>
        <v>22.89</v>
      </c>
      <c r="W3150" s="0" t="str">
        <f aca="false">INDEX(Summary!$S$2:$S$201,MATCH($B3150,Summary!$A$2:$A$201,0))</f>
        <v>Silver</v>
      </c>
      <c r="X3150" s="2" t="n">
        <f aca="false">INDEX(Summary!$T$2:$T$201,MATCH($B3150,Summary!$A$2:$A$201,0))</f>
        <v>55.83</v>
      </c>
      <c r="Y3150" s="0" t="str">
        <f aca="false">INDEX('Reward Model'!$E$18:$E$37,MATCH($E3150,'Reward Model'!$A$18:$A$37,0))</f>
        <v>Medium</v>
      </c>
      <c r="Z3150" s="4" t="n">
        <f aca="false">ROUND(MIN(1,MAX('Reward Model'!$B$2,INDEX('Reward Model'!$C$12:$C$14,MATCH($K3150,'Reward Model'!$A$12:$A$14,0))/$J3150)),3)</f>
        <v>1</v>
      </c>
      <c r="AA3150" s="2" t="n">
        <f aca="false">IF($I3150="Correct",ROUND(INDEX('Reward Model'!$B$12:$B$14,MATCH($K3150,'Reward Model'!$A$12:$A$14,0))*Z3150,2),0)</f>
        <v>0</v>
      </c>
      <c r="AB3150" s="2" t="n">
        <f aca="false">IF($I3150="Correct",ROUND(INDEX('Reward Model'!$B$12:$B$14,MATCH($Y3150,'Reward Model'!$A$12:$A$14,0))*Z3150,2),0)</f>
        <v>0</v>
      </c>
    </row>
    <row r="3151" customFormat="false" ht="15" hidden="false" customHeight="false" outlineLevel="0" collapsed="false">
      <c r="A3151" s="0" t="s">
        <v>446</v>
      </c>
      <c r="B3151" s="0" t="s">
        <v>447</v>
      </c>
      <c r="C3151" s="0" t="s">
        <v>322</v>
      </c>
      <c r="D3151" s="0" t="s">
        <v>189</v>
      </c>
      <c r="E3151" s="0" t="n">
        <v>10</v>
      </c>
      <c r="F3151" s="0" t="s">
        <v>58</v>
      </c>
      <c r="G3151" s="0" t="s">
        <v>59</v>
      </c>
      <c r="H3151" s="0" t="s">
        <v>59</v>
      </c>
      <c r="I3151" s="0" t="s">
        <v>34</v>
      </c>
      <c r="J3151" s="0" t="n">
        <v>2.23</v>
      </c>
      <c r="K3151" s="0" t="s">
        <v>60</v>
      </c>
      <c r="L3151" s="0" t="n">
        <f aca="false">INDEX(Summary!$F$2:$F$201,MATCH($B3151,Summary!$A$2:$A$201,0))</f>
        <v>20</v>
      </c>
      <c r="M3151" s="0" t="n">
        <f aca="false">INDEX(Summary!$I$2:$I$201,MATCH($B3151,Summary!$A$2:$A$201,0))</f>
        <v>2</v>
      </c>
      <c r="N3151" s="0" t="n">
        <f aca="false">INDEX(Summary!$J$2:$J$201,MATCH($B3151,Summary!$A$2:$A$201,0))</f>
        <v>3</v>
      </c>
      <c r="O3151" s="2" t="n">
        <f aca="false">INDEX(Summary!$K$2:$K$201,MATCH($B3151,Summary!$A$2:$A$201,0))</f>
        <v>8.9</v>
      </c>
      <c r="P3151" s="3" t="n">
        <f aca="false">INDEX(Summary!$L$2:$L$201,MATCH($B3151,Summary!$A$2:$A$201,0))</f>
        <v>5</v>
      </c>
      <c r="Q3151" s="3" t="n">
        <f aca="false">INDEX(Summary!$M$2:$M$201,MATCH($B3151,Summary!$A$2:$A$201,0))</f>
        <v>1</v>
      </c>
      <c r="R3151" s="2" t="n">
        <f aca="false">INDEX(Summary!$N$2:$N$201,MATCH($B3151,Summary!$A$2:$A$201,0))</f>
        <v>11.25</v>
      </c>
      <c r="S3151" s="3" t="n">
        <f aca="false">INDEX(Summary!$O$2:$O$201,MATCH($B3151,Summary!$A$2:$A$201,0))</f>
        <v>6</v>
      </c>
      <c r="T3151" s="3" t="n">
        <f aca="false">INDEX(Summary!$P$2:$P$201,MATCH($B3151,Summary!$A$2:$A$201,0))</f>
        <v>3</v>
      </c>
      <c r="U3151" s="2" t="n">
        <f aca="false">INDEX(Summary!$Q$2:$Q$201,MATCH($B3151,Summary!$A$2:$A$201,0))</f>
        <v>13.61</v>
      </c>
      <c r="V3151" s="2" t="n">
        <f aca="false">INDEX(Summary!$R$2:$R$201,MATCH($B3151,Summary!$A$2:$A$201,0))</f>
        <v>22.89</v>
      </c>
      <c r="W3151" s="0" t="str">
        <f aca="false">INDEX(Summary!$S$2:$S$201,MATCH($B3151,Summary!$A$2:$A$201,0))</f>
        <v>Silver</v>
      </c>
      <c r="X3151" s="2" t="n">
        <f aca="false">INDEX(Summary!$T$2:$T$201,MATCH($B3151,Summary!$A$2:$A$201,0))</f>
        <v>55.83</v>
      </c>
      <c r="Y3151" s="0" t="str">
        <f aca="false">INDEX('Reward Model'!$E$18:$E$37,MATCH($E3151,'Reward Model'!$A$18:$A$37,0))</f>
        <v>Medium</v>
      </c>
      <c r="Z3151" s="4" t="n">
        <f aca="false">ROUND(MIN(1,MAX('Reward Model'!$B$2,INDEX('Reward Model'!$C$12:$C$14,MATCH($K3151,'Reward Model'!$A$12:$A$14,0))/$J3151)),3)</f>
        <v>0.807</v>
      </c>
      <c r="AA3151" s="2" t="n">
        <f aca="false">IF($I3151="Correct",ROUND(INDEX('Reward Model'!$B$12:$B$14,MATCH($K3151,'Reward Model'!$A$12:$A$14,0))*Z3151,2),0)</f>
        <v>1.61</v>
      </c>
      <c r="AB3151" s="2" t="n">
        <f aca="false">IF($I3151="Correct",ROUND(INDEX('Reward Model'!$B$12:$B$14,MATCH($Y3151,'Reward Model'!$A$12:$A$14,0))*Z3151,2),0)</f>
        <v>1.61</v>
      </c>
    </row>
    <row r="3152" customFormat="false" ht="15" hidden="false" customHeight="false" outlineLevel="0" collapsed="false">
      <c r="A3152" s="0" t="s">
        <v>446</v>
      </c>
      <c r="B3152" s="0" t="s">
        <v>447</v>
      </c>
      <c r="C3152" s="0" t="s">
        <v>322</v>
      </c>
      <c r="D3152" s="0" t="s">
        <v>189</v>
      </c>
      <c r="E3152" s="0" t="n">
        <v>11</v>
      </c>
      <c r="F3152" s="0" t="s">
        <v>61</v>
      </c>
      <c r="G3152" s="0" t="s">
        <v>63</v>
      </c>
      <c r="H3152" s="0" t="s">
        <v>63</v>
      </c>
      <c r="I3152" s="0" t="s">
        <v>34</v>
      </c>
      <c r="J3152" s="0" t="n">
        <v>1.21</v>
      </c>
      <c r="K3152" s="0" t="s">
        <v>60</v>
      </c>
      <c r="L3152" s="0" t="n">
        <f aca="false">INDEX(Summary!$F$2:$F$201,MATCH($B3152,Summary!$A$2:$A$201,0))</f>
        <v>20</v>
      </c>
      <c r="M3152" s="0" t="n">
        <f aca="false">INDEX(Summary!$I$2:$I$201,MATCH($B3152,Summary!$A$2:$A$201,0))</f>
        <v>2</v>
      </c>
      <c r="N3152" s="0" t="n">
        <f aca="false">INDEX(Summary!$J$2:$J$201,MATCH($B3152,Summary!$A$2:$A$201,0))</f>
        <v>3</v>
      </c>
      <c r="O3152" s="2" t="n">
        <f aca="false">INDEX(Summary!$K$2:$K$201,MATCH($B3152,Summary!$A$2:$A$201,0))</f>
        <v>8.9</v>
      </c>
      <c r="P3152" s="3" t="n">
        <f aca="false">INDEX(Summary!$L$2:$L$201,MATCH($B3152,Summary!$A$2:$A$201,0))</f>
        <v>5</v>
      </c>
      <c r="Q3152" s="3" t="n">
        <f aca="false">INDEX(Summary!$M$2:$M$201,MATCH($B3152,Summary!$A$2:$A$201,0))</f>
        <v>1</v>
      </c>
      <c r="R3152" s="2" t="n">
        <f aca="false">INDEX(Summary!$N$2:$N$201,MATCH($B3152,Summary!$A$2:$A$201,0))</f>
        <v>11.25</v>
      </c>
      <c r="S3152" s="3" t="n">
        <f aca="false">INDEX(Summary!$O$2:$O$201,MATCH($B3152,Summary!$A$2:$A$201,0))</f>
        <v>6</v>
      </c>
      <c r="T3152" s="3" t="n">
        <f aca="false">INDEX(Summary!$P$2:$P$201,MATCH($B3152,Summary!$A$2:$A$201,0))</f>
        <v>3</v>
      </c>
      <c r="U3152" s="2" t="n">
        <f aca="false">INDEX(Summary!$Q$2:$Q$201,MATCH($B3152,Summary!$A$2:$A$201,0))</f>
        <v>13.61</v>
      </c>
      <c r="V3152" s="2" t="n">
        <f aca="false">INDEX(Summary!$R$2:$R$201,MATCH($B3152,Summary!$A$2:$A$201,0))</f>
        <v>22.89</v>
      </c>
      <c r="W3152" s="0" t="str">
        <f aca="false">INDEX(Summary!$S$2:$S$201,MATCH($B3152,Summary!$A$2:$A$201,0))</f>
        <v>Silver</v>
      </c>
      <c r="X3152" s="2" t="n">
        <f aca="false">INDEX(Summary!$T$2:$T$201,MATCH($B3152,Summary!$A$2:$A$201,0))</f>
        <v>55.83</v>
      </c>
      <c r="Y3152" s="0" t="str">
        <f aca="false">INDEX('Reward Model'!$E$18:$E$37,MATCH($E3152,'Reward Model'!$A$18:$A$37,0))</f>
        <v>Medium</v>
      </c>
      <c r="Z3152" s="4" t="n">
        <f aca="false">ROUND(MIN(1,MAX('Reward Model'!$B$2,INDEX('Reward Model'!$C$12:$C$14,MATCH($K3152,'Reward Model'!$A$12:$A$14,0))/$J3152)),3)</f>
        <v>1</v>
      </c>
      <c r="AA3152" s="2" t="n">
        <f aca="false">IF($I3152="Correct",ROUND(INDEX('Reward Model'!$B$12:$B$14,MATCH($K3152,'Reward Model'!$A$12:$A$14,0))*Z3152,2),0)</f>
        <v>2</v>
      </c>
      <c r="AB3152" s="2" t="n">
        <f aca="false">IF($I3152="Correct",ROUND(INDEX('Reward Model'!$B$12:$B$14,MATCH($Y3152,'Reward Model'!$A$12:$A$14,0))*Z3152,2),0)</f>
        <v>2</v>
      </c>
    </row>
    <row r="3153" customFormat="false" ht="15" hidden="false" customHeight="false" outlineLevel="0" collapsed="false">
      <c r="A3153" s="0" t="s">
        <v>446</v>
      </c>
      <c r="B3153" s="0" t="s">
        <v>447</v>
      </c>
      <c r="C3153" s="0" t="s">
        <v>322</v>
      </c>
      <c r="D3153" s="0" t="s">
        <v>189</v>
      </c>
      <c r="E3153" s="0" t="n">
        <v>12</v>
      </c>
      <c r="F3153" s="0" t="s">
        <v>64</v>
      </c>
      <c r="G3153" s="0" t="s">
        <v>65</v>
      </c>
      <c r="H3153" s="0" t="s">
        <v>65</v>
      </c>
      <c r="I3153" s="0" t="s">
        <v>34</v>
      </c>
      <c r="J3153" s="0" t="n">
        <v>2.14</v>
      </c>
      <c r="K3153" s="0" t="s">
        <v>60</v>
      </c>
      <c r="L3153" s="0" t="n">
        <f aca="false">INDEX(Summary!$F$2:$F$201,MATCH($B3153,Summary!$A$2:$A$201,0))</f>
        <v>20</v>
      </c>
      <c r="M3153" s="0" t="n">
        <f aca="false">INDEX(Summary!$I$2:$I$201,MATCH($B3153,Summary!$A$2:$A$201,0))</f>
        <v>2</v>
      </c>
      <c r="N3153" s="0" t="n">
        <f aca="false">INDEX(Summary!$J$2:$J$201,MATCH($B3153,Summary!$A$2:$A$201,0))</f>
        <v>3</v>
      </c>
      <c r="O3153" s="2" t="n">
        <f aca="false">INDEX(Summary!$K$2:$K$201,MATCH($B3153,Summary!$A$2:$A$201,0))</f>
        <v>8.9</v>
      </c>
      <c r="P3153" s="3" t="n">
        <f aca="false">INDEX(Summary!$L$2:$L$201,MATCH($B3153,Summary!$A$2:$A$201,0))</f>
        <v>5</v>
      </c>
      <c r="Q3153" s="3" t="n">
        <f aca="false">INDEX(Summary!$M$2:$M$201,MATCH($B3153,Summary!$A$2:$A$201,0))</f>
        <v>1</v>
      </c>
      <c r="R3153" s="2" t="n">
        <f aca="false">INDEX(Summary!$N$2:$N$201,MATCH($B3153,Summary!$A$2:$A$201,0))</f>
        <v>11.25</v>
      </c>
      <c r="S3153" s="3" t="n">
        <f aca="false">INDEX(Summary!$O$2:$O$201,MATCH($B3153,Summary!$A$2:$A$201,0))</f>
        <v>6</v>
      </c>
      <c r="T3153" s="3" t="n">
        <f aca="false">INDEX(Summary!$P$2:$P$201,MATCH($B3153,Summary!$A$2:$A$201,0))</f>
        <v>3</v>
      </c>
      <c r="U3153" s="2" t="n">
        <f aca="false">INDEX(Summary!$Q$2:$Q$201,MATCH($B3153,Summary!$A$2:$A$201,0))</f>
        <v>13.61</v>
      </c>
      <c r="V3153" s="2" t="n">
        <f aca="false">INDEX(Summary!$R$2:$R$201,MATCH($B3153,Summary!$A$2:$A$201,0))</f>
        <v>22.89</v>
      </c>
      <c r="W3153" s="0" t="str">
        <f aca="false">INDEX(Summary!$S$2:$S$201,MATCH($B3153,Summary!$A$2:$A$201,0))</f>
        <v>Silver</v>
      </c>
      <c r="X3153" s="2" t="n">
        <f aca="false">INDEX(Summary!$T$2:$T$201,MATCH($B3153,Summary!$A$2:$A$201,0))</f>
        <v>55.83</v>
      </c>
      <c r="Y3153" s="0" t="str">
        <f aca="false">INDEX('Reward Model'!$E$18:$E$37,MATCH($E3153,'Reward Model'!$A$18:$A$37,0))</f>
        <v>Medium</v>
      </c>
      <c r="Z3153" s="4" t="n">
        <f aca="false">ROUND(MIN(1,MAX('Reward Model'!$B$2,INDEX('Reward Model'!$C$12:$C$14,MATCH($K3153,'Reward Model'!$A$12:$A$14,0))/$J3153)),3)</f>
        <v>0.841</v>
      </c>
      <c r="AA3153" s="2" t="n">
        <f aca="false">IF($I3153="Correct",ROUND(INDEX('Reward Model'!$B$12:$B$14,MATCH($K3153,'Reward Model'!$A$12:$A$14,0))*Z3153,2),0)</f>
        <v>1.68</v>
      </c>
      <c r="AB3153" s="2" t="n">
        <f aca="false">IF($I3153="Correct",ROUND(INDEX('Reward Model'!$B$12:$B$14,MATCH($Y3153,'Reward Model'!$A$12:$A$14,0))*Z3153,2),0)</f>
        <v>1.68</v>
      </c>
    </row>
    <row r="3154" customFormat="false" ht="15" hidden="false" customHeight="false" outlineLevel="0" collapsed="false">
      <c r="A3154" s="0" t="s">
        <v>446</v>
      </c>
      <c r="B3154" s="0" t="s">
        <v>447</v>
      </c>
      <c r="C3154" s="0" t="s">
        <v>322</v>
      </c>
      <c r="D3154" s="0" t="s">
        <v>189</v>
      </c>
      <c r="E3154" s="0" t="n">
        <v>13</v>
      </c>
      <c r="F3154" s="0" t="s">
        <v>66</v>
      </c>
      <c r="G3154" s="0" t="s">
        <v>67</v>
      </c>
      <c r="H3154" s="0" t="s">
        <v>67</v>
      </c>
      <c r="I3154" s="0" t="s">
        <v>34</v>
      </c>
      <c r="J3154" s="0" t="n">
        <v>2.13</v>
      </c>
      <c r="K3154" s="0" t="s">
        <v>60</v>
      </c>
      <c r="L3154" s="0" t="n">
        <f aca="false">INDEX(Summary!$F$2:$F$201,MATCH($B3154,Summary!$A$2:$A$201,0))</f>
        <v>20</v>
      </c>
      <c r="M3154" s="0" t="n">
        <f aca="false">INDEX(Summary!$I$2:$I$201,MATCH($B3154,Summary!$A$2:$A$201,0))</f>
        <v>2</v>
      </c>
      <c r="N3154" s="0" t="n">
        <f aca="false">INDEX(Summary!$J$2:$J$201,MATCH($B3154,Summary!$A$2:$A$201,0))</f>
        <v>3</v>
      </c>
      <c r="O3154" s="2" t="n">
        <f aca="false">INDEX(Summary!$K$2:$K$201,MATCH($B3154,Summary!$A$2:$A$201,0))</f>
        <v>8.9</v>
      </c>
      <c r="P3154" s="3" t="n">
        <f aca="false">INDEX(Summary!$L$2:$L$201,MATCH($B3154,Summary!$A$2:$A$201,0))</f>
        <v>5</v>
      </c>
      <c r="Q3154" s="3" t="n">
        <f aca="false">INDEX(Summary!$M$2:$M$201,MATCH($B3154,Summary!$A$2:$A$201,0))</f>
        <v>1</v>
      </c>
      <c r="R3154" s="2" t="n">
        <f aca="false">INDEX(Summary!$N$2:$N$201,MATCH($B3154,Summary!$A$2:$A$201,0))</f>
        <v>11.25</v>
      </c>
      <c r="S3154" s="3" t="n">
        <f aca="false">INDEX(Summary!$O$2:$O$201,MATCH($B3154,Summary!$A$2:$A$201,0))</f>
        <v>6</v>
      </c>
      <c r="T3154" s="3" t="n">
        <f aca="false">INDEX(Summary!$P$2:$P$201,MATCH($B3154,Summary!$A$2:$A$201,0))</f>
        <v>3</v>
      </c>
      <c r="U3154" s="2" t="n">
        <f aca="false">INDEX(Summary!$Q$2:$Q$201,MATCH($B3154,Summary!$A$2:$A$201,0))</f>
        <v>13.61</v>
      </c>
      <c r="V3154" s="2" t="n">
        <f aca="false">INDEX(Summary!$R$2:$R$201,MATCH($B3154,Summary!$A$2:$A$201,0))</f>
        <v>22.89</v>
      </c>
      <c r="W3154" s="0" t="str">
        <f aca="false">INDEX(Summary!$S$2:$S$201,MATCH($B3154,Summary!$A$2:$A$201,0))</f>
        <v>Silver</v>
      </c>
      <c r="X3154" s="2" t="n">
        <f aca="false">INDEX(Summary!$T$2:$T$201,MATCH($B3154,Summary!$A$2:$A$201,0))</f>
        <v>55.83</v>
      </c>
      <c r="Y3154" s="0" t="str">
        <f aca="false">INDEX('Reward Model'!$E$18:$E$37,MATCH($E3154,'Reward Model'!$A$18:$A$37,0))</f>
        <v>Medium</v>
      </c>
      <c r="Z3154" s="4" t="n">
        <f aca="false">ROUND(MIN(1,MAX('Reward Model'!$B$2,INDEX('Reward Model'!$C$12:$C$14,MATCH($K3154,'Reward Model'!$A$12:$A$14,0))/$J3154)),3)</f>
        <v>0.845</v>
      </c>
      <c r="AA3154" s="2" t="n">
        <f aca="false">IF($I3154="Correct",ROUND(INDEX('Reward Model'!$B$12:$B$14,MATCH($K3154,'Reward Model'!$A$12:$A$14,0))*Z3154,2),0)</f>
        <v>1.69</v>
      </c>
      <c r="AB3154" s="2" t="n">
        <f aca="false">IF($I3154="Correct",ROUND(INDEX('Reward Model'!$B$12:$B$14,MATCH($Y3154,'Reward Model'!$A$12:$A$14,0))*Z3154,2),0)</f>
        <v>1.69</v>
      </c>
    </row>
    <row r="3155" customFormat="false" ht="15" hidden="false" customHeight="false" outlineLevel="0" collapsed="false">
      <c r="A3155" s="0" t="s">
        <v>446</v>
      </c>
      <c r="B3155" s="0" t="s">
        <v>447</v>
      </c>
      <c r="C3155" s="0" t="s">
        <v>322</v>
      </c>
      <c r="D3155" s="0" t="s">
        <v>189</v>
      </c>
      <c r="E3155" s="0" t="n">
        <v>14</v>
      </c>
      <c r="F3155" s="0" t="s">
        <v>68</v>
      </c>
      <c r="G3155" s="0" t="s">
        <v>51</v>
      </c>
      <c r="H3155" s="0" t="s">
        <v>51</v>
      </c>
      <c r="I3155" s="0" t="s">
        <v>34</v>
      </c>
      <c r="J3155" s="0" t="n">
        <v>1.85</v>
      </c>
      <c r="K3155" s="0" t="s">
        <v>60</v>
      </c>
      <c r="L3155" s="0" t="n">
        <f aca="false">INDEX(Summary!$F$2:$F$201,MATCH($B3155,Summary!$A$2:$A$201,0))</f>
        <v>20</v>
      </c>
      <c r="M3155" s="0" t="n">
        <f aca="false">INDEX(Summary!$I$2:$I$201,MATCH($B3155,Summary!$A$2:$A$201,0))</f>
        <v>2</v>
      </c>
      <c r="N3155" s="0" t="n">
        <f aca="false">INDEX(Summary!$J$2:$J$201,MATCH($B3155,Summary!$A$2:$A$201,0))</f>
        <v>3</v>
      </c>
      <c r="O3155" s="2" t="n">
        <f aca="false">INDEX(Summary!$K$2:$K$201,MATCH($B3155,Summary!$A$2:$A$201,0))</f>
        <v>8.9</v>
      </c>
      <c r="P3155" s="3" t="n">
        <f aca="false">INDEX(Summary!$L$2:$L$201,MATCH($B3155,Summary!$A$2:$A$201,0))</f>
        <v>5</v>
      </c>
      <c r="Q3155" s="3" t="n">
        <f aca="false">INDEX(Summary!$M$2:$M$201,MATCH($B3155,Summary!$A$2:$A$201,0))</f>
        <v>1</v>
      </c>
      <c r="R3155" s="2" t="n">
        <f aca="false">INDEX(Summary!$N$2:$N$201,MATCH($B3155,Summary!$A$2:$A$201,0))</f>
        <v>11.25</v>
      </c>
      <c r="S3155" s="3" t="n">
        <f aca="false">INDEX(Summary!$O$2:$O$201,MATCH($B3155,Summary!$A$2:$A$201,0))</f>
        <v>6</v>
      </c>
      <c r="T3155" s="3" t="n">
        <f aca="false">INDEX(Summary!$P$2:$P$201,MATCH($B3155,Summary!$A$2:$A$201,0))</f>
        <v>3</v>
      </c>
      <c r="U3155" s="2" t="n">
        <f aca="false">INDEX(Summary!$Q$2:$Q$201,MATCH($B3155,Summary!$A$2:$A$201,0))</f>
        <v>13.61</v>
      </c>
      <c r="V3155" s="2" t="n">
        <f aca="false">INDEX(Summary!$R$2:$R$201,MATCH($B3155,Summary!$A$2:$A$201,0))</f>
        <v>22.89</v>
      </c>
      <c r="W3155" s="0" t="str">
        <f aca="false">INDEX(Summary!$S$2:$S$201,MATCH($B3155,Summary!$A$2:$A$201,0))</f>
        <v>Silver</v>
      </c>
      <c r="X3155" s="2" t="n">
        <f aca="false">INDEX(Summary!$T$2:$T$201,MATCH($B3155,Summary!$A$2:$A$201,0))</f>
        <v>55.83</v>
      </c>
      <c r="Y3155" s="0" t="str">
        <f aca="false">INDEX('Reward Model'!$E$18:$E$37,MATCH($E3155,'Reward Model'!$A$18:$A$37,0))</f>
        <v>Medium</v>
      </c>
      <c r="Z3155" s="4" t="n">
        <f aca="false">ROUND(MIN(1,MAX('Reward Model'!$B$2,INDEX('Reward Model'!$C$12:$C$14,MATCH($K3155,'Reward Model'!$A$12:$A$14,0))/$J3155)),3)</f>
        <v>0.973</v>
      </c>
      <c r="AA3155" s="2" t="n">
        <f aca="false">IF($I3155="Correct",ROUND(INDEX('Reward Model'!$B$12:$B$14,MATCH($K3155,'Reward Model'!$A$12:$A$14,0))*Z3155,2),0)</f>
        <v>1.95</v>
      </c>
      <c r="AB3155" s="2" t="n">
        <f aca="false">IF($I3155="Correct",ROUND(INDEX('Reward Model'!$B$12:$B$14,MATCH($Y3155,'Reward Model'!$A$12:$A$14,0))*Z3155,2),0)</f>
        <v>1.95</v>
      </c>
    </row>
    <row r="3156" customFormat="false" ht="15" hidden="false" customHeight="false" outlineLevel="0" collapsed="false">
      <c r="A3156" s="0" t="s">
        <v>446</v>
      </c>
      <c r="B3156" s="0" t="s">
        <v>447</v>
      </c>
      <c r="C3156" s="0" t="s">
        <v>322</v>
      </c>
      <c r="D3156" s="0" t="s">
        <v>189</v>
      </c>
      <c r="E3156" s="0" t="n">
        <v>15</v>
      </c>
      <c r="F3156" s="0" t="s">
        <v>69</v>
      </c>
      <c r="G3156" s="0" t="s">
        <v>131</v>
      </c>
      <c r="H3156" s="0" t="s">
        <v>70</v>
      </c>
      <c r="I3156" s="0" t="s">
        <v>39</v>
      </c>
      <c r="J3156" s="0" t="n">
        <v>1.69</v>
      </c>
      <c r="K3156" s="0" t="s">
        <v>60</v>
      </c>
      <c r="L3156" s="0" t="n">
        <f aca="false">INDEX(Summary!$F$2:$F$201,MATCH($B3156,Summary!$A$2:$A$201,0))</f>
        <v>20</v>
      </c>
      <c r="M3156" s="0" t="n">
        <f aca="false">INDEX(Summary!$I$2:$I$201,MATCH($B3156,Summary!$A$2:$A$201,0))</f>
        <v>2</v>
      </c>
      <c r="N3156" s="0" t="n">
        <f aca="false">INDEX(Summary!$J$2:$J$201,MATCH($B3156,Summary!$A$2:$A$201,0))</f>
        <v>3</v>
      </c>
      <c r="O3156" s="2" t="n">
        <f aca="false">INDEX(Summary!$K$2:$K$201,MATCH($B3156,Summary!$A$2:$A$201,0))</f>
        <v>8.9</v>
      </c>
      <c r="P3156" s="3" t="n">
        <f aca="false">INDEX(Summary!$L$2:$L$201,MATCH($B3156,Summary!$A$2:$A$201,0))</f>
        <v>5</v>
      </c>
      <c r="Q3156" s="3" t="n">
        <f aca="false">INDEX(Summary!$M$2:$M$201,MATCH($B3156,Summary!$A$2:$A$201,0))</f>
        <v>1</v>
      </c>
      <c r="R3156" s="2" t="n">
        <f aca="false">INDEX(Summary!$N$2:$N$201,MATCH($B3156,Summary!$A$2:$A$201,0))</f>
        <v>11.25</v>
      </c>
      <c r="S3156" s="3" t="n">
        <f aca="false">INDEX(Summary!$O$2:$O$201,MATCH($B3156,Summary!$A$2:$A$201,0))</f>
        <v>6</v>
      </c>
      <c r="T3156" s="3" t="n">
        <f aca="false">INDEX(Summary!$P$2:$P$201,MATCH($B3156,Summary!$A$2:$A$201,0))</f>
        <v>3</v>
      </c>
      <c r="U3156" s="2" t="n">
        <f aca="false">INDEX(Summary!$Q$2:$Q$201,MATCH($B3156,Summary!$A$2:$A$201,0))</f>
        <v>13.61</v>
      </c>
      <c r="V3156" s="2" t="n">
        <f aca="false">INDEX(Summary!$R$2:$R$201,MATCH($B3156,Summary!$A$2:$A$201,0))</f>
        <v>22.89</v>
      </c>
      <c r="W3156" s="0" t="str">
        <f aca="false">INDEX(Summary!$S$2:$S$201,MATCH($B3156,Summary!$A$2:$A$201,0))</f>
        <v>Silver</v>
      </c>
      <c r="X3156" s="2" t="n">
        <f aca="false">INDEX(Summary!$T$2:$T$201,MATCH($B3156,Summary!$A$2:$A$201,0))</f>
        <v>55.83</v>
      </c>
      <c r="Y3156" s="0" t="str">
        <f aca="false">INDEX('Reward Model'!$E$18:$E$37,MATCH($E3156,'Reward Model'!$A$18:$A$37,0))</f>
        <v>Medium</v>
      </c>
      <c r="Z3156" s="4" t="n">
        <f aca="false">ROUND(MIN(1,MAX('Reward Model'!$B$2,INDEX('Reward Model'!$C$12:$C$14,MATCH($K3156,'Reward Model'!$A$12:$A$14,0))/$J3156)),3)</f>
        <v>1</v>
      </c>
      <c r="AA3156" s="2" t="n">
        <f aca="false">IF($I3156="Correct",ROUND(INDEX('Reward Model'!$B$12:$B$14,MATCH($K3156,'Reward Model'!$A$12:$A$14,0))*Z3156,2),0)</f>
        <v>0</v>
      </c>
      <c r="AB3156" s="2" t="n">
        <f aca="false">IF($I3156="Correct",ROUND(INDEX('Reward Model'!$B$12:$B$14,MATCH($Y3156,'Reward Model'!$A$12:$A$14,0))*Z3156,2),0)</f>
        <v>0</v>
      </c>
    </row>
    <row r="3157" customFormat="false" ht="15" hidden="false" customHeight="false" outlineLevel="0" collapsed="false">
      <c r="A3157" s="0" t="s">
        <v>446</v>
      </c>
      <c r="B3157" s="0" t="s">
        <v>447</v>
      </c>
      <c r="C3157" s="0" t="s">
        <v>322</v>
      </c>
      <c r="D3157" s="0" t="s">
        <v>189</v>
      </c>
      <c r="E3157" s="0" t="n">
        <v>16</v>
      </c>
      <c r="F3157" s="0" t="s">
        <v>71</v>
      </c>
      <c r="G3157" s="0" t="s">
        <v>104</v>
      </c>
      <c r="H3157" s="0" t="s">
        <v>72</v>
      </c>
      <c r="I3157" s="0" t="s">
        <v>39</v>
      </c>
      <c r="J3157" s="0" t="n">
        <v>2.09</v>
      </c>
      <c r="K3157" s="0" t="s">
        <v>73</v>
      </c>
      <c r="L3157" s="0" t="n">
        <f aca="false">INDEX(Summary!$F$2:$F$201,MATCH($B3157,Summary!$A$2:$A$201,0))</f>
        <v>20</v>
      </c>
      <c r="M3157" s="0" t="n">
        <f aca="false">INDEX(Summary!$I$2:$I$201,MATCH($B3157,Summary!$A$2:$A$201,0))</f>
        <v>2</v>
      </c>
      <c r="N3157" s="0" t="n">
        <f aca="false">INDEX(Summary!$J$2:$J$201,MATCH($B3157,Summary!$A$2:$A$201,0))</f>
        <v>3</v>
      </c>
      <c r="O3157" s="2" t="n">
        <f aca="false">INDEX(Summary!$K$2:$K$201,MATCH($B3157,Summary!$A$2:$A$201,0))</f>
        <v>8.9</v>
      </c>
      <c r="P3157" s="3" t="n">
        <f aca="false">INDEX(Summary!$L$2:$L$201,MATCH($B3157,Summary!$A$2:$A$201,0))</f>
        <v>5</v>
      </c>
      <c r="Q3157" s="3" t="n">
        <f aca="false">INDEX(Summary!$M$2:$M$201,MATCH($B3157,Summary!$A$2:$A$201,0))</f>
        <v>1</v>
      </c>
      <c r="R3157" s="2" t="n">
        <f aca="false">INDEX(Summary!$N$2:$N$201,MATCH($B3157,Summary!$A$2:$A$201,0))</f>
        <v>11.25</v>
      </c>
      <c r="S3157" s="3" t="n">
        <f aca="false">INDEX(Summary!$O$2:$O$201,MATCH($B3157,Summary!$A$2:$A$201,0))</f>
        <v>6</v>
      </c>
      <c r="T3157" s="3" t="n">
        <f aca="false">INDEX(Summary!$P$2:$P$201,MATCH($B3157,Summary!$A$2:$A$201,0))</f>
        <v>3</v>
      </c>
      <c r="U3157" s="2" t="n">
        <f aca="false">INDEX(Summary!$Q$2:$Q$201,MATCH($B3157,Summary!$A$2:$A$201,0))</f>
        <v>13.61</v>
      </c>
      <c r="V3157" s="2" t="n">
        <f aca="false">INDEX(Summary!$R$2:$R$201,MATCH($B3157,Summary!$A$2:$A$201,0))</f>
        <v>22.89</v>
      </c>
      <c r="W3157" s="0" t="str">
        <f aca="false">INDEX(Summary!$S$2:$S$201,MATCH($B3157,Summary!$A$2:$A$201,0))</f>
        <v>Silver</v>
      </c>
      <c r="X3157" s="2" t="n">
        <f aca="false">INDEX(Summary!$T$2:$T$201,MATCH($B3157,Summary!$A$2:$A$201,0))</f>
        <v>55.83</v>
      </c>
      <c r="Y3157" s="0" t="str">
        <f aca="false">INDEX('Reward Model'!$E$18:$E$37,MATCH($E3157,'Reward Model'!$A$18:$A$37,0))</f>
        <v>High</v>
      </c>
      <c r="Z3157" s="4" t="n">
        <f aca="false">ROUND(MIN(1,MAX('Reward Model'!$B$2,INDEX('Reward Model'!$C$12:$C$14,MATCH($K3157,'Reward Model'!$A$12:$A$14,0))/$J3157)),3)</f>
        <v>0.957</v>
      </c>
      <c r="AA3157" s="2" t="n">
        <f aca="false">IF($I3157="Correct",ROUND(INDEX('Reward Model'!$B$12:$B$14,MATCH($K3157,'Reward Model'!$A$12:$A$14,0))*Z3157,2),0)</f>
        <v>0</v>
      </c>
      <c r="AB3157" s="2" t="n">
        <f aca="false">IF($I3157="Correct",ROUND(INDEX('Reward Model'!$B$12:$B$14,MATCH($Y3157,'Reward Model'!$A$12:$A$14,0))*Z3157,2),0)</f>
        <v>0</v>
      </c>
    </row>
    <row r="3158" customFormat="false" ht="15" hidden="false" customHeight="false" outlineLevel="0" collapsed="false">
      <c r="A3158" s="0" t="s">
        <v>446</v>
      </c>
      <c r="B3158" s="0" t="s">
        <v>447</v>
      </c>
      <c r="C3158" s="0" t="s">
        <v>322</v>
      </c>
      <c r="D3158" s="0" t="s">
        <v>189</v>
      </c>
      <c r="E3158" s="0" t="n">
        <v>17</v>
      </c>
      <c r="F3158" s="0" t="s">
        <v>74</v>
      </c>
      <c r="G3158" s="0" t="s">
        <v>105</v>
      </c>
      <c r="H3158" s="0" t="s">
        <v>75</v>
      </c>
      <c r="I3158" s="0" t="s">
        <v>39</v>
      </c>
      <c r="J3158" s="0" t="n">
        <v>1.89</v>
      </c>
      <c r="K3158" s="0" t="s">
        <v>73</v>
      </c>
      <c r="L3158" s="0" t="n">
        <f aca="false">INDEX(Summary!$F$2:$F$201,MATCH($B3158,Summary!$A$2:$A$201,0))</f>
        <v>20</v>
      </c>
      <c r="M3158" s="0" t="n">
        <f aca="false">INDEX(Summary!$I$2:$I$201,MATCH($B3158,Summary!$A$2:$A$201,0))</f>
        <v>2</v>
      </c>
      <c r="N3158" s="0" t="n">
        <f aca="false">INDEX(Summary!$J$2:$J$201,MATCH($B3158,Summary!$A$2:$A$201,0))</f>
        <v>3</v>
      </c>
      <c r="O3158" s="2" t="n">
        <f aca="false">INDEX(Summary!$K$2:$K$201,MATCH($B3158,Summary!$A$2:$A$201,0))</f>
        <v>8.9</v>
      </c>
      <c r="P3158" s="3" t="n">
        <f aca="false">INDEX(Summary!$L$2:$L$201,MATCH($B3158,Summary!$A$2:$A$201,0))</f>
        <v>5</v>
      </c>
      <c r="Q3158" s="3" t="n">
        <f aca="false">INDEX(Summary!$M$2:$M$201,MATCH($B3158,Summary!$A$2:$A$201,0))</f>
        <v>1</v>
      </c>
      <c r="R3158" s="2" t="n">
        <f aca="false">INDEX(Summary!$N$2:$N$201,MATCH($B3158,Summary!$A$2:$A$201,0))</f>
        <v>11.25</v>
      </c>
      <c r="S3158" s="3" t="n">
        <f aca="false">INDEX(Summary!$O$2:$O$201,MATCH($B3158,Summary!$A$2:$A$201,0))</f>
        <v>6</v>
      </c>
      <c r="T3158" s="3" t="n">
        <f aca="false">INDEX(Summary!$P$2:$P$201,MATCH($B3158,Summary!$A$2:$A$201,0))</f>
        <v>3</v>
      </c>
      <c r="U3158" s="2" t="n">
        <f aca="false">INDEX(Summary!$Q$2:$Q$201,MATCH($B3158,Summary!$A$2:$A$201,0))</f>
        <v>13.61</v>
      </c>
      <c r="V3158" s="2" t="n">
        <f aca="false">INDEX(Summary!$R$2:$R$201,MATCH($B3158,Summary!$A$2:$A$201,0))</f>
        <v>22.89</v>
      </c>
      <c r="W3158" s="0" t="str">
        <f aca="false">INDEX(Summary!$S$2:$S$201,MATCH($B3158,Summary!$A$2:$A$201,0))</f>
        <v>Silver</v>
      </c>
      <c r="X3158" s="2" t="n">
        <f aca="false">INDEX(Summary!$T$2:$T$201,MATCH($B3158,Summary!$A$2:$A$201,0))</f>
        <v>55.83</v>
      </c>
      <c r="Y3158" s="0" t="str">
        <f aca="false">INDEX('Reward Model'!$E$18:$E$37,MATCH($E3158,'Reward Model'!$A$18:$A$37,0))</f>
        <v>High</v>
      </c>
      <c r="Z3158" s="4" t="n">
        <f aca="false">ROUND(MIN(1,MAX('Reward Model'!$B$2,INDEX('Reward Model'!$C$12:$C$14,MATCH($K3158,'Reward Model'!$A$12:$A$14,0))/$J3158)),3)</f>
        <v>1</v>
      </c>
      <c r="AA3158" s="2" t="n">
        <f aca="false">IF($I3158="Correct",ROUND(INDEX('Reward Model'!$B$12:$B$14,MATCH($K3158,'Reward Model'!$A$12:$A$14,0))*Z3158,2),0)</f>
        <v>0</v>
      </c>
      <c r="AB3158" s="2" t="n">
        <f aca="false">IF($I3158="Correct",ROUND(INDEX('Reward Model'!$B$12:$B$14,MATCH($Y3158,'Reward Model'!$A$12:$A$14,0))*Z3158,2),0)</f>
        <v>0</v>
      </c>
    </row>
    <row r="3159" customFormat="false" ht="15" hidden="false" customHeight="false" outlineLevel="0" collapsed="false">
      <c r="A3159" s="0" t="s">
        <v>446</v>
      </c>
      <c r="B3159" s="0" t="s">
        <v>447</v>
      </c>
      <c r="C3159" s="0" t="s">
        <v>322</v>
      </c>
      <c r="D3159" s="0" t="s">
        <v>189</v>
      </c>
      <c r="E3159" s="0" t="n">
        <v>18</v>
      </c>
      <c r="F3159" s="0" t="s">
        <v>76</v>
      </c>
      <c r="G3159" s="0" t="s">
        <v>88</v>
      </c>
      <c r="H3159" s="0" t="s">
        <v>77</v>
      </c>
      <c r="I3159" s="0" t="s">
        <v>39</v>
      </c>
      <c r="J3159" s="0" t="n">
        <v>1.73</v>
      </c>
      <c r="K3159" s="0" t="s">
        <v>73</v>
      </c>
      <c r="L3159" s="0" t="n">
        <f aca="false">INDEX(Summary!$F$2:$F$201,MATCH($B3159,Summary!$A$2:$A$201,0))</f>
        <v>20</v>
      </c>
      <c r="M3159" s="0" t="n">
        <f aca="false">INDEX(Summary!$I$2:$I$201,MATCH($B3159,Summary!$A$2:$A$201,0))</f>
        <v>2</v>
      </c>
      <c r="N3159" s="0" t="n">
        <f aca="false">INDEX(Summary!$J$2:$J$201,MATCH($B3159,Summary!$A$2:$A$201,0))</f>
        <v>3</v>
      </c>
      <c r="O3159" s="2" t="n">
        <f aca="false">INDEX(Summary!$K$2:$K$201,MATCH($B3159,Summary!$A$2:$A$201,0))</f>
        <v>8.9</v>
      </c>
      <c r="P3159" s="3" t="n">
        <f aca="false">INDEX(Summary!$L$2:$L$201,MATCH($B3159,Summary!$A$2:$A$201,0))</f>
        <v>5</v>
      </c>
      <c r="Q3159" s="3" t="n">
        <f aca="false">INDEX(Summary!$M$2:$M$201,MATCH($B3159,Summary!$A$2:$A$201,0))</f>
        <v>1</v>
      </c>
      <c r="R3159" s="2" t="n">
        <f aca="false">INDEX(Summary!$N$2:$N$201,MATCH($B3159,Summary!$A$2:$A$201,0))</f>
        <v>11.25</v>
      </c>
      <c r="S3159" s="3" t="n">
        <f aca="false">INDEX(Summary!$O$2:$O$201,MATCH($B3159,Summary!$A$2:$A$201,0))</f>
        <v>6</v>
      </c>
      <c r="T3159" s="3" t="n">
        <f aca="false">INDEX(Summary!$P$2:$P$201,MATCH($B3159,Summary!$A$2:$A$201,0))</f>
        <v>3</v>
      </c>
      <c r="U3159" s="2" t="n">
        <f aca="false">INDEX(Summary!$Q$2:$Q$201,MATCH($B3159,Summary!$A$2:$A$201,0))</f>
        <v>13.61</v>
      </c>
      <c r="V3159" s="2" t="n">
        <f aca="false">INDEX(Summary!$R$2:$R$201,MATCH($B3159,Summary!$A$2:$A$201,0))</f>
        <v>22.89</v>
      </c>
      <c r="W3159" s="0" t="str">
        <f aca="false">INDEX(Summary!$S$2:$S$201,MATCH($B3159,Summary!$A$2:$A$201,0))</f>
        <v>Silver</v>
      </c>
      <c r="X3159" s="2" t="n">
        <f aca="false">INDEX(Summary!$T$2:$T$201,MATCH($B3159,Summary!$A$2:$A$201,0))</f>
        <v>55.83</v>
      </c>
      <c r="Y3159" s="0" t="str">
        <f aca="false">INDEX('Reward Model'!$E$18:$E$37,MATCH($E3159,'Reward Model'!$A$18:$A$37,0))</f>
        <v>High</v>
      </c>
      <c r="Z3159" s="4" t="n">
        <f aca="false">ROUND(MIN(1,MAX('Reward Model'!$B$2,INDEX('Reward Model'!$C$12:$C$14,MATCH($K3159,'Reward Model'!$A$12:$A$14,0))/$J3159)),3)</f>
        <v>1</v>
      </c>
      <c r="AA3159" s="2" t="n">
        <f aca="false">IF($I3159="Correct",ROUND(INDEX('Reward Model'!$B$12:$B$14,MATCH($K3159,'Reward Model'!$A$12:$A$14,0))*Z3159,2),0)</f>
        <v>0</v>
      </c>
      <c r="AB3159" s="2" t="n">
        <f aca="false">IF($I3159="Correct",ROUND(INDEX('Reward Model'!$B$12:$B$14,MATCH($Y3159,'Reward Model'!$A$12:$A$14,0))*Z3159,2),0)</f>
        <v>0</v>
      </c>
    </row>
    <row r="3160" customFormat="false" ht="15" hidden="false" customHeight="false" outlineLevel="0" collapsed="false">
      <c r="A3160" s="0" t="s">
        <v>446</v>
      </c>
      <c r="B3160" s="0" t="s">
        <v>447</v>
      </c>
      <c r="C3160" s="0" t="s">
        <v>322</v>
      </c>
      <c r="D3160" s="0" t="s">
        <v>189</v>
      </c>
      <c r="E3160" s="0" t="n">
        <v>19</v>
      </c>
      <c r="F3160" s="0" t="s">
        <v>78</v>
      </c>
      <c r="G3160" s="0" t="s">
        <v>80</v>
      </c>
      <c r="H3160" s="0" t="s">
        <v>80</v>
      </c>
      <c r="I3160" s="0" t="s">
        <v>34</v>
      </c>
      <c r="J3160" s="0" t="n">
        <v>1.42</v>
      </c>
      <c r="K3160" s="0" t="s">
        <v>73</v>
      </c>
      <c r="L3160" s="0" t="n">
        <f aca="false">INDEX(Summary!$F$2:$F$201,MATCH($B3160,Summary!$A$2:$A$201,0))</f>
        <v>20</v>
      </c>
      <c r="M3160" s="0" t="n">
        <f aca="false">INDEX(Summary!$I$2:$I$201,MATCH($B3160,Summary!$A$2:$A$201,0))</f>
        <v>2</v>
      </c>
      <c r="N3160" s="0" t="n">
        <f aca="false">INDEX(Summary!$J$2:$J$201,MATCH($B3160,Summary!$A$2:$A$201,0))</f>
        <v>3</v>
      </c>
      <c r="O3160" s="2" t="n">
        <f aca="false">INDEX(Summary!$K$2:$K$201,MATCH($B3160,Summary!$A$2:$A$201,0))</f>
        <v>8.9</v>
      </c>
      <c r="P3160" s="3" t="n">
        <f aca="false">INDEX(Summary!$L$2:$L$201,MATCH($B3160,Summary!$A$2:$A$201,0))</f>
        <v>5</v>
      </c>
      <c r="Q3160" s="3" t="n">
        <f aca="false">INDEX(Summary!$M$2:$M$201,MATCH($B3160,Summary!$A$2:$A$201,0))</f>
        <v>1</v>
      </c>
      <c r="R3160" s="2" t="n">
        <f aca="false">INDEX(Summary!$N$2:$N$201,MATCH($B3160,Summary!$A$2:$A$201,0))</f>
        <v>11.25</v>
      </c>
      <c r="S3160" s="3" t="n">
        <f aca="false">INDEX(Summary!$O$2:$O$201,MATCH($B3160,Summary!$A$2:$A$201,0))</f>
        <v>6</v>
      </c>
      <c r="T3160" s="3" t="n">
        <f aca="false">INDEX(Summary!$P$2:$P$201,MATCH($B3160,Summary!$A$2:$A$201,0))</f>
        <v>3</v>
      </c>
      <c r="U3160" s="2" t="n">
        <f aca="false">INDEX(Summary!$Q$2:$Q$201,MATCH($B3160,Summary!$A$2:$A$201,0))</f>
        <v>13.61</v>
      </c>
      <c r="V3160" s="2" t="n">
        <f aca="false">INDEX(Summary!$R$2:$R$201,MATCH($B3160,Summary!$A$2:$A$201,0))</f>
        <v>22.89</v>
      </c>
      <c r="W3160" s="0" t="str">
        <f aca="false">INDEX(Summary!$S$2:$S$201,MATCH($B3160,Summary!$A$2:$A$201,0))</f>
        <v>Silver</v>
      </c>
      <c r="X3160" s="2" t="n">
        <f aca="false">INDEX(Summary!$T$2:$T$201,MATCH($B3160,Summary!$A$2:$A$201,0))</f>
        <v>55.83</v>
      </c>
      <c r="Y3160" s="0" t="str">
        <f aca="false">INDEX('Reward Model'!$E$18:$E$37,MATCH($E3160,'Reward Model'!$A$18:$A$37,0))</f>
        <v>High</v>
      </c>
      <c r="Z3160" s="4" t="n">
        <f aca="false">ROUND(MIN(1,MAX('Reward Model'!$B$2,INDEX('Reward Model'!$C$12:$C$14,MATCH($K3160,'Reward Model'!$A$12:$A$14,0))/$J3160)),3)</f>
        <v>1</v>
      </c>
      <c r="AA3160" s="2" t="n">
        <f aca="false">IF($I3160="Correct",ROUND(INDEX('Reward Model'!$B$12:$B$14,MATCH($K3160,'Reward Model'!$A$12:$A$14,0))*Z3160,2),0)</f>
        <v>3</v>
      </c>
      <c r="AB3160" s="2" t="n">
        <f aca="false">IF($I3160="Correct",ROUND(INDEX('Reward Model'!$B$12:$B$14,MATCH($Y3160,'Reward Model'!$A$12:$A$14,0))*Z3160,2),0)</f>
        <v>3</v>
      </c>
    </row>
    <row r="3161" customFormat="false" ht="15" hidden="false" customHeight="false" outlineLevel="0" collapsed="false">
      <c r="A3161" s="0" t="s">
        <v>446</v>
      </c>
      <c r="B3161" s="0" t="s">
        <v>447</v>
      </c>
      <c r="C3161" s="0" t="s">
        <v>322</v>
      </c>
      <c r="D3161" s="0" t="s">
        <v>189</v>
      </c>
      <c r="E3161" s="0" t="n">
        <v>20</v>
      </c>
      <c r="F3161" s="0" t="s">
        <v>81</v>
      </c>
      <c r="G3161" s="0" t="s">
        <v>83</v>
      </c>
      <c r="H3161" s="0" t="s">
        <v>83</v>
      </c>
      <c r="I3161" s="0" t="s">
        <v>34</v>
      </c>
      <c r="J3161" s="0" t="n">
        <v>1.77</v>
      </c>
      <c r="K3161" s="0" t="s">
        <v>73</v>
      </c>
      <c r="L3161" s="0" t="n">
        <f aca="false">INDEX(Summary!$F$2:$F$201,MATCH($B3161,Summary!$A$2:$A$201,0))</f>
        <v>20</v>
      </c>
      <c r="M3161" s="0" t="n">
        <f aca="false">INDEX(Summary!$I$2:$I$201,MATCH($B3161,Summary!$A$2:$A$201,0))</f>
        <v>2</v>
      </c>
      <c r="N3161" s="0" t="n">
        <f aca="false">INDEX(Summary!$J$2:$J$201,MATCH($B3161,Summary!$A$2:$A$201,0))</f>
        <v>3</v>
      </c>
      <c r="O3161" s="2" t="n">
        <f aca="false">INDEX(Summary!$K$2:$K$201,MATCH($B3161,Summary!$A$2:$A$201,0))</f>
        <v>8.9</v>
      </c>
      <c r="P3161" s="3" t="n">
        <f aca="false">INDEX(Summary!$L$2:$L$201,MATCH($B3161,Summary!$A$2:$A$201,0))</f>
        <v>5</v>
      </c>
      <c r="Q3161" s="3" t="n">
        <f aca="false">INDEX(Summary!$M$2:$M$201,MATCH($B3161,Summary!$A$2:$A$201,0))</f>
        <v>1</v>
      </c>
      <c r="R3161" s="2" t="n">
        <f aca="false">INDEX(Summary!$N$2:$N$201,MATCH($B3161,Summary!$A$2:$A$201,0))</f>
        <v>11.25</v>
      </c>
      <c r="S3161" s="3" t="n">
        <f aca="false">INDEX(Summary!$O$2:$O$201,MATCH($B3161,Summary!$A$2:$A$201,0))</f>
        <v>6</v>
      </c>
      <c r="T3161" s="3" t="n">
        <f aca="false">INDEX(Summary!$P$2:$P$201,MATCH($B3161,Summary!$A$2:$A$201,0))</f>
        <v>3</v>
      </c>
      <c r="U3161" s="2" t="n">
        <f aca="false">INDEX(Summary!$Q$2:$Q$201,MATCH($B3161,Summary!$A$2:$A$201,0))</f>
        <v>13.61</v>
      </c>
      <c r="V3161" s="2" t="n">
        <f aca="false">INDEX(Summary!$R$2:$R$201,MATCH($B3161,Summary!$A$2:$A$201,0))</f>
        <v>22.89</v>
      </c>
      <c r="W3161" s="0" t="str">
        <f aca="false">INDEX(Summary!$S$2:$S$201,MATCH($B3161,Summary!$A$2:$A$201,0))</f>
        <v>Silver</v>
      </c>
      <c r="X3161" s="2" t="n">
        <f aca="false">INDEX(Summary!$T$2:$T$201,MATCH($B3161,Summary!$A$2:$A$201,0))</f>
        <v>55.83</v>
      </c>
      <c r="Y3161" s="0" t="str">
        <f aca="false">INDEX('Reward Model'!$E$18:$E$37,MATCH($E3161,'Reward Model'!$A$18:$A$37,0))</f>
        <v>High</v>
      </c>
      <c r="Z3161" s="4" t="n">
        <f aca="false">ROUND(MIN(1,MAX('Reward Model'!$B$2,INDEX('Reward Model'!$C$12:$C$14,MATCH($K3161,'Reward Model'!$A$12:$A$14,0))/$J3161)),3)</f>
        <v>1</v>
      </c>
      <c r="AA3161" s="2" t="n">
        <f aca="false">IF($I3161="Correct",ROUND(INDEX('Reward Model'!$B$12:$B$14,MATCH($K3161,'Reward Model'!$A$12:$A$14,0))*Z3161,2),0)</f>
        <v>3</v>
      </c>
      <c r="AB3161" s="2" t="n">
        <f aca="false">IF($I3161="Correct",ROUND(INDEX('Reward Model'!$B$12:$B$14,MATCH($Y3161,'Reward Model'!$A$12:$A$14,0))*Z3161,2),0)</f>
        <v>3</v>
      </c>
    </row>
    <row r="3162" customFormat="false" ht="15" hidden="false" customHeight="false" outlineLevel="0" collapsed="false">
      <c r="A3162" s="0" t="s">
        <v>448</v>
      </c>
      <c r="B3162" s="0" t="s">
        <v>449</v>
      </c>
      <c r="C3162" s="0" t="s">
        <v>322</v>
      </c>
      <c r="D3162" s="0" t="s">
        <v>189</v>
      </c>
      <c r="E3162" s="0" t="n">
        <v>1</v>
      </c>
      <c r="F3162" s="0" t="s">
        <v>32</v>
      </c>
      <c r="G3162" s="0" t="s">
        <v>33</v>
      </c>
      <c r="H3162" s="0" t="s">
        <v>33</v>
      </c>
      <c r="I3162" s="0" t="s">
        <v>34</v>
      </c>
      <c r="J3162" s="0" t="n">
        <v>1.97</v>
      </c>
      <c r="K3162" s="0" t="s">
        <v>35</v>
      </c>
      <c r="L3162" s="0" t="n">
        <f aca="false">INDEX(Summary!$F$2:$F$201,MATCH($B3162,Summary!$A$2:$A$201,0))</f>
        <v>20</v>
      </c>
      <c r="M3162" s="0" t="n">
        <f aca="false">INDEX(Summary!$I$2:$I$201,MATCH($B3162,Summary!$A$2:$A$201,0))</f>
        <v>1</v>
      </c>
      <c r="N3162" s="0" t="n">
        <f aca="false">INDEX(Summary!$J$2:$J$201,MATCH($B3162,Summary!$A$2:$A$201,0))</f>
        <v>4</v>
      </c>
      <c r="O3162" s="2" t="n">
        <f aca="false">INDEX(Summary!$K$2:$K$201,MATCH($B3162,Summary!$A$2:$A$201,0))</f>
        <v>8.95</v>
      </c>
      <c r="P3162" s="3" t="n">
        <f aca="false">INDEX(Summary!$L$2:$L$201,MATCH($B3162,Summary!$A$2:$A$201,0))</f>
        <v>4</v>
      </c>
      <c r="Q3162" s="3" t="n">
        <f aca="false">INDEX(Summary!$M$2:$M$201,MATCH($B3162,Summary!$A$2:$A$201,0))</f>
        <v>2</v>
      </c>
      <c r="R3162" s="2" t="n">
        <f aca="false">INDEX(Summary!$N$2:$N$201,MATCH($B3162,Summary!$A$2:$A$201,0))</f>
        <v>10.95</v>
      </c>
      <c r="S3162" s="3" t="n">
        <f aca="false">INDEX(Summary!$O$2:$O$201,MATCH($B3162,Summary!$A$2:$A$201,0))</f>
        <v>8</v>
      </c>
      <c r="T3162" s="3" t="n">
        <f aca="false">INDEX(Summary!$P$2:$P$201,MATCH($B3162,Summary!$A$2:$A$201,0))</f>
        <v>1</v>
      </c>
      <c r="U3162" s="2" t="n">
        <f aca="false">INDEX(Summary!$Q$2:$Q$201,MATCH($B3162,Summary!$A$2:$A$201,0))</f>
        <v>13.89</v>
      </c>
      <c r="V3162" s="2" t="n">
        <f aca="false">INDEX(Summary!$R$2:$R$201,MATCH($B3162,Summary!$A$2:$A$201,0))</f>
        <v>22.64</v>
      </c>
      <c r="W3162" s="0" t="str">
        <f aca="false">INDEX(Summary!$S$2:$S$201,MATCH($B3162,Summary!$A$2:$A$201,0))</f>
        <v>Silver</v>
      </c>
      <c r="X3162" s="2" t="n">
        <f aca="false">INDEX(Summary!$T$2:$T$201,MATCH($B3162,Summary!$A$2:$A$201,0))</f>
        <v>55.22</v>
      </c>
      <c r="Y3162" s="0" t="str">
        <f aca="false">INDEX('Reward Model'!$E$18:$E$37,MATCH($E3162,'Reward Model'!$A$18:$A$37,0))</f>
        <v>Medium</v>
      </c>
      <c r="Z3162" s="4" t="n">
        <f aca="false">ROUND(MIN(1,MAX('Reward Model'!$B$2,INDEX('Reward Model'!$C$12:$C$14,MATCH($K3162,'Reward Model'!$A$12:$A$14,0))/$J3162)),3)</f>
        <v>0.761</v>
      </c>
      <c r="AA3162" s="2" t="n">
        <f aca="false">IF($I3162="Correct",ROUND(INDEX('Reward Model'!$B$12:$B$14,MATCH($K3162,'Reward Model'!$A$12:$A$14,0))*Z3162,2),0)</f>
        <v>0.76</v>
      </c>
      <c r="AB3162" s="2" t="n">
        <f aca="false">IF($I3162="Correct",ROUND(INDEX('Reward Model'!$B$12:$B$14,MATCH($Y3162,'Reward Model'!$A$12:$A$14,0))*Z3162,2),0)</f>
        <v>1.52</v>
      </c>
    </row>
    <row r="3163" customFormat="false" ht="15" hidden="false" customHeight="false" outlineLevel="0" collapsed="false">
      <c r="A3163" s="0" t="s">
        <v>448</v>
      </c>
      <c r="B3163" s="0" t="s">
        <v>449</v>
      </c>
      <c r="C3163" s="0" t="s">
        <v>322</v>
      </c>
      <c r="D3163" s="0" t="s">
        <v>189</v>
      </c>
      <c r="E3163" s="0" t="n">
        <v>2</v>
      </c>
      <c r="F3163" s="0" t="s">
        <v>36</v>
      </c>
      <c r="G3163" s="0" t="s">
        <v>38</v>
      </c>
      <c r="H3163" s="0" t="s">
        <v>38</v>
      </c>
      <c r="I3163" s="0" t="s">
        <v>34</v>
      </c>
      <c r="J3163" s="0" t="n">
        <v>1.48</v>
      </c>
      <c r="K3163" s="0" t="s">
        <v>35</v>
      </c>
      <c r="L3163" s="0" t="n">
        <f aca="false">INDEX(Summary!$F$2:$F$201,MATCH($B3163,Summary!$A$2:$A$201,0))</f>
        <v>20</v>
      </c>
      <c r="M3163" s="0" t="n">
        <f aca="false">INDEX(Summary!$I$2:$I$201,MATCH($B3163,Summary!$A$2:$A$201,0))</f>
        <v>1</v>
      </c>
      <c r="N3163" s="0" t="n">
        <f aca="false">INDEX(Summary!$J$2:$J$201,MATCH($B3163,Summary!$A$2:$A$201,0))</f>
        <v>4</v>
      </c>
      <c r="O3163" s="2" t="n">
        <f aca="false">INDEX(Summary!$K$2:$K$201,MATCH($B3163,Summary!$A$2:$A$201,0))</f>
        <v>8.95</v>
      </c>
      <c r="P3163" s="3" t="n">
        <f aca="false">INDEX(Summary!$L$2:$L$201,MATCH($B3163,Summary!$A$2:$A$201,0))</f>
        <v>4</v>
      </c>
      <c r="Q3163" s="3" t="n">
        <f aca="false">INDEX(Summary!$M$2:$M$201,MATCH($B3163,Summary!$A$2:$A$201,0))</f>
        <v>2</v>
      </c>
      <c r="R3163" s="2" t="n">
        <f aca="false">INDEX(Summary!$N$2:$N$201,MATCH($B3163,Summary!$A$2:$A$201,0))</f>
        <v>10.95</v>
      </c>
      <c r="S3163" s="3" t="n">
        <f aca="false">INDEX(Summary!$O$2:$O$201,MATCH($B3163,Summary!$A$2:$A$201,0))</f>
        <v>8</v>
      </c>
      <c r="T3163" s="3" t="n">
        <f aca="false">INDEX(Summary!$P$2:$P$201,MATCH($B3163,Summary!$A$2:$A$201,0))</f>
        <v>1</v>
      </c>
      <c r="U3163" s="2" t="n">
        <f aca="false">INDEX(Summary!$Q$2:$Q$201,MATCH($B3163,Summary!$A$2:$A$201,0))</f>
        <v>13.89</v>
      </c>
      <c r="V3163" s="2" t="n">
        <f aca="false">INDEX(Summary!$R$2:$R$201,MATCH($B3163,Summary!$A$2:$A$201,0))</f>
        <v>22.64</v>
      </c>
      <c r="W3163" s="0" t="str">
        <f aca="false">INDEX(Summary!$S$2:$S$201,MATCH($B3163,Summary!$A$2:$A$201,0))</f>
        <v>Silver</v>
      </c>
      <c r="X3163" s="2" t="n">
        <f aca="false">INDEX(Summary!$T$2:$T$201,MATCH($B3163,Summary!$A$2:$A$201,0))</f>
        <v>55.22</v>
      </c>
      <c r="Y3163" s="0" t="str">
        <f aca="false">INDEX('Reward Model'!$E$18:$E$37,MATCH($E3163,'Reward Model'!$A$18:$A$37,0))</f>
        <v>Low</v>
      </c>
      <c r="Z3163" s="4" t="n">
        <f aca="false">ROUND(MIN(1,MAX('Reward Model'!$B$2,INDEX('Reward Model'!$C$12:$C$14,MATCH($K3163,'Reward Model'!$A$12:$A$14,0))/$J3163)),3)</f>
        <v>1</v>
      </c>
      <c r="AA3163" s="2" t="n">
        <f aca="false">IF($I3163="Correct",ROUND(INDEX('Reward Model'!$B$12:$B$14,MATCH($K3163,'Reward Model'!$A$12:$A$14,0))*Z3163,2),0)</f>
        <v>1</v>
      </c>
      <c r="AB3163" s="2" t="n">
        <f aca="false">IF($I3163="Correct",ROUND(INDEX('Reward Model'!$B$12:$B$14,MATCH($Y3163,'Reward Model'!$A$12:$A$14,0))*Z3163,2),0)</f>
        <v>1</v>
      </c>
    </row>
    <row r="3164" customFormat="false" ht="15" hidden="false" customHeight="false" outlineLevel="0" collapsed="false">
      <c r="A3164" s="0" t="s">
        <v>448</v>
      </c>
      <c r="B3164" s="0" t="s">
        <v>449</v>
      </c>
      <c r="C3164" s="0" t="s">
        <v>322</v>
      </c>
      <c r="D3164" s="0" t="s">
        <v>189</v>
      </c>
      <c r="E3164" s="0" t="n">
        <v>3</v>
      </c>
      <c r="F3164" s="0" t="s">
        <v>40</v>
      </c>
      <c r="G3164" s="0" t="s">
        <v>42</v>
      </c>
      <c r="H3164" s="0" t="s">
        <v>42</v>
      </c>
      <c r="I3164" s="0" t="s">
        <v>34</v>
      </c>
      <c r="J3164" s="0" t="n">
        <v>1.82</v>
      </c>
      <c r="K3164" s="0" t="s">
        <v>35</v>
      </c>
      <c r="L3164" s="0" t="n">
        <f aca="false">INDEX(Summary!$F$2:$F$201,MATCH($B3164,Summary!$A$2:$A$201,0))</f>
        <v>20</v>
      </c>
      <c r="M3164" s="0" t="n">
        <f aca="false">INDEX(Summary!$I$2:$I$201,MATCH($B3164,Summary!$A$2:$A$201,0))</f>
        <v>1</v>
      </c>
      <c r="N3164" s="0" t="n">
        <f aca="false">INDEX(Summary!$J$2:$J$201,MATCH($B3164,Summary!$A$2:$A$201,0))</f>
        <v>4</v>
      </c>
      <c r="O3164" s="2" t="n">
        <f aca="false">INDEX(Summary!$K$2:$K$201,MATCH($B3164,Summary!$A$2:$A$201,0))</f>
        <v>8.95</v>
      </c>
      <c r="P3164" s="3" t="n">
        <f aca="false">INDEX(Summary!$L$2:$L$201,MATCH($B3164,Summary!$A$2:$A$201,0))</f>
        <v>4</v>
      </c>
      <c r="Q3164" s="3" t="n">
        <f aca="false">INDEX(Summary!$M$2:$M$201,MATCH($B3164,Summary!$A$2:$A$201,0))</f>
        <v>2</v>
      </c>
      <c r="R3164" s="2" t="n">
        <f aca="false">INDEX(Summary!$N$2:$N$201,MATCH($B3164,Summary!$A$2:$A$201,0))</f>
        <v>10.95</v>
      </c>
      <c r="S3164" s="3" t="n">
        <f aca="false">INDEX(Summary!$O$2:$O$201,MATCH($B3164,Summary!$A$2:$A$201,0))</f>
        <v>8</v>
      </c>
      <c r="T3164" s="3" t="n">
        <f aca="false">INDEX(Summary!$P$2:$P$201,MATCH($B3164,Summary!$A$2:$A$201,0))</f>
        <v>1</v>
      </c>
      <c r="U3164" s="2" t="n">
        <f aca="false">INDEX(Summary!$Q$2:$Q$201,MATCH($B3164,Summary!$A$2:$A$201,0))</f>
        <v>13.89</v>
      </c>
      <c r="V3164" s="2" t="n">
        <f aca="false">INDEX(Summary!$R$2:$R$201,MATCH($B3164,Summary!$A$2:$A$201,0))</f>
        <v>22.64</v>
      </c>
      <c r="W3164" s="0" t="str">
        <f aca="false">INDEX(Summary!$S$2:$S$201,MATCH($B3164,Summary!$A$2:$A$201,0))</f>
        <v>Silver</v>
      </c>
      <c r="X3164" s="2" t="n">
        <f aca="false">INDEX(Summary!$T$2:$T$201,MATCH($B3164,Summary!$A$2:$A$201,0))</f>
        <v>55.22</v>
      </c>
      <c r="Y3164" s="0" t="str">
        <f aca="false">INDEX('Reward Model'!$E$18:$E$37,MATCH($E3164,'Reward Model'!$A$18:$A$37,0))</f>
        <v>Medium</v>
      </c>
      <c r="Z3164" s="4" t="n">
        <f aca="false">ROUND(MIN(1,MAX('Reward Model'!$B$2,INDEX('Reward Model'!$C$12:$C$14,MATCH($K3164,'Reward Model'!$A$12:$A$14,0))/$J3164)),3)</f>
        <v>0.824</v>
      </c>
      <c r="AA3164" s="2" t="n">
        <f aca="false">IF($I3164="Correct",ROUND(INDEX('Reward Model'!$B$12:$B$14,MATCH($K3164,'Reward Model'!$A$12:$A$14,0))*Z3164,2),0)</f>
        <v>0.82</v>
      </c>
      <c r="AB3164" s="2" t="n">
        <f aca="false">IF($I3164="Correct",ROUND(INDEX('Reward Model'!$B$12:$B$14,MATCH($Y3164,'Reward Model'!$A$12:$A$14,0))*Z3164,2),0)</f>
        <v>1.65</v>
      </c>
    </row>
    <row r="3165" customFormat="false" ht="15" hidden="false" customHeight="false" outlineLevel="0" collapsed="false">
      <c r="A3165" s="0" t="s">
        <v>448</v>
      </c>
      <c r="B3165" s="0" t="s">
        <v>449</v>
      </c>
      <c r="C3165" s="0" t="s">
        <v>322</v>
      </c>
      <c r="D3165" s="0" t="s">
        <v>189</v>
      </c>
      <c r="E3165" s="0" t="n">
        <v>4</v>
      </c>
      <c r="F3165" s="0" t="s">
        <v>43</v>
      </c>
      <c r="G3165" s="0" t="s">
        <v>45</v>
      </c>
      <c r="H3165" s="0" t="s">
        <v>45</v>
      </c>
      <c r="I3165" s="0" t="s">
        <v>34</v>
      </c>
      <c r="J3165" s="0" t="n">
        <v>1.47</v>
      </c>
      <c r="K3165" s="0" t="s">
        <v>35</v>
      </c>
      <c r="L3165" s="0" t="n">
        <f aca="false">INDEX(Summary!$F$2:$F$201,MATCH($B3165,Summary!$A$2:$A$201,0))</f>
        <v>20</v>
      </c>
      <c r="M3165" s="0" t="n">
        <f aca="false">INDEX(Summary!$I$2:$I$201,MATCH($B3165,Summary!$A$2:$A$201,0))</f>
        <v>1</v>
      </c>
      <c r="N3165" s="0" t="n">
        <f aca="false">INDEX(Summary!$J$2:$J$201,MATCH($B3165,Summary!$A$2:$A$201,0))</f>
        <v>4</v>
      </c>
      <c r="O3165" s="2" t="n">
        <f aca="false">INDEX(Summary!$K$2:$K$201,MATCH($B3165,Summary!$A$2:$A$201,0))</f>
        <v>8.95</v>
      </c>
      <c r="P3165" s="3" t="n">
        <f aca="false">INDEX(Summary!$L$2:$L$201,MATCH($B3165,Summary!$A$2:$A$201,0))</f>
        <v>4</v>
      </c>
      <c r="Q3165" s="3" t="n">
        <f aca="false">INDEX(Summary!$M$2:$M$201,MATCH($B3165,Summary!$A$2:$A$201,0))</f>
        <v>2</v>
      </c>
      <c r="R3165" s="2" t="n">
        <f aca="false">INDEX(Summary!$N$2:$N$201,MATCH($B3165,Summary!$A$2:$A$201,0))</f>
        <v>10.95</v>
      </c>
      <c r="S3165" s="3" t="n">
        <f aca="false">INDEX(Summary!$O$2:$O$201,MATCH($B3165,Summary!$A$2:$A$201,0))</f>
        <v>8</v>
      </c>
      <c r="T3165" s="3" t="n">
        <f aca="false">INDEX(Summary!$P$2:$P$201,MATCH($B3165,Summary!$A$2:$A$201,0))</f>
        <v>1</v>
      </c>
      <c r="U3165" s="2" t="n">
        <f aca="false">INDEX(Summary!$Q$2:$Q$201,MATCH($B3165,Summary!$A$2:$A$201,0))</f>
        <v>13.89</v>
      </c>
      <c r="V3165" s="2" t="n">
        <f aca="false">INDEX(Summary!$R$2:$R$201,MATCH($B3165,Summary!$A$2:$A$201,0))</f>
        <v>22.64</v>
      </c>
      <c r="W3165" s="0" t="str">
        <f aca="false">INDEX(Summary!$S$2:$S$201,MATCH($B3165,Summary!$A$2:$A$201,0))</f>
        <v>Silver</v>
      </c>
      <c r="X3165" s="2" t="n">
        <f aca="false">INDEX(Summary!$T$2:$T$201,MATCH($B3165,Summary!$A$2:$A$201,0))</f>
        <v>55.22</v>
      </c>
      <c r="Y3165" s="0" t="str">
        <f aca="false">INDEX('Reward Model'!$E$18:$E$37,MATCH($E3165,'Reward Model'!$A$18:$A$37,0))</f>
        <v>Low</v>
      </c>
      <c r="Z3165" s="4" t="n">
        <f aca="false">ROUND(MIN(1,MAX('Reward Model'!$B$2,INDEX('Reward Model'!$C$12:$C$14,MATCH($K3165,'Reward Model'!$A$12:$A$14,0))/$J3165)),3)</f>
        <v>1</v>
      </c>
      <c r="AA3165" s="2" t="n">
        <f aca="false">IF($I3165="Correct",ROUND(INDEX('Reward Model'!$B$12:$B$14,MATCH($K3165,'Reward Model'!$A$12:$A$14,0))*Z3165,2),0)</f>
        <v>1</v>
      </c>
      <c r="AB3165" s="2" t="n">
        <f aca="false">IF($I3165="Correct",ROUND(INDEX('Reward Model'!$B$12:$B$14,MATCH($Y3165,'Reward Model'!$A$12:$A$14,0))*Z3165,2),0)</f>
        <v>1</v>
      </c>
    </row>
    <row r="3166" customFormat="false" ht="15" hidden="false" customHeight="false" outlineLevel="0" collapsed="false">
      <c r="A3166" s="0" t="s">
        <v>448</v>
      </c>
      <c r="B3166" s="0" t="s">
        <v>449</v>
      </c>
      <c r="C3166" s="0" t="s">
        <v>322</v>
      </c>
      <c r="D3166" s="0" t="s">
        <v>189</v>
      </c>
      <c r="E3166" s="0" t="n">
        <v>5</v>
      </c>
      <c r="F3166" s="0" t="s">
        <v>46</v>
      </c>
      <c r="G3166" s="0" t="s">
        <v>149</v>
      </c>
      <c r="H3166" s="0" t="s">
        <v>47</v>
      </c>
      <c r="I3166" s="0" t="s">
        <v>39</v>
      </c>
      <c r="J3166" s="0" t="n">
        <v>1.88</v>
      </c>
      <c r="K3166" s="0" t="s">
        <v>35</v>
      </c>
      <c r="L3166" s="0" t="n">
        <f aca="false">INDEX(Summary!$F$2:$F$201,MATCH($B3166,Summary!$A$2:$A$201,0))</f>
        <v>20</v>
      </c>
      <c r="M3166" s="0" t="n">
        <f aca="false">INDEX(Summary!$I$2:$I$201,MATCH($B3166,Summary!$A$2:$A$201,0))</f>
        <v>1</v>
      </c>
      <c r="N3166" s="0" t="n">
        <f aca="false">INDEX(Summary!$J$2:$J$201,MATCH($B3166,Summary!$A$2:$A$201,0))</f>
        <v>4</v>
      </c>
      <c r="O3166" s="2" t="n">
        <f aca="false">INDEX(Summary!$K$2:$K$201,MATCH($B3166,Summary!$A$2:$A$201,0))</f>
        <v>8.95</v>
      </c>
      <c r="P3166" s="3" t="n">
        <f aca="false">INDEX(Summary!$L$2:$L$201,MATCH($B3166,Summary!$A$2:$A$201,0))</f>
        <v>4</v>
      </c>
      <c r="Q3166" s="3" t="n">
        <f aca="false">INDEX(Summary!$M$2:$M$201,MATCH($B3166,Summary!$A$2:$A$201,0))</f>
        <v>2</v>
      </c>
      <c r="R3166" s="2" t="n">
        <f aca="false">INDEX(Summary!$N$2:$N$201,MATCH($B3166,Summary!$A$2:$A$201,0))</f>
        <v>10.95</v>
      </c>
      <c r="S3166" s="3" t="n">
        <f aca="false">INDEX(Summary!$O$2:$O$201,MATCH($B3166,Summary!$A$2:$A$201,0))</f>
        <v>8</v>
      </c>
      <c r="T3166" s="3" t="n">
        <f aca="false">INDEX(Summary!$P$2:$P$201,MATCH($B3166,Summary!$A$2:$A$201,0))</f>
        <v>1</v>
      </c>
      <c r="U3166" s="2" t="n">
        <f aca="false">INDEX(Summary!$Q$2:$Q$201,MATCH($B3166,Summary!$A$2:$A$201,0))</f>
        <v>13.89</v>
      </c>
      <c r="V3166" s="2" t="n">
        <f aca="false">INDEX(Summary!$R$2:$R$201,MATCH($B3166,Summary!$A$2:$A$201,0))</f>
        <v>22.64</v>
      </c>
      <c r="W3166" s="0" t="str">
        <f aca="false">INDEX(Summary!$S$2:$S$201,MATCH($B3166,Summary!$A$2:$A$201,0))</f>
        <v>Silver</v>
      </c>
      <c r="X3166" s="2" t="n">
        <f aca="false">INDEX(Summary!$T$2:$T$201,MATCH($B3166,Summary!$A$2:$A$201,0))</f>
        <v>55.22</v>
      </c>
      <c r="Y3166" s="0" t="str">
        <f aca="false">INDEX('Reward Model'!$E$18:$E$37,MATCH($E3166,'Reward Model'!$A$18:$A$37,0))</f>
        <v>Low</v>
      </c>
      <c r="Z3166" s="4" t="n">
        <f aca="false">ROUND(MIN(1,MAX('Reward Model'!$B$2,INDEX('Reward Model'!$C$12:$C$14,MATCH($K3166,'Reward Model'!$A$12:$A$14,0))/$J3166)),3)</f>
        <v>0.798</v>
      </c>
      <c r="AA3166" s="2" t="n">
        <f aca="false">IF($I3166="Correct",ROUND(INDEX('Reward Model'!$B$12:$B$14,MATCH($K3166,'Reward Model'!$A$12:$A$14,0))*Z3166,2),0)</f>
        <v>0</v>
      </c>
      <c r="AB3166" s="2" t="n">
        <f aca="false">IF($I3166="Correct",ROUND(INDEX('Reward Model'!$B$12:$B$14,MATCH($Y3166,'Reward Model'!$A$12:$A$14,0))*Z3166,2),0)</f>
        <v>0</v>
      </c>
    </row>
    <row r="3167" customFormat="false" ht="15" hidden="false" customHeight="false" outlineLevel="0" collapsed="false">
      <c r="A3167" s="0" t="s">
        <v>448</v>
      </c>
      <c r="B3167" s="0" t="s">
        <v>449</v>
      </c>
      <c r="C3167" s="0" t="s">
        <v>322</v>
      </c>
      <c r="D3167" s="0" t="s">
        <v>189</v>
      </c>
      <c r="E3167" s="0" t="n">
        <v>6</v>
      </c>
      <c r="F3167" s="0" t="s">
        <v>48</v>
      </c>
      <c r="G3167" s="0" t="s">
        <v>49</v>
      </c>
      <c r="H3167" s="0" t="s">
        <v>49</v>
      </c>
      <c r="I3167" s="0" t="s">
        <v>34</v>
      </c>
      <c r="J3167" s="0" t="n">
        <v>1.37</v>
      </c>
      <c r="K3167" s="0" t="s">
        <v>35</v>
      </c>
      <c r="L3167" s="0" t="n">
        <f aca="false">INDEX(Summary!$F$2:$F$201,MATCH($B3167,Summary!$A$2:$A$201,0))</f>
        <v>20</v>
      </c>
      <c r="M3167" s="0" t="n">
        <f aca="false">INDEX(Summary!$I$2:$I$201,MATCH($B3167,Summary!$A$2:$A$201,0))</f>
        <v>1</v>
      </c>
      <c r="N3167" s="0" t="n">
        <f aca="false">INDEX(Summary!$J$2:$J$201,MATCH($B3167,Summary!$A$2:$A$201,0))</f>
        <v>4</v>
      </c>
      <c r="O3167" s="2" t="n">
        <f aca="false">INDEX(Summary!$K$2:$K$201,MATCH($B3167,Summary!$A$2:$A$201,0))</f>
        <v>8.95</v>
      </c>
      <c r="P3167" s="3" t="n">
        <f aca="false">INDEX(Summary!$L$2:$L$201,MATCH($B3167,Summary!$A$2:$A$201,0))</f>
        <v>4</v>
      </c>
      <c r="Q3167" s="3" t="n">
        <f aca="false">INDEX(Summary!$M$2:$M$201,MATCH($B3167,Summary!$A$2:$A$201,0))</f>
        <v>2</v>
      </c>
      <c r="R3167" s="2" t="n">
        <f aca="false">INDEX(Summary!$N$2:$N$201,MATCH($B3167,Summary!$A$2:$A$201,0))</f>
        <v>10.95</v>
      </c>
      <c r="S3167" s="3" t="n">
        <f aca="false">INDEX(Summary!$O$2:$O$201,MATCH($B3167,Summary!$A$2:$A$201,0))</f>
        <v>8</v>
      </c>
      <c r="T3167" s="3" t="n">
        <f aca="false">INDEX(Summary!$P$2:$P$201,MATCH($B3167,Summary!$A$2:$A$201,0))</f>
        <v>1</v>
      </c>
      <c r="U3167" s="2" t="n">
        <f aca="false">INDEX(Summary!$Q$2:$Q$201,MATCH($B3167,Summary!$A$2:$A$201,0))</f>
        <v>13.89</v>
      </c>
      <c r="V3167" s="2" t="n">
        <f aca="false">INDEX(Summary!$R$2:$R$201,MATCH($B3167,Summary!$A$2:$A$201,0))</f>
        <v>22.64</v>
      </c>
      <c r="W3167" s="0" t="str">
        <f aca="false">INDEX(Summary!$S$2:$S$201,MATCH($B3167,Summary!$A$2:$A$201,0))</f>
        <v>Silver</v>
      </c>
      <c r="X3167" s="2" t="n">
        <f aca="false">INDEX(Summary!$T$2:$T$201,MATCH($B3167,Summary!$A$2:$A$201,0))</f>
        <v>55.22</v>
      </c>
      <c r="Y3167" s="0" t="str">
        <f aca="false">INDEX('Reward Model'!$E$18:$E$37,MATCH($E3167,'Reward Model'!$A$18:$A$37,0))</f>
        <v>Medium</v>
      </c>
      <c r="Z3167" s="4" t="n">
        <f aca="false">ROUND(MIN(1,MAX('Reward Model'!$B$2,INDEX('Reward Model'!$C$12:$C$14,MATCH($K3167,'Reward Model'!$A$12:$A$14,0))/$J3167)),3)</f>
        <v>1</v>
      </c>
      <c r="AA3167" s="2" t="n">
        <f aca="false">IF($I3167="Correct",ROUND(INDEX('Reward Model'!$B$12:$B$14,MATCH($K3167,'Reward Model'!$A$12:$A$14,0))*Z3167,2),0)</f>
        <v>1</v>
      </c>
      <c r="AB3167" s="2" t="n">
        <f aca="false">IF($I3167="Correct",ROUND(INDEX('Reward Model'!$B$12:$B$14,MATCH($Y3167,'Reward Model'!$A$12:$A$14,0))*Z3167,2),0)</f>
        <v>2</v>
      </c>
    </row>
    <row r="3168" customFormat="false" ht="15" hidden="false" customHeight="false" outlineLevel="0" collapsed="false">
      <c r="A3168" s="0" t="s">
        <v>448</v>
      </c>
      <c r="B3168" s="0" t="s">
        <v>449</v>
      </c>
      <c r="C3168" s="0" t="s">
        <v>322</v>
      </c>
      <c r="D3168" s="0" t="s">
        <v>189</v>
      </c>
      <c r="E3168" s="0" t="n">
        <v>7</v>
      </c>
      <c r="F3168" s="0" t="s">
        <v>50</v>
      </c>
      <c r="G3168" s="0" t="s">
        <v>51</v>
      </c>
      <c r="H3168" s="0" t="s">
        <v>51</v>
      </c>
      <c r="I3168" s="0" t="s">
        <v>34</v>
      </c>
      <c r="J3168" s="0" t="n">
        <v>1.36</v>
      </c>
      <c r="K3168" s="0" t="s">
        <v>35</v>
      </c>
      <c r="L3168" s="0" t="n">
        <f aca="false">INDEX(Summary!$F$2:$F$201,MATCH($B3168,Summary!$A$2:$A$201,0))</f>
        <v>20</v>
      </c>
      <c r="M3168" s="0" t="n">
        <f aca="false">INDEX(Summary!$I$2:$I$201,MATCH($B3168,Summary!$A$2:$A$201,0))</f>
        <v>1</v>
      </c>
      <c r="N3168" s="0" t="n">
        <f aca="false">INDEX(Summary!$J$2:$J$201,MATCH($B3168,Summary!$A$2:$A$201,0))</f>
        <v>4</v>
      </c>
      <c r="O3168" s="2" t="n">
        <f aca="false">INDEX(Summary!$K$2:$K$201,MATCH($B3168,Summary!$A$2:$A$201,0))</f>
        <v>8.95</v>
      </c>
      <c r="P3168" s="3" t="n">
        <f aca="false">INDEX(Summary!$L$2:$L$201,MATCH($B3168,Summary!$A$2:$A$201,0))</f>
        <v>4</v>
      </c>
      <c r="Q3168" s="3" t="n">
        <f aca="false">INDEX(Summary!$M$2:$M$201,MATCH($B3168,Summary!$A$2:$A$201,0))</f>
        <v>2</v>
      </c>
      <c r="R3168" s="2" t="n">
        <f aca="false">INDEX(Summary!$N$2:$N$201,MATCH($B3168,Summary!$A$2:$A$201,0))</f>
        <v>10.95</v>
      </c>
      <c r="S3168" s="3" t="n">
        <f aca="false">INDEX(Summary!$O$2:$O$201,MATCH($B3168,Summary!$A$2:$A$201,0))</f>
        <v>8</v>
      </c>
      <c r="T3168" s="3" t="n">
        <f aca="false">INDEX(Summary!$P$2:$P$201,MATCH($B3168,Summary!$A$2:$A$201,0))</f>
        <v>1</v>
      </c>
      <c r="U3168" s="2" t="n">
        <f aca="false">INDEX(Summary!$Q$2:$Q$201,MATCH($B3168,Summary!$A$2:$A$201,0))</f>
        <v>13.89</v>
      </c>
      <c r="V3168" s="2" t="n">
        <f aca="false">INDEX(Summary!$R$2:$R$201,MATCH($B3168,Summary!$A$2:$A$201,0))</f>
        <v>22.64</v>
      </c>
      <c r="W3168" s="0" t="str">
        <f aca="false">INDEX(Summary!$S$2:$S$201,MATCH($B3168,Summary!$A$2:$A$201,0))</f>
        <v>Silver</v>
      </c>
      <c r="X3168" s="2" t="n">
        <f aca="false">INDEX(Summary!$T$2:$T$201,MATCH($B3168,Summary!$A$2:$A$201,0))</f>
        <v>55.22</v>
      </c>
      <c r="Y3168" s="0" t="str">
        <f aca="false">INDEX('Reward Model'!$E$18:$E$37,MATCH($E3168,'Reward Model'!$A$18:$A$37,0))</f>
        <v>Low</v>
      </c>
      <c r="Z3168" s="4" t="n">
        <f aca="false">ROUND(MIN(1,MAX('Reward Model'!$B$2,INDEX('Reward Model'!$C$12:$C$14,MATCH($K3168,'Reward Model'!$A$12:$A$14,0))/$J3168)),3)</f>
        <v>1</v>
      </c>
      <c r="AA3168" s="2" t="n">
        <f aca="false">IF($I3168="Correct",ROUND(INDEX('Reward Model'!$B$12:$B$14,MATCH($K3168,'Reward Model'!$A$12:$A$14,0))*Z3168,2),0)</f>
        <v>1</v>
      </c>
      <c r="AB3168" s="2" t="n">
        <f aca="false">IF($I3168="Correct",ROUND(INDEX('Reward Model'!$B$12:$B$14,MATCH($Y3168,'Reward Model'!$A$12:$A$14,0))*Z3168,2),0)</f>
        <v>1</v>
      </c>
    </row>
    <row r="3169" customFormat="false" ht="15" hidden="false" customHeight="false" outlineLevel="0" collapsed="false">
      <c r="A3169" s="0" t="s">
        <v>448</v>
      </c>
      <c r="B3169" s="0" t="s">
        <v>449</v>
      </c>
      <c r="C3169" s="0" t="s">
        <v>322</v>
      </c>
      <c r="D3169" s="0" t="s">
        <v>189</v>
      </c>
      <c r="E3169" s="0" t="n">
        <v>8</v>
      </c>
      <c r="F3169" s="0" t="s">
        <v>52</v>
      </c>
      <c r="G3169" s="0" t="s">
        <v>54</v>
      </c>
      <c r="H3169" s="0" t="s">
        <v>54</v>
      </c>
      <c r="I3169" s="0" t="s">
        <v>34</v>
      </c>
      <c r="J3169" s="0" t="n">
        <v>1.58</v>
      </c>
      <c r="K3169" s="0" t="s">
        <v>35</v>
      </c>
      <c r="L3169" s="0" t="n">
        <f aca="false">INDEX(Summary!$F$2:$F$201,MATCH($B3169,Summary!$A$2:$A$201,0))</f>
        <v>20</v>
      </c>
      <c r="M3169" s="0" t="n">
        <f aca="false">INDEX(Summary!$I$2:$I$201,MATCH($B3169,Summary!$A$2:$A$201,0))</f>
        <v>1</v>
      </c>
      <c r="N3169" s="0" t="n">
        <f aca="false">INDEX(Summary!$J$2:$J$201,MATCH($B3169,Summary!$A$2:$A$201,0))</f>
        <v>4</v>
      </c>
      <c r="O3169" s="2" t="n">
        <f aca="false">INDEX(Summary!$K$2:$K$201,MATCH($B3169,Summary!$A$2:$A$201,0))</f>
        <v>8.95</v>
      </c>
      <c r="P3169" s="3" t="n">
        <f aca="false">INDEX(Summary!$L$2:$L$201,MATCH($B3169,Summary!$A$2:$A$201,0))</f>
        <v>4</v>
      </c>
      <c r="Q3169" s="3" t="n">
        <f aca="false">INDEX(Summary!$M$2:$M$201,MATCH($B3169,Summary!$A$2:$A$201,0))</f>
        <v>2</v>
      </c>
      <c r="R3169" s="2" t="n">
        <f aca="false">INDEX(Summary!$N$2:$N$201,MATCH($B3169,Summary!$A$2:$A$201,0))</f>
        <v>10.95</v>
      </c>
      <c r="S3169" s="3" t="n">
        <f aca="false">INDEX(Summary!$O$2:$O$201,MATCH($B3169,Summary!$A$2:$A$201,0))</f>
        <v>8</v>
      </c>
      <c r="T3169" s="3" t="n">
        <f aca="false">INDEX(Summary!$P$2:$P$201,MATCH($B3169,Summary!$A$2:$A$201,0))</f>
        <v>1</v>
      </c>
      <c r="U3169" s="2" t="n">
        <f aca="false">INDEX(Summary!$Q$2:$Q$201,MATCH($B3169,Summary!$A$2:$A$201,0))</f>
        <v>13.89</v>
      </c>
      <c r="V3169" s="2" t="n">
        <f aca="false">INDEX(Summary!$R$2:$R$201,MATCH($B3169,Summary!$A$2:$A$201,0))</f>
        <v>22.64</v>
      </c>
      <c r="W3169" s="0" t="str">
        <f aca="false">INDEX(Summary!$S$2:$S$201,MATCH($B3169,Summary!$A$2:$A$201,0))</f>
        <v>Silver</v>
      </c>
      <c r="X3169" s="2" t="n">
        <f aca="false">INDEX(Summary!$T$2:$T$201,MATCH($B3169,Summary!$A$2:$A$201,0))</f>
        <v>55.22</v>
      </c>
      <c r="Y3169" s="0" t="str">
        <f aca="false">INDEX('Reward Model'!$E$18:$E$37,MATCH($E3169,'Reward Model'!$A$18:$A$37,0))</f>
        <v>Medium</v>
      </c>
      <c r="Z3169" s="4" t="n">
        <f aca="false">ROUND(MIN(1,MAX('Reward Model'!$B$2,INDEX('Reward Model'!$C$12:$C$14,MATCH($K3169,'Reward Model'!$A$12:$A$14,0))/$J3169)),3)</f>
        <v>0.949</v>
      </c>
      <c r="AA3169" s="2" t="n">
        <f aca="false">IF($I3169="Correct",ROUND(INDEX('Reward Model'!$B$12:$B$14,MATCH($K3169,'Reward Model'!$A$12:$A$14,0))*Z3169,2),0)</f>
        <v>0.95</v>
      </c>
      <c r="AB3169" s="2" t="n">
        <f aca="false">IF($I3169="Correct",ROUND(INDEX('Reward Model'!$B$12:$B$14,MATCH($Y3169,'Reward Model'!$A$12:$A$14,0))*Z3169,2),0)</f>
        <v>1.9</v>
      </c>
    </row>
    <row r="3170" customFormat="false" ht="15" hidden="false" customHeight="false" outlineLevel="0" collapsed="false">
      <c r="A3170" s="0" t="s">
        <v>448</v>
      </c>
      <c r="B3170" s="0" t="s">
        <v>449</v>
      </c>
      <c r="C3170" s="0" t="s">
        <v>322</v>
      </c>
      <c r="D3170" s="0" t="s">
        <v>189</v>
      </c>
      <c r="E3170" s="0" t="n">
        <v>9</v>
      </c>
      <c r="F3170" s="0" t="s">
        <v>55</v>
      </c>
      <c r="G3170" s="0" t="s">
        <v>57</v>
      </c>
      <c r="H3170" s="0" t="s">
        <v>57</v>
      </c>
      <c r="I3170" s="0" t="s">
        <v>34</v>
      </c>
      <c r="J3170" s="0" t="n">
        <v>0.96</v>
      </c>
      <c r="K3170" s="0" t="s">
        <v>35</v>
      </c>
      <c r="L3170" s="0" t="n">
        <f aca="false">INDEX(Summary!$F$2:$F$201,MATCH($B3170,Summary!$A$2:$A$201,0))</f>
        <v>20</v>
      </c>
      <c r="M3170" s="0" t="n">
        <f aca="false">INDEX(Summary!$I$2:$I$201,MATCH($B3170,Summary!$A$2:$A$201,0))</f>
        <v>1</v>
      </c>
      <c r="N3170" s="0" t="n">
        <f aca="false">INDEX(Summary!$J$2:$J$201,MATCH($B3170,Summary!$A$2:$A$201,0))</f>
        <v>4</v>
      </c>
      <c r="O3170" s="2" t="n">
        <f aca="false">INDEX(Summary!$K$2:$K$201,MATCH($B3170,Summary!$A$2:$A$201,0))</f>
        <v>8.95</v>
      </c>
      <c r="P3170" s="3" t="n">
        <f aca="false">INDEX(Summary!$L$2:$L$201,MATCH($B3170,Summary!$A$2:$A$201,0))</f>
        <v>4</v>
      </c>
      <c r="Q3170" s="3" t="n">
        <f aca="false">INDEX(Summary!$M$2:$M$201,MATCH($B3170,Summary!$A$2:$A$201,0))</f>
        <v>2</v>
      </c>
      <c r="R3170" s="2" t="n">
        <f aca="false">INDEX(Summary!$N$2:$N$201,MATCH($B3170,Summary!$A$2:$A$201,0))</f>
        <v>10.95</v>
      </c>
      <c r="S3170" s="3" t="n">
        <f aca="false">INDEX(Summary!$O$2:$O$201,MATCH($B3170,Summary!$A$2:$A$201,0))</f>
        <v>8</v>
      </c>
      <c r="T3170" s="3" t="n">
        <f aca="false">INDEX(Summary!$P$2:$P$201,MATCH($B3170,Summary!$A$2:$A$201,0))</f>
        <v>1</v>
      </c>
      <c r="U3170" s="2" t="n">
        <f aca="false">INDEX(Summary!$Q$2:$Q$201,MATCH($B3170,Summary!$A$2:$A$201,0))</f>
        <v>13.89</v>
      </c>
      <c r="V3170" s="2" t="n">
        <f aca="false">INDEX(Summary!$R$2:$R$201,MATCH($B3170,Summary!$A$2:$A$201,0))</f>
        <v>22.64</v>
      </c>
      <c r="W3170" s="0" t="str">
        <f aca="false">INDEX(Summary!$S$2:$S$201,MATCH($B3170,Summary!$A$2:$A$201,0))</f>
        <v>Silver</v>
      </c>
      <c r="X3170" s="2" t="n">
        <f aca="false">INDEX(Summary!$T$2:$T$201,MATCH($B3170,Summary!$A$2:$A$201,0))</f>
        <v>55.22</v>
      </c>
      <c r="Y3170" s="0" t="str">
        <f aca="false">INDEX('Reward Model'!$E$18:$E$37,MATCH($E3170,'Reward Model'!$A$18:$A$37,0))</f>
        <v>Medium</v>
      </c>
      <c r="Z3170" s="4" t="n">
        <f aca="false">ROUND(MIN(1,MAX('Reward Model'!$B$2,INDEX('Reward Model'!$C$12:$C$14,MATCH($K3170,'Reward Model'!$A$12:$A$14,0))/$J3170)),3)</f>
        <v>1</v>
      </c>
      <c r="AA3170" s="2" t="n">
        <f aca="false">IF($I3170="Correct",ROUND(INDEX('Reward Model'!$B$12:$B$14,MATCH($K3170,'Reward Model'!$A$12:$A$14,0))*Z3170,2),0)</f>
        <v>1</v>
      </c>
      <c r="AB3170" s="2" t="n">
        <f aca="false">IF($I3170="Correct",ROUND(INDEX('Reward Model'!$B$12:$B$14,MATCH($Y3170,'Reward Model'!$A$12:$A$14,0))*Z3170,2),0)</f>
        <v>2</v>
      </c>
    </row>
    <row r="3171" customFormat="false" ht="15" hidden="false" customHeight="false" outlineLevel="0" collapsed="false">
      <c r="A3171" s="0" t="s">
        <v>448</v>
      </c>
      <c r="B3171" s="0" t="s">
        <v>449</v>
      </c>
      <c r="C3171" s="0" t="s">
        <v>322</v>
      </c>
      <c r="D3171" s="0" t="s">
        <v>189</v>
      </c>
      <c r="E3171" s="0" t="n">
        <v>10</v>
      </c>
      <c r="F3171" s="0" t="s">
        <v>58</v>
      </c>
      <c r="G3171" s="0" t="s">
        <v>59</v>
      </c>
      <c r="H3171" s="0" t="s">
        <v>59</v>
      </c>
      <c r="I3171" s="0" t="s">
        <v>34</v>
      </c>
      <c r="J3171" s="0" t="n">
        <v>1.45</v>
      </c>
      <c r="K3171" s="0" t="s">
        <v>60</v>
      </c>
      <c r="L3171" s="0" t="n">
        <f aca="false">INDEX(Summary!$F$2:$F$201,MATCH($B3171,Summary!$A$2:$A$201,0))</f>
        <v>20</v>
      </c>
      <c r="M3171" s="0" t="n">
        <f aca="false">INDEX(Summary!$I$2:$I$201,MATCH($B3171,Summary!$A$2:$A$201,0))</f>
        <v>1</v>
      </c>
      <c r="N3171" s="0" t="n">
        <f aca="false">INDEX(Summary!$J$2:$J$201,MATCH($B3171,Summary!$A$2:$A$201,0))</f>
        <v>4</v>
      </c>
      <c r="O3171" s="2" t="n">
        <f aca="false">INDEX(Summary!$K$2:$K$201,MATCH($B3171,Summary!$A$2:$A$201,0))</f>
        <v>8.95</v>
      </c>
      <c r="P3171" s="3" t="n">
        <f aca="false">INDEX(Summary!$L$2:$L$201,MATCH($B3171,Summary!$A$2:$A$201,0))</f>
        <v>4</v>
      </c>
      <c r="Q3171" s="3" t="n">
        <f aca="false">INDEX(Summary!$M$2:$M$201,MATCH($B3171,Summary!$A$2:$A$201,0))</f>
        <v>2</v>
      </c>
      <c r="R3171" s="2" t="n">
        <f aca="false">INDEX(Summary!$N$2:$N$201,MATCH($B3171,Summary!$A$2:$A$201,0))</f>
        <v>10.95</v>
      </c>
      <c r="S3171" s="3" t="n">
        <f aca="false">INDEX(Summary!$O$2:$O$201,MATCH($B3171,Summary!$A$2:$A$201,0))</f>
        <v>8</v>
      </c>
      <c r="T3171" s="3" t="n">
        <f aca="false">INDEX(Summary!$P$2:$P$201,MATCH($B3171,Summary!$A$2:$A$201,0))</f>
        <v>1</v>
      </c>
      <c r="U3171" s="2" t="n">
        <f aca="false">INDEX(Summary!$Q$2:$Q$201,MATCH($B3171,Summary!$A$2:$A$201,0))</f>
        <v>13.89</v>
      </c>
      <c r="V3171" s="2" t="n">
        <f aca="false">INDEX(Summary!$R$2:$R$201,MATCH($B3171,Summary!$A$2:$A$201,0))</f>
        <v>22.64</v>
      </c>
      <c r="W3171" s="0" t="str">
        <f aca="false">INDEX(Summary!$S$2:$S$201,MATCH($B3171,Summary!$A$2:$A$201,0))</f>
        <v>Silver</v>
      </c>
      <c r="X3171" s="2" t="n">
        <f aca="false">INDEX(Summary!$T$2:$T$201,MATCH($B3171,Summary!$A$2:$A$201,0))</f>
        <v>55.22</v>
      </c>
      <c r="Y3171" s="0" t="str">
        <f aca="false">INDEX('Reward Model'!$E$18:$E$37,MATCH($E3171,'Reward Model'!$A$18:$A$37,0))</f>
        <v>Medium</v>
      </c>
      <c r="Z3171" s="4" t="n">
        <f aca="false">ROUND(MIN(1,MAX('Reward Model'!$B$2,INDEX('Reward Model'!$C$12:$C$14,MATCH($K3171,'Reward Model'!$A$12:$A$14,0))/$J3171)),3)</f>
        <v>1</v>
      </c>
      <c r="AA3171" s="2" t="n">
        <f aca="false">IF($I3171="Correct",ROUND(INDEX('Reward Model'!$B$12:$B$14,MATCH($K3171,'Reward Model'!$A$12:$A$14,0))*Z3171,2),0)</f>
        <v>2</v>
      </c>
      <c r="AB3171" s="2" t="n">
        <f aca="false">IF($I3171="Correct",ROUND(INDEX('Reward Model'!$B$12:$B$14,MATCH($Y3171,'Reward Model'!$A$12:$A$14,0))*Z3171,2),0)</f>
        <v>2</v>
      </c>
    </row>
    <row r="3172" customFormat="false" ht="15" hidden="false" customHeight="false" outlineLevel="0" collapsed="false">
      <c r="A3172" s="0" t="s">
        <v>448</v>
      </c>
      <c r="B3172" s="0" t="s">
        <v>449</v>
      </c>
      <c r="C3172" s="0" t="s">
        <v>322</v>
      </c>
      <c r="D3172" s="0" t="s">
        <v>189</v>
      </c>
      <c r="E3172" s="0" t="n">
        <v>11</v>
      </c>
      <c r="F3172" s="0" t="s">
        <v>61</v>
      </c>
      <c r="G3172" s="0" t="s">
        <v>62</v>
      </c>
      <c r="H3172" s="0" t="s">
        <v>63</v>
      </c>
      <c r="I3172" s="0" t="s">
        <v>39</v>
      </c>
      <c r="J3172" s="0" t="n">
        <v>2.11</v>
      </c>
      <c r="K3172" s="0" t="s">
        <v>60</v>
      </c>
      <c r="L3172" s="0" t="n">
        <f aca="false">INDEX(Summary!$F$2:$F$201,MATCH($B3172,Summary!$A$2:$A$201,0))</f>
        <v>20</v>
      </c>
      <c r="M3172" s="0" t="n">
        <f aca="false">INDEX(Summary!$I$2:$I$201,MATCH($B3172,Summary!$A$2:$A$201,0))</f>
        <v>1</v>
      </c>
      <c r="N3172" s="0" t="n">
        <f aca="false">INDEX(Summary!$J$2:$J$201,MATCH($B3172,Summary!$A$2:$A$201,0))</f>
        <v>4</v>
      </c>
      <c r="O3172" s="2" t="n">
        <f aca="false">INDEX(Summary!$K$2:$K$201,MATCH($B3172,Summary!$A$2:$A$201,0))</f>
        <v>8.95</v>
      </c>
      <c r="P3172" s="3" t="n">
        <f aca="false">INDEX(Summary!$L$2:$L$201,MATCH($B3172,Summary!$A$2:$A$201,0))</f>
        <v>4</v>
      </c>
      <c r="Q3172" s="3" t="n">
        <f aca="false">INDEX(Summary!$M$2:$M$201,MATCH($B3172,Summary!$A$2:$A$201,0))</f>
        <v>2</v>
      </c>
      <c r="R3172" s="2" t="n">
        <f aca="false">INDEX(Summary!$N$2:$N$201,MATCH($B3172,Summary!$A$2:$A$201,0))</f>
        <v>10.95</v>
      </c>
      <c r="S3172" s="3" t="n">
        <f aca="false">INDEX(Summary!$O$2:$O$201,MATCH($B3172,Summary!$A$2:$A$201,0))</f>
        <v>8</v>
      </c>
      <c r="T3172" s="3" t="n">
        <f aca="false">INDEX(Summary!$P$2:$P$201,MATCH($B3172,Summary!$A$2:$A$201,0))</f>
        <v>1</v>
      </c>
      <c r="U3172" s="2" t="n">
        <f aca="false">INDEX(Summary!$Q$2:$Q$201,MATCH($B3172,Summary!$A$2:$A$201,0))</f>
        <v>13.89</v>
      </c>
      <c r="V3172" s="2" t="n">
        <f aca="false">INDEX(Summary!$R$2:$R$201,MATCH($B3172,Summary!$A$2:$A$201,0))</f>
        <v>22.64</v>
      </c>
      <c r="W3172" s="0" t="str">
        <f aca="false">INDEX(Summary!$S$2:$S$201,MATCH($B3172,Summary!$A$2:$A$201,0))</f>
        <v>Silver</v>
      </c>
      <c r="X3172" s="2" t="n">
        <f aca="false">INDEX(Summary!$T$2:$T$201,MATCH($B3172,Summary!$A$2:$A$201,0))</f>
        <v>55.22</v>
      </c>
      <c r="Y3172" s="0" t="str">
        <f aca="false">INDEX('Reward Model'!$E$18:$E$37,MATCH($E3172,'Reward Model'!$A$18:$A$37,0))</f>
        <v>Medium</v>
      </c>
      <c r="Z3172" s="4" t="n">
        <f aca="false">ROUND(MIN(1,MAX('Reward Model'!$B$2,INDEX('Reward Model'!$C$12:$C$14,MATCH($K3172,'Reward Model'!$A$12:$A$14,0))/$J3172)),3)</f>
        <v>0.853</v>
      </c>
      <c r="AA3172" s="2" t="n">
        <f aca="false">IF($I3172="Correct",ROUND(INDEX('Reward Model'!$B$12:$B$14,MATCH($K3172,'Reward Model'!$A$12:$A$14,0))*Z3172,2),0)</f>
        <v>0</v>
      </c>
      <c r="AB3172" s="2" t="n">
        <f aca="false">IF($I3172="Correct",ROUND(INDEX('Reward Model'!$B$12:$B$14,MATCH($Y3172,'Reward Model'!$A$12:$A$14,0))*Z3172,2),0)</f>
        <v>0</v>
      </c>
    </row>
    <row r="3173" customFormat="false" ht="15" hidden="false" customHeight="false" outlineLevel="0" collapsed="false">
      <c r="A3173" s="0" t="s">
        <v>448</v>
      </c>
      <c r="B3173" s="0" t="s">
        <v>449</v>
      </c>
      <c r="C3173" s="0" t="s">
        <v>322</v>
      </c>
      <c r="D3173" s="0" t="s">
        <v>189</v>
      </c>
      <c r="E3173" s="0" t="n">
        <v>12</v>
      </c>
      <c r="F3173" s="0" t="s">
        <v>64</v>
      </c>
      <c r="G3173" s="0" t="s">
        <v>65</v>
      </c>
      <c r="H3173" s="0" t="s">
        <v>65</v>
      </c>
      <c r="I3173" s="0" t="s">
        <v>34</v>
      </c>
      <c r="J3173" s="0" t="n">
        <v>2.09</v>
      </c>
      <c r="K3173" s="0" t="s">
        <v>60</v>
      </c>
      <c r="L3173" s="0" t="n">
        <f aca="false">INDEX(Summary!$F$2:$F$201,MATCH($B3173,Summary!$A$2:$A$201,0))</f>
        <v>20</v>
      </c>
      <c r="M3173" s="0" t="n">
        <f aca="false">INDEX(Summary!$I$2:$I$201,MATCH($B3173,Summary!$A$2:$A$201,0))</f>
        <v>1</v>
      </c>
      <c r="N3173" s="0" t="n">
        <f aca="false">INDEX(Summary!$J$2:$J$201,MATCH($B3173,Summary!$A$2:$A$201,0))</f>
        <v>4</v>
      </c>
      <c r="O3173" s="2" t="n">
        <f aca="false">INDEX(Summary!$K$2:$K$201,MATCH($B3173,Summary!$A$2:$A$201,0))</f>
        <v>8.95</v>
      </c>
      <c r="P3173" s="3" t="n">
        <f aca="false">INDEX(Summary!$L$2:$L$201,MATCH($B3173,Summary!$A$2:$A$201,0))</f>
        <v>4</v>
      </c>
      <c r="Q3173" s="3" t="n">
        <f aca="false">INDEX(Summary!$M$2:$M$201,MATCH($B3173,Summary!$A$2:$A$201,0))</f>
        <v>2</v>
      </c>
      <c r="R3173" s="2" t="n">
        <f aca="false">INDEX(Summary!$N$2:$N$201,MATCH($B3173,Summary!$A$2:$A$201,0))</f>
        <v>10.95</v>
      </c>
      <c r="S3173" s="3" t="n">
        <f aca="false">INDEX(Summary!$O$2:$O$201,MATCH($B3173,Summary!$A$2:$A$201,0))</f>
        <v>8</v>
      </c>
      <c r="T3173" s="3" t="n">
        <f aca="false">INDEX(Summary!$P$2:$P$201,MATCH($B3173,Summary!$A$2:$A$201,0))</f>
        <v>1</v>
      </c>
      <c r="U3173" s="2" t="n">
        <f aca="false">INDEX(Summary!$Q$2:$Q$201,MATCH($B3173,Summary!$A$2:$A$201,0))</f>
        <v>13.89</v>
      </c>
      <c r="V3173" s="2" t="n">
        <f aca="false">INDEX(Summary!$R$2:$R$201,MATCH($B3173,Summary!$A$2:$A$201,0))</f>
        <v>22.64</v>
      </c>
      <c r="W3173" s="0" t="str">
        <f aca="false">INDEX(Summary!$S$2:$S$201,MATCH($B3173,Summary!$A$2:$A$201,0))</f>
        <v>Silver</v>
      </c>
      <c r="X3173" s="2" t="n">
        <f aca="false">INDEX(Summary!$T$2:$T$201,MATCH($B3173,Summary!$A$2:$A$201,0))</f>
        <v>55.22</v>
      </c>
      <c r="Y3173" s="0" t="str">
        <f aca="false">INDEX('Reward Model'!$E$18:$E$37,MATCH($E3173,'Reward Model'!$A$18:$A$37,0))</f>
        <v>Medium</v>
      </c>
      <c r="Z3173" s="4" t="n">
        <f aca="false">ROUND(MIN(1,MAX('Reward Model'!$B$2,INDEX('Reward Model'!$C$12:$C$14,MATCH($K3173,'Reward Model'!$A$12:$A$14,0))/$J3173)),3)</f>
        <v>0.861</v>
      </c>
      <c r="AA3173" s="2" t="n">
        <f aca="false">IF($I3173="Correct",ROUND(INDEX('Reward Model'!$B$12:$B$14,MATCH($K3173,'Reward Model'!$A$12:$A$14,0))*Z3173,2),0)</f>
        <v>1.72</v>
      </c>
      <c r="AB3173" s="2" t="n">
        <f aca="false">IF($I3173="Correct",ROUND(INDEX('Reward Model'!$B$12:$B$14,MATCH($Y3173,'Reward Model'!$A$12:$A$14,0))*Z3173,2),0)</f>
        <v>1.72</v>
      </c>
    </row>
    <row r="3174" customFormat="false" ht="15" hidden="false" customHeight="false" outlineLevel="0" collapsed="false">
      <c r="A3174" s="0" t="s">
        <v>448</v>
      </c>
      <c r="B3174" s="0" t="s">
        <v>449</v>
      </c>
      <c r="C3174" s="0" t="s">
        <v>322</v>
      </c>
      <c r="D3174" s="0" t="s">
        <v>189</v>
      </c>
      <c r="E3174" s="0" t="n">
        <v>13</v>
      </c>
      <c r="F3174" s="0" t="s">
        <v>66</v>
      </c>
      <c r="G3174" s="0" t="s">
        <v>67</v>
      </c>
      <c r="H3174" s="0" t="s">
        <v>67</v>
      </c>
      <c r="I3174" s="0" t="s">
        <v>34</v>
      </c>
      <c r="J3174" s="0" t="n">
        <v>1.45</v>
      </c>
      <c r="K3174" s="0" t="s">
        <v>60</v>
      </c>
      <c r="L3174" s="0" t="n">
        <f aca="false">INDEX(Summary!$F$2:$F$201,MATCH($B3174,Summary!$A$2:$A$201,0))</f>
        <v>20</v>
      </c>
      <c r="M3174" s="0" t="n">
        <f aca="false">INDEX(Summary!$I$2:$I$201,MATCH($B3174,Summary!$A$2:$A$201,0))</f>
        <v>1</v>
      </c>
      <c r="N3174" s="0" t="n">
        <f aca="false">INDEX(Summary!$J$2:$J$201,MATCH($B3174,Summary!$A$2:$A$201,0))</f>
        <v>4</v>
      </c>
      <c r="O3174" s="2" t="n">
        <f aca="false">INDEX(Summary!$K$2:$K$201,MATCH($B3174,Summary!$A$2:$A$201,0))</f>
        <v>8.95</v>
      </c>
      <c r="P3174" s="3" t="n">
        <f aca="false">INDEX(Summary!$L$2:$L$201,MATCH($B3174,Summary!$A$2:$A$201,0))</f>
        <v>4</v>
      </c>
      <c r="Q3174" s="3" t="n">
        <f aca="false">INDEX(Summary!$M$2:$M$201,MATCH($B3174,Summary!$A$2:$A$201,0))</f>
        <v>2</v>
      </c>
      <c r="R3174" s="2" t="n">
        <f aca="false">INDEX(Summary!$N$2:$N$201,MATCH($B3174,Summary!$A$2:$A$201,0))</f>
        <v>10.95</v>
      </c>
      <c r="S3174" s="3" t="n">
        <f aca="false">INDEX(Summary!$O$2:$O$201,MATCH($B3174,Summary!$A$2:$A$201,0))</f>
        <v>8</v>
      </c>
      <c r="T3174" s="3" t="n">
        <f aca="false">INDEX(Summary!$P$2:$P$201,MATCH($B3174,Summary!$A$2:$A$201,0))</f>
        <v>1</v>
      </c>
      <c r="U3174" s="2" t="n">
        <f aca="false">INDEX(Summary!$Q$2:$Q$201,MATCH($B3174,Summary!$A$2:$A$201,0))</f>
        <v>13.89</v>
      </c>
      <c r="V3174" s="2" t="n">
        <f aca="false">INDEX(Summary!$R$2:$R$201,MATCH($B3174,Summary!$A$2:$A$201,0))</f>
        <v>22.64</v>
      </c>
      <c r="W3174" s="0" t="str">
        <f aca="false">INDEX(Summary!$S$2:$S$201,MATCH($B3174,Summary!$A$2:$A$201,0))</f>
        <v>Silver</v>
      </c>
      <c r="X3174" s="2" t="n">
        <f aca="false">INDEX(Summary!$T$2:$T$201,MATCH($B3174,Summary!$A$2:$A$201,0))</f>
        <v>55.22</v>
      </c>
      <c r="Y3174" s="0" t="str">
        <f aca="false">INDEX('Reward Model'!$E$18:$E$37,MATCH($E3174,'Reward Model'!$A$18:$A$37,0))</f>
        <v>Medium</v>
      </c>
      <c r="Z3174" s="4" t="n">
        <f aca="false">ROUND(MIN(1,MAX('Reward Model'!$B$2,INDEX('Reward Model'!$C$12:$C$14,MATCH($K3174,'Reward Model'!$A$12:$A$14,0))/$J3174)),3)</f>
        <v>1</v>
      </c>
      <c r="AA3174" s="2" t="n">
        <f aca="false">IF($I3174="Correct",ROUND(INDEX('Reward Model'!$B$12:$B$14,MATCH($K3174,'Reward Model'!$A$12:$A$14,0))*Z3174,2),0)</f>
        <v>2</v>
      </c>
      <c r="AB3174" s="2" t="n">
        <f aca="false">IF($I3174="Correct",ROUND(INDEX('Reward Model'!$B$12:$B$14,MATCH($Y3174,'Reward Model'!$A$12:$A$14,0))*Z3174,2),0)</f>
        <v>2</v>
      </c>
    </row>
    <row r="3175" customFormat="false" ht="15" hidden="false" customHeight="false" outlineLevel="0" collapsed="false">
      <c r="A3175" s="0" t="s">
        <v>448</v>
      </c>
      <c r="B3175" s="0" t="s">
        <v>449</v>
      </c>
      <c r="C3175" s="0" t="s">
        <v>322</v>
      </c>
      <c r="D3175" s="0" t="s">
        <v>189</v>
      </c>
      <c r="E3175" s="0" t="n">
        <v>14</v>
      </c>
      <c r="F3175" s="0" t="s">
        <v>68</v>
      </c>
      <c r="G3175" s="0" t="s">
        <v>100</v>
      </c>
      <c r="H3175" s="0" t="s">
        <v>51</v>
      </c>
      <c r="I3175" s="0" t="s">
        <v>39</v>
      </c>
      <c r="J3175" s="0" t="n">
        <v>1.9</v>
      </c>
      <c r="K3175" s="0" t="s">
        <v>60</v>
      </c>
      <c r="L3175" s="0" t="n">
        <f aca="false">INDEX(Summary!$F$2:$F$201,MATCH($B3175,Summary!$A$2:$A$201,0))</f>
        <v>20</v>
      </c>
      <c r="M3175" s="0" t="n">
        <f aca="false">INDEX(Summary!$I$2:$I$201,MATCH($B3175,Summary!$A$2:$A$201,0))</f>
        <v>1</v>
      </c>
      <c r="N3175" s="0" t="n">
        <f aca="false">INDEX(Summary!$J$2:$J$201,MATCH($B3175,Summary!$A$2:$A$201,0))</f>
        <v>4</v>
      </c>
      <c r="O3175" s="2" t="n">
        <f aca="false">INDEX(Summary!$K$2:$K$201,MATCH($B3175,Summary!$A$2:$A$201,0))</f>
        <v>8.95</v>
      </c>
      <c r="P3175" s="3" t="n">
        <f aca="false">INDEX(Summary!$L$2:$L$201,MATCH($B3175,Summary!$A$2:$A$201,0))</f>
        <v>4</v>
      </c>
      <c r="Q3175" s="3" t="n">
        <f aca="false">INDEX(Summary!$M$2:$M$201,MATCH($B3175,Summary!$A$2:$A$201,0))</f>
        <v>2</v>
      </c>
      <c r="R3175" s="2" t="n">
        <f aca="false">INDEX(Summary!$N$2:$N$201,MATCH($B3175,Summary!$A$2:$A$201,0))</f>
        <v>10.95</v>
      </c>
      <c r="S3175" s="3" t="n">
        <f aca="false">INDEX(Summary!$O$2:$O$201,MATCH($B3175,Summary!$A$2:$A$201,0))</f>
        <v>8</v>
      </c>
      <c r="T3175" s="3" t="n">
        <f aca="false">INDEX(Summary!$P$2:$P$201,MATCH($B3175,Summary!$A$2:$A$201,0))</f>
        <v>1</v>
      </c>
      <c r="U3175" s="2" t="n">
        <f aca="false">INDEX(Summary!$Q$2:$Q$201,MATCH($B3175,Summary!$A$2:$A$201,0))</f>
        <v>13.89</v>
      </c>
      <c r="V3175" s="2" t="n">
        <f aca="false">INDEX(Summary!$R$2:$R$201,MATCH($B3175,Summary!$A$2:$A$201,0))</f>
        <v>22.64</v>
      </c>
      <c r="W3175" s="0" t="str">
        <f aca="false">INDEX(Summary!$S$2:$S$201,MATCH($B3175,Summary!$A$2:$A$201,0))</f>
        <v>Silver</v>
      </c>
      <c r="X3175" s="2" t="n">
        <f aca="false">INDEX(Summary!$T$2:$T$201,MATCH($B3175,Summary!$A$2:$A$201,0))</f>
        <v>55.22</v>
      </c>
      <c r="Y3175" s="0" t="str">
        <f aca="false">INDEX('Reward Model'!$E$18:$E$37,MATCH($E3175,'Reward Model'!$A$18:$A$37,0))</f>
        <v>Medium</v>
      </c>
      <c r="Z3175" s="4" t="n">
        <f aca="false">ROUND(MIN(1,MAX('Reward Model'!$B$2,INDEX('Reward Model'!$C$12:$C$14,MATCH($K3175,'Reward Model'!$A$12:$A$14,0))/$J3175)),3)</f>
        <v>0.947</v>
      </c>
      <c r="AA3175" s="2" t="n">
        <f aca="false">IF($I3175="Correct",ROUND(INDEX('Reward Model'!$B$12:$B$14,MATCH($K3175,'Reward Model'!$A$12:$A$14,0))*Z3175,2),0)</f>
        <v>0</v>
      </c>
      <c r="AB3175" s="2" t="n">
        <f aca="false">IF($I3175="Correct",ROUND(INDEX('Reward Model'!$B$12:$B$14,MATCH($Y3175,'Reward Model'!$A$12:$A$14,0))*Z3175,2),0)</f>
        <v>0</v>
      </c>
    </row>
    <row r="3176" customFormat="false" ht="15" hidden="false" customHeight="false" outlineLevel="0" collapsed="false">
      <c r="A3176" s="0" t="s">
        <v>448</v>
      </c>
      <c r="B3176" s="0" t="s">
        <v>449</v>
      </c>
      <c r="C3176" s="0" t="s">
        <v>322</v>
      </c>
      <c r="D3176" s="0" t="s">
        <v>189</v>
      </c>
      <c r="E3176" s="0" t="n">
        <v>15</v>
      </c>
      <c r="F3176" s="0" t="s">
        <v>69</v>
      </c>
      <c r="G3176" s="0" t="s">
        <v>70</v>
      </c>
      <c r="H3176" s="0" t="s">
        <v>70</v>
      </c>
      <c r="I3176" s="0" t="s">
        <v>34</v>
      </c>
      <c r="J3176" s="0" t="n">
        <v>1.95</v>
      </c>
      <c r="K3176" s="0" t="s">
        <v>60</v>
      </c>
      <c r="L3176" s="0" t="n">
        <f aca="false">INDEX(Summary!$F$2:$F$201,MATCH($B3176,Summary!$A$2:$A$201,0))</f>
        <v>20</v>
      </c>
      <c r="M3176" s="0" t="n">
        <f aca="false">INDEX(Summary!$I$2:$I$201,MATCH($B3176,Summary!$A$2:$A$201,0))</f>
        <v>1</v>
      </c>
      <c r="N3176" s="0" t="n">
        <f aca="false">INDEX(Summary!$J$2:$J$201,MATCH($B3176,Summary!$A$2:$A$201,0))</f>
        <v>4</v>
      </c>
      <c r="O3176" s="2" t="n">
        <f aca="false">INDEX(Summary!$K$2:$K$201,MATCH($B3176,Summary!$A$2:$A$201,0))</f>
        <v>8.95</v>
      </c>
      <c r="P3176" s="3" t="n">
        <f aca="false">INDEX(Summary!$L$2:$L$201,MATCH($B3176,Summary!$A$2:$A$201,0))</f>
        <v>4</v>
      </c>
      <c r="Q3176" s="3" t="n">
        <f aca="false">INDEX(Summary!$M$2:$M$201,MATCH($B3176,Summary!$A$2:$A$201,0))</f>
        <v>2</v>
      </c>
      <c r="R3176" s="2" t="n">
        <f aca="false">INDEX(Summary!$N$2:$N$201,MATCH($B3176,Summary!$A$2:$A$201,0))</f>
        <v>10.95</v>
      </c>
      <c r="S3176" s="3" t="n">
        <f aca="false">INDEX(Summary!$O$2:$O$201,MATCH($B3176,Summary!$A$2:$A$201,0))</f>
        <v>8</v>
      </c>
      <c r="T3176" s="3" t="n">
        <f aca="false">INDEX(Summary!$P$2:$P$201,MATCH($B3176,Summary!$A$2:$A$201,0))</f>
        <v>1</v>
      </c>
      <c r="U3176" s="2" t="n">
        <f aca="false">INDEX(Summary!$Q$2:$Q$201,MATCH($B3176,Summary!$A$2:$A$201,0))</f>
        <v>13.89</v>
      </c>
      <c r="V3176" s="2" t="n">
        <f aca="false">INDEX(Summary!$R$2:$R$201,MATCH($B3176,Summary!$A$2:$A$201,0))</f>
        <v>22.64</v>
      </c>
      <c r="W3176" s="0" t="str">
        <f aca="false">INDEX(Summary!$S$2:$S$201,MATCH($B3176,Summary!$A$2:$A$201,0))</f>
        <v>Silver</v>
      </c>
      <c r="X3176" s="2" t="n">
        <f aca="false">INDEX(Summary!$T$2:$T$201,MATCH($B3176,Summary!$A$2:$A$201,0))</f>
        <v>55.22</v>
      </c>
      <c r="Y3176" s="0" t="str">
        <f aca="false">INDEX('Reward Model'!$E$18:$E$37,MATCH($E3176,'Reward Model'!$A$18:$A$37,0))</f>
        <v>Medium</v>
      </c>
      <c r="Z3176" s="4" t="n">
        <f aca="false">ROUND(MIN(1,MAX('Reward Model'!$B$2,INDEX('Reward Model'!$C$12:$C$14,MATCH($K3176,'Reward Model'!$A$12:$A$14,0))/$J3176)),3)</f>
        <v>0.923</v>
      </c>
      <c r="AA3176" s="2" t="n">
        <f aca="false">IF($I3176="Correct",ROUND(INDEX('Reward Model'!$B$12:$B$14,MATCH($K3176,'Reward Model'!$A$12:$A$14,0))*Z3176,2),0)</f>
        <v>1.85</v>
      </c>
      <c r="AB3176" s="2" t="n">
        <f aca="false">IF($I3176="Correct",ROUND(INDEX('Reward Model'!$B$12:$B$14,MATCH($Y3176,'Reward Model'!$A$12:$A$14,0))*Z3176,2),0)</f>
        <v>1.85</v>
      </c>
    </row>
    <row r="3177" customFormat="false" ht="15" hidden="false" customHeight="false" outlineLevel="0" collapsed="false">
      <c r="A3177" s="0" t="s">
        <v>448</v>
      </c>
      <c r="B3177" s="0" t="s">
        <v>449</v>
      </c>
      <c r="C3177" s="0" t="s">
        <v>322</v>
      </c>
      <c r="D3177" s="0" t="s">
        <v>189</v>
      </c>
      <c r="E3177" s="0" t="n">
        <v>16</v>
      </c>
      <c r="F3177" s="0" t="s">
        <v>71</v>
      </c>
      <c r="G3177" s="0" t="s">
        <v>104</v>
      </c>
      <c r="H3177" s="0" t="s">
        <v>72</v>
      </c>
      <c r="I3177" s="0" t="s">
        <v>39</v>
      </c>
      <c r="J3177" s="0" t="n">
        <v>1.22</v>
      </c>
      <c r="K3177" s="0" t="s">
        <v>73</v>
      </c>
      <c r="L3177" s="0" t="n">
        <f aca="false">INDEX(Summary!$F$2:$F$201,MATCH($B3177,Summary!$A$2:$A$201,0))</f>
        <v>20</v>
      </c>
      <c r="M3177" s="0" t="n">
        <f aca="false">INDEX(Summary!$I$2:$I$201,MATCH($B3177,Summary!$A$2:$A$201,0))</f>
        <v>1</v>
      </c>
      <c r="N3177" s="0" t="n">
        <f aca="false">INDEX(Summary!$J$2:$J$201,MATCH($B3177,Summary!$A$2:$A$201,0))</f>
        <v>4</v>
      </c>
      <c r="O3177" s="2" t="n">
        <f aca="false">INDEX(Summary!$K$2:$K$201,MATCH($B3177,Summary!$A$2:$A$201,0))</f>
        <v>8.95</v>
      </c>
      <c r="P3177" s="3" t="n">
        <f aca="false">INDEX(Summary!$L$2:$L$201,MATCH($B3177,Summary!$A$2:$A$201,0))</f>
        <v>4</v>
      </c>
      <c r="Q3177" s="3" t="n">
        <f aca="false">INDEX(Summary!$M$2:$M$201,MATCH($B3177,Summary!$A$2:$A$201,0))</f>
        <v>2</v>
      </c>
      <c r="R3177" s="2" t="n">
        <f aca="false">INDEX(Summary!$N$2:$N$201,MATCH($B3177,Summary!$A$2:$A$201,0))</f>
        <v>10.95</v>
      </c>
      <c r="S3177" s="3" t="n">
        <f aca="false">INDEX(Summary!$O$2:$O$201,MATCH($B3177,Summary!$A$2:$A$201,0))</f>
        <v>8</v>
      </c>
      <c r="T3177" s="3" t="n">
        <f aca="false">INDEX(Summary!$P$2:$P$201,MATCH($B3177,Summary!$A$2:$A$201,0))</f>
        <v>1</v>
      </c>
      <c r="U3177" s="2" t="n">
        <f aca="false">INDEX(Summary!$Q$2:$Q$201,MATCH($B3177,Summary!$A$2:$A$201,0))</f>
        <v>13.89</v>
      </c>
      <c r="V3177" s="2" t="n">
        <f aca="false">INDEX(Summary!$R$2:$R$201,MATCH($B3177,Summary!$A$2:$A$201,0))</f>
        <v>22.64</v>
      </c>
      <c r="W3177" s="0" t="str">
        <f aca="false">INDEX(Summary!$S$2:$S$201,MATCH($B3177,Summary!$A$2:$A$201,0))</f>
        <v>Silver</v>
      </c>
      <c r="X3177" s="2" t="n">
        <f aca="false">INDEX(Summary!$T$2:$T$201,MATCH($B3177,Summary!$A$2:$A$201,0))</f>
        <v>55.22</v>
      </c>
      <c r="Y3177" s="0" t="str">
        <f aca="false">INDEX('Reward Model'!$E$18:$E$37,MATCH($E3177,'Reward Model'!$A$18:$A$37,0))</f>
        <v>High</v>
      </c>
      <c r="Z3177" s="4" t="n">
        <f aca="false">ROUND(MIN(1,MAX('Reward Model'!$B$2,INDEX('Reward Model'!$C$12:$C$14,MATCH($K3177,'Reward Model'!$A$12:$A$14,0))/$J3177)),3)</f>
        <v>1</v>
      </c>
      <c r="AA3177" s="2" t="n">
        <f aca="false">IF($I3177="Correct",ROUND(INDEX('Reward Model'!$B$12:$B$14,MATCH($K3177,'Reward Model'!$A$12:$A$14,0))*Z3177,2),0)</f>
        <v>0</v>
      </c>
      <c r="AB3177" s="2" t="n">
        <f aca="false">IF($I3177="Correct",ROUND(INDEX('Reward Model'!$B$12:$B$14,MATCH($Y3177,'Reward Model'!$A$12:$A$14,0))*Z3177,2),0)</f>
        <v>0</v>
      </c>
    </row>
    <row r="3178" customFormat="false" ht="15" hidden="false" customHeight="false" outlineLevel="0" collapsed="false">
      <c r="A3178" s="0" t="s">
        <v>448</v>
      </c>
      <c r="B3178" s="0" t="s">
        <v>449</v>
      </c>
      <c r="C3178" s="0" t="s">
        <v>322</v>
      </c>
      <c r="D3178" s="0" t="s">
        <v>189</v>
      </c>
      <c r="E3178" s="0" t="n">
        <v>17</v>
      </c>
      <c r="F3178" s="0" t="s">
        <v>74</v>
      </c>
      <c r="G3178" s="0" t="s">
        <v>105</v>
      </c>
      <c r="H3178" s="0" t="s">
        <v>75</v>
      </c>
      <c r="I3178" s="0" t="s">
        <v>39</v>
      </c>
      <c r="J3178" s="0" t="n">
        <v>2.07</v>
      </c>
      <c r="K3178" s="0" t="s">
        <v>73</v>
      </c>
      <c r="L3178" s="0" t="n">
        <f aca="false">INDEX(Summary!$F$2:$F$201,MATCH($B3178,Summary!$A$2:$A$201,0))</f>
        <v>20</v>
      </c>
      <c r="M3178" s="0" t="n">
        <f aca="false">INDEX(Summary!$I$2:$I$201,MATCH($B3178,Summary!$A$2:$A$201,0))</f>
        <v>1</v>
      </c>
      <c r="N3178" s="0" t="n">
        <f aca="false">INDEX(Summary!$J$2:$J$201,MATCH($B3178,Summary!$A$2:$A$201,0))</f>
        <v>4</v>
      </c>
      <c r="O3178" s="2" t="n">
        <f aca="false">INDEX(Summary!$K$2:$K$201,MATCH($B3178,Summary!$A$2:$A$201,0))</f>
        <v>8.95</v>
      </c>
      <c r="P3178" s="3" t="n">
        <f aca="false">INDEX(Summary!$L$2:$L$201,MATCH($B3178,Summary!$A$2:$A$201,0))</f>
        <v>4</v>
      </c>
      <c r="Q3178" s="3" t="n">
        <f aca="false">INDEX(Summary!$M$2:$M$201,MATCH($B3178,Summary!$A$2:$A$201,0))</f>
        <v>2</v>
      </c>
      <c r="R3178" s="2" t="n">
        <f aca="false">INDEX(Summary!$N$2:$N$201,MATCH($B3178,Summary!$A$2:$A$201,0))</f>
        <v>10.95</v>
      </c>
      <c r="S3178" s="3" t="n">
        <f aca="false">INDEX(Summary!$O$2:$O$201,MATCH($B3178,Summary!$A$2:$A$201,0))</f>
        <v>8</v>
      </c>
      <c r="T3178" s="3" t="n">
        <f aca="false">INDEX(Summary!$P$2:$P$201,MATCH($B3178,Summary!$A$2:$A$201,0))</f>
        <v>1</v>
      </c>
      <c r="U3178" s="2" t="n">
        <f aca="false">INDEX(Summary!$Q$2:$Q$201,MATCH($B3178,Summary!$A$2:$A$201,0))</f>
        <v>13.89</v>
      </c>
      <c r="V3178" s="2" t="n">
        <f aca="false">INDEX(Summary!$R$2:$R$201,MATCH($B3178,Summary!$A$2:$A$201,0))</f>
        <v>22.64</v>
      </c>
      <c r="W3178" s="0" t="str">
        <f aca="false">INDEX(Summary!$S$2:$S$201,MATCH($B3178,Summary!$A$2:$A$201,0))</f>
        <v>Silver</v>
      </c>
      <c r="X3178" s="2" t="n">
        <f aca="false">INDEX(Summary!$T$2:$T$201,MATCH($B3178,Summary!$A$2:$A$201,0))</f>
        <v>55.22</v>
      </c>
      <c r="Y3178" s="0" t="str">
        <f aca="false">INDEX('Reward Model'!$E$18:$E$37,MATCH($E3178,'Reward Model'!$A$18:$A$37,0))</f>
        <v>High</v>
      </c>
      <c r="Z3178" s="4" t="n">
        <f aca="false">ROUND(MIN(1,MAX('Reward Model'!$B$2,INDEX('Reward Model'!$C$12:$C$14,MATCH($K3178,'Reward Model'!$A$12:$A$14,0))/$J3178)),3)</f>
        <v>0.966</v>
      </c>
      <c r="AA3178" s="2" t="n">
        <f aca="false">IF($I3178="Correct",ROUND(INDEX('Reward Model'!$B$12:$B$14,MATCH($K3178,'Reward Model'!$A$12:$A$14,0))*Z3178,2),0)</f>
        <v>0</v>
      </c>
      <c r="AB3178" s="2" t="n">
        <f aca="false">IF($I3178="Correct",ROUND(INDEX('Reward Model'!$B$12:$B$14,MATCH($Y3178,'Reward Model'!$A$12:$A$14,0))*Z3178,2),0)</f>
        <v>0</v>
      </c>
    </row>
    <row r="3179" customFormat="false" ht="15" hidden="false" customHeight="false" outlineLevel="0" collapsed="false">
      <c r="A3179" s="0" t="s">
        <v>448</v>
      </c>
      <c r="B3179" s="0" t="s">
        <v>449</v>
      </c>
      <c r="C3179" s="0" t="s">
        <v>322</v>
      </c>
      <c r="D3179" s="0" t="s">
        <v>189</v>
      </c>
      <c r="E3179" s="0" t="n">
        <v>18</v>
      </c>
      <c r="F3179" s="0" t="s">
        <v>76</v>
      </c>
      <c r="G3179" s="0" t="s">
        <v>56</v>
      </c>
      <c r="H3179" s="0" t="s">
        <v>77</v>
      </c>
      <c r="I3179" s="0" t="s">
        <v>39</v>
      </c>
      <c r="J3179" s="0" t="n">
        <v>1.32</v>
      </c>
      <c r="K3179" s="0" t="s">
        <v>73</v>
      </c>
      <c r="L3179" s="0" t="n">
        <f aca="false">INDEX(Summary!$F$2:$F$201,MATCH($B3179,Summary!$A$2:$A$201,0))</f>
        <v>20</v>
      </c>
      <c r="M3179" s="0" t="n">
        <f aca="false">INDEX(Summary!$I$2:$I$201,MATCH($B3179,Summary!$A$2:$A$201,0))</f>
        <v>1</v>
      </c>
      <c r="N3179" s="0" t="n">
        <f aca="false">INDEX(Summary!$J$2:$J$201,MATCH($B3179,Summary!$A$2:$A$201,0))</f>
        <v>4</v>
      </c>
      <c r="O3179" s="2" t="n">
        <f aca="false">INDEX(Summary!$K$2:$K$201,MATCH($B3179,Summary!$A$2:$A$201,0))</f>
        <v>8.95</v>
      </c>
      <c r="P3179" s="3" t="n">
        <f aca="false">INDEX(Summary!$L$2:$L$201,MATCH($B3179,Summary!$A$2:$A$201,0))</f>
        <v>4</v>
      </c>
      <c r="Q3179" s="3" t="n">
        <f aca="false">INDEX(Summary!$M$2:$M$201,MATCH($B3179,Summary!$A$2:$A$201,0))</f>
        <v>2</v>
      </c>
      <c r="R3179" s="2" t="n">
        <f aca="false">INDEX(Summary!$N$2:$N$201,MATCH($B3179,Summary!$A$2:$A$201,0))</f>
        <v>10.95</v>
      </c>
      <c r="S3179" s="3" t="n">
        <f aca="false">INDEX(Summary!$O$2:$O$201,MATCH($B3179,Summary!$A$2:$A$201,0))</f>
        <v>8</v>
      </c>
      <c r="T3179" s="3" t="n">
        <f aca="false">INDEX(Summary!$P$2:$P$201,MATCH($B3179,Summary!$A$2:$A$201,0))</f>
        <v>1</v>
      </c>
      <c r="U3179" s="2" t="n">
        <f aca="false">INDEX(Summary!$Q$2:$Q$201,MATCH($B3179,Summary!$A$2:$A$201,0))</f>
        <v>13.89</v>
      </c>
      <c r="V3179" s="2" t="n">
        <f aca="false">INDEX(Summary!$R$2:$R$201,MATCH($B3179,Summary!$A$2:$A$201,0))</f>
        <v>22.64</v>
      </c>
      <c r="W3179" s="0" t="str">
        <f aca="false">INDEX(Summary!$S$2:$S$201,MATCH($B3179,Summary!$A$2:$A$201,0))</f>
        <v>Silver</v>
      </c>
      <c r="X3179" s="2" t="n">
        <f aca="false">INDEX(Summary!$T$2:$T$201,MATCH($B3179,Summary!$A$2:$A$201,0))</f>
        <v>55.22</v>
      </c>
      <c r="Y3179" s="0" t="str">
        <f aca="false">INDEX('Reward Model'!$E$18:$E$37,MATCH($E3179,'Reward Model'!$A$18:$A$37,0))</f>
        <v>High</v>
      </c>
      <c r="Z3179" s="4" t="n">
        <f aca="false">ROUND(MIN(1,MAX('Reward Model'!$B$2,INDEX('Reward Model'!$C$12:$C$14,MATCH($K3179,'Reward Model'!$A$12:$A$14,0))/$J3179)),3)</f>
        <v>1</v>
      </c>
      <c r="AA3179" s="2" t="n">
        <f aca="false">IF($I3179="Correct",ROUND(INDEX('Reward Model'!$B$12:$B$14,MATCH($K3179,'Reward Model'!$A$12:$A$14,0))*Z3179,2),0)</f>
        <v>0</v>
      </c>
      <c r="AB3179" s="2" t="n">
        <f aca="false">IF($I3179="Correct",ROUND(INDEX('Reward Model'!$B$12:$B$14,MATCH($Y3179,'Reward Model'!$A$12:$A$14,0))*Z3179,2),0)</f>
        <v>0</v>
      </c>
    </row>
    <row r="3180" customFormat="false" ht="15" hidden="false" customHeight="false" outlineLevel="0" collapsed="false">
      <c r="A3180" s="0" t="s">
        <v>448</v>
      </c>
      <c r="B3180" s="0" t="s">
        <v>449</v>
      </c>
      <c r="C3180" s="0" t="s">
        <v>322</v>
      </c>
      <c r="D3180" s="0" t="s">
        <v>189</v>
      </c>
      <c r="E3180" s="0" t="n">
        <v>19</v>
      </c>
      <c r="F3180" s="0" t="s">
        <v>78</v>
      </c>
      <c r="G3180" s="0" t="s">
        <v>51</v>
      </c>
      <c r="H3180" s="0" t="s">
        <v>80</v>
      </c>
      <c r="I3180" s="0" t="s">
        <v>39</v>
      </c>
      <c r="J3180" s="0" t="n">
        <v>2.49</v>
      </c>
      <c r="K3180" s="0" t="s">
        <v>73</v>
      </c>
      <c r="L3180" s="0" t="n">
        <f aca="false">INDEX(Summary!$F$2:$F$201,MATCH($B3180,Summary!$A$2:$A$201,0))</f>
        <v>20</v>
      </c>
      <c r="M3180" s="0" t="n">
        <f aca="false">INDEX(Summary!$I$2:$I$201,MATCH($B3180,Summary!$A$2:$A$201,0))</f>
        <v>1</v>
      </c>
      <c r="N3180" s="0" t="n">
        <f aca="false">INDEX(Summary!$J$2:$J$201,MATCH($B3180,Summary!$A$2:$A$201,0))</f>
        <v>4</v>
      </c>
      <c r="O3180" s="2" t="n">
        <f aca="false">INDEX(Summary!$K$2:$K$201,MATCH($B3180,Summary!$A$2:$A$201,0))</f>
        <v>8.95</v>
      </c>
      <c r="P3180" s="3" t="n">
        <f aca="false">INDEX(Summary!$L$2:$L$201,MATCH($B3180,Summary!$A$2:$A$201,0))</f>
        <v>4</v>
      </c>
      <c r="Q3180" s="3" t="n">
        <f aca="false">INDEX(Summary!$M$2:$M$201,MATCH($B3180,Summary!$A$2:$A$201,0))</f>
        <v>2</v>
      </c>
      <c r="R3180" s="2" t="n">
        <f aca="false">INDEX(Summary!$N$2:$N$201,MATCH($B3180,Summary!$A$2:$A$201,0))</f>
        <v>10.95</v>
      </c>
      <c r="S3180" s="3" t="n">
        <f aca="false">INDEX(Summary!$O$2:$O$201,MATCH($B3180,Summary!$A$2:$A$201,0))</f>
        <v>8</v>
      </c>
      <c r="T3180" s="3" t="n">
        <f aca="false">INDEX(Summary!$P$2:$P$201,MATCH($B3180,Summary!$A$2:$A$201,0))</f>
        <v>1</v>
      </c>
      <c r="U3180" s="2" t="n">
        <f aca="false">INDEX(Summary!$Q$2:$Q$201,MATCH($B3180,Summary!$A$2:$A$201,0))</f>
        <v>13.89</v>
      </c>
      <c r="V3180" s="2" t="n">
        <f aca="false">INDEX(Summary!$R$2:$R$201,MATCH($B3180,Summary!$A$2:$A$201,0))</f>
        <v>22.64</v>
      </c>
      <c r="W3180" s="0" t="str">
        <f aca="false">INDEX(Summary!$S$2:$S$201,MATCH($B3180,Summary!$A$2:$A$201,0))</f>
        <v>Silver</v>
      </c>
      <c r="X3180" s="2" t="n">
        <f aca="false">INDEX(Summary!$T$2:$T$201,MATCH($B3180,Summary!$A$2:$A$201,0))</f>
        <v>55.22</v>
      </c>
      <c r="Y3180" s="0" t="str">
        <f aca="false">INDEX('Reward Model'!$E$18:$E$37,MATCH($E3180,'Reward Model'!$A$18:$A$37,0))</f>
        <v>High</v>
      </c>
      <c r="Z3180" s="4" t="n">
        <f aca="false">ROUND(MIN(1,MAX('Reward Model'!$B$2,INDEX('Reward Model'!$C$12:$C$14,MATCH($K3180,'Reward Model'!$A$12:$A$14,0))/$J3180)),3)</f>
        <v>0.803</v>
      </c>
      <c r="AA3180" s="2" t="n">
        <f aca="false">IF($I3180="Correct",ROUND(INDEX('Reward Model'!$B$12:$B$14,MATCH($K3180,'Reward Model'!$A$12:$A$14,0))*Z3180,2),0)</f>
        <v>0</v>
      </c>
      <c r="AB3180" s="2" t="n">
        <f aca="false">IF($I3180="Correct",ROUND(INDEX('Reward Model'!$B$12:$B$14,MATCH($Y3180,'Reward Model'!$A$12:$A$14,0))*Z3180,2),0)</f>
        <v>0</v>
      </c>
    </row>
    <row r="3181" customFormat="false" ht="15" hidden="false" customHeight="false" outlineLevel="0" collapsed="false">
      <c r="A3181" s="0" t="s">
        <v>448</v>
      </c>
      <c r="B3181" s="0" t="s">
        <v>449</v>
      </c>
      <c r="C3181" s="0" t="s">
        <v>322</v>
      </c>
      <c r="D3181" s="0" t="s">
        <v>189</v>
      </c>
      <c r="E3181" s="0" t="n">
        <v>20</v>
      </c>
      <c r="F3181" s="0" t="s">
        <v>81</v>
      </c>
      <c r="G3181" s="0" t="s">
        <v>83</v>
      </c>
      <c r="H3181" s="0" t="s">
        <v>83</v>
      </c>
      <c r="I3181" s="0" t="s">
        <v>34</v>
      </c>
      <c r="J3181" s="0" t="n">
        <v>1.85</v>
      </c>
      <c r="K3181" s="0" t="s">
        <v>73</v>
      </c>
      <c r="L3181" s="0" t="n">
        <f aca="false">INDEX(Summary!$F$2:$F$201,MATCH($B3181,Summary!$A$2:$A$201,0))</f>
        <v>20</v>
      </c>
      <c r="M3181" s="0" t="n">
        <f aca="false">INDEX(Summary!$I$2:$I$201,MATCH($B3181,Summary!$A$2:$A$201,0))</f>
        <v>1</v>
      </c>
      <c r="N3181" s="0" t="n">
        <f aca="false">INDEX(Summary!$J$2:$J$201,MATCH($B3181,Summary!$A$2:$A$201,0))</f>
        <v>4</v>
      </c>
      <c r="O3181" s="2" t="n">
        <f aca="false">INDEX(Summary!$K$2:$K$201,MATCH($B3181,Summary!$A$2:$A$201,0))</f>
        <v>8.95</v>
      </c>
      <c r="P3181" s="3" t="n">
        <f aca="false">INDEX(Summary!$L$2:$L$201,MATCH($B3181,Summary!$A$2:$A$201,0))</f>
        <v>4</v>
      </c>
      <c r="Q3181" s="3" t="n">
        <f aca="false">INDEX(Summary!$M$2:$M$201,MATCH($B3181,Summary!$A$2:$A$201,0))</f>
        <v>2</v>
      </c>
      <c r="R3181" s="2" t="n">
        <f aca="false">INDEX(Summary!$N$2:$N$201,MATCH($B3181,Summary!$A$2:$A$201,0))</f>
        <v>10.95</v>
      </c>
      <c r="S3181" s="3" t="n">
        <f aca="false">INDEX(Summary!$O$2:$O$201,MATCH($B3181,Summary!$A$2:$A$201,0))</f>
        <v>8</v>
      </c>
      <c r="T3181" s="3" t="n">
        <f aca="false">INDEX(Summary!$P$2:$P$201,MATCH($B3181,Summary!$A$2:$A$201,0))</f>
        <v>1</v>
      </c>
      <c r="U3181" s="2" t="n">
        <f aca="false">INDEX(Summary!$Q$2:$Q$201,MATCH($B3181,Summary!$A$2:$A$201,0))</f>
        <v>13.89</v>
      </c>
      <c r="V3181" s="2" t="n">
        <f aca="false">INDEX(Summary!$R$2:$R$201,MATCH($B3181,Summary!$A$2:$A$201,0))</f>
        <v>22.64</v>
      </c>
      <c r="W3181" s="0" t="str">
        <f aca="false">INDEX(Summary!$S$2:$S$201,MATCH($B3181,Summary!$A$2:$A$201,0))</f>
        <v>Silver</v>
      </c>
      <c r="X3181" s="2" t="n">
        <f aca="false">INDEX(Summary!$T$2:$T$201,MATCH($B3181,Summary!$A$2:$A$201,0))</f>
        <v>55.22</v>
      </c>
      <c r="Y3181" s="0" t="str">
        <f aca="false">INDEX('Reward Model'!$E$18:$E$37,MATCH($E3181,'Reward Model'!$A$18:$A$37,0))</f>
        <v>High</v>
      </c>
      <c r="Z3181" s="4" t="n">
        <f aca="false">ROUND(MIN(1,MAX('Reward Model'!$B$2,INDEX('Reward Model'!$C$12:$C$14,MATCH($K3181,'Reward Model'!$A$12:$A$14,0))/$J3181)),3)</f>
        <v>1</v>
      </c>
      <c r="AA3181" s="2" t="n">
        <f aca="false">IF($I3181="Correct",ROUND(INDEX('Reward Model'!$B$12:$B$14,MATCH($K3181,'Reward Model'!$A$12:$A$14,0))*Z3181,2),0)</f>
        <v>3</v>
      </c>
      <c r="AB3181" s="2" t="n">
        <f aca="false">IF($I3181="Correct",ROUND(INDEX('Reward Model'!$B$12:$B$14,MATCH($Y3181,'Reward Model'!$A$12:$A$14,0))*Z3181,2),0)</f>
        <v>3</v>
      </c>
    </row>
    <row r="3182" customFormat="false" ht="15" hidden="false" customHeight="false" outlineLevel="0" collapsed="false">
      <c r="A3182" s="0" t="s">
        <v>450</v>
      </c>
      <c r="B3182" s="0" t="s">
        <v>451</v>
      </c>
      <c r="C3182" s="0" t="s">
        <v>322</v>
      </c>
      <c r="D3182" s="0" t="s">
        <v>189</v>
      </c>
      <c r="E3182" s="0" t="n">
        <v>1</v>
      </c>
      <c r="F3182" s="0" t="s">
        <v>32</v>
      </c>
      <c r="G3182" s="0" t="s">
        <v>33</v>
      </c>
      <c r="H3182" s="0" t="s">
        <v>33</v>
      </c>
      <c r="I3182" s="0" t="s">
        <v>34</v>
      </c>
      <c r="J3182" s="0" t="n">
        <v>1.8</v>
      </c>
      <c r="K3182" s="0" t="s">
        <v>35</v>
      </c>
      <c r="L3182" s="0" t="n">
        <f aca="false">INDEX(Summary!$F$2:$F$201,MATCH($B3182,Summary!$A$2:$A$201,0))</f>
        <v>20</v>
      </c>
      <c r="M3182" s="0" t="n">
        <f aca="false">INDEX(Summary!$I$2:$I$201,MATCH($B3182,Summary!$A$2:$A$201,0))</f>
        <v>3</v>
      </c>
      <c r="N3182" s="0" t="n">
        <f aca="false">INDEX(Summary!$J$2:$J$201,MATCH($B3182,Summary!$A$2:$A$201,0))</f>
        <v>2</v>
      </c>
      <c r="O3182" s="2" t="n">
        <f aca="false">INDEX(Summary!$K$2:$K$201,MATCH($B3182,Summary!$A$2:$A$201,0))</f>
        <v>9.8</v>
      </c>
      <c r="P3182" s="3" t="n">
        <f aca="false">INDEX(Summary!$L$2:$L$201,MATCH($B3182,Summary!$A$2:$A$201,0))</f>
        <v>5</v>
      </c>
      <c r="Q3182" s="3" t="n">
        <f aca="false">INDEX(Summary!$M$2:$M$201,MATCH($B3182,Summary!$A$2:$A$201,0))</f>
        <v>1</v>
      </c>
      <c r="R3182" s="2" t="n">
        <f aca="false">INDEX(Summary!$N$2:$N$201,MATCH($B3182,Summary!$A$2:$A$201,0))</f>
        <v>10.99</v>
      </c>
      <c r="S3182" s="3" t="n">
        <f aca="false">INDEX(Summary!$O$2:$O$201,MATCH($B3182,Summary!$A$2:$A$201,0))</f>
        <v>8</v>
      </c>
      <c r="T3182" s="3" t="n">
        <f aca="false">INDEX(Summary!$P$2:$P$201,MATCH($B3182,Summary!$A$2:$A$201,0))</f>
        <v>1</v>
      </c>
      <c r="U3182" s="2" t="n">
        <f aca="false">INDEX(Summary!$Q$2:$Q$201,MATCH($B3182,Summary!$A$2:$A$201,0))</f>
        <v>12.46</v>
      </c>
      <c r="V3182" s="2" t="n">
        <f aca="false">INDEX(Summary!$R$2:$R$201,MATCH($B3182,Summary!$A$2:$A$201,0))</f>
        <v>29.59</v>
      </c>
      <c r="W3182" s="0" t="str">
        <f aca="false">INDEX(Summary!$S$2:$S$201,MATCH($B3182,Summary!$A$2:$A$201,0))</f>
        <v>Gold</v>
      </c>
      <c r="X3182" s="2" t="n">
        <f aca="false">INDEX(Summary!$T$2:$T$201,MATCH($B3182,Summary!$A$2:$A$201,0))</f>
        <v>72.17</v>
      </c>
      <c r="Y3182" s="0" t="str">
        <f aca="false">INDEX('Reward Model'!$E$18:$E$37,MATCH($E3182,'Reward Model'!$A$18:$A$37,0))</f>
        <v>Medium</v>
      </c>
      <c r="Z3182" s="4" t="n">
        <f aca="false">ROUND(MIN(1,MAX('Reward Model'!$B$2,INDEX('Reward Model'!$C$12:$C$14,MATCH($K3182,'Reward Model'!$A$12:$A$14,0))/$J3182)),3)</f>
        <v>0.833</v>
      </c>
      <c r="AA3182" s="2" t="n">
        <f aca="false">IF($I3182="Correct",ROUND(INDEX('Reward Model'!$B$12:$B$14,MATCH($K3182,'Reward Model'!$A$12:$A$14,0))*Z3182,2),0)</f>
        <v>0.83</v>
      </c>
      <c r="AB3182" s="2" t="n">
        <f aca="false">IF($I3182="Correct",ROUND(INDEX('Reward Model'!$B$12:$B$14,MATCH($Y3182,'Reward Model'!$A$12:$A$14,0))*Z3182,2),0)</f>
        <v>1.67</v>
      </c>
    </row>
    <row r="3183" customFormat="false" ht="15" hidden="false" customHeight="false" outlineLevel="0" collapsed="false">
      <c r="A3183" s="0" t="s">
        <v>450</v>
      </c>
      <c r="B3183" s="0" t="s">
        <v>451</v>
      </c>
      <c r="C3183" s="0" t="s">
        <v>322</v>
      </c>
      <c r="D3183" s="0" t="s">
        <v>189</v>
      </c>
      <c r="E3183" s="0" t="n">
        <v>2</v>
      </c>
      <c r="F3183" s="0" t="s">
        <v>36</v>
      </c>
      <c r="G3183" s="0" t="s">
        <v>38</v>
      </c>
      <c r="H3183" s="0" t="s">
        <v>38</v>
      </c>
      <c r="I3183" s="0" t="s">
        <v>34</v>
      </c>
      <c r="J3183" s="0" t="n">
        <v>1.51</v>
      </c>
      <c r="K3183" s="0" t="s">
        <v>35</v>
      </c>
      <c r="L3183" s="0" t="n">
        <f aca="false">INDEX(Summary!$F$2:$F$201,MATCH($B3183,Summary!$A$2:$A$201,0))</f>
        <v>20</v>
      </c>
      <c r="M3183" s="0" t="n">
        <f aca="false">INDEX(Summary!$I$2:$I$201,MATCH($B3183,Summary!$A$2:$A$201,0))</f>
        <v>3</v>
      </c>
      <c r="N3183" s="0" t="n">
        <f aca="false">INDEX(Summary!$J$2:$J$201,MATCH($B3183,Summary!$A$2:$A$201,0))</f>
        <v>2</v>
      </c>
      <c r="O3183" s="2" t="n">
        <f aca="false">INDEX(Summary!$K$2:$K$201,MATCH($B3183,Summary!$A$2:$A$201,0))</f>
        <v>9.8</v>
      </c>
      <c r="P3183" s="3" t="n">
        <f aca="false">INDEX(Summary!$L$2:$L$201,MATCH($B3183,Summary!$A$2:$A$201,0))</f>
        <v>5</v>
      </c>
      <c r="Q3183" s="3" t="n">
        <f aca="false">INDEX(Summary!$M$2:$M$201,MATCH($B3183,Summary!$A$2:$A$201,0))</f>
        <v>1</v>
      </c>
      <c r="R3183" s="2" t="n">
        <f aca="false">INDEX(Summary!$N$2:$N$201,MATCH($B3183,Summary!$A$2:$A$201,0))</f>
        <v>10.99</v>
      </c>
      <c r="S3183" s="3" t="n">
        <f aca="false">INDEX(Summary!$O$2:$O$201,MATCH($B3183,Summary!$A$2:$A$201,0))</f>
        <v>8</v>
      </c>
      <c r="T3183" s="3" t="n">
        <f aca="false">INDEX(Summary!$P$2:$P$201,MATCH($B3183,Summary!$A$2:$A$201,0))</f>
        <v>1</v>
      </c>
      <c r="U3183" s="2" t="n">
        <f aca="false">INDEX(Summary!$Q$2:$Q$201,MATCH($B3183,Summary!$A$2:$A$201,0))</f>
        <v>12.46</v>
      </c>
      <c r="V3183" s="2" t="n">
        <f aca="false">INDEX(Summary!$R$2:$R$201,MATCH($B3183,Summary!$A$2:$A$201,0))</f>
        <v>29.59</v>
      </c>
      <c r="W3183" s="0" t="str">
        <f aca="false">INDEX(Summary!$S$2:$S$201,MATCH($B3183,Summary!$A$2:$A$201,0))</f>
        <v>Gold</v>
      </c>
      <c r="X3183" s="2" t="n">
        <f aca="false">INDEX(Summary!$T$2:$T$201,MATCH($B3183,Summary!$A$2:$A$201,0))</f>
        <v>72.17</v>
      </c>
      <c r="Y3183" s="0" t="str">
        <f aca="false">INDEX('Reward Model'!$E$18:$E$37,MATCH($E3183,'Reward Model'!$A$18:$A$37,0))</f>
        <v>Low</v>
      </c>
      <c r="Z3183" s="4" t="n">
        <f aca="false">ROUND(MIN(1,MAX('Reward Model'!$B$2,INDEX('Reward Model'!$C$12:$C$14,MATCH($K3183,'Reward Model'!$A$12:$A$14,0))/$J3183)),3)</f>
        <v>0.993</v>
      </c>
      <c r="AA3183" s="2" t="n">
        <f aca="false">IF($I3183="Correct",ROUND(INDEX('Reward Model'!$B$12:$B$14,MATCH($K3183,'Reward Model'!$A$12:$A$14,0))*Z3183,2),0)</f>
        <v>0.99</v>
      </c>
      <c r="AB3183" s="2" t="n">
        <f aca="false">IF($I3183="Correct",ROUND(INDEX('Reward Model'!$B$12:$B$14,MATCH($Y3183,'Reward Model'!$A$12:$A$14,0))*Z3183,2),0)</f>
        <v>0.99</v>
      </c>
    </row>
    <row r="3184" customFormat="false" ht="15" hidden="false" customHeight="false" outlineLevel="0" collapsed="false">
      <c r="A3184" s="0" t="s">
        <v>450</v>
      </c>
      <c r="B3184" s="0" t="s">
        <v>451</v>
      </c>
      <c r="C3184" s="0" t="s">
        <v>322</v>
      </c>
      <c r="D3184" s="0" t="s">
        <v>189</v>
      </c>
      <c r="E3184" s="0" t="n">
        <v>3</v>
      </c>
      <c r="F3184" s="0" t="s">
        <v>40</v>
      </c>
      <c r="G3184" s="0" t="s">
        <v>142</v>
      </c>
      <c r="H3184" s="0" t="s">
        <v>42</v>
      </c>
      <c r="I3184" s="0" t="s">
        <v>39</v>
      </c>
      <c r="J3184" s="0" t="n">
        <v>1.04</v>
      </c>
      <c r="K3184" s="0" t="s">
        <v>35</v>
      </c>
      <c r="L3184" s="0" t="n">
        <f aca="false">INDEX(Summary!$F$2:$F$201,MATCH($B3184,Summary!$A$2:$A$201,0))</f>
        <v>20</v>
      </c>
      <c r="M3184" s="0" t="n">
        <f aca="false">INDEX(Summary!$I$2:$I$201,MATCH($B3184,Summary!$A$2:$A$201,0))</f>
        <v>3</v>
      </c>
      <c r="N3184" s="0" t="n">
        <f aca="false">INDEX(Summary!$J$2:$J$201,MATCH($B3184,Summary!$A$2:$A$201,0))</f>
        <v>2</v>
      </c>
      <c r="O3184" s="2" t="n">
        <f aca="false">INDEX(Summary!$K$2:$K$201,MATCH($B3184,Summary!$A$2:$A$201,0))</f>
        <v>9.8</v>
      </c>
      <c r="P3184" s="3" t="n">
        <f aca="false">INDEX(Summary!$L$2:$L$201,MATCH($B3184,Summary!$A$2:$A$201,0))</f>
        <v>5</v>
      </c>
      <c r="Q3184" s="3" t="n">
        <f aca="false">INDEX(Summary!$M$2:$M$201,MATCH($B3184,Summary!$A$2:$A$201,0))</f>
        <v>1</v>
      </c>
      <c r="R3184" s="2" t="n">
        <f aca="false">INDEX(Summary!$N$2:$N$201,MATCH($B3184,Summary!$A$2:$A$201,0))</f>
        <v>10.99</v>
      </c>
      <c r="S3184" s="3" t="n">
        <f aca="false">INDEX(Summary!$O$2:$O$201,MATCH($B3184,Summary!$A$2:$A$201,0))</f>
        <v>8</v>
      </c>
      <c r="T3184" s="3" t="n">
        <f aca="false">INDEX(Summary!$P$2:$P$201,MATCH($B3184,Summary!$A$2:$A$201,0))</f>
        <v>1</v>
      </c>
      <c r="U3184" s="2" t="n">
        <f aca="false">INDEX(Summary!$Q$2:$Q$201,MATCH($B3184,Summary!$A$2:$A$201,0))</f>
        <v>12.46</v>
      </c>
      <c r="V3184" s="2" t="n">
        <f aca="false">INDEX(Summary!$R$2:$R$201,MATCH($B3184,Summary!$A$2:$A$201,0))</f>
        <v>29.59</v>
      </c>
      <c r="W3184" s="0" t="str">
        <f aca="false">INDEX(Summary!$S$2:$S$201,MATCH($B3184,Summary!$A$2:$A$201,0))</f>
        <v>Gold</v>
      </c>
      <c r="X3184" s="2" t="n">
        <f aca="false">INDEX(Summary!$T$2:$T$201,MATCH($B3184,Summary!$A$2:$A$201,0))</f>
        <v>72.17</v>
      </c>
      <c r="Y3184" s="0" t="str">
        <f aca="false">INDEX('Reward Model'!$E$18:$E$37,MATCH($E3184,'Reward Model'!$A$18:$A$37,0))</f>
        <v>Medium</v>
      </c>
      <c r="Z3184" s="4" t="n">
        <f aca="false">ROUND(MIN(1,MAX('Reward Model'!$B$2,INDEX('Reward Model'!$C$12:$C$14,MATCH($K3184,'Reward Model'!$A$12:$A$14,0))/$J3184)),3)</f>
        <v>1</v>
      </c>
      <c r="AA3184" s="2" t="n">
        <f aca="false">IF($I3184="Correct",ROUND(INDEX('Reward Model'!$B$12:$B$14,MATCH($K3184,'Reward Model'!$A$12:$A$14,0))*Z3184,2),0)</f>
        <v>0</v>
      </c>
      <c r="AB3184" s="2" t="n">
        <f aca="false">IF($I3184="Correct",ROUND(INDEX('Reward Model'!$B$12:$B$14,MATCH($Y3184,'Reward Model'!$A$12:$A$14,0))*Z3184,2),0)</f>
        <v>0</v>
      </c>
    </row>
    <row r="3185" customFormat="false" ht="15" hidden="false" customHeight="false" outlineLevel="0" collapsed="false">
      <c r="A3185" s="0" t="s">
        <v>450</v>
      </c>
      <c r="B3185" s="0" t="s">
        <v>451</v>
      </c>
      <c r="C3185" s="0" t="s">
        <v>322</v>
      </c>
      <c r="D3185" s="0" t="s">
        <v>189</v>
      </c>
      <c r="E3185" s="0" t="n">
        <v>4</v>
      </c>
      <c r="F3185" s="0" t="s">
        <v>43</v>
      </c>
      <c r="G3185" s="0" t="s">
        <v>45</v>
      </c>
      <c r="H3185" s="0" t="s">
        <v>45</v>
      </c>
      <c r="I3185" s="0" t="s">
        <v>34</v>
      </c>
      <c r="J3185" s="0" t="n">
        <v>1.49</v>
      </c>
      <c r="K3185" s="0" t="s">
        <v>35</v>
      </c>
      <c r="L3185" s="0" t="n">
        <f aca="false">INDEX(Summary!$F$2:$F$201,MATCH($B3185,Summary!$A$2:$A$201,0))</f>
        <v>20</v>
      </c>
      <c r="M3185" s="0" t="n">
        <f aca="false">INDEX(Summary!$I$2:$I$201,MATCH($B3185,Summary!$A$2:$A$201,0))</f>
        <v>3</v>
      </c>
      <c r="N3185" s="0" t="n">
        <f aca="false">INDEX(Summary!$J$2:$J$201,MATCH($B3185,Summary!$A$2:$A$201,0))</f>
        <v>2</v>
      </c>
      <c r="O3185" s="2" t="n">
        <f aca="false">INDEX(Summary!$K$2:$K$201,MATCH($B3185,Summary!$A$2:$A$201,0))</f>
        <v>9.8</v>
      </c>
      <c r="P3185" s="3" t="n">
        <f aca="false">INDEX(Summary!$L$2:$L$201,MATCH($B3185,Summary!$A$2:$A$201,0))</f>
        <v>5</v>
      </c>
      <c r="Q3185" s="3" t="n">
        <f aca="false">INDEX(Summary!$M$2:$M$201,MATCH($B3185,Summary!$A$2:$A$201,0))</f>
        <v>1</v>
      </c>
      <c r="R3185" s="2" t="n">
        <f aca="false">INDEX(Summary!$N$2:$N$201,MATCH($B3185,Summary!$A$2:$A$201,0))</f>
        <v>10.99</v>
      </c>
      <c r="S3185" s="3" t="n">
        <f aca="false">INDEX(Summary!$O$2:$O$201,MATCH($B3185,Summary!$A$2:$A$201,0))</f>
        <v>8</v>
      </c>
      <c r="T3185" s="3" t="n">
        <f aca="false">INDEX(Summary!$P$2:$P$201,MATCH($B3185,Summary!$A$2:$A$201,0))</f>
        <v>1</v>
      </c>
      <c r="U3185" s="2" t="n">
        <f aca="false">INDEX(Summary!$Q$2:$Q$201,MATCH($B3185,Summary!$A$2:$A$201,0))</f>
        <v>12.46</v>
      </c>
      <c r="V3185" s="2" t="n">
        <f aca="false">INDEX(Summary!$R$2:$R$201,MATCH($B3185,Summary!$A$2:$A$201,0))</f>
        <v>29.59</v>
      </c>
      <c r="W3185" s="0" t="str">
        <f aca="false">INDEX(Summary!$S$2:$S$201,MATCH($B3185,Summary!$A$2:$A$201,0))</f>
        <v>Gold</v>
      </c>
      <c r="X3185" s="2" t="n">
        <f aca="false">INDEX(Summary!$T$2:$T$201,MATCH($B3185,Summary!$A$2:$A$201,0))</f>
        <v>72.17</v>
      </c>
      <c r="Y3185" s="0" t="str">
        <f aca="false">INDEX('Reward Model'!$E$18:$E$37,MATCH($E3185,'Reward Model'!$A$18:$A$37,0))</f>
        <v>Low</v>
      </c>
      <c r="Z3185" s="4" t="n">
        <f aca="false">ROUND(MIN(1,MAX('Reward Model'!$B$2,INDEX('Reward Model'!$C$12:$C$14,MATCH($K3185,'Reward Model'!$A$12:$A$14,0))/$J3185)),3)</f>
        <v>1</v>
      </c>
      <c r="AA3185" s="2" t="n">
        <f aca="false">IF($I3185="Correct",ROUND(INDEX('Reward Model'!$B$12:$B$14,MATCH($K3185,'Reward Model'!$A$12:$A$14,0))*Z3185,2),0)</f>
        <v>1</v>
      </c>
      <c r="AB3185" s="2" t="n">
        <f aca="false">IF($I3185="Correct",ROUND(INDEX('Reward Model'!$B$12:$B$14,MATCH($Y3185,'Reward Model'!$A$12:$A$14,0))*Z3185,2),0)</f>
        <v>1</v>
      </c>
    </row>
    <row r="3186" customFormat="false" ht="15" hidden="false" customHeight="false" outlineLevel="0" collapsed="false">
      <c r="A3186" s="0" t="s">
        <v>450</v>
      </c>
      <c r="B3186" s="0" t="s">
        <v>451</v>
      </c>
      <c r="C3186" s="0" t="s">
        <v>322</v>
      </c>
      <c r="D3186" s="0" t="s">
        <v>189</v>
      </c>
      <c r="E3186" s="0" t="n">
        <v>5</v>
      </c>
      <c r="F3186" s="0" t="s">
        <v>46</v>
      </c>
      <c r="G3186" s="0" t="s">
        <v>47</v>
      </c>
      <c r="H3186" s="0" t="s">
        <v>47</v>
      </c>
      <c r="I3186" s="0" t="s">
        <v>34</v>
      </c>
      <c r="J3186" s="0" t="n">
        <v>1.39</v>
      </c>
      <c r="K3186" s="0" t="s">
        <v>35</v>
      </c>
      <c r="L3186" s="0" t="n">
        <f aca="false">INDEX(Summary!$F$2:$F$201,MATCH($B3186,Summary!$A$2:$A$201,0))</f>
        <v>20</v>
      </c>
      <c r="M3186" s="0" t="n">
        <f aca="false">INDEX(Summary!$I$2:$I$201,MATCH($B3186,Summary!$A$2:$A$201,0))</f>
        <v>3</v>
      </c>
      <c r="N3186" s="0" t="n">
        <f aca="false">INDEX(Summary!$J$2:$J$201,MATCH($B3186,Summary!$A$2:$A$201,0))</f>
        <v>2</v>
      </c>
      <c r="O3186" s="2" t="n">
        <f aca="false">INDEX(Summary!$K$2:$K$201,MATCH($B3186,Summary!$A$2:$A$201,0))</f>
        <v>9.8</v>
      </c>
      <c r="P3186" s="3" t="n">
        <f aca="false">INDEX(Summary!$L$2:$L$201,MATCH($B3186,Summary!$A$2:$A$201,0))</f>
        <v>5</v>
      </c>
      <c r="Q3186" s="3" t="n">
        <f aca="false">INDEX(Summary!$M$2:$M$201,MATCH($B3186,Summary!$A$2:$A$201,0))</f>
        <v>1</v>
      </c>
      <c r="R3186" s="2" t="n">
        <f aca="false">INDEX(Summary!$N$2:$N$201,MATCH($B3186,Summary!$A$2:$A$201,0))</f>
        <v>10.99</v>
      </c>
      <c r="S3186" s="3" t="n">
        <f aca="false">INDEX(Summary!$O$2:$O$201,MATCH($B3186,Summary!$A$2:$A$201,0))</f>
        <v>8</v>
      </c>
      <c r="T3186" s="3" t="n">
        <f aca="false">INDEX(Summary!$P$2:$P$201,MATCH($B3186,Summary!$A$2:$A$201,0))</f>
        <v>1</v>
      </c>
      <c r="U3186" s="2" t="n">
        <f aca="false">INDEX(Summary!$Q$2:$Q$201,MATCH($B3186,Summary!$A$2:$A$201,0))</f>
        <v>12.46</v>
      </c>
      <c r="V3186" s="2" t="n">
        <f aca="false">INDEX(Summary!$R$2:$R$201,MATCH($B3186,Summary!$A$2:$A$201,0))</f>
        <v>29.59</v>
      </c>
      <c r="W3186" s="0" t="str">
        <f aca="false">INDEX(Summary!$S$2:$S$201,MATCH($B3186,Summary!$A$2:$A$201,0))</f>
        <v>Gold</v>
      </c>
      <c r="X3186" s="2" t="n">
        <f aca="false">INDEX(Summary!$T$2:$T$201,MATCH($B3186,Summary!$A$2:$A$201,0))</f>
        <v>72.17</v>
      </c>
      <c r="Y3186" s="0" t="str">
        <f aca="false">INDEX('Reward Model'!$E$18:$E$37,MATCH($E3186,'Reward Model'!$A$18:$A$37,0))</f>
        <v>Low</v>
      </c>
      <c r="Z3186" s="4" t="n">
        <f aca="false">ROUND(MIN(1,MAX('Reward Model'!$B$2,INDEX('Reward Model'!$C$12:$C$14,MATCH($K3186,'Reward Model'!$A$12:$A$14,0))/$J3186)),3)</f>
        <v>1</v>
      </c>
      <c r="AA3186" s="2" t="n">
        <f aca="false">IF($I3186="Correct",ROUND(INDEX('Reward Model'!$B$12:$B$14,MATCH($K3186,'Reward Model'!$A$12:$A$14,0))*Z3186,2),0)</f>
        <v>1</v>
      </c>
      <c r="AB3186" s="2" t="n">
        <f aca="false">IF($I3186="Correct",ROUND(INDEX('Reward Model'!$B$12:$B$14,MATCH($Y3186,'Reward Model'!$A$12:$A$14,0))*Z3186,2),0)</f>
        <v>1</v>
      </c>
    </row>
    <row r="3187" customFormat="false" ht="15" hidden="false" customHeight="false" outlineLevel="0" collapsed="false">
      <c r="A3187" s="0" t="s">
        <v>450</v>
      </c>
      <c r="B3187" s="0" t="s">
        <v>451</v>
      </c>
      <c r="C3187" s="0" t="s">
        <v>322</v>
      </c>
      <c r="D3187" s="0" t="s">
        <v>189</v>
      </c>
      <c r="E3187" s="0" t="n">
        <v>6</v>
      </c>
      <c r="F3187" s="0" t="s">
        <v>48</v>
      </c>
      <c r="G3187" s="0" t="s">
        <v>49</v>
      </c>
      <c r="H3187" s="0" t="s">
        <v>49</v>
      </c>
      <c r="I3187" s="0" t="s">
        <v>34</v>
      </c>
      <c r="J3187" s="0" t="n">
        <v>1.4</v>
      </c>
      <c r="K3187" s="0" t="s">
        <v>35</v>
      </c>
      <c r="L3187" s="0" t="n">
        <f aca="false">INDEX(Summary!$F$2:$F$201,MATCH($B3187,Summary!$A$2:$A$201,0))</f>
        <v>20</v>
      </c>
      <c r="M3187" s="0" t="n">
        <f aca="false">INDEX(Summary!$I$2:$I$201,MATCH($B3187,Summary!$A$2:$A$201,0))</f>
        <v>3</v>
      </c>
      <c r="N3187" s="0" t="n">
        <f aca="false">INDEX(Summary!$J$2:$J$201,MATCH($B3187,Summary!$A$2:$A$201,0))</f>
        <v>2</v>
      </c>
      <c r="O3187" s="2" t="n">
        <f aca="false">INDEX(Summary!$K$2:$K$201,MATCH($B3187,Summary!$A$2:$A$201,0))</f>
        <v>9.8</v>
      </c>
      <c r="P3187" s="3" t="n">
        <f aca="false">INDEX(Summary!$L$2:$L$201,MATCH($B3187,Summary!$A$2:$A$201,0))</f>
        <v>5</v>
      </c>
      <c r="Q3187" s="3" t="n">
        <f aca="false">INDEX(Summary!$M$2:$M$201,MATCH($B3187,Summary!$A$2:$A$201,0))</f>
        <v>1</v>
      </c>
      <c r="R3187" s="2" t="n">
        <f aca="false">INDEX(Summary!$N$2:$N$201,MATCH($B3187,Summary!$A$2:$A$201,0))</f>
        <v>10.99</v>
      </c>
      <c r="S3187" s="3" t="n">
        <f aca="false">INDEX(Summary!$O$2:$O$201,MATCH($B3187,Summary!$A$2:$A$201,0))</f>
        <v>8</v>
      </c>
      <c r="T3187" s="3" t="n">
        <f aca="false">INDEX(Summary!$P$2:$P$201,MATCH($B3187,Summary!$A$2:$A$201,0))</f>
        <v>1</v>
      </c>
      <c r="U3187" s="2" t="n">
        <f aca="false">INDEX(Summary!$Q$2:$Q$201,MATCH($B3187,Summary!$A$2:$A$201,0))</f>
        <v>12.46</v>
      </c>
      <c r="V3187" s="2" t="n">
        <f aca="false">INDEX(Summary!$R$2:$R$201,MATCH($B3187,Summary!$A$2:$A$201,0))</f>
        <v>29.59</v>
      </c>
      <c r="W3187" s="0" t="str">
        <f aca="false">INDEX(Summary!$S$2:$S$201,MATCH($B3187,Summary!$A$2:$A$201,0))</f>
        <v>Gold</v>
      </c>
      <c r="X3187" s="2" t="n">
        <f aca="false">INDEX(Summary!$T$2:$T$201,MATCH($B3187,Summary!$A$2:$A$201,0))</f>
        <v>72.17</v>
      </c>
      <c r="Y3187" s="0" t="str">
        <f aca="false">INDEX('Reward Model'!$E$18:$E$37,MATCH($E3187,'Reward Model'!$A$18:$A$37,0))</f>
        <v>Medium</v>
      </c>
      <c r="Z3187" s="4" t="n">
        <f aca="false">ROUND(MIN(1,MAX('Reward Model'!$B$2,INDEX('Reward Model'!$C$12:$C$14,MATCH($K3187,'Reward Model'!$A$12:$A$14,0))/$J3187)),3)</f>
        <v>1</v>
      </c>
      <c r="AA3187" s="2" t="n">
        <f aca="false">IF($I3187="Correct",ROUND(INDEX('Reward Model'!$B$12:$B$14,MATCH($K3187,'Reward Model'!$A$12:$A$14,0))*Z3187,2),0)</f>
        <v>1</v>
      </c>
      <c r="AB3187" s="2" t="n">
        <f aca="false">IF($I3187="Correct",ROUND(INDEX('Reward Model'!$B$12:$B$14,MATCH($Y3187,'Reward Model'!$A$12:$A$14,0))*Z3187,2),0)</f>
        <v>2</v>
      </c>
    </row>
    <row r="3188" customFormat="false" ht="15" hidden="false" customHeight="false" outlineLevel="0" collapsed="false">
      <c r="A3188" s="0" t="s">
        <v>450</v>
      </c>
      <c r="B3188" s="0" t="s">
        <v>451</v>
      </c>
      <c r="C3188" s="0" t="s">
        <v>322</v>
      </c>
      <c r="D3188" s="0" t="s">
        <v>189</v>
      </c>
      <c r="E3188" s="0" t="n">
        <v>7</v>
      </c>
      <c r="F3188" s="0" t="s">
        <v>50</v>
      </c>
      <c r="G3188" s="0" t="s">
        <v>51</v>
      </c>
      <c r="H3188" s="0" t="s">
        <v>51</v>
      </c>
      <c r="I3188" s="0" t="s">
        <v>34</v>
      </c>
      <c r="J3188" s="0" t="n">
        <v>1.3</v>
      </c>
      <c r="K3188" s="0" t="s">
        <v>35</v>
      </c>
      <c r="L3188" s="0" t="n">
        <f aca="false">INDEX(Summary!$F$2:$F$201,MATCH($B3188,Summary!$A$2:$A$201,0))</f>
        <v>20</v>
      </c>
      <c r="M3188" s="0" t="n">
        <f aca="false">INDEX(Summary!$I$2:$I$201,MATCH($B3188,Summary!$A$2:$A$201,0))</f>
        <v>3</v>
      </c>
      <c r="N3188" s="0" t="n">
        <f aca="false">INDEX(Summary!$J$2:$J$201,MATCH($B3188,Summary!$A$2:$A$201,0))</f>
        <v>2</v>
      </c>
      <c r="O3188" s="2" t="n">
        <f aca="false">INDEX(Summary!$K$2:$K$201,MATCH($B3188,Summary!$A$2:$A$201,0))</f>
        <v>9.8</v>
      </c>
      <c r="P3188" s="3" t="n">
        <f aca="false">INDEX(Summary!$L$2:$L$201,MATCH($B3188,Summary!$A$2:$A$201,0))</f>
        <v>5</v>
      </c>
      <c r="Q3188" s="3" t="n">
        <f aca="false">INDEX(Summary!$M$2:$M$201,MATCH($B3188,Summary!$A$2:$A$201,0))</f>
        <v>1</v>
      </c>
      <c r="R3188" s="2" t="n">
        <f aca="false">INDEX(Summary!$N$2:$N$201,MATCH($B3188,Summary!$A$2:$A$201,0))</f>
        <v>10.99</v>
      </c>
      <c r="S3188" s="3" t="n">
        <f aca="false">INDEX(Summary!$O$2:$O$201,MATCH($B3188,Summary!$A$2:$A$201,0))</f>
        <v>8</v>
      </c>
      <c r="T3188" s="3" t="n">
        <f aca="false">INDEX(Summary!$P$2:$P$201,MATCH($B3188,Summary!$A$2:$A$201,0))</f>
        <v>1</v>
      </c>
      <c r="U3188" s="2" t="n">
        <f aca="false">INDEX(Summary!$Q$2:$Q$201,MATCH($B3188,Summary!$A$2:$A$201,0))</f>
        <v>12.46</v>
      </c>
      <c r="V3188" s="2" t="n">
        <f aca="false">INDEX(Summary!$R$2:$R$201,MATCH($B3188,Summary!$A$2:$A$201,0))</f>
        <v>29.59</v>
      </c>
      <c r="W3188" s="0" t="str">
        <f aca="false">INDEX(Summary!$S$2:$S$201,MATCH($B3188,Summary!$A$2:$A$201,0))</f>
        <v>Gold</v>
      </c>
      <c r="X3188" s="2" t="n">
        <f aca="false">INDEX(Summary!$T$2:$T$201,MATCH($B3188,Summary!$A$2:$A$201,0))</f>
        <v>72.17</v>
      </c>
      <c r="Y3188" s="0" t="str">
        <f aca="false">INDEX('Reward Model'!$E$18:$E$37,MATCH($E3188,'Reward Model'!$A$18:$A$37,0))</f>
        <v>Low</v>
      </c>
      <c r="Z3188" s="4" t="n">
        <f aca="false">ROUND(MIN(1,MAX('Reward Model'!$B$2,INDEX('Reward Model'!$C$12:$C$14,MATCH($K3188,'Reward Model'!$A$12:$A$14,0))/$J3188)),3)</f>
        <v>1</v>
      </c>
      <c r="AA3188" s="2" t="n">
        <f aca="false">IF($I3188="Correct",ROUND(INDEX('Reward Model'!$B$12:$B$14,MATCH($K3188,'Reward Model'!$A$12:$A$14,0))*Z3188,2),0)</f>
        <v>1</v>
      </c>
      <c r="AB3188" s="2" t="n">
        <f aca="false">IF($I3188="Correct",ROUND(INDEX('Reward Model'!$B$12:$B$14,MATCH($Y3188,'Reward Model'!$A$12:$A$14,0))*Z3188,2),0)</f>
        <v>1</v>
      </c>
    </row>
    <row r="3189" customFormat="false" ht="15" hidden="false" customHeight="false" outlineLevel="0" collapsed="false">
      <c r="A3189" s="0" t="s">
        <v>450</v>
      </c>
      <c r="B3189" s="0" t="s">
        <v>451</v>
      </c>
      <c r="C3189" s="0" t="s">
        <v>322</v>
      </c>
      <c r="D3189" s="0" t="s">
        <v>189</v>
      </c>
      <c r="E3189" s="0" t="n">
        <v>8</v>
      </c>
      <c r="F3189" s="0" t="s">
        <v>52</v>
      </c>
      <c r="G3189" s="0" t="s">
        <v>54</v>
      </c>
      <c r="H3189" s="0" t="s">
        <v>54</v>
      </c>
      <c r="I3189" s="0" t="s">
        <v>34</v>
      </c>
      <c r="J3189" s="0" t="n">
        <v>1.46</v>
      </c>
      <c r="K3189" s="0" t="s">
        <v>35</v>
      </c>
      <c r="L3189" s="0" t="n">
        <f aca="false">INDEX(Summary!$F$2:$F$201,MATCH($B3189,Summary!$A$2:$A$201,0))</f>
        <v>20</v>
      </c>
      <c r="M3189" s="0" t="n">
        <f aca="false">INDEX(Summary!$I$2:$I$201,MATCH($B3189,Summary!$A$2:$A$201,0))</f>
        <v>3</v>
      </c>
      <c r="N3189" s="0" t="n">
        <f aca="false">INDEX(Summary!$J$2:$J$201,MATCH($B3189,Summary!$A$2:$A$201,0))</f>
        <v>2</v>
      </c>
      <c r="O3189" s="2" t="n">
        <f aca="false">INDEX(Summary!$K$2:$K$201,MATCH($B3189,Summary!$A$2:$A$201,0))</f>
        <v>9.8</v>
      </c>
      <c r="P3189" s="3" t="n">
        <f aca="false">INDEX(Summary!$L$2:$L$201,MATCH($B3189,Summary!$A$2:$A$201,0))</f>
        <v>5</v>
      </c>
      <c r="Q3189" s="3" t="n">
        <f aca="false">INDEX(Summary!$M$2:$M$201,MATCH($B3189,Summary!$A$2:$A$201,0))</f>
        <v>1</v>
      </c>
      <c r="R3189" s="2" t="n">
        <f aca="false">INDEX(Summary!$N$2:$N$201,MATCH($B3189,Summary!$A$2:$A$201,0))</f>
        <v>10.99</v>
      </c>
      <c r="S3189" s="3" t="n">
        <f aca="false">INDEX(Summary!$O$2:$O$201,MATCH($B3189,Summary!$A$2:$A$201,0))</f>
        <v>8</v>
      </c>
      <c r="T3189" s="3" t="n">
        <f aca="false">INDEX(Summary!$P$2:$P$201,MATCH($B3189,Summary!$A$2:$A$201,0))</f>
        <v>1</v>
      </c>
      <c r="U3189" s="2" t="n">
        <f aca="false">INDEX(Summary!$Q$2:$Q$201,MATCH($B3189,Summary!$A$2:$A$201,0))</f>
        <v>12.46</v>
      </c>
      <c r="V3189" s="2" t="n">
        <f aca="false">INDEX(Summary!$R$2:$R$201,MATCH($B3189,Summary!$A$2:$A$201,0))</f>
        <v>29.59</v>
      </c>
      <c r="W3189" s="0" t="str">
        <f aca="false">INDEX(Summary!$S$2:$S$201,MATCH($B3189,Summary!$A$2:$A$201,0))</f>
        <v>Gold</v>
      </c>
      <c r="X3189" s="2" t="n">
        <f aca="false">INDEX(Summary!$T$2:$T$201,MATCH($B3189,Summary!$A$2:$A$201,0))</f>
        <v>72.17</v>
      </c>
      <c r="Y3189" s="0" t="str">
        <f aca="false">INDEX('Reward Model'!$E$18:$E$37,MATCH($E3189,'Reward Model'!$A$18:$A$37,0))</f>
        <v>Medium</v>
      </c>
      <c r="Z3189" s="4" t="n">
        <f aca="false">ROUND(MIN(1,MAX('Reward Model'!$B$2,INDEX('Reward Model'!$C$12:$C$14,MATCH($K3189,'Reward Model'!$A$12:$A$14,0))/$J3189)),3)</f>
        <v>1</v>
      </c>
      <c r="AA3189" s="2" t="n">
        <f aca="false">IF($I3189="Correct",ROUND(INDEX('Reward Model'!$B$12:$B$14,MATCH($K3189,'Reward Model'!$A$12:$A$14,0))*Z3189,2),0)</f>
        <v>1</v>
      </c>
      <c r="AB3189" s="2" t="n">
        <f aca="false">IF($I3189="Correct",ROUND(INDEX('Reward Model'!$B$12:$B$14,MATCH($Y3189,'Reward Model'!$A$12:$A$14,0))*Z3189,2),0)</f>
        <v>2</v>
      </c>
    </row>
    <row r="3190" customFormat="false" ht="15" hidden="false" customHeight="false" outlineLevel="0" collapsed="false">
      <c r="A3190" s="0" t="s">
        <v>450</v>
      </c>
      <c r="B3190" s="0" t="s">
        <v>451</v>
      </c>
      <c r="C3190" s="0" t="s">
        <v>322</v>
      </c>
      <c r="D3190" s="0" t="s">
        <v>189</v>
      </c>
      <c r="E3190" s="0" t="n">
        <v>9</v>
      </c>
      <c r="F3190" s="0" t="s">
        <v>55</v>
      </c>
      <c r="G3190" s="0" t="s">
        <v>57</v>
      </c>
      <c r="H3190" s="0" t="s">
        <v>57</v>
      </c>
      <c r="I3190" s="0" t="s">
        <v>34</v>
      </c>
      <c r="J3190" s="0" t="n">
        <v>1.07</v>
      </c>
      <c r="K3190" s="0" t="s">
        <v>35</v>
      </c>
      <c r="L3190" s="0" t="n">
        <f aca="false">INDEX(Summary!$F$2:$F$201,MATCH($B3190,Summary!$A$2:$A$201,0))</f>
        <v>20</v>
      </c>
      <c r="M3190" s="0" t="n">
        <f aca="false">INDEX(Summary!$I$2:$I$201,MATCH($B3190,Summary!$A$2:$A$201,0))</f>
        <v>3</v>
      </c>
      <c r="N3190" s="0" t="n">
        <f aca="false">INDEX(Summary!$J$2:$J$201,MATCH($B3190,Summary!$A$2:$A$201,0))</f>
        <v>2</v>
      </c>
      <c r="O3190" s="2" t="n">
        <f aca="false">INDEX(Summary!$K$2:$K$201,MATCH($B3190,Summary!$A$2:$A$201,0))</f>
        <v>9.8</v>
      </c>
      <c r="P3190" s="3" t="n">
        <f aca="false">INDEX(Summary!$L$2:$L$201,MATCH($B3190,Summary!$A$2:$A$201,0))</f>
        <v>5</v>
      </c>
      <c r="Q3190" s="3" t="n">
        <f aca="false">INDEX(Summary!$M$2:$M$201,MATCH($B3190,Summary!$A$2:$A$201,0))</f>
        <v>1</v>
      </c>
      <c r="R3190" s="2" t="n">
        <f aca="false">INDEX(Summary!$N$2:$N$201,MATCH($B3190,Summary!$A$2:$A$201,0))</f>
        <v>10.99</v>
      </c>
      <c r="S3190" s="3" t="n">
        <f aca="false">INDEX(Summary!$O$2:$O$201,MATCH($B3190,Summary!$A$2:$A$201,0))</f>
        <v>8</v>
      </c>
      <c r="T3190" s="3" t="n">
        <f aca="false">INDEX(Summary!$P$2:$P$201,MATCH($B3190,Summary!$A$2:$A$201,0))</f>
        <v>1</v>
      </c>
      <c r="U3190" s="2" t="n">
        <f aca="false">INDEX(Summary!$Q$2:$Q$201,MATCH($B3190,Summary!$A$2:$A$201,0))</f>
        <v>12.46</v>
      </c>
      <c r="V3190" s="2" t="n">
        <f aca="false">INDEX(Summary!$R$2:$R$201,MATCH($B3190,Summary!$A$2:$A$201,0))</f>
        <v>29.59</v>
      </c>
      <c r="W3190" s="0" t="str">
        <f aca="false">INDEX(Summary!$S$2:$S$201,MATCH($B3190,Summary!$A$2:$A$201,0))</f>
        <v>Gold</v>
      </c>
      <c r="X3190" s="2" t="n">
        <f aca="false">INDEX(Summary!$T$2:$T$201,MATCH($B3190,Summary!$A$2:$A$201,0))</f>
        <v>72.17</v>
      </c>
      <c r="Y3190" s="0" t="str">
        <f aca="false">INDEX('Reward Model'!$E$18:$E$37,MATCH($E3190,'Reward Model'!$A$18:$A$37,0))</f>
        <v>Medium</v>
      </c>
      <c r="Z3190" s="4" t="n">
        <f aca="false">ROUND(MIN(1,MAX('Reward Model'!$B$2,INDEX('Reward Model'!$C$12:$C$14,MATCH($K3190,'Reward Model'!$A$12:$A$14,0))/$J3190)),3)</f>
        <v>1</v>
      </c>
      <c r="AA3190" s="2" t="n">
        <f aca="false">IF($I3190="Correct",ROUND(INDEX('Reward Model'!$B$12:$B$14,MATCH($K3190,'Reward Model'!$A$12:$A$14,0))*Z3190,2),0)</f>
        <v>1</v>
      </c>
      <c r="AB3190" s="2" t="n">
        <f aca="false">IF($I3190="Correct",ROUND(INDEX('Reward Model'!$B$12:$B$14,MATCH($Y3190,'Reward Model'!$A$12:$A$14,0))*Z3190,2),0)</f>
        <v>2</v>
      </c>
    </row>
    <row r="3191" customFormat="false" ht="15" hidden="false" customHeight="false" outlineLevel="0" collapsed="false">
      <c r="A3191" s="0" t="s">
        <v>450</v>
      </c>
      <c r="B3191" s="0" t="s">
        <v>451</v>
      </c>
      <c r="C3191" s="0" t="s">
        <v>322</v>
      </c>
      <c r="D3191" s="0" t="s">
        <v>189</v>
      </c>
      <c r="E3191" s="0" t="n">
        <v>10</v>
      </c>
      <c r="F3191" s="0" t="s">
        <v>58</v>
      </c>
      <c r="G3191" s="0" t="s">
        <v>59</v>
      </c>
      <c r="H3191" s="0" t="s">
        <v>59</v>
      </c>
      <c r="I3191" s="0" t="s">
        <v>34</v>
      </c>
      <c r="J3191" s="0" t="n">
        <v>1.94</v>
      </c>
      <c r="K3191" s="0" t="s">
        <v>60</v>
      </c>
      <c r="L3191" s="0" t="n">
        <f aca="false">INDEX(Summary!$F$2:$F$201,MATCH($B3191,Summary!$A$2:$A$201,0))</f>
        <v>20</v>
      </c>
      <c r="M3191" s="0" t="n">
        <f aca="false">INDEX(Summary!$I$2:$I$201,MATCH($B3191,Summary!$A$2:$A$201,0))</f>
        <v>3</v>
      </c>
      <c r="N3191" s="0" t="n">
        <f aca="false">INDEX(Summary!$J$2:$J$201,MATCH($B3191,Summary!$A$2:$A$201,0))</f>
        <v>2</v>
      </c>
      <c r="O3191" s="2" t="n">
        <f aca="false">INDEX(Summary!$K$2:$K$201,MATCH($B3191,Summary!$A$2:$A$201,0))</f>
        <v>9.8</v>
      </c>
      <c r="P3191" s="3" t="n">
        <f aca="false">INDEX(Summary!$L$2:$L$201,MATCH($B3191,Summary!$A$2:$A$201,0))</f>
        <v>5</v>
      </c>
      <c r="Q3191" s="3" t="n">
        <f aca="false">INDEX(Summary!$M$2:$M$201,MATCH($B3191,Summary!$A$2:$A$201,0))</f>
        <v>1</v>
      </c>
      <c r="R3191" s="2" t="n">
        <f aca="false">INDEX(Summary!$N$2:$N$201,MATCH($B3191,Summary!$A$2:$A$201,0))</f>
        <v>10.99</v>
      </c>
      <c r="S3191" s="3" t="n">
        <f aca="false">INDEX(Summary!$O$2:$O$201,MATCH($B3191,Summary!$A$2:$A$201,0))</f>
        <v>8</v>
      </c>
      <c r="T3191" s="3" t="n">
        <f aca="false">INDEX(Summary!$P$2:$P$201,MATCH($B3191,Summary!$A$2:$A$201,0))</f>
        <v>1</v>
      </c>
      <c r="U3191" s="2" t="n">
        <f aca="false">INDEX(Summary!$Q$2:$Q$201,MATCH($B3191,Summary!$A$2:$A$201,0))</f>
        <v>12.46</v>
      </c>
      <c r="V3191" s="2" t="n">
        <f aca="false">INDEX(Summary!$R$2:$R$201,MATCH($B3191,Summary!$A$2:$A$201,0))</f>
        <v>29.59</v>
      </c>
      <c r="W3191" s="0" t="str">
        <f aca="false">INDEX(Summary!$S$2:$S$201,MATCH($B3191,Summary!$A$2:$A$201,0))</f>
        <v>Gold</v>
      </c>
      <c r="X3191" s="2" t="n">
        <f aca="false">INDEX(Summary!$T$2:$T$201,MATCH($B3191,Summary!$A$2:$A$201,0))</f>
        <v>72.17</v>
      </c>
      <c r="Y3191" s="0" t="str">
        <f aca="false">INDEX('Reward Model'!$E$18:$E$37,MATCH($E3191,'Reward Model'!$A$18:$A$37,0))</f>
        <v>Medium</v>
      </c>
      <c r="Z3191" s="4" t="n">
        <f aca="false">ROUND(MIN(1,MAX('Reward Model'!$B$2,INDEX('Reward Model'!$C$12:$C$14,MATCH($K3191,'Reward Model'!$A$12:$A$14,0))/$J3191)),3)</f>
        <v>0.928</v>
      </c>
      <c r="AA3191" s="2" t="n">
        <f aca="false">IF($I3191="Correct",ROUND(INDEX('Reward Model'!$B$12:$B$14,MATCH($K3191,'Reward Model'!$A$12:$A$14,0))*Z3191,2),0)</f>
        <v>1.86</v>
      </c>
      <c r="AB3191" s="2" t="n">
        <f aca="false">IF($I3191="Correct",ROUND(INDEX('Reward Model'!$B$12:$B$14,MATCH($Y3191,'Reward Model'!$A$12:$A$14,0))*Z3191,2),0)</f>
        <v>1.86</v>
      </c>
    </row>
    <row r="3192" customFormat="false" ht="15" hidden="false" customHeight="false" outlineLevel="0" collapsed="false">
      <c r="A3192" s="0" t="s">
        <v>450</v>
      </c>
      <c r="B3192" s="0" t="s">
        <v>451</v>
      </c>
      <c r="C3192" s="0" t="s">
        <v>322</v>
      </c>
      <c r="D3192" s="0" t="s">
        <v>189</v>
      </c>
      <c r="E3192" s="0" t="n">
        <v>11</v>
      </c>
      <c r="F3192" s="0" t="s">
        <v>61</v>
      </c>
      <c r="G3192" s="0" t="s">
        <v>63</v>
      </c>
      <c r="H3192" s="0" t="s">
        <v>63</v>
      </c>
      <c r="I3192" s="0" t="s">
        <v>34</v>
      </c>
      <c r="J3192" s="0" t="n">
        <v>1.86</v>
      </c>
      <c r="K3192" s="0" t="s">
        <v>60</v>
      </c>
      <c r="L3192" s="0" t="n">
        <f aca="false">INDEX(Summary!$F$2:$F$201,MATCH($B3192,Summary!$A$2:$A$201,0))</f>
        <v>20</v>
      </c>
      <c r="M3192" s="0" t="n">
        <f aca="false">INDEX(Summary!$I$2:$I$201,MATCH($B3192,Summary!$A$2:$A$201,0))</f>
        <v>3</v>
      </c>
      <c r="N3192" s="0" t="n">
        <f aca="false">INDEX(Summary!$J$2:$J$201,MATCH($B3192,Summary!$A$2:$A$201,0))</f>
        <v>2</v>
      </c>
      <c r="O3192" s="2" t="n">
        <f aca="false">INDEX(Summary!$K$2:$K$201,MATCH($B3192,Summary!$A$2:$A$201,0))</f>
        <v>9.8</v>
      </c>
      <c r="P3192" s="3" t="n">
        <f aca="false">INDEX(Summary!$L$2:$L$201,MATCH($B3192,Summary!$A$2:$A$201,0))</f>
        <v>5</v>
      </c>
      <c r="Q3192" s="3" t="n">
        <f aca="false">INDEX(Summary!$M$2:$M$201,MATCH($B3192,Summary!$A$2:$A$201,0))</f>
        <v>1</v>
      </c>
      <c r="R3192" s="2" t="n">
        <f aca="false">INDEX(Summary!$N$2:$N$201,MATCH($B3192,Summary!$A$2:$A$201,0))</f>
        <v>10.99</v>
      </c>
      <c r="S3192" s="3" t="n">
        <f aca="false">INDEX(Summary!$O$2:$O$201,MATCH($B3192,Summary!$A$2:$A$201,0))</f>
        <v>8</v>
      </c>
      <c r="T3192" s="3" t="n">
        <f aca="false">INDEX(Summary!$P$2:$P$201,MATCH($B3192,Summary!$A$2:$A$201,0))</f>
        <v>1</v>
      </c>
      <c r="U3192" s="2" t="n">
        <f aca="false">INDEX(Summary!$Q$2:$Q$201,MATCH($B3192,Summary!$A$2:$A$201,0))</f>
        <v>12.46</v>
      </c>
      <c r="V3192" s="2" t="n">
        <f aca="false">INDEX(Summary!$R$2:$R$201,MATCH($B3192,Summary!$A$2:$A$201,0))</f>
        <v>29.59</v>
      </c>
      <c r="W3192" s="0" t="str">
        <f aca="false">INDEX(Summary!$S$2:$S$201,MATCH($B3192,Summary!$A$2:$A$201,0))</f>
        <v>Gold</v>
      </c>
      <c r="X3192" s="2" t="n">
        <f aca="false">INDEX(Summary!$T$2:$T$201,MATCH($B3192,Summary!$A$2:$A$201,0))</f>
        <v>72.17</v>
      </c>
      <c r="Y3192" s="0" t="str">
        <f aca="false">INDEX('Reward Model'!$E$18:$E$37,MATCH($E3192,'Reward Model'!$A$18:$A$37,0))</f>
        <v>Medium</v>
      </c>
      <c r="Z3192" s="4" t="n">
        <f aca="false">ROUND(MIN(1,MAX('Reward Model'!$B$2,INDEX('Reward Model'!$C$12:$C$14,MATCH($K3192,'Reward Model'!$A$12:$A$14,0))/$J3192)),3)</f>
        <v>0.968</v>
      </c>
      <c r="AA3192" s="2" t="n">
        <f aca="false">IF($I3192="Correct",ROUND(INDEX('Reward Model'!$B$12:$B$14,MATCH($K3192,'Reward Model'!$A$12:$A$14,0))*Z3192,2),0)</f>
        <v>1.94</v>
      </c>
      <c r="AB3192" s="2" t="n">
        <f aca="false">IF($I3192="Correct",ROUND(INDEX('Reward Model'!$B$12:$B$14,MATCH($Y3192,'Reward Model'!$A$12:$A$14,0))*Z3192,2),0)</f>
        <v>1.94</v>
      </c>
    </row>
    <row r="3193" customFormat="false" ht="15" hidden="false" customHeight="false" outlineLevel="0" collapsed="false">
      <c r="A3193" s="0" t="s">
        <v>450</v>
      </c>
      <c r="B3193" s="0" t="s">
        <v>451</v>
      </c>
      <c r="C3193" s="0" t="s">
        <v>322</v>
      </c>
      <c r="D3193" s="0" t="s">
        <v>189</v>
      </c>
      <c r="E3193" s="0" t="n">
        <v>12</v>
      </c>
      <c r="F3193" s="0" t="s">
        <v>64</v>
      </c>
      <c r="G3193" s="0" t="s">
        <v>65</v>
      </c>
      <c r="H3193" s="0" t="s">
        <v>65</v>
      </c>
      <c r="I3193" s="0" t="s">
        <v>34</v>
      </c>
      <c r="J3193" s="0" t="n">
        <v>2.26</v>
      </c>
      <c r="K3193" s="0" t="s">
        <v>60</v>
      </c>
      <c r="L3193" s="0" t="n">
        <f aca="false">INDEX(Summary!$F$2:$F$201,MATCH($B3193,Summary!$A$2:$A$201,0))</f>
        <v>20</v>
      </c>
      <c r="M3193" s="0" t="n">
        <f aca="false">INDEX(Summary!$I$2:$I$201,MATCH($B3193,Summary!$A$2:$A$201,0))</f>
        <v>3</v>
      </c>
      <c r="N3193" s="0" t="n">
        <f aca="false">INDEX(Summary!$J$2:$J$201,MATCH($B3193,Summary!$A$2:$A$201,0))</f>
        <v>2</v>
      </c>
      <c r="O3193" s="2" t="n">
        <f aca="false">INDEX(Summary!$K$2:$K$201,MATCH($B3193,Summary!$A$2:$A$201,0))</f>
        <v>9.8</v>
      </c>
      <c r="P3193" s="3" t="n">
        <f aca="false">INDEX(Summary!$L$2:$L$201,MATCH($B3193,Summary!$A$2:$A$201,0))</f>
        <v>5</v>
      </c>
      <c r="Q3193" s="3" t="n">
        <f aca="false">INDEX(Summary!$M$2:$M$201,MATCH($B3193,Summary!$A$2:$A$201,0))</f>
        <v>1</v>
      </c>
      <c r="R3193" s="2" t="n">
        <f aca="false">INDEX(Summary!$N$2:$N$201,MATCH($B3193,Summary!$A$2:$A$201,0))</f>
        <v>10.99</v>
      </c>
      <c r="S3193" s="3" t="n">
        <f aca="false">INDEX(Summary!$O$2:$O$201,MATCH($B3193,Summary!$A$2:$A$201,0))</f>
        <v>8</v>
      </c>
      <c r="T3193" s="3" t="n">
        <f aca="false">INDEX(Summary!$P$2:$P$201,MATCH($B3193,Summary!$A$2:$A$201,0))</f>
        <v>1</v>
      </c>
      <c r="U3193" s="2" t="n">
        <f aca="false">INDEX(Summary!$Q$2:$Q$201,MATCH($B3193,Summary!$A$2:$A$201,0))</f>
        <v>12.46</v>
      </c>
      <c r="V3193" s="2" t="n">
        <f aca="false">INDEX(Summary!$R$2:$R$201,MATCH($B3193,Summary!$A$2:$A$201,0))</f>
        <v>29.59</v>
      </c>
      <c r="W3193" s="0" t="str">
        <f aca="false">INDEX(Summary!$S$2:$S$201,MATCH($B3193,Summary!$A$2:$A$201,0))</f>
        <v>Gold</v>
      </c>
      <c r="X3193" s="2" t="n">
        <f aca="false">INDEX(Summary!$T$2:$T$201,MATCH($B3193,Summary!$A$2:$A$201,0))</f>
        <v>72.17</v>
      </c>
      <c r="Y3193" s="0" t="str">
        <f aca="false">INDEX('Reward Model'!$E$18:$E$37,MATCH($E3193,'Reward Model'!$A$18:$A$37,0))</f>
        <v>Medium</v>
      </c>
      <c r="Z3193" s="4" t="n">
        <f aca="false">ROUND(MIN(1,MAX('Reward Model'!$B$2,INDEX('Reward Model'!$C$12:$C$14,MATCH($K3193,'Reward Model'!$A$12:$A$14,0))/$J3193)),3)</f>
        <v>0.796</v>
      </c>
      <c r="AA3193" s="2" t="n">
        <f aca="false">IF($I3193="Correct",ROUND(INDEX('Reward Model'!$B$12:$B$14,MATCH($K3193,'Reward Model'!$A$12:$A$14,0))*Z3193,2),0)</f>
        <v>1.59</v>
      </c>
      <c r="AB3193" s="2" t="n">
        <f aca="false">IF($I3193="Correct",ROUND(INDEX('Reward Model'!$B$12:$B$14,MATCH($Y3193,'Reward Model'!$A$12:$A$14,0))*Z3193,2),0)</f>
        <v>1.59</v>
      </c>
    </row>
    <row r="3194" customFormat="false" ht="15" hidden="false" customHeight="false" outlineLevel="0" collapsed="false">
      <c r="A3194" s="0" t="s">
        <v>450</v>
      </c>
      <c r="B3194" s="0" t="s">
        <v>451</v>
      </c>
      <c r="C3194" s="0" t="s">
        <v>322</v>
      </c>
      <c r="D3194" s="0" t="s">
        <v>189</v>
      </c>
      <c r="E3194" s="0" t="n">
        <v>13</v>
      </c>
      <c r="F3194" s="0" t="s">
        <v>66</v>
      </c>
      <c r="G3194" s="0" t="s">
        <v>165</v>
      </c>
      <c r="H3194" s="0" t="s">
        <v>67</v>
      </c>
      <c r="I3194" s="0" t="s">
        <v>39</v>
      </c>
      <c r="J3194" s="0" t="n">
        <v>1.39</v>
      </c>
      <c r="K3194" s="0" t="s">
        <v>60</v>
      </c>
      <c r="L3194" s="0" t="n">
        <f aca="false">INDEX(Summary!$F$2:$F$201,MATCH($B3194,Summary!$A$2:$A$201,0))</f>
        <v>20</v>
      </c>
      <c r="M3194" s="0" t="n">
        <f aca="false">INDEX(Summary!$I$2:$I$201,MATCH($B3194,Summary!$A$2:$A$201,0))</f>
        <v>3</v>
      </c>
      <c r="N3194" s="0" t="n">
        <f aca="false">INDEX(Summary!$J$2:$J$201,MATCH($B3194,Summary!$A$2:$A$201,0))</f>
        <v>2</v>
      </c>
      <c r="O3194" s="2" t="n">
        <f aca="false">INDEX(Summary!$K$2:$K$201,MATCH($B3194,Summary!$A$2:$A$201,0))</f>
        <v>9.8</v>
      </c>
      <c r="P3194" s="3" t="n">
        <f aca="false">INDEX(Summary!$L$2:$L$201,MATCH($B3194,Summary!$A$2:$A$201,0))</f>
        <v>5</v>
      </c>
      <c r="Q3194" s="3" t="n">
        <f aca="false">INDEX(Summary!$M$2:$M$201,MATCH($B3194,Summary!$A$2:$A$201,0))</f>
        <v>1</v>
      </c>
      <c r="R3194" s="2" t="n">
        <f aca="false">INDEX(Summary!$N$2:$N$201,MATCH($B3194,Summary!$A$2:$A$201,0))</f>
        <v>10.99</v>
      </c>
      <c r="S3194" s="3" t="n">
        <f aca="false">INDEX(Summary!$O$2:$O$201,MATCH($B3194,Summary!$A$2:$A$201,0))</f>
        <v>8</v>
      </c>
      <c r="T3194" s="3" t="n">
        <f aca="false">INDEX(Summary!$P$2:$P$201,MATCH($B3194,Summary!$A$2:$A$201,0))</f>
        <v>1</v>
      </c>
      <c r="U3194" s="2" t="n">
        <f aca="false">INDEX(Summary!$Q$2:$Q$201,MATCH($B3194,Summary!$A$2:$A$201,0))</f>
        <v>12.46</v>
      </c>
      <c r="V3194" s="2" t="n">
        <f aca="false">INDEX(Summary!$R$2:$R$201,MATCH($B3194,Summary!$A$2:$A$201,0))</f>
        <v>29.59</v>
      </c>
      <c r="W3194" s="0" t="str">
        <f aca="false">INDEX(Summary!$S$2:$S$201,MATCH($B3194,Summary!$A$2:$A$201,0))</f>
        <v>Gold</v>
      </c>
      <c r="X3194" s="2" t="n">
        <f aca="false">INDEX(Summary!$T$2:$T$201,MATCH($B3194,Summary!$A$2:$A$201,0))</f>
        <v>72.17</v>
      </c>
      <c r="Y3194" s="0" t="str">
        <f aca="false">INDEX('Reward Model'!$E$18:$E$37,MATCH($E3194,'Reward Model'!$A$18:$A$37,0))</f>
        <v>Medium</v>
      </c>
      <c r="Z3194" s="4" t="n">
        <f aca="false">ROUND(MIN(1,MAX('Reward Model'!$B$2,INDEX('Reward Model'!$C$12:$C$14,MATCH($K3194,'Reward Model'!$A$12:$A$14,0))/$J3194)),3)</f>
        <v>1</v>
      </c>
      <c r="AA3194" s="2" t="n">
        <f aca="false">IF($I3194="Correct",ROUND(INDEX('Reward Model'!$B$12:$B$14,MATCH($K3194,'Reward Model'!$A$12:$A$14,0))*Z3194,2),0)</f>
        <v>0</v>
      </c>
      <c r="AB3194" s="2" t="n">
        <f aca="false">IF($I3194="Correct",ROUND(INDEX('Reward Model'!$B$12:$B$14,MATCH($Y3194,'Reward Model'!$A$12:$A$14,0))*Z3194,2),0)</f>
        <v>0</v>
      </c>
    </row>
    <row r="3195" customFormat="false" ht="15" hidden="false" customHeight="false" outlineLevel="0" collapsed="false">
      <c r="A3195" s="0" t="s">
        <v>450</v>
      </c>
      <c r="B3195" s="0" t="s">
        <v>451</v>
      </c>
      <c r="C3195" s="0" t="s">
        <v>322</v>
      </c>
      <c r="D3195" s="0" t="s">
        <v>189</v>
      </c>
      <c r="E3195" s="0" t="n">
        <v>14</v>
      </c>
      <c r="F3195" s="0" t="s">
        <v>68</v>
      </c>
      <c r="G3195" s="0" t="s">
        <v>51</v>
      </c>
      <c r="H3195" s="0" t="s">
        <v>51</v>
      </c>
      <c r="I3195" s="0" t="s">
        <v>34</v>
      </c>
      <c r="J3195" s="0" t="n">
        <v>1.88</v>
      </c>
      <c r="K3195" s="0" t="s">
        <v>60</v>
      </c>
      <c r="L3195" s="0" t="n">
        <f aca="false">INDEX(Summary!$F$2:$F$201,MATCH($B3195,Summary!$A$2:$A$201,0))</f>
        <v>20</v>
      </c>
      <c r="M3195" s="0" t="n">
        <f aca="false">INDEX(Summary!$I$2:$I$201,MATCH($B3195,Summary!$A$2:$A$201,0))</f>
        <v>3</v>
      </c>
      <c r="N3195" s="0" t="n">
        <f aca="false">INDEX(Summary!$J$2:$J$201,MATCH($B3195,Summary!$A$2:$A$201,0))</f>
        <v>2</v>
      </c>
      <c r="O3195" s="2" t="n">
        <f aca="false">INDEX(Summary!$K$2:$K$201,MATCH($B3195,Summary!$A$2:$A$201,0))</f>
        <v>9.8</v>
      </c>
      <c r="P3195" s="3" t="n">
        <f aca="false">INDEX(Summary!$L$2:$L$201,MATCH($B3195,Summary!$A$2:$A$201,0))</f>
        <v>5</v>
      </c>
      <c r="Q3195" s="3" t="n">
        <f aca="false">INDEX(Summary!$M$2:$M$201,MATCH($B3195,Summary!$A$2:$A$201,0))</f>
        <v>1</v>
      </c>
      <c r="R3195" s="2" t="n">
        <f aca="false">INDEX(Summary!$N$2:$N$201,MATCH($B3195,Summary!$A$2:$A$201,0))</f>
        <v>10.99</v>
      </c>
      <c r="S3195" s="3" t="n">
        <f aca="false">INDEX(Summary!$O$2:$O$201,MATCH($B3195,Summary!$A$2:$A$201,0))</f>
        <v>8</v>
      </c>
      <c r="T3195" s="3" t="n">
        <f aca="false">INDEX(Summary!$P$2:$P$201,MATCH($B3195,Summary!$A$2:$A$201,0))</f>
        <v>1</v>
      </c>
      <c r="U3195" s="2" t="n">
        <f aca="false">INDEX(Summary!$Q$2:$Q$201,MATCH($B3195,Summary!$A$2:$A$201,0))</f>
        <v>12.46</v>
      </c>
      <c r="V3195" s="2" t="n">
        <f aca="false">INDEX(Summary!$R$2:$R$201,MATCH($B3195,Summary!$A$2:$A$201,0))</f>
        <v>29.59</v>
      </c>
      <c r="W3195" s="0" t="str">
        <f aca="false">INDEX(Summary!$S$2:$S$201,MATCH($B3195,Summary!$A$2:$A$201,0))</f>
        <v>Gold</v>
      </c>
      <c r="X3195" s="2" t="n">
        <f aca="false">INDEX(Summary!$T$2:$T$201,MATCH($B3195,Summary!$A$2:$A$201,0))</f>
        <v>72.17</v>
      </c>
      <c r="Y3195" s="0" t="str">
        <f aca="false">INDEX('Reward Model'!$E$18:$E$37,MATCH($E3195,'Reward Model'!$A$18:$A$37,0))</f>
        <v>Medium</v>
      </c>
      <c r="Z3195" s="4" t="n">
        <f aca="false">ROUND(MIN(1,MAX('Reward Model'!$B$2,INDEX('Reward Model'!$C$12:$C$14,MATCH($K3195,'Reward Model'!$A$12:$A$14,0))/$J3195)),3)</f>
        <v>0.957</v>
      </c>
      <c r="AA3195" s="2" t="n">
        <f aca="false">IF($I3195="Correct",ROUND(INDEX('Reward Model'!$B$12:$B$14,MATCH($K3195,'Reward Model'!$A$12:$A$14,0))*Z3195,2),0)</f>
        <v>1.91</v>
      </c>
      <c r="AB3195" s="2" t="n">
        <f aca="false">IF($I3195="Correct",ROUND(INDEX('Reward Model'!$B$12:$B$14,MATCH($Y3195,'Reward Model'!$A$12:$A$14,0))*Z3195,2),0)</f>
        <v>1.91</v>
      </c>
    </row>
    <row r="3196" customFormat="false" ht="15" hidden="false" customHeight="false" outlineLevel="0" collapsed="false">
      <c r="A3196" s="0" t="s">
        <v>450</v>
      </c>
      <c r="B3196" s="0" t="s">
        <v>451</v>
      </c>
      <c r="C3196" s="0" t="s">
        <v>322</v>
      </c>
      <c r="D3196" s="0" t="s">
        <v>189</v>
      </c>
      <c r="E3196" s="0" t="n">
        <v>15</v>
      </c>
      <c r="F3196" s="0" t="s">
        <v>69</v>
      </c>
      <c r="G3196" s="0" t="s">
        <v>70</v>
      </c>
      <c r="H3196" s="0" t="s">
        <v>70</v>
      </c>
      <c r="I3196" s="0" t="s">
        <v>34</v>
      </c>
      <c r="J3196" s="0" t="n">
        <v>1.66</v>
      </c>
      <c r="K3196" s="0" t="s">
        <v>60</v>
      </c>
      <c r="L3196" s="0" t="n">
        <f aca="false">INDEX(Summary!$F$2:$F$201,MATCH($B3196,Summary!$A$2:$A$201,0))</f>
        <v>20</v>
      </c>
      <c r="M3196" s="0" t="n">
        <f aca="false">INDEX(Summary!$I$2:$I$201,MATCH($B3196,Summary!$A$2:$A$201,0))</f>
        <v>3</v>
      </c>
      <c r="N3196" s="0" t="n">
        <f aca="false">INDEX(Summary!$J$2:$J$201,MATCH($B3196,Summary!$A$2:$A$201,0))</f>
        <v>2</v>
      </c>
      <c r="O3196" s="2" t="n">
        <f aca="false">INDEX(Summary!$K$2:$K$201,MATCH($B3196,Summary!$A$2:$A$201,0))</f>
        <v>9.8</v>
      </c>
      <c r="P3196" s="3" t="n">
        <f aca="false">INDEX(Summary!$L$2:$L$201,MATCH($B3196,Summary!$A$2:$A$201,0))</f>
        <v>5</v>
      </c>
      <c r="Q3196" s="3" t="n">
        <f aca="false">INDEX(Summary!$M$2:$M$201,MATCH($B3196,Summary!$A$2:$A$201,0))</f>
        <v>1</v>
      </c>
      <c r="R3196" s="2" t="n">
        <f aca="false">INDEX(Summary!$N$2:$N$201,MATCH($B3196,Summary!$A$2:$A$201,0))</f>
        <v>10.99</v>
      </c>
      <c r="S3196" s="3" t="n">
        <f aca="false">INDEX(Summary!$O$2:$O$201,MATCH($B3196,Summary!$A$2:$A$201,0))</f>
        <v>8</v>
      </c>
      <c r="T3196" s="3" t="n">
        <f aca="false">INDEX(Summary!$P$2:$P$201,MATCH($B3196,Summary!$A$2:$A$201,0))</f>
        <v>1</v>
      </c>
      <c r="U3196" s="2" t="n">
        <f aca="false">INDEX(Summary!$Q$2:$Q$201,MATCH($B3196,Summary!$A$2:$A$201,0))</f>
        <v>12.46</v>
      </c>
      <c r="V3196" s="2" t="n">
        <f aca="false">INDEX(Summary!$R$2:$R$201,MATCH($B3196,Summary!$A$2:$A$201,0))</f>
        <v>29.59</v>
      </c>
      <c r="W3196" s="0" t="str">
        <f aca="false">INDEX(Summary!$S$2:$S$201,MATCH($B3196,Summary!$A$2:$A$201,0))</f>
        <v>Gold</v>
      </c>
      <c r="X3196" s="2" t="n">
        <f aca="false">INDEX(Summary!$T$2:$T$201,MATCH($B3196,Summary!$A$2:$A$201,0))</f>
        <v>72.17</v>
      </c>
      <c r="Y3196" s="0" t="str">
        <f aca="false">INDEX('Reward Model'!$E$18:$E$37,MATCH($E3196,'Reward Model'!$A$18:$A$37,0))</f>
        <v>Medium</v>
      </c>
      <c r="Z3196" s="4" t="n">
        <f aca="false">ROUND(MIN(1,MAX('Reward Model'!$B$2,INDEX('Reward Model'!$C$12:$C$14,MATCH($K3196,'Reward Model'!$A$12:$A$14,0))/$J3196)),3)</f>
        <v>1</v>
      </c>
      <c r="AA3196" s="2" t="n">
        <f aca="false">IF($I3196="Correct",ROUND(INDEX('Reward Model'!$B$12:$B$14,MATCH($K3196,'Reward Model'!$A$12:$A$14,0))*Z3196,2),0)</f>
        <v>2</v>
      </c>
      <c r="AB3196" s="2" t="n">
        <f aca="false">IF($I3196="Correct",ROUND(INDEX('Reward Model'!$B$12:$B$14,MATCH($Y3196,'Reward Model'!$A$12:$A$14,0))*Z3196,2),0)</f>
        <v>2</v>
      </c>
    </row>
    <row r="3197" customFormat="false" ht="15" hidden="false" customHeight="false" outlineLevel="0" collapsed="false">
      <c r="A3197" s="0" t="s">
        <v>450</v>
      </c>
      <c r="B3197" s="0" t="s">
        <v>451</v>
      </c>
      <c r="C3197" s="0" t="s">
        <v>322</v>
      </c>
      <c r="D3197" s="0" t="s">
        <v>189</v>
      </c>
      <c r="E3197" s="0" t="n">
        <v>16</v>
      </c>
      <c r="F3197" s="0" t="s">
        <v>71</v>
      </c>
      <c r="G3197" s="0" t="s">
        <v>72</v>
      </c>
      <c r="H3197" s="0" t="s">
        <v>72</v>
      </c>
      <c r="I3197" s="0" t="s">
        <v>34</v>
      </c>
      <c r="J3197" s="0" t="n">
        <v>1.42</v>
      </c>
      <c r="K3197" s="0" t="s">
        <v>73</v>
      </c>
      <c r="L3197" s="0" t="n">
        <f aca="false">INDEX(Summary!$F$2:$F$201,MATCH($B3197,Summary!$A$2:$A$201,0))</f>
        <v>20</v>
      </c>
      <c r="M3197" s="0" t="n">
        <f aca="false">INDEX(Summary!$I$2:$I$201,MATCH($B3197,Summary!$A$2:$A$201,0))</f>
        <v>3</v>
      </c>
      <c r="N3197" s="0" t="n">
        <f aca="false">INDEX(Summary!$J$2:$J$201,MATCH($B3197,Summary!$A$2:$A$201,0))</f>
        <v>2</v>
      </c>
      <c r="O3197" s="2" t="n">
        <f aca="false">INDEX(Summary!$K$2:$K$201,MATCH($B3197,Summary!$A$2:$A$201,0))</f>
        <v>9.8</v>
      </c>
      <c r="P3197" s="3" t="n">
        <f aca="false">INDEX(Summary!$L$2:$L$201,MATCH($B3197,Summary!$A$2:$A$201,0))</f>
        <v>5</v>
      </c>
      <c r="Q3197" s="3" t="n">
        <f aca="false">INDEX(Summary!$M$2:$M$201,MATCH($B3197,Summary!$A$2:$A$201,0))</f>
        <v>1</v>
      </c>
      <c r="R3197" s="2" t="n">
        <f aca="false">INDEX(Summary!$N$2:$N$201,MATCH($B3197,Summary!$A$2:$A$201,0))</f>
        <v>10.99</v>
      </c>
      <c r="S3197" s="3" t="n">
        <f aca="false">INDEX(Summary!$O$2:$O$201,MATCH($B3197,Summary!$A$2:$A$201,0))</f>
        <v>8</v>
      </c>
      <c r="T3197" s="3" t="n">
        <f aca="false">INDEX(Summary!$P$2:$P$201,MATCH($B3197,Summary!$A$2:$A$201,0))</f>
        <v>1</v>
      </c>
      <c r="U3197" s="2" t="n">
        <f aca="false">INDEX(Summary!$Q$2:$Q$201,MATCH($B3197,Summary!$A$2:$A$201,0))</f>
        <v>12.46</v>
      </c>
      <c r="V3197" s="2" t="n">
        <f aca="false">INDEX(Summary!$R$2:$R$201,MATCH($B3197,Summary!$A$2:$A$201,0))</f>
        <v>29.59</v>
      </c>
      <c r="W3197" s="0" t="str">
        <f aca="false">INDEX(Summary!$S$2:$S$201,MATCH($B3197,Summary!$A$2:$A$201,0))</f>
        <v>Gold</v>
      </c>
      <c r="X3197" s="2" t="n">
        <f aca="false">INDEX(Summary!$T$2:$T$201,MATCH($B3197,Summary!$A$2:$A$201,0))</f>
        <v>72.17</v>
      </c>
      <c r="Y3197" s="0" t="str">
        <f aca="false">INDEX('Reward Model'!$E$18:$E$37,MATCH($E3197,'Reward Model'!$A$18:$A$37,0))</f>
        <v>High</v>
      </c>
      <c r="Z3197" s="4" t="n">
        <f aca="false">ROUND(MIN(1,MAX('Reward Model'!$B$2,INDEX('Reward Model'!$C$12:$C$14,MATCH($K3197,'Reward Model'!$A$12:$A$14,0))/$J3197)),3)</f>
        <v>1</v>
      </c>
      <c r="AA3197" s="2" t="n">
        <f aca="false">IF($I3197="Correct",ROUND(INDEX('Reward Model'!$B$12:$B$14,MATCH($K3197,'Reward Model'!$A$12:$A$14,0))*Z3197,2),0)</f>
        <v>3</v>
      </c>
      <c r="AB3197" s="2" t="n">
        <f aca="false">IF($I3197="Correct",ROUND(INDEX('Reward Model'!$B$12:$B$14,MATCH($Y3197,'Reward Model'!$A$12:$A$14,0))*Z3197,2),0)</f>
        <v>3</v>
      </c>
    </row>
    <row r="3198" customFormat="false" ht="15" hidden="false" customHeight="false" outlineLevel="0" collapsed="false">
      <c r="A3198" s="0" t="s">
        <v>450</v>
      </c>
      <c r="B3198" s="0" t="s">
        <v>451</v>
      </c>
      <c r="C3198" s="0" t="s">
        <v>322</v>
      </c>
      <c r="D3198" s="0" t="s">
        <v>189</v>
      </c>
      <c r="E3198" s="0" t="n">
        <v>17</v>
      </c>
      <c r="F3198" s="0" t="s">
        <v>74</v>
      </c>
      <c r="G3198" s="0" t="s">
        <v>113</v>
      </c>
      <c r="H3198" s="0" t="s">
        <v>75</v>
      </c>
      <c r="I3198" s="0" t="s">
        <v>39</v>
      </c>
      <c r="J3198" s="0" t="n">
        <v>2.05</v>
      </c>
      <c r="K3198" s="0" t="s">
        <v>73</v>
      </c>
      <c r="L3198" s="0" t="n">
        <f aca="false">INDEX(Summary!$F$2:$F$201,MATCH($B3198,Summary!$A$2:$A$201,0))</f>
        <v>20</v>
      </c>
      <c r="M3198" s="0" t="n">
        <f aca="false">INDEX(Summary!$I$2:$I$201,MATCH($B3198,Summary!$A$2:$A$201,0))</f>
        <v>3</v>
      </c>
      <c r="N3198" s="0" t="n">
        <f aca="false">INDEX(Summary!$J$2:$J$201,MATCH($B3198,Summary!$A$2:$A$201,0))</f>
        <v>2</v>
      </c>
      <c r="O3198" s="2" t="n">
        <f aca="false">INDEX(Summary!$K$2:$K$201,MATCH($B3198,Summary!$A$2:$A$201,0))</f>
        <v>9.8</v>
      </c>
      <c r="P3198" s="3" t="n">
        <f aca="false">INDEX(Summary!$L$2:$L$201,MATCH($B3198,Summary!$A$2:$A$201,0))</f>
        <v>5</v>
      </c>
      <c r="Q3198" s="3" t="n">
        <f aca="false">INDEX(Summary!$M$2:$M$201,MATCH($B3198,Summary!$A$2:$A$201,0))</f>
        <v>1</v>
      </c>
      <c r="R3198" s="2" t="n">
        <f aca="false">INDEX(Summary!$N$2:$N$201,MATCH($B3198,Summary!$A$2:$A$201,0))</f>
        <v>10.99</v>
      </c>
      <c r="S3198" s="3" t="n">
        <f aca="false">INDEX(Summary!$O$2:$O$201,MATCH($B3198,Summary!$A$2:$A$201,0))</f>
        <v>8</v>
      </c>
      <c r="T3198" s="3" t="n">
        <f aca="false">INDEX(Summary!$P$2:$P$201,MATCH($B3198,Summary!$A$2:$A$201,0))</f>
        <v>1</v>
      </c>
      <c r="U3198" s="2" t="n">
        <f aca="false">INDEX(Summary!$Q$2:$Q$201,MATCH($B3198,Summary!$A$2:$A$201,0))</f>
        <v>12.46</v>
      </c>
      <c r="V3198" s="2" t="n">
        <f aca="false">INDEX(Summary!$R$2:$R$201,MATCH($B3198,Summary!$A$2:$A$201,0))</f>
        <v>29.59</v>
      </c>
      <c r="W3198" s="0" t="str">
        <f aca="false">INDEX(Summary!$S$2:$S$201,MATCH($B3198,Summary!$A$2:$A$201,0))</f>
        <v>Gold</v>
      </c>
      <c r="X3198" s="2" t="n">
        <f aca="false">INDEX(Summary!$T$2:$T$201,MATCH($B3198,Summary!$A$2:$A$201,0))</f>
        <v>72.17</v>
      </c>
      <c r="Y3198" s="0" t="str">
        <f aca="false">INDEX('Reward Model'!$E$18:$E$37,MATCH($E3198,'Reward Model'!$A$18:$A$37,0))</f>
        <v>High</v>
      </c>
      <c r="Z3198" s="4" t="n">
        <f aca="false">ROUND(MIN(1,MAX('Reward Model'!$B$2,INDEX('Reward Model'!$C$12:$C$14,MATCH($K3198,'Reward Model'!$A$12:$A$14,0))/$J3198)),3)</f>
        <v>0.976</v>
      </c>
      <c r="AA3198" s="2" t="n">
        <f aca="false">IF($I3198="Correct",ROUND(INDEX('Reward Model'!$B$12:$B$14,MATCH($K3198,'Reward Model'!$A$12:$A$14,0))*Z3198,2),0)</f>
        <v>0</v>
      </c>
      <c r="AB3198" s="2" t="n">
        <f aca="false">IF($I3198="Correct",ROUND(INDEX('Reward Model'!$B$12:$B$14,MATCH($Y3198,'Reward Model'!$A$12:$A$14,0))*Z3198,2),0)</f>
        <v>0</v>
      </c>
    </row>
    <row r="3199" customFormat="false" ht="15" hidden="false" customHeight="false" outlineLevel="0" collapsed="false">
      <c r="A3199" s="0" t="s">
        <v>450</v>
      </c>
      <c r="B3199" s="0" t="s">
        <v>451</v>
      </c>
      <c r="C3199" s="0" t="s">
        <v>322</v>
      </c>
      <c r="D3199" s="0" t="s">
        <v>189</v>
      </c>
      <c r="E3199" s="0" t="n">
        <v>18</v>
      </c>
      <c r="F3199" s="0" t="s">
        <v>76</v>
      </c>
      <c r="G3199" s="0" t="s">
        <v>77</v>
      </c>
      <c r="H3199" s="0" t="s">
        <v>77</v>
      </c>
      <c r="I3199" s="0" t="s">
        <v>34</v>
      </c>
      <c r="J3199" s="0" t="n">
        <v>1.81</v>
      </c>
      <c r="K3199" s="0" t="s">
        <v>73</v>
      </c>
      <c r="L3199" s="0" t="n">
        <f aca="false">INDEX(Summary!$F$2:$F$201,MATCH($B3199,Summary!$A$2:$A$201,0))</f>
        <v>20</v>
      </c>
      <c r="M3199" s="0" t="n">
        <f aca="false">INDEX(Summary!$I$2:$I$201,MATCH($B3199,Summary!$A$2:$A$201,0))</f>
        <v>3</v>
      </c>
      <c r="N3199" s="0" t="n">
        <f aca="false">INDEX(Summary!$J$2:$J$201,MATCH($B3199,Summary!$A$2:$A$201,0))</f>
        <v>2</v>
      </c>
      <c r="O3199" s="2" t="n">
        <f aca="false">INDEX(Summary!$K$2:$K$201,MATCH($B3199,Summary!$A$2:$A$201,0))</f>
        <v>9.8</v>
      </c>
      <c r="P3199" s="3" t="n">
        <f aca="false">INDEX(Summary!$L$2:$L$201,MATCH($B3199,Summary!$A$2:$A$201,0))</f>
        <v>5</v>
      </c>
      <c r="Q3199" s="3" t="n">
        <f aca="false">INDEX(Summary!$M$2:$M$201,MATCH($B3199,Summary!$A$2:$A$201,0))</f>
        <v>1</v>
      </c>
      <c r="R3199" s="2" t="n">
        <f aca="false">INDEX(Summary!$N$2:$N$201,MATCH($B3199,Summary!$A$2:$A$201,0))</f>
        <v>10.99</v>
      </c>
      <c r="S3199" s="3" t="n">
        <f aca="false">INDEX(Summary!$O$2:$O$201,MATCH($B3199,Summary!$A$2:$A$201,0))</f>
        <v>8</v>
      </c>
      <c r="T3199" s="3" t="n">
        <f aca="false">INDEX(Summary!$P$2:$P$201,MATCH($B3199,Summary!$A$2:$A$201,0))</f>
        <v>1</v>
      </c>
      <c r="U3199" s="2" t="n">
        <f aca="false">INDEX(Summary!$Q$2:$Q$201,MATCH($B3199,Summary!$A$2:$A$201,0))</f>
        <v>12.46</v>
      </c>
      <c r="V3199" s="2" t="n">
        <f aca="false">INDEX(Summary!$R$2:$R$201,MATCH($B3199,Summary!$A$2:$A$201,0))</f>
        <v>29.59</v>
      </c>
      <c r="W3199" s="0" t="str">
        <f aca="false">INDEX(Summary!$S$2:$S$201,MATCH($B3199,Summary!$A$2:$A$201,0))</f>
        <v>Gold</v>
      </c>
      <c r="X3199" s="2" t="n">
        <f aca="false">INDEX(Summary!$T$2:$T$201,MATCH($B3199,Summary!$A$2:$A$201,0))</f>
        <v>72.17</v>
      </c>
      <c r="Y3199" s="0" t="str">
        <f aca="false">INDEX('Reward Model'!$E$18:$E$37,MATCH($E3199,'Reward Model'!$A$18:$A$37,0))</f>
        <v>High</v>
      </c>
      <c r="Z3199" s="4" t="n">
        <f aca="false">ROUND(MIN(1,MAX('Reward Model'!$B$2,INDEX('Reward Model'!$C$12:$C$14,MATCH($K3199,'Reward Model'!$A$12:$A$14,0))/$J3199)),3)</f>
        <v>1</v>
      </c>
      <c r="AA3199" s="2" t="n">
        <f aca="false">IF($I3199="Correct",ROUND(INDEX('Reward Model'!$B$12:$B$14,MATCH($K3199,'Reward Model'!$A$12:$A$14,0))*Z3199,2),0)</f>
        <v>3</v>
      </c>
      <c r="AB3199" s="2" t="n">
        <f aca="false">IF($I3199="Correct",ROUND(INDEX('Reward Model'!$B$12:$B$14,MATCH($Y3199,'Reward Model'!$A$12:$A$14,0))*Z3199,2),0)</f>
        <v>3</v>
      </c>
    </row>
    <row r="3200" customFormat="false" ht="15" hidden="false" customHeight="false" outlineLevel="0" collapsed="false">
      <c r="A3200" s="0" t="s">
        <v>450</v>
      </c>
      <c r="B3200" s="0" t="s">
        <v>451</v>
      </c>
      <c r="C3200" s="0" t="s">
        <v>322</v>
      </c>
      <c r="D3200" s="0" t="s">
        <v>189</v>
      </c>
      <c r="E3200" s="0" t="n">
        <v>19</v>
      </c>
      <c r="F3200" s="0" t="s">
        <v>78</v>
      </c>
      <c r="G3200" s="0" t="s">
        <v>51</v>
      </c>
      <c r="H3200" s="0" t="s">
        <v>80</v>
      </c>
      <c r="I3200" s="0" t="s">
        <v>39</v>
      </c>
      <c r="J3200" s="0" t="n">
        <v>2.24</v>
      </c>
      <c r="K3200" s="0" t="s">
        <v>73</v>
      </c>
      <c r="L3200" s="0" t="n">
        <f aca="false">INDEX(Summary!$F$2:$F$201,MATCH($B3200,Summary!$A$2:$A$201,0))</f>
        <v>20</v>
      </c>
      <c r="M3200" s="0" t="n">
        <f aca="false">INDEX(Summary!$I$2:$I$201,MATCH($B3200,Summary!$A$2:$A$201,0))</f>
        <v>3</v>
      </c>
      <c r="N3200" s="0" t="n">
        <f aca="false">INDEX(Summary!$J$2:$J$201,MATCH($B3200,Summary!$A$2:$A$201,0))</f>
        <v>2</v>
      </c>
      <c r="O3200" s="2" t="n">
        <f aca="false">INDEX(Summary!$K$2:$K$201,MATCH($B3200,Summary!$A$2:$A$201,0))</f>
        <v>9.8</v>
      </c>
      <c r="P3200" s="3" t="n">
        <f aca="false">INDEX(Summary!$L$2:$L$201,MATCH($B3200,Summary!$A$2:$A$201,0))</f>
        <v>5</v>
      </c>
      <c r="Q3200" s="3" t="n">
        <f aca="false">INDEX(Summary!$M$2:$M$201,MATCH($B3200,Summary!$A$2:$A$201,0))</f>
        <v>1</v>
      </c>
      <c r="R3200" s="2" t="n">
        <f aca="false">INDEX(Summary!$N$2:$N$201,MATCH($B3200,Summary!$A$2:$A$201,0))</f>
        <v>10.99</v>
      </c>
      <c r="S3200" s="3" t="n">
        <f aca="false">INDEX(Summary!$O$2:$O$201,MATCH($B3200,Summary!$A$2:$A$201,0))</f>
        <v>8</v>
      </c>
      <c r="T3200" s="3" t="n">
        <f aca="false">INDEX(Summary!$P$2:$P$201,MATCH($B3200,Summary!$A$2:$A$201,0))</f>
        <v>1</v>
      </c>
      <c r="U3200" s="2" t="n">
        <f aca="false">INDEX(Summary!$Q$2:$Q$201,MATCH($B3200,Summary!$A$2:$A$201,0))</f>
        <v>12.46</v>
      </c>
      <c r="V3200" s="2" t="n">
        <f aca="false">INDEX(Summary!$R$2:$R$201,MATCH($B3200,Summary!$A$2:$A$201,0))</f>
        <v>29.59</v>
      </c>
      <c r="W3200" s="0" t="str">
        <f aca="false">INDEX(Summary!$S$2:$S$201,MATCH($B3200,Summary!$A$2:$A$201,0))</f>
        <v>Gold</v>
      </c>
      <c r="X3200" s="2" t="n">
        <f aca="false">INDEX(Summary!$T$2:$T$201,MATCH($B3200,Summary!$A$2:$A$201,0))</f>
        <v>72.17</v>
      </c>
      <c r="Y3200" s="0" t="str">
        <f aca="false">INDEX('Reward Model'!$E$18:$E$37,MATCH($E3200,'Reward Model'!$A$18:$A$37,0))</f>
        <v>High</v>
      </c>
      <c r="Z3200" s="4" t="n">
        <f aca="false">ROUND(MIN(1,MAX('Reward Model'!$B$2,INDEX('Reward Model'!$C$12:$C$14,MATCH($K3200,'Reward Model'!$A$12:$A$14,0))/$J3200)),3)</f>
        <v>0.893</v>
      </c>
      <c r="AA3200" s="2" t="n">
        <f aca="false">IF($I3200="Correct",ROUND(INDEX('Reward Model'!$B$12:$B$14,MATCH($K3200,'Reward Model'!$A$12:$A$14,0))*Z3200,2),0)</f>
        <v>0</v>
      </c>
      <c r="AB3200" s="2" t="n">
        <f aca="false">IF($I3200="Correct",ROUND(INDEX('Reward Model'!$B$12:$B$14,MATCH($Y3200,'Reward Model'!$A$12:$A$14,0))*Z3200,2),0)</f>
        <v>0</v>
      </c>
    </row>
    <row r="3201" customFormat="false" ht="15" hidden="false" customHeight="false" outlineLevel="0" collapsed="false">
      <c r="A3201" s="0" t="s">
        <v>450</v>
      </c>
      <c r="B3201" s="0" t="s">
        <v>451</v>
      </c>
      <c r="C3201" s="0" t="s">
        <v>322</v>
      </c>
      <c r="D3201" s="0" t="s">
        <v>189</v>
      </c>
      <c r="E3201" s="0" t="n">
        <v>20</v>
      </c>
      <c r="F3201" s="0" t="s">
        <v>81</v>
      </c>
      <c r="G3201" s="0" t="s">
        <v>83</v>
      </c>
      <c r="H3201" s="0" t="s">
        <v>83</v>
      </c>
      <c r="I3201" s="0" t="s">
        <v>34</v>
      </c>
      <c r="J3201" s="0" t="n">
        <v>2.28</v>
      </c>
      <c r="K3201" s="0" t="s">
        <v>73</v>
      </c>
      <c r="L3201" s="0" t="n">
        <f aca="false">INDEX(Summary!$F$2:$F$201,MATCH($B3201,Summary!$A$2:$A$201,0))</f>
        <v>20</v>
      </c>
      <c r="M3201" s="0" t="n">
        <f aca="false">INDEX(Summary!$I$2:$I$201,MATCH($B3201,Summary!$A$2:$A$201,0))</f>
        <v>3</v>
      </c>
      <c r="N3201" s="0" t="n">
        <f aca="false">INDEX(Summary!$J$2:$J$201,MATCH($B3201,Summary!$A$2:$A$201,0))</f>
        <v>2</v>
      </c>
      <c r="O3201" s="2" t="n">
        <f aca="false">INDEX(Summary!$K$2:$K$201,MATCH($B3201,Summary!$A$2:$A$201,0))</f>
        <v>9.8</v>
      </c>
      <c r="P3201" s="3" t="n">
        <f aca="false">INDEX(Summary!$L$2:$L$201,MATCH($B3201,Summary!$A$2:$A$201,0))</f>
        <v>5</v>
      </c>
      <c r="Q3201" s="3" t="n">
        <f aca="false">INDEX(Summary!$M$2:$M$201,MATCH($B3201,Summary!$A$2:$A$201,0))</f>
        <v>1</v>
      </c>
      <c r="R3201" s="2" t="n">
        <f aca="false">INDEX(Summary!$N$2:$N$201,MATCH($B3201,Summary!$A$2:$A$201,0))</f>
        <v>10.99</v>
      </c>
      <c r="S3201" s="3" t="n">
        <f aca="false">INDEX(Summary!$O$2:$O$201,MATCH($B3201,Summary!$A$2:$A$201,0))</f>
        <v>8</v>
      </c>
      <c r="T3201" s="3" t="n">
        <f aca="false">INDEX(Summary!$P$2:$P$201,MATCH($B3201,Summary!$A$2:$A$201,0))</f>
        <v>1</v>
      </c>
      <c r="U3201" s="2" t="n">
        <f aca="false">INDEX(Summary!$Q$2:$Q$201,MATCH($B3201,Summary!$A$2:$A$201,0))</f>
        <v>12.46</v>
      </c>
      <c r="V3201" s="2" t="n">
        <f aca="false">INDEX(Summary!$R$2:$R$201,MATCH($B3201,Summary!$A$2:$A$201,0))</f>
        <v>29.59</v>
      </c>
      <c r="W3201" s="0" t="str">
        <f aca="false">INDEX(Summary!$S$2:$S$201,MATCH($B3201,Summary!$A$2:$A$201,0))</f>
        <v>Gold</v>
      </c>
      <c r="X3201" s="2" t="n">
        <f aca="false">INDEX(Summary!$T$2:$T$201,MATCH($B3201,Summary!$A$2:$A$201,0))</f>
        <v>72.17</v>
      </c>
      <c r="Y3201" s="0" t="str">
        <f aca="false">INDEX('Reward Model'!$E$18:$E$37,MATCH($E3201,'Reward Model'!$A$18:$A$37,0))</f>
        <v>High</v>
      </c>
      <c r="Z3201" s="4" t="n">
        <f aca="false">ROUND(MIN(1,MAX('Reward Model'!$B$2,INDEX('Reward Model'!$C$12:$C$14,MATCH($K3201,'Reward Model'!$A$12:$A$14,0))/$J3201)),3)</f>
        <v>0.877</v>
      </c>
      <c r="AA3201" s="2" t="n">
        <f aca="false">IF($I3201="Correct",ROUND(INDEX('Reward Model'!$B$12:$B$14,MATCH($K3201,'Reward Model'!$A$12:$A$14,0))*Z3201,2),0)</f>
        <v>2.63</v>
      </c>
      <c r="AB3201" s="2" t="n">
        <f aca="false">IF($I3201="Correct",ROUND(INDEX('Reward Model'!$B$12:$B$14,MATCH($Y3201,'Reward Model'!$A$12:$A$14,0))*Z3201,2),0)</f>
        <v>2.63</v>
      </c>
    </row>
    <row r="3202" customFormat="false" ht="15" hidden="false" customHeight="false" outlineLevel="0" collapsed="false">
      <c r="A3202" s="0" t="s">
        <v>452</v>
      </c>
      <c r="B3202" s="0" t="s">
        <v>453</v>
      </c>
      <c r="C3202" s="0" t="s">
        <v>322</v>
      </c>
      <c r="D3202" s="0" t="s">
        <v>189</v>
      </c>
      <c r="E3202" s="0" t="n">
        <v>1</v>
      </c>
      <c r="F3202" s="0" t="s">
        <v>32</v>
      </c>
      <c r="G3202" s="0" t="s">
        <v>33</v>
      </c>
      <c r="H3202" s="0" t="s">
        <v>33</v>
      </c>
      <c r="I3202" s="0" t="s">
        <v>34</v>
      </c>
      <c r="J3202" s="0" t="n">
        <v>1.21</v>
      </c>
      <c r="K3202" s="0" t="s">
        <v>35</v>
      </c>
      <c r="L3202" s="0" t="n">
        <f aca="false">INDEX(Summary!$F$2:$F$201,MATCH($B3202,Summary!$A$2:$A$201,0))</f>
        <v>20</v>
      </c>
      <c r="M3202" s="0" t="n">
        <f aca="false">INDEX(Summary!$I$2:$I$201,MATCH($B3202,Summary!$A$2:$A$201,0))</f>
        <v>3</v>
      </c>
      <c r="N3202" s="0" t="n">
        <f aca="false">INDEX(Summary!$J$2:$J$201,MATCH($B3202,Summary!$A$2:$A$201,0))</f>
        <v>2</v>
      </c>
      <c r="O3202" s="2" t="n">
        <f aca="false">INDEX(Summary!$K$2:$K$201,MATCH($B3202,Summary!$A$2:$A$201,0))</f>
        <v>9.65</v>
      </c>
      <c r="P3202" s="3" t="n">
        <f aca="false">INDEX(Summary!$L$2:$L$201,MATCH($B3202,Summary!$A$2:$A$201,0))</f>
        <v>3</v>
      </c>
      <c r="Q3202" s="3" t="n">
        <f aca="false">INDEX(Summary!$M$2:$M$201,MATCH($B3202,Summary!$A$2:$A$201,0))</f>
        <v>3</v>
      </c>
      <c r="R3202" s="2" t="n">
        <f aca="false">INDEX(Summary!$N$2:$N$201,MATCH($B3202,Summary!$A$2:$A$201,0))</f>
        <v>9.93</v>
      </c>
      <c r="S3202" s="3" t="n">
        <f aca="false">INDEX(Summary!$O$2:$O$201,MATCH($B3202,Summary!$A$2:$A$201,0))</f>
        <v>8</v>
      </c>
      <c r="T3202" s="3" t="n">
        <f aca="false">INDEX(Summary!$P$2:$P$201,MATCH($B3202,Summary!$A$2:$A$201,0))</f>
        <v>1</v>
      </c>
      <c r="U3202" s="2" t="n">
        <f aca="false">INDEX(Summary!$Q$2:$Q$201,MATCH($B3202,Summary!$A$2:$A$201,0))</f>
        <v>14.41</v>
      </c>
      <c r="V3202" s="2" t="n">
        <f aca="false">INDEX(Summary!$R$2:$R$201,MATCH($B3202,Summary!$A$2:$A$201,0))</f>
        <v>25.66</v>
      </c>
      <c r="W3202" s="0" t="str">
        <f aca="false">INDEX(Summary!$S$2:$S$201,MATCH($B3202,Summary!$A$2:$A$201,0))</f>
        <v>Silver</v>
      </c>
      <c r="X3202" s="2" t="n">
        <f aca="false">INDEX(Summary!$T$2:$T$201,MATCH($B3202,Summary!$A$2:$A$201,0))</f>
        <v>62.59</v>
      </c>
      <c r="Y3202" s="0" t="str">
        <f aca="false">INDEX('Reward Model'!$E$18:$E$37,MATCH($E3202,'Reward Model'!$A$18:$A$37,0))</f>
        <v>Medium</v>
      </c>
      <c r="Z3202" s="4" t="n">
        <f aca="false">ROUND(MIN(1,MAX('Reward Model'!$B$2,INDEX('Reward Model'!$C$12:$C$14,MATCH($K3202,'Reward Model'!$A$12:$A$14,0))/$J3202)),3)</f>
        <v>1</v>
      </c>
      <c r="AA3202" s="2" t="n">
        <f aca="false">IF($I3202="Correct",ROUND(INDEX('Reward Model'!$B$12:$B$14,MATCH($K3202,'Reward Model'!$A$12:$A$14,0))*Z3202,2),0)</f>
        <v>1</v>
      </c>
      <c r="AB3202" s="2" t="n">
        <f aca="false">IF($I3202="Correct",ROUND(INDEX('Reward Model'!$B$12:$B$14,MATCH($Y3202,'Reward Model'!$A$12:$A$14,0))*Z3202,2),0)</f>
        <v>2</v>
      </c>
    </row>
    <row r="3203" customFormat="false" ht="15" hidden="false" customHeight="false" outlineLevel="0" collapsed="false">
      <c r="A3203" s="0" t="s">
        <v>452</v>
      </c>
      <c r="B3203" s="0" t="s">
        <v>453</v>
      </c>
      <c r="C3203" s="0" t="s">
        <v>322</v>
      </c>
      <c r="D3203" s="0" t="s">
        <v>189</v>
      </c>
      <c r="E3203" s="0" t="n">
        <v>2</v>
      </c>
      <c r="F3203" s="0" t="s">
        <v>36</v>
      </c>
      <c r="G3203" s="0" t="s">
        <v>38</v>
      </c>
      <c r="H3203" s="0" t="s">
        <v>38</v>
      </c>
      <c r="I3203" s="0" t="s">
        <v>34</v>
      </c>
      <c r="J3203" s="0" t="n">
        <v>1.77</v>
      </c>
      <c r="K3203" s="0" t="s">
        <v>35</v>
      </c>
      <c r="L3203" s="0" t="n">
        <f aca="false">INDEX(Summary!$F$2:$F$201,MATCH($B3203,Summary!$A$2:$A$201,0))</f>
        <v>20</v>
      </c>
      <c r="M3203" s="0" t="n">
        <f aca="false">INDEX(Summary!$I$2:$I$201,MATCH($B3203,Summary!$A$2:$A$201,0))</f>
        <v>3</v>
      </c>
      <c r="N3203" s="0" t="n">
        <f aca="false">INDEX(Summary!$J$2:$J$201,MATCH($B3203,Summary!$A$2:$A$201,0))</f>
        <v>2</v>
      </c>
      <c r="O3203" s="2" t="n">
        <f aca="false">INDEX(Summary!$K$2:$K$201,MATCH($B3203,Summary!$A$2:$A$201,0))</f>
        <v>9.65</v>
      </c>
      <c r="P3203" s="3" t="n">
        <f aca="false">INDEX(Summary!$L$2:$L$201,MATCH($B3203,Summary!$A$2:$A$201,0))</f>
        <v>3</v>
      </c>
      <c r="Q3203" s="3" t="n">
        <f aca="false">INDEX(Summary!$M$2:$M$201,MATCH($B3203,Summary!$A$2:$A$201,0))</f>
        <v>3</v>
      </c>
      <c r="R3203" s="2" t="n">
        <f aca="false">INDEX(Summary!$N$2:$N$201,MATCH($B3203,Summary!$A$2:$A$201,0))</f>
        <v>9.93</v>
      </c>
      <c r="S3203" s="3" t="n">
        <f aca="false">INDEX(Summary!$O$2:$O$201,MATCH($B3203,Summary!$A$2:$A$201,0))</f>
        <v>8</v>
      </c>
      <c r="T3203" s="3" t="n">
        <f aca="false">INDEX(Summary!$P$2:$P$201,MATCH($B3203,Summary!$A$2:$A$201,0))</f>
        <v>1</v>
      </c>
      <c r="U3203" s="2" t="n">
        <f aca="false">INDEX(Summary!$Q$2:$Q$201,MATCH($B3203,Summary!$A$2:$A$201,0))</f>
        <v>14.41</v>
      </c>
      <c r="V3203" s="2" t="n">
        <f aca="false">INDEX(Summary!$R$2:$R$201,MATCH($B3203,Summary!$A$2:$A$201,0))</f>
        <v>25.66</v>
      </c>
      <c r="W3203" s="0" t="str">
        <f aca="false">INDEX(Summary!$S$2:$S$201,MATCH($B3203,Summary!$A$2:$A$201,0))</f>
        <v>Silver</v>
      </c>
      <c r="X3203" s="2" t="n">
        <f aca="false">INDEX(Summary!$T$2:$T$201,MATCH($B3203,Summary!$A$2:$A$201,0))</f>
        <v>62.59</v>
      </c>
      <c r="Y3203" s="0" t="str">
        <f aca="false">INDEX('Reward Model'!$E$18:$E$37,MATCH($E3203,'Reward Model'!$A$18:$A$37,0))</f>
        <v>Low</v>
      </c>
      <c r="Z3203" s="4" t="n">
        <f aca="false">ROUND(MIN(1,MAX('Reward Model'!$B$2,INDEX('Reward Model'!$C$12:$C$14,MATCH($K3203,'Reward Model'!$A$12:$A$14,0))/$J3203)),3)</f>
        <v>0.847</v>
      </c>
      <c r="AA3203" s="2" t="n">
        <f aca="false">IF($I3203="Correct",ROUND(INDEX('Reward Model'!$B$12:$B$14,MATCH($K3203,'Reward Model'!$A$12:$A$14,0))*Z3203,2),0)</f>
        <v>0.85</v>
      </c>
      <c r="AB3203" s="2" t="n">
        <f aca="false">IF($I3203="Correct",ROUND(INDEX('Reward Model'!$B$12:$B$14,MATCH($Y3203,'Reward Model'!$A$12:$A$14,0))*Z3203,2),0)</f>
        <v>0.85</v>
      </c>
    </row>
    <row r="3204" customFormat="false" ht="15" hidden="false" customHeight="false" outlineLevel="0" collapsed="false">
      <c r="A3204" s="0" t="s">
        <v>452</v>
      </c>
      <c r="B3204" s="0" t="s">
        <v>453</v>
      </c>
      <c r="C3204" s="0" t="s">
        <v>322</v>
      </c>
      <c r="D3204" s="0" t="s">
        <v>189</v>
      </c>
      <c r="E3204" s="0" t="n">
        <v>3</v>
      </c>
      <c r="F3204" s="0" t="s">
        <v>40</v>
      </c>
      <c r="G3204" s="0" t="s">
        <v>42</v>
      </c>
      <c r="H3204" s="0" t="s">
        <v>42</v>
      </c>
      <c r="I3204" s="0" t="s">
        <v>34</v>
      </c>
      <c r="J3204" s="0" t="n">
        <v>1.35</v>
      </c>
      <c r="K3204" s="0" t="s">
        <v>35</v>
      </c>
      <c r="L3204" s="0" t="n">
        <f aca="false">INDEX(Summary!$F$2:$F$201,MATCH($B3204,Summary!$A$2:$A$201,0))</f>
        <v>20</v>
      </c>
      <c r="M3204" s="0" t="n">
        <f aca="false">INDEX(Summary!$I$2:$I$201,MATCH($B3204,Summary!$A$2:$A$201,0))</f>
        <v>3</v>
      </c>
      <c r="N3204" s="0" t="n">
        <f aca="false">INDEX(Summary!$J$2:$J$201,MATCH($B3204,Summary!$A$2:$A$201,0))</f>
        <v>2</v>
      </c>
      <c r="O3204" s="2" t="n">
        <f aca="false">INDEX(Summary!$K$2:$K$201,MATCH($B3204,Summary!$A$2:$A$201,0))</f>
        <v>9.65</v>
      </c>
      <c r="P3204" s="3" t="n">
        <f aca="false">INDEX(Summary!$L$2:$L$201,MATCH($B3204,Summary!$A$2:$A$201,0))</f>
        <v>3</v>
      </c>
      <c r="Q3204" s="3" t="n">
        <f aca="false">INDEX(Summary!$M$2:$M$201,MATCH($B3204,Summary!$A$2:$A$201,0))</f>
        <v>3</v>
      </c>
      <c r="R3204" s="2" t="n">
        <f aca="false">INDEX(Summary!$N$2:$N$201,MATCH($B3204,Summary!$A$2:$A$201,0))</f>
        <v>9.93</v>
      </c>
      <c r="S3204" s="3" t="n">
        <f aca="false">INDEX(Summary!$O$2:$O$201,MATCH($B3204,Summary!$A$2:$A$201,0))</f>
        <v>8</v>
      </c>
      <c r="T3204" s="3" t="n">
        <f aca="false">INDEX(Summary!$P$2:$P$201,MATCH($B3204,Summary!$A$2:$A$201,0))</f>
        <v>1</v>
      </c>
      <c r="U3204" s="2" t="n">
        <f aca="false">INDEX(Summary!$Q$2:$Q$201,MATCH($B3204,Summary!$A$2:$A$201,0))</f>
        <v>14.41</v>
      </c>
      <c r="V3204" s="2" t="n">
        <f aca="false">INDEX(Summary!$R$2:$R$201,MATCH($B3204,Summary!$A$2:$A$201,0))</f>
        <v>25.66</v>
      </c>
      <c r="W3204" s="0" t="str">
        <f aca="false">INDEX(Summary!$S$2:$S$201,MATCH($B3204,Summary!$A$2:$A$201,0))</f>
        <v>Silver</v>
      </c>
      <c r="X3204" s="2" t="n">
        <f aca="false">INDEX(Summary!$T$2:$T$201,MATCH($B3204,Summary!$A$2:$A$201,0))</f>
        <v>62.59</v>
      </c>
      <c r="Y3204" s="0" t="str">
        <f aca="false">INDEX('Reward Model'!$E$18:$E$37,MATCH($E3204,'Reward Model'!$A$18:$A$37,0))</f>
        <v>Medium</v>
      </c>
      <c r="Z3204" s="4" t="n">
        <f aca="false">ROUND(MIN(1,MAX('Reward Model'!$B$2,INDEX('Reward Model'!$C$12:$C$14,MATCH($K3204,'Reward Model'!$A$12:$A$14,0))/$J3204)),3)</f>
        <v>1</v>
      </c>
      <c r="AA3204" s="2" t="n">
        <f aca="false">IF($I3204="Correct",ROUND(INDEX('Reward Model'!$B$12:$B$14,MATCH($K3204,'Reward Model'!$A$12:$A$14,0))*Z3204,2),0)</f>
        <v>1</v>
      </c>
      <c r="AB3204" s="2" t="n">
        <f aca="false">IF($I3204="Correct",ROUND(INDEX('Reward Model'!$B$12:$B$14,MATCH($Y3204,'Reward Model'!$A$12:$A$14,0))*Z3204,2),0)</f>
        <v>2</v>
      </c>
    </row>
    <row r="3205" customFormat="false" ht="15" hidden="false" customHeight="false" outlineLevel="0" collapsed="false">
      <c r="A3205" s="0" t="s">
        <v>452</v>
      </c>
      <c r="B3205" s="0" t="s">
        <v>453</v>
      </c>
      <c r="C3205" s="0" t="s">
        <v>322</v>
      </c>
      <c r="D3205" s="0" t="s">
        <v>189</v>
      </c>
      <c r="E3205" s="0" t="n">
        <v>4</v>
      </c>
      <c r="F3205" s="0" t="s">
        <v>43</v>
      </c>
      <c r="G3205" s="0" t="s">
        <v>45</v>
      </c>
      <c r="H3205" s="0" t="s">
        <v>45</v>
      </c>
      <c r="I3205" s="0" t="s">
        <v>34</v>
      </c>
      <c r="J3205" s="0" t="n">
        <v>1.99</v>
      </c>
      <c r="K3205" s="0" t="s">
        <v>35</v>
      </c>
      <c r="L3205" s="0" t="n">
        <f aca="false">INDEX(Summary!$F$2:$F$201,MATCH($B3205,Summary!$A$2:$A$201,0))</f>
        <v>20</v>
      </c>
      <c r="M3205" s="0" t="n">
        <f aca="false">INDEX(Summary!$I$2:$I$201,MATCH($B3205,Summary!$A$2:$A$201,0))</f>
        <v>3</v>
      </c>
      <c r="N3205" s="0" t="n">
        <f aca="false">INDEX(Summary!$J$2:$J$201,MATCH($B3205,Summary!$A$2:$A$201,0))</f>
        <v>2</v>
      </c>
      <c r="O3205" s="2" t="n">
        <f aca="false">INDEX(Summary!$K$2:$K$201,MATCH($B3205,Summary!$A$2:$A$201,0))</f>
        <v>9.65</v>
      </c>
      <c r="P3205" s="3" t="n">
        <f aca="false">INDEX(Summary!$L$2:$L$201,MATCH($B3205,Summary!$A$2:$A$201,0))</f>
        <v>3</v>
      </c>
      <c r="Q3205" s="3" t="n">
        <f aca="false">INDEX(Summary!$M$2:$M$201,MATCH($B3205,Summary!$A$2:$A$201,0))</f>
        <v>3</v>
      </c>
      <c r="R3205" s="2" t="n">
        <f aca="false">INDEX(Summary!$N$2:$N$201,MATCH($B3205,Summary!$A$2:$A$201,0))</f>
        <v>9.93</v>
      </c>
      <c r="S3205" s="3" t="n">
        <f aca="false">INDEX(Summary!$O$2:$O$201,MATCH($B3205,Summary!$A$2:$A$201,0))</f>
        <v>8</v>
      </c>
      <c r="T3205" s="3" t="n">
        <f aca="false">INDEX(Summary!$P$2:$P$201,MATCH($B3205,Summary!$A$2:$A$201,0))</f>
        <v>1</v>
      </c>
      <c r="U3205" s="2" t="n">
        <f aca="false">INDEX(Summary!$Q$2:$Q$201,MATCH($B3205,Summary!$A$2:$A$201,0))</f>
        <v>14.41</v>
      </c>
      <c r="V3205" s="2" t="n">
        <f aca="false">INDEX(Summary!$R$2:$R$201,MATCH($B3205,Summary!$A$2:$A$201,0))</f>
        <v>25.66</v>
      </c>
      <c r="W3205" s="0" t="str">
        <f aca="false">INDEX(Summary!$S$2:$S$201,MATCH($B3205,Summary!$A$2:$A$201,0))</f>
        <v>Silver</v>
      </c>
      <c r="X3205" s="2" t="n">
        <f aca="false">INDEX(Summary!$T$2:$T$201,MATCH($B3205,Summary!$A$2:$A$201,0))</f>
        <v>62.59</v>
      </c>
      <c r="Y3205" s="0" t="str">
        <f aca="false">INDEX('Reward Model'!$E$18:$E$37,MATCH($E3205,'Reward Model'!$A$18:$A$37,0))</f>
        <v>Low</v>
      </c>
      <c r="Z3205" s="4" t="n">
        <f aca="false">ROUND(MIN(1,MAX('Reward Model'!$B$2,INDEX('Reward Model'!$C$12:$C$14,MATCH($K3205,'Reward Model'!$A$12:$A$14,0))/$J3205)),3)</f>
        <v>0.754</v>
      </c>
      <c r="AA3205" s="2" t="n">
        <f aca="false">IF($I3205="Correct",ROUND(INDEX('Reward Model'!$B$12:$B$14,MATCH($K3205,'Reward Model'!$A$12:$A$14,0))*Z3205,2),0)</f>
        <v>0.75</v>
      </c>
      <c r="AB3205" s="2" t="n">
        <f aca="false">IF($I3205="Correct",ROUND(INDEX('Reward Model'!$B$12:$B$14,MATCH($Y3205,'Reward Model'!$A$12:$A$14,0))*Z3205,2),0)</f>
        <v>0.75</v>
      </c>
    </row>
    <row r="3206" customFormat="false" ht="15" hidden="false" customHeight="false" outlineLevel="0" collapsed="false">
      <c r="A3206" s="0" t="s">
        <v>452</v>
      </c>
      <c r="B3206" s="0" t="s">
        <v>453</v>
      </c>
      <c r="C3206" s="0" t="s">
        <v>322</v>
      </c>
      <c r="D3206" s="0" t="s">
        <v>189</v>
      </c>
      <c r="E3206" s="0" t="n">
        <v>5</v>
      </c>
      <c r="F3206" s="0" t="s">
        <v>46</v>
      </c>
      <c r="G3206" s="0" t="s">
        <v>47</v>
      </c>
      <c r="H3206" s="0" t="s">
        <v>47</v>
      </c>
      <c r="I3206" s="0" t="s">
        <v>34</v>
      </c>
      <c r="J3206" s="0" t="n">
        <v>1.87</v>
      </c>
      <c r="K3206" s="0" t="s">
        <v>35</v>
      </c>
      <c r="L3206" s="0" t="n">
        <f aca="false">INDEX(Summary!$F$2:$F$201,MATCH($B3206,Summary!$A$2:$A$201,0))</f>
        <v>20</v>
      </c>
      <c r="M3206" s="0" t="n">
        <f aca="false">INDEX(Summary!$I$2:$I$201,MATCH($B3206,Summary!$A$2:$A$201,0))</f>
        <v>3</v>
      </c>
      <c r="N3206" s="0" t="n">
        <f aca="false">INDEX(Summary!$J$2:$J$201,MATCH($B3206,Summary!$A$2:$A$201,0))</f>
        <v>2</v>
      </c>
      <c r="O3206" s="2" t="n">
        <f aca="false">INDEX(Summary!$K$2:$K$201,MATCH($B3206,Summary!$A$2:$A$201,0))</f>
        <v>9.65</v>
      </c>
      <c r="P3206" s="3" t="n">
        <f aca="false">INDEX(Summary!$L$2:$L$201,MATCH($B3206,Summary!$A$2:$A$201,0))</f>
        <v>3</v>
      </c>
      <c r="Q3206" s="3" t="n">
        <f aca="false">INDEX(Summary!$M$2:$M$201,MATCH($B3206,Summary!$A$2:$A$201,0))</f>
        <v>3</v>
      </c>
      <c r="R3206" s="2" t="n">
        <f aca="false">INDEX(Summary!$N$2:$N$201,MATCH($B3206,Summary!$A$2:$A$201,0))</f>
        <v>9.93</v>
      </c>
      <c r="S3206" s="3" t="n">
        <f aca="false">INDEX(Summary!$O$2:$O$201,MATCH($B3206,Summary!$A$2:$A$201,0))</f>
        <v>8</v>
      </c>
      <c r="T3206" s="3" t="n">
        <f aca="false">INDEX(Summary!$P$2:$P$201,MATCH($B3206,Summary!$A$2:$A$201,0))</f>
        <v>1</v>
      </c>
      <c r="U3206" s="2" t="n">
        <f aca="false">INDEX(Summary!$Q$2:$Q$201,MATCH($B3206,Summary!$A$2:$A$201,0))</f>
        <v>14.41</v>
      </c>
      <c r="V3206" s="2" t="n">
        <f aca="false">INDEX(Summary!$R$2:$R$201,MATCH($B3206,Summary!$A$2:$A$201,0))</f>
        <v>25.66</v>
      </c>
      <c r="W3206" s="0" t="str">
        <f aca="false">INDEX(Summary!$S$2:$S$201,MATCH($B3206,Summary!$A$2:$A$201,0))</f>
        <v>Silver</v>
      </c>
      <c r="X3206" s="2" t="n">
        <f aca="false">INDEX(Summary!$T$2:$T$201,MATCH($B3206,Summary!$A$2:$A$201,0))</f>
        <v>62.59</v>
      </c>
      <c r="Y3206" s="0" t="str">
        <f aca="false">INDEX('Reward Model'!$E$18:$E$37,MATCH($E3206,'Reward Model'!$A$18:$A$37,0))</f>
        <v>Low</v>
      </c>
      <c r="Z3206" s="4" t="n">
        <f aca="false">ROUND(MIN(1,MAX('Reward Model'!$B$2,INDEX('Reward Model'!$C$12:$C$14,MATCH($K3206,'Reward Model'!$A$12:$A$14,0))/$J3206)),3)</f>
        <v>0.802</v>
      </c>
      <c r="AA3206" s="2" t="n">
        <f aca="false">IF($I3206="Correct",ROUND(INDEX('Reward Model'!$B$12:$B$14,MATCH($K3206,'Reward Model'!$A$12:$A$14,0))*Z3206,2),0)</f>
        <v>0.8</v>
      </c>
      <c r="AB3206" s="2" t="n">
        <f aca="false">IF($I3206="Correct",ROUND(INDEX('Reward Model'!$B$12:$B$14,MATCH($Y3206,'Reward Model'!$A$12:$A$14,0))*Z3206,2),0)</f>
        <v>0.8</v>
      </c>
    </row>
    <row r="3207" customFormat="false" ht="15" hidden="false" customHeight="false" outlineLevel="0" collapsed="false">
      <c r="A3207" s="0" t="s">
        <v>452</v>
      </c>
      <c r="B3207" s="0" t="s">
        <v>453</v>
      </c>
      <c r="C3207" s="0" t="s">
        <v>322</v>
      </c>
      <c r="D3207" s="0" t="s">
        <v>189</v>
      </c>
      <c r="E3207" s="0" t="n">
        <v>6</v>
      </c>
      <c r="F3207" s="0" t="s">
        <v>48</v>
      </c>
      <c r="G3207" s="0" t="s">
        <v>169</v>
      </c>
      <c r="H3207" s="0" t="s">
        <v>49</v>
      </c>
      <c r="I3207" s="0" t="s">
        <v>39</v>
      </c>
      <c r="J3207" s="0" t="n">
        <v>1.79</v>
      </c>
      <c r="K3207" s="0" t="s">
        <v>35</v>
      </c>
      <c r="L3207" s="0" t="n">
        <f aca="false">INDEX(Summary!$F$2:$F$201,MATCH($B3207,Summary!$A$2:$A$201,0))</f>
        <v>20</v>
      </c>
      <c r="M3207" s="0" t="n">
        <f aca="false">INDEX(Summary!$I$2:$I$201,MATCH($B3207,Summary!$A$2:$A$201,0))</f>
        <v>3</v>
      </c>
      <c r="N3207" s="0" t="n">
        <f aca="false">INDEX(Summary!$J$2:$J$201,MATCH($B3207,Summary!$A$2:$A$201,0))</f>
        <v>2</v>
      </c>
      <c r="O3207" s="2" t="n">
        <f aca="false">INDEX(Summary!$K$2:$K$201,MATCH($B3207,Summary!$A$2:$A$201,0))</f>
        <v>9.65</v>
      </c>
      <c r="P3207" s="3" t="n">
        <f aca="false">INDEX(Summary!$L$2:$L$201,MATCH($B3207,Summary!$A$2:$A$201,0))</f>
        <v>3</v>
      </c>
      <c r="Q3207" s="3" t="n">
        <f aca="false">INDEX(Summary!$M$2:$M$201,MATCH($B3207,Summary!$A$2:$A$201,0))</f>
        <v>3</v>
      </c>
      <c r="R3207" s="2" t="n">
        <f aca="false">INDEX(Summary!$N$2:$N$201,MATCH($B3207,Summary!$A$2:$A$201,0))</f>
        <v>9.93</v>
      </c>
      <c r="S3207" s="3" t="n">
        <f aca="false">INDEX(Summary!$O$2:$O$201,MATCH($B3207,Summary!$A$2:$A$201,0))</f>
        <v>8</v>
      </c>
      <c r="T3207" s="3" t="n">
        <f aca="false">INDEX(Summary!$P$2:$P$201,MATCH($B3207,Summary!$A$2:$A$201,0))</f>
        <v>1</v>
      </c>
      <c r="U3207" s="2" t="n">
        <f aca="false">INDEX(Summary!$Q$2:$Q$201,MATCH($B3207,Summary!$A$2:$A$201,0))</f>
        <v>14.41</v>
      </c>
      <c r="V3207" s="2" t="n">
        <f aca="false">INDEX(Summary!$R$2:$R$201,MATCH($B3207,Summary!$A$2:$A$201,0))</f>
        <v>25.66</v>
      </c>
      <c r="W3207" s="0" t="str">
        <f aca="false">INDEX(Summary!$S$2:$S$201,MATCH($B3207,Summary!$A$2:$A$201,0))</f>
        <v>Silver</v>
      </c>
      <c r="X3207" s="2" t="n">
        <f aca="false">INDEX(Summary!$T$2:$T$201,MATCH($B3207,Summary!$A$2:$A$201,0))</f>
        <v>62.59</v>
      </c>
      <c r="Y3207" s="0" t="str">
        <f aca="false">INDEX('Reward Model'!$E$18:$E$37,MATCH($E3207,'Reward Model'!$A$18:$A$37,0))</f>
        <v>Medium</v>
      </c>
      <c r="Z3207" s="4" t="n">
        <f aca="false">ROUND(MIN(1,MAX('Reward Model'!$B$2,INDEX('Reward Model'!$C$12:$C$14,MATCH($K3207,'Reward Model'!$A$12:$A$14,0))/$J3207)),3)</f>
        <v>0.838</v>
      </c>
      <c r="AA3207" s="2" t="n">
        <f aca="false">IF($I3207="Correct",ROUND(INDEX('Reward Model'!$B$12:$B$14,MATCH($K3207,'Reward Model'!$A$12:$A$14,0))*Z3207,2),0)</f>
        <v>0</v>
      </c>
      <c r="AB3207" s="2" t="n">
        <f aca="false">IF($I3207="Correct",ROUND(INDEX('Reward Model'!$B$12:$B$14,MATCH($Y3207,'Reward Model'!$A$12:$A$14,0))*Z3207,2),0)</f>
        <v>0</v>
      </c>
    </row>
    <row r="3208" customFormat="false" ht="15" hidden="false" customHeight="false" outlineLevel="0" collapsed="false">
      <c r="A3208" s="0" t="s">
        <v>452</v>
      </c>
      <c r="B3208" s="0" t="s">
        <v>453</v>
      </c>
      <c r="C3208" s="0" t="s">
        <v>322</v>
      </c>
      <c r="D3208" s="0" t="s">
        <v>189</v>
      </c>
      <c r="E3208" s="0" t="n">
        <v>7</v>
      </c>
      <c r="F3208" s="0" t="s">
        <v>50</v>
      </c>
      <c r="G3208" s="0" t="s">
        <v>51</v>
      </c>
      <c r="H3208" s="0" t="s">
        <v>51</v>
      </c>
      <c r="I3208" s="0" t="s">
        <v>34</v>
      </c>
      <c r="J3208" s="0" t="n">
        <v>1.71</v>
      </c>
      <c r="K3208" s="0" t="s">
        <v>35</v>
      </c>
      <c r="L3208" s="0" t="n">
        <f aca="false">INDEX(Summary!$F$2:$F$201,MATCH($B3208,Summary!$A$2:$A$201,0))</f>
        <v>20</v>
      </c>
      <c r="M3208" s="0" t="n">
        <f aca="false">INDEX(Summary!$I$2:$I$201,MATCH($B3208,Summary!$A$2:$A$201,0))</f>
        <v>3</v>
      </c>
      <c r="N3208" s="0" t="n">
        <f aca="false">INDEX(Summary!$J$2:$J$201,MATCH($B3208,Summary!$A$2:$A$201,0))</f>
        <v>2</v>
      </c>
      <c r="O3208" s="2" t="n">
        <f aca="false">INDEX(Summary!$K$2:$K$201,MATCH($B3208,Summary!$A$2:$A$201,0))</f>
        <v>9.65</v>
      </c>
      <c r="P3208" s="3" t="n">
        <f aca="false">INDEX(Summary!$L$2:$L$201,MATCH($B3208,Summary!$A$2:$A$201,0))</f>
        <v>3</v>
      </c>
      <c r="Q3208" s="3" t="n">
        <f aca="false">INDEX(Summary!$M$2:$M$201,MATCH($B3208,Summary!$A$2:$A$201,0))</f>
        <v>3</v>
      </c>
      <c r="R3208" s="2" t="n">
        <f aca="false">INDEX(Summary!$N$2:$N$201,MATCH($B3208,Summary!$A$2:$A$201,0))</f>
        <v>9.93</v>
      </c>
      <c r="S3208" s="3" t="n">
        <f aca="false">INDEX(Summary!$O$2:$O$201,MATCH($B3208,Summary!$A$2:$A$201,0))</f>
        <v>8</v>
      </c>
      <c r="T3208" s="3" t="n">
        <f aca="false">INDEX(Summary!$P$2:$P$201,MATCH($B3208,Summary!$A$2:$A$201,0))</f>
        <v>1</v>
      </c>
      <c r="U3208" s="2" t="n">
        <f aca="false">INDEX(Summary!$Q$2:$Q$201,MATCH($B3208,Summary!$A$2:$A$201,0))</f>
        <v>14.41</v>
      </c>
      <c r="V3208" s="2" t="n">
        <f aca="false">INDEX(Summary!$R$2:$R$201,MATCH($B3208,Summary!$A$2:$A$201,0))</f>
        <v>25.66</v>
      </c>
      <c r="W3208" s="0" t="str">
        <f aca="false">INDEX(Summary!$S$2:$S$201,MATCH($B3208,Summary!$A$2:$A$201,0))</f>
        <v>Silver</v>
      </c>
      <c r="X3208" s="2" t="n">
        <f aca="false">INDEX(Summary!$T$2:$T$201,MATCH($B3208,Summary!$A$2:$A$201,0))</f>
        <v>62.59</v>
      </c>
      <c r="Y3208" s="0" t="str">
        <f aca="false">INDEX('Reward Model'!$E$18:$E$37,MATCH($E3208,'Reward Model'!$A$18:$A$37,0))</f>
        <v>Low</v>
      </c>
      <c r="Z3208" s="4" t="n">
        <f aca="false">ROUND(MIN(1,MAX('Reward Model'!$B$2,INDEX('Reward Model'!$C$12:$C$14,MATCH($K3208,'Reward Model'!$A$12:$A$14,0))/$J3208)),3)</f>
        <v>0.877</v>
      </c>
      <c r="AA3208" s="2" t="n">
        <f aca="false">IF($I3208="Correct",ROUND(INDEX('Reward Model'!$B$12:$B$14,MATCH($K3208,'Reward Model'!$A$12:$A$14,0))*Z3208,2),0)</f>
        <v>0.88</v>
      </c>
      <c r="AB3208" s="2" t="n">
        <f aca="false">IF($I3208="Correct",ROUND(INDEX('Reward Model'!$B$12:$B$14,MATCH($Y3208,'Reward Model'!$A$12:$A$14,0))*Z3208,2),0)</f>
        <v>0.88</v>
      </c>
    </row>
    <row r="3209" customFormat="false" ht="15" hidden="false" customHeight="false" outlineLevel="0" collapsed="false">
      <c r="A3209" s="0" t="s">
        <v>452</v>
      </c>
      <c r="B3209" s="0" t="s">
        <v>453</v>
      </c>
      <c r="C3209" s="0" t="s">
        <v>322</v>
      </c>
      <c r="D3209" s="0" t="s">
        <v>189</v>
      </c>
      <c r="E3209" s="0" t="n">
        <v>8</v>
      </c>
      <c r="F3209" s="0" t="s">
        <v>52</v>
      </c>
      <c r="G3209" s="0" t="s">
        <v>54</v>
      </c>
      <c r="H3209" s="0" t="s">
        <v>54</v>
      </c>
      <c r="I3209" s="0" t="s">
        <v>34</v>
      </c>
      <c r="J3209" s="0" t="n">
        <v>1.48</v>
      </c>
      <c r="K3209" s="0" t="s">
        <v>35</v>
      </c>
      <c r="L3209" s="0" t="n">
        <f aca="false">INDEX(Summary!$F$2:$F$201,MATCH($B3209,Summary!$A$2:$A$201,0))</f>
        <v>20</v>
      </c>
      <c r="M3209" s="0" t="n">
        <f aca="false">INDEX(Summary!$I$2:$I$201,MATCH($B3209,Summary!$A$2:$A$201,0))</f>
        <v>3</v>
      </c>
      <c r="N3209" s="0" t="n">
        <f aca="false">INDEX(Summary!$J$2:$J$201,MATCH($B3209,Summary!$A$2:$A$201,0))</f>
        <v>2</v>
      </c>
      <c r="O3209" s="2" t="n">
        <f aca="false">INDEX(Summary!$K$2:$K$201,MATCH($B3209,Summary!$A$2:$A$201,0))</f>
        <v>9.65</v>
      </c>
      <c r="P3209" s="3" t="n">
        <f aca="false">INDEX(Summary!$L$2:$L$201,MATCH($B3209,Summary!$A$2:$A$201,0))</f>
        <v>3</v>
      </c>
      <c r="Q3209" s="3" t="n">
        <f aca="false">INDEX(Summary!$M$2:$M$201,MATCH($B3209,Summary!$A$2:$A$201,0))</f>
        <v>3</v>
      </c>
      <c r="R3209" s="2" t="n">
        <f aca="false">INDEX(Summary!$N$2:$N$201,MATCH($B3209,Summary!$A$2:$A$201,0))</f>
        <v>9.93</v>
      </c>
      <c r="S3209" s="3" t="n">
        <f aca="false">INDEX(Summary!$O$2:$O$201,MATCH($B3209,Summary!$A$2:$A$201,0))</f>
        <v>8</v>
      </c>
      <c r="T3209" s="3" t="n">
        <f aca="false">INDEX(Summary!$P$2:$P$201,MATCH($B3209,Summary!$A$2:$A$201,0))</f>
        <v>1</v>
      </c>
      <c r="U3209" s="2" t="n">
        <f aca="false">INDEX(Summary!$Q$2:$Q$201,MATCH($B3209,Summary!$A$2:$A$201,0))</f>
        <v>14.41</v>
      </c>
      <c r="V3209" s="2" t="n">
        <f aca="false">INDEX(Summary!$R$2:$R$201,MATCH($B3209,Summary!$A$2:$A$201,0))</f>
        <v>25.66</v>
      </c>
      <c r="W3209" s="0" t="str">
        <f aca="false">INDEX(Summary!$S$2:$S$201,MATCH($B3209,Summary!$A$2:$A$201,0))</f>
        <v>Silver</v>
      </c>
      <c r="X3209" s="2" t="n">
        <f aca="false">INDEX(Summary!$T$2:$T$201,MATCH($B3209,Summary!$A$2:$A$201,0))</f>
        <v>62.59</v>
      </c>
      <c r="Y3209" s="0" t="str">
        <f aca="false">INDEX('Reward Model'!$E$18:$E$37,MATCH($E3209,'Reward Model'!$A$18:$A$37,0))</f>
        <v>Medium</v>
      </c>
      <c r="Z3209" s="4" t="n">
        <f aca="false">ROUND(MIN(1,MAX('Reward Model'!$B$2,INDEX('Reward Model'!$C$12:$C$14,MATCH($K3209,'Reward Model'!$A$12:$A$14,0))/$J3209)),3)</f>
        <v>1</v>
      </c>
      <c r="AA3209" s="2" t="n">
        <f aca="false">IF($I3209="Correct",ROUND(INDEX('Reward Model'!$B$12:$B$14,MATCH($K3209,'Reward Model'!$A$12:$A$14,0))*Z3209,2),0)</f>
        <v>1</v>
      </c>
      <c r="AB3209" s="2" t="n">
        <f aca="false">IF($I3209="Correct",ROUND(INDEX('Reward Model'!$B$12:$B$14,MATCH($Y3209,'Reward Model'!$A$12:$A$14,0))*Z3209,2),0)</f>
        <v>2</v>
      </c>
    </row>
    <row r="3210" customFormat="false" ht="15" hidden="false" customHeight="false" outlineLevel="0" collapsed="false">
      <c r="A3210" s="0" t="s">
        <v>452</v>
      </c>
      <c r="B3210" s="0" t="s">
        <v>453</v>
      </c>
      <c r="C3210" s="0" t="s">
        <v>322</v>
      </c>
      <c r="D3210" s="0" t="s">
        <v>189</v>
      </c>
      <c r="E3210" s="0" t="n">
        <v>9</v>
      </c>
      <c r="F3210" s="0" t="s">
        <v>55</v>
      </c>
      <c r="G3210" s="0" t="s">
        <v>57</v>
      </c>
      <c r="H3210" s="0" t="s">
        <v>57</v>
      </c>
      <c r="I3210" s="0" t="s">
        <v>34</v>
      </c>
      <c r="J3210" s="0" t="n">
        <v>1.24</v>
      </c>
      <c r="K3210" s="0" t="s">
        <v>35</v>
      </c>
      <c r="L3210" s="0" t="n">
        <f aca="false">INDEX(Summary!$F$2:$F$201,MATCH($B3210,Summary!$A$2:$A$201,0))</f>
        <v>20</v>
      </c>
      <c r="M3210" s="0" t="n">
        <f aca="false">INDEX(Summary!$I$2:$I$201,MATCH($B3210,Summary!$A$2:$A$201,0))</f>
        <v>3</v>
      </c>
      <c r="N3210" s="0" t="n">
        <f aca="false">INDEX(Summary!$J$2:$J$201,MATCH($B3210,Summary!$A$2:$A$201,0))</f>
        <v>2</v>
      </c>
      <c r="O3210" s="2" t="n">
        <f aca="false">INDEX(Summary!$K$2:$K$201,MATCH($B3210,Summary!$A$2:$A$201,0))</f>
        <v>9.65</v>
      </c>
      <c r="P3210" s="3" t="n">
        <f aca="false">INDEX(Summary!$L$2:$L$201,MATCH($B3210,Summary!$A$2:$A$201,0))</f>
        <v>3</v>
      </c>
      <c r="Q3210" s="3" t="n">
        <f aca="false">INDEX(Summary!$M$2:$M$201,MATCH($B3210,Summary!$A$2:$A$201,0))</f>
        <v>3</v>
      </c>
      <c r="R3210" s="2" t="n">
        <f aca="false">INDEX(Summary!$N$2:$N$201,MATCH($B3210,Summary!$A$2:$A$201,0))</f>
        <v>9.93</v>
      </c>
      <c r="S3210" s="3" t="n">
        <f aca="false">INDEX(Summary!$O$2:$O$201,MATCH($B3210,Summary!$A$2:$A$201,0))</f>
        <v>8</v>
      </c>
      <c r="T3210" s="3" t="n">
        <f aca="false">INDEX(Summary!$P$2:$P$201,MATCH($B3210,Summary!$A$2:$A$201,0))</f>
        <v>1</v>
      </c>
      <c r="U3210" s="2" t="n">
        <f aca="false">INDEX(Summary!$Q$2:$Q$201,MATCH($B3210,Summary!$A$2:$A$201,0))</f>
        <v>14.41</v>
      </c>
      <c r="V3210" s="2" t="n">
        <f aca="false">INDEX(Summary!$R$2:$R$201,MATCH($B3210,Summary!$A$2:$A$201,0))</f>
        <v>25.66</v>
      </c>
      <c r="W3210" s="0" t="str">
        <f aca="false">INDEX(Summary!$S$2:$S$201,MATCH($B3210,Summary!$A$2:$A$201,0))</f>
        <v>Silver</v>
      </c>
      <c r="X3210" s="2" t="n">
        <f aca="false">INDEX(Summary!$T$2:$T$201,MATCH($B3210,Summary!$A$2:$A$201,0))</f>
        <v>62.59</v>
      </c>
      <c r="Y3210" s="0" t="str">
        <f aca="false">INDEX('Reward Model'!$E$18:$E$37,MATCH($E3210,'Reward Model'!$A$18:$A$37,0))</f>
        <v>Medium</v>
      </c>
      <c r="Z3210" s="4" t="n">
        <f aca="false">ROUND(MIN(1,MAX('Reward Model'!$B$2,INDEX('Reward Model'!$C$12:$C$14,MATCH($K3210,'Reward Model'!$A$12:$A$14,0))/$J3210)),3)</f>
        <v>1</v>
      </c>
      <c r="AA3210" s="2" t="n">
        <f aca="false">IF($I3210="Correct",ROUND(INDEX('Reward Model'!$B$12:$B$14,MATCH($K3210,'Reward Model'!$A$12:$A$14,0))*Z3210,2),0)</f>
        <v>1</v>
      </c>
      <c r="AB3210" s="2" t="n">
        <f aca="false">IF($I3210="Correct",ROUND(INDEX('Reward Model'!$B$12:$B$14,MATCH($Y3210,'Reward Model'!$A$12:$A$14,0))*Z3210,2),0)</f>
        <v>2</v>
      </c>
    </row>
    <row r="3211" customFormat="false" ht="15" hidden="false" customHeight="false" outlineLevel="0" collapsed="false">
      <c r="A3211" s="0" t="s">
        <v>452</v>
      </c>
      <c r="B3211" s="0" t="s">
        <v>453</v>
      </c>
      <c r="C3211" s="0" t="s">
        <v>322</v>
      </c>
      <c r="D3211" s="0" t="s">
        <v>189</v>
      </c>
      <c r="E3211" s="0" t="n">
        <v>10</v>
      </c>
      <c r="F3211" s="0" t="s">
        <v>58</v>
      </c>
      <c r="G3211" s="0" t="s">
        <v>174</v>
      </c>
      <c r="H3211" s="0" t="s">
        <v>59</v>
      </c>
      <c r="I3211" s="0" t="s">
        <v>39</v>
      </c>
      <c r="J3211" s="0" t="n">
        <v>1.35</v>
      </c>
      <c r="K3211" s="0" t="s">
        <v>60</v>
      </c>
      <c r="L3211" s="0" t="n">
        <f aca="false">INDEX(Summary!$F$2:$F$201,MATCH($B3211,Summary!$A$2:$A$201,0))</f>
        <v>20</v>
      </c>
      <c r="M3211" s="0" t="n">
        <f aca="false">INDEX(Summary!$I$2:$I$201,MATCH($B3211,Summary!$A$2:$A$201,0))</f>
        <v>3</v>
      </c>
      <c r="N3211" s="0" t="n">
        <f aca="false">INDEX(Summary!$J$2:$J$201,MATCH($B3211,Summary!$A$2:$A$201,0))</f>
        <v>2</v>
      </c>
      <c r="O3211" s="2" t="n">
        <f aca="false">INDEX(Summary!$K$2:$K$201,MATCH($B3211,Summary!$A$2:$A$201,0))</f>
        <v>9.65</v>
      </c>
      <c r="P3211" s="3" t="n">
        <f aca="false">INDEX(Summary!$L$2:$L$201,MATCH($B3211,Summary!$A$2:$A$201,0))</f>
        <v>3</v>
      </c>
      <c r="Q3211" s="3" t="n">
        <f aca="false">INDEX(Summary!$M$2:$M$201,MATCH($B3211,Summary!$A$2:$A$201,0))</f>
        <v>3</v>
      </c>
      <c r="R3211" s="2" t="n">
        <f aca="false">INDEX(Summary!$N$2:$N$201,MATCH($B3211,Summary!$A$2:$A$201,0))</f>
        <v>9.93</v>
      </c>
      <c r="S3211" s="3" t="n">
        <f aca="false">INDEX(Summary!$O$2:$O$201,MATCH($B3211,Summary!$A$2:$A$201,0))</f>
        <v>8</v>
      </c>
      <c r="T3211" s="3" t="n">
        <f aca="false">INDEX(Summary!$P$2:$P$201,MATCH($B3211,Summary!$A$2:$A$201,0))</f>
        <v>1</v>
      </c>
      <c r="U3211" s="2" t="n">
        <f aca="false">INDEX(Summary!$Q$2:$Q$201,MATCH($B3211,Summary!$A$2:$A$201,0))</f>
        <v>14.41</v>
      </c>
      <c r="V3211" s="2" t="n">
        <f aca="false">INDEX(Summary!$R$2:$R$201,MATCH($B3211,Summary!$A$2:$A$201,0))</f>
        <v>25.66</v>
      </c>
      <c r="W3211" s="0" t="str">
        <f aca="false">INDEX(Summary!$S$2:$S$201,MATCH($B3211,Summary!$A$2:$A$201,0))</f>
        <v>Silver</v>
      </c>
      <c r="X3211" s="2" t="n">
        <f aca="false">INDEX(Summary!$T$2:$T$201,MATCH($B3211,Summary!$A$2:$A$201,0))</f>
        <v>62.59</v>
      </c>
      <c r="Y3211" s="0" t="str">
        <f aca="false">INDEX('Reward Model'!$E$18:$E$37,MATCH($E3211,'Reward Model'!$A$18:$A$37,0))</f>
        <v>Medium</v>
      </c>
      <c r="Z3211" s="4" t="n">
        <f aca="false">ROUND(MIN(1,MAX('Reward Model'!$B$2,INDEX('Reward Model'!$C$12:$C$14,MATCH($K3211,'Reward Model'!$A$12:$A$14,0))/$J3211)),3)</f>
        <v>1</v>
      </c>
      <c r="AA3211" s="2" t="n">
        <f aca="false">IF($I3211="Correct",ROUND(INDEX('Reward Model'!$B$12:$B$14,MATCH($K3211,'Reward Model'!$A$12:$A$14,0))*Z3211,2),0)</f>
        <v>0</v>
      </c>
      <c r="AB3211" s="2" t="n">
        <f aca="false">IF($I3211="Correct",ROUND(INDEX('Reward Model'!$B$12:$B$14,MATCH($Y3211,'Reward Model'!$A$12:$A$14,0))*Z3211,2),0)</f>
        <v>0</v>
      </c>
    </row>
    <row r="3212" customFormat="false" ht="15" hidden="false" customHeight="false" outlineLevel="0" collapsed="false">
      <c r="A3212" s="0" t="s">
        <v>452</v>
      </c>
      <c r="B3212" s="0" t="s">
        <v>453</v>
      </c>
      <c r="C3212" s="0" t="s">
        <v>322</v>
      </c>
      <c r="D3212" s="0" t="s">
        <v>189</v>
      </c>
      <c r="E3212" s="0" t="n">
        <v>11</v>
      </c>
      <c r="F3212" s="0" t="s">
        <v>61</v>
      </c>
      <c r="G3212" s="0" t="s">
        <v>145</v>
      </c>
      <c r="H3212" s="0" t="s">
        <v>63</v>
      </c>
      <c r="I3212" s="0" t="s">
        <v>39</v>
      </c>
      <c r="J3212" s="0" t="n">
        <v>1.51</v>
      </c>
      <c r="K3212" s="0" t="s">
        <v>60</v>
      </c>
      <c r="L3212" s="0" t="n">
        <f aca="false">INDEX(Summary!$F$2:$F$201,MATCH($B3212,Summary!$A$2:$A$201,0))</f>
        <v>20</v>
      </c>
      <c r="M3212" s="0" t="n">
        <f aca="false">INDEX(Summary!$I$2:$I$201,MATCH($B3212,Summary!$A$2:$A$201,0))</f>
        <v>3</v>
      </c>
      <c r="N3212" s="0" t="n">
        <f aca="false">INDEX(Summary!$J$2:$J$201,MATCH($B3212,Summary!$A$2:$A$201,0))</f>
        <v>2</v>
      </c>
      <c r="O3212" s="2" t="n">
        <f aca="false">INDEX(Summary!$K$2:$K$201,MATCH($B3212,Summary!$A$2:$A$201,0))</f>
        <v>9.65</v>
      </c>
      <c r="P3212" s="3" t="n">
        <f aca="false">INDEX(Summary!$L$2:$L$201,MATCH($B3212,Summary!$A$2:$A$201,0))</f>
        <v>3</v>
      </c>
      <c r="Q3212" s="3" t="n">
        <f aca="false">INDEX(Summary!$M$2:$M$201,MATCH($B3212,Summary!$A$2:$A$201,0))</f>
        <v>3</v>
      </c>
      <c r="R3212" s="2" t="n">
        <f aca="false">INDEX(Summary!$N$2:$N$201,MATCH($B3212,Summary!$A$2:$A$201,0))</f>
        <v>9.93</v>
      </c>
      <c r="S3212" s="3" t="n">
        <f aca="false">INDEX(Summary!$O$2:$O$201,MATCH($B3212,Summary!$A$2:$A$201,0))</f>
        <v>8</v>
      </c>
      <c r="T3212" s="3" t="n">
        <f aca="false">INDEX(Summary!$P$2:$P$201,MATCH($B3212,Summary!$A$2:$A$201,0))</f>
        <v>1</v>
      </c>
      <c r="U3212" s="2" t="n">
        <f aca="false">INDEX(Summary!$Q$2:$Q$201,MATCH($B3212,Summary!$A$2:$A$201,0))</f>
        <v>14.41</v>
      </c>
      <c r="V3212" s="2" t="n">
        <f aca="false">INDEX(Summary!$R$2:$R$201,MATCH($B3212,Summary!$A$2:$A$201,0))</f>
        <v>25.66</v>
      </c>
      <c r="W3212" s="0" t="str">
        <f aca="false">INDEX(Summary!$S$2:$S$201,MATCH($B3212,Summary!$A$2:$A$201,0))</f>
        <v>Silver</v>
      </c>
      <c r="X3212" s="2" t="n">
        <f aca="false">INDEX(Summary!$T$2:$T$201,MATCH($B3212,Summary!$A$2:$A$201,0))</f>
        <v>62.59</v>
      </c>
      <c r="Y3212" s="0" t="str">
        <f aca="false">INDEX('Reward Model'!$E$18:$E$37,MATCH($E3212,'Reward Model'!$A$18:$A$37,0))</f>
        <v>Medium</v>
      </c>
      <c r="Z3212" s="4" t="n">
        <f aca="false">ROUND(MIN(1,MAX('Reward Model'!$B$2,INDEX('Reward Model'!$C$12:$C$14,MATCH($K3212,'Reward Model'!$A$12:$A$14,0))/$J3212)),3)</f>
        <v>1</v>
      </c>
      <c r="AA3212" s="2" t="n">
        <f aca="false">IF($I3212="Correct",ROUND(INDEX('Reward Model'!$B$12:$B$14,MATCH($K3212,'Reward Model'!$A$12:$A$14,0))*Z3212,2),0)</f>
        <v>0</v>
      </c>
      <c r="AB3212" s="2" t="n">
        <f aca="false">IF($I3212="Correct",ROUND(INDEX('Reward Model'!$B$12:$B$14,MATCH($Y3212,'Reward Model'!$A$12:$A$14,0))*Z3212,2),0)</f>
        <v>0</v>
      </c>
    </row>
    <row r="3213" customFormat="false" ht="15" hidden="false" customHeight="false" outlineLevel="0" collapsed="false">
      <c r="A3213" s="0" t="s">
        <v>452</v>
      </c>
      <c r="B3213" s="0" t="s">
        <v>453</v>
      </c>
      <c r="C3213" s="0" t="s">
        <v>322</v>
      </c>
      <c r="D3213" s="0" t="s">
        <v>189</v>
      </c>
      <c r="E3213" s="0" t="n">
        <v>12</v>
      </c>
      <c r="F3213" s="0" t="s">
        <v>64</v>
      </c>
      <c r="G3213" s="0" t="s">
        <v>65</v>
      </c>
      <c r="H3213" s="0" t="s">
        <v>65</v>
      </c>
      <c r="I3213" s="0" t="s">
        <v>34</v>
      </c>
      <c r="J3213" s="0" t="n">
        <v>1.84</v>
      </c>
      <c r="K3213" s="0" t="s">
        <v>60</v>
      </c>
      <c r="L3213" s="0" t="n">
        <f aca="false">INDEX(Summary!$F$2:$F$201,MATCH($B3213,Summary!$A$2:$A$201,0))</f>
        <v>20</v>
      </c>
      <c r="M3213" s="0" t="n">
        <f aca="false">INDEX(Summary!$I$2:$I$201,MATCH($B3213,Summary!$A$2:$A$201,0))</f>
        <v>3</v>
      </c>
      <c r="N3213" s="0" t="n">
        <f aca="false">INDEX(Summary!$J$2:$J$201,MATCH($B3213,Summary!$A$2:$A$201,0))</f>
        <v>2</v>
      </c>
      <c r="O3213" s="2" t="n">
        <f aca="false">INDEX(Summary!$K$2:$K$201,MATCH($B3213,Summary!$A$2:$A$201,0))</f>
        <v>9.65</v>
      </c>
      <c r="P3213" s="3" t="n">
        <f aca="false">INDEX(Summary!$L$2:$L$201,MATCH($B3213,Summary!$A$2:$A$201,0))</f>
        <v>3</v>
      </c>
      <c r="Q3213" s="3" t="n">
        <f aca="false">INDEX(Summary!$M$2:$M$201,MATCH($B3213,Summary!$A$2:$A$201,0))</f>
        <v>3</v>
      </c>
      <c r="R3213" s="2" t="n">
        <f aca="false">INDEX(Summary!$N$2:$N$201,MATCH($B3213,Summary!$A$2:$A$201,0))</f>
        <v>9.93</v>
      </c>
      <c r="S3213" s="3" t="n">
        <f aca="false">INDEX(Summary!$O$2:$O$201,MATCH($B3213,Summary!$A$2:$A$201,0))</f>
        <v>8</v>
      </c>
      <c r="T3213" s="3" t="n">
        <f aca="false">INDEX(Summary!$P$2:$P$201,MATCH($B3213,Summary!$A$2:$A$201,0))</f>
        <v>1</v>
      </c>
      <c r="U3213" s="2" t="n">
        <f aca="false">INDEX(Summary!$Q$2:$Q$201,MATCH($B3213,Summary!$A$2:$A$201,0))</f>
        <v>14.41</v>
      </c>
      <c r="V3213" s="2" t="n">
        <f aca="false">INDEX(Summary!$R$2:$R$201,MATCH($B3213,Summary!$A$2:$A$201,0))</f>
        <v>25.66</v>
      </c>
      <c r="W3213" s="0" t="str">
        <f aca="false">INDEX(Summary!$S$2:$S$201,MATCH($B3213,Summary!$A$2:$A$201,0))</f>
        <v>Silver</v>
      </c>
      <c r="X3213" s="2" t="n">
        <f aca="false">INDEX(Summary!$T$2:$T$201,MATCH($B3213,Summary!$A$2:$A$201,0))</f>
        <v>62.59</v>
      </c>
      <c r="Y3213" s="0" t="str">
        <f aca="false">INDEX('Reward Model'!$E$18:$E$37,MATCH($E3213,'Reward Model'!$A$18:$A$37,0))</f>
        <v>Medium</v>
      </c>
      <c r="Z3213" s="4" t="n">
        <f aca="false">ROUND(MIN(1,MAX('Reward Model'!$B$2,INDEX('Reward Model'!$C$12:$C$14,MATCH($K3213,'Reward Model'!$A$12:$A$14,0))/$J3213)),3)</f>
        <v>0.978</v>
      </c>
      <c r="AA3213" s="2" t="n">
        <f aca="false">IF($I3213="Correct",ROUND(INDEX('Reward Model'!$B$12:$B$14,MATCH($K3213,'Reward Model'!$A$12:$A$14,0))*Z3213,2),0)</f>
        <v>1.96</v>
      </c>
      <c r="AB3213" s="2" t="n">
        <f aca="false">IF($I3213="Correct",ROUND(INDEX('Reward Model'!$B$12:$B$14,MATCH($Y3213,'Reward Model'!$A$12:$A$14,0))*Z3213,2),0)</f>
        <v>1.96</v>
      </c>
    </row>
    <row r="3214" customFormat="false" ht="15" hidden="false" customHeight="false" outlineLevel="0" collapsed="false">
      <c r="A3214" s="0" t="s">
        <v>452</v>
      </c>
      <c r="B3214" s="0" t="s">
        <v>453</v>
      </c>
      <c r="C3214" s="0" t="s">
        <v>322</v>
      </c>
      <c r="D3214" s="0" t="s">
        <v>189</v>
      </c>
      <c r="E3214" s="0" t="n">
        <v>13</v>
      </c>
      <c r="F3214" s="0" t="s">
        <v>66</v>
      </c>
      <c r="G3214" s="0" t="s">
        <v>67</v>
      </c>
      <c r="H3214" s="0" t="s">
        <v>67</v>
      </c>
      <c r="I3214" s="0" t="s">
        <v>34</v>
      </c>
      <c r="J3214" s="0" t="n">
        <v>1.3</v>
      </c>
      <c r="K3214" s="0" t="s">
        <v>60</v>
      </c>
      <c r="L3214" s="0" t="n">
        <f aca="false">INDEX(Summary!$F$2:$F$201,MATCH($B3214,Summary!$A$2:$A$201,0))</f>
        <v>20</v>
      </c>
      <c r="M3214" s="0" t="n">
        <f aca="false">INDEX(Summary!$I$2:$I$201,MATCH($B3214,Summary!$A$2:$A$201,0))</f>
        <v>3</v>
      </c>
      <c r="N3214" s="0" t="n">
        <f aca="false">INDEX(Summary!$J$2:$J$201,MATCH($B3214,Summary!$A$2:$A$201,0))</f>
        <v>2</v>
      </c>
      <c r="O3214" s="2" t="n">
        <f aca="false">INDEX(Summary!$K$2:$K$201,MATCH($B3214,Summary!$A$2:$A$201,0))</f>
        <v>9.65</v>
      </c>
      <c r="P3214" s="3" t="n">
        <f aca="false">INDEX(Summary!$L$2:$L$201,MATCH($B3214,Summary!$A$2:$A$201,0))</f>
        <v>3</v>
      </c>
      <c r="Q3214" s="3" t="n">
        <f aca="false">INDEX(Summary!$M$2:$M$201,MATCH($B3214,Summary!$A$2:$A$201,0))</f>
        <v>3</v>
      </c>
      <c r="R3214" s="2" t="n">
        <f aca="false">INDEX(Summary!$N$2:$N$201,MATCH($B3214,Summary!$A$2:$A$201,0))</f>
        <v>9.93</v>
      </c>
      <c r="S3214" s="3" t="n">
        <f aca="false">INDEX(Summary!$O$2:$O$201,MATCH($B3214,Summary!$A$2:$A$201,0))</f>
        <v>8</v>
      </c>
      <c r="T3214" s="3" t="n">
        <f aca="false">INDEX(Summary!$P$2:$P$201,MATCH($B3214,Summary!$A$2:$A$201,0))</f>
        <v>1</v>
      </c>
      <c r="U3214" s="2" t="n">
        <f aca="false">INDEX(Summary!$Q$2:$Q$201,MATCH($B3214,Summary!$A$2:$A$201,0))</f>
        <v>14.41</v>
      </c>
      <c r="V3214" s="2" t="n">
        <f aca="false">INDEX(Summary!$R$2:$R$201,MATCH($B3214,Summary!$A$2:$A$201,0))</f>
        <v>25.66</v>
      </c>
      <c r="W3214" s="0" t="str">
        <f aca="false">INDEX(Summary!$S$2:$S$201,MATCH($B3214,Summary!$A$2:$A$201,0))</f>
        <v>Silver</v>
      </c>
      <c r="X3214" s="2" t="n">
        <f aca="false">INDEX(Summary!$T$2:$T$201,MATCH($B3214,Summary!$A$2:$A$201,0))</f>
        <v>62.59</v>
      </c>
      <c r="Y3214" s="0" t="str">
        <f aca="false">INDEX('Reward Model'!$E$18:$E$37,MATCH($E3214,'Reward Model'!$A$18:$A$37,0))</f>
        <v>Medium</v>
      </c>
      <c r="Z3214" s="4" t="n">
        <f aca="false">ROUND(MIN(1,MAX('Reward Model'!$B$2,INDEX('Reward Model'!$C$12:$C$14,MATCH($K3214,'Reward Model'!$A$12:$A$14,0))/$J3214)),3)</f>
        <v>1</v>
      </c>
      <c r="AA3214" s="2" t="n">
        <f aca="false">IF($I3214="Correct",ROUND(INDEX('Reward Model'!$B$12:$B$14,MATCH($K3214,'Reward Model'!$A$12:$A$14,0))*Z3214,2),0)</f>
        <v>2</v>
      </c>
      <c r="AB3214" s="2" t="n">
        <f aca="false">IF($I3214="Correct",ROUND(INDEX('Reward Model'!$B$12:$B$14,MATCH($Y3214,'Reward Model'!$A$12:$A$14,0))*Z3214,2),0)</f>
        <v>2</v>
      </c>
    </row>
    <row r="3215" customFormat="false" ht="15" hidden="false" customHeight="false" outlineLevel="0" collapsed="false">
      <c r="A3215" s="0" t="s">
        <v>452</v>
      </c>
      <c r="B3215" s="0" t="s">
        <v>453</v>
      </c>
      <c r="C3215" s="0" t="s">
        <v>322</v>
      </c>
      <c r="D3215" s="0" t="s">
        <v>189</v>
      </c>
      <c r="E3215" s="0" t="n">
        <v>14</v>
      </c>
      <c r="F3215" s="0" t="s">
        <v>68</v>
      </c>
      <c r="G3215" s="0" t="s">
        <v>100</v>
      </c>
      <c r="H3215" s="0" t="s">
        <v>51</v>
      </c>
      <c r="I3215" s="0" t="s">
        <v>39</v>
      </c>
      <c r="J3215" s="0" t="n">
        <v>2.18</v>
      </c>
      <c r="K3215" s="0" t="s">
        <v>60</v>
      </c>
      <c r="L3215" s="0" t="n">
        <f aca="false">INDEX(Summary!$F$2:$F$201,MATCH($B3215,Summary!$A$2:$A$201,0))</f>
        <v>20</v>
      </c>
      <c r="M3215" s="0" t="n">
        <f aca="false">INDEX(Summary!$I$2:$I$201,MATCH($B3215,Summary!$A$2:$A$201,0))</f>
        <v>3</v>
      </c>
      <c r="N3215" s="0" t="n">
        <f aca="false">INDEX(Summary!$J$2:$J$201,MATCH($B3215,Summary!$A$2:$A$201,0))</f>
        <v>2</v>
      </c>
      <c r="O3215" s="2" t="n">
        <f aca="false">INDEX(Summary!$K$2:$K$201,MATCH($B3215,Summary!$A$2:$A$201,0))</f>
        <v>9.65</v>
      </c>
      <c r="P3215" s="3" t="n">
        <f aca="false">INDEX(Summary!$L$2:$L$201,MATCH($B3215,Summary!$A$2:$A$201,0))</f>
        <v>3</v>
      </c>
      <c r="Q3215" s="3" t="n">
        <f aca="false">INDEX(Summary!$M$2:$M$201,MATCH($B3215,Summary!$A$2:$A$201,0))</f>
        <v>3</v>
      </c>
      <c r="R3215" s="2" t="n">
        <f aca="false">INDEX(Summary!$N$2:$N$201,MATCH($B3215,Summary!$A$2:$A$201,0))</f>
        <v>9.93</v>
      </c>
      <c r="S3215" s="3" t="n">
        <f aca="false">INDEX(Summary!$O$2:$O$201,MATCH($B3215,Summary!$A$2:$A$201,0))</f>
        <v>8</v>
      </c>
      <c r="T3215" s="3" t="n">
        <f aca="false">INDEX(Summary!$P$2:$P$201,MATCH($B3215,Summary!$A$2:$A$201,0))</f>
        <v>1</v>
      </c>
      <c r="U3215" s="2" t="n">
        <f aca="false">INDEX(Summary!$Q$2:$Q$201,MATCH($B3215,Summary!$A$2:$A$201,0))</f>
        <v>14.41</v>
      </c>
      <c r="V3215" s="2" t="n">
        <f aca="false">INDEX(Summary!$R$2:$R$201,MATCH($B3215,Summary!$A$2:$A$201,0))</f>
        <v>25.66</v>
      </c>
      <c r="W3215" s="0" t="str">
        <f aca="false">INDEX(Summary!$S$2:$S$201,MATCH($B3215,Summary!$A$2:$A$201,0))</f>
        <v>Silver</v>
      </c>
      <c r="X3215" s="2" t="n">
        <f aca="false">INDEX(Summary!$T$2:$T$201,MATCH($B3215,Summary!$A$2:$A$201,0))</f>
        <v>62.59</v>
      </c>
      <c r="Y3215" s="0" t="str">
        <f aca="false">INDEX('Reward Model'!$E$18:$E$37,MATCH($E3215,'Reward Model'!$A$18:$A$37,0))</f>
        <v>Medium</v>
      </c>
      <c r="Z3215" s="4" t="n">
        <f aca="false">ROUND(MIN(1,MAX('Reward Model'!$B$2,INDEX('Reward Model'!$C$12:$C$14,MATCH($K3215,'Reward Model'!$A$12:$A$14,0))/$J3215)),3)</f>
        <v>0.826</v>
      </c>
      <c r="AA3215" s="2" t="n">
        <f aca="false">IF($I3215="Correct",ROUND(INDEX('Reward Model'!$B$12:$B$14,MATCH($K3215,'Reward Model'!$A$12:$A$14,0))*Z3215,2),0)</f>
        <v>0</v>
      </c>
      <c r="AB3215" s="2" t="n">
        <f aca="false">IF($I3215="Correct",ROUND(INDEX('Reward Model'!$B$12:$B$14,MATCH($Y3215,'Reward Model'!$A$12:$A$14,0))*Z3215,2),0)</f>
        <v>0</v>
      </c>
    </row>
    <row r="3216" customFormat="false" ht="15" hidden="false" customHeight="false" outlineLevel="0" collapsed="false">
      <c r="A3216" s="0" t="s">
        <v>452</v>
      </c>
      <c r="B3216" s="0" t="s">
        <v>453</v>
      </c>
      <c r="C3216" s="0" t="s">
        <v>322</v>
      </c>
      <c r="D3216" s="0" t="s">
        <v>189</v>
      </c>
      <c r="E3216" s="0" t="n">
        <v>15</v>
      </c>
      <c r="F3216" s="0" t="s">
        <v>69</v>
      </c>
      <c r="G3216" s="0" t="s">
        <v>70</v>
      </c>
      <c r="H3216" s="0" t="s">
        <v>70</v>
      </c>
      <c r="I3216" s="0" t="s">
        <v>34</v>
      </c>
      <c r="J3216" s="0" t="n">
        <v>1.75</v>
      </c>
      <c r="K3216" s="0" t="s">
        <v>60</v>
      </c>
      <c r="L3216" s="0" t="n">
        <f aca="false">INDEX(Summary!$F$2:$F$201,MATCH($B3216,Summary!$A$2:$A$201,0))</f>
        <v>20</v>
      </c>
      <c r="M3216" s="0" t="n">
        <f aca="false">INDEX(Summary!$I$2:$I$201,MATCH($B3216,Summary!$A$2:$A$201,0))</f>
        <v>3</v>
      </c>
      <c r="N3216" s="0" t="n">
        <f aca="false">INDEX(Summary!$J$2:$J$201,MATCH($B3216,Summary!$A$2:$A$201,0))</f>
        <v>2</v>
      </c>
      <c r="O3216" s="2" t="n">
        <f aca="false">INDEX(Summary!$K$2:$K$201,MATCH($B3216,Summary!$A$2:$A$201,0))</f>
        <v>9.65</v>
      </c>
      <c r="P3216" s="3" t="n">
        <f aca="false">INDEX(Summary!$L$2:$L$201,MATCH($B3216,Summary!$A$2:$A$201,0))</f>
        <v>3</v>
      </c>
      <c r="Q3216" s="3" t="n">
        <f aca="false">INDEX(Summary!$M$2:$M$201,MATCH($B3216,Summary!$A$2:$A$201,0))</f>
        <v>3</v>
      </c>
      <c r="R3216" s="2" t="n">
        <f aca="false">INDEX(Summary!$N$2:$N$201,MATCH($B3216,Summary!$A$2:$A$201,0))</f>
        <v>9.93</v>
      </c>
      <c r="S3216" s="3" t="n">
        <f aca="false">INDEX(Summary!$O$2:$O$201,MATCH($B3216,Summary!$A$2:$A$201,0))</f>
        <v>8</v>
      </c>
      <c r="T3216" s="3" t="n">
        <f aca="false">INDEX(Summary!$P$2:$P$201,MATCH($B3216,Summary!$A$2:$A$201,0))</f>
        <v>1</v>
      </c>
      <c r="U3216" s="2" t="n">
        <f aca="false">INDEX(Summary!$Q$2:$Q$201,MATCH($B3216,Summary!$A$2:$A$201,0))</f>
        <v>14.41</v>
      </c>
      <c r="V3216" s="2" t="n">
        <f aca="false">INDEX(Summary!$R$2:$R$201,MATCH($B3216,Summary!$A$2:$A$201,0))</f>
        <v>25.66</v>
      </c>
      <c r="W3216" s="0" t="str">
        <f aca="false">INDEX(Summary!$S$2:$S$201,MATCH($B3216,Summary!$A$2:$A$201,0))</f>
        <v>Silver</v>
      </c>
      <c r="X3216" s="2" t="n">
        <f aca="false">INDEX(Summary!$T$2:$T$201,MATCH($B3216,Summary!$A$2:$A$201,0))</f>
        <v>62.59</v>
      </c>
      <c r="Y3216" s="0" t="str">
        <f aca="false">INDEX('Reward Model'!$E$18:$E$37,MATCH($E3216,'Reward Model'!$A$18:$A$37,0))</f>
        <v>Medium</v>
      </c>
      <c r="Z3216" s="4" t="n">
        <f aca="false">ROUND(MIN(1,MAX('Reward Model'!$B$2,INDEX('Reward Model'!$C$12:$C$14,MATCH($K3216,'Reward Model'!$A$12:$A$14,0))/$J3216)),3)</f>
        <v>1</v>
      </c>
      <c r="AA3216" s="2" t="n">
        <f aca="false">IF($I3216="Correct",ROUND(INDEX('Reward Model'!$B$12:$B$14,MATCH($K3216,'Reward Model'!$A$12:$A$14,0))*Z3216,2),0)</f>
        <v>2</v>
      </c>
      <c r="AB3216" s="2" t="n">
        <f aca="false">IF($I3216="Correct",ROUND(INDEX('Reward Model'!$B$12:$B$14,MATCH($Y3216,'Reward Model'!$A$12:$A$14,0))*Z3216,2),0)</f>
        <v>2</v>
      </c>
    </row>
    <row r="3217" customFormat="false" ht="15" hidden="false" customHeight="false" outlineLevel="0" collapsed="false">
      <c r="A3217" s="0" t="s">
        <v>452</v>
      </c>
      <c r="B3217" s="0" t="s">
        <v>453</v>
      </c>
      <c r="C3217" s="0" t="s">
        <v>322</v>
      </c>
      <c r="D3217" s="0" t="s">
        <v>189</v>
      </c>
      <c r="E3217" s="0" t="n">
        <v>16</v>
      </c>
      <c r="F3217" s="0" t="s">
        <v>71</v>
      </c>
      <c r="G3217" s="0" t="s">
        <v>87</v>
      </c>
      <c r="H3217" s="0" t="s">
        <v>72</v>
      </c>
      <c r="I3217" s="0" t="s">
        <v>39</v>
      </c>
      <c r="J3217" s="0" t="n">
        <v>2.25</v>
      </c>
      <c r="K3217" s="0" t="s">
        <v>73</v>
      </c>
      <c r="L3217" s="0" t="n">
        <f aca="false">INDEX(Summary!$F$2:$F$201,MATCH($B3217,Summary!$A$2:$A$201,0))</f>
        <v>20</v>
      </c>
      <c r="M3217" s="0" t="n">
        <f aca="false">INDEX(Summary!$I$2:$I$201,MATCH($B3217,Summary!$A$2:$A$201,0))</f>
        <v>3</v>
      </c>
      <c r="N3217" s="0" t="n">
        <f aca="false">INDEX(Summary!$J$2:$J$201,MATCH($B3217,Summary!$A$2:$A$201,0))</f>
        <v>2</v>
      </c>
      <c r="O3217" s="2" t="n">
        <f aca="false">INDEX(Summary!$K$2:$K$201,MATCH($B3217,Summary!$A$2:$A$201,0))</f>
        <v>9.65</v>
      </c>
      <c r="P3217" s="3" t="n">
        <f aca="false">INDEX(Summary!$L$2:$L$201,MATCH($B3217,Summary!$A$2:$A$201,0))</f>
        <v>3</v>
      </c>
      <c r="Q3217" s="3" t="n">
        <f aca="false">INDEX(Summary!$M$2:$M$201,MATCH($B3217,Summary!$A$2:$A$201,0))</f>
        <v>3</v>
      </c>
      <c r="R3217" s="2" t="n">
        <f aca="false">INDEX(Summary!$N$2:$N$201,MATCH($B3217,Summary!$A$2:$A$201,0))</f>
        <v>9.93</v>
      </c>
      <c r="S3217" s="3" t="n">
        <f aca="false">INDEX(Summary!$O$2:$O$201,MATCH($B3217,Summary!$A$2:$A$201,0))</f>
        <v>8</v>
      </c>
      <c r="T3217" s="3" t="n">
        <f aca="false">INDEX(Summary!$P$2:$P$201,MATCH($B3217,Summary!$A$2:$A$201,0))</f>
        <v>1</v>
      </c>
      <c r="U3217" s="2" t="n">
        <f aca="false">INDEX(Summary!$Q$2:$Q$201,MATCH($B3217,Summary!$A$2:$A$201,0))</f>
        <v>14.41</v>
      </c>
      <c r="V3217" s="2" t="n">
        <f aca="false">INDEX(Summary!$R$2:$R$201,MATCH($B3217,Summary!$A$2:$A$201,0))</f>
        <v>25.66</v>
      </c>
      <c r="W3217" s="0" t="str">
        <f aca="false">INDEX(Summary!$S$2:$S$201,MATCH($B3217,Summary!$A$2:$A$201,0))</f>
        <v>Silver</v>
      </c>
      <c r="X3217" s="2" t="n">
        <f aca="false">INDEX(Summary!$T$2:$T$201,MATCH($B3217,Summary!$A$2:$A$201,0))</f>
        <v>62.59</v>
      </c>
      <c r="Y3217" s="0" t="str">
        <f aca="false">INDEX('Reward Model'!$E$18:$E$37,MATCH($E3217,'Reward Model'!$A$18:$A$37,0))</f>
        <v>High</v>
      </c>
      <c r="Z3217" s="4" t="n">
        <f aca="false">ROUND(MIN(1,MAX('Reward Model'!$B$2,INDEX('Reward Model'!$C$12:$C$14,MATCH($K3217,'Reward Model'!$A$12:$A$14,0))/$J3217)),3)</f>
        <v>0.889</v>
      </c>
      <c r="AA3217" s="2" t="n">
        <f aca="false">IF($I3217="Correct",ROUND(INDEX('Reward Model'!$B$12:$B$14,MATCH($K3217,'Reward Model'!$A$12:$A$14,0))*Z3217,2),0)</f>
        <v>0</v>
      </c>
      <c r="AB3217" s="2" t="n">
        <f aca="false">IF($I3217="Correct",ROUND(INDEX('Reward Model'!$B$12:$B$14,MATCH($Y3217,'Reward Model'!$A$12:$A$14,0))*Z3217,2),0)</f>
        <v>0</v>
      </c>
    </row>
    <row r="3218" customFormat="false" ht="15" hidden="false" customHeight="false" outlineLevel="0" collapsed="false">
      <c r="A3218" s="0" t="s">
        <v>452</v>
      </c>
      <c r="B3218" s="0" t="s">
        <v>453</v>
      </c>
      <c r="C3218" s="0" t="s">
        <v>322</v>
      </c>
      <c r="D3218" s="0" t="s">
        <v>189</v>
      </c>
      <c r="E3218" s="0" t="n">
        <v>17</v>
      </c>
      <c r="F3218" s="0" t="s">
        <v>74</v>
      </c>
      <c r="G3218" s="0" t="s">
        <v>75</v>
      </c>
      <c r="H3218" s="0" t="s">
        <v>75</v>
      </c>
      <c r="I3218" s="0" t="s">
        <v>34</v>
      </c>
      <c r="J3218" s="0" t="n">
        <v>1.53</v>
      </c>
      <c r="K3218" s="0" t="s">
        <v>73</v>
      </c>
      <c r="L3218" s="0" t="n">
        <f aca="false">INDEX(Summary!$F$2:$F$201,MATCH($B3218,Summary!$A$2:$A$201,0))</f>
        <v>20</v>
      </c>
      <c r="M3218" s="0" t="n">
        <f aca="false">INDEX(Summary!$I$2:$I$201,MATCH($B3218,Summary!$A$2:$A$201,0))</f>
        <v>3</v>
      </c>
      <c r="N3218" s="0" t="n">
        <f aca="false">INDEX(Summary!$J$2:$J$201,MATCH($B3218,Summary!$A$2:$A$201,0))</f>
        <v>2</v>
      </c>
      <c r="O3218" s="2" t="n">
        <f aca="false">INDEX(Summary!$K$2:$K$201,MATCH($B3218,Summary!$A$2:$A$201,0))</f>
        <v>9.65</v>
      </c>
      <c r="P3218" s="3" t="n">
        <f aca="false">INDEX(Summary!$L$2:$L$201,MATCH($B3218,Summary!$A$2:$A$201,0))</f>
        <v>3</v>
      </c>
      <c r="Q3218" s="3" t="n">
        <f aca="false">INDEX(Summary!$M$2:$M$201,MATCH($B3218,Summary!$A$2:$A$201,0))</f>
        <v>3</v>
      </c>
      <c r="R3218" s="2" t="n">
        <f aca="false">INDEX(Summary!$N$2:$N$201,MATCH($B3218,Summary!$A$2:$A$201,0))</f>
        <v>9.93</v>
      </c>
      <c r="S3218" s="3" t="n">
        <f aca="false">INDEX(Summary!$O$2:$O$201,MATCH($B3218,Summary!$A$2:$A$201,0))</f>
        <v>8</v>
      </c>
      <c r="T3218" s="3" t="n">
        <f aca="false">INDEX(Summary!$P$2:$P$201,MATCH($B3218,Summary!$A$2:$A$201,0))</f>
        <v>1</v>
      </c>
      <c r="U3218" s="2" t="n">
        <f aca="false">INDEX(Summary!$Q$2:$Q$201,MATCH($B3218,Summary!$A$2:$A$201,0))</f>
        <v>14.41</v>
      </c>
      <c r="V3218" s="2" t="n">
        <f aca="false">INDEX(Summary!$R$2:$R$201,MATCH($B3218,Summary!$A$2:$A$201,0))</f>
        <v>25.66</v>
      </c>
      <c r="W3218" s="0" t="str">
        <f aca="false">INDEX(Summary!$S$2:$S$201,MATCH($B3218,Summary!$A$2:$A$201,0))</f>
        <v>Silver</v>
      </c>
      <c r="X3218" s="2" t="n">
        <f aca="false">INDEX(Summary!$T$2:$T$201,MATCH($B3218,Summary!$A$2:$A$201,0))</f>
        <v>62.59</v>
      </c>
      <c r="Y3218" s="0" t="str">
        <f aca="false">INDEX('Reward Model'!$E$18:$E$37,MATCH($E3218,'Reward Model'!$A$18:$A$37,0))</f>
        <v>High</v>
      </c>
      <c r="Z3218" s="4" t="n">
        <f aca="false">ROUND(MIN(1,MAX('Reward Model'!$B$2,INDEX('Reward Model'!$C$12:$C$14,MATCH($K3218,'Reward Model'!$A$12:$A$14,0))/$J3218)),3)</f>
        <v>1</v>
      </c>
      <c r="AA3218" s="2" t="n">
        <f aca="false">IF($I3218="Correct",ROUND(INDEX('Reward Model'!$B$12:$B$14,MATCH($K3218,'Reward Model'!$A$12:$A$14,0))*Z3218,2),0)</f>
        <v>3</v>
      </c>
      <c r="AB3218" s="2" t="n">
        <f aca="false">IF($I3218="Correct",ROUND(INDEX('Reward Model'!$B$12:$B$14,MATCH($Y3218,'Reward Model'!$A$12:$A$14,0))*Z3218,2),0)</f>
        <v>3</v>
      </c>
    </row>
    <row r="3219" customFormat="false" ht="15" hidden="false" customHeight="false" outlineLevel="0" collapsed="false">
      <c r="A3219" s="0" t="s">
        <v>452</v>
      </c>
      <c r="B3219" s="0" t="s">
        <v>453</v>
      </c>
      <c r="C3219" s="0" t="s">
        <v>322</v>
      </c>
      <c r="D3219" s="0" t="s">
        <v>189</v>
      </c>
      <c r="E3219" s="0" t="n">
        <v>18</v>
      </c>
      <c r="F3219" s="0" t="s">
        <v>76</v>
      </c>
      <c r="G3219" s="0" t="s">
        <v>56</v>
      </c>
      <c r="H3219" s="0" t="s">
        <v>77</v>
      </c>
      <c r="I3219" s="0" t="s">
        <v>39</v>
      </c>
      <c r="J3219" s="0" t="n">
        <v>1.5</v>
      </c>
      <c r="K3219" s="0" t="s">
        <v>73</v>
      </c>
      <c r="L3219" s="0" t="n">
        <f aca="false">INDEX(Summary!$F$2:$F$201,MATCH($B3219,Summary!$A$2:$A$201,0))</f>
        <v>20</v>
      </c>
      <c r="M3219" s="0" t="n">
        <f aca="false">INDEX(Summary!$I$2:$I$201,MATCH($B3219,Summary!$A$2:$A$201,0))</f>
        <v>3</v>
      </c>
      <c r="N3219" s="0" t="n">
        <f aca="false">INDEX(Summary!$J$2:$J$201,MATCH($B3219,Summary!$A$2:$A$201,0))</f>
        <v>2</v>
      </c>
      <c r="O3219" s="2" t="n">
        <f aca="false">INDEX(Summary!$K$2:$K$201,MATCH($B3219,Summary!$A$2:$A$201,0))</f>
        <v>9.65</v>
      </c>
      <c r="P3219" s="3" t="n">
        <f aca="false">INDEX(Summary!$L$2:$L$201,MATCH($B3219,Summary!$A$2:$A$201,0))</f>
        <v>3</v>
      </c>
      <c r="Q3219" s="3" t="n">
        <f aca="false">INDEX(Summary!$M$2:$M$201,MATCH($B3219,Summary!$A$2:$A$201,0))</f>
        <v>3</v>
      </c>
      <c r="R3219" s="2" t="n">
        <f aca="false">INDEX(Summary!$N$2:$N$201,MATCH($B3219,Summary!$A$2:$A$201,0))</f>
        <v>9.93</v>
      </c>
      <c r="S3219" s="3" t="n">
        <f aca="false">INDEX(Summary!$O$2:$O$201,MATCH($B3219,Summary!$A$2:$A$201,0))</f>
        <v>8</v>
      </c>
      <c r="T3219" s="3" t="n">
        <f aca="false">INDEX(Summary!$P$2:$P$201,MATCH($B3219,Summary!$A$2:$A$201,0))</f>
        <v>1</v>
      </c>
      <c r="U3219" s="2" t="n">
        <f aca="false">INDEX(Summary!$Q$2:$Q$201,MATCH($B3219,Summary!$A$2:$A$201,0))</f>
        <v>14.41</v>
      </c>
      <c r="V3219" s="2" t="n">
        <f aca="false">INDEX(Summary!$R$2:$R$201,MATCH($B3219,Summary!$A$2:$A$201,0))</f>
        <v>25.66</v>
      </c>
      <c r="W3219" s="0" t="str">
        <f aca="false">INDEX(Summary!$S$2:$S$201,MATCH($B3219,Summary!$A$2:$A$201,0))</f>
        <v>Silver</v>
      </c>
      <c r="X3219" s="2" t="n">
        <f aca="false">INDEX(Summary!$T$2:$T$201,MATCH($B3219,Summary!$A$2:$A$201,0))</f>
        <v>62.59</v>
      </c>
      <c r="Y3219" s="0" t="str">
        <f aca="false">INDEX('Reward Model'!$E$18:$E$37,MATCH($E3219,'Reward Model'!$A$18:$A$37,0))</f>
        <v>High</v>
      </c>
      <c r="Z3219" s="4" t="n">
        <f aca="false">ROUND(MIN(1,MAX('Reward Model'!$B$2,INDEX('Reward Model'!$C$12:$C$14,MATCH($K3219,'Reward Model'!$A$12:$A$14,0))/$J3219)),3)</f>
        <v>1</v>
      </c>
      <c r="AA3219" s="2" t="n">
        <f aca="false">IF($I3219="Correct",ROUND(INDEX('Reward Model'!$B$12:$B$14,MATCH($K3219,'Reward Model'!$A$12:$A$14,0))*Z3219,2),0)</f>
        <v>0</v>
      </c>
      <c r="AB3219" s="2" t="n">
        <f aca="false">IF($I3219="Correct",ROUND(INDEX('Reward Model'!$B$12:$B$14,MATCH($Y3219,'Reward Model'!$A$12:$A$14,0))*Z3219,2),0)</f>
        <v>0</v>
      </c>
    </row>
    <row r="3220" customFormat="false" ht="15" hidden="false" customHeight="false" outlineLevel="0" collapsed="false">
      <c r="A3220" s="0" t="s">
        <v>452</v>
      </c>
      <c r="B3220" s="0" t="s">
        <v>453</v>
      </c>
      <c r="C3220" s="0" t="s">
        <v>322</v>
      </c>
      <c r="D3220" s="0" t="s">
        <v>189</v>
      </c>
      <c r="E3220" s="0" t="n">
        <v>19</v>
      </c>
      <c r="F3220" s="0" t="s">
        <v>78</v>
      </c>
      <c r="G3220" s="0" t="s">
        <v>80</v>
      </c>
      <c r="H3220" s="0" t="s">
        <v>80</v>
      </c>
      <c r="I3220" s="0" t="s">
        <v>34</v>
      </c>
      <c r="J3220" s="0" t="n">
        <v>2.48</v>
      </c>
      <c r="K3220" s="0" t="s">
        <v>73</v>
      </c>
      <c r="L3220" s="0" t="n">
        <f aca="false">INDEX(Summary!$F$2:$F$201,MATCH($B3220,Summary!$A$2:$A$201,0))</f>
        <v>20</v>
      </c>
      <c r="M3220" s="0" t="n">
        <f aca="false">INDEX(Summary!$I$2:$I$201,MATCH($B3220,Summary!$A$2:$A$201,0))</f>
        <v>3</v>
      </c>
      <c r="N3220" s="0" t="n">
        <f aca="false">INDEX(Summary!$J$2:$J$201,MATCH($B3220,Summary!$A$2:$A$201,0))</f>
        <v>2</v>
      </c>
      <c r="O3220" s="2" t="n">
        <f aca="false">INDEX(Summary!$K$2:$K$201,MATCH($B3220,Summary!$A$2:$A$201,0))</f>
        <v>9.65</v>
      </c>
      <c r="P3220" s="3" t="n">
        <f aca="false">INDEX(Summary!$L$2:$L$201,MATCH($B3220,Summary!$A$2:$A$201,0))</f>
        <v>3</v>
      </c>
      <c r="Q3220" s="3" t="n">
        <f aca="false">INDEX(Summary!$M$2:$M$201,MATCH($B3220,Summary!$A$2:$A$201,0))</f>
        <v>3</v>
      </c>
      <c r="R3220" s="2" t="n">
        <f aca="false">INDEX(Summary!$N$2:$N$201,MATCH($B3220,Summary!$A$2:$A$201,0))</f>
        <v>9.93</v>
      </c>
      <c r="S3220" s="3" t="n">
        <f aca="false">INDEX(Summary!$O$2:$O$201,MATCH($B3220,Summary!$A$2:$A$201,0))</f>
        <v>8</v>
      </c>
      <c r="T3220" s="3" t="n">
        <f aca="false">INDEX(Summary!$P$2:$P$201,MATCH($B3220,Summary!$A$2:$A$201,0))</f>
        <v>1</v>
      </c>
      <c r="U3220" s="2" t="n">
        <f aca="false">INDEX(Summary!$Q$2:$Q$201,MATCH($B3220,Summary!$A$2:$A$201,0))</f>
        <v>14.41</v>
      </c>
      <c r="V3220" s="2" t="n">
        <f aca="false">INDEX(Summary!$R$2:$R$201,MATCH($B3220,Summary!$A$2:$A$201,0))</f>
        <v>25.66</v>
      </c>
      <c r="W3220" s="0" t="str">
        <f aca="false">INDEX(Summary!$S$2:$S$201,MATCH($B3220,Summary!$A$2:$A$201,0))</f>
        <v>Silver</v>
      </c>
      <c r="X3220" s="2" t="n">
        <f aca="false">INDEX(Summary!$T$2:$T$201,MATCH($B3220,Summary!$A$2:$A$201,0))</f>
        <v>62.59</v>
      </c>
      <c r="Y3220" s="0" t="str">
        <f aca="false">INDEX('Reward Model'!$E$18:$E$37,MATCH($E3220,'Reward Model'!$A$18:$A$37,0))</f>
        <v>High</v>
      </c>
      <c r="Z3220" s="4" t="n">
        <f aca="false">ROUND(MIN(1,MAX('Reward Model'!$B$2,INDEX('Reward Model'!$C$12:$C$14,MATCH($K3220,'Reward Model'!$A$12:$A$14,0))/$J3220)),3)</f>
        <v>0.806</v>
      </c>
      <c r="AA3220" s="2" t="n">
        <f aca="false">IF($I3220="Correct",ROUND(INDEX('Reward Model'!$B$12:$B$14,MATCH($K3220,'Reward Model'!$A$12:$A$14,0))*Z3220,2),0)</f>
        <v>2.42</v>
      </c>
      <c r="AB3220" s="2" t="n">
        <f aca="false">IF($I3220="Correct",ROUND(INDEX('Reward Model'!$B$12:$B$14,MATCH($Y3220,'Reward Model'!$A$12:$A$14,0))*Z3220,2),0)</f>
        <v>2.42</v>
      </c>
    </row>
    <row r="3221" customFormat="false" ht="15" hidden="false" customHeight="false" outlineLevel="0" collapsed="false">
      <c r="A3221" s="0" t="s">
        <v>452</v>
      </c>
      <c r="B3221" s="0" t="s">
        <v>453</v>
      </c>
      <c r="C3221" s="0" t="s">
        <v>322</v>
      </c>
      <c r="D3221" s="0" t="s">
        <v>189</v>
      </c>
      <c r="E3221" s="0" t="n">
        <v>20</v>
      </c>
      <c r="F3221" s="0" t="s">
        <v>81</v>
      </c>
      <c r="G3221" s="0" t="s">
        <v>83</v>
      </c>
      <c r="H3221" s="0" t="s">
        <v>83</v>
      </c>
      <c r="I3221" s="0" t="s">
        <v>34</v>
      </c>
      <c r="J3221" s="0" t="n">
        <v>1.89</v>
      </c>
      <c r="K3221" s="0" t="s">
        <v>73</v>
      </c>
      <c r="L3221" s="0" t="n">
        <f aca="false">INDEX(Summary!$F$2:$F$201,MATCH($B3221,Summary!$A$2:$A$201,0))</f>
        <v>20</v>
      </c>
      <c r="M3221" s="0" t="n">
        <f aca="false">INDEX(Summary!$I$2:$I$201,MATCH($B3221,Summary!$A$2:$A$201,0))</f>
        <v>3</v>
      </c>
      <c r="N3221" s="0" t="n">
        <f aca="false">INDEX(Summary!$J$2:$J$201,MATCH($B3221,Summary!$A$2:$A$201,0))</f>
        <v>2</v>
      </c>
      <c r="O3221" s="2" t="n">
        <f aca="false">INDEX(Summary!$K$2:$K$201,MATCH($B3221,Summary!$A$2:$A$201,0))</f>
        <v>9.65</v>
      </c>
      <c r="P3221" s="3" t="n">
        <f aca="false">INDEX(Summary!$L$2:$L$201,MATCH($B3221,Summary!$A$2:$A$201,0))</f>
        <v>3</v>
      </c>
      <c r="Q3221" s="3" t="n">
        <f aca="false">INDEX(Summary!$M$2:$M$201,MATCH($B3221,Summary!$A$2:$A$201,0))</f>
        <v>3</v>
      </c>
      <c r="R3221" s="2" t="n">
        <f aca="false">INDEX(Summary!$N$2:$N$201,MATCH($B3221,Summary!$A$2:$A$201,0))</f>
        <v>9.93</v>
      </c>
      <c r="S3221" s="3" t="n">
        <f aca="false">INDEX(Summary!$O$2:$O$201,MATCH($B3221,Summary!$A$2:$A$201,0))</f>
        <v>8</v>
      </c>
      <c r="T3221" s="3" t="n">
        <f aca="false">INDEX(Summary!$P$2:$P$201,MATCH($B3221,Summary!$A$2:$A$201,0))</f>
        <v>1</v>
      </c>
      <c r="U3221" s="2" t="n">
        <f aca="false">INDEX(Summary!$Q$2:$Q$201,MATCH($B3221,Summary!$A$2:$A$201,0))</f>
        <v>14.41</v>
      </c>
      <c r="V3221" s="2" t="n">
        <f aca="false">INDEX(Summary!$R$2:$R$201,MATCH($B3221,Summary!$A$2:$A$201,0))</f>
        <v>25.66</v>
      </c>
      <c r="W3221" s="0" t="str">
        <f aca="false">INDEX(Summary!$S$2:$S$201,MATCH($B3221,Summary!$A$2:$A$201,0))</f>
        <v>Silver</v>
      </c>
      <c r="X3221" s="2" t="n">
        <f aca="false">INDEX(Summary!$T$2:$T$201,MATCH($B3221,Summary!$A$2:$A$201,0))</f>
        <v>62.59</v>
      </c>
      <c r="Y3221" s="0" t="str">
        <f aca="false">INDEX('Reward Model'!$E$18:$E$37,MATCH($E3221,'Reward Model'!$A$18:$A$37,0))</f>
        <v>High</v>
      </c>
      <c r="Z3221" s="4" t="n">
        <f aca="false">ROUND(MIN(1,MAX('Reward Model'!$B$2,INDEX('Reward Model'!$C$12:$C$14,MATCH($K3221,'Reward Model'!$A$12:$A$14,0))/$J3221)),3)</f>
        <v>1</v>
      </c>
      <c r="AA3221" s="2" t="n">
        <f aca="false">IF($I3221="Correct",ROUND(INDEX('Reward Model'!$B$12:$B$14,MATCH($K3221,'Reward Model'!$A$12:$A$14,0))*Z3221,2),0)</f>
        <v>3</v>
      </c>
      <c r="AB3221" s="2" t="n">
        <f aca="false">IF($I3221="Correct",ROUND(INDEX('Reward Model'!$B$12:$B$14,MATCH($Y3221,'Reward Model'!$A$12:$A$14,0))*Z3221,2),0)</f>
        <v>3</v>
      </c>
    </row>
    <row r="3222" customFormat="false" ht="15" hidden="false" customHeight="false" outlineLevel="0" collapsed="false">
      <c r="A3222" s="0" t="s">
        <v>454</v>
      </c>
      <c r="B3222" s="0" t="s">
        <v>455</v>
      </c>
      <c r="C3222" s="0" t="s">
        <v>322</v>
      </c>
      <c r="D3222" s="0" t="s">
        <v>189</v>
      </c>
      <c r="E3222" s="0" t="n">
        <v>1</v>
      </c>
      <c r="F3222" s="0" t="s">
        <v>32</v>
      </c>
      <c r="G3222" s="0" t="s">
        <v>33</v>
      </c>
      <c r="H3222" s="0" t="s">
        <v>33</v>
      </c>
      <c r="I3222" s="0" t="s">
        <v>34</v>
      </c>
      <c r="J3222" s="0" t="n">
        <v>1.21</v>
      </c>
      <c r="K3222" s="0" t="s">
        <v>35</v>
      </c>
      <c r="L3222" s="0" t="n">
        <f aca="false">INDEX(Summary!$F$2:$F$201,MATCH($B3222,Summary!$A$2:$A$201,0))</f>
        <v>20</v>
      </c>
      <c r="M3222" s="0" t="n">
        <f aca="false">INDEX(Summary!$I$2:$I$201,MATCH($B3222,Summary!$A$2:$A$201,0))</f>
        <v>2</v>
      </c>
      <c r="N3222" s="0" t="n">
        <f aca="false">INDEX(Summary!$J$2:$J$201,MATCH($B3222,Summary!$A$2:$A$201,0))</f>
        <v>3</v>
      </c>
      <c r="O3222" s="2" t="n">
        <f aca="false">INDEX(Summary!$K$2:$K$201,MATCH($B3222,Summary!$A$2:$A$201,0))</f>
        <v>10.77</v>
      </c>
      <c r="P3222" s="3" t="n">
        <f aca="false">INDEX(Summary!$L$2:$L$201,MATCH($B3222,Summary!$A$2:$A$201,0))</f>
        <v>5</v>
      </c>
      <c r="Q3222" s="3" t="n">
        <f aca="false">INDEX(Summary!$M$2:$M$201,MATCH($B3222,Summary!$A$2:$A$201,0))</f>
        <v>1</v>
      </c>
      <c r="R3222" s="2" t="n">
        <f aca="false">INDEX(Summary!$N$2:$N$201,MATCH($B3222,Summary!$A$2:$A$201,0))</f>
        <v>12.23</v>
      </c>
      <c r="S3222" s="3" t="n">
        <f aca="false">INDEX(Summary!$O$2:$O$201,MATCH($B3222,Summary!$A$2:$A$201,0))</f>
        <v>8</v>
      </c>
      <c r="T3222" s="3" t="n">
        <f aca="false">INDEX(Summary!$P$2:$P$201,MATCH($B3222,Summary!$A$2:$A$201,0))</f>
        <v>1</v>
      </c>
      <c r="U3222" s="2" t="n">
        <f aca="false">INDEX(Summary!$Q$2:$Q$201,MATCH($B3222,Summary!$A$2:$A$201,0))</f>
        <v>11.75</v>
      </c>
      <c r="V3222" s="2" t="n">
        <f aca="false">INDEX(Summary!$R$2:$R$201,MATCH($B3222,Summary!$A$2:$A$201,0))</f>
        <v>25.53</v>
      </c>
      <c r="W3222" s="0" t="str">
        <f aca="false">INDEX(Summary!$S$2:$S$201,MATCH($B3222,Summary!$A$2:$A$201,0))</f>
        <v>Silver</v>
      </c>
      <c r="X3222" s="2" t="n">
        <f aca="false">INDEX(Summary!$T$2:$T$201,MATCH($B3222,Summary!$A$2:$A$201,0))</f>
        <v>62.27</v>
      </c>
      <c r="Y3222" s="0" t="str">
        <f aca="false">INDEX('Reward Model'!$E$18:$E$37,MATCH($E3222,'Reward Model'!$A$18:$A$37,0))</f>
        <v>Medium</v>
      </c>
      <c r="Z3222" s="4" t="n">
        <f aca="false">ROUND(MIN(1,MAX('Reward Model'!$B$2,INDEX('Reward Model'!$C$12:$C$14,MATCH($K3222,'Reward Model'!$A$12:$A$14,0))/$J3222)),3)</f>
        <v>1</v>
      </c>
      <c r="AA3222" s="2" t="n">
        <f aca="false">IF($I3222="Correct",ROUND(INDEX('Reward Model'!$B$12:$B$14,MATCH($K3222,'Reward Model'!$A$12:$A$14,0))*Z3222,2),0)</f>
        <v>1</v>
      </c>
      <c r="AB3222" s="2" t="n">
        <f aca="false">IF($I3222="Correct",ROUND(INDEX('Reward Model'!$B$12:$B$14,MATCH($Y3222,'Reward Model'!$A$12:$A$14,0))*Z3222,2),0)</f>
        <v>2</v>
      </c>
    </row>
    <row r="3223" customFormat="false" ht="15" hidden="false" customHeight="false" outlineLevel="0" collapsed="false">
      <c r="A3223" s="0" t="s">
        <v>454</v>
      </c>
      <c r="B3223" s="0" t="s">
        <v>455</v>
      </c>
      <c r="C3223" s="0" t="s">
        <v>322</v>
      </c>
      <c r="D3223" s="0" t="s">
        <v>189</v>
      </c>
      <c r="E3223" s="0" t="n">
        <v>2</v>
      </c>
      <c r="F3223" s="0" t="s">
        <v>36</v>
      </c>
      <c r="G3223" s="0" t="s">
        <v>38</v>
      </c>
      <c r="H3223" s="0" t="s">
        <v>38</v>
      </c>
      <c r="I3223" s="0" t="s">
        <v>34</v>
      </c>
      <c r="J3223" s="0" t="n">
        <v>0.93</v>
      </c>
      <c r="K3223" s="0" t="s">
        <v>35</v>
      </c>
      <c r="L3223" s="0" t="n">
        <f aca="false">INDEX(Summary!$F$2:$F$201,MATCH($B3223,Summary!$A$2:$A$201,0))</f>
        <v>20</v>
      </c>
      <c r="M3223" s="0" t="n">
        <f aca="false">INDEX(Summary!$I$2:$I$201,MATCH($B3223,Summary!$A$2:$A$201,0))</f>
        <v>2</v>
      </c>
      <c r="N3223" s="0" t="n">
        <f aca="false">INDEX(Summary!$J$2:$J$201,MATCH($B3223,Summary!$A$2:$A$201,0))</f>
        <v>3</v>
      </c>
      <c r="O3223" s="2" t="n">
        <f aca="false">INDEX(Summary!$K$2:$K$201,MATCH($B3223,Summary!$A$2:$A$201,0))</f>
        <v>10.77</v>
      </c>
      <c r="P3223" s="3" t="n">
        <f aca="false">INDEX(Summary!$L$2:$L$201,MATCH($B3223,Summary!$A$2:$A$201,0))</f>
        <v>5</v>
      </c>
      <c r="Q3223" s="3" t="n">
        <f aca="false">INDEX(Summary!$M$2:$M$201,MATCH($B3223,Summary!$A$2:$A$201,0))</f>
        <v>1</v>
      </c>
      <c r="R3223" s="2" t="n">
        <f aca="false">INDEX(Summary!$N$2:$N$201,MATCH($B3223,Summary!$A$2:$A$201,0))</f>
        <v>12.23</v>
      </c>
      <c r="S3223" s="3" t="n">
        <f aca="false">INDEX(Summary!$O$2:$O$201,MATCH($B3223,Summary!$A$2:$A$201,0))</f>
        <v>8</v>
      </c>
      <c r="T3223" s="3" t="n">
        <f aca="false">INDEX(Summary!$P$2:$P$201,MATCH($B3223,Summary!$A$2:$A$201,0))</f>
        <v>1</v>
      </c>
      <c r="U3223" s="2" t="n">
        <f aca="false">INDEX(Summary!$Q$2:$Q$201,MATCH($B3223,Summary!$A$2:$A$201,0))</f>
        <v>11.75</v>
      </c>
      <c r="V3223" s="2" t="n">
        <f aca="false">INDEX(Summary!$R$2:$R$201,MATCH($B3223,Summary!$A$2:$A$201,0))</f>
        <v>25.53</v>
      </c>
      <c r="W3223" s="0" t="str">
        <f aca="false">INDEX(Summary!$S$2:$S$201,MATCH($B3223,Summary!$A$2:$A$201,0))</f>
        <v>Silver</v>
      </c>
      <c r="X3223" s="2" t="n">
        <f aca="false">INDEX(Summary!$T$2:$T$201,MATCH($B3223,Summary!$A$2:$A$201,0))</f>
        <v>62.27</v>
      </c>
      <c r="Y3223" s="0" t="str">
        <f aca="false">INDEX('Reward Model'!$E$18:$E$37,MATCH($E3223,'Reward Model'!$A$18:$A$37,0))</f>
        <v>Low</v>
      </c>
      <c r="Z3223" s="4" t="n">
        <f aca="false">ROUND(MIN(1,MAX('Reward Model'!$B$2,INDEX('Reward Model'!$C$12:$C$14,MATCH($K3223,'Reward Model'!$A$12:$A$14,0))/$J3223)),3)</f>
        <v>1</v>
      </c>
      <c r="AA3223" s="2" t="n">
        <f aca="false">IF($I3223="Correct",ROUND(INDEX('Reward Model'!$B$12:$B$14,MATCH($K3223,'Reward Model'!$A$12:$A$14,0))*Z3223,2),0)</f>
        <v>1</v>
      </c>
      <c r="AB3223" s="2" t="n">
        <f aca="false">IF($I3223="Correct",ROUND(INDEX('Reward Model'!$B$12:$B$14,MATCH($Y3223,'Reward Model'!$A$12:$A$14,0))*Z3223,2),0)</f>
        <v>1</v>
      </c>
    </row>
    <row r="3224" customFormat="false" ht="15" hidden="false" customHeight="false" outlineLevel="0" collapsed="false">
      <c r="A3224" s="0" t="s">
        <v>454</v>
      </c>
      <c r="B3224" s="0" t="s">
        <v>455</v>
      </c>
      <c r="C3224" s="0" t="s">
        <v>322</v>
      </c>
      <c r="D3224" s="0" t="s">
        <v>189</v>
      </c>
      <c r="E3224" s="0" t="n">
        <v>3</v>
      </c>
      <c r="F3224" s="0" t="s">
        <v>40</v>
      </c>
      <c r="G3224" s="0" t="s">
        <v>42</v>
      </c>
      <c r="H3224" s="0" t="s">
        <v>42</v>
      </c>
      <c r="I3224" s="0" t="s">
        <v>34</v>
      </c>
      <c r="J3224" s="0" t="n">
        <v>1.42</v>
      </c>
      <c r="K3224" s="0" t="s">
        <v>35</v>
      </c>
      <c r="L3224" s="0" t="n">
        <f aca="false">INDEX(Summary!$F$2:$F$201,MATCH($B3224,Summary!$A$2:$A$201,0))</f>
        <v>20</v>
      </c>
      <c r="M3224" s="0" t="n">
        <f aca="false">INDEX(Summary!$I$2:$I$201,MATCH($B3224,Summary!$A$2:$A$201,0))</f>
        <v>2</v>
      </c>
      <c r="N3224" s="0" t="n">
        <f aca="false">INDEX(Summary!$J$2:$J$201,MATCH($B3224,Summary!$A$2:$A$201,0))</f>
        <v>3</v>
      </c>
      <c r="O3224" s="2" t="n">
        <f aca="false">INDEX(Summary!$K$2:$K$201,MATCH($B3224,Summary!$A$2:$A$201,0))</f>
        <v>10.77</v>
      </c>
      <c r="P3224" s="3" t="n">
        <f aca="false">INDEX(Summary!$L$2:$L$201,MATCH($B3224,Summary!$A$2:$A$201,0))</f>
        <v>5</v>
      </c>
      <c r="Q3224" s="3" t="n">
        <f aca="false">INDEX(Summary!$M$2:$M$201,MATCH($B3224,Summary!$A$2:$A$201,0))</f>
        <v>1</v>
      </c>
      <c r="R3224" s="2" t="n">
        <f aca="false">INDEX(Summary!$N$2:$N$201,MATCH($B3224,Summary!$A$2:$A$201,0))</f>
        <v>12.23</v>
      </c>
      <c r="S3224" s="3" t="n">
        <f aca="false">INDEX(Summary!$O$2:$O$201,MATCH($B3224,Summary!$A$2:$A$201,0))</f>
        <v>8</v>
      </c>
      <c r="T3224" s="3" t="n">
        <f aca="false">INDEX(Summary!$P$2:$P$201,MATCH($B3224,Summary!$A$2:$A$201,0))</f>
        <v>1</v>
      </c>
      <c r="U3224" s="2" t="n">
        <f aca="false">INDEX(Summary!$Q$2:$Q$201,MATCH($B3224,Summary!$A$2:$A$201,0))</f>
        <v>11.75</v>
      </c>
      <c r="V3224" s="2" t="n">
        <f aca="false">INDEX(Summary!$R$2:$R$201,MATCH($B3224,Summary!$A$2:$A$201,0))</f>
        <v>25.53</v>
      </c>
      <c r="W3224" s="0" t="str">
        <f aca="false">INDEX(Summary!$S$2:$S$201,MATCH($B3224,Summary!$A$2:$A$201,0))</f>
        <v>Silver</v>
      </c>
      <c r="X3224" s="2" t="n">
        <f aca="false">INDEX(Summary!$T$2:$T$201,MATCH($B3224,Summary!$A$2:$A$201,0))</f>
        <v>62.27</v>
      </c>
      <c r="Y3224" s="0" t="str">
        <f aca="false">INDEX('Reward Model'!$E$18:$E$37,MATCH($E3224,'Reward Model'!$A$18:$A$37,0))</f>
        <v>Medium</v>
      </c>
      <c r="Z3224" s="4" t="n">
        <f aca="false">ROUND(MIN(1,MAX('Reward Model'!$B$2,INDEX('Reward Model'!$C$12:$C$14,MATCH($K3224,'Reward Model'!$A$12:$A$14,0))/$J3224)),3)</f>
        <v>1</v>
      </c>
      <c r="AA3224" s="2" t="n">
        <f aca="false">IF($I3224="Correct",ROUND(INDEX('Reward Model'!$B$12:$B$14,MATCH($K3224,'Reward Model'!$A$12:$A$14,0))*Z3224,2),0)</f>
        <v>1</v>
      </c>
      <c r="AB3224" s="2" t="n">
        <f aca="false">IF($I3224="Correct",ROUND(INDEX('Reward Model'!$B$12:$B$14,MATCH($Y3224,'Reward Model'!$A$12:$A$14,0))*Z3224,2),0)</f>
        <v>2</v>
      </c>
    </row>
    <row r="3225" customFormat="false" ht="15" hidden="false" customHeight="false" outlineLevel="0" collapsed="false">
      <c r="A3225" s="0" t="s">
        <v>454</v>
      </c>
      <c r="B3225" s="0" t="s">
        <v>455</v>
      </c>
      <c r="C3225" s="0" t="s">
        <v>322</v>
      </c>
      <c r="D3225" s="0" t="s">
        <v>189</v>
      </c>
      <c r="E3225" s="0" t="n">
        <v>4</v>
      </c>
      <c r="F3225" s="0" t="s">
        <v>43</v>
      </c>
      <c r="G3225" s="0" t="s">
        <v>45</v>
      </c>
      <c r="H3225" s="0" t="s">
        <v>45</v>
      </c>
      <c r="I3225" s="0" t="s">
        <v>34</v>
      </c>
      <c r="J3225" s="0" t="n">
        <v>1.09</v>
      </c>
      <c r="K3225" s="0" t="s">
        <v>35</v>
      </c>
      <c r="L3225" s="0" t="n">
        <f aca="false">INDEX(Summary!$F$2:$F$201,MATCH($B3225,Summary!$A$2:$A$201,0))</f>
        <v>20</v>
      </c>
      <c r="M3225" s="0" t="n">
        <f aca="false">INDEX(Summary!$I$2:$I$201,MATCH($B3225,Summary!$A$2:$A$201,0))</f>
        <v>2</v>
      </c>
      <c r="N3225" s="0" t="n">
        <f aca="false">INDEX(Summary!$J$2:$J$201,MATCH($B3225,Summary!$A$2:$A$201,0))</f>
        <v>3</v>
      </c>
      <c r="O3225" s="2" t="n">
        <f aca="false">INDEX(Summary!$K$2:$K$201,MATCH($B3225,Summary!$A$2:$A$201,0))</f>
        <v>10.77</v>
      </c>
      <c r="P3225" s="3" t="n">
        <f aca="false">INDEX(Summary!$L$2:$L$201,MATCH($B3225,Summary!$A$2:$A$201,0))</f>
        <v>5</v>
      </c>
      <c r="Q3225" s="3" t="n">
        <f aca="false">INDEX(Summary!$M$2:$M$201,MATCH($B3225,Summary!$A$2:$A$201,0))</f>
        <v>1</v>
      </c>
      <c r="R3225" s="2" t="n">
        <f aca="false">INDEX(Summary!$N$2:$N$201,MATCH($B3225,Summary!$A$2:$A$201,0))</f>
        <v>12.23</v>
      </c>
      <c r="S3225" s="3" t="n">
        <f aca="false">INDEX(Summary!$O$2:$O$201,MATCH($B3225,Summary!$A$2:$A$201,0))</f>
        <v>8</v>
      </c>
      <c r="T3225" s="3" t="n">
        <f aca="false">INDEX(Summary!$P$2:$P$201,MATCH($B3225,Summary!$A$2:$A$201,0))</f>
        <v>1</v>
      </c>
      <c r="U3225" s="2" t="n">
        <f aca="false">INDEX(Summary!$Q$2:$Q$201,MATCH($B3225,Summary!$A$2:$A$201,0))</f>
        <v>11.75</v>
      </c>
      <c r="V3225" s="2" t="n">
        <f aca="false">INDEX(Summary!$R$2:$R$201,MATCH($B3225,Summary!$A$2:$A$201,0))</f>
        <v>25.53</v>
      </c>
      <c r="W3225" s="0" t="str">
        <f aca="false">INDEX(Summary!$S$2:$S$201,MATCH($B3225,Summary!$A$2:$A$201,0))</f>
        <v>Silver</v>
      </c>
      <c r="X3225" s="2" t="n">
        <f aca="false">INDEX(Summary!$T$2:$T$201,MATCH($B3225,Summary!$A$2:$A$201,0))</f>
        <v>62.27</v>
      </c>
      <c r="Y3225" s="0" t="str">
        <f aca="false">INDEX('Reward Model'!$E$18:$E$37,MATCH($E3225,'Reward Model'!$A$18:$A$37,0))</f>
        <v>Low</v>
      </c>
      <c r="Z3225" s="4" t="n">
        <f aca="false">ROUND(MIN(1,MAX('Reward Model'!$B$2,INDEX('Reward Model'!$C$12:$C$14,MATCH($K3225,'Reward Model'!$A$12:$A$14,0))/$J3225)),3)</f>
        <v>1</v>
      </c>
      <c r="AA3225" s="2" t="n">
        <f aca="false">IF($I3225="Correct",ROUND(INDEX('Reward Model'!$B$12:$B$14,MATCH($K3225,'Reward Model'!$A$12:$A$14,0))*Z3225,2),0)</f>
        <v>1</v>
      </c>
      <c r="AB3225" s="2" t="n">
        <f aca="false">IF($I3225="Correct",ROUND(INDEX('Reward Model'!$B$12:$B$14,MATCH($Y3225,'Reward Model'!$A$12:$A$14,0))*Z3225,2),0)</f>
        <v>1</v>
      </c>
    </row>
    <row r="3226" customFormat="false" ht="15" hidden="false" customHeight="false" outlineLevel="0" collapsed="false">
      <c r="A3226" s="0" t="s">
        <v>454</v>
      </c>
      <c r="B3226" s="0" t="s">
        <v>455</v>
      </c>
      <c r="C3226" s="0" t="s">
        <v>322</v>
      </c>
      <c r="D3226" s="0" t="s">
        <v>189</v>
      </c>
      <c r="E3226" s="0" t="n">
        <v>5</v>
      </c>
      <c r="F3226" s="0" t="s">
        <v>46</v>
      </c>
      <c r="G3226" s="0" t="s">
        <v>47</v>
      </c>
      <c r="H3226" s="0" t="s">
        <v>47</v>
      </c>
      <c r="I3226" s="0" t="s">
        <v>34</v>
      </c>
      <c r="J3226" s="0" t="n">
        <v>0.97</v>
      </c>
      <c r="K3226" s="0" t="s">
        <v>35</v>
      </c>
      <c r="L3226" s="0" t="n">
        <f aca="false">INDEX(Summary!$F$2:$F$201,MATCH($B3226,Summary!$A$2:$A$201,0))</f>
        <v>20</v>
      </c>
      <c r="M3226" s="0" t="n">
        <f aca="false">INDEX(Summary!$I$2:$I$201,MATCH($B3226,Summary!$A$2:$A$201,0))</f>
        <v>2</v>
      </c>
      <c r="N3226" s="0" t="n">
        <f aca="false">INDEX(Summary!$J$2:$J$201,MATCH($B3226,Summary!$A$2:$A$201,0))</f>
        <v>3</v>
      </c>
      <c r="O3226" s="2" t="n">
        <f aca="false">INDEX(Summary!$K$2:$K$201,MATCH($B3226,Summary!$A$2:$A$201,0))</f>
        <v>10.77</v>
      </c>
      <c r="P3226" s="3" t="n">
        <f aca="false">INDEX(Summary!$L$2:$L$201,MATCH($B3226,Summary!$A$2:$A$201,0))</f>
        <v>5</v>
      </c>
      <c r="Q3226" s="3" t="n">
        <f aca="false">INDEX(Summary!$M$2:$M$201,MATCH($B3226,Summary!$A$2:$A$201,0))</f>
        <v>1</v>
      </c>
      <c r="R3226" s="2" t="n">
        <f aca="false">INDEX(Summary!$N$2:$N$201,MATCH($B3226,Summary!$A$2:$A$201,0))</f>
        <v>12.23</v>
      </c>
      <c r="S3226" s="3" t="n">
        <f aca="false">INDEX(Summary!$O$2:$O$201,MATCH($B3226,Summary!$A$2:$A$201,0))</f>
        <v>8</v>
      </c>
      <c r="T3226" s="3" t="n">
        <f aca="false">INDEX(Summary!$P$2:$P$201,MATCH($B3226,Summary!$A$2:$A$201,0))</f>
        <v>1</v>
      </c>
      <c r="U3226" s="2" t="n">
        <f aca="false">INDEX(Summary!$Q$2:$Q$201,MATCH($B3226,Summary!$A$2:$A$201,0))</f>
        <v>11.75</v>
      </c>
      <c r="V3226" s="2" t="n">
        <f aca="false">INDEX(Summary!$R$2:$R$201,MATCH($B3226,Summary!$A$2:$A$201,0))</f>
        <v>25.53</v>
      </c>
      <c r="W3226" s="0" t="str">
        <f aca="false">INDEX(Summary!$S$2:$S$201,MATCH($B3226,Summary!$A$2:$A$201,0))</f>
        <v>Silver</v>
      </c>
      <c r="X3226" s="2" t="n">
        <f aca="false">INDEX(Summary!$T$2:$T$201,MATCH($B3226,Summary!$A$2:$A$201,0))</f>
        <v>62.27</v>
      </c>
      <c r="Y3226" s="0" t="str">
        <f aca="false">INDEX('Reward Model'!$E$18:$E$37,MATCH($E3226,'Reward Model'!$A$18:$A$37,0))</f>
        <v>Low</v>
      </c>
      <c r="Z3226" s="4" t="n">
        <f aca="false">ROUND(MIN(1,MAX('Reward Model'!$B$2,INDEX('Reward Model'!$C$12:$C$14,MATCH($K3226,'Reward Model'!$A$12:$A$14,0))/$J3226)),3)</f>
        <v>1</v>
      </c>
      <c r="AA3226" s="2" t="n">
        <f aca="false">IF($I3226="Correct",ROUND(INDEX('Reward Model'!$B$12:$B$14,MATCH($K3226,'Reward Model'!$A$12:$A$14,0))*Z3226,2),0)</f>
        <v>1</v>
      </c>
      <c r="AB3226" s="2" t="n">
        <f aca="false">IF($I3226="Correct",ROUND(INDEX('Reward Model'!$B$12:$B$14,MATCH($Y3226,'Reward Model'!$A$12:$A$14,0))*Z3226,2),0)</f>
        <v>1</v>
      </c>
    </row>
    <row r="3227" customFormat="false" ht="15" hidden="false" customHeight="false" outlineLevel="0" collapsed="false">
      <c r="A3227" s="0" t="s">
        <v>454</v>
      </c>
      <c r="B3227" s="0" t="s">
        <v>455</v>
      </c>
      <c r="C3227" s="0" t="s">
        <v>322</v>
      </c>
      <c r="D3227" s="0" t="s">
        <v>189</v>
      </c>
      <c r="E3227" s="0" t="n">
        <v>6</v>
      </c>
      <c r="F3227" s="0" t="s">
        <v>48</v>
      </c>
      <c r="G3227" s="0" t="s">
        <v>116</v>
      </c>
      <c r="H3227" s="0" t="s">
        <v>49</v>
      </c>
      <c r="I3227" s="0" t="s">
        <v>39</v>
      </c>
      <c r="J3227" s="0" t="n">
        <v>1</v>
      </c>
      <c r="K3227" s="0" t="s">
        <v>35</v>
      </c>
      <c r="L3227" s="0" t="n">
        <f aca="false">INDEX(Summary!$F$2:$F$201,MATCH($B3227,Summary!$A$2:$A$201,0))</f>
        <v>20</v>
      </c>
      <c r="M3227" s="0" t="n">
        <f aca="false">INDEX(Summary!$I$2:$I$201,MATCH($B3227,Summary!$A$2:$A$201,0))</f>
        <v>2</v>
      </c>
      <c r="N3227" s="0" t="n">
        <f aca="false">INDEX(Summary!$J$2:$J$201,MATCH($B3227,Summary!$A$2:$A$201,0))</f>
        <v>3</v>
      </c>
      <c r="O3227" s="2" t="n">
        <f aca="false">INDEX(Summary!$K$2:$K$201,MATCH($B3227,Summary!$A$2:$A$201,0))</f>
        <v>10.77</v>
      </c>
      <c r="P3227" s="3" t="n">
        <f aca="false">INDEX(Summary!$L$2:$L$201,MATCH($B3227,Summary!$A$2:$A$201,0))</f>
        <v>5</v>
      </c>
      <c r="Q3227" s="3" t="n">
        <f aca="false">INDEX(Summary!$M$2:$M$201,MATCH($B3227,Summary!$A$2:$A$201,0))</f>
        <v>1</v>
      </c>
      <c r="R3227" s="2" t="n">
        <f aca="false">INDEX(Summary!$N$2:$N$201,MATCH($B3227,Summary!$A$2:$A$201,0))</f>
        <v>12.23</v>
      </c>
      <c r="S3227" s="3" t="n">
        <f aca="false">INDEX(Summary!$O$2:$O$201,MATCH($B3227,Summary!$A$2:$A$201,0))</f>
        <v>8</v>
      </c>
      <c r="T3227" s="3" t="n">
        <f aca="false">INDEX(Summary!$P$2:$P$201,MATCH($B3227,Summary!$A$2:$A$201,0))</f>
        <v>1</v>
      </c>
      <c r="U3227" s="2" t="n">
        <f aca="false">INDEX(Summary!$Q$2:$Q$201,MATCH($B3227,Summary!$A$2:$A$201,0))</f>
        <v>11.75</v>
      </c>
      <c r="V3227" s="2" t="n">
        <f aca="false">INDEX(Summary!$R$2:$R$201,MATCH($B3227,Summary!$A$2:$A$201,0))</f>
        <v>25.53</v>
      </c>
      <c r="W3227" s="0" t="str">
        <f aca="false">INDEX(Summary!$S$2:$S$201,MATCH($B3227,Summary!$A$2:$A$201,0))</f>
        <v>Silver</v>
      </c>
      <c r="X3227" s="2" t="n">
        <f aca="false">INDEX(Summary!$T$2:$T$201,MATCH($B3227,Summary!$A$2:$A$201,0))</f>
        <v>62.27</v>
      </c>
      <c r="Y3227" s="0" t="str">
        <f aca="false">INDEX('Reward Model'!$E$18:$E$37,MATCH($E3227,'Reward Model'!$A$18:$A$37,0))</f>
        <v>Medium</v>
      </c>
      <c r="Z3227" s="4" t="n">
        <f aca="false">ROUND(MIN(1,MAX('Reward Model'!$B$2,INDEX('Reward Model'!$C$12:$C$14,MATCH($K3227,'Reward Model'!$A$12:$A$14,0))/$J3227)),3)</f>
        <v>1</v>
      </c>
      <c r="AA3227" s="2" t="n">
        <f aca="false">IF($I3227="Correct",ROUND(INDEX('Reward Model'!$B$12:$B$14,MATCH($K3227,'Reward Model'!$A$12:$A$14,0))*Z3227,2),0)</f>
        <v>0</v>
      </c>
      <c r="AB3227" s="2" t="n">
        <f aca="false">IF($I3227="Correct",ROUND(INDEX('Reward Model'!$B$12:$B$14,MATCH($Y3227,'Reward Model'!$A$12:$A$14,0))*Z3227,2),0)</f>
        <v>0</v>
      </c>
    </row>
    <row r="3228" customFormat="false" ht="15" hidden="false" customHeight="false" outlineLevel="0" collapsed="false">
      <c r="A3228" s="0" t="s">
        <v>454</v>
      </c>
      <c r="B3228" s="0" t="s">
        <v>455</v>
      </c>
      <c r="C3228" s="0" t="s">
        <v>322</v>
      </c>
      <c r="D3228" s="0" t="s">
        <v>189</v>
      </c>
      <c r="E3228" s="0" t="n">
        <v>7</v>
      </c>
      <c r="F3228" s="0" t="s">
        <v>50</v>
      </c>
      <c r="G3228" s="0" t="s">
        <v>51</v>
      </c>
      <c r="H3228" s="0" t="s">
        <v>51</v>
      </c>
      <c r="I3228" s="0" t="s">
        <v>34</v>
      </c>
      <c r="J3228" s="0" t="n">
        <v>1.78</v>
      </c>
      <c r="K3228" s="0" t="s">
        <v>35</v>
      </c>
      <c r="L3228" s="0" t="n">
        <f aca="false">INDEX(Summary!$F$2:$F$201,MATCH($B3228,Summary!$A$2:$A$201,0))</f>
        <v>20</v>
      </c>
      <c r="M3228" s="0" t="n">
        <f aca="false">INDEX(Summary!$I$2:$I$201,MATCH($B3228,Summary!$A$2:$A$201,0))</f>
        <v>2</v>
      </c>
      <c r="N3228" s="0" t="n">
        <f aca="false">INDEX(Summary!$J$2:$J$201,MATCH($B3228,Summary!$A$2:$A$201,0))</f>
        <v>3</v>
      </c>
      <c r="O3228" s="2" t="n">
        <f aca="false">INDEX(Summary!$K$2:$K$201,MATCH($B3228,Summary!$A$2:$A$201,0))</f>
        <v>10.77</v>
      </c>
      <c r="P3228" s="3" t="n">
        <f aca="false">INDEX(Summary!$L$2:$L$201,MATCH($B3228,Summary!$A$2:$A$201,0))</f>
        <v>5</v>
      </c>
      <c r="Q3228" s="3" t="n">
        <f aca="false">INDEX(Summary!$M$2:$M$201,MATCH($B3228,Summary!$A$2:$A$201,0))</f>
        <v>1</v>
      </c>
      <c r="R3228" s="2" t="n">
        <f aca="false">INDEX(Summary!$N$2:$N$201,MATCH($B3228,Summary!$A$2:$A$201,0))</f>
        <v>12.23</v>
      </c>
      <c r="S3228" s="3" t="n">
        <f aca="false">INDEX(Summary!$O$2:$O$201,MATCH($B3228,Summary!$A$2:$A$201,0))</f>
        <v>8</v>
      </c>
      <c r="T3228" s="3" t="n">
        <f aca="false">INDEX(Summary!$P$2:$P$201,MATCH($B3228,Summary!$A$2:$A$201,0))</f>
        <v>1</v>
      </c>
      <c r="U3228" s="2" t="n">
        <f aca="false">INDEX(Summary!$Q$2:$Q$201,MATCH($B3228,Summary!$A$2:$A$201,0))</f>
        <v>11.75</v>
      </c>
      <c r="V3228" s="2" t="n">
        <f aca="false">INDEX(Summary!$R$2:$R$201,MATCH($B3228,Summary!$A$2:$A$201,0))</f>
        <v>25.53</v>
      </c>
      <c r="W3228" s="0" t="str">
        <f aca="false">INDEX(Summary!$S$2:$S$201,MATCH($B3228,Summary!$A$2:$A$201,0))</f>
        <v>Silver</v>
      </c>
      <c r="X3228" s="2" t="n">
        <f aca="false">INDEX(Summary!$T$2:$T$201,MATCH($B3228,Summary!$A$2:$A$201,0))</f>
        <v>62.27</v>
      </c>
      <c r="Y3228" s="0" t="str">
        <f aca="false">INDEX('Reward Model'!$E$18:$E$37,MATCH($E3228,'Reward Model'!$A$18:$A$37,0))</f>
        <v>Low</v>
      </c>
      <c r="Z3228" s="4" t="n">
        <f aca="false">ROUND(MIN(1,MAX('Reward Model'!$B$2,INDEX('Reward Model'!$C$12:$C$14,MATCH($K3228,'Reward Model'!$A$12:$A$14,0))/$J3228)),3)</f>
        <v>0.843</v>
      </c>
      <c r="AA3228" s="2" t="n">
        <f aca="false">IF($I3228="Correct",ROUND(INDEX('Reward Model'!$B$12:$B$14,MATCH($K3228,'Reward Model'!$A$12:$A$14,0))*Z3228,2),0)</f>
        <v>0.84</v>
      </c>
      <c r="AB3228" s="2" t="n">
        <f aca="false">IF($I3228="Correct",ROUND(INDEX('Reward Model'!$B$12:$B$14,MATCH($Y3228,'Reward Model'!$A$12:$A$14,0))*Z3228,2),0)</f>
        <v>0.84</v>
      </c>
    </row>
    <row r="3229" customFormat="false" ht="15" hidden="false" customHeight="false" outlineLevel="0" collapsed="false">
      <c r="A3229" s="0" t="s">
        <v>454</v>
      </c>
      <c r="B3229" s="0" t="s">
        <v>455</v>
      </c>
      <c r="C3229" s="0" t="s">
        <v>322</v>
      </c>
      <c r="D3229" s="0" t="s">
        <v>189</v>
      </c>
      <c r="E3229" s="0" t="n">
        <v>8</v>
      </c>
      <c r="F3229" s="0" t="s">
        <v>52</v>
      </c>
      <c r="G3229" s="0" t="s">
        <v>54</v>
      </c>
      <c r="H3229" s="0" t="s">
        <v>54</v>
      </c>
      <c r="I3229" s="0" t="s">
        <v>34</v>
      </c>
      <c r="J3229" s="0" t="n">
        <v>1.48</v>
      </c>
      <c r="K3229" s="0" t="s">
        <v>35</v>
      </c>
      <c r="L3229" s="0" t="n">
        <f aca="false">INDEX(Summary!$F$2:$F$201,MATCH($B3229,Summary!$A$2:$A$201,0))</f>
        <v>20</v>
      </c>
      <c r="M3229" s="0" t="n">
        <f aca="false">INDEX(Summary!$I$2:$I$201,MATCH($B3229,Summary!$A$2:$A$201,0))</f>
        <v>2</v>
      </c>
      <c r="N3229" s="0" t="n">
        <f aca="false">INDEX(Summary!$J$2:$J$201,MATCH($B3229,Summary!$A$2:$A$201,0))</f>
        <v>3</v>
      </c>
      <c r="O3229" s="2" t="n">
        <f aca="false">INDEX(Summary!$K$2:$K$201,MATCH($B3229,Summary!$A$2:$A$201,0))</f>
        <v>10.77</v>
      </c>
      <c r="P3229" s="3" t="n">
        <f aca="false">INDEX(Summary!$L$2:$L$201,MATCH($B3229,Summary!$A$2:$A$201,0))</f>
        <v>5</v>
      </c>
      <c r="Q3229" s="3" t="n">
        <f aca="false">INDEX(Summary!$M$2:$M$201,MATCH($B3229,Summary!$A$2:$A$201,0))</f>
        <v>1</v>
      </c>
      <c r="R3229" s="2" t="n">
        <f aca="false">INDEX(Summary!$N$2:$N$201,MATCH($B3229,Summary!$A$2:$A$201,0))</f>
        <v>12.23</v>
      </c>
      <c r="S3229" s="3" t="n">
        <f aca="false">INDEX(Summary!$O$2:$O$201,MATCH($B3229,Summary!$A$2:$A$201,0))</f>
        <v>8</v>
      </c>
      <c r="T3229" s="3" t="n">
        <f aca="false">INDEX(Summary!$P$2:$P$201,MATCH($B3229,Summary!$A$2:$A$201,0))</f>
        <v>1</v>
      </c>
      <c r="U3229" s="2" t="n">
        <f aca="false">INDEX(Summary!$Q$2:$Q$201,MATCH($B3229,Summary!$A$2:$A$201,0))</f>
        <v>11.75</v>
      </c>
      <c r="V3229" s="2" t="n">
        <f aca="false">INDEX(Summary!$R$2:$R$201,MATCH($B3229,Summary!$A$2:$A$201,0))</f>
        <v>25.53</v>
      </c>
      <c r="W3229" s="0" t="str">
        <f aca="false">INDEX(Summary!$S$2:$S$201,MATCH($B3229,Summary!$A$2:$A$201,0))</f>
        <v>Silver</v>
      </c>
      <c r="X3229" s="2" t="n">
        <f aca="false">INDEX(Summary!$T$2:$T$201,MATCH($B3229,Summary!$A$2:$A$201,0))</f>
        <v>62.27</v>
      </c>
      <c r="Y3229" s="0" t="str">
        <f aca="false">INDEX('Reward Model'!$E$18:$E$37,MATCH($E3229,'Reward Model'!$A$18:$A$37,0))</f>
        <v>Medium</v>
      </c>
      <c r="Z3229" s="4" t="n">
        <f aca="false">ROUND(MIN(1,MAX('Reward Model'!$B$2,INDEX('Reward Model'!$C$12:$C$14,MATCH($K3229,'Reward Model'!$A$12:$A$14,0))/$J3229)),3)</f>
        <v>1</v>
      </c>
      <c r="AA3229" s="2" t="n">
        <f aca="false">IF($I3229="Correct",ROUND(INDEX('Reward Model'!$B$12:$B$14,MATCH($K3229,'Reward Model'!$A$12:$A$14,0))*Z3229,2),0)</f>
        <v>1</v>
      </c>
      <c r="AB3229" s="2" t="n">
        <f aca="false">IF($I3229="Correct",ROUND(INDEX('Reward Model'!$B$12:$B$14,MATCH($Y3229,'Reward Model'!$A$12:$A$14,0))*Z3229,2),0)</f>
        <v>2</v>
      </c>
    </row>
    <row r="3230" customFormat="false" ht="15" hidden="false" customHeight="false" outlineLevel="0" collapsed="false">
      <c r="A3230" s="0" t="s">
        <v>454</v>
      </c>
      <c r="B3230" s="0" t="s">
        <v>455</v>
      </c>
      <c r="C3230" s="0" t="s">
        <v>322</v>
      </c>
      <c r="D3230" s="0" t="s">
        <v>189</v>
      </c>
      <c r="E3230" s="0" t="n">
        <v>9</v>
      </c>
      <c r="F3230" s="0" t="s">
        <v>55</v>
      </c>
      <c r="G3230" s="0" t="s">
        <v>57</v>
      </c>
      <c r="H3230" s="0" t="s">
        <v>57</v>
      </c>
      <c r="I3230" s="0" t="s">
        <v>34</v>
      </c>
      <c r="J3230" s="0" t="n">
        <v>1.87</v>
      </c>
      <c r="K3230" s="0" t="s">
        <v>35</v>
      </c>
      <c r="L3230" s="0" t="n">
        <f aca="false">INDEX(Summary!$F$2:$F$201,MATCH($B3230,Summary!$A$2:$A$201,0))</f>
        <v>20</v>
      </c>
      <c r="M3230" s="0" t="n">
        <f aca="false">INDEX(Summary!$I$2:$I$201,MATCH($B3230,Summary!$A$2:$A$201,0))</f>
        <v>2</v>
      </c>
      <c r="N3230" s="0" t="n">
        <f aca="false">INDEX(Summary!$J$2:$J$201,MATCH($B3230,Summary!$A$2:$A$201,0))</f>
        <v>3</v>
      </c>
      <c r="O3230" s="2" t="n">
        <f aca="false">INDEX(Summary!$K$2:$K$201,MATCH($B3230,Summary!$A$2:$A$201,0))</f>
        <v>10.77</v>
      </c>
      <c r="P3230" s="3" t="n">
        <f aca="false">INDEX(Summary!$L$2:$L$201,MATCH($B3230,Summary!$A$2:$A$201,0))</f>
        <v>5</v>
      </c>
      <c r="Q3230" s="3" t="n">
        <f aca="false">INDEX(Summary!$M$2:$M$201,MATCH($B3230,Summary!$A$2:$A$201,0))</f>
        <v>1</v>
      </c>
      <c r="R3230" s="2" t="n">
        <f aca="false">INDEX(Summary!$N$2:$N$201,MATCH($B3230,Summary!$A$2:$A$201,0))</f>
        <v>12.23</v>
      </c>
      <c r="S3230" s="3" t="n">
        <f aca="false">INDEX(Summary!$O$2:$O$201,MATCH($B3230,Summary!$A$2:$A$201,0))</f>
        <v>8</v>
      </c>
      <c r="T3230" s="3" t="n">
        <f aca="false">INDEX(Summary!$P$2:$P$201,MATCH($B3230,Summary!$A$2:$A$201,0))</f>
        <v>1</v>
      </c>
      <c r="U3230" s="2" t="n">
        <f aca="false">INDEX(Summary!$Q$2:$Q$201,MATCH($B3230,Summary!$A$2:$A$201,0))</f>
        <v>11.75</v>
      </c>
      <c r="V3230" s="2" t="n">
        <f aca="false">INDEX(Summary!$R$2:$R$201,MATCH($B3230,Summary!$A$2:$A$201,0))</f>
        <v>25.53</v>
      </c>
      <c r="W3230" s="0" t="str">
        <f aca="false">INDEX(Summary!$S$2:$S$201,MATCH($B3230,Summary!$A$2:$A$201,0))</f>
        <v>Silver</v>
      </c>
      <c r="X3230" s="2" t="n">
        <f aca="false">INDEX(Summary!$T$2:$T$201,MATCH($B3230,Summary!$A$2:$A$201,0))</f>
        <v>62.27</v>
      </c>
      <c r="Y3230" s="0" t="str">
        <f aca="false">INDEX('Reward Model'!$E$18:$E$37,MATCH($E3230,'Reward Model'!$A$18:$A$37,0))</f>
        <v>Medium</v>
      </c>
      <c r="Z3230" s="4" t="n">
        <f aca="false">ROUND(MIN(1,MAX('Reward Model'!$B$2,INDEX('Reward Model'!$C$12:$C$14,MATCH($K3230,'Reward Model'!$A$12:$A$14,0))/$J3230)),3)</f>
        <v>0.802</v>
      </c>
      <c r="AA3230" s="2" t="n">
        <f aca="false">IF($I3230="Correct",ROUND(INDEX('Reward Model'!$B$12:$B$14,MATCH($K3230,'Reward Model'!$A$12:$A$14,0))*Z3230,2),0)</f>
        <v>0.8</v>
      </c>
      <c r="AB3230" s="2" t="n">
        <f aca="false">IF($I3230="Correct",ROUND(INDEX('Reward Model'!$B$12:$B$14,MATCH($Y3230,'Reward Model'!$A$12:$A$14,0))*Z3230,2),0)</f>
        <v>1.6</v>
      </c>
    </row>
    <row r="3231" customFormat="false" ht="15" hidden="false" customHeight="false" outlineLevel="0" collapsed="false">
      <c r="A3231" s="0" t="s">
        <v>454</v>
      </c>
      <c r="B3231" s="0" t="s">
        <v>455</v>
      </c>
      <c r="C3231" s="0" t="s">
        <v>322</v>
      </c>
      <c r="D3231" s="0" t="s">
        <v>189</v>
      </c>
      <c r="E3231" s="0" t="n">
        <v>10</v>
      </c>
      <c r="F3231" s="0" t="s">
        <v>58</v>
      </c>
      <c r="G3231" s="0" t="s">
        <v>59</v>
      </c>
      <c r="H3231" s="0" t="s">
        <v>59</v>
      </c>
      <c r="I3231" s="0" t="s">
        <v>34</v>
      </c>
      <c r="J3231" s="0" t="n">
        <v>1.79</v>
      </c>
      <c r="K3231" s="0" t="s">
        <v>60</v>
      </c>
      <c r="L3231" s="0" t="n">
        <f aca="false">INDEX(Summary!$F$2:$F$201,MATCH($B3231,Summary!$A$2:$A$201,0))</f>
        <v>20</v>
      </c>
      <c r="M3231" s="0" t="n">
        <f aca="false">INDEX(Summary!$I$2:$I$201,MATCH($B3231,Summary!$A$2:$A$201,0))</f>
        <v>2</v>
      </c>
      <c r="N3231" s="0" t="n">
        <f aca="false">INDEX(Summary!$J$2:$J$201,MATCH($B3231,Summary!$A$2:$A$201,0))</f>
        <v>3</v>
      </c>
      <c r="O3231" s="2" t="n">
        <f aca="false">INDEX(Summary!$K$2:$K$201,MATCH($B3231,Summary!$A$2:$A$201,0))</f>
        <v>10.77</v>
      </c>
      <c r="P3231" s="3" t="n">
        <f aca="false">INDEX(Summary!$L$2:$L$201,MATCH($B3231,Summary!$A$2:$A$201,0))</f>
        <v>5</v>
      </c>
      <c r="Q3231" s="3" t="n">
        <f aca="false">INDEX(Summary!$M$2:$M$201,MATCH($B3231,Summary!$A$2:$A$201,0))</f>
        <v>1</v>
      </c>
      <c r="R3231" s="2" t="n">
        <f aca="false">INDEX(Summary!$N$2:$N$201,MATCH($B3231,Summary!$A$2:$A$201,0))</f>
        <v>12.23</v>
      </c>
      <c r="S3231" s="3" t="n">
        <f aca="false">INDEX(Summary!$O$2:$O$201,MATCH($B3231,Summary!$A$2:$A$201,0))</f>
        <v>8</v>
      </c>
      <c r="T3231" s="3" t="n">
        <f aca="false">INDEX(Summary!$P$2:$P$201,MATCH($B3231,Summary!$A$2:$A$201,0))</f>
        <v>1</v>
      </c>
      <c r="U3231" s="2" t="n">
        <f aca="false">INDEX(Summary!$Q$2:$Q$201,MATCH($B3231,Summary!$A$2:$A$201,0))</f>
        <v>11.75</v>
      </c>
      <c r="V3231" s="2" t="n">
        <f aca="false">INDEX(Summary!$R$2:$R$201,MATCH($B3231,Summary!$A$2:$A$201,0))</f>
        <v>25.53</v>
      </c>
      <c r="W3231" s="0" t="str">
        <f aca="false">INDEX(Summary!$S$2:$S$201,MATCH($B3231,Summary!$A$2:$A$201,0))</f>
        <v>Silver</v>
      </c>
      <c r="X3231" s="2" t="n">
        <f aca="false">INDEX(Summary!$T$2:$T$201,MATCH($B3231,Summary!$A$2:$A$201,0))</f>
        <v>62.27</v>
      </c>
      <c r="Y3231" s="0" t="str">
        <f aca="false">INDEX('Reward Model'!$E$18:$E$37,MATCH($E3231,'Reward Model'!$A$18:$A$37,0))</f>
        <v>Medium</v>
      </c>
      <c r="Z3231" s="4" t="n">
        <f aca="false">ROUND(MIN(1,MAX('Reward Model'!$B$2,INDEX('Reward Model'!$C$12:$C$14,MATCH($K3231,'Reward Model'!$A$12:$A$14,0))/$J3231)),3)</f>
        <v>1</v>
      </c>
      <c r="AA3231" s="2" t="n">
        <f aca="false">IF($I3231="Correct",ROUND(INDEX('Reward Model'!$B$12:$B$14,MATCH($K3231,'Reward Model'!$A$12:$A$14,0))*Z3231,2),0)</f>
        <v>2</v>
      </c>
      <c r="AB3231" s="2" t="n">
        <f aca="false">IF($I3231="Correct",ROUND(INDEX('Reward Model'!$B$12:$B$14,MATCH($Y3231,'Reward Model'!$A$12:$A$14,0))*Z3231,2),0)</f>
        <v>2</v>
      </c>
    </row>
    <row r="3232" customFormat="false" ht="15" hidden="false" customHeight="false" outlineLevel="0" collapsed="false">
      <c r="A3232" s="0" t="s">
        <v>454</v>
      </c>
      <c r="B3232" s="0" t="s">
        <v>455</v>
      </c>
      <c r="C3232" s="0" t="s">
        <v>322</v>
      </c>
      <c r="D3232" s="0" t="s">
        <v>189</v>
      </c>
      <c r="E3232" s="0" t="n">
        <v>11</v>
      </c>
      <c r="F3232" s="0" t="s">
        <v>61</v>
      </c>
      <c r="G3232" s="0" t="s">
        <v>63</v>
      </c>
      <c r="H3232" s="0" t="s">
        <v>63</v>
      </c>
      <c r="I3232" s="0" t="s">
        <v>34</v>
      </c>
      <c r="J3232" s="0" t="n">
        <v>1.87</v>
      </c>
      <c r="K3232" s="0" t="s">
        <v>60</v>
      </c>
      <c r="L3232" s="0" t="n">
        <f aca="false">INDEX(Summary!$F$2:$F$201,MATCH($B3232,Summary!$A$2:$A$201,0))</f>
        <v>20</v>
      </c>
      <c r="M3232" s="0" t="n">
        <f aca="false">INDEX(Summary!$I$2:$I$201,MATCH($B3232,Summary!$A$2:$A$201,0))</f>
        <v>2</v>
      </c>
      <c r="N3232" s="0" t="n">
        <f aca="false">INDEX(Summary!$J$2:$J$201,MATCH($B3232,Summary!$A$2:$A$201,0))</f>
        <v>3</v>
      </c>
      <c r="O3232" s="2" t="n">
        <f aca="false">INDEX(Summary!$K$2:$K$201,MATCH($B3232,Summary!$A$2:$A$201,0))</f>
        <v>10.77</v>
      </c>
      <c r="P3232" s="3" t="n">
        <f aca="false">INDEX(Summary!$L$2:$L$201,MATCH($B3232,Summary!$A$2:$A$201,0))</f>
        <v>5</v>
      </c>
      <c r="Q3232" s="3" t="n">
        <f aca="false">INDEX(Summary!$M$2:$M$201,MATCH($B3232,Summary!$A$2:$A$201,0))</f>
        <v>1</v>
      </c>
      <c r="R3232" s="2" t="n">
        <f aca="false">INDEX(Summary!$N$2:$N$201,MATCH($B3232,Summary!$A$2:$A$201,0))</f>
        <v>12.23</v>
      </c>
      <c r="S3232" s="3" t="n">
        <f aca="false">INDEX(Summary!$O$2:$O$201,MATCH($B3232,Summary!$A$2:$A$201,0))</f>
        <v>8</v>
      </c>
      <c r="T3232" s="3" t="n">
        <f aca="false">INDEX(Summary!$P$2:$P$201,MATCH($B3232,Summary!$A$2:$A$201,0))</f>
        <v>1</v>
      </c>
      <c r="U3232" s="2" t="n">
        <f aca="false">INDEX(Summary!$Q$2:$Q$201,MATCH($B3232,Summary!$A$2:$A$201,0))</f>
        <v>11.75</v>
      </c>
      <c r="V3232" s="2" t="n">
        <f aca="false">INDEX(Summary!$R$2:$R$201,MATCH($B3232,Summary!$A$2:$A$201,0))</f>
        <v>25.53</v>
      </c>
      <c r="W3232" s="0" t="str">
        <f aca="false">INDEX(Summary!$S$2:$S$201,MATCH($B3232,Summary!$A$2:$A$201,0))</f>
        <v>Silver</v>
      </c>
      <c r="X3232" s="2" t="n">
        <f aca="false">INDEX(Summary!$T$2:$T$201,MATCH($B3232,Summary!$A$2:$A$201,0))</f>
        <v>62.27</v>
      </c>
      <c r="Y3232" s="0" t="str">
        <f aca="false">INDEX('Reward Model'!$E$18:$E$37,MATCH($E3232,'Reward Model'!$A$18:$A$37,0))</f>
        <v>Medium</v>
      </c>
      <c r="Z3232" s="4" t="n">
        <f aca="false">ROUND(MIN(1,MAX('Reward Model'!$B$2,INDEX('Reward Model'!$C$12:$C$14,MATCH($K3232,'Reward Model'!$A$12:$A$14,0))/$J3232)),3)</f>
        <v>0.963</v>
      </c>
      <c r="AA3232" s="2" t="n">
        <f aca="false">IF($I3232="Correct",ROUND(INDEX('Reward Model'!$B$12:$B$14,MATCH($K3232,'Reward Model'!$A$12:$A$14,0))*Z3232,2),0)</f>
        <v>1.93</v>
      </c>
      <c r="AB3232" s="2" t="n">
        <f aca="false">IF($I3232="Correct",ROUND(INDEX('Reward Model'!$B$12:$B$14,MATCH($Y3232,'Reward Model'!$A$12:$A$14,0))*Z3232,2),0)</f>
        <v>1.93</v>
      </c>
    </row>
    <row r="3233" customFormat="false" ht="15" hidden="false" customHeight="false" outlineLevel="0" collapsed="false">
      <c r="A3233" s="0" t="s">
        <v>454</v>
      </c>
      <c r="B3233" s="0" t="s">
        <v>455</v>
      </c>
      <c r="C3233" s="0" t="s">
        <v>322</v>
      </c>
      <c r="D3233" s="0" t="s">
        <v>189</v>
      </c>
      <c r="E3233" s="0" t="n">
        <v>12</v>
      </c>
      <c r="F3233" s="0" t="s">
        <v>64</v>
      </c>
      <c r="G3233" s="0" t="s">
        <v>65</v>
      </c>
      <c r="H3233" s="0" t="s">
        <v>65</v>
      </c>
      <c r="I3233" s="0" t="s">
        <v>34</v>
      </c>
      <c r="J3233" s="0" t="n">
        <v>2.05</v>
      </c>
      <c r="K3233" s="0" t="s">
        <v>60</v>
      </c>
      <c r="L3233" s="0" t="n">
        <f aca="false">INDEX(Summary!$F$2:$F$201,MATCH($B3233,Summary!$A$2:$A$201,0))</f>
        <v>20</v>
      </c>
      <c r="M3233" s="0" t="n">
        <f aca="false">INDEX(Summary!$I$2:$I$201,MATCH($B3233,Summary!$A$2:$A$201,0))</f>
        <v>2</v>
      </c>
      <c r="N3233" s="0" t="n">
        <f aca="false">INDEX(Summary!$J$2:$J$201,MATCH($B3233,Summary!$A$2:$A$201,0))</f>
        <v>3</v>
      </c>
      <c r="O3233" s="2" t="n">
        <f aca="false">INDEX(Summary!$K$2:$K$201,MATCH($B3233,Summary!$A$2:$A$201,0))</f>
        <v>10.77</v>
      </c>
      <c r="P3233" s="3" t="n">
        <f aca="false">INDEX(Summary!$L$2:$L$201,MATCH($B3233,Summary!$A$2:$A$201,0))</f>
        <v>5</v>
      </c>
      <c r="Q3233" s="3" t="n">
        <f aca="false">INDEX(Summary!$M$2:$M$201,MATCH($B3233,Summary!$A$2:$A$201,0))</f>
        <v>1</v>
      </c>
      <c r="R3233" s="2" t="n">
        <f aca="false">INDEX(Summary!$N$2:$N$201,MATCH($B3233,Summary!$A$2:$A$201,0))</f>
        <v>12.23</v>
      </c>
      <c r="S3233" s="3" t="n">
        <f aca="false">INDEX(Summary!$O$2:$O$201,MATCH($B3233,Summary!$A$2:$A$201,0))</f>
        <v>8</v>
      </c>
      <c r="T3233" s="3" t="n">
        <f aca="false">INDEX(Summary!$P$2:$P$201,MATCH($B3233,Summary!$A$2:$A$201,0))</f>
        <v>1</v>
      </c>
      <c r="U3233" s="2" t="n">
        <f aca="false">INDEX(Summary!$Q$2:$Q$201,MATCH($B3233,Summary!$A$2:$A$201,0))</f>
        <v>11.75</v>
      </c>
      <c r="V3233" s="2" t="n">
        <f aca="false">INDEX(Summary!$R$2:$R$201,MATCH($B3233,Summary!$A$2:$A$201,0))</f>
        <v>25.53</v>
      </c>
      <c r="W3233" s="0" t="str">
        <f aca="false">INDEX(Summary!$S$2:$S$201,MATCH($B3233,Summary!$A$2:$A$201,0))</f>
        <v>Silver</v>
      </c>
      <c r="X3233" s="2" t="n">
        <f aca="false">INDEX(Summary!$T$2:$T$201,MATCH($B3233,Summary!$A$2:$A$201,0))</f>
        <v>62.27</v>
      </c>
      <c r="Y3233" s="0" t="str">
        <f aca="false">INDEX('Reward Model'!$E$18:$E$37,MATCH($E3233,'Reward Model'!$A$18:$A$37,0))</f>
        <v>Medium</v>
      </c>
      <c r="Z3233" s="4" t="n">
        <f aca="false">ROUND(MIN(1,MAX('Reward Model'!$B$2,INDEX('Reward Model'!$C$12:$C$14,MATCH($K3233,'Reward Model'!$A$12:$A$14,0))/$J3233)),3)</f>
        <v>0.878</v>
      </c>
      <c r="AA3233" s="2" t="n">
        <f aca="false">IF($I3233="Correct",ROUND(INDEX('Reward Model'!$B$12:$B$14,MATCH($K3233,'Reward Model'!$A$12:$A$14,0))*Z3233,2),0)</f>
        <v>1.76</v>
      </c>
      <c r="AB3233" s="2" t="n">
        <f aca="false">IF($I3233="Correct",ROUND(INDEX('Reward Model'!$B$12:$B$14,MATCH($Y3233,'Reward Model'!$A$12:$A$14,0))*Z3233,2),0)</f>
        <v>1.76</v>
      </c>
    </row>
    <row r="3234" customFormat="false" ht="15" hidden="false" customHeight="false" outlineLevel="0" collapsed="false">
      <c r="A3234" s="0" t="s">
        <v>454</v>
      </c>
      <c r="B3234" s="0" t="s">
        <v>455</v>
      </c>
      <c r="C3234" s="0" t="s">
        <v>322</v>
      </c>
      <c r="D3234" s="0" t="s">
        <v>189</v>
      </c>
      <c r="E3234" s="0" t="n">
        <v>13</v>
      </c>
      <c r="F3234" s="0" t="s">
        <v>66</v>
      </c>
      <c r="G3234" s="0" t="s">
        <v>165</v>
      </c>
      <c r="H3234" s="0" t="s">
        <v>67</v>
      </c>
      <c r="I3234" s="0" t="s">
        <v>39</v>
      </c>
      <c r="J3234" s="0" t="n">
        <v>2.08</v>
      </c>
      <c r="K3234" s="0" t="s">
        <v>60</v>
      </c>
      <c r="L3234" s="0" t="n">
        <f aca="false">INDEX(Summary!$F$2:$F$201,MATCH($B3234,Summary!$A$2:$A$201,0))</f>
        <v>20</v>
      </c>
      <c r="M3234" s="0" t="n">
        <f aca="false">INDEX(Summary!$I$2:$I$201,MATCH($B3234,Summary!$A$2:$A$201,0))</f>
        <v>2</v>
      </c>
      <c r="N3234" s="0" t="n">
        <f aca="false">INDEX(Summary!$J$2:$J$201,MATCH($B3234,Summary!$A$2:$A$201,0))</f>
        <v>3</v>
      </c>
      <c r="O3234" s="2" t="n">
        <f aca="false">INDEX(Summary!$K$2:$K$201,MATCH($B3234,Summary!$A$2:$A$201,0))</f>
        <v>10.77</v>
      </c>
      <c r="P3234" s="3" t="n">
        <f aca="false">INDEX(Summary!$L$2:$L$201,MATCH($B3234,Summary!$A$2:$A$201,0))</f>
        <v>5</v>
      </c>
      <c r="Q3234" s="3" t="n">
        <f aca="false">INDEX(Summary!$M$2:$M$201,MATCH($B3234,Summary!$A$2:$A$201,0))</f>
        <v>1</v>
      </c>
      <c r="R3234" s="2" t="n">
        <f aca="false">INDEX(Summary!$N$2:$N$201,MATCH($B3234,Summary!$A$2:$A$201,0))</f>
        <v>12.23</v>
      </c>
      <c r="S3234" s="3" t="n">
        <f aca="false">INDEX(Summary!$O$2:$O$201,MATCH($B3234,Summary!$A$2:$A$201,0))</f>
        <v>8</v>
      </c>
      <c r="T3234" s="3" t="n">
        <f aca="false">INDEX(Summary!$P$2:$P$201,MATCH($B3234,Summary!$A$2:$A$201,0))</f>
        <v>1</v>
      </c>
      <c r="U3234" s="2" t="n">
        <f aca="false">INDEX(Summary!$Q$2:$Q$201,MATCH($B3234,Summary!$A$2:$A$201,0))</f>
        <v>11.75</v>
      </c>
      <c r="V3234" s="2" t="n">
        <f aca="false">INDEX(Summary!$R$2:$R$201,MATCH($B3234,Summary!$A$2:$A$201,0))</f>
        <v>25.53</v>
      </c>
      <c r="W3234" s="0" t="str">
        <f aca="false">INDEX(Summary!$S$2:$S$201,MATCH($B3234,Summary!$A$2:$A$201,0))</f>
        <v>Silver</v>
      </c>
      <c r="X3234" s="2" t="n">
        <f aca="false">INDEX(Summary!$T$2:$T$201,MATCH($B3234,Summary!$A$2:$A$201,0))</f>
        <v>62.27</v>
      </c>
      <c r="Y3234" s="0" t="str">
        <f aca="false">INDEX('Reward Model'!$E$18:$E$37,MATCH($E3234,'Reward Model'!$A$18:$A$37,0))</f>
        <v>Medium</v>
      </c>
      <c r="Z3234" s="4" t="n">
        <f aca="false">ROUND(MIN(1,MAX('Reward Model'!$B$2,INDEX('Reward Model'!$C$12:$C$14,MATCH($K3234,'Reward Model'!$A$12:$A$14,0))/$J3234)),3)</f>
        <v>0.865</v>
      </c>
      <c r="AA3234" s="2" t="n">
        <f aca="false">IF($I3234="Correct",ROUND(INDEX('Reward Model'!$B$12:$B$14,MATCH($K3234,'Reward Model'!$A$12:$A$14,0))*Z3234,2),0)</f>
        <v>0</v>
      </c>
      <c r="AB3234" s="2" t="n">
        <f aca="false">IF($I3234="Correct",ROUND(INDEX('Reward Model'!$B$12:$B$14,MATCH($Y3234,'Reward Model'!$A$12:$A$14,0))*Z3234,2),0)</f>
        <v>0</v>
      </c>
    </row>
    <row r="3235" customFormat="false" ht="15" hidden="false" customHeight="false" outlineLevel="0" collapsed="false">
      <c r="A3235" s="0" t="s">
        <v>454</v>
      </c>
      <c r="B3235" s="0" t="s">
        <v>455</v>
      </c>
      <c r="C3235" s="0" t="s">
        <v>322</v>
      </c>
      <c r="D3235" s="0" t="s">
        <v>189</v>
      </c>
      <c r="E3235" s="0" t="n">
        <v>14</v>
      </c>
      <c r="F3235" s="0" t="s">
        <v>68</v>
      </c>
      <c r="G3235" s="0" t="s">
        <v>51</v>
      </c>
      <c r="H3235" s="0" t="s">
        <v>51</v>
      </c>
      <c r="I3235" s="0" t="s">
        <v>34</v>
      </c>
      <c r="J3235" s="0" t="n">
        <v>2.22</v>
      </c>
      <c r="K3235" s="0" t="s">
        <v>60</v>
      </c>
      <c r="L3235" s="0" t="n">
        <f aca="false">INDEX(Summary!$F$2:$F$201,MATCH($B3235,Summary!$A$2:$A$201,0))</f>
        <v>20</v>
      </c>
      <c r="M3235" s="0" t="n">
        <f aca="false">INDEX(Summary!$I$2:$I$201,MATCH($B3235,Summary!$A$2:$A$201,0))</f>
        <v>2</v>
      </c>
      <c r="N3235" s="0" t="n">
        <f aca="false">INDEX(Summary!$J$2:$J$201,MATCH($B3235,Summary!$A$2:$A$201,0))</f>
        <v>3</v>
      </c>
      <c r="O3235" s="2" t="n">
        <f aca="false">INDEX(Summary!$K$2:$K$201,MATCH($B3235,Summary!$A$2:$A$201,0))</f>
        <v>10.77</v>
      </c>
      <c r="P3235" s="3" t="n">
        <f aca="false">INDEX(Summary!$L$2:$L$201,MATCH($B3235,Summary!$A$2:$A$201,0))</f>
        <v>5</v>
      </c>
      <c r="Q3235" s="3" t="n">
        <f aca="false">INDEX(Summary!$M$2:$M$201,MATCH($B3235,Summary!$A$2:$A$201,0))</f>
        <v>1</v>
      </c>
      <c r="R3235" s="2" t="n">
        <f aca="false">INDEX(Summary!$N$2:$N$201,MATCH($B3235,Summary!$A$2:$A$201,0))</f>
        <v>12.23</v>
      </c>
      <c r="S3235" s="3" t="n">
        <f aca="false">INDEX(Summary!$O$2:$O$201,MATCH($B3235,Summary!$A$2:$A$201,0))</f>
        <v>8</v>
      </c>
      <c r="T3235" s="3" t="n">
        <f aca="false">INDEX(Summary!$P$2:$P$201,MATCH($B3235,Summary!$A$2:$A$201,0))</f>
        <v>1</v>
      </c>
      <c r="U3235" s="2" t="n">
        <f aca="false">INDEX(Summary!$Q$2:$Q$201,MATCH($B3235,Summary!$A$2:$A$201,0))</f>
        <v>11.75</v>
      </c>
      <c r="V3235" s="2" t="n">
        <f aca="false">INDEX(Summary!$R$2:$R$201,MATCH($B3235,Summary!$A$2:$A$201,0))</f>
        <v>25.53</v>
      </c>
      <c r="W3235" s="0" t="str">
        <f aca="false">INDEX(Summary!$S$2:$S$201,MATCH($B3235,Summary!$A$2:$A$201,0))</f>
        <v>Silver</v>
      </c>
      <c r="X3235" s="2" t="n">
        <f aca="false">INDEX(Summary!$T$2:$T$201,MATCH($B3235,Summary!$A$2:$A$201,0))</f>
        <v>62.27</v>
      </c>
      <c r="Y3235" s="0" t="str">
        <f aca="false">INDEX('Reward Model'!$E$18:$E$37,MATCH($E3235,'Reward Model'!$A$18:$A$37,0))</f>
        <v>Medium</v>
      </c>
      <c r="Z3235" s="4" t="n">
        <f aca="false">ROUND(MIN(1,MAX('Reward Model'!$B$2,INDEX('Reward Model'!$C$12:$C$14,MATCH($K3235,'Reward Model'!$A$12:$A$14,0))/$J3235)),3)</f>
        <v>0.811</v>
      </c>
      <c r="AA3235" s="2" t="n">
        <f aca="false">IF($I3235="Correct",ROUND(INDEX('Reward Model'!$B$12:$B$14,MATCH($K3235,'Reward Model'!$A$12:$A$14,0))*Z3235,2),0)</f>
        <v>1.62</v>
      </c>
      <c r="AB3235" s="2" t="n">
        <f aca="false">IF($I3235="Correct",ROUND(INDEX('Reward Model'!$B$12:$B$14,MATCH($Y3235,'Reward Model'!$A$12:$A$14,0))*Z3235,2),0)</f>
        <v>1.62</v>
      </c>
    </row>
    <row r="3236" customFormat="false" ht="15" hidden="false" customHeight="false" outlineLevel="0" collapsed="false">
      <c r="A3236" s="0" t="s">
        <v>454</v>
      </c>
      <c r="B3236" s="0" t="s">
        <v>455</v>
      </c>
      <c r="C3236" s="0" t="s">
        <v>322</v>
      </c>
      <c r="D3236" s="0" t="s">
        <v>189</v>
      </c>
      <c r="E3236" s="0" t="n">
        <v>15</v>
      </c>
      <c r="F3236" s="0" t="s">
        <v>69</v>
      </c>
      <c r="G3236" s="0" t="s">
        <v>70</v>
      </c>
      <c r="H3236" s="0" t="s">
        <v>70</v>
      </c>
      <c r="I3236" s="0" t="s">
        <v>34</v>
      </c>
      <c r="J3236" s="0" t="n">
        <v>2.22</v>
      </c>
      <c r="K3236" s="0" t="s">
        <v>60</v>
      </c>
      <c r="L3236" s="0" t="n">
        <f aca="false">INDEX(Summary!$F$2:$F$201,MATCH($B3236,Summary!$A$2:$A$201,0))</f>
        <v>20</v>
      </c>
      <c r="M3236" s="0" t="n">
        <f aca="false">INDEX(Summary!$I$2:$I$201,MATCH($B3236,Summary!$A$2:$A$201,0))</f>
        <v>2</v>
      </c>
      <c r="N3236" s="0" t="n">
        <f aca="false">INDEX(Summary!$J$2:$J$201,MATCH($B3236,Summary!$A$2:$A$201,0))</f>
        <v>3</v>
      </c>
      <c r="O3236" s="2" t="n">
        <f aca="false">INDEX(Summary!$K$2:$K$201,MATCH($B3236,Summary!$A$2:$A$201,0))</f>
        <v>10.77</v>
      </c>
      <c r="P3236" s="3" t="n">
        <f aca="false">INDEX(Summary!$L$2:$L$201,MATCH($B3236,Summary!$A$2:$A$201,0))</f>
        <v>5</v>
      </c>
      <c r="Q3236" s="3" t="n">
        <f aca="false">INDEX(Summary!$M$2:$M$201,MATCH($B3236,Summary!$A$2:$A$201,0))</f>
        <v>1</v>
      </c>
      <c r="R3236" s="2" t="n">
        <f aca="false">INDEX(Summary!$N$2:$N$201,MATCH($B3236,Summary!$A$2:$A$201,0))</f>
        <v>12.23</v>
      </c>
      <c r="S3236" s="3" t="n">
        <f aca="false">INDEX(Summary!$O$2:$O$201,MATCH($B3236,Summary!$A$2:$A$201,0))</f>
        <v>8</v>
      </c>
      <c r="T3236" s="3" t="n">
        <f aca="false">INDEX(Summary!$P$2:$P$201,MATCH($B3236,Summary!$A$2:$A$201,0))</f>
        <v>1</v>
      </c>
      <c r="U3236" s="2" t="n">
        <f aca="false">INDEX(Summary!$Q$2:$Q$201,MATCH($B3236,Summary!$A$2:$A$201,0))</f>
        <v>11.75</v>
      </c>
      <c r="V3236" s="2" t="n">
        <f aca="false">INDEX(Summary!$R$2:$R$201,MATCH($B3236,Summary!$A$2:$A$201,0))</f>
        <v>25.53</v>
      </c>
      <c r="W3236" s="0" t="str">
        <f aca="false">INDEX(Summary!$S$2:$S$201,MATCH($B3236,Summary!$A$2:$A$201,0))</f>
        <v>Silver</v>
      </c>
      <c r="X3236" s="2" t="n">
        <f aca="false">INDEX(Summary!$T$2:$T$201,MATCH($B3236,Summary!$A$2:$A$201,0))</f>
        <v>62.27</v>
      </c>
      <c r="Y3236" s="0" t="str">
        <f aca="false">INDEX('Reward Model'!$E$18:$E$37,MATCH($E3236,'Reward Model'!$A$18:$A$37,0))</f>
        <v>Medium</v>
      </c>
      <c r="Z3236" s="4" t="n">
        <f aca="false">ROUND(MIN(1,MAX('Reward Model'!$B$2,INDEX('Reward Model'!$C$12:$C$14,MATCH($K3236,'Reward Model'!$A$12:$A$14,0))/$J3236)),3)</f>
        <v>0.811</v>
      </c>
      <c r="AA3236" s="2" t="n">
        <f aca="false">IF($I3236="Correct",ROUND(INDEX('Reward Model'!$B$12:$B$14,MATCH($K3236,'Reward Model'!$A$12:$A$14,0))*Z3236,2),0)</f>
        <v>1.62</v>
      </c>
      <c r="AB3236" s="2" t="n">
        <f aca="false">IF($I3236="Correct",ROUND(INDEX('Reward Model'!$B$12:$B$14,MATCH($Y3236,'Reward Model'!$A$12:$A$14,0))*Z3236,2),0)</f>
        <v>1.62</v>
      </c>
    </row>
    <row r="3237" customFormat="false" ht="15" hidden="false" customHeight="false" outlineLevel="0" collapsed="false">
      <c r="A3237" s="0" t="s">
        <v>454</v>
      </c>
      <c r="B3237" s="0" t="s">
        <v>455</v>
      </c>
      <c r="C3237" s="0" t="s">
        <v>322</v>
      </c>
      <c r="D3237" s="0" t="s">
        <v>189</v>
      </c>
      <c r="E3237" s="0" t="n">
        <v>16</v>
      </c>
      <c r="F3237" s="0" t="s">
        <v>71</v>
      </c>
      <c r="G3237" s="0" t="s">
        <v>72</v>
      </c>
      <c r="H3237" s="0" t="s">
        <v>72</v>
      </c>
      <c r="I3237" s="0" t="s">
        <v>34</v>
      </c>
      <c r="J3237" s="0" t="n">
        <v>2.22</v>
      </c>
      <c r="K3237" s="0" t="s">
        <v>73</v>
      </c>
      <c r="L3237" s="0" t="n">
        <f aca="false">INDEX(Summary!$F$2:$F$201,MATCH($B3237,Summary!$A$2:$A$201,0))</f>
        <v>20</v>
      </c>
      <c r="M3237" s="0" t="n">
        <f aca="false">INDEX(Summary!$I$2:$I$201,MATCH($B3237,Summary!$A$2:$A$201,0))</f>
        <v>2</v>
      </c>
      <c r="N3237" s="0" t="n">
        <f aca="false">INDEX(Summary!$J$2:$J$201,MATCH($B3237,Summary!$A$2:$A$201,0))</f>
        <v>3</v>
      </c>
      <c r="O3237" s="2" t="n">
        <f aca="false">INDEX(Summary!$K$2:$K$201,MATCH($B3237,Summary!$A$2:$A$201,0))</f>
        <v>10.77</v>
      </c>
      <c r="P3237" s="3" t="n">
        <f aca="false">INDEX(Summary!$L$2:$L$201,MATCH($B3237,Summary!$A$2:$A$201,0))</f>
        <v>5</v>
      </c>
      <c r="Q3237" s="3" t="n">
        <f aca="false">INDEX(Summary!$M$2:$M$201,MATCH($B3237,Summary!$A$2:$A$201,0))</f>
        <v>1</v>
      </c>
      <c r="R3237" s="2" t="n">
        <f aca="false">INDEX(Summary!$N$2:$N$201,MATCH($B3237,Summary!$A$2:$A$201,0))</f>
        <v>12.23</v>
      </c>
      <c r="S3237" s="3" t="n">
        <f aca="false">INDEX(Summary!$O$2:$O$201,MATCH($B3237,Summary!$A$2:$A$201,0))</f>
        <v>8</v>
      </c>
      <c r="T3237" s="3" t="n">
        <f aca="false">INDEX(Summary!$P$2:$P$201,MATCH($B3237,Summary!$A$2:$A$201,0))</f>
        <v>1</v>
      </c>
      <c r="U3237" s="2" t="n">
        <f aca="false">INDEX(Summary!$Q$2:$Q$201,MATCH($B3237,Summary!$A$2:$A$201,0))</f>
        <v>11.75</v>
      </c>
      <c r="V3237" s="2" t="n">
        <f aca="false">INDEX(Summary!$R$2:$R$201,MATCH($B3237,Summary!$A$2:$A$201,0))</f>
        <v>25.53</v>
      </c>
      <c r="W3237" s="0" t="str">
        <f aca="false">INDEX(Summary!$S$2:$S$201,MATCH($B3237,Summary!$A$2:$A$201,0))</f>
        <v>Silver</v>
      </c>
      <c r="X3237" s="2" t="n">
        <f aca="false">INDEX(Summary!$T$2:$T$201,MATCH($B3237,Summary!$A$2:$A$201,0))</f>
        <v>62.27</v>
      </c>
      <c r="Y3237" s="0" t="str">
        <f aca="false">INDEX('Reward Model'!$E$18:$E$37,MATCH($E3237,'Reward Model'!$A$18:$A$37,0))</f>
        <v>High</v>
      </c>
      <c r="Z3237" s="4" t="n">
        <f aca="false">ROUND(MIN(1,MAX('Reward Model'!$B$2,INDEX('Reward Model'!$C$12:$C$14,MATCH($K3237,'Reward Model'!$A$12:$A$14,0))/$J3237)),3)</f>
        <v>0.901</v>
      </c>
      <c r="AA3237" s="2" t="n">
        <f aca="false">IF($I3237="Correct",ROUND(INDEX('Reward Model'!$B$12:$B$14,MATCH($K3237,'Reward Model'!$A$12:$A$14,0))*Z3237,2),0)</f>
        <v>2.7</v>
      </c>
      <c r="AB3237" s="2" t="n">
        <f aca="false">IF($I3237="Correct",ROUND(INDEX('Reward Model'!$B$12:$B$14,MATCH($Y3237,'Reward Model'!$A$12:$A$14,0))*Z3237,2),0)</f>
        <v>2.7</v>
      </c>
    </row>
    <row r="3238" customFormat="false" ht="15" hidden="false" customHeight="false" outlineLevel="0" collapsed="false">
      <c r="A3238" s="0" t="s">
        <v>454</v>
      </c>
      <c r="B3238" s="0" t="s">
        <v>455</v>
      </c>
      <c r="C3238" s="0" t="s">
        <v>322</v>
      </c>
      <c r="D3238" s="0" t="s">
        <v>189</v>
      </c>
      <c r="E3238" s="0" t="n">
        <v>17</v>
      </c>
      <c r="F3238" s="0" t="s">
        <v>74</v>
      </c>
      <c r="G3238" s="0" t="s">
        <v>75</v>
      </c>
      <c r="H3238" s="0" t="s">
        <v>75</v>
      </c>
      <c r="I3238" s="0" t="s">
        <v>34</v>
      </c>
      <c r="J3238" s="0" t="n">
        <v>2.44</v>
      </c>
      <c r="K3238" s="0" t="s">
        <v>73</v>
      </c>
      <c r="L3238" s="0" t="n">
        <f aca="false">INDEX(Summary!$F$2:$F$201,MATCH($B3238,Summary!$A$2:$A$201,0))</f>
        <v>20</v>
      </c>
      <c r="M3238" s="0" t="n">
        <f aca="false">INDEX(Summary!$I$2:$I$201,MATCH($B3238,Summary!$A$2:$A$201,0))</f>
        <v>2</v>
      </c>
      <c r="N3238" s="0" t="n">
        <f aca="false">INDEX(Summary!$J$2:$J$201,MATCH($B3238,Summary!$A$2:$A$201,0))</f>
        <v>3</v>
      </c>
      <c r="O3238" s="2" t="n">
        <f aca="false">INDEX(Summary!$K$2:$K$201,MATCH($B3238,Summary!$A$2:$A$201,0))</f>
        <v>10.77</v>
      </c>
      <c r="P3238" s="3" t="n">
        <f aca="false">INDEX(Summary!$L$2:$L$201,MATCH($B3238,Summary!$A$2:$A$201,0))</f>
        <v>5</v>
      </c>
      <c r="Q3238" s="3" t="n">
        <f aca="false">INDEX(Summary!$M$2:$M$201,MATCH($B3238,Summary!$A$2:$A$201,0))</f>
        <v>1</v>
      </c>
      <c r="R3238" s="2" t="n">
        <f aca="false">INDEX(Summary!$N$2:$N$201,MATCH($B3238,Summary!$A$2:$A$201,0))</f>
        <v>12.23</v>
      </c>
      <c r="S3238" s="3" t="n">
        <f aca="false">INDEX(Summary!$O$2:$O$201,MATCH($B3238,Summary!$A$2:$A$201,0))</f>
        <v>8</v>
      </c>
      <c r="T3238" s="3" t="n">
        <f aca="false">INDEX(Summary!$P$2:$P$201,MATCH($B3238,Summary!$A$2:$A$201,0))</f>
        <v>1</v>
      </c>
      <c r="U3238" s="2" t="n">
        <f aca="false">INDEX(Summary!$Q$2:$Q$201,MATCH($B3238,Summary!$A$2:$A$201,0))</f>
        <v>11.75</v>
      </c>
      <c r="V3238" s="2" t="n">
        <f aca="false">INDEX(Summary!$R$2:$R$201,MATCH($B3238,Summary!$A$2:$A$201,0))</f>
        <v>25.53</v>
      </c>
      <c r="W3238" s="0" t="str">
        <f aca="false">INDEX(Summary!$S$2:$S$201,MATCH($B3238,Summary!$A$2:$A$201,0))</f>
        <v>Silver</v>
      </c>
      <c r="X3238" s="2" t="n">
        <f aca="false">INDEX(Summary!$T$2:$T$201,MATCH($B3238,Summary!$A$2:$A$201,0))</f>
        <v>62.27</v>
      </c>
      <c r="Y3238" s="0" t="str">
        <f aca="false">INDEX('Reward Model'!$E$18:$E$37,MATCH($E3238,'Reward Model'!$A$18:$A$37,0))</f>
        <v>High</v>
      </c>
      <c r="Z3238" s="4" t="n">
        <f aca="false">ROUND(MIN(1,MAX('Reward Model'!$B$2,INDEX('Reward Model'!$C$12:$C$14,MATCH($K3238,'Reward Model'!$A$12:$A$14,0))/$J3238)),3)</f>
        <v>0.82</v>
      </c>
      <c r="AA3238" s="2" t="n">
        <f aca="false">IF($I3238="Correct",ROUND(INDEX('Reward Model'!$B$12:$B$14,MATCH($K3238,'Reward Model'!$A$12:$A$14,0))*Z3238,2),0)</f>
        <v>2.46</v>
      </c>
      <c r="AB3238" s="2" t="n">
        <f aca="false">IF($I3238="Correct",ROUND(INDEX('Reward Model'!$B$12:$B$14,MATCH($Y3238,'Reward Model'!$A$12:$A$14,0))*Z3238,2),0)</f>
        <v>2.46</v>
      </c>
    </row>
    <row r="3239" customFormat="false" ht="15" hidden="false" customHeight="false" outlineLevel="0" collapsed="false">
      <c r="A3239" s="0" t="s">
        <v>454</v>
      </c>
      <c r="B3239" s="0" t="s">
        <v>455</v>
      </c>
      <c r="C3239" s="0" t="s">
        <v>322</v>
      </c>
      <c r="D3239" s="0" t="s">
        <v>189</v>
      </c>
      <c r="E3239" s="0" t="n">
        <v>18</v>
      </c>
      <c r="F3239" s="0" t="s">
        <v>76</v>
      </c>
      <c r="G3239" s="0" t="s">
        <v>88</v>
      </c>
      <c r="H3239" s="0" t="s">
        <v>77</v>
      </c>
      <c r="I3239" s="0" t="s">
        <v>39</v>
      </c>
      <c r="J3239" s="0" t="n">
        <v>2.22</v>
      </c>
      <c r="K3239" s="0" t="s">
        <v>73</v>
      </c>
      <c r="L3239" s="0" t="n">
        <f aca="false">INDEX(Summary!$F$2:$F$201,MATCH($B3239,Summary!$A$2:$A$201,0))</f>
        <v>20</v>
      </c>
      <c r="M3239" s="0" t="n">
        <f aca="false">INDEX(Summary!$I$2:$I$201,MATCH($B3239,Summary!$A$2:$A$201,0))</f>
        <v>2</v>
      </c>
      <c r="N3239" s="0" t="n">
        <f aca="false">INDEX(Summary!$J$2:$J$201,MATCH($B3239,Summary!$A$2:$A$201,0))</f>
        <v>3</v>
      </c>
      <c r="O3239" s="2" t="n">
        <f aca="false">INDEX(Summary!$K$2:$K$201,MATCH($B3239,Summary!$A$2:$A$201,0))</f>
        <v>10.77</v>
      </c>
      <c r="P3239" s="3" t="n">
        <f aca="false">INDEX(Summary!$L$2:$L$201,MATCH($B3239,Summary!$A$2:$A$201,0))</f>
        <v>5</v>
      </c>
      <c r="Q3239" s="3" t="n">
        <f aca="false">INDEX(Summary!$M$2:$M$201,MATCH($B3239,Summary!$A$2:$A$201,0))</f>
        <v>1</v>
      </c>
      <c r="R3239" s="2" t="n">
        <f aca="false">INDEX(Summary!$N$2:$N$201,MATCH($B3239,Summary!$A$2:$A$201,0))</f>
        <v>12.23</v>
      </c>
      <c r="S3239" s="3" t="n">
        <f aca="false">INDEX(Summary!$O$2:$O$201,MATCH($B3239,Summary!$A$2:$A$201,0))</f>
        <v>8</v>
      </c>
      <c r="T3239" s="3" t="n">
        <f aca="false">INDEX(Summary!$P$2:$P$201,MATCH($B3239,Summary!$A$2:$A$201,0))</f>
        <v>1</v>
      </c>
      <c r="U3239" s="2" t="n">
        <f aca="false">INDEX(Summary!$Q$2:$Q$201,MATCH($B3239,Summary!$A$2:$A$201,0))</f>
        <v>11.75</v>
      </c>
      <c r="V3239" s="2" t="n">
        <f aca="false">INDEX(Summary!$R$2:$R$201,MATCH($B3239,Summary!$A$2:$A$201,0))</f>
        <v>25.53</v>
      </c>
      <c r="W3239" s="0" t="str">
        <f aca="false">INDEX(Summary!$S$2:$S$201,MATCH($B3239,Summary!$A$2:$A$201,0))</f>
        <v>Silver</v>
      </c>
      <c r="X3239" s="2" t="n">
        <f aca="false">INDEX(Summary!$T$2:$T$201,MATCH($B3239,Summary!$A$2:$A$201,0))</f>
        <v>62.27</v>
      </c>
      <c r="Y3239" s="0" t="str">
        <f aca="false">INDEX('Reward Model'!$E$18:$E$37,MATCH($E3239,'Reward Model'!$A$18:$A$37,0))</f>
        <v>High</v>
      </c>
      <c r="Z3239" s="4" t="n">
        <f aca="false">ROUND(MIN(1,MAX('Reward Model'!$B$2,INDEX('Reward Model'!$C$12:$C$14,MATCH($K3239,'Reward Model'!$A$12:$A$14,0))/$J3239)),3)</f>
        <v>0.901</v>
      </c>
      <c r="AA3239" s="2" t="n">
        <f aca="false">IF($I3239="Correct",ROUND(INDEX('Reward Model'!$B$12:$B$14,MATCH($K3239,'Reward Model'!$A$12:$A$14,0))*Z3239,2),0)</f>
        <v>0</v>
      </c>
      <c r="AB3239" s="2" t="n">
        <f aca="false">IF($I3239="Correct",ROUND(INDEX('Reward Model'!$B$12:$B$14,MATCH($Y3239,'Reward Model'!$A$12:$A$14,0))*Z3239,2),0)</f>
        <v>0</v>
      </c>
    </row>
    <row r="3240" customFormat="false" ht="15" hidden="false" customHeight="false" outlineLevel="0" collapsed="false">
      <c r="A3240" s="0" t="s">
        <v>454</v>
      </c>
      <c r="B3240" s="0" t="s">
        <v>455</v>
      </c>
      <c r="C3240" s="0" t="s">
        <v>322</v>
      </c>
      <c r="D3240" s="0" t="s">
        <v>189</v>
      </c>
      <c r="E3240" s="0" t="n">
        <v>19</v>
      </c>
      <c r="F3240" s="0" t="s">
        <v>78</v>
      </c>
      <c r="G3240" s="0" t="s">
        <v>132</v>
      </c>
      <c r="H3240" s="0" t="s">
        <v>80</v>
      </c>
      <c r="I3240" s="0" t="s">
        <v>39</v>
      </c>
      <c r="J3240" s="0" t="n">
        <v>2.04</v>
      </c>
      <c r="K3240" s="0" t="s">
        <v>73</v>
      </c>
      <c r="L3240" s="0" t="n">
        <f aca="false">INDEX(Summary!$F$2:$F$201,MATCH($B3240,Summary!$A$2:$A$201,0))</f>
        <v>20</v>
      </c>
      <c r="M3240" s="0" t="n">
        <f aca="false">INDEX(Summary!$I$2:$I$201,MATCH($B3240,Summary!$A$2:$A$201,0))</f>
        <v>2</v>
      </c>
      <c r="N3240" s="0" t="n">
        <f aca="false">INDEX(Summary!$J$2:$J$201,MATCH($B3240,Summary!$A$2:$A$201,0))</f>
        <v>3</v>
      </c>
      <c r="O3240" s="2" t="n">
        <f aca="false">INDEX(Summary!$K$2:$K$201,MATCH($B3240,Summary!$A$2:$A$201,0))</f>
        <v>10.77</v>
      </c>
      <c r="P3240" s="3" t="n">
        <f aca="false">INDEX(Summary!$L$2:$L$201,MATCH($B3240,Summary!$A$2:$A$201,0))</f>
        <v>5</v>
      </c>
      <c r="Q3240" s="3" t="n">
        <f aca="false">INDEX(Summary!$M$2:$M$201,MATCH($B3240,Summary!$A$2:$A$201,0))</f>
        <v>1</v>
      </c>
      <c r="R3240" s="2" t="n">
        <f aca="false">INDEX(Summary!$N$2:$N$201,MATCH($B3240,Summary!$A$2:$A$201,0))</f>
        <v>12.23</v>
      </c>
      <c r="S3240" s="3" t="n">
        <f aca="false">INDEX(Summary!$O$2:$O$201,MATCH($B3240,Summary!$A$2:$A$201,0))</f>
        <v>8</v>
      </c>
      <c r="T3240" s="3" t="n">
        <f aca="false">INDEX(Summary!$P$2:$P$201,MATCH($B3240,Summary!$A$2:$A$201,0))</f>
        <v>1</v>
      </c>
      <c r="U3240" s="2" t="n">
        <f aca="false">INDEX(Summary!$Q$2:$Q$201,MATCH($B3240,Summary!$A$2:$A$201,0))</f>
        <v>11.75</v>
      </c>
      <c r="V3240" s="2" t="n">
        <f aca="false">INDEX(Summary!$R$2:$R$201,MATCH($B3240,Summary!$A$2:$A$201,0))</f>
        <v>25.53</v>
      </c>
      <c r="W3240" s="0" t="str">
        <f aca="false">INDEX(Summary!$S$2:$S$201,MATCH($B3240,Summary!$A$2:$A$201,0))</f>
        <v>Silver</v>
      </c>
      <c r="X3240" s="2" t="n">
        <f aca="false">INDEX(Summary!$T$2:$T$201,MATCH($B3240,Summary!$A$2:$A$201,0))</f>
        <v>62.27</v>
      </c>
      <c r="Y3240" s="0" t="str">
        <f aca="false">INDEX('Reward Model'!$E$18:$E$37,MATCH($E3240,'Reward Model'!$A$18:$A$37,0))</f>
        <v>High</v>
      </c>
      <c r="Z3240" s="4" t="n">
        <f aca="false">ROUND(MIN(1,MAX('Reward Model'!$B$2,INDEX('Reward Model'!$C$12:$C$14,MATCH($K3240,'Reward Model'!$A$12:$A$14,0))/$J3240)),3)</f>
        <v>0.98</v>
      </c>
      <c r="AA3240" s="2" t="n">
        <f aca="false">IF($I3240="Correct",ROUND(INDEX('Reward Model'!$B$12:$B$14,MATCH($K3240,'Reward Model'!$A$12:$A$14,0))*Z3240,2),0)</f>
        <v>0</v>
      </c>
      <c r="AB3240" s="2" t="n">
        <f aca="false">IF($I3240="Correct",ROUND(INDEX('Reward Model'!$B$12:$B$14,MATCH($Y3240,'Reward Model'!$A$12:$A$14,0))*Z3240,2),0)</f>
        <v>0</v>
      </c>
    </row>
    <row r="3241" customFormat="false" ht="15" hidden="false" customHeight="false" outlineLevel="0" collapsed="false">
      <c r="A3241" s="0" t="s">
        <v>454</v>
      </c>
      <c r="B3241" s="0" t="s">
        <v>455</v>
      </c>
      <c r="C3241" s="0" t="s">
        <v>322</v>
      </c>
      <c r="D3241" s="0" t="s">
        <v>189</v>
      </c>
      <c r="E3241" s="0" t="n">
        <v>20</v>
      </c>
      <c r="F3241" s="0" t="s">
        <v>81</v>
      </c>
      <c r="G3241" s="0" t="s">
        <v>166</v>
      </c>
      <c r="H3241" s="0" t="s">
        <v>83</v>
      </c>
      <c r="I3241" s="0" t="s">
        <v>39</v>
      </c>
      <c r="J3241" s="0" t="n">
        <v>1.85</v>
      </c>
      <c r="K3241" s="0" t="s">
        <v>73</v>
      </c>
      <c r="L3241" s="0" t="n">
        <f aca="false">INDEX(Summary!$F$2:$F$201,MATCH($B3241,Summary!$A$2:$A$201,0))</f>
        <v>20</v>
      </c>
      <c r="M3241" s="0" t="n">
        <f aca="false">INDEX(Summary!$I$2:$I$201,MATCH($B3241,Summary!$A$2:$A$201,0))</f>
        <v>2</v>
      </c>
      <c r="N3241" s="0" t="n">
        <f aca="false">INDEX(Summary!$J$2:$J$201,MATCH($B3241,Summary!$A$2:$A$201,0))</f>
        <v>3</v>
      </c>
      <c r="O3241" s="2" t="n">
        <f aca="false">INDEX(Summary!$K$2:$K$201,MATCH($B3241,Summary!$A$2:$A$201,0))</f>
        <v>10.77</v>
      </c>
      <c r="P3241" s="3" t="n">
        <f aca="false">INDEX(Summary!$L$2:$L$201,MATCH($B3241,Summary!$A$2:$A$201,0))</f>
        <v>5</v>
      </c>
      <c r="Q3241" s="3" t="n">
        <f aca="false">INDEX(Summary!$M$2:$M$201,MATCH($B3241,Summary!$A$2:$A$201,0))</f>
        <v>1</v>
      </c>
      <c r="R3241" s="2" t="n">
        <f aca="false">INDEX(Summary!$N$2:$N$201,MATCH($B3241,Summary!$A$2:$A$201,0))</f>
        <v>12.23</v>
      </c>
      <c r="S3241" s="3" t="n">
        <f aca="false">INDEX(Summary!$O$2:$O$201,MATCH($B3241,Summary!$A$2:$A$201,0))</f>
        <v>8</v>
      </c>
      <c r="T3241" s="3" t="n">
        <f aca="false">INDEX(Summary!$P$2:$P$201,MATCH($B3241,Summary!$A$2:$A$201,0))</f>
        <v>1</v>
      </c>
      <c r="U3241" s="2" t="n">
        <f aca="false">INDEX(Summary!$Q$2:$Q$201,MATCH($B3241,Summary!$A$2:$A$201,0))</f>
        <v>11.75</v>
      </c>
      <c r="V3241" s="2" t="n">
        <f aca="false">INDEX(Summary!$R$2:$R$201,MATCH($B3241,Summary!$A$2:$A$201,0))</f>
        <v>25.53</v>
      </c>
      <c r="W3241" s="0" t="str">
        <f aca="false">INDEX(Summary!$S$2:$S$201,MATCH($B3241,Summary!$A$2:$A$201,0))</f>
        <v>Silver</v>
      </c>
      <c r="X3241" s="2" t="n">
        <f aca="false">INDEX(Summary!$T$2:$T$201,MATCH($B3241,Summary!$A$2:$A$201,0))</f>
        <v>62.27</v>
      </c>
      <c r="Y3241" s="0" t="str">
        <f aca="false">INDEX('Reward Model'!$E$18:$E$37,MATCH($E3241,'Reward Model'!$A$18:$A$37,0))</f>
        <v>High</v>
      </c>
      <c r="Z3241" s="4" t="n">
        <f aca="false">ROUND(MIN(1,MAX('Reward Model'!$B$2,INDEX('Reward Model'!$C$12:$C$14,MATCH($K3241,'Reward Model'!$A$12:$A$14,0))/$J3241)),3)</f>
        <v>1</v>
      </c>
      <c r="AA3241" s="2" t="n">
        <f aca="false">IF($I3241="Correct",ROUND(INDEX('Reward Model'!$B$12:$B$14,MATCH($K3241,'Reward Model'!$A$12:$A$14,0))*Z3241,2),0)</f>
        <v>0</v>
      </c>
      <c r="AB3241" s="2" t="n">
        <f aca="false">IF($I3241="Correct",ROUND(INDEX('Reward Model'!$B$12:$B$14,MATCH($Y3241,'Reward Model'!$A$12:$A$14,0))*Z3241,2),0)</f>
        <v>0</v>
      </c>
    </row>
    <row r="3242" customFormat="false" ht="15" hidden="false" customHeight="false" outlineLevel="0" collapsed="false">
      <c r="A3242" s="0" t="s">
        <v>456</v>
      </c>
      <c r="B3242" s="0" t="s">
        <v>457</v>
      </c>
      <c r="C3242" s="0" t="s">
        <v>322</v>
      </c>
      <c r="D3242" s="0" t="s">
        <v>189</v>
      </c>
      <c r="E3242" s="0" t="n">
        <v>1</v>
      </c>
      <c r="F3242" s="0" t="s">
        <v>32</v>
      </c>
      <c r="G3242" s="0" t="s">
        <v>33</v>
      </c>
      <c r="H3242" s="0" t="s">
        <v>33</v>
      </c>
      <c r="I3242" s="0" t="s">
        <v>34</v>
      </c>
      <c r="J3242" s="0" t="n">
        <v>1.15</v>
      </c>
      <c r="K3242" s="0" t="s">
        <v>35</v>
      </c>
      <c r="L3242" s="0" t="n">
        <f aca="false">INDEX(Summary!$F$2:$F$201,MATCH($B3242,Summary!$A$2:$A$201,0))</f>
        <v>20</v>
      </c>
      <c r="M3242" s="0" t="n">
        <f aca="false">INDEX(Summary!$I$2:$I$201,MATCH($B3242,Summary!$A$2:$A$201,0))</f>
        <v>1</v>
      </c>
      <c r="N3242" s="0" t="n">
        <f aca="false">INDEX(Summary!$J$2:$J$201,MATCH($B3242,Summary!$A$2:$A$201,0))</f>
        <v>4</v>
      </c>
      <c r="O3242" s="2" t="n">
        <f aca="false">INDEX(Summary!$K$2:$K$201,MATCH($B3242,Summary!$A$2:$A$201,0))</f>
        <v>9.67</v>
      </c>
      <c r="P3242" s="3" t="n">
        <f aca="false">INDEX(Summary!$L$2:$L$201,MATCH($B3242,Summary!$A$2:$A$201,0))</f>
        <v>4</v>
      </c>
      <c r="Q3242" s="3" t="n">
        <f aca="false">INDEX(Summary!$M$2:$M$201,MATCH($B3242,Summary!$A$2:$A$201,0))</f>
        <v>2</v>
      </c>
      <c r="R3242" s="2" t="n">
        <f aca="false">INDEX(Summary!$N$2:$N$201,MATCH($B3242,Summary!$A$2:$A$201,0))</f>
        <v>11.33</v>
      </c>
      <c r="S3242" s="3" t="n">
        <f aca="false">INDEX(Summary!$O$2:$O$201,MATCH($B3242,Summary!$A$2:$A$201,0))</f>
        <v>7</v>
      </c>
      <c r="T3242" s="3" t="n">
        <f aca="false">INDEX(Summary!$P$2:$P$201,MATCH($B3242,Summary!$A$2:$A$201,0))</f>
        <v>2</v>
      </c>
      <c r="U3242" s="2" t="n">
        <f aca="false">INDEX(Summary!$Q$2:$Q$201,MATCH($B3242,Summary!$A$2:$A$201,0))</f>
        <v>12.06</v>
      </c>
      <c r="V3242" s="2" t="n">
        <f aca="false">INDEX(Summary!$R$2:$R$201,MATCH($B3242,Summary!$A$2:$A$201,0))</f>
        <v>19.9</v>
      </c>
      <c r="W3242" s="0" t="str">
        <f aca="false">INDEX(Summary!$S$2:$S$201,MATCH($B3242,Summary!$A$2:$A$201,0))</f>
        <v>Bronze</v>
      </c>
      <c r="X3242" s="2" t="n">
        <f aca="false">INDEX(Summary!$T$2:$T$201,MATCH($B3242,Summary!$A$2:$A$201,0))</f>
        <v>48.54</v>
      </c>
      <c r="Y3242" s="0" t="str">
        <f aca="false">INDEX('Reward Model'!$E$18:$E$37,MATCH($E3242,'Reward Model'!$A$18:$A$37,0))</f>
        <v>Medium</v>
      </c>
      <c r="Z3242" s="4" t="n">
        <f aca="false">ROUND(MIN(1,MAX('Reward Model'!$B$2,INDEX('Reward Model'!$C$12:$C$14,MATCH($K3242,'Reward Model'!$A$12:$A$14,0))/$J3242)),3)</f>
        <v>1</v>
      </c>
      <c r="AA3242" s="2" t="n">
        <f aca="false">IF($I3242="Correct",ROUND(INDEX('Reward Model'!$B$12:$B$14,MATCH($K3242,'Reward Model'!$A$12:$A$14,0))*Z3242,2),0)</f>
        <v>1</v>
      </c>
      <c r="AB3242" s="2" t="n">
        <f aca="false">IF($I3242="Correct",ROUND(INDEX('Reward Model'!$B$12:$B$14,MATCH($Y3242,'Reward Model'!$A$12:$A$14,0))*Z3242,2),0)</f>
        <v>2</v>
      </c>
    </row>
    <row r="3243" customFormat="false" ht="15" hidden="false" customHeight="false" outlineLevel="0" collapsed="false">
      <c r="A3243" s="0" t="s">
        <v>456</v>
      </c>
      <c r="B3243" s="0" t="s">
        <v>457</v>
      </c>
      <c r="C3243" s="0" t="s">
        <v>322</v>
      </c>
      <c r="D3243" s="0" t="s">
        <v>189</v>
      </c>
      <c r="E3243" s="0" t="n">
        <v>2</v>
      </c>
      <c r="F3243" s="0" t="s">
        <v>36</v>
      </c>
      <c r="G3243" s="0" t="s">
        <v>38</v>
      </c>
      <c r="H3243" s="0" t="s">
        <v>38</v>
      </c>
      <c r="I3243" s="0" t="s">
        <v>34</v>
      </c>
      <c r="J3243" s="0" t="n">
        <v>1.87</v>
      </c>
      <c r="K3243" s="0" t="s">
        <v>35</v>
      </c>
      <c r="L3243" s="0" t="n">
        <f aca="false">INDEX(Summary!$F$2:$F$201,MATCH($B3243,Summary!$A$2:$A$201,0))</f>
        <v>20</v>
      </c>
      <c r="M3243" s="0" t="n">
        <f aca="false">INDEX(Summary!$I$2:$I$201,MATCH($B3243,Summary!$A$2:$A$201,0))</f>
        <v>1</v>
      </c>
      <c r="N3243" s="0" t="n">
        <f aca="false">INDEX(Summary!$J$2:$J$201,MATCH($B3243,Summary!$A$2:$A$201,0))</f>
        <v>4</v>
      </c>
      <c r="O3243" s="2" t="n">
        <f aca="false">INDEX(Summary!$K$2:$K$201,MATCH($B3243,Summary!$A$2:$A$201,0))</f>
        <v>9.67</v>
      </c>
      <c r="P3243" s="3" t="n">
        <f aca="false">INDEX(Summary!$L$2:$L$201,MATCH($B3243,Summary!$A$2:$A$201,0))</f>
        <v>4</v>
      </c>
      <c r="Q3243" s="3" t="n">
        <f aca="false">INDEX(Summary!$M$2:$M$201,MATCH($B3243,Summary!$A$2:$A$201,0))</f>
        <v>2</v>
      </c>
      <c r="R3243" s="2" t="n">
        <f aca="false">INDEX(Summary!$N$2:$N$201,MATCH($B3243,Summary!$A$2:$A$201,0))</f>
        <v>11.33</v>
      </c>
      <c r="S3243" s="3" t="n">
        <f aca="false">INDEX(Summary!$O$2:$O$201,MATCH($B3243,Summary!$A$2:$A$201,0))</f>
        <v>7</v>
      </c>
      <c r="T3243" s="3" t="n">
        <f aca="false">INDEX(Summary!$P$2:$P$201,MATCH($B3243,Summary!$A$2:$A$201,0))</f>
        <v>2</v>
      </c>
      <c r="U3243" s="2" t="n">
        <f aca="false">INDEX(Summary!$Q$2:$Q$201,MATCH($B3243,Summary!$A$2:$A$201,0))</f>
        <v>12.06</v>
      </c>
      <c r="V3243" s="2" t="n">
        <f aca="false">INDEX(Summary!$R$2:$R$201,MATCH($B3243,Summary!$A$2:$A$201,0))</f>
        <v>19.9</v>
      </c>
      <c r="W3243" s="0" t="str">
        <f aca="false">INDEX(Summary!$S$2:$S$201,MATCH($B3243,Summary!$A$2:$A$201,0))</f>
        <v>Bronze</v>
      </c>
      <c r="X3243" s="2" t="n">
        <f aca="false">INDEX(Summary!$T$2:$T$201,MATCH($B3243,Summary!$A$2:$A$201,0))</f>
        <v>48.54</v>
      </c>
      <c r="Y3243" s="0" t="str">
        <f aca="false">INDEX('Reward Model'!$E$18:$E$37,MATCH($E3243,'Reward Model'!$A$18:$A$37,0))</f>
        <v>Low</v>
      </c>
      <c r="Z3243" s="4" t="n">
        <f aca="false">ROUND(MIN(1,MAX('Reward Model'!$B$2,INDEX('Reward Model'!$C$12:$C$14,MATCH($K3243,'Reward Model'!$A$12:$A$14,0))/$J3243)),3)</f>
        <v>0.802</v>
      </c>
      <c r="AA3243" s="2" t="n">
        <f aca="false">IF($I3243="Correct",ROUND(INDEX('Reward Model'!$B$12:$B$14,MATCH($K3243,'Reward Model'!$A$12:$A$14,0))*Z3243,2),0)</f>
        <v>0.8</v>
      </c>
      <c r="AB3243" s="2" t="n">
        <f aca="false">IF($I3243="Correct",ROUND(INDEX('Reward Model'!$B$12:$B$14,MATCH($Y3243,'Reward Model'!$A$12:$A$14,0))*Z3243,2),0)</f>
        <v>0.8</v>
      </c>
    </row>
    <row r="3244" customFormat="false" ht="15" hidden="false" customHeight="false" outlineLevel="0" collapsed="false">
      <c r="A3244" s="0" t="s">
        <v>456</v>
      </c>
      <c r="B3244" s="0" t="s">
        <v>457</v>
      </c>
      <c r="C3244" s="0" t="s">
        <v>322</v>
      </c>
      <c r="D3244" s="0" t="s">
        <v>189</v>
      </c>
      <c r="E3244" s="0" t="n">
        <v>3</v>
      </c>
      <c r="F3244" s="0" t="s">
        <v>40</v>
      </c>
      <c r="G3244" s="0" t="s">
        <v>123</v>
      </c>
      <c r="H3244" s="0" t="s">
        <v>42</v>
      </c>
      <c r="I3244" s="0" t="s">
        <v>39</v>
      </c>
      <c r="J3244" s="0" t="n">
        <v>1.19</v>
      </c>
      <c r="K3244" s="0" t="s">
        <v>35</v>
      </c>
      <c r="L3244" s="0" t="n">
        <f aca="false">INDEX(Summary!$F$2:$F$201,MATCH($B3244,Summary!$A$2:$A$201,0))</f>
        <v>20</v>
      </c>
      <c r="M3244" s="0" t="n">
        <f aca="false">INDEX(Summary!$I$2:$I$201,MATCH($B3244,Summary!$A$2:$A$201,0))</f>
        <v>1</v>
      </c>
      <c r="N3244" s="0" t="n">
        <f aca="false">INDEX(Summary!$J$2:$J$201,MATCH($B3244,Summary!$A$2:$A$201,0))</f>
        <v>4</v>
      </c>
      <c r="O3244" s="2" t="n">
        <f aca="false">INDEX(Summary!$K$2:$K$201,MATCH($B3244,Summary!$A$2:$A$201,0))</f>
        <v>9.67</v>
      </c>
      <c r="P3244" s="3" t="n">
        <f aca="false">INDEX(Summary!$L$2:$L$201,MATCH($B3244,Summary!$A$2:$A$201,0))</f>
        <v>4</v>
      </c>
      <c r="Q3244" s="3" t="n">
        <f aca="false">INDEX(Summary!$M$2:$M$201,MATCH($B3244,Summary!$A$2:$A$201,0))</f>
        <v>2</v>
      </c>
      <c r="R3244" s="2" t="n">
        <f aca="false">INDEX(Summary!$N$2:$N$201,MATCH($B3244,Summary!$A$2:$A$201,0))</f>
        <v>11.33</v>
      </c>
      <c r="S3244" s="3" t="n">
        <f aca="false">INDEX(Summary!$O$2:$O$201,MATCH($B3244,Summary!$A$2:$A$201,0))</f>
        <v>7</v>
      </c>
      <c r="T3244" s="3" t="n">
        <f aca="false">INDEX(Summary!$P$2:$P$201,MATCH($B3244,Summary!$A$2:$A$201,0))</f>
        <v>2</v>
      </c>
      <c r="U3244" s="2" t="n">
        <f aca="false">INDEX(Summary!$Q$2:$Q$201,MATCH($B3244,Summary!$A$2:$A$201,0))</f>
        <v>12.06</v>
      </c>
      <c r="V3244" s="2" t="n">
        <f aca="false">INDEX(Summary!$R$2:$R$201,MATCH($B3244,Summary!$A$2:$A$201,0))</f>
        <v>19.9</v>
      </c>
      <c r="W3244" s="0" t="str">
        <f aca="false">INDEX(Summary!$S$2:$S$201,MATCH($B3244,Summary!$A$2:$A$201,0))</f>
        <v>Bronze</v>
      </c>
      <c r="X3244" s="2" t="n">
        <f aca="false">INDEX(Summary!$T$2:$T$201,MATCH($B3244,Summary!$A$2:$A$201,0))</f>
        <v>48.54</v>
      </c>
      <c r="Y3244" s="0" t="str">
        <f aca="false">INDEX('Reward Model'!$E$18:$E$37,MATCH($E3244,'Reward Model'!$A$18:$A$37,0))</f>
        <v>Medium</v>
      </c>
      <c r="Z3244" s="4" t="n">
        <f aca="false">ROUND(MIN(1,MAX('Reward Model'!$B$2,INDEX('Reward Model'!$C$12:$C$14,MATCH($K3244,'Reward Model'!$A$12:$A$14,0))/$J3244)),3)</f>
        <v>1</v>
      </c>
      <c r="AA3244" s="2" t="n">
        <f aca="false">IF($I3244="Correct",ROUND(INDEX('Reward Model'!$B$12:$B$14,MATCH($K3244,'Reward Model'!$A$12:$A$14,0))*Z3244,2),0)</f>
        <v>0</v>
      </c>
      <c r="AB3244" s="2" t="n">
        <f aca="false">IF($I3244="Correct",ROUND(INDEX('Reward Model'!$B$12:$B$14,MATCH($Y3244,'Reward Model'!$A$12:$A$14,0))*Z3244,2),0)</f>
        <v>0</v>
      </c>
    </row>
    <row r="3245" customFormat="false" ht="15" hidden="false" customHeight="false" outlineLevel="0" collapsed="false">
      <c r="A3245" s="0" t="s">
        <v>456</v>
      </c>
      <c r="B3245" s="0" t="s">
        <v>457</v>
      </c>
      <c r="C3245" s="0" t="s">
        <v>322</v>
      </c>
      <c r="D3245" s="0" t="s">
        <v>189</v>
      </c>
      <c r="E3245" s="0" t="n">
        <v>4</v>
      </c>
      <c r="F3245" s="0" t="s">
        <v>43</v>
      </c>
      <c r="G3245" s="0" t="s">
        <v>45</v>
      </c>
      <c r="H3245" s="0" t="s">
        <v>45</v>
      </c>
      <c r="I3245" s="0" t="s">
        <v>34</v>
      </c>
      <c r="J3245" s="0" t="n">
        <v>1.27</v>
      </c>
      <c r="K3245" s="0" t="s">
        <v>35</v>
      </c>
      <c r="L3245" s="0" t="n">
        <f aca="false">INDEX(Summary!$F$2:$F$201,MATCH($B3245,Summary!$A$2:$A$201,0))</f>
        <v>20</v>
      </c>
      <c r="M3245" s="0" t="n">
        <f aca="false">INDEX(Summary!$I$2:$I$201,MATCH($B3245,Summary!$A$2:$A$201,0))</f>
        <v>1</v>
      </c>
      <c r="N3245" s="0" t="n">
        <f aca="false">INDEX(Summary!$J$2:$J$201,MATCH($B3245,Summary!$A$2:$A$201,0))</f>
        <v>4</v>
      </c>
      <c r="O3245" s="2" t="n">
        <f aca="false">INDEX(Summary!$K$2:$K$201,MATCH($B3245,Summary!$A$2:$A$201,0))</f>
        <v>9.67</v>
      </c>
      <c r="P3245" s="3" t="n">
        <f aca="false">INDEX(Summary!$L$2:$L$201,MATCH($B3245,Summary!$A$2:$A$201,0))</f>
        <v>4</v>
      </c>
      <c r="Q3245" s="3" t="n">
        <f aca="false">INDEX(Summary!$M$2:$M$201,MATCH($B3245,Summary!$A$2:$A$201,0))</f>
        <v>2</v>
      </c>
      <c r="R3245" s="2" t="n">
        <f aca="false">INDEX(Summary!$N$2:$N$201,MATCH($B3245,Summary!$A$2:$A$201,0))</f>
        <v>11.33</v>
      </c>
      <c r="S3245" s="3" t="n">
        <f aca="false">INDEX(Summary!$O$2:$O$201,MATCH($B3245,Summary!$A$2:$A$201,0))</f>
        <v>7</v>
      </c>
      <c r="T3245" s="3" t="n">
        <f aca="false">INDEX(Summary!$P$2:$P$201,MATCH($B3245,Summary!$A$2:$A$201,0))</f>
        <v>2</v>
      </c>
      <c r="U3245" s="2" t="n">
        <f aca="false">INDEX(Summary!$Q$2:$Q$201,MATCH($B3245,Summary!$A$2:$A$201,0))</f>
        <v>12.06</v>
      </c>
      <c r="V3245" s="2" t="n">
        <f aca="false">INDEX(Summary!$R$2:$R$201,MATCH($B3245,Summary!$A$2:$A$201,0))</f>
        <v>19.9</v>
      </c>
      <c r="W3245" s="0" t="str">
        <f aca="false">INDEX(Summary!$S$2:$S$201,MATCH($B3245,Summary!$A$2:$A$201,0))</f>
        <v>Bronze</v>
      </c>
      <c r="X3245" s="2" t="n">
        <f aca="false">INDEX(Summary!$T$2:$T$201,MATCH($B3245,Summary!$A$2:$A$201,0))</f>
        <v>48.54</v>
      </c>
      <c r="Y3245" s="0" t="str">
        <f aca="false">INDEX('Reward Model'!$E$18:$E$37,MATCH($E3245,'Reward Model'!$A$18:$A$37,0))</f>
        <v>Low</v>
      </c>
      <c r="Z3245" s="4" t="n">
        <f aca="false">ROUND(MIN(1,MAX('Reward Model'!$B$2,INDEX('Reward Model'!$C$12:$C$14,MATCH($K3245,'Reward Model'!$A$12:$A$14,0))/$J3245)),3)</f>
        <v>1</v>
      </c>
      <c r="AA3245" s="2" t="n">
        <f aca="false">IF($I3245="Correct",ROUND(INDEX('Reward Model'!$B$12:$B$14,MATCH($K3245,'Reward Model'!$A$12:$A$14,0))*Z3245,2),0)</f>
        <v>1</v>
      </c>
      <c r="AB3245" s="2" t="n">
        <f aca="false">IF($I3245="Correct",ROUND(INDEX('Reward Model'!$B$12:$B$14,MATCH($Y3245,'Reward Model'!$A$12:$A$14,0))*Z3245,2),0)</f>
        <v>1</v>
      </c>
    </row>
    <row r="3246" customFormat="false" ht="15" hidden="false" customHeight="false" outlineLevel="0" collapsed="false">
      <c r="A3246" s="0" t="s">
        <v>456</v>
      </c>
      <c r="B3246" s="0" t="s">
        <v>457</v>
      </c>
      <c r="C3246" s="0" t="s">
        <v>322</v>
      </c>
      <c r="D3246" s="0" t="s">
        <v>189</v>
      </c>
      <c r="E3246" s="0" t="n">
        <v>5</v>
      </c>
      <c r="F3246" s="0" t="s">
        <v>46</v>
      </c>
      <c r="G3246" s="0" t="s">
        <v>47</v>
      </c>
      <c r="H3246" s="0" t="s">
        <v>47</v>
      </c>
      <c r="I3246" s="0" t="s">
        <v>34</v>
      </c>
      <c r="J3246" s="0" t="n">
        <v>1.79</v>
      </c>
      <c r="K3246" s="0" t="s">
        <v>35</v>
      </c>
      <c r="L3246" s="0" t="n">
        <f aca="false">INDEX(Summary!$F$2:$F$201,MATCH($B3246,Summary!$A$2:$A$201,0))</f>
        <v>20</v>
      </c>
      <c r="M3246" s="0" t="n">
        <f aca="false">INDEX(Summary!$I$2:$I$201,MATCH($B3246,Summary!$A$2:$A$201,0))</f>
        <v>1</v>
      </c>
      <c r="N3246" s="0" t="n">
        <f aca="false">INDEX(Summary!$J$2:$J$201,MATCH($B3246,Summary!$A$2:$A$201,0))</f>
        <v>4</v>
      </c>
      <c r="O3246" s="2" t="n">
        <f aca="false">INDEX(Summary!$K$2:$K$201,MATCH($B3246,Summary!$A$2:$A$201,0))</f>
        <v>9.67</v>
      </c>
      <c r="P3246" s="3" t="n">
        <f aca="false">INDEX(Summary!$L$2:$L$201,MATCH($B3246,Summary!$A$2:$A$201,0))</f>
        <v>4</v>
      </c>
      <c r="Q3246" s="3" t="n">
        <f aca="false">INDEX(Summary!$M$2:$M$201,MATCH($B3246,Summary!$A$2:$A$201,0))</f>
        <v>2</v>
      </c>
      <c r="R3246" s="2" t="n">
        <f aca="false">INDEX(Summary!$N$2:$N$201,MATCH($B3246,Summary!$A$2:$A$201,0))</f>
        <v>11.33</v>
      </c>
      <c r="S3246" s="3" t="n">
        <f aca="false">INDEX(Summary!$O$2:$O$201,MATCH($B3246,Summary!$A$2:$A$201,0))</f>
        <v>7</v>
      </c>
      <c r="T3246" s="3" t="n">
        <f aca="false">INDEX(Summary!$P$2:$P$201,MATCH($B3246,Summary!$A$2:$A$201,0))</f>
        <v>2</v>
      </c>
      <c r="U3246" s="2" t="n">
        <f aca="false">INDEX(Summary!$Q$2:$Q$201,MATCH($B3246,Summary!$A$2:$A$201,0))</f>
        <v>12.06</v>
      </c>
      <c r="V3246" s="2" t="n">
        <f aca="false">INDEX(Summary!$R$2:$R$201,MATCH($B3246,Summary!$A$2:$A$201,0))</f>
        <v>19.9</v>
      </c>
      <c r="W3246" s="0" t="str">
        <f aca="false">INDEX(Summary!$S$2:$S$201,MATCH($B3246,Summary!$A$2:$A$201,0))</f>
        <v>Bronze</v>
      </c>
      <c r="X3246" s="2" t="n">
        <f aca="false">INDEX(Summary!$T$2:$T$201,MATCH($B3246,Summary!$A$2:$A$201,0))</f>
        <v>48.54</v>
      </c>
      <c r="Y3246" s="0" t="str">
        <f aca="false">INDEX('Reward Model'!$E$18:$E$37,MATCH($E3246,'Reward Model'!$A$18:$A$37,0))</f>
        <v>Low</v>
      </c>
      <c r="Z3246" s="4" t="n">
        <f aca="false">ROUND(MIN(1,MAX('Reward Model'!$B$2,INDEX('Reward Model'!$C$12:$C$14,MATCH($K3246,'Reward Model'!$A$12:$A$14,0))/$J3246)),3)</f>
        <v>0.838</v>
      </c>
      <c r="AA3246" s="2" t="n">
        <f aca="false">IF($I3246="Correct",ROUND(INDEX('Reward Model'!$B$12:$B$14,MATCH($K3246,'Reward Model'!$A$12:$A$14,0))*Z3246,2),0)</f>
        <v>0.84</v>
      </c>
      <c r="AB3246" s="2" t="n">
        <f aca="false">IF($I3246="Correct",ROUND(INDEX('Reward Model'!$B$12:$B$14,MATCH($Y3246,'Reward Model'!$A$12:$A$14,0))*Z3246,2),0)</f>
        <v>0.84</v>
      </c>
    </row>
    <row r="3247" customFormat="false" ht="15" hidden="false" customHeight="false" outlineLevel="0" collapsed="false">
      <c r="A3247" s="0" t="s">
        <v>456</v>
      </c>
      <c r="B3247" s="0" t="s">
        <v>457</v>
      </c>
      <c r="C3247" s="0" t="s">
        <v>322</v>
      </c>
      <c r="D3247" s="0" t="s">
        <v>189</v>
      </c>
      <c r="E3247" s="0" t="n">
        <v>6</v>
      </c>
      <c r="F3247" s="0" t="s">
        <v>48</v>
      </c>
      <c r="G3247" s="0" t="s">
        <v>116</v>
      </c>
      <c r="H3247" s="0" t="s">
        <v>49</v>
      </c>
      <c r="I3247" s="0" t="s">
        <v>39</v>
      </c>
      <c r="J3247" s="0" t="n">
        <v>1.07</v>
      </c>
      <c r="K3247" s="0" t="s">
        <v>35</v>
      </c>
      <c r="L3247" s="0" t="n">
        <f aca="false">INDEX(Summary!$F$2:$F$201,MATCH($B3247,Summary!$A$2:$A$201,0))</f>
        <v>20</v>
      </c>
      <c r="M3247" s="0" t="n">
        <f aca="false">INDEX(Summary!$I$2:$I$201,MATCH($B3247,Summary!$A$2:$A$201,0))</f>
        <v>1</v>
      </c>
      <c r="N3247" s="0" t="n">
        <f aca="false">INDEX(Summary!$J$2:$J$201,MATCH($B3247,Summary!$A$2:$A$201,0))</f>
        <v>4</v>
      </c>
      <c r="O3247" s="2" t="n">
        <f aca="false">INDEX(Summary!$K$2:$K$201,MATCH($B3247,Summary!$A$2:$A$201,0))</f>
        <v>9.67</v>
      </c>
      <c r="P3247" s="3" t="n">
        <f aca="false">INDEX(Summary!$L$2:$L$201,MATCH($B3247,Summary!$A$2:$A$201,0))</f>
        <v>4</v>
      </c>
      <c r="Q3247" s="3" t="n">
        <f aca="false">INDEX(Summary!$M$2:$M$201,MATCH($B3247,Summary!$A$2:$A$201,0))</f>
        <v>2</v>
      </c>
      <c r="R3247" s="2" t="n">
        <f aca="false">INDEX(Summary!$N$2:$N$201,MATCH($B3247,Summary!$A$2:$A$201,0))</f>
        <v>11.33</v>
      </c>
      <c r="S3247" s="3" t="n">
        <f aca="false">INDEX(Summary!$O$2:$O$201,MATCH($B3247,Summary!$A$2:$A$201,0))</f>
        <v>7</v>
      </c>
      <c r="T3247" s="3" t="n">
        <f aca="false">INDEX(Summary!$P$2:$P$201,MATCH($B3247,Summary!$A$2:$A$201,0))</f>
        <v>2</v>
      </c>
      <c r="U3247" s="2" t="n">
        <f aca="false">INDEX(Summary!$Q$2:$Q$201,MATCH($B3247,Summary!$A$2:$A$201,0))</f>
        <v>12.06</v>
      </c>
      <c r="V3247" s="2" t="n">
        <f aca="false">INDEX(Summary!$R$2:$R$201,MATCH($B3247,Summary!$A$2:$A$201,0))</f>
        <v>19.9</v>
      </c>
      <c r="W3247" s="0" t="str">
        <f aca="false">INDEX(Summary!$S$2:$S$201,MATCH($B3247,Summary!$A$2:$A$201,0))</f>
        <v>Bronze</v>
      </c>
      <c r="X3247" s="2" t="n">
        <f aca="false">INDEX(Summary!$T$2:$T$201,MATCH($B3247,Summary!$A$2:$A$201,0))</f>
        <v>48.54</v>
      </c>
      <c r="Y3247" s="0" t="str">
        <f aca="false">INDEX('Reward Model'!$E$18:$E$37,MATCH($E3247,'Reward Model'!$A$18:$A$37,0))</f>
        <v>Medium</v>
      </c>
      <c r="Z3247" s="4" t="n">
        <f aca="false">ROUND(MIN(1,MAX('Reward Model'!$B$2,INDEX('Reward Model'!$C$12:$C$14,MATCH($K3247,'Reward Model'!$A$12:$A$14,0))/$J3247)),3)</f>
        <v>1</v>
      </c>
      <c r="AA3247" s="2" t="n">
        <f aca="false">IF($I3247="Correct",ROUND(INDEX('Reward Model'!$B$12:$B$14,MATCH($K3247,'Reward Model'!$A$12:$A$14,0))*Z3247,2),0)</f>
        <v>0</v>
      </c>
      <c r="AB3247" s="2" t="n">
        <f aca="false">IF($I3247="Correct",ROUND(INDEX('Reward Model'!$B$12:$B$14,MATCH($Y3247,'Reward Model'!$A$12:$A$14,0))*Z3247,2),0)</f>
        <v>0</v>
      </c>
    </row>
    <row r="3248" customFormat="false" ht="15" hidden="false" customHeight="false" outlineLevel="0" collapsed="false">
      <c r="A3248" s="0" t="s">
        <v>456</v>
      </c>
      <c r="B3248" s="0" t="s">
        <v>457</v>
      </c>
      <c r="C3248" s="0" t="s">
        <v>322</v>
      </c>
      <c r="D3248" s="0" t="s">
        <v>189</v>
      </c>
      <c r="E3248" s="0" t="n">
        <v>7</v>
      </c>
      <c r="F3248" s="0" t="s">
        <v>50</v>
      </c>
      <c r="G3248" s="0" t="s">
        <v>51</v>
      </c>
      <c r="H3248" s="0" t="s">
        <v>51</v>
      </c>
      <c r="I3248" s="0" t="s">
        <v>34</v>
      </c>
      <c r="J3248" s="0" t="n">
        <v>1.09</v>
      </c>
      <c r="K3248" s="0" t="s">
        <v>35</v>
      </c>
      <c r="L3248" s="0" t="n">
        <f aca="false">INDEX(Summary!$F$2:$F$201,MATCH($B3248,Summary!$A$2:$A$201,0))</f>
        <v>20</v>
      </c>
      <c r="M3248" s="0" t="n">
        <f aca="false">INDEX(Summary!$I$2:$I$201,MATCH($B3248,Summary!$A$2:$A$201,0))</f>
        <v>1</v>
      </c>
      <c r="N3248" s="0" t="n">
        <f aca="false">INDEX(Summary!$J$2:$J$201,MATCH($B3248,Summary!$A$2:$A$201,0))</f>
        <v>4</v>
      </c>
      <c r="O3248" s="2" t="n">
        <f aca="false">INDEX(Summary!$K$2:$K$201,MATCH($B3248,Summary!$A$2:$A$201,0))</f>
        <v>9.67</v>
      </c>
      <c r="P3248" s="3" t="n">
        <f aca="false">INDEX(Summary!$L$2:$L$201,MATCH($B3248,Summary!$A$2:$A$201,0))</f>
        <v>4</v>
      </c>
      <c r="Q3248" s="3" t="n">
        <f aca="false">INDEX(Summary!$M$2:$M$201,MATCH($B3248,Summary!$A$2:$A$201,0))</f>
        <v>2</v>
      </c>
      <c r="R3248" s="2" t="n">
        <f aca="false">INDEX(Summary!$N$2:$N$201,MATCH($B3248,Summary!$A$2:$A$201,0))</f>
        <v>11.33</v>
      </c>
      <c r="S3248" s="3" t="n">
        <f aca="false">INDEX(Summary!$O$2:$O$201,MATCH($B3248,Summary!$A$2:$A$201,0))</f>
        <v>7</v>
      </c>
      <c r="T3248" s="3" t="n">
        <f aca="false">INDEX(Summary!$P$2:$P$201,MATCH($B3248,Summary!$A$2:$A$201,0))</f>
        <v>2</v>
      </c>
      <c r="U3248" s="2" t="n">
        <f aca="false">INDEX(Summary!$Q$2:$Q$201,MATCH($B3248,Summary!$A$2:$A$201,0))</f>
        <v>12.06</v>
      </c>
      <c r="V3248" s="2" t="n">
        <f aca="false">INDEX(Summary!$R$2:$R$201,MATCH($B3248,Summary!$A$2:$A$201,0))</f>
        <v>19.9</v>
      </c>
      <c r="W3248" s="0" t="str">
        <f aca="false">INDEX(Summary!$S$2:$S$201,MATCH($B3248,Summary!$A$2:$A$201,0))</f>
        <v>Bronze</v>
      </c>
      <c r="X3248" s="2" t="n">
        <f aca="false">INDEX(Summary!$T$2:$T$201,MATCH($B3248,Summary!$A$2:$A$201,0))</f>
        <v>48.54</v>
      </c>
      <c r="Y3248" s="0" t="str">
        <f aca="false">INDEX('Reward Model'!$E$18:$E$37,MATCH($E3248,'Reward Model'!$A$18:$A$37,0))</f>
        <v>Low</v>
      </c>
      <c r="Z3248" s="4" t="n">
        <f aca="false">ROUND(MIN(1,MAX('Reward Model'!$B$2,INDEX('Reward Model'!$C$12:$C$14,MATCH($K3248,'Reward Model'!$A$12:$A$14,0))/$J3248)),3)</f>
        <v>1</v>
      </c>
      <c r="AA3248" s="2" t="n">
        <f aca="false">IF($I3248="Correct",ROUND(INDEX('Reward Model'!$B$12:$B$14,MATCH($K3248,'Reward Model'!$A$12:$A$14,0))*Z3248,2),0)</f>
        <v>1</v>
      </c>
      <c r="AB3248" s="2" t="n">
        <f aca="false">IF($I3248="Correct",ROUND(INDEX('Reward Model'!$B$12:$B$14,MATCH($Y3248,'Reward Model'!$A$12:$A$14,0))*Z3248,2),0)</f>
        <v>1</v>
      </c>
    </row>
    <row r="3249" customFormat="false" ht="15" hidden="false" customHeight="false" outlineLevel="0" collapsed="false">
      <c r="A3249" s="0" t="s">
        <v>456</v>
      </c>
      <c r="B3249" s="0" t="s">
        <v>457</v>
      </c>
      <c r="C3249" s="0" t="s">
        <v>322</v>
      </c>
      <c r="D3249" s="0" t="s">
        <v>189</v>
      </c>
      <c r="E3249" s="0" t="n">
        <v>8</v>
      </c>
      <c r="F3249" s="0" t="s">
        <v>52</v>
      </c>
      <c r="G3249" s="0" t="s">
        <v>54</v>
      </c>
      <c r="H3249" s="0" t="s">
        <v>54</v>
      </c>
      <c r="I3249" s="0" t="s">
        <v>34</v>
      </c>
      <c r="J3249" s="0" t="n">
        <v>1.18</v>
      </c>
      <c r="K3249" s="0" t="s">
        <v>35</v>
      </c>
      <c r="L3249" s="0" t="n">
        <f aca="false">INDEX(Summary!$F$2:$F$201,MATCH($B3249,Summary!$A$2:$A$201,0))</f>
        <v>20</v>
      </c>
      <c r="M3249" s="0" t="n">
        <f aca="false">INDEX(Summary!$I$2:$I$201,MATCH($B3249,Summary!$A$2:$A$201,0))</f>
        <v>1</v>
      </c>
      <c r="N3249" s="0" t="n">
        <f aca="false">INDEX(Summary!$J$2:$J$201,MATCH($B3249,Summary!$A$2:$A$201,0))</f>
        <v>4</v>
      </c>
      <c r="O3249" s="2" t="n">
        <f aca="false">INDEX(Summary!$K$2:$K$201,MATCH($B3249,Summary!$A$2:$A$201,0))</f>
        <v>9.67</v>
      </c>
      <c r="P3249" s="3" t="n">
        <f aca="false">INDEX(Summary!$L$2:$L$201,MATCH($B3249,Summary!$A$2:$A$201,0))</f>
        <v>4</v>
      </c>
      <c r="Q3249" s="3" t="n">
        <f aca="false">INDEX(Summary!$M$2:$M$201,MATCH($B3249,Summary!$A$2:$A$201,0))</f>
        <v>2</v>
      </c>
      <c r="R3249" s="2" t="n">
        <f aca="false">INDEX(Summary!$N$2:$N$201,MATCH($B3249,Summary!$A$2:$A$201,0))</f>
        <v>11.33</v>
      </c>
      <c r="S3249" s="3" t="n">
        <f aca="false">INDEX(Summary!$O$2:$O$201,MATCH($B3249,Summary!$A$2:$A$201,0))</f>
        <v>7</v>
      </c>
      <c r="T3249" s="3" t="n">
        <f aca="false">INDEX(Summary!$P$2:$P$201,MATCH($B3249,Summary!$A$2:$A$201,0))</f>
        <v>2</v>
      </c>
      <c r="U3249" s="2" t="n">
        <f aca="false">INDEX(Summary!$Q$2:$Q$201,MATCH($B3249,Summary!$A$2:$A$201,0))</f>
        <v>12.06</v>
      </c>
      <c r="V3249" s="2" t="n">
        <f aca="false">INDEX(Summary!$R$2:$R$201,MATCH($B3249,Summary!$A$2:$A$201,0))</f>
        <v>19.9</v>
      </c>
      <c r="W3249" s="0" t="str">
        <f aca="false">INDEX(Summary!$S$2:$S$201,MATCH($B3249,Summary!$A$2:$A$201,0))</f>
        <v>Bronze</v>
      </c>
      <c r="X3249" s="2" t="n">
        <f aca="false">INDEX(Summary!$T$2:$T$201,MATCH($B3249,Summary!$A$2:$A$201,0))</f>
        <v>48.54</v>
      </c>
      <c r="Y3249" s="0" t="str">
        <f aca="false">INDEX('Reward Model'!$E$18:$E$37,MATCH($E3249,'Reward Model'!$A$18:$A$37,0))</f>
        <v>Medium</v>
      </c>
      <c r="Z3249" s="4" t="n">
        <f aca="false">ROUND(MIN(1,MAX('Reward Model'!$B$2,INDEX('Reward Model'!$C$12:$C$14,MATCH($K3249,'Reward Model'!$A$12:$A$14,0))/$J3249)),3)</f>
        <v>1</v>
      </c>
      <c r="AA3249" s="2" t="n">
        <f aca="false">IF($I3249="Correct",ROUND(INDEX('Reward Model'!$B$12:$B$14,MATCH($K3249,'Reward Model'!$A$12:$A$14,0))*Z3249,2),0)</f>
        <v>1</v>
      </c>
      <c r="AB3249" s="2" t="n">
        <f aca="false">IF($I3249="Correct",ROUND(INDEX('Reward Model'!$B$12:$B$14,MATCH($Y3249,'Reward Model'!$A$12:$A$14,0))*Z3249,2),0)</f>
        <v>2</v>
      </c>
    </row>
    <row r="3250" customFormat="false" ht="15" hidden="false" customHeight="false" outlineLevel="0" collapsed="false">
      <c r="A3250" s="0" t="s">
        <v>456</v>
      </c>
      <c r="B3250" s="0" t="s">
        <v>457</v>
      </c>
      <c r="C3250" s="0" t="s">
        <v>322</v>
      </c>
      <c r="D3250" s="0" t="s">
        <v>189</v>
      </c>
      <c r="E3250" s="0" t="n">
        <v>9</v>
      </c>
      <c r="F3250" s="0" t="s">
        <v>55</v>
      </c>
      <c r="G3250" s="0" t="s">
        <v>57</v>
      </c>
      <c r="H3250" s="0" t="s">
        <v>57</v>
      </c>
      <c r="I3250" s="0" t="s">
        <v>34</v>
      </c>
      <c r="J3250" s="0" t="n">
        <v>1.45</v>
      </c>
      <c r="K3250" s="0" t="s">
        <v>35</v>
      </c>
      <c r="L3250" s="0" t="n">
        <f aca="false">INDEX(Summary!$F$2:$F$201,MATCH($B3250,Summary!$A$2:$A$201,0))</f>
        <v>20</v>
      </c>
      <c r="M3250" s="0" t="n">
        <f aca="false">INDEX(Summary!$I$2:$I$201,MATCH($B3250,Summary!$A$2:$A$201,0))</f>
        <v>1</v>
      </c>
      <c r="N3250" s="0" t="n">
        <f aca="false">INDEX(Summary!$J$2:$J$201,MATCH($B3250,Summary!$A$2:$A$201,0))</f>
        <v>4</v>
      </c>
      <c r="O3250" s="2" t="n">
        <f aca="false">INDEX(Summary!$K$2:$K$201,MATCH($B3250,Summary!$A$2:$A$201,0))</f>
        <v>9.67</v>
      </c>
      <c r="P3250" s="3" t="n">
        <f aca="false">INDEX(Summary!$L$2:$L$201,MATCH($B3250,Summary!$A$2:$A$201,0))</f>
        <v>4</v>
      </c>
      <c r="Q3250" s="3" t="n">
        <f aca="false">INDEX(Summary!$M$2:$M$201,MATCH($B3250,Summary!$A$2:$A$201,0))</f>
        <v>2</v>
      </c>
      <c r="R3250" s="2" t="n">
        <f aca="false">INDEX(Summary!$N$2:$N$201,MATCH($B3250,Summary!$A$2:$A$201,0))</f>
        <v>11.33</v>
      </c>
      <c r="S3250" s="3" t="n">
        <f aca="false">INDEX(Summary!$O$2:$O$201,MATCH($B3250,Summary!$A$2:$A$201,0))</f>
        <v>7</v>
      </c>
      <c r="T3250" s="3" t="n">
        <f aca="false">INDEX(Summary!$P$2:$P$201,MATCH($B3250,Summary!$A$2:$A$201,0))</f>
        <v>2</v>
      </c>
      <c r="U3250" s="2" t="n">
        <f aca="false">INDEX(Summary!$Q$2:$Q$201,MATCH($B3250,Summary!$A$2:$A$201,0))</f>
        <v>12.06</v>
      </c>
      <c r="V3250" s="2" t="n">
        <f aca="false">INDEX(Summary!$R$2:$R$201,MATCH($B3250,Summary!$A$2:$A$201,0))</f>
        <v>19.9</v>
      </c>
      <c r="W3250" s="0" t="str">
        <f aca="false">INDEX(Summary!$S$2:$S$201,MATCH($B3250,Summary!$A$2:$A$201,0))</f>
        <v>Bronze</v>
      </c>
      <c r="X3250" s="2" t="n">
        <f aca="false">INDEX(Summary!$T$2:$T$201,MATCH($B3250,Summary!$A$2:$A$201,0))</f>
        <v>48.54</v>
      </c>
      <c r="Y3250" s="0" t="str">
        <f aca="false">INDEX('Reward Model'!$E$18:$E$37,MATCH($E3250,'Reward Model'!$A$18:$A$37,0))</f>
        <v>Medium</v>
      </c>
      <c r="Z3250" s="4" t="n">
        <f aca="false">ROUND(MIN(1,MAX('Reward Model'!$B$2,INDEX('Reward Model'!$C$12:$C$14,MATCH($K3250,'Reward Model'!$A$12:$A$14,0))/$J3250)),3)</f>
        <v>1</v>
      </c>
      <c r="AA3250" s="2" t="n">
        <f aca="false">IF($I3250="Correct",ROUND(INDEX('Reward Model'!$B$12:$B$14,MATCH($K3250,'Reward Model'!$A$12:$A$14,0))*Z3250,2),0)</f>
        <v>1</v>
      </c>
      <c r="AB3250" s="2" t="n">
        <f aca="false">IF($I3250="Correct",ROUND(INDEX('Reward Model'!$B$12:$B$14,MATCH($Y3250,'Reward Model'!$A$12:$A$14,0))*Z3250,2),0)</f>
        <v>2</v>
      </c>
    </row>
    <row r="3251" customFormat="false" ht="15" hidden="false" customHeight="false" outlineLevel="0" collapsed="false">
      <c r="A3251" s="0" t="s">
        <v>456</v>
      </c>
      <c r="B3251" s="0" t="s">
        <v>457</v>
      </c>
      <c r="C3251" s="0" t="s">
        <v>322</v>
      </c>
      <c r="D3251" s="0" t="s">
        <v>189</v>
      </c>
      <c r="E3251" s="0" t="n">
        <v>10</v>
      </c>
      <c r="F3251" s="0" t="s">
        <v>58</v>
      </c>
      <c r="G3251" s="0" t="s">
        <v>59</v>
      </c>
      <c r="H3251" s="0" t="s">
        <v>59</v>
      </c>
      <c r="I3251" s="0" t="s">
        <v>34</v>
      </c>
      <c r="J3251" s="0" t="n">
        <v>2</v>
      </c>
      <c r="K3251" s="0" t="s">
        <v>60</v>
      </c>
      <c r="L3251" s="0" t="n">
        <f aca="false">INDEX(Summary!$F$2:$F$201,MATCH($B3251,Summary!$A$2:$A$201,0))</f>
        <v>20</v>
      </c>
      <c r="M3251" s="0" t="n">
        <f aca="false">INDEX(Summary!$I$2:$I$201,MATCH($B3251,Summary!$A$2:$A$201,0))</f>
        <v>1</v>
      </c>
      <c r="N3251" s="0" t="n">
        <f aca="false">INDEX(Summary!$J$2:$J$201,MATCH($B3251,Summary!$A$2:$A$201,0))</f>
        <v>4</v>
      </c>
      <c r="O3251" s="2" t="n">
        <f aca="false">INDEX(Summary!$K$2:$K$201,MATCH($B3251,Summary!$A$2:$A$201,0))</f>
        <v>9.67</v>
      </c>
      <c r="P3251" s="3" t="n">
        <f aca="false">INDEX(Summary!$L$2:$L$201,MATCH($B3251,Summary!$A$2:$A$201,0))</f>
        <v>4</v>
      </c>
      <c r="Q3251" s="3" t="n">
        <f aca="false">INDEX(Summary!$M$2:$M$201,MATCH($B3251,Summary!$A$2:$A$201,0))</f>
        <v>2</v>
      </c>
      <c r="R3251" s="2" t="n">
        <f aca="false">INDEX(Summary!$N$2:$N$201,MATCH($B3251,Summary!$A$2:$A$201,0))</f>
        <v>11.33</v>
      </c>
      <c r="S3251" s="3" t="n">
        <f aca="false">INDEX(Summary!$O$2:$O$201,MATCH($B3251,Summary!$A$2:$A$201,0))</f>
        <v>7</v>
      </c>
      <c r="T3251" s="3" t="n">
        <f aca="false">INDEX(Summary!$P$2:$P$201,MATCH($B3251,Summary!$A$2:$A$201,0))</f>
        <v>2</v>
      </c>
      <c r="U3251" s="2" t="n">
        <f aca="false">INDEX(Summary!$Q$2:$Q$201,MATCH($B3251,Summary!$A$2:$A$201,0))</f>
        <v>12.06</v>
      </c>
      <c r="V3251" s="2" t="n">
        <f aca="false">INDEX(Summary!$R$2:$R$201,MATCH($B3251,Summary!$A$2:$A$201,0))</f>
        <v>19.9</v>
      </c>
      <c r="W3251" s="0" t="str">
        <f aca="false">INDEX(Summary!$S$2:$S$201,MATCH($B3251,Summary!$A$2:$A$201,0))</f>
        <v>Bronze</v>
      </c>
      <c r="X3251" s="2" t="n">
        <f aca="false">INDEX(Summary!$T$2:$T$201,MATCH($B3251,Summary!$A$2:$A$201,0))</f>
        <v>48.54</v>
      </c>
      <c r="Y3251" s="0" t="str">
        <f aca="false">INDEX('Reward Model'!$E$18:$E$37,MATCH($E3251,'Reward Model'!$A$18:$A$37,0))</f>
        <v>Medium</v>
      </c>
      <c r="Z3251" s="4" t="n">
        <f aca="false">ROUND(MIN(1,MAX('Reward Model'!$B$2,INDEX('Reward Model'!$C$12:$C$14,MATCH($K3251,'Reward Model'!$A$12:$A$14,0))/$J3251)),3)</f>
        <v>0.9</v>
      </c>
      <c r="AA3251" s="2" t="n">
        <f aca="false">IF($I3251="Correct",ROUND(INDEX('Reward Model'!$B$12:$B$14,MATCH($K3251,'Reward Model'!$A$12:$A$14,0))*Z3251,2),0)</f>
        <v>1.8</v>
      </c>
      <c r="AB3251" s="2" t="n">
        <f aca="false">IF($I3251="Correct",ROUND(INDEX('Reward Model'!$B$12:$B$14,MATCH($Y3251,'Reward Model'!$A$12:$A$14,0))*Z3251,2),0)</f>
        <v>1.8</v>
      </c>
    </row>
    <row r="3252" customFormat="false" ht="15" hidden="false" customHeight="false" outlineLevel="0" collapsed="false">
      <c r="A3252" s="0" t="s">
        <v>456</v>
      </c>
      <c r="B3252" s="0" t="s">
        <v>457</v>
      </c>
      <c r="C3252" s="0" t="s">
        <v>322</v>
      </c>
      <c r="D3252" s="0" t="s">
        <v>189</v>
      </c>
      <c r="E3252" s="0" t="n">
        <v>11</v>
      </c>
      <c r="F3252" s="0" t="s">
        <v>61</v>
      </c>
      <c r="G3252" s="0" t="s">
        <v>62</v>
      </c>
      <c r="H3252" s="0" t="s">
        <v>63</v>
      </c>
      <c r="I3252" s="0" t="s">
        <v>39</v>
      </c>
      <c r="J3252" s="0" t="n">
        <v>2.23</v>
      </c>
      <c r="K3252" s="0" t="s">
        <v>60</v>
      </c>
      <c r="L3252" s="0" t="n">
        <f aca="false">INDEX(Summary!$F$2:$F$201,MATCH($B3252,Summary!$A$2:$A$201,0))</f>
        <v>20</v>
      </c>
      <c r="M3252" s="0" t="n">
        <f aca="false">INDEX(Summary!$I$2:$I$201,MATCH($B3252,Summary!$A$2:$A$201,0))</f>
        <v>1</v>
      </c>
      <c r="N3252" s="0" t="n">
        <f aca="false">INDEX(Summary!$J$2:$J$201,MATCH($B3252,Summary!$A$2:$A$201,0))</f>
        <v>4</v>
      </c>
      <c r="O3252" s="2" t="n">
        <f aca="false">INDEX(Summary!$K$2:$K$201,MATCH($B3252,Summary!$A$2:$A$201,0))</f>
        <v>9.67</v>
      </c>
      <c r="P3252" s="3" t="n">
        <f aca="false">INDEX(Summary!$L$2:$L$201,MATCH($B3252,Summary!$A$2:$A$201,0))</f>
        <v>4</v>
      </c>
      <c r="Q3252" s="3" t="n">
        <f aca="false">INDEX(Summary!$M$2:$M$201,MATCH($B3252,Summary!$A$2:$A$201,0))</f>
        <v>2</v>
      </c>
      <c r="R3252" s="2" t="n">
        <f aca="false">INDEX(Summary!$N$2:$N$201,MATCH($B3252,Summary!$A$2:$A$201,0))</f>
        <v>11.33</v>
      </c>
      <c r="S3252" s="3" t="n">
        <f aca="false">INDEX(Summary!$O$2:$O$201,MATCH($B3252,Summary!$A$2:$A$201,0))</f>
        <v>7</v>
      </c>
      <c r="T3252" s="3" t="n">
        <f aca="false">INDEX(Summary!$P$2:$P$201,MATCH($B3252,Summary!$A$2:$A$201,0))</f>
        <v>2</v>
      </c>
      <c r="U3252" s="2" t="n">
        <f aca="false">INDEX(Summary!$Q$2:$Q$201,MATCH($B3252,Summary!$A$2:$A$201,0))</f>
        <v>12.06</v>
      </c>
      <c r="V3252" s="2" t="n">
        <f aca="false">INDEX(Summary!$R$2:$R$201,MATCH($B3252,Summary!$A$2:$A$201,0))</f>
        <v>19.9</v>
      </c>
      <c r="W3252" s="0" t="str">
        <f aca="false">INDEX(Summary!$S$2:$S$201,MATCH($B3252,Summary!$A$2:$A$201,0))</f>
        <v>Bronze</v>
      </c>
      <c r="X3252" s="2" t="n">
        <f aca="false">INDEX(Summary!$T$2:$T$201,MATCH($B3252,Summary!$A$2:$A$201,0))</f>
        <v>48.54</v>
      </c>
      <c r="Y3252" s="0" t="str">
        <f aca="false">INDEX('Reward Model'!$E$18:$E$37,MATCH($E3252,'Reward Model'!$A$18:$A$37,0))</f>
        <v>Medium</v>
      </c>
      <c r="Z3252" s="4" t="n">
        <f aca="false">ROUND(MIN(1,MAX('Reward Model'!$B$2,INDEX('Reward Model'!$C$12:$C$14,MATCH($K3252,'Reward Model'!$A$12:$A$14,0))/$J3252)),3)</f>
        <v>0.807</v>
      </c>
      <c r="AA3252" s="2" t="n">
        <f aca="false">IF($I3252="Correct",ROUND(INDEX('Reward Model'!$B$12:$B$14,MATCH($K3252,'Reward Model'!$A$12:$A$14,0))*Z3252,2),0)</f>
        <v>0</v>
      </c>
      <c r="AB3252" s="2" t="n">
        <f aca="false">IF($I3252="Correct",ROUND(INDEX('Reward Model'!$B$12:$B$14,MATCH($Y3252,'Reward Model'!$A$12:$A$14,0))*Z3252,2),0)</f>
        <v>0</v>
      </c>
    </row>
    <row r="3253" customFormat="false" ht="15" hidden="false" customHeight="false" outlineLevel="0" collapsed="false">
      <c r="A3253" s="0" t="s">
        <v>456</v>
      </c>
      <c r="B3253" s="0" t="s">
        <v>457</v>
      </c>
      <c r="C3253" s="0" t="s">
        <v>322</v>
      </c>
      <c r="D3253" s="0" t="s">
        <v>189</v>
      </c>
      <c r="E3253" s="0" t="n">
        <v>12</v>
      </c>
      <c r="F3253" s="0" t="s">
        <v>64</v>
      </c>
      <c r="G3253" s="0" t="s">
        <v>65</v>
      </c>
      <c r="H3253" s="0" t="s">
        <v>65</v>
      </c>
      <c r="I3253" s="0" t="s">
        <v>34</v>
      </c>
      <c r="J3253" s="0" t="n">
        <v>2.08</v>
      </c>
      <c r="K3253" s="0" t="s">
        <v>60</v>
      </c>
      <c r="L3253" s="0" t="n">
        <f aca="false">INDEX(Summary!$F$2:$F$201,MATCH($B3253,Summary!$A$2:$A$201,0))</f>
        <v>20</v>
      </c>
      <c r="M3253" s="0" t="n">
        <f aca="false">INDEX(Summary!$I$2:$I$201,MATCH($B3253,Summary!$A$2:$A$201,0))</f>
        <v>1</v>
      </c>
      <c r="N3253" s="0" t="n">
        <f aca="false">INDEX(Summary!$J$2:$J$201,MATCH($B3253,Summary!$A$2:$A$201,0))</f>
        <v>4</v>
      </c>
      <c r="O3253" s="2" t="n">
        <f aca="false">INDEX(Summary!$K$2:$K$201,MATCH($B3253,Summary!$A$2:$A$201,0))</f>
        <v>9.67</v>
      </c>
      <c r="P3253" s="3" t="n">
        <f aca="false">INDEX(Summary!$L$2:$L$201,MATCH($B3253,Summary!$A$2:$A$201,0))</f>
        <v>4</v>
      </c>
      <c r="Q3253" s="3" t="n">
        <f aca="false">INDEX(Summary!$M$2:$M$201,MATCH($B3253,Summary!$A$2:$A$201,0))</f>
        <v>2</v>
      </c>
      <c r="R3253" s="2" t="n">
        <f aca="false">INDEX(Summary!$N$2:$N$201,MATCH($B3253,Summary!$A$2:$A$201,0))</f>
        <v>11.33</v>
      </c>
      <c r="S3253" s="3" t="n">
        <f aca="false">INDEX(Summary!$O$2:$O$201,MATCH($B3253,Summary!$A$2:$A$201,0))</f>
        <v>7</v>
      </c>
      <c r="T3253" s="3" t="n">
        <f aca="false">INDEX(Summary!$P$2:$P$201,MATCH($B3253,Summary!$A$2:$A$201,0))</f>
        <v>2</v>
      </c>
      <c r="U3253" s="2" t="n">
        <f aca="false">INDEX(Summary!$Q$2:$Q$201,MATCH($B3253,Summary!$A$2:$A$201,0))</f>
        <v>12.06</v>
      </c>
      <c r="V3253" s="2" t="n">
        <f aca="false">INDEX(Summary!$R$2:$R$201,MATCH($B3253,Summary!$A$2:$A$201,0))</f>
        <v>19.9</v>
      </c>
      <c r="W3253" s="0" t="str">
        <f aca="false">INDEX(Summary!$S$2:$S$201,MATCH($B3253,Summary!$A$2:$A$201,0))</f>
        <v>Bronze</v>
      </c>
      <c r="X3253" s="2" t="n">
        <f aca="false">INDEX(Summary!$T$2:$T$201,MATCH($B3253,Summary!$A$2:$A$201,0))</f>
        <v>48.54</v>
      </c>
      <c r="Y3253" s="0" t="str">
        <f aca="false">INDEX('Reward Model'!$E$18:$E$37,MATCH($E3253,'Reward Model'!$A$18:$A$37,0))</f>
        <v>Medium</v>
      </c>
      <c r="Z3253" s="4" t="n">
        <f aca="false">ROUND(MIN(1,MAX('Reward Model'!$B$2,INDEX('Reward Model'!$C$12:$C$14,MATCH($K3253,'Reward Model'!$A$12:$A$14,0))/$J3253)),3)</f>
        <v>0.865</v>
      </c>
      <c r="AA3253" s="2" t="n">
        <f aca="false">IF($I3253="Correct",ROUND(INDEX('Reward Model'!$B$12:$B$14,MATCH($K3253,'Reward Model'!$A$12:$A$14,0))*Z3253,2),0)</f>
        <v>1.73</v>
      </c>
      <c r="AB3253" s="2" t="n">
        <f aca="false">IF($I3253="Correct",ROUND(INDEX('Reward Model'!$B$12:$B$14,MATCH($Y3253,'Reward Model'!$A$12:$A$14,0))*Z3253,2),0)</f>
        <v>1.73</v>
      </c>
    </row>
    <row r="3254" customFormat="false" ht="15" hidden="false" customHeight="false" outlineLevel="0" collapsed="false">
      <c r="A3254" s="0" t="s">
        <v>456</v>
      </c>
      <c r="B3254" s="0" t="s">
        <v>457</v>
      </c>
      <c r="C3254" s="0" t="s">
        <v>322</v>
      </c>
      <c r="D3254" s="0" t="s">
        <v>189</v>
      </c>
      <c r="E3254" s="0" t="n">
        <v>13</v>
      </c>
      <c r="F3254" s="0" t="s">
        <v>66</v>
      </c>
      <c r="G3254" s="0" t="s">
        <v>117</v>
      </c>
      <c r="H3254" s="0" t="s">
        <v>67</v>
      </c>
      <c r="I3254" s="0" t="s">
        <v>39</v>
      </c>
      <c r="J3254" s="0" t="n">
        <v>1.48</v>
      </c>
      <c r="K3254" s="0" t="s">
        <v>60</v>
      </c>
      <c r="L3254" s="0" t="n">
        <f aca="false">INDEX(Summary!$F$2:$F$201,MATCH($B3254,Summary!$A$2:$A$201,0))</f>
        <v>20</v>
      </c>
      <c r="M3254" s="0" t="n">
        <f aca="false">INDEX(Summary!$I$2:$I$201,MATCH($B3254,Summary!$A$2:$A$201,0))</f>
        <v>1</v>
      </c>
      <c r="N3254" s="0" t="n">
        <f aca="false">INDEX(Summary!$J$2:$J$201,MATCH($B3254,Summary!$A$2:$A$201,0))</f>
        <v>4</v>
      </c>
      <c r="O3254" s="2" t="n">
        <f aca="false">INDEX(Summary!$K$2:$K$201,MATCH($B3254,Summary!$A$2:$A$201,0))</f>
        <v>9.67</v>
      </c>
      <c r="P3254" s="3" t="n">
        <f aca="false">INDEX(Summary!$L$2:$L$201,MATCH($B3254,Summary!$A$2:$A$201,0))</f>
        <v>4</v>
      </c>
      <c r="Q3254" s="3" t="n">
        <f aca="false">INDEX(Summary!$M$2:$M$201,MATCH($B3254,Summary!$A$2:$A$201,0))</f>
        <v>2</v>
      </c>
      <c r="R3254" s="2" t="n">
        <f aca="false">INDEX(Summary!$N$2:$N$201,MATCH($B3254,Summary!$A$2:$A$201,0))</f>
        <v>11.33</v>
      </c>
      <c r="S3254" s="3" t="n">
        <f aca="false">INDEX(Summary!$O$2:$O$201,MATCH($B3254,Summary!$A$2:$A$201,0))</f>
        <v>7</v>
      </c>
      <c r="T3254" s="3" t="n">
        <f aca="false">INDEX(Summary!$P$2:$P$201,MATCH($B3254,Summary!$A$2:$A$201,0))</f>
        <v>2</v>
      </c>
      <c r="U3254" s="2" t="n">
        <f aca="false">INDEX(Summary!$Q$2:$Q$201,MATCH($B3254,Summary!$A$2:$A$201,0))</f>
        <v>12.06</v>
      </c>
      <c r="V3254" s="2" t="n">
        <f aca="false">INDEX(Summary!$R$2:$R$201,MATCH($B3254,Summary!$A$2:$A$201,0))</f>
        <v>19.9</v>
      </c>
      <c r="W3254" s="0" t="str">
        <f aca="false">INDEX(Summary!$S$2:$S$201,MATCH($B3254,Summary!$A$2:$A$201,0))</f>
        <v>Bronze</v>
      </c>
      <c r="X3254" s="2" t="n">
        <f aca="false">INDEX(Summary!$T$2:$T$201,MATCH($B3254,Summary!$A$2:$A$201,0))</f>
        <v>48.54</v>
      </c>
      <c r="Y3254" s="0" t="str">
        <f aca="false">INDEX('Reward Model'!$E$18:$E$37,MATCH($E3254,'Reward Model'!$A$18:$A$37,0))</f>
        <v>Medium</v>
      </c>
      <c r="Z3254" s="4" t="n">
        <f aca="false">ROUND(MIN(1,MAX('Reward Model'!$B$2,INDEX('Reward Model'!$C$12:$C$14,MATCH($K3254,'Reward Model'!$A$12:$A$14,0))/$J3254)),3)</f>
        <v>1</v>
      </c>
      <c r="AA3254" s="2" t="n">
        <f aca="false">IF($I3254="Correct",ROUND(INDEX('Reward Model'!$B$12:$B$14,MATCH($K3254,'Reward Model'!$A$12:$A$14,0))*Z3254,2),0)</f>
        <v>0</v>
      </c>
      <c r="AB3254" s="2" t="n">
        <f aca="false">IF($I3254="Correct",ROUND(INDEX('Reward Model'!$B$12:$B$14,MATCH($Y3254,'Reward Model'!$A$12:$A$14,0))*Z3254,2),0)</f>
        <v>0</v>
      </c>
    </row>
    <row r="3255" customFormat="false" ht="15" hidden="false" customHeight="false" outlineLevel="0" collapsed="false">
      <c r="A3255" s="0" t="s">
        <v>456</v>
      </c>
      <c r="B3255" s="0" t="s">
        <v>457</v>
      </c>
      <c r="C3255" s="0" t="s">
        <v>322</v>
      </c>
      <c r="D3255" s="0" t="s">
        <v>189</v>
      </c>
      <c r="E3255" s="0" t="n">
        <v>14</v>
      </c>
      <c r="F3255" s="0" t="s">
        <v>68</v>
      </c>
      <c r="G3255" s="0" t="s">
        <v>51</v>
      </c>
      <c r="H3255" s="0" t="s">
        <v>51</v>
      </c>
      <c r="I3255" s="0" t="s">
        <v>34</v>
      </c>
      <c r="J3255" s="0" t="n">
        <v>1.7</v>
      </c>
      <c r="K3255" s="0" t="s">
        <v>60</v>
      </c>
      <c r="L3255" s="0" t="n">
        <f aca="false">INDEX(Summary!$F$2:$F$201,MATCH($B3255,Summary!$A$2:$A$201,0))</f>
        <v>20</v>
      </c>
      <c r="M3255" s="0" t="n">
        <f aca="false">INDEX(Summary!$I$2:$I$201,MATCH($B3255,Summary!$A$2:$A$201,0))</f>
        <v>1</v>
      </c>
      <c r="N3255" s="0" t="n">
        <f aca="false">INDEX(Summary!$J$2:$J$201,MATCH($B3255,Summary!$A$2:$A$201,0))</f>
        <v>4</v>
      </c>
      <c r="O3255" s="2" t="n">
        <f aca="false">INDEX(Summary!$K$2:$K$201,MATCH($B3255,Summary!$A$2:$A$201,0))</f>
        <v>9.67</v>
      </c>
      <c r="P3255" s="3" t="n">
        <f aca="false">INDEX(Summary!$L$2:$L$201,MATCH($B3255,Summary!$A$2:$A$201,0))</f>
        <v>4</v>
      </c>
      <c r="Q3255" s="3" t="n">
        <f aca="false">INDEX(Summary!$M$2:$M$201,MATCH($B3255,Summary!$A$2:$A$201,0))</f>
        <v>2</v>
      </c>
      <c r="R3255" s="2" t="n">
        <f aca="false">INDEX(Summary!$N$2:$N$201,MATCH($B3255,Summary!$A$2:$A$201,0))</f>
        <v>11.33</v>
      </c>
      <c r="S3255" s="3" t="n">
        <f aca="false">INDEX(Summary!$O$2:$O$201,MATCH($B3255,Summary!$A$2:$A$201,0))</f>
        <v>7</v>
      </c>
      <c r="T3255" s="3" t="n">
        <f aca="false">INDEX(Summary!$P$2:$P$201,MATCH($B3255,Summary!$A$2:$A$201,0))</f>
        <v>2</v>
      </c>
      <c r="U3255" s="2" t="n">
        <f aca="false">INDEX(Summary!$Q$2:$Q$201,MATCH($B3255,Summary!$A$2:$A$201,0))</f>
        <v>12.06</v>
      </c>
      <c r="V3255" s="2" t="n">
        <f aca="false">INDEX(Summary!$R$2:$R$201,MATCH($B3255,Summary!$A$2:$A$201,0))</f>
        <v>19.9</v>
      </c>
      <c r="W3255" s="0" t="str">
        <f aca="false">INDEX(Summary!$S$2:$S$201,MATCH($B3255,Summary!$A$2:$A$201,0))</f>
        <v>Bronze</v>
      </c>
      <c r="X3255" s="2" t="n">
        <f aca="false">INDEX(Summary!$T$2:$T$201,MATCH($B3255,Summary!$A$2:$A$201,0))</f>
        <v>48.54</v>
      </c>
      <c r="Y3255" s="0" t="str">
        <f aca="false">INDEX('Reward Model'!$E$18:$E$37,MATCH($E3255,'Reward Model'!$A$18:$A$37,0))</f>
        <v>Medium</v>
      </c>
      <c r="Z3255" s="4" t="n">
        <f aca="false">ROUND(MIN(1,MAX('Reward Model'!$B$2,INDEX('Reward Model'!$C$12:$C$14,MATCH($K3255,'Reward Model'!$A$12:$A$14,0))/$J3255)),3)</f>
        <v>1</v>
      </c>
      <c r="AA3255" s="2" t="n">
        <f aca="false">IF($I3255="Correct",ROUND(INDEX('Reward Model'!$B$12:$B$14,MATCH($K3255,'Reward Model'!$A$12:$A$14,0))*Z3255,2),0)</f>
        <v>2</v>
      </c>
      <c r="AB3255" s="2" t="n">
        <f aca="false">IF($I3255="Correct",ROUND(INDEX('Reward Model'!$B$12:$B$14,MATCH($Y3255,'Reward Model'!$A$12:$A$14,0))*Z3255,2),0)</f>
        <v>2</v>
      </c>
    </row>
    <row r="3256" customFormat="false" ht="15" hidden="false" customHeight="false" outlineLevel="0" collapsed="false">
      <c r="A3256" s="0" t="s">
        <v>456</v>
      </c>
      <c r="B3256" s="0" t="s">
        <v>457</v>
      </c>
      <c r="C3256" s="0" t="s">
        <v>322</v>
      </c>
      <c r="D3256" s="0" t="s">
        <v>189</v>
      </c>
      <c r="E3256" s="0" t="n">
        <v>15</v>
      </c>
      <c r="F3256" s="0" t="s">
        <v>69</v>
      </c>
      <c r="G3256" s="0" t="s">
        <v>70</v>
      </c>
      <c r="H3256" s="0" t="s">
        <v>70</v>
      </c>
      <c r="I3256" s="0" t="s">
        <v>34</v>
      </c>
      <c r="J3256" s="0" t="n">
        <v>1.84</v>
      </c>
      <c r="K3256" s="0" t="s">
        <v>60</v>
      </c>
      <c r="L3256" s="0" t="n">
        <f aca="false">INDEX(Summary!$F$2:$F$201,MATCH($B3256,Summary!$A$2:$A$201,0))</f>
        <v>20</v>
      </c>
      <c r="M3256" s="0" t="n">
        <f aca="false">INDEX(Summary!$I$2:$I$201,MATCH($B3256,Summary!$A$2:$A$201,0))</f>
        <v>1</v>
      </c>
      <c r="N3256" s="0" t="n">
        <f aca="false">INDEX(Summary!$J$2:$J$201,MATCH($B3256,Summary!$A$2:$A$201,0))</f>
        <v>4</v>
      </c>
      <c r="O3256" s="2" t="n">
        <f aca="false">INDEX(Summary!$K$2:$K$201,MATCH($B3256,Summary!$A$2:$A$201,0))</f>
        <v>9.67</v>
      </c>
      <c r="P3256" s="3" t="n">
        <f aca="false">INDEX(Summary!$L$2:$L$201,MATCH($B3256,Summary!$A$2:$A$201,0))</f>
        <v>4</v>
      </c>
      <c r="Q3256" s="3" t="n">
        <f aca="false">INDEX(Summary!$M$2:$M$201,MATCH($B3256,Summary!$A$2:$A$201,0))</f>
        <v>2</v>
      </c>
      <c r="R3256" s="2" t="n">
        <f aca="false">INDEX(Summary!$N$2:$N$201,MATCH($B3256,Summary!$A$2:$A$201,0))</f>
        <v>11.33</v>
      </c>
      <c r="S3256" s="3" t="n">
        <f aca="false">INDEX(Summary!$O$2:$O$201,MATCH($B3256,Summary!$A$2:$A$201,0))</f>
        <v>7</v>
      </c>
      <c r="T3256" s="3" t="n">
        <f aca="false">INDEX(Summary!$P$2:$P$201,MATCH($B3256,Summary!$A$2:$A$201,0))</f>
        <v>2</v>
      </c>
      <c r="U3256" s="2" t="n">
        <f aca="false">INDEX(Summary!$Q$2:$Q$201,MATCH($B3256,Summary!$A$2:$A$201,0))</f>
        <v>12.06</v>
      </c>
      <c r="V3256" s="2" t="n">
        <f aca="false">INDEX(Summary!$R$2:$R$201,MATCH($B3256,Summary!$A$2:$A$201,0))</f>
        <v>19.9</v>
      </c>
      <c r="W3256" s="0" t="str">
        <f aca="false">INDEX(Summary!$S$2:$S$201,MATCH($B3256,Summary!$A$2:$A$201,0))</f>
        <v>Bronze</v>
      </c>
      <c r="X3256" s="2" t="n">
        <f aca="false">INDEX(Summary!$T$2:$T$201,MATCH($B3256,Summary!$A$2:$A$201,0))</f>
        <v>48.54</v>
      </c>
      <c r="Y3256" s="0" t="str">
        <f aca="false">INDEX('Reward Model'!$E$18:$E$37,MATCH($E3256,'Reward Model'!$A$18:$A$37,0))</f>
        <v>Medium</v>
      </c>
      <c r="Z3256" s="4" t="n">
        <f aca="false">ROUND(MIN(1,MAX('Reward Model'!$B$2,INDEX('Reward Model'!$C$12:$C$14,MATCH($K3256,'Reward Model'!$A$12:$A$14,0))/$J3256)),3)</f>
        <v>0.978</v>
      </c>
      <c r="AA3256" s="2" t="n">
        <f aca="false">IF($I3256="Correct",ROUND(INDEX('Reward Model'!$B$12:$B$14,MATCH($K3256,'Reward Model'!$A$12:$A$14,0))*Z3256,2),0)</f>
        <v>1.96</v>
      </c>
      <c r="AB3256" s="2" t="n">
        <f aca="false">IF($I3256="Correct",ROUND(INDEX('Reward Model'!$B$12:$B$14,MATCH($Y3256,'Reward Model'!$A$12:$A$14,0))*Z3256,2),0)</f>
        <v>1.96</v>
      </c>
    </row>
    <row r="3257" customFormat="false" ht="15" hidden="false" customHeight="false" outlineLevel="0" collapsed="false">
      <c r="A3257" s="0" t="s">
        <v>456</v>
      </c>
      <c r="B3257" s="0" t="s">
        <v>457</v>
      </c>
      <c r="C3257" s="0" t="s">
        <v>322</v>
      </c>
      <c r="D3257" s="0" t="s">
        <v>189</v>
      </c>
      <c r="E3257" s="0" t="n">
        <v>16</v>
      </c>
      <c r="F3257" s="0" t="s">
        <v>71</v>
      </c>
      <c r="G3257" s="0" t="s">
        <v>101</v>
      </c>
      <c r="H3257" s="0" t="s">
        <v>72</v>
      </c>
      <c r="I3257" s="0" t="s">
        <v>39</v>
      </c>
      <c r="J3257" s="0" t="n">
        <v>1.98</v>
      </c>
      <c r="K3257" s="0" t="s">
        <v>73</v>
      </c>
      <c r="L3257" s="0" t="n">
        <f aca="false">INDEX(Summary!$F$2:$F$201,MATCH($B3257,Summary!$A$2:$A$201,0))</f>
        <v>20</v>
      </c>
      <c r="M3257" s="0" t="n">
        <f aca="false">INDEX(Summary!$I$2:$I$201,MATCH($B3257,Summary!$A$2:$A$201,0))</f>
        <v>1</v>
      </c>
      <c r="N3257" s="0" t="n">
        <f aca="false">INDEX(Summary!$J$2:$J$201,MATCH($B3257,Summary!$A$2:$A$201,0))</f>
        <v>4</v>
      </c>
      <c r="O3257" s="2" t="n">
        <f aca="false">INDEX(Summary!$K$2:$K$201,MATCH($B3257,Summary!$A$2:$A$201,0))</f>
        <v>9.67</v>
      </c>
      <c r="P3257" s="3" t="n">
        <f aca="false">INDEX(Summary!$L$2:$L$201,MATCH($B3257,Summary!$A$2:$A$201,0))</f>
        <v>4</v>
      </c>
      <c r="Q3257" s="3" t="n">
        <f aca="false">INDEX(Summary!$M$2:$M$201,MATCH($B3257,Summary!$A$2:$A$201,0))</f>
        <v>2</v>
      </c>
      <c r="R3257" s="2" t="n">
        <f aca="false">INDEX(Summary!$N$2:$N$201,MATCH($B3257,Summary!$A$2:$A$201,0))</f>
        <v>11.33</v>
      </c>
      <c r="S3257" s="3" t="n">
        <f aca="false">INDEX(Summary!$O$2:$O$201,MATCH($B3257,Summary!$A$2:$A$201,0))</f>
        <v>7</v>
      </c>
      <c r="T3257" s="3" t="n">
        <f aca="false">INDEX(Summary!$P$2:$P$201,MATCH($B3257,Summary!$A$2:$A$201,0))</f>
        <v>2</v>
      </c>
      <c r="U3257" s="2" t="n">
        <f aca="false">INDEX(Summary!$Q$2:$Q$201,MATCH($B3257,Summary!$A$2:$A$201,0))</f>
        <v>12.06</v>
      </c>
      <c r="V3257" s="2" t="n">
        <f aca="false">INDEX(Summary!$R$2:$R$201,MATCH($B3257,Summary!$A$2:$A$201,0))</f>
        <v>19.9</v>
      </c>
      <c r="W3257" s="0" t="str">
        <f aca="false">INDEX(Summary!$S$2:$S$201,MATCH($B3257,Summary!$A$2:$A$201,0))</f>
        <v>Bronze</v>
      </c>
      <c r="X3257" s="2" t="n">
        <f aca="false">INDEX(Summary!$T$2:$T$201,MATCH($B3257,Summary!$A$2:$A$201,0))</f>
        <v>48.54</v>
      </c>
      <c r="Y3257" s="0" t="str">
        <f aca="false">INDEX('Reward Model'!$E$18:$E$37,MATCH($E3257,'Reward Model'!$A$18:$A$37,0))</f>
        <v>High</v>
      </c>
      <c r="Z3257" s="4" t="n">
        <f aca="false">ROUND(MIN(1,MAX('Reward Model'!$B$2,INDEX('Reward Model'!$C$12:$C$14,MATCH($K3257,'Reward Model'!$A$12:$A$14,0))/$J3257)),3)</f>
        <v>1</v>
      </c>
      <c r="AA3257" s="2" t="n">
        <f aca="false">IF($I3257="Correct",ROUND(INDEX('Reward Model'!$B$12:$B$14,MATCH($K3257,'Reward Model'!$A$12:$A$14,0))*Z3257,2),0)</f>
        <v>0</v>
      </c>
      <c r="AB3257" s="2" t="n">
        <f aca="false">IF($I3257="Correct",ROUND(INDEX('Reward Model'!$B$12:$B$14,MATCH($Y3257,'Reward Model'!$A$12:$A$14,0))*Z3257,2),0)</f>
        <v>0</v>
      </c>
    </row>
    <row r="3258" customFormat="false" ht="15" hidden="false" customHeight="false" outlineLevel="0" collapsed="false">
      <c r="A3258" s="0" t="s">
        <v>456</v>
      </c>
      <c r="B3258" s="0" t="s">
        <v>457</v>
      </c>
      <c r="C3258" s="0" t="s">
        <v>322</v>
      </c>
      <c r="D3258" s="0" t="s">
        <v>189</v>
      </c>
      <c r="E3258" s="0" t="n">
        <v>17</v>
      </c>
      <c r="F3258" s="0" t="s">
        <v>74</v>
      </c>
      <c r="G3258" s="0" t="s">
        <v>91</v>
      </c>
      <c r="H3258" s="0" t="s">
        <v>75</v>
      </c>
      <c r="I3258" s="0" t="s">
        <v>39</v>
      </c>
      <c r="J3258" s="0" t="n">
        <v>1.97</v>
      </c>
      <c r="K3258" s="0" t="s">
        <v>73</v>
      </c>
      <c r="L3258" s="0" t="n">
        <f aca="false">INDEX(Summary!$F$2:$F$201,MATCH($B3258,Summary!$A$2:$A$201,0))</f>
        <v>20</v>
      </c>
      <c r="M3258" s="0" t="n">
        <f aca="false">INDEX(Summary!$I$2:$I$201,MATCH($B3258,Summary!$A$2:$A$201,0))</f>
        <v>1</v>
      </c>
      <c r="N3258" s="0" t="n">
        <f aca="false">INDEX(Summary!$J$2:$J$201,MATCH($B3258,Summary!$A$2:$A$201,0))</f>
        <v>4</v>
      </c>
      <c r="O3258" s="2" t="n">
        <f aca="false">INDEX(Summary!$K$2:$K$201,MATCH($B3258,Summary!$A$2:$A$201,0))</f>
        <v>9.67</v>
      </c>
      <c r="P3258" s="3" t="n">
        <f aca="false">INDEX(Summary!$L$2:$L$201,MATCH($B3258,Summary!$A$2:$A$201,0))</f>
        <v>4</v>
      </c>
      <c r="Q3258" s="3" t="n">
        <f aca="false">INDEX(Summary!$M$2:$M$201,MATCH($B3258,Summary!$A$2:$A$201,0))</f>
        <v>2</v>
      </c>
      <c r="R3258" s="2" t="n">
        <f aca="false">INDEX(Summary!$N$2:$N$201,MATCH($B3258,Summary!$A$2:$A$201,0))</f>
        <v>11.33</v>
      </c>
      <c r="S3258" s="3" t="n">
        <f aca="false">INDEX(Summary!$O$2:$O$201,MATCH($B3258,Summary!$A$2:$A$201,0))</f>
        <v>7</v>
      </c>
      <c r="T3258" s="3" t="n">
        <f aca="false">INDEX(Summary!$P$2:$P$201,MATCH($B3258,Summary!$A$2:$A$201,0))</f>
        <v>2</v>
      </c>
      <c r="U3258" s="2" t="n">
        <f aca="false">INDEX(Summary!$Q$2:$Q$201,MATCH($B3258,Summary!$A$2:$A$201,0))</f>
        <v>12.06</v>
      </c>
      <c r="V3258" s="2" t="n">
        <f aca="false">INDEX(Summary!$R$2:$R$201,MATCH($B3258,Summary!$A$2:$A$201,0))</f>
        <v>19.9</v>
      </c>
      <c r="W3258" s="0" t="str">
        <f aca="false">INDEX(Summary!$S$2:$S$201,MATCH($B3258,Summary!$A$2:$A$201,0))</f>
        <v>Bronze</v>
      </c>
      <c r="X3258" s="2" t="n">
        <f aca="false">INDEX(Summary!$T$2:$T$201,MATCH($B3258,Summary!$A$2:$A$201,0))</f>
        <v>48.54</v>
      </c>
      <c r="Y3258" s="0" t="str">
        <f aca="false">INDEX('Reward Model'!$E$18:$E$37,MATCH($E3258,'Reward Model'!$A$18:$A$37,0))</f>
        <v>High</v>
      </c>
      <c r="Z3258" s="4" t="n">
        <f aca="false">ROUND(MIN(1,MAX('Reward Model'!$B$2,INDEX('Reward Model'!$C$12:$C$14,MATCH($K3258,'Reward Model'!$A$12:$A$14,0))/$J3258)),3)</f>
        <v>1</v>
      </c>
      <c r="AA3258" s="2" t="n">
        <f aca="false">IF($I3258="Correct",ROUND(INDEX('Reward Model'!$B$12:$B$14,MATCH($K3258,'Reward Model'!$A$12:$A$14,0))*Z3258,2),0)</f>
        <v>0</v>
      </c>
      <c r="AB3258" s="2" t="n">
        <f aca="false">IF($I3258="Correct",ROUND(INDEX('Reward Model'!$B$12:$B$14,MATCH($Y3258,'Reward Model'!$A$12:$A$14,0))*Z3258,2),0)</f>
        <v>0</v>
      </c>
    </row>
    <row r="3259" customFormat="false" ht="15" hidden="false" customHeight="false" outlineLevel="0" collapsed="false">
      <c r="A3259" s="0" t="s">
        <v>456</v>
      </c>
      <c r="B3259" s="0" t="s">
        <v>457</v>
      </c>
      <c r="C3259" s="0" t="s">
        <v>322</v>
      </c>
      <c r="D3259" s="0" t="s">
        <v>189</v>
      </c>
      <c r="E3259" s="0" t="n">
        <v>18</v>
      </c>
      <c r="F3259" s="0" t="s">
        <v>76</v>
      </c>
      <c r="G3259" s="0" t="s">
        <v>77</v>
      </c>
      <c r="H3259" s="0" t="s">
        <v>77</v>
      </c>
      <c r="I3259" s="0" t="s">
        <v>34</v>
      </c>
      <c r="J3259" s="0" t="n">
        <v>2.17</v>
      </c>
      <c r="K3259" s="0" t="s">
        <v>73</v>
      </c>
      <c r="L3259" s="0" t="n">
        <f aca="false">INDEX(Summary!$F$2:$F$201,MATCH($B3259,Summary!$A$2:$A$201,0))</f>
        <v>20</v>
      </c>
      <c r="M3259" s="0" t="n">
        <f aca="false">INDEX(Summary!$I$2:$I$201,MATCH($B3259,Summary!$A$2:$A$201,0))</f>
        <v>1</v>
      </c>
      <c r="N3259" s="0" t="n">
        <f aca="false">INDEX(Summary!$J$2:$J$201,MATCH($B3259,Summary!$A$2:$A$201,0))</f>
        <v>4</v>
      </c>
      <c r="O3259" s="2" t="n">
        <f aca="false">INDEX(Summary!$K$2:$K$201,MATCH($B3259,Summary!$A$2:$A$201,0))</f>
        <v>9.67</v>
      </c>
      <c r="P3259" s="3" t="n">
        <f aca="false">INDEX(Summary!$L$2:$L$201,MATCH($B3259,Summary!$A$2:$A$201,0))</f>
        <v>4</v>
      </c>
      <c r="Q3259" s="3" t="n">
        <f aca="false">INDEX(Summary!$M$2:$M$201,MATCH($B3259,Summary!$A$2:$A$201,0))</f>
        <v>2</v>
      </c>
      <c r="R3259" s="2" t="n">
        <f aca="false">INDEX(Summary!$N$2:$N$201,MATCH($B3259,Summary!$A$2:$A$201,0))</f>
        <v>11.33</v>
      </c>
      <c r="S3259" s="3" t="n">
        <f aca="false">INDEX(Summary!$O$2:$O$201,MATCH($B3259,Summary!$A$2:$A$201,0))</f>
        <v>7</v>
      </c>
      <c r="T3259" s="3" t="n">
        <f aca="false">INDEX(Summary!$P$2:$P$201,MATCH($B3259,Summary!$A$2:$A$201,0))</f>
        <v>2</v>
      </c>
      <c r="U3259" s="2" t="n">
        <f aca="false">INDEX(Summary!$Q$2:$Q$201,MATCH($B3259,Summary!$A$2:$A$201,0))</f>
        <v>12.06</v>
      </c>
      <c r="V3259" s="2" t="n">
        <f aca="false">INDEX(Summary!$R$2:$R$201,MATCH($B3259,Summary!$A$2:$A$201,0))</f>
        <v>19.9</v>
      </c>
      <c r="W3259" s="0" t="str">
        <f aca="false">INDEX(Summary!$S$2:$S$201,MATCH($B3259,Summary!$A$2:$A$201,0))</f>
        <v>Bronze</v>
      </c>
      <c r="X3259" s="2" t="n">
        <f aca="false">INDEX(Summary!$T$2:$T$201,MATCH($B3259,Summary!$A$2:$A$201,0))</f>
        <v>48.54</v>
      </c>
      <c r="Y3259" s="0" t="str">
        <f aca="false">INDEX('Reward Model'!$E$18:$E$37,MATCH($E3259,'Reward Model'!$A$18:$A$37,0))</f>
        <v>High</v>
      </c>
      <c r="Z3259" s="4" t="n">
        <f aca="false">ROUND(MIN(1,MAX('Reward Model'!$B$2,INDEX('Reward Model'!$C$12:$C$14,MATCH($K3259,'Reward Model'!$A$12:$A$14,0))/$J3259)),3)</f>
        <v>0.922</v>
      </c>
      <c r="AA3259" s="2" t="n">
        <f aca="false">IF($I3259="Correct",ROUND(INDEX('Reward Model'!$B$12:$B$14,MATCH($K3259,'Reward Model'!$A$12:$A$14,0))*Z3259,2),0)</f>
        <v>2.77</v>
      </c>
      <c r="AB3259" s="2" t="n">
        <f aca="false">IF($I3259="Correct",ROUND(INDEX('Reward Model'!$B$12:$B$14,MATCH($Y3259,'Reward Model'!$A$12:$A$14,0))*Z3259,2),0)</f>
        <v>2.77</v>
      </c>
    </row>
    <row r="3260" customFormat="false" ht="15" hidden="false" customHeight="false" outlineLevel="0" collapsed="false">
      <c r="A3260" s="0" t="s">
        <v>456</v>
      </c>
      <c r="B3260" s="0" t="s">
        <v>457</v>
      </c>
      <c r="C3260" s="0" t="s">
        <v>322</v>
      </c>
      <c r="D3260" s="0" t="s">
        <v>189</v>
      </c>
      <c r="E3260" s="0" t="n">
        <v>19</v>
      </c>
      <c r="F3260" s="0" t="s">
        <v>78</v>
      </c>
      <c r="G3260" s="0" t="s">
        <v>132</v>
      </c>
      <c r="H3260" s="0" t="s">
        <v>80</v>
      </c>
      <c r="I3260" s="0" t="s">
        <v>39</v>
      </c>
      <c r="J3260" s="0" t="n">
        <v>1.62</v>
      </c>
      <c r="K3260" s="0" t="s">
        <v>73</v>
      </c>
      <c r="L3260" s="0" t="n">
        <f aca="false">INDEX(Summary!$F$2:$F$201,MATCH($B3260,Summary!$A$2:$A$201,0))</f>
        <v>20</v>
      </c>
      <c r="M3260" s="0" t="n">
        <f aca="false">INDEX(Summary!$I$2:$I$201,MATCH($B3260,Summary!$A$2:$A$201,0))</f>
        <v>1</v>
      </c>
      <c r="N3260" s="0" t="n">
        <f aca="false">INDEX(Summary!$J$2:$J$201,MATCH($B3260,Summary!$A$2:$A$201,0))</f>
        <v>4</v>
      </c>
      <c r="O3260" s="2" t="n">
        <f aca="false">INDEX(Summary!$K$2:$K$201,MATCH($B3260,Summary!$A$2:$A$201,0))</f>
        <v>9.67</v>
      </c>
      <c r="P3260" s="3" t="n">
        <f aca="false">INDEX(Summary!$L$2:$L$201,MATCH($B3260,Summary!$A$2:$A$201,0))</f>
        <v>4</v>
      </c>
      <c r="Q3260" s="3" t="n">
        <f aca="false">INDEX(Summary!$M$2:$M$201,MATCH($B3260,Summary!$A$2:$A$201,0))</f>
        <v>2</v>
      </c>
      <c r="R3260" s="2" t="n">
        <f aca="false">INDEX(Summary!$N$2:$N$201,MATCH($B3260,Summary!$A$2:$A$201,0))</f>
        <v>11.33</v>
      </c>
      <c r="S3260" s="3" t="n">
        <f aca="false">INDEX(Summary!$O$2:$O$201,MATCH($B3260,Summary!$A$2:$A$201,0))</f>
        <v>7</v>
      </c>
      <c r="T3260" s="3" t="n">
        <f aca="false">INDEX(Summary!$P$2:$P$201,MATCH($B3260,Summary!$A$2:$A$201,0))</f>
        <v>2</v>
      </c>
      <c r="U3260" s="2" t="n">
        <f aca="false">INDEX(Summary!$Q$2:$Q$201,MATCH($B3260,Summary!$A$2:$A$201,0))</f>
        <v>12.06</v>
      </c>
      <c r="V3260" s="2" t="n">
        <f aca="false">INDEX(Summary!$R$2:$R$201,MATCH($B3260,Summary!$A$2:$A$201,0))</f>
        <v>19.9</v>
      </c>
      <c r="W3260" s="0" t="str">
        <f aca="false">INDEX(Summary!$S$2:$S$201,MATCH($B3260,Summary!$A$2:$A$201,0))</f>
        <v>Bronze</v>
      </c>
      <c r="X3260" s="2" t="n">
        <f aca="false">INDEX(Summary!$T$2:$T$201,MATCH($B3260,Summary!$A$2:$A$201,0))</f>
        <v>48.54</v>
      </c>
      <c r="Y3260" s="0" t="str">
        <f aca="false">INDEX('Reward Model'!$E$18:$E$37,MATCH($E3260,'Reward Model'!$A$18:$A$37,0))</f>
        <v>High</v>
      </c>
      <c r="Z3260" s="4" t="n">
        <f aca="false">ROUND(MIN(1,MAX('Reward Model'!$B$2,INDEX('Reward Model'!$C$12:$C$14,MATCH($K3260,'Reward Model'!$A$12:$A$14,0))/$J3260)),3)</f>
        <v>1</v>
      </c>
      <c r="AA3260" s="2" t="n">
        <f aca="false">IF($I3260="Correct",ROUND(INDEX('Reward Model'!$B$12:$B$14,MATCH($K3260,'Reward Model'!$A$12:$A$14,0))*Z3260,2),0)</f>
        <v>0</v>
      </c>
      <c r="AB3260" s="2" t="n">
        <f aca="false">IF($I3260="Correct",ROUND(INDEX('Reward Model'!$B$12:$B$14,MATCH($Y3260,'Reward Model'!$A$12:$A$14,0))*Z3260,2),0)</f>
        <v>0</v>
      </c>
    </row>
    <row r="3261" customFormat="false" ht="15" hidden="false" customHeight="false" outlineLevel="0" collapsed="false">
      <c r="A3261" s="0" t="s">
        <v>456</v>
      </c>
      <c r="B3261" s="0" t="s">
        <v>457</v>
      </c>
      <c r="C3261" s="0" t="s">
        <v>322</v>
      </c>
      <c r="D3261" s="0" t="s">
        <v>189</v>
      </c>
      <c r="E3261" s="0" t="n">
        <v>20</v>
      </c>
      <c r="F3261" s="0" t="s">
        <v>81</v>
      </c>
      <c r="G3261" s="0" t="s">
        <v>166</v>
      </c>
      <c r="H3261" s="0" t="s">
        <v>83</v>
      </c>
      <c r="I3261" s="0" t="s">
        <v>39</v>
      </c>
      <c r="J3261" s="0" t="n">
        <v>1.93</v>
      </c>
      <c r="K3261" s="0" t="s">
        <v>73</v>
      </c>
      <c r="L3261" s="0" t="n">
        <f aca="false">INDEX(Summary!$F$2:$F$201,MATCH($B3261,Summary!$A$2:$A$201,0))</f>
        <v>20</v>
      </c>
      <c r="M3261" s="0" t="n">
        <f aca="false">INDEX(Summary!$I$2:$I$201,MATCH($B3261,Summary!$A$2:$A$201,0))</f>
        <v>1</v>
      </c>
      <c r="N3261" s="0" t="n">
        <f aca="false">INDEX(Summary!$J$2:$J$201,MATCH($B3261,Summary!$A$2:$A$201,0))</f>
        <v>4</v>
      </c>
      <c r="O3261" s="2" t="n">
        <f aca="false">INDEX(Summary!$K$2:$K$201,MATCH($B3261,Summary!$A$2:$A$201,0))</f>
        <v>9.67</v>
      </c>
      <c r="P3261" s="3" t="n">
        <f aca="false">INDEX(Summary!$L$2:$L$201,MATCH($B3261,Summary!$A$2:$A$201,0))</f>
        <v>4</v>
      </c>
      <c r="Q3261" s="3" t="n">
        <f aca="false">INDEX(Summary!$M$2:$M$201,MATCH($B3261,Summary!$A$2:$A$201,0))</f>
        <v>2</v>
      </c>
      <c r="R3261" s="2" t="n">
        <f aca="false">INDEX(Summary!$N$2:$N$201,MATCH($B3261,Summary!$A$2:$A$201,0))</f>
        <v>11.33</v>
      </c>
      <c r="S3261" s="3" t="n">
        <f aca="false">INDEX(Summary!$O$2:$O$201,MATCH($B3261,Summary!$A$2:$A$201,0))</f>
        <v>7</v>
      </c>
      <c r="T3261" s="3" t="n">
        <f aca="false">INDEX(Summary!$P$2:$P$201,MATCH($B3261,Summary!$A$2:$A$201,0))</f>
        <v>2</v>
      </c>
      <c r="U3261" s="2" t="n">
        <f aca="false">INDEX(Summary!$Q$2:$Q$201,MATCH($B3261,Summary!$A$2:$A$201,0))</f>
        <v>12.06</v>
      </c>
      <c r="V3261" s="2" t="n">
        <f aca="false">INDEX(Summary!$R$2:$R$201,MATCH($B3261,Summary!$A$2:$A$201,0))</f>
        <v>19.9</v>
      </c>
      <c r="W3261" s="0" t="str">
        <f aca="false">INDEX(Summary!$S$2:$S$201,MATCH($B3261,Summary!$A$2:$A$201,0))</f>
        <v>Bronze</v>
      </c>
      <c r="X3261" s="2" t="n">
        <f aca="false">INDEX(Summary!$T$2:$T$201,MATCH($B3261,Summary!$A$2:$A$201,0))</f>
        <v>48.54</v>
      </c>
      <c r="Y3261" s="0" t="str">
        <f aca="false">INDEX('Reward Model'!$E$18:$E$37,MATCH($E3261,'Reward Model'!$A$18:$A$37,0))</f>
        <v>High</v>
      </c>
      <c r="Z3261" s="4" t="n">
        <f aca="false">ROUND(MIN(1,MAX('Reward Model'!$B$2,INDEX('Reward Model'!$C$12:$C$14,MATCH($K3261,'Reward Model'!$A$12:$A$14,0))/$J3261)),3)</f>
        <v>1</v>
      </c>
      <c r="AA3261" s="2" t="n">
        <f aca="false">IF($I3261="Correct",ROUND(INDEX('Reward Model'!$B$12:$B$14,MATCH($K3261,'Reward Model'!$A$12:$A$14,0))*Z3261,2),0)</f>
        <v>0</v>
      </c>
      <c r="AB3261" s="2" t="n">
        <f aca="false">IF($I3261="Correct",ROUND(INDEX('Reward Model'!$B$12:$B$14,MATCH($Y3261,'Reward Model'!$A$12:$A$14,0))*Z3261,2),0)</f>
        <v>0</v>
      </c>
    </row>
    <row r="3262" customFormat="false" ht="15" hidden="false" customHeight="false" outlineLevel="0" collapsed="false">
      <c r="A3262" s="0" t="s">
        <v>458</v>
      </c>
      <c r="B3262" s="0" t="s">
        <v>459</v>
      </c>
      <c r="C3262" s="0" t="s">
        <v>322</v>
      </c>
      <c r="D3262" s="0" t="s">
        <v>189</v>
      </c>
      <c r="E3262" s="0" t="n">
        <v>1</v>
      </c>
      <c r="F3262" s="0" t="s">
        <v>32</v>
      </c>
      <c r="G3262" s="0" t="s">
        <v>33</v>
      </c>
      <c r="H3262" s="0" t="s">
        <v>33</v>
      </c>
      <c r="I3262" s="0" t="s">
        <v>34</v>
      </c>
      <c r="J3262" s="0" t="n">
        <v>1.22</v>
      </c>
      <c r="K3262" s="0" t="s">
        <v>35</v>
      </c>
      <c r="L3262" s="0" t="n">
        <f aca="false">INDEX(Summary!$F$2:$F$201,MATCH($B3262,Summary!$A$2:$A$201,0))</f>
        <v>20</v>
      </c>
      <c r="M3262" s="0" t="n">
        <f aca="false">INDEX(Summary!$I$2:$I$201,MATCH($B3262,Summary!$A$2:$A$201,0))</f>
        <v>3</v>
      </c>
      <c r="N3262" s="0" t="n">
        <f aca="false">INDEX(Summary!$J$2:$J$201,MATCH($B3262,Summary!$A$2:$A$201,0))</f>
        <v>2</v>
      </c>
      <c r="O3262" s="2" t="n">
        <f aca="false">INDEX(Summary!$K$2:$K$201,MATCH($B3262,Summary!$A$2:$A$201,0))</f>
        <v>8.89</v>
      </c>
      <c r="P3262" s="3" t="n">
        <f aca="false">INDEX(Summary!$L$2:$L$201,MATCH($B3262,Summary!$A$2:$A$201,0))</f>
        <v>4</v>
      </c>
      <c r="Q3262" s="3" t="n">
        <f aca="false">INDEX(Summary!$M$2:$M$201,MATCH($B3262,Summary!$A$2:$A$201,0))</f>
        <v>2</v>
      </c>
      <c r="R3262" s="2" t="n">
        <f aca="false">INDEX(Summary!$N$2:$N$201,MATCH($B3262,Summary!$A$2:$A$201,0))</f>
        <v>9.8</v>
      </c>
      <c r="S3262" s="3" t="n">
        <f aca="false">INDEX(Summary!$O$2:$O$201,MATCH($B3262,Summary!$A$2:$A$201,0))</f>
        <v>8</v>
      </c>
      <c r="T3262" s="3" t="n">
        <f aca="false">INDEX(Summary!$P$2:$P$201,MATCH($B3262,Summary!$A$2:$A$201,0))</f>
        <v>1</v>
      </c>
      <c r="U3262" s="2" t="n">
        <f aca="false">INDEX(Summary!$Q$2:$Q$201,MATCH($B3262,Summary!$A$2:$A$201,0))</f>
        <v>14.32</v>
      </c>
      <c r="V3262" s="2" t="n">
        <f aca="false">INDEX(Summary!$R$2:$R$201,MATCH($B3262,Summary!$A$2:$A$201,0))</f>
        <v>28.96</v>
      </c>
      <c r="W3262" s="0" t="str">
        <f aca="false">INDEX(Summary!$S$2:$S$201,MATCH($B3262,Summary!$A$2:$A$201,0))</f>
        <v>Gold</v>
      </c>
      <c r="X3262" s="2" t="n">
        <f aca="false">INDEX(Summary!$T$2:$T$201,MATCH($B3262,Summary!$A$2:$A$201,0))</f>
        <v>70.63</v>
      </c>
      <c r="Y3262" s="0" t="str">
        <f aca="false">INDEX('Reward Model'!$E$18:$E$37,MATCH($E3262,'Reward Model'!$A$18:$A$37,0))</f>
        <v>Medium</v>
      </c>
      <c r="Z3262" s="4" t="n">
        <f aca="false">ROUND(MIN(1,MAX('Reward Model'!$B$2,INDEX('Reward Model'!$C$12:$C$14,MATCH($K3262,'Reward Model'!$A$12:$A$14,0))/$J3262)),3)</f>
        <v>1</v>
      </c>
      <c r="AA3262" s="2" t="n">
        <f aca="false">IF($I3262="Correct",ROUND(INDEX('Reward Model'!$B$12:$B$14,MATCH($K3262,'Reward Model'!$A$12:$A$14,0))*Z3262,2),0)</f>
        <v>1</v>
      </c>
      <c r="AB3262" s="2" t="n">
        <f aca="false">IF($I3262="Correct",ROUND(INDEX('Reward Model'!$B$12:$B$14,MATCH($Y3262,'Reward Model'!$A$12:$A$14,0))*Z3262,2),0)</f>
        <v>2</v>
      </c>
    </row>
    <row r="3263" customFormat="false" ht="15" hidden="false" customHeight="false" outlineLevel="0" collapsed="false">
      <c r="A3263" s="0" t="s">
        <v>458</v>
      </c>
      <c r="B3263" s="0" t="s">
        <v>459</v>
      </c>
      <c r="C3263" s="0" t="s">
        <v>322</v>
      </c>
      <c r="D3263" s="0" t="s">
        <v>189</v>
      </c>
      <c r="E3263" s="0" t="n">
        <v>2</v>
      </c>
      <c r="F3263" s="0" t="s">
        <v>36</v>
      </c>
      <c r="G3263" s="0" t="s">
        <v>38</v>
      </c>
      <c r="H3263" s="0" t="s">
        <v>38</v>
      </c>
      <c r="I3263" s="0" t="s">
        <v>34</v>
      </c>
      <c r="J3263" s="0" t="n">
        <v>1.77</v>
      </c>
      <c r="K3263" s="0" t="s">
        <v>35</v>
      </c>
      <c r="L3263" s="0" t="n">
        <f aca="false">INDEX(Summary!$F$2:$F$201,MATCH($B3263,Summary!$A$2:$A$201,0))</f>
        <v>20</v>
      </c>
      <c r="M3263" s="0" t="n">
        <f aca="false">INDEX(Summary!$I$2:$I$201,MATCH($B3263,Summary!$A$2:$A$201,0))</f>
        <v>3</v>
      </c>
      <c r="N3263" s="0" t="n">
        <f aca="false">INDEX(Summary!$J$2:$J$201,MATCH($B3263,Summary!$A$2:$A$201,0))</f>
        <v>2</v>
      </c>
      <c r="O3263" s="2" t="n">
        <f aca="false">INDEX(Summary!$K$2:$K$201,MATCH($B3263,Summary!$A$2:$A$201,0))</f>
        <v>8.89</v>
      </c>
      <c r="P3263" s="3" t="n">
        <f aca="false">INDEX(Summary!$L$2:$L$201,MATCH($B3263,Summary!$A$2:$A$201,0))</f>
        <v>4</v>
      </c>
      <c r="Q3263" s="3" t="n">
        <f aca="false">INDEX(Summary!$M$2:$M$201,MATCH($B3263,Summary!$A$2:$A$201,0))</f>
        <v>2</v>
      </c>
      <c r="R3263" s="2" t="n">
        <f aca="false">INDEX(Summary!$N$2:$N$201,MATCH($B3263,Summary!$A$2:$A$201,0))</f>
        <v>9.8</v>
      </c>
      <c r="S3263" s="3" t="n">
        <f aca="false">INDEX(Summary!$O$2:$O$201,MATCH($B3263,Summary!$A$2:$A$201,0))</f>
        <v>8</v>
      </c>
      <c r="T3263" s="3" t="n">
        <f aca="false">INDEX(Summary!$P$2:$P$201,MATCH($B3263,Summary!$A$2:$A$201,0))</f>
        <v>1</v>
      </c>
      <c r="U3263" s="2" t="n">
        <f aca="false">INDEX(Summary!$Q$2:$Q$201,MATCH($B3263,Summary!$A$2:$A$201,0))</f>
        <v>14.32</v>
      </c>
      <c r="V3263" s="2" t="n">
        <f aca="false">INDEX(Summary!$R$2:$R$201,MATCH($B3263,Summary!$A$2:$A$201,0))</f>
        <v>28.96</v>
      </c>
      <c r="W3263" s="0" t="str">
        <f aca="false">INDEX(Summary!$S$2:$S$201,MATCH($B3263,Summary!$A$2:$A$201,0))</f>
        <v>Gold</v>
      </c>
      <c r="X3263" s="2" t="n">
        <f aca="false">INDEX(Summary!$T$2:$T$201,MATCH($B3263,Summary!$A$2:$A$201,0))</f>
        <v>70.63</v>
      </c>
      <c r="Y3263" s="0" t="str">
        <f aca="false">INDEX('Reward Model'!$E$18:$E$37,MATCH($E3263,'Reward Model'!$A$18:$A$37,0))</f>
        <v>Low</v>
      </c>
      <c r="Z3263" s="4" t="n">
        <f aca="false">ROUND(MIN(1,MAX('Reward Model'!$B$2,INDEX('Reward Model'!$C$12:$C$14,MATCH($K3263,'Reward Model'!$A$12:$A$14,0))/$J3263)),3)</f>
        <v>0.847</v>
      </c>
      <c r="AA3263" s="2" t="n">
        <f aca="false">IF($I3263="Correct",ROUND(INDEX('Reward Model'!$B$12:$B$14,MATCH($K3263,'Reward Model'!$A$12:$A$14,0))*Z3263,2),0)</f>
        <v>0.85</v>
      </c>
      <c r="AB3263" s="2" t="n">
        <f aca="false">IF($I3263="Correct",ROUND(INDEX('Reward Model'!$B$12:$B$14,MATCH($Y3263,'Reward Model'!$A$12:$A$14,0))*Z3263,2),0)</f>
        <v>0.85</v>
      </c>
    </row>
    <row r="3264" customFormat="false" ht="15" hidden="false" customHeight="false" outlineLevel="0" collapsed="false">
      <c r="A3264" s="0" t="s">
        <v>458</v>
      </c>
      <c r="B3264" s="0" t="s">
        <v>459</v>
      </c>
      <c r="C3264" s="0" t="s">
        <v>322</v>
      </c>
      <c r="D3264" s="0" t="s">
        <v>189</v>
      </c>
      <c r="E3264" s="0" t="n">
        <v>3</v>
      </c>
      <c r="F3264" s="0" t="s">
        <v>40</v>
      </c>
      <c r="G3264" s="0" t="s">
        <v>42</v>
      </c>
      <c r="H3264" s="0" t="s">
        <v>42</v>
      </c>
      <c r="I3264" s="0" t="s">
        <v>34</v>
      </c>
      <c r="J3264" s="0" t="n">
        <v>1.29</v>
      </c>
      <c r="K3264" s="0" t="s">
        <v>35</v>
      </c>
      <c r="L3264" s="0" t="n">
        <f aca="false">INDEX(Summary!$F$2:$F$201,MATCH($B3264,Summary!$A$2:$A$201,0))</f>
        <v>20</v>
      </c>
      <c r="M3264" s="0" t="n">
        <f aca="false">INDEX(Summary!$I$2:$I$201,MATCH($B3264,Summary!$A$2:$A$201,0))</f>
        <v>3</v>
      </c>
      <c r="N3264" s="0" t="n">
        <f aca="false">INDEX(Summary!$J$2:$J$201,MATCH($B3264,Summary!$A$2:$A$201,0))</f>
        <v>2</v>
      </c>
      <c r="O3264" s="2" t="n">
        <f aca="false">INDEX(Summary!$K$2:$K$201,MATCH($B3264,Summary!$A$2:$A$201,0))</f>
        <v>8.89</v>
      </c>
      <c r="P3264" s="3" t="n">
        <f aca="false">INDEX(Summary!$L$2:$L$201,MATCH($B3264,Summary!$A$2:$A$201,0))</f>
        <v>4</v>
      </c>
      <c r="Q3264" s="3" t="n">
        <f aca="false">INDEX(Summary!$M$2:$M$201,MATCH($B3264,Summary!$A$2:$A$201,0))</f>
        <v>2</v>
      </c>
      <c r="R3264" s="2" t="n">
        <f aca="false">INDEX(Summary!$N$2:$N$201,MATCH($B3264,Summary!$A$2:$A$201,0))</f>
        <v>9.8</v>
      </c>
      <c r="S3264" s="3" t="n">
        <f aca="false">INDEX(Summary!$O$2:$O$201,MATCH($B3264,Summary!$A$2:$A$201,0))</f>
        <v>8</v>
      </c>
      <c r="T3264" s="3" t="n">
        <f aca="false">INDEX(Summary!$P$2:$P$201,MATCH($B3264,Summary!$A$2:$A$201,0))</f>
        <v>1</v>
      </c>
      <c r="U3264" s="2" t="n">
        <f aca="false">INDEX(Summary!$Q$2:$Q$201,MATCH($B3264,Summary!$A$2:$A$201,0))</f>
        <v>14.32</v>
      </c>
      <c r="V3264" s="2" t="n">
        <f aca="false">INDEX(Summary!$R$2:$R$201,MATCH($B3264,Summary!$A$2:$A$201,0))</f>
        <v>28.96</v>
      </c>
      <c r="W3264" s="0" t="str">
        <f aca="false">INDEX(Summary!$S$2:$S$201,MATCH($B3264,Summary!$A$2:$A$201,0))</f>
        <v>Gold</v>
      </c>
      <c r="X3264" s="2" t="n">
        <f aca="false">INDEX(Summary!$T$2:$T$201,MATCH($B3264,Summary!$A$2:$A$201,0))</f>
        <v>70.63</v>
      </c>
      <c r="Y3264" s="0" t="str">
        <f aca="false">INDEX('Reward Model'!$E$18:$E$37,MATCH($E3264,'Reward Model'!$A$18:$A$37,0))</f>
        <v>Medium</v>
      </c>
      <c r="Z3264" s="4" t="n">
        <f aca="false">ROUND(MIN(1,MAX('Reward Model'!$B$2,INDEX('Reward Model'!$C$12:$C$14,MATCH($K3264,'Reward Model'!$A$12:$A$14,0))/$J3264)),3)</f>
        <v>1</v>
      </c>
      <c r="AA3264" s="2" t="n">
        <f aca="false">IF($I3264="Correct",ROUND(INDEX('Reward Model'!$B$12:$B$14,MATCH($K3264,'Reward Model'!$A$12:$A$14,0))*Z3264,2),0)</f>
        <v>1</v>
      </c>
      <c r="AB3264" s="2" t="n">
        <f aca="false">IF($I3264="Correct",ROUND(INDEX('Reward Model'!$B$12:$B$14,MATCH($Y3264,'Reward Model'!$A$12:$A$14,0))*Z3264,2),0)</f>
        <v>2</v>
      </c>
    </row>
    <row r="3265" customFormat="false" ht="15" hidden="false" customHeight="false" outlineLevel="0" collapsed="false">
      <c r="A3265" s="0" t="s">
        <v>458</v>
      </c>
      <c r="B3265" s="0" t="s">
        <v>459</v>
      </c>
      <c r="C3265" s="0" t="s">
        <v>322</v>
      </c>
      <c r="D3265" s="0" t="s">
        <v>189</v>
      </c>
      <c r="E3265" s="0" t="n">
        <v>4</v>
      </c>
      <c r="F3265" s="0" t="s">
        <v>43</v>
      </c>
      <c r="G3265" s="0" t="s">
        <v>111</v>
      </c>
      <c r="H3265" s="0" t="s">
        <v>45</v>
      </c>
      <c r="I3265" s="0" t="s">
        <v>39</v>
      </c>
      <c r="J3265" s="0" t="n">
        <v>1.74</v>
      </c>
      <c r="K3265" s="0" t="s">
        <v>35</v>
      </c>
      <c r="L3265" s="0" t="n">
        <f aca="false">INDEX(Summary!$F$2:$F$201,MATCH($B3265,Summary!$A$2:$A$201,0))</f>
        <v>20</v>
      </c>
      <c r="M3265" s="0" t="n">
        <f aca="false">INDEX(Summary!$I$2:$I$201,MATCH($B3265,Summary!$A$2:$A$201,0))</f>
        <v>3</v>
      </c>
      <c r="N3265" s="0" t="n">
        <f aca="false">INDEX(Summary!$J$2:$J$201,MATCH($B3265,Summary!$A$2:$A$201,0))</f>
        <v>2</v>
      </c>
      <c r="O3265" s="2" t="n">
        <f aca="false">INDEX(Summary!$K$2:$K$201,MATCH($B3265,Summary!$A$2:$A$201,0))</f>
        <v>8.89</v>
      </c>
      <c r="P3265" s="3" t="n">
        <f aca="false">INDEX(Summary!$L$2:$L$201,MATCH($B3265,Summary!$A$2:$A$201,0))</f>
        <v>4</v>
      </c>
      <c r="Q3265" s="3" t="n">
        <f aca="false">INDEX(Summary!$M$2:$M$201,MATCH($B3265,Summary!$A$2:$A$201,0))</f>
        <v>2</v>
      </c>
      <c r="R3265" s="2" t="n">
        <f aca="false">INDEX(Summary!$N$2:$N$201,MATCH($B3265,Summary!$A$2:$A$201,0))</f>
        <v>9.8</v>
      </c>
      <c r="S3265" s="3" t="n">
        <f aca="false">INDEX(Summary!$O$2:$O$201,MATCH($B3265,Summary!$A$2:$A$201,0))</f>
        <v>8</v>
      </c>
      <c r="T3265" s="3" t="n">
        <f aca="false">INDEX(Summary!$P$2:$P$201,MATCH($B3265,Summary!$A$2:$A$201,0))</f>
        <v>1</v>
      </c>
      <c r="U3265" s="2" t="n">
        <f aca="false">INDEX(Summary!$Q$2:$Q$201,MATCH($B3265,Summary!$A$2:$A$201,0))</f>
        <v>14.32</v>
      </c>
      <c r="V3265" s="2" t="n">
        <f aca="false">INDEX(Summary!$R$2:$R$201,MATCH($B3265,Summary!$A$2:$A$201,0))</f>
        <v>28.96</v>
      </c>
      <c r="W3265" s="0" t="str">
        <f aca="false">INDEX(Summary!$S$2:$S$201,MATCH($B3265,Summary!$A$2:$A$201,0))</f>
        <v>Gold</v>
      </c>
      <c r="X3265" s="2" t="n">
        <f aca="false">INDEX(Summary!$T$2:$T$201,MATCH($B3265,Summary!$A$2:$A$201,0))</f>
        <v>70.63</v>
      </c>
      <c r="Y3265" s="0" t="str">
        <f aca="false">INDEX('Reward Model'!$E$18:$E$37,MATCH($E3265,'Reward Model'!$A$18:$A$37,0))</f>
        <v>Low</v>
      </c>
      <c r="Z3265" s="4" t="n">
        <f aca="false">ROUND(MIN(1,MAX('Reward Model'!$B$2,INDEX('Reward Model'!$C$12:$C$14,MATCH($K3265,'Reward Model'!$A$12:$A$14,0))/$J3265)),3)</f>
        <v>0.862</v>
      </c>
      <c r="AA3265" s="2" t="n">
        <f aca="false">IF($I3265="Correct",ROUND(INDEX('Reward Model'!$B$12:$B$14,MATCH($K3265,'Reward Model'!$A$12:$A$14,0))*Z3265,2),0)</f>
        <v>0</v>
      </c>
      <c r="AB3265" s="2" t="n">
        <f aca="false">IF($I3265="Correct",ROUND(INDEX('Reward Model'!$B$12:$B$14,MATCH($Y3265,'Reward Model'!$A$12:$A$14,0))*Z3265,2),0)</f>
        <v>0</v>
      </c>
    </row>
    <row r="3266" customFormat="false" ht="15" hidden="false" customHeight="false" outlineLevel="0" collapsed="false">
      <c r="A3266" s="0" t="s">
        <v>458</v>
      </c>
      <c r="B3266" s="0" t="s">
        <v>459</v>
      </c>
      <c r="C3266" s="0" t="s">
        <v>322</v>
      </c>
      <c r="D3266" s="0" t="s">
        <v>189</v>
      </c>
      <c r="E3266" s="0" t="n">
        <v>5</v>
      </c>
      <c r="F3266" s="0" t="s">
        <v>46</v>
      </c>
      <c r="G3266" s="0" t="s">
        <v>47</v>
      </c>
      <c r="H3266" s="0" t="s">
        <v>47</v>
      </c>
      <c r="I3266" s="0" t="s">
        <v>34</v>
      </c>
      <c r="J3266" s="0" t="n">
        <v>1.27</v>
      </c>
      <c r="K3266" s="0" t="s">
        <v>35</v>
      </c>
      <c r="L3266" s="0" t="n">
        <f aca="false">INDEX(Summary!$F$2:$F$201,MATCH($B3266,Summary!$A$2:$A$201,0))</f>
        <v>20</v>
      </c>
      <c r="M3266" s="0" t="n">
        <f aca="false">INDEX(Summary!$I$2:$I$201,MATCH($B3266,Summary!$A$2:$A$201,0))</f>
        <v>3</v>
      </c>
      <c r="N3266" s="0" t="n">
        <f aca="false">INDEX(Summary!$J$2:$J$201,MATCH($B3266,Summary!$A$2:$A$201,0))</f>
        <v>2</v>
      </c>
      <c r="O3266" s="2" t="n">
        <f aca="false">INDEX(Summary!$K$2:$K$201,MATCH($B3266,Summary!$A$2:$A$201,0))</f>
        <v>8.89</v>
      </c>
      <c r="P3266" s="3" t="n">
        <f aca="false">INDEX(Summary!$L$2:$L$201,MATCH($B3266,Summary!$A$2:$A$201,0))</f>
        <v>4</v>
      </c>
      <c r="Q3266" s="3" t="n">
        <f aca="false">INDEX(Summary!$M$2:$M$201,MATCH($B3266,Summary!$A$2:$A$201,0))</f>
        <v>2</v>
      </c>
      <c r="R3266" s="2" t="n">
        <f aca="false">INDEX(Summary!$N$2:$N$201,MATCH($B3266,Summary!$A$2:$A$201,0))</f>
        <v>9.8</v>
      </c>
      <c r="S3266" s="3" t="n">
        <f aca="false">INDEX(Summary!$O$2:$O$201,MATCH($B3266,Summary!$A$2:$A$201,0))</f>
        <v>8</v>
      </c>
      <c r="T3266" s="3" t="n">
        <f aca="false">INDEX(Summary!$P$2:$P$201,MATCH($B3266,Summary!$A$2:$A$201,0))</f>
        <v>1</v>
      </c>
      <c r="U3266" s="2" t="n">
        <f aca="false">INDEX(Summary!$Q$2:$Q$201,MATCH($B3266,Summary!$A$2:$A$201,0))</f>
        <v>14.32</v>
      </c>
      <c r="V3266" s="2" t="n">
        <f aca="false">INDEX(Summary!$R$2:$R$201,MATCH($B3266,Summary!$A$2:$A$201,0))</f>
        <v>28.96</v>
      </c>
      <c r="W3266" s="0" t="str">
        <f aca="false">INDEX(Summary!$S$2:$S$201,MATCH($B3266,Summary!$A$2:$A$201,0))</f>
        <v>Gold</v>
      </c>
      <c r="X3266" s="2" t="n">
        <f aca="false">INDEX(Summary!$T$2:$T$201,MATCH($B3266,Summary!$A$2:$A$201,0))</f>
        <v>70.63</v>
      </c>
      <c r="Y3266" s="0" t="str">
        <f aca="false">INDEX('Reward Model'!$E$18:$E$37,MATCH($E3266,'Reward Model'!$A$18:$A$37,0))</f>
        <v>Low</v>
      </c>
      <c r="Z3266" s="4" t="n">
        <f aca="false">ROUND(MIN(1,MAX('Reward Model'!$B$2,INDEX('Reward Model'!$C$12:$C$14,MATCH($K3266,'Reward Model'!$A$12:$A$14,0))/$J3266)),3)</f>
        <v>1</v>
      </c>
      <c r="AA3266" s="2" t="n">
        <f aca="false">IF($I3266="Correct",ROUND(INDEX('Reward Model'!$B$12:$B$14,MATCH($K3266,'Reward Model'!$A$12:$A$14,0))*Z3266,2),0)</f>
        <v>1</v>
      </c>
      <c r="AB3266" s="2" t="n">
        <f aca="false">IF($I3266="Correct",ROUND(INDEX('Reward Model'!$B$12:$B$14,MATCH($Y3266,'Reward Model'!$A$12:$A$14,0))*Z3266,2),0)</f>
        <v>1</v>
      </c>
    </row>
    <row r="3267" customFormat="false" ht="15" hidden="false" customHeight="false" outlineLevel="0" collapsed="false">
      <c r="A3267" s="0" t="s">
        <v>458</v>
      </c>
      <c r="B3267" s="0" t="s">
        <v>459</v>
      </c>
      <c r="C3267" s="0" t="s">
        <v>322</v>
      </c>
      <c r="D3267" s="0" t="s">
        <v>189</v>
      </c>
      <c r="E3267" s="0" t="n">
        <v>6</v>
      </c>
      <c r="F3267" s="0" t="s">
        <v>48</v>
      </c>
      <c r="G3267" s="0" t="s">
        <v>49</v>
      </c>
      <c r="H3267" s="0" t="s">
        <v>49</v>
      </c>
      <c r="I3267" s="0" t="s">
        <v>34</v>
      </c>
      <c r="J3267" s="0" t="n">
        <v>1.61</v>
      </c>
      <c r="K3267" s="0" t="s">
        <v>35</v>
      </c>
      <c r="L3267" s="0" t="n">
        <f aca="false">INDEX(Summary!$F$2:$F$201,MATCH($B3267,Summary!$A$2:$A$201,0))</f>
        <v>20</v>
      </c>
      <c r="M3267" s="0" t="n">
        <f aca="false">INDEX(Summary!$I$2:$I$201,MATCH($B3267,Summary!$A$2:$A$201,0))</f>
        <v>3</v>
      </c>
      <c r="N3267" s="0" t="n">
        <f aca="false">INDEX(Summary!$J$2:$J$201,MATCH($B3267,Summary!$A$2:$A$201,0))</f>
        <v>2</v>
      </c>
      <c r="O3267" s="2" t="n">
        <f aca="false">INDEX(Summary!$K$2:$K$201,MATCH($B3267,Summary!$A$2:$A$201,0))</f>
        <v>8.89</v>
      </c>
      <c r="P3267" s="3" t="n">
        <f aca="false">INDEX(Summary!$L$2:$L$201,MATCH($B3267,Summary!$A$2:$A$201,0))</f>
        <v>4</v>
      </c>
      <c r="Q3267" s="3" t="n">
        <f aca="false">INDEX(Summary!$M$2:$M$201,MATCH($B3267,Summary!$A$2:$A$201,0))</f>
        <v>2</v>
      </c>
      <c r="R3267" s="2" t="n">
        <f aca="false">INDEX(Summary!$N$2:$N$201,MATCH($B3267,Summary!$A$2:$A$201,0))</f>
        <v>9.8</v>
      </c>
      <c r="S3267" s="3" t="n">
        <f aca="false">INDEX(Summary!$O$2:$O$201,MATCH($B3267,Summary!$A$2:$A$201,0))</f>
        <v>8</v>
      </c>
      <c r="T3267" s="3" t="n">
        <f aca="false">INDEX(Summary!$P$2:$P$201,MATCH($B3267,Summary!$A$2:$A$201,0))</f>
        <v>1</v>
      </c>
      <c r="U3267" s="2" t="n">
        <f aca="false">INDEX(Summary!$Q$2:$Q$201,MATCH($B3267,Summary!$A$2:$A$201,0))</f>
        <v>14.32</v>
      </c>
      <c r="V3267" s="2" t="n">
        <f aca="false">INDEX(Summary!$R$2:$R$201,MATCH($B3267,Summary!$A$2:$A$201,0))</f>
        <v>28.96</v>
      </c>
      <c r="W3267" s="0" t="str">
        <f aca="false">INDEX(Summary!$S$2:$S$201,MATCH($B3267,Summary!$A$2:$A$201,0))</f>
        <v>Gold</v>
      </c>
      <c r="X3267" s="2" t="n">
        <f aca="false">INDEX(Summary!$T$2:$T$201,MATCH($B3267,Summary!$A$2:$A$201,0))</f>
        <v>70.63</v>
      </c>
      <c r="Y3267" s="0" t="str">
        <f aca="false">INDEX('Reward Model'!$E$18:$E$37,MATCH($E3267,'Reward Model'!$A$18:$A$37,0))</f>
        <v>Medium</v>
      </c>
      <c r="Z3267" s="4" t="n">
        <f aca="false">ROUND(MIN(1,MAX('Reward Model'!$B$2,INDEX('Reward Model'!$C$12:$C$14,MATCH($K3267,'Reward Model'!$A$12:$A$14,0))/$J3267)),3)</f>
        <v>0.932</v>
      </c>
      <c r="AA3267" s="2" t="n">
        <f aca="false">IF($I3267="Correct",ROUND(INDEX('Reward Model'!$B$12:$B$14,MATCH($K3267,'Reward Model'!$A$12:$A$14,0))*Z3267,2),0)</f>
        <v>0.93</v>
      </c>
      <c r="AB3267" s="2" t="n">
        <f aca="false">IF($I3267="Correct",ROUND(INDEX('Reward Model'!$B$12:$B$14,MATCH($Y3267,'Reward Model'!$A$12:$A$14,0))*Z3267,2),0)</f>
        <v>1.86</v>
      </c>
    </row>
    <row r="3268" customFormat="false" ht="15" hidden="false" customHeight="false" outlineLevel="0" collapsed="false">
      <c r="A3268" s="0" t="s">
        <v>458</v>
      </c>
      <c r="B3268" s="0" t="s">
        <v>459</v>
      </c>
      <c r="C3268" s="0" t="s">
        <v>322</v>
      </c>
      <c r="D3268" s="0" t="s">
        <v>189</v>
      </c>
      <c r="E3268" s="0" t="n">
        <v>7</v>
      </c>
      <c r="F3268" s="0" t="s">
        <v>50</v>
      </c>
      <c r="G3268" s="0" t="s">
        <v>51</v>
      </c>
      <c r="H3268" s="0" t="s">
        <v>51</v>
      </c>
      <c r="I3268" s="0" t="s">
        <v>34</v>
      </c>
      <c r="J3268" s="0" t="n">
        <v>1.99</v>
      </c>
      <c r="K3268" s="0" t="s">
        <v>35</v>
      </c>
      <c r="L3268" s="0" t="n">
        <f aca="false">INDEX(Summary!$F$2:$F$201,MATCH($B3268,Summary!$A$2:$A$201,0))</f>
        <v>20</v>
      </c>
      <c r="M3268" s="0" t="n">
        <f aca="false">INDEX(Summary!$I$2:$I$201,MATCH($B3268,Summary!$A$2:$A$201,0))</f>
        <v>3</v>
      </c>
      <c r="N3268" s="0" t="n">
        <f aca="false">INDEX(Summary!$J$2:$J$201,MATCH($B3268,Summary!$A$2:$A$201,0))</f>
        <v>2</v>
      </c>
      <c r="O3268" s="2" t="n">
        <f aca="false">INDEX(Summary!$K$2:$K$201,MATCH($B3268,Summary!$A$2:$A$201,0))</f>
        <v>8.89</v>
      </c>
      <c r="P3268" s="3" t="n">
        <f aca="false">INDEX(Summary!$L$2:$L$201,MATCH($B3268,Summary!$A$2:$A$201,0))</f>
        <v>4</v>
      </c>
      <c r="Q3268" s="3" t="n">
        <f aca="false">INDEX(Summary!$M$2:$M$201,MATCH($B3268,Summary!$A$2:$A$201,0))</f>
        <v>2</v>
      </c>
      <c r="R3268" s="2" t="n">
        <f aca="false">INDEX(Summary!$N$2:$N$201,MATCH($B3268,Summary!$A$2:$A$201,0))</f>
        <v>9.8</v>
      </c>
      <c r="S3268" s="3" t="n">
        <f aca="false">INDEX(Summary!$O$2:$O$201,MATCH($B3268,Summary!$A$2:$A$201,0))</f>
        <v>8</v>
      </c>
      <c r="T3268" s="3" t="n">
        <f aca="false">INDEX(Summary!$P$2:$P$201,MATCH($B3268,Summary!$A$2:$A$201,0))</f>
        <v>1</v>
      </c>
      <c r="U3268" s="2" t="n">
        <f aca="false">INDEX(Summary!$Q$2:$Q$201,MATCH($B3268,Summary!$A$2:$A$201,0))</f>
        <v>14.32</v>
      </c>
      <c r="V3268" s="2" t="n">
        <f aca="false">INDEX(Summary!$R$2:$R$201,MATCH($B3268,Summary!$A$2:$A$201,0))</f>
        <v>28.96</v>
      </c>
      <c r="W3268" s="0" t="str">
        <f aca="false">INDEX(Summary!$S$2:$S$201,MATCH($B3268,Summary!$A$2:$A$201,0))</f>
        <v>Gold</v>
      </c>
      <c r="X3268" s="2" t="n">
        <f aca="false">INDEX(Summary!$T$2:$T$201,MATCH($B3268,Summary!$A$2:$A$201,0))</f>
        <v>70.63</v>
      </c>
      <c r="Y3268" s="0" t="str">
        <f aca="false">INDEX('Reward Model'!$E$18:$E$37,MATCH($E3268,'Reward Model'!$A$18:$A$37,0))</f>
        <v>Low</v>
      </c>
      <c r="Z3268" s="4" t="n">
        <f aca="false">ROUND(MIN(1,MAX('Reward Model'!$B$2,INDEX('Reward Model'!$C$12:$C$14,MATCH($K3268,'Reward Model'!$A$12:$A$14,0))/$J3268)),3)</f>
        <v>0.754</v>
      </c>
      <c r="AA3268" s="2" t="n">
        <f aca="false">IF($I3268="Correct",ROUND(INDEX('Reward Model'!$B$12:$B$14,MATCH($K3268,'Reward Model'!$A$12:$A$14,0))*Z3268,2),0)</f>
        <v>0.75</v>
      </c>
      <c r="AB3268" s="2" t="n">
        <f aca="false">IF($I3268="Correct",ROUND(INDEX('Reward Model'!$B$12:$B$14,MATCH($Y3268,'Reward Model'!$A$12:$A$14,0))*Z3268,2),0)</f>
        <v>0.75</v>
      </c>
    </row>
    <row r="3269" customFormat="false" ht="15" hidden="false" customHeight="false" outlineLevel="0" collapsed="false">
      <c r="A3269" s="0" t="s">
        <v>458</v>
      </c>
      <c r="B3269" s="0" t="s">
        <v>459</v>
      </c>
      <c r="C3269" s="0" t="s">
        <v>322</v>
      </c>
      <c r="D3269" s="0" t="s">
        <v>189</v>
      </c>
      <c r="E3269" s="0" t="n">
        <v>8</v>
      </c>
      <c r="F3269" s="0" t="s">
        <v>52</v>
      </c>
      <c r="G3269" s="0" t="s">
        <v>54</v>
      </c>
      <c r="H3269" s="0" t="s">
        <v>54</v>
      </c>
      <c r="I3269" s="0" t="s">
        <v>34</v>
      </c>
      <c r="J3269" s="0" t="n">
        <v>1.74</v>
      </c>
      <c r="K3269" s="0" t="s">
        <v>35</v>
      </c>
      <c r="L3269" s="0" t="n">
        <f aca="false">INDEX(Summary!$F$2:$F$201,MATCH($B3269,Summary!$A$2:$A$201,0))</f>
        <v>20</v>
      </c>
      <c r="M3269" s="0" t="n">
        <f aca="false">INDEX(Summary!$I$2:$I$201,MATCH($B3269,Summary!$A$2:$A$201,0))</f>
        <v>3</v>
      </c>
      <c r="N3269" s="0" t="n">
        <f aca="false">INDEX(Summary!$J$2:$J$201,MATCH($B3269,Summary!$A$2:$A$201,0))</f>
        <v>2</v>
      </c>
      <c r="O3269" s="2" t="n">
        <f aca="false">INDEX(Summary!$K$2:$K$201,MATCH($B3269,Summary!$A$2:$A$201,0))</f>
        <v>8.89</v>
      </c>
      <c r="P3269" s="3" t="n">
        <f aca="false">INDEX(Summary!$L$2:$L$201,MATCH($B3269,Summary!$A$2:$A$201,0))</f>
        <v>4</v>
      </c>
      <c r="Q3269" s="3" t="n">
        <f aca="false">INDEX(Summary!$M$2:$M$201,MATCH($B3269,Summary!$A$2:$A$201,0))</f>
        <v>2</v>
      </c>
      <c r="R3269" s="2" t="n">
        <f aca="false">INDEX(Summary!$N$2:$N$201,MATCH($B3269,Summary!$A$2:$A$201,0))</f>
        <v>9.8</v>
      </c>
      <c r="S3269" s="3" t="n">
        <f aca="false">INDEX(Summary!$O$2:$O$201,MATCH($B3269,Summary!$A$2:$A$201,0))</f>
        <v>8</v>
      </c>
      <c r="T3269" s="3" t="n">
        <f aca="false">INDEX(Summary!$P$2:$P$201,MATCH($B3269,Summary!$A$2:$A$201,0))</f>
        <v>1</v>
      </c>
      <c r="U3269" s="2" t="n">
        <f aca="false">INDEX(Summary!$Q$2:$Q$201,MATCH($B3269,Summary!$A$2:$A$201,0))</f>
        <v>14.32</v>
      </c>
      <c r="V3269" s="2" t="n">
        <f aca="false">INDEX(Summary!$R$2:$R$201,MATCH($B3269,Summary!$A$2:$A$201,0))</f>
        <v>28.96</v>
      </c>
      <c r="W3269" s="0" t="str">
        <f aca="false">INDEX(Summary!$S$2:$S$201,MATCH($B3269,Summary!$A$2:$A$201,0))</f>
        <v>Gold</v>
      </c>
      <c r="X3269" s="2" t="n">
        <f aca="false">INDEX(Summary!$T$2:$T$201,MATCH($B3269,Summary!$A$2:$A$201,0))</f>
        <v>70.63</v>
      </c>
      <c r="Y3269" s="0" t="str">
        <f aca="false">INDEX('Reward Model'!$E$18:$E$37,MATCH($E3269,'Reward Model'!$A$18:$A$37,0))</f>
        <v>Medium</v>
      </c>
      <c r="Z3269" s="4" t="n">
        <f aca="false">ROUND(MIN(1,MAX('Reward Model'!$B$2,INDEX('Reward Model'!$C$12:$C$14,MATCH($K3269,'Reward Model'!$A$12:$A$14,0))/$J3269)),3)</f>
        <v>0.862</v>
      </c>
      <c r="AA3269" s="2" t="n">
        <f aca="false">IF($I3269="Correct",ROUND(INDEX('Reward Model'!$B$12:$B$14,MATCH($K3269,'Reward Model'!$A$12:$A$14,0))*Z3269,2),0)</f>
        <v>0.86</v>
      </c>
      <c r="AB3269" s="2" t="n">
        <f aca="false">IF($I3269="Correct",ROUND(INDEX('Reward Model'!$B$12:$B$14,MATCH($Y3269,'Reward Model'!$A$12:$A$14,0))*Z3269,2),0)</f>
        <v>1.72</v>
      </c>
    </row>
    <row r="3270" customFormat="false" ht="15" hidden="false" customHeight="false" outlineLevel="0" collapsed="false">
      <c r="A3270" s="0" t="s">
        <v>458</v>
      </c>
      <c r="B3270" s="0" t="s">
        <v>459</v>
      </c>
      <c r="C3270" s="0" t="s">
        <v>322</v>
      </c>
      <c r="D3270" s="0" t="s">
        <v>189</v>
      </c>
      <c r="E3270" s="0" t="n">
        <v>9</v>
      </c>
      <c r="F3270" s="0" t="s">
        <v>55</v>
      </c>
      <c r="G3270" s="0" t="s">
        <v>57</v>
      </c>
      <c r="H3270" s="0" t="s">
        <v>57</v>
      </c>
      <c r="I3270" s="0" t="s">
        <v>34</v>
      </c>
      <c r="J3270" s="0" t="n">
        <v>1.69</v>
      </c>
      <c r="K3270" s="0" t="s">
        <v>35</v>
      </c>
      <c r="L3270" s="0" t="n">
        <f aca="false">INDEX(Summary!$F$2:$F$201,MATCH($B3270,Summary!$A$2:$A$201,0))</f>
        <v>20</v>
      </c>
      <c r="M3270" s="0" t="n">
        <f aca="false">INDEX(Summary!$I$2:$I$201,MATCH($B3270,Summary!$A$2:$A$201,0))</f>
        <v>3</v>
      </c>
      <c r="N3270" s="0" t="n">
        <f aca="false">INDEX(Summary!$J$2:$J$201,MATCH($B3270,Summary!$A$2:$A$201,0))</f>
        <v>2</v>
      </c>
      <c r="O3270" s="2" t="n">
        <f aca="false">INDEX(Summary!$K$2:$K$201,MATCH($B3270,Summary!$A$2:$A$201,0))</f>
        <v>8.89</v>
      </c>
      <c r="P3270" s="3" t="n">
        <f aca="false">INDEX(Summary!$L$2:$L$201,MATCH($B3270,Summary!$A$2:$A$201,0))</f>
        <v>4</v>
      </c>
      <c r="Q3270" s="3" t="n">
        <f aca="false">INDEX(Summary!$M$2:$M$201,MATCH($B3270,Summary!$A$2:$A$201,0))</f>
        <v>2</v>
      </c>
      <c r="R3270" s="2" t="n">
        <f aca="false">INDEX(Summary!$N$2:$N$201,MATCH($B3270,Summary!$A$2:$A$201,0))</f>
        <v>9.8</v>
      </c>
      <c r="S3270" s="3" t="n">
        <f aca="false">INDEX(Summary!$O$2:$O$201,MATCH($B3270,Summary!$A$2:$A$201,0))</f>
        <v>8</v>
      </c>
      <c r="T3270" s="3" t="n">
        <f aca="false">INDEX(Summary!$P$2:$P$201,MATCH($B3270,Summary!$A$2:$A$201,0))</f>
        <v>1</v>
      </c>
      <c r="U3270" s="2" t="n">
        <f aca="false">INDEX(Summary!$Q$2:$Q$201,MATCH($B3270,Summary!$A$2:$A$201,0))</f>
        <v>14.32</v>
      </c>
      <c r="V3270" s="2" t="n">
        <f aca="false">INDEX(Summary!$R$2:$R$201,MATCH($B3270,Summary!$A$2:$A$201,0))</f>
        <v>28.96</v>
      </c>
      <c r="W3270" s="0" t="str">
        <f aca="false">INDEX(Summary!$S$2:$S$201,MATCH($B3270,Summary!$A$2:$A$201,0))</f>
        <v>Gold</v>
      </c>
      <c r="X3270" s="2" t="n">
        <f aca="false">INDEX(Summary!$T$2:$T$201,MATCH($B3270,Summary!$A$2:$A$201,0))</f>
        <v>70.63</v>
      </c>
      <c r="Y3270" s="0" t="str">
        <f aca="false">INDEX('Reward Model'!$E$18:$E$37,MATCH($E3270,'Reward Model'!$A$18:$A$37,0))</f>
        <v>Medium</v>
      </c>
      <c r="Z3270" s="4" t="n">
        <f aca="false">ROUND(MIN(1,MAX('Reward Model'!$B$2,INDEX('Reward Model'!$C$12:$C$14,MATCH($K3270,'Reward Model'!$A$12:$A$14,0))/$J3270)),3)</f>
        <v>0.888</v>
      </c>
      <c r="AA3270" s="2" t="n">
        <f aca="false">IF($I3270="Correct",ROUND(INDEX('Reward Model'!$B$12:$B$14,MATCH($K3270,'Reward Model'!$A$12:$A$14,0))*Z3270,2),0)</f>
        <v>0.89</v>
      </c>
      <c r="AB3270" s="2" t="n">
        <f aca="false">IF($I3270="Correct",ROUND(INDEX('Reward Model'!$B$12:$B$14,MATCH($Y3270,'Reward Model'!$A$12:$A$14,0))*Z3270,2),0)</f>
        <v>1.78</v>
      </c>
    </row>
    <row r="3271" customFormat="false" ht="15" hidden="false" customHeight="false" outlineLevel="0" collapsed="false">
      <c r="A3271" s="0" t="s">
        <v>458</v>
      </c>
      <c r="B3271" s="0" t="s">
        <v>459</v>
      </c>
      <c r="C3271" s="0" t="s">
        <v>322</v>
      </c>
      <c r="D3271" s="0" t="s">
        <v>189</v>
      </c>
      <c r="E3271" s="0" t="n">
        <v>10</v>
      </c>
      <c r="F3271" s="0" t="s">
        <v>58</v>
      </c>
      <c r="G3271" s="0" t="s">
        <v>59</v>
      </c>
      <c r="H3271" s="0" t="s">
        <v>59</v>
      </c>
      <c r="I3271" s="0" t="s">
        <v>34</v>
      </c>
      <c r="J3271" s="0" t="n">
        <v>1.77</v>
      </c>
      <c r="K3271" s="0" t="s">
        <v>60</v>
      </c>
      <c r="L3271" s="0" t="n">
        <f aca="false">INDEX(Summary!$F$2:$F$201,MATCH($B3271,Summary!$A$2:$A$201,0))</f>
        <v>20</v>
      </c>
      <c r="M3271" s="0" t="n">
        <f aca="false">INDEX(Summary!$I$2:$I$201,MATCH($B3271,Summary!$A$2:$A$201,0))</f>
        <v>3</v>
      </c>
      <c r="N3271" s="0" t="n">
        <f aca="false">INDEX(Summary!$J$2:$J$201,MATCH($B3271,Summary!$A$2:$A$201,0))</f>
        <v>2</v>
      </c>
      <c r="O3271" s="2" t="n">
        <f aca="false">INDEX(Summary!$K$2:$K$201,MATCH($B3271,Summary!$A$2:$A$201,0))</f>
        <v>8.89</v>
      </c>
      <c r="P3271" s="3" t="n">
        <f aca="false">INDEX(Summary!$L$2:$L$201,MATCH($B3271,Summary!$A$2:$A$201,0))</f>
        <v>4</v>
      </c>
      <c r="Q3271" s="3" t="n">
        <f aca="false">INDEX(Summary!$M$2:$M$201,MATCH($B3271,Summary!$A$2:$A$201,0))</f>
        <v>2</v>
      </c>
      <c r="R3271" s="2" t="n">
        <f aca="false">INDEX(Summary!$N$2:$N$201,MATCH($B3271,Summary!$A$2:$A$201,0))</f>
        <v>9.8</v>
      </c>
      <c r="S3271" s="3" t="n">
        <f aca="false">INDEX(Summary!$O$2:$O$201,MATCH($B3271,Summary!$A$2:$A$201,0))</f>
        <v>8</v>
      </c>
      <c r="T3271" s="3" t="n">
        <f aca="false">INDEX(Summary!$P$2:$P$201,MATCH($B3271,Summary!$A$2:$A$201,0))</f>
        <v>1</v>
      </c>
      <c r="U3271" s="2" t="n">
        <f aca="false">INDEX(Summary!$Q$2:$Q$201,MATCH($B3271,Summary!$A$2:$A$201,0))</f>
        <v>14.32</v>
      </c>
      <c r="V3271" s="2" t="n">
        <f aca="false">INDEX(Summary!$R$2:$R$201,MATCH($B3271,Summary!$A$2:$A$201,0))</f>
        <v>28.96</v>
      </c>
      <c r="W3271" s="0" t="str">
        <f aca="false">INDEX(Summary!$S$2:$S$201,MATCH($B3271,Summary!$A$2:$A$201,0))</f>
        <v>Gold</v>
      </c>
      <c r="X3271" s="2" t="n">
        <f aca="false">INDEX(Summary!$T$2:$T$201,MATCH($B3271,Summary!$A$2:$A$201,0))</f>
        <v>70.63</v>
      </c>
      <c r="Y3271" s="0" t="str">
        <f aca="false">INDEX('Reward Model'!$E$18:$E$37,MATCH($E3271,'Reward Model'!$A$18:$A$37,0))</f>
        <v>Medium</v>
      </c>
      <c r="Z3271" s="4" t="n">
        <f aca="false">ROUND(MIN(1,MAX('Reward Model'!$B$2,INDEX('Reward Model'!$C$12:$C$14,MATCH($K3271,'Reward Model'!$A$12:$A$14,0))/$J3271)),3)</f>
        <v>1</v>
      </c>
      <c r="AA3271" s="2" t="n">
        <f aca="false">IF($I3271="Correct",ROUND(INDEX('Reward Model'!$B$12:$B$14,MATCH($K3271,'Reward Model'!$A$12:$A$14,0))*Z3271,2),0)</f>
        <v>2</v>
      </c>
      <c r="AB3271" s="2" t="n">
        <f aca="false">IF($I3271="Correct",ROUND(INDEX('Reward Model'!$B$12:$B$14,MATCH($Y3271,'Reward Model'!$A$12:$A$14,0))*Z3271,2),0)</f>
        <v>2</v>
      </c>
    </row>
    <row r="3272" customFormat="false" ht="15" hidden="false" customHeight="false" outlineLevel="0" collapsed="false">
      <c r="A3272" s="0" t="s">
        <v>458</v>
      </c>
      <c r="B3272" s="0" t="s">
        <v>459</v>
      </c>
      <c r="C3272" s="0" t="s">
        <v>322</v>
      </c>
      <c r="D3272" s="0" t="s">
        <v>189</v>
      </c>
      <c r="E3272" s="0" t="n">
        <v>11</v>
      </c>
      <c r="F3272" s="0" t="s">
        <v>61</v>
      </c>
      <c r="G3272" s="0" t="s">
        <v>63</v>
      </c>
      <c r="H3272" s="0" t="s">
        <v>63</v>
      </c>
      <c r="I3272" s="0" t="s">
        <v>34</v>
      </c>
      <c r="J3272" s="0" t="n">
        <v>1.76</v>
      </c>
      <c r="K3272" s="0" t="s">
        <v>60</v>
      </c>
      <c r="L3272" s="0" t="n">
        <f aca="false">INDEX(Summary!$F$2:$F$201,MATCH($B3272,Summary!$A$2:$A$201,0))</f>
        <v>20</v>
      </c>
      <c r="M3272" s="0" t="n">
        <f aca="false">INDEX(Summary!$I$2:$I$201,MATCH($B3272,Summary!$A$2:$A$201,0))</f>
        <v>3</v>
      </c>
      <c r="N3272" s="0" t="n">
        <f aca="false">INDEX(Summary!$J$2:$J$201,MATCH($B3272,Summary!$A$2:$A$201,0))</f>
        <v>2</v>
      </c>
      <c r="O3272" s="2" t="n">
        <f aca="false">INDEX(Summary!$K$2:$K$201,MATCH($B3272,Summary!$A$2:$A$201,0))</f>
        <v>8.89</v>
      </c>
      <c r="P3272" s="3" t="n">
        <f aca="false">INDEX(Summary!$L$2:$L$201,MATCH($B3272,Summary!$A$2:$A$201,0))</f>
        <v>4</v>
      </c>
      <c r="Q3272" s="3" t="n">
        <f aca="false">INDEX(Summary!$M$2:$M$201,MATCH($B3272,Summary!$A$2:$A$201,0))</f>
        <v>2</v>
      </c>
      <c r="R3272" s="2" t="n">
        <f aca="false">INDEX(Summary!$N$2:$N$201,MATCH($B3272,Summary!$A$2:$A$201,0))</f>
        <v>9.8</v>
      </c>
      <c r="S3272" s="3" t="n">
        <f aca="false">INDEX(Summary!$O$2:$O$201,MATCH($B3272,Summary!$A$2:$A$201,0))</f>
        <v>8</v>
      </c>
      <c r="T3272" s="3" t="n">
        <f aca="false">INDEX(Summary!$P$2:$P$201,MATCH($B3272,Summary!$A$2:$A$201,0))</f>
        <v>1</v>
      </c>
      <c r="U3272" s="2" t="n">
        <f aca="false">INDEX(Summary!$Q$2:$Q$201,MATCH($B3272,Summary!$A$2:$A$201,0))</f>
        <v>14.32</v>
      </c>
      <c r="V3272" s="2" t="n">
        <f aca="false">INDEX(Summary!$R$2:$R$201,MATCH($B3272,Summary!$A$2:$A$201,0))</f>
        <v>28.96</v>
      </c>
      <c r="W3272" s="0" t="str">
        <f aca="false">INDEX(Summary!$S$2:$S$201,MATCH($B3272,Summary!$A$2:$A$201,0))</f>
        <v>Gold</v>
      </c>
      <c r="X3272" s="2" t="n">
        <f aca="false">INDEX(Summary!$T$2:$T$201,MATCH($B3272,Summary!$A$2:$A$201,0))</f>
        <v>70.63</v>
      </c>
      <c r="Y3272" s="0" t="str">
        <f aca="false">INDEX('Reward Model'!$E$18:$E$37,MATCH($E3272,'Reward Model'!$A$18:$A$37,0))</f>
        <v>Medium</v>
      </c>
      <c r="Z3272" s="4" t="n">
        <f aca="false">ROUND(MIN(1,MAX('Reward Model'!$B$2,INDEX('Reward Model'!$C$12:$C$14,MATCH($K3272,'Reward Model'!$A$12:$A$14,0))/$J3272)),3)</f>
        <v>1</v>
      </c>
      <c r="AA3272" s="2" t="n">
        <f aca="false">IF($I3272="Correct",ROUND(INDEX('Reward Model'!$B$12:$B$14,MATCH($K3272,'Reward Model'!$A$12:$A$14,0))*Z3272,2),0)</f>
        <v>2</v>
      </c>
      <c r="AB3272" s="2" t="n">
        <f aca="false">IF($I3272="Correct",ROUND(INDEX('Reward Model'!$B$12:$B$14,MATCH($Y3272,'Reward Model'!$A$12:$A$14,0))*Z3272,2),0)</f>
        <v>2</v>
      </c>
    </row>
    <row r="3273" customFormat="false" ht="15" hidden="false" customHeight="false" outlineLevel="0" collapsed="false">
      <c r="A3273" s="0" t="s">
        <v>458</v>
      </c>
      <c r="B3273" s="0" t="s">
        <v>459</v>
      </c>
      <c r="C3273" s="0" t="s">
        <v>322</v>
      </c>
      <c r="D3273" s="0" t="s">
        <v>189</v>
      </c>
      <c r="E3273" s="0" t="n">
        <v>12</v>
      </c>
      <c r="F3273" s="0" t="s">
        <v>64</v>
      </c>
      <c r="G3273" s="0" t="s">
        <v>146</v>
      </c>
      <c r="H3273" s="0" t="s">
        <v>65</v>
      </c>
      <c r="I3273" s="0" t="s">
        <v>39</v>
      </c>
      <c r="J3273" s="0" t="n">
        <v>1.19</v>
      </c>
      <c r="K3273" s="0" t="s">
        <v>60</v>
      </c>
      <c r="L3273" s="0" t="n">
        <f aca="false">INDEX(Summary!$F$2:$F$201,MATCH($B3273,Summary!$A$2:$A$201,0))</f>
        <v>20</v>
      </c>
      <c r="M3273" s="0" t="n">
        <f aca="false">INDEX(Summary!$I$2:$I$201,MATCH($B3273,Summary!$A$2:$A$201,0))</f>
        <v>3</v>
      </c>
      <c r="N3273" s="0" t="n">
        <f aca="false">INDEX(Summary!$J$2:$J$201,MATCH($B3273,Summary!$A$2:$A$201,0))</f>
        <v>2</v>
      </c>
      <c r="O3273" s="2" t="n">
        <f aca="false">INDEX(Summary!$K$2:$K$201,MATCH($B3273,Summary!$A$2:$A$201,0))</f>
        <v>8.89</v>
      </c>
      <c r="P3273" s="3" t="n">
        <f aca="false">INDEX(Summary!$L$2:$L$201,MATCH($B3273,Summary!$A$2:$A$201,0))</f>
        <v>4</v>
      </c>
      <c r="Q3273" s="3" t="n">
        <f aca="false">INDEX(Summary!$M$2:$M$201,MATCH($B3273,Summary!$A$2:$A$201,0))</f>
        <v>2</v>
      </c>
      <c r="R3273" s="2" t="n">
        <f aca="false">INDEX(Summary!$N$2:$N$201,MATCH($B3273,Summary!$A$2:$A$201,0))</f>
        <v>9.8</v>
      </c>
      <c r="S3273" s="3" t="n">
        <f aca="false">INDEX(Summary!$O$2:$O$201,MATCH($B3273,Summary!$A$2:$A$201,0))</f>
        <v>8</v>
      </c>
      <c r="T3273" s="3" t="n">
        <f aca="false">INDEX(Summary!$P$2:$P$201,MATCH($B3273,Summary!$A$2:$A$201,0))</f>
        <v>1</v>
      </c>
      <c r="U3273" s="2" t="n">
        <f aca="false">INDEX(Summary!$Q$2:$Q$201,MATCH($B3273,Summary!$A$2:$A$201,0))</f>
        <v>14.32</v>
      </c>
      <c r="V3273" s="2" t="n">
        <f aca="false">INDEX(Summary!$R$2:$R$201,MATCH($B3273,Summary!$A$2:$A$201,0))</f>
        <v>28.96</v>
      </c>
      <c r="W3273" s="0" t="str">
        <f aca="false">INDEX(Summary!$S$2:$S$201,MATCH($B3273,Summary!$A$2:$A$201,0))</f>
        <v>Gold</v>
      </c>
      <c r="X3273" s="2" t="n">
        <f aca="false">INDEX(Summary!$T$2:$T$201,MATCH($B3273,Summary!$A$2:$A$201,0))</f>
        <v>70.63</v>
      </c>
      <c r="Y3273" s="0" t="str">
        <f aca="false">INDEX('Reward Model'!$E$18:$E$37,MATCH($E3273,'Reward Model'!$A$18:$A$37,0))</f>
        <v>Medium</v>
      </c>
      <c r="Z3273" s="4" t="n">
        <f aca="false">ROUND(MIN(1,MAX('Reward Model'!$B$2,INDEX('Reward Model'!$C$12:$C$14,MATCH($K3273,'Reward Model'!$A$12:$A$14,0))/$J3273)),3)</f>
        <v>1</v>
      </c>
      <c r="AA3273" s="2" t="n">
        <f aca="false">IF($I3273="Correct",ROUND(INDEX('Reward Model'!$B$12:$B$14,MATCH($K3273,'Reward Model'!$A$12:$A$14,0))*Z3273,2),0)</f>
        <v>0</v>
      </c>
      <c r="AB3273" s="2" t="n">
        <f aca="false">IF($I3273="Correct",ROUND(INDEX('Reward Model'!$B$12:$B$14,MATCH($Y3273,'Reward Model'!$A$12:$A$14,0))*Z3273,2),0)</f>
        <v>0</v>
      </c>
    </row>
    <row r="3274" customFormat="false" ht="15" hidden="false" customHeight="false" outlineLevel="0" collapsed="false">
      <c r="A3274" s="0" t="s">
        <v>458</v>
      </c>
      <c r="B3274" s="0" t="s">
        <v>459</v>
      </c>
      <c r="C3274" s="0" t="s">
        <v>322</v>
      </c>
      <c r="D3274" s="0" t="s">
        <v>189</v>
      </c>
      <c r="E3274" s="0" t="n">
        <v>13</v>
      </c>
      <c r="F3274" s="0" t="s">
        <v>66</v>
      </c>
      <c r="G3274" s="0" t="s">
        <v>67</v>
      </c>
      <c r="H3274" s="0" t="s">
        <v>67</v>
      </c>
      <c r="I3274" s="0" t="s">
        <v>34</v>
      </c>
      <c r="J3274" s="0" t="n">
        <v>1.7</v>
      </c>
      <c r="K3274" s="0" t="s">
        <v>60</v>
      </c>
      <c r="L3274" s="0" t="n">
        <f aca="false">INDEX(Summary!$F$2:$F$201,MATCH($B3274,Summary!$A$2:$A$201,0))</f>
        <v>20</v>
      </c>
      <c r="M3274" s="0" t="n">
        <f aca="false">INDEX(Summary!$I$2:$I$201,MATCH($B3274,Summary!$A$2:$A$201,0))</f>
        <v>3</v>
      </c>
      <c r="N3274" s="0" t="n">
        <f aca="false">INDEX(Summary!$J$2:$J$201,MATCH($B3274,Summary!$A$2:$A$201,0))</f>
        <v>2</v>
      </c>
      <c r="O3274" s="2" t="n">
        <f aca="false">INDEX(Summary!$K$2:$K$201,MATCH($B3274,Summary!$A$2:$A$201,0))</f>
        <v>8.89</v>
      </c>
      <c r="P3274" s="3" t="n">
        <f aca="false">INDEX(Summary!$L$2:$L$201,MATCH($B3274,Summary!$A$2:$A$201,0))</f>
        <v>4</v>
      </c>
      <c r="Q3274" s="3" t="n">
        <f aca="false">INDEX(Summary!$M$2:$M$201,MATCH($B3274,Summary!$A$2:$A$201,0))</f>
        <v>2</v>
      </c>
      <c r="R3274" s="2" t="n">
        <f aca="false">INDEX(Summary!$N$2:$N$201,MATCH($B3274,Summary!$A$2:$A$201,0))</f>
        <v>9.8</v>
      </c>
      <c r="S3274" s="3" t="n">
        <f aca="false">INDEX(Summary!$O$2:$O$201,MATCH($B3274,Summary!$A$2:$A$201,0))</f>
        <v>8</v>
      </c>
      <c r="T3274" s="3" t="n">
        <f aca="false">INDEX(Summary!$P$2:$P$201,MATCH($B3274,Summary!$A$2:$A$201,0))</f>
        <v>1</v>
      </c>
      <c r="U3274" s="2" t="n">
        <f aca="false">INDEX(Summary!$Q$2:$Q$201,MATCH($B3274,Summary!$A$2:$A$201,0))</f>
        <v>14.32</v>
      </c>
      <c r="V3274" s="2" t="n">
        <f aca="false">INDEX(Summary!$R$2:$R$201,MATCH($B3274,Summary!$A$2:$A$201,0))</f>
        <v>28.96</v>
      </c>
      <c r="W3274" s="0" t="str">
        <f aca="false">INDEX(Summary!$S$2:$S$201,MATCH($B3274,Summary!$A$2:$A$201,0))</f>
        <v>Gold</v>
      </c>
      <c r="X3274" s="2" t="n">
        <f aca="false">INDEX(Summary!$T$2:$T$201,MATCH($B3274,Summary!$A$2:$A$201,0))</f>
        <v>70.63</v>
      </c>
      <c r="Y3274" s="0" t="str">
        <f aca="false">INDEX('Reward Model'!$E$18:$E$37,MATCH($E3274,'Reward Model'!$A$18:$A$37,0))</f>
        <v>Medium</v>
      </c>
      <c r="Z3274" s="4" t="n">
        <f aca="false">ROUND(MIN(1,MAX('Reward Model'!$B$2,INDEX('Reward Model'!$C$12:$C$14,MATCH($K3274,'Reward Model'!$A$12:$A$14,0))/$J3274)),3)</f>
        <v>1</v>
      </c>
      <c r="AA3274" s="2" t="n">
        <f aca="false">IF($I3274="Correct",ROUND(INDEX('Reward Model'!$B$12:$B$14,MATCH($K3274,'Reward Model'!$A$12:$A$14,0))*Z3274,2),0)</f>
        <v>2</v>
      </c>
      <c r="AB3274" s="2" t="n">
        <f aca="false">IF($I3274="Correct",ROUND(INDEX('Reward Model'!$B$12:$B$14,MATCH($Y3274,'Reward Model'!$A$12:$A$14,0))*Z3274,2),0)</f>
        <v>2</v>
      </c>
    </row>
    <row r="3275" customFormat="false" ht="15" hidden="false" customHeight="false" outlineLevel="0" collapsed="false">
      <c r="A3275" s="0" t="s">
        <v>458</v>
      </c>
      <c r="B3275" s="0" t="s">
        <v>459</v>
      </c>
      <c r="C3275" s="0" t="s">
        <v>322</v>
      </c>
      <c r="D3275" s="0" t="s">
        <v>189</v>
      </c>
      <c r="E3275" s="0" t="n">
        <v>14</v>
      </c>
      <c r="F3275" s="0" t="s">
        <v>68</v>
      </c>
      <c r="G3275" s="0" t="s">
        <v>51</v>
      </c>
      <c r="H3275" s="0" t="s">
        <v>51</v>
      </c>
      <c r="I3275" s="0" t="s">
        <v>34</v>
      </c>
      <c r="J3275" s="0" t="n">
        <v>1.38</v>
      </c>
      <c r="K3275" s="0" t="s">
        <v>60</v>
      </c>
      <c r="L3275" s="0" t="n">
        <f aca="false">INDEX(Summary!$F$2:$F$201,MATCH($B3275,Summary!$A$2:$A$201,0))</f>
        <v>20</v>
      </c>
      <c r="M3275" s="0" t="n">
        <f aca="false">INDEX(Summary!$I$2:$I$201,MATCH($B3275,Summary!$A$2:$A$201,0))</f>
        <v>3</v>
      </c>
      <c r="N3275" s="0" t="n">
        <f aca="false">INDEX(Summary!$J$2:$J$201,MATCH($B3275,Summary!$A$2:$A$201,0))</f>
        <v>2</v>
      </c>
      <c r="O3275" s="2" t="n">
        <f aca="false">INDEX(Summary!$K$2:$K$201,MATCH($B3275,Summary!$A$2:$A$201,0))</f>
        <v>8.89</v>
      </c>
      <c r="P3275" s="3" t="n">
        <f aca="false">INDEX(Summary!$L$2:$L$201,MATCH($B3275,Summary!$A$2:$A$201,0))</f>
        <v>4</v>
      </c>
      <c r="Q3275" s="3" t="n">
        <f aca="false">INDEX(Summary!$M$2:$M$201,MATCH($B3275,Summary!$A$2:$A$201,0))</f>
        <v>2</v>
      </c>
      <c r="R3275" s="2" t="n">
        <f aca="false">INDEX(Summary!$N$2:$N$201,MATCH($B3275,Summary!$A$2:$A$201,0))</f>
        <v>9.8</v>
      </c>
      <c r="S3275" s="3" t="n">
        <f aca="false">INDEX(Summary!$O$2:$O$201,MATCH($B3275,Summary!$A$2:$A$201,0))</f>
        <v>8</v>
      </c>
      <c r="T3275" s="3" t="n">
        <f aca="false">INDEX(Summary!$P$2:$P$201,MATCH($B3275,Summary!$A$2:$A$201,0))</f>
        <v>1</v>
      </c>
      <c r="U3275" s="2" t="n">
        <f aca="false">INDEX(Summary!$Q$2:$Q$201,MATCH($B3275,Summary!$A$2:$A$201,0))</f>
        <v>14.32</v>
      </c>
      <c r="V3275" s="2" t="n">
        <f aca="false">INDEX(Summary!$R$2:$R$201,MATCH($B3275,Summary!$A$2:$A$201,0))</f>
        <v>28.96</v>
      </c>
      <c r="W3275" s="0" t="str">
        <f aca="false">INDEX(Summary!$S$2:$S$201,MATCH($B3275,Summary!$A$2:$A$201,0))</f>
        <v>Gold</v>
      </c>
      <c r="X3275" s="2" t="n">
        <f aca="false">INDEX(Summary!$T$2:$T$201,MATCH($B3275,Summary!$A$2:$A$201,0))</f>
        <v>70.63</v>
      </c>
      <c r="Y3275" s="0" t="str">
        <f aca="false">INDEX('Reward Model'!$E$18:$E$37,MATCH($E3275,'Reward Model'!$A$18:$A$37,0))</f>
        <v>Medium</v>
      </c>
      <c r="Z3275" s="4" t="n">
        <f aca="false">ROUND(MIN(1,MAX('Reward Model'!$B$2,INDEX('Reward Model'!$C$12:$C$14,MATCH($K3275,'Reward Model'!$A$12:$A$14,0))/$J3275)),3)</f>
        <v>1</v>
      </c>
      <c r="AA3275" s="2" t="n">
        <f aca="false">IF($I3275="Correct",ROUND(INDEX('Reward Model'!$B$12:$B$14,MATCH($K3275,'Reward Model'!$A$12:$A$14,0))*Z3275,2),0)</f>
        <v>2</v>
      </c>
      <c r="AB3275" s="2" t="n">
        <f aca="false">IF($I3275="Correct",ROUND(INDEX('Reward Model'!$B$12:$B$14,MATCH($Y3275,'Reward Model'!$A$12:$A$14,0))*Z3275,2),0)</f>
        <v>2</v>
      </c>
    </row>
    <row r="3276" customFormat="false" ht="15" hidden="false" customHeight="false" outlineLevel="0" collapsed="false">
      <c r="A3276" s="0" t="s">
        <v>458</v>
      </c>
      <c r="B3276" s="0" t="s">
        <v>459</v>
      </c>
      <c r="C3276" s="0" t="s">
        <v>322</v>
      </c>
      <c r="D3276" s="0" t="s">
        <v>189</v>
      </c>
      <c r="E3276" s="0" t="n">
        <v>15</v>
      </c>
      <c r="F3276" s="0" t="s">
        <v>69</v>
      </c>
      <c r="G3276" s="0" t="s">
        <v>131</v>
      </c>
      <c r="H3276" s="0" t="s">
        <v>70</v>
      </c>
      <c r="I3276" s="0" t="s">
        <v>39</v>
      </c>
      <c r="J3276" s="0" t="n">
        <v>2</v>
      </c>
      <c r="K3276" s="0" t="s">
        <v>60</v>
      </c>
      <c r="L3276" s="0" t="n">
        <f aca="false">INDEX(Summary!$F$2:$F$201,MATCH($B3276,Summary!$A$2:$A$201,0))</f>
        <v>20</v>
      </c>
      <c r="M3276" s="0" t="n">
        <f aca="false">INDEX(Summary!$I$2:$I$201,MATCH($B3276,Summary!$A$2:$A$201,0))</f>
        <v>3</v>
      </c>
      <c r="N3276" s="0" t="n">
        <f aca="false">INDEX(Summary!$J$2:$J$201,MATCH($B3276,Summary!$A$2:$A$201,0))</f>
        <v>2</v>
      </c>
      <c r="O3276" s="2" t="n">
        <f aca="false">INDEX(Summary!$K$2:$K$201,MATCH($B3276,Summary!$A$2:$A$201,0))</f>
        <v>8.89</v>
      </c>
      <c r="P3276" s="3" t="n">
        <f aca="false">INDEX(Summary!$L$2:$L$201,MATCH($B3276,Summary!$A$2:$A$201,0))</f>
        <v>4</v>
      </c>
      <c r="Q3276" s="3" t="n">
        <f aca="false">INDEX(Summary!$M$2:$M$201,MATCH($B3276,Summary!$A$2:$A$201,0))</f>
        <v>2</v>
      </c>
      <c r="R3276" s="2" t="n">
        <f aca="false">INDEX(Summary!$N$2:$N$201,MATCH($B3276,Summary!$A$2:$A$201,0))</f>
        <v>9.8</v>
      </c>
      <c r="S3276" s="3" t="n">
        <f aca="false">INDEX(Summary!$O$2:$O$201,MATCH($B3276,Summary!$A$2:$A$201,0))</f>
        <v>8</v>
      </c>
      <c r="T3276" s="3" t="n">
        <f aca="false">INDEX(Summary!$P$2:$P$201,MATCH($B3276,Summary!$A$2:$A$201,0))</f>
        <v>1</v>
      </c>
      <c r="U3276" s="2" t="n">
        <f aca="false">INDEX(Summary!$Q$2:$Q$201,MATCH($B3276,Summary!$A$2:$A$201,0))</f>
        <v>14.32</v>
      </c>
      <c r="V3276" s="2" t="n">
        <f aca="false">INDEX(Summary!$R$2:$R$201,MATCH($B3276,Summary!$A$2:$A$201,0))</f>
        <v>28.96</v>
      </c>
      <c r="W3276" s="0" t="str">
        <f aca="false">INDEX(Summary!$S$2:$S$201,MATCH($B3276,Summary!$A$2:$A$201,0))</f>
        <v>Gold</v>
      </c>
      <c r="X3276" s="2" t="n">
        <f aca="false">INDEX(Summary!$T$2:$T$201,MATCH($B3276,Summary!$A$2:$A$201,0))</f>
        <v>70.63</v>
      </c>
      <c r="Y3276" s="0" t="str">
        <f aca="false">INDEX('Reward Model'!$E$18:$E$37,MATCH($E3276,'Reward Model'!$A$18:$A$37,0))</f>
        <v>Medium</v>
      </c>
      <c r="Z3276" s="4" t="n">
        <f aca="false">ROUND(MIN(1,MAX('Reward Model'!$B$2,INDEX('Reward Model'!$C$12:$C$14,MATCH($K3276,'Reward Model'!$A$12:$A$14,0))/$J3276)),3)</f>
        <v>0.9</v>
      </c>
      <c r="AA3276" s="2" t="n">
        <f aca="false">IF($I3276="Correct",ROUND(INDEX('Reward Model'!$B$12:$B$14,MATCH($K3276,'Reward Model'!$A$12:$A$14,0))*Z3276,2),0)</f>
        <v>0</v>
      </c>
      <c r="AB3276" s="2" t="n">
        <f aca="false">IF($I3276="Correct",ROUND(INDEX('Reward Model'!$B$12:$B$14,MATCH($Y3276,'Reward Model'!$A$12:$A$14,0))*Z3276,2),0)</f>
        <v>0</v>
      </c>
    </row>
    <row r="3277" customFormat="false" ht="15" hidden="false" customHeight="false" outlineLevel="0" collapsed="false">
      <c r="A3277" s="0" t="s">
        <v>458</v>
      </c>
      <c r="B3277" s="0" t="s">
        <v>459</v>
      </c>
      <c r="C3277" s="0" t="s">
        <v>322</v>
      </c>
      <c r="D3277" s="0" t="s">
        <v>189</v>
      </c>
      <c r="E3277" s="0" t="n">
        <v>16</v>
      </c>
      <c r="F3277" s="0" t="s">
        <v>71</v>
      </c>
      <c r="G3277" s="0" t="s">
        <v>72</v>
      </c>
      <c r="H3277" s="0" t="s">
        <v>72</v>
      </c>
      <c r="I3277" s="0" t="s">
        <v>34</v>
      </c>
      <c r="J3277" s="0" t="n">
        <v>1.46</v>
      </c>
      <c r="K3277" s="0" t="s">
        <v>73</v>
      </c>
      <c r="L3277" s="0" t="n">
        <f aca="false">INDEX(Summary!$F$2:$F$201,MATCH($B3277,Summary!$A$2:$A$201,0))</f>
        <v>20</v>
      </c>
      <c r="M3277" s="0" t="n">
        <f aca="false">INDEX(Summary!$I$2:$I$201,MATCH($B3277,Summary!$A$2:$A$201,0))</f>
        <v>3</v>
      </c>
      <c r="N3277" s="0" t="n">
        <f aca="false">INDEX(Summary!$J$2:$J$201,MATCH($B3277,Summary!$A$2:$A$201,0))</f>
        <v>2</v>
      </c>
      <c r="O3277" s="2" t="n">
        <f aca="false">INDEX(Summary!$K$2:$K$201,MATCH($B3277,Summary!$A$2:$A$201,0))</f>
        <v>8.89</v>
      </c>
      <c r="P3277" s="3" t="n">
        <f aca="false">INDEX(Summary!$L$2:$L$201,MATCH($B3277,Summary!$A$2:$A$201,0))</f>
        <v>4</v>
      </c>
      <c r="Q3277" s="3" t="n">
        <f aca="false">INDEX(Summary!$M$2:$M$201,MATCH($B3277,Summary!$A$2:$A$201,0))</f>
        <v>2</v>
      </c>
      <c r="R3277" s="2" t="n">
        <f aca="false">INDEX(Summary!$N$2:$N$201,MATCH($B3277,Summary!$A$2:$A$201,0))</f>
        <v>9.8</v>
      </c>
      <c r="S3277" s="3" t="n">
        <f aca="false">INDEX(Summary!$O$2:$O$201,MATCH($B3277,Summary!$A$2:$A$201,0))</f>
        <v>8</v>
      </c>
      <c r="T3277" s="3" t="n">
        <f aca="false">INDEX(Summary!$P$2:$P$201,MATCH($B3277,Summary!$A$2:$A$201,0))</f>
        <v>1</v>
      </c>
      <c r="U3277" s="2" t="n">
        <f aca="false">INDEX(Summary!$Q$2:$Q$201,MATCH($B3277,Summary!$A$2:$A$201,0))</f>
        <v>14.32</v>
      </c>
      <c r="V3277" s="2" t="n">
        <f aca="false">INDEX(Summary!$R$2:$R$201,MATCH($B3277,Summary!$A$2:$A$201,0))</f>
        <v>28.96</v>
      </c>
      <c r="W3277" s="0" t="str">
        <f aca="false">INDEX(Summary!$S$2:$S$201,MATCH($B3277,Summary!$A$2:$A$201,0))</f>
        <v>Gold</v>
      </c>
      <c r="X3277" s="2" t="n">
        <f aca="false">INDEX(Summary!$T$2:$T$201,MATCH($B3277,Summary!$A$2:$A$201,0))</f>
        <v>70.63</v>
      </c>
      <c r="Y3277" s="0" t="str">
        <f aca="false">INDEX('Reward Model'!$E$18:$E$37,MATCH($E3277,'Reward Model'!$A$18:$A$37,0))</f>
        <v>High</v>
      </c>
      <c r="Z3277" s="4" t="n">
        <f aca="false">ROUND(MIN(1,MAX('Reward Model'!$B$2,INDEX('Reward Model'!$C$12:$C$14,MATCH($K3277,'Reward Model'!$A$12:$A$14,0))/$J3277)),3)</f>
        <v>1</v>
      </c>
      <c r="AA3277" s="2" t="n">
        <f aca="false">IF($I3277="Correct",ROUND(INDEX('Reward Model'!$B$12:$B$14,MATCH($K3277,'Reward Model'!$A$12:$A$14,0))*Z3277,2),0)</f>
        <v>3</v>
      </c>
      <c r="AB3277" s="2" t="n">
        <f aca="false">IF($I3277="Correct",ROUND(INDEX('Reward Model'!$B$12:$B$14,MATCH($Y3277,'Reward Model'!$A$12:$A$14,0))*Z3277,2),0)</f>
        <v>3</v>
      </c>
    </row>
    <row r="3278" customFormat="false" ht="15" hidden="false" customHeight="false" outlineLevel="0" collapsed="false">
      <c r="A3278" s="0" t="s">
        <v>458</v>
      </c>
      <c r="B3278" s="0" t="s">
        <v>459</v>
      </c>
      <c r="C3278" s="0" t="s">
        <v>322</v>
      </c>
      <c r="D3278" s="0" t="s">
        <v>189</v>
      </c>
      <c r="E3278" s="0" t="n">
        <v>17</v>
      </c>
      <c r="F3278" s="0" t="s">
        <v>74</v>
      </c>
      <c r="G3278" s="0" t="s">
        <v>75</v>
      </c>
      <c r="H3278" s="0" t="s">
        <v>75</v>
      </c>
      <c r="I3278" s="0" t="s">
        <v>34</v>
      </c>
      <c r="J3278" s="0" t="n">
        <v>1.52</v>
      </c>
      <c r="K3278" s="0" t="s">
        <v>73</v>
      </c>
      <c r="L3278" s="0" t="n">
        <f aca="false">INDEX(Summary!$F$2:$F$201,MATCH($B3278,Summary!$A$2:$A$201,0))</f>
        <v>20</v>
      </c>
      <c r="M3278" s="0" t="n">
        <f aca="false">INDEX(Summary!$I$2:$I$201,MATCH($B3278,Summary!$A$2:$A$201,0))</f>
        <v>3</v>
      </c>
      <c r="N3278" s="0" t="n">
        <f aca="false">INDEX(Summary!$J$2:$J$201,MATCH($B3278,Summary!$A$2:$A$201,0))</f>
        <v>2</v>
      </c>
      <c r="O3278" s="2" t="n">
        <f aca="false">INDEX(Summary!$K$2:$K$201,MATCH($B3278,Summary!$A$2:$A$201,0))</f>
        <v>8.89</v>
      </c>
      <c r="P3278" s="3" t="n">
        <f aca="false">INDEX(Summary!$L$2:$L$201,MATCH($B3278,Summary!$A$2:$A$201,0))</f>
        <v>4</v>
      </c>
      <c r="Q3278" s="3" t="n">
        <f aca="false">INDEX(Summary!$M$2:$M$201,MATCH($B3278,Summary!$A$2:$A$201,0))</f>
        <v>2</v>
      </c>
      <c r="R3278" s="2" t="n">
        <f aca="false">INDEX(Summary!$N$2:$N$201,MATCH($B3278,Summary!$A$2:$A$201,0))</f>
        <v>9.8</v>
      </c>
      <c r="S3278" s="3" t="n">
        <f aca="false">INDEX(Summary!$O$2:$O$201,MATCH($B3278,Summary!$A$2:$A$201,0))</f>
        <v>8</v>
      </c>
      <c r="T3278" s="3" t="n">
        <f aca="false">INDEX(Summary!$P$2:$P$201,MATCH($B3278,Summary!$A$2:$A$201,0))</f>
        <v>1</v>
      </c>
      <c r="U3278" s="2" t="n">
        <f aca="false">INDEX(Summary!$Q$2:$Q$201,MATCH($B3278,Summary!$A$2:$A$201,0))</f>
        <v>14.32</v>
      </c>
      <c r="V3278" s="2" t="n">
        <f aca="false">INDEX(Summary!$R$2:$R$201,MATCH($B3278,Summary!$A$2:$A$201,0))</f>
        <v>28.96</v>
      </c>
      <c r="W3278" s="0" t="str">
        <f aca="false">INDEX(Summary!$S$2:$S$201,MATCH($B3278,Summary!$A$2:$A$201,0))</f>
        <v>Gold</v>
      </c>
      <c r="X3278" s="2" t="n">
        <f aca="false">INDEX(Summary!$T$2:$T$201,MATCH($B3278,Summary!$A$2:$A$201,0))</f>
        <v>70.63</v>
      </c>
      <c r="Y3278" s="0" t="str">
        <f aca="false">INDEX('Reward Model'!$E$18:$E$37,MATCH($E3278,'Reward Model'!$A$18:$A$37,0))</f>
        <v>High</v>
      </c>
      <c r="Z3278" s="4" t="n">
        <f aca="false">ROUND(MIN(1,MAX('Reward Model'!$B$2,INDEX('Reward Model'!$C$12:$C$14,MATCH($K3278,'Reward Model'!$A$12:$A$14,0))/$J3278)),3)</f>
        <v>1</v>
      </c>
      <c r="AA3278" s="2" t="n">
        <f aca="false">IF($I3278="Correct",ROUND(INDEX('Reward Model'!$B$12:$B$14,MATCH($K3278,'Reward Model'!$A$12:$A$14,0))*Z3278,2),0)</f>
        <v>3</v>
      </c>
      <c r="AB3278" s="2" t="n">
        <f aca="false">IF($I3278="Correct",ROUND(INDEX('Reward Model'!$B$12:$B$14,MATCH($Y3278,'Reward Model'!$A$12:$A$14,0))*Z3278,2),0)</f>
        <v>3</v>
      </c>
    </row>
    <row r="3279" customFormat="false" ht="15" hidden="false" customHeight="false" outlineLevel="0" collapsed="false">
      <c r="A3279" s="0" t="s">
        <v>458</v>
      </c>
      <c r="B3279" s="0" t="s">
        <v>459</v>
      </c>
      <c r="C3279" s="0" t="s">
        <v>322</v>
      </c>
      <c r="D3279" s="0" t="s">
        <v>189</v>
      </c>
      <c r="E3279" s="0" t="n">
        <v>18</v>
      </c>
      <c r="F3279" s="0" t="s">
        <v>76</v>
      </c>
      <c r="G3279" s="0" t="s">
        <v>88</v>
      </c>
      <c r="H3279" s="0" t="s">
        <v>77</v>
      </c>
      <c r="I3279" s="0" t="s">
        <v>39</v>
      </c>
      <c r="J3279" s="0" t="n">
        <v>2.53</v>
      </c>
      <c r="K3279" s="0" t="s">
        <v>73</v>
      </c>
      <c r="L3279" s="0" t="n">
        <f aca="false">INDEX(Summary!$F$2:$F$201,MATCH($B3279,Summary!$A$2:$A$201,0))</f>
        <v>20</v>
      </c>
      <c r="M3279" s="0" t="n">
        <f aca="false">INDEX(Summary!$I$2:$I$201,MATCH($B3279,Summary!$A$2:$A$201,0))</f>
        <v>3</v>
      </c>
      <c r="N3279" s="0" t="n">
        <f aca="false">INDEX(Summary!$J$2:$J$201,MATCH($B3279,Summary!$A$2:$A$201,0))</f>
        <v>2</v>
      </c>
      <c r="O3279" s="2" t="n">
        <f aca="false">INDEX(Summary!$K$2:$K$201,MATCH($B3279,Summary!$A$2:$A$201,0))</f>
        <v>8.89</v>
      </c>
      <c r="P3279" s="3" t="n">
        <f aca="false">INDEX(Summary!$L$2:$L$201,MATCH($B3279,Summary!$A$2:$A$201,0))</f>
        <v>4</v>
      </c>
      <c r="Q3279" s="3" t="n">
        <f aca="false">INDEX(Summary!$M$2:$M$201,MATCH($B3279,Summary!$A$2:$A$201,0))</f>
        <v>2</v>
      </c>
      <c r="R3279" s="2" t="n">
        <f aca="false">INDEX(Summary!$N$2:$N$201,MATCH($B3279,Summary!$A$2:$A$201,0))</f>
        <v>9.8</v>
      </c>
      <c r="S3279" s="3" t="n">
        <f aca="false">INDEX(Summary!$O$2:$O$201,MATCH($B3279,Summary!$A$2:$A$201,0))</f>
        <v>8</v>
      </c>
      <c r="T3279" s="3" t="n">
        <f aca="false">INDEX(Summary!$P$2:$P$201,MATCH($B3279,Summary!$A$2:$A$201,0))</f>
        <v>1</v>
      </c>
      <c r="U3279" s="2" t="n">
        <f aca="false">INDEX(Summary!$Q$2:$Q$201,MATCH($B3279,Summary!$A$2:$A$201,0))</f>
        <v>14.32</v>
      </c>
      <c r="V3279" s="2" t="n">
        <f aca="false">INDEX(Summary!$R$2:$R$201,MATCH($B3279,Summary!$A$2:$A$201,0))</f>
        <v>28.96</v>
      </c>
      <c r="W3279" s="0" t="str">
        <f aca="false">INDEX(Summary!$S$2:$S$201,MATCH($B3279,Summary!$A$2:$A$201,0))</f>
        <v>Gold</v>
      </c>
      <c r="X3279" s="2" t="n">
        <f aca="false">INDEX(Summary!$T$2:$T$201,MATCH($B3279,Summary!$A$2:$A$201,0))</f>
        <v>70.63</v>
      </c>
      <c r="Y3279" s="0" t="str">
        <f aca="false">INDEX('Reward Model'!$E$18:$E$37,MATCH($E3279,'Reward Model'!$A$18:$A$37,0))</f>
        <v>High</v>
      </c>
      <c r="Z3279" s="4" t="n">
        <f aca="false">ROUND(MIN(1,MAX('Reward Model'!$B$2,INDEX('Reward Model'!$C$12:$C$14,MATCH($K3279,'Reward Model'!$A$12:$A$14,0))/$J3279)),3)</f>
        <v>0.791</v>
      </c>
      <c r="AA3279" s="2" t="n">
        <f aca="false">IF($I3279="Correct",ROUND(INDEX('Reward Model'!$B$12:$B$14,MATCH($K3279,'Reward Model'!$A$12:$A$14,0))*Z3279,2),0)</f>
        <v>0</v>
      </c>
      <c r="AB3279" s="2" t="n">
        <f aca="false">IF($I3279="Correct",ROUND(INDEX('Reward Model'!$B$12:$B$14,MATCH($Y3279,'Reward Model'!$A$12:$A$14,0))*Z3279,2),0)</f>
        <v>0</v>
      </c>
    </row>
    <row r="3280" customFormat="false" ht="15" hidden="false" customHeight="false" outlineLevel="0" collapsed="false">
      <c r="A3280" s="0" t="s">
        <v>458</v>
      </c>
      <c r="B3280" s="0" t="s">
        <v>459</v>
      </c>
      <c r="C3280" s="0" t="s">
        <v>322</v>
      </c>
      <c r="D3280" s="0" t="s">
        <v>189</v>
      </c>
      <c r="E3280" s="0" t="n">
        <v>19</v>
      </c>
      <c r="F3280" s="0" t="s">
        <v>78</v>
      </c>
      <c r="G3280" s="0" t="s">
        <v>132</v>
      </c>
      <c r="H3280" s="0" t="s">
        <v>80</v>
      </c>
      <c r="I3280" s="0" t="s">
        <v>39</v>
      </c>
      <c r="J3280" s="0" t="n">
        <v>2.02</v>
      </c>
      <c r="K3280" s="0" t="s">
        <v>73</v>
      </c>
      <c r="L3280" s="0" t="n">
        <f aca="false">INDEX(Summary!$F$2:$F$201,MATCH($B3280,Summary!$A$2:$A$201,0))</f>
        <v>20</v>
      </c>
      <c r="M3280" s="0" t="n">
        <f aca="false">INDEX(Summary!$I$2:$I$201,MATCH($B3280,Summary!$A$2:$A$201,0))</f>
        <v>3</v>
      </c>
      <c r="N3280" s="0" t="n">
        <f aca="false">INDEX(Summary!$J$2:$J$201,MATCH($B3280,Summary!$A$2:$A$201,0))</f>
        <v>2</v>
      </c>
      <c r="O3280" s="2" t="n">
        <f aca="false">INDEX(Summary!$K$2:$K$201,MATCH($B3280,Summary!$A$2:$A$201,0))</f>
        <v>8.89</v>
      </c>
      <c r="P3280" s="3" t="n">
        <f aca="false">INDEX(Summary!$L$2:$L$201,MATCH($B3280,Summary!$A$2:$A$201,0))</f>
        <v>4</v>
      </c>
      <c r="Q3280" s="3" t="n">
        <f aca="false">INDEX(Summary!$M$2:$M$201,MATCH($B3280,Summary!$A$2:$A$201,0))</f>
        <v>2</v>
      </c>
      <c r="R3280" s="2" t="n">
        <f aca="false">INDEX(Summary!$N$2:$N$201,MATCH($B3280,Summary!$A$2:$A$201,0))</f>
        <v>9.8</v>
      </c>
      <c r="S3280" s="3" t="n">
        <f aca="false">INDEX(Summary!$O$2:$O$201,MATCH($B3280,Summary!$A$2:$A$201,0))</f>
        <v>8</v>
      </c>
      <c r="T3280" s="3" t="n">
        <f aca="false">INDEX(Summary!$P$2:$P$201,MATCH($B3280,Summary!$A$2:$A$201,0))</f>
        <v>1</v>
      </c>
      <c r="U3280" s="2" t="n">
        <f aca="false">INDEX(Summary!$Q$2:$Q$201,MATCH($B3280,Summary!$A$2:$A$201,0))</f>
        <v>14.32</v>
      </c>
      <c r="V3280" s="2" t="n">
        <f aca="false">INDEX(Summary!$R$2:$R$201,MATCH($B3280,Summary!$A$2:$A$201,0))</f>
        <v>28.96</v>
      </c>
      <c r="W3280" s="0" t="str">
        <f aca="false">INDEX(Summary!$S$2:$S$201,MATCH($B3280,Summary!$A$2:$A$201,0))</f>
        <v>Gold</v>
      </c>
      <c r="X3280" s="2" t="n">
        <f aca="false">INDEX(Summary!$T$2:$T$201,MATCH($B3280,Summary!$A$2:$A$201,0))</f>
        <v>70.63</v>
      </c>
      <c r="Y3280" s="0" t="str">
        <f aca="false">INDEX('Reward Model'!$E$18:$E$37,MATCH($E3280,'Reward Model'!$A$18:$A$37,0))</f>
        <v>High</v>
      </c>
      <c r="Z3280" s="4" t="n">
        <f aca="false">ROUND(MIN(1,MAX('Reward Model'!$B$2,INDEX('Reward Model'!$C$12:$C$14,MATCH($K3280,'Reward Model'!$A$12:$A$14,0))/$J3280)),3)</f>
        <v>0.99</v>
      </c>
      <c r="AA3280" s="2" t="n">
        <f aca="false">IF($I3280="Correct",ROUND(INDEX('Reward Model'!$B$12:$B$14,MATCH($K3280,'Reward Model'!$A$12:$A$14,0))*Z3280,2),0)</f>
        <v>0</v>
      </c>
      <c r="AB3280" s="2" t="n">
        <f aca="false">IF($I3280="Correct",ROUND(INDEX('Reward Model'!$B$12:$B$14,MATCH($Y3280,'Reward Model'!$A$12:$A$14,0))*Z3280,2),0)</f>
        <v>0</v>
      </c>
    </row>
    <row r="3281" customFormat="false" ht="15" hidden="false" customHeight="false" outlineLevel="0" collapsed="false">
      <c r="A3281" s="0" t="s">
        <v>458</v>
      </c>
      <c r="B3281" s="0" t="s">
        <v>459</v>
      </c>
      <c r="C3281" s="0" t="s">
        <v>322</v>
      </c>
      <c r="D3281" s="0" t="s">
        <v>189</v>
      </c>
      <c r="E3281" s="0" t="n">
        <v>20</v>
      </c>
      <c r="F3281" s="0" t="s">
        <v>81</v>
      </c>
      <c r="G3281" s="0" t="s">
        <v>83</v>
      </c>
      <c r="H3281" s="0" t="s">
        <v>83</v>
      </c>
      <c r="I3281" s="0" t="s">
        <v>34</v>
      </c>
      <c r="J3281" s="0" t="n">
        <v>1.36</v>
      </c>
      <c r="K3281" s="0" t="s">
        <v>73</v>
      </c>
      <c r="L3281" s="0" t="n">
        <f aca="false">INDEX(Summary!$F$2:$F$201,MATCH($B3281,Summary!$A$2:$A$201,0))</f>
        <v>20</v>
      </c>
      <c r="M3281" s="0" t="n">
        <f aca="false">INDEX(Summary!$I$2:$I$201,MATCH($B3281,Summary!$A$2:$A$201,0))</f>
        <v>3</v>
      </c>
      <c r="N3281" s="0" t="n">
        <f aca="false">INDEX(Summary!$J$2:$J$201,MATCH($B3281,Summary!$A$2:$A$201,0))</f>
        <v>2</v>
      </c>
      <c r="O3281" s="2" t="n">
        <f aca="false">INDEX(Summary!$K$2:$K$201,MATCH($B3281,Summary!$A$2:$A$201,0))</f>
        <v>8.89</v>
      </c>
      <c r="P3281" s="3" t="n">
        <f aca="false">INDEX(Summary!$L$2:$L$201,MATCH($B3281,Summary!$A$2:$A$201,0))</f>
        <v>4</v>
      </c>
      <c r="Q3281" s="3" t="n">
        <f aca="false">INDEX(Summary!$M$2:$M$201,MATCH($B3281,Summary!$A$2:$A$201,0))</f>
        <v>2</v>
      </c>
      <c r="R3281" s="2" t="n">
        <f aca="false">INDEX(Summary!$N$2:$N$201,MATCH($B3281,Summary!$A$2:$A$201,0))</f>
        <v>9.8</v>
      </c>
      <c r="S3281" s="3" t="n">
        <f aca="false">INDEX(Summary!$O$2:$O$201,MATCH($B3281,Summary!$A$2:$A$201,0))</f>
        <v>8</v>
      </c>
      <c r="T3281" s="3" t="n">
        <f aca="false">INDEX(Summary!$P$2:$P$201,MATCH($B3281,Summary!$A$2:$A$201,0))</f>
        <v>1</v>
      </c>
      <c r="U3281" s="2" t="n">
        <f aca="false">INDEX(Summary!$Q$2:$Q$201,MATCH($B3281,Summary!$A$2:$A$201,0))</f>
        <v>14.32</v>
      </c>
      <c r="V3281" s="2" t="n">
        <f aca="false">INDEX(Summary!$R$2:$R$201,MATCH($B3281,Summary!$A$2:$A$201,0))</f>
        <v>28.96</v>
      </c>
      <c r="W3281" s="0" t="str">
        <f aca="false">INDEX(Summary!$S$2:$S$201,MATCH($B3281,Summary!$A$2:$A$201,0))</f>
        <v>Gold</v>
      </c>
      <c r="X3281" s="2" t="n">
        <f aca="false">INDEX(Summary!$T$2:$T$201,MATCH($B3281,Summary!$A$2:$A$201,0))</f>
        <v>70.63</v>
      </c>
      <c r="Y3281" s="0" t="str">
        <f aca="false">INDEX('Reward Model'!$E$18:$E$37,MATCH($E3281,'Reward Model'!$A$18:$A$37,0))</f>
        <v>High</v>
      </c>
      <c r="Z3281" s="4" t="n">
        <f aca="false">ROUND(MIN(1,MAX('Reward Model'!$B$2,INDEX('Reward Model'!$C$12:$C$14,MATCH($K3281,'Reward Model'!$A$12:$A$14,0))/$J3281)),3)</f>
        <v>1</v>
      </c>
      <c r="AA3281" s="2" t="n">
        <f aca="false">IF($I3281="Correct",ROUND(INDEX('Reward Model'!$B$12:$B$14,MATCH($K3281,'Reward Model'!$A$12:$A$14,0))*Z3281,2),0)</f>
        <v>3</v>
      </c>
      <c r="AB3281" s="2" t="n">
        <f aca="false">IF($I3281="Correct",ROUND(INDEX('Reward Model'!$B$12:$B$14,MATCH($Y3281,'Reward Model'!$A$12:$A$14,0))*Z3281,2),0)</f>
        <v>3</v>
      </c>
    </row>
    <row r="3282" customFormat="false" ht="15" hidden="false" customHeight="false" outlineLevel="0" collapsed="false">
      <c r="A3282" s="0" t="s">
        <v>460</v>
      </c>
      <c r="B3282" s="0" t="s">
        <v>461</v>
      </c>
      <c r="C3282" s="0" t="s">
        <v>322</v>
      </c>
      <c r="D3282" s="0" t="s">
        <v>189</v>
      </c>
      <c r="E3282" s="0" t="n">
        <v>1</v>
      </c>
      <c r="F3282" s="0" t="s">
        <v>32</v>
      </c>
      <c r="G3282" s="0" t="s">
        <v>33</v>
      </c>
      <c r="H3282" s="0" t="s">
        <v>33</v>
      </c>
      <c r="I3282" s="0" t="s">
        <v>34</v>
      </c>
      <c r="J3282" s="0" t="n">
        <v>1.97</v>
      </c>
      <c r="K3282" s="0" t="s">
        <v>35</v>
      </c>
      <c r="L3282" s="0" t="n">
        <f aca="false">INDEX(Summary!$F$2:$F$201,MATCH($B3282,Summary!$A$2:$A$201,0))</f>
        <v>20</v>
      </c>
      <c r="M3282" s="0" t="n">
        <f aca="false">INDEX(Summary!$I$2:$I$201,MATCH($B3282,Summary!$A$2:$A$201,0))</f>
        <v>4</v>
      </c>
      <c r="N3282" s="0" t="n">
        <f aca="false">INDEX(Summary!$J$2:$J$201,MATCH($B3282,Summary!$A$2:$A$201,0))</f>
        <v>1</v>
      </c>
      <c r="O3282" s="2" t="n">
        <f aca="false">INDEX(Summary!$K$2:$K$201,MATCH($B3282,Summary!$A$2:$A$201,0))</f>
        <v>8.85</v>
      </c>
      <c r="P3282" s="3" t="n">
        <f aca="false">INDEX(Summary!$L$2:$L$201,MATCH($B3282,Summary!$A$2:$A$201,0))</f>
        <v>5</v>
      </c>
      <c r="Q3282" s="3" t="n">
        <f aca="false">INDEX(Summary!$M$2:$M$201,MATCH($B3282,Summary!$A$2:$A$201,0))</f>
        <v>1</v>
      </c>
      <c r="R3282" s="2" t="n">
        <f aca="false">INDEX(Summary!$N$2:$N$201,MATCH($B3282,Summary!$A$2:$A$201,0))</f>
        <v>10.18</v>
      </c>
      <c r="S3282" s="3" t="n">
        <f aca="false">INDEX(Summary!$O$2:$O$201,MATCH($B3282,Summary!$A$2:$A$201,0))</f>
        <v>8</v>
      </c>
      <c r="T3282" s="3" t="n">
        <f aca="false">INDEX(Summary!$P$2:$P$201,MATCH($B3282,Summary!$A$2:$A$201,0))</f>
        <v>1</v>
      </c>
      <c r="U3282" s="2" t="n">
        <f aca="false">INDEX(Summary!$Q$2:$Q$201,MATCH($B3282,Summary!$A$2:$A$201,0))</f>
        <v>14.18</v>
      </c>
      <c r="V3282" s="2" t="n">
        <f aca="false">INDEX(Summary!$R$2:$R$201,MATCH($B3282,Summary!$A$2:$A$201,0))</f>
        <v>32.15</v>
      </c>
      <c r="W3282" s="0" t="str">
        <f aca="false">INDEX(Summary!$S$2:$S$201,MATCH($B3282,Summary!$A$2:$A$201,0))</f>
        <v>Gold</v>
      </c>
      <c r="X3282" s="2" t="n">
        <f aca="false">INDEX(Summary!$T$2:$T$201,MATCH($B3282,Summary!$A$2:$A$201,0))</f>
        <v>78.41</v>
      </c>
      <c r="Y3282" s="0" t="str">
        <f aca="false">INDEX('Reward Model'!$E$18:$E$37,MATCH($E3282,'Reward Model'!$A$18:$A$37,0))</f>
        <v>Medium</v>
      </c>
      <c r="Z3282" s="4" t="n">
        <f aca="false">ROUND(MIN(1,MAX('Reward Model'!$B$2,INDEX('Reward Model'!$C$12:$C$14,MATCH($K3282,'Reward Model'!$A$12:$A$14,0))/$J3282)),3)</f>
        <v>0.761</v>
      </c>
      <c r="AA3282" s="2" t="n">
        <f aca="false">IF($I3282="Correct",ROUND(INDEX('Reward Model'!$B$12:$B$14,MATCH($K3282,'Reward Model'!$A$12:$A$14,0))*Z3282,2),0)</f>
        <v>0.76</v>
      </c>
      <c r="AB3282" s="2" t="n">
        <f aca="false">IF($I3282="Correct",ROUND(INDEX('Reward Model'!$B$12:$B$14,MATCH($Y3282,'Reward Model'!$A$12:$A$14,0))*Z3282,2),0)</f>
        <v>1.52</v>
      </c>
    </row>
    <row r="3283" customFormat="false" ht="15" hidden="false" customHeight="false" outlineLevel="0" collapsed="false">
      <c r="A3283" s="0" t="s">
        <v>460</v>
      </c>
      <c r="B3283" s="0" t="s">
        <v>461</v>
      </c>
      <c r="C3283" s="0" t="s">
        <v>322</v>
      </c>
      <c r="D3283" s="0" t="s">
        <v>189</v>
      </c>
      <c r="E3283" s="0" t="n">
        <v>2</v>
      </c>
      <c r="F3283" s="0" t="s">
        <v>36</v>
      </c>
      <c r="G3283" s="0" t="s">
        <v>38</v>
      </c>
      <c r="H3283" s="0" t="s">
        <v>38</v>
      </c>
      <c r="I3283" s="0" t="s">
        <v>34</v>
      </c>
      <c r="J3283" s="0" t="n">
        <v>1.3</v>
      </c>
      <c r="K3283" s="0" t="s">
        <v>35</v>
      </c>
      <c r="L3283" s="0" t="n">
        <f aca="false">INDEX(Summary!$F$2:$F$201,MATCH($B3283,Summary!$A$2:$A$201,0))</f>
        <v>20</v>
      </c>
      <c r="M3283" s="0" t="n">
        <f aca="false">INDEX(Summary!$I$2:$I$201,MATCH($B3283,Summary!$A$2:$A$201,0))</f>
        <v>4</v>
      </c>
      <c r="N3283" s="0" t="n">
        <f aca="false">INDEX(Summary!$J$2:$J$201,MATCH($B3283,Summary!$A$2:$A$201,0))</f>
        <v>1</v>
      </c>
      <c r="O3283" s="2" t="n">
        <f aca="false">INDEX(Summary!$K$2:$K$201,MATCH($B3283,Summary!$A$2:$A$201,0))</f>
        <v>8.85</v>
      </c>
      <c r="P3283" s="3" t="n">
        <f aca="false">INDEX(Summary!$L$2:$L$201,MATCH($B3283,Summary!$A$2:$A$201,0))</f>
        <v>5</v>
      </c>
      <c r="Q3283" s="3" t="n">
        <f aca="false">INDEX(Summary!$M$2:$M$201,MATCH($B3283,Summary!$A$2:$A$201,0))</f>
        <v>1</v>
      </c>
      <c r="R3283" s="2" t="n">
        <f aca="false">INDEX(Summary!$N$2:$N$201,MATCH($B3283,Summary!$A$2:$A$201,0))</f>
        <v>10.18</v>
      </c>
      <c r="S3283" s="3" t="n">
        <f aca="false">INDEX(Summary!$O$2:$O$201,MATCH($B3283,Summary!$A$2:$A$201,0))</f>
        <v>8</v>
      </c>
      <c r="T3283" s="3" t="n">
        <f aca="false">INDEX(Summary!$P$2:$P$201,MATCH($B3283,Summary!$A$2:$A$201,0))</f>
        <v>1</v>
      </c>
      <c r="U3283" s="2" t="n">
        <f aca="false">INDEX(Summary!$Q$2:$Q$201,MATCH($B3283,Summary!$A$2:$A$201,0))</f>
        <v>14.18</v>
      </c>
      <c r="V3283" s="2" t="n">
        <f aca="false">INDEX(Summary!$R$2:$R$201,MATCH($B3283,Summary!$A$2:$A$201,0))</f>
        <v>32.15</v>
      </c>
      <c r="W3283" s="0" t="str">
        <f aca="false">INDEX(Summary!$S$2:$S$201,MATCH($B3283,Summary!$A$2:$A$201,0))</f>
        <v>Gold</v>
      </c>
      <c r="X3283" s="2" t="n">
        <f aca="false">INDEX(Summary!$T$2:$T$201,MATCH($B3283,Summary!$A$2:$A$201,0))</f>
        <v>78.41</v>
      </c>
      <c r="Y3283" s="0" t="str">
        <f aca="false">INDEX('Reward Model'!$E$18:$E$37,MATCH($E3283,'Reward Model'!$A$18:$A$37,0))</f>
        <v>Low</v>
      </c>
      <c r="Z3283" s="4" t="n">
        <f aca="false">ROUND(MIN(1,MAX('Reward Model'!$B$2,INDEX('Reward Model'!$C$12:$C$14,MATCH($K3283,'Reward Model'!$A$12:$A$14,0))/$J3283)),3)</f>
        <v>1</v>
      </c>
      <c r="AA3283" s="2" t="n">
        <f aca="false">IF($I3283="Correct",ROUND(INDEX('Reward Model'!$B$12:$B$14,MATCH($K3283,'Reward Model'!$A$12:$A$14,0))*Z3283,2),0)</f>
        <v>1</v>
      </c>
      <c r="AB3283" s="2" t="n">
        <f aca="false">IF($I3283="Correct",ROUND(INDEX('Reward Model'!$B$12:$B$14,MATCH($Y3283,'Reward Model'!$A$12:$A$14,0))*Z3283,2),0)</f>
        <v>1</v>
      </c>
    </row>
    <row r="3284" customFormat="false" ht="15" hidden="false" customHeight="false" outlineLevel="0" collapsed="false">
      <c r="A3284" s="0" t="s">
        <v>460</v>
      </c>
      <c r="B3284" s="0" t="s">
        <v>461</v>
      </c>
      <c r="C3284" s="0" t="s">
        <v>322</v>
      </c>
      <c r="D3284" s="0" t="s">
        <v>189</v>
      </c>
      <c r="E3284" s="0" t="n">
        <v>3</v>
      </c>
      <c r="F3284" s="0" t="s">
        <v>40</v>
      </c>
      <c r="G3284" s="0" t="s">
        <v>41</v>
      </c>
      <c r="H3284" s="0" t="s">
        <v>42</v>
      </c>
      <c r="I3284" s="0" t="s">
        <v>39</v>
      </c>
      <c r="J3284" s="0" t="n">
        <v>1.04</v>
      </c>
      <c r="K3284" s="0" t="s">
        <v>35</v>
      </c>
      <c r="L3284" s="0" t="n">
        <f aca="false">INDEX(Summary!$F$2:$F$201,MATCH($B3284,Summary!$A$2:$A$201,0))</f>
        <v>20</v>
      </c>
      <c r="M3284" s="0" t="n">
        <f aca="false">INDEX(Summary!$I$2:$I$201,MATCH($B3284,Summary!$A$2:$A$201,0))</f>
        <v>4</v>
      </c>
      <c r="N3284" s="0" t="n">
        <f aca="false">INDEX(Summary!$J$2:$J$201,MATCH($B3284,Summary!$A$2:$A$201,0))</f>
        <v>1</v>
      </c>
      <c r="O3284" s="2" t="n">
        <f aca="false">INDEX(Summary!$K$2:$K$201,MATCH($B3284,Summary!$A$2:$A$201,0))</f>
        <v>8.85</v>
      </c>
      <c r="P3284" s="3" t="n">
        <f aca="false">INDEX(Summary!$L$2:$L$201,MATCH($B3284,Summary!$A$2:$A$201,0))</f>
        <v>5</v>
      </c>
      <c r="Q3284" s="3" t="n">
        <f aca="false">INDEX(Summary!$M$2:$M$201,MATCH($B3284,Summary!$A$2:$A$201,0))</f>
        <v>1</v>
      </c>
      <c r="R3284" s="2" t="n">
        <f aca="false">INDEX(Summary!$N$2:$N$201,MATCH($B3284,Summary!$A$2:$A$201,0))</f>
        <v>10.18</v>
      </c>
      <c r="S3284" s="3" t="n">
        <f aca="false">INDEX(Summary!$O$2:$O$201,MATCH($B3284,Summary!$A$2:$A$201,0))</f>
        <v>8</v>
      </c>
      <c r="T3284" s="3" t="n">
        <f aca="false">INDEX(Summary!$P$2:$P$201,MATCH($B3284,Summary!$A$2:$A$201,0))</f>
        <v>1</v>
      </c>
      <c r="U3284" s="2" t="n">
        <f aca="false">INDEX(Summary!$Q$2:$Q$201,MATCH($B3284,Summary!$A$2:$A$201,0))</f>
        <v>14.18</v>
      </c>
      <c r="V3284" s="2" t="n">
        <f aca="false">INDEX(Summary!$R$2:$R$201,MATCH($B3284,Summary!$A$2:$A$201,0))</f>
        <v>32.15</v>
      </c>
      <c r="W3284" s="0" t="str">
        <f aca="false">INDEX(Summary!$S$2:$S$201,MATCH($B3284,Summary!$A$2:$A$201,0))</f>
        <v>Gold</v>
      </c>
      <c r="X3284" s="2" t="n">
        <f aca="false">INDEX(Summary!$T$2:$T$201,MATCH($B3284,Summary!$A$2:$A$201,0))</f>
        <v>78.41</v>
      </c>
      <c r="Y3284" s="0" t="str">
        <f aca="false">INDEX('Reward Model'!$E$18:$E$37,MATCH($E3284,'Reward Model'!$A$18:$A$37,0))</f>
        <v>Medium</v>
      </c>
      <c r="Z3284" s="4" t="n">
        <f aca="false">ROUND(MIN(1,MAX('Reward Model'!$B$2,INDEX('Reward Model'!$C$12:$C$14,MATCH($K3284,'Reward Model'!$A$12:$A$14,0))/$J3284)),3)</f>
        <v>1</v>
      </c>
      <c r="AA3284" s="2" t="n">
        <f aca="false">IF($I3284="Correct",ROUND(INDEX('Reward Model'!$B$12:$B$14,MATCH($K3284,'Reward Model'!$A$12:$A$14,0))*Z3284,2),0)</f>
        <v>0</v>
      </c>
      <c r="AB3284" s="2" t="n">
        <f aca="false">IF($I3284="Correct",ROUND(INDEX('Reward Model'!$B$12:$B$14,MATCH($Y3284,'Reward Model'!$A$12:$A$14,0))*Z3284,2),0)</f>
        <v>0</v>
      </c>
    </row>
    <row r="3285" customFormat="false" ht="15" hidden="false" customHeight="false" outlineLevel="0" collapsed="false">
      <c r="A3285" s="0" t="s">
        <v>460</v>
      </c>
      <c r="B3285" s="0" t="s">
        <v>461</v>
      </c>
      <c r="C3285" s="0" t="s">
        <v>322</v>
      </c>
      <c r="D3285" s="0" t="s">
        <v>189</v>
      </c>
      <c r="E3285" s="0" t="n">
        <v>4</v>
      </c>
      <c r="F3285" s="0" t="s">
        <v>43</v>
      </c>
      <c r="G3285" s="0" t="s">
        <v>45</v>
      </c>
      <c r="H3285" s="0" t="s">
        <v>45</v>
      </c>
      <c r="I3285" s="0" t="s">
        <v>34</v>
      </c>
      <c r="J3285" s="0" t="n">
        <v>1.97</v>
      </c>
      <c r="K3285" s="0" t="s">
        <v>35</v>
      </c>
      <c r="L3285" s="0" t="n">
        <f aca="false">INDEX(Summary!$F$2:$F$201,MATCH($B3285,Summary!$A$2:$A$201,0))</f>
        <v>20</v>
      </c>
      <c r="M3285" s="0" t="n">
        <f aca="false">INDEX(Summary!$I$2:$I$201,MATCH($B3285,Summary!$A$2:$A$201,0))</f>
        <v>4</v>
      </c>
      <c r="N3285" s="0" t="n">
        <f aca="false">INDEX(Summary!$J$2:$J$201,MATCH($B3285,Summary!$A$2:$A$201,0))</f>
        <v>1</v>
      </c>
      <c r="O3285" s="2" t="n">
        <f aca="false">INDEX(Summary!$K$2:$K$201,MATCH($B3285,Summary!$A$2:$A$201,0))</f>
        <v>8.85</v>
      </c>
      <c r="P3285" s="3" t="n">
        <f aca="false">INDEX(Summary!$L$2:$L$201,MATCH($B3285,Summary!$A$2:$A$201,0))</f>
        <v>5</v>
      </c>
      <c r="Q3285" s="3" t="n">
        <f aca="false">INDEX(Summary!$M$2:$M$201,MATCH($B3285,Summary!$A$2:$A$201,0))</f>
        <v>1</v>
      </c>
      <c r="R3285" s="2" t="n">
        <f aca="false">INDEX(Summary!$N$2:$N$201,MATCH($B3285,Summary!$A$2:$A$201,0))</f>
        <v>10.18</v>
      </c>
      <c r="S3285" s="3" t="n">
        <f aca="false">INDEX(Summary!$O$2:$O$201,MATCH($B3285,Summary!$A$2:$A$201,0))</f>
        <v>8</v>
      </c>
      <c r="T3285" s="3" t="n">
        <f aca="false">INDEX(Summary!$P$2:$P$201,MATCH($B3285,Summary!$A$2:$A$201,0))</f>
        <v>1</v>
      </c>
      <c r="U3285" s="2" t="n">
        <f aca="false">INDEX(Summary!$Q$2:$Q$201,MATCH($B3285,Summary!$A$2:$A$201,0))</f>
        <v>14.18</v>
      </c>
      <c r="V3285" s="2" t="n">
        <f aca="false">INDEX(Summary!$R$2:$R$201,MATCH($B3285,Summary!$A$2:$A$201,0))</f>
        <v>32.15</v>
      </c>
      <c r="W3285" s="0" t="str">
        <f aca="false">INDEX(Summary!$S$2:$S$201,MATCH($B3285,Summary!$A$2:$A$201,0))</f>
        <v>Gold</v>
      </c>
      <c r="X3285" s="2" t="n">
        <f aca="false">INDEX(Summary!$T$2:$T$201,MATCH($B3285,Summary!$A$2:$A$201,0))</f>
        <v>78.41</v>
      </c>
      <c r="Y3285" s="0" t="str">
        <f aca="false">INDEX('Reward Model'!$E$18:$E$37,MATCH($E3285,'Reward Model'!$A$18:$A$37,0))</f>
        <v>Low</v>
      </c>
      <c r="Z3285" s="4" t="n">
        <f aca="false">ROUND(MIN(1,MAX('Reward Model'!$B$2,INDEX('Reward Model'!$C$12:$C$14,MATCH($K3285,'Reward Model'!$A$12:$A$14,0))/$J3285)),3)</f>
        <v>0.761</v>
      </c>
      <c r="AA3285" s="2" t="n">
        <f aca="false">IF($I3285="Correct",ROUND(INDEX('Reward Model'!$B$12:$B$14,MATCH($K3285,'Reward Model'!$A$12:$A$14,0))*Z3285,2),0)</f>
        <v>0.76</v>
      </c>
      <c r="AB3285" s="2" t="n">
        <f aca="false">IF($I3285="Correct",ROUND(INDEX('Reward Model'!$B$12:$B$14,MATCH($Y3285,'Reward Model'!$A$12:$A$14,0))*Z3285,2),0)</f>
        <v>0.76</v>
      </c>
    </row>
    <row r="3286" customFormat="false" ht="15" hidden="false" customHeight="false" outlineLevel="0" collapsed="false">
      <c r="A3286" s="0" t="s">
        <v>460</v>
      </c>
      <c r="B3286" s="0" t="s">
        <v>461</v>
      </c>
      <c r="C3286" s="0" t="s">
        <v>322</v>
      </c>
      <c r="D3286" s="0" t="s">
        <v>189</v>
      </c>
      <c r="E3286" s="0" t="n">
        <v>5</v>
      </c>
      <c r="F3286" s="0" t="s">
        <v>46</v>
      </c>
      <c r="G3286" s="0" t="s">
        <v>47</v>
      </c>
      <c r="H3286" s="0" t="s">
        <v>47</v>
      </c>
      <c r="I3286" s="0" t="s">
        <v>34</v>
      </c>
      <c r="J3286" s="0" t="n">
        <v>1.95</v>
      </c>
      <c r="K3286" s="0" t="s">
        <v>35</v>
      </c>
      <c r="L3286" s="0" t="n">
        <f aca="false">INDEX(Summary!$F$2:$F$201,MATCH($B3286,Summary!$A$2:$A$201,0))</f>
        <v>20</v>
      </c>
      <c r="M3286" s="0" t="n">
        <f aca="false">INDEX(Summary!$I$2:$I$201,MATCH($B3286,Summary!$A$2:$A$201,0))</f>
        <v>4</v>
      </c>
      <c r="N3286" s="0" t="n">
        <f aca="false">INDEX(Summary!$J$2:$J$201,MATCH($B3286,Summary!$A$2:$A$201,0))</f>
        <v>1</v>
      </c>
      <c r="O3286" s="2" t="n">
        <f aca="false">INDEX(Summary!$K$2:$K$201,MATCH($B3286,Summary!$A$2:$A$201,0))</f>
        <v>8.85</v>
      </c>
      <c r="P3286" s="3" t="n">
        <f aca="false">INDEX(Summary!$L$2:$L$201,MATCH($B3286,Summary!$A$2:$A$201,0))</f>
        <v>5</v>
      </c>
      <c r="Q3286" s="3" t="n">
        <f aca="false">INDEX(Summary!$M$2:$M$201,MATCH($B3286,Summary!$A$2:$A$201,0))</f>
        <v>1</v>
      </c>
      <c r="R3286" s="2" t="n">
        <f aca="false">INDEX(Summary!$N$2:$N$201,MATCH($B3286,Summary!$A$2:$A$201,0))</f>
        <v>10.18</v>
      </c>
      <c r="S3286" s="3" t="n">
        <f aca="false">INDEX(Summary!$O$2:$O$201,MATCH($B3286,Summary!$A$2:$A$201,0))</f>
        <v>8</v>
      </c>
      <c r="T3286" s="3" t="n">
        <f aca="false">INDEX(Summary!$P$2:$P$201,MATCH($B3286,Summary!$A$2:$A$201,0))</f>
        <v>1</v>
      </c>
      <c r="U3286" s="2" t="n">
        <f aca="false">INDEX(Summary!$Q$2:$Q$201,MATCH($B3286,Summary!$A$2:$A$201,0))</f>
        <v>14.18</v>
      </c>
      <c r="V3286" s="2" t="n">
        <f aca="false">INDEX(Summary!$R$2:$R$201,MATCH($B3286,Summary!$A$2:$A$201,0))</f>
        <v>32.15</v>
      </c>
      <c r="W3286" s="0" t="str">
        <f aca="false">INDEX(Summary!$S$2:$S$201,MATCH($B3286,Summary!$A$2:$A$201,0))</f>
        <v>Gold</v>
      </c>
      <c r="X3286" s="2" t="n">
        <f aca="false">INDEX(Summary!$T$2:$T$201,MATCH($B3286,Summary!$A$2:$A$201,0))</f>
        <v>78.41</v>
      </c>
      <c r="Y3286" s="0" t="str">
        <f aca="false">INDEX('Reward Model'!$E$18:$E$37,MATCH($E3286,'Reward Model'!$A$18:$A$37,0))</f>
        <v>Low</v>
      </c>
      <c r="Z3286" s="4" t="n">
        <f aca="false">ROUND(MIN(1,MAX('Reward Model'!$B$2,INDEX('Reward Model'!$C$12:$C$14,MATCH($K3286,'Reward Model'!$A$12:$A$14,0))/$J3286)),3)</f>
        <v>0.769</v>
      </c>
      <c r="AA3286" s="2" t="n">
        <f aca="false">IF($I3286="Correct",ROUND(INDEX('Reward Model'!$B$12:$B$14,MATCH($K3286,'Reward Model'!$A$12:$A$14,0))*Z3286,2),0)</f>
        <v>0.77</v>
      </c>
      <c r="AB3286" s="2" t="n">
        <f aca="false">IF($I3286="Correct",ROUND(INDEX('Reward Model'!$B$12:$B$14,MATCH($Y3286,'Reward Model'!$A$12:$A$14,0))*Z3286,2),0)</f>
        <v>0.77</v>
      </c>
    </row>
    <row r="3287" customFormat="false" ht="15" hidden="false" customHeight="false" outlineLevel="0" collapsed="false">
      <c r="A3287" s="0" t="s">
        <v>460</v>
      </c>
      <c r="B3287" s="0" t="s">
        <v>461</v>
      </c>
      <c r="C3287" s="0" t="s">
        <v>322</v>
      </c>
      <c r="D3287" s="0" t="s">
        <v>189</v>
      </c>
      <c r="E3287" s="0" t="n">
        <v>6</v>
      </c>
      <c r="F3287" s="0" t="s">
        <v>48</v>
      </c>
      <c r="G3287" s="0" t="s">
        <v>49</v>
      </c>
      <c r="H3287" s="0" t="s">
        <v>49</v>
      </c>
      <c r="I3287" s="0" t="s">
        <v>34</v>
      </c>
      <c r="J3287" s="0" t="n">
        <v>1.49</v>
      </c>
      <c r="K3287" s="0" t="s">
        <v>35</v>
      </c>
      <c r="L3287" s="0" t="n">
        <f aca="false">INDEX(Summary!$F$2:$F$201,MATCH($B3287,Summary!$A$2:$A$201,0))</f>
        <v>20</v>
      </c>
      <c r="M3287" s="0" t="n">
        <f aca="false">INDEX(Summary!$I$2:$I$201,MATCH($B3287,Summary!$A$2:$A$201,0))</f>
        <v>4</v>
      </c>
      <c r="N3287" s="0" t="n">
        <f aca="false">INDEX(Summary!$J$2:$J$201,MATCH($B3287,Summary!$A$2:$A$201,0))</f>
        <v>1</v>
      </c>
      <c r="O3287" s="2" t="n">
        <f aca="false">INDEX(Summary!$K$2:$K$201,MATCH($B3287,Summary!$A$2:$A$201,0))</f>
        <v>8.85</v>
      </c>
      <c r="P3287" s="3" t="n">
        <f aca="false">INDEX(Summary!$L$2:$L$201,MATCH($B3287,Summary!$A$2:$A$201,0))</f>
        <v>5</v>
      </c>
      <c r="Q3287" s="3" t="n">
        <f aca="false">INDEX(Summary!$M$2:$M$201,MATCH($B3287,Summary!$A$2:$A$201,0))</f>
        <v>1</v>
      </c>
      <c r="R3287" s="2" t="n">
        <f aca="false">INDEX(Summary!$N$2:$N$201,MATCH($B3287,Summary!$A$2:$A$201,0))</f>
        <v>10.18</v>
      </c>
      <c r="S3287" s="3" t="n">
        <f aca="false">INDEX(Summary!$O$2:$O$201,MATCH($B3287,Summary!$A$2:$A$201,0))</f>
        <v>8</v>
      </c>
      <c r="T3287" s="3" t="n">
        <f aca="false">INDEX(Summary!$P$2:$P$201,MATCH($B3287,Summary!$A$2:$A$201,0))</f>
        <v>1</v>
      </c>
      <c r="U3287" s="2" t="n">
        <f aca="false">INDEX(Summary!$Q$2:$Q$201,MATCH($B3287,Summary!$A$2:$A$201,0))</f>
        <v>14.18</v>
      </c>
      <c r="V3287" s="2" t="n">
        <f aca="false">INDEX(Summary!$R$2:$R$201,MATCH($B3287,Summary!$A$2:$A$201,0))</f>
        <v>32.15</v>
      </c>
      <c r="W3287" s="0" t="str">
        <f aca="false">INDEX(Summary!$S$2:$S$201,MATCH($B3287,Summary!$A$2:$A$201,0))</f>
        <v>Gold</v>
      </c>
      <c r="X3287" s="2" t="n">
        <f aca="false">INDEX(Summary!$T$2:$T$201,MATCH($B3287,Summary!$A$2:$A$201,0))</f>
        <v>78.41</v>
      </c>
      <c r="Y3287" s="0" t="str">
        <f aca="false">INDEX('Reward Model'!$E$18:$E$37,MATCH($E3287,'Reward Model'!$A$18:$A$37,0))</f>
        <v>Medium</v>
      </c>
      <c r="Z3287" s="4" t="n">
        <f aca="false">ROUND(MIN(1,MAX('Reward Model'!$B$2,INDEX('Reward Model'!$C$12:$C$14,MATCH($K3287,'Reward Model'!$A$12:$A$14,0))/$J3287)),3)</f>
        <v>1</v>
      </c>
      <c r="AA3287" s="2" t="n">
        <f aca="false">IF($I3287="Correct",ROUND(INDEX('Reward Model'!$B$12:$B$14,MATCH($K3287,'Reward Model'!$A$12:$A$14,0))*Z3287,2),0)</f>
        <v>1</v>
      </c>
      <c r="AB3287" s="2" t="n">
        <f aca="false">IF($I3287="Correct",ROUND(INDEX('Reward Model'!$B$12:$B$14,MATCH($Y3287,'Reward Model'!$A$12:$A$14,0))*Z3287,2),0)</f>
        <v>2</v>
      </c>
    </row>
    <row r="3288" customFormat="false" ht="15" hidden="false" customHeight="false" outlineLevel="0" collapsed="false">
      <c r="A3288" s="0" t="s">
        <v>460</v>
      </c>
      <c r="B3288" s="0" t="s">
        <v>461</v>
      </c>
      <c r="C3288" s="0" t="s">
        <v>322</v>
      </c>
      <c r="D3288" s="0" t="s">
        <v>189</v>
      </c>
      <c r="E3288" s="0" t="n">
        <v>7</v>
      </c>
      <c r="F3288" s="0" t="s">
        <v>50</v>
      </c>
      <c r="G3288" s="0" t="s">
        <v>51</v>
      </c>
      <c r="H3288" s="0" t="s">
        <v>51</v>
      </c>
      <c r="I3288" s="0" t="s">
        <v>34</v>
      </c>
      <c r="J3288" s="0" t="n">
        <v>1.91</v>
      </c>
      <c r="K3288" s="0" t="s">
        <v>35</v>
      </c>
      <c r="L3288" s="0" t="n">
        <f aca="false">INDEX(Summary!$F$2:$F$201,MATCH($B3288,Summary!$A$2:$A$201,0))</f>
        <v>20</v>
      </c>
      <c r="M3288" s="0" t="n">
        <f aca="false">INDEX(Summary!$I$2:$I$201,MATCH($B3288,Summary!$A$2:$A$201,0))</f>
        <v>4</v>
      </c>
      <c r="N3288" s="0" t="n">
        <f aca="false">INDEX(Summary!$J$2:$J$201,MATCH($B3288,Summary!$A$2:$A$201,0))</f>
        <v>1</v>
      </c>
      <c r="O3288" s="2" t="n">
        <f aca="false">INDEX(Summary!$K$2:$K$201,MATCH($B3288,Summary!$A$2:$A$201,0))</f>
        <v>8.85</v>
      </c>
      <c r="P3288" s="3" t="n">
        <f aca="false">INDEX(Summary!$L$2:$L$201,MATCH($B3288,Summary!$A$2:$A$201,0))</f>
        <v>5</v>
      </c>
      <c r="Q3288" s="3" t="n">
        <f aca="false">INDEX(Summary!$M$2:$M$201,MATCH($B3288,Summary!$A$2:$A$201,0))</f>
        <v>1</v>
      </c>
      <c r="R3288" s="2" t="n">
        <f aca="false">INDEX(Summary!$N$2:$N$201,MATCH($B3288,Summary!$A$2:$A$201,0))</f>
        <v>10.18</v>
      </c>
      <c r="S3288" s="3" t="n">
        <f aca="false">INDEX(Summary!$O$2:$O$201,MATCH($B3288,Summary!$A$2:$A$201,0))</f>
        <v>8</v>
      </c>
      <c r="T3288" s="3" t="n">
        <f aca="false">INDEX(Summary!$P$2:$P$201,MATCH($B3288,Summary!$A$2:$A$201,0))</f>
        <v>1</v>
      </c>
      <c r="U3288" s="2" t="n">
        <f aca="false">INDEX(Summary!$Q$2:$Q$201,MATCH($B3288,Summary!$A$2:$A$201,0))</f>
        <v>14.18</v>
      </c>
      <c r="V3288" s="2" t="n">
        <f aca="false">INDEX(Summary!$R$2:$R$201,MATCH($B3288,Summary!$A$2:$A$201,0))</f>
        <v>32.15</v>
      </c>
      <c r="W3288" s="0" t="str">
        <f aca="false">INDEX(Summary!$S$2:$S$201,MATCH($B3288,Summary!$A$2:$A$201,0))</f>
        <v>Gold</v>
      </c>
      <c r="X3288" s="2" t="n">
        <f aca="false">INDEX(Summary!$T$2:$T$201,MATCH($B3288,Summary!$A$2:$A$201,0))</f>
        <v>78.41</v>
      </c>
      <c r="Y3288" s="0" t="str">
        <f aca="false">INDEX('Reward Model'!$E$18:$E$37,MATCH($E3288,'Reward Model'!$A$18:$A$37,0))</f>
        <v>Low</v>
      </c>
      <c r="Z3288" s="4" t="n">
        <f aca="false">ROUND(MIN(1,MAX('Reward Model'!$B$2,INDEX('Reward Model'!$C$12:$C$14,MATCH($K3288,'Reward Model'!$A$12:$A$14,0))/$J3288)),3)</f>
        <v>0.785</v>
      </c>
      <c r="AA3288" s="2" t="n">
        <f aca="false">IF($I3288="Correct",ROUND(INDEX('Reward Model'!$B$12:$B$14,MATCH($K3288,'Reward Model'!$A$12:$A$14,0))*Z3288,2),0)</f>
        <v>0.79</v>
      </c>
      <c r="AB3288" s="2" t="n">
        <f aca="false">IF($I3288="Correct",ROUND(INDEX('Reward Model'!$B$12:$B$14,MATCH($Y3288,'Reward Model'!$A$12:$A$14,0))*Z3288,2),0)</f>
        <v>0.79</v>
      </c>
    </row>
    <row r="3289" customFormat="false" ht="15" hidden="false" customHeight="false" outlineLevel="0" collapsed="false">
      <c r="A3289" s="0" t="s">
        <v>460</v>
      </c>
      <c r="B3289" s="0" t="s">
        <v>461</v>
      </c>
      <c r="C3289" s="0" t="s">
        <v>322</v>
      </c>
      <c r="D3289" s="0" t="s">
        <v>189</v>
      </c>
      <c r="E3289" s="0" t="n">
        <v>8</v>
      </c>
      <c r="F3289" s="0" t="s">
        <v>52</v>
      </c>
      <c r="G3289" s="0" t="s">
        <v>54</v>
      </c>
      <c r="H3289" s="0" t="s">
        <v>54</v>
      </c>
      <c r="I3289" s="0" t="s">
        <v>34</v>
      </c>
      <c r="J3289" s="0" t="n">
        <v>1.56</v>
      </c>
      <c r="K3289" s="0" t="s">
        <v>35</v>
      </c>
      <c r="L3289" s="0" t="n">
        <f aca="false">INDEX(Summary!$F$2:$F$201,MATCH($B3289,Summary!$A$2:$A$201,0))</f>
        <v>20</v>
      </c>
      <c r="M3289" s="0" t="n">
        <f aca="false">INDEX(Summary!$I$2:$I$201,MATCH($B3289,Summary!$A$2:$A$201,0))</f>
        <v>4</v>
      </c>
      <c r="N3289" s="0" t="n">
        <f aca="false">INDEX(Summary!$J$2:$J$201,MATCH($B3289,Summary!$A$2:$A$201,0))</f>
        <v>1</v>
      </c>
      <c r="O3289" s="2" t="n">
        <f aca="false">INDEX(Summary!$K$2:$K$201,MATCH($B3289,Summary!$A$2:$A$201,0))</f>
        <v>8.85</v>
      </c>
      <c r="P3289" s="3" t="n">
        <f aca="false">INDEX(Summary!$L$2:$L$201,MATCH($B3289,Summary!$A$2:$A$201,0))</f>
        <v>5</v>
      </c>
      <c r="Q3289" s="3" t="n">
        <f aca="false">INDEX(Summary!$M$2:$M$201,MATCH($B3289,Summary!$A$2:$A$201,0))</f>
        <v>1</v>
      </c>
      <c r="R3289" s="2" t="n">
        <f aca="false">INDEX(Summary!$N$2:$N$201,MATCH($B3289,Summary!$A$2:$A$201,0))</f>
        <v>10.18</v>
      </c>
      <c r="S3289" s="3" t="n">
        <f aca="false">INDEX(Summary!$O$2:$O$201,MATCH($B3289,Summary!$A$2:$A$201,0))</f>
        <v>8</v>
      </c>
      <c r="T3289" s="3" t="n">
        <f aca="false">INDEX(Summary!$P$2:$P$201,MATCH($B3289,Summary!$A$2:$A$201,0))</f>
        <v>1</v>
      </c>
      <c r="U3289" s="2" t="n">
        <f aca="false">INDEX(Summary!$Q$2:$Q$201,MATCH($B3289,Summary!$A$2:$A$201,0))</f>
        <v>14.18</v>
      </c>
      <c r="V3289" s="2" t="n">
        <f aca="false">INDEX(Summary!$R$2:$R$201,MATCH($B3289,Summary!$A$2:$A$201,0))</f>
        <v>32.15</v>
      </c>
      <c r="W3289" s="0" t="str">
        <f aca="false">INDEX(Summary!$S$2:$S$201,MATCH($B3289,Summary!$A$2:$A$201,0))</f>
        <v>Gold</v>
      </c>
      <c r="X3289" s="2" t="n">
        <f aca="false">INDEX(Summary!$T$2:$T$201,MATCH($B3289,Summary!$A$2:$A$201,0))</f>
        <v>78.41</v>
      </c>
      <c r="Y3289" s="0" t="str">
        <f aca="false">INDEX('Reward Model'!$E$18:$E$37,MATCH($E3289,'Reward Model'!$A$18:$A$37,0))</f>
        <v>Medium</v>
      </c>
      <c r="Z3289" s="4" t="n">
        <f aca="false">ROUND(MIN(1,MAX('Reward Model'!$B$2,INDEX('Reward Model'!$C$12:$C$14,MATCH($K3289,'Reward Model'!$A$12:$A$14,0))/$J3289)),3)</f>
        <v>0.962</v>
      </c>
      <c r="AA3289" s="2" t="n">
        <f aca="false">IF($I3289="Correct",ROUND(INDEX('Reward Model'!$B$12:$B$14,MATCH($K3289,'Reward Model'!$A$12:$A$14,0))*Z3289,2),0)</f>
        <v>0.96</v>
      </c>
      <c r="AB3289" s="2" t="n">
        <f aca="false">IF($I3289="Correct",ROUND(INDEX('Reward Model'!$B$12:$B$14,MATCH($Y3289,'Reward Model'!$A$12:$A$14,0))*Z3289,2),0)</f>
        <v>1.92</v>
      </c>
    </row>
    <row r="3290" customFormat="false" ht="15" hidden="false" customHeight="false" outlineLevel="0" collapsed="false">
      <c r="A3290" s="0" t="s">
        <v>460</v>
      </c>
      <c r="B3290" s="0" t="s">
        <v>461</v>
      </c>
      <c r="C3290" s="0" t="s">
        <v>322</v>
      </c>
      <c r="D3290" s="0" t="s">
        <v>189</v>
      </c>
      <c r="E3290" s="0" t="n">
        <v>9</v>
      </c>
      <c r="F3290" s="0" t="s">
        <v>55</v>
      </c>
      <c r="G3290" s="0" t="s">
        <v>57</v>
      </c>
      <c r="H3290" s="0" t="s">
        <v>57</v>
      </c>
      <c r="I3290" s="0" t="s">
        <v>34</v>
      </c>
      <c r="J3290" s="0" t="n">
        <v>0.99</v>
      </c>
      <c r="K3290" s="0" t="s">
        <v>35</v>
      </c>
      <c r="L3290" s="0" t="n">
        <f aca="false">INDEX(Summary!$F$2:$F$201,MATCH($B3290,Summary!$A$2:$A$201,0))</f>
        <v>20</v>
      </c>
      <c r="M3290" s="0" t="n">
        <f aca="false">INDEX(Summary!$I$2:$I$201,MATCH($B3290,Summary!$A$2:$A$201,0))</f>
        <v>4</v>
      </c>
      <c r="N3290" s="0" t="n">
        <f aca="false">INDEX(Summary!$J$2:$J$201,MATCH($B3290,Summary!$A$2:$A$201,0))</f>
        <v>1</v>
      </c>
      <c r="O3290" s="2" t="n">
        <f aca="false">INDEX(Summary!$K$2:$K$201,MATCH($B3290,Summary!$A$2:$A$201,0))</f>
        <v>8.85</v>
      </c>
      <c r="P3290" s="3" t="n">
        <f aca="false">INDEX(Summary!$L$2:$L$201,MATCH($B3290,Summary!$A$2:$A$201,0))</f>
        <v>5</v>
      </c>
      <c r="Q3290" s="3" t="n">
        <f aca="false">INDEX(Summary!$M$2:$M$201,MATCH($B3290,Summary!$A$2:$A$201,0))</f>
        <v>1</v>
      </c>
      <c r="R3290" s="2" t="n">
        <f aca="false">INDEX(Summary!$N$2:$N$201,MATCH($B3290,Summary!$A$2:$A$201,0))</f>
        <v>10.18</v>
      </c>
      <c r="S3290" s="3" t="n">
        <f aca="false">INDEX(Summary!$O$2:$O$201,MATCH($B3290,Summary!$A$2:$A$201,0))</f>
        <v>8</v>
      </c>
      <c r="T3290" s="3" t="n">
        <f aca="false">INDEX(Summary!$P$2:$P$201,MATCH($B3290,Summary!$A$2:$A$201,0))</f>
        <v>1</v>
      </c>
      <c r="U3290" s="2" t="n">
        <f aca="false">INDEX(Summary!$Q$2:$Q$201,MATCH($B3290,Summary!$A$2:$A$201,0))</f>
        <v>14.18</v>
      </c>
      <c r="V3290" s="2" t="n">
        <f aca="false">INDEX(Summary!$R$2:$R$201,MATCH($B3290,Summary!$A$2:$A$201,0))</f>
        <v>32.15</v>
      </c>
      <c r="W3290" s="0" t="str">
        <f aca="false">INDEX(Summary!$S$2:$S$201,MATCH($B3290,Summary!$A$2:$A$201,0))</f>
        <v>Gold</v>
      </c>
      <c r="X3290" s="2" t="n">
        <f aca="false">INDEX(Summary!$T$2:$T$201,MATCH($B3290,Summary!$A$2:$A$201,0))</f>
        <v>78.41</v>
      </c>
      <c r="Y3290" s="0" t="str">
        <f aca="false">INDEX('Reward Model'!$E$18:$E$37,MATCH($E3290,'Reward Model'!$A$18:$A$37,0))</f>
        <v>Medium</v>
      </c>
      <c r="Z3290" s="4" t="n">
        <f aca="false">ROUND(MIN(1,MAX('Reward Model'!$B$2,INDEX('Reward Model'!$C$12:$C$14,MATCH($K3290,'Reward Model'!$A$12:$A$14,0))/$J3290)),3)</f>
        <v>1</v>
      </c>
      <c r="AA3290" s="2" t="n">
        <f aca="false">IF($I3290="Correct",ROUND(INDEX('Reward Model'!$B$12:$B$14,MATCH($K3290,'Reward Model'!$A$12:$A$14,0))*Z3290,2),0)</f>
        <v>1</v>
      </c>
      <c r="AB3290" s="2" t="n">
        <f aca="false">IF($I3290="Correct",ROUND(INDEX('Reward Model'!$B$12:$B$14,MATCH($Y3290,'Reward Model'!$A$12:$A$14,0))*Z3290,2),0)</f>
        <v>2</v>
      </c>
    </row>
    <row r="3291" customFormat="false" ht="15" hidden="false" customHeight="false" outlineLevel="0" collapsed="false">
      <c r="A3291" s="0" t="s">
        <v>460</v>
      </c>
      <c r="B3291" s="0" t="s">
        <v>461</v>
      </c>
      <c r="C3291" s="0" t="s">
        <v>322</v>
      </c>
      <c r="D3291" s="0" t="s">
        <v>189</v>
      </c>
      <c r="E3291" s="0" t="n">
        <v>10</v>
      </c>
      <c r="F3291" s="0" t="s">
        <v>58</v>
      </c>
      <c r="G3291" s="0" t="s">
        <v>59</v>
      </c>
      <c r="H3291" s="0" t="s">
        <v>59</v>
      </c>
      <c r="I3291" s="0" t="s">
        <v>34</v>
      </c>
      <c r="J3291" s="0" t="n">
        <v>2.22</v>
      </c>
      <c r="K3291" s="0" t="s">
        <v>60</v>
      </c>
      <c r="L3291" s="0" t="n">
        <f aca="false">INDEX(Summary!$F$2:$F$201,MATCH($B3291,Summary!$A$2:$A$201,0))</f>
        <v>20</v>
      </c>
      <c r="M3291" s="0" t="n">
        <f aca="false">INDEX(Summary!$I$2:$I$201,MATCH($B3291,Summary!$A$2:$A$201,0))</f>
        <v>4</v>
      </c>
      <c r="N3291" s="0" t="n">
        <f aca="false">INDEX(Summary!$J$2:$J$201,MATCH($B3291,Summary!$A$2:$A$201,0))</f>
        <v>1</v>
      </c>
      <c r="O3291" s="2" t="n">
        <f aca="false">INDEX(Summary!$K$2:$K$201,MATCH($B3291,Summary!$A$2:$A$201,0))</f>
        <v>8.85</v>
      </c>
      <c r="P3291" s="3" t="n">
        <f aca="false">INDEX(Summary!$L$2:$L$201,MATCH($B3291,Summary!$A$2:$A$201,0))</f>
        <v>5</v>
      </c>
      <c r="Q3291" s="3" t="n">
        <f aca="false">INDEX(Summary!$M$2:$M$201,MATCH($B3291,Summary!$A$2:$A$201,0))</f>
        <v>1</v>
      </c>
      <c r="R3291" s="2" t="n">
        <f aca="false">INDEX(Summary!$N$2:$N$201,MATCH($B3291,Summary!$A$2:$A$201,0))</f>
        <v>10.18</v>
      </c>
      <c r="S3291" s="3" t="n">
        <f aca="false">INDEX(Summary!$O$2:$O$201,MATCH($B3291,Summary!$A$2:$A$201,0))</f>
        <v>8</v>
      </c>
      <c r="T3291" s="3" t="n">
        <f aca="false">INDEX(Summary!$P$2:$P$201,MATCH($B3291,Summary!$A$2:$A$201,0))</f>
        <v>1</v>
      </c>
      <c r="U3291" s="2" t="n">
        <f aca="false">INDEX(Summary!$Q$2:$Q$201,MATCH($B3291,Summary!$A$2:$A$201,0))</f>
        <v>14.18</v>
      </c>
      <c r="V3291" s="2" t="n">
        <f aca="false">INDEX(Summary!$R$2:$R$201,MATCH($B3291,Summary!$A$2:$A$201,0))</f>
        <v>32.15</v>
      </c>
      <c r="W3291" s="0" t="str">
        <f aca="false">INDEX(Summary!$S$2:$S$201,MATCH($B3291,Summary!$A$2:$A$201,0))</f>
        <v>Gold</v>
      </c>
      <c r="X3291" s="2" t="n">
        <f aca="false">INDEX(Summary!$T$2:$T$201,MATCH($B3291,Summary!$A$2:$A$201,0))</f>
        <v>78.41</v>
      </c>
      <c r="Y3291" s="0" t="str">
        <f aca="false">INDEX('Reward Model'!$E$18:$E$37,MATCH($E3291,'Reward Model'!$A$18:$A$37,0))</f>
        <v>Medium</v>
      </c>
      <c r="Z3291" s="4" t="n">
        <f aca="false">ROUND(MIN(1,MAX('Reward Model'!$B$2,INDEX('Reward Model'!$C$12:$C$14,MATCH($K3291,'Reward Model'!$A$12:$A$14,0))/$J3291)),3)</f>
        <v>0.811</v>
      </c>
      <c r="AA3291" s="2" t="n">
        <f aca="false">IF($I3291="Correct",ROUND(INDEX('Reward Model'!$B$12:$B$14,MATCH($K3291,'Reward Model'!$A$12:$A$14,0))*Z3291,2),0)</f>
        <v>1.62</v>
      </c>
      <c r="AB3291" s="2" t="n">
        <f aca="false">IF($I3291="Correct",ROUND(INDEX('Reward Model'!$B$12:$B$14,MATCH($Y3291,'Reward Model'!$A$12:$A$14,0))*Z3291,2),0)</f>
        <v>1.62</v>
      </c>
    </row>
    <row r="3292" customFormat="false" ht="15" hidden="false" customHeight="false" outlineLevel="0" collapsed="false">
      <c r="A3292" s="0" t="s">
        <v>460</v>
      </c>
      <c r="B3292" s="0" t="s">
        <v>461</v>
      </c>
      <c r="C3292" s="0" t="s">
        <v>322</v>
      </c>
      <c r="D3292" s="0" t="s">
        <v>189</v>
      </c>
      <c r="E3292" s="0" t="n">
        <v>11</v>
      </c>
      <c r="F3292" s="0" t="s">
        <v>61</v>
      </c>
      <c r="G3292" s="0" t="s">
        <v>63</v>
      </c>
      <c r="H3292" s="0" t="s">
        <v>63</v>
      </c>
      <c r="I3292" s="0" t="s">
        <v>34</v>
      </c>
      <c r="J3292" s="0" t="n">
        <v>1.4</v>
      </c>
      <c r="K3292" s="0" t="s">
        <v>60</v>
      </c>
      <c r="L3292" s="0" t="n">
        <f aca="false">INDEX(Summary!$F$2:$F$201,MATCH($B3292,Summary!$A$2:$A$201,0))</f>
        <v>20</v>
      </c>
      <c r="M3292" s="0" t="n">
        <f aca="false">INDEX(Summary!$I$2:$I$201,MATCH($B3292,Summary!$A$2:$A$201,0))</f>
        <v>4</v>
      </c>
      <c r="N3292" s="0" t="n">
        <f aca="false">INDEX(Summary!$J$2:$J$201,MATCH($B3292,Summary!$A$2:$A$201,0))</f>
        <v>1</v>
      </c>
      <c r="O3292" s="2" t="n">
        <f aca="false">INDEX(Summary!$K$2:$K$201,MATCH($B3292,Summary!$A$2:$A$201,0))</f>
        <v>8.85</v>
      </c>
      <c r="P3292" s="3" t="n">
        <f aca="false">INDEX(Summary!$L$2:$L$201,MATCH($B3292,Summary!$A$2:$A$201,0))</f>
        <v>5</v>
      </c>
      <c r="Q3292" s="3" t="n">
        <f aca="false">INDEX(Summary!$M$2:$M$201,MATCH($B3292,Summary!$A$2:$A$201,0))</f>
        <v>1</v>
      </c>
      <c r="R3292" s="2" t="n">
        <f aca="false">INDEX(Summary!$N$2:$N$201,MATCH($B3292,Summary!$A$2:$A$201,0))</f>
        <v>10.18</v>
      </c>
      <c r="S3292" s="3" t="n">
        <f aca="false">INDEX(Summary!$O$2:$O$201,MATCH($B3292,Summary!$A$2:$A$201,0))</f>
        <v>8</v>
      </c>
      <c r="T3292" s="3" t="n">
        <f aca="false">INDEX(Summary!$P$2:$P$201,MATCH($B3292,Summary!$A$2:$A$201,0))</f>
        <v>1</v>
      </c>
      <c r="U3292" s="2" t="n">
        <f aca="false">INDEX(Summary!$Q$2:$Q$201,MATCH($B3292,Summary!$A$2:$A$201,0))</f>
        <v>14.18</v>
      </c>
      <c r="V3292" s="2" t="n">
        <f aca="false">INDEX(Summary!$R$2:$R$201,MATCH($B3292,Summary!$A$2:$A$201,0))</f>
        <v>32.15</v>
      </c>
      <c r="W3292" s="0" t="str">
        <f aca="false">INDEX(Summary!$S$2:$S$201,MATCH($B3292,Summary!$A$2:$A$201,0))</f>
        <v>Gold</v>
      </c>
      <c r="X3292" s="2" t="n">
        <f aca="false">INDEX(Summary!$T$2:$T$201,MATCH($B3292,Summary!$A$2:$A$201,0))</f>
        <v>78.41</v>
      </c>
      <c r="Y3292" s="0" t="str">
        <f aca="false">INDEX('Reward Model'!$E$18:$E$37,MATCH($E3292,'Reward Model'!$A$18:$A$37,0))</f>
        <v>Medium</v>
      </c>
      <c r="Z3292" s="4" t="n">
        <f aca="false">ROUND(MIN(1,MAX('Reward Model'!$B$2,INDEX('Reward Model'!$C$12:$C$14,MATCH($K3292,'Reward Model'!$A$12:$A$14,0))/$J3292)),3)</f>
        <v>1</v>
      </c>
      <c r="AA3292" s="2" t="n">
        <f aca="false">IF($I3292="Correct",ROUND(INDEX('Reward Model'!$B$12:$B$14,MATCH($K3292,'Reward Model'!$A$12:$A$14,0))*Z3292,2),0)</f>
        <v>2</v>
      </c>
      <c r="AB3292" s="2" t="n">
        <f aca="false">IF($I3292="Correct",ROUND(INDEX('Reward Model'!$B$12:$B$14,MATCH($Y3292,'Reward Model'!$A$12:$A$14,0))*Z3292,2),0)</f>
        <v>2</v>
      </c>
    </row>
    <row r="3293" customFormat="false" ht="15" hidden="false" customHeight="false" outlineLevel="0" collapsed="false">
      <c r="A3293" s="0" t="s">
        <v>460</v>
      </c>
      <c r="B3293" s="0" t="s">
        <v>461</v>
      </c>
      <c r="C3293" s="0" t="s">
        <v>322</v>
      </c>
      <c r="D3293" s="0" t="s">
        <v>189</v>
      </c>
      <c r="E3293" s="0" t="n">
        <v>12</v>
      </c>
      <c r="F3293" s="0" t="s">
        <v>64</v>
      </c>
      <c r="G3293" s="0" t="s">
        <v>65</v>
      </c>
      <c r="H3293" s="0" t="s">
        <v>65</v>
      </c>
      <c r="I3293" s="0" t="s">
        <v>34</v>
      </c>
      <c r="J3293" s="0" t="n">
        <v>2.03</v>
      </c>
      <c r="K3293" s="0" t="s">
        <v>60</v>
      </c>
      <c r="L3293" s="0" t="n">
        <f aca="false">INDEX(Summary!$F$2:$F$201,MATCH($B3293,Summary!$A$2:$A$201,0))</f>
        <v>20</v>
      </c>
      <c r="M3293" s="0" t="n">
        <f aca="false">INDEX(Summary!$I$2:$I$201,MATCH($B3293,Summary!$A$2:$A$201,0))</f>
        <v>4</v>
      </c>
      <c r="N3293" s="0" t="n">
        <f aca="false">INDEX(Summary!$J$2:$J$201,MATCH($B3293,Summary!$A$2:$A$201,0))</f>
        <v>1</v>
      </c>
      <c r="O3293" s="2" t="n">
        <f aca="false">INDEX(Summary!$K$2:$K$201,MATCH($B3293,Summary!$A$2:$A$201,0))</f>
        <v>8.85</v>
      </c>
      <c r="P3293" s="3" t="n">
        <f aca="false">INDEX(Summary!$L$2:$L$201,MATCH($B3293,Summary!$A$2:$A$201,0))</f>
        <v>5</v>
      </c>
      <c r="Q3293" s="3" t="n">
        <f aca="false">INDEX(Summary!$M$2:$M$201,MATCH($B3293,Summary!$A$2:$A$201,0))</f>
        <v>1</v>
      </c>
      <c r="R3293" s="2" t="n">
        <f aca="false">INDEX(Summary!$N$2:$N$201,MATCH($B3293,Summary!$A$2:$A$201,0))</f>
        <v>10.18</v>
      </c>
      <c r="S3293" s="3" t="n">
        <f aca="false">INDEX(Summary!$O$2:$O$201,MATCH($B3293,Summary!$A$2:$A$201,0))</f>
        <v>8</v>
      </c>
      <c r="T3293" s="3" t="n">
        <f aca="false">INDEX(Summary!$P$2:$P$201,MATCH($B3293,Summary!$A$2:$A$201,0))</f>
        <v>1</v>
      </c>
      <c r="U3293" s="2" t="n">
        <f aca="false">INDEX(Summary!$Q$2:$Q$201,MATCH($B3293,Summary!$A$2:$A$201,0))</f>
        <v>14.18</v>
      </c>
      <c r="V3293" s="2" t="n">
        <f aca="false">INDEX(Summary!$R$2:$R$201,MATCH($B3293,Summary!$A$2:$A$201,0))</f>
        <v>32.15</v>
      </c>
      <c r="W3293" s="0" t="str">
        <f aca="false">INDEX(Summary!$S$2:$S$201,MATCH($B3293,Summary!$A$2:$A$201,0))</f>
        <v>Gold</v>
      </c>
      <c r="X3293" s="2" t="n">
        <f aca="false">INDEX(Summary!$T$2:$T$201,MATCH($B3293,Summary!$A$2:$A$201,0))</f>
        <v>78.41</v>
      </c>
      <c r="Y3293" s="0" t="str">
        <f aca="false">INDEX('Reward Model'!$E$18:$E$37,MATCH($E3293,'Reward Model'!$A$18:$A$37,0))</f>
        <v>Medium</v>
      </c>
      <c r="Z3293" s="4" t="n">
        <f aca="false">ROUND(MIN(1,MAX('Reward Model'!$B$2,INDEX('Reward Model'!$C$12:$C$14,MATCH($K3293,'Reward Model'!$A$12:$A$14,0))/$J3293)),3)</f>
        <v>0.887</v>
      </c>
      <c r="AA3293" s="2" t="n">
        <f aca="false">IF($I3293="Correct",ROUND(INDEX('Reward Model'!$B$12:$B$14,MATCH($K3293,'Reward Model'!$A$12:$A$14,0))*Z3293,2),0)</f>
        <v>1.77</v>
      </c>
      <c r="AB3293" s="2" t="n">
        <f aca="false">IF($I3293="Correct",ROUND(INDEX('Reward Model'!$B$12:$B$14,MATCH($Y3293,'Reward Model'!$A$12:$A$14,0))*Z3293,2),0)</f>
        <v>1.77</v>
      </c>
    </row>
    <row r="3294" customFormat="false" ht="15" hidden="false" customHeight="false" outlineLevel="0" collapsed="false">
      <c r="A3294" s="0" t="s">
        <v>460</v>
      </c>
      <c r="B3294" s="0" t="s">
        <v>461</v>
      </c>
      <c r="C3294" s="0" t="s">
        <v>322</v>
      </c>
      <c r="D3294" s="0" t="s">
        <v>189</v>
      </c>
      <c r="E3294" s="0" t="n">
        <v>13</v>
      </c>
      <c r="F3294" s="0" t="s">
        <v>66</v>
      </c>
      <c r="G3294" s="0" t="s">
        <v>67</v>
      </c>
      <c r="H3294" s="0" t="s">
        <v>67</v>
      </c>
      <c r="I3294" s="0" t="s">
        <v>34</v>
      </c>
      <c r="J3294" s="0" t="n">
        <v>1.58</v>
      </c>
      <c r="K3294" s="0" t="s">
        <v>60</v>
      </c>
      <c r="L3294" s="0" t="n">
        <f aca="false">INDEX(Summary!$F$2:$F$201,MATCH($B3294,Summary!$A$2:$A$201,0))</f>
        <v>20</v>
      </c>
      <c r="M3294" s="0" t="n">
        <f aca="false">INDEX(Summary!$I$2:$I$201,MATCH($B3294,Summary!$A$2:$A$201,0))</f>
        <v>4</v>
      </c>
      <c r="N3294" s="0" t="n">
        <f aca="false">INDEX(Summary!$J$2:$J$201,MATCH($B3294,Summary!$A$2:$A$201,0))</f>
        <v>1</v>
      </c>
      <c r="O3294" s="2" t="n">
        <f aca="false">INDEX(Summary!$K$2:$K$201,MATCH($B3294,Summary!$A$2:$A$201,0))</f>
        <v>8.85</v>
      </c>
      <c r="P3294" s="3" t="n">
        <f aca="false">INDEX(Summary!$L$2:$L$201,MATCH($B3294,Summary!$A$2:$A$201,0))</f>
        <v>5</v>
      </c>
      <c r="Q3294" s="3" t="n">
        <f aca="false">INDEX(Summary!$M$2:$M$201,MATCH($B3294,Summary!$A$2:$A$201,0))</f>
        <v>1</v>
      </c>
      <c r="R3294" s="2" t="n">
        <f aca="false">INDEX(Summary!$N$2:$N$201,MATCH($B3294,Summary!$A$2:$A$201,0))</f>
        <v>10.18</v>
      </c>
      <c r="S3294" s="3" t="n">
        <f aca="false">INDEX(Summary!$O$2:$O$201,MATCH($B3294,Summary!$A$2:$A$201,0))</f>
        <v>8</v>
      </c>
      <c r="T3294" s="3" t="n">
        <f aca="false">INDEX(Summary!$P$2:$P$201,MATCH($B3294,Summary!$A$2:$A$201,0))</f>
        <v>1</v>
      </c>
      <c r="U3294" s="2" t="n">
        <f aca="false">INDEX(Summary!$Q$2:$Q$201,MATCH($B3294,Summary!$A$2:$A$201,0))</f>
        <v>14.18</v>
      </c>
      <c r="V3294" s="2" t="n">
        <f aca="false">INDEX(Summary!$R$2:$R$201,MATCH($B3294,Summary!$A$2:$A$201,0))</f>
        <v>32.15</v>
      </c>
      <c r="W3294" s="0" t="str">
        <f aca="false">INDEX(Summary!$S$2:$S$201,MATCH($B3294,Summary!$A$2:$A$201,0))</f>
        <v>Gold</v>
      </c>
      <c r="X3294" s="2" t="n">
        <f aca="false">INDEX(Summary!$T$2:$T$201,MATCH($B3294,Summary!$A$2:$A$201,0))</f>
        <v>78.41</v>
      </c>
      <c r="Y3294" s="0" t="str">
        <f aca="false">INDEX('Reward Model'!$E$18:$E$37,MATCH($E3294,'Reward Model'!$A$18:$A$37,0))</f>
        <v>Medium</v>
      </c>
      <c r="Z3294" s="4" t="n">
        <f aca="false">ROUND(MIN(1,MAX('Reward Model'!$B$2,INDEX('Reward Model'!$C$12:$C$14,MATCH($K3294,'Reward Model'!$A$12:$A$14,0))/$J3294)),3)</f>
        <v>1</v>
      </c>
      <c r="AA3294" s="2" t="n">
        <f aca="false">IF($I3294="Correct",ROUND(INDEX('Reward Model'!$B$12:$B$14,MATCH($K3294,'Reward Model'!$A$12:$A$14,0))*Z3294,2),0)</f>
        <v>2</v>
      </c>
      <c r="AB3294" s="2" t="n">
        <f aca="false">IF($I3294="Correct",ROUND(INDEX('Reward Model'!$B$12:$B$14,MATCH($Y3294,'Reward Model'!$A$12:$A$14,0))*Z3294,2),0)</f>
        <v>2</v>
      </c>
    </row>
    <row r="3295" customFormat="false" ht="15" hidden="false" customHeight="false" outlineLevel="0" collapsed="false">
      <c r="A3295" s="0" t="s">
        <v>460</v>
      </c>
      <c r="B3295" s="0" t="s">
        <v>461</v>
      </c>
      <c r="C3295" s="0" t="s">
        <v>322</v>
      </c>
      <c r="D3295" s="0" t="s">
        <v>189</v>
      </c>
      <c r="E3295" s="0" t="n">
        <v>14</v>
      </c>
      <c r="F3295" s="0" t="s">
        <v>68</v>
      </c>
      <c r="G3295" s="0" t="s">
        <v>51</v>
      </c>
      <c r="H3295" s="0" t="s">
        <v>51</v>
      </c>
      <c r="I3295" s="0" t="s">
        <v>34</v>
      </c>
      <c r="J3295" s="0" t="n">
        <v>1.75</v>
      </c>
      <c r="K3295" s="0" t="s">
        <v>60</v>
      </c>
      <c r="L3295" s="0" t="n">
        <f aca="false">INDEX(Summary!$F$2:$F$201,MATCH($B3295,Summary!$A$2:$A$201,0))</f>
        <v>20</v>
      </c>
      <c r="M3295" s="0" t="n">
        <f aca="false">INDEX(Summary!$I$2:$I$201,MATCH($B3295,Summary!$A$2:$A$201,0))</f>
        <v>4</v>
      </c>
      <c r="N3295" s="0" t="n">
        <f aca="false">INDEX(Summary!$J$2:$J$201,MATCH($B3295,Summary!$A$2:$A$201,0))</f>
        <v>1</v>
      </c>
      <c r="O3295" s="2" t="n">
        <f aca="false">INDEX(Summary!$K$2:$K$201,MATCH($B3295,Summary!$A$2:$A$201,0))</f>
        <v>8.85</v>
      </c>
      <c r="P3295" s="3" t="n">
        <f aca="false">INDEX(Summary!$L$2:$L$201,MATCH($B3295,Summary!$A$2:$A$201,0))</f>
        <v>5</v>
      </c>
      <c r="Q3295" s="3" t="n">
        <f aca="false">INDEX(Summary!$M$2:$M$201,MATCH($B3295,Summary!$A$2:$A$201,0))</f>
        <v>1</v>
      </c>
      <c r="R3295" s="2" t="n">
        <f aca="false">INDEX(Summary!$N$2:$N$201,MATCH($B3295,Summary!$A$2:$A$201,0))</f>
        <v>10.18</v>
      </c>
      <c r="S3295" s="3" t="n">
        <f aca="false">INDEX(Summary!$O$2:$O$201,MATCH($B3295,Summary!$A$2:$A$201,0))</f>
        <v>8</v>
      </c>
      <c r="T3295" s="3" t="n">
        <f aca="false">INDEX(Summary!$P$2:$P$201,MATCH($B3295,Summary!$A$2:$A$201,0))</f>
        <v>1</v>
      </c>
      <c r="U3295" s="2" t="n">
        <f aca="false">INDEX(Summary!$Q$2:$Q$201,MATCH($B3295,Summary!$A$2:$A$201,0))</f>
        <v>14.18</v>
      </c>
      <c r="V3295" s="2" t="n">
        <f aca="false">INDEX(Summary!$R$2:$R$201,MATCH($B3295,Summary!$A$2:$A$201,0))</f>
        <v>32.15</v>
      </c>
      <c r="W3295" s="0" t="str">
        <f aca="false">INDEX(Summary!$S$2:$S$201,MATCH($B3295,Summary!$A$2:$A$201,0))</f>
        <v>Gold</v>
      </c>
      <c r="X3295" s="2" t="n">
        <f aca="false">INDEX(Summary!$T$2:$T$201,MATCH($B3295,Summary!$A$2:$A$201,0))</f>
        <v>78.41</v>
      </c>
      <c r="Y3295" s="0" t="str">
        <f aca="false">INDEX('Reward Model'!$E$18:$E$37,MATCH($E3295,'Reward Model'!$A$18:$A$37,0))</f>
        <v>Medium</v>
      </c>
      <c r="Z3295" s="4" t="n">
        <f aca="false">ROUND(MIN(1,MAX('Reward Model'!$B$2,INDEX('Reward Model'!$C$12:$C$14,MATCH($K3295,'Reward Model'!$A$12:$A$14,0))/$J3295)),3)</f>
        <v>1</v>
      </c>
      <c r="AA3295" s="2" t="n">
        <f aca="false">IF($I3295="Correct",ROUND(INDEX('Reward Model'!$B$12:$B$14,MATCH($K3295,'Reward Model'!$A$12:$A$14,0))*Z3295,2),0)</f>
        <v>2</v>
      </c>
      <c r="AB3295" s="2" t="n">
        <f aca="false">IF($I3295="Correct",ROUND(INDEX('Reward Model'!$B$12:$B$14,MATCH($Y3295,'Reward Model'!$A$12:$A$14,0))*Z3295,2),0)</f>
        <v>2</v>
      </c>
    </row>
    <row r="3296" customFormat="false" ht="15" hidden="false" customHeight="false" outlineLevel="0" collapsed="false">
      <c r="A3296" s="0" t="s">
        <v>460</v>
      </c>
      <c r="B3296" s="0" t="s">
        <v>461</v>
      </c>
      <c r="C3296" s="0" t="s">
        <v>322</v>
      </c>
      <c r="D3296" s="0" t="s">
        <v>189</v>
      </c>
      <c r="E3296" s="0" t="n">
        <v>15</v>
      </c>
      <c r="F3296" s="0" t="s">
        <v>69</v>
      </c>
      <c r="G3296" s="0" t="s">
        <v>131</v>
      </c>
      <c r="H3296" s="0" t="s">
        <v>70</v>
      </c>
      <c r="I3296" s="0" t="s">
        <v>39</v>
      </c>
      <c r="J3296" s="0" t="n">
        <v>1.2</v>
      </c>
      <c r="K3296" s="0" t="s">
        <v>60</v>
      </c>
      <c r="L3296" s="0" t="n">
        <f aca="false">INDEX(Summary!$F$2:$F$201,MATCH($B3296,Summary!$A$2:$A$201,0))</f>
        <v>20</v>
      </c>
      <c r="M3296" s="0" t="n">
        <f aca="false">INDEX(Summary!$I$2:$I$201,MATCH($B3296,Summary!$A$2:$A$201,0))</f>
        <v>4</v>
      </c>
      <c r="N3296" s="0" t="n">
        <f aca="false">INDEX(Summary!$J$2:$J$201,MATCH($B3296,Summary!$A$2:$A$201,0))</f>
        <v>1</v>
      </c>
      <c r="O3296" s="2" t="n">
        <f aca="false">INDEX(Summary!$K$2:$K$201,MATCH($B3296,Summary!$A$2:$A$201,0))</f>
        <v>8.85</v>
      </c>
      <c r="P3296" s="3" t="n">
        <f aca="false">INDEX(Summary!$L$2:$L$201,MATCH($B3296,Summary!$A$2:$A$201,0))</f>
        <v>5</v>
      </c>
      <c r="Q3296" s="3" t="n">
        <f aca="false">INDEX(Summary!$M$2:$M$201,MATCH($B3296,Summary!$A$2:$A$201,0))</f>
        <v>1</v>
      </c>
      <c r="R3296" s="2" t="n">
        <f aca="false">INDEX(Summary!$N$2:$N$201,MATCH($B3296,Summary!$A$2:$A$201,0))</f>
        <v>10.18</v>
      </c>
      <c r="S3296" s="3" t="n">
        <f aca="false">INDEX(Summary!$O$2:$O$201,MATCH($B3296,Summary!$A$2:$A$201,0))</f>
        <v>8</v>
      </c>
      <c r="T3296" s="3" t="n">
        <f aca="false">INDEX(Summary!$P$2:$P$201,MATCH($B3296,Summary!$A$2:$A$201,0))</f>
        <v>1</v>
      </c>
      <c r="U3296" s="2" t="n">
        <f aca="false">INDEX(Summary!$Q$2:$Q$201,MATCH($B3296,Summary!$A$2:$A$201,0))</f>
        <v>14.18</v>
      </c>
      <c r="V3296" s="2" t="n">
        <f aca="false">INDEX(Summary!$R$2:$R$201,MATCH($B3296,Summary!$A$2:$A$201,0))</f>
        <v>32.15</v>
      </c>
      <c r="W3296" s="0" t="str">
        <f aca="false">INDEX(Summary!$S$2:$S$201,MATCH($B3296,Summary!$A$2:$A$201,0))</f>
        <v>Gold</v>
      </c>
      <c r="X3296" s="2" t="n">
        <f aca="false">INDEX(Summary!$T$2:$T$201,MATCH($B3296,Summary!$A$2:$A$201,0))</f>
        <v>78.41</v>
      </c>
      <c r="Y3296" s="0" t="str">
        <f aca="false">INDEX('Reward Model'!$E$18:$E$37,MATCH($E3296,'Reward Model'!$A$18:$A$37,0))</f>
        <v>Medium</v>
      </c>
      <c r="Z3296" s="4" t="n">
        <f aca="false">ROUND(MIN(1,MAX('Reward Model'!$B$2,INDEX('Reward Model'!$C$12:$C$14,MATCH($K3296,'Reward Model'!$A$12:$A$14,0))/$J3296)),3)</f>
        <v>1</v>
      </c>
      <c r="AA3296" s="2" t="n">
        <f aca="false">IF($I3296="Correct",ROUND(INDEX('Reward Model'!$B$12:$B$14,MATCH($K3296,'Reward Model'!$A$12:$A$14,0))*Z3296,2),0)</f>
        <v>0</v>
      </c>
      <c r="AB3296" s="2" t="n">
        <f aca="false">IF($I3296="Correct",ROUND(INDEX('Reward Model'!$B$12:$B$14,MATCH($Y3296,'Reward Model'!$A$12:$A$14,0))*Z3296,2),0)</f>
        <v>0</v>
      </c>
    </row>
    <row r="3297" customFormat="false" ht="15" hidden="false" customHeight="false" outlineLevel="0" collapsed="false">
      <c r="A3297" s="0" t="s">
        <v>460</v>
      </c>
      <c r="B3297" s="0" t="s">
        <v>461</v>
      </c>
      <c r="C3297" s="0" t="s">
        <v>322</v>
      </c>
      <c r="D3297" s="0" t="s">
        <v>189</v>
      </c>
      <c r="E3297" s="0" t="n">
        <v>16</v>
      </c>
      <c r="F3297" s="0" t="s">
        <v>71</v>
      </c>
      <c r="G3297" s="0" t="s">
        <v>72</v>
      </c>
      <c r="H3297" s="0" t="s">
        <v>72</v>
      </c>
      <c r="I3297" s="0" t="s">
        <v>34</v>
      </c>
      <c r="J3297" s="0" t="n">
        <v>1.99</v>
      </c>
      <c r="K3297" s="0" t="s">
        <v>73</v>
      </c>
      <c r="L3297" s="0" t="n">
        <f aca="false">INDEX(Summary!$F$2:$F$201,MATCH($B3297,Summary!$A$2:$A$201,0))</f>
        <v>20</v>
      </c>
      <c r="M3297" s="0" t="n">
        <f aca="false">INDEX(Summary!$I$2:$I$201,MATCH($B3297,Summary!$A$2:$A$201,0))</f>
        <v>4</v>
      </c>
      <c r="N3297" s="0" t="n">
        <f aca="false">INDEX(Summary!$J$2:$J$201,MATCH($B3297,Summary!$A$2:$A$201,0))</f>
        <v>1</v>
      </c>
      <c r="O3297" s="2" t="n">
        <f aca="false">INDEX(Summary!$K$2:$K$201,MATCH($B3297,Summary!$A$2:$A$201,0))</f>
        <v>8.85</v>
      </c>
      <c r="P3297" s="3" t="n">
        <f aca="false">INDEX(Summary!$L$2:$L$201,MATCH($B3297,Summary!$A$2:$A$201,0))</f>
        <v>5</v>
      </c>
      <c r="Q3297" s="3" t="n">
        <f aca="false">INDEX(Summary!$M$2:$M$201,MATCH($B3297,Summary!$A$2:$A$201,0))</f>
        <v>1</v>
      </c>
      <c r="R3297" s="2" t="n">
        <f aca="false">INDEX(Summary!$N$2:$N$201,MATCH($B3297,Summary!$A$2:$A$201,0))</f>
        <v>10.18</v>
      </c>
      <c r="S3297" s="3" t="n">
        <f aca="false">INDEX(Summary!$O$2:$O$201,MATCH($B3297,Summary!$A$2:$A$201,0))</f>
        <v>8</v>
      </c>
      <c r="T3297" s="3" t="n">
        <f aca="false">INDEX(Summary!$P$2:$P$201,MATCH($B3297,Summary!$A$2:$A$201,0))</f>
        <v>1</v>
      </c>
      <c r="U3297" s="2" t="n">
        <f aca="false">INDEX(Summary!$Q$2:$Q$201,MATCH($B3297,Summary!$A$2:$A$201,0))</f>
        <v>14.18</v>
      </c>
      <c r="V3297" s="2" t="n">
        <f aca="false">INDEX(Summary!$R$2:$R$201,MATCH($B3297,Summary!$A$2:$A$201,0))</f>
        <v>32.15</v>
      </c>
      <c r="W3297" s="0" t="str">
        <f aca="false">INDEX(Summary!$S$2:$S$201,MATCH($B3297,Summary!$A$2:$A$201,0))</f>
        <v>Gold</v>
      </c>
      <c r="X3297" s="2" t="n">
        <f aca="false">INDEX(Summary!$T$2:$T$201,MATCH($B3297,Summary!$A$2:$A$201,0))</f>
        <v>78.41</v>
      </c>
      <c r="Y3297" s="0" t="str">
        <f aca="false">INDEX('Reward Model'!$E$18:$E$37,MATCH($E3297,'Reward Model'!$A$18:$A$37,0))</f>
        <v>High</v>
      </c>
      <c r="Z3297" s="4" t="n">
        <f aca="false">ROUND(MIN(1,MAX('Reward Model'!$B$2,INDEX('Reward Model'!$C$12:$C$14,MATCH($K3297,'Reward Model'!$A$12:$A$14,0))/$J3297)),3)</f>
        <v>1</v>
      </c>
      <c r="AA3297" s="2" t="n">
        <f aca="false">IF($I3297="Correct",ROUND(INDEX('Reward Model'!$B$12:$B$14,MATCH($K3297,'Reward Model'!$A$12:$A$14,0))*Z3297,2),0)</f>
        <v>3</v>
      </c>
      <c r="AB3297" s="2" t="n">
        <f aca="false">IF($I3297="Correct",ROUND(INDEX('Reward Model'!$B$12:$B$14,MATCH($Y3297,'Reward Model'!$A$12:$A$14,0))*Z3297,2),0)</f>
        <v>3</v>
      </c>
    </row>
    <row r="3298" customFormat="false" ht="15" hidden="false" customHeight="false" outlineLevel="0" collapsed="false">
      <c r="A3298" s="0" t="s">
        <v>460</v>
      </c>
      <c r="B3298" s="0" t="s">
        <v>461</v>
      </c>
      <c r="C3298" s="0" t="s">
        <v>322</v>
      </c>
      <c r="D3298" s="0" t="s">
        <v>189</v>
      </c>
      <c r="E3298" s="0" t="n">
        <v>17</v>
      </c>
      <c r="F3298" s="0" t="s">
        <v>74</v>
      </c>
      <c r="G3298" s="0" t="s">
        <v>75</v>
      </c>
      <c r="H3298" s="0" t="s">
        <v>75</v>
      </c>
      <c r="I3298" s="0" t="s">
        <v>34</v>
      </c>
      <c r="J3298" s="0" t="n">
        <v>1.61</v>
      </c>
      <c r="K3298" s="0" t="s">
        <v>73</v>
      </c>
      <c r="L3298" s="0" t="n">
        <f aca="false">INDEX(Summary!$F$2:$F$201,MATCH($B3298,Summary!$A$2:$A$201,0))</f>
        <v>20</v>
      </c>
      <c r="M3298" s="0" t="n">
        <f aca="false">INDEX(Summary!$I$2:$I$201,MATCH($B3298,Summary!$A$2:$A$201,0))</f>
        <v>4</v>
      </c>
      <c r="N3298" s="0" t="n">
        <f aca="false">INDEX(Summary!$J$2:$J$201,MATCH($B3298,Summary!$A$2:$A$201,0))</f>
        <v>1</v>
      </c>
      <c r="O3298" s="2" t="n">
        <f aca="false">INDEX(Summary!$K$2:$K$201,MATCH($B3298,Summary!$A$2:$A$201,0))</f>
        <v>8.85</v>
      </c>
      <c r="P3298" s="3" t="n">
        <f aca="false">INDEX(Summary!$L$2:$L$201,MATCH($B3298,Summary!$A$2:$A$201,0))</f>
        <v>5</v>
      </c>
      <c r="Q3298" s="3" t="n">
        <f aca="false">INDEX(Summary!$M$2:$M$201,MATCH($B3298,Summary!$A$2:$A$201,0))</f>
        <v>1</v>
      </c>
      <c r="R3298" s="2" t="n">
        <f aca="false">INDEX(Summary!$N$2:$N$201,MATCH($B3298,Summary!$A$2:$A$201,0))</f>
        <v>10.18</v>
      </c>
      <c r="S3298" s="3" t="n">
        <f aca="false">INDEX(Summary!$O$2:$O$201,MATCH($B3298,Summary!$A$2:$A$201,0))</f>
        <v>8</v>
      </c>
      <c r="T3298" s="3" t="n">
        <f aca="false">INDEX(Summary!$P$2:$P$201,MATCH($B3298,Summary!$A$2:$A$201,0))</f>
        <v>1</v>
      </c>
      <c r="U3298" s="2" t="n">
        <f aca="false">INDEX(Summary!$Q$2:$Q$201,MATCH($B3298,Summary!$A$2:$A$201,0))</f>
        <v>14.18</v>
      </c>
      <c r="V3298" s="2" t="n">
        <f aca="false">INDEX(Summary!$R$2:$R$201,MATCH($B3298,Summary!$A$2:$A$201,0))</f>
        <v>32.15</v>
      </c>
      <c r="W3298" s="0" t="str">
        <f aca="false">INDEX(Summary!$S$2:$S$201,MATCH($B3298,Summary!$A$2:$A$201,0))</f>
        <v>Gold</v>
      </c>
      <c r="X3298" s="2" t="n">
        <f aca="false">INDEX(Summary!$T$2:$T$201,MATCH($B3298,Summary!$A$2:$A$201,0))</f>
        <v>78.41</v>
      </c>
      <c r="Y3298" s="0" t="str">
        <f aca="false">INDEX('Reward Model'!$E$18:$E$37,MATCH($E3298,'Reward Model'!$A$18:$A$37,0))</f>
        <v>High</v>
      </c>
      <c r="Z3298" s="4" t="n">
        <f aca="false">ROUND(MIN(1,MAX('Reward Model'!$B$2,INDEX('Reward Model'!$C$12:$C$14,MATCH($K3298,'Reward Model'!$A$12:$A$14,0))/$J3298)),3)</f>
        <v>1</v>
      </c>
      <c r="AA3298" s="2" t="n">
        <f aca="false">IF($I3298="Correct",ROUND(INDEX('Reward Model'!$B$12:$B$14,MATCH($K3298,'Reward Model'!$A$12:$A$14,0))*Z3298,2),0)</f>
        <v>3</v>
      </c>
      <c r="AB3298" s="2" t="n">
        <f aca="false">IF($I3298="Correct",ROUND(INDEX('Reward Model'!$B$12:$B$14,MATCH($Y3298,'Reward Model'!$A$12:$A$14,0))*Z3298,2),0)</f>
        <v>3</v>
      </c>
    </row>
    <row r="3299" customFormat="false" ht="15" hidden="false" customHeight="false" outlineLevel="0" collapsed="false">
      <c r="A3299" s="0" t="s">
        <v>460</v>
      </c>
      <c r="B3299" s="0" t="s">
        <v>461</v>
      </c>
      <c r="C3299" s="0" t="s">
        <v>322</v>
      </c>
      <c r="D3299" s="0" t="s">
        <v>189</v>
      </c>
      <c r="E3299" s="0" t="n">
        <v>18</v>
      </c>
      <c r="F3299" s="0" t="s">
        <v>76</v>
      </c>
      <c r="G3299" s="0" t="s">
        <v>128</v>
      </c>
      <c r="H3299" s="0" t="s">
        <v>77</v>
      </c>
      <c r="I3299" s="0" t="s">
        <v>39</v>
      </c>
      <c r="J3299" s="0" t="n">
        <v>2.57</v>
      </c>
      <c r="K3299" s="0" t="s">
        <v>73</v>
      </c>
      <c r="L3299" s="0" t="n">
        <f aca="false">INDEX(Summary!$F$2:$F$201,MATCH($B3299,Summary!$A$2:$A$201,0))</f>
        <v>20</v>
      </c>
      <c r="M3299" s="0" t="n">
        <f aca="false">INDEX(Summary!$I$2:$I$201,MATCH($B3299,Summary!$A$2:$A$201,0))</f>
        <v>4</v>
      </c>
      <c r="N3299" s="0" t="n">
        <f aca="false">INDEX(Summary!$J$2:$J$201,MATCH($B3299,Summary!$A$2:$A$201,0))</f>
        <v>1</v>
      </c>
      <c r="O3299" s="2" t="n">
        <f aca="false">INDEX(Summary!$K$2:$K$201,MATCH($B3299,Summary!$A$2:$A$201,0))</f>
        <v>8.85</v>
      </c>
      <c r="P3299" s="3" t="n">
        <f aca="false">INDEX(Summary!$L$2:$L$201,MATCH($B3299,Summary!$A$2:$A$201,0))</f>
        <v>5</v>
      </c>
      <c r="Q3299" s="3" t="n">
        <f aca="false">INDEX(Summary!$M$2:$M$201,MATCH($B3299,Summary!$A$2:$A$201,0))</f>
        <v>1</v>
      </c>
      <c r="R3299" s="2" t="n">
        <f aca="false">INDEX(Summary!$N$2:$N$201,MATCH($B3299,Summary!$A$2:$A$201,0))</f>
        <v>10.18</v>
      </c>
      <c r="S3299" s="3" t="n">
        <f aca="false">INDEX(Summary!$O$2:$O$201,MATCH($B3299,Summary!$A$2:$A$201,0))</f>
        <v>8</v>
      </c>
      <c r="T3299" s="3" t="n">
        <f aca="false">INDEX(Summary!$P$2:$P$201,MATCH($B3299,Summary!$A$2:$A$201,0))</f>
        <v>1</v>
      </c>
      <c r="U3299" s="2" t="n">
        <f aca="false">INDEX(Summary!$Q$2:$Q$201,MATCH($B3299,Summary!$A$2:$A$201,0))</f>
        <v>14.18</v>
      </c>
      <c r="V3299" s="2" t="n">
        <f aca="false">INDEX(Summary!$R$2:$R$201,MATCH($B3299,Summary!$A$2:$A$201,0))</f>
        <v>32.15</v>
      </c>
      <c r="W3299" s="0" t="str">
        <f aca="false">INDEX(Summary!$S$2:$S$201,MATCH($B3299,Summary!$A$2:$A$201,0))</f>
        <v>Gold</v>
      </c>
      <c r="X3299" s="2" t="n">
        <f aca="false">INDEX(Summary!$T$2:$T$201,MATCH($B3299,Summary!$A$2:$A$201,0))</f>
        <v>78.41</v>
      </c>
      <c r="Y3299" s="0" t="str">
        <f aca="false">INDEX('Reward Model'!$E$18:$E$37,MATCH($E3299,'Reward Model'!$A$18:$A$37,0))</f>
        <v>High</v>
      </c>
      <c r="Z3299" s="4" t="n">
        <f aca="false">ROUND(MIN(1,MAX('Reward Model'!$B$2,INDEX('Reward Model'!$C$12:$C$14,MATCH($K3299,'Reward Model'!$A$12:$A$14,0))/$J3299)),3)</f>
        <v>0.778</v>
      </c>
      <c r="AA3299" s="2" t="n">
        <f aca="false">IF($I3299="Correct",ROUND(INDEX('Reward Model'!$B$12:$B$14,MATCH($K3299,'Reward Model'!$A$12:$A$14,0))*Z3299,2),0)</f>
        <v>0</v>
      </c>
      <c r="AB3299" s="2" t="n">
        <f aca="false">IF($I3299="Correct",ROUND(INDEX('Reward Model'!$B$12:$B$14,MATCH($Y3299,'Reward Model'!$A$12:$A$14,0))*Z3299,2),0)</f>
        <v>0</v>
      </c>
    </row>
    <row r="3300" customFormat="false" ht="15" hidden="false" customHeight="false" outlineLevel="0" collapsed="false">
      <c r="A3300" s="0" t="s">
        <v>460</v>
      </c>
      <c r="B3300" s="0" t="s">
        <v>461</v>
      </c>
      <c r="C3300" s="0" t="s">
        <v>322</v>
      </c>
      <c r="D3300" s="0" t="s">
        <v>189</v>
      </c>
      <c r="E3300" s="0" t="n">
        <v>19</v>
      </c>
      <c r="F3300" s="0" t="s">
        <v>78</v>
      </c>
      <c r="G3300" s="0" t="s">
        <v>80</v>
      </c>
      <c r="H3300" s="0" t="s">
        <v>80</v>
      </c>
      <c r="I3300" s="0" t="s">
        <v>34</v>
      </c>
      <c r="J3300" s="0" t="n">
        <v>1.31</v>
      </c>
      <c r="K3300" s="0" t="s">
        <v>73</v>
      </c>
      <c r="L3300" s="0" t="n">
        <f aca="false">INDEX(Summary!$F$2:$F$201,MATCH($B3300,Summary!$A$2:$A$201,0))</f>
        <v>20</v>
      </c>
      <c r="M3300" s="0" t="n">
        <f aca="false">INDEX(Summary!$I$2:$I$201,MATCH($B3300,Summary!$A$2:$A$201,0))</f>
        <v>4</v>
      </c>
      <c r="N3300" s="0" t="n">
        <f aca="false">INDEX(Summary!$J$2:$J$201,MATCH($B3300,Summary!$A$2:$A$201,0))</f>
        <v>1</v>
      </c>
      <c r="O3300" s="2" t="n">
        <f aca="false">INDEX(Summary!$K$2:$K$201,MATCH($B3300,Summary!$A$2:$A$201,0))</f>
        <v>8.85</v>
      </c>
      <c r="P3300" s="3" t="n">
        <f aca="false">INDEX(Summary!$L$2:$L$201,MATCH($B3300,Summary!$A$2:$A$201,0))</f>
        <v>5</v>
      </c>
      <c r="Q3300" s="3" t="n">
        <f aca="false">INDEX(Summary!$M$2:$M$201,MATCH($B3300,Summary!$A$2:$A$201,0))</f>
        <v>1</v>
      </c>
      <c r="R3300" s="2" t="n">
        <f aca="false">INDEX(Summary!$N$2:$N$201,MATCH($B3300,Summary!$A$2:$A$201,0))</f>
        <v>10.18</v>
      </c>
      <c r="S3300" s="3" t="n">
        <f aca="false">INDEX(Summary!$O$2:$O$201,MATCH($B3300,Summary!$A$2:$A$201,0))</f>
        <v>8</v>
      </c>
      <c r="T3300" s="3" t="n">
        <f aca="false">INDEX(Summary!$P$2:$P$201,MATCH($B3300,Summary!$A$2:$A$201,0))</f>
        <v>1</v>
      </c>
      <c r="U3300" s="2" t="n">
        <f aca="false">INDEX(Summary!$Q$2:$Q$201,MATCH($B3300,Summary!$A$2:$A$201,0))</f>
        <v>14.18</v>
      </c>
      <c r="V3300" s="2" t="n">
        <f aca="false">INDEX(Summary!$R$2:$R$201,MATCH($B3300,Summary!$A$2:$A$201,0))</f>
        <v>32.15</v>
      </c>
      <c r="W3300" s="0" t="str">
        <f aca="false">INDEX(Summary!$S$2:$S$201,MATCH($B3300,Summary!$A$2:$A$201,0))</f>
        <v>Gold</v>
      </c>
      <c r="X3300" s="2" t="n">
        <f aca="false">INDEX(Summary!$T$2:$T$201,MATCH($B3300,Summary!$A$2:$A$201,0))</f>
        <v>78.41</v>
      </c>
      <c r="Y3300" s="0" t="str">
        <f aca="false">INDEX('Reward Model'!$E$18:$E$37,MATCH($E3300,'Reward Model'!$A$18:$A$37,0))</f>
        <v>High</v>
      </c>
      <c r="Z3300" s="4" t="n">
        <f aca="false">ROUND(MIN(1,MAX('Reward Model'!$B$2,INDEX('Reward Model'!$C$12:$C$14,MATCH($K3300,'Reward Model'!$A$12:$A$14,0))/$J3300)),3)</f>
        <v>1</v>
      </c>
      <c r="AA3300" s="2" t="n">
        <f aca="false">IF($I3300="Correct",ROUND(INDEX('Reward Model'!$B$12:$B$14,MATCH($K3300,'Reward Model'!$A$12:$A$14,0))*Z3300,2),0)</f>
        <v>3</v>
      </c>
      <c r="AB3300" s="2" t="n">
        <f aca="false">IF($I3300="Correct",ROUND(INDEX('Reward Model'!$B$12:$B$14,MATCH($Y3300,'Reward Model'!$A$12:$A$14,0))*Z3300,2),0)</f>
        <v>3</v>
      </c>
    </row>
    <row r="3301" customFormat="false" ht="15" hidden="false" customHeight="false" outlineLevel="0" collapsed="false">
      <c r="A3301" s="0" t="s">
        <v>460</v>
      </c>
      <c r="B3301" s="0" t="s">
        <v>461</v>
      </c>
      <c r="C3301" s="0" t="s">
        <v>322</v>
      </c>
      <c r="D3301" s="0" t="s">
        <v>189</v>
      </c>
      <c r="E3301" s="0" t="n">
        <v>20</v>
      </c>
      <c r="F3301" s="0" t="s">
        <v>81</v>
      </c>
      <c r="G3301" s="0" t="s">
        <v>83</v>
      </c>
      <c r="H3301" s="0" t="s">
        <v>83</v>
      </c>
      <c r="I3301" s="0" t="s">
        <v>34</v>
      </c>
      <c r="J3301" s="0" t="n">
        <v>1.37</v>
      </c>
      <c r="K3301" s="0" t="s">
        <v>73</v>
      </c>
      <c r="L3301" s="0" t="n">
        <f aca="false">INDEX(Summary!$F$2:$F$201,MATCH($B3301,Summary!$A$2:$A$201,0))</f>
        <v>20</v>
      </c>
      <c r="M3301" s="0" t="n">
        <f aca="false">INDEX(Summary!$I$2:$I$201,MATCH($B3301,Summary!$A$2:$A$201,0))</f>
        <v>4</v>
      </c>
      <c r="N3301" s="0" t="n">
        <f aca="false">INDEX(Summary!$J$2:$J$201,MATCH($B3301,Summary!$A$2:$A$201,0))</f>
        <v>1</v>
      </c>
      <c r="O3301" s="2" t="n">
        <f aca="false">INDEX(Summary!$K$2:$K$201,MATCH($B3301,Summary!$A$2:$A$201,0))</f>
        <v>8.85</v>
      </c>
      <c r="P3301" s="3" t="n">
        <f aca="false">INDEX(Summary!$L$2:$L$201,MATCH($B3301,Summary!$A$2:$A$201,0))</f>
        <v>5</v>
      </c>
      <c r="Q3301" s="3" t="n">
        <f aca="false">INDEX(Summary!$M$2:$M$201,MATCH($B3301,Summary!$A$2:$A$201,0))</f>
        <v>1</v>
      </c>
      <c r="R3301" s="2" t="n">
        <f aca="false">INDEX(Summary!$N$2:$N$201,MATCH($B3301,Summary!$A$2:$A$201,0))</f>
        <v>10.18</v>
      </c>
      <c r="S3301" s="3" t="n">
        <f aca="false">INDEX(Summary!$O$2:$O$201,MATCH($B3301,Summary!$A$2:$A$201,0))</f>
        <v>8</v>
      </c>
      <c r="T3301" s="3" t="n">
        <f aca="false">INDEX(Summary!$P$2:$P$201,MATCH($B3301,Summary!$A$2:$A$201,0))</f>
        <v>1</v>
      </c>
      <c r="U3301" s="2" t="n">
        <f aca="false">INDEX(Summary!$Q$2:$Q$201,MATCH($B3301,Summary!$A$2:$A$201,0))</f>
        <v>14.18</v>
      </c>
      <c r="V3301" s="2" t="n">
        <f aca="false">INDEX(Summary!$R$2:$R$201,MATCH($B3301,Summary!$A$2:$A$201,0))</f>
        <v>32.15</v>
      </c>
      <c r="W3301" s="0" t="str">
        <f aca="false">INDEX(Summary!$S$2:$S$201,MATCH($B3301,Summary!$A$2:$A$201,0))</f>
        <v>Gold</v>
      </c>
      <c r="X3301" s="2" t="n">
        <f aca="false">INDEX(Summary!$T$2:$T$201,MATCH($B3301,Summary!$A$2:$A$201,0))</f>
        <v>78.41</v>
      </c>
      <c r="Y3301" s="0" t="str">
        <f aca="false">INDEX('Reward Model'!$E$18:$E$37,MATCH($E3301,'Reward Model'!$A$18:$A$37,0))</f>
        <v>High</v>
      </c>
      <c r="Z3301" s="4" t="n">
        <f aca="false">ROUND(MIN(1,MAX('Reward Model'!$B$2,INDEX('Reward Model'!$C$12:$C$14,MATCH($K3301,'Reward Model'!$A$12:$A$14,0))/$J3301)),3)</f>
        <v>1</v>
      </c>
      <c r="AA3301" s="2" t="n">
        <f aca="false">IF($I3301="Correct",ROUND(INDEX('Reward Model'!$B$12:$B$14,MATCH($K3301,'Reward Model'!$A$12:$A$14,0))*Z3301,2),0)</f>
        <v>3</v>
      </c>
      <c r="AB3301" s="2" t="n">
        <f aca="false">IF($I3301="Correct",ROUND(INDEX('Reward Model'!$B$12:$B$14,MATCH($Y3301,'Reward Model'!$A$12:$A$14,0))*Z3301,2),0)</f>
        <v>3</v>
      </c>
    </row>
    <row r="3302" customFormat="false" ht="15" hidden="false" customHeight="false" outlineLevel="0" collapsed="false">
      <c r="A3302" s="0" t="s">
        <v>462</v>
      </c>
      <c r="B3302" s="0" t="s">
        <v>463</v>
      </c>
      <c r="C3302" s="0" t="s">
        <v>322</v>
      </c>
      <c r="D3302" s="0" t="s">
        <v>189</v>
      </c>
      <c r="E3302" s="0" t="n">
        <v>1</v>
      </c>
      <c r="F3302" s="0" t="s">
        <v>32</v>
      </c>
      <c r="G3302" s="0" t="s">
        <v>33</v>
      </c>
      <c r="H3302" s="0" t="s">
        <v>33</v>
      </c>
      <c r="I3302" s="0" t="s">
        <v>34</v>
      </c>
      <c r="J3302" s="0" t="n">
        <v>1.17</v>
      </c>
      <c r="K3302" s="0" t="s">
        <v>35</v>
      </c>
      <c r="L3302" s="0" t="n">
        <f aca="false">INDEX(Summary!$F$2:$F$201,MATCH($B3302,Summary!$A$2:$A$201,0))</f>
        <v>20</v>
      </c>
      <c r="M3302" s="0" t="n">
        <f aca="false">INDEX(Summary!$I$2:$I$201,MATCH($B3302,Summary!$A$2:$A$201,0))</f>
        <v>1</v>
      </c>
      <c r="N3302" s="0" t="n">
        <f aca="false">INDEX(Summary!$J$2:$J$201,MATCH($B3302,Summary!$A$2:$A$201,0))</f>
        <v>4</v>
      </c>
      <c r="O3302" s="2" t="n">
        <f aca="false">INDEX(Summary!$K$2:$K$201,MATCH($B3302,Summary!$A$2:$A$201,0))</f>
        <v>9.62</v>
      </c>
      <c r="P3302" s="3" t="n">
        <f aca="false">INDEX(Summary!$L$2:$L$201,MATCH($B3302,Summary!$A$2:$A$201,0))</f>
        <v>5</v>
      </c>
      <c r="Q3302" s="3" t="n">
        <f aca="false">INDEX(Summary!$M$2:$M$201,MATCH($B3302,Summary!$A$2:$A$201,0))</f>
        <v>1</v>
      </c>
      <c r="R3302" s="2" t="n">
        <f aca="false">INDEX(Summary!$N$2:$N$201,MATCH($B3302,Summary!$A$2:$A$201,0))</f>
        <v>10.64</v>
      </c>
      <c r="S3302" s="3" t="n">
        <f aca="false">INDEX(Summary!$O$2:$O$201,MATCH($B3302,Summary!$A$2:$A$201,0))</f>
        <v>8</v>
      </c>
      <c r="T3302" s="3" t="n">
        <f aca="false">INDEX(Summary!$P$2:$P$201,MATCH($B3302,Summary!$A$2:$A$201,0))</f>
        <v>1</v>
      </c>
      <c r="U3302" s="2" t="n">
        <f aca="false">INDEX(Summary!$Q$2:$Q$201,MATCH($B3302,Summary!$A$2:$A$201,0))</f>
        <v>11.64</v>
      </c>
      <c r="V3302" s="2" t="n">
        <f aca="false">INDEX(Summary!$R$2:$R$201,MATCH($B3302,Summary!$A$2:$A$201,0))</f>
        <v>24.25</v>
      </c>
      <c r="W3302" s="0" t="str">
        <f aca="false">INDEX(Summary!$S$2:$S$201,MATCH($B3302,Summary!$A$2:$A$201,0))</f>
        <v>Silver</v>
      </c>
      <c r="X3302" s="2" t="n">
        <f aca="false">INDEX(Summary!$T$2:$T$201,MATCH($B3302,Summary!$A$2:$A$201,0))</f>
        <v>59.15</v>
      </c>
      <c r="Y3302" s="0" t="str">
        <f aca="false">INDEX('Reward Model'!$E$18:$E$37,MATCH($E3302,'Reward Model'!$A$18:$A$37,0))</f>
        <v>Medium</v>
      </c>
      <c r="Z3302" s="4" t="n">
        <f aca="false">ROUND(MIN(1,MAX('Reward Model'!$B$2,INDEX('Reward Model'!$C$12:$C$14,MATCH($K3302,'Reward Model'!$A$12:$A$14,0))/$J3302)),3)</f>
        <v>1</v>
      </c>
      <c r="AA3302" s="2" t="n">
        <f aca="false">IF($I3302="Correct",ROUND(INDEX('Reward Model'!$B$12:$B$14,MATCH($K3302,'Reward Model'!$A$12:$A$14,0))*Z3302,2),0)</f>
        <v>1</v>
      </c>
      <c r="AB3302" s="2" t="n">
        <f aca="false">IF($I3302="Correct",ROUND(INDEX('Reward Model'!$B$12:$B$14,MATCH($Y3302,'Reward Model'!$A$12:$A$14,0))*Z3302,2),0)</f>
        <v>2</v>
      </c>
    </row>
    <row r="3303" customFormat="false" ht="15" hidden="false" customHeight="false" outlineLevel="0" collapsed="false">
      <c r="A3303" s="0" t="s">
        <v>462</v>
      </c>
      <c r="B3303" s="0" t="s">
        <v>463</v>
      </c>
      <c r="C3303" s="0" t="s">
        <v>322</v>
      </c>
      <c r="D3303" s="0" t="s">
        <v>189</v>
      </c>
      <c r="E3303" s="0" t="n">
        <v>2</v>
      </c>
      <c r="F3303" s="0" t="s">
        <v>36</v>
      </c>
      <c r="G3303" s="0" t="s">
        <v>38</v>
      </c>
      <c r="H3303" s="0" t="s">
        <v>38</v>
      </c>
      <c r="I3303" s="0" t="s">
        <v>34</v>
      </c>
      <c r="J3303" s="0" t="n">
        <v>1.59</v>
      </c>
      <c r="K3303" s="0" t="s">
        <v>35</v>
      </c>
      <c r="L3303" s="0" t="n">
        <f aca="false">INDEX(Summary!$F$2:$F$201,MATCH($B3303,Summary!$A$2:$A$201,0))</f>
        <v>20</v>
      </c>
      <c r="M3303" s="0" t="n">
        <f aca="false">INDEX(Summary!$I$2:$I$201,MATCH($B3303,Summary!$A$2:$A$201,0))</f>
        <v>1</v>
      </c>
      <c r="N3303" s="0" t="n">
        <f aca="false">INDEX(Summary!$J$2:$J$201,MATCH($B3303,Summary!$A$2:$A$201,0))</f>
        <v>4</v>
      </c>
      <c r="O3303" s="2" t="n">
        <f aca="false">INDEX(Summary!$K$2:$K$201,MATCH($B3303,Summary!$A$2:$A$201,0))</f>
        <v>9.62</v>
      </c>
      <c r="P3303" s="3" t="n">
        <f aca="false">INDEX(Summary!$L$2:$L$201,MATCH($B3303,Summary!$A$2:$A$201,0))</f>
        <v>5</v>
      </c>
      <c r="Q3303" s="3" t="n">
        <f aca="false">INDEX(Summary!$M$2:$M$201,MATCH($B3303,Summary!$A$2:$A$201,0))</f>
        <v>1</v>
      </c>
      <c r="R3303" s="2" t="n">
        <f aca="false">INDEX(Summary!$N$2:$N$201,MATCH($B3303,Summary!$A$2:$A$201,0))</f>
        <v>10.64</v>
      </c>
      <c r="S3303" s="3" t="n">
        <f aca="false">INDEX(Summary!$O$2:$O$201,MATCH($B3303,Summary!$A$2:$A$201,0))</f>
        <v>8</v>
      </c>
      <c r="T3303" s="3" t="n">
        <f aca="false">INDEX(Summary!$P$2:$P$201,MATCH($B3303,Summary!$A$2:$A$201,0))</f>
        <v>1</v>
      </c>
      <c r="U3303" s="2" t="n">
        <f aca="false">INDEX(Summary!$Q$2:$Q$201,MATCH($B3303,Summary!$A$2:$A$201,0))</f>
        <v>11.64</v>
      </c>
      <c r="V3303" s="2" t="n">
        <f aca="false">INDEX(Summary!$R$2:$R$201,MATCH($B3303,Summary!$A$2:$A$201,0))</f>
        <v>24.25</v>
      </c>
      <c r="W3303" s="0" t="str">
        <f aca="false">INDEX(Summary!$S$2:$S$201,MATCH($B3303,Summary!$A$2:$A$201,0))</f>
        <v>Silver</v>
      </c>
      <c r="X3303" s="2" t="n">
        <f aca="false">INDEX(Summary!$T$2:$T$201,MATCH($B3303,Summary!$A$2:$A$201,0))</f>
        <v>59.15</v>
      </c>
      <c r="Y3303" s="0" t="str">
        <f aca="false">INDEX('Reward Model'!$E$18:$E$37,MATCH($E3303,'Reward Model'!$A$18:$A$37,0))</f>
        <v>Low</v>
      </c>
      <c r="Z3303" s="4" t="n">
        <f aca="false">ROUND(MIN(1,MAX('Reward Model'!$B$2,INDEX('Reward Model'!$C$12:$C$14,MATCH($K3303,'Reward Model'!$A$12:$A$14,0))/$J3303)),3)</f>
        <v>0.943</v>
      </c>
      <c r="AA3303" s="2" t="n">
        <f aca="false">IF($I3303="Correct",ROUND(INDEX('Reward Model'!$B$12:$B$14,MATCH($K3303,'Reward Model'!$A$12:$A$14,0))*Z3303,2),0)</f>
        <v>0.94</v>
      </c>
      <c r="AB3303" s="2" t="n">
        <f aca="false">IF($I3303="Correct",ROUND(INDEX('Reward Model'!$B$12:$B$14,MATCH($Y3303,'Reward Model'!$A$12:$A$14,0))*Z3303,2),0)</f>
        <v>0.94</v>
      </c>
    </row>
    <row r="3304" customFormat="false" ht="15" hidden="false" customHeight="false" outlineLevel="0" collapsed="false">
      <c r="A3304" s="0" t="s">
        <v>462</v>
      </c>
      <c r="B3304" s="0" t="s">
        <v>463</v>
      </c>
      <c r="C3304" s="0" t="s">
        <v>322</v>
      </c>
      <c r="D3304" s="0" t="s">
        <v>189</v>
      </c>
      <c r="E3304" s="0" t="n">
        <v>3</v>
      </c>
      <c r="F3304" s="0" t="s">
        <v>40</v>
      </c>
      <c r="G3304" s="0" t="s">
        <v>123</v>
      </c>
      <c r="H3304" s="0" t="s">
        <v>42</v>
      </c>
      <c r="I3304" s="0" t="s">
        <v>39</v>
      </c>
      <c r="J3304" s="0" t="n">
        <v>1.81</v>
      </c>
      <c r="K3304" s="0" t="s">
        <v>35</v>
      </c>
      <c r="L3304" s="0" t="n">
        <f aca="false">INDEX(Summary!$F$2:$F$201,MATCH($B3304,Summary!$A$2:$A$201,0))</f>
        <v>20</v>
      </c>
      <c r="M3304" s="0" t="n">
        <f aca="false">INDEX(Summary!$I$2:$I$201,MATCH($B3304,Summary!$A$2:$A$201,0))</f>
        <v>1</v>
      </c>
      <c r="N3304" s="0" t="n">
        <f aca="false">INDEX(Summary!$J$2:$J$201,MATCH($B3304,Summary!$A$2:$A$201,0))</f>
        <v>4</v>
      </c>
      <c r="O3304" s="2" t="n">
        <f aca="false">INDEX(Summary!$K$2:$K$201,MATCH($B3304,Summary!$A$2:$A$201,0))</f>
        <v>9.62</v>
      </c>
      <c r="P3304" s="3" t="n">
        <f aca="false">INDEX(Summary!$L$2:$L$201,MATCH($B3304,Summary!$A$2:$A$201,0))</f>
        <v>5</v>
      </c>
      <c r="Q3304" s="3" t="n">
        <f aca="false">INDEX(Summary!$M$2:$M$201,MATCH($B3304,Summary!$A$2:$A$201,0))</f>
        <v>1</v>
      </c>
      <c r="R3304" s="2" t="n">
        <f aca="false">INDEX(Summary!$N$2:$N$201,MATCH($B3304,Summary!$A$2:$A$201,0))</f>
        <v>10.64</v>
      </c>
      <c r="S3304" s="3" t="n">
        <f aca="false">INDEX(Summary!$O$2:$O$201,MATCH($B3304,Summary!$A$2:$A$201,0))</f>
        <v>8</v>
      </c>
      <c r="T3304" s="3" t="n">
        <f aca="false">INDEX(Summary!$P$2:$P$201,MATCH($B3304,Summary!$A$2:$A$201,0))</f>
        <v>1</v>
      </c>
      <c r="U3304" s="2" t="n">
        <f aca="false">INDEX(Summary!$Q$2:$Q$201,MATCH($B3304,Summary!$A$2:$A$201,0))</f>
        <v>11.64</v>
      </c>
      <c r="V3304" s="2" t="n">
        <f aca="false">INDEX(Summary!$R$2:$R$201,MATCH($B3304,Summary!$A$2:$A$201,0))</f>
        <v>24.25</v>
      </c>
      <c r="W3304" s="0" t="str">
        <f aca="false">INDEX(Summary!$S$2:$S$201,MATCH($B3304,Summary!$A$2:$A$201,0))</f>
        <v>Silver</v>
      </c>
      <c r="X3304" s="2" t="n">
        <f aca="false">INDEX(Summary!$T$2:$T$201,MATCH($B3304,Summary!$A$2:$A$201,0))</f>
        <v>59.15</v>
      </c>
      <c r="Y3304" s="0" t="str">
        <f aca="false">INDEX('Reward Model'!$E$18:$E$37,MATCH($E3304,'Reward Model'!$A$18:$A$37,0))</f>
        <v>Medium</v>
      </c>
      <c r="Z3304" s="4" t="n">
        <f aca="false">ROUND(MIN(1,MAX('Reward Model'!$B$2,INDEX('Reward Model'!$C$12:$C$14,MATCH($K3304,'Reward Model'!$A$12:$A$14,0))/$J3304)),3)</f>
        <v>0.829</v>
      </c>
      <c r="AA3304" s="2" t="n">
        <f aca="false">IF($I3304="Correct",ROUND(INDEX('Reward Model'!$B$12:$B$14,MATCH($K3304,'Reward Model'!$A$12:$A$14,0))*Z3304,2),0)</f>
        <v>0</v>
      </c>
      <c r="AB3304" s="2" t="n">
        <f aca="false">IF($I3304="Correct",ROUND(INDEX('Reward Model'!$B$12:$B$14,MATCH($Y3304,'Reward Model'!$A$12:$A$14,0))*Z3304,2),0)</f>
        <v>0</v>
      </c>
    </row>
    <row r="3305" customFormat="false" ht="15" hidden="false" customHeight="false" outlineLevel="0" collapsed="false">
      <c r="A3305" s="0" t="s">
        <v>462</v>
      </c>
      <c r="B3305" s="0" t="s">
        <v>463</v>
      </c>
      <c r="C3305" s="0" t="s">
        <v>322</v>
      </c>
      <c r="D3305" s="0" t="s">
        <v>189</v>
      </c>
      <c r="E3305" s="0" t="n">
        <v>4</v>
      </c>
      <c r="F3305" s="0" t="s">
        <v>43</v>
      </c>
      <c r="G3305" s="0" t="s">
        <v>45</v>
      </c>
      <c r="H3305" s="0" t="s">
        <v>45</v>
      </c>
      <c r="I3305" s="0" t="s">
        <v>34</v>
      </c>
      <c r="J3305" s="0" t="n">
        <v>1.17</v>
      </c>
      <c r="K3305" s="0" t="s">
        <v>35</v>
      </c>
      <c r="L3305" s="0" t="n">
        <f aca="false">INDEX(Summary!$F$2:$F$201,MATCH($B3305,Summary!$A$2:$A$201,0))</f>
        <v>20</v>
      </c>
      <c r="M3305" s="0" t="n">
        <f aca="false">INDEX(Summary!$I$2:$I$201,MATCH($B3305,Summary!$A$2:$A$201,0))</f>
        <v>1</v>
      </c>
      <c r="N3305" s="0" t="n">
        <f aca="false">INDEX(Summary!$J$2:$J$201,MATCH($B3305,Summary!$A$2:$A$201,0))</f>
        <v>4</v>
      </c>
      <c r="O3305" s="2" t="n">
        <f aca="false">INDEX(Summary!$K$2:$K$201,MATCH($B3305,Summary!$A$2:$A$201,0))</f>
        <v>9.62</v>
      </c>
      <c r="P3305" s="3" t="n">
        <f aca="false">INDEX(Summary!$L$2:$L$201,MATCH($B3305,Summary!$A$2:$A$201,0))</f>
        <v>5</v>
      </c>
      <c r="Q3305" s="3" t="n">
        <f aca="false">INDEX(Summary!$M$2:$M$201,MATCH($B3305,Summary!$A$2:$A$201,0))</f>
        <v>1</v>
      </c>
      <c r="R3305" s="2" t="n">
        <f aca="false">INDEX(Summary!$N$2:$N$201,MATCH($B3305,Summary!$A$2:$A$201,0))</f>
        <v>10.64</v>
      </c>
      <c r="S3305" s="3" t="n">
        <f aca="false">INDEX(Summary!$O$2:$O$201,MATCH($B3305,Summary!$A$2:$A$201,0))</f>
        <v>8</v>
      </c>
      <c r="T3305" s="3" t="n">
        <f aca="false">INDEX(Summary!$P$2:$P$201,MATCH($B3305,Summary!$A$2:$A$201,0))</f>
        <v>1</v>
      </c>
      <c r="U3305" s="2" t="n">
        <f aca="false">INDEX(Summary!$Q$2:$Q$201,MATCH($B3305,Summary!$A$2:$A$201,0))</f>
        <v>11.64</v>
      </c>
      <c r="V3305" s="2" t="n">
        <f aca="false">INDEX(Summary!$R$2:$R$201,MATCH($B3305,Summary!$A$2:$A$201,0))</f>
        <v>24.25</v>
      </c>
      <c r="W3305" s="0" t="str">
        <f aca="false">INDEX(Summary!$S$2:$S$201,MATCH($B3305,Summary!$A$2:$A$201,0))</f>
        <v>Silver</v>
      </c>
      <c r="X3305" s="2" t="n">
        <f aca="false">INDEX(Summary!$T$2:$T$201,MATCH($B3305,Summary!$A$2:$A$201,0))</f>
        <v>59.15</v>
      </c>
      <c r="Y3305" s="0" t="str">
        <f aca="false">INDEX('Reward Model'!$E$18:$E$37,MATCH($E3305,'Reward Model'!$A$18:$A$37,0))</f>
        <v>Low</v>
      </c>
      <c r="Z3305" s="4" t="n">
        <f aca="false">ROUND(MIN(1,MAX('Reward Model'!$B$2,INDEX('Reward Model'!$C$12:$C$14,MATCH($K3305,'Reward Model'!$A$12:$A$14,0))/$J3305)),3)</f>
        <v>1</v>
      </c>
      <c r="AA3305" s="2" t="n">
        <f aca="false">IF($I3305="Correct",ROUND(INDEX('Reward Model'!$B$12:$B$14,MATCH($K3305,'Reward Model'!$A$12:$A$14,0))*Z3305,2),0)</f>
        <v>1</v>
      </c>
      <c r="AB3305" s="2" t="n">
        <f aca="false">IF($I3305="Correct",ROUND(INDEX('Reward Model'!$B$12:$B$14,MATCH($Y3305,'Reward Model'!$A$12:$A$14,0))*Z3305,2),0)</f>
        <v>1</v>
      </c>
    </row>
    <row r="3306" customFormat="false" ht="15" hidden="false" customHeight="false" outlineLevel="0" collapsed="false">
      <c r="A3306" s="0" t="s">
        <v>462</v>
      </c>
      <c r="B3306" s="0" t="s">
        <v>463</v>
      </c>
      <c r="C3306" s="0" t="s">
        <v>322</v>
      </c>
      <c r="D3306" s="0" t="s">
        <v>189</v>
      </c>
      <c r="E3306" s="0" t="n">
        <v>5</v>
      </c>
      <c r="F3306" s="0" t="s">
        <v>46</v>
      </c>
      <c r="G3306" s="0" t="s">
        <v>47</v>
      </c>
      <c r="H3306" s="0" t="s">
        <v>47</v>
      </c>
      <c r="I3306" s="0" t="s">
        <v>34</v>
      </c>
      <c r="J3306" s="0" t="n">
        <v>0.94</v>
      </c>
      <c r="K3306" s="0" t="s">
        <v>35</v>
      </c>
      <c r="L3306" s="0" t="n">
        <f aca="false">INDEX(Summary!$F$2:$F$201,MATCH($B3306,Summary!$A$2:$A$201,0))</f>
        <v>20</v>
      </c>
      <c r="M3306" s="0" t="n">
        <f aca="false">INDEX(Summary!$I$2:$I$201,MATCH($B3306,Summary!$A$2:$A$201,0))</f>
        <v>1</v>
      </c>
      <c r="N3306" s="0" t="n">
        <f aca="false">INDEX(Summary!$J$2:$J$201,MATCH($B3306,Summary!$A$2:$A$201,0))</f>
        <v>4</v>
      </c>
      <c r="O3306" s="2" t="n">
        <f aca="false">INDEX(Summary!$K$2:$K$201,MATCH($B3306,Summary!$A$2:$A$201,0))</f>
        <v>9.62</v>
      </c>
      <c r="P3306" s="3" t="n">
        <f aca="false">INDEX(Summary!$L$2:$L$201,MATCH($B3306,Summary!$A$2:$A$201,0))</f>
        <v>5</v>
      </c>
      <c r="Q3306" s="3" t="n">
        <f aca="false">INDEX(Summary!$M$2:$M$201,MATCH($B3306,Summary!$A$2:$A$201,0))</f>
        <v>1</v>
      </c>
      <c r="R3306" s="2" t="n">
        <f aca="false">INDEX(Summary!$N$2:$N$201,MATCH($B3306,Summary!$A$2:$A$201,0))</f>
        <v>10.64</v>
      </c>
      <c r="S3306" s="3" t="n">
        <f aca="false">INDEX(Summary!$O$2:$O$201,MATCH($B3306,Summary!$A$2:$A$201,0))</f>
        <v>8</v>
      </c>
      <c r="T3306" s="3" t="n">
        <f aca="false">INDEX(Summary!$P$2:$P$201,MATCH($B3306,Summary!$A$2:$A$201,0))</f>
        <v>1</v>
      </c>
      <c r="U3306" s="2" t="n">
        <f aca="false">INDEX(Summary!$Q$2:$Q$201,MATCH($B3306,Summary!$A$2:$A$201,0))</f>
        <v>11.64</v>
      </c>
      <c r="V3306" s="2" t="n">
        <f aca="false">INDEX(Summary!$R$2:$R$201,MATCH($B3306,Summary!$A$2:$A$201,0))</f>
        <v>24.25</v>
      </c>
      <c r="W3306" s="0" t="str">
        <f aca="false">INDEX(Summary!$S$2:$S$201,MATCH($B3306,Summary!$A$2:$A$201,0))</f>
        <v>Silver</v>
      </c>
      <c r="X3306" s="2" t="n">
        <f aca="false">INDEX(Summary!$T$2:$T$201,MATCH($B3306,Summary!$A$2:$A$201,0))</f>
        <v>59.15</v>
      </c>
      <c r="Y3306" s="0" t="str">
        <f aca="false">INDEX('Reward Model'!$E$18:$E$37,MATCH($E3306,'Reward Model'!$A$18:$A$37,0))</f>
        <v>Low</v>
      </c>
      <c r="Z3306" s="4" t="n">
        <f aca="false">ROUND(MIN(1,MAX('Reward Model'!$B$2,INDEX('Reward Model'!$C$12:$C$14,MATCH($K3306,'Reward Model'!$A$12:$A$14,0))/$J3306)),3)</f>
        <v>1</v>
      </c>
      <c r="AA3306" s="2" t="n">
        <f aca="false">IF($I3306="Correct",ROUND(INDEX('Reward Model'!$B$12:$B$14,MATCH($K3306,'Reward Model'!$A$12:$A$14,0))*Z3306,2),0)</f>
        <v>1</v>
      </c>
      <c r="AB3306" s="2" t="n">
        <f aca="false">IF($I3306="Correct",ROUND(INDEX('Reward Model'!$B$12:$B$14,MATCH($Y3306,'Reward Model'!$A$12:$A$14,0))*Z3306,2),0)</f>
        <v>1</v>
      </c>
    </row>
    <row r="3307" customFormat="false" ht="15" hidden="false" customHeight="false" outlineLevel="0" collapsed="false">
      <c r="A3307" s="0" t="s">
        <v>462</v>
      </c>
      <c r="B3307" s="0" t="s">
        <v>463</v>
      </c>
      <c r="C3307" s="0" t="s">
        <v>322</v>
      </c>
      <c r="D3307" s="0" t="s">
        <v>189</v>
      </c>
      <c r="E3307" s="0" t="n">
        <v>6</v>
      </c>
      <c r="F3307" s="0" t="s">
        <v>48</v>
      </c>
      <c r="G3307" s="0" t="s">
        <v>49</v>
      </c>
      <c r="H3307" s="0" t="s">
        <v>49</v>
      </c>
      <c r="I3307" s="0" t="s">
        <v>34</v>
      </c>
      <c r="J3307" s="0" t="n">
        <v>0.95</v>
      </c>
      <c r="K3307" s="0" t="s">
        <v>35</v>
      </c>
      <c r="L3307" s="0" t="n">
        <f aca="false">INDEX(Summary!$F$2:$F$201,MATCH($B3307,Summary!$A$2:$A$201,0))</f>
        <v>20</v>
      </c>
      <c r="M3307" s="0" t="n">
        <f aca="false">INDEX(Summary!$I$2:$I$201,MATCH($B3307,Summary!$A$2:$A$201,0))</f>
        <v>1</v>
      </c>
      <c r="N3307" s="0" t="n">
        <f aca="false">INDEX(Summary!$J$2:$J$201,MATCH($B3307,Summary!$A$2:$A$201,0))</f>
        <v>4</v>
      </c>
      <c r="O3307" s="2" t="n">
        <f aca="false">INDEX(Summary!$K$2:$K$201,MATCH($B3307,Summary!$A$2:$A$201,0))</f>
        <v>9.62</v>
      </c>
      <c r="P3307" s="3" t="n">
        <f aca="false">INDEX(Summary!$L$2:$L$201,MATCH($B3307,Summary!$A$2:$A$201,0))</f>
        <v>5</v>
      </c>
      <c r="Q3307" s="3" t="n">
        <f aca="false">INDEX(Summary!$M$2:$M$201,MATCH($B3307,Summary!$A$2:$A$201,0))</f>
        <v>1</v>
      </c>
      <c r="R3307" s="2" t="n">
        <f aca="false">INDEX(Summary!$N$2:$N$201,MATCH($B3307,Summary!$A$2:$A$201,0))</f>
        <v>10.64</v>
      </c>
      <c r="S3307" s="3" t="n">
        <f aca="false">INDEX(Summary!$O$2:$O$201,MATCH($B3307,Summary!$A$2:$A$201,0))</f>
        <v>8</v>
      </c>
      <c r="T3307" s="3" t="n">
        <f aca="false">INDEX(Summary!$P$2:$P$201,MATCH($B3307,Summary!$A$2:$A$201,0))</f>
        <v>1</v>
      </c>
      <c r="U3307" s="2" t="n">
        <f aca="false">INDEX(Summary!$Q$2:$Q$201,MATCH($B3307,Summary!$A$2:$A$201,0))</f>
        <v>11.64</v>
      </c>
      <c r="V3307" s="2" t="n">
        <f aca="false">INDEX(Summary!$R$2:$R$201,MATCH($B3307,Summary!$A$2:$A$201,0))</f>
        <v>24.25</v>
      </c>
      <c r="W3307" s="0" t="str">
        <f aca="false">INDEX(Summary!$S$2:$S$201,MATCH($B3307,Summary!$A$2:$A$201,0))</f>
        <v>Silver</v>
      </c>
      <c r="X3307" s="2" t="n">
        <f aca="false">INDEX(Summary!$T$2:$T$201,MATCH($B3307,Summary!$A$2:$A$201,0))</f>
        <v>59.15</v>
      </c>
      <c r="Y3307" s="0" t="str">
        <f aca="false">INDEX('Reward Model'!$E$18:$E$37,MATCH($E3307,'Reward Model'!$A$18:$A$37,0))</f>
        <v>Medium</v>
      </c>
      <c r="Z3307" s="4" t="n">
        <f aca="false">ROUND(MIN(1,MAX('Reward Model'!$B$2,INDEX('Reward Model'!$C$12:$C$14,MATCH($K3307,'Reward Model'!$A$12:$A$14,0))/$J3307)),3)</f>
        <v>1</v>
      </c>
      <c r="AA3307" s="2" t="n">
        <f aca="false">IF($I3307="Correct",ROUND(INDEX('Reward Model'!$B$12:$B$14,MATCH($K3307,'Reward Model'!$A$12:$A$14,0))*Z3307,2),0)</f>
        <v>1</v>
      </c>
      <c r="AB3307" s="2" t="n">
        <f aca="false">IF($I3307="Correct",ROUND(INDEX('Reward Model'!$B$12:$B$14,MATCH($Y3307,'Reward Model'!$A$12:$A$14,0))*Z3307,2),0)</f>
        <v>2</v>
      </c>
    </row>
    <row r="3308" customFormat="false" ht="15" hidden="false" customHeight="false" outlineLevel="0" collapsed="false">
      <c r="A3308" s="0" t="s">
        <v>462</v>
      </c>
      <c r="B3308" s="0" t="s">
        <v>463</v>
      </c>
      <c r="C3308" s="0" t="s">
        <v>322</v>
      </c>
      <c r="D3308" s="0" t="s">
        <v>189</v>
      </c>
      <c r="E3308" s="0" t="n">
        <v>7</v>
      </c>
      <c r="F3308" s="0" t="s">
        <v>50</v>
      </c>
      <c r="G3308" s="0" t="s">
        <v>51</v>
      </c>
      <c r="H3308" s="0" t="s">
        <v>51</v>
      </c>
      <c r="I3308" s="0" t="s">
        <v>34</v>
      </c>
      <c r="J3308" s="0" t="n">
        <v>1.37</v>
      </c>
      <c r="K3308" s="0" t="s">
        <v>35</v>
      </c>
      <c r="L3308" s="0" t="n">
        <f aca="false">INDEX(Summary!$F$2:$F$201,MATCH($B3308,Summary!$A$2:$A$201,0))</f>
        <v>20</v>
      </c>
      <c r="M3308" s="0" t="n">
        <f aca="false">INDEX(Summary!$I$2:$I$201,MATCH($B3308,Summary!$A$2:$A$201,0))</f>
        <v>1</v>
      </c>
      <c r="N3308" s="0" t="n">
        <f aca="false">INDEX(Summary!$J$2:$J$201,MATCH($B3308,Summary!$A$2:$A$201,0))</f>
        <v>4</v>
      </c>
      <c r="O3308" s="2" t="n">
        <f aca="false">INDEX(Summary!$K$2:$K$201,MATCH($B3308,Summary!$A$2:$A$201,0))</f>
        <v>9.62</v>
      </c>
      <c r="P3308" s="3" t="n">
        <f aca="false">INDEX(Summary!$L$2:$L$201,MATCH($B3308,Summary!$A$2:$A$201,0))</f>
        <v>5</v>
      </c>
      <c r="Q3308" s="3" t="n">
        <f aca="false">INDEX(Summary!$M$2:$M$201,MATCH($B3308,Summary!$A$2:$A$201,0))</f>
        <v>1</v>
      </c>
      <c r="R3308" s="2" t="n">
        <f aca="false">INDEX(Summary!$N$2:$N$201,MATCH($B3308,Summary!$A$2:$A$201,0))</f>
        <v>10.64</v>
      </c>
      <c r="S3308" s="3" t="n">
        <f aca="false">INDEX(Summary!$O$2:$O$201,MATCH($B3308,Summary!$A$2:$A$201,0))</f>
        <v>8</v>
      </c>
      <c r="T3308" s="3" t="n">
        <f aca="false">INDEX(Summary!$P$2:$P$201,MATCH($B3308,Summary!$A$2:$A$201,0))</f>
        <v>1</v>
      </c>
      <c r="U3308" s="2" t="n">
        <f aca="false">INDEX(Summary!$Q$2:$Q$201,MATCH($B3308,Summary!$A$2:$A$201,0))</f>
        <v>11.64</v>
      </c>
      <c r="V3308" s="2" t="n">
        <f aca="false">INDEX(Summary!$R$2:$R$201,MATCH($B3308,Summary!$A$2:$A$201,0))</f>
        <v>24.25</v>
      </c>
      <c r="W3308" s="0" t="str">
        <f aca="false">INDEX(Summary!$S$2:$S$201,MATCH($B3308,Summary!$A$2:$A$201,0))</f>
        <v>Silver</v>
      </c>
      <c r="X3308" s="2" t="n">
        <f aca="false">INDEX(Summary!$T$2:$T$201,MATCH($B3308,Summary!$A$2:$A$201,0))</f>
        <v>59.15</v>
      </c>
      <c r="Y3308" s="0" t="str">
        <f aca="false">INDEX('Reward Model'!$E$18:$E$37,MATCH($E3308,'Reward Model'!$A$18:$A$37,0))</f>
        <v>Low</v>
      </c>
      <c r="Z3308" s="4" t="n">
        <f aca="false">ROUND(MIN(1,MAX('Reward Model'!$B$2,INDEX('Reward Model'!$C$12:$C$14,MATCH($K3308,'Reward Model'!$A$12:$A$14,0))/$J3308)),3)</f>
        <v>1</v>
      </c>
      <c r="AA3308" s="2" t="n">
        <f aca="false">IF($I3308="Correct",ROUND(INDEX('Reward Model'!$B$12:$B$14,MATCH($K3308,'Reward Model'!$A$12:$A$14,0))*Z3308,2),0)</f>
        <v>1</v>
      </c>
      <c r="AB3308" s="2" t="n">
        <f aca="false">IF($I3308="Correct",ROUND(INDEX('Reward Model'!$B$12:$B$14,MATCH($Y3308,'Reward Model'!$A$12:$A$14,0))*Z3308,2),0)</f>
        <v>1</v>
      </c>
    </row>
    <row r="3309" customFormat="false" ht="15" hidden="false" customHeight="false" outlineLevel="0" collapsed="false">
      <c r="A3309" s="0" t="s">
        <v>462</v>
      </c>
      <c r="B3309" s="0" t="s">
        <v>463</v>
      </c>
      <c r="C3309" s="0" t="s">
        <v>322</v>
      </c>
      <c r="D3309" s="0" t="s">
        <v>189</v>
      </c>
      <c r="E3309" s="0" t="n">
        <v>8</v>
      </c>
      <c r="F3309" s="0" t="s">
        <v>52</v>
      </c>
      <c r="G3309" s="0" t="s">
        <v>54</v>
      </c>
      <c r="H3309" s="0" t="s">
        <v>54</v>
      </c>
      <c r="I3309" s="0" t="s">
        <v>34</v>
      </c>
      <c r="J3309" s="0" t="n">
        <v>1.11</v>
      </c>
      <c r="K3309" s="0" t="s">
        <v>35</v>
      </c>
      <c r="L3309" s="0" t="n">
        <f aca="false">INDEX(Summary!$F$2:$F$201,MATCH($B3309,Summary!$A$2:$A$201,0))</f>
        <v>20</v>
      </c>
      <c r="M3309" s="0" t="n">
        <f aca="false">INDEX(Summary!$I$2:$I$201,MATCH($B3309,Summary!$A$2:$A$201,0))</f>
        <v>1</v>
      </c>
      <c r="N3309" s="0" t="n">
        <f aca="false">INDEX(Summary!$J$2:$J$201,MATCH($B3309,Summary!$A$2:$A$201,0))</f>
        <v>4</v>
      </c>
      <c r="O3309" s="2" t="n">
        <f aca="false">INDEX(Summary!$K$2:$K$201,MATCH($B3309,Summary!$A$2:$A$201,0))</f>
        <v>9.62</v>
      </c>
      <c r="P3309" s="3" t="n">
        <f aca="false">INDEX(Summary!$L$2:$L$201,MATCH($B3309,Summary!$A$2:$A$201,0))</f>
        <v>5</v>
      </c>
      <c r="Q3309" s="3" t="n">
        <f aca="false">INDEX(Summary!$M$2:$M$201,MATCH($B3309,Summary!$A$2:$A$201,0))</f>
        <v>1</v>
      </c>
      <c r="R3309" s="2" t="n">
        <f aca="false">INDEX(Summary!$N$2:$N$201,MATCH($B3309,Summary!$A$2:$A$201,0))</f>
        <v>10.64</v>
      </c>
      <c r="S3309" s="3" t="n">
        <f aca="false">INDEX(Summary!$O$2:$O$201,MATCH($B3309,Summary!$A$2:$A$201,0))</f>
        <v>8</v>
      </c>
      <c r="T3309" s="3" t="n">
        <f aca="false">INDEX(Summary!$P$2:$P$201,MATCH($B3309,Summary!$A$2:$A$201,0))</f>
        <v>1</v>
      </c>
      <c r="U3309" s="2" t="n">
        <f aca="false">INDEX(Summary!$Q$2:$Q$201,MATCH($B3309,Summary!$A$2:$A$201,0))</f>
        <v>11.64</v>
      </c>
      <c r="V3309" s="2" t="n">
        <f aca="false">INDEX(Summary!$R$2:$R$201,MATCH($B3309,Summary!$A$2:$A$201,0))</f>
        <v>24.25</v>
      </c>
      <c r="W3309" s="0" t="str">
        <f aca="false">INDEX(Summary!$S$2:$S$201,MATCH($B3309,Summary!$A$2:$A$201,0))</f>
        <v>Silver</v>
      </c>
      <c r="X3309" s="2" t="n">
        <f aca="false">INDEX(Summary!$T$2:$T$201,MATCH($B3309,Summary!$A$2:$A$201,0))</f>
        <v>59.15</v>
      </c>
      <c r="Y3309" s="0" t="str">
        <f aca="false">INDEX('Reward Model'!$E$18:$E$37,MATCH($E3309,'Reward Model'!$A$18:$A$37,0))</f>
        <v>Medium</v>
      </c>
      <c r="Z3309" s="4" t="n">
        <f aca="false">ROUND(MIN(1,MAX('Reward Model'!$B$2,INDEX('Reward Model'!$C$12:$C$14,MATCH($K3309,'Reward Model'!$A$12:$A$14,0))/$J3309)),3)</f>
        <v>1</v>
      </c>
      <c r="AA3309" s="2" t="n">
        <f aca="false">IF($I3309="Correct",ROUND(INDEX('Reward Model'!$B$12:$B$14,MATCH($K3309,'Reward Model'!$A$12:$A$14,0))*Z3309,2),0)</f>
        <v>1</v>
      </c>
      <c r="AB3309" s="2" t="n">
        <f aca="false">IF($I3309="Correct",ROUND(INDEX('Reward Model'!$B$12:$B$14,MATCH($Y3309,'Reward Model'!$A$12:$A$14,0))*Z3309,2),0)</f>
        <v>2</v>
      </c>
    </row>
    <row r="3310" customFormat="false" ht="15" hidden="false" customHeight="false" outlineLevel="0" collapsed="false">
      <c r="A3310" s="0" t="s">
        <v>462</v>
      </c>
      <c r="B3310" s="0" t="s">
        <v>463</v>
      </c>
      <c r="C3310" s="0" t="s">
        <v>322</v>
      </c>
      <c r="D3310" s="0" t="s">
        <v>189</v>
      </c>
      <c r="E3310" s="0" t="n">
        <v>9</v>
      </c>
      <c r="F3310" s="0" t="s">
        <v>55</v>
      </c>
      <c r="G3310" s="0" t="s">
        <v>57</v>
      </c>
      <c r="H3310" s="0" t="s">
        <v>57</v>
      </c>
      <c r="I3310" s="0" t="s">
        <v>34</v>
      </c>
      <c r="J3310" s="0" t="n">
        <v>1.53</v>
      </c>
      <c r="K3310" s="0" t="s">
        <v>35</v>
      </c>
      <c r="L3310" s="0" t="n">
        <f aca="false">INDEX(Summary!$F$2:$F$201,MATCH($B3310,Summary!$A$2:$A$201,0))</f>
        <v>20</v>
      </c>
      <c r="M3310" s="0" t="n">
        <f aca="false">INDEX(Summary!$I$2:$I$201,MATCH($B3310,Summary!$A$2:$A$201,0))</f>
        <v>1</v>
      </c>
      <c r="N3310" s="0" t="n">
        <f aca="false">INDEX(Summary!$J$2:$J$201,MATCH($B3310,Summary!$A$2:$A$201,0))</f>
        <v>4</v>
      </c>
      <c r="O3310" s="2" t="n">
        <f aca="false">INDEX(Summary!$K$2:$K$201,MATCH($B3310,Summary!$A$2:$A$201,0))</f>
        <v>9.62</v>
      </c>
      <c r="P3310" s="3" t="n">
        <f aca="false">INDEX(Summary!$L$2:$L$201,MATCH($B3310,Summary!$A$2:$A$201,0))</f>
        <v>5</v>
      </c>
      <c r="Q3310" s="3" t="n">
        <f aca="false">INDEX(Summary!$M$2:$M$201,MATCH($B3310,Summary!$A$2:$A$201,0))</f>
        <v>1</v>
      </c>
      <c r="R3310" s="2" t="n">
        <f aca="false">INDEX(Summary!$N$2:$N$201,MATCH($B3310,Summary!$A$2:$A$201,0))</f>
        <v>10.64</v>
      </c>
      <c r="S3310" s="3" t="n">
        <f aca="false">INDEX(Summary!$O$2:$O$201,MATCH($B3310,Summary!$A$2:$A$201,0))</f>
        <v>8</v>
      </c>
      <c r="T3310" s="3" t="n">
        <f aca="false">INDEX(Summary!$P$2:$P$201,MATCH($B3310,Summary!$A$2:$A$201,0))</f>
        <v>1</v>
      </c>
      <c r="U3310" s="2" t="n">
        <f aca="false">INDEX(Summary!$Q$2:$Q$201,MATCH($B3310,Summary!$A$2:$A$201,0))</f>
        <v>11.64</v>
      </c>
      <c r="V3310" s="2" t="n">
        <f aca="false">INDEX(Summary!$R$2:$R$201,MATCH($B3310,Summary!$A$2:$A$201,0))</f>
        <v>24.25</v>
      </c>
      <c r="W3310" s="0" t="str">
        <f aca="false">INDEX(Summary!$S$2:$S$201,MATCH($B3310,Summary!$A$2:$A$201,0))</f>
        <v>Silver</v>
      </c>
      <c r="X3310" s="2" t="n">
        <f aca="false">INDEX(Summary!$T$2:$T$201,MATCH($B3310,Summary!$A$2:$A$201,0))</f>
        <v>59.15</v>
      </c>
      <c r="Y3310" s="0" t="str">
        <f aca="false">INDEX('Reward Model'!$E$18:$E$37,MATCH($E3310,'Reward Model'!$A$18:$A$37,0))</f>
        <v>Medium</v>
      </c>
      <c r="Z3310" s="4" t="n">
        <f aca="false">ROUND(MIN(1,MAX('Reward Model'!$B$2,INDEX('Reward Model'!$C$12:$C$14,MATCH($K3310,'Reward Model'!$A$12:$A$14,0))/$J3310)),3)</f>
        <v>0.98</v>
      </c>
      <c r="AA3310" s="2" t="n">
        <f aca="false">IF($I3310="Correct",ROUND(INDEX('Reward Model'!$B$12:$B$14,MATCH($K3310,'Reward Model'!$A$12:$A$14,0))*Z3310,2),0)</f>
        <v>0.98</v>
      </c>
      <c r="AB3310" s="2" t="n">
        <f aca="false">IF($I3310="Correct",ROUND(INDEX('Reward Model'!$B$12:$B$14,MATCH($Y3310,'Reward Model'!$A$12:$A$14,0))*Z3310,2),0)</f>
        <v>1.96</v>
      </c>
    </row>
    <row r="3311" customFormat="false" ht="15" hidden="false" customHeight="false" outlineLevel="0" collapsed="false">
      <c r="A3311" s="0" t="s">
        <v>462</v>
      </c>
      <c r="B3311" s="0" t="s">
        <v>463</v>
      </c>
      <c r="C3311" s="0" t="s">
        <v>322</v>
      </c>
      <c r="D3311" s="0" t="s">
        <v>189</v>
      </c>
      <c r="E3311" s="0" t="n">
        <v>10</v>
      </c>
      <c r="F3311" s="0" t="s">
        <v>58</v>
      </c>
      <c r="G3311" s="0" t="s">
        <v>59</v>
      </c>
      <c r="H3311" s="0" t="s">
        <v>59</v>
      </c>
      <c r="I3311" s="0" t="s">
        <v>34</v>
      </c>
      <c r="J3311" s="0" t="n">
        <v>1.34</v>
      </c>
      <c r="K3311" s="0" t="s">
        <v>60</v>
      </c>
      <c r="L3311" s="0" t="n">
        <f aca="false">INDEX(Summary!$F$2:$F$201,MATCH($B3311,Summary!$A$2:$A$201,0))</f>
        <v>20</v>
      </c>
      <c r="M3311" s="0" t="n">
        <f aca="false">INDEX(Summary!$I$2:$I$201,MATCH($B3311,Summary!$A$2:$A$201,0))</f>
        <v>1</v>
      </c>
      <c r="N3311" s="0" t="n">
        <f aca="false">INDEX(Summary!$J$2:$J$201,MATCH($B3311,Summary!$A$2:$A$201,0))</f>
        <v>4</v>
      </c>
      <c r="O3311" s="2" t="n">
        <f aca="false">INDEX(Summary!$K$2:$K$201,MATCH($B3311,Summary!$A$2:$A$201,0))</f>
        <v>9.62</v>
      </c>
      <c r="P3311" s="3" t="n">
        <f aca="false">INDEX(Summary!$L$2:$L$201,MATCH($B3311,Summary!$A$2:$A$201,0))</f>
        <v>5</v>
      </c>
      <c r="Q3311" s="3" t="n">
        <f aca="false">INDEX(Summary!$M$2:$M$201,MATCH($B3311,Summary!$A$2:$A$201,0))</f>
        <v>1</v>
      </c>
      <c r="R3311" s="2" t="n">
        <f aca="false">INDEX(Summary!$N$2:$N$201,MATCH($B3311,Summary!$A$2:$A$201,0))</f>
        <v>10.64</v>
      </c>
      <c r="S3311" s="3" t="n">
        <f aca="false">INDEX(Summary!$O$2:$O$201,MATCH($B3311,Summary!$A$2:$A$201,0))</f>
        <v>8</v>
      </c>
      <c r="T3311" s="3" t="n">
        <f aca="false">INDEX(Summary!$P$2:$P$201,MATCH($B3311,Summary!$A$2:$A$201,0))</f>
        <v>1</v>
      </c>
      <c r="U3311" s="2" t="n">
        <f aca="false">INDEX(Summary!$Q$2:$Q$201,MATCH($B3311,Summary!$A$2:$A$201,0))</f>
        <v>11.64</v>
      </c>
      <c r="V3311" s="2" t="n">
        <f aca="false">INDEX(Summary!$R$2:$R$201,MATCH($B3311,Summary!$A$2:$A$201,0))</f>
        <v>24.25</v>
      </c>
      <c r="W3311" s="0" t="str">
        <f aca="false">INDEX(Summary!$S$2:$S$201,MATCH($B3311,Summary!$A$2:$A$201,0))</f>
        <v>Silver</v>
      </c>
      <c r="X3311" s="2" t="n">
        <f aca="false">INDEX(Summary!$T$2:$T$201,MATCH($B3311,Summary!$A$2:$A$201,0))</f>
        <v>59.15</v>
      </c>
      <c r="Y3311" s="0" t="str">
        <f aca="false">INDEX('Reward Model'!$E$18:$E$37,MATCH($E3311,'Reward Model'!$A$18:$A$37,0))</f>
        <v>Medium</v>
      </c>
      <c r="Z3311" s="4" t="n">
        <f aca="false">ROUND(MIN(1,MAX('Reward Model'!$B$2,INDEX('Reward Model'!$C$12:$C$14,MATCH($K3311,'Reward Model'!$A$12:$A$14,0))/$J3311)),3)</f>
        <v>1</v>
      </c>
      <c r="AA3311" s="2" t="n">
        <f aca="false">IF($I3311="Correct",ROUND(INDEX('Reward Model'!$B$12:$B$14,MATCH($K3311,'Reward Model'!$A$12:$A$14,0))*Z3311,2),0)</f>
        <v>2</v>
      </c>
      <c r="AB3311" s="2" t="n">
        <f aca="false">IF($I3311="Correct",ROUND(INDEX('Reward Model'!$B$12:$B$14,MATCH($Y3311,'Reward Model'!$A$12:$A$14,0))*Z3311,2),0)</f>
        <v>2</v>
      </c>
    </row>
    <row r="3312" customFormat="false" ht="15" hidden="false" customHeight="false" outlineLevel="0" collapsed="false">
      <c r="A3312" s="0" t="s">
        <v>462</v>
      </c>
      <c r="B3312" s="0" t="s">
        <v>463</v>
      </c>
      <c r="C3312" s="0" t="s">
        <v>322</v>
      </c>
      <c r="D3312" s="0" t="s">
        <v>189</v>
      </c>
      <c r="E3312" s="0" t="n">
        <v>11</v>
      </c>
      <c r="F3312" s="0" t="s">
        <v>61</v>
      </c>
      <c r="G3312" s="0" t="s">
        <v>63</v>
      </c>
      <c r="H3312" s="0" t="s">
        <v>63</v>
      </c>
      <c r="I3312" s="0" t="s">
        <v>34</v>
      </c>
      <c r="J3312" s="0" t="n">
        <v>2.08</v>
      </c>
      <c r="K3312" s="0" t="s">
        <v>60</v>
      </c>
      <c r="L3312" s="0" t="n">
        <f aca="false">INDEX(Summary!$F$2:$F$201,MATCH($B3312,Summary!$A$2:$A$201,0))</f>
        <v>20</v>
      </c>
      <c r="M3312" s="0" t="n">
        <f aca="false">INDEX(Summary!$I$2:$I$201,MATCH($B3312,Summary!$A$2:$A$201,0))</f>
        <v>1</v>
      </c>
      <c r="N3312" s="0" t="n">
        <f aca="false">INDEX(Summary!$J$2:$J$201,MATCH($B3312,Summary!$A$2:$A$201,0))</f>
        <v>4</v>
      </c>
      <c r="O3312" s="2" t="n">
        <f aca="false">INDEX(Summary!$K$2:$K$201,MATCH($B3312,Summary!$A$2:$A$201,0))</f>
        <v>9.62</v>
      </c>
      <c r="P3312" s="3" t="n">
        <f aca="false">INDEX(Summary!$L$2:$L$201,MATCH($B3312,Summary!$A$2:$A$201,0))</f>
        <v>5</v>
      </c>
      <c r="Q3312" s="3" t="n">
        <f aca="false">INDEX(Summary!$M$2:$M$201,MATCH($B3312,Summary!$A$2:$A$201,0))</f>
        <v>1</v>
      </c>
      <c r="R3312" s="2" t="n">
        <f aca="false">INDEX(Summary!$N$2:$N$201,MATCH($B3312,Summary!$A$2:$A$201,0))</f>
        <v>10.64</v>
      </c>
      <c r="S3312" s="3" t="n">
        <f aca="false">INDEX(Summary!$O$2:$O$201,MATCH($B3312,Summary!$A$2:$A$201,0))</f>
        <v>8</v>
      </c>
      <c r="T3312" s="3" t="n">
        <f aca="false">INDEX(Summary!$P$2:$P$201,MATCH($B3312,Summary!$A$2:$A$201,0))</f>
        <v>1</v>
      </c>
      <c r="U3312" s="2" t="n">
        <f aca="false">INDEX(Summary!$Q$2:$Q$201,MATCH($B3312,Summary!$A$2:$A$201,0))</f>
        <v>11.64</v>
      </c>
      <c r="V3312" s="2" t="n">
        <f aca="false">INDEX(Summary!$R$2:$R$201,MATCH($B3312,Summary!$A$2:$A$201,0))</f>
        <v>24.25</v>
      </c>
      <c r="W3312" s="0" t="str">
        <f aca="false">INDEX(Summary!$S$2:$S$201,MATCH($B3312,Summary!$A$2:$A$201,0))</f>
        <v>Silver</v>
      </c>
      <c r="X3312" s="2" t="n">
        <f aca="false">INDEX(Summary!$T$2:$T$201,MATCH($B3312,Summary!$A$2:$A$201,0))</f>
        <v>59.15</v>
      </c>
      <c r="Y3312" s="0" t="str">
        <f aca="false">INDEX('Reward Model'!$E$18:$E$37,MATCH($E3312,'Reward Model'!$A$18:$A$37,0))</f>
        <v>Medium</v>
      </c>
      <c r="Z3312" s="4" t="n">
        <f aca="false">ROUND(MIN(1,MAX('Reward Model'!$B$2,INDEX('Reward Model'!$C$12:$C$14,MATCH($K3312,'Reward Model'!$A$12:$A$14,0))/$J3312)),3)</f>
        <v>0.865</v>
      </c>
      <c r="AA3312" s="2" t="n">
        <f aca="false">IF($I3312="Correct",ROUND(INDEX('Reward Model'!$B$12:$B$14,MATCH($K3312,'Reward Model'!$A$12:$A$14,0))*Z3312,2),0)</f>
        <v>1.73</v>
      </c>
      <c r="AB3312" s="2" t="n">
        <f aca="false">IF($I3312="Correct",ROUND(INDEX('Reward Model'!$B$12:$B$14,MATCH($Y3312,'Reward Model'!$A$12:$A$14,0))*Z3312,2),0)</f>
        <v>1.73</v>
      </c>
    </row>
    <row r="3313" customFormat="false" ht="15" hidden="false" customHeight="false" outlineLevel="0" collapsed="false">
      <c r="A3313" s="0" t="s">
        <v>462</v>
      </c>
      <c r="B3313" s="0" t="s">
        <v>463</v>
      </c>
      <c r="C3313" s="0" t="s">
        <v>322</v>
      </c>
      <c r="D3313" s="0" t="s">
        <v>189</v>
      </c>
      <c r="E3313" s="0" t="n">
        <v>12</v>
      </c>
      <c r="F3313" s="0" t="s">
        <v>64</v>
      </c>
      <c r="G3313" s="0" t="s">
        <v>127</v>
      </c>
      <c r="H3313" s="0" t="s">
        <v>65</v>
      </c>
      <c r="I3313" s="0" t="s">
        <v>39</v>
      </c>
      <c r="J3313" s="0" t="n">
        <v>2.19</v>
      </c>
      <c r="K3313" s="0" t="s">
        <v>60</v>
      </c>
      <c r="L3313" s="0" t="n">
        <f aca="false">INDEX(Summary!$F$2:$F$201,MATCH($B3313,Summary!$A$2:$A$201,0))</f>
        <v>20</v>
      </c>
      <c r="M3313" s="0" t="n">
        <f aca="false">INDEX(Summary!$I$2:$I$201,MATCH($B3313,Summary!$A$2:$A$201,0))</f>
        <v>1</v>
      </c>
      <c r="N3313" s="0" t="n">
        <f aca="false">INDEX(Summary!$J$2:$J$201,MATCH($B3313,Summary!$A$2:$A$201,0))</f>
        <v>4</v>
      </c>
      <c r="O3313" s="2" t="n">
        <f aca="false">INDEX(Summary!$K$2:$K$201,MATCH($B3313,Summary!$A$2:$A$201,0))</f>
        <v>9.62</v>
      </c>
      <c r="P3313" s="3" t="n">
        <f aca="false">INDEX(Summary!$L$2:$L$201,MATCH($B3313,Summary!$A$2:$A$201,0))</f>
        <v>5</v>
      </c>
      <c r="Q3313" s="3" t="n">
        <f aca="false">INDEX(Summary!$M$2:$M$201,MATCH($B3313,Summary!$A$2:$A$201,0))</f>
        <v>1</v>
      </c>
      <c r="R3313" s="2" t="n">
        <f aca="false">INDEX(Summary!$N$2:$N$201,MATCH($B3313,Summary!$A$2:$A$201,0))</f>
        <v>10.64</v>
      </c>
      <c r="S3313" s="3" t="n">
        <f aca="false">INDEX(Summary!$O$2:$O$201,MATCH($B3313,Summary!$A$2:$A$201,0))</f>
        <v>8</v>
      </c>
      <c r="T3313" s="3" t="n">
        <f aca="false">INDEX(Summary!$P$2:$P$201,MATCH($B3313,Summary!$A$2:$A$201,0))</f>
        <v>1</v>
      </c>
      <c r="U3313" s="2" t="n">
        <f aca="false">INDEX(Summary!$Q$2:$Q$201,MATCH($B3313,Summary!$A$2:$A$201,0))</f>
        <v>11.64</v>
      </c>
      <c r="V3313" s="2" t="n">
        <f aca="false">INDEX(Summary!$R$2:$R$201,MATCH($B3313,Summary!$A$2:$A$201,0))</f>
        <v>24.25</v>
      </c>
      <c r="W3313" s="0" t="str">
        <f aca="false">INDEX(Summary!$S$2:$S$201,MATCH($B3313,Summary!$A$2:$A$201,0))</f>
        <v>Silver</v>
      </c>
      <c r="X3313" s="2" t="n">
        <f aca="false">INDEX(Summary!$T$2:$T$201,MATCH($B3313,Summary!$A$2:$A$201,0))</f>
        <v>59.15</v>
      </c>
      <c r="Y3313" s="0" t="str">
        <f aca="false">INDEX('Reward Model'!$E$18:$E$37,MATCH($E3313,'Reward Model'!$A$18:$A$37,0))</f>
        <v>Medium</v>
      </c>
      <c r="Z3313" s="4" t="n">
        <f aca="false">ROUND(MIN(1,MAX('Reward Model'!$B$2,INDEX('Reward Model'!$C$12:$C$14,MATCH($K3313,'Reward Model'!$A$12:$A$14,0))/$J3313)),3)</f>
        <v>0.822</v>
      </c>
      <c r="AA3313" s="2" t="n">
        <f aca="false">IF($I3313="Correct",ROUND(INDEX('Reward Model'!$B$12:$B$14,MATCH($K3313,'Reward Model'!$A$12:$A$14,0))*Z3313,2),0)</f>
        <v>0</v>
      </c>
      <c r="AB3313" s="2" t="n">
        <f aca="false">IF($I3313="Correct",ROUND(INDEX('Reward Model'!$B$12:$B$14,MATCH($Y3313,'Reward Model'!$A$12:$A$14,0))*Z3313,2),0)</f>
        <v>0</v>
      </c>
    </row>
    <row r="3314" customFormat="false" ht="15" hidden="false" customHeight="false" outlineLevel="0" collapsed="false">
      <c r="A3314" s="0" t="s">
        <v>462</v>
      </c>
      <c r="B3314" s="0" t="s">
        <v>463</v>
      </c>
      <c r="C3314" s="0" t="s">
        <v>322</v>
      </c>
      <c r="D3314" s="0" t="s">
        <v>189</v>
      </c>
      <c r="E3314" s="0" t="n">
        <v>13</v>
      </c>
      <c r="F3314" s="0" t="s">
        <v>66</v>
      </c>
      <c r="G3314" s="0" t="s">
        <v>67</v>
      </c>
      <c r="H3314" s="0" t="s">
        <v>67</v>
      </c>
      <c r="I3314" s="0" t="s">
        <v>34</v>
      </c>
      <c r="J3314" s="0" t="n">
        <v>1.43</v>
      </c>
      <c r="K3314" s="0" t="s">
        <v>60</v>
      </c>
      <c r="L3314" s="0" t="n">
        <f aca="false">INDEX(Summary!$F$2:$F$201,MATCH($B3314,Summary!$A$2:$A$201,0))</f>
        <v>20</v>
      </c>
      <c r="M3314" s="0" t="n">
        <f aca="false">INDEX(Summary!$I$2:$I$201,MATCH($B3314,Summary!$A$2:$A$201,0))</f>
        <v>1</v>
      </c>
      <c r="N3314" s="0" t="n">
        <f aca="false">INDEX(Summary!$J$2:$J$201,MATCH($B3314,Summary!$A$2:$A$201,0))</f>
        <v>4</v>
      </c>
      <c r="O3314" s="2" t="n">
        <f aca="false">INDEX(Summary!$K$2:$K$201,MATCH($B3314,Summary!$A$2:$A$201,0))</f>
        <v>9.62</v>
      </c>
      <c r="P3314" s="3" t="n">
        <f aca="false">INDEX(Summary!$L$2:$L$201,MATCH($B3314,Summary!$A$2:$A$201,0))</f>
        <v>5</v>
      </c>
      <c r="Q3314" s="3" t="n">
        <f aca="false">INDEX(Summary!$M$2:$M$201,MATCH($B3314,Summary!$A$2:$A$201,0))</f>
        <v>1</v>
      </c>
      <c r="R3314" s="2" t="n">
        <f aca="false">INDEX(Summary!$N$2:$N$201,MATCH($B3314,Summary!$A$2:$A$201,0))</f>
        <v>10.64</v>
      </c>
      <c r="S3314" s="3" t="n">
        <f aca="false">INDEX(Summary!$O$2:$O$201,MATCH($B3314,Summary!$A$2:$A$201,0))</f>
        <v>8</v>
      </c>
      <c r="T3314" s="3" t="n">
        <f aca="false">INDEX(Summary!$P$2:$P$201,MATCH($B3314,Summary!$A$2:$A$201,0))</f>
        <v>1</v>
      </c>
      <c r="U3314" s="2" t="n">
        <f aca="false">INDEX(Summary!$Q$2:$Q$201,MATCH($B3314,Summary!$A$2:$A$201,0))</f>
        <v>11.64</v>
      </c>
      <c r="V3314" s="2" t="n">
        <f aca="false">INDEX(Summary!$R$2:$R$201,MATCH($B3314,Summary!$A$2:$A$201,0))</f>
        <v>24.25</v>
      </c>
      <c r="W3314" s="0" t="str">
        <f aca="false">INDEX(Summary!$S$2:$S$201,MATCH($B3314,Summary!$A$2:$A$201,0))</f>
        <v>Silver</v>
      </c>
      <c r="X3314" s="2" t="n">
        <f aca="false">INDEX(Summary!$T$2:$T$201,MATCH($B3314,Summary!$A$2:$A$201,0))</f>
        <v>59.15</v>
      </c>
      <c r="Y3314" s="0" t="str">
        <f aca="false">INDEX('Reward Model'!$E$18:$E$37,MATCH($E3314,'Reward Model'!$A$18:$A$37,0))</f>
        <v>Medium</v>
      </c>
      <c r="Z3314" s="4" t="n">
        <f aca="false">ROUND(MIN(1,MAX('Reward Model'!$B$2,INDEX('Reward Model'!$C$12:$C$14,MATCH($K3314,'Reward Model'!$A$12:$A$14,0))/$J3314)),3)</f>
        <v>1</v>
      </c>
      <c r="AA3314" s="2" t="n">
        <f aca="false">IF($I3314="Correct",ROUND(INDEX('Reward Model'!$B$12:$B$14,MATCH($K3314,'Reward Model'!$A$12:$A$14,0))*Z3314,2),0)</f>
        <v>2</v>
      </c>
      <c r="AB3314" s="2" t="n">
        <f aca="false">IF($I3314="Correct",ROUND(INDEX('Reward Model'!$B$12:$B$14,MATCH($Y3314,'Reward Model'!$A$12:$A$14,0))*Z3314,2),0)</f>
        <v>2</v>
      </c>
    </row>
    <row r="3315" customFormat="false" ht="15" hidden="false" customHeight="false" outlineLevel="0" collapsed="false">
      <c r="A3315" s="0" t="s">
        <v>462</v>
      </c>
      <c r="B3315" s="0" t="s">
        <v>463</v>
      </c>
      <c r="C3315" s="0" t="s">
        <v>322</v>
      </c>
      <c r="D3315" s="0" t="s">
        <v>189</v>
      </c>
      <c r="E3315" s="0" t="n">
        <v>14</v>
      </c>
      <c r="F3315" s="0" t="s">
        <v>68</v>
      </c>
      <c r="G3315" s="0" t="s">
        <v>51</v>
      </c>
      <c r="H3315" s="0" t="s">
        <v>51</v>
      </c>
      <c r="I3315" s="0" t="s">
        <v>34</v>
      </c>
      <c r="J3315" s="0" t="n">
        <v>1.39</v>
      </c>
      <c r="K3315" s="0" t="s">
        <v>60</v>
      </c>
      <c r="L3315" s="0" t="n">
        <f aca="false">INDEX(Summary!$F$2:$F$201,MATCH($B3315,Summary!$A$2:$A$201,0))</f>
        <v>20</v>
      </c>
      <c r="M3315" s="0" t="n">
        <f aca="false">INDEX(Summary!$I$2:$I$201,MATCH($B3315,Summary!$A$2:$A$201,0))</f>
        <v>1</v>
      </c>
      <c r="N3315" s="0" t="n">
        <f aca="false">INDEX(Summary!$J$2:$J$201,MATCH($B3315,Summary!$A$2:$A$201,0))</f>
        <v>4</v>
      </c>
      <c r="O3315" s="2" t="n">
        <f aca="false">INDEX(Summary!$K$2:$K$201,MATCH($B3315,Summary!$A$2:$A$201,0))</f>
        <v>9.62</v>
      </c>
      <c r="P3315" s="3" t="n">
        <f aca="false">INDEX(Summary!$L$2:$L$201,MATCH($B3315,Summary!$A$2:$A$201,0))</f>
        <v>5</v>
      </c>
      <c r="Q3315" s="3" t="n">
        <f aca="false">INDEX(Summary!$M$2:$M$201,MATCH($B3315,Summary!$A$2:$A$201,0))</f>
        <v>1</v>
      </c>
      <c r="R3315" s="2" t="n">
        <f aca="false">INDEX(Summary!$N$2:$N$201,MATCH($B3315,Summary!$A$2:$A$201,0))</f>
        <v>10.64</v>
      </c>
      <c r="S3315" s="3" t="n">
        <f aca="false">INDEX(Summary!$O$2:$O$201,MATCH($B3315,Summary!$A$2:$A$201,0))</f>
        <v>8</v>
      </c>
      <c r="T3315" s="3" t="n">
        <f aca="false">INDEX(Summary!$P$2:$P$201,MATCH($B3315,Summary!$A$2:$A$201,0))</f>
        <v>1</v>
      </c>
      <c r="U3315" s="2" t="n">
        <f aca="false">INDEX(Summary!$Q$2:$Q$201,MATCH($B3315,Summary!$A$2:$A$201,0))</f>
        <v>11.64</v>
      </c>
      <c r="V3315" s="2" t="n">
        <f aca="false">INDEX(Summary!$R$2:$R$201,MATCH($B3315,Summary!$A$2:$A$201,0))</f>
        <v>24.25</v>
      </c>
      <c r="W3315" s="0" t="str">
        <f aca="false">INDEX(Summary!$S$2:$S$201,MATCH($B3315,Summary!$A$2:$A$201,0))</f>
        <v>Silver</v>
      </c>
      <c r="X3315" s="2" t="n">
        <f aca="false">INDEX(Summary!$T$2:$T$201,MATCH($B3315,Summary!$A$2:$A$201,0))</f>
        <v>59.15</v>
      </c>
      <c r="Y3315" s="0" t="str">
        <f aca="false">INDEX('Reward Model'!$E$18:$E$37,MATCH($E3315,'Reward Model'!$A$18:$A$37,0))</f>
        <v>Medium</v>
      </c>
      <c r="Z3315" s="4" t="n">
        <f aca="false">ROUND(MIN(1,MAX('Reward Model'!$B$2,INDEX('Reward Model'!$C$12:$C$14,MATCH($K3315,'Reward Model'!$A$12:$A$14,0))/$J3315)),3)</f>
        <v>1</v>
      </c>
      <c r="AA3315" s="2" t="n">
        <f aca="false">IF($I3315="Correct",ROUND(INDEX('Reward Model'!$B$12:$B$14,MATCH($K3315,'Reward Model'!$A$12:$A$14,0))*Z3315,2),0)</f>
        <v>2</v>
      </c>
      <c r="AB3315" s="2" t="n">
        <f aca="false">IF($I3315="Correct",ROUND(INDEX('Reward Model'!$B$12:$B$14,MATCH($Y3315,'Reward Model'!$A$12:$A$14,0))*Z3315,2),0)</f>
        <v>2</v>
      </c>
    </row>
    <row r="3316" customFormat="false" ht="15" hidden="false" customHeight="false" outlineLevel="0" collapsed="false">
      <c r="A3316" s="0" t="s">
        <v>462</v>
      </c>
      <c r="B3316" s="0" t="s">
        <v>463</v>
      </c>
      <c r="C3316" s="0" t="s">
        <v>322</v>
      </c>
      <c r="D3316" s="0" t="s">
        <v>189</v>
      </c>
      <c r="E3316" s="0" t="n">
        <v>15</v>
      </c>
      <c r="F3316" s="0" t="s">
        <v>69</v>
      </c>
      <c r="G3316" s="0" t="s">
        <v>70</v>
      </c>
      <c r="H3316" s="0" t="s">
        <v>70</v>
      </c>
      <c r="I3316" s="0" t="s">
        <v>34</v>
      </c>
      <c r="J3316" s="0" t="n">
        <v>2.21</v>
      </c>
      <c r="K3316" s="0" t="s">
        <v>60</v>
      </c>
      <c r="L3316" s="0" t="n">
        <f aca="false">INDEX(Summary!$F$2:$F$201,MATCH($B3316,Summary!$A$2:$A$201,0))</f>
        <v>20</v>
      </c>
      <c r="M3316" s="0" t="n">
        <f aca="false">INDEX(Summary!$I$2:$I$201,MATCH($B3316,Summary!$A$2:$A$201,0))</f>
        <v>1</v>
      </c>
      <c r="N3316" s="0" t="n">
        <f aca="false">INDEX(Summary!$J$2:$J$201,MATCH($B3316,Summary!$A$2:$A$201,0))</f>
        <v>4</v>
      </c>
      <c r="O3316" s="2" t="n">
        <f aca="false">INDEX(Summary!$K$2:$K$201,MATCH($B3316,Summary!$A$2:$A$201,0))</f>
        <v>9.62</v>
      </c>
      <c r="P3316" s="3" t="n">
        <f aca="false">INDEX(Summary!$L$2:$L$201,MATCH($B3316,Summary!$A$2:$A$201,0))</f>
        <v>5</v>
      </c>
      <c r="Q3316" s="3" t="n">
        <f aca="false">INDEX(Summary!$M$2:$M$201,MATCH($B3316,Summary!$A$2:$A$201,0))</f>
        <v>1</v>
      </c>
      <c r="R3316" s="2" t="n">
        <f aca="false">INDEX(Summary!$N$2:$N$201,MATCH($B3316,Summary!$A$2:$A$201,0))</f>
        <v>10.64</v>
      </c>
      <c r="S3316" s="3" t="n">
        <f aca="false">INDEX(Summary!$O$2:$O$201,MATCH($B3316,Summary!$A$2:$A$201,0))</f>
        <v>8</v>
      </c>
      <c r="T3316" s="3" t="n">
        <f aca="false">INDEX(Summary!$P$2:$P$201,MATCH($B3316,Summary!$A$2:$A$201,0))</f>
        <v>1</v>
      </c>
      <c r="U3316" s="2" t="n">
        <f aca="false">INDEX(Summary!$Q$2:$Q$201,MATCH($B3316,Summary!$A$2:$A$201,0))</f>
        <v>11.64</v>
      </c>
      <c r="V3316" s="2" t="n">
        <f aca="false">INDEX(Summary!$R$2:$R$201,MATCH($B3316,Summary!$A$2:$A$201,0))</f>
        <v>24.25</v>
      </c>
      <c r="W3316" s="0" t="str">
        <f aca="false">INDEX(Summary!$S$2:$S$201,MATCH($B3316,Summary!$A$2:$A$201,0))</f>
        <v>Silver</v>
      </c>
      <c r="X3316" s="2" t="n">
        <f aca="false">INDEX(Summary!$T$2:$T$201,MATCH($B3316,Summary!$A$2:$A$201,0))</f>
        <v>59.15</v>
      </c>
      <c r="Y3316" s="0" t="str">
        <f aca="false">INDEX('Reward Model'!$E$18:$E$37,MATCH($E3316,'Reward Model'!$A$18:$A$37,0))</f>
        <v>Medium</v>
      </c>
      <c r="Z3316" s="4" t="n">
        <f aca="false">ROUND(MIN(1,MAX('Reward Model'!$B$2,INDEX('Reward Model'!$C$12:$C$14,MATCH($K3316,'Reward Model'!$A$12:$A$14,0))/$J3316)),3)</f>
        <v>0.814</v>
      </c>
      <c r="AA3316" s="2" t="n">
        <f aca="false">IF($I3316="Correct",ROUND(INDEX('Reward Model'!$B$12:$B$14,MATCH($K3316,'Reward Model'!$A$12:$A$14,0))*Z3316,2),0)</f>
        <v>1.63</v>
      </c>
      <c r="AB3316" s="2" t="n">
        <f aca="false">IF($I3316="Correct",ROUND(INDEX('Reward Model'!$B$12:$B$14,MATCH($Y3316,'Reward Model'!$A$12:$A$14,0))*Z3316,2),0)</f>
        <v>1.63</v>
      </c>
    </row>
    <row r="3317" customFormat="false" ht="15" hidden="false" customHeight="false" outlineLevel="0" collapsed="false">
      <c r="A3317" s="0" t="s">
        <v>462</v>
      </c>
      <c r="B3317" s="0" t="s">
        <v>463</v>
      </c>
      <c r="C3317" s="0" t="s">
        <v>322</v>
      </c>
      <c r="D3317" s="0" t="s">
        <v>189</v>
      </c>
      <c r="E3317" s="0" t="n">
        <v>16</v>
      </c>
      <c r="F3317" s="0" t="s">
        <v>71</v>
      </c>
      <c r="G3317" s="0" t="s">
        <v>101</v>
      </c>
      <c r="H3317" s="0" t="s">
        <v>72</v>
      </c>
      <c r="I3317" s="0" t="s">
        <v>39</v>
      </c>
      <c r="J3317" s="0" t="n">
        <v>2.49</v>
      </c>
      <c r="K3317" s="0" t="s">
        <v>73</v>
      </c>
      <c r="L3317" s="0" t="n">
        <f aca="false">INDEX(Summary!$F$2:$F$201,MATCH($B3317,Summary!$A$2:$A$201,0))</f>
        <v>20</v>
      </c>
      <c r="M3317" s="0" t="n">
        <f aca="false">INDEX(Summary!$I$2:$I$201,MATCH($B3317,Summary!$A$2:$A$201,0))</f>
        <v>1</v>
      </c>
      <c r="N3317" s="0" t="n">
        <f aca="false">INDEX(Summary!$J$2:$J$201,MATCH($B3317,Summary!$A$2:$A$201,0))</f>
        <v>4</v>
      </c>
      <c r="O3317" s="2" t="n">
        <f aca="false">INDEX(Summary!$K$2:$K$201,MATCH($B3317,Summary!$A$2:$A$201,0))</f>
        <v>9.62</v>
      </c>
      <c r="P3317" s="3" t="n">
        <f aca="false">INDEX(Summary!$L$2:$L$201,MATCH($B3317,Summary!$A$2:$A$201,0))</f>
        <v>5</v>
      </c>
      <c r="Q3317" s="3" t="n">
        <f aca="false">INDEX(Summary!$M$2:$M$201,MATCH($B3317,Summary!$A$2:$A$201,0))</f>
        <v>1</v>
      </c>
      <c r="R3317" s="2" t="n">
        <f aca="false">INDEX(Summary!$N$2:$N$201,MATCH($B3317,Summary!$A$2:$A$201,0))</f>
        <v>10.64</v>
      </c>
      <c r="S3317" s="3" t="n">
        <f aca="false">INDEX(Summary!$O$2:$O$201,MATCH($B3317,Summary!$A$2:$A$201,0))</f>
        <v>8</v>
      </c>
      <c r="T3317" s="3" t="n">
        <f aca="false">INDEX(Summary!$P$2:$P$201,MATCH($B3317,Summary!$A$2:$A$201,0))</f>
        <v>1</v>
      </c>
      <c r="U3317" s="2" t="n">
        <f aca="false">INDEX(Summary!$Q$2:$Q$201,MATCH($B3317,Summary!$A$2:$A$201,0))</f>
        <v>11.64</v>
      </c>
      <c r="V3317" s="2" t="n">
        <f aca="false">INDEX(Summary!$R$2:$R$201,MATCH($B3317,Summary!$A$2:$A$201,0))</f>
        <v>24.25</v>
      </c>
      <c r="W3317" s="0" t="str">
        <f aca="false">INDEX(Summary!$S$2:$S$201,MATCH($B3317,Summary!$A$2:$A$201,0))</f>
        <v>Silver</v>
      </c>
      <c r="X3317" s="2" t="n">
        <f aca="false">INDEX(Summary!$T$2:$T$201,MATCH($B3317,Summary!$A$2:$A$201,0))</f>
        <v>59.15</v>
      </c>
      <c r="Y3317" s="0" t="str">
        <f aca="false">INDEX('Reward Model'!$E$18:$E$37,MATCH($E3317,'Reward Model'!$A$18:$A$37,0))</f>
        <v>High</v>
      </c>
      <c r="Z3317" s="4" t="n">
        <f aca="false">ROUND(MIN(1,MAX('Reward Model'!$B$2,INDEX('Reward Model'!$C$12:$C$14,MATCH($K3317,'Reward Model'!$A$12:$A$14,0))/$J3317)),3)</f>
        <v>0.803</v>
      </c>
      <c r="AA3317" s="2" t="n">
        <f aca="false">IF($I3317="Correct",ROUND(INDEX('Reward Model'!$B$12:$B$14,MATCH($K3317,'Reward Model'!$A$12:$A$14,0))*Z3317,2),0)</f>
        <v>0</v>
      </c>
      <c r="AB3317" s="2" t="n">
        <f aca="false">IF($I3317="Correct",ROUND(INDEX('Reward Model'!$B$12:$B$14,MATCH($Y3317,'Reward Model'!$A$12:$A$14,0))*Z3317,2),0)</f>
        <v>0</v>
      </c>
    </row>
    <row r="3318" customFormat="false" ht="15" hidden="false" customHeight="false" outlineLevel="0" collapsed="false">
      <c r="A3318" s="0" t="s">
        <v>462</v>
      </c>
      <c r="B3318" s="0" t="s">
        <v>463</v>
      </c>
      <c r="C3318" s="0" t="s">
        <v>322</v>
      </c>
      <c r="D3318" s="0" t="s">
        <v>189</v>
      </c>
      <c r="E3318" s="0" t="n">
        <v>17</v>
      </c>
      <c r="F3318" s="0" t="s">
        <v>74</v>
      </c>
      <c r="G3318" s="0" t="s">
        <v>105</v>
      </c>
      <c r="H3318" s="0" t="s">
        <v>75</v>
      </c>
      <c r="I3318" s="0" t="s">
        <v>39</v>
      </c>
      <c r="J3318" s="0" t="n">
        <v>1.92</v>
      </c>
      <c r="K3318" s="0" t="s">
        <v>73</v>
      </c>
      <c r="L3318" s="0" t="n">
        <f aca="false">INDEX(Summary!$F$2:$F$201,MATCH($B3318,Summary!$A$2:$A$201,0))</f>
        <v>20</v>
      </c>
      <c r="M3318" s="0" t="n">
        <f aca="false">INDEX(Summary!$I$2:$I$201,MATCH($B3318,Summary!$A$2:$A$201,0))</f>
        <v>1</v>
      </c>
      <c r="N3318" s="0" t="n">
        <f aca="false">INDEX(Summary!$J$2:$J$201,MATCH($B3318,Summary!$A$2:$A$201,0))</f>
        <v>4</v>
      </c>
      <c r="O3318" s="2" t="n">
        <f aca="false">INDEX(Summary!$K$2:$K$201,MATCH($B3318,Summary!$A$2:$A$201,0))</f>
        <v>9.62</v>
      </c>
      <c r="P3318" s="3" t="n">
        <f aca="false">INDEX(Summary!$L$2:$L$201,MATCH($B3318,Summary!$A$2:$A$201,0))</f>
        <v>5</v>
      </c>
      <c r="Q3318" s="3" t="n">
        <f aca="false">INDEX(Summary!$M$2:$M$201,MATCH($B3318,Summary!$A$2:$A$201,0))</f>
        <v>1</v>
      </c>
      <c r="R3318" s="2" t="n">
        <f aca="false">INDEX(Summary!$N$2:$N$201,MATCH($B3318,Summary!$A$2:$A$201,0))</f>
        <v>10.64</v>
      </c>
      <c r="S3318" s="3" t="n">
        <f aca="false">INDEX(Summary!$O$2:$O$201,MATCH($B3318,Summary!$A$2:$A$201,0))</f>
        <v>8</v>
      </c>
      <c r="T3318" s="3" t="n">
        <f aca="false">INDEX(Summary!$P$2:$P$201,MATCH($B3318,Summary!$A$2:$A$201,0))</f>
        <v>1</v>
      </c>
      <c r="U3318" s="2" t="n">
        <f aca="false">INDEX(Summary!$Q$2:$Q$201,MATCH($B3318,Summary!$A$2:$A$201,0))</f>
        <v>11.64</v>
      </c>
      <c r="V3318" s="2" t="n">
        <f aca="false">INDEX(Summary!$R$2:$R$201,MATCH($B3318,Summary!$A$2:$A$201,0))</f>
        <v>24.25</v>
      </c>
      <c r="W3318" s="0" t="str">
        <f aca="false">INDEX(Summary!$S$2:$S$201,MATCH($B3318,Summary!$A$2:$A$201,0))</f>
        <v>Silver</v>
      </c>
      <c r="X3318" s="2" t="n">
        <f aca="false">INDEX(Summary!$T$2:$T$201,MATCH($B3318,Summary!$A$2:$A$201,0))</f>
        <v>59.15</v>
      </c>
      <c r="Y3318" s="0" t="str">
        <f aca="false">INDEX('Reward Model'!$E$18:$E$37,MATCH($E3318,'Reward Model'!$A$18:$A$37,0))</f>
        <v>High</v>
      </c>
      <c r="Z3318" s="4" t="n">
        <f aca="false">ROUND(MIN(1,MAX('Reward Model'!$B$2,INDEX('Reward Model'!$C$12:$C$14,MATCH($K3318,'Reward Model'!$A$12:$A$14,0))/$J3318)),3)</f>
        <v>1</v>
      </c>
      <c r="AA3318" s="2" t="n">
        <f aca="false">IF($I3318="Correct",ROUND(INDEX('Reward Model'!$B$12:$B$14,MATCH($K3318,'Reward Model'!$A$12:$A$14,0))*Z3318,2),0)</f>
        <v>0</v>
      </c>
      <c r="AB3318" s="2" t="n">
        <f aca="false">IF($I3318="Correct",ROUND(INDEX('Reward Model'!$B$12:$B$14,MATCH($Y3318,'Reward Model'!$A$12:$A$14,0))*Z3318,2),0)</f>
        <v>0</v>
      </c>
    </row>
    <row r="3319" customFormat="false" ht="15" hidden="false" customHeight="false" outlineLevel="0" collapsed="false">
      <c r="A3319" s="0" t="s">
        <v>462</v>
      </c>
      <c r="B3319" s="0" t="s">
        <v>463</v>
      </c>
      <c r="C3319" s="0" t="s">
        <v>322</v>
      </c>
      <c r="D3319" s="0" t="s">
        <v>189</v>
      </c>
      <c r="E3319" s="0" t="n">
        <v>18</v>
      </c>
      <c r="F3319" s="0" t="s">
        <v>76</v>
      </c>
      <c r="G3319" s="0" t="s">
        <v>128</v>
      </c>
      <c r="H3319" s="0" t="s">
        <v>77</v>
      </c>
      <c r="I3319" s="0" t="s">
        <v>39</v>
      </c>
      <c r="J3319" s="0" t="n">
        <v>1.32</v>
      </c>
      <c r="K3319" s="0" t="s">
        <v>73</v>
      </c>
      <c r="L3319" s="0" t="n">
        <f aca="false">INDEX(Summary!$F$2:$F$201,MATCH($B3319,Summary!$A$2:$A$201,0))</f>
        <v>20</v>
      </c>
      <c r="M3319" s="0" t="n">
        <f aca="false">INDEX(Summary!$I$2:$I$201,MATCH($B3319,Summary!$A$2:$A$201,0))</f>
        <v>1</v>
      </c>
      <c r="N3319" s="0" t="n">
        <f aca="false">INDEX(Summary!$J$2:$J$201,MATCH($B3319,Summary!$A$2:$A$201,0))</f>
        <v>4</v>
      </c>
      <c r="O3319" s="2" t="n">
        <f aca="false">INDEX(Summary!$K$2:$K$201,MATCH($B3319,Summary!$A$2:$A$201,0))</f>
        <v>9.62</v>
      </c>
      <c r="P3319" s="3" t="n">
        <f aca="false">INDEX(Summary!$L$2:$L$201,MATCH($B3319,Summary!$A$2:$A$201,0))</f>
        <v>5</v>
      </c>
      <c r="Q3319" s="3" t="n">
        <f aca="false">INDEX(Summary!$M$2:$M$201,MATCH($B3319,Summary!$A$2:$A$201,0))</f>
        <v>1</v>
      </c>
      <c r="R3319" s="2" t="n">
        <f aca="false">INDEX(Summary!$N$2:$N$201,MATCH($B3319,Summary!$A$2:$A$201,0))</f>
        <v>10.64</v>
      </c>
      <c r="S3319" s="3" t="n">
        <f aca="false">INDEX(Summary!$O$2:$O$201,MATCH($B3319,Summary!$A$2:$A$201,0))</f>
        <v>8</v>
      </c>
      <c r="T3319" s="3" t="n">
        <f aca="false">INDEX(Summary!$P$2:$P$201,MATCH($B3319,Summary!$A$2:$A$201,0))</f>
        <v>1</v>
      </c>
      <c r="U3319" s="2" t="n">
        <f aca="false">INDEX(Summary!$Q$2:$Q$201,MATCH($B3319,Summary!$A$2:$A$201,0))</f>
        <v>11.64</v>
      </c>
      <c r="V3319" s="2" t="n">
        <f aca="false">INDEX(Summary!$R$2:$R$201,MATCH($B3319,Summary!$A$2:$A$201,0))</f>
        <v>24.25</v>
      </c>
      <c r="W3319" s="0" t="str">
        <f aca="false">INDEX(Summary!$S$2:$S$201,MATCH($B3319,Summary!$A$2:$A$201,0))</f>
        <v>Silver</v>
      </c>
      <c r="X3319" s="2" t="n">
        <f aca="false">INDEX(Summary!$T$2:$T$201,MATCH($B3319,Summary!$A$2:$A$201,0))</f>
        <v>59.15</v>
      </c>
      <c r="Y3319" s="0" t="str">
        <f aca="false">INDEX('Reward Model'!$E$18:$E$37,MATCH($E3319,'Reward Model'!$A$18:$A$37,0))</f>
        <v>High</v>
      </c>
      <c r="Z3319" s="4" t="n">
        <f aca="false">ROUND(MIN(1,MAX('Reward Model'!$B$2,INDEX('Reward Model'!$C$12:$C$14,MATCH($K3319,'Reward Model'!$A$12:$A$14,0))/$J3319)),3)</f>
        <v>1</v>
      </c>
      <c r="AA3319" s="2" t="n">
        <f aca="false">IF($I3319="Correct",ROUND(INDEX('Reward Model'!$B$12:$B$14,MATCH($K3319,'Reward Model'!$A$12:$A$14,0))*Z3319,2),0)</f>
        <v>0</v>
      </c>
      <c r="AB3319" s="2" t="n">
        <f aca="false">IF($I3319="Correct",ROUND(INDEX('Reward Model'!$B$12:$B$14,MATCH($Y3319,'Reward Model'!$A$12:$A$14,0))*Z3319,2),0)</f>
        <v>0</v>
      </c>
    </row>
    <row r="3320" customFormat="false" ht="15" hidden="false" customHeight="false" outlineLevel="0" collapsed="false">
      <c r="A3320" s="0" t="s">
        <v>462</v>
      </c>
      <c r="B3320" s="0" t="s">
        <v>463</v>
      </c>
      <c r="C3320" s="0" t="s">
        <v>322</v>
      </c>
      <c r="D3320" s="0" t="s">
        <v>189</v>
      </c>
      <c r="E3320" s="0" t="n">
        <v>19</v>
      </c>
      <c r="F3320" s="0" t="s">
        <v>78</v>
      </c>
      <c r="G3320" s="0" t="s">
        <v>79</v>
      </c>
      <c r="H3320" s="0" t="s">
        <v>80</v>
      </c>
      <c r="I3320" s="0" t="s">
        <v>39</v>
      </c>
      <c r="J3320" s="0" t="n">
        <v>1.88</v>
      </c>
      <c r="K3320" s="0" t="s">
        <v>73</v>
      </c>
      <c r="L3320" s="0" t="n">
        <f aca="false">INDEX(Summary!$F$2:$F$201,MATCH($B3320,Summary!$A$2:$A$201,0))</f>
        <v>20</v>
      </c>
      <c r="M3320" s="0" t="n">
        <f aca="false">INDEX(Summary!$I$2:$I$201,MATCH($B3320,Summary!$A$2:$A$201,0))</f>
        <v>1</v>
      </c>
      <c r="N3320" s="0" t="n">
        <f aca="false">INDEX(Summary!$J$2:$J$201,MATCH($B3320,Summary!$A$2:$A$201,0))</f>
        <v>4</v>
      </c>
      <c r="O3320" s="2" t="n">
        <f aca="false">INDEX(Summary!$K$2:$K$201,MATCH($B3320,Summary!$A$2:$A$201,0))</f>
        <v>9.62</v>
      </c>
      <c r="P3320" s="3" t="n">
        <f aca="false">INDEX(Summary!$L$2:$L$201,MATCH($B3320,Summary!$A$2:$A$201,0))</f>
        <v>5</v>
      </c>
      <c r="Q3320" s="3" t="n">
        <f aca="false">INDEX(Summary!$M$2:$M$201,MATCH($B3320,Summary!$A$2:$A$201,0))</f>
        <v>1</v>
      </c>
      <c r="R3320" s="2" t="n">
        <f aca="false">INDEX(Summary!$N$2:$N$201,MATCH($B3320,Summary!$A$2:$A$201,0))</f>
        <v>10.64</v>
      </c>
      <c r="S3320" s="3" t="n">
        <f aca="false">INDEX(Summary!$O$2:$O$201,MATCH($B3320,Summary!$A$2:$A$201,0))</f>
        <v>8</v>
      </c>
      <c r="T3320" s="3" t="n">
        <f aca="false">INDEX(Summary!$P$2:$P$201,MATCH($B3320,Summary!$A$2:$A$201,0))</f>
        <v>1</v>
      </c>
      <c r="U3320" s="2" t="n">
        <f aca="false">INDEX(Summary!$Q$2:$Q$201,MATCH($B3320,Summary!$A$2:$A$201,0))</f>
        <v>11.64</v>
      </c>
      <c r="V3320" s="2" t="n">
        <f aca="false">INDEX(Summary!$R$2:$R$201,MATCH($B3320,Summary!$A$2:$A$201,0))</f>
        <v>24.25</v>
      </c>
      <c r="W3320" s="0" t="str">
        <f aca="false">INDEX(Summary!$S$2:$S$201,MATCH($B3320,Summary!$A$2:$A$201,0))</f>
        <v>Silver</v>
      </c>
      <c r="X3320" s="2" t="n">
        <f aca="false">INDEX(Summary!$T$2:$T$201,MATCH($B3320,Summary!$A$2:$A$201,0))</f>
        <v>59.15</v>
      </c>
      <c r="Y3320" s="0" t="str">
        <f aca="false">INDEX('Reward Model'!$E$18:$E$37,MATCH($E3320,'Reward Model'!$A$18:$A$37,0))</f>
        <v>High</v>
      </c>
      <c r="Z3320" s="4" t="n">
        <f aca="false">ROUND(MIN(1,MAX('Reward Model'!$B$2,INDEX('Reward Model'!$C$12:$C$14,MATCH($K3320,'Reward Model'!$A$12:$A$14,0))/$J3320)),3)</f>
        <v>1</v>
      </c>
      <c r="AA3320" s="2" t="n">
        <f aca="false">IF($I3320="Correct",ROUND(INDEX('Reward Model'!$B$12:$B$14,MATCH($K3320,'Reward Model'!$A$12:$A$14,0))*Z3320,2),0)</f>
        <v>0</v>
      </c>
      <c r="AB3320" s="2" t="n">
        <f aca="false">IF($I3320="Correct",ROUND(INDEX('Reward Model'!$B$12:$B$14,MATCH($Y3320,'Reward Model'!$A$12:$A$14,0))*Z3320,2),0)</f>
        <v>0</v>
      </c>
    </row>
    <row r="3321" customFormat="false" ht="15" hidden="false" customHeight="false" outlineLevel="0" collapsed="false">
      <c r="A3321" s="0" t="s">
        <v>462</v>
      </c>
      <c r="B3321" s="0" t="s">
        <v>463</v>
      </c>
      <c r="C3321" s="0" t="s">
        <v>322</v>
      </c>
      <c r="D3321" s="0" t="s">
        <v>189</v>
      </c>
      <c r="E3321" s="0" t="n">
        <v>20</v>
      </c>
      <c r="F3321" s="0" t="s">
        <v>81</v>
      </c>
      <c r="G3321" s="0" t="s">
        <v>83</v>
      </c>
      <c r="H3321" s="0" t="s">
        <v>83</v>
      </c>
      <c r="I3321" s="0" t="s">
        <v>34</v>
      </c>
      <c r="J3321" s="0" t="n">
        <v>2.01</v>
      </c>
      <c r="K3321" s="0" t="s">
        <v>73</v>
      </c>
      <c r="L3321" s="0" t="n">
        <f aca="false">INDEX(Summary!$F$2:$F$201,MATCH($B3321,Summary!$A$2:$A$201,0))</f>
        <v>20</v>
      </c>
      <c r="M3321" s="0" t="n">
        <f aca="false">INDEX(Summary!$I$2:$I$201,MATCH($B3321,Summary!$A$2:$A$201,0))</f>
        <v>1</v>
      </c>
      <c r="N3321" s="0" t="n">
        <f aca="false">INDEX(Summary!$J$2:$J$201,MATCH($B3321,Summary!$A$2:$A$201,0))</f>
        <v>4</v>
      </c>
      <c r="O3321" s="2" t="n">
        <f aca="false">INDEX(Summary!$K$2:$K$201,MATCH($B3321,Summary!$A$2:$A$201,0))</f>
        <v>9.62</v>
      </c>
      <c r="P3321" s="3" t="n">
        <f aca="false">INDEX(Summary!$L$2:$L$201,MATCH($B3321,Summary!$A$2:$A$201,0))</f>
        <v>5</v>
      </c>
      <c r="Q3321" s="3" t="n">
        <f aca="false">INDEX(Summary!$M$2:$M$201,MATCH($B3321,Summary!$A$2:$A$201,0))</f>
        <v>1</v>
      </c>
      <c r="R3321" s="2" t="n">
        <f aca="false">INDEX(Summary!$N$2:$N$201,MATCH($B3321,Summary!$A$2:$A$201,0))</f>
        <v>10.64</v>
      </c>
      <c r="S3321" s="3" t="n">
        <f aca="false">INDEX(Summary!$O$2:$O$201,MATCH($B3321,Summary!$A$2:$A$201,0))</f>
        <v>8</v>
      </c>
      <c r="T3321" s="3" t="n">
        <f aca="false">INDEX(Summary!$P$2:$P$201,MATCH($B3321,Summary!$A$2:$A$201,0))</f>
        <v>1</v>
      </c>
      <c r="U3321" s="2" t="n">
        <f aca="false">INDEX(Summary!$Q$2:$Q$201,MATCH($B3321,Summary!$A$2:$A$201,0))</f>
        <v>11.64</v>
      </c>
      <c r="V3321" s="2" t="n">
        <f aca="false">INDEX(Summary!$R$2:$R$201,MATCH($B3321,Summary!$A$2:$A$201,0))</f>
        <v>24.25</v>
      </c>
      <c r="W3321" s="0" t="str">
        <f aca="false">INDEX(Summary!$S$2:$S$201,MATCH($B3321,Summary!$A$2:$A$201,0))</f>
        <v>Silver</v>
      </c>
      <c r="X3321" s="2" t="n">
        <f aca="false">INDEX(Summary!$T$2:$T$201,MATCH($B3321,Summary!$A$2:$A$201,0))</f>
        <v>59.15</v>
      </c>
      <c r="Y3321" s="0" t="str">
        <f aca="false">INDEX('Reward Model'!$E$18:$E$37,MATCH($E3321,'Reward Model'!$A$18:$A$37,0))</f>
        <v>High</v>
      </c>
      <c r="Z3321" s="4" t="n">
        <f aca="false">ROUND(MIN(1,MAX('Reward Model'!$B$2,INDEX('Reward Model'!$C$12:$C$14,MATCH($K3321,'Reward Model'!$A$12:$A$14,0))/$J3321)),3)</f>
        <v>0.995</v>
      </c>
      <c r="AA3321" s="2" t="n">
        <f aca="false">IF($I3321="Correct",ROUND(INDEX('Reward Model'!$B$12:$B$14,MATCH($K3321,'Reward Model'!$A$12:$A$14,0))*Z3321,2),0)</f>
        <v>2.99</v>
      </c>
      <c r="AB3321" s="2" t="n">
        <f aca="false">IF($I3321="Correct",ROUND(INDEX('Reward Model'!$B$12:$B$14,MATCH($Y3321,'Reward Model'!$A$12:$A$14,0))*Z3321,2),0)</f>
        <v>2.99</v>
      </c>
    </row>
    <row r="3322" customFormat="false" ht="15" hidden="false" customHeight="false" outlineLevel="0" collapsed="false">
      <c r="A3322" s="0" t="s">
        <v>464</v>
      </c>
      <c r="B3322" s="0" t="s">
        <v>465</v>
      </c>
      <c r="C3322" s="0" t="s">
        <v>322</v>
      </c>
      <c r="D3322" s="0" t="s">
        <v>189</v>
      </c>
      <c r="E3322" s="0" t="n">
        <v>1</v>
      </c>
      <c r="F3322" s="0" t="s">
        <v>32</v>
      </c>
      <c r="G3322" s="0" t="s">
        <v>91</v>
      </c>
      <c r="H3322" s="0" t="s">
        <v>33</v>
      </c>
      <c r="I3322" s="0" t="s">
        <v>39</v>
      </c>
      <c r="J3322" s="0" t="n">
        <v>1.2</v>
      </c>
      <c r="K3322" s="0" t="s">
        <v>35</v>
      </c>
      <c r="L3322" s="0" t="n">
        <f aca="false">INDEX(Summary!$F$2:$F$201,MATCH($B3322,Summary!$A$2:$A$201,0))</f>
        <v>20</v>
      </c>
      <c r="M3322" s="0" t="n">
        <f aca="false">INDEX(Summary!$I$2:$I$201,MATCH($B3322,Summary!$A$2:$A$201,0))</f>
        <v>2</v>
      </c>
      <c r="N3322" s="0" t="n">
        <f aca="false">INDEX(Summary!$J$2:$J$201,MATCH($B3322,Summary!$A$2:$A$201,0))</f>
        <v>3</v>
      </c>
      <c r="O3322" s="2" t="n">
        <f aca="false">INDEX(Summary!$K$2:$K$201,MATCH($B3322,Summary!$A$2:$A$201,0))</f>
        <v>8.46</v>
      </c>
      <c r="P3322" s="3" t="n">
        <f aca="false">INDEX(Summary!$L$2:$L$201,MATCH($B3322,Summary!$A$2:$A$201,0))</f>
        <v>3</v>
      </c>
      <c r="Q3322" s="3" t="n">
        <f aca="false">INDEX(Summary!$M$2:$M$201,MATCH($B3322,Summary!$A$2:$A$201,0))</f>
        <v>3</v>
      </c>
      <c r="R3322" s="2" t="n">
        <f aca="false">INDEX(Summary!$N$2:$N$201,MATCH($B3322,Summary!$A$2:$A$201,0))</f>
        <v>9.95</v>
      </c>
      <c r="S3322" s="3" t="n">
        <f aca="false">INDEX(Summary!$O$2:$O$201,MATCH($B3322,Summary!$A$2:$A$201,0))</f>
        <v>8</v>
      </c>
      <c r="T3322" s="3" t="n">
        <f aca="false">INDEX(Summary!$P$2:$P$201,MATCH($B3322,Summary!$A$2:$A$201,0))</f>
        <v>1</v>
      </c>
      <c r="U3322" s="2" t="n">
        <f aca="false">INDEX(Summary!$Q$2:$Q$201,MATCH($B3322,Summary!$A$2:$A$201,0))</f>
        <v>10.23</v>
      </c>
      <c r="V3322" s="2" t="n">
        <f aca="false">INDEX(Summary!$R$2:$R$201,MATCH($B3322,Summary!$A$2:$A$201,0))</f>
        <v>23.84</v>
      </c>
      <c r="W3322" s="0" t="str">
        <f aca="false">INDEX(Summary!$S$2:$S$201,MATCH($B3322,Summary!$A$2:$A$201,0))</f>
        <v>Silver</v>
      </c>
      <c r="X3322" s="2" t="n">
        <f aca="false">INDEX(Summary!$T$2:$T$201,MATCH($B3322,Summary!$A$2:$A$201,0))</f>
        <v>58.15</v>
      </c>
      <c r="Y3322" s="0" t="str">
        <f aca="false">INDEX('Reward Model'!$E$18:$E$37,MATCH($E3322,'Reward Model'!$A$18:$A$37,0))</f>
        <v>Medium</v>
      </c>
      <c r="Z3322" s="4" t="n">
        <f aca="false">ROUND(MIN(1,MAX('Reward Model'!$B$2,INDEX('Reward Model'!$C$12:$C$14,MATCH($K3322,'Reward Model'!$A$12:$A$14,0))/$J3322)),3)</f>
        <v>1</v>
      </c>
      <c r="AA3322" s="2" t="n">
        <f aca="false">IF($I3322="Correct",ROUND(INDEX('Reward Model'!$B$12:$B$14,MATCH($K3322,'Reward Model'!$A$12:$A$14,0))*Z3322,2),0)</f>
        <v>0</v>
      </c>
      <c r="AB3322" s="2" t="n">
        <f aca="false">IF($I3322="Correct",ROUND(INDEX('Reward Model'!$B$12:$B$14,MATCH($Y3322,'Reward Model'!$A$12:$A$14,0))*Z3322,2),0)</f>
        <v>0</v>
      </c>
    </row>
    <row r="3323" customFormat="false" ht="15" hidden="false" customHeight="false" outlineLevel="0" collapsed="false">
      <c r="A3323" s="0" t="s">
        <v>464</v>
      </c>
      <c r="B3323" s="0" t="s">
        <v>465</v>
      </c>
      <c r="C3323" s="0" t="s">
        <v>322</v>
      </c>
      <c r="D3323" s="0" t="s">
        <v>189</v>
      </c>
      <c r="E3323" s="0" t="n">
        <v>2</v>
      </c>
      <c r="F3323" s="0" t="s">
        <v>36</v>
      </c>
      <c r="G3323" s="0" t="s">
        <v>38</v>
      </c>
      <c r="H3323" s="0" t="s">
        <v>38</v>
      </c>
      <c r="I3323" s="0" t="s">
        <v>34</v>
      </c>
      <c r="J3323" s="0" t="n">
        <v>1.7</v>
      </c>
      <c r="K3323" s="0" t="s">
        <v>35</v>
      </c>
      <c r="L3323" s="0" t="n">
        <f aca="false">INDEX(Summary!$F$2:$F$201,MATCH($B3323,Summary!$A$2:$A$201,0))</f>
        <v>20</v>
      </c>
      <c r="M3323" s="0" t="n">
        <f aca="false">INDEX(Summary!$I$2:$I$201,MATCH($B3323,Summary!$A$2:$A$201,0))</f>
        <v>2</v>
      </c>
      <c r="N3323" s="0" t="n">
        <f aca="false">INDEX(Summary!$J$2:$J$201,MATCH($B3323,Summary!$A$2:$A$201,0))</f>
        <v>3</v>
      </c>
      <c r="O3323" s="2" t="n">
        <f aca="false">INDEX(Summary!$K$2:$K$201,MATCH($B3323,Summary!$A$2:$A$201,0))</f>
        <v>8.46</v>
      </c>
      <c r="P3323" s="3" t="n">
        <f aca="false">INDEX(Summary!$L$2:$L$201,MATCH($B3323,Summary!$A$2:$A$201,0))</f>
        <v>3</v>
      </c>
      <c r="Q3323" s="3" t="n">
        <f aca="false">INDEX(Summary!$M$2:$M$201,MATCH($B3323,Summary!$A$2:$A$201,0))</f>
        <v>3</v>
      </c>
      <c r="R3323" s="2" t="n">
        <f aca="false">INDEX(Summary!$N$2:$N$201,MATCH($B3323,Summary!$A$2:$A$201,0))</f>
        <v>9.95</v>
      </c>
      <c r="S3323" s="3" t="n">
        <f aca="false">INDEX(Summary!$O$2:$O$201,MATCH($B3323,Summary!$A$2:$A$201,0))</f>
        <v>8</v>
      </c>
      <c r="T3323" s="3" t="n">
        <f aca="false">INDEX(Summary!$P$2:$P$201,MATCH($B3323,Summary!$A$2:$A$201,0))</f>
        <v>1</v>
      </c>
      <c r="U3323" s="2" t="n">
        <f aca="false">INDEX(Summary!$Q$2:$Q$201,MATCH($B3323,Summary!$A$2:$A$201,0))</f>
        <v>10.23</v>
      </c>
      <c r="V3323" s="2" t="n">
        <f aca="false">INDEX(Summary!$R$2:$R$201,MATCH($B3323,Summary!$A$2:$A$201,0))</f>
        <v>23.84</v>
      </c>
      <c r="W3323" s="0" t="str">
        <f aca="false">INDEX(Summary!$S$2:$S$201,MATCH($B3323,Summary!$A$2:$A$201,0))</f>
        <v>Silver</v>
      </c>
      <c r="X3323" s="2" t="n">
        <f aca="false">INDEX(Summary!$T$2:$T$201,MATCH($B3323,Summary!$A$2:$A$201,0))</f>
        <v>58.15</v>
      </c>
      <c r="Y3323" s="0" t="str">
        <f aca="false">INDEX('Reward Model'!$E$18:$E$37,MATCH($E3323,'Reward Model'!$A$18:$A$37,0))</f>
        <v>Low</v>
      </c>
      <c r="Z3323" s="4" t="n">
        <f aca="false">ROUND(MIN(1,MAX('Reward Model'!$B$2,INDEX('Reward Model'!$C$12:$C$14,MATCH($K3323,'Reward Model'!$A$12:$A$14,0))/$J3323)),3)</f>
        <v>0.882</v>
      </c>
      <c r="AA3323" s="2" t="n">
        <f aca="false">IF($I3323="Correct",ROUND(INDEX('Reward Model'!$B$12:$B$14,MATCH($K3323,'Reward Model'!$A$12:$A$14,0))*Z3323,2),0)</f>
        <v>0.88</v>
      </c>
      <c r="AB3323" s="2" t="n">
        <f aca="false">IF($I3323="Correct",ROUND(INDEX('Reward Model'!$B$12:$B$14,MATCH($Y3323,'Reward Model'!$A$12:$A$14,0))*Z3323,2),0)</f>
        <v>0.88</v>
      </c>
    </row>
    <row r="3324" customFormat="false" ht="15" hidden="false" customHeight="false" outlineLevel="0" collapsed="false">
      <c r="A3324" s="0" t="s">
        <v>464</v>
      </c>
      <c r="B3324" s="0" t="s">
        <v>465</v>
      </c>
      <c r="C3324" s="0" t="s">
        <v>322</v>
      </c>
      <c r="D3324" s="0" t="s">
        <v>189</v>
      </c>
      <c r="E3324" s="0" t="n">
        <v>3</v>
      </c>
      <c r="F3324" s="0" t="s">
        <v>40</v>
      </c>
      <c r="G3324" s="0" t="s">
        <v>42</v>
      </c>
      <c r="H3324" s="0" t="s">
        <v>42</v>
      </c>
      <c r="I3324" s="0" t="s">
        <v>34</v>
      </c>
      <c r="J3324" s="0" t="n">
        <v>0.98</v>
      </c>
      <c r="K3324" s="0" t="s">
        <v>35</v>
      </c>
      <c r="L3324" s="0" t="n">
        <f aca="false">INDEX(Summary!$F$2:$F$201,MATCH($B3324,Summary!$A$2:$A$201,0))</f>
        <v>20</v>
      </c>
      <c r="M3324" s="0" t="n">
        <f aca="false">INDEX(Summary!$I$2:$I$201,MATCH($B3324,Summary!$A$2:$A$201,0))</f>
        <v>2</v>
      </c>
      <c r="N3324" s="0" t="n">
        <f aca="false">INDEX(Summary!$J$2:$J$201,MATCH($B3324,Summary!$A$2:$A$201,0))</f>
        <v>3</v>
      </c>
      <c r="O3324" s="2" t="n">
        <f aca="false">INDEX(Summary!$K$2:$K$201,MATCH($B3324,Summary!$A$2:$A$201,0))</f>
        <v>8.46</v>
      </c>
      <c r="P3324" s="3" t="n">
        <f aca="false">INDEX(Summary!$L$2:$L$201,MATCH($B3324,Summary!$A$2:$A$201,0))</f>
        <v>3</v>
      </c>
      <c r="Q3324" s="3" t="n">
        <f aca="false">INDEX(Summary!$M$2:$M$201,MATCH($B3324,Summary!$A$2:$A$201,0))</f>
        <v>3</v>
      </c>
      <c r="R3324" s="2" t="n">
        <f aca="false">INDEX(Summary!$N$2:$N$201,MATCH($B3324,Summary!$A$2:$A$201,0))</f>
        <v>9.95</v>
      </c>
      <c r="S3324" s="3" t="n">
        <f aca="false">INDEX(Summary!$O$2:$O$201,MATCH($B3324,Summary!$A$2:$A$201,0))</f>
        <v>8</v>
      </c>
      <c r="T3324" s="3" t="n">
        <f aca="false">INDEX(Summary!$P$2:$P$201,MATCH($B3324,Summary!$A$2:$A$201,0))</f>
        <v>1</v>
      </c>
      <c r="U3324" s="2" t="n">
        <f aca="false">INDEX(Summary!$Q$2:$Q$201,MATCH($B3324,Summary!$A$2:$A$201,0))</f>
        <v>10.23</v>
      </c>
      <c r="V3324" s="2" t="n">
        <f aca="false">INDEX(Summary!$R$2:$R$201,MATCH($B3324,Summary!$A$2:$A$201,0))</f>
        <v>23.84</v>
      </c>
      <c r="W3324" s="0" t="str">
        <f aca="false">INDEX(Summary!$S$2:$S$201,MATCH($B3324,Summary!$A$2:$A$201,0))</f>
        <v>Silver</v>
      </c>
      <c r="X3324" s="2" t="n">
        <f aca="false">INDEX(Summary!$T$2:$T$201,MATCH($B3324,Summary!$A$2:$A$201,0))</f>
        <v>58.15</v>
      </c>
      <c r="Y3324" s="0" t="str">
        <f aca="false">INDEX('Reward Model'!$E$18:$E$37,MATCH($E3324,'Reward Model'!$A$18:$A$37,0))</f>
        <v>Medium</v>
      </c>
      <c r="Z3324" s="4" t="n">
        <f aca="false">ROUND(MIN(1,MAX('Reward Model'!$B$2,INDEX('Reward Model'!$C$12:$C$14,MATCH($K3324,'Reward Model'!$A$12:$A$14,0))/$J3324)),3)</f>
        <v>1</v>
      </c>
      <c r="AA3324" s="2" t="n">
        <f aca="false">IF($I3324="Correct",ROUND(INDEX('Reward Model'!$B$12:$B$14,MATCH($K3324,'Reward Model'!$A$12:$A$14,0))*Z3324,2),0)</f>
        <v>1</v>
      </c>
      <c r="AB3324" s="2" t="n">
        <f aca="false">IF($I3324="Correct",ROUND(INDEX('Reward Model'!$B$12:$B$14,MATCH($Y3324,'Reward Model'!$A$12:$A$14,0))*Z3324,2),0)</f>
        <v>2</v>
      </c>
    </row>
    <row r="3325" customFormat="false" ht="15" hidden="false" customHeight="false" outlineLevel="0" collapsed="false">
      <c r="A3325" s="0" t="s">
        <v>464</v>
      </c>
      <c r="B3325" s="0" t="s">
        <v>465</v>
      </c>
      <c r="C3325" s="0" t="s">
        <v>322</v>
      </c>
      <c r="D3325" s="0" t="s">
        <v>189</v>
      </c>
      <c r="E3325" s="0" t="n">
        <v>4</v>
      </c>
      <c r="F3325" s="0" t="s">
        <v>43</v>
      </c>
      <c r="G3325" s="0" t="s">
        <v>45</v>
      </c>
      <c r="H3325" s="0" t="s">
        <v>45</v>
      </c>
      <c r="I3325" s="0" t="s">
        <v>34</v>
      </c>
      <c r="J3325" s="0" t="n">
        <v>1.15</v>
      </c>
      <c r="K3325" s="0" t="s">
        <v>35</v>
      </c>
      <c r="L3325" s="0" t="n">
        <f aca="false">INDEX(Summary!$F$2:$F$201,MATCH($B3325,Summary!$A$2:$A$201,0))</f>
        <v>20</v>
      </c>
      <c r="M3325" s="0" t="n">
        <f aca="false">INDEX(Summary!$I$2:$I$201,MATCH($B3325,Summary!$A$2:$A$201,0))</f>
        <v>2</v>
      </c>
      <c r="N3325" s="0" t="n">
        <f aca="false">INDEX(Summary!$J$2:$J$201,MATCH($B3325,Summary!$A$2:$A$201,0))</f>
        <v>3</v>
      </c>
      <c r="O3325" s="2" t="n">
        <f aca="false">INDEX(Summary!$K$2:$K$201,MATCH($B3325,Summary!$A$2:$A$201,0))</f>
        <v>8.46</v>
      </c>
      <c r="P3325" s="3" t="n">
        <f aca="false">INDEX(Summary!$L$2:$L$201,MATCH($B3325,Summary!$A$2:$A$201,0))</f>
        <v>3</v>
      </c>
      <c r="Q3325" s="3" t="n">
        <f aca="false">INDEX(Summary!$M$2:$M$201,MATCH($B3325,Summary!$A$2:$A$201,0))</f>
        <v>3</v>
      </c>
      <c r="R3325" s="2" t="n">
        <f aca="false">INDEX(Summary!$N$2:$N$201,MATCH($B3325,Summary!$A$2:$A$201,0))</f>
        <v>9.95</v>
      </c>
      <c r="S3325" s="3" t="n">
        <f aca="false">INDEX(Summary!$O$2:$O$201,MATCH($B3325,Summary!$A$2:$A$201,0))</f>
        <v>8</v>
      </c>
      <c r="T3325" s="3" t="n">
        <f aca="false">INDEX(Summary!$P$2:$P$201,MATCH($B3325,Summary!$A$2:$A$201,0))</f>
        <v>1</v>
      </c>
      <c r="U3325" s="2" t="n">
        <f aca="false">INDEX(Summary!$Q$2:$Q$201,MATCH($B3325,Summary!$A$2:$A$201,0))</f>
        <v>10.23</v>
      </c>
      <c r="V3325" s="2" t="n">
        <f aca="false">INDEX(Summary!$R$2:$R$201,MATCH($B3325,Summary!$A$2:$A$201,0))</f>
        <v>23.84</v>
      </c>
      <c r="W3325" s="0" t="str">
        <f aca="false">INDEX(Summary!$S$2:$S$201,MATCH($B3325,Summary!$A$2:$A$201,0))</f>
        <v>Silver</v>
      </c>
      <c r="X3325" s="2" t="n">
        <f aca="false">INDEX(Summary!$T$2:$T$201,MATCH($B3325,Summary!$A$2:$A$201,0))</f>
        <v>58.15</v>
      </c>
      <c r="Y3325" s="0" t="str">
        <f aca="false">INDEX('Reward Model'!$E$18:$E$37,MATCH($E3325,'Reward Model'!$A$18:$A$37,0))</f>
        <v>Low</v>
      </c>
      <c r="Z3325" s="4" t="n">
        <f aca="false">ROUND(MIN(1,MAX('Reward Model'!$B$2,INDEX('Reward Model'!$C$12:$C$14,MATCH($K3325,'Reward Model'!$A$12:$A$14,0))/$J3325)),3)</f>
        <v>1</v>
      </c>
      <c r="AA3325" s="2" t="n">
        <f aca="false">IF($I3325="Correct",ROUND(INDEX('Reward Model'!$B$12:$B$14,MATCH($K3325,'Reward Model'!$A$12:$A$14,0))*Z3325,2),0)</f>
        <v>1</v>
      </c>
      <c r="AB3325" s="2" t="n">
        <f aca="false">IF($I3325="Correct",ROUND(INDEX('Reward Model'!$B$12:$B$14,MATCH($Y3325,'Reward Model'!$A$12:$A$14,0))*Z3325,2),0)</f>
        <v>1</v>
      </c>
    </row>
    <row r="3326" customFormat="false" ht="15" hidden="false" customHeight="false" outlineLevel="0" collapsed="false">
      <c r="A3326" s="0" t="s">
        <v>464</v>
      </c>
      <c r="B3326" s="0" t="s">
        <v>465</v>
      </c>
      <c r="C3326" s="0" t="s">
        <v>322</v>
      </c>
      <c r="D3326" s="0" t="s">
        <v>189</v>
      </c>
      <c r="E3326" s="0" t="n">
        <v>5</v>
      </c>
      <c r="F3326" s="0" t="s">
        <v>46</v>
      </c>
      <c r="G3326" s="0" t="s">
        <v>47</v>
      </c>
      <c r="H3326" s="0" t="s">
        <v>47</v>
      </c>
      <c r="I3326" s="0" t="s">
        <v>34</v>
      </c>
      <c r="J3326" s="0" t="n">
        <v>1.02</v>
      </c>
      <c r="K3326" s="0" t="s">
        <v>35</v>
      </c>
      <c r="L3326" s="0" t="n">
        <f aca="false">INDEX(Summary!$F$2:$F$201,MATCH($B3326,Summary!$A$2:$A$201,0))</f>
        <v>20</v>
      </c>
      <c r="M3326" s="0" t="n">
        <f aca="false">INDEX(Summary!$I$2:$I$201,MATCH($B3326,Summary!$A$2:$A$201,0))</f>
        <v>2</v>
      </c>
      <c r="N3326" s="0" t="n">
        <f aca="false">INDEX(Summary!$J$2:$J$201,MATCH($B3326,Summary!$A$2:$A$201,0))</f>
        <v>3</v>
      </c>
      <c r="O3326" s="2" t="n">
        <f aca="false">INDEX(Summary!$K$2:$K$201,MATCH($B3326,Summary!$A$2:$A$201,0))</f>
        <v>8.46</v>
      </c>
      <c r="P3326" s="3" t="n">
        <f aca="false">INDEX(Summary!$L$2:$L$201,MATCH($B3326,Summary!$A$2:$A$201,0))</f>
        <v>3</v>
      </c>
      <c r="Q3326" s="3" t="n">
        <f aca="false">INDEX(Summary!$M$2:$M$201,MATCH($B3326,Summary!$A$2:$A$201,0))</f>
        <v>3</v>
      </c>
      <c r="R3326" s="2" t="n">
        <f aca="false">INDEX(Summary!$N$2:$N$201,MATCH($B3326,Summary!$A$2:$A$201,0))</f>
        <v>9.95</v>
      </c>
      <c r="S3326" s="3" t="n">
        <f aca="false">INDEX(Summary!$O$2:$O$201,MATCH($B3326,Summary!$A$2:$A$201,0))</f>
        <v>8</v>
      </c>
      <c r="T3326" s="3" t="n">
        <f aca="false">INDEX(Summary!$P$2:$P$201,MATCH($B3326,Summary!$A$2:$A$201,0))</f>
        <v>1</v>
      </c>
      <c r="U3326" s="2" t="n">
        <f aca="false">INDEX(Summary!$Q$2:$Q$201,MATCH($B3326,Summary!$A$2:$A$201,0))</f>
        <v>10.23</v>
      </c>
      <c r="V3326" s="2" t="n">
        <f aca="false">INDEX(Summary!$R$2:$R$201,MATCH($B3326,Summary!$A$2:$A$201,0))</f>
        <v>23.84</v>
      </c>
      <c r="W3326" s="0" t="str">
        <f aca="false">INDEX(Summary!$S$2:$S$201,MATCH($B3326,Summary!$A$2:$A$201,0))</f>
        <v>Silver</v>
      </c>
      <c r="X3326" s="2" t="n">
        <f aca="false">INDEX(Summary!$T$2:$T$201,MATCH($B3326,Summary!$A$2:$A$201,0))</f>
        <v>58.15</v>
      </c>
      <c r="Y3326" s="0" t="str">
        <f aca="false">INDEX('Reward Model'!$E$18:$E$37,MATCH($E3326,'Reward Model'!$A$18:$A$37,0))</f>
        <v>Low</v>
      </c>
      <c r="Z3326" s="4" t="n">
        <f aca="false">ROUND(MIN(1,MAX('Reward Model'!$B$2,INDEX('Reward Model'!$C$12:$C$14,MATCH($K3326,'Reward Model'!$A$12:$A$14,0))/$J3326)),3)</f>
        <v>1</v>
      </c>
      <c r="AA3326" s="2" t="n">
        <f aca="false">IF($I3326="Correct",ROUND(INDEX('Reward Model'!$B$12:$B$14,MATCH($K3326,'Reward Model'!$A$12:$A$14,0))*Z3326,2),0)</f>
        <v>1</v>
      </c>
      <c r="AB3326" s="2" t="n">
        <f aca="false">IF($I3326="Correct",ROUND(INDEX('Reward Model'!$B$12:$B$14,MATCH($Y3326,'Reward Model'!$A$12:$A$14,0))*Z3326,2),0)</f>
        <v>1</v>
      </c>
    </row>
    <row r="3327" customFormat="false" ht="15" hidden="false" customHeight="false" outlineLevel="0" collapsed="false">
      <c r="A3327" s="0" t="s">
        <v>464</v>
      </c>
      <c r="B3327" s="0" t="s">
        <v>465</v>
      </c>
      <c r="C3327" s="0" t="s">
        <v>322</v>
      </c>
      <c r="D3327" s="0" t="s">
        <v>189</v>
      </c>
      <c r="E3327" s="0" t="n">
        <v>6</v>
      </c>
      <c r="F3327" s="0" t="s">
        <v>48</v>
      </c>
      <c r="G3327" s="0" t="s">
        <v>49</v>
      </c>
      <c r="H3327" s="0" t="s">
        <v>49</v>
      </c>
      <c r="I3327" s="0" t="s">
        <v>34</v>
      </c>
      <c r="J3327" s="0" t="n">
        <v>1.23</v>
      </c>
      <c r="K3327" s="0" t="s">
        <v>35</v>
      </c>
      <c r="L3327" s="0" t="n">
        <f aca="false">INDEX(Summary!$F$2:$F$201,MATCH($B3327,Summary!$A$2:$A$201,0))</f>
        <v>20</v>
      </c>
      <c r="M3327" s="0" t="n">
        <f aca="false">INDEX(Summary!$I$2:$I$201,MATCH($B3327,Summary!$A$2:$A$201,0))</f>
        <v>2</v>
      </c>
      <c r="N3327" s="0" t="n">
        <f aca="false">INDEX(Summary!$J$2:$J$201,MATCH($B3327,Summary!$A$2:$A$201,0))</f>
        <v>3</v>
      </c>
      <c r="O3327" s="2" t="n">
        <f aca="false">INDEX(Summary!$K$2:$K$201,MATCH($B3327,Summary!$A$2:$A$201,0))</f>
        <v>8.46</v>
      </c>
      <c r="P3327" s="3" t="n">
        <f aca="false">INDEX(Summary!$L$2:$L$201,MATCH($B3327,Summary!$A$2:$A$201,0))</f>
        <v>3</v>
      </c>
      <c r="Q3327" s="3" t="n">
        <f aca="false">INDEX(Summary!$M$2:$M$201,MATCH($B3327,Summary!$A$2:$A$201,0))</f>
        <v>3</v>
      </c>
      <c r="R3327" s="2" t="n">
        <f aca="false">INDEX(Summary!$N$2:$N$201,MATCH($B3327,Summary!$A$2:$A$201,0))</f>
        <v>9.95</v>
      </c>
      <c r="S3327" s="3" t="n">
        <f aca="false">INDEX(Summary!$O$2:$O$201,MATCH($B3327,Summary!$A$2:$A$201,0))</f>
        <v>8</v>
      </c>
      <c r="T3327" s="3" t="n">
        <f aca="false">INDEX(Summary!$P$2:$P$201,MATCH($B3327,Summary!$A$2:$A$201,0))</f>
        <v>1</v>
      </c>
      <c r="U3327" s="2" t="n">
        <f aca="false">INDEX(Summary!$Q$2:$Q$201,MATCH($B3327,Summary!$A$2:$A$201,0))</f>
        <v>10.23</v>
      </c>
      <c r="V3327" s="2" t="n">
        <f aca="false">INDEX(Summary!$R$2:$R$201,MATCH($B3327,Summary!$A$2:$A$201,0))</f>
        <v>23.84</v>
      </c>
      <c r="W3327" s="0" t="str">
        <f aca="false">INDEX(Summary!$S$2:$S$201,MATCH($B3327,Summary!$A$2:$A$201,0))</f>
        <v>Silver</v>
      </c>
      <c r="X3327" s="2" t="n">
        <f aca="false">INDEX(Summary!$T$2:$T$201,MATCH($B3327,Summary!$A$2:$A$201,0))</f>
        <v>58.15</v>
      </c>
      <c r="Y3327" s="0" t="str">
        <f aca="false">INDEX('Reward Model'!$E$18:$E$37,MATCH($E3327,'Reward Model'!$A$18:$A$37,0))</f>
        <v>Medium</v>
      </c>
      <c r="Z3327" s="4" t="n">
        <f aca="false">ROUND(MIN(1,MAX('Reward Model'!$B$2,INDEX('Reward Model'!$C$12:$C$14,MATCH($K3327,'Reward Model'!$A$12:$A$14,0))/$J3327)),3)</f>
        <v>1</v>
      </c>
      <c r="AA3327" s="2" t="n">
        <f aca="false">IF($I3327="Correct",ROUND(INDEX('Reward Model'!$B$12:$B$14,MATCH($K3327,'Reward Model'!$A$12:$A$14,0))*Z3327,2),0)</f>
        <v>1</v>
      </c>
      <c r="AB3327" s="2" t="n">
        <f aca="false">IF($I3327="Correct",ROUND(INDEX('Reward Model'!$B$12:$B$14,MATCH($Y3327,'Reward Model'!$A$12:$A$14,0))*Z3327,2),0)</f>
        <v>2</v>
      </c>
    </row>
    <row r="3328" customFormat="false" ht="15" hidden="false" customHeight="false" outlineLevel="0" collapsed="false">
      <c r="A3328" s="0" t="s">
        <v>464</v>
      </c>
      <c r="B3328" s="0" t="s">
        <v>465</v>
      </c>
      <c r="C3328" s="0" t="s">
        <v>322</v>
      </c>
      <c r="D3328" s="0" t="s">
        <v>189</v>
      </c>
      <c r="E3328" s="0" t="n">
        <v>7</v>
      </c>
      <c r="F3328" s="0" t="s">
        <v>50</v>
      </c>
      <c r="G3328" s="0" t="s">
        <v>51</v>
      </c>
      <c r="H3328" s="0" t="s">
        <v>51</v>
      </c>
      <c r="I3328" s="0" t="s">
        <v>34</v>
      </c>
      <c r="J3328" s="0" t="n">
        <v>1.02</v>
      </c>
      <c r="K3328" s="0" t="s">
        <v>35</v>
      </c>
      <c r="L3328" s="0" t="n">
        <f aca="false">INDEX(Summary!$F$2:$F$201,MATCH($B3328,Summary!$A$2:$A$201,0))</f>
        <v>20</v>
      </c>
      <c r="M3328" s="0" t="n">
        <f aca="false">INDEX(Summary!$I$2:$I$201,MATCH($B3328,Summary!$A$2:$A$201,0))</f>
        <v>2</v>
      </c>
      <c r="N3328" s="0" t="n">
        <f aca="false">INDEX(Summary!$J$2:$J$201,MATCH($B3328,Summary!$A$2:$A$201,0))</f>
        <v>3</v>
      </c>
      <c r="O3328" s="2" t="n">
        <f aca="false">INDEX(Summary!$K$2:$K$201,MATCH($B3328,Summary!$A$2:$A$201,0))</f>
        <v>8.46</v>
      </c>
      <c r="P3328" s="3" t="n">
        <f aca="false">INDEX(Summary!$L$2:$L$201,MATCH($B3328,Summary!$A$2:$A$201,0))</f>
        <v>3</v>
      </c>
      <c r="Q3328" s="3" t="n">
        <f aca="false">INDEX(Summary!$M$2:$M$201,MATCH($B3328,Summary!$A$2:$A$201,0))</f>
        <v>3</v>
      </c>
      <c r="R3328" s="2" t="n">
        <f aca="false">INDEX(Summary!$N$2:$N$201,MATCH($B3328,Summary!$A$2:$A$201,0))</f>
        <v>9.95</v>
      </c>
      <c r="S3328" s="3" t="n">
        <f aca="false">INDEX(Summary!$O$2:$O$201,MATCH($B3328,Summary!$A$2:$A$201,0))</f>
        <v>8</v>
      </c>
      <c r="T3328" s="3" t="n">
        <f aca="false">INDEX(Summary!$P$2:$P$201,MATCH($B3328,Summary!$A$2:$A$201,0))</f>
        <v>1</v>
      </c>
      <c r="U3328" s="2" t="n">
        <f aca="false">INDEX(Summary!$Q$2:$Q$201,MATCH($B3328,Summary!$A$2:$A$201,0))</f>
        <v>10.23</v>
      </c>
      <c r="V3328" s="2" t="n">
        <f aca="false">INDEX(Summary!$R$2:$R$201,MATCH($B3328,Summary!$A$2:$A$201,0))</f>
        <v>23.84</v>
      </c>
      <c r="W3328" s="0" t="str">
        <f aca="false">INDEX(Summary!$S$2:$S$201,MATCH($B3328,Summary!$A$2:$A$201,0))</f>
        <v>Silver</v>
      </c>
      <c r="X3328" s="2" t="n">
        <f aca="false">INDEX(Summary!$T$2:$T$201,MATCH($B3328,Summary!$A$2:$A$201,0))</f>
        <v>58.15</v>
      </c>
      <c r="Y3328" s="0" t="str">
        <f aca="false">INDEX('Reward Model'!$E$18:$E$37,MATCH($E3328,'Reward Model'!$A$18:$A$37,0))</f>
        <v>Low</v>
      </c>
      <c r="Z3328" s="4" t="n">
        <f aca="false">ROUND(MIN(1,MAX('Reward Model'!$B$2,INDEX('Reward Model'!$C$12:$C$14,MATCH($K3328,'Reward Model'!$A$12:$A$14,0))/$J3328)),3)</f>
        <v>1</v>
      </c>
      <c r="AA3328" s="2" t="n">
        <f aca="false">IF($I3328="Correct",ROUND(INDEX('Reward Model'!$B$12:$B$14,MATCH($K3328,'Reward Model'!$A$12:$A$14,0))*Z3328,2),0)</f>
        <v>1</v>
      </c>
      <c r="AB3328" s="2" t="n">
        <f aca="false">IF($I3328="Correct",ROUND(INDEX('Reward Model'!$B$12:$B$14,MATCH($Y3328,'Reward Model'!$A$12:$A$14,0))*Z3328,2),0)</f>
        <v>1</v>
      </c>
    </row>
    <row r="3329" customFormat="false" ht="15" hidden="false" customHeight="false" outlineLevel="0" collapsed="false">
      <c r="A3329" s="0" t="s">
        <v>464</v>
      </c>
      <c r="B3329" s="0" t="s">
        <v>465</v>
      </c>
      <c r="C3329" s="0" t="s">
        <v>322</v>
      </c>
      <c r="D3329" s="0" t="s">
        <v>189</v>
      </c>
      <c r="E3329" s="0" t="n">
        <v>8</v>
      </c>
      <c r="F3329" s="0" t="s">
        <v>52</v>
      </c>
      <c r="G3329" s="0" t="s">
        <v>54</v>
      </c>
      <c r="H3329" s="0" t="s">
        <v>54</v>
      </c>
      <c r="I3329" s="0" t="s">
        <v>34</v>
      </c>
      <c r="J3329" s="0" t="n">
        <v>0.9</v>
      </c>
      <c r="K3329" s="0" t="s">
        <v>35</v>
      </c>
      <c r="L3329" s="0" t="n">
        <f aca="false">INDEX(Summary!$F$2:$F$201,MATCH($B3329,Summary!$A$2:$A$201,0))</f>
        <v>20</v>
      </c>
      <c r="M3329" s="0" t="n">
        <f aca="false">INDEX(Summary!$I$2:$I$201,MATCH($B3329,Summary!$A$2:$A$201,0))</f>
        <v>2</v>
      </c>
      <c r="N3329" s="0" t="n">
        <f aca="false">INDEX(Summary!$J$2:$J$201,MATCH($B3329,Summary!$A$2:$A$201,0))</f>
        <v>3</v>
      </c>
      <c r="O3329" s="2" t="n">
        <f aca="false">INDEX(Summary!$K$2:$K$201,MATCH($B3329,Summary!$A$2:$A$201,0))</f>
        <v>8.46</v>
      </c>
      <c r="P3329" s="3" t="n">
        <f aca="false">INDEX(Summary!$L$2:$L$201,MATCH($B3329,Summary!$A$2:$A$201,0))</f>
        <v>3</v>
      </c>
      <c r="Q3329" s="3" t="n">
        <f aca="false">INDEX(Summary!$M$2:$M$201,MATCH($B3329,Summary!$A$2:$A$201,0))</f>
        <v>3</v>
      </c>
      <c r="R3329" s="2" t="n">
        <f aca="false">INDEX(Summary!$N$2:$N$201,MATCH($B3329,Summary!$A$2:$A$201,0))</f>
        <v>9.95</v>
      </c>
      <c r="S3329" s="3" t="n">
        <f aca="false">INDEX(Summary!$O$2:$O$201,MATCH($B3329,Summary!$A$2:$A$201,0))</f>
        <v>8</v>
      </c>
      <c r="T3329" s="3" t="n">
        <f aca="false">INDEX(Summary!$P$2:$P$201,MATCH($B3329,Summary!$A$2:$A$201,0))</f>
        <v>1</v>
      </c>
      <c r="U3329" s="2" t="n">
        <f aca="false">INDEX(Summary!$Q$2:$Q$201,MATCH($B3329,Summary!$A$2:$A$201,0))</f>
        <v>10.23</v>
      </c>
      <c r="V3329" s="2" t="n">
        <f aca="false">INDEX(Summary!$R$2:$R$201,MATCH($B3329,Summary!$A$2:$A$201,0))</f>
        <v>23.84</v>
      </c>
      <c r="W3329" s="0" t="str">
        <f aca="false">INDEX(Summary!$S$2:$S$201,MATCH($B3329,Summary!$A$2:$A$201,0))</f>
        <v>Silver</v>
      </c>
      <c r="X3329" s="2" t="n">
        <f aca="false">INDEX(Summary!$T$2:$T$201,MATCH($B3329,Summary!$A$2:$A$201,0))</f>
        <v>58.15</v>
      </c>
      <c r="Y3329" s="0" t="str">
        <f aca="false">INDEX('Reward Model'!$E$18:$E$37,MATCH($E3329,'Reward Model'!$A$18:$A$37,0))</f>
        <v>Medium</v>
      </c>
      <c r="Z3329" s="4" t="n">
        <f aca="false">ROUND(MIN(1,MAX('Reward Model'!$B$2,INDEX('Reward Model'!$C$12:$C$14,MATCH($K3329,'Reward Model'!$A$12:$A$14,0))/$J3329)),3)</f>
        <v>1</v>
      </c>
      <c r="AA3329" s="2" t="n">
        <f aca="false">IF($I3329="Correct",ROUND(INDEX('Reward Model'!$B$12:$B$14,MATCH($K3329,'Reward Model'!$A$12:$A$14,0))*Z3329,2),0)</f>
        <v>1</v>
      </c>
      <c r="AB3329" s="2" t="n">
        <f aca="false">IF($I3329="Correct",ROUND(INDEX('Reward Model'!$B$12:$B$14,MATCH($Y3329,'Reward Model'!$A$12:$A$14,0))*Z3329,2),0)</f>
        <v>2</v>
      </c>
    </row>
    <row r="3330" customFormat="false" ht="15" hidden="false" customHeight="false" outlineLevel="0" collapsed="false">
      <c r="A3330" s="0" t="s">
        <v>464</v>
      </c>
      <c r="B3330" s="0" t="s">
        <v>465</v>
      </c>
      <c r="C3330" s="0" t="s">
        <v>322</v>
      </c>
      <c r="D3330" s="0" t="s">
        <v>189</v>
      </c>
      <c r="E3330" s="0" t="n">
        <v>9</v>
      </c>
      <c r="F3330" s="0" t="s">
        <v>55</v>
      </c>
      <c r="G3330" s="0" t="s">
        <v>57</v>
      </c>
      <c r="H3330" s="0" t="s">
        <v>57</v>
      </c>
      <c r="I3330" s="0" t="s">
        <v>34</v>
      </c>
      <c r="J3330" s="0" t="n">
        <v>1.03</v>
      </c>
      <c r="K3330" s="0" t="s">
        <v>35</v>
      </c>
      <c r="L3330" s="0" t="n">
        <f aca="false">INDEX(Summary!$F$2:$F$201,MATCH($B3330,Summary!$A$2:$A$201,0))</f>
        <v>20</v>
      </c>
      <c r="M3330" s="0" t="n">
        <f aca="false">INDEX(Summary!$I$2:$I$201,MATCH($B3330,Summary!$A$2:$A$201,0))</f>
        <v>2</v>
      </c>
      <c r="N3330" s="0" t="n">
        <f aca="false">INDEX(Summary!$J$2:$J$201,MATCH($B3330,Summary!$A$2:$A$201,0))</f>
        <v>3</v>
      </c>
      <c r="O3330" s="2" t="n">
        <f aca="false">INDEX(Summary!$K$2:$K$201,MATCH($B3330,Summary!$A$2:$A$201,0))</f>
        <v>8.46</v>
      </c>
      <c r="P3330" s="3" t="n">
        <f aca="false">INDEX(Summary!$L$2:$L$201,MATCH($B3330,Summary!$A$2:$A$201,0))</f>
        <v>3</v>
      </c>
      <c r="Q3330" s="3" t="n">
        <f aca="false">INDEX(Summary!$M$2:$M$201,MATCH($B3330,Summary!$A$2:$A$201,0))</f>
        <v>3</v>
      </c>
      <c r="R3330" s="2" t="n">
        <f aca="false">INDEX(Summary!$N$2:$N$201,MATCH($B3330,Summary!$A$2:$A$201,0))</f>
        <v>9.95</v>
      </c>
      <c r="S3330" s="3" t="n">
        <f aca="false">INDEX(Summary!$O$2:$O$201,MATCH($B3330,Summary!$A$2:$A$201,0))</f>
        <v>8</v>
      </c>
      <c r="T3330" s="3" t="n">
        <f aca="false">INDEX(Summary!$P$2:$P$201,MATCH($B3330,Summary!$A$2:$A$201,0))</f>
        <v>1</v>
      </c>
      <c r="U3330" s="2" t="n">
        <f aca="false">INDEX(Summary!$Q$2:$Q$201,MATCH($B3330,Summary!$A$2:$A$201,0))</f>
        <v>10.23</v>
      </c>
      <c r="V3330" s="2" t="n">
        <f aca="false">INDEX(Summary!$R$2:$R$201,MATCH($B3330,Summary!$A$2:$A$201,0))</f>
        <v>23.84</v>
      </c>
      <c r="W3330" s="0" t="str">
        <f aca="false">INDEX(Summary!$S$2:$S$201,MATCH($B3330,Summary!$A$2:$A$201,0))</f>
        <v>Silver</v>
      </c>
      <c r="X3330" s="2" t="n">
        <f aca="false">INDEX(Summary!$T$2:$T$201,MATCH($B3330,Summary!$A$2:$A$201,0))</f>
        <v>58.15</v>
      </c>
      <c r="Y3330" s="0" t="str">
        <f aca="false">INDEX('Reward Model'!$E$18:$E$37,MATCH($E3330,'Reward Model'!$A$18:$A$37,0))</f>
        <v>Medium</v>
      </c>
      <c r="Z3330" s="4" t="n">
        <f aca="false">ROUND(MIN(1,MAX('Reward Model'!$B$2,INDEX('Reward Model'!$C$12:$C$14,MATCH($K3330,'Reward Model'!$A$12:$A$14,0))/$J3330)),3)</f>
        <v>1</v>
      </c>
      <c r="AA3330" s="2" t="n">
        <f aca="false">IF($I3330="Correct",ROUND(INDEX('Reward Model'!$B$12:$B$14,MATCH($K3330,'Reward Model'!$A$12:$A$14,0))*Z3330,2),0)</f>
        <v>1</v>
      </c>
      <c r="AB3330" s="2" t="n">
        <f aca="false">IF($I3330="Correct",ROUND(INDEX('Reward Model'!$B$12:$B$14,MATCH($Y3330,'Reward Model'!$A$12:$A$14,0))*Z3330,2),0)</f>
        <v>2</v>
      </c>
    </row>
    <row r="3331" customFormat="false" ht="15" hidden="false" customHeight="false" outlineLevel="0" collapsed="false">
      <c r="A3331" s="0" t="s">
        <v>464</v>
      </c>
      <c r="B3331" s="0" t="s">
        <v>465</v>
      </c>
      <c r="C3331" s="0" t="s">
        <v>322</v>
      </c>
      <c r="D3331" s="0" t="s">
        <v>189</v>
      </c>
      <c r="E3331" s="0" t="n">
        <v>10</v>
      </c>
      <c r="F3331" s="0" t="s">
        <v>58</v>
      </c>
      <c r="G3331" s="0" t="s">
        <v>138</v>
      </c>
      <c r="H3331" s="0" t="s">
        <v>59</v>
      </c>
      <c r="I3331" s="0" t="s">
        <v>39</v>
      </c>
      <c r="J3331" s="0" t="n">
        <v>1.66</v>
      </c>
      <c r="K3331" s="0" t="s">
        <v>60</v>
      </c>
      <c r="L3331" s="0" t="n">
        <f aca="false">INDEX(Summary!$F$2:$F$201,MATCH($B3331,Summary!$A$2:$A$201,0))</f>
        <v>20</v>
      </c>
      <c r="M3331" s="0" t="n">
        <f aca="false">INDEX(Summary!$I$2:$I$201,MATCH($B3331,Summary!$A$2:$A$201,0))</f>
        <v>2</v>
      </c>
      <c r="N3331" s="0" t="n">
        <f aca="false">INDEX(Summary!$J$2:$J$201,MATCH($B3331,Summary!$A$2:$A$201,0))</f>
        <v>3</v>
      </c>
      <c r="O3331" s="2" t="n">
        <f aca="false">INDEX(Summary!$K$2:$K$201,MATCH($B3331,Summary!$A$2:$A$201,0))</f>
        <v>8.46</v>
      </c>
      <c r="P3331" s="3" t="n">
        <f aca="false">INDEX(Summary!$L$2:$L$201,MATCH($B3331,Summary!$A$2:$A$201,0))</f>
        <v>3</v>
      </c>
      <c r="Q3331" s="3" t="n">
        <f aca="false">INDEX(Summary!$M$2:$M$201,MATCH($B3331,Summary!$A$2:$A$201,0))</f>
        <v>3</v>
      </c>
      <c r="R3331" s="2" t="n">
        <f aca="false">INDEX(Summary!$N$2:$N$201,MATCH($B3331,Summary!$A$2:$A$201,0))</f>
        <v>9.95</v>
      </c>
      <c r="S3331" s="3" t="n">
        <f aca="false">INDEX(Summary!$O$2:$O$201,MATCH($B3331,Summary!$A$2:$A$201,0))</f>
        <v>8</v>
      </c>
      <c r="T3331" s="3" t="n">
        <f aca="false">INDEX(Summary!$P$2:$P$201,MATCH($B3331,Summary!$A$2:$A$201,0))</f>
        <v>1</v>
      </c>
      <c r="U3331" s="2" t="n">
        <f aca="false">INDEX(Summary!$Q$2:$Q$201,MATCH($B3331,Summary!$A$2:$A$201,0))</f>
        <v>10.23</v>
      </c>
      <c r="V3331" s="2" t="n">
        <f aca="false">INDEX(Summary!$R$2:$R$201,MATCH($B3331,Summary!$A$2:$A$201,0))</f>
        <v>23.84</v>
      </c>
      <c r="W3331" s="0" t="str">
        <f aca="false">INDEX(Summary!$S$2:$S$201,MATCH($B3331,Summary!$A$2:$A$201,0))</f>
        <v>Silver</v>
      </c>
      <c r="X3331" s="2" t="n">
        <f aca="false">INDEX(Summary!$T$2:$T$201,MATCH($B3331,Summary!$A$2:$A$201,0))</f>
        <v>58.15</v>
      </c>
      <c r="Y3331" s="0" t="str">
        <f aca="false">INDEX('Reward Model'!$E$18:$E$37,MATCH($E3331,'Reward Model'!$A$18:$A$37,0))</f>
        <v>Medium</v>
      </c>
      <c r="Z3331" s="4" t="n">
        <f aca="false">ROUND(MIN(1,MAX('Reward Model'!$B$2,INDEX('Reward Model'!$C$12:$C$14,MATCH($K3331,'Reward Model'!$A$12:$A$14,0))/$J3331)),3)</f>
        <v>1</v>
      </c>
      <c r="AA3331" s="2" t="n">
        <f aca="false">IF($I3331="Correct",ROUND(INDEX('Reward Model'!$B$12:$B$14,MATCH($K3331,'Reward Model'!$A$12:$A$14,0))*Z3331,2),0)</f>
        <v>0</v>
      </c>
      <c r="AB3331" s="2" t="n">
        <f aca="false">IF($I3331="Correct",ROUND(INDEX('Reward Model'!$B$12:$B$14,MATCH($Y3331,'Reward Model'!$A$12:$A$14,0))*Z3331,2),0)</f>
        <v>0</v>
      </c>
    </row>
    <row r="3332" customFormat="false" ht="15" hidden="false" customHeight="false" outlineLevel="0" collapsed="false">
      <c r="A3332" s="0" t="s">
        <v>464</v>
      </c>
      <c r="B3332" s="0" t="s">
        <v>465</v>
      </c>
      <c r="C3332" s="0" t="s">
        <v>322</v>
      </c>
      <c r="D3332" s="0" t="s">
        <v>189</v>
      </c>
      <c r="E3332" s="0" t="n">
        <v>11</v>
      </c>
      <c r="F3332" s="0" t="s">
        <v>61</v>
      </c>
      <c r="G3332" s="0" t="s">
        <v>63</v>
      </c>
      <c r="H3332" s="0" t="s">
        <v>63</v>
      </c>
      <c r="I3332" s="0" t="s">
        <v>34</v>
      </c>
      <c r="J3332" s="0" t="n">
        <v>1.46</v>
      </c>
      <c r="K3332" s="0" t="s">
        <v>60</v>
      </c>
      <c r="L3332" s="0" t="n">
        <f aca="false">INDEX(Summary!$F$2:$F$201,MATCH($B3332,Summary!$A$2:$A$201,0))</f>
        <v>20</v>
      </c>
      <c r="M3332" s="0" t="n">
        <f aca="false">INDEX(Summary!$I$2:$I$201,MATCH($B3332,Summary!$A$2:$A$201,0))</f>
        <v>2</v>
      </c>
      <c r="N3332" s="0" t="n">
        <f aca="false">INDEX(Summary!$J$2:$J$201,MATCH($B3332,Summary!$A$2:$A$201,0))</f>
        <v>3</v>
      </c>
      <c r="O3332" s="2" t="n">
        <f aca="false">INDEX(Summary!$K$2:$K$201,MATCH($B3332,Summary!$A$2:$A$201,0))</f>
        <v>8.46</v>
      </c>
      <c r="P3332" s="3" t="n">
        <f aca="false">INDEX(Summary!$L$2:$L$201,MATCH($B3332,Summary!$A$2:$A$201,0))</f>
        <v>3</v>
      </c>
      <c r="Q3332" s="3" t="n">
        <f aca="false">INDEX(Summary!$M$2:$M$201,MATCH($B3332,Summary!$A$2:$A$201,0))</f>
        <v>3</v>
      </c>
      <c r="R3332" s="2" t="n">
        <f aca="false">INDEX(Summary!$N$2:$N$201,MATCH($B3332,Summary!$A$2:$A$201,0))</f>
        <v>9.95</v>
      </c>
      <c r="S3332" s="3" t="n">
        <f aca="false">INDEX(Summary!$O$2:$O$201,MATCH($B3332,Summary!$A$2:$A$201,0))</f>
        <v>8</v>
      </c>
      <c r="T3332" s="3" t="n">
        <f aca="false">INDEX(Summary!$P$2:$P$201,MATCH($B3332,Summary!$A$2:$A$201,0))</f>
        <v>1</v>
      </c>
      <c r="U3332" s="2" t="n">
        <f aca="false">INDEX(Summary!$Q$2:$Q$201,MATCH($B3332,Summary!$A$2:$A$201,0))</f>
        <v>10.23</v>
      </c>
      <c r="V3332" s="2" t="n">
        <f aca="false">INDEX(Summary!$R$2:$R$201,MATCH($B3332,Summary!$A$2:$A$201,0))</f>
        <v>23.84</v>
      </c>
      <c r="W3332" s="0" t="str">
        <f aca="false">INDEX(Summary!$S$2:$S$201,MATCH($B3332,Summary!$A$2:$A$201,0))</f>
        <v>Silver</v>
      </c>
      <c r="X3332" s="2" t="n">
        <f aca="false">INDEX(Summary!$T$2:$T$201,MATCH($B3332,Summary!$A$2:$A$201,0))</f>
        <v>58.15</v>
      </c>
      <c r="Y3332" s="0" t="str">
        <f aca="false">INDEX('Reward Model'!$E$18:$E$37,MATCH($E3332,'Reward Model'!$A$18:$A$37,0))</f>
        <v>Medium</v>
      </c>
      <c r="Z3332" s="4" t="n">
        <f aca="false">ROUND(MIN(1,MAX('Reward Model'!$B$2,INDEX('Reward Model'!$C$12:$C$14,MATCH($K3332,'Reward Model'!$A$12:$A$14,0))/$J3332)),3)</f>
        <v>1</v>
      </c>
      <c r="AA3332" s="2" t="n">
        <f aca="false">IF($I3332="Correct",ROUND(INDEX('Reward Model'!$B$12:$B$14,MATCH($K3332,'Reward Model'!$A$12:$A$14,0))*Z3332,2),0)</f>
        <v>2</v>
      </c>
      <c r="AB3332" s="2" t="n">
        <f aca="false">IF($I3332="Correct",ROUND(INDEX('Reward Model'!$B$12:$B$14,MATCH($Y3332,'Reward Model'!$A$12:$A$14,0))*Z3332,2),0)</f>
        <v>2</v>
      </c>
    </row>
    <row r="3333" customFormat="false" ht="15" hidden="false" customHeight="false" outlineLevel="0" collapsed="false">
      <c r="A3333" s="0" t="s">
        <v>464</v>
      </c>
      <c r="B3333" s="0" t="s">
        <v>465</v>
      </c>
      <c r="C3333" s="0" t="s">
        <v>322</v>
      </c>
      <c r="D3333" s="0" t="s">
        <v>189</v>
      </c>
      <c r="E3333" s="0" t="n">
        <v>12</v>
      </c>
      <c r="F3333" s="0" t="s">
        <v>64</v>
      </c>
      <c r="G3333" s="0" t="s">
        <v>127</v>
      </c>
      <c r="H3333" s="0" t="s">
        <v>65</v>
      </c>
      <c r="I3333" s="0" t="s">
        <v>39</v>
      </c>
      <c r="J3333" s="0" t="n">
        <v>2.28</v>
      </c>
      <c r="K3333" s="0" t="s">
        <v>60</v>
      </c>
      <c r="L3333" s="0" t="n">
        <f aca="false">INDEX(Summary!$F$2:$F$201,MATCH($B3333,Summary!$A$2:$A$201,0))</f>
        <v>20</v>
      </c>
      <c r="M3333" s="0" t="n">
        <f aca="false">INDEX(Summary!$I$2:$I$201,MATCH($B3333,Summary!$A$2:$A$201,0))</f>
        <v>2</v>
      </c>
      <c r="N3333" s="0" t="n">
        <f aca="false">INDEX(Summary!$J$2:$J$201,MATCH($B3333,Summary!$A$2:$A$201,0))</f>
        <v>3</v>
      </c>
      <c r="O3333" s="2" t="n">
        <f aca="false">INDEX(Summary!$K$2:$K$201,MATCH($B3333,Summary!$A$2:$A$201,0))</f>
        <v>8.46</v>
      </c>
      <c r="P3333" s="3" t="n">
        <f aca="false">INDEX(Summary!$L$2:$L$201,MATCH($B3333,Summary!$A$2:$A$201,0))</f>
        <v>3</v>
      </c>
      <c r="Q3333" s="3" t="n">
        <f aca="false">INDEX(Summary!$M$2:$M$201,MATCH($B3333,Summary!$A$2:$A$201,0))</f>
        <v>3</v>
      </c>
      <c r="R3333" s="2" t="n">
        <f aca="false">INDEX(Summary!$N$2:$N$201,MATCH($B3333,Summary!$A$2:$A$201,0))</f>
        <v>9.95</v>
      </c>
      <c r="S3333" s="3" t="n">
        <f aca="false">INDEX(Summary!$O$2:$O$201,MATCH($B3333,Summary!$A$2:$A$201,0))</f>
        <v>8</v>
      </c>
      <c r="T3333" s="3" t="n">
        <f aca="false">INDEX(Summary!$P$2:$P$201,MATCH($B3333,Summary!$A$2:$A$201,0))</f>
        <v>1</v>
      </c>
      <c r="U3333" s="2" t="n">
        <f aca="false">INDEX(Summary!$Q$2:$Q$201,MATCH($B3333,Summary!$A$2:$A$201,0))</f>
        <v>10.23</v>
      </c>
      <c r="V3333" s="2" t="n">
        <f aca="false">INDEX(Summary!$R$2:$R$201,MATCH($B3333,Summary!$A$2:$A$201,0))</f>
        <v>23.84</v>
      </c>
      <c r="W3333" s="0" t="str">
        <f aca="false">INDEX(Summary!$S$2:$S$201,MATCH($B3333,Summary!$A$2:$A$201,0))</f>
        <v>Silver</v>
      </c>
      <c r="X3333" s="2" t="n">
        <f aca="false">INDEX(Summary!$T$2:$T$201,MATCH($B3333,Summary!$A$2:$A$201,0))</f>
        <v>58.15</v>
      </c>
      <c r="Y3333" s="0" t="str">
        <f aca="false">INDEX('Reward Model'!$E$18:$E$37,MATCH($E3333,'Reward Model'!$A$18:$A$37,0))</f>
        <v>Medium</v>
      </c>
      <c r="Z3333" s="4" t="n">
        <f aca="false">ROUND(MIN(1,MAX('Reward Model'!$B$2,INDEX('Reward Model'!$C$12:$C$14,MATCH($K3333,'Reward Model'!$A$12:$A$14,0))/$J3333)),3)</f>
        <v>0.789</v>
      </c>
      <c r="AA3333" s="2" t="n">
        <f aca="false">IF($I3333="Correct",ROUND(INDEX('Reward Model'!$B$12:$B$14,MATCH($K3333,'Reward Model'!$A$12:$A$14,0))*Z3333,2),0)</f>
        <v>0</v>
      </c>
      <c r="AB3333" s="2" t="n">
        <f aca="false">IF($I3333="Correct",ROUND(INDEX('Reward Model'!$B$12:$B$14,MATCH($Y3333,'Reward Model'!$A$12:$A$14,0))*Z3333,2),0)</f>
        <v>0</v>
      </c>
    </row>
    <row r="3334" customFormat="false" ht="15" hidden="false" customHeight="false" outlineLevel="0" collapsed="false">
      <c r="A3334" s="0" t="s">
        <v>464</v>
      </c>
      <c r="B3334" s="0" t="s">
        <v>465</v>
      </c>
      <c r="C3334" s="0" t="s">
        <v>322</v>
      </c>
      <c r="D3334" s="0" t="s">
        <v>189</v>
      </c>
      <c r="E3334" s="0" t="n">
        <v>13</v>
      </c>
      <c r="F3334" s="0" t="s">
        <v>66</v>
      </c>
      <c r="G3334" s="0" t="s">
        <v>67</v>
      </c>
      <c r="H3334" s="0" t="s">
        <v>67</v>
      </c>
      <c r="I3334" s="0" t="s">
        <v>34</v>
      </c>
      <c r="J3334" s="0" t="n">
        <v>1.84</v>
      </c>
      <c r="K3334" s="0" t="s">
        <v>60</v>
      </c>
      <c r="L3334" s="0" t="n">
        <f aca="false">INDEX(Summary!$F$2:$F$201,MATCH($B3334,Summary!$A$2:$A$201,0))</f>
        <v>20</v>
      </c>
      <c r="M3334" s="0" t="n">
        <f aca="false">INDEX(Summary!$I$2:$I$201,MATCH($B3334,Summary!$A$2:$A$201,0))</f>
        <v>2</v>
      </c>
      <c r="N3334" s="0" t="n">
        <f aca="false">INDEX(Summary!$J$2:$J$201,MATCH($B3334,Summary!$A$2:$A$201,0))</f>
        <v>3</v>
      </c>
      <c r="O3334" s="2" t="n">
        <f aca="false">INDEX(Summary!$K$2:$K$201,MATCH($B3334,Summary!$A$2:$A$201,0))</f>
        <v>8.46</v>
      </c>
      <c r="P3334" s="3" t="n">
        <f aca="false">INDEX(Summary!$L$2:$L$201,MATCH($B3334,Summary!$A$2:$A$201,0))</f>
        <v>3</v>
      </c>
      <c r="Q3334" s="3" t="n">
        <f aca="false">INDEX(Summary!$M$2:$M$201,MATCH($B3334,Summary!$A$2:$A$201,0))</f>
        <v>3</v>
      </c>
      <c r="R3334" s="2" t="n">
        <f aca="false">INDEX(Summary!$N$2:$N$201,MATCH($B3334,Summary!$A$2:$A$201,0))</f>
        <v>9.95</v>
      </c>
      <c r="S3334" s="3" t="n">
        <f aca="false">INDEX(Summary!$O$2:$O$201,MATCH($B3334,Summary!$A$2:$A$201,0))</f>
        <v>8</v>
      </c>
      <c r="T3334" s="3" t="n">
        <f aca="false">INDEX(Summary!$P$2:$P$201,MATCH($B3334,Summary!$A$2:$A$201,0))</f>
        <v>1</v>
      </c>
      <c r="U3334" s="2" t="n">
        <f aca="false">INDEX(Summary!$Q$2:$Q$201,MATCH($B3334,Summary!$A$2:$A$201,0))</f>
        <v>10.23</v>
      </c>
      <c r="V3334" s="2" t="n">
        <f aca="false">INDEX(Summary!$R$2:$R$201,MATCH($B3334,Summary!$A$2:$A$201,0))</f>
        <v>23.84</v>
      </c>
      <c r="W3334" s="0" t="str">
        <f aca="false">INDEX(Summary!$S$2:$S$201,MATCH($B3334,Summary!$A$2:$A$201,0))</f>
        <v>Silver</v>
      </c>
      <c r="X3334" s="2" t="n">
        <f aca="false">INDEX(Summary!$T$2:$T$201,MATCH($B3334,Summary!$A$2:$A$201,0))</f>
        <v>58.15</v>
      </c>
      <c r="Y3334" s="0" t="str">
        <f aca="false">INDEX('Reward Model'!$E$18:$E$37,MATCH($E3334,'Reward Model'!$A$18:$A$37,0))</f>
        <v>Medium</v>
      </c>
      <c r="Z3334" s="4" t="n">
        <f aca="false">ROUND(MIN(1,MAX('Reward Model'!$B$2,INDEX('Reward Model'!$C$12:$C$14,MATCH($K3334,'Reward Model'!$A$12:$A$14,0))/$J3334)),3)</f>
        <v>0.978</v>
      </c>
      <c r="AA3334" s="2" t="n">
        <f aca="false">IF($I3334="Correct",ROUND(INDEX('Reward Model'!$B$12:$B$14,MATCH($K3334,'Reward Model'!$A$12:$A$14,0))*Z3334,2),0)</f>
        <v>1.96</v>
      </c>
      <c r="AB3334" s="2" t="n">
        <f aca="false">IF($I3334="Correct",ROUND(INDEX('Reward Model'!$B$12:$B$14,MATCH($Y3334,'Reward Model'!$A$12:$A$14,0))*Z3334,2),0)</f>
        <v>1.96</v>
      </c>
    </row>
    <row r="3335" customFormat="false" ht="15" hidden="false" customHeight="false" outlineLevel="0" collapsed="false">
      <c r="A3335" s="0" t="s">
        <v>464</v>
      </c>
      <c r="B3335" s="0" t="s">
        <v>465</v>
      </c>
      <c r="C3335" s="0" t="s">
        <v>322</v>
      </c>
      <c r="D3335" s="0" t="s">
        <v>189</v>
      </c>
      <c r="E3335" s="0" t="n">
        <v>14</v>
      </c>
      <c r="F3335" s="0" t="s">
        <v>68</v>
      </c>
      <c r="G3335" s="0" t="s">
        <v>86</v>
      </c>
      <c r="H3335" s="0" t="s">
        <v>51</v>
      </c>
      <c r="I3335" s="0" t="s">
        <v>39</v>
      </c>
      <c r="J3335" s="0" t="n">
        <v>1.11</v>
      </c>
      <c r="K3335" s="0" t="s">
        <v>60</v>
      </c>
      <c r="L3335" s="0" t="n">
        <f aca="false">INDEX(Summary!$F$2:$F$201,MATCH($B3335,Summary!$A$2:$A$201,0))</f>
        <v>20</v>
      </c>
      <c r="M3335" s="0" t="n">
        <f aca="false">INDEX(Summary!$I$2:$I$201,MATCH($B3335,Summary!$A$2:$A$201,0))</f>
        <v>2</v>
      </c>
      <c r="N3335" s="0" t="n">
        <f aca="false">INDEX(Summary!$J$2:$J$201,MATCH($B3335,Summary!$A$2:$A$201,0))</f>
        <v>3</v>
      </c>
      <c r="O3335" s="2" t="n">
        <f aca="false">INDEX(Summary!$K$2:$K$201,MATCH($B3335,Summary!$A$2:$A$201,0))</f>
        <v>8.46</v>
      </c>
      <c r="P3335" s="3" t="n">
        <f aca="false">INDEX(Summary!$L$2:$L$201,MATCH($B3335,Summary!$A$2:$A$201,0))</f>
        <v>3</v>
      </c>
      <c r="Q3335" s="3" t="n">
        <f aca="false">INDEX(Summary!$M$2:$M$201,MATCH($B3335,Summary!$A$2:$A$201,0))</f>
        <v>3</v>
      </c>
      <c r="R3335" s="2" t="n">
        <f aca="false">INDEX(Summary!$N$2:$N$201,MATCH($B3335,Summary!$A$2:$A$201,0))</f>
        <v>9.95</v>
      </c>
      <c r="S3335" s="3" t="n">
        <f aca="false">INDEX(Summary!$O$2:$O$201,MATCH($B3335,Summary!$A$2:$A$201,0))</f>
        <v>8</v>
      </c>
      <c r="T3335" s="3" t="n">
        <f aca="false">INDEX(Summary!$P$2:$P$201,MATCH($B3335,Summary!$A$2:$A$201,0))</f>
        <v>1</v>
      </c>
      <c r="U3335" s="2" t="n">
        <f aca="false">INDEX(Summary!$Q$2:$Q$201,MATCH($B3335,Summary!$A$2:$A$201,0))</f>
        <v>10.23</v>
      </c>
      <c r="V3335" s="2" t="n">
        <f aca="false">INDEX(Summary!$R$2:$R$201,MATCH($B3335,Summary!$A$2:$A$201,0))</f>
        <v>23.84</v>
      </c>
      <c r="W3335" s="0" t="str">
        <f aca="false">INDEX(Summary!$S$2:$S$201,MATCH($B3335,Summary!$A$2:$A$201,0))</f>
        <v>Silver</v>
      </c>
      <c r="X3335" s="2" t="n">
        <f aca="false">INDEX(Summary!$T$2:$T$201,MATCH($B3335,Summary!$A$2:$A$201,0))</f>
        <v>58.15</v>
      </c>
      <c r="Y3335" s="0" t="str">
        <f aca="false">INDEX('Reward Model'!$E$18:$E$37,MATCH($E3335,'Reward Model'!$A$18:$A$37,0))</f>
        <v>Medium</v>
      </c>
      <c r="Z3335" s="4" t="n">
        <f aca="false">ROUND(MIN(1,MAX('Reward Model'!$B$2,INDEX('Reward Model'!$C$12:$C$14,MATCH($K3335,'Reward Model'!$A$12:$A$14,0))/$J3335)),3)</f>
        <v>1</v>
      </c>
      <c r="AA3335" s="2" t="n">
        <f aca="false">IF($I3335="Correct",ROUND(INDEX('Reward Model'!$B$12:$B$14,MATCH($K3335,'Reward Model'!$A$12:$A$14,0))*Z3335,2),0)</f>
        <v>0</v>
      </c>
      <c r="AB3335" s="2" t="n">
        <f aca="false">IF($I3335="Correct",ROUND(INDEX('Reward Model'!$B$12:$B$14,MATCH($Y3335,'Reward Model'!$A$12:$A$14,0))*Z3335,2),0)</f>
        <v>0</v>
      </c>
    </row>
    <row r="3336" customFormat="false" ht="15" hidden="false" customHeight="false" outlineLevel="0" collapsed="false">
      <c r="A3336" s="0" t="s">
        <v>464</v>
      </c>
      <c r="B3336" s="0" t="s">
        <v>465</v>
      </c>
      <c r="C3336" s="0" t="s">
        <v>322</v>
      </c>
      <c r="D3336" s="0" t="s">
        <v>189</v>
      </c>
      <c r="E3336" s="0" t="n">
        <v>15</v>
      </c>
      <c r="F3336" s="0" t="s">
        <v>69</v>
      </c>
      <c r="G3336" s="0" t="s">
        <v>70</v>
      </c>
      <c r="H3336" s="0" t="s">
        <v>70</v>
      </c>
      <c r="I3336" s="0" t="s">
        <v>34</v>
      </c>
      <c r="J3336" s="0" t="n">
        <v>1.6</v>
      </c>
      <c r="K3336" s="0" t="s">
        <v>60</v>
      </c>
      <c r="L3336" s="0" t="n">
        <f aca="false">INDEX(Summary!$F$2:$F$201,MATCH($B3336,Summary!$A$2:$A$201,0))</f>
        <v>20</v>
      </c>
      <c r="M3336" s="0" t="n">
        <f aca="false">INDEX(Summary!$I$2:$I$201,MATCH($B3336,Summary!$A$2:$A$201,0))</f>
        <v>2</v>
      </c>
      <c r="N3336" s="0" t="n">
        <f aca="false">INDEX(Summary!$J$2:$J$201,MATCH($B3336,Summary!$A$2:$A$201,0))</f>
        <v>3</v>
      </c>
      <c r="O3336" s="2" t="n">
        <f aca="false">INDEX(Summary!$K$2:$K$201,MATCH($B3336,Summary!$A$2:$A$201,0))</f>
        <v>8.46</v>
      </c>
      <c r="P3336" s="3" t="n">
        <f aca="false">INDEX(Summary!$L$2:$L$201,MATCH($B3336,Summary!$A$2:$A$201,0))</f>
        <v>3</v>
      </c>
      <c r="Q3336" s="3" t="n">
        <f aca="false">INDEX(Summary!$M$2:$M$201,MATCH($B3336,Summary!$A$2:$A$201,0))</f>
        <v>3</v>
      </c>
      <c r="R3336" s="2" t="n">
        <f aca="false">INDEX(Summary!$N$2:$N$201,MATCH($B3336,Summary!$A$2:$A$201,0))</f>
        <v>9.95</v>
      </c>
      <c r="S3336" s="3" t="n">
        <f aca="false">INDEX(Summary!$O$2:$O$201,MATCH($B3336,Summary!$A$2:$A$201,0))</f>
        <v>8</v>
      </c>
      <c r="T3336" s="3" t="n">
        <f aca="false">INDEX(Summary!$P$2:$P$201,MATCH($B3336,Summary!$A$2:$A$201,0))</f>
        <v>1</v>
      </c>
      <c r="U3336" s="2" t="n">
        <f aca="false">INDEX(Summary!$Q$2:$Q$201,MATCH($B3336,Summary!$A$2:$A$201,0))</f>
        <v>10.23</v>
      </c>
      <c r="V3336" s="2" t="n">
        <f aca="false">INDEX(Summary!$R$2:$R$201,MATCH($B3336,Summary!$A$2:$A$201,0))</f>
        <v>23.84</v>
      </c>
      <c r="W3336" s="0" t="str">
        <f aca="false">INDEX(Summary!$S$2:$S$201,MATCH($B3336,Summary!$A$2:$A$201,0))</f>
        <v>Silver</v>
      </c>
      <c r="X3336" s="2" t="n">
        <f aca="false">INDEX(Summary!$T$2:$T$201,MATCH($B3336,Summary!$A$2:$A$201,0))</f>
        <v>58.15</v>
      </c>
      <c r="Y3336" s="0" t="str">
        <f aca="false">INDEX('Reward Model'!$E$18:$E$37,MATCH($E3336,'Reward Model'!$A$18:$A$37,0))</f>
        <v>Medium</v>
      </c>
      <c r="Z3336" s="4" t="n">
        <f aca="false">ROUND(MIN(1,MAX('Reward Model'!$B$2,INDEX('Reward Model'!$C$12:$C$14,MATCH($K3336,'Reward Model'!$A$12:$A$14,0))/$J3336)),3)</f>
        <v>1</v>
      </c>
      <c r="AA3336" s="2" t="n">
        <f aca="false">IF($I3336="Correct",ROUND(INDEX('Reward Model'!$B$12:$B$14,MATCH($K3336,'Reward Model'!$A$12:$A$14,0))*Z3336,2),0)</f>
        <v>2</v>
      </c>
      <c r="AB3336" s="2" t="n">
        <f aca="false">IF($I3336="Correct",ROUND(INDEX('Reward Model'!$B$12:$B$14,MATCH($Y3336,'Reward Model'!$A$12:$A$14,0))*Z3336,2),0)</f>
        <v>2</v>
      </c>
    </row>
    <row r="3337" customFormat="false" ht="15" hidden="false" customHeight="false" outlineLevel="0" collapsed="false">
      <c r="A3337" s="0" t="s">
        <v>464</v>
      </c>
      <c r="B3337" s="0" t="s">
        <v>465</v>
      </c>
      <c r="C3337" s="0" t="s">
        <v>322</v>
      </c>
      <c r="D3337" s="0" t="s">
        <v>189</v>
      </c>
      <c r="E3337" s="0" t="n">
        <v>16</v>
      </c>
      <c r="F3337" s="0" t="s">
        <v>71</v>
      </c>
      <c r="G3337" s="0" t="s">
        <v>72</v>
      </c>
      <c r="H3337" s="0" t="s">
        <v>72</v>
      </c>
      <c r="I3337" s="0" t="s">
        <v>34</v>
      </c>
      <c r="J3337" s="0" t="n">
        <v>1.55</v>
      </c>
      <c r="K3337" s="0" t="s">
        <v>73</v>
      </c>
      <c r="L3337" s="0" t="n">
        <f aca="false">INDEX(Summary!$F$2:$F$201,MATCH($B3337,Summary!$A$2:$A$201,0))</f>
        <v>20</v>
      </c>
      <c r="M3337" s="0" t="n">
        <f aca="false">INDEX(Summary!$I$2:$I$201,MATCH($B3337,Summary!$A$2:$A$201,0))</f>
        <v>2</v>
      </c>
      <c r="N3337" s="0" t="n">
        <f aca="false">INDEX(Summary!$J$2:$J$201,MATCH($B3337,Summary!$A$2:$A$201,0))</f>
        <v>3</v>
      </c>
      <c r="O3337" s="2" t="n">
        <f aca="false">INDEX(Summary!$K$2:$K$201,MATCH($B3337,Summary!$A$2:$A$201,0))</f>
        <v>8.46</v>
      </c>
      <c r="P3337" s="3" t="n">
        <f aca="false">INDEX(Summary!$L$2:$L$201,MATCH($B3337,Summary!$A$2:$A$201,0))</f>
        <v>3</v>
      </c>
      <c r="Q3337" s="3" t="n">
        <f aca="false">INDEX(Summary!$M$2:$M$201,MATCH($B3337,Summary!$A$2:$A$201,0))</f>
        <v>3</v>
      </c>
      <c r="R3337" s="2" t="n">
        <f aca="false">INDEX(Summary!$N$2:$N$201,MATCH($B3337,Summary!$A$2:$A$201,0))</f>
        <v>9.95</v>
      </c>
      <c r="S3337" s="3" t="n">
        <f aca="false">INDEX(Summary!$O$2:$O$201,MATCH($B3337,Summary!$A$2:$A$201,0))</f>
        <v>8</v>
      </c>
      <c r="T3337" s="3" t="n">
        <f aca="false">INDEX(Summary!$P$2:$P$201,MATCH($B3337,Summary!$A$2:$A$201,0))</f>
        <v>1</v>
      </c>
      <c r="U3337" s="2" t="n">
        <f aca="false">INDEX(Summary!$Q$2:$Q$201,MATCH($B3337,Summary!$A$2:$A$201,0))</f>
        <v>10.23</v>
      </c>
      <c r="V3337" s="2" t="n">
        <f aca="false">INDEX(Summary!$R$2:$R$201,MATCH($B3337,Summary!$A$2:$A$201,0))</f>
        <v>23.84</v>
      </c>
      <c r="W3337" s="0" t="str">
        <f aca="false">INDEX(Summary!$S$2:$S$201,MATCH($B3337,Summary!$A$2:$A$201,0))</f>
        <v>Silver</v>
      </c>
      <c r="X3337" s="2" t="n">
        <f aca="false">INDEX(Summary!$T$2:$T$201,MATCH($B3337,Summary!$A$2:$A$201,0))</f>
        <v>58.15</v>
      </c>
      <c r="Y3337" s="0" t="str">
        <f aca="false">INDEX('Reward Model'!$E$18:$E$37,MATCH($E3337,'Reward Model'!$A$18:$A$37,0))</f>
        <v>High</v>
      </c>
      <c r="Z3337" s="4" t="n">
        <f aca="false">ROUND(MIN(1,MAX('Reward Model'!$B$2,INDEX('Reward Model'!$C$12:$C$14,MATCH($K3337,'Reward Model'!$A$12:$A$14,0))/$J3337)),3)</f>
        <v>1</v>
      </c>
      <c r="AA3337" s="2" t="n">
        <f aca="false">IF($I3337="Correct",ROUND(INDEX('Reward Model'!$B$12:$B$14,MATCH($K3337,'Reward Model'!$A$12:$A$14,0))*Z3337,2),0)</f>
        <v>3</v>
      </c>
      <c r="AB3337" s="2" t="n">
        <f aca="false">IF($I3337="Correct",ROUND(INDEX('Reward Model'!$B$12:$B$14,MATCH($Y3337,'Reward Model'!$A$12:$A$14,0))*Z3337,2),0)</f>
        <v>3</v>
      </c>
    </row>
    <row r="3338" customFormat="false" ht="15" hidden="false" customHeight="false" outlineLevel="0" collapsed="false">
      <c r="A3338" s="0" t="s">
        <v>464</v>
      </c>
      <c r="B3338" s="0" t="s">
        <v>465</v>
      </c>
      <c r="C3338" s="0" t="s">
        <v>322</v>
      </c>
      <c r="D3338" s="0" t="s">
        <v>189</v>
      </c>
      <c r="E3338" s="0" t="n">
        <v>17</v>
      </c>
      <c r="F3338" s="0" t="s">
        <v>74</v>
      </c>
      <c r="G3338" s="0" t="s">
        <v>113</v>
      </c>
      <c r="H3338" s="0" t="s">
        <v>75</v>
      </c>
      <c r="I3338" s="0" t="s">
        <v>39</v>
      </c>
      <c r="J3338" s="0" t="n">
        <v>1.75</v>
      </c>
      <c r="K3338" s="0" t="s">
        <v>73</v>
      </c>
      <c r="L3338" s="0" t="n">
        <f aca="false">INDEX(Summary!$F$2:$F$201,MATCH($B3338,Summary!$A$2:$A$201,0))</f>
        <v>20</v>
      </c>
      <c r="M3338" s="0" t="n">
        <f aca="false">INDEX(Summary!$I$2:$I$201,MATCH($B3338,Summary!$A$2:$A$201,0))</f>
        <v>2</v>
      </c>
      <c r="N3338" s="0" t="n">
        <f aca="false">INDEX(Summary!$J$2:$J$201,MATCH($B3338,Summary!$A$2:$A$201,0))</f>
        <v>3</v>
      </c>
      <c r="O3338" s="2" t="n">
        <f aca="false">INDEX(Summary!$K$2:$K$201,MATCH($B3338,Summary!$A$2:$A$201,0))</f>
        <v>8.46</v>
      </c>
      <c r="P3338" s="3" t="n">
        <f aca="false">INDEX(Summary!$L$2:$L$201,MATCH($B3338,Summary!$A$2:$A$201,0))</f>
        <v>3</v>
      </c>
      <c r="Q3338" s="3" t="n">
        <f aca="false">INDEX(Summary!$M$2:$M$201,MATCH($B3338,Summary!$A$2:$A$201,0))</f>
        <v>3</v>
      </c>
      <c r="R3338" s="2" t="n">
        <f aca="false">INDEX(Summary!$N$2:$N$201,MATCH($B3338,Summary!$A$2:$A$201,0))</f>
        <v>9.95</v>
      </c>
      <c r="S3338" s="3" t="n">
        <f aca="false">INDEX(Summary!$O$2:$O$201,MATCH($B3338,Summary!$A$2:$A$201,0))</f>
        <v>8</v>
      </c>
      <c r="T3338" s="3" t="n">
        <f aca="false">INDEX(Summary!$P$2:$P$201,MATCH($B3338,Summary!$A$2:$A$201,0))</f>
        <v>1</v>
      </c>
      <c r="U3338" s="2" t="n">
        <f aca="false">INDEX(Summary!$Q$2:$Q$201,MATCH($B3338,Summary!$A$2:$A$201,0))</f>
        <v>10.23</v>
      </c>
      <c r="V3338" s="2" t="n">
        <f aca="false">INDEX(Summary!$R$2:$R$201,MATCH($B3338,Summary!$A$2:$A$201,0))</f>
        <v>23.84</v>
      </c>
      <c r="W3338" s="0" t="str">
        <f aca="false">INDEX(Summary!$S$2:$S$201,MATCH($B3338,Summary!$A$2:$A$201,0))</f>
        <v>Silver</v>
      </c>
      <c r="X3338" s="2" t="n">
        <f aca="false">INDEX(Summary!$T$2:$T$201,MATCH($B3338,Summary!$A$2:$A$201,0))</f>
        <v>58.15</v>
      </c>
      <c r="Y3338" s="0" t="str">
        <f aca="false">INDEX('Reward Model'!$E$18:$E$37,MATCH($E3338,'Reward Model'!$A$18:$A$37,0))</f>
        <v>High</v>
      </c>
      <c r="Z3338" s="4" t="n">
        <f aca="false">ROUND(MIN(1,MAX('Reward Model'!$B$2,INDEX('Reward Model'!$C$12:$C$14,MATCH($K3338,'Reward Model'!$A$12:$A$14,0))/$J3338)),3)</f>
        <v>1</v>
      </c>
      <c r="AA3338" s="2" t="n">
        <f aca="false">IF($I3338="Correct",ROUND(INDEX('Reward Model'!$B$12:$B$14,MATCH($K3338,'Reward Model'!$A$12:$A$14,0))*Z3338,2),0)</f>
        <v>0</v>
      </c>
      <c r="AB3338" s="2" t="n">
        <f aca="false">IF($I3338="Correct",ROUND(INDEX('Reward Model'!$B$12:$B$14,MATCH($Y3338,'Reward Model'!$A$12:$A$14,0))*Z3338,2),0)</f>
        <v>0</v>
      </c>
    </row>
    <row r="3339" customFormat="false" ht="15" hidden="false" customHeight="false" outlineLevel="0" collapsed="false">
      <c r="A3339" s="0" t="s">
        <v>464</v>
      </c>
      <c r="B3339" s="0" t="s">
        <v>465</v>
      </c>
      <c r="C3339" s="0" t="s">
        <v>322</v>
      </c>
      <c r="D3339" s="0" t="s">
        <v>189</v>
      </c>
      <c r="E3339" s="0" t="n">
        <v>18</v>
      </c>
      <c r="F3339" s="0" t="s">
        <v>76</v>
      </c>
      <c r="G3339" s="0" t="s">
        <v>88</v>
      </c>
      <c r="H3339" s="0" t="s">
        <v>77</v>
      </c>
      <c r="I3339" s="0" t="s">
        <v>39</v>
      </c>
      <c r="J3339" s="0" t="n">
        <v>1.35</v>
      </c>
      <c r="K3339" s="0" t="s">
        <v>73</v>
      </c>
      <c r="L3339" s="0" t="n">
        <f aca="false">INDEX(Summary!$F$2:$F$201,MATCH($B3339,Summary!$A$2:$A$201,0))</f>
        <v>20</v>
      </c>
      <c r="M3339" s="0" t="n">
        <f aca="false">INDEX(Summary!$I$2:$I$201,MATCH($B3339,Summary!$A$2:$A$201,0))</f>
        <v>2</v>
      </c>
      <c r="N3339" s="0" t="n">
        <f aca="false">INDEX(Summary!$J$2:$J$201,MATCH($B3339,Summary!$A$2:$A$201,0))</f>
        <v>3</v>
      </c>
      <c r="O3339" s="2" t="n">
        <f aca="false">INDEX(Summary!$K$2:$K$201,MATCH($B3339,Summary!$A$2:$A$201,0))</f>
        <v>8.46</v>
      </c>
      <c r="P3339" s="3" t="n">
        <f aca="false">INDEX(Summary!$L$2:$L$201,MATCH($B3339,Summary!$A$2:$A$201,0))</f>
        <v>3</v>
      </c>
      <c r="Q3339" s="3" t="n">
        <f aca="false">INDEX(Summary!$M$2:$M$201,MATCH($B3339,Summary!$A$2:$A$201,0))</f>
        <v>3</v>
      </c>
      <c r="R3339" s="2" t="n">
        <f aca="false">INDEX(Summary!$N$2:$N$201,MATCH($B3339,Summary!$A$2:$A$201,0))</f>
        <v>9.95</v>
      </c>
      <c r="S3339" s="3" t="n">
        <f aca="false">INDEX(Summary!$O$2:$O$201,MATCH($B3339,Summary!$A$2:$A$201,0))</f>
        <v>8</v>
      </c>
      <c r="T3339" s="3" t="n">
        <f aca="false">INDEX(Summary!$P$2:$P$201,MATCH($B3339,Summary!$A$2:$A$201,0))</f>
        <v>1</v>
      </c>
      <c r="U3339" s="2" t="n">
        <f aca="false">INDEX(Summary!$Q$2:$Q$201,MATCH($B3339,Summary!$A$2:$A$201,0))</f>
        <v>10.23</v>
      </c>
      <c r="V3339" s="2" t="n">
        <f aca="false">INDEX(Summary!$R$2:$R$201,MATCH($B3339,Summary!$A$2:$A$201,0))</f>
        <v>23.84</v>
      </c>
      <c r="W3339" s="0" t="str">
        <f aca="false">INDEX(Summary!$S$2:$S$201,MATCH($B3339,Summary!$A$2:$A$201,0))</f>
        <v>Silver</v>
      </c>
      <c r="X3339" s="2" t="n">
        <f aca="false">INDEX(Summary!$T$2:$T$201,MATCH($B3339,Summary!$A$2:$A$201,0))</f>
        <v>58.15</v>
      </c>
      <c r="Y3339" s="0" t="str">
        <f aca="false">INDEX('Reward Model'!$E$18:$E$37,MATCH($E3339,'Reward Model'!$A$18:$A$37,0))</f>
        <v>High</v>
      </c>
      <c r="Z3339" s="4" t="n">
        <f aca="false">ROUND(MIN(1,MAX('Reward Model'!$B$2,INDEX('Reward Model'!$C$12:$C$14,MATCH($K3339,'Reward Model'!$A$12:$A$14,0))/$J3339)),3)</f>
        <v>1</v>
      </c>
      <c r="AA3339" s="2" t="n">
        <f aca="false">IF($I3339="Correct",ROUND(INDEX('Reward Model'!$B$12:$B$14,MATCH($K3339,'Reward Model'!$A$12:$A$14,0))*Z3339,2),0)</f>
        <v>0</v>
      </c>
      <c r="AB3339" s="2" t="n">
        <f aca="false">IF($I3339="Correct",ROUND(INDEX('Reward Model'!$B$12:$B$14,MATCH($Y3339,'Reward Model'!$A$12:$A$14,0))*Z3339,2),0)</f>
        <v>0</v>
      </c>
    </row>
    <row r="3340" customFormat="false" ht="15" hidden="false" customHeight="false" outlineLevel="0" collapsed="false">
      <c r="A3340" s="0" t="s">
        <v>464</v>
      </c>
      <c r="B3340" s="0" t="s">
        <v>465</v>
      </c>
      <c r="C3340" s="0" t="s">
        <v>322</v>
      </c>
      <c r="D3340" s="0" t="s">
        <v>189</v>
      </c>
      <c r="E3340" s="0" t="n">
        <v>19</v>
      </c>
      <c r="F3340" s="0" t="s">
        <v>78</v>
      </c>
      <c r="G3340" s="0" t="s">
        <v>80</v>
      </c>
      <c r="H3340" s="0" t="s">
        <v>80</v>
      </c>
      <c r="I3340" s="0" t="s">
        <v>34</v>
      </c>
      <c r="J3340" s="0" t="n">
        <v>1.67</v>
      </c>
      <c r="K3340" s="0" t="s">
        <v>73</v>
      </c>
      <c r="L3340" s="0" t="n">
        <f aca="false">INDEX(Summary!$F$2:$F$201,MATCH($B3340,Summary!$A$2:$A$201,0))</f>
        <v>20</v>
      </c>
      <c r="M3340" s="0" t="n">
        <f aca="false">INDEX(Summary!$I$2:$I$201,MATCH($B3340,Summary!$A$2:$A$201,0))</f>
        <v>2</v>
      </c>
      <c r="N3340" s="0" t="n">
        <f aca="false">INDEX(Summary!$J$2:$J$201,MATCH($B3340,Summary!$A$2:$A$201,0))</f>
        <v>3</v>
      </c>
      <c r="O3340" s="2" t="n">
        <f aca="false">INDEX(Summary!$K$2:$K$201,MATCH($B3340,Summary!$A$2:$A$201,0))</f>
        <v>8.46</v>
      </c>
      <c r="P3340" s="3" t="n">
        <f aca="false">INDEX(Summary!$L$2:$L$201,MATCH($B3340,Summary!$A$2:$A$201,0))</f>
        <v>3</v>
      </c>
      <c r="Q3340" s="3" t="n">
        <f aca="false">INDEX(Summary!$M$2:$M$201,MATCH($B3340,Summary!$A$2:$A$201,0))</f>
        <v>3</v>
      </c>
      <c r="R3340" s="2" t="n">
        <f aca="false">INDEX(Summary!$N$2:$N$201,MATCH($B3340,Summary!$A$2:$A$201,0))</f>
        <v>9.95</v>
      </c>
      <c r="S3340" s="3" t="n">
        <f aca="false">INDEX(Summary!$O$2:$O$201,MATCH($B3340,Summary!$A$2:$A$201,0))</f>
        <v>8</v>
      </c>
      <c r="T3340" s="3" t="n">
        <f aca="false">INDEX(Summary!$P$2:$P$201,MATCH($B3340,Summary!$A$2:$A$201,0))</f>
        <v>1</v>
      </c>
      <c r="U3340" s="2" t="n">
        <f aca="false">INDEX(Summary!$Q$2:$Q$201,MATCH($B3340,Summary!$A$2:$A$201,0))</f>
        <v>10.23</v>
      </c>
      <c r="V3340" s="2" t="n">
        <f aca="false">INDEX(Summary!$R$2:$R$201,MATCH($B3340,Summary!$A$2:$A$201,0))</f>
        <v>23.84</v>
      </c>
      <c r="W3340" s="0" t="str">
        <f aca="false">INDEX(Summary!$S$2:$S$201,MATCH($B3340,Summary!$A$2:$A$201,0))</f>
        <v>Silver</v>
      </c>
      <c r="X3340" s="2" t="n">
        <f aca="false">INDEX(Summary!$T$2:$T$201,MATCH($B3340,Summary!$A$2:$A$201,0))</f>
        <v>58.15</v>
      </c>
      <c r="Y3340" s="0" t="str">
        <f aca="false">INDEX('Reward Model'!$E$18:$E$37,MATCH($E3340,'Reward Model'!$A$18:$A$37,0))</f>
        <v>High</v>
      </c>
      <c r="Z3340" s="4" t="n">
        <f aca="false">ROUND(MIN(1,MAX('Reward Model'!$B$2,INDEX('Reward Model'!$C$12:$C$14,MATCH($K3340,'Reward Model'!$A$12:$A$14,0))/$J3340)),3)</f>
        <v>1</v>
      </c>
      <c r="AA3340" s="2" t="n">
        <f aca="false">IF($I3340="Correct",ROUND(INDEX('Reward Model'!$B$12:$B$14,MATCH($K3340,'Reward Model'!$A$12:$A$14,0))*Z3340,2),0)</f>
        <v>3</v>
      </c>
      <c r="AB3340" s="2" t="n">
        <f aca="false">IF($I3340="Correct",ROUND(INDEX('Reward Model'!$B$12:$B$14,MATCH($Y3340,'Reward Model'!$A$12:$A$14,0))*Z3340,2),0)</f>
        <v>3</v>
      </c>
    </row>
    <row r="3341" customFormat="false" ht="15" hidden="false" customHeight="false" outlineLevel="0" collapsed="false">
      <c r="A3341" s="0" t="s">
        <v>464</v>
      </c>
      <c r="B3341" s="0" t="s">
        <v>465</v>
      </c>
      <c r="C3341" s="0" t="s">
        <v>322</v>
      </c>
      <c r="D3341" s="0" t="s">
        <v>189</v>
      </c>
      <c r="E3341" s="0" t="n">
        <v>20</v>
      </c>
      <c r="F3341" s="0" t="s">
        <v>81</v>
      </c>
      <c r="G3341" s="0" t="s">
        <v>119</v>
      </c>
      <c r="H3341" s="0" t="s">
        <v>83</v>
      </c>
      <c r="I3341" s="0" t="s">
        <v>39</v>
      </c>
      <c r="J3341" s="0" t="n">
        <v>2.14</v>
      </c>
      <c r="K3341" s="0" t="s">
        <v>73</v>
      </c>
      <c r="L3341" s="0" t="n">
        <f aca="false">INDEX(Summary!$F$2:$F$201,MATCH($B3341,Summary!$A$2:$A$201,0))</f>
        <v>20</v>
      </c>
      <c r="M3341" s="0" t="n">
        <f aca="false">INDEX(Summary!$I$2:$I$201,MATCH($B3341,Summary!$A$2:$A$201,0))</f>
        <v>2</v>
      </c>
      <c r="N3341" s="0" t="n">
        <f aca="false">INDEX(Summary!$J$2:$J$201,MATCH($B3341,Summary!$A$2:$A$201,0))</f>
        <v>3</v>
      </c>
      <c r="O3341" s="2" t="n">
        <f aca="false">INDEX(Summary!$K$2:$K$201,MATCH($B3341,Summary!$A$2:$A$201,0))</f>
        <v>8.46</v>
      </c>
      <c r="P3341" s="3" t="n">
        <f aca="false">INDEX(Summary!$L$2:$L$201,MATCH($B3341,Summary!$A$2:$A$201,0))</f>
        <v>3</v>
      </c>
      <c r="Q3341" s="3" t="n">
        <f aca="false">INDEX(Summary!$M$2:$M$201,MATCH($B3341,Summary!$A$2:$A$201,0))</f>
        <v>3</v>
      </c>
      <c r="R3341" s="2" t="n">
        <f aca="false">INDEX(Summary!$N$2:$N$201,MATCH($B3341,Summary!$A$2:$A$201,0))</f>
        <v>9.95</v>
      </c>
      <c r="S3341" s="3" t="n">
        <f aca="false">INDEX(Summary!$O$2:$O$201,MATCH($B3341,Summary!$A$2:$A$201,0))</f>
        <v>8</v>
      </c>
      <c r="T3341" s="3" t="n">
        <f aca="false">INDEX(Summary!$P$2:$P$201,MATCH($B3341,Summary!$A$2:$A$201,0))</f>
        <v>1</v>
      </c>
      <c r="U3341" s="2" t="n">
        <f aca="false">INDEX(Summary!$Q$2:$Q$201,MATCH($B3341,Summary!$A$2:$A$201,0))</f>
        <v>10.23</v>
      </c>
      <c r="V3341" s="2" t="n">
        <f aca="false">INDEX(Summary!$R$2:$R$201,MATCH($B3341,Summary!$A$2:$A$201,0))</f>
        <v>23.84</v>
      </c>
      <c r="W3341" s="0" t="str">
        <f aca="false">INDEX(Summary!$S$2:$S$201,MATCH($B3341,Summary!$A$2:$A$201,0))</f>
        <v>Silver</v>
      </c>
      <c r="X3341" s="2" t="n">
        <f aca="false">INDEX(Summary!$T$2:$T$201,MATCH($B3341,Summary!$A$2:$A$201,0))</f>
        <v>58.15</v>
      </c>
      <c r="Y3341" s="0" t="str">
        <f aca="false">INDEX('Reward Model'!$E$18:$E$37,MATCH($E3341,'Reward Model'!$A$18:$A$37,0))</f>
        <v>High</v>
      </c>
      <c r="Z3341" s="4" t="n">
        <f aca="false">ROUND(MIN(1,MAX('Reward Model'!$B$2,INDEX('Reward Model'!$C$12:$C$14,MATCH($K3341,'Reward Model'!$A$12:$A$14,0))/$J3341)),3)</f>
        <v>0.935</v>
      </c>
      <c r="AA3341" s="2" t="n">
        <f aca="false">IF($I3341="Correct",ROUND(INDEX('Reward Model'!$B$12:$B$14,MATCH($K3341,'Reward Model'!$A$12:$A$14,0))*Z3341,2),0)</f>
        <v>0</v>
      </c>
      <c r="AB3341" s="2" t="n">
        <f aca="false">IF($I3341="Correct",ROUND(INDEX('Reward Model'!$B$12:$B$14,MATCH($Y3341,'Reward Model'!$A$12:$A$14,0))*Z3341,2),0)</f>
        <v>0</v>
      </c>
    </row>
    <row r="3342" customFormat="false" ht="15" hidden="false" customHeight="false" outlineLevel="0" collapsed="false">
      <c r="A3342" s="0" t="s">
        <v>466</v>
      </c>
      <c r="B3342" s="0" t="s">
        <v>467</v>
      </c>
      <c r="C3342" s="0" t="s">
        <v>322</v>
      </c>
      <c r="D3342" s="0" t="s">
        <v>189</v>
      </c>
      <c r="E3342" s="0" t="n">
        <v>1</v>
      </c>
      <c r="F3342" s="0" t="s">
        <v>32</v>
      </c>
      <c r="G3342" s="0" t="s">
        <v>33</v>
      </c>
      <c r="H3342" s="0" t="s">
        <v>33</v>
      </c>
      <c r="I3342" s="0" t="s">
        <v>34</v>
      </c>
      <c r="J3342" s="0" t="n">
        <v>1.07</v>
      </c>
      <c r="K3342" s="0" t="s">
        <v>35</v>
      </c>
      <c r="L3342" s="0" t="n">
        <f aca="false">INDEX(Summary!$F$2:$F$201,MATCH($B3342,Summary!$A$2:$A$201,0))</f>
        <v>20</v>
      </c>
      <c r="M3342" s="0" t="n">
        <f aca="false">INDEX(Summary!$I$2:$I$201,MATCH($B3342,Summary!$A$2:$A$201,0))</f>
        <v>2</v>
      </c>
      <c r="N3342" s="0" t="n">
        <f aca="false">INDEX(Summary!$J$2:$J$201,MATCH($B3342,Summary!$A$2:$A$201,0))</f>
        <v>3</v>
      </c>
      <c r="O3342" s="2" t="n">
        <f aca="false">INDEX(Summary!$K$2:$K$201,MATCH($B3342,Summary!$A$2:$A$201,0))</f>
        <v>11.04</v>
      </c>
      <c r="P3342" s="3" t="n">
        <f aca="false">INDEX(Summary!$L$2:$L$201,MATCH($B3342,Summary!$A$2:$A$201,0))</f>
        <v>1</v>
      </c>
      <c r="Q3342" s="3" t="n">
        <f aca="false">INDEX(Summary!$M$2:$M$201,MATCH($B3342,Summary!$A$2:$A$201,0))</f>
        <v>5</v>
      </c>
      <c r="R3342" s="2" t="n">
        <f aca="false">INDEX(Summary!$N$2:$N$201,MATCH($B3342,Summary!$A$2:$A$201,0))</f>
        <v>10.24</v>
      </c>
      <c r="S3342" s="3" t="n">
        <f aca="false">INDEX(Summary!$O$2:$O$201,MATCH($B3342,Summary!$A$2:$A$201,0))</f>
        <v>8</v>
      </c>
      <c r="T3342" s="3" t="n">
        <f aca="false">INDEX(Summary!$P$2:$P$201,MATCH($B3342,Summary!$A$2:$A$201,0))</f>
        <v>1</v>
      </c>
      <c r="U3342" s="2" t="n">
        <f aca="false">INDEX(Summary!$Q$2:$Q$201,MATCH($B3342,Summary!$A$2:$A$201,0))</f>
        <v>11.95</v>
      </c>
      <c r="V3342" s="2" t="n">
        <f aca="false">INDEX(Summary!$R$2:$R$201,MATCH($B3342,Summary!$A$2:$A$201,0))</f>
        <v>18.93</v>
      </c>
      <c r="W3342" s="0" t="str">
        <f aca="false">INDEX(Summary!$S$2:$S$201,MATCH($B3342,Summary!$A$2:$A$201,0))</f>
        <v>Bronze</v>
      </c>
      <c r="X3342" s="2" t="n">
        <f aca="false">INDEX(Summary!$T$2:$T$201,MATCH($B3342,Summary!$A$2:$A$201,0))</f>
        <v>46.17</v>
      </c>
      <c r="Y3342" s="0" t="str">
        <f aca="false">INDEX('Reward Model'!$E$18:$E$37,MATCH($E3342,'Reward Model'!$A$18:$A$37,0))</f>
        <v>Medium</v>
      </c>
      <c r="Z3342" s="4" t="n">
        <f aca="false">ROUND(MIN(1,MAX('Reward Model'!$B$2,INDEX('Reward Model'!$C$12:$C$14,MATCH($K3342,'Reward Model'!$A$12:$A$14,0))/$J3342)),3)</f>
        <v>1</v>
      </c>
      <c r="AA3342" s="2" t="n">
        <f aca="false">IF($I3342="Correct",ROUND(INDEX('Reward Model'!$B$12:$B$14,MATCH($K3342,'Reward Model'!$A$12:$A$14,0))*Z3342,2),0)</f>
        <v>1</v>
      </c>
      <c r="AB3342" s="2" t="n">
        <f aca="false">IF($I3342="Correct",ROUND(INDEX('Reward Model'!$B$12:$B$14,MATCH($Y3342,'Reward Model'!$A$12:$A$14,0))*Z3342,2),0)</f>
        <v>2</v>
      </c>
    </row>
    <row r="3343" customFormat="false" ht="15" hidden="false" customHeight="false" outlineLevel="0" collapsed="false">
      <c r="A3343" s="0" t="s">
        <v>466</v>
      </c>
      <c r="B3343" s="0" t="s">
        <v>467</v>
      </c>
      <c r="C3343" s="0" t="s">
        <v>322</v>
      </c>
      <c r="D3343" s="0" t="s">
        <v>189</v>
      </c>
      <c r="E3343" s="0" t="n">
        <v>2</v>
      </c>
      <c r="F3343" s="0" t="s">
        <v>36</v>
      </c>
      <c r="G3343" s="0" t="s">
        <v>38</v>
      </c>
      <c r="H3343" s="0" t="s">
        <v>38</v>
      </c>
      <c r="I3343" s="0" t="s">
        <v>34</v>
      </c>
      <c r="J3343" s="0" t="n">
        <v>1.72</v>
      </c>
      <c r="K3343" s="0" t="s">
        <v>35</v>
      </c>
      <c r="L3343" s="0" t="n">
        <f aca="false">INDEX(Summary!$F$2:$F$201,MATCH($B3343,Summary!$A$2:$A$201,0))</f>
        <v>20</v>
      </c>
      <c r="M3343" s="0" t="n">
        <f aca="false">INDEX(Summary!$I$2:$I$201,MATCH($B3343,Summary!$A$2:$A$201,0))</f>
        <v>2</v>
      </c>
      <c r="N3343" s="0" t="n">
        <f aca="false">INDEX(Summary!$J$2:$J$201,MATCH($B3343,Summary!$A$2:$A$201,0))</f>
        <v>3</v>
      </c>
      <c r="O3343" s="2" t="n">
        <f aca="false">INDEX(Summary!$K$2:$K$201,MATCH($B3343,Summary!$A$2:$A$201,0))</f>
        <v>11.04</v>
      </c>
      <c r="P3343" s="3" t="n">
        <f aca="false">INDEX(Summary!$L$2:$L$201,MATCH($B3343,Summary!$A$2:$A$201,0))</f>
        <v>1</v>
      </c>
      <c r="Q3343" s="3" t="n">
        <f aca="false">INDEX(Summary!$M$2:$M$201,MATCH($B3343,Summary!$A$2:$A$201,0))</f>
        <v>5</v>
      </c>
      <c r="R3343" s="2" t="n">
        <f aca="false">INDEX(Summary!$N$2:$N$201,MATCH($B3343,Summary!$A$2:$A$201,0))</f>
        <v>10.24</v>
      </c>
      <c r="S3343" s="3" t="n">
        <f aca="false">INDEX(Summary!$O$2:$O$201,MATCH($B3343,Summary!$A$2:$A$201,0))</f>
        <v>8</v>
      </c>
      <c r="T3343" s="3" t="n">
        <f aca="false">INDEX(Summary!$P$2:$P$201,MATCH($B3343,Summary!$A$2:$A$201,0))</f>
        <v>1</v>
      </c>
      <c r="U3343" s="2" t="n">
        <f aca="false">INDEX(Summary!$Q$2:$Q$201,MATCH($B3343,Summary!$A$2:$A$201,0))</f>
        <v>11.95</v>
      </c>
      <c r="V3343" s="2" t="n">
        <f aca="false">INDEX(Summary!$R$2:$R$201,MATCH($B3343,Summary!$A$2:$A$201,0))</f>
        <v>18.93</v>
      </c>
      <c r="W3343" s="0" t="str">
        <f aca="false">INDEX(Summary!$S$2:$S$201,MATCH($B3343,Summary!$A$2:$A$201,0))</f>
        <v>Bronze</v>
      </c>
      <c r="X3343" s="2" t="n">
        <f aca="false">INDEX(Summary!$T$2:$T$201,MATCH($B3343,Summary!$A$2:$A$201,0))</f>
        <v>46.17</v>
      </c>
      <c r="Y3343" s="0" t="str">
        <f aca="false">INDEX('Reward Model'!$E$18:$E$37,MATCH($E3343,'Reward Model'!$A$18:$A$37,0))</f>
        <v>Low</v>
      </c>
      <c r="Z3343" s="4" t="n">
        <f aca="false">ROUND(MIN(1,MAX('Reward Model'!$B$2,INDEX('Reward Model'!$C$12:$C$14,MATCH($K3343,'Reward Model'!$A$12:$A$14,0))/$J3343)),3)</f>
        <v>0.872</v>
      </c>
      <c r="AA3343" s="2" t="n">
        <f aca="false">IF($I3343="Correct",ROUND(INDEX('Reward Model'!$B$12:$B$14,MATCH($K3343,'Reward Model'!$A$12:$A$14,0))*Z3343,2),0)</f>
        <v>0.87</v>
      </c>
      <c r="AB3343" s="2" t="n">
        <f aca="false">IF($I3343="Correct",ROUND(INDEX('Reward Model'!$B$12:$B$14,MATCH($Y3343,'Reward Model'!$A$12:$A$14,0))*Z3343,2),0)</f>
        <v>0.87</v>
      </c>
    </row>
    <row r="3344" customFormat="false" ht="15" hidden="false" customHeight="false" outlineLevel="0" collapsed="false">
      <c r="A3344" s="0" t="s">
        <v>466</v>
      </c>
      <c r="B3344" s="0" t="s">
        <v>467</v>
      </c>
      <c r="C3344" s="0" t="s">
        <v>322</v>
      </c>
      <c r="D3344" s="0" t="s">
        <v>189</v>
      </c>
      <c r="E3344" s="0" t="n">
        <v>3</v>
      </c>
      <c r="F3344" s="0" t="s">
        <v>40</v>
      </c>
      <c r="G3344" s="0" t="s">
        <v>42</v>
      </c>
      <c r="H3344" s="0" t="s">
        <v>42</v>
      </c>
      <c r="I3344" s="0" t="s">
        <v>34</v>
      </c>
      <c r="J3344" s="0" t="n">
        <v>1.12</v>
      </c>
      <c r="K3344" s="0" t="s">
        <v>35</v>
      </c>
      <c r="L3344" s="0" t="n">
        <f aca="false">INDEX(Summary!$F$2:$F$201,MATCH($B3344,Summary!$A$2:$A$201,0))</f>
        <v>20</v>
      </c>
      <c r="M3344" s="0" t="n">
        <f aca="false">INDEX(Summary!$I$2:$I$201,MATCH($B3344,Summary!$A$2:$A$201,0))</f>
        <v>2</v>
      </c>
      <c r="N3344" s="0" t="n">
        <f aca="false">INDEX(Summary!$J$2:$J$201,MATCH($B3344,Summary!$A$2:$A$201,0))</f>
        <v>3</v>
      </c>
      <c r="O3344" s="2" t="n">
        <f aca="false">INDEX(Summary!$K$2:$K$201,MATCH($B3344,Summary!$A$2:$A$201,0))</f>
        <v>11.04</v>
      </c>
      <c r="P3344" s="3" t="n">
        <f aca="false">INDEX(Summary!$L$2:$L$201,MATCH($B3344,Summary!$A$2:$A$201,0))</f>
        <v>1</v>
      </c>
      <c r="Q3344" s="3" t="n">
        <f aca="false">INDEX(Summary!$M$2:$M$201,MATCH($B3344,Summary!$A$2:$A$201,0))</f>
        <v>5</v>
      </c>
      <c r="R3344" s="2" t="n">
        <f aca="false">INDEX(Summary!$N$2:$N$201,MATCH($B3344,Summary!$A$2:$A$201,0))</f>
        <v>10.24</v>
      </c>
      <c r="S3344" s="3" t="n">
        <f aca="false">INDEX(Summary!$O$2:$O$201,MATCH($B3344,Summary!$A$2:$A$201,0))</f>
        <v>8</v>
      </c>
      <c r="T3344" s="3" t="n">
        <f aca="false">INDEX(Summary!$P$2:$P$201,MATCH($B3344,Summary!$A$2:$A$201,0))</f>
        <v>1</v>
      </c>
      <c r="U3344" s="2" t="n">
        <f aca="false">INDEX(Summary!$Q$2:$Q$201,MATCH($B3344,Summary!$A$2:$A$201,0))</f>
        <v>11.95</v>
      </c>
      <c r="V3344" s="2" t="n">
        <f aca="false">INDEX(Summary!$R$2:$R$201,MATCH($B3344,Summary!$A$2:$A$201,0))</f>
        <v>18.93</v>
      </c>
      <c r="W3344" s="0" t="str">
        <f aca="false">INDEX(Summary!$S$2:$S$201,MATCH($B3344,Summary!$A$2:$A$201,0))</f>
        <v>Bronze</v>
      </c>
      <c r="X3344" s="2" t="n">
        <f aca="false">INDEX(Summary!$T$2:$T$201,MATCH($B3344,Summary!$A$2:$A$201,0))</f>
        <v>46.17</v>
      </c>
      <c r="Y3344" s="0" t="str">
        <f aca="false">INDEX('Reward Model'!$E$18:$E$37,MATCH($E3344,'Reward Model'!$A$18:$A$37,0))</f>
        <v>Medium</v>
      </c>
      <c r="Z3344" s="4" t="n">
        <f aca="false">ROUND(MIN(1,MAX('Reward Model'!$B$2,INDEX('Reward Model'!$C$12:$C$14,MATCH($K3344,'Reward Model'!$A$12:$A$14,0))/$J3344)),3)</f>
        <v>1</v>
      </c>
      <c r="AA3344" s="2" t="n">
        <f aca="false">IF($I3344="Correct",ROUND(INDEX('Reward Model'!$B$12:$B$14,MATCH($K3344,'Reward Model'!$A$12:$A$14,0))*Z3344,2),0)</f>
        <v>1</v>
      </c>
      <c r="AB3344" s="2" t="n">
        <f aca="false">IF($I3344="Correct",ROUND(INDEX('Reward Model'!$B$12:$B$14,MATCH($Y3344,'Reward Model'!$A$12:$A$14,0))*Z3344,2),0)</f>
        <v>2</v>
      </c>
    </row>
    <row r="3345" customFormat="false" ht="15" hidden="false" customHeight="false" outlineLevel="0" collapsed="false">
      <c r="A3345" s="0" t="s">
        <v>466</v>
      </c>
      <c r="B3345" s="0" t="s">
        <v>467</v>
      </c>
      <c r="C3345" s="0" t="s">
        <v>322</v>
      </c>
      <c r="D3345" s="0" t="s">
        <v>189</v>
      </c>
      <c r="E3345" s="0" t="n">
        <v>4</v>
      </c>
      <c r="F3345" s="0" t="s">
        <v>43</v>
      </c>
      <c r="G3345" s="0" t="s">
        <v>45</v>
      </c>
      <c r="H3345" s="0" t="s">
        <v>45</v>
      </c>
      <c r="I3345" s="0" t="s">
        <v>34</v>
      </c>
      <c r="J3345" s="0" t="n">
        <v>1.53</v>
      </c>
      <c r="K3345" s="0" t="s">
        <v>35</v>
      </c>
      <c r="L3345" s="0" t="n">
        <f aca="false">INDEX(Summary!$F$2:$F$201,MATCH($B3345,Summary!$A$2:$A$201,0))</f>
        <v>20</v>
      </c>
      <c r="M3345" s="0" t="n">
        <f aca="false">INDEX(Summary!$I$2:$I$201,MATCH($B3345,Summary!$A$2:$A$201,0))</f>
        <v>2</v>
      </c>
      <c r="N3345" s="0" t="n">
        <f aca="false">INDEX(Summary!$J$2:$J$201,MATCH($B3345,Summary!$A$2:$A$201,0))</f>
        <v>3</v>
      </c>
      <c r="O3345" s="2" t="n">
        <f aca="false">INDEX(Summary!$K$2:$K$201,MATCH($B3345,Summary!$A$2:$A$201,0))</f>
        <v>11.04</v>
      </c>
      <c r="P3345" s="3" t="n">
        <f aca="false">INDEX(Summary!$L$2:$L$201,MATCH($B3345,Summary!$A$2:$A$201,0))</f>
        <v>1</v>
      </c>
      <c r="Q3345" s="3" t="n">
        <f aca="false">INDEX(Summary!$M$2:$M$201,MATCH($B3345,Summary!$A$2:$A$201,0))</f>
        <v>5</v>
      </c>
      <c r="R3345" s="2" t="n">
        <f aca="false">INDEX(Summary!$N$2:$N$201,MATCH($B3345,Summary!$A$2:$A$201,0))</f>
        <v>10.24</v>
      </c>
      <c r="S3345" s="3" t="n">
        <f aca="false">INDEX(Summary!$O$2:$O$201,MATCH($B3345,Summary!$A$2:$A$201,0))</f>
        <v>8</v>
      </c>
      <c r="T3345" s="3" t="n">
        <f aca="false">INDEX(Summary!$P$2:$P$201,MATCH($B3345,Summary!$A$2:$A$201,0))</f>
        <v>1</v>
      </c>
      <c r="U3345" s="2" t="n">
        <f aca="false">INDEX(Summary!$Q$2:$Q$201,MATCH($B3345,Summary!$A$2:$A$201,0))</f>
        <v>11.95</v>
      </c>
      <c r="V3345" s="2" t="n">
        <f aca="false">INDEX(Summary!$R$2:$R$201,MATCH($B3345,Summary!$A$2:$A$201,0))</f>
        <v>18.93</v>
      </c>
      <c r="W3345" s="0" t="str">
        <f aca="false">INDEX(Summary!$S$2:$S$201,MATCH($B3345,Summary!$A$2:$A$201,0))</f>
        <v>Bronze</v>
      </c>
      <c r="X3345" s="2" t="n">
        <f aca="false">INDEX(Summary!$T$2:$T$201,MATCH($B3345,Summary!$A$2:$A$201,0))</f>
        <v>46.17</v>
      </c>
      <c r="Y3345" s="0" t="str">
        <f aca="false">INDEX('Reward Model'!$E$18:$E$37,MATCH($E3345,'Reward Model'!$A$18:$A$37,0))</f>
        <v>Low</v>
      </c>
      <c r="Z3345" s="4" t="n">
        <f aca="false">ROUND(MIN(1,MAX('Reward Model'!$B$2,INDEX('Reward Model'!$C$12:$C$14,MATCH($K3345,'Reward Model'!$A$12:$A$14,0))/$J3345)),3)</f>
        <v>0.98</v>
      </c>
      <c r="AA3345" s="2" t="n">
        <f aca="false">IF($I3345="Correct",ROUND(INDEX('Reward Model'!$B$12:$B$14,MATCH($K3345,'Reward Model'!$A$12:$A$14,0))*Z3345,2),0)</f>
        <v>0.98</v>
      </c>
      <c r="AB3345" s="2" t="n">
        <f aca="false">IF($I3345="Correct",ROUND(INDEX('Reward Model'!$B$12:$B$14,MATCH($Y3345,'Reward Model'!$A$12:$A$14,0))*Z3345,2),0)</f>
        <v>0.98</v>
      </c>
    </row>
    <row r="3346" customFormat="false" ht="15" hidden="false" customHeight="false" outlineLevel="0" collapsed="false">
      <c r="A3346" s="0" t="s">
        <v>466</v>
      </c>
      <c r="B3346" s="0" t="s">
        <v>467</v>
      </c>
      <c r="C3346" s="0" t="s">
        <v>322</v>
      </c>
      <c r="D3346" s="0" t="s">
        <v>189</v>
      </c>
      <c r="E3346" s="0" t="n">
        <v>5</v>
      </c>
      <c r="F3346" s="0" t="s">
        <v>46</v>
      </c>
      <c r="G3346" s="0" t="s">
        <v>47</v>
      </c>
      <c r="H3346" s="0" t="s">
        <v>47</v>
      </c>
      <c r="I3346" s="0" t="s">
        <v>34</v>
      </c>
      <c r="J3346" s="0" t="n">
        <v>1.98</v>
      </c>
      <c r="K3346" s="0" t="s">
        <v>35</v>
      </c>
      <c r="L3346" s="0" t="n">
        <f aca="false">INDEX(Summary!$F$2:$F$201,MATCH($B3346,Summary!$A$2:$A$201,0))</f>
        <v>20</v>
      </c>
      <c r="M3346" s="0" t="n">
        <f aca="false">INDEX(Summary!$I$2:$I$201,MATCH($B3346,Summary!$A$2:$A$201,0))</f>
        <v>2</v>
      </c>
      <c r="N3346" s="0" t="n">
        <f aca="false">INDEX(Summary!$J$2:$J$201,MATCH($B3346,Summary!$A$2:$A$201,0))</f>
        <v>3</v>
      </c>
      <c r="O3346" s="2" t="n">
        <f aca="false">INDEX(Summary!$K$2:$K$201,MATCH($B3346,Summary!$A$2:$A$201,0))</f>
        <v>11.04</v>
      </c>
      <c r="P3346" s="3" t="n">
        <f aca="false">INDEX(Summary!$L$2:$L$201,MATCH($B3346,Summary!$A$2:$A$201,0))</f>
        <v>1</v>
      </c>
      <c r="Q3346" s="3" t="n">
        <f aca="false">INDEX(Summary!$M$2:$M$201,MATCH($B3346,Summary!$A$2:$A$201,0))</f>
        <v>5</v>
      </c>
      <c r="R3346" s="2" t="n">
        <f aca="false">INDEX(Summary!$N$2:$N$201,MATCH($B3346,Summary!$A$2:$A$201,0))</f>
        <v>10.24</v>
      </c>
      <c r="S3346" s="3" t="n">
        <f aca="false">INDEX(Summary!$O$2:$O$201,MATCH($B3346,Summary!$A$2:$A$201,0))</f>
        <v>8</v>
      </c>
      <c r="T3346" s="3" t="n">
        <f aca="false">INDEX(Summary!$P$2:$P$201,MATCH($B3346,Summary!$A$2:$A$201,0))</f>
        <v>1</v>
      </c>
      <c r="U3346" s="2" t="n">
        <f aca="false">INDEX(Summary!$Q$2:$Q$201,MATCH($B3346,Summary!$A$2:$A$201,0))</f>
        <v>11.95</v>
      </c>
      <c r="V3346" s="2" t="n">
        <f aca="false">INDEX(Summary!$R$2:$R$201,MATCH($B3346,Summary!$A$2:$A$201,0))</f>
        <v>18.93</v>
      </c>
      <c r="W3346" s="0" t="str">
        <f aca="false">INDEX(Summary!$S$2:$S$201,MATCH($B3346,Summary!$A$2:$A$201,0))</f>
        <v>Bronze</v>
      </c>
      <c r="X3346" s="2" t="n">
        <f aca="false">INDEX(Summary!$T$2:$T$201,MATCH($B3346,Summary!$A$2:$A$201,0))</f>
        <v>46.17</v>
      </c>
      <c r="Y3346" s="0" t="str">
        <f aca="false">INDEX('Reward Model'!$E$18:$E$37,MATCH($E3346,'Reward Model'!$A$18:$A$37,0))</f>
        <v>Low</v>
      </c>
      <c r="Z3346" s="4" t="n">
        <f aca="false">ROUND(MIN(1,MAX('Reward Model'!$B$2,INDEX('Reward Model'!$C$12:$C$14,MATCH($K3346,'Reward Model'!$A$12:$A$14,0))/$J3346)),3)</f>
        <v>0.758</v>
      </c>
      <c r="AA3346" s="2" t="n">
        <f aca="false">IF($I3346="Correct",ROUND(INDEX('Reward Model'!$B$12:$B$14,MATCH($K3346,'Reward Model'!$A$12:$A$14,0))*Z3346,2),0)</f>
        <v>0.76</v>
      </c>
      <c r="AB3346" s="2" t="n">
        <f aca="false">IF($I3346="Correct",ROUND(INDEX('Reward Model'!$B$12:$B$14,MATCH($Y3346,'Reward Model'!$A$12:$A$14,0))*Z3346,2),0)</f>
        <v>0.76</v>
      </c>
    </row>
    <row r="3347" customFormat="false" ht="15" hidden="false" customHeight="false" outlineLevel="0" collapsed="false">
      <c r="A3347" s="0" t="s">
        <v>466</v>
      </c>
      <c r="B3347" s="0" t="s">
        <v>467</v>
      </c>
      <c r="C3347" s="0" t="s">
        <v>322</v>
      </c>
      <c r="D3347" s="0" t="s">
        <v>189</v>
      </c>
      <c r="E3347" s="0" t="n">
        <v>6</v>
      </c>
      <c r="F3347" s="0" t="s">
        <v>48</v>
      </c>
      <c r="G3347" s="0" t="s">
        <v>49</v>
      </c>
      <c r="H3347" s="0" t="s">
        <v>49</v>
      </c>
      <c r="I3347" s="0" t="s">
        <v>34</v>
      </c>
      <c r="J3347" s="0" t="n">
        <v>1.09</v>
      </c>
      <c r="K3347" s="0" t="s">
        <v>35</v>
      </c>
      <c r="L3347" s="0" t="n">
        <f aca="false">INDEX(Summary!$F$2:$F$201,MATCH($B3347,Summary!$A$2:$A$201,0))</f>
        <v>20</v>
      </c>
      <c r="M3347" s="0" t="n">
        <f aca="false">INDEX(Summary!$I$2:$I$201,MATCH($B3347,Summary!$A$2:$A$201,0))</f>
        <v>2</v>
      </c>
      <c r="N3347" s="0" t="n">
        <f aca="false">INDEX(Summary!$J$2:$J$201,MATCH($B3347,Summary!$A$2:$A$201,0))</f>
        <v>3</v>
      </c>
      <c r="O3347" s="2" t="n">
        <f aca="false">INDEX(Summary!$K$2:$K$201,MATCH($B3347,Summary!$A$2:$A$201,0))</f>
        <v>11.04</v>
      </c>
      <c r="P3347" s="3" t="n">
        <f aca="false">INDEX(Summary!$L$2:$L$201,MATCH($B3347,Summary!$A$2:$A$201,0))</f>
        <v>1</v>
      </c>
      <c r="Q3347" s="3" t="n">
        <f aca="false">INDEX(Summary!$M$2:$M$201,MATCH($B3347,Summary!$A$2:$A$201,0))</f>
        <v>5</v>
      </c>
      <c r="R3347" s="2" t="n">
        <f aca="false">INDEX(Summary!$N$2:$N$201,MATCH($B3347,Summary!$A$2:$A$201,0))</f>
        <v>10.24</v>
      </c>
      <c r="S3347" s="3" t="n">
        <f aca="false">INDEX(Summary!$O$2:$O$201,MATCH($B3347,Summary!$A$2:$A$201,0))</f>
        <v>8</v>
      </c>
      <c r="T3347" s="3" t="n">
        <f aca="false">INDEX(Summary!$P$2:$P$201,MATCH($B3347,Summary!$A$2:$A$201,0))</f>
        <v>1</v>
      </c>
      <c r="U3347" s="2" t="n">
        <f aca="false">INDEX(Summary!$Q$2:$Q$201,MATCH($B3347,Summary!$A$2:$A$201,0))</f>
        <v>11.95</v>
      </c>
      <c r="V3347" s="2" t="n">
        <f aca="false">INDEX(Summary!$R$2:$R$201,MATCH($B3347,Summary!$A$2:$A$201,0))</f>
        <v>18.93</v>
      </c>
      <c r="W3347" s="0" t="str">
        <f aca="false">INDEX(Summary!$S$2:$S$201,MATCH($B3347,Summary!$A$2:$A$201,0))</f>
        <v>Bronze</v>
      </c>
      <c r="X3347" s="2" t="n">
        <f aca="false">INDEX(Summary!$T$2:$T$201,MATCH($B3347,Summary!$A$2:$A$201,0))</f>
        <v>46.17</v>
      </c>
      <c r="Y3347" s="0" t="str">
        <f aca="false">INDEX('Reward Model'!$E$18:$E$37,MATCH($E3347,'Reward Model'!$A$18:$A$37,0))</f>
        <v>Medium</v>
      </c>
      <c r="Z3347" s="4" t="n">
        <f aca="false">ROUND(MIN(1,MAX('Reward Model'!$B$2,INDEX('Reward Model'!$C$12:$C$14,MATCH($K3347,'Reward Model'!$A$12:$A$14,0))/$J3347)),3)</f>
        <v>1</v>
      </c>
      <c r="AA3347" s="2" t="n">
        <f aca="false">IF($I3347="Correct",ROUND(INDEX('Reward Model'!$B$12:$B$14,MATCH($K3347,'Reward Model'!$A$12:$A$14,0))*Z3347,2),0)</f>
        <v>1</v>
      </c>
      <c r="AB3347" s="2" t="n">
        <f aca="false">IF($I3347="Correct",ROUND(INDEX('Reward Model'!$B$12:$B$14,MATCH($Y3347,'Reward Model'!$A$12:$A$14,0))*Z3347,2),0)</f>
        <v>2</v>
      </c>
    </row>
    <row r="3348" customFormat="false" ht="15" hidden="false" customHeight="false" outlineLevel="0" collapsed="false">
      <c r="A3348" s="0" t="s">
        <v>466</v>
      </c>
      <c r="B3348" s="0" t="s">
        <v>467</v>
      </c>
      <c r="C3348" s="0" t="s">
        <v>322</v>
      </c>
      <c r="D3348" s="0" t="s">
        <v>189</v>
      </c>
      <c r="E3348" s="0" t="n">
        <v>7</v>
      </c>
      <c r="F3348" s="0" t="s">
        <v>50</v>
      </c>
      <c r="G3348" s="0" t="s">
        <v>51</v>
      </c>
      <c r="H3348" s="0" t="s">
        <v>51</v>
      </c>
      <c r="I3348" s="0" t="s">
        <v>34</v>
      </c>
      <c r="J3348" s="0" t="n">
        <v>1</v>
      </c>
      <c r="K3348" s="0" t="s">
        <v>35</v>
      </c>
      <c r="L3348" s="0" t="n">
        <f aca="false">INDEX(Summary!$F$2:$F$201,MATCH($B3348,Summary!$A$2:$A$201,0))</f>
        <v>20</v>
      </c>
      <c r="M3348" s="0" t="n">
        <f aca="false">INDEX(Summary!$I$2:$I$201,MATCH($B3348,Summary!$A$2:$A$201,0))</f>
        <v>2</v>
      </c>
      <c r="N3348" s="0" t="n">
        <f aca="false">INDEX(Summary!$J$2:$J$201,MATCH($B3348,Summary!$A$2:$A$201,0))</f>
        <v>3</v>
      </c>
      <c r="O3348" s="2" t="n">
        <f aca="false">INDEX(Summary!$K$2:$K$201,MATCH($B3348,Summary!$A$2:$A$201,0))</f>
        <v>11.04</v>
      </c>
      <c r="P3348" s="3" t="n">
        <f aca="false">INDEX(Summary!$L$2:$L$201,MATCH($B3348,Summary!$A$2:$A$201,0))</f>
        <v>1</v>
      </c>
      <c r="Q3348" s="3" t="n">
        <f aca="false">INDEX(Summary!$M$2:$M$201,MATCH($B3348,Summary!$A$2:$A$201,0))</f>
        <v>5</v>
      </c>
      <c r="R3348" s="2" t="n">
        <f aca="false">INDEX(Summary!$N$2:$N$201,MATCH($B3348,Summary!$A$2:$A$201,0))</f>
        <v>10.24</v>
      </c>
      <c r="S3348" s="3" t="n">
        <f aca="false">INDEX(Summary!$O$2:$O$201,MATCH($B3348,Summary!$A$2:$A$201,0))</f>
        <v>8</v>
      </c>
      <c r="T3348" s="3" t="n">
        <f aca="false">INDEX(Summary!$P$2:$P$201,MATCH($B3348,Summary!$A$2:$A$201,0))</f>
        <v>1</v>
      </c>
      <c r="U3348" s="2" t="n">
        <f aca="false">INDEX(Summary!$Q$2:$Q$201,MATCH($B3348,Summary!$A$2:$A$201,0))</f>
        <v>11.95</v>
      </c>
      <c r="V3348" s="2" t="n">
        <f aca="false">INDEX(Summary!$R$2:$R$201,MATCH($B3348,Summary!$A$2:$A$201,0))</f>
        <v>18.93</v>
      </c>
      <c r="W3348" s="0" t="str">
        <f aca="false">INDEX(Summary!$S$2:$S$201,MATCH($B3348,Summary!$A$2:$A$201,0))</f>
        <v>Bronze</v>
      </c>
      <c r="X3348" s="2" t="n">
        <f aca="false">INDEX(Summary!$T$2:$T$201,MATCH($B3348,Summary!$A$2:$A$201,0))</f>
        <v>46.17</v>
      </c>
      <c r="Y3348" s="0" t="str">
        <f aca="false">INDEX('Reward Model'!$E$18:$E$37,MATCH($E3348,'Reward Model'!$A$18:$A$37,0))</f>
        <v>Low</v>
      </c>
      <c r="Z3348" s="4" t="n">
        <f aca="false">ROUND(MIN(1,MAX('Reward Model'!$B$2,INDEX('Reward Model'!$C$12:$C$14,MATCH($K3348,'Reward Model'!$A$12:$A$14,0))/$J3348)),3)</f>
        <v>1</v>
      </c>
      <c r="AA3348" s="2" t="n">
        <f aca="false">IF($I3348="Correct",ROUND(INDEX('Reward Model'!$B$12:$B$14,MATCH($K3348,'Reward Model'!$A$12:$A$14,0))*Z3348,2),0)</f>
        <v>1</v>
      </c>
      <c r="AB3348" s="2" t="n">
        <f aca="false">IF($I3348="Correct",ROUND(INDEX('Reward Model'!$B$12:$B$14,MATCH($Y3348,'Reward Model'!$A$12:$A$14,0))*Z3348,2),0)</f>
        <v>1</v>
      </c>
    </row>
    <row r="3349" customFormat="false" ht="15" hidden="false" customHeight="false" outlineLevel="0" collapsed="false">
      <c r="A3349" s="0" t="s">
        <v>466</v>
      </c>
      <c r="B3349" s="0" t="s">
        <v>467</v>
      </c>
      <c r="C3349" s="0" t="s">
        <v>322</v>
      </c>
      <c r="D3349" s="0" t="s">
        <v>189</v>
      </c>
      <c r="E3349" s="0" t="n">
        <v>8</v>
      </c>
      <c r="F3349" s="0" t="s">
        <v>52</v>
      </c>
      <c r="G3349" s="0" t="s">
        <v>53</v>
      </c>
      <c r="H3349" s="0" t="s">
        <v>54</v>
      </c>
      <c r="I3349" s="0" t="s">
        <v>39</v>
      </c>
      <c r="J3349" s="0" t="n">
        <v>1.03</v>
      </c>
      <c r="K3349" s="0" t="s">
        <v>35</v>
      </c>
      <c r="L3349" s="0" t="n">
        <f aca="false">INDEX(Summary!$F$2:$F$201,MATCH($B3349,Summary!$A$2:$A$201,0))</f>
        <v>20</v>
      </c>
      <c r="M3349" s="0" t="n">
        <f aca="false">INDEX(Summary!$I$2:$I$201,MATCH($B3349,Summary!$A$2:$A$201,0))</f>
        <v>2</v>
      </c>
      <c r="N3349" s="0" t="n">
        <f aca="false">INDEX(Summary!$J$2:$J$201,MATCH($B3349,Summary!$A$2:$A$201,0))</f>
        <v>3</v>
      </c>
      <c r="O3349" s="2" t="n">
        <f aca="false">INDEX(Summary!$K$2:$K$201,MATCH($B3349,Summary!$A$2:$A$201,0))</f>
        <v>11.04</v>
      </c>
      <c r="P3349" s="3" t="n">
        <f aca="false">INDEX(Summary!$L$2:$L$201,MATCH($B3349,Summary!$A$2:$A$201,0))</f>
        <v>1</v>
      </c>
      <c r="Q3349" s="3" t="n">
        <f aca="false">INDEX(Summary!$M$2:$M$201,MATCH($B3349,Summary!$A$2:$A$201,0))</f>
        <v>5</v>
      </c>
      <c r="R3349" s="2" t="n">
        <f aca="false">INDEX(Summary!$N$2:$N$201,MATCH($B3349,Summary!$A$2:$A$201,0))</f>
        <v>10.24</v>
      </c>
      <c r="S3349" s="3" t="n">
        <f aca="false">INDEX(Summary!$O$2:$O$201,MATCH($B3349,Summary!$A$2:$A$201,0))</f>
        <v>8</v>
      </c>
      <c r="T3349" s="3" t="n">
        <f aca="false">INDEX(Summary!$P$2:$P$201,MATCH($B3349,Summary!$A$2:$A$201,0))</f>
        <v>1</v>
      </c>
      <c r="U3349" s="2" t="n">
        <f aca="false">INDEX(Summary!$Q$2:$Q$201,MATCH($B3349,Summary!$A$2:$A$201,0))</f>
        <v>11.95</v>
      </c>
      <c r="V3349" s="2" t="n">
        <f aca="false">INDEX(Summary!$R$2:$R$201,MATCH($B3349,Summary!$A$2:$A$201,0))</f>
        <v>18.93</v>
      </c>
      <c r="W3349" s="0" t="str">
        <f aca="false">INDEX(Summary!$S$2:$S$201,MATCH($B3349,Summary!$A$2:$A$201,0))</f>
        <v>Bronze</v>
      </c>
      <c r="X3349" s="2" t="n">
        <f aca="false">INDEX(Summary!$T$2:$T$201,MATCH($B3349,Summary!$A$2:$A$201,0))</f>
        <v>46.17</v>
      </c>
      <c r="Y3349" s="0" t="str">
        <f aca="false">INDEX('Reward Model'!$E$18:$E$37,MATCH($E3349,'Reward Model'!$A$18:$A$37,0))</f>
        <v>Medium</v>
      </c>
      <c r="Z3349" s="4" t="n">
        <f aca="false">ROUND(MIN(1,MAX('Reward Model'!$B$2,INDEX('Reward Model'!$C$12:$C$14,MATCH($K3349,'Reward Model'!$A$12:$A$14,0))/$J3349)),3)</f>
        <v>1</v>
      </c>
      <c r="AA3349" s="2" t="n">
        <f aca="false">IF($I3349="Correct",ROUND(INDEX('Reward Model'!$B$12:$B$14,MATCH($K3349,'Reward Model'!$A$12:$A$14,0))*Z3349,2),0)</f>
        <v>0</v>
      </c>
      <c r="AB3349" s="2" t="n">
        <f aca="false">IF($I3349="Correct",ROUND(INDEX('Reward Model'!$B$12:$B$14,MATCH($Y3349,'Reward Model'!$A$12:$A$14,0))*Z3349,2),0)</f>
        <v>0</v>
      </c>
    </row>
    <row r="3350" customFormat="false" ht="15" hidden="false" customHeight="false" outlineLevel="0" collapsed="false">
      <c r="A3350" s="0" t="s">
        <v>466</v>
      </c>
      <c r="B3350" s="0" t="s">
        <v>467</v>
      </c>
      <c r="C3350" s="0" t="s">
        <v>322</v>
      </c>
      <c r="D3350" s="0" t="s">
        <v>189</v>
      </c>
      <c r="E3350" s="0" t="n">
        <v>9</v>
      </c>
      <c r="F3350" s="0" t="s">
        <v>55</v>
      </c>
      <c r="G3350" s="0" t="s">
        <v>57</v>
      </c>
      <c r="H3350" s="0" t="s">
        <v>57</v>
      </c>
      <c r="I3350" s="0" t="s">
        <v>34</v>
      </c>
      <c r="J3350" s="0" t="n">
        <v>1.41</v>
      </c>
      <c r="K3350" s="0" t="s">
        <v>35</v>
      </c>
      <c r="L3350" s="0" t="n">
        <f aca="false">INDEX(Summary!$F$2:$F$201,MATCH($B3350,Summary!$A$2:$A$201,0))</f>
        <v>20</v>
      </c>
      <c r="M3350" s="0" t="n">
        <f aca="false">INDEX(Summary!$I$2:$I$201,MATCH($B3350,Summary!$A$2:$A$201,0))</f>
        <v>2</v>
      </c>
      <c r="N3350" s="0" t="n">
        <f aca="false">INDEX(Summary!$J$2:$J$201,MATCH($B3350,Summary!$A$2:$A$201,0))</f>
        <v>3</v>
      </c>
      <c r="O3350" s="2" t="n">
        <f aca="false">INDEX(Summary!$K$2:$K$201,MATCH($B3350,Summary!$A$2:$A$201,0))</f>
        <v>11.04</v>
      </c>
      <c r="P3350" s="3" t="n">
        <f aca="false">INDEX(Summary!$L$2:$L$201,MATCH($B3350,Summary!$A$2:$A$201,0))</f>
        <v>1</v>
      </c>
      <c r="Q3350" s="3" t="n">
        <f aca="false">INDEX(Summary!$M$2:$M$201,MATCH($B3350,Summary!$A$2:$A$201,0))</f>
        <v>5</v>
      </c>
      <c r="R3350" s="2" t="n">
        <f aca="false">INDEX(Summary!$N$2:$N$201,MATCH($B3350,Summary!$A$2:$A$201,0))</f>
        <v>10.24</v>
      </c>
      <c r="S3350" s="3" t="n">
        <f aca="false">INDEX(Summary!$O$2:$O$201,MATCH($B3350,Summary!$A$2:$A$201,0))</f>
        <v>8</v>
      </c>
      <c r="T3350" s="3" t="n">
        <f aca="false">INDEX(Summary!$P$2:$P$201,MATCH($B3350,Summary!$A$2:$A$201,0))</f>
        <v>1</v>
      </c>
      <c r="U3350" s="2" t="n">
        <f aca="false">INDEX(Summary!$Q$2:$Q$201,MATCH($B3350,Summary!$A$2:$A$201,0))</f>
        <v>11.95</v>
      </c>
      <c r="V3350" s="2" t="n">
        <f aca="false">INDEX(Summary!$R$2:$R$201,MATCH($B3350,Summary!$A$2:$A$201,0))</f>
        <v>18.93</v>
      </c>
      <c r="W3350" s="0" t="str">
        <f aca="false">INDEX(Summary!$S$2:$S$201,MATCH($B3350,Summary!$A$2:$A$201,0))</f>
        <v>Bronze</v>
      </c>
      <c r="X3350" s="2" t="n">
        <f aca="false">INDEX(Summary!$T$2:$T$201,MATCH($B3350,Summary!$A$2:$A$201,0))</f>
        <v>46.17</v>
      </c>
      <c r="Y3350" s="0" t="str">
        <f aca="false">INDEX('Reward Model'!$E$18:$E$37,MATCH($E3350,'Reward Model'!$A$18:$A$37,0))</f>
        <v>Medium</v>
      </c>
      <c r="Z3350" s="4" t="n">
        <f aca="false">ROUND(MIN(1,MAX('Reward Model'!$B$2,INDEX('Reward Model'!$C$12:$C$14,MATCH($K3350,'Reward Model'!$A$12:$A$14,0))/$J3350)),3)</f>
        <v>1</v>
      </c>
      <c r="AA3350" s="2" t="n">
        <f aca="false">IF($I3350="Correct",ROUND(INDEX('Reward Model'!$B$12:$B$14,MATCH($K3350,'Reward Model'!$A$12:$A$14,0))*Z3350,2),0)</f>
        <v>1</v>
      </c>
      <c r="AB3350" s="2" t="n">
        <f aca="false">IF($I3350="Correct",ROUND(INDEX('Reward Model'!$B$12:$B$14,MATCH($Y3350,'Reward Model'!$A$12:$A$14,0))*Z3350,2),0)</f>
        <v>2</v>
      </c>
    </row>
    <row r="3351" customFormat="false" ht="15" hidden="false" customHeight="false" outlineLevel="0" collapsed="false">
      <c r="A3351" s="0" t="s">
        <v>466</v>
      </c>
      <c r="B3351" s="0" t="s">
        <v>467</v>
      </c>
      <c r="C3351" s="0" t="s">
        <v>322</v>
      </c>
      <c r="D3351" s="0" t="s">
        <v>189</v>
      </c>
      <c r="E3351" s="0" t="n">
        <v>10</v>
      </c>
      <c r="F3351" s="0" t="s">
        <v>58</v>
      </c>
      <c r="G3351" s="0" t="s">
        <v>174</v>
      </c>
      <c r="H3351" s="0" t="s">
        <v>59</v>
      </c>
      <c r="I3351" s="0" t="s">
        <v>39</v>
      </c>
      <c r="J3351" s="0" t="n">
        <v>2.19</v>
      </c>
      <c r="K3351" s="0" t="s">
        <v>60</v>
      </c>
      <c r="L3351" s="0" t="n">
        <f aca="false">INDEX(Summary!$F$2:$F$201,MATCH($B3351,Summary!$A$2:$A$201,0))</f>
        <v>20</v>
      </c>
      <c r="M3351" s="0" t="n">
        <f aca="false">INDEX(Summary!$I$2:$I$201,MATCH($B3351,Summary!$A$2:$A$201,0))</f>
        <v>2</v>
      </c>
      <c r="N3351" s="0" t="n">
        <f aca="false">INDEX(Summary!$J$2:$J$201,MATCH($B3351,Summary!$A$2:$A$201,0))</f>
        <v>3</v>
      </c>
      <c r="O3351" s="2" t="n">
        <f aca="false">INDEX(Summary!$K$2:$K$201,MATCH($B3351,Summary!$A$2:$A$201,0))</f>
        <v>11.04</v>
      </c>
      <c r="P3351" s="3" t="n">
        <f aca="false">INDEX(Summary!$L$2:$L$201,MATCH($B3351,Summary!$A$2:$A$201,0))</f>
        <v>1</v>
      </c>
      <c r="Q3351" s="3" t="n">
        <f aca="false">INDEX(Summary!$M$2:$M$201,MATCH($B3351,Summary!$A$2:$A$201,0))</f>
        <v>5</v>
      </c>
      <c r="R3351" s="2" t="n">
        <f aca="false">INDEX(Summary!$N$2:$N$201,MATCH($B3351,Summary!$A$2:$A$201,0))</f>
        <v>10.24</v>
      </c>
      <c r="S3351" s="3" t="n">
        <f aca="false">INDEX(Summary!$O$2:$O$201,MATCH($B3351,Summary!$A$2:$A$201,0))</f>
        <v>8</v>
      </c>
      <c r="T3351" s="3" t="n">
        <f aca="false">INDEX(Summary!$P$2:$P$201,MATCH($B3351,Summary!$A$2:$A$201,0))</f>
        <v>1</v>
      </c>
      <c r="U3351" s="2" t="n">
        <f aca="false">INDEX(Summary!$Q$2:$Q$201,MATCH($B3351,Summary!$A$2:$A$201,0))</f>
        <v>11.95</v>
      </c>
      <c r="V3351" s="2" t="n">
        <f aca="false">INDEX(Summary!$R$2:$R$201,MATCH($B3351,Summary!$A$2:$A$201,0))</f>
        <v>18.93</v>
      </c>
      <c r="W3351" s="0" t="str">
        <f aca="false">INDEX(Summary!$S$2:$S$201,MATCH($B3351,Summary!$A$2:$A$201,0))</f>
        <v>Bronze</v>
      </c>
      <c r="X3351" s="2" t="n">
        <f aca="false">INDEX(Summary!$T$2:$T$201,MATCH($B3351,Summary!$A$2:$A$201,0))</f>
        <v>46.17</v>
      </c>
      <c r="Y3351" s="0" t="str">
        <f aca="false">INDEX('Reward Model'!$E$18:$E$37,MATCH($E3351,'Reward Model'!$A$18:$A$37,0))</f>
        <v>Medium</v>
      </c>
      <c r="Z3351" s="4" t="n">
        <f aca="false">ROUND(MIN(1,MAX('Reward Model'!$B$2,INDEX('Reward Model'!$C$12:$C$14,MATCH($K3351,'Reward Model'!$A$12:$A$14,0))/$J3351)),3)</f>
        <v>0.822</v>
      </c>
      <c r="AA3351" s="2" t="n">
        <f aca="false">IF($I3351="Correct",ROUND(INDEX('Reward Model'!$B$12:$B$14,MATCH($K3351,'Reward Model'!$A$12:$A$14,0))*Z3351,2),0)</f>
        <v>0</v>
      </c>
      <c r="AB3351" s="2" t="n">
        <f aca="false">IF($I3351="Correct",ROUND(INDEX('Reward Model'!$B$12:$B$14,MATCH($Y3351,'Reward Model'!$A$12:$A$14,0))*Z3351,2),0)</f>
        <v>0</v>
      </c>
    </row>
    <row r="3352" customFormat="false" ht="15" hidden="false" customHeight="false" outlineLevel="0" collapsed="false">
      <c r="A3352" s="0" t="s">
        <v>466</v>
      </c>
      <c r="B3352" s="0" t="s">
        <v>467</v>
      </c>
      <c r="C3352" s="0" t="s">
        <v>322</v>
      </c>
      <c r="D3352" s="0" t="s">
        <v>189</v>
      </c>
      <c r="E3352" s="0" t="n">
        <v>11</v>
      </c>
      <c r="F3352" s="0" t="s">
        <v>61</v>
      </c>
      <c r="G3352" s="0" t="s">
        <v>145</v>
      </c>
      <c r="H3352" s="0" t="s">
        <v>63</v>
      </c>
      <c r="I3352" s="0" t="s">
        <v>39</v>
      </c>
      <c r="J3352" s="0" t="n">
        <v>1.58</v>
      </c>
      <c r="K3352" s="0" t="s">
        <v>60</v>
      </c>
      <c r="L3352" s="0" t="n">
        <f aca="false">INDEX(Summary!$F$2:$F$201,MATCH($B3352,Summary!$A$2:$A$201,0))</f>
        <v>20</v>
      </c>
      <c r="M3352" s="0" t="n">
        <f aca="false">INDEX(Summary!$I$2:$I$201,MATCH($B3352,Summary!$A$2:$A$201,0))</f>
        <v>2</v>
      </c>
      <c r="N3352" s="0" t="n">
        <f aca="false">INDEX(Summary!$J$2:$J$201,MATCH($B3352,Summary!$A$2:$A$201,0))</f>
        <v>3</v>
      </c>
      <c r="O3352" s="2" t="n">
        <f aca="false">INDEX(Summary!$K$2:$K$201,MATCH($B3352,Summary!$A$2:$A$201,0))</f>
        <v>11.04</v>
      </c>
      <c r="P3352" s="3" t="n">
        <f aca="false">INDEX(Summary!$L$2:$L$201,MATCH($B3352,Summary!$A$2:$A$201,0))</f>
        <v>1</v>
      </c>
      <c r="Q3352" s="3" t="n">
        <f aca="false">INDEX(Summary!$M$2:$M$201,MATCH($B3352,Summary!$A$2:$A$201,0))</f>
        <v>5</v>
      </c>
      <c r="R3352" s="2" t="n">
        <f aca="false">INDEX(Summary!$N$2:$N$201,MATCH($B3352,Summary!$A$2:$A$201,0))</f>
        <v>10.24</v>
      </c>
      <c r="S3352" s="3" t="n">
        <f aca="false">INDEX(Summary!$O$2:$O$201,MATCH($B3352,Summary!$A$2:$A$201,0))</f>
        <v>8</v>
      </c>
      <c r="T3352" s="3" t="n">
        <f aca="false">INDEX(Summary!$P$2:$P$201,MATCH($B3352,Summary!$A$2:$A$201,0))</f>
        <v>1</v>
      </c>
      <c r="U3352" s="2" t="n">
        <f aca="false">INDEX(Summary!$Q$2:$Q$201,MATCH($B3352,Summary!$A$2:$A$201,0))</f>
        <v>11.95</v>
      </c>
      <c r="V3352" s="2" t="n">
        <f aca="false">INDEX(Summary!$R$2:$R$201,MATCH($B3352,Summary!$A$2:$A$201,0))</f>
        <v>18.93</v>
      </c>
      <c r="W3352" s="0" t="str">
        <f aca="false">INDEX(Summary!$S$2:$S$201,MATCH($B3352,Summary!$A$2:$A$201,0))</f>
        <v>Bronze</v>
      </c>
      <c r="X3352" s="2" t="n">
        <f aca="false">INDEX(Summary!$T$2:$T$201,MATCH($B3352,Summary!$A$2:$A$201,0))</f>
        <v>46.17</v>
      </c>
      <c r="Y3352" s="0" t="str">
        <f aca="false">INDEX('Reward Model'!$E$18:$E$37,MATCH($E3352,'Reward Model'!$A$18:$A$37,0))</f>
        <v>Medium</v>
      </c>
      <c r="Z3352" s="4" t="n">
        <f aca="false">ROUND(MIN(1,MAX('Reward Model'!$B$2,INDEX('Reward Model'!$C$12:$C$14,MATCH($K3352,'Reward Model'!$A$12:$A$14,0))/$J3352)),3)</f>
        <v>1</v>
      </c>
      <c r="AA3352" s="2" t="n">
        <f aca="false">IF($I3352="Correct",ROUND(INDEX('Reward Model'!$B$12:$B$14,MATCH($K3352,'Reward Model'!$A$12:$A$14,0))*Z3352,2),0)</f>
        <v>0</v>
      </c>
      <c r="AB3352" s="2" t="n">
        <f aca="false">IF($I3352="Correct",ROUND(INDEX('Reward Model'!$B$12:$B$14,MATCH($Y3352,'Reward Model'!$A$12:$A$14,0))*Z3352,2),0)</f>
        <v>0</v>
      </c>
    </row>
    <row r="3353" customFormat="false" ht="15" hidden="false" customHeight="false" outlineLevel="0" collapsed="false">
      <c r="A3353" s="0" t="s">
        <v>466</v>
      </c>
      <c r="B3353" s="0" t="s">
        <v>467</v>
      </c>
      <c r="C3353" s="0" t="s">
        <v>322</v>
      </c>
      <c r="D3353" s="0" t="s">
        <v>189</v>
      </c>
      <c r="E3353" s="0" t="n">
        <v>12</v>
      </c>
      <c r="F3353" s="0" t="s">
        <v>64</v>
      </c>
      <c r="G3353" s="0" t="s">
        <v>146</v>
      </c>
      <c r="H3353" s="0" t="s">
        <v>65</v>
      </c>
      <c r="I3353" s="0" t="s">
        <v>39</v>
      </c>
      <c r="J3353" s="0" t="n">
        <v>2.15</v>
      </c>
      <c r="K3353" s="0" t="s">
        <v>60</v>
      </c>
      <c r="L3353" s="0" t="n">
        <f aca="false">INDEX(Summary!$F$2:$F$201,MATCH($B3353,Summary!$A$2:$A$201,0))</f>
        <v>20</v>
      </c>
      <c r="M3353" s="0" t="n">
        <f aca="false">INDEX(Summary!$I$2:$I$201,MATCH($B3353,Summary!$A$2:$A$201,0))</f>
        <v>2</v>
      </c>
      <c r="N3353" s="0" t="n">
        <f aca="false">INDEX(Summary!$J$2:$J$201,MATCH($B3353,Summary!$A$2:$A$201,0))</f>
        <v>3</v>
      </c>
      <c r="O3353" s="2" t="n">
        <f aca="false">INDEX(Summary!$K$2:$K$201,MATCH($B3353,Summary!$A$2:$A$201,0))</f>
        <v>11.04</v>
      </c>
      <c r="P3353" s="3" t="n">
        <f aca="false">INDEX(Summary!$L$2:$L$201,MATCH($B3353,Summary!$A$2:$A$201,0))</f>
        <v>1</v>
      </c>
      <c r="Q3353" s="3" t="n">
        <f aca="false">INDEX(Summary!$M$2:$M$201,MATCH($B3353,Summary!$A$2:$A$201,0))</f>
        <v>5</v>
      </c>
      <c r="R3353" s="2" t="n">
        <f aca="false">INDEX(Summary!$N$2:$N$201,MATCH($B3353,Summary!$A$2:$A$201,0))</f>
        <v>10.24</v>
      </c>
      <c r="S3353" s="3" t="n">
        <f aca="false">INDEX(Summary!$O$2:$O$201,MATCH($B3353,Summary!$A$2:$A$201,0))</f>
        <v>8</v>
      </c>
      <c r="T3353" s="3" t="n">
        <f aca="false">INDEX(Summary!$P$2:$P$201,MATCH($B3353,Summary!$A$2:$A$201,0))</f>
        <v>1</v>
      </c>
      <c r="U3353" s="2" t="n">
        <f aca="false">INDEX(Summary!$Q$2:$Q$201,MATCH($B3353,Summary!$A$2:$A$201,0))</f>
        <v>11.95</v>
      </c>
      <c r="V3353" s="2" t="n">
        <f aca="false">INDEX(Summary!$R$2:$R$201,MATCH($B3353,Summary!$A$2:$A$201,0))</f>
        <v>18.93</v>
      </c>
      <c r="W3353" s="0" t="str">
        <f aca="false">INDEX(Summary!$S$2:$S$201,MATCH($B3353,Summary!$A$2:$A$201,0))</f>
        <v>Bronze</v>
      </c>
      <c r="X3353" s="2" t="n">
        <f aca="false">INDEX(Summary!$T$2:$T$201,MATCH($B3353,Summary!$A$2:$A$201,0))</f>
        <v>46.17</v>
      </c>
      <c r="Y3353" s="0" t="str">
        <f aca="false">INDEX('Reward Model'!$E$18:$E$37,MATCH($E3353,'Reward Model'!$A$18:$A$37,0))</f>
        <v>Medium</v>
      </c>
      <c r="Z3353" s="4" t="n">
        <f aca="false">ROUND(MIN(1,MAX('Reward Model'!$B$2,INDEX('Reward Model'!$C$12:$C$14,MATCH($K3353,'Reward Model'!$A$12:$A$14,0))/$J3353)),3)</f>
        <v>0.837</v>
      </c>
      <c r="AA3353" s="2" t="n">
        <f aca="false">IF($I3353="Correct",ROUND(INDEX('Reward Model'!$B$12:$B$14,MATCH($K3353,'Reward Model'!$A$12:$A$14,0))*Z3353,2),0)</f>
        <v>0</v>
      </c>
      <c r="AB3353" s="2" t="n">
        <f aca="false">IF($I3353="Correct",ROUND(INDEX('Reward Model'!$B$12:$B$14,MATCH($Y3353,'Reward Model'!$A$12:$A$14,0))*Z3353,2),0)</f>
        <v>0</v>
      </c>
    </row>
    <row r="3354" customFormat="false" ht="15" hidden="false" customHeight="false" outlineLevel="0" collapsed="false">
      <c r="A3354" s="0" t="s">
        <v>466</v>
      </c>
      <c r="B3354" s="0" t="s">
        <v>467</v>
      </c>
      <c r="C3354" s="0" t="s">
        <v>322</v>
      </c>
      <c r="D3354" s="0" t="s">
        <v>189</v>
      </c>
      <c r="E3354" s="0" t="n">
        <v>13</v>
      </c>
      <c r="F3354" s="0" t="s">
        <v>66</v>
      </c>
      <c r="G3354" s="0" t="s">
        <v>165</v>
      </c>
      <c r="H3354" s="0" t="s">
        <v>67</v>
      </c>
      <c r="I3354" s="0" t="s">
        <v>39</v>
      </c>
      <c r="J3354" s="0" t="n">
        <v>1.91</v>
      </c>
      <c r="K3354" s="0" t="s">
        <v>60</v>
      </c>
      <c r="L3354" s="0" t="n">
        <f aca="false">INDEX(Summary!$F$2:$F$201,MATCH($B3354,Summary!$A$2:$A$201,0))</f>
        <v>20</v>
      </c>
      <c r="M3354" s="0" t="n">
        <f aca="false">INDEX(Summary!$I$2:$I$201,MATCH($B3354,Summary!$A$2:$A$201,0))</f>
        <v>2</v>
      </c>
      <c r="N3354" s="0" t="n">
        <f aca="false">INDEX(Summary!$J$2:$J$201,MATCH($B3354,Summary!$A$2:$A$201,0))</f>
        <v>3</v>
      </c>
      <c r="O3354" s="2" t="n">
        <f aca="false">INDEX(Summary!$K$2:$K$201,MATCH($B3354,Summary!$A$2:$A$201,0))</f>
        <v>11.04</v>
      </c>
      <c r="P3354" s="3" t="n">
        <f aca="false">INDEX(Summary!$L$2:$L$201,MATCH($B3354,Summary!$A$2:$A$201,0))</f>
        <v>1</v>
      </c>
      <c r="Q3354" s="3" t="n">
        <f aca="false">INDEX(Summary!$M$2:$M$201,MATCH($B3354,Summary!$A$2:$A$201,0))</f>
        <v>5</v>
      </c>
      <c r="R3354" s="2" t="n">
        <f aca="false">INDEX(Summary!$N$2:$N$201,MATCH($B3354,Summary!$A$2:$A$201,0))</f>
        <v>10.24</v>
      </c>
      <c r="S3354" s="3" t="n">
        <f aca="false">INDEX(Summary!$O$2:$O$201,MATCH($B3354,Summary!$A$2:$A$201,0))</f>
        <v>8</v>
      </c>
      <c r="T3354" s="3" t="n">
        <f aca="false">INDEX(Summary!$P$2:$P$201,MATCH($B3354,Summary!$A$2:$A$201,0))</f>
        <v>1</v>
      </c>
      <c r="U3354" s="2" t="n">
        <f aca="false">INDEX(Summary!$Q$2:$Q$201,MATCH($B3354,Summary!$A$2:$A$201,0))</f>
        <v>11.95</v>
      </c>
      <c r="V3354" s="2" t="n">
        <f aca="false">INDEX(Summary!$R$2:$R$201,MATCH($B3354,Summary!$A$2:$A$201,0))</f>
        <v>18.93</v>
      </c>
      <c r="W3354" s="0" t="str">
        <f aca="false">INDEX(Summary!$S$2:$S$201,MATCH($B3354,Summary!$A$2:$A$201,0))</f>
        <v>Bronze</v>
      </c>
      <c r="X3354" s="2" t="n">
        <f aca="false">INDEX(Summary!$T$2:$T$201,MATCH($B3354,Summary!$A$2:$A$201,0))</f>
        <v>46.17</v>
      </c>
      <c r="Y3354" s="0" t="str">
        <f aca="false">INDEX('Reward Model'!$E$18:$E$37,MATCH($E3354,'Reward Model'!$A$18:$A$37,0))</f>
        <v>Medium</v>
      </c>
      <c r="Z3354" s="4" t="n">
        <f aca="false">ROUND(MIN(1,MAX('Reward Model'!$B$2,INDEX('Reward Model'!$C$12:$C$14,MATCH($K3354,'Reward Model'!$A$12:$A$14,0))/$J3354)),3)</f>
        <v>0.942</v>
      </c>
      <c r="AA3354" s="2" t="n">
        <f aca="false">IF($I3354="Correct",ROUND(INDEX('Reward Model'!$B$12:$B$14,MATCH($K3354,'Reward Model'!$A$12:$A$14,0))*Z3354,2),0)</f>
        <v>0</v>
      </c>
      <c r="AB3354" s="2" t="n">
        <f aca="false">IF($I3354="Correct",ROUND(INDEX('Reward Model'!$B$12:$B$14,MATCH($Y3354,'Reward Model'!$A$12:$A$14,0))*Z3354,2),0)</f>
        <v>0</v>
      </c>
    </row>
    <row r="3355" customFormat="false" ht="15" hidden="false" customHeight="false" outlineLevel="0" collapsed="false">
      <c r="A3355" s="0" t="s">
        <v>466</v>
      </c>
      <c r="B3355" s="0" t="s">
        <v>467</v>
      </c>
      <c r="C3355" s="0" t="s">
        <v>322</v>
      </c>
      <c r="D3355" s="0" t="s">
        <v>189</v>
      </c>
      <c r="E3355" s="0" t="n">
        <v>14</v>
      </c>
      <c r="F3355" s="0" t="s">
        <v>68</v>
      </c>
      <c r="G3355" s="0" t="s">
        <v>86</v>
      </c>
      <c r="H3355" s="0" t="s">
        <v>51</v>
      </c>
      <c r="I3355" s="0" t="s">
        <v>39</v>
      </c>
      <c r="J3355" s="0" t="n">
        <v>1.17</v>
      </c>
      <c r="K3355" s="0" t="s">
        <v>60</v>
      </c>
      <c r="L3355" s="0" t="n">
        <f aca="false">INDEX(Summary!$F$2:$F$201,MATCH($B3355,Summary!$A$2:$A$201,0))</f>
        <v>20</v>
      </c>
      <c r="M3355" s="0" t="n">
        <f aca="false">INDEX(Summary!$I$2:$I$201,MATCH($B3355,Summary!$A$2:$A$201,0))</f>
        <v>2</v>
      </c>
      <c r="N3355" s="0" t="n">
        <f aca="false">INDEX(Summary!$J$2:$J$201,MATCH($B3355,Summary!$A$2:$A$201,0))</f>
        <v>3</v>
      </c>
      <c r="O3355" s="2" t="n">
        <f aca="false">INDEX(Summary!$K$2:$K$201,MATCH($B3355,Summary!$A$2:$A$201,0))</f>
        <v>11.04</v>
      </c>
      <c r="P3355" s="3" t="n">
        <f aca="false">INDEX(Summary!$L$2:$L$201,MATCH($B3355,Summary!$A$2:$A$201,0))</f>
        <v>1</v>
      </c>
      <c r="Q3355" s="3" t="n">
        <f aca="false">INDEX(Summary!$M$2:$M$201,MATCH($B3355,Summary!$A$2:$A$201,0))</f>
        <v>5</v>
      </c>
      <c r="R3355" s="2" t="n">
        <f aca="false">INDEX(Summary!$N$2:$N$201,MATCH($B3355,Summary!$A$2:$A$201,0))</f>
        <v>10.24</v>
      </c>
      <c r="S3355" s="3" t="n">
        <f aca="false">INDEX(Summary!$O$2:$O$201,MATCH($B3355,Summary!$A$2:$A$201,0))</f>
        <v>8</v>
      </c>
      <c r="T3355" s="3" t="n">
        <f aca="false">INDEX(Summary!$P$2:$P$201,MATCH($B3355,Summary!$A$2:$A$201,0))</f>
        <v>1</v>
      </c>
      <c r="U3355" s="2" t="n">
        <f aca="false">INDEX(Summary!$Q$2:$Q$201,MATCH($B3355,Summary!$A$2:$A$201,0))</f>
        <v>11.95</v>
      </c>
      <c r="V3355" s="2" t="n">
        <f aca="false">INDEX(Summary!$R$2:$R$201,MATCH($B3355,Summary!$A$2:$A$201,0))</f>
        <v>18.93</v>
      </c>
      <c r="W3355" s="0" t="str">
        <f aca="false">INDEX(Summary!$S$2:$S$201,MATCH($B3355,Summary!$A$2:$A$201,0))</f>
        <v>Bronze</v>
      </c>
      <c r="X3355" s="2" t="n">
        <f aca="false">INDEX(Summary!$T$2:$T$201,MATCH($B3355,Summary!$A$2:$A$201,0))</f>
        <v>46.17</v>
      </c>
      <c r="Y3355" s="0" t="str">
        <f aca="false">INDEX('Reward Model'!$E$18:$E$37,MATCH($E3355,'Reward Model'!$A$18:$A$37,0))</f>
        <v>Medium</v>
      </c>
      <c r="Z3355" s="4" t="n">
        <f aca="false">ROUND(MIN(1,MAX('Reward Model'!$B$2,INDEX('Reward Model'!$C$12:$C$14,MATCH($K3355,'Reward Model'!$A$12:$A$14,0))/$J3355)),3)</f>
        <v>1</v>
      </c>
      <c r="AA3355" s="2" t="n">
        <f aca="false">IF($I3355="Correct",ROUND(INDEX('Reward Model'!$B$12:$B$14,MATCH($K3355,'Reward Model'!$A$12:$A$14,0))*Z3355,2),0)</f>
        <v>0</v>
      </c>
      <c r="AB3355" s="2" t="n">
        <f aca="false">IF($I3355="Correct",ROUND(INDEX('Reward Model'!$B$12:$B$14,MATCH($Y3355,'Reward Model'!$A$12:$A$14,0))*Z3355,2),0)</f>
        <v>0</v>
      </c>
    </row>
    <row r="3356" customFormat="false" ht="15" hidden="false" customHeight="false" outlineLevel="0" collapsed="false">
      <c r="A3356" s="0" t="s">
        <v>466</v>
      </c>
      <c r="B3356" s="0" t="s">
        <v>467</v>
      </c>
      <c r="C3356" s="0" t="s">
        <v>322</v>
      </c>
      <c r="D3356" s="0" t="s">
        <v>189</v>
      </c>
      <c r="E3356" s="0" t="n">
        <v>15</v>
      </c>
      <c r="F3356" s="0" t="s">
        <v>69</v>
      </c>
      <c r="G3356" s="0" t="s">
        <v>70</v>
      </c>
      <c r="H3356" s="0" t="s">
        <v>70</v>
      </c>
      <c r="I3356" s="0" t="s">
        <v>34</v>
      </c>
      <c r="J3356" s="0" t="n">
        <v>1.24</v>
      </c>
      <c r="K3356" s="0" t="s">
        <v>60</v>
      </c>
      <c r="L3356" s="0" t="n">
        <f aca="false">INDEX(Summary!$F$2:$F$201,MATCH($B3356,Summary!$A$2:$A$201,0))</f>
        <v>20</v>
      </c>
      <c r="M3356" s="0" t="n">
        <f aca="false">INDEX(Summary!$I$2:$I$201,MATCH($B3356,Summary!$A$2:$A$201,0))</f>
        <v>2</v>
      </c>
      <c r="N3356" s="0" t="n">
        <f aca="false">INDEX(Summary!$J$2:$J$201,MATCH($B3356,Summary!$A$2:$A$201,0))</f>
        <v>3</v>
      </c>
      <c r="O3356" s="2" t="n">
        <f aca="false">INDEX(Summary!$K$2:$K$201,MATCH($B3356,Summary!$A$2:$A$201,0))</f>
        <v>11.04</v>
      </c>
      <c r="P3356" s="3" t="n">
        <f aca="false">INDEX(Summary!$L$2:$L$201,MATCH($B3356,Summary!$A$2:$A$201,0))</f>
        <v>1</v>
      </c>
      <c r="Q3356" s="3" t="n">
        <f aca="false">INDEX(Summary!$M$2:$M$201,MATCH($B3356,Summary!$A$2:$A$201,0))</f>
        <v>5</v>
      </c>
      <c r="R3356" s="2" t="n">
        <f aca="false">INDEX(Summary!$N$2:$N$201,MATCH($B3356,Summary!$A$2:$A$201,0))</f>
        <v>10.24</v>
      </c>
      <c r="S3356" s="3" t="n">
        <f aca="false">INDEX(Summary!$O$2:$O$201,MATCH($B3356,Summary!$A$2:$A$201,0))</f>
        <v>8</v>
      </c>
      <c r="T3356" s="3" t="n">
        <f aca="false">INDEX(Summary!$P$2:$P$201,MATCH($B3356,Summary!$A$2:$A$201,0))</f>
        <v>1</v>
      </c>
      <c r="U3356" s="2" t="n">
        <f aca="false">INDEX(Summary!$Q$2:$Q$201,MATCH($B3356,Summary!$A$2:$A$201,0))</f>
        <v>11.95</v>
      </c>
      <c r="V3356" s="2" t="n">
        <f aca="false">INDEX(Summary!$R$2:$R$201,MATCH($B3356,Summary!$A$2:$A$201,0))</f>
        <v>18.93</v>
      </c>
      <c r="W3356" s="0" t="str">
        <f aca="false">INDEX(Summary!$S$2:$S$201,MATCH($B3356,Summary!$A$2:$A$201,0))</f>
        <v>Bronze</v>
      </c>
      <c r="X3356" s="2" t="n">
        <f aca="false">INDEX(Summary!$T$2:$T$201,MATCH($B3356,Summary!$A$2:$A$201,0))</f>
        <v>46.17</v>
      </c>
      <c r="Y3356" s="0" t="str">
        <f aca="false">INDEX('Reward Model'!$E$18:$E$37,MATCH($E3356,'Reward Model'!$A$18:$A$37,0))</f>
        <v>Medium</v>
      </c>
      <c r="Z3356" s="4" t="n">
        <f aca="false">ROUND(MIN(1,MAX('Reward Model'!$B$2,INDEX('Reward Model'!$C$12:$C$14,MATCH($K3356,'Reward Model'!$A$12:$A$14,0))/$J3356)),3)</f>
        <v>1</v>
      </c>
      <c r="AA3356" s="2" t="n">
        <f aca="false">IF($I3356="Correct",ROUND(INDEX('Reward Model'!$B$12:$B$14,MATCH($K3356,'Reward Model'!$A$12:$A$14,0))*Z3356,2),0)</f>
        <v>2</v>
      </c>
      <c r="AB3356" s="2" t="n">
        <f aca="false">IF($I3356="Correct",ROUND(INDEX('Reward Model'!$B$12:$B$14,MATCH($Y3356,'Reward Model'!$A$12:$A$14,0))*Z3356,2),0)</f>
        <v>2</v>
      </c>
    </row>
    <row r="3357" customFormat="false" ht="15" hidden="false" customHeight="false" outlineLevel="0" collapsed="false">
      <c r="A3357" s="0" t="s">
        <v>466</v>
      </c>
      <c r="B3357" s="0" t="s">
        <v>467</v>
      </c>
      <c r="C3357" s="0" t="s">
        <v>322</v>
      </c>
      <c r="D3357" s="0" t="s">
        <v>189</v>
      </c>
      <c r="E3357" s="0" t="n">
        <v>16</v>
      </c>
      <c r="F3357" s="0" t="s">
        <v>71</v>
      </c>
      <c r="G3357" s="0" t="s">
        <v>101</v>
      </c>
      <c r="H3357" s="0" t="s">
        <v>72</v>
      </c>
      <c r="I3357" s="0" t="s">
        <v>39</v>
      </c>
      <c r="J3357" s="0" t="n">
        <v>2.09</v>
      </c>
      <c r="K3357" s="0" t="s">
        <v>73</v>
      </c>
      <c r="L3357" s="0" t="n">
        <f aca="false">INDEX(Summary!$F$2:$F$201,MATCH($B3357,Summary!$A$2:$A$201,0))</f>
        <v>20</v>
      </c>
      <c r="M3357" s="0" t="n">
        <f aca="false">INDEX(Summary!$I$2:$I$201,MATCH($B3357,Summary!$A$2:$A$201,0))</f>
        <v>2</v>
      </c>
      <c r="N3357" s="0" t="n">
        <f aca="false">INDEX(Summary!$J$2:$J$201,MATCH($B3357,Summary!$A$2:$A$201,0))</f>
        <v>3</v>
      </c>
      <c r="O3357" s="2" t="n">
        <f aca="false">INDEX(Summary!$K$2:$K$201,MATCH($B3357,Summary!$A$2:$A$201,0))</f>
        <v>11.04</v>
      </c>
      <c r="P3357" s="3" t="n">
        <f aca="false">INDEX(Summary!$L$2:$L$201,MATCH($B3357,Summary!$A$2:$A$201,0))</f>
        <v>1</v>
      </c>
      <c r="Q3357" s="3" t="n">
        <f aca="false">INDEX(Summary!$M$2:$M$201,MATCH($B3357,Summary!$A$2:$A$201,0))</f>
        <v>5</v>
      </c>
      <c r="R3357" s="2" t="n">
        <f aca="false">INDEX(Summary!$N$2:$N$201,MATCH($B3357,Summary!$A$2:$A$201,0))</f>
        <v>10.24</v>
      </c>
      <c r="S3357" s="3" t="n">
        <f aca="false">INDEX(Summary!$O$2:$O$201,MATCH($B3357,Summary!$A$2:$A$201,0))</f>
        <v>8</v>
      </c>
      <c r="T3357" s="3" t="n">
        <f aca="false">INDEX(Summary!$P$2:$P$201,MATCH($B3357,Summary!$A$2:$A$201,0))</f>
        <v>1</v>
      </c>
      <c r="U3357" s="2" t="n">
        <f aca="false">INDEX(Summary!$Q$2:$Q$201,MATCH($B3357,Summary!$A$2:$A$201,0))</f>
        <v>11.95</v>
      </c>
      <c r="V3357" s="2" t="n">
        <f aca="false">INDEX(Summary!$R$2:$R$201,MATCH($B3357,Summary!$A$2:$A$201,0))</f>
        <v>18.93</v>
      </c>
      <c r="W3357" s="0" t="str">
        <f aca="false">INDEX(Summary!$S$2:$S$201,MATCH($B3357,Summary!$A$2:$A$201,0))</f>
        <v>Bronze</v>
      </c>
      <c r="X3357" s="2" t="n">
        <f aca="false">INDEX(Summary!$T$2:$T$201,MATCH($B3357,Summary!$A$2:$A$201,0))</f>
        <v>46.17</v>
      </c>
      <c r="Y3357" s="0" t="str">
        <f aca="false">INDEX('Reward Model'!$E$18:$E$37,MATCH($E3357,'Reward Model'!$A$18:$A$37,0))</f>
        <v>High</v>
      </c>
      <c r="Z3357" s="4" t="n">
        <f aca="false">ROUND(MIN(1,MAX('Reward Model'!$B$2,INDEX('Reward Model'!$C$12:$C$14,MATCH($K3357,'Reward Model'!$A$12:$A$14,0))/$J3357)),3)</f>
        <v>0.957</v>
      </c>
      <c r="AA3357" s="2" t="n">
        <f aca="false">IF($I3357="Correct",ROUND(INDEX('Reward Model'!$B$12:$B$14,MATCH($K3357,'Reward Model'!$A$12:$A$14,0))*Z3357,2),0)</f>
        <v>0</v>
      </c>
      <c r="AB3357" s="2" t="n">
        <f aca="false">IF($I3357="Correct",ROUND(INDEX('Reward Model'!$B$12:$B$14,MATCH($Y3357,'Reward Model'!$A$12:$A$14,0))*Z3357,2),0)</f>
        <v>0</v>
      </c>
    </row>
    <row r="3358" customFormat="false" ht="15" hidden="false" customHeight="false" outlineLevel="0" collapsed="false">
      <c r="A3358" s="0" t="s">
        <v>466</v>
      </c>
      <c r="B3358" s="0" t="s">
        <v>467</v>
      </c>
      <c r="C3358" s="0" t="s">
        <v>322</v>
      </c>
      <c r="D3358" s="0" t="s">
        <v>189</v>
      </c>
      <c r="E3358" s="0" t="n">
        <v>17</v>
      </c>
      <c r="F3358" s="0" t="s">
        <v>74</v>
      </c>
      <c r="G3358" s="0" t="s">
        <v>75</v>
      </c>
      <c r="H3358" s="0" t="s">
        <v>75</v>
      </c>
      <c r="I3358" s="0" t="s">
        <v>34</v>
      </c>
      <c r="J3358" s="0" t="n">
        <v>2.59</v>
      </c>
      <c r="K3358" s="0" t="s">
        <v>73</v>
      </c>
      <c r="L3358" s="0" t="n">
        <f aca="false">INDEX(Summary!$F$2:$F$201,MATCH($B3358,Summary!$A$2:$A$201,0))</f>
        <v>20</v>
      </c>
      <c r="M3358" s="0" t="n">
        <f aca="false">INDEX(Summary!$I$2:$I$201,MATCH($B3358,Summary!$A$2:$A$201,0))</f>
        <v>2</v>
      </c>
      <c r="N3358" s="0" t="n">
        <f aca="false">INDEX(Summary!$J$2:$J$201,MATCH($B3358,Summary!$A$2:$A$201,0))</f>
        <v>3</v>
      </c>
      <c r="O3358" s="2" t="n">
        <f aca="false">INDEX(Summary!$K$2:$K$201,MATCH($B3358,Summary!$A$2:$A$201,0))</f>
        <v>11.04</v>
      </c>
      <c r="P3358" s="3" t="n">
        <f aca="false">INDEX(Summary!$L$2:$L$201,MATCH($B3358,Summary!$A$2:$A$201,0))</f>
        <v>1</v>
      </c>
      <c r="Q3358" s="3" t="n">
        <f aca="false">INDEX(Summary!$M$2:$M$201,MATCH($B3358,Summary!$A$2:$A$201,0))</f>
        <v>5</v>
      </c>
      <c r="R3358" s="2" t="n">
        <f aca="false">INDEX(Summary!$N$2:$N$201,MATCH($B3358,Summary!$A$2:$A$201,0))</f>
        <v>10.24</v>
      </c>
      <c r="S3358" s="3" t="n">
        <f aca="false">INDEX(Summary!$O$2:$O$201,MATCH($B3358,Summary!$A$2:$A$201,0))</f>
        <v>8</v>
      </c>
      <c r="T3358" s="3" t="n">
        <f aca="false">INDEX(Summary!$P$2:$P$201,MATCH($B3358,Summary!$A$2:$A$201,0))</f>
        <v>1</v>
      </c>
      <c r="U3358" s="2" t="n">
        <f aca="false">INDEX(Summary!$Q$2:$Q$201,MATCH($B3358,Summary!$A$2:$A$201,0))</f>
        <v>11.95</v>
      </c>
      <c r="V3358" s="2" t="n">
        <f aca="false">INDEX(Summary!$R$2:$R$201,MATCH($B3358,Summary!$A$2:$A$201,0))</f>
        <v>18.93</v>
      </c>
      <c r="W3358" s="0" t="str">
        <f aca="false">INDEX(Summary!$S$2:$S$201,MATCH($B3358,Summary!$A$2:$A$201,0))</f>
        <v>Bronze</v>
      </c>
      <c r="X3358" s="2" t="n">
        <f aca="false">INDEX(Summary!$T$2:$T$201,MATCH($B3358,Summary!$A$2:$A$201,0))</f>
        <v>46.17</v>
      </c>
      <c r="Y3358" s="0" t="str">
        <f aca="false">INDEX('Reward Model'!$E$18:$E$37,MATCH($E3358,'Reward Model'!$A$18:$A$37,0))</f>
        <v>High</v>
      </c>
      <c r="Z3358" s="4" t="n">
        <f aca="false">ROUND(MIN(1,MAX('Reward Model'!$B$2,INDEX('Reward Model'!$C$12:$C$14,MATCH($K3358,'Reward Model'!$A$12:$A$14,0))/$J3358)),3)</f>
        <v>0.772</v>
      </c>
      <c r="AA3358" s="2" t="n">
        <f aca="false">IF($I3358="Correct",ROUND(INDEX('Reward Model'!$B$12:$B$14,MATCH($K3358,'Reward Model'!$A$12:$A$14,0))*Z3358,2),0)</f>
        <v>2.32</v>
      </c>
      <c r="AB3358" s="2" t="n">
        <f aca="false">IF($I3358="Correct",ROUND(INDEX('Reward Model'!$B$12:$B$14,MATCH($Y3358,'Reward Model'!$A$12:$A$14,0))*Z3358,2),0)</f>
        <v>2.32</v>
      </c>
    </row>
    <row r="3359" customFormat="false" ht="15" hidden="false" customHeight="false" outlineLevel="0" collapsed="false">
      <c r="A3359" s="0" t="s">
        <v>466</v>
      </c>
      <c r="B3359" s="0" t="s">
        <v>467</v>
      </c>
      <c r="C3359" s="0" t="s">
        <v>322</v>
      </c>
      <c r="D3359" s="0" t="s">
        <v>189</v>
      </c>
      <c r="E3359" s="0" t="n">
        <v>18</v>
      </c>
      <c r="F3359" s="0" t="s">
        <v>76</v>
      </c>
      <c r="G3359" s="0" t="s">
        <v>88</v>
      </c>
      <c r="H3359" s="0" t="s">
        <v>77</v>
      </c>
      <c r="I3359" s="0" t="s">
        <v>39</v>
      </c>
      <c r="J3359" s="0" t="n">
        <v>1.92</v>
      </c>
      <c r="K3359" s="0" t="s">
        <v>73</v>
      </c>
      <c r="L3359" s="0" t="n">
        <f aca="false">INDEX(Summary!$F$2:$F$201,MATCH($B3359,Summary!$A$2:$A$201,0))</f>
        <v>20</v>
      </c>
      <c r="M3359" s="0" t="n">
        <f aca="false">INDEX(Summary!$I$2:$I$201,MATCH($B3359,Summary!$A$2:$A$201,0))</f>
        <v>2</v>
      </c>
      <c r="N3359" s="0" t="n">
        <f aca="false">INDEX(Summary!$J$2:$J$201,MATCH($B3359,Summary!$A$2:$A$201,0))</f>
        <v>3</v>
      </c>
      <c r="O3359" s="2" t="n">
        <f aca="false">INDEX(Summary!$K$2:$K$201,MATCH($B3359,Summary!$A$2:$A$201,0))</f>
        <v>11.04</v>
      </c>
      <c r="P3359" s="3" t="n">
        <f aca="false">INDEX(Summary!$L$2:$L$201,MATCH($B3359,Summary!$A$2:$A$201,0))</f>
        <v>1</v>
      </c>
      <c r="Q3359" s="3" t="n">
        <f aca="false">INDEX(Summary!$M$2:$M$201,MATCH($B3359,Summary!$A$2:$A$201,0))</f>
        <v>5</v>
      </c>
      <c r="R3359" s="2" t="n">
        <f aca="false">INDEX(Summary!$N$2:$N$201,MATCH($B3359,Summary!$A$2:$A$201,0))</f>
        <v>10.24</v>
      </c>
      <c r="S3359" s="3" t="n">
        <f aca="false">INDEX(Summary!$O$2:$O$201,MATCH($B3359,Summary!$A$2:$A$201,0))</f>
        <v>8</v>
      </c>
      <c r="T3359" s="3" t="n">
        <f aca="false">INDEX(Summary!$P$2:$P$201,MATCH($B3359,Summary!$A$2:$A$201,0))</f>
        <v>1</v>
      </c>
      <c r="U3359" s="2" t="n">
        <f aca="false">INDEX(Summary!$Q$2:$Q$201,MATCH($B3359,Summary!$A$2:$A$201,0))</f>
        <v>11.95</v>
      </c>
      <c r="V3359" s="2" t="n">
        <f aca="false">INDEX(Summary!$R$2:$R$201,MATCH($B3359,Summary!$A$2:$A$201,0))</f>
        <v>18.93</v>
      </c>
      <c r="W3359" s="0" t="str">
        <f aca="false">INDEX(Summary!$S$2:$S$201,MATCH($B3359,Summary!$A$2:$A$201,0))</f>
        <v>Bronze</v>
      </c>
      <c r="X3359" s="2" t="n">
        <f aca="false">INDEX(Summary!$T$2:$T$201,MATCH($B3359,Summary!$A$2:$A$201,0))</f>
        <v>46.17</v>
      </c>
      <c r="Y3359" s="0" t="str">
        <f aca="false">INDEX('Reward Model'!$E$18:$E$37,MATCH($E3359,'Reward Model'!$A$18:$A$37,0))</f>
        <v>High</v>
      </c>
      <c r="Z3359" s="4" t="n">
        <f aca="false">ROUND(MIN(1,MAX('Reward Model'!$B$2,INDEX('Reward Model'!$C$12:$C$14,MATCH($K3359,'Reward Model'!$A$12:$A$14,0))/$J3359)),3)</f>
        <v>1</v>
      </c>
      <c r="AA3359" s="2" t="n">
        <f aca="false">IF($I3359="Correct",ROUND(INDEX('Reward Model'!$B$12:$B$14,MATCH($K3359,'Reward Model'!$A$12:$A$14,0))*Z3359,2),0)</f>
        <v>0</v>
      </c>
      <c r="AB3359" s="2" t="n">
        <f aca="false">IF($I3359="Correct",ROUND(INDEX('Reward Model'!$B$12:$B$14,MATCH($Y3359,'Reward Model'!$A$12:$A$14,0))*Z3359,2),0)</f>
        <v>0</v>
      </c>
    </row>
    <row r="3360" customFormat="false" ht="15" hidden="false" customHeight="false" outlineLevel="0" collapsed="false">
      <c r="A3360" s="0" t="s">
        <v>466</v>
      </c>
      <c r="B3360" s="0" t="s">
        <v>467</v>
      </c>
      <c r="C3360" s="0" t="s">
        <v>322</v>
      </c>
      <c r="D3360" s="0" t="s">
        <v>189</v>
      </c>
      <c r="E3360" s="0" t="n">
        <v>19</v>
      </c>
      <c r="F3360" s="0" t="s">
        <v>78</v>
      </c>
      <c r="G3360" s="0" t="s">
        <v>132</v>
      </c>
      <c r="H3360" s="0" t="s">
        <v>80</v>
      </c>
      <c r="I3360" s="0" t="s">
        <v>39</v>
      </c>
      <c r="J3360" s="0" t="n">
        <v>2.47</v>
      </c>
      <c r="K3360" s="0" t="s">
        <v>73</v>
      </c>
      <c r="L3360" s="0" t="n">
        <f aca="false">INDEX(Summary!$F$2:$F$201,MATCH($B3360,Summary!$A$2:$A$201,0))</f>
        <v>20</v>
      </c>
      <c r="M3360" s="0" t="n">
        <f aca="false">INDEX(Summary!$I$2:$I$201,MATCH($B3360,Summary!$A$2:$A$201,0))</f>
        <v>2</v>
      </c>
      <c r="N3360" s="0" t="n">
        <f aca="false">INDEX(Summary!$J$2:$J$201,MATCH($B3360,Summary!$A$2:$A$201,0))</f>
        <v>3</v>
      </c>
      <c r="O3360" s="2" t="n">
        <f aca="false">INDEX(Summary!$K$2:$K$201,MATCH($B3360,Summary!$A$2:$A$201,0))</f>
        <v>11.04</v>
      </c>
      <c r="P3360" s="3" t="n">
        <f aca="false">INDEX(Summary!$L$2:$L$201,MATCH($B3360,Summary!$A$2:$A$201,0))</f>
        <v>1</v>
      </c>
      <c r="Q3360" s="3" t="n">
        <f aca="false">INDEX(Summary!$M$2:$M$201,MATCH($B3360,Summary!$A$2:$A$201,0))</f>
        <v>5</v>
      </c>
      <c r="R3360" s="2" t="n">
        <f aca="false">INDEX(Summary!$N$2:$N$201,MATCH($B3360,Summary!$A$2:$A$201,0))</f>
        <v>10.24</v>
      </c>
      <c r="S3360" s="3" t="n">
        <f aca="false">INDEX(Summary!$O$2:$O$201,MATCH($B3360,Summary!$A$2:$A$201,0))</f>
        <v>8</v>
      </c>
      <c r="T3360" s="3" t="n">
        <f aca="false">INDEX(Summary!$P$2:$P$201,MATCH($B3360,Summary!$A$2:$A$201,0))</f>
        <v>1</v>
      </c>
      <c r="U3360" s="2" t="n">
        <f aca="false">INDEX(Summary!$Q$2:$Q$201,MATCH($B3360,Summary!$A$2:$A$201,0))</f>
        <v>11.95</v>
      </c>
      <c r="V3360" s="2" t="n">
        <f aca="false">INDEX(Summary!$R$2:$R$201,MATCH($B3360,Summary!$A$2:$A$201,0))</f>
        <v>18.93</v>
      </c>
      <c r="W3360" s="0" t="str">
        <f aca="false">INDEX(Summary!$S$2:$S$201,MATCH($B3360,Summary!$A$2:$A$201,0))</f>
        <v>Bronze</v>
      </c>
      <c r="X3360" s="2" t="n">
        <f aca="false">INDEX(Summary!$T$2:$T$201,MATCH($B3360,Summary!$A$2:$A$201,0))</f>
        <v>46.17</v>
      </c>
      <c r="Y3360" s="0" t="str">
        <f aca="false">INDEX('Reward Model'!$E$18:$E$37,MATCH($E3360,'Reward Model'!$A$18:$A$37,0))</f>
        <v>High</v>
      </c>
      <c r="Z3360" s="4" t="n">
        <f aca="false">ROUND(MIN(1,MAX('Reward Model'!$B$2,INDEX('Reward Model'!$C$12:$C$14,MATCH($K3360,'Reward Model'!$A$12:$A$14,0))/$J3360)),3)</f>
        <v>0.81</v>
      </c>
      <c r="AA3360" s="2" t="n">
        <f aca="false">IF($I3360="Correct",ROUND(INDEX('Reward Model'!$B$12:$B$14,MATCH($K3360,'Reward Model'!$A$12:$A$14,0))*Z3360,2),0)</f>
        <v>0</v>
      </c>
      <c r="AB3360" s="2" t="n">
        <f aca="false">IF($I3360="Correct",ROUND(INDEX('Reward Model'!$B$12:$B$14,MATCH($Y3360,'Reward Model'!$A$12:$A$14,0))*Z3360,2),0)</f>
        <v>0</v>
      </c>
    </row>
    <row r="3361" customFormat="false" ht="15" hidden="false" customHeight="false" outlineLevel="0" collapsed="false">
      <c r="A3361" s="0" t="s">
        <v>466</v>
      </c>
      <c r="B3361" s="0" t="s">
        <v>467</v>
      </c>
      <c r="C3361" s="0" t="s">
        <v>322</v>
      </c>
      <c r="D3361" s="0" t="s">
        <v>189</v>
      </c>
      <c r="E3361" s="0" t="n">
        <v>20</v>
      </c>
      <c r="F3361" s="0" t="s">
        <v>81</v>
      </c>
      <c r="G3361" s="0" t="s">
        <v>83</v>
      </c>
      <c r="H3361" s="0" t="s">
        <v>83</v>
      </c>
      <c r="I3361" s="0" t="s">
        <v>34</v>
      </c>
      <c r="J3361" s="0" t="n">
        <v>1.97</v>
      </c>
      <c r="K3361" s="0" t="s">
        <v>73</v>
      </c>
      <c r="L3361" s="0" t="n">
        <f aca="false">INDEX(Summary!$F$2:$F$201,MATCH($B3361,Summary!$A$2:$A$201,0))</f>
        <v>20</v>
      </c>
      <c r="M3361" s="0" t="n">
        <f aca="false">INDEX(Summary!$I$2:$I$201,MATCH($B3361,Summary!$A$2:$A$201,0))</f>
        <v>2</v>
      </c>
      <c r="N3361" s="0" t="n">
        <f aca="false">INDEX(Summary!$J$2:$J$201,MATCH($B3361,Summary!$A$2:$A$201,0))</f>
        <v>3</v>
      </c>
      <c r="O3361" s="2" t="n">
        <f aca="false">INDEX(Summary!$K$2:$K$201,MATCH($B3361,Summary!$A$2:$A$201,0))</f>
        <v>11.04</v>
      </c>
      <c r="P3361" s="3" t="n">
        <f aca="false">INDEX(Summary!$L$2:$L$201,MATCH($B3361,Summary!$A$2:$A$201,0))</f>
        <v>1</v>
      </c>
      <c r="Q3361" s="3" t="n">
        <f aca="false">INDEX(Summary!$M$2:$M$201,MATCH($B3361,Summary!$A$2:$A$201,0))</f>
        <v>5</v>
      </c>
      <c r="R3361" s="2" t="n">
        <f aca="false">INDEX(Summary!$N$2:$N$201,MATCH($B3361,Summary!$A$2:$A$201,0))</f>
        <v>10.24</v>
      </c>
      <c r="S3361" s="3" t="n">
        <f aca="false">INDEX(Summary!$O$2:$O$201,MATCH($B3361,Summary!$A$2:$A$201,0))</f>
        <v>8</v>
      </c>
      <c r="T3361" s="3" t="n">
        <f aca="false">INDEX(Summary!$P$2:$P$201,MATCH($B3361,Summary!$A$2:$A$201,0))</f>
        <v>1</v>
      </c>
      <c r="U3361" s="2" t="n">
        <f aca="false">INDEX(Summary!$Q$2:$Q$201,MATCH($B3361,Summary!$A$2:$A$201,0))</f>
        <v>11.95</v>
      </c>
      <c r="V3361" s="2" t="n">
        <f aca="false">INDEX(Summary!$R$2:$R$201,MATCH($B3361,Summary!$A$2:$A$201,0))</f>
        <v>18.93</v>
      </c>
      <c r="W3361" s="0" t="str">
        <f aca="false">INDEX(Summary!$S$2:$S$201,MATCH($B3361,Summary!$A$2:$A$201,0))</f>
        <v>Bronze</v>
      </c>
      <c r="X3361" s="2" t="n">
        <f aca="false">INDEX(Summary!$T$2:$T$201,MATCH($B3361,Summary!$A$2:$A$201,0))</f>
        <v>46.17</v>
      </c>
      <c r="Y3361" s="0" t="str">
        <f aca="false">INDEX('Reward Model'!$E$18:$E$37,MATCH($E3361,'Reward Model'!$A$18:$A$37,0))</f>
        <v>High</v>
      </c>
      <c r="Z3361" s="4" t="n">
        <f aca="false">ROUND(MIN(1,MAX('Reward Model'!$B$2,INDEX('Reward Model'!$C$12:$C$14,MATCH($K3361,'Reward Model'!$A$12:$A$14,0))/$J3361)),3)</f>
        <v>1</v>
      </c>
      <c r="AA3361" s="2" t="n">
        <f aca="false">IF($I3361="Correct",ROUND(INDEX('Reward Model'!$B$12:$B$14,MATCH($K3361,'Reward Model'!$A$12:$A$14,0))*Z3361,2),0)</f>
        <v>3</v>
      </c>
      <c r="AB3361" s="2" t="n">
        <f aca="false">IF($I3361="Correct",ROUND(INDEX('Reward Model'!$B$12:$B$14,MATCH($Y3361,'Reward Model'!$A$12:$A$14,0))*Z3361,2),0)</f>
        <v>3</v>
      </c>
    </row>
    <row r="3362" customFormat="false" ht="15" hidden="false" customHeight="false" outlineLevel="0" collapsed="false">
      <c r="A3362" s="0" t="s">
        <v>468</v>
      </c>
      <c r="B3362" s="0" t="s">
        <v>469</v>
      </c>
      <c r="C3362" s="0" t="s">
        <v>322</v>
      </c>
      <c r="D3362" s="0" t="s">
        <v>189</v>
      </c>
      <c r="E3362" s="0" t="n">
        <v>1</v>
      </c>
      <c r="F3362" s="0" t="s">
        <v>32</v>
      </c>
      <c r="G3362" s="0" t="s">
        <v>33</v>
      </c>
      <c r="H3362" s="0" t="s">
        <v>33</v>
      </c>
      <c r="I3362" s="0" t="s">
        <v>34</v>
      </c>
      <c r="J3362" s="0" t="n">
        <v>1.22</v>
      </c>
      <c r="K3362" s="0" t="s">
        <v>35</v>
      </c>
      <c r="L3362" s="0" t="n">
        <f aca="false">INDEX(Summary!$F$2:$F$201,MATCH($B3362,Summary!$A$2:$A$201,0))</f>
        <v>20</v>
      </c>
      <c r="M3362" s="0" t="n">
        <f aca="false">INDEX(Summary!$I$2:$I$201,MATCH($B3362,Summary!$A$2:$A$201,0))</f>
        <v>1</v>
      </c>
      <c r="N3362" s="0" t="n">
        <f aca="false">INDEX(Summary!$J$2:$J$201,MATCH($B3362,Summary!$A$2:$A$201,0))</f>
        <v>4</v>
      </c>
      <c r="O3362" s="2" t="n">
        <f aca="false">INDEX(Summary!$K$2:$K$201,MATCH($B3362,Summary!$A$2:$A$201,0))</f>
        <v>8.98</v>
      </c>
      <c r="P3362" s="3" t="n">
        <f aca="false">INDEX(Summary!$L$2:$L$201,MATCH($B3362,Summary!$A$2:$A$201,0))</f>
        <v>3</v>
      </c>
      <c r="Q3362" s="3" t="n">
        <f aca="false">INDEX(Summary!$M$2:$M$201,MATCH($B3362,Summary!$A$2:$A$201,0))</f>
        <v>3</v>
      </c>
      <c r="R3362" s="2" t="n">
        <f aca="false">INDEX(Summary!$N$2:$N$201,MATCH($B3362,Summary!$A$2:$A$201,0))</f>
        <v>10.24</v>
      </c>
      <c r="S3362" s="3" t="n">
        <f aca="false">INDEX(Summary!$O$2:$O$201,MATCH($B3362,Summary!$A$2:$A$201,0))</f>
        <v>8</v>
      </c>
      <c r="T3362" s="3" t="n">
        <f aca="false">INDEX(Summary!$P$2:$P$201,MATCH($B3362,Summary!$A$2:$A$201,0))</f>
        <v>1</v>
      </c>
      <c r="U3362" s="2" t="n">
        <f aca="false">INDEX(Summary!$Q$2:$Q$201,MATCH($B3362,Summary!$A$2:$A$201,0))</f>
        <v>12.07</v>
      </c>
      <c r="V3362" s="2" t="n">
        <f aca="false">INDEX(Summary!$R$2:$R$201,MATCH($B3362,Summary!$A$2:$A$201,0))</f>
        <v>20.19</v>
      </c>
      <c r="W3362" s="0" t="str">
        <f aca="false">INDEX(Summary!$S$2:$S$201,MATCH($B3362,Summary!$A$2:$A$201,0))</f>
        <v>Bronze</v>
      </c>
      <c r="X3362" s="2" t="n">
        <f aca="false">INDEX(Summary!$T$2:$T$201,MATCH($B3362,Summary!$A$2:$A$201,0))</f>
        <v>49.24</v>
      </c>
      <c r="Y3362" s="0" t="str">
        <f aca="false">INDEX('Reward Model'!$E$18:$E$37,MATCH($E3362,'Reward Model'!$A$18:$A$37,0))</f>
        <v>Medium</v>
      </c>
      <c r="Z3362" s="4" t="n">
        <f aca="false">ROUND(MIN(1,MAX('Reward Model'!$B$2,INDEX('Reward Model'!$C$12:$C$14,MATCH($K3362,'Reward Model'!$A$12:$A$14,0))/$J3362)),3)</f>
        <v>1</v>
      </c>
      <c r="AA3362" s="2" t="n">
        <f aca="false">IF($I3362="Correct",ROUND(INDEX('Reward Model'!$B$12:$B$14,MATCH($K3362,'Reward Model'!$A$12:$A$14,0))*Z3362,2),0)</f>
        <v>1</v>
      </c>
      <c r="AB3362" s="2" t="n">
        <f aca="false">IF($I3362="Correct",ROUND(INDEX('Reward Model'!$B$12:$B$14,MATCH($Y3362,'Reward Model'!$A$12:$A$14,0))*Z3362,2),0)</f>
        <v>2</v>
      </c>
    </row>
    <row r="3363" customFormat="false" ht="15" hidden="false" customHeight="false" outlineLevel="0" collapsed="false">
      <c r="A3363" s="0" t="s">
        <v>468</v>
      </c>
      <c r="B3363" s="0" t="s">
        <v>469</v>
      </c>
      <c r="C3363" s="0" t="s">
        <v>322</v>
      </c>
      <c r="D3363" s="0" t="s">
        <v>189</v>
      </c>
      <c r="E3363" s="0" t="n">
        <v>2</v>
      </c>
      <c r="F3363" s="0" t="s">
        <v>36</v>
      </c>
      <c r="G3363" s="0" t="s">
        <v>38</v>
      </c>
      <c r="H3363" s="0" t="s">
        <v>38</v>
      </c>
      <c r="I3363" s="0" t="s">
        <v>34</v>
      </c>
      <c r="J3363" s="0" t="n">
        <v>1.01</v>
      </c>
      <c r="K3363" s="0" t="s">
        <v>35</v>
      </c>
      <c r="L3363" s="0" t="n">
        <f aca="false">INDEX(Summary!$F$2:$F$201,MATCH($B3363,Summary!$A$2:$A$201,0))</f>
        <v>20</v>
      </c>
      <c r="M3363" s="0" t="n">
        <f aca="false">INDEX(Summary!$I$2:$I$201,MATCH($B3363,Summary!$A$2:$A$201,0))</f>
        <v>1</v>
      </c>
      <c r="N3363" s="0" t="n">
        <f aca="false">INDEX(Summary!$J$2:$J$201,MATCH($B3363,Summary!$A$2:$A$201,0))</f>
        <v>4</v>
      </c>
      <c r="O3363" s="2" t="n">
        <f aca="false">INDEX(Summary!$K$2:$K$201,MATCH($B3363,Summary!$A$2:$A$201,0))</f>
        <v>8.98</v>
      </c>
      <c r="P3363" s="3" t="n">
        <f aca="false">INDEX(Summary!$L$2:$L$201,MATCH($B3363,Summary!$A$2:$A$201,0))</f>
        <v>3</v>
      </c>
      <c r="Q3363" s="3" t="n">
        <f aca="false">INDEX(Summary!$M$2:$M$201,MATCH($B3363,Summary!$A$2:$A$201,0))</f>
        <v>3</v>
      </c>
      <c r="R3363" s="2" t="n">
        <f aca="false">INDEX(Summary!$N$2:$N$201,MATCH($B3363,Summary!$A$2:$A$201,0))</f>
        <v>10.24</v>
      </c>
      <c r="S3363" s="3" t="n">
        <f aca="false">INDEX(Summary!$O$2:$O$201,MATCH($B3363,Summary!$A$2:$A$201,0))</f>
        <v>8</v>
      </c>
      <c r="T3363" s="3" t="n">
        <f aca="false">INDEX(Summary!$P$2:$P$201,MATCH($B3363,Summary!$A$2:$A$201,0))</f>
        <v>1</v>
      </c>
      <c r="U3363" s="2" t="n">
        <f aca="false">INDEX(Summary!$Q$2:$Q$201,MATCH($B3363,Summary!$A$2:$A$201,0))</f>
        <v>12.07</v>
      </c>
      <c r="V3363" s="2" t="n">
        <f aca="false">INDEX(Summary!$R$2:$R$201,MATCH($B3363,Summary!$A$2:$A$201,0))</f>
        <v>20.19</v>
      </c>
      <c r="W3363" s="0" t="str">
        <f aca="false">INDEX(Summary!$S$2:$S$201,MATCH($B3363,Summary!$A$2:$A$201,0))</f>
        <v>Bronze</v>
      </c>
      <c r="X3363" s="2" t="n">
        <f aca="false">INDEX(Summary!$T$2:$T$201,MATCH($B3363,Summary!$A$2:$A$201,0))</f>
        <v>49.24</v>
      </c>
      <c r="Y3363" s="0" t="str">
        <f aca="false">INDEX('Reward Model'!$E$18:$E$37,MATCH($E3363,'Reward Model'!$A$18:$A$37,0))</f>
        <v>Low</v>
      </c>
      <c r="Z3363" s="4" t="n">
        <f aca="false">ROUND(MIN(1,MAX('Reward Model'!$B$2,INDEX('Reward Model'!$C$12:$C$14,MATCH($K3363,'Reward Model'!$A$12:$A$14,0))/$J3363)),3)</f>
        <v>1</v>
      </c>
      <c r="AA3363" s="2" t="n">
        <f aca="false">IF($I3363="Correct",ROUND(INDEX('Reward Model'!$B$12:$B$14,MATCH($K3363,'Reward Model'!$A$12:$A$14,0))*Z3363,2),0)</f>
        <v>1</v>
      </c>
      <c r="AB3363" s="2" t="n">
        <f aca="false">IF($I3363="Correct",ROUND(INDEX('Reward Model'!$B$12:$B$14,MATCH($Y3363,'Reward Model'!$A$12:$A$14,0))*Z3363,2),0)</f>
        <v>1</v>
      </c>
    </row>
    <row r="3364" customFormat="false" ht="15" hidden="false" customHeight="false" outlineLevel="0" collapsed="false">
      <c r="A3364" s="0" t="s">
        <v>468</v>
      </c>
      <c r="B3364" s="0" t="s">
        <v>469</v>
      </c>
      <c r="C3364" s="0" t="s">
        <v>322</v>
      </c>
      <c r="D3364" s="0" t="s">
        <v>189</v>
      </c>
      <c r="E3364" s="0" t="n">
        <v>3</v>
      </c>
      <c r="F3364" s="0" t="s">
        <v>40</v>
      </c>
      <c r="G3364" s="0" t="s">
        <v>41</v>
      </c>
      <c r="H3364" s="0" t="s">
        <v>42</v>
      </c>
      <c r="I3364" s="0" t="s">
        <v>39</v>
      </c>
      <c r="J3364" s="0" t="n">
        <v>1.55</v>
      </c>
      <c r="K3364" s="0" t="s">
        <v>35</v>
      </c>
      <c r="L3364" s="0" t="n">
        <f aca="false">INDEX(Summary!$F$2:$F$201,MATCH($B3364,Summary!$A$2:$A$201,0))</f>
        <v>20</v>
      </c>
      <c r="M3364" s="0" t="n">
        <f aca="false">INDEX(Summary!$I$2:$I$201,MATCH($B3364,Summary!$A$2:$A$201,0))</f>
        <v>1</v>
      </c>
      <c r="N3364" s="0" t="n">
        <f aca="false">INDEX(Summary!$J$2:$J$201,MATCH($B3364,Summary!$A$2:$A$201,0))</f>
        <v>4</v>
      </c>
      <c r="O3364" s="2" t="n">
        <f aca="false">INDEX(Summary!$K$2:$K$201,MATCH($B3364,Summary!$A$2:$A$201,0))</f>
        <v>8.98</v>
      </c>
      <c r="P3364" s="3" t="n">
        <f aca="false">INDEX(Summary!$L$2:$L$201,MATCH($B3364,Summary!$A$2:$A$201,0))</f>
        <v>3</v>
      </c>
      <c r="Q3364" s="3" t="n">
        <f aca="false">INDEX(Summary!$M$2:$M$201,MATCH($B3364,Summary!$A$2:$A$201,0))</f>
        <v>3</v>
      </c>
      <c r="R3364" s="2" t="n">
        <f aca="false">INDEX(Summary!$N$2:$N$201,MATCH($B3364,Summary!$A$2:$A$201,0))</f>
        <v>10.24</v>
      </c>
      <c r="S3364" s="3" t="n">
        <f aca="false">INDEX(Summary!$O$2:$O$201,MATCH($B3364,Summary!$A$2:$A$201,0))</f>
        <v>8</v>
      </c>
      <c r="T3364" s="3" t="n">
        <f aca="false">INDEX(Summary!$P$2:$P$201,MATCH($B3364,Summary!$A$2:$A$201,0))</f>
        <v>1</v>
      </c>
      <c r="U3364" s="2" t="n">
        <f aca="false">INDEX(Summary!$Q$2:$Q$201,MATCH($B3364,Summary!$A$2:$A$201,0))</f>
        <v>12.07</v>
      </c>
      <c r="V3364" s="2" t="n">
        <f aca="false">INDEX(Summary!$R$2:$R$201,MATCH($B3364,Summary!$A$2:$A$201,0))</f>
        <v>20.19</v>
      </c>
      <c r="W3364" s="0" t="str">
        <f aca="false">INDEX(Summary!$S$2:$S$201,MATCH($B3364,Summary!$A$2:$A$201,0))</f>
        <v>Bronze</v>
      </c>
      <c r="X3364" s="2" t="n">
        <f aca="false">INDEX(Summary!$T$2:$T$201,MATCH($B3364,Summary!$A$2:$A$201,0))</f>
        <v>49.24</v>
      </c>
      <c r="Y3364" s="0" t="str">
        <f aca="false">INDEX('Reward Model'!$E$18:$E$37,MATCH($E3364,'Reward Model'!$A$18:$A$37,0))</f>
        <v>Medium</v>
      </c>
      <c r="Z3364" s="4" t="n">
        <f aca="false">ROUND(MIN(1,MAX('Reward Model'!$B$2,INDEX('Reward Model'!$C$12:$C$14,MATCH($K3364,'Reward Model'!$A$12:$A$14,0))/$J3364)),3)</f>
        <v>0.968</v>
      </c>
      <c r="AA3364" s="2" t="n">
        <f aca="false">IF($I3364="Correct",ROUND(INDEX('Reward Model'!$B$12:$B$14,MATCH($K3364,'Reward Model'!$A$12:$A$14,0))*Z3364,2),0)</f>
        <v>0</v>
      </c>
      <c r="AB3364" s="2" t="n">
        <f aca="false">IF($I3364="Correct",ROUND(INDEX('Reward Model'!$B$12:$B$14,MATCH($Y3364,'Reward Model'!$A$12:$A$14,0))*Z3364,2),0)</f>
        <v>0</v>
      </c>
    </row>
    <row r="3365" customFormat="false" ht="15" hidden="false" customHeight="false" outlineLevel="0" collapsed="false">
      <c r="A3365" s="0" t="s">
        <v>468</v>
      </c>
      <c r="B3365" s="0" t="s">
        <v>469</v>
      </c>
      <c r="C3365" s="0" t="s">
        <v>322</v>
      </c>
      <c r="D3365" s="0" t="s">
        <v>189</v>
      </c>
      <c r="E3365" s="0" t="n">
        <v>4</v>
      </c>
      <c r="F3365" s="0" t="s">
        <v>43</v>
      </c>
      <c r="G3365" s="0" t="s">
        <v>45</v>
      </c>
      <c r="H3365" s="0" t="s">
        <v>45</v>
      </c>
      <c r="I3365" s="0" t="s">
        <v>34</v>
      </c>
      <c r="J3365" s="0" t="n">
        <v>1.18</v>
      </c>
      <c r="K3365" s="0" t="s">
        <v>35</v>
      </c>
      <c r="L3365" s="0" t="n">
        <f aca="false">INDEX(Summary!$F$2:$F$201,MATCH($B3365,Summary!$A$2:$A$201,0))</f>
        <v>20</v>
      </c>
      <c r="M3365" s="0" t="n">
        <f aca="false">INDEX(Summary!$I$2:$I$201,MATCH($B3365,Summary!$A$2:$A$201,0))</f>
        <v>1</v>
      </c>
      <c r="N3365" s="0" t="n">
        <f aca="false">INDEX(Summary!$J$2:$J$201,MATCH($B3365,Summary!$A$2:$A$201,0))</f>
        <v>4</v>
      </c>
      <c r="O3365" s="2" t="n">
        <f aca="false">INDEX(Summary!$K$2:$K$201,MATCH($B3365,Summary!$A$2:$A$201,0))</f>
        <v>8.98</v>
      </c>
      <c r="P3365" s="3" t="n">
        <f aca="false">INDEX(Summary!$L$2:$L$201,MATCH($B3365,Summary!$A$2:$A$201,0))</f>
        <v>3</v>
      </c>
      <c r="Q3365" s="3" t="n">
        <f aca="false">INDEX(Summary!$M$2:$M$201,MATCH($B3365,Summary!$A$2:$A$201,0))</f>
        <v>3</v>
      </c>
      <c r="R3365" s="2" t="n">
        <f aca="false">INDEX(Summary!$N$2:$N$201,MATCH($B3365,Summary!$A$2:$A$201,0))</f>
        <v>10.24</v>
      </c>
      <c r="S3365" s="3" t="n">
        <f aca="false">INDEX(Summary!$O$2:$O$201,MATCH($B3365,Summary!$A$2:$A$201,0))</f>
        <v>8</v>
      </c>
      <c r="T3365" s="3" t="n">
        <f aca="false">INDEX(Summary!$P$2:$P$201,MATCH($B3365,Summary!$A$2:$A$201,0))</f>
        <v>1</v>
      </c>
      <c r="U3365" s="2" t="n">
        <f aca="false">INDEX(Summary!$Q$2:$Q$201,MATCH($B3365,Summary!$A$2:$A$201,0))</f>
        <v>12.07</v>
      </c>
      <c r="V3365" s="2" t="n">
        <f aca="false">INDEX(Summary!$R$2:$R$201,MATCH($B3365,Summary!$A$2:$A$201,0))</f>
        <v>20.19</v>
      </c>
      <c r="W3365" s="0" t="str">
        <f aca="false">INDEX(Summary!$S$2:$S$201,MATCH($B3365,Summary!$A$2:$A$201,0))</f>
        <v>Bronze</v>
      </c>
      <c r="X3365" s="2" t="n">
        <f aca="false">INDEX(Summary!$T$2:$T$201,MATCH($B3365,Summary!$A$2:$A$201,0))</f>
        <v>49.24</v>
      </c>
      <c r="Y3365" s="0" t="str">
        <f aca="false">INDEX('Reward Model'!$E$18:$E$37,MATCH($E3365,'Reward Model'!$A$18:$A$37,0))</f>
        <v>Low</v>
      </c>
      <c r="Z3365" s="4" t="n">
        <f aca="false">ROUND(MIN(1,MAX('Reward Model'!$B$2,INDEX('Reward Model'!$C$12:$C$14,MATCH($K3365,'Reward Model'!$A$12:$A$14,0))/$J3365)),3)</f>
        <v>1</v>
      </c>
      <c r="AA3365" s="2" t="n">
        <f aca="false">IF($I3365="Correct",ROUND(INDEX('Reward Model'!$B$12:$B$14,MATCH($K3365,'Reward Model'!$A$12:$A$14,0))*Z3365,2),0)</f>
        <v>1</v>
      </c>
      <c r="AB3365" s="2" t="n">
        <f aca="false">IF($I3365="Correct",ROUND(INDEX('Reward Model'!$B$12:$B$14,MATCH($Y3365,'Reward Model'!$A$12:$A$14,0))*Z3365,2),0)</f>
        <v>1</v>
      </c>
    </row>
    <row r="3366" customFormat="false" ht="15" hidden="false" customHeight="false" outlineLevel="0" collapsed="false">
      <c r="A3366" s="0" t="s">
        <v>468</v>
      </c>
      <c r="B3366" s="0" t="s">
        <v>469</v>
      </c>
      <c r="C3366" s="0" t="s">
        <v>322</v>
      </c>
      <c r="D3366" s="0" t="s">
        <v>189</v>
      </c>
      <c r="E3366" s="0" t="n">
        <v>5</v>
      </c>
      <c r="F3366" s="0" t="s">
        <v>46</v>
      </c>
      <c r="G3366" s="0" t="s">
        <v>47</v>
      </c>
      <c r="H3366" s="0" t="s">
        <v>47</v>
      </c>
      <c r="I3366" s="0" t="s">
        <v>34</v>
      </c>
      <c r="J3366" s="0" t="n">
        <v>1.01</v>
      </c>
      <c r="K3366" s="0" t="s">
        <v>35</v>
      </c>
      <c r="L3366" s="0" t="n">
        <f aca="false">INDEX(Summary!$F$2:$F$201,MATCH($B3366,Summary!$A$2:$A$201,0))</f>
        <v>20</v>
      </c>
      <c r="M3366" s="0" t="n">
        <f aca="false">INDEX(Summary!$I$2:$I$201,MATCH($B3366,Summary!$A$2:$A$201,0))</f>
        <v>1</v>
      </c>
      <c r="N3366" s="0" t="n">
        <f aca="false">INDEX(Summary!$J$2:$J$201,MATCH($B3366,Summary!$A$2:$A$201,0))</f>
        <v>4</v>
      </c>
      <c r="O3366" s="2" t="n">
        <f aca="false">INDEX(Summary!$K$2:$K$201,MATCH($B3366,Summary!$A$2:$A$201,0))</f>
        <v>8.98</v>
      </c>
      <c r="P3366" s="3" t="n">
        <f aca="false">INDEX(Summary!$L$2:$L$201,MATCH($B3366,Summary!$A$2:$A$201,0))</f>
        <v>3</v>
      </c>
      <c r="Q3366" s="3" t="n">
        <f aca="false">INDEX(Summary!$M$2:$M$201,MATCH($B3366,Summary!$A$2:$A$201,0))</f>
        <v>3</v>
      </c>
      <c r="R3366" s="2" t="n">
        <f aca="false">INDEX(Summary!$N$2:$N$201,MATCH($B3366,Summary!$A$2:$A$201,0))</f>
        <v>10.24</v>
      </c>
      <c r="S3366" s="3" t="n">
        <f aca="false">INDEX(Summary!$O$2:$O$201,MATCH($B3366,Summary!$A$2:$A$201,0))</f>
        <v>8</v>
      </c>
      <c r="T3366" s="3" t="n">
        <f aca="false">INDEX(Summary!$P$2:$P$201,MATCH($B3366,Summary!$A$2:$A$201,0))</f>
        <v>1</v>
      </c>
      <c r="U3366" s="2" t="n">
        <f aca="false">INDEX(Summary!$Q$2:$Q$201,MATCH($B3366,Summary!$A$2:$A$201,0))</f>
        <v>12.07</v>
      </c>
      <c r="V3366" s="2" t="n">
        <f aca="false">INDEX(Summary!$R$2:$R$201,MATCH($B3366,Summary!$A$2:$A$201,0))</f>
        <v>20.19</v>
      </c>
      <c r="W3366" s="0" t="str">
        <f aca="false">INDEX(Summary!$S$2:$S$201,MATCH($B3366,Summary!$A$2:$A$201,0))</f>
        <v>Bronze</v>
      </c>
      <c r="X3366" s="2" t="n">
        <f aca="false">INDEX(Summary!$T$2:$T$201,MATCH($B3366,Summary!$A$2:$A$201,0))</f>
        <v>49.24</v>
      </c>
      <c r="Y3366" s="0" t="str">
        <f aca="false">INDEX('Reward Model'!$E$18:$E$37,MATCH($E3366,'Reward Model'!$A$18:$A$37,0))</f>
        <v>Low</v>
      </c>
      <c r="Z3366" s="4" t="n">
        <f aca="false">ROUND(MIN(1,MAX('Reward Model'!$B$2,INDEX('Reward Model'!$C$12:$C$14,MATCH($K3366,'Reward Model'!$A$12:$A$14,0))/$J3366)),3)</f>
        <v>1</v>
      </c>
      <c r="AA3366" s="2" t="n">
        <f aca="false">IF($I3366="Correct",ROUND(INDEX('Reward Model'!$B$12:$B$14,MATCH($K3366,'Reward Model'!$A$12:$A$14,0))*Z3366,2),0)</f>
        <v>1</v>
      </c>
      <c r="AB3366" s="2" t="n">
        <f aca="false">IF($I3366="Correct",ROUND(INDEX('Reward Model'!$B$12:$B$14,MATCH($Y3366,'Reward Model'!$A$12:$A$14,0))*Z3366,2),0)</f>
        <v>1</v>
      </c>
    </row>
    <row r="3367" customFormat="false" ht="15" hidden="false" customHeight="false" outlineLevel="0" collapsed="false">
      <c r="A3367" s="0" t="s">
        <v>468</v>
      </c>
      <c r="B3367" s="0" t="s">
        <v>469</v>
      </c>
      <c r="C3367" s="0" t="s">
        <v>322</v>
      </c>
      <c r="D3367" s="0" t="s">
        <v>189</v>
      </c>
      <c r="E3367" s="0" t="n">
        <v>6</v>
      </c>
      <c r="F3367" s="0" t="s">
        <v>48</v>
      </c>
      <c r="G3367" s="0" t="s">
        <v>49</v>
      </c>
      <c r="H3367" s="0" t="s">
        <v>49</v>
      </c>
      <c r="I3367" s="0" t="s">
        <v>34</v>
      </c>
      <c r="J3367" s="0" t="n">
        <v>1.56</v>
      </c>
      <c r="K3367" s="0" t="s">
        <v>35</v>
      </c>
      <c r="L3367" s="0" t="n">
        <f aca="false">INDEX(Summary!$F$2:$F$201,MATCH($B3367,Summary!$A$2:$A$201,0))</f>
        <v>20</v>
      </c>
      <c r="M3367" s="0" t="n">
        <f aca="false">INDEX(Summary!$I$2:$I$201,MATCH($B3367,Summary!$A$2:$A$201,0))</f>
        <v>1</v>
      </c>
      <c r="N3367" s="0" t="n">
        <f aca="false">INDEX(Summary!$J$2:$J$201,MATCH($B3367,Summary!$A$2:$A$201,0))</f>
        <v>4</v>
      </c>
      <c r="O3367" s="2" t="n">
        <f aca="false">INDEX(Summary!$K$2:$K$201,MATCH($B3367,Summary!$A$2:$A$201,0))</f>
        <v>8.98</v>
      </c>
      <c r="P3367" s="3" t="n">
        <f aca="false">INDEX(Summary!$L$2:$L$201,MATCH($B3367,Summary!$A$2:$A$201,0))</f>
        <v>3</v>
      </c>
      <c r="Q3367" s="3" t="n">
        <f aca="false">INDEX(Summary!$M$2:$M$201,MATCH($B3367,Summary!$A$2:$A$201,0))</f>
        <v>3</v>
      </c>
      <c r="R3367" s="2" t="n">
        <f aca="false">INDEX(Summary!$N$2:$N$201,MATCH($B3367,Summary!$A$2:$A$201,0))</f>
        <v>10.24</v>
      </c>
      <c r="S3367" s="3" t="n">
        <f aca="false">INDEX(Summary!$O$2:$O$201,MATCH($B3367,Summary!$A$2:$A$201,0))</f>
        <v>8</v>
      </c>
      <c r="T3367" s="3" t="n">
        <f aca="false">INDEX(Summary!$P$2:$P$201,MATCH($B3367,Summary!$A$2:$A$201,0))</f>
        <v>1</v>
      </c>
      <c r="U3367" s="2" t="n">
        <f aca="false">INDEX(Summary!$Q$2:$Q$201,MATCH($B3367,Summary!$A$2:$A$201,0))</f>
        <v>12.07</v>
      </c>
      <c r="V3367" s="2" t="n">
        <f aca="false">INDEX(Summary!$R$2:$R$201,MATCH($B3367,Summary!$A$2:$A$201,0))</f>
        <v>20.19</v>
      </c>
      <c r="W3367" s="0" t="str">
        <f aca="false">INDEX(Summary!$S$2:$S$201,MATCH($B3367,Summary!$A$2:$A$201,0))</f>
        <v>Bronze</v>
      </c>
      <c r="X3367" s="2" t="n">
        <f aca="false">INDEX(Summary!$T$2:$T$201,MATCH($B3367,Summary!$A$2:$A$201,0))</f>
        <v>49.24</v>
      </c>
      <c r="Y3367" s="0" t="str">
        <f aca="false">INDEX('Reward Model'!$E$18:$E$37,MATCH($E3367,'Reward Model'!$A$18:$A$37,0))</f>
        <v>Medium</v>
      </c>
      <c r="Z3367" s="4" t="n">
        <f aca="false">ROUND(MIN(1,MAX('Reward Model'!$B$2,INDEX('Reward Model'!$C$12:$C$14,MATCH($K3367,'Reward Model'!$A$12:$A$14,0))/$J3367)),3)</f>
        <v>0.962</v>
      </c>
      <c r="AA3367" s="2" t="n">
        <f aca="false">IF($I3367="Correct",ROUND(INDEX('Reward Model'!$B$12:$B$14,MATCH($K3367,'Reward Model'!$A$12:$A$14,0))*Z3367,2),0)</f>
        <v>0.96</v>
      </c>
      <c r="AB3367" s="2" t="n">
        <f aca="false">IF($I3367="Correct",ROUND(INDEX('Reward Model'!$B$12:$B$14,MATCH($Y3367,'Reward Model'!$A$12:$A$14,0))*Z3367,2),0)</f>
        <v>1.92</v>
      </c>
    </row>
    <row r="3368" customFormat="false" ht="15" hidden="false" customHeight="false" outlineLevel="0" collapsed="false">
      <c r="A3368" s="0" t="s">
        <v>468</v>
      </c>
      <c r="B3368" s="0" t="s">
        <v>469</v>
      </c>
      <c r="C3368" s="0" t="s">
        <v>322</v>
      </c>
      <c r="D3368" s="0" t="s">
        <v>189</v>
      </c>
      <c r="E3368" s="0" t="n">
        <v>7</v>
      </c>
      <c r="F3368" s="0" t="s">
        <v>50</v>
      </c>
      <c r="G3368" s="0" t="s">
        <v>51</v>
      </c>
      <c r="H3368" s="0" t="s">
        <v>51</v>
      </c>
      <c r="I3368" s="0" t="s">
        <v>34</v>
      </c>
      <c r="J3368" s="0" t="n">
        <v>1.26</v>
      </c>
      <c r="K3368" s="0" t="s">
        <v>35</v>
      </c>
      <c r="L3368" s="0" t="n">
        <f aca="false">INDEX(Summary!$F$2:$F$201,MATCH($B3368,Summary!$A$2:$A$201,0))</f>
        <v>20</v>
      </c>
      <c r="M3368" s="0" t="n">
        <f aca="false">INDEX(Summary!$I$2:$I$201,MATCH($B3368,Summary!$A$2:$A$201,0))</f>
        <v>1</v>
      </c>
      <c r="N3368" s="0" t="n">
        <f aca="false">INDEX(Summary!$J$2:$J$201,MATCH($B3368,Summary!$A$2:$A$201,0))</f>
        <v>4</v>
      </c>
      <c r="O3368" s="2" t="n">
        <f aca="false">INDEX(Summary!$K$2:$K$201,MATCH($B3368,Summary!$A$2:$A$201,0))</f>
        <v>8.98</v>
      </c>
      <c r="P3368" s="3" t="n">
        <f aca="false">INDEX(Summary!$L$2:$L$201,MATCH($B3368,Summary!$A$2:$A$201,0))</f>
        <v>3</v>
      </c>
      <c r="Q3368" s="3" t="n">
        <f aca="false">INDEX(Summary!$M$2:$M$201,MATCH($B3368,Summary!$A$2:$A$201,0))</f>
        <v>3</v>
      </c>
      <c r="R3368" s="2" t="n">
        <f aca="false">INDEX(Summary!$N$2:$N$201,MATCH($B3368,Summary!$A$2:$A$201,0))</f>
        <v>10.24</v>
      </c>
      <c r="S3368" s="3" t="n">
        <f aca="false">INDEX(Summary!$O$2:$O$201,MATCH($B3368,Summary!$A$2:$A$201,0))</f>
        <v>8</v>
      </c>
      <c r="T3368" s="3" t="n">
        <f aca="false">INDEX(Summary!$P$2:$P$201,MATCH($B3368,Summary!$A$2:$A$201,0))</f>
        <v>1</v>
      </c>
      <c r="U3368" s="2" t="n">
        <f aca="false">INDEX(Summary!$Q$2:$Q$201,MATCH($B3368,Summary!$A$2:$A$201,0))</f>
        <v>12.07</v>
      </c>
      <c r="V3368" s="2" t="n">
        <f aca="false">INDEX(Summary!$R$2:$R$201,MATCH($B3368,Summary!$A$2:$A$201,0))</f>
        <v>20.19</v>
      </c>
      <c r="W3368" s="0" t="str">
        <f aca="false">INDEX(Summary!$S$2:$S$201,MATCH($B3368,Summary!$A$2:$A$201,0))</f>
        <v>Bronze</v>
      </c>
      <c r="X3368" s="2" t="n">
        <f aca="false">INDEX(Summary!$T$2:$T$201,MATCH($B3368,Summary!$A$2:$A$201,0))</f>
        <v>49.24</v>
      </c>
      <c r="Y3368" s="0" t="str">
        <f aca="false">INDEX('Reward Model'!$E$18:$E$37,MATCH($E3368,'Reward Model'!$A$18:$A$37,0))</f>
        <v>Low</v>
      </c>
      <c r="Z3368" s="4" t="n">
        <f aca="false">ROUND(MIN(1,MAX('Reward Model'!$B$2,INDEX('Reward Model'!$C$12:$C$14,MATCH($K3368,'Reward Model'!$A$12:$A$14,0))/$J3368)),3)</f>
        <v>1</v>
      </c>
      <c r="AA3368" s="2" t="n">
        <f aca="false">IF($I3368="Correct",ROUND(INDEX('Reward Model'!$B$12:$B$14,MATCH($K3368,'Reward Model'!$A$12:$A$14,0))*Z3368,2),0)</f>
        <v>1</v>
      </c>
      <c r="AB3368" s="2" t="n">
        <f aca="false">IF($I3368="Correct",ROUND(INDEX('Reward Model'!$B$12:$B$14,MATCH($Y3368,'Reward Model'!$A$12:$A$14,0))*Z3368,2),0)</f>
        <v>1</v>
      </c>
    </row>
    <row r="3369" customFormat="false" ht="15" hidden="false" customHeight="false" outlineLevel="0" collapsed="false">
      <c r="A3369" s="0" t="s">
        <v>468</v>
      </c>
      <c r="B3369" s="0" t="s">
        <v>469</v>
      </c>
      <c r="C3369" s="0" t="s">
        <v>322</v>
      </c>
      <c r="D3369" s="0" t="s">
        <v>189</v>
      </c>
      <c r="E3369" s="0" t="n">
        <v>8</v>
      </c>
      <c r="F3369" s="0" t="s">
        <v>52</v>
      </c>
      <c r="G3369" s="0" t="s">
        <v>54</v>
      </c>
      <c r="H3369" s="0" t="s">
        <v>54</v>
      </c>
      <c r="I3369" s="0" t="s">
        <v>34</v>
      </c>
      <c r="J3369" s="0" t="n">
        <v>1.48</v>
      </c>
      <c r="K3369" s="0" t="s">
        <v>35</v>
      </c>
      <c r="L3369" s="0" t="n">
        <f aca="false">INDEX(Summary!$F$2:$F$201,MATCH($B3369,Summary!$A$2:$A$201,0))</f>
        <v>20</v>
      </c>
      <c r="M3369" s="0" t="n">
        <f aca="false">INDEX(Summary!$I$2:$I$201,MATCH($B3369,Summary!$A$2:$A$201,0))</f>
        <v>1</v>
      </c>
      <c r="N3369" s="0" t="n">
        <f aca="false">INDEX(Summary!$J$2:$J$201,MATCH($B3369,Summary!$A$2:$A$201,0))</f>
        <v>4</v>
      </c>
      <c r="O3369" s="2" t="n">
        <f aca="false">INDEX(Summary!$K$2:$K$201,MATCH($B3369,Summary!$A$2:$A$201,0))</f>
        <v>8.98</v>
      </c>
      <c r="P3369" s="3" t="n">
        <f aca="false">INDEX(Summary!$L$2:$L$201,MATCH($B3369,Summary!$A$2:$A$201,0))</f>
        <v>3</v>
      </c>
      <c r="Q3369" s="3" t="n">
        <f aca="false">INDEX(Summary!$M$2:$M$201,MATCH($B3369,Summary!$A$2:$A$201,0))</f>
        <v>3</v>
      </c>
      <c r="R3369" s="2" t="n">
        <f aca="false">INDEX(Summary!$N$2:$N$201,MATCH($B3369,Summary!$A$2:$A$201,0))</f>
        <v>10.24</v>
      </c>
      <c r="S3369" s="3" t="n">
        <f aca="false">INDEX(Summary!$O$2:$O$201,MATCH($B3369,Summary!$A$2:$A$201,0))</f>
        <v>8</v>
      </c>
      <c r="T3369" s="3" t="n">
        <f aca="false">INDEX(Summary!$P$2:$P$201,MATCH($B3369,Summary!$A$2:$A$201,0))</f>
        <v>1</v>
      </c>
      <c r="U3369" s="2" t="n">
        <f aca="false">INDEX(Summary!$Q$2:$Q$201,MATCH($B3369,Summary!$A$2:$A$201,0))</f>
        <v>12.07</v>
      </c>
      <c r="V3369" s="2" t="n">
        <f aca="false">INDEX(Summary!$R$2:$R$201,MATCH($B3369,Summary!$A$2:$A$201,0))</f>
        <v>20.19</v>
      </c>
      <c r="W3369" s="0" t="str">
        <f aca="false">INDEX(Summary!$S$2:$S$201,MATCH($B3369,Summary!$A$2:$A$201,0))</f>
        <v>Bronze</v>
      </c>
      <c r="X3369" s="2" t="n">
        <f aca="false">INDEX(Summary!$T$2:$T$201,MATCH($B3369,Summary!$A$2:$A$201,0))</f>
        <v>49.24</v>
      </c>
      <c r="Y3369" s="0" t="str">
        <f aca="false">INDEX('Reward Model'!$E$18:$E$37,MATCH($E3369,'Reward Model'!$A$18:$A$37,0))</f>
        <v>Medium</v>
      </c>
      <c r="Z3369" s="4" t="n">
        <f aca="false">ROUND(MIN(1,MAX('Reward Model'!$B$2,INDEX('Reward Model'!$C$12:$C$14,MATCH($K3369,'Reward Model'!$A$12:$A$14,0))/$J3369)),3)</f>
        <v>1</v>
      </c>
      <c r="AA3369" s="2" t="n">
        <f aca="false">IF($I3369="Correct",ROUND(INDEX('Reward Model'!$B$12:$B$14,MATCH($K3369,'Reward Model'!$A$12:$A$14,0))*Z3369,2),0)</f>
        <v>1</v>
      </c>
      <c r="AB3369" s="2" t="n">
        <f aca="false">IF($I3369="Correct",ROUND(INDEX('Reward Model'!$B$12:$B$14,MATCH($Y3369,'Reward Model'!$A$12:$A$14,0))*Z3369,2),0)</f>
        <v>2</v>
      </c>
    </row>
    <row r="3370" customFormat="false" ht="15" hidden="false" customHeight="false" outlineLevel="0" collapsed="false">
      <c r="A3370" s="0" t="s">
        <v>468</v>
      </c>
      <c r="B3370" s="0" t="s">
        <v>469</v>
      </c>
      <c r="C3370" s="0" t="s">
        <v>322</v>
      </c>
      <c r="D3370" s="0" t="s">
        <v>189</v>
      </c>
      <c r="E3370" s="0" t="n">
        <v>9</v>
      </c>
      <c r="F3370" s="0" t="s">
        <v>55</v>
      </c>
      <c r="G3370" s="0" t="s">
        <v>57</v>
      </c>
      <c r="H3370" s="0" t="s">
        <v>57</v>
      </c>
      <c r="I3370" s="0" t="s">
        <v>34</v>
      </c>
      <c r="J3370" s="0" t="n">
        <v>1.8</v>
      </c>
      <c r="K3370" s="0" t="s">
        <v>35</v>
      </c>
      <c r="L3370" s="0" t="n">
        <f aca="false">INDEX(Summary!$F$2:$F$201,MATCH($B3370,Summary!$A$2:$A$201,0))</f>
        <v>20</v>
      </c>
      <c r="M3370" s="0" t="n">
        <f aca="false">INDEX(Summary!$I$2:$I$201,MATCH($B3370,Summary!$A$2:$A$201,0))</f>
        <v>1</v>
      </c>
      <c r="N3370" s="0" t="n">
        <f aca="false">INDEX(Summary!$J$2:$J$201,MATCH($B3370,Summary!$A$2:$A$201,0))</f>
        <v>4</v>
      </c>
      <c r="O3370" s="2" t="n">
        <f aca="false">INDEX(Summary!$K$2:$K$201,MATCH($B3370,Summary!$A$2:$A$201,0))</f>
        <v>8.98</v>
      </c>
      <c r="P3370" s="3" t="n">
        <f aca="false">INDEX(Summary!$L$2:$L$201,MATCH($B3370,Summary!$A$2:$A$201,0))</f>
        <v>3</v>
      </c>
      <c r="Q3370" s="3" t="n">
        <f aca="false">INDEX(Summary!$M$2:$M$201,MATCH($B3370,Summary!$A$2:$A$201,0))</f>
        <v>3</v>
      </c>
      <c r="R3370" s="2" t="n">
        <f aca="false">INDEX(Summary!$N$2:$N$201,MATCH($B3370,Summary!$A$2:$A$201,0))</f>
        <v>10.24</v>
      </c>
      <c r="S3370" s="3" t="n">
        <f aca="false">INDEX(Summary!$O$2:$O$201,MATCH($B3370,Summary!$A$2:$A$201,0))</f>
        <v>8</v>
      </c>
      <c r="T3370" s="3" t="n">
        <f aca="false">INDEX(Summary!$P$2:$P$201,MATCH($B3370,Summary!$A$2:$A$201,0))</f>
        <v>1</v>
      </c>
      <c r="U3370" s="2" t="n">
        <f aca="false">INDEX(Summary!$Q$2:$Q$201,MATCH($B3370,Summary!$A$2:$A$201,0))</f>
        <v>12.07</v>
      </c>
      <c r="V3370" s="2" t="n">
        <f aca="false">INDEX(Summary!$R$2:$R$201,MATCH($B3370,Summary!$A$2:$A$201,0))</f>
        <v>20.19</v>
      </c>
      <c r="W3370" s="0" t="str">
        <f aca="false">INDEX(Summary!$S$2:$S$201,MATCH($B3370,Summary!$A$2:$A$201,0))</f>
        <v>Bronze</v>
      </c>
      <c r="X3370" s="2" t="n">
        <f aca="false">INDEX(Summary!$T$2:$T$201,MATCH($B3370,Summary!$A$2:$A$201,0))</f>
        <v>49.24</v>
      </c>
      <c r="Y3370" s="0" t="str">
        <f aca="false">INDEX('Reward Model'!$E$18:$E$37,MATCH($E3370,'Reward Model'!$A$18:$A$37,0))</f>
        <v>Medium</v>
      </c>
      <c r="Z3370" s="4" t="n">
        <f aca="false">ROUND(MIN(1,MAX('Reward Model'!$B$2,INDEX('Reward Model'!$C$12:$C$14,MATCH($K3370,'Reward Model'!$A$12:$A$14,0))/$J3370)),3)</f>
        <v>0.833</v>
      </c>
      <c r="AA3370" s="2" t="n">
        <f aca="false">IF($I3370="Correct",ROUND(INDEX('Reward Model'!$B$12:$B$14,MATCH($K3370,'Reward Model'!$A$12:$A$14,0))*Z3370,2),0)</f>
        <v>0.83</v>
      </c>
      <c r="AB3370" s="2" t="n">
        <f aca="false">IF($I3370="Correct",ROUND(INDEX('Reward Model'!$B$12:$B$14,MATCH($Y3370,'Reward Model'!$A$12:$A$14,0))*Z3370,2),0)</f>
        <v>1.67</v>
      </c>
    </row>
    <row r="3371" customFormat="false" ht="15" hidden="false" customHeight="false" outlineLevel="0" collapsed="false">
      <c r="A3371" s="0" t="s">
        <v>468</v>
      </c>
      <c r="B3371" s="0" t="s">
        <v>469</v>
      </c>
      <c r="C3371" s="0" t="s">
        <v>322</v>
      </c>
      <c r="D3371" s="0" t="s">
        <v>189</v>
      </c>
      <c r="E3371" s="0" t="n">
        <v>10</v>
      </c>
      <c r="F3371" s="0" t="s">
        <v>58</v>
      </c>
      <c r="G3371" s="0" t="s">
        <v>59</v>
      </c>
      <c r="H3371" s="0" t="s">
        <v>59</v>
      </c>
      <c r="I3371" s="0" t="s">
        <v>34</v>
      </c>
      <c r="J3371" s="0" t="n">
        <v>1.96</v>
      </c>
      <c r="K3371" s="0" t="s">
        <v>60</v>
      </c>
      <c r="L3371" s="0" t="n">
        <f aca="false">INDEX(Summary!$F$2:$F$201,MATCH($B3371,Summary!$A$2:$A$201,0))</f>
        <v>20</v>
      </c>
      <c r="M3371" s="0" t="n">
        <f aca="false">INDEX(Summary!$I$2:$I$201,MATCH($B3371,Summary!$A$2:$A$201,0))</f>
        <v>1</v>
      </c>
      <c r="N3371" s="0" t="n">
        <f aca="false">INDEX(Summary!$J$2:$J$201,MATCH($B3371,Summary!$A$2:$A$201,0))</f>
        <v>4</v>
      </c>
      <c r="O3371" s="2" t="n">
        <f aca="false">INDEX(Summary!$K$2:$K$201,MATCH($B3371,Summary!$A$2:$A$201,0))</f>
        <v>8.98</v>
      </c>
      <c r="P3371" s="3" t="n">
        <f aca="false">INDEX(Summary!$L$2:$L$201,MATCH($B3371,Summary!$A$2:$A$201,0))</f>
        <v>3</v>
      </c>
      <c r="Q3371" s="3" t="n">
        <f aca="false">INDEX(Summary!$M$2:$M$201,MATCH($B3371,Summary!$A$2:$A$201,0))</f>
        <v>3</v>
      </c>
      <c r="R3371" s="2" t="n">
        <f aca="false">INDEX(Summary!$N$2:$N$201,MATCH($B3371,Summary!$A$2:$A$201,0))</f>
        <v>10.24</v>
      </c>
      <c r="S3371" s="3" t="n">
        <f aca="false">INDEX(Summary!$O$2:$O$201,MATCH($B3371,Summary!$A$2:$A$201,0))</f>
        <v>8</v>
      </c>
      <c r="T3371" s="3" t="n">
        <f aca="false">INDEX(Summary!$P$2:$P$201,MATCH($B3371,Summary!$A$2:$A$201,0))</f>
        <v>1</v>
      </c>
      <c r="U3371" s="2" t="n">
        <f aca="false">INDEX(Summary!$Q$2:$Q$201,MATCH($B3371,Summary!$A$2:$A$201,0))</f>
        <v>12.07</v>
      </c>
      <c r="V3371" s="2" t="n">
        <f aca="false">INDEX(Summary!$R$2:$R$201,MATCH($B3371,Summary!$A$2:$A$201,0))</f>
        <v>20.19</v>
      </c>
      <c r="W3371" s="0" t="str">
        <f aca="false">INDEX(Summary!$S$2:$S$201,MATCH($B3371,Summary!$A$2:$A$201,0))</f>
        <v>Bronze</v>
      </c>
      <c r="X3371" s="2" t="n">
        <f aca="false">INDEX(Summary!$T$2:$T$201,MATCH($B3371,Summary!$A$2:$A$201,0))</f>
        <v>49.24</v>
      </c>
      <c r="Y3371" s="0" t="str">
        <f aca="false">INDEX('Reward Model'!$E$18:$E$37,MATCH($E3371,'Reward Model'!$A$18:$A$37,0))</f>
        <v>Medium</v>
      </c>
      <c r="Z3371" s="4" t="n">
        <f aca="false">ROUND(MIN(1,MAX('Reward Model'!$B$2,INDEX('Reward Model'!$C$12:$C$14,MATCH($K3371,'Reward Model'!$A$12:$A$14,0))/$J3371)),3)</f>
        <v>0.918</v>
      </c>
      <c r="AA3371" s="2" t="n">
        <f aca="false">IF($I3371="Correct",ROUND(INDEX('Reward Model'!$B$12:$B$14,MATCH($K3371,'Reward Model'!$A$12:$A$14,0))*Z3371,2),0)</f>
        <v>1.84</v>
      </c>
      <c r="AB3371" s="2" t="n">
        <f aca="false">IF($I3371="Correct",ROUND(INDEX('Reward Model'!$B$12:$B$14,MATCH($Y3371,'Reward Model'!$A$12:$A$14,0))*Z3371,2),0)</f>
        <v>1.84</v>
      </c>
    </row>
    <row r="3372" customFormat="false" ht="15" hidden="false" customHeight="false" outlineLevel="0" collapsed="false">
      <c r="A3372" s="0" t="s">
        <v>468</v>
      </c>
      <c r="B3372" s="0" t="s">
        <v>469</v>
      </c>
      <c r="C3372" s="0" t="s">
        <v>322</v>
      </c>
      <c r="D3372" s="0" t="s">
        <v>189</v>
      </c>
      <c r="E3372" s="0" t="n">
        <v>11</v>
      </c>
      <c r="F3372" s="0" t="s">
        <v>61</v>
      </c>
      <c r="G3372" s="0" t="s">
        <v>150</v>
      </c>
      <c r="H3372" s="0" t="s">
        <v>63</v>
      </c>
      <c r="I3372" s="0" t="s">
        <v>39</v>
      </c>
      <c r="J3372" s="0" t="n">
        <v>1.88</v>
      </c>
      <c r="K3372" s="0" t="s">
        <v>60</v>
      </c>
      <c r="L3372" s="0" t="n">
        <f aca="false">INDEX(Summary!$F$2:$F$201,MATCH($B3372,Summary!$A$2:$A$201,0))</f>
        <v>20</v>
      </c>
      <c r="M3372" s="0" t="n">
        <f aca="false">INDEX(Summary!$I$2:$I$201,MATCH($B3372,Summary!$A$2:$A$201,0))</f>
        <v>1</v>
      </c>
      <c r="N3372" s="0" t="n">
        <f aca="false">INDEX(Summary!$J$2:$J$201,MATCH($B3372,Summary!$A$2:$A$201,0))</f>
        <v>4</v>
      </c>
      <c r="O3372" s="2" t="n">
        <f aca="false">INDEX(Summary!$K$2:$K$201,MATCH($B3372,Summary!$A$2:$A$201,0))</f>
        <v>8.98</v>
      </c>
      <c r="P3372" s="3" t="n">
        <f aca="false">INDEX(Summary!$L$2:$L$201,MATCH($B3372,Summary!$A$2:$A$201,0))</f>
        <v>3</v>
      </c>
      <c r="Q3372" s="3" t="n">
        <f aca="false">INDEX(Summary!$M$2:$M$201,MATCH($B3372,Summary!$A$2:$A$201,0))</f>
        <v>3</v>
      </c>
      <c r="R3372" s="2" t="n">
        <f aca="false">INDEX(Summary!$N$2:$N$201,MATCH($B3372,Summary!$A$2:$A$201,0))</f>
        <v>10.24</v>
      </c>
      <c r="S3372" s="3" t="n">
        <f aca="false">INDEX(Summary!$O$2:$O$201,MATCH($B3372,Summary!$A$2:$A$201,0))</f>
        <v>8</v>
      </c>
      <c r="T3372" s="3" t="n">
        <f aca="false">INDEX(Summary!$P$2:$P$201,MATCH($B3372,Summary!$A$2:$A$201,0))</f>
        <v>1</v>
      </c>
      <c r="U3372" s="2" t="n">
        <f aca="false">INDEX(Summary!$Q$2:$Q$201,MATCH($B3372,Summary!$A$2:$A$201,0))</f>
        <v>12.07</v>
      </c>
      <c r="V3372" s="2" t="n">
        <f aca="false">INDEX(Summary!$R$2:$R$201,MATCH($B3372,Summary!$A$2:$A$201,0))</f>
        <v>20.19</v>
      </c>
      <c r="W3372" s="0" t="str">
        <f aca="false">INDEX(Summary!$S$2:$S$201,MATCH($B3372,Summary!$A$2:$A$201,0))</f>
        <v>Bronze</v>
      </c>
      <c r="X3372" s="2" t="n">
        <f aca="false">INDEX(Summary!$T$2:$T$201,MATCH($B3372,Summary!$A$2:$A$201,0))</f>
        <v>49.24</v>
      </c>
      <c r="Y3372" s="0" t="str">
        <f aca="false">INDEX('Reward Model'!$E$18:$E$37,MATCH($E3372,'Reward Model'!$A$18:$A$37,0))</f>
        <v>Medium</v>
      </c>
      <c r="Z3372" s="4" t="n">
        <f aca="false">ROUND(MIN(1,MAX('Reward Model'!$B$2,INDEX('Reward Model'!$C$12:$C$14,MATCH($K3372,'Reward Model'!$A$12:$A$14,0))/$J3372)),3)</f>
        <v>0.957</v>
      </c>
      <c r="AA3372" s="2" t="n">
        <f aca="false">IF($I3372="Correct",ROUND(INDEX('Reward Model'!$B$12:$B$14,MATCH($K3372,'Reward Model'!$A$12:$A$14,0))*Z3372,2),0)</f>
        <v>0</v>
      </c>
      <c r="AB3372" s="2" t="n">
        <f aca="false">IF($I3372="Correct",ROUND(INDEX('Reward Model'!$B$12:$B$14,MATCH($Y3372,'Reward Model'!$A$12:$A$14,0))*Z3372,2),0)</f>
        <v>0</v>
      </c>
    </row>
    <row r="3373" customFormat="false" ht="15" hidden="false" customHeight="false" outlineLevel="0" collapsed="false">
      <c r="A3373" s="0" t="s">
        <v>468</v>
      </c>
      <c r="B3373" s="0" t="s">
        <v>469</v>
      </c>
      <c r="C3373" s="0" t="s">
        <v>322</v>
      </c>
      <c r="D3373" s="0" t="s">
        <v>189</v>
      </c>
      <c r="E3373" s="0" t="n">
        <v>12</v>
      </c>
      <c r="F3373" s="0" t="s">
        <v>64</v>
      </c>
      <c r="G3373" s="0" t="s">
        <v>112</v>
      </c>
      <c r="H3373" s="0" t="s">
        <v>65</v>
      </c>
      <c r="I3373" s="0" t="s">
        <v>39</v>
      </c>
      <c r="J3373" s="0" t="n">
        <v>1.58</v>
      </c>
      <c r="K3373" s="0" t="s">
        <v>60</v>
      </c>
      <c r="L3373" s="0" t="n">
        <f aca="false">INDEX(Summary!$F$2:$F$201,MATCH($B3373,Summary!$A$2:$A$201,0))</f>
        <v>20</v>
      </c>
      <c r="M3373" s="0" t="n">
        <f aca="false">INDEX(Summary!$I$2:$I$201,MATCH($B3373,Summary!$A$2:$A$201,0))</f>
        <v>1</v>
      </c>
      <c r="N3373" s="0" t="n">
        <f aca="false">INDEX(Summary!$J$2:$J$201,MATCH($B3373,Summary!$A$2:$A$201,0))</f>
        <v>4</v>
      </c>
      <c r="O3373" s="2" t="n">
        <f aca="false">INDEX(Summary!$K$2:$K$201,MATCH($B3373,Summary!$A$2:$A$201,0))</f>
        <v>8.98</v>
      </c>
      <c r="P3373" s="3" t="n">
        <f aca="false">INDEX(Summary!$L$2:$L$201,MATCH($B3373,Summary!$A$2:$A$201,0))</f>
        <v>3</v>
      </c>
      <c r="Q3373" s="3" t="n">
        <f aca="false">INDEX(Summary!$M$2:$M$201,MATCH($B3373,Summary!$A$2:$A$201,0))</f>
        <v>3</v>
      </c>
      <c r="R3373" s="2" t="n">
        <f aca="false">INDEX(Summary!$N$2:$N$201,MATCH($B3373,Summary!$A$2:$A$201,0))</f>
        <v>10.24</v>
      </c>
      <c r="S3373" s="3" t="n">
        <f aca="false">INDEX(Summary!$O$2:$O$201,MATCH($B3373,Summary!$A$2:$A$201,0))</f>
        <v>8</v>
      </c>
      <c r="T3373" s="3" t="n">
        <f aca="false">INDEX(Summary!$P$2:$P$201,MATCH($B3373,Summary!$A$2:$A$201,0))</f>
        <v>1</v>
      </c>
      <c r="U3373" s="2" t="n">
        <f aca="false">INDEX(Summary!$Q$2:$Q$201,MATCH($B3373,Summary!$A$2:$A$201,0))</f>
        <v>12.07</v>
      </c>
      <c r="V3373" s="2" t="n">
        <f aca="false">INDEX(Summary!$R$2:$R$201,MATCH($B3373,Summary!$A$2:$A$201,0))</f>
        <v>20.19</v>
      </c>
      <c r="W3373" s="0" t="str">
        <f aca="false">INDEX(Summary!$S$2:$S$201,MATCH($B3373,Summary!$A$2:$A$201,0))</f>
        <v>Bronze</v>
      </c>
      <c r="X3373" s="2" t="n">
        <f aca="false">INDEX(Summary!$T$2:$T$201,MATCH($B3373,Summary!$A$2:$A$201,0))</f>
        <v>49.24</v>
      </c>
      <c r="Y3373" s="0" t="str">
        <f aca="false">INDEX('Reward Model'!$E$18:$E$37,MATCH($E3373,'Reward Model'!$A$18:$A$37,0))</f>
        <v>Medium</v>
      </c>
      <c r="Z3373" s="4" t="n">
        <f aca="false">ROUND(MIN(1,MAX('Reward Model'!$B$2,INDEX('Reward Model'!$C$12:$C$14,MATCH($K3373,'Reward Model'!$A$12:$A$14,0))/$J3373)),3)</f>
        <v>1</v>
      </c>
      <c r="AA3373" s="2" t="n">
        <f aca="false">IF($I3373="Correct",ROUND(INDEX('Reward Model'!$B$12:$B$14,MATCH($K3373,'Reward Model'!$A$12:$A$14,0))*Z3373,2),0)</f>
        <v>0</v>
      </c>
      <c r="AB3373" s="2" t="n">
        <f aca="false">IF($I3373="Correct",ROUND(INDEX('Reward Model'!$B$12:$B$14,MATCH($Y3373,'Reward Model'!$A$12:$A$14,0))*Z3373,2),0)</f>
        <v>0</v>
      </c>
    </row>
    <row r="3374" customFormat="false" ht="15" hidden="false" customHeight="false" outlineLevel="0" collapsed="false">
      <c r="A3374" s="0" t="s">
        <v>468</v>
      </c>
      <c r="B3374" s="0" t="s">
        <v>469</v>
      </c>
      <c r="C3374" s="0" t="s">
        <v>322</v>
      </c>
      <c r="D3374" s="0" t="s">
        <v>189</v>
      </c>
      <c r="E3374" s="0" t="n">
        <v>13</v>
      </c>
      <c r="F3374" s="0" t="s">
        <v>66</v>
      </c>
      <c r="G3374" s="0" t="s">
        <v>117</v>
      </c>
      <c r="H3374" s="0" t="s">
        <v>67</v>
      </c>
      <c r="I3374" s="0" t="s">
        <v>39</v>
      </c>
      <c r="J3374" s="0" t="n">
        <v>1.45</v>
      </c>
      <c r="K3374" s="0" t="s">
        <v>60</v>
      </c>
      <c r="L3374" s="0" t="n">
        <f aca="false">INDEX(Summary!$F$2:$F$201,MATCH($B3374,Summary!$A$2:$A$201,0))</f>
        <v>20</v>
      </c>
      <c r="M3374" s="0" t="n">
        <f aca="false">INDEX(Summary!$I$2:$I$201,MATCH($B3374,Summary!$A$2:$A$201,0))</f>
        <v>1</v>
      </c>
      <c r="N3374" s="0" t="n">
        <f aca="false">INDEX(Summary!$J$2:$J$201,MATCH($B3374,Summary!$A$2:$A$201,0))</f>
        <v>4</v>
      </c>
      <c r="O3374" s="2" t="n">
        <f aca="false">INDEX(Summary!$K$2:$K$201,MATCH($B3374,Summary!$A$2:$A$201,0))</f>
        <v>8.98</v>
      </c>
      <c r="P3374" s="3" t="n">
        <f aca="false">INDEX(Summary!$L$2:$L$201,MATCH($B3374,Summary!$A$2:$A$201,0))</f>
        <v>3</v>
      </c>
      <c r="Q3374" s="3" t="n">
        <f aca="false">INDEX(Summary!$M$2:$M$201,MATCH($B3374,Summary!$A$2:$A$201,0))</f>
        <v>3</v>
      </c>
      <c r="R3374" s="2" t="n">
        <f aca="false">INDEX(Summary!$N$2:$N$201,MATCH($B3374,Summary!$A$2:$A$201,0))</f>
        <v>10.24</v>
      </c>
      <c r="S3374" s="3" t="n">
        <f aca="false">INDEX(Summary!$O$2:$O$201,MATCH($B3374,Summary!$A$2:$A$201,0))</f>
        <v>8</v>
      </c>
      <c r="T3374" s="3" t="n">
        <f aca="false">INDEX(Summary!$P$2:$P$201,MATCH($B3374,Summary!$A$2:$A$201,0))</f>
        <v>1</v>
      </c>
      <c r="U3374" s="2" t="n">
        <f aca="false">INDEX(Summary!$Q$2:$Q$201,MATCH($B3374,Summary!$A$2:$A$201,0))</f>
        <v>12.07</v>
      </c>
      <c r="V3374" s="2" t="n">
        <f aca="false">INDEX(Summary!$R$2:$R$201,MATCH($B3374,Summary!$A$2:$A$201,0))</f>
        <v>20.19</v>
      </c>
      <c r="W3374" s="0" t="str">
        <f aca="false">INDEX(Summary!$S$2:$S$201,MATCH($B3374,Summary!$A$2:$A$201,0))</f>
        <v>Bronze</v>
      </c>
      <c r="X3374" s="2" t="n">
        <f aca="false">INDEX(Summary!$T$2:$T$201,MATCH($B3374,Summary!$A$2:$A$201,0))</f>
        <v>49.24</v>
      </c>
      <c r="Y3374" s="0" t="str">
        <f aca="false">INDEX('Reward Model'!$E$18:$E$37,MATCH($E3374,'Reward Model'!$A$18:$A$37,0))</f>
        <v>Medium</v>
      </c>
      <c r="Z3374" s="4" t="n">
        <f aca="false">ROUND(MIN(1,MAX('Reward Model'!$B$2,INDEX('Reward Model'!$C$12:$C$14,MATCH($K3374,'Reward Model'!$A$12:$A$14,0))/$J3374)),3)</f>
        <v>1</v>
      </c>
      <c r="AA3374" s="2" t="n">
        <f aca="false">IF($I3374="Correct",ROUND(INDEX('Reward Model'!$B$12:$B$14,MATCH($K3374,'Reward Model'!$A$12:$A$14,0))*Z3374,2),0)</f>
        <v>0</v>
      </c>
      <c r="AB3374" s="2" t="n">
        <f aca="false">IF($I3374="Correct",ROUND(INDEX('Reward Model'!$B$12:$B$14,MATCH($Y3374,'Reward Model'!$A$12:$A$14,0))*Z3374,2),0)</f>
        <v>0</v>
      </c>
    </row>
    <row r="3375" customFormat="false" ht="15" hidden="false" customHeight="false" outlineLevel="0" collapsed="false">
      <c r="A3375" s="0" t="s">
        <v>468</v>
      </c>
      <c r="B3375" s="0" t="s">
        <v>469</v>
      </c>
      <c r="C3375" s="0" t="s">
        <v>322</v>
      </c>
      <c r="D3375" s="0" t="s">
        <v>189</v>
      </c>
      <c r="E3375" s="0" t="n">
        <v>14</v>
      </c>
      <c r="F3375" s="0" t="s">
        <v>68</v>
      </c>
      <c r="G3375" s="0" t="s">
        <v>51</v>
      </c>
      <c r="H3375" s="0" t="s">
        <v>51</v>
      </c>
      <c r="I3375" s="0" t="s">
        <v>34</v>
      </c>
      <c r="J3375" s="0" t="n">
        <v>1.32</v>
      </c>
      <c r="K3375" s="0" t="s">
        <v>60</v>
      </c>
      <c r="L3375" s="0" t="n">
        <f aca="false">INDEX(Summary!$F$2:$F$201,MATCH($B3375,Summary!$A$2:$A$201,0))</f>
        <v>20</v>
      </c>
      <c r="M3375" s="0" t="n">
        <f aca="false">INDEX(Summary!$I$2:$I$201,MATCH($B3375,Summary!$A$2:$A$201,0))</f>
        <v>1</v>
      </c>
      <c r="N3375" s="0" t="n">
        <f aca="false">INDEX(Summary!$J$2:$J$201,MATCH($B3375,Summary!$A$2:$A$201,0))</f>
        <v>4</v>
      </c>
      <c r="O3375" s="2" t="n">
        <f aca="false">INDEX(Summary!$K$2:$K$201,MATCH($B3375,Summary!$A$2:$A$201,0))</f>
        <v>8.98</v>
      </c>
      <c r="P3375" s="3" t="n">
        <f aca="false">INDEX(Summary!$L$2:$L$201,MATCH($B3375,Summary!$A$2:$A$201,0))</f>
        <v>3</v>
      </c>
      <c r="Q3375" s="3" t="n">
        <f aca="false">INDEX(Summary!$M$2:$M$201,MATCH($B3375,Summary!$A$2:$A$201,0))</f>
        <v>3</v>
      </c>
      <c r="R3375" s="2" t="n">
        <f aca="false">INDEX(Summary!$N$2:$N$201,MATCH($B3375,Summary!$A$2:$A$201,0))</f>
        <v>10.24</v>
      </c>
      <c r="S3375" s="3" t="n">
        <f aca="false">INDEX(Summary!$O$2:$O$201,MATCH($B3375,Summary!$A$2:$A$201,0))</f>
        <v>8</v>
      </c>
      <c r="T3375" s="3" t="n">
        <f aca="false">INDEX(Summary!$P$2:$P$201,MATCH($B3375,Summary!$A$2:$A$201,0))</f>
        <v>1</v>
      </c>
      <c r="U3375" s="2" t="n">
        <f aca="false">INDEX(Summary!$Q$2:$Q$201,MATCH($B3375,Summary!$A$2:$A$201,0))</f>
        <v>12.07</v>
      </c>
      <c r="V3375" s="2" t="n">
        <f aca="false">INDEX(Summary!$R$2:$R$201,MATCH($B3375,Summary!$A$2:$A$201,0))</f>
        <v>20.19</v>
      </c>
      <c r="W3375" s="0" t="str">
        <f aca="false">INDEX(Summary!$S$2:$S$201,MATCH($B3375,Summary!$A$2:$A$201,0))</f>
        <v>Bronze</v>
      </c>
      <c r="X3375" s="2" t="n">
        <f aca="false">INDEX(Summary!$T$2:$T$201,MATCH($B3375,Summary!$A$2:$A$201,0))</f>
        <v>49.24</v>
      </c>
      <c r="Y3375" s="0" t="str">
        <f aca="false">INDEX('Reward Model'!$E$18:$E$37,MATCH($E3375,'Reward Model'!$A$18:$A$37,0))</f>
        <v>Medium</v>
      </c>
      <c r="Z3375" s="4" t="n">
        <f aca="false">ROUND(MIN(1,MAX('Reward Model'!$B$2,INDEX('Reward Model'!$C$12:$C$14,MATCH($K3375,'Reward Model'!$A$12:$A$14,0))/$J3375)),3)</f>
        <v>1</v>
      </c>
      <c r="AA3375" s="2" t="n">
        <f aca="false">IF($I3375="Correct",ROUND(INDEX('Reward Model'!$B$12:$B$14,MATCH($K3375,'Reward Model'!$A$12:$A$14,0))*Z3375,2),0)</f>
        <v>2</v>
      </c>
      <c r="AB3375" s="2" t="n">
        <f aca="false">IF($I3375="Correct",ROUND(INDEX('Reward Model'!$B$12:$B$14,MATCH($Y3375,'Reward Model'!$A$12:$A$14,0))*Z3375,2),0)</f>
        <v>2</v>
      </c>
    </row>
    <row r="3376" customFormat="false" ht="15" hidden="false" customHeight="false" outlineLevel="0" collapsed="false">
      <c r="A3376" s="0" t="s">
        <v>468</v>
      </c>
      <c r="B3376" s="0" t="s">
        <v>469</v>
      </c>
      <c r="C3376" s="0" t="s">
        <v>322</v>
      </c>
      <c r="D3376" s="0" t="s">
        <v>189</v>
      </c>
      <c r="E3376" s="0" t="n">
        <v>15</v>
      </c>
      <c r="F3376" s="0" t="s">
        <v>69</v>
      </c>
      <c r="G3376" s="0" t="s">
        <v>70</v>
      </c>
      <c r="H3376" s="0" t="s">
        <v>70</v>
      </c>
      <c r="I3376" s="0" t="s">
        <v>34</v>
      </c>
      <c r="J3376" s="0" t="n">
        <v>2.05</v>
      </c>
      <c r="K3376" s="0" t="s">
        <v>60</v>
      </c>
      <c r="L3376" s="0" t="n">
        <f aca="false">INDEX(Summary!$F$2:$F$201,MATCH($B3376,Summary!$A$2:$A$201,0))</f>
        <v>20</v>
      </c>
      <c r="M3376" s="0" t="n">
        <f aca="false">INDEX(Summary!$I$2:$I$201,MATCH($B3376,Summary!$A$2:$A$201,0))</f>
        <v>1</v>
      </c>
      <c r="N3376" s="0" t="n">
        <f aca="false">INDEX(Summary!$J$2:$J$201,MATCH($B3376,Summary!$A$2:$A$201,0))</f>
        <v>4</v>
      </c>
      <c r="O3376" s="2" t="n">
        <f aca="false">INDEX(Summary!$K$2:$K$201,MATCH($B3376,Summary!$A$2:$A$201,0))</f>
        <v>8.98</v>
      </c>
      <c r="P3376" s="3" t="n">
        <f aca="false">INDEX(Summary!$L$2:$L$201,MATCH($B3376,Summary!$A$2:$A$201,0))</f>
        <v>3</v>
      </c>
      <c r="Q3376" s="3" t="n">
        <f aca="false">INDEX(Summary!$M$2:$M$201,MATCH($B3376,Summary!$A$2:$A$201,0))</f>
        <v>3</v>
      </c>
      <c r="R3376" s="2" t="n">
        <f aca="false">INDEX(Summary!$N$2:$N$201,MATCH($B3376,Summary!$A$2:$A$201,0))</f>
        <v>10.24</v>
      </c>
      <c r="S3376" s="3" t="n">
        <f aca="false">INDEX(Summary!$O$2:$O$201,MATCH($B3376,Summary!$A$2:$A$201,0))</f>
        <v>8</v>
      </c>
      <c r="T3376" s="3" t="n">
        <f aca="false">INDEX(Summary!$P$2:$P$201,MATCH($B3376,Summary!$A$2:$A$201,0))</f>
        <v>1</v>
      </c>
      <c r="U3376" s="2" t="n">
        <f aca="false">INDEX(Summary!$Q$2:$Q$201,MATCH($B3376,Summary!$A$2:$A$201,0))</f>
        <v>12.07</v>
      </c>
      <c r="V3376" s="2" t="n">
        <f aca="false">INDEX(Summary!$R$2:$R$201,MATCH($B3376,Summary!$A$2:$A$201,0))</f>
        <v>20.19</v>
      </c>
      <c r="W3376" s="0" t="str">
        <f aca="false">INDEX(Summary!$S$2:$S$201,MATCH($B3376,Summary!$A$2:$A$201,0))</f>
        <v>Bronze</v>
      </c>
      <c r="X3376" s="2" t="n">
        <f aca="false">INDEX(Summary!$T$2:$T$201,MATCH($B3376,Summary!$A$2:$A$201,0))</f>
        <v>49.24</v>
      </c>
      <c r="Y3376" s="0" t="str">
        <f aca="false">INDEX('Reward Model'!$E$18:$E$37,MATCH($E3376,'Reward Model'!$A$18:$A$37,0))</f>
        <v>Medium</v>
      </c>
      <c r="Z3376" s="4" t="n">
        <f aca="false">ROUND(MIN(1,MAX('Reward Model'!$B$2,INDEX('Reward Model'!$C$12:$C$14,MATCH($K3376,'Reward Model'!$A$12:$A$14,0))/$J3376)),3)</f>
        <v>0.878</v>
      </c>
      <c r="AA3376" s="2" t="n">
        <f aca="false">IF($I3376="Correct",ROUND(INDEX('Reward Model'!$B$12:$B$14,MATCH($K3376,'Reward Model'!$A$12:$A$14,0))*Z3376,2),0)</f>
        <v>1.76</v>
      </c>
      <c r="AB3376" s="2" t="n">
        <f aca="false">IF($I3376="Correct",ROUND(INDEX('Reward Model'!$B$12:$B$14,MATCH($Y3376,'Reward Model'!$A$12:$A$14,0))*Z3376,2),0)</f>
        <v>1.76</v>
      </c>
    </row>
    <row r="3377" customFormat="false" ht="15" hidden="false" customHeight="false" outlineLevel="0" collapsed="false">
      <c r="A3377" s="0" t="s">
        <v>468</v>
      </c>
      <c r="B3377" s="0" t="s">
        <v>469</v>
      </c>
      <c r="C3377" s="0" t="s">
        <v>322</v>
      </c>
      <c r="D3377" s="0" t="s">
        <v>189</v>
      </c>
      <c r="E3377" s="0" t="n">
        <v>16</v>
      </c>
      <c r="F3377" s="0" t="s">
        <v>71</v>
      </c>
      <c r="G3377" s="0" t="s">
        <v>72</v>
      </c>
      <c r="H3377" s="0" t="s">
        <v>72</v>
      </c>
      <c r="I3377" s="0" t="s">
        <v>34</v>
      </c>
      <c r="J3377" s="0" t="n">
        <v>1.49</v>
      </c>
      <c r="K3377" s="0" t="s">
        <v>73</v>
      </c>
      <c r="L3377" s="0" t="n">
        <f aca="false">INDEX(Summary!$F$2:$F$201,MATCH($B3377,Summary!$A$2:$A$201,0))</f>
        <v>20</v>
      </c>
      <c r="M3377" s="0" t="n">
        <f aca="false">INDEX(Summary!$I$2:$I$201,MATCH($B3377,Summary!$A$2:$A$201,0))</f>
        <v>1</v>
      </c>
      <c r="N3377" s="0" t="n">
        <f aca="false">INDEX(Summary!$J$2:$J$201,MATCH($B3377,Summary!$A$2:$A$201,0))</f>
        <v>4</v>
      </c>
      <c r="O3377" s="2" t="n">
        <f aca="false">INDEX(Summary!$K$2:$K$201,MATCH($B3377,Summary!$A$2:$A$201,0))</f>
        <v>8.98</v>
      </c>
      <c r="P3377" s="3" t="n">
        <f aca="false">INDEX(Summary!$L$2:$L$201,MATCH($B3377,Summary!$A$2:$A$201,0))</f>
        <v>3</v>
      </c>
      <c r="Q3377" s="3" t="n">
        <f aca="false">INDEX(Summary!$M$2:$M$201,MATCH($B3377,Summary!$A$2:$A$201,0))</f>
        <v>3</v>
      </c>
      <c r="R3377" s="2" t="n">
        <f aca="false">INDEX(Summary!$N$2:$N$201,MATCH($B3377,Summary!$A$2:$A$201,0))</f>
        <v>10.24</v>
      </c>
      <c r="S3377" s="3" t="n">
        <f aca="false">INDEX(Summary!$O$2:$O$201,MATCH($B3377,Summary!$A$2:$A$201,0))</f>
        <v>8</v>
      </c>
      <c r="T3377" s="3" t="n">
        <f aca="false">INDEX(Summary!$P$2:$P$201,MATCH($B3377,Summary!$A$2:$A$201,0))</f>
        <v>1</v>
      </c>
      <c r="U3377" s="2" t="n">
        <f aca="false">INDEX(Summary!$Q$2:$Q$201,MATCH($B3377,Summary!$A$2:$A$201,0))</f>
        <v>12.07</v>
      </c>
      <c r="V3377" s="2" t="n">
        <f aca="false">INDEX(Summary!$R$2:$R$201,MATCH($B3377,Summary!$A$2:$A$201,0))</f>
        <v>20.19</v>
      </c>
      <c r="W3377" s="0" t="str">
        <f aca="false">INDEX(Summary!$S$2:$S$201,MATCH($B3377,Summary!$A$2:$A$201,0))</f>
        <v>Bronze</v>
      </c>
      <c r="X3377" s="2" t="n">
        <f aca="false">INDEX(Summary!$T$2:$T$201,MATCH($B3377,Summary!$A$2:$A$201,0))</f>
        <v>49.24</v>
      </c>
      <c r="Y3377" s="0" t="str">
        <f aca="false">INDEX('Reward Model'!$E$18:$E$37,MATCH($E3377,'Reward Model'!$A$18:$A$37,0))</f>
        <v>High</v>
      </c>
      <c r="Z3377" s="4" t="n">
        <f aca="false">ROUND(MIN(1,MAX('Reward Model'!$B$2,INDEX('Reward Model'!$C$12:$C$14,MATCH($K3377,'Reward Model'!$A$12:$A$14,0))/$J3377)),3)</f>
        <v>1</v>
      </c>
      <c r="AA3377" s="2" t="n">
        <f aca="false">IF($I3377="Correct",ROUND(INDEX('Reward Model'!$B$12:$B$14,MATCH($K3377,'Reward Model'!$A$12:$A$14,0))*Z3377,2),0)</f>
        <v>3</v>
      </c>
      <c r="AB3377" s="2" t="n">
        <f aca="false">IF($I3377="Correct",ROUND(INDEX('Reward Model'!$B$12:$B$14,MATCH($Y3377,'Reward Model'!$A$12:$A$14,0))*Z3377,2),0)</f>
        <v>3</v>
      </c>
    </row>
    <row r="3378" customFormat="false" ht="15" hidden="false" customHeight="false" outlineLevel="0" collapsed="false">
      <c r="A3378" s="0" t="s">
        <v>468</v>
      </c>
      <c r="B3378" s="0" t="s">
        <v>469</v>
      </c>
      <c r="C3378" s="0" t="s">
        <v>322</v>
      </c>
      <c r="D3378" s="0" t="s">
        <v>189</v>
      </c>
      <c r="E3378" s="0" t="n">
        <v>17</v>
      </c>
      <c r="F3378" s="0" t="s">
        <v>74</v>
      </c>
      <c r="G3378" s="0" t="s">
        <v>113</v>
      </c>
      <c r="H3378" s="0" t="s">
        <v>75</v>
      </c>
      <c r="I3378" s="0" t="s">
        <v>39</v>
      </c>
      <c r="J3378" s="0" t="n">
        <v>2.5</v>
      </c>
      <c r="K3378" s="0" t="s">
        <v>73</v>
      </c>
      <c r="L3378" s="0" t="n">
        <f aca="false">INDEX(Summary!$F$2:$F$201,MATCH($B3378,Summary!$A$2:$A$201,0))</f>
        <v>20</v>
      </c>
      <c r="M3378" s="0" t="n">
        <f aca="false">INDEX(Summary!$I$2:$I$201,MATCH($B3378,Summary!$A$2:$A$201,0))</f>
        <v>1</v>
      </c>
      <c r="N3378" s="0" t="n">
        <f aca="false">INDEX(Summary!$J$2:$J$201,MATCH($B3378,Summary!$A$2:$A$201,0))</f>
        <v>4</v>
      </c>
      <c r="O3378" s="2" t="n">
        <f aca="false">INDEX(Summary!$K$2:$K$201,MATCH($B3378,Summary!$A$2:$A$201,0))</f>
        <v>8.98</v>
      </c>
      <c r="P3378" s="3" t="n">
        <f aca="false">INDEX(Summary!$L$2:$L$201,MATCH($B3378,Summary!$A$2:$A$201,0))</f>
        <v>3</v>
      </c>
      <c r="Q3378" s="3" t="n">
        <f aca="false">INDEX(Summary!$M$2:$M$201,MATCH($B3378,Summary!$A$2:$A$201,0))</f>
        <v>3</v>
      </c>
      <c r="R3378" s="2" t="n">
        <f aca="false">INDEX(Summary!$N$2:$N$201,MATCH($B3378,Summary!$A$2:$A$201,0))</f>
        <v>10.24</v>
      </c>
      <c r="S3378" s="3" t="n">
        <f aca="false">INDEX(Summary!$O$2:$O$201,MATCH($B3378,Summary!$A$2:$A$201,0))</f>
        <v>8</v>
      </c>
      <c r="T3378" s="3" t="n">
        <f aca="false">INDEX(Summary!$P$2:$P$201,MATCH($B3378,Summary!$A$2:$A$201,0))</f>
        <v>1</v>
      </c>
      <c r="U3378" s="2" t="n">
        <f aca="false">INDEX(Summary!$Q$2:$Q$201,MATCH($B3378,Summary!$A$2:$A$201,0))</f>
        <v>12.07</v>
      </c>
      <c r="V3378" s="2" t="n">
        <f aca="false">INDEX(Summary!$R$2:$R$201,MATCH($B3378,Summary!$A$2:$A$201,0))</f>
        <v>20.19</v>
      </c>
      <c r="W3378" s="0" t="str">
        <f aca="false">INDEX(Summary!$S$2:$S$201,MATCH($B3378,Summary!$A$2:$A$201,0))</f>
        <v>Bronze</v>
      </c>
      <c r="X3378" s="2" t="n">
        <f aca="false">INDEX(Summary!$T$2:$T$201,MATCH($B3378,Summary!$A$2:$A$201,0))</f>
        <v>49.24</v>
      </c>
      <c r="Y3378" s="0" t="str">
        <f aca="false">INDEX('Reward Model'!$E$18:$E$37,MATCH($E3378,'Reward Model'!$A$18:$A$37,0))</f>
        <v>High</v>
      </c>
      <c r="Z3378" s="4" t="n">
        <f aca="false">ROUND(MIN(1,MAX('Reward Model'!$B$2,INDEX('Reward Model'!$C$12:$C$14,MATCH($K3378,'Reward Model'!$A$12:$A$14,0))/$J3378)),3)</f>
        <v>0.8</v>
      </c>
      <c r="AA3378" s="2" t="n">
        <f aca="false">IF($I3378="Correct",ROUND(INDEX('Reward Model'!$B$12:$B$14,MATCH($K3378,'Reward Model'!$A$12:$A$14,0))*Z3378,2),0)</f>
        <v>0</v>
      </c>
      <c r="AB3378" s="2" t="n">
        <f aca="false">IF($I3378="Correct",ROUND(INDEX('Reward Model'!$B$12:$B$14,MATCH($Y3378,'Reward Model'!$A$12:$A$14,0))*Z3378,2),0)</f>
        <v>0</v>
      </c>
    </row>
    <row r="3379" customFormat="false" ht="15" hidden="false" customHeight="false" outlineLevel="0" collapsed="false">
      <c r="A3379" s="0" t="s">
        <v>468</v>
      </c>
      <c r="B3379" s="0" t="s">
        <v>469</v>
      </c>
      <c r="C3379" s="0" t="s">
        <v>322</v>
      </c>
      <c r="D3379" s="0" t="s">
        <v>189</v>
      </c>
      <c r="E3379" s="0" t="n">
        <v>18</v>
      </c>
      <c r="F3379" s="0" t="s">
        <v>76</v>
      </c>
      <c r="G3379" s="0" t="s">
        <v>128</v>
      </c>
      <c r="H3379" s="0" t="s">
        <v>77</v>
      </c>
      <c r="I3379" s="0" t="s">
        <v>39</v>
      </c>
      <c r="J3379" s="0" t="n">
        <v>1.3</v>
      </c>
      <c r="K3379" s="0" t="s">
        <v>73</v>
      </c>
      <c r="L3379" s="0" t="n">
        <f aca="false">INDEX(Summary!$F$2:$F$201,MATCH($B3379,Summary!$A$2:$A$201,0))</f>
        <v>20</v>
      </c>
      <c r="M3379" s="0" t="n">
        <f aca="false">INDEX(Summary!$I$2:$I$201,MATCH($B3379,Summary!$A$2:$A$201,0))</f>
        <v>1</v>
      </c>
      <c r="N3379" s="0" t="n">
        <f aca="false">INDEX(Summary!$J$2:$J$201,MATCH($B3379,Summary!$A$2:$A$201,0))</f>
        <v>4</v>
      </c>
      <c r="O3379" s="2" t="n">
        <f aca="false">INDEX(Summary!$K$2:$K$201,MATCH($B3379,Summary!$A$2:$A$201,0))</f>
        <v>8.98</v>
      </c>
      <c r="P3379" s="3" t="n">
        <f aca="false">INDEX(Summary!$L$2:$L$201,MATCH($B3379,Summary!$A$2:$A$201,0))</f>
        <v>3</v>
      </c>
      <c r="Q3379" s="3" t="n">
        <f aca="false">INDEX(Summary!$M$2:$M$201,MATCH($B3379,Summary!$A$2:$A$201,0))</f>
        <v>3</v>
      </c>
      <c r="R3379" s="2" t="n">
        <f aca="false">INDEX(Summary!$N$2:$N$201,MATCH($B3379,Summary!$A$2:$A$201,0))</f>
        <v>10.24</v>
      </c>
      <c r="S3379" s="3" t="n">
        <f aca="false">INDEX(Summary!$O$2:$O$201,MATCH($B3379,Summary!$A$2:$A$201,0))</f>
        <v>8</v>
      </c>
      <c r="T3379" s="3" t="n">
        <f aca="false">INDEX(Summary!$P$2:$P$201,MATCH($B3379,Summary!$A$2:$A$201,0))</f>
        <v>1</v>
      </c>
      <c r="U3379" s="2" t="n">
        <f aca="false">INDEX(Summary!$Q$2:$Q$201,MATCH($B3379,Summary!$A$2:$A$201,0))</f>
        <v>12.07</v>
      </c>
      <c r="V3379" s="2" t="n">
        <f aca="false">INDEX(Summary!$R$2:$R$201,MATCH($B3379,Summary!$A$2:$A$201,0))</f>
        <v>20.19</v>
      </c>
      <c r="W3379" s="0" t="str">
        <f aca="false">INDEX(Summary!$S$2:$S$201,MATCH($B3379,Summary!$A$2:$A$201,0))</f>
        <v>Bronze</v>
      </c>
      <c r="X3379" s="2" t="n">
        <f aca="false">INDEX(Summary!$T$2:$T$201,MATCH($B3379,Summary!$A$2:$A$201,0))</f>
        <v>49.24</v>
      </c>
      <c r="Y3379" s="0" t="str">
        <f aca="false">INDEX('Reward Model'!$E$18:$E$37,MATCH($E3379,'Reward Model'!$A$18:$A$37,0))</f>
        <v>High</v>
      </c>
      <c r="Z3379" s="4" t="n">
        <f aca="false">ROUND(MIN(1,MAX('Reward Model'!$B$2,INDEX('Reward Model'!$C$12:$C$14,MATCH($K3379,'Reward Model'!$A$12:$A$14,0))/$J3379)),3)</f>
        <v>1</v>
      </c>
      <c r="AA3379" s="2" t="n">
        <f aca="false">IF($I3379="Correct",ROUND(INDEX('Reward Model'!$B$12:$B$14,MATCH($K3379,'Reward Model'!$A$12:$A$14,0))*Z3379,2),0)</f>
        <v>0</v>
      </c>
      <c r="AB3379" s="2" t="n">
        <f aca="false">IF($I3379="Correct",ROUND(INDEX('Reward Model'!$B$12:$B$14,MATCH($Y3379,'Reward Model'!$A$12:$A$14,0))*Z3379,2),0)</f>
        <v>0</v>
      </c>
    </row>
    <row r="3380" customFormat="false" ht="15" hidden="false" customHeight="false" outlineLevel="0" collapsed="false">
      <c r="A3380" s="0" t="s">
        <v>468</v>
      </c>
      <c r="B3380" s="0" t="s">
        <v>469</v>
      </c>
      <c r="C3380" s="0" t="s">
        <v>322</v>
      </c>
      <c r="D3380" s="0" t="s">
        <v>189</v>
      </c>
      <c r="E3380" s="0" t="n">
        <v>19</v>
      </c>
      <c r="F3380" s="0" t="s">
        <v>78</v>
      </c>
      <c r="G3380" s="0" t="s">
        <v>132</v>
      </c>
      <c r="H3380" s="0" t="s">
        <v>80</v>
      </c>
      <c r="I3380" s="0" t="s">
        <v>39</v>
      </c>
      <c r="J3380" s="0" t="n">
        <v>1.77</v>
      </c>
      <c r="K3380" s="0" t="s">
        <v>73</v>
      </c>
      <c r="L3380" s="0" t="n">
        <f aca="false">INDEX(Summary!$F$2:$F$201,MATCH($B3380,Summary!$A$2:$A$201,0))</f>
        <v>20</v>
      </c>
      <c r="M3380" s="0" t="n">
        <f aca="false">INDEX(Summary!$I$2:$I$201,MATCH($B3380,Summary!$A$2:$A$201,0))</f>
        <v>1</v>
      </c>
      <c r="N3380" s="0" t="n">
        <f aca="false">INDEX(Summary!$J$2:$J$201,MATCH($B3380,Summary!$A$2:$A$201,0))</f>
        <v>4</v>
      </c>
      <c r="O3380" s="2" t="n">
        <f aca="false">INDEX(Summary!$K$2:$K$201,MATCH($B3380,Summary!$A$2:$A$201,0))</f>
        <v>8.98</v>
      </c>
      <c r="P3380" s="3" t="n">
        <f aca="false">INDEX(Summary!$L$2:$L$201,MATCH($B3380,Summary!$A$2:$A$201,0))</f>
        <v>3</v>
      </c>
      <c r="Q3380" s="3" t="n">
        <f aca="false">INDEX(Summary!$M$2:$M$201,MATCH($B3380,Summary!$A$2:$A$201,0))</f>
        <v>3</v>
      </c>
      <c r="R3380" s="2" t="n">
        <f aca="false">INDEX(Summary!$N$2:$N$201,MATCH($B3380,Summary!$A$2:$A$201,0))</f>
        <v>10.24</v>
      </c>
      <c r="S3380" s="3" t="n">
        <f aca="false">INDEX(Summary!$O$2:$O$201,MATCH($B3380,Summary!$A$2:$A$201,0))</f>
        <v>8</v>
      </c>
      <c r="T3380" s="3" t="n">
        <f aca="false">INDEX(Summary!$P$2:$P$201,MATCH($B3380,Summary!$A$2:$A$201,0))</f>
        <v>1</v>
      </c>
      <c r="U3380" s="2" t="n">
        <f aca="false">INDEX(Summary!$Q$2:$Q$201,MATCH($B3380,Summary!$A$2:$A$201,0))</f>
        <v>12.07</v>
      </c>
      <c r="V3380" s="2" t="n">
        <f aca="false">INDEX(Summary!$R$2:$R$201,MATCH($B3380,Summary!$A$2:$A$201,0))</f>
        <v>20.19</v>
      </c>
      <c r="W3380" s="0" t="str">
        <f aca="false">INDEX(Summary!$S$2:$S$201,MATCH($B3380,Summary!$A$2:$A$201,0))</f>
        <v>Bronze</v>
      </c>
      <c r="X3380" s="2" t="n">
        <f aca="false">INDEX(Summary!$T$2:$T$201,MATCH($B3380,Summary!$A$2:$A$201,0))</f>
        <v>49.24</v>
      </c>
      <c r="Y3380" s="0" t="str">
        <f aca="false">INDEX('Reward Model'!$E$18:$E$37,MATCH($E3380,'Reward Model'!$A$18:$A$37,0))</f>
        <v>High</v>
      </c>
      <c r="Z3380" s="4" t="n">
        <f aca="false">ROUND(MIN(1,MAX('Reward Model'!$B$2,INDEX('Reward Model'!$C$12:$C$14,MATCH($K3380,'Reward Model'!$A$12:$A$14,0))/$J3380)),3)</f>
        <v>1</v>
      </c>
      <c r="AA3380" s="2" t="n">
        <f aca="false">IF($I3380="Correct",ROUND(INDEX('Reward Model'!$B$12:$B$14,MATCH($K3380,'Reward Model'!$A$12:$A$14,0))*Z3380,2),0)</f>
        <v>0</v>
      </c>
      <c r="AB3380" s="2" t="n">
        <f aca="false">IF($I3380="Correct",ROUND(INDEX('Reward Model'!$B$12:$B$14,MATCH($Y3380,'Reward Model'!$A$12:$A$14,0))*Z3380,2),0)</f>
        <v>0</v>
      </c>
    </row>
    <row r="3381" customFormat="false" ht="15" hidden="false" customHeight="false" outlineLevel="0" collapsed="false">
      <c r="A3381" s="0" t="s">
        <v>468</v>
      </c>
      <c r="B3381" s="0" t="s">
        <v>469</v>
      </c>
      <c r="C3381" s="0" t="s">
        <v>322</v>
      </c>
      <c r="D3381" s="0" t="s">
        <v>189</v>
      </c>
      <c r="E3381" s="0" t="n">
        <v>20</v>
      </c>
      <c r="F3381" s="0" t="s">
        <v>81</v>
      </c>
      <c r="G3381" s="0" t="s">
        <v>119</v>
      </c>
      <c r="H3381" s="0" t="s">
        <v>83</v>
      </c>
      <c r="I3381" s="0" t="s">
        <v>39</v>
      </c>
      <c r="J3381" s="0" t="n">
        <v>1.92</v>
      </c>
      <c r="K3381" s="0" t="s">
        <v>73</v>
      </c>
      <c r="L3381" s="0" t="n">
        <f aca="false">INDEX(Summary!$F$2:$F$201,MATCH($B3381,Summary!$A$2:$A$201,0))</f>
        <v>20</v>
      </c>
      <c r="M3381" s="0" t="n">
        <f aca="false">INDEX(Summary!$I$2:$I$201,MATCH($B3381,Summary!$A$2:$A$201,0))</f>
        <v>1</v>
      </c>
      <c r="N3381" s="0" t="n">
        <f aca="false">INDEX(Summary!$J$2:$J$201,MATCH($B3381,Summary!$A$2:$A$201,0))</f>
        <v>4</v>
      </c>
      <c r="O3381" s="2" t="n">
        <f aca="false">INDEX(Summary!$K$2:$K$201,MATCH($B3381,Summary!$A$2:$A$201,0))</f>
        <v>8.98</v>
      </c>
      <c r="P3381" s="3" t="n">
        <f aca="false">INDEX(Summary!$L$2:$L$201,MATCH($B3381,Summary!$A$2:$A$201,0))</f>
        <v>3</v>
      </c>
      <c r="Q3381" s="3" t="n">
        <f aca="false">INDEX(Summary!$M$2:$M$201,MATCH($B3381,Summary!$A$2:$A$201,0))</f>
        <v>3</v>
      </c>
      <c r="R3381" s="2" t="n">
        <f aca="false">INDEX(Summary!$N$2:$N$201,MATCH($B3381,Summary!$A$2:$A$201,0))</f>
        <v>10.24</v>
      </c>
      <c r="S3381" s="3" t="n">
        <f aca="false">INDEX(Summary!$O$2:$O$201,MATCH($B3381,Summary!$A$2:$A$201,0))</f>
        <v>8</v>
      </c>
      <c r="T3381" s="3" t="n">
        <f aca="false">INDEX(Summary!$P$2:$P$201,MATCH($B3381,Summary!$A$2:$A$201,0))</f>
        <v>1</v>
      </c>
      <c r="U3381" s="2" t="n">
        <f aca="false">INDEX(Summary!$Q$2:$Q$201,MATCH($B3381,Summary!$A$2:$A$201,0))</f>
        <v>12.07</v>
      </c>
      <c r="V3381" s="2" t="n">
        <f aca="false">INDEX(Summary!$R$2:$R$201,MATCH($B3381,Summary!$A$2:$A$201,0))</f>
        <v>20.19</v>
      </c>
      <c r="W3381" s="0" t="str">
        <f aca="false">INDEX(Summary!$S$2:$S$201,MATCH($B3381,Summary!$A$2:$A$201,0))</f>
        <v>Bronze</v>
      </c>
      <c r="X3381" s="2" t="n">
        <f aca="false">INDEX(Summary!$T$2:$T$201,MATCH($B3381,Summary!$A$2:$A$201,0))</f>
        <v>49.24</v>
      </c>
      <c r="Y3381" s="0" t="str">
        <f aca="false">INDEX('Reward Model'!$E$18:$E$37,MATCH($E3381,'Reward Model'!$A$18:$A$37,0))</f>
        <v>High</v>
      </c>
      <c r="Z3381" s="4" t="n">
        <f aca="false">ROUND(MIN(1,MAX('Reward Model'!$B$2,INDEX('Reward Model'!$C$12:$C$14,MATCH($K3381,'Reward Model'!$A$12:$A$14,0))/$J3381)),3)</f>
        <v>1</v>
      </c>
      <c r="AA3381" s="2" t="n">
        <f aca="false">IF($I3381="Correct",ROUND(INDEX('Reward Model'!$B$12:$B$14,MATCH($K3381,'Reward Model'!$A$12:$A$14,0))*Z3381,2),0)</f>
        <v>0</v>
      </c>
      <c r="AB3381" s="2" t="n">
        <f aca="false">IF($I3381="Correct",ROUND(INDEX('Reward Model'!$B$12:$B$14,MATCH($Y3381,'Reward Model'!$A$12:$A$14,0))*Z3381,2),0)</f>
        <v>0</v>
      </c>
    </row>
    <row r="3382" customFormat="false" ht="15" hidden="false" customHeight="false" outlineLevel="0" collapsed="false">
      <c r="A3382" s="0" t="s">
        <v>470</v>
      </c>
      <c r="B3382" s="0" t="s">
        <v>471</v>
      </c>
      <c r="C3382" s="0" t="s">
        <v>322</v>
      </c>
      <c r="D3382" s="0" t="s">
        <v>189</v>
      </c>
      <c r="E3382" s="0" t="n">
        <v>1</v>
      </c>
      <c r="F3382" s="0" t="s">
        <v>32</v>
      </c>
      <c r="G3382" s="0" t="s">
        <v>33</v>
      </c>
      <c r="H3382" s="0" t="s">
        <v>33</v>
      </c>
      <c r="I3382" s="0" t="s">
        <v>34</v>
      </c>
      <c r="J3382" s="0" t="n">
        <v>1.7</v>
      </c>
      <c r="K3382" s="0" t="s">
        <v>35</v>
      </c>
      <c r="L3382" s="0" t="n">
        <f aca="false">INDEX(Summary!$F$2:$F$201,MATCH($B3382,Summary!$A$2:$A$201,0))</f>
        <v>20</v>
      </c>
      <c r="M3382" s="0" t="n">
        <f aca="false">INDEX(Summary!$I$2:$I$201,MATCH($B3382,Summary!$A$2:$A$201,0))</f>
        <v>2</v>
      </c>
      <c r="N3382" s="0" t="n">
        <f aca="false">INDEX(Summary!$J$2:$J$201,MATCH($B3382,Summary!$A$2:$A$201,0))</f>
        <v>3</v>
      </c>
      <c r="O3382" s="2" t="n">
        <f aca="false">INDEX(Summary!$K$2:$K$201,MATCH($B3382,Summary!$A$2:$A$201,0))</f>
        <v>9.83</v>
      </c>
      <c r="P3382" s="3" t="n">
        <f aca="false">INDEX(Summary!$L$2:$L$201,MATCH($B3382,Summary!$A$2:$A$201,0))</f>
        <v>4</v>
      </c>
      <c r="Q3382" s="3" t="n">
        <f aca="false">INDEX(Summary!$M$2:$M$201,MATCH($B3382,Summary!$A$2:$A$201,0))</f>
        <v>2</v>
      </c>
      <c r="R3382" s="2" t="n">
        <f aca="false">INDEX(Summary!$N$2:$N$201,MATCH($B3382,Summary!$A$2:$A$201,0))</f>
        <v>10.49</v>
      </c>
      <c r="S3382" s="3" t="n">
        <f aca="false">INDEX(Summary!$O$2:$O$201,MATCH($B3382,Summary!$A$2:$A$201,0))</f>
        <v>8</v>
      </c>
      <c r="T3382" s="3" t="n">
        <f aca="false">INDEX(Summary!$P$2:$P$201,MATCH($B3382,Summary!$A$2:$A$201,0))</f>
        <v>1</v>
      </c>
      <c r="U3382" s="2" t="n">
        <f aca="false">INDEX(Summary!$Q$2:$Q$201,MATCH($B3382,Summary!$A$2:$A$201,0))</f>
        <v>11.39</v>
      </c>
      <c r="V3382" s="2" t="n">
        <f aca="false">INDEX(Summary!$R$2:$R$201,MATCH($B3382,Summary!$A$2:$A$201,0))</f>
        <v>25.74</v>
      </c>
      <c r="W3382" s="0" t="str">
        <f aca="false">INDEX(Summary!$S$2:$S$201,MATCH($B3382,Summary!$A$2:$A$201,0))</f>
        <v>Silver</v>
      </c>
      <c r="X3382" s="2" t="n">
        <f aca="false">INDEX(Summary!$T$2:$T$201,MATCH($B3382,Summary!$A$2:$A$201,0))</f>
        <v>62.78</v>
      </c>
      <c r="Y3382" s="0" t="str">
        <f aca="false">INDEX('Reward Model'!$E$18:$E$37,MATCH($E3382,'Reward Model'!$A$18:$A$37,0))</f>
        <v>Medium</v>
      </c>
      <c r="Z3382" s="4" t="n">
        <f aca="false">ROUND(MIN(1,MAX('Reward Model'!$B$2,INDEX('Reward Model'!$C$12:$C$14,MATCH($K3382,'Reward Model'!$A$12:$A$14,0))/$J3382)),3)</f>
        <v>0.882</v>
      </c>
      <c r="AA3382" s="2" t="n">
        <f aca="false">IF($I3382="Correct",ROUND(INDEX('Reward Model'!$B$12:$B$14,MATCH($K3382,'Reward Model'!$A$12:$A$14,0))*Z3382,2),0)</f>
        <v>0.88</v>
      </c>
      <c r="AB3382" s="2" t="n">
        <f aca="false">IF($I3382="Correct",ROUND(INDEX('Reward Model'!$B$12:$B$14,MATCH($Y3382,'Reward Model'!$A$12:$A$14,0))*Z3382,2),0)</f>
        <v>1.76</v>
      </c>
    </row>
    <row r="3383" customFormat="false" ht="15" hidden="false" customHeight="false" outlineLevel="0" collapsed="false">
      <c r="A3383" s="0" t="s">
        <v>470</v>
      </c>
      <c r="B3383" s="0" t="s">
        <v>471</v>
      </c>
      <c r="C3383" s="0" t="s">
        <v>322</v>
      </c>
      <c r="D3383" s="0" t="s">
        <v>189</v>
      </c>
      <c r="E3383" s="0" t="n">
        <v>2</v>
      </c>
      <c r="F3383" s="0" t="s">
        <v>36</v>
      </c>
      <c r="G3383" s="0" t="s">
        <v>38</v>
      </c>
      <c r="H3383" s="0" t="s">
        <v>38</v>
      </c>
      <c r="I3383" s="0" t="s">
        <v>34</v>
      </c>
      <c r="J3383" s="0" t="n">
        <v>1.33</v>
      </c>
      <c r="K3383" s="0" t="s">
        <v>35</v>
      </c>
      <c r="L3383" s="0" t="n">
        <f aca="false">INDEX(Summary!$F$2:$F$201,MATCH($B3383,Summary!$A$2:$A$201,0))</f>
        <v>20</v>
      </c>
      <c r="M3383" s="0" t="n">
        <f aca="false">INDEX(Summary!$I$2:$I$201,MATCH($B3383,Summary!$A$2:$A$201,0))</f>
        <v>2</v>
      </c>
      <c r="N3383" s="0" t="n">
        <f aca="false">INDEX(Summary!$J$2:$J$201,MATCH($B3383,Summary!$A$2:$A$201,0))</f>
        <v>3</v>
      </c>
      <c r="O3383" s="2" t="n">
        <f aca="false">INDEX(Summary!$K$2:$K$201,MATCH($B3383,Summary!$A$2:$A$201,0))</f>
        <v>9.83</v>
      </c>
      <c r="P3383" s="3" t="n">
        <f aca="false">INDEX(Summary!$L$2:$L$201,MATCH($B3383,Summary!$A$2:$A$201,0))</f>
        <v>4</v>
      </c>
      <c r="Q3383" s="3" t="n">
        <f aca="false">INDEX(Summary!$M$2:$M$201,MATCH($B3383,Summary!$A$2:$A$201,0))</f>
        <v>2</v>
      </c>
      <c r="R3383" s="2" t="n">
        <f aca="false">INDEX(Summary!$N$2:$N$201,MATCH($B3383,Summary!$A$2:$A$201,0))</f>
        <v>10.49</v>
      </c>
      <c r="S3383" s="3" t="n">
        <f aca="false">INDEX(Summary!$O$2:$O$201,MATCH($B3383,Summary!$A$2:$A$201,0))</f>
        <v>8</v>
      </c>
      <c r="T3383" s="3" t="n">
        <f aca="false">INDEX(Summary!$P$2:$P$201,MATCH($B3383,Summary!$A$2:$A$201,0))</f>
        <v>1</v>
      </c>
      <c r="U3383" s="2" t="n">
        <f aca="false">INDEX(Summary!$Q$2:$Q$201,MATCH($B3383,Summary!$A$2:$A$201,0))</f>
        <v>11.39</v>
      </c>
      <c r="V3383" s="2" t="n">
        <f aca="false">INDEX(Summary!$R$2:$R$201,MATCH($B3383,Summary!$A$2:$A$201,0))</f>
        <v>25.74</v>
      </c>
      <c r="W3383" s="0" t="str">
        <f aca="false">INDEX(Summary!$S$2:$S$201,MATCH($B3383,Summary!$A$2:$A$201,0))</f>
        <v>Silver</v>
      </c>
      <c r="X3383" s="2" t="n">
        <f aca="false">INDEX(Summary!$T$2:$T$201,MATCH($B3383,Summary!$A$2:$A$201,0))</f>
        <v>62.78</v>
      </c>
      <c r="Y3383" s="0" t="str">
        <f aca="false">INDEX('Reward Model'!$E$18:$E$37,MATCH($E3383,'Reward Model'!$A$18:$A$37,0))</f>
        <v>Low</v>
      </c>
      <c r="Z3383" s="4" t="n">
        <f aca="false">ROUND(MIN(1,MAX('Reward Model'!$B$2,INDEX('Reward Model'!$C$12:$C$14,MATCH($K3383,'Reward Model'!$A$12:$A$14,0))/$J3383)),3)</f>
        <v>1</v>
      </c>
      <c r="AA3383" s="2" t="n">
        <f aca="false">IF($I3383="Correct",ROUND(INDEX('Reward Model'!$B$12:$B$14,MATCH($K3383,'Reward Model'!$A$12:$A$14,0))*Z3383,2),0)</f>
        <v>1</v>
      </c>
      <c r="AB3383" s="2" t="n">
        <f aca="false">IF($I3383="Correct",ROUND(INDEX('Reward Model'!$B$12:$B$14,MATCH($Y3383,'Reward Model'!$A$12:$A$14,0))*Z3383,2),0)</f>
        <v>1</v>
      </c>
    </row>
    <row r="3384" customFormat="false" ht="15" hidden="false" customHeight="false" outlineLevel="0" collapsed="false">
      <c r="A3384" s="0" t="s">
        <v>470</v>
      </c>
      <c r="B3384" s="0" t="s">
        <v>471</v>
      </c>
      <c r="C3384" s="0" t="s">
        <v>322</v>
      </c>
      <c r="D3384" s="0" t="s">
        <v>189</v>
      </c>
      <c r="E3384" s="0" t="n">
        <v>3</v>
      </c>
      <c r="F3384" s="0" t="s">
        <v>40</v>
      </c>
      <c r="G3384" s="0" t="s">
        <v>42</v>
      </c>
      <c r="H3384" s="0" t="s">
        <v>42</v>
      </c>
      <c r="I3384" s="0" t="s">
        <v>34</v>
      </c>
      <c r="J3384" s="0" t="n">
        <v>1.16</v>
      </c>
      <c r="K3384" s="0" t="s">
        <v>35</v>
      </c>
      <c r="L3384" s="0" t="n">
        <f aca="false">INDEX(Summary!$F$2:$F$201,MATCH($B3384,Summary!$A$2:$A$201,0))</f>
        <v>20</v>
      </c>
      <c r="M3384" s="0" t="n">
        <f aca="false">INDEX(Summary!$I$2:$I$201,MATCH($B3384,Summary!$A$2:$A$201,0))</f>
        <v>2</v>
      </c>
      <c r="N3384" s="0" t="n">
        <f aca="false">INDEX(Summary!$J$2:$J$201,MATCH($B3384,Summary!$A$2:$A$201,0))</f>
        <v>3</v>
      </c>
      <c r="O3384" s="2" t="n">
        <f aca="false">INDEX(Summary!$K$2:$K$201,MATCH($B3384,Summary!$A$2:$A$201,0))</f>
        <v>9.83</v>
      </c>
      <c r="P3384" s="3" t="n">
        <f aca="false">INDEX(Summary!$L$2:$L$201,MATCH($B3384,Summary!$A$2:$A$201,0))</f>
        <v>4</v>
      </c>
      <c r="Q3384" s="3" t="n">
        <f aca="false">INDEX(Summary!$M$2:$M$201,MATCH($B3384,Summary!$A$2:$A$201,0))</f>
        <v>2</v>
      </c>
      <c r="R3384" s="2" t="n">
        <f aca="false">INDEX(Summary!$N$2:$N$201,MATCH($B3384,Summary!$A$2:$A$201,0))</f>
        <v>10.49</v>
      </c>
      <c r="S3384" s="3" t="n">
        <f aca="false">INDEX(Summary!$O$2:$O$201,MATCH($B3384,Summary!$A$2:$A$201,0))</f>
        <v>8</v>
      </c>
      <c r="T3384" s="3" t="n">
        <f aca="false">INDEX(Summary!$P$2:$P$201,MATCH($B3384,Summary!$A$2:$A$201,0))</f>
        <v>1</v>
      </c>
      <c r="U3384" s="2" t="n">
        <f aca="false">INDEX(Summary!$Q$2:$Q$201,MATCH($B3384,Summary!$A$2:$A$201,0))</f>
        <v>11.39</v>
      </c>
      <c r="V3384" s="2" t="n">
        <f aca="false">INDEX(Summary!$R$2:$R$201,MATCH($B3384,Summary!$A$2:$A$201,0))</f>
        <v>25.74</v>
      </c>
      <c r="W3384" s="0" t="str">
        <f aca="false">INDEX(Summary!$S$2:$S$201,MATCH($B3384,Summary!$A$2:$A$201,0))</f>
        <v>Silver</v>
      </c>
      <c r="X3384" s="2" t="n">
        <f aca="false">INDEX(Summary!$T$2:$T$201,MATCH($B3384,Summary!$A$2:$A$201,0))</f>
        <v>62.78</v>
      </c>
      <c r="Y3384" s="0" t="str">
        <f aca="false">INDEX('Reward Model'!$E$18:$E$37,MATCH($E3384,'Reward Model'!$A$18:$A$37,0))</f>
        <v>Medium</v>
      </c>
      <c r="Z3384" s="4" t="n">
        <f aca="false">ROUND(MIN(1,MAX('Reward Model'!$B$2,INDEX('Reward Model'!$C$12:$C$14,MATCH($K3384,'Reward Model'!$A$12:$A$14,0))/$J3384)),3)</f>
        <v>1</v>
      </c>
      <c r="AA3384" s="2" t="n">
        <f aca="false">IF($I3384="Correct",ROUND(INDEX('Reward Model'!$B$12:$B$14,MATCH($K3384,'Reward Model'!$A$12:$A$14,0))*Z3384,2),0)</f>
        <v>1</v>
      </c>
      <c r="AB3384" s="2" t="n">
        <f aca="false">IF($I3384="Correct",ROUND(INDEX('Reward Model'!$B$12:$B$14,MATCH($Y3384,'Reward Model'!$A$12:$A$14,0))*Z3384,2),0)</f>
        <v>2</v>
      </c>
    </row>
    <row r="3385" customFormat="false" ht="15" hidden="false" customHeight="false" outlineLevel="0" collapsed="false">
      <c r="A3385" s="0" t="s">
        <v>470</v>
      </c>
      <c r="B3385" s="0" t="s">
        <v>471</v>
      </c>
      <c r="C3385" s="0" t="s">
        <v>322</v>
      </c>
      <c r="D3385" s="0" t="s">
        <v>189</v>
      </c>
      <c r="E3385" s="0" t="n">
        <v>4</v>
      </c>
      <c r="F3385" s="0" t="s">
        <v>43</v>
      </c>
      <c r="G3385" s="0" t="s">
        <v>45</v>
      </c>
      <c r="H3385" s="0" t="s">
        <v>45</v>
      </c>
      <c r="I3385" s="0" t="s">
        <v>34</v>
      </c>
      <c r="J3385" s="0" t="n">
        <v>1.39</v>
      </c>
      <c r="K3385" s="0" t="s">
        <v>35</v>
      </c>
      <c r="L3385" s="0" t="n">
        <f aca="false">INDEX(Summary!$F$2:$F$201,MATCH($B3385,Summary!$A$2:$A$201,0))</f>
        <v>20</v>
      </c>
      <c r="M3385" s="0" t="n">
        <f aca="false">INDEX(Summary!$I$2:$I$201,MATCH($B3385,Summary!$A$2:$A$201,0))</f>
        <v>2</v>
      </c>
      <c r="N3385" s="0" t="n">
        <f aca="false">INDEX(Summary!$J$2:$J$201,MATCH($B3385,Summary!$A$2:$A$201,0))</f>
        <v>3</v>
      </c>
      <c r="O3385" s="2" t="n">
        <f aca="false">INDEX(Summary!$K$2:$K$201,MATCH($B3385,Summary!$A$2:$A$201,0))</f>
        <v>9.83</v>
      </c>
      <c r="P3385" s="3" t="n">
        <f aca="false">INDEX(Summary!$L$2:$L$201,MATCH($B3385,Summary!$A$2:$A$201,0))</f>
        <v>4</v>
      </c>
      <c r="Q3385" s="3" t="n">
        <f aca="false">INDEX(Summary!$M$2:$M$201,MATCH($B3385,Summary!$A$2:$A$201,0))</f>
        <v>2</v>
      </c>
      <c r="R3385" s="2" t="n">
        <f aca="false">INDEX(Summary!$N$2:$N$201,MATCH($B3385,Summary!$A$2:$A$201,0))</f>
        <v>10.49</v>
      </c>
      <c r="S3385" s="3" t="n">
        <f aca="false">INDEX(Summary!$O$2:$O$201,MATCH($B3385,Summary!$A$2:$A$201,0))</f>
        <v>8</v>
      </c>
      <c r="T3385" s="3" t="n">
        <f aca="false">INDEX(Summary!$P$2:$P$201,MATCH($B3385,Summary!$A$2:$A$201,0))</f>
        <v>1</v>
      </c>
      <c r="U3385" s="2" t="n">
        <f aca="false">INDEX(Summary!$Q$2:$Q$201,MATCH($B3385,Summary!$A$2:$A$201,0))</f>
        <v>11.39</v>
      </c>
      <c r="V3385" s="2" t="n">
        <f aca="false">INDEX(Summary!$R$2:$R$201,MATCH($B3385,Summary!$A$2:$A$201,0))</f>
        <v>25.74</v>
      </c>
      <c r="W3385" s="0" t="str">
        <f aca="false">INDEX(Summary!$S$2:$S$201,MATCH($B3385,Summary!$A$2:$A$201,0))</f>
        <v>Silver</v>
      </c>
      <c r="X3385" s="2" t="n">
        <f aca="false">INDEX(Summary!$T$2:$T$201,MATCH($B3385,Summary!$A$2:$A$201,0))</f>
        <v>62.78</v>
      </c>
      <c r="Y3385" s="0" t="str">
        <f aca="false">INDEX('Reward Model'!$E$18:$E$37,MATCH($E3385,'Reward Model'!$A$18:$A$37,0))</f>
        <v>Low</v>
      </c>
      <c r="Z3385" s="4" t="n">
        <f aca="false">ROUND(MIN(1,MAX('Reward Model'!$B$2,INDEX('Reward Model'!$C$12:$C$14,MATCH($K3385,'Reward Model'!$A$12:$A$14,0))/$J3385)),3)</f>
        <v>1</v>
      </c>
      <c r="AA3385" s="2" t="n">
        <f aca="false">IF($I3385="Correct",ROUND(INDEX('Reward Model'!$B$12:$B$14,MATCH($K3385,'Reward Model'!$A$12:$A$14,0))*Z3385,2),0)</f>
        <v>1</v>
      </c>
      <c r="AB3385" s="2" t="n">
        <f aca="false">IF($I3385="Correct",ROUND(INDEX('Reward Model'!$B$12:$B$14,MATCH($Y3385,'Reward Model'!$A$12:$A$14,0))*Z3385,2),0)</f>
        <v>1</v>
      </c>
    </row>
    <row r="3386" customFormat="false" ht="15" hidden="false" customHeight="false" outlineLevel="0" collapsed="false">
      <c r="A3386" s="0" t="s">
        <v>470</v>
      </c>
      <c r="B3386" s="0" t="s">
        <v>471</v>
      </c>
      <c r="C3386" s="0" t="s">
        <v>322</v>
      </c>
      <c r="D3386" s="0" t="s">
        <v>189</v>
      </c>
      <c r="E3386" s="0" t="n">
        <v>5</v>
      </c>
      <c r="F3386" s="0" t="s">
        <v>46</v>
      </c>
      <c r="G3386" s="0" t="s">
        <v>47</v>
      </c>
      <c r="H3386" s="0" t="s">
        <v>47</v>
      </c>
      <c r="I3386" s="0" t="s">
        <v>34</v>
      </c>
      <c r="J3386" s="0" t="n">
        <v>1.41</v>
      </c>
      <c r="K3386" s="0" t="s">
        <v>35</v>
      </c>
      <c r="L3386" s="0" t="n">
        <f aca="false">INDEX(Summary!$F$2:$F$201,MATCH($B3386,Summary!$A$2:$A$201,0))</f>
        <v>20</v>
      </c>
      <c r="M3386" s="0" t="n">
        <f aca="false">INDEX(Summary!$I$2:$I$201,MATCH($B3386,Summary!$A$2:$A$201,0))</f>
        <v>2</v>
      </c>
      <c r="N3386" s="0" t="n">
        <f aca="false">INDEX(Summary!$J$2:$J$201,MATCH($B3386,Summary!$A$2:$A$201,0))</f>
        <v>3</v>
      </c>
      <c r="O3386" s="2" t="n">
        <f aca="false">INDEX(Summary!$K$2:$K$201,MATCH($B3386,Summary!$A$2:$A$201,0))</f>
        <v>9.83</v>
      </c>
      <c r="P3386" s="3" t="n">
        <f aca="false">INDEX(Summary!$L$2:$L$201,MATCH($B3386,Summary!$A$2:$A$201,0))</f>
        <v>4</v>
      </c>
      <c r="Q3386" s="3" t="n">
        <f aca="false">INDEX(Summary!$M$2:$M$201,MATCH($B3386,Summary!$A$2:$A$201,0))</f>
        <v>2</v>
      </c>
      <c r="R3386" s="2" t="n">
        <f aca="false">INDEX(Summary!$N$2:$N$201,MATCH($B3386,Summary!$A$2:$A$201,0))</f>
        <v>10.49</v>
      </c>
      <c r="S3386" s="3" t="n">
        <f aca="false">INDEX(Summary!$O$2:$O$201,MATCH($B3386,Summary!$A$2:$A$201,0))</f>
        <v>8</v>
      </c>
      <c r="T3386" s="3" t="n">
        <f aca="false">INDEX(Summary!$P$2:$P$201,MATCH($B3386,Summary!$A$2:$A$201,0))</f>
        <v>1</v>
      </c>
      <c r="U3386" s="2" t="n">
        <f aca="false">INDEX(Summary!$Q$2:$Q$201,MATCH($B3386,Summary!$A$2:$A$201,0))</f>
        <v>11.39</v>
      </c>
      <c r="V3386" s="2" t="n">
        <f aca="false">INDEX(Summary!$R$2:$R$201,MATCH($B3386,Summary!$A$2:$A$201,0))</f>
        <v>25.74</v>
      </c>
      <c r="W3386" s="0" t="str">
        <f aca="false">INDEX(Summary!$S$2:$S$201,MATCH($B3386,Summary!$A$2:$A$201,0))</f>
        <v>Silver</v>
      </c>
      <c r="X3386" s="2" t="n">
        <f aca="false">INDEX(Summary!$T$2:$T$201,MATCH($B3386,Summary!$A$2:$A$201,0))</f>
        <v>62.78</v>
      </c>
      <c r="Y3386" s="0" t="str">
        <f aca="false">INDEX('Reward Model'!$E$18:$E$37,MATCH($E3386,'Reward Model'!$A$18:$A$37,0))</f>
        <v>Low</v>
      </c>
      <c r="Z3386" s="4" t="n">
        <f aca="false">ROUND(MIN(1,MAX('Reward Model'!$B$2,INDEX('Reward Model'!$C$12:$C$14,MATCH($K3386,'Reward Model'!$A$12:$A$14,0))/$J3386)),3)</f>
        <v>1</v>
      </c>
      <c r="AA3386" s="2" t="n">
        <f aca="false">IF($I3386="Correct",ROUND(INDEX('Reward Model'!$B$12:$B$14,MATCH($K3386,'Reward Model'!$A$12:$A$14,0))*Z3386,2),0)</f>
        <v>1</v>
      </c>
      <c r="AB3386" s="2" t="n">
        <f aca="false">IF($I3386="Correct",ROUND(INDEX('Reward Model'!$B$12:$B$14,MATCH($Y3386,'Reward Model'!$A$12:$A$14,0))*Z3386,2),0)</f>
        <v>1</v>
      </c>
    </row>
    <row r="3387" customFormat="false" ht="15" hidden="false" customHeight="false" outlineLevel="0" collapsed="false">
      <c r="A3387" s="0" t="s">
        <v>470</v>
      </c>
      <c r="B3387" s="0" t="s">
        <v>471</v>
      </c>
      <c r="C3387" s="0" t="s">
        <v>322</v>
      </c>
      <c r="D3387" s="0" t="s">
        <v>189</v>
      </c>
      <c r="E3387" s="0" t="n">
        <v>6</v>
      </c>
      <c r="F3387" s="0" t="s">
        <v>48</v>
      </c>
      <c r="G3387" s="0" t="s">
        <v>49</v>
      </c>
      <c r="H3387" s="0" t="s">
        <v>49</v>
      </c>
      <c r="I3387" s="0" t="s">
        <v>34</v>
      </c>
      <c r="J3387" s="0" t="n">
        <v>1.01</v>
      </c>
      <c r="K3387" s="0" t="s">
        <v>35</v>
      </c>
      <c r="L3387" s="0" t="n">
        <f aca="false">INDEX(Summary!$F$2:$F$201,MATCH($B3387,Summary!$A$2:$A$201,0))</f>
        <v>20</v>
      </c>
      <c r="M3387" s="0" t="n">
        <f aca="false">INDEX(Summary!$I$2:$I$201,MATCH($B3387,Summary!$A$2:$A$201,0))</f>
        <v>2</v>
      </c>
      <c r="N3387" s="0" t="n">
        <f aca="false">INDEX(Summary!$J$2:$J$201,MATCH($B3387,Summary!$A$2:$A$201,0))</f>
        <v>3</v>
      </c>
      <c r="O3387" s="2" t="n">
        <f aca="false">INDEX(Summary!$K$2:$K$201,MATCH($B3387,Summary!$A$2:$A$201,0))</f>
        <v>9.83</v>
      </c>
      <c r="P3387" s="3" t="n">
        <f aca="false">INDEX(Summary!$L$2:$L$201,MATCH($B3387,Summary!$A$2:$A$201,0))</f>
        <v>4</v>
      </c>
      <c r="Q3387" s="3" t="n">
        <f aca="false">INDEX(Summary!$M$2:$M$201,MATCH($B3387,Summary!$A$2:$A$201,0))</f>
        <v>2</v>
      </c>
      <c r="R3387" s="2" t="n">
        <f aca="false">INDEX(Summary!$N$2:$N$201,MATCH($B3387,Summary!$A$2:$A$201,0))</f>
        <v>10.49</v>
      </c>
      <c r="S3387" s="3" t="n">
        <f aca="false">INDEX(Summary!$O$2:$O$201,MATCH($B3387,Summary!$A$2:$A$201,0))</f>
        <v>8</v>
      </c>
      <c r="T3387" s="3" t="n">
        <f aca="false">INDEX(Summary!$P$2:$P$201,MATCH($B3387,Summary!$A$2:$A$201,0))</f>
        <v>1</v>
      </c>
      <c r="U3387" s="2" t="n">
        <f aca="false">INDEX(Summary!$Q$2:$Q$201,MATCH($B3387,Summary!$A$2:$A$201,0))</f>
        <v>11.39</v>
      </c>
      <c r="V3387" s="2" t="n">
        <f aca="false">INDEX(Summary!$R$2:$R$201,MATCH($B3387,Summary!$A$2:$A$201,0))</f>
        <v>25.74</v>
      </c>
      <c r="W3387" s="0" t="str">
        <f aca="false">INDEX(Summary!$S$2:$S$201,MATCH($B3387,Summary!$A$2:$A$201,0))</f>
        <v>Silver</v>
      </c>
      <c r="X3387" s="2" t="n">
        <f aca="false">INDEX(Summary!$T$2:$T$201,MATCH($B3387,Summary!$A$2:$A$201,0))</f>
        <v>62.78</v>
      </c>
      <c r="Y3387" s="0" t="str">
        <f aca="false">INDEX('Reward Model'!$E$18:$E$37,MATCH($E3387,'Reward Model'!$A$18:$A$37,0))</f>
        <v>Medium</v>
      </c>
      <c r="Z3387" s="4" t="n">
        <f aca="false">ROUND(MIN(1,MAX('Reward Model'!$B$2,INDEX('Reward Model'!$C$12:$C$14,MATCH($K3387,'Reward Model'!$A$12:$A$14,0))/$J3387)),3)</f>
        <v>1</v>
      </c>
      <c r="AA3387" s="2" t="n">
        <f aca="false">IF($I3387="Correct",ROUND(INDEX('Reward Model'!$B$12:$B$14,MATCH($K3387,'Reward Model'!$A$12:$A$14,0))*Z3387,2),0)</f>
        <v>1</v>
      </c>
      <c r="AB3387" s="2" t="n">
        <f aca="false">IF($I3387="Correct",ROUND(INDEX('Reward Model'!$B$12:$B$14,MATCH($Y3387,'Reward Model'!$A$12:$A$14,0))*Z3387,2),0)</f>
        <v>2</v>
      </c>
    </row>
    <row r="3388" customFormat="false" ht="15" hidden="false" customHeight="false" outlineLevel="0" collapsed="false">
      <c r="A3388" s="0" t="s">
        <v>470</v>
      </c>
      <c r="B3388" s="0" t="s">
        <v>471</v>
      </c>
      <c r="C3388" s="0" t="s">
        <v>322</v>
      </c>
      <c r="D3388" s="0" t="s">
        <v>189</v>
      </c>
      <c r="E3388" s="0" t="n">
        <v>7</v>
      </c>
      <c r="F3388" s="0" t="s">
        <v>50</v>
      </c>
      <c r="G3388" s="0" t="s">
        <v>92</v>
      </c>
      <c r="H3388" s="0" t="s">
        <v>51</v>
      </c>
      <c r="I3388" s="0" t="s">
        <v>39</v>
      </c>
      <c r="J3388" s="0" t="n">
        <v>1.09</v>
      </c>
      <c r="K3388" s="0" t="s">
        <v>35</v>
      </c>
      <c r="L3388" s="0" t="n">
        <f aca="false">INDEX(Summary!$F$2:$F$201,MATCH($B3388,Summary!$A$2:$A$201,0))</f>
        <v>20</v>
      </c>
      <c r="M3388" s="0" t="n">
        <f aca="false">INDEX(Summary!$I$2:$I$201,MATCH($B3388,Summary!$A$2:$A$201,0))</f>
        <v>2</v>
      </c>
      <c r="N3388" s="0" t="n">
        <f aca="false">INDEX(Summary!$J$2:$J$201,MATCH($B3388,Summary!$A$2:$A$201,0))</f>
        <v>3</v>
      </c>
      <c r="O3388" s="2" t="n">
        <f aca="false">INDEX(Summary!$K$2:$K$201,MATCH($B3388,Summary!$A$2:$A$201,0))</f>
        <v>9.83</v>
      </c>
      <c r="P3388" s="3" t="n">
        <f aca="false">INDEX(Summary!$L$2:$L$201,MATCH($B3388,Summary!$A$2:$A$201,0))</f>
        <v>4</v>
      </c>
      <c r="Q3388" s="3" t="n">
        <f aca="false">INDEX(Summary!$M$2:$M$201,MATCH($B3388,Summary!$A$2:$A$201,0))</f>
        <v>2</v>
      </c>
      <c r="R3388" s="2" t="n">
        <f aca="false">INDEX(Summary!$N$2:$N$201,MATCH($B3388,Summary!$A$2:$A$201,0))</f>
        <v>10.49</v>
      </c>
      <c r="S3388" s="3" t="n">
        <f aca="false">INDEX(Summary!$O$2:$O$201,MATCH($B3388,Summary!$A$2:$A$201,0))</f>
        <v>8</v>
      </c>
      <c r="T3388" s="3" t="n">
        <f aca="false">INDEX(Summary!$P$2:$P$201,MATCH($B3388,Summary!$A$2:$A$201,0))</f>
        <v>1</v>
      </c>
      <c r="U3388" s="2" t="n">
        <f aca="false">INDEX(Summary!$Q$2:$Q$201,MATCH($B3388,Summary!$A$2:$A$201,0))</f>
        <v>11.39</v>
      </c>
      <c r="V3388" s="2" t="n">
        <f aca="false">INDEX(Summary!$R$2:$R$201,MATCH($B3388,Summary!$A$2:$A$201,0))</f>
        <v>25.74</v>
      </c>
      <c r="W3388" s="0" t="str">
        <f aca="false">INDEX(Summary!$S$2:$S$201,MATCH($B3388,Summary!$A$2:$A$201,0))</f>
        <v>Silver</v>
      </c>
      <c r="X3388" s="2" t="n">
        <f aca="false">INDEX(Summary!$T$2:$T$201,MATCH($B3388,Summary!$A$2:$A$201,0))</f>
        <v>62.78</v>
      </c>
      <c r="Y3388" s="0" t="str">
        <f aca="false">INDEX('Reward Model'!$E$18:$E$37,MATCH($E3388,'Reward Model'!$A$18:$A$37,0))</f>
        <v>Low</v>
      </c>
      <c r="Z3388" s="4" t="n">
        <f aca="false">ROUND(MIN(1,MAX('Reward Model'!$B$2,INDEX('Reward Model'!$C$12:$C$14,MATCH($K3388,'Reward Model'!$A$12:$A$14,0))/$J3388)),3)</f>
        <v>1</v>
      </c>
      <c r="AA3388" s="2" t="n">
        <f aca="false">IF($I3388="Correct",ROUND(INDEX('Reward Model'!$B$12:$B$14,MATCH($K3388,'Reward Model'!$A$12:$A$14,0))*Z3388,2),0)</f>
        <v>0</v>
      </c>
      <c r="AB3388" s="2" t="n">
        <f aca="false">IF($I3388="Correct",ROUND(INDEX('Reward Model'!$B$12:$B$14,MATCH($Y3388,'Reward Model'!$A$12:$A$14,0))*Z3388,2),0)</f>
        <v>0</v>
      </c>
    </row>
    <row r="3389" customFormat="false" ht="15" hidden="false" customHeight="false" outlineLevel="0" collapsed="false">
      <c r="A3389" s="0" t="s">
        <v>470</v>
      </c>
      <c r="B3389" s="0" t="s">
        <v>471</v>
      </c>
      <c r="C3389" s="0" t="s">
        <v>322</v>
      </c>
      <c r="D3389" s="0" t="s">
        <v>189</v>
      </c>
      <c r="E3389" s="0" t="n">
        <v>8</v>
      </c>
      <c r="F3389" s="0" t="s">
        <v>52</v>
      </c>
      <c r="G3389" s="0" t="s">
        <v>54</v>
      </c>
      <c r="H3389" s="0" t="s">
        <v>54</v>
      </c>
      <c r="I3389" s="0" t="s">
        <v>34</v>
      </c>
      <c r="J3389" s="0" t="n">
        <v>1.23</v>
      </c>
      <c r="K3389" s="0" t="s">
        <v>35</v>
      </c>
      <c r="L3389" s="0" t="n">
        <f aca="false">INDEX(Summary!$F$2:$F$201,MATCH($B3389,Summary!$A$2:$A$201,0))</f>
        <v>20</v>
      </c>
      <c r="M3389" s="0" t="n">
        <f aca="false">INDEX(Summary!$I$2:$I$201,MATCH($B3389,Summary!$A$2:$A$201,0))</f>
        <v>2</v>
      </c>
      <c r="N3389" s="0" t="n">
        <f aca="false">INDEX(Summary!$J$2:$J$201,MATCH($B3389,Summary!$A$2:$A$201,0))</f>
        <v>3</v>
      </c>
      <c r="O3389" s="2" t="n">
        <f aca="false">INDEX(Summary!$K$2:$K$201,MATCH($B3389,Summary!$A$2:$A$201,0))</f>
        <v>9.83</v>
      </c>
      <c r="P3389" s="3" t="n">
        <f aca="false">INDEX(Summary!$L$2:$L$201,MATCH($B3389,Summary!$A$2:$A$201,0))</f>
        <v>4</v>
      </c>
      <c r="Q3389" s="3" t="n">
        <f aca="false">INDEX(Summary!$M$2:$M$201,MATCH($B3389,Summary!$A$2:$A$201,0))</f>
        <v>2</v>
      </c>
      <c r="R3389" s="2" t="n">
        <f aca="false">INDEX(Summary!$N$2:$N$201,MATCH($B3389,Summary!$A$2:$A$201,0))</f>
        <v>10.49</v>
      </c>
      <c r="S3389" s="3" t="n">
        <f aca="false">INDEX(Summary!$O$2:$O$201,MATCH($B3389,Summary!$A$2:$A$201,0))</f>
        <v>8</v>
      </c>
      <c r="T3389" s="3" t="n">
        <f aca="false">INDEX(Summary!$P$2:$P$201,MATCH($B3389,Summary!$A$2:$A$201,0))</f>
        <v>1</v>
      </c>
      <c r="U3389" s="2" t="n">
        <f aca="false">INDEX(Summary!$Q$2:$Q$201,MATCH($B3389,Summary!$A$2:$A$201,0))</f>
        <v>11.39</v>
      </c>
      <c r="V3389" s="2" t="n">
        <f aca="false">INDEX(Summary!$R$2:$R$201,MATCH($B3389,Summary!$A$2:$A$201,0))</f>
        <v>25.74</v>
      </c>
      <c r="W3389" s="0" t="str">
        <f aca="false">INDEX(Summary!$S$2:$S$201,MATCH($B3389,Summary!$A$2:$A$201,0))</f>
        <v>Silver</v>
      </c>
      <c r="X3389" s="2" t="n">
        <f aca="false">INDEX(Summary!$T$2:$T$201,MATCH($B3389,Summary!$A$2:$A$201,0))</f>
        <v>62.78</v>
      </c>
      <c r="Y3389" s="0" t="str">
        <f aca="false">INDEX('Reward Model'!$E$18:$E$37,MATCH($E3389,'Reward Model'!$A$18:$A$37,0))</f>
        <v>Medium</v>
      </c>
      <c r="Z3389" s="4" t="n">
        <f aca="false">ROUND(MIN(1,MAX('Reward Model'!$B$2,INDEX('Reward Model'!$C$12:$C$14,MATCH($K3389,'Reward Model'!$A$12:$A$14,0))/$J3389)),3)</f>
        <v>1</v>
      </c>
      <c r="AA3389" s="2" t="n">
        <f aca="false">IF($I3389="Correct",ROUND(INDEX('Reward Model'!$B$12:$B$14,MATCH($K3389,'Reward Model'!$A$12:$A$14,0))*Z3389,2),0)</f>
        <v>1</v>
      </c>
      <c r="AB3389" s="2" t="n">
        <f aca="false">IF($I3389="Correct",ROUND(INDEX('Reward Model'!$B$12:$B$14,MATCH($Y3389,'Reward Model'!$A$12:$A$14,0))*Z3389,2),0)</f>
        <v>2</v>
      </c>
    </row>
    <row r="3390" customFormat="false" ht="15" hidden="false" customHeight="false" outlineLevel="0" collapsed="false">
      <c r="A3390" s="0" t="s">
        <v>470</v>
      </c>
      <c r="B3390" s="0" t="s">
        <v>471</v>
      </c>
      <c r="C3390" s="0" t="s">
        <v>322</v>
      </c>
      <c r="D3390" s="0" t="s">
        <v>189</v>
      </c>
      <c r="E3390" s="0" t="n">
        <v>9</v>
      </c>
      <c r="F3390" s="0" t="s">
        <v>55</v>
      </c>
      <c r="G3390" s="0" t="s">
        <v>57</v>
      </c>
      <c r="H3390" s="0" t="s">
        <v>57</v>
      </c>
      <c r="I3390" s="0" t="s">
        <v>34</v>
      </c>
      <c r="J3390" s="0" t="n">
        <v>1.07</v>
      </c>
      <c r="K3390" s="0" t="s">
        <v>35</v>
      </c>
      <c r="L3390" s="0" t="n">
        <f aca="false">INDEX(Summary!$F$2:$F$201,MATCH($B3390,Summary!$A$2:$A$201,0))</f>
        <v>20</v>
      </c>
      <c r="M3390" s="0" t="n">
        <f aca="false">INDEX(Summary!$I$2:$I$201,MATCH($B3390,Summary!$A$2:$A$201,0))</f>
        <v>2</v>
      </c>
      <c r="N3390" s="0" t="n">
        <f aca="false">INDEX(Summary!$J$2:$J$201,MATCH($B3390,Summary!$A$2:$A$201,0))</f>
        <v>3</v>
      </c>
      <c r="O3390" s="2" t="n">
        <f aca="false">INDEX(Summary!$K$2:$K$201,MATCH($B3390,Summary!$A$2:$A$201,0))</f>
        <v>9.83</v>
      </c>
      <c r="P3390" s="3" t="n">
        <f aca="false">INDEX(Summary!$L$2:$L$201,MATCH($B3390,Summary!$A$2:$A$201,0))</f>
        <v>4</v>
      </c>
      <c r="Q3390" s="3" t="n">
        <f aca="false">INDEX(Summary!$M$2:$M$201,MATCH($B3390,Summary!$A$2:$A$201,0))</f>
        <v>2</v>
      </c>
      <c r="R3390" s="2" t="n">
        <f aca="false">INDEX(Summary!$N$2:$N$201,MATCH($B3390,Summary!$A$2:$A$201,0))</f>
        <v>10.49</v>
      </c>
      <c r="S3390" s="3" t="n">
        <f aca="false">INDEX(Summary!$O$2:$O$201,MATCH($B3390,Summary!$A$2:$A$201,0))</f>
        <v>8</v>
      </c>
      <c r="T3390" s="3" t="n">
        <f aca="false">INDEX(Summary!$P$2:$P$201,MATCH($B3390,Summary!$A$2:$A$201,0))</f>
        <v>1</v>
      </c>
      <c r="U3390" s="2" t="n">
        <f aca="false">INDEX(Summary!$Q$2:$Q$201,MATCH($B3390,Summary!$A$2:$A$201,0))</f>
        <v>11.39</v>
      </c>
      <c r="V3390" s="2" t="n">
        <f aca="false">INDEX(Summary!$R$2:$R$201,MATCH($B3390,Summary!$A$2:$A$201,0))</f>
        <v>25.74</v>
      </c>
      <c r="W3390" s="0" t="str">
        <f aca="false">INDEX(Summary!$S$2:$S$201,MATCH($B3390,Summary!$A$2:$A$201,0))</f>
        <v>Silver</v>
      </c>
      <c r="X3390" s="2" t="n">
        <f aca="false">INDEX(Summary!$T$2:$T$201,MATCH($B3390,Summary!$A$2:$A$201,0))</f>
        <v>62.78</v>
      </c>
      <c r="Y3390" s="0" t="str">
        <f aca="false">INDEX('Reward Model'!$E$18:$E$37,MATCH($E3390,'Reward Model'!$A$18:$A$37,0))</f>
        <v>Medium</v>
      </c>
      <c r="Z3390" s="4" t="n">
        <f aca="false">ROUND(MIN(1,MAX('Reward Model'!$B$2,INDEX('Reward Model'!$C$12:$C$14,MATCH($K3390,'Reward Model'!$A$12:$A$14,0))/$J3390)),3)</f>
        <v>1</v>
      </c>
      <c r="AA3390" s="2" t="n">
        <f aca="false">IF($I3390="Correct",ROUND(INDEX('Reward Model'!$B$12:$B$14,MATCH($K3390,'Reward Model'!$A$12:$A$14,0))*Z3390,2),0)</f>
        <v>1</v>
      </c>
      <c r="AB3390" s="2" t="n">
        <f aca="false">IF($I3390="Correct",ROUND(INDEX('Reward Model'!$B$12:$B$14,MATCH($Y3390,'Reward Model'!$A$12:$A$14,0))*Z3390,2),0)</f>
        <v>2</v>
      </c>
    </row>
    <row r="3391" customFormat="false" ht="15" hidden="false" customHeight="false" outlineLevel="0" collapsed="false">
      <c r="A3391" s="0" t="s">
        <v>470</v>
      </c>
      <c r="B3391" s="0" t="s">
        <v>471</v>
      </c>
      <c r="C3391" s="0" t="s">
        <v>322</v>
      </c>
      <c r="D3391" s="0" t="s">
        <v>189</v>
      </c>
      <c r="E3391" s="0" t="n">
        <v>10</v>
      </c>
      <c r="F3391" s="0" t="s">
        <v>58</v>
      </c>
      <c r="G3391" s="0" t="s">
        <v>59</v>
      </c>
      <c r="H3391" s="0" t="s">
        <v>59</v>
      </c>
      <c r="I3391" s="0" t="s">
        <v>34</v>
      </c>
      <c r="J3391" s="0" t="n">
        <v>2.17</v>
      </c>
      <c r="K3391" s="0" t="s">
        <v>60</v>
      </c>
      <c r="L3391" s="0" t="n">
        <f aca="false">INDEX(Summary!$F$2:$F$201,MATCH($B3391,Summary!$A$2:$A$201,0))</f>
        <v>20</v>
      </c>
      <c r="M3391" s="0" t="n">
        <f aca="false">INDEX(Summary!$I$2:$I$201,MATCH($B3391,Summary!$A$2:$A$201,0))</f>
        <v>2</v>
      </c>
      <c r="N3391" s="0" t="n">
        <f aca="false">INDEX(Summary!$J$2:$J$201,MATCH($B3391,Summary!$A$2:$A$201,0))</f>
        <v>3</v>
      </c>
      <c r="O3391" s="2" t="n">
        <f aca="false">INDEX(Summary!$K$2:$K$201,MATCH($B3391,Summary!$A$2:$A$201,0))</f>
        <v>9.83</v>
      </c>
      <c r="P3391" s="3" t="n">
        <f aca="false">INDEX(Summary!$L$2:$L$201,MATCH($B3391,Summary!$A$2:$A$201,0))</f>
        <v>4</v>
      </c>
      <c r="Q3391" s="3" t="n">
        <f aca="false">INDEX(Summary!$M$2:$M$201,MATCH($B3391,Summary!$A$2:$A$201,0))</f>
        <v>2</v>
      </c>
      <c r="R3391" s="2" t="n">
        <f aca="false">INDEX(Summary!$N$2:$N$201,MATCH($B3391,Summary!$A$2:$A$201,0))</f>
        <v>10.49</v>
      </c>
      <c r="S3391" s="3" t="n">
        <f aca="false">INDEX(Summary!$O$2:$O$201,MATCH($B3391,Summary!$A$2:$A$201,0))</f>
        <v>8</v>
      </c>
      <c r="T3391" s="3" t="n">
        <f aca="false">INDEX(Summary!$P$2:$P$201,MATCH($B3391,Summary!$A$2:$A$201,0))</f>
        <v>1</v>
      </c>
      <c r="U3391" s="2" t="n">
        <f aca="false">INDEX(Summary!$Q$2:$Q$201,MATCH($B3391,Summary!$A$2:$A$201,0))</f>
        <v>11.39</v>
      </c>
      <c r="V3391" s="2" t="n">
        <f aca="false">INDEX(Summary!$R$2:$R$201,MATCH($B3391,Summary!$A$2:$A$201,0))</f>
        <v>25.74</v>
      </c>
      <c r="W3391" s="0" t="str">
        <f aca="false">INDEX(Summary!$S$2:$S$201,MATCH($B3391,Summary!$A$2:$A$201,0))</f>
        <v>Silver</v>
      </c>
      <c r="X3391" s="2" t="n">
        <f aca="false">INDEX(Summary!$T$2:$T$201,MATCH($B3391,Summary!$A$2:$A$201,0))</f>
        <v>62.78</v>
      </c>
      <c r="Y3391" s="0" t="str">
        <f aca="false">INDEX('Reward Model'!$E$18:$E$37,MATCH($E3391,'Reward Model'!$A$18:$A$37,0))</f>
        <v>Medium</v>
      </c>
      <c r="Z3391" s="4" t="n">
        <f aca="false">ROUND(MIN(1,MAX('Reward Model'!$B$2,INDEX('Reward Model'!$C$12:$C$14,MATCH($K3391,'Reward Model'!$A$12:$A$14,0))/$J3391)),3)</f>
        <v>0.829</v>
      </c>
      <c r="AA3391" s="2" t="n">
        <f aca="false">IF($I3391="Correct",ROUND(INDEX('Reward Model'!$B$12:$B$14,MATCH($K3391,'Reward Model'!$A$12:$A$14,0))*Z3391,2),0)</f>
        <v>1.66</v>
      </c>
      <c r="AB3391" s="2" t="n">
        <f aca="false">IF($I3391="Correct",ROUND(INDEX('Reward Model'!$B$12:$B$14,MATCH($Y3391,'Reward Model'!$A$12:$A$14,0))*Z3391,2),0)</f>
        <v>1.66</v>
      </c>
    </row>
    <row r="3392" customFormat="false" ht="15" hidden="false" customHeight="false" outlineLevel="0" collapsed="false">
      <c r="A3392" s="0" t="s">
        <v>470</v>
      </c>
      <c r="B3392" s="0" t="s">
        <v>471</v>
      </c>
      <c r="C3392" s="0" t="s">
        <v>322</v>
      </c>
      <c r="D3392" s="0" t="s">
        <v>189</v>
      </c>
      <c r="E3392" s="0" t="n">
        <v>11</v>
      </c>
      <c r="F3392" s="0" t="s">
        <v>61</v>
      </c>
      <c r="G3392" s="0" t="s">
        <v>150</v>
      </c>
      <c r="H3392" s="0" t="s">
        <v>63</v>
      </c>
      <c r="I3392" s="0" t="s">
        <v>39</v>
      </c>
      <c r="J3392" s="0" t="n">
        <v>2.06</v>
      </c>
      <c r="K3392" s="0" t="s">
        <v>60</v>
      </c>
      <c r="L3392" s="0" t="n">
        <f aca="false">INDEX(Summary!$F$2:$F$201,MATCH($B3392,Summary!$A$2:$A$201,0))</f>
        <v>20</v>
      </c>
      <c r="M3392" s="0" t="n">
        <f aca="false">INDEX(Summary!$I$2:$I$201,MATCH($B3392,Summary!$A$2:$A$201,0))</f>
        <v>2</v>
      </c>
      <c r="N3392" s="0" t="n">
        <f aca="false">INDEX(Summary!$J$2:$J$201,MATCH($B3392,Summary!$A$2:$A$201,0))</f>
        <v>3</v>
      </c>
      <c r="O3392" s="2" t="n">
        <f aca="false">INDEX(Summary!$K$2:$K$201,MATCH($B3392,Summary!$A$2:$A$201,0))</f>
        <v>9.83</v>
      </c>
      <c r="P3392" s="3" t="n">
        <f aca="false">INDEX(Summary!$L$2:$L$201,MATCH($B3392,Summary!$A$2:$A$201,0))</f>
        <v>4</v>
      </c>
      <c r="Q3392" s="3" t="n">
        <f aca="false">INDEX(Summary!$M$2:$M$201,MATCH($B3392,Summary!$A$2:$A$201,0))</f>
        <v>2</v>
      </c>
      <c r="R3392" s="2" t="n">
        <f aca="false">INDEX(Summary!$N$2:$N$201,MATCH($B3392,Summary!$A$2:$A$201,0))</f>
        <v>10.49</v>
      </c>
      <c r="S3392" s="3" t="n">
        <f aca="false">INDEX(Summary!$O$2:$O$201,MATCH($B3392,Summary!$A$2:$A$201,0))</f>
        <v>8</v>
      </c>
      <c r="T3392" s="3" t="n">
        <f aca="false">INDEX(Summary!$P$2:$P$201,MATCH($B3392,Summary!$A$2:$A$201,0))</f>
        <v>1</v>
      </c>
      <c r="U3392" s="2" t="n">
        <f aca="false">INDEX(Summary!$Q$2:$Q$201,MATCH($B3392,Summary!$A$2:$A$201,0))</f>
        <v>11.39</v>
      </c>
      <c r="V3392" s="2" t="n">
        <f aca="false">INDEX(Summary!$R$2:$R$201,MATCH($B3392,Summary!$A$2:$A$201,0))</f>
        <v>25.74</v>
      </c>
      <c r="W3392" s="0" t="str">
        <f aca="false">INDEX(Summary!$S$2:$S$201,MATCH($B3392,Summary!$A$2:$A$201,0))</f>
        <v>Silver</v>
      </c>
      <c r="X3392" s="2" t="n">
        <f aca="false">INDEX(Summary!$T$2:$T$201,MATCH($B3392,Summary!$A$2:$A$201,0))</f>
        <v>62.78</v>
      </c>
      <c r="Y3392" s="0" t="str">
        <f aca="false">INDEX('Reward Model'!$E$18:$E$37,MATCH($E3392,'Reward Model'!$A$18:$A$37,0))</f>
        <v>Medium</v>
      </c>
      <c r="Z3392" s="4" t="n">
        <f aca="false">ROUND(MIN(1,MAX('Reward Model'!$B$2,INDEX('Reward Model'!$C$12:$C$14,MATCH($K3392,'Reward Model'!$A$12:$A$14,0))/$J3392)),3)</f>
        <v>0.874</v>
      </c>
      <c r="AA3392" s="2" t="n">
        <f aca="false">IF($I3392="Correct",ROUND(INDEX('Reward Model'!$B$12:$B$14,MATCH($K3392,'Reward Model'!$A$12:$A$14,0))*Z3392,2),0)</f>
        <v>0</v>
      </c>
      <c r="AB3392" s="2" t="n">
        <f aca="false">IF($I3392="Correct",ROUND(INDEX('Reward Model'!$B$12:$B$14,MATCH($Y3392,'Reward Model'!$A$12:$A$14,0))*Z3392,2),0)</f>
        <v>0</v>
      </c>
    </row>
    <row r="3393" customFormat="false" ht="15" hidden="false" customHeight="false" outlineLevel="0" collapsed="false">
      <c r="A3393" s="0" t="s">
        <v>470</v>
      </c>
      <c r="B3393" s="0" t="s">
        <v>471</v>
      </c>
      <c r="C3393" s="0" t="s">
        <v>322</v>
      </c>
      <c r="D3393" s="0" t="s">
        <v>189</v>
      </c>
      <c r="E3393" s="0" t="n">
        <v>12</v>
      </c>
      <c r="F3393" s="0" t="s">
        <v>64</v>
      </c>
      <c r="G3393" s="0" t="s">
        <v>65</v>
      </c>
      <c r="H3393" s="0" t="s">
        <v>65</v>
      </c>
      <c r="I3393" s="0" t="s">
        <v>34</v>
      </c>
      <c r="J3393" s="0" t="n">
        <v>1.63</v>
      </c>
      <c r="K3393" s="0" t="s">
        <v>60</v>
      </c>
      <c r="L3393" s="0" t="n">
        <f aca="false">INDEX(Summary!$F$2:$F$201,MATCH($B3393,Summary!$A$2:$A$201,0))</f>
        <v>20</v>
      </c>
      <c r="M3393" s="0" t="n">
        <f aca="false">INDEX(Summary!$I$2:$I$201,MATCH($B3393,Summary!$A$2:$A$201,0))</f>
        <v>2</v>
      </c>
      <c r="N3393" s="0" t="n">
        <f aca="false">INDEX(Summary!$J$2:$J$201,MATCH($B3393,Summary!$A$2:$A$201,0))</f>
        <v>3</v>
      </c>
      <c r="O3393" s="2" t="n">
        <f aca="false">INDEX(Summary!$K$2:$K$201,MATCH($B3393,Summary!$A$2:$A$201,0))</f>
        <v>9.83</v>
      </c>
      <c r="P3393" s="3" t="n">
        <f aca="false">INDEX(Summary!$L$2:$L$201,MATCH($B3393,Summary!$A$2:$A$201,0))</f>
        <v>4</v>
      </c>
      <c r="Q3393" s="3" t="n">
        <f aca="false">INDEX(Summary!$M$2:$M$201,MATCH($B3393,Summary!$A$2:$A$201,0))</f>
        <v>2</v>
      </c>
      <c r="R3393" s="2" t="n">
        <f aca="false">INDEX(Summary!$N$2:$N$201,MATCH($B3393,Summary!$A$2:$A$201,0))</f>
        <v>10.49</v>
      </c>
      <c r="S3393" s="3" t="n">
        <f aca="false">INDEX(Summary!$O$2:$O$201,MATCH($B3393,Summary!$A$2:$A$201,0))</f>
        <v>8</v>
      </c>
      <c r="T3393" s="3" t="n">
        <f aca="false">INDEX(Summary!$P$2:$P$201,MATCH($B3393,Summary!$A$2:$A$201,0))</f>
        <v>1</v>
      </c>
      <c r="U3393" s="2" t="n">
        <f aca="false">INDEX(Summary!$Q$2:$Q$201,MATCH($B3393,Summary!$A$2:$A$201,0))</f>
        <v>11.39</v>
      </c>
      <c r="V3393" s="2" t="n">
        <f aca="false">INDEX(Summary!$R$2:$R$201,MATCH($B3393,Summary!$A$2:$A$201,0))</f>
        <v>25.74</v>
      </c>
      <c r="W3393" s="0" t="str">
        <f aca="false">INDEX(Summary!$S$2:$S$201,MATCH($B3393,Summary!$A$2:$A$201,0))</f>
        <v>Silver</v>
      </c>
      <c r="X3393" s="2" t="n">
        <f aca="false">INDEX(Summary!$T$2:$T$201,MATCH($B3393,Summary!$A$2:$A$201,0))</f>
        <v>62.78</v>
      </c>
      <c r="Y3393" s="0" t="str">
        <f aca="false">INDEX('Reward Model'!$E$18:$E$37,MATCH($E3393,'Reward Model'!$A$18:$A$37,0))</f>
        <v>Medium</v>
      </c>
      <c r="Z3393" s="4" t="n">
        <f aca="false">ROUND(MIN(1,MAX('Reward Model'!$B$2,INDEX('Reward Model'!$C$12:$C$14,MATCH($K3393,'Reward Model'!$A$12:$A$14,0))/$J3393)),3)</f>
        <v>1</v>
      </c>
      <c r="AA3393" s="2" t="n">
        <f aca="false">IF($I3393="Correct",ROUND(INDEX('Reward Model'!$B$12:$B$14,MATCH($K3393,'Reward Model'!$A$12:$A$14,0))*Z3393,2),0)</f>
        <v>2</v>
      </c>
      <c r="AB3393" s="2" t="n">
        <f aca="false">IF($I3393="Correct",ROUND(INDEX('Reward Model'!$B$12:$B$14,MATCH($Y3393,'Reward Model'!$A$12:$A$14,0))*Z3393,2),0)</f>
        <v>2</v>
      </c>
    </row>
    <row r="3394" customFormat="false" ht="15" hidden="false" customHeight="false" outlineLevel="0" collapsed="false">
      <c r="A3394" s="0" t="s">
        <v>470</v>
      </c>
      <c r="B3394" s="0" t="s">
        <v>471</v>
      </c>
      <c r="C3394" s="0" t="s">
        <v>322</v>
      </c>
      <c r="D3394" s="0" t="s">
        <v>189</v>
      </c>
      <c r="E3394" s="0" t="n">
        <v>13</v>
      </c>
      <c r="F3394" s="0" t="s">
        <v>66</v>
      </c>
      <c r="G3394" s="0" t="s">
        <v>67</v>
      </c>
      <c r="H3394" s="0" t="s">
        <v>67</v>
      </c>
      <c r="I3394" s="0" t="s">
        <v>34</v>
      </c>
      <c r="J3394" s="0" t="n">
        <v>1.58</v>
      </c>
      <c r="K3394" s="0" t="s">
        <v>60</v>
      </c>
      <c r="L3394" s="0" t="n">
        <f aca="false">INDEX(Summary!$F$2:$F$201,MATCH($B3394,Summary!$A$2:$A$201,0))</f>
        <v>20</v>
      </c>
      <c r="M3394" s="0" t="n">
        <f aca="false">INDEX(Summary!$I$2:$I$201,MATCH($B3394,Summary!$A$2:$A$201,0))</f>
        <v>2</v>
      </c>
      <c r="N3394" s="0" t="n">
        <f aca="false">INDEX(Summary!$J$2:$J$201,MATCH($B3394,Summary!$A$2:$A$201,0))</f>
        <v>3</v>
      </c>
      <c r="O3394" s="2" t="n">
        <f aca="false">INDEX(Summary!$K$2:$K$201,MATCH($B3394,Summary!$A$2:$A$201,0))</f>
        <v>9.83</v>
      </c>
      <c r="P3394" s="3" t="n">
        <f aca="false">INDEX(Summary!$L$2:$L$201,MATCH($B3394,Summary!$A$2:$A$201,0))</f>
        <v>4</v>
      </c>
      <c r="Q3394" s="3" t="n">
        <f aca="false">INDEX(Summary!$M$2:$M$201,MATCH($B3394,Summary!$A$2:$A$201,0))</f>
        <v>2</v>
      </c>
      <c r="R3394" s="2" t="n">
        <f aca="false">INDEX(Summary!$N$2:$N$201,MATCH($B3394,Summary!$A$2:$A$201,0))</f>
        <v>10.49</v>
      </c>
      <c r="S3394" s="3" t="n">
        <f aca="false">INDEX(Summary!$O$2:$O$201,MATCH($B3394,Summary!$A$2:$A$201,0))</f>
        <v>8</v>
      </c>
      <c r="T3394" s="3" t="n">
        <f aca="false">INDEX(Summary!$P$2:$P$201,MATCH($B3394,Summary!$A$2:$A$201,0))</f>
        <v>1</v>
      </c>
      <c r="U3394" s="2" t="n">
        <f aca="false">INDEX(Summary!$Q$2:$Q$201,MATCH($B3394,Summary!$A$2:$A$201,0))</f>
        <v>11.39</v>
      </c>
      <c r="V3394" s="2" t="n">
        <f aca="false">INDEX(Summary!$R$2:$R$201,MATCH($B3394,Summary!$A$2:$A$201,0))</f>
        <v>25.74</v>
      </c>
      <c r="W3394" s="0" t="str">
        <f aca="false">INDEX(Summary!$S$2:$S$201,MATCH($B3394,Summary!$A$2:$A$201,0))</f>
        <v>Silver</v>
      </c>
      <c r="X3394" s="2" t="n">
        <f aca="false">INDEX(Summary!$T$2:$T$201,MATCH($B3394,Summary!$A$2:$A$201,0))</f>
        <v>62.78</v>
      </c>
      <c r="Y3394" s="0" t="str">
        <f aca="false">INDEX('Reward Model'!$E$18:$E$37,MATCH($E3394,'Reward Model'!$A$18:$A$37,0))</f>
        <v>Medium</v>
      </c>
      <c r="Z3394" s="4" t="n">
        <f aca="false">ROUND(MIN(1,MAX('Reward Model'!$B$2,INDEX('Reward Model'!$C$12:$C$14,MATCH($K3394,'Reward Model'!$A$12:$A$14,0))/$J3394)),3)</f>
        <v>1</v>
      </c>
      <c r="AA3394" s="2" t="n">
        <f aca="false">IF($I3394="Correct",ROUND(INDEX('Reward Model'!$B$12:$B$14,MATCH($K3394,'Reward Model'!$A$12:$A$14,0))*Z3394,2),0)</f>
        <v>2</v>
      </c>
      <c r="AB3394" s="2" t="n">
        <f aca="false">IF($I3394="Correct",ROUND(INDEX('Reward Model'!$B$12:$B$14,MATCH($Y3394,'Reward Model'!$A$12:$A$14,0))*Z3394,2),0)</f>
        <v>2</v>
      </c>
    </row>
    <row r="3395" customFormat="false" ht="15" hidden="false" customHeight="false" outlineLevel="0" collapsed="false">
      <c r="A3395" s="0" t="s">
        <v>470</v>
      </c>
      <c r="B3395" s="0" t="s">
        <v>471</v>
      </c>
      <c r="C3395" s="0" t="s">
        <v>322</v>
      </c>
      <c r="D3395" s="0" t="s">
        <v>189</v>
      </c>
      <c r="E3395" s="0" t="n">
        <v>14</v>
      </c>
      <c r="F3395" s="0" t="s">
        <v>68</v>
      </c>
      <c r="G3395" s="0" t="s">
        <v>86</v>
      </c>
      <c r="H3395" s="0" t="s">
        <v>51</v>
      </c>
      <c r="I3395" s="0" t="s">
        <v>39</v>
      </c>
      <c r="J3395" s="0" t="n">
        <v>1.71</v>
      </c>
      <c r="K3395" s="0" t="s">
        <v>60</v>
      </c>
      <c r="L3395" s="0" t="n">
        <f aca="false">INDEX(Summary!$F$2:$F$201,MATCH($B3395,Summary!$A$2:$A$201,0))</f>
        <v>20</v>
      </c>
      <c r="M3395" s="0" t="n">
        <f aca="false">INDEX(Summary!$I$2:$I$201,MATCH($B3395,Summary!$A$2:$A$201,0))</f>
        <v>2</v>
      </c>
      <c r="N3395" s="0" t="n">
        <f aca="false">INDEX(Summary!$J$2:$J$201,MATCH($B3395,Summary!$A$2:$A$201,0))</f>
        <v>3</v>
      </c>
      <c r="O3395" s="2" t="n">
        <f aca="false">INDEX(Summary!$K$2:$K$201,MATCH($B3395,Summary!$A$2:$A$201,0))</f>
        <v>9.83</v>
      </c>
      <c r="P3395" s="3" t="n">
        <f aca="false">INDEX(Summary!$L$2:$L$201,MATCH($B3395,Summary!$A$2:$A$201,0))</f>
        <v>4</v>
      </c>
      <c r="Q3395" s="3" t="n">
        <f aca="false">INDEX(Summary!$M$2:$M$201,MATCH($B3395,Summary!$A$2:$A$201,0))</f>
        <v>2</v>
      </c>
      <c r="R3395" s="2" t="n">
        <f aca="false">INDEX(Summary!$N$2:$N$201,MATCH($B3395,Summary!$A$2:$A$201,0))</f>
        <v>10.49</v>
      </c>
      <c r="S3395" s="3" t="n">
        <f aca="false">INDEX(Summary!$O$2:$O$201,MATCH($B3395,Summary!$A$2:$A$201,0))</f>
        <v>8</v>
      </c>
      <c r="T3395" s="3" t="n">
        <f aca="false">INDEX(Summary!$P$2:$P$201,MATCH($B3395,Summary!$A$2:$A$201,0))</f>
        <v>1</v>
      </c>
      <c r="U3395" s="2" t="n">
        <f aca="false">INDEX(Summary!$Q$2:$Q$201,MATCH($B3395,Summary!$A$2:$A$201,0))</f>
        <v>11.39</v>
      </c>
      <c r="V3395" s="2" t="n">
        <f aca="false">INDEX(Summary!$R$2:$R$201,MATCH($B3395,Summary!$A$2:$A$201,0))</f>
        <v>25.74</v>
      </c>
      <c r="W3395" s="0" t="str">
        <f aca="false">INDEX(Summary!$S$2:$S$201,MATCH($B3395,Summary!$A$2:$A$201,0))</f>
        <v>Silver</v>
      </c>
      <c r="X3395" s="2" t="n">
        <f aca="false">INDEX(Summary!$T$2:$T$201,MATCH($B3395,Summary!$A$2:$A$201,0))</f>
        <v>62.78</v>
      </c>
      <c r="Y3395" s="0" t="str">
        <f aca="false">INDEX('Reward Model'!$E$18:$E$37,MATCH($E3395,'Reward Model'!$A$18:$A$37,0))</f>
        <v>Medium</v>
      </c>
      <c r="Z3395" s="4" t="n">
        <f aca="false">ROUND(MIN(1,MAX('Reward Model'!$B$2,INDEX('Reward Model'!$C$12:$C$14,MATCH($K3395,'Reward Model'!$A$12:$A$14,0))/$J3395)),3)</f>
        <v>1</v>
      </c>
      <c r="AA3395" s="2" t="n">
        <f aca="false">IF($I3395="Correct",ROUND(INDEX('Reward Model'!$B$12:$B$14,MATCH($K3395,'Reward Model'!$A$12:$A$14,0))*Z3395,2),0)</f>
        <v>0</v>
      </c>
      <c r="AB3395" s="2" t="n">
        <f aca="false">IF($I3395="Correct",ROUND(INDEX('Reward Model'!$B$12:$B$14,MATCH($Y3395,'Reward Model'!$A$12:$A$14,0))*Z3395,2),0)</f>
        <v>0</v>
      </c>
    </row>
    <row r="3396" customFormat="false" ht="15" hidden="false" customHeight="false" outlineLevel="0" collapsed="false">
      <c r="A3396" s="0" t="s">
        <v>470</v>
      </c>
      <c r="B3396" s="0" t="s">
        <v>471</v>
      </c>
      <c r="C3396" s="0" t="s">
        <v>322</v>
      </c>
      <c r="D3396" s="0" t="s">
        <v>189</v>
      </c>
      <c r="E3396" s="0" t="n">
        <v>15</v>
      </c>
      <c r="F3396" s="0" t="s">
        <v>69</v>
      </c>
      <c r="G3396" s="0" t="s">
        <v>70</v>
      </c>
      <c r="H3396" s="0" t="s">
        <v>70</v>
      </c>
      <c r="I3396" s="0" t="s">
        <v>34</v>
      </c>
      <c r="J3396" s="0" t="n">
        <v>1.34</v>
      </c>
      <c r="K3396" s="0" t="s">
        <v>60</v>
      </c>
      <c r="L3396" s="0" t="n">
        <f aca="false">INDEX(Summary!$F$2:$F$201,MATCH($B3396,Summary!$A$2:$A$201,0))</f>
        <v>20</v>
      </c>
      <c r="M3396" s="0" t="n">
        <f aca="false">INDEX(Summary!$I$2:$I$201,MATCH($B3396,Summary!$A$2:$A$201,0))</f>
        <v>2</v>
      </c>
      <c r="N3396" s="0" t="n">
        <f aca="false">INDEX(Summary!$J$2:$J$201,MATCH($B3396,Summary!$A$2:$A$201,0))</f>
        <v>3</v>
      </c>
      <c r="O3396" s="2" t="n">
        <f aca="false">INDEX(Summary!$K$2:$K$201,MATCH($B3396,Summary!$A$2:$A$201,0))</f>
        <v>9.83</v>
      </c>
      <c r="P3396" s="3" t="n">
        <f aca="false">INDEX(Summary!$L$2:$L$201,MATCH($B3396,Summary!$A$2:$A$201,0))</f>
        <v>4</v>
      </c>
      <c r="Q3396" s="3" t="n">
        <f aca="false">INDEX(Summary!$M$2:$M$201,MATCH($B3396,Summary!$A$2:$A$201,0))</f>
        <v>2</v>
      </c>
      <c r="R3396" s="2" t="n">
        <f aca="false">INDEX(Summary!$N$2:$N$201,MATCH($B3396,Summary!$A$2:$A$201,0))</f>
        <v>10.49</v>
      </c>
      <c r="S3396" s="3" t="n">
        <f aca="false">INDEX(Summary!$O$2:$O$201,MATCH($B3396,Summary!$A$2:$A$201,0))</f>
        <v>8</v>
      </c>
      <c r="T3396" s="3" t="n">
        <f aca="false">INDEX(Summary!$P$2:$P$201,MATCH($B3396,Summary!$A$2:$A$201,0))</f>
        <v>1</v>
      </c>
      <c r="U3396" s="2" t="n">
        <f aca="false">INDEX(Summary!$Q$2:$Q$201,MATCH($B3396,Summary!$A$2:$A$201,0))</f>
        <v>11.39</v>
      </c>
      <c r="V3396" s="2" t="n">
        <f aca="false">INDEX(Summary!$R$2:$R$201,MATCH($B3396,Summary!$A$2:$A$201,0))</f>
        <v>25.74</v>
      </c>
      <c r="W3396" s="0" t="str">
        <f aca="false">INDEX(Summary!$S$2:$S$201,MATCH($B3396,Summary!$A$2:$A$201,0))</f>
        <v>Silver</v>
      </c>
      <c r="X3396" s="2" t="n">
        <f aca="false">INDEX(Summary!$T$2:$T$201,MATCH($B3396,Summary!$A$2:$A$201,0))</f>
        <v>62.78</v>
      </c>
      <c r="Y3396" s="0" t="str">
        <f aca="false">INDEX('Reward Model'!$E$18:$E$37,MATCH($E3396,'Reward Model'!$A$18:$A$37,0))</f>
        <v>Medium</v>
      </c>
      <c r="Z3396" s="4" t="n">
        <f aca="false">ROUND(MIN(1,MAX('Reward Model'!$B$2,INDEX('Reward Model'!$C$12:$C$14,MATCH($K3396,'Reward Model'!$A$12:$A$14,0))/$J3396)),3)</f>
        <v>1</v>
      </c>
      <c r="AA3396" s="2" t="n">
        <f aca="false">IF($I3396="Correct",ROUND(INDEX('Reward Model'!$B$12:$B$14,MATCH($K3396,'Reward Model'!$A$12:$A$14,0))*Z3396,2),0)</f>
        <v>2</v>
      </c>
      <c r="AB3396" s="2" t="n">
        <f aca="false">IF($I3396="Correct",ROUND(INDEX('Reward Model'!$B$12:$B$14,MATCH($Y3396,'Reward Model'!$A$12:$A$14,0))*Z3396,2),0)</f>
        <v>2</v>
      </c>
    </row>
    <row r="3397" customFormat="false" ht="15" hidden="false" customHeight="false" outlineLevel="0" collapsed="false">
      <c r="A3397" s="0" t="s">
        <v>470</v>
      </c>
      <c r="B3397" s="0" t="s">
        <v>471</v>
      </c>
      <c r="C3397" s="0" t="s">
        <v>322</v>
      </c>
      <c r="D3397" s="0" t="s">
        <v>189</v>
      </c>
      <c r="E3397" s="0" t="n">
        <v>16</v>
      </c>
      <c r="F3397" s="0" t="s">
        <v>71</v>
      </c>
      <c r="G3397" s="0" t="s">
        <v>87</v>
      </c>
      <c r="H3397" s="0" t="s">
        <v>72</v>
      </c>
      <c r="I3397" s="0" t="s">
        <v>39</v>
      </c>
      <c r="J3397" s="0" t="n">
        <v>1.69</v>
      </c>
      <c r="K3397" s="0" t="s">
        <v>73</v>
      </c>
      <c r="L3397" s="0" t="n">
        <f aca="false">INDEX(Summary!$F$2:$F$201,MATCH($B3397,Summary!$A$2:$A$201,0))</f>
        <v>20</v>
      </c>
      <c r="M3397" s="0" t="n">
        <f aca="false">INDEX(Summary!$I$2:$I$201,MATCH($B3397,Summary!$A$2:$A$201,0))</f>
        <v>2</v>
      </c>
      <c r="N3397" s="0" t="n">
        <f aca="false">INDEX(Summary!$J$2:$J$201,MATCH($B3397,Summary!$A$2:$A$201,0))</f>
        <v>3</v>
      </c>
      <c r="O3397" s="2" t="n">
        <f aca="false">INDEX(Summary!$K$2:$K$201,MATCH($B3397,Summary!$A$2:$A$201,0))</f>
        <v>9.83</v>
      </c>
      <c r="P3397" s="3" t="n">
        <f aca="false">INDEX(Summary!$L$2:$L$201,MATCH($B3397,Summary!$A$2:$A$201,0))</f>
        <v>4</v>
      </c>
      <c r="Q3397" s="3" t="n">
        <f aca="false">INDEX(Summary!$M$2:$M$201,MATCH($B3397,Summary!$A$2:$A$201,0))</f>
        <v>2</v>
      </c>
      <c r="R3397" s="2" t="n">
        <f aca="false">INDEX(Summary!$N$2:$N$201,MATCH($B3397,Summary!$A$2:$A$201,0))</f>
        <v>10.49</v>
      </c>
      <c r="S3397" s="3" t="n">
        <f aca="false">INDEX(Summary!$O$2:$O$201,MATCH($B3397,Summary!$A$2:$A$201,0))</f>
        <v>8</v>
      </c>
      <c r="T3397" s="3" t="n">
        <f aca="false">INDEX(Summary!$P$2:$P$201,MATCH($B3397,Summary!$A$2:$A$201,0))</f>
        <v>1</v>
      </c>
      <c r="U3397" s="2" t="n">
        <f aca="false">INDEX(Summary!$Q$2:$Q$201,MATCH($B3397,Summary!$A$2:$A$201,0))</f>
        <v>11.39</v>
      </c>
      <c r="V3397" s="2" t="n">
        <f aca="false">INDEX(Summary!$R$2:$R$201,MATCH($B3397,Summary!$A$2:$A$201,0))</f>
        <v>25.74</v>
      </c>
      <c r="W3397" s="0" t="str">
        <f aca="false">INDEX(Summary!$S$2:$S$201,MATCH($B3397,Summary!$A$2:$A$201,0))</f>
        <v>Silver</v>
      </c>
      <c r="X3397" s="2" t="n">
        <f aca="false">INDEX(Summary!$T$2:$T$201,MATCH($B3397,Summary!$A$2:$A$201,0))</f>
        <v>62.78</v>
      </c>
      <c r="Y3397" s="0" t="str">
        <f aca="false">INDEX('Reward Model'!$E$18:$E$37,MATCH($E3397,'Reward Model'!$A$18:$A$37,0))</f>
        <v>High</v>
      </c>
      <c r="Z3397" s="4" t="n">
        <f aca="false">ROUND(MIN(1,MAX('Reward Model'!$B$2,INDEX('Reward Model'!$C$12:$C$14,MATCH($K3397,'Reward Model'!$A$12:$A$14,0))/$J3397)),3)</f>
        <v>1</v>
      </c>
      <c r="AA3397" s="2" t="n">
        <f aca="false">IF($I3397="Correct",ROUND(INDEX('Reward Model'!$B$12:$B$14,MATCH($K3397,'Reward Model'!$A$12:$A$14,0))*Z3397,2),0)</f>
        <v>0</v>
      </c>
      <c r="AB3397" s="2" t="n">
        <f aca="false">IF($I3397="Correct",ROUND(INDEX('Reward Model'!$B$12:$B$14,MATCH($Y3397,'Reward Model'!$A$12:$A$14,0))*Z3397,2),0)</f>
        <v>0</v>
      </c>
    </row>
    <row r="3398" customFormat="false" ht="15" hidden="false" customHeight="false" outlineLevel="0" collapsed="false">
      <c r="A3398" s="0" t="s">
        <v>470</v>
      </c>
      <c r="B3398" s="0" t="s">
        <v>471</v>
      </c>
      <c r="C3398" s="0" t="s">
        <v>322</v>
      </c>
      <c r="D3398" s="0" t="s">
        <v>189</v>
      </c>
      <c r="E3398" s="0" t="n">
        <v>17</v>
      </c>
      <c r="F3398" s="0" t="s">
        <v>74</v>
      </c>
      <c r="G3398" s="0" t="s">
        <v>75</v>
      </c>
      <c r="H3398" s="0" t="s">
        <v>75</v>
      </c>
      <c r="I3398" s="0" t="s">
        <v>34</v>
      </c>
      <c r="J3398" s="0" t="n">
        <v>2.18</v>
      </c>
      <c r="K3398" s="0" t="s">
        <v>73</v>
      </c>
      <c r="L3398" s="0" t="n">
        <f aca="false">INDEX(Summary!$F$2:$F$201,MATCH($B3398,Summary!$A$2:$A$201,0))</f>
        <v>20</v>
      </c>
      <c r="M3398" s="0" t="n">
        <f aca="false">INDEX(Summary!$I$2:$I$201,MATCH($B3398,Summary!$A$2:$A$201,0))</f>
        <v>2</v>
      </c>
      <c r="N3398" s="0" t="n">
        <f aca="false">INDEX(Summary!$J$2:$J$201,MATCH($B3398,Summary!$A$2:$A$201,0))</f>
        <v>3</v>
      </c>
      <c r="O3398" s="2" t="n">
        <f aca="false">INDEX(Summary!$K$2:$K$201,MATCH($B3398,Summary!$A$2:$A$201,0))</f>
        <v>9.83</v>
      </c>
      <c r="P3398" s="3" t="n">
        <f aca="false">INDEX(Summary!$L$2:$L$201,MATCH($B3398,Summary!$A$2:$A$201,0))</f>
        <v>4</v>
      </c>
      <c r="Q3398" s="3" t="n">
        <f aca="false">INDEX(Summary!$M$2:$M$201,MATCH($B3398,Summary!$A$2:$A$201,0))</f>
        <v>2</v>
      </c>
      <c r="R3398" s="2" t="n">
        <f aca="false">INDEX(Summary!$N$2:$N$201,MATCH($B3398,Summary!$A$2:$A$201,0))</f>
        <v>10.49</v>
      </c>
      <c r="S3398" s="3" t="n">
        <f aca="false">INDEX(Summary!$O$2:$O$201,MATCH($B3398,Summary!$A$2:$A$201,0))</f>
        <v>8</v>
      </c>
      <c r="T3398" s="3" t="n">
        <f aca="false">INDEX(Summary!$P$2:$P$201,MATCH($B3398,Summary!$A$2:$A$201,0))</f>
        <v>1</v>
      </c>
      <c r="U3398" s="2" t="n">
        <f aca="false">INDEX(Summary!$Q$2:$Q$201,MATCH($B3398,Summary!$A$2:$A$201,0))</f>
        <v>11.39</v>
      </c>
      <c r="V3398" s="2" t="n">
        <f aca="false">INDEX(Summary!$R$2:$R$201,MATCH($B3398,Summary!$A$2:$A$201,0))</f>
        <v>25.74</v>
      </c>
      <c r="W3398" s="0" t="str">
        <f aca="false">INDEX(Summary!$S$2:$S$201,MATCH($B3398,Summary!$A$2:$A$201,0))</f>
        <v>Silver</v>
      </c>
      <c r="X3398" s="2" t="n">
        <f aca="false">INDEX(Summary!$T$2:$T$201,MATCH($B3398,Summary!$A$2:$A$201,0))</f>
        <v>62.78</v>
      </c>
      <c r="Y3398" s="0" t="str">
        <f aca="false">INDEX('Reward Model'!$E$18:$E$37,MATCH($E3398,'Reward Model'!$A$18:$A$37,0))</f>
        <v>High</v>
      </c>
      <c r="Z3398" s="4" t="n">
        <f aca="false">ROUND(MIN(1,MAX('Reward Model'!$B$2,INDEX('Reward Model'!$C$12:$C$14,MATCH($K3398,'Reward Model'!$A$12:$A$14,0))/$J3398)),3)</f>
        <v>0.917</v>
      </c>
      <c r="AA3398" s="2" t="n">
        <f aca="false">IF($I3398="Correct",ROUND(INDEX('Reward Model'!$B$12:$B$14,MATCH($K3398,'Reward Model'!$A$12:$A$14,0))*Z3398,2),0)</f>
        <v>2.75</v>
      </c>
      <c r="AB3398" s="2" t="n">
        <f aca="false">IF($I3398="Correct",ROUND(INDEX('Reward Model'!$B$12:$B$14,MATCH($Y3398,'Reward Model'!$A$12:$A$14,0))*Z3398,2),0)</f>
        <v>2.75</v>
      </c>
    </row>
    <row r="3399" customFormat="false" ht="15" hidden="false" customHeight="false" outlineLevel="0" collapsed="false">
      <c r="A3399" s="0" t="s">
        <v>470</v>
      </c>
      <c r="B3399" s="0" t="s">
        <v>471</v>
      </c>
      <c r="C3399" s="0" t="s">
        <v>322</v>
      </c>
      <c r="D3399" s="0" t="s">
        <v>189</v>
      </c>
      <c r="E3399" s="0" t="n">
        <v>18</v>
      </c>
      <c r="F3399" s="0" t="s">
        <v>76</v>
      </c>
      <c r="G3399" s="0" t="s">
        <v>88</v>
      </c>
      <c r="H3399" s="0" t="s">
        <v>77</v>
      </c>
      <c r="I3399" s="0" t="s">
        <v>39</v>
      </c>
      <c r="J3399" s="0" t="n">
        <v>1.64</v>
      </c>
      <c r="K3399" s="0" t="s">
        <v>73</v>
      </c>
      <c r="L3399" s="0" t="n">
        <f aca="false">INDEX(Summary!$F$2:$F$201,MATCH($B3399,Summary!$A$2:$A$201,0))</f>
        <v>20</v>
      </c>
      <c r="M3399" s="0" t="n">
        <f aca="false">INDEX(Summary!$I$2:$I$201,MATCH($B3399,Summary!$A$2:$A$201,0))</f>
        <v>2</v>
      </c>
      <c r="N3399" s="0" t="n">
        <f aca="false">INDEX(Summary!$J$2:$J$201,MATCH($B3399,Summary!$A$2:$A$201,0))</f>
        <v>3</v>
      </c>
      <c r="O3399" s="2" t="n">
        <f aca="false">INDEX(Summary!$K$2:$K$201,MATCH($B3399,Summary!$A$2:$A$201,0))</f>
        <v>9.83</v>
      </c>
      <c r="P3399" s="3" t="n">
        <f aca="false">INDEX(Summary!$L$2:$L$201,MATCH($B3399,Summary!$A$2:$A$201,0))</f>
        <v>4</v>
      </c>
      <c r="Q3399" s="3" t="n">
        <f aca="false">INDEX(Summary!$M$2:$M$201,MATCH($B3399,Summary!$A$2:$A$201,0))</f>
        <v>2</v>
      </c>
      <c r="R3399" s="2" t="n">
        <f aca="false">INDEX(Summary!$N$2:$N$201,MATCH($B3399,Summary!$A$2:$A$201,0))</f>
        <v>10.49</v>
      </c>
      <c r="S3399" s="3" t="n">
        <f aca="false">INDEX(Summary!$O$2:$O$201,MATCH($B3399,Summary!$A$2:$A$201,0))</f>
        <v>8</v>
      </c>
      <c r="T3399" s="3" t="n">
        <f aca="false">INDEX(Summary!$P$2:$P$201,MATCH($B3399,Summary!$A$2:$A$201,0))</f>
        <v>1</v>
      </c>
      <c r="U3399" s="2" t="n">
        <f aca="false">INDEX(Summary!$Q$2:$Q$201,MATCH($B3399,Summary!$A$2:$A$201,0))</f>
        <v>11.39</v>
      </c>
      <c r="V3399" s="2" t="n">
        <f aca="false">INDEX(Summary!$R$2:$R$201,MATCH($B3399,Summary!$A$2:$A$201,0))</f>
        <v>25.74</v>
      </c>
      <c r="W3399" s="0" t="str">
        <f aca="false">INDEX(Summary!$S$2:$S$201,MATCH($B3399,Summary!$A$2:$A$201,0))</f>
        <v>Silver</v>
      </c>
      <c r="X3399" s="2" t="n">
        <f aca="false">INDEX(Summary!$T$2:$T$201,MATCH($B3399,Summary!$A$2:$A$201,0))</f>
        <v>62.78</v>
      </c>
      <c r="Y3399" s="0" t="str">
        <f aca="false">INDEX('Reward Model'!$E$18:$E$37,MATCH($E3399,'Reward Model'!$A$18:$A$37,0))</f>
        <v>High</v>
      </c>
      <c r="Z3399" s="4" t="n">
        <f aca="false">ROUND(MIN(1,MAX('Reward Model'!$B$2,INDEX('Reward Model'!$C$12:$C$14,MATCH($K3399,'Reward Model'!$A$12:$A$14,0))/$J3399)),3)</f>
        <v>1</v>
      </c>
      <c r="AA3399" s="2" t="n">
        <f aca="false">IF($I3399="Correct",ROUND(INDEX('Reward Model'!$B$12:$B$14,MATCH($K3399,'Reward Model'!$A$12:$A$14,0))*Z3399,2),0)</f>
        <v>0</v>
      </c>
      <c r="AB3399" s="2" t="n">
        <f aca="false">IF($I3399="Correct",ROUND(INDEX('Reward Model'!$B$12:$B$14,MATCH($Y3399,'Reward Model'!$A$12:$A$14,0))*Z3399,2),0)</f>
        <v>0</v>
      </c>
    </row>
    <row r="3400" customFormat="false" ht="15" hidden="false" customHeight="false" outlineLevel="0" collapsed="false">
      <c r="A3400" s="0" t="s">
        <v>470</v>
      </c>
      <c r="B3400" s="0" t="s">
        <v>471</v>
      </c>
      <c r="C3400" s="0" t="s">
        <v>322</v>
      </c>
      <c r="D3400" s="0" t="s">
        <v>189</v>
      </c>
      <c r="E3400" s="0" t="n">
        <v>19</v>
      </c>
      <c r="F3400" s="0" t="s">
        <v>78</v>
      </c>
      <c r="G3400" s="0" t="s">
        <v>80</v>
      </c>
      <c r="H3400" s="0" t="s">
        <v>80</v>
      </c>
      <c r="I3400" s="0" t="s">
        <v>34</v>
      </c>
      <c r="J3400" s="0" t="n">
        <v>2.34</v>
      </c>
      <c r="K3400" s="0" t="s">
        <v>73</v>
      </c>
      <c r="L3400" s="0" t="n">
        <f aca="false">INDEX(Summary!$F$2:$F$201,MATCH($B3400,Summary!$A$2:$A$201,0))</f>
        <v>20</v>
      </c>
      <c r="M3400" s="0" t="n">
        <f aca="false">INDEX(Summary!$I$2:$I$201,MATCH($B3400,Summary!$A$2:$A$201,0))</f>
        <v>2</v>
      </c>
      <c r="N3400" s="0" t="n">
        <f aca="false">INDEX(Summary!$J$2:$J$201,MATCH($B3400,Summary!$A$2:$A$201,0))</f>
        <v>3</v>
      </c>
      <c r="O3400" s="2" t="n">
        <f aca="false">INDEX(Summary!$K$2:$K$201,MATCH($B3400,Summary!$A$2:$A$201,0))</f>
        <v>9.83</v>
      </c>
      <c r="P3400" s="3" t="n">
        <f aca="false">INDEX(Summary!$L$2:$L$201,MATCH($B3400,Summary!$A$2:$A$201,0))</f>
        <v>4</v>
      </c>
      <c r="Q3400" s="3" t="n">
        <f aca="false">INDEX(Summary!$M$2:$M$201,MATCH($B3400,Summary!$A$2:$A$201,0))</f>
        <v>2</v>
      </c>
      <c r="R3400" s="2" t="n">
        <f aca="false">INDEX(Summary!$N$2:$N$201,MATCH($B3400,Summary!$A$2:$A$201,0))</f>
        <v>10.49</v>
      </c>
      <c r="S3400" s="3" t="n">
        <f aca="false">INDEX(Summary!$O$2:$O$201,MATCH($B3400,Summary!$A$2:$A$201,0))</f>
        <v>8</v>
      </c>
      <c r="T3400" s="3" t="n">
        <f aca="false">INDEX(Summary!$P$2:$P$201,MATCH($B3400,Summary!$A$2:$A$201,0))</f>
        <v>1</v>
      </c>
      <c r="U3400" s="2" t="n">
        <f aca="false">INDEX(Summary!$Q$2:$Q$201,MATCH($B3400,Summary!$A$2:$A$201,0))</f>
        <v>11.39</v>
      </c>
      <c r="V3400" s="2" t="n">
        <f aca="false">INDEX(Summary!$R$2:$R$201,MATCH($B3400,Summary!$A$2:$A$201,0))</f>
        <v>25.74</v>
      </c>
      <c r="W3400" s="0" t="str">
        <f aca="false">INDEX(Summary!$S$2:$S$201,MATCH($B3400,Summary!$A$2:$A$201,0))</f>
        <v>Silver</v>
      </c>
      <c r="X3400" s="2" t="n">
        <f aca="false">INDEX(Summary!$T$2:$T$201,MATCH($B3400,Summary!$A$2:$A$201,0))</f>
        <v>62.78</v>
      </c>
      <c r="Y3400" s="0" t="str">
        <f aca="false">INDEX('Reward Model'!$E$18:$E$37,MATCH($E3400,'Reward Model'!$A$18:$A$37,0))</f>
        <v>High</v>
      </c>
      <c r="Z3400" s="4" t="n">
        <f aca="false">ROUND(MIN(1,MAX('Reward Model'!$B$2,INDEX('Reward Model'!$C$12:$C$14,MATCH($K3400,'Reward Model'!$A$12:$A$14,0))/$J3400)),3)</f>
        <v>0.855</v>
      </c>
      <c r="AA3400" s="2" t="n">
        <f aca="false">IF($I3400="Correct",ROUND(INDEX('Reward Model'!$B$12:$B$14,MATCH($K3400,'Reward Model'!$A$12:$A$14,0))*Z3400,2),0)</f>
        <v>2.57</v>
      </c>
      <c r="AB3400" s="2" t="n">
        <f aca="false">IF($I3400="Correct",ROUND(INDEX('Reward Model'!$B$12:$B$14,MATCH($Y3400,'Reward Model'!$A$12:$A$14,0))*Z3400,2),0)</f>
        <v>2.57</v>
      </c>
    </row>
    <row r="3401" customFormat="false" ht="15" hidden="false" customHeight="false" outlineLevel="0" collapsed="false">
      <c r="A3401" s="0" t="s">
        <v>470</v>
      </c>
      <c r="B3401" s="0" t="s">
        <v>471</v>
      </c>
      <c r="C3401" s="0" t="s">
        <v>322</v>
      </c>
      <c r="D3401" s="0" t="s">
        <v>189</v>
      </c>
      <c r="E3401" s="0" t="n">
        <v>20</v>
      </c>
      <c r="F3401" s="0" t="s">
        <v>81</v>
      </c>
      <c r="G3401" s="0" t="s">
        <v>119</v>
      </c>
      <c r="H3401" s="0" t="s">
        <v>83</v>
      </c>
      <c r="I3401" s="0" t="s">
        <v>39</v>
      </c>
      <c r="J3401" s="0" t="n">
        <v>1.98</v>
      </c>
      <c r="K3401" s="0" t="s">
        <v>73</v>
      </c>
      <c r="L3401" s="0" t="n">
        <f aca="false">INDEX(Summary!$F$2:$F$201,MATCH($B3401,Summary!$A$2:$A$201,0))</f>
        <v>20</v>
      </c>
      <c r="M3401" s="0" t="n">
        <f aca="false">INDEX(Summary!$I$2:$I$201,MATCH($B3401,Summary!$A$2:$A$201,0))</f>
        <v>2</v>
      </c>
      <c r="N3401" s="0" t="n">
        <f aca="false">INDEX(Summary!$J$2:$J$201,MATCH($B3401,Summary!$A$2:$A$201,0))</f>
        <v>3</v>
      </c>
      <c r="O3401" s="2" t="n">
        <f aca="false">INDEX(Summary!$K$2:$K$201,MATCH($B3401,Summary!$A$2:$A$201,0))</f>
        <v>9.83</v>
      </c>
      <c r="P3401" s="3" t="n">
        <f aca="false">INDEX(Summary!$L$2:$L$201,MATCH($B3401,Summary!$A$2:$A$201,0))</f>
        <v>4</v>
      </c>
      <c r="Q3401" s="3" t="n">
        <f aca="false">INDEX(Summary!$M$2:$M$201,MATCH($B3401,Summary!$A$2:$A$201,0))</f>
        <v>2</v>
      </c>
      <c r="R3401" s="2" t="n">
        <f aca="false">INDEX(Summary!$N$2:$N$201,MATCH($B3401,Summary!$A$2:$A$201,0))</f>
        <v>10.49</v>
      </c>
      <c r="S3401" s="3" t="n">
        <f aca="false">INDEX(Summary!$O$2:$O$201,MATCH($B3401,Summary!$A$2:$A$201,0))</f>
        <v>8</v>
      </c>
      <c r="T3401" s="3" t="n">
        <f aca="false">INDEX(Summary!$P$2:$P$201,MATCH($B3401,Summary!$A$2:$A$201,0))</f>
        <v>1</v>
      </c>
      <c r="U3401" s="2" t="n">
        <f aca="false">INDEX(Summary!$Q$2:$Q$201,MATCH($B3401,Summary!$A$2:$A$201,0))</f>
        <v>11.39</v>
      </c>
      <c r="V3401" s="2" t="n">
        <f aca="false">INDEX(Summary!$R$2:$R$201,MATCH($B3401,Summary!$A$2:$A$201,0))</f>
        <v>25.74</v>
      </c>
      <c r="W3401" s="0" t="str">
        <f aca="false">INDEX(Summary!$S$2:$S$201,MATCH($B3401,Summary!$A$2:$A$201,0))</f>
        <v>Silver</v>
      </c>
      <c r="X3401" s="2" t="n">
        <f aca="false">INDEX(Summary!$T$2:$T$201,MATCH($B3401,Summary!$A$2:$A$201,0))</f>
        <v>62.78</v>
      </c>
      <c r="Y3401" s="0" t="str">
        <f aca="false">INDEX('Reward Model'!$E$18:$E$37,MATCH($E3401,'Reward Model'!$A$18:$A$37,0))</f>
        <v>High</v>
      </c>
      <c r="Z3401" s="4" t="n">
        <f aca="false">ROUND(MIN(1,MAX('Reward Model'!$B$2,INDEX('Reward Model'!$C$12:$C$14,MATCH($K3401,'Reward Model'!$A$12:$A$14,0))/$J3401)),3)</f>
        <v>1</v>
      </c>
      <c r="AA3401" s="2" t="n">
        <f aca="false">IF($I3401="Correct",ROUND(INDEX('Reward Model'!$B$12:$B$14,MATCH($K3401,'Reward Model'!$A$12:$A$14,0))*Z3401,2),0)</f>
        <v>0</v>
      </c>
      <c r="AB3401" s="2" t="n">
        <f aca="false">IF($I3401="Correct",ROUND(INDEX('Reward Model'!$B$12:$B$14,MATCH($Y3401,'Reward Model'!$A$12:$A$14,0))*Z3401,2),0)</f>
        <v>0</v>
      </c>
    </row>
    <row r="3402" customFormat="false" ht="15" hidden="false" customHeight="false" outlineLevel="0" collapsed="false">
      <c r="A3402" s="0" t="s">
        <v>472</v>
      </c>
      <c r="B3402" s="0" t="s">
        <v>473</v>
      </c>
      <c r="C3402" s="0" t="s">
        <v>322</v>
      </c>
      <c r="D3402" s="0" t="s">
        <v>189</v>
      </c>
      <c r="E3402" s="0" t="n">
        <v>1</v>
      </c>
      <c r="F3402" s="0" t="s">
        <v>32</v>
      </c>
      <c r="G3402" s="0" t="s">
        <v>33</v>
      </c>
      <c r="H3402" s="0" t="s">
        <v>33</v>
      </c>
      <c r="I3402" s="0" t="s">
        <v>34</v>
      </c>
      <c r="J3402" s="0" t="n">
        <v>1.22</v>
      </c>
      <c r="K3402" s="0" t="s">
        <v>35</v>
      </c>
      <c r="L3402" s="0" t="n">
        <f aca="false">INDEX(Summary!$F$2:$F$201,MATCH($B3402,Summary!$A$2:$A$201,0))</f>
        <v>20</v>
      </c>
      <c r="M3402" s="0" t="n">
        <f aca="false">INDEX(Summary!$I$2:$I$201,MATCH($B3402,Summary!$A$2:$A$201,0))</f>
        <v>1</v>
      </c>
      <c r="N3402" s="0" t="n">
        <f aca="false">INDEX(Summary!$J$2:$J$201,MATCH($B3402,Summary!$A$2:$A$201,0))</f>
        <v>4</v>
      </c>
      <c r="O3402" s="2" t="n">
        <f aca="false">INDEX(Summary!$K$2:$K$201,MATCH($B3402,Summary!$A$2:$A$201,0))</f>
        <v>8.09</v>
      </c>
      <c r="P3402" s="3" t="n">
        <f aca="false">INDEX(Summary!$L$2:$L$201,MATCH($B3402,Summary!$A$2:$A$201,0))</f>
        <v>5</v>
      </c>
      <c r="Q3402" s="3" t="n">
        <f aca="false">INDEX(Summary!$M$2:$M$201,MATCH($B3402,Summary!$A$2:$A$201,0))</f>
        <v>1</v>
      </c>
      <c r="R3402" s="2" t="n">
        <f aca="false">INDEX(Summary!$N$2:$N$201,MATCH($B3402,Summary!$A$2:$A$201,0))</f>
        <v>10.2</v>
      </c>
      <c r="S3402" s="3" t="n">
        <f aca="false">INDEX(Summary!$O$2:$O$201,MATCH($B3402,Summary!$A$2:$A$201,0))</f>
        <v>6</v>
      </c>
      <c r="T3402" s="3" t="n">
        <f aca="false">INDEX(Summary!$P$2:$P$201,MATCH($B3402,Summary!$A$2:$A$201,0))</f>
        <v>3</v>
      </c>
      <c r="U3402" s="2" t="n">
        <f aca="false">INDEX(Summary!$Q$2:$Q$201,MATCH($B3402,Summary!$A$2:$A$201,0))</f>
        <v>12.1</v>
      </c>
      <c r="V3402" s="2" t="n">
        <f aca="false">INDEX(Summary!$R$2:$R$201,MATCH($B3402,Summary!$A$2:$A$201,0))</f>
        <v>21.05</v>
      </c>
      <c r="W3402" s="0" t="str">
        <f aca="false">INDEX(Summary!$S$2:$S$201,MATCH($B3402,Summary!$A$2:$A$201,0))</f>
        <v>Silver</v>
      </c>
      <c r="X3402" s="2" t="n">
        <f aca="false">INDEX(Summary!$T$2:$T$201,MATCH($B3402,Summary!$A$2:$A$201,0))</f>
        <v>51.34</v>
      </c>
      <c r="Y3402" s="0" t="str">
        <f aca="false">INDEX('Reward Model'!$E$18:$E$37,MATCH($E3402,'Reward Model'!$A$18:$A$37,0))</f>
        <v>Medium</v>
      </c>
      <c r="Z3402" s="4" t="n">
        <f aca="false">ROUND(MIN(1,MAX('Reward Model'!$B$2,INDEX('Reward Model'!$C$12:$C$14,MATCH($K3402,'Reward Model'!$A$12:$A$14,0))/$J3402)),3)</f>
        <v>1</v>
      </c>
      <c r="AA3402" s="2" t="n">
        <f aca="false">IF($I3402="Correct",ROUND(INDEX('Reward Model'!$B$12:$B$14,MATCH($K3402,'Reward Model'!$A$12:$A$14,0))*Z3402,2),0)</f>
        <v>1</v>
      </c>
      <c r="AB3402" s="2" t="n">
        <f aca="false">IF($I3402="Correct",ROUND(INDEX('Reward Model'!$B$12:$B$14,MATCH($Y3402,'Reward Model'!$A$12:$A$14,0))*Z3402,2),0)</f>
        <v>2</v>
      </c>
    </row>
    <row r="3403" customFormat="false" ht="15" hidden="false" customHeight="false" outlineLevel="0" collapsed="false">
      <c r="A3403" s="0" t="s">
        <v>472</v>
      </c>
      <c r="B3403" s="0" t="s">
        <v>473</v>
      </c>
      <c r="C3403" s="0" t="s">
        <v>322</v>
      </c>
      <c r="D3403" s="0" t="s">
        <v>189</v>
      </c>
      <c r="E3403" s="0" t="n">
        <v>2</v>
      </c>
      <c r="F3403" s="0" t="s">
        <v>36</v>
      </c>
      <c r="G3403" s="0" t="s">
        <v>38</v>
      </c>
      <c r="H3403" s="0" t="s">
        <v>38</v>
      </c>
      <c r="I3403" s="0" t="s">
        <v>34</v>
      </c>
      <c r="J3403" s="0" t="n">
        <v>1.52</v>
      </c>
      <c r="K3403" s="0" t="s">
        <v>35</v>
      </c>
      <c r="L3403" s="0" t="n">
        <f aca="false">INDEX(Summary!$F$2:$F$201,MATCH($B3403,Summary!$A$2:$A$201,0))</f>
        <v>20</v>
      </c>
      <c r="M3403" s="0" t="n">
        <f aca="false">INDEX(Summary!$I$2:$I$201,MATCH($B3403,Summary!$A$2:$A$201,0))</f>
        <v>1</v>
      </c>
      <c r="N3403" s="0" t="n">
        <f aca="false">INDEX(Summary!$J$2:$J$201,MATCH($B3403,Summary!$A$2:$A$201,0))</f>
        <v>4</v>
      </c>
      <c r="O3403" s="2" t="n">
        <f aca="false">INDEX(Summary!$K$2:$K$201,MATCH($B3403,Summary!$A$2:$A$201,0))</f>
        <v>8.09</v>
      </c>
      <c r="P3403" s="3" t="n">
        <f aca="false">INDEX(Summary!$L$2:$L$201,MATCH($B3403,Summary!$A$2:$A$201,0))</f>
        <v>5</v>
      </c>
      <c r="Q3403" s="3" t="n">
        <f aca="false">INDEX(Summary!$M$2:$M$201,MATCH($B3403,Summary!$A$2:$A$201,0))</f>
        <v>1</v>
      </c>
      <c r="R3403" s="2" t="n">
        <f aca="false">INDEX(Summary!$N$2:$N$201,MATCH($B3403,Summary!$A$2:$A$201,0))</f>
        <v>10.2</v>
      </c>
      <c r="S3403" s="3" t="n">
        <f aca="false">INDEX(Summary!$O$2:$O$201,MATCH($B3403,Summary!$A$2:$A$201,0))</f>
        <v>6</v>
      </c>
      <c r="T3403" s="3" t="n">
        <f aca="false">INDEX(Summary!$P$2:$P$201,MATCH($B3403,Summary!$A$2:$A$201,0))</f>
        <v>3</v>
      </c>
      <c r="U3403" s="2" t="n">
        <f aca="false">INDEX(Summary!$Q$2:$Q$201,MATCH($B3403,Summary!$A$2:$A$201,0))</f>
        <v>12.1</v>
      </c>
      <c r="V3403" s="2" t="n">
        <f aca="false">INDEX(Summary!$R$2:$R$201,MATCH($B3403,Summary!$A$2:$A$201,0))</f>
        <v>21.05</v>
      </c>
      <c r="W3403" s="0" t="str">
        <f aca="false">INDEX(Summary!$S$2:$S$201,MATCH($B3403,Summary!$A$2:$A$201,0))</f>
        <v>Silver</v>
      </c>
      <c r="X3403" s="2" t="n">
        <f aca="false">INDEX(Summary!$T$2:$T$201,MATCH($B3403,Summary!$A$2:$A$201,0))</f>
        <v>51.34</v>
      </c>
      <c r="Y3403" s="0" t="str">
        <f aca="false">INDEX('Reward Model'!$E$18:$E$37,MATCH($E3403,'Reward Model'!$A$18:$A$37,0))</f>
        <v>Low</v>
      </c>
      <c r="Z3403" s="4" t="n">
        <f aca="false">ROUND(MIN(1,MAX('Reward Model'!$B$2,INDEX('Reward Model'!$C$12:$C$14,MATCH($K3403,'Reward Model'!$A$12:$A$14,0))/$J3403)),3)</f>
        <v>0.987</v>
      </c>
      <c r="AA3403" s="2" t="n">
        <f aca="false">IF($I3403="Correct",ROUND(INDEX('Reward Model'!$B$12:$B$14,MATCH($K3403,'Reward Model'!$A$12:$A$14,0))*Z3403,2),0)</f>
        <v>0.99</v>
      </c>
      <c r="AB3403" s="2" t="n">
        <f aca="false">IF($I3403="Correct",ROUND(INDEX('Reward Model'!$B$12:$B$14,MATCH($Y3403,'Reward Model'!$A$12:$A$14,0))*Z3403,2),0)</f>
        <v>0.99</v>
      </c>
    </row>
    <row r="3404" customFormat="false" ht="15" hidden="false" customHeight="false" outlineLevel="0" collapsed="false">
      <c r="A3404" s="0" t="s">
        <v>472</v>
      </c>
      <c r="B3404" s="0" t="s">
        <v>473</v>
      </c>
      <c r="C3404" s="0" t="s">
        <v>322</v>
      </c>
      <c r="D3404" s="0" t="s">
        <v>189</v>
      </c>
      <c r="E3404" s="0" t="n">
        <v>3</v>
      </c>
      <c r="F3404" s="0" t="s">
        <v>40</v>
      </c>
      <c r="G3404" s="0" t="s">
        <v>42</v>
      </c>
      <c r="H3404" s="0" t="s">
        <v>42</v>
      </c>
      <c r="I3404" s="0" t="s">
        <v>34</v>
      </c>
      <c r="J3404" s="0" t="n">
        <v>1.97</v>
      </c>
      <c r="K3404" s="0" t="s">
        <v>35</v>
      </c>
      <c r="L3404" s="0" t="n">
        <f aca="false">INDEX(Summary!$F$2:$F$201,MATCH($B3404,Summary!$A$2:$A$201,0))</f>
        <v>20</v>
      </c>
      <c r="M3404" s="0" t="n">
        <f aca="false">INDEX(Summary!$I$2:$I$201,MATCH($B3404,Summary!$A$2:$A$201,0))</f>
        <v>1</v>
      </c>
      <c r="N3404" s="0" t="n">
        <f aca="false">INDEX(Summary!$J$2:$J$201,MATCH($B3404,Summary!$A$2:$A$201,0))</f>
        <v>4</v>
      </c>
      <c r="O3404" s="2" t="n">
        <f aca="false">INDEX(Summary!$K$2:$K$201,MATCH($B3404,Summary!$A$2:$A$201,0))</f>
        <v>8.09</v>
      </c>
      <c r="P3404" s="3" t="n">
        <f aca="false">INDEX(Summary!$L$2:$L$201,MATCH($B3404,Summary!$A$2:$A$201,0))</f>
        <v>5</v>
      </c>
      <c r="Q3404" s="3" t="n">
        <f aca="false">INDEX(Summary!$M$2:$M$201,MATCH($B3404,Summary!$A$2:$A$201,0))</f>
        <v>1</v>
      </c>
      <c r="R3404" s="2" t="n">
        <f aca="false">INDEX(Summary!$N$2:$N$201,MATCH($B3404,Summary!$A$2:$A$201,0))</f>
        <v>10.2</v>
      </c>
      <c r="S3404" s="3" t="n">
        <f aca="false">INDEX(Summary!$O$2:$O$201,MATCH($B3404,Summary!$A$2:$A$201,0))</f>
        <v>6</v>
      </c>
      <c r="T3404" s="3" t="n">
        <f aca="false">INDEX(Summary!$P$2:$P$201,MATCH($B3404,Summary!$A$2:$A$201,0))</f>
        <v>3</v>
      </c>
      <c r="U3404" s="2" t="n">
        <f aca="false">INDEX(Summary!$Q$2:$Q$201,MATCH($B3404,Summary!$A$2:$A$201,0))</f>
        <v>12.1</v>
      </c>
      <c r="V3404" s="2" t="n">
        <f aca="false">INDEX(Summary!$R$2:$R$201,MATCH($B3404,Summary!$A$2:$A$201,0))</f>
        <v>21.05</v>
      </c>
      <c r="W3404" s="0" t="str">
        <f aca="false">INDEX(Summary!$S$2:$S$201,MATCH($B3404,Summary!$A$2:$A$201,0))</f>
        <v>Silver</v>
      </c>
      <c r="X3404" s="2" t="n">
        <f aca="false">INDEX(Summary!$T$2:$T$201,MATCH($B3404,Summary!$A$2:$A$201,0))</f>
        <v>51.34</v>
      </c>
      <c r="Y3404" s="0" t="str">
        <f aca="false">INDEX('Reward Model'!$E$18:$E$37,MATCH($E3404,'Reward Model'!$A$18:$A$37,0))</f>
        <v>Medium</v>
      </c>
      <c r="Z3404" s="4" t="n">
        <f aca="false">ROUND(MIN(1,MAX('Reward Model'!$B$2,INDEX('Reward Model'!$C$12:$C$14,MATCH($K3404,'Reward Model'!$A$12:$A$14,0))/$J3404)),3)</f>
        <v>0.761</v>
      </c>
      <c r="AA3404" s="2" t="n">
        <f aca="false">IF($I3404="Correct",ROUND(INDEX('Reward Model'!$B$12:$B$14,MATCH($K3404,'Reward Model'!$A$12:$A$14,0))*Z3404,2),0)</f>
        <v>0.76</v>
      </c>
      <c r="AB3404" s="2" t="n">
        <f aca="false">IF($I3404="Correct",ROUND(INDEX('Reward Model'!$B$12:$B$14,MATCH($Y3404,'Reward Model'!$A$12:$A$14,0))*Z3404,2),0)</f>
        <v>1.52</v>
      </c>
    </row>
    <row r="3405" customFormat="false" ht="15" hidden="false" customHeight="false" outlineLevel="0" collapsed="false">
      <c r="A3405" s="0" t="s">
        <v>472</v>
      </c>
      <c r="B3405" s="0" t="s">
        <v>473</v>
      </c>
      <c r="C3405" s="0" t="s">
        <v>322</v>
      </c>
      <c r="D3405" s="0" t="s">
        <v>189</v>
      </c>
      <c r="E3405" s="0" t="n">
        <v>4</v>
      </c>
      <c r="F3405" s="0" t="s">
        <v>43</v>
      </c>
      <c r="G3405" s="0" t="s">
        <v>155</v>
      </c>
      <c r="H3405" s="0" t="s">
        <v>45</v>
      </c>
      <c r="I3405" s="0" t="s">
        <v>39</v>
      </c>
      <c r="J3405" s="0" t="n">
        <v>0.93</v>
      </c>
      <c r="K3405" s="0" t="s">
        <v>35</v>
      </c>
      <c r="L3405" s="0" t="n">
        <f aca="false">INDEX(Summary!$F$2:$F$201,MATCH($B3405,Summary!$A$2:$A$201,0))</f>
        <v>20</v>
      </c>
      <c r="M3405" s="0" t="n">
        <f aca="false">INDEX(Summary!$I$2:$I$201,MATCH($B3405,Summary!$A$2:$A$201,0))</f>
        <v>1</v>
      </c>
      <c r="N3405" s="0" t="n">
        <f aca="false">INDEX(Summary!$J$2:$J$201,MATCH($B3405,Summary!$A$2:$A$201,0))</f>
        <v>4</v>
      </c>
      <c r="O3405" s="2" t="n">
        <f aca="false">INDEX(Summary!$K$2:$K$201,MATCH($B3405,Summary!$A$2:$A$201,0))</f>
        <v>8.09</v>
      </c>
      <c r="P3405" s="3" t="n">
        <f aca="false">INDEX(Summary!$L$2:$L$201,MATCH($B3405,Summary!$A$2:$A$201,0))</f>
        <v>5</v>
      </c>
      <c r="Q3405" s="3" t="n">
        <f aca="false">INDEX(Summary!$M$2:$M$201,MATCH($B3405,Summary!$A$2:$A$201,0))</f>
        <v>1</v>
      </c>
      <c r="R3405" s="2" t="n">
        <f aca="false">INDEX(Summary!$N$2:$N$201,MATCH($B3405,Summary!$A$2:$A$201,0))</f>
        <v>10.2</v>
      </c>
      <c r="S3405" s="3" t="n">
        <f aca="false">INDEX(Summary!$O$2:$O$201,MATCH($B3405,Summary!$A$2:$A$201,0))</f>
        <v>6</v>
      </c>
      <c r="T3405" s="3" t="n">
        <f aca="false">INDEX(Summary!$P$2:$P$201,MATCH($B3405,Summary!$A$2:$A$201,0))</f>
        <v>3</v>
      </c>
      <c r="U3405" s="2" t="n">
        <f aca="false">INDEX(Summary!$Q$2:$Q$201,MATCH($B3405,Summary!$A$2:$A$201,0))</f>
        <v>12.1</v>
      </c>
      <c r="V3405" s="2" t="n">
        <f aca="false">INDEX(Summary!$R$2:$R$201,MATCH($B3405,Summary!$A$2:$A$201,0))</f>
        <v>21.05</v>
      </c>
      <c r="W3405" s="0" t="str">
        <f aca="false">INDEX(Summary!$S$2:$S$201,MATCH($B3405,Summary!$A$2:$A$201,0))</f>
        <v>Silver</v>
      </c>
      <c r="X3405" s="2" t="n">
        <f aca="false">INDEX(Summary!$T$2:$T$201,MATCH($B3405,Summary!$A$2:$A$201,0))</f>
        <v>51.34</v>
      </c>
      <c r="Y3405" s="0" t="str">
        <f aca="false">INDEX('Reward Model'!$E$18:$E$37,MATCH($E3405,'Reward Model'!$A$18:$A$37,0))</f>
        <v>Low</v>
      </c>
      <c r="Z3405" s="4" t="n">
        <f aca="false">ROUND(MIN(1,MAX('Reward Model'!$B$2,INDEX('Reward Model'!$C$12:$C$14,MATCH($K3405,'Reward Model'!$A$12:$A$14,0))/$J3405)),3)</f>
        <v>1</v>
      </c>
      <c r="AA3405" s="2" t="n">
        <f aca="false">IF($I3405="Correct",ROUND(INDEX('Reward Model'!$B$12:$B$14,MATCH($K3405,'Reward Model'!$A$12:$A$14,0))*Z3405,2),0)</f>
        <v>0</v>
      </c>
      <c r="AB3405" s="2" t="n">
        <f aca="false">IF($I3405="Correct",ROUND(INDEX('Reward Model'!$B$12:$B$14,MATCH($Y3405,'Reward Model'!$A$12:$A$14,0))*Z3405,2),0)</f>
        <v>0</v>
      </c>
    </row>
    <row r="3406" customFormat="false" ht="15" hidden="false" customHeight="false" outlineLevel="0" collapsed="false">
      <c r="A3406" s="0" t="s">
        <v>472</v>
      </c>
      <c r="B3406" s="0" t="s">
        <v>473</v>
      </c>
      <c r="C3406" s="0" t="s">
        <v>322</v>
      </c>
      <c r="D3406" s="0" t="s">
        <v>189</v>
      </c>
      <c r="E3406" s="0" t="n">
        <v>5</v>
      </c>
      <c r="F3406" s="0" t="s">
        <v>46</v>
      </c>
      <c r="G3406" s="0" t="s">
        <v>47</v>
      </c>
      <c r="H3406" s="0" t="s">
        <v>47</v>
      </c>
      <c r="I3406" s="0" t="s">
        <v>34</v>
      </c>
      <c r="J3406" s="0" t="n">
        <v>1.06</v>
      </c>
      <c r="K3406" s="0" t="s">
        <v>35</v>
      </c>
      <c r="L3406" s="0" t="n">
        <f aca="false">INDEX(Summary!$F$2:$F$201,MATCH($B3406,Summary!$A$2:$A$201,0))</f>
        <v>20</v>
      </c>
      <c r="M3406" s="0" t="n">
        <f aca="false">INDEX(Summary!$I$2:$I$201,MATCH($B3406,Summary!$A$2:$A$201,0))</f>
        <v>1</v>
      </c>
      <c r="N3406" s="0" t="n">
        <f aca="false">INDEX(Summary!$J$2:$J$201,MATCH($B3406,Summary!$A$2:$A$201,0))</f>
        <v>4</v>
      </c>
      <c r="O3406" s="2" t="n">
        <f aca="false">INDEX(Summary!$K$2:$K$201,MATCH($B3406,Summary!$A$2:$A$201,0))</f>
        <v>8.09</v>
      </c>
      <c r="P3406" s="3" t="n">
        <f aca="false">INDEX(Summary!$L$2:$L$201,MATCH($B3406,Summary!$A$2:$A$201,0))</f>
        <v>5</v>
      </c>
      <c r="Q3406" s="3" t="n">
        <f aca="false">INDEX(Summary!$M$2:$M$201,MATCH($B3406,Summary!$A$2:$A$201,0))</f>
        <v>1</v>
      </c>
      <c r="R3406" s="2" t="n">
        <f aca="false">INDEX(Summary!$N$2:$N$201,MATCH($B3406,Summary!$A$2:$A$201,0))</f>
        <v>10.2</v>
      </c>
      <c r="S3406" s="3" t="n">
        <f aca="false">INDEX(Summary!$O$2:$O$201,MATCH($B3406,Summary!$A$2:$A$201,0))</f>
        <v>6</v>
      </c>
      <c r="T3406" s="3" t="n">
        <f aca="false">INDEX(Summary!$P$2:$P$201,MATCH($B3406,Summary!$A$2:$A$201,0))</f>
        <v>3</v>
      </c>
      <c r="U3406" s="2" t="n">
        <f aca="false">INDEX(Summary!$Q$2:$Q$201,MATCH($B3406,Summary!$A$2:$A$201,0))</f>
        <v>12.1</v>
      </c>
      <c r="V3406" s="2" t="n">
        <f aca="false">INDEX(Summary!$R$2:$R$201,MATCH($B3406,Summary!$A$2:$A$201,0))</f>
        <v>21.05</v>
      </c>
      <c r="W3406" s="0" t="str">
        <f aca="false">INDEX(Summary!$S$2:$S$201,MATCH($B3406,Summary!$A$2:$A$201,0))</f>
        <v>Silver</v>
      </c>
      <c r="X3406" s="2" t="n">
        <f aca="false">INDEX(Summary!$T$2:$T$201,MATCH($B3406,Summary!$A$2:$A$201,0))</f>
        <v>51.34</v>
      </c>
      <c r="Y3406" s="0" t="str">
        <f aca="false">INDEX('Reward Model'!$E$18:$E$37,MATCH($E3406,'Reward Model'!$A$18:$A$37,0))</f>
        <v>Low</v>
      </c>
      <c r="Z3406" s="4" t="n">
        <f aca="false">ROUND(MIN(1,MAX('Reward Model'!$B$2,INDEX('Reward Model'!$C$12:$C$14,MATCH($K3406,'Reward Model'!$A$12:$A$14,0))/$J3406)),3)</f>
        <v>1</v>
      </c>
      <c r="AA3406" s="2" t="n">
        <f aca="false">IF($I3406="Correct",ROUND(INDEX('Reward Model'!$B$12:$B$14,MATCH($K3406,'Reward Model'!$A$12:$A$14,0))*Z3406,2),0)</f>
        <v>1</v>
      </c>
      <c r="AB3406" s="2" t="n">
        <f aca="false">IF($I3406="Correct",ROUND(INDEX('Reward Model'!$B$12:$B$14,MATCH($Y3406,'Reward Model'!$A$12:$A$14,0))*Z3406,2),0)</f>
        <v>1</v>
      </c>
    </row>
    <row r="3407" customFormat="false" ht="15" hidden="false" customHeight="false" outlineLevel="0" collapsed="false">
      <c r="A3407" s="0" t="s">
        <v>472</v>
      </c>
      <c r="B3407" s="0" t="s">
        <v>473</v>
      </c>
      <c r="C3407" s="0" t="s">
        <v>322</v>
      </c>
      <c r="D3407" s="0" t="s">
        <v>189</v>
      </c>
      <c r="E3407" s="0" t="n">
        <v>6</v>
      </c>
      <c r="F3407" s="0" t="s">
        <v>48</v>
      </c>
      <c r="G3407" s="0" t="s">
        <v>116</v>
      </c>
      <c r="H3407" s="0" t="s">
        <v>49</v>
      </c>
      <c r="I3407" s="0" t="s">
        <v>39</v>
      </c>
      <c r="J3407" s="0" t="n">
        <v>1</v>
      </c>
      <c r="K3407" s="0" t="s">
        <v>35</v>
      </c>
      <c r="L3407" s="0" t="n">
        <f aca="false">INDEX(Summary!$F$2:$F$201,MATCH($B3407,Summary!$A$2:$A$201,0))</f>
        <v>20</v>
      </c>
      <c r="M3407" s="0" t="n">
        <f aca="false">INDEX(Summary!$I$2:$I$201,MATCH($B3407,Summary!$A$2:$A$201,0))</f>
        <v>1</v>
      </c>
      <c r="N3407" s="0" t="n">
        <f aca="false">INDEX(Summary!$J$2:$J$201,MATCH($B3407,Summary!$A$2:$A$201,0))</f>
        <v>4</v>
      </c>
      <c r="O3407" s="2" t="n">
        <f aca="false">INDEX(Summary!$K$2:$K$201,MATCH($B3407,Summary!$A$2:$A$201,0))</f>
        <v>8.09</v>
      </c>
      <c r="P3407" s="3" t="n">
        <f aca="false">INDEX(Summary!$L$2:$L$201,MATCH($B3407,Summary!$A$2:$A$201,0))</f>
        <v>5</v>
      </c>
      <c r="Q3407" s="3" t="n">
        <f aca="false">INDEX(Summary!$M$2:$M$201,MATCH($B3407,Summary!$A$2:$A$201,0))</f>
        <v>1</v>
      </c>
      <c r="R3407" s="2" t="n">
        <f aca="false">INDEX(Summary!$N$2:$N$201,MATCH($B3407,Summary!$A$2:$A$201,0))</f>
        <v>10.2</v>
      </c>
      <c r="S3407" s="3" t="n">
        <f aca="false">INDEX(Summary!$O$2:$O$201,MATCH($B3407,Summary!$A$2:$A$201,0))</f>
        <v>6</v>
      </c>
      <c r="T3407" s="3" t="n">
        <f aca="false">INDEX(Summary!$P$2:$P$201,MATCH($B3407,Summary!$A$2:$A$201,0))</f>
        <v>3</v>
      </c>
      <c r="U3407" s="2" t="n">
        <f aca="false">INDEX(Summary!$Q$2:$Q$201,MATCH($B3407,Summary!$A$2:$A$201,0))</f>
        <v>12.1</v>
      </c>
      <c r="V3407" s="2" t="n">
        <f aca="false">INDEX(Summary!$R$2:$R$201,MATCH($B3407,Summary!$A$2:$A$201,0))</f>
        <v>21.05</v>
      </c>
      <c r="W3407" s="0" t="str">
        <f aca="false">INDEX(Summary!$S$2:$S$201,MATCH($B3407,Summary!$A$2:$A$201,0))</f>
        <v>Silver</v>
      </c>
      <c r="X3407" s="2" t="n">
        <f aca="false">INDEX(Summary!$T$2:$T$201,MATCH($B3407,Summary!$A$2:$A$201,0))</f>
        <v>51.34</v>
      </c>
      <c r="Y3407" s="0" t="str">
        <f aca="false">INDEX('Reward Model'!$E$18:$E$37,MATCH($E3407,'Reward Model'!$A$18:$A$37,0))</f>
        <v>Medium</v>
      </c>
      <c r="Z3407" s="4" t="n">
        <f aca="false">ROUND(MIN(1,MAX('Reward Model'!$B$2,INDEX('Reward Model'!$C$12:$C$14,MATCH($K3407,'Reward Model'!$A$12:$A$14,0))/$J3407)),3)</f>
        <v>1</v>
      </c>
      <c r="AA3407" s="2" t="n">
        <f aca="false">IF($I3407="Correct",ROUND(INDEX('Reward Model'!$B$12:$B$14,MATCH($K3407,'Reward Model'!$A$12:$A$14,0))*Z3407,2),0)</f>
        <v>0</v>
      </c>
      <c r="AB3407" s="2" t="n">
        <f aca="false">IF($I3407="Correct",ROUND(INDEX('Reward Model'!$B$12:$B$14,MATCH($Y3407,'Reward Model'!$A$12:$A$14,0))*Z3407,2),0)</f>
        <v>0</v>
      </c>
    </row>
    <row r="3408" customFormat="false" ht="15" hidden="false" customHeight="false" outlineLevel="0" collapsed="false">
      <c r="A3408" s="0" t="s">
        <v>472</v>
      </c>
      <c r="B3408" s="0" t="s">
        <v>473</v>
      </c>
      <c r="C3408" s="0" t="s">
        <v>322</v>
      </c>
      <c r="D3408" s="0" t="s">
        <v>189</v>
      </c>
      <c r="E3408" s="0" t="n">
        <v>7</v>
      </c>
      <c r="F3408" s="0" t="s">
        <v>50</v>
      </c>
      <c r="G3408" s="0" t="s">
        <v>51</v>
      </c>
      <c r="H3408" s="0" t="s">
        <v>51</v>
      </c>
      <c r="I3408" s="0" t="s">
        <v>34</v>
      </c>
      <c r="J3408" s="0" t="n">
        <v>1.47</v>
      </c>
      <c r="K3408" s="0" t="s">
        <v>35</v>
      </c>
      <c r="L3408" s="0" t="n">
        <f aca="false">INDEX(Summary!$F$2:$F$201,MATCH($B3408,Summary!$A$2:$A$201,0))</f>
        <v>20</v>
      </c>
      <c r="M3408" s="0" t="n">
        <f aca="false">INDEX(Summary!$I$2:$I$201,MATCH($B3408,Summary!$A$2:$A$201,0))</f>
        <v>1</v>
      </c>
      <c r="N3408" s="0" t="n">
        <f aca="false">INDEX(Summary!$J$2:$J$201,MATCH($B3408,Summary!$A$2:$A$201,0))</f>
        <v>4</v>
      </c>
      <c r="O3408" s="2" t="n">
        <f aca="false">INDEX(Summary!$K$2:$K$201,MATCH($B3408,Summary!$A$2:$A$201,0))</f>
        <v>8.09</v>
      </c>
      <c r="P3408" s="3" t="n">
        <f aca="false">INDEX(Summary!$L$2:$L$201,MATCH($B3408,Summary!$A$2:$A$201,0))</f>
        <v>5</v>
      </c>
      <c r="Q3408" s="3" t="n">
        <f aca="false">INDEX(Summary!$M$2:$M$201,MATCH($B3408,Summary!$A$2:$A$201,0))</f>
        <v>1</v>
      </c>
      <c r="R3408" s="2" t="n">
        <f aca="false">INDEX(Summary!$N$2:$N$201,MATCH($B3408,Summary!$A$2:$A$201,0))</f>
        <v>10.2</v>
      </c>
      <c r="S3408" s="3" t="n">
        <f aca="false">INDEX(Summary!$O$2:$O$201,MATCH($B3408,Summary!$A$2:$A$201,0))</f>
        <v>6</v>
      </c>
      <c r="T3408" s="3" t="n">
        <f aca="false">INDEX(Summary!$P$2:$P$201,MATCH($B3408,Summary!$A$2:$A$201,0))</f>
        <v>3</v>
      </c>
      <c r="U3408" s="2" t="n">
        <f aca="false">INDEX(Summary!$Q$2:$Q$201,MATCH($B3408,Summary!$A$2:$A$201,0))</f>
        <v>12.1</v>
      </c>
      <c r="V3408" s="2" t="n">
        <f aca="false">INDEX(Summary!$R$2:$R$201,MATCH($B3408,Summary!$A$2:$A$201,0))</f>
        <v>21.05</v>
      </c>
      <c r="W3408" s="0" t="str">
        <f aca="false">INDEX(Summary!$S$2:$S$201,MATCH($B3408,Summary!$A$2:$A$201,0))</f>
        <v>Silver</v>
      </c>
      <c r="X3408" s="2" t="n">
        <f aca="false">INDEX(Summary!$T$2:$T$201,MATCH($B3408,Summary!$A$2:$A$201,0))</f>
        <v>51.34</v>
      </c>
      <c r="Y3408" s="0" t="str">
        <f aca="false">INDEX('Reward Model'!$E$18:$E$37,MATCH($E3408,'Reward Model'!$A$18:$A$37,0))</f>
        <v>Low</v>
      </c>
      <c r="Z3408" s="4" t="n">
        <f aca="false">ROUND(MIN(1,MAX('Reward Model'!$B$2,INDEX('Reward Model'!$C$12:$C$14,MATCH($K3408,'Reward Model'!$A$12:$A$14,0))/$J3408)),3)</f>
        <v>1</v>
      </c>
      <c r="AA3408" s="2" t="n">
        <f aca="false">IF($I3408="Correct",ROUND(INDEX('Reward Model'!$B$12:$B$14,MATCH($K3408,'Reward Model'!$A$12:$A$14,0))*Z3408,2),0)</f>
        <v>1</v>
      </c>
      <c r="AB3408" s="2" t="n">
        <f aca="false">IF($I3408="Correct",ROUND(INDEX('Reward Model'!$B$12:$B$14,MATCH($Y3408,'Reward Model'!$A$12:$A$14,0))*Z3408,2),0)</f>
        <v>1</v>
      </c>
    </row>
    <row r="3409" customFormat="false" ht="15" hidden="false" customHeight="false" outlineLevel="0" collapsed="false">
      <c r="A3409" s="0" t="s">
        <v>472</v>
      </c>
      <c r="B3409" s="0" t="s">
        <v>473</v>
      </c>
      <c r="C3409" s="0" t="s">
        <v>322</v>
      </c>
      <c r="D3409" s="0" t="s">
        <v>189</v>
      </c>
      <c r="E3409" s="0" t="n">
        <v>8</v>
      </c>
      <c r="F3409" s="0" t="s">
        <v>52</v>
      </c>
      <c r="G3409" s="0" t="s">
        <v>93</v>
      </c>
      <c r="H3409" s="0" t="s">
        <v>54</v>
      </c>
      <c r="I3409" s="0" t="s">
        <v>39</v>
      </c>
      <c r="J3409" s="0" t="n">
        <v>1.27</v>
      </c>
      <c r="K3409" s="0" t="s">
        <v>35</v>
      </c>
      <c r="L3409" s="0" t="n">
        <f aca="false">INDEX(Summary!$F$2:$F$201,MATCH($B3409,Summary!$A$2:$A$201,0))</f>
        <v>20</v>
      </c>
      <c r="M3409" s="0" t="n">
        <f aca="false">INDEX(Summary!$I$2:$I$201,MATCH($B3409,Summary!$A$2:$A$201,0))</f>
        <v>1</v>
      </c>
      <c r="N3409" s="0" t="n">
        <f aca="false">INDEX(Summary!$J$2:$J$201,MATCH($B3409,Summary!$A$2:$A$201,0))</f>
        <v>4</v>
      </c>
      <c r="O3409" s="2" t="n">
        <f aca="false">INDEX(Summary!$K$2:$K$201,MATCH($B3409,Summary!$A$2:$A$201,0))</f>
        <v>8.09</v>
      </c>
      <c r="P3409" s="3" t="n">
        <f aca="false">INDEX(Summary!$L$2:$L$201,MATCH($B3409,Summary!$A$2:$A$201,0))</f>
        <v>5</v>
      </c>
      <c r="Q3409" s="3" t="n">
        <f aca="false">INDEX(Summary!$M$2:$M$201,MATCH($B3409,Summary!$A$2:$A$201,0))</f>
        <v>1</v>
      </c>
      <c r="R3409" s="2" t="n">
        <f aca="false">INDEX(Summary!$N$2:$N$201,MATCH($B3409,Summary!$A$2:$A$201,0))</f>
        <v>10.2</v>
      </c>
      <c r="S3409" s="3" t="n">
        <f aca="false">INDEX(Summary!$O$2:$O$201,MATCH($B3409,Summary!$A$2:$A$201,0))</f>
        <v>6</v>
      </c>
      <c r="T3409" s="3" t="n">
        <f aca="false">INDEX(Summary!$P$2:$P$201,MATCH($B3409,Summary!$A$2:$A$201,0))</f>
        <v>3</v>
      </c>
      <c r="U3409" s="2" t="n">
        <f aca="false">INDEX(Summary!$Q$2:$Q$201,MATCH($B3409,Summary!$A$2:$A$201,0))</f>
        <v>12.1</v>
      </c>
      <c r="V3409" s="2" t="n">
        <f aca="false">INDEX(Summary!$R$2:$R$201,MATCH($B3409,Summary!$A$2:$A$201,0))</f>
        <v>21.05</v>
      </c>
      <c r="W3409" s="0" t="str">
        <f aca="false">INDEX(Summary!$S$2:$S$201,MATCH($B3409,Summary!$A$2:$A$201,0))</f>
        <v>Silver</v>
      </c>
      <c r="X3409" s="2" t="n">
        <f aca="false">INDEX(Summary!$T$2:$T$201,MATCH($B3409,Summary!$A$2:$A$201,0))</f>
        <v>51.34</v>
      </c>
      <c r="Y3409" s="0" t="str">
        <f aca="false">INDEX('Reward Model'!$E$18:$E$37,MATCH($E3409,'Reward Model'!$A$18:$A$37,0))</f>
        <v>Medium</v>
      </c>
      <c r="Z3409" s="4" t="n">
        <f aca="false">ROUND(MIN(1,MAX('Reward Model'!$B$2,INDEX('Reward Model'!$C$12:$C$14,MATCH($K3409,'Reward Model'!$A$12:$A$14,0))/$J3409)),3)</f>
        <v>1</v>
      </c>
      <c r="AA3409" s="2" t="n">
        <f aca="false">IF($I3409="Correct",ROUND(INDEX('Reward Model'!$B$12:$B$14,MATCH($K3409,'Reward Model'!$A$12:$A$14,0))*Z3409,2),0)</f>
        <v>0</v>
      </c>
      <c r="AB3409" s="2" t="n">
        <f aca="false">IF($I3409="Correct",ROUND(INDEX('Reward Model'!$B$12:$B$14,MATCH($Y3409,'Reward Model'!$A$12:$A$14,0))*Z3409,2),0)</f>
        <v>0</v>
      </c>
    </row>
    <row r="3410" customFormat="false" ht="15" hidden="false" customHeight="false" outlineLevel="0" collapsed="false">
      <c r="A3410" s="0" t="s">
        <v>472</v>
      </c>
      <c r="B3410" s="0" t="s">
        <v>473</v>
      </c>
      <c r="C3410" s="0" t="s">
        <v>322</v>
      </c>
      <c r="D3410" s="0" t="s">
        <v>189</v>
      </c>
      <c r="E3410" s="0" t="n">
        <v>9</v>
      </c>
      <c r="F3410" s="0" t="s">
        <v>55</v>
      </c>
      <c r="G3410" s="0" t="s">
        <v>57</v>
      </c>
      <c r="H3410" s="0" t="s">
        <v>57</v>
      </c>
      <c r="I3410" s="0" t="s">
        <v>34</v>
      </c>
      <c r="J3410" s="0" t="n">
        <v>1.66</v>
      </c>
      <c r="K3410" s="0" t="s">
        <v>35</v>
      </c>
      <c r="L3410" s="0" t="n">
        <f aca="false">INDEX(Summary!$F$2:$F$201,MATCH($B3410,Summary!$A$2:$A$201,0))</f>
        <v>20</v>
      </c>
      <c r="M3410" s="0" t="n">
        <f aca="false">INDEX(Summary!$I$2:$I$201,MATCH($B3410,Summary!$A$2:$A$201,0))</f>
        <v>1</v>
      </c>
      <c r="N3410" s="0" t="n">
        <f aca="false">INDEX(Summary!$J$2:$J$201,MATCH($B3410,Summary!$A$2:$A$201,0))</f>
        <v>4</v>
      </c>
      <c r="O3410" s="2" t="n">
        <f aca="false">INDEX(Summary!$K$2:$K$201,MATCH($B3410,Summary!$A$2:$A$201,0))</f>
        <v>8.09</v>
      </c>
      <c r="P3410" s="3" t="n">
        <f aca="false">INDEX(Summary!$L$2:$L$201,MATCH($B3410,Summary!$A$2:$A$201,0))</f>
        <v>5</v>
      </c>
      <c r="Q3410" s="3" t="n">
        <f aca="false">INDEX(Summary!$M$2:$M$201,MATCH($B3410,Summary!$A$2:$A$201,0))</f>
        <v>1</v>
      </c>
      <c r="R3410" s="2" t="n">
        <f aca="false">INDEX(Summary!$N$2:$N$201,MATCH($B3410,Summary!$A$2:$A$201,0))</f>
        <v>10.2</v>
      </c>
      <c r="S3410" s="3" t="n">
        <f aca="false">INDEX(Summary!$O$2:$O$201,MATCH($B3410,Summary!$A$2:$A$201,0))</f>
        <v>6</v>
      </c>
      <c r="T3410" s="3" t="n">
        <f aca="false">INDEX(Summary!$P$2:$P$201,MATCH($B3410,Summary!$A$2:$A$201,0))</f>
        <v>3</v>
      </c>
      <c r="U3410" s="2" t="n">
        <f aca="false">INDEX(Summary!$Q$2:$Q$201,MATCH($B3410,Summary!$A$2:$A$201,0))</f>
        <v>12.1</v>
      </c>
      <c r="V3410" s="2" t="n">
        <f aca="false">INDEX(Summary!$R$2:$R$201,MATCH($B3410,Summary!$A$2:$A$201,0))</f>
        <v>21.05</v>
      </c>
      <c r="W3410" s="0" t="str">
        <f aca="false">INDEX(Summary!$S$2:$S$201,MATCH($B3410,Summary!$A$2:$A$201,0))</f>
        <v>Silver</v>
      </c>
      <c r="X3410" s="2" t="n">
        <f aca="false">INDEX(Summary!$T$2:$T$201,MATCH($B3410,Summary!$A$2:$A$201,0))</f>
        <v>51.34</v>
      </c>
      <c r="Y3410" s="0" t="str">
        <f aca="false">INDEX('Reward Model'!$E$18:$E$37,MATCH($E3410,'Reward Model'!$A$18:$A$37,0))</f>
        <v>Medium</v>
      </c>
      <c r="Z3410" s="4" t="n">
        <f aca="false">ROUND(MIN(1,MAX('Reward Model'!$B$2,INDEX('Reward Model'!$C$12:$C$14,MATCH($K3410,'Reward Model'!$A$12:$A$14,0))/$J3410)),3)</f>
        <v>0.904</v>
      </c>
      <c r="AA3410" s="2" t="n">
        <f aca="false">IF($I3410="Correct",ROUND(INDEX('Reward Model'!$B$12:$B$14,MATCH($K3410,'Reward Model'!$A$12:$A$14,0))*Z3410,2),0)</f>
        <v>0.9</v>
      </c>
      <c r="AB3410" s="2" t="n">
        <f aca="false">IF($I3410="Correct",ROUND(INDEX('Reward Model'!$B$12:$B$14,MATCH($Y3410,'Reward Model'!$A$12:$A$14,0))*Z3410,2),0)</f>
        <v>1.81</v>
      </c>
    </row>
    <row r="3411" customFormat="false" ht="15" hidden="false" customHeight="false" outlineLevel="0" collapsed="false">
      <c r="A3411" s="0" t="s">
        <v>472</v>
      </c>
      <c r="B3411" s="0" t="s">
        <v>473</v>
      </c>
      <c r="C3411" s="0" t="s">
        <v>322</v>
      </c>
      <c r="D3411" s="0" t="s">
        <v>189</v>
      </c>
      <c r="E3411" s="0" t="n">
        <v>10</v>
      </c>
      <c r="F3411" s="0" t="s">
        <v>58</v>
      </c>
      <c r="G3411" s="0" t="s">
        <v>59</v>
      </c>
      <c r="H3411" s="0" t="s">
        <v>59</v>
      </c>
      <c r="I3411" s="0" t="s">
        <v>34</v>
      </c>
      <c r="J3411" s="0" t="n">
        <v>1.95</v>
      </c>
      <c r="K3411" s="0" t="s">
        <v>60</v>
      </c>
      <c r="L3411" s="0" t="n">
        <f aca="false">INDEX(Summary!$F$2:$F$201,MATCH($B3411,Summary!$A$2:$A$201,0))</f>
        <v>20</v>
      </c>
      <c r="M3411" s="0" t="n">
        <f aca="false">INDEX(Summary!$I$2:$I$201,MATCH($B3411,Summary!$A$2:$A$201,0))</f>
        <v>1</v>
      </c>
      <c r="N3411" s="0" t="n">
        <f aca="false">INDEX(Summary!$J$2:$J$201,MATCH($B3411,Summary!$A$2:$A$201,0))</f>
        <v>4</v>
      </c>
      <c r="O3411" s="2" t="n">
        <f aca="false">INDEX(Summary!$K$2:$K$201,MATCH($B3411,Summary!$A$2:$A$201,0))</f>
        <v>8.09</v>
      </c>
      <c r="P3411" s="3" t="n">
        <f aca="false">INDEX(Summary!$L$2:$L$201,MATCH($B3411,Summary!$A$2:$A$201,0))</f>
        <v>5</v>
      </c>
      <c r="Q3411" s="3" t="n">
        <f aca="false">INDEX(Summary!$M$2:$M$201,MATCH($B3411,Summary!$A$2:$A$201,0))</f>
        <v>1</v>
      </c>
      <c r="R3411" s="2" t="n">
        <f aca="false">INDEX(Summary!$N$2:$N$201,MATCH($B3411,Summary!$A$2:$A$201,0))</f>
        <v>10.2</v>
      </c>
      <c r="S3411" s="3" t="n">
        <f aca="false">INDEX(Summary!$O$2:$O$201,MATCH($B3411,Summary!$A$2:$A$201,0))</f>
        <v>6</v>
      </c>
      <c r="T3411" s="3" t="n">
        <f aca="false">INDEX(Summary!$P$2:$P$201,MATCH($B3411,Summary!$A$2:$A$201,0))</f>
        <v>3</v>
      </c>
      <c r="U3411" s="2" t="n">
        <f aca="false">INDEX(Summary!$Q$2:$Q$201,MATCH($B3411,Summary!$A$2:$A$201,0))</f>
        <v>12.1</v>
      </c>
      <c r="V3411" s="2" t="n">
        <f aca="false">INDEX(Summary!$R$2:$R$201,MATCH($B3411,Summary!$A$2:$A$201,0))</f>
        <v>21.05</v>
      </c>
      <c r="W3411" s="0" t="str">
        <f aca="false">INDEX(Summary!$S$2:$S$201,MATCH($B3411,Summary!$A$2:$A$201,0))</f>
        <v>Silver</v>
      </c>
      <c r="X3411" s="2" t="n">
        <f aca="false">INDEX(Summary!$T$2:$T$201,MATCH($B3411,Summary!$A$2:$A$201,0))</f>
        <v>51.34</v>
      </c>
      <c r="Y3411" s="0" t="str">
        <f aca="false">INDEX('Reward Model'!$E$18:$E$37,MATCH($E3411,'Reward Model'!$A$18:$A$37,0))</f>
        <v>Medium</v>
      </c>
      <c r="Z3411" s="4" t="n">
        <f aca="false">ROUND(MIN(1,MAX('Reward Model'!$B$2,INDEX('Reward Model'!$C$12:$C$14,MATCH($K3411,'Reward Model'!$A$12:$A$14,0))/$J3411)),3)</f>
        <v>0.923</v>
      </c>
      <c r="AA3411" s="2" t="n">
        <f aca="false">IF($I3411="Correct",ROUND(INDEX('Reward Model'!$B$12:$B$14,MATCH($K3411,'Reward Model'!$A$12:$A$14,0))*Z3411,2),0)</f>
        <v>1.85</v>
      </c>
      <c r="AB3411" s="2" t="n">
        <f aca="false">IF($I3411="Correct",ROUND(INDEX('Reward Model'!$B$12:$B$14,MATCH($Y3411,'Reward Model'!$A$12:$A$14,0))*Z3411,2),0)</f>
        <v>1.85</v>
      </c>
    </row>
    <row r="3412" customFormat="false" ht="15" hidden="false" customHeight="false" outlineLevel="0" collapsed="false">
      <c r="A3412" s="0" t="s">
        <v>472</v>
      </c>
      <c r="B3412" s="0" t="s">
        <v>473</v>
      </c>
      <c r="C3412" s="0" t="s">
        <v>322</v>
      </c>
      <c r="D3412" s="0" t="s">
        <v>189</v>
      </c>
      <c r="E3412" s="0" t="n">
        <v>11</v>
      </c>
      <c r="F3412" s="0" t="s">
        <v>61</v>
      </c>
      <c r="G3412" s="0" t="s">
        <v>63</v>
      </c>
      <c r="H3412" s="0" t="s">
        <v>63</v>
      </c>
      <c r="I3412" s="0" t="s">
        <v>34</v>
      </c>
      <c r="J3412" s="0" t="n">
        <v>1.92</v>
      </c>
      <c r="K3412" s="0" t="s">
        <v>60</v>
      </c>
      <c r="L3412" s="0" t="n">
        <f aca="false">INDEX(Summary!$F$2:$F$201,MATCH($B3412,Summary!$A$2:$A$201,0))</f>
        <v>20</v>
      </c>
      <c r="M3412" s="0" t="n">
        <f aca="false">INDEX(Summary!$I$2:$I$201,MATCH($B3412,Summary!$A$2:$A$201,0))</f>
        <v>1</v>
      </c>
      <c r="N3412" s="0" t="n">
        <f aca="false">INDEX(Summary!$J$2:$J$201,MATCH($B3412,Summary!$A$2:$A$201,0))</f>
        <v>4</v>
      </c>
      <c r="O3412" s="2" t="n">
        <f aca="false">INDEX(Summary!$K$2:$K$201,MATCH($B3412,Summary!$A$2:$A$201,0))</f>
        <v>8.09</v>
      </c>
      <c r="P3412" s="3" t="n">
        <f aca="false">INDEX(Summary!$L$2:$L$201,MATCH($B3412,Summary!$A$2:$A$201,0))</f>
        <v>5</v>
      </c>
      <c r="Q3412" s="3" t="n">
        <f aca="false">INDEX(Summary!$M$2:$M$201,MATCH($B3412,Summary!$A$2:$A$201,0))</f>
        <v>1</v>
      </c>
      <c r="R3412" s="2" t="n">
        <f aca="false">INDEX(Summary!$N$2:$N$201,MATCH($B3412,Summary!$A$2:$A$201,0))</f>
        <v>10.2</v>
      </c>
      <c r="S3412" s="3" t="n">
        <f aca="false">INDEX(Summary!$O$2:$O$201,MATCH($B3412,Summary!$A$2:$A$201,0))</f>
        <v>6</v>
      </c>
      <c r="T3412" s="3" t="n">
        <f aca="false">INDEX(Summary!$P$2:$P$201,MATCH($B3412,Summary!$A$2:$A$201,0))</f>
        <v>3</v>
      </c>
      <c r="U3412" s="2" t="n">
        <f aca="false">INDEX(Summary!$Q$2:$Q$201,MATCH($B3412,Summary!$A$2:$A$201,0))</f>
        <v>12.1</v>
      </c>
      <c r="V3412" s="2" t="n">
        <f aca="false">INDEX(Summary!$R$2:$R$201,MATCH($B3412,Summary!$A$2:$A$201,0))</f>
        <v>21.05</v>
      </c>
      <c r="W3412" s="0" t="str">
        <f aca="false">INDEX(Summary!$S$2:$S$201,MATCH($B3412,Summary!$A$2:$A$201,0))</f>
        <v>Silver</v>
      </c>
      <c r="X3412" s="2" t="n">
        <f aca="false">INDEX(Summary!$T$2:$T$201,MATCH($B3412,Summary!$A$2:$A$201,0))</f>
        <v>51.34</v>
      </c>
      <c r="Y3412" s="0" t="str">
        <f aca="false">INDEX('Reward Model'!$E$18:$E$37,MATCH($E3412,'Reward Model'!$A$18:$A$37,0))</f>
        <v>Medium</v>
      </c>
      <c r="Z3412" s="4" t="n">
        <f aca="false">ROUND(MIN(1,MAX('Reward Model'!$B$2,INDEX('Reward Model'!$C$12:$C$14,MATCH($K3412,'Reward Model'!$A$12:$A$14,0))/$J3412)),3)</f>
        <v>0.938</v>
      </c>
      <c r="AA3412" s="2" t="n">
        <f aca="false">IF($I3412="Correct",ROUND(INDEX('Reward Model'!$B$12:$B$14,MATCH($K3412,'Reward Model'!$A$12:$A$14,0))*Z3412,2),0)</f>
        <v>1.88</v>
      </c>
      <c r="AB3412" s="2" t="n">
        <f aca="false">IF($I3412="Correct",ROUND(INDEX('Reward Model'!$B$12:$B$14,MATCH($Y3412,'Reward Model'!$A$12:$A$14,0))*Z3412,2),0)</f>
        <v>1.88</v>
      </c>
    </row>
    <row r="3413" customFormat="false" ht="15" hidden="false" customHeight="false" outlineLevel="0" collapsed="false">
      <c r="A3413" s="0" t="s">
        <v>472</v>
      </c>
      <c r="B3413" s="0" t="s">
        <v>473</v>
      </c>
      <c r="C3413" s="0" t="s">
        <v>322</v>
      </c>
      <c r="D3413" s="0" t="s">
        <v>189</v>
      </c>
      <c r="E3413" s="0" t="n">
        <v>12</v>
      </c>
      <c r="F3413" s="0" t="s">
        <v>64</v>
      </c>
      <c r="G3413" s="0" t="s">
        <v>65</v>
      </c>
      <c r="H3413" s="0" t="s">
        <v>65</v>
      </c>
      <c r="I3413" s="0" t="s">
        <v>34</v>
      </c>
      <c r="J3413" s="0" t="n">
        <v>1.3</v>
      </c>
      <c r="K3413" s="0" t="s">
        <v>60</v>
      </c>
      <c r="L3413" s="0" t="n">
        <f aca="false">INDEX(Summary!$F$2:$F$201,MATCH($B3413,Summary!$A$2:$A$201,0))</f>
        <v>20</v>
      </c>
      <c r="M3413" s="0" t="n">
        <f aca="false">INDEX(Summary!$I$2:$I$201,MATCH($B3413,Summary!$A$2:$A$201,0))</f>
        <v>1</v>
      </c>
      <c r="N3413" s="0" t="n">
        <f aca="false">INDEX(Summary!$J$2:$J$201,MATCH($B3413,Summary!$A$2:$A$201,0))</f>
        <v>4</v>
      </c>
      <c r="O3413" s="2" t="n">
        <f aca="false">INDEX(Summary!$K$2:$K$201,MATCH($B3413,Summary!$A$2:$A$201,0))</f>
        <v>8.09</v>
      </c>
      <c r="P3413" s="3" t="n">
        <f aca="false">INDEX(Summary!$L$2:$L$201,MATCH($B3413,Summary!$A$2:$A$201,0))</f>
        <v>5</v>
      </c>
      <c r="Q3413" s="3" t="n">
        <f aca="false">INDEX(Summary!$M$2:$M$201,MATCH($B3413,Summary!$A$2:$A$201,0))</f>
        <v>1</v>
      </c>
      <c r="R3413" s="2" t="n">
        <f aca="false">INDEX(Summary!$N$2:$N$201,MATCH($B3413,Summary!$A$2:$A$201,0))</f>
        <v>10.2</v>
      </c>
      <c r="S3413" s="3" t="n">
        <f aca="false">INDEX(Summary!$O$2:$O$201,MATCH($B3413,Summary!$A$2:$A$201,0))</f>
        <v>6</v>
      </c>
      <c r="T3413" s="3" t="n">
        <f aca="false">INDEX(Summary!$P$2:$P$201,MATCH($B3413,Summary!$A$2:$A$201,0))</f>
        <v>3</v>
      </c>
      <c r="U3413" s="2" t="n">
        <f aca="false">INDEX(Summary!$Q$2:$Q$201,MATCH($B3413,Summary!$A$2:$A$201,0))</f>
        <v>12.1</v>
      </c>
      <c r="V3413" s="2" t="n">
        <f aca="false">INDEX(Summary!$R$2:$R$201,MATCH($B3413,Summary!$A$2:$A$201,0))</f>
        <v>21.05</v>
      </c>
      <c r="W3413" s="0" t="str">
        <f aca="false">INDEX(Summary!$S$2:$S$201,MATCH($B3413,Summary!$A$2:$A$201,0))</f>
        <v>Silver</v>
      </c>
      <c r="X3413" s="2" t="n">
        <f aca="false">INDEX(Summary!$T$2:$T$201,MATCH($B3413,Summary!$A$2:$A$201,0))</f>
        <v>51.34</v>
      </c>
      <c r="Y3413" s="0" t="str">
        <f aca="false">INDEX('Reward Model'!$E$18:$E$37,MATCH($E3413,'Reward Model'!$A$18:$A$37,0))</f>
        <v>Medium</v>
      </c>
      <c r="Z3413" s="4" t="n">
        <f aca="false">ROUND(MIN(1,MAX('Reward Model'!$B$2,INDEX('Reward Model'!$C$12:$C$14,MATCH($K3413,'Reward Model'!$A$12:$A$14,0))/$J3413)),3)</f>
        <v>1</v>
      </c>
      <c r="AA3413" s="2" t="n">
        <f aca="false">IF($I3413="Correct",ROUND(INDEX('Reward Model'!$B$12:$B$14,MATCH($K3413,'Reward Model'!$A$12:$A$14,0))*Z3413,2),0)</f>
        <v>2</v>
      </c>
      <c r="AB3413" s="2" t="n">
        <f aca="false">IF($I3413="Correct",ROUND(INDEX('Reward Model'!$B$12:$B$14,MATCH($Y3413,'Reward Model'!$A$12:$A$14,0))*Z3413,2),0)</f>
        <v>2</v>
      </c>
    </row>
    <row r="3414" customFormat="false" ht="15" hidden="false" customHeight="false" outlineLevel="0" collapsed="false">
      <c r="A3414" s="0" t="s">
        <v>472</v>
      </c>
      <c r="B3414" s="0" t="s">
        <v>473</v>
      </c>
      <c r="C3414" s="0" t="s">
        <v>322</v>
      </c>
      <c r="D3414" s="0" t="s">
        <v>189</v>
      </c>
      <c r="E3414" s="0" t="n">
        <v>13</v>
      </c>
      <c r="F3414" s="0" t="s">
        <v>66</v>
      </c>
      <c r="G3414" s="0" t="s">
        <v>117</v>
      </c>
      <c r="H3414" s="0" t="s">
        <v>67</v>
      </c>
      <c r="I3414" s="0" t="s">
        <v>39</v>
      </c>
      <c r="J3414" s="0" t="n">
        <v>1.96</v>
      </c>
      <c r="K3414" s="0" t="s">
        <v>60</v>
      </c>
      <c r="L3414" s="0" t="n">
        <f aca="false">INDEX(Summary!$F$2:$F$201,MATCH($B3414,Summary!$A$2:$A$201,0))</f>
        <v>20</v>
      </c>
      <c r="M3414" s="0" t="n">
        <f aca="false">INDEX(Summary!$I$2:$I$201,MATCH($B3414,Summary!$A$2:$A$201,0))</f>
        <v>1</v>
      </c>
      <c r="N3414" s="0" t="n">
        <f aca="false">INDEX(Summary!$J$2:$J$201,MATCH($B3414,Summary!$A$2:$A$201,0))</f>
        <v>4</v>
      </c>
      <c r="O3414" s="2" t="n">
        <f aca="false">INDEX(Summary!$K$2:$K$201,MATCH($B3414,Summary!$A$2:$A$201,0))</f>
        <v>8.09</v>
      </c>
      <c r="P3414" s="3" t="n">
        <f aca="false">INDEX(Summary!$L$2:$L$201,MATCH($B3414,Summary!$A$2:$A$201,0))</f>
        <v>5</v>
      </c>
      <c r="Q3414" s="3" t="n">
        <f aca="false">INDEX(Summary!$M$2:$M$201,MATCH($B3414,Summary!$A$2:$A$201,0))</f>
        <v>1</v>
      </c>
      <c r="R3414" s="2" t="n">
        <f aca="false">INDEX(Summary!$N$2:$N$201,MATCH($B3414,Summary!$A$2:$A$201,0))</f>
        <v>10.2</v>
      </c>
      <c r="S3414" s="3" t="n">
        <f aca="false">INDEX(Summary!$O$2:$O$201,MATCH($B3414,Summary!$A$2:$A$201,0))</f>
        <v>6</v>
      </c>
      <c r="T3414" s="3" t="n">
        <f aca="false">INDEX(Summary!$P$2:$P$201,MATCH($B3414,Summary!$A$2:$A$201,0))</f>
        <v>3</v>
      </c>
      <c r="U3414" s="2" t="n">
        <f aca="false">INDEX(Summary!$Q$2:$Q$201,MATCH($B3414,Summary!$A$2:$A$201,0))</f>
        <v>12.1</v>
      </c>
      <c r="V3414" s="2" t="n">
        <f aca="false">INDEX(Summary!$R$2:$R$201,MATCH($B3414,Summary!$A$2:$A$201,0))</f>
        <v>21.05</v>
      </c>
      <c r="W3414" s="0" t="str">
        <f aca="false">INDEX(Summary!$S$2:$S$201,MATCH($B3414,Summary!$A$2:$A$201,0))</f>
        <v>Silver</v>
      </c>
      <c r="X3414" s="2" t="n">
        <f aca="false">INDEX(Summary!$T$2:$T$201,MATCH($B3414,Summary!$A$2:$A$201,0))</f>
        <v>51.34</v>
      </c>
      <c r="Y3414" s="0" t="str">
        <f aca="false">INDEX('Reward Model'!$E$18:$E$37,MATCH($E3414,'Reward Model'!$A$18:$A$37,0))</f>
        <v>Medium</v>
      </c>
      <c r="Z3414" s="4" t="n">
        <f aca="false">ROUND(MIN(1,MAX('Reward Model'!$B$2,INDEX('Reward Model'!$C$12:$C$14,MATCH($K3414,'Reward Model'!$A$12:$A$14,0))/$J3414)),3)</f>
        <v>0.918</v>
      </c>
      <c r="AA3414" s="2" t="n">
        <f aca="false">IF($I3414="Correct",ROUND(INDEX('Reward Model'!$B$12:$B$14,MATCH($K3414,'Reward Model'!$A$12:$A$14,0))*Z3414,2),0)</f>
        <v>0</v>
      </c>
      <c r="AB3414" s="2" t="n">
        <f aca="false">IF($I3414="Correct",ROUND(INDEX('Reward Model'!$B$12:$B$14,MATCH($Y3414,'Reward Model'!$A$12:$A$14,0))*Z3414,2),0)</f>
        <v>0</v>
      </c>
    </row>
    <row r="3415" customFormat="false" ht="15" hidden="false" customHeight="false" outlineLevel="0" collapsed="false">
      <c r="A3415" s="0" t="s">
        <v>472</v>
      </c>
      <c r="B3415" s="0" t="s">
        <v>473</v>
      </c>
      <c r="C3415" s="0" t="s">
        <v>322</v>
      </c>
      <c r="D3415" s="0" t="s">
        <v>189</v>
      </c>
      <c r="E3415" s="0" t="n">
        <v>14</v>
      </c>
      <c r="F3415" s="0" t="s">
        <v>68</v>
      </c>
      <c r="G3415" s="0" t="s">
        <v>51</v>
      </c>
      <c r="H3415" s="0" t="s">
        <v>51</v>
      </c>
      <c r="I3415" s="0" t="s">
        <v>34</v>
      </c>
      <c r="J3415" s="0" t="n">
        <v>1.27</v>
      </c>
      <c r="K3415" s="0" t="s">
        <v>60</v>
      </c>
      <c r="L3415" s="0" t="n">
        <f aca="false">INDEX(Summary!$F$2:$F$201,MATCH($B3415,Summary!$A$2:$A$201,0))</f>
        <v>20</v>
      </c>
      <c r="M3415" s="0" t="n">
        <f aca="false">INDEX(Summary!$I$2:$I$201,MATCH($B3415,Summary!$A$2:$A$201,0))</f>
        <v>1</v>
      </c>
      <c r="N3415" s="0" t="n">
        <f aca="false">INDEX(Summary!$J$2:$J$201,MATCH($B3415,Summary!$A$2:$A$201,0))</f>
        <v>4</v>
      </c>
      <c r="O3415" s="2" t="n">
        <f aca="false">INDEX(Summary!$K$2:$K$201,MATCH($B3415,Summary!$A$2:$A$201,0))</f>
        <v>8.09</v>
      </c>
      <c r="P3415" s="3" t="n">
        <f aca="false">INDEX(Summary!$L$2:$L$201,MATCH($B3415,Summary!$A$2:$A$201,0))</f>
        <v>5</v>
      </c>
      <c r="Q3415" s="3" t="n">
        <f aca="false">INDEX(Summary!$M$2:$M$201,MATCH($B3415,Summary!$A$2:$A$201,0))</f>
        <v>1</v>
      </c>
      <c r="R3415" s="2" t="n">
        <f aca="false">INDEX(Summary!$N$2:$N$201,MATCH($B3415,Summary!$A$2:$A$201,0))</f>
        <v>10.2</v>
      </c>
      <c r="S3415" s="3" t="n">
        <f aca="false">INDEX(Summary!$O$2:$O$201,MATCH($B3415,Summary!$A$2:$A$201,0))</f>
        <v>6</v>
      </c>
      <c r="T3415" s="3" t="n">
        <f aca="false">INDEX(Summary!$P$2:$P$201,MATCH($B3415,Summary!$A$2:$A$201,0))</f>
        <v>3</v>
      </c>
      <c r="U3415" s="2" t="n">
        <f aca="false">INDEX(Summary!$Q$2:$Q$201,MATCH($B3415,Summary!$A$2:$A$201,0))</f>
        <v>12.1</v>
      </c>
      <c r="V3415" s="2" t="n">
        <f aca="false">INDEX(Summary!$R$2:$R$201,MATCH($B3415,Summary!$A$2:$A$201,0))</f>
        <v>21.05</v>
      </c>
      <c r="W3415" s="0" t="str">
        <f aca="false">INDEX(Summary!$S$2:$S$201,MATCH($B3415,Summary!$A$2:$A$201,0))</f>
        <v>Silver</v>
      </c>
      <c r="X3415" s="2" t="n">
        <f aca="false">INDEX(Summary!$T$2:$T$201,MATCH($B3415,Summary!$A$2:$A$201,0))</f>
        <v>51.34</v>
      </c>
      <c r="Y3415" s="0" t="str">
        <f aca="false">INDEX('Reward Model'!$E$18:$E$37,MATCH($E3415,'Reward Model'!$A$18:$A$37,0))</f>
        <v>Medium</v>
      </c>
      <c r="Z3415" s="4" t="n">
        <f aca="false">ROUND(MIN(1,MAX('Reward Model'!$B$2,INDEX('Reward Model'!$C$12:$C$14,MATCH($K3415,'Reward Model'!$A$12:$A$14,0))/$J3415)),3)</f>
        <v>1</v>
      </c>
      <c r="AA3415" s="2" t="n">
        <f aca="false">IF($I3415="Correct",ROUND(INDEX('Reward Model'!$B$12:$B$14,MATCH($K3415,'Reward Model'!$A$12:$A$14,0))*Z3415,2),0)</f>
        <v>2</v>
      </c>
      <c r="AB3415" s="2" t="n">
        <f aca="false">IF($I3415="Correct",ROUND(INDEX('Reward Model'!$B$12:$B$14,MATCH($Y3415,'Reward Model'!$A$12:$A$14,0))*Z3415,2),0)</f>
        <v>2</v>
      </c>
    </row>
    <row r="3416" customFormat="false" ht="15" hidden="false" customHeight="false" outlineLevel="0" collapsed="false">
      <c r="A3416" s="0" t="s">
        <v>472</v>
      </c>
      <c r="B3416" s="0" t="s">
        <v>473</v>
      </c>
      <c r="C3416" s="0" t="s">
        <v>322</v>
      </c>
      <c r="D3416" s="0" t="s">
        <v>189</v>
      </c>
      <c r="E3416" s="0" t="n">
        <v>15</v>
      </c>
      <c r="F3416" s="0" t="s">
        <v>69</v>
      </c>
      <c r="G3416" s="0" t="s">
        <v>70</v>
      </c>
      <c r="H3416" s="0" t="s">
        <v>70</v>
      </c>
      <c r="I3416" s="0" t="s">
        <v>34</v>
      </c>
      <c r="J3416" s="0" t="n">
        <v>1.8</v>
      </c>
      <c r="K3416" s="0" t="s">
        <v>60</v>
      </c>
      <c r="L3416" s="0" t="n">
        <f aca="false">INDEX(Summary!$F$2:$F$201,MATCH($B3416,Summary!$A$2:$A$201,0))</f>
        <v>20</v>
      </c>
      <c r="M3416" s="0" t="n">
        <f aca="false">INDEX(Summary!$I$2:$I$201,MATCH($B3416,Summary!$A$2:$A$201,0))</f>
        <v>1</v>
      </c>
      <c r="N3416" s="0" t="n">
        <f aca="false">INDEX(Summary!$J$2:$J$201,MATCH($B3416,Summary!$A$2:$A$201,0))</f>
        <v>4</v>
      </c>
      <c r="O3416" s="2" t="n">
        <f aca="false">INDEX(Summary!$K$2:$K$201,MATCH($B3416,Summary!$A$2:$A$201,0))</f>
        <v>8.09</v>
      </c>
      <c r="P3416" s="3" t="n">
        <f aca="false">INDEX(Summary!$L$2:$L$201,MATCH($B3416,Summary!$A$2:$A$201,0))</f>
        <v>5</v>
      </c>
      <c r="Q3416" s="3" t="n">
        <f aca="false">INDEX(Summary!$M$2:$M$201,MATCH($B3416,Summary!$A$2:$A$201,0))</f>
        <v>1</v>
      </c>
      <c r="R3416" s="2" t="n">
        <f aca="false">INDEX(Summary!$N$2:$N$201,MATCH($B3416,Summary!$A$2:$A$201,0))</f>
        <v>10.2</v>
      </c>
      <c r="S3416" s="3" t="n">
        <f aca="false">INDEX(Summary!$O$2:$O$201,MATCH($B3416,Summary!$A$2:$A$201,0))</f>
        <v>6</v>
      </c>
      <c r="T3416" s="3" t="n">
        <f aca="false">INDEX(Summary!$P$2:$P$201,MATCH($B3416,Summary!$A$2:$A$201,0))</f>
        <v>3</v>
      </c>
      <c r="U3416" s="2" t="n">
        <f aca="false">INDEX(Summary!$Q$2:$Q$201,MATCH($B3416,Summary!$A$2:$A$201,0))</f>
        <v>12.1</v>
      </c>
      <c r="V3416" s="2" t="n">
        <f aca="false">INDEX(Summary!$R$2:$R$201,MATCH($B3416,Summary!$A$2:$A$201,0))</f>
        <v>21.05</v>
      </c>
      <c r="W3416" s="0" t="str">
        <f aca="false">INDEX(Summary!$S$2:$S$201,MATCH($B3416,Summary!$A$2:$A$201,0))</f>
        <v>Silver</v>
      </c>
      <c r="X3416" s="2" t="n">
        <f aca="false">INDEX(Summary!$T$2:$T$201,MATCH($B3416,Summary!$A$2:$A$201,0))</f>
        <v>51.34</v>
      </c>
      <c r="Y3416" s="0" t="str">
        <f aca="false">INDEX('Reward Model'!$E$18:$E$37,MATCH($E3416,'Reward Model'!$A$18:$A$37,0))</f>
        <v>Medium</v>
      </c>
      <c r="Z3416" s="4" t="n">
        <f aca="false">ROUND(MIN(1,MAX('Reward Model'!$B$2,INDEX('Reward Model'!$C$12:$C$14,MATCH($K3416,'Reward Model'!$A$12:$A$14,0))/$J3416)),3)</f>
        <v>1</v>
      </c>
      <c r="AA3416" s="2" t="n">
        <f aca="false">IF($I3416="Correct",ROUND(INDEX('Reward Model'!$B$12:$B$14,MATCH($K3416,'Reward Model'!$A$12:$A$14,0))*Z3416,2),0)</f>
        <v>2</v>
      </c>
      <c r="AB3416" s="2" t="n">
        <f aca="false">IF($I3416="Correct",ROUND(INDEX('Reward Model'!$B$12:$B$14,MATCH($Y3416,'Reward Model'!$A$12:$A$14,0))*Z3416,2),0)</f>
        <v>2</v>
      </c>
    </row>
    <row r="3417" customFormat="false" ht="15" hidden="false" customHeight="false" outlineLevel="0" collapsed="false">
      <c r="A3417" s="0" t="s">
        <v>472</v>
      </c>
      <c r="B3417" s="0" t="s">
        <v>473</v>
      </c>
      <c r="C3417" s="0" t="s">
        <v>322</v>
      </c>
      <c r="D3417" s="0" t="s">
        <v>189</v>
      </c>
      <c r="E3417" s="0" t="n">
        <v>16</v>
      </c>
      <c r="F3417" s="0" t="s">
        <v>71</v>
      </c>
      <c r="G3417" s="0" t="s">
        <v>72</v>
      </c>
      <c r="H3417" s="0" t="s">
        <v>72</v>
      </c>
      <c r="I3417" s="0" t="s">
        <v>34</v>
      </c>
      <c r="J3417" s="0" t="n">
        <v>1.66</v>
      </c>
      <c r="K3417" s="0" t="s">
        <v>73</v>
      </c>
      <c r="L3417" s="0" t="n">
        <f aca="false">INDEX(Summary!$F$2:$F$201,MATCH($B3417,Summary!$A$2:$A$201,0))</f>
        <v>20</v>
      </c>
      <c r="M3417" s="0" t="n">
        <f aca="false">INDEX(Summary!$I$2:$I$201,MATCH($B3417,Summary!$A$2:$A$201,0))</f>
        <v>1</v>
      </c>
      <c r="N3417" s="0" t="n">
        <f aca="false">INDEX(Summary!$J$2:$J$201,MATCH($B3417,Summary!$A$2:$A$201,0))</f>
        <v>4</v>
      </c>
      <c r="O3417" s="2" t="n">
        <f aca="false">INDEX(Summary!$K$2:$K$201,MATCH($B3417,Summary!$A$2:$A$201,0))</f>
        <v>8.09</v>
      </c>
      <c r="P3417" s="3" t="n">
        <f aca="false">INDEX(Summary!$L$2:$L$201,MATCH($B3417,Summary!$A$2:$A$201,0))</f>
        <v>5</v>
      </c>
      <c r="Q3417" s="3" t="n">
        <f aca="false">INDEX(Summary!$M$2:$M$201,MATCH($B3417,Summary!$A$2:$A$201,0))</f>
        <v>1</v>
      </c>
      <c r="R3417" s="2" t="n">
        <f aca="false">INDEX(Summary!$N$2:$N$201,MATCH($B3417,Summary!$A$2:$A$201,0))</f>
        <v>10.2</v>
      </c>
      <c r="S3417" s="3" t="n">
        <f aca="false">INDEX(Summary!$O$2:$O$201,MATCH($B3417,Summary!$A$2:$A$201,0))</f>
        <v>6</v>
      </c>
      <c r="T3417" s="3" t="n">
        <f aca="false">INDEX(Summary!$P$2:$P$201,MATCH($B3417,Summary!$A$2:$A$201,0))</f>
        <v>3</v>
      </c>
      <c r="U3417" s="2" t="n">
        <f aca="false">INDEX(Summary!$Q$2:$Q$201,MATCH($B3417,Summary!$A$2:$A$201,0))</f>
        <v>12.1</v>
      </c>
      <c r="V3417" s="2" t="n">
        <f aca="false">INDEX(Summary!$R$2:$R$201,MATCH($B3417,Summary!$A$2:$A$201,0))</f>
        <v>21.05</v>
      </c>
      <c r="W3417" s="0" t="str">
        <f aca="false">INDEX(Summary!$S$2:$S$201,MATCH($B3417,Summary!$A$2:$A$201,0))</f>
        <v>Silver</v>
      </c>
      <c r="X3417" s="2" t="n">
        <f aca="false">INDEX(Summary!$T$2:$T$201,MATCH($B3417,Summary!$A$2:$A$201,0))</f>
        <v>51.34</v>
      </c>
      <c r="Y3417" s="0" t="str">
        <f aca="false">INDEX('Reward Model'!$E$18:$E$37,MATCH($E3417,'Reward Model'!$A$18:$A$37,0))</f>
        <v>High</v>
      </c>
      <c r="Z3417" s="4" t="n">
        <f aca="false">ROUND(MIN(1,MAX('Reward Model'!$B$2,INDEX('Reward Model'!$C$12:$C$14,MATCH($K3417,'Reward Model'!$A$12:$A$14,0))/$J3417)),3)</f>
        <v>1</v>
      </c>
      <c r="AA3417" s="2" t="n">
        <f aca="false">IF($I3417="Correct",ROUND(INDEX('Reward Model'!$B$12:$B$14,MATCH($K3417,'Reward Model'!$A$12:$A$14,0))*Z3417,2),0)</f>
        <v>3</v>
      </c>
      <c r="AB3417" s="2" t="n">
        <f aca="false">IF($I3417="Correct",ROUND(INDEX('Reward Model'!$B$12:$B$14,MATCH($Y3417,'Reward Model'!$A$12:$A$14,0))*Z3417,2),0)</f>
        <v>3</v>
      </c>
    </row>
    <row r="3418" customFormat="false" ht="15" hidden="false" customHeight="false" outlineLevel="0" collapsed="false">
      <c r="A3418" s="0" t="s">
        <v>472</v>
      </c>
      <c r="B3418" s="0" t="s">
        <v>473</v>
      </c>
      <c r="C3418" s="0" t="s">
        <v>322</v>
      </c>
      <c r="D3418" s="0" t="s">
        <v>189</v>
      </c>
      <c r="E3418" s="0" t="n">
        <v>17</v>
      </c>
      <c r="F3418" s="0" t="s">
        <v>74</v>
      </c>
      <c r="G3418" s="0" t="s">
        <v>91</v>
      </c>
      <c r="H3418" s="0" t="s">
        <v>75</v>
      </c>
      <c r="I3418" s="0" t="s">
        <v>39</v>
      </c>
      <c r="J3418" s="0" t="n">
        <v>2.41</v>
      </c>
      <c r="K3418" s="0" t="s">
        <v>73</v>
      </c>
      <c r="L3418" s="0" t="n">
        <f aca="false">INDEX(Summary!$F$2:$F$201,MATCH($B3418,Summary!$A$2:$A$201,0))</f>
        <v>20</v>
      </c>
      <c r="M3418" s="0" t="n">
        <f aca="false">INDEX(Summary!$I$2:$I$201,MATCH($B3418,Summary!$A$2:$A$201,0))</f>
        <v>1</v>
      </c>
      <c r="N3418" s="0" t="n">
        <f aca="false">INDEX(Summary!$J$2:$J$201,MATCH($B3418,Summary!$A$2:$A$201,0))</f>
        <v>4</v>
      </c>
      <c r="O3418" s="2" t="n">
        <f aca="false">INDEX(Summary!$K$2:$K$201,MATCH($B3418,Summary!$A$2:$A$201,0))</f>
        <v>8.09</v>
      </c>
      <c r="P3418" s="3" t="n">
        <f aca="false">INDEX(Summary!$L$2:$L$201,MATCH($B3418,Summary!$A$2:$A$201,0))</f>
        <v>5</v>
      </c>
      <c r="Q3418" s="3" t="n">
        <f aca="false">INDEX(Summary!$M$2:$M$201,MATCH($B3418,Summary!$A$2:$A$201,0))</f>
        <v>1</v>
      </c>
      <c r="R3418" s="2" t="n">
        <f aca="false">INDEX(Summary!$N$2:$N$201,MATCH($B3418,Summary!$A$2:$A$201,0))</f>
        <v>10.2</v>
      </c>
      <c r="S3418" s="3" t="n">
        <f aca="false">INDEX(Summary!$O$2:$O$201,MATCH($B3418,Summary!$A$2:$A$201,0))</f>
        <v>6</v>
      </c>
      <c r="T3418" s="3" t="n">
        <f aca="false">INDEX(Summary!$P$2:$P$201,MATCH($B3418,Summary!$A$2:$A$201,0))</f>
        <v>3</v>
      </c>
      <c r="U3418" s="2" t="n">
        <f aca="false">INDEX(Summary!$Q$2:$Q$201,MATCH($B3418,Summary!$A$2:$A$201,0))</f>
        <v>12.1</v>
      </c>
      <c r="V3418" s="2" t="n">
        <f aca="false">INDEX(Summary!$R$2:$R$201,MATCH($B3418,Summary!$A$2:$A$201,0))</f>
        <v>21.05</v>
      </c>
      <c r="W3418" s="0" t="str">
        <f aca="false">INDEX(Summary!$S$2:$S$201,MATCH($B3418,Summary!$A$2:$A$201,0))</f>
        <v>Silver</v>
      </c>
      <c r="X3418" s="2" t="n">
        <f aca="false">INDEX(Summary!$T$2:$T$201,MATCH($B3418,Summary!$A$2:$A$201,0))</f>
        <v>51.34</v>
      </c>
      <c r="Y3418" s="0" t="str">
        <f aca="false">INDEX('Reward Model'!$E$18:$E$37,MATCH($E3418,'Reward Model'!$A$18:$A$37,0))</f>
        <v>High</v>
      </c>
      <c r="Z3418" s="4" t="n">
        <f aca="false">ROUND(MIN(1,MAX('Reward Model'!$B$2,INDEX('Reward Model'!$C$12:$C$14,MATCH($K3418,'Reward Model'!$A$12:$A$14,0))/$J3418)),3)</f>
        <v>0.83</v>
      </c>
      <c r="AA3418" s="2" t="n">
        <f aca="false">IF($I3418="Correct",ROUND(INDEX('Reward Model'!$B$12:$B$14,MATCH($K3418,'Reward Model'!$A$12:$A$14,0))*Z3418,2),0)</f>
        <v>0</v>
      </c>
      <c r="AB3418" s="2" t="n">
        <f aca="false">IF($I3418="Correct",ROUND(INDEX('Reward Model'!$B$12:$B$14,MATCH($Y3418,'Reward Model'!$A$12:$A$14,0))*Z3418,2),0)</f>
        <v>0</v>
      </c>
    </row>
    <row r="3419" customFormat="false" ht="15" hidden="false" customHeight="false" outlineLevel="0" collapsed="false">
      <c r="A3419" s="0" t="s">
        <v>472</v>
      </c>
      <c r="B3419" s="0" t="s">
        <v>473</v>
      </c>
      <c r="C3419" s="0" t="s">
        <v>322</v>
      </c>
      <c r="D3419" s="0" t="s">
        <v>189</v>
      </c>
      <c r="E3419" s="0" t="n">
        <v>18</v>
      </c>
      <c r="F3419" s="0" t="s">
        <v>76</v>
      </c>
      <c r="G3419" s="0" t="s">
        <v>88</v>
      </c>
      <c r="H3419" s="0" t="s">
        <v>77</v>
      </c>
      <c r="I3419" s="0" t="s">
        <v>39</v>
      </c>
      <c r="J3419" s="0" t="n">
        <v>1.25</v>
      </c>
      <c r="K3419" s="0" t="s">
        <v>73</v>
      </c>
      <c r="L3419" s="0" t="n">
        <f aca="false">INDEX(Summary!$F$2:$F$201,MATCH($B3419,Summary!$A$2:$A$201,0))</f>
        <v>20</v>
      </c>
      <c r="M3419" s="0" t="n">
        <f aca="false">INDEX(Summary!$I$2:$I$201,MATCH($B3419,Summary!$A$2:$A$201,0))</f>
        <v>1</v>
      </c>
      <c r="N3419" s="0" t="n">
        <f aca="false">INDEX(Summary!$J$2:$J$201,MATCH($B3419,Summary!$A$2:$A$201,0))</f>
        <v>4</v>
      </c>
      <c r="O3419" s="2" t="n">
        <f aca="false">INDEX(Summary!$K$2:$K$201,MATCH($B3419,Summary!$A$2:$A$201,0))</f>
        <v>8.09</v>
      </c>
      <c r="P3419" s="3" t="n">
        <f aca="false">INDEX(Summary!$L$2:$L$201,MATCH($B3419,Summary!$A$2:$A$201,0))</f>
        <v>5</v>
      </c>
      <c r="Q3419" s="3" t="n">
        <f aca="false">INDEX(Summary!$M$2:$M$201,MATCH($B3419,Summary!$A$2:$A$201,0))</f>
        <v>1</v>
      </c>
      <c r="R3419" s="2" t="n">
        <f aca="false">INDEX(Summary!$N$2:$N$201,MATCH($B3419,Summary!$A$2:$A$201,0))</f>
        <v>10.2</v>
      </c>
      <c r="S3419" s="3" t="n">
        <f aca="false">INDEX(Summary!$O$2:$O$201,MATCH($B3419,Summary!$A$2:$A$201,0))</f>
        <v>6</v>
      </c>
      <c r="T3419" s="3" t="n">
        <f aca="false">INDEX(Summary!$P$2:$P$201,MATCH($B3419,Summary!$A$2:$A$201,0))</f>
        <v>3</v>
      </c>
      <c r="U3419" s="2" t="n">
        <f aca="false">INDEX(Summary!$Q$2:$Q$201,MATCH($B3419,Summary!$A$2:$A$201,0))</f>
        <v>12.1</v>
      </c>
      <c r="V3419" s="2" t="n">
        <f aca="false">INDEX(Summary!$R$2:$R$201,MATCH($B3419,Summary!$A$2:$A$201,0))</f>
        <v>21.05</v>
      </c>
      <c r="W3419" s="0" t="str">
        <f aca="false">INDEX(Summary!$S$2:$S$201,MATCH($B3419,Summary!$A$2:$A$201,0))</f>
        <v>Silver</v>
      </c>
      <c r="X3419" s="2" t="n">
        <f aca="false">INDEX(Summary!$T$2:$T$201,MATCH($B3419,Summary!$A$2:$A$201,0))</f>
        <v>51.34</v>
      </c>
      <c r="Y3419" s="0" t="str">
        <f aca="false">INDEX('Reward Model'!$E$18:$E$37,MATCH($E3419,'Reward Model'!$A$18:$A$37,0))</f>
        <v>High</v>
      </c>
      <c r="Z3419" s="4" t="n">
        <f aca="false">ROUND(MIN(1,MAX('Reward Model'!$B$2,INDEX('Reward Model'!$C$12:$C$14,MATCH($K3419,'Reward Model'!$A$12:$A$14,0))/$J3419)),3)</f>
        <v>1</v>
      </c>
      <c r="AA3419" s="2" t="n">
        <f aca="false">IF($I3419="Correct",ROUND(INDEX('Reward Model'!$B$12:$B$14,MATCH($K3419,'Reward Model'!$A$12:$A$14,0))*Z3419,2),0)</f>
        <v>0</v>
      </c>
      <c r="AB3419" s="2" t="n">
        <f aca="false">IF($I3419="Correct",ROUND(INDEX('Reward Model'!$B$12:$B$14,MATCH($Y3419,'Reward Model'!$A$12:$A$14,0))*Z3419,2),0)</f>
        <v>0</v>
      </c>
    </row>
    <row r="3420" customFormat="false" ht="15" hidden="false" customHeight="false" outlineLevel="0" collapsed="false">
      <c r="A3420" s="0" t="s">
        <v>472</v>
      </c>
      <c r="B3420" s="0" t="s">
        <v>473</v>
      </c>
      <c r="C3420" s="0" t="s">
        <v>322</v>
      </c>
      <c r="D3420" s="0" t="s">
        <v>189</v>
      </c>
      <c r="E3420" s="0" t="n">
        <v>19</v>
      </c>
      <c r="F3420" s="0" t="s">
        <v>78</v>
      </c>
      <c r="G3420" s="0" t="s">
        <v>132</v>
      </c>
      <c r="H3420" s="0" t="s">
        <v>80</v>
      </c>
      <c r="I3420" s="0" t="s">
        <v>39</v>
      </c>
      <c r="J3420" s="0" t="n">
        <v>1.48</v>
      </c>
      <c r="K3420" s="0" t="s">
        <v>73</v>
      </c>
      <c r="L3420" s="0" t="n">
        <f aca="false">INDEX(Summary!$F$2:$F$201,MATCH($B3420,Summary!$A$2:$A$201,0))</f>
        <v>20</v>
      </c>
      <c r="M3420" s="0" t="n">
        <f aca="false">INDEX(Summary!$I$2:$I$201,MATCH($B3420,Summary!$A$2:$A$201,0))</f>
        <v>1</v>
      </c>
      <c r="N3420" s="0" t="n">
        <f aca="false">INDEX(Summary!$J$2:$J$201,MATCH($B3420,Summary!$A$2:$A$201,0))</f>
        <v>4</v>
      </c>
      <c r="O3420" s="2" t="n">
        <f aca="false">INDEX(Summary!$K$2:$K$201,MATCH($B3420,Summary!$A$2:$A$201,0))</f>
        <v>8.09</v>
      </c>
      <c r="P3420" s="3" t="n">
        <f aca="false">INDEX(Summary!$L$2:$L$201,MATCH($B3420,Summary!$A$2:$A$201,0))</f>
        <v>5</v>
      </c>
      <c r="Q3420" s="3" t="n">
        <f aca="false">INDEX(Summary!$M$2:$M$201,MATCH($B3420,Summary!$A$2:$A$201,0))</f>
        <v>1</v>
      </c>
      <c r="R3420" s="2" t="n">
        <f aca="false">INDEX(Summary!$N$2:$N$201,MATCH($B3420,Summary!$A$2:$A$201,0))</f>
        <v>10.2</v>
      </c>
      <c r="S3420" s="3" t="n">
        <f aca="false">INDEX(Summary!$O$2:$O$201,MATCH($B3420,Summary!$A$2:$A$201,0))</f>
        <v>6</v>
      </c>
      <c r="T3420" s="3" t="n">
        <f aca="false">INDEX(Summary!$P$2:$P$201,MATCH($B3420,Summary!$A$2:$A$201,0))</f>
        <v>3</v>
      </c>
      <c r="U3420" s="2" t="n">
        <f aca="false">INDEX(Summary!$Q$2:$Q$201,MATCH($B3420,Summary!$A$2:$A$201,0))</f>
        <v>12.1</v>
      </c>
      <c r="V3420" s="2" t="n">
        <f aca="false">INDEX(Summary!$R$2:$R$201,MATCH($B3420,Summary!$A$2:$A$201,0))</f>
        <v>21.05</v>
      </c>
      <c r="W3420" s="0" t="str">
        <f aca="false">INDEX(Summary!$S$2:$S$201,MATCH($B3420,Summary!$A$2:$A$201,0))</f>
        <v>Silver</v>
      </c>
      <c r="X3420" s="2" t="n">
        <f aca="false">INDEX(Summary!$T$2:$T$201,MATCH($B3420,Summary!$A$2:$A$201,0))</f>
        <v>51.34</v>
      </c>
      <c r="Y3420" s="0" t="str">
        <f aca="false">INDEX('Reward Model'!$E$18:$E$37,MATCH($E3420,'Reward Model'!$A$18:$A$37,0))</f>
        <v>High</v>
      </c>
      <c r="Z3420" s="4" t="n">
        <f aca="false">ROUND(MIN(1,MAX('Reward Model'!$B$2,INDEX('Reward Model'!$C$12:$C$14,MATCH($K3420,'Reward Model'!$A$12:$A$14,0))/$J3420)),3)</f>
        <v>1</v>
      </c>
      <c r="AA3420" s="2" t="n">
        <f aca="false">IF($I3420="Correct",ROUND(INDEX('Reward Model'!$B$12:$B$14,MATCH($K3420,'Reward Model'!$A$12:$A$14,0))*Z3420,2),0)</f>
        <v>0</v>
      </c>
      <c r="AB3420" s="2" t="n">
        <f aca="false">IF($I3420="Correct",ROUND(INDEX('Reward Model'!$B$12:$B$14,MATCH($Y3420,'Reward Model'!$A$12:$A$14,0))*Z3420,2),0)</f>
        <v>0</v>
      </c>
    </row>
    <row r="3421" customFormat="false" ht="15" hidden="false" customHeight="false" outlineLevel="0" collapsed="false">
      <c r="A3421" s="0" t="s">
        <v>472</v>
      </c>
      <c r="B3421" s="0" t="s">
        <v>473</v>
      </c>
      <c r="C3421" s="0" t="s">
        <v>322</v>
      </c>
      <c r="D3421" s="0" t="s">
        <v>189</v>
      </c>
      <c r="E3421" s="0" t="n">
        <v>20</v>
      </c>
      <c r="F3421" s="0" t="s">
        <v>81</v>
      </c>
      <c r="G3421" s="0" t="s">
        <v>82</v>
      </c>
      <c r="H3421" s="0" t="s">
        <v>83</v>
      </c>
      <c r="I3421" s="0" t="s">
        <v>39</v>
      </c>
      <c r="J3421" s="0" t="n">
        <v>1.29</v>
      </c>
      <c r="K3421" s="0" t="s">
        <v>73</v>
      </c>
      <c r="L3421" s="0" t="n">
        <f aca="false">INDEX(Summary!$F$2:$F$201,MATCH($B3421,Summary!$A$2:$A$201,0))</f>
        <v>20</v>
      </c>
      <c r="M3421" s="0" t="n">
        <f aca="false">INDEX(Summary!$I$2:$I$201,MATCH($B3421,Summary!$A$2:$A$201,0))</f>
        <v>1</v>
      </c>
      <c r="N3421" s="0" t="n">
        <f aca="false">INDEX(Summary!$J$2:$J$201,MATCH($B3421,Summary!$A$2:$A$201,0))</f>
        <v>4</v>
      </c>
      <c r="O3421" s="2" t="n">
        <f aca="false">INDEX(Summary!$K$2:$K$201,MATCH($B3421,Summary!$A$2:$A$201,0))</f>
        <v>8.09</v>
      </c>
      <c r="P3421" s="3" t="n">
        <f aca="false">INDEX(Summary!$L$2:$L$201,MATCH($B3421,Summary!$A$2:$A$201,0))</f>
        <v>5</v>
      </c>
      <c r="Q3421" s="3" t="n">
        <f aca="false">INDEX(Summary!$M$2:$M$201,MATCH($B3421,Summary!$A$2:$A$201,0))</f>
        <v>1</v>
      </c>
      <c r="R3421" s="2" t="n">
        <f aca="false">INDEX(Summary!$N$2:$N$201,MATCH($B3421,Summary!$A$2:$A$201,0))</f>
        <v>10.2</v>
      </c>
      <c r="S3421" s="3" t="n">
        <f aca="false">INDEX(Summary!$O$2:$O$201,MATCH($B3421,Summary!$A$2:$A$201,0))</f>
        <v>6</v>
      </c>
      <c r="T3421" s="3" t="n">
        <f aca="false">INDEX(Summary!$P$2:$P$201,MATCH($B3421,Summary!$A$2:$A$201,0))</f>
        <v>3</v>
      </c>
      <c r="U3421" s="2" t="n">
        <f aca="false">INDEX(Summary!$Q$2:$Q$201,MATCH($B3421,Summary!$A$2:$A$201,0))</f>
        <v>12.1</v>
      </c>
      <c r="V3421" s="2" t="n">
        <f aca="false">INDEX(Summary!$R$2:$R$201,MATCH($B3421,Summary!$A$2:$A$201,0))</f>
        <v>21.05</v>
      </c>
      <c r="W3421" s="0" t="str">
        <f aca="false">INDEX(Summary!$S$2:$S$201,MATCH($B3421,Summary!$A$2:$A$201,0))</f>
        <v>Silver</v>
      </c>
      <c r="X3421" s="2" t="n">
        <f aca="false">INDEX(Summary!$T$2:$T$201,MATCH($B3421,Summary!$A$2:$A$201,0))</f>
        <v>51.34</v>
      </c>
      <c r="Y3421" s="0" t="str">
        <f aca="false">INDEX('Reward Model'!$E$18:$E$37,MATCH($E3421,'Reward Model'!$A$18:$A$37,0))</f>
        <v>High</v>
      </c>
      <c r="Z3421" s="4" t="n">
        <f aca="false">ROUND(MIN(1,MAX('Reward Model'!$B$2,INDEX('Reward Model'!$C$12:$C$14,MATCH($K3421,'Reward Model'!$A$12:$A$14,0))/$J3421)),3)</f>
        <v>1</v>
      </c>
      <c r="AA3421" s="2" t="n">
        <f aca="false">IF($I3421="Correct",ROUND(INDEX('Reward Model'!$B$12:$B$14,MATCH($K3421,'Reward Model'!$A$12:$A$14,0))*Z3421,2),0)</f>
        <v>0</v>
      </c>
      <c r="AB3421" s="2" t="n">
        <f aca="false">IF($I3421="Correct",ROUND(INDEX('Reward Model'!$B$12:$B$14,MATCH($Y3421,'Reward Model'!$A$12:$A$14,0))*Z3421,2),0)</f>
        <v>0</v>
      </c>
    </row>
    <row r="3422" customFormat="false" ht="15" hidden="false" customHeight="false" outlineLevel="0" collapsed="false">
      <c r="A3422" s="0" t="s">
        <v>474</v>
      </c>
      <c r="B3422" s="0" t="s">
        <v>475</v>
      </c>
      <c r="C3422" s="0" t="s">
        <v>322</v>
      </c>
      <c r="D3422" s="0" t="s">
        <v>189</v>
      </c>
      <c r="E3422" s="0" t="n">
        <v>1</v>
      </c>
      <c r="F3422" s="0" t="s">
        <v>32</v>
      </c>
      <c r="G3422" s="0" t="s">
        <v>97</v>
      </c>
      <c r="H3422" s="0" t="s">
        <v>33</v>
      </c>
      <c r="I3422" s="0" t="s">
        <v>39</v>
      </c>
      <c r="J3422" s="0" t="n">
        <v>1.94</v>
      </c>
      <c r="K3422" s="0" t="s">
        <v>35</v>
      </c>
      <c r="L3422" s="0" t="n">
        <f aca="false">INDEX(Summary!$F$2:$F$201,MATCH($B3422,Summary!$A$2:$A$201,0))</f>
        <v>20</v>
      </c>
      <c r="M3422" s="0" t="n">
        <f aca="false">INDEX(Summary!$I$2:$I$201,MATCH($B3422,Summary!$A$2:$A$201,0))</f>
        <v>2</v>
      </c>
      <c r="N3422" s="0" t="n">
        <f aca="false">INDEX(Summary!$J$2:$J$201,MATCH($B3422,Summary!$A$2:$A$201,0))</f>
        <v>3</v>
      </c>
      <c r="O3422" s="2" t="n">
        <f aca="false">INDEX(Summary!$K$2:$K$201,MATCH($B3422,Summary!$A$2:$A$201,0))</f>
        <v>10.9</v>
      </c>
      <c r="P3422" s="3" t="n">
        <f aca="false">INDEX(Summary!$L$2:$L$201,MATCH($B3422,Summary!$A$2:$A$201,0))</f>
        <v>3</v>
      </c>
      <c r="Q3422" s="3" t="n">
        <f aca="false">INDEX(Summary!$M$2:$M$201,MATCH($B3422,Summary!$A$2:$A$201,0))</f>
        <v>3</v>
      </c>
      <c r="R3422" s="2" t="n">
        <f aca="false">INDEX(Summary!$N$2:$N$201,MATCH($B3422,Summary!$A$2:$A$201,0))</f>
        <v>9.46</v>
      </c>
      <c r="S3422" s="3" t="n">
        <f aca="false">INDEX(Summary!$O$2:$O$201,MATCH($B3422,Summary!$A$2:$A$201,0))</f>
        <v>4</v>
      </c>
      <c r="T3422" s="3" t="n">
        <f aca="false">INDEX(Summary!$P$2:$P$201,MATCH($B3422,Summary!$A$2:$A$201,0))</f>
        <v>5</v>
      </c>
      <c r="U3422" s="2" t="n">
        <f aca="false">INDEX(Summary!$Q$2:$Q$201,MATCH($B3422,Summary!$A$2:$A$201,0))</f>
        <v>13.1</v>
      </c>
      <c r="V3422" s="2" t="n">
        <f aca="false">INDEX(Summary!$R$2:$R$201,MATCH($B3422,Summary!$A$2:$A$201,0))</f>
        <v>16.47</v>
      </c>
      <c r="W3422" s="0" t="str">
        <f aca="false">INDEX(Summary!$S$2:$S$201,MATCH($B3422,Summary!$A$2:$A$201,0))</f>
        <v>Bronze</v>
      </c>
      <c r="X3422" s="2" t="n">
        <f aca="false">INDEX(Summary!$T$2:$T$201,MATCH($B3422,Summary!$A$2:$A$201,0))</f>
        <v>40.17</v>
      </c>
      <c r="Y3422" s="0" t="str">
        <f aca="false">INDEX('Reward Model'!$E$18:$E$37,MATCH($E3422,'Reward Model'!$A$18:$A$37,0))</f>
        <v>Medium</v>
      </c>
      <c r="Z3422" s="4" t="n">
        <f aca="false">ROUND(MIN(1,MAX('Reward Model'!$B$2,INDEX('Reward Model'!$C$12:$C$14,MATCH($K3422,'Reward Model'!$A$12:$A$14,0))/$J3422)),3)</f>
        <v>0.773</v>
      </c>
      <c r="AA3422" s="2" t="n">
        <f aca="false">IF($I3422="Correct",ROUND(INDEX('Reward Model'!$B$12:$B$14,MATCH($K3422,'Reward Model'!$A$12:$A$14,0))*Z3422,2),0)</f>
        <v>0</v>
      </c>
      <c r="AB3422" s="2" t="n">
        <f aca="false">IF($I3422="Correct",ROUND(INDEX('Reward Model'!$B$12:$B$14,MATCH($Y3422,'Reward Model'!$A$12:$A$14,0))*Z3422,2),0)</f>
        <v>0</v>
      </c>
    </row>
    <row r="3423" customFormat="false" ht="15" hidden="false" customHeight="false" outlineLevel="0" collapsed="false">
      <c r="A3423" s="0" t="s">
        <v>474</v>
      </c>
      <c r="B3423" s="0" t="s">
        <v>475</v>
      </c>
      <c r="C3423" s="0" t="s">
        <v>322</v>
      </c>
      <c r="D3423" s="0" t="s">
        <v>189</v>
      </c>
      <c r="E3423" s="0" t="n">
        <v>2</v>
      </c>
      <c r="F3423" s="0" t="s">
        <v>36</v>
      </c>
      <c r="G3423" s="0" t="s">
        <v>94</v>
      </c>
      <c r="H3423" s="0" t="s">
        <v>38</v>
      </c>
      <c r="I3423" s="0" t="s">
        <v>39</v>
      </c>
      <c r="J3423" s="0" t="n">
        <v>1.79</v>
      </c>
      <c r="K3423" s="0" t="s">
        <v>35</v>
      </c>
      <c r="L3423" s="0" t="n">
        <f aca="false">INDEX(Summary!$F$2:$F$201,MATCH($B3423,Summary!$A$2:$A$201,0))</f>
        <v>20</v>
      </c>
      <c r="M3423" s="0" t="n">
        <f aca="false">INDEX(Summary!$I$2:$I$201,MATCH($B3423,Summary!$A$2:$A$201,0))</f>
        <v>2</v>
      </c>
      <c r="N3423" s="0" t="n">
        <f aca="false">INDEX(Summary!$J$2:$J$201,MATCH($B3423,Summary!$A$2:$A$201,0))</f>
        <v>3</v>
      </c>
      <c r="O3423" s="2" t="n">
        <f aca="false">INDEX(Summary!$K$2:$K$201,MATCH($B3423,Summary!$A$2:$A$201,0))</f>
        <v>10.9</v>
      </c>
      <c r="P3423" s="3" t="n">
        <f aca="false">INDEX(Summary!$L$2:$L$201,MATCH($B3423,Summary!$A$2:$A$201,0))</f>
        <v>3</v>
      </c>
      <c r="Q3423" s="3" t="n">
        <f aca="false">INDEX(Summary!$M$2:$M$201,MATCH($B3423,Summary!$A$2:$A$201,0))</f>
        <v>3</v>
      </c>
      <c r="R3423" s="2" t="n">
        <f aca="false">INDEX(Summary!$N$2:$N$201,MATCH($B3423,Summary!$A$2:$A$201,0))</f>
        <v>9.46</v>
      </c>
      <c r="S3423" s="3" t="n">
        <f aca="false">INDEX(Summary!$O$2:$O$201,MATCH($B3423,Summary!$A$2:$A$201,0))</f>
        <v>4</v>
      </c>
      <c r="T3423" s="3" t="n">
        <f aca="false">INDEX(Summary!$P$2:$P$201,MATCH($B3423,Summary!$A$2:$A$201,0))</f>
        <v>5</v>
      </c>
      <c r="U3423" s="2" t="n">
        <f aca="false">INDEX(Summary!$Q$2:$Q$201,MATCH($B3423,Summary!$A$2:$A$201,0))</f>
        <v>13.1</v>
      </c>
      <c r="V3423" s="2" t="n">
        <f aca="false">INDEX(Summary!$R$2:$R$201,MATCH($B3423,Summary!$A$2:$A$201,0))</f>
        <v>16.47</v>
      </c>
      <c r="W3423" s="0" t="str">
        <f aca="false">INDEX(Summary!$S$2:$S$201,MATCH($B3423,Summary!$A$2:$A$201,0))</f>
        <v>Bronze</v>
      </c>
      <c r="X3423" s="2" t="n">
        <f aca="false">INDEX(Summary!$T$2:$T$201,MATCH($B3423,Summary!$A$2:$A$201,0))</f>
        <v>40.17</v>
      </c>
      <c r="Y3423" s="0" t="str">
        <f aca="false">INDEX('Reward Model'!$E$18:$E$37,MATCH($E3423,'Reward Model'!$A$18:$A$37,0))</f>
        <v>Low</v>
      </c>
      <c r="Z3423" s="4" t="n">
        <f aca="false">ROUND(MIN(1,MAX('Reward Model'!$B$2,INDEX('Reward Model'!$C$12:$C$14,MATCH($K3423,'Reward Model'!$A$12:$A$14,0))/$J3423)),3)</f>
        <v>0.838</v>
      </c>
      <c r="AA3423" s="2" t="n">
        <f aca="false">IF($I3423="Correct",ROUND(INDEX('Reward Model'!$B$12:$B$14,MATCH($K3423,'Reward Model'!$A$12:$A$14,0))*Z3423,2),0)</f>
        <v>0</v>
      </c>
      <c r="AB3423" s="2" t="n">
        <f aca="false">IF($I3423="Correct",ROUND(INDEX('Reward Model'!$B$12:$B$14,MATCH($Y3423,'Reward Model'!$A$12:$A$14,0))*Z3423,2),0)</f>
        <v>0</v>
      </c>
    </row>
    <row r="3424" customFormat="false" ht="15" hidden="false" customHeight="false" outlineLevel="0" collapsed="false">
      <c r="A3424" s="0" t="s">
        <v>474</v>
      </c>
      <c r="B3424" s="0" t="s">
        <v>475</v>
      </c>
      <c r="C3424" s="0" t="s">
        <v>322</v>
      </c>
      <c r="D3424" s="0" t="s">
        <v>189</v>
      </c>
      <c r="E3424" s="0" t="n">
        <v>3</v>
      </c>
      <c r="F3424" s="0" t="s">
        <v>40</v>
      </c>
      <c r="G3424" s="0" t="s">
        <v>41</v>
      </c>
      <c r="H3424" s="0" t="s">
        <v>42</v>
      </c>
      <c r="I3424" s="0" t="s">
        <v>39</v>
      </c>
      <c r="J3424" s="0" t="n">
        <v>1.94</v>
      </c>
      <c r="K3424" s="0" t="s">
        <v>35</v>
      </c>
      <c r="L3424" s="0" t="n">
        <f aca="false">INDEX(Summary!$F$2:$F$201,MATCH($B3424,Summary!$A$2:$A$201,0))</f>
        <v>20</v>
      </c>
      <c r="M3424" s="0" t="n">
        <f aca="false">INDEX(Summary!$I$2:$I$201,MATCH($B3424,Summary!$A$2:$A$201,0))</f>
        <v>2</v>
      </c>
      <c r="N3424" s="0" t="n">
        <f aca="false">INDEX(Summary!$J$2:$J$201,MATCH($B3424,Summary!$A$2:$A$201,0))</f>
        <v>3</v>
      </c>
      <c r="O3424" s="2" t="n">
        <f aca="false">INDEX(Summary!$K$2:$K$201,MATCH($B3424,Summary!$A$2:$A$201,0))</f>
        <v>10.9</v>
      </c>
      <c r="P3424" s="3" t="n">
        <f aca="false">INDEX(Summary!$L$2:$L$201,MATCH($B3424,Summary!$A$2:$A$201,0))</f>
        <v>3</v>
      </c>
      <c r="Q3424" s="3" t="n">
        <f aca="false">INDEX(Summary!$M$2:$M$201,MATCH($B3424,Summary!$A$2:$A$201,0))</f>
        <v>3</v>
      </c>
      <c r="R3424" s="2" t="n">
        <f aca="false">INDEX(Summary!$N$2:$N$201,MATCH($B3424,Summary!$A$2:$A$201,0))</f>
        <v>9.46</v>
      </c>
      <c r="S3424" s="3" t="n">
        <f aca="false">INDEX(Summary!$O$2:$O$201,MATCH($B3424,Summary!$A$2:$A$201,0))</f>
        <v>4</v>
      </c>
      <c r="T3424" s="3" t="n">
        <f aca="false">INDEX(Summary!$P$2:$P$201,MATCH($B3424,Summary!$A$2:$A$201,0))</f>
        <v>5</v>
      </c>
      <c r="U3424" s="2" t="n">
        <f aca="false">INDEX(Summary!$Q$2:$Q$201,MATCH($B3424,Summary!$A$2:$A$201,0))</f>
        <v>13.1</v>
      </c>
      <c r="V3424" s="2" t="n">
        <f aca="false">INDEX(Summary!$R$2:$R$201,MATCH($B3424,Summary!$A$2:$A$201,0))</f>
        <v>16.47</v>
      </c>
      <c r="W3424" s="0" t="str">
        <f aca="false">INDEX(Summary!$S$2:$S$201,MATCH($B3424,Summary!$A$2:$A$201,0))</f>
        <v>Bronze</v>
      </c>
      <c r="X3424" s="2" t="n">
        <f aca="false">INDEX(Summary!$T$2:$T$201,MATCH($B3424,Summary!$A$2:$A$201,0))</f>
        <v>40.17</v>
      </c>
      <c r="Y3424" s="0" t="str">
        <f aca="false">INDEX('Reward Model'!$E$18:$E$37,MATCH($E3424,'Reward Model'!$A$18:$A$37,0))</f>
        <v>Medium</v>
      </c>
      <c r="Z3424" s="4" t="n">
        <f aca="false">ROUND(MIN(1,MAX('Reward Model'!$B$2,INDEX('Reward Model'!$C$12:$C$14,MATCH($K3424,'Reward Model'!$A$12:$A$14,0))/$J3424)),3)</f>
        <v>0.773</v>
      </c>
      <c r="AA3424" s="2" t="n">
        <f aca="false">IF($I3424="Correct",ROUND(INDEX('Reward Model'!$B$12:$B$14,MATCH($K3424,'Reward Model'!$A$12:$A$14,0))*Z3424,2),0)</f>
        <v>0</v>
      </c>
      <c r="AB3424" s="2" t="n">
        <f aca="false">IF($I3424="Correct",ROUND(INDEX('Reward Model'!$B$12:$B$14,MATCH($Y3424,'Reward Model'!$A$12:$A$14,0))*Z3424,2),0)</f>
        <v>0</v>
      </c>
    </row>
    <row r="3425" customFormat="false" ht="15" hidden="false" customHeight="false" outlineLevel="0" collapsed="false">
      <c r="A3425" s="0" t="s">
        <v>474</v>
      </c>
      <c r="B3425" s="0" t="s">
        <v>475</v>
      </c>
      <c r="C3425" s="0" t="s">
        <v>322</v>
      </c>
      <c r="D3425" s="0" t="s">
        <v>189</v>
      </c>
      <c r="E3425" s="0" t="n">
        <v>4</v>
      </c>
      <c r="F3425" s="0" t="s">
        <v>43</v>
      </c>
      <c r="G3425" s="0" t="s">
        <v>45</v>
      </c>
      <c r="H3425" s="0" t="s">
        <v>45</v>
      </c>
      <c r="I3425" s="0" t="s">
        <v>34</v>
      </c>
      <c r="J3425" s="0" t="n">
        <v>1.23</v>
      </c>
      <c r="K3425" s="0" t="s">
        <v>35</v>
      </c>
      <c r="L3425" s="0" t="n">
        <f aca="false">INDEX(Summary!$F$2:$F$201,MATCH($B3425,Summary!$A$2:$A$201,0))</f>
        <v>20</v>
      </c>
      <c r="M3425" s="0" t="n">
        <f aca="false">INDEX(Summary!$I$2:$I$201,MATCH($B3425,Summary!$A$2:$A$201,0))</f>
        <v>2</v>
      </c>
      <c r="N3425" s="0" t="n">
        <f aca="false">INDEX(Summary!$J$2:$J$201,MATCH($B3425,Summary!$A$2:$A$201,0))</f>
        <v>3</v>
      </c>
      <c r="O3425" s="2" t="n">
        <f aca="false">INDEX(Summary!$K$2:$K$201,MATCH($B3425,Summary!$A$2:$A$201,0))</f>
        <v>10.9</v>
      </c>
      <c r="P3425" s="3" t="n">
        <f aca="false">INDEX(Summary!$L$2:$L$201,MATCH($B3425,Summary!$A$2:$A$201,0))</f>
        <v>3</v>
      </c>
      <c r="Q3425" s="3" t="n">
        <f aca="false">INDEX(Summary!$M$2:$M$201,MATCH($B3425,Summary!$A$2:$A$201,0))</f>
        <v>3</v>
      </c>
      <c r="R3425" s="2" t="n">
        <f aca="false">INDEX(Summary!$N$2:$N$201,MATCH($B3425,Summary!$A$2:$A$201,0))</f>
        <v>9.46</v>
      </c>
      <c r="S3425" s="3" t="n">
        <f aca="false">INDEX(Summary!$O$2:$O$201,MATCH($B3425,Summary!$A$2:$A$201,0))</f>
        <v>4</v>
      </c>
      <c r="T3425" s="3" t="n">
        <f aca="false">INDEX(Summary!$P$2:$P$201,MATCH($B3425,Summary!$A$2:$A$201,0))</f>
        <v>5</v>
      </c>
      <c r="U3425" s="2" t="n">
        <f aca="false">INDEX(Summary!$Q$2:$Q$201,MATCH($B3425,Summary!$A$2:$A$201,0))</f>
        <v>13.1</v>
      </c>
      <c r="V3425" s="2" t="n">
        <f aca="false">INDEX(Summary!$R$2:$R$201,MATCH($B3425,Summary!$A$2:$A$201,0))</f>
        <v>16.47</v>
      </c>
      <c r="W3425" s="0" t="str">
        <f aca="false">INDEX(Summary!$S$2:$S$201,MATCH($B3425,Summary!$A$2:$A$201,0))</f>
        <v>Bronze</v>
      </c>
      <c r="X3425" s="2" t="n">
        <f aca="false">INDEX(Summary!$T$2:$T$201,MATCH($B3425,Summary!$A$2:$A$201,0))</f>
        <v>40.17</v>
      </c>
      <c r="Y3425" s="0" t="str">
        <f aca="false">INDEX('Reward Model'!$E$18:$E$37,MATCH($E3425,'Reward Model'!$A$18:$A$37,0))</f>
        <v>Low</v>
      </c>
      <c r="Z3425" s="4" t="n">
        <f aca="false">ROUND(MIN(1,MAX('Reward Model'!$B$2,INDEX('Reward Model'!$C$12:$C$14,MATCH($K3425,'Reward Model'!$A$12:$A$14,0))/$J3425)),3)</f>
        <v>1</v>
      </c>
      <c r="AA3425" s="2" t="n">
        <f aca="false">IF($I3425="Correct",ROUND(INDEX('Reward Model'!$B$12:$B$14,MATCH($K3425,'Reward Model'!$A$12:$A$14,0))*Z3425,2),0)</f>
        <v>1</v>
      </c>
      <c r="AB3425" s="2" t="n">
        <f aca="false">IF($I3425="Correct",ROUND(INDEX('Reward Model'!$B$12:$B$14,MATCH($Y3425,'Reward Model'!$A$12:$A$14,0))*Z3425,2),0)</f>
        <v>1</v>
      </c>
    </row>
    <row r="3426" customFormat="false" ht="15" hidden="false" customHeight="false" outlineLevel="0" collapsed="false">
      <c r="A3426" s="0" t="s">
        <v>474</v>
      </c>
      <c r="B3426" s="0" t="s">
        <v>475</v>
      </c>
      <c r="C3426" s="0" t="s">
        <v>322</v>
      </c>
      <c r="D3426" s="0" t="s">
        <v>189</v>
      </c>
      <c r="E3426" s="0" t="n">
        <v>5</v>
      </c>
      <c r="F3426" s="0" t="s">
        <v>46</v>
      </c>
      <c r="G3426" s="0" t="s">
        <v>47</v>
      </c>
      <c r="H3426" s="0" t="s">
        <v>47</v>
      </c>
      <c r="I3426" s="0" t="s">
        <v>34</v>
      </c>
      <c r="J3426" s="0" t="n">
        <v>1.09</v>
      </c>
      <c r="K3426" s="0" t="s">
        <v>35</v>
      </c>
      <c r="L3426" s="0" t="n">
        <f aca="false">INDEX(Summary!$F$2:$F$201,MATCH($B3426,Summary!$A$2:$A$201,0))</f>
        <v>20</v>
      </c>
      <c r="M3426" s="0" t="n">
        <f aca="false">INDEX(Summary!$I$2:$I$201,MATCH($B3426,Summary!$A$2:$A$201,0))</f>
        <v>2</v>
      </c>
      <c r="N3426" s="0" t="n">
        <f aca="false">INDEX(Summary!$J$2:$J$201,MATCH($B3426,Summary!$A$2:$A$201,0))</f>
        <v>3</v>
      </c>
      <c r="O3426" s="2" t="n">
        <f aca="false">INDEX(Summary!$K$2:$K$201,MATCH($B3426,Summary!$A$2:$A$201,0))</f>
        <v>10.9</v>
      </c>
      <c r="P3426" s="3" t="n">
        <f aca="false">INDEX(Summary!$L$2:$L$201,MATCH($B3426,Summary!$A$2:$A$201,0))</f>
        <v>3</v>
      </c>
      <c r="Q3426" s="3" t="n">
        <f aca="false">INDEX(Summary!$M$2:$M$201,MATCH($B3426,Summary!$A$2:$A$201,0))</f>
        <v>3</v>
      </c>
      <c r="R3426" s="2" t="n">
        <f aca="false">INDEX(Summary!$N$2:$N$201,MATCH($B3426,Summary!$A$2:$A$201,0))</f>
        <v>9.46</v>
      </c>
      <c r="S3426" s="3" t="n">
        <f aca="false">INDEX(Summary!$O$2:$O$201,MATCH($B3426,Summary!$A$2:$A$201,0))</f>
        <v>4</v>
      </c>
      <c r="T3426" s="3" t="n">
        <f aca="false">INDEX(Summary!$P$2:$P$201,MATCH($B3426,Summary!$A$2:$A$201,0))</f>
        <v>5</v>
      </c>
      <c r="U3426" s="2" t="n">
        <f aca="false">INDEX(Summary!$Q$2:$Q$201,MATCH($B3426,Summary!$A$2:$A$201,0))</f>
        <v>13.1</v>
      </c>
      <c r="V3426" s="2" t="n">
        <f aca="false">INDEX(Summary!$R$2:$R$201,MATCH($B3426,Summary!$A$2:$A$201,0))</f>
        <v>16.47</v>
      </c>
      <c r="W3426" s="0" t="str">
        <f aca="false">INDEX(Summary!$S$2:$S$201,MATCH($B3426,Summary!$A$2:$A$201,0))</f>
        <v>Bronze</v>
      </c>
      <c r="X3426" s="2" t="n">
        <f aca="false">INDEX(Summary!$T$2:$T$201,MATCH($B3426,Summary!$A$2:$A$201,0))</f>
        <v>40.17</v>
      </c>
      <c r="Y3426" s="0" t="str">
        <f aca="false">INDEX('Reward Model'!$E$18:$E$37,MATCH($E3426,'Reward Model'!$A$18:$A$37,0))</f>
        <v>Low</v>
      </c>
      <c r="Z3426" s="4" t="n">
        <f aca="false">ROUND(MIN(1,MAX('Reward Model'!$B$2,INDEX('Reward Model'!$C$12:$C$14,MATCH($K3426,'Reward Model'!$A$12:$A$14,0))/$J3426)),3)</f>
        <v>1</v>
      </c>
      <c r="AA3426" s="2" t="n">
        <f aca="false">IF($I3426="Correct",ROUND(INDEX('Reward Model'!$B$12:$B$14,MATCH($K3426,'Reward Model'!$A$12:$A$14,0))*Z3426,2),0)</f>
        <v>1</v>
      </c>
      <c r="AB3426" s="2" t="n">
        <f aca="false">IF($I3426="Correct",ROUND(INDEX('Reward Model'!$B$12:$B$14,MATCH($Y3426,'Reward Model'!$A$12:$A$14,0))*Z3426,2),0)</f>
        <v>1</v>
      </c>
    </row>
    <row r="3427" customFormat="false" ht="15" hidden="false" customHeight="false" outlineLevel="0" collapsed="false">
      <c r="A3427" s="0" t="s">
        <v>474</v>
      </c>
      <c r="B3427" s="0" t="s">
        <v>475</v>
      </c>
      <c r="C3427" s="0" t="s">
        <v>322</v>
      </c>
      <c r="D3427" s="0" t="s">
        <v>189</v>
      </c>
      <c r="E3427" s="0" t="n">
        <v>6</v>
      </c>
      <c r="F3427" s="0" t="s">
        <v>48</v>
      </c>
      <c r="G3427" s="0" t="s">
        <v>169</v>
      </c>
      <c r="H3427" s="0" t="s">
        <v>49</v>
      </c>
      <c r="I3427" s="0" t="s">
        <v>39</v>
      </c>
      <c r="J3427" s="0" t="n">
        <v>1.53</v>
      </c>
      <c r="K3427" s="0" t="s">
        <v>35</v>
      </c>
      <c r="L3427" s="0" t="n">
        <f aca="false">INDEX(Summary!$F$2:$F$201,MATCH($B3427,Summary!$A$2:$A$201,0))</f>
        <v>20</v>
      </c>
      <c r="M3427" s="0" t="n">
        <f aca="false">INDEX(Summary!$I$2:$I$201,MATCH($B3427,Summary!$A$2:$A$201,0))</f>
        <v>2</v>
      </c>
      <c r="N3427" s="0" t="n">
        <f aca="false">INDEX(Summary!$J$2:$J$201,MATCH($B3427,Summary!$A$2:$A$201,0))</f>
        <v>3</v>
      </c>
      <c r="O3427" s="2" t="n">
        <f aca="false">INDEX(Summary!$K$2:$K$201,MATCH($B3427,Summary!$A$2:$A$201,0))</f>
        <v>10.9</v>
      </c>
      <c r="P3427" s="3" t="n">
        <f aca="false">INDEX(Summary!$L$2:$L$201,MATCH($B3427,Summary!$A$2:$A$201,0))</f>
        <v>3</v>
      </c>
      <c r="Q3427" s="3" t="n">
        <f aca="false">INDEX(Summary!$M$2:$M$201,MATCH($B3427,Summary!$A$2:$A$201,0))</f>
        <v>3</v>
      </c>
      <c r="R3427" s="2" t="n">
        <f aca="false">INDEX(Summary!$N$2:$N$201,MATCH($B3427,Summary!$A$2:$A$201,0))</f>
        <v>9.46</v>
      </c>
      <c r="S3427" s="3" t="n">
        <f aca="false">INDEX(Summary!$O$2:$O$201,MATCH($B3427,Summary!$A$2:$A$201,0))</f>
        <v>4</v>
      </c>
      <c r="T3427" s="3" t="n">
        <f aca="false">INDEX(Summary!$P$2:$P$201,MATCH($B3427,Summary!$A$2:$A$201,0))</f>
        <v>5</v>
      </c>
      <c r="U3427" s="2" t="n">
        <f aca="false">INDEX(Summary!$Q$2:$Q$201,MATCH($B3427,Summary!$A$2:$A$201,0))</f>
        <v>13.1</v>
      </c>
      <c r="V3427" s="2" t="n">
        <f aca="false">INDEX(Summary!$R$2:$R$201,MATCH($B3427,Summary!$A$2:$A$201,0))</f>
        <v>16.47</v>
      </c>
      <c r="W3427" s="0" t="str">
        <f aca="false">INDEX(Summary!$S$2:$S$201,MATCH($B3427,Summary!$A$2:$A$201,0))</f>
        <v>Bronze</v>
      </c>
      <c r="X3427" s="2" t="n">
        <f aca="false">INDEX(Summary!$T$2:$T$201,MATCH($B3427,Summary!$A$2:$A$201,0))</f>
        <v>40.17</v>
      </c>
      <c r="Y3427" s="0" t="str">
        <f aca="false">INDEX('Reward Model'!$E$18:$E$37,MATCH($E3427,'Reward Model'!$A$18:$A$37,0))</f>
        <v>Medium</v>
      </c>
      <c r="Z3427" s="4" t="n">
        <f aca="false">ROUND(MIN(1,MAX('Reward Model'!$B$2,INDEX('Reward Model'!$C$12:$C$14,MATCH($K3427,'Reward Model'!$A$12:$A$14,0))/$J3427)),3)</f>
        <v>0.98</v>
      </c>
      <c r="AA3427" s="2" t="n">
        <f aca="false">IF($I3427="Correct",ROUND(INDEX('Reward Model'!$B$12:$B$14,MATCH($K3427,'Reward Model'!$A$12:$A$14,0))*Z3427,2),0)</f>
        <v>0</v>
      </c>
      <c r="AB3427" s="2" t="n">
        <f aca="false">IF($I3427="Correct",ROUND(INDEX('Reward Model'!$B$12:$B$14,MATCH($Y3427,'Reward Model'!$A$12:$A$14,0))*Z3427,2),0)</f>
        <v>0</v>
      </c>
    </row>
    <row r="3428" customFormat="false" ht="15" hidden="false" customHeight="false" outlineLevel="0" collapsed="false">
      <c r="A3428" s="0" t="s">
        <v>474</v>
      </c>
      <c r="B3428" s="0" t="s">
        <v>475</v>
      </c>
      <c r="C3428" s="0" t="s">
        <v>322</v>
      </c>
      <c r="D3428" s="0" t="s">
        <v>189</v>
      </c>
      <c r="E3428" s="0" t="n">
        <v>7</v>
      </c>
      <c r="F3428" s="0" t="s">
        <v>50</v>
      </c>
      <c r="G3428" s="0" t="s">
        <v>92</v>
      </c>
      <c r="H3428" s="0" t="s">
        <v>51</v>
      </c>
      <c r="I3428" s="0" t="s">
        <v>39</v>
      </c>
      <c r="J3428" s="0" t="n">
        <v>1.19</v>
      </c>
      <c r="K3428" s="0" t="s">
        <v>35</v>
      </c>
      <c r="L3428" s="0" t="n">
        <f aca="false">INDEX(Summary!$F$2:$F$201,MATCH($B3428,Summary!$A$2:$A$201,0))</f>
        <v>20</v>
      </c>
      <c r="M3428" s="0" t="n">
        <f aca="false">INDEX(Summary!$I$2:$I$201,MATCH($B3428,Summary!$A$2:$A$201,0))</f>
        <v>2</v>
      </c>
      <c r="N3428" s="0" t="n">
        <f aca="false">INDEX(Summary!$J$2:$J$201,MATCH($B3428,Summary!$A$2:$A$201,0))</f>
        <v>3</v>
      </c>
      <c r="O3428" s="2" t="n">
        <f aca="false">INDEX(Summary!$K$2:$K$201,MATCH($B3428,Summary!$A$2:$A$201,0))</f>
        <v>10.9</v>
      </c>
      <c r="P3428" s="3" t="n">
        <f aca="false">INDEX(Summary!$L$2:$L$201,MATCH($B3428,Summary!$A$2:$A$201,0))</f>
        <v>3</v>
      </c>
      <c r="Q3428" s="3" t="n">
        <f aca="false">INDEX(Summary!$M$2:$M$201,MATCH($B3428,Summary!$A$2:$A$201,0))</f>
        <v>3</v>
      </c>
      <c r="R3428" s="2" t="n">
        <f aca="false">INDEX(Summary!$N$2:$N$201,MATCH($B3428,Summary!$A$2:$A$201,0))</f>
        <v>9.46</v>
      </c>
      <c r="S3428" s="3" t="n">
        <f aca="false">INDEX(Summary!$O$2:$O$201,MATCH($B3428,Summary!$A$2:$A$201,0))</f>
        <v>4</v>
      </c>
      <c r="T3428" s="3" t="n">
        <f aca="false">INDEX(Summary!$P$2:$P$201,MATCH($B3428,Summary!$A$2:$A$201,0))</f>
        <v>5</v>
      </c>
      <c r="U3428" s="2" t="n">
        <f aca="false">INDEX(Summary!$Q$2:$Q$201,MATCH($B3428,Summary!$A$2:$A$201,0))</f>
        <v>13.1</v>
      </c>
      <c r="V3428" s="2" t="n">
        <f aca="false">INDEX(Summary!$R$2:$R$201,MATCH($B3428,Summary!$A$2:$A$201,0))</f>
        <v>16.47</v>
      </c>
      <c r="W3428" s="0" t="str">
        <f aca="false">INDEX(Summary!$S$2:$S$201,MATCH($B3428,Summary!$A$2:$A$201,0))</f>
        <v>Bronze</v>
      </c>
      <c r="X3428" s="2" t="n">
        <f aca="false">INDEX(Summary!$T$2:$T$201,MATCH($B3428,Summary!$A$2:$A$201,0))</f>
        <v>40.17</v>
      </c>
      <c r="Y3428" s="0" t="str">
        <f aca="false">INDEX('Reward Model'!$E$18:$E$37,MATCH($E3428,'Reward Model'!$A$18:$A$37,0))</f>
        <v>Low</v>
      </c>
      <c r="Z3428" s="4" t="n">
        <f aca="false">ROUND(MIN(1,MAX('Reward Model'!$B$2,INDEX('Reward Model'!$C$12:$C$14,MATCH($K3428,'Reward Model'!$A$12:$A$14,0))/$J3428)),3)</f>
        <v>1</v>
      </c>
      <c r="AA3428" s="2" t="n">
        <f aca="false">IF($I3428="Correct",ROUND(INDEX('Reward Model'!$B$12:$B$14,MATCH($K3428,'Reward Model'!$A$12:$A$14,0))*Z3428,2),0)</f>
        <v>0</v>
      </c>
      <c r="AB3428" s="2" t="n">
        <f aca="false">IF($I3428="Correct",ROUND(INDEX('Reward Model'!$B$12:$B$14,MATCH($Y3428,'Reward Model'!$A$12:$A$14,0))*Z3428,2),0)</f>
        <v>0</v>
      </c>
    </row>
    <row r="3429" customFormat="false" ht="15" hidden="false" customHeight="false" outlineLevel="0" collapsed="false">
      <c r="A3429" s="0" t="s">
        <v>474</v>
      </c>
      <c r="B3429" s="0" t="s">
        <v>475</v>
      </c>
      <c r="C3429" s="0" t="s">
        <v>322</v>
      </c>
      <c r="D3429" s="0" t="s">
        <v>189</v>
      </c>
      <c r="E3429" s="0" t="n">
        <v>8</v>
      </c>
      <c r="F3429" s="0" t="s">
        <v>52</v>
      </c>
      <c r="G3429" s="0" t="s">
        <v>54</v>
      </c>
      <c r="H3429" s="0" t="s">
        <v>54</v>
      </c>
      <c r="I3429" s="0" t="s">
        <v>34</v>
      </c>
      <c r="J3429" s="0" t="n">
        <v>0.98</v>
      </c>
      <c r="K3429" s="0" t="s">
        <v>35</v>
      </c>
      <c r="L3429" s="0" t="n">
        <f aca="false">INDEX(Summary!$F$2:$F$201,MATCH($B3429,Summary!$A$2:$A$201,0))</f>
        <v>20</v>
      </c>
      <c r="M3429" s="0" t="n">
        <f aca="false">INDEX(Summary!$I$2:$I$201,MATCH($B3429,Summary!$A$2:$A$201,0))</f>
        <v>2</v>
      </c>
      <c r="N3429" s="0" t="n">
        <f aca="false">INDEX(Summary!$J$2:$J$201,MATCH($B3429,Summary!$A$2:$A$201,0))</f>
        <v>3</v>
      </c>
      <c r="O3429" s="2" t="n">
        <f aca="false">INDEX(Summary!$K$2:$K$201,MATCH($B3429,Summary!$A$2:$A$201,0))</f>
        <v>10.9</v>
      </c>
      <c r="P3429" s="3" t="n">
        <f aca="false">INDEX(Summary!$L$2:$L$201,MATCH($B3429,Summary!$A$2:$A$201,0))</f>
        <v>3</v>
      </c>
      <c r="Q3429" s="3" t="n">
        <f aca="false">INDEX(Summary!$M$2:$M$201,MATCH($B3429,Summary!$A$2:$A$201,0))</f>
        <v>3</v>
      </c>
      <c r="R3429" s="2" t="n">
        <f aca="false">INDEX(Summary!$N$2:$N$201,MATCH($B3429,Summary!$A$2:$A$201,0))</f>
        <v>9.46</v>
      </c>
      <c r="S3429" s="3" t="n">
        <f aca="false">INDEX(Summary!$O$2:$O$201,MATCH($B3429,Summary!$A$2:$A$201,0))</f>
        <v>4</v>
      </c>
      <c r="T3429" s="3" t="n">
        <f aca="false">INDEX(Summary!$P$2:$P$201,MATCH($B3429,Summary!$A$2:$A$201,0))</f>
        <v>5</v>
      </c>
      <c r="U3429" s="2" t="n">
        <f aca="false">INDEX(Summary!$Q$2:$Q$201,MATCH($B3429,Summary!$A$2:$A$201,0))</f>
        <v>13.1</v>
      </c>
      <c r="V3429" s="2" t="n">
        <f aca="false">INDEX(Summary!$R$2:$R$201,MATCH($B3429,Summary!$A$2:$A$201,0))</f>
        <v>16.47</v>
      </c>
      <c r="W3429" s="0" t="str">
        <f aca="false">INDEX(Summary!$S$2:$S$201,MATCH($B3429,Summary!$A$2:$A$201,0))</f>
        <v>Bronze</v>
      </c>
      <c r="X3429" s="2" t="n">
        <f aca="false">INDEX(Summary!$T$2:$T$201,MATCH($B3429,Summary!$A$2:$A$201,0))</f>
        <v>40.17</v>
      </c>
      <c r="Y3429" s="0" t="str">
        <f aca="false">INDEX('Reward Model'!$E$18:$E$37,MATCH($E3429,'Reward Model'!$A$18:$A$37,0))</f>
        <v>Medium</v>
      </c>
      <c r="Z3429" s="4" t="n">
        <f aca="false">ROUND(MIN(1,MAX('Reward Model'!$B$2,INDEX('Reward Model'!$C$12:$C$14,MATCH($K3429,'Reward Model'!$A$12:$A$14,0))/$J3429)),3)</f>
        <v>1</v>
      </c>
      <c r="AA3429" s="2" t="n">
        <f aca="false">IF($I3429="Correct",ROUND(INDEX('Reward Model'!$B$12:$B$14,MATCH($K3429,'Reward Model'!$A$12:$A$14,0))*Z3429,2),0)</f>
        <v>1</v>
      </c>
      <c r="AB3429" s="2" t="n">
        <f aca="false">IF($I3429="Correct",ROUND(INDEX('Reward Model'!$B$12:$B$14,MATCH($Y3429,'Reward Model'!$A$12:$A$14,0))*Z3429,2),0)</f>
        <v>2</v>
      </c>
    </row>
    <row r="3430" customFormat="false" ht="15" hidden="false" customHeight="false" outlineLevel="0" collapsed="false">
      <c r="A3430" s="0" t="s">
        <v>474</v>
      </c>
      <c r="B3430" s="0" t="s">
        <v>475</v>
      </c>
      <c r="C3430" s="0" t="s">
        <v>322</v>
      </c>
      <c r="D3430" s="0" t="s">
        <v>189</v>
      </c>
      <c r="E3430" s="0" t="n">
        <v>9</v>
      </c>
      <c r="F3430" s="0" t="s">
        <v>55</v>
      </c>
      <c r="G3430" s="0" t="s">
        <v>57</v>
      </c>
      <c r="H3430" s="0" t="s">
        <v>57</v>
      </c>
      <c r="I3430" s="0" t="s">
        <v>34</v>
      </c>
      <c r="J3430" s="0" t="n">
        <v>1.41</v>
      </c>
      <c r="K3430" s="0" t="s">
        <v>35</v>
      </c>
      <c r="L3430" s="0" t="n">
        <f aca="false">INDEX(Summary!$F$2:$F$201,MATCH($B3430,Summary!$A$2:$A$201,0))</f>
        <v>20</v>
      </c>
      <c r="M3430" s="0" t="n">
        <f aca="false">INDEX(Summary!$I$2:$I$201,MATCH($B3430,Summary!$A$2:$A$201,0))</f>
        <v>2</v>
      </c>
      <c r="N3430" s="0" t="n">
        <f aca="false">INDEX(Summary!$J$2:$J$201,MATCH($B3430,Summary!$A$2:$A$201,0))</f>
        <v>3</v>
      </c>
      <c r="O3430" s="2" t="n">
        <f aca="false">INDEX(Summary!$K$2:$K$201,MATCH($B3430,Summary!$A$2:$A$201,0))</f>
        <v>10.9</v>
      </c>
      <c r="P3430" s="3" t="n">
        <f aca="false">INDEX(Summary!$L$2:$L$201,MATCH($B3430,Summary!$A$2:$A$201,0))</f>
        <v>3</v>
      </c>
      <c r="Q3430" s="3" t="n">
        <f aca="false">INDEX(Summary!$M$2:$M$201,MATCH($B3430,Summary!$A$2:$A$201,0))</f>
        <v>3</v>
      </c>
      <c r="R3430" s="2" t="n">
        <f aca="false">INDEX(Summary!$N$2:$N$201,MATCH($B3430,Summary!$A$2:$A$201,0))</f>
        <v>9.46</v>
      </c>
      <c r="S3430" s="3" t="n">
        <f aca="false">INDEX(Summary!$O$2:$O$201,MATCH($B3430,Summary!$A$2:$A$201,0))</f>
        <v>4</v>
      </c>
      <c r="T3430" s="3" t="n">
        <f aca="false">INDEX(Summary!$P$2:$P$201,MATCH($B3430,Summary!$A$2:$A$201,0))</f>
        <v>5</v>
      </c>
      <c r="U3430" s="2" t="n">
        <f aca="false">INDEX(Summary!$Q$2:$Q$201,MATCH($B3430,Summary!$A$2:$A$201,0))</f>
        <v>13.1</v>
      </c>
      <c r="V3430" s="2" t="n">
        <f aca="false">INDEX(Summary!$R$2:$R$201,MATCH($B3430,Summary!$A$2:$A$201,0))</f>
        <v>16.47</v>
      </c>
      <c r="W3430" s="0" t="str">
        <f aca="false">INDEX(Summary!$S$2:$S$201,MATCH($B3430,Summary!$A$2:$A$201,0))</f>
        <v>Bronze</v>
      </c>
      <c r="X3430" s="2" t="n">
        <f aca="false">INDEX(Summary!$T$2:$T$201,MATCH($B3430,Summary!$A$2:$A$201,0))</f>
        <v>40.17</v>
      </c>
      <c r="Y3430" s="0" t="str">
        <f aca="false">INDEX('Reward Model'!$E$18:$E$37,MATCH($E3430,'Reward Model'!$A$18:$A$37,0))</f>
        <v>Medium</v>
      </c>
      <c r="Z3430" s="4" t="n">
        <f aca="false">ROUND(MIN(1,MAX('Reward Model'!$B$2,INDEX('Reward Model'!$C$12:$C$14,MATCH($K3430,'Reward Model'!$A$12:$A$14,0))/$J3430)),3)</f>
        <v>1</v>
      </c>
      <c r="AA3430" s="2" t="n">
        <f aca="false">IF($I3430="Correct",ROUND(INDEX('Reward Model'!$B$12:$B$14,MATCH($K3430,'Reward Model'!$A$12:$A$14,0))*Z3430,2),0)</f>
        <v>1</v>
      </c>
      <c r="AB3430" s="2" t="n">
        <f aca="false">IF($I3430="Correct",ROUND(INDEX('Reward Model'!$B$12:$B$14,MATCH($Y3430,'Reward Model'!$A$12:$A$14,0))*Z3430,2),0)</f>
        <v>2</v>
      </c>
    </row>
    <row r="3431" customFormat="false" ht="15" hidden="false" customHeight="false" outlineLevel="0" collapsed="false">
      <c r="A3431" s="0" t="s">
        <v>474</v>
      </c>
      <c r="B3431" s="0" t="s">
        <v>475</v>
      </c>
      <c r="C3431" s="0" t="s">
        <v>322</v>
      </c>
      <c r="D3431" s="0" t="s">
        <v>189</v>
      </c>
      <c r="E3431" s="0" t="n">
        <v>10</v>
      </c>
      <c r="F3431" s="0" t="s">
        <v>58</v>
      </c>
      <c r="G3431" s="0" t="s">
        <v>138</v>
      </c>
      <c r="H3431" s="0" t="s">
        <v>59</v>
      </c>
      <c r="I3431" s="0" t="s">
        <v>39</v>
      </c>
      <c r="J3431" s="0" t="n">
        <v>1.16</v>
      </c>
      <c r="K3431" s="0" t="s">
        <v>60</v>
      </c>
      <c r="L3431" s="0" t="n">
        <f aca="false">INDEX(Summary!$F$2:$F$201,MATCH($B3431,Summary!$A$2:$A$201,0))</f>
        <v>20</v>
      </c>
      <c r="M3431" s="0" t="n">
        <f aca="false">INDEX(Summary!$I$2:$I$201,MATCH($B3431,Summary!$A$2:$A$201,0))</f>
        <v>2</v>
      </c>
      <c r="N3431" s="0" t="n">
        <f aca="false">INDEX(Summary!$J$2:$J$201,MATCH($B3431,Summary!$A$2:$A$201,0))</f>
        <v>3</v>
      </c>
      <c r="O3431" s="2" t="n">
        <f aca="false">INDEX(Summary!$K$2:$K$201,MATCH($B3431,Summary!$A$2:$A$201,0))</f>
        <v>10.9</v>
      </c>
      <c r="P3431" s="3" t="n">
        <f aca="false">INDEX(Summary!$L$2:$L$201,MATCH($B3431,Summary!$A$2:$A$201,0))</f>
        <v>3</v>
      </c>
      <c r="Q3431" s="3" t="n">
        <f aca="false">INDEX(Summary!$M$2:$M$201,MATCH($B3431,Summary!$A$2:$A$201,0))</f>
        <v>3</v>
      </c>
      <c r="R3431" s="2" t="n">
        <f aca="false">INDEX(Summary!$N$2:$N$201,MATCH($B3431,Summary!$A$2:$A$201,0))</f>
        <v>9.46</v>
      </c>
      <c r="S3431" s="3" t="n">
        <f aca="false">INDEX(Summary!$O$2:$O$201,MATCH($B3431,Summary!$A$2:$A$201,0))</f>
        <v>4</v>
      </c>
      <c r="T3431" s="3" t="n">
        <f aca="false">INDEX(Summary!$P$2:$P$201,MATCH($B3431,Summary!$A$2:$A$201,0))</f>
        <v>5</v>
      </c>
      <c r="U3431" s="2" t="n">
        <f aca="false">INDEX(Summary!$Q$2:$Q$201,MATCH($B3431,Summary!$A$2:$A$201,0))</f>
        <v>13.1</v>
      </c>
      <c r="V3431" s="2" t="n">
        <f aca="false">INDEX(Summary!$R$2:$R$201,MATCH($B3431,Summary!$A$2:$A$201,0))</f>
        <v>16.47</v>
      </c>
      <c r="W3431" s="0" t="str">
        <f aca="false">INDEX(Summary!$S$2:$S$201,MATCH($B3431,Summary!$A$2:$A$201,0))</f>
        <v>Bronze</v>
      </c>
      <c r="X3431" s="2" t="n">
        <f aca="false">INDEX(Summary!$T$2:$T$201,MATCH($B3431,Summary!$A$2:$A$201,0))</f>
        <v>40.17</v>
      </c>
      <c r="Y3431" s="0" t="str">
        <f aca="false">INDEX('Reward Model'!$E$18:$E$37,MATCH($E3431,'Reward Model'!$A$18:$A$37,0))</f>
        <v>Medium</v>
      </c>
      <c r="Z3431" s="4" t="n">
        <f aca="false">ROUND(MIN(1,MAX('Reward Model'!$B$2,INDEX('Reward Model'!$C$12:$C$14,MATCH($K3431,'Reward Model'!$A$12:$A$14,0))/$J3431)),3)</f>
        <v>1</v>
      </c>
      <c r="AA3431" s="2" t="n">
        <f aca="false">IF($I3431="Correct",ROUND(INDEX('Reward Model'!$B$12:$B$14,MATCH($K3431,'Reward Model'!$A$12:$A$14,0))*Z3431,2),0)</f>
        <v>0</v>
      </c>
      <c r="AB3431" s="2" t="n">
        <f aca="false">IF($I3431="Correct",ROUND(INDEX('Reward Model'!$B$12:$B$14,MATCH($Y3431,'Reward Model'!$A$12:$A$14,0))*Z3431,2),0)</f>
        <v>0</v>
      </c>
    </row>
    <row r="3432" customFormat="false" ht="15" hidden="false" customHeight="false" outlineLevel="0" collapsed="false">
      <c r="A3432" s="0" t="s">
        <v>474</v>
      </c>
      <c r="B3432" s="0" t="s">
        <v>475</v>
      </c>
      <c r="C3432" s="0" t="s">
        <v>322</v>
      </c>
      <c r="D3432" s="0" t="s">
        <v>189</v>
      </c>
      <c r="E3432" s="0" t="n">
        <v>11</v>
      </c>
      <c r="F3432" s="0" t="s">
        <v>61</v>
      </c>
      <c r="G3432" s="0" t="s">
        <v>63</v>
      </c>
      <c r="H3432" s="0" t="s">
        <v>63</v>
      </c>
      <c r="I3432" s="0" t="s">
        <v>34</v>
      </c>
      <c r="J3432" s="0" t="n">
        <v>1.59</v>
      </c>
      <c r="K3432" s="0" t="s">
        <v>60</v>
      </c>
      <c r="L3432" s="0" t="n">
        <f aca="false">INDEX(Summary!$F$2:$F$201,MATCH($B3432,Summary!$A$2:$A$201,0))</f>
        <v>20</v>
      </c>
      <c r="M3432" s="0" t="n">
        <f aca="false">INDEX(Summary!$I$2:$I$201,MATCH($B3432,Summary!$A$2:$A$201,0))</f>
        <v>2</v>
      </c>
      <c r="N3432" s="0" t="n">
        <f aca="false">INDEX(Summary!$J$2:$J$201,MATCH($B3432,Summary!$A$2:$A$201,0))</f>
        <v>3</v>
      </c>
      <c r="O3432" s="2" t="n">
        <f aca="false">INDEX(Summary!$K$2:$K$201,MATCH($B3432,Summary!$A$2:$A$201,0))</f>
        <v>10.9</v>
      </c>
      <c r="P3432" s="3" t="n">
        <f aca="false">INDEX(Summary!$L$2:$L$201,MATCH($B3432,Summary!$A$2:$A$201,0))</f>
        <v>3</v>
      </c>
      <c r="Q3432" s="3" t="n">
        <f aca="false">INDEX(Summary!$M$2:$M$201,MATCH($B3432,Summary!$A$2:$A$201,0))</f>
        <v>3</v>
      </c>
      <c r="R3432" s="2" t="n">
        <f aca="false">INDEX(Summary!$N$2:$N$201,MATCH($B3432,Summary!$A$2:$A$201,0))</f>
        <v>9.46</v>
      </c>
      <c r="S3432" s="3" t="n">
        <f aca="false">INDEX(Summary!$O$2:$O$201,MATCH($B3432,Summary!$A$2:$A$201,0))</f>
        <v>4</v>
      </c>
      <c r="T3432" s="3" t="n">
        <f aca="false">INDEX(Summary!$P$2:$P$201,MATCH($B3432,Summary!$A$2:$A$201,0))</f>
        <v>5</v>
      </c>
      <c r="U3432" s="2" t="n">
        <f aca="false">INDEX(Summary!$Q$2:$Q$201,MATCH($B3432,Summary!$A$2:$A$201,0))</f>
        <v>13.1</v>
      </c>
      <c r="V3432" s="2" t="n">
        <f aca="false">INDEX(Summary!$R$2:$R$201,MATCH($B3432,Summary!$A$2:$A$201,0))</f>
        <v>16.47</v>
      </c>
      <c r="W3432" s="0" t="str">
        <f aca="false">INDEX(Summary!$S$2:$S$201,MATCH($B3432,Summary!$A$2:$A$201,0))</f>
        <v>Bronze</v>
      </c>
      <c r="X3432" s="2" t="n">
        <f aca="false">INDEX(Summary!$T$2:$T$201,MATCH($B3432,Summary!$A$2:$A$201,0))</f>
        <v>40.17</v>
      </c>
      <c r="Y3432" s="0" t="str">
        <f aca="false">INDEX('Reward Model'!$E$18:$E$37,MATCH($E3432,'Reward Model'!$A$18:$A$37,0))</f>
        <v>Medium</v>
      </c>
      <c r="Z3432" s="4" t="n">
        <f aca="false">ROUND(MIN(1,MAX('Reward Model'!$B$2,INDEX('Reward Model'!$C$12:$C$14,MATCH($K3432,'Reward Model'!$A$12:$A$14,0))/$J3432)),3)</f>
        <v>1</v>
      </c>
      <c r="AA3432" s="2" t="n">
        <f aca="false">IF($I3432="Correct",ROUND(INDEX('Reward Model'!$B$12:$B$14,MATCH($K3432,'Reward Model'!$A$12:$A$14,0))*Z3432,2),0)</f>
        <v>2</v>
      </c>
      <c r="AB3432" s="2" t="n">
        <f aca="false">IF($I3432="Correct",ROUND(INDEX('Reward Model'!$B$12:$B$14,MATCH($Y3432,'Reward Model'!$A$12:$A$14,0))*Z3432,2),0)</f>
        <v>2</v>
      </c>
    </row>
    <row r="3433" customFormat="false" ht="15" hidden="false" customHeight="false" outlineLevel="0" collapsed="false">
      <c r="A3433" s="0" t="s">
        <v>474</v>
      </c>
      <c r="B3433" s="0" t="s">
        <v>475</v>
      </c>
      <c r="C3433" s="0" t="s">
        <v>322</v>
      </c>
      <c r="D3433" s="0" t="s">
        <v>189</v>
      </c>
      <c r="E3433" s="0" t="n">
        <v>12</v>
      </c>
      <c r="F3433" s="0" t="s">
        <v>64</v>
      </c>
      <c r="G3433" s="0" t="s">
        <v>112</v>
      </c>
      <c r="H3433" s="0" t="s">
        <v>65</v>
      </c>
      <c r="I3433" s="0" t="s">
        <v>39</v>
      </c>
      <c r="J3433" s="0" t="n">
        <v>1.99</v>
      </c>
      <c r="K3433" s="0" t="s">
        <v>60</v>
      </c>
      <c r="L3433" s="0" t="n">
        <f aca="false">INDEX(Summary!$F$2:$F$201,MATCH($B3433,Summary!$A$2:$A$201,0))</f>
        <v>20</v>
      </c>
      <c r="M3433" s="0" t="n">
        <f aca="false">INDEX(Summary!$I$2:$I$201,MATCH($B3433,Summary!$A$2:$A$201,0))</f>
        <v>2</v>
      </c>
      <c r="N3433" s="0" t="n">
        <f aca="false">INDEX(Summary!$J$2:$J$201,MATCH($B3433,Summary!$A$2:$A$201,0))</f>
        <v>3</v>
      </c>
      <c r="O3433" s="2" t="n">
        <f aca="false">INDEX(Summary!$K$2:$K$201,MATCH($B3433,Summary!$A$2:$A$201,0))</f>
        <v>10.9</v>
      </c>
      <c r="P3433" s="3" t="n">
        <f aca="false">INDEX(Summary!$L$2:$L$201,MATCH($B3433,Summary!$A$2:$A$201,0))</f>
        <v>3</v>
      </c>
      <c r="Q3433" s="3" t="n">
        <f aca="false">INDEX(Summary!$M$2:$M$201,MATCH($B3433,Summary!$A$2:$A$201,0))</f>
        <v>3</v>
      </c>
      <c r="R3433" s="2" t="n">
        <f aca="false">INDEX(Summary!$N$2:$N$201,MATCH($B3433,Summary!$A$2:$A$201,0))</f>
        <v>9.46</v>
      </c>
      <c r="S3433" s="3" t="n">
        <f aca="false">INDEX(Summary!$O$2:$O$201,MATCH($B3433,Summary!$A$2:$A$201,0))</f>
        <v>4</v>
      </c>
      <c r="T3433" s="3" t="n">
        <f aca="false">INDEX(Summary!$P$2:$P$201,MATCH($B3433,Summary!$A$2:$A$201,0))</f>
        <v>5</v>
      </c>
      <c r="U3433" s="2" t="n">
        <f aca="false">INDEX(Summary!$Q$2:$Q$201,MATCH($B3433,Summary!$A$2:$A$201,0))</f>
        <v>13.1</v>
      </c>
      <c r="V3433" s="2" t="n">
        <f aca="false">INDEX(Summary!$R$2:$R$201,MATCH($B3433,Summary!$A$2:$A$201,0))</f>
        <v>16.47</v>
      </c>
      <c r="W3433" s="0" t="str">
        <f aca="false">INDEX(Summary!$S$2:$S$201,MATCH($B3433,Summary!$A$2:$A$201,0))</f>
        <v>Bronze</v>
      </c>
      <c r="X3433" s="2" t="n">
        <f aca="false">INDEX(Summary!$T$2:$T$201,MATCH($B3433,Summary!$A$2:$A$201,0))</f>
        <v>40.17</v>
      </c>
      <c r="Y3433" s="0" t="str">
        <f aca="false">INDEX('Reward Model'!$E$18:$E$37,MATCH($E3433,'Reward Model'!$A$18:$A$37,0))</f>
        <v>Medium</v>
      </c>
      <c r="Z3433" s="4" t="n">
        <f aca="false">ROUND(MIN(1,MAX('Reward Model'!$B$2,INDEX('Reward Model'!$C$12:$C$14,MATCH($K3433,'Reward Model'!$A$12:$A$14,0))/$J3433)),3)</f>
        <v>0.905</v>
      </c>
      <c r="AA3433" s="2" t="n">
        <f aca="false">IF($I3433="Correct",ROUND(INDEX('Reward Model'!$B$12:$B$14,MATCH($K3433,'Reward Model'!$A$12:$A$14,0))*Z3433,2),0)</f>
        <v>0</v>
      </c>
      <c r="AB3433" s="2" t="n">
        <f aca="false">IF($I3433="Correct",ROUND(INDEX('Reward Model'!$B$12:$B$14,MATCH($Y3433,'Reward Model'!$A$12:$A$14,0))*Z3433,2),0)</f>
        <v>0</v>
      </c>
    </row>
    <row r="3434" customFormat="false" ht="15" hidden="false" customHeight="false" outlineLevel="0" collapsed="false">
      <c r="A3434" s="0" t="s">
        <v>474</v>
      </c>
      <c r="B3434" s="0" t="s">
        <v>475</v>
      </c>
      <c r="C3434" s="0" t="s">
        <v>322</v>
      </c>
      <c r="D3434" s="0" t="s">
        <v>189</v>
      </c>
      <c r="E3434" s="0" t="n">
        <v>13</v>
      </c>
      <c r="F3434" s="0" t="s">
        <v>66</v>
      </c>
      <c r="G3434" s="0" t="s">
        <v>165</v>
      </c>
      <c r="H3434" s="0" t="s">
        <v>67</v>
      </c>
      <c r="I3434" s="0" t="s">
        <v>39</v>
      </c>
      <c r="J3434" s="0" t="n">
        <v>1.23</v>
      </c>
      <c r="K3434" s="0" t="s">
        <v>60</v>
      </c>
      <c r="L3434" s="0" t="n">
        <f aca="false">INDEX(Summary!$F$2:$F$201,MATCH($B3434,Summary!$A$2:$A$201,0))</f>
        <v>20</v>
      </c>
      <c r="M3434" s="0" t="n">
        <f aca="false">INDEX(Summary!$I$2:$I$201,MATCH($B3434,Summary!$A$2:$A$201,0))</f>
        <v>2</v>
      </c>
      <c r="N3434" s="0" t="n">
        <f aca="false">INDEX(Summary!$J$2:$J$201,MATCH($B3434,Summary!$A$2:$A$201,0))</f>
        <v>3</v>
      </c>
      <c r="O3434" s="2" t="n">
        <f aca="false">INDEX(Summary!$K$2:$K$201,MATCH($B3434,Summary!$A$2:$A$201,0))</f>
        <v>10.9</v>
      </c>
      <c r="P3434" s="3" t="n">
        <f aca="false">INDEX(Summary!$L$2:$L$201,MATCH($B3434,Summary!$A$2:$A$201,0))</f>
        <v>3</v>
      </c>
      <c r="Q3434" s="3" t="n">
        <f aca="false">INDEX(Summary!$M$2:$M$201,MATCH($B3434,Summary!$A$2:$A$201,0))</f>
        <v>3</v>
      </c>
      <c r="R3434" s="2" t="n">
        <f aca="false">INDEX(Summary!$N$2:$N$201,MATCH($B3434,Summary!$A$2:$A$201,0))</f>
        <v>9.46</v>
      </c>
      <c r="S3434" s="3" t="n">
        <f aca="false">INDEX(Summary!$O$2:$O$201,MATCH($B3434,Summary!$A$2:$A$201,0))</f>
        <v>4</v>
      </c>
      <c r="T3434" s="3" t="n">
        <f aca="false">INDEX(Summary!$P$2:$P$201,MATCH($B3434,Summary!$A$2:$A$201,0))</f>
        <v>5</v>
      </c>
      <c r="U3434" s="2" t="n">
        <f aca="false">INDEX(Summary!$Q$2:$Q$201,MATCH($B3434,Summary!$A$2:$A$201,0))</f>
        <v>13.1</v>
      </c>
      <c r="V3434" s="2" t="n">
        <f aca="false">INDEX(Summary!$R$2:$R$201,MATCH($B3434,Summary!$A$2:$A$201,0))</f>
        <v>16.47</v>
      </c>
      <c r="W3434" s="0" t="str">
        <f aca="false">INDEX(Summary!$S$2:$S$201,MATCH($B3434,Summary!$A$2:$A$201,0))</f>
        <v>Bronze</v>
      </c>
      <c r="X3434" s="2" t="n">
        <f aca="false">INDEX(Summary!$T$2:$T$201,MATCH($B3434,Summary!$A$2:$A$201,0))</f>
        <v>40.17</v>
      </c>
      <c r="Y3434" s="0" t="str">
        <f aca="false">INDEX('Reward Model'!$E$18:$E$37,MATCH($E3434,'Reward Model'!$A$18:$A$37,0))</f>
        <v>Medium</v>
      </c>
      <c r="Z3434" s="4" t="n">
        <f aca="false">ROUND(MIN(1,MAX('Reward Model'!$B$2,INDEX('Reward Model'!$C$12:$C$14,MATCH($K3434,'Reward Model'!$A$12:$A$14,0))/$J3434)),3)</f>
        <v>1</v>
      </c>
      <c r="AA3434" s="2" t="n">
        <f aca="false">IF($I3434="Correct",ROUND(INDEX('Reward Model'!$B$12:$B$14,MATCH($K3434,'Reward Model'!$A$12:$A$14,0))*Z3434,2),0)</f>
        <v>0</v>
      </c>
      <c r="AB3434" s="2" t="n">
        <f aca="false">IF($I3434="Correct",ROUND(INDEX('Reward Model'!$B$12:$B$14,MATCH($Y3434,'Reward Model'!$A$12:$A$14,0))*Z3434,2),0)</f>
        <v>0</v>
      </c>
    </row>
    <row r="3435" customFormat="false" ht="15" hidden="false" customHeight="false" outlineLevel="0" collapsed="false">
      <c r="A3435" s="0" t="s">
        <v>474</v>
      </c>
      <c r="B3435" s="0" t="s">
        <v>475</v>
      </c>
      <c r="C3435" s="0" t="s">
        <v>322</v>
      </c>
      <c r="D3435" s="0" t="s">
        <v>189</v>
      </c>
      <c r="E3435" s="0" t="n">
        <v>14</v>
      </c>
      <c r="F3435" s="0" t="s">
        <v>68</v>
      </c>
      <c r="G3435" s="0" t="s">
        <v>51</v>
      </c>
      <c r="H3435" s="0" t="s">
        <v>51</v>
      </c>
      <c r="I3435" s="0" t="s">
        <v>34</v>
      </c>
      <c r="J3435" s="0" t="n">
        <v>1.5</v>
      </c>
      <c r="K3435" s="0" t="s">
        <v>60</v>
      </c>
      <c r="L3435" s="0" t="n">
        <f aca="false">INDEX(Summary!$F$2:$F$201,MATCH($B3435,Summary!$A$2:$A$201,0))</f>
        <v>20</v>
      </c>
      <c r="M3435" s="0" t="n">
        <f aca="false">INDEX(Summary!$I$2:$I$201,MATCH($B3435,Summary!$A$2:$A$201,0))</f>
        <v>2</v>
      </c>
      <c r="N3435" s="0" t="n">
        <f aca="false">INDEX(Summary!$J$2:$J$201,MATCH($B3435,Summary!$A$2:$A$201,0))</f>
        <v>3</v>
      </c>
      <c r="O3435" s="2" t="n">
        <f aca="false">INDEX(Summary!$K$2:$K$201,MATCH($B3435,Summary!$A$2:$A$201,0))</f>
        <v>10.9</v>
      </c>
      <c r="P3435" s="3" t="n">
        <f aca="false">INDEX(Summary!$L$2:$L$201,MATCH($B3435,Summary!$A$2:$A$201,0))</f>
        <v>3</v>
      </c>
      <c r="Q3435" s="3" t="n">
        <f aca="false">INDEX(Summary!$M$2:$M$201,MATCH($B3435,Summary!$A$2:$A$201,0))</f>
        <v>3</v>
      </c>
      <c r="R3435" s="2" t="n">
        <f aca="false">INDEX(Summary!$N$2:$N$201,MATCH($B3435,Summary!$A$2:$A$201,0))</f>
        <v>9.46</v>
      </c>
      <c r="S3435" s="3" t="n">
        <f aca="false">INDEX(Summary!$O$2:$O$201,MATCH($B3435,Summary!$A$2:$A$201,0))</f>
        <v>4</v>
      </c>
      <c r="T3435" s="3" t="n">
        <f aca="false">INDEX(Summary!$P$2:$P$201,MATCH($B3435,Summary!$A$2:$A$201,0))</f>
        <v>5</v>
      </c>
      <c r="U3435" s="2" t="n">
        <f aca="false">INDEX(Summary!$Q$2:$Q$201,MATCH($B3435,Summary!$A$2:$A$201,0))</f>
        <v>13.1</v>
      </c>
      <c r="V3435" s="2" t="n">
        <f aca="false">INDEX(Summary!$R$2:$R$201,MATCH($B3435,Summary!$A$2:$A$201,0))</f>
        <v>16.47</v>
      </c>
      <c r="W3435" s="0" t="str">
        <f aca="false">INDEX(Summary!$S$2:$S$201,MATCH($B3435,Summary!$A$2:$A$201,0))</f>
        <v>Bronze</v>
      </c>
      <c r="X3435" s="2" t="n">
        <f aca="false">INDEX(Summary!$T$2:$T$201,MATCH($B3435,Summary!$A$2:$A$201,0))</f>
        <v>40.17</v>
      </c>
      <c r="Y3435" s="0" t="str">
        <f aca="false">INDEX('Reward Model'!$E$18:$E$37,MATCH($E3435,'Reward Model'!$A$18:$A$37,0))</f>
        <v>Medium</v>
      </c>
      <c r="Z3435" s="4" t="n">
        <f aca="false">ROUND(MIN(1,MAX('Reward Model'!$B$2,INDEX('Reward Model'!$C$12:$C$14,MATCH($K3435,'Reward Model'!$A$12:$A$14,0))/$J3435)),3)</f>
        <v>1</v>
      </c>
      <c r="AA3435" s="2" t="n">
        <f aca="false">IF($I3435="Correct",ROUND(INDEX('Reward Model'!$B$12:$B$14,MATCH($K3435,'Reward Model'!$A$12:$A$14,0))*Z3435,2),0)</f>
        <v>2</v>
      </c>
      <c r="AB3435" s="2" t="n">
        <f aca="false">IF($I3435="Correct",ROUND(INDEX('Reward Model'!$B$12:$B$14,MATCH($Y3435,'Reward Model'!$A$12:$A$14,0))*Z3435,2),0)</f>
        <v>2</v>
      </c>
    </row>
    <row r="3436" customFormat="false" ht="15" hidden="false" customHeight="false" outlineLevel="0" collapsed="false">
      <c r="A3436" s="0" t="s">
        <v>474</v>
      </c>
      <c r="B3436" s="0" t="s">
        <v>475</v>
      </c>
      <c r="C3436" s="0" t="s">
        <v>322</v>
      </c>
      <c r="D3436" s="0" t="s">
        <v>189</v>
      </c>
      <c r="E3436" s="0" t="n">
        <v>15</v>
      </c>
      <c r="F3436" s="0" t="s">
        <v>69</v>
      </c>
      <c r="G3436" s="0" t="s">
        <v>70</v>
      </c>
      <c r="H3436" s="0" t="s">
        <v>70</v>
      </c>
      <c r="I3436" s="0" t="s">
        <v>34</v>
      </c>
      <c r="J3436" s="0" t="n">
        <v>1.99</v>
      </c>
      <c r="K3436" s="0" t="s">
        <v>60</v>
      </c>
      <c r="L3436" s="0" t="n">
        <f aca="false">INDEX(Summary!$F$2:$F$201,MATCH($B3436,Summary!$A$2:$A$201,0))</f>
        <v>20</v>
      </c>
      <c r="M3436" s="0" t="n">
        <f aca="false">INDEX(Summary!$I$2:$I$201,MATCH($B3436,Summary!$A$2:$A$201,0))</f>
        <v>2</v>
      </c>
      <c r="N3436" s="0" t="n">
        <f aca="false">INDEX(Summary!$J$2:$J$201,MATCH($B3436,Summary!$A$2:$A$201,0))</f>
        <v>3</v>
      </c>
      <c r="O3436" s="2" t="n">
        <f aca="false">INDEX(Summary!$K$2:$K$201,MATCH($B3436,Summary!$A$2:$A$201,0))</f>
        <v>10.9</v>
      </c>
      <c r="P3436" s="3" t="n">
        <f aca="false">INDEX(Summary!$L$2:$L$201,MATCH($B3436,Summary!$A$2:$A$201,0))</f>
        <v>3</v>
      </c>
      <c r="Q3436" s="3" t="n">
        <f aca="false">INDEX(Summary!$M$2:$M$201,MATCH($B3436,Summary!$A$2:$A$201,0))</f>
        <v>3</v>
      </c>
      <c r="R3436" s="2" t="n">
        <f aca="false">INDEX(Summary!$N$2:$N$201,MATCH($B3436,Summary!$A$2:$A$201,0))</f>
        <v>9.46</v>
      </c>
      <c r="S3436" s="3" t="n">
        <f aca="false">INDEX(Summary!$O$2:$O$201,MATCH($B3436,Summary!$A$2:$A$201,0))</f>
        <v>4</v>
      </c>
      <c r="T3436" s="3" t="n">
        <f aca="false">INDEX(Summary!$P$2:$P$201,MATCH($B3436,Summary!$A$2:$A$201,0))</f>
        <v>5</v>
      </c>
      <c r="U3436" s="2" t="n">
        <f aca="false">INDEX(Summary!$Q$2:$Q$201,MATCH($B3436,Summary!$A$2:$A$201,0))</f>
        <v>13.1</v>
      </c>
      <c r="V3436" s="2" t="n">
        <f aca="false">INDEX(Summary!$R$2:$R$201,MATCH($B3436,Summary!$A$2:$A$201,0))</f>
        <v>16.47</v>
      </c>
      <c r="W3436" s="0" t="str">
        <f aca="false">INDEX(Summary!$S$2:$S$201,MATCH($B3436,Summary!$A$2:$A$201,0))</f>
        <v>Bronze</v>
      </c>
      <c r="X3436" s="2" t="n">
        <f aca="false">INDEX(Summary!$T$2:$T$201,MATCH($B3436,Summary!$A$2:$A$201,0))</f>
        <v>40.17</v>
      </c>
      <c r="Y3436" s="0" t="str">
        <f aca="false">INDEX('Reward Model'!$E$18:$E$37,MATCH($E3436,'Reward Model'!$A$18:$A$37,0))</f>
        <v>Medium</v>
      </c>
      <c r="Z3436" s="4" t="n">
        <f aca="false">ROUND(MIN(1,MAX('Reward Model'!$B$2,INDEX('Reward Model'!$C$12:$C$14,MATCH($K3436,'Reward Model'!$A$12:$A$14,0))/$J3436)),3)</f>
        <v>0.905</v>
      </c>
      <c r="AA3436" s="2" t="n">
        <f aca="false">IF($I3436="Correct",ROUND(INDEX('Reward Model'!$B$12:$B$14,MATCH($K3436,'Reward Model'!$A$12:$A$14,0))*Z3436,2),0)</f>
        <v>1.81</v>
      </c>
      <c r="AB3436" s="2" t="n">
        <f aca="false">IF($I3436="Correct",ROUND(INDEX('Reward Model'!$B$12:$B$14,MATCH($Y3436,'Reward Model'!$A$12:$A$14,0))*Z3436,2),0)</f>
        <v>1.81</v>
      </c>
    </row>
    <row r="3437" customFormat="false" ht="15" hidden="false" customHeight="false" outlineLevel="0" collapsed="false">
      <c r="A3437" s="0" t="s">
        <v>474</v>
      </c>
      <c r="B3437" s="0" t="s">
        <v>475</v>
      </c>
      <c r="C3437" s="0" t="s">
        <v>322</v>
      </c>
      <c r="D3437" s="0" t="s">
        <v>189</v>
      </c>
      <c r="E3437" s="0" t="n">
        <v>16</v>
      </c>
      <c r="F3437" s="0" t="s">
        <v>71</v>
      </c>
      <c r="G3437" s="0" t="s">
        <v>101</v>
      </c>
      <c r="H3437" s="0" t="s">
        <v>72</v>
      </c>
      <c r="I3437" s="0" t="s">
        <v>39</v>
      </c>
      <c r="J3437" s="0" t="n">
        <v>1.46</v>
      </c>
      <c r="K3437" s="0" t="s">
        <v>73</v>
      </c>
      <c r="L3437" s="0" t="n">
        <f aca="false">INDEX(Summary!$F$2:$F$201,MATCH($B3437,Summary!$A$2:$A$201,0))</f>
        <v>20</v>
      </c>
      <c r="M3437" s="0" t="n">
        <f aca="false">INDEX(Summary!$I$2:$I$201,MATCH($B3437,Summary!$A$2:$A$201,0))</f>
        <v>2</v>
      </c>
      <c r="N3437" s="0" t="n">
        <f aca="false">INDEX(Summary!$J$2:$J$201,MATCH($B3437,Summary!$A$2:$A$201,0))</f>
        <v>3</v>
      </c>
      <c r="O3437" s="2" t="n">
        <f aca="false">INDEX(Summary!$K$2:$K$201,MATCH($B3437,Summary!$A$2:$A$201,0))</f>
        <v>10.9</v>
      </c>
      <c r="P3437" s="3" t="n">
        <f aca="false">INDEX(Summary!$L$2:$L$201,MATCH($B3437,Summary!$A$2:$A$201,0))</f>
        <v>3</v>
      </c>
      <c r="Q3437" s="3" t="n">
        <f aca="false">INDEX(Summary!$M$2:$M$201,MATCH($B3437,Summary!$A$2:$A$201,0))</f>
        <v>3</v>
      </c>
      <c r="R3437" s="2" t="n">
        <f aca="false">INDEX(Summary!$N$2:$N$201,MATCH($B3437,Summary!$A$2:$A$201,0))</f>
        <v>9.46</v>
      </c>
      <c r="S3437" s="3" t="n">
        <f aca="false">INDEX(Summary!$O$2:$O$201,MATCH($B3437,Summary!$A$2:$A$201,0))</f>
        <v>4</v>
      </c>
      <c r="T3437" s="3" t="n">
        <f aca="false">INDEX(Summary!$P$2:$P$201,MATCH($B3437,Summary!$A$2:$A$201,0))</f>
        <v>5</v>
      </c>
      <c r="U3437" s="2" t="n">
        <f aca="false">INDEX(Summary!$Q$2:$Q$201,MATCH($B3437,Summary!$A$2:$A$201,0))</f>
        <v>13.1</v>
      </c>
      <c r="V3437" s="2" t="n">
        <f aca="false">INDEX(Summary!$R$2:$R$201,MATCH($B3437,Summary!$A$2:$A$201,0))</f>
        <v>16.47</v>
      </c>
      <c r="W3437" s="0" t="str">
        <f aca="false">INDEX(Summary!$S$2:$S$201,MATCH($B3437,Summary!$A$2:$A$201,0))</f>
        <v>Bronze</v>
      </c>
      <c r="X3437" s="2" t="n">
        <f aca="false">INDEX(Summary!$T$2:$T$201,MATCH($B3437,Summary!$A$2:$A$201,0))</f>
        <v>40.17</v>
      </c>
      <c r="Y3437" s="0" t="str">
        <f aca="false">INDEX('Reward Model'!$E$18:$E$37,MATCH($E3437,'Reward Model'!$A$18:$A$37,0))</f>
        <v>High</v>
      </c>
      <c r="Z3437" s="4" t="n">
        <f aca="false">ROUND(MIN(1,MAX('Reward Model'!$B$2,INDEX('Reward Model'!$C$12:$C$14,MATCH($K3437,'Reward Model'!$A$12:$A$14,0))/$J3437)),3)</f>
        <v>1</v>
      </c>
      <c r="AA3437" s="2" t="n">
        <f aca="false">IF($I3437="Correct",ROUND(INDEX('Reward Model'!$B$12:$B$14,MATCH($K3437,'Reward Model'!$A$12:$A$14,0))*Z3437,2),0)</f>
        <v>0</v>
      </c>
      <c r="AB3437" s="2" t="n">
        <f aca="false">IF($I3437="Correct",ROUND(INDEX('Reward Model'!$B$12:$B$14,MATCH($Y3437,'Reward Model'!$A$12:$A$14,0))*Z3437,2),0)</f>
        <v>0</v>
      </c>
    </row>
    <row r="3438" customFormat="false" ht="15" hidden="false" customHeight="false" outlineLevel="0" collapsed="false">
      <c r="A3438" s="0" t="s">
        <v>474</v>
      </c>
      <c r="B3438" s="0" t="s">
        <v>475</v>
      </c>
      <c r="C3438" s="0" t="s">
        <v>322</v>
      </c>
      <c r="D3438" s="0" t="s">
        <v>189</v>
      </c>
      <c r="E3438" s="0" t="n">
        <v>17</v>
      </c>
      <c r="F3438" s="0" t="s">
        <v>74</v>
      </c>
      <c r="G3438" s="0" t="s">
        <v>105</v>
      </c>
      <c r="H3438" s="0" t="s">
        <v>75</v>
      </c>
      <c r="I3438" s="0" t="s">
        <v>39</v>
      </c>
      <c r="J3438" s="0" t="n">
        <v>2.33</v>
      </c>
      <c r="K3438" s="0" t="s">
        <v>73</v>
      </c>
      <c r="L3438" s="0" t="n">
        <f aca="false">INDEX(Summary!$F$2:$F$201,MATCH($B3438,Summary!$A$2:$A$201,0))</f>
        <v>20</v>
      </c>
      <c r="M3438" s="0" t="n">
        <f aca="false">INDEX(Summary!$I$2:$I$201,MATCH($B3438,Summary!$A$2:$A$201,0))</f>
        <v>2</v>
      </c>
      <c r="N3438" s="0" t="n">
        <f aca="false">INDEX(Summary!$J$2:$J$201,MATCH($B3438,Summary!$A$2:$A$201,0))</f>
        <v>3</v>
      </c>
      <c r="O3438" s="2" t="n">
        <f aca="false">INDEX(Summary!$K$2:$K$201,MATCH($B3438,Summary!$A$2:$A$201,0))</f>
        <v>10.9</v>
      </c>
      <c r="P3438" s="3" t="n">
        <f aca="false">INDEX(Summary!$L$2:$L$201,MATCH($B3438,Summary!$A$2:$A$201,0))</f>
        <v>3</v>
      </c>
      <c r="Q3438" s="3" t="n">
        <f aca="false">INDEX(Summary!$M$2:$M$201,MATCH($B3438,Summary!$A$2:$A$201,0))</f>
        <v>3</v>
      </c>
      <c r="R3438" s="2" t="n">
        <f aca="false">INDEX(Summary!$N$2:$N$201,MATCH($B3438,Summary!$A$2:$A$201,0))</f>
        <v>9.46</v>
      </c>
      <c r="S3438" s="3" t="n">
        <f aca="false">INDEX(Summary!$O$2:$O$201,MATCH($B3438,Summary!$A$2:$A$201,0))</f>
        <v>4</v>
      </c>
      <c r="T3438" s="3" t="n">
        <f aca="false">INDEX(Summary!$P$2:$P$201,MATCH($B3438,Summary!$A$2:$A$201,0))</f>
        <v>5</v>
      </c>
      <c r="U3438" s="2" t="n">
        <f aca="false">INDEX(Summary!$Q$2:$Q$201,MATCH($B3438,Summary!$A$2:$A$201,0))</f>
        <v>13.1</v>
      </c>
      <c r="V3438" s="2" t="n">
        <f aca="false">INDEX(Summary!$R$2:$R$201,MATCH($B3438,Summary!$A$2:$A$201,0))</f>
        <v>16.47</v>
      </c>
      <c r="W3438" s="0" t="str">
        <f aca="false">INDEX(Summary!$S$2:$S$201,MATCH($B3438,Summary!$A$2:$A$201,0))</f>
        <v>Bronze</v>
      </c>
      <c r="X3438" s="2" t="n">
        <f aca="false">INDEX(Summary!$T$2:$T$201,MATCH($B3438,Summary!$A$2:$A$201,0))</f>
        <v>40.17</v>
      </c>
      <c r="Y3438" s="0" t="str">
        <f aca="false">INDEX('Reward Model'!$E$18:$E$37,MATCH($E3438,'Reward Model'!$A$18:$A$37,0))</f>
        <v>High</v>
      </c>
      <c r="Z3438" s="4" t="n">
        <f aca="false">ROUND(MIN(1,MAX('Reward Model'!$B$2,INDEX('Reward Model'!$C$12:$C$14,MATCH($K3438,'Reward Model'!$A$12:$A$14,0))/$J3438)),3)</f>
        <v>0.858</v>
      </c>
      <c r="AA3438" s="2" t="n">
        <f aca="false">IF($I3438="Correct",ROUND(INDEX('Reward Model'!$B$12:$B$14,MATCH($K3438,'Reward Model'!$A$12:$A$14,0))*Z3438,2),0)</f>
        <v>0</v>
      </c>
      <c r="AB3438" s="2" t="n">
        <f aca="false">IF($I3438="Correct",ROUND(INDEX('Reward Model'!$B$12:$B$14,MATCH($Y3438,'Reward Model'!$A$12:$A$14,0))*Z3438,2),0)</f>
        <v>0</v>
      </c>
    </row>
    <row r="3439" customFormat="false" ht="15" hidden="false" customHeight="false" outlineLevel="0" collapsed="false">
      <c r="A3439" s="0" t="s">
        <v>474</v>
      </c>
      <c r="B3439" s="0" t="s">
        <v>475</v>
      </c>
      <c r="C3439" s="0" t="s">
        <v>322</v>
      </c>
      <c r="D3439" s="0" t="s">
        <v>189</v>
      </c>
      <c r="E3439" s="0" t="n">
        <v>18</v>
      </c>
      <c r="F3439" s="0" t="s">
        <v>76</v>
      </c>
      <c r="G3439" s="0" t="s">
        <v>88</v>
      </c>
      <c r="H3439" s="0" t="s">
        <v>77</v>
      </c>
      <c r="I3439" s="0" t="s">
        <v>39</v>
      </c>
      <c r="J3439" s="0" t="n">
        <v>1.96</v>
      </c>
      <c r="K3439" s="0" t="s">
        <v>73</v>
      </c>
      <c r="L3439" s="0" t="n">
        <f aca="false">INDEX(Summary!$F$2:$F$201,MATCH($B3439,Summary!$A$2:$A$201,0))</f>
        <v>20</v>
      </c>
      <c r="M3439" s="0" t="n">
        <f aca="false">INDEX(Summary!$I$2:$I$201,MATCH($B3439,Summary!$A$2:$A$201,0))</f>
        <v>2</v>
      </c>
      <c r="N3439" s="0" t="n">
        <f aca="false">INDEX(Summary!$J$2:$J$201,MATCH($B3439,Summary!$A$2:$A$201,0))</f>
        <v>3</v>
      </c>
      <c r="O3439" s="2" t="n">
        <f aca="false">INDEX(Summary!$K$2:$K$201,MATCH($B3439,Summary!$A$2:$A$201,0))</f>
        <v>10.9</v>
      </c>
      <c r="P3439" s="3" t="n">
        <f aca="false">INDEX(Summary!$L$2:$L$201,MATCH($B3439,Summary!$A$2:$A$201,0))</f>
        <v>3</v>
      </c>
      <c r="Q3439" s="3" t="n">
        <f aca="false">INDEX(Summary!$M$2:$M$201,MATCH($B3439,Summary!$A$2:$A$201,0))</f>
        <v>3</v>
      </c>
      <c r="R3439" s="2" t="n">
        <f aca="false">INDEX(Summary!$N$2:$N$201,MATCH($B3439,Summary!$A$2:$A$201,0))</f>
        <v>9.46</v>
      </c>
      <c r="S3439" s="3" t="n">
        <f aca="false">INDEX(Summary!$O$2:$O$201,MATCH($B3439,Summary!$A$2:$A$201,0))</f>
        <v>4</v>
      </c>
      <c r="T3439" s="3" t="n">
        <f aca="false">INDEX(Summary!$P$2:$P$201,MATCH($B3439,Summary!$A$2:$A$201,0))</f>
        <v>5</v>
      </c>
      <c r="U3439" s="2" t="n">
        <f aca="false">INDEX(Summary!$Q$2:$Q$201,MATCH($B3439,Summary!$A$2:$A$201,0))</f>
        <v>13.1</v>
      </c>
      <c r="V3439" s="2" t="n">
        <f aca="false">INDEX(Summary!$R$2:$R$201,MATCH($B3439,Summary!$A$2:$A$201,0))</f>
        <v>16.47</v>
      </c>
      <c r="W3439" s="0" t="str">
        <f aca="false">INDEX(Summary!$S$2:$S$201,MATCH($B3439,Summary!$A$2:$A$201,0))</f>
        <v>Bronze</v>
      </c>
      <c r="X3439" s="2" t="n">
        <f aca="false">INDEX(Summary!$T$2:$T$201,MATCH($B3439,Summary!$A$2:$A$201,0))</f>
        <v>40.17</v>
      </c>
      <c r="Y3439" s="0" t="str">
        <f aca="false">INDEX('Reward Model'!$E$18:$E$37,MATCH($E3439,'Reward Model'!$A$18:$A$37,0))</f>
        <v>High</v>
      </c>
      <c r="Z3439" s="4" t="n">
        <f aca="false">ROUND(MIN(1,MAX('Reward Model'!$B$2,INDEX('Reward Model'!$C$12:$C$14,MATCH($K3439,'Reward Model'!$A$12:$A$14,0))/$J3439)),3)</f>
        <v>1</v>
      </c>
      <c r="AA3439" s="2" t="n">
        <f aca="false">IF($I3439="Correct",ROUND(INDEX('Reward Model'!$B$12:$B$14,MATCH($K3439,'Reward Model'!$A$12:$A$14,0))*Z3439,2),0)</f>
        <v>0</v>
      </c>
      <c r="AB3439" s="2" t="n">
        <f aca="false">IF($I3439="Correct",ROUND(INDEX('Reward Model'!$B$12:$B$14,MATCH($Y3439,'Reward Model'!$A$12:$A$14,0))*Z3439,2),0)</f>
        <v>0</v>
      </c>
    </row>
    <row r="3440" customFormat="false" ht="15" hidden="false" customHeight="false" outlineLevel="0" collapsed="false">
      <c r="A3440" s="0" t="s">
        <v>474</v>
      </c>
      <c r="B3440" s="0" t="s">
        <v>475</v>
      </c>
      <c r="C3440" s="0" t="s">
        <v>322</v>
      </c>
      <c r="D3440" s="0" t="s">
        <v>189</v>
      </c>
      <c r="E3440" s="0" t="n">
        <v>19</v>
      </c>
      <c r="F3440" s="0" t="s">
        <v>78</v>
      </c>
      <c r="G3440" s="0" t="s">
        <v>80</v>
      </c>
      <c r="H3440" s="0" t="s">
        <v>80</v>
      </c>
      <c r="I3440" s="0" t="s">
        <v>34</v>
      </c>
      <c r="J3440" s="0" t="n">
        <v>2.59</v>
      </c>
      <c r="K3440" s="0" t="s">
        <v>73</v>
      </c>
      <c r="L3440" s="0" t="n">
        <f aca="false">INDEX(Summary!$F$2:$F$201,MATCH($B3440,Summary!$A$2:$A$201,0))</f>
        <v>20</v>
      </c>
      <c r="M3440" s="0" t="n">
        <f aca="false">INDEX(Summary!$I$2:$I$201,MATCH($B3440,Summary!$A$2:$A$201,0))</f>
        <v>2</v>
      </c>
      <c r="N3440" s="0" t="n">
        <f aca="false">INDEX(Summary!$J$2:$J$201,MATCH($B3440,Summary!$A$2:$A$201,0))</f>
        <v>3</v>
      </c>
      <c r="O3440" s="2" t="n">
        <f aca="false">INDEX(Summary!$K$2:$K$201,MATCH($B3440,Summary!$A$2:$A$201,0))</f>
        <v>10.9</v>
      </c>
      <c r="P3440" s="3" t="n">
        <f aca="false">INDEX(Summary!$L$2:$L$201,MATCH($B3440,Summary!$A$2:$A$201,0))</f>
        <v>3</v>
      </c>
      <c r="Q3440" s="3" t="n">
        <f aca="false">INDEX(Summary!$M$2:$M$201,MATCH($B3440,Summary!$A$2:$A$201,0))</f>
        <v>3</v>
      </c>
      <c r="R3440" s="2" t="n">
        <f aca="false">INDEX(Summary!$N$2:$N$201,MATCH($B3440,Summary!$A$2:$A$201,0))</f>
        <v>9.46</v>
      </c>
      <c r="S3440" s="3" t="n">
        <f aca="false">INDEX(Summary!$O$2:$O$201,MATCH($B3440,Summary!$A$2:$A$201,0))</f>
        <v>4</v>
      </c>
      <c r="T3440" s="3" t="n">
        <f aca="false">INDEX(Summary!$P$2:$P$201,MATCH($B3440,Summary!$A$2:$A$201,0))</f>
        <v>5</v>
      </c>
      <c r="U3440" s="2" t="n">
        <f aca="false">INDEX(Summary!$Q$2:$Q$201,MATCH($B3440,Summary!$A$2:$A$201,0))</f>
        <v>13.1</v>
      </c>
      <c r="V3440" s="2" t="n">
        <f aca="false">INDEX(Summary!$R$2:$R$201,MATCH($B3440,Summary!$A$2:$A$201,0))</f>
        <v>16.47</v>
      </c>
      <c r="W3440" s="0" t="str">
        <f aca="false">INDEX(Summary!$S$2:$S$201,MATCH($B3440,Summary!$A$2:$A$201,0))</f>
        <v>Bronze</v>
      </c>
      <c r="X3440" s="2" t="n">
        <f aca="false">INDEX(Summary!$T$2:$T$201,MATCH($B3440,Summary!$A$2:$A$201,0))</f>
        <v>40.17</v>
      </c>
      <c r="Y3440" s="0" t="str">
        <f aca="false">INDEX('Reward Model'!$E$18:$E$37,MATCH($E3440,'Reward Model'!$A$18:$A$37,0))</f>
        <v>High</v>
      </c>
      <c r="Z3440" s="4" t="n">
        <f aca="false">ROUND(MIN(1,MAX('Reward Model'!$B$2,INDEX('Reward Model'!$C$12:$C$14,MATCH($K3440,'Reward Model'!$A$12:$A$14,0))/$J3440)),3)</f>
        <v>0.772</v>
      </c>
      <c r="AA3440" s="2" t="n">
        <f aca="false">IF($I3440="Correct",ROUND(INDEX('Reward Model'!$B$12:$B$14,MATCH($K3440,'Reward Model'!$A$12:$A$14,0))*Z3440,2),0)</f>
        <v>2.32</v>
      </c>
      <c r="AB3440" s="2" t="n">
        <f aca="false">IF($I3440="Correct",ROUND(INDEX('Reward Model'!$B$12:$B$14,MATCH($Y3440,'Reward Model'!$A$12:$A$14,0))*Z3440,2),0)</f>
        <v>2.32</v>
      </c>
    </row>
    <row r="3441" customFormat="false" ht="15" hidden="false" customHeight="false" outlineLevel="0" collapsed="false">
      <c r="A3441" s="0" t="s">
        <v>474</v>
      </c>
      <c r="B3441" s="0" t="s">
        <v>475</v>
      </c>
      <c r="C3441" s="0" t="s">
        <v>322</v>
      </c>
      <c r="D3441" s="0" t="s">
        <v>189</v>
      </c>
      <c r="E3441" s="0" t="n">
        <v>20</v>
      </c>
      <c r="F3441" s="0" t="s">
        <v>81</v>
      </c>
      <c r="G3441" s="0" t="s">
        <v>83</v>
      </c>
      <c r="H3441" s="0" t="s">
        <v>83</v>
      </c>
      <c r="I3441" s="0" t="s">
        <v>34</v>
      </c>
      <c r="J3441" s="0" t="n">
        <v>2.56</v>
      </c>
      <c r="K3441" s="0" t="s">
        <v>73</v>
      </c>
      <c r="L3441" s="0" t="n">
        <f aca="false">INDEX(Summary!$F$2:$F$201,MATCH($B3441,Summary!$A$2:$A$201,0))</f>
        <v>20</v>
      </c>
      <c r="M3441" s="0" t="n">
        <f aca="false">INDEX(Summary!$I$2:$I$201,MATCH($B3441,Summary!$A$2:$A$201,0))</f>
        <v>2</v>
      </c>
      <c r="N3441" s="0" t="n">
        <f aca="false">INDEX(Summary!$J$2:$J$201,MATCH($B3441,Summary!$A$2:$A$201,0))</f>
        <v>3</v>
      </c>
      <c r="O3441" s="2" t="n">
        <f aca="false">INDEX(Summary!$K$2:$K$201,MATCH($B3441,Summary!$A$2:$A$201,0))</f>
        <v>10.9</v>
      </c>
      <c r="P3441" s="3" t="n">
        <f aca="false">INDEX(Summary!$L$2:$L$201,MATCH($B3441,Summary!$A$2:$A$201,0))</f>
        <v>3</v>
      </c>
      <c r="Q3441" s="3" t="n">
        <f aca="false">INDEX(Summary!$M$2:$M$201,MATCH($B3441,Summary!$A$2:$A$201,0))</f>
        <v>3</v>
      </c>
      <c r="R3441" s="2" t="n">
        <f aca="false">INDEX(Summary!$N$2:$N$201,MATCH($B3441,Summary!$A$2:$A$201,0))</f>
        <v>9.46</v>
      </c>
      <c r="S3441" s="3" t="n">
        <f aca="false">INDEX(Summary!$O$2:$O$201,MATCH($B3441,Summary!$A$2:$A$201,0))</f>
        <v>4</v>
      </c>
      <c r="T3441" s="3" t="n">
        <f aca="false">INDEX(Summary!$P$2:$P$201,MATCH($B3441,Summary!$A$2:$A$201,0))</f>
        <v>5</v>
      </c>
      <c r="U3441" s="2" t="n">
        <f aca="false">INDEX(Summary!$Q$2:$Q$201,MATCH($B3441,Summary!$A$2:$A$201,0))</f>
        <v>13.1</v>
      </c>
      <c r="V3441" s="2" t="n">
        <f aca="false">INDEX(Summary!$R$2:$R$201,MATCH($B3441,Summary!$A$2:$A$201,0))</f>
        <v>16.47</v>
      </c>
      <c r="W3441" s="0" t="str">
        <f aca="false">INDEX(Summary!$S$2:$S$201,MATCH($B3441,Summary!$A$2:$A$201,0))</f>
        <v>Bronze</v>
      </c>
      <c r="X3441" s="2" t="n">
        <f aca="false">INDEX(Summary!$T$2:$T$201,MATCH($B3441,Summary!$A$2:$A$201,0))</f>
        <v>40.17</v>
      </c>
      <c r="Y3441" s="0" t="str">
        <f aca="false">INDEX('Reward Model'!$E$18:$E$37,MATCH($E3441,'Reward Model'!$A$18:$A$37,0))</f>
        <v>High</v>
      </c>
      <c r="Z3441" s="4" t="n">
        <f aca="false">ROUND(MIN(1,MAX('Reward Model'!$B$2,INDEX('Reward Model'!$C$12:$C$14,MATCH($K3441,'Reward Model'!$A$12:$A$14,0))/$J3441)),3)</f>
        <v>0.781</v>
      </c>
      <c r="AA3441" s="2" t="n">
        <f aca="false">IF($I3441="Correct",ROUND(INDEX('Reward Model'!$B$12:$B$14,MATCH($K3441,'Reward Model'!$A$12:$A$14,0))*Z3441,2),0)</f>
        <v>2.34</v>
      </c>
      <c r="AB3441" s="2" t="n">
        <f aca="false">IF($I3441="Correct",ROUND(INDEX('Reward Model'!$B$12:$B$14,MATCH($Y3441,'Reward Model'!$A$12:$A$14,0))*Z3441,2),0)</f>
        <v>2.34</v>
      </c>
    </row>
    <row r="3442" customFormat="false" ht="15" hidden="false" customHeight="false" outlineLevel="0" collapsed="false">
      <c r="A3442" s="0" t="s">
        <v>476</v>
      </c>
      <c r="B3442" s="0" t="s">
        <v>477</v>
      </c>
      <c r="C3442" s="0" t="s">
        <v>322</v>
      </c>
      <c r="D3442" s="0" t="s">
        <v>189</v>
      </c>
      <c r="E3442" s="0" t="n">
        <v>1</v>
      </c>
      <c r="F3442" s="0" t="s">
        <v>32</v>
      </c>
      <c r="G3442" s="0" t="s">
        <v>33</v>
      </c>
      <c r="H3442" s="0" t="s">
        <v>33</v>
      </c>
      <c r="I3442" s="0" t="s">
        <v>34</v>
      </c>
      <c r="J3442" s="0" t="n">
        <v>1.74</v>
      </c>
      <c r="K3442" s="0" t="s">
        <v>35</v>
      </c>
      <c r="L3442" s="0" t="n">
        <f aca="false">INDEX(Summary!$F$2:$F$201,MATCH($B3442,Summary!$A$2:$A$201,0))</f>
        <v>20</v>
      </c>
      <c r="M3442" s="0" t="n">
        <f aca="false">INDEX(Summary!$I$2:$I$201,MATCH($B3442,Summary!$A$2:$A$201,0))</f>
        <v>1</v>
      </c>
      <c r="N3442" s="0" t="n">
        <f aca="false">INDEX(Summary!$J$2:$J$201,MATCH($B3442,Summary!$A$2:$A$201,0))</f>
        <v>4</v>
      </c>
      <c r="O3442" s="2" t="n">
        <f aca="false">INDEX(Summary!$K$2:$K$201,MATCH($B3442,Summary!$A$2:$A$201,0))</f>
        <v>10.49</v>
      </c>
      <c r="P3442" s="3" t="n">
        <f aca="false">INDEX(Summary!$L$2:$L$201,MATCH($B3442,Summary!$A$2:$A$201,0))</f>
        <v>3</v>
      </c>
      <c r="Q3442" s="3" t="n">
        <f aca="false">INDEX(Summary!$M$2:$M$201,MATCH($B3442,Summary!$A$2:$A$201,0))</f>
        <v>3</v>
      </c>
      <c r="R3442" s="2" t="n">
        <f aca="false">INDEX(Summary!$N$2:$N$201,MATCH($B3442,Summary!$A$2:$A$201,0))</f>
        <v>11.09</v>
      </c>
      <c r="S3442" s="3" t="n">
        <f aca="false">INDEX(Summary!$O$2:$O$201,MATCH($B3442,Summary!$A$2:$A$201,0))</f>
        <v>8</v>
      </c>
      <c r="T3442" s="3" t="n">
        <f aca="false">INDEX(Summary!$P$2:$P$201,MATCH($B3442,Summary!$A$2:$A$201,0))</f>
        <v>1</v>
      </c>
      <c r="U3442" s="2" t="n">
        <f aca="false">INDEX(Summary!$Q$2:$Q$201,MATCH($B3442,Summary!$A$2:$A$201,0))</f>
        <v>12.37</v>
      </c>
      <c r="V3442" s="2" t="n">
        <f aca="false">INDEX(Summary!$R$2:$R$201,MATCH($B3442,Summary!$A$2:$A$201,0))</f>
        <v>18.63</v>
      </c>
      <c r="W3442" s="0" t="str">
        <f aca="false">INDEX(Summary!$S$2:$S$201,MATCH($B3442,Summary!$A$2:$A$201,0))</f>
        <v>Bronze</v>
      </c>
      <c r="X3442" s="2" t="n">
        <f aca="false">INDEX(Summary!$T$2:$T$201,MATCH($B3442,Summary!$A$2:$A$201,0))</f>
        <v>45.44</v>
      </c>
      <c r="Y3442" s="0" t="str">
        <f aca="false">INDEX('Reward Model'!$E$18:$E$37,MATCH($E3442,'Reward Model'!$A$18:$A$37,0))</f>
        <v>Medium</v>
      </c>
      <c r="Z3442" s="4" t="n">
        <f aca="false">ROUND(MIN(1,MAX('Reward Model'!$B$2,INDEX('Reward Model'!$C$12:$C$14,MATCH($K3442,'Reward Model'!$A$12:$A$14,0))/$J3442)),3)</f>
        <v>0.862</v>
      </c>
      <c r="AA3442" s="2" t="n">
        <f aca="false">IF($I3442="Correct",ROUND(INDEX('Reward Model'!$B$12:$B$14,MATCH($K3442,'Reward Model'!$A$12:$A$14,0))*Z3442,2),0)</f>
        <v>0.86</v>
      </c>
      <c r="AB3442" s="2" t="n">
        <f aca="false">IF($I3442="Correct",ROUND(INDEX('Reward Model'!$B$12:$B$14,MATCH($Y3442,'Reward Model'!$A$12:$A$14,0))*Z3442,2),0)</f>
        <v>1.72</v>
      </c>
    </row>
    <row r="3443" customFormat="false" ht="15" hidden="false" customHeight="false" outlineLevel="0" collapsed="false">
      <c r="A3443" s="0" t="s">
        <v>476</v>
      </c>
      <c r="B3443" s="0" t="s">
        <v>477</v>
      </c>
      <c r="C3443" s="0" t="s">
        <v>322</v>
      </c>
      <c r="D3443" s="0" t="s">
        <v>189</v>
      </c>
      <c r="E3443" s="0" t="n">
        <v>2</v>
      </c>
      <c r="F3443" s="0" t="s">
        <v>36</v>
      </c>
      <c r="G3443" s="0" t="s">
        <v>38</v>
      </c>
      <c r="H3443" s="0" t="s">
        <v>38</v>
      </c>
      <c r="I3443" s="0" t="s">
        <v>34</v>
      </c>
      <c r="J3443" s="0" t="n">
        <v>0.98</v>
      </c>
      <c r="K3443" s="0" t="s">
        <v>35</v>
      </c>
      <c r="L3443" s="0" t="n">
        <f aca="false">INDEX(Summary!$F$2:$F$201,MATCH($B3443,Summary!$A$2:$A$201,0))</f>
        <v>20</v>
      </c>
      <c r="M3443" s="0" t="n">
        <f aca="false">INDEX(Summary!$I$2:$I$201,MATCH($B3443,Summary!$A$2:$A$201,0))</f>
        <v>1</v>
      </c>
      <c r="N3443" s="0" t="n">
        <f aca="false">INDEX(Summary!$J$2:$J$201,MATCH($B3443,Summary!$A$2:$A$201,0))</f>
        <v>4</v>
      </c>
      <c r="O3443" s="2" t="n">
        <f aca="false">INDEX(Summary!$K$2:$K$201,MATCH($B3443,Summary!$A$2:$A$201,0))</f>
        <v>10.49</v>
      </c>
      <c r="P3443" s="3" t="n">
        <f aca="false">INDEX(Summary!$L$2:$L$201,MATCH($B3443,Summary!$A$2:$A$201,0))</f>
        <v>3</v>
      </c>
      <c r="Q3443" s="3" t="n">
        <f aca="false">INDEX(Summary!$M$2:$M$201,MATCH($B3443,Summary!$A$2:$A$201,0))</f>
        <v>3</v>
      </c>
      <c r="R3443" s="2" t="n">
        <f aca="false">INDEX(Summary!$N$2:$N$201,MATCH($B3443,Summary!$A$2:$A$201,0))</f>
        <v>11.09</v>
      </c>
      <c r="S3443" s="3" t="n">
        <f aca="false">INDEX(Summary!$O$2:$O$201,MATCH($B3443,Summary!$A$2:$A$201,0))</f>
        <v>8</v>
      </c>
      <c r="T3443" s="3" t="n">
        <f aca="false">INDEX(Summary!$P$2:$P$201,MATCH($B3443,Summary!$A$2:$A$201,0))</f>
        <v>1</v>
      </c>
      <c r="U3443" s="2" t="n">
        <f aca="false">INDEX(Summary!$Q$2:$Q$201,MATCH($B3443,Summary!$A$2:$A$201,0))</f>
        <v>12.37</v>
      </c>
      <c r="V3443" s="2" t="n">
        <f aca="false">INDEX(Summary!$R$2:$R$201,MATCH($B3443,Summary!$A$2:$A$201,0))</f>
        <v>18.63</v>
      </c>
      <c r="W3443" s="0" t="str">
        <f aca="false">INDEX(Summary!$S$2:$S$201,MATCH($B3443,Summary!$A$2:$A$201,0))</f>
        <v>Bronze</v>
      </c>
      <c r="X3443" s="2" t="n">
        <f aca="false">INDEX(Summary!$T$2:$T$201,MATCH($B3443,Summary!$A$2:$A$201,0))</f>
        <v>45.44</v>
      </c>
      <c r="Y3443" s="0" t="str">
        <f aca="false">INDEX('Reward Model'!$E$18:$E$37,MATCH($E3443,'Reward Model'!$A$18:$A$37,0))</f>
        <v>Low</v>
      </c>
      <c r="Z3443" s="4" t="n">
        <f aca="false">ROUND(MIN(1,MAX('Reward Model'!$B$2,INDEX('Reward Model'!$C$12:$C$14,MATCH($K3443,'Reward Model'!$A$12:$A$14,0))/$J3443)),3)</f>
        <v>1</v>
      </c>
      <c r="AA3443" s="2" t="n">
        <f aca="false">IF($I3443="Correct",ROUND(INDEX('Reward Model'!$B$12:$B$14,MATCH($K3443,'Reward Model'!$A$12:$A$14,0))*Z3443,2),0)</f>
        <v>1</v>
      </c>
      <c r="AB3443" s="2" t="n">
        <f aca="false">IF($I3443="Correct",ROUND(INDEX('Reward Model'!$B$12:$B$14,MATCH($Y3443,'Reward Model'!$A$12:$A$14,0))*Z3443,2),0)</f>
        <v>1</v>
      </c>
    </row>
    <row r="3444" customFormat="false" ht="15" hidden="false" customHeight="false" outlineLevel="0" collapsed="false">
      <c r="A3444" s="0" t="s">
        <v>476</v>
      </c>
      <c r="B3444" s="0" t="s">
        <v>477</v>
      </c>
      <c r="C3444" s="0" t="s">
        <v>322</v>
      </c>
      <c r="D3444" s="0" t="s">
        <v>189</v>
      </c>
      <c r="E3444" s="0" t="n">
        <v>3</v>
      </c>
      <c r="F3444" s="0" t="s">
        <v>40</v>
      </c>
      <c r="G3444" s="0" t="s">
        <v>42</v>
      </c>
      <c r="H3444" s="0" t="s">
        <v>42</v>
      </c>
      <c r="I3444" s="0" t="s">
        <v>34</v>
      </c>
      <c r="J3444" s="0" t="n">
        <v>1.83</v>
      </c>
      <c r="K3444" s="0" t="s">
        <v>35</v>
      </c>
      <c r="L3444" s="0" t="n">
        <f aca="false">INDEX(Summary!$F$2:$F$201,MATCH($B3444,Summary!$A$2:$A$201,0))</f>
        <v>20</v>
      </c>
      <c r="M3444" s="0" t="n">
        <f aca="false">INDEX(Summary!$I$2:$I$201,MATCH($B3444,Summary!$A$2:$A$201,0))</f>
        <v>1</v>
      </c>
      <c r="N3444" s="0" t="n">
        <f aca="false">INDEX(Summary!$J$2:$J$201,MATCH($B3444,Summary!$A$2:$A$201,0))</f>
        <v>4</v>
      </c>
      <c r="O3444" s="2" t="n">
        <f aca="false">INDEX(Summary!$K$2:$K$201,MATCH($B3444,Summary!$A$2:$A$201,0))</f>
        <v>10.49</v>
      </c>
      <c r="P3444" s="3" t="n">
        <f aca="false">INDEX(Summary!$L$2:$L$201,MATCH($B3444,Summary!$A$2:$A$201,0))</f>
        <v>3</v>
      </c>
      <c r="Q3444" s="3" t="n">
        <f aca="false">INDEX(Summary!$M$2:$M$201,MATCH($B3444,Summary!$A$2:$A$201,0))</f>
        <v>3</v>
      </c>
      <c r="R3444" s="2" t="n">
        <f aca="false">INDEX(Summary!$N$2:$N$201,MATCH($B3444,Summary!$A$2:$A$201,0))</f>
        <v>11.09</v>
      </c>
      <c r="S3444" s="3" t="n">
        <f aca="false">INDEX(Summary!$O$2:$O$201,MATCH($B3444,Summary!$A$2:$A$201,0))</f>
        <v>8</v>
      </c>
      <c r="T3444" s="3" t="n">
        <f aca="false">INDEX(Summary!$P$2:$P$201,MATCH($B3444,Summary!$A$2:$A$201,0))</f>
        <v>1</v>
      </c>
      <c r="U3444" s="2" t="n">
        <f aca="false">INDEX(Summary!$Q$2:$Q$201,MATCH($B3444,Summary!$A$2:$A$201,0))</f>
        <v>12.37</v>
      </c>
      <c r="V3444" s="2" t="n">
        <f aca="false">INDEX(Summary!$R$2:$R$201,MATCH($B3444,Summary!$A$2:$A$201,0))</f>
        <v>18.63</v>
      </c>
      <c r="W3444" s="0" t="str">
        <f aca="false">INDEX(Summary!$S$2:$S$201,MATCH($B3444,Summary!$A$2:$A$201,0))</f>
        <v>Bronze</v>
      </c>
      <c r="X3444" s="2" t="n">
        <f aca="false">INDEX(Summary!$T$2:$T$201,MATCH($B3444,Summary!$A$2:$A$201,0))</f>
        <v>45.44</v>
      </c>
      <c r="Y3444" s="0" t="str">
        <f aca="false">INDEX('Reward Model'!$E$18:$E$37,MATCH($E3444,'Reward Model'!$A$18:$A$37,0))</f>
        <v>Medium</v>
      </c>
      <c r="Z3444" s="4" t="n">
        <f aca="false">ROUND(MIN(1,MAX('Reward Model'!$B$2,INDEX('Reward Model'!$C$12:$C$14,MATCH($K3444,'Reward Model'!$A$12:$A$14,0))/$J3444)),3)</f>
        <v>0.82</v>
      </c>
      <c r="AA3444" s="2" t="n">
        <f aca="false">IF($I3444="Correct",ROUND(INDEX('Reward Model'!$B$12:$B$14,MATCH($K3444,'Reward Model'!$A$12:$A$14,0))*Z3444,2),0)</f>
        <v>0.82</v>
      </c>
      <c r="AB3444" s="2" t="n">
        <f aca="false">IF($I3444="Correct",ROUND(INDEX('Reward Model'!$B$12:$B$14,MATCH($Y3444,'Reward Model'!$A$12:$A$14,0))*Z3444,2),0)</f>
        <v>1.64</v>
      </c>
    </row>
    <row r="3445" customFormat="false" ht="15" hidden="false" customHeight="false" outlineLevel="0" collapsed="false">
      <c r="A3445" s="0" t="s">
        <v>476</v>
      </c>
      <c r="B3445" s="0" t="s">
        <v>477</v>
      </c>
      <c r="C3445" s="0" t="s">
        <v>322</v>
      </c>
      <c r="D3445" s="0" t="s">
        <v>189</v>
      </c>
      <c r="E3445" s="0" t="n">
        <v>4</v>
      </c>
      <c r="F3445" s="0" t="s">
        <v>43</v>
      </c>
      <c r="G3445" s="0" t="s">
        <v>45</v>
      </c>
      <c r="H3445" s="0" t="s">
        <v>45</v>
      </c>
      <c r="I3445" s="0" t="s">
        <v>34</v>
      </c>
      <c r="J3445" s="0" t="n">
        <v>1.14</v>
      </c>
      <c r="K3445" s="0" t="s">
        <v>35</v>
      </c>
      <c r="L3445" s="0" t="n">
        <f aca="false">INDEX(Summary!$F$2:$F$201,MATCH($B3445,Summary!$A$2:$A$201,0))</f>
        <v>20</v>
      </c>
      <c r="M3445" s="0" t="n">
        <f aca="false">INDEX(Summary!$I$2:$I$201,MATCH($B3445,Summary!$A$2:$A$201,0))</f>
        <v>1</v>
      </c>
      <c r="N3445" s="0" t="n">
        <f aca="false">INDEX(Summary!$J$2:$J$201,MATCH($B3445,Summary!$A$2:$A$201,0))</f>
        <v>4</v>
      </c>
      <c r="O3445" s="2" t="n">
        <f aca="false">INDEX(Summary!$K$2:$K$201,MATCH($B3445,Summary!$A$2:$A$201,0))</f>
        <v>10.49</v>
      </c>
      <c r="P3445" s="3" t="n">
        <f aca="false">INDEX(Summary!$L$2:$L$201,MATCH($B3445,Summary!$A$2:$A$201,0))</f>
        <v>3</v>
      </c>
      <c r="Q3445" s="3" t="n">
        <f aca="false">INDEX(Summary!$M$2:$M$201,MATCH($B3445,Summary!$A$2:$A$201,0))</f>
        <v>3</v>
      </c>
      <c r="R3445" s="2" t="n">
        <f aca="false">INDEX(Summary!$N$2:$N$201,MATCH($B3445,Summary!$A$2:$A$201,0))</f>
        <v>11.09</v>
      </c>
      <c r="S3445" s="3" t="n">
        <f aca="false">INDEX(Summary!$O$2:$O$201,MATCH($B3445,Summary!$A$2:$A$201,0))</f>
        <v>8</v>
      </c>
      <c r="T3445" s="3" t="n">
        <f aca="false">INDEX(Summary!$P$2:$P$201,MATCH($B3445,Summary!$A$2:$A$201,0))</f>
        <v>1</v>
      </c>
      <c r="U3445" s="2" t="n">
        <f aca="false">INDEX(Summary!$Q$2:$Q$201,MATCH($B3445,Summary!$A$2:$A$201,0))</f>
        <v>12.37</v>
      </c>
      <c r="V3445" s="2" t="n">
        <f aca="false">INDEX(Summary!$R$2:$R$201,MATCH($B3445,Summary!$A$2:$A$201,0))</f>
        <v>18.63</v>
      </c>
      <c r="W3445" s="0" t="str">
        <f aca="false">INDEX(Summary!$S$2:$S$201,MATCH($B3445,Summary!$A$2:$A$201,0))</f>
        <v>Bronze</v>
      </c>
      <c r="X3445" s="2" t="n">
        <f aca="false">INDEX(Summary!$T$2:$T$201,MATCH($B3445,Summary!$A$2:$A$201,0))</f>
        <v>45.44</v>
      </c>
      <c r="Y3445" s="0" t="str">
        <f aca="false">INDEX('Reward Model'!$E$18:$E$37,MATCH($E3445,'Reward Model'!$A$18:$A$37,0))</f>
        <v>Low</v>
      </c>
      <c r="Z3445" s="4" t="n">
        <f aca="false">ROUND(MIN(1,MAX('Reward Model'!$B$2,INDEX('Reward Model'!$C$12:$C$14,MATCH($K3445,'Reward Model'!$A$12:$A$14,0))/$J3445)),3)</f>
        <v>1</v>
      </c>
      <c r="AA3445" s="2" t="n">
        <f aca="false">IF($I3445="Correct",ROUND(INDEX('Reward Model'!$B$12:$B$14,MATCH($K3445,'Reward Model'!$A$12:$A$14,0))*Z3445,2),0)</f>
        <v>1</v>
      </c>
      <c r="AB3445" s="2" t="n">
        <f aca="false">IF($I3445="Correct",ROUND(INDEX('Reward Model'!$B$12:$B$14,MATCH($Y3445,'Reward Model'!$A$12:$A$14,0))*Z3445,2),0)</f>
        <v>1</v>
      </c>
    </row>
    <row r="3446" customFormat="false" ht="15" hidden="false" customHeight="false" outlineLevel="0" collapsed="false">
      <c r="A3446" s="0" t="s">
        <v>476</v>
      </c>
      <c r="B3446" s="0" t="s">
        <v>477</v>
      </c>
      <c r="C3446" s="0" t="s">
        <v>322</v>
      </c>
      <c r="D3446" s="0" t="s">
        <v>189</v>
      </c>
      <c r="E3446" s="0" t="n">
        <v>5</v>
      </c>
      <c r="F3446" s="0" t="s">
        <v>46</v>
      </c>
      <c r="G3446" s="0" t="s">
        <v>47</v>
      </c>
      <c r="H3446" s="0" t="s">
        <v>47</v>
      </c>
      <c r="I3446" s="0" t="s">
        <v>34</v>
      </c>
      <c r="J3446" s="0" t="n">
        <v>1.07</v>
      </c>
      <c r="K3446" s="0" t="s">
        <v>35</v>
      </c>
      <c r="L3446" s="0" t="n">
        <f aca="false">INDEX(Summary!$F$2:$F$201,MATCH($B3446,Summary!$A$2:$A$201,0))</f>
        <v>20</v>
      </c>
      <c r="M3446" s="0" t="n">
        <f aca="false">INDEX(Summary!$I$2:$I$201,MATCH($B3446,Summary!$A$2:$A$201,0))</f>
        <v>1</v>
      </c>
      <c r="N3446" s="0" t="n">
        <f aca="false">INDEX(Summary!$J$2:$J$201,MATCH($B3446,Summary!$A$2:$A$201,0))</f>
        <v>4</v>
      </c>
      <c r="O3446" s="2" t="n">
        <f aca="false">INDEX(Summary!$K$2:$K$201,MATCH($B3446,Summary!$A$2:$A$201,0))</f>
        <v>10.49</v>
      </c>
      <c r="P3446" s="3" t="n">
        <f aca="false">INDEX(Summary!$L$2:$L$201,MATCH($B3446,Summary!$A$2:$A$201,0))</f>
        <v>3</v>
      </c>
      <c r="Q3446" s="3" t="n">
        <f aca="false">INDEX(Summary!$M$2:$M$201,MATCH($B3446,Summary!$A$2:$A$201,0))</f>
        <v>3</v>
      </c>
      <c r="R3446" s="2" t="n">
        <f aca="false">INDEX(Summary!$N$2:$N$201,MATCH($B3446,Summary!$A$2:$A$201,0))</f>
        <v>11.09</v>
      </c>
      <c r="S3446" s="3" t="n">
        <f aca="false">INDEX(Summary!$O$2:$O$201,MATCH($B3446,Summary!$A$2:$A$201,0))</f>
        <v>8</v>
      </c>
      <c r="T3446" s="3" t="n">
        <f aca="false">INDEX(Summary!$P$2:$P$201,MATCH($B3446,Summary!$A$2:$A$201,0))</f>
        <v>1</v>
      </c>
      <c r="U3446" s="2" t="n">
        <f aca="false">INDEX(Summary!$Q$2:$Q$201,MATCH($B3446,Summary!$A$2:$A$201,0))</f>
        <v>12.37</v>
      </c>
      <c r="V3446" s="2" t="n">
        <f aca="false">INDEX(Summary!$R$2:$R$201,MATCH($B3446,Summary!$A$2:$A$201,0))</f>
        <v>18.63</v>
      </c>
      <c r="W3446" s="0" t="str">
        <f aca="false">INDEX(Summary!$S$2:$S$201,MATCH($B3446,Summary!$A$2:$A$201,0))</f>
        <v>Bronze</v>
      </c>
      <c r="X3446" s="2" t="n">
        <f aca="false">INDEX(Summary!$T$2:$T$201,MATCH($B3446,Summary!$A$2:$A$201,0))</f>
        <v>45.44</v>
      </c>
      <c r="Y3446" s="0" t="str">
        <f aca="false">INDEX('Reward Model'!$E$18:$E$37,MATCH($E3446,'Reward Model'!$A$18:$A$37,0))</f>
        <v>Low</v>
      </c>
      <c r="Z3446" s="4" t="n">
        <f aca="false">ROUND(MIN(1,MAX('Reward Model'!$B$2,INDEX('Reward Model'!$C$12:$C$14,MATCH($K3446,'Reward Model'!$A$12:$A$14,0))/$J3446)),3)</f>
        <v>1</v>
      </c>
      <c r="AA3446" s="2" t="n">
        <f aca="false">IF($I3446="Correct",ROUND(INDEX('Reward Model'!$B$12:$B$14,MATCH($K3446,'Reward Model'!$A$12:$A$14,0))*Z3446,2),0)</f>
        <v>1</v>
      </c>
      <c r="AB3446" s="2" t="n">
        <f aca="false">IF($I3446="Correct",ROUND(INDEX('Reward Model'!$B$12:$B$14,MATCH($Y3446,'Reward Model'!$A$12:$A$14,0))*Z3446,2),0)</f>
        <v>1</v>
      </c>
    </row>
    <row r="3447" customFormat="false" ht="15" hidden="false" customHeight="false" outlineLevel="0" collapsed="false">
      <c r="A3447" s="0" t="s">
        <v>476</v>
      </c>
      <c r="B3447" s="0" t="s">
        <v>477</v>
      </c>
      <c r="C3447" s="0" t="s">
        <v>322</v>
      </c>
      <c r="D3447" s="0" t="s">
        <v>189</v>
      </c>
      <c r="E3447" s="0" t="n">
        <v>6</v>
      </c>
      <c r="F3447" s="0" t="s">
        <v>48</v>
      </c>
      <c r="G3447" s="0" t="s">
        <v>49</v>
      </c>
      <c r="H3447" s="0" t="s">
        <v>49</v>
      </c>
      <c r="I3447" s="0" t="s">
        <v>34</v>
      </c>
      <c r="J3447" s="0" t="n">
        <v>1.74</v>
      </c>
      <c r="K3447" s="0" t="s">
        <v>35</v>
      </c>
      <c r="L3447" s="0" t="n">
        <f aca="false">INDEX(Summary!$F$2:$F$201,MATCH($B3447,Summary!$A$2:$A$201,0))</f>
        <v>20</v>
      </c>
      <c r="M3447" s="0" t="n">
        <f aca="false">INDEX(Summary!$I$2:$I$201,MATCH($B3447,Summary!$A$2:$A$201,0))</f>
        <v>1</v>
      </c>
      <c r="N3447" s="0" t="n">
        <f aca="false">INDEX(Summary!$J$2:$J$201,MATCH($B3447,Summary!$A$2:$A$201,0))</f>
        <v>4</v>
      </c>
      <c r="O3447" s="2" t="n">
        <f aca="false">INDEX(Summary!$K$2:$K$201,MATCH($B3447,Summary!$A$2:$A$201,0))</f>
        <v>10.49</v>
      </c>
      <c r="P3447" s="3" t="n">
        <f aca="false">INDEX(Summary!$L$2:$L$201,MATCH($B3447,Summary!$A$2:$A$201,0))</f>
        <v>3</v>
      </c>
      <c r="Q3447" s="3" t="n">
        <f aca="false">INDEX(Summary!$M$2:$M$201,MATCH($B3447,Summary!$A$2:$A$201,0))</f>
        <v>3</v>
      </c>
      <c r="R3447" s="2" t="n">
        <f aca="false">INDEX(Summary!$N$2:$N$201,MATCH($B3447,Summary!$A$2:$A$201,0))</f>
        <v>11.09</v>
      </c>
      <c r="S3447" s="3" t="n">
        <f aca="false">INDEX(Summary!$O$2:$O$201,MATCH($B3447,Summary!$A$2:$A$201,0))</f>
        <v>8</v>
      </c>
      <c r="T3447" s="3" t="n">
        <f aca="false">INDEX(Summary!$P$2:$P$201,MATCH($B3447,Summary!$A$2:$A$201,0))</f>
        <v>1</v>
      </c>
      <c r="U3447" s="2" t="n">
        <f aca="false">INDEX(Summary!$Q$2:$Q$201,MATCH($B3447,Summary!$A$2:$A$201,0))</f>
        <v>12.37</v>
      </c>
      <c r="V3447" s="2" t="n">
        <f aca="false">INDEX(Summary!$R$2:$R$201,MATCH($B3447,Summary!$A$2:$A$201,0))</f>
        <v>18.63</v>
      </c>
      <c r="W3447" s="0" t="str">
        <f aca="false">INDEX(Summary!$S$2:$S$201,MATCH($B3447,Summary!$A$2:$A$201,0))</f>
        <v>Bronze</v>
      </c>
      <c r="X3447" s="2" t="n">
        <f aca="false">INDEX(Summary!$T$2:$T$201,MATCH($B3447,Summary!$A$2:$A$201,0))</f>
        <v>45.44</v>
      </c>
      <c r="Y3447" s="0" t="str">
        <f aca="false">INDEX('Reward Model'!$E$18:$E$37,MATCH($E3447,'Reward Model'!$A$18:$A$37,0))</f>
        <v>Medium</v>
      </c>
      <c r="Z3447" s="4" t="n">
        <f aca="false">ROUND(MIN(1,MAX('Reward Model'!$B$2,INDEX('Reward Model'!$C$12:$C$14,MATCH($K3447,'Reward Model'!$A$12:$A$14,0))/$J3447)),3)</f>
        <v>0.862</v>
      </c>
      <c r="AA3447" s="2" t="n">
        <f aca="false">IF($I3447="Correct",ROUND(INDEX('Reward Model'!$B$12:$B$14,MATCH($K3447,'Reward Model'!$A$12:$A$14,0))*Z3447,2),0)</f>
        <v>0.86</v>
      </c>
      <c r="AB3447" s="2" t="n">
        <f aca="false">IF($I3447="Correct",ROUND(INDEX('Reward Model'!$B$12:$B$14,MATCH($Y3447,'Reward Model'!$A$12:$A$14,0))*Z3447,2),0)</f>
        <v>1.72</v>
      </c>
    </row>
    <row r="3448" customFormat="false" ht="15" hidden="false" customHeight="false" outlineLevel="0" collapsed="false">
      <c r="A3448" s="0" t="s">
        <v>476</v>
      </c>
      <c r="B3448" s="0" t="s">
        <v>477</v>
      </c>
      <c r="C3448" s="0" t="s">
        <v>322</v>
      </c>
      <c r="D3448" s="0" t="s">
        <v>189</v>
      </c>
      <c r="E3448" s="0" t="n">
        <v>7</v>
      </c>
      <c r="F3448" s="0" t="s">
        <v>50</v>
      </c>
      <c r="G3448" s="0" t="s">
        <v>51</v>
      </c>
      <c r="H3448" s="0" t="s">
        <v>51</v>
      </c>
      <c r="I3448" s="0" t="s">
        <v>34</v>
      </c>
      <c r="J3448" s="0" t="n">
        <v>1.15</v>
      </c>
      <c r="K3448" s="0" t="s">
        <v>35</v>
      </c>
      <c r="L3448" s="0" t="n">
        <f aca="false">INDEX(Summary!$F$2:$F$201,MATCH($B3448,Summary!$A$2:$A$201,0))</f>
        <v>20</v>
      </c>
      <c r="M3448" s="0" t="n">
        <f aca="false">INDEX(Summary!$I$2:$I$201,MATCH($B3448,Summary!$A$2:$A$201,0))</f>
        <v>1</v>
      </c>
      <c r="N3448" s="0" t="n">
        <f aca="false">INDEX(Summary!$J$2:$J$201,MATCH($B3448,Summary!$A$2:$A$201,0))</f>
        <v>4</v>
      </c>
      <c r="O3448" s="2" t="n">
        <f aca="false">INDEX(Summary!$K$2:$K$201,MATCH($B3448,Summary!$A$2:$A$201,0))</f>
        <v>10.49</v>
      </c>
      <c r="P3448" s="3" t="n">
        <f aca="false">INDEX(Summary!$L$2:$L$201,MATCH($B3448,Summary!$A$2:$A$201,0))</f>
        <v>3</v>
      </c>
      <c r="Q3448" s="3" t="n">
        <f aca="false">INDEX(Summary!$M$2:$M$201,MATCH($B3448,Summary!$A$2:$A$201,0))</f>
        <v>3</v>
      </c>
      <c r="R3448" s="2" t="n">
        <f aca="false">INDEX(Summary!$N$2:$N$201,MATCH($B3448,Summary!$A$2:$A$201,0))</f>
        <v>11.09</v>
      </c>
      <c r="S3448" s="3" t="n">
        <f aca="false">INDEX(Summary!$O$2:$O$201,MATCH($B3448,Summary!$A$2:$A$201,0))</f>
        <v>8</v>
      </c>
      <c r="T3448" s="3" t="n">
        <f aca="false">INDEX(Summary!$P$2:$P$201,MATCH($B3448,Summary!$A$2:$A$201,0))</f>
        <v>1</v>
      </c>
      <c r="U3448" s="2" t="n">
        <f aca="false">INDEX(Summary!$Q$2:$Q$201,MATCH($B3448,Summary!$A$2:$A$201,0))</f>
        <v>12.37</v>
      </c>
      <c r="V3448" s="2" t="n">
        <f aca="false">INDEX(Summary!$R$2:$R$201,MATCH($B3448,Summary!$A$2:$A$201,0))</f>
        <v>18.63</v>
      </c>
      <c r="W3448" s="0" t="str">
        <f aca="false">INDEX(Summary!$S$2:$S$201,MATCH($B3448,Summary!$A$2:$A$201,0))</f>
        <v>Bronze</v>
      </c>
      <c r="X3448" s="2" t="n">
        <f aca="false">INDEX(Summary!$T$2:$T$201,MATCH($B3448,Summary!$A$2:$A$201,0))</f>
        <v>45.44</v>
      </c>
      <c r="Y3448" s="0" t="str">
        <f aca="false">INDEX('Reward Model'!$E$18:$E$37,MATCH($E3448,'Reward Model'!$A$18:$A$37,0))</f>
        <v>Low</v>
      </c>
      <c r="Z3448" s="4" t="n">
        <f aca="false">ROUND(MIN(1,MAX('Reward Model'!$B$2,INDEX('Reward Model'!$C$12:$C$14,MATCH($K3448,'Reward Model'!$A$12:$A$14,0))/$J3448)),3)</f>
        <v>1</v>
      </c>
      <c r="AA3448" s="2" t="n">
        <f aca="false">IF($I3448="Correct",ROUND(INDEX('Reward Model'!$B$12:$B$14,MATCH($K3448,'Reward Model'!$A$12:$A$14,0))*Z3448,2),0)</f>
        <v>1</v>
      </c>
      <c r="AB3448" s="2" t="n">
        <f aca="false">IF($I3448="Correct",ROUND(INDEX('Reward Model'!$B$12:$B$14,MATCH($Y3448,'Reward Model'!$A$12:$A$14,0))*Z3448,2),0)</f>
        <v>1</v>
      </c>
    </row>
    <row r="3449" customFormat="false" ht="15" hidden="false" customHeight="false" outlineLevel="0" collapsed="false">
      <c r="A3449" s="0" t="s">
        <v>476</v>
      </c>
      <c r="B3449" s="0" t="s">
        <v>477</v>
      </c>
      <c r="C3449" s="0" t="s">
        <v>322</v>
      </c>
      <c r="D3449" s="0" t="s">
        <v>189</v>
      </c>
      <c r="E3449" s="0" t="n">
        <v>8</v>
      </c>
      <c r="F3449" s="0" t="s">
        <v>52</v>
      </c>
      <c r="G3449" s="0" t="s">
        <v>54</v>
      </c>
      <c r="H3449" s="0" t="s">
        <v>54</v>
      </c>
      <c r="I3449" s="0" t="s">
        <v>34</v>
      </c>
      <c r="J3449" s="0" t="n">
        <v>1.45</v>
      </c>
      <c r="K3449" s="0" t="s">
        <v>35</v>
      </c>
      <c r="L3449" s="0" t="n">
        <f aca="false">INDEX(Summary!$F$2:$F$201,MATCH($B3449,Summary!$A$2:$A$201,0))</f>
        <v>20</v>
      </c>
      <c r="M3449" s="0" t="n">
        <f aca="false">INDEX(Summary!$I$2:$I$201,MATCH($B3449,Summary!$A$2:$A$201,0))</f>
        <v>1</v>
      </c>
      <c r="N3449" s="0" t="n">
        <f aca="false">INDEX(Summary!$J$2:$J$201,MATCH($B3449,Summary!$A$2:$A$201,0))</f>
        <v>4</v>
      </c>
      <c r="O3449" s="2" t="n">
        <f aca="false">INDEX(Summary!$K$2:$K$201,MATCH($B3449,Summary!$A$2:$A$201,0))</f>
        <v>10.49</v>
      </c>
      <c r="P3449" s="3" t="n">
        <f aca="false">INDEX(Summary!$L$2:$L$201,MATCH($B3449,Summary!$A$2:$A$201,0))</f>
        <v>3</v>
      </c>
      <c r="Q3449" s="3" t="n">
        <f aca="false">INDEX(Summary!$M$2:$M$201,MATCH($B3449,Summary!$A$2:$A$201,0))</f>
        <v>3</v>
      </c>
      <c r="R3449" s="2" t="n">
        <f aca="false">INDEX(Summary!$N$2:$N$201,MATCH($B3449,Summary!$A$2:$A$201,0))</f>
        <v>11.09</v>
      </c>
      <c r="S3449" s="3" t="n">
        <f aca="false">INDEX(Summary!$O$2:$O$201,MATCH($B3449,Summary!$A$2:$A$201,0))</f>
        <v>8</v>
      </c>
      <c r="T3449" s="3" t="n">
        <f aca="false">INDEX(Summary!$P$2:$P$201,MATCH($B3449,Summary!$A$2:$A$201,0))</f>
        <v>1</v>
      </c>
      <c r="U3449" s="2" t="n">
        <f aca="false">INDEX(Summary!$Q$2:$Q$201,MATCH($B3449,Summary!$A$2:$A$201,0))</f>
        <v>12.37</v>
      </c>
      <c r="V3449" s="2" t="n">
        <f aca="false">INDEX(Summary!$R$2:$R$201,MATCH($B3449,Summary!$A$2:$A$201,0))</f>
        <v>18.63</v>
      </c>
      <c r="W3449" s="0" t="str">
        <f aca="false">INDEX(Summary!$S$2:$S$201,MATCH($B3449,Summary!$A$2:$A$201,0))</f>
        <v>Bronze</v>
      </c>
      <c r="X3449" s="2" t="n">
        <f aca="false">INDEX(Summary!$T$2:$T$201,MATCH($B3449,Summary!$A$2:$A$201,0))</f>
        <v>45.44</v>
      </c>
      <c r="Y3449" s="0" t="str">
        <f aca="false">INDEX('Reward Model'!$E$18:$E$37,MATCH($E3449,'Reward Model'!$A$18:$A$37,0))</f>
        <v>Medium</v>
      </c>
      <c r="Z3449" s="4" t="n">
        <f aca="false">ROUND(MIN(1,MAX('Reward Model'!$B$2,INDEX('Reward Model'!$C$12:$C$14,MATCH($K3449,'Reward Model'!$A$12:$A$14,0))/$J3449)),3)</f>
        <v>1</v>
      </c>
      <c r="AA3449" s="2" t="n">
        <f aca="false">IF($I3449="Correct",ROUND(INDEX('Reward Model'!$B$12:$B$14,MATCH($K3449,'Reward Model'!$A$12:$A$14,0))*Z3449,2),0)</f>
        <v>1</v>
      </c>
      <c r="AB3449" s="2" t="n">
        <f aca="false">IF($I3449="Correct",ROUND(INDEX('Reward Model'!$B$12:$B$14,MATCH($Y3449,'Reward Model'!$A$12:$A$14,0))*Z3449,2),0)</f>
        <v>2</v>
      </c>
    </row>
    <row r="3450" customFormat="false" ht="15" hidden="false" customHeight="false" outlineLevel="0" collapsed="false">
      <c r="A3450" s="0" t="s">
        <v>476</v>
      </c>
      <c r="B3450" s="0" t="s">
        <v>477</v>
      </c>
      <c r="C3450" s="0" t="s">
        <v>322</v>
      </c>
      <c r="D3450" s="0" t="s">
        <v>189</v>
      </c>
      <c r="E3450" s="0" t="n">
        <v>9</v>
      </c>
      <c r="F3450" s="0" t="s">
        <v>55</v>
      </c>
      <c r="G3450" s="0" t="s">
        <v>341</v>
      </c>
      <c r="H3450" s="0" t="s">
        <v>57</v>
      </c>
      <c r="I3450" s="0" t="s">
        <v>39</v>
      </c>
      <c r="J3450" s="0" t="n">
        <v>1.27</v>
      </c>
      <c r="K3450" s="0" t="s">
        <v>35</v>
      </c>
      <c r="L3450" s="0" t="n">
        <f aca="false">INDEX(Summary!$F$2:$F$201,MATCH($B3450,Summary!$A$2:$A$201,0))</f>
        <v>20</v>
      </c>
      <c r="M3450" s="0" t="n">
        <f aca="false">INDEX(Summary!$I$2:$I$201,MATCH($B3450,Summary!$A$2:$A$201,0))</f>
        <v>1</v>
      </c>
      <c r="N3450" s="0" t="n">
        <f aca="false">INDEX(Summary!$J$2:$J$201,MATCH($B3450,Summary!$A$2:$A$201,0))</f>
        <v>4</v>
      </c>
      <c r="O3450" s="2" t="n">
        <f aca="false">INDEX(Summary!$K$2:$K$201,MATCH($B3450,Summary!$A$2:$A$201,0))</f>
        <v>10.49</v>
      </c>
      <c r="P3450" s="3" t="n">
        <f aca="false">INDEX(Summary!$L$2:$L$201,MATCH($B3450,Summary!$A$2:$A$201,0))</f>
        <v>3</v>
      </c>
      <c r="Q3450" s="3" t="n">
        <f aca="false">INDEX(Summary!$M$2:$M$201,MATCH($B3450,Summary!$A$2:$A$201,0))</f>
        <v>3</v>
      </c>
      <c r="R3450" s="2" t="n">
        <f aca="false">INDEX(Summary!$N$2:$N$201,MATCH($B3450,Summary!$A$2:$A$201,0))</f>
        <v>11.09</v>
      </c>
      <c r="S3450" s="3" t="n">
        <f aca="false">INDEX(Summary!$O$2:$O$201,MATCH($B3450,Summary!$A$2:$A$201,0))</f>
        <v>8</v>
      </c>
      <c r="T3450" s="3" t="n">
        <f aca="false">INDEX(Summary!$P$2:$P$201,MATCH($B3450,Summary!$A$2:$A$201,0))</f>
        <v>1</v>
      </c>
      <c r="U3450" s="2" t="n">
        <f aca="false">INDEX(Summary!$Q$2:$Q$201,MATCH($B3450,Summary!$A$2:$A$201,0))</f>
        <v>12.37</v>
      </c>
      <c r="V3450" s="2" t="n">
        <f aca="false">INDEX(Summary!$R$2:$R$201,MATCH($B3450,Summary!$A$2:$A$201,0))</f>
        <v>18.63</v>
      </c>
      <c r="W3450" s="0" t="str">
        <f aca="false">INDEX(Summary!$S$2:$S$201,MATCH($B3450,Summary!$A$2:$A$201,0))</f>
        <v>Bronze</v>
      </c>
      <c r="X3450" s="2" t="n">
        <f aca="false">INDEX(Summary!$T$2:$T$201,MATCH($B3450,Summary!$A$2:$A$201,0))</f>
        <v>45.44</v>
      </c>
      <c r="Y3450" s="0" t="str">
        <f aca="false">INDEX('Reward Model'!$E$18:$E$37,MATCH($E3450,'Reward Model'!$A$18:$A$37,0))</f>
        <v>Medium</v>
      </c>
      <c r="Z3450" s="4" t="n">
        <f aca="false">ROUND(MIN(1,MAX('Reward Model'!$B$2,INDEX('Reward Model'!$C$12:$C$14,MATCH($K3450,'Reward Model'!$A$12:$A$14,0))/$J3450)),3)</f>
        <v>1</v>
      </c>
      <c r="AA3450" s="2" t="n">
        <f aca="false">IF($I3450="Correct",ROUND(INDEX('Reward Model'!$B$12:$B$14,MATCH($K3450,'Reward Model'!$A$12:$A$14,0))*Z3450,2),0)</f>
        <v>0</v>
      </c>
      <c r="AB3450" s="2" t="n">
        <f aca="false">IF($I3450="Correct",ROUND(INDEX('Reward Model'!$B$12:$B$14,MATCH($Y3450,'Reward Model'!$A$12:$A$14,0))*Z3450,2),0)</f>
        <v>0</v>
      </c>
    </row>
    <row r="3451" customFormat="false" ht="15" hidden="false" customHeight="false" outlineLevel="0" collapsed="false">
      <c r="A3451" s="0" t="s">
        <v>476</v>
      </c>
      <c r="B3451" s="0" t="s">
        <v>477</v>
      </c>
      <c r="C3451" s="0" t="s">
        <v>322</v>
      </c>
      <c r="D3451" s="0" t="s">
        <v>189</v>
      </c>
      <c r="E3451" s="0" t="n">
        <v>10</v>
      </c>
      <c r="F3451" s="0" t="s">
        <v>58</v>
      </c>
      <c r="G3451" s="0" t="s">
        <v>59</v>
      </c>
      <c r="H3451" s="0" t="s">
        <v>59</v>
      </c>
      <c r="I3451" s="0" t="s">
        <v>34</v>
      </c>
      <c r="J3451" s="0" t="n">
        <v>2.11</v>
      </c>
      <c r="K3451" s="0" t="s">
        <v>60</v>
      </c>
      <c r="L3451" s="0" t="n">
        <f aca="false">INDEX(Summary!$F$2:$F$201,MATCH($B3451,Summary!$A$2:$A$201,0))</f>
        <v>20</v>
      </c>
      <c r="M3451" s="0" t="n">
        <f aca="false">INDEX(Summary!$I$2:$I$201,MATCH($B3451,Summary!$A$2:$A$201,0))</f>
        <v>1</v>
      </c>
      <c r="N3451" s="0" t="n">
        <f aca="false">INDEX(Summary!$J$2:$J$201,MATCH($B3451,Summary!$A$2:$A$201,0))</f>
        <v>4</v>
      </c>
      <c r="O3451" s="2" t="n">
        <f aca="false">INDEX(Summary!$K$2:$K$201,MATCH($B3451,Summary!$A$2:$A$201,0))</f>
        <v>10.49</v>
      </c>
      <c r="P3451" s="3" t="n">
        <f aca="false">INDEX(Summary!$L$2:$L$201,MATCH($B3451,Summary!$A$2:$A$201,0))</f>
        <v>3</v>
      </c>
      <c r="Q3451" s="3" t="n">
        <f aca="false">INDEX(Summary!$M$2:$M$201,MATCH($B3451,Summary!$A$2:$A$201,0))</f>
        <v>3</v>
      </c>
      <c r="R3451" s="2" t="n">
        <f aca="false">INDEX(Summary!$N$2:$N$201,MATCH($B3451,Summary!$A$2:$A$201,0))</f>
        <v>11.09</v>
      </c>
      <c r="S3451" s="3" t="n">
        <f aca="false">INDEX(Summary!$O$2:$O$201,MATCH($B3451,Summary!$A$2:$A$201,0))</f>
        <v>8</v>
      </c>
      <c r="T3451" s="3" t="n">
        <f aca="false">INDEX(Summary!$P$2:$P$201,MATCH($B3451,Summary!$A$2:$A$201,0))</f>
        <v>1</v>
      </c>
      <c r="U3451" s="2" t="n">
        <f aca="false">INDEX(Summary!$Q$2:$Q$201,MATCH($B3451,Summary!$A$2:$A$201,0))</f>
        <v>12.37</v>
      </c>
      <c r="V3451" s="2" t="n">
        <f aca="false">INDEX(Summary!$R$2:$R$201,MATCH($B3451,Summary!$A$2:$A$201,0))</f>
        <v>18.63</v>
      </c>
      <c r="W3451" s="0" t="str">
        <f aca="false">INDEX(Summary!$S$2:$S$201,MATCH($B3451,Summary!$A$2:$A$201,0))</f>
        <v>Bronze</v>
      </c>
      <c r="X3451" s="2" t="n">
        <f aca="false">INDEX(Summary!$T$2:$T$201,MATCH($B3451,Summary!$A$2:$A$201,0))</f>
        <v>45.44</v>
      </c>
      <c r="Y3451" s="0" t="str">
        <f aca="false">INDEX('Reward Model'!$E$18:$E$37,MATCH($E3451,'Reward Model'!$A$18:$A$37,0))</f>
        <v>Medium</v>
      </c>
      <c r="Z3451" s="4" t="n">
        <f aca="false">ROUND(MIN(1,MAX('Reward Model'!$B$2,INDEX('Reward Model'!$C$12:$C$14,MATCH($K3451,'Reward Model'!$A$12:$A$14,0))/$J3451)),3)</f>
        <v>0.853</v>
      </c>
      <c r="AA3451" s="2" t="n">
        <f aca="false">IF($I3451="Correct",ROUND(INDEX('Reward Model'!$B$12:$B$14,MATCH($K3451,'Reward Model'!$A$12:$A$14,0))*Z3451,2),0)</f>
        <v>1.71</v>
      </c>
      <c r="AB3451" s="2" t="n">
        <f aca="false">IF($I3451="Correct",ROUND(INDEX('Reward Model'!$B$12:$B$14,MATCH($Y3451,'Reward Model'!$A$12:$A$14,0))*Z3451,2),0)</f>
        <v>1.71</v>
      </c>
    </row>
    <row r="3452" customFormat="false" ht="15" hidden="false" customHeight="false" outlineLevel="0" collapsed="false">
      <c r="A3452" s="0" t="s">
        <v>476</v>
      </c>
      <c r="B3452" s="0" t="s">
        <v>477</v>
      </c>
      <c r="C3452" s="0" t="s">
        <v>322</v>
      </c>
      <c r="D3452" s="0" t="s">
        <v>189</v>
      </c>
      <c r="E3452" s="0" t="n">
        <v>11</v>
      </c>
      <c r="F3452" s="0" t="s">
        <v>61</v>
      </c>
      <c r="G3452" s="0" t="s">
        <v>63</v>
      </c>
      <c r="H3452" s="0" t="s">
        <v>63</v>
      </c>
      <c r="I3452" s="0" t="s">
        <v>34</v>
      </c>
      <c r="J3452" s="0" t="n">
        <v>2.11</v>
      </c>
      <c r="K3452" s="0" t="s">
        <v>60</v>
      </c>
      <c r="L3452" s="0" t="n">
        <f aca="false">INDEX(Summary!$F$2:$F$201,MATCH($B3452,Summary!$A$2:$A$201,0))</f>
        <v>20</v>
      </c>
      <c r="M3452" s="0" t="n">
        <f aca="false">INDEX(Summary!$I$2:$I$201,MATCH($B3452,Summary!$A$2:$A$201,0))</f>
        <v>1</v>
      </c>
      <c r="N3452" s="0" t="n">
        <f aca="false">INDEX(Summary!$J$2:$J$201,MATCH($B3452,Summary!$A$2:$A$201,0))</f>
        <v>4</v>
      </c>
      <c r="O3452" s="2" t="n">
        <f aca="false">INDEX(Summary!$K$2:$K$201,MATCH($B3452,Summary!$A$2:$A$201,0))</f>
        <v>10.49</v>
      </c>
      <c r="P3452" s="3" t="n">
        <f aca="false">INDEX(Summary!$L$2:$L$201,MATCH($B3452,Summary!$A$2:$A$201,0))</f>
        <v>3</v>
      </c>
      <c r="Q3452" s="3" t="n">
        <f aca="false">INDEX(Summary!$M$2:$M$201,MATCH($B3452,Summary!$A$2:$A$201,0))</f>
        <v>3</v>
      </c>
      <c r="R3452" s="2" t="n">
        <f aca="false">INDEX(Summary!$N$2:$N$201,MATCH($B3452,Summary!$A$2:$A$201,0))</f>
        <v>11.09</v>
      </c>
      <c r="S3452" s="3" t="n">
        <f aca="false">INDEX(Summary!$O$2:$O$201,MATCH($B3452,Summary!$A$2:$A$201,0))</f>
        <v>8</v>
      </c>
      <c r="T3452" s="3" t="n">
        <f aca="false">INDEX(Summary!$P$2:$P$201,MATCH($B3452,Summary!$A$2:$A$201,0))</f>
        <v>1</v>
      </c>
      <c r="U3452" s="2" t="n">
        <f aca="false">INDEX(Summary!$Q$2:$Q$201,MATCH($B3452,Summary!$A$2:$A$201,0))</f>
        <v>12.37</v>
      </c>
      <c r="V3452" s="2" t="n">
        <f aca="false">INDEX(Summary!$R$2:$R$201,MATCH($B3452,Summary!$A$2:$A$201,0))</f>
        <v>18.63</v>
      </c>
      <c r="W3452" s="0" t="str">
        <f aca="false">INDEX(Summary!$S$2:$S$201,MATCH($B3452,Summary!$A$2:$A$201,0))</f>
        <v>Bronze</v>
      </c>
      <c r="X3452" s="2" t="n">
        <f aca="false">INDEX(Summary!$T$2:$T$201,MATCH($B3452,Summary!$A$2:$A$201,0))</f>
        <v>45.44</v>
      </c>
      <c r="Y3452" s="0" t="str">
        <f aca="false">INDEX('Reward Model'!$E$18:$E$37,MATCH($E3452,'Reward Model'!$A$18:$A$37,0))</f>
        <v>Medium</v>
      </c>
      <c r="Z3452" s="4" t="n">
        <f aca="false">ROUND(MIN(1,MAX('Reward Model'!$B$2,INDEX('Reward Model'!$C$12:$C$14,MATCH($K3452,'Reward Model'!$A$12:$A$14,0))/$J3452)),3)</f>
        <v>0.853</v>
      </c>
      <c r="AA3452" s="2" t="n">
        <f aca="false">IF($I3452="Correct",ROUND(INDEX('Reward Model'!$B$12:$B$14,MATCH($K3452,'Reward Model'!$A$12:$A$14,0))*Z3452,2),0)</f>
        <v>1.71</v>
      </c>
      <c r="AB3452" s="2" t="n">
        <f aca="false">IF($I3452="Correct",ROUND(INDEX('Reward Model'!$B$12:$B$14,MATCH($Y3452,'Reward Model'!$A$12:$A$14,0))*Z3452,2),0)</f>
        <v>1.71</v>
      </c>
    </row>
    <row r="3453" customFormat="false" ht="15" hidden="false" customHeight="false" outlineLevel="0" collapsed="false">
      <c r="A3453" s="0" t="s">
        <v>476</v>
      </c>
      <c r="B3453" s="0" t="s">
        <v>477</v>
      </c>
      <c r="C3453" s="0" t="s">
        <v>322</v>
      </c>
      <c r="D3453" s="0" t="s">
        <v>189</v>
      </c>
      <c r="E3453" s="0" t="n">
        <v>12</v>
      </c>
      <c r="F3453" s="0" t="s">
        <v>64</v>
      </c>
      <c r="G3453" s="0" t="s">
        <v>127</v>
      </c>
      <c r="H3453" s="0" t="s">
        <v>65</v>
      </c>
      <c r="I3453" s="0" t="s">
        <v>39</v>
      </c>
      <c r="J3453" s="0" t="n">
        <v>1.32</v>
      </c>
      <c r="K3453" s="0" t="s">
        <v>60</v>
      </c>
      <c r="L3453" s="0" t="n">
        <f aca="false">INDEX(Summary!$F$2:$F$201,MATCH($B3453,Summary!$A$2:$A$201,0))</f>
        <v>20</v>
      </c>
      <c r="M3453" s="0" t="n">
        <f aca="false">INDEX(Summary!$I$2:$I$201,MATCH($B3453,Summary!$A$2:$A$201,0))</f>
        <v>1</v>
      </c>
      <c r="N3453" s="0" t="n">
        <f aca="false">INDEX(Summary!$J$2:$J$201,MATCH($B3453,Summary!$A$2:$A$201,0))</f>
        <v>4</v>
      </c>
      <c r="O3453" s="2" t="n">
        <f aca="false">INDEX(Summary!$K$2:$K$201,MATCH($B3453,Summary!$A$2:$A$201,0))</f>
        <v>10.49</v>
      </c>
      <c r="P3453" s="3" t="n">
        <f aca="false">INDEX(Summary!$L$2:$L$201,MATCH($B3453,Summary!$A$2:$A$201,0))</f>
        <v>3</v>
      </c>
      <c r="Q3453" s="3" t="n">
        <f aca="false">INDEX(Summary!$M$2:$M$201,MATCH($B3453,Summary!$A$2:$A$201,0))</f>
        <v>3</v>
      </c>
      <c r="R3453" s="2" t="n">
        <f aca="false">INDEX(Summary!$N$2:$N$201,MATCH($B3453,Summary!$A$2:$A$201,0))</f>
        <v>11.09</v>
      </c>
      <c r="S3453" s="3" t="n">
        <f aca="false">INDEX(Summary!$O$2:$O$201,MATCH($B3453,Summary!$A$2:$A$201,0))</f>
        <v>8</v>
      </c>
      <c r="T3453" s="3" t="n">
        <f aca="false">INDEX(Summary!$P$2:$P$201,MATCH($B3453,Summary!$A$2:$A$201,0))</f>
        <v>1</v>
      </c>
      <c r="U3453" s="2" t="n">
        <f aca="false">INDEX(Summary!$Q$2:$Q$201,MATCH($B3453,Summary!$A$2:$A$201,0))</f>
        <v>12.37</v>
      </c>
      <c r="V3453" s="2" t="n">
        <f aca="false">INDEX(Summary!$R$2:$R$201,MATCH($B3453,Summary!$A$2:$A$201,0))</f>
        <v>18.63</v>
      </c>
      <c r="W3453" s="0" t="str">
        <f aca="false">INDEX(Summary!$S$2:$S$201,MATCH($B3453,Summary!$A$2:$A$201,0))</f>
        <v>Bronze</v>
      </c>
      <c r="X3453" s="2" t="n">
        <f aca="false">INDEX(Summary!$T$2:$T$201,MATCH($B3453,Summary!$A$2:$A$201,0))</f>
        <v>45.44</v>
      </c>
      <c r="Y3453" s="0" t="str">
        <f aca="false">INDEX('Reward Model'!$E$18:$E$37,MATCH($E3453,'Reward Model'!$A$18:$A$37,0))</f>
        <v>Medium</v>
      </c>
      <c r="Z3453" s="4" t="n">
        <f aca="false">ROUND(MIN(1,MAX('Reward Model'!$B$2,INDEX('Reward Model'!$C$12:$C$14,MATCH($K3453,'Reward Model'!$A$12:$A$14,0))/$J3453)),3)</f>
        <v>1</v>
      </c>
      <c r="AA3453" s="2" t="n">
        <f aca="false">IF($I3453="Correct",ROUND(INDEX('Reward Model'!$B$12:$B$14,MATCH($K3453,'Reward Model'!$A$12:$A$14,0))*Z3453,2),0)</f>
        <v>0</v>
      </c>
      <c r="AB3453" s="2" t="n">
        <f aca="false">IF($I3453="Correct",ROUND(INDEX('Reward Model'!$B$12:$B$14,MATCH($Y3453,'Reward Model'!$A$12:$A$14,0))*Z3453,2),0)</f>
        <v>0</v>
      </c>
    </row>
    <row r="3454" customFormat="false" ht="15" hidden="false" customHeight="false" outlineLevel="0" collapsed="false">
      <c r="A3454" s="0" t="s">
        <v>476</v>
      </c>
      <c r="B3454" s="0" t="s">
        <v>477</v>
      </c>
      <c r="C3454" s="0" t="s">
        <v>322</v>
      </c>
      <c r="D3454" s="0" t="s">
        <v>189</v>
      </c>
      <c r="E3454" s="0" t="n">
        <v>13</v>
      </c>
      <c r="F3454" s="0" t="s">
        <v>66</v>
      </c>
      <c r="G3454" s="0" t="s">
        <v>67</v>
      </c>
      <c r="H3454" s="0" t="s">
        <v>67</v>
      </c>
      <c r="I3454" s="0" t="s">
        <v>34</v>
      </c>
      <c r="J3454" s="0" t="n">
        <v>2</v>
      </c>
      <c r="K3454" s="0" t="s">
        <v>60</v>
      </c>
      <c r="L3454" s="0" t="n">
        <f aca="false">INDEX(Summary!$F$2:$F$201,MATCH($B3454,Summary!$A$2:$A$201,0))</f>
        <v>20</v>
      </c>
      <c r="M3454" s="0" t="n">
        <f aca="false">INDEX(Summary!$I$2:$I$201,MATCH($B3454,Summary!$A$2:$A$201,0))</f>
        <v>1</v>
      </c>
      <c r="N3454" s="0" t="n">
        <f aca="false">INDEX(Summary!$J$2:$J$201,MATCH($B3454,Summary!$A$2:$A$201,0))</f>
        <v>4</v>
      </c>
      <c r="O3454" s="2" t="n">
        <f aca="false">INDEX(Summary!$K$2:$K$201,MATCH($B3454,Summary!$A$2:$A$201,0))</f>
        <v>10.49</v>
      </c>
      <c r="P3454" s="3" t="n">
        <f aca="false">INDEX(Summary!$L$2:$L$201,MATCH($B3454,Summary!$A$2:$A$201,0))</f>
        <v>3</v>
      </c>
      <c r="Q3454" s="3" t="n">
        <f aca="false">INDEX(Summary!$M$2:$M$201,MATCH($B3454,Summary!$A$2:$A$201,0))</f>
        <v>3</v>
      </c>
      <c r="R3454" s="2" t="n">
        <f aca="false">INDEX(Summary!$N$2:$N$201,MATCH($B3454,Summary!$A$2:$A$201,0))</f>
        <v>11.09</v>
      </c>
      <c r="S3454" s="3" t="n">
        <f aca="false">INDEX(Summary!$O$2:$O$201,MATCH($B3454,Summary!$A$2:$A$201,0))</f>
        <v>8</v>
      </c>
      <c r="T3454" s="3" t="n">
        <f aca="false">INDEX(Summary!$P$2:$P$201,MATCH($B3454,Summary!$A$2:$A$201,0))</f>
        <v>1</v>
      </c>
      <c r="U3454" s="2" t="n">
        <f aca="false">INDEX(Summary!$Q$2:$Q$201,MATCH($B3454,Summary!$A$2:$A$201,0))</f>
        <v>12.37</v>
      </c>
      <c r="V3454" s="2" t="n">
        <f aca="false">INDEX(Summary!$R$2:$R$201,MATCH($B3454,Summary!$A$2:$A$201,0))</f>
        <v>18.63</v>
      </c>
      <c r="W3454" s="0" t="str">
        <f aca="false">INDEX(Summary!$S$2:$S$201,MATCH($B3454,Summary!$A$2:$A$201,0))</f>
        <v>Bronze</v>
      </c>
      <c r="X3454" s="2" t="n">
        <f aca="false">INDEX(Summary!$T$2:$T$201,MATCH($B3454,Summary!$A$2:$A$201,0))</f>
        <v>45.44</v>
      </c>
      <c r="Y3454" s="0" t="str">
        <f aca="false">INDEX('Reward Model'!$E$18:$E$37,MATCH($E3454,'Reward Model'!$A$18:$A$37,0))</f>
        <v>Medium</v>
      </c>
      <c r="Z3454" s="4" t="n">
        <f aca="false">ROUND(MIN(1,MAX('Reward Model'!$B$2,INDEX('Reward Model'!$C$12:$C$14,MATCH($K3454,'Reward Model'!$A$12:$A$14,0))/$J3454)),3)</f>
        <v>0.9</v>
      </c>
      <c r="AA3454" s="2" t="n">
        <f aca="false">IF($I3454="Correct",ROUND(INDEX('Reward Model'!$B$12:$B$14,MATCH($K3454,'Reward Model'!$A$12:$A$14,0))*Z3454,2),0)</f>
        <v>1.8</v>
      </c>
      <c r="AB3454" s="2" t="n">
        <f aca="false">IF($I3454="Correct",ROUND(INDEX('Reward Model'!$B$12:$B$14,MATCH($Y3454,'Reward Model'!$A$12:$A$14,0))*Z3454,2),0)</f>
        <v>1.8</v>
      </c>
    </row>
    <row r="3455" customFormat="false" ht="15" hidden="false" customHeight="false" outlineLevel="0" collapsed="false">
      <c r="A3455" s="0" t="s">
        <v>476</v>
      </c>
      <c r="B3455" s="0" t="s">
        <v>477</v>
      </c>
      <c r="C3455" s="0" t="s">
        <v>322</v>
      </c>
      <c r="D3455" s="0" t="s">
        <v>189</v>
      </c>
      <c r="E3455" s="0" t="n">
        <v>14</v>
      </c>
      <c r="F3455" s="0" t="s">
        <v>68</v>
      </c>
      <c r="G3455" s="0" t="s">
        <v>100</v>
      </c>
      <c r="H3455" s="0" t="s">
        <v>51</v>
      </c>
      <c r="I3455" s="0" t="s">
        <v>39</v>
      </c>
      <c r="J3455" s="0" t="n">
        <v>1.55</v>
      </c>
      <c r="K3455" s="0" t="s">
        <v>60</v>
      </c>
      <c r="L3455" s="0" t="n">
        <f aca="false">INDEX(Summary!$F$2:$F$201,MATCH($B3455,Summary!$A$2:$A$201,0))</f>
        <v>20</v>
      </c>
      <c r="M3455" s="0" t="n">
        <f aca="false">INDEX(Summary!$I$2:$I$201,MATCH($B3455,Summary!$A$2:$A$201,0))</f>
        <v>1</v>
      </c>
      <c r="N3455" s="0" t="n">
        <f aca="false">INDEX(Summary!$J$2:$J$201,MATCH($B3455,Summary!$A$2:$A$201,0))</f>
        <v>4</v>
      </c>
      <c r="O3455" s="2" t="n">
        <f aca="false">INDEX(Summary!$K$2:$K$201,MATCH($B3455,Summary!$A$2:$A$201,0))</f>
        <v>10.49</v>
      </c>
      <c r="P3455" s="3" t="n">
        <f aca="false">INDEX(Summary!$L$2:$L$201,MATCH($B3455,Summary!$A$2:$A$201,0))</f>
        <v>3</v>
      </c>
      <c r="Q3455" s="3" t="n">
        <f aca="false">INDEX(Summary!$M$2:$M$201,MATCH($B3455,Summary!$A$2:$A$201,0))</f>
        <v>3</v>
      </c>
      <c r="R3455" s="2" t="n">
        <f aca="false">INDEX(Summary!$N$2:$N$201,MATCH($B3455,Summary!$A$2:$A$201,0))</f>
        <v>11.09</v>
      </c>
      <c r="S3455" s="3" t="n">
        <f aca="false">INDEX(Summary!$O$2:$O$201,MATCH($B3455,Summary!$A$2:$A$201,0))</f>
        <v>8</v>
      </c>
      <c r="T3455" s="3" t="n">
        <f aca="false">INDEX(Summary!$P$2:$P$201,MATCH($B3455,Summary!$A$2:$A$201,0))</f>
        <v>1</v>
      </c>
      <c r="U3455" s="2" t="n">
        <f aca="false">INDEX(Summary!$Q$2:$Q$201,MATCH($B3455,Summary!$A$2:$A$201,0))</f>
        <v>12.37</v>
      </c>
      <c r="V3455" s="2" t="n">
        <f aca="false">INDEX(Summary!$R$2:$R$201,MATCH($B3455,Summary!$A$2:$A$201,0))</f>
        <v>18.63</v>
      </c>
      <c r="W3455" s="0" t="str">
        <f aca="false">INDEX(Summary!$S$2:$S$201,MATCH($B3455,Summary!$A$2:$A$201,0))</f>
        <v>Bronze</v>
      </c>
      <c r="X3455" s="2" t="n">
        <f aca="false">INDEX(Summary!$T$2:$T$201,MATCH($B3455,Summary!$A$2:$A$201,0))</f>
        <v>45.44</v>
      </c>
      <c r="Y3455" s="0" t="str">
        <f aca="false">INDEX('Reward Model'!$E$18:$E$37,MATCH($E3455,'Reward Model'!$A$18:$A$37,0))</f>
        <v>Medium</v>
      </c>
      <c r="Z3455" s="4" t="n">
        <f aca="false">ROUND(MIN(1,MAX('Reward Model'!$B$2,INDEX('Reward Model'!$C$12:$C$14,MATCH($K3455,'Reward Model'!$A$12:$A$14,0))/$J3455)),3)</f>
        <v>1</v>
      </c>
      <c r="AA3455" s="2" t="n">
        <f aca="false">IF($I3455="Correct",ROUND(INDEX('Reward Model'!$B$12:$B$14,MATCH($K3455,'Reward Model'!$A$12:$A$14,0))*Z3455,2),0)</f>
        <v>0</v>
      </c>
      <c r="AB3455" s="2" t="n">
        <f aca="false">IF($I3455="Correct",ROUND(INDEX('Reward Model'!$B$12:$B$14,MATCH($Y3455,'Reward Model'!$A$12:$A$14,0))*Z3455,2),0)</f>
        <v>0</v>
      </c>
    </row>
    <row r="3456" customFormat="false" ht="15" hidden="false" customHeight="false" outlineLevel="0" collapsed="false">
      <c r="A3456" s="0" t="s">
        <v>476</v>
      </c>
      <c r="B3456" s="0" t="s">
        <v>477</v>
      </c>
      <c r="C3456" s="0" t="s">
        <v>322</v>
      </c>
      <c r="D3456" s="0" t="s">
        <v>189</v>
      </c>
      <c r="E3456" s="0" t="n">
        <v>15</v>
      </c>
      <c r="F3456" s="0" t="s">
        <v>69</v>
      </c>
      <c r="G3456" s="0" t="s">
        <v>94</v>
      </c>
      <c r="H3456" s="0" t="s">
        <v>70</v>
      </c>
      <c r="I3456" s="0" t="s">
        <v>39</v>
      </c>
      <c r="J3456" s="0" t="n">
        <v>2</v>
      </c>
      <c r="K3456" s="0" t="s">
        <v>60</v>
      </c>
      <c r="L3456" s="0" t="n">
        <f aca="false">INDEX(Summary!$F$2:$F$201,MATCH($B3456,Summary!$A$2:$A$201,0))</f>
        <v>20</v>
      </c>
      <c r="M3456" s="0" t="n">
        <f aca="false">INDEX(Summary!$I$2:$I$201,MATCH($B3456,Summary!$A$2:$A$201,0))</f>
        <v>1</v>
      </c>
      <c r="N3456" s="0" t="n">
        <f aca="false">INDEX(Summary!$J$2:$J$201,MATCH($B3456,Summary!$A$2:$A$201,0))</f>
        <v>4</v>
      </c>
      <c r="O3456" s="2" t="n">
        <f aca="false">INDEX(Summary!$K$2:$K$201,MATCH($B3456,Summary!$A$2:$A$201,0))</f>
        <v>10.49</v>
      </c>
      <c r="P3456" s="3" t="n">
        <f aca="false">INDEX(Summary!$L$2:$L$201,MATCH($B3456,Summary!$A$2:$A$201,0))</f>
        <v>3</v>
      </c>
      <c r="Q3456" s="3" t="n">
        <f aca="false">INDEX(Summary!$M$2:$M$201,MATCH($B3456,Summary!$A$2:$A$201,0))</f>
        <v>3</v>
      </c>
      <c r="R3456" s="2" t="n">
        <f aca="false">INDEX(Summary!$N$2:$N$201,MATCH($B3456,Summary!$A$2:$A$201,0))</f>
        <v>11.09</v>
      </c>
      <c r="S3456" s="3" t="n">
        <f aca="false">INDEX(Summary!$O$2:$O$201,MATCH($B3456,Summary!$A$2:$A$201,0))</f>
        <v>8</v>
      </c>
      <c r="T3456" s="3" t="n">
        <f aca="false">INDEX(Summary!$P$2:$P$201,MATCH($B3456,Summary!$A$2:$A$201,0))</f>
        <v>1</v>
      </c>
      <c r="U3456" s="2" t="n">
        <f aca="false">INDEX(Summary!$Q$2:$Q$201,MATCH($B3456,Summary!$A$2:$A$201,0))</f>
        <v>12.37</v>
      </c>
      <c r="V3456" s="2" t="n">
        <f aca="false">INDEX(Summary!$R$2:$R$201,MATCH($B3456,Summary!$A$2:$A$201,0))</f>
        <v>18.63</v>
      </c>
      <c r="W3456" s="0" t="str">
        <f aca="false">INDEX(Summary!$S$2:$S$201,MATCH($B3456,Summary!$A$2:$A$201,0))</f>
        <v>Bronze</v>
      </c>
      <c r="X3456" s="2" t="n">
        <f aca="false">INDEX(Summary!$T$2:$T$201,MATCH($B3456,Summary!$A$2:$A$201,0))</f>
        <v>45.44</v>
      </c>
      <c r="Y3456" s="0" t="str">
        <f aca="false">INDEX('Reward Model'!$E$18:$E$37,MATCH($E3456,'Reward Model'!$A$18:$A$37,0))</f>
        <v>Medium</v>
      </c>
      <c r="Z3456" s="4" t="n">
        <f aca="false">ROUND(MIN(1,MAX('Reward Model'!$B$2,INDEX('Reward Model'!$C$12:$C$14,MATCH($K3456,'Reward Model'!$A$12:$A$14,0))/$J3456)),3)</f>
        <v>0.9</v>
      </c>
      <c r="AA3456" s="2" t="n">
        <f aca="false">IF($I3456="Correct",ROUND(INDEX('Reward Model'!$B$12:$B$14,MATCH($K3456,'Reward Model'!$A$12:$A$14,0))*Z3456,2),0)</f>
        <v>0</v>
      </c>
      <c r="AB3456" s="2" t="n">
        <f aca="false">IF($I3456="Correct",ROUND(INDEX('Reward Model'!$B$12:$B$14,MATCH($Y3456,'Reward Model'!$A$12:$A$14,0))*Z3456,2),0)</f>
        <v>0</v>
      </c>
    </row>
    <row r="3457" customFormat="false" ht="15" hidden="false" customHeight="false" outlineLevel="0" collapsed="false">
      <c r="A3457" s="0" t="s">
        <v>476</v>
      </c>
      <c r="B3457" s="0" t="s">
        <v>477</v>
      </c>
      <c r="C3457" s="0" t="s">
        <v>322</v>
      </c>
      <c r="D3457" s="0" t="s">
        <v>189</v>
      </c>
      <c r="E3457" s="0" t="n">
        <v>16</v>
      </c>
      <c r="F3457" s="0" t="s">
        <v>71</v>
      </c>
      <c r="G3457" s="0" t="s">
        <v>101</v>
      </c>
      <c r="H3457" s="0" t="s">
        <v>72</v>
      </c>
      <c r="I3457" s="0" t="s">
        <v>39</v>
      </c>
      <c r="J3457" s="0" t="n">
        <v>2.53</v>
      </c>
      <c r="K3457" s="0" t="s">
        <v>73</v>
      </c>
      <c r="L3457" s="0" t="n">
        <f aca="false">INDEX(Summary!$F$2:$F$201,MATCH($B3457,Summary!$A$2:$A$201,0))</f>
        <v>20</v>
      </c>
      <c r="M3457" s="0" t="n">
        <f aca="false">INDEX(Summary!$I$2:$I$201,MATCH($B3457,Summary!$A$2:$A$201,0))</f>
        <v>1</v>
      </c>
      <c r="N3457" s="0" t="n">
        <f aca="false">INDEX(Summary!$J$2:$J$201,MATCH($B3457,Summary!$A$2:$A$201,0))</f>
        <v>4</v>
      </c>
      <c r="O3457" s="2" t="n">
        <f aca="false">INDEX(Summary!$K$2:$K$201,MATCH($B3457,Summary!$A$2:$A$201,0))</f>
        <v>10.49</v>
      </c>
      <c r="P3457" s="3" t="n">
        <f aca="false">INDEX(Summary!$L$2:$L$201,MATCH($B3457,Summary!$A$2:$A$201,0))</f>
        <v>3</v>
      </c>
      <c r="Q3457" s="3" t="n">
        <f aca="false">INDEX(Summary!$M$2:$M$201,MATCH($B3457,Summary!$A$2:$A$201,0))</f>
        <v>3</v>
      </c>
      <c r="R3457" s="2" t="n">
        <f aca="false">INDEX(Summary!$N$2:$N$201,MATCH($B3457,Summary!$A$2:$A$201,0))</f>
        <v>11.09</v>
      </c>
      <c r="S3457" s="3" t="n">
        <f aca="false">INDEX(Summary!$O$2:$O$201,MATCH($B3457,Summary!$A$2:$A$201,0))</f>
        <v>8</v>
      </c>
      <c r="T3457" s="3" t="n">
        <f aca="false">INDEX(Summary!$P$2:$P$201,MATCH($B3457,Summary!$A$2:$A$201,0))</f>
        <v>1</v>
      </c>
      <c r="U3457" s="2" t="n">
        <f aca="false">INDEX(Summary!$Q$2:$Q$201,MATCH($B3457,Summary!$A$2:$A$201,0))</f>
        <v>12.37</v>
      </c>
      <c r="V3457" s="2" t="n">
        <f aca="false">INDEX(Summary!$R$2:$R$201,MATCH($B3457,Summary!$A$2:$A$201,0))</f>
        <v>18.63</v>
      </c>
      <c r="W3457" s="0" t="str">
        <f aca="false">INDEX(Summary!$S$2:$S$201,MATCH($B3457,Summary!$A$2:$A$201,0))</f>
        <v>Bronze</v>
      </c>
      <c r="X3457" s="2" t="n">
        <f aca="false">INDEX(Summary!$T$2:$T$201,MATCH($B3457,Summary!$A$2:$A$201,0))</f>
        <v>45.44</v>
      </c>
      <c r="Y3457" s="0" t="str">
        <f aca="false">INDEX('Reward Model'!$E$18:$E$37,MATCH($E3457,'Reward Model'!$A$18:$A$37,0))</f>
        <v>High</v>
      </c>
      <c r="Z3457" s="4" t="n">
        <f aca="false">ROUND(MIN(1,MAX('Reward Model'!$B$2,INDEX('Reward Model'!$C$12:$C$14,MATCH($K3457,'Reward Model'!$A$12:$A$14,0))/$J3457)),3)</f>
        <v>0.791</v>
      </c>
      <c r="AA3457" s="2" t="n">
        <f aca="false">IF($I3457="Correct",ROUND(INDEX('Reward Model'!$B$12:$B$14,MATCH($K3457,'Reward Model'!$A$12:$A$14,0))*Z3457,2),0)</f>
        <v>0</v>
      </c>
      <c r="AB3457" s="2" t="n">
        <f aca="false">IF($I3457="Correct",ROUND(INDEX('Reward Model'!$B$12:$B$14,MATCH($Y3457,'Reward Model'!$A$12:$A$14,0))*Z3457,2),0)</f>
        <v>0</v>
      </c>
    </row>
    <row r="3458" customFormat="false" ht="15" hidden="false" customHeight="false" outlineLevel="0" collapsed="false">
      <c r="A3458" s="0" t="s">
        <v>476</v>
      </c>
      <c r="B3458" s="0" t="s">
        <v>477</v>
      </c>
      <c r="C3458" s="0" t="s">
        <v>322</v>
      </c>
      <c r="D3458" s="0" t="s">
        <v>189</v>
      </c>
      <c r="E3458" s="0" t="n">
        <v>17</v>
      </c>
      <c r="F3458" s="0" t="s">
        <v>74</v>
      </c>
      <c r="G3458" s="0" t="s">
        <v>113</v>
      </c>
      <c r="H3458" s="0" t="s">
        <v>75</v>
      </c>
      <c r="I3458" s="0" t="s">
        <v>39</v>
      </c>
      <c r="J3458" s="0" t="n">
        <v>2.48</v>
      </c>
      <c r="K3458" s="0" t="s">
        <v>73</v>
      </c>
      <c r="L3458" s="0" t="n">
        <f aca="false">INDEX(Summary!$F$2:$F$201,MATCH($B3458,Summary!$A$2:$A$201,0))</f>
        <v>20</v>
      </c>
      <c r="M3458" s="0" t="n">
        <f aca="false">INDEX(Summary!$I$2:$I$201,MATCH($B3458,Summary!$A$2:$A$201,0))</f>
        <v>1</v>
      </c>
      <c r="N3458" s="0" t="n">
        <f aca="false">INDEX(Summary!$J$2:$J$201,MATCH($B3458,Summary!$A$2:$A$201,0))</f>
        <v>4</v>
      </c>
      <c r="O3458" s="2" t="n">
        <f aca="false">INDEX(Summary!$K$2:$K$201,MATCH($B3458,Summary!$A$2:$A$201,0))</f>
        <v>10.49</v>
      </c>
      <c r="P3458" s="3" t="n">
        <f aca="false">INDEX(Summary!$L$2:$L$201,MATCH($B3458,Summary!$A$2:$A$201,0))</f>
        <v>3</v>
      </c>
      <c r="Q3458" s="3" t="n">
        <f aca="false">INDEX(Summary!$M$2:$M$201,MATCH($B3458,Summary!$A$2:$A$201,0))</f>
        <v>3</v>
      </c>
      <c r="R3458" s="2" t="n">
        <f aca="false">INDEX(Summary!$N$2:$N$201,MATCH($B3458,Summary!$A$2:$A$201,0))</f>
        <v>11.09</v>
      </c>
      <c r="S3458" s="3" t="n">
        <f aca="false">INDEX(Summary!$O$2:$O$201,MATCH($B3458,Summary!$A$2:$A$201,0))</f>
        <v>8</v>
      </c>
      <c r="T3458" s="3" t="n">
        <f aca="false">INDEX(Summary!$P$2:$P$201,MATCH($B3458,Summary!$A$2:$A$201,0))</f>
        <v>1</v>
      </c>
      <c r="U3458" s="2" t="n">
        <f aca="false">INDEX(Summary!$Q$2:$Q$201,MATCH($B3458,Summary!$A$2:$A$201,0))</f>
        <v>12.37</v>
      </c>
      <c r="V3458" s="2" t="n">
        <f aca="false">INDEX(Summary!$R$2:$R$201,MATCH($B3458,Summary!$A$2:$A$201,0))</f>
        <v>18.63</v>
      </c>
      <c r="W3458" s="0" t="str">
        <f aca="false">INDEX(Summary!$S$2:$S$201,MATCH($B3458,Summary!$A$2:$A$201,0))</f>
        <v>Bronze</v>
      </c>
      <c r="X3458" s="2" t="n">
        <f aca="false">INDEX(Summary!$T$2:$T$201,MATCH($B3458,Summary!$A$2:$A$201,0))</f>
        <v>45.44</v>
      </c>
      <c r="Y3458" s="0" t="str">
        <f aca="false">INDEX('Reward Model'!$E$18:$E$37,MATCH($E3458,'Reward Model'!$A$18:$A$37,0))</f>
        <v>High</v>
      </c>
      <c r="Z3458" s="4" t="n">
        <f aca="false">ROUND(MIN(1,MAX('Reward Model'!$B$2,INDEX('Reward Model'!$C$12:$C$14,MATCH($K3458,'Reward Model'!$A$12:$A$14,0))/$J3458)),3)</f>
        <v>0.806</v>
      </c>
      <c r="AA3458" s="2" t="n">
        <f aca="false">IF($I3458="Correct",ROUND(INDEX('Reward Model'!$B$12:$B$14,MATCH($K3458,'Reward Model'!$A$12:$A$14,0))*Z3458,2),0)</f>
        <v>0</v>
      </c>
      <c r="AB3458" s="2" t="n">
        <f aca="false">IF($I3458="Correct",ROUND(INDEX('Reward Model'!$B$12:$B$14,MATCH($Y3458,'Reward Model'!$A$12:$A$14,0))*Z3458,2),0)</f>
        <v>0</v>
      </c>
    </row>
    <row r="3459" customFormat="false" ht="15" hidden="false" customHeight="false" outlineLevel="0" collapsed="false">
      <c r="A3459" s="0" t="s">
        <v>476</v>
      </c>
      <c r="B3459" s="0" t="s">
        <v>477</v>
      </c>
      <c r="C3459" s="0" t="s">
        <v>322</v>
      </c>
      <c r="D3459" s="0" t="s">
        <v>189</v>
      </c>
      <c r="E3459" s="0" t="n">
        <v>18</v>
      </c>
      <c r="F3459" s="0" t="s">
        <v>76</v>
      </c>
      <c r="G3459" s="0" t="s">
        <v>88</v>
      </c>
      <c r="H3459" s="0" t="s">
        <v>77</v>
      </c>
      <c r="I3459" s="0" t="s">
        <v>39</v>
      </c>
      <c r="J3459" s="0" t="n">
        <v>1.47</v>
      </c>
      <c r="K3459" s="0" t="s">
        <v>73</v>
      </c>
      <c r="L3459" s="0" t="n">
        <f aca="false">INDEX(Summary!$F$2:$F$201,MATCH($B3459,Summary!$A$2:$A$201,0))</f>
        <v>20</v>
      </c>
      <c r="M3459" s="0" t="n">
        <f aca="false">INDEX(Summary!$I$2:$I$201,MATCH($B3459,Summary!$A$2:$A$201,0))</f>
        <v>1</v>
      </c>
      <c r="N3459" s="0" t="n">
        <f aca="false">INDEX(Summary!$J$2:$J$201,MATCH($B3459,Summary!$A$2:$A$201,0))</f>
        <v>4</v>
      </c>
      <c r="O3459" s="2" t="n">
        <f aca="false">INDEX(Summary!$K$2:$K$201,MATCH($B3459,Summary!$A$2:$A$201,0))</f>
        <v>10.49</v>
      </c>
      <c r="P3459" s="3" t="n">
        <f aca="false">INDEX(Summary!$L$2:$L$201,MATCH($B3459,Summary!$A$2:$A$201,0))</f>
        <v>3</v>
      </c>
      <c r="Q3459" s="3" t="n">
        <f aca="false">INDEX(Summary!$M$2:$M$201,MATCH($B3459,Summary!$A$2:$A$201,0))</f>
        <v>3</v>
      </c>
      <c r="R3459" s="2" t="n">
        <f aca="false">INDEX(Summary!$N$2:$N$201,MATCH($B3459,Summary!$A$2:$A$201,0))</f>
        <v>11.09</v>
      </c>
      <c r="S3459" s="3" t="n">
        <f aca="false">INDEX(Summary!$O$2:$O$201,MATCH($B3459,Summary!$A$2:$A$201,0))</f>
        <v>8</v>
      </c>
      <c r="T3459" s="3" t="n">
        <f aca="false">INDEX(Summary!$P$2:$P$201,MATCH($B3459,Summary!$A$2:$A$201,0))</f>
        <v>1</v>
      </c>
      <c r="U3459" s="2" t="n">
        <f aca="false">INDEX(Summary!$Q$2:$Q$201,MATCH($B3459,Summary!$A$2:$A$201,0))</f>
        <v>12.37</v>
      </c>
      <c r="V3459" s="2" t="n">
        <f aca="false">INDEX(Summary!$R$2:$R$201,MATCH($B3459,Summary!$A$2:$A$201,0))</f>
        <v>18.63</v>
      </c>
      <c r="W3459" s="0" t="str">
        <f aca="false">INDEX(Summary!$S$2:$S$201,MATCH($B3459,Summary!$A$2:$A$201,0))</f>
        <v>Bronze</v>
      </c>
      <c r="X3459" s="2" t="n">
        <f aca="false">INDEX(Summary!$T$2:$T$201,MATCH($B3459,Summary!$A$2:$A$201,0))</f>
        <v>45.44</v>
      </c>
      <c r="Y3459" s="0" t="str">
        <f aca="false">INDEX('Reward Model'!$E$18:$E$37,MATCH($E3459,'Reward Model'!$A$18:$A$37,0))</f>
        <v>High</v>
      </c>
      <c r="Z3459" s="4" t="n">
        <f aca="false">ROUND(MIN(1,MAX('Reward Model'!$B$2,INDEX('Reward Model'!$C$12:$C$14,MATCH($K3459,'Reward Model'!$A$12:$A$14,0))/$J3459)),3)</f>
        <v>1</v>
      </c>
      <c r="AA3459" s="2" t="n">
        <f aca="false">IF($I3459="Correct",ROUND(INDEX('Reward Model'!$B$12:$B$14,MATCH($K3459,'Reward Model'!$A$12:$A$14,0))*Z3459,2),0)</f>
        <v>0</v>
      </c>
      <c r="AB3459" s="2" t="n">
        <f aca="false">IF($I3459="Correct",ROUND(INDEX('Reward Model'!$B$12:$B$14,MATCH($Y3459,'Reward Model'!$A$12:$A$14,0))*Z3459,2),0)</f>
        <v>0</v>
      </c>
    </row>
    <row r="3460" customFormat="false" ht="15" hidden="false" customHeight="false" outlineLevel="0" collapsed="false">
      <c r="A3460" s="0" t="s">
        <v>476</v>
      </c>
      <c r="B3460" s="0" t="s">
        <v>477</v>
      </c>
      <c r="C3460" s="0" t="s">
        <v>322</v>
      </c>
      <c r="D3460" s="0" t="s">
        <v>189</v>
      </c>
      <c r="E3460" s="0" t="n">
        <v>19</v>
      </c>
      <c r="F3460" s="0" t="s">
        <v>78</v>
      </c>
      <c r="G3460" s="0" t="s">
        <v>132</v>
      </c>
      <c r="H3460" s="0" t="s">
        <v>80</v>
      </c>
      <c r="I3460" s="0" t="s">
        <v>39</v>
      </c>
      <c r="J3460" s="0" t="n">
        <v>1.44</v>
      </c>
      <c r="K3460" s="0" t="s">
        <v>73</v>
      </c>
      <c r="L3460" s="0" t="n">
        <f aca="false">INDEX(Summary!$F$2:$F$201,MATCH($B3460,Summary!$A$2:$A$201,0))</f>
        <v>20</v>
      </c>
      <c r="M3460" s="0" t="n">
        <f aca="false">INDEX(Summary!$I$2:$I$201,MATCH($B3460,Summary!$A$2:$A$201,0))</f>
        <v>1</v>
      </c>
      <c r="N3460" s="0" t="n">
        <f aca="false">INDEX(Summary!$J$2:$J$201,MATCH($B3460,Summary!$A$2:$A$201,0))</f>
        <v>4</v>
      </c>
      <c r="O3460" s="2" t="n">
        <f aca="false">INDEX(Summary!$K$2:$K$201,MATCH($B3460,Summary!$A$2:$A$201,0))</f>
        <v>10.49</v>
      </c>
      <c r="P3460" s="3" t="n">
        <f aca="false">INDEX(Summary!$L$2:$L$201,MATCH($B3460,Summary!$A$2:$A$201,0))</f>
        <v>3</v>
      </c>
      <c r="Q3460" s="3" t="n">
        <f aca="false">INDEX(Summary!$M$2:$M$201,MATCH($B3460,Summary!$A$2:$A$201,0))</f>
        <v>3</v>
      </c>
      <c r="R3460" s="2" t="n">
        <f aca="false">INDEX(Summary!$N$2:$N$201,MATCH($B3460,Summary!$A$2:$A$201,0))</f>
        <v>11.09</v>
      </c>
      <c r="S3460" s="3" t="n">
        <f aca="false">INDEX(Summary!$O$2:$O$201,MATCH($B3460,Summary!$A$2:$A$201,0))</f>
        <v>8</v>
      </c>
      <c r="T3460" s="3" t="n">
        <f aca="false">INDEX(Summary!$P$2:$P$201,MATCH($B3460,Summary!$A$2:$A$201,0))</f>
        <v>1</v>
      </c>
      <c r="U3460" s="2" t="n">
        <f aca="false">INDEX(Summary!$Q$2:$Q$201,MATCH($B3460,Summary!$A$2:$A$201,0))</f>
        <v>12.37</v>
      </c>
      <c r="V3460" s="2" t="n">
        <f aca="false">INDEX(Summary!$R$2:$R$201,MATCH($B3460,Summary!$A$2:$A$201,0))</f>
        <v>18.63</v>
      </c>
      <c r="W3460" s="0" t="str">
        <f aca="false">INDEX(Summary!$S$2:$S$201,MATCH($B3460,Summary!$A$2:$A$201,0))</f>
        <v>Bronze</v>
      </c>
      <c r="X3460" s="2" t="n">
        <f aca="false">INDEX(Summary!$T$2:$T$201,MATCH($B3460,Summary!$A$2:$A$201,0))</f>
        <v>45.44</v>
      </c>
      <c r="Y3460" s="0" t="str">
        <f aca="false">INDEX('Reward Model'!$E$18:$E$37,MATCH($E3460,'Reward Model'!$A$18:$A$37,0))</f>
        <v>High</v>
      </c>
      <c r="Z3460" s="4" t="n">
        <f aca="false">ROUND(MIN(1,MAX('Reward Model'!$B$2,INDEX('Reward Model'!$C$12:$C$14,MATCH($K3460,'Reward Model'!$A$12:$A$14,0))/$J3460)),3)</f>
        <v>1</v>
      </c>
      <c r="AA3460" s="2" t="n">
        <f aca="false">IF($I3460="Correct",ROUND(INDEX('Reward Model'!$B$12:$B$14,MATCH($K3460,'Reward Model'!$A$12:$A$14,0))*Z3460,2),0)</f>
        <v>0</v>
      </c>
      <c r="AB3460" s="2" t="n">
        <f aca="false">IF($I3460="Correct",ROUND(INDEX('Reward Model'!$B$12:$B$14,MATCH($Y3460,'Reward Model'!$A$12:$A$14,0))*Z3460,2),0)</f>
        <v>0</v>
      </c>
    </row>
    <row r="3461" customFormat="false" ht="15" hidden="false" customHeight="false" outlineLevel="0" collapsed="false">
      <c r="A3461" s="0" t="s">
        <v>476</v>
      </c>
      <c r="B3461" s="0" t="s">
        <v>477</v>
      </c>
      <c r="C3461" s="0" t="s">
        <v>322</v>
      </c>
      <c r="D3461" s="0" t="s">
        <v>189</v>
      </c>
      <c r="E3461" s="0" t="n">
        <v>20</v>
      </c>
      <c r="F3461" s="0" t="s">
        <v>81</v>
      </c>
      <c r="G3461" s="0" t="s">
        <v>83</v>
      </c>
      <c r="H3461" s="0" t="s">
        <v>83</v>
      </c>
      <c r="I3461" s="0" t="s">
        <v>34</v>
      </c>
      <c r="J3461" s="0" t="n">
        <v>2.57</v>
      </c>
      <c r="K3461" s="0" t="s">
        <v>73</v>
      </c>
      <c r="L3461" s="0" t="n">
        <f aca="false">INDEX(Summary!$F$2:$F$201,MATCH($B3461,Summary!$A$2:$A$201,0))</f>
        <v>20</v>
      </c>
      <c r="M3461" s="0" t="n">
        <f aca="false">INDEX(Summary!$I$2:$I$201,MATCH($B3461,Summary!$A$2:$A$201,0))</f>
        <v>1</v>
      </c>
      <c r="N3461" s="0" t="n">
        <f aca="false">INDEX(Summary!$J$2:$J$201,MATCH($B3461,Summary!$A$2:$A$201,0))</f>
        <v>4</v>
      </c>
      <c r="O3461" s="2" t="n">
        <f aca="false">INDEX(Summary!$K$2:$K$201,MATCH($B3461,Summary!$A$2:$A$201,0))</f>
        <v>10.49</v>
      </c>
      <c r="P3461" s="3" t="n">
        <f aca="false">INDEX(Summary!$L$2:$L$201,MATCH($B3461,Summary!$A$2:$A$201,0))</f>
        <v>3</v>
      </c>
      <c r="Q3461" s="3" t="n">
        <f aca="false">INDEX(Summary!$M$2:$M$201,MATCH($B3461,Summary!$A$2:$A$201,0))</f>
        <v>3</v>
      </c>
      <c r="R3461" s="2" t="n">
        <f aca="false">INDEX(Summary!$N$2:$N$201,MATCH($B3461,Summary!$A$2:$A$201,0))</f>
        <v>11.09</v>
      </c>
      <c r="S3461" s="3" t="n">
        <f aca="false">INDEX(Summary!$O$2:$O$201,MATCH($B3461,Summary!$A$2:$A$201,0))</f>
        <v>8</v>
      </c>
      <c r="T3461" s="3" t="n">
        <f aca="false">INDEX(Summary!$P$2:$P$201,MATCH($B3461,Summary!$A$2:$A$201,0))</f>
        <v>1</v>
      </c>
      <c r="U3461" s="2" t="n">
        <f aca="false">INDEX(Summary!$Q$2:$Q$201,MATCH($B3461,Summary!$A$2:$A$201,0))</f>
        <v>12.37</v>
      </c>
      <c r="V3461" s="2" t="n">
        <f aca="false">INDEX(Summary!$R$2:$R$201,MATCH($B3461,Summary!$A$2:$A$201,0))</f>
        <v>18.63</v>
      </c>
      <c r="W3461" s="0" t="str">
        <f aca="false">INDEX(Summary!$S$2:$S$201,MATCH($B3461,Summary!$A$2:$A$201,0))</f>
        <v>Bronze</v>
      </c>
      <c r="X3461" s="2" t="n">
        <f aca="false">INDEX(Summary!$T$2:$T$201,MATCH($B3461,Summary!$A$2:$A$201,0))</f>
        <v>45.44</v>
      </c>
      <c r="Y3461" s="0" t="str">
        <f aca="false">INDEX('Reward Model'!$E$18:$E$37,MATCH($E3461,'Reward Model'!$A$18:$A$37,0))</f>
        <v>High</v>
      </c>
      <c r="Z3461" s="4" t="n">
        <f aca="false">ROUND(MIN(1,MAX('Reward Model'!$B$2,INDEX('Reward Model'!$C$12:$C$14,MATCH($K3461,'Reward Model'!$A$12:$A$14,0))/$J3461)),3)</f>
        <v>0.778</v>
      </c>
      <c r="AA3461" s="2" t="n">
        <f aca="false">IF($I3461="Correct",ROUND(INDEX('Reward Model'!$B$12:$B$14,MATCH($K3461,'Reward Model'!$A$12:$A$14,0))*Z3461,2),0)</f>
        <v>2.33</v>
      </c>
      <c r="AB3461" s="2" t="n">
        <f aca="false">IF($I3461="Correct",ROUND(INDEX('Reward Model'!$B$12:$B$14,MATCH($Y3461,'Reward Model'!$A$12:$A$14,0))*Z3461,2),0)</f>
        <v>2.33</v>
      </c>
    </row>
    <row r="3462" customFormat="false" ht="15" hidden="false" customHeight="false" outlineLevel="0" collapsed="false">
      <c r="A3462" s="0" t="s">
        <v>478</v>
      </c>
      <c r="B3462" s="0" t="s">
        <v>479</v>
      </c>
      <c r="C3462" s="0" t="s">
        <v>322</v>
      </c>
      <c r="D3462" s="0" t="s">
        <v>189</v>
      </c>
      <c r="E3462" s="0" t="n">
        <v>1</v>
      </c>
      <c r="F3462" s="0" t="s">
        <v>32</v>
      </c>
      <c r="G3462" s="0" t="s">
        <v>33</v>
      </c>
      <c r="H3462" s="0" t="s">
        <v>33</v>
      </c>
      <c r="I3462" s="0" t="s">
        <v>34</v>
      </c>
      <c r="J3462" s="0" t="n">
        <v>0.98</v>
      </c>
      <c r="K3462" s="0" t="s">
        <v>35</v>
      </c>
      <c r="L3462" s="0" t="n">
        <f aca="false">INDEX(Summary!$F$2:$F$201,MATCH($B3462,Summary!$A$2:$A$201,0))</f>
        <v>20</v>
      </c>
      <c r="M3462" s="0" t="n">
        <f aca="false">INDEX(Summary!$I$2:$I$201,MATCH($B3462,Summary!$A$2:$A$201,0))</f>
        <v>2</v>
      </c>
      <c r="N3462" s="0" t="n">
        <f aca="false">INDEX(Summary!$J$2:$J$201,MATCH($B3462,Summary!$A$2:$A$201,0))</f>
        <v>3</v>
      </c>
      <c r="O3462" s="2" t="n">
        <f aca="false">INDEX(Summary!$K$2:$K$201,MATCH($B3462,Summary!$A$2:$A$201,0))</f>
        <v>9</v>
      </c>
      <c r="P3462" s="3" t="n">
        <f aca="false">INDEX(Summary!$L$2:$L$201,MATCH($B3462,Summary!$A$2:$A$201,0))</f>
        <v>4</v>
      </c>
      <c r="Q3462" s="3" t="n">
        <f aca="false">INDEX(Summary!$M$2:$M$201,MATCH($B3462,Summary!$A$2:$A$201,0))</f>
        <v>2</v>
      </c>
      <c r="R3462" s="2" t="n">
        <f aca="false">INDEX(Summary!$N$2:$N$201,MATCH($B3462,Summary!$A$2:$A$201,0))</f>
        <v>9.92</v>
      </c>
      <c r="S3462" s="3" t="n">
        <f aca="false">INDEX(Summary!$O$2:$O$201,MATCH($B3462,Summary!$A$2:$A$201,0))</f>
        <v>8</v>
      </c>
      <c r="T3462" s="3" t="n">
        <f aca="false">INDEX(Summary!$P$2:$P$201,MATCH($B3462,Summary!$A$2:$A$201,0))</f>
        <v>1</v>
      </c>
      <c r="U3462" s="2" t="n">
        <f aca="false">INDEX(Summary!$Q$2:$Q$201,MATCH($B3462,Summary!$A$2:$A$201,0))</f>
        <v>13.16</v>
      </c>
      <c r="V3462" s="2" t="n">
        <f aca="false">INDEX(Summary!$R$2:$R$201,MATCH($B3462,Summary!$A$2:$A$201,0))</f>
        <v>24.68</v>
      </c>
      <c r="W3462" s="0" t="str">
        <f aca="false">INDEX(Summary!$S$2:$S$201,MATCH($B3462,Summary!$A$2:$A$201,0))</f>
        <v>Silver</v>
      </c>
      <c r="X3462" s="2" t="n">
        <f aca="false">INDEX(Summary!$T$2:$T$201,MATCH($B3462,Summary!$A$2:$A$201,0))</f>
        <v>60.2</v>
      </c>
      <c r="Y3462" s="0" t="str">
        <f aca="false">INDEX('Reward Model'!$E$18:$E$37,MATCH($E3462,'Reward Model'!$A$18:$A$37,0))</f>
        <v>Medium</v>
      </c>
      <c r="Z3462" s="4" t="n">
        <f aca="false">ROUND(MIN(1,MAX('Reward Model'!$B$2,INDEX('Reward Model'!$C$12:$C$14,MATCH($K3462,'Reward Model'!$A$12:$A$14,0))/$J3462)),3)</f>
        <v>1</v>
      </c>
      <c r="AA3462" s="2" t="n">
        <f aca="false">IF($I3462="Correct",ROUND(INDEX('Reward Model'!$B$12:$B$14,MATCH($K3462,'Reward Model'!$A$12:$A$14,0))*Z3462,2),0)</f>
        <v>1</v>
      </c>
      <c r="AB3462" s="2" t="n">
        <f aca="false">IF($I3462="Correct",ROUND(INDEX('Reward Model'!$B$12:$B$14,MATCH($Y3462,'Reward Model'!$A$12:$A$14,0))*Z3462,2),0)</f>
        <v>2</v>
      </c>
    </row>
    <row r="3463" customFormat="false" ht="15" hidden="false" customHeight="false" outlineLevel="0" collapsed="false">
      <c r="A3463" s="0" t="s">
        <v>478</v>
      </c>
      <c r="B3463" s="0" t="s">
        <v>479</v>
      </c>
      <c r="C3463" s="0" t="s">
        <v>322</v>
      </c>
      <c r="D3463" s="0" t="s">
        <v>189</v>
      </c>
      <c r="E3463" s="0" t="n">
        <v>2</v>
      </c>
      <c r="F3463" s="0" t="s">
        <v>36</v>
      </c>
      <c r="G3463" s="0" t="s">
        <v>38</v>
      </c>
      <c r="H3463" s="0" t="s">
        <v>38</v>
      </c>
      <c r="I3463" s="0" t="s">
        <v>34</v>
      </c>
      <c r="J3463" s="0" t="n">
        <v>1.76</v>
      </c>
      <c r="K3463" s="0" t="s">
        <v>35</v>
      </c>
      <c r="L3463" s="0" t="n">
        <f aca="false">INDEX(Summary!$F$2:$F$201,MATCH($B3463,Summary!$A$2:$A$201,0))</f>
        <v>20</v>
      </c>
      <c r="M3463" s="0" t="n">
        <f aca="false">INDEX(Summary!$I$2:$I$201,MATCH($B3463,Summary!$A$2:$A$201,0))</f>
        <v>2</v>
      </c>
      <c r="N3463" s="0" t="n">
        <f aca="false">INDEX(Summary!$J$2:$J$201,MATCH($B3463,Summary!$A$2:$A$201,0))</f>
        <v>3</v>
      </c>
      <c r="O3463" s="2" t="n">
        <f aca="false">INDEX(Summary!$K$2:$K$201,MATCH($B3463,Summary!$A$2:$A$201,0))</f>
        <v>9</v>
      </c>
      <c r="P3463" s="3" t="n">
        <f aca="false">INDEX(Summary!$L$2:$L$201,MATCH($B3463,Summary!$A$2:$A$201,0))</f>
        <v>4</v>
      </c>
      <c r="Q3463" s="3" t="n">
        <f aca="false">INDEX(Summary!$M$2:$M$201,MATCH($B3463,Summary!$A$2:$A$201,0))</f>
        <v>2</v>
      </c>
      <c r="R3463" s="2" t="n">
        <f aca="false">INDEX(Summary!$N$2:$N$201,MATCH($B3463,Summary!$A$2:$A$201,0))</f>
        <v>9.92</v>
      </c>
      <c r="S3463" s="3" t="n">
        <f aca="false">INDEX(Summary!$O$2:$O$201,MATCH($B3463,Summary!$A$2:$A$201,0))</f>
        <v>8</v>
      </c>
      <c r="T3463" s="3" t="n">
        <f aca="false">INDEX(Summary!$P$2:$P$201,MATCH($B3463,Summary!$A$2:$A$201,0))</f>
        <v>1</v>
      </c>
      <c r="U3463" s="2" t="n">
        <f aca="false">INDEX(Summary!$Q$2:$Q$201,MATCH($B3463,Summary!$A$2:$A$201,0))</f>
        <v>13.16</v>
      </c>
      <c r="V3463" s="2" t="n">
        <f aca="false">INDEX(Summary!$R$2:$R$201,MATCH($B3463,Summary!$A$2:$A$201,0))</f>
        <v>24.68</v>
      </c>
      <c r="W3463" s="0" t="str">
        <f aca="false">INDEX(Summary!$S$2:$S$201,MATCH($B3463,Summary!$A$2:$A$201,0))</f>
        <v>Silver</v>
      </c>
      <c r="X3463" s="2" t="n">
        <f aca="false">INDEX(Summary!$T$2:$T$201,MATCH($B3463,Summary!$A$2:$A$201,0))</f>
        <v>60.2</v>
      </c>
      <c r="Y3463" s="0" t="str">
        <f aca="false">INDEX('Reward Model'!$E$18:$E$37,MATCH($E3463,'Reward Model'!$A$18:$A$37,0))</f>
        <v>Low</v>
      </c>
      <c r="Z3463" s="4" t="n">
        <f aca="false">ROUND(MIN(1,MAX('Reward Model'!$B$2,INDEX('Reward Model'!$C$12:$C$14,MATCH($K3463,'Reward Model'!$A$12:$A$14,0))/$J3463)),3)</f>
        <v>0.852</v>
      </c>
      <c r="AA3463" s="2" t="n">
        <f aca="false">IF($I3463="Correct",ROUND(INDEX('Reward Model'!$B$12:$B$14,MATCH($K3463,'Reward Model'!$A$12:$A$14,0))*Z3463,2),0)</f>
        <v>0.85</v>
      </c>
      <c r="AB3463" s="2" t="n">
        <f aca="false">IF($I3463="Correct",ROUND(INDEX('Reward Model'!$B$12:$B$14,MATCH($Y3463,'Reward Model'!$A$12:$A$14,0))*Z3463,2),0)</f>
        <v>0.85</v>
      </c>
    </row>
    <row r="3464" customFormat="false" ht="15" hidden="false" customHeight="false" outlineLevel="0" collapsed="false">
      <c r="A3464" s="0" t="s">
        <v>478</v>
      </c>
      <c r="B3464" s="0" t="s">
        <v>479</v>
      </c>
      <c r="C3464" s="0" t="s">
        <v>322</v>
      </c>
      <c r="D3464" s="0" t="s">
        <v>189</v>
      </c>
      <c r="E3464" s="0" t="n">
        <v>3</v>
      </c>
      <c r="F3464" s="0" t="s">
        <v>40</v>
      </c>
      <c r="G3464" s="0" t="s">
        <v>42</v>
      </c>
      <c r="H3464" s="0" t="s">
        <v>42</v>
      </c>
      <c r="I3464" s="0" t="s">
        <v>34</v>
      </c>
      <c r="J3464" s="0" t="n">
        <v>1.77</v>
      </c>
      <c r="K3464" s="0" t="s">
        <v>35</v>
      </c>
      <c r="L3464" s="0" t="n">
        <f aca="false">INDEX(Summary!$F$2:$F$201,MATCH($B3464,Summary!$A$2:$A$201,0))</f>
        <v>20</v>
      </c>
      <c r="M3464" s="0" t="n">
        <f aca="false">INDEX(Summary!$I$2:$I$201,MATCH($B3464,Summary!$A$2:$A$201,0))</f>
        <v>2</v>
      </c>
      <c r="N3464" s="0" t="n">
        <f aca="false">INDEX(Summary!$J$2:$J$201,MATCH($B3464,Summary!$A$2:$A$201,0))</f>
        <v>3</v>
      </c>
      <c r="O3464" s="2" t="n">
        <f aca="false">INDEX(Summary!$K$2:$K$201,MATCH($B3464,Summary!$A$2:$A$201,0))</f>
        <v>9</v>
      </c>
      <c r="P3464" s="3" t="n">
        <f aca="false">INDEX(Summary!$L$2:$L$201,MATCH($B3464,Summary!$A$2:$A$201,0))</f>
        <v>4</v>
      </c>
      <c r="Q3464" s="3" t="n">
        <f aca="false">INDEX(Summary!$M$2:$M$201,MATCH($B3464,Summary!$A$2:$A$201,0))</f>
        <v>2</v>
      </c>
      <c r="R3464" s="2" t="n">
        <f aca="false">INDEX(Summary!$N$2:$N$201,MATCH($B3464,Summary!$A$2:$A$201,0))</f>
        <v>9.92</v>
      </c>
      <c r="S3464" s="3" t="n">
        <f aca="false">INDEX(Summary!$O$2:$O$201,MATCH($B3464,Summary!$A$2:$A$201,0))</f>
        <v>8</v>
      </c>
      <c r="T3464" s="3" t="n">
        <f aca="false">INDEX(Summary!$P$2:$P$201,MATCH($B3464,Summary!$A$2:$A$201,0))</f>
        <v>1</v>
      </c>
      <c r="U3464" s="2" t="n">
        <f aca="false">INDEX(Summary!$Q$2:$Q$201,MATCH($B3464,Summary!$A$2:$A$201,0))</f>
        <v>13.16</v>
      </c>
      <c r="V3464" s="2" t="n">
        <f aca="false">INDEX(Summary!$R$2:$R$201,MATCH($B3464,Summary!$A$2:$A$201,0))</f>
        <v>24.68</v>
      </c>
      <c r="W3464" s="0" t="str">
        <f aca="false">INDEX(Summary!$S$2:$S$201,MATCH($B3464,Summary!$A$2:$A$201,0))</f>
        <v>Silver</v>
      </c>
      <c r="X3464" s="2" t="n">
        <f aca="false">INDEX(Summary!$T$2:$T$201,MATCH($B3464,Summary!$A$2:$A$201,0))</f>
        <v>60.2</v>
      </c>
      <c r="Y3464" s="0" t="str">
        <f aca="false">INDEX('Reward Model'!$E$18:$E$37,MATCH($E3464,'Reward Model'!$A$18:$A$37,0))</f>
        <v>Medium</v>
      </c>
      <c r="Z3464" s="4" t="n">
        <f aca="false">ROUND(MIN(1,MAX('Reward Model'!$B$2,INDEX('Reward Model'!$C$12:$C$14,MATCH($K3464,'Reward Model'!$A$12:$A$14,0))/$J3464)),3)</f>
        <v>0.847</v>
      </c>
      <c r="AA3464" s="2" t="n">
        <f aca="false">IF($I3464="Correct",ROUND(INDEX('Reward Model'!$B$12:$B$14,MATCH($K3464,'Reward Model'!$A$12:$A$14,0))*Z3464,2),0)</f>
        <v>0.85</v>
      </c>
      <c r="AB3464" s="2" t="n">
        <f aca="false">IF($I3464="Correct",ROUND(INDEX('Reward Model'!$B$12:$B$14,MATCH($Y3464,'Reward Model'!$A$12:$A$14,0))*Z3464,2),0)</f>
        <v>1.69</v>
      </c>
    </row>
    <row r="3465" customFormat="false" ht="15" hidden="false" customHeight="false" outlineLevel="0" collapsed="false">
      <c r="A3465" s="0" t="s">
        <v>478</v>
      </c>
      <c r="B3465" s="0" t="s">
        <v>479</v>
      </c>
      <c r="C3465" s="0" t="s">
        <v>322</v>
      </c>
      <c r="D3465" s="0" t="s">
        <v>189</v>
      </c>
      <c r="E3465" s="0" t="n">
        <v>4</v>
      </c>
      <c r="F3465" s="0" t="s">
        <v>43</v>
      </c>
      <c r="G3465" s="0" t="s">
        <v>45</v>
      </c>
      <c r="H3465" s="0" t="s">
        <v>45</v>
      </c>
      <c r="I3465" s="0" t="s">
        <v>34</v>
      </c>
      <c r="J3465" s="0" t="n">
        <v>1.08</v>
      </c>
      <c r="K3465" s="0" t="s">
        <v>35</v>
      </c>
      <c r="L3465" s="0" t="n">
        <f aca="false">INDEX(Summary!$F$2:$F$201,MATCH($B3465,Summary!$A$2:$A$201,0))</f>
        <v>20</v>
      </c>
      <c r="M3465" s="0" t="n">
        <f aca="false">INDEX(Summary!$I$2:$I$201,MATCH($B3465,Summary!$A$2:$A$201,0))</f>
        <v>2</v>
      </c>
      <c r="N3465" s="0" t="n">
        <f aca="false">INDEX(Summary!$J$2:$J$201,MATCH($B3465,Summary!$A$2:$A$201,0))</f>
        <v>3</v>
      </c>
      <c r="O3465" s="2" t="n">
        <f aca="false">INDEX(Summary!$K$2:$K$201,MATCH($B3465,Summary!$A$2:$A$201,0))</f>
        <v>9</v>
      </c>
      <c r="P3465" s="3" t="n">
        <f aca="false">INDEX(Summary!$L$2:$L$201,MATCH($B3465,Summary!$A$2:$A$201,0))</f>
        <v>4</v>
      </c>
      <c r="Q3465" s="3" t="n">
        <f aca="false">INDEX(Summary!$M$2:$M$201,MATCH($B3465,Summary!$A$2:$A$201,0))</f>
        <v>2</v>
      </c>
      <c r="R3465" s="2" t="n">
        <f aca="false">INDEX(Summary!$N$2:$N$201,MATCH($B3465,Summary!$A$2:$A$201,0))</f>
        <v>9.92</v>
      </c>
      <c r="S3465" s="3" t="n">
        <f aca="false">INDEX(Summary!$O$2:$O$201,MATCH($B3465,Summary!$A$2:$A$201,0))</f>
        <v>8</v>
      </c>
      <c r="T3465" s="3" t="n">
        <f aca="false">INDEX(Summary!$P$2:$P$201,MATCH($B3465,Summary!$A$2:$A$201,0))</f>
        <v>1</v>
      </c>
      <c r="U3465" s="2" t="n">
        <f aca="false">INDEX(Summary!$Q$2:$Q$201,MATCH($B3465,Summary!$A$2:$A$201,0))</f>
        <v>13.16</v>
      </c>
      <c r="V3465" s="2" t="n">
        <f aca="false">INDEX(Summary!$R$2:$R$201,MATCH($B3465,Summary!$A$2:$A$201,0))</f>
        <v>24.68</v>
      </c>
      <c r="W3465" s="0" t="str">
        <f aca="false">INDEX(Summary!$S$2:$S$201,MATCH($B3465,Summary!$A$2:$A$201,0))</f>
        <v>Silver</v>
      </c>
      <c r="X3465" s="2" t="n">
        <f aca="false">INDEX(Summary!$T$2:$T$201,MATCH($B3465,Summary!$A$2:$A$201,0))</f>
        <v>60.2</v>
      </c>
      <c r="Y3465" s="0" t="str">
        <f aca="false">INDEX('Reward Model'!$E$18:$E$37,MATCH($E3465,'Reward Model'!$A$18:$A$37,0))</f>
        <v>Low</v>
      </c>
      <c r="Z3465" s="4" t="n">
        <f aca="false">ROUND(MIN(1,MAX('Reward Model'!$B$2,INDEX('Reward Model'!$C$12:$C$14,MATCH($K3465,'Reward Model'!$A$12:$A$14,0))/$J3465)),3)</f>
        <v>1</v>
      </c>
      <c r="AA3465" s="2" t="n">
        <f aca="false">IF($I3465="Correct",ROUND(INDEX('Reward Model'!$B$12:$B$14,MATCH($K3465,'Reward Model'!$A$12:$A$14,0))*Z3465,2),0)</f>
        <v>1</v>
      </c>
      <c r="AB3465" s="2" t="n">
        <f aca="false">IF($I3465="Correct",ROUND(INDEX('Reward Model'!$B$12:$B$14,MATCH($Y3465,'Reward Model'!$A$12:$A$14,0))*Z3465,2),0)</f>
        <v>1</v>
      </c>
    </row>
    <row r="3466" customFormat="false" ht="15" hidden="false" customHeight="false" outlineLevel="0" collapsed="false">
      <c r="A3466" s="0" t="s">
        <v>478</v>
      </c>
      <c r="B3466" s="0" t="s">
        <v>479</v>
      </c>
      <c r="C3466" s="0" t="s">
        <v>322</v>
      </c>
      <c r="D3466" s="0" t="s">
        <v>189</v>
      </c>
      <c r="E3466" s="0" t="n">
        <v>5</v>
      </c>
      <c r="F3466" s="0" t="s">
        <v>46</v>
      </c>
      <c r="G3466" s="0" t="s">
        <v>47</v>
      </c>
      <c r="H3466" s="0" t="s">
        <v>47</v>
      </c>
      <c r="I3466" s="0" t="s">
        <v>34</v>
      </c>
      <c r="J3466" s="0" t="n">
        <v>1.74</v>
      </c>
      <c r="K3466" s="0" t="s">
        <v>35</v>
      </c>
      <c r="L3466" s="0" t="n">
        <f aca="false">INDEX(Summary!$F$2:$F$201,MATCH($B3466,Summary!$A$2:$A$201,0))</f>
        <v>20</v>
      </c>
      <c r="M3466" s="0" t="n">
        <f aca="false">INDEX(Summary!$I$2:$I$201,MATCH($B3466,Summary!$A$2:$A$201,0))</f>
        <v>2</v>
      </c>
      <c r="N3466" s="0" t="n">
        <f aca="false">INDEX(Summary!$J$2:$J$201,MATCH($B3466,Summary!$A$2:$A$201,0))</f>
        <v>3</v>
      </c>
      <c r="O3466" s="2" t="n">
        <f aca="false">INDEX(Summary!$K$2:$K$201,MATCH($B3466,Summary!$A$2:$A$201,0))</f>
        <v>9</v>
      </c>
      <c r="P3466" s="3" t="n">
        <f aca="false">INDEX(Summary!$L$2:$L$201,MATCH($B3466,Summary!$A$2:$A$201,0))</f>
        <v>4</v>
      </c>
      <c r="Q3466" s="3" t="n">
        <f aca="false">INDEX(Summary!$M$2:$M$201,MATCH($B3466,Summary!$A$2:$A$201,0))</f>
        <v>2</v>
      </c>
      <c r="R3466" s="2" t="n">
        <f aca="false">INDEX(Summary!$N$2:$N$201,MATCH($B3466,Summary!$A$2:$A$201,0))</f>
        <v>9.92</v>
      </c>
      <c r="S3466" s="3" t="n">
        <f aca="false">INDEX(Summary!$O$2:$O$201,MATCH($B3466,Summary!$A$2:$A$201,0))</f>
        <v>8</v>
      </c>
      <c r="T3466" s="3" t="n">
        <f aca="false">INDEX(Summary!$P$2:$P$201,MATCH($B3466,Summary!$A$2:$A$201,0))</f>
        <v>1</v>
      </c>
      <c r="U3466" s="2" t="n">
        <f aca="false">INDEX(Summary!$Q$2:$Q$201,MATCH($B3466,Summary!$A$2:$A$201,0))</f>
        <v>13.16</v>
      </c>
      <c r="V3466" s="2" t="n">
        <f aca="false">INDEX(Summary!$R$2:$R$201,MATCH($B3466,Summary!$A$2:$A$201,0))</f>
        <v>24.68</v>
      </c>
      <c r="W3466" s="0" t="str">
        <f aca="false">INDEX(Summary!$S$2:$S$201,MATCH($B3466,Summary!$A$2:$A$201,0))</f>
        <v>Silver</v>
      </c>
      <c r="X3466" s="2" t="n">
        <f aca="false">INDEX(Summary!$T$2:$T$201,MATCH($B3466,Summary!$A$2:$A$201,0))</f>
        <v>60.2</v>
      </c>
      <c r="Y3466" s="0" t="str">
        <f aca="false">INDEX('Reward Model'!$E$18:$E$37,MATCH($E3466,'Reward Model'!$A$18:$A$37,0))</f>
        <v>Low</v>
      </c>
      <c r="Z3466" s="4" t="n">
        <f aca="false">ROUND(MIN(1,MAX('Reward Model'!$B$2,INDEX('Reward Model'!$C$12:$C$14,MATCH($K3466,'Reward Model'!$A$12:$A$14,0))/$J3466)),3)</f>
        <v>0.862</v>
      </c>
      <c r="AA3466" s="2" t="n">
        <f aca="false">IF($I3466="Correct",ROUND(INDEX('Reward Model'!$B$12:$B$14,MATCH($K3466,'Reward Model'!$A$12:$A$14,0))*Z3466,2),0)</f>
        <v>0.86</v>
      </c>
      <c r="AB3466" s="2" t="n">
        <f aca="false">IF($I3466="Correct",ROUND(INDEX('Reward Model'!$B$12:$B$14,MATCH($Y3466,'Reward Model'!$A$12:$A$14,0))*Z3466,2),0)</f>
        <v>0.86</v>
      </c>
    </row>
    <row r="3467" customFormat="false" ht="15" hidden="false" customHeight="false" outlineLevel="0" collapsed="false">
      <c r="A3467" s="0" t="s">
        <v>478</v>
      </c>
      <c r="B3467" s="0" t="s">
        <v>479</v>
      </c>
      <c r="C3467" s="0" t="s">
        <v>322</v>
      </c>
      <c r="D3467" s="0" t="s">
        <v>189</v>
      </c>
      <c r="E3467" s="0" t="n">
        <v>6</v>
      </c>
      <c r="F3467" s="0" t="s">
        <v>48</v>
      </c>
      <c r="G3467" s="0" t="s">
        <v>49</v>
      </c>
      <c r="H3467" s="0" t="s">
        <v>49</v>
      </c>
      <c r="I3467" s="0" t="s">
        <v>34</v>
      </c>
      <c r="J3467" s="0" t="n">
        <v>1.88</v>
      </c>
      <c r="K3467" s="0" t="s">
        <v>35</v>
      </c>
      <c r="L3467" s="0" t="n">
        <f aca="false">INDEX(Summary!$F$2:$F$201,MATCH($B3467,Summary!$A$2:$A$201,0))</f>
        <v>20</v>
      </c>
      <c r="M3467" s="0" t="n">
        <f aca="false">INDEX(Summary!$I$2:$I$201,MATCH($B3467,Summary!$A$2:$A$201,0))</f>
        <v>2</v>
      </c>
      <c r="N3467" s="0" t="n">
        <f aca="false">INDEX(Summary!$J$2:$J$201,MATCH($B3467,Summary!$A$2:$A$201,0))</f>
        <v>3</v>
      </c>
      <c r="O3467" s="2" t="n">
        <f aca="false">INDEX(Summary!$K$2:$K$201,MATCH($B3467,Summary!$A$2:$A$201,0))</f>
        <v>9</v>
      </c>
      <c r="P3467" s="3" t="n">
        <f aca="false">INDEX(Summary!$L$2:$L$201,MATCH($B3467,Summary!$A$2:$A$201,0))</f>
        <v>4</v>
      </c>
      <c r="Q3467" s="3" t="n">
        <f aca="false">INDEX(Summary!$M$2:$M$201,MATCH($B3467,Summary!$A$2:$A$201,0))</f>
        <v>2</v>
      </c>
      <c r="R3467" s="2" t="n">
        <f aca="false">INDEX(Summary!$N$2:$N$201,MATCH($B3467,Summary!$A$2:$A$201,0))</f>
        <v>9.92</v>
      </c>
      <c r="S3467" s="3" t="n">
        <f aca="false">INDEX(Summary!$O$2:$O$201,MATCH($B3467,Summary!$A$2:$A$201,0))</f>
        <v>8</v>
      </c>
      <c r="T3467" s="3" t="n">
        <f aca="false">INDEX(Summary!$P$2:$P$201,MATCH($B3467,Summary!$A$2:$A$201,0))</f>
        <v>1</v>
      </c>
      <c r="U3467" s="2" t="n">
        <f aca="false">INDEX(Summary!$Q$2:$Q$201,MATCH($B3467,Summary!$A$2:$A$201,0))</f>
        <v>13.16</v>
      </c>
      <c r="V3467" s="2" t="n">
        <f aca="false">INDEX(Summary!$R$2:$R$201,MATCH($B3467,Summary!$A$2:$A$201,0))</f>
        <v>24.68</v>
      </c>
      <c r="W3467" s="0" t="str">
        <f aca="false">INDEX(Summary!$S$2:$S$201,MATCH($B3467,Summary!$A$2:$A$201,0))</f>
        <v>Silver</v>
      </c>
      <c r="X3467" s="2" t="n">
        <f aca="false">INDEX(Summary!$T$2:$T$201,MATCH($B3467,Summary!$A$2:$A$201,0))</f>
        <v>60.2</v>
      </c>
      <c r="Y3467" s="0" t="str">
        <f aca="false">INDEX('Reward Model'!$E$18:$E$37,MATCH($E3467,'Reward Model'!$A$18:$A$37,0))</f>
        <v>Medium</v>
      </c>
      <c r="Z3467" s="4" t="n">
        <f aca="false">ROUND(MIN(1,MAX('Reward Model'!$B$2,INDEX('Reward Model'!$C$12:$C$14,MATCH($K3467,'Reward Model'!$A$12:$A$14,0))/$J3467)),3)</f>
        <v>0.798</v>
      </c>
      <c r="AA3467" s="2" t="n">
        <f aca="false">IF($I3467="Correct",ROUND(INDEX('Reward Model'!$B$12:$B$14,MATCH($K3467,'Reward Model'!$A$12:$A$14,0))*Z3467,2),0)</f>
        <v>0.8</v>
      </c>
      <c r="AB3467" s="2" t="n">
        <f aca="false">IF($I3467="Correct",ROUND(INDEX('Reward Model'!$B$12:$B$14,MATCH($Y3467,'Reward Model'!$A$12:$A$14,0))*Z3467,2),0)</f>
        <v>1.6</v>
      </c>
    </row>
    <row r="3468" customFormat="false" ht="15" hidden="false" customHeight="false" outlineLevel="0" collapsed="false">
      <c r="A3468" s="0" t="s">
        <v>478</v>
      </c>
      <c r="B3468" s="0" t="s">
        <v>479</v>
      </c>
      <c r="C3468" s="0" t="s">
        <v>322</v>
      </c>
      <c r="D3468" s="0" t="s">
        <v>189</v>
      </c>
      <c r="E3468" s="0" t="n">
        <v>7</v>
      </c>
      <c r="F3468" s="0" t="s">
        <v>50</v>
      </c>
      <c r="G3468" s="0" t="s">
        <v>51</v>
      </c>
      <c r="H3468" s="0" t="s">
        <v>51</v>
      </c>
      <c r="I3468" s="0" t="s">
        <v>34</v>
      </c>
      <c r="J3468" s="0" t="n">
        <v>1.31</v>
      </c>
      <c r="K3468" s="0" t="s">
        <v>35</v>
      </c>
      <c r="L3468" s="0" t="n">
        <f aca="false">INDEX(Summary!$F$2:$F$201,MATCH($B3468,Summary!$A$2:$A$201,0))</f>
        <v>20</v>
      </c>
      <c r="M3468" s="0" t="n">
        <f aca="false">INDEX(Summary!$I$2:$I$201,MATCH($B3468,Summary!$A$2:$A$201,0))</f>
        <v>2</v>
      </c>
      <c r="N3468" s="0" t="n">
        <f aca="false">INDEX(Summary!$J$2:$J$201,MATCH($B3468,Summary!$A$2:$A$201,0))</f>
        <v>3</v>
      </c>
      <c r="O3468" s="2" t="n">
        <f aca="false">INDEX(Summary!$K$2:$K$201,MATCH($B3468,Summary!$A$2:$A$201,0))</f>
        <v>9</v>
      </c>
      <c r="P3468" s="3" t="n">
        <f aca="false">INDEX(Summary!$L$2:$L$201,MATCH($B3468,Summary!$A$2:$A$201,0))</f>
        <v>4</v>
      </c>
      <c r="Q3468" s="3" t="n">
        <f aca="false">INDEX(Summary!$M$2:$M$201,MATCH($B3468,Summary!$A$2:$A$201,0))</f>
        <v>2</v>
      </c>
      <c r="R3468" s="2" t="n">
        <f aca="false">INDEX(Summary!$N$2:$N$201,MATCH($B3468,Summary!$A$2:$A$201,0))</f>
        <v>9.92</v>
      </c>
      <c r="S3468" s="3" t="n">
        <f aca="false">INDEX(Summary!$O$2:$O$201,MATCH($B3468,Summary!$A$2:$A$201,0))</f>
        <v>8</v>
      </c>
      <c r="T3468" s="3" t="n">
        <f aca="false">INDEX(Summary!$P$2:$P$201,MATCH($B3468,Summary!$A$2:$A$201,0))</f>
        <v>1</v>
      </c>
      <c r="U3468" s="2" t="n">
        <f aca="false">INDEX(Summary!$Q$2:$Q$201,MATCH($B3468,Summary!$A$2:$A$201,0))</f>
        <v>13.16</v>
      </c>
      <c r="V3468" s="2" t="n">
        <f aca="false">INDEX(Summary!$R$2:$R$201,MATCH($B3468,Summary!$A$2:$A$201,0))</f>
        <v>24.68</v>
      </c>
      <c r="W3468" s="0" t="str">
        <f aca="false">INDEX(Summary!$S$2:$S$201,MATCH($B3468,Summary!$A$2:$A$201,0))</f>
        <v>Silver</v>
      </c>
      <c r="X3468" s="2" t="n">
        <f aca="false">INDEX(Summary!$T$2:$T$201,MATCH($B3468,Summary!$A$2:$A$201,0))</f>
        <v>60.2</v>
      </c>
      <c r="Y3468" s="0" t="str">
        <f aca="false">INDEX('Reward Model'!$E$18:$E$37,MATCH($E3468,'Reward Model'!$A$18:$A$37,0))</f>
        <v>Low</v>
      </c>
      <c r="Z3468" s="4" t="n">
        <f aca="false">ROUND(MIN(1,MAX('Reward Model'!$B$2,INDEX('Reward Model'!$C$12:$C$14,MATCH($K3468,'Reward Model'!$A$12:$A$14,0))/$J3468)),3)</f>
        <v>1</v>
      </c>
      <c r="AA3468" s="2" t="n">
        <f aca="false">IF($I3468="Correct",ROUND(INDEX('Reward Model'!$B$12:$B$14,MATCH($K3468,'Reward Model'!$A$12:$A$14,0))*Z3468,2),0)</f>
        <v>1</v>
      </c>
      <c r="AB3468" s="2" t="n">
        <f aca="false">IF($I3468="Correct",ROUND(INDEX('Reward Model'!$B$12:$B$14,MATCH($Y3468,'Reward Model'!$A$12:$A$14,0))*Z3468,2),0)</f>
        <v>1</v>
      </c>
    </row>
    <row r="3469" customFormat="false" ht="15" hidden="false" customHeight="false" outlineLevel="0" collapsed="false">
      <c r="A3469" s="0" t="s">
        <v>478</v>
      </c>
      <c r="B3469" s="0" t="s">
        <v>479</v>
      </c>
      <c r="C3469" s="0" t="s">
        <v>322</v>
      </c>
      <c r="D3469" s="0" t="s">
        <v>189</v>
      </c>
      <c r="E3469" s="0" t="n">
        <v>8</v>
      </c>
      <c r="F3469" s="0" t="s">
        <v>52</v>
      </c>
      <c r="G3469" s="0" t="s">
        <v>93</v>
      </c>
      <c r="H3469" s="0" t="s">
        <v>54</v>
      </c>
      <c r="I3469" s="0" t="s">
        <v>39</v>
      </c>
      <c r="J3469" s="0" t="n">
        <v>1.21</v>
      </c>
      <c r="K3469" s="0" t="s">
        <v>35</v>
      </c>
      <c r="L3469" s="0" t="n">
        <f aca="false">INDEX(Summary!$F$2:$F$201,MATCH($B3469,Summary!$A$2:$A$201,0))</f>
        <v>20</v>
      </c>
      <c r="M3469" s="0" t="n">
        <f aca="false">INDEX(Summary!$I$2:$I$201,MATCH($B3469,Summary!$A$2:$A$201,0))</f>
        <v>2</v>
      </c>
      <c r="N3469" s="0" t="n">
        <f aca="false">INDEX(Summary!$J$2:$J$201,MATCH($B3469,Summary!$A$2:$A$201,0))</f>
        <v>3</v>
      </c>
      <c r="O3469" s="2" t="n">
        <f aca="false">INDEX(Summary!$K$2:$K$201,MATCH($B3469,Summary!$A$2:$A$201,0))</f>
        <v>9</v>
      </c>
      <c r="P3469" s="3" t="n">
        <f aca="false">INDEX(Summary!$L$2:$L$201,MATCH($B3469,Summary!$A$2:$A$201,0))</f>
        <v>4</v>
      </c>
      <c r="Q3469" s="3" t="n">
        <f aca="false">INDEX(Summary!$M$2:$M$201,MATCH($B3469,Summary!$A$2:$A$201,0))</f>
        <v>2</v>
      </c>
      <c r="R3469" s="2" t="n">
        <f aca="false">INDEX(Summary!$N$2:$N$201,MATCH($B3469,Summary!$A$2:$A$201,0))</f>
        <v>9.92</v>
      </c>
      <c r="S3469" s="3" t="n">
        <f aca="false">INDEX(Summary!$O$2:$O$201,MATCH($B3469,Summary!$A$2:$A$201,0))</f>
        <v>8</v>
      </c>
      <c r="T3469" s="3" t="n">
        <f aca="false">INDEX(Summary!$P$2:$P$201,MATCH($B3469,Summary!$A$2:$A$201,0))</f>
        <v>1</v>
      </c>
      <c r="U3469" s="2" t="n">
        <f aca="false">INDEX(Summary!$Q$2:$Q$201,MATCH($B3469,Summary!$A$2:$A$201,0))</f>
        <v>13.16</v>
      </c>
      <c r="V3469" s="2" t="n">
        <f aca="false">INDEX(Summary!$R$2:$R$201,MATCH($B3469,Summary!$A$2:$A$201,0))</f>
        <v>24.68</v>
      </c>
      <c r="W3469" s="0" t="str">
        <f aca="false">INDEX(Summary!$S$2:$S$201,MATCH($B3469,Summary!$A$2:$A$201,0))</f>
        <v>Silver</v>
      </c>
      <c r="X3469" s="2" t="n">
        <f aca="false">INDEX(Summary!$T$2:$T$201,MATCH($B3469,Summary!$A$2:$A$201,0))</f>
        <v>60.2</v>
      </c>
      <c r="Y3469" s="0" t="str">
        <f aca="false">INDEX('Reward Model'!$E$18:$E$37,MATCH($E3469,'Reward Model'!$A$18:$A$37,0))</f>
        <v>Medium</v>
      </c>
      <c r="Z3469" s="4" t="n">
        <f aca="false">ROUND(MIN(1,MAX('Reward Model'!$B$2,INDEX('Reward Model'!$C$12:$C$14,MATCH($K3469,'Reward Model'!$A$12:$A$14,0))/$J3469)),3)</f>
        <v>1</v>
      </c>
      <c r="AA3469" s="2" t="n">
        <f aca="false">IF($I3469="Correct",ROUND(INDEX('Reward Model'!$B$12:$B$14,MATCH($K3469,'Reward Model'!$A$12:$A$14,0))*Z3469,2),0)</f>
        <v>0</v>
      </c>
      <c r="AB3469" s="2" t="n">
        <f aca="false">IF($I3469="Correct",ROUND(INDEX('Reward Model'!$B$12:$B$14,MATCH($Y3469,'Reward Model'!$A$12:$A$14,0))*Z3469,2),0)</f>
        <v>0</v>
      </c>
    </row>
    <row r="3470" customFormat="false" ht="15" hidden="false" customHeight="false" outlineLevel="0" collapsed="false">
      <c r="A3470" s="0" t="s">
        <v>478</v>
      </c>
      <c r="B3470" s="0" t="s">
        <v>479</v>
      </c>
      <c r="C3470" s="0" t="s">
        <v>322</v>
      </c>
      <c r="D3470" s="0" t="s">
        <v>189</v>
      </c>
      <c r="E3470" s="0" t="n">
        <v>9</v>
      </c>
      <c r="F3470" s="0" t="s">
        <v>55</v>
      </c>
      <c r="G3470" s="0" t="s">
        <v>57</v>
      </c>
      <c r="H3470" s="0" t="s">
        <v>57</v>
      </c>
      <c r="I3470" s="0" t="s">
        <v>34</v>
      </c>
      <c r="J3470" s="0" t="n">
        <v>1.43</v>
      </c>
      <c r="K3470" s="0" t="s">
        <v>35</v>
      </c>
      <c r="L3470" s="0" t="n">
        <f aca="false">INDEX(Summary!$F$2:$F$201,MATCH($B3470,Summary!$A$2:$A$201,0))</f>
        <v>20</v>
      </c>
      <c r="M3470" s="0" t="n">
        <f aca="false">INDEX(Summary!$I$2:$I$201,MATCH($B3470,Summary!$A$2:$A$201,0))</f>
        <v>2</v>
      </c>
      <c r="N3470" s="0" t="n">
        <f aca="false">INDEX(Summary!$J$2:$J$201,MATCH($B3470,Summary!$A$2:$A$201,0))</f>
        <v>3</v>
      </c>
      <c r="O3470" s="2" t="n">
        <f aca="false">INDEX(Summary!$K$2:$K$201,MATCH($B3470,Summary!$A$2:$A$201,0))</f>
        <v>9</v>
      </c>
      <c r="P3470" s="3" t="n">
        <f aca="false">INDEX(Summary!$L$2:$L$201,MATCH($B3470,Summary!$A$2:$A$201,0))</f>
        <v>4</v>
      </c>
      <c r="Q3470" s="3" t="n">
        <f aca="false">INDEX(Summary!$M$2:$M$201,MATCH($B3470,Summary!$A$2:$A$201,0))</f>
        <v>2</v>
      </c>
      <c r="R3470" s="2" t="n">
        <f aca="false">INDEX(Summary!$N$2:$N$201,MATCH($B3470,Summary!$A$2:$A$201,0))</f>
        <v>9.92</v>
      </c>
      <c r="S3470" s="3" t="n">
        <f aca="false">INDEX(Summary!$O$2:$O$201,MATCH($B3470,Summary!$A$2:$A$201,0))</f>
        <v>8</v>
      </c>
      <c r="T3470" s="3" t="n">
        <f aca="false">INDEX(Summary!$P$2:$P$201,MATCH($B3470,Summary!$A$2:$A$201,0))</f>
        <v>1</v>
      </c>
      <c r="U3470" s="2" t="n">
        <f aca="false">INDEX(Summary!$Q$2:$Q$201,MATCH($B3470,Summary!$A$2:$A$201,0))</f>
        <v>13.16</v>
      </c>
      <c r="V3470" s="2" t="n">
        <f aca="false">INDEX(Summary!$R$2:$R$201,MATCH($B3470,Summary!$A$2:$A$201,0))</f>
        <v>24.68</v>
      </c>
      <c r="W3470" s="0" t="str">
        <f aca="false">INDEX(Summary!$S$2:$S$201,MATCH($B3470,Summary!$A$2:$A$201,0))</f>
        <v>Silver</v>
      </c>
      <c r="X3470" s="2" t="n">
        <f aca="false">INDEX(Summary!$T$2:$T$201,MATCH($B3470,Summary!$A$2:$A$201,0))</f>
        <v>60.2</v>
      </c>
      <c r="Y3470" s="0" t="str">
        <f aca="false">INDEX('Reward Model'!$E$18:$E$37,MATCH($E3470,'Reward Model'!$A$18:$A$37,0))</f>
        <v>Medium</v>
      </c>
      <c r="Z3470" s="4" t="n">
        <f aca="false">ROUND(MIN(1,MAX('Reward Model'!$B$2,INDEX('Reward Model'!$C$12:$C$14,MATCH($K3470,'Reward Model'!$A$12:$A$14,0))/$J3470)),3)</f>
        <v>1</v>
      </c>
      <c r="AA3470" s="2" t="n">
        <f aca="false">IF($I3470="Correct",ROUND(INDEX('Reward Model'!$B$12:$B$14,MATCH($K3470,'Reward Model'!$A$12:$A$14,0))*Z3470,2),0)</f>
        <v>1</v>
      </c>
      <c r="AB3470" s="2" t="n">
        <f aca="false">IF($I3470="Correct",ROUND(INDEX('Reward Model'!$B$12:$B$14,MATCH($Y3470,'Reward Model'!$A$12:$A$14,0))*Z3470,2),0)</f>
        <v>2</v>
      </c>
    </row>
    <row r="3471" customFormat="false" ht="15" hidden="false" customHeight="false" outlineLevel="0" collapsed="false">
      <c r="A3471" s="0" t="s">
        <v>478</v>
      </c>
      <c r="B3471" s="0" t="s">
        <v>479</v>
      </c>
      <c r="C3471" s="0" t="s">
        <v>322</v>
      </c>
      <c r="D3471" s="0" t="s">
        <v>189</v>
      </c>
      <c r="E3471" s="0" t="n">
        <v>10</v>
      </c>
      <c r="F3471" s="0" t="s">
        <v>58</v>
      </c>
      <c r="G3471" s="0" t="s">
        <v>59</v>
      </c>
      <c r="H3471" s="0" t="s">
        <v>59</v>
      </c>
      <c r="I3471" s="0" t="s">
        <v>34</v>
      </c>
      <c r="J3471" s="0" t="n">
        <v>1.39</v>
      </c>
      <c r="K3471" s="0" t="s">
        <v>60</v>
      </c>
      <c r="L3471" s="0" t="n">
        <f aca="false">INDEX(Summary!$F$2:$F$201,MATCH($B3471,Summary!$A$2:$A$201,0))</f>
        <v>20</v>
      </c>
      <c r="M3471" s="0" t="n">
        <f aca="false">INDEX(Summary!$I$2:$I$201,MATCH($B3471,Summary!$A$2:$A$201,0))</f>
        <v>2</v>
      </c>
      <c r="N3471" s="0" t="n">
        <f aca="false">INDEX(Summary!$J$2:$J$201,MATCH($B3471,Summary!$A$2:$A$201,0))</f>
        <v>3</v>
      </c>
      <c r="O3471" s="2" t="n">
        <f aca="false">INDEX(Summary!$K$2:$K$201,MATCH($B3471,Summary!$A$2:$A$201,0))</f>
        <v>9</v>
      </c>
      <c r="P3471" s="3" t="n">
        <f aca="false">INDEX(Summary!$L$2:$L$201,MATCH($B3471,Summary!$A$2:$A$201,0))</f>
        <v>4</v>
      </c>
      <c r="Q3471" s="3" t="n">
        <f aca="false">INDEX(Summary!$M$2:$M$201,MATCH($B3471,Summary!$A$2:$A$201,0))</f>
        <v>2</v>
      </c>
      <c r="R3471" s="2" t="n">
        <f aca="false">INDEX(Summary!$N$2:$N$201,MATCH($B3471,Summary!$A$2:$A$201,0))</f>
        <v>9.92</v>
      </c>
      <c r="S3471" s="3" t="n">
        <f aca="false">INDEX(Summary!$O$2:$O$201,MATCH($B3471,Summary!$A$2:$A$201,0))</f>
        <v>8</v>
      </c>
      <c r="T3471" s="3" t="n">
        <f aca="false">INDEX(Summary!$P$2:$P$201,MATCH($B3471,Summary!$A$2:$A$201,0))</f>
        <v>1</v>
      </c>
      <c r="U3471" s="2" t="n">
        <f aca="false">INDEX(Summary!$Q$2:$Q$201,MATCH($B3471,Summary!$A$2:$A$201,0))</f>
        <v>13.16</v>
      </c>
      <c r="V3471" s="2" t="n">
        <f aca="false">INDEX(Summary!$R$2:$R$201,MATCH($B3471,Summary!$A$2:$A$201,0))</f>
        <v>24.68</v>
      </c>
      <c r="W3471" s="0" t="str">
        <f aca="false">INDEX(Summary!$S$2:$S$201,MATCH($B3471,Summary!$A$2:$A$201,0))</f>
        <v>Silver</v>
      </c>
      <c r="X3471" s="2" t="n">
        <f aca="false">INDEX(Summary!$T$2:$T$201,MATCH($B3471,Summary!$A$2:$A$201,0))</f>
        <v>60.2</v>
      </c>
      <c r="Y3471" s="0" t="str">
        <f aca="false">INDEX('Reward Model'!$E$18:$E$37,MATCH($E3471,'Reward Model'!$A$18:$A$37,0))</f>
        <v>Medium</v>
      </c>
      <c r="Z3471" s="4" t="n">
        <f aca="false">ROUND(MIN(1,MAX('Reward Model'!$B$2,INDEX('Reward Model'!$C$12:$C$14,MATCH($K3471,'Reward Model'!$A$12:$A$14,0))/$J3471)),3)</f>
        <v>1</v>
      </c>
      <c r="AA3471" s="2" t="n">
        <f aca="false">IF($I3471="Correct",ROUND(INDEX('Reward Model'!$B$12:$B$14,MATCH($K3471,'Reward Model'!$A$12:$A$14,0))*Z3471,2),0)</f>
        <v>2</v>
      </c>
      <c r="AB3471" s="2" t="n">
        <f aca="false">IF($I3471="Correct",ROUND(INDEX('Reward Model'!$B$12:$B$14,MATCH($Y3471,'Reward Model'!$A$12:$A$14,0))*Z3471,2),0)</f>
        <v>2</v>
      </c>
    </row>
    <row r="3472" customFormat="false" ht="15" hidden="false" customHeight="false" outlineLevel="0" collapsed="false">
      <c r="A3472" s="0" t="s">
        <v>478</v>
      </c>
      <c r="B3472" s="0" t="s">
        <v>479</v>
      </c>
      <c r="C3472" s="0" t="s">
        <v>322</v>
      </c>
      <c r="D3472" s="0" t="s">
        <v>189</v>
      </c>
      <c r="E3472" s="0" t="n">
        <v>11</v>
      </c>
      <c r="F3472" s="0" t="s">
        <v>61</v>
      </c>
      <c r="G3472" s="0" t="s">
        <v>63</v>
      </c>
      <c r="H3472" s="0" t="s">
        <v>63</v>
      </c>
      <c r="I3472" s="0" t="s">
        <v>34</v>
      </c>
      <c r="J3472" s="0" t="n">
        <v>2.07</v>
      </c>
      <c r="K3472" s="0" t="s">
        <v>60</v>
      </c>
      <c r="L3472" s="0" t="n">
        <f aca="false">INDEX(Summary!$F$2:$F$201,MATCH($B3472,Summary!$A$2:$A$201,0))</f>
        <v>20</v>
      </c>
      <c r="M3472" s="0" t="n">
        <f aca="false">INDEX(Summary!$I$2:$I$201,MATCH($B3472,Summary!$A$2:$A$201,0))</f>
        <v>2</v>
      </c>
      <c r="N3472" s="0" t="n">
        <f aca="false">INDEX(Summary!$J$2:$J$201,MATCH($B3472,Summary!$A$2:$A$201,0))</f>
        <v>3</v>
      </c>
      <c r="O3472" s="2" t="n">
        <f aca="false">INDEX(Summary!$K$2:$K$201,MATCH($B3472,Summary!$A$2:$A$201,0))</f>
        <v>9</v>
      </c>
      <c r="P3472" s="3" t="n">
        <f aca="false">INDEX(Summary!$L$2:$L$201,MATCH($B3472,Summary!$A$2:$A$201,0))</f>
        <v>4</v>
      </c>
      <c r="Q3472" s="3" t="n">
        <f aca="false">INDEX(Summary!$M$2:$M$201,MATCH($B3472,Summary!$A$2:$A$201,0))</f>
        <v>2</v>
      </c>
      <c r="R3472" s="2" t="n">
        <f aca="false">INDEX(Summary!$N$2:$N$201,MATCH($B3472,Summary!$A$2:$A$201,0))</f>
        <v>9.92</v>
      </c>
      <c r="S3472" s="3" t="n">
        <f aca="false">INDEX(Summary!$O$2:$O$201,MATCH($B3472,Summary!$A$2:$A$201,0))</f>
        <v>8</v>
      </c>
      <c r="T3472" s="3" t="n">
        <f aca="false">INDEX(Summary!$P$2:$P$201,MATCH($B3472,Summary!$A$2:$A$201,0))</f>
        <v>1</v>
      </c>
      <c r="U3472" s="2" t="n">
        <f aca="false">INDEX(Summary!$Q$2:$Q$201,MATCH($B3472,Summary!$A$2:$A$201,0))</f>
        <v>13.16</v>
      </c>
      <c r="V3472" s="2" t="n">
        <f aca="false">INDEX(Summary!$R$2:$R$201,MATCH($B3472,Summary!$A$2:$A$201,0))</f>
        <v>24.68</v>
      </c>
      <c r="W3472" s="0" t="str">
        <f aca="false">INDEX(Summary!$S$2:$S$201,MATCH($B3472,Summary!$A$2:$A$201,0))</f>
        <v>Silver</v>
      </c>
      <c r="X3472" s="2" t="n">
        <f aca="false">INDEX(Summary!$T$2:$T$201,MATCH($B3472,Summary!$A$2:$A$201,0))</f>
        <v>60.2</v>
      </c>
      <c r="Y3472" s="0" t="str">
        <f aca="false">INDEX('Reward Model'!$E$18:$E$37,MATCH($E3472,'Reward Model'!$A$18:$A$37,0))</f>
        <v>Medium</v>
      </c>
      <c r="Z3472" s="4" t="n">
        <f aca="false">ROUND(MIN(1,MAX('Reward Model'!$B$2,INDEX('Reward Model'!$C$12:$C$14,MATCH($K3472,'Reward Model'!$A$12:$A$14,0))/$J3472)),3)</f>
        <v>0.87</v>
      </c>
      <c r="AA3472" s="2" t="n">
        <f aca="false">IF($I3472="Correct",ROUND(INDEX('Reward Model'!$B$12:$B$14,MATCH($K3472,'Reward Model'!$A$12:$A$14,0))*Z3472,2),0)</f>
        <v>1.74</v>
      </c>
      <c r="AB3472" s="2" t="n">
        <f aca="false">IF($I3472="Correct",ROUND(INDEX('Reward Model'!$B$12:$B$14,MATCH($Y3472,'Reward Model'!$A$12:$A$14,0))*Z3472,2),0)</f>
        <v>1.74</v>
      </c>
    </row>
    <row r="3473" customFormat="false" ht="15" hidden="false" customHeight="false" outlineLevel="0" collapsed="false">
      <c r="A3473" s="0" t="s">
        <v>478</v>
      </c>
      <c r="B3473" s="0" t="s">
        <v>479</v>
      </c>
      <c r="C3473" s="0" t="s">
        <v>322</v>
      </c>
      <c r="D3473" s="0" t="s">
        <v>189</v>
      </c>
      <c r="E3473" s="0" t="n">
        <v>12</v>
      </c>
      <c r="F3473" s="0" t="s">
        <v>64</v>
      </c>
      <c r="G3473" s="0" t="s">
        <v>146</v>
      </c>
      <c r="H3473" s="0" t="s">
        <v>65</v>
      </c>
      <c r="I3473" s="0" t="s">
        <v>39</v>
      </c>
      <c r="J3473" s="0" t="n">
        <v>2.14</v>
      </c>
      <c r="K3473" s="0" t="s">
        <v>60</v>
      </c>
      <c r="L3473" s="0" t="n">
        <f aca="false">INDEX(Summary!$F$2:$F$201,MATCH($B3473,Summary!$A$2:$A$201,0))</f>
        <v>20</v>
      </c>
      <c r="M3473" s="0" t="n">
        <f aca="false">INDEX(Summary!$I$2:$I$201,MATCH($B3473,Summary!$A$2:$A$201,0))</f>
        <v>2</v>
      </c>
      <c r="N3473" s="0" t="n">
        <f aca="false">INDEX(Summary!$J$2:$J$201,MATCH($B3473,Summary!$A$2:$A$201,0))</f>
        <v>3</v>
      </c>
      <c r="O3473" s="2" t="n">
        <f aca="false">INDEX(Summary!$K$2:$K$201,MATCH($B3473,Summary!$A$2:$A$201,0))</f>
        <v>9</v>
      </c>
      <c r="P3473" s="3" t="n">
        <f aca="false">INDEX(Summary!$L$2:$L$201,MATCH($B3473,Summary!$A$2:$A$201,0))</f>
        <v>4</v>
      </c>
      <c r="Q3473" s="3" t="n">
        <f aca="false">INDEX(Summary!$M$2:$M$201,MATCH($B3473,Summary!$A$2:$A$201,0))</f>
        <v>2</v>
      </c>
      <c r="R3473" s="2" t="n">
        <f aca="false">INDEX(Summary!$N$2:$N$201,MATCH($B3473,Summary!$A$2:$A$201,0))</f>
        <v>9.92</v>
      </c>
      <c r="S3473" s="3" t="n">
        <f aca="false">INDEX(Summary!$O$2:$O$201,MATCH($B3473,Summary!$A$2:$A$201,0))</f>
        <v>8</v>
      </c>
      <c r="T3473" s="3" t="n">
        <f aca="false">INDEX(Summary!$P$2:$P$201,MATCH($B3473,Summary!$A$2:$A$201,0))</f>
        <v>1</v>
      </c>
      <c r="U3473" s="2" t="n">
        <f aca="false">INDEX(Summary!$Q$2:$Q$201,MATCH($B3473,Summary!$A$2:$A$201,0))</f>
        <v>13.16</v>
      </c>
      <c r="V3473" s="2" t="n">
        <f aca="false">INDEX(Summary!$R$2:$R$201,MATCH($B3473,Summary!$A$2:$A$201,0))</f>
        <v>24.68</v>
      </c>
      <c r="W3473" s="0" t="str">
        <f aca="false">INDEX(Summary!$S$2:$S$201,MATCH($B3473,Summary!$A$2:$A$201,0))</f>
        <v>Silver</v>
      </c>
      <c r="X3473" s="2" t="n">
        <f aca="false">INDEX(Summary!$T$2:$T$201,MATCH($B3473,Summary!$A$2:$A$201,0))</f>
        <v>60.2</v>
      </c>
      <c r="Y3473" s="0" t="str">
        <f aca="false">INDEX('Reward Model'!$E$18:$E$37,MATCH($E3473,'Reward Model'!$A$18:$A$37,0))</f>
        <v>Medium</v>
      </c>
      <c r="Z3473" s="4" t="n">
        <f aca="false">ROUND(MIN(1,MAX('Reward Model'!$B$2,INDEX('Reward Model'!$C$12:$C$14,MATCH($K3473,'Reward Model'!$A$12:$A$14,0))/$J3473)),3)</f>
        <v>0.841</v>
      </c>
      <c r="AA3473" s="2" t="n">
        <f aca="false">IF($I3473="Correct",ROUND(INDEX('Reward Model'!$B$12:$B$14,MATCH($K3473,'Reward Model'!$A$12:$A$14,0))*Z3473,2),0)</f>
        <v>0</v>
      </c>
      <c r="AB3473" s="2" t="n">
        <f aca="false">IF($I3473="Correct",ROUND(INDEX('Reward Model'!$B$12:$B$14,MATCH($Y3473,'Reward Model'!$A$12:$A$14,0))*Z3473,2),0)</f>
        <v>0</v>
      </c>
    </row>
    <row r="3474" customFormat="false" ht="15" hidden="false" customHeight="false" outlineLevel="0" collapsed="false">
      <c r="A3474" s="0" t="s">
        <v>478</v>
      </c>
      <c r="B3474" s="0" t="s">
        <v>479</v>
      </c>
      <c r="C3474" s="0" t="s">
        <v>322</v>
      </c>
      <c r="D3474" s="0" t="s">
        <v>189</v>
      </c>
      <c r="E3474" s="0" t="n">
        <v>13</v>
      </c>
      <c r="F3474" s="0" t="s">
        <v>66</v>
      </c>
      <c r="G3474" s="0" t="s">
        <v>165</v>
      </c>
      <c r="H3474" s="0" t="s">
        <v>67</v>
      </c>
      <c r="I3474" s="0" t="s">
        <v>39</v>
      </c>
      <c r="J3474" s="0" t="n">
        <v>1.21</v>
      </c>
      <c r="K3474" s="0" t="s">
        <v>60</v>
      </c>
      <c r="L3474" s="0" t="n">
        <f aca="false">INDEX(Summary!$F$2:$F$201,MATCH($B3474,Summary!$A$2:$A$201,0))</f>
        <v>20</v>
      </c>
      <c r="M3474" s="0" t="n">
        <f aca="false">INDEX(Summary!$I$2:$I$201,MATCH($B3474,Summary!$A$2:$A$201,0))</f>
        <v>2</v>
      </c>
      <c r="N3474" s="0" t="n">
        <f aca="false">INDEX(Summary!$J$2:$J$201,MATCH($B3474,Summary!$A$2:$A$201,0))</f>
        <v>3</v>
      </c>
      <c r="O3474" s="2" t="n">
        <f aca="false">INDEX(Summary!$K$2:$K$201,MATCH($B3474,Summary!$A$2:$A$201,0))</f>
        <v>9</v>
      </c>
      <c r="P3474" s="3" t="n">
        <f aca="false">INDEX(Summary!$L$2:$L$201,MATCH($B3474,Summary!$A$2:$A$201,0))</f>
        <v>4</v>
      </c>
      <c r="Q3474" s="3" t="n">
        <f aca="false">INDEX(Summary!$M$2:$M$201,MATCH($B3474,Summary!$A$2:$A$201,0))</f>
        <v>2</v>
      </c>
      <c r="R3474" s="2" t="n">
        <f aca="false">INDEX(Summary!$N$2:$N$201,MATCH($B3474,Summary!$A$2:$A$201,0))</f>
        <v>9.92</v>
      </c>
      <c r="S3474" s="3" t="n">
        <f aca="false">INDEX(Summary!$O$2:$O$201,MATCH($B3474,Summary!$A$2:$A$201,0))</f>
        <v>8</v>
      </c>
      <c r="T3474" s="3" t="n">
        <f aca="false">INDEX(Summary!$P$2:$P$201,MATCH($B3474,Summary!$A$2:$A$201,0))</f>
        <v>1</v>
      </c>
      <c r="U3474" s="2" t="n">
        <f aca="false">INDEX(Summary!$Q$2:$Q$201,MATCH($B3474,Summary!$A$2:$A$201,0))</f>
        <v>13.16</v>
      </c>
      <c r="V3474" s="2" t="n">
        <f aca="false">INDEX(Summary!$R$2:$R$201,MATCH($B3474,Summary!$A$2:$A$201,0))</f>
        <v>24.68</v>
      </c>
      <c r="W3474" s="0" t="str">
        <f aca="false">INDEX(Summary!$S$2:$S$201,MATCH($B3474,Summary!$A$2:$A$201,0))</f>
        <v>Silver</v>
      </c>
      <c r="X3474" s="2" t="n">
        <f aca="false">INDEX(Summary!$T$2:$T$201,MATCH($B3474,Summary!$A$2:$A$201,0))</f>
        <v>60.2</v>
      </c>
      <c r="Y3474" s="0" t="str">
        <f aca="false">INDEX('Reward Model'!$E$18:$E$37,MATCH($E3474,'Reward Model'!$A$18:$A$37,0))</f>
        <v>Medium</v>
      </c>
      <c r="Z3474" s="4" t="n">
        <f aca="false">ROUND(MIN(1,MAX('Reward Model'!$B$2,INDEX('Reward Model'!$C$12:$C$14,MATCH($K3474,'Reward Model'!$A$12:$A$14,0))/$J3474)),3)</f>
        <v>1</v>
      </c>
      <c r="AA3474" s="2" t="n">
        <f aca="false">IF($I3474="Correct",ROUND(INDEX('Reward Model'!$B$12:$B$14,MATCH($K3474,'Reward Model'!$A$12:$A$14,0))*Z3474,2),0)</f>
        <v>0</v>
      </c>
      <c r="AB3474" s="2" t="n">
        <f aca="false">IF($I3474="Correct",ROUND(INDEX('Reward Model'!$B$12:$B$14,MATCH($Y3474,'Reward Model'!$A$12:$A$14,0))*Z3474,2),0)</f>
        <v>0</v>
      </c>
    </row>
    <row r="3475" customFormat="false" ht="15" hidden="false" customHeight="false" outlineLevel="0" collapsed="false">
      <c r="A3475" s="0" t="s">
        <v>478</v>
      </c>
      <c r="B3475" s="0" t="s">
        <v>479</v>
      </c>
      <c r="C3475" s="0" t="s">
        <v>322</v>
      </c>
      <c r="D3475" s="0" t="s">
        <v>189</v>
      </c>
      <c r="E3475" s="0" t="n">
        <v>14</v>
      </c>
      <c r="F3475" s="0" t="s">
        <v>68</v>
      </c>
      <c r="G3475" s="0" t="s">
        <v>51</v>
      </c>
      <c r="H3475" s="0" t="s">
        <v>51</v>
      </c>
      <c r="I3475" s="0" t="s">
        <v>34</v>
      </c>
      <c r="J3475" s="0" t="n">
        <v>1.39</v>
      </c>
      <c r="K3475" s="0" t="s">
        <v>60</v>
      </c>
      <c r="L3475" s="0" t="n">
        <f aca="false">INDEX(Summary!$F$2:$F$201,MATCH($B3475,Summary!$A$2:$A$201,0))</f>
        <v>20</v>
      </c>
      <c r="M3475" s="0" t="n">
        <f aca="false">INDEX(Summary!$I$2:$I$201,MATCH($B3475,Summary!$A$2:$A$201,0))</f>
        <v>2</v>
      </c>
      <c r="N3475" s="0" t="n">
        <f aca="false">INDEX(Summary!$J$2:$J$201,MATCH($B3475,Summary!$A$2:$A$201,0))</f>
        <v>3</v>
      </c>
      <c r="O3475" s="2" t="n">
        <f aca="false">INDEX(Summary!$K$2:$K$201,MATCH($B3475,Summary!$A$2:$A$201,0))</f>
        <v>9</v>
      </c>
      <c r="P3475" s="3" t="n">
        <f aca="false">INDEX(Summary!$L$2:$L$201,MATCH($B3475,Summary!$A$2:$A$201,0))</f>
        <v>4</v>
      </c>
      <c r="Q3475" s="3" t="n">
        <f aca="false">INDEX(Summary!$M$2:$M$201,MATCH($B3475,Summary!$A$2:$A$201,0))</f>
        <v>2</v>
      </c>
      <c r="R3475" s="2" t="n">
        <f aca="false">INDEX(Summary!$N$2:$N$201,MATCH($B3475,Summary!$A$2:$A$201,0))</f>
        <v>9.92</v>
      </c>
      <c r="S3475" s="3" t="n">
        <f aca="false">INDEX(Summary!$O$2:$O$201,MATCH($B3475,Summary!$A$2:$A$201,0))</f>
        <v>8</v>
      </c>
      <c r="T3475" s="3" t="n">
        <f aca="false">INDEX(Summary!$P$2:$P$201,MATCH($B3475,Summary!$A$2:$A$201,0))</f>
        <v>1</v>
      </c>
      <c r="U3475" s="2" t="n">
        <f aca="false">INDEX(Summary!$Q$2:$Q$201,MATCH($B3475,Summary!$A$2:$A$201,0))</f>
        <v>13.16</v>
      </c>
      <c r="V3475" s="2" t="n">
        <f aca="false">INDEX(Summary!$R$2:$R$201,MATCH($B3475,Summary!$A$2:$A$201,0))</f>
        <v>24.68</v>
      </c>
      <c r="W3475" s="0" t="str">
        <f aca="false">INDEX(Summary!$S$2:$S$201,MATCH($B3475,Summary!$A$2:$A$201,0))</f>
        <v>Silver</v>
      </c>
      <c r="X3475" s="2" t="n">
        <f aca="false">INDEX(Summary!$T$2:$T$201,MATCH($B3475,Summary!$A$2:$A$201,0))</f>
        <v>60.2</v>
      </c>
      <c r="Y3475" s="0" t="str">
        <f aca="false">INDEX('Reward Model'!$E$18:$E$37,MATCH($E3475,'Reward Model'!$A$18:$A$37,0))</f>
        <v>Medium</v>
      </c>
      <c r="Z3475" s="4" t="n">
        <f aca="false">ROUND(MIN(1,MAX('Reward Model'!$B$2,INDEX('Reward Model'!$C$12:$C$14,MATCH($K3475,'Reward Model'!$A$12:$A$14,0))/$J3475)),3)</f>
        <v>1</v>
      </c>
      <c r="AA3475" s="2" t="n">
        <f aca="false">IF($I3475="Correct",ROUND(INDEX('Reward Model'!$B$12:$B$14,MATCH($K3475,'Reward Model'!$A$12:$A$14,0))*Z3475,2),0)</f>
        <v>2</v>
      </c>
      <c r="AB3475" s="2" t="n">
        <f aca="false">IF($I3475="Correct",ROUND(INDEX('Reward Model'!$B$12:$B$14,MATCH($Y3475,'Reward Model'!$A$12:$A$14,0))*Z3475,2),0)</f>
        <v>2</v>
      </c>
    </row>
    <row r="3476" customFormat="false" ht="15" hidden="false" customHeight="false" outlineLevel="0" collapsed="false">
      <c r="A3476" s="0" t="s">
        <v>478</v>
      </c>
      <c r="B3476" s="0" t="s">
        <v>479</v>
      </c>
      <c r="C3476" s="0" t="s">
        <v>322</v>
      </c>
      <c r="D3476" s="0" t="s">
        <v>189</v>
      </c>
      <c r="E3476" s="0" t="n">
        <v>15</v>
      </c>
      <c r="F3476" s="0" t="s">
        <v>69</v>
      </c>
      <c r="G3476" s="0" t="s">
        <v>70</v>
      </c>
      <c r="H3476" s="0" t="s">
        <v>70</v>
      </c>
      <c r="I3476" s="0" t="s">
        <v>34</v>
      </c>
      <c r="J3476" s="0" t="n">
        <v>1.72</v>
      </c>
      <c r="K3476" s="0" t="s">
        <v>60</v>
      </c>
      <c r="L3476" s="0" t="n">
        <f aca="false">INDEX(Summary!$F$2:$F$201,MATCH($B3476,Summary!$A$2:$A$201,0))</f>
        <v>20</v>
      </c>
      <c r="M3476" s="0" t="n">
        <f aca="false">INDEX(Summary!$I$2:$I$201,MATCH($B3476,Summary!$A$2:$A$201,0))</f>
        <v>2</v>
      </c>
      <c r="N3476" s="0" t="n">
        <f aca="false">INDEX(Summary!$J$2:$J$201,MATCH($B3476,Summary!$A$2:$A$201,0))</f>
        <v>3</v>
      </c>
      <c r="O3476" s="2" t="n">
        <f aca="false">INDEX(Summary!$K$2:$K$201,MATCH($B3476,Summary!$A$2:$A$201,0))</f>
        <v>9</v>
      </c>
      <c r="P3476" s="3" t="n">
        <f aca="false">INDEX(Summary!$L$2:$L$201,MATCH($B3476,Summary!$A$2:$A$201,0))</f>
        <v>4</v>
      </c>
      <c r="Q3476" s="3" t="n">
        <f aca="false">INDEX(Summary!$M$2:$M$201,MATCH($B3476,Summary!$A$2:$A$201,0))</f>
        <v>2</v>
      </c>
      <c r="R3476" s="2" t="n">
        <f aca="false">INDEX(Summary!$N$2:$N$201,MATCH($B3476,Summary!$A$2:$A$201,0))</f>
        <v>9.92</v>
      </c>
      <c r="S3476" s="3" t="n">
        <f aca="false">INDEX(Summary!$O$2:$O$201,MATCH($B3476,Summary!$A$2:$A$201,0))</f>
        <v>8</v>
      </c>
      <c r="T3476" s="3" t="n">
        <f aca="false">INDEX(Summary!$P$2:$P$201,MATCH($B3476,Summary!$A$2:$A$201,0))</f>
        <v>1</v>
      </c>
      <c r="U3476" s="2" t="n">
        <f aca="false">INDEX(Summary!$Q$2:$Q$201,MATCH($B3476,Summary!$A$2:$A$201,0))</f>
        <v>13.16</v>
      </c>
      <c r="V3476" s="2" t="n">
        <f aca="false">INDEX(Summary!$R$2:$R$201,MATCH($B3476,Summary!$A$2:$A$201,0))</f>
        <v>24.68</v>
      </c>
      <c r="W3476" s="0" t="str">
        <f aca="false">INDEX(Summary!$S$2:$S$201,MATCH($B3476,Summary!$A$2:$A$201,0))</f>
        <v>Silver</v>
      </c>
      <c r="X3476" s="2" t="n">
        <f aca="false">INDEX(Summary!$T$2:$T$201,MATCH($B3476,Summary!$A$2:$A$201,0))</f>
        <v>60.2</v>
      </c>
      <c r="Y3476" s="0" t="str">
        <f aca="false">INDEX('Reward Model'!$E$18:$E$37,MATCH($E3476,'Reward Model'!$A$18:$A$37,0))</f>
        <v>Medium</v>
      </c>
      <c r="Z3476" s="4" t="n">
        <f aca="false">ROUND(MIN(1,MAX('Reward Model'!$B$2,INDEX('Reward Model'!$C$12:$C$14,MATCH($K3476,'Reward Model'!$A$12:$A$14,0))/$J3476)),3)</f>
        <v>1</v>
      </c>
      <c r="AA3476" s="2" t="n">
        <f aca="false">IF($I3476="Correct",ROUND(INDEX('Reward Model'!$B$12:$B$14,MATCH($K3476,'Reward Model'!$A$12:$A$14,0))*Z3476,2),0)</f>
        <v>2</v>
      </c>
      <c r="AB3476" s="2" t="n">
        <f aca="false">IF($I3476="Correct",ROUND(INDEX('Reward Model'!$B$12:$B$14,MATCH($Y3476,'Reward Model'!$A$12:$A$14,0))*Z3476,2),0)</f>
        <v>2</v>
      </c>
    </row>
    <row r="3477" customFormat="false" ht="15" hidden="false" customHeight="false" outlineLevel="0" collapsed="false">
      <c r="A3477" s="0" t="s">
        <v>478</v>
      </c>
      <c r="B3477" s="0" t="s">
        <v>479</v>
      </c>
      <c r="C3477" s="0" t="s">
        <v>322</v>
      </c>
      <c r="D3477" s="0" t="s">
        <v>189</v>
      </c>
      <c r="E3477" s="0" t="n">
        <v>16</v>
      </c>
      <c r="F3477" s="0" t="s">
        <v>71</v>
      </c>
      <c r="G3477" s="0" t="s">
        <v>72</v>
      </c>
      <c r="H3477" s="0" t="s">
        <v>72</v>
      </c>
      <c r="I3477" s="0" t="s">
        <v>34</v>
      </c>
      <c r="J3477" s="0" t="n">
        <v>2.04</v>
      </c>
      <c r="K3477" s="0" t="s">
        <v>73</v>
      </c>
      <c r="L3477" s="0" t="n">
        <f aca="false">INDEX(Summary!$F$2:$F$201,MATCH($B3477,Summary!$A$2:$A$201,0))</f>
        <v>20</v>
      </c>
      <c r="M3477" s="0" t="n">
        <f aca="false">INDEX(Summary!$I$2:$I$201,MATCH($B3477,Summary!$A$2:$A$201,0))</f>
        <v>2</v>
      </c>
      <c r="N3477" s="0" t="n">
        <f aca="false">INDEX(Summary!$J$2:$J$201,MATCH($B3477,Summary!$A$2:$A$201,0))</f>
        <v>3</v>
      </c>
      <c r="O3477" s="2" t="n">
        <f aca="false">INDEX(Summary!$K$2:$K$201,MATCH($B3477,Summary!$A$2:$A$201,0))</f>
        <v>9</v>
      </c>
      <c r="P3477" s="3" t="n">
        <f aca="false">INDEX(Summary!$L$2:$L$201,MATCH($B3477,Summary!$A$2:$A$201,0))</f>
        <v>4</v>
      </c>
      <c r="Q3477" s="3" t="n">
        <f aca="false">INDEX(Summary!$M$2:$M$201,MATCH($B3477,Summary!$A$2:$A$201,0))</f>
        <v>2</v>
      </c>
      <c r="R3477" s="2" t="n">
        <f aca="false">INDEX(Summary!$N$2:$N$201,MATCH($B3477,Summary!$A$2:$A$201,0))</f>
        <v>9.92</v>
      </c>
      <c r="S3477" s="3" t="n">
        <f aca="false">INDEX(Summary!$O$2:$O$201,MATCH($B3477,Summary!$A$2:$A$201,0))</f>
        <v>8</v>
      </c>
      <c r="T3477" s="3" t="n">
        <f aca="false">INDEX(Summary!$P$2:$P$201,MATCH($B3477,Summary!$A$2:$A$201,0))</f>
        <v>1</v>
      </c>
      <c r="U3477" s="2" t="n">
        <f aca="false">INDEX(Summary!$Q$2:$Q$201,MATCH($B3477,Summary!$A$2:$A$201,0))</f>
        <v>13.16</v>
      </c>
      <c r="V3477" s="2" t="n">
        <f aca="false">INDEX(Summary!$R$2:$R$201,MATCH($B3477,Summary!$A$2:$A$201,0))</f>
        <v>24.68</v>
      </c>
      <c r="W3477" s="0" t="str">
        <f aca="false">INDEX(Summary!$S$2:$S$201,MATCH($B3477,Summary!$A$2:$A$201,0))</f>
        <v>Silver</v>
      </c>
      <c r="X3477" s="2" t="n">
        <f aca="false">INDEX(Summary!$T$2:$T$201,MATCH($B3477,Summary!$A$2:$A$201,0))</f>
        <v>60.2</v>
      </c>
      <c r="Y3477" s="0" t="str">
        <f aca="false">INDEX('Reward Model'!$E$18:$E$37,MATCH($E3477,'Reward Model'!$A$18:$A$37,0))</f>
        <v>High</v>
      </c>
      <c r="Z3477" s="4" t="n">
        <f aca="false">ROUND(MIN(1,MAX('Reward Model'!$B$2,INDEX('Reward Model'!$C$12:$C$14,MATCH($K3477,'Reward Model'!$A$12:$A$14,0))/$J3477)),3)</f>
        <v>0.98</v>
      </c>
      <c r="AA3477" s="2" t="n">
        <f aca="false">IF($I3477="Correct",ROUND(INDEX('Reward Model'!$B$12:$B$14,MATCH($K3477,'Reward Model'!$A$12:$A$14,0))*Z3477,2),0)</f>
        <v>2.94</v>
      </c>
      <c r="AB3477" s="2" t="n">
        <f aca="false">IF($I3477="Correct",ROUND(INDEX('Reward Model'!$B$12:$B$14,MATCH($Y3477,'Reward Model'!$A$12:$A$14,0))*Z3477,2),0)</f>
        <v>2.94</v>
      </c>
    </row>
    <row r="3478" customFormat="false" ht="15" hidden="false" customHeight="false" outlineLevel="0" collapsed="false">
      <c r="A3478" s="0" t="s">
        <v>478</v>
      </c>
      <c r="B3478" s="0" t="s">
        <v>479</v>
      </c>
      <c r="C3478" s="0" t="s">
        <v>322</v>
      </c>
      <c r="D3478" s="0" t="s">
        <v>189</v>
      </c>
      <c r="E3478" s="0" t="n">
        <v>17</v>
      </c>
      <c r="F3478" s="0" t="s">
        <v>74</v>
      </c>
      <c r="G3478" s="0" t="s">
        <v>75</v>
      </c>
      <c r="H3478" s="0" t="s">
        <v>75</v>
      </c>
      <c r="I3478" s="0" t="s">
        <v>34</v>
      </c>
      <c r="J3478" s="0" t="n">
        <v>1.77</v>
      </c>
      <c r="K3478" s="0" t="s">
        <v>73</v>
      </c>
      <c r="L3478" s="0" t="n">
        <f aca="false">INDEX(Summary!$F$2:$F$201,MATCH($B3478,Summary!$A$2:$A$201,0))</f>
        <v>20</v>
      </c>
      <c r="M3478" s="0" t="n">
        <f aca="false">INDEX(Summary!$I$2:$I$201,MATCH($B3478,Summary!$A$2:$A$201,0))</f>
        <v>2</v>
      </c>
      <c r="N3478" s="0" t="n">
        <f aca="false">INDEX(Summary!$J$2:$J$201,MATCH($B3478,Summary!$A$2:$A$201,0))</f>
        <v>3</v>
      </c>
      <c r="O3478" s="2" t="n">
        <f aca="false">INDEX(Summary!$K$2:$K$201,MATCH($B3478,Summary!$A$2:$A$201,0))</f>
        <v>9</v>
      </c>
      <c r="P3478" s="3" t="n">
        <f aca="false">INDEX(Summary!$L$2:$L$201,MATCH($B3478,Summary!$A$2:$A$201,0))</f>
        <v>4</v>
      </c>
      <c r="Q3478" s="3" t="n">
        <f aca="false">INDEX(Summary!$M$2:$M$201,MATCH($B3478,Summary!$A$2:$A$201,0))</f>
        <v>2</v>
      </c>
      <c r="R3478" s="2" t="n">
        <f aca="false">INDEX(Summary!$N$2:$N$201,MATCH($B3478,Summary!$A$2:$A$201,0))</f>
        <v>9.92</v>
      </c>
      <c r="S3478" s="3" t="n">
        <f aca="false">INDEX(Summary!$O$2:$O$201,MATCH($B3478,Summary!$A$2:$A$201,0))</f>
        <v>8</v>
      </c>
      <c r="T3478" s="3" t="n">
        <f aca="false">INDEX(Summary!$P$2:$P$201,MATCH($B3478,Summary!$A$2:$A$201,0))</f>
        <v>1</v>
      </c>
      <c r="U3478" s="2" t="n">
        <f aca="false">INDEX(Summary!$Q$2:$Q$201,MATCH($B3478,Summary!$A$2:$A$201,0))</f>
        <v>13.16</v>
      </c>
      <c r="V3478" s="2" t="n">
        <f aca="false">INDEX(Summary!$R$2:$R$201,MATCH($B3478,Summary!$A$2:$A$201,0))</f>
        <v>24.68</v>
      </c>
      <c r="W3478" s="0" t="str">
        <f aca="false">INDEX(Summary!$S$2:$S$201,MATCH($B3478,Summary!$A$2:$A$201,0))</f>
        <v>Silver</v>
      </c>
      <c r="X3478" s="2" t="n">
        <f aca="false">INDEX(Summary!$T$2:$T$201,MATCH($B3478,Summary!$A$2:$A$201,0))</f>
        <v>60.2</v>
      </c>
      <c r="Y3478" s="0" t="str">
        <f aca="false">INDEX('Reward Model'!$E$18:$E$37,MATCH($E3478,'Reward Model'!$A$18:$A$37,0))</f>
        <v>High</v>
      </c>
      <c r="Z3478" s="4" t="n">
        <f aca="false">ROUND(MIN(1,MAX('Reward Model'!$B$2,INDEX('Reward Model'!$C$12:$C$14,MATCH($K3478,'Reward Model'!$A$12:$A$14,0))/$J3478)),3)</f>
        <v>1</v>
      </c>
      <c r="AA3478" s="2" t="n">
        <f aca="false">IF($I3478="Correct",ROUND(INDEX('Reward Model'!$B$12:$B$14,MATCH($K3478,'Reward Model'!$A$12:$A$14,0))*Z3478,2),0)</f>
        <v>3</v>
      </c>
      <c r="AB3478" s="2" t="n">
        <f aca="false">IF($I3478="Correct",ROUND(INDEX('Reward Model'!$B$12:$B$14,MATCH($Y3478,'Reward Model'!$A$12:$A$14,0))*Z3478,2),0)</f>
        <v>3</v>
      </c>
    </row>
    <row r="3479" customFormat="false" ht="15" hidden="false" customHeight="false" outlineLevel="0" collapsed="false">
      <c r="A3479" s="0" t="s">
        <v>478</v>
      </c>
      <c r="B3479" s="0" t="s">
        <v>479</v>
      </c>
      <c r="C3479" s="0" t="s">
        <v>322</v>
      </c>
      <c r="D3479" s="0" t="s">
        <v>189</v>
      </c>
      <c r="E3479" s="0" t="n">
        <v>18</v>
      </c>
      <c r="F3479" s="0" t="s">
        <v>76</v>
      </c>
      <c r="G3479" s="0" t="s">
        <v>128</v>
      </c>
      <c r="H3479" s="0" t="s">
        <v>77</v>
      </c>
      <c r="I3479" s="0" t="s">
        <v>39</v>
      </c>
      <c r="J3479" s="0" t="n">
        <v>1.35</v>
      </c>
      <c r="K3479" s="0" t="s">
        <v>73</v>
      </c>
      <c r="L3479" s="0" t="n">
        <f aca="false">INDEX(Summary!$F$2:$F$201,MATCH($B3479,Summary!$A$2:$A$201,0))</f>
        <v>20</v>
      </c>
      <c r="M3479" s="0" t="n">
        <f aca="false">INDEX(Summary!$I$2:$I$201,MATCH($B3479,Summary!$A$2:$A$201,0))</f>
        <v>2</v>
      </c>
      <c r="N3479" s="0" t="n">
        <f aca="false">INDEX(Summary!$J$2:$J$201,MATCH($B3479,Summary!$A$2:$A$201,0))</f>
        <v>3</v>
      </c>
      <c r="O3479" s="2" t="n">
        <f aca="false">INDEX(Summary!$K$2:$K$201,MATCH($B3479,Summary!$A$2:$A$201,0))</f>
        <v>9</v>
      </c>
      <c r="P3479" s="3" t="n">
        <f aca="false">INDEX(Summary!$L$2:$L$201,MATCH($B3479,Summary!$A$2:$A$201,0))</f>
        <v>4</v>
      </c>
      <c r="Q3479" s="3" t="n">
        <f aca="false">INDEX(Summary!$M$2:$M$201,MATCH($B3479,Summary!$A$2:$A$201,0))</f>
        <v>2</v>
      </c>
      <c r="R3479" s="2" t="n">
        <f aca="false">INDEX(Summary!$N$2:$N$201,MATCH($B3479,Summary!$A$2:$A$201,0))</f>
        <v>9.92</v>
      </c>
      <c r="S3479" s="3" t="n">
        <f aca="false">INDEX(Summary!$O$2:$O$201,MATCH($B3479,Summary!$A$2:$A$201,0))</f>
        <v>8</v>
      </c>
      <c r="T3479" s="3" t="n">
        <f aca="false">INDEX(Summary!$P$2:$P$201,MATCH($B3479,Summary!$A$2:$A$201,0))</f>
        <v>1</v>
      </c>
      <c r="U3479" s="2" t="n">
        <f aca="false">INDEX(Summary!$Q$2:$Q$201,MATCH($B3479,Summary!$A$2:$A$201,0))</f>
        <v>13.16</v>
      </c>
      <c r="V3479" s="2" t="n">
        <f aca="false">INDEX(Summary!$R$2:$R$201,MATCH($B3479,Summary!$A$2:$A$201,0))</f>
        <v>24.68</v>
      </c>
      <c r="W3479" s="0" t="str">
        <f aca="false">INDEX(Summary!$S$2:$S$201,MATCH($B3479,Summary!$A$2:$A$201,0))</f>
        <v>Silver</v>
      </c>
      <c r="X3479" s="2" t="n">
        <f aca="false">INDEX(Summary!$T$2:$T$201,MATCH($B3479,Summary!$A$2:$A$201,0))</f>
        <v>60.2</v>
      </c>
      <c r="Y3479" s="0" t="str">
        <f aca="false">INDEX('Reward Model'!$E$18:$E$37,MATCH($E3479,'Reward Model'!$A$18:$A$37,0))</f>
        <v>High</v>
      </c>
      <c r="Z3479" s="4" t="n">
        <f aca="false">ROUND(MIN(1,MAX('Reward Model'!$B$2,INDEX('Reward Model'!$C$12:$C$14,MATCH($K3479,'Reward Model'!$A$12:$A$14,0))/$J3479)),3)</f>
        <v>1</v>
      </c>
      <c r="AA3479" s="2" t="n">
        <f aca="false">IF($I3479="Correct",ROUND(INDEX('Reward Model'!$B$12:$B$14,MATCH($K3479,'Reward Model'!$A$12:$A$14,0))*Z3479,2),0)</f>
        <v>0</v>
      </c>
      <c r="AB3479" s="2" t="n">
        <f aca="false">IF($I3479="Correct",ROUND(INDEX('Reward Model'!$B$12:$B$14,MATCH($Y3479,'Reward Model'!$A$12:$A$14,0))*Z3479,2),0)</f>
        <v>0</v>
      </c>
    </row>
    <row r="3480" customFormat="false" ht="15" hidden="false" customHeight="false" outlineLevel="0" collapsed="false">
      <c r="A3480" s="0" t="s">
        <v>478</v>
      </c>
      <c r="B3480" s="0" t="s">
        <v>479</v>
      </c>
      <c r="C3480" s="0" t="s">
        <v>322</v>
      </c>
      <c r="D3480" s="0" t="s">
        <v>189</v>
      </c>
      <c r="E3480" s="0" t="n">
        <v>19</v>
      </c>
      <c r="F3480" s="0" t="s">
        <v>78</v>
      </c>
      <c r="G3480" s="0" t="s">
        <v>51</v>
      </c>
      <c r="H3480" s="0" t="s">
        <v>80</v>
      </c>
      <c r="I3480" s="0" t="s">
        <v>39</v>
      </c>
      <c r="J3480" s="0" t="n">
        <v>2.47</v>
      </c>
      <c r="K3480" s="0" t="s">
        <v>73</v>
      </c>
      <c r="L3480" s="0" t="n">
        <f aca="false">INDEX(Summary!$F$2:$F$201,MATCH($B3480,Summary!$A$2:$A$201,0))</f>
        <v>20</v>
      </c>
      <c r="M3480" s="0" t="n">
        <f aca="false">INDEX(Summary!$I$2:$I$201,MATCH($B3480,Summary!$A$2:$A$201,0))</f>
        <v>2</v>
      </c>
      <c r="N3480" s="0" t="n">
        <f aca="false">INDEX(Summary!$J$2:$J$201,MATCH($B3480,Summary!$A$2:$A$201,0))</f>
        <v>3</v>
      </c>
      <c r="O3480" s="2" t="n">
        <f aca="false">INDEX(Summary!$K$2:$K$201,MATCH($B3480,Summary!$A$2:$A$201,0))</f>
        <v>9</v>
      </c>
      <c r="P3480" s="3" t="n">
        <f aca="false">INDEX(Summary!$L$2:$L$201,MATCH($B3480,Summary!$A$2:$A$201,0))</f>
        <v>4</v>
      </c>
      <c r="Q3480" s="3" t="n">
        <f aca="false">INDEX(Summary!$M$2:$M$201,MATCH($B3480,Summary!$A$2:$A$201,0))</f>
        <v>2</v>
      </c>
      <c r="R3480" s="2" t="n">
        <f aca="false">INDEX(Summary!$N$2:$N$201,MATCH($B3480,Summary!$A$2:$A$201,0))</f>
        <v>9.92</v>
      </c>
      <c r="S3480" s="3" t="n">
        <f aca="false">INDEX(Summary!$O$2:$O$201,MATCH($B3480,Summary!$A$2:$A$201,0))</f>
        <v>8</v>
      </c>
      <c r="T3480" s="3" t="n">
        <f aca="false">INDEX(Summary!$P$2:$P$201,MATCH($B3480,Summary!$A$2:$A$201,0))</f>
        <v>1</v>
      </c>
      <c r="U3480" s="2" t="n">
        <f aca="false">INDEX(Summary!$Q$2:$Q$201,MATCH($B3480,Summary!$A$2:$A$201,0))</f>
        <v>13.16</v>
      </c>
      <c r="V3480" s="2" t="n">
        <f aca="false">INDEX(Summary!$R$2:$R$201,MATCH($B3480,Summary!$A$2:$A$201,0))</f>
        <v>24.68</v>
      </c>
      <c r="W3480" s="0" t="str">
        <f aca="false">INDEX(Summary!$S$2:$S$201,MATCH($B3480,Summary!$A$2:$A$201,0))</f>
        <v>Silver</v>
      </c>
      <c r="X3480" s="2" t="n">
        <f aca="false">INDEX(Summary!$T$2:$T$201,MATCH($B3480,Summary!$A$2:$A$201,0))</f>
        <v>60.2</v>
      </c>
      <c r="Y3480" s="0" t="str">
        <f aca="false">INDEX('Reward Model'!$E$18:$E$37,MATCH($E3480,'Reward Model'!$A$18:$A$37,0))</f>
        <v>High</v>
      </c>
      <c r="Z3480" s="4" t="n">
        <f aca="false">ROUND(MIN(1,MAX('Reward Model'!$B$2,INDEX('Reward Model'!$C$12:$C$14,MATCH($K3480,'Reward Model'!$A$12:$A$14,0))/$J3480)),3)</f>
        <v>0.81</v>
      </c>
      <c r="AA3480" s="2" t="n">
        <f aca="false">IF($I3480="Correct",ROUND(INDEX('Reward Model'!$B$12:$B$14,MATCH($K3480,'Reward Model'!$A$12:$A$14,0))*Z3480,2),0)</f>
        <v>0</v>
      </c>
      <c r="AB3480" s="2" t="n">
        <f aca="false">IF($I3480="Correct",ROUND(INDEX('Reward Model'!$B$12:$B$14,MATCH($Y3480,'Reward Model'!$A$12:$A$14,0))*Z3480,2),0)</f>
        <v>0</v>
      </c>
    </row>
    <row r="3481" customFormat="false" ht="15" hidden="false" customHeight="false" outlineLevel="0" collapsed="false">
      <c r="A3481" s="0" t="s">
        <v>478</v>
      </c>
      <c r="B3481" s="0" t="s">
        <v>479</v>
      </c>
      <c r="C3481" s="0" t="s">
        <v>322</v>
      </c>
      <c r="D3481" s="0" t="s">
        <v>189</v>
      </c>
      <c r="E3481" s="0" t="n">
        <v>20</v>
      </c>
      <c r="F3481" s="0" t="s">
        <v>81</v>
      </c>
      <c r="G3481" s="0" t="s">
        <v>119</v>
      </c>
      <c r="H3481" s="0" t="s">
        <v>83</v>
      </c>
      <c r="I3481" s="0" t="s">
        <v>39</v>
      </c>
      <c r="J3481" s="0" t="n">
        <v>1.37</v>
      </c>
      <c r="K3481" s="0" t="s">
        <v>73</v>
      </c>
      <c r="L3481" s="0" t="n">
        <f aca="false">INDEX(Summary!$F$2:$F$201,MATCH($B3481,Summary!$A$2:$A$201,0))</f>
        <v>20</v>
      </c>
      <c r="M3481" s="0" t="n">
        <f aca="false">INDEX(Summary!$I$2:$I$201,MATCH($B3481,Summary!$A$2:$A$201,0))</f>
        <v>2</v>
      </c>
      <c r="N3481" s="0" t="n">
        <f aca="false">INDEX(Summary!$J$2:$J$201,MATCH($B3481,Summary!$A$2:$A$201,0))</f>
        <v>3</v>
      </c>
      <c r="O3481" s="2" t="n">
        <f aca="false">INDEX(Summary!$K$2:$K$201,MATCH($B3481,Summary!$A$2:$A$201,0))</f>
        <v>9</v>
      </c>
      <c r="P3481" s="3" t="n">
        <f aca="false">INDEX(Summary!$L$2:$L$201,MATCH($B3481,Summary!$A$2:$A$201,0))</f>
        <v>4</v>
      </c>
      <c r="Q3481" s="3" t="n">
        <f aca="false">INDEX(Summary!$M$2:$M$201,MATCH($B3481,Summary!$A$2:$A$201,0))</f>
        <v>2</v>
      </c>
      <c r="R3481" s="2" t="n">
        <f aca="false">INDEX(Summary!$N$2:$N$201,MATCH($B3481,Summary!$A$2:$A$201,0))</f>
        <v>9.92</v>
      </c>
      <c r="S3481" s="3" t="n">
        <f aca="false">INDEX(Summary!$O$2:$O$201,MATCH($B3481,Summary!$A$2:$A$201,0))</f>
        <v>8</v>
      </c>
      <c r="T3481" s="3" t="n">
        <f aca="false">INDEX(Summary!$P$2:$P$201,MATCH($B3481,Summary!$A$2:$A$201,0))</f>
        <v>1</v>
      </c>
      <c r="U3481" s="2" t="n">
        <f aca="false">INDEX(Summary!$Q$2:$Q$201,MATCH($B3481,Summary!$A$2:$A$201,0))</f>
        <v>13.16</v>
      </c>
      <c r="V3481" s="2" t="n">
        <f aca="false">INDEX(Summary!$R$2:$R$201,MATCH($B3481,Summary!$A$2:$A$201,0))</f>
        <v>24.68</v>
      </c>
      <c r="W3481" s="0" t="str">
        <f aca="false">INDEX(Summary!$S$2:$S$201,MATCH($B3481,Summary!$A$2:$A$201,0))</f>
        <v>Silver</v>
      </c>
      <c r="X3481" s="2" t="n">
        <f aca="false">INDEX(Summary!$T$2:$T$201,MATCH($B3481,Summary!$A$2:$A$201,0))</f>
        <v>60.2</v>
      </c>
      <c r="Y3481" s="0" t="str">
        <f aca="false">INDEX('Reward Model'!$E$18:$E$37,MATCH($E3481,'Reward Model'!$A$18:$A$37,0))</f>
        <v>High</v>
      </c>
      <c r="Z3481" s="4" t="n">
        <f aca="false">ROUND(MIN(1,MAX('Reward Model'!$B$2,INDEX('Reward Model'!$C$12:$C$14,MATCH($K3481,'Reward Model'!$A$12:$A$14,0))/$J3481)),3)</f>
        <v>1</v>
      </c>
      <c r="AA3481" s="2" t="n">
        <f aca="false">IF($I3481="Correct",ROUND(INDEX('Reward Model'!$B$12:$B$14,MATCH($K3481,'Reward Model'!$A$12:$A$14,0))*Z3481,2),0)</f>
        <v>0</v>
      </c>
      <c r="AB3481" s="2" t="n">
        <f aca="false">IF($I3481="Correct",ROUND(INDEX('Reward Model'!$B$12:$B$14,MATCH($Y3481,'Reward Model'!$A$12:$A$14,0))*Z3481,2),0)</f>
        <v>0</v>
      </c>
    </row>
    <row r="3482" customFormat="false" ht="15" hidden="false" customHeight="false" outlineLevel="0" collapsed="false">
      <c r="A3482" s="0" t="s">
        <v>480</v>
      </c>
      <c r="B3482" s="0" t="s">
        <v>481</v>
      </c>
      <c r="C3482" s="0" t="s">
        <v>322</v>
      </c>
      <c r="D3482" s="0" t="s">
        <v>189</v>
      </c>
      <c r="E3482" s="0" t="n">
        <v>1</v>
      </c>
      <c r="F3482" s="0" t="s">
        <v>32</v>
      </c>
      <c r="G3482" s="0" t="s">
        <v>33</v>
      </c>
      <c r="H3482" s="0" t="s">
        <v>33</v>
      </c>
      <c r="I3482" s="0" t="s">
        <v>34</v>
      </c>
      <c r="J3482" s="0" t="n">
        <v>1.62</v>
      </c>
      <c r="K3482" s="0" t="s">
        <v>35</v>
      </c>
      <c r="L3482" s="0" t="n">
        <f aca="false">INDEX(Summary!$F$2:$F$201,MATCH($B3482,Summary!$A$2:$A$201,0))</f>
        <v>20</v>
      </c>
      <c r="M3482" s="0" t="n">
        <f aca="false">INDEX(Summary!$I$2:$I$201,MATCH($B3482,Summary!$A$2:$A$201,0))</f>
        <v>2</v>
      </c>
      <c r="N3482" s="0" t="n">
        <f aca="false">INDEX(Summary!$J$2:$J$201,MATCH($B3482,Summary!$A$2:$A$201,0))</f>
        <v>3</v>
      </c>
      <c r="O3482" s="2" t="n">
        <f aca="false">INDEX(Summary!$K$2:$K$201,MATCH($B3482,Summary!$A$2:$A$201,0))</f>
        <v>10.35</v>
      </c>
      <c r="P3482" s="3" t="n">
        <f aca="false">INDEX(Summary!$L$2:$L$201,MATCH($B3482,Summary!$A$2:$A$201,0))</f>
        <v>3</v>
      </c>
      <c r="Q3482" s="3" t="n">
        <f aca="false">INDEX(Summary!$M$2:$M$201,MATCH($B3482,Summary!$A$2:$A$201,0))</f>
        <v>3</v>
      </c>
      <c r="R3482" s="2" t="n">
        <f aca="false">INDEX(Summary!$N$2:$N$201,MATCH($B3482,Summary!$A$2:$A$201,0))</f>
        <v>8.61</v>
      </c>
      <c r="S3482" s="3" t="n">
        <f aca="false">INDEX(Summary!$O$2:$O$201,MATCH($B3482,Summary!$A$2:$A$201,0))</f>
        <v>7</v>
      </c>
      <c r="T3482" s="3" t="n">
        <f aca="false">INDEX(Summary!$P$2:$P$201,MATCH($B3482,Summary!$A$2:$A$201,0))</f>
        <v>2</v>
      </c>
      <c r="U3482" s="2" t="n">
        <f aca="false">INDEX(Summary!$Q$2:$Q$201,MATCH($B3482,Summary!$A$2:$A$201,0))</f>
        <v>15.2</v>
      </c>
      <c r="V3482" s="2" t="n">
        <f aca="false">INDEX(Summary!$R$2:$R$201,MATCH($B3482,Summary!$A$2:$A$201,0))</f>
        <v>21.25</v>
      </c>
      <c r="W3482" s="0" t="str">
        <f aca="false">INDEX(Summary!$S$2:$S$201,MATCH($B3482,Summary!$A$2:$A$201,0))</f>
        <v>Silver</v>
      </c>
      <c r="X3482" s="2" t="n">
        <f aca="false">INDEX(Summary!$T$2:$T$201,MATCH($B3482,Summary!$A$2:$A$201,0))</f>
        <v>51.83</v>
      </c>
      <c r="Y3482" s="0" t="str">
        <f aca="false">INDEX('Reward Model'!$E$18:$E$37,MATCH($E3482,'Reward Model'!$A$18:$A$37,0))</f>
        <v>Medium</v>
      </c>
      <c r="Z3482" s="4" t="n">
        <f aca="false">ROUND(MIN(1,MAX('Reward Model'!$B$2,INDEX('Reward Model'!$C$12:$C$14,MATCH($K3482,'Reward Model'!$A$12:$A$14,0))/$J3482)),3)</f>
        <v>0.926</v>
      </c>
      <c r="AA3482" s="2" t="n">
        <f aca="false">IF($I3482="Correct",ROUND(INDEX('Reward Model'!$B$12:$B$14,MATCH($K3482,'Reward Model'!$A$12:$A$14,0))*Z3482,2),0)</f>
        <v>0.93</v>
      </c>
      <c r="AB3482" s="2" t="n">
        <f aca="false">IF($I3482="Correct",ROUND(INDEX('Reward Model'!$B$12:$B$14,MATCH($Y3482,'Reward Model'!$A$12:$A$14,0))*Z3482,2),0)</f>
        <v>1.85</v>
      </c>
    </row>
    <row r="3483" customFormat="false" ht="15" hidden="false" customHeight="false" outlineLevel="0" collapsed="false">
      <c r="A3483" s="0" t="s">
        <v>480</v>
      </c>
      <c r="B3483" s="0" t="s">
        <v>481</v>
      </c>
      <c r="C3483" s="0" t="s">
        <v>322</v>
      </c>
      <c r="D3483" s="0" t="s">
        <v>189</v>
      </c>
      <c r="E3483" s="0" t="n">
        <v>2</v>
      </c>
      <c r="F3483" s="0" t="s">
        <v>36</v>
      </c>
      <c r="G3483" s="0" t="s">
        <v>38</v>
      </c>
      <c r="H3483" s="0" t="s">
        <v>38</v>
      </c>
      <c r="I3483" s="0" t="s">
        <v>34</v>
      </c>
      <c r="J3483" s="0" t="n">
        <v>1.97</v>
      </c>
      <c r="K3483" s="0" t="s">
        <v>35</v>
      </c>
      <c r="L3483" s="0" t="n">
        <f aca="false">INDEX(Summary!$F$2:$F$201,MATCH($B3483,Summary!$A$2:$A$201,0))</f>
        <v>20</v>
      </c>
      <c r="M3483" s="0" t="n">
        <f aca="false">INDEX(Summary!$I$2:$I$201,MATCH($B3483,Summary!$A$2:$A$201,0))</f>
        <v>2</v>
      </c>
      <c r="N3483" s="0" t="n">
        <f aca="false">INDEX(Summary!$J$2:$J$201,MATCH($B3483,Summary!$A$2:$A$201,0))</f>
        <v>3</v>
      </c>
      <c r="O3483" s="2" t="n">
        <f aca="false">INDEX(Summary!$K$2:$K$201,MATCH($B3483,Summary!$A$2:$A$201,0))</f>
        <v>10.35</v>
      </c>
      <c r="P3483" s="3" t="n">
        <f aca="false">INDEX(Summary!$L$2:$L$201,MATCH($B3483,Summary!$A$2:$A$201,0))</f>
        <v>3</v>
      </c>
      <c r="Q3483" s="3" t="n">
        <f aca="false">INDEX(Summary!$M$2:$M$201,MATCH($B3483,Summary!$A$2:$A$201,0))</f>
        <v>3</v>
      </c>
      <c r="R3483" s="2" t="n">
        <f aca="false">INDEX(Summary!$N$2:$N$201,MATCH($B3483,Summary!$A$2:$A$201,0))</f>
        <v>8.61</v>
      </c>
      <c r="S3483" s="3" t="n">
        <f aca="false">INDEX(Summary!$O$2:$O$201,MATCH($B3483,Summary!$A$2:$A$201,0))</f>
        <v>7</v>
      </c>
      <c r="T3483" s="3" t="n">
        <f aca="false">INDEX(Summary!$P$2:$P$201,MATCH($B3483,Summary!$A$2:$A$201,0))</f>
        <v>2</v>
      </c>
      <c r="U3483" s="2" t="n">
        <f aca="false">INDEX(Summary!$Q$2:$Q$201,MATCH($B3483,Summary!$A$2:$A$201,0))</f>
        <v>15.2</v>
      </c>
      <c r="V3483" s="2" t="n">
        <f aca="false">INDEX(Summary!$R$2:$R$201,MATCH($B3483,Summary!$A$2:$A$201,0))</f>
        <v>21.25</v>
      </c>
      <c r="W3483" s="0" t="str">
        <f aca="false">INDEX(Summary!$S$2:$S$201,MATCH($B3483,Summary!$A$2:$A$201,0))</f>
        <v>Silver</v>
      </c>
      <c r="X3483" s="2" t="n">
        <f aca="false">INDEX(Summary!$T$2:$T$201,MATCH($B3483,Summary!$A$2:$A$201,0))</f>
        <v>51.83</v>
      </c>
      <c r="Y3483" s="0" t="str">
        <f aca="false">INDEX('Reward Model'!$E$18:$E$37,MATCH($E3483,'Reward Model'!$A$18:$A$37,0))</f>
        <v>Low</v>
      </c>
      <c r="Z3483" s="4" t="n">
        <f aca="false">ROUND(MIN(1,MAX('Reward Model'!$B$2,INDEX('Reward Model'!$C$12:$C$14,MATCH($K3483,'Reward Model'!$A$12:$A$14,0))/$J3483)),3)</f>
        <v>0.761</v>
      </c>
      <c r="AA3483" s="2" t="n">
        <f aca="false">IF($I3483="Correct",ROUND(INDEX('Reward Model'!$B$12:$B$14,MATCH($K3483,'Reward Model'!$A$12:$A$14,0))*Z3483,2),0)</f>
        <v>0.76</v>
      </c>
      <c r="AB3483" s="2" t="n">
        <f aca="false">IF($I3483="Correct",ROUND(INDEX('Reward Model'!$B$12:$B$14,MATCH($Y3483,'Reward Model'!$A$12:$A$14,0))*Z3483,2),0)</f>
        <v>0.76</v>
      </c>
    </row>
    <row r="3484" customFormat="false" ht="15" hidden="false" customHeight="false" outlineLevel="0" collapsed="false">
      <c r="A3484" s="0" t="s">
        <v>480</v>
      </c>
      <c r="B3484" s="0" t="s">
        <v>481</v>
      </c>
      <c r="C3484" s="0" t="s">
        <v>322</v>
      </c>
      <c r="D3484" s="0" t="s">
        <v>189</v>
      </c>
      <c r="E3484" s="0" t="n">
        <v>3</v>
      </c>
      <c r="F3484" s="0" t="s">
        <v>40</v>
      </c>
      <c r="G3484" s="0" t="s">
        <v>41</v>
      </c>
      <c r="H3484" s="0" t="s">
        <v>42</v>
      </c>
      <c r="I3484" s="0" t="s">
        <v>39</v>
      </c>
      <c r="J3484" s="0" t="n">
        <v>1.76</v>
      </c>
      <c r="K3484" s="0" t="s">
        <v>35</v>
      </c>
      <c r="L3484" s="0" t="n">
        <f aca="false">INDEX(Summary!$F$2:$F$201,MATCH($B3484,Summary!$A$2:$A$201,0))</f>
        <v>20</v>
      </c>
      <c r="M3484" s="0" t="n">
        <f aca="false">INDEX(Summary!$I$2:$I$201,MATCH($B3484,Summary!$A$2:$A$201,0))</f>
        <v>2</v>
      </c>
      <c r="N3484" s="0" t="n">
        <f aca="false">INDEX(Summary!$J$2:$J$201,MATCH($B3484,Summary!$A$2:$A$201,0))</f>
        <v>3</v>
      </c>
      <c r="O3484" s="2" t="n">
        <f aca="false">INDEX(Summary!$K$2:$K$201,MATCH($B3484,Summary!$A$2:$A$201,0))</f>
        <v>10.35</v>
      </c>
      <c r="P3484" s="3" t="n">
        <f aca="false">INDEX(Summary!$L$2:$L$201,MATCH($B3484,Summary!$A$2:$A$201,0))</f>
        <v>3</v>
      </c>
      <c r="Q3484" s="3" t="n">
        <f aca="false">INDEX(Summary!$M$2:$M$201,MATCH($B3484,Summary!$A$2:$A$201,0))</f>
        <v>3</v>
      </c>
      <c r="R3484" s="2" t="n">
        <f aca="false">INDEX(Summary!$N$2:$N$201,MATCH($B3484,Summary!$A$2:$A$201,0))</f>
        <v>8.61</v>
      </c>
      <c r="S3484" s="3" t="n">
        <f aca="false">INDEX(Summary!$O$2:$O$201,MATCH($B3484,Summary!$A$2:$A$201,0))</f>
        <v>7</v>
      </c>
      <c r="T3484" s="3" t="n">
        <f aca="false">INDEX(Summary!$P$2:$P$201,MATCH($B3484,Summary!$A$2:$A$201,0))</f>
        <v>2</v>
      </c>
      <c r="U3484" s="2" t="n">
        <f aca="false">INDEX(Summary!$Q$2:$Q$201,MATCH($B3484,Summary!$A$2:$A$201,0))</f>
        <v>15.2</v>
      </c>
      <c r="V3484" s="2" t="n">
        <f aca="false">INDEX(Summary!$R$2:$R$201,MATCH($B3484,Summary!$A$2:$A$201,0))</f>
        <v>21.25</v>
      </c>
      <c r="W3484" s="0" t="str">
        <f aca="false">INDEX(Summary!$S$2:$S$201,MATCH($B3484,Summary!$A$2:$A$201,0))</f>
        <v>Silver</v>
      </c>
      <c r="X3484" s="2" t="n">
        <f aca="false">INDEX(Summary!$T$2:$T$201,MATCH($B3484,Summary!$A$2:$A$201,0))</f>
        <v>51.83</v>
      </c>
      <c r="Y3484" s="0" t="str">
        <f aca="false">INDEX('Reward Model'!$E$18:$E$37,MATCH($E3484,'Reward Model'!$A$18:$A$37,0))</f>
        <v>Medium</v>
      </c>
      <c r="Z3484" s="4" t="n">
        <f aca="false">ROUND(MIN(1,MAX('Reward Model'!$B$2,INDEX('Reward Model'!$C$12:$C$14,MATCH($K3484,'Reward Model'!$A$12:$A$14,0))/$J3484)),3)</f>
        <v>0.852</v>
      </c>
      <c r="AA3484" s="2" t="n">
        <f aca="false">IF($I3484="Correct",ROUND(INDEX('Reward Model'!$B$12:$B$14,MATCH($K3484,'Reward Model'!$A$12:$A$14,0))*Z3484,2),0)</f>
        <v>0</v>
      </c>
      <c r="AB3484" s="2" t="n">
        <f aca="false">IF($I3484="Correct",ROUND(INDEX('Reward Model'!$B$12:$B$14,MATCH($Y3484,'Reward Model'!$A$12:$A$14,0))*Z3484,2),0)</f>
        <v>0</v>
      </c>
    </row>
    <row r="3485" customFormat="false" ht="15" hidden="false" customHeight="false" outlineLevel="0" collapsed="false">
      <c r="A3485" s="0" t="s">
        <v>480</v>
      </c>
      <c r="B3485" s="0" t="s">
        <v>481</v>
      </c>
      <c r="C3485" s="0" t="s">
        <v>322</v>
      </c>
      <c r="D3485" s="0" t="s">
        <v>189</v>
      </c>
      <c r="E3485" s="0" t="n">
        <v>4</v>
      </c>
      <c r="F3485" s="0" t="s">
        <v>43</v>
      </c>
      <c r="G3485" s="0" t="s">
        <v>45</v>
      </c>
      <c r="H3485" s="0" t="s">
        <v>45</v>
      </c>
      <c r="I3485" s="0" t="s">
        <v>34</v>
      </c>
      <c r="J3485" s="0" t="n">
        <v>1.93</v>
      </c>
      <c r="K3485" s="0" t="s">
        <v>35</v>
      </c>
      <c r="L3485" s="0" t="n">
        <f aca="false">INDEX(Summary!$F$2:$F$201,MATCH($B3485,Summary!$A$2:$A$201,0))</f>
        <v>20</v>
      </c>
      <c r="M3485" s="0" t="n">
        <f aca="false">INDEX(Summary!$I$2:$I$201,MATCH($B3485,Summary!$A$2:$A$201,0))</f>
        <v>2</v>
      </c>
      <c r="N3485" s="0" t="n">
        <f aca="false">INDEX(Summary!$J$2:$J$201,MATCH($B3485,Summary!$A$2:$A$201,0))</f>
        <v>3</v>
      </c>
      <c r="O3485" s="2" t="n">
        <f aca="false">INDEX(Summary!$K$2:$K$201,MATCH($B3485,Summary!$A$2:$A$201,0))</f>
        <v>10.35</v>
      </c>
      <c r="P3485" s="3" t="n">
        <f aca="false">INDEX(Summary!$L$2:$L$201,MATCH($B3485,Summary!$A$2:$A$201,0))</f>
        <v>3</v>
      </c>
      <c r="Q3485" s="3" t="n">
        <f aca="false">INDEX(Summary!$M$2:$M$201,MATCH($B3485,Summary!$A$2:$A$201,0))</f>
        <v>3</v>
      </c>
      <c r="R3485" s="2" t="n">
        <f aca="false">INDEX(Summary!$N$2:$N$201,MATCH($B3485,Summary!$A$2:$A$201,0))</f>
        <v>8.61</v>
      </c>
      <c r="S3485" s="3" t="n">
        <f aca="false">INDEX(Summary!$O$2:$O$201,MATCH($B3485,Summary!$A$2:$A$201,0))</f>
        <v>7</v>
      </c>
      <c r="T3485" s="3" t="n">
        <f aca="false">INDEX(Summary!$P$2:$P$201,MATCH($B3485,Summary!$A$2:$A$201,0))</f>
        <v>2</v>
      </c>
      <c r="U3485" s="2" t="n">
        <f aca="false">INDEX(Summary!$Q$2:$Q$201,MATCH($B3485,Summary!$A$2:$A$201,0))</f>
        <v>15.2</v>
      </c>
      <c r="V3485" s="2" t="n">
        <f aca="false">INDEX(Summary!$R$2:$R$201,MATCH($B3485,Summary!$A$2:$A$201,0))</f>
        <v>21.25</v>
      </c>
      <c r="W3485" s="0" t="str">
        <f aca="false">INDEX(Summary!$S$2:$S$201,MATCH($B3485,Summary!$A$2:$A$201,0))</f>
        <v>Silver</v>
      </c>
      <c r="X3485" s="2" t="n">
        <f aca="false">INDEX(Summary!$T$2:$T$201,MATCH($B3485,Summary!$A$2:$A$201,0))</f>
        <v>51.83</v>
      </c>
      <c r="Y3485" s="0" t="str">
        <f aca="false">INDEX('Reward Model'!$E$18:$E$37,MATCH($E3485,'Reward Model'!$A$18:$A$37,0))</f>
        <v>Low</v>
      </c>
      <c r="Z3485" s="4" t="n">
        <f aca="false">ROUND(MIN(1,MAX('Reward Model'!$B$2,INDEX('Reward Model'!$C$12:$C$14,MATCH($K3485,'Reward Model'!$A$12:$A$14,0))/$J3485)),3)</f>
        <v>0.777</v>
      </c>
      <c r="AA3485" s="2" t="n">
        <f aca="false">IF($I3485="Correct",ROUND(INDEX('Reward Model'!$B$12:$B$14,MATCH($K3485,'Reward Model'!$A$12:$A$14,0))*Z3485,2),0)</f>
        <v>0.78</v>
      </c>
      <c r="AB3485" s="2" t="n">
        <f aca="false">IF($I3485="Correct",ROUND(INDEX('Reward Model'!$B$12:$B$14,MATCH($Y3485,'Reward Model'!$A$12:$A$14,0))*Z3485,2),0)</f>
        <v>0.78</v>
      </c>
    </row>
    <row r="3486" customFormat="false" ht="15" hidden="false" customHeight="false" outlineLevel="0" collapsed="false">
      <c r="A3486" s="0" t="s">
        <v>480</v>
      </c>
      <c r="B3486" s="0" t="s">
        <v>481</v>
      </c>
      <c r="C3486" s="0" t="s">
        <v>322</v>
      </c>
      <c r="D3486" s="0" t="s">
        <v>189</v>
      </c>
      <c r="E3486" s="0" t="n">
        <v>5</v>
      </c>
      <c r="F3486" s="0" t="s">
        <v>46</v>
      </c>
      <c r="G3486" s="0" t="s">
        <v>47</v>
      </c>
      <c r="H3486" s="0" t="s">
        <v>47</v>
      </c>
      <c r="I3486" s="0" t="s">
        <v>34</v>
      </c>
      <c r="J3486" s="0" t="n">
        <v>1.65</v>
      </c>
      <c r="K3486" s="0" t="s">
        <v>35</v>
      </c>
      <c r="L3486" s="0" t="n">
        <f aca="false">INDEX(Summary!$F$2:$F$201,MATCH($B3486,Summary!$A$2:$A$201,0))</f>
        <v>20</v>
      </c>
      <c r="M3486" s="0" t="n">
        <f aca="false">INDEX(Summary!$I$2:$I$201,MATCH($B3486,Summary!$A$2:$A$201,0))</f>
        <v>2</v>
      </c>
      <c r="N3486" s="0" t="n">
        <f aca="false">INDEX(Summary!$J$2:$J$201,MATCH($B3486,Summary!$A$2:$A$201,0))</f>
        <v>3</v>
      </c>
      <c r="O3486" s="2" t="n">
        <f aca="false">INDEX(Summary!$K$2:$K$201,MATCH($B3486,Summary!$A$2:$A$201,0))</f>
        <v>10.35</v>
      </c>
      <c r="P3486" s="3" t="n">
        <f aca="false">INDEX(Summary!$L$2:$L$201,MATCH($B3486,Summary!$A$2:$A$201,0))</f>
        <v>3</v>
      </c>
      <c r="Q3486" s="3" t="n">
        <f aca="false">INDEX(Summary!$M$2:$M$201,MATCH($B3486,Summary!$A$2:$A$201,0))</f>
        <v>3</v>
      </c>
      <c r="R3486" s="2" t="n">
        <f aca="false">INDEX(Summary!$N$2:$N$201,MATCH($B3486,Summary!$A$2:$A$201,0))</f>
        <v>8.61</v>
      </c>
      <c r="S3486" s="3" t="n">
        <f aca="false">INDEX(Summary!$O$2:$O$201,MATCH($B3486,Summary!$A$2:$A$201,0))</f>
        <v>7</v>
      </c>
      <c r="T3486" s="3" t="n">
        <f aca="false">INDEX(Summary!$P$2:$P$201,MATCH($B3486,Summary!$A$2:$A$201,0))</f>
        <v>2</v>
      </c>
      <c r="U3486" s="2" t="n">
        <f aca="false">INDEX(Summary!$Q$2:$Q$201,MATCH($B3486,Summary!$A$2:$A$201,0))</f>
        <v>15.2</v>
      </c>
      <c r="V3486" s="2" t="n">
        <f aca="false">INDEX(Summary!$R$2:$R$201,MATCH($B3486,Summary!$A$2:$A$201,0))</f>
        <v>21.25</v>
      </c>
      <c r="W3486" s="0" t="str">
        <f aca="false">INDEX(Summary!$S$2:$S$201,MATCH($B3486,Summary!$A$2:$A$201,0))</f>
        <v>Silver</v>
      </c>
      <c r="X3486" s="2" t="n">
        <f aca="false">INDEX(Summary!$T$2:$T$201,MATCH($B3486,Summary!$A$2:$A$201,0))</f>
        <v>51.83</v>
      </c>
      <c r="Y3486" s="0" t="str">
        <f aca="false">INDEX('Reward Model'!$E$18:$E$37,MATCH($E3486,'Reward Model'!$A$18:$A$37,0))</f>
        <v>Low</v>
      </c>
      <c r="Z3486" s="4" t="n">
        <f aca="false">ROUND(MIN(1,MAX('Reward Model'!$B$2,INDEX('Reward Model'!$C$12:$C$14,MATCH($K3486,'Reward Model'!$A$12:$A$14,0))/$J3486)),3)</f>
        <v>0.909</v>
      </c>
      <c r="AA3486" s="2" t="n">
        <f aca="false">IF($I3486="Correct",ROUND(INDEX('Reward Model'!$B$12:$B$14,MATCH($K3486,'Reward Model'!$A$12:$A$14,0))*Z3486,2),0)</f>
        <v>0.91</v>
      </c>
      <c r="AB3486" s="2" t="n">
        <f aca="false">IF($I3486="Correct",ROUND(INDEX('Reward Model'!$B$12:$B$14,MATCH($Y3486,'Reward Model'!$A$12:$A$14,0))*Z3486,2),0)</f>
        <v>0.91</v>
      </c>
    </row>
    <row r="3487" customFormat="false" ht="15" hidden="false" customHeight="false" outlineLevel="0" collapsed="false">
      <c r="A3487" s="0" t="s">
        <v>480</v>
      </c>
      <c r="B3487" s="0" t="s">
        <v>481</v>
      </c>
      <c r="C3487" s="0" t="s">
        <v>322</v>
      </c>
      <c r="D3487" s="0" t="s">
        <v>189</v>
      </c>
      <c r="E3487" s="0" t="n">
        <v>6</v>
      </c>
      <c r="F3487" s="0" t="s">
        <v>48</v>
      </c>
      <c r="G3487" s="0" t="s">
        <v>49</v>
      </c>
      <c r="H3487" s="0" t="s">
        <v>49</v>
      </c>
      <c r="I3487" s="0" t="s">
        <v>34</v>
      </c>
      <c r="J3487" s="0" t="n">
        <v>1.65</v>
      </c>
      <c r="K3487" s="0" t="s">
        <v>35</v>
      </c>
      <c r="L3487" s="0" t="n">
        <f aca="false">INDEX(Summary!$F$2:$F$201,MATCH($B3487,Summary!$A$2:$A$201,0))</f>
        <v>20</v>
      </c>
      <c r="M3487" s="0" t="n">
        <f aca="false">INDEX(Summary!$I$2:$I$201,MATCH($B3487,Summary!$A$2:$A$201,0))</f>
        <v>2</v>
      </c>
      <c r="N3487" s="0" t="n">
        <f aca="false">INDEX(Summary!$J$2:$J$201,MATCH($B3487,Summary!$A$2:$A$201,0))</f>
        <v>3</v>
      </c>
      <c r="O3487" s="2" t="n">
        <f aca="false">INDEX(Summary!$K$2:$K$201,MATCH($B3487,Summary!$A$2:$A$201,0))</f>
        <v>10.35</v>
      </c>
      <c r="P3487" s="3" t="n">
        <f aca="false">INDEX(Summary!$L$2:$L$201,MATCH($B3487,Summary!$A$2:$A$201,0))</f>
        <v>3</v>
      </c>
      <c r="Q3487" s="3" t="n">
        <f aca="false">INDEX(Summary!$M$2:$M$201,MATCH($B3487,Summary!$A$2:$A$201,0))</f>
        <v>3</v>
      </c>
      <c r="R3487" s="2" t="n">
        <f aca="false">INDEX(Summary!$N$2:$N$201,MATCH($B3487,Summary!$A$2:$A$201,0))</f>
        <v>8.61</v>
      </c>
      <c r="S3487" s="3" t="n">
        <f aca="false">INDEX(Summary!$O$2:$O$201,MATCH($B3487,Summary!$A$2:$A$201,0))</f>
        <v>7</v>
      </c>
      <c r="T3487" s="3" t="n">
        <f aca="false">INDEX(Summary!$P$2:$P$201,MATCH($B3487,Summary!$A$2:$A$201,0))</f>
        <v>2</v>
      </c>
      <c r="U3487" s="2" t="n">
        <f aca="false">INDEX(Summary!$Q$2:$Q$201,MATCH($B3487,Summary!$A$2:$A$201,0))</f>
        <v>15.2</v>
      </c>
      <c r="V3487" s="2" t="n">
        <f aca="false">INDEX(Summary!$R$2:$R$201,MATCH($B3487,Summary!$A$2:$A$201,0))</f>
        <v>21.25</v>
      </c>
      <c r="W3487" s="0" t="str">
        <f aca="false">INDEX(Summary!$S$2:$S$201,MATCH($B3487,Summary!$A$2:$A$201,0))</f>
        <v>Silver</v>
      </c>
      <c r="X3487" s="2" t="n">
        <f aca="false">INDEX(Summary!$T$2:$T$201,MATCH($B3487,Summary!$A$2:$A$201,0))</f>
        <v>51.83</v>
      </c>
      <c r="Y3487" s="0" t="str">
        <f aca="false">INDEX('Reward Model'!$E$18:$E$37,MATCH($E3487,'Reward Model'!$A$18:$A$37,0))</f>
        <v>Medium</v>
      </c>
      <c r="Z3487" s="4" t="n">
        <f aca="false">ROUND(MIN(1,MAX('Reward Model'!$B$2,INDEX('Reward Model'!$C$12:$C$14,MATCH($K3487,'Reward Model'!$A$12:$A$14,0))/$J3487)),3)</f>
        <v>0.909</v>
      </c>
      <c r="AA3487" s="2" t="n">
        <f aca="false">IF($I3487="Correct",ROUND(INDEX('Reward Model'!$B$12:$B$14,MATCH($K3487,'Reward Model'!$A$12:$A$14,0))*Z3487,2),0)</f>
        <v>0.91</v>
      </c>
      <c r="AB3487" s="2" t="n">
        <f aca="false">IF($I3487="Correct",ROUND(INDEX('Reward Model'!$B$12:$B$14,MATCH($Y3487,'Reward Model'!$A$12:$A$14,0))*Z3487,2),0)</f>
        <v>1.82</v>
      </c>
    </row>
    <row r="3488" customFormat="false" ht="15" hidden="false" customHeight="false" outlineLevel="0" collapsed="false">
      <c r="A3488" s="0" t="s">
        <v>480</v>
      </c>
      <c r="B3488" s="0" t="s">
        <v>481</v>
      </c>
      <c r="C3488" s="0" t="s">
        <v>322</v>
      </c>
      <c r="D3488" s="0" t="s">
        <v>189</v>
      </c>
      <c r="E3488" s="0" t="n">
        <v>7</v>
      </c>
      <c r="F3488" s="0" t="s">
        <v>50</v>
      </c>
      <c r="G3488" s="0" t="s">
        <v>144</v>
      </c>
      <c r="H3488" s="0" t="s">
        <v>51</v>
      </c>
      <c r="I3488" s="0" t="s">
        <v>39</v>
      </c>
      <c r="J3488" s="0" t="n">
        <v>1.94</v>
      </c>
      <c r="K3488" s="0" t="s">
        <v>35</v>
      </c>
      <c r="L3488" s="0" t="n">
        <f aca="false">INDEX(Summary!$F$2:$F$201,MATCH($B3488,Summary!$A$2:$A$201,0))</f>
        <v>20</v>
      </c>
      <c r="M3488" s="0" t="n">
        <f aca="false">INDEX(Summary!$I$2:$I$201,MATCH($B3488,Summary!$A$2:$A$201,0))</f>
        <v>2</v>
      </c>
      <c r="N3488" s="0" t="n">
        <f aca="false">INDEX(Summary!$J$2:$J$201,MATCH($B3488,Summary!$A$2:$A$201,0))</f>
        <v>3</v>
      </c>
      <c r="O3488" s="2" t="n">
        <f aca="false">INDEX(Summary!$K$2:$K$201,MATCH($B3488,Summary!$A$2:$A$201,0))</f>
        <v>10.35</v>
      </c>
      <c r="P3488" s="3" t="n">
        <f aca="false">INDEX(Summary!$L$2:$L$201,MATCH($B3488,Summary!$A$2:$A$201,0))</f>
        <v>3</v>
      </c>
      <c r="Q3488" s="3" t="n">
        <f aca="false">INDEX(Summary!$M$2:$M$201,MATCH($B3488,Summary!$A$2:$A$201,0))</f>
        <v>3</v>
      </c>
      <c r="R3488" s="2" t="n">
        <f aca="false">INDEX(Summary!$N$2:$N$201,MATCH($B3488,Summary!$A$2:$A$201,0))</f>
        <v>8.61</v>
      </c>
      <c r="S3488" s="3" t="n">
        <f aca="false">INDEX(Summary!$O$2:$O$201,MATCH($B3488,Summary!$A$2:$A$201,0))</f>
        <v>7</v>
      </c>
      <c r="T3488" s="3" t="n">
        <f aca="false">INDEX(Summary!$P$2:$P$201,MATCH($B3488,Summary!$A$2:$A$201,0))</f>
        <v>2</v>
      </c>
      <c r="U3488" s="2" t="n">
        <f aca="false">INDEX(Summary!$Q$2:$Q$201,MATCH($B3488,Summary!$A$2:$A$201,0))</f>
        <v>15.2</v>
      </c>
      <c r="V3488" s="2" t="n">
        <f aca="false">INDEX(Summary!$R$2:$R$201,MATCH($B3488,Summary!$A$2:$A$201,0))</f>
        <v>21.25</v>
      </c>
      <c r="W3488" s="0" t="str">
        <f aca="false">INDEX(Summary!$S$2:$S$201,MATCH($B3488,Summary!$A$2:$A$201,0))</f>
        <v>Silver</v>
      </c>
      <c r="X3488" s="2" t="n">
        <f aca="false">INDEX(Summary!$T$2:$T$201,MATCH($B3488,Summary!$A$2:$A$201,0))</f>
        <v>51.83</v>
      </c>
      <c r="Y3488" s="0" t="str">
        <f aca="false">INDEX('Reward Model'!$E$18:$E$37,MATCH($E3488,'Reward Model'!$A$18:$A$37,0))</f>
        <v>Low</v>
      </c>
      <c r="Z3488" s="4" t="n">
        <f aca="false">ROUND(MIN(1,MAX('Reward Model'!$B$2,INDEX('Reward Model'!$C$12:$C$14,MATCH($K3488,'Reward Model'!$A$12:$A$14,0))/$J3488)),3)</f>
        <v>0.773</v>
      </c>
      <c r="AA3488" s="2" t="n">
        <f aca="false">IF($I3488="Correct",ROUND(INDEX('Reward Model'!$B$12:$B$14,MATCH($K3488,'Reward Model'!$A$12:$A$14,0))*Z3488,2),0)</f>
        <v>0</v>
      </c>
      <c r="AB3488" s="2" t="n">
        <f aca="false">IF($I3488="Correct",ROUND(INDEX('Reward Model'!$B$12:$B$14,MATCH($Y3488,'Reward Model'!$A$12:$A$14,0))*Z3488,2),0)</f>
        <v>0</v>
      </c>
    </row>
    <row r="3489" customFormat="false" ht="15" hidden="false" customHeight="false" outlineLevel="0" collapsed="false">
      <c r="A3489" s="0" t="s">
        <v>480</v>
      </c>
      <c r="B3489" s="0" t="s">
        <v>481</v>
      </c>
      <c r="C3489" s="0" t="s">
        <v>322</v>
      </c>
      <c r="D3489" s="0" t="s">
        <v>189</v>
      </c>
      <c r="E3489" s="0" t="n">
        <v>8</v>
      </c>
      <c r="F3489" s="0" t="s">
        <v>52</v>
      </c>
      <c r="G3489" s="0" t="s">
        <v>54</v>
      </c>
      <c r="H3489" s="0" t="s">
        <v>54</v>
      </c>
      <c r="I3489" s="0" t="s">
        <v>34</v>
      </c>
      <c r="J3489" s="0" t="n">
        <v>1.74</v>
      </c>
      <c r="K3489" s="0" t="s">
        <v>35</v>
      </c>
      <c r="L3489" s="0" t="n">
        <f aca="false">INDEX(Summary!$F$2:$F$201,MATCH($B3489,Summary!$A$2:$A$201,0))</f>
        <v>20</v>
      </c>
      <c r="M3489" s="0" t="n">
        <f aca="false">INDEX(Summary!$I$2:$I$201,MATCH($B3489,Summary!$A$2:$A$201,0))</f>
        <v>2</v>
      </c>
      <c r="N3489" s="0" t="n">
        <f aca="false">INDEX(Summary!$J$2:$J$201,MATCH($B3489,Summary!$A$2:$A$201,0))</f>
        <v>3</v>
      </c>
      <c r="O3489" s="2" t="n">
        <f aca="false">INDEX(Summary!$K$2:$K$201,MATCH($B3489,Summary!$A$2:$A$201,0))</f>
        <v>10.35</v>
      </c>
      <c r="P3489" s="3" t="n">
        <f aca="false">INDEX(Summary!$L$2:$L$201,MATCH($B3489,Summary!$A$2:$A$201,0))</f>
        <v>3</v>
      </c>
      <c r="Q3489" s="3" t="n">
        <f aca="false">INDEX(Summary!$M$2:$M$201,MATCH($B3489,Summary!$A$2:$A$201,0))</f>
        <v>3</v>
      </c>
      <c r="R3489" s="2" t="n">
        <f aca="false">INDEX(Summary!$N$2:$N$201,MATCH($B3489,Summary!$A$2:$A$201,0))</f>
        <v>8.61</v>
      </c>
      <c r="S3489" s="3" t="n">
        <f aca="false">INDEX(Summary!$O$2:$O$201,MATCH($B3489,Summary!$A$2:$A$201,0))</f>
        <v>7</v>
      </c>
      <c r="T3489" s="3" t="n">
        <f aca="false">INDEX(Summary!$P$2:$P$201,MATCH($B3489,Summary!$A$2:$A$201,0))</f>
        <v>2</v>
      </c>
      <c r="U3489" s="2" t="n">
        <f aca="false">INDEX(Summary!$Q$2:$Q$201,MATCH($B3489,Summary!$A$2:$A$201,0))</f>
        <v>15.2</v>
      </c>
      <c r="V3489" s="2" t="n">
        <f aca="false">INDEX(Summary!$R$2:$R$201,MATCH($B3489,Summary!$A$2:$A$201,0))</f>
        <v>21.25</v>
      </c>
      <c r="W3489" s="0" t="str">
        <f aca="false">INDEX(Summary!$S$2:$S$201,MATCH($B3489,Summary!$A$2:$A$201,0))</f>
        <v>Silver</v>
      </c>
      <c r="X3489" s="2" t="n">
        <f aca="false">INDEX(Summary!$T$2:$T$201,MATCH($B3489,Summary!$A$2:$A$201,0))</f>
        <v>51.83</v>
      </c>
      <c r="Y3489" s="0" t="str">
        <f aca="false">INDEX('Reward Model'!$E$18:$E$37,MATCH($E3489,'Reward Model'!$A$18:$A$37,0))</f>
        <v>Medium</v>
      </c>
      <c r="Z3489" s="4" t="n">
        <f aca="false">ROUND(MIN(1,MAX('Reward Model'!$B$2,INDEX('Reward Model'!$C$12:$C$14,MATCH($K3489,'Reward Model'!$A$12:$A$14,0))/$J3489)),3)</f>
        <v>0.862</v>
      </c>
      <c r="AA3489" s="2" t="n">
        <f aca="false">IF($I3489="Correct",ROUND(INDEX('Reward Model'!$B$12:$B$14,MATCH($K3489,'Reward Model'!$A$12:$A$14,0))*Z3489,2),0)</f>
        <v>0.86</v>
      </c>
      <c r="AB3489" s="2" t="n">
        <f aca="false">IF($I3489="Correct",ROUND(INDEX('Reward Model'!$B$12:$B$14,MATCH($Y3489,'Reward Model'!$A$12:$A$14,0))*Z3489,2),0)</f>
        <v>1.72</v>
      </c>
    </row>
    <row r="3490" customFormat="false" ht="15" hidden="false" customHeight="false" outlineLevel="0" collapsed="false">
      <c r="A3490" s="0" t="s">
        <v>480</v>
      </c>
      <c r="B3490" s="0" t="s">
        <v>481</v>
      </c>
      <c r="C3490" s="0" t="s">
        <v>322</v>
      </c>
      <c r="D3490" s="0" t="s">
        <v>189</v>
      </c>
      <c r="E3490" s="0" t="n">
        <v>9</v>
      </c>
      <c r="F3490" s="0" t="s">
        <v>55</v>
      </c>
      <c r="G3490" s="0" t="s">
        <v>57</v>
      </c>
      <c r="H3490" s="0" t="s">
        <v>57</v>
      </c>
      <c r="I3490" s="0" t="s">
        <v>34</v>
      </c>
      <c r="J3490" s="0" t="n">
        <v>0.94</v>
      </c>
      <c r="K3490" s="0" t="s">
        <v>35</v>
      </c>
      <c r="L3490" s="0" t="n">
        <f aca="false">INDEX(Summary!$F$2:$F$201,MATCH($B3490,Summary!$A$2:$A$201,0))</f>
        <v>20</v>
      </c>
      <c r="M3490" s="0" t="n">
        <f aca="false">INDEX(Summary!$I$2:$I$201,MATCH($B3490,Summary!$A$2:$A$201,0))</f>
        <v>2</v>
      </c>
      <c r="N3490" s="0" t="n">
        <f aca="false">INDEX(Summary!$J$2:$J$201,MATCH($B3490,Summary!$A$2:$A$201,0))</f>
        <v>3</v>
      </c>
      <c r="O3490" s="2" t="n">
        <f aca="false">INDEX(Summary!$K$2:$K$201,MATCH($B3490,Summary!$A$2:$A$201,0))</f>
        <v>10.35</v>
      </c>
      <c r="P3490" s="3" t="n">
        <f aca="false">INDEX(Summary!$L$2:$L$201,MATCH($B3490,Summary!$A$2:$A$201,0))</f>
        <v>3</v>
      </c>
      <c r="Q3490" s="3" t="n">
        <f aca="false">INDEX(Summary!$M$2:$M$201,MATCH($B3490,Summary!$A$2:$A$201,0))</f>
        <v>3</v>
      </c>
      <c r="R3490" s="2" t="n">
        <f aca="false">INDEX(Summary!$N$2:$N$201,MATCH($B3490,Summary!$A$2:$A$201,0))</f>
        <v>8.61</v>
      </c>
      <c r="S3490" s="3" t="n">
        <f aca="false">INDEX(Summary!$O$2:$O$201,MATCH($B3490,Summary!$A$2:$A$201,0))</f>
        <v>7</v>
      </c>
      <c r="T3490" s="3" t="n">
        <f aca="false">INDEX(Summary!$P$2:$P$201,MATCH($B3490,Summary!$A$2:$A$201,0))</f>
        <v>2</v>
      </c>
      <c r="U3490" s="2" t="n">
        <f aca="false">INDEX(Summary!$Q$2:$Q$201,MATCH($B3490,Summary!$A$2:$A$201,0))</f>
        <v>15.2</v>
      </c>
      <c r="V3490" s="2" t="n">
        <f aca="false">INDEX(Summary!$R$2:$R$201,MATCH($B3490,Summary!$A$2:$A$201,0))</f>
        <v>21.25</v>
      </c>
      <c r="W3490" s="0" t="str">
        <f aca="false">INDEX(Summary!$S$2:$S$201,MATCH($B3490,Summary!$A$2:$A$201,0))</f>
        <v>Silver</v>
      </c>
      <c r="X3490" s="2" t="n">
        <f aca="false">INDEX(Summary!$T$2:$T$201,MATCH($B3490,Summary!$A$2:$A$201,0))</f>
        <v>51.83</v>
      </c>
      <c r="Y3490" s="0" t="str">
        <f aca="false">INDEX('Reward Model'!$E$18:$E$37,MATCH($E3490,'Reward Model'!$A$18:$A$37,0))</f>
        <v>Medium</v>
      </c>
      <c r="Z3490" s="4" t="n">
        <f aca="false">ROUND(MIN(1,MAX('Reward Model'!$B$2,INDEX('Reward Model'!$C$12:$C$14,MATCH($K3490,'Reward Model'!$A$12:$A$14,0))/$J3490)),3)</f>
        <v>1</v>
      </c>
      <c r="AA3490" s="2" t="n">
        <f aca="false">IF($I3490="Correct",ROUND(INDEX('Reward Model'!$B$12:$B$14,MATCH($K3490,'Reward Model'!$A$12:$A$14,0))*Z3490,2),0)</f>
        <v>1</v>
      </c>
      <c r="AB3490" s="2" t="n">
        <f aca="false">IF($I3490="Correct",ROUND(INDEX('Reward Model'!$B$12:$B$14,MATCH($Y3490,'Reward Model'!$A$12:$A$14,0))*Z3490,2),0)</f>
        <v>2</v>
      </c>
    </row>
    <row r="3491" customFormat="false" ht="15" hidden="false" customHeight="false" outlineLevel="0" collapsed="false">
      <c r="A3491" s="0" t="s">
        <v>480</v>
      </c>
      <c r="B3491" s="0" t="s">
        <v>481</v>
      </c>
      <c r="C3491" s="0" t="s">
        <v>322</v>
      </c>
      <c r="D3491" s="0" t="s">
        <v>189</v>
      </c>
      <c r="E3491" s="0" t="n">
        <v>10</v>
      </c>
      <c r="F3491" s="0" t="s">
        <v>58</v>
      </c>
      <c r="G3491" s="0" t="s">
        <v>138</v>
      </c>
      <c r="H3491" s="0" t="s">
        <v>59</v>
      </c>
      <c r="I3491" s="0" t="s">
        <v>39</v>
      </c>
      <c r="J3491" s="0" t="n">
        <v>1.12</v>
      </c>
      <c r="K3491" s="0" t="s">
        <v>60</v>
      </c>
      <c r="L3491" s="0" t="n">
        <f aca="false">INDEX(Summary!$F$2:$F$201,MATCH($B3491,Summary!$A$2:$A$201,0))</f>
        <v>20</v>
      </c>
      <c r="M3491" s="0" t="n">
        <f aca="false">INDEX(Summary!$I$2:$I$201,MATCH($B3491,Summary!$A$2:$A$201,0))</f>
        <v>2</v>
      </c>
      <c r="N3491" s="0" t="n">
        <f aca="false">INDEX(Summary!$J$2:$J$201,MATCH($B3491,Summary!$A$2:$A$201,0))</f>
        <v>3</v>
      </c>
      <c r="O3491" s="2" t="n">
        <f aca="false">INDEX(Summary!$K$2:$K$201,MATCH($B3491,Summary!$A$2:$A$201,0))</f>
        <v>10.35</v>
      </c>
      <c r="P3491" s="3" t="n">
        <f aca="false">INDEX(Summary!$L$2:$L$201,MATCH($B3491,Summary!$A$2:$A$201,0))</f>
        <v>3</v>
      </c>
      <c r="Q3491" s="3" t="n">
        <f aca="false">INDEX(Summary!$M$2:$M$201,MATCH($B3491,Summary!$A$2:$A$201,0))</f>
        <v>3</v>
      </c>
      <c r="R3491" s="2" t="n">
        <f aca="false">INDEX(Summary!$N$2:$N$201,MATCH($B3491,Summary!$A$2:$A$201,0))</f>
        <v>8.61</v>
      </c>
      <c r="S3491" s="3" t="n">
        <f aca="false">INDEX(Summary!$O$2:$O$201,MATCH($B3491,Summary!$A$2:$A$201,0))</f>
        <v>7</v>
      </c>
      <c r="T3491" s="3" t="n">
        <f aca="false">INDEX(Summary!$P$2:$P$201,MATCH($B3491,Summary!$A$2:$A$201,0))</f>
        <v>2</v>
      </c>
      <c r="U3491" s="2" t="n">
        <f aca="false">INDEX(Summary!$Q$2:$Q$201,MATCH($B3491,Summary!$A$2:$A$201,0))</f>
        <v>15.2</v>
      </c>
      <c r="V3491" s="2" t="n">
        <f aca="false">INDEX(Summary!$R$2:$R$201,MATCH($B3491,Summary!$A$2:$A$201,0))</f>
        <v>21.25</v>
      </c>
      <c r="W3491" s="0" t="str">
        <f aca="false">INDEX(Summary!$S$2:$S$201,MATCH($B3491,Summary!$A$2:$A$201,0))</f>
        <v>Silver</v>
      </c>
      <c r="X3491" s="2" t="n">
        <f aca="false">INDEX(Summary!$T$2:$T$201,MATCH($B3491,Summary!$A$2:$A$201,0))</f>
        <v>51.83</v>
      </c>
      <c r="Y3491" s="0" t="str">
        <f aca="false">INDEX('Reward Model'!$E$18:$E$37,MATCH($E3491,'Reward Model'!$A$18:$A$37,0))</f>
        <v>Medium</v>
      </c>
      <c r="Z3491" s="4" t="n">
        <f aca="false">ROUND(MIN(1,MAX('Reward Model'!$B$2,INDEX('Reward Model'!$C$12:$C$14,MATCH($K3491,'Reward Model'!$A$12:$A$14,0))/$J3491)),3)</f>
        <v>1</v>
      </c>
      <c r="AA3491" s="2" t="n">
        <f aca="false">IF($I3491="Correct",ROUND(INDEX('Reward Model'!$B$12:$B$14,MATCH($K3491,'Reward Model'!$A$12:$A$14,0))*Z3491,2),0)</f>
        <v>0</v>
      </c>
      <c r="AB3491" s="2" t="n">
        <f aca="false">IF($I3491="Correct",ROUND(INDEX('Reward Model'!$B$12:$B$14,MATCH($Y3491,'Reward Model'!$A$12:$A$14,0))*Z3491,2),0)</f>
        <v>0</v>
      </c>
    </row>
    <row r="3492" customFormat="false" ht="15" hidden="false" customHeight="false" outlineLevel="0" collapsed="false">
      <c r="A3492" s="0" t="s">
        <v>480</v>
      </c>
      <c r="B3492" s="0" t="s">
        <v>481</v>
      </c>
      <c r="C3492" s="0" t="s">
        <v>322</v>
      </c>
      <c r="D3492" s="0" t="s">
        <v>189</v>
      </c>
      <c r="E3492" s="0" t="n">
        <v>11</v>
      </c>
      <c r="F3492" s="0" t="s">
        <v>61</v>
      </c>
      <c r="G3492" s="0" t="s">
        <v>62</v>
      </c>
      <c r="H3492" s="0" t="s">
        <v>63</v>
      </c>
      <c r="I3492" s="0" t="s">
        <v>39</v>
      </c>
      <c r="J3492" s="0" t="n">
        <v>1.94</v>
      </c>
      <c r="K3492" s="0" t="s">
        <v>60</v>
      </c>
      <c r="L3492" s="0" t="n">
        <f aca="false">INDEX(Summary!$F$2:$F$201,MATCH($B3492,Summary!$A$2:$A$201,0))</f>
        <v>20</v>
      </c>
      <c r="M3492" s="0" t="n">
        <f aca="false">INDEX(Summary!$I$2:$I$201,MATCH($B3492,Summary!$A$2:$A$201,0))</f>
        <v>2</v>
      </c>
      <c r="N3492" s="0" t="n">
        <f aca="false">INDEX(Summary!$J$2:$J$201,MATCH($B3492,Summary!$A$2:$A$201,0))</f>
        <v>3</v>
      </c>
      <c r="O3492" s="2" t="n">
        <f aca="false">INDEX(Summary!$K$2:$K$201,MATCH($B3492,Summary!$A$2:$A$201,0))</f>
        <v>10.35</v>
      </c>
      <c r="P3492" s="3" t="n">
        <f aca="false">INDEX(Summary!$L$2:$L$201,MATCH($B3492,Summary!$A$2:$A$201,0))</f>
        <v>3</v>
      </c>
      <c r="Q3492" s="3" t="n">
        <f aca="false">INDEX(Summary!$M$2:$M$201,MATCH($B3492,Summary!$A$2:$A$201,0))</f>
        <v>3</v>
      </c>
      <c r="R3492" s="2" t="n">
        <f aca="false">INDEX(Summary!$N$2:$N$201,MATCH($B3492,Summary!$A$2:$A$201,0))</f>
        <v>8.61</v>
      </c>
      <c r="S3492" s="3" t="n">
        <f aca="false">INDEX(Summary!$O$2:$O$201,MATCH($B3492,Summary!$A$2:$A$201,0))</f>
        <v>7</v>
      </c>
      <c r="T3492" s="3" t="n">
        <f aca="false">INDEX(Summary!$P$2:$P$201,MATCH($B3492,Summary!$A$2:$A$201,0))</f>
        <v>2</v>
      </c>
      <c r="U3492" s="2" t="n">
        <f aca="false">INDEX(Summary!$Q$2:$Q$201,MATCH($B3492,Summary!$A$2:$A$201,0))</f>
        <v>15.2</v>
      </c>
      <c r="V3492" s="2" t="n">
        <f aca="false">INDEX(Summary!$R$2:$R$201,MATCH($B3492,Summary!$A$2:$A$201,0))</f>
        <v>21.25</v>
      </c>
      <c r="W3492" s="0" t="str">
        <f aca="false">INDEX(Summary!$S$2:$S$201,MATCH($B3492,Summary!$A$2:$A$201,0))</f>
        <v>Silver</v>
      </c>
      <c r="X3492" s="2" t="n">
        <f aca="false">INDEX(Summary!$T$2:$T$201,MATCH($B3492,Summary!$A$2:$A$201,0))</f>
        <v>51.83</v>
      </c>
      <c r="Y3492" s="0" t="str">
        <f aca="false">INDEX('Reward Model'!$E$18:$E$37,MATCH($E3492,'Reward Model'!$A$18:$A$37,0))</f>
        <v>Medium</v>
      </c>
      <c r="Z3492" s="4" t="n">
        <f aca="false">ROUND(MIN(1,MAX('Reward Model'!$B$2,INDEX('Reward Model'!$C$12:$C$14,MATCH($K3492,'Reward Model'!$A$12:$A$14,0))/$J3492)),3)</f>
        <v>0.928</v>
      </c>
      <c r="AA3492" s="2" t="n">
        <f aca="false">IF($I3492="Correct",ROUND(INDEX('Reward Model'!$B$12:$B$14,MATCH($K3492,'Reward Model'!$A$12:$A$14,0))*Z3492,2),0)</f>
        <v>0</v>
      </c>
      <c r="AB3492" s="2" t="n">
        <f aca="false">IF($I3492="Correct",ROUND(INDEX('Reward Model'!$B$12:$B$14,MATCH($Y3492,'Reward Model'!$A$12:$A$14,0))*Z3492,2),0)</f>
        <v>0</v>
      </c>
    </row>
    <row r="3493" customFormat="false" ht="15" hidden="false" customHeight="false" outlineLevel="0" collapsed="false">
      <c r="A3493" s="0" t="s">
        <v>480</v>
      </c>
      <c r="B3493" s="0" t="s">
        <v>481</v>
      </c>
      <c r="C3493" s="0" t="s">
        <v>322</v>
      </c>
      <c r="D3493" s="0" t="s">
        <v>189</v>
      </c>
      <c r="E3493" s="0" t="n">
        <v>12</v>
      </c>
      <c r="F3493" s="0" t="s">
        <v>64</v>
      </c>
      <c r="G3493" s="0" t="s">
        <v>65</v>
      </c>
      <c r="H3493" s="0" t="s">
        <v>65</v>
      </c>
      <c r="I3493" s="0" t="s">
        <v>34</v>
      </c>
      <c r="J3493" s="0" t="n">
        <v>1.34</v>
      </c>
      <c r="K3493" s="0" t="s">
        <v>60</v>
      </c>
      <c r="L3493" s="0" t="n">
        <f aca="false">INDEX(Summary!$F$2:$F$201,MATCH($B3493,Summary!$A$2:$A$201,0))</f>
        <v>20</v>
      </c>
      <c r="M3493" s="0" t="n">
        <f aca="false">INDEX(Summary!$I$2:$I$201,MATCH($B3493,Summary!$A$2:$A$201,0))</f>
        <v>2</v>
      </c>
      <c r="N3493" s="0" t="n">
        <f aca="false">INDEX(Summary!$J$2:$J$201,MATCH($B3493,Summary!$A$2:$A$201,0))</f>
        <v>3</v>
      </c>
      <c r="O3493" s="2" t="n">
        <f aca="false">INDEX(Summary!$K$2:$K$201,MATCH($B3493,Summary!$A$2:$A$201,0))</f>
        <v>10.35</v>
      </c>
      <c r="P3493" s="3" t="n">
        <f aca="false">INDEX(Summary!$L$2:$L$201,MATCH($B3493,Summary!$A$2:$A$201,0))</f>
        <v>3</v>
      </c>
      <c r="Q3493" s="3" t="n">
        <f aca="false">INDEX(Summary!$M$2:$M$201,MATCH($B3493,Summary!$A$2:$A$201,0))</f>
        <v>3</v>
      </c>
      <c r="R3493" s="2" t="n">
        <f aca="false">INDEX(Summary!$N$2:$N$201,MATCH($B3493,Summary!$A$2:$A$201,0))</f>
        <v>8.61</v>
      </c>
      <c r="S3493" s="3" t="n">
        <f aca="false">INDEX(Summary!$O$2:$O$201,MATCH($B3493,Summary!$A$2:$A$201,0))</f>
        <v>7</v>
      </c>
      <c r="T3493" s="3" t="n">
        <f aca="false">INDEX(Summary!$P$2:$P$201,MATCH($B3493,Summary!$A$2:$A$201,0))</f>
        <v>2</v>
      </c>
      <c r="U3493" s="2" t="n">
        <f aca="false">INDEX(Summary!$Q$2:$Q$201,MATCH($B3493,Summary!$A$2:$A$201,0))</f>
        <v>15.2</v>
      </c>
      <c r="V3493" s="2" t="n">
        <f aca="false">INDEX(Summary!$R$2:$R$201,MATCH($B3493,Summary!$A$2:$A$201,0))</f>
        <v>21.25</v>
      </c>
      <c r="W3493" s="0" t="str">
        <f aca="false">INDEX(Summary!$S$2:$S$201,MATCH($B3493,Summary!$A$2:$A$201,0))</f>
        <v>Silver</v>
      </c>
      <c r="X3493" s="2" t="n">
        <f aca="false">INDEX(Summary!$T$2:$T$201,MATCH($B3493,Summary!$A$2:$A$201,0))</f>
        <v>51.83</v>
      </c>
      <c r="Y3493" s="0" t="str">
        <f aca="false">INDEX('Reward Model'!$E$18:$E$37,MATCH($E3493,'Reward Model'!$A$18:$A$37,0))</f>
        <v>Medium</v>
      </c>
      <c r="Z3493" s="4" t="n">
        <f aca="false">ROUND(MIN(1,MAX('Reward Model'!$B$2,INDEX('Reward Model'!$C$12:$C$14,MATCH($K3493,'Reward Model'!$A$12:$A$14,0))/$J3493)),3)</f>
        <v>1</v>
      </c>
      <c r="AA3493" s="2" t="n">
        <f aca="false">IF($I3493="Correct",ROUND(INDEX('Reward Model'!$B$12:$B$14,MATCH($K3493,'Reward Model'!$A$12:$A$14,0))*Z3493,2),0)</f>
        <v>2</v>
      </c>
      <c r="AB3493" s="2" t="n">
        <f aca="false">IF($I3493="Correct",ROUND(INDEX('Reward Model'!$B$12:$B$14,MATCH($Y3493,'Reward Model'!$A$12:$A$14,0))*Z3493,2),0)</f>
        <v>2</v>
      </c>
    </row>
    <row r="3494" customFormat="false" ht="15" hidden="false" customHeight="false" outlineLevel="0" collapsed="false">
      <c r="A3494" s="0" t="s">
        <v>480</v>
      </c>
      <c r="B3494" s="0" t="s">
        <v>481</v>
      </c>
      <c r="C3494" s="0" t="s">
        <v>322</v>
      </c>
      <c r="D3494" s="0" t="s">
        <v>189</v>
      </c>
      <c r="E3494" s="0" t="n">
        <v>13</v>
      </c>
      <c r="F3494" s="0" t="s">
        <v>66</v>
      </c>
      <c r="G3494" s="0" t="s">
        <v>124</v>
      </c>
      <c r="H3494" s="0" t="s">
        <v>67</v>
      </c>
      <c r="I3494" s="0" t="s">
        <v>39</v>
      </c>
      <c r="J3494" s="0" t="n">
        <v>1.89</v>
      </c>
      <c r="K3494" s="0" t="s">
        <v>60</v>
      </c>
      <c r="L3494" s="0" t="n">
        <f aca="false">INDEX(Summary!$F$2:$F$201,MATCH($B3494,Summary!$A$2:$A$201,0))</f>
        <v>20</v>
      </c>
      <c r="M3494" s="0" t="n">
        <f aca="false">INDEX(Summary!$I$2:$I$201,MATCH($B3494,Summary!$A$2:$A$201,0))</f>
        <v>2</v>
      </c>
      <c r="N3494" s="0" t="n">
        <f aca="false">INDEX(Summary!$J$2:$J$201,MATCH($B3494,Summary!$A$2:$A$201,0))</f>
        <v>3</v>
      </c>
      <c r="O3494" s="2" t="n">
        <f aca="false">INDEX(Summary!$K$2:$K$201,MATCH($B3494,Summary!$A$2:$A$201,0))</f>
        <v>10.35</v>
      </c>
      <c r="P3494" s="3" t="n">
        <f aca="false">INDEX(Summary!$L$2:$L$201,MATCH($B3494,Summary!$A$2:$A$201,0))</f>
        <v>3</v>
      </c>
      <c r="Q3494" s="3" t="n">
        <f aca="false">INDEX(Summary!$M$2:$M$201,MATCH($B3494,Summary!$A$2:$A$201,0))</f>
        <v>3</v>
      </c>
      <c r="R3494" s="2" t="n">
        <f aca="false">INDEX(Summary!$N$2:$N$201,MATCH($B3494,Summary!$A$2:$A$201,0))</f>
        <v>8.61</v>
      </c>
      <c r="S3494" s="3" t="n">
        <f aca="false">INDEX(Summary!$O$2:$O$201,MATCH($B3494,Summary!$A$2:$A$201,0))</f>
        <v>7</v>
      </c>
      <c r="T3494" s="3" t="n">
        <f aca="false">INDEX(Summary!$P$2:$P$201,MATCH($B3494,Summary!$A$2:$A$201,0))</f>
        <v>2</v>
      </c>
      <c r="U3494" s="2" t="n">
        <f aca="false">INDEX(Summary!$Q$2:$Q$201,MATCH($B3494,Summary!$A$2:$A$201,0))</f>
        <v>15.2</v>
      </c>
      <c r="V3494" s="2" t="n">
        <f aca="false">INDEX(Summary!$R$2:$R$201,MATCH($B3494,Summary!$A$2:$A$201,0))</f>
        <v>21.25</v>
      </c>
      <c r="W3494" s="0" t="str">
        <f aca="false">INDEX(Summary!$S$2:$S$201,MATCH($B3494,Summary!$A$2:$A$201,0))</f>
        <v>Silver</v>
      </c>
      <c r="X3494" s="2" t="n">
        <f aca="false">INDEX(Summary!$T$2:$T$201,MATCH($B3494,Summary!$A$2:$A$201,0))</f>
        <v>51.83</v>
      </c>
      <c r="Y3494" s="0" t="str">
        <f aca="false">INDEX('Reward Model'!$E$18:$E$37,MATCH($E3494,'Reward Model'!$A$18:$A$37,0))</f>
        <v>Medium</v>
      </c>
      <c r="Z3494" s="4" t="n">
        <f aca="false">ROUND(MIN(1,MAX('Reward Model'!$B$2,INDEX('Reward Model'!$C$12:$C$14,MATCH($K3494,'Reward Model'!$A$12:$A$14,0))/$J3494)),3)</f>
        <v>0.952</v>
      </c>
      <c r="AA3494" s="2" t="n">
        <f aca="false">IF($I3494="Correct",ROUND(INDEX('Reward Model'!$B$12:$B$14,MATCH($K3494,'Reward Model'!$A$12:$A$14,0))*Z3494,2),0)</f>
        <v>0</v>
      </c>
      <c r="AB3494" s="2" t="n">
        <f aca="false">IF($I3494="Correct",ROUND(INDEX('Reward Model'!$B$12:$B$14,MATCH($Y3494,'Reward Model'!$A$12:$A$14,0))*Z3494,2),0)</f>
        <v>0</v>
      </c>
    </row>
    <row r="3495" customFormat="false" ht="15" hidden="false" customHeight="false" outlineLevel="0" collapsed="false">
      <c r="A3495" s="0" t="s">
        <v>480</v>
      </c>
      <c r="B3495" s="0" t="s">
        <v>481</v>
      </c>
      <c r="C3495" s="0" t="s">
        <v>322</v>
      </c>
      <c r="D3495" s="0" t="s">
        <v>189</v>
      </c>
      <c r="E3495" s="0" t="n">
        <v>14</v>
      </c>
      <c r="F3495" s="0" t="s">
        <v>68</v>
      </c>
      <c r="G3495" s="0" t="s">
        <v>51</v>
      </c>
      <c r="H3495" s="0" t="s">
        <v>51</v>
      </c>
      <c r="I3495" s="0" t="s">
        <v>34</v>
      </c>
      <c r="J3495" s="0" t="n">
        <v>1.13</v>
      </c>
      <c r="K3495" s="0" t="s">
        <v>60</v>
      </c>
      <c r="L3495" s="0" t="n">
        <f aca="false">INDEX(Summary!$F$2:$F$201,MATCH($B3495,Summary!$A$2:$A$201,0))</f>
        <v>20</v>
      </c>
      <c r="M3495" s="0" t="n">
        <f aca="false">INDEX(Summary!$I$2:$I$201,MATCH($B3495,Summary!$A$2:$A$201,0))</f>
        <v>2</v>
      </c>
      <c r="N3495" s="0" t="n">
        <f aca="false">INDEX(Summary!$J$2:$J$201,MATCH($B3495,Summary!$A$2:$A$201,0))</f>
        <v>3</v>
      </c>
      <c r="O3495" s="2" t="n">
        <f aca="false">INDEX(Summary!$K$2:$K$201,MATCH($B3495,Summary!$A$2:$A$201,0))</f>
        <v>10.35</v>
      </c>
      <c r="P3495" s="3" t="n">
        <f aca="false">INDEX(Summary!$L$2:$L$201,MATCH($B3495,Summary!$A$2:$A$201,0))</f>
        <v>3</v>
      </c>
      <c r="Q3495" s="3" t="n">
        <f aca="false">INDEX(Summary!$M$2:$M$201,MATCH($B3495,Summary!$A$2:$A$201,0))</f>
        <v>3</v>
      </c>
      <c r="R3495" s="2" t="n">
        <f aca="false">INDEX(Summary!$N$2:$N$201,MATCH($B3495,Summary!$A$2:$A$201,0))</f>
        <v>8.61</v>
      </c>
      <c r="S3495" s="3" t="n">
        <f aca="false">INDEX(Summary!$O$2:$O$201,MATCH($B3495,Summary!$A$2:$A$201,0))</f>
        <v>7</v>
      </c>
      <c r="T3495" s="3" t="n">
        <f aca="false">INDEX(Summary!$P$2:$P$201,MATCH($B3495,Summary!$A$2:$A$201,0))</f>
        <v>2</v>
      </c>
      <c r="U3495" s="2" t="n">
        <f aca="false">INDEX(Summary!$Q$2:$Q$201,MATCH($B3495,Summary!$A$2:$A$201,0))</f>
        <v>15.2</v>
      </c>
      <c r="V3495" s="2" t="n">
        <f aca="false">INDEX(Summary!$R$2:$R$201,MATCH($B3495,Summary!$A$2:$A$201,0))</f>
        <v>21.25</v>
      </c>
      <c r="W3495" s="0" t="str">
        <f aca="false">INDEX(Summary!$S$2:$S$201,MATCH($B3495,Summary!$A$2:$A$201,0))</f>
        <v>Silver</v>
      </c>
      <c r="X3495" s="2" t="n">
        <f aca="false">INDEX(Summary!$T$2:$T$201,MATCH($B3495,Summary!$A$2:$A$201,0))</f>
        <v>51.83</v>
      </c>
      <c r="Y3495" s="0" t="str">
        <f aca="false">INDEX('Reward Model'!$E$18:$E$37,MATCH($E3495,'Reward Model'!$A$18:$A$37,0))</f>
        <v>Medium</v>
      </c>
      <c r="Z3495" s="4" t="n">
        <f aca="false">ROUND(MIN(1,MAX('Reward Model'!$B$2,INDEX('Reward Model'!$C$12:$C$14,MATCH($K3495,'Reward Model'!$A$12:$A$14,0))/$J3495)),3)</f>
        <v>1</v>
      </c>
      <c r="AA3495" s="2" t="n">
        <f aca="false">IF($I3495="Correct",ROUND(INDEX('Reward Model'!$B$12:$B$14,MATCH($K3495,'Reward Model'!$A$12:$A$14,0))*Z3495,2),0)</f>
        <v>2</v>
      </c>
      <c r="AB3495" s="2" t="n">
        <f aca="false">IF($I3495="Correct",ROUND(INDEX('Reward Model'!$B$12:$B$14,MATCH($Y3495,'Reward Model'!$A$12:$A$14,0))*Z3495,2),0)</f>
        <v>2</v>
      </c>
    </row>
    <row r="3496" customFormat="false" ht="15" hidden="false" customHeight="false" outlineLevel="0" collapsed="false">
      <c r="A3496" s="0" t="s">
        <v>480</v>
      </c>
      <c r="B3496" s="0" t="s">
        <v>481</v>
      </c>
      <c r="C3496" s="0" t="s">
        <v>322</v>
      </c>
      <c r="D3496" s="0" t="s">
        <v>189</v>
      </c>
      <c r="E3496" s="0" t="n">
        <v>15</v>
      </c>
      <c r="F3496" s="0" t="s">
        <v>69</v>
      </c>
      <c r="G3496" s="0" t="s">
        <v>70</v>
      </c>
      <c r="H3496" s="0" t="s">
        <v>70</v>
      </c>
      <c r="I3496" s="0" t="s">
        <v>34</v>
      </c>
      <c r="J3496" s="0" t="n">
        <v>1.19</v>
      </c>
      <c r="K3496" s="0" t="s">
        <v>60</v>
      </c>
      <c r="L3496" s="0" t="n">
        <f aca="false">INDEX(Summary!$F$2:$F$201,MATCH($B3496,Summary!$A$2:$A$201,0))</f>
        <v>20</v>
      </c>
      <c r="M3496" s="0" t="n">
        <f aca="false">INDEX(Summary!$I$2:$I$201,MATCH($B3496,Summary!$A$2:$A$201,0))</f>
        <v>2</v>
      </c>
      <c r="N3496" s="0" t="n">
        <f aca="false">INDEX(Summary!$J$2:$J$201,MATCH($B3496,Summary!$A$2:$A$201,0))</f>
        <v>3</v>
      </c>
      <c r="O3496" s="2" t="n">
        <f aca="false">INDEX(Summary!$K$2:$K$201,MATCH($B3496,Summary!$A$2:$A$201,0))</f>
        <v>10.35</v>
      </c>
      <c r="P3496" s="3" t="n">
        <f aca="false">INDEX(Summary!$L$2:$L$201,MATCH($B3496,Summary!$A$2:$A$201,0))</f>
        <v>3</v>
      </c>
      <c r="Q3496" s="3" t="n">
        <f aca="false">INDEX(Summary!$M$2:$M$201,MATCH($B3496,Summary!$A$2:$A$201,0))</f>
        <v>3</v>
      </c>
      <c r="R3496" s="2" t="n">
        <f aca="false">INDEX(Summary!$N$2:$N$201,MATCH($B3496,Summary!$A$2:$A$201,0))</f>
        <v>8.61</v>
      </c>
      <c r="S3496" s="3" t="n">
        <f aca="false">INDEX(Summary!$O$2:$O$201,MATCH($B3496,Summary!$A$2:$A$201,0))</f>
        <v>7</v>
      </c>
      <c r="T3496" s="3" t="n">
        <f aca="false">INDEX(Summary!$P$2:$P$201,MATCH($B3496,Summary!$A$2:$A$201,0))</f>
        <v>2</v>
      </c>
      <c r="U3496" s="2" t="n">
        <f aca="false">INDEX(Summary!$Q$2:$Q$201,MATCH($B3496,Summary!$A$2:$A$201,0))</f>
        <v>15.2</v>
      </c>
      <c r="V3496" s="2" t="n">
        <f aca="false">INDEX(Summary!$R$2:$R$201,MATCH($B3496,Summary!$A$2:$A$201,0))</f>
        <v>21.25</v>
      </c>
      <c r="W3496" s="0" t="str">
        <f aca="false">INDEX(Summary!$S$2:$S$201,MATCH($B3496,Summary!$A$2:$A$201,0))</f>
        <v>Silver</v>
      </c>
      <c r="X3496" s="2" t="n">
        <f aca="false">INDEX(Summary!$T$2:$T$201,MATCH($B3496,Summary!$A$2:$A$201,0))</f>
        <v>51.83</v>
      </c>
      <c r="Y3496" s="0" t="str">
        <f aca="false">INDEX('Reward Model'!$E$18:$E$37,MATCH($E3496,'Reward Model'!$A$18:$A$37,0))</f>
        <v>Medium</v>
      </c>
      <c r="Z3496" s="4" t="n">
        <f aca="false">ROUND(MIN(1,MAX('Reward Model'!$B$2,INDEX('Reward Model'!$C$12:$C$14,MATCH($K3496,'Reward Model'!$A$12:$A$14,0))/$J3496)),3)</f>
        <v>1</v>
      </c>
      <c r="AA3496" s="2" t="n">
        <f aca="false">IF($I3496="Correct",ROUND(INDEX('Reward Model'!$B$12:$B$14,MATCH($K3496,'Reward Model'!$A$12:$A$14,0))*Z3496,2),0)</f>
        <v>2</v>
      </c>
      <c r="AB3496" s="2" t="n">
        <f aca="false">IF($I3496="Correct",ROUND(INDEX('Reward Model'!$B$12:$B$14,MATCH($Y3496,'Reward Model'!$A$12:$A$14,0))*Z3496,2),0)</f>
        <v>2</v>
      </c>
    </row>
    <row r="3497" customFormat="false" ht="15" hidden="false" customHeight="false" outlineLevel="0" collapsed="false">
      <c r="A3497" s="0" t="s">
        <v>480</v>
      </c>
      <c r="B3497" s="0" t="s">
        <v>481</v>
      </c>
      <c r="C3497" s="0" t="s">
        <v>322</v>
      </c>
      <c r="D3497" s="0" t="s">
        <v>189</v>
      </c>
      <c r="E3497" s="0" t="n">
        <v>16</v>
      </c>
      <c r="F3497" s="0" t="s">
        <v>71</v>
      </c>
      <c r="G3497" s="0" t="s">
        <v>72</v>
      </c>
      <c r="H3497" s="0" t="s">
        <v>72</v>
      </c>
      <c r="I3497" s="0" t="s">
        <v>34</v>
      </c>
      <c r="J3497" s="0" t="n">
        <v>2.4</v>
      </c>
      <c r="K3497" s="0" t="s">
        <v>73</v>
      </c>
      <c r="L3497" s="0" t="n">
        <f aca="false">INDEX(Summary!$F$2:$F$201,MATCH($B3497,Summary!$A$2:$A$201,0))</f>
        <v>20</v>
      </c>
      <c r="M3497" s="0" t="n">
        <f aca="false">INDEX(Summary!$I$2:$I$201,MATCH($B3497,Summary!$A$2:$A$201,0))</f>
        <v>2</v>
      </c>
      <c r="N3497" s="0" t="n">
        <f aca="false">INDEX(Summary!$J$2:$J$201,MATCH($B3497,Summary!$A$2:$A$201,0))</f>
        <v>3</v>
      </c>
      <c r="O3497" s="2" t="n">
        <f aca="false">INDEX(Summary!$K$2:$K$201,MATCH($B3497,Summary!$A$2:$A$201,0))</f>
        <v>10.35</v>
      </c>
      <c r="P3497" s="3" t="n">
        <f aca="false">INDEX(Summary!$L$2:$L$201,MATCH($B3497,Summary!$A$2:$A$201,0))</f>
        <v>3</v>
      </c>
      <c r="Q3497" s="3" t="n">
        <f aca="false">INDEX(Summary!$M$2:$M$201,MATCH($B3497,Summary!$A$2:$A$201,0))</f>
        <v>3</v>
      </c>
      <c r="R3497" s="2" t="n">
        <f aca="false">INDEX(Summary!$N$2:$N$201,MATCH($B3497,Summary!$A$2:$A$201,0))</f>
        <v>8.61</v>
      </c>
      <c r="S3497" s="3" t="n">
        <f aca="false">INDEX(Summary!$O$2:$O$201,MATCH($B3497,Summary!$A$2:$A$201,0))</f>
        <v>7</v>
      </c>
      <c r="T3497" s="3" t="n">
        <f aca="false">INDEX(Summary!$P$2:$P$201,MATCH($B3497,Summary!$A$2:$A$201,0))</f>
        <v>2</v>
      </c>
      <c r="U3497" s="2" t="n">
        <f aca="false">INDEX(Summary!$Q$2:$Q$201,MATCH($B3497,Summary!$A$2:$A$201,0))</f>
        <v>15.2</v>
      </c>
      <c r="V3497" s="2" t="n">
        <f aca="false">INDEX(Summary!$R$2:$R$201,MATCH($B3497,Summary!$A$2:$A$201,0))</f>
        <v>21.25</v>
      </c>
      <c r="W3497" s="0" t="str">
        <f aca="false">INDEX(Summary!$S$2:$S$201,MATCH($B3497,Summary!$A$2:$A$201,0))</f>
        <v>Silver</v>
      </c>
      <c r="X3497" s="2" t="n">
        <f aca="false">INDEX(Summary!$T$2:$T$201,MATCH($B3497,Summary!$A$2:$A$201,0))</f>
        <v>51.83</v>
      </c>
      <c r="Y3497" s="0" t="str">
        <f aca="false">INDEX('Reward Model'!$E$18:$E$37,MATCH($E3497,'Reward Model'!$A$18:$A$37,0))</f>
        <v>High</v>
      </c>
      <c r="Z3497" s="4" t="n">
        <f aca="false">ROUND(MIN(1,MAX('Reward Model'!$B$2,INDEX('Reward Model'!$C$12:$C$14,MATCH($K3497,'Reward Model'!$A$12:$A$14,0))/$J3497)),3)</f>
        <v>0.833</v>
      </c>
      <c r="AA3497" s="2" t="n">
        <f aca="false">IF($I3497="Correct",ROUND(INDEX('Reward Model'!$B$12:$B$14,MATCH($K3497,'Reward Model'!$A$12:$A$14,0))*Z3497,2),0)</f>
        <v>2.5</v>
      </c>
      <c r="AB3497" s="2" t="n">
        <f aca="false">IF($I3497="Correct",ROUND(INDEX('Reward Model'!$B$12:$B$14,MATCH($Y3497,'Reward Model'!$A$12:$A$14,0))*Z3497,2),0)</f>
        <v>2.5</v>
      </c>
    </row>
    <row r="3498" customFormat="false" ht="15" hidden="false" customHeight="false" outlineLevel="0" collapsed="false">
      <c r="A3498" s="0" t="s">
        <v>480</v>
      </c>
      <c r="B3498" s="0" t="s">
        <v>481</v>
      </c>
      <c r="C3498" s="0" t="s">
        <v>322</v>
      </c>
      <c r="D3498" s="0" t="s">
        <v>189</v>
      </c>
      <c r="E3498" s="0" t="n">
        <v>17</v>
      </c>
      <c r="F3498" s="0" t="s">
        <v>74</v>
      </c>
      <c r="G3498" s="0" t="s">
        <v>75</v>
      </c>
      <c r="H3498" s="0" t="s">
        <v>75</v>
      </c>
      <c r="I3498" s="0" t="s">
        <v>34</v>
      </c>
      <c r="J3498" s="0" t="n">
        <v>2.06</v>
      </c>
      <c r="K3498" s="0" t="s">
        <v>73</v>
      </c>
      <c r="L3498" s="0" t="n">
        <f aca="false">INDEX(Summary!$F$2:$F$201,MATCH($B3498,Summary!$A$2:$A$201,0))</f>
        <v>20</v>
      </c>
      <c r="M3498" s="0" t="n">
        <f aca="false">INDEX(Summary!$I$2:$I$201,MATCH($B3498,Summary!$A$2:$A$201,0))</f>
        <v>2</v>
      </c>
      <c r="N3498" s="0" t="n">
        <f aca="false">INDEX(Summary!$J$2:$J$201,MATCH($B3498,Summary!$A$2:$A$201,0))</f>
        <v>3</v>
      </c>
      <c r="O3498" s="2" t="n">
        <f aca="false">INDEX(Summary!$K$2:$K$201,MATCH($B3498,Summary!$A$2:$A$201,0))</f>
        <v>10.35</v>
      </c>
      <c r="P3498" s="3" t="n">
        <f aca="false">INDEX(Summary!$L$2:$L$201,MATCH($B3498,Summary!$A$2:$A$201,0))</f>
        <v>3</v>
      </c>
      <c r="Q3498" s="3" t="n">
        <f aca="false">INDEX(Summary!$M$2:$M$201,MATCH($B3498,Summary!$A$2:$A$201,0))</f>
        <v>3</v>
      </c>
      <c r="R3498" s="2" t="n">
        <f aca="false">INDEX(Summary!$N$2:$N$201,MATCH($B3498,Summary!$A$2:$A$201,0))</f>
        <v>8.61</v>
      </c>
      <c r="S3498" s="3" t="n">
        <f aca="false">INDEX(Summary!$O$2:$O$201,MATCH($B3498,Summary!$A$2:$A$201,0))</f>
        <v>7</v>
      </c>
      <c r="T3498" s="3" t="n">
        <f aca="false">INDEX(Summary!$P$2:$P$201,MATCH($B3498,Summary!$A$2:$A$201,0))</f>
        <v>2</v>
      </c>
      <c r="U3498" s="2" t="n">
        <f aca="false">INDEX(Summary!$Q$2:$Q$201,MATCH($B3498,Summary!$A$2:$A$201,0))</f>
        <v>15.2</v>
      </c>
      <c r="V3498" s="2" t="n">
        <f aca="false">INDEX(Summary!$R$2:$R$201,MATCH($B3498,Summary!$A$2:$A$201,0))</f>
        <v>21.25</v>
      </c>
      <c r="W3498" s="0" t="str">
        <f aca="false">INDEX(Summary!$S$2:$S$201,MATCH($B3498,Summary!$A$2:$A$201,0))</f>
        <v>Silver</v>
      </c>
      <c r="X3498" s="2" t="n">
        <f aca="false">INDEX(Summary!$T$2:$T$201,MATCH($B3498,Summary!$A$2:$A$201,0))</f>
        <v>51.83</v>
      </c>
      <c r="Y3498" s="0" t="str">
        <f aca="false">INDEX('Reward Model'!$E$18:$E$37,MATCH($E3498,'Reward Model'!$A$18:$A$37,0))</f>
        <v>High</v>
      </c>
      <c r="Z3498" s="4" t="n">
        <f aca="false">ROUND(MIN(1,MAX('Reward Model'!$B$2,INDEX('Reward Model'!$C$12:$C$14,MATCH($K3498,'Reward Model'!$A$12:$A$14,0))/$J3498)),3)</f>
        <v>0.971</v>
      </c>
      <c r="AA3498" s="2" t="n">
        <f aca="false">IF($I3498="Correct",ROUND(INDEX('Reward Model'!$B$12:$B$14,MATCH($K3498,'Reward Model'!$A$12:$A$14,0))*Z3498,2),0)</f>
        <v>2.91</v>
      </c>
      <c r="AB3498" s="2" t="n">
        <f aca="false">IF($I3498="Correct",ROUND(INDEX('Reward Model'!$B$12:$B$14,MATCH($Y3498,'Reward Model'!$A$12:$A$14,0))*Z3498,2),0)</f>
        <v>2.91</v>
      </c>
    </row>
    <row r="3499" customFormat="false" ht="15" hidden="false" customHeight="false" outlineLevel="0" collapsed="false">
      <c r="A3499" s="0" t="s">
        <v>480</v>
      </c>
      <c r="B3499" s="0" t="s">
        <v>481</v>
      </c>
      <c r="C3499" s="0" t="s">
        <v>322</v>
      </c>
      <c r="D3499" s="0" t="s">
        <v>189</v>
      </c>
      <c r="E3499" s="0" t="n">
        <v>18</v>
      </c>
      <c r="F3499" s="0" t="s">
        <v>76</v>
      </c>
      <c r="G3499" s="0" t="s">
        <v>88</v>
      </c>
      <c r="H3499" s="0" t="s">
        <v>77</v>
      </c>
      <c r="I3499" s="0" t="s">
        <v>39</v>
      </c>
      <c r="J3499" s="0" t="n">
        <v>1.71</v>
      </c>
      <c r="K3499" s="0" t="s">
        <v>73</v>
      </c>
      <c r="L3499" s="0" t="n">
        <f aca="false">INDEX(Summary!$F$2:$F$201,MATCH($B3499,Summary!$A$2:$A$201,0))</f>
        <v>20</v>
      </c>
      <c r="M3499" s="0" t="n">
        <f aca="false">INDEX(Summary!$I$2:$I$201,MATCH($B3499,Summary!$A$2:$A$201,0))</f>
        <v>2</v>
      </c>
      <c r="N3499" s="0" t="n">
        <f aca="false">INDEX(Summary!$J$2:$J$201,MATCH($B3499,Summary!$A$2:$A$201,0))</f>
        <v>3</v>
      </c>
      <c r="O3499" s="2" t="n">
        <f aca="false">INDEX(Summary!$K$2:$K$201,MATCH($B3499,Summary!$A$2:$A$201,0))</f>
        <v>10.35</v>
      </c>
      <c r="P3499" s="3" t="n">
        <f aca="false">INDEX(Summary!$L$2:$L$201,MATCH($B3499,Summary!$A$2:$A$201,0))</f>
        <v>3</v>
      </c>
      <c r="Q3499" s="3" t="n">
        <f aca="false">INDEX(Summary!$M$2:$M$201,MATCH($B3499,Summary!$A$2:$A$201,0))</f>
        <v>3</v>
      </c>
      <c r="R3499" s="2" t="n">
        <f aca="false">INDEX(Summary!$N$2:$N$201,MATCH($B3499,Summary!$A$2:$A$201,0))</f>
        <v>8.61</v>
      </c>
      <c r="S3499" s="3" t="n">
        <f aca="false">INDEX(Summary!$O$2:$O$201,MATCH($B3499,Summary!$A$2:$A$201,0))</f>
        <v>7</v>
      </c>
      <c r="T3499" s="3" t="n">
        <f aca="false">INDEX(Summary!$P$2:$P$201,MATCH($B3499,Summary!$A$2:$A$201,0))</f>
        <v>2</v>
      </c>
      <c r="U3499" s="2" t="n">
        <f aca="false">INDEX(Summary!$Q$2:$Q$201,MATCH($B3499,Summary!$A$2:$A$201,0))</f>
        <v>15.2</v>
      </c>
      <c r="V3499" s="2" t="n">
        <f aca="false">INDEX(Summary!$R$2:$R$201,MATCH($B3499,Summary!$A$2:$A$201,0))</f>
        <v>21.25</v>
      </c>
      <c r="W3499" s="0" t="str">
        <f aca="false">INDEX(Summary!$S$2:$S$201,MATCH($B3499,Summary!$A$2:$A$201,0))</f>
        <v>Silver</v>
      </c>
      <c r="X3499" s="2" t="n">
        <f aca="false">INDEX(Summary!$T$2:$T$201,MATCH($B3499,Summary!$A$2:$A$201,0))</f>
        <v>51.83</v>
      </c>
      <c r="Y3499" s="0" t="str">
        <f aca="false">INDEX('Reward Model'!$E$18:$E$37,MATCH($E3499,'Reward Model'!$A$18:$A$37,0))</f>
        <v>High</v>
      </c>
      <c r="Z3499" s="4" t="n">
        <f aca="false">ROUND(MIN(1,MAX('Reward Model'!$B$2,INDEX('Reward Model'!$C$12:$C$14,MATCH($K3499,'Reward Model'!$A$12:$A$14,0))/$J3499)),3)</f>
        <v>1</v>
      </c>
      <c r="AA3499" s="2" t="n">
        <f aca="false">IF($I3499="Correct",ROUND(INDEX('Reward Model'!$B$12:$B$14,MATCH($K3499,'Reward Model'!$A$12:$A$14,0))*Z3499,2),0)</f>
        <v>0</v>
      </c>
      <c r="AB3499" s="2" t="n">
        <f aca="false">IF($I3499="Correct",ROUND(INDEX('Reward Model'!$B$12:$B$14,MATCH($Y3499,'Reward Model'!$A$12:$A$14,0))*Z3499,2),0)</f>
        <v>0</v>
      </c>
    </row>
    <row r="3500" customFormat="false" ht="15" hidden="false" customHeight="false" outlineLevel="0" collapsed="false">
      <c r="A3500" s="0" t="s">
        <v>480</v>
      </c>
      <c r="B3500" s="0" t="s">
        <v>481</v>
      </c>
      <c r="C3500" s="0" t="s">
        <v>322</v>
      </c>
      <c r="D3500" s="0" t="s">
        <v>189</v>
      </c>
      <c r="E3500" s="0" t="n">
        <v>19</v>
      </c>
      <c r="F3500" s="0" t="s">
        <v>78</v>
      </c>
      <c r="G3500" s="0" t="s">
        <v>79</v>
      </c>
      <c r="H3500" s="0" t="s">
        <v>80</v>
      </c>
      <c r="I3500" s="0" t="s">
        <v>39</v>
      </c>
      <c r="J3500" s="0" t="n">
        <v>2.58</v>
      </c>
      <c r="K3500" s="0" t="s">
        <v>73</v>
      </c>
      <c r="L3500" s="0" t="n">
        <f aca="false">INDEX(Summary!$F$2:$F$201,MATCH($B3500,Summary!$A$2:$A$201,0))</f>
        <v>20</v>
      </c>
      <c r="M3500" s="0" t="n">
        <f aca="false">INDEX(Summary!$I$2:$I$201,MATCH($B3500,Summary!$A$2:$A$201,0))</f>
        <v>2</v>
      </c>
      <c r="N3500" s="0" t="n">
        <f aca="false">INDEX(Summary!$J$2:$J$201,MATCH($B3500,Summary!$A$2:$A$201,0))</f>
        <v>3</v>
      </c>
      <c r="O3500" s="2" t="n">
        <f aca="false">INDEX(Summary!$K$2:$K$201,MATCH($B3500,Summary!$A$2:$A$201,0))</f>
        <v>10.35</v>
      </c>
      <c r="P3500" s="3" t="n">
        <f aca="false">INDEX(Summary!$L$2:$L$201,MATCH($B3500,Summary!$A$2:$A$201,0))</f>
        <v>3</v>
      </c>
      <c r="Q3500" s="3" t="n">
        <f aca="false">INDEX(Summary!$M$2:$M$201,MATCH($B3500,Summary!$A$2:$A$201,0))</f>
        <v>3</v>
      </c>
      <c r="R3500" s="2" t="n">
        <f aca="false">INDEX(Summary!$N$2:$N$201,MATCH($B3500,Summary!$A$2:$A$201,0))</f>
        <v>8.61</v>
      </c>
      <c r="S3500" s="3" t="n">
        <f aca="false">INDEX(Summary!$O$2:$O$201,MATCH($B3500,Summary!$A$2:$A$201,0))</f>
        <v>7</v>
      </c>
      <c r="T3500" s="3" t="n">
        <f aca="false">INDEX(Summary!$P$2:$P$201,MATCH($B3500,Summary!$A$2:$A$201,0))</f>
        <v>2</v>
      </c>
      <c r="U3500" s="2" t="n">
        <f aca="false">INDEX(Summary!$Q$2:$Q$201,MATCH($B3500,Summary!$A$2:$A$201,0))</f>
        <v>15.2</v>
      </c>
      <c r="V3500" s="2" t="n">
        <f aca="false">INDEX(Summary!$R$2:$R$201,MATCH($B3500,Summary!$A$2:$A$201,0))</f>
        <v>21.25</v>
      </c>
      <c r="W3500" s="0" t="str">
        <f aca="false">INDEX(Summary!$S$2:$S$201,MATCH($B3500,Summary!$A$2:$A$201,0))</f>
        <v>Silver</v>
      </c>
      <c r="X3500" s="2" t="n">
        <f aca="false">INDEX(Summary!$T$2:$T$201,MATCH($B3500,Summary!$A$2:$A$201,0))</f>
        <v>51.83</v>
      </c>
      <c r="Y3500" s="0" t="str">
        <f aca="false">INDEX('Reward Model'!$E$18:$E$37,MATCH($E3500,'Reward Model'!$A$18:$A$37,0))</f>
        <v>High</v>
      </c>
      <c r="Z3500" s="4" t="n">
        <f aca="false">ROUND(MIN(1,MAX('Reward Model'!$B$2,INDEX('Reward Model'!$C$12:$C$14,MATCH($K3500,'Reward Model'!$A$12:$A$14,0))/$J3500)),3)</f>
        <v>0.775</v>
      </c>
      <c r="AA3500" s="2" t="n">
        <f aca="false">IF($I3500="Correct",ROUND(INDEX('Reward Model'!$B$12:$B$14,MATCH($K3500,'Reward Model'!$A$12:$A$14,0))*Z3500,2),0)</f>
        <v>0</v>
      </c>
      <c r="AB3500" s="2" t="n">
        <f aca="false">IF($I3500="Correct",ROUND(INDEX('Reward Model'!$B$12:$B$14,MATCH($Y3500,'Reward Model'!$A$12:$A$14,0))*Z3500,2),0)</f>
        <v>0</v>
      </c>
    </row>
    <row r="3501" customFormat="false" ht="15" hidden="false" customHeight="false" outlineLevel="0" collapsed="false">
      <c r="A3501" s="0" t="s">
        <v>480</v>
      </c>
      <c r="B3501" s="0" t="s">
        <v>481</v>
      </c>
      <c r="C3501" s="0" t="s">
        <v>322</v>
      </c>
      <c r="D3501" s="0" t="s">
        <v>189</v>
      </c>
      <c r="E3501" s="0" t="n">
        <v>20</v>
      </c>
      <c r="F3501" s="0" t="s">
        <v>81</v>
      </c>
      <c r="G3501" s="0" t="s">
        <v>119</v>
      </c>
      <c r="H3501" s="0" t="s">
        <v>83</v>
      </c>
      <c r="I3501" s="0" t="s">
        <v>39</v>
      </c>
      <c r="J3501" s="0" t="n">
        <v>1.6</v>
      </c>
      <c r="K3501" s="0" t="s">
        <v>73</v>
      </c>
      <c r="L3501" s="0" t="n">
        <f aca="false">INDEX(Summary!$F$2:$F$201,MATCH($B3501,Summary!$A$2:$A$201,0))</f>
        <v>20</v>
      </c>
      <c r="M3501" s="0" t="n">
        <f aca="false">INDEX(Summary!$I$2:$I$201,MATCH($B3501,Summary!$A$2:$A$201,0))</f>
        <v>2</v>
      </c>
      <c r="N3501" s="0" t="n">
        <f aca="false">INDEX(Summary!$J$2:$J$201,MATCH($B3501,Summary!$A$2:$A$201,0))</f>
        <v>3</v>
      </c>
      <c r="O3501" s="2" t="n">
        <f aca="false">INDEX(Summary!$K$2:$K$201,MATCH($B3501,Summary!$A$2:$A$201,0))</f>
        <v>10.35</v>
      </c>
      <c r="P3501" s="3" t="n">
        <f aca="false">INDEX(Summary!$L$2:$L$201,MATCH($B3501,Summary!$A$2:$A$201,0))</f>
        <v>3</v>
      </c>
      <c r="Q3501" s="3" t="n">
        <f aca="false">INDEX(Summary!$M$2:$M$201,MATCH($B3501,Summary!$A$2:$A$201,0))</f>
        <v>3</v>
      </c>
      <c r="R3501" s="2" t="n">
        <f aca="false">INDEX(Summary!$N$2:$N$201,MATCH($B3501,Summary!$A$2:$A$201,0))</f>
        <v>8.61</v>
      </c>
      <c r="S3501" s="3" t="n">
        <f aca="false">INDEX(Summary!$O$2:$O$201,MATCH($B3501,Summary!$A$2:$A$201,0))</f>
        <v>7</v>
      </c>
      <c r="T3501" s="3" t="n">
        <f aca="false">INDEX(Summary!$P$2:$P$201,MATCH($B3501,Summary!$A$2:$A$201,0))</f>
        <v>2</v>
      </c>
      <c r="U3501" s="2" t="n">
        <f aca="false">INDEX(Summary!$Q$2:$Q$201,MATCH($B3501,Summary!$A$2:$A$201,0))</f>
        <v>15.2</v>
      </c>
      <c r="V3501" s="2" t="n">
        <f aca="false">INDEX(Summary!$R$2:$R$201,MATCH($B3501,Summary!$A$2:$A$201,0))</f>
        <v>21.25</v>
      </c>
      <c r="W3501" s="0" t="str">
        <f aca="false">INDEX(Summary!$S$2:$S$201,MATCH($B3501,Summary!$A$2:$A$201,0))</f>
        <v>Silver</v>
      </c>
      <c r="X3501" s="2" t="n">
        <f aca="false">INDEX(Summary!$T$2:$T$201,MATCH($B3501,Summary!$A$2:$A$201,0))</f>
        <v>51.83</v>
      </c>
      <c r="Y3501" s="0" t="str">
        <f aca="false">INDEX('Reward Model'!$E$18:$E$37,MATCH($E3501,'Reward Model'!$A$18:$A$37,0))</f>
        <v>High</v>
      </c>
      <c r="Z3501" s="4" t="n">
        <f aca="false">ROUND(MIN(1,MAX('Reward Model'!$B$2,INDEX('Reward Model'!$C$12:$C$14,MATCH($K3501,'Reward Model'!$A$12:$A$14,0))/$J3501)),3)</f>
        <v>1</v>
      </c>
      <c r="AA3501" s="2" t="n">
        <f aca="false">IF($I3501="Correct",ROUND(INDEX('Reward Model'!$B$12:$B$14,MATCH($K3501,'Reward Model'!$A$12:$A$14,0))*Z3501,2),0)</f>
        <v>0</v>
      </c>
      <c r="AB3501" s="2" t="n">
        <f aca="false">IF($I3501="Correct",ROUND(INDEX('Reward Model'!$B$12:$B$14,MATCH($Y3501,'Reward Model'!$A$12:$A$14,0))*Z3501,2),0)</f>
        <v>0</v>
      </c>
    </row>
    <row r="3502" customFormat="false" ht="15" hidden="false" customHeight="false" outlineLevel="0" collapsed="false">
      <c r="A3502" s="0" t="s">
        <v>482</v>
      </c>
      <c r="B3502" s="0" t="s">
        <v>483</v>
      </c>
      <c r="C3502" s="0" t="s">
        <v>322</v>
      </c>
      <c r="D3502" s="0" t="s">
        <v>189</v>
      </c>
      <c r="E3502" s="0" t="n">
        <v>1</v>
      </c>
      <c r="F3502" s="0" t="s">
        <v>32</v>
      </c>
      <c r="G3502" s="0" t="s">
        <v>33</v>
      </c>
      <c r="H3502" s="0" t="s">
        <v>33</v>
      </c>
      <c r="I3502" s="0" t="s">
        <v>34</v>
      </c>
      <c r="J3502" s="0" t="n">
        <v>1.13</v>
      </c>
      <c r="K3502" s="0" t="s">
        <v>35</v>
      </c>
      <c r="L3502" s="0" t="n">
        <f aca="false">INDEX(Summary!$F$2:$F$201,MATCH($B3502,Summary!$A$2:$A$201,0))</f>
        <v>20</v>
      </c>
      <c r="M3502" s="0" t="n">
        <f aca="false">INDEX(Summary!$I$2:$I$201,MATCH($B3502,Summary!$A$2:$A$201,0))</f>
        <v>3</v>
      </c>
      <c r="N3502" s="0" t="n">
        <f aca="false">INDEX(Summary!$J$2:$J$201,MATCH($B3502,Summary!$A$2:$A$201,0))</f>
        <v>2</v>
      </c>
      <c r="O3502" s="2" t="n">
        <f aca="false">INDEX(Summary!$K$2:$K$201,MATCH($B3502,Summary!$A$2:$A$201,0))</f>
        <v>11.05</v>
      </c>
      <c r="P3502" s="3" t="n">
        <f aca="false">INDEX(Summary!$L$2:$L$201,MATCH($B3502,Summary!$A$2:$A$201,0))</f>
        <v>1</v>
      </c>
      <c r="Q3502" s="3" t="n">
        <f aca="false">INDEX(Summary!$M$2:$M$201,MATCH($B3502,Summary!$A$2:$A$201,0))</f>
        <v>5</v>
      </c>
      <c r="R3502" s="2" t="n">
        <f aca="false">INDEX(Summary!$N$2:$N$201,MATCH($B3502,Summary!$A$2:$A$201,0))</f>
        <v>9.8</v>
      </c>
      <c r="S3502" s="3" t="n">
        <f aca="false">INDEX(Summary!$O$2:$O$201,MATCH($B3502,Summary!$A$2:$A$201,0))</f>
        <v>7</v>
      </c>
      <c r="T3502" s="3" t="n">
        <f aca="false">INDEX(Summary!$P$2:$P$201,MATCH($B3502,Summary!$A$2:$A$201,0))</f>
        <v>2</v>
      </c>
      <c r="U3502" s="2" t="n">
        <f aca="false">INDEX(Summary!$Q$2:$Q$201,MATCH($B3502,Summary!$A$2:$A$201,0))</f>
        <v>13.7</v>
      </c>
      <c r="V3502" s="2" t="n">
        <f aca="false">INDEX(Summary!$R$2:$R$201,MATCH($B3502,Summary!$A$2:$A$201,0))</f>
        <v>19.87</v>
      </c>
      <c r="W3502" s="0" t="str">
        <f aca="false">INDEX(Summary!$S$2:$S$201,MATCH($B3502,Summary!$A$2:$A$201,0))</f>
        <v>Bronze</v>
      </c>
      <c r="X3502" s="2" t="n">
        <f aca="false">INDEX(Summary!$T$2:$T$201,MATCH($B3502,Summary!$A$2:$A$201,0))</f>
        <v>48.46</v>
      </c>
      <c r="Y3502" s="0" t="str">
        <f aca="false">INDEX('Reward Model'!$E$18:$E$37,MATCH($E3502,'Reward Model'!$A$18:$A$37,0))</f>
        <v>Medium</v>
      </c>
      <c r="Z3502" s="4" t="n">
        <f aca="false">ROUND(MIN(1,MAX('Reward Model'!$B$2,INDEX('Reward Model'!$C$12:$C$14,MATCH($K3502,'Reward Model'!$A$12:$A$14,0))/$J3502)),3)</f>
        <v>1</v>
      </c>
      <c r="AA3502" s="2" t="n">
        <f aca="false">IF($I3502="Correct",ROUND(INDEX('Reward Model'!$B$12:$B$14,MATCH($K3502,'Reward Model'!$A$12:$A$14,0))*Z3502,2),0)</f>
        <v>1</v>
      </c>
      <c r="AB3502" s="2" t="n">
        <f aca="false">IF($I3502="Correct",ROUND(INDEX('Reward Model'!$B$12:$B$14,MATCH($Y3502,'Reward Model'!$A$12:$A$14,0))*Z3502,2),0)</f>
        <v>2</v>
      </c>
    </row>
    <row r="3503" customFormat="false" ht="15" hidden="false" customHeight="false" outlineLevel="0" collapsed="false">
      <c r="A3503" s="0" t="s">
        <v>482</v>
      </c>
      <c r="B3503" s="0" t="s">
        <v>483</v>
      </c>
      <c r="C3503" s="0" t="s">
        <v>322</v>
      </c>
      <c r="D3503" s="0" t="s">
        <v>189</v>
      </c>
      <c r="E3503" s="0" t="n">
        <v>2</v>
      </c>
      <c r="F3503" s="0" t="s">
        <v>36</v>
      </c>
      <c r="G3503" s="0" t="s">
        <v>38</v>
      </c>
      <c r="H3503" s="0" t="s">
        <v>38</v>
      </c>
      <c r="I3503" s="0" t="s">
        <v>34</v>
      </c>
      <c r="J3503" s="0" t="n">
        <v>1.9</v>
      </c>
      <c r="K3503" s="0" t="s">
        <v>35</v>
      </c>
      <c r="L3503" s="0" t="n">
        <f aca="false">INDEX(Summary!$F$2:$F$201,MATCH($B3503,Summary!$A$2:$A$201,0))</f>
        <v>20</v>
      </c>
      <c r="M3503" s="0" t="n">
        <f aca="false">INDEX(Summary!$I$2:$I$201,MATCH($B3503,Summary!$A$2:$A$201,0))</f>
        <v>3</v>
      </c>
      <c r="N3503" s="0" t="n">
        <f aca="false">INDEX(Summary!$J$2:$J$201,MATCH($B3503,Summary!$A$2:$A$201,0))</f>
        <v>2</v>
      </c>
      <c r="O3503" s="2" t="n">
        <f aca="false">INDEX(Summary!$K$2:$K$201,MATCH($B3503,Summary!$A$2:$A$201,0))</f>
        <v>11.05</v>
      </c>
      <c r="P3503" s="3" t="n">
        <f aca="false">INDEX(Summary!$L$2:$L$201,MATCH($B3503,Summary!$A$2:$A$201,0))</f>
        <v>1</v>
      </c>
      <c r="Q3503" s="3" t="n">
        <f aca="false">INDEX(Summary!$M$2:$M$201,MATCH($B3503,Summary!$A$2:$A$201,0))</f>
        <v>5</v>
      </c>
      <c r="R3503" s="2" t="n">
        <f aca="false">INDEX(Summary!$N$2:$N$201,MATCH($B3503,Summary!$A$2:$A$201,0))</f>
        <v>9.8</v>
      </c>
      <c r="S3503" s="3" t="n">
        <f aca="false">INDEX(Summary!$O$2:$O$201,MATCH($B3503,Summary!$A$2:$A$201,0))</f>
        <v>7</v>
      </c>
      <c r="T3503" s="3" t="n">
        <f aca="false">INDEX(Summary!$P$2:$P$201,MATCH($B3503,Summary!$A$2:$A$201,0))</f>
        <v>2</v>
      </c>
      <c r="U3503" s="2" t="n">
        <f aca="false">INDEX(Summary!$Q$2:$Q$201,MATCH($B3503,Summary!$A$2:$A$201,0))</f>
        <v>13.7</v>
      </c>
      <c r="V3503" s="2" t="n">
        <f aca="false">INDEX(Summary!$R$2:$R$201,MATCH($B3503,Summary!$A$2:$A$201,0))</f>
        <v>19.87</v>
      </c>
      <c r="W3503" s="0" t="str">
        <f aca="false">INDEX(Summary!$S$2:$S$201,MATCH($B3503,Summary!$A$2:$A$201,0))</f>
        <v>Bronze</v>
      </c>
      <c r="X3503" s="2" t="n">
        <f aca="false">INDEX(Summary!$T$2:$T$201,MATCH($B3503,Summary!$A$2:$A$201,0))</f>
        <v>48.46</v>
      </c>
      <c r="Y3503" s="0" t="str">
        <f aca="false">INDEX('Reward Model'!$E$18:$E$37,MATCH($E3503,'Reward Model'!$A$18:$A$37,0))</f>
        <v>Low</v>
      </c>
      <c r="Z3503" s="4" t="n">
        <f aca="false">ROUND(MIN(1,MAX('Reward Model'!$B$2,INDEX('Reward Model'!$C$12:$C$14,MATCH($K3503,'Reward Model'!$A$12:$A$14,0))/$J3503)),3)</f>
        <v>0.789</v>
      </c>
      <c r="AA3503" s="2" t="n">
        <f aca="false">IF($I3503="Correct",ROUND(INDEX('Reward Model'!$B$12:$B$14,MATCH($K3503,'Reward Model'!$A$12:$A$14,0))*Z3503,2),0)</f>
        <v>0.79</v>
      </c>
      <c r="AB3503" s="2" t="n">
        <f aca="false">IF($I3503="Correct",ROUND(INDEX('Reward Model'!$B$12:$B$14,MATCH($Y3503,'Reward Model'!$A$12:$A$14,0))*Z3503,2),0)</f>
        <v>0.79</v>
      </c>
    </row>
    <row r="3504" customFormat="false" ht="15" hidden="false" customHeight="false" outlineLevel="0" collapsed="false">
      <c r="A3504" s="0" t="s">
        <v>482</v>
      </c>
      <c r="B3504" s="0" t="s">
        <v>483</v>
      </c>
      <c r="C3504" s="0" t="s">
        <v>322</v>
      </c>
      <c r="D3504" s="0" t="s">
        <v>189</v>
      </c>
      <c r="E3504" s="0" t="n">
        <v>3</v>
      </c>
      <c r="F3504" s="0" t="s">
        <v>40</v>
      </c>
      <c r="G3504" s="0" t="s">
        <v>42</v>
      </c>
      <c r="H3504" s="0" t="s">
        <v>42</v>
      </c>
      <c r="I3504" s="0" t="s">
        <v>34</v>
      </c>
      <c r="J3504" s="0" t="n">
        <v>0.93</v>
      </c>
      <c r="K3504" s="0" t="s">
        <v>35</v>
      </c>
      <c r="L3504" s="0" t="n">
        <f aca="false">INDEX(Summary!$F$2:$F$201,MATCH($B3504,Summary!$A$2:$A$201,0))</f>
        <v>20</v>
      </c>
      <c r="M3504" s="0" t="n">
        <f aca="false">INDEX(Summary!$I$2:$I$201,MATCH($B3504,Summary!$A$2:$A$201,0))</f>
        <v>3</v>
      </c>
      <c r="N3504" s="0" t="n">
        <f aca="false">INDEX(Summary!$J$2:$J$201,MATCH($B3504,Summary!$A$2:$A$201,0))</f>
        <v>2</v>
      </c>
      <c r="O3504" s="2" t="n">
        <f aca="false">INDEX(Summary!$K$2:$K$201,MATCH($B3504,Summary!$A$2:$A$201,0))</f>
        <v>11.05</v>
      </c>
      <c r="P3504" s="3" t="n">
        <f aca="false">INDEX(Summary!$L$2:$L$201,MATCH($B3504,Summary!$A$2:$A$201,0))</f>
        <v>1</v>
      </c>
      <c r="Q3504" s="3" t="n">
        <f aca="false">INDEX(Summary!$M$2:$M$201,MATCH($B3504,Summary!$A$2:$A$201,0))</f>
        <v>5</v>
      </c>
      <c r="R3504" s="2" t="n">
        <f aca="false">INDEX(Summary!$N$2:$N$201,MATCH($B3504,Summary!$A$2:$A$201,0))</f>
        <v>9.8</v>
      </c>
      <c r="S3504" s="3" t="n">
        <f aca="false">INDEX(Summary!$O$2:$O$201,MATCH($B3504,Summary!$A$2:$A$201,0))</f>
        <v>7</v>
      </c>
      <c r="T3504" s="3" t="n">
        <f aca="false">INDEX(Summary!$P$2:$P$201,MATCH($B3504,Summary!$A$2:$A$201,0))</f>
        <v>2</v>
      </c>
      <c r="U3504" s="2" t="n">
        <f aca="false">INDEX(Summary!$Q$2:$Q$201,MATCH($B3504,Summary!$A$2:$A$201,0))</f>
        <v>13.7</v>
      </c>
      <c r="V3504" s="2" t="n">
        <f aca="false">INDEX(Summary!$R$2:$R$201,MATCH($B3504,Summary!$A$2:$A$201,0))</f>
        <v>19.87</v>
      </c>
      <c r="W3504" s="0" t="str">
        <f aca="false">INDEX(Summary!$S$2:$S$201,MATCH($B3504,Summary!$A$2:$A$201,0))</f>
        <v>Bronze</v>
      </c>
      <c r="X3504" s="2" t="n">
        <f aca="false">INDEX(Summary!$T$2:$T$201,MATCH($B3504,Summary!$A$2:$A$201,0))</f>
        <v>48.46</v>
      </c>
      <c r="Y3504" s="0" t="str">
        <f aca="false">INDEX('Reward Model'!$E$18:$E$37,MATCH($E3504,'Reward Model'!$A$18:$A$37,0))</f>
        <v>Medium</v>
      </c>
      <c r="Z3504" s="4" t="n">
        <f aca="false">ROUND(MIN(1,MAX('Reward Model'!$B$2,INDEX('Reward Model'!$C$12:$C$14,MATCH($K3504,'Reward Model'!$A$12:$A$14,0))/$J3504)),3)</f>
        <v>1</v>
      </c>
      <c r="AA3504" s="2" t="n">
        <f aca="false">IF($I3504="Correct",ROUND(INDEX('Reward Model'!$B$12:$B$14,MATCH($K3504,'Reward Model'!$A$12:$A$14,0))*Z3504,2),0)</f>
        <v>1</v>
      </c>
      <c r="AB3504" s="2" t="n">
        <f aca="false">IF($I3504="Correct",ROUND(INDEX('Reward Model'!$B$12:$B$14,MATCH($Y3504,'Reward Model'!$A$12:$A$14,0))*Z3504,2),0)</f>
        <v>2</v>
      </c>
    </row>
    <row r="3505" customFormat="false" ht="15" hidden="false" customHeight="false" outlineLevel="0" collapsed="false">
      <c r="A3505" s="0" t="s">
        <v>482</v>
      </c>
      <c r="B3505" s="0" t="s">
        <v>483</v>
      </c>
      <c r="C3505" s="0" t="s">
        <v>322</v>
      </c>
      <c r="D3505" s="0" t="s">
        <v>189</v>
      </c>
      <c r="E3505" s="0" t="n">
        <v>4</v>
      </c>
      <c r="F3505" s="0" t="s">
        <v>43</v>
      </c>
      <c r="G3505" s="0" t="s">
        <v>45</v>
      </c>
      <c r="H3505" s="0" t="s">
        <v>45</v>
      </c>
      <c r="I3505" s="0" t="s">
        <v>34</v>
      </c>
      <c r="J3505" s="0" t="n">
        <v>1.76</v>
      </c>
      <c r="K3505" s="0" t="s">
        <v>35</v>
      </c>
      <c r="L3505" s="0" t="n">
        <f aca="false">INDEX(Summary!$F$2:$F$201,MATCH($B3505,Summary!$A$2:$A$201,0))</f>
        <v>20</v>
      </c>
      <c r="M3505" s="0" t="n">
        <f aca="false">INDEX(Summary!$I$2:$I$201,MATCH($B3505,Summary!$A$2:$A$201,0))</f>
        <v>3</v>
      </c>
      <c r="N3505" s="0" t="n">
        <f aca="false">INDEX(Summary!$J$2:$J$201,MATCH($B3505,Summary!$A$2:$A$201,0))</f>
        <v>2</v>
      </c>
      <c r="O3505" s="2" t="n">
        <f aca="false">INDEX(Summary!$K$2:$K$201,MATCH($B3505,Summary!$A$2:$A$201,0))</f>
        <v>11.05</v>
      </c>
      <c r="P3505" s="3" t="n">
        <f aca="false">INDEX(Summary!$L$2:$L$201,MATCH($B3505,Summary!$A$2:$A$201,0))</f>
        <v>1</v>
      </c>
      <c r="Q3505" s="3" t="n">
        <f aca="false">INDEX(Summary!$M$2:$M$201,MATCH($B3505,Summary!$A$2:$A$201,0))</f>
        <v>5</v>
      </c>
      <c r="R3505" s="2" t="n">
        <f aca="false">INDEX(Summary!$N$2:$N$201,MATCH($B3505,Summary!$A$2:$A$201,0))</f>
        <v>9.8</v>
      </c>
      <c r="S3505" s="3" t="n">
        <f aca="false">INDEX(Summary!$O$2:$O$201,MATCH($B3505,Summary!$A$2:$A$201,0))</f>
        <v>7</v>
      </c>
      <c r="T3505" s="3" t="n">
        <f aca="false">INDEX(Summary!$P$2:$P$201,MATCH($B3505,Summary!$A$2:$A$201,0))</f>
        <v>2</v>
      </c>
      <c r="U3505" s="2" t="n">
        <f aca="false">INDEX(Summary!$Q$2:$Q$201,MATCH($B3505,Summary!$A$2:$A$201,0))</f>
        <v>13.7</v>
      </c>
      <c r="V3505" s="2" t="n">
        <f aca="false">INDEX(Summary!$R$2:$R$201,MATCH($B3505,Summary!$A$2:$A$201,0))</f>
        <v>19.87</v>
      </c>
      <c r="W3505" s="0" t="str">
        <f aca="false">INDEX(Summary!$S$2:$S$201,MATCH($B3505,Summary!$A$2:$A$201,0))</f>
        <v>Bronze</v>
      </c>
      <c r="X3505" s="2" t="n">
        <f aca="false">INDEX(Summary!$T$2:$T$201,MATCH($B3505,Summary!$A$2:$A$201,0))</f>
        <v>48.46</v>
      </c>
      <c r="Y3505" s="0" t="str">
        <f aca="false">INDEX('Reward Model'!$E$18:$E$37,MATCH($E3505,'Reward Model'!$A$18:$A$37,0))</f>
        <v>Low</v>
      </c>
      <c r="Z3505" s="4" t="n">
        <f aca="false">ROUND(MIN(1,MAX('Reward Model'!$B$2,INDEX('Reward Model'!$C$12:$C$14,MATCH($K3505,'Reward Model'!$A$12:$A$14,0))/$J3505)),3)</f>
        <v>0.852</v>
      </c>
      <c r="AA3505" s="2" t="n">
        <f aca="false">IF($I3505="Correct",ROUND(INDEX('Reward Model'!$B$12:$B$14,MATCH($K3505,'Reward Model'!$A$12:$A$14,0))*Z3505,2),0)</f>
        <v>0.85</v>
      </c>
      <c r="AB3505" s="2" t="n">
        <f aca="false">IF($I3505="Correct",ROUND(INDEX('Reward Model'!$B$12:$B$14,MATCH($Y3505,'Reward Model'!$A$12:$A$14,0))*Z3505,2),0)</f>
        <v>0.85</v>
      </c>
    </row>
    <row r="3506" customFormat="false" ht="15" hidden="false" customHeight="false" outlineLevel="0" collapsed="false">
      <c r="A3506" s="0" t="s">
        <v>482</v>
      </c>
      <c r="B3506" s="0" t="s">
        <v>483</v>
      </c>
      <c r="C3506" s="0" t="s">
        <v>322</v>
      </c>
      <c r="D3506" s="0" t="s">
        <v>189</v>
      </c>
      <c r="E3506" s="0" t="n">
        <v>5</v>
      </c>
      <c r="F3506" s="0" t="s">
        <v>46</v>
      </c>
      <c r="G3506" s="0" t="s">
        <v>47</v>
      </c>
      <c r="H3506" s="0" t="s">
        <v>47</v>
      </c>
      <c r="I3506" s="0" t="s">
        <v>34</v>
      </c>
      <c r="J3506" s="0" t="n">
        <v>1.08</v>
      </c>
      <c r="K3506" s="0" t="s">
        <v>35</v>
      </c>
      <c r="L3506" s="0" t="n">
        <f aca="false">INDEX(Summary!$F$2:$F$201,MATCH($B3506,Summary!$A$2:$A$201,0))</f>
        <v>20</v>
      </c>
      <c r="M3506" s="0" t="n">
        <f aca="false">INDEX(Summary!$I$2:$I$201,MATCH($B3506,Summary!$A$2:$A$201,0))</f>
        <v>3</v>
      </c>
      <c r="N3506" s="0" t="n">
        <f aca="false">INDEX(Summary!$J$2:$J$201,MATCH($B3506,Summary!$A$2:$A$201,0))</f>
        <v>2</v>
      </c>
      <c r="O3506" s="2" t="n">
        <f aca="false">INDEX(Summary!$K$2:$K$201,MATCH($B3506,Summary!$A$2:$A$201,0))</f>
        <v>11.05</v>
      </c>
      <c r="P3506" s="3" t="n">
        <f aca="false">INDEX(Summary!$L$2:$L$201,MATCH($B3506,Summary!$A$2:$A$201,0))</f>
        <v>1</v>
      </c>
      <c r="Q3506" s="3" t="n">
        <f aca="false">INDEX(Summary!$M$2:$M$201,MATCH($B3506,Summary!$A$2:$A$201,0))</f>
        <v>5</v>
      </c>
      <c r="R3506" s="2" t="n">
        <f aca="false">INDEX(Summary!$N$2:$N$201,MATCH($B3506,Summary!$A$2:$A$201,0))</f>
        <v>9.8</v>
      </c>
      <c r="S3506" s="3" t="n">
        <f aca="false">INDEX(Summary!$O$2:$O$201,MATCH($B3506,Summary!$A$2:$A$201,0))</f>
        <v>7</v>
      </c>
      <c r="T3506" s="3" t="n">
        <f aca="false">INDEX(Summary!$P$2:$P$201,MATCH($B3506,Summary!$A$2:$A$201,0))</f>
        <v>2</v>
      </c>
      <c r="U3506" s="2" t="n">
        <f aca="false">INDEX(Summary!$Q$2:$Q$201,MATCH($B3506,Summary!$A$2:$A$201,0))</f>
        <v>13.7</v>
      </c>
      <c r="V3506" s="2" t="n">
        <f aca="false">INDEX(Summary!$R$2:$R$201,MATCH($B3506,Summary!$A$2:$A$201,0))</f>
        <v>19.87</v>
      </c>
      <c r="W3506" s="0" t="str">
        <f aca="false">INDEX(Summary!$S$2:$S$201,MATCH($B3506,Summary!$A$2:$A$201,0))</f>
        <v>Bronze</v>
      </c>
      <c r="X3506" s="2" t="n">
        <f aca="false">INDEX(Summary!$T$2:$T$201,MATCH($B3506,Summary!$A$2:$A$201,0))</f>
        <v>48.46</v>
      </c>
      <c r="Y3506" s="0" t="str">
        <f aca="false">INDEX('Reward Model'!$E$18:$E$37,MATCH($E3506,'Reward Model'!$A$18:$A$37,0))</f>
        <v>Low</v>
      </c>
      <c r="Z3506" s="4" t="n">
        <f aca="false">ROUND(MIN(1,MAX('Reward Model'!$B$2,INDEX('Reward Model'!$C$12:$C$14,MATCH($K3506,'Reward Model'!$A$12:$A$14,0))/$J3506)),3)</f>
        <v>1</v>
      </c>
      <c r="AA3506" s="2" t="n">
        <f aca="false">IF($I3506="Correct",ROUND(INDEX('Reward Model'!$B$12:$B$14,MATCH($K3506,'Reward Model'!$A$12:$A$14,0))*Z3506,2),0)</f>
        <v>1</v>
      </c>
      <c r="AB3506" s="2" t="n">
        <f aca="false">IF($I3506="Correct",ROUND(INDEX('Reward Model'!$B$12:$B$14,MATCH($Y3506,'Reward Model'!$A$12:$A$14,0))*Z3506,2),0)</f>
        <v>1</v>
      </c>
    </row>
    <row r="3507" customFormat="false" ht="15" hidden="false" customHeight="false" outlineLevel="0" collapsed="false">
      <c r="A3507" s="0" t="s">
        <v>482</v>
      </c>
      <c r="B3507" s="0" t="s">
        <v>483</v>
      </c>
      <c r="C3507" s="0" t="s">
        <v>322</v>
      </c>
      <c r="D3507" s="0" t="s">
        <v>189</v>
      </c>
      <c r="E3507" s="0" t="n">
        <v>6</v>
      </c>
      <c r="F3507" s="0" t="s">
        <v>48</v>
      </c>
      <c r="G3507" s="0" t="s">
        <v>49</v>
      </c>
      <c r="H3507" s="0" t="s">
        <v>49</v>
      </c>
      <c r="I3507" s="0" t="s">
        <v>34</v>
      </c>
      <c r="J3507" s="0" t="n">
        <v>1.95</v>
      </c>
      <c r="K3507" s="0" t="s">
        <v>35</v>
      </c>
      <c r="L3507" s="0" t="n">
        <f aca="false">INDEX(Summary!$F$2:$F$201,MATCH($B3507,Summary!$A$2:$A$201,0))</f>
        <v>20</v>
      </c>
      <c r="M3507" s="0" t="n">
        <f aca="false">INDEX(Summary!$I$2:$I$201,MATCH($B3507,Summary!$A$2:$A$201,0))</f>
        <v>3</v>
      </c>
      <c r="N3507" s="0" t="n">
        <f aca="false">INDEX(Summary!$J$2:$J$201,MATCH($B3507,Summary!$A$2:$A$201,0))</f>
        <v>2</v>
      </c>
      <c r="O3507" s="2" t="n">
        <f aca="false">INDEX(Summary!$K$2:$K$201,MATCH($B3507,Summary!$A$2:$A$201,0))</f>
        <v>11.05</v>
      </c>
      <c r="P3507" s="3" t="n">
        <f aca="false">INDEX(Summary!$L$2:$L$201,MATCH($B3507,Summary!$A$2:$A$201,0))</f>
        <v>1</v>
      </c>
      <c r="Q3507" s="3" t="n">
        <f aca="false">INDEX(Summary!$M$2:$M$201,MATCH($B3507,Summary!$A$2:$A$201,0))</f>
        <v>5</v>
      </c>
      <c r="R3507" s="2" t="n">
        <f aca="false">INDEX(Summary!$N$2:$N$201,MATCH($B3507,Summary!$A$2:$A$201,0))</f>
        <v>9.8</v>
      </c>
      <c r="S3507" s="3" t="n">
        <f aca="false">INDEX(Summary!$O$2:$O$201,MATCH($B3507,Summary!$A$2:$A$201,0))</f>
        <v>7</v>
      </c>
      <c r="T3507" s="3" t="n">
        <f aca="false">INDEX(Summary!$P$2:$P$201,MATCH($B3507,Summary!$A$2:$A$201,0))</f>
        <v>2</v>
      </c>
      <c r="U3507" s="2" t="n">
        <f aca="false">INDEX(Summary!$Q$2:$Q$201,MATCH($B3507,Summary!$A$2:$A$201,0))</f>
        <v>13.7</v>
      </c>
      <c r="V3507" s="2" t="n">
        <f aca="false">INDEX(Summary!$R$2:$R$201,MATCH($B3507,Summary!$A$2:$A$201,0))</f>
        <v>19.87</v>
      </c>
      <c r="W3507" s="0" t="str">
        <f aca="false">INDEX(Summary!$S$2:$S$201,MATCH($B3507,Summary!$A$2:$A$201,0))</f>
        <v>Bronze</v>
      </c>
      <c r="X3507" s="2" t="n">
        <f aca="false">INDEX(Summary!$T$2:$T$201,MATCH($B3507,Summary!$A$2:$A$201,0))</f>
        <v>48.46</v>
      </c>
      <c r="Y3507" s="0" t="str">
        <f aca="false">INDEX('Reward Model'!$E$18:$E$37,MATCH($E3507,'Reward Model'!$A$18:$A$37,0))</f>
        <v>Medium</v>
      </c>
      <c r="Z3507" s="4" t="n">
        <f aca="false">ROUND(MIN(1,MAX('Reward Model'!$B$2,INDEX('Reward Model'!$C$12:$C$14,MATCH($K3507,'Reward Model'!$A$12:$A$14,0))/$J3507)),3)</f>
        <v>0.769</v>
      </c>
      <c r="AA3507" s="2" t="n">
        <f aca="false">IF($I3507="Correct",ROUND(INDEX('Reward Model'!$B$12:$B$14,MATCH($K3507,'Reward Model'!$A$12:$A$14,0))*Z3507,2),0)</f>
        <v>0.77</v>
      </c>
      <c r="AB3507" s="2" t="n">
        <f aca="false">IF($I3507="Correct",ROUND(INDEX('Reward Model'!$B$12:$B$14,MATCH($Y3507,'Reward Model'!$A$12:$A$14,0))*Z3507,2),0)</f>
        <v>1.54</v>
      </c>
    </row>
    <row r="3508" customFormat="false" ht="15" hidden="false" customHeight="false" outlineLevel="0" collapsed="false">
      <c r="A3508" s="0" t="s">
        <v>482</v>
      </c>
      <c r="B3508" s="0" t="s">
        <v>483</v>
      </c>
      <c r="C3508" s="0" t="s">
        <v>322</v>
      </c>
      <c r="D3508" s="0" t="s">
        <v>189</v>
      </c>
      <c r="E3508" s="0" t="n">
        <v>7</v>
      </c>
      <c r="F3508" s="0" t="s">
        <v>50</v>
      </c>
      <c r="G3508" s="0" t="s">
        <v>144</v>
      </c>
      <c r="H3508" s="0" t="s">
        <v>51</v>
      </c>
      <c r="I3508" s="0" t="s">
        <v>39</v>
      </c>
      <c r="J3508" s="0" t="n">
        <v>1.96</v>
      </c>
      <c r="K3508" s="0" t="s">
        <v>35</v>
      </c>
      <c r="L3508" s="0" t="n">
        <f aca="false">INDEX(Summary!$F$2:$F$201,MATCH($B3508,Summary!$A$2:$A$201,0))</f>
        <v>20</v>
      </c>
      <c r="M3508" s="0" t="n">
        <f aca="false">INDEX(Summary!$I$2:$I$201,MATCH($B3508,Summary!$A$2:$A$201,0))</f>
        <v>3</v>
      </c>
      <c r="N3508" s="0" t="n">
        <f aca="false">INDEX(Summary!$J$2:$J$201,MATCH($B3508,Summary!$A$2:$A$201,0))</f>
        <v>2</v>
      </c>
      <c r="O3508" s="2" t="n">
        <f aca="false">INDEX(Summary!$K$2:$K$201,MATCH($B3508,Summary!$A$2:$A$201,0))</f>
        <v>11.05</v>
      </c>
      <c r="P3508" s="3" t="n">
        <f aca="false">INDEX(Summary!$L$2:$L$201,MATCH($B3508,Summary!$A$2:$A$201,0))</f>
        <v>1</v>
      </c>
      <c r="Q3508" s="3" t="n">
        <f aca="false">INDEX(Summary!$M$2:$M$201,MATCH($B3508,Summary!$A$2:$A$201,0))</f>
        <v>5</v>
      </c>
      <c r="R3508" s="2" t="n">
        <f aca="false">INDEX(Summary!$N$2:$N$201,MATCH($B3508,Summary!$A$2:$A$201,0))</f>
        <v>9.8</v>
      </c>
      <c r="S3508" s="3" t="n">
        <f aca="false">INDEX(Summary!$O$2:$O$201,MATCH($B3508,Summary!$A$2:$A$201,0))</f>
        <v>7</v>
      </c>
      <c r="T3508" s="3" t="n">
        <f aca="false">INDEX(Summary!$P$2:$P$201,MATCH($B3508,Summary!$A$2:$A$201,0))</f>
        <v>2</v>
      </c>
      <c r="U3508" s="2" t="n">
        <f aca="false">INDEX(Summary!$Q$2:$Q$201,MATCH($B3508,Summary!$A$2:$A$201,0))</f>
        <v>13.7</v>
      </c>
      <c r="V3508" s="2" t="n">
        <f aca="false">INDEX(Summary!$R$2:$R$201,MATCH($B3508,Summary!$A$2:$A$201,0))</f>
        <v>19.87</v>
      </c>
      <c r="W3508" s="0" t="str">
        <f aca="false">INDEX(Summary!$S$2:$S$201,MATCH($B3508,Summary!$A$2:$A$201,0))</f>
        <v>Bronze</v>
      </c>
      <c r="X3508" s="2" t="n">
        <f aca="false">INDEX(Summary!$T$2:$T$201,MATCH($B3508,Summary!$A$2:$A$201,0))</f>
        <v>48.46</v>
      </c>
      <c r="Y3508" s="0" t="str">
        <f aca="false">INDEX('Reward Model'!$E$18:$E$37,MATCH($E3508,'Reward Model'!$A$18:$A$37,0))</f>
        <v>Low</v>
      </c>
      <c r="Z3508" s="4" t="n">
        <f aca="false">ROUND(MIN(1,MAX('Reward Model'!$B$2,INDEX('Reward Model'!$C$12:$C$14,MATCH($K3508,'Reward Model'!$A$12:$A$14,0))/$J3508)),3)</f>
        <v>0.765</v>
      </c>
      <c r="AA3508" s="2" t="n">
        <f aca="false">IF($I3508="Correct",ROUND(INDEX('Reward Model'!$B$12:$B$14,MATCH($K3508,'Reward Model'!$A$12:$A$14,0))*Z3508,2),0)</f>
        <v>0</v>
      </c>
      <c r="AB3508" s="2" t="n">
        <f aca="false">IF($I3508="Correct",ROUND(INDEX('Reward Model'!$B$12:$B$14,MATCH($Y3508,'Reward Model'!$A$12:$A$14,0))*Z3508,2),0)</f>
        <v>0</v>
      </c>
    </row>
    <row r="3509" customFormat="false" ht="15" hidden="false" customHeight="false" outlineLevel="0" collapsed="false">
      <c r="A3509" s="0" t="s">
        <v>482</v>
      </c>
      <c r="B3509" s="0" t="s">
        <v>483</v>
      </c>
      <c r="C3509" s="0" t="s">
        <v>322</v>
      </c>
      <c r="D3509" s="0" t="s">
        <v>189</v>
      </c>
      <c r="E3509" s="0" t="n">
        <v>8</v>
      </c>
      <c r="F3509" s="0" t="s">
        <v>52</v>
      </c>
      <c r="G3509" s="0" t="s">
        <v>54</v>
      </c>
      <c r="H3509" s="0" t="s">
        <v>54</v>
      </c>
      <c r="I3509" s="0" t="s">
        <v>34</v>
      </c>
      <c r="J3509" s="0" t="n">
        <v>1.3</v>
      </c>
      <c r="K3509" s="0" t="s">
        <v>35</v>
      </c>
      <c r="L3509" s="0" t="n">
        <f aca="false">INDEX(Summary!$F$2:$F$201,MATCH($B3509,Summary!$A$2:$A$201,0))</f>
        <v>20</v>
      </c>
      <c r="M3509" s="0" t="n">
        <f aca="false">INDEX(Summary!$I$2:$I$201,MATCH($B3509,Summary!$A$2:$A$201,0))</f>
        <v>3</v>
      </c>
      <c r="N3509" s="0" t="n">
        <f aca="false">INDEX(Summary!$J$2:$J$201,MATCH($B3509,Summary!$A$2:$A$201,0))</f>
        <v>2</v>
      </c>
      <c r="O3509" s="2" t="n">
        <f aca="false">INDEX(Summary!$K$2:$K$201,MATCH($B3509,Summary!$A$2:$A$201,0))</f>
        <v>11.05</v>
      </c>
      <c r="P3509" s="3" t="n">
        <f aca="false">INDEX(Summary!$L$2:$L$201,MATCH($B3509,Summary!$A$2:$A$201,0))</f>
        <v>1</v>
      </c>
      <c r="Q3509" s="3" t="n">
        <f aca="false">INDEX(Summary!$M$2:$M$201,MATCH($B3509,Summary!$A$2:$A$201,0))</f>
        <v>5</v>
      </c>
      <c r="R3509" s="2" t="n">
        <f aca="false">INDEX(Summary!$N$2:$N$201,MATCH($B3509,Summary!$A$2:$A$201,0))</f>
        <v>9.8</v>
      </c>
      <c r="S3509" s="3" t="n">
        <f aca="false">INDEX(Summary!$O$2:$O$201,MATCH($B3509,Summary!$A$2:$A$201,0))</f>
        <v>7</v>
      </c>
      <c r="T3509" s="3" t="n">
        <f aca="false">INDEX(Summary!$P$2:$P$201,MATCH($B3509,Summary!$A$2:$A$201,0))</f>
        <v>2</v>
      </c>
      <c r="U3509" s="2" t="n">
        <f aca="false">INDEX(Summary!$Q$2:$Q$201,MATCH($B3509,Summary!$A$2:$A$201,0))</f>
        <v>13.7</v>
      </c>
      <c r="V3509" s="2" t="n">
        <f aca="false">INDEX(Summary!$R$2:$R$201,MATCH($B3509,Summary!$A$2:$A$201,0))</f>
        <v>19.87</v>
      </c>
      <c r="W3509" s="0" t="str">
        <f aca="false">INDEX(Summary!$S$2:$S$201,MATCH($B3509,Summary!$A$2:$A$201,0))</f>
        <v>Bronze</v>
      </c>
      <c r="X3509" s="2" t="n">
        <f aca="false">INDEX(Summary!$T$2:$T$201,MATCH($B3509,Summary!$A$2:$A$201,0))</f>
        <v>48.46</v>
      </c>
      <c r="Y3509" s="0" t="str">
        <f aca="false">INDEX('Reward Model'!$E$18:$E$37,MATCH($E3509,'Reward Model'!$A$18:$A$37,0))</f>
        <v>Medium</v>
      </c>
      <c r="Z3509" s="4" t="n">
        <f aca="false">ROUND(MIN(1,MAX('Reward Model'!$B$2,INDEX('Reward Model'!$C$12:$C$14,MATCH($K3509,'Reward Model'!$A$12:$A$14,0))/$J3509)),3)</f>
        <v>1</v>
      </c>
      <c r="AA3509" s="2" t="n">
        <f aca="false">IF($I3509="Correct",ROUND(INDEX('Reward Model'!$B$12:$B$14,MATCH($K3509,'Reward Model'!$A$12:$A$14,0))*Z3509,2),0)</f>
        <v>1</v>
      </c>
      <c r="AB3509" s="2" t="n">
        <f aca="false">IF($I3509="Correct",ROUND(INDEX('Reward Model'!$B$12:$B$14,MATCH($Y3509,'Reward Model'!$A$12:$A$14,0))*Z3509,2),0)</f>
        <v>2</v>
      </c>
    </row>
    <row r="3510" customFormat="false" ht="15" hidden="false" customHeight="false" outlineLevel="0" collapsed="false">
      <c r="A3510" s="0" t="s">
        <v>482</v>
      </c>
      <c r="B3510" s="0" t="s">
        <v>483</v>
      </c>
      <c r="C3510" s="0" t="s">
        <v>322</v>
      </c>
      <c r="D3510" s="0" t="s">
        <v>189</v>
      </c>
      <c r="E3510" s="0" t="n">
        <v>9</v>
      </c>
      <c r="F3510" s="0" t="s">
        <v>55</v>
      </c>
      <c r="G3510" s="0" t="s">
        <v>341</v>
      </c>
      <c r="H3510" s="0" t="s">
        <v>57</v>
      </c>
      <c r="I3510" s="0" t="s">
        <v>39</v>
      </c>
      <c r="J3510" s="0" t="n">
        <v>1.69</v>
      </c>
      <c r="K3510" s="0" t="s">
        <v>35</v>
      </c>
      <c r="L3510" s="0" t="n">
        <f aca="false">INDEX(Summary!$F$2:$F$201,MATCH($B3510,Summary!$A$2:$A$201,0))</f>
        <v>20</v>
      </c>
      <c r="M3510" s="0" t="n">
        <f aca="false">INDEX(Summary!$I$2:$I$201,MATCH($B3510,Summary!$A$2:$A$201,0))</f>
        <v>3</v>
      </c>
      <c r="N3510" s="0" t="n">
        <f aca="false">INDEX(Summary!$J$2:$J$201,MATCH($B3510,Summary!$A$2:$A$201,0))</f>
        <v>2</v>
      </c>
      <c r="O3510" s="2" t="n">
        <f aca="false">INDEX(Summary!$K$2:$K$201,MATCH($B3510,Summary!$A$2:$A$201,0))</f>
        <v>11.05</v>
      </c>
      <c r="P3510" s="3" t="n">
        <f aca="false">INDEX(Summary!$L$2:$L$201,MATCH($B3510,Summary!$A$2:$A$201,0))</f>
        <v>1</v>
      </c>
      <c r="Q3510" s="3" t="n">
        <f aca="false">INDEX(Summary!$M$2:$M$201,MATCH($B3510,Summary!$A$2:$A$201,0))</f>
        <v>5</v>
      </c>
      <c r="R3510" s="2" t="n">
        <f aca="false">INDEX(Summary!$N$2:$N$201,MATCH($B3510,Summary!$A$2:$A$201,0))</f>
        <v>9.8</v>
      </c>
      <c r="S3510" s="3" t="n">
        <f aca="false">INDEX(Summary!$O$2:$O$201,MATCH($B3510,Summary!$A$2:$A$201,0))</f>
        <v>7</v>
      </c>
      <c r="T3510" s="3" t="n">
        <f aca="false">INDEX(Summary!$P$2:$P$201,MATCH($B3510,Summary!$A$2:$A$201,0))</f>
        <v>2</v>
      </c>
      <c r="U3510" s="2" t="n">
        <f aca="false">INDEX(Summary!$Q$2:$Q$201,MATCH($B3510,Summary!$A$2:$A$201,0))</f>
        <v>13.7</v>
      </c>
      <c r="V3510" s="2" t="n">
        <f aca="false">INDEX(Summary!$R$2:$R$201,MATCH($B3510,Summary!$A$2:$A$201,0))</f>
        <v>19.87</v>
      </c>
      <c r="W3510" s="0" t="str">
        <f aca="false">INDEX(Summary!$S$2:$S$201,MATCH($B3510,Summary!$A$2:$A$201,0))</f>
        <v>Bronze</v>
      </c>
      <c r="X3510" s="2" t="n">
        <f aca="false">INDEX(Summary!$T$2:$T$201,MATCH($B3510,Summary!$A$2:$A$201,0))</f>
        <v>48.46</v>
      </c>
      <c r="Y3510" s="0" t="str">
        <f aca="false">INDEX('Reward Model'!$E$18:$E$37,MATCH($E3510,'Reward Model'!$A$18:$A$37,0))</f>
        <v>Medium</v>
      </c>
      <c r="Z3510" s="4" t="n">
        <f aca="false">ROUND(MIN(1,MAX('Reward Model'!$B$2,INDEX('Reward Model'!$C$12:$C$14,MATCH($K3510,'Reward Model'!$A$12:$A$14,0))/$J3510)),3)</f>
        <v>0.888</v>
      </c>
      <c r="AA3510" s="2" t="n">
        <f aca="false">IF($I3510="Correct",ROUND(INDEX('Reward Model'!$B$12:$B$14,MATCH($K3510,'Reward Model'!$A$12:$A$14,0))*Z3510,2),0)</f>
        <v>0</v>
      </c>
      <c r="AB3510" s="2" t="n">
        <f aca="false">IF($I3510="Correct",ROUND(INDEX('Reward Model'!$B$12:$B$14,MATCH($Y3510,'Reward Model'!$A$12:$A$14,0))*Z3510,2),0)</f>
        <v>0</v>
      </c>
    </row>
    <row r="3511" customFormat="false" ht="15" hidden="false" customHeight="false" outlineLevel="0" collapsed="false">
      <c r="A3511" s="0" t="s">
        <v>482</v>
      </c>
      <c r="B3511" s="0" t="s">
        <v>483</v>
      </c>
      <c r="C3511" s="0" t="s">
        <v>322</v>
      </c>
      <c r="D3511" s="0" t="s">
        <v>189</v>
      </c>
      <c r="E3511" s="0" t="n">
        <v>10</v>
      </c>
      <c r="F3511" s="0" t="s">
        <v>58</v>
      </c>
      <c r="G3511" s="0" t="s">
        <v>174</v>
      </c>
      <c r="H3511" s="0" t="s">
        <v>59</v>
      </c>
      <c r="I3511" s="0" t="s">
        <v>39</v>
      </c>
      <c r="J3511" s="0" t="n">
        <v>1.28</v>
      </c>
      <c r="K3511" s="0" t="s">
        <v>60</v>
      </c>
      <c r="L3511" s="0" t="n">
        <f aca="false">INDEX(Summary!$F$2:$F$201,MATCH($B3511,Summary!$A$2:$A$201,0))</f>
        <v>20</v>
      </c>
      <c r="M3511" s="0" t="n">
        <f aca="false">INDEX(Summary!$I$2:$I$201,MATCH($B3511,Summary!$A$2:$A$201,0))</f>
        <v>3</v>
      </c>
      <c r="N3511" s="0" t="n">
        <f aca="false">INDEX(Summary!$J$2:$J$201,MATCH($B3511,Summary!$A$2:$A$201,0))</f>
        <v>2</v>
      </c>
      <c r="O3511" s="2" t="n">
        <f aca="false">INDEX(Summary!$K$2:$K$201,MATCH($B3511,Summary!$A$2:$A$201,0))</f>
        <v>11.05</v>
      </c>
      <c r="P3511" s="3" t="n">
        <f aca="false">INDEX(Summary!$L$2:$L$201,MATCH($B3511,Summary!$A$2:$A$201,0))</f>
        <v>1</v>
      </c>
      <c r="Q3511" s="3" t="n">
        <f aca="false">INDEX(Summary!$M$2:$M$201,MATCH($B3511,Summary!$A$2:$A$201,0))</f>
        <v>5</v>
      </c>
      <c r="R3511" s="2" t="n">
        <f aca="false">INDEX(Summary!$N$2:$N$201,MATCH($B3511,Summary!$A$2:$A$201,0))</f>
        <v>9.8</v>
      </c>
      <c r="S3511" s="3" t="n">
        <f aca="false">INDEX(Summary!$O$2:$O$201,MATCH($B3511,Summary!$A$2:$A$201,0))</f>
        <v>7</v>
      </c>
      <c r="T3511" s="3" t="n">
        <f aca="false">INDEX(Summary!$P$2:$P$201,MATCH($B3511,Summary!$A$2:$A$201,0))</f>
        <v>2</v>
      </c>
      <c r="U3511" s="2" t="n">
        <f aca="false">INDEX(Summary!$Q$2:$Q$201,MATCH($B3511,Summary!$A$2:$A$201,0))</f>
        <v>13.7</v>
      </c>
      <c r="V3511" s="2" t="n">
        <f aca="false">INDEX(Summary!$R$2:$R$201,MATCH($B3511,Summary!$A$2:$A$201,0))</f>
        <v>19.87</v>
      </c>
      <c r="W3511" s="0" t="str">
        <f aca="false">INDEX(Summary!$S$2:$S$201,MATCH($B3511,Summary!$A$2:$A$201,0))</f>
        <v>Bronze</v>
      </c>
      <c r="X3511" s="2" t="n">
        <f aca="false">INDEX(Summary!$T$2:$T$201,MATCH($B3511,Summary!$A$2:$A$201,0))</f>
        <v>48.46</v>
      </c>
      <c r="Y3511" s="0" t="str">
        <f aca="false">INDEX('Reward Model'!$E$18:$E$37,MATCH($E3511,'Reward Model'!$A$18:$A$37,0))</f>
        <v>Medium</v>
      </c>
      <c r="Z3511" s="4" t="n">
        <f aca="false">ROUND(MIN(1,MAX('Reward Model'!$B$2,INDEX('Reward Model'!$C$12:$C$14,MATCH($K3511,'Reward Model'!$A$12:$A$14,0))/$J3511)),3)</f>
        <v>1</v>
      </c>
      <c r="AA3511" s="2" t="n">
        <f aca="false">IF($I3511="Correct",ROUND(INDEX('Reward Model'!$B$12:$B$14,MATCH($K3511,'Reward Model'!$A$12:$A$14,0))*Z3511,2),0)</f>
        <v>0</v>
      </c>
      <c r="AB3511" s="2" t="n">
        <f aca="false">IF($I3511="Correct",ROUND(INDEX('Reward Model'!$B$12:$B$14,MATCH($Y3511,'Reward Model'!$A$12:$A$14,0))*Z3511,2),0)</f>
        <v>0</v>
      </c>
    </row>
    <row r="3512" customFormat="false" ht="15" hidden="false" customHeight="false" outlineLevel="0" collapsed="false">
      <c r="A3512" s="0" t="s">
        <v>482</v>
      </c>
      <c r="B3512" s="0" t="s">
        <v>483</v>
      </c>
      <c r="C3512" s="0" t="s">
        <v>322</v>
      </c>
      <c r="D3512" s="0" t="s">
        <v>189</v>
      </c>
      <c r="E3512" s="0" t="n">
        <v>11</v>
      </c>
      <c r="F3512" s="0" t="s">
        <v>61</v>
      </c>
      <c r="G3512" s="0" t="s">
        <v>63</v>
      </c>
      <c r="H3512" s="0" t="s">
        <v>63</v>
      </c>
      <c r="I3512" s="0" t="s">
        <v>34</v>
      </c>
      <c r="J3512" s="0" t="n">
        <v>1.93</v>
      </c>
      <c r="K3512" s="0" t="s">
        <v>60</v>
      </c>
      <c r="L3512" s="0" t="n">
        <f aca="false">INDEX(Summary!$F$2:$F$201,MATCH($B3512,Summary!$A$2:$A$201,0))</f>
        <v>20</v>
      </c>
      <c r="M3512" s="0" t="n">
        <f aca="false">INDEX(Summary!$I$2:$I$201,MATCH($B3512,Summary!$A$2:$A$201,0))</f>
        <v>3</v>
      </c>
      <c r="N3512" s="0" t="n">
        <f aca="false">INDEX(Summary!$J$2:$J$201,MATCH($B3512,Summary!$A$2:$A$201,0))</f>
        <v>2</v>
      </c>
      <c r="O3512" s="2" t="n">
        <f aca="false">INDEX(Summary!$K$2:$K$201,MATCH($B3512,Summary!$A$2:$A$201,0))</f>
        <v>11.05</v>
      </c>
      <c r="P3512" s="3" t="n">
        <f aca="false">INDEX(Summary!$L$2:$L$201,MATCH($B3512,Summary!$A$2:$A$201,0))</f>
        <v>1</v>
      </c>
      <c r="Q3512" s="3" t="n">
        <f aca="false">INDEX(Summary!$M$2:$M$201,MATCH($B3512,Summary!$A$2:$A$201,0))</f>
        <v>5</v>
      </c>
      <c r="R3512" s="2" t="n">
        <f aca="false">INDEX(Summary!$N$2:$N$201,MATCH($B3512,Summary!$A$2:$A$201,0))</f>
        <v>9.8</v>
      </c>
      <c r="S3512" s="3" t="n">
        <f aca="false">INDEX(Summary!$O$2:$O$201,MATCH($B3512,Summary!$A$2:$A$201,0))</f>
        <v>7</v>
      </c>
      <c r="T3512" s="3" t="n">
        <f aca="false">INDEX(Summary!$P$2:$P$201,MATCH($B3512,Summary!$A$2:$A$201,0))</f>
        <v>2</v>
      </c>
      <c r="U3512" s="2" t="n">
        <f aca="false">INDEX(Summary!$Q$2:$Q$201,MATCH($B3512,Summary!$A$2:$A$201,0))</f>
        <v>13.7</v>
      </c>
      <c r="V3512" s="2" t="n">
        <f aca="false">INDEX(Summary!$R$2:$R$201,MATCH($B3512,Summary!$A$2:$A$201,0))</f>
        <v>19.87</v>
      </c>
      <c r="W3512" s="0" t="str">
        <f aca="false">INDEX(Summary!$S$2:$S$201,MATCH($B3512,Summary!$A$2:$A$201,0))</f>
        <v>Bronze</v>
      </c>
      <c r="X3512" s="2" t="n">
        <f aca="false">INDEX(Summary!$T$2:$T$201,MATCH($B3512,Summary!$A$2:$A$201,0))</f>
        <v>48.46</v>
      </c>
      <c r="Y3512" s="0" t="str">
        <f aca="false">INDEX('Reward Model'!$E$18:$E$37,MATCH($E3512,'Reward Model'!$A$18:$A$37,0))</f>
        <v>Medium</v>
      </c>
      <c r="Z3512" s="4" t="n">
        <f aca="false">ROUND(MIN(1,MAX('Reward Model'!$B$2,INDEX('Reward Model'!$C$12:$C$14,MATCH($K3512,'Reward Model'!$A$12:$A$14,0))/$J3512)),3)</f>
        <v>0.933</v>
      </c>
      <c r="AA3512" s="2" t="n">
        <f aca="false">IF($I3512="Correct",ROUND(INDEX('Reward Model'!$B$12:$B$14,MATCH($K3512,'Reward Model'!$A$12:$A$14,0))*Z3512,2),0)</f>
        <v>1.87</v>
      </c>
      <c r="AB3512" s="2" t="n">
        <f aca="false">IF($I3512="Correct",ROUND(INDEX('Reward Model'!$B$12:$B$14,MATCH($Y3512,'Reward Model'!$A$12:$A$14,0))*Z3512,2),0)</f>
        <v>1.87</v>
      </c>
    </row>
    <row r="3513" customFormat="false" ht="15" hidden="false" customHeight="false" outlineLevel="0" collapsed="false">
      <c r="A3513" s="0" t="s">
        <v>482</v>
      </c>
      <c r="B3513" s="0" t="s">
        <v>483</v>
      </c>
      <c r="C3513" s="0" t="s">
        <v>322</v>
      </c>
      <c r="D3513" s="0" t="s">
        <v>189</v>
      </c>
      <c r="E3513" s="0" t="n">
        <v>12</v>
      </c>
      <c r="F3513" s="0" t="s">
        <v>64</v>
      </c>
      <c r="G3513" s="0" t="s">
        <v>146</v>
      </c>
      <c r="H3513" s="0" t="s">
        <v>65</v>
      </c>
      <c r="I3513" s="0" t="s">
        <v>39</v>
      </c>
      <c r="J3513" s="0" t="n">
        <v>1.3</v>
      </c>
      <c r="K3513" s="0" t="s">
        <v>60</v>
      </c>
      <c r="L3513" s="0" t="n">
        <f aca="false">INDEX(Summary!$F$2:$F$201,MATCH($B3513,Summary!$A$2:$A$201,0))</f>
        <v>20</v>
      </c>
      <c r="M3513" s="0" t="n">
        <f aca="false">INDEX(Summary!$I$2:$I$201,MATCH($B3513,Summary!$A$2:$A$201,0))</f>
        <v>3</v>
      </c>
      <c r="N3513" s="0" t="n">
        <f aca="false">INDEX(Summary!$J$2:$J$201,MATCH($B3513,Summary!$A$2:$A$201,0))</f>
        <v>2</v>
      </c>
      <c r="O3513" s="2" t="n">
        <f aca="false">INDEX(Summary!$K$2:$K$201,MATCH($B3513,Summary!$A$2:$A$201,0))</f>
        <v>11.05</v>
      </c>
      <c r="P3513" s="3" t="n">
        <f aca="false">INDEX(Summary!$L$2:$L$201,MATCH($B3513,Summary!$A$2:$A$201,0))</f>
        <v>1</v>
      </c>
      <c r="Q3513" s="3" t="n">
        <f aca="false">INDEX(Summary!$M$2:$M$201,MATCH($B3513,Summary!$A$2:$A$201,0))</f>
        <v>5</v>
      </c>
      <c r="R3513" s="2" t="n">
        <f aca="false">INDEX(Summary!$N$2:$N$201,MATCH($B3513,Summary!$A$2:$A$201,0))</f>
        <v>9.8</v>
      </c>
      <c r="S3513" s="3" t="n">
        <f aca="false">INDEX(Summary!$O$2:$O$201,MATCH($B3513,Summary!$A$2:$A$201,0))</f>
        <v>7</v>
      </c>
      <c r="T3513" s="3" t="n">
        <f aca="false">INDEX(Summary!$P$2:$P$201,MATCH($B3513,Summary!$A$2:$A$201,0))</f>
        <v>2</v>
      </c>
      <c r="U3513" s="2" t="n">
        <f aca="false">INDEX(Summary!$Q$2:$Q$201,MATCH($B3513,Summary!$A$2:$A$201,0))</f>
        <v>13.7</v>
      </c>
      <c r="V3513" s="2" t="n">
        <f aca="false">INDEX(Summary!$R$2:$R$201,MATCH($B3513,Summary!$A$2:$A$201,0))</f>
        <v>19.87</v>
      </c>
      <c r="W3513" s="0" t="str">
        <f aca="false">INDEX(Summary!$S$2:$S$201,MATCH($B3513,Summary!$A$2:$A$201,0))</f>
        <v>Bronze</v>
      </c>
      <c r="X3513" s="2" t="n">
        <f aca="false">INDEX(Summary!$T$2:$T$201,MATCH($B3513,Summary!$A$2:$A$201,0))</f>
        <v>48.46</v>
      </c>
      <c r="Y3513" s="0" t="str">
        <f aca="false">INDEX('Reward Model'!$E$18:$E$37,MATCH($E3513,'Reward Model'!$A$18:$A$37,0))</f>
        <v>Medium</v>
      </c>
      <c r="Z3513" s="4" t="n">
        <f aca="false">ROUND(MIN(1,MAX('Reward Model'!$B$2,INDEX('Reward Model'!$C$12:$C$14,MATCH($K3513,'Reward Model'!$A$12:$A$14,0))/$J3513)),3)</f>
        <v>1</v>
      </c>
      <c r="AA3513" s="2" t="n">
        <f aca="false">IF($I3513="Correct",ROUND(INDEX('Reward Model'!$B$12:$B$14,MATCH($K3513,'Reward Model'!$A$12:$A$14,0))*Z3513,2),0)</f>
        <v>0</v>
      </c>
      <c r="AB3513" s="2" t="n">
        <f aca="false">IF($I3513="Correct",ROUND(INDEX('Reward Model'!$B$12:$B$14,MATCH($Y3513,'Reward Model'!$A$12:$A$14,0))*Z3513,2),0)</f>
        <v>0</v>
      </c>
    </row>
    <row r="3514" customFormat="false" ht="15" hidden="false" customHeight="false" outlineLevel="0" collapsed="false">
      <c r="A3514" s="0" t="s">
        <v>482</v>
      </c>
      <c r="B3514" s="0" t="s">
        <v>483</v>
      </c>
      <c r="C3514" s="0" t="s">
        <v>322</v>
      </c>
      <c r="D3514" s="0" t="s">
        <v>189</v>
      </c>
      <c r="E3514" s="0" t="n">
        <v>13</v>
      </c>
      <c r="F3514" s="0" t="s">
        <v>66</v>
      </c>
      <c r="G3514" s="0" t="s">
        <v>124</v>
      </c>
      <c r="H3514" s="0" t="s">
        <v>67</v>
      </c>
      <c r="I3514" s="0" t="s">
        <v>39</v>
      </c>
      <c r="J3514" s="0" t="n">
        <v>1.42</v>
      </c>
      <c r="K3514" s="0" t="s">
        <v>60</v>
      </c>
      <c r="L3514" s="0" t="n">
        <f aca="false">INDEX(Summary!$F$2:$F$201,MATCH($B3514,Summary!$A$2:$A$201,0))</f>
        <v>20</v>
      </c>
      <c r="M3514" s="0" t="n">
        <f aca="false">INDEX(Summary!$I$2:$I$201,MATCH($B3514,Summary!$A$2:$A$201,0))</f>
        <v>3</v>
      </c>
      <c r="N3514" s="0" t="n">
        <f aca="false">INDEX(Summary!$J$2:$J$201,MATCH($B3514,Summary!$A$2:$A$201,0))</f>
        <v>2</v>
      </c>
      <c r="O3514" s="2" t="n">
        <f aca="false">INDEX(Summary!$K$2:$K$201,MATCH($B3514,Summary!$A$2:$A$201,0))</f>
        <v>11.05</v>
      </c>
      <c r="P3514" s="3" t="n">
        <f aca="false">INDEX(Summary!$L$2:$L$201,MATCH($B3514,Summary!$A$2:$A$201,0))</f>
        <v>1</v>
      </c>
      <c r="Q3514" s="3" t="n">
        <f aca="false">INDEX(Summary!$M$2:$M$201,MATCH($B3514,Summary!$A$2:$A$201,0))</f>
        <v>5</v>
      </c>
      <c r="R3514" s="2" t="n">
        <f aca="false">INDEX(Summary!$N$2:$N$201,MATCH($B3514,Summary!$A$2:$A$201,0))</f>
        <v>9.8</v>
      </c>
      <c r="S3514" s="3" t="n">
        <f aca="false">INDEX(Summary!$O$2:$O$201,MATCH($B3514,Summary!$A$2:$A$201,0))</f>
        <v>7</v>
      </c>
      <c r="T3514" s="3" t="n">
        <f aca="false">INDEX(Summary!$P$2:$P$201,MATCH($B3514,Summary!$A$2:$A$201,0))</f>
        <v>2</v>
      </c>
      <c r="U3514" s="2" t="n">
        <f aca="false">INDEX(Summary!$Q$2:$Q$201,MATCH($B3514,Summary!$A$2:$A$201,0))</f>
        <v>13.7</v>
      </c>
      <c r="V3514" s="2" t="n">
        <f aca="false">INDEX(Summary!$R$2:$R$201,MATCH($B3514,Summary!$A$2:$A$201,0))</f>
        <v>19.87</v>
      </c>
      <c r="W3514" s="0" t="str">
        <f aca="false">INDEX(Summary!$S$2:$S$201,MATCH($B3514,Summary!$A$2:$A$201,0))</f>
        <v>Bronze</v>
      </c>
      <c r="X3514" s="2" t="n">
        <f aca="false">INDEX(Summary!$T$2:$T$201,MATCH($B3514,Summary!$A$2:$A$201,0))</f>
        <v>48.46</v>
      </c>
      <c r="Y3514" s="0" t="str">
        <f aca="false">INDEX('Reward Model'!$E$18:$E$37,MATCH($E3514,'Reward Model'!$A$18:$A$37,0))</f>
        <v>Medium</v>
      </c>
      <c r="Z3514" s="4" t="n">
        <f aca="false">ROUND(MIN(1,MAX('Reward Model'!$B$2,INDEX('Reward Model'!$C$12:$C$14,MATCH($K3514,'Reward Model'!$A$12:$A$14,0))/$J3514)),3)</f>
        <v>1</v>
      </c>
      <c r="AA3514" s="2" t="n">
        <f aca="false">IF($I3514="Correct",ROUND(INDEX('Reward Model'!$B$12:$B$14,MATCH($K3514,'Reward Model'!$A$12:$A$14,0))*Z3514,2),0)</f>
        <v>0</v>
      </c>
      <c r="AB3514" s="2" t="n">
        <f aca="false">IF($I3514="Correct",ROUND(INDEX('Reward Model'!$B$12:$B$14,MATCH($Y3514,'Reward Model'!$A$12:$A$14,0))*Z3514,2),0)</f>
        <v>0</v>
      </c>
    </row>
    <row r="3515" customFormat="false" ht="15" hidden="false" customHeight="false" outlineLevel="0" collapsed="false">
      <c r="A3515" s="0" t="s">
        <v>482</v>
      </c>
      <c r="B3515" s="0" t="s">
        <v>483</v>
      </c>
      <c r="C3515" s="0" t="s">
        <v>322</v>
      </c>
      <c r="D3515" s="0" t="s">
        <v>189</v>
      </c>
      <c r="E3515" s="0" t="n">
        <v>14</v>
      </c>
      <c r="F3515" s="0" t="s">
        <v>68</v>
      </c>
      <c r="G3515" s="0" t="s">
        <v>118</v>
      </c>
      <c r="H3515" s="0" t="s">
        <v>51</v>
      </c>
      <c r="I3515" s="0" t="s">
        <v>39</v>
      </c>
      <c r="J3515" s="0" t="n">
        <v>2.12</v>
      </c>
      <c r="K3515" s="0" t="s">
        <v>60</v>
      </c>
      <c r="L3515" s="0" t="n">
        <f aca="false">INDEX(Summary!$F$2:$F$201,MATCH($B3515,Summary!$A$2:$A$201,0))</f>
        <v>20</v>
      </c>
      <c r="M3515" s="0" t="n">
        <f aca="false">INDEX(Summary!$I$2:$I$201,MATCH($B3515,Summary!$A$2:$A$201,0))</f>
        <v>3</v>
      </c>
      <c r="N3515" s="0" t="n">
        <f aca="false">INDEX(Summary!$J$2:$J$201,MATCH($B3515,Summary!$A$2:$A$201,0))</f>
        <v>2</v>
      </c>
      <c r="O3515" s="2" t="n">
        <f aca="false">INDEX(Summary!$K$2:$K$201,MATCH($B3515,Summary!$A$2:$A$201,0))</f>
        <v>11.05</v>
      </c>
      <c r="P3515" s="3" t="n">
        <f aca="false">INDEX(Summary!$L$2:$L$201,MATCH($B3515,Summary!$A$2:$A$201,0))</f>
        <v>1</v>
      </c>
      <c r="Q3515" s="3" t="n">
        <f aca="false">INDEX(Summary!$M$2:$M$201,MATCH($B3515,Summary!$A$2:$A$201,0))</f>
        <v>5</v>
      </c>
      <c r="R3515" s="2" t="n">
        <f aca="false">INDEX(Summary!$N$2:$N$201,MATCH($B3515,Summary!$A$2:$A$201,0))</f>
        <v>9.8</v>
      </c>
      <c r="S3515" s="3" t="n">
        <f aca="false">INDEX(Summary!$O$2:$O$201,MATCH($B3515,Summary!$A$2:$A$201,0))</f>
        <v>7</v>
      </c>
      <c r="T3515" s="3" t="n">
        <f aca="false">INDEX(Summary!$P$2:$P$201,MATCH($B3515,Summary!$A$2:$A$201,0))</f>
        <v>2</v>
      </c>
      <c r="U3515" s="2" t="n">
        <f aca="false">INDEX(Summary!$Q$2:$Q$201,MATCH($B3515,Summary!$A$2:$A$201,0))</f>
        <v>13.7</v>
      </c>
      <c r="V3515" s="2" t="n">
        <f aca="false">INDEX(Summary!$R$2:$R$201,MATCH($B3515,Summary!$A$2:$A$201,0))</f>
        <v>19.87</v>
      </c>
      <c r="W3515" s="0" t="str">
        <f aca="false">INDEX(Summary!$S$2:$S$201,MATCH($B3515,Summary!$A$2:$A$201,0))</f>
        <v>Bronze</v>
      </c>
      <c r="X3515" s="2" t="n">
        <f aca="false">INDEX(Summary!$T$2:$T$201,MATCH($B3515,Summary!$A$2:$A$201,0))</f>
        <v>48.46</v>
      </c>
      <c r="Y3515" s="0" t="str">
        <f aca="false">INDEX('Reward Model'!$E$18:$E$37,MATCH($E3515,'Reward Model'!$A$18:$A$37,0))</f>
        <v>Medium</v>
      </c>
      <c r="Z3515" s="4" t="n">
        <f aca="false">ROUND(MIN(1,MAX('Reward Model'!$B$2,INDEX('Reward Model'!$C$12:$C$14,MATCH($K3515,'Reward Model'!$A$12:$A$14,0))/$J3515)),3)</f>
        <v>0.849</v>
      </c>
      <c r="AA3515" s="2" t="n">
        <f aca="false">IF($I3515="Correct",ROUND(INDEX('Reward Model'!$B$12:$B$14,MATCH($K3515,'Reward Model'!$A$12:$A$14,0))*Z3515,2),0)</f>
        <v>0</v>
      </c>
      <c r="AB3515" s="2" t="n">
        <f aca="false">IF($I3515="Correct",ROUND(INDEX('Reward Model'!$B$12:$B$14,MATCH($Y3515,'Reward Model'!$A$12:$A$14,0))*Z3515,2),0)</f>
        <v>0</v>
      </c>
    </row>
    <row r="3516" customFormat="false" ht="15" hidden="false" customHeight="false" outlineLevel="0" collapsed="false">
      <c r="A3516" s="0" t="s">
        <v>482</v>
      </c>
      <c r="B3516" s="0" t="s">
        <v>483</v>
      </c>
      <c r="C3516" s="0" t="s">
        <v>322</v>
      </c>
      <c r="D3516" s="0" t="s">
        <v>189</v>
      </c>
      <c r="E3516" s="0" t="n">
        <v>15</v>
      </c>
      <c r="F3516" s="0" t="s">
        <v>69</v>
      </c>
      <c r="G3516" s="0" t="s">
        <v>131</v>
      </c>
      <c r="H3516" s="0" t="s">
        <v>70</v>
      </c>
      <c r="I3516" s="0" t="s">
        <v>39</v>
      </c>
      <c r="J3516" s="0" t="n">
        <v>1.75</v>
      </c>
      <c r="K3516" s="0" t="s">
        <v>60</v>
      </c>
      <c r="L3516" s="0" t="n">
        <f aca="false">INDEX(Summary!$F$2:$F$201,MATCH($B3516,Summary!$A$2:$A$201,0))</f>
        <v>20</v>
      </c>
      <c r="M3516" s="0" t="n">
        <f aca="false">INDEX(Summary!$I$2:$I$201,MATCH($B3516,Summary!$A$2:$A$201,0))</f>
        <v>3</v>
      </c>
      <c r="N3516" s="0" t="n">
        <f aca="false">INDEX(Summary!$J$2:$J$201,MATCH($B3516,Summary!$A$2:$A$201,0))</f>
        <v>2</v>
      </c>
      <c r="O3516" s="2" t="n">
        <f aca="false">INDEX(Summary!$K$2:$K$201,MATCH($B3516,Summary!$A$2:$A$201,0))</f>
        <v>11.05</v>
      </c>
      <c r="P3516" s="3" t="n">
        <f aca="false">INDEX(Summary!$L$2:$L$201,MATCH($B3516,Summary!$A$2:$A$201,0))</f>
        <v>1</v>
      </c>
      <c r="Q3516" s="3" t="n">
        <f aca="false">INDEX(Summary!$M$2:$M$201,MATCH($B3516,Summary!$A$2:$A$201,0))</f>
        <v>5</v>
      </c>
      <c r="R3516" s="2" t="n">
        <f aca="false">INDEX(Summary!$N$2:$N$201,MATCH($B3516,Summary!$A$2:$A$201,0))</f>
        <v>9.8</v>
      </c>
      <c r="S3516" s="3" t="n">
        <f aca="false">INDEX(Summary!$O$2:$O$201,MATCH($B3516,Summary!$A$2:$A$201,0))</f>
        <v>7</v>
      </c>
      <c r="T3516" s="3" t="n">
        <f aca="false">INDEX(Summary!$P$2:$P$201,MATCH($B3516,Summary!$A$2:$A$201,0))</f>
        <v>2</v>
      </c>
      <c r="U3516" s="2" t="n">
        <f aca="false">INDEX(Summary!$Q$2:$Q$201,MATCH($B3516,Summary!$A$2:$A$201,0))</f>
        <v>13.7</v>
      </c>
      <c r="V3516" s="2" t="n">
        <f aca="false">INDEX(Summary!$R$2:$R$201,MATCH($B3516,Summary!$A$2:$A$201,0))</f>
        <v>19.87</v>
      </c>
      <c r="W3516" s="0" t="str">
        <f aca="false">INDEX(Summary!$S$2:$S$201,MATCH($B3516,Summary!$A$2:$A$201,0))</f>
        <v>Bronze</v>
      </c>
      <c r="X3516" s="2" t="n">
        <f aca="false">INDEX(Summary!$T$2:$T$201,MATCH($B3516,Summary!$A$2:$A$201,0))</f>
        <v>48.46</v>
      </c>
      <c r="Y3516" s="0" t="str">
        <f aca="false">INDEX('Reward Model'!$E$18:$E$37,MATCH($E3516,'Reward Model'!$A$18:$A$37,0))</f>
        <v>Medium</v>
      </c>
      <c r="Z3516" s="4" t="n">
        <f aca="false">ROUND(MIN(1,MAX('Reward Model'!$B$2,INDEX('Reward Model'!$C$12:$C$14,MATCH($K3516,'Reward Model'!$A$12:$A$14,0))/$J3516)),3)</f>
        <v>1</v>
      </c>
      <c r="AA3516" s="2" t="n">
        <f aca="false">IF($I3516="Correct",ROUND(INDEX('Reward Model'!$B$12:$B$14,MATCH($K3516,'Reward Model'!$A$12:$A$14,0))*Z3516,2),0)</f>
        <v>0</v>
      </c>
      <c r="AB3516" s="2" t="n">
        <f aca="false">IF($I3516="Correct",ROUND(INDEX('Reward Model'!$B$12:$B$14,MATCH($Y3516,'Reward Model'!$A$12:$A$14,0))*Z3516,2),0)</f>
        <v>0</v>
      </c>
    </row>
    <row r="3517" customFormat="false" ht="15" hidden="false" customHeight="false" outlineLevel="0" collapsed="false">
      <c r="A3517" s="0" t="s">
        <v>482</v>
      </c>
      <c r="B3517" s="0" t="s">
        <v>483</v>
      </c>
      <c r="C3517" s="0" t="s">
        <v>322</v>
      </c>
      <c r="D3517" s="0" t="s">
        <v>189</v>
      </c>
      <c r="E3517" s="0" t="n">
        <v>16</v>
      </c>
      <c r="F3517" s="0" t="s">
        <v>71</v>
      </c>
      <c r="G3517" s="0" t="s">
        <v>72</v>
      </c>
      <c r="H3517" s="0" t="s">
        <v>72</v>
      </c>
      <c r="I3517" s="0" t="s">
        <v>34</v>
      </c>
      <c r="J3517" s="0" t="n">
        <v>2.46</v>
      </c>
      <c r="K3517" s="0" t="s">
        <v>73</v>
      </c>
      <c r="L3517" s="0" t="n">
        <f aca="false">INDEX(Summary!$F$2:$F$201,MATCH($B3517,Summary!$A$2:$A$201,0))</f>
        <v>20</v>
      </c>
      <c r="M3517" s="0" t="n">
        <f aca="false">INDEX(Summary!$I$2:$I$201,MATCH($B3517,Summary!$A$2:$A$201,0))</f>
        <v>3</v>
      </c>
      <c r="N3517" s="0" t="n">
        <f aca="false">INDEX(Summary!$J$2:$J$201,MATCH($B3517,Summary!$A$2:$A$201,0))</f>
        <v>2</v>
      </c>
      <c r="O3517" s="2" t="n">
        <f aca="false">INDEX(Summary!$K$2:$K$201,MATCH($B3517,Summary!$A$2:$A$201,0))</f>
        <v>11.05</v>
      </c>
      <c r="P3517" s="3" t="n">
        <f aca="false">INDEX(Summary!$L$2:$L$201,MATCH($B3517,Summary!$A$2:$A$201,0))</f>
        <v>1</v>
      </c>
      <c r="Q3517" s="3" t="n">
        <f aca="false">INDEX(Summary!$M$2:$M$201,MATCH($B3517,Summary!$A$2:$A$201,0))</f>
        <v>5</v>
      </c>
      <c r="R3517" s="2" t="n">
        <f aca="false">INDEX(Summary!$N$2:$N$201,MATCH($B3517,Summary!$A$2:$A$201,0))</f>
        <v>9.8</v>
      </c>
      <c r="S3517" s="3" t="n">
        <f aca="false">INDEX(Summary!$O$2:$O$201,MATCH($B3517,Summary!$A$2:$A$201,0))</f>
        <v>7</v>
      </c>
      <c r="T3517" s="3" t="n">
        <f aca="false">INDEX(Summary!$P$2:$P$201,MATCH($B3517,Summary!$A$2:$A$201,0))</f>
        <v>2</v>
      </c>
      <c r="U3517" s="2" t="n">
        <f aca="false">INDEX(Summary!$Q$2:$Q$201,MATCH($B3517,Summary!$A$2:$A$201,0))</f>
        <v>13.7</v>
      </c>
      <c r="V3517" s="2" t="n">
        <f aca="false">INDEX(Summary!$R$2:$R$201,MATCH($B3517,Summary!$A$2:$A$201,0))</f>
        <v>19.87</v>
      </c>
      <c r="W3517" s="0" t="str">
        <f aca="false">INDEX(Summary!$S$2:$S$201,MATCH($B3517,Summary!$A$2:$A$201,0))</f>
        <v>Bronze</v>
      </c>
      <c r="X3517" s="2" t="n">
        <f aca="false">INDEX(Summary!$T$2:$T$201,MATCH($B3517,Summary!$A$2:$A$201,0))</f>
        <v>48.46</v>
      </c>
      <c r="Y3517" s="0" t="str">
        <f aca="false">INDEX('Reward Model'!$E$18:$E$37,MATCH($E3517,'Reward Model'!$A$18:$A$37,0))</f>
        <v>High</v>
      </c>
      <c r="Z3517" s="4" t="n">
        <f aca="false">ROUND(MIN(1,MAX('Reward Model'!$B$2,INDEX('Reward Model'!$C$12:$C$14,MATCH($K3517,'Reward Model'!$A$12:$A$14,0))/$J3517)),3)</f>
        <v>0.813</v>
      </c>
      <c r="AA3517" s="2" t="n">
        <f aca="false">IF($I3517="Correct",ROUND(INDEX('Reward Model'!$B$12:$B$14,MATCH($K3517,'Reward Model'!$A$12:$A$14,0))*Z3517,2),0)</f>
        <v>2.44</v>
      </c>
      <c r="AB3517" s="2" t="n">
        <f aca="false">IF($I3517="Correct",ROUND(INDEX('Reward Model'!$B$12:$B$14,MATCH($Y3517,'Reward Model'!$A$12:$A$14,0))*Z3517,2),0)</f>
        <v>2.44</v>
      </c>
    </row>
    <row r="3518" customFormat="false" ht="15" hidden="false" customHeight="false" outlineLevel="0" collapsed="false">
      <c r="A3518" s="0" t="s">
        <v>482</v>
      </c>
      <c r="B3518" s="0" t="s">
        <v>483</v>
      </c>
      <c r="C3518" s="0" t="s">
        <v>322</v>
      </c>
      <c r="D3518" s="0" t="s">
        <v>189</v>
      </c>
      <c r="E3518" s="0" t="n">
        <v>17</v>
      </c>
      <c r="F3518" s="0" t="s">
        <v>74</v>
      </c>
      <c r="G3518" s="0" t="s">
        <v>113</v>
      </c>
      <c r="H3518" s="0" t="s">
        <v>75</v>
      </c>
      <c r="I3518" s="0" t="s">
        <v>39</v>
      </c>
      <c r="J3518" s="0" t="n">
        <v>2.27</v>
      </c>
      <c r="K3518" s="0" t="s">
        <v>73</v>
      </c>
      <c r="L3518" s="0" t="n">
        <f aca="false">INDEX(Summary!$F$2:$F$201,MATCH($B3518,Summary!$A$2:$A$201,0))</f>
        <v>20</v>
      </c>
      <c r="M3518" s="0" t="n">
        <f aca="false">INDEX(Summary!$I$2:$I$201,MATCH($B3518,Summary!$A$2:$A$201,0))</f>
        <v>3</v>
      </c>
      <c r="N3518" s="0" t="n">
        <f aca="false">INDEX(Summary!$J$2:$J$201,MATCH($B3518,Summary!$A$2:$A$201,0))</f>
        <v>2</v>
      </c>
      <c r="O3518" s="2" t="n">
        <f aca="false">INDEX(Summary!$K$2:$K$201,MATCH($B3518,Summary!$A$2:$A$201,0))</f>
        <v>11.05</v>
      </c>
      <c r="P3518" s="3" t="n">
        <f aca="false">INDEX(Summary!$L$2:$L$201,MATCH($B3518,Summary!$A$2:$A$201,0))</f>
        <v>1</v>
      </c>
      <c r="Q3518" s="3" t="n">
        <f aca="false">INDEX(Summary!$M$2:$M$201,MATCH($B3518,Summary!$A$2:$A$201,0))</f>
        <v>5</v>
      </c>
      <c r="R3518" s="2" t="n">
        <f aca="false">INDEX(Summary!$N$2:$N$201,MATCH($B3518,Summary!$A$2:$A$201,0))</f>
        <v>9.8</v>
      </c>
      <c r="S3518" s="3" t="n">
        <f aca="false">INDEX(Summary!$O$2:$O$201,MATCH($B3518,Summary!$A$2:$A$201,0))</f>
        <v>7</v>
      </c>
      <c r="T3518" s="3" t="n">
        <f aca="false">INDEX(Summary!$P$2:$P$201,MATCH($B3518,Summary!$A$2:$A$201,0))</f>
        <v>2</v>
      </c>
      <c r="U3518" s="2" t="n">
        <f aca="false">INDEX(Summary!$Q$2:$Q$201,MATCH($B3518,Summary!$A$2:$A$201,0))</f>
        <v>13.7</v>
      </c>
      <c r="V3518" s="2" t="n">
        <f aca="false">INDEX(Summary!$R$2:$R$201,MATCH($B3518,Summary!$A$2:$A$201,0))</f>
        <v>19.87</v>
      </c>
      <c r="W3518" s="0" t="str">
        <f aca="false">INDEX(Summary!$S$2:$S$201,MATCH($B3518,Summary!$A$2:$A$201,0))</f>
        <v>Bronze</v>
      </c>
      <c r="X3518" s="2" t="n">
        <f aca="false">INDEX(Summary!$T$2:$T$201,MATCH($B3518,Summary!$A$2:$A$201,0))</f>
        <v>48.46</v>
      </c>
      <c r="Y3518" s="0" t="str">
        <f aca="false">INDEX('Reward Model'!$E$18:$E$37,MATCH($E3518,'Reward Model'!$A$18:$A$37,0))</f>
        <v>High</v>
      </c>
      <c r="Z3518" s="4" t="n">
        <f aca="false">ROUND(MIN(1,MAX('Reward Model'!$B$2,INDEX('Reward Model'!$C$12:$C$14,MATCH($K3518,'Reward Model'!$A$12:$A$14,0))/$J3518)),3)</f>
        <v>0.881</v>
      </c>
      <c r="AA3518" s="2" t="n">
        <f aca="false">IF($I3518="Correct",ROUND(INDEX('Reward Model'!$B$12:$B$14,MATCH($K3518,'Reward Model'!$A$12:$A$14,0))*Z3518,2),0)</f>
        <v>0</v>
      </c>
      <c r="AB3518" s="2" t="n">
        <f aca="false">IF($I3518="Correct",ROUND(INDEX('Reward Model'!$B$12:$B$14,MATCH($Y3518,'Reward Model'!$A$12:$A$14,0))*Z3518,2),0)</f>
        <v>0</v>
      </c>
    </row>
    <row r="3519" customFormat="false" ht="15" hidden="false" customHeight="false" outlineLevel="0" collapsed="false">
      <c r="A3519" s="0" t="s">
        <v>482</v>
      </c>
      <c r="B3519" s="0" t="s">
        <v>483</v>
      </c>
      <c r="C3519" s="0" t="s">
        <v>322</v>
      </c>
      <c r="D3519" s="0" t="s">
        <v>189</v>
      </c>
      <c r="E3519" s="0" t="n">
        <v>18</v>
      </c>
      <c r="F3519" s="0" t="s">
        <v>76</v>
      </c>
      <c r="G3519" s="0" t="s">
        <v>77</v>
      </c>
      <c r="H3519" s="0" t="s">
        <v>77</v>
      </c>
      <c r="I3519" s="0" t="s">
        <v>34</v>
      </c>
      <c r="J3519" s="0" t="n">
        <v>2.51</v>
      </c>
      <c r="K3519" s="0" t="s">
        <v>73</v>
      </c>
      <c r="L3519" s="0" t="n">
        <f aca="false">INDEX(Summary!$F$2:$F$201,MATCH($B3519,Summary!$A$2:$A$201,0))</f>
        <v>20</v>
      </c>
      <c r="M3519" s="0" t="n">
        <f aca="false">INDEX(Summary!$I$2:$I$201,MATCH($B3519,Summary!$A$2:$A$201,0))</f>
        <v>3</v>
      </c>
      <c r="N3519" s="0" t="n">
        <f aca="false">INDEX(Summary!$J$2:$J$201,MATCH($B3519,Summary!$A$2:$A$201,0))</f>
        <v>2</v>
      </c>
      <c r="O3519" s="2" t="n">
        <f aca="false">INDEX(Summary!$K$2:$K$201,MATCH($B3519,Summary!$A$2:$A$201,0))</f>
        <v>11.05</v>
      </c>
      <c r="P3519" s="3" t="n">
        <f aca="false">INDEX(Summary!$L$2:$L$201,MATCH($B3519,Summary!$A$2:$A$201,0))</f>
        <v>1</v>
      </c>
      <c r="Q3519" s="3" t="n">
        <f aca="false">INDEX(Summary!$M$2:$M$201,MATCH($B3519,Summary!$A$2:$A$201,0))</f>
        <v>5</v>
      </c>
      <c r="R3519" s="2" t="n">
        <f aca="false">INDEX(Summary!$N$2:$N$201,MATCH($B3519,Summary!$A$2:$A$201,0))</f>
        <v>9.8</v>
      </c>
      <c r="S3519" s="3" t="n">
        <f aca="false">INDEX(Summary!$O$2:$O$201,MATCH($B3519,Summary!$A$2:$A$201,0))</f>
        <v>7</v>
      </c>
      <c r="T3519" s="3" t="n">
        <f aca="false">INDEX(Summary!$P$2:$P$201,MATCH($B3519,Summary!$A$2:$A$201,0))</f>
        <v>2</v>
      </c>
      <c r="U3519" s="2" t="n">
        <f aca="false">INDEX(Summary!$Q$2:$Q$201,MATCH($B3519,Summary!$A$2:$A$201,0))</f>
        <v>13.7</v>
      </c>
      <c r="V3519" s="2" t="n">
        <f aca="false">INDEX(Summary!$R$2:$R$201,MATCH($B3519,Summary!$A$2:$A$201,0))</f>
        <v>19.87</v>
      </c>
      <c r="W3519" s="0" t="str">
        <f aca="false">INDEX(Summary!$S$2:$S$201,MATCH($B3519,Summary!$A$2:$A$201,0))</f>
        <v>Bronze</v>
      </c>
      <c r="X3519" s="2" t="n">
        <f aca="false">INDEX(Summary!$T$2:$T$201,MATCH($B3519,Summary!$A$2:$A$201,0))</f>
        <v>48.46</v>
      </c>
      <c r="Y3519" s="0" t="str">
        <f aca="false">INDEX('Reward Model'!$E$18:$E$37,MATCH($E3519,'Reward Model'!$A$18:$A$37,0))</f>
        <v>High</v>
      </c>
      <c r="Z3519" s="4" t="n">
        <f aca="false">ROUND(MIN(1,MAX('Reward Model'!$B$2,INDEX('Reward Model'!$C$12:$C$14,MATCH($K3519,'Reward Model'!$A$12:$A$14,0))/$J3519)),3)</f>
        <v>0.797</v>
      </c>
      <c r="AA3519" s="2" t="n">
        <f aca="false">IF($I3519="Correct",ROUND(INDEX('Reward Model'!$B$12:$B$14,MATCH($K3519,'Reward Model'!$A$12:$A$14,0))*Z3519,2),0)</f>
        <v>2.39</v>
      </c>
      <c r="AB3519" s="2" t="n">
        <f aca="false">IF($I3519="Correct",ROUND(INDEX('Reward Model'!$B$12:$B$14,MATCH($Y3519,'Reward Model'!$A$12:$A$14,0))*Z3519,2),0)</f>
        <v>2.39</v>
      </c>
    </row>
    <row r="3520" customFormat="false" ht="15" hidden="false" customHeight="false" outlineLevel="0" collapsed="false">
      <c r="A3520" s="0" t="s">
        <v>482</v>
      </c>
      <c r="B3520" s="0" t="s">
        <v>483</v>
      </c>
      <c r="C3520" s="0" t="s">
        <v>322</v>
      </c>
      <c r="D3520" s="0" t="s">
        <v>189</v>
      </c>
      <c r="E3520" s="0" t="n">
        <v>19</v>
      </c>
      <c r="F3520" s="0" t="s">
        <v>78</v>
      </c>
      <c r="G3520" s="0" t="s">
        <v>51</v>
      </c>
      <c r="H3520" s="0" t="s">
        <v>80</v>
      </c>
      <c r="I3520" s="0" t="s">
        <v>39</v>
      </c>
      <c r="J3520" s="0" t="n">
        <v>1.8</v>
      </c>
      <c r="K3520" s="0" t="s">
        <v>73</v>
      </c>
      <c r="L3520" s="0" t="n">
        <f aca="false">INDEX(Summary!$F$2:$F$201,MATCH($B3520,Summary!$A$2:$A$201,0))</f>
        <v>20</v>
      </c>
      <c r="M3520" s="0" t="n">
        <f aca="false">INDEX(Summary!$I$2:$I$201,MATCH($B3520,Summary!$A$2:$A$201,0))</f>
        <v>3</v>
      </c>
      <c r="N3520" s="0" t="n">
        <f aca="false">INDEX(Summary!$J$2:$J$201,MATCH($B3520,Summary!$A$2:$A$201,0))</f>
        <v>2</v>
      </c>
      <c r="O3520" s="2" t="n">
        <f aca="false">INDEX(Summary!$K$2:$K$201,MATCH($B3520,Summary!$A$2:$A$201,0))</f>
        <v>11.05</v>
      </c>
      <c r="P3520" s="3" t="n">
        <f aca="false">INDEX(Summary!$L$2:$L$201,MATCH($B3520,Summary!$A$2:$A$201,0))</f>
        <v>1</v>
      </c>
      <c r="Q3520" s="3" t="n">
        <f aca="false">INDEX(Summary!$M$2:$M$201,MATCH($B3520,Summary!$A$2:$A$201,0))</f>
        <v>5</v>
      </c>
      <c r="R3520" s="2" t="n">
        <f aca="false">INDEX(Summary!$N$2:$N$201,MATCH($B3520,Summary!$A$2:$A$201,0))</f>
        <v>9.8</v>
      </c>
      <c r="S3520" s="3" t="n">
        <f aca="false">INDEX(Summary!$O$2:$O$201,MATCH($B3520,Summary!$A$2:$A$201,0))</f>
        <v>7</v>
      </c>
      <c r="T3520" s="3" t="n">
        <f aca="false">INDEX(Summary!$P$2:$P$201,MATCH($B3520,Summary!$A$2:$A$201,0))</f>
        <v>2</v>
      </c>
      <c r="U3520" s="2" t="n">
        <f aca="false">INDEX(Summary!$Q$2:$Q$201,MATCH($B3520,Summary!$A$2:$A$201,0))</f>
        <v>13.7</v>
      </c>
      <c r="V3520" s="2" t="n">
        <f aca="false">INDEX(Summary!$R$2:$R$201,MATCH($B3520,Summary!$A$2:$A$201,0))</f>
        <v>19.87</v>
      </c>
      <c r="W3520" s="0" t="str">
        <f aca="false">INDEX(Summary!$S$2:$S$201,MATCH($B3520,Summary!$A$2:$A$201,0))</f>
        <v>Bronze</v>
      </c>
      <c r="X3520" s="2" t="n">
        <f aca="false">INDEX(Summary!$T$2:$T$201,MATCH($B3520,Summary!$A$2:$A$201,0))</f>
        <v>48.46</v>
      </c>
      <c r="Y3520" s="0" t="str">
        <f aca="false">INDEX('Reward Model'!$E$18:$E$37,MATCH($E3520,'Reward Model'!$A$18:$A$37,0))</f>
        <v>High</v>
      </c>
      <c r="Z3520" s="4" t="n">
        <f aca="false">ROUND(MIN(1,MAX('Reward Model'!$B$2,INDEX('Reward Model'!$C$12:$C$14,MATCH($K3520,'Reward Model'!$A$12:$A$14,0))/$J3520)),3)</f>
        <v>1</v>
      </c>
      <c r="AA3520" s="2" t="n">
        <f aca="false">IF($I3520="Correct",ROUND(INDEX('Reward Model'!$B$12:$B$14,MATCH($K3520,'Reward Model'!$A$12:$A$14,0))*Z3520,2),0)</f>
        <v>0</v>
      </c>
      <c r="AB3520" s="2" t="n">
        <f aca="false">IF($I3520="Correct",ROUND(INDEX('Reward Model'!$B$12:$B$14,MATCH($Y3520,'Reward Model'!$A$12:$A$14,0))*Z3520,2),0)</f>
        <v>0</v>
      </c>
    </row>
    <row r="3521" customFormat="false" ht="15" hidden="false" customHeight="false" outlineLevel="0" collapsed="false">
      <c r="A3521" s="0" t="s">
        <v>482</v>
      </c>
      <c r="B3521" s="0" t="s">
        <v>483</v>
      </c>
      <c r="C3521" s="0" t="s">
        <v>322</v>
      </c>
      <c r="D3521" s="0" t="s">
        <v>189</v>
      </c>
      <c r="E3521" s="0" t="n">
        <v>20</v>
      </c>
      <c r="F3521" s="0" t="s">
        <v>81</v>
      </c>
      <c r="G3521" s="0" t="s">
        <v>83</v>
      </c>
      <c r="H3521" s="0" t="s">
        <v>83</v>
      </c>
      <c r="I3521" s="0" t="s">
        <v>34</v>
      </c>
      <c r="J3521" s="0" t="n">
        <v>2.01</v>
      </c>
      <c r="K3521" s="0" t="s">
        <v>73</v>
      </c>
      <c r="L3521" s="0" t="n">
        <f aca="false">INDEX(Summary!$F$2:$F$201,MATCH($B3521,Summary!$A$2:$A$201,0))</f>
        <v>20</v>
      </c>
      <c r="M3521" s="0" t="n">
        <f aca="false">INDEX(Summary!$I$2:$I$201,MATCH($B3521,Summary!$A$2:$A$201,0))</f>
        <v>3</v>
      </c>
      <c r="N3521" s="0" t="n">
        <f aca="false">INDEX(Summary!$J$2:$J$201,MATCH($B3521,Summary!$A$2:$A$201,0))</f>
        <v>2</v>
      </c>
      <c r="O3521" s="2" t="n">
        <f aca="false">INDEX(Summary!$K$2:$K$201,MATCH($B3521,Summary!$A$2:$A$201,0))</f>
        <v>11.05</v>
      </c>
      <c r="P3521" s="3" t="n">
        <f aca="false">INDEX(Summary!$L$2:$L$201,MATCH($B3521,Summary!$A$2:$A$201,0))</f>
        <v>1</v>
      </c>
      <c r="Q3521" s="3" t="n">
        <f aca="false">INDEX(Summary!$M$2:$M$201,MATCH($B3521,Summary!$A$2:$A$201,0))</f>
        <v>5</v>
      </c>
      <c r="R3521" s="2" t="n">
        <f aca="false">INDEX(Summary!$N$2:$N$201,MATCH($B3521,Summary!$A$2:$A$201,0))</f>
        <v>9.8</v>
      </c>
      <c r="S3521" s="3" t="n">
        <f aca="false">INDEX(Summary!$O$2:$O$201,MATCH($B3521,Summary!$A$2:$A$201,0))</f>
        <v>7</v>
      </c>
      <c r="T3521" s="3" t="n">
        <f aca="false">INDEX(Summary!$P$2:$P$201,MATCH($B3521,Summary!$A$2:$A$201,0))</f>
        <v>2</v>
      </c>
      <c r="U3521" s="2" t="n">
        <f aca="false">INDEX(Summary!$Q$2:$Q$201,MATCH($B3521,Summary!$A$2:$A$201,0))</f>
        <v>13.7</v>
      </c>
      <c r="V3521" s="2" t="n">
        <f aca="false">INDEX(Summary!$R$2:$R$201,MATCH($B3521,Summary!$A$2:$A$201,0))</f>
        <v>19.87</v>
      </c>
      <c r="W3521" s="0" t="str">
        <f aca="false">INDEX(Summary!$S$2:$S$201,MATCH($B3521,Summary!$A$2:$A$201,0))</f>
        <v>Bronze</v>
      </c>
      <c r="X3521" s="2" t="n">
        <f aca="false">INDEX(Summary!$T$2:$T$201,MATCH($B3521,Summary!$A$2:$A$201,0))</f>
        <v>48.46</v>
      </c>
      <c r="Y3521" s="0" t="str">
        <f aca="false">INDEX('Reward Model'!$E$18:$E$37,MATCH($E3521,'Reward Model'!$A$18:$A$37,0))</f>
        <v>High</v>
      </c>
      <c r="Z3521" s="4" t="n">
        <f aca="false">ROUND(MIN(1,MAX('Reward Model'!$B$2,INDEX('Reward Model'!$C$12:$C$14,MATCH($K3521,'Reward Model'!$A$12:$A$14,0))/$J3521)),3)</f>
        <v>0.995</v>
      </c>
      <c r="AA3521" s="2" t="n">
        <f aca="false">IF($I3521="Correct",ROUND(INDEX('Reward Model'!$B$12:$B$14,MATCH($K3521,'Reward Model'!$A$12:$A$14,0))*Z3521,2),0)</f>
        <v>2.99</v>
      </c>
      <c r="AB3521" s="2" t="n">
        <f aca="false">IF($I3521="Correct",ROUND(INDEX('Reward Model'!$B$12:$B$14,MATCH($Y3521,'Reward Model'!$A$12:$A$14,0))*Z3521,2),0)</f>
        <v>2.99</v>
      </c>
    </row>
    <row r="3522" customFormat="false" ht="15" hidden="false" customHeight="false" outlineLevel="0" collapsed="false">
      <c r="A3522" s="0" t="s">
        <v>484</v>
      </c>
      <c r="B3522" s="0" t="s">
        <v>485</v>
      </c>
      <c r="C3522" s="0" t="s">
        <v>322</v>
      </c>
      <c r="D3522" s="0" t="s">
        <v>275</v>
      </c>
      <c r="E3522" s="0" t="n">
        <v>1</v>
      </c>
      <c r="F3522" s="0" t="s">
        <v>32</v>
      </c>
      <c r="G3522" s="0" t="s">
        <v>33</v>
      </c>
      <c r="H3522" s="0" t="s">
        <v>33</v>
      </c>
      <c r="I3522" s="0" t="s">
        <v>34</v>
      </c>
      <c r="J3522" s="0" t="n">
        <v>1.2</v>
      </c>
      <c r="K3522" s="0" t="s">
        <v>35</v>
      </c>
      <c r="L3522" s="0" t="n">
        <f aca="false">INDEX(Summary!$F$2:$F$201,MATCH($B3522,Summary!$A$2:$A$201,0))</f>
        <v>20</v>
      </c>
      <c r="M3522" s="0" t="n">
        <f aca="false">INDEX(Summary!$I$2:$I$201,MATCH($B3522,Summary!$A$2:$A$201,0))</f>
        <v>2</v>
      </c>
      <c r="N3522" s="0" t="n">
        <f aca="false">INDEX(Summary!$J$2:$J$201,MATCH($B3522,Summary!$A$2:$A$201,0))</f>
        <v>3</v>
      </c>
      <c r="O3522" s="2" t="n">
        <f aca="false">INDEX(Summary!$K$2:$K$201,MATCH($B3522,Summary!$A$2:$A$201,0))</f>
        <v>9.02</v>
      </c>
      <c r="P3522" s="3" t="n">
        <f aca="false">INDEX(Summary!$L$2:$L$201,MATCH($B3522,Summary!$A$2:$A$201,0))</f>
        <v>3</v>
      </c>
      <c r="Q3522" s="3" t="n">
        <f aca="false">INDEX(Summary!$M$2:$M$201,MATCH($B3522,Summary!$A$2:$A$201,0))</f>
        <v>3</v>
      </c>
      <c r="R3522" s="2" t="n">
        <f aca="false">INDEX(Summary!$N$2:$N$201,MATCH($B3522,Summary!$A$2:$A$201,0))</f>
        <v>10.34</v>
      </c>
      <c r="S3522" s="3" t="n">
        <f aca="false">INDEX(Summary!$O$2:$O$201,MATCH($B3522,Summary!$A$2:$A$201,0))</f>
        <v>7</v>
      </c>
      <c r="T3522" s="3" t="n">
        <f aca="false">INDEX(Summary!$P$2:$P$201,MATCH($B3522,Summary!$A$2:$A$201,0))</f>
        <v>2</v>
      </c>
      <c r="U3522" s="2" t="n">
        <f aca="false">INDEX(Summary!$Q$2:$Q$201,MATCH($B3522,Summary!$A$2:$A$201,0))</f>
        <v>13.15</v>
      </c>
      <c r="V3522" s="2" t="n">
        <f aca="false">INDEX(Summary!$R$2:$R$201,MATCH($B3522,Summary!$A$2:$A$201,0))</f>
        <v>21.33</v>
      </c>
      <c r="W3522" s="0" t="str">
        <f aca="false">INDEX(Summary!$S$2:$S$201,MATCH($B3522,Summary!$A$2:$A$201,0))</f>
        <v>Silver</v>
      </c>
      <c r="X3522" s="2" t="n">
        <f aca="false">INDEX(Summary!$T$2:$T$201,MATCH($B3522,Summary!$A$2:$A$201,0))</f>
        <v>52.02</v>
      </c>
      <c r="Y3522" s="0" t="str">
        <f aca="false">INDEX('Reward Model'!$E$18:$E$37,MATCH($E3522,'Reward Model'!$A$18:$A$37,0))</f>
        <v>Medium</v>
      </c>
      <c r="Z3522" s="4" t="n">
        <f aca="false">ROUND(MIN(1,MAX('Reward Model'!$B$2,INDEX('Reward Model'!$C$12:$C$14,MATCH($K3522,'Reward Model'!$A$12:$A$14,0))/$J3522)),3)</f>
        <v>1</v>
      </c>
      <c r="AA3522" s="2" t="n">
        <f aca="false">IF($I3522="Correct",ROUND(INDEX('Reward Model'!$B$12:$B$14,MATCH($K3522,'Reward Model'!$A$12:$A$14,0))*Z3522,2),0)</f>
        <v>1</v>
      </c>
      <c r="AB3522" s="2" t="n">
        <f aca="false">IF($I3522="Correct",ROUND(INDEX('Reward Model'!$B$12:$B$14,MATCH($Y3522,'Reward Model'!$A$12:$A$14,0))*Z3522,2),0)</f>
        <v>2</v>
      </c>
    </row>
    <row r="3523" customFormat="false" ht="15" hidden="false" customHeight="false" outlineLevel="0" collapsed="false">
      <c r="A3523" s="0" t="s">
        <v>484</v>
      </c>
      <c r="B3523" s="0" t="s">
        <v>485</v>
      </c>
      <c r="C3523" s="0" t="s">
        <v>322</v>
      </c>
      <c r="D3523" s="0" t="s">
        <v>275</v>
      </c>
      <c r="E3523" s="0" t="n">
        <v>2</v>
      </c>
      <c r="F3523" s="0" t="s">
        <v>36</v>
      </c>
      <c r="G3523" s="0" t="s">
        <v>38</v>
      </c>
      <c r="H3523" s="0" t="s">
        <v>38</v>
      </c>
      <c r="I3523" s="0" t="s">
        <v>34</v>
      </c>
      <c r="J3523" s="0" t="n">
        <v>0.91</v>
      </c>
      <c r="K3523" s="0" t="s">
        <v>35</v>
      </c>
      <c r="L3523" s="0" t="n">
        <f aca="false">INDEX(Summary!$F$2:$F$201,MATCH($B3523,Summary!$A$2:$A$201,0))</f>
        <v>20</v>
      </c>
      <c r="M3523" s="0" t="n">
        <f aca="false">INDEX(Summary!$I$2:$I$201,MATCH($B3523,Summary!$A$2:$A$201,0))</f>
        <v>2</v>
      </c>
      <c r="N3523" s="0" t="n">
        <f aca="false">INDEX(Summary!$J$2:$J$201,MATCH($B3523,Summary!$A$2:$A$201,0))</f>
        <v>3</v>
      </c>
      <c r="O3523" s="2" t="n">
        <f aca="false">INDEX(Summary!$K$2:$K$201,MATCH($B3523,Summary!$A$2:$A$201,0))</f>
        <v>9.02</v>
      </c>
      <c r="P3523" s="3" t="n">
        <f aca="false">INDEX(Summary!$L$2:$L$201,MATCH($B3523,Summary!$A$2:$A$201,0))</f>
        <v>3</v>
      </c>
      <c r="Q3523" s="3" t="n">
        <f aca="false">INDEX(Summary!$M$2:$M$201,MATCH($B3523,Summary!$A$2:$A$201,0))</f>
        <v>3</v>
      </c>
      <c r="R3523" s="2" t="n">
        <f aca="false">INDEX(Summary!$N$2:$N$201,MATCH($B3523,Summary!$A$2:$A$201,0))</f>
        <v>10.34</v>
      </c>
      <c r="S3523" s="3" t="n">
        <f aca="false">INDEX(Summary!$O$2:$O$201,MATCH($B3523,Summary!$A$2:$A$201,0))</f>
        <v>7</v>
      </c>
      <c r="T3523" s="3" t="n">
        <f aca="false">INDEX(Summary!$P$2:$P$201,MATCH($B3523,Summary!$A$2:$A$201,0))</f>
        <v>2</v>
      </c>
      <c r="U3523" s="2" t="n">
        <f aca="false">INDEX(Summary!$Q$2:$Q$201,MATCH($B3523,Summary!$A$2:$A$201,0))</f>
        <v>13.15</v>
      </c>
      <c r="V3523" s="2" t="n">
        <f aca="false">INDEX(Summary!$R$2:$R$201,MATCH($B3523,Summary!$A$2:$A$201,0))</f>
        <v>21.33</v>
      </c>
      <c r="W3523" s="0" t="str">
        <f aca="false">INDEX(Summary!$S$2:$S$201,MATCH($B3523,Summary!$A$2:$A$201,0))</f>
        <v>Silver</v>
      </c>
      <c r="X3523" s="2" t="n">
        <f aca="false">INDEX(Summary!$T$2:$T$201,MATCH($B3523,Summary!$A$2:$A$201,0))</f>
        <v>52.02</v>
      </c>
      <c r="Y3523" s="0" t="str">
        <f aca="false">INDEX('Reward Model'!$E$18:$E$37,MATCH($E3523,'Reward Model'!$A$18:$A$37,0))</f>
        <v>Low</v>
      </c>
      <c r="Z3523" s="4" t="n">
        <f aca="false">ROUND(MIN(1,MAX('Reward Model'!$B$2,INDEX('Reward Model'!$C$12:$C$14,MATCH($K3523,'Reward Model'!$A$12:$A$14,0))/$J3523)),3)</f>
        <v>1</v>
      </c>
      <c r="AA3523" s="2" t="n">
        <f aca="false">IF($I3523="Correct",ROUND(INDEX('Reward Model'!$B$12:$B$14,MATCH($K3523,'Reward Model'!$A$12:$A$14,0))*Z3523,2),0)</f>
        <v>1</v>
      </c>
      <c r="AB3523" s="2" t="n">
        <f aca="false">IF($I3523="Correct",ROUND(INDEX('Reward Model'!$B$12:$B$14,MATCH($Y3523,'Reward Model'!$A$12:$A$14,0))*Z3523,2),0)</f>
        <v>1</v>
      </c>
    </row>
    <row r="3524" customFormat="false" ht="15" hidden="false" customHeight="false" outlineLevel="0" collapsed="false">
      <c r="A3524" s="0" t="s">
        <v>484</v>
      </c>
      <c r="B3524" s="0" t="s">
        <v>485</v>
      </c>
      <c r="C3524" s="0" t="s">
        <v>322</v>
      </c>
      <c r="D3524" s="0" t="s">
        <v>275</v>
      </c>
      <c r="E3524" s="0" t="n">
        <v>3</v>
      </c>
      <c r="F3524" s="0" t="s">
        <v>40</v>
      </c>
      <c r="G3524" s="0" t="s">
        <v>42</v>
      </c>
      <c r="H3524" s="0" t="s">
        <v>42</v>
      </c>
      <c r="I3524" s="0" t="s">
        <v>34</v>
      </c>
      <c r="J3524" s="0" t="n">
        <v>1.91</v>
      </c>
      <c r="K3524" s="0" t="s">
        <v>35</v>
      </c>
      <c r="L3524" s="0" t="n">
        <f aca="false">INDEX(Summary!$F$2:$F$201,MATCH($B3524,Summary!$A$2:$A$201,0))</f>
        <v>20</v>
      </c>
      <c r="M3524" s="0" t="n">
        <f aca="false">INDEX(Summary!$I$2:$I$201,MATCH($B3524,Summary!$A$2:$A$201,0))</f>
        <v>2</v>
      </c>
      <c r="N3524" s="0" t="n">
        <f aca="false">INDEX(Summary!$J$2:$J$201,MATCH($B3524,Summary!$A$2:$A$201,0))</f>
        <v>3</v>
      </c>
      <c r="O3524" s="2" t="n">
        <f aca="false">INDEX(Summary!$K$2:$K$201,MATCH($B3524,Summary!$A$2:$A$201,0))</f>
        <v>9.02</v>
      </c>
      <c r="P3524" s="3" t="n">
        <f aca="false">INDEX(Summary!$L$2:$L$201,MATCH($B3524,Summary!$A$2:$A$201,0))</f>
        <v>3</v>
      </c>
      <c r="Q3524" s="3" t="n">
        <f aca="false">INDEX(Summary!$M$2:$M$201,MATCH($B3524,Summary!$A$2:$A$201,0))</f>
        <v>3</v>
      </c>
      <c r="R3524" s="2" t="n">
        <f aca="false">INDEX(Summary!$N$2:$N$201,MATCH($B3524,Summary!$A$2:$A$201,0))</f>
        <v>10.34</v>
      </c>
      <c r="S3524" s="3" t="n">
        <f aca="false">INDEX(Summary!$O$2:$O$201,MATCH($B3524,Summary!$A$2:$A$201,0))</f>
        <v>7</v>
      </c>
      <c r="T3524" s="3" t="n">
        <f aca="false">INDEX(Summary!$P$2:$P$201,MATCH($B3524,Summary!$A$2:$A$201,0))</f>
        <v>2</v>
      </c>
      <c r="U3524" s="2" t="n">
        <f aca="false">INDEX(Summary!$Q$2:$Q$201,MATCH($B3524,Summary!$A$2:$A$201,0))</f>
        <v>13.15</v>
      </c>
      <c r="V3524" s="2" t="n">
        <f aca="false">INDEX(Summary!$R$2:$R$201,MATCH($B3524,Summary!$A$2:$A$201,0))</f>
        <v>21.33</v>
      </c>
      <c r="W3524" s="0" t="str">
        <f aca="false">INDEX(Summary!$S$2:$S$201,MATCH($B3524,Summary!$A$2:$A$201,0))</f>
        <v>Silver</v>
      </c>
      <c r="X3524" s="2" t="n">
        <f aca="false">INDEX(Summary!$T$2:$T$201,MATCH($B3524,Summary!$A$2:$A$201,0))</f>
        <v>52.02</v>
      </c>
      <c r="Y3524" s="0" t="str">
        <f aca="false">INDEX('Reward Model'!$E$18:$E$37,MATCH($E3524,'Reward Model'!$A$18:$A$37,0))</f>
        <v>Medium</v>
      </c>
      <c r="Z3524" s="4" t="n">
        <f aca="false">ROUND(MIN(1,MAX('Reward Model'!$B$2,INDEX('Reward Model'!$C$12:$C$14,MATCH($K3524,'Reward Model'!$A$12:$A$14,0))/$J3524)),3)</f>
        <v>0.785</v>
      </c>
      <c r="AA3524" s="2" t="n">
        <f aca="false">IF($I3524="Correct",ROUND(INDEX('Reward Model'!$B$12:$B$14,MATCH($K3524,'Reward Model'!$A$12:$A$14,0))*Z3524,2),0)</f>
        <v>0.79</v>
      </c>
      <c r="AB3524" s="2" t="n">
        <f aca="false">IF($I3524="Correct",ROUND(INDEX('Reward Model'!$B$12:$B$14,MATCH($Y3524,'Reward Model'!$A$12:$A$14,0))*Z3524,2),0)</f>
        <v>1.57</v>
      </c>
    </row>
    <row r="3525" customFormat="false" ht="15" hidden="false" customHeight="false" outlineLevel="0" collapsed="false">
      <c r="A3525" s="0" t="s">
        <v>484</v>
      </c>
      <c r="B3525" s="0" t="s">
        <v>485</v>
      </c>
      <c r="C3525" s="0" t="s">
        <v>322</v>
      </c>
      <c r="D3525" s="0" t="s">
        <v>275</v>
      </c>
      <c r="E3525" s="0" t="n">
        <v>4</v>
      </c>
      <c r="F3525" s="0" t="s">
        <v>43</v>
      </c>
      <c r="G3525" s="0" t="s">
        <v>155</v>
      </c>
      <c r="H3525" s="0" t="s">
        <v>45</v>
      </c>
      <c r="I3525" s="0" t="s">
        <v>39</v>
      </c>
      <c r="J3525" s="0" t="n">
        <v>1.92</v>
      </c>
      <c r="K3525" s="0" t="s">
        <v>35</v>
      </c>
      <c r="L3525" s="0" t="n">
        <f aca="false">INDEX(Summary!$F$2:$F$201,MATCH($B3525,Summary!$A$2:$A$201,0))</f>
        <v>20</v>
      </c>
      <c r="M3525" s="0" t="n">
        <f aca="false">INDEX(Summary!$I$2:$I$201,MATCH($B3525,Summary!$A$2:$A$201,0))</f>
        <v>2</v>
      </c>
      <c r="N3525" s="0" t="n">
        <f aca="false">INDEX(Summary!$J$2:$J$201,MATCH($B3525,Summary!$A$2:$A$201,0))</f>
        <v>3</v>
      </c>
      <c r="O3525" s="2" t="n">
        <f aca="false">INDEX(Summary!$K$2:$K$201,MATCH($B3525,Summary!$A$2:$A$201,0))</f>
        <v>9.02</v>
      </c>
      <c r="P3525" s="3" t="n">
        <f aca="false">INDEX(Summary!$L$2:$L$201,MATCH($B3525,Summary!$A$2:$A$201,0))</f>
        <v>3</v>
      </c>
      <c r="Q3525" s="3" t="n">
        <f aca="false">INDEX(Summary!$M$2:$M$201,MATCH($B3525,Summary!$A$2:$A$201,0))</f>
        <v>3</v>
      </c>
      <c r="R3525" s="2" t="n">
        <f aca="false">INDEX(Summary!$N$2:$N$201,MATCH($B3525,Summary!$A$2:$A$201,0))</f>
        <v>10.34</v>
      </c>
      <c r="S3525" s="3" t="n">
        <f aca="false">INDEX(Summary!$O$2:$O$201,MATCH($B3525,Summary!$A$2:$A$201,0))</f>
        <v>7</v>
      </c>
      <c r="T3525" s="3" t="n">
        <f aca="false">INDEX(Summary!$P$2:$P$201,MATCH($B3525,Summary!$A$2:$A$201,0))</f>
        <v>2</v>
      </c>
      <c r="U3525" s="2" t="n">
        <f aca="false">INDEX(Summary!$Q$2:$Q$201,MATCH($B3525,Summary!$A$2:$A$201,0))</f>
        <v>13.15</v>
      </c>
      <c r="V3525" s="2" t="n">
        <f aca="false">INDEX(Summary!$R$2:$R$201,MATCH($B3525,Summary!$A$2:$A$201,0))</f>
        <v>21.33</v>
      </c>
      <c r="W3525" s="0" t="str">
        <f aca="false">INDEX(Summary!$S$2:$S$201,MATCH($B3525,Summary!$A$2:$A$201,0))</f>
        <v>Silver</v>
      </c>
      <c r="X3525" s="2" t="n">
        <f aca="false">INDEX(Summary!$T$2:$T$201,MATCH($B3525,Summary!$A$2:$A$201,0))</f>
        <v>52.02</v>
      </c>
      <c r="Y3525" s="0" t="str">
        <f aca="false">INDEX('Reward Model'!$E$18:$E$37,MATCH($E3525,'Reward Model'!$A$18:$A$37,0))</f>
        <v>Low</v>
      </c>
      <c r="Z3525" s="4" t="n">
        <f aca="false">ROUND(MIN(1,MAX('Reward Model'!$B$2,INDEX('Reward Model'!$C$12:$C$14,MATCH($K3525,'Reward Model'!$A$12:$A$14,0))/$J3525)),3)</f>
        <v>0.781</v>
      </c>
      <c r="AA3525" s="2" t="n">
        <f aca="false">IF($I3525="Correct",ROUND(INDEX('Reward Model'!$B$12:$B$14,MATCH($K3525,'Reward Model'!$A$12:$A$14,0))*Z3525,2),0)</f>
        <v>0</v>
      </c>
      <c r="AB3525" s="2" t="n">
        <f aca="false">IF($I3525="Correct",ROUND(INDEX('Reward Model'!$B$12:$B$14,MATCH($Y3525,'Reward Model'!$A$12:$A$14,0))*Z3525,2),0)</f>
        <v>0</v>
      </c>
    </row>
    <row r="3526" customFormat="false" ht="15" hidden="false" customHeight="false" outlineLevel="0" collapsed="false">
      <c r="A3526" s="0" t="s">
        <v>484</v>
      </c>
      <c r="B3526" s="0" t="s">
        <v>485</v>
      </c>
      <c r="C3526" s="0" t="s">
        <v>322</v>
      </c>
      <c r="D3526" s="0" t="s">
        <v>275</v>
      </c>
      <c r="E3526" s="0" t="n">
        <v>5</v>
      </c>
      <c r="F3526" s="0" t="s">
        <v>46</v>
      </c>
      <c r="G3526" s="0" t="s">
        <v>47</v>
      </c>
      <c r="H3526" s="0" t="s">
        <v>47</v>
      </c>
      <c r="I3526" s="0" t="s">
        <v>34</v>
      </c>
      <c r="J3526" s="0" t="n">
        <v>1.98</v>
      </c>
      <c r="K3526" s="0" t="s">
        <v>35</v>
      </c>
      <c r="L3526" s="0" t="n">
        <f aca="false">INDEX(Summary!$F$2:$F$201,MATCH($B3526,Summary!$A$2:$A$201,0))</f>
        <v>20</v>
      </c>
      <c r="M3526" s="0" t="n">
        <f aca="false">INDEX(Summary!$I$2:$I$201,MATCH($B3526,Summary!$A$2:$A$201,0))</f>
        <v>2</v>
      </c>
      <c r="N3526" s="0" t="n">
        <f aca="false">INDEX(Summary!$J$2:$J$201,MATCH($B3526,Summary!$A$2:$A$201,0))</f>
        <v>3</v>
      </c>
      <c r="O3526" s="2" t="n">
        <f aca="false">INDEX(Summary!$K$2:$K$201,MATCH($B3526,Summary!$A$2:$A$201,0))</f>
        <v>9.02</v>
      </c>
      <c r="P3526" s="3" t="n">
        <f aca="false">INDEX(Summary!$L$2:$L$201,MATCH($B3526,Summary!$A$2:$A$201,0))</f>
        <v>3</v>
      </c>
      <c r="Q3526" s="3" t="n">
        <f aca="false">INDEX(Summary!$M$2:$M$201,MATCH($B3526,Summary!$A$2:$A$201,0))</f>
        <v>3</v>
      </c>
      <c r="R3526" s="2" t="n">
        <f aca="false">INDEX(Summary!$N$2:$N$201,MATCH($B3526,Summary!$A$2:$A$201,0))</f>
        <v>10.34</v>
      </c>
      <c r="S3526" s="3" t="n">
        <f aca="false">INDEX(Summary!$O$2:$O$201,MATCH($B3526,Summary!$A$2:$A$201,0))</f>
        <v>7</v>
      </c>
      <c r="T3526" s="3" t="n">
        <f aca="false">INDEX(Summary!$P$2:$P$201,MATCH($B3526,Summary!$A$2:$A$201,0))</f>
        <v>2</v>
      </c>
      <c r="U3526" s="2" t="n">
        <f aca="false">INDEX(Summary!$Q$2:$Q$201,MATCH($B3526,Summary!$A$2:$A$201,0))</f>
        <v>13.15</v>
      </c>
      <c r="V3526" s="2" t="n">
        <f aca="false">INDEX(Summary!$R$2:$R$201,MATCH($B3526,Summary!$A$2:$A$201,0))</f>
        <v>21.33</v>
      </c>
      <c r="W3526" s="0" t="str">
        <f aca="false">INDEX(Summary!$S$2:$S$201,MATCH($B3526,Summary!$A$2:$A$201,0))</f>
        <v>Silver</v>
      </c>
      <c r="X3526" s="2" t="n">
        <f aca="false">INDEX(Summary!$T$2:$T$201,MATCH($B3526,Summary!$A$2:$A$201,0))</f>
        <v>52.02</v>
      </c>
      <c r="Y3526" s="0" t="str">
        <f aca="false">INDEX('Reward Model'!$E$18:$E$37,MATCH($E3526,'Reward Model'!$A$18:$A$37,0))</f>
        <v>Low</v>
      </c>
      <c r="Z3526" s="4" t="n">
        <f aca="false">ROUND(MIN(1,MAX('Reward Model'!$B$2,INDEX('Reward Model'!$C$12:$C$14,MATCH($K3526,'Reward Model'!$A$12:$A$14,0))/$J3526)),3)</f>
        <v>0.758</v>
      </c>
      <c r="AA3526" s="2" t="n">
        <f aca="false">IF($I3526="Correct",ROUND(INDEX('Reward Model'!$B$12:$B$14,MATCH($K3526,'Reward Model'!$A$12:$A$14,0))*Z3526,2),0)</f>
        <v>0.76</v>
      </c>
      <c r="AB3526" s="2" t="n">
        <f aca="false">IF($I3526="Correct",ROUND(INDEX('Reward Model'!$B$12:$B$14,MATCH($Y3526,'Reward Model'!$A$12:$A$14,0))*Z3526,2),0)</f>
        <v>0.76</v>
      </c>
    </row>
    <row r="3527" customFormat="false" ht="15" hidden="false" customHeight="false" outlineLevel="0" collapsed="false">
      <c r="A3527" s="0" t="s">
        <v>484</v>
      </c>
      <c r="B3527" s="0" t="s">
        <v>485</v>
      </c>
      <c r="C3527" s="0" t="s">
        <v>322</v>
      </c>
      <c r="D3527" s="0" t="s">
        <v>275</v>
      </c>
      <c r="E3527" s="0" t="n">
        <v>6</v>
      </c>
      <c r="F3527" s="0" t="s">
        <v>48</v>
      </c>
      <c r="G3527" s="0" t="s">
        <v>49</v>
      </c>
      <c r="H3527" s="0" t="s">
        <v>49</v>
      </c>
      <c r="I3527" s="0" t="s">
        <v>34</v>
      </c>
      <c r="J3527" s="0" t="n">
        <v>1.2</v>
      </c>
      <c r="K3527" s="0" t="s">
        <v>35</v>
      </c>
      <c r="L3527" s="0" t="n">
        <f aca="false">INDEX(Summary!$F$2:$F$201,MATCH($B3527,Summary!$A$2:$A$201,0))</f>
        <v>20</v>
      </c>
      <c r="M3527" s="0" t="n">
        <f aca="false">INDEX(Summary!$I$2:$I$201,MATCH($B3527,Summary!$A$2:$A$201,0))</f>
        <v>2</v>
      </c>
      <c r="N3527" s="0" t="n">
        <f aca="false">INDEX(Summary!$J$2:$J$201,MATCH($B3527,Summary!$A$2:$A$201,0))</f>
        <v>3</v>
      </c>
      <c r="O3527" s="2" t="n">
        <f aca="false">INDEX(Summary!$K$2:$K$201,MATCH($B3527,Summary!$A$2:$A$201,0))</f>
        <v>9.02</v>
      </c>
      <c r="P3527" s="3" t="n">
        <f aca="false">INDEX(Summary!$L$2:$L$201,MATCH($B3527,Summary!$A$2:$A$201,0))</f>
        <v>3</v>
      </c>
      <c r="Q3527" s="3" t="n">
        <f aca="false">INDEX(Summary!$M$2:$M$201,MATCH($B3527,Summary!$A$2:$A$201,0))</f>
        <v>3</v>
      </c>
      <c r="R3527" s="2" t="n">
        <f aca="false">INDEX(Summary!$N$2:$N$201,MATCH($B3527,Summary!$A$2:$A$201,0))</f>
        <v>10.34</v>
      </c>
      <c r="S3527" s="3" t="n">
        <f aca="false">INDEX(Summary!$O$2:$O$201,MATCH($B3527,Summary!$A$2:$A$201,0))</f>
        <v>7</v>
      </c>
      <c r="T3527" s="3" t="n">
        <f aca="false">INDEX(Summary!$P$2:$P$201,MATCH($B3527,Summary!$A$2:$A$201,0))</f>
        <v>2</v>
      </c>
      <c r="U3527" s="2" t="n">
        <f aca="false">INDEX(Summary!$Q$2:$Q$201,MATCH($B3527,Summary!$A$2:$A$201,0))</f>
        <v>13.15</v>
      </c>
      <c r="V3527" s="2" t="n">
        <f aca="false">INDEX(Summary!$R$2:$R$201,MATCH($B3527,Summary!$A$2:$A$201,0))</f>
        <v>21.33</v>
      </c>
      <c r="W3527" s="0" t="str">
        <f aca="false">INDEX(Summary!$S$2:$S$201,MATCH($B3527,Summary!$A$2:$A$201,0))</f>
        <v>Silver</v>
      </c>
      <c r="X3527" s="2" t="n">
        <f aca="false">INDEX(Summary!$T$2:$T$201,MATCH($B3527,Summary!$A$2:$A$201,0))</f>
        <v>52.02</v>
      </c>
      <c r="Y3527" s="0" t="str">
        <f aca="false">INDEX('Reward Model'!$E$18:$E$37,MATCH($E3527,'Reward Model'!$A$18:$A$37,0))</f>
        <v>Medium</v>
      </c>
      <c r="Z3527" s="4" t="n">
        <f aca="false">ROUND(MIN(1,MAX('Reward Model'!$B$2,INDEX('Reward Model'!$C$12:$C$14,MATCH($K3527,'Reward Model'!$A$12:$A$14,0))/$J3527)),3)</f>
        <v>1</v>
      </c>
      <c r="AA3527" s="2" t="n">
        <f aca="false">IF($I3527="Correct",ROUND(INDEX('Reward Model'!$B$12:$B$14,MATCH($K3527,'Reward Model'!$A$12:$A$14,0))*Z3527,2),0)</f>
        <v>1</v>
      </c>
      <c r="AB3527" s="2" t="n">
        <f aca="false">IF($I3527="Correct",ROUND(INDEX('Reward Model'!$B$12:$B$14,MATCH($Y3527,'Reward Model'!$A$12:$A$14,0))*Z3527,2),0)</f>
        <v>2</v>
      </c>
    </row>
    <row r="3528" customFormat="false" ht="15" hidden="false" customHeight="false" outlineLevel="0" collapsed="false">
      <c r="A3528" s="0" t="s">
        <v>484</v>
      </c>
      <c r="B3528" s="0" t="s">
        <v>485</v>
      </c>
      <c r="C3528" s="0" t="s">
        <v>322</v>
      </c>
      <c r="D3528" s="0" t="s">
        <v>275</v>
      </c>
      <c r="E3528" s="0" t="n">
        <v>7</v>
      </c>
      <c r="F3528" s="0" t="s">
        <v>50</v>
      </c>
      <c r="G3528" s="0" t="s">
        <v>51</v>
      </c>
      <c r="H3528" s="0" t="s">
        <v>51</v>
      </c>
      <c r="I3528" s="0" t="s">
        <v>34</v>
      </c>
      <c r="J3528" s="0" t="n">
        <v>0.98</v>
      </c>
      <c r="K3528" s="0" t="s">
        <v>35</v>
      </c>
      <c r="L3528" s="0" t="n">
        <f aca="false">INDEX(Summary!$F$2:$F$201,MATCH($B3528,Summary!$A$2:$A$201,0))</f>
        <v>20</v>
      </c>
      <c r="M3528" s="0" t="n">
        <f aca="false">INDEX(Summary!$I$2:$I$201,MATCH($B3528,Summary!$A$2:$A$201,0))</f>
        <v>2</v>
      </c>
      <c r="N3528" s="0" t="n">
        <f aca="false">INDEX(Summary!$J$2:$J$201,MATCH($B3528,Summary!$A$2:$A$201,0))</f>
        <v>3</v>
      </c>
      <c r="O3528" s="2" t="n">
        <f aca="false">INDEX(Summary!$K$2:$K$201,MATCH($B3528,Summary!$A$2:$A$201,0))</f>
        <v>9.02</v>
      </c>
      <c r="P3528" s="3" t="n">
        <f aca="false">INDEX(Summary!$L$2:$L$201,MATCH($B3528,Summary!$A$2:$A$201,0))</f>
        <v>3</v>
      </c>
      <c r="Q3528" s="3" t="n">
        <f aca="false">INDEX(Summary!$M$2:$M$201,MATCH($B3528,Summary!$A$2:$A$201,0))</f>
        <v>3</v>
      </c>
      <c r="R3528" s="2" t="n">
        <f aca="false">INDEX(Summary!$N$2:$N$201,MATCH($B3528,Summary!$A$2:$A$201,0))</f>
        <v>10.34</v>
      </c>
      <c r="S3528" s="3" t="n">
        <f aca="false">INDEX(Summary!$O$2:$O$201,MATCH($B3528,Summary!$A$2:$A$201,0))</f>
        <v>7</v>
      </c>
      <c r="T3528" s="3" t="n">
        <f aca="false">INDEX(Summary!$P$2:$P$201,MATCH($B3528,Summary!$A$2:$A$201,0))</f>
        <v>2</v>
      </c>
      <c r="U3528" s="2" t="n">
        <f aca="false">INDEX(Summary!$Q$2:$Q$201,MATCH($B3528,Summary!$A$2:$A$201,0))</f>
        <v>13.15</v>
      </c>
      <c r="V3528" s="2" t="n">
        <f aca="false">INDEX(Summary!$R$2:$R$201,MATCH($B3528,Summary!$A$2:$A$201,0))</f>
        <v>21.33</v>
      </c>
      <c r="W3528" s="0" t="str">
        <f aca="false">INDEX(Summary!$S$2:$S$201,MATCH($B3528,Summary!$A$2:$A$201,0))</f>
        <v>Silver</v>
      </c>
      <c r="X3528" s="2" t="n">
        <f aca="false">INDEX(Summary!$T$2:$T$201,MATCH($B3528,Summary!$A$2:$A$201,0))</f>
        <v>52.02</v>
      </c>
      <c r="Y3528" s="0" t="str">
        <f aca="false">INDEX('Reward Model'!$E$18:$E$37,MATCH($E3528,'Reward Model'!$A$18:$A$37,0))</f>
        <v>Low</v>
      </c>
      <c r="Z3528" s="4" t="n">
        <f aca="false">ROUND(MIN(1,MAX('Reward Model'!$B$2,INDEX('Reward Model'!$C$12:$C$14,MATCH($K3528,'Reward Model'!$A$12:$A$14,0))/$J3528)),3)</f>
        <v>1</v>
      </c>
      <c r="AA3528" s="2" t="n">
        <f aca="false">IF($I3528="Correct",ROUND(INDEX('Reward Model'!$B$12:$B$14,MATCH($K3528,'Reward Model'!$A$12:$A$14,0))*Z3528,2),0)</f>
        <v>1</v>
      </c>
      <c r="AB3528" s="2" t="n">
        <f aca="false">IF($I3528="Correct",ROUND(INDEX('Reward Model'!$B$12:$B$14,MATCH($Y3528,'Reward Model'!$A$12:$A$14,0))*Z3528,2),0)</f>
        <v>1</v>
      </c>
    </row>
    <row r="3529" customFormat="false" ht="15" hidden="false" customHeight="false" outlineLevel="0" collapsed="false">
      <c r="A3529" s="0" t="s">
        <v>484</v>
      </c>
      <c r="B3529" s="0" t="s">
        <v>485</v>
      </c>
      <c r="C3529" s="0" t="s">
        <v>322</v>
      </c>
      <c r="D3529" s="0" t="s">
        <v>275</v>
      </c>
      <c r="E3529" s="0" t="n">
        <v>8</v>
      </c>
      <c r="F3529" s="0" t="s">
        <v>52</v>
      </c>
      <c r="G3529" s="0" t="s">
        <v>93</v>
      </c>
      <c r="H3529" s="0" t="s">
        <v>54</v>
      </c>
      <c r="I3529" s="0" t="s">
        <v>39</v>
      </c>
      <c r="J3529" s="0" t="n">
        <v>1.07</v>
      </c>
      <c r="K3529" s="0" t="s">
        <v>35</v>
      </c>
      <c r="L3529" s="0" t="n">
        <f aca="false">INDEX(Summary!$F$2:$F$201,MATCH($B3529,Summary!$A$2:$A$201,0))</f>
        <v>20</v>
      </c>
      <c r="M3529" s="0" t="n">
        <f aca="false">INDEX(Summary!$I$2:$I$201,MATCH($B3529,Summary!$A$2:$A$201,0))</f>
        <v>2</v>
      </c>
      <c r="N3529" s="0" t="n">
        <f aca="false">INDEX(Summary!$J$2:$J$201,MATCH($B3529,Summary!$A$2:$A$201,0))</f>
        <v>3</v>
      </c>
      <c r="O3529" s="2" t="n">
        <f aca="false">INDEX(Summary!$K$2:$K$201,MATCH($B3529,Summary!$A$2:$A$201,0))</f>
        <v>9.02</v>
      </c>
      <c r="P3529" s="3" t="n">
        <f aca="false">INDEX(Summary!$L$2:$L$201,MATCH($B3529,Summary!$A$2:$A$201,0))</f>
        <v>3</v>
      </c>
      <c r="Q3529" s="3" t="n">
        <f aca="false">INDEX(Summary!$M$2:$M$201,MATCH($B3529,Summary!$A$2:$A$201,0))</f>
        <v>3</v>
      </c>
      <c r="R3529" s="2" t="n">
        <f aca="false">INDEX(Summary!$N$2:$N$201,MATCH($B3529,Summary!$A$2:$A$201,0))</f>
        <v>10.34</v>
      </c>
      <c r="S3529" s="3" t="n">
        <f aca="false">INDEX(Summary!$O$2:$O$201,MATCH($B3529,Summary!$A$2:$A$201,0))</f>
        <v>7</v>
      </c>
      <c r="T3529" s="3" t="n">
        <f aca="false">INDEX(Summary!$P$2:$P$201,MATCH($B3529,Summary!$A$2:$A$201,0))</f>
        <v>2</v>
      </c>
      <c r="U3529" s="2" t="n">
        <f aca="false">INDEX(Summary!$Q$2:$Q$201,MATCH($B3529,Summary!$A$2:$A$201,0))</f>
        <v>13.15</v>
      </c>
      <c r="V3529" s="2" t="n">
        <f aca="false">INDEX(Summary!$R$2:$R$201,MATCH($B3529,Summary!$A$2:$A$201,0))</f>
        <v>21.33</v>
      </c>
      <c r="W3529" s="0" t="str">
        <f aca="false">INDEX(Summary!$S$2:$S$201,MATCH($B3529,Summary!$A$2:$A$201,0))</f>
        <v>Silver</v>
      </c>
      <c r="X3529" s="2" t="n">
        <f aca="false">INDEX(Summary!$T$2:$T$201,MATCH($B3529,Summary!$A$2:$A$201,0))</f>
        <v>52.02</v>
      </c>
      <c r="Y3529" s="0" t="str">
        <f aca="false">INDEX('Reward Model'!$E$18:$E$37,MATCH($E3529,'Reward Model'!$A$18:$A$37,0))</f>
        <v>Medium</v>
      </c>
      <c r="Z3529" s="4" t="n">
        <f aca="false">ROUND(MIN(1,MAX('Reward Model'!$B$2,INDEX('Reward Model'!$C$12:$C$14,MATCH($K3529,'Reward Model'!$A$12:$A$14,0))/$J3529)),3)</f>
        <v>1</v>
      </c>
      <c r="AA3529" s="2" t="n">
        <f aca="false">IF($I3529="Correct",ROUND(INDEX('Reward Model'!$B$12:$B$14,MATCH($K3529,'Reward Model'!$A$12:$A$14,0))*Z3529,2),0)</f>
        <v>0</v>
      </c>
      <c r="AB3529" s="2" t="n">
        <f aca="false">IF($I3529="Correct",ROUND(INDEX('Reward Model'!$B$12:$B$14,MATCH($Y3529,'Reward Model'!$A$12:$A$14,0))*Z3529,2),0)</f>
        <v>0</v>
      </c>
    </row>
    <row r="3530" customFormat="false" ht="15" hidden="false" customHeight="false" outlineLevel="0" collapsed="false">
      <c r="A3530" s="0" t="s">
        <v>484</v>
      </c>
      <c r="B3530" s="0" t="s">
        <v>485</v>
      </c>
      <c r="C3530" s="0" t="s">
        <v>322</v>
      </c>
      <c r="D3530" s="0" t="s">
        <v>275</v>
      </c>
      <c r="E3530" s="0" t="n">
        <v>9</v>
      </c>
      <c r="F3530" s="0" t="s">
        <v>55</v>
      </c>
      <c r="G3530" s="0" t="s">
        <v>57</v>
      </c>
      <c r="H3530" s="0" t="s">
        <v>57</v>
      </c>
      <c r="I3530" s="0" t="s">
        <v>34</v>
      </c>
      <c r="J3530" s="0" t="n">
        <v>1.98</v>
      </c>
      <c r="K3530" s="0" t="s">
        <v>35</v>
      </c>
      <c r="L3530" s="0" t="n">
        <f aca="false">INDEX(Summary!$F$2:$F$201,MATCH($B3530,Summary!$A$2:$A$201,0))</f>
        <v>20</v>
      </c>
      <c r="M3530" s="0" t="n">
        <f aca="false">INDEX(Summary!$I$2:$I$201,MATCH($B3530,Summary!$A$2:$A$201,0))</f>
        <v>2</v>
      </c>
      <c r="N3530" s="0" t="n">
        <f aca="false">INDEX(Summary!$J$2:$J$201,MATCH($B3530,Summary!$A$2:$A$201,0))</f>
        <v>3</v>
      </c>
      <c r="O3530" s="2" t="n">
        <f aca="false">INDEX(Summary!$K$2:$K$201,MATCH($B3530,Summary!$A$2:$A$201,0))</f>
        <v>9.02</v>
      </c>
      <c r="P3530" s="3" t="n">
        <f aca="false">INDEX(Summary!$L$2:$L$201,MATCH($B3530,Summary!$A$2:$A$201,0))</f>
        <v>3</v>
      </c>
      <c r="Q3530" s="3" t="n">
        <f aca="false">INDEX(Summary!$M$2:$M$201,MATCH($B3530,Summary!$A$2:$A$201,0))</f>
        <v>3</v>
      </c>
      <c r="R3530" s="2" t="n">
        <f aca="false">INDEX(Summary!$N$2:$N$201,MATCH($B3530,Summary!$A$2:$A$201,0))</f>
        <v>10.34</v>
      </c>
      <c r="S3530" s="3" t="n">
        <f aca="false">INDEX(Summary!$O$2:$O$201,MATCH($B3530,Summary!$A$2:$A$201,0))</f>
        <v>7</v>
      </c>
      <c r="T3530" s="3" t="n">
        <f aca="false">INDEX(Summary!$P$2:$P$201,MATCH($B3530,Summary!$A$2:$A$201,0))</f>
        <v>2</v>
      </c>
      <c r="U3530" s="2" t="n">
        <f aca="false">INDEX(Summary!$Q$2:$Q$201,MATCH($B3530,Summary!$A$2:$A$201,0))</f>
        <v>13.15</v>
      </c>
      <c r="V3530" s="2" t="n">
        <f aca="false">INDEX(Summary!$R$2:$R$201,MATCH($B3530,Summary!$A$2:$A$201,0))</f>
        <v>21.33</v>
      </c>
      <c r="W3530" s="0" t="str">
        <f aca="false">INDEX(Summary!$S$2:$S$201,MATCH($B3530,Summary!$A$2:$A$201,0))</f>
        <v>Silver</v>
      </c>
      <c r="X3530" s="2" t="n">
        <f aca="false">INDEX(Summary!$T$2:$T$201,MATCH($B3530,Summary!$A$2:$A$201,0))</f>
        <v>52.02</v>
      </c>
      <c r="Y3530" s="0" t="str">
        <f aca="false">INDEX('Reward Model'!$E$18:$E$37,MATCH($E3530,'Reward Model'!$A$18:$A$37,0))</f>
        <v>Medium</v>
      </c>
      <c r="Z3530" s="4" t="n">
        <f aca="false">ROUND(MIN(1,MAX('Reward Model'!$B$2,INDEX('Reward Model'!$C$12:$C$14,MATCH($K3530,'Reward Model'!$A$12:$A$14,0))/$J3530)),3)</f>
        <v>0.758</v>
      </c>
      <c r="AA3530" s="2" t="n">
        <f aca="false">IF($I3530="Correct",ROUND(INDEX('Reward Model'!$B$12:$B$14,MATCH($K3530,'Reward Model'!$A$12:$A$14,0))*Z3530,2),0)</f>
        <v>0.76</v>
      </c>
      <c r="AB3530" s="2" t="n">
        <f aca="false">IF($I3530="Correct",ROUND(INDEX('Reward Model'!$B$12:$B$14,MATCH($Y3530,'Reward Model'!$A$12:$A$14,0))*Z3530,2),0)</f>
        <v>1.52</v>
      </c>
    </row>
    <row r="3531" customFormat="false" ht="15" hidden="false" customHeight="false" outlineLevel="0" collapsed="false">
      <c r="A3531" s="0" t="s">
        <v>484</v>
      </c>
      <c r="B3531" s="0" t="s">
        <v>485</v>
      </c>
      <c r="C3531" s="0" t="s">
        <v>322</v>
      </c>
      <c r="D3531" s="0" t="s">
        <v>275</v>
      </c>
      <c r="E3531" s="0" t="n">
        <v>10</v>
      </c>
      <c r="F3531" s="0" t="s">
        <v>58</v>
      </c>
      <c r="G3531" s="0" t="s">
        <v>99</v>
      </c>
      <c r="H3531" s="0" t="s">
        <v>59</v>
      </c>
      <c r="I3531" s="0" t="s">
        <v>39</v>
      </c>
      <c r="J3531" s="0" t="n">
        <v>1.9</v>
      </c>
      <c r="K3531" s="0" t="s">
        <v>60</v>
      </c>
      <c r="L3531" s="0" t="n">
        <f aca="false">INDEX(Summary!$F$2:$F$201,MATCH($B3531,Summary!$A$2:$A$201,0))</f>
        <v>20</v>
      </c>
      <c r="M3531" s="0" t="n">
        <f aca="false">INDEX(Summary!$I$2:$I$201,MATCH($B3531,Summary!$A$2:$A$201,0))</f>
        <v>2</v>
      </c>
      <c r="N3531" s="0" t="n">
        <f aca="false">INDEX(Summary!$J$2:$J$201,MATCH($B3531,Summary!$A$2:$A$201,0))</f>
        <v>3</v>
      </c>
      <c r="O3531" s="2" t="n">
        <f aca="false">INDEX(Summary!$K$2:$K$201,MATCH($B3531,Summary!$A$2:$A$201,0))</f>
        <v>9.02</v>
      </c>
      <c r="P3531" s="3" t="n">
        <f aca="false">INDEX(Summary!$L$2:$L$201,MATCH($B3531,Summary!$A$2:$A$201,0))</f>
        <v>3</v>
      </c>
      <c r="Q3531" s="3" t="n">
        <f aca="false">INDEX(Summary!$M$2:$M$201,MATCH($B3531,Summary!$A$2:$A$201,0))</f>
        <v>3</v>
      </c>
      <c r="R3531" s="2" t="n">
        <f aca="false">INDEX(Summary!$N$2:$N$201,MATCH($B3531,Summary!$A$2:$A$201,0))</f>
        <v>10.34</v>
      </c>
      <c r="S3531" s="3" t="n">
        <f aca="false">INDEX(Summary!$O$2:$O$201,MATCH($B3531,Summary!$A$2:$A$201,0))</f>
        <v>7</v>
      </c>
      <c r="T3531" s="3" t="n">
        <f aca="false">INDEX(Summary!$P$2:$P$201,MATCH($B3531,Summary!$A$2:$A$201,0))</f>
        <v>2</v>
      </c>
      <c r="U3531" s="2" t="n">
        <f aca="false">INDEX(Summary!$Q$2:$Q$201,MATCH($B3531,Summary!$A$2:$A$201,0))</f>
        <v>13.15</v>
      </c>
      <c r="V3531" s="2" t="n">
        <f aca="false">INDEX(Summary!$R$2:$R$201,MATCH($B3531,Summary!$A$2:$A$201,0))</f>
        <v>21.33</v>
      </c>
      <c r="W3531" s="0" t="str">
        <f aca="false">INDEX(Summary!$S$2:$S$201,MATCH($B3531,Summary!$A$2:$A$201,0))</f>
        <v>Silver</v>
      </c>
      <c r="X3531" s="2" t="n">
        <f aca="false">INDEX(Summary!$T$2:$T$201,MATCH($B3531,Summary!$A$2:$A$201,0))</f>
        <v>52.02</v>
      </c>
      <c r="Y3531" s="0" t="str">
        <f aca="false">INDEX('Reward Model'!$E$18:$E$37,MATCH($E3531,'Reward Model'!$A$18:$A$37,0))</f>
        <v>Medium</v>
      </c>
      <c r="Z3531" s="4" t="n">
        <f aca="false">ROUND(MIN(1,MAX('Reward Model'!$B$2,INDEX('Reward Model'!$C$12:$C$14,MATCH($K3531,'Reward Model'!$A$12:$A$14,0))/$J3531)),3)</f>
        <v>0.947</v>
      </c>
      <c r="AA3531" s="2" t="n">
        <f aca="false">IF($I3531="Correct",ROUND(INDEX('Reward Model'!$B$12:$B$14,MATCH($K3531,'Reward Model'!$A$12:$A$14,0))*Z3531,2),0)</f>
        <v>0</v>
      </c>
      <c r="AB3531" s="2" t="n">
        <f aca="false">IF($I3531="Correct",ROUND(INDEX('Reward Model'!$B$12:$B$14,MATCH($Y3531,'Reward Model'!$A$12:$A$14,0))*Z3531,2),0)</f>
        <v>0</v>
      </c>
    </row>
    <row r="3532" customFormat="false" ht="15" hidden="false" customHeight="false" outlineLevel="0" collapsed="false">
      <c r="A3532" s="0" t="s">
        <v>484</v>
      </c>
      <c r="B3532" s="0" t="s">
        <v>485</v>
      </c>
      <c r="C3532" s="0" t="s">
        <v>322</v>
      </c>
      <c r="D3532" s="0" t="s">
        <v>275</v>
      </c>
      <c r="E3532" s="0" t="n">
        <v>11</v>
      </c>
      <c r="F3532" s="0" t="s">
        <v>61</v>
      </c>
      <c r="G3532" s="0" t="s">
        <v>145</v>
      </c>
      <c r="H3532" s="0" t="s">
        <v>63</v>
      </c>
      <c r="I3532" s="0" t="s">
        <v>39</v>
      </c>
      <c r="J3532" s="0" t="n">
        <v>2.29</v>
      </c>
      <c r="K3532" s="0" t="s">
        <v>60</v>
      </c>
      <c r="L3532" s="0" t="n">
        <f aca="false">INDEX(Summary!$F$2:$F$201,MATCH($B3532,Summary!$A$2:$A$201,0))</f>
        <v>20</v>
      </c>
      <c r="M3532" s="0" t="n">
        <f aca="false">INDEX(Summary!$I$2:$I$201,MATCH($B3532,Summary!$A$2:$A$201,0))</f>
        <v>2</v>
      </c>
      <c r="N3532" s="0" t="n">
        <f aca="false">INDEX(Summary!$J$2:$J$201,MATCH($B3532,Summary!$A$2:$A$201,0))</f>
        <v>3</v>
      </c>
      <c r="O3532" s="2" t="n">
        <f aca="false">INDEX(Summary!$K$2:$K$201,MATCH($B3532,Summary!$A$2:$A$201,0))</f>
        <v>9.02</v>
      </c>
      <c r="P3532" s="3" t="n">
        <f aca="false">INDEX(Summary!$L$2:$L$201,MATCH($B3532,Summary!$A$2:$A$201,0))</f>
        <v>3</v>
      </c>
      <c r="Q3532" s="3" t="n">
        <f aca="false">INDEX(Summary!$M$2:$M$201,MATCH($B3532,Summary!$A$2:$A$201,0))</f>
        <v>3</v>
      </c>
      <c r="R3532" s="2" t="n">
        <f aca="false">INDEX(Summary!$N$2:$N$201,MATCH($B3532,Summary!$A$2:$A$201,0))</f>
        <v>10.34</v>
      </c>
      <c r="S3532" s="3" t="n">
        <f aca="false">INDEX(Summary!$O$2:$O$201,MATCH($B3532,Summary!$A$2:$A$201,0))</f>
        <v>7</v>
      </c>
      <c r="T3532" s="3" t="n">
        <f aca="false">INDEX(Summary!$P$2:$P$201,MATCH($B3532,Summary!$A$2:$A$201,0))</f>
        <v>2</v>
      </c>
      <c r="U3532" s="2" t="n">
        <f aca="false">INDEX(Summary!$Q$2:$Q$201,MATCH($B3532,Summary!$A$2:$A$201,0))</f>
        <v>13.15</v>
      </c>
      <c r="V3532" s="2" t="n">
        <f aca="false">INDEX(Summary!$R$2:$R$201,MATCH($B3532,Summary!$A$2:$A$201,0))</f>
        <v>21.33</v>
      </c>
      <c r="W3532" s="0" t="str">
        <f aca="false">INDEX(Summary!$S$2:$S$201,MATCH($B3532,Summary!$A$2:$A$201,0))</f>
        <v>Silver</v>
      </c>
      <c r="X3532" s="2" t="n">
        <f aca="false">INDEX(Summary!$T$2:$T$201,MATCH($B3532,Summary!$A$2:$A$201,0))</f>
        <v>52.02</v>
      </c>
      <c r="Y3532" s="0" t="str">
        <f aca="false">INDEX('Reward Model'!$E$18:$E$37,MATCH($E3532,'Reward Model'!$A$18:$A$37,0))</f>
        <v>Medium</v>
      </c>
      <c r="Z3532" s="4" t="n">
        <f aca="false">ROUND(MIN(1,MAX('Reward Model'!$B$2,INDEX('Reward Model'!$C$12:$C$14,MATCH($K3532,'Reward Model'!$A$12:$A$14,0))/$J3532)),3)</f>
        <v>0.786</v>
      </c>
      <c r="AA3532" s="2" t="n">
        <f aca="false">IF($I3532="Correct",ROUND(INDEX('Reward Model'!$B$12:$B$14,MATCH($K3532,'Reward Model'!$A$12:$A$14,0))*Z3532,2),0)</f>
        <v>0</v>
      </c>
      <c r="AB3532" s="2" t="n">
        <f aca="false">IF($I3532="Correct",ROUND(INDEX('Reward Model'!$B$12:$B$14,MATCH($Y3532,'Reward Model'!$A$12:$A$14,0))*Z3532,2),0)</f>
        <v>0</v>
      </c>
    </row>
    <row r="3533" customFormat="false" ht="15" hidden="false" customHeight="false" outlineLevel="0" collapsed="false">
      <c r="A3533" s="0" t="s">
        <v>484</v>
      </c>
      <c r="B3533" s="0" t="s">
        <v>485</v>
      </c>
      <c r="C3533" s="0" t="s">
        <v>322</v>
      </c>
      <c r="D3533" s="0" t="s">
        <v>275</v>
      </c>
      <c r="E3533" s="0" t="n">
        <v>12</v>
      </c>
      <c r="F3533" s="0" t="s">
        <v>64</v>
      </c>
      <c r="G3533" s="0" t="s">
        <v>127</v>
      </c>
      <c r="H3533" s="0" t="s">
        <v>65</v>
      </c>
      <c r="I3533" s="0" t="s">
        <v>39</v>
      </c>
      <c r="J3533" s="0" t="n">
        <v>1.42</v>
      </c>
      <c r="K3533" s="0" t="s">
        <v>60</v>
      </c>
      <c r="L3533" s="0" t="n">
        <f aca="false">INDEX(Summary!$F$2:$F$201,MATCH($B3533,Summary!$A$2:$A$201,0))</f>
        <v>20</v>
      </c>
      <c r="M3533" s="0" t="n">
        <f aca="false">INDEX(Summary!$I$2:$I$201,MATCH($B3533,Summary!$A$2:$A$201,0))</f>
        <v>2</v>
      </c>
      <c r="N3533" s="0" t="n">
        <f aca="false">INDEX(Summary!$J$2:$J$201,MATCH($B3533,Summary!$A$2:$A$201,0))</f>
        <v>3</v>
      </c>
      <c r="O3533" s="2" t="n">
        <f aca="false">INDEX(Summary!$K$2:$K$201,MATCH($B3533,Summary!$A$2:$A$201,0))</f>
        <v>9.02</v>
      </c>
      <c r="P3533" s="3" t="n">
        <f aca="false">INDEX(Summary!$L$2:$L$201,MATCH($B3533,Summary!$A$2:$A$201,0))</f>
        <v>3</v>
      </c>
      <c r="Q3533" s="3" t="n">
        <f aca="false">INDEX(Summary!$M$2:$M$201,MATCH($B3533,Summary!$A$2:$A$201,0))</f>
        <v>3</v>
      </c>
      <c r="R3533" s="2" t="n">
        <f aca="false">INDEX(Summary!$N$2:$N$201,MATCH($B3533,Summary!$A$2:$A$201,0))</f>
        <v>10.34</v>
      </c>
      <c r="S3533" s="3" t="n">
        <f aca="false">INDEX(Summary!$O$2:$O$201,MATCH($B3533,Summary!$A$2:$A$201,0))</f>
        <v>7</v>
      </c>
      <c r="T3533" s="3" t="n">
        <f aca="false">INDEX(Summary!$P$2:$P$201,MATCH($B3533,Summary!$A$2:$A$201,0))</f>
        <v>2</v>
      </c>
      <c r="U3533" s="2" t="n">
        <f aca="false">INDEX(Summary!$Q$2:$Q$201,MATCH($B3533,Summary!$A$2:$A$201,0))</f>
        <v>13.15</v>
      </c>
      <c r="V3533" s="2" t="n">
        <f aca="false">INDEX(Summary!$R$2:$R$201,MATCH($B3533,Summary!$A$2:$A$201,0))</f>
        <v>21.33</v>
      </c>
      <c r="W3533" s="0" t="str">
        <f aca="false">INDEX(Summary!$S$2:$S$201,MATCH($B3533,Summary!$A$2:$A$201,0))</f>
        <v>Silver</v>
      </c>
      <c r="X3533" s="2" t="n">
        <f aca="false">INDEX(Summary!$T$2:$T$201,MATCH($B3533,Summary!$A$2:$A$201,0))</f>
        <v>52.02</v>
      </c>
      <c r="Y3533" s="0" t="str">
        <f aca="false">INDEX('Reward Model'!$E$18:$E$37,MATCH($E3533,'Reward Model'!$A$18:$A$37,0))</f>
        <v>Medium</v>
      </c>
      <c r="Z3533" s="4" t="n">
        <f aca="false">ROUND(MIN(1,MAX('Reward Model'!$B$2,INDEX('Reward Model'!$C$12:$C$14,MATCH($K3533,'Reward Model'!$A$12:$A$14,0))/$J3533)),3)</f>
        <v>1</v>
      </c>
      <c r="AA3533" s="2" t="n">
        <f aca="false">IF($I3533="Correct",ROUND(INDEX('Reward Model'!$B$12:$B$14,MATCH($K3533,'Reward Model'!$A$12:$A$14,0))*Z3533,2),0)</f>
        <v>0</v>
      </c>
      <c r="AB3533" s="2" t="n">
        <f aca="false">IF($I3533="Correct",ROUND(INDEX('Reward Model'!$B$12:$B$14,MATCH($Y3533,'Reward Model'!$A$12:$A$14,0))*Z3533,2),0)</f>
        <v>0</v>
      </c>
    </row>
    <row r="3534" customFormat="false" ht="15" hidden="false" customHeight="false" outlineLevel="0" collapsed="false">
      <c r="A3534" s="0" t="s">
        <v>484</v>
      </c>
      <c r="B3534" s="0" t="s">
        <v>485</v>
      </c>
      <c r="C3534" s="0" t="s">
        <v>322</v>
      </c>
      <c r="D3534" s="0" t="s">
        <v>275</v>
      </c>
      <c r="E3534" s="0" t="n">
        <v>13</v>
      </c>
      <c r="F3534" s="0" t="s">
        <v>66</v>
      </c>
      <c r="G3534" s="0" t="s">
        <v>67</v>
      </c>
      <c r="H3534" s="0" t="s">
        <v>67</v>
      </c>
      <c r="I3534" s="0" t="s">
        <v>34</v>
      </c>
      <c r="J3534" s="0" t="n">
        <v>2.08</v>
      </c>
      <c r="K3534" s="0" t="s">
        <v>60</v>
      </c>
      <c r="L3534" s="0" t="n">
        <f aca="false">INDEX(Summary!$F$2:$F$201,MATCH($B3534,Summary!$A$2:$A$201,0))</f>
        <v>20</v>
      </c>
      <c r="M3534" s="0" t="n">
        <f aca="false">INDEX(Summary!$I$2:$I$201,MATCH($B3534,Summary!$A$2:$A$201,0))</f>
        <v>2</v>
      </c>
      <c r="N3534" s="0" t="n">
        <f aca="false">INDEX(Summary!$J$2:$J$201,MATCH($B3534,Summary!$A$2:$A$201,0))</f>
        <v>3</v>
      </c>
      <c r="O3534" s="2" t="n">
        <f aca="false">INDEX(Summary!$K$2:$K$201,MATCH($B3534,Summary!$A$2:$A$201,0))</f>
        <v>9.02</v>
      </c>
      <c r="P3534" s="3" t="n">
        <f aca="false">INDEX(Summary!$L$2:$L$201,MATCH($B3534,Summary!$A$2:$A$201,0))</f>
        <v>3</v>
      </c>
      <c r="Q3534" s="3" t="n">
        <f aca="false">INDEX(Summary!$M$2:$M$201,MATCH($B3534,Summary!$A$2:$A$201,0))</f>
        <v>3</v>
      </c>
      <c r="R3534" s="2" t="n">
        <f aca="false">INDEX(Summary!$N$2:$N$201,MATCH($B3534,Summary!$A$2:$A$201,0))</f>
        <v>10.34</v>
      </c>
      <c r="S3534" s="3" t="n">
        <f aca="false">INDEX(Summary!$O$2:$O$201,MATCH($B3534,Summary!$A$2:$A$201,0))</f>
        <v>7</v>
      </c>
      <c r="T3534" s="3" t="n">
        <f aca="false">INDEX(Summary!$P$2:$P$201,MATCH($B3534,Summary!$A$2:$A$201,0))</f>
        <v>2</v>
      </c>
      <c r="U3534" s="2" t="n">
        <f aca="false">INDEX(Summary!$Q$2:$Q$201,MATCH($B3534,Summary!$A$2:$A$201,0))</f>
        <v>13.15</v>
      </c>
      <c r="V3534" s="2" t="n">
        <f aca="false">INDEX(Summary!$R$2:$R$201,MATCH($B3534,Summary!$A$2:$A$201,0))</f>
        <v>21.33</v>
      </c>
      <c r="W3534" s="0" t="str">
        <f aca="false">INDEX(Summary!$S$2:$S$201,MATCH($B3534,Summary!$A$2:$A$201,0))</f>
        <v>Silver</v>
      </c>
      <c r="X3534" s="2" t="n">
        <f aca="false">INDEX(Summary!$T$2:$T$201,MATCH($B3534,Summary!$A$2:$A$201,0))</f>
        <v>52.02</v>
      </c>
      <c r="Y3534" s="0" t="str">
        <f aca="false">INDEX('Reward Model'!$E$18:$E$37,MATCH($E3534,'Reward Model'!$A$18:$A$37,0))</f>
        <v>Medium</v>
      </c>
      <c r="Z3534" s="4" t="n">
        <f aca="false">ROUND(MIN(1,MAX('Reward Model'!$B$2,INDEX('Reward Model'!$C$12:$C$14,MATCH($K3534,'Reward Model'!$A$12:$A$14,0))/$J3534)),3)</f>
        <v>0.865</v>
      </c>
      <c r="AA3534" s="2" t="n">
        <f aca="false">IF($I3534="Correct",ROUND(INDEX('Reward Model'!$B$12:$B$14,MATCH($K3534,'Reward Model'!$A$12:$A$14,0))*Z3534,2),0)</f>
        <v>1.73</v>
      </c>
      <c r="AB3534" s="2" t="n">
        <f aca="false">IF($I3534="Correct",ROUND(INDEX('Reward Model'!$B$12:$B$14,MATCH($Y3534,'Reward Model'!$A$12:$A$14,0))*Z3534,2),0)</f>
        <v>1.73</v>
      </c>
    </row>
    <row r="3535" customFormat="false" ht="15" hidden="false" customHeight="false" outlineLevel="0" collapsed="false">
      <c r="A3535" s="0" t="s">
        <v>484</v>
      </c>
      <c r="B3535" s="0" t="s">
        <v>485</v>
      </c>
      <c r="C3535" s="0" t="s">
        <v>322</v>
      </c>
      <c r="D3535" s="0" t="s">
        <v>275</v>
      </c>
      <c r="E3535" s="0" t="n">
        <v>14</v>
      </c>
      <c r="F3535" s="0" t="s">
        <v>68</v>
      </c>
      <c r="G3535" s="0" t="s">
        <v>51</v>
      </c>
      <c r="H3535" s="0" t="s">
        <v>51</v>
      </c>
      <c r="I3535" s="0" t="s">
        <v>34</v>
      </c>
      <c r="J3535" s="0" t="n">
        <v>1.27</v>
      </c>
      <c r="K3535" s="0" t="s">
        <v>60</v>
      </c>
      <c r="L3535" s="0" t="n">
        <f aca="false">INDEX(Summary!$F$2:$F$201,MATCH($B3535,Summary!$A$2:$A$201,0))</f>
        <v>20</v>
      </c>
      <c r="M3535" s="0" t="n">
        <f aca="false">INDEX(Summary!$I$2:$I$201,MATCH($B3535,Summary!$A$2:$A$201,0))</f>
        <v>2</v>
      </c>
      <c r="N3535" s="0" t="n">
        <f aca="false">INDEX(Summary!$J$2:$J$201,MATCH($B3535,Summary!$A$2:$A$201,0))</f>
        <v>3</v>
      </c>
      <c r="O3535" s="2" t="n">
        <f aca="false">INDEX(Summary!$K$2:$K$201,MATCH($B3535,Summary!$A$2:$A$201,0))</f>
        <v>9.02</v>
      </c>
      <c r="P3535" s="3" t="n">
        <f aca="false">INDEX(Summary!$L$2:$L$201,MATCH($B3535,Summary!$A$2:$A$201,0))</f>
        <v>3</v>
      </c>
      <c r="Q3535" s="3" t="n">
        <f aca="false">INDEX(Summary!$M$2:$M$201,MATCH($B3535,Summary!$A$2:$A$201,0))</f>
        <v>3</v>
      </c>
      <c r="R3535" s="2" t="n">
        <f aca="false">INDEX(Summary!$N$2:$N$201,MATCH($B3535,Summary!$A$2:$A$201,0))</f>
        <v>10.34</v>
      </c>
      <c r="S3535" s="3" t="n">
        <f aca="false">INDEX(Summary!$O$2:$O$201,MATCH($B3535,Summary!$A$2:$A$201,0))</f>
        <v>7</v>
      </c>
      <c r="T3535" s="3" t="n">
        <f aca="false">INDEX(Summary!$P$2:$P$201,MATCH($B3535,Summary!$A$2:$A$201,0))</f>
        <v>2</v>
      </c>
      <c r="U3535" s="2" t="n">
        <f aca="false">INDEX(Summary!$Q$2:$Q$201,MATCH($B3535,Summary!$A$2:$A$201,0))</f>
        <v>13.15</v>
      </c>
      <c r="V3535" s="2" t="n">
        <f aca="false">INDEX(Summary!$R$2:$R$201,MATCH($B3535,Summary!$A$2:$A$201,0))</f>
        <v>21.33</v>
      </c>
      <c r="W3535" s="0" t="str">
        <f aca="false">INDEX(Summary!$S$2:$S$201,MATCH($B3535,Summary!$A$2:$A$201,0))</f>
        <v>Silver</v>
      </c>
      <c r="X3535" s="2" t="n">
        <f aca="false">INDEX(Summary!$T$2:$T$201,MATCH($B3535,Summary!$A$2:$A$201,0))</f>
        <v>52.02</v>
      </c>
      <c r="Y3535" s="0" t="str">
        <f aca="false">INDEX('Reward Model'!$E$18:$E$37,MATCH($E3535,'Reward Model'!$A$18:$A$37,0))</f>
        <v>Medium</v>
      </c>
      <c r="Z3535" s="4" t="n">
        <f aca="false">ROUND(MIN(1,MAX('Reward Model'!$B$2,INDEX('Reward Model'!$C$12:$C$14,MATCH($K3535,'Reward Model'!$A$12:$A$14,0))/$J3535)),3)</f>
        <v>1</v>
      </c>
      <c r="AA3535" s="2" t="n">
        <f aca="false">IF($I3535="Correct",ROUND(INDEX('Reward Model'!$B$12:$B$14,MATCH($K3535,'Reward Model'!$A$12:$A$14,0))*Z3535,2),0)</f>
        <v>2</v>
      </c>
      <c r="AB3535" s="2" t="n">
        <f aca="false">IF($I3535="Correct",ROUND(INDEX('Reward Model'!$B$12:$B$14,MATCH($Y3535,'Reward Model'!$A$12:$A$14,0))*Z3535,2),0)</f>
        <v>2</v>
      </c>
    </row>
    <row r="3536" customFormat="false" ht="15" hidden="false" customHeight="false" outlineLevel="0" collapsed="false">
      <c r="A3536" s="0" t="s">
        <v>484</v>
      </c>
      <c r="B3536" s="0" t="s">
        <v>485</v>
      </c>
      <c r="C3536" s="0" t="s">
        <v>322</v>
      </c>
      <c r="D3536" s="0" t="s">
        <v>275</v>
      </c>
      <c r="E3536" s="0" t="n">
        <v>15</v>
      </c>
      <c r="F3536" s="0" t="s">
        <v>69</v>
      </c>
      <c r="G3536" s="0" t="s">
        <v>70</v>
      </c>
      <c r="H3536" s="0" t="s">
        <v>70</v>
      </c>
      <c r="I3536" s="0" t="s">
        <v>34</v>
      </c>
      <c r="J3536" s="0" t="n">
        <v>1.38</v>
      </c>
      <c r="K3536" s="0" t="s">
        <v>60</v>
      </c>
      <c r="L3536" s="0" t="n">
        <f aca="false">INDEX(Summary!$F$2:$F$201,MATCH($B3536,Summary!$A$2:$A$201,0))</f>
        <v>20</v>
      </c>
      <c r="M3536" s="0" t="n">
        <f aca="false">INDEX(Summary!$I$2:$I$201,MATCH($B3536,Summary!$A$2:$A$201,0))</f>
        <v>2</v>
      </c>
      <c r="N3536" s="0" t="n">
        <f aca="false">INDEX(Summary!$J$2:$J$201,MATCH($B3536,Summary!$A$2:$A$201,0))</f>
        <v>3</v>
      </c>
      <c r="O3536" s="2" t="n">
        <f aca="false">INDEX(Summary!$K$2:$K$201,MATCH($B3536,Summary!$A$2:$A$201,0))</f>
        <v>9.02</v>
      </c>
      <c r="P3536" s="3" t="n">
        <f aca="false">INDEX(Summary!$L$2:$L$201,MATCH($B3536,Summary!$A$2:$A$201,0))</f>
        <v>3</v>
      </c>
      <c r="Q3536" s="3" t="n">
        <f aca="false">INDEX(Summary!$M$2:$M$201,MATCH($B3536,Summary!$A$2:$A$201,0))</f>
        <v>3</v>
      </c>
      <c r="R3536" s="2" t="n">
        <f aca="false">INDEX(Summary!$N$2:$N$201,MATCH($B3536,Summary!$A$2:$A$201,0))</f>
        <v>10.34</v>
      </c>
      <c r="S3536" s="3" t="n">
        <f aca="false">INDEX(Summary!$O$2:$O$201,MATCH($B3536,Summary!$A$2:$A$201,0))</f>
        <v>7</v>
      </c>
      <c r="T3536" s="3" t="n">
        <f aca="false">INDEX(Summary!$P$2:$P$201,MATCH($B3536,Summary!$A$2:$A$201,0))</f>
        <v>2</v>
      </c>
      <c r="U3536" s="2" t="n">
        <f aca="false">INDEX(Summary!$Q$2:$Q$201,MATCH($B3536,Summary!$A$2:$A$201,0))</f>
        <v>13.15</v>
      </c>
      <c r="V3536" s="2" t="n">
        <f aca="false">INDEX(Summary!$R$2:$R$201,MATCH($B3536,Summary!$A$2:$A$201,0))</f>
        <v>21.33</v>
      </c>
      <c r="W3536" s="0" t="str">
        <f aca="false">INDEX(Summary!$S$2:$S$201,MATCH($B3536,Summary!$A$2:$A$201,0))</f>
        <v>Silver</v>
      </c>
      <c r="X3536" s="2" t="n">
        <f aca="false">INDEX(Summary!$T$2:$T$201,MATCH($B3536,Summary!$A$2:$A$201,0))</f>
        <v>52.02</v>
      </c>
      <c r="Y3536" s="0" t="str">
        <f aca="false">INDEX('Reward Model'!$E$18:$E$37,MATCH($E3536,'Reward Model'!$A$18:$A$37,0))</f>
        <v>Medium</v>
      </c>
      <c r="Z3536" s="4" t="n">
        <f aca="false">ROUND(MIN(1,MAX('Reward Model'!$B$2,INDEX('Reward Model'!$C$12:$C$14,MATCH($K3536,'Reward Model'!$A$12:$A$14,0))/$J3536)),3)</f>
        <v>1</v>
      </c>
      <c r="AA3536" s="2" t="n">
        <f aca="false">IF($I3536="Correct",ROUND(INDEX('Reward Model'!$B$12:$B$14,MATCH($K3536,'Reward Model'!$A$12:$A$14,0))*Z3536,2),0)</f>
        <v>2</v>
      </c>
      <c r="AB3536" s="2" t="n">
        <f aca="false">IF($I3536="Correct",ROUND(INDEX('Reward Model'!$B$12:$B$14,MATCH($Y3536,'Reward Model'!$A$12:$A$14,0))*Z3536,2),0)</f>
        <v>2</v>
      </c>
    </row>
    <row r="3537" customFormat="false" ht="15" hidden="false" customHeight="false" outlineLevel="0" collapsed="false">
      <c r="A3537" s="0" t="s">
        <v>484</v>
      </c>
      <c r="B3537" s="0" t="s">
        <v>485</v>
      </c>
      <c r="C3537" s="0" t="s">
        <v>322</v>
      </c>
      <c r="D3537" s="0" t="s">
        <v>275</v>
      </c>
      <c r="E3537" s="0" t="n">
        <v>16</v>
      </c>
      <c r="F3537" s="0" t="s">
        <v>71</v>
      </c>
      <c r="G3537" s="0" t="s">
        <v>72</v>
      </c>
      <c r="H3537" s="0" t="s">
        <v>72</v>
      </c>
      <c r="I3537" s="0" t="s">
        <v>34</v>
      </c>
      <c r="J3537" s="0" t="n">
        <v>1.82</v>
      </c>
      <c r="K3537" s="0" t="s">
        <v>73</v>
      </c>
      <c r="L3537" s="0" t="n">
        <f aca="false">INDEX(Summary!$F$2:$F$201,MATCH($B3537,Summary!$A$2:$A$201,0))</f>
        <v>20</v>
      </c>
      <c r="M3537" s="0" t="n">
        <f aca="false">INDEX(Summary!$I$2:$I$201,MATCH($B3537,Summary!$A$2:$A$201,0))</f>
        <v>2</v>
      </c>
      <c r="N3537" s="0" t="n">
        <f aca="false">INDEX(Summary!$J$2:$J$201,MATCH($B3537,Summary!$A$2:$A$201,0))</f>
        <v>3</v>
      </c>
      <c r="O3537" s="2" t="n">
        <f aca="false">INDEX(Summary!$K$2:$K$201,MATCH($B3537,Summary!$A$2:$A$201,0))</f>
        <v>9.02</v>
      </c>
      <c r="P3537" s="3" t="n">
        <f aca="false">INDEX(Summary!$L$2:$L$201,MATCH($B3537,Summary!$A$2:$A$201,0))</f>
        <v>3</v>
      </c>
      <c r="Q3537" s="3" t="n">
        <f aca="false">INDEX(Summary!$M$2:$M$201,MATCH($B3537,Summary!$A$2:$A$201,0))</f>
        <v>3</v>
      </c>
      <c r="R3537" s="2" t="n">
        <f aca="false">INDEX(Summary!$N$2:$N$201,MATCH($B3537,Summary!$A$2:$A$201,0))</f>
        <v>10.34</v>
      </c>
      <c r="S3537" s="3" t="n">
        <f aca="false">INDEX(Summary!$O$2:$O$201,MATCH($B3537,Summary!$A$2:$A$201,0))</f>
        <v>7</v>
      </c>
      <c r="T3537" s="3" t="n">
        <f aca="false">INDEX(Summary!$P$2:$P$201,MATCH($B3537,Summary!$A$2:$A$201,0))</f>
        <v>2</v>
      </c>
      <c r="U3537" s="2" t="n">
        <f aca="false">INDEX(Summary!$Q$2:$Q$201,MATCH($B3537,Summary!$A$2:$A$201,0))</f>
        <v>13.15</v>
      </c>
      <c r="V3537" s="2" t="n">
        <f aca="false">INDEX(Summary!$R$2:$R$201,MATCH($B3537,Summary!$A$2:$A$201,0))</f>
        <v>21.33</v>
      </c>
      <c r="W3537" s="0" t="str">
        <f aca="false">INDEX(Summary!$S$2:$S$201,MATCH($B3537,Summary!$A$2:$A$201,0))</f>
        <v>Silver</v>
      </c>
      <c r="X3537" s="2" t="n">
        <f aca="false">INDEX(Summary!$T$2:$T$201,MATCH($B3537,Summary!$A$2:$A$201,0))</f>
        <v>52.02</v>
      </c>
      <c r="Y3537" s="0" t="str">
        <f aca="false">INDEX('Reward Model'!$E$18:$E$37,MATCH($E3537,'Reward Model'!$A$18:$A$37,0))</f>
        <v>High</v>
      </c>
      <c r="Z3537" s="4" t="n">
        <f aca="false">ROUND(MIN(1,MAX('Reward Model'!$B$2,INDEX('Reward Model'!$C$12:$C$14,MATCH($K3537,'Reward Model'!$A$12:$A$14,0))/$J3537)),3)</f>
        <v>1</v>
      </c>
      <c r="AA3537" s="2" t="n">
        <f aca="false">IF($I3537="Correct",ROUND(INDEX('Reward Model'!$B$12:$B$14,MATCH($K3537,'Reward Model'!$A$12:$A$14,0))*Z3537,2),0)</f>
        <v>3</v>
      </c>
      <c r="AB3537" s="2" t="n">
        <f aca="false">IF($I3537="Correct",ROUND(INDEX('Reward Model'!$B$12:$B$14,MATCH($Y3537,'Reward Model'!$A$12:$A$14,0))*Z3537,2),0)</f>
        <v>3</v>
      </c>
    </row>
    <row r="3538" customFormat="false" ht="15" hidden="false" customHeight="false" outlineLevel="0" collapsed="false">
      <c r="A3538" s="0" t="s">
        <v>484</v>
      </c>
      <c r="B3538" s="0" t="s">
        <v>485</v>
      </c>
      <c r="C3538" s="0" t="s">
        <v>322</v>
      </c>
      <c r="D3538" s="0" t="s">
        <v>275</v>
      </c>
      <c r="E3538" s="0" t="n">
        <v>17</v>
      </c>
      <c r="F3538" s="0" t="s">
        <v>74</v>
      </c>
      <c r="G3538" s="0" t="s">
        <v>105</v>
      </c>
      <c r="H3538" s="0" t="s">
        <v>75</v>
      </c>
      <c r="I3538" s="0" t="s">
        <v>39</v>
      </c>
      <c r="J3538" s="0" t="n">
        <v>1.95</v>
      </c>
      <c r="K3538" s="0" t="s">
        <v>73</v>
      </c>
      <c r="L3538" s="0" t="n">
        <f aca="false">INDEX(Summary!$F$2:$F$201,MATCH($B3538,Summary!$A$2:$A$201,0))</f>
        <v>20</v>
      </c>
      <c r="M3538" s="0" t="n">
        <f aca="false">INDEX(Summary!$I$2:$I$201,MATCH($B3538,Summary!$A$2:$A$201,0))</f>
        <v>2</v>
      </c>
      <c r="N3538" s="0" t="n">
        <f aca="false">INDEX(Summary!$J$2:$J$201,MATCH($B3538,Summary!$A$2:$A$201,0))</f>
        <v>3</v>
      </c>
      <c r="O3538" s="2" t="n">
        <f aca="false">INDEX(Summary!$K$2:$K$201,MATCH($B3538,Summary!$A$2:$A$201,0))</f>
        <v>9.02</v>
      </c>
      <c r="P3538" s="3" t="n">
        <f aca="false">INDEX(Summary!$L$2:$L$201,MATCH($B3538,Summary!$A$2:$A$201,0))</f>
        <v>3</v>
      </c>
      <c r="Q3538" s="3" t="n">
        <f aca="false">INDEX(Summary!$M$2:$M$201,MATCH($B3538,Summary!$A$2:$A$201,0))</f>
        <v>3</v>
      </c>
      <c r="R3538" s="2" t="n">
        <f aca="false">INDEX(Summary!$N$2:$N$201,MATCH($B3538,Summary!$A$2:$A$201,0))</f>
        <v>10.34</v>
      </c>
      <c r="S3538" s="3" t="n">
        <f aca="false">INDEX(Summary!$O$2:$O$201,MATCH($B3538,Summary!$A$2:$A$201,0))</f>
        <v>7</v>
      </c>
      <c r="T3538" s="3" t="n">
        <f aca="false">INDEX(Summary!$P$2:$P$201,MATCH($B3538,Summary!$A$2:$A$201,0))</f>
        <v>2</v>
      </c>
      <c r="U3538" s="2" t="n">
        <f aca="false">INDEX(Summary!$Q$2:$Q$201,MATCH($B3538,Summary!$A$2:$A$201,0))</f>
        <v>13.15</v>
      </c>
      <c r="V3538" s="2" t="n">
        <f aca="false">INDEX(Summary!$R$2:$R$201,MATCH($B3538,Summary!$A$2:$A$201,0))</f>
        <v>21.33</v>
      </c>
      <c r="W3538" s="0" t="str">
        <f aca="false">INDEX(Summary!$S$2:$S$201,MATCH($B3538,Summary!$A$2:$A$201,0))</f>
        <v>Silver</v>
      </c>
      <c r="X3538" s="2" t="n">
        <f aca="false">INDEX(Summary!$T$2:$T$201,MATCH($B3538,Summary!$A$2:$A$201,0))</f>
        <v>52.02</v>
      </c>
      <c r="Y3538" s="0" t="str">
        <f aca="false">INDEX('Reward Model'!$E$18:$E$37,MATCH($E3538,'Reward Model'!$A$18:$A$37,0))</f>
        <v>High</v>
      </c>
      <c r="Z3538" s="4" t="n">
        <f aca="false">ROUND(MIN(1,MAX('Reward Model'!$B$2,INDEX('Reward Model'!$C$12:$C$14,MATCH($K3538,'Reward Model'!$A$12:$A$14,0))/$J3538)),3)</f>
        <v>1</v>
      </c>
      <c r="AA3538" s="2" t="n">
        <f aca="false">IF($I3538="Correct",ROUND(INDEX('Reward Model'!$B$12:$B$14,MATCH($K3538,'Reward Model'!$A$12:$A$14,0))*Z3538,2),0)</f>
        <v>0</v>
      </c>
      <c r="AB3538" s="2" t="n">
        <f aca="false">IF($I3538="Correct",ROUND(INDEX('Reward Model'!$B$12:$B$14,MATCH($Y3538,'Reward Model'!$A$12:$A$14,0))*Z3538,2),0)</f>
        <v>0</v>
      </c>
    </row>
    <row r="3539" customFormat="false" ht="15" hidden="false" customHeight="false" outlineLevel="0" collapsed="false">
      <c r="A3539" s="0" t="s">
        <v>484</v>
      </c>
      <c r="B3539" s="0" t="s">
        <v>485</v>
      </c>
      <c r="C3539" s="0" t="s">
        <v>322</v>
      </c>
      <c r="D3539" s="0" t="s">
        <v>275</v>
      </c>
      <c r="E3539" s="0" t="n">
        <v>18</v>
      </c>
      <c r="F3539" s="0" t="s">
        <v>76</v>
      </c>
      <c r="G3539" s="0" t="s">
        <v>88</v>
      </c>
      <c r="H3539" s="0" t="s">
        <v>77</v>
      </c>
      <c r="I3539" s="0" t="s">
        <v>39</v>
      </c>
      <c r="J3539" s="0" t="n">
        <v>1.5</v>
      </c>
      <c r="K3539" s="0" t="s">
        <v>73</v>
      </c>
      <c r="L3539" s="0" t="n">
        <f aca="false">INDEX(Summary!$F$2:$F$201,MATCH($B3539,Summary!$A$2:$A$201,0))</f>
        <v>20</v>
      </c>
      <c r="M3539" s="0" t="n">
        <f aca="false">INDEX(Summary!$I$2:$I$201,MATCH($B3539,Summary!$A$2:$A$201,0))</f>
        <v>2</v>
      </c>
      <c r="N3539" s="0" t="n">
        <f aca="false">INDEX(Summary!$J$2:$J$201,MATCH($B3539,Summary!$A$2:$A$201,0))</f>
        <v>3</v>
      </c>
      <c r="O3539" s="2" t="n">
        <f aca="false">INDEX(Summary!$K$2:$K$201,MATCH($B3539,Summary!$A$2:$A$201,0))</f>
        <v>9.02</v>
      </c>
      <c r="P3539" s="3" t="n">
        <f aca="false">INDEX(Summary!$L$2:$L$201,MATCH($B3539,Summary!$A$2:$A$201,0))</f>
        <v>3</v>
      </c>
      <c r="Q3539" s="3" t="n">
        <f aca="false">INDEX(Summary!$M$2:$M$201,MATCH($B3539,Summary!$A$2:$A$201,0))</f>
        <v>3</v>
      </c>
      <c r="R3539" s="2" t="n">
        <f aca="false">INDEX(Summary!$N$2:$N$201,MATCH($B3539,Summary!$A$2:$A$201,0))</f>
        <v>10.34</v>
      </c>
      <c r="S3539" s="3" t="n">
        <f aca="false">INDEX(Summary!$O$2:$O$201,MATCH($B3539,Summary!$A$2:$A$201,0))</f>
        <v>7</v>
      </c>
      <c r="T3539" s="3" t="n">
        <f aca="false">INDEX(Summary!$P$2:$P$201,MATCH($B3539,Summary!$A$2:$A$201,0))</f>
        <v>2</v>
      </c>
      <c r="U3539" s="2" t="n">
        <f aca="false">INDEX(Summary!$Q$2:$Q$201,MATCH($B3539,Summary!$A$2:$A$201,0))</f>
        <v>13.15</v>
      </c>
      <c r="V3539" s="2" t="n">
        <f aca="false">INDEX(Summary!$R$2:$R$201,MATCH($B3539,Summary!$A$2:$A$201,0))</f>
        <v>21.33</v>
      </c>
      <c r="W3539" s="0" t="str">
        <f aca="false">INDEX(Summary!$S$2:$S$201,MATCH($B3539,Summary!$A$2:$A$201,0))</f>
        <v>Silver</v>
      </c>
      <c r="X3539" s="2" t="n">
        <f aca="false">INDEX(Summary!$T$2:$T$201,MATCH($B3539,Summary!$A$2:$A$201,0))</f>
        <v>52.02</v>
      </c>
      <c r="Y3539" s="0" t="str">
        <f aca="false">INDEX('Reward Model'!$E$18:$E$37,MATCH($E3539,'Reward Model'!$A$18:$A$37,0))</f>
        <v>High</v>
      </c>
      <c r="Z3539" s="4" t="n">
        <f aca="false">ROUND(MIN(1,MAX('Reward Model'!$B$2,INDEX('Reward Model'!$C$12:$C$14,MATCH($K3539,'Reward Model'!$A$12:$A$14,0))/$J3539)),3)</f>
        <v>1</v>
      </c>
      <c r="AA3539" s="2" t="n">
        <f aca="false">IF($I3539="Correct",ROUND(INDEX('Reward Model'!$B$12:$B$14,MATCH($K3539,'Reward Model'!$A$12:$A$14,0))*Z3539,2),0)</f>
        <v>0</v>
      </c>
      <c r="AB3539" s="2" t="n">
        <f aca="false">IF($I3539="Correct",ROUND(INDEX('Reward Model'!$B$12:$B$14,MATCH($Y3539,'Reward Model'!$A$12:$A$14,0))*Z3539,2),0)</f>
        <v>0</v>
      </c>
    </row>
    <row r="3540" customFormat="false" ht="15" hidden="false" customHeight="false" outlineLevel="0" collapsed="false">
      <c r="A3540" s="0" t="s">
        <v>484</v>
      </c>
      <c r="B3540" s="0" t="s">
        <v>485</v>
      </c>
      <c r="C3540" s="0" t="s">
        <v>322</v>
      </c>
      <c r="D3540" s="0" t="s">
        <v>275</v>
      </c>
      <c r="E3540" s="0" t="n">
        <v>19</v>
      </c>
      <c r="F3540" s="0" t="s">
        <v>78</v>
      </c>
      <c r="G3540" s="0" t="s">
        <v>79</v>
      </c>
      <c r="H3540" s="0" t="s">
        <v>80</v>
      </c>
      <c r="I3540" s="0" t="s">
        <v>39</v>
      </c>
      <c r="J3540" s="0" t="n">
        <v>1.57</v>
      </c>
      <c r="K3540" s="0" t="s">
        <v>73</v>
      </c>
      <c r="L3540" s="0" t="n">
        <f aca="false">INDEX(Summary!$F$2:$F$201,MATCH($B3540,Summary!$A$2:$A$201,0))</f>
        <v>20</v>
      </c>
      <c r="M3540" s="0" t="n">
        <f aca="false">INDEX(Summary!$I$2:$I$201,MATCH($B3540,Summary!$A$2:$A$201,0))</f>
        <v>2</v>
      </c>
      <c r="N3540" s="0" t="n">
        <f aca="false">INDEX(Summary!$J$2:$J$201,MATCH($B3540,Summary!$A$2:$A$201,0))</f>
        <v>3</v>
      </c>
      <c r="O3540" s="2" t="n">
        <f aca="false">INDEX(Summary!$K$2:$K$201,MATCH($B3540,Summary!$A$2:$A$201,0))</f>
        <v>9.02</v>
      </c>
      <c r="P3540" s="3" t="n">
        <f aca="false">INDEX(Summary!$L$2:$L$201,MATCH($B3540,Summary!$A$2:$A$201,0))</f>
        <v>3</v>
      </c>
      <c r="Q3540" s="3" t="n">
        <f aca="false">INDEX(Summary!$M$2:$M$201,MATCH($B3540,Summary!$A$2:$A$201,0))</f>
        <v>3</v>
      </c>
      <c r="R3540" s="2" t="n">
        <f aca="false">INDEX(Summary!$N$2:$N$201,MATCH($B3540,Summary!$A$2:$A$201,0))</f>
        <v>10.34</v>
      </c>
      <c r="S3540" s="3" t="n">
        <f aca="false">INDEX(Summary!$O$2:$O$201,MATCH($B3540,Summary!$A$2:$A$201,0))</f>
        <v>7</v>
      </c>
      <c r="T3540" s="3" t="n">
        <f aca="false">INDEX(Summary!$P$2:$P$201,MATCH($B3540,Summary!$A$2:$A$201,0))</f>
        <v>2</v>
      </c>
      <c r="U3540" s="2" t="n">
        <f aca="false">INDEX(Summary!$Q$2:$Q$201,MATCH($B3540,Summary!$A$2:$A$201,0))</f>
        <v>13.15</v>
      </c>
      <c r="V3540" s="2" t="n">
        <f aca="false">INDEX(Summary!$R$2:$R$201,MATCH($B3540,Summary!$A$2:$A$201,0))</f>
        <v>21.33</v>
      </c>
      <c r="W3540" s="0" t="str">
        <f aca="false">INDEX(Summary!$S$2:$S$201,MATCH($B3540,Summary!$A$2:$A$201,0))</f>
        <v>Silver</v>
      </c>
      <c r="X3540" s="2" t="n">
        <f aca="false">INDEX(Summary!$T$2:$T$201,MATCH($B3540,Summary!$A$2:$A$201,0))</f>
        <v>52.02</v>
      </c>
      <c r="Y3540" s="0" t="str">
        <f aca="false">INDEX('Reward Model'!$E$18:$E$37,MATCH($E3540,'Reward Model'!$A$18:$A$37,0))</f>
        <v>High</v>
      </c>
      <c r="Z3540" s="4" t="n">
        <f aca="false">ROUND(MIN(1,MAX('Reward Model'!$B$2,INDEX('Reward Model'!$C$12:$C$14,MATCH($K3540,'Reward Model'!$A$12:$A$14,0))/$J3540)),3)</f>
        <v>1</v>
      </c>
      <c r="AA3540" s="2" t="n">
        <f aca="false">IF($I3540="Correct",ROUND(INDEX('Reward Model'!$B$12:$B$14,MATCH($K3540,'Reward Model'!$A$12:$A$14,0))*Z3540,2),0)</f>
        <v>0</v>
      </c>
      <c r="AB3540" s="2" t="n">
        <f aca="false">IF($I3540="Correct",ROUND(INDEX('Reward Model'!$B$12:$B$14,MATCH($Y3540,'Reward Model'!$A$12:$A$14,0))*Z3540,2),0)</f>
        <v>0</v>
      </c>
    </row>
    <row r="3541" customFormat="false" ht="15" hidden="false" customHeight="false" outlineLevel="0" collapsed="false">
      <c r="A3541" s="0" t="s">
        <v>484</v>
      </c>
      <c r="B3541" s="0" t="s">
        <v>485</v>
      </c>
      <c r="C3541" s="0" t="s">
        <v>322</v>
      </c>
      <c r="D3541" s="0" t="s">
        <v>275</v>
      </c>
      <c r="E3541" s="0" t="n">
        <v>20</v>
      </c>
      <c r="F3541" s="0" t="s">
        <v>81</v>
      </c>
      <c r="G3541" s="0" t="s">
        <v>83</v>
      </c>
      <c r="H3541" s="0" t="s">
        <v>83</v>
      </c>
      <c r="I3541" s="0" t="s">
        <v>34</v>
      </c>
      <c r="J3541" s="0" t="n">
        <v>2.18</v>
      </c>
      <c r="K3541" s="0" t="s">
        <v>73</v>
      </c>
      <c r="L3541" s="0" t="n">
        <f aca="false">INDEX(Summary!$F$2:$F$201,MATCH($B3541,Summary!$A$2:$A$201,0))</f>
        <v>20</v>
      </c>
      <c r="M3541" s="0" t="n">
        <f aca="false">INDEX(Summary!$I$2:$I$201,MATCH($B3541,Summary!$A$2:$A$201,0))</f>
        <v>2</v>
      </c>
      <c r="N3541" s="0" t="n">
        <f aca="false">INDEX(Summary!$J$2:$J$201,MATCH($B3541,Summary!$A$2:$A$201,0))</f>
        <v>3</v>
      </c>
      <c r="O3541" s="2" t="n">
        <f aca="false">INDEX(Summary!$K$2:$K$201,MATCH($B3541,Summary!$A$2:$A$201,0))</f>
        <v>9.02</v>
      </c>
      <c r="P3541" s="3" t="n">
        <f aca="false">INDEX(Summary!$L$2:$L$201,MATCH($B3541,Summary!$A$2:$A$201,0))</f>
        <v>3</v>
      </c>
      <c r="Q3541" s="3" t="n">
        <f aca="false">INDEX(Summary!$M$2:$M$201,MATCH($B3541,Summary!$A$2:$A$201,0))</f>
        <v>3</v>
      </c>
      <c r="R3541" s="2" t="n">
        <f aca="false">INDEX(Summary!$N$2:$N$201,MATCH($B3541,Summary!$A$2:$A$201,0))</f>
        <v>10.34</v>
      </c>
      <c r="S3541" s="3" t="n">
        <f aca="false">INDEX(Summary!$O$2:$O$201,MATCH($B3541,Summary!$A$2:$A$201,0))</f>
        <v>7</v>
      </c>
      <c r="T3541" s="3" t="n">
        <f aca="false">INDEX(Summary!$P$2:$P$201,MATCH($B3541,Summary!$A$2:$A$201,0))</f>
        <v>2</v>
      </c>
      <c r="U3541" s="2" t="n">
        <f aca="false">INDEX(Summary!$Q$2:$Q$201,MATCH($B3541,Summary!$A$2:$A$201,0))</f>
        <v>13.15</v>
      </c>
      <c r="V3541" s="2" t="n">
        <f aca="false">INDEX(Summary!$R$2:$R$201,MATCH($B3541,Summary!$A$2:$A$201,0))</f>
        <v>21.33</v>
      </c>
      <c r="W3541" s="0" t="str">
        <f aca="false">INDEX(Summary!$S$2:$S$201,MATCH($B3541,Summary!$A$2:$A$201,0))</f>
        <v>Silver</v>
      </c>
      <c r="X3541" s="2" t="n">
        <f aca="false">INDEX(Summary!$T$2:$T$201,MATCH($B3541,Summary!$A$2:$A$201,0))</f>
        <v>52.02</v>
      </c>
      <c r="Y3541" s="0" t="str">
        <f aca="false">INDEX('Reward Model'!$E$18:$E$37,MATCH($E3541,'Reward Model'!$A$18:$A$37,0))</f>
        <v>High</v>
      </c>
      <c r="Z3541" s="4" t="n">
        <f aca="false">ROUND(MIN(1,MAX('Reward Model'!$B$2,INDEX('Reward Model'!$C$12:$C$14,MATCH($K3541,'Reward Model'!$A$12:$A$14,0))/$J3541)),3)</f>
        <v>0.917</v>
      </c>
      <c r="AA3541" s="2" t="n">
        <f aca="false">IF($I3541="Correct",ROUND(INDEX('Reward Model'!$B$12:$B$14,MATCH($K3541,'Reward Model'!$A$12:$A$14,0))*Z3541,2),0)</f>
        <v>2.75</v>
      </c>
      <c r="AB3541" s="2" t="n">
        <f aca="false">IF($I3541="Correct",ROUND(INDEX('Reward Model'!$B$12:$B$14,MATCH($Y3541,'Reward Model'!$A$12:$A$14,0))*Z3541,2),0)</f>
        <v>2.75</v>
      </c>
    </row>
    <row r="3542" customFormat="false" ht="15" hidden="false" customHeight="false" outlineLevel="0" collapsed="false">
      <c r="A3542" s="0" t="s">
        <v>486</v>
      </c>
      <c r="B3542" s="0" t="s">
        <v>487</v>
      </c>
      <c r="C3542" s="0" t="s">
        <v>322</v>
      </c>
      <c r="D3542" s="0" t="s">
        <v>275</v>
      </c>
      <c r="E3542" s="0" t="n">
        <v>1</v>
      </c>
      <c r="F3542" s="0" t="s">
        <v>32</v>
      </c>
      <c r="G3542" s="0" t="s">
        <v>33</v>
      </c>
      <c r="H3542" s="0" t="s">
        <v>33</v>
      </c>
      <c r="I3542" s="0" t="s">
        <v>34</v>
      </c>
      <c r="J3542" s="0" t="n">
        <v>1.6</v>
      </c>
      <c r="K3542" s="0" t="s">
        <v>35</v>
      </c>
      <c r="L3542" s="0" t="n">
        <f aca="false">INDEX(Summary!$F$2:$F$201,MATCH($B3542,Summary!$A$2:$A$201,0))</f>
        <v>20</v>
      </c>
      <c r="M3542" s="0" t="n">
        <f aca="false">INDEX(Summary!$I$2:$I$201,MATCH($B3542,Summary!$A$2:$A$201,0))</f>
        <v>1</v>
      </c>
      <c r="N3542" s="0" t="n">
        <f aca="false">INDEX(Summary!$J$2:$J$201,MATCH($B3542,Summary!$A$2:$A$201,0))</f>
        <v>4</v>
      </c>
      <c r="O3542" s="2" t="n">
        <f aca="false">INDEX(Summary!$K$2:$K$201,MATCH($B3542,Summary!$A$2:$A$201,0))</f>
        <v>7.98</v>
      </c>
      <c r="P3542" s="3" t="n">
        <f aca="false">INDEX(Summary!$L$2:$L$201,MATCH($B3542,Summary!$A$2:$A$201,0))</f>
        <v>3</v>
      </c>
      <c r="Q3542" s="3" t="n">
        <f aca="false">INDEX(Summary!$M$2:$M$201,MATCH($B3542,Summary!$A$2:$A$201,0))</f>
        <v>3</v>
      </c>
      <c r="R3542" s="2" t="n">
        <f aca="false">INDEX(Summary!$N$2:$N$201,MATCH($B3542,Summary!$A$2:$A$201,0))</f>
        <v>11.45</v>
      </c>
      <c r="S3542" s="3" t="n">
        <f aca="false">INDEX(Summary!$O$2:$O$201,MATCH($B3542,Summary!$A$2:$A$201,0))</f>
        <v>5</v>
      </c>
      <c r="T3542" s="3" t="n">
        <f aca="false">INDEX(Summary!$P$2:$P$201,MATCH($B3542,Summary!$A$2:$A$201,0))</f>
        <v>4</v>
      </c>
      <c r="U3542" s="2" t="n">
        <f aca="false">INDEX(Summary!$Q$2:$Q$201,MATCH($B3542,Summary!$A$2:$A$201,0))</f>
        <v>11.29</v>
      </c>
      <c r="V3542" s="2" t="n">
        <f aca="false">INDEX(Summary!$R$2:$R$201,MATCH($B3542,Summary!$A$2:$A$201,0))</f>
        <v>15.46</v>
      </c>
      <c r="W3542" s="0" t="str">
        <f aca="false">INDEX(Summary!$S$2:$S$201,MATCH($B3542,Summary!$A$2:$A$201,0))</f>
        <v>Bronze</v>
      </c>
      <c r="X3542" s="2" t="n">
        <f aca="false">INDEX(Summary!$T$2:$T$201,MATCH($B3542,Summary!$A$2:$A$201,0))</f>
        <v>37.71</v>
      </c>
      <c r="Y3542" s="0" t="str">
        <f aca="false">INDEX('Reward Model'!$E$18:$E$37,MATCH($E3542,'Reward Model'!$A$18:$A$37,0))</f>
        <v>Medium</v>
      </c>
      <c r="Z3542" s="4" t="n">
        <f aca="false">ROUND(MIN(1,MAX('Reward Model'!$B$2,INDEX('Reward Model'!$C$12:$C$14,MATCH($K3542,'Reward Model'!$A$12:$A$14,0))/$J3542)),3)</f>
        <v>0.938</v>
      </c>
      <c r="AA3542" s="2" t="n">
        <f aca="false">IF($I3542="Correct",ROUND(INDEX('Reward Model'!$B$12:$B$14,MATCH($K3542,'Reward Model'!$A$12:$A$14,0))*Z3542,2),0)</f>
        <v>0.94</v>
      </c>
      <c r="AB3542" s="2" t="n">
        <f aca="false">IF($I3542="Correct",ROUND(INDEX('Reward Model'!$B$12:$B$14,MATCH($Y3542,'Reward Model'!$A$12:$A$14,0))*Z3542,2),0)</f>
        <v>1.88</v>
      </c>
    </row>
    <row r="3543" customFormat="false" ht="15" hidden="false" customHeight="false" outlineLevel="0" collapsed="false">
      <c r="A3543" s="0" t="s">
        <v>486</v>
      </c>
      <c r="B3543" s="0" t="s">
        <v>487</v>
      </c>
      <c r="C3543" s="0" t="s">
        <v>322</v>
      </c>
      <c r="D3543" s="0" t="s">
        <v>275</v>
      </c>
      <c r="E3543" s="0" t="n">
        <v>2</v>
      </c>
      <c r="F3543" s="0" t="s">
        <v>36</v>
      </c>
      <c r="G3543" s="0" t="s">
        <v>94</v>
      </c>
      <c r="H3543" s="0" t="s">
        <v>38</v>
      </c>
      <c r="I3543" s="0" t="s">
        <v>39</v>
      </c>
      <c r="J3543" s="0" t="n">
        <v>0.96</v>
      </c>
      <c r="K3543" s="0" t="s">
        <v>35</v>
      </c>
      <c r="L3543" s="0" t="n">
        <f aca="false">INDEX(Summary!$F$2:$F$201,MATCH($B3543,Summary!$A$2:$A$201,0))</f>
        <v>20</v>
      </c>
      <c r="M3543" s="0" t="n">
        <f aca="false">INDEX(Summary!$I$2:$I$201,MATCH($B3543,Summary!$A$2:$A$201,0))</f>
        <v>1</v>
      </c>
      <c r="N3543" s="0" t="n">
        <f aca="false">INDEX(Summary!$J$2:$J$201,MATCH($B3543,Summary!$A$2:$A$201,0))</f>
        <v>4</v>
      </c>
      <c r="O3543" s="2" t="n">
        <f aca="false">INDEX(Summary!$K$2:$K$201,MATCH($B3543,Summary!$A$2:$A$201,0))</f>
        <v>7.98</v>
      </c>
      <c r="P3543" s="3" t="n">
        <f aca="false">INDEX(Summary!$L$2:$L$201,MATCH($B3543,Summary!$A$2:$A$201,0))</f>
        <v>3</v>
      </c>
      <c r="Q3543" s="3" t="n">
        <f aca="false">INDEX(Summary!$M$2:$M$201,MATCH($B3543,Summary!$A$2:$A$201,0))</f>
        <v>3</v>
      </c>
      <c r="R3543" s="2" t="n">
        <f aca="false">INDEX(Summary!$N$2:$N$201,MATCH($B3543,Summary!$A$2:$A$201,0))</f>
        <v>11.45</v>
      </c>
      <c r="S3543" s="3" t="n">
        <f aca="false">INDEX(Summary!$O$2:$O$201,MATCH($B3543,Summary!$A$2:$A$201,0))</f>
        <v>5</v>
      </c>
      <c r="T3543" s="3" t="n">
        <f aca="false">INDEX(Summary!$P$2:$P$201,MATCH($B3543,Summary!$A$2:$A$201,0))</f>
        <v>4</v>
      </c>
      <c r="U3543" s="2" t="n">
        <f aca="false">INDEX(Summary!$Q$2:$Q$201,MATCH($B3543,Summary!$A$2:$A$201,0))</f>
        <v>11.29</v>
      </c>
      <c r="V3543" s="2" t="n">
        <f aca="false">INDEX(Summary!$R$2:$R$201,MATCH($B3543,Summary!$A$2:$A$201,0))</f>
        <v>15.46</v>
      </c>
      <c r="W3543" s="0" t="str">
        <f aca="false">INDEX(Summary!$S$2:$S$201,MATCH($B3543,Summary!$A$2:$A$201,0))</f>
        <v>Bronze</v>
      </c>
      <c r="X3543" s="2" t="n">
        <f aca="false">INDEX(Summary!$T$2:$T$201,MATCH($B3543,Summary!$A$2:$A$201,0))</f>
        <v>37.71</v>
      </c>
      <c r="Y3543" s="0" t="str">
        <f aca="false">INDEX('Reward Model'!$E$18:$E$37,MATCH($E3543,'Reward Model'!$A$18:$A$37,0))</f>
        <v>Low</v>
      </c>
      <c r="Z3543" s="4" t="n">
        <f aca="false">ROUND(MIN(1,MAX('Reward Model'!$B$2,INDEX('Reward Model'!$C$12:$C$14,MATCH($K3543,'Reward Model'!$A$12:$A$14,0))/$J3543)),3)</f>
        <v>1</v>
      </c>
      <c r="AA3543" s="2" t="n">
        <f aca="false">IF($I3543="Correct",ROUND(INDEX('Reward Model'!$B$12:$B$14,MATCH($K3543,'Reward Model'!$A$12:$A$14,0))*Z3543,2),0)</f>
        <v>0</v>
      </c>
      <c r="AB3543" s="2" t="n">
        <f aca="false">IF($I3543="Correct",ROUND(INDEX('Reward Model'!$B$12:$B$14,MATCH($Y3543,'Reward Model'!$A$12:$A$14,0))*Z3543,2),0)</f>
        <v>0</v>
      </c>
    </row>
    <row r="3544" customFormat="false" ht="15" hidden="false" customHeight="false" outlineLevel="0" collapsed="false">
      <c r="A3544" s="0" t="s">
        <v>486</v>
      </c>
      <c r="B3544" s="0" t="s">
        <v>487</v>
      </c>
      <c r="C3544" s="0" t="s">
        <v>322</v>
      </c>
      <c r="D3544" s="0" t="s">
        <v>275</v>
      </c>
      <c r="E3544" s="0" t="n">
        <v>3</v>
      </c>
      <c r="F3544" s="0" t="s">
        <v>40</v>
      </c>
      <c r="G3544" s="0" t="s">
        <v>123</v>
      </c>
      <c r="H3544" s="0" t="s">
        <v>42</v>
      </c>
      <c r="I3544" s="0" t="s">
        <v>39</v>
      </c>
      <c r="J3544" s="0" t="n">
        <v>1.05</v>
      </c>
      <c r="K3544" s="0" t="s">
        <v>35</v>
      </c>
      <c r="L3544" s="0" t="n">
        <f aca="false">INDEX(Summary!$F$2:$F$201,MATCH($B3544,Summary!$A$2:$A$201,0))</f>
        <v>20</v>
      </c>
      <c r="M3544" s="0" t="n">
        <f aca="false">INDEX(Summary!$I$2:$I$201,MATCH($B3544,Summary!$A$2:$A$201,0))</f>
        <v>1</v>
      </c>
      <c r="N3544" s="0" t="n">
        <f aca="false">INDEX(Summary!$J$2:$J$201,MATCH($B3544,Summary!$A$2:$A$201,0))</f>
        <v>4</v>
      </c>
      <c r="O3544" s="2" t="n">
        <f aca="false">INDEX(Summary!$K$2:$K$201,MATCH($B3544,Summary!$A$2:$A$201,0))</f>
        <v>7.98</v>
      </c>
      <c r="P3544" s="3" t="n">
        <f aca="false">INDEX(Summary!$L$2:$L$201,MATCH($B3544,Summary!$A$2:$A$201,0))</f>
        <v>3</v>
      </c>
      <c r="Q3544" s="3" t="n">
        <f aca="false">INDEX(Summary!$M$2:$M$201,MATCH($B3544,Summary!$A$2:$A$201,0))</f>
        <v>3</v>
      </c>
      <c r="R3544" s="2" t="n">
        <f aca="false">INDEX(Summary!$N$2:$N$201,MATCH($B3544,Summary!$A$2:$A$201,0))</f>
        <v>11.45</v>
      </c>
      <c r="S3544" s="3" t="n">
        <f aca="false">INDEX(Summary!$O$2:$O$201,MATCH($B3544,Summary!$A$2:$A$201,0))</f>
        <v>5</v>
      </c>
      <c r="T3544" s="3" t="n">
        <f aca="false">INDEX(Summary!$P$2:$P$201,MATCH($B3544,Summary!$A$2:$A$201,0))</f>
        <v>4</v>
      </c>
      <c r="U3544" s="2" t="n">
        <f aca="false">INDEX(Summary!$Q$2:$Q$201,MATCH($B3544,Summary!$A$2:$A$201,0))</f>
        <v>11.29</v>
      </c>
      <c r="V3544" s="2" t="n">
        <f aca="false">INDEX(Summary!$R$2:$R$201,MATCH($B3544,Summary!$A$2:$A$201,0))</f>
        <v>15.46</v>
      </c>
      <c r="W3544" s="0" t="str">
        <f aca="false">INDEX(Summary!$S$2:$S$201,MATCH($B3544,Summary!$A$2:$A$201,0))</f>
        <v>Bronze</v>
      </c>
      <c r="X3544" s="2" t="n">
        <f aca="false">INDEX(Summary!$T$2:$T$201,MATCH($B3544,Summary!$A$2:$A$201,0))</f>
        <v>37.71</v>
      </c>
      <c r="Y3544" s="0" t="str">
        <f aca="false">INDEX('Reward Model'!$E$18:$E$37,MATCH($E3544,'Reward Model'!$A$18:$A$37,0))</f>
        <v>Medium</v>
      </c>
      <c r="Z3544" s="4" t="n">
        <f aca="false">ROUND(MIN(1,MAX('Reward Model'!$B$2,INDEX('Reward Model'!$C$12:$C$14,MATCH($K3544,'Reward Model'!$A$12:$A$14,0))/$J3544)),3)</f>
        <v>1</v>
      </c>
      <c r="AA3544" s="2" t="n">
        <f aca="false">IF($I3544="Correct",ROUND(INDEX('Reward Model'!$B$12:$B$14,MATCH($K3544,'Reward Model'!$A$12:$A$14,0))*Z3544,2),0)</f>
        <v>0</v>
      </c>
      <c r="AB3544" s="2" t="n">
        <f aca="false">IF($I3544="Correct",ROUND(INDEX('Reward Model'!$B$12:$B$14,MATCH($Y3544,'Reward Model'!$A$12:$A$14,0))*Z3544,2),0)</f>
        <v>0</v>
      </c>
    </row>
    <row r="3545" customFormat="false" ht="15" hidden="false" customHeight="false" outlineLevel="0" collapsed="false">
      <c r="A3545" s="0" t="s">
        <v>486</v>
      </c>
      <c r="B3545" s="0" t="s">
        <v>487</v>
      </c>
      <c r="C3545" s="0" t="s">
        <v>322</v>
      </c>
      <c r="D3545" s="0" t="s">
        <v>275</v>
      </c>
      <c r="E3545" s="0" t="n">
        <v>4</v>
      </c>
      <c r="F3545" s="0" t="s">
        <v>43</v>
      </c>
      <c r="G3545" s="0" t="s">
        <v>45</v>
      </c>
      <c r="H3545" s="0" t="s">
        <v>45</v>
      </c>
      <c r="I3545" s="0" t="s">
        <v>34</v>
      </c>
      <c r="J3545" s="0" t="n">
        <v>1.5</v>
      </c>
      <c r="K3545" s="0" t="s">
        <v>35</v>
      </c>
      <c r="L3545" s="0" t="n">
        <f aca="false">INDEX(Summary!$F$2:$F$201,MATCH($B3545,Summary!$A$2:$A$201,0))</f>
        <v>20</v>
      </c>
      <c r="M3545" s="0" t="n">
        <f aca="false">INDEX(Summary!$I$2:$I$201,MATCH($B3545,Summary!$A$2:$A$201,0))</f>
        <v>1</v>
      </c>
      <c r="N3545" s="0" t="n">
        <f aca="false">INDEX(Summary!$J$2:$J$201,MATCH($B3545,Summary!$A$2:$A$201,0))</f>
        <v>4</v>
      </c>
      <c r="O3545" s="2" t="n">
        <f aca="false">INDEX(Summary!$K$2:$K$201,MATCH($B3545,Summary!$A$2:$A$201,0))</f>
        <v>7.98</v>
      </c>
      <c r="P3545" s="3" t="n">
        <f aca="false">INDEX(Summary!$L$2:$L$201,MATCH($B3545,Summary!$A$2:$A$201,0))</f>
        <v>3</v>
      </c>
      <c r="Q3545" s="3" t="n">
        <f aca="false">INDEX(Summary!$M$2:$M$201,MATCH($B3545,Summary!$A$2:$A$201,0))</f>
        <v>3</v>
      </c>
      <c r="R3545" s="2" t="n">
        <f aca="false">INDEX(Summary!$N$2:$N$201,MATCH($B3545,Summary!$A$2:$A$201,0))</f>
        <v>11.45</v>
      </c>
      <c r="S3545" s="3" t="n">
        <f aca="false">INDEX(Summary!$O$2:$O$201,MATCH($B3545,Summary!$A$2:$A$201,0))</f>
        <v>5</v>
      </c>
      <c r="T3545" s="3" t="n">
        <f aca="false">INDEX(Summary!$P$2:$P$201,MATCH($B3545,Summary!$A$2:$A$201,0))</f>
        <v>4</v>
      </c>
      <c r="U3545" s="2" t="n">
        <f aca="false">INDEX(Summary!$Q$2:$Q$201,MATCH($B3545,Summary!$A$2:$A$201,0))</f>
        <v>11.29</v>
      </c>
      <c r="V3545" s="2" t="n">
        <f aca="false">INDEX(Summary!$R$2:$R$201,MATCH($B3545,Summary!$A$2:$A$201,0))</f>
        <v>15.46</v>
      </c>
      <c r="W3545" s="0" t="str">
        <f aca="false">INDEX(Summary!$S$2:$S$201,MATCH($B3545,Summary!$A$2:$A$201,0))</f>
        <v>Bronze</v>
      </c>
      <c r="X3545" s="2" t="n">
        <f aca="false">INDEX(Summary!$T$2:$T$201,MATCH($B3545,Summary!$A$2:$A$201,0))</f>
        <v>37.71</v>
      </c>
      <c r="Y3545" s="0" t="str">
        <f aca="false">INDEX('Reward Model'!$E$18:$E$37,MATCH($E3545,'Reward Model'!$A$18:$A$37,0))</f>
        <v>Low</v>
      </c>
      <c r="Z3545" s="4" t="n">
        <f aca="false">ROUND(MIN(1,MAX('Reward Model'!$B$2,INDEX('Reward Model'!$C$12:$C$14,MATCH($K3545,'Reward Model'!$A$12:$A$14,0))/$J3545)),3)</f>
        <v>1</v>
      </c>
      <c r="AA3545" s="2" t="n">
        <f aca="false">IF($I3545="Correct",ROUND(INDEX('Reward Model'!$B$12:$B$14,MATCH($K3545,'Reward Model'!$A$12:$A$14,0))*Z3545,2),0)</f>
        <v>1</v>
      </c>
      <c r="AB3545" s="2" t="n">
        <f aca="false">IF($I3545="Correct",ROUND(INDEX('Reward Model'!$B$12:$B$14,MATCH($Y3545,'Reward Model'!$A$12:$A$14,0))*Z3545,2),0)</f>
        <v>1</v>
      </c>
    </row>
    <row r="3546" customFormat="false" ht="15" hidden="false" customHeight="false" outlineLevel="0" collapsed="false">
      <c r="A3546" s="0" t="s">
        <v>486</v>
      </c>
      <c r="B3546" s="0" t="s">
        <v>487</v>
      </c>
      <c r="C3546" s="0" t="s">
        <v>322</v>
      </c>
      <c r="D3546" s="0" t="s">
        <v>275</v>
      </c>
      <c r="E3546" s="0" t="n">
        <v>5</v>
      </c>
      <c r="F3546" s="0" t="s">
        <v>46</v>
      </c>
      <c r="G3546" s="0" t="s">
        <v>47</v>
      </c>
      <c r="H3546" s="0" t="s">
        <v>47</v>
      </c>
      <c r="I3546" s="0" t="s">
        <v>34</v>
      </c>
      <c r="J3546" s="0" t="n">
        <v>1</v>
      </c>
      <c r="K3546" s="0" t="s">
        <v>35</v>
      </c>
      <c r="L3546" s="0" t="n">
        <f aca="false">INDEX(Summary!$F$2:$F$201,MATCH($B3546,Summary!$A$2:$A$201,0))</f>
        <v>20</v>
      </c>
      <c r="M3546" s="0" t="n">
        <f aca="false">INDEX(Summary!$I$2:$I$201,MATCH($B3546,Summary!$A$2:$A$201,0))</f>
        <v>1</v>
      </c>
      <c r="N3546" s="0" t="n">
        <f aca="false">INDEX(Summary!$J$2:$J$201,MATCH($B3546,Summary!$A$2:$A$201,0))</f>
        <v>4</v>
      </c>
      <c r="O3546" s="2" t="n">
        <f aca="false">INDEX(Summary!$K$2:$K$201,MATCH($B3546,Summary!$A$2:$A$201,0))</f>
        <v>7.98</v>
      </c>
      <c r="P3546" s="3" t="n">
        <f aca="false">INDEX(Summary!$L$2:$L$201,MATCH($B3546,Summary!$A$2:$A$201,0))</f>
        <v>3</v>
      </c>
      <c r="Q3546" s="3" t="n">
        <f aca="false">INDEX(Summary!$M$2:$M$201,MATCH($B3546,Summary!$A$2:$A$201,0))</f>
        <v>3</v>
      </c>
      <c r="R3546" s="2" t="n">
        <f aca="false">INDEX(Summary!$N$2:$N$201,MATCH($B3546,Summary!$A$2:$A$201,0))</f>
        <v>11.45</v>
      </c>
      <c r="S3546" s="3" t="n">
        <f aca="false">INDEX(Summary!$O$2:$O$201,MATCH($B3546,Summary!$A$2:$A$201,0))</f>
        <v>5</v>
      </c>
      <c r="T3546" s="3" t="n">
        <f aca="false">INDEX(Summary!$P$2:$P$201,MATCH($B3546,Summary!$A$2:$A$201,0))</f>
        <v>4</v>
      </c>
      <c r="U3546" s="2" t="n">
        <f aca="false">INDEX(Summary!$Q$2:$Q$201,MATCH($B3546,Summary!$A$2:$A$201,0))</f>
        <v>11.29</v>
      </c>
      <c r="V3546" s="2" t="n">
        <f aca="false">INDEX(Summary!$R$2:$R$201,MATCH($B3546,Summary!$A$2:$A$201,0))</f>
        <v>15.46</v>
      </c>
      <c r="W3546" s="0" t="str">
        <f aca="false">INDEX(Summary!$S$2:$S$201,MATCH($B3546,Summary!$A$2:$A$201,0))</f>
        <v>Bronze</v>
      </c>
      <c r="X3546" s="2" t="n">
        <f aca="false">INDEX(Summary!$T$2:$T$201,MATCH($B3546,Summary!$A$2:$A$201,0))</f>
        <v>37.71</v>
      </c>
      <c r="Y3546" s="0" t="str">
        <f aca="false">INDEX('Reward Model'!$E$18:$E$37,MATCH($E3546,'Reward Model'!$A$18:$A$37,0))</f>
        <v>Low</v>
      </c>
      <c r="Z3546" s="4" t="n">
        <f aca="false">ROUND(MIN(1,MAX('Reward Model'!$B$2,INDEX('Reward Model'!$C$12:$C$14,MATCH($K3546,'Reward Model'!$A$12:$A$14,0))/$J3546)),3)</f>
        <v>1</v>
      </c>
      <c r="AA3546" s="2" t="n">
        <f aca="false">IF($I3546="Correct",ROUND(INDEX('Reward Model'!$B$12:$B$14,MATCH($K3546,'Reward Model'!$A$12:$A$14,0))*Z3546,2),0)</f>
        <v>1</v>
      </c>
      <c r="AB3546" s="2" t="n">
        <f aca="false">IF($I3546="Correct",ROUND(INDEX('Reward Model'!$B$12:$B$14,MATCH($Y3546,'Reward Model'!$A$12:$A$14,0))*Z3546,2),0)</f>
        <v>1</v>
      </c>
    </row>
    <row r="3547" customFormat="false" ht="15" hidden="false" customHeight="false" outlineLevel="0" collapsed="false">
      <c r="A3547" s="0" t="s">
        <v>486</v>
      </c>
      <c r="B3547" s="0" t="s">
        <v>487</v>
      </c>
      <c r="C3547" s="0" t="s">
        <v>322</v>
      </c>
      <c r="D3547" s="0" t="s">
        <v>275</v>
      </c>
      <c r="E3547" s="0" t="n">
        <v>6</v>
      </c>
      <c r="F3547" s="0" t="s">
        <v>48</v>
      </c>
      <c r="G3547" s="0" t="s">
        <v>169</v>
      </c>
      <c r="H3547" s="0" t="s">
        <v>49</v>
      </c>
      <c r="I3547" s="0" t="s">
        <v>39</v>
      </c>
      <c r="J3547" s="0" t="n">
        <v>0.95</v>
      </c>
      <c r="K3547" s="0" t="s">
        <v>35</v>
      </c>
      <c r="L3547" s="0" t="n">
        <f aca="false">INDEX(Summary!$F$2:$F$201,MATCH($B3547,Summary!$A$2:$A$201,0))</f>
        <v>20</v>
      </c>
      <c r="M3547" s="0" t="n">
        <f aca="false">INDEX(Summary!$I$2:$I$201,MATCH($B3547,Summary!$A$2:$A$201,0))</f>
        <v>1</v>
      </c>
      <c r="N3547" s="0" t="n">
        <f aca="false">INDEX(Summary!$J$2:$J$201,MATCH($B3547,Summary!$A$2:$A$201,0))</f>
        <v>4</v>
      </c>
      <c r="O3547" s="2" t="n">
        <f aca="false">INDEX(Summary!$K$2:$K$201,MATCH($B3547,Summary!$A$2:$A$201,0))</f>
        <v>7.98</v>
      </c>
      <c r="P3547" s="3" t="n">
        <f aca="false">INDEX(Summary!$L$2:$L$201,MATCH($B3547,Summary!$A$2:$A$201,0))</f>
        <v>3</v>
      </c>
      <c r="Q3547" s="3" t="n">
        <f aca="false">INDEX(Summary!$M$2:$M$201,MATCH($B3547,Summary!$A$2:$A$201,0))</f>
        <v>3</v>
      </c>
      <c r="R3547" s="2" t="n">
        <f aca="false">INDEX(Summary!$N$2:$N$201,MATCH($B3547,Summary!$A$2:$A$201,0))</f>
        <v>11.45</v>
      </c>
      <c r="S3547" s="3" t="n">
        <f aca="false">INDEX(Summary!$O$2:$O$201,MATCH($B3547,Summary!$A$2:$A$201,0))</f>
        <v>5</v>
      </c>
      <c r="T3547" s="3" t="n">
        <f aca="false">INDEX(Summary!$P$2:$P$201,MATCH($B3547,Summary!$A$2:$A$201,0))</f>
        <v>4</v>
      </c>
      <c r="U3547" s="2" t="n">
        <f aca="false">INDEX(Summary!$Q$2:$Q$201,MATCH($B3547,Summary!$A$2:$A$201,0))</f>
        <v>11.29</v>
      </c>
      <c r="V3547" s="2" t="n">
        <f aca="false">INDEX(Summary!$R$2:$R$201,MATCH($B3547,Summary!$A$2:$A$201,0))</f>
        <v>15.46</v>
      </c>
      <c r="W3547" s="0" t="str">
        <f aca="false">INDEX(Summary!$S$2:$S$201,MATCH($B3547,Summary!$A$2:$A$201,0))</f>
        <v>Bronze</v>
      </c>
      <c r="X3547" s="2" t="n">
        <f aca="false">INDEX(Summary!$T$2:$T$201,MATCH($B3547,Summary!$A$2:$A$201,0))</f>
        <v>37.71</v>
      </c>
      <c r="Y3547" s="0" t="str">
        <f aca="false">INDEX('Reward Model'!$E$18:$E$37,MATCH($E3547,'Reward Model'!$A$18:$A$37,0))</f>
        <v>Medium</v>
      </c>
      <c r="Z3547" s="4" t="n">
        <f aca="false">ROUND(MIN(1,MAX('Reward Model'!$B$2,INDEX('Reward Model'!$C$12:$C$14,MATCH($K3547,'Reward Model'!$A$12:$A$14,0))/$J3547)),3)</f>
        <v>1</v>
      </c>
      <c r="AA3547" s="2" t="n">
        <f aca="false">IF($I3547="Correct",ROUND(INDEX('Reward Model'!$B$12:$B$14,MATCH($K3547,'Reward Model'!$A$12:$A$14,0))*Z3547,2),0)</f>
        <v>0</v>
      </c>
      <c r="AB3547" s="2" t="n">
        <f aca="false">IF($I3547="Correct",ROUND(INDEX('Reward Model'!$B$12:$B$14,MATCH($Y3547,'Reward Model'!$A$12:$A$14,0))*Z3547,2),0)</f>
        <v>0</v>
      </c>
    </row>
    <row r="3548" customFormat="false" ht="15" hidden="false" customHeight="false" outlineLevel="0" collapsed="false">
      <c r="A3548" s="0" t="s">
        <v>486</v>
      </c>
      <c r="B3548" s="0" t="s">
        <v>487</v>
      </c>
      <c r="C3548" s="0" t="s">
        <v>322</v>
      </c>
      <c r="D3548" s="0" t="s">
        <v>275</v>
      </c>
      <c r="E3548" s="0" t="n">
        <v>7</v>
      </c>
      <c r="F3548" s="0" t="s">
        <v>50</v>
      </c>
      <c r="G3548" s="0" t="s">
        <v>51</v>
      </c>
      <c r="H3548" s="0" t="s">
        <v>51</v>
      </c>
      <c r="I3548" s="0" t="s">
        <v>34</v>
      </c>
      <c r="J3548" s="0" t="n">
        <v>1.18</v>
      </c>
      <c r="K3548" s="0" t="s">
        <v>35</v>
      </c>
      <c r="L3548" s="0" t="n">
        <f aca="false">INDEX(Summary!$F$2:$F$201,MATCH($B3548,Summary!$A$2:$A$201,0))</f>
        <v>20</v>
      </c>
      <c r="M3548" s="0" t="n">
        <f aca="false">INDEX(Summary!$I$2:$I$201,MATCH($B3548,Summary!$A$2:$A$201,0))</f>
        <v>1</v>
      </c>
      <c r="N3548" s="0" t="n">
        <f aca="false">INDEX(Summary!$J$2:$J$201,MATCH($B3548,Summary!$A$2:$A$201,0))</f>
        <v>4</v>
      </c>
      <c r="O3548" s="2" t="n">
        <f aca="false">INDEX(Summary!$K$2:$K$201,MATCH($B3548,Summary!$A$2:$A$201,0))</f>
        <v>7.98</v>
      </c>
      <c r="P3548" s="3" t="n">
        <f aca="false">INDEX(Summary!$L$2:$L$201,MATCH($B3548,Summary!$A$2:$A$201,0))</f>
        <v>3</v>
      </c>
      <c r="Q3548" s="3" t="n">
        <f aca="false">INDEX(Summary!$M$2:$M$201,MATCH($B3548,Summary!$A$2:$A$201,0))</f>
        <v>3</v>
      </c>
      <c r="R3548" s="2" t="n">
        <f aca="false">INDEX(Summary!$N$2:$N$201,MATCH($B3548,Summary!$A$2:$A$201,0))</f>
        <v>11.45</v>
      </c>
      <c r="S3548" s="3" t="n">
        <f aca="false">INDEX(Summary!$O$2:$O$201,MATCH($B3548,Summary!$A$2:$A$201,0))</f>
        <v>5</v>
      </c>
      <c r="T3548" s="3" t="n">
        <f aca="false">INDEX(Summary!$P$2:$P$201,MATCH($B3548,Summary!$A$2:$A$201,0))</f>
        <v>4</v>
      </c>
      <c r="U3548" s="2" t="n">
        <f aca="false">INDEX(Summary!$Q$2:$Q$201,MATCH($B3548,Summary!$A$2:$A$201,0))</f>
        <v>11.29</v>
      </c>
      <c r="V3548" s="2" t="n">
        <f aca="false">INDEX(Summary!$R$2:$R$201,MATCH($B3548,Summary!$A$2:$A$201,0))</f>
        <v>15.46</v>
      </c>
      <c r="W3548" s="0" t="str">
        <f aca="false">INDEX(Summary!$S$2:$S$201,MATCH($B3548,Summary!$A$2:$A$201,0))</f>
        <v>Bronze</v>
      </c>
      <c r="X3548" s="2" t="n">
        <f aca="false">INDEX(Summary!$T$2:$T$201,MATCH($B3548,Summary!$A$2:$A$201,0))</f>
        <v>37.71</v>
      </c>
      <c r="Y3548" s="0" t="str">
        <f aca="false">INDEX('Reward Model'!$E$18:$E$37,MATCH($E3548,'Reward Model'!$A$18:$A$37,0))</f>
        <v>Low</v>
      </c>
      <c r="Z3548" s="4" t="n">
        <f aca="false">ROUND(MIN(1,MAX('Reward Model'!$B$2,INDEX('Reward Model'!$C$12:$C$14,MATCH($K3548,'Reward Model'!$A$12:$A$14,0))/$J3548)),3)</f>
        <v>1</v>
      </c>
      <c r="AA3548" s="2" t="n">
        <f aca="false">IF($I3548="Correct",ROUND(INDEX('Reward Model'!$B$12:$B$14,MATCH($K3548,'Reward Model'!$A$12:$A$14,0))*Z3548,2),0)</f>
        <v>1</v>
      </c>
      <c r="AB3548" s="2" t="n">
        <f aca="false">IF($I3548="Correct",ROUND(INDEX('Reward Model'!$B$12:$B$14,MATCH($Y3548,'Reward Model'!$A$12:$A$14,0))*Z3548,2),0)</f>
        <v>1</v>
      </c>
    </row>
    <row r="3549" customFormat="false" ht="15" hidden="false" customHeight="false" outlineLevel="0" collapsed="false">
      <c r="A3549" s="0" t="s">
        <v>486</v>
      </c>
      <c r="B3549" s="0" t="s">
        <v>487</v>
      </c>
      <c r="C3549" s="0" t="s">
        <v>322</v>
      </c>
      <c r="D3549" s="0" t="s">
        <v>275</v>
      </c>
      <c r="E3549" s="0" t="n">
        <v>8</v>
      </c>
      <c r="F3549" s="0" t="s">
        <v>52</v>
      </c>
      <c r="G3549" s="0" t="s">
        <v>53</v>
      </c>
      <c r="H3549" s="0" t="s">
        <v>54</v>
      </c>
      <c r="I3549" s="0" t="s">
        <v>39</v>
      </c>
      <c r="J3549" s="0" t="n">
        <v>1.97</v>
      </c>
      <c r="K3549" s="0" t="s">
        <v>35</v>
      </c>
      <c r="L3549" s="0" t="n">
        <f aca="false">INDEX(Summary!$F$2:$F$201,MATCH($B3549,Summary!$A$2:$A$201,0))</f>
        <v>20</v>
      </c>
      <c r="M3549" s="0" t="n">
        <f aca="false">INDEX(Summary!$I$2:$I$201,MATCH($B3549,Summary!$A$2:$A$201,0))</f>
        <v>1</v>
      </c>
      <c r="N3549" s="0" t="n">
        <f aca="false">INDEX(Summary!$J$2:$J$201,MATCH($B3549,Summary!$A$2:$A$201,0))</f>
        <v>4</v>
      </c>
      <c r="O3549" s="2" t="n">
        <f aca="false">INDEX(Summary!$K$2:$K$201,MATCH($B3549,Summary!$A$2:$A$201,0))</f>
        <v>7.98</v>
      </c>
      <c r="P3549" s="3" t="n">
        <f aca="false">INDEX(Summary!$L$2:$L$201,MATCH($B3549,Summary!$A$2:$A$201,0))</f>
        <v>3</v>
      </c>
      <c r="Q3549" s="3" t="n">
        <f aca="false">INDEX(Summary!$M$2:$M$201,MATCH($B3549,Summary!$A$2:$A$201,0))</f>
        <v>3</v>
      </c>
      <c r="R3549" s="2" t="n">
        <f aca="false">INDEX(Summary!$N$2:$N$201,MATCH($B3549,Summary!$A$2:$A$201,0))</f>
        <v>11.45</v>
      </c>
      <c r="S3549" s="3" t="n">
        <f aca="false">INDEX(Summary!$O$2:$O$201,MATCH($B3549,Summary!$A$2:$A$201,0))</f>
        <v>5</v>
      </c>
      <c r="T3549" s="3" t="n">
        <f aca="false">INDEX(Summary!$P$2:$P$201,MATCH($B3549,Summary!$A$2:$A$201,0))</f>
        <v>4</v>
      </c>
      <c r="U3549" s="2" t="n">
        <f aca="false">INDEX(Summary!$Q$2:$Q$201,MATCH($B3549,Summary!$A$2:$A$201,0))</f>
        <v>11.29</v>
      </c>
      <c r="V3549" s="2" t="n">
        <f aca="false">INDEX(Summary!$R$2:$R$201,MATCH($B3549,Summary!$A$2:$A$201,0))</f>
        <v>15.46</v>
      </c>
      <c r="W3549" s="0" t="str">
        <f aca="false">INDEX(Summary!$S$2:$S$201,MATCH($B3549,Summary!$A$2:$A$201,0))</f>
        <v>Bronze</v>
      </c>
      <c r="X3549" s="2" t="n">
        <f aca="false">INDEX(Summary!$T$2:$T$201,MATCH($B3549,Summary!$A$2:$A$201,0))</f>
        <v>37.71</v>
      </c>
      <c r="Y3549" s="0" t="str">
        <f aca="false">INDEX('Reward Model'!$E$18:$E$37,MATCH($E3549,'Reward Model'!$A$18:$A$37,0))</f>
        <v>Medium</v>
      </c>
      <c r="Z3549" s="4" t="n">
        <f aca="false">ROUND(MIN(1,MAX('Reward Model'!$B$2,INDEX('Reward Model'!$C$12:$C$14,MATCH($K3549,'Reward Model'!$A$12:$A$14,0))/$J3549)),3)</f>
        <v>0.761</v>
      </c>
      <c r="AA3549" s="2" t="n">
        <f aca="false">IF($I3549="Correct",ROUND(INDEX('Reward Model'!$B$12:$B$14,MATCH($K3549,'Reward Model'!$A$12:$A$14,0))*Z3549,2),0)</f>
        <v>0</v>
      </c>
      <c r="AB3549" s="2" t="n">
        <f aca="false">IF($I3549="Correct",ROUND(INDEX('Reward Model'!$B$12:$B$14,MATCH($Y3549,'Reward Model'!$A$12:$A$14,0))*Z3549,2),0)</f>
        <v>0</v>
      </c>
    </row>
    <row r="3550" customFormat="false" ht="15" hidden="false" customHeight="false" outlineLevel="0" collapsed="false">
      <c r="A3550" s="0" t="s">
        <v>486</v>
      </c>
      <c r="B3550" s="0" t="s">
        <v>487</v>
      </c>
      <c r="C3550" s="0" t="s">
        <v>322</v>
      </c>
      <c r="D3550" s="0" t="s">
        <v>275</v>
      </c>
      <c r="E3550" s="0" t="n">
        <v>9</v>
      </c>
      <c r="F3550" s="0" t="s">
        <v>55</v>
      </c>
      <c r="G3550" s="0" t="s">
        <v>57</v>
      </c>
      <c r="H3550" s="0" t="s">
        <v>57</v>
      </c>
      <c r="I3550" s="0" t="s">
        <v>34</v>
      </c>
      <c r="J3550" s="0" t="n">
        <v>1.08</v>
      </c>
      <c r="K3550" s="0" t="s">
        <v>35</v>
      </c>
      <c r="L3550" s="0" t="n">
        <f aca="false">INDEX(Summary!$F$2:$F$201,MATCH($B3550,Summary!$A$2:$A$201,0))</f>
        <v>20</v>
      </c>
      <c r="M3550" s="0" t="n">
        <f aca="false">INDEX(Summary!$I$2:$I$201,MATCH($B3550,Summary!$A$2:$A$201,0))</f>
        <v>1</v>
      </c>
      <c r="N3550" s="0" t="n">
        <f aca="false">INDEX(Summary!$J$2:$J$201,MATCH($B3550,Summary!$A$2:$A$201,0))</f>
        <v>4</v>
      </c>
      <c r="O3550" s="2" t="n">
        <f aca="false">INDEX(Summary!$K$2:$K$201,MATCH($B3550,Summary!$A$2:$A$201,0))</f>
        <v>7.98</v>
      </c>
      <c r="P3550" s="3" t="n">
        <f aca="false">INDEX(Summary!$L$2:$L$201,MATCH($B3550,Summary!$A$2:$A$201,0))</f>
        <v>3</v>
      </c>
      <c r="Q3550" s="3" t="n">
        <f aca="false">INDEX(Summary!$M$2:$M$201,MATCH($B3550,Summary!$A$2:$A$201,0))</f>
        <v>3</v>
      </c>
      <c r="R3550" s="2" t="n">
        <f aca="false">INDEX(Summary!$N$2:$N$201,MATCH($B3550,Summary!$A$2:$A$201,0))</f>
        <v>11.45</v>
      </c>
      <c r="S3550" s="3" t="n">
        <f aca="false">INDEX(Summary!$O$2:$O$201,MATCH($B3550,Summary!$A$2:$A$201,0))</f>
        <v>5</v>
      </c>
      <c r="T3550" s="3" t="n">
        <f aca="false">INDEX(Summary!$P$2:$P$201,MATCH($B3550,Summary!$A$2:$A$201,0))</f>
        <v>4</v>
      </c>
      <c r="U3550" s="2" t="n">
        <f aca="false">INDEX(Summary!$Q$2:$Q$201,MATCH($B3550,Summary!$A$2:$A$201,0))</f>
        <v>11.29</v>
      </c>
      <c r="V3550" s="2" t="n">
        <f aca="false">INDEX(Summary!$R$2:$R$201,MATCH($B3550,Summary!$A$2:$A$201,0))</f>
        <v>15.46</v>
      </c>
      <c r="W3550" s="0" t="str">
        <f aca="false">INDEX(Summary!$S$2:$S$201,MATCH($B3550,Summary!$A$2:$A$201,0))</f>
        <v>Bronze</v>
      </c>
      <c r="X3550" s="2" t="n">
        <f aca="false">INDEX(Summary!$T$2:$T$201,MATCH($B3550,Summary!$A$2:$A$201,0))</f>
        <v>37.71</v>
      </c>
      <c r="Y3550" s="0" t="str">
        <f aca="false">INDEX('Reward Model'!$E$18:$E$37,MATCH($E3550,'Reward Model'!$A$18:$A$37,0))</f>
        <v>Medium</v>
      </c>
      <c r="Z3550" s="4" t="n">
        <f aca="false">ROUND(MIN(1,MAX('Reward Model'!$B$2,INDEX('Reward Model'!$C$12:$C$14,MATCH($K3550,'Reward Model'!$A$12:$A$14,0))/$J3550)),3)</f>
        <v>1</v>
      </c>
      <c r="AA3550" s="2" t="n">
        <f aca="false">IF($I3550="Correct",ROUND(INDEX('Reward Model'!$B$12:$B$14,MATCH($K3550,'Reward Model'!$A$12:$A$14,0))*Z3550,2),0)</f>
        <v>1</v>
      </c>
      <c r="AB3550" s="2" t="n">
        <f aca="false">IF($I3550="Correct",ROUND(INDEX('Reward Model'!$B$12:$B$14,MATCH($Y3550,'Reward Model'!$A$12:$A$14,0))*Z3550,2),0)</f>
        <v>2</v>
      </c>
    </row>
    <row r="3551" customFormat="false" ht="15" hidden="false" customHeight="false" outlineLevel="0" collapsed="false">
      <c r="A3551" s="0" t="s">
        <v>486</v>
      </c>
      <c r="B3551" s="0" t="s">
        <v>487</v>
      </c>
      <c r="C3551" s="0" t="s">
        <v>322</v>
      </c>
      <c r="D3551" s="0" t="s">
        <v>275</v>
      </c>
      <c r="E3551" s="0" t="n">
        <v>10</v>
      </c>
      <c r="F3551" s="0" t="s">
        <v>58</v>
      </c>
      <c r="G3551" s="0" t="s">
        <v>59</v>
      </c>
      <c r="H3551" s="0" t="s">
        <v>59</v>
      </c>
      <c r="I3551" s="0" t="s">
        <v>34</v>
      </c>
      <c r="J3551" s="0" t="n">
        <v>1.91</v>
      </c>
      <c r="K3551" s="0" t="s">
        <v>60</v>
      </c>
      <c r="L3551" s="0" t="n">
        <f aca="false">INDEX(Summary!$F$2:$F$201,MATCH($B3551,Summary!$A$2:$A$201,0))</f>
        <v>20</v>
      </c>
      <c r="M3551" s="0" t="n">
        <f aca="false">INDEX(Summary!$I$2:$I$201,MATCH($B3551,Summary!$A$2:$A$201,0))</f>
        <v>1</v>
      </c>
      <c r="N3551" s="0" t="n">
        <f aca="false">INDEX(Summary!$J$2:$J$201,MATCH($B3551,Summary!$A$2:$A$201,0))</f>
        <v>4</v>
      </c>
      <c r="O3551" s="2" t="n">
        <f aca="false">INDEX(Summary!$K$2:$K$201,MATCH($B3551,Summary!$A$2:$A$201,0))</f>
        <v>7.98</v>
      </c>
      <c r="P3551" s="3" t="n">
        <f aca="false">INDEX(Summary!$L$2:$L$201,MATCH($B3551,Summary!$A$2:$A$201,0))</f>
        <v>3</v>
      </c>
      <c r="Q3551" s="3" t="n">
        <f aca="false">INDEX(Summary!$M$2:$M$201,MATCH($B3551,Summary!$A$2:$A$201,0))</f>
        <v>3</v>
      </c>
      <c r="R3551" s="2" t="n">
        <f aca="false">INDEX(Summary!$N$2:$N$201,MATCH($B3551,Summary!$A$2:$A$201,0))</f>
        <v>11.45</v>
      </c>
      <c r="S3551" s="3" t="n">
        <f aca="false">INDEX(Summary!$O$2:$O$201,MATCH($B3551,Summary!$A$2:$A$201,0))</f>
        <v>5</v>
      </c>
      <c r="T3551" s="3" t="n">
        <f aca="false">INDEX(Summary!$P$2:$P$201,MATCH($B3551,Summary!$A$2:$A$201,0))</f>
        <v>4</v>
      </c>
      <c r="U3551" s="2" t="n">
        <f aca="false">INDEX(Summary!$Q$2:$Q$201,MATCH($B3551,Summary!$A$2:$A$201,0))</f>
        <v>11.29</v>
      </c>
      <c r="V3551" s="2" t="n">
        <f aca="false">INDEX(Summary!$R$2:$R$201,MATCH($B3551,Summary!$A$2:$A$201,0))</f>
        <v>15.46</v>
      </c>
      <c r="W3551" s="0" t="str">
        <f aca="false">INDEX(Summary!$S$2:$S$201,MATCH($B3551,Summary!$A$2:$A$201,0))</f>
        <v>Bronze</v>
      </c>
      <c r="X3551" s="2" t="n">
        <f aca="false">INDEX(Summary!$T$2:$T$201,MATCH($B3551,Summary!$A$2:$A$201,0))</f>
        <v>37.71</v>
      </c>
      <c r="Y3551" s="0" t="str">
        <f aca="false">INDEX('Reward Model'!$E$18:$E$37,MATCH($E3551,'Reward Model'!$A$18:$A$37,0))</f>
        <v>Medium</v>
      </c>
      <c r="Z3551" s="4" t="n">
        <f aca="false">ROUND(MIN(1,MAX('Reward Model'!$B$2,INDEX('Reward Model'!$C$12:$C$14,MATCH($K3551,'Reward Model'!$A$12:$A$14,0))/$J3551)),3)</f>
        <v>0.942</v>
      </c>
      <c r="AA3551" s="2" t="n">
        <f aca="false">IF($I3551="Correct",ROUND(INDEX('Reward Model'!$B$12:$B$14,MATCH($K3551,'Reward Model'!$A$12:$A$14,0))*Z3551,2),0)</f>
        <v>1.88</v>
      </c>
      <c r="AB3551" s="2" t="n">
        <f aca="false">IF($I3551="Correct",ROUND(INDEX('Reward Model'!$B$12:$B$14,MATCH($Y3551,'Reward Model'!$A$12:$A$14,0))*Z3551,2),0)</f>
        <v>1.88</v>
      </c>
    </row>
    <row r="3552" customFormat="false" ht="15" hidden="false" customHeight="false" outlineLevel="0" collapsed="false">
      <c r="A3552" s="0" t="s">
        <v>486</v>
      </c>
      <c r="B3552" s="0" t="s">
        <v>487</v>
      </c>
      <c r="C3552" s="0" t="s">
        <v>322</v>
      </c>
      <c r="D3552" s="0" t="s">
        <v>275</v>
      </c>
      <c r="E3552" s="0" t="n">
        <v>11</v>
      </c>
      <c r="F3552" s="0" t="s">
        <v>61</v>
      </c>
      <c r="G3552" s="0" t="s">
        <v>62</v>
      </c>
      <c r="H3552" s="0" t="s">
        <v>63</v>
      </c>
      <c r="I3552" s="0" t="s">
        <v>39</v>
      </c>
      <c r="J3552" s="0" t="n">
        <v>2.24</v>
      </c>
      <c r="K3552" s="0" t="s">
        <v>60</v>
      </c>
      <c r="L3552" s="0" t="n">
        <f aca="false">INDEX(Summary!$F$2:$F$201,MATCH($B3552,Summary!$A$2:$A$201,0))</f>
        <v>20</v>
      </c>
      <c r="M3552" s="0" t="n">
        <f aca="false">INDEX(Summary!$I$2:$I$201,MATCH($B3552,Summary!$A$2:$A$201,0))</f>
        <v>1</v>
      </c>
      <c r="N3552" s="0" t="n">
        <f aca="false">INDEX(Summary!$J$2:$J$201,MATCH($B3552,Summary!$A$2:$A$201,0))</f>
        <v>4</v>
      </c>
      <c r="O3552" s="2" t="n">
        <f aca="false">INDEX(Summary!$K$2:$K$201,MATCH($B3552,Summary!$A$2:$A$201,0))</f>
        <v>7.98</v>
      </c>
      <c r="P3552" s="3" t="n">
        <f aca="false">INDEX(Summary!$L$2:$L$201,MATCH($B3552,Summary!$A$2:$A$201,0))</f>
        <v>3</v>
      </c>
      <c r="Q3552" s="3" t="n">
        <f aca="false">INDEX(Summary!$M$2:$M$201,MATCH($B3552,Summary!$A$2:$A$201,0))</f>
        <v>3</v>
      </c>
      <c r="R3552" s="2" t="n">
        <f aca="false">INDEX(Summary!$N$2:$N$201,MATCH($B3552,Summary!$A$2:$A$201,0))</f>
        <v>11.45</v>
      </c>
      <c r="S3552" s="3" t="n">
        <f aca="false">INDEX(Summary!$O$2:$O$201,MATCH($B3552,Summary!$A$2:$A$201,0))</f>
        <v>5</v>
      </c>
      <c r="T3552" s="3" t="n">
        <f aca="false">INDEX(Summary!$P$2:$P$201,MATCH($B3552,Summary!$A$2:$A$201,0))</f>
        <v>4</v>
      </c>
      <c r="U3552" s="2" t="n">
        <f aca="false">INDEX(Summary!$Q$2:$Q$201,MATCH($B3552,Summary!$A$2:$A$201,0))</f>
        <v>11.29</v>
      </c>
      <c r="V3552" s="2" t="n">
        <f aca="false">INDEX(Summary!$R$2:$R$201,MATCH($B3552,Summary!$A$2:$A$201,0))</f>
        <v>15.46</v>
      </c>
      <c r="W3552" s="0" t="str">
        <f aca="false">INDEX(Summary!$S$2:$S$201,MATCH($B3552,Summary!$A$2:$A$201,0))</f>
        <v>Bronze</v>
      </c>
      <c r="X3552" s="2" t="n">
        <f aca="false">INDEX(Summary!$T$2:$T$201,MATCH($B3552,Summary!$A$2:$A$201,0))</f>
        <v>37.71</v>
      </c>
      <c r="Y3552" s="0" t="str">
        <f aca="false">INDEX('Reward Model'!$E$18:$E$37,MATCH($E3552,'Reward Model'!$A$18:$A$37,0))</f>
        <v>Medium</v>
      </c>
      <c r="Z3552" s="4" t="n">
        <f aca="false">ROUND(MIN(1,MAX('Reward Model'!$B$2,INDEX('Reward Model'!$C$12:$C$14,MATCH($K3552,'Reward Model'!$A$12:$A$14,0))/$J3552)),3)</f>
        <v>0.804</v>
      </c>
      <c r="AA3552" s="2" t="n">
        <f aca="false">IF($I3552="Correct",ROUND(INDEX('Reward Model'!$B$12:$B$14,MATCH($K3552,'Reward Model'!$A$12:$A$14,0))*Z3552,2),0)</f>
        <v>0</v>
      </c>
      <c r="AB3552" s="2" t="n">
        <f aca="false">IF($I3552="Correct",ROUND(INDEX('Reward Model'!$B$12:$B$14,MATCH($Y3552,'Reward Model'!$A$12:$A$14,0))*Z3552,2),0)</f>
        <v>0</v>
      </c>
    </row>
    <row r="3553" customFormat="false" ht="15" hidden="false" customHeight="false" outlineLevel="0" collapsed="false">
      <c r="A3553" s="0" t="s">
        <v>486</v>
      </c>
      <c r="B3553" s="0" t="s">
        <v>487</v>
      </c>
      <c r="C3553" s="0" t="s">
        <v>322</v>
      </c>
      <c r="D3553" s="0" t="s">
        <v>275</v>
      </c>
      <c r="E3553" s="0" t="n">
        <v>12</v>
      </c>
      <c r="F3553" s="0" t="s">
        <v>64</v>
      </c>
      <c r="G3553" s="0" t="s">
        <v>65</v>
      </c>
      <c r="H3553" s="0" t="s">
        <v>65</v>
      </c>
      <c r="I3553" s="0" t="s">
        <v>34</v>
      </c>
      <c r="J3553" s="0" t="n">
        <v>2.12</v>
      </c>
      <c r="K3553" s="0" t="s">
        <v>60</v>
      </c>
      <c r="L3553" s="0" t="n">
        <f aca="false">INDEX(Summary!$F$2:$F$201,MATCH($B3553,Summary!$A$2:$A$201,0))</f>
        <v>20</v>
      </c>
      <c r="M3553" s="0" t="n">
        <f aca="false">INDEX(Summary!$I$2:$I$201,MATCH($B3553,Summary!$A$2:$A$201,0))</f>
        <v>1</v>
      </c>
      <c r="N3553" s="0" t="n">
        <f aca="false">INDEX(Summary!$J$2:$J$201,MATCH($B3553,Summary!$A$2:$A$201,0))</f>
        <v>4</v>
      </c>
      <c r="O3553" s="2" t="n">
        <f aca="false">INDEX(Summary!$K$2:$K$201,MATCH($B3553,Summary!$A$2:$A$201,0))</f>
        <v>7.98</v>
      </c>
      <c r="P3553" s="3" t="n">
        <f aca="false">INDEX(Summary!$L$2:$L$201,MATCH($B3553,Summary!$A$2:$A$201,0))</f>
        <v>3</v>
      </c>
      <c r="Q3553" s="3" t="n">
        <f aca="false">INDEX(Summary!$M$2:$M$201,MATCH($B3553,Summary!$A$2:$A$201,0))</f>
        <v>3</v>
      </c>
      <c r="R3553" s="2" t="n">
        <f aca="false">INDEX(Summary!$N$2:$N$201,MATCH($B3553,Summary!$A$2:$A$201,0))</f>
        <v>11.45</v>
      </c>
      <c r="S3553" s="3" t="n">
        <f aca="false">INDEX(Summary!$O$2:$O$201,MATCH($B3553,Summary!$A$2:$A$201,0))</f>
        <v>5</v>
      </c>
      <c r="T3553" s="3" t="n">
        <f aca="false">INDEX(Summary!$P$2:$P$201,MATCH($B3553,Summary!$A$2:$A$201,0))</f>
        <v>4</v>
      </c>
      <c r="U3553" s="2" t="n">
        <f aca="false">INDEX(Summary!$Q$2:$Q$201,MATCH($B3553,Summary!$A$2:$A$201,0))</f>
        <v>11.29</v>
      </c>
      <c r="V3553" s="2" t="n">
        <f aca="false">INDEX(Summary!$R$2:$R$201,MATCH($B3553,Summary!$A$2:$A$201,0))</f>
        <v>15.46</v>
      </c>
      <c r="W3553" s="0" t="str">
        <f aca="false">INDEX(Summary!$S$2:$S$201,MATCH($B3553,Summary!$A$2:$A$201,0))</f>
        <v>Bronze</v>
      </c>
      <c r="X3553" s="2" t="n">
        <f aca="false">INDEX(Summary!$T$2:$T$201,MATCH($B3553,Summary!$A$2:$A$201,0))</f>
        <v>37.71</v>
      </c>
      <c r="Y3553" s="0" t="str">
        <f aca="false">INDEX('Reward Model'!$E$18:$E$37,MATCH($E3553,'Reward Model'!$A$18:$A$37,0))</f>
        <v>Medium</v>
      </c>
      <c r="Z3553" s="4" t="n">
        <f aca="false">ROUND(MIN(1,MAX('Reward Model'!$B$2,INDEX('Reward Model'!$C$12:$C$14,MATCH($K3553,'Reward Model'!$A$12:$A$14,0))/$J3553)),3)</f>
        <v>0.849</v>
      </c>
      <c r="AA3553" s="2" t="n">
        <f aca="false">IF($I3553="Correct",ROUND(INDEX('Reward Model'!$B$12:$B$14,MATCH($K3553,'Reward Model'!$A$12:$A$14,0))*Z3553,2),0)</f>
        <v>1.7</v>
      </c>
      <c r="AB3553" s="2" t="n">
        <f aca="false">IF($I3553="Correct",ROUND(INDEX('Reward Model'!$B$12:$B$14,MATCH($Y3553,'Reward Model'!$A$12:$A$14,0))*Z3553,2),0)</f>
        <v>1.7</v>
      </c>
    </row>
    <row r="3554" customFormat="false" ht="15" hidden="false" customHeight="false" outlineLevel="0" collapsed="false">
      <c r="A3554" s="0" t="s">
        <v>486</v>
      </c>
      <c r="B3554" s="0" t="s">
        <v>487</v>
      </c>
      <c r="C3554" s="0" t="s">
        <v>322</v>
      </c>
      <c r="D3554" s="0" t="s">
        <v>275</v>
      </c>
      <c r="E3554" s="0" t="n">
        <v>13</v>
      </c>
      <c r="F3554" s="0" t="s">
        <v>66</v>
      </c>
      <c r="G3554" s="0" t="s">
        <v>124</v>
      </c>
      <c r="H3554" s="0" t="s">
        <v>67</v>
      </c>
      <c r="I3554" s="0" t="s">
        <v>39</v>
      </c>
      <c r="J3554" s="0" t="n">
        <v>1.93</v>
      </c>
      <c r="K3554" s="0" t="s">
        <v>60</v>
      </c>
      <c r="L3554" s="0" t="n">
        <f aca="false">INDEX(Summary!$F$2:$F$201,MATCH($B3554,Summary!$A$2:$A$201,0))</f>
        <v>20</v>
      </c>
      <c r="M3554" s="0" t="n">
        <f aca="false">INDEX(Summary!$I$2:$I$201,MATCH($B3554,Summary!$A$2:$A$201,0))</f>
        <v>1</v>
      </c>
      <c r="N3554" s="0" t="n">
        <f aca="false">INDEX(Summary!$J$2:$J$201,MATCH($B3554,Summary!$A$2:$A$201,0))</f>
        <v>4</v>
      </c>
      <c r="O3554" s="2" t="n">
        <f aca="false">INDEX(Summary!$K$2:$K$201,MATCH($B3554,Summary!$A$2:$A$201,0))</f>
        <v>7.98</v>
      </c>
      <c r="P3554" s="3" t="n">
        <f aca="false">INDEX(Summary!$L$2:$L$201,MATCH($B3554,Summary!$A$2:$A$201,0))</f>
        <v>3</v>
      </c>
      <c r="Q3554" s="3" t="n">
        <f aca="false">INDEX(Summary!$M$2:$M$201,MATCH($B3554,Summary!$A$2:$A$201,0))</f>
        <v>3</v>
      </c>
      <c r="R3554" s="2" t="n">
        <f aca="false">INDEX(Summary!$N$2:$N$201,MATCH($B3554,Summary!$A$2:$A$201,0))</f>
        <v>11.45</v>
      </c>
      <c r="S3554" s="3" t="n">
        <f aca="false">INDEX(Summary!$O$2:$O$201,MATCH($B3554,Summary!$A$2:$A$201,0))</f>
        <v>5</v>
      </c>
      <c r="T3554" s="3" t="n">
        <f aca="false">INDEX(Summary!$P$2:$P$201,MATCH($B3554,Summary!$A$2:$A$201,0))</f>
        <v>4</v>
      </c>
      <c r="U3554" s="2" t="n">
        <f aca="false">INDEX(Summary!$Q$2:$Q$201,MATCH($B3554,Summary!$A$2:$A$201,0))</f>
        <v>11.29</v>
      </c>
      <c r="V3554" s="2" t="n">
        <f aca="false">INDEX(Summary!$R$2:$R$201,MATCH($B3554,Summary!$A$2:$A$201,0))</f>
        <v>15.46</v>
      </c>
      <c r="W3554" s="0" t="str">
        <f aca="false">INDEX(Summary!$S$2:$S$201,MATCH($B3554,Summary!$A$2:$A$201,0))</f>
        <v>Bronze</v>
      </c>
      <c r="X3554" s="2" t="n">
        <f aca="false">INDEX(Summary!$T$2:$T$201,MATCH($B3554,Summary!$A$2:$A$201,0))</f>
        <v>37.71</v>
      </c>
      <c r="Y3554" s="0" t="str">
        <f aca="false">INDEX('Reward Model'!$E$18:$E$37,MATCH($E3554,'Reward Model'!$A$18:$A$37,0))</f>
        <v>Medium</v>
      </c>
      <c r="Z3554" s="4" t="n">
        <f aca="false">ROUND(MIN(1,MAX('Reward Model'!$B$2,INDEX('Reward Model'!$C$12:$C$14,MATCH($K3554,'Reward Model'!$A$12:$A$14,0))/$J3554)),3)</f>
        <v>0.933</v>
      </c>
      <c r="AA3554" s="2" t="n">
        <f aca="false">IF($I3554="Correct",ROUND(INDEX('Reward Model'!$B$12:$B$14,MATCH($K3554,'Reward Model'!$A$12:$A$14,0))*Z3554,2),0)</f>
        <v>0</v>
      </c>
      <c r="AB3554" s="2" t="n">
        <f aca="false">IF($I3554="Correct",ROUND(INDEX('Reward Model'!$B$12:$B$14,MATCH($Y3554,'Reward Model'!$A$12:$A$14,0))*Z3554,2),0)</f>
        <v>0</v>
      </c>
    </row>
    <row r="3555" customFormat="false" ht="15" hidden="false" customHeight="false" outlineLevel="0" collapsed="false">
      <c r="A3555" s="0" t="s">
        <v>486</v>
      </c>
      <c r="B3555" s="0" t="s">
        <v>487</v>
      </c>
      <c r="C3555" s="0" t="s">
        <v>322</v>
      </c>
      <c r="D3555" s="0" t="s">
        <v>275</v>
      </c>
      <c r="E3555" s="0" t="n">
        <v>14</v>
      </c>
      <c r="F3555" s="0" t="s">
        <v>68</v>
      </c>
      <c r="G3555" s="0" t="s">
        <v>118</v>
      </c>
      <c r="H3555" s="0" t="s">
        <v>51</v>
      </c>
      <c r="I3555" s="0" t="s">
        <v>39</v>
      </c>
      <c r="J3555" s="0" t="n">
        <v>2.05</v>
      </c>
      <c r="K3555" s="0" t="s">
        <v>60</v>
      </c>
      <c r="L3555" s="0" t="n">
        <f aca="false">INDEX(Summary!$F$2:$F$201,MATCH($B3555,Summary!$A$2:$A$201,0))</f>
        <v>20</v>
      </c>
      <c r="M3555" s="0" t="n">
        <f aca="false">INDEX(Summary!$I$2:$I$201,MATCH($B3555,Summary!$A$2:$A$201,0))</f>
        <v>1</v>
      </c>
      <c r="N3555" s="0" t="n">
        <f aca="false">INDEX(Summary!$J$2:$J$201,MATCH($B3555,Summary!$A$2:$A$201,0))</f>
        <v>4</v>
      </c>
      <c r="O3555" s="2" t="n">
        <f aca="false">INDEX(Summary!$K$2:$K$201,MATCH($B3555,Summary!$A$2:$A$201,0))</f>
        <v>7.98</v>
      </c>
      <c r="P3555" s="3" t="n">
        <f aca="false">INDEX(Summary!$L$2:$L$201,MATCH($B3555,Summary!$A$2:$A$201,0))</f>
        <v>3</v>
      </c>
      <c r="Q3555" s="3" t="n">
        <f aca="false">INDEX(Summary!$M$2:$M$201,MATCH($B3555,Summary!$A$2:$A$201,0))</f>
        <v>3</v>
      </c>
      <c r="R3555" s="2" t="n">
        <f aca="false">INDEX(Summary!$N$2:$N$201,MATCH($B3555,Summary!$A$2:$A$201,0))</f>
        <v>11.45</v>
      </c>
      <c r="S3555" s="3" t="n">
        <f aca="false">INDEX(Summary!$O$2:$O$201,MATCH($B3555,Summary!$A$2:$A$201,0))</f>
        <v>5</v>
      </c>
      <c r="T3555" s="3" t="n">
        <f aca="false">INDEX(Summary!$P$2:$P$201,MATCH($B3555,Summary!$A$2:$A$201,0))</f>
        <v>4</v>
      </c>
      <c r="U3555" s="2" t="n">
        <f aca="false">INDEX(Summary!$Q$2:$Q$201,MATCH($B3555,Summary!$A$2:$A$201,0))</f>
        <v>11.29</v>
      </c>
      <c r="V3555" s="2" t="n">
        <f aca="false">INDEX(Summary!$R$2:$R$201,MATCH($B3555,Summary!$A$2:$A$201,0))</f>
        <v>15.46</v>
      </c>
      <c r="W3555" s="0" t="str">
        <f aca="false">INDEX(Summary!$S$2:$S$201,MATCH($B3555,Summary!$A$2:$A$201,0))</f>
        <v>Bronze</v>
      </c>
      <c r="X3555" s="2" t="n">
        <f aca="false">INDEX(Summary!$T$2:$T$201,MATCH($B3555,Summary!$A$2:$A$201,0))</f>
        <v>37.71</v>
      </c>
      <c r="Y3555" s="0" t="str">
        <f aca="false">INDEX('Reward Model'!$E$18:$E$37,MATCH($E3555,'Reward Model'!$A$18:$A$37,0))</f>
        <v>Medium</v>
      </c>
      <c r="Z3555" s="4" t="n">
        <f aca="false">ROUND(MIN(1,MAX('Reward Model'!$B$2,INDEX('Reward Model'!$C$12:$C$14,MATCH($K3555,'Reward Model'!$A$12:$A$14,0))/$J3555)),3)</f>
        <v>0.878</v>
      </c>
      <c r="AA3555" s="2" t="n">
        <f aca="false">IF($I3555="Correct",ROUND(INDEX('Reward Model'!$B$12:$B$14,MATCH($K3555,'Reward Model'!$A$12:$A$14,0))*Z3555,2),0)</f>
        <v>0</v>
      </c>
      <c r="AB3555" s="2" t="n">
        <f aca="false">IF($I3555="Correct",ROUND(INDEX('Reward Model'!$B$12:$B$14,MATCH($Y3555,'Reward Model'!$A$12:$A$14,0))*Z3555,2),0)</f>
        <v>0</v>
      </c>
    </row>
    <row r="3556" customFormat="false" ht="15" hidden="false" customHeight="false" outlineLevel="0" collapsed="false">
      <c r="A3556" s="0" t="s">
        <v>486</v>
      </c>
      <c r="B3556" s="0" t="s">
        <v>487</v>
      </c>
      <c r="C3556" s="0" t="s">
        <v>322</v>
      </c>
      <c r="D3556" s="0" t="s">
        <v>275</v>
      </c>
      <c r="E3556" s="0" t="n">
        <v>15</v>
      </c>
      <c r="F3556" s="0" t="s">
        <v>69</v>
      </c>
      <c r="G3556" s="0" t="s">
        <v>70</v>
      </c>
      <c r="H3556" s="0" t="s">
        <v>70</v>
      </c>
      <c r="I3556" s="0" t="s">
        <v>34</v>
      </c>
      <c r="J3556" s="0" t="n">
        <v>1.2</v>
      </c>
      <c r="K3556" s="0" t="s">
        <v>60</v>
      </c>
      <c r="L3556" s="0" t="n">
        <f aca="false">INDEX(Summary!$F$2:$F$201,MATCH($B3556,Summary!$A$2:$A$201,0))</f>
        <v>20</v>
      </c>
      <c r="M3556" s="0" t="n">
        <f aca="false">INDEX(Summary!$I$2:$I$201,MATCH($B3556,Summary!$A$2:$A$201,0))</f>
        <v>1</v>
      </c>
      <c r="N3556" s="0" t="n">
        <f aca="false">INDEX(Summary!$J$2:$J$201,MATCH($B3556,Summary!$A$2:$A$201,0))</f>
        <v>4</v>
      </c>
      <c r="O3556" s="2" t="n">
        <f aca="false">INDEX(Summary!$K$2:$K$201,MATCH($B3556,Summary!$A$2:$A$201,0))</f>
        <v>7.98</v>
      </c>
      <c r="P3556" s="3" t="n">
        <f aca="false">INDEX(Summary!$L$2:$L$201,MATCH($B3556,Summary!$A$2:$A$201,0))</f>
        <v>3</v>
      </c>
      <c r="Q3556" s="3" t="n">
        <f aca="false">INDEX(Summary!$M$2:$M$201,MATCH($B3556,Summary!$A$2:$A$201,0))</f>
        <v>3</v>
      </c>
      <c r="R3556" s="2" t="n">
        <f aca="false">INDEX(Summary!$N$2:$N$201,MATCH($B3556,Summary!$A$2:$A$201,0))</f>
        <v>11.45</v>
      </c>
      <c r="S3556" s="3" t="n">
        <f aca="false">INDEX(Summary!$O$2:$O$201,MATCH($B3556,Summary!$A$2:$A$201,0))</f>
        <v>5</v>
      </c>
      <c r="T3556" s="3" t="n">
        <f aca="false">INDEX(Summary!$P$2:$P$201,MATCH($B3556,Summary!$A$2:$A$201,0))</f>
        <v>4</v>
      </c>
      <c r="U3556" s="2" t="n">
        <f aca="false">INDEX(Summary!$Q$2:$Q$201,MATCH($B3556,Summary!$A$2:$A$201,0))</f>
        <v>11.29</v>
      </c>
      <c r="V3556" s="2" t="n">
        <f aca="false">INDEX(Summary!$R$2:$R$201,MATCH($B3556,Summary!$A$2:$A$201,0))</f>
        <v>15.46</v>
      </c>
      <c r="W3556" s="0" t="str">
        <f aca="false">INDEX(Summary!$S$2:$S$201,MATCH($B3556,Summary!$A$2:$A$201,0))</f>
        <v>Bronze</v>
      </c>
      <c r="X3556" s="2" t="n">
        <f aca="false">INDEX(Summary!$T$2:$T$201,MATCH($B3556,Summary!$A$2:$A$201,0))</f>
        <v>37.71</v>
      </c>
      <c r="Y3556" s="0" t="str">
        <f aca="false">INDEX('Reward Model'!$E$18:$E$37,MATCH($E3556,'Reward Model'!$A$18:$A$37,0))</f>
        <v>Medium</v>
      </c>
      <c r="Z3556" s="4" t="n">
        <f aca="false">ROUND(MIN(1,MAX('Reward Model'!$B$2,INDEX('Reward Model'!$C$12:$C$14,MATCH($K3556,'Reward Model'!$A$12:$A$14,0))/$J3556)),3)</f>
        <v>1</v>
      </c>
      <c r="AA3556" s="2" t="n">
        <f aca="false">IF($I3556="Correct",ROUND(INDEX('Reward Model'!$B$12:$B$14,MATCH($K3556,'Reward Model'!$A$12:$A$14,0))*Z3556,2),0)</f>
        <v>2</v>
      </c>
      <c r="AB3556" s="2" t="n">
        <f aca="false">IF($I3556="Correct",ROUND(INDEX('Reward Model'!$B$12:$B$14,MATCH($Y3556,'Reward Model'!$A$12:$A$14,0))*Z3556,2),0)</f>
        <v>2</v>
      </c>
    </row>
    <row r="3557" customFormat="false" ht="15" hidden="false" customHeight="false" outlineLevel="0" collapsed="false">
      <c r="A3557" s="0" t="s">
        <v>486</v>
      </c>
      <c r="B3557" s="0" t="s">
        <v>487</v>
      </c>
      <c r="C3557" s="0" t="s">
        <v>322</v>
      </c>
      <c r="D3557" s="0" t="s">
        <v>275</v>
      </c>
      <c r="E3557" s="0" t="n">
        <v>16</v>
      </c>
      <c r="F3557" s="0" t="s">
        <v>71</v>
      </c>
      <c r="G3557" s="0" t="s">
        <v>104</v>
      </c>
      <c r="H3557" s="0" t="s">
        <v>72</v>
      </c>
      <c r="I3557" s="0" t="s">
        <v>39</v>
      </c>
      <c r="J3557" s="0" t="n">
        <v>1.89</v>
      </c>
      <c r="K3557" s="0" t="s">
        <v>73</v>
      </c>
      <c r="L3557" s="0" t="n">
        <f aca="false">INDEX(Summary!$F$2:$F$201,MATCH($B3557,Summary!$A$2:$A$201,0))</f>
        <v>20</v>
      </c>
      <c r="M3557" s="0" t="n">
        <f aca="false">INDEX(Summary!$I$2:$I$201,MATCH($B3557,Summary!$A$2:$A$201,0))</f>
        <v>1</v>
      </c>
      <c r="N3557" s="0" t="n">
        <f aca="false">INDEX(Summary!$J$2:$J$201,MATCH($B3557,Summary!$A$2:$A$201,0))</f>
        <v>4</v>
      </c>
      <c r="O3557" s="2" t="n">
        <f aca="false">INDEX(Summary!$K$2:$K$201,MATCH($B3557,Summary!$A$2:$A$201,0))</f>
        <v>7.98</v>
      </c>
      <c r="P3557" s="3" t="n">
        <f aca="false">INDEX(Summary!$L$2:$L$201,MATCH($B3557,Summary!$A$2:$A$201,0))</f>
        <v>3</v>
      </c>
      <c r="Q3557" s="3" t="n">
        <f aca="false">INDEX(Summary!$M$2:$M$201,MATCH($B3557,Summary!$A$2:$A$201,0))</f>
        <v>3</v>
      </c>
      <c r="R3557" s="2" t="n">
        <f aca="false">INDEX(Summary!$N$2:$N$201,MATCH($B3557,Summary!$A$2:$A$201,0))</f>
        <v>11.45</v>
      </c>
      <c r="S3557" s="3" t="n">
        <f aca="false">INDEX(Summary!$O$2:$O$201,MATCH($B3557,Summary!$A$2:$A$201,0))</f>
        <v>5</v>
      </c>
      <c r="T3557" s="3" t="n">
        <f aca="false">INDEX(Summary!$P$2:$P$201,MATCH($B3557,Summary!$A$2:$A$201,0))</f>
        <v>4</v>
      </c>
      <c r="U3557" s="2" t="n">
        <f aca="false">INDEX(Summary!$Q$2:$Q$201,MATCH($B3557,Summary!$A$2:$A$201,0))</f>
        <v>11.29</v>
      </c>
      <c r="V3557" s="2" t="n">
        <f aca="false">INDEX(Summary!$R$2:$R$201,MATCH($B3557,Summary!$A$2:$A$201,0))</f>
        <v>15.46</v>
      </c>
      <c r="W3557" s="0" t="str">
        <f aca="false">INDEX(Summary!$S$2:$S$201,MATCH($B3557,Summary!$A$2:$A$201,0))</f>
        <v>Bronze</v>
      </c>
      <c r="X3557" s="2" t="n">
        <f aca="false">INDEX(Summary!$T$2:$T$201,MATCH($B3557,Summary!$A$2:$A$201,0))</f>
        <v>37.71</v>
      </c>
      <c r="Y3557" s="0" t="str">
        <f aca="false">INDEX('Reward Model'!$E$18:$E$37,MATCH($E3557,'Reward Model'!$A$18:$A$37,0))</f>
        <v>High</v>
      </c>
      <c r="Z3557" s="4" t="n">
        <f aca="false">ROUND(MIN(1,MAX('Reward Model'!$B$2,INDEX('Reward Model'!$C$12:$C$14,MATCH($K3557,'Reward Model'!$A$12:$A$14,0))/$J3557)),3)</f>
        <v>1</v>
      </c>
      <c r="AA3557" s="2" t="n">
        <f aca="false">IF($I3557="Correct",ROUND(INDEX('Reward Model'!$B$12:$B$14,MATCH($K3557,'Reward Model'!$A$12:$A$14,0))*Z3557,2),0)</f>
        <v>0</v>
      </c>
      <c r="AB3557" s="2" t="n">
        <f aca="false">IF($I3557="Correct",ROUND(INDEX('Reward Model'!$B$12:$B$14,MATCH($Y3557,'Reward Model'!$A$12:$A$14,0))*Z3557,2),0)</f>
        <v>0</v>
      </c>
    </row>
    <row r="3558" customFormat="false" ht="15" hidden="false" customHeight="false" outlineLevel="0" collapsed="false">
      <c r="A3558" s="0" t="s">
        <v>486</v>
      </c>
      <c r="B3558" s="0" t="s">
        <v>487</v>
      </c>
      <c r="C3558" s="0" t="s">
        <v>322</v>
      </c>
      <c r="D3558" s="0" t="s">
        <v>275</v>
      </c>
      <c r="E3558" s="0" t="n">
        <v>17</v>
      </c>
      <c r="F3558" s="0" t="s">
        <v>74</v>
      </c>
      <c r="G3558" s="0" t="s">
        <v>75</v>
      </c>
      <c r="H3558" s="0" t="s">
        <v>75</v>
      </c>
      <c r="I3558" s="0" t="s">
        <v>34</v>
      </c>
      <c r="J3558" s="0" t="n">
        <v>1.93</v>
      </c>
      <c r="K3558" s="0" t="s">
        <v>73</v>
      </c>
      <c r="L3558" s="0" t="n">
        <f aca="false">INDEX(Summary!$F$2:$F$201,MATCH($B3558,Summary!$A$2:$A$201,0))</f>
        <v>20</v>
      </c>
      <c r="M3558" s="0" t="n">
        <f aca="false">INDEX(Summary!$I$2:$I$201,MATCH($B3558,Summary!$A$2:$A$201,0))</f>
        <v>1</v>
      </c>
      <c r="N3558" s="0" t="n">
        <f aca="false">INDEX(Summary!$J$2:$J$201,MATCH($B3558,Summary!$A$2:$A$201,0))</f>
        <v>4</v>
      </c>
      <c r="O3558" s="2" t="n">
        <f aca="false">INDEX(Summary!$K$2:$K$201,MATCH($B3558,Summary!$A$2:$A$201,0))</f>
        <v>7.98</v>
      </c>
      <c r="P3558" s="3" t="n">
        <f aca="false">INDEX(Summary!$L$2:$L$201,MATCH($B3558,Summary!$A$2:$A$201,0))</f>
        <v>3</v>
      </c>
      <c r="Q3558" s="3" t="n">
        <f aca="false">INDEX(Summary!$M$2:$M$201,MATCH($B3558,Summary!$A$2:$A$201,0))</f>
        <v>3</v>
      </c>
      <c r="R3558" s="2" t="n">
        <f aca="false">INDEX(Summary!$N$2:$N$201,MATCH($B3558,Summary!$A$2:$A$201,0))</f>
        <v>11.45</v>
      </c>
      <c r="S3558" s="3" t="n">
        <f aca="false">INDEX(Summary!$O$2:$O$201,MATCH($B3558,Summary!$A$2:$A$201,0))</f>
        <v>5</v>
      </c>
      <c r="T3558" s="3" t="n">
        <f aca="false">INDEX(Summary!$P$2:$P$201,MATCH($B3558,Summary!$A$2:$A$201,0))</f>
        <v>4</v>
      </c>
      <c r="U3558" s="2" t="n">
        <f aca="false">INDEX(Summary!$Q$2:$Q$201,MATCH($B3558,Summary!$A$2:$A$201,0))</f>
        <v>11.29</v>
      </c>
      <c r="V3558" s="2" t="n">
        <f aca="false">INDEX(Summary!$R$2:$R$201,MATCH($B3558,Summary!$A$2:$A$201,0))</f>
        <v>15.46</v>
      </c>
      <c r="W3558" s="0" t="str">
        <f aca="false">INDEX(Summary!$S$2:$S$201,MATCH($B3558,Summary!$A$2:$A$201,0))</f>
        <v>Bronze</v>
      </c>
      <c r="X3558" s="2" t="n">
        <f aca="false">INDEX(Summary!$T$2:$T$201,MATCH($B3558,Summary!$A$2:$A$201,0))</f>
        <v>37.71</v>
      </c>
      <c r="Y3558" s="0" t="str">
        <f aca="false">INDEX('Reward Model'!$E$18:$E$37,MATCH($E3558,'Reward Model'!$A$18:$A$37,0))</f>
        <v>High</v>
      </c>
      <c r="Z3558" s="4" t="n">
        <f aca="false">ROUND(MIN(1,MAX('Reward Model'!$B$2,INDEX('Reward Model'!$C$12:$C$14,MATCH($K3558,'Reward Model'!$A$12:$A$14,0))/$J3558)),3)</f>
        <v>1</v>
      </c>
      <c r="AA3558" s="2" t="n">
        <f aca="false">IF($I3558="Correct",ROUND(INDEX('Reward Model'!$B$12:$B$14,MATCH($K3558,'Reward Model'!$A$12:$A$14,0))*Z3558,2),0)</f>
        <v>3</v>
      </c>
      <c r="AB3558" s="2" t="n">
        <f aca="false">IF($I3558="Correct",ROUND(INDEX('Reward Model'!$B$12:$B$14,MATCH($Y3558,'Reward Model'!$A$12:$A$14,0))*Z3558,2),0)</f>
        <v>3</v>
      </c>
    </row>
    <row r="3559" customFormat="false" ht="15" hidden="false" customHeight="false" outlineLevel="0" collapsed="false">
      <c r="A3559" s="0" t="s">
        <v>486</v>
      </c>
      <c r="B3559" s="0" t="s">
        <v>487</v>
      </c>
      <c r="C3559" s="0" t="s">
        <v>322</v>
      </c>
      <c r="D3559" s="0" t="s">
        <v>275</v>
      </c>
      <c r="E3559" s="0" t="n">
        <v>18</v>
      </c>
      <c r="F3559" s="0" t="s">
        <v>76</v>
      </c>
      <c r="G3559" s="0" t="s">
        <v>88</v>
      </c>
      <c r="H3559" s="0" t="s">
        <v>77</v>
      </c>
      <c r="I3559" s="0" t="s">
        <v>39</v>
      </c>
      <c r="J3559" s="0" t="n">
        <v>1.39</v>
      </c>
      <c r="K3559" s="0" t="s">
        <v>73</v>
      </c>
      <c r="L3559" s="0" t="n">
        <f aca="false">INDEX(Summary!$F$2:$F$201,MATCH($B3559,Summary!$A$2:$A$201,0))</f>
        <v>20</v>
      </c>
      <c r="M3559" s="0" t="n">
        <f aca="false">INDEX(Summary!$I$2:$I$201,MATCH($B3559,Summary!$A$2:$A$201,0))</f>
        <v>1</v>
      </c>
      <c r="N3559" s="0" t="n">
        <f aca="false">INDEX(Summary!$J$2:$J$201,MATCH($B3559,Summary!$A$2:$A$201,0))</f>
        <v>4</v>
      </c>
      <c r="O3559" s="2" t="n">
        <f aca="false">INDEX(Summary!$K$2:$K$201,MATCH($B3559,Summary!$A$2:$A$201,0))</f>
        <v>7.98</v>
      </c>
      <c r="P3559" s="3" t="n">
        <f aca="false">INDEX(Summary!$L$2:$L$201,MATCH($B3559,Summary!$A$2:$A$201,0))</f>
        <v>3</v>
      </c>
      <c r="Q3559" s="3" t="n">
        <f aca="false">INDEX(Summary!$M$2:$M$201,MATCH($B3559,Summary!$A$2:$A$201,0))</f>
        <v>3</v>
      </c>
      <c r="R3559" s="2" t="n">
        <f aca="false">INDEX(Summary!$N$2:$N$201,MATCH($B3559,Summary!$A$2:$A$201,0))</f>
        <v>11.45</v>
      </c>
      <c r="S3559" s="3" t="n">
        <f aca="false">INDEX(Summary!$O$2:$O$201,MATCH($B3559,Summary!$A$2:$A$201,0))</f>
        <v>5</v>
      </c>
      <c r="T3559" s="3" t="n">
        <f aca="false">INDEX(Summary!$P$2:$P$201,MATCH($B3559,Summary!$A$2:$A$201,0))</f>
        <v>4</v>
      </c>
      <c r="U3559" s="2" t="n">
        <f aca="false">INDEX(Summary!$Q$2:$Q$201,MATCH($B3559,Summary!$A$2:$A$201,0))</f>
        <v>11.29</v>
      </c>
      <c r="V3559" s="2" t="n">
        <f aca="false">INDEX(Summary!$R$2:$R$201,MATCH($B3559,Summary!$A$2:$A$201,0))</f>
        <v>15.46</v>
      </c>
      <c r="W3559" s="0" t="str">
        <f aca="false">INDEX(Summary!$S$2:$S$201,MATCH($B3559,Summary!$A$2:$A$201,0))</f>
        <v>Bronze</v>
      </c>
      <c r="X3559" s="2" t="n">
        <f aca="false">INDEX(Summary!$T$2:$T$201,MATCH($B3559,Summary!$A$2:$A$201,0))</f>
        <v>37.71</v>
      </c>
      <c r="Y3559" s="0" t="str">
        <f aca="false">INDEX('Reward Model'!$E$18:$E$37,MATCH($E3559,'Reward Model'!$A$18:$A$37,0))</f>
        <v>High</v>
      </c>
      <c r="Z3559" s="4" t="n">
        <f aca="false">ROUND(MIN(1,MAX('Reward Model'!$B$2,INDEX('Reward Model'!$C$12:$C$14,MATCH($K3559,'Reward Model'!$A$12:$A$14,0))/$J3559)),3)</f>
        <v>1</v>
      </c>
      <c r="AA3559" s="2" t="n">
        <f aca="false">IF($I3559="Correct",ROUND(INDEX('Reward Model'!$B$12:$B$14,MATCH($K3559,'Reward Model'!$A$12:$A$14,0))*Z3559,2),0)</f>
        <v>0</v>
      </c>
      <c r="AB3559" s="2" t="n">
        <f aca="false">IF($I3559="Correct",ROUND(INDEX('Reward Model'!$B$12:$B$14,MATCH($Y3559,'Reward Model'!$A$12:$A$14,0))*Z3559,2),0)</f>
        <v>0</v>
      </c>
    </row>
    <row r="3560" customFormat="false" ht="15" hidden="false" customHeight="false" outlineLevel="0" collapsed="false">
      <c r="A3560" s="0" t="s">
        <v>486</v>
      </c>
      <c r="B3560" s="0" t="s">
        <v>487</v>
      </c>
      <c r="C3560" s="0" t="s">
        <v>322</v>
      </c>
      <c r="D3560" s="0" t="s">
        <v>275</v>
      </c>
      <c r="E3560" s="0" t="n">
        <v>19</v>
      </c>
      <c r="F3560" s="0" t="s">
        <v>78</v>
      </c>
      <c r="G3560" s="0" t="s">
        <v>132</v>
      </c>
      <c r="H3560" s="0" t="s">
        <v>80</v>
      </c>
      <c r="I3560" s="0" t="s">
        <v>39</v>
      </c>
      <c r="J3560" s="0" t="n">
        <v>1.32</v>
      </c>
      <c r="K3560" s="0" t="s">
        <v>73</v>
      </c>
      <c r="L3560" s="0" t="n">
        <f aca="false">INDEX(Summary!$F$2:$F$201,MATCH($B3560,Summary!$A$2:$A$201,0))</f>
        <v>20</v>
      </c>
      <c r="M3560" s="0" t="n">
        <f aca="false">INDEX(Summary!$I$2:$I$201,MATCH($B3560,Summary!$A$2:$A$201,0))</f>
        <v>1</v>
      </c>
      <c r="N3560" s="0" t="n">
        <f aca="false">INDEX(Summary!$J$2:$J$201,MATCH($B3560,Summary!$A$2:$A$201,0))</f>
        <v>4</v>
      </c>
      <c r="O3560" s="2" t="n">
        <f aca="false">INDEX(Summary!$K$2:$K$201,MATCH($B3560,Summary!$A$2:$A$201,0))</f>
        <v>7.98</v>
      </c>
      <c r="P3560" s="3" t="n">
        <f aca="false">INDEX(Summary!$L$2:$L$201,MATCH($B3560,Summary!$A$2:$A$201,0))</f>
        <v>3</v>
      </c>
      <c r="Q3560" s="3" t="n">
        <f aca="false">INDEX(Summary!$M$2:$M$201,MATCH($B3560,Summary!$A$2:$A$201,0))</f>
        <v>3</v>
      </c>
      <c r="R3560" s="2" t="n">
        <f aca="false">INDEX(Summary!$N$2:$N$201,MATCH($B3560,Summary!$A$2:$A$201,0))</f>
        <v>11.45</v>
      </c>
      <c r="S3560" s="3" t="n">
        <f aca="false">INDEX(Summary!$O$2:$O$201,MATCH($B3560,Summary!$A$2:$A$201,0))</f>
        <v>5</v>
      </c>
      <c r="T3560" s="3" t="n">
        <f aca="false">INDEX(Summary!$P$2:$P$201,MATCH($B3560,Summary!$A$2:$A$201,0))</f>
        <v>4</v>
      </c>
      <c r="U3560" s="2" t="n">
        <f aca="false">INDEX(Summary!$Q$2:$Q$201,MATCH($B3560,Summary!$A$2:$A$201,0))</f>
        <v>11.29</v>
      </c>
      <c r="V3560" s="2" t="n">
        <f aca="false">INDEX(Summary!$R$2:$R$201,MATCH($B3560,Summary!$A$2:$A$201,0))</f>
        <v>15.46</v>
      </c>
      <c r="W3560" s="0" t="str">
        <f aca="false">INDEX(Summary!$S$2:$S$201,MATCH($B3560,Summary!$A$2:$A$201,0))</f>
        <v>Bronze</v>
      </c>
      <c r="X3560" s="2" t="n">
        <f aca="false">INDEX(Summary!$T$2:$T$201,MATCH($B3560,Summary!$A$2:$A$201,0))</f>
        <v>37.71</v>
      </c>
      <c r="Y3560" s="0" t="str">
        <f aca="false">INDEX('Reward Model'!$E$18:$E$37,MATCH($E3560,'Reward Model'!$A$18:$A$37,0))</f>
        <v>High</v>
      </c>
      <c r="Z3560" s="4" t="n">
        <f aca="false">ROUND(MIN(1,MAX('Reward Model'!$B$2,INDEX('Reward Model'!$C$12:$C$14,MATCH($K3560,'Reward Model'!$A$12:$A$14,0))/$J3560)),3)</f>
        <v>1</v>
      </c>
      <c r="AA3560" s="2" t="n">
        <f aca="false">IF($I3560="Correct",ROUND(INDEX('Reward Model'!$B$12:$B$14,MATCH($K3560,'Reward Model'!$A$12:$A$14,0))*Z3560,2),0)</f>
        <v>0</v>
      </c>
      <c r="AB3560" s="2" t="n">
        <f aca="false">IF($I3560="Correct",ROUND(INDEX('Reward Model'!$B$12:$B$14,MATCH($Y3560,'Reward Model'!$A$12:$A$14,0))*Z3560,2),0)</f>
        <v>0</v>
      </c>
    </row>
    <row r="3561" customFormat="false" ht="15" hidden="false" customHeight="false" outlineLevel="0" collapsed="false">
      <c r="A3561" s="0" t="s">
        <v>486</v>
      </c>
      <c r="B3561" s="0" t="s">
        <v>487</v>
      </c>
      <c r="C3561" s="0" t="s">
        <v>322</v>
      </c>
      <c r="D3561" s="0" t="s">
        <v>275</v>
      </c>
      <c r="E3561" s="0" t="n">
        <v>20</v>
      </c>
      <c r="F3561" s="0" t="s">
        <v>81</v>
      </c>
      <c r="G3561" s="0" t="s">
        <v>119</v>
      </c>
      <c r="H3561" s="0" t="s">
        <v>83</v>
      </c>
      <c r="I3561" s="0" t="s">
        <v>39</v>
      </c>
      <c r="J3561" s="0" t="n">
        <v>1.45</v>
      </c>
      <c r="K3561" s="0" t="s">
        <v>73</v>
      </c>
      <c r="L3561" s="0" t="n">
        <f aca="false">INDEX(Summary!$F$2:$F$201,MATCH($B3561,Summary!$A$2:$A$201,0))</f>
        <v>20</v>
      </c>
      <c r="M3561" s="0" t="n">
        <f aca="false">INDEX(Summary!$I$2:$I$201,MATCH($B3561,Summary!$A$2:$A$201,0))</f>
        <v>1</v>
      </c>
      <c r="N3561" s="0" t="n">
        <f aca="false">INDEX(Summary!$J$2:$J$201,MATCH($B3561,Summary!$A$2:$A$201,0))</f>
        <v>4</v>
      </c>
      <c r="O3561" s="2" t="n">
        <f aca="false">INDEX(Summary!$K$2:$K$201,MATCH($B3561,Summary!$A$2:$A$201,0))</f>
        <v>7.98</v>
      </c>
      <c r="P3561" s="3" t="n">
        <f aca="false">INDEX(Summary!$L$2:$L$201,MATCH($B3561,Summary!$A$2:$A$201,0))</f>
        <v>3</v>
      </c>
      <c r="Q3561" s="3" t="n">
        <f aca="false">INDEX(Summary!$M$2:$M$201,MATCH($B3561,Summary!$A$2:$A$201,0))</f>
        <v>3</v>
      </c>
      <c r="R3561" s="2" t="n">
        <f aca="false">INDEX(Summary!$N$2:$N$201,MATCH($B3561,Summary!$A$2:$A$201,0))</f>
        <v>11.45</v>
      </c>
      <c r="S3561" s="3" t="n">
        <f aca="false">INDEX(Summary!$O$2:$O$201,MATCH($B3561,Summary!$A$2:$A$201,0))</f>
        <v>5</v>
      </c>
      <c r="T3561" s="3" t="n">
        <f aca="false">INDEX(Summary!$P$2:$P$201,MATCH($B3561,Summary!$A$2:$A$201,0))</f>
        <v>4</v>
      </c>
      <c r="U3561" s="2" t="n">
        <f aca="false">INDEX(Summary!$Q$2:$Q$201,MATCH($B3561,Summary!$A$2:$A$201,0))</f>
        <v>11.29</v>
      </c>
      <c r="V3561" s="2" t="n">
        <f aca="false">INDEX(Summary!$R$2:$R$201,MATCH($B3561,Summary!$A$2:$A$201,0))</f>
        <v>15.46</v>
      </c>
      <c r="W3561" s="0" t="str">
        <f aca="false">INDEX(Summary!$S$2:$S$201,MATCH($B3561,Summary!$A$2:$A$201,0))</f>
        <v>Bronze</v>
      </c>
      <c r="X3561" s="2" t="n">
        <f aca="false">INDEX(Summary!$T$2:$T$201,MATCH($B3561,Summary!$A$2:$A$201,0))</f>
        <v>37.71</v>
      </c>
      <c r="Y3561" s="0" t="str">
        <f aca="false">INDEX('Reward Model'!$E$18:$E$37,MATCH($E3561,'Reward Model'!$A$18:$A$37,0))</f>
        <v>High</v>
      </c>
      <c r="Z3561" s="4" t="n">
        <f aca="false">ROUND(MIN(1,MAX('Reward Model'!$B$2,INDEX('Reward Model'!$C$12:$C$14,MATCH($K3561,'Reward Model'!$A$12:$A$14,0))/$J3561)),3)</f>
        <v>1</v>
      </c>
      <c r="AA3561" s="2" t="n">
        <f aca="false">IF($I3561="Correct",ROUND(INDEX('Reward Model'!$B$12:$B$14,MATCH($K3561,'Reward Model'!$A$12:$A$14,0))*Z3561,2),0)</f>
        <v>0</v>
      </c>
      <c r="AB3561" s="2" t="n">
        <f aca="false">IF($I3561="Correct",ROUND(INDEX('Reward Model'!$B$12:$B$14,MATCH($Y3561,'Reward Model'!$A$12:$A$14,0))*Z3561,2),0)</f>
        <v>0</v>
      </c>
    </row>
    <row r="3562" customFormat="false" ht="15" hidden="false" customHeight="false" outlineLevel="0" collapsed="false">
      <c r="A3562" s="0" t="s">
        <v>488</v>
      </c>
      <c r="B3562" s="0" t="s">
        <v>489</v>
      </c>
      <c r="C3562" s="0" t="s">
        <v>322</v>
      </c>
      <c r="D3562" s="0" t="s">
        <v>275</v>
      </c>
      <c r="E3562" s="0" t="n">
        <v>1</v>
      </c>
      <c r="F3562" s="0" t="s">
        <v>32</v>
      </c>
      <c r="G3562" s="0" t="s">
        <v>91</v>
      </c>
      <c r="H3562" s="0" t="s">
        <v>33</v>
      </c>
      <c r="I3562" s="0" t="s">
        <v>39</v>
      </c>
      <c r="J3562" s="0" t="n">
        <v>1.17</v>
      </c>
      <c r="K3562" s="0" t="s">
        <v>35</v>
      </c>
      <c r="L3562" s="0" t="n">
        <f aca="false">INDEX(Summary!$F$2:$F$201,MATCH($B3562,Summary!$A$2:$A$201,0))</f>
        <v>20</v>
      </c>
      <c r="M3562" s="0" t="n">
        <f aca="false">INDEX(Summary!$I$2:$I$201,MATCH($B3562,Summary!$A$2:$A$201,0))</f>
        <v>1</v>
      </c>
      <c r="N3562" s="0" t="n">
        <f aca="false">INDEX(Summary!$J$2:$J$201,MATCH($B3562,Summary!$A$2:$A$201,0))</f>
        <v>4</v>
      </c>
      <c r="O3562" s="2" t="n">
        <f aca="false">INDEX(Summary!$K$2:$K$201,MATCH($B3562,Summary!$A$2:$A$201,0))</f>
        <v>10.63</v>
      </c>
      <c r="P3562" s="3" t="n">
        <f aca="false">INDEX(Summary!$L$2:$L$201,MATCH($B3562,Summary!$A$2:$A$201,0))</f>
        <v>5</v>
      </c>
      <c r="Q3562" s="3" t="n">
        <f aca="false">INDEX(Summary!$M$2:$M$201,MATCH($B3562,Summary!$A$2:$A$201,0))</f>
        <v>1</v>
      </c>
      <c r="R3562" s="2" t="n">
        <f aca="false">INDEX(Summary!$N$2:$N$201,MATCH($B3562,Summary!$A$2:$A$201,0))</f>
        <v>10.82</v>
      </c>
      <c r="S3562" s="3" t="n">
        <f aca="false">INDEX(Summary!$O$2:$O$201,MATCH($B3562,Summary!$A$2:$A$201,0))</f>
        <v>6</v>
      </c>
      <c r="T3562" s="3" t="n">
        <f aca="false">INDEX(Summary!$P$2:$P$201,MATCH($B3562,Summary!$A$2:$A$201,0))</f>
        <v>3</v>
      </c>
      <c r="U3562" s="2" t="n">
        <f aca="false">INDEX(Summary!$Q$2:$Q$201,MATCH($B3562,Summary!$A$2:$A$201,0))</f>
        <v>13.37</v>
      </c>
      <c r="V3562" s="2" t="n">
        <f aca="false">INDEX(Summary!$R$2:$R$201,MATCH($B3562,Summary!$A$2:$A$201,0))</f>
        <v>20.51</v>
      </c>
      <c r="W3562" s="0" t="str">
        <f aca="false">INDEX(Summary!$S$2:$S$201,MATCH($B3562,Summary!$A$2:$A$201,0))</f>
        <v>Silver</v>
      </c>
      <c r="X3562" s="2" t="n">
        <f aca="false">INDEX(Summary!$T$2:$T$201,MATCH($B3562,Summary!$A$2:$A$201,0))</f>
        <v>50.02</v>
      </c>
      <c r="Y3562" s="0" t="str">
        <f aca="false">INDEX('Reward Model'!$E$18:$E$37,MATCH($E3562,'Reward Model'!$A$18:$A$37,0))</f>
        <v>Medium</v>
      </c>
      <c r="Z3562" s="4" t="n">
        <f aca="false">ROUND(MIN(1,MAX('Reward Model'!$B$2,INDEX('Reward Model'!$C$12:$C$14,MATCH($K3562,'Reward Model'!$A$12:$A$14,0))/$J3562)),3)</f>
        <v>1</v>
      </c>
      <c r="AA3562" s="2" t="n">
        <f aca="false">IF($I3562="Correct",ROUND(INDEX('Reward Model'!$B$12:$B$14,MATCH($K3562,'Reward Model'!$A$12:$A$14,0))*Z3562,2),0)</f>
        <v>0</v>
      </c>
      <c r="AB3562" s="2" t="n">
        <f aca="false">IF($I3562="Correct",ROUND(INDEX('Reward Model'!$B$12:$B$14,MATCH($Y3562,'Reward Model'!$A$12:$A$14,0))*Z3562,2),0)</f>
        <v>0</v>
      </c>
    </row>
    <row r="3563" customFormat="false" ht="15" hidden="false" customHeight="false" outlineLevel="0" collapsed="false">
      <c r="A3563" s="0" t="s">
        <v>488</v>
      </c>
      <c r="B3563" s="0" t="s">
        <v>489</v>
      </c>
      <c r="C3563" s="0" t="s">
        <v>322</v>
      </c>
      <c r="D3563" s="0" t="s">
        <v>275</v>
      </c>
      <c r="E3563" s="0" t="n">
        <v>2</v>
      </c>
      <c r="F3563" s="0" t="s">
        <v>36</v>
      </c>
      <c r="G3563" s="0" t="s">
        <v>38</v>
      </c>
      <c r="H3563" s="0" t="s">
        <v>38</v>
      </c>
      <c r="I3563" s="0" t="s">
        <v>34</v>
      </c>
      <c r="J3563" s="0" t="n">
        <v>1.13</v>
      </c>
      <c r="K3563" s="0" t="s">
        <v>35</v>
      </c>
      <c r="L3563" s="0" t="n">
        <f aca="false">INDEX(Summary!$F$2:$F$201,MATCH($B3563,Summary!$A$2:$A$201,0))</f>
        <v>20</v>
      </c>
      <c r="M3563" s="0" t="n">
        <f aca="false">INDEX(Summary!$I$2:$I$201,MATCH($B3563,Summary!$A$2:$A$201,0))</f>
        <v>1</v>
      </c>
      <c r="N3563" s="0" t="n">
        <f aca="false">INDEX(Summary!$J$2:$J$201,MATCH($B3563,Summary!$A$2:$A$201,0))</f>
        <v>4</v>
      </c>
      <c r="O3563" s="2" t="n">
        <f aca="false">INDEX(Summary!$K$2:$K$201,MATCH($B3563,Summary!$A$2:$A$201,0))</f>
        <v>10.63</v>
      </c>
      <c r="P3563" s="3" t="n">
        <f aca="false">INDEX(Summary!$L$2:$L$201,MATCH($B3563,Summary!$A$2:$A$201,0))</f>
        <v>5</v>
      </c>
      <c r="Q3563" s="3" t="n">
        <f aca="false">INDEX(Summary!$M$2:$M$201,MATCH($B3563,Summary!$A$2:$A$201,0))</f>
        <v>1</v>
      </c>
      <c r="R3563" s="2" t="n">
        <f aca="false">INDEX(Summary!$N$2:$N$201,MATCH($B3563,Summary!$A$2:$A$201,0))</f>
        <v>10.82</v>
      </c>
      <c r="S3563" s="3" t="n">
        <f aca="false">INDEX(Summary!$O$2:$O$201,MATCH($B3563,Summary!$A$2:$A$201,0))</f>
        <v>6</v>
      </c>
      <c r="T3563" s="3" t="n">
        <f aca="false">INDEX(Summary!$P$2:$P$201,MATCH($B3563,Summary!$A$2:$A$201,0))</f>
        <v>3</v>
      </c>
      <c r="U3563" s="2" t="n">
        <f aca="false">INDEX(Summary!$Q$2:$Q$201,MATCH($B3563,Summary!$A$2:$A$201,0))</f>
        <v>13.37</v>
      </c>
      <c r="V3563" s="2" t="n">
        <f aca="false">INDEX(Summary!$R$2:$R$201,MATCH($B3563,Summary!$A$2:$A$201,0))</f>
        <v>20.51</v>
      </c>
      <c r="W3563" s="0" t="str">
        <f aca="false">INDEX(Summary!$S$2:$S$201,MATCH($B3563,Summary!$A$2:$A$201,0))</f>
        <v>Silver</v>
      </c>
      <c r="X3563" s="2" t="n">
        <f aca="false">INDEX(Summary!$T$2:$T$201,MATCH($B3563,Summary!$A$2:$A$201,0))</f>
        <v>50.02</v>
      </c>
      <c r="Y3563" s="0" t="str">
        <f aca="false">INDEX('Reward Model'!$E$18:$E$37,MATCH($E3563,'Reward Model'!$A$18:$A$37,0))</f>
        <v>Low</v>
      </c>
      <c r="Z3563" s="4" t="n">
        <f aca="false">ROUND(MIN(1,MAX('Reward Model'!$B$2,INDEX('Reward Model'!$C$12:$C$14,MATCH($K3563,'Reward Model'!$A$12:$A$14,0))/$J3563)),3)</f>
        <v>1</v>
      </c>
      <c r="AA3563" s="2" t="n">
        <f aca="false">IF($I3563="Correct",ROUND(INDEX('Reward Model'!$B$12:$B$14,MATCH($K3563,'Reward Model'!$A$12:$A$14,0))*Z3563,2),0)</f>
        <v>1</v>
      </c>
      <c r="AB3563" s="2" t="n">
        <f aca="false">IF($I3563="Correct",ROUND(INDEX('Reward Model'!$B$12:$B$14,MATCH($Y3563,'Reward Model'!$A$12:$A$14,0))*Z3563,2),0)</f>
        <v>1</v>
      </c>
    </row>
    <row r="3564" customFormat="false" ht="15" hidden="false" customHeight="false" outlineLevel="0" collapsed="false">
      <c r="A3564" s="0" t="s">
        <v>488</v>
      </c>
      <c r="B3564" s="0" t="s">
        <v>489</v>
      </c>
      <c r="C3564" s="0" t="s">
        <v>322</v>
      </c>
      <c r="D3564" s="0" t="s">
        <v>275</v>
      </c>
      <c r="E3564" s="0" t="n">
        <v>3</v>
      </c>
      <c r="F3564" s="0" t="s">
        <v>40</v>
      </c>
      <c r="G3564" s="0" t="s">
        <v>42</v>
      </c>
      <c r="H3564" s="0" t="s">
        <v>42</v>
      </c>
      <c r="I3564" s="0" t="s">
        <v>34</v>
      </c>
      <c r="J3564" s="0" t="n">
        <v>1.85</v>
      </c>
      <c r="K3564" s="0" t="s">
        <v>35</v>
      </c>
      <c r="L3564" s="0" t="n">
        <f aca="false">INDEX(Summary!$F$2:$F$201,MATCH($B3564,Summary!$A$2:$A$201,0))</f>
        <v>20</v>
      </c>
      <c r="M3564" s="0" t="n">
        <f aca="false">INDEX(Summary!$I$2:$I$201,MATCH($B3564,Summary!$A$2:$A$201,0))</f>
        <v>1</v>
      </c>
      <c r="N3564" s="0" t="n">
        <f aca="false">INDEX(Summary!$J$2:$J$201,MATCH($B3564,Summary!$A$2:$A$201,0))</f>
        <v>4</v>
      </c>
      <c r="O3564" s="2" t="n">
        <f aca="false">INDEX(Summary!$K$2:$K$201,MATCH($B3564,Summary!$A$2:$A$201,0))</f>
        <v>10.63</v>
      </c>
      <c r="P3564" s="3" t="n">
        <f aca="false">INDEX(Summary!$L$2:$L$201,MATCH($B3564,Summary!$A$2:$A$201,0))</f>
        <v>5</v>
      </c>
      <c r="Q3564" s="3" t="n">
        <f aca="false">INDEX(Summary!$M$2:$M$201,MATCH($B3564,Summary!$A$2:$A$201,0))</f>
        <v>1</v>
      </c>
      <c r="R3564" s="2" t="n">
        <f aca="false">INDEX(Summary!$N$2:$N$201,MATCH($B3564,Summary!$A$2:$A$201,0))</f>
        <v>10.82</v>
      </c>
      <c r="S3564" s="3" t="n">
        <f aca="false">INDEX(Summary!$O$2:$O$201,MATCH($B3564,Summary!$A$2:$A$201,0))</f>
        <v>6</v>
      </c>
      <c r="T3564" s="3" t="n">
        <f aca="false">INDEX(Summary!$P$2:$P$201,MATCH($B3564,Summary!$A$2:$A$201,0))</f>
        <v>3</v>
      </c>
      <c r="U3564" s="2" t="n">
        <f aca="false">INDEX(Summary!$Q$2:$Q$201,MATCH($B3564,Summary!$A$2:$A$201,0))</f>
        <v>13.37</v>
      </c>
      <c r="V3564" s="2" t="n">
        <f aca="false">INDEX(Summary!$R$2:$R$201,MATCH($B3564,Summary!$A$2:$A$201,0))</f>
        <v>20.51</v>
      </c>
      <c r="W3564" s="0" t="str">
        <f aca="false">INDEX(Summary!$S$2:$S$201,MATCH($B3564,Summary!$A$2:$A$201,0))</f>
        <v>Silver</v>
      </c>
      <c r="X3564" s="2" t="n">
        <f aca="false">INDEX(Summary!$T$2:$T$201,MATCH($B3564,Summary!$A$2:$A$201,0))</f>
        <v>50.02</v>
      </c>
      <c r="Y3564" s="0" t="str">
        <f aca="false">INDEX('Reward Model'!$E$18:$E$37,MATCH($E3564,'Reward Model'!$A$18:$A$37,0))</f>
        <v>Medium</v>
      </c>
      <c r="Z3564" s="4" t="n">
        <f aca="false">ROUND(MIN(1,MAX('Reward Model'!$B$2,INDEX('Reward Model'!$C$12:$C$14,MATCH($K3564,'Reward Model'!$A$12:$A$14,0))/$J3564)),3)</f>
        <v>0.811</v>
      </c>
      <c r="AA3564" s="2" t="n">
        <f aca="false">IF($I3564="Correct",ROUND(INDEX('Reward Model'!$B$12:$B$14,MATCH($K3564,'Reward Model'!$A$12:$A$14,0))*Z3564,2),0)</f>
        <v>0.81</v>
      </c>
      <c r="AB3564" s="2" t="n">
        <f aca="false">IF($I3564="Correct",ROUND(INDEX('Reward Model'!$B$12:$B$14,MATCH($Y3564,'Reward Model'!$A$12:$A$14,0))*Z3564,2),0)</f>
        <v>1.62</v>
      </c>
    </row>
    <row r="3565" customFormat="false" ht="15" hidden="false" customHeight="false" outlineLevel="0" collapsed="false">
      <c r="A3565" s="0" t="s">
        <v>488</v>
      </c>
      <c r="B3565" s="0" t="s">
        <v>489</v>
      </c>
      <c r="C3565" s="0" t="s">
        <v>322</v>
      </c>
      <c r="D3565" s="0" t="s">
        <v>275</v>
      </c>
      <c r="E3565" s="0" t="n">
        <v>4</v>
      </c>
      <c r="F3565" s="0" t="s">
        <v>43</v>
      </c>
      <c r="G3565" s="0" t="s">
        <v>45</v>
      </c>
      <c r="H3565" s="0" t="s">
        <v>45</v>
      </c>
      <c r="I3565" s="0" t="s">
        <v>34</v>
      </c>
      <c r="J3565" s="0" t="n">
        <v>1.69</v>
      </c>
      <c r="K3565" s="0" t="s">
        <v>35</v>
      </c>
      <c r="L3565" s="0" t="n">
        <f aca="false">INDEX(Summary!$F$2:$F$201,MATCH($B3565,Summary!$A$2:$A$201,0))</f>
        <v>20</v>
      </c>
      <c r="M3565" s="0" t="n">
        <f aca="false">INDEX(Summary!$I$2:$I$201,MATCH($B3565,Summary!$A$2:$A$201,0))</f>
        <v>1</v>
      </c>
      <c r="N3565" s="0" t="n">
        <f aca="false">INDEX(Summary!$J$2:$J$201,MATCH($B3565,Summary!$A$2:$A$201,0))</f>
        <v>4</v>
      </c>
      <c r="O3565" s="2" t="n">
        <f aca="false">INDEX(Summary!$K$2:$K$201,MATCH($B3565,Summary!$A$2:$A$201,0))</f>
        <v>10.63</v>
      </c>
      <c r="P3565" s="3" t="n">
        <f aca="false">INDEX(Summary!$L$2:$L$201,MATCH($B3565,Summary!$A$2:$A$201,0))</f>
        <v>5</v>
      </c>
      <c r="Q3565" s="3" t="n">
        <f aca="false">INDEX(Summary!$M$2:$M$201,MATCH($B3565,Summary!$A$2:$A$201,0))</f>
        <v>1</v>
      </c>
      <c r="R3565" s="2" t="n">
        <f aca="false">INDEX(Summary!$N$2:$N$201,MATCH($B3565,Summary!$A$2:$A$201,0))</f>
        <v>10.82</v>
      </c>
      <c r="S3565" s="3" t="n">
        <f aca="false">INDEX(Summary!$O$2:$O$201,MATCH($B3565,Summary!$A$2:$A$201,0))</f>
        <v>6</v>
      </c>
      <c r="T3565" s="3" t="n">
        <f aca="false">INDEX(Summary!$P$2:$P$201,MATCH($B3565,Summary!$A$2:$A$201,0))</f>
        <v>3</v>
      </c>
      <c r="U3565" s="2" t="n">
        <f aca="false">INDEX(Summary!$Q$2:$Q$201,MATCH($B3565,Summary!$A$2:$A$201,0))</f>
        <v>13.37</v>
      </c>
      <c r="V3565" s="2" t="n">
        <f aca="false">INDEX(Summary!$R$2:$R$201,MATCH($B3565,Summary!$A$2:$A$201,0))</f>
        <v>20.51</v>
      </c>
      <c r="W3565" s="0" t="str">
        <f aca="false">INDEX(Summary!$S$2:$S$201,MATCH($B3565,Summary!$A$2:$A$201,0))</f>
        <v>Silver</v>
      </c>
      <c r="X3565" s="2" t="n">
        <f aca="false">INDEX(Summary!$T$2:$T$201,MATCH($B3565,Summary!$A$2:$A$201,0))</f>
        <v>50.02</v>
      </c>
      <c r="Y3565" s="0" t="str">
        <f aca="false">INDEX('Reward Model'!$E$18:$E$37,MATCH($E3565,'Reward Model'!$A$18:$A$37,0))</f>
        <v>Low</v>
      </c>
      <c r="Z3565" s="4" t="n">
        <f aca="false">ROUND(MIN(1,MAX('Reward Model'!$B$2,INDEX('Reward Model'!$C$12:$C$14,MATCH($K3565,'Reward Model'!$A$12:$A$14,0))/$J3565)),3)</f>
        <v>0.888</v>
      </c>
      <c r="AA3565" s="2" t="n">
        <f aca="false">IF($I3565="Correct",ROUND(INDEX('Reward Model'!$B$12:$B$14,MATCH($K3565,'Reward Model'!$A$12:$A$14,0))*Z3565,2),0)</f>
        <v>0.89</v>
      </c>
      <c r="AB3565" s="2" t="n">
        <f aca="false">IF($I3565="Correct",ROUND(INDEX('Reward Model'!$B$12:$B$14,MATCH($Y3565,'Reward Model'!$A$12:$A$14,0))*Z3565,2),0)</f>
        <v>0.89</v>
      </c>
    </row>
    <row r="3566" customFormat="false" ht="15" hidden="false" customHeight="false" outlineLevel="0" collapsed="false">
      <c r="A3566" s="0" t="s">
        <v>488</v>
      </c>
      <c r="B3566" s="0" t="s">
        <v>489</v>
      </c>
      <c r="C3566" s="0" t="s">
        <v>322</v>
      </c>
      <c r="D3566" s="0" t="s">
        <v>275</v>
      </c>
      <c r="E3566" s="0" t="n">
        <v>5</v>
      </c>
      <c r="F3566" s="0" t="s">
        <v>46</v>
      </c>
      <c r="G3566" s="0" t="s">
        <v>98</v>
      </c>
      <c r="H3566" s="0" t="s">
        <v>47</v>
      </c>
      <c r="I3566" s="0" t="s">
        <v>39</v>
      </c>
      <c r="J3566" s="0" t="n">
        <v>1.14</v>
      </c>
      <c r="K3566" s="0" t="s">
        <v>35</v>
      </c>
      <c r="L3566" s="0" t="n">
        <f aca="false">INDEX(Summary!$F$2:$F$201,MATCH($B3566,Summary!$A$2:$A$201,0))</f>
        <v>20</v>
      </c>
      <c r="M3566" s="0" t="n">
        <f aca="false">INDEX(Summary!$I$2:$I$201,MATCH($B3566,Summary!$A$2:$A$201,0))</f>
        <v>1</v>
      </c>
      <c r="N3566" s="0" t="n">
        <f aca="false">INDEX(Summary!$J$2:$J$201,MATCH($B3566,Summary!$A$2:$A$201,0))</f>
        <v>4</v>
      </c>
      <c r="O3566" s="2" t="n">
        <f aca="false">INDEX(Summary!$K$2:$K$201,MATCH($B3566,Summary!$A$2:$A$201,0))</f>
        <v>10.63</v>
      </c>
      <c r="P3566" s="3" t="n">
        <f aca="false">INDEX(Summary!$L$2:$L$201,MATCH($B3566,Summary!$A$2:$A$201,0))</f>
        <v>5</v>
      </c>
      <c r="Q3566" s="3" t="n">
        <f aca="false">INDEX(Summary!$M$2:$M$201,MATCH($B3566,Summary!$A$2:$A$201,0))</f>
        <v>1</v>
      </c>
      <c r="R3566" s="2" t="n">
        <f aca="false">INDEX(Summary!$N$2:$N$201,MATCH($B3566,Summary!$A$2:$A$201,0))</f>
        <v>10.82</v>
      </c>
      <c r="S3566" s="3" t="n">
        <f aca="false">INDEX(Summary!$O$2:$O$201,MATCH($B3566,Summary!$A$2:$A$201,0))</f>
        <v>6</v>
      </c>
      <c r="T3566" s="3" t="n">
        <f aca="false">INDEX(Summary!$P$2:$P$201,MATCH($B3566,Summary!$A$2:$A$201,0))</f>
        <v>3</v>
      </c>
      <c r="U3566" s="2" t="n">
        <f aca="false">INDEX(Summary!$Q$2:$Q$201,MATCH($B3566,Summary!$A$2:$A$201,0))</f>
        <v>13.37</v>
      </c>
      <c r="V3566" s="2" t="n">
        <f aca="false">INDEX(Summary!$R$2:$R$201,MATCH($B3566,Summary!$A$2:$A$201,0))</f>
        <v>20.51</v>
      </c>
      <c r="W3566" s="0" t="str">
        <f aca="false">INDEX(Summary!$S$2:$S$201,MATCH($B3566,Summary!$A$2:$A$201,0))</f>
        <v>Silver</v>
      </c>
      <c r="X3566" s="2" t="n">
        <f aca="false">INDEX(Summary!$T$2:$T$201,MATCH($B3566,Summary!$A$2:$A$201,0))</f>
        <v>50.02</v>
      </c>
      <c r="Y3566" s="0" t="str">
        <f aca="false">INDEX('Reward Model'!$E$18:$E$37,MATCH($E3566,'Reward Model'!$A$18:$A$37,0))</f>
        <v>Low</v>
      </c>
      <c r="Z3566" s="4" t="n">
        <f aca="false">ROUND(MIN(1,MAX('Reward Model'!$B$2,INDEX('Reward Model'!$C$12:$C$14,MATCH($K3566,'Reward Model'!$A$12:$A$14,0))/$J3566)),3)</f>
        <v>1</v>
      </c>
      <c r="AA3566" s="2" t="n">
        <f aca="false">IF($I3566="Correct",ROUND(INDEX('Reward Model'!$B$12:$B$14,MATCH($K3566,'Reward Model'!$A$12:$A$14,0))*Z3566,2),0)</f>
        <v>0</v>
      </c>
      <c r="AB3566" s="2" t="n">
        <f aca="false">IF($I3566="Correct",ROUND(INDEX('Reward Model'!$B$12:$B$14,MATCH($Y3566,'Reward Model'!$A$12:$A$14,0))*Z3566,2),0)</f>
        <v>0</v>
      </c>
    </row>
    <row r="3567" customFormat="false" ht="15" hidden="false" customHeight="false" outlineLevel="0" collapsed="false">
      <c r="A3567" s="0" t="s">
        <v>488</v>
      </c>
      <c r="B3567" s="0" t="s">
        <v>489</v>
      </c>
      <c r="C3567" s="0" t="s">
        <v>322</v>
      </c>
      <c r="D3567" s="0" t="s">
        <v>275</v>
      </c>
      <c r="E3567" s="0" t="n">
        <v>6</v>
      </c>
      <c r="F3567" s="0" t="s">
        <v>48</v>
      </c>
      <c r="G3567" s="0" t="s">
        <v>49</v>
      </c>
      <c r="H3567" s="0" t="s">
        <v>49</v>
      </c>
      <c r="I3567" s="0" t="s">
        <v>34</v>
      </c>
      <c r="J3567" s="0" t="n">
        <v>1.67</v>
      </c>
      <c r="K3567" s="0" t="s">
        <v>35</v>
      </c>
      <c r="L3567" s="0" t="n">
        <f aca="false">INDEX(Summary!$F$2:$F$201,MATCH($B3567,Summary!$A$2:$A$201,0))</f>
        <v>20</v>
      </c>
      <c r="M3567" s="0" t="n">
        <f aca="false">INDEX(Summary!$I$2:$I$201,MATCH($B3567,Summary!$A$2:$A$201,0))</f>
        <v>1</v>
      </c>
      <c r="N3567" s="0" t="n">
        <f aca="false">INDEX(Summary!$J$2:$J$201,MATCH($B3567,Summary!$A$2:$A$201,0))</f>
        <v>4</v>
      </c>
      <c r="O3567" s="2" t="n">
        <f aca="false">INDEX(Summary!$K$2:$K$201,MATCH($B3567,Summary!$A$2:$A$201,0))</f>
        <v>10.63</v>
      </c>
      <c r="P3567" s="3" t="n">
        <f aca="false">INDEX(Summary!$L$2:$L$201,MATCH($B3567,Summary!$A$2:$A$201,0))</f>
        <v>5</v>
      </c>
      <c r="Q3567" s="3" t="n">
        <f aca="false">INDEX(Summary!$M$2:$M$201,MATCH($B3567,Summary!$A$2:$A$201,0))</f>
        <v>1</v>
      </c>
      <c r="R3567" s="2" t="n">
        <f aca="false">INDEX(Summary!$N$2:$N$201,MATCH($B3567,Summary!$A$2:$A$201,0))</f>
        <v>10.82</v>
      </c>
      <c r="S3567" s="3" t="n">
        <f aca="false">INDEX(Summary!$O$2:$O$201,MATCH($B3567,Summary!$A$2:$A$201,0))</f>
        <v>6</v>
      </c>
      <c r="T3567" s="3" t="n">
        <f aca="false">INDEX(Summary!$P$2:$P$201,MATCH($B3567,Summary!$A$2:$A$201,0))</f>
        <v>3</v>
      </c>
      <c r="U3567" s="2" t="n">
        <f aca="false">INDEX(Summary!$Q$2:$Q$201,MATCH($B3567,Summary!$A$2:$A$201,0))</f>
        <v>13.37</v>
      </c>
      <c r="V3567" s="2" t="n">
        <f aca="false">INDEX(Summary!$R$2:$R$201,MATCH($B3567,Summary!$A$2:$A$201,0))</f>
        <v>20.51</v>
      </c>
      <c r="W3567" s="0" t="str">
        <f aca="false">INDEX(Summary!$S$2:$S$201,MATCH($B3567,Summary!$A$2:$A$201,0))</f>
        <v>Silver</v>
      </c>
      <c r="X3567" s="2" t="n">
        <f aca="false">INDEX(Summary!$T$2:$T$201,MATCH($B3567,Summary!$A$2:$A$201,0))</f>
        <v>50.02</v>
      </c>
      <c r="Y3567" s="0" t="str">
        <f aca="false">INDEX('Reward Model'!$E$18:$E$37,MATCH($E3567,'Reward Model'!$A$18:$A$37,0))</f>
        <v>Medium</v>
      </c>
      <c r="Z3567" s="4" t="n">
        <f aca="false">ROUND(MIN(1,MAX('Reward Model'!$B$2,INDEX('Reward Model'!$C$12:$C$14,MATCH($K3567,'Reward Model'!$A$12:$A$14,0))/$J3567)),3)</f>
        <v>0.898</v>
      </c>
      <c r="AA3567" s="2" t="n">
        <f aca="false">IF($I3567="Correct",ROUND(INDEX('Reward Model'!$B$12:$B$14,MATCH($K3567,'Reward Model'!$A$12:$A$14,0))*Z3567,2),0)</f>
        <v>0.9</v>
      </c>
      <c r="AB3567" s="2" t="n">
        <f aca="false">IF($I3567="Correct",ROUND(INDEX('Reward Model'!$B$12:$B$14,MATCH($Y3567,'Reward Model'!$A$12:$A$14,0))*Z3567,2),0)</f>
        <v>1.8</v>
      </c>
    </row>
    <row r="3568" customFormat="false" ht="15" hidden="false" customHeight="false" outlineLevel="0" collapsed="false">
      <c r="A3568" s="0" t="s">
        <v>488</v>
      </c>
      <c r="B3568" s="0" t="s">
        <v>489</v>
      </c>
      <c r="C3568" s="0" t="s">
        <v>322</v>
      </c>
      <c r="D3568" s="0" t="s">
        <v>275</v>
      </c>
      <c r="E3568" s="0" t="n">
        <v>7</v>
      </c>
      <c r="F3568" s="0" t="s">
        <v>50</v>
      </c>
      <c r="G3568" s="0" t="s">
        <v>51</v>
      </c>
      <c r="H3568" s="0" t="s">
        <v>51</v>
      </c>
      <c r="I3568" s="0" t="s">
        <v>34</v>
      </c>
      <c r="J3568" s="0" t="n">
        <v>1.34</v>
      </c>
      <c r="K3568" s="0" t="s">
        <v>35</v>
      </c>
      <c r="L3568" s="0" t="n">
        <f aca="false">INDEX(Summary!$F$2:$F$201,MATCH($B3568,Summary!$A$2:$A$201,0))</f>
        <v>20</v>
      </c>
      <c r="M3568" s="0" t="n">
        <f aca="false">INDEX(Summary!$I$2:$I$201,MATCH($B3568,Summary!$A$2:$A$201,0))</f>
        <v>1</v>
      </c>
      <c r="N3568" s="0" t="n">
        <f aca="false">INDEX(Summary!$J$2:$J$201,MATCH($B3568,Summary!$A$2:$A$201,0))</f>
        <v>4</v>
      </c>
      <c r="O3568" s="2" t="n">
        <f aca="false">INDEX(Summary!$K$2:$K$201,MATCH($B3568,Summary!$A$2:$A$201,0))</f>
        <v>10.63</v>
      </c>
      <c r="P3568" s="3" t="n">
        <f aca="false">INDEX(Summary!$L$2:$L$201,MATCH($B3568,Summary!$A$2:$A$201,0))</f>
        <v>5</v>
      </c>
      <c r="Q3568" s="3" t="n">
        <f aca="false">INDEX(Summary!$M$2:$M$201,MATCH($B3568,Summary!$A$2:$A$201,0))</f>
        <v>1</v>
      </c>
      <c r="R3568" s="2" t="n">
        <f aca="false">INDEX(Summary!$N$2:$N$201,MATCH($B3568,Summary!$A$2:$A$201,0))</f>
        <v>10.82</v>
      </c>
      <c r="S3568" s="3" t="n">
        <f aca="false">INDEX(Summary!$O$2:$O$201,MATCH($B3568,Summary!$A$2:$A$201,0))</f>
        <v>6</v>
      </c>
      <c r="T3568" s="3" t="n">
        <f aca="false">INDEX(Summary!$P$2:$P$201,MATCH($B3568,Summary!$A$2:$A$201,0))</f>
        <v>3</v>
      </c>
      <c r="U3568" s="2" t="n">
        <f aca="false">INDEX(Summary!$Q$2:$Q$201,MATCH($B3568,Summary!$A$2:$A$201,0))</f>
        <v>13.37</v>
      </c>
      <c r="V3568" s="2" t="n">
        <f aca="false">INDEX(Summary!$R$2:$R$201,MATCH($B3568,Summary!$A$2:$A$201,0))</f>
        <v>20.51</v>
      </c>
      <c r="W3568" s="0" t="str">
        <f aca="false">INDEX(Summary!$S$2:$S$201,MATCH($B3568,Summary!$A$2:$A$201,0))</f>
        <v>Silver</v>
      </c>
      <c r="X3568" s="2" t="n">
        <f aca="false">INDEX(Summary!$T$2:$T$201,MATCH($B3568,Summary!$A$2:$A$201,0))</f>
        <v>50.02</v>
      </c>
      <c r="Y3568" s="0" t="str">
        <f aca="false">INDEX('Reward Model'!$E$18:$E$37,MATCH($E3568,'Reward Model'!$A$18:$A$37,0))</f>
        <v>Low</v>
      </c>
      <c r="Z3568" s="4" t="n">
        <f aca="false">ROUND(MIN(1,MAX('Reward Model'!$B$2,INDEX('Reward Model'!$C$12:$C$14,MATCH($K3568,'Reward Model'!$A$12:$A$14,0))/$J3568)),3)</f>
        <v>1</v>
      </c>
      <c r="AA3568" s="2" t="n">
        <f aca="false">IF($I3568="Correct",ROUND(INDEX('Reward Model'!$B$12:$B$14,MATCH($K3568,'Reward Model'!$A$12:$A$14,0))*Z3568,2),0)</f>
        <v>1</v>
      </c>
      <c r="AB3568" s="2" t="n">
        <f aca="false">IF($I3568="Correct",ROUND(INDEX('Reward Model'!$B$12:$B$14,MATCH($Y3568,'Reward Model'!$A$12:$A$14,0))*Z3568,2),0)</f>
        <v>1</v>
      </c>
    </row>
    <row r="3569" customFormat="false" ht="15" hidden="false" customHeight="false" outlineLevel="0" collapsed="false">
      <c r="A3569" s="0" t="s">
        <v>488</v>
      </c>
      <c r="B3569" s="0" t="s">
        <v>489</v>
      </c>
      <c r="C3569" s="0" t="s">
        <v>322</v>
      </c>
      <c r="D3569" s="0" t="s">
        <v>275</v>
      </c>
      <c r="E3569" s="0" t="n">
        <v>8</v>
      </c>
      <c r="F3569" s="0" t="s">
        <v>52</v>
      </c>
      <c r="G3569" s="0" t="s">
        <v>137</v>
      </c>
      <c r="H3569" s="0" t="s">
        <v>54</v>
      </c>
      <c r="I3569" s="0" t="s">
        <v>39</v>
      </c>
      <c r="J3569" s="0" t="n">
        <v>1.92</v>
      </c>
      <c r="K3569" s="0" t="s">
        <v>35</v>
      </c>
      <c r="L3569" s="0" t="n">
        <f aca="false">INDEX(Summary!$F$2:$F$201,MATCH($B3569,Summary!$A$2:$A$201,0))</f>
        <v>20</v>
      </c>
      <c r="M3569" s="0" t="n">
        <f aca="false">INDEX(Summary!$I$2:$I$201,MATCH($B3569,Summary!$A$2:$A$201,0))</f>
        <v>1</v>
      </c>
      <c r="N3569" s="0" t="n">
        <f aca="false">INDEX(Summary!$J$2:$J$201,MATCH($B3569,Summary!$A$2:$A$201,0))</f>
        <v>4</v>
      </c>
      <c r="O3569" s="2" t="n">
        <f aca="false">INDEX(Summary!$K$2:$K$201,MATCH($B3569,Summary!$A$2:$A$201,0))</f>
        <v>10.63</v>
      </c>
      <c r="P3569" s="3" t="n">
        <f aca="false">INDEX(Summary!$L$2:$L$201,MATCH($B3569,Summary!$A$2:$A$201,0))</f>
        <v>5</v>
      </c>
      <c r="Q3569" s="3" t="n">
        <f aca="false">INDEX(Summary!$M$2:$M$201,MATCH($B3569,Summary!$A$2:$A$201,0))</f>
        <v>1</v>
      </c>
      <c r="R3569" s="2" t="n">
        <f aca="false">INDEX(Summary!$N$2:$N$201,MATCH($B3569,Summary!$A$2:$A$201,0))</f>
        <v>10.82</v>
      </c>
      <c r="S3569" s="3" t="n">
        <f aca="false">INDEX(Summary!$O$2:$O$201,MATCH($B3569,Summary!$A$2:$A$201,0))</f>
        <v>6</v>
      </c>
      <c r="T3569" s="3" t="n">
        <f aca="false">INDEX(Summary!$P$2:$P$201,MATCH($B3569,Summary!$A$2:$A$201,0))</f>
        <v>3</v>
      </c>
      <c r="U3569" s="2" t="n">
        <f aca="false">INDEX(Summary!$Q$2:$Q$201,MATCH($B3569,Summary!$A$2:$A$201,0))</f>
        <v>13.37</v>
      </c>
      <c r="V3569" s="2" t="n">
        <f aca="false">INDEX(Summary!$R$2:$R$201,MATCH($B3569,Summary!$A$2:$A$201,0))</f>
        <v>20.51</v>
      </c>
      <c r="W3569" s="0" t="str">
        <f aca="false">INDEX(Summary!$S$2:$S$201,MATCH($B3569,Summary!$A$2:$A$201,0))</f>
        <v>Silver</v>
      </c>
      <c r="X3569" s="2" t="n">
        <f aca="false">INDEX(Summary!$T$2:$T$201,MATCH($B3569,Summary!$A$2:$A$201,0))</f>
        <v>50.02</v>
      </c>
      <c r="Y3569" s="0" t="str">
        <f aca="false">INDEX('Reward Model'!$E$18:$E$37,MATCH($E3569,'Reward Model'!$A$18:$A$37,0))</f>
        <v>Medium</v>
      </c>
      <c r="Z3569" s="4" t="n">
        <f aca="false">ROUND(MIN(1,MAX('Reward Model'!$B$2,INDEX('Reward Model'!$C$12:$C$14,MATCH($K3569,'Reward Model'!$A$12:$A$14,0))/$J3569)),3)</f>
        <v>0.781</v>
      </c>
      <c r="AA3569" s="2" t="n">
        <f aca="false">IF($I3569="Correct",ROUND(INDEX('Reward Model'!$B$12:$B$14,MATCH($K3569,'Reward Model'!$A$12:$A$14,0))*Z3569,2),0)</f>
        <v>0</v>
      </c>
      <c r="AB3569" s="2" t="n">
        <f aca="false">IF($I3569="Correct",ROUND(INDEX('Reward Model'!$B$12:$B$14,MATCH($Y3569,'Reward Model'!$A$12:$A$14,0))*Z3569,2),0)</f>
        <v>0</v>
      </c>
    </row>
    <row r="3570" customFormat="false" ht="15" hidden="false" customHeight="false" outlineLevel="0" collapsed="false">
      <c r="A3570" s="0" t="s">
        <v>488</v>
      </c>
      <c r="B3570" s="0" t="s">
        <v>489</v>
      </c>
      <c r="C3570" s="0" t="s">
        <v>322</v>
      </c>
      <c r="D3570" s="0" t="s">
        <v>275</v>
      </c>
      <c r="E3570" s="0" t="n">
        <v>9</v>
      </c>
      <c r="F3570" s="0" t="s">
        <v>55</v>
      </c>
      <c r="G3570" s="0" t="s">
        <v>57</v>
      </c>
      <c r="H3570" s="0" t="s">
        <v>57</v>
      </c>
      <c r="I3570" s="0" t="s">
        <v>34</v>
      </c>
      <c r="J3570" s="0" t="n">
        <v>1.46</v>
      </c>
      <c r="K3570" s="0" t="s">
        <v>35</v>
      </c>
      <c r="L3570" s="0" t="n">
        <f aca="false">INDEX(Summary!$F$2:$F$201,MATCH($B3570,Summary!$A$2:$A$201,0))</f>
        <v>20</v>
      </c>
      <c r="M3570" s="0" t="n">
        <f aca="false">INDEX(Summary!$I$2:$I$201,MATCH($B3570,Summary!$A$2:$A$201,0))</f>
        <v>1</v>
      </c>
      <c r="N3570" s="0" t="n">
        <f aca="false">INDEX(Summary!$J$2:$J$201,MATCH($B3570,Summary!$A$2:$A$201,0))</f>
        <v>4</v>
      </c>
      <c r="O3570" s="2" t="n">
        <f aca="false">INDEX(Summary!$K$2:$K$201,MATCH($B3570,Summary!$A$2:$A$201,0))</f>
        <v>10.63</v>
      </c>
      <c r="P3570" s="3" t="n">
        <f aca="false">INDEX(Summary!$L$2:$L$201,MATCH($B3570,Summary!$A$2:$A$201,0))</f>
        <v>5</v>
      </c>
      <c r="Q3570" s="3" t="n">
        <f aca="false">INDEX(Summary!$M$2:$M$201,MATCH($B3570,Summary!$A$2:$A$201,0))</f>
        <v>1</v>
      </c>
      <c r="R3570" s="2" t="n">
        <f aca="false">INDEX(Summary!$N$2:$N$201,MATCH($B3570,Summary!$A$2:$A$201,0))</f>
        <v>10.82</v>
      </c>
      <c r="S3570" s="3" t="n">
        <f aca="false">INDEX(Summary!$O$2:$O$201,MATCH($B3570,Summary!$A$2:$A$201,0))</f>
        <v>6</v>
      </c>
      <c r="T3570" s="3" t="n">
        <f aca="false">INDEX(Summary!$P$2:$P$201,MATCH($B3570,Summary!$A$2:$A$201,0))</f>
        <v>3</v>
      </c>
      <c r="U3570" s="2" t="n">
        <f aca="false">INDEX(Summary!$Q$2:$Q$201,MATCH($B3570,Summary!$A$2:$A$201,0))</f>
        <v>13.37</v>
      </c>
      <c r="V3570" s="2" t="n">
        <f aca="false">INDEX(Summary!$R$2:$R$201,MATCH($B3570,Summary!$A$2:$A$201,0))</f>
        <v>20.51</v>
      </c>
      <c r="W3570" s="0" t="str">
        <f aca="false">INDEX(Summary!$S$2:$S$201,MATCH($B3570,Summary!$A$2:$A$201,0))</f>
        <v>Silver</v>
      </c>
      <c r="X3570" s="2" t="n">
        <f aca="false">INDEX(Summary!$T$2:$T$201,MATCH($B3570,Summary!$A$2:$A$201,0))</f>
        <v>50.02</v>
      </c>
      <c r="Y3570" s="0" t="str">
        <f aca="false">INDEX('Reward Model'!$E$18:$E$37,MATCH($E3570,'Reward Model'!$A$18:$A$37,0))</f>
        <v>Medium</v>
      </c>
      <c r="Z3570" s="4" t="n">
        <f aca="false">ROUND(MIN(1,MAX('Reward Model'!$B$2,INDEX('Reward Model'!$C$12:$C$14,MATCH($K3570,'Reward Model'!$A$12:$A$14,0))/$J3570)),3)</f>
        <v>1</v>
      </c>
      <c r="AA3570" s="2" t="n">
        <f aca="false">IF($I3570="Correct",ROUND(INDEX('Reward Model'!$B$12:$B$14,MATCH($K3570,'Reward Model'!$A$12:$A$14,0))*Z3570,2),0)</f>
        <v>1</v>
      </c>
      <c r="AB3570" s="2" t="n">
        <f aca="false">IF($I3570="Correct",ROUND(INDEX('Reward Model'!$B$12:$B$14,MATCH($Y3570,'Reward Model'!$A$12:$A$14,0))*Z3570,2),0)</f>
        <v>2</v>
      </c>
    </row>
    <row r="3571" customFormat="false" ht="15" hidden="false" customHeight="false" outlineLevel="0" collapsed="false">
      <c r="A3571" s="0" t="s">
        <v>488</v>
      </c>
      <c r="B3571" s="0" t="s">
        <v>489</v>
      </c>
      <c r="C3571" s="0" t="s">
        <v>322</v>
      </c>
      <c r="D3571" s="0" t="s">
        <v>275</v>
      </c>
      <c r="E3571" s="0" t="n">
        <v>10</v>
      </c>
      <c r="F3571" s="0" t="s">
        <v>58</v>
      </c>
      <c r="G3571" s="0" t="s">
        <v>99</v>
      </c>
      <c r="H3571" s="0" t="s">
        <v>59</v>
      </c>
      <c r="I3571" s="0" t="s">
        <v>39</v>
      </c>
      <c r="J3571" s="0" t="n">
        <v>1.79</v>
      </c>
      <c r="K3571" s="0" t="s">
        <v>60</v>
      </c>
      <c r="L3571" s="0" t="n">
        <f aca="false">INDEX(Summary!$F$2:$F$201,MATCH($B3571,Summary!$A$2:$A$201,0))</f>
        <v>20</v>
      </c>
      <c r="M3571" s="0" t="n">
        <f aca="false">INDEX(Summary!$I$2:$I$201,MATCH($B3571,Summary!$A$2:$A$201,0))</f>
        <v>1</v>
      </c>
      <c r="N3571" s="0" t="n">
        <f aca="false">INDEX(Summary!$J$2:$J$201,MATCH($B3571,Summary!$A$2:$A$201,0))</f>
        <v>4</v>
      </c>
      <c r="O3571" s="2" t="n">
        <f aca="false">INDEX(Summary!$K$2:$K$201,MATCH($B3571,Summary!$A$2:$A$201,0))</f>
        <v>10.63</v>
      </c>
      <c r="P3571" s="3" t="n">
        <f aca="false">INDEX(Summary!$L$2:$L$201,MATCH($B3571,Summary!$A$2:$A$201,0))</f>
        <v>5</v>
      </c>
      <c r="Q3571" s="3" t="n">
        <f aca="false">INDEX(Summary!$M$2:$M$201,MATCH($B3571,Summary!$A$2:$A$201,0))</f>
        <v>1</v>
      </c>
      <c r="R3571" s="2" t="n">
        <f aca="false">INDEX(Summary!$N$2:$N$201,MATCH($B3571,Summary!$A$2:$A$201,0))</f>
        <v>10.82</v>
      </c>
      <c r="S3571" s="3" t="n">
        <f aca="false">INDEX(Summary!$O$2:$O$201,MATCH($B3571,Summary!$A$2:$A$201,0))</f>
        <v>6</v>
      </c>
      <c r="T3571" s="3" t="n">
        <f aca="false">INDEX(Summary!$P$2:$P$201,MATCH($B3571,Summary!$A$2:$A$201,0))</f>
        <v>3</v>
      </c>
      <c r="U3571" s="2" t="n">
        <f aca="false">INDEX(Summary!$Q$2:$Q$201,MATCH($B3571,Summary!$A$2:$A$201,0))</f>
        <v>13.37</v>
      </c>
      <c r="V3571" s="2" t="n">
        <f aca="false">INDEX(Summary!$R$2:$R$201,MATCH($B3571,Summary!$A$2:$A$201,0))</f>
        <v>20.51</v>
      </c>
      <c r="W3571" s="0" t="str">
        <f aca="false">INDEX(Summary!$S$2:$S$201,MATCH($B3571,Summary!$A$2:$A$201,0))</f>
        <v>Silver</v>
      </c>
      <c r="X3571" s="2" t="n">
        <f aca="false">INDEX(Summary!$T$2:$T$201,MATCH($B3571,Summary!$A$2:$A$201,0))</f>
        <v>50.02</v>
      </c>
      <c r="Y3571" s="0" t="str">
        <f aca="false">INDEX('Reward Model'!$E$18:$E$37,MATCH($E3571,'Reward Model'!$A$18:$A$37,0))</f>
        <v>Medium</v>
      </c>
      <c r="Z3571" s="4" t="n">
        <f aca="false">ROUND(MIN(1,MAX('Reward Model'!$B$2,INDEX('Reward Model'!$C$12:$C$14,MATCH($K3571,'Reward Model'!$A$12:$A$14,0))/$J3571)),3)</f>
        <v>1</v>
      </c>
      <c r="AA3571" s="2" t="n">
        <f aca="false">IF($I3571="Correct",ROUND(INDEX('Reward Model'!$B$12:$B$14,MATCH($K3571,'Reward Model'!$A$12:$A$14,0))*Z3571,2),0)</f>
        <v>0</v>
      </c>
      <c r="AB3571" s="2" t="n">
        <f aca="false">IF($I3571="Correct",ROUND(INDEX('Reward Model'!$B$12:$B$14,MATCH($Y3571,'Reward Model'!$A$12:$A$14,0))*Z3571,2),0)</f>
        <v>0</v>
      </c>
    </row>
    <row r="3572" customFormat="false" ht="15" hidden="false" customHeight="false" outlineLevel="0" collapsed="false">
      <c r="A3572" s="0" t="s">
        <v>488</v>
      </c>
      <c r="B3572" s="0" t="s">
        <v>489</v>
      </c>
      <c r="C3572" s="0" t="s">
        <v>322</v>
      </c>
      <c r="D3572" s="0" t="s">
        <v>275</v>
      </c>
      <c r="E3572" s="0" t="n">
        <v>11</v>
      </c>
      <c r="F3572" s="0" t="s">
        <v>61</v>
      </c>
      <c r="G3572" s="0" t="s">
        <v>63</v>
      </c>
      <c r="H3572" s="0" t="s">
        <v>63</v>
      </c>
      <c r="I3572" s="0" t="s">
        <v>34</v>
      </c>
      <c r="J3572" s="0" t="n">
        <v>1.94</v>
      </c>
      <c r="K3572" s="0" t="s">
        <v>60</v>
      </c>
      <c r="L3572" s="0" t="n">
        <f aca="false">INDEX(Summary!$F$2:$F$201,MATCH($B3572,Summary!$A$2:$A$201,0))</f>
        <v>20</v>
      </c>
      <c r="M3572" s="0" t="n">
        <f aca="false">INDEX(Summary!$I$2:$I$201,MATCH($B3572,Summary!$A$2:$A$201,0))</f>
        <v>1</v>
      </c>
      <c r="N3572" s="0" t="n">
        <f aca="false">INDEX(Summary!$J$2:$J$201,MATCH($B3572,Summary!$A$2:$A$201,0))</f>
        <v>4</v>
      </c>
      <c r="O3572" s="2" t="n">
        <f aca="false">INDEX(Summary!$K$2:$K$201,MATCH($B3572,Summary!$A$2:$A$201,0))</f>
        <v>10.63</v>
      </c>
      <c r="P3572" s="3" t="n">
        <f aca="false">INDEX(Summary!$L$2:$L$201,MATCH($B3572,Summary!$A$2:$A$201,0))</f>
        <v>5</v>
      </c>
      <c r="Q3572" s="3" t="n">
        <f aca="false">INDEX(Summary!$M$2:$M$201,MATCH($B3572,Summary!$A$2:$A$201,0))</f>
        <v>1</v>
      </c>
      <c r="R3572" s="2" t="n">
        <f aca="false">INDEX(Summary!$N$2:$N$201,MATCH($B3572,Summary!$A$2:$A$201,0))</f>
        <v>10.82</v>
      </c>
      <c r="S3572" s="3" t="n">
        <f aca="false">INDEX(Summary!$O$2:$O$201,MATCH($B3572,Summary!$A$2:$A$201,0))</f>
        <v>6</v>
      </c>
      <c r="T3572" s="3" t="n">
        <f aca="false">INDEX(Summary!$P$2:$P$201,MATCH($B3572,Summary!$A$2:$A$201,0))</f>
        <v>3</v>
      </c>
      <c r="U3572" s="2" t="n">
        <f aca="false">INDEX(Summary!$Q$2:$Q$201,MATCH($B3572,Summary!$A$2:$A$201,0))</f>
        <v>13.37</v>
      </c>
      <c r="V3572" s="2" t="n">
        <f aca="false">INDEX(Summary!$R$2:$R$201,MATCH($B3572,Summary!$A$2:$A$201,0))</f>
        <v>20.51</v>
      </c>
      <c r="W3572" s="0" t="str">
        <f aca="false">INDEX(Summary!$S$2:$S$201,MATCH($B3572,Summary!$A$2:$A$201,0))</f>
        <v>Silver</v>
      </c>
      <c r="X3572" s="2" t="n">
        <f aca="false">INDEX(Summary!$T$2:$T$201,MATCH($B3572,Summary!$A$2:$A$201,0))</f>
        <v>50.02</v>
      </c>
      <c r="Y3572" s="0" t="str">
        <f aca="false">INDEX('Reward Model'!$E$18:$E$37,MATCH($E3572,'Reward Model'!$A$18:$A$37,0))</f>
        <v>Medium</v>
      </c>
      <c r="Z3572" s="4" t="n">
        <f aca="false">ROUND(MIN(1,MAX('Reward Model'!$B$2,INDEX('Reward Model'!$C$12:$C$14,MATCH($K3572,'Reward Model'!$A$12:$A$14,0))/$J3572)),3)</f>
        <v>0.928</v>
      </c>
      <c r="AA3572" s="2" t="n">
        <f aca="false">IF($I3572="Correct",ROUND(INDEX('Reward Model'!$B$12:$B$14,MATCH($K3572,'Reward Model'!$A$12:$A$14,0))*Z3572,2),0)</f>
        <v>1.86</v>
      </c>
      <c r="AB3572" s="2" t="n">
        <f aca="false">IF($I3572="Correct",ROUND(INDEX('Reward Model'!$B$12:$B$14,MATCH($Y3572,'Reward Model'!$A$12:$A$14,0))*Z3572,2),0)</f>
        <v>1.86</v>
      </c>
    </row>
    <row r="3573" customFormat="false" ht="15" hidden="false" customHeight="false" outlineLevel="0" collapsed="false">
      <c r="A3573" s="0" t="s">
        <v>488</v>
      </c>
      <c r="B3573" s="0" t="s">
        <v>489</v>
      </c>
      <c r="C3573" s="0" t="s">
        <v>322</v>
      </c>
      <c r="D3573" s="0" t="s">
        <v>275</v>
      </c>
      <c r="E3573" s="0" t="n">
        <v>12</v>
      </c>
      <c r="F3573" s="0" t="s">
        <v>64</v>
      </c>
      <c r="G3573" s="0" t="s">
        <v>65</v>
      </c>
      <c r="H3573" s="0" t="s">
        <v>65</v>
      </c>
      <c r="I3573" s="0" t="s">
        <v>34</v>
      </c>
      <c r="J3573" s="0" t="n">
        <v>2.21</v>
      </c>
      <c r="K3573" s="0" t="s">
        <v>60</v>
      </c>
      <c r="L3573" s="0" t="n">
        <f aca="false">INDEX(Summary!$F$2:$F$201,MATCH($B3573,Summary!$A$2:$A$201,0))</f>
        <v>20</v>
      </c>
      <c r="M3573" s="0" t="n">
        <f aca="false">INDEX(Summary!$I$2:$I$201,MATCH($B3573,Summary!$A$2:$A$201,0))</f>
        <v>1</v>
      </c>
      <c r="N3573" s="0" t="n">
        <f aca="false">INDEX(Summary!$J$2:$J$201,MATCH($B3573,Summary!$A$2:$A$201,0))</f>
        <v>4</v>
      </c>
      <c r="O3573" s="2" t="n">
        <f aca="false">INDEX(Summary!$K$2:$K$201,MATCH($B3573,Summary!$A$2:$A$201,0))</f>
        <v>10.63</v>
      </c>
      <c r="P3573" s="3" t="n">
        <f aca="false">INDEX(Summary!$L$2:$L$201,MATCH($B3573,Summary!$A$2:$A$201,0))</f>
        <v>5</v>
      </c>
      <c r="Q3573" s="3" t="n">
        <f aca="false">INDEX(Summary!$M$2:$M$201,MATCH($B3573,Summary!$A$2:$A$201,0))</f>
        <v>1</v>
      </c>
      <c r="R3573" s="2" t="n">
        <f aca="false">INDEX(Summary!$N$2:$N$201,MATCH($B3573,Summary!$A$2:$A$201,0))</f>
        <v>10.82</v>
      </c>
      <c r="S3573" s="3" t="n">
        <f aca="false">INDEX(Summary!$O$2:$O$201,MATCH($B3573,Summary!$A$2:$A$201,0))</f>
        <v>6</v>
      </c>
      <c r="T3573" s="3" t="n">
        <f aca="false">INDEX(Summary!$P$2:$P$201,MATCH($B3573,Summary!$A$2:$A$201,0))</f>
        <v>3</v>
      </c>
      <c r="U3573" s="2" t="n">
        <f aca="false">INDEX(Summary!$Q$2:$Q$201,MATCH($B3573,Summary!$A$2:$A$201,0))</f>
        <v>13.37</v>
      </c>
      <c r="V3573" s="2" t="n">
        <f aca="false">INDEX(Summary!$R$2:$R$201,MATCH($B3573,Summary!$A$2:$A$201,0))</f>
        <v>20.51</v>
      </c>
      <c r="W3573" s="0" t="str">
        <f aca="false">INDEX(Summary!$S$2:$S$201,MATCH($B3573,Summary!$A$2:$A$201,0))</f>
        <v>Silver</v>
      </c>
      <c r="X3573" s="2" t="n">
        <f aca="false">INDEX(Summary!$T$2:$T$201,MATCH($B3573,Summary!$A$2:$A$201,0))</f>
        <v>50.02</v>
      </c>
      <c r="Y3573" s="0" t="str">
        <f aca="false">INDEX('Reward Model'!$E$18:$E$37,MATCH($E3573,'Reward Model'!$A$18:$A$37,0))</f>
        <v>Medium</v>
      </c>
      <c r="Z3573" s="4" t="n">
        <f aca="false">ROUND(MIN(1,MAX('Reward Model'!$B$2,INDEX('Reward Model'!$C$12:$C$14,MATCH($K3573,'Reward Model'!$A$12:$A$14,0))/$J3573)),3)</f>
        <v>0.814</v>
      </c>
      <c r="AA3573" s="2" t="n">
        <f aca="false">IF($I3573="Correct",ROUND(INDEX('Reward Model'!$B$12:$B$14,MATCH($K3573,'Reward Model'!$A$12:$A$14,0))*Z3573,2),0)</f>
        <v>1.63</v>
      </c>
      <c r="AB3573" s="2" t="n">
        <f aca="false">IF($I3573="Correct",ROUND(INDEX('Reward Model'!$B$12:$B$14,MATCH($Y3573,'Reward Model'!$A$12:$A$14,0))*Z3573,2),0)</f>
        <v>1.63</v>
      </c>
    </row>
    <row r="3574" customFormat="false" ht="15" hidden="false" customHeight="false" outlineLevel="0" collapsed="false">
      <c r="A3574" s="0" t="s">
        <v>488</v>
      </c>
      <c r="B3574" s="0" t="s">
        <v>489</v>
      </c>
      <c r="C3574" s="0" t="s">
        <v>322</v>
      </c>
      <c r="D3574" s="0" t="s">
        <v>275</v>
      </c>
      <c r="E3574" s="0" t="n">
        <v>13</v>
      </c>
      <c r="F3574" s="0" t="s">
        <v>66</v>
      </c>
      <c r="G3574" s="0" t="s">
        <v>67</v>
      </c>
      <c r="H3574" s="0" t="s">
        <v>67</v>
      </c>
      <c r="I3574" s="0" t="s">
        <v>34</v>
      </c>
      <c r="J3574" s="0" t="n">
        <v>2.1</v>
      </c>
      <c r="K3574" s="0" t="s">
        <v>60</v>
      </c>
      <c r="L3574" s="0" t="n">
        <f aca="false">INDEX(Summary!$F$2:$F$201,MATCH($B3574,Summary!$A$2:$A$201,0))</f>
        <v>20</v>
      </c>
      <c r="M3574" s="0" t="n">
        <f aca="false">INDEX(Summary!$I$2:$I$201,MATCH($B3574,Summary!$A$2:$A$201,0))</f>
        <v>1</v>
      </c>
      <c r="N3574" s="0" t="n">
        <f aca="false">INDEX(Summary!$J$2:$J$201,MATCH($B3574,Summary!$A$2:$A$201,0))</f>
        <v>4</v>
      </c>
      <c r="O3574" s="2" t="n">
        <f aca="false">INDEX(Summary!$K$2:$K$201,MATCH($B3574,Summary!$A$2:$A$201,0))</f>
        <v>10.63</v>
      </c>
      <c r="P3574" s="3" t="n">
        <f aca="false">INDEX(Summary!$L$2:$L$201,MATCH($B3574,Summary!$A$2:$A$201,0))</f>
        <v>5</v>
      </c>
      <c r="Q3574" s="3" t="n">
        <f aca="false">INDEX(Summary!$M$2:$M$201,MATCH($B3574,Summary!$A$2:$A$201,0))</f>
        <v>1</v>
      </c>
      <c r="R3574" s="2" t="n">
        <f aca="false">INDEX(Summary!$N$2:$N$201,MATCH($B3574,Summary!$A$2:$A$201,0))</f>
        <v>10.82</v>
      </c>
      <c r="S3574" s="3" t="n">
        <f aca="false">INDEX(Summary!$O$2:$O$201,MATCH($B3574,Summary!$A$2:$A$201,0))</f>
        <v>6</v>
      </c>
      <c r="T3574" s="3" t="n">
        <f aca="false">INDEX(Summary!$P$2:$P$201,MATCH($B3574,Summary!$A$2:$A$201,0))</f>
        <v>3</v>
      </c>
      <c r="U3574" s="2" t="n">
        <f aca="false">INDEX(Summary!$Q$2:$Q$201,MATCH($B3574,Summary!$A$2:$A$201,0))</f>
        <v>13.37</v>
      </c>
      <c r="V3574" s="2" t="n">
        <f aca="false">INDEX(Summary!$R$2:$R$201,MATCH($B3574,Summary!$A$2:$A$201,0))</f>
        <v>20.51</v>
      </c>
      <c r="W3574" s="0" t="str">
        <f aca="false">INDEX(Summary!$S$2:$S$201,MATCH($B3574,Summary!$A$2:$A$201,0))</f>
        <v>Silver</v>
      </c>
      <c r="X3574" s="2" t="n">
        <f aca="false">INDEX(Summary!$T$2:$T$201,MATCH($B3574,Summary!$A$2:$A$201,0))</f>
        <v>50.02</v>
      </c>
      <c r="Y3574" s="0" t="str">
        <f aca="false">INDEX('Reward Model'!$E$18:$E$37,MATCH($E3574,'Reward Model'!$A$18:$A$37,0))</f>
        <v>Medium</v>
      </c>
      <c r="Z3574" s="4" t="n">
        <f aca="false">ROUND(MIN(1,MAX('Reward Model'!$B$2,INDEX('Reward Model'!$C$12:$C$14,MATCH($K3574,'Reward Model'!$A$12:$A$14,0))/$J3574)),3)</f>
        <v>0.857</v>
      </c>
      <c r="AA3574" s="2" t="n">
        <f aca="false">IF($I3574="Correct",ROUND(INDEX('Reward Model'!$B$12:$B$14,MATCH($K3574,'Reward Model'!$A$12:$A$14,0))*Z3574,2),0)</f>
        <v>1.71</v>
      </c>
      <c r="AB3574" s="2" t="n">
        <f aca="false">IF($I3574="Correct",ROUND(INDEX('Reward Model'!$B$12:$B$14,MATCH($Y3574,'Reward Model'!$A$12:$A$14,0))*Z3574,2),0)</f>
        <v>1.71</v>
      </c>
    </row>
    <row r="3575" customFormat="false" ht="15" hidden="false" customHeight="false" outlineLevel="0" collapsed="false">
      <c r="A3575" s="0" t="s">
        <v>488</v>
      </c>
      <c r="B3575" s="0" t="s">
        <v>489</v>
      </c>
      <c r="C3575" s="0" t="s">
        <v>322</v>
      </c>
      <c r="D3575" s="0" t="s">
        <v>275</v>
      </c>
      <c r="E3575" s="0" t="n">
        <v>14</v>
      </c>
      <c r="F3575" s="0" t="s">
        <v>68</v>
      </c>
      <c r="G3575" s="0" t="s">
        <v>51</v>
      </c>
      <c r="H3575" s="0" t="s">
        <v>51</v>
      </c>
      <c r="I3575" s="0" t="s">
        <v>34</v>
      </c>
      <c r="J3575" s="0" t="n">
        <v>1.25</v>
      </c>
      <c r="K3575" s="0" t="s">
        <v>60</v>
      </c>
      <c r="L3575" s="0" t="n">
        <f aca="false">INDEX(Summary!$F$2:$F$201,MATCH($B3575,Summary!$A$2:$A$201,0))</f>
        <v>20</v>
      </c>
      <c r="M3575" s="0" t="n">
        <f aca="false">INDEX(Summary!$I$2:$I$201,MATCH($B3575,Summary!$A$2:$A$201,0))</f>
        <v>1</v>
      </c>
      <c r="N3575" s="0" t="n">
        <f aca="false">INDEX(Summary!$J$2:$J$201,MATCH($B3575,Summary!$A$2:$A$201,0))</f>
        <v>4</v>
      </c>
      <c r="O3575" s="2" t="n">
        <f aca="false">INDEX(Summary!$K$2:$K$201,MATCH($B3575,Summary!$A$2:$A$201,0))</f>
        <v>10.63</v>
      </c>
      <c r="P3575" s="3" t="n">
        <f aca="false">INDEX(Summary!$L$2:$L$201,MATCH($B3575,Summary!$A$2:$A$201,0))</f>
        <v>5</v>
      </c>
      <c r="Q3575" s="3" t="n">
        <f aca="false">INDEX(Summary!$M$2:$M$201,MATCH($B3575,Summary!$A$2:$A$201,0))</f>
        <v>1</v>
      </c>
      <c r="R3575" s="2" t="n">
        <f aca="false">INDEX(Summary!$N$2:$N$201,MATCH($B3575,Summary!$A$2:$A$201,0))</f>
        <v>10.82</v>
      </c>
      <c r="S3575" s="3" t="n">
        <f aca="false">INDEX(Summary!$O$2:$O$201,MATCH($B3575,Summary!$A$2:$A$201,0))</f>
        <v>6</v>
      </c>
      <c r="T3575" s="3" t="n">
        <f aca="false">INDEX(Summary!$P$2:$P$201,MATCH($B3575,Summary!$A$2:$A$201,0))</f>
        <v>3</v>
      </c>
      <c r="U3575" s="2" t="n">
        <f aca="false">INDEX(Summary!$Q$2:$Q$201,MATCH($B3575,Summary!$A$2:$A$201,0))</f>
        <v>13.37</v>
      </c>
      <c r="V3575" s="2" t="n">
        <f aca="false">INDEX(Summary!$R$2:$R$201,MATCH($B3575,Summary!$A$2:$A$201,0))</f>
        <v>20.51</v>
      </c>
      <c r="W3575" s="0" t="str">
        <f aca="false">INDEX(Summary!$S$2:$S$201,MATCH($B3575,Summary!$A$2:$A$201,0))</f>
        <v>Silver</v>
      </c>
      <c r="X3575" s="2" t="n">
        <f aca="false">INDEX(Summary!$T$2:$T$201,MATCH($B3575,Summary!$A$2:$A$201,0))</f>
        <v>50.02</v>
      </c>
      <c r="Y3575" s="0" t="str">
        <f aca="false">INDEX('Reward Model'!$E$18:$E$37,MATCH($E3575,'Reward Model'!$A$18:$A$37,0))</f>
        <v>Medium</v>
      </c>
      <c r="Z3575" s="4" t="n">
        <f aca="false">ROUND(MIN(1,MAX('Reward Model'!$B$2,INDEX('Reward Model'!$C$12:$C$14,MATCH($K3575,'Reward Model'!$A$12:$A$14,0))/$J3575)),3)</f>
        <v>1</v>
      </c>
      <c r="AA3575" s="2" t="n">
        <f aca="false">IF($I3575="Correct",ROUND(INDEX('Reward Model'!$B$12:$B$14,MATCH($K3575,'Reward Model'!$A$12:$A$14,0))*Z3575,2),0)</f>
        <v>2</v>
      </c>
      <c r="AB3575" s="2" t="n">
        <f aca="false">IF($I3575="Correct",ROUND(INDEX('Reward Model'!$B$12:$B$14,MATCH($Y3575,'Reward Model'!$A$12:$A$14,0))*Z3575,2),0)</f>
        <v>2</v>
      </c>
    </row>
    <row r="3576" customFormat="false" ht="15" hidden="false" customHeight="false" outlineLevel="0" collapsed="false">
      <c r="A3576" s="0" t="s">
        <v>488</v>
      </c>
      <c r="B3576" s="0" t="s">
        <v>489</v>
      </c>
      <c r="C3576" s="0" t="s">
        <v>322</v>
      </c>
      <c r="D3576" s="0" t="s">
        <v>275</v>
      </c>
      <c r="E3576" s="0" t="n">
        <v>15</v>
      </c>
      <c r="F3576" s="0" t="s">
        <v>69</v>
      </c>
      <c r="G3576" s="0" t="s">
        <v>70</v>
      </c>
      <c r="H3576" s="0" t="s">
        <v>70</v>
      </c>
      <c r="I3576" s="0" t="s">
        <v>34</v>
      </c>
      <c r="J3576" s="0" t="n">
        <v>1.53</v>
      </c>
      <c r="K3576" s="0" t="s">
        <v>60</v>
      </c>
      <c r="L3576" s="0" t="n">
        <f aca="false">INDEX(Summary!$F$2:$F$201,MATCH($B3576,Summary!$A$2:$A$201,0))</f>
        <v>20</v>
      </c>
      <c r="M3576" s="0" t="n">
        <f aca="false">INDEX(Summary!$I$2:$I$201,MATCH($B3576,Summary!$A$2:$A$201,0))</f>
        <v>1</v>
      </c>
      <c r="N3576" s="0" t="n">
        <f aca="false">INDEX(Summary!$J$2:$J$201,MATCH($B3576,Summary!$A$2:$A$201,0))</f>
        <v>4</v>
      </c>
      <c r="O3576" s="2" t="n">
        <f aca="false">INDEX(Summary!$K$2:$K$201,MATCH($B3576,Summary!$A$2:$A$201,0))</f>
        <v>10.63</v>
      </c>
      <c r="P3576" s="3" t="n">
        <f aca="false">INDEX(Summary!$L$2:$L$201,MATCH($B3576,Summary!$A$2:$A$201,0))</f>
        <v>5</v>
      </c>
      <c r="Q3576" s="3" t="n">
        <f aca="false">INDEX(Summary!$M$2:$M$201,MATCH($B3576,Summary!$A$2:$A$201,0))</f>
        <v>1</v>
      </c>
      <c r="R3576" s="2" t="n">
        <f aca="false">INDEX(Summary!$N$2:$N$201,MATCH($B3576,Summary!$A$2:$A$201,0))</f>
        <v>10.82</v>
      </c>
      <c r="S3576" s="3" t="n">
        <f aca="false">INDEX(Summary!$O$2:$O$201,MATCH($B3576,Summary!$A$2:$A$201,0))</f>
        <v>6</v>
      </c>
      <c r="T3576" s="3" t="n">
        <f aca="false">INDEX(Summary!$P$2:$P$201,MATCH($B3576,Summary!$A$2:$A$201,0))</f>
        <v>3</v>
      </c>
      <c r="U3576" s="2" t="n">
        <f aca="false">INDEX(Summary!$Q$2:$Q$201,MATCH($B3576,Summary!$A$2:$A$201,0))</f>
        <v>13.37</v>
      </c>
      <c r="V3576" s="2" t="n">
        <f aca="false">INDEX(Summary!$R$2:$R$201,MATCH($B3576,Summary!$A$2:$A$201,0))</f>
        <v>20.51</v>
      </c>
      <c r="W3576" s="0" t="str">
        <f aca="false">INDEX(Summary!$S$2:$S$201,MATCH($B3576,Summary!$A$2:$A$201,0))</f>
        <v>Silver</v>
      </c>
      <c r="X3576" s="2" t="n">
        <f aca="false">INDEX(Summary!$T$2:$T$201,MATCH($B3576,Summary!$A$2:$A$201,0))</f>
        <v>50.02</v>
      </c>
      <c r="Y3576" s="0" t="str">
        <f aca="false">INDEX('Reward Model'!$E$18:$E$37,MATCH($E3576,'Reward Model'!$A$18:$A$37,0))</f>
        <v>Medium</v>
      </c>
      <c r="Z3576" s="4" t="n">
        <f aca="false">ROUND(MIN(1,MAX('Reward Model'!$B$2,INDEX('Reward Model'!$C$12:$C$14,MATCH($K3576,'Reward Model'!$A$12:$A$14,0))/$J3576)),3)</f>
        <v>1</v>
      </c>
      <c r="AA3576" s="2" t="n">
        <f aca="false">IF($I3576="Correct",ROUND(INDEX('Reward Model'!$B$12:$B$14,MATCH($K3576,'Reward Model'!$A$12:$A$14,0))*Z3576,2),0)</f>
        <v>2</v>
      </c>
      <c r="AB3576" s="2" t="n">
        <f aca="false">IF($I3576="Correct",ROUND(INDEX('Reward Model'!$B$12:$B$14,MATCH($Y3576,'Reward Model'!$A$12:$A$14,0))*Z3576,2),0)</f>
        <v>2</v>
      </c>
    </row>
    <row r="3577" customFormat="false" ht="15" hidden="false" customHeight="false" outlineLevel="0" collapsed="false">
      <c r="A3577" s="0" t="s">
        <v>488</v>
      </c>
      <c r="B3577" s="0" t="s">
        <v>489</v>
      </c>
      <c r="C3577" s="0" t="s">
        <v>322</v>
      </c>
      <c r="D3577" s="0" t="s">
        <v>275</v>
      </c>
      <c r="E3577" s="0" t="n">
        <v>16</v>
      </c>
      <c r="F3577" s="0" t="s">
        <v>71</v>
      </c>
      <c r="G3577" s="0" t="s">
        <v>87</v>
      </c>
      <c r="H3577" s="0" t="s">
        <v>72</v>
      </c>
      <c r="I3577" s="0" t="s">
        <v>39</v>
      </c>
      <c r="J3577" s="0" t="n">
        <v>2.3</v>
      </c>
      <c r="K3577" s="0" t="s">
        <v>73</v>
      </c>
      <c r="L3577" s="0" t="n">
        <f aca="false">INDEX(Summary!$F$2:$F$201,MATCH($B3577,Summary!$A$2:$A$201,0))</f>
        <v>20</v>
      </c>
      <c r="M3577" s="0" t="n">
        <f aca="false">INDEX(Summary!$I$2:$I$201,MATCH($B3577,Summary!$A$2:$A$201,0))</f>
        <v>1</v>
      </c>
      <c r="N3577" s="0" t="n">
        <f aca="false">INDEX(Summary!$J$2:$J$201,MATCH($B3577,Summary!$A$2:$A$201,0))</f>
        <v>4</v>
      </c>
      <c r="O3577" s="2" t="n">
        <f aca="false">INDEX(Summary!$K$2:$K$201,MATCH($B3577,Summary!$A$2:$A$201,0))</f>
        <v>10.63</v>
      </c>
      <c r="P3577" s="3" t="n">
        <f aca="false">INDEX(Summary!$L$2:$L$201,MATCH($B3577,Summary!$A$2:$A$201,0))</f>
        <v>5</v>
      </c>
      <c r="Q3577" s="3" t="n">
        <f aca="false">INDEX(Summary!$M$2:$M$201,MATCH($B3577,Summary!$A$2:$A$201,0))</f>
        <v>1</v>
      </c>
      <c r="R3577" s="2" t="n">
        <f aca="false">INDEX(Summary!$N$2:$N$201,MATCH($B3577,Summary!$A$2:$A$201,0))</f>
        <v>10.82</v>
      </c>
      <c r="S3577" s="3" t="n">
        <f aca="false">INDEX(Summary!$O$2:$O$201,MATCH($B3577,Summary!$A$2:$A$201,0))</f>
        <v>6</v>
      </c>
      <c r="T3577" s="3" t="n">
        <f aca="false">INDEX(Summary!$P$2:$P$201,MATCH($B3577,Summary!$A$2:$A$201,0))</f>
        <v>3</v>
      </c>
      <c r="U3577" s="2" t="n">
        <f aca="false">INDEX(Summary!$Q$2:$Q$201,MATCH($B3577,Summary!$A$2:$A$201,0))</f>
        <v>13.37</v>
      </c>
      <c r="V3577" s="2" t="n">
        <f aca="false">INDEX(Summary!$R$2:$R$201,MATCH($B3577,Summary!$A$2:$A$201,0))</f>
        <v>20.51</v>
      </c>
      <c r="W3577" s="0" t="str">
        <f aca="false">INDEX(Summary!$S$2:$S$201,MATCH($B3577,Summary!$A$2:$A$201,0))</f>
        <v>Silver</v>
      </c>
      <c r="X3577" s="2" t="n">
        <f aca="false">INDEX(Summary!$T$2:$T$201,MATCH($B3577,Summary!$A$2:$A$201,0))</f>
        <v>50.02</v>
      </c>
      <c r="Y3577" s="0" t="str">
        <f aca="false">INDEX('Reward Model'!$E$18:$E$37,MATCH($E3577,'Reward Model'!$A$18:$A$37,0))</f>
        <v>High</v>
      </c>
      <c r="Z3577" s="4" t="n">
        <f aca="false">ROUND(MIN(1,MAX('Reward Model'!$B$2,INDEX('Reward Model'!$C$12:$C$14,MATCH($K3577,'Reward Model'!$A$12:$A$14,0))/$J3577)),3)</f>
        <v>0.87</v>
      </c>
      <c r="AA3577" s="2" t="n">
        <f aca="false">IF($I3577="Correct",ROUND(INDEX('Reward Model'!$B$12:$B$14,MATCH($K3577,'Reward Model'!$A$12:$A$14,0))*Z3577,2),0)</f>
        <v>0</v>
      </c>
      <c r="AB3577" s="2" t="n">
        <f aca="false">IF($I3577="Correct",ROUND(INDEX('Reward Model'!$B$12:$B$14,MATCH($Y3577,'Reward Model'!$A$12:$A$14,0))*Z3577,2),0)</f>
        <v>0</v>
      </c>
    </row>
    <row r="3578" customFormat="false" ht="15" hidden="false" customHeight="false" outlineLevel="0" collapsed="false">
      <c r="A3578" s="0" t="s">
        <v>488</v>
      </c>
      <c r="B3578" s="0" t="s">
        <v>489</v>
      </c>
      <c r="C3578" s="0" t="s">
        <v>322</v>
      </c>
      <c r="D3578" s="0" t="s">
        <v>275</v>
      </c>
      <c r="E3578" s="0" t="n">
        <v>17</v>
      </c>
      <c r="F3578" s="0" t="s">
        <v>74</v>
      </c>
      <c r="G3578" s="0" t="s">
        <v>105</v>
      </c>
      <c r="H3578" s="0" t="s">
        <v>75</v>
      </c>
      <c r="I3578" s="0" t="s">
        <v>39</v>
      </c>
      <c r="J3578" s="0" t="n">
        <v>2.05</v>
      </c>
      <c r="K3578" s="0" t="s">
        <v>73</v>
      </c>
      <c r="L3578" s="0" t="n">
        <f aca="false">INDEX(Summary!$F$2:$F$201,MATCH($B3578,Summary!$A$2:$A$201,0))</f>
        <v>20</v>
      </c>
      <c r="M3578" s="0" t="n">
        <f aca="false">INDEX(Summary!$I$2:$I$201,MATCH($B3578,Summary!$A$2:$A$201,0))</f>
        <v>1</v>
      </c>
      <c r="N3578" s="0" t="n">
        <f aca="false">INDEX(Summary!$J$2:$J$201,MATCH($B3578,Summary!$A$2:$A$201,0))</f>
        <v>4</v>
      </c>
      <c r="O3578" s="2" t="n">
        <f aca="false">INDEX(Summary!$K$2:$K$201,MATCH($B3578,Summary!$A$2:$A$201,0))</f>
        <v>10.63</v>
      </c>
      <c r="P3578" s="3" t="n">
        <f aca="false">INDEX(Summary!$L$2:$L$201,MATCH($B3578,Summary!$A$2:$A$201,0))</f>
        <v>5</v>
      </c>
      <c r="Q3578" s="3" t="n">
        <f aca="false">INDEX(Summary!$M$2:$M$201,MATCH($B3578,Summary!$A$2:$A$201,0))</f>
        <v>1</v>
      </c>
      <c r="R3578" s="2" t="n">
        <f aca="false">INDEX(Summary!$N$2:$N$201,MATCH($B3578,Summary!$A$2:$A$201,0))</f>
        <v>10.82</v>
      </c>
      <c r="S3578" s="3" t="n">
        <f aca="false">INDEX(Summary!$O$2:$O$201,MATCH($B3578,Summary!$A$2:$A$201,0))</f>
        <v>6</v>
      </c>
      <c r="T3578" s="3" t="n">
        <f aca="false">INDEX(Summary!$P$2:$P$201,MATCH($B3578,Summary!$A$2:$A$201,0))</f>
        <v>3</v>
      </c>
      <c r="U3578" s="2" t="n">
        <f aca="false">INDEX(Summary!$Q$2:$Q$201,MATCH($B3578,Summary!$A$2:$A$201,0))</f>
        <v>13.37</v>
      </c>
      <c r="V3578" s="2" t="n">
        <f aca="false">INDEX(Summary!$R$2:$R$201,MATCH($B3578,Summary!$A$2:$A$201,0))</f>
        <v>20.51</v>
      </c>
      <c r="W3578" s="0" t="str">
        <f aca="false">INDEX(Summary!$S$2:$S$201,MATCH($B3578,Summary!$A$2:$A$201,0))</f>
        <v>Silver</v>
      </c>
      <c r="X3578" s="2" t="n">
        <f aca="false">INDEX(Summary!$T$2:$T$201,MATCH($B3578,Summary!$A$2:$A$201,0))</f>
        <v>50.02</v>
      </c>
      <c r="Y3578" s="0" t="str">
        <f aca="false">INDEX('Reward Model'!$E$18:$E$37,MATCH($E3578,'Reward Model'!$A$18:$A$37,0))</f>
        <v>High</v>
      </c>
      <c r="Z3578" s="4" t="n">
        <f aca="false">ROUND(MIN(1,MAX('Reward Model'!$B$2,INDEX('Reward Model'!$C$12:$C$14,MATCH($K3578,'Reward Model'!$A$12:$A$14,0))/$J3578)),3)</f>
        <v>0.976</v>
      </c>
      <c r="AA3578" s="2" t="n">
        <f aca="false">IF($I3578="Correct",ROUND(INDEX('Reward Model'!$B$12:$B$14,MATCH($K3578,'Reward Model'!$A$12:$A$14,0))*Z3578,2),0)</f>
        <v>0</v>
      </c>
      <c r="AB3578" s="2" t="n">
        <f aca="false">IF($I3578="Correct",ROUND(INDEX('Reward Model'!$B$12:$B$14,MATCH($Y3578,'Reward Model'!$A$12:$A$14,0))*Z3578,2),0)</f>
        <v>0</v>
      </c>
    </row>
    <row r="3579" customFormat="false" ht="15" hidden="false" customHeight="false" outlineLevel="0" collapsed="false">
      <c r="A3579" s="0" t="s">
        <v>488</v>
      </c>
      <c r="B3579" s="0" t="s">
        <v>489</v>
      </c>
      <c r="C3579" s="0" t="s">
        <v>322</v>
      </c>
      <c r="D3579" s="0" t="s">
        <v>275</v>
      </c>
      <c r="E3579" s="0" t="n">
        <v>18</v>
      </c>
      <c r="F3579" s="0" t="s">
        <v>76</v>
      </c>
      <c r="G3579" s="0" t="s">
        <v>77</v>
      </c>
      <c r="H3579" s="0" t="s">
        <v>77</v>
      </c>
      <c r="I3579" s="0" t="s">
        <v>34</v>
      </c>
      <c r="J3579" s="0" t="n">
        <v>1.93</v>
      </c>
      <c r="K3579" s="0" t="s">
        <v>73</v>
      </c>
      <c r="L3579" s="0" t="n">
        <f aca="false">INDEX(Summary!$F$2:$F$201,MATCH($B3579,Summary!$A$2:$A$201,0))</f>
        <v>20</v>
      </c>
      <c r="M3579" s="0" t="n">
        <f aca="false">INDEX(Summary!$I$2:$I$201,MATCH($B3579,Summary!$A$2:$A$201,0))</f>
        <v>1</v>
      </c>
      <c r="N3579" s="0" t="n">
        <f aca="false">INDEX(Summary!$J$2:$J$201,MATCH($B3579,Summary!$A$2:$A$201,0))</f>
        <v>4</v>
      </c>
      <c r="O3579" s="2" t="n">
        <f aca="false">INDEX(Summary!$K$2:$K$201,MATCH($B3579,Summary!$A$2:$A$201,0))</f>
        <v>10.63</v>
      </c>
      <c r="P3579" s="3" t="n">
        <f aca="false">INDEX(Summary!$L$2:$L$201,MATCH($B3579,Summary!$A$2:$A$201,0))</f>
        <v>5</v>
      </c>
      <c r="Q3579" s="3" t="n">
        <f aca="false">INDEX(Summary!$M$2:$M$201,MATCH($B3579,Summary!$A$2:$A$201,0))</f>
        <v>1</v>
      </c>
      <c r="R3579" s="2" t="n">
        <f aca="false">INDEX(Summary!$N$2:$N$201,MATCH($B3579,Summary!$A$2:$A$201,0))</f>
        <v>10.82</v>
      </c>
      <c r="S3579" s="3" t="n">
        <f aca="false">INDEX(Summary!$O$2:$O$201,MATCH($B3579,Summary!$A$2:$A$201,0))</f>
        <v>6</v>
      </c>
      <c r="T3579" s="3" t="n">
        <f aca="false">INDEX(Summary!$P$2:$P$201,MATCH($B3579,Summary!$A$2:$A$201,0))</f>
        <v>3</v>
      </c>
      <c r="U3579" s="2" t="n">
        <f aca="false">INDEX(Summary!$Q$2:$Q$201,MATCH($B3579,Summary!$A$2:$A$201,0))</f>
        <v>13.37</v>
      </c>
      <c r="V3579" s="2" t="n">
        <f aca="false">INDEX(Summary!$R$2:$R$201,MATCH($B3579,Summary!$A$2:$A$201,0))</f>
        <v>20.51</v>
      </c>
      <c r="W3579" s="0" t="str">
        <f aca="false">INDEX(Summary!$S$2:$S$201,MATCH($B3579,Summary!$A$2:$A$201,0))</f>
        <v>Silver</v>
      </c>
      <c r="X3579" s="2" t="n">
        <f aca="false">INDEX(Summary!$T$2:$T$201,MATCH($B3579,Summary!$A$2:$A$201,0))</f>
        <v>50.02</v>
      </c>
      <c r="Y3579" s="0" t="str">
        <f aca="false">INDEX('Reward Model'!$E$18:$E$37,MATCH($E3579,'Reward Model'!$A$18:$A$37,0))</f>
        <v>High</v>
      </c>
      <c r="Z3579" s="4" t="n">
        <f aca="false">ROUND(MIN(1,MAX('Reward Model'!$B$2,INDEX('Reward Model'!$C$12:$C$14,MATCH($K3579,'Reward Model'!$A$12:$A$14,0))/$J3579)),3)</f>
        <v>1</v>
      </c>
      <c r="AA3579" s="2" t="n">
        <f aca="false">IF($I3579="Correct",ROUND(INDEX('Reward Model'!$B$12:$B$14,MATCH($K3579,'Reward Model'!$A$12:$A$14,0))*Z3579,2),0)</f>
        <v>3</v>
      </c>
      <c r="AB3579" s="2" t="n">
        <f aca="false">IF($I3579="Correct",ROUND(INDEX('Reward Model'!$B$12:$B$14,MATCH($Y3579,'Reward Model'!$A$12:$A$14,0))*Z3579,2),0)</f>
        <v>3</v>
      </c>
    </row>
    <row r="3580" customFormat="false" ht="15" hidden="false" customHeight="false" outlineLevel="0" collapsed="false">
      <c r="A3580" s="0" t="s">
        <v>488</v>
      </c>
      <c r="B3580" s="0" t="s">
        <v>489</v>
      </c>
      <c r="C3580" s="0" t="s">
        <v>322</v>
      </c>
      <c r="D3580" s="0" t="s">
        <v>275</v>
      </c>
      <c r="E3580" s="0" t="n">
        <v>19</v>
      </c>
      <c r="F3580" s="0" t="s">
        <v>78</v>
      </c>
      <c r="G3580" s="0" t="s">
        <v>132</v>
      </c>
      <c r="H3580" s="0" t="s">
        <v>80</v>
      </c>
      <c r="I3580" s="0" t="s">
        <v>39</v>
      </c>
      <c r="J3580" s="0" t="n">
        <v>1.93</v>
      </c>
      <c r="K3580" s="0" t="s">
        <v>73</v>
      </c>
      <c r="L3580" s="0" t="n">
        <f aca="false">INDEX(Summary!$F$2:$F$201,MATCH($B3580,Summary!$A$2:$A$201,0))</f>
        <v>20</v>
      </c>
      <c r="M3580" s="0" t="n">
        <f aca="false">INDEX(Summary!$I$2:$I$201,MATCH($B3580,Summary!$A$2:$A$201,0))</f>
        <v>1</v>
      </c>
      <c r="N3580" s="0" t="n">
        <f aca="false">INDEX(Summary!$J$2:$J$201,MATCH($B3580,Summary!$A$2:$A$201,0))</f>
        <v>4</v>
      </c>
      <c r="O3580" s="2" t="n">
        <f aca="false">INDEX(Summary!$K$2:$K$201,MATCH($B3580,Summary!$A$2:$A$201,0))</f>
        <v>10.63</v>
      </c>
      <c r="P3580" s="3" t="n">
        <f aca="false">INDEX(Summary!$L$2:$L$201,MATCH($B3580,Summary!$A$2:$A$201,0))</f>
        <v>5</v>
      </c>
      <c r="Q3580" s="3" t="n">
        <f aca="false">INDEX(Summary!$M$2:$M$201,MATCH($B3580,Summary!$A$2:$A$201,0))</f>
        <v>1</v>
      </c>
      <c r="R3580" s="2" t="n">
        <f aca="false">INDEX(Summary!$N$2:$N$201,MATCH($B3580,Summary!$A$2:$A$201,0))</f>
        <v>10.82</v>
      </c>
      <c r="S3580" s="3" t="n">
        <f aca="false">INDEX(Summary!$O$2:$O$201,MATCH($B3580,Summary!$A$2:$A$201,0))</f>
        <v>6</v>
      </c>
      <c r="T3580" s="3" t="n">
        <f aca="false">INDEX(Summary!$P$2:$P$201,MATCH($B3580,Summary!$A$2:$A$201,0))</f>
        <v>3</v>
      </c>
      <c r="U3580" s="2" t="n">
        <f aca="false">INDEX(Summary!$Q$2:$Q$201,MATCH($B3580,Summary!$A$2:$A$201,0))</f>
        <v>13.37</v>
      </c>
      <c r="V3580" s="2" t="n">
        <f aca="false">INDEX(Summary!$R$2:$R$201,MATCH($B3580,Summary!$A$2:$A$201,0))</f>
        <v>20.51</v>
      </c>
      <c r="W3580" s="0" t="str">
        <f aca="false">INDEX(Summary!$S$2:$S$201,MATCH($B3580,Summary!$A$2:$A$201,0))</f>
        <v>Silver</v>
      </c>
      <c r="X3580" s="2" t="n">
        <f aca="false">INDEX(Summary!$T$2:$T$201,MATCH($B3580,Summary!$A$2:$A$201,0))</f>
        <v>50.02</v>
      </c>
      <c r="Y3580" s="0" t="str">
        <f aca="false">INDEX('Reward Model'!$E$18:$E$37,MATCH($E3580,'Reward Model'!$A$18:$A$37,0))</f>
        <v>High</v>
      </c>
      <c r="Z3580" s="4" t="n">
        <f aca="false">ROUND(MIN(1,MAX('Reward Model'!$B$2,INDEX('Reward Model'!$C$12:$C$14,MATCH($K3580,'Reward Model'!$A$12:$A$14,0))/$J3580)),3)</f>
        <v>1</v>
      </c>
      <c r="AA3580" s="2" t="n">
        <f aca="false">IF($I3580="Correct",ROUND(INDEX('Reward Model'!$B$12:$B$14,MATCH($K3580,'Reward Model'!$A$12:$A$14,0))*Z3580,2),0)</f>
        <v>0</v>
      </c>
      <c r="AB3580" s="2" t="n">
        <f aca="false">IF($I3580="Correct",ROUND(INDEX('Reward Model'!$B$12:$B$14,MATCH($Y3580,'Reward Model'!$A$12:$A$14,0))*Z3580,2),0)</f>
        <v>0</v>
      </c>
    </row>
    <row r="3581" customFormat="false" ht="15" hidden="false" customHeight="false" outlineLevel="0" collapsed="false">
      <c r="A3581" s="0" t="s">
        <v>488</v>
      </c>
      <c r="B3581" s="0" t="s">
        <v>489</v>
      </c>
      <c r="C3581" s="0" t="s">
        <v>322</v>
      </c>
      <c r="D3581" s="0" t="s">
        <v>275</v>
      </c>
      <c r="E3581" s="0" t="n">
        <v>20</v>
      </c>
      <c r="F3581" s="0" t="s">
        <v>81</v>
      </c>
      <c r="G3581" s="0" t="s">
        <v>82</v>
      </c>
      <c r="H3581" s="0" t="s">
        <v>83</v>
      </c>
      <c r="I3581" s="0" t="s">
        <v>39</v>
      </c>
      <c r="J3581" s="0" t="n">
        <v>2.42</v>
      </c>
      <c r="K3581" s="0" t="s">
        <v>73</v>
      </c>
      <c r="L3581" s="0" t="n">
        <f aca="false">INDEX(Summary!$F$2:$F$201,MATCH($B3581,Summary!$A$2:$A$201,0))</f>
        <v>20</v>
      </c>
      <c r="M3581" s="0" t="n">
        <f aca="false">INDEX(Summary!$I$2:$I$201,MATCH($B3581,Summary!$A$2:$A$201,0))</f>
        <v>1</v>
      </c>
      <c r="N3581" s="0" t="n">
        <f aca="false">INDEX(Summary!$J$2:$J$201,MATCH($B3581,Summary!$A$2:$A$201,0))</f>
        <v>4</v>
      </c>
      <c r="O3581" s="2" t="n">
        <f aca="false">INDEX(Summary!$K$2:$K$201,MATCH($B3581,Summary!$A$2:$A$201,0))</f>
        <v>10.63</v>
      </c>
      <c r="P3581" s="3" t="n">
        <f aca="false">INDEX(Summary!$L$2:$L$201,MATCH($B3581,Summary!$A$2:$A$201,0))</f>
        <v>5</v>
      </c>
      <c r="Q3581" s="3" t="n">
        <f aca="false">INDEX(Summary!$M$2:$M$201,MATCH($B3581,Summary!$A$2:$A$201,0))</f>
        <v>1</v>
      </c>
      <c r="R3581" s="2" t="n">
        <f aca="false">INDEX(Summary!$N$2:$N$201,MATCH($B3581,Summary!$A$2:$A$201,0))</f>
        <v>10.82</v>
      </c>
      <c r="S3581" s="3" t="n">
        <f aca="false">INDEX(Summary!$O$2:$O$201,MATCH($B3581,Summary!$A$2:$A$201,0))</f>
        <v>6</v>
      </c>
      <c r="T3581" s="3" t="n">
        <f aca="false">INDEX(Summary!$P$2:$P$201,MATCH($B3581,Summary!$A$2:$A$201,0))</f>
        <v>3</v>
      </c>
      <c r="U3581" s="2" t="n">
        <f aca="false">INDEX(Summary!$Q$2:$Q$201,MATCH($B3581,Summary!$A$2:$A$201,0))</f>
        <v>13.37</v>
      </c>
      <c r="V3581" s="2" t="n">
        <f aca="false">INDEX(Summary!$R$2:$R$201,MATCH($B3581,Summary!$A$2:$A$201,0))</f>
        <v>20.51</v>
      </c>
      <c r="W3581" s="0" t="str">
        <f aca="false">INDEX(Summary!$S$2:$S$201,MATCH($B3581,Summary!$A$2:$A$201,0))</f>
        <v>Silver</v>
      </c>
      <c r="X3581" s="2" t="n">
        <f aca="false">INDEX(Summary!$T$2:$T$201,MATCH($B3581,Summary!$A$2:$A$201,0))</f>
        <v>50.02</v>
      </c>
      <c r="Y3581" s="0" t="str">
        <f aca="false">INDEX('Reward Model'!$E$18:$E$37,MATCH($E3581,'Reward Model'!$A$18:$A$37,0))</f>
        <v>High</v>
      </c>
      <c r="Z3581" s="4" t="n">
        <f aca="false">ROUND(MIN(1,MAX('Reward Model'!$B$2,INDEX('Reward Model'!$C$12:$C$14,MATCH($K3581,'Reward Model'!$A$12:$A$14,0))/$J3581)),3)</f>
        <v>0.826</v>
      </c>
      <c r="AA3581" s="2" t="n">
        <f aca="false">IF($I3581="Correct",ROUND(INDEX('Reward Model'!$B$12:$B$14,MATCH($K3581,'Reward Model'!$A$12:$A$14,0))*Z3581,2),0)</f>
        <v>0</v>
      </c>
      <c r="AB3581" s="2" t="n">
        <f aca="false">IF($I3581="Correct",ROUND(INDEX('Reward Model'!$B$12:$B$14,MATCH($Y3581,'Reward Model'!$A$12:$A$14,0))*Z3581,2),0)</f>
        <v>0</v>
      </c>
    </row>
    <row r="3582" customFormat="false" ht="15" hidden="false" customHeight="false" outlineLevel="0" collapsed="false">
      <c r="A3582" s="0" t="s">
        <v>490</v>
      </c>
      <c r="B3582" s="0" t="s">
        <v>491</v>
      </c>
      <c r="C3582" s="0" t="s">
        <v>322</v>
      </c>
      <c r="D3582" s="0" t="s">
        <v>275</v>
      </c>
      <c r="E3582" s="0" t="n">
        <v>1</v>
      </c>
      <c r="F3582" s="0" t="s">
        <v>32</v>
      </c>
      <c r="G3582" s="0" t="s">
        <v>33</v>
      </c>
      <c r="H3582" s="0" t="s">
        <v>33</v>
      </c>
      <c r="I3582" s="0" t="s">
        <v>34</v>
      </c>
      <c r="J3582" s="0" t="n">
        <v>1.66</v>
      </c>
      <c r="K3582" s="0" t="s">
        <v>35</v>
      </c>
      <c r="L3582" s="0" t="n">
        <f aca="false">INDEX(Summary!$F$2:$F$201,MATCH($B3582,Summary!$A$2:$A$201,0))</f>
        <v>20</v>
      </c>
      <c r="M3582" s="0" t="n">
        <f aca="false">INDEX(Summary!$I$2:$I$201,MATCH($B3582,Summary!$A$2:$A$201,0))</f>
        <v>1</v>
      </c>
      <c r="N3582" s="0" t="n">
        <f aca="false">INDEX(Summary!$J$2:$J$201,MATCH($B3582,Summary!$A$2:$A$201,0))</f>
        <v>4</v>
      </c>
      <c r="O3582" s="2" t="n">
        <f aca="false">INDEX(Summary!$K$2:$K$201,MATCH($B3582,Summary!$A$2:$A$201,0))</f>
        <v>8.1</v>
      </c>
      <c r="P3582" s="3" t="n">
        <f aca="false">INDEX(Summary!$L$2:$L$201,MATCH($B3582,Summary!$A$2:$A$201,0))</f>
        <v>3</v>
      </c>
      <c r="Q3582" s="3" t="n">
        <f aca="false">INDEX(Summary!$M$2:$M$201,MATCH($B3582,Summary!$A$2:$A$201,0))</f>
        <v>3</v>
      </c>
      <c r="R3582" s="2" t="n">
        <f aca="false">INDEX(Summary!$N$2:$N$201,MATCH($B3582,Summary!$A$2:$A$201,0))</f>
        <v>9.99</v>
      </c>
      <c r="S3582" s="3" t="n">
        <f aca="false">INDEX(Summary!$O$2:$O$201,MATCH($B3582,Summary!$A$2:$A$201,0))</f>
        <v>8</v>
      </c>
      <c r="T3582" s="3" t="n">
        <f aca="false">INDEX(Summary!$P$2:$P$201,MATCH($B3582,Summary!$A$2:$A$201,0))</f>
        <v>1</v>
      </c>
      <c r="U3582" s="2" t="n">
        <f aca="false">INDEX(Summary!$Q$2:$Q$201,MATCH($B3582,Summary!$A$2:$A$201,0))</f>
        <v>12.47</v>
      </c>
      <c r="V3582" s="2" t="n">
        <f aca="false">INDEX(Summary!$R$2:$R$201,MATCH($B3582,Summary!$A$2:$A$201,0))</f>
        <v>21.42</v>
      </c>
      <c r="W3582" s="0" t="str">
        <f aca="false">INDEX(Summary!$S$2:$S$201,MATCH($B3582,Summary!$A$2:$A$201,0))</f>
        <v>Silver</v>
      </c>
      <c r="X3582" s="2" t="n">
        <f aca="false">INDEX(Summary!$T$2:$T$201,MATCH($B3582,Summary!$A$2:$A$201,0))</f>
        <v>52.24</v>
      </c>
      <c r="Y3582" s="0" t="str">
        <f aca="false">INDEX('Reward Model'!$E$18:$E$37,MATCH($E3582,'Reward Model'!$A$18:$A$37,0))</f>
        <v>Medium</v>
      </c>
      <c r="Z3582" s="4" t="n">
        <f aca="false">ROUND(MIN(1,MAX('Reward Model'!$B$2,INDEX('Reward Model'!$C$12:$C$14,MATCH($K3582,'Reward Model'!$A$12:$A$14,0))/$J3582)),3)</f>
        <v>0.904</v>
      </c>
      <c r="AA3582" s="2" t="n">
        <f aca="false">IF($I3582="Correct",ROUND(INDEX('Reward Model'!$B$12:$B$14,MATCH($K3582,'Reward Model'!$A$12:$A$14,0))*Z3582,2),0)</f>
        <v>0.9</v>
      </c>
      <c r="AB3582" s="2" t="n">
        <f aca="false">IF($I3582="Correct",ROUND(INDEX('Reward Model'!$B$12:$B$14,MATCH($Y3582,'Reward Model'!$A$12:$A$14,0))*Z3582,2),0)</f>
        <v>1.81</v>
      </c>
    </row>
    <row r="3583" customFormat="false" ht="15" hidden="false" customHeight="false" outlineLevel="0" collapsed="false">
      <c r="A3583" s="0" t="s">
        <v>490</v>
      </c>
      <c r="B3583" s="0" t="s">
        <v>491</v>
      </c>
      <c r="C3583" s="0" t="s">
        <v>322</v>
      </c>
      <c r="D3583" s="0" t="s">
        <v>275</v>
      </c>
      <c r="E3583" s="0" t="n">
        <v>2</v>
      </c>
      <c r="F3583" s="0" t="s">
        <v>36</v>
      </c>
      <c r="G3583" s="0" t="s">
        <v>38</v>
      </c>
      <c r="H3583" s="0" t="s">
        <v>38</v>
      </c>
      <c r="I3583" s="0" t="s">
        <v>34</v>
      </c>
      <c r="J3583" s="0" t="n">
        <v>1.2</v>
      </c>
      <c r="K3583" s="0" t="s">
        <v>35</v>
      </c>
      <c r="L3583" s="0" t="n">
        <f aca="false">INDEX(Summary!$F$2:$F$201,MATCH($B3583,Summary!$A$2:$A$201,0))</f>
        <v>20</v>
      </c>
      <c r="M3583" s="0" t="n">
        <f aca="false">INDEX(Summary!$I$2:$I$201,MATCH($B3583,Summary!$A$2:$A$201,0))</f>
        <v>1</v>
      </c>
      <c r="N3583" s="0" t="n">
        <f aca="false">INDEX(Summary!$J$2:$J$201,MATCH($B3583,Summary!$A$2:$A$201,0))</f>
        <v>4</v>
      </c>
      <c r="O3583" s="2" t="n">
        <f aca="false">INDEX(Summary!$K$2:$K$201,MATCH($B3583,Summary!$A$2:$A$201,0))</f>
        <v>8.1</v>
      </c>
      <c r="P3583" s="3" t="n">
        <f aca="false">INDEX(Summary!$L$2:$L$201,MATCH($B3583,Summary!$A$2:$A$201,0))</f>
        <v>3</v>
      </c>
      <c r="Q3583" s="3" t="n">
        <f aca="false">INDEX(Summary!$M$2:$M$201,MATCH($B3583,Summary!$A$2:$A$201,0))</f>
        <v>3</v>
      </c>
      <c r="R3583" s="2" t="n">
        <f aca="false">INDEX(Summary!$N$2:$N$201,MATCH($B3583,Summary!$A$2:$A$201,0))</f>
        <v>9.99</v>
      </c>
      <c r="S3583" s="3" t="n">
        <f aca="false">INDEX(Summary!$O$2:$O$201,MATCH($B3583,Summary!$A$2:$A$201,0))</f>
        <v>8</v>
      </c>
      <c r="T3583" s="3" t="n">
        <f aca="false">INDEX(Summary!$P$2:$P$201,MATCH($B3583,Summary!$A$2:$A$201,0))</f>
        <v>1</v>
      </c>
      <c r="U3583" s="2" t="n">
        <f aca="false">INDEX(Summary!$Q$2:$Q$201,MATCH($B3583,Summary!$A$2:$A$201,0))</f>
        <v>12.47</v>
      </c>
      <c r="V3583" s="2" t="n">
        <f aca="false">INDEX(Summary!$R$2:$R$201,MATCH($B3583,Summary!$A$2:$A$201,0))</f>
        <v>21.42</v>
      </c>
      <c r="W3583" s="0" t="str">
        <f aca="false">INDEX(Summary!$S$2:$S$201,MATCH($B3583,Summary!$A$2:$A$201,0))</f>
        <v>Silver</v>
      </c>
      <c r="X3583" s="2" t="n">
        <f aca="false">INDEX(Summary!$T$2:$T$201,MATCH($B3583,Summary!$A$2:$A$201,0))</f>
        <v>52.24</v>
      </c>
      <c r="Y3583" s="0" t="str">
        <f aca="false">INDEX('Reward Model'!$E$18:$E$37,MATCH($E3583,'Reward Model'!$A$18:$A$37,0))</f>
        <v>Low</v>
      </c>
      <c r="Z3583" s="4" t="n">
        <f aca="false">ROUND(MIN(1,MAX('Reward Model'!$B$2,INDEX('Reward Model'!$C$12:$C$14,MATCH($K3583,'Reward Model'!$A$12:$A$14,0))/$J3583)),3)</f>
        <v>1</v>
      </c>
      <c r="AA3583" s="2" t="n">
        <f aca="false">IF($I3583="Correct",ROUND(INDEX('Reward Model'!$B$12:$B$14,MATCH($K3583,'Reward Model'!$A$12:$A$14,0))*Z3583,2),0)</f>
        <v>1</v>
      </c>
      <c r="AB3583" s="2" t="n">
        <f aca="false">IF($I3583="Correct",ROUND(INDEX('Reward Model'!$B$12:$B$14,MATCH($Y3583,'Reward Model'!$A$12:$A$14,0))*Z3583,2),0)</f>
        <v>1</v>
      </c>
    </row>
    <row r="3584" customFormat="false" ht="15" hidden="false" customHeight="false" outlineLevel="0" collapsed="false">
      <c r="A3584" s="0" t="s">
        <v>490</v>
      </c>
      <c r="B3584" s="0" t="s">
        <v>491</v>
      </c>
      <c r="C3584" s="0" t="s">
        <v>322</v>
      </c>
      <c r="D3584" s="0" t="s">
        <v>275</v>
      </c>
      <c r="E3584" s="0" t="n">
        <v>3</v>
      </c>
      <c r="F3584" s="0" t="s">
        <v>40</v>
      </c>
      <c r="G3584" s="0" t="s">
        <v>42</v>
      </c>
      <c r="H3584" s="0" t="s">
        <v>42</v>
      </c>
      <c r="I3584" s="0" t="s">
        <v>34</v>
      </c>
      <c r="J3584" s="0" t="n">
        <v>1.48</v>
      </c>
      <c r="K3584" s="0" t="s">
        <v>35</v>
      </c>
      <c r="L3584" s="0" t="n">
        <f aca="false">INDEX(Summary!$F$2:$F$201,MATCH($B3584,Summary!$A$2:$A$201,0))</f>
        <v>20</v>
      </c>
      <c r="M3584" s="0" t="n">
        <f aca="false">INDEX(Summary!$I$2:$I$201,MATCH($B3584,Summary!$A$2:$A$201,0))</f>
        <v>1</v>
      </c>
      <c r="N3584" s="0" t="n">
        <f aca="false">INDEX(Summary!$J$2:$J$201,MATCH($B3584,Summary!$A$2:$A$201,0))</f>
        <v>4</v>
      </c>
      <c r="O3584" s="2" t="n">
        <f aca="false">INDEX(Summary!$K$2:$K$201,MATCH($B3584,Summary!$A$2:$A$201,0))</f>
        <v>8.1</v>
      </c>
      <c r="P3584" s="3" t="n">
        <f aca="false">INDEX(Summary!$L$2:$L$201,MATCH($B3584,Summary!$A$2:$A$201,0))</f>
        <v>3</v>
      </c>
      <c r="Q3584" s="3" t="n">
        <f aca="false">INDEX(Summary!$M$2:$M$201,MATCH($B3584,Summary!$A$2:$A$201,0))</f>
        <v>3</v>
      </c>
      <c r="R3584" s="2" t="n">
        <f aca="false">INDEX(Summary!$N$2:$N$201,MATCH($B3584,Summary!$A$2:$A$201,0))</f>
        <v>9.99</v>
      </c>
      <c r="S3584" s="3" t="n">
        <f aca="false">INDEX(Summary!$O$2:$O$201,MATCH($B3584,Summary!$A$2:$A$201,0))</f>
        <v>8</v>
      </c>
      <c r="T3584" s="3" t="n">
        <f aca="false">INDEX(Summary!$P$2:$P$201,MATCH($B3584,Summary!$A$2:$A$201,0))</f>
        <v>1</v>
      </c>
      <c r="U3584" s="2" t="n">
        <f aca="false">INDEX(Summary!$Q$2:$Q$201,MATCH($B3584,Summary!$A$2:$A$201,0))</f>
        <v>12.47</v>
      </c>
      <c r="V3584" s="2" t="n">
        <f aca="false">INDEX(Summary!$R$2:$R$201,MATCH($B3584,Summary!$A$2:$A$201,0))</f>
        <v>21.42</v>
      </c>
      <c r="W3584" s="0" t="str">
        <f aca="false">INDEX(Summary!$S$2:$S$201,MATCH($B3584,Summary!$A$2:$A$201,0))</f>
        <v>Silver</v>
      </c>
      <c r="X3584" s="2" t="n">
        <f aca="false">INDEX(Summary!$T$2:$T$201,MATCH($B3584,Summary!$A$2:$A$201,0))</f>
        <v>52.24</v>
      </c>
      <c r="Y3584" s="0" t="str">
        <f aca="false">INDEX('Reward Model'!$E$18:$E$37,MATCH($E3584,'Reward Model'!$A$18:$A$37,0))</f>
        <v>Medium</v>
      </c>
      <c r="Z3584" s="4" t="n">
        <f aca="false">ROUND(MIN(1,MAX('Reward Model'!$B$2,INDEX('Reward Model'!$C$12:$C$14,MATCH($K3584,'Reward Model'!$A$12:$A$14,0))/$J3584)),3)</f>
        <v>1</v>
      </c>
      <c r="AA3584" s="2" t="n">
        <f aca="false">IF($I3584="Correct",ROUND(INDEX('Reward Model'!$B$12:$B$14,MATCH($K3584,'Reward Model'!$A$12:$A$14,0))*Z3584,2),0)</f>
        <v>1</v>
      </c>
      <c r="AB3584" s="2" t="n">
        <f aca="false">IF($I3584="Correct",ROUND(INDEX('Reward Model'!$B$12:$B$14,MATCH($Y3584,'Reward Model'!$A$12:$A$14,0))*Z3584,2),0)</f>
        <v>2</v>
      </c>
    </row>
    <row r="3585" customFormat="false" ht="15" hidden="false" customHeight="false" outlineLevel="0" collapsed="false">
      <c r="A3585" s="0" t="s">
        <v>490</v>
      </c>
      <c r="B3585" s="0" t="s">
        <v>491</v>
      </c>
      <c r="C3585" s="0" t="s">
        <v>322</v>
      </c>
      <c r="D3585" s="0" t="s">
        <v>275</v>
      </c>
      <c r="E3585" s="0" t="n">
        <v>4</v>
      </c>
      <c r="F3585" s="0" t="s">
        <v>43</v>
      </c>
      <c r="G3585" s="0" t="s">
        <v>45</v>
      </c>
      <c r="H3585" s="0" t="s">
        <v>45</v>
      </c>
      <c r="I3585" s="0" t="s">
        <v>34</v>
      </c>
      <c r="J3585" s="0" t="n">
        <v>1.54</v>
      </c>
      <c r="K3585" s="0" t="s">
        <v>35</v>
      </c>
      <c r="L3585" s="0" t="n">
        <f aca="false">INDEX(Summary!$F$2:$F$201,MATCH($B3585,Summary!$A$2:$A$201,0))</f>
        <v>20</v>
      </c>
      <c r="M3585" s="0" t="n">
        <f aca="false">INDEX(Summary!$I$2:$I$201,MATCH($B3585,Summary!$A$2:$A$201,0))</f>
        <v>1</v>
      </c>
      <c r="N3585" s="0" t="n">
        <f aca="false">INDEX(Summary!$J$2:$J$201,MATCH($B3585,Summary!$A$2:$A$201,0))</f>
        <v>4</v>
      </c>
      <c r="O3585" s="2" t="n">
        <f aca="false">INDEX(Summary!$K$2:$K$201,MATCH($B3585,Summary!$A$2:$A$201,0))</f>
        <v>8.1</v>
      </c>
      <c r="P3585" s="3" t="n">
        <f aca="false">INDEX(Summary!$L$2:$L$201,MATCH($B3585,Summary!$A$2:$A$201,0))</f>
        <v>3</v>
      </c>
      <c r="Q3585" s="3" t="n">
        <f aca="false">INDEX(Summary!$M$2:$M$201,MATCH($B3585,Summary!$A$2:$A$201,0))</f>
        <v>3</v>
      </c>
      <c r="R3585" s="2" t="n">
        <f aca="false">INDEX(Summary!$N$2:$N$201,MATCH($B3585,Summary!$A$2:$A$201,0))</f>
        <v>9.99</v>
      </c>
      <c r="S3585" s="3" t="n">
        <f aca="false">INDEX(Summary!$O$2:$O$201,MATCH($B3585,Summary!$A$2:$A$201,0))</f>
        <v>8</v>
      </c>
      <c r="T3585" s="3" t="n">
        <f aca="false">INDEX(Summary!$P$2:$P$201,MATCH($B3585,Summary!$A$2:$A$201,0))</f>
        <v>1</v>
      </c>
      <c r="U3585" s="2" t="n">
        <f aca="false">INDEX(Summary!$Q$2:$Q$201,MATCH($B3585,Summary!$A$2:$A$201,0))</f>
        <v>12.47</v>
      </c>
      <c r="V3585" s="2" t="n">
        <f aca="false">INDEX(Summary!$R$2:$R$201,MATCH($B3585,Summary!$A$2:$A$201,0))</f>
        <v>21.42</v>
      </c>
      <c r="W3585" s="0" t="str">
        <f aca="false">INDEX(Summary!$S$2:$S$201,MATCH($B3585,Summary!$A$2:$A$201,0))</f>
        <v>Silver</v>
      </c>
      <c r="X3585" s="2" t="n">
        <f aca="false">INDEX(Summary!$T$2:$T$201,MATCH($B3585,Summary!$A$2:$A$201,0))</f>
        <v>52.24</v>
      </c>
      <c r="Y3585" s="0" t="str">
        <f aca="false">INDEX('Reward Model'!$E$18:$E$37,MATCH($E3585,'Reward Model'!$A$18:$A$37,0))</f>
        <v>Low</v>
      </c>
      <c r="Z3585" s="4" t="n">
        <f aca="false">ROUND(MIN(1,MAX('Reward Model'!$B$2,INDEX('Reward Model'!$C$12:$C$14,MATCH($K3585,'Reward Model'!$A$12:$A$14,0))/$J3585)),3)</f>
        <v>0.974</v>
      </c>
      <c r="AA3585" s="2" t="n">
        <f aca="false">IF($I3585="Correct",ROUND(INDEX('Reward Model'!$B$12:$B$14,MATCH($K3585,'Reward Model'!$A$12:$A$14,0))*Z3585,2),0)</f>
        <v>0.97</v>
      </c>
      <c r="AB3585" s="2" t="n">
        <f aca="false">IF($I3585="Correct",ROUND(INDEX('Reward Model'!$B$12:$B$14,MATCH($Y3585,'Reward Model'!$A$12:$A$14,0))*Z3585,2),0)</f>
        <v>0.97</v>
      </c>
    </row>
    <row r="3586" customFormat="false" ht="15" hidden="false" customHeight="false" outlineLevel="0" collapsed="false">
      <c r="A3586" s="0" t="s">
        <v>490</v>
      </c>
      <c r="B3586" s="0" t="s">
        <v>491</v>
      </c>
      <c r="C3586" s="0" t="s">
        <v>322</v>
      </c>
      <c r="D3586" s="0" t="s">
        <v>275</v>
      </c>
      <c r="E3586" s="0" t="n">
        <v>5</v>
      </c>
      <c r="F3586" s="0" t="s">
        <v>46</v>
      </c>
      <c r="G3586" s="0" t="s">
        <v>47</v>
      </c>
      <c r="H3586" s="0" t="s">
        <v>47</v>
      </c>
      <c r="I3586" s="0" t="s">
        <v>34</v>
      </c>
      <c r="J3586" s="0" t="n">
        <v>1.4</v>
      </c>
      <c r="K3586" s="0" t="s">
        <v>35</v>
      </c>
      <c r="L3586" s="0" t="n">
        <f aca="false">INDEX(Summary!$F$2:$F$201,MATCH($B3586,Summary!$A$2:$A$201,0))</f>
        <v>20</v>
      </c>
      <c r="M3586" s="0" t="n">
        <f aca="false">INDEX(Summary!$I$2:$I$201,MATCH($B3586,Summary!$A$2:$A$201,0))</f>
        <v>1</v>
      </c>
      <c r="N3586" s="0" t="n">
        <f aca="false">INDEX(Summary!$J$2:$J$201,MATCH($B3586,Summary!$A$2:$A$201,0))</f>
        <v>4</v>
      </c>
      <c r="O3586" s="2" t="n">
        <f aca="false">INDEX(Summary!$K$2:$K$201,MATCH($B3586,Summary!$A$2:$A$201,0))</f>
        <v>8.1</v>
      </c>
      <c r="P3586" s="3" t="n">
        <f aca="false">INDEX(Summary!$L$2:$L$201,MATCH($B3586,Summary!$A$2:$A$201,0))</f>
        <v>3</v>
      </c>
      <c r="Q3586" s="3" t="n">
        <f aca="false">INDEX(Summary!$M$2:$M$201,MATCH($B3586,Summary!$A$2:$A$201,0))</f>
        <v>3</v>
      </c>
      <c r="R3586" s="2" t="n">
        <f aca="false">INDEX(Summary!$N$2:$N$201,MATCH($B3586,Summary!$A$2:$A$201,0))</f>
        <v>9.99</v>
      </c>
      <c r="S3586" s="3" t="n">
        <f aca="false">INDEX(Summary!$O$2:$O$201,MATCH($B3586,Summary!$A$2:$A$201,0))</f>
        <v>8</v>
      </c>
      <c r="T3586" s="3" t="n">
        <f aca="false">INDEX(Summary!$P$2:$P$201,MATCH($B3586,Summary!$A$2:$A$201,0))</f>
        <v>1</v>
      </c>
      <c r="U3586" s="2" t="n">
        <f aca="false">INDEX(Summary!$Q$2:$Q$201,MATCH($B3586,Summary!$A$2:$A$201,0))</f>
        <v>12.47</v>
      </c>
      <c r="V3586" s="2" t="n">
        <f aca="false">INDEX(Summary!$R$2:$R$201,MATCH($B3586,Summary!$A$2:$A$201,0))</f>
        <v>21.42</v>
      </c>
      <c r="W3586" s="0" t="str">
        <f aca="false">INDEX(Summary!$S$2:$S$201,MATCH($B3586,Summary!$A$2:$A$201,0))</f>
        <v>Silver</v>
      </c>
      <c r="X3586" s="2" t="n">
        <f aca="false">INDEX(Summary!$T$2:$T$201,MATCH($B3586,Summary!$A$2:$A$201,0))</f>
        <v>52.24</v>
      </c>
      <c r="Y3586" s="0" t="str">
        <f aca="false">INDEX('Reward Model'!$E$18:$E$37,MATCH($E3586,'Reward Model'!$A$18:$A$37,0))</f>
        <v>Low</v>
      </c>
      <c r="Z3586" s="4" t="n">
        <f aca="false">ROUND(MIN(1,MAX('Reward Model'!$B$2,INDEX('Reward Model'!$C$12:$C$14,MATCH($K3586,'Reward Model'!$A$12:$A$14,0))/$J3586)),3)</f>
        <v>1</v>
      </c>
      <c r="AA3586" s="2" t="n">
        <f aca="false">IF($I3586="Correct",ROUND(INDEX('Reward Model'!$B$12:$B$14,MATCH($K3586,'Reward Model'!$A$12:$A$14,0))*Z3586,2),0)</f>
        <v>1</v>
      </c>
      <c r="AB3586" s="2" t="n">
        <f aca="false">IF($I3586="Correct",ROUND(INDEX('Reward Model'!$B$12:$B$14,MATCH($Y3586,'Reward Model'!$A$12:$A$14,0))*Z3586,2),0)</f>
        <v>1</v>
      </c>
    </row>
    <row r="3587" customFormat="false" ht="15" hidden="false" customHeight="false" outlineLevel="0" collapsed="false">
      <c r="A3587" s="0" t="s">
        <v>490</v>
      </c>
      <c r="B3587" s="0" t="s">
        <v>491</v>
      </c>
      <c r="C3587" s="0" t="s">
        <v>322</v>
      </c>
      <c r="D3587" s="0" t="s">
        <v>275</v>
      </c>
      <c r="E3587" s="0" t="n">
        <v>6</v>
      </c>
      <c r="F3587" s="0" t="s">
        <v>48</v>
      </c>
      <c r="G3587" s="0" t="s">
        <v>49</v>
      </c>
      <c r="H3587" s="0" t="s">
        <v>49</v>
      </c>
      <c r="I3587" s="0" t="s">
        <v>34</v>
      </c>
      <c r="J3587" s="0" t="n">
        <v>1.03</v>
      </c>
      <c r="K3587" s="0" t="s">
        <v>35</v>
      </c>
      <c r="L3587" s="0" t="n">
        <f aca="false">INDEX(Summary!$F$2:$F$201,MATCH($B3587,Summary!$A$2:$A$201,0))</f>
        <v>20</v>
      </c>
      <c r="M3587" s="0" t="n">
        <f aca="false">INDEX(Summary!$I$2:$I$201,MATCH($B3587,Summary!$A$2:$A$201,0))</f>
        <v>1</v>
      </c>
      <c r="N3587" s="0" t="n">
        <f aca="false">INDEX(Summary!$J$2:$J$201,MATCH($B3587,Summary!$A$2:$A$201,0))</f>
        <v>4</v>
      </c>
      <c r="O3587" s="2" t="n">
        <f aca="false">INDEX(Summary!$K$2:$K$201,MATCH($B3587,Summary!$A$2:$A$201,0))</f>
        <v>8.1</v>
      </c>
      <c r="P3587" s="3" t="n">
        <f aca="false">INDEX(Summary!$L$2:$L$201,MATCH($B3587,Summary!$A$2:$A$201,0))</f>
        <v>3</v>
      </c>
      <c r="Q3587" s="3" t="n">
        <f aca="false">INDEX(Summary!$M$2:$M$201,MATCH($B3587,Summary!$A$2:$A$201,0))</f>
        <v>3</v>
      </c>
      <c r="R3587" s="2" t="n">
        <f aca="false">INDEX(Summary!$N$2:$N$201,MATCH($B3587,Summary!$A$2:$A$201,0))</f>
        <v>9.99</v>
      </c>
      <c r="S3587" s="3" t="n">
        <f aca="false">INDEX(Summary!$O$2:$O$201,MATCH($B3587,Summary!$A$2:$A$201,0))</f>
        <v>8</v>
      </c>
      <c r="T3587" s="3" t="n">
        <f aca="false">INDEX(Summary!$P$2:$P$201,MATCH($B3587,Summary!$A$2:$A$201,0))</f>
        <v>1</v>
      </c>
      <c r="U3587" s="2" t="n">
        <f aca="false">INDEX(Summary!$Q$2:$Q$201,MATCH($B3587,Summary!$A$2:$A$201,0))</f>
        <v>12.47</v>
      </c>
      <c r="V3587" s="2" t="n">
        <f aca="false">INDEX(Summary!$R$2:$R$201,MATCH($B3587,Summary!$A$2:$A$201,0))</f>
        <v>21.42</v>
      </c>
      <c r="W3587" s="0" t="str">
        <f aca="false">INDEX(Summary!$S$2:$S$201,MATCH($B3587,Summary!$A$2:$A$201,0))</f>
        <v>Silver</v>
      </c>
      <c r="X3587" s="2" t="n">
        <f aca="false">INDEX(Summary!$T$2:$T$201,MATCH($B3587,Summary!$A$2:$A$201,0))</f>
        <v>52.24</v>
      </c>
      <c r="Y3587" s="0" t="str">
        <f aca="false">INDEX('Reward Model'!$E$18:$E$37,MATCH($E3587,'Reward Model'!$A$18:$A$37,0))</f>
        <v>Medium</v>
      </c>
      <c r="Z3587" s="4" t="n">
        <f aca="false">ROUND(MIN(1,MAX('Reward Model'!$B$2,INDEX('Reward Model'!$C$12:$C$14,MATCH($K3587,'Reward Model'!$A$12:$A$14,0))/$J3587)),3)</f>
        <v>1</v>
      </c>
      <c r="AA3587" s="2" t="n">
        <f aca="false">IF($I3587="Correct",ROUND(INDEX('Reward Model'!$B$12:$B$14,MATCH($K3587,'Reward Model'!$A$12:$A$14,0))*Z3587,2),0)</f>
        <v>1</v>
      </c>
      <c r="AB3587" s="2" t="n">
        <f aca="false">IF($I3587="Correct",ROUND(INDEX('Reward Model'!$B$12:$B$14,MATCH($Y3587,'Reward Model'!$A$12:$A$14,0))*Z3587,2),0)</f>
        <v>2</v>
      </c>
    </row>
    <row r="3588" customFormat="false" ht="15" hidden="false" customHeight="false" outlineLevel="0" collapsed="false">
      <c r="A3588" s="0" t="s">
        <v>490</v>
      </c>
      <c r="B3588" s="0" t="s">
        <v>491</v>
      </c>
      <c r="C3588" s="0" t="s">
        <v>322</v>
      </c>
      <c r="D3588" s="0" t="s">
        <v>275</v>
      </c>
      <c r="E3588" s="0" t="n">
        <v>7</v>
      </c>
      <c r="F3588" s="0" t="s">
        <v>50</v>
      </c>
      <c r="G3588" s="0" t="s">
        <v>92</v>
      </c>
      <c r="H3588" s="0" t="s">
        <v>51</v>
      </c>
      <c r="I3588" s="0" t="s">
        <v>39</v>
      </c>
      <c r="J3588" s="0" t="n">
        <v>1.29</v>
      </c>
      <c r="K3588" s="0" t="s">
        <v>35</v>
      </c>
      <c r="L3588" s="0" t="n">
        <f aca="false">INDEX(Summary!$F$2:$F$201,MATCH($B3588,Summary!$A$2:$A$201,0))</f>
        <v>20</v>
      </c>
      <c r="M3588" s="0" t="n">
        <f aca="false">INDEX(Summary!$I$2:$I$201,MATCH($B3588,Summary!$A$2:$A$201,0))</f>
        <v>1</v>
      </c>
      <c r="N3588" s="0" t="n">
        <f aca="false">INDEX(Summary!$J$2:$J$201,MATCH($B3588,Summary!$A$2:$A$201,0))</f>
        <v>4</v>
      </c>
      <c r="O3588" s="2" t="n">
        <f aca="false">INDEX(Summary!$K$2:$K$201,MATCH($B3588,Summary!$A$2:$A$201,0))</f>
        <v>8.1</v>
      </c>
      <c r="P3588" s="3" t="n">
        <f aca="false">INDEX(Summary!$L$2:$L$201,MATCH($B3588,Summary!$A$2:$A$201,0))</f>
        <v>3</v>
      </c>
      <c r="Q3588" s="3" t="n">
        <f aca="false">INDEX(Summary!$M$2:$M$201,MATCH($B3588,Summary!$A$2:$A$201,0))</f>
        <v>3</v>
      </c>
      <c r="R3588" s="2" t="n">
        <f aca="false">INDEX(Summary!$N$2:$N$201,MATCH($B3588,Summary!$A$2:$A$201,0))</f>
        <v>9.99</v>
      </c>
      <c r="S3588" s="3" t="n">
        <f aca="false">INDEX(Summary!$O$2:$O$201,MATCH($B3588,Summary!$A$2:$A$201,0))</f>
        <v>8</v>
      </c>
      <c r="T3588" s="3" t="n">
        <f aca="false">INDEX(Summary!$P$2:$P$201,MATCH($B3588,Summary!$A$2:$A$201,0))</f>
        <v>1</v>
      </c>
      <c r="U3588" s="2" t="n">
        <f aca="false">INDEX(Summary!$Q$2:$Q$201,MATCH($B3588,Summary!$A$2:$A$201,0))</f>
        <v>12.47</v>
      </c>
      <c r="V3588" s="2" t="n">
        <f aca="false">INDEX(Summary!$R$2:$R$201,MATCH($B3588,Summary!$A$2:$A$201,0))</f>
        <v>21.42</v>
      </c>
      <c r="W3588" s="0" t="str">
        <f aca="false">INDEX(Summary!$S$2:$S$201,MATCH($B3588,Summary!$A$2:$A$201,0))</f>
        <v>Silver</v>
      </c>
      <c r="X3588" s="2" t="n">
        <f aca="false">INDEX(Summary!$T$2:$T$201,MATCH($B3588,Summary!$A$2:$A$201,0))</f>
        <v>52.24</v>
      </c>
      <c r="Y3588" s="0" t="str">
        <f aca="false">INDEX('Reward Model'!$E$18:$E$37,MATCH($E3588,'Reward Model'!$A$18:$A$37,0))</f>
        <v>Low</v>
      </c>
      <c r="Z3588" s="4" t="n">
        <f aca="false">ROUND(MIN(1,MAX('Reward Model'!$B$2,INDEX('Reward Model'!$C$12:$C$14,MATCH($K3588,'Reward Model'!$A$12:$A$14,0))/$J3588)),3)</f>
        <v>1</v>
      </c>
      <c r="AA3588" s="2" t="n">
        <f aca="false">IF($I3588="Correct",ROUND(INDEX('Reward Model'!$B$12:$B$14,MATCH($K3588,'Reward Model'!$A$12:$A$14,0))*Z3588,2),0)</f>
        <v>0</v>
      </c>
      <c r="AB3588" s="2" t="n">
        <f aca="false">IF($I3588="Correct",ROUND(INDEX('Reward Model'!$B$12:$B$14,MATCH($Y3588,'Reward Model'!$A$12:$A$14,0))*Z3588,2),0)</f>
        <v>0</v>
      </c>
    </row>
    <row r="3589" customFormat="false" ht="15" hidden="false" customHeight="false" outlineLevel="0" collapsed="false">
      <c r="A3589" s="0" t="s">
        <v>490</v>
      </c>
      <c r="B3589" s="0" t="s">
        <v>491</v>
      </c>
      <c r="C3589" s="0" t="s">
        <v>322</v>
      </c>
      <c r="D3589" s="0" t="s">
        <v>275</v>
      </c>
      <c r="E3589" s="0" t="n">
        <v>8</v>
      </c>
      <c r="F3589" s="0" t="s">
        <v>52</v>
      </c>
      <c r="G3589" s="0" t="s">
        <v>54</v>
      </c>
      <c r="H3589" s="0" t="s">
        <v>54</v>
      </c>
      <c r="I3589" s="0" t="s">
        <v>34</v>
      </c>
      <c r="J3589" s="0" t="n">
        <v>1.34</v>
      </c>
      <c r="K3589" s="0" t="s">
        <v>35</v>
      </c>
      <c r="L3589" s="0" t="n">
        <f aca="false">INDEX(Summary!$F$2:$F$201,MATCH($B3589,Summary!$A$2:$A$201,0))</f>
        <v>20</v>
      </c>
      <c r="M3589" s="0" t="n">
        <f aca="false">INDEX(Summary!$I$2:$I$201,MATCH($B3589,Summary!$A$2:$A$201,0))</f>
        <v>1</v>
      </c>
      <c r="N3589" s="0" t="n">
        <f aca="false">INDEX(Summary!$J$2:$J$201,MATCH($B3589,Summary!$A$2:$A$201,0))</f>
        <v>4</v>
      </c>
      <c r="O3589" s="2" t="n">
        <f aca="false">INDEX(Summary!$K$2:$K$201,MATCH($B3589,Summary!$A$2:$A$201,0))</f>
        <v>8.1</v>
      </c>
      <c r="P3589" s="3" t="n">
        <f aca="false">INDEX(Summary!$L$2:$L$201,MATCH($B3589,Summary!$A$2:$A$201,0))</f>
        <v>3</v>
      </c>
      <c r="Q3589" s="3" t="n">
        <f aca="false">INDEX(Summary!$M$2:$M$201,MATCH($B3589,Summary!$A$2:$A$201,0))</f>
        <v>3</v>
      </c>
      <c r="R3589" s="2" t="n">
        <f aca="false">INDEX(Summary!$N$2:$N$201,MATCH($B3589,Summary!$A$2:$A$201,0))</f>
        <v>9.99</v>
      </c>
      <c r="S3589" s="3" t="n">
        <f aca="false">INDEX(Summary!$O$2:$O$201,MATCH($B3589,Summary!$A$2:$A$201,0))</f>
        <v>8</v>
      </c>
      <c r="T3589" s="3" t="n">
        <f aca="false">INDEX(Summary!$P$2:$P$201,MATCH($B3589,Summary!$A$2:$A$201,0))</f>
        <v>1</v>
      </c>
      <c r="U3589" s="2" t="n">
        <f aca="false">INDEX(Summary!$Q$2:$Q$201,MATCH($B3589,Summary!$A$2:$A$201,0))</f>
        <v>12.47</v>
      </c>
      <c r="V3589" s="2" t="n">
        <f aca="false">INDEX(Summary!$R$2:$R$201,MATCH($B3589,Summary!$A$2:$A$201,0))</f>
        <v>21.42</v>
      </c>
      <c r="W3589" s="0" t="str">
        <f aca="false">INDEX(Summary!$S$2:$S$201,MATCH($B3589,Summary!$A$2:$A$201,0))</f>
        <v>Silver</v>
      </c>
      <c r="X3589" s="2" t="n">
        <f aca="false">INDEX(Summary!$T$2:$T$201,MATCH($B3589,Summary!$A$2:$A$201,0))</f>
        <v>52.24</v>
      </c>
      <c r="Y3589" s="0" t="str">
        <f aca="false">INDEX('Reward Model'!$E$18:$E$37,MATCH($E3589,'Reward Model'!$A$18:$A$37,0))</f>
        <v>Medium</v>
      </c>
      <c r="Z3589" s="4" t="n">
        <f aca="false">ROUND(MIN(1,MAX('Reward Model'!$B$2,INDEX('Reward Model'!$C$12:$C$14,MATCH($K3589,'Reward Model'!$A$12:$A$14,0))/$J3589)),3)</f>
        <v>1</v>
      </c>
      <c r="AA3589" s="2" t="n">
        <f aca="false">IF($I3589="Correct",ROUND(INDEX('Reward Model'!$B$12:$B$14,MATCH($K3589,'Reward Model'!$A$12:$A$14,0))*Z3589,2),0)</f>
        <v>1</v>
      </c>
      <c r="AB3589" s="2" t="n">
        <f aca="false">IF($I3589="Correct",ROUND(INDEX('Reward Model'!$B$12:$B$14,MATCH($Y3589,'Reward Model'!$A$12:$A$14,0))*Z3589,2),0)</f>
        <v>2</v>
      </c>
    </row>
    <row r="3590" customFormat="false" ht="15" hidden="false" customHeight="false" outlineLevel="0" collapsed="false">
      <c r="A3590" s="0" t="s">
        <v>490</v>
      </c>
      <c r="B3590" s="0" t="s">
        <v>491</v>
      </c>
      <c r="C3590" s="0" t="s">
        <v>322</v>
      </c>
      <c r="D3590" s="0" t="s">
        <v>275</v>
      </c>
      <c r="E3590" s="0" t="n">
        <v>9</v>
      </c>
      <c r="F3590" s="0" t="s">
        <v>55</v>
      </c>
      <c r="G3590" s="0" t="s">
        <v>57</v>
      </c>
      <c r="H3590" s="0" t="s">
        <v>57</v>
      </c>
      <c r="I3590" s="0" t="s">
        <v>34</v>
      </c>
      <c r="J3590" s="0" t="n">
        <v>1.53</v>
      </c>
      <c r="K3590" s="0" t="s">
        <v>35</v>
      </c>
      <c r="L3590" s="0" t="n">
        <f aca="false">INDEX(Summary!$F$2:$F$201,MATCH($B3590,Summary!$A$2:$A$201,0))</f>
        <v>20</v>
      </c>
      <c r="M3590" s="0" t="n">
        <f aca="false">INDEX(Summary!$I$2:$I$201,MATCH($B3590,Summary!$A$2:$A$201,0))</f>
        <v>1</v>
      </c>
      <c r="N3590" s="0" t="n">
        <f aca="false">INDEX(Summary!$J$2:$J$201,MATCH($B3590,Summary!$A$2:$A$201,0))</f>
        <v>4</v>
      </c>
      <c r="O3590" s="2" t="n">
        <f aca="false">INDEX(Summary!$K$2:$K$201,MATCH($B3590,Summary!$A$2:$A$201,0))</f>
        <v>8.1</v>
      </c>
      <c r="P3590" s="3" t="n">
        <f aca="false">INDEX(Summary!$L$2:$L$201,MATCH($B3590,Summary!$A$2:$A$201,0))</f>
        <v>3</v>
      </c>
      <c r="Q3590" s="3" t="n">
        <f aca="false">INDEX(Summary!$M$2:$M$201,MATCH($B3590,Summary!$A$2:$A$201,0))</f>
        <v>3</v>
      </c>
      <c r="R3590" s="2" t="n">
        <f aca="false">INDEX(Summary!$N$2:$N$201,MATCH($B3590,Summary!$A$2:$A$201,0))</f>
        <v>9.99</v>
      </c>
      <c r="S3590" s="3" t="n">
        <f aca="false">INDEX(Summary!$O$2:$O$201,MATCH($B3590,Summary!$A$2:$A$201,0))</f>
        <v>8</v>
      </c>
      <c r="T3590" s="3" t="n">
        <f aca="false">INDEX(Summary!$P$2:$P$201,MATCH($B3590,Summary!$A$2:$A$201,0))</f>
        <v>1</v>
      </c>
      <c r="U3590" s="2" t="n">
        <f aca="false">INDEX(Summary!$Q$2:$Q$201,MATCH($B3590,Summary!$A$2:$A$201,0))</f>
        <v>12.47</v>
      </c>
      <c r="V3590" s="2" t="n">
        <f aca="false">INDEX(Summary!$R$2:$R$201,MATCH($B3590,Summary!$A$2:$A$201,0))</f>
        <v>21.42</v>
      </c>
      <c r="W3590" s="0" t="str">
        <f aca="false">INDEX(Summary!$S$2:$S$201,MATCH($B3590,Summary!$A$2:$A$201,0))</f>
        <v>Silver</v>
      </c>
      <c r="X3590" s="2" t="n">
        <f aca="false">INDEX(Summary!$T$2:$T$201,MATCH($B3590,Summary!$A$2:$A$201,0))</f>
        <v>52.24</v>
      </c>
      <c r="Y3590" s="0" t="str">
        <f aca="false">INDEX('Reward Model'!$E$18:$E$37,MATCH($E3590,'Reward Model'!$A$18:$A$37,0))</f>
        <v>Medium</v>
      </c>
      <c r="Z3590" s="4" t="n">
        <f aca="false">ROUND(MIN(1,MAX('Reward Model'!$B$2,INDEX('Reward Model'!$C$12:$C$14,MATCH($K3590,'Reward Model'!$A$12:$A$14,0))/$J3590)),3)</f>
        <v>0.98</v>
      </c>
      <c r="AA3590" s="2" t="n">
        <f aca="false">IF($I3590="Correct",ROUND(INDEX('Reward Model'!$B$12:$B$14,MATCH($K3590,'Reward Model'!$A$12:$A$14,0))*Z3590,2),0)</f>
        <v>0.98</v>
      </c>
      <c r="AB3590" s="2" t="n">
        <f aca="false">IF($I3590="Correct",ROUND(INDEX('Reward Model'!$B$12:$B$14,MATCH($Y3590,'Reward Model'!$A$12:$A$14,0))*Z3590,2),0)</f>
        <v>1.96</v>
      </c>
    </row>
    <row r="3591" customFormat="false" ht="15" hidden="false" customHeight="false" outlineLevel="0" collapsed="false">
      <c r="A3591" s="0" t="s">
        <v>490</v>
      </c>
      <c r="B3591" s="0" t="s">
        <v>491</v>
      </c>
      <c r="C3591" s="0" t="s">
        <v>322</v>
      </c>
      <c r="D3591" s="0" t="s">
        <v>275</v>
      </c>
      <c r="E3591" s="0" t="n">
        <v>10</v>
      </c>
      <c r="F3591" s="0" t="s">
        <v>58</v>
      </c>
      <c r="G3591" s="0" t="s">
        <v>99</v>
      </c>
      <c r="H3591" s="0" t="s">
        <v>59</v>
      </c>
      <c r="I3591" s="0" t="s">
        <v>39</v>
      </c>
      <c r="J3591" s="0" t="n">
        <v>1.43</v>
      </c>
      <c r="K3591" s="0" t="s">
        <v>60</v>
      </c>
      <c r="L3591" s="0" t="n">
        <f aca="false">INDEX(Summary!$F$2:$F$201,MATCH($B3591,Summary!$A$2:$A$201,0))</f>
        <v>20</v>
      </c>
      <c r="M3591" s="0" t="n">
        <f aca="false">INDEX(Summary!$I$2:$I$201,MATCH($B3591,Summary!$A$2:$A$201,0))</f>
        <v>1</v>
      </c>
      <c r="N3591" s="0" t="n">
        <f aca="false">INDEX(Summary!$J$2:$J$201,MATCH($B3591,Summary!$A$2:$A$201,0))</f>
        <v>4</v>
      </c>
      <c r="O3591" s="2" t="n">
        <f aca="false">INDEX(Summary!$K$2:$K$201,MATCH($B3591,Summary!$A$2:$A$201,0))</f>
        <v>8.1</v>
      </c>
      <c r="P3591" s="3" t="n">
        <f aca="false">INDEX(Summary!$L$2:$L$201,MATCH($B3591,Summary!$A$2:$A$201,0))</f>
        <v>3</v>
      </c>
      <c r="Q3591" s="3" t="n">
        <f aca="false">INDEX(Summary!$M$2:$M$201,MATCH($B3591,Summary!$A$2:$A$201,0))</f>
        <v>3</v>
      </c>
      <c r="R3591" s="2" t="n">
        <f aca="false">INDEX(Summary!$N$2:$N$201,MATCH($B3591,Summary!$A$2:$A$201,0))</f>
        <v>9.99</v>
      </c>
      <c r="S3591" s="3" t="n">
        <f aca="false">INDEX(Summary!$O$2:$O$201,MATCH($B3591,Summary!$A$2:$A$201,0))</f>
        <v>8</v>
      </c>
      <c r="T3591" s="3" t="n">
        <f aca="false">INDEX(Summary!$P$2:$P$201,MATCH($B3591,Summary!$A$2:$A$201,0))</f>
        <v>1</v>
      </c>
      <c r="U3591" s="2" t="n">
        <f aca="false">INDEX(Summary!$Q$2:$Q$201,MATCH($B3591,Summary!$A$2:$A$201,0))</f>
        <v>12.47</v>
      </c>
      <c r="V3591" s="2" t="n">
        <f aca="false">INDEX(Summary!$R$2:$R$201,MATCH($B3591,Summary!$A$2:$A$201,0))</f>
        <v>21.42</v>
      </c>
      <c r="W3591" s="0" t="str">
        <f aca="false">INDEX(Summary!$S$2:$S$201,MATCH($B3591,Summary!$A$2:$A$201,0))</f>
        <v>Silver</v>
      </c>
      <c r="X3591" s="2" t="n">
        <f aca="false">INDEX(Summary!$T$2:$T$201,MATCH($B3591,Summary!$A$2:$A$201,0))</f>
        <v>52.24</v>
      </c>
      <c r="Y3591" s="0" t="str">
        <f aca="false">INDEX('Reward Model'!$E$18:$E$37,MATCH($E3591,'Reward Model'!$A$18:$A$37,0))</f>
        <v>Medium</v>
      </c>
      <c r="Z3591" s="4" t="n">
        <f aca="false">ROUND(MIN(1,MAX('Reward Model'!$B$2,INDEX('Reward Model'!$C$12:$C$14,MATCH($K3591,'Reward Model'!$A$12:$A$14,0))/$J3591)),3)</f>
        <v>1</v>
      </c>
      <c r="AA3591" s="2" t="n">
        <f aca="false">IF($I3591="Correct",ROUND(INDEX('Reward Model'!$B$12:$B$14,MATCH($K3591,'Reward Model'!$A$12:$A$14,0))*Z3591,2),0)</f>
        <v>0</v>
      </c>
      <c r="AB3591" s="2" t="n">
        <f aca="false">IF($I3591="Correct",ROUND(INDEX('Reward Model'!$B$12:$B$14,MATCH($Y3591,'Reward Model'!$A$12:$A$14,0))*Z3591,2),0)</f>
        <v>0</v>
      </c>
    </row>
    <row r="3592" customFormat="false" ht="15" hidden="false" customHeight="false" outlineLevel="0" collapsed="false">
      <c r="A3592" s="0" t="s">
        <v>490</v>
      </c>
      <c r="B3592" s="0" t="s">
        <v>491</v>
      </c>
      <c r="C3592" s="0" t="s">
        <v>322</v>
      </c>
      <c r="D3592" s="0" t="s">
        <v>275</v>
      </c>
      <c r="E3592" s="0" t="n">
        <v>11</v>
      </c>
      <c r="F3592" s="0" t="s">
        <v>61</v>
      </c>
      <c r="G3592" s="0" t="s">
        <v>63</v>
      </c>
      <c r="H3592" s="0" t="s">
        <v>63</v>
      </c>
      <c r="I3592" s="0" t="s">
        <v>34</v>
      </c>
      <c r="J3592" s="0" t="n">
        <v>1.66</v>
      </c>
      <c r="K3592" s="0" t="s">
        <v>60</v>
      </c>
      <c r="L3592" s="0" t="n">
        <f aca="false">INDEX(Summary!$F$2:$F$201,MATCH($B3592,Summary!$A$2:$A$201,0))</f>
        <v>20</v>
      </c>
      <c r="M3592" s="0" t="n">
        <f aca="false">INDEX(Summary!$I$2:$I$201,MATCH($B3592,Summary!$A$2:$A$201,0))</f>
        <v>1</v>
      </c>
      <c r="N3592" s="0" t="n">
        <f aca="false">INDEX(Summary!$J$2:$J$201,MATCH($B3592,Summary!$A$2:$A$201,0))</f>
        <v>4</v>
      </c>
      <c r="O3592" s="2" t="n">
        <f aca="false">INDEX(Summary!$K$2:$K$201,MATCH($B3592,Summary!$A$2:$A$201,0))</f>
        <v>8.1</v>
      </c>
      <c r="P3592" s="3" t="n">
        <f aca="false">INDEX(Summary!$L$2:$L$201,MATCH($B3592,Summary!$A$2:$A$201,0))</f>
        <v>3</v>
      </c>
      <c r="Q3592" s="3" t="n">
        <f aca="false">INDEX(Summary!$M$2:$M$201,MATCH($B3592,Summary!$A$2:$A$201,0))</f>
        <v>3</v>
      </c>
      <c r="R3592" s="2" t="n">
        <f aca="false">INDEX(Summary!$N$2:$N$201,MATCH($B3592,Summary!$A$2:$A$201,0))</f>
        <v>9.99</v>
      </c>
      <c r="S3592" s="3" t="n">
        <f aca="false">INDEX(Summary!$O$2:$O$201,MATCH($B3592,Summary!$A$2:$A$201,0))</f>
        <v>8</v>
      </c>
      <c r="T3592" s="3" t="n">
        <f aca="false">INDEX(Summary!$P$2:$P$201,MATCH($B3592,Summary!$A$2:$A$201,0))</f>
        <v>1</v>
      </c>
      <c r="U3592" s="2" t="n">
        <f aca="false">INDEX(Summary!$Q$2:$Q$201,MATCH($B3592,Summary!$A$2:$A$201,0))</f>
        <v>12.47</v>
      </c>
      <c r="V3592" s="2" t="n">
        <f aca="false">INDEX(Summary!$R$2:$R$201,MATCH($B3592,Summary!$A$2:$A$201,0))</f>
        <v>21.42</v>
      </c>
      <c r="W3592" s="0" t="str">
        <f aca="false">INDEX(Summary!$S$2:$S$201,MATCH($B3592,Summary!$A$2:$A$201,0))</f>
        <v>Silver</v>
      </c>
      <c r="X3592" s="2" t="n">
        <f aca="false">INDEX(Summary!$T$2:$T$201,MATCH($B3592,Summary!$A$2:$A$201,0))</f>
        <v>52.24</v>
      </c>
      <c r="Y3592" s="0" t="str">
        <f aca="false">INDEX('Reward Model'!$E$18:$E$37,MATCH($E3592,'Reward Model'!$A$18:$A$37,0))</f>
        <v>Medium</v>
      </c>
      <c r="Z3592" s="4" t="n">
        <f aca="false">ROUND(MIN(1,MAX('Reward Model'!$B$2,INDEX('Reward Model'!$C$12:$C$14,MATCH($K3592,'Reward Model'!$A$12:$A$14,0))/$J3592)),3)</f>
        <v>1</v>
      </c>
      <c r="AA3592" s="2" t="n">
        <f aca="false">IF($I3592="Correct",ROUND(INDEX('Reward Model'!$B$12:$B$14,MATCH($K3592,'Reward Model'!$A$12:$A$14,0))*Z3592,2),0)</f>
        <v>2</v>
      </c>
      <c r="AB3592" s="2" t="n">
        <f aca="false">IF($I3592="Correct",ROUND(INDEX('Reward Model'!$B$12:$B$14,MATCH($Y3592,'Reward Model'!$A$12:$A$14,0))*Z3592,2),0)</f>
        <v>2</v>
      </c>
    </row>
    <row r="3593" customFormat="false" ht="15" hidden="false" customHeight="false" outlineLevel="0" collapsed="false">
      <c r="A3593" s="0" t="s">
        <v>490</v>
      </c>
      <c r="B3593" s="0" t="s">
        <v>491</v>
      </c>
      <c r="C3593" s="0" t="s">
        <v>322</v>
      </c>
      <c r="D3593" s="0" t="s">
        <v>275</v>
      </c>
      <c r="E3593" s="0" t="n">
        <v>12</v>
      </c>
      <c r="F3593" s="0" t="s">
        <v>64</v>
      </c>
      <c r="G3593" s="0" t="s">
        <v>65</v>
      </c>
      <c r="H3593" s="0" t="s">
        <v>65</v>
      </c>
      <c r="I3593" s="0" t="s">
        <v>34</v>
      </c>
      <c r="J3593" s="0" t="n">
        <v>2.14</v>
      </c>
      <c r="K3593" s="0" t="s">
        <v>60</v>
      </c>
      <c r="L3593" s="0" t="n">
        <f aca="false">INDEX(Summary!$F$2:$F$201,MATCH($B3593,Summary!$A$2:$A$201,0))</f>
        <v>20</v>
      </c>
      <c r="M3593" s="0" t="n">
        <f aca="false">INDEX(Summary!$I$2:$I$201,MATCH($B3593,Summary!$A$2:$A$201,0))</f>
        <v>1</v>
      </c>
      <c r="N3593" s="0" t="n">
        <f aca="false">INDEX(Summary!$J$2:$J$201,MATCH($B3593,Summary!$A$2:$A$201,0))</f>
        <v>4</v>
      </c>
      <c r="O3593" s="2" t="n">
        <f aca="false">INDEX(Summary!$K$2:$K$201,MATCH($B3593,Summary!$A$2:$A$201,0))</f>
        <v>8.1</v>
      </c>
      <c r="P3593" s="3" t="n">
        <f aca="false">INDEX(Summary!$L$2:$L$201,MATCH($B3593,Summary!$A$2:$A$201,0))</f>
        <v>3</v>
      </c>
      <c r="Q3593" s="3" t="n">
        <f aca="false">INDEX(Summary!$M$2:$M$201,MATCH($B3593,Summary!$A$2:$A$201,0))</f>
        <v>3</v>
      </c>
      <c r="R3593" s="2" t="n">
        <f aca="false">INDEX(Summary!$N$2:$N$201,MATCH($B3593,Summary!$A$2:$A$201,0))</f>
        <v>9.99</v>
      </c>
      <c r="S3593" s="3" t="n">
        <f aca="false">INDEX(Summary!$O$2:$O$201,MATCH($B3593,Summary!$A$2:$A$201,0))</f>
        <v>8</v>
      </c>
      <c r="T3593" s="3" t="n">
        <f aca="false">INDEX(Summary!$P$2:$P$201,MATCH($B3593,Summary!$A$2:$A$201,0))</f>
        <v>1</v>
      </c>
      <c r="U3593" s="2" t="n">
        <f aca="false">INDEX(Summary!$Q$2:$Q$201,MATCH($B3593,Summary!$A$2:$A$201,0))</f>
        <v>12.47</v>
      </c>
      <c r="V3593" s="2" t="n">
        <f aca="false">INDEX(Summary!$R$2:$R$201,MATCH($B3593,Summary!$A$2:$A$201,0))</f>
        <v>21.42</v>
      </c>
      <c r="W3593" s="0" t="str">
        <f aca="false">INDEX(Summary!$S$2:$S$201,MATCH($B3593,Summary!$A$2:$A$201,0))</f>
        <v>Silver</v>
      </c>
      <c r="X3593" s="2" t="n">
        <f aca="false">INDEX(Summary!$T$2:$T$201,MATCH($B3593,Summary!$A$2:$A$201,0))</f>
        <v>52.24</v>
      </c>
      <c r="Y3593" s="0" t="str">
        <f aca="false">INDEX('Reward Model'!$E$18:$E$37,MATCH($E3593,'Reward Model'!$A$18:$A$37,0))</f>
        <v>Medium</v>
      </c>
      <c r="Z3593" s="4" t="n">
        <f aca="false">ROUND(MIN(1,MAX('Reward Model'!$B$2,INDEX('Reward Model'!$C$12:$C$14,MATCH($K3593,'Reward Model'!$A$12:$A$14,0))/$J3593)),3)</f>
        <v>0.841</v>
      </c>
      <c r="AA3593" s="2" t="n">
        <f aca="false">IF($I3593="Correct",ROUND(INDEX('Reward Model'!$B$12:$B$14,MATCH($K3593,'Reward Model'!$A$12:$A$14,0))*Z3593,2),0)</f>
        <v>1.68</v>
      </c>
      <c r="AB3593" s="2" t="n">
        <f aca="false">IF($I3593="Correct",ROUND(INDEX('Reward Model'!$B$12:$B$14,MATCH($Y3593,'Reward Model'!$A$12:$A$14,0))*Z3593,2),0)</f>
        <v>1.68</v>
      </c>
    </row>
    <row r="3594" customFormat="false" ht="15" hidden="false" customHeight="false" outlineLevel="0" collapsed="false">
      <c r="A3594" s="0" t="s">
        <v>490</v>
      </c>
      <c r="B3594" s="0" t="s">
        <v>491</v>
      </c>
      <c r="C3594" s="0" t="s">
        <v>322</v>
      </c>
      <c r="D3594" s="0" t="s">
        <v>275</v>
      </c>
      <c r="E3594" s="0" t="n">
        <v>13</v>
      </c>
      <c r="F3594" s="0" t="s">
        <v>66</v>
      </c>
      <c r="G3594" s="0" t="s">
        <v>117</v>
      </c>
      <c r="H3594" s="0" t="s">
        <v>67</v>
      </c>
      <c r="I3594" s="0" t="s">
        <v>39</v>
      </c>
      <c r="J3594" s="0" t="n">
        <v>1.26</v>
      </c>
      <c r="K3594" s="0" t="s">
        <v>60</v>
      </c>
      <c r="L3594" s="0" t="n">
        <f aca="false">INDEX(Summary!$F$2:$F$201,MATCH($B3594,Summary!$A$2:$A$201,0))</f>
        <v>20</v>
      </c>
      <c r="M3594" s="0" t="n">
        <f aca="false">INDEX(Summary!$I$2:$I$201,MATCH($B3594,Summary!$A$2:$A$201,0))</f>
        <v>1</v>
      </c>
      <c r="N3594" s="0" t="n">
        <f aca="false">INDEX(Summary!$J$2:$J$201,MATCH($B3594,Summary!$A$2:$A$201,0))</f>
        <v>4</v>
      </c>
      <c r="O3594" s="2" t="n">
        <f aca="false">INDEX(Summary!$K$2:$K$201,MATCH($B3594,Summary!$A$2:$A$201,0))</f>
        <v>8.1</v>
      </c>
      <c r="P3594" s="3" t="n">
        <f aca="false">INDEX(Summary!$L$2:$L$201,MATCH($B3594,Summary!$A$2:$A$201,0))</f>
        <v>3</v>
      </c>
      <c r="Q3594" s="3" t="n">
        <f aca="false">INDEX(Summary!$M$2:$M$201,MATCH($B3594,Summary!$A$2:$A$201,0))</f>
        <v>3</v>
      </c>
      <c r="R3594" s="2" t="n">
        <f aca="false">INDEX(Summary!$N$2:$N$201,MATCH($B3594,Summary!$A$2:$A$201,0))</f>
        <v>9.99</v>
      </c>
      <c r="S3594" s="3" t="n">
        <f aca="false">INDEX(Summary!$O$2:$O$201,MATCH($B3594,Summary!$A$2:$A$201,0))</f>
        <v>8</v>
      </c>
      <c r="T3594" s="3" t="n">
        <f aca="false">INDEX(Summary!$P$2:$P$201,MATCH($B3594,Summary!$A$2:$A$201,0))</f>
        <v>1</v>
      </c>
      <c r="U3594" s="2" t="n">
        <f aca="false">INDEX(Summary!$Q$2:$Q$201,MATCH($B3594,Summary!$A$2:$A$201,0))</f>
        <v>12.47</v>
      </c>
      <c r="V3594" s="2" t="n">
        <f aca="false">INDEX(Summary!$R$2:$R$201,MATCH($B3594,Summary!$A$2:$A$201,0))</f>
        <v>21.42</v>
      </c>
      <c r="W3594" s="0" t="str">
        <f aca="false">INDEX(Summary!$S$2:$S$201,MATCH($B3594,Summary!$A$2:$A$201,0))</f>
        <v>Silver</v>
      </c>
      <c r="X3594" s="2" t="n">
        <f aca="false">INDEX(Summary!$T$2:$T$201,MATCH($B3594,Summary!$A$2:$A$201,0))</f>
        <v>52.24</v>
      </c>
      <c r="Y3594" s="0" t="str">
        <f aca="false">INDEX('Reward Model'!$E$18:$E$37,MATCH($E3594,'Reward Model'!$A$18:$A$37,0))</f>
        <v>Medium</v>
      </c>
      <c r="Z3594" s="4" t="n">
        <f aca="false">ROUND(MIN(1,MAX('Reward Model'!$B$2,INDEX('Reward Model'!$C$12:$C$14,MATCH($K3594,'Reward Model'!$A$12:$A$14,0))/$J3594)),3)</f>
        <v>1</v>
      </c>
      <c r="AA3594" s="2" t="n">
        <f aca="false">IF($I3594="Correct",ROUND(INDEX('Reward Model'!$B$12:$B$14,MATCH($K3594,'Reward Model'!$A$12:$A$14,0))*Z3594,2),0)</f>
        <v>0</v>
      </c>
      <c r="AB3594" s="2" t="n">
        <f aca="false">IF($I3594="Correct",ROUND(INDEX('Reward Model'!$B$12:$B$14,MATCH($Y3594,'Reward Model'!$A$12:$A$14,0))*Z3594,2),0)</f>
        <v>0</v>
      </c>
    </row>
    <row r="3595" customFormat="false" ht="15" hidden="false" customHeight="false" outlineLevel="0" collapsed="false">
      <c r="A3595" s="0" t="s">
        <v>490</v>
      </c>
      <c r="B3595" s="0" t="s">
        <v>491</v>
      </c>
      <c r="C3595" s="0" t="s">
        <v>322</v>
      </c>
      <c r="D3595" s="0" t="s">
        <v>275</v>
      </c>
      <c r="E3595" s="0" t="n">
        <v>14</v>
      </c>
      <c r="F3595" s="0" t="s">
        <v>68</v>
      </c>
      <c r="G3595" s="0" t="s">
        <v>86</v>
      </c>
      <c r="H3595" s="0" t="s">
        <v>51</v>
      </c>
      <c r="I3595" s="0" t="s">
        <v>39</v>
      </c>
      <c r="J3595" s="0" t="n">
        <v>2.18</v>
      </c>
      <c r="K3595" s="0" t="s">
        <v>60</v>
      </c>
      <c r="L3595" s="0" t="n">
        <f aca="false">INDEX(Summary!$F$2:$F$201,MATCH($B3595,Summary!$A$2:$A$201,0))</f>
        <v>20</v>
      </c>
      <c r="M3595" s="0" t="n">
        <f aca="false">INDEX(Summary!$I$2:$I$201,MATCH($B3595,Summary!$A$2:$A$201,0))</f>
        <v>1</v>
      </c>
      <c r="N3595" s="0" t="n">
        <f aca="false">INDEX(Summary!$J$2:$J$201,MATCH($B3595,Summary!$A$2:$A$201,0))</f>
        <v>4</v>
      </c>
      <c r="O3595" s="2" t="n">
        <f aca="false">INDEX(Summary!$K$2:$K$201,MATCH($B3595,Summary!$A$2:$A$201,0))</f>
        <v>8.1</v>
      </c>
      <c r="P3595" s="3" t="n">
        <f aca="false">INDEX(Summary!$L$2:$L$201,MATCH($B3595,Summary!$A$2:$A$201,0))</f>
        <v>3</v>
      </c>
      <c r="Q3595" s="3" t="n">
        <f aca="false">INDEX(Summary!$M$2:$M$201,MATCH($B3595,Summary!$A$2:$A$201,0))</f>
        <v>3</v>
      </c>
      <c r="R3595" s="2" t="n">
        <f aca="false">INDEX(Summary!$N$2:$N$201,MATCH($B3595,Summary!$A$2:$A$201,0))</f>
        <v>9.99</v>
      </c>
      <c r="S3595" s="3" t="n">
        <f aca="false">INDEX(Summary!$O$2:$O$201,MATCH($B3595,Summary!$A$2:$A$201,0))</f>
        <v>8</v>
      </c>
      <c r="T3595" s="3" t="n">
        <f aca="false">INDEX(Summary!$P$2:$P$201,MATCH($B3595,Summary!$A$2:$A$201,0))</f>
        <v>1</v>
      </c>
      <c r="U3595" s="2" t="n">
        <f aca="false">INDEX(Summary!$Q$2:$Q$201,MATCH($B3595,Summary!$A$2:$A$201,0))</f>
        <v>12.47</v>
      </c>
      <c r="V3595" s="2" t="n">
        <f aca="false">INDEX(Summary!$R$2:$R$201,MATCH($B3595,Summary!$A$2:$A$201,0))</f>
        <v>21.42</v>
      </c>
      <c r="W3595" s="0" t="str">
        <f aca="false">INDEX(Summary!$S$2:$S$201,MATCH($B3595,Summary!$A$2:$A$201,0))</f>
        <v>Silver</v>
      </c>
      <c r="X3595" s="2" t="n">
        <f aca="false">INDEX(Summary!$T$2:$T$201,MATCH($B3595,Summary!$A$2:$A$201,0))</f>
        <v>52.24</v>
      </c>
      <c r="Y3595" s="0" t="str">
        <f aca="false">INDEX('Reward Model'!$E$18:$E$37,MATCH($E3595,'Reward Model'!$A$18:$A$37,0))</f>
        <v>Medium</v>
      </c>
      <c r="Z3595" s="4" t="n">
        <f aca="false">ROUND(MIN(1,MAX('Reward Model'!$B$2,INDEX('Reward Model'!$C$12:$C$14,MATCH($K3595,'Reward Model'!$A$12:$A$14,0))/$J3595)),3)</f>
        <v>0.826</v>
      </c>
      <c r="AA3595" s="2" t="n">
        <f aca="false">IF($I3595="Correct",ROUND(INDEX('Reward Model'!$B$12:$B$14,MATCH($K3595,'Reward Model'!$A$12:$A$14,0))*Z3595,2),0)</f>
        <v>0</v>
      </c>
      <c r="AB3595" s="2" t="n">
        <f aca="false">IF($I3595="Correct",ROUND(INDEX('Reward Model'!$B$12:$B$14,MATCH($Y3595,'Reward Model'!$A$12:$A$14,0))*Z3595,2),0)</f>
        <v>0</v>
      </c>
    </row>
    <row r="3596" customFormat="false" ht="15" hidden="false" customHeight="false" outlineLevel="0" collapsed="false">
      <c r="A3596" s="0" t="s">
        <v>490</v>
      </c>
      <c r="B3596" s="0" t="s">
        <v>491</v>
      </c>
      <c r="C3596" s="0" t="s">
        <v>322</v>
      </c>
      <c r="D3596" s="0" t="s">
        <v>275</v>
      </c>
      <c r="E3596" s="0" t="n">
        <v>15</v>
      </c>
      <c r="F3596" s="0" t="s">
        <v>69</v>
      </c>
      <c r="G3596" s="0" t="s">
        <v>70</v>
      </c>
      <c r="H3596" s="0" t="s">
        <v>70</v>
      </c>
      <c r="I3596" s="0" t="s">
        <v>34</v>
      </c>
      <c r="J3596" s="0" t="n">
        <v>1.32</v>
      </c>
      <c r="K3596" s="0" t="s">
        <v>60</v>
      </c>
      <c r="L3596" s="0" t="n">
        <f aca="false">INDEX(Summary!$F$2:$F$201,MATCH($B3596,Summary!$A$2:$A$201,0))</f>
        <v>20</v>
      </c>
      <c r="M3596" s="0" t="n">
        <f aca="false">INDEX(Summary!$I$2:$I$201,MATCH($B3596,Summary!$A$2:$A$201,0))</f>
        <v>1</v>
      </c>
      <c r="N3596" s="0" t="n">
        <f aca="false">INDEX(Summary!$J$2:$J$201,MATCH($B3596,Summary!$A$2:$A$201,0))</f>
        <v>4</v>
      </c>
      <c r="O3596" s="2" t="n">
        <f aca="false">INDEX(Summary!$K$2:$K$201,MATCH($B3596,Summary!$A$2:$A$201,0))</f>
        <v>8.1</v>
      </c>
      <c r="P3596" s="3" t="n">
        <f aca="false">INDEX(Summary!$L$2:$L$201,MATCH($B3596,Summary!$A$2:$A$201,0))</f>
        <v>3</v>
      </c>
      <c r="Q3596" s="3" t="n">
        <f aca="false">INDEX(Summary!$M$2:$M$201,MATCH($B3596,Summary!$A$2:$A$201,0))</f>
        <v>3</v>
      </c>
      <c r="R3596" s="2" t="n">
        <f aca="false">INDEX(Summary!$N$2:$N$201,MATCH($B3596,Summary!$A$2:$A$201,0))</f>
        <v>9.99</v>
      </c>
      <c r="S3596" s="3" t="n">
        <f aca="false">INDEX(Summary!$O$2:$O$201,MATCH($B3596,Summary!$A$2:$A$201,0))</f>
        <v>8</v>
      </c>
      <c r="T3596" s="3" t="n">
        <f aca="false">INDEX(Summary!$P$2:$P$201,MATCH($B3596,Summary!$A$2:$A$201,0))</f>
        <v>1</v>
      </c>
      <c r="U3596" s="2" t="n">
        <f aca="false">INDEX(Summary!$Q$2:$Q$201,MATCH($B3596,Summary!$A$2:$A$201,0))</f>
        <v>12.47</v>
      </c>
      <c r="V3596" s="2" t="n">
        <f aca="false">INDEX(Summary!$R$2:$R$201,MATCH($B3596,Summary!$A$2:$A$201,0))</f>
        <v>21.42</v>
      </c>
      <c r="W3596" s="0" t="str">
        <f aca="false">INDEX(Summary!$S$2:$S$201,MATCH($B3596,Summary!$A$2:$A$201,0))</f>
        <v>Silver</v>
      </c>
      <c r="X3596" s="2" t="n">
        <f aca="false">INDEX(Summary!$T$2:$T$201,MATCH($B3596,Summary!$A$2:$A$201,0))</f>
        <v>52.24</v>
      </c>
      <c r="Y3596" s="0" t="str">
        <f aca="false">INDEX('Reward Model'!$E$18:$E$37,MATCH($E3596,'Reward Model'!$A$18:$A$37,0))</f>
        <v>Medium</v>
      </c>
      <c r="Z3596" s="4" t="n">
        <f aca="false">ROUND(MIN(1,MAX('Reward Model'!$B$2,INDEX('Reward Model'!$C$12:$C$14,MATCH($K3596,'Reward Model'!$A$12:$A$14,0))/$J3596)),3)</f>
        <v>1</v>
      </c>
      <c r="AA3596" s="2" t="n">
        <f aca="false">IF($I3596="Correct",ROUND(INDEX('Reward Model'!$B$12:$B$14,MATCH($K3596,'Reward Model'!$A$12:$A$14,0))*Z3596,2),0)</f>
        <v>2</v>
      </c>
      <c r="AB3596" s="2" t="n">
        <f aca="false">IF($I3596="Correct",ROUND(INDEX('Reward Model'!$B$12:$B$14,MATCH($Y3596,'Reward Model'!$A$12:$A$14,0))*Z3596,2),0)</f>
        <v>2</v>
      </c>
    </row>
    <row r="3597" customFormat="false" ht="15" hidden="false" customHeight="false" outlineLevel="0" collapsed="false">
      <c r="A3597" s="0" t="s">
        <v>490</v>
      </c>
      <c r="B3597" s="0" t="s">
        <v>491</v>
      </c>
      <c r="C3597" s="0" t="s">
        <v>322</v>
      </c>
      <c r="D3597" s="0" t="s">
        <v>275</v>
      </c>
      <c r="E3597" s="0" t="n">
        <v>16</v>
      </c>
      <c r="F3597" s="0" t="s">
        <v>71</v>
      </c>
      <c r="G3597" s="0" t="s">
        <v>87</v>
      </c>
      <c r="H3597" s="0" t="s">
        <v>72</v>
      </c>
      <c r="I3597" s="0" t="s">
        <v>39</v>
      </c>
      <c r="J3597" s="0" t="n">
        <v>1.97</v>
      </c>
      <c r="K3597" s="0" t="s">
        <v>73</v>
      </c>
      <c r="L3597" s="0" t="n">
        <f aca="false">INDEX(Summary!$F$2:$F$201,MATCH($B3597,Summary!$A$2:$A$201,0))</f>
        <v>20</v>
      </c>
      <c r="M3597" s="0" t="n">
        <f aca="false">INDEX(Summary!$I$2:$I$201,MATCH($B3597,Summary!$A$2:$A$201,0))</f>
        <v>1</v>
      </c>
      <c r="N3597" s="0" t="n">
        <f aca="false">INDEX(Summary!$J$2:$J$201,MATCH($B3597,Summary!$A$2:$A$201,0))</f>
        <v>4</v>
      </c>
      <c r="O3597" s="2" t="n">
        <f aca="false">INDEX(Summary!$K$2:$K$201,MATCH($B3597,Summary!$A$2:$A$201,0))</f>
        <v>8.1</v>
      </c>
      <c r="P3597" s="3" t="n">
        <f aca="false">INDEX(Summary!$L$2:$L$201,MATCH($B3597,Summary!$A$2:$A$201,0))</f>
        <v>3</v>
      </c>
      <c r="Q3597" s="3" t="n">
        <f aca="false">INDEX(Summary!$M$2:$M$201,MATCH($B3597,Summary!$A$2:$A$201,0))</f>
        <v>3</v>
      </c>
      <c r="R3597" s="2" t="n">
        <f aca="false">INDEX(Summary!$N$2:$N$201,MATCH($B3597,Summary!$A$2:$A$201,0))</f>
        <v>9.99</v>
      </c>
      <c r="S3597" s="3" t="n">
        <f aca="false">INDEX(Summary!$O$2:$O$201,MATCH($B3597,Summary!$A$2:$A$201,0))</f>
        <v>8</v>
      </c>
      <c r="T3597" s="3" t="n">
        <f aca="false">INDEX(Summary!$P$2:$P$201,MATCH($B3597,Summary!$A$2:$A$201,0))</f>
        <v>1</v>
      </c>
      <c r="U3597" s="2" t="n">
        <f aca="false">INDEX(Summary!$Q$2:$Q$201,MATCH($B3597,Summary!$A$2:$A$201,0))</f>
        <v>12.47</v>
      </c>
      <c r="V3597" s="2" t="n">
        <f aca="false">INDEX(Summary!$R$2:$R$201,MATCH($B3597,Summary!$A$2:$A$201,0))</f>
        <v>21.42</v>
      </c>
      <c r="W3597" s="0" t="str">
        <f aca="false">INDEX(Summary!$S$2:$S$201,MATCH($B3597,Summary!$A$2:$A$201,0))</f>
        <v>Silver</v>
      </c>
      <c r="X3597" s="2" t="n">
        <f aca="false">INDEX(Summary!$T$2:$T$201,MATCH($B3597,Summary!$A$2:$A$201,0))</f>
        <v>52.24</v>
      </c>
      <c r="Y3597" s="0" t="str">
        <f aca="false">INDEX('Reward Model'!$E$18:$E$37,MATCH($E3597,'Reward Model'!$A$18:$A$37,0))</f>
        <v>High</v>
      </c>
      <c r="Z3597" s="4" t="n">
        <f aca="false">ROUND(MIN(1,MAX('Reward Model'!$B$2,INDEX('Reward Model'!$C$12:$C$14,MATCH($K3597,'Reward Model'!$A$12:$A$14,0))/$J3597)),3)</f>
        <v>1</v>
      </c>
      <c r="AA3597" s="2" t="n">
        <f aca="false">IF($I3597="Correct",ROUND(INDEX('Reward Model'!$B$12:$B$14,MATCH($K3597,'Reward Model'!$A$12:$A$14,0))*Z3597,2),0)</f>
        <v>0</v>
      </c>
      <c r="AB3597" s="2" t="n">
        <f aca="false">IF($I3597="Correct",ROUND(INDEX('Reward Model'!$B$12:$B$14,MATCH($Y3597,'Reward Model'!$A$12:$A$14,0))*Z3597,2),0)</f>
        <v>0</v>
      </c>
    </row>
    <row r="3598" customFormat="false" ht="15" hidden="false" customHeight="false" outlineLevel="0" collapsed="false">
      <c r="A3598" s="0" t="s">
        <v>490</v>
      </c>
      <c r="B3598" s="0" t="s">
        <v>491</v>
      </c>
      <c r="C3598" s="0" t="s">
        <v>322</v>
      </c>
      <c r="D3598" s="0" t="s">
        <v>275</v>
      </c>
      <c r="E3598" s="0" t="n">
        <v>17</v>
      </c>
      <c r="F3598" s="0" t="s">
        <v>74</v>
      </c>
      <c r="G3598" s="0" t="s">
        <v>105</v>
      </c>
      <c r="H3598" s="0" t="s">
        <v>75</v>
      </c>
      <c r="I3598" s="0" t="s">
        <v>39</v>
      </c>
      <c r="J3598" s="0" t="n">
        <v>1.5</v>
      </c>
      <c r="K3598" s="0" t="s">
        <v>73</v>
      </c>
      <c r="L3598" s="0" t="n">
        <f aca="false">INDEX(Summary!$F$2:$F$201,MATCH($B3598,Summary!$A$2:$A$201,0))</f>
        <v>20</v>
      </c>
      <c r="M3598" s="0" t="n">
        <f aca="false">INDEX(Summary!$I$2:$I$201,MATCH($B3598,Summary!$A$2:$A$201,0))</f>
        <v>1</v>
      </c>
      <c r="N3598" s="0" t="n">
        <f aca="false">INDEX(Summary!$J$2:$J$201,MATCH($B3598,Summary!$A$2:$A$201,0))</f>
        <v>4</v>
      </c>
      <c r="O3598" s="2" t="n">
        <f aca="false">INDEX(Summary!$K$2:$K$201,MATCH($B3598,Summary!$A$2:$A$201,0))</f>
        <v>8.1</v>
      </c>
      <c r="P3598" s="3" t="n">
        <f aca="false">INDEX(Summary!$L$2:$L$201,MATCH($B3598,Summary!$A$2:$A$201,0))</f>
        <v>3</v>
      </c>
      <c r="Q3598" s="3" t="n">
        <f aca="false">INDEX(Summary!$M$2:$M$201,MATCH($B3598,Summary!$A$2:$A$201,0))</f>
        <v>3</v>
      </c>
      <c r="R3598" s="2" t="n">
        <f aca="false">INDEX(Summary!$N$2:$N$201,MATCH($B3598,Summary!$A$2:$A$201,0))</f>
        <v>9.99</v>
      </c>
      <c r="S3598" s="3" t="n">
        <f aca="false">INDEX(Summary!$O$2:$O$201,MATCH($B3598,Summary!$A$2:$A$201,0))</f>
        <v>8</v>
      </c>
      <c r="T3598" s="3" t="n">
        <f aca="false">INDEX(Summary!$P$2:$P$201,MATCH($B3598,Summary!$A$2:$A$201,0))</f>
        <v>1</v>
      </c>
      <c r="U3598" s="2" t="n">
        <f aca="false">INDEX(Summary!$Q$2:$Q$201,MATCH($B3598,Summary!$A$2:$A$201,0))</f>
        <v>12.47</v>
      </c>
      <c r="V3598" s="2" t="n">
        <f aca="false">INDEX(Summary!$R$2:$R$201,MATCH($B3598,Summary!$A$2:$A$201,0))</f>
        <v>21.42</v>
      </c>
      <c r="W3598" s="0" t="str">
        <f aca="false">INDEX(Summary!$S$2:$S$201,MATCH($B3598,Summary!$A$2:$A$201,0))</f>
        <v>Silver</v>
      </c>
      <c r="X3598" s="2" t="n">
        <f aca="false">INDEX(Summary!$T$2:$T$201,MATCH($B3598,Summary!$A$2:$A$201,0))</f>
        <v>52.24</v>
      </c>
      <c r="Y3598" s="0" t="str">
        <f aca="false">INDEX('Reward Model'!$E$18:$E$37,MATCH($E3598,'Reward Model'!$A$18:$A$37,0))</f>
        <v>High</v>
      </c>
      <c r="Z3598" s="4" t="n">
        <f aca="false">ROUND(MIN(1,MAX('Reward Model'!$B$2,INDEX('Reward Model'!$C$12:$C$14,MATCH($K3598,'Reward Model'!$A$12:$A$14,0))/$J3598)),3)</f>
        <v>1</v>
      </c>
      <c r="AA3598" s="2" t="n">
        <f aca="false">IF($I3598="Correct",ROUND(INDEX('Reward Model'!$B$12:$B$14,MATCH($K3598,'Reward Model'!$A$12:$A$14,0))*Z3598,2),0)</f>
        <v>0</v>
      </c>
      <c r="AB3598" s="2" t="n">
        <f aca="false">IF($I3598="Correct",ROUND(INDEX('Reward Model'!$B$12:$B$14,MATCH($Y3598,'Reward Model'!$A$12:$A$14,0))*Z3598,2),0)</f>
        <v>0</v>
      </c>
    </row>
    <row r="3599" customFormat="false" ht="15" hidden="false" customHeight="false" outlineLevel="0" collapsed="false">
      <c r="A3599" s="0" t="s">
        <v>490</v>
      </c>
      <c r="B3599" s="0" t="s">
        <v>491</v>
      </c>
      <c r="C3599" s="0" t="s">
        <v>322</v>
      </c>
      <c r="D3599" s="0" t="s">
        <v>275</v>
      </c>
      <c r="E3599" s="0" t="n">
        <v>18</v>
      </c>
      <c r="F3599" s="0" t="s">
        <v>76</v>
      </c>
      <c r="G3599" s="0" t="s">
        <v>77</v>
      </c>
      <c r="H3599" s="0" t="s">
        <v>77</v>
      </c>
      <c r="I3599" s="0" t="s">
        <v>34</v>
      </c>
      <c r="J3599" s="0" t="n">
        <v>1.41</v>
      </c>
      <c r="K3599" s="0" t="s">
        <v>73</v>
      </c>
      <c r="L3599" s="0" t="n">
        <f aca="false">INDEX(Summary!$F$2:$F$201,MATCH($B3599,Summary!$A$2:$A$201,0))</f>
        <v>20</v>
      </c>
      <c r="M3599" s="0" t="n">
        <f aca="false">INDEX(Summary!$I$2:$I$201,MATCH($B3599,Summary!$A$2:$A$201,0))</f>
        <v>1</v>
      </c>
      <c r="N3599" s="0" t="n">
        <f aca="false">INDEX(Summary!$J$2:$J$201,MATCH($B3599,Summary!$A$2:$A$201,0))</f>
        <v>4</v>
      </c>
      <c r="O3599" s="2" t="n">
        <f aca="false">INDEX(Summary!$K$2:$K$201,MATCH($B3599,Summary!$A$2:$A$201,0))</f>
        <v>8.1</v>
      </c>
      <c r="P3599" s="3" t="n">
        <f aca="false">INDEX(Summary!$L$2:$L$201,MATCH($B3599,Summary!$A$2:$A$201,0))</f>
        <v>3</v>
      </c>
      <c r="Q3599" s="3" t="n">
        <f aca="false">INDEX(Summary!$M$2:$M$201,MATCH($B3599,Summary!$A$2:$A$201,0))</f>
        <v>3</v>
      </c>
      <c r="R3599" s="2" t="n">
        <f aca="false">INDEX(Summary!$N$2:$N$201,MATCH($B3599,Summary!$A$2:$A$201,0))</f>
        <v>9.99</v>
      </c>
      <c r="S3599" s="3" t="n">
        <f aca="false">INDEX(Summary!$O$2:$O$201,MATCH($B3599,Summary!$A$2:$A$201,0))</f>
        <v>8</v>
      </c>
      <c r="T3599" s="3" t="n">
        <f aca="false">INDEX(Summary!$P$2:$P$201,MATCH($B3599,Summary!$A$2:$A$201,0))</f>
        <v>1</v>
      </c>
      <c r="U3599" s="2" t="n">
        <f aca="false">INDEX(Summary!$Q$2:$Q$201,MATCH($B3599,Summary!$A$2:$A$201,0))</f>
        <v>12.47</v>
      </c>
      <c r="V3599" s="2" t="n">
        <f aca="false">INDEX(Summary!$R$2:$R$201,MATCH($B3599,Summary!$A$2:$A$201,0))</f>
        <v>21.42</v>
      </c>
      <c r="W3599" s="0" t="str">
        <f aca="false">INDEX(Summary!$S$2:$S$201,MATCH($B3599,Summary!$A$2:$A$201,0))</f>
        <v>Silver</v>
      </c>
      <c r="X3599" s="2" t="n">
        <f aca="false">INDEX(Summary!$T$2:$T$201,MATCH($B3599,Summary!$A$2:$A$201,0))</f>
        <v>52.24</v>
      </c>
      <c r="Y3599" s="0" t="str">
        <f aca="false">INDEX('Reward Model'!$E$18:$E$37,MATCH($E3599,'Reward Model'!$A$18:$A$37,0))</f>
        <v>High</v>
      </c>
      <c r="Z3599" s="4" t="n">
        <f aca="false">ROUND(MIN(1,MAX('Reward Model'!$B$2,INDEX('Reward Model'!$C$12:$C$14,MATCH($K3599,'Reward Model'!$A$12:$A$14,0))/$J3599)),3)</f>
        <v>1</v>
      </c>
      <c r="AA3599" s="2" t="n">
        <f aca="false">IF($I3599="Correct",ROUND(INDEX('Reward Model'!$B$12:$B$14,MATCH($K3599,'Reward Model'!$A$12:$A$14,0))*Z3599,2),0)</f>
        <v>3</v>
      </c>
      <c r="AB3599" s="2" t="n">
        <f aca="false">IF($I3599="Correct",ROUND(INDEX('Reward Model'!$B$12:$B$14,MATCH($Y3599,'Reward Model'!$A$12:$A$14,0))*Z3599,2),0)</f>
        <v>3</v>
      </c>
    </row>
    <row r="3600" customFormat="false" ht="15" hidden="false" customHeight="false" outlineLevel="0" collapsed="false">
      <c r="A3600" s="0" t="s">
        <v>490</v>
      </c>
      <c r="B3600" s="0" t="s">
        <v>491</v>
      </c>
      <c r="C3600" s="0" t="s">
        <v>322</v>
      </c>
      <c r="D3600" s="0" t="s">
        <v>275</v>
      </c>
      <c r="E3600" s="0" t="n">
        <v>19</v>
      </c>
      <c r="F3600" s="0" t="s">
        <v>78</v>
      </c>
      <c r="G3600" s="0" t="s">
        <v>79</v>
      </c>
      <c r="H3600" s="0" t="s">
        <v>80</v>
      </c>
      <c r="I3600" s="0" t="s">
        <v>39</v>
      </c>
      <c r="J3600" s="0" t="n">
        <v>1.94</v>
      </c>
      <c r="K3600" s="0" t="s">
        <v>73</v>
      </c>
      <c r="L3600" s="0" t="n">
        <f aca="false">INDEX(Summary!$F$2:$F$201,MATCH($B3600,Summary!$A$2:$A$201,0))</f>
        <v>20</v>
      </c>
      <c r="M3600" s="0" t="n">
        <f aca="false">INDEX(Summary!$I$2:$I$201,MATCH($B3600,Summary!$A$2:$A$201,0))</f>
        <v>1</v>
      </c>
      <c r="N3600" s="0" t="n">
        <f aca="false">INDEX(Summary!$J$2:$J$201,MATCH($B3600,Summary!$A$2:$A$201,0))</f>
        <v>4</v>
      </c>
      <c r="O3600" s="2" t="n">
        <f aca="false">INDEX(Summary!$K$2:$K$201,MATCH($B3600,Summary!$A$2:$A$201,0))</f>
        <v>8.1</v>
      </c>
      <c r="P3600" s="3" t="n">
        <f aca="false">INDEX(Summary!$L$2:$L$201,MATCH($B3600,Summary!$A$2:$A$201,0))</f>
        <v>3</v>
      </c>
      <c r="Q3600" s="3" t="n">
        <f aca="false">INDEX(Summary!$M$2:$M$201,MATCH($B3600,Summary!$A$2:$A$201,0))</f>
        <v>3</v>
      </c>
      <c r="R3600" s="2" t="n">
        <f aca="false">INDEX(Summary!$N$2:$N$201,MATCH($B3600,Summary!$A$2:$A$201,0))</f>
        <v>9.99</v>
      </c>
      <c r="S3600" s="3" t="n">
        <f aca="false">INDEX(Summary!$O$2:$O$201,MATCH($B3600,Summary!$A$2:$A$201,0))</f>
        <v>8</v>
      </c>
      <c r="T3600" s="3" t="n">
        <f aca="false">INDEX(Summary!$P$2:$P$201,MATCH($B3600,Summary!$A$2:$A$201,0))</f>
        <v>1</v>
      </c>
      <c r="U3600" s="2" t="n">
        <f aca="false">INDEX(Summary!$Q$2:$Q$201,MATCH($B3600,Summary!$A$2:$A$201,0))</f>
        <v>12.47</v>
      </c>
      <c r="V3600" s="2" t="n">
        <f aca="false">INDEX(Summary!$R$2:$R$201,MATCH($B3600,Summary!$A$2:$A$201,0))</f>
        <v>21.42</v>
      </c>
      <c r="W3600" s="0" t="str">
        <f aca="false">INDEX(Summary!$S$2:$S$201,MATCH($B3600,Summary!$A$2:$A$201,0))</f>
        <v>Silver</v>
      </c>
      <c r="X3600" s="2" t="n">
        <f aca="false">INDEX(Summary!$T$2:$T$201,MATCH($B3600,Summary!$A$2:$A$201,0))</f>
        <v>52.24</v>
      </c>
      <c r="Y3600" s="0" t="str">
        <f aca="false">INDEX('Reward Model'!$E$18:$E$37,MATCH($E3600,'Reward Model'!$A$18:$A$37,0))</f>
        <v>High</v>
      </c>
      <c r="Z3600" s="4" t="n">
        <f aca="false">ROUND(MIN(1,MAX('Reward Model'!$B$2,INDEX('Reward Model'!$C$12:$C$14,MATCH($K3600,'Reward Model'!$A$12:$A$14,0))/$J3600)),3)</f>
        <v>1</v>
      </c>
      <c r="AA3600" s="2" t="n">
        <f aca="false">IF($I3600="Correct",ROUND(INDEX('Reward Model'!$B$12:$B$14,MATCH($K3600,'Reward Model'!$A$12:$A$14,0))*Z3600,2),0)</f>
        <v>0</v>
      </c>
      <c r="AB3600" s="2" t="n">
        <f aca="false">IF($I3600="Correct",ROUND(INDEX('Reward Model'!$B$12:$B$14,MATCH($Y3600,'Reward Model'!$A$12:$A$14,0))*Z3600,2),0)</f>
        <v>0</v>
      </c>
    </row>
    <row r="3601" customFormat="false" ht="15" hidden="false" customHeight="false" outlineLevel="0" collapsed="false">
      <c r="A3601" s="0" t="s">
        <v>490</v>
      </c>
      <c r="B3601" s="0" t="s">
        <v>491</v>
      </c>
      <c r="C3601" s="0" t="s">
        <v>322</v>
      </c>
      <c r="D3601" s="0" t="s">
        <v>275</v>
      </c>
      <c r="E3601" s="0" t="n">
        <v>20</v>
      </c>
      <c r="F3601" s="0" t="s">
        <v>81</v>
      </c>
      <c r="G3601" s="0" t="s">
        <v>166</v>
      </c>
      <c r="H3601" s="0" t="s">
        <v>83</v>
      </c>
      <c r="I3601" s="0" t="s">
        <v>39</v>
      </c>
      <c r="J3601" s="0" t="n">
        <v>1.28</v>
      </c>
      <c r="K3601" s="0" t="s">
        <v>73</v>
      </c>
      <c r="L3601" s="0" t="n">
        <f aca="false">INDEX(Summary!$F$2:$F$201,MATCH($B3601,Summary!$A$2:$A$201,0))</f>
        <v>20</v>
      </c>
      <c r="M3601" s="0" t="n">
        <f aca="false">INDEX(Summary!$I$2:$I$201,MATCH($B3601,Summary!$A$2:$A$201,0))</f>
        <v>1</v>
      </c>
      <c r="N3601" s="0" t="n">
        <f aca="false">INDEX(Summary!$J$2:$J$201,MATCH($B3601,Summary!$A$2:$A$201,0))</f>
        <v>4</v>
      </c>
      <c r="O3601" s="2" t="n">
        <f aca="false">INDEX(Summary!$K$2:$K$201,MATCH($B3601,Summary!$A$2:$A$201,0))</f>
        <v>8.1</v>
      </c>
      <c r="P3601" s="3" t="n">
        <f aca="false">INDEX(Summary!$L$2:$L$201,MATCH($B3601,Summary!$A$2:$A$201,0))</f>
        <v>3</v>
      </c>
      <c r="Q3601" s="3" t="n">
        <f aca="false">INDEX(Summary!$M$2:$M$201,MATCH($B3601,Summary!$A$2:$A$201,0))</f>
        <v>3</v>
      </c>
      <c r="R3601" s="2" t="n">
        <f aca="false">INDEX(Summary!$N$2:$N$201,MATCH($B3601,Summary!$A$2:$A$201,0))</f>
        <v>9.99</v>
      </c>
      <c r="S3601" s="3" t="n">
        <f aca="false">INDEX(Summary!$O$2:$O$201,MATCH($B3601,Summary!$A$2:$A$201,0))</f>
        <v>8</v>
      </c>
      <c r="T3601" s="3" t="n">
        <f aca="false">INDEX(Summary!$P$2:$P$201,MATCH($B3601,Summary!$A$2:$A$201,0))</f>
        <v>1</v>
      </c>
      <c r="U3601" s="2" t="n">
        <f aca="false">INDEX(Summary!$Q$2:$Q$201,MATCH($B3601,Summary!$A$2:$A$201,0))</f>
        <v>12.47</v>
      </c>
      <c r="V3601" s="2" t="n">
        <f aca="false">INDEX(Summary!$R$2:$R$201,MATCH($B3601,Summary!$A$2:$A$201,0))</f>
        <v>21.42</v>
      </c>
      <c r="W3601" s="0" t="str">
        <f aca="false">INDEX(Summary!$S$2:$S$201,MATCH($B3601,Summary!$A$2:$A$201,0))</f>
        <v>Silver</v>
      </c>
      <c r="X3601" s="2" t="n">
        <f aca="false">INDEX(Summary!$T$2:$T$201,MATCH($B3601,Summary!$A$2:$A$201,0))</f>
        <v>52.24</v>
      </c>
      <c r="Y3601" s="0" t="str">
        <f aca="false">INDEX('Reward Model'!$E$18:$E$37,MATCH($E3601,'Reward Model'!$A$18:$A$37,0))</f>
        <v>High</v>
      </c>
      <c r="Z3601" s="4" t="n">
        <f aca="false">ROUND(MIN(1,MAX('Reward Model'!$B$2,INDEX('Reward Model'!$C$12:$C$14,MATCH($K3601,'Reward Model'!$A$12:$A$14,0))/$J3601)),3)</f>
        <v>1</v>
      </c>
      <c r="AA3601" s="2" t="n">
        <f aca="false">IF($I3601="Correct",ROUND(INDEX('Reward Model'!$B$12:$B$14,MATCH($K3601,'Reward Model'!$A$12:$A$14,0))*Z3601,2),0)</f>
        <v>0</v>
      </c>
      <c r="AB3601" s="2" t="n">
        <f aca="false">IF($I3601="Correct",ROUND(INDEX('Reward Model'!$B$12:$B$14,MATCH($Y3601,'Reward Model'!$A$12:$A$14,0))*Z3601,2),0)</f>
        <v>0</v>
      </c>
    </row>
    <row r="3602" customFormat="false" ht="15" hidden="false" customHeight="false" outlineLevel="0" collapsed="false">
      <c r="A3602" s="0" t="s">
        <v>492</v>
      </c>
      <c r="B3602" s="0" t="s">
        <v>493</v>
      </c>
      <c r="C3602" s="0" t="s">
        <v>322</v>
      </c>
      <c r="D3602" s="0" t="s">
        <v>275</v>
      </c>
      <c r="E3602" s="0" t="n">
        <v>1</v>
      </c>
      <c r="F3602" s="0" t="s">
        <v>32</v>
      </c>
      <c r="G3602" s="0" t="s">
        <v>33</v>
      </c>
      <c r="H3602" s="0" t="s">
        <v>33</v>
      </c>
      <c r="I3602" s="0" t="s">
        <v>34</v>
      </c>
      <c r="J3602" s="0" t="n">
        <v>0.95</v>
      </c>
      <c r="K3602" s="0" t="s">
        <v>35</v>
      </c>
      <c r="L3602" s="0" t="n">
        <f aca="false">INDEX(Summary!$F$2:$F$201,MATCH($B3602,Summary!$A$2:$A$201,0))</f>
        <v>20</v>
      </c>
      <c r="M3602" s="0" t="n">
        <f aca="false">INDEX(Summary!$I$2:$I$201,MATCH($B3602,Summary!$A$2:$A$201,0))</f>
        <v>4</v>
      </c>
      <c r="N3602" s="0" t="n">
        <f aca="false">INDEX(Summary!$J$2:$J$201,MATCH($B3602,Summary!$A$2:$A$201,0))</f>
        <v>1</v>
      </c>
      <c r="O3602" s="2" t="n">
        <f aca="false">INDEX(Summary!$K$2:$K$201,MATCH($B3602,Summary!$A$2:$A$201,0))</f>
        <v>7.81</v>
      </c>
      <c r="P3602" s="3" t="n">
        <f aca="false">INDEX(Summary!$L$2:$L$201,MATCH($B3602,Summary!$A$2:$A$201,0))</f>
        <v>5</v>
      </c>
      <c r="Q3602" s="3" t="n">
        <f aca="false">INDEX(Summary!$M$2:$M$201,MATCH($B3602,Summary!$A$2:$A$201,0))</f>
        <v>1</v>
      </c>
      <c r="R3602" s="2" t="n">
        <f aca="false">INDEX(Summary!$N$2:$N$201,MATCH($B3602,Summary!$A$2:$A$201,0))</f>
        <v>9.16</v>
      </c>
      <c r="S3602" s="3" t="n">
        <f aca="false">INDEX(Summary!$O$2:$O$201,MATCH($B3602,Summary!$A$2:$A$201,0))</f>
        <v>8</v>
      </c>
      <c r="T3602" s="3" t="n">
        <f aca="false">INDEX(Summary!$P$2:$P$201,MATCH($B3602,Summary!$A$2:$A$201,0))</f>
        <v>1</v>
      </c>
      <c r="U3602" s="2" t="n">
        <f aca="false">INDEX(Summary!$Q$2:$Q$201,MATCH($B3602,Summary!$A$2:$A$201,0))</f>
        <v>13.56</v>
      </c>
      <c r="V3602" s="2" t="n">
        <f aca="false">INDEX(Summary!$R$2:$R$201,MATCH($B3602,Summary!$A$2:$A$201,0))</f>
        <v>33.68</v>
      </c>
      <c r="W3602" s="0" t="str">
        <f aca="false">INDEX(Summary!$S$2:$S$201,MATCH($B3602,Summary!$A$2:$A$201,0))</f>
        <v>Gold</v>
      </c>
      <c r="X3602" s="2" t="n">
        <f aca="false">INDEX(Summary!$T$2:$T$201,MATCH($B3602,Summary!$A$2:$A$201,0))</f>
        <v>82.15</v>
      </c>
      <c r="Y3602" s="0" t="str">
        <f aca="false">INDEX('Reward Model'!$E$18:$E$37,MATCH($E3602,'Reward Model'!$A$18:$A$37,0))</f>
        <v>Medium</v>
      </c>
      <c r="Z3602" s="4" t="n">
        <f aca="false">ROUND(MIN(1,MAX('Reward Model'!$B$2,INDEX('Reward Model'!$C$12:$C$14,MATCH($K3602,'Reward Model'!$A$12:$A$14,0))/$J3602)),3)</f>
        <v>1</v>
      </c>
      <c r="AA3602" s="2" t="n">
        <f aca="false">IF($I3602="Correct",ROUND(INDEX('Reward Model'!$B$12:$B$14,MATCH($K3602,'Reward Model'!$A$12:$A$14,0))*Z3602,2),0)</f>
        <v>1</v>
      </c>
      <c r="AB3602" s="2" t="n">
        <f aca="false">IF($I3602="Correct",ROUND(INDEX('Reward Model'!$B$12:$B$14,MATCH($Y3602,'Reward Model'!$A$12:$A$14,0))*Z3602,2),0)</f>
        <v>2</v>
      </c>
    </row>
    <row r="3603" customFormat="false" ht="15" hidden="false" customHeight="false" outlineLevel="0" collapsed="false">
      <c r="A3603" s="0" t="s">
        <v>492</v>
      </c>
      <c r="B3603" s="0" t="s">
        <v>493</v>
      </c>
      <c r="C3603" s="0" t="s">
        <v>322</v>
      </c>
      <c r="D3603" s="0" t="s">
        <v>275</v>
      </c>
      <c r="E3603" s="0" t="n">
        <v>2</v>
      </c>
      <c r="F3603" s="0" t="s">
        <v>36</v>
      </c>
      <c r="G3603" s="0" t="s">
        <v>38</v>
      </c>
      <c r="H3603" s="0" t="s">
        <v>38</v>
      </c>
      <c r="I3603" s="0" t="s">
        <v>34</v>
      </c>
      <c r="J3603" s="0" t="n">
        <v>1.51</v>
      </c>
      <c r="K3603" s="0" t="s">
        <v>35</v>
      </c>
      <c r="L3603" s="0" t="n">
        <f aca="false">INDEX(Summary!$F$2:$F$201,MATCH($B3603,Summary!$A$2:$A$201,0))</f>
        <v>20</v>
      </c>
      <c r="M3603" s="0" t="n">
        <f aca="false">INDEX(Summary!$I$2:$I$201,MATCH($B3603,Summary!$A$2:$A$201,0))</f>
        <v>4</v>
      </c>
      <c r="N3603" s="0" t="n">
        <f aca="false">INDEX(Summary!$J$2:$J$201,MATCH($B3603,Summary!$A$2:$A$201,0))</f>
        <v>1</v>
      </c>
      <c r="O3603" s="2" t="n">
        <f aca="false">INDEX(Summary!$K$2:$K$201,MATCH($B3603,Summary!$A$2:$A$201,0))</f>
        <v>7.81</v>
      </c>
      <c r="P3603" s="3" t="n">
        <f aca="false">INDEX(Summary!$L$2:$L$201,MATCH($B3603,Summary!$A$2:$A$201,0))</f>
        <v>5</v>
      </c>
      <c r="Q3603" s="3" t="n">
        <f aca="false">INDEX(Summary!$M$2:$M$201,MATCH($B3603,Summary!$A$2:$A$201,0))</f>
        <v>1</v>
      </c>
      <c r="R3603" s="2" t="n">
        <f aca="false">INDEX(Summary!$N$2:$N$201,MATCH($B3603,Summary!$A$2:$A$201,0))</f>
        <v>9.16</v>
      </c>
      <c r="S3603" s="3" t="n">
        <f aca="false">INDEX(Summary!$O$2:$O$201,MATCH($B3603,Summary!$A$2:$A$201,0))</f>
        <v>8</v>
      </c>
      <c r="T3603" s="3" t="n">
        <f aca="false">INDEX(Summary!$P$2:$P$201,MATCH($B3603,Summary!$A$2:$A$201,0))</f>
        <v>1</v>
      </c>
      <c r="U3603" s="2" t="n">
        <f aca="false">INDEX(Summary!$Q$2:$Q$201,MATCH($B3603,Summary!$A$2:$A$201,0))</f>
        <v>13.56</v>
      </c>
      <c r="V3603" s="2" t="n">
        <f aca="false">INDEX(Summary!$R$2:$R$201,MATCH($B3603,Summary!$A$2:$A$201,0))</f>
        <v>33.68</v>
      </c>
      <c r="W3603" s="0" t="str">
        <f aca="false">INDEX(Summary!$S$2:$S$201,MATCH($B3603,Summary!$A$2:$A$201,0))</f>
        <v>Gold</v>
      </c>
      <c r="X3603" s="2" t="n">
        <f aca="false">INDEX(Summary!$T$2:$T$201,MATCH($B3603,Summary!$A$2:$A$201,0))</f>
        <v>82.15</v>
      </c>
      <c r="Y3603" s="0" t="str">
        <f aca="false">INDEX('Reward Model'!$E$18:$E$37,MATCH($E3603,'Reward Model'!$A$18:$A$37,0))</f>
        <v>Low</v>
      </c>
      <c r="Z3603" s="4" t="n">
        <f aca="false">ROUND(MIN(1,MAX('Reward Model'!$B$2,INDEX('Reward Model'!$C$12:$C$14,MATCH($K3603,'Reward Model'!$A$12:$A$14,0))/$J3603)),3)</f>
        <v>0.993</v>
      </c>
      <c r="AA3603" s="2" t="n">
        <f aca="false">IF($I3603="Correct",ROUND(INDEX('Reward Model'!$B$12:$B$14,MATCH($K3603,'Reward Model'!$A$12:$A$14,0))*Z3603,2),0)</f>
        <v>0.99</v>
      </c>
      <c r="AB3603" s="2" t="n">
        <f aca="false">IF($I3603="Correct",ROUND(INDEX('Reward Model'!$B$12:$B$14,MATCH($Y3603,'Reward Model'!$A$12:$A$14,0))*Z3603,2),0)</f>
        <v>0.99</v>
      </c>
    </row>
    <row r="3604" customFormat="false" ht="15" hidden="false" customHeight="false" outlineLevel="0" collapsed="false">
      <c r="A3604" s="0" t="s">
        <v>492</v>
      </c>
      <c r="B3604" s="0" t="s">
        <v>493</v>
      </c>
      <c r="C3604" s="0" t="s">
        <v>322</v>
      </c>
      <c r="D3604" s="0" t="s">
        <v>275</v>
      </c>
      <c r="E3604" s="0" t="n">
        <v>3</v>
      </c>
      <c r="F3604" s="0" t="s">
        <v>40</v>
      </c>
      <c r="G3604" s="0" t="s">
        <v>42</v>
      </c>
      <c r="H3604" s="0" t="s">
        <v>42</v>
      </c>
      <c r="I3604" s="0" t="s">
        <v>34</v>
      </c>
      <c r="J3604" s="0" t="n">
        <v>1.18</v>
      </c>
      <c r="K3604" s="0" t="s">
        <v>35</v>
      </c>
      <c r="L3604" s="0" t="n">
        <f aca="false">INDEX(Summary!$F$2:$F$201,MATCH($B3604,Summary!$A$2:$A$201,0))</f>
        <v>20</v>
      </c>
      <c r="M3604" s="0" t="n">
        <f aca="false">INDEX(Summary!$I$2:$I$201,MATCH($B3604,Summary!$A$2:$A$201,0))</f>
        <v>4</v>
      </c>
      <c r="N3604" s="0" t="n">
        <f aca="false">INDEX(Summary!$J$2:$J$201,MATCH($B3604,Summary!$A$2:$A$201,0))</f>
        <v>1</v>
      </c>
      <c r="O3604" s="2" t="n">
        <f aca="false">INDEX(Summary!$K$2:$K$201,MATCH($B3604,Summary!$A$2:$A$201,0))</f>
        <v>7.81</v>
      </c>
      <c r="P3604" s="3" t="n">
        <f aca="false">INDEX(Summary!$L$2:$L$201,MATCH($B3604,Summary!$A$2:$A$201,0))</f>
        <v>5</v>
      </c>
      <c r="Q3604" s="3" t="n">
        <f aca="false">INDEX(Summary!$M$2:$M$201,MATCH($B3604,Summary!$A$2:$A$201,0))</f>
        <v>1</v>
      </c>
      <c r="R3604" s="2" t="n">
        <f aca="false">INDEX(Summary!$N$2:$N$201,MATCH($B3604,Summary!$A$2:$A$201,0))</f>
        <v>9.16</v>
      </c>
      <c r="S3604" s="3" t="n">
        <f aca="false">INDEX(Summary!$O$2:$O$201,MATCH($B3604,Summary!$A$2:$A$201,0))</f>
        <v>8</v>
      </c>
      <c r="T3604" s="3" t="n">
        <f aca="false">INDEX(Summary!$P$2:$P$201,MATCH($B3604,Summary!$A$2:$A$201,0))</f>
        <v>1</v>
      </c>
      <c r="U3604" s="2" t="n">
        <f aca="false">INDEX(Summary!$Q$2:$Q$201,MATCH($B3604,Summary!$A$2:$A$201,0))</f>
        <v>13.56</v>
      </c>
      <c r="V3604" s="2" t="n">
        <f aca="false">INDEX(Summary!$R$2:$R$201,MATCH($B3604,Summary!$A$2:$A$201,0))</f>
        <v>33.68</v>
      </c>
      <c r="W3604" s="0" t="str">
        <f aca="false">INDEX(Summary!$S$2:$S$201,MATCH($B3604,Summary!$A$2:$A$201,0))</f>
        <v>Gold</v>
      </c>
      <c r="X3604" s="2" t="n">
        <f aca="false">INDEX(Summary!$T$2:$T$201,MATCH($B3604,Summary!$A$2:$A$201,0))</f>
        <v>82.15</v>
      </c>
      <c r="Y3604" s="0" t="str">
        <f aca="false">INDEX('Reward Model'!$E$18:$E$37,MATCH($E3604,'Reward Model'!$A$18:$A$37,0))</f>
        <v>Medium</v>
      </c>
      <c r="Z3604" s="4" t="n">
        <f aca="false">ROUND(MIN(1,MAX('Reward Model'!$B$2,INDEX('Reward Model'!$C$12:$C$14,MATCH($K3604,'Reward Model'!$A$12:$A$14,0))/$J3604)),3)</f>
        <v>1</v>
      </c>
      <c r="AA3604" s="2" t="n">
        <f aca="false">IF($I3604="Correct",ROUND(INDEX('Reward Model'!$B$12:$B$14,MATCH($K3604,'Reward Model'!$A$12:$A$14,0))*Z3604,2),0)</f>
        <v>1</v>
      </c>
      <c r="AB3604" s="2" t="n">
        <f aca="false">IF($I3604="Correct",ROUND(INDEX('Reward Model'!$B$12:$B$14,MATCH($Y3604,'Reward Model'!$A$12:$A$14,0))*Z3604,2),0)</f>
        <v>2</v>
      </c>
    </row>
    <row r="3605" customFormat="false" ht="15" hidden="false" customHeight="false" outlineLevel="0" collapsed="false">
      <c r="A3605" s="0" t="s">
        <v>492</v>
      </c>
      <c r="B3605" s="0" t="s">
        <v>493</v>
      </c>
      <c r="C3605" s="0" t="s">
        <v>322</v>
      </c>
      <c r="D3605" s="0" t="s">
        <v>275</v>
      </c>
      <c r="E3605" s="0" t="n">
        <v>4</v>
      </c>
      <c r="F3605" s="0" t="s">
        <v>43</v>
      </c>
      <c r="G3605" s="0" t="s">
        <v>44</v>
      </c>
      <c r="H3605" s="0" t="s">
        <v>45</v>
      </c>
      <c r="I3605" s="0" t="s">
        <v>39</v>
      </c>
      <c r="J3605" s="0" t="n">
        <v>1.81</v>
      </c>
      <c r="K3605" s="0" t="s">
        <v>35</v>
      </c>
      <c r="L3605" s="0" t="n">
        <f aca="false">INDEX(Summary!$F$2:$F$201,MATCH($B3605,Summary!$A$2:$A$201,0))</f>
        <v>20</v>
      </c>
      <c r="M3605" s="0" t="n">
        <f aca="false">INDEX(Summary!$I$2:$I$201,MATCH($B3605,Summary!$A$2:$A$201,0))</f>
        <v>4</v>
      </c>
      <c r="N3605" s="0" t="n">
        <f aca="false">INDEX(Summary!$J$2:$J$201,MATCH($B3605,Summary!$A$2:$A$201,0))</f>
        <v>1</v>
      </c>
      <c r="O3605" s="2" t="n">
        <f aca="false">INDEX(Summary!$K$2:$K$201,MATCH($B3605,Summary!$A$2:$A$201,0))</f>
        <v>7.81</v>
      </c>
      <c r="P3605" s="3" t="n">
        <f aca="false">INDEX(Summary!$L$2:$L$201,MATCH($B3605,Summary!$A$2:$A$201,0))</f>
        <v>5</v>
      </c>
      <c r="Q3605" s="3" t="n">
        <f aca="false">INDEX(Summary!$M$2:$M$201,MATCH($B3605,Summary!$A$2:$A$201,0))</f>
        <v>1</v>
      </c>
      <c r="R3605" s="2" t="n">
        <f aca="false">INDEX(Summary!$N$2:$N$201,MATCH($B3605,Summary!$A$2:$A$201,0))</f>
        <v>9.16</v>
      </c>
      <c r="S3605" s="3" t="n">
        <f aca="false">INDEX(Summary!$O$2:$O$201,MATCH($B3605,Summary!$A$2:$A$201,0))</f>
        <v>8</v>
      </c>
      <c r="T3605" s="3" t="n">
        <f aca="false">INDEX(Summary!$P$2:$P$201,MATCH($B3605,Summary!$A$2:$A$201,0))</f>
        <v>1</v>
      </c>
      <c r="U3605" s="2" t="n">
        <f aca="false">INDEX(Summary!$Q$2:$Q$201,MATCH($B3605,Summary!$A$2:$A$201,0))</f>
        <v>13.56</v>
      </c>
      <c r="V3605" s="2" t="n">
        <f aca="false">INDEX(Summary!$R$2:$R$201,MATCH($B3605,Summary!$A$2:$A$201,0))</f>
        <v>33.68</v>
      </c>
      <c r="W3605" s="0" t="str">
        <f aca="false">INDEX(Summary!$S$2:$S$201,MATCH($B3605,Summary!$A$2:$A$201,0))</f>
        <v>Gold</v>
      </c>
      <c r="X3605" s="2" t="n">
        <f aca="false">INDEX(Summary!$T$2:$T$201,MATCH($B3605,Summary!$A$2:$A$201,0))</f>
        <v>82.15</v>
      </c>
      <c r="Y3605" s="0" t="str">
        <f aca="false">INDEX('Reward Model'!$E$18:$E$37,MATCH($E3605,'Reward Model'!$A$18:$A$37,0))</f>
        <v>Low</v>
      </c>
      <c r="Z3605" s="4" t="n">
        <f aca="false">ROUND(MIN(1,MAX('Reward Model'!$B$2,INDEX('Reward Model'!$C$12:$C$14,MATCH($K3605,'Reward Model'!$A$12:$A$14,0))/$J3605)),3)</f>
        <v>0.829</v>
      </c>
      <c r="AA3605" s="2" t="n">
        <f aca="false">IF($I3605="Correct",ROUND(INDEX('Reward Model'!$B$12:$B$14,MATCH($K3605,'Reward Model'!$A$12:$A$14,0))*Z3605,2),0)</f>
        <v>0</v>
      </c>
      <c r="AB3605" s="2" t="n">
        <f aca="false">IF($I3605="Correct",ROUND(INDEX('Reward Model'!$B$12:$B$14,MATCH($Y3605,'Reward Model'!$A$12:$A$14,0))*Z3605,2),0)</f>
        <v>0</v>
      </c>
    </row>
    <row r="3606" customFormat="false" ht="15" hidden="false" customHeight="false" outlineLevel="0" collapsed="false">
      <c r="A3606" s="0" t="s">
        <v>492</v>
      </c>
      <c r="B3606" s="0" t="s">
        <v>493</v>
      </c>
      <c r="C3606" s="0" t="s">
        <v>322</v>
      </c>
      <c r="D3606" s="0" t="s">
        <v>275</v>
      </c>
      <c r="E3606" s="0" t="n">
        <v>5</v>
      </c>
      <c r="F3606" s="0" t="s">
        <v>46</v>
      </c>
      <c r="G3606" s="0" t="s">
        <v>47</v>
      </c>
      <c r="H3606" s="0" t="s">
        <v>47</v>
      </c>
      <c r="I3606" s="0" t="s">
        <v>34</v>
      </c>
      <c r="J3606" s="0" t="n">
        <v>1.92</v>
      </c>
      <c r="K3606" s="0" t="s">
        <v>35</v>
      </c>
      <c r="L3606" s="0" t="n">
        <f aca="false">INDEX(Summary!$F$2:$F$201,MATCH($B3606,Summary!$A$2:$A$201,0))</f>
        <v>20</v>
      </c>
      <c r="M3606" s="0" t="n">
        <f aca="false">INDEX(Summary!$I$2:$I$201,MATCH($B3606,Summary!$A$2:$A$201,0))</f>
        <v>4</v>
      </c>
      <c r="N3606" s="0" t="n">
        <f aca="false">INDEX(Summary!$J$2:$J$201,MATCH($B3606,Summary!$A$2:$A$201,0))</f>
        <v>1</v>
      </c>
      <c r="O3606" s="2" t="n">
        <f aca="false">INDEX(Summary!$K$2:$K$201,MATCH($B3606,Summary!$A$2:$A$201,0))</f>
        <v>7.81</v>
      </c>
      <c r="P3606" s="3" t="n">
        <f aca="false">INDEX(Summary!$L$2:$L$201,MATCH($B3606,Summary!$A$2:$A$201,0))</f>
        <v>5</v>
      </c>
      <c r="Q3606" s="3" t="n">
        <f aca="false">INDEX(Summary!$M$2:$M$201,MATCH($B3606,Summary!$A$2:$A$201,0))</f>
        <v>1</v>
      </c>
      <c r="R3606" s="2" t="n">
        <f aca="false">INDEX(Summary!$N$2:$N$201,MATCH($B3606,Summary!$A$2:$A$201,0))</f>
        <v>9.16</v>
      </c>
      <c r="S3606" s="3" t="n">
        <f aca="false">INDEX(Summary!$O$2:$O$201,MATCH($B3606,Summary!$A$2:$A$201,0))</f>
        <v>8</v>
      </c>
      <c r="T3606" s="3" t="n">
        <f aca="false">INDEX(Summary!$P$2:$P$201,MATCH($B3606,Summary!$A$2:$A$201,0))</f>
        <v>1</v>
      </c>
      <c r="U3606" s="2" t="n">
        <f aca="false">INDEX(Summary!$Q$2:$Q$201,MATCH($B3606,Summary!$A$2:$A$201,0))</f>
        <v>13.56</v>
      </c>
      <c r="V3606" s="2" t="n">
        <f aca="false">INDEX(Summary!$R$2:$R$201,MATCH($B3606,Summary!$A$2:$A$201,0))</f>
        <v>33.68</v>
      </c>
      <c r="W3606" s="0" t="str">
        <f aca="false">INDEX(Summary!$S$2:$S$201,MATCH($B3606,Summary!$A$2:$A$201,0))</f>
        <v>Gold</v>
      </c>
      <c r="X3606" s="2" t="n">
        <f aca="false">INDEX(Summary!$T$2:$T$201,MATCH($B3606,Summary!$A$2:$A$201,0))</f>
        <v>82.15</v>
      </c>
      <c r="Y3606" s="0" t="str">
        <f aca="false">INDEX('Reward Model'!$E$18:$E$37,MATCH($E3606,'Reward Model'!$A$18:$A$37,0))</f>
        <v>Low</v>
      </c>
      <c r="Z3606" s="4" t="n">
        <f aca="false">ROUND(MIN(1,MAX('Reward Model'!$B$2,INDEX('Reward Model'!$C$12:$C$14,MATCH($K3606,'Reward Model'!$A$12:$A$14,0))/$J3606)),3)</f>
        <v>0.781</v>
      </c>
      <c r="AA3606" s="2" t="n">
        <f aca="false">IF($I3606="Correct",ROUND(INDEX('Reward Model'!$B$12:$B$14,MATCH($K3606,'Reward Model'!$A$12:$A$14,0))*Z3606,2),0)</f>
        <v>0.78</v>
      </c>
      <c r="AB3606" s="2" t="n">
        <f aca="false">IF($I3606="Correct",ROUND(INDEX('Reward Model'!$B$12:$B$14,MATCH($Y3606,'Reward Model'!$A$12:$A$14,0))*Z3606,2),0)</f>
        <v>0.78</v>
      </c>
    </row>
    <row r="3607" customFormat="false" ht="15" hidden="false" customHeight="false" outlineLevel="0" collapsed="false">
      <c r="A3607" s="0" t="s">
        <v>492</v>
      </c>
      <c r="B3607" s="0" t="s">
        <v>493</v>
      </c>
      <c r="C3607" s="0" t="s">
        <v>322</v>
      </c>
      <c r="D3607" s="0" t="s">
        <v>275</v>
      </c>
      <c r="E3607" s="0" t="n">
        <v>6</v>
      </c>
      <c r="F3607" s="0" t="s">
        <v>48</v>
      </c>
      <c r="G3607" s="0" t="s">
        <v>49</v>
      </c>
      <c r="H3607" s="0" t="s">
        <v>49</v>
      </c>
      <c r="I3607" s="0" t="s">
        <v>34</v>
      </c>
      <c r="J3607" s="0" t="n">
        <v>1.26</v>
      </c>
      <c r="K3607" s="0" t="s">
        <v>35</v>
      </c>
      <c r="L3607" s="0" t="n">
        <f aca="false">INDEX(Summary!$F$2:$F$201,MATCH($B3607,Summary!$A$2:$A$201,0))</f>
        <v>20</v>
      </c>
      <c r="M3607" s="0" t="n">
        <f aca="false">INDEX(Summary!$I$2:$I$201,MATCH($B3607,Summary!$A$2:$A$201,0))</f>
        <v>4</v>
      </c>
      <c r="N3607" s="0" t="n">
        <f aca="false">INDEX(Summary!$J$2:$J$201,MATCH($B3607,Summary!$A$2:$A$201,0))</f>
        <v>1</v>
      </c>
      <c r="O3607" s="2" t="n">
        <f aca="false">INDEX(Summary!$K$2:$K$201,MATCH($B3607,Summary!$A$2:$A$201,0))</f>
        <v>7.81</v>
      </c>
      <c r="P3607" s="3" t="n">
        <f aca="false">INDEX(Summary!$L$2:$L$201,MATCH($B3607,Summary!$A$2:$A$201,0))</f>
        <v>5</v>
      </c>
      <c r="Q3607" s="3" t="n">
        <f aca="false">INDEX(Summary!$M$2:$M$201,MATCH($B3607,Summary!$A$2:$A$201,0))</f>
        <v>1</v>
      </c>
      <c r="R3607" s="2" t="n">
        <f aca="false">INDEX(Summary!$N$2:$N$201,MATCH($B3607,Summary!$A$2:$A$201,0))</f>
        <v>9.16</v>
      </c>
      <c r="S3607" s="3" t="n">
        <f aca="false">INDEX(Summary!$O$2:$O$201,MATCH($B3607,Summary!$A$2:$A$201,0))</f>
        <v>8</v>
      </c>
      <c r="T3607" s="3" t="n">
        <f aca="false">INDEX(Summary!$P$2:$P$201,MATCH($B3607,Summary!$A$2:$A$201,0))</f>
        <v>1</v>
      </c>
      <c r="U3607" s="2" t="n">
        <f aca="false">INDEX(Summary!$Q$2:$Q$201,MATCH($B3607,Summary!$A$2:$A$201,0))</f>
        <v>13.56</v>
      </c>
      <c r="V3607" s="2" t="n">
        <f aca="false">INDEX(Summary!$R$2:$R$201,MATCH($B3607,Summary!$A$2:$A$201,0))</f>
        <v>33.68</v>
      </c>
      <c r="W3607" s="0" t="str">
        <f aca="false">INDEX(Summary!$S$2:$S$201,MATCH($B3607,Summary!$A$2:$A$201,0))</f>
        <v>Gold</v>
      </c>
      <c r="X3607" s="2" t="n">
        <f aca="false">INDEX(Summary!$T$2:$T$201,MATCH($B3607,Summary!$A$2:$A$201,0))</f>
        <v>82.15</v>
      </c>
      <c r="Y3607" s="0" t="str">
        <f aca="false">INDEX('Reward Model'!$E$18:$E$37,MATCH($E3607,'Reward Model'!$A$18:$A$37,0))</f>
        <v>Medium</v>
      </c>
      <c r="Z3607" s="4" t="n">
        <f aca="false">ROUND(MIN(1,MAX('Reward Model'!$B$2,INDEX('Reward Model'!$C$12:$C$14,MATCH($K3607,'Reward Model'!$A$12:$A$14,0))/$J3607)),3)</f>
        <v>1</v>
      </c>
      <c r="AA3607" s="2" t="n">
        <f aca="false">IF($I3607="Correct",ROUND(INDEX('Reward Model'!$B$12:$B$14,MATCH($K3607,'Reward Model'!$A$12:$A$14,0))*Z3607,2),0)</f>
        <v>1</v>
      </c>
      <c r="AB3607" s="2" t="n">
        <f aca="false">IF($I3607="Correct",ROUND(INDEX('Reward Model'!$B$12:$B$14,MATCH($Y3607,'Reward Model'!$A$12:$A$14,0))*Z3607,2),0)</f>
        <v>2</v>
      </c>
    </row>
    <row r="3608" customFormat="false" ht="15" hidden="false" customHeight="false" outlineLevel="0" collapsed="false">
      <c r="A3608" s="0" t="s">
        <v>492</v>
      </c>
      <c r="B3608" s="0" t="s">
        <v>493</v>
      </c>
      <c r="C3608" s="0" t="s">
        <v>322</v>
      </c>
      <c r="D3608" s="0" t="s">
        <v>275</v>
      </c>
      <c r="E3608" s="0" t="n">
        <v>7</v>
      </c>
      <c r="F3608" s="0" t="s">
        <v>50</v>
      </c>
      <c r="G3608" s="0" t="s">
        <v>51</v>
      </c>
      <c r="H3608" s="0" t="s">
        <v>51</v>
      </c>
      <c r="I3608" s="0" t="s">
        <v>34</v>
      </c>
      <c r="J3608" s="0" t="n">
        <v>1.71</v>
      </c>
      <c r="K3608" s="0" t="s">
        <v>35</v>
      </c>
      <c r="L3608" s="0" t="n">
        <f aca="false">INDEX(Summary!$F$2:$F$201,MATCH($B3608,Summary!$A$2:$A$201,0))</f>
        <v>20</v>
      </c>
      <c r="M3608" s="0" t="n">
        <f aca="false">INDEX(Summary!$I$2:$I$201,MATCH($B3608,Summary!$A$2:$A$201,0))</f>
        <v>4</v>
      </c>
      <c r="N3608" s="0" t="n">
        <f aca="false">INDEX(Summary!$J$2:$J$201,MATCH($B3608,Summary!$A$2:$A$201,0))</f>
        <v>1</v>
      </c>
      <c r="O3608" s="2" t="n">
        <f aca="false">INDEX(Summary!$K$2:$K$201,MATCH($B3608,Summary!$A$2:$A$201,0))</f>
        <v>7.81</v>
      </c>
      <c r="P3608" s="3" t="n">
        <f aca="false">INDEX(Summary!$L$2:$L$201,MATCH($B3608,Summary!$A$2:$A$201,0))</f>
        <v>5</v>
      </c>
      <c r="Q3608" s="3" t="n">
        <f aca="false">INDEX(Summary!$M$2:$M$201,MATCH($B3608,Summary!$A$2:$A$201,0))</f>
        <v>1</v>
      </c>
      <c r="R3608" s="2" t="n">
        <f aca="false">INDEX(Summary!$N$2:$N$201,MATCH($B3608,Summary!$A$2:$A$201,0))</f>
        <v>9.16</v>
      </c>
      <c r="S3608" s="3" t="n">
        <f aca="false">INDEX(Summary!$O$2:$O$201,MATCH($B3608,Summary!$A$2:$A$201,0))</f>
        <v>8</v>
      </c>
      <c r="T3608" s="3" t="n">
        <f aca="false">INDEX(Summary!$P$2:$P$201,MATCH($B3608,Summary!$A$2:$A$201,0))</f>
        <v>1</v>
      </c>
      <c r="U3608" s="2" t="n">
        <f aca="false">INDEX(Summary!$Q$2:$Q$201,MATCH($B3608,Summary!$A$2:$A$201,0))</f>
        <v>13.56</v>
      </c>
      <c r="V3608" s="2" t="n">
        <f aca="false">INDEX(Summary!$R$2:$R$201,MATCH($B3608,Summary!$A$2:$A$201,0))</f>
        <v>33.68</v>
      </c>
      <c r="W3608" s="0" t="str">
        <f aca="false">INDEX(Summary!$S$2:$S$201,MATCH($B3608,Summary!$A$2:$A$201,0))</f>
        <v>Gold</v>
      </c>
      <c r="X3608" s="2" t="n">
        <f aca="false">INDEX(Summary!$T$2:$T$201,MATCH($B3608,Summary!$A$2:$A$201,0))</f>
        <v>82.15</v>
      </c>
      <c r="Y3608" s="0" t="str">
        <f aca="false">INDEX('Reward Model'!$E$18:$E$37,MATCH($E3608,'Reward Model'!$A$18:$A$37,0))</f>
        <v>Low</v>
      </c>
      <c r="Z3608" s="4" t="n">
        <f aca="false">ROUND(MIN(1,MAX('Reward Model'!$B$2,INDEX('Reward Model'!$C$12:$C$14,MATCH($K3608,'Reward Model'!$A$12:$A$14,0))/$J3608)),3)</f>
        <v>0.877</v>
      </c>
      <c r="AA3608" s="2" t="n">
        <f aca="false">IF($I3608="Correct",ROUND(INDEX('Reward Model'!$B$12:$B$14,MATCH($K3608,'Reward Model'!$A$12:$A$14,0))*Z3608,2),0)</f>
        <v>0.88</v>
      </c>
      <c r="AB3608" s="2" t="n">
        <f aca="false">IF($I3608="Correct",ROUND(INDEX('Reward Model'!$B$12:$B$14,MATCH($Y3608,'Reward Model'!$A$12:$A$14,0))*Z3608,2),0)</f>
        <v>0.88</v>
      </c>
    </row>
    <row r="3609" customFormat="false" ht="15" hidden="false" customHeight="false" outlineLevel="0" collapsed="false">
      <c r="A3609" s="0" t="s">
        <v>492</v>
      </c>
      <c r="B3609" s="0" t="s">
        <v>493</v>
      </c>
      <c r="C3609" s="0" t="s">
        <v>322</v>
      </c>
      <c r="D3609" s="0" t="s">
        <v>275</v>
      </c>
      <c r="E3609" s="0" t="n">
        <v>8</v>
      </c>
      <c r="F3609" s="0" t="s">
        <v>52</v>
      </c>
      <c r="G3609" s="0" t="s">
        <v>54</v>
      </c>
      <c r="H3609" s="0" t="s">
        <v>54</v>
      </c>
      <c r="I3609" s="0" t="s">
        <v>34</v>
      </c>
      <c r="J3609" s="0" t="n">
        <v>1.93</v>
      </c>
      <c r="K3609" s="0" t="s">
        <v>35</v>
      </c>
      <c r="L3609" s="0" t="n">
        <f aca="false">INDEX(Summary!$F$2:$F$201,MATCH($B3609,Summary!$A$2:$A$201,0))</f>
        <v>20</v>
      </c>
      <c r="M3609" s="0" t="n">
        <f aca="false">INDEX(Summary!$I$2:$I$201,MATCH($B3609,Summary!$A$2:$A$201,0))</f>
        <v>4</v>
      </c>
      <c r="N3609" s="0" t="n">
        <f aca="false">INDEX(Summary!$J$2:$J$201,MATCH($B3609,Summary!$A$2:$A$201,0))</f>
        <v>1</v>
      </c>
      <c r="O3609" s="2" t="n">
        <f aca="false">INDEX(Summary!$K$2:$K$201,MATCH($B3609,Summary!$A$2:$A$201,0))</f>
        <v>7.81</v>
      </c>
      <c r="P3609" s="3" t="n">
        <f aca="false">INDEX(Summary!$L$2:$L$201,MATCH($B3609,Summary!$A$2:$A$201,0))</f>
        <v>5</v>
      </c>
      <c r="Q3609" s="3" t="n">
        <f aca="false">INDEX(Summary!$M$2:$M$201,MATCH($B3609,Summary!$A$2:$A$201,0))</f>
        <v>1</v>
      </c>
      <c r="R3609" s="2" t="n">
        <f aca="false">INDEX(Summary!$N$2:$N$201,MATCH($B3609,Summary!$A$2:$A$201,0))</f>
        <v>9.16</v>
      </c>
      <c r="S3609" s="3" t="n">
        <f aca="false">INDEX(Summary!$O$2:$O$201,MATCH($B3609,Summary!$A$2:$A$201,0))</f>
        <v>8</v>
      </c>
      <c r="T3609" s="3" t="n">
        <f aca="false">INDEX(Summary!$P$2:$P$201,MATCH($B3609,Summary!$A$2:$A$201,0))</f>
        <v>1</v>
      </c>
      <c r="U3609" s="2" t="n">
        <f aca="false">INDEX(Summary!$Q$2:$Q$201,MATCH($B3609,Summary!$A$2:$A$201,0))</f>
        <v>13.56</v>
      </c>
      <c r="V3609" s="2" t="n">
        <f aca="false">INDEX(Summary!$R$2:$R$201,MATCH($B3609,Summary!$A$2:$A$201,0))</f>
        <v>33.68</v>
      </c>
      <c r="W3609" s="0" t="str">
        <f aca="false">INDEX(Summary!$S$2:$S$201,MATCH($B3609,Summary!$A$2:$A$201,0))</f>
        <v>Gold</v>
      </c>
      <c r="X3609" s="2" t="n">
        <f aca="false">INDEX(Summary!$T$2:$T$201,MATCH($B3609,Summary!$A$2:$A$201,0))</f>
        <v>82.15</v>
      </c>
      <c r="Y3609" s="0" t="str">
        <f aca="false">INDEX('Reward Model'!$E$18:$E$37,MATCH($E3609,'Reward Model'!$A$18:$A$37,0))</f>
        <v>Medium</v>
      </c>
      <c r="Z3609" s="4" t="n">
        <f aca="false">ROUND(MIN(1,MAX('Reward Model'!$B$2,INDEX('Reward Model'!$C$12:$C$14,MATCH($K3609,'Reward Model'!$A$12:$A$14,0))/$J3609)),3)</f>
        <v>0.777</v>
      </c>
      <c r="AA3609" s="2" t="n">
        <f aca="false">IF($I3609="Correct",ROUND(INDEX('Reward Model'!$B$12:$B$14,MATCH($K3609,'Reward Model'!$A$12:$A$14,0))*Z3609,2),0)</f>
        <v>0.78</v>
      </c>
      <c r="AB3609" s="2" t="n">
        <f aca="false">IF($I3609="Correct",ROUND(INDEX('Reward Model'!$B$12:$B$14,MATCH($Y3609,'Reward Model'!$A$12:$A$14,0))*Z3609,2),0)</f>
        <v>1.55</v>
      </c>
    </row>
    <row r="3610" customFormat="false" ht="15" hidden="false" customHeight="false" outlineLevel="0" collapsed="false">
      <c r="A3610" s="0" t="s">
        <v>492</v>
      </c>
      <c r="B3610" s="0" t="s">
        <v>493</v>
      </c>
      <c r="C3610" s="0" t="s">
        <v>322</v>
      </c>
      <c r="D3610" s="0" t="s">
        <v>275</v>
      </c>
      <c r="E3610" s="0" t="n">
        <v>9</v>
      </c>
      <c r="F3610" s="0" t="s">
        <v>55</v>
      </c>
      <c r="G3610" s="0" t="s">
        <v>57</v>
      </c>
      <c r="H3610" s="0" t="s">
        <v>57</v>
      </c>
      <c r="I3610" s="0" t="s">
        <v>34</v>
      </c>
      <c r="J3610" s="0" t="n">
        <v>1.29</v>
      </c>
      <c r="K3610" s="0" t="s">
        <v>35</v>
      </c>
      <c r="L3610" s="0" t="n">
        <f aca="false">INDEX(Summary!$F$2:$F$201,MATCH($B3610,Summary!$A$2:$A$201,0))</f>
        <v>20</v>
      </c>
      <c r="M3610" s="0" t="n">
        <f aca="false">INDEX(Summary!$I$2:$I$201,MATCH($B3610,Summary!$A$2:$A$201,0))</f>
        <v>4</v>
      </c>
      <c r="N3610" s="0" t="n">
        <f aca="false">INDEX(Summary!$J$2:$J$201,MATCH($B3610,Summary!$A$2:$A$201,0))</f>
        <v>1</v>
      </c>
      <c r="O3610" s="2" t="n">
        <f aca="false">INDEX(Summary!$K$2:$K$201,MATCH($B3610,Summary!$A$2:$A$201,0))</f>
        <v>7.81</v>
      </c>
      <c r="P3610" s="3" t="n">
        <f aca="false">INDEX(Summary!$L$2:$L$201,MATCH($B3610,Summary!$A$2:$A$201,0))</f>
        <v>5</v>
      </c>
      <c r="Q3610" s="3" t="n">
        <f aca="false">INDEX(Summary!$M$2:$M$201,MATCH($B3610,Summary!$A$2:$A$201,0))</f>
        <v>1</v>
      </c>
      <c r="R3610" s="2" t="n">
        <f aca="false">INDEX(Summary!$N$2:$N$201,MATCH($B3610,Summary!$A$2:$A$201,0))</f>
        <v>9.16</v>
      </c>
      <c r="S3610" s="3" t="n">
        <f aca="false">INDEX(Summary!$O$2:$O$201,MATCH($B3610,Summary!$A$2:$A$201,0))</f>
        <v>8</v>
      </c>
      <c r="T3610" s="3" t="n">
        <f aca="false">INDEX(Summary!$P$2:$P$201,MATCH($B3610,Summary!$A$2:$A$201,0))</f>
        <v>1</v>
      </c>
      <c r="U3610" s="2" t="n">
        <f aca="false">INDEX(Summary!$Q$2:$Q$201,MATCH($B3610,Summary!$A$2:$A$201,0))</f>
        <v>13.56</v>
      </c>
      <c r="V3610" s="2" t="n">
        <f aca="false">INDEX(Summary!$R$2:$R$201,MATCH($B3610,Summary!$A$2:$A$201,0))</f>
        <v>33.68</v>
      </c>
      <c r="W3610" s="0" t="str">
        <f aca="false">INDEX(Summary!$S$2:$S$201,MATCH($B3610,Summary!$A$2:$A$201,0))</f>
        <v>Gold</v>
      </c>
      <c r="X3610" s="2" t="n">
        <f aca="false">INDEX(Summary!$T$2:$T$201,MATCH($B3610,Summary!$A$2:$A$201,0))</f>
        <v>82.15</v>
      </c>
      <c r="Y3610" s="0" t="str">
        <f aca="false">INDEX('Reward Model'!$E$18:$E$37,MATCH($E3610,'Reward Model'!$A$18:$A$37,0))</f>
        <v>Medium</v>
      </c>
      <c r="Z3610" s="4" t="n">
        <f aca="false">ROUND(MIN(1,MAX('Reward Model'!$B$2,INDEX('Reward Model'!$C$12:$C$14,MATCH($K3610,'Reward Model'!$A$12:$A$14,0))/$J3610)),3)</f>
        <v>1</v>
      </c>
      <c r="AA3610" s="2" t="n">
        <f aca="false">IF($I3610="Correct",ROUND(INDEX('Reward Model'!$B$12:$B$14,MATCH($K3610,'Reward Model'!$A$12:$A$14,0))*Z3610,2),0)</f>
        <v>1</v>
      </c>
      <c r="AB3610" s="2" t="n">
        <f aca="false">IF($I3610="Correct",ROUND(INDEX('Reward Model'!$B$12:$B$14,MATCH($Y3610,'Reward Model'!$A$12:$A$14,0))*Z3610,2),0)</f>
        <v>2</v>
      </c>
    </row>
    <row r="3611" customFormat="false" ht="15" hidden="false" customHeight="false" outlineLevel="0" collapsed="false">
      <c r="A3611" s="0" t="s">
        <v>492</v>
      </c>
      <c r="B3611" s="0" t="s">
        <v>493</v>
      </c>
      <c r="C3611" s="0" t="s">
        <v>322</v>
      </c>
      <c r="D3611" s="0" t="s">
        <v>275</v>
      </c>
      <c r="E3611" s="0" t="n">
        <v>10</v>
      </c>
      <c r="F3611" s="0" t="s">
        <v>58</v>
      </c>
      <c r="G3611" s="0" t="s">
        <v>59</v>
      </c>
      <c r="H3611" s="0" t="s">
        <v>59</v>
      </c>
      <c r="I3611" s="0" t="s">
        <v>34</v>
      </c>
      <c r="J3611" s="0" t="n">
        <v>1.14</v>
      </c>
      <c r="K3611" s="0" t="s">
        <v>60</v>
      </c>
      <c r="L3611" s="0" t="n">
        <f aca="false">INDEX(Summary!$F$2:$F$201,MATCH($B3611,Summary!$A$2:$A$201,0))</f>
        <v>20</v>
      </c>
      <c r="M3611" s="0" t="n">
        <f aca="false">INDEX(Summary!$I$2:$I$201,MATCH($B3611,Summary!$A$2:$A$201,0))</f>
        <v>4</v>
      </c>
      <c r="N3611" s="0" t="n">
        <f aca="false">INDEX(Summary!$J$2:$J$201,MATCH($B3611,Summary!$A$2:$A$201,0))</f>
        <v>1</v>
      </c>
      <c r="O3611" s="2" t="n">
        <f aca="false">INDEX(Summary!$K$2:$K$201,MATCH($B3611,Summary!$A$2:$A$201,0))</f>
        <v>7.81</v>
      </c>
      <c r="P3611" s="3" t="n">
        <f aca="false">INDEX(Summary!$L$2:$L$201,MATCH($B3611,Summary!$A$2:$A$201,0))</f>
        <v>5</v>
      </c>
      <c r="Q3611" s="3" t="n">
        <f aca="false">INDEX(Summary!$M$2:$M$201,MATCH($B3611,Summary!$A$2:$A$201,0))</f>
        <v>1</v>
      </c>
      <c r="R3611" s="2" t="n">
        <f aca="false">INDEX(Summary!$N$2:$N$201,MATCH($B3611,Summary!$A$2:$A$201,0))</f>
        <v>9.16</v>
      </c>
      <c r="S3611" s="3" t="n">
        <f aca="false">INDEX(Summary!$O$2:$O$201,MATCH($B3611,Summary!$A$2:$A$201,0))</f>
        <v>8</v>
      </c>
      <c r="T3611" s="3" t="n">
        <f aca="false">INDEX(Summary!$P$2:$P$201,MATCH($B3611,Summary!$A$2:$A$201,0))</f>
        <v>1</v>
      </c>
      <c r="U3611" s="2" t="n">
        <f aca="false">INDEX(Summary!$Q$2:$Q$201,MATCH($B3611,Summary!$A$2:$A$201,0))</f>
        <v>13.56</v>
      </c>
      <c r="V3611" s="2" t="n">
        <f aca="false">INDEX(Summary!$R$2:$R$201,MATCH($B3611,Summary!$A$2:$A$201,0))</f>
        <v>33.68</v>
      </c>
      <c r="W3611" s="0" t="str">
        <f aca="false">INDEX(Summary!$S$2:$S$201,MATCH($B3611,Summary!$A$2:$A$201,0))</f>
        <v>Gold</v>
      </c>
      <c r="X3611" s="2" t="n">
        <f aca="false">INDEX(Summary!$T$2:$T$201,MATCH($B3611,Summary!$A$2:$A$201,0))</f>
        <v>82.15</v>
      </c>
      <c r="Y3611" s="0" t="str">
        <f aca="false">INDEX('Reward Model'!$E$18:$E$37,MATCH($E3611,'Reward Model'!$A$18:$A$37,0))</f>
        <v>Medium</v>
      </c>
      <c r="Z3611" s="4" t="n">
        <f aca="false">ROUND(MIN(1,MAX('Reward Model'!$B$2,INDEX('Reward Model'!$C$12:$C$14,MATCH($K3611,'Reward Model'!$A$12:$A$14,0))/$J3611)),3)</f>
        <v>1</v>
      </c>
      <c r="AA3611" s="2" t="n">
        <f aca="false">IF($I3611="Correct",ROUND(INDEX('Reward Model'!$B$12:$B$14,MATCH($K3611,'Reward Model'!$A$12:$A$14,0))*Z3611,2),0)</f>
        <v>2</v>
      </c>
      <c r="AB3611" s="2" t="n">
        <f aca="false">IF($I3611="Correct",ROUND(INDEX('Reward Model'!$B$12:$B$14,MATCH($Y3611,'Reward Model'!$A$12:$A$14,0))*Z3611,2),0)</f>
        <v>2</v>
      </c>
    </row>
    <row r="3612" customFormat="false" ht="15" hidden="false" customHeight="false" outlineLevel="0" collapsed="false">
      <c r="A3612" s="0" t="s">
        <v>492</v>
      </c>
      <c r="B3612" s="0" t="s">
        <v>493</v>
      </c>
      <c r="C3612" s="0" t="s">
        <v>322</v>
      </c>
      <c r="D3612" s="0" t="s">
        <v>275</v>
      </c>
      <c r="E3612" s="0" t="n">
        <v>11</v>
      </c>
      <c r="F3612" s="0" t="s">
        <v>61</v>
      </c>
      <c r="G3612" s="0" t="s">
        <v>150</v>
      </c>
      <c r="H3612" s="0" t="s">
        <v>63</v>
      </c>
      <c r="I3612" s="0" t="s">
        <v>39</v>
      </c>
      <c r="J3612" s="0" t="n">
        <v>1.12</v>
      </c>
      <c r="K3612" s="0" t="s">
        <v>60</v>
      </c>
      <c r="L3612" s="0" t="n">
        <f aca="false">INDEX(Summary!$F$2:$F$201,MATCH($B3612,Summary!$A$2:$A$201,0))</f>
        <v>20</v>
      </c>
      <c r="M3612" s="0" t="n">
        <f aca="false">INDEX(Summary!$I$2:$I$201,MATCH($B3612,Summary!$A$2:$A$201,0))</f>
        <v>4</v>
      </c>
      <c r="N3612" s="0" t="n">
        <f aca="false">INDEX(Summary!$J$2:$J$201,MATCH($B3612,Summary!$A$2:$A$201,0))</f>
        <v>1</v>
      </c>
      <c r="O3612" s="2" t="n">
        <f aca="false">INDEX(Summary!$K$2:$K$201,MATCH($B3612,Summary!$A$2:$A$201,0))</f>
        <v>7.81</v>
      </c>
      <c r="P3612" s="3" t="n">
        <f aca="false">INDEX(Summary!$L$2:$L$201,MATCH($B3612,Summary!$A$2:$A$201,0))</f>
        <v>5</v>
      </c>
      <c r="Q3612" s="3" t="n">
        <f aca="false">INDEX(Summary!$M$2:$M$201,MATCH($B3612,Summary!$A$2:$A$201,0))</f>
        <v>1</v>
      </c>
      <c r="R3612" s="2" t="n">
        <f aca="false">INDEX(Summary!$N$2:$N$201,MATCH($B3612,Summary!$A$2:$A$201,0))</f>
        <v>9.16</v>
      </c>
      <c r="S3612" s="3" t="n">
        <f aca="false">INDEX(Summary!$O$2:$O$201,MATCH($B3612,Summary!$A$2:$A$201,0))</f>
        <v>8</v>
      </c>
      <c r="T3612" s="3" t="n">
        <f aca="false">INDEX(Summary!$P$2:$P$201,MATCH($B3612,Summary!$A$2:$A$201,0))</f>
        <v>1</v>
      </c>
      <c r="U3612" s="2" t="n">
        <f aca="false">INDEX(Summary!$Q$2:$Q$201,MATCH($B3612,Summary!$A$2:$A$201,0))</f>
        <v>13.56</v>
      </c>
      <c r="V3612" s="2" t="n">
        <f aca="false">INDEX(Summary!$R$2:$R$201,MATCH($B3612,Summary!$A$2:$A$201,0))</f>
        <v>33.68</v>
      </c>
      <c r="W3612" s="0" t="str">
        <f aca="false">INDEX(Summary!$S$2:$S$201,MATCH($B3612,Summary!$A$2:$A$201,0))</f>
        <v>Gold</v>
      </c>
      <c r="X3612" s="2" t="n">
        <f aca="false">INDEX(Summary!$T$2:$T$201,MATCH($B3612,Summary!$A$2:$A$201,0))</f>
        <v>82.15</v>
      </c>
      <c r="Y3612" s="0" t="str">
        <f aca="false">INDEX('Reward Model'!$E$18:$E$37,MATCH($E3612,'Reward Model'!$A$18:$A$37,0))</f>
        <v>Medium</v>
      </c>
      <c r="Z3612" s="4" t="n">
        <f aca="false">ROUND(MIN(1,MAX('Reward Model'!$B$2,INDEX('Reward Model'!$C$12:$C$14,MATCH($K3612,'Reward Model'!$A$12:$A$14,0))/$J3612)),3)</f>
        <v>1</v>
      </c>
      <c r="AA3612" s="2" t="n">
        <f aca="false">IF($I3612="Correct",ROUND(INDEX('Reward Model'!$B$12:$B$14,MATCH($K3612,'Reward Model'!$A$12:$A$14,0))*Z3612,2),0)</f>
        <v>0</v>
      </c>
      <c r="AB3612" s="2" t="n">
        <f aca="false">IF($I3612="Correct",ROUND(INDEX('Reward Model'!$B$12:$B$14,MATCH($Y3612,'Reward Model'!$A$12:$A$14,0))*Z3612,2),0)</f>
        <v>0</v>
      </c>
    </row>
    <row r="3613" customFormat="false" ht="15" hidden="false" customHeight="false" outlineLevel="0" collapsed="false">
      <c r="A3613" s="0" t="s">
        <v>492</v>
      </c>
      <c r="B3613" s="0" t="s">
        <v>493</v>
      </c>
      <c r="C3613" s="0" t="s">
        <v>322</v>
      </c>
      <c r="D3613" s="0" t="s">
        <v>275</v>
      </c>
      <c r="E3613" s="0" t="n">
        <v>12</v>
      </c>
      <c r="F3613" s="0" t="s">
        <v>64</v>
      </c>
      <c r="G3613" s="0" t="s">
        <v>65</v>
      </c>
      <c r="H3613" s="0" t="s">
        <v>65</v>
      </c>
      <c r="I3613" s="0" t="s">
        <v>34</v>
      </c>
      <c r="J3613" s="0" t="n">
        <v>1.68</v>
      </c>
      <c r="K3613" s="0" t="s">
        <v>60</v>
      </c>
      <c r="L3613" s="0" t="n">
        <f aca="false">INDEX(Summary!$F$2:$F$201,MATCH($B3613,Summary!$A$2:$A$201,0))</f>
        <v>20</v>
      </c>
      <c r="M3613" s="0" t="n">
        <f aca="false">INDEX(Summary!$I$2:$I$201,MATCH($B3613,Summary!$A$2:$A$201,0))</f>
        <v>4</v>
      </c>
      <c r="N3613" s="0" t="n">
        <f aca="false">INDEX(Summary!$J$2:$J$201,MATCH($B3613,Summary!$A$2:$A$201,0))</f>
        <v>1</v>
      </c>
      <c r="O3613" s="2" t="n">
        <f aca="false">INDEX(Summary!$K$2:$K$201,MATCH($B3613,Summary!$A$2:$A$201,0))</f>
        <v>7.81</v>
      </c>
      <c r="P3613" s="3" t="n">
        <f aca="false">INDEX(Summary!$L$2:$L$201,MATCH($B3613,Summary!$A$2:$A$201,0))</f>
        <v>5</v>
      </c>
      <c r="Q3613" s="3" t="n">
        <f aca="false">INDEX(Summary!$M$2:$M$201,MATCH($B3613,Summary!$A$2:$A$201,0))</f>
        <v>1</v>
      </c>
      <c r="R3613" s="2" t="n">
        <f aca="false">INDEX(Summary!$N$2:$N$201,MATCH($B3613,Summary!$A$2:$A$201,0))</f>
        <v>9.16</v>
      </c>
      <c r="S3613" s="3" t="n">
        <f aca="false">INDEX(Summary!$O$2:$O$201,MATCH($B3613,Summary!$A$2:$A$201,0))</f>
        <v>8</v>
      </c>
      <c r="T3613" s="3" t="n">
        <f aca="false">INDEX(Summary!$P$2:$P$201,MATCH($B3613,Summary!$A$2:$A$201,0))</f>
        <v>1</v>
      </c>
      <c r="U3613" s="2" t="n">
        <f aca="false">INDEX(Summary!$Q$2:$Q$201,MATCH($B3613,Summary!$A$2:$A$201,0))</f>
        <v>13.56</v>
      </c>
      <c r="V3613" s="2" t="n">
        <f aca="false">INDEX(Summary!$R$2:$R$201,MATCH($B3613,Summary!$A$2:$A$201,0))</f>
        <v>33.68</v>
      </c>
      <c r="W3613" s="0" t="str">
        <f aca="false">INDEX(Summary!$S$2:$S$201,MATCH($B3613,Summary!$A$2:$A$201,0))</f>
        <v>Gold</v>
      </c>
      <c r="X3613" s="2" t="n">
        <f aca="false">INDEX(Summary!$T$2:$T$201,MATCH($B3613,Summary!$A$2:$A$201,0))</f>
        <v>82.15</v>
      </c>
      <c r="Y3613" s="0" t="str">
        <f aca="false">INDEX('Reward Model'!$E$18:$E$37,MATCH($E3613,'Reward Model'!$A$18:$A$37,0))</f>
        <v>Medium</v>
      </c>
      <c r="Z3613" s="4" t="n">
        <f aca="false">ROUND(MIN(1,MAX('Reward Model'!$B$2,INDEX('Reward Model'!$C$12:$C$14,MATCH($K3613,'Reward Model'!$A$12:$A$14,0))/$J3613)),3)</f>
        <v>1</v>
      </c>
      <c r="AA3613" s="2" t="n">
        <f aca="false">IF($I3613="Correct",ROUND(INDEX('Reward Model'!$B$12:$B$14,MATCH($K3613,'Reward Model'!$A$12:$A$14,0))*Z3613,2),0)</f>
        <v>2</v>
      </c>
      <c r="AB3613" s="2" t="n">
        <f aca="false">IF($I3613="Correct",ROUND(INDEX('Reward Model'!$B$12:$B$14,MATCH($Y3613,'Reward Model'!$A$12:$A$14,0))*Z3613,2),0)</f>
        <v>2</v>
      </c>
    </row>
    <row r="3614" customFormat="false" ht="15" hidden="false" customHeight="false" outlineLevel="0" collapsed="false">
      <c r="A3614" s="0" t="s">
        <v>492</v>
      </c>
      <c r="B3614" s="0" t="s">
        <v>493</v>
      </c>
      <c r="C3614" s="0" t="s">
        <v>322</v>
      </c>
      <c r="D3614" s="0" t="s">
        <v>275</v>
      </c>
      <c r="E3614" s="0" t="n">
        <v>13</v>
      </c>
      <c r="F3614" s="0" t="s">
        <v>66</v>
      </c>
      <c r="G3614" s="0" t="s">
        <v>67</v>
      </c>
      <c r="H3614" s="0" t="s">
        <v>67</v>
      </c>
      <c r="I3614" s="0" t="s">
        <v>34</v>
      </c>
      <c r="J3614" s="0" t="n">
        <v>1.77</v>
      </c>
      <c r="K3614" s="0" t="s">
        <v>60</v>
      </c>
      <c r="L3614" s="0" t="n">
        <f aca="false">INDEX(Summary!$F$2:$F$201,MATCH($B3614,Summary!$A$2:$A$201,0))</f>
        <v>20</v>
      </c>
      <c r="M3614" s="0" t="n">
        <f aca="false">INDEX(Summary!$I$2:$I$201,MATCH($B3614,Summary!$A$2:$A$201,0))</f>
        <v>4</v>
      </c>
      <c r="N3614" s="0" t="n">
        <f aca="false">INDEX(Summary!$J$2:$J$201,MATCH($B3614,Summary!$A$2:$A$201,0))</f>
        <v>1</v>
      </c>
      <c r="O3614" s="2" t="n">
        <f aca="false">INDEX(Summary!$K$2:$K$201,MATCH($B3614,Summary!$A$2:$A$201,0))</f>
        <v>7.81</v>
      </c>
      <c r="P3614" s="3" t="n">
        <f aca="false">INDEX(Summary!$L$2:$L$201,MATCH($B3614,Summary!$A$2:$A$201,0))</f>
        <v>5</v>
      </c>
      <c r="Q3614" s="3" t="n">
        <f aca="false">INDEX(Summary!$M$2:$M$201,MATCH($B3614,Summary!$A$2:$A$201,0))</f>
        <v>1</v>
      </c>
      <c r="R3614" s="2" t="n">
        <f aca="false">INDEX(Summary!$N$2:$N$201,MATCH($B3614,Summary!$A$2:$A$201,0))</f>
        <v>9.16</v>
      </c>
      <c r="S3614" s="3" t="n">
        <f aca="false">INDEX(Summary!$O$2:$O$201,MATCH($B3614,Summary!$A$2:$A$201,0))</f>
        <v>8</v>
      </c>
      <c r="T3614" s="3" t="n">
        <f aca="false">INDEX(Summary!$P$2:$P$201,MATCH($B3614,Summary!$A$2:$A$201,0))</f>
        <v>1</v>
      </c>
      <c r="U3614" s="2" t="n">
        <f aca="false">INDEX(Summary!$Q$2:$Q$201,MATCH($B3614,Summary!$A$2:$A$201,0))</f>
        <v>13.56</v>
      </c>
      <c r="V3614" s="2" t="n">
        <f aca="false">INDEX(Summary!$R$2:$R$201,MATCH($B3614,Summary!$A$2:$A$201,0))</f>
        <v>33.68</v>
      </c>
      <c r="W3614" s="0" t="str">
        <f aca="false">INDEX(Summary!$S$2:$S$201,MATCH($B3614,Summary!$A$2:$A$201,0))</f>
        <v>Gold</v>
      </c>
      <c r="X3614" s="2" t="n">
        <f aca="false">INDEX(Summary!$T$2:$T$201,MATCH($B3614,Summary!$A$2:$A$201,0))</f>
        <v>82.15</v>
      </c>
      <c r="Y3614" s="0" t="str">
        <f aca="false">INDEX('Reward Model'!$E$18:$E$37,MATCH($E3614,'Reward Model'!$A$18:$A$37,0))</f>
        <v>Medium</v>
      </c>
      <c r="Z3614" s="4" t="n">
        <f aca="false">ROUND(MIN(1,MAX('Reward Model'!$B$2,INDEX('Reward Model'!$C$12:$C$14,MATCH($K3614,'Reward Model'!$A$12:$A$14,0))/$J3614)),3)</f>
        <v>1</v>
      </c>
      <c r="AA3614" s="2" t="n">
        <f aca="false">IF($I3614="Correct",ROUND(INDEX('Reward Model'!$B$12:$B$14,MATCH($K3614,'Reward Model'!$A$12:$A$14,0))*Z3614,2),0)</f>
        <v>2</v>
      </c>
      <c r="AB3614" s="2" t="n">
        <f aca="false">IF($I3614="Correct",ROUND(INDEX('Reward Model'!$B$12:$B$14,MATCH($Y3614,'Reward Model'!$A$12:$A$14,0))*Z3614,2),0)</f>
        <v>2</v>
      </c>
    </row>
    <row r="3615" customFormat="false" ht="15" hidden="false" customHeight="false" outlineLevel="0" collapsed="false">
      <c r="A3615" s="0" t="s">
        <v>492</v>
      </c>
      <c r="B3615" s="0" t="s">
        <v>493</v>
      </c>
      <c r="C3615" s="0" t="s">
        <v>322</v>
      </c>
      <c r="D3615" s="0" t="s">
        <v>275</v>
      </c>
      <c r="E3615" s="0" t="n">
        <v>14</v>
      </c>
      <c r="F3615" s="0" t="s">
        <v>68</v>
      </c>
      <c r="G3615" s="0" t="s">
        <v>51</v>
      </c>
      <c r="H3615" s="0" t="s">
        <v>51</v>
      </c>
      <c r="I3615" s="0" t="s">
        <v>34</v>
      </c>
      <c r="J3615" s="0" t="n">
        <v>2.01</v>
      </c>
      <c r="K3615" s="0" t="s">
        <v>60</v>
      </c>
      <c r="L3615" s="0" t="n">
        <f aca="false">INDEX(Summary!$F$2:$F$201,MATCH($B3615,Summary!$A$2:$A$201,0))</f>
        <v>20</v>
      </c>
      <c r="M3615" s="0" t="n">
        <f aca="false">INDEX(Summary!$I$2:$I$201,MATCH($B3615,Summary!$A$2:$A$201,0))</f>
        <v>4</v>
      </c>
      <c r="N3615" s="0" t="n">
        <f aca="false">INDEX(Summary!$J$2:$J$201,MATCH($B3615,Summary!$A$2:$A$201,0))</f>
        <v>1</v>
      </c>
      <c r="O3615" s="2" t="n">
        <f aca="false">INDEX(Summary!$K$2:$K$201,MATCH($B3615,Summary!$A$2:$A$201,0))</f>
        <v>7.81</v>
      </c>
      <c r="P3615" s="3" t="n">
        <f aca="false">INDEX(Summary!$L$2:$L$201,MATCH($B3615,Summary!$A$2:$A$201,0))</f>
        <v>5</v>
      </c>
      <c r="Q3615" s="3" t="n">
        <f aca="false">INDEX(Summary!$M$2:$M$201,MATCH($B3615,Summary!$A$2:$A$201,0))</f>
        <v>1</v>
      </c>
      <c r="R3615" s="2" t="n">
        <f aca="false">INDEX(Summary!$N$2:$N$201,MATCH($B3615,Summary!$A$2:$A$201,0))</f>
        <v>9.16</v>
      </c>
      <c r="S3615" s="3" t="n">
        <f aca="false">INDEX(Summary!$O$2:$O$201,MATCH($B3615,Summary!$A$2:$A$201,0))</f>
        <v>8</v>
      </c>
      <c r="T3615" s="3" t="n">
        <f aca="false">INDEX(Summary!$P$2:$P$201,MATCH($B3615,Summary!$A$2:$A$201,0))</f>
        <v>1</v>
      </c>
      <c r="U3615" s="2" t="n">
        <f aca="false">INDEX(Summary!$Q$2:$Q$201,MATCH($B3615,Summary!$A$2:$A$201,0))</f>
        <v>13.56</v>
      </c>
      <c r="V3615" s="2" t="n">
        <f aca="false">INDEX(Summary!$R$2:$R$201,MATCH($B3615,Summary!$A$2:$A$201,0))</f>
        <v>33.68</v>
      </c>
      <c r="W3615" s="0" t="str">
        <f aca="false">INDEX(Summary!$S$2:$S$201,MATCH($B3615,Summary!$A$2:$A$201,0))</f>
        <v>Gold</v>
      </c>
      <c r="X3615" s="2" t="n">
        <f aca="false">INDEX(Summary!$T$2:$T$201,MATCH($B3615,Summary!$A$2:$A$201,0))</f>
        <v>82.15</v>
      </c>
      <c r="Y3615" s="0" t="str">
        <f aca="false">INDEX('Reward Model'!$E$18:$E$37,MATCH($E3615,'Reward Model'!$A$18:$A$37,0))</f>
        <v>Medium</v>
      </c>
      <c r="Z3615" s="4" t="n">
        <f aca="false">ROUND(MIN(1,MAX('Reward Model'!$B$2,INDEX('Reward Model'!$C$12:$C$14,MATCH($K3615,'Reward Model'!$A$12:$A$14,0))/$J3615)),3)</f>
        <v>0.896</v>
      </c>
      <c r="AA3615" s="2" t="n">
        <f aca="false">IF($I3615="Correct",ROUND(INDEX('Reward Model'!$B$12:$B$14,MATCH($K3615,'Reward Model'!$A$12:$A$14,0))*Z3615,2),0)</f>
        <v>1.79</v>
      </c>
      <c r="AB3615" s="2" t="n">
        <f aca="false">IF($I3615="Correct",ROUND(INDEX('Reward Model'!$B$12:$B$14,MATCH($Y3615,'Reward Model'!$A$12:$A$14,0))*Z3615,2),0)</f>
        <v>1.79</v>
      </c>
    </row>
    <row r="3616" customFormat="false" ht="15" hidden="false" customHeight="false" outlineLevel="0" collapsed="false">
      <c r="A3616" s="0" t="s">
        <v>492</v>
      </c>
      <c r="B3616" s="0" t="s">
        <v>493</v>
      </c>
      <c r="C3616" s="0" t="s">
        <v>322</v>
      </c>
      <c r="D3616" s="0" t="s">
        <v>275</v>
      </c>
      <c r="E3616" s="0" t="n">
        <v>15</v>
      </c>
      <c r="F3616" s="0" t="s">
        <v>69</v>
      </c>
      <c r="G3616" s="0" t="s">
        <v>70</v>
      </c>
      <c r="H3616" s="0" t="s">
        <v>70</v>
      </c>
      <c r="I3616" s="0" t="s">
        <v>34</v>
      </c>
      <c r="J3616" s="0" t="n">
        <v>1.44</v>
      </c>
      <c r="K3616" s="0" t="s">
        <v>60</v>
      </c>
      <c r="L3616" s="0" t="n">
        <f aca="false">INDEX(Summary!$F$2:$F$201,MATCH($B3616,Summary!$A$2:$A$201,0))</f>
        <v>20</v>
      </c>
      <c r="M3616" s="0" t="n">
        <f aca="false">INDEX(Summary!$I$2:$I$201,MATCH($B3616,Summary!$A$2:$A$201,0))</f>
        <v>4</v>
      </c>
      <c r="N3616" s="0" t="n">
        <f aca="false">INDEX(Summary!$J$2:$J$201,MATCH($B3616,Summary!$A$2:$A$201,0))</f>
        <v>1</v>
      </c>
      <c r="O3616" s="2" t="n">
        <f aca="false">INDEX(Summary!$K$2:$K$201,MATCH($B3616,Summary!$A$2:$A$201,0))</f>
        <v>7.81</v>
      </c>
      <c r="P3616" s="3" t="n">
        <f aca="false">INDEX(Summary!$L$2:$L$201,MATCH($B3616,Summary!$A$2:$A$201,0))</f>
        <v>5</v>
      </c>
      <c r="Q3616" s="3" t="n">
        <f aca="false">INDEX(Summary!$M$2:$M$201,MATCH($B3616,Summary!$A$2:$A$201,0))</f>
        <v>1</v>
      </c>
      <c r="R3616" s="2" t="n">
        <f aca="false">INDEX(Summary!$N$2:$N$201,MATCH($B3616,Summary!$A$2:$A$201,0))</f>
        <v>9.16</v>
      </c>
      <c r="S3616" s="3" t="n">
        <f aca="false">INDEX(Summary!$O$2:$O$201,MATCH($B3616,Summary!$A$2:$A$201,0))</f>
        <v>8</v>
      </c>
      <c r="T3616" s="3" t="n">
        <f aca="false">INDEX(Summary!$P$2:$P$201,MATCH($B3616,Summary!$A$2:$A$201,0))</f>
        <v>1</v>
      </c>
      <c r="U3616" s="2" t="n">
        <f aca="false">INDEX(Summary!$Q$2:$Q$201,MATCH($B3616,Summary!$A$2:$A$201,0))</f>
        <v>13.56</v>
      </c>
      <c r="V3616" s="2" t="n">
        <f aca="false">INDEX(Summary!$R$2:$R$201,MATCH($B3616,Summary!$A$2:$A$201,0))</f>
        <v>33.68</v>
      </c>
      <c r="W3616" s="0" t="str">
        <f aca="false">INDEX(Summary!$S$2:$S$201,MATCH($B3616,Summary!$A$2:$A$201,0))</f>
        <v>Gold</v>
      </c>
      <c r="X3616" s="2" t="n">
        <f aca="false">INDEX(Summary!$T$2:$T$201,MATCH($B3616,Summary!$A$2:$A$201,0))</f>
        <v>82.15</v>
      </c>
      <c r="Y3616" s="0" t="str">
        <f aca="false">INDEX('Reward Model'!$E$18:$E$37,MATCH($E3616,'Reward Model'!$A$18:$A$37,0))</f>
        <v>Medium</v>
      </c>
      <c r="Z3616" s="4" t="n">
        <f aca="false">ROUND(MIN(1,MAX('Reward Model'!$B$2,INDEX('Reward Model'!$C$12:$C$14,MATCH($K3616,'Reward Model'!$A$12:$A$14,0))/$J3616)),3)</f>
        <v>1</v>
      </c>
      <c r="AA3616" s="2" t="n">
        <f aca="false">IF($I3616="Correct",ROUND(INDEX('Reward Model'!$B$12:$B$14,MATCH($K3616,'Reward Model'!$A$12:$A$14,0))*Z3616,2),0)</f>
        <v>2</v>
      </c>
      <c r="AB3616" s="2" t="n">
        <f aca="false">IF($I3616="Correct",ROUND(INDEX('Reward Model'!$B$12:$B$14,MATCH($Y3616,'Reward Model'!$A$12:$A$14,0))*Z3616,2),0)</f>
        <v>2</v>
      </c>
    </row>
    <row r="3617" customFormat="false" ht="15" hidden="false" customHeight="false" outlineLevel="0" collapsed="false">
      <c r="A3617" s="0" t="s">
        <v>492</v>
      </c>
      <c r="B3617" s="0" t="s">
        <v>493</v>
      </c>
      <c r="C3617" s="0" t="s">
        <v>322</v>
      </c>
      <c r="D3617" s="0" t="s">
        <v>275</v>
      </c>
      <c r="E3617" s="0" t="n">
        <v>16</v>
      </c>
      <c r="F3617" s="0" t="s">
        <v>71</v>
      </c>
      <c r="G3617" s="0" t="s">
        <v>87</v>
      </c>
      <c r="H3617" s="0" t="s">
        <v>72</v>
      </c>
      <c r="I3617" s="0" t="s">
        <v>39</v>
      </c>
      <c r="J3617" s="0" t="n">
        <v>1.21</v>
      </c>
      <c r="K3617" s="0" t="s">
        <v>73</v>
      </c>
      <c r="L3617" s="0" t="n">
        <f aca="false">INDEX(Summary!$F$2:$F$201,MATCH($B3617,Summary!$A$2:$A$201,0))</f>
        <v>20</v>
      </c>
      <c r="M3617" s="0" t="n">
        <f aca="false">INDEX(Summary!$I$2:$I$201,MATCH($B3617,Summary!$A$2:$A$201,0))</f>
        <v>4</v>
      </c>
      <c r="N3617" s="0" t="n">
        <f aca="false">INDEX(Summary!$J$2:$J$201,MATCH($B3617,Summary!$A$2:$A$201,0))</f>
        <v>1</v>
      </c>
      <c r="O3617" s="2" t="n">
        <f aca="false">INDEX(Summary!$K$2:$K$201,MATCH($B3617,Summary!$A$2:$A$201,0))</f>
        <v>7.81</v>
      </c>
      <c r="P3617" s="3" t="n">
        <f aca="false">INDEX(Summary!$L$2:$L$201,MATCH($B3617,Summary!$A$2:$A$201,0))</f>
        <v>5</v>
      </c>
      <c r="Q3617" s="3" t="n">
        <f aca="false">INDEX(Summary!$M$2:$M$201,MATCH($B3617,Summary!$A$2:$A$201,0))</f>
        <v>1</v>
      </c>
      <c r="R3617" s="2" t="n">
        <f aca="false">INDEX(Summary!$N$2:$N$201,MATCH($B3617,Summary!$A$2:$A$201,0))</f>
        <v>9.16</v>
      </c>
      <c r="S3617" s="3" t="n">
        <f aca="false">INDEX(Summary!$O$2:$O$201,MATCH($B3617,Summary!$A$2:$A$201,0))</f>
        <v>8</v>
      </c>
      <c r="T3617" s="3" t="n">
        <f aca="false">INDEX(Summary!$P$2:$P$201,MATCH($B3617,Summary!$A$2:$A$201,0))</f>
        <v>1</v>
      </c>
      <c r="U3617" s="2" t="n">
        <f aca="false">INDEX(Summary!$Q$2:$Q$201,MATCH($B3617,Summary!$A$2:$A$201,0))</f>
        <v>13.56</v>
      </c>
      <c r="V3617" s="2" t="n">
        <f aca="false">INDEX(Summary!$R$2:$R$201,MATCH($B3617,Summary!$A$2:$A$201,0))</f>
        <v>33.68</v>
      </c>
      <c r="W3617" s="0" t="str">
        <f aca="false">INDEX(Summary!$S$2:$S$201,MATCH($B3617,Summary!$A$2:$A$201,0))</f>
        <v>Gold</v>
      </c>
      <c r="X3617" s="2" t="n">
        <f aca="false">INDEX(Summary!$T$2:$T$201,MATCH($B3617,Summary!$A$2:$A$201,0))</f>
        <v>82.15</v>
      </c>
      <c r="Y3617" s="0" t="str">
        <f aca="false">INDEX('Reward Model'!$E$18:$E$37,MATCH($E3617,'Reward Model'!$A$18:$A$37,0))</f>
        <v>High</v>
      </c>
      <c r="Z3617" s="4" t="n">
        <f aca="false">ROUND(MIN(1,MAX('Reward Model'!$B$2,INDEX('Reward Model'!$C$12:$C$14,MATCH($K3617,'Reward Model'!$A$12:$A$14,0))/$J3617)),3)</f>
        <v>1</v>
      </c>
      <c r="AA3617" s="2" t="n">
        <f aca="false">IF($I3617="Correct",ROUND(INDEX('Reward Model'!$B$12:$B$14,MATCH($K3617,'Reward Model'!$A$12:$A$14,0))*Z3617,2),0)</f>
        <v>0</v>
      </c>
      <c r="AB3617" s="2" t="n">
        <f aca="false">IF($I3617="Correct",ROUND(INDEX('Reward Model'!$B$12:$B$14,MATCH($Y3617,'Reward Model'!$A$12:$A$14,0))*Z3617,2),0)</f>
        <v>0</v>
      </c>
    </row>
    <row r="3618" customFormat="false" ht="15" hidden="false" customHeight="false" outlineLevel="0" collapsed="false">
      <c r="A3618" s="0" t="s">
        <v>492</v>
      </c>
      <c r="B3618" s="0" t="s">
        <v>493</v>
      </c>
      <c r="C3618" s="0" t="s">
        <v>322</v>
      </c>
      <c r="D3618" s="0" t="s">
        <v>275</v>
      </c>
      <c r="E3618" s="0" t="n">
        <v>17</v>
      </c>
      <c r="F3618" s="0" t="s">
        <v>74</v>
      </c>
      <c r="G3618" s="0" t="s">
        <v>75</v>
      </c>
      <c r="H3618" s="0" t="s">
        <v>75</v>
      </c>
      <c r="I3618" s="0" t="s">
        <v>34</v>
      </c>
      <c r="J3618" s="0" t="n">
        <v>1.36</v>
      </c>
      <c r="K3618" s="0" t="s">
        <v>73</v>
      </c>
      <c r="L3618" s="0" t="n">
        <f aca="false">INDEX(Summary!$F$2:$F$201,MATCH($B3618,Summary!$A$2:$A$201,0))</f>
        <v>20</v>
      </c>
      <c r="M3618" s="0" t="n">
        <f aca="false">INDEX(Summary!$I$2:$I$201,MATCH($B3618,Summary!$A$2:$A$201,0))</f>
        <v>4</v>
      </c>
      <c r="N3618" s="0" t="n">
        <f aca="false">INDEX(Summary!$J$2:$J$201,MATCH($B3618,Summary!$A$2:$A$201,0))</f>
        <v>1</v>
      </c>
      <c r="O3618" s="2" t="n">
        <f aca="false">INDEX(Summary!$K$2:$K$201,MATCH($B3618,Summary!$A$2:$A$201,0))</f>
        <v>7.81</v>
      </c>
      <c r="P3618" s="3" t="n">
        <f aca="false">INDEX(Summary!$L$2:$L$201,MATCH($B3618,Summary!$A$2:$A$201,0))</f>
        <v>5</v>
      </c>
      <c r="Q3618" s="3" t="n">
        <f aca="false">INDEX(Summary!$M$2:$M$201,MATCH($B3618,Summary!$A$2:$A$201,0))</f>
        <v>1</v>
      </c>
      <c r="R3618" s="2" t="n">
        <f aca="false">INDEX(Summary!$N$2:$N$201,MATCH($B3618,Summary!$A$2:$A$201,0))</f>
        <v>9.16</v>
      </c>
      <c r="S3618" s="3" t="n">
        <f aca="false">INDEX(Summary!$O$2:$O$201,MATCH($B3618,Summary!$A$2:$A$201,0))</f>
        <v>8</v>
      </c>
      <c r="T3618" s="3" t="n">
        <f aca="false">INDEX(Summary!$P$2:$P$201,MATCH($B3618,Summary!$A$2:$A$201,0))</f>
        <v>1</v>
      </c>
      <c r="U3618" s="2" t="n">
        <f aca="false">INDEX(Summary!$Q$2:$Q$201,MATCH($B3618,Summary!$A$2:$A$201,0))</f>
        <v>13.56</v>
      </c>
      <c r="V3618" s="2" t="n">
        <f aca="false">INDEX(Summary!$R$2:$R$201,MATCH($B3618,Summary!$A$2:$A$201,0))</f>
        <v>33.68</v>
      </c>
      <c r="W3618" s="0" t="str">
        <f aca="false">INDEX(Summary!$S$2:$S$201,MATCH($B3618,Summary!$A$2:$A$201,0))</f>
        <v>Gold</v>
      </c>
      <c r="X3618" s="2" t="n">
        <f aca="false">INDEX(Summary!$T$2:$T$201,MATCH($B3618,Summary!$A$2:$A$201,0))</f>
        <v>82.15</v>
      </c>
      <c r="Y3618" s="0" t="str">
        <f aca="false">INDEX('Reward Model'!$E$18:$E$37,MATCH($E3618,'Reward Model'!$A$18:$A$37,0))</f>
        <v>High</v>
      </c>
      <c r="Z3618" s="4" t="n">
        <f aca="false">ROUND(MIN(1,MAX('Reward Model'!$B$2,INDEX('Reward Model'!$C$12:$C$14,MATCH($K3618,'Reward Model'!$A$12:$A$14,0))/$J3618)),3)</f>
        <v>1</v>
      </c>
      <c r="AA3618" s="2" t="n">
        <f aca="false">IF($I3618="Correct",ROUND(INDEX('Reward Model'!$B$12:$B$14,MATCH($K3618,'Reward Model'!$A$12:$A$14,0))*Z3618,2),0)</f>
        <v>3</v>
      </c>
      <c r="AB3618" s="2" t="n">
        <f aca="false">IF($I3618="Correct",ROUND(INDEX('Reward Model'!$B$12:$B$14,MATCH($Y3618,'Reward Model'!$A$12:$A$14,0))*Z3618,2),0)</f>
        <v>3</v>
      </c>
    </row>
    <row r="3619" customFormat="false" ht="15" hidden="false" customHeight="false" outlineLevel="0" collapsed="false">
      <c r="A3619" s="0" t="s">
        <v>492</v>
      </c>
      <c r="B3619" s="0" t="s">
        <v>493</v>
      </c>
      <c r="C3619" s="0" t="s">
        <v>322</v>
      </c>
      <c r="D3619" s="0" t="s">
        <v>275</v>
      </c>
      <c r="E3619" s="0" t="n">
        <v>18</v>
      </c>
      <c r="F3619" s="0" t="s">
        <v>76</v>
      </c>
      <c r="G3619" s="0" t="s">
        <v>77</v>
      </c>
      <c r="H3619" s="0" t="s">
        <v>77</v>
      </c>
      <c r="I3619" s="0" t="s">
        <v>34</v>
      </c>
      <c r="J3619" s="0" t="n">
        <v>1.34</v>
      </c>
      <c r="K3619" s="0" t="s">
        <v>73</v>
      </c>
      <c r="L3619" s="0" t="n">
        <f aca="false">INDEX(Summary!$F$2:$F$201,MATCH($B3619,Summary!$A$2:$A$201,0))</f>
        <v>20</v>
      </c>
      <c r="M3619" s="0" t="n">
        <f aca="false">INDEX(Summary!$I$2:$I$201,MATCH($B3619,Summary!$A$2:$A$201,0))</f>
        <v>4</v>
      </c>
      <c r="N3619" s="0" t="n">
        <f aca="false">INDEX(Summary!$J$2:$J$201,MATCH($B3619,Summary!$A$2:$A$201,0))</f>
        <v>1</v>
      </c>
      <c r="O3619" s="2" t="n">
        <f aca="false">INDEX(Summary!$K$2:$K$201,MATCH($B3619,Summary!$A$2:$A$201,0))</f>
        <v>7.81</v>
      </c>
      <c r="P3619" s="3" t="n">
        <f aca="false">INDEX(Summary!$L$2:$L$201,MATCH($B3619,Summary!$A$2:$A$201,0))</f>
        <v>5</v>
      </c>
      <c r="Q3619" s="3" t="n">
        <f aca="false">INDEX(Summary!$M$2:$M$201,MATCH($B3619,Summary!$A$2:$A$201,0))</f>
        <v>1</v>
      </c>
      <c r="R3619" s="2" t="n">
        <f aca="false">INDEX(Summary!$N$2:$N$201,MATCH($B3619,Summary!$A$2:$A$201,0))</f>
        <v>9.16</v>
      </c>
      <c r="S3619" s="3" t="n">
        <f aca="false">INDEX(Summary!$O$2:$O$201,MATCH($B3619,Summary!$A$2:$A$201,0))</f>
        <v>8</v>
      </c>
      <c r="T3619" s="3" t="n">
        <f aca="false">INDEX(Summary!$P$2:$P$201,MATCH($B3619,Summary!$A$2:$A$201,0))</f>
        <v>1</v>
      </c>
      <c r="U3619" s="2" t="n">
        <f aca="false">INDEX(Summary!$Q$2:$Q$201,MATCH($B3619,Summary!$A$2:$A$201,0))</f>
        <v>13.56</v>
      </c>
      <c r="V3619" s="2" t="n">
        <f aca="false">INDEX(Summary!$R$2:$R$201,MATCH($B3619,Summary!$A$2:$A$201,0))</f>
        <v>33.68</v>
      </c>
      <c r="W3619" s="0" t="str">
        <f aca="false">INDEX(Summary!$S$2:$S$201,MATCH($B3619,Summary!$A$2:$A$201,0))</f>
        <v>Gold</v>
      </c>
      <c r="X3619" s="2" t="n">
        <f aca="false">INDEX(Summary!$T$2:$T$201,MATCH($B3619,Summary!$A$2:$A$201,0))</f>
        <v>82.15</v>
      </c>
      <c r="Y3619" s="0" t="str">
        <f aca="false">INDEX('Reward Model'!$E$18:$E$37,MATCH($E3619,'Reward Model'!$A$18:$A$37,0))</f>
        <v>High</v>
      </c>
      <c r="Z3619" s="4" t="n">
        <f aca="false">ROUND(MIN(1,MAX('Reward Model'!$B$2,INDEX('Reward Model'!$C$12:$C$14,MATCH($K3619,'Reward Model'!$A$12:$A$14,0))/$J3619)),3)</f>
        <v>1</v>
      </c>
      <c r="AA3619" s="2" t="n">
        <f aca="false">IF($I3619="Correct",ROUND(INDEX('Reward Model'!$B$12:$B$14,MATCH($K3619,'Reward Model'!$A$12:$A$14,0))*Z3619,2),0)</f>
        <v>3</v>
      </c>
      <c r="AB3619" s="2" t="n">
        <f aca="false">IF($I3619="Correct",ROUND(INDEX('Reward Model'!$B$12:$B$14,MATCH($Y3619,'Reward Model'!$A$12:$A$14,0))*Z3619,2),0)</f>
        <v>3</v>
      </c>
    </row>
    <row r="3620" customFormat="false" ht="15" hidden="false" customHeight="false" outlineLevel="0" collapsed="false">
      <c r="A3620" s="0" t="s">
        <v>492</v>
      </c>
      <c r="B3620" s="0" t="s">
        <v>493</v>
      </c>
      <c r="C3620" s="0" t="s">
        <v>322</v>
      </c>
      <c r="D3620" s="0" t="s">
        <v>275</v>
      </c>
      <c r="E3620" s="0" t="n">
        <v>19</v>
      </c>
      <c r="F3620" s="0" t="s">
        <v>78</v>
      </c>
      <c r="G3620" s="0" t="s">
        <v>80</v>
      </c>
      <c r="H3620" s="0" t="s">
        <v>80</v>
      </c>
      <c r="I3620" s="0" t="s">
        <v>34</v>
      </c>
      <c r="J3620" s="0" t="n">
        <v>1.67</v>
      </c>
      <c r="K3620" s="0" t="s">
        <v>73</v>
      </c>
      <c r="L3620" s="0" t="n">
        <f aca="false">INDEX(Summary!$F$2:$F$201,MATCH($B3620,Summary!$A$2:$A$201,0))</f>
        <v>20</v>
      </c>
      <c r="M3620" s="0" t="n">
        <f aca="false">INDEX(Summary!$I$2:$I$201,MATCH($B3620,Summary!$A$2:$A$201,0))</f>
        <v>4</v>
      </c>
      <c r="N3620" s="0" t="n">
        <f aca="false">INDEX(Summary!$J$2:$J$201,MATCH($B3620,Summary!$A$2:$A$201,0))</f>
        <v>1</v>
      </c>
      <c r="O3620" s="2" t="n">
        <f aca="false">INDEX(Summary!$K$2:$K$201,MATCH($B3620,Summary!$A$2:$A$201,0))</f>
        <v>7.81</v>
      </c>
      <c r="P3620" s="3" t="n">
        <f aca="false">INDEX(Summary!$L$2:$L$201,MATCH($B3620,Summary!$A$2:$A$201,0))</f>
        <v>5</v>
      </c>
      <c r="Q3620" s="3" t="n">
        <f aca="false">INDEX(Summary!$M$2:$M$201,MATCH($B3620,Summary!$A$2:$A$201,0))</f>
        <v>1</v>
      </c>
      <c r="R3620" s="2" t="n">
        <f aca="false">INDEX(Summary!$N$2:$N$201,MATCH($B3620,Summary!$A$2:$A$201,0))</f>
        <v>9.16</v>
      </c>
      <c r="S3620" s="3" t="n">
        <f aca="false">INDEX(Summary!$O$2:$O$201,MATCH($B3620,Summary!$A$2:$A$201,0))</f>
        <v>8</v>
      </c>
      <c r="T3620" s="3" t="n">
        <f aca="false">INDEX(Summary!$P$2:$P$201,MATCH($B3620,Summary!$A$2:$A$201,0))</f>
        <v>1</v>
      </c>
      <c r="U3620" s="2" t="n">
        <f aca="false">INDEX(Summary!$Q$2:$Q$201,MATCH($B3620,Summary!$A$2:$A$201,0))</f>
        <v>13.56</v>
      </c>
      <c r="V3620" s="2" t="n">
        <f aca="false">INDEX(Summary!$R$2:$R$201,MATCH($B3620,Summary!$A$2:$A$201,0))</f>
        <v>33.68</v>
      </c>
      <c r="W3620" s="0" t="str">
        <f aca="false">INDEX(Summary!$S$2:$S$201,MATCH($B3620,Summary!$A$2:$A$201,0))</f>
        <v>Gold</v>
      </c>
      <c r="X3620" s="2" t="n">
        <f aca="false">INDEX(Summary!$T$2:$T$201,MATCH($B3620,Summary!$A$2:$A$201,0))</f>
        <v>82.15</v>
      </c>
      <c r="Y3620" s="0" t="str">
        <f aca="false">INDEX('Reward Model'!$E$18:$E$37,MATCH($E3620,'Reward Model'!$A$18:$A$37,0))</f>
        <v>High</v>
      </c>
      <c r="Z3620" s="4" t="n">
        <f aca="false">ROUND(MIN(1,MAX('Reward Model'!$B$2,INDEX('Reward Model'!$C$12:$C$14,MATCH($K3620,'Reward Model'!$A$12:$A$14,0))/$J3620)),3)</f>
        <v>1</v>
      </c>
      <c r="AA3620" s="2" t="n">
        <f aca="false">IF($I3620="Correct",ROUND(INDEX('Reward Model'!$B$12:$B$14,MATCH($K3620,'Reward Model'!$A$12:$A$14,0))*Z3620,2),0)</f>
        <v>3</v>
      </c>
      <c r="AB3620" s="2" t="n">
        <f aca="false">IF($I3620="Correct",ROUND(INDEX('Reward Model'!$B$12:$B$14,MATCH($Y3620,'Reward Model'!$A$12:$A$14,0))*Z3620,2),0)</f>
        <v>3</v>
      </c>
    </row>
    <row r="3621" customFormat="false" ht="15" hidden="false" customHeight="false" outlineLevel="0" collapsed="false">
      <c r="A3621" s="0" t="s">
        <v>492</v>
      </c>
      <c r="B3621" s="0" t="s">
        <v>493</v>
      </c>
      <c r="C3621" s="0" t="s">
        <v>322</v>
      </c>
      <c r="D3621" s="0" t="s">
        <v>275</v>
      </c>
      <c r="E3621" s="0" t="n">
        <v>20</v>
      </c>
      <c r="F3621" s="0" t="s">
        <v>81</v>
      </c>
      <c r="G3621" s="0" t="s">
        <v>83</v>
      </c>
      <c r="H3621" s="0" t="s">
        <v>83</v>
      </c>
      <c r="I3621" s="0" t="s">
        <v>34</v>
      </c>
      <c r="J3621" s="0" t="n">
        <v>2.23</v>
      </c>
      <c r="K3621" s="0" t="s">
        <v>73</v>
      </c>
      <c r="L3621" s="0" t="n">
        <f aca="false">INDEX(Summary!$F$2:$F$201,MATCH($B3621,Summary!$A$2:$A$201,0))</f>
        <v>20</v>
      </c>
      <c r="M3621" s="0" t="n">
        <f aca="false">INDEX(Summary!$I$2:$I$201,MATCH($B3621,Summary!$A$2:$A$201,0))</f>
        <v>4</v>
      </c>
      <c r="N3621" s="0" t="n">
        <f aca="false">INDEX(Summary!$J$2:$J$201,MATCH($B3621,Summary!$A$2:$A$201,0))</f>
        <v>1</v>
      </c>
      <c r="O3621" s="2" t="n">
        <f aca="false">INDEX(Summary!$K$2:$K$201,MATCH($B3621,Summary!$A$2:$A$201,0))</f>
        <v>7.81</v>
      </c>
      <c r="P3621" s="3" t="n">
        <f aca="false">INDEX(Summary!$L$2:$L$201,MATCH($B3621,Summary!$A$2:$A$201,0))</f>
        <v>5</v>
      </c>
      <c r="Q3621" s="3" t="n">
        <f aca="false">INDEX(Summary!$M$2:$M$201,MATCH($B3621,Summary!$A$2:$A$201,0))</f>
        <v>1</v>
      </c>
      <c r="R3621" s="2" t="n">
        <f aca="false">INDEX(Summary!$N$2:$N$201,MATCH($B3621,Summary!$A$2:$A$201,0))</f>
        <v>9.16</v>
      </c>
      <c r="S3621" s="3" t="n">
        <f aca="false">INDEX(Summary!$O$2:$O$201,MATCH($B3621,Summary!$A$2:$A$201,0))</f>
        <v>8</v>
      </c>
      <c r="T3621" s="3" t="n">
        <f aca="false">INDEX(Summary!$P$2:$P$201,MATCH($B3621,Summary!$A$2:$A$201,0))</f>
        <v>1</v>
      </c>
      <c r="U3621" s="2" t="n">
        <f aca="false">INDEX(Summary!$Q$2:$Q$201,MATCH($B3621,Summary!$A$2:$A$201,0))</f>
        <v>13.56</v>
      </c>
      <c r="V3621" s="2" t="n">
        <f aca="false">INDEX(Summary!$R$2:$R$201,MATCH($B3621,Summary!$A$2:$A$201,0))</f>
        <v>33.68</v>
      </c>
      <c r="W3621" s="0" t="str">
        <f aca="false">INDEX(Summary!$S$2:$S$201,MATCH($B3621,Summary!$A$2:$A$201,0))</f>
        <v>Gold</v>
      </c>
      <c r="X3621" s="2" t="n">
        <f aca="false">INDEX(Summary!$T$2:$T$201,MATCH($B3621,Summary!$A$2:$A$201,0))</f>
        <v>82.15</v>
      </c>
      <c r="Y3621" s="0" t="str">
        <f aca="false">INDEX('Reward Model'!$E$18:$E$37,MATCH($E3621,'Reward Model'!$A$18:$A$37,0))</f>
        <v>High</v>
      </c>
      <c r="Z3621" s="4" t="n">
        <f aca="false">ROUND(MIN(1,MAX('Reward Model'!$B$2,INDEX('Reward Model'!$C$12:$C$14,MATCH($K3621,'Reward Model'!$A$12:$A$14,0))/$J3621)),3)</f>
        <v>0.897</v>
      </c>
      <c r="AA3621" s="2" t="n">
        <f aca="false">IF($I3621="Correct",ROUND(INDEX('Reward Model'!$B$12:$B$14,MATCH($K3621,'Reward Model'!$A$12:$A$14,0))*Z3621,2),0)</f>
        <v>2.69</v>
      </c>
      <c r="AB3621" s="2" t="n">
        <f aca="false">IF($I3621="Correct",ROUND(INDEX('Reward Model'!$B$12:$B$14,MATCH($Y3621,'Reward Model'!$A$12:$A$14,0))*Z3621,2),0)</f>
        <v>2.69</v>
      </c>
    </row>
    <row r="3622" customFormat="false" ht="15" hidden="false" customHeight="false" outlineLevel="0" collapsed="false">
      <c r="A3622" s="0" t="s">
        <v>494</v>
      </c>
      <c r="B3622" s="0" t="s">
        <v>495</v>
      </c>
      <c r="C3622" s="0" t="s">
        <v>322</v>
      </c>
      <c r="D3622" s="0" t="s">
        <v>275</v>
      </c>
      <c r="E3622" s="0" t="n">
        <v>1</v>
      </c>
      <c r="F3622" s="0" t="s">
        <v>32</v>
      </c>
      <c r="G3622" s="0" t="s">
        <v>91</v>
      </c>
      <c r="H3622" s="0" t="s">
        <v>33</v>
      </c>
      <c r="I3622" s="0" t="s">
        <v>39</v>
      </c>
      <c r="J3622" s="0" t="n">
        <v>1.97</v>
      </c>
      <c r="K3622" s="0" t="s">
        <v>35</v>
      </c>
      <c r="L3622" s="0" t="n">
        <f aca="false">INDEX(Summary!$F$2:$F$201,MATCH($B3622,Summary!$A$2:$A$201,0))</f>
        <v>20</v>
      </c>
      <c r="M3622" s="0" t="n">
        <f aca="false">INDEX(Summary!$I$2:$I$201,MATCH($B3622,Summary!$A$2:$A$201,0))</f>
        <v>1</v>
      </c>
      <c r="N3622" s="0" t="n">
        <f aca="false">INDEX(Summary!$J$2:$J$201,MATCH($B3622,Summary!$A$2:$A$201,0))</f>
        <v>4</v>
      </c>
      <c r="O3622" s="2" t="n">
        <f aca="false">INDEX(Summary!$K$2:$K$201,MATCH($B3622,Summary!$A$2:$A$201,0))</f>
        <v>8.58</v>
      </c>
      <c r="P3622" s="3" t="n">
        <f aca="false">INDEX(Summary!$L$2:$L$201,MATCH($B3622,Summary!$A$2:$A$201,0))</f>
        <v>5</v>
      </c>
      <c r="Q3622" s="3" t="n">
        <f aca="false">INDEX(Summary!$M$2:$M$201,MATCH($B3622,Summary!$A$2:$A$201,0))</f>
        <v>1</v>
      </c>
      <c r="R3622" s="2" t="n">
        <f aca="false">INDEX(Summary!$N$2:$N$201,MATCH($B3622,Summary!$A$2:$A$201,0))</f>
        <v>10.7</v>
      </c>
      <c r="S3622" s="3" t="n">
        <f aca="false">INDEX(Summary!$O$2:$O$201,MATCH($B3622,Summary!$A$2:$A$201,0))</f>
        <v>6</v>
      </c>
      <c r="T3622" s="3" t="n">
        <f aca="false">INDEX(Summary!$P$2:$P$201,MATCH($B3622,Summary!$A$2:$A$201,0))</f>
        <v>3</v>
      </c>
      <c r="U3622" s="2" t="n">
        <f aca="false">INDEX(Summary!$Q$2:$Q$201,MATCH($B3622,Summary!$A$2:$A$201,0))</f>
        <v>15.89</v>
      </c>
      <c r="V3622" s="2" t="n">
        <f aca="false">INDEX(Summary!$R$2:$R$201,MATCH($B3622,Summary!$A$2:$A$201,0))</f>
        <v>20.35</v>
      </c>
      <c r="W3622" s="0" t="str">
        <f aca="false">INDEX(Summary!$S$2:$S$201,MATCH($B3622,Summary!$A$2:$A$201,0))</f>
        <v>Bronze</v>
      </c>
      <c r="X3622" s="2" t="n">
        <f aca="false">INDEX(Summary!$T$2:$T$201,MATCH($B3622,Summary!$A$2:$A$201,0))</f>
        <v>49.63</v>
      </c>
      <c r="Y3622" s="0" t="str">
        <f aca="false">INDEX('Reward Model'!$E$18:$E$37,MATCH($E3622,'Reward Model'!$A$18:$A$37,0))</f>
        <v>Medium</v>
      </c>
      <c r="Z3622" s="4" t="n">
        <f aca="false">ROUND(MIN(1,MAX('Reward Model'!$B$2,INDEX('Reward Model'!$C$12:$C$14,MATCH($K3622,'Reward Model'!$A$12:$A$14,0))/$J3622)),3)</f>
        <v>0.761</v>
      </c>
      <c r="AA3622" s="2" t="n">
        <f aca="false">IF($I3622="Correct",ROUND(INDEX('Reward Model'!$B$12:$B$14,MATCH($K3622,'Reward Model'!$A$12:$A$14,0))*Z3622,2),0)</f>
        <v>0</v>
      </c>
      <c r="AB3622" s="2" t="n">
        <f aca="false">IF($I3622="Correct",ROUND(INDEX('Reward Model'!$B$12:$B$14,MATCH($Y3622,'Reward Model'!$A$12:$A$14,0))*Z3622,2),0)</f>
        <v>0</v>
      </c>
    </row>
    <row r="3623" customFormat="false" ht="15" hidden="false" customHeight="false" outlineLevel="0" collapsed="false">
      <c r="A3623" s="0" t="s">
        <v>494</v>
      </c>
      <c r="B3623" s="0" t="s">
        <v>495</v>
      </c>
      <c r="C3623" s="0" t="s">
        <v>322</v>
      </c>
      <c r="D3623" s="0" t="s">
        <v>275</v>
      </c>
      <c r="E3623" s="0" t="n">
        <v>2</v>
      </c>
      <c r="F3623" s="0" t="s">
        <v>36</v>
      </c>
      <c r="G3623" s="0" t="s">
        <v>38</v>
      </c>
      <c r="H3623" s="0" t="s">
        <v>38</v>
      </c>
      <c r="I3623" s="0" t="s">
        <v>34</v>
      </c>
      <c r="J3623" s="0" t="n">
        <v>1.41</v>
      </c>
      <c r="K3623" s="0" t="s">
        <v>35</v>
      </c>
      <c r="L3623" s="0" t="n">
        <f aca="false">INDEX(Summary!$F$2:$F$201,MATCH($B3623,Summary!$A$2:$A$201,0))</f>
        <v>20</v>
      </c>
      <c r="M3623" s="0" t="n">
        <f aca="false">INDEX(Summary!$I$2:$I$201,MATCH($B3623,Summary!$A$2:$A$201,0))</f>
        <v>1</v>
      </c>
      <c r="N3623" s="0" t="n">
        <f aca="false">INDEX(Summary!$J$2:$J$201,MATCH($B3623,Summary!$A$2:$A$201,0))</f>
        <v>4</v>
      </c>
      <c r="O3623" s="2" t="n">
        <f aca="false">INDEX(Summary!$K$2:$K$201,MATCH($B3623,Summary!$A$2:$A$201,0))</f>
        <v>8.58</v>
      </c>
      <c r="P3623" s="3" t="n">
        <f aca="false">INDEX(Summary!$L$2:$L$201,MATCH($B3623,Summary!$A$2:$A$201,0))</f>
        <v>5</v>
      </c>
      <c r="Q3623" s="3" t="n">
        <f aca="false">INDEX(Summary!$M$2:$M$201,MATCH($B3623,Summary!$A$2:$A$201,0))</f>
        <v>1</v>
      </c>
      <c r="R3623" s="2" t="n">
        <f aca="false">INDEX(Summary!$N$2:$N$201,MATCH($B3623,Summary!$A$2:$A$201,0))</f>
        <v>10.7</v>
      </c>
      <c r="S3623" s="3" t="n">
        <f aca="false">INDEX(Summary!$O$2:$O$201,MATCH($B3623,Summary!$A$2:$A$201,0))</f>
        <v>6</v>
      </c>
      <c r="T3623" s="3" t="n">
        <f aca="false">INDEX(Summary!$P$2:$P$201,MATCH($B3623,Summary!$A$2:$A$201,0))</f>
        <v>3</v>
      </c>
      <c r="U3623" s="2" t="n">
        <f aca="false">INDEX(Summary!$Q$2:$Q$201,MATCH($B3623,Summary!$A$2:$A$201,0))</f>
        <v>15.89</v>
      </c>
      <c r="V3623" s="2" t="n">
        <f aca="false">INDEX(Summary!$R$2:$R$201,MATCH($B3623,Summary!$A$2:$A$201,0))</f>
        <v>20.35</v>
      </c>
      <c r="W3623" s="0" t="str">
        <f aca="false">INDEX(Summary!$S$2:$S$201,MATCH($B3623,Summary!$A$2:$A$201,0))</f>
        <v>Bronze</v>
      </c>
      <c r="X3623" s="2" t="n">
        <f aca="false">INDEX(Summary!$T$2:$T$201,MATCH($B3623,Summary!$A$2:$A$201,0))</f>
        <v>49.63</v>
      </c>
      <c r="Y3623" s="0" t="str">
        <f aca="false">INDEX('Reward Model'!$E$18:$E$37,MATCH($E3623,'Reward Model'!$A$18:$A$37,0))</f>
        <v>Low</v>
      </c>
      <c r="Z3623" s="4" t="n">
        <f aca="false">ROUND(MIN(1,MAX('Reward Model'!$B$2,INDEX('Reward Model'!$C$12:$C$14,MATCH($K3623,'Reward Model'!$A$12:$A$14,0))/$J3623)),3)</f>
        <v>1</v>
      </c>
      <c r="AA3623" s="2" t="n">
        <f aca="false">IF($I3623="Correct",ROUND(INDEX('Reward Model'!$B$12:$B$14,MATCH($K3623,'Reward Model'!$A$12:$A$14,0))*Z3623,2),0)</f>
        <v>1</v>
      </c>
      <c r="AB3623" s="2" t="n">
        <f aca="false">IF($I3623="Correct",ROUND(INDEX('Reward Model'!$B$12:$B$14,MATCH($Y3623,'Reward Model'!$A$12:$A$14,0))*Z3623,2),0)</f>
        <v>1</v>
      </c>
    </row>
    <row r="3624" customFormat="false" ht="15" hidden="false" customHeight="false" outlineLevel="0" collapsed="false">
      <c r="A3624" s="0" t="s">
        <v>494</v>
      </c>
      <c r="B3624" s="0" t="s">
        <v>495</v>
      </c>
      <c r="C3624" s="0" t="s">
        <v>322</v>
      </c>
      <c r="D3624" s="0" t="s">
        <v>275</v>
      </c>
      <c r="E3624" s="0" t="n">
        <v>3</v>
      </c>
      <c r="F3624" s="0" t="s">
        <v>40</v>
      </c>
      <c r="G3624" s="0" t="s">
        <v>42</v>
      </c>
      <c r="H3624" s="0" t="s">
        <v>42</v>
      </c>
      <c r="I3624" s="0" t="s">
        <v>34</v>
      </c>
      <c r="J3624" s="0" t="n">
        <v>1.82</v>
      </c>
      <c r="K3624" s="0" t="s">
        <v>35</v>
      </c>
      <c r="L3624" s="0" t="n">
        <f aca="false">INDEX(Summary!$F$2:$F$201,MATCH($B3624,Summary!$A$2:$A$201,0))</f>
        <v>20</v>
      </c>
      <c r="M3624" s="0" t="n">
        <f aca="false">INDEX(Summary!$I$2:$I$201,MATCH($B3624,Summary!$A$2:$A$201,0))</f>
        <v>1</v>
      </c>
      <c r="N3624" s="0" t="n">
        <f aca="false">INDEX(Summary!$J$2:$J$201,MATCH($B3624,Summary!$A$2:$A$201,0))</f>
        <v>4</v>
      </c>
      <c r="O3624" s="2" t="n">
        <f aca="false">INDEX(Summary!$K$2:$K$201,MATCH($B3624,Summary!$A$2:$A$201,0))</f>
        <v>8.58</v>
      </c>
      <c r="P3624" s="3" t="n">
        <f aca="false">INDEX(Summary!$L$2:$L$201,MATCH($B3624,Summary!$A$2:$A$201,0))</f>
        <v>5</v>
      </c>
      <c r="Q3624" s="3" t="n">
        <f aca="false">INDEX(Summary!$M$2:$M$201,MATCH($B3624,Summary!$A$2:$A$201,0))</f>
        <v>1</v>
      </c>
      <c r="R3624" s="2" t="n">
        <f aca="false">INDEX(Summary!$N$2:$N$201,MATCH($B3624,Summary!$A$2:$A$201,0))</f>
        <v>10.7</v>
      </c>
      <c r="S3624" s="3" t="n">
        <f aca="false">INDEX(Summary!$O$2:$O$201,MATCH($B3624,Summary!$A$2:$A$201,0))</f>
        <v>6</v>
      </c>
      <c r="T3624" s="3" t="n">
        <f aca="false">INDEX(Summary!$P$2:$P$201,MATCH($B3624,Summary!$A$2:$A$201,0))</f>
        <v>3</v>
      </c>
      <c r="U3624" s="2" t="n">
        <f aca="false">INDEX(Summary!$Q$2:$Q$201,MATCH($B3624,Summary!$A$2:$A$201,0))</f>
        <v>15.89</v>
      </c>
      <c r="V3624" s="2" t="n">
        <f aca="false">INDEX(Summary!$R$2:$R$201,MATCH($B3624,Summary!$A$2:$A$201,0))</f>
        <v>20.35</v>
      </c>
      <c r="W3624" s="0" t="str">
        <f aca="false">INDEX(Summary!$S$2:$S$201,MATCH($B3624,Summary!$A$2:$A$201,0))</f>
        <v>Bronze</v>
      </c>
      <c r="X3624" s="2" t="n">
        <f aca="false">INDEX(Summary!$T$2:$T$201,MATCH($B3624,Summary!$A$2:$A$201,0))</f>
        <v>49.63</v>
      </c>
      <c r="Y3624" s="0" t="str">
        <f aca="false">INDEX('Reward Model'!$E$18:$E$37,MATCH($E3624,'Reward Model'!$A$18:$A$37,0))</f>
        <v>Medium</v>
      </c>
      <c r="Z3624" s="4" t="n">
        <f aca="false">ROUND(MIN(1,MAX('Reward Model'!$B$2,INDEX('Reward Model'!$C$12:$C$14,MATCH($K3624,'Reward Model'!$A$12:$A$14,0))/$J3624)),3)</f>
        <v>0.824</v>
      </c>
      <c r="AA3624" s="2" t="n">
        <f aca="false">IF($I3624="Correct",ROUND(INDEX('Reward Model'!$B$12:$B$14,MATCH($K3624,'Reward Model'!$A$12:$A$14,0))*Z3624,2),0)</f>
        <v>0.82</v>
      </c>
      <c r="AB3624" s="2" t="n">
        <f aca="false">IF($I3624="Correct",ROUND(INDEX('Reward Model'!$B$12:$B$14,MATCH($Y3624,'Reward Model'!$A$12:$A$14,0))*Z3624,2),0)</f>
        <v>1.65</v>
      </c>
    </row>
    <row r="3625" customFormat="false" ht="15" hidden="false" customHeight="false" outlineLevel="0" collapsed="false">
      <c r="A3625" s="0" t="s">
        <v>494</v>
      </c>
      <c r="B3625" s="0" t="s">
        <v>495</v>
      </c>
      <c r="C3625" s="0" t="s">
        <v>322</v>
      </c>
      <c r="D3625" s="0" t="s">
        <v>275</v>
      </c>
      <c r="E3625" s="0" t="n">
        <v>4</v>
      </c>
      <c r="F3625" s="0" t="s">
        <v>43</v>
      </c>
      <c r="G3625" s="0" t="s">
        <v>45</v>
      </c>
      <c r="H3625" s="0" t="s">
        <v>45</v>
      </c>
      <c r="I3625" s="0" t="s">
        <v>34</v>
      </c>
      <c r="J3625" s="0" t="n">
        <v>1.94</v>
      </c>
      <c r="K3625" s="0" t="s">
        <v>35</v>
      </c>
      <c r="L3625" s="0" t="n">
        <f aca="false">INDEX(Summary!$F$2:$F$201,MATCH($B3625,Summary!$A$2:$A$201,0))</f>
        <v>20</v>
      </c>
      <c r="M3625" s="0" t="n">
        <f aca="false">INDEX(Summary!$I$2:$I$201,MATCH($B3625,Summary!$A$2:$A$201,0))</f>
        <v>1</v>
      </c>
      <c r="N3625" s="0" t="n">
        <f aca="false">INDEX(Summary!$J$2:$J$201,MATCH($B3625,Summary!$A$2:$A$201,0))</f>
        <v>4</v>
      </c>
      <c r="O3625" s="2" t="n">
        <f aca="false">INDEX(Summary!$K$2:$K$201,MATCH($B3625,Summary!$A$2:$A$201,0))</f>
        <v>8.58</v>
      </c>
      <c r="P3625" s="3" t="n">
        <f aca="false">INDEX(Summary!$L$2:$L$201,MATCH($B3625,Summary!$A$2:$A$201,0))</f>
        <v>5</v>
      </c>
      <c r="Q3625" s="3" t="n">
        <f aca="false">INDEX(Summary!$M$2:$M$201,MATCH($B3625,Summary!$A$2:$A$201,0))</f>
        <v>1</v>
      </c>
      <c r="R3625" s="2" t="n">
        <f aca="false">INDEX(Summary!$N$2:$N$201,MATCH($B3625,Summary!$A$2:$A$201,0))</f>
        <v>10.7</v>
      </c>
      <c r="S3625" s="3" t="n">
        <f aca="false">INDEX(Summary!$O$2:$O$201,MATCH($B3625,Summary!$A$2:$A$201,0))</f>
        <v>6</v>
      </c>
      <c r="T3625" s="3" t="n">
        <f aca="false">INDEX(Summary!$P$2:$P$201,MATCH($B3625,Summary!$A$2:$A$201,0))</f>
        <v>3</v>
      </c>
      <c r="U3625" s="2" t="n">
        <f aca="false">INDEX(Summary!$Q$2:$Q$201,MATCH($B3625,Summary!$A$2:$A$201,0))</f>
        <v>15.89</v>
      </c>
      <c r="V3625" s="2" t="n">
        <f aca="false">INDEX(Summary!$R$2:$R$201,MATCH($B3625,Summary!$A$2:$A$201,0))</f>
        <v>20.35</v>
      </c>
      <c r="W3625" s="0" t="str">
        <f aca="false">INDEX(Summary!$S$2:$S$201,MATCH($B3625,Summary!$A$2:$A$201,0))</f>
        <v>Bronze</v>
      </c>
      <c r="X3625" s="2" t="n">
        <f aca="false">INDEX(Summary!$T$2:$T$201,MATCH($B3625,Summary!$A$2:$A$201,0))</f>
        <v>49.63</v>
      </c>
      <c r="Y3625" s="0" t="str">
        <f aca="false">INDEX('Reward Model'!$E$18:$E$37,MATCH($E3625,'Reward Model'!$A$18:$A$37,0))</f>
        <v>Low</v>
      </c>
      <c r="Z3625" s="4" t="n">
        <f aca="false">ROUND(MIN(1,MAX('Reward Model'!$B$2,INDEX('Reward Model'!$C$12:$C$14,MATCH($K3625,'Reward Model'!$A$12:$A$14,0))/$J3625)),3)</f>
        <v>0.773</v>
      </c>
      <c r="AA3625" s="2" t="n">
        <f aca="false">IF($I3625="Correct",ROUND(INDEX('Reward Model'!$B$12:$B$14,MATCH($K3625,'Reward Model'!$A$12:$A$14,0))*Z3625,2),0)</f>
        <v>0.77</v>
      </c>
      <c r="AB3625" s="2" t="n">
        <f aca="false">IF($I3625="Correct",ROUND(INDEX('Reward Model'!$B$12:$B$14,MATCH($Y3625,'Reward Model'!$A$12:$A$14,0))*Z3625,2),0)</f>
        <v>0.77</v>
      </c>
    </row>
    <row r="3626" customFormat="false" ht="15" hidden="false" customHeight="false" outlineLevel="0" collapsed="false">
      <c r="A3626" s="0" t="s">
        <v>494</v>
      </c>
      <c r="B3626" s="0" t="s">
        <v>495</v>
      </c>
      <c r="C3626" s="0" t="s">
        <v>322</v>
      </c>
      <c r="D3626" s="0" t="s">
        <v>275</v>
      </c>
      <c r="E3626" s="0" t="n">
        <v>5</v>
      </c>
      <c r="F3626" s="0" t="s">
        <v>46</v>
      </c>
      <c r="G3626" s="0" t="s">
        <v>164</v>
      </c>
      <c r="H3626" s="0" t="s">
        <v>47</v>
      </c>
      <c r="I3626" s="0" t="s">
        <v>39</v>
      </c>
      <c r="J3626" s="0" t="n">
        <v>1.91</v>
      </c>
      <c r="K3626" s="0" t="s">
        <v>35</v>
      </c>
      <c r="L3626" s="0" t="n">
        <f aca="false">INDEX(Summary!$F$2:$F$201,MATCH($B3626,Summary!$A$2:$A$201,0))</f>
        <v>20</v>
      </c>
      <c r="M3626" s="0" t="n">
        <f aca="false">INDEX(Summary!$I$2:$I$201,MATCH($B3626,Summary!$A$2:$A$201,0))</f>
        <v>1</v>
      </c>
      <c r="N3626" s="0" t="n">
        <f aca="false">INDEX(Summary!$J$2:$J$201,MATCH($B3626,Summary!$A$2:$A$201,0))</f>
        <v>4</v>
      </c>
      <c r="O3626" s="2" t="n">
        <f aca="false">INDEX(Summary!$K$2:$K$201,MATCH($B3626,Summary!$A$2:$A$201,0))</f>
        <v>8.58</v>
      </c>
      <c r="P3626" s="3" t="n">
        <f aca="false">INDEX(Summary!$L$2:$L$201,MATCH($B3626,Summary!$A$2:$A$201,0))</f>
        <v>5</v>
      </c>
      <c r="Q3626" s="3" t="n">
        <f aca="false">INDEX(Summary!$M$2:$M$201,MATCH($B3626,Summary!$A$2:$A$201,0))</f>
        <v>1</v>
      </c>
      <c r="R3626" s="2" t="n">
        <f aca="false">INDEX(Summary!$N$2:$N$201,MATCH($B3626,Summary!$A$2:$A$201,0))</f>
        <v>10.7</v>
      </c>
      <c r="S3626" s="3" t="n">
        <f aca="false">INDEX(Summary!$O$2:$O$201,MATCH($B3626,Summary!$A$2:$A$201,0))</f>
        <v>6</v>
      </c>
      <c r="T3626" s="3" t="n">
        <f aca="false">INDEX(Summary!$P$2:$P$201,MATCH($B3626,Summary!$A$2:$A$201,0))</f>
        <v>3</v>
      </c>
      <c r="U3626" s="2" t="n">
        <f aca="false">INDEX(Summary!$Q$2:$Q$201,MATCH($B3626,Summary!$A$2:$A$201,0))</f>
        <v>15.89</v>
      </c>
      <c r="V3626" s="2" t="n">
        <f aca="false">INDEX(Summary!$R$2:$R$201,MATCH($B3626,Summary!$A$2:$A$201,0))</f>
        <v>20.35</v>
      </c>
      <c r="W3626" s="0" t="str">
        <f aca="false">INDEX(Summary!$S$2:$S$201,MATCH($B3626,Summary!$A$2:$A$201,0))</f>
        <v>Bronze</v>
      </c>
      <c r="X3626" s="2" t="n">
        <f aca="false">INDEX(Summary!$T$2:$T$201,MATCH($B3626,Summary!$A$2:$A$201,0))</f>
        <v>49.63</v>
      </c>
      <c r="Y3626" s="0" t="str">
        <f aca="false">INDEX('Reward Model'!$E$18:$E$37,MATCH($E3626,'Reward Model'!$A$18:$A$37,0))</f>
        <v>Low</v>
      </c>
      <c r="Z3626" s="4" t="n">
        <f aca="false">ROUND(MIN(1,MAX('Reward Model'!$B$2,INDEX('Reward Model'!$C$12:$C$14,MATCH($K3626,'Reward Model'!$A$12:$A$14,0))/$J3626)),3)</f>
        <v>0.785</v>
      </c>
      <c r="AA3626" s="2" t="n">
        <f aca="false">IF($I3626="Correct",ROUND(INDEX('Reward Model'!$B$12:$B$14,MATCH($K3626,'Reward Model'!$A$12:$A$14,0))*Z3626,2),0)</f>
        <v>0</v>
      </c>
      <c r="AB3626" s="2" t="n">
        <f aca="false">IF($I3626="Correct",ROUND(INDEX('Reward Model'!$B$12:$B$14,MATCH($Y3626,'Reward Model'!$A$12:$A$14,0))*Z3626,2),0)</f>
        <v>0</v>
      </c>
    </row>
    <row r="3627" customFormat="false" ht="15" hidden="false" customHeight="false" outlineLevel="0" collapsed="false">
      <c r="A3627" s="0" t="s">
        <v>494</v>
      </c>
      <c r="B3627" s="0" t="s">
        <v>495</v>
      </c>
      <c r="C3627" s="0" t="s">
        <v>322</v>
      </c>
      <c r="D3627" s="0" t="s">
        <v>275</v>
      </c>
      <c r="E3627" s="0" t="n">
        <v>6</v>
      </c>
      <c r="F3627" s="0" t="s">
        <v>48</v>
      </c>
      <c r="G3627" s="0" t="s">
        <v>49</v>
      </c>
      <c r="H3627" s="0" t="s">
        <v>49</v>
      </c>
      <c r="I3627" s="0" t="s">
        <v>34</v>
      </c>
      <c r="J3627" s="0" t="n">
        <v>1.96</v>
      </c>
      <c r="K3627" s="0" t="s">
        <v>35</v>
      </c>
      <c r="L3627" s="0" t="n">
        <f aca="false">INDEX(Summary!$F$2:$F$201,MATCH($B3627,Summary!$A$2:$A$201,0))</f>
        <v>20</v>
      </c>
      <c r="M3627" s="0" t="n">
        <f aca="false">INDEX(Summary!$I$2:$I$201,MATCH($B3627,Summary!$A$2:$A$201,0))</f>
        <v>1</v>
      </c>
      <c r="N3627" s="0" t="n">
        <f aca="false">INDEX(Summary!$J$2:$J$201,MATCH($B3627,Summary!$A$2:$A$201,0))</f>
        <v>4</v>
      </c>
      <c r="O3627" s="2" t="n">
        <f aca="false">INDEX(Summary!$K$2:$K$201,MATCH($B3627,Summary!$A$2:$A$201,0))</f>
        <v>8.58</v>
      </c>
      <c r="P3627" s="3" t="n">
        <f aca="false">INDEX(Summary!$L$2:$L$201,MATCH($B3627,Summary!$A$2:$A$201,0))</f>
        <v>5</v>
      </c>
      <c r="Q3627" s="3" t="n">
        <f aca="false">INDEX(Summary!$M$2:$M$201,MATCH($B3627,Summary!$A$2:$A$201,0))</f>
        <v>1</v>
      </c>
      <c r="R3627" s="2" t="n">
        <f aca="false">INDEX(Summary!$N$2:$N$201,MATCH($B3627,Summary!$A$2:$A$201,0))</f>
        <v>10.7</v>
      </c>
      <c r="S3627" s="3" t="n">
        <f aca="false">INDEX(Summary!$O$2:$O$201,MATCH($B3627,Summary!$A$2:$A$201,0))</f>
        <v>6</v>
      </c>
      <c r="T3627" s="3" t="n">
        <f aca="false">INDEX(Summary!$P$2:$P$201,MATCH($B3627,Summary!$A$2:$A$201,0))</f>
        <v>3</v>
      </c>
      <c r="U3627" s="2" t="n">
        <f aca="false">INDEX(Summary!$Q$2:$Q$201,MATCH($B3627,Summary!$A$2:$A$201,0))</f>
        <v>15.89</v>
      </c>
      <c r="V3627" s="2" t="n">
        <f aca="false">INDEX(Summary!$R$2:$R$201,MATCH($B3627,Summary!$A$2:$A$201,0))</f>
        <v>20.35</v>
      </c>
      <c r="W3627" s="0" t="str">
        <f aca="false">INDEX(Summary!$S$2:$S$201,MATCH($B3627,Summary!$A$2:$A$201,0))</f>
        <v>Bronze</v>
      </c>
      <c r="X3627" s="2" t="n">
        <f aca="false">INDEX(Summary!$T$2:$T$201,MATCH($B3627,Summary!$A$2:$A$201,0))</f>
        <v>49.63</v>
      </c>
      <c r="Y3627" s="0" t="str">
        <f aca="false">INDEX('Reward Model'!$E$18:$E$37,MATCH($E3627,'Reward Model'!$A$18:$A$37,0))</f>
        <v>Medium</v>
      </c>
      <c r="Z3627" s="4" t="n">
        <f aca="false">ROUND(MIN(1,MAX('Reward Model'!$B$2,INDEX('Reward Model'!$C$12:$C$14,MATCH($K3627,'Reward Model'!$A$12:$A$14,0))/$J3627)),3)</f>
        <v>0.765</v>
      </c>
      <c r="AA3627" s="2" t="n">
        <f aca="false">IF($I3627="Correct",ROUND(INDEX('Reward Model'!$B$12:$B$14,MATCH($K3627,'Reward Model'!$A$12:$A$14,0))*Z3627,2),0)</f>
        <v>0.77</v>
      </c>
      <c r="AB3627" s="2" t="n">
        <f aca="false">IF($I3627="Correct",ROUND(INDEX('Reward Model'!$B$12:$B$14,MATCH($Y3627,'Reward Model'!$A$12:$A$14,0))*Z3627,2),0)</f>
        <v>1.53</v>
      </c>
    </row>
    <row r="3628" customFormat="false" ht="15" hidden="false" customHeight="false" outlineLevel="0" collapsed="false">
      <c r="A3628" s="0" t="s">
        <v>494</v>
      </c>
      <c r="B3628" s="0" t="s">
        <v>495</v>
      </c>
      <c r="C3628" s="0" t="s">
        <v>322</v>
      </c>
      <c r="D3628" s="0" t="s">
        <v>275</v>
      </c>
      <c r="E3628" s="0" t="n">
        <v>7</v>
      </c>
      <c r="F3628" s="0" t="s">
        <v>50</v>
      </c>
      <c r="G3628" s="0" t="s">
        <v>144</v>
      </c>
      <c r="H3628" s="0" t="s">
        <v>51</v>
      </c>
      <c r="I3628" s="0" t="s">
        <v>39</v>
      </c>
      <c r="J3628" s="0" t="n">
        <v>1.19</v>
      </c>
      <c r="K3628" s="0" t="s">
        <v>35</v>
      </c>
      <c r="L3628" s="0" t="n">
        <f aca="false">INDEX(Summary!$F$2:$F$201,MATCH($B3628,Summary!$A$2:$A$201,0))</f>
        <v>20</v>
      </c>
      <c r="M3628" s="0" t="n">
        <f aca="false">INDEX(Summary!$I$2:$I$201,MATCH($B3628,Summary!$A$2:$A$201,0))</f>
        <v>1</v>
      </c>
      <c r="N3628" s="0" t="n">
        <f aca="false">INDEX(Summary!$J$2:$J$201,MATCH($B3628,Summary!$A$2:$A$201,0))</f>
        <v>4</v>
      </c>
      <c r="O3628" s="2" t="n">
        <f aca="false">INDEX(Summary!$K$2:$K$201,MATCH($B3628,Summary!$A$2:$A$201,0))</f>
        <v>8.58</v>
      </c>
      <c r="P3628" s="3" t="n">
        <f aca="false">INDEX(Summary!$L$2:$L$201,MATCH($B3628,Summary!$A$2:$A$201,0))</f>
        <v>5</v>
      </c>
      <c r="Q3628" s="3" t="n">
        <f aca="false">INDEX(Summary!$M$2:$M$201,MATCH($B3628,Summary!$A$2:$A$201,0))</f>
        <v>1</v>
      </c>
      <c r="R3628" s="2" t="n">
        <f aca="false">INDEX(Summary!$N$2:$N$201,MATCH($B3628,Summary!$A$2:$A$201,0))</f>
        <v>10.7</v>
      </c>
      <c r="S3628" s="3" t="n">
        <f aca="false">INDEX(Summary!$O$2:$O$201,MATCH($B3628,Summary!$A$2:$A$201,0))</f>
        <v>6</v>
      </c>
      <c r="T3628" s="3" t="n">
        <f aca="false">INDEX(Summary!$P$2:$P$201,MATCH($B3628,Summary!$A$2:$A$201,0))</f>
        <v>3</v>
      </c>
      <c r="U3628" s="2" t="n">
        <f aca="false">INDEX(Summary!$Q$2:$Q$201,MATCH($B3628,Summary!$A$2:$A$201,0))</f>
        <v>15.89</v>
      </c>
      <c r="V3628" s="2" t="n">
        <f aca="false">INDEX(Summary!$R$2:$R$201,MATCH($B3628,Summary!$A$2:$A$201,0))</f>
        <v>20.35</v>
      </c>
      <c r="W3628" s="0" t="str">
        <f aca="false">INDEX(Summary!$S$2:$S$201,MATCH($B3628,Summary!$A$2:$A$201,0))</f>
        <v>Bronze</v>
      </c>
      <c r="X3628" s="2" t="n">
        <f aca="false">INDEX(Summary!$T$2:$T$201,MATCH($B3628,Summary!$A$2:$A$201,0))</f>
        <v>49.63</v>
      </c>
      <c r="Y3628" s="0" t="str">
        <f aca="false">INDEX('Reward Model'!$E$18:$E$37,MATCH($E3628,'Reward Model'!$A$18:$A$37,0))</f>
        <v>Low</v>
      </c>
      <c r="Z3628" s="4" t="n">
        <f aca="false">ROUND(MIN(1,MAX('Reward Model'!$B$2,INDEX('Reward Model'!$C$12:$C$14,MATCH($K3628,'Reward Model'!$A$12:$A$14,0))/$J3628)),3)</f>
        <v>1</v>
      </c>
      <c r="AA3628" s="2" t="n">
        <f aca="false">IF($I3628="Correct",ROUND(INDEX('Reward Model'!$B$12:$B$14,MATCH($K3628,'Reward Model'!$A$12:$A$14,0))*Z3628,2),0)</f>
        <v>0</v>
      </c>
      <c r="AB3628" s="2" t="n">
        <f aca="false">IF($I3628="Correct",ROUND(INDEX('Reward Model'!$B$12:$B$14,MATCH($Y3628,'Reward Model'!$A$12:$A$14,0))*Z3628,2),0)</f>
        <v>0</v>
      </c>
    </row>
    <row r="3629" customFormat="false" ht="15" hidden="false" customHeight="false" outlineLevel="0" collapsed="false">
      <c r="A3629" s="0" t="s">
        <v>494</v>
      </c>
      <c r="B3629" s="0" t="s">
        <v>495</v>
      </c>
      <c r="C3629" s="0" t="s">
        <v>322</v>
      </c>
      <c r="D3629" s="0" t="s">
        <v>275</v>
      </c>
      <c r="E3629" s="0" t="n">
        <v>8</v>
      </c>
      <c r="F3629" s="0" t="s">
        <v>52</v>
      </c>
      <c r="G3629" s="0" t="s">
        <v>54</v>
      </c>
      <c r="H3629" s="0" t="s">
        <v>54</v>
      </c>
      <c r="I3629" s="0" t="s">
        <v>34</v>
      </c>
      <c r="J3629" s="0" t="n">
        <v>1.76</v>
      </c>
      <c r="K3629" s="0" t="s">
        <v>35</v>
      </c>
      <c r="L3629" s="0" t="n">
        <f aca="false">INDEX(Summary!$F$2:$F$201,MATCH($B3629,Summary!$A$2:$A$201,0))</f>
        <v>20</v>
      </c>
      <c r="M3629" s="0" t="n">
        <f aca="false">INDEX(Summary!$I$2:$I$201,MATCH($B3629,Summary!$A$2:$A$201,0))</f>
        <v>1</v>
      </c>
      <c r="N3629" s="0" t="n">
        <f aca="false">INDEX(Summary!$J$2:$J$201,MATCH($B3629,Summary!$A$2:$A$201,0))</f>
        <v>4</v>
      </c>
      <c r="O3629" s="2" t="n">
        <f aca="false">INDEX(Summary!$K$2:$K$201,MATCH($B3629,Summary!$A$2:$A$201,0))</f>
        <v>8.58</v>
      </c>
      <c r="P3629" s="3" t="n">
        <f aca="false">INDEX(Summary!$L$2:$L$201,MATCH($B3629,Summary!$A$2:$A$201,0))</f>
        <v>5</v>
      </c>
      <c r="Q3629" s="3" t="n">
        <f aca="false">INDEX(Summary!$M$2:$M$201,MATCH($B3629,Summary!$A$2:$A$201,0))</f>
        <v>1</v>
      </c>
      <c r="R3629" s="2" t="n">
        <f aca="false">INDEX(Summary!$N$2:$N$201,MATCH($B3629,Summary!$A$2:$A$201,0))</f>
        <v>10.7</v>
      </c>
      <c r="S3629" s="3" t="n">
        <f aca="false">INDEX(Summary!$O$2:$O$201,MATCH($B3629,Summary!$A$2:$A$201,0))</f>
        <v>6</v>
      </c>
      <c r="T3629" s="3" t="n">
        <f aca="false">INDEX(Summary!$P$2:$P$201,MATCH($B3629,Summary!$A$2:$A$201,0))</f>
        <v>3</v>
      </c>
      <c r="U3629" s="2" t="n">
        <f aca="false">INDEX(Summary!$Q$2:$Q$201,MATCH($B3629,Summary!$A$2:$A$201,0))</f>
        <v>15.89</v>
      </c>
      <c r="V3629" s="2" t="n">
        <f aca="false">INDEX(Summary!$R$2:$R$201,MATCH($B3629,Summary!$A$2:$A$201,0))</f>
        <v>20.35</v>
      </c>
      <c r="W3629" s="0" t="str">
        <f aca="false">INDEX(Summary!$S$2:$S$201,MATCH($B3629,Summary!$A$2:$A$201,0))</f>
        <v>Bronze</v>
      </c>
      <c r="X3629" s="2" t="n">
        <f aca="false">INDEX(Summary!$T$2:$T$201,MATCH($B3629,Summary!$A$2:$A$201,0))</f>
        <v>49.63</v>
      </c>
      <c r="Y3629" s="0" t="str">
        <f aca="false">INDEX('Reward Model'!$E$18:$E$37,MATCH($E3629,'Reward Model'!$A$18:$A$37,0))</f>
        <v>Medium</v>
      </c>
      <c r="Z3629" s="4" t="n">
        <f aca="false">ROUND(MIN(1,MAX('Reward Model'!$B$2,INDEX('Reward Model'!$C$12:$C$14,MATCH($K3629,'Reward Model'!$A$12:$A$14,0))/$J3629)),3)</f>
        <v>0.852</v>
      </c>
      <c r="AA3629" s="2" t="n">
        <f aca="false">IF($I3629="Correct",ROUND(INDEX('Reward Model'!$B$12:$B$14,MATCH($K3629,'Reward Model'!$A$12:$A$14,0))*Z3629,2),0)</f>
        <v>0.85</v>
      </c>
      <c r="AB3629" s="2" t="n">
        <f aca="false">IF($I3629="Correct",ROUND(INDEX('Reward Model'!$B$12:$B$14,MATCH($Y3629,'Reward Model'!$A$12:$A$14,0))*Z3629,2),0)</f>
        <v>1.7</v>
      </c>
    </row>
    <row r="3630" customFormat="false" ht="15" hidden="false" customHeight="false" outlineLevel="0" collapsed="false">
      <c r="A3630" s="0" t="s">
        <v>494</v>
      </c>
      <c r="B3630" s="0" t="s">
        <v>495</v>
      </c>
      <c r="C3630" s="0" t="s">
        <v>322</v>
      </c>
      <c r="D3630" s="0" t="s">
        <v>275</v>
      </c>
      <c r="E3630" s="0" t="n">
        <v>9</v>
      </c>
      <c r="F3630" s="0" t="s">
        <v>55</v>
      </c>
      <c r="G3630" s="0" t="s">
        <v>57</v>
      </c>
      <c r="H3630" s="0" t="s">
        <v>57</v>
      </c>
      <c r="I3630" s="0" t="s">
        <v>34</v>
      </c>
      <c r="J3630" s="0" t="n">
        <v>1.93</v>
      </c>
      <c r="K3630" s="0" t="s">
        <v>35</v>
      </c>
      <c r="L3630" s="0" t="n">
        <f aca="false">INDEX(Summary!$F$2:$F$201,MATCH($B3630,Summary!$A$2:$A$201,0))</f>
        <v>20</v>
      </c>
      <c r="M3630" s="0" t="n">
        <f aca="false">INDEX(Summary!$I$2:$I$201,MATCH($B3630,Summary!$A$2:$A$201,0))</f>
        <v>1</v>
      </c>
      <c r="N3630" s="0" t="n">
        <f aca="false">INDEX(Summary!$J$2:$J$201,MATCH($B3630,Summary!$A$2:$A$201,0))</f>
        <v>4</v>
      </c>
      <c r="O3630" s="2" t="n">
        <f aca="false">INDEX(Summary!$K$2:$K$201,MATCH($B3630,Summary!$A$2:$A$201,0))</f>
        <v>8.58</v>
      </c>
      <c r="P3630" s="3" t="n">
        <f aca="false">INDEX(Summary!$L$2:$L$201,MATCH($B3630,Summary!$A$2:$A$201,0))</f>
        <v>5</v>
      </c>
      <c r="Q3630" s="3" t="n">
        <f aca="false">INDEX(Summary!$M$2:$M$201,MATCH($B3630,Summary!$A$2:$A$201,0))</f>
        <v>1</v>
      </c>
      <c r="R3630" s="2" t="n">
        <f aca="false">INDEX(Summary!$N$2:$N$201,MATCH($B3630,Summary!$A$2:$A$201,0))</f>
        <v>10.7</v>
      </c>
      <c r="S3630" s="3" t="n">
        <f aca="false">INDEX(Summary!$O$2:$O$201,MATCH($B3630,Summary!$A$2:$A$201,0))</f>
        <v>6</v>
      </c>
      <c r="T3630" s="3" t="n">
        <f aca="false">INDEX(Summary!$P$2:$P$201,MATCH($B3630,Summary!$A$2:$A$201,0))</f>
        <v>3</v>
      </c>
      <c r="U3630" s="2" t="n">
        <f aca="false">INDEX(Summary!$Q$2:$Q$201,MATCH($B3630,Summary!$A$2:$A$201,0))</f>
        <v>15.89</v>
      </c>
      <c r="V3630" s="2" t="n">
        <f aca="false">INDEX(Summary!$R$2:$R$201,MATCH($B3630,Summary!$A$2:$A$201,0))</f>
        <v>20.35</v>
      </c>
      <c r="W3630" s="0" t="str">
        <f aca="false">INDEX(Summary!$S$2:$S$201,MATCH($B3630,Summary!$A$2:$A$201,0))</f>
        <v>Bronze</v>
      </c>
      <c r="X3630" s="2" t="n">
        <f aca="false">INDEX(Summary!$T$2:$T$201,MATCH($B3630,Summary!$A$2:$A$201,0))</f>
        <v>49.63</v>
      </c>
      <c r="Y3630" s="0" t="str">
        <f aca="false">INDEX('Reward Model'!$E$18:$E$37,MATCH($E3630,'Reward Model'!$A$18:$A$37,0))</f>
        <v>Medium</v>
      </c>
      <c r="Z3630" s="4" t="n">
        <f aca="false">ROUND(MIN(1,MAX('Reward Model'!$B$2,INDEX('Reward Model'!$C$12:$C$14,MATCH($K3630,'Reward Model'!$A$12:$A$14,0))/$J3630)),3)</f>
        <v>0.777</v>
      </c>
      <c r="AA3630" s="2" t="n">
        <f aca="false">IF($I3630="Correct",ROUND(INDEX('Reward Model'!$B$12:$B$14,MATCH($K3630,'Reward Model'!$A$12:$A$14,0))*Z3630,2),0)</f>
        <v>0.78</v>
      </c>
      <c r="AB3630" s="2" t="n">
        <f aca="false">IF($I3630="Correct",ROUND(INDEX('Reward Model'!$B$12:$B$14,MATCH($Y3630,'Reward Model'!$A$12:$A$14,0))*Z3630,2),0)</f>
        <v>1.55</v>
      </c>
    </row>
    <row r="3631" customFormat="false" ht="15" hidden="false" customHeight="false" outlineLevel="0" collapsed="false">
      <c r="A3631" s="0" t="s">
        <v>494</v>
      </c>
      <c r="B3631" s="0" t="s">
        <v>495</v>
      </c>
      <c r="C3631" s="0" t="s">
        <v>322</v>
      </c>
      <c r="D3631" s="0" t="s">
        <v>275</v>
      </c>
      <c r="E3631" s="0" t="n">
        <v>10</v>
      </c>
      <c r="F3631" s="0" t="s">
        <v>58</v>
      </c>
      <c r="G3631" s="0" t="s">
        <v>59</v>
      </c>
      <c r="H3631" s="0" t="s">
        <v>59</v>
      </c>
      <c r="I3631" s="0" t="s">
        <v>34</v>
      </c>
      <c r="J3631" s="0" t="n">
        <v>1.91</v>
      </c>
      <c r="K3631" s="0" t="s">
        <v>60</v>
      </c>
      <c r="L3631" s="0" t="n">
        <f aca="false">INDEX(Summary!$F$2:$F$201,MATCH($B3631,Summary!$A$2:$A$201,0))</f>
        <v>20</v>
      </c>
      <c r="M3631" s="0" t="n">
        <f aca="false">INDEX(Summary!$I$2:$I$201,MATCH($B3631,Summary!$A$2:$A$201,0))</f>
        <v>1</v>
      </c>
      <c r="N3631" s="0" t="n">
        <f aca="false">INDEX(Summary!$J$2:$J$201,MATCH($B3631,Summary!$A$2:$A$201,0))</f>
        <v>4</v>
      </c>
      <c r="O3631" s="2" t="n">
        <f aca="false">INDEX(Summary!$K$2:$K$201,MATCH($B3631,Summary!$A$2:$A$201,0))</f>
        <v>8.58</v>
      </c>
      <c r="P3631" s="3" t="n">
        <f aca="false">INDEX(Summary!$L$2:$L$201,MATCH($B3631,Summary!$A$2:$A$201,0))</f>
        <v>5</v>
      </c>
      <c r="Q3631" s="3" t="n">
        <f aca="false">INDEX(Summary!$M$2:$M$201,MATCH($B3631,Summary!$A$2:$A$201,0))</f>
        <v>1</v>
      </c>
      <c r="R3631" s="2" t="n">
        <f aca="false">INDEX(Summary!$N$2:$N$201,MATCH($B3631,Summary!$A$2:$A$201,0))</f>
        <v>10.7</v>
      </c>
      <c r="S3631" s="3" t="n">
        <f aca="false">INDEX(Summary!$O$2:$O$201,MATCH($B3631,Summary!$A$2:$A$201,0))</f>
        <v>6</v>
      </c>
      <c r="T3631" s="3" t="n">
        <f aca="false">INDEX(Summary!$P$2:$P$201,MATCH($B3631,Summary!$A$2:$A$201,0))</f>
        <v>3</v>
      </c>
      <c r="U3631" s="2" t="n">
        <f aca="false">INDEX(Summary!$Q$2:$Q$201,MATCH($B3631,Summary!$A$2:$A$201,0))</f>
        <v>15.89</v>
      </c>
      <c r="V3631" s="2" t="n">
        <f aca="false">INDEX(Summary!$R$2:$R$201,MATCH($B3631,Summary!$A$2:$A$201,0))</f>
        <v>20.35</v>
      </c>
      <c r="W3631" s="0" t="str">
        <f aca="false">INDEX(Summary!$S$2:$S$201,MATCH($B3631,Summary!$A$2:$A$201,0))</f>
        <v>Bronze</v>
      </c>
      <c r="X3631" s="2" t="n">
        <f aca="false">INDEX(Summary!$T$2:$T$201,MATCH($B3631,Summary!$A$2:$A$201,0))</f>
        <v>49.63</v>
      </c>
      <c r="Y3631" s="0" t="str">
        <f aca="false">INDEX('Reward Model'!$E$18:$E$37,MATCH($E3631,'Reward Model'!$A$18:$A$37,0))</f>
        <v>Medium</v>
      </c>
      <c r="Z3631" s="4" t="n">
        <f aca="false">ROUND(MIN(1,MAX('Reward Model'!$B$2,INDEX('Reward Model'!$C$12:$C$14,MATCH($K3631,'Reward Model'!$A$12:$A$14,0))/$J3631)),3)</f>
        <v>0.942</v>
      </c>
      <c r="AA3631" s="2" t="n">
        <f aca="false">IF($I3631="Correct",ROUND(INDEX('Reward Model'!$B$12:$B$14,MATCH($K3631,'Reward Model'!$A$12:$A$14,0))*Z3631,2),0)</f>
        <v>1.88</v>
      </c>
      <c r="AB3631" s="2" t="n">
        <f aca="false">IF($I3631="Correct",ROUND(INDEX('Reward Model'!$B$12:$B$14,MATCH($Y3631,'Reward Model'!$A$12:$A$14,0))*Z3631,2),0)</f>
        <v>1.88</v>
      </c>
    </row>
    <row r="3632" customFormat="false" ht="15" hidden="false" customHeight="false" outlineLevel="0" collapsed="false">
      <c r="A3632" s="0" t="s">
        <v>494</v>
      </c>
      <c r="B3632" s="0" t="s">
        <v>495</v>
      </c>
      <c r="C3632" s="0" t="s">
        <v>322</v>
      </c>
      <c r="D3632" s="0" t="s">
        <v>275</v>
      </c>
      <c r="E3632" s="0" t="n">
        <v>11</v>
      </c>
      <c r="F3632" s="0" t="s">
        <v>61</v>
      </c>
      <c r="G3632" s="0" t="s">
        <v>63</v>
      </c>
      <c r="H3632" s="0" t="s">
        <v>63</v>
      </c>
      <c r="I3632" s="0" t="s">
        <v>34</v>
      </c>
      <c r="J3632" s="0" t="n">
        <v>2.24</v>
      </c>
      <c r="K3632" s="0" t="s">
        <v>60</v>
      </c>
      <c r="L3632" s="0" t="n">
        <f aca="false">INDEX(Summary!$F$2:$F$201,MATCH($B3632,Summary!$A$2:$A$201,0))</f>
        <v>20</v>
      </c>
      <c r="M3632" s="0" t="n">
        <f aca="false">INDEX(Summary!$I$2:$I$201,MATCH($B3632,Summary!$A$2:$A$201,0))</f>
        <v>1</v>
      </c>
      <c r="N3632" s="0" t="n">
        <f aca="false">INDEX(Summary!$J$2:$J$201,MATCH($B3632,Summary!$A$2:$A$201,0))</f>
        <v>4</v>
      </c>
      <c r="O3632" s="2" t="n">
        <f aca="false">INDEX(Summary!$K$2:$K$201,MATCH($B3632,Summary!$A$2:$A$201,0))</f>
        <v>8.58</v>
      </c>
      <c r="P3632" s="3" t="n">
        <f aca="false">INDEX(Summary!$L$2:$L$201,MATCH($B3632,Summary!$A$2:$A$201,0))</f>
        <v>5</v>
      </c>
      <c r="Q3632" s="3" t="n">
        <f aca="false">INDEX(Summary!$M$2:$M$201,MATCH($B3632,Summary!$A$2:$A$201,0))</f>
        <v>1</v>
      </c>
      <c r="R3632" s="2" t="n">
        <f aca="false">INDEX(Summary!$N$2:$N$201,MATCH($B3632,Summary!$A$2:$A$201,0))</f>
        <v>10.7</v>
      </c>
      <c r="S3632" s="3" t="n">
        <f aca="false">INDEX(Summary!$O$2:$O$201,MATCH($B3632,Summary!$A$2:$A$201,0))</f>
        <v>6</v>
      </c>
      <c r="T3632" s="3" t="n">
        <f aca="false">INDEX(Summary!$P$2:$P$201,MATCH($B3632,Summary!$A$2:$A$201,0))</f>
        <v>3</v>
      </c>
      <c r="U3632" s="2" t="n">
        <f aca="false">INDEX(Summary!$Q$2:$Q$201,MATCH($B3632,Summary!$A$2:$A$201,0))</f>
        <v>15.89</v>
      </c>
      <c r="V3632" s="2" t="n">
        <f aca="false">INDEX(Summary!$R$2:$R$201,MATCH($B3632,Summary!$A$2:$A$201,0))</f>
        <v>20.35</v>
      </c>
      <c r="W3632" s="0" t="str">
        <f aca="false">INDEX(Summary!$S$2:$S$201,MATCH($B3632,Summary!$A$2:$A$201,0))</f>
        <v>Bronze</v>
      </c>
      <c r="X3632" s="2" t="n">
        <f aca="false">INDEX(Summary!$T$2:$T$201,MATCH($B3632,Summary!$A$2:$A$201,0))</f>
        <v>49.63</v>
      </c>
      <c r="Y3632" s="0" t="str">
        <f aca="false">INDEX('Reward Model'!$E$18:$E$37,MATCH($E3632,'Reward Model'!$A$18:$A$37,0))</f>
        <v>Medium</v>
      </c>
      <c r="Z3632" s="4" t="n">
        <f aca="false">ROUND(MIN(1,MAX('Reward Model'!$B$2,INDEX('Reward Model'!$C$12:$C$14,MATCH($K3632,'Reward Model'!$A$12:$A$14,0))/$J3632)),3)</f>
        <v>0.804</v>
      </c>
      <c r="AA3632" s="2" t="n">
        <f aca="false">IF($I3632="Correct",ROUND(INDEX('Reward Model'!$B$12:$B$14,MATCH($K3632,'Reward Model'!$A$12:$A$14,0))*Z3632,2),0)</f>
        <v>1.61</v>
      </c>
      <c r="AB3632" s="2" t="n">
        <f aca="false">IF($I3632="Correct",ROUND(INDEX('Reward Model'!$B$12:$B$14,MATCH($Y3632,'Reward Model'!$A$12:$A$14,0))*Z3632,2),0)</f>
        <v>1.61</v>
      </c>
    </row>
    <row r="3633" customFormat="false" ht="15" hidden="false" customHeight="false" outlineLevel="0" collapsed="false">
      <c r="A3633" s="0" t="s">
        <v>494</v>
      </c>
      <c r="B3633" s="0" t="s">
        <v>495</v>
      </c>
      <c r="C3633" s="0" t="s">
        <v>322</v>
      </c>
      <c r="D3633" s="0" t="s">
        <v>275</v>
      </c>
      <c r="E3633" s="0" t="n">
        <v>12</v>
      </c>
      <c r="F3633" s="0" t="s">
        <v>64</v>
      </c>
      <c r="G3633" s="0" t="s">
        <v>65</v>
      </c>
      <c r="H3633" s="0" t="s">
        <v>65</v>
      </c>
      <c r="I3633" s="0" t="s">
        <v>34</v>
      </c>
      <c r="J3633" s="0" t="n">
        <v>2.17</v>
      </c>
      <c r="K3633" s="0" t="s">
        <v>60</v>
      </c>
      <c r="L3633" s="0" t="n">
        <f aca="false">INDEX(Summary!$F$2:$F$201,MATCH($B3633,Summary!$A$2:$A$201,0))</f>
        <v>20</v>
      </c>
      <c r="M3633" s="0" t="n">
        <f aca="false">INDEX(Summary!$I$2:$I$201,MATCH($B3633,Summary!$A$2:$A$201,0))</f>
        <v>1</v>
      </c>
      <c r="N3633" s="0" t="n">
        <f aca="false">INDEX(Summary!$J$2:$J$201,MATCH($B3633,Summary!$A$2:$A$201,0))</f>
        <v>4</v>
      </c>
      <c r="O3633" s="2" t="n">
        <f aca="false">INDEX(Summary!$K$2:$K$201,MATCH($B3633,Summary!$A$2:$A$201,0))</f>
        <v>8.58</v>
      </c>
      <c r="P3633" s="3" t="n">
        <f aca="false">INDEX(Summary!$L$2:$L$201,MATCH($B3633,Summary!$A$2:$A$201,0))</f>
        <v>5</v>
      </c>
      <c r="Q3633" s="3" t="n">
        <f aca="false">INDEX(Summary!$M$2:$M$201,MATCH($B3633,Summary!$A$2:$A$201,0))</f>
        <v>1</v>
      </c>
      <c r="R3633" s="2" t="n">
        <f aca="false">INDEX(Summary!$N$2:$N$201,MATCH($B3633,Summary!$A$2:$A$201,0))</f>
        <v>10.7</v>
      </c>
      <c r="S3633" s="3" t="n">
        <f aca="false">INDEX(Summary!$O$2:$O$201,MATCH($B3633,Summary!$A$2:$A$201,0))</f>
        <v>6</v>
      </c>
      <c r="T3633" s="3" t="n">
        <f aca="false">INDEX(Summary!$P$2:$P$201,MATCH($B3633,Summary!$A$2:$A$201,0))</f>
        <v>3</v>
      </c>
      <c r="U3633" s="2" t="n">
        <f aca="false">INDEX(Summary!$Q$2:$Q$201,MATCH($B3633,Summary!$A$2:$A$201,0))</f>
        <v>15.89</v>
      </c>
      <c r="V3633" s="2" t="n">
        <f aca="false">INDEX(Summary!$R$2:$R$201,MATCH($B3633,Summary!$A$2:$A$201,0))</f>
        <v>20.35</v>
      </c>
      <c r="W3633" s="0" t="str">
        <f aca="false">INDEX(Summary!$S$2:$S$201,MATCH($B3633,Summary!$A$2:$A$201,0))</f>
        <v>Bronze</v>
      </c>
      <c r="X3633" s="2" t="n">
        <f aca="false">INDEX(Summary!$T$2:$T$201,MATCH($B3633,Summary!$A$2:$A$201,0))</f>
        <v>49.63</v>
      </c>
      <c r="Y3633" s="0" t="str">
        <f aca="false">INDEX('Reward Model'!$E$18:$E$37,MATCH($E3633,'Reward Model'!$A$18:$A$37,0))</f>
        <v>Medium</v>
      </c>
      <c r="Z3633" s="4" t="n">
        <f aca="false">ROUND(MIN(1,MAX('Reward Model'!$B$2,INDEX('Reward Model'!$C$12:$C$14,MATCH($K3633,'Reward Model'!$A$12:$A$14,0))/$J3633)),3)</f>
        <v>0.829</v>
      </c>
      <c r="AA3633" s="2" t="n">
        <f aca="false">IF($I3633="Correct",ROUND(INDEX('Reward Model'!$B$12:$B$14,MATCH($K3633,'Reward Model'!$A$12:$A$14,0))*Z3633,2),0)</f>
        <v>1.66</v>
      </c>
      <c r="AB3633" s="2" t="n">
        <f aca="false">IF($I3633="Correct",ROUND(INDEX('Reward Model'!$B$12:$B$14,MATCH($Y3633,'Reward Model'!$A$12:$A$14,0))*Z3633,2),0)</f>
        <v>1.66</v>
      </c>
    </row>
    <row r="3634" customFormat="false" ht="15" hidden="false" customHeight="false" outlineLevel="0" collapsed="false">
      <c r="A3634" s="0" t="s">
        <v>494</v>
      </c>
      <c r="B3634" s="0" t="s">
        <v>495</v>
      </c>
      <c r="C3634" s="0" t="s">
        <v>322</v>
      </c>
      <c r="D3634" s="0" t="s">
        <v>275</v>
      </c>
      <c r="E3634" s="0" t="n">
        <v>13</v>
      </c>
      <c r="F3634" s="0" t="s">
        <v>66</v>
      </c>
      <c r="G3634" s="0" t="s">
        <v>67</v>
      </c>
      <c r="H3634" s="0" t="s">
        <v>67</v>
      </c>
      <c r="I3634" s="0" t="s">
        <v>34</v>
      </c>
      <c r="J3634" s="0" t="n">
        <v>1.72</v>
      </c>
      <c r="K3634" s="0" t="s">
        <v>60</v>
      </c>
      <c r="L3634" s="0" t="n">
        <f aca="false">INDEX(Summary!$F$2:$F$201,MATCH($B3634,Summary!$A$2:$A$201,0))</f>
        <v>20</v>
      </c>
      <c r="M3634" s="0" t="n">
        <f aca="false">INDEX(Summary!$I$2:$I$201,MATCH($B3634,Summary!$A$2:$A$201,0))</f>
        <v>1</v>
      </c>
      <c r="N3634" s="0" t="n">
        <f aca="false">INDEX(Summary!$J$2:$J$201,MATCH($B3634,Summary!$A$2:$A$201,0))</f>
        <v>4</v>
      </c>
      <c r="O3634" s="2" t="n">
        <f aca="false">INDEX(Summary!$K$2:$K$201,MATCH($B3634,Summary!$A$2:$A$201,0))</f>
        <v>8.58</v>
      </c>
      <c r="P3634" s="3" t="n">
        <f aca="false">INDEX(Summary!$L$2:$L$201,MATCH($B3634,Summary!$A$2:$A$201,0))</f>
        <v>5</v>
      </c>
      <c r="Q3634" s="3" t="n">
        <f aca="false">INDEX(Summary!$M$2:$M$201,MATCH($B3634,Summary!$A$2:$A$201,0))</f>
        <v>1</v>
      </c>
      <c r="R3634" s="2" t="n">
        <f aca="false">INDEX(Summary!$N$2:$N$201,MATCH($B3634,Summary!$A$2:$A$201,0))</f>
        <v>10.7</v>
      </c>
      <c r="S3634" s="3" t="n">
        <f aca="false">INDEX(Summary!$O$2:$O$201,MATCH($B3634,Summary!$A$2:$A$201,0))</f>
        <v>6</v>
      </c>
      <c r="T3634" s="3" t="n">
        <f aca="false">INDEX(Summary!$P$2:$P$201,MATCH($B3634,Summary!$A$2:$A$201,0))</f>
        <v>3</v>
      </c>
      <c r="U3634" s="2" t="n">
        <f aca="false">INDEX(Summary!$Q$2:$Q$201,MATCH($B3634,Summary!$A$2:$A$201,0))</f>
        <v>15.89</v>
      </c>
      <c r="V3634" s="2" t="n">
        <f aca="false">INDEX(Summary!$R$2:$R$201,MATCH($B3634,Summary!$A$2:$A$201,0))</f>
        <v>20.35</v>
      </c>
      <c r="W3634" s="0" t="str">
        <f aca="false">INDEX(Summary!$S$2:$S$201,MATCH($B3634,Summary!$A$2:$A$201,0))</f>
        <v>Bronze</v>
      </c>
      <c r="X3634" s="2" t="n">
        <f aca="false">INDEX(Summary!$T$2:$T$201,MATCH($B3634,Summary!$A$2:$A$201,0))</f>
        <v>49.63</v>
      </c>
      <c r="Y3634" s="0" t="str">
        <f aca="false">INDEX('Reward Model'!$E$18:$E$37,MATCH($E3634,'Reward Model'!$A$18:$A$37,0))</f>
        <v>Medium</v>
      </c>
      <c r="Z3634" s="4" t="n">
        <f aca="false">ROUND(MIN(1,MAX('Reward Model'!$B$2,INDEX('Reward Model'!$C$12:$C$14,MATCH($K3634,'Reward Model'!$A$12:$A$14,0))/$J3634)),3)</f>
        <v>1</v>
      </c>
      <c r="AA3634" s="2" t="n">
        <f aca="false">IF($I3634="Correct",ROUND(INDEX('Reward Model'!$B$12:$B$14,MATCH($K3634,'Reward Model'!$A$12:$A$14,0))*Z3634,2),0)</f>
        <v>2</v>
      </c>
      <c r="AB3634" s="2" t="n">
        <f aca="false">IF($I3634="Correct",ROUND(INDEX('Reward Model'!$B$12:$B$14,MATCH($Y3634,'Reward Model'!$A$12:$A$14,0))*Z3634,2),0)</f>
        <v>2</v>
      </c>
    </row>
    <row r="3635" customFormat="false" ht="15" hidden="false" customHeight="false" outlineLevel="0" collapsed="false">
      <c r="A3635" s="0" t="s">
        <v>494</v>
      </c>
      <c r="B3635" s="0" t="s">
        <v>495</v>
      </c>
      <c r="C3635" s="0" t="s">
        <v>322</v>
      </c>
      <c r="D3635" s="0" t="s">
        <v>275</v>
      </c>
      <c r="E3635" s="0" t="n">
        <v>14</v>
      </c>
      <c r="F3635" s="0" t="s">
        <v>68</v>
      </c>
      <c r="G3635" s="0" t="s">
        <v>86</v>
      </c>
      <c r="H3635" s="0" t="s">
        <v>51</v>
      </c>
      <c r="I3635" s="0" t="s">
        <v>39</v>
      </c>
      <c r="J3635" s="0" t="n">
        <v>1.4</v>
      </c>
      <c r="K3635" s="0" t="s">
        <v>60</v>
      </c>
      <c r="L3635" s="0" t="n">
        <f aca="false">INDEX(Summary!$F$2:$F$201,MATCH($B3635,Summary!$A$2:$A$201,0))</f>
        <v>20</v>
      </c>
      <c r="M3635" s="0" t="n">
        <f aca="false">INDEX(Summary!$I$2:$I$201,MATCH($B3635,Summary!$A$2:$A$201,0))</f>
        <v>1</v>
      </c>
      <c r="N3635" s="0" t="n">
        <f aca="false">INDEX(Summary!$J$2:$J$201,MATCH($B3635,Summary!$A$2:$A$201,0))</f>
        <v>4</v>
      </c>
      <c r="O3635" s="2" t="n">
        <f aca="false">INDEX(Summary!$K$2:$K$201,MATCH($B3635,Summary!$A$2:$A$201,0))</f>
        <v>8.58</v>
      </c>
      <c r="P3635" s="3" t="n">
        <f aca="false">INDEX(Summary!$L$2:$L$201,MATCH($B3635,Summary!$A$2:$A$201,0))</f>
        <v>5</v>
      </c>
      <c r="Q3635" s="3" t="n">
        <f aca="false">INDEX(Summary!$M$2:$M$201,MATCH($B3635,Summary!$A$2:$A$201,0))</f>
        <v>1</v>
      </c>
      <c r="R3635" s="2" t="n">
        <f aca="false">INDEX(Summary!$N$2:$N$201,MATCH($B3635,Summary!$A$2:$A$201,0))</f>
        <v>10.7</v>
      </c>
      <c r="S3635" s="3" t="n">
        <f aca="false">INDEX(Summary!$O$2:$O$201,MATCH($B3635,Summary!$A$2:$A$201,0))</f>
        <v>6</v>
      </c>
      <c r="T3635" s="3" t="n">
        <f aca="false">INDEX(Summary!$P$2:$P$201,MATCH($B3635,Summary!$A$2:$A$201,0))</f>
        <v>3</v>
      </c>
      <c r="U3635" s="2" t="n">
        <f aca="false">INDEX(Summary!$Q$2:$Q$201,MATCH($B3635,Summary!$A$2:$A$201,0))</f>
        <v>15.89</v>
      </c>
      <c r="V3635" s="2" t="n">
        <f aca="false">INDEX(Summary!$R$2:$R$201,MATCH($B3635,Summary!$A$2:$A$201,0))</f>
        <v>20.35</v>
      </c>
      <c r="W3635" s="0" t="str">
        <f aca="false">INDEX(Summary!$S$2:$S$201,MATCH($B3635,Summary!$A$2:$A$201,0))</f>
        <v>Bronze</v>
      </c>
      <c r="X3635" s="2" t="n">
        <f aca="false">INDEX(Summary!$T$2:$T$201,MATCH($B3635,Summary!$A$2:$A$201,0))</f>
        <v>49.63</v>
      </c>
      <c r="Y3635" s="0" t="str">
        <f aca="false">INDEX('Reward Model'!$E$18:$E$37,MATCH($E3635,'Reward Model'!$A$18:$A$37,0))</f>
        <v>Medium</v>
      </c>
      <c r="Z3635" s="4" t="n">
        <f aca="false">ROUND(MIN(1,MAX('Reward Model'!$B$2,INDEX('Reward Model'!$C$12:$C$14,MATCH($K3635,'Reward Model'!$A$12:$A$14,0))/$J3635)),3)</f>
        <v>1</v>
      </c>
      <c r="AA3635" s="2" t="n">
        <f aca="false">IF($I3635="Correct",ROUND(INDEX('Reward Model'!$B$12:$B$14,MATCH($K3635,'Reward Model'!$A$12:$A$14,0))*Z3635,2),0)</f>
        <v>0</v>
      </c>
      <c r="AB3635" s="2" t="n">
        <f aca="false">IF($I3635="Correct",ROUND(INDEX('Reward Model'!$B$12:$B$14,MATCH($Y3635,'Reward Model'!$A$12:$A$14,0))*Z3635,2),0)</f>
        <v>0</v>
      </c>
    </row>
    <row r="3636" customFormat="false" ht="15" hidden="false" customHeight="false" outlineLevel="0" collapsed="false">
      <c r="A3636" s="0" t="s">
        <v>494</v>
      </c>
      <c r="B3636" s="0" t="s">
        <v>495</v>
      </c>
      <c r="C3636" s="0" t="s">
        <v>322</v>
      </c>
      <c r="D3636" s="0" t="s">
        <v>275</v>
      </c>
      <c r="E3636" s="0" t="n">
        <v>15</v>
      </c>
      <c r="F3636" s="0" t="s">
        <v>69</v>
      </c>
      <c r="G3636" s="0" t="s">
        <v>70</v>
      </c>
      <c r="H3636" s="0" t="s">
        <v>70</v>
      </c>
      <c r="I3636" s="0" t="s">
        <v>34</v>
      </c>
      <c r="J3636" s="0" t="n">
        <v>1.26</v>
      </c>
      <c r="K3636" s="0" t="s">
        <v>60</v>
      </c>
      <c r="L3636" s="0" t="n">
        <f aca="false">INDEX(Summary!$F$2:$F$201,MATCH($B3636,Summary!$A$2:$A$201,0))</f>
        <v>20</v>
      </c>
      <c r="M3636" s="0" t="n">
        <f aca="false">INDEX(Summary!$I$2:$I$201,MATCH($B3636,Summary!$A$2:$A$201,0))</f>
        <v>1</v>
      </c>
      <c r="N3636" s="0" t="n">
        <f aca="false">INDEX(Summary!$J$2:$J$201,MATCH($B3636,Summary!$A$2:$A$201,0))</f>
        <v>4</v>
      </c>
      <c r="O3636" s="2" t="n">
        <f aca="false">INDEX(Summary!$K$2:$K$201,MATCH($B3636,Summary!$A$2:$A$201,0))</f>
        <v>8.58</v>
      </c>
      <c r="P3636" s="3" t="n">
        <f aca="false">INDEX(Summary!$L$2:$L$201,MATCH($B3636,Summary!$A$2:$A$201,0))</f>
        <v>5</v>
      </c>
      <c r="Q3636" s="3" t="n">
        <f aca="false">INDEX(Summary!$M$2:$M$201,MATCH($B3636,Summary!$A$2:$A$201,0))</f>
        <v>1</v>
      </c>
      <c r="R3636" s="2" t="n">
        <f aca="false">INDEX(Summary!$N$2:$N$201,MATCH($B3636,Summary!$A$2:$A$201,0))</f>
        <v>10.7</v>
      </c>
      <c r="S3636" s="3" t="n">
        <f aca="false">INDEX(Summary!$O$2:$O$201,MATCH($B3636,Summary!$A$2:$A$201,0))</f>
        <v>6</v>
      </c>
      <c r="T3636" s="3" t="n">
        <f aca="false">INDEX(Summary!$P$2:$P$201,MATCH($B3636,Summary!$A$2:$A$201,0))</f>
        <v>3</v>
      </c>
      <c r="U3636" s="2" t="n">
        <f aca="false">INDEX(Summary!$Q$2:$Q$201,MATCH($B3636,Summary!$A$2:$A$201,0))</f>
        <v>15.89</v>
      </c>
      <c r="V3636" s="2" t="n">
        <f aca="false">INDEX(Summary!$R$2:$R$201,MATCH($B3636,Summary!$A$2:$A$201,0))</f>
        <v>20.35</v>
      </c>
      <c r="W3636" s="0" t="str">
        <f aca="false">INDEX(Summary!$S$2:$S$201,MATCH($B3636,Summary!$A$2:$A$201,0))</f>
        <v>Bronze</v>
      </c>
      <c r="X3636" s="2" t="n">
        <f aca="false">INDEX(Summary!$T$2:$T$201,MATCH($B3636,Summary!$A$2:$A$201,0))</f>
        <v>49.63</v>
      </c>
      <c r="Y3636" s="0" t="str">
        <f aca="false">INDEX('Reward Model'!$E$18:$E$37,MATCH($E3636,'Reward Model'!$A$18:$A$37,0))</f>
        <v>Medium</v>
      </c>
      <c r="Z3636" s="4" t="n">
        <f aca="false">ROUND(MIN(1,MAX('Reward Model'!$B$2,INDEX('Reward Model'!$C$12:$C$14,MATCH($K3636,'Reward Model'!$A$12:$A$14,0))/$J3636)),3)</f>
        <v>1</v>
      </c>
      <c r="AA3636" s="2" t="n">
        <f aca="false">IF($I3636="Correct",ROUND(INDEX('Reward Model'!$B$12:$B$14,MATCH($K3636,'Reward Model'!$A$12:$A$14,0))*Z3636,2),0)</f>
        <v>2</v>
      </c>
      <c r="AB3636" s="2" t="n">
        <f aca="false">IF($I3636="Correct",ROUND(INDEX('Reward Model'!$B$12:$B$14,MATCH($Y3636,'Reward Model'!$A$12:$A$14,0))*Z3636,2),0)</f>
        <v>2</v>
      </c>
    </row>
    <row r="3637" customFormat="false" ht="15" hidden="false" customHeight="false" outlineLevel="0" collapsed="false">
      <c r="A3637" s="0" t="s">
        <v>494</v>
      </c>
      <c r="B3637" s="0" t="s">
        <v>495</v>
      </c>
      <c r="C3637" s="0" t="s">
        <v>322</v>
      </c>
      <c r="D3637" s="0" t="s">
        <v>275</v>
      </c>
      <c r="E3637" s="0" t="n">
        <v>16</v>
      </c>
      <c r="F3637" s="0" t="s">
        <v>71</v>
      </c>
      <c r="G3637" s="0" t="s">
        <v>101</v>
      </c>
      <c r="H3637" s="0" t="s">
        <v>72</v>
      </c>
      <c r="I3637" s="0" t="s">
        <v>39</v>
      </c>
      <c r="J3637" s="0" t="n">
        <v>1.4</v>
      </c>
      <c r="K3637" s="0" t="s">
        <v>73</v>
      </c>
      <c r="L3637" s="0" t="n">
        <f aca="false">INDEX(Summary!$F$2:$F$201,MATCH($B3637,Summary!$A$2:$A$201,0))</f>
        <v>20</v>
      </c>
      <c r="M3637" s="0" t="n">
        <f aca="false">INDEX(Summary!$I$2:$I$201,MATCH($B3637,Summary!$A$2:$A$201,0))</f>
        <v>1</v>
      </c>
      <c r="N3637" s="0" t="n">
        <f aca="false">INDEX(Summary!$J$2:$J$201,MATCH($B3637,Summary!$A$2:$A$201,0))</f>
        <v>4</v>
      </c>
      <c r="O3637" s="2" t="n">
        <f aca="false">INDEX(Summary!$K$2:$K$201,MATCH($B3637,Summary!$A$2:$A$201,0))</f>
        <v>8.58</v>
      </c>
      <c r="P3637" s="3" t="n">
        <f aca="false">INDEX(Summary!$L$2:$L$201,MATCH($B3637,Summary!$A$2:$A$201,0))</f>
        <v>5</v>
      </c>
      <c r="Q3637" s="3" t="n">
        <f aca="false">INDEX(Summary!$M$2:$M$201,MATCH($B3637,Summary!$A$2:$A$201,0))</f>
        <v>1</v>
      </c>
      <c r="R3637" s="2" t="n">
        <f aca="false">INDEX(Summary!$N$2:$N$201,MATCH($B3637,Summary!$A$2:$A$201,0))</f>
        <v>10.7</v>
      </c>
      <c r="S3637" s="3" t="n">
        <f aca="false">INDEX(Summary!$O$2:$O$201,MATCH($B3637,Summary!$A$2:$A$201,0))</f>
        <v>6</v>
      </c>
      <c r="T3637" s="3" t="n">
        <f aca="false">INDEX(Summary!$P$2:$P$201,MATCH($B3637,Summary!$A$2:$A$201,0))</f>
        <v>3</v>
      </c>
      <c r="U3637" s="2" t="n">
        <f aca="false">INDEX(Summary!$Q$2:$Q$201,MATCH($B3637,Summary!$A$2:$A$201,0))</f>
        <v>15.89</v>
      </c>
      <c r="V3637" s="2" t="n">
        <f aca="false">INDEX(Summary!$R$2:$R$201,MATCH($B3637,Summary!$A$2:$A$201,0))</f>
        <v>20.35</v>
      </c>
      <c r="W3637" s="0" t="str">
        <f aca="false">INDEX(Summary!$S$2:$S$201,MATCH($B3637,Summary!$A$2:$A$201,0))</f>
        <v>Bronze</v>
      </c>
      <c r="X3637" s="2" t="n">
        <f aca="false">INDEX(Summary!$T$2:$T$201,MATCH($B3637,Summary!$A$2:$A$201,0))</f>
        <v>49.63</v>
      </c>
      <c r="Y3637" s="0" t="str">
        <f aca="false">INDEX('Reward Model'!$E$18:$E$37,MATCH($E3637,'Reward Model'!$A$18:$A$37,0))</f>
        <v>High</v>
      </c>
      <c r="Z3637" s="4" t="n">
        <f aca="false">ROUND(MIN(1,MAX('Reward Model'!$B$2,INDEX('Reward Model'!$C$12:$C$14,MATCH($K3637,'Reward Model'!$A$12:$A$14,0))/$J3637)),3)</f>
        <v>1</v>
      </c>
      <c r="AA3637" s="2" t="n">
        <f aca="false">IF($I3637="Correct",ROUND(INDEX('Reward Model'!$B$12:$B$14,MATCH($K3637,'Reward Model'!$A$12:$A$14,0))*Z3637,2),0)</f>
        <v>0</v>
      </c>
      <c r="AB3637" s="2" t="n">
        <f aca="false">IF($I3637="Correct",ROUND(INDEX('Reward Model'!$B$12:$B$14,MATCH($Y3637,'Reward Model'!$A$12:$A$14,0))*Z3637,2),0)</f>
        <v>0</v>
      </c>
    </row>
    <row r="3638" customFormat="false" ht="15" hidden="false" customHeight="false" outlineLevel="0" collapsed="false">
      <c r="A3638" s="0" t="s">
        <v>494</v>
      </c>
      <c r="B3638" s="0" t="s">
        <v>495</v>
      </c>
      <c r="C3638" s="0" t="s">
        <v>322</v>
      </c>
      <c r="D3638" s="0" t="s">
        <v>275</v>
      </c>
      <c r="E3638" s="0" t="n">
        <v>17</v>
      </c>
      <c r="F3638" s="0" t="s">
        <v>74</v>
      </c>
      <c r="G3638" s="0" t="s">
        <v>91</v>
      </c>
      <c r="H3638" s="0" t="s">
        <v>75</v>
      </c>
      <c r="I3638" s="0" t="s">
        <v>39</v>
      </c>
      <c r="J3638" s="0" t="n">
        <v>1.43</v>
      </c>
      <c r="K3638" s="0" t="s">
        <v>73</v>
      </c>
      <c r="L3638" s="0" t="n">
        <f aca="false">INDEX(Summary!$F$2:$F$201,MATCH($B3638,Summary!$A$2:$A$201,0))</f>
        <v>20</v>
      </c>
      <c r="M3638" s="0" t="n">
        <f aca="false">INDEX(Summary!$I$2:$I$201,MATCH($B3638,Summary!$A$2:$A$201,0))</f>
        <v>1</v>
      </c>
      <c r="N3638" s="0" t="n">
        <f aca="false">INDEX(Summary!$J$2:$J$201,MATCH($B3638,Summary!$A$2:$A$201,0))</f>
        <v>4</v>
      </c>
      <c r="O3638" s="2" t="n">
        <f aca="false">INDEX(Summary!$K$2:$K$201,MATCH($B3638,Summary!$A$2:$A$201,0))</f>
        <v>8.58</v>
      </c>
      <c r="P3638" s="3" t="n">
        <f aca="false">INDEX(Summary!$L$2:$L$201,MATCH($B3638,Summary!$A$2:$A$201,0))</f>
        <v>5</v>
      </c>
      <c r="Q3638" s="3" t="n">
        <f aca="false">INDEX(Summary!$M$2:$M$201,MATCH($B3638,Summary!$A$2:$A$201,0))</f>
        <v>1</v>
      </c>
      <c r="R3638" s="2" t="n">
        <f aca="false">INDEX(Summary!$N$2:$N$201,MATCH($B3638,Summary!$A$2:$A$201,0))</f>
        <v>10.7</v>
      </c>
      <c r="S3638" s="3" t="n">
        <f aca="false">INDEX(Summary!$O$2:$O$201,MATCH($B3638,Summary!$A$2:$A$201,0))</f>
        <v>6</v>
      </c>
      <c r="T3638" s="3" t="n">
        <f aca="false">INDEX(Summary!$P$2:$P$201,MATCH($B3638,Summary!$A$2:$A$201,0))</f>
        <v>3</v>
      </c>
      <c r="U3638" s="2" t="n">
        <f aca="false">INDEX(Summary!$Q$2:$Q$201,MATCH($B3638,Summary!$A$2:$A$201,0))</f>
        <v>15.89</v>
      </c>
      <c r="V3638" s="2" t="n">
        <f aca="false">INDEX(Summary!$R$2:$R$201,MATCH($B3638,Summary!$A$2:$A$201,0))</f>
        <v>20.35</v>
      </c>
      <c r="W3638" s="0" t="str">
        <f aca="false">INDEX(Summary!$S$2:$S$201,MATCH($B3638,Summary!$A$2:$A$201,0))</f>
        <v>Bronze</v>
      </c>
      <c r="X3638" s="2" t="n">
        <f aca="false">INDEX(Summary!$T$2:$T$201,MATCH($B3638,Summary!$A$2:$A$201,0))</f>
        <v>49.63</v>
      </c>
      <c r="Y3638" s="0" t="str">
        <f aca="false">INDEX('Reward Model'!$E$18:$E$37,MATCH($E3638,'Reward Model'!$A$18:$A$37,0))</f>
        <v>High</v>
      </c>
      <c r="Z3638" s="4" t="n">
        <f aca="false">ROUND(MIN(1,MAX('Reward Model'!$B$2,INDEX('Reward Model'!$C$12:$C$14,MATCH($K3638,'Reward Model'!$A$12:$A$14,0))/$J3638)),3)</f>
        <v>1</v>
      </c>
      <c r="AA3638" s="2" t="n">
        <f aca="false">IF($I3638="Correct",ROUND(INDEX('Reward Model'!$B$12:$B$14,MATCH($K3638,'Reward Model'!$A$12:$A$14,0))*Z3638,2),0)</f>
        <v>0</v>
      </c>
      <c r="AB3638" s="2" t="n">
        <f aca="false">IF($I3638="Correct",ROUND(INDEX('Reward Model'!$B$12:$B$14,MATCH($Y3638,'Reward Model'!$A$12:$A$14,0))*Z3638,2),0)</f>
        <v>0</v>
      </c>
    </row>
    <row r="3639" customFormat="false" ht="15" hidden="false" customHeight="false" outlineLevel="0" collapsed="false">
      <c r="A3639" s="0" t="s">
        <v>494</v>
      </c>
      <c r="B3639" s="0" t="s">
        <v>495</v>
      </c>
      <c r="C3639" s="0" t="s">
        <v>322</v>
      </c>
      <c r="D3639" s="0" t="s">
        <v>275</v>
      </c>
      <c r="E3639" s="0" t="n">
        <v>18</v>
      </c>
      <c r="F3639" s="0" t="s">
        <v>76</v>
      </c>
      <c r="G3639" s="0" t="s">
        <v>128</v>
      </c>
      <c r="H3639" s="0" t="s">
        <v>77</v>
      </c>
      <c r="I3639" s="0" t="s">
        <v>39</v>
      </c>
      <c r="J3639" s="0" t="n">
        <v>2.11</v>
      </c>
      <c r="K3639" s="0" t="s">
        <v>73</v>
      </c>
      <c r="L3639" s="0" t="n">
        <f aca="false">INDEX(Summary!$F$2:$F$201,MATCH($B3639,Summary!$A$2:$A$201,0))</f>
        <v>20</v>
      </c>
      <c r="M3639" s="0" t="n">
        <f aca="false">INDEX(Summary!$I$2:$I$201,MATCH($B3639,Summary!$A$2:$A$201,0))</f>
        <v>1</v>
      </c>
      <c r="N3639" s="0" t="n">
        <f aca="false">INDEX(Summary!$J$2:$J$201,MATCH($B3639,Summary!$A$2:$A$201,0))</f>
        <v>4</v>
      </c>
      <c r="O3639" s="2" t="n">
        <f aca="false">INDEX(Summary!$K$2:$K$201,MATCH($B3639,Summary!$A$2:$A$201,0))</f>
        <v>8.58</v>
      </c>
      <c r="P3639" s="3" t="n">
        <f aca="false">INDEX(Summary!$L$2:$L$201,MATCH($B3639,Summary!$A$2:$A$201,0))</f>
        <v>5</v>
      </c>
      <c r="Q3639" s="3" t="n">
        <f aca="false">INDEX(Summary!$M$2:$M$201,MATCH($B3639,Summary!$A$2:$A$201,0))</f>
        <v>1</v>
      </c>
      <c r="R3639" s="2" t="n">
        <f aca="false">INDEX(Summary!$N$2:$N$201,MATCH($B3639,Summary!$A$2:$A$201,0))</f>
        <v>10.7</v>
      </c>
      <c r="S3639" s="3" t="n">
        <f aca="false">INDEX(Summary!$O$2:$O$201,MATCH($B3639,Summary!$A$2:$A$201,0))</f>
        <v>6</v>
      </c>
      <c r="T3639" s="3" t="n">
        <f aca="false">INDEX(Summary!$P$2:$P$201,MATCH($B3639,Summary!$A$2:$A$201,0))</f>
        <v>3</v>
      </c>
      <c r="U3639" s="2" t="n">
        <f aca="false">INDEX(Summary!$Q$2:$Q$201,MATCH($B3639,Summary!$A$2:$A$201,0))</f>
        <v>15.89</v>
      </c>
      <c r="V3639" s="2" t="n">
        <f aca="false">INDEX(Summary!$R$2:$R$201,MATCH($B3639,Summary!$A$2:$A$201,0))</f>
        <v>20.35</v>
      </c>
      <c r="W3639" s="0" t="str">
        <f aca="false">INDEX(Summary!$S$2:$S$201,MATCH($B3639,Summary!$A$2:$A$201,0))</f>
        <v>Bronze</v>
      </c>
      <c r="X3639" s="2" t="n">
        <f aca="false">INDEX(Summary!$T$2:$T$201,MATCH($B3639,Summary!$A$2:$A$201,0))</f>
        <v>49.63</v>
      </c>
      <c r="Y3639" s="0" t="str">
        <f aca="false">INDEX('Reward Model'!$E$18:$E$37,MATCH($E3639,'Reward Model'!$A$18:$A$37,0))</f>
        <v>High</v>
      </c>
      <c r="Z3639" s="4" t="n">
        <f aca="false">ROUND(MIN(1,MAX('Reward Model'!$B$2,INDEX('Reward Model'!$C$12:$C$14,MATCH($K3639,'Reward Model'!$A$12:$A$14,0))/$J3639)),3)</f>
        <v>0.948</v>
      </c>
      <c r="AA3639" s="2" t="n">
        <f aca="false">IF($I3639="Correct",ROUND(INDEX('Reward Model'!$B$12:$B$14,MATCH($K3639,'Reward Model'!$A$12:$A$14,0))*Z3639,2),0)</f>
        <v>0</v>
      </c>
      <c r="AB3639" s="2" t="n">
        <f aca="false">IF($I3639="Correct",ROUND(INDEX('Reward Model'!$B$12:$B$14,MATCH($Y3639,'Reward Model'!$A$12:$A$14,0))*Z3639,2),0)</f>
        <v>0</v>
      </c>
    </row>
    <row r="3640" customFormat="false" ht="15" hidden="false" customHeight="false" outlineLevel="0" collapsed="false">
      <c r="A3640" s="0" t="s">
        <v>494</v>
      </c>
      <c r="B3640" s="0" t="s">
        <v>495</v>
      </c>
      <c r="C3640" s="0" t="s">
        <v>322</v>
      </c>
      <c r="D3640" s="0" t="s">
        <v>275</v>
      </c>
      <c r="E3640" s="0" t="n">
        <v>19</v>
      </c>
      <c r="F3640" s="0" t="s">
        <v>78</v>
      </c>
      <c r="G3640" s="0" t="s">
        <v>51</v>
      </c>
      <c r="H3640" s="0" t="s">
        <v>80</v>
      </c>
      <c r="I3640" s="0" t="s">
        <v>39</v>
      </c>
      <c r="J3640" s="0" t="n">
        <v>1.99</v>
      </c>
      <c r="K3640" s="0" t="s">
        <v>73</v>
      </c>
      <c r="L3640" s="0" t="n">
        <f aca="false">INDEX(Summary!$F$2:$F$201,MATCH($B3640,Summary!$A$2:$A$201,0))</f>
        <v>20</v>
      </c>
      <c r="M3640" s="0" t="n">
        <f aca="false">INDEX(Summary!$I$2:$I$201,MATCH($B3640,Summary!$A$2:$A$201,0))</f>
        <v>1</v>
      </c>
      <c r="N3640" s="0" t="n">
        <f aca="false">INDEX(Summary!$J$2:$J$201,MATCH($B3640,Summary!$A$2:$A$201,0))</f>
        <v>4</v>
      </c>
      <c r="O3640" s="2" t="n">
        <f aca="false">INDEX(Summary!$K$2:$K$201,MATCH($B3640,Summary!$A$2:$A$201,0))</f>
        <v>8.58</v>
      </c>
      <c r="P3640" s="3" t="n">
        <f aca="false">INDEX(Summary!$L$2:$L$201,MATCH($B3640,Summary!$A$2:$A$201,0))</f>
        <v>5</v>
      </c>
      <c r="Q3640" s="3" t="n">
        <f aca="false">INDEX(Summary!$M$2:$M$201,MATCH($B3640,Summary!$A$2:$A$201,0))</f>
        <v>1</v>
      </c>
      <c r="R3640" s="2" t="n">
        <f aca="false">INDEX(Summary!$N$2:$N$201,MATCH($B3640,Summary!$A$2:$A$201,0))</f>
        <v>10.7</v>
      </c>
      <c r="S3640" s="3" t="n">
        <f aca="false">INDEX(Summary!$O$2:$O$201,MATCH($B3640,Summary!$A$2:$A$201,0))</f>
        <v>6</v>
      </c>
      <c r="T3640" s="3" t="n">
        <f aca="false">INDEX(Summary!$P$2:$P$201,MATCH($B3640,Summary!$A$2:$A$201,0))</f>
        <v>3</v>
      </c>
      <c r="U3640" s="2" t="n">
        <f aca="false">INDEX(Summary!$Q$2:$Q$201,MATCH($B3640,Summary!$A$2:$A$201,0))</f>
        <v>15.89</v>
      </c>
      <c r="V3640" s="2" t="n">
        <f aca="false">INDEX(Summary!$R$2:$R$201,MATCH($B3640,Summary!$A$2:$A$201,0))</f>
        <v>20.35</v>
      </c>
      <c r="W3640" s="0" t="str">
        <f aca="false">INDEX(Summary!$S$2:$S$201,MATCH($B3640,Summary!$A$2:$A$201,0))</f>
        <v>Bronze</v>
      </c>
      <c r="X3640" s="2" t="n">
        <f aca="false">INDEX(Summary!$T$2:$T$201,MATCH($B3640,Summary!$A$2:$A$201,0))</f>
        <v>49.63</v>
      </c>
      <c r="Y3640" s="0" t="str">
        <f aca="false">INDEX('Reward Model'!$E$18:$E$37,MATCH($E3640,'Reward Model'!$A$18:$A$37,0))</f>
        <v>High</v>
      </c>
      <c r="Z3640" s="4" t="n">
        <f aca="false">ROUND(MIN(1,MAX('Reward Model'!$B$2,INDEX('Reward Model'!$C$12:$C$14,MATCH($K3640,'Reward Model'!$A$12:$A$14,0))/$J3640)),3)</f>
        <v>1</v>
      </c>
      <c r="AA3640" s="2" t="n">
        <f aca="false">IF($I3640="Correct",ROUND(INDEX('Reward Model'!$B$12:$B$14,MATCH($K3640,'Reward Model'!$A$12:$A$14,0))*Z3640,2),0)</f>
        <v>0</v>
      </c>
      <c r="AB3640" s="2" t="n">
        <f aca="false">IF($I3640="Correct",ROUND(INDEX('Reward Model'!$B$12:$B$14,MATCH($Y3640,'Reward Model'!$A$12:$A$14,0))*Z3640,2),0)</f>
        <v>0</v>
      </c>
    </row>
    <row r="3641" customFormat="false" ht="15" hidden="false" customHeight="false" outlineLevel="0" collapsed="false">
      <c r="A3641" s="0" t="s">
        <v>494</v>
      </c>
      <c r="B3641" s="0" t="s">
        <v>495</v>
      </c>
      <c r="C3641" s="0" t="s">
        <v>322</v>
      </c>
      <c r="D3641" s="0" t="s">
        <v>275</v>
      </c>
      <c r="E3641" s="0" t="n">
        <v>20</v>
      </c>
      <c r="F3641" s="0" t="s">
        <v>81</v>
      </c>
      <c r="G3641" s="0" t="s">
        <v>83</v>
      </c>
      <c r="H3641" s="0" t="s">
        <v>83</v>
      </c>
      <c r="I3641" s="0" t="s">
        <v>34</v>
      </c>
      <c r="J3641" s="0" t="n">
        <v>1.65</v>
      </c>
      <c r="K3641" s="0" t="s">
        <v>73</v>
      </c>
      <c r="L3641" s="0" t="n">
        <f aca="false">INDEX(Summary!$F$2:$F$201,MATCH($B3641,Summary!$A$2:$A$201,0))</f>
        <v>20</v>
      </c>
      <c r="M3641" s="0" t="n">
        <f aca="false">INDEX(Summary!$I$2:$I$201,MATCH($B3641,Summary!$A$2:$A$201,0))</f>
        <v>1</v>
      </c>
      <c r="N3641" s="0" t="n">
        <f aca="false">INDEX(Summary!$J$2:$J$201,MATCH($B3641,Summary!$A$2:$A$201,0))</f>
        <v>4</v>
      </c>
      <c r="O3641" s="2" t="n">
        <f aca="false">INDEX(Summary!$K$2:$K$201,MATCH($B3641,Summary!$A$2:$A$201,0))</f>
        <v>8.58</v>
      </c>
      <c r="P3641" s="3" t="n">
        <f aca="false">INDEX(Summary!$L$2:$L$201,MATCH($B3641,Summary!$A$2:$A$201,0))</f>
        <v>5</v>
      </c>
      <c r="Q3641" s="3" t="n">
        <f aca="false">INDEX(Summary!$M$2:$M$201,MATCH($B3641,Summary!$A$2:$A$201,0))</f>
        <v>1</v>
      </c>
      <c r="R3641" s="2" t="n">
        <f aca="false">INDEX(Summary!$N$2:$N$201,MATCH($B3641,Summary!$A$2:$A$201,0))</f>
        <v>10.7</v>
      </c>
      <c r="S3641" s="3" t="n">
        <f aca="false">INDEX(Summary!$O$2:$O$201,MATCH($B3641,Summary!$A$2:$A$201,0))</f>
        <v>6</v>
      </c>
      <c r="T3641" s="3" t="n">
        <f aca="false">INDEX(Summary!$P$2:$P$201,MATCH($B3641,Summary!$A$2:$A$201,0))</f>
        <v>3</v>
      </c>
      <c r="U3641" s="2" t="n">
        <f aca="false">INDEX(Summary!$Q$2:$Q$201,MATCH($B3641,Summary!$A$2:$A$201,0))</f>
        <v>15.89</v>
      </c>
      <c r="V3641" s="2" t="n">
        <f aca="false">INDEX(Summary!$R$2:$R$201,MATCH($B3641,Summary!$A$2:$A$201,0))</f>
        <v>20.35</v>
      </c>
      <c r="W3641" s="0" t="str">
        <f aca="false">INDEX(Summary!$S$2:$S$201,MATCH($B3641,Summary!$A$2:$A$201,0))</f>
        <v>Bronze</v>
      </c>
      <c r="X3641" s="2" t="n">
        <f aca="false">INDEX(Summary!$T$2:$T$201,MATCH($B3641,Summary!$A$2:$A$201,0))</f>
        <v>49.63</v>
      </c>
      <c r="Y3641" s="0" t="str">
        <f aca="false">INDEX('Reward Model'!$E$18:$E$37,MATCH($E3641,'Reward Model'!$A$18:$A$37,0))</f>
        <v>High</v>
      </c>
      <c r="Z3641" s="4" t="n">
        <f aca="false">ROUND(MIN(1,MAX('Reward Model'!$B$2,INDEX('Reward Model'!$C$12:$C$14,MATCH($K3641,'Reward Model'!$A$12:$A$14,0))/$J3641)),3)</f>
        <v>1</v>
      </c>
      <c r="AA3641" s="2" t="n">
        <f aca="false">IF($I3641="Correct",ROUND(INDEX('Reward Model'!$B$12:$B$14,MATCH($K3641,'Reward Model'!$A$12:$A$14,0))*Z3641,2),0)</f>
        <v>3</v>
      </c>
      <c r="AB3641" s="2" t="n">
        <f aca="false">IF($I3641="Correct",ROUND(INDEX('Reward Model'!$B$12:$B$14,MATCH($Y3641,'Reward Model'!$A$12:$A$14,0))*Z3641,2),0)</f>
        <v>3</v>
      </c>
    </row>
    <row r="3642" customFormat="false" ht="15" hidden="false" customHeight="false" outlineLevel="0" collapsed="false">
      <c r="A3642" s="0" t="s">
        <v>496</v>
      </c>
      <c r="B3642" s="0" t="s">
        <v>497</v>
      </c>
      <c r="C3642" s="0" t="s">
        <v>322</v>
      </c>
      <c r="D3642" s="0" t="s">
        <v>275</v>
      </c>
      <c r="E3642" s="0" t="n">
        <v>1</v>
      </c>
      <c r="F3642" s="0" t="s">
        <v>32</v>
      </c>
      <c r="G3642" s="0" t="s">
        <v>33</v>
      </c>
      <c r="H3642" s="0" t="s">
        <v>33</v>
      </c>
      <c r="I3642" s="0" t="s">
        <v>34</v>
      </c>
      <c r="J3642" s="0" t="n">
        <v>1.53</v>
      </c>
      <c r="K3642" s="0" t="s">
        <v>35</v>
      </c>
      <c r="L3642" s="0" t="n">
        <f aca="false">INDEX(Summary!$F$2:$F$201,MATCH($B3642,Summary!$A$2:$A$201,0))</f>
        <v>20</v>
      </c>
      <c r="M3642" s="0" t="n">
        <f aca="false">INDEX(Summary!$I$2:$I$201,MATCH($B3642,Summary!$A$2:$A$201,0))</f>
        <v>4</v>
      </c>
      <c r="N3642" s="0" t="n">
        <f aca="false">INDEX(Summary!$J$2:$J$201,MATCH($B3642,Summary!$A$2:$A$201,0))</f>
        <v>1</v>
      </c>
      <c r="O3642" s="2" t="n">
        <f aca="false">INDEX(Summary!$K$2:$K$201,MATCH($B3642,Summary!$A$2:$A$201,0))</f>
        <v>9.7</v>
      </c>
      <c r="P3642" s="3" t="n">
        <f aca="false">INDEX(Summary!$L$2:$L$201,MATCH($B3642,Summary!$A$2:$A$201,0))</f>
        <v>3</v>
      </c>
      <c r="Q3642" s="3" t="n">
        <f aca="false">INDEX(Summary!$M$2:$M$201,MATCH($B3642,Summary!$A$2:$A$201,0))</f>
        <v>3</v>
      </c>
      <c r="R3642" s="2" t="n">
        <f aca="false">INDEX(Summary!$N$2:$N$201,MATCH($B3642,Summary!$A$2:$A$201,0))</f>
        <v>10.88</v>
      </c>
      <c r="S3642" s="3" t="n">
        <f aca="false">INDEX(Summary!$O$2:$O$201,MATCH($B3642,Summary!$A$2:$A$201,0))</f>
        <v>8</v>
      </c>
      <c r="T3642" s="3" t="n">
        <f aca="false">INDEX(Summary!$P$2:$P$201,MATCH($B3642,Summary!$A$2:$A$201,0))</f>
        <v>1</v>
      </c>
      <c r="U3642" s="2" t="n">
        <f aca="false">INDEX(Summary!$Q$2:$Q$201,MATCH($B3642,Summary!$A$2:$A$201,0))</f>
        <v>12.64</v>
      </c>
      <c r="V3642" s="2" t="n">
        <f aca="false">INDEX(Summary!$R$2:$R$201,MATCH($B3642,Summary!$A$2:$A$201,0))</f>
        <v>28.3</v>
      </c>
      <c r="W3642" s="0" t="str">
        <f aca="false">INDEX(Summary!$S$2:$S$201,MATCH($B3642,Summary!$A$2:$A$201,0))</f>
        <v>Silver</v>
      </c>
      <c r="X3642" s="2" t="n">
        <f aca="false">INDEX(Summary!$T$2:$T$201,MATCH($B3642,Summary!$A$2:$A$201,0))</f>
        <v>69.02</v>
      </c>
      <c r="Y3642" s="0" t="str">
        <f aca="false">INDEX('Reward Model'!$E$18:$E$37,MATCH($E3642,'Reward Model'!$A$18:$A$37,0))</f>
        <v>Medium</v>
      </c>
      <c r="Z3642" s="4" t="n">
        <f aca="false">ROUND(MIN(1,MAX('Reward Model'!$B$2,INDEX('Reward Model'!$C$12:$C$14,MATCH($K3642,'Reward Model'!$A$12:$A$14,0))/$J3642)),3)</f>
        <v>0.98</v>
      </c>
      <c r="AA3642" s="2" t="n">
        <f aca="false">IF($I3642="Correct",ROUND(INDEX('Reward Model'!$B$12:$B$14,MATCH($K3642,'Reward Model'!$A$12:$A$14,0))*Z3642,2),0)</f>
        <v>0.98</v>
      </c>
      <c r="AB3642" s="2" t="n">
        <f aca="false">IF($I3642="Correct",ROUND(INDEX('Reward Model'!$B$12:$B$14,MATCH($Y3642,'Reward Model'!$A$12:$A$14,0))*Z3642,2),0)</f>
        <v>1.96</v>
      </c>
    </row>
    <row r="3643" customFormat="false" ht="15" hidden="false" customHeight="false" outlineLevel="0" collapsed="false">
      <c r="A3643" s="0" t="s">
        <v>496</v>
      </c>
      <c r="B3643" s="0" t="s">
        <v>497</v>
      </c>
      <c r="C3643" s="0" t="s">
        <v>322</v>
      </c>
      <c r="D3643" s="0" t="s">
        <v>275</v>
      </c>
      <c r="E3643" s="0" t="n">
        <v>2</v>
      </c>
      <c r="F3643" s="0" t="s">
        <v>36</v>
      </c>
      <c r="G3643" s="0" t="s">
        <v>38</v>
      </c>
      <c r="H3643" s="0" t="s">
        <v>38</v>
      </c>
      <c r="I3643" s="0" t="s">
        <v>34</v>
      </c>
      <c r="J3643" s="0" t="n">
        <v>1.54</v>
      </c>
      <c r="K3643" s="0" t="s">
        <v>35</v>
      </c>
      <c r="L3643" s="0" t="n">
        <f aca="false">INDEX(Summary!$F$2:$F$201,MATCH($B3643,Summary!$A$2:$A$201,0))</f>
        <v>20</v>
      </c>
      <c r="M3643" s="0" t="n">
        <f aca="false">INDEX(Summary!$I$2:$I$201,MATCH($B3643,Summary!$A$2:$A$201,0))</f>
        <v>4</v>
      </c>
      <c r="N3643" s="0" t="n">
        <f aca="false">INDEX(Summary!$J$2:$J$201,MATCH($B3643,Summary!$A$2:$A$201,0))</f>
        <v>1</v>
      </c>
      <c r="O3643" s="2" t="n">
        <f aca="false">INDEX(Summary!$K$2:$K$201,MATCH($B3643,Summary!$A$2:$A$201,0))</f>
        <v>9.7</v>
      </c>
      <c r="P3643" s="3" t="n">
        <f aca="false">INDEX(Summary!$L$2:$L$201,MATCH($B3643,Summary!$A$2:$A$201,0))</f>
        <v>3</v>
      </c>
      <c r="Q3643" s="3" t="n">
        <f aca="false">INDEX(Summary!$M$2:$M$201,MATCH($B3643,Summary!$A$2:$A$201,0))</f>
        <v>3</v>
      </c>
      <c r="R3643" s="2" t="n">
        <f aca="false">INDEX(Summary!$N$2:$N$201,MATCH($B3643,Summary!$A$2:$A$201,0))</f>
        <v>10.88</v>
      </c>
      <c r="S3643" s="3" t="n">
        <f aca="false">INDEX(Summary!$O$2:$O$201,MATCH($B3643,Summary!$A$2:$A$201,0))</f>
        <v>8</v>
      </c>
      <c r="T3643" s="3" t="n">
        <f aca="false">INDEX(Summary!$P$2:$P$201,MATCH($B3643,Summary!$A$2:$A$201,0))</f>
        <v>1</v>
      </c>
      <c r="U3643" s="2" t="n">
        <f aca="false">INDEX(Summary!$Q$2:$Q$201,MATCH($B3643,Summary!$A$2:$A$201,0))</f>
        <v>12.64</v>
      </c>
      <c r="V3643" s="2" t="n">
        <f aca="false">INDEX(Summary!$R$2:$R$201,MATCH($B3643,Summary!$A$2:$A$201,0))</f>
        <v>28.3</v>
      </c>
      <c r="W3643" s="0" t="str">
        <f aca="false">INDEX(Summary!$S$2:$S$201,MATCH($B3643,Summary!$A$2:$A$201,0))</f>
        <v>Silver</v>
      </c>
      <c r="X3643" s="2" t="n">
        <f aca="false">INDEX(Summary!$T$2:$T$201,MATCH($B3643,Summary!$A$2:$A$201,0))</f>
        <v>69.02</v>
      </c>
      <c r="Y3643" s="0" t="str">
        <f aca="false">INDEX('Reward Model'!$E$18:$E$37,MATCH($E3643,'Reward Model'!$A$18:$A$37,0))</f>
        <v>Low</v>
      </c>
      <c r="Z3643" s="4" t="n">
        <f aca="false">ROUND(MIN(1,MAX('Reward Model'!$B$2,INDEX('Reward Model'!$C$12:$C$14,MATCH($K3643,'Reward Model'!$A$12:$A$14,0))/$J3643)),3)</f>
        <v>0.974</v>
      </c>
      <c r="AA3643" s="2" t="n">
        <f aca="false">IF($I3643="Correct",ROUND(INDEX('Reward Model'!$B$12:$B$14,MATCH($K3643,'Reward Model'!$A$12:$A$14,0))*Z3643,2),0)</f>
        <v>0.97</v>
      </c>
      <c r="AB3643" s="2" t="n">
        <f aca="false">IF($I3643="Correct",ROUND(INDEX('Reward Model'!$B$12:$B$14,MATCH($Y3643,'Reward Model'!$A$12:$A$14,0))*Z3643,2),0)</f>
        <v>0.97</v>
      </c>
    </row>
    <row r="3644" customFormat="false" ht="15" hidden="false" customHeight="false" outlineLevel="0" collapsed="false">
      <c r="A3644" s="0" t="s">
        <v>496</v>
      </c>
      <c r="B3644" s="0" t="s">
        <v>497</v>
      </c>
      <c r="C3644" s="0" t="s">
        <v>322</v>
      </c>
      <c r="D3644" s="0" t="s">
        <v>275</v>
      </c>
      <c r="E3644" s="0" t="n">
        <v>3</v>
      </c>
      <c r="F3644" s="0" t="s">
        <v>40</v>
      </c>
      <c r="G3644" s="0" t="s">
        <v>42</v>
      </c>
      <c r="H3644" s="0" t="s">
        <v>42</v>
      </c>
      <c r="I3644" s="0" t="s">
        <v>34</v>
      </c>
      <c r="J3644" s="0" t="n">
        <v>1.41</v>
      </c>
      <c r="K3644" s="0" t="s">
        <v>35</v>
      </c>
      <c r="L3644" s="0" t="n">
        <f aca="false">INDEX(Summary!$F$2:$F$201,MATCH($B3644,Summary!$A$2:$A$201,0))</f>
        <v>20</v>
      </c>
      <c r="M3644" s="0" t="n">
        <f aca="false">INDEX(Summary!$I$2:$I$201,MATCH($B3644,Summary!$A$2:$A$201,0))</f>
        <v>4</v>
      </c>
      <c r="N3644" s="0" t="n">
        <f aca="false">INDEX(Summary!$J$2:$J$201,MATCH($B3644,Summary!$A$2:$A$201,0))</f>
        <v>1</v>
      </c>
      <c r="O3644" s="2" t="n">
        <f aca="false">INDEX(Summary!$K$2:$K$201,MATCH($B3644,Summary!$A$2:$A$201,0))</f>
        <v>9.7</v>
      </c>
      <c r="P3644" s="3" t="n">
        <f aca="false">INDEX(Summary!$L$2:$L$201,MATCH($B3644,Summary!$A$2:$A$201,0))</f>
        <v>3</v>
      </c>
      <c r="Q3644" s="3" t="n">
        <f aca="false">INDEX(Summary!$M$2:$M$201,MATCH($B3644,Summary!$A$2:$A$201,0))</f>
        <v>3</v>
      </c>
      <c r="R3644" s="2" t="n">
        <f aca="false">INDEX(Summary!$N$2:$N$201,MATCH($B3644,Summary!$A$2:$A$201,0))</f>
        <v>10.88</v>
      </c>
      <c r="S3644" s="3" t="n">
        <f aca="false">INDEX(Summary!$O$2:$O$201,MATCH($B3644,Summary!$A$2:$A$201,0))</f>
        <v>8</v>
      </c>
      <c r="T3644" s="3" t="n">
        <f aca="false">INDEX(Summary!$P$2:$P$201,MATCH($B3644,Summary!$A$2:$A$201,0))</f>
        <v>1</v>
      </c>
      <c r="U3644" s="2" t="n">
        <f aca="false">INDEX(Summary!$Q$2:$Q$201,MATCH($B3644,Summary!$A$2:$A$201,0))</f>
        <v>12.64</v>
      </c>
      <c r="V3644" s="2" t="n">
        <f aca="false">INDEX(Summary!$R$2:$R$201,MATCH($B3644,Summary!$A$2:$A$201,0))</f>
        <v>28.3</v>
      </c>
      <c r="W3644" s="0" t="str">
        <f aca="false">INDEX(Summary!$S$2:$S$201,MATCH($B3644,Summary!$A$2:$A$201,0))</f>
        <v>Silver</v>
      </c>
      <c r="X3644" s="2" t="n">
        <f aca="false">INDEX(Summary!$T$2:$T$201,MATCH($B3644,Summary!$A$2:$A$201,0))</f>
        <v>69.02</v>
      </c>
      <c r="Y3644" s="0" t="str">
        <f aca="false">INDEX('Reward Model'!$E$18:$E$37,MATCH($E3644,'Reward Model'!$A$18:$A$37,0))</f>
        <v>Medium</v>
      </c>
      <c r="Z3644" s="4" t="n">
        <f aca="false">ROUND(MIN(1,MAX('Reward Model'!$B$2,INDEX('Reward Model'!$C$12:$C$14,MATCH($K3644,'Reward Model'!$A$12:$A$14,0))/$J3644)),3)</f>
        <v>1</v>
      </c>
      <c r="AA3644" s="2" t="n">
        <f aca="false">IF($I3644="Correct",ROUND(INDEX('Reward Model'!$B$12:$B$14,MATCH($K3644,'Reward Model'!$A$12:$A$14,0))*Z3644,2),0)</f>
        <v>1</v>
      </c>
      <c r="AB3644" s="2" t="n">
        <f aca="false">IF($I3644="Correct",ROUND(INDEX('Reward Model'!$B$12:$B$14,MATCH($Y3644,'Reward Model'!$A$12:$A$14,0))*Z3644,2),0)</f>
        <v>2</v>
      </c>
    </row>
    <row r="3645" customFormat="false" ht="15" hidden="false" customHeight="false" outlineLevel="0" collapsed="false">
      <c r="A3645" s="0" t="s">
        <v>496</v>
      </c>
      <c r="B3645" s="0" t="s">
        <v>497</v>
      </c>
      <c r="C3645" s="0" t="s">
        <v>322</v>
      </c>
      <c r="D3645" s="0" t="s">
        <v>275</v>
      </c>
      <c r="E3645" s="0" t="n">
        <v>4</v>
      </c>
      <c r="F3645" s="0" t="s">
        <v>43</v>
      </c>
      <c r="G3645" s="0" t="s">
        <v>45</v>
      </c>
      <c r="H3645" s="0" t="s">
        <v>45</v>
      </c>
      <c r="I3645" s="0" t="s">
        <v>34</v>
      </c>
      <c r="J3645" s="0" t="n">
        <v>1.9</v>
      </c>
      <c r="K3645" s="0" t="s">
        <v>35</v>
      </c>
      <c r="L3645" s="0" t="n">
        <f aca="false">INDEX(Summary!$F$2:$F$201,MATCH($B3645,Summary!$A$2:$A$201,0))</f>
        <v>20</v>
      </c>
      <c r="M3645" s="0" t="n">
        <f aca="false">INDEX(Summary!$I$2:$I$201,MATCH($B3645,Summary!$A$2:$A$201,0))</f>
        <v>4</v>
      </c>
      <c r="N3645" s="0" t="n">
        <f aca="false">INDEX(Summary!$J$2:$J$201,MATCH($B3645,Summary!$A$2:$A$201,0))</f>
        <v>1</v>
      </c>
      <c r="O3645" s="2" t="n">
        <f aca="false">INDEX(Summary!$K$2:$K$201,MATCH($B3645,Summary!$A$2:$A$201,0))</f>
        <v>9.7</v>
      </c>
      <c r="P3645" s="3" t="n">
        <f aca="false">INDEX(Summary!$L$2:$L$201,MATCH($B3645,Summary!$A$2:$A$201,0))</f>
        <v>3</v>
      </c>
      <c r="Q3645" s="3" t="n">
        <f aca="false">INDEX(Summary!$M$2:$M$201,MATCH($B3645,Summary!$A$2:$A$201,0))</f>
        <v>3</v>
      </c>
      <c r="R3645" s="2" t="n">
        <f aca="false">INDEX(Summary!$N$2:$N$201,MATCH($B3645,Summary!$A$2:$A$201,0))</f>
        <v>10.88</v>
      </c>
      <c r="S3645" s="3" t="n">
        <f aca="false">INDEX(Summary!$O$2:$O$201,MATCH($B3645,Summary!$A$2:$A$201,0))</f>
        <v>8</v>
      </c>
      <c r="T3645" s="3" t="n">
        <f aca="false">INDEX(Summary!$P$2:$P$201,MATCH($B3645,Summary!$A$2:$A$201,0))</f>
        <v>1</v>
      </c>
      <c r="U3645" s="2" t="n">
        <f aca="false">INDEX(Summary!$Q$2:$Q$201,MATCH($B3645,Summary!$A$2:$A$201,0))</f>
        <v>12.64</v>
      </c>
      <c r="V3645" s="2" t="n">
        <f aca="false">INDEX(Summary!$R$2:$R$201,MATCH($B3645,Summary!$A$2:$A$201,0))</f>
        <v>28.3</v>
      </c>
      <c r="W3645" s="0" t="str">
        <f aca="false">INDEX(Summary!$S$2:$S$201,MATCH($B3645,Summary!$A$2:$A$201,0))</f>
        <v>Silver</v>
      </c>
      <c r="X3645" s="2" t="n">
        <f aca="false">INDEX(Summary!$T$2:$T$201,MATCH($B3645,Summary!$A$2:$A$201,0))</f>
        <v>69.02</v>
      </c>
      <c r="Y3645" s="0" t="str">
        <f aca="false">INDEX('Reward Model'!$E$18:$E$37,MATCH($E3645,'Reward Model'!$A$18:$A$37,0))</f>
        <v>Low</v>
      </c>
      <c r="Z3645" s="4" t="n">
        <f aca="false">ROUND(MIN(1,MAX('Reward Model'!$B$2,INDEX('Reward Model'!$C$12:$C$14,MATCH($K3645,'Reward Model'!$A$12:$A$14,0))/$J3645)),3)</f>
        <v>0.789</v>
      </c>
      <c r="AA3645" s="2" t="n">
        <f aca="false">IF($I3645="Correct",ROUND(INDEX('Reward Model'!$B$12:$B$14,MATCH($K3645,'Reward Model'!$A$12:$A$14,0))*Z3645,2),0)</f>
        <v>0.79</v>
      </c>
      <c r="AB3645" s="2" t="n">
        <f aca="false">IF($I3645="Correct",ROUND(INDEX('Reward Model'!$B$12:$B$14,MATCH($Y3645,'Reward Model'!$A$12:$A$14,0))*Z3645,2),0)</f>
        <v>0.79</v>
      </c>
    </row>
    <row r="3646" customFormat="false" ht="15" hidden="false" customHeight="false" outlineLevel="0" collapsed="false">
      <c r="A3646" s="0" t="s">
        <v>496</v>
      </c>
      <c r="B3646" s="0" t="s">
        <v>497</v>
      </c>
      <c r="C3646" s="0" t="s">
        <v>322</v>
      </c>
      <c r="D3646" s="0" t="s">
        <v>275</v>
      </c>
      <c r="E3646" s="0" t="n">
        <v>5</v>
      </c>
      <c r="F3646" s="0" t="s">
        <v>46</v>
      </c>
      <c r="G3646" s="0" t="s">
        <v>47</v>
      </c>
      <c r="H3646" s="0" t="s">
        <v>47</v>
      </c>
      <c r="I3646" s="0" t="s">
        <v>34</v>
      </c>
      <c r="J3646" s="0" t="n">
        <v>1.09</v>
      </c>
      <c r="K3646" s="0" t="s">
        <v>35</v>
      </c>
      <c r="L3646" s="0" t="n">
        <f aca="false">INDEX(Summary!$F$2:$F$201,MATCH($B3646,Summary!$A$2:$A$201,0))</f>
        <v>20</v>
      </c>
      <c r="M3646" s="0" t="n">
        <f aca="false">INDEX(Summary!$I$2:$I$201,MATCH($B3646,Summary!$A$2:$A$201,0))</f>
        <v>4</v>
      </c>
      <c r="N3646" s="0" t="n">
        <f aca="false">INDEX(Summary!$J$2:$J$201,MATCH($B3646,Summary!$A$2:$A$201,0))</f>
        <v>1</v>
      </c>
      <c r="O3646" s="2" t="n">
        <f aca="false">INDEX(Summary!$K$2:$K$201,MATCH($B3646,Summary!$A$2:$A$201,0))</f>
        <v>9.7</v>
      </c>
      <c r="P3646" s="3" t="n">
        <f aca="false">INDEX(Summary!$L$2:$L$201,MATCH($B3646,Summary!$A$2:$A$201,0))</f>
        <v>3</v>
      </c>
      <c r="Q3646" s="3" t="n">
        <f aca="false">INDEX(Summary!$M$2:$M$201,MATCH($B3646,Summary!$A$2:$A$201,0))</f>
        <v>3</v>
      </c>
      <c r="R3646" s="2" t="n">
        <f aca="false">INDEX(Summary!$N$2:$N$201,MATCH($B3646,Summary!$A$2:$A$201,0))</f>
        <v>10.88</v>
      </c>
      <c r="S3646" s="3" t="n">
        <f aca="false">INDEX(Summary!$O$2:$O$201,MATCH($B3646,Summary!$A$2:$A$201,0))</f>
        <v>8</v>
      </c>
      <c r="T3646" s="3" t="n">
        <f aca="false">INDEX(Summary!$P$2:$P$201,MATCH($B3646,Summary!$A$2:$A$201,0))</f>
        <v>1</v>
      </c>
      <c r="U3646" s="2" t="n">
        <f aca="false">INDEX(Summary!$Q$2:$Q$201,MATCH($B3646,Summary!$A$2:$A$201,0))</f>
        <v>12.64</v>
      </c>
      <c r="V3646" s="2" t="n">
        <f aca="false">INDEX(Summary!$R$2:$R$201,MATCH($B3646,Summary!$A$2:$A$201,0))</f>
        <v>28.3</v>
      </c>
      <c r="W3646" s="0" t="str">
        <f aca="false">INDEX(Summary!$S$2:$S$201,MATCH($B3646,Summary!$A$2:$A$201,0))</f>
        <v>Silver</v>
      </c>
      <c r="X3646" s="2" t="n">
        <f aca="false">INDEX(Summary!$T$2:$T$201,MATCH($B3646,Summary!$A$2:$A$201,0))</f>
        <v>69.02</v>
      </c>
      <c r="Y3646" s="0" t="str">
        <f aca="false">INDEX('Reward Model'!$E$18:$E$37,MATCH($E3646,'Reward Model'!$A$18:$A$37,0))</f>
        <v>Low</v>
      </c>
      <c r="Z3646" s="4" t="n">
        <f aca="false">ROUND(MIN(1,MAX('Reward Model'!$B$2,INDEX('Reward Model'!$C$12:$C$14,MATCH($K3646,'Reward Model'!$A$12:$A$14,0))/$J3646)),3)</f>
        <v>1</v>
      </c>
      <c r="AA3646" s="2" t="n">
        <f aca="false">IF($I3646="Correct",ROUND(INDEX('Reward Model'!$B$12:$B$14,MATCH($K3646,'Reward Model'!$A$12:$A$14,0))*Z3646,2),0)</f>
        <v>1</v>
      </c>
      <c r="AB3646" s="2" t="n">
        <f aca="false">IF($I3646="Correct",ROUND(INDEX('Reward Model'!$B$12:$B$14,MATCH($Y3646,'Reward Model'!$A$12:$A$14,0))*Z3646,2),0)</f>
        <v>1</v>
      </c>
    </row>
    <row r="3647" customFormat="false" ht="15" hidden="false" customHeight="false" outlineLevel="0" collapsed="false">
      <c r="A3647" s="0" t="s">
        <v>496</v>
      </c>
      <c r="B3647" s="0" t="s">
        <v>497</v>
      </c>
      <c r="C3647" s="0" t="s">
        <v>322</v>
      </c>
      <c r="D3647" s="0" t="s">
        <v>275</v>
      </c>
      <c r="E3647" s="0" t="n">
        <v>6</v>
      </c>
      <c r="F3647" s="0" t="s">
        <v>48</v>
      </c>
      <c r="G3647" s="0" t="s">
        <v>116</v>
      </c>
      <c r="H3647" s="0" t="s">
        <v>49</v>
      </c>
      <c r="I3647" s="0" t="s">
        <v>39</v>
      </c>
      <c r="J3647" s="0" t="n">
        <v>1.05</v>
      </c>
      <c r="K3647" s="0" t="s">
        <v>35</v>
      </c>
      <c r="L3647" s="0" t="n">
        <f aca="false">INDEX(Summary!$F$2:$F$201,MATCH($B3647,Summary!$A$2:$A$201,0))</f>
        <v>20</v>
      </c>
      <c r="M3647" s="0" t="n">
        <f aca="false">INDEX(Summary!$I$2:$I$201,MATCH($B3647,Summary!$A$2:$A$201,0))</f>
        <v>4</v>
      </c>
      <c r="N3647" s="0" t="n">
        <f aca="false">INDEX(Summary!$J$2:$J$201,MATCH($B3647,Summary!$A$2:$A$201,0))</f>
        <v>1</v>
      </c>
      <c r="O3647" s="2" t="n">
        <f aca="false">INDEX(Summary!$K$2:$K$201,MATCH($B3647,Summary!$A$2:$A$201,0))</f>
        <v>9.7</v>
      </c>
      <c r="P3647" s="3" t="n">
        <f aca="false">INDEX(Summary!$L$2:$L$201,MATCH($B3647,Summary!$A$2:$A$201,0))</f>
        <v>3</v>
      </c>
      <c r="Q3647" s="3" t="n">
        <f aca="false">INDEX(Summary!$M$2:$M$201,MATCH($B3647,Summary!$A$2:$A$201,0))</f>
        <v>3</v>
      </c>
      <c r="R3647" s="2" t="n">
        <f aca="false">INDEX(Summary!$N$2:$N$201,MATCH($B3647,Summary!$A$2:$A$201,0))</f>
        <v>10.88</v>
      </c>
      <c r="S3647" s="3" t="n">
        <f aca="false">INDEX(Summary!$O$2:$O$201,MATCH($B3647,Summary!$A$2:$A$201,0))</f>
        <v>8</v>
      </c>
      <c r="T3647" s="3" t="n">
        <f aca="false">INDEX(Summary!$P$2:$P$201,MATCH($B3647,Summary!$A$2:$A$201,0))</f>
        <v>1</v>
      </c>
      <c r="U3647" s="2" t="n">
        <f aca="false">INDEX(Summary!$Q$2:$Q$201,MATCH($B3647,Summary!$A$2:$A$201,0))</f>
        <v>12.64</v>
      </c>
      <c r="V3647" s="2" t="n">
        <f aca="false">INDEX(Summary!$R$2:$R$201,MATCH($B3647,Summary!$A$2:$A$201,0))</f>
        <v>28.3</v>
      </c>
      <c r="W3647" s="0" t="str">
        <f aca="false">INDEX(Summary!$S$2:$S$201,MATCH($B3647,Summary!$A$2:$A$201,0))</f>
        <v>Silver</v>
      </c>
      <c r="X3647" s="2" t="n">
        <f aca="false">INDEX(Summary!$T$2:$T$201,MATCH($B3647,Summary!$A$2:$A$201,0))</f>
        <v>69.02</v>
      </c>
      <c r="Y3647" s="0" t="str">
        <f aca="false">INDEX('Reward Model'!$E$18:$E$37,MATCH($E3647,'Reward Model'!$A$18:$A$37,0))</f>
        <v>Medium</v>
      </c>
      <c r="Z3647" s="4" t="n">
        <f aca="false">ROUND(MIN(1,MAX('Reward Model'!$B$2,INDEX('Reward Model'!$C$12:$C$14,MATCH($K3647,'Reward Model'!$A$12:$A$14,0))/$J3647)),3)</f>
        <v>1</v>
      </c>
      <c r="AA3647" s="2" t="n">
        <f aca="false">IF($I3647="Correct",ROUND(INDEX('Reward Model'!$B$12:$B$14,MATCH($K3647,'Reward Model'!$A$12:$A$14,0))*Z3647,2),0)</f>
        <v>0</v>
      </c>
      <c r="AB3647" s="2" t="n">
        <f aca="false">IF($I3647="Correct",ROUND(INDEX('Reward Model'!$B$12:$B$14,MATCH($Y3647,'Reward Model'!$A$12:$A$14,0))*Z3647,2),0)</f>
        <v>0</v>
      </c>
    </row>
    <row r="3648" customFormat="false" ht="15" hidden="false" customHeight="false" outlineLevel="0" collapsed="false">
      <c r="A3648" s="0" t="s">
        <v>496</v>
      </c>
      <c r="B3648" s="0" t="s">
        <v>497</v>
      </c>
      <c r="C3648" s="0" t="s">
        <v>322</v>
      </c>
      <c r="D3648" s="0" t="s">
        <v>275</v>
      </c>
      <c r="E3648" s="0" t="n">
        <v>7</v>
      </c>
      <c r="F3648" s="0" t="s">
        <v>50</v>
      </c>
      <c r="G3648" s="0" t="s">
        <v>51</v>
      </c>
      <c r="H3648" s="0" t="s">
        <v>51</v>
      </c>
      <c r="I3648" s="0" t="s">
        <v>34</v>
      </c>
      <c r="J3648" s="0" t="n">
        <v>1.3</v>
      </c>
      <c r="K3648" s="0" t="s">
        <v>35</v>
      </c>
      <c r="L3648" s="0" t="n">
        <f aca="false">INDEX(Summary!$F$2:$F$201,MATCH($B3648,Summary!$A$2:$A$201,0))</f>
        <v>20</v>
      </c>
      <c r="M3648" s="0" t="n">
        <f aca="false">INDEX(Summary!$I$2:$I$201,MATCH($B3648,Summary!$A$2:$A$201,0))</f>
        <v>4</v>
      </c>
      <c r="N3648" s="0" t="n">
        <f aca="false">INDEX(Summary!$J$2:$J$201,MATCH($B3648,Summary!$A$2:$A$201,0))</f>
        <v>1</v>
      </c>
      <c r="O3648" s="2" t="n">
        <f aca="false">INDEX(Summary!$K$2:$K$201,MATCH($B3648,Summary!$A$2:$A$201,0))</f>
        <v>9.7</v>
      </c>
      <c r="P3648" s="3" t="n">
        <f aca="false">INDEX(Summary!$L$2:$L$201,MATCH($B3648,Summary!$A$2:$A$201,0))</f>
        <v>3</v>
      </c>
      <c r="Q3648" s="3" t="n">
        <f aca="false">INDEX(Summary!$M$2:$M$201,MATCH($B3648,Summary!$A$2:$A$201,0))</f>
        <v>3</v>
      </c>
      <c r="R3648" s="2" t="n">
        <f aca="false">INDEX(Summary!$N$2:$N$201,MATCH($B3648,Summary!$A$2:$A$201,0))</f>
        <v>10.88</v>
      </c>
      <c r="S3648" s="3" t="n">
        <f aca="false">INDEX(Summary!$O$2:$O$201,MATCH($B3648,Summary!$A$2:$A$201,0))</f>
        <v>8</v>
      </c>
      <c r="T3648" s="3" t="n">
        <f aca="false">INDEX(Summary!$P$2:$P$201,MATCH($B3648,Summary!$A$2:$A$201,0))</f>
        <v>1</v>
      </c>
      <c r="U3648" s="2" t="n">
        <f aca="false">INDEX(Summary!$Q$2:$Q$201,MATCH($B3648,Summary!$A$2:$A$201,0))</f>
        <v>12.64</v>
      </c>
      <c r="V3648" s="2" t="n">
        <f aca="false">INDEX(Summary!$R$2:$R$201,MATCH($B3648,Summary!$A$2:$A$201,0))</f>
        <v>28.3</v>
      </c>
      <c r="W3648" s="0" t="str">
        <f aca="false">INDEX(Summary!$S$2:$S$201,MATCH($B3648,Summary!$A$2:$A$201,0))</f>
        <v>Silver</v>
      </c>
      <c r="X3648" s="2" t="n">
        <f aca="false">INDEX(Summary!$T$2:$T$201,MATCH($B3648,Summary!$A$2:$A$201,0))</f>
        <v>69.02</v>
      </c>
      <c r="Y3648" s="0" t="str">
        <f aca="false">INDEX('Reward Model'!$E$18:$E$37,MATCH($E3648,'Reward Model'!$A$18:$A$37,0))</f>
        <v>Low</v>
      </c>
      <c r="Z3648" s="4" t="n">
        <f aca="false">ROUND(MIN(1,MAX('Reward Model'!$B$2,INDEX('Reward Model'!$C$12:$C$14,MATCH($K3648,'Reward Model'!$A$12:$A$14,0))/$J3648)),3)</f>
        <v>1</v>
      </c>
      <c r="AA3648" s="2" t="n">
        <f aca="false">IF($I3648="Correct",ROUND(INDEX('Reward Model'!$B$12:$B$14,MATCH($K3648,'Reward Model'!$A$12:$A$14,0))*Z3648,2),0)</f>
        <v>1</v>
      </c>
      <c r="AB3648" s="2" t="n">
        <f aca="false">IF($I3648="Correct",ROUND(INDEX('Reward Model'!$B$12:$B$14,MATCH($Y3648,'Reward Model'!$A$12:$A$14,0))*Z3648,2),0)</f>
        <v>1</v>
      </c>
    </row>
    <row r="3649" customFormat="false" ht="15" hidden="false" customHeight="false" outlineLevel="0" collapsed="false">
      <c r="A3649" s="0" t="s">
        <v>496</v>
      </c>
      <c r="B3649" s="0" t="s">
        <v>497</v>
      </c>
      <c r="C3649" s="0" t="s">
        <v>322</v>
      </c>
      <c r="D3649" s="0" t="s">
        <v>275</v>
      </c>
      <c r="E3649" s="0" t="n">
        <v>8</v>
      </c>
      <c r="F3649" s="0" t="s">
        <v>52</v>
      </c>
      <c r="G3649" s="0" t="s">
        <v>54</v>
      </c>
      <c r="H3649" s="0" t="s">
        <v>54</v>
      </c>
      <c r="I3649" s="0" t="s">
        <v>34</v>
      </c>
      <c r="J3649" s="0" t="n">
        <v>1.36</v>
      </c>
      <c r="K3649" s="0" t="s">
        <v>35</v>
      </c>
      <c r="L3649" s="0" t="n">
        <f aca="false">INDEX(Summary!$F$2:$F$201,MATCH($B3649,Summary!$A$2:$A$201,0))</f>
        <v>20</v>
      </c>
      <c r="M3649" s="0" t="n">
        <f aca="false">INDEX(Summary!$I$2:$I$201,MATCH($B3649,Summary!$A$2:$A$201,0))</f>
        <v>4</v>
      </c>
      <c r="N3649" s="0" t="n">
        <f aca="false">INDEX(Summary!$J$2:$J$201,MATCH($B3649,Summary!$A$2:$A$201,0))</f>
        <v>1</v>
      </c>
      <c r="O3649" s="2" t="n">
        <f aca="false">INDEX(Summary!$K$2:$K$201,MATCH($B3649,Summary!$A$2:$A$201,0))</f>
        <v>9.7</v>
      </c>
      <c r="P3649" s="3" t="n">
        <f aca="false">INDEX(Summary!$L$2:$L$201,MATCH($B3649,Summary!$A$2:$A$201,0))</f>
        <v>3</v>
      </c>
      <c r="Q3649" s="3" t="n">
        <f aca="false">INDEX(Summary!$M$2:$M$201,MATCH($B3649,Summary!$A$2:$A$201,0))</f>
        <v>3</v>
      </c>
      <c r="R3649" s="2" t="n">
        <f aca="false">INDEX(Summary!$N$2:$N$201,MATCH($B3649,Summary!$A$2:$A$201,0))</f>
        <v>10.88</v>
      </c>
      <c r="S3649" s="3" t="n">
        <f aca="false">INDEX(Summary!$O$2:$O$201,MATCH($B3649,Summary!$A$2:$A$201,0))</f>
        <v>8</v>
      </c>
      <c r="T3649" s="3" t="n">
        <f aca="false">INDEX(Summary!$P$2:$P$201,MATCH($B3649,Summary!$A$2:$A$201,0))</f>
        <v>1</v>
      </c>
      <c r="U3649" s="2" t="n">
        <f aca="false">INDEX(Summary!$Q$2:$Q$201,MATCH($B3649,Summary!$A$2:$A$201,0))</f>
        <v>12.64</v>
      </c>
      <c r="V3649" s="2" t="n">
        <f aca="false">INDEX(Summary!$R$2:$R$201,MATCH($B3649,Summary!$A$2:$A$201,0))</f>
        <v>28.3</v>
      </c>
      <c r="W3649" s="0" t="str">
        <f aca="false">INDEX(Summary!$S$2:$S$201,MATCH($B3649,Summary!$A$2:$A$201,0))</f>
        <v>Silver</v>
      </c>
      <c r="X3649" s="2" t="n">
        <f aca="false">INDEX(Summary!$T$2:$T$201,MATCH($B3649,Summary!$A$2:$A$201,0))</f>
        <v>69.02</v>
      </c>
      <c r="Y3649" s="0" t="str">
        <f aca="false">INDEX('Reward Model'!$E$18:$E$37,MATCH($E3649,'Reward Model'!$A$18:$A$37,0))</f>
        <v>Medium</v>
      </c>
      <c r="Z3649" s="4" t="n">
        <f aca="false">ROUND(MIN(1,MAX('Reward Model'!$B$2,INDEX('Reward Model'!$C$12:$C$14,MATCH($K3649,'Reward Model'!$A$12:$A$14,0))/$J3649)),3)</f>
        <v>1</v>
      </c>
      <c r="AA3649" s="2" t="n">
        <f aca="false">IF($I3649="Correct",ROUND(INDEX('Reward Model'!$B$12:$B$14,MATCH($K3649,'Reward Model'!$A$12:$A$14,0))*Z3649,2),0)</f>
        <v>1</v>
      </c>
      <c r="AB3649" s="2" t="n">
        <f aca="false">IF($I3649="Correct",ROUND(INDEX('Reward Model'!$B$12:$B$14,MATCH($Y3649,'Reward Model'!$A$12:$A$14,0))*Z3649,2),0)</f>
        <v>2</v>
      </c>
    </row>
    <row r="3650" customFormat="false" ht="15" hidden="false" customHeight="false" outlineLevel="0" collapsed="false">
      <c r="A3650" s="0" t="s">
        <v>496</v>
      </c>
      <c r="B3650" s="0" t="s">
        <v>497</v>
      </c>
      <c r="C3650" s="0" t="s">
        <v>322</v>
      </c>
      <c r="D3650" s="0" t="s">
        <v>275</v>
      </c>
      <c r="E3650" s="0" t="n">
        <v>9</v>
      </c>
      <c r="F3650" s="0" t="s">
        <v>55</v>
      </c>
      <c r="G3650" s="0" t="s">
        <v>57</v>
      </c>
      <c r="H3650" s="0" t="s">
        <v>57</v>
      </c>
      <c r="I3650" s="0" t="s">
        <v>34</v>
      </c>
      <c r="J3650" s="0" t="n">
        <v>1.46</v>
      </c>
      <c r="K3650" s="0" t="s">
        <v>35</v>
      </c>
      <c r="L3650" s="0" t="n">
        <f aca="false">INDEX(Summary!$F$2:$F$201,MATCH($B3650,Summary!$A$2:$A$201,0))</f>
        <v>20</v>
      </c>
      <c r="M3650" s="0" t="n">
        <f aca="false">INDEX(Summary!$I$2:$I$201,MATCH($B3650,Summary!$A$2:$A$201,0))</f>
        <v>4</v>
      </c>
      <c r="N3650" s="0" t="n">
        <f aca="false">INDEX(Summary!$J$2:$J$201,MATCH($B3650,Summary!$A$2:$A$201,0))</f>
        <v>1</v>
      </c>
      <c r="O3650" s="2" t="n">
        <f aca="false">INDEX(Summary!$K$2:$K$201,MATCH($B3650,Summary!$A$2:$A$201,0))</f>
        <v>9.7</v>
      </c>
      <c r="P3650" s="3" t="n">
        <f aca="false">INDEX(Summary!$L$2:$L$201,MATCH($B3650,Summary!$A$2:$A$201,0))</f>
        <v>3</v>
      </c>
      <c r="Q3650" s="3" t="n">
        <f aca="false">INDEX(Summary!$M$2:$M$201,MATCH($B3650,Summary!$A$2:$A$201,0))</f>
        <v>3</v>
      </c>
      <c r="R3650" s="2" t="n">
        <f aca="false">INDEX(Summary!$N$2:$N$201,MATCH($B3650,Summary!$A$2:$A$201,0))</f>
        <v>10.88</v>
      </c>
      <c r="S3650" s="3" t="n">
        <f aca="false">INDEX(Summary!$O$2:$O$201,MATCH($B3650,Summary!$A$2:$A$201,0))</f>
        <v>8</v>
      </c>
      <c r="T3650" s="3" t="n">
        <f aca="false">INDEX(Summary!$P$2:$P$201,MATCH($B3650,Summary!$A$2:$A$201,0))</f>
        <v>1</v>
      </c>
      <c r="U3650" s="2" t="n">
        <f aca="false">INDEX(Summary!$Q$2:$Q$201,MATCH($B3650,Summary!$A$2:$A$201,0))</f>
        <v>12.64</v>
      </c>
      <c r="V3650" s="2" t="n">
        <f aca="false">INDEX(Summary!$R$2:$R$201,MATCH($B3650,Summary!$A$2:$A$201,0))</f>
        <v>28.3</v>
      </c>
      <c r="W3650" s="0" t="str">
        <f aca="false">INDEX(Summary!$S$2:$S$201,MATCH($B3650,Summary!$A$2:$A$201,0))</f>
        <v>Silver</v>
      </c>
      <c r="X3650" s="2" t="n">
        <f aca="false">INDEX(Summary!$T$2:$T$201,MATCH($B3650,Summary!$A$2:$A$201,0))</f>
        <v>69.02</v>
      </c>
      <c r="Y3650" s="0" t="str">
        <f aca="false">INDEX('Reward Model'!$E$18:$E$37,MATCH($E3650,'Reward Model'!$A$18:$A$37,0))</f>
        <v>Medium</v>
      </c>
      <c r="Z3650" s="4" t="n">
        <f aca="false">ROUND(MIN(1,MAX('Reward Model'!$B$2,INDEX('Reward Model'!$C$12:$C$14,MATCH($K3650,'Reward Model'!$A$12:$A$14,0))/$J3650)),3)</f>
        <v>1</v>
      </c>
      <c r="AA3650" s="2" t="n">
        <f aca="false">IF($I3650="Correct",ROUND(INDEX('Reward Model'!$B$12:$B$14,MATCH($K3650,'Reward Model'!$A$12:$A$14,0))*Z3650,2),0)</f>
        <v>1</v>
      </c>
      <c r="AB3650" s="2" t="n">
        <f aca="false">IF($I3650="Correct",ROUND(INDEX('Reward Model'!$B$12:$B$14,MATCH($Y3650,'Reward Model'!$A$12:$A$14,0))*Z3650,2),0)</f>
        <v>2</v>
      </c>
    </row>
    <row r="3651" customFormat="false" ht="15" hidden="false" customHeight="false" outlineLevel="0" collapsed="false">
      <c r="A3651" s="0" t="s">
        <v>496</v>
      </c>
      <c r="B3651" s="0" t="s">
        <v>497</v>
      </c>
      <c r="C3651" s="0" t="s">
        <v>322</v>
      </c>
      <c r="D3651" s="0" t="s">
        <v>275</v>
      </c>
      <c r="E3651" s="0" t="n">
        <v>10</v>
      </c>
      <c r="F3651" s="0" t="s">
        <v>58</v>
      </c>
      <c r="G3651" s="0" t="s">
        <v>59</v>
      </c>
      <c r="H3651" s="0" t="s">
        <v>59</v>
      </c>
      <c r="I3651" s="0" t="s">
        <v>34</v>
      </c>
      <c r="J3651" s="0" t="n">
        <v>2.25</v>
      </c>
      <c r="K3651" s="0" t="s">
        <v>60</v>
      </c>
      <c r="L3651" s="0" t="n">
        <f aca="false">INDEX(Summary!$F$2:$F$201,MATCH($B3651,Summary!$A$2:$A$201,0))</f>
        <v>20</v>
      </c>
      <c r="M3651" s="0" t="n">
        <f aca="false">INDEX(Summary!$I$2:$I$201,MATCH($B3651,Summary!$A$2:$A$201,0))</f>
        <v>4</v>
      </c>
      <c r="N3651" s="0" t="n">
        <f aca="false">INDEX(Summary!$J$2:$J$201,MATCH($B3651,Summary!$A$2:$A$201,0))</f>
        <v>1</v>
      </c>
      <c r="O3651" s="2" t="n">
        <f aca="false">INDEX(Summary!$K$2:$K$201,MATCH($B3651,Summary!$A$2:$A$201,0))</f>
        <v>9.7</v>
      </c>
      <c r="P3651" s="3" t="n">
        <f aca="false">INDEX(Summary!$L$2:$L$201,MATCH($B3651,Summary!$A$2:$A$201,0))</f>
        <v>3</v>
      </c>
      <c r="Q3651" s="3" t="n">
        <f aca="false">INDEX(Summary!$M$2:$M$201,MATCH($B3651,Summary!$A$2:$A$201,0))</f>
        <v>3</v>
      </c>
      <c r="R3651" s="2" t="n">
        <f aca="false">INDEX(Summary!$N$2:$N$201,MATCH($B3651,Summary!$A$2:$A$201,0))</f>
        <v>10.88</v>
      </c>
      <c r="S3651" s="3" t="n">
        <f aca="false">INDEX(Summary!$O$2:$O$201,MATCH($B3651,Summary!$A$2:$A$201,0))</f>
        <v>8</v>
      </c>
      <c r="T3651" s="3" t="n">
        <f aca="false">INDEX(Summary!$P$2:$P$201,MATCH($B3651,Summary!$A$2:$A$201,0))</f>
        <v>1</v>
      </c>
      <c r="U3651" s="2" t="n">
        <f aca="false">INDEX(Summary!$Q$2:$Q$201,MATCH($B3651,Summary!$A$2:$A$201,0))</f>
        <v>12.64</v>
      </c>
      <c r="V3651" s="2" t="n">
        <f aca="false">INDEX(Summary!$R$2:$R$201,MATCH($B3651,Summary!$A$2:$A$201,0))</f>
        <v>28.3</v>
      </c>
      <c r="W3651" s="0" t="str">
        <f aca="false">INDEX(Summary!$S$2:$S$201,MATCH($B3651,Summary!$A$2:$A$201,0))</f>
        <v>Silver</v>
      </c>
      <c r="X3651" s="2" t="n">
        <f aca="false">INDEX(Summary!$T$2:$T$201,MATCH($B3651,Summary!$A$2:$A$201,0))</f>
        <v>69.02</v>
      </c>
      <c r="Y3651" s="0" t="str">
        <f aca="false">INDEX('Reward Model'!$E$18:$E$37,MATCH($E3651,'Reward Model'!$A$18:$A$37,0))</f>
        <v>Medium</v>
      </c>
      <c r="Z3651" s="4" t="n">
        <f aca="false">ROUND(MIN(1,MAX('Reward Model'!$B$2,INDEX('Reward Model'!$C$12:$C$14,MATCH($K3651,'Reward Model'!$A$12:$A$14,0))/$J3651)),3)</f>
        <v>0.8</v>
      </c>
      <c r="AA3651" s="2" t="n">
        <f aca="false">IF($I3651="Correct",ROUND(INDEX('Reward Model'!$B$12:$B$14,MATCH($K3651,'Reward Model'!$A$12:$A$14,0))*Z3651,2),0)</f>
        <v>1.6</v>
      </c>
      <c r="AB3651" s="2" t="n">
        <f aca="false">IF($I3651="Correct",ROUND(INDEX('Reward Model'!$B$12:$B$14,MATCH($Y3651,'Reward Model'!$A$12:$A$14,0))*Z3651,2),0)</f>
        <v>1.6</v>
      </c>
    </row>
    <row r="3652" customFormat="false" ht="15" hidden="false" customHeight="false" outlineLevel="0" collapsed="false">
      <c r="A3652" s="0" t="s">
        <v>496</v>
      </c>
      <c r="B3652" s="0" t="s">
        <v>497</v>
      </c>
      <c r="C3652" s="0" t="s">
        <v>322</v>
      </c>
      <c r="D3652" s="0" t="s">
        <v>275</v>
      </c>
      <c r="E3652" s="0" t="n">
        <v>11</v>
      </c>
      <c r="F3652" s="0" t="s">
        <v>61</v>
      </c>
      <c r="G3652" s="0" t="s">
        <v>63</v>
      </c>
      <c r="H3652" s="0" t="s">
        <v>63</v>
      </c>
      <c r="I3652" s="0" t="s">
        <v>34</v>
      </c>
      <c r="J3652" s="0" t="n">
        <v>1.39</v>
      </c>
      <c r="K3652" s="0" t="s">
        <v>60</v>
      </c>
      <c r="L3652" s="0" t="n">
        <f aca="false">INDEX(Summary!$F$2:$F$201,MATCH($B3652,Summary!$A$2:$A$201,0))</f>
        <v>20</v>
      </c>
      <c r="M3652" s="0" t="n">
        <f aca="false">INDEX(Summary!$I$2:$I$201,MATCH($B3652,Summary!$A$2:$A$201,0))</f>
        <v>4</v>
      </c>
      <c r="N3652" s="0" t="n">
        <f aca="false">INDEX(Summary!$J$2:$J$201,MATCH($B3652,Summary!$A$2:$A$201,0))</f>
        <v>1</v>
      </c>
      <c r="O3652" s="2" t="n">
        <f aca="false">INDEX(Summary!$K$2:$K$201,MATCH($B3652,Summary!$A$2:$A$201,0))</f>
        <v>9.7</v>
      </c>
      <c r="P3652" s="3" t="n">
        <f aca="false">INDEX(Summary!$L$2:$L$201,MATCH($B3652,Summary!$A$2:$A$201,0))</f>
        <v>3</v>
      </c>
      <c r="Q3652" s="3" t="n">
        <f aca="false">INDEX(Summary!$M$2:$M$201,MATCH($B3652,Summary!$A$2:$A$201,0))</f>
        <v>3</v>
      </c>
      <c r="R3652" s="2" t="n">
        <f aca="false">INDEX(Summary!$N$2:$N$201,MATCH($B3652,Summary!$A$2:$A$201,0))</f>
        <v>10.88</v>
      </c>
      <c r="S3652" s="3" t="n">
        <f aca="false">INDEX(Summary!$O$2:$O$201,MATCH($B3652,Summary!$A$2:$A$201,0))</f>
        <v>8</v>
      </c>
      <c r="T3652" s="3" t="n">
        <f aca="false">INDEX(Summary!$P$2:$P$201,MATCH($B3652,Summary!$A$2:$A$201,0))</f>
        <v>1</v>
      </c>
      <c r="U3652" s="2" t="n">
        <f aca="false">INDEX(Summary!$Q$2:$Q$201,MATCH($B3652,Summary!$A$2:$A$201,0))</f>
        <v>12.64</v>
      </c>
      <c r="V3652" s="2" t="n">
        <f aca="false">INDEX(Summary!$R$2:$R$201,MATCH($B3652,Summary!$A$2:$A$201,0))</f>
        <v>28.3</v>
      </c>
      <c r="W3652" s="0" t="str">
        <f aca="false">INDEX(Summary!$S$2:$S$201,MATCH($B3652,Summary!$A$2:$A$201,0))</f>
        <v>Silver</v>
      </c>
      <c r="X3652" s="2" t="n">
        <f aca="false">INDEX(Summary!$T$2:$T$201,MATCH($B3652,Summary!$A$2:$A$201,0))</f>
        <v>69.02</v>
      </c>
      <c r="Y3652" s="0" t="str">
        <f aca="false">INDEX('Reward Model'!$E$18:$E$37,MATCH($E3652,'Reward Model'!$A$18:$A$37,0))</f>
        <v>Medium</v>
      </c>
      <c r="Z3652" s="4" t="n">
        <f aca="false">ROUND(MIN(1,MAX('Reward Model'!$B$2,INDEX('Reward Model'!$C$12:$C$14,MATCH($K3652,'Reward Model'!$A$12:$A$14,0))/$J3652)),3)</f>
        <v>1</v>
      </c>
      <c r="AA3652" s="2" t="n">
        <f aca="false">IF($I3652="Correct",ROUND(INDEX('Reward Model'!$B$12:$B$14,MATCH($K3652,'Reward Model'!$A$12:$A$14,0))*Z3652,2),0)</f>
        <v>2</v>
      </c>
      <c r="AB3652" s="2" t="n">
        <f aca="false">IF($I3652="Correct",ROUND(INDEX('Reward Model'!$B$12:$B$14,MATCH($Y3652,'Reward Model'!$A$12:$A$14,0))*Z3652,2),0)</f>
        <v>2</v>
      </c>
    </row>
    <row r="3653" customFormat="false" ht="15" hidden="false" customHeight="false" outlineLevel="0" collapsed="false">
      <c r="A3653" s="0" t="s">
        <v>496</v>
      </c>
      <c r="B3653" s="0" t="s">
        <v>497</v>
      </c>
      <c r="C3653" s="0" t="s">
        <v>322</v>
      </c>
      <c r="D3653" s="0" t="s">
        <v>275</v>
      </c>
      <c r="E3653" s="0" t="n">
        <v>12</v>
      </c>
      <c r="F3653" s="0" t="s">
        <v>64</v>
      </c>
      <c r="G3653" s="0" t="s">
        <v>127</v>
      </c>
      <c r="H3653" s="0" t="s">
        <v>65</v>
      </c>
      <c r="I3653" s="0" t="s">
        <v>39</v>
      </c>
      <c r="J3653" s="0" t="n">
        <v>1.88</v>
      </c>
      <c r="K3653" s="0" t="s">
        <v>60</v>
      </c>
      <c r="L3653" s="0" t="n">
        <f aca="false">INDEX(Summary!$F$2:$F$201,MATCH($B3653,Summary!$A$2:$A$201,0))</f>
        <v>20</v>
      </c>
      <c r="M3653" s="0" t="n">
        <f aca="false">INDEX(Summary!$I$2:$I$201,MATCH($B3653,Summary!$A$2:$A$201,0))</f>
        <v>4</v>
      </c>
      <c r="N3653" s="0" t="n">
        <f aca="false">INDEX(Summary!$J$2:$J$201,MATCH($B3653,Summary!$A$2:$A$201,0))</f>
        <v>1</v>
      </c>
      <c r="O3653" s="2" t="n">
        <f aca="false">INDEX(Summary!$K$2:$K$201,MATCH($B3653,Summary!$A$2:$A$201,0))</f>
        <v>9.7</v>
      </c>
      <c r="P3653" s="3" t="n">
        <f aca="false">INDEX(Summary!$L$2:$L$201,MATCH($B3653,Summary!$A$2:$A$201,0))</f>
        <v>3</v>
      </c>
      <c r="Q3653" s="3" t="n">
        <f aca="false">INDEX(Summary!$M$2:$M$201,MATCH($B3653,Summary!$A$2:$A$201,0))</f>
        <v>3</v>
      </c>
      <c r="R3653" s="2" t="n">
        <f aca="false">INDEX(Summary!$N$2:$N$201,MATCH($B3653,Summary!$A$2:$A$201,0))</f>
        <v>10.88</v>
      </c>
      <c r="S3653" s="3" t="n">
        <f aca="false">INDEX(Summary!$O$2:$O$201,MATCH($B3653,Summary!$A$2:$A$201,0))</f>
        <v>8</v>
      </c>
      <c r="T3653" s="3" t="n">
        <f aca="false">INDEX(Summary!$P$2:$P$201,MATCH($B3653,Summary!$A$2:$A$201,0))</f>
        <v>1</v>
      </c>
      <c r="U3653" s="2" t="n">
        <f aca="false">INDEX(Summary!$Q$2:$Q$201,MATCH($B3653,Summary!$A$2:$A$201,0))</f>
        <v>12.64</v>
      </c>
      <c r="V3653" s="2" t="n">
        <f aca="false">INDEX(Summary!$R$2:$R$201,MATCH($B3653,Summary!$A$2:$A$201,0))</f>
        <v>28.3</v>
      </c>
      <c r="W3653" s="0" t="str">
        <f aca="false">INDEX(Summary!$S$2:$S$201,MATCH($B3653,Summary!$A$2:$A$201,0))</f>
        <v>Silver</v>
      </c>
      <c r="X3653" s="2" t="n">
        <f aca="false">INDEX(Summary!$T$2:$T$201,MATCH($B3653,Summary!$A$2:$A$201,0))</f>
        <v>69.02</v>
      </c>
      <c r="Y3653" s="0" t="str">
        <f aca="false">INDEX('Reward Model'!$E$18:$E$37,MATCH($E3653,'Reward Model'!$A$18:$A$37,0))</f>
        <v>Medium</v>
      </c>
      <c r="Z3653" s="4" t="n">
        <f aca="false">ROUND(MIN(1,MAX('Reward Model'!$B$2,INDEX('Reward Model'!$C$12:$C$14,MATCH($K3653,'Reward Model'!$A$12:$A$14,0))/$J3653)),3)</f>
        <v>0.957</v>
      </c>
      <c r="AA3653" s="2" t="n">
        <f aca="false">IF($I3653="Correct",ROUND(INDEX('Reward Model'!$B$12:$B$14,MATCH($K3653,'Reward Model'!$A$12:$A$14,0))*Z3653,2),0)</f>
        <v>0</v>
      </c>
      <c r="AB3653" s="2" t="n">
        <f aca="false">IF($I3653="Correct",ROUND(INDEX('Reward Model'!$B$12:$B$14,MATCH($Y3653,'Reward Model'!$A$12:$A$14,0))*Z3653,2),0)</f>
        <v>0</v>
      </c>
    </row>
    <row r="3654" customFormat="false" ht="15" hidden="false" customHeight="false" outlineLevel="0" collapsed="false">
      <c r="A3654" s="0" t="s">
        <v>496</v>
      </c>
      <c r="B3654" s="0" t="s">
        <v>497</v>
      </c>
      <c r="C3654" s="0" t="s">
        <v>322</v>
      </c>
      <c r="D3654" s="0" t="s">
        <v>275</v>
      </c>
      <c r="E3654" s="0" t="n">
        <v>13</v>
      </c>
      <c r="F3654" s="0" t="s">
        <v>66</v>
      </c>
      <c r="G3654" s="0" t="s">
        <v>67</v>
      </c>
      <c r="H3654" s="0" t="s">
        <v>67</v>
      </c>
      <c r="I3654" s="0" t="s">
        <v>34</v>
      </c>
      <c r="J3654" s="0" t="n">
        <v>1.89</v>
      </c>
      <c r="K3654" s="0" t="s">
        <v>60</v>
      </c>
      <c r="L3654" s="0" t="n">
        <f aca="false">INDEX(Summary!$F$2:$F$201,MATCH($B3654,Summary!$A$2:$A$201,0))</f>
        <v>20</v>
      </c>
      <c r="M3654" s="0" t="n">
        <f aca="false">INDEX(Summary!$I$2:$I$201,MATCH($B3654,Summary!$A$2:$A$201,0))</f>
        <v>4</v>
      </c>
      <c r="N3654" s="0" t="n">
        <f aca="false">INDEX(Summary!$J$2:$J$201,MATCH($B3654,Summary!$A$2:$A$201,0))</f>
        <v>1</v>
      </c>
      <c r="O3654" s="2" t="n">
        <f aca="false">INDEX(Summary!$K$2:$K$201,MATCH($B3654,Summary!$A$2:$A$201,0))</f>
        <v>9.7</v>
      </c>
      <c r="P3654" s="3" t="n">
        <f aca="false">INDEX(Summary!$L$2:$L$201,MATCH($B3654,Summary!$A$2:$A$201,0))</f>
        <v>3</v>
      </c>
      <c r="Q3654" s="3" t="n">
        <f aca="false">INDEX(Summary!$M$2:$M$201,MATCH($B3654,Summary!$A$2:$A$201,0))</f>
        <v>3</v>
      </c>
      <c r="R3654" s="2" t="n">
        <f aca="false">INDEX(Summary!$N$2:$N$201,MATCH($B3654,Summary!$A$2:$A$201,0))</f>
        <v>10.88</v>
      </c>
      <c r="S3654" s="3" t="n">
        <f aca="false">INDEX(Summary!$O$2:$O$201,MATCH($B3654,Summary!$A$2:$A$201,0))</f>
        <v>8</v>
      </c>
      <c r="T3654" s="3" t="n">
        <f aca="false">INDEX(Summary!$P$2:$P$201,MATCH($B3654,Summary!$A$2:$A$201,0))</f>
        <v>1</v>
      </c>
      <c r="U3654" s="2" t="n">
        <f aca="false">INDEX(Summary!$Q$2:$Q$201,MATCH($B3654,Summary!$A$2:$A$201,0))</f>
        <v>12.64</v>
      </c>
      <c r="V3654" s="2" t="n">
        <f aca="false">INDEX(Summary!$R$2:$R$201,MATCH($B3654,Summary!$A$2:$A$201,0))</f>
        <v>28.3</v>
      </c>
      <c r="W3654" s="0" t="str">
        <f aca="false">INDEX(Summary!$S$2:$S$201,MATCH($B3654,Summary!$A$2:$A$201,0))</f>
        <v>Silver</v>
      </c>
      <c r="X3654" s="2" t="n">
        <f aca="false">INDEX(Summary!$T$2:$T$201,MATCH($B3654,Summary!$A$2:$A$201,0))</f>
        <v>69.02</v>
      </c>
      <c r="Y3654" s="0" t="str">
        <f aca="false">INDEX('Reward Model'!$E$18:$E$37,MATCH($E3654,'Reward Model'!$A$18:$A$37,0))</f>
        <v>Medium</v>
      </c>
      <c r="Z3654" s="4" t="n">
        <f aca="false">ROUND(MIN(1,MAX('Reward Model'!$B$2,INDEX('Reward Model'!$C$12:$C$14,MATCH($K3654,'Reward Model'!$A$12:$A$14,0))/$J3654)),3)</f>
        <v>0.952</v>
      </c>
      <c r="AA3654" s="2" t="n">
        <f aca="false">IF($I3654="Correct",ROUND(INDEX('Reward Model'!$B$12:$B$14,MATCH($K3654,'Reward Model'!$A$12:$A$14,0))*Z3654,2),0)</f>
        <v>1.9</v>
      </c>
      <c r="AB3654" s="2" t="n">
        <f aca="false">IF($I3654="Correct",ROUND(INDEX('Reward Model'!$B$12:$B$14,MATCH($Y3654,'Reward Model'!$A$12:$A$14,0))*Z3654,2),0)</f>
        <v>1.9</v>
      </c>
    </row>
    <row r="3655" customFormat="false" ht="15" hidden="false" customHeight="false" outlineLevel="0" collapsed="false">
      <c r="A3655" s="0" t="s">
        <v>496</v>
      </c>
      <c r="B3655" s="0" t="s">
        <v>497</v>
      </c>
      <c r="C3655" s="0" t="s">
        <v>322</v>
      </c>
      <c r="D3655" s="0" t="s">
        <v>275</v>
      </c>
      <c r="E3655" s="0" t="n">
        <v>14</v>
      </c>
      <c r="F3655" s="0" t="s">
        <v>68</v>
      </c>
      <c r="G3655" s="0" t="s">
        <v>118</v>
      </c>
      <c r="H3655" s="0" t="s">
        <v>51</v>
      </c>
      <c r="I3655" s="0" t="s">
        <v>39</v>
      </c>
      <c r="J3655" s="0" t="n">
        <v>1.71</v>
      </c>
      <c r="K3655" s="0" t="s">
        <v>60</v>
      </c>
      <c r="L3655" s="0" t="n">
        <f aca="false">INDEX(Summary!$F$2:$F$201,MATCH($B3655,Summary!$A$2:$A$201,0))</f>
        <v>20</v>
      </c>
      <c r="M3655" s="0" t="n">
        <f aca="false">INDEX(Summary!$I$2:$I$201,MATCH($B3655,Summary!$A$2:$A$201,0))</f>
        <v>4</v>
      </c>
      <c r="N3655" s="0" t="n">
        <f aca="false">INDEX(Summary!$J$2:$J$201,MATCH($B3655,Summary!$A$2:$A$201,0))</f>
        <v>1</v>
      </c>
      <c r="O3655" s="2" t="n">
        <f aca="false">INDEX(Summary!$K$2:$K$201,MATCH($B3655,Summary!$A$2:$A$201,0))</f>
        <v>9.7</v>
      </c>
      <c r="P3655" s="3" t="n">
        <f aca="false">INDEX(Summary!$L$2:$L$201,MATCH($B3655,Summary!$A$2:$A$201,0))</f>
        <v>3</v>
      </c>
      <c r="Q3655" s="3" t="n">
        <f aca="false">INDEX(Summary!$M$2:$M$201,MATCH($B3655,Summary!$A$2:$A$201,0))</f>
        <v>3</v>
      </c>
      <c r="R3655" s="2" t="n">
        <f aca="false">INDEX(Summary!$N$2:$N$201,MATCH($B3655,Summary!$A$2:$A$201,0))</f>
        <v>10.88</v>
      </c>
      <c r="S3655" s="3" t="n">
        <f aca="false">INDEX(Summary!$O$2:$O$201,MATCH($B3655,Summary!$A$2:$A$201,0))</f>
        <v>8</v>
      </c>
      <c r="T3655" s="3" t="n">
        <f aca="false">INDEX(Summary!$P$2:$P$201,MATCH($B3655,Summary!$A$2:$A$201,0))</f>
        <v>1</v>
      </c>
      <c r="U3655" s="2" t="n">
        <f aca="false">INDEX(Summary!$Q$2:$Q$201,MATCH($B3655,Summary!$A$2:$A$201,0))</f>
        <v>12.64</v>
      </c>
      <c r="V3655" s="2" t="n">
        <f aca="false">INDEX(Summary!$R$2:$R$201,MATCH($B3655,Summary!$A$2:$A$201,0))</f>
        <v>28.3</v>
      </c>
      <c r="W3655" s="0" t="str">
        <f aca="false">INDEX(Summary!$S$2:$S$201,MATCH($B3655,Summary!$A$2:$A$201,0))</f>
        <v>Silver</v>
      </c>
      <c r="X3655" s="2" t="n">
        <f aca="false">INDEX(Summary!$T$2:$T$201,MATCH($B3655,Summary!$A$2:$A$201,0))</f>
        <v>69.02</v>
      </c>
      <c r="Y3655" s="0" t="str">
        <f aca="false">INDEX('Reward Model'!$E$18:$E$37,MATCH($E3655,'Reward Model'!$A$18:$A$37,0))</f>
        <v>Medium</v>
      </c>
      <c r="Z3655" s="4" t="n">
        <f aca="false">ROUND(MIN(1,MAX('Reward Model'!$B$2,INDEX('Reward Model'!$C$12:$C$14,MATCH($K3655,'Reward Model'!$A$12:$A$14,0))/$J3655)),3)</f>
        <v>1</v>
      </c>
      <c r="AA3655" s="2" t="n">
        <f aca="false">IF($I3655="Correct",ROUND(INDEX('Reward Model'!$B$12:$B$14,MATCH($K3655,'Reward Model'!$A$12:$A$14,0))*Z3655,2),0)</f>
        <v>0</v>
      </c>
      <c r="AB3655" s="2" t="n">
        <f aca="false">IF($I3655="Correct",ROUND(INDEX('Reward Model'!$B$12:$B$14,MATCH($Y3655,'Reward Model'!$A$12:$A$14,0))*Z3655,2),0)</f>
        <v>0</v>
      </c>
    </row>
    <row r="3656" customFormat="false" ht="15" hidden="false" customHeight="false" outlineLevel="0" collapsed="false">
      <c r="A3656" s="0" t="s">
        <v>496</v>
      </c>
      <c r="B3656" s="0" t="s">
        <v>497</v>
      </c>
      <c r="C3656" s="0" t="s">
        <v>322</v>
      </c>
      <c r="D3656" s="0" t="s">
        <v>275</v>
      </c>
      <c r="E3656" s="0" t="n">
        <v>15</v>
      </c>
      <c r="F3656" s="0" t="s">
        <v>69</v>
      </c>
      <c r="G3656" s="0" t="s">
        <v>131</v>
      </c>
      <c r="H3656" s="0" t="s">
        <v>70</v>
      </c>
      <c r="I3656" s="0" t="s">
        <v>39</v>
      </c>
      <c r="J3656" s="0" t="n">
        <v>1.76</v>
      </c>
      <c r="K3656" s="0" t="s">
        <v>60</v>
      </c>
      <c r="L3656" s="0" t="n">
        <f aca="false">INDEX(Summary!$F$2:$F$201,MATCH($B3656,Summary!$A$2:$A$201,0))</f>
        <v>20</v>
      </c>
      <c r="M3656" s="0" t="n">
        <f aca="false">INDEX(Summary!$I$2:$I$201,MATCH($B3656,Summary!$A$2:$A$201,0))</f>
        <v>4</v>
      </c>
      <c r="N3656" s="0" t="n">
        <f aca="false">INDEX(Summary!$J$2:$J$201,MATCH($B3656,Summary!$A$2:$A$201,0))</f>
        <v>1</v>
      </c>
      <c r="O3656" s="2" t="n">
        <f aca="false">INDEX(Summary!$K$2:$K$201,MATCH($B3656,Summary!$A$2:$A$201,0))</f>
        <v>9.7</v>
      </c>
      <c r="P3656" s="3" t="n">
        <f aca="false">INDEX(Summary!$L$2:$L$201,MATCH($B3656,Summary!$A$2:$A$201,0))</f>
        <v>3</v>
      </c>
      <c r="Q3656" s="3" t="n">
        <f aca="false">INDEX(Summary!$M$2:$M$201,MATCH($B3656,Summary!$A$2:$A$201,0))</f>
        <v>3</v>
      </c>
      <c r="R3656" s="2" t="n">
        <f aca="false">INDEX(Summary!$N$2:$N$201,MATCH($B3656,Summary!$A$2:$A$201,0))</f>
        <v>10.88</v>
      </c>
      <c r="S3656" s="3" t="n">
        <f aca="false">INDEX(Summary!$O$2:$O$201,MATCH($B3656,Summary!$A$2:$A$201,0))</f>
        <v>8</v>
      </c>
      <c r="T3656" s="3" t="n">
        <f aca="false">INDEX(Summary!$P$2:$P$201,MATCH($B3656,Summary!$A$2:$A$201,0))</f>
        <v>1</v>
      </c>
      <c r="U3656" s="2" t="n">
        <f aca="false">INDEX(Summary!$Q$2:$Q$201,MATCH($B3656,Summary!$A$2:$A$201,0))</f>
        <v>12.64</v>
      </c>
      <c r="V3656" s="2" t="n">
        <f aca="false">INDEX(Summary!$R$2:$R$201,MATCH($B3656,Summary!$A$2:$A$201,0))</f>
        <v>28.3</v>
      </c>
      <c r="W3656" s="0" t="str">
        <f aca="false">INDEX(Summary!$S$2:$S$201,MATCH($B3656,Summary!$A$2:$A$201,0))</f>
        <v>Silver</v>
      </c>
      <c r="X3656" s="2" t="n">
        <f aca="false">INDEX(Summary!$T$2:$T$201,MATCH($B3656,Summary!$A$2:$A$201,0))</f>
        <v>69.02</v>
      </c>
      <c r="Y3656" s="0" t="str">
        <f aca="false">INDEX('Reward Model'!$E$18:$E$37,MATCH($E3656,'Reward Model'!$A$18:$A$37,0))</f>
        <v>Medium</v>
      </c>
      <c r="Z3656" s="4" t="n">
        <f aca="false">ROUND(MIN(1,MAX('Reward Model'!$B$2,INDEX('Reward Model'!$C$12:$C$14,MATCH($K3656,'Reward Model'!$A$12:$A$14,0))/$J3656)),3)</f>
        <v>1</v>
      </c>
      <c r="AA3656" s="2" t="n">
        <f aca="false">IF($I3656="Correct",ROUND(INDEX('Reward Model'!$B$12:$B$14,MATCH($K3656,'Reward Model'!$A$12:$A$14,0))*Z3656,2),0)</f>
        <v>0</v>
      </c>
      <c r="AB3656" s="2" t="n">
        <f aca="false">IF($I3656="Correct",ROUND(INDEX('Reward Model'!$B$12:$B$14,MATCH($Y3656,'Reward Model'!$A$12:$A$14,0))*Z3656,2),0)</f>
        <v>0</v>
      </c>
    </row>
    <row r="3657" customFormat="false" ht="15" hidden="false" customHeight="false" outlineLevel="0" collapsed="false">
      <c r="A3657" s="0" t="s">
        <v>496</v>
      </c>
      <c r="B3657" s="0" t="s">
        <v>497</v>
      </c>
      <c r="C3657" s="0" t="s">
        <v>322</v>
      </c>
      <c r="D3657" s="0" t="s">
        <v>275</v>
      </c>
      <c r="E3657" s="0" t="n">
        <v>16</v>
      </c>
      <c r="F3657" s="0" t="s">
        <v>71</v>
      </c>
      <c r="G3657" s="0" t="s">
        <v>72</v>
      </c>
      <c r="H3657" s="0" t="s">
        <v>72</v>
      </c>
      <c r="I3657" s="0" t="s">
        <v>34</v>
      </c>
      <c r="J3657" s="0" t="n">
        <v>2.31</v>
      </c>
      <c r="K3657" s="0" t="s">
        <v>73</v>
      </c>
      <c r="L3657" s="0" t="n">
        <f aca="false">INDEX(Summary!$F$2:$F$201,MATCH($B3657,Summary!$A$2:$A$201,0))</f>
        <v>20</v>
      </c>
      <c r="M3657" s="0" t="n">
        <f aca="false">INDEX(Summary!$I$2:$I$201,MATCH($B3657,Summary!$A$2:$A$201,0))</f>
        <v>4</v>
      </c>
      <c r="N3657" s="0" t="n">
        <f aca="false">INDEX(Summary!$J$2:$J$201,MATCH($B3657,Summary!$A$2:$A$201,0))</f>
        <v>1</v>
      </c>
      <c r="O3657" s="2" t="n">
        <f aca="false">INDEX(Summary!$K$2:$K$201,MATCH($B3657,Summary!$A$2:$A$201,0))</f>
        <v>9.7</v>
      </c>
      <c r="P3657" s="3" t="n">
        <f aca="false">INDEX(Summary!$L$2:$L$201,MATCH($B3657,Summary!$A$2:$A$201,0))</f>
        <v>3</v>
      </c>
      <c r="Q3657" s="3" t="n">
        <f aca="false">INDEX(Summary!$M$2:$M$201,MATCH($B3657,Summary!$A$2:$A$201,0))</f>
        <v>3</v>
      </c>
      <c r="R3657" s="2" t="n">
        <f aca="false">INDEX(Summary!$N$2:$N$201,MATCH($B3657,Summary!$A$2:$A$201,0))</f>
        <v>10.88</v>
      </c>
      <c r="S3657" s="3" t="n">
        <f aca="false">INDEX(Summary!$O$2:$O$201,MATCH($B3657,Summary!$A$2:$A$201,0))</f>
        <v>8</v>
      </c>
      <c r="T3657" s="3" t="n">
        <f aca="false">INDEX(Summary!$P$2:$P$201,MATCH($B3657,Summary!$A$2:$A$201,0))</f>
        <v>1</v>
      </c>
      <c r="U3657" s="2" t="n">
        <f aca="false">INDEX(Summary!$Q$2:$Q$201,MATCH($B3657,Summary!$A$2:$A$201,0))</f>
        <v>12.64</v>
      </c>
      <c r="V3657" s="2" t="n">
        <f aca="false">INDEX(Summary!$R$2:$R$201,MATCH($B3657,Summary!$A$2:$A$201,0))</f>
        <v>28.3</v>
      </c>
      <c r="W3657" s="0" t="str">
        <f aca="false">INDEX(Summary!$S$2:$S$201,MATCH($B3657,Summary!$A$2:$A$201,0))</f>
        <v>Silver</v>
      </c>
      <c r="X3657" s="2" t="n">
        <f aca="false">INDEX(Summary!$T$2:$T$201,MATCH($B3657,Summary!$A$2:$A$201,0))</f>
        <v>69.02</v>
      </c>
      <c r="Y3657" s="0" t="str">
        <f aca="false">INDEX('Reward Model'!$E$18:$E$37,MATCH($E3657,'Reward Model'!$A$18:$A$37,0))</f>
        <v>High</v>
      </c>
      <c r="Z3657" s="4" t="n">
        <f aca="false">ROUND(MIN(1,MAX('Reward Model'!$B$2,INDEX('Reward Model'!$C$12:$C$14,MATCH($K3657,'Reward Model'!$A$12:$A$14,0))/$J3657)),3)</f>
        <v>0.866</v>
      </c>
      <c r="AA3657" s="2" t="n">
        <f aca="false">IF($I3657="Correct",ROUND(INDEX('Reward Model'!$B$12:$B$14,MATCH($K3657,'Reward Model'!$A$12:$A$14,0))*Z3657,2),0)</f>
        <v>2.6</v>
      </c>
      <c r="AB3657" s="2" t="n">
        <f aca="false">IF($I3657="Correct",ROUND(INDEX('Reward Model'!$B$12:$B$14,MATCH($Y3657,'Reward Model'!$A$12:$A$14,0))*Z3657,2),0)</f>
        <v>2.6</v>
      </c>
    </row>
    <row r="3658" customFormat="false" ht="15" hidden="false" customHeight="false" outlineLevel="0" collapsed="false">
      <c r="A3658" s="0" t="s">
        <v>496</v>
      </c>
      <c r="B3658" s="0" t="s">
        <v>497</v>
      </c>
      <c r="C3658" s="0" t="s">
        <v>322</v>
      </c>
      <c r="D3658" s="0" t="s">
        <v>275</v>
      </c>
      <c r="E3658" s="0" t="n">
        <v>17</v>
      </c>
      <c r="F3658" s="0" t="s">
        <v>74</v>
      </c>
      <c r="G3658" s="0" t="s">
        <v>75</v>
      </c>
      <c r="H3658" s="0" t="s">
        <v>75</v>
      </c>
      <c r="I3658" s="0" t="s">
        <v>34</v>
      </c>
      <c r="J3658" s="0" t="n">
        <v>1.61</v>
      </c>
      <c r="K3658" s="0" t="s">
        <v>73</v>
      </c>
      <c r="L3658" s="0" t="n">
        <f aca="false">INDEX(Summary!$F$2:$F$201,MATCH($B3658,Summary!$A$2:$A$201,0))</f>
        <v>20</v>
      </c>
      <c r="M3658" s="0" t="n">
        <f aca="false">INDEX(Summary!$I$2:$I$201,MATCH($B3658,Summary!$A$2:$A$201,0))</f>
        <v>4</v>
      </c>
      <c r="N3658" s="0" t="n">
        <f aca="false">INDEX(Summary!$J$2:$J$201,MATCH($B3658,Summary!$A$2:$A$201,0))</f>
        <v>1</v>
      </c>
      <c r="O3658" s="2" t="n">
        <f aca="false">INDEX(Summary!$K$2:$K$201,MATCH($B3658,Summary!$A$2:$A$201,0))</f>
        <v>9.7</v>
      </c>
      <c r="P3658" s="3" t="n">
        <f aca="false">INDEX(Summary!$L$2:$L$201,MATCH($B3658,Summary!$A$2:$A$201,0))</f>
        <v>3</v>
      </c>
      <c r="Q3658" s="3" t="n">
        <f aca="false">INDEX(Summary!$M$2:$M$201,MATCH($B3658,Summary!$A$2:$A$201,0))</f>
        <v>3</v>
      </c>
      <c r="R3658" s="2" t="n">
        <f aca="false">INDEX(Summary!$N$2:$N$201,MATCH($B3658,Summary!$A$2:$A$201,0))</f>
        <v>10.88</v>
      </c>
      <c r="S3658" s="3" t="n">
        <f aca="false">INDEX(Summary!$O$2:$O$201,MATCH($B3658,Summary!$A$2:$A$201,0))</f>
        <v>8</v>
      </c>
      <c r="T3658" s="3" t="n">
        <f aca="false">INDEX(Summary!$P$2:$P$201,MATCH($B3658,Summary!$A$2:$A$201,0))</f>
        <v>1</v>
      </c>
      <c r="U3658" s="2" t="n">
        <f aca="false">INDEX(Summary!$Q$2:$Q$201,MATCH($B3658,Summary!$A$2:$A$201,0))</f>
        <v>12.64</v>
      </c>
      <c r="V3658" s="2" t="n">
        <f aca="false">INDEX(Summary!$R$2:$R$201,MATCH($B3658,Summary!$A$2:$A$201,0))</f>
        <v>28.3</v>
      </c>
      <c r="W3658" s="0" t="str">
        <f aca="false">INDEX(Summary!$S$2:$S$201,MATCH($B3658,Summary!$A$2:$A$201,0))</f>
        <v>Silver</v>
      </c>
      <c r="X3658" s="2" t="n">
        <f aca="false">INDEX(Summary!$T$2:$T$201,MATCH($B3658,Summary!$A$2:$A$201,0))</f>
        <v>69.02</v>
      </c>
      <c r="Y3658" s="0" t="str">
        <f aca="false">INDEX('Reward Model'!$E$18:$E$37,MATCH($E3658,'Reward Model'!$A$18:$A$37,0))</f>
        <v>High</v>
      </c>
      <c r="Z3658" s="4" t="n">
        <f aca="false">ROUND(MIN(1,MAX('Reward Model'!$B$2,INDEX('Reward Model'!$C$12:$C$14,MATCH($K3658,'Reward Model'!$A$12:$A$14,0))/$J3658)),3)</f>
        <v>1</v>
      </c>
      <c r="AA3658" s="2" t="n">
        <f aca="false">IF($I3658="Correct",ROUND(INDEX('Reward Model'!$B$12:$B$14,MATCH($K3658,'Reward Model'!$A$12:$A$14,0))*Z3658,2),0)</f>
        <v>3</v>
      </c>
      <c r="AB3658" s="2" t="n">
        <f aca="false">IF($I3658="Correct",ROUND(INDEX('Reward Model'!$B$12:$B$14,MATCH($Y3658,'Reward Model'!$A$12:$A$14,0))*Z3658,2),0)</f>
        <v>3</v>
      </c>
    </row>
    <row r="3659" customFormat="false" ht="15" hidden="false" customHeight="false" outlineLevel="0" collapsed="false">
      <c r="A3659" s="0" t="s">
        <v>496</v>
      </c>
      <c r="B3659" s="0" t="s">
        <v>497</v>
      </c>
      <c r="C3659" s="0" t="s">
        <v>322</v>
      </c>
      <c r="D3659" s="0" t="s">
        <v>275</v>
      </c>
      <c r="E3659" s="0" t="n">
        <v>18</v>
      </c>
      <c r="F3659" s="0" t="s">
        <v>76</v>
      </c>
      <c r="G3659" s="0" t="s">
        <v>77</v>
      </c>
      <c r="H3659" s="0" t="s">
        <v>77</v>
      </c>
      <c r="I3659" s="0" t="s">
        <v>34</v>
      </c>
      <c r="J3659" s="0" t="n">
        <v>2.42</v>
      </c>
      <c r="K3659" s="0" t="s">
        <v>73</v>
      </c>
      <c r="L3659" s="0" t="n">
        <f aca="false">INDEX(Summary!$F$2:$F$201,MATCH($B3659,Summary!$A$2:$A$201,0))</f>
        <v>20</v>
      </c>
      <c r="M3659" s="0" t="n">
        <f aca="false">INDEX(Summary!$I$2:$I$201,MATCH($B3659,Summary!$A$2:$A$201,0))</f>
        <v>4</v>
      </c>
      <c r="N3659" s="0" t="n">
        <f aca="false">INDEX(Summary!$J$2:$J$201,MATCH($B3659,Summary!$A$2:$A$201,0))</f>
        <v>1</v>
      </c>
      <c r="O3659" s="2" t="n">
        <f aca="false">INDEX(Summary!$K$2:$K$201,MATCH($B3659,Summary!$A$2:$A$201,0))</f>
        <v>9.7</v>
      </c>
      <c r="P3659" s="3" t="n">
        <f aca="false">INDEX(Summary!$L$2:$L$201,MATCH($B3659,Summary!$A$2:$A$201,0))</f>
        <v>3</v>
      </c>
      <c r="Q3659" s="3" t="n">
        <f aca="false">INDEX(Summary!$M$2:$M$201,MATCH($B3659,Summary!$A$2:$A$201,0))</f>
        <v>3</v>
      </c>
      <c r="R3659" s="2" t="n">
        <f aca="false">INDEX(Summary!$N$2:$N$201,MATCH($B3659,Summary!$A$2:$A$201,0))</f>
        <v>10.88</v>
      </c>
      <c r="S3659" s="3" t="n">
        <f aca="false">INDEX(Summary!$O$2:$O$201,MATCH($B3659,Summary!$A$2:$A$201,0))</f>
        <v>8</v>
      </c>
      <c r="T3659" s="3" t="n">
        <f aca="false">INDEX(Summary!$P$2:$P$201,MATCH($B3659,Summary!$A$2:$A$201,0))</f>
        <v>1</v>
      </c>
      <c r="U3659" s="2" t="n">
        <f aca="false">INDEX(Summary!$Q$2:$Q$201,MATCH($B3659,Summary!$A$2:$A$201,0))</f>
        <v>12.64</v>
      </c>
      <c r="V3659" s="2" t="n">
        <f aca="false">INDEX(Summary!$R$2:$R$201,MATCH($B3659,Summary!$A$2:$A$201,0))</f>
        <v>28.3</v>
      </c>
      <c r="W3659" s="0" t="str">
        <f aca="false">INDEX(Summary!$S$2:$S$201,MATCH($B3659,Summary!$A$2:$A$201,0))</f>
        <v>Silver</v>
      </c>
      <c r="X3659" s="2" t="n">
        <f aca="false">INDEX(Summary!$T$2:$T$201,MATCH($B3659,Summary!$A$2:$A$201,0))</f>
        <v>69.02</v>
      </c>
      <c r="Y3659" s="0" t="str">
        <f aca="false">INDEX('Reward Model'!$E$18:$E$37,MATCH($E3659,'Reward Model'!$A$18:$A$37,0))</f>
        <v>High</v>
      </c>
      <c r="Z3659" s="4" t="n">
        <f aca="false">ROUND(MIN(1,MAX('Reward Model'!$B$2,INDEX('Reward Model'!$C$12:$C$14,MATCH($K3659,'Reward Model'!$A$12:$A$14,0))/$J3659)),3)</f>
        <v>0.826</v>
      </c>
      <c r="AA3659" s="2" t="n">
        <f aca="false">IF($I3659="Correct",ROUND(INDEX('Reward Model'!$B$12:$B$14,MATCH($K3659,'Reward Model'!$A$12:$A$14,0))*Z3659,2),0)</f>
        <v>2.48</v>
      </c>
      <c r="AB3659" s="2" t="n">
        <f aca="false">IF($I3659="Correct",ROUND(INDEX('Reward Model'!$B$12:$B$14,MATCH($Y3659,'Reward Model'!$A$12:$A$14,0))*Z3659,2),0)</f>
        <v>2.48</v>
      </c>
    </row>
    <row r="3660" customFormat="false" ht="15" hidden="false" customHeight="false" outlineLevel="0" collapsed="false">
      <c r="A3660" s="0" t="s">
        <v>496</v>
      </c>
      <c r="B3660" s="0" t="s">
        <v>497</v>
      </c>
      <c r="C3660" s="0" t="s">
        <v>322</v>
      </c>
      <c r="D3660" s="0" t="s">
        <v>275</v>
      </c>
      <c r="E3660" s="0" t="n">
        <v>19</v>
      </c>
      <c r="F3660" s="0" t="s">
        <v>78</v>
      </c>
      <c r="G3660" s="0" t="s">
        <v>51</v>
      </c>
      <c r="H3660" s="0" t="s">
        <v>80</v>
      </c>
      <c r="I3660" s="0" t="s">
        <v>39</v>
      </c>
      <c r="J3660" s="0" t="n">
        <v>1.74</v>
      </c>
      <c r="K3660" s="0" t="s">
        <v>73</v>
      </c>
      <c r="L3660" s="0" t="n">
        <f aca="false">INDEX(Summary!$F$2:$F$201,MATCH($B3660,Summary!$A$2:$A$201,0))</f>
        <v>20</v>
      </c>
      <c r="M3660" s="0" t="n">
        <f aca="false">INDEX(Summary!$I$2:$I$201,MATCH($B3660,Summary!$A$2:$A$201,0))</f>
        <v>4</v>
      </c>
      <c r="N3660" s="0" t="n">
        <f aca="false">INDEX(Summary!$J$2:$J$201,MATCH($B3660,Summary!$A$2:$A$201,0))</f>
        <v>1</v>
      </c>
      <c r="O3660" s="2" t="n">
        <f aca="false">INDEX(Summary!$K$2:$K$201,MATCH($B3660,Summary!$A$2:$A$201,0))</f>
        <v>9.7</v>
      </c>
      <c r="P3660" s="3" t="n">
        <f aca="false">INDEX(Summary!$L$2:$L$201,MATCH($B3660,Summary!$A$2:$A$201,0))</f>
        <v>3</v>
      </c>
      <c r="Q3660" s="3" t="n">
        <f aca="false">INDEX(Summary!$M$2:$M$201,MATCH($B3660,Summary!$A$2:$A$201,0))</f>
        <v>3</v>
      </c>
      <c r="R3660" s="2" t="n">
        <f aca="false">INDEX(Summary!$N$2:$N$201,MATCH($B3660,Summary!$A$2:$A$201,0))</f>
        <v>10.88</v>
      </c>
      <c r="S3660" s="3" t="n">
        <f aca="false">INDEX(Summary!$O$2:$O$201,MATCH($B3660,Summary!$A$2:$A$201,0))</f>
        <v>8</v>
      </c>
      <c r="T3660" s="3" t="n">
        <f aca="false">INDEX(Summary!$P$2:$P$201,MATCH($B3660,Summary!$A$2:$A$201,0))</f>
        <v>1</v>
      </c>
      <c r="U3660" s="2" t="n">
        <f aca="false">INDEX(Summary!$Q$2:$Q$201,MATCH($B3660,Summary!$A$2:$A$201,0))</f>
        <v>12.64</v>
      </c>
      <c r="V3660" s="2" t="n">
        <f aca="false">INDEX(Summary!$R$2:$R$201,MATCH($B3660,Summary!$A$2:$A$201,0))</f>
        <v>28.3</v>
      </c>
      <c r="W3660" s="0" t="str">
        <f aca="false">INDEX(Summary!$S$2:$S$201,MATCH($B3660,Summary!$A$2:$A$201,0))</f>
        <v>Silver</v>
      </c>
      <c r="X3660" s="2" t="n">
        <f aca="false">INDEX(Summary!$T$2:$T$201,MATCH($B3660,Summary!$A$2:$A$201,0))</f>
        <v>69.02</v>
      </c>
      <c r="Y3660" s="0" t="str">
        <f aca="false">INDEX('Reward Model'!$E$18:$E$37,MATCH($E3660,'Reward Model'!$A$18:$A$37,0))</f>
        <v>High</v>
      </c>
      <c r="Z3660" s="4" t="n">
        <f aca="false">ROUND(MIN(1,MAX('Reward Model'!$B$2,INDEX('Reward Model'!$C$12:$C$14,MATCH($K3660,'Reward Model'!$A$12:$A$14,0))/$J3660)),3)</f>
        <v>1</v>
      </c>
      <c r="AA3660" s="2" t="n">
        <f aca="false">IF($I3660="Correct",ROUND(INDEX('Reward Model'!$B$12:$B$14,MATCH($K3660,'Reward Model'!$A$12:$A$14,0))*Z3660,2),0)</f>
        <v>0</v>
      </c>
      <c r="AB3660" s="2" t="n">
        <f aca="false">IF($I3660="Correct",ROUND(INDEX('Reward Model'!$B$12:$B$14,MATCH($Y3660,'Reward Model'!$A$12:$A$14,0))*Z3660,2),0)</f>
        <v>0</v>
      </c>
    </row>
    <row r="3661" customFormat="false" ht="15" hidden="false" customHeight="false" outlineLevel="0" collapsed="false">
      <c r="A3661" s="0" t="s">
        <v>496</v>
      </c>
      <c r="B3661" s="0" t="s">
        <v>497</v>
      </c>
      <c r="C3661" s="0" t="s">
        <v>322</v>
      </c>
      <c r="D3661" s="0" t="s">
        <v>275</v>
      </c>
      <c r="E3661" s="0" t="n">
        <v>20</v>
      </c>
      <c r="F3661" s="0" t="s">
        <v>81</v>
      </c>
      <c r="G3661" s="0" t="s">
        <v>83</v>
      </c>
      <c r="H3661" s="0" t="s">
        <v>83</v>
      </c>
      <c r="I3661" s="0" t="s">
        <v>34</v>
      </c>
      <c r="J3661" s="0" t="n">
        <v>1.62</v>
      </c>
      <c r="K3661" s="0" t="s">
        <v>73</v>
      </c>
      <c r="L3661" s="0" t="n">
        <f aca="false">INDEX(Summary!$F$2:$F$201,MATCH($B3661,Summary!$A$2:$A$201,0))</f>
        <v>20</v>
      </c>
      <c r="M3661" s="0" t="n">
        <f aca="false">INDEX(Summary!$I$2:$I$201,MATCH($B3661,Summary!$A$2:$A$201,0))</f>
        <v>4</v>
      </c>
      <c r="N3661" s="0" t="n">
        <f aca="false">INDEX(Summary!$J$2:$J$201,MATCH($B3661,Summary!$A$2:$A$201,0))</f>
        <v>1</v>
      </c>
      <c r="O3661" s="2" t="n">
        <f aca="false">INDEX(Summary!$K$2:$K$201,MATCH($B3661,Summary!$A$2:$A$201,0))</f>
        <v>9.7</v>
      </c>
      <c r="P3661" s="3" t="n">
        <f aca="false">INDEX(Summary!$L$2:$L$201,MATCH($B3661,Summary!$A$2:$A$201,0))</f>
        <v>3</v>
      </c>
      <c r="Q3661" s="3" t="n">
        <f aca="false">INDEX(Summary!$M$2:$M$201,MATCH($B3661,Summary!$A$2:$A$201,0))</f>
        <v>3</v>
      </c>
      <c r="R3661" s="2" t="n">
        <f aca="false">INDEX(Summary!$N$2:$N$201,MATCH($B3661,Summary!$A$2:$A$201,0))</f>
        <v>10.88</v>
      </c>
      <c r="S3661" s="3" t="n">
        <f aca="false">INDEX(Summary!$O$2:$O$201,MATCH($B3661,Summary!$A$2:$A$201,0))</f>
        <v>8</v>
      </c>
      <c r="T3661" s="3" t="n">
        <f aca="false">INDEX(Summary!$P$2:$P$201,MATCH($B3661,Summary!$A$2:$A$201,0))</f>
        <v>1</v>
      </c>
      <c r="U3661" s="2" t="n">
        <f aca="false">INDEX(Summary!$Q$2:$Q$201,MATCH($B3661,Summary!$A$2:$A$201,0))</f>
        <v>12.64</v>
      </c>
      <c r="V3661" s="2" t="n">
        <f aca="false">INDEX(Summary!$R$2:$R$201,MATCH($B3661,Summary!$A$2:$A$201,0))</f>
        <v>28.3</v>
      </c>
      <c r="W3661" s="0" t="str">
        <f aca="false">INDEX(Summary!$S$2:$S$201,MATCH($B3661,Summary!$A$2:$A$201,0))</f>
        <v>Silver</v>
      </c>
      <c r="X3661" s="2" t="n">
        <f aca="false">INDEX(Summary!$T$2:$T$201,MATCH($B3661,Summary!$A$2:$A$201,0))</f>
        <v>69.02</v>
      </c>
      <c r="Y3661" s="0" t="str">
        <f aca="false">INDEX('Reward Model'!$E$18:$E$37,MATCH($E3661,'Reward Model'!$A$18:$A$37,0))</f>
        <v>High</v>
      </c>
      <c r="Z3661" s="4" t="n">
        <f aca="false">ROUND(MIN(1,MAX('Reward Model'!$B$2,INDEX('Reward Model'!$C$12:$C$14,MATCH($K3661,'Reward Model'!$A$12:$A$14,0))/$J3661)),3)</f>
        <v>1</v>
      </c>
      <c r="AA3661" s="2" t="n">
        <f aca="false">IF($I3661="Correct",ROUND(INDEX('Reward Model'!$B$12:$B$14,MATCH($K3661,'Reward Model'!$A$12:$A$14,0))*Z3661,2),0)</f>
        <v>3</v>
      </c>
      <c r="AB3661" s="2" t="n">
        <f aca="false">IF($I3661="Correct",ROUND(INDEX('Reward Model'!$B$12:$B$14,MATCH($Y3661,'Reward Model'!$A$12:$A$14,0))*Z3661,2),0)</f>
        <v>3</v>
      </c>
    </row>
    <row r="3662" customFormat="false" ht="15" hidden="false" customHeight="false" outlineLevel="0" collapsed="false">
      <c r="A3662" s="0" t="s">
        <v>498</v>
      </c>
      <c r="B3662" s="0" t="s">
        <v>499</v>
      </c>
      <c r="C3662" s="0" t="s">
        <v>322</v>
      </c>
      <c r="D3662" s="0" t="s">
        <v>275</v>
      </c>
      <c r="E3662" s="0" t="n">
        <v>1</v>
      </c>
      <c r="F3662" s="0" t="s">
        <v>32</v>
      </c>
      <c r="G3662" s="0" t="s">
        <v>33</v>
      </c>
      <c r="H3662" s="0" t="s">
        <v>33</v>
      </c>
      <c r="I3662" s="0" t="s">
        <v>34</v>
      </c>
      <c r="J3662" s="0" t="n">
        <v>1.88</v>
      </c>
      <c r="K3662" s="0" t="s">
        <v>35</v>
      </c>
      <c r="L3662" s="0" t="n">
        <f aca="false">INDEX(Summary!$F$2:$F$201,MATCH($B3662,Summary!$A$2:$A$201,0))</f>
        <v>20</v>
      </c>
      <c r="M3662" s="0" t="n">
        <f aca="false">INDEX(Summary!$I$2:$I$201,MATCH($B3662,Summary!$A$2:$A$201,0))</f>
        <v>3</v>
      </c>
      <c r="N3662" s="0" t="n">
        <f aca="false">INDEX(Summary!$J$2:$J$201,MATCH($B3662,Summary!$A$2:$A$201,0))</f>
        <v>2</v>
      </c>
      <c r="O3662" s="2" t="n">
        <f aca="false">INDEX(Summary!$K$2:$K$201,MATCH($B3662,Summary!$A$2:$A$201,0))</f>
        <v>9.32</v>
      </c>
      <c r="P3662" s="3" t="n">
        <f aca="false">INDEX(Summary!$L$2:$L$201,MATCH($B3662,Summary!$A$2:$A$201,0))</f>
        <v>5</v>
      </c>
      <c r="Q3662" s="3" t="n">
        <f aca="false">INDEX(Summary!$M$2:$M$201,MATCH($B3662,Summary!$A$2:$A$201,0))</f>
        <v>1</v>
      </c>
      <c r="R3662" s="2" t="n">
        <f aca="false">INDEX(Summary!$N$2:$N$201,MATCH($B3662,Summary!$A$2:$A$201,0))</f>
        <v>9.34</v>
      </c>
      <c r="S3662" s="3" t="n">
        <f aca="false">INDEX(Summary!$O$2:$O$201,MATCH($B3662,Summary!$A$2:$A$201,0))</f>
        <v>8</v>
      </c>
      <c r="T3662" s="3" t="n">
        <f aca="false">INDEX(Summary!$P$2:$P$201,MATCH($B3662,Summary!$A$2:$A$201,0))</f>
        <v>1</v>
      </c>
      <c r="U3662" s="2" t="n">
        <f aca="false">INDEX(Summary!$Q$2:$Q$201,MATCH($B3662,Summary!$A$2:$A$201,0))</f>
        <v>12.93</v>
      </c>
      <c r="V3662" s="2" t="n">
        <f aca="false">INDEX(Summary!$R$2:$R$201,MATCH($B3662,Summary!$A$2:$A$201,0))</f>
        <v>30.32</v>
      </c>
      <c r="W3662" s="0" t="str">
        <f aca="false">INDEX(Summary!$S$2:$S$201,MATCH($B3662,Summary!$A$2:$A$201,0))</f>
        <v>Gold</v>
      </c>
      <c r="X3662" s="2" t="n">
        <f aca="false">INDEX(Summary!$T$2:$T$201,MATCH($B3662,Summary!$A$2:$A$201,0))</f>
        <v>73.95</v>
      </c>
      <c r="Y3662" s="0" t="str">
        <f aca="false">INDEX('Reward Model'!$E$18:$E$37,MATCH($E3662,'Reward Model'!$A$18:$A$37,0))</f>
        <v>Medium</v>
      </c>
      <c r="Z3662" s="4" t="n">
        <f aca="false">ROUND(MIN(1,MAX('Reward Model'!$B$2,INDEX('Reward Model'!$C$12:$C$14,MATCH($K3662,'Reward Model'!$A$12:$A$14,0))/$J3662)),3)</f>
        <v>0.798</v>
      </c>
      <c r="AA3662" s="2" t="n">
        <f aca="false">IF($I3662="Correct",ROUND(INDEX('Reward Model'!$B$12:$B$14,MATCH($K3662,'Reward Model'!$A$12:$A$14,0))*Z3662,2),0)</f>
        <v>0.8</v>
      </c>
      <c r="AB3662" s="2" t="n">
        <f aca="false">IF($I3662="Correct",ROUND(INDEX('Reward Model'!$B$12:$B$14,MATCH($Y3662,'Reward Model'!$A$12:$A$14,0))*Z3662,2),0)</f>
        <v>1.6</v>
      </c>
    </row>
    <row r="3663" customFormat="false" ht="15" hidden="false" customHeight="false" outlineLevel="0" collapsed="false">
      <c r="A3663" s="0" t="s">
        <v>498</v>
      </c>
      <c r="B3663" s="0" t="s">
        <v>499</v>
      </c>
      <c r="C3663" s="0" t="s">
        <v>322</v>
      </c>
      <c r="D3663" s="0" t="s">
        <v>275</v>
      </c>
      <c r="E3663" s="0" t="n">
        <v>2</v>
      </c>
      <c r="F3663" s="0" t="s">
        <v>36</v>
      </c>
      <c r="G3663" s="0" t="s">
        <v>38</v>
      </c>
      <c r="H3663" s="0" t="s">
        <v>38</v>
      </c>
      <c r="I3663" s="0" t="s">
        <v>34</v>
      </c>
      <c r="J3663" s="0" t="n">
        <v>1.24</v>
      </c>
      <c r="K3663" s="0" t="s">
        <v>35</v>
      </c>
      <c r="L3663" s="0" t="n">
        <f aca="false">INDEX(Summary!$F$2:$F$201,MATCH($B3663,Summary!$A$2:$A$201,0))</f>
        <v>20</v>
      </c>
      <c r="M3663" s="0" t="n">
        <f aca="false">INDEX(Summary!$I$2:$I$201,MATCH($B3663,Summary!$A$2:$A$201,0))</f>
        <v>3</v>
      </c>
      <c r="N3663" s="0" t="n">
        <f aca="false">INDEX(Summary!$J$2:$J$201,MATCH($B3663,Summary!$A$2:$A$201,0))</f>
        <v>2</v>
      </c>
      <c r="O3663" s="2" t="n">
        <f aca="false">INDEX(Summary!$K$2:$K$201,MATCH($B3663,Summary!$A$2:$A$201,0))</f>
        <v>9.32</v>
      </c>
      <c r="P3663" s="3" t="n">
        <f aca="false">INDEX(Summary!$L$2:$L$201,MATCH($B3663,Summary!$A$2:$A$201,0))</f>
        <v>5</v>
      </c>
      <c r="Q3663" s="3" t="n">
        <f aca="false">INDEX(Summary!$M$2:$M$201,MATCH($B3663,Summary!$A$2:$A$201,0))</f>
        <v>1</v>
      </c>
      <c r="R3663" s="2" t="n">
        <f aca="false">INDEX(Summary!$N$2:$N$201,MATCH($B3663,Summary!$A$2:$A$201,0))</f>
        <v>9.34</v>
      </c>
      <c r="S3663" s="3" t="n">
        <f aca="false">INDEX(Summary!$O$2:$O$201,MATCH($B3663,Summary!$A$2:$A$201,0))</f>
        <v>8</v>
      </c>
      <c r="T3663" s="3" t="n">
        <f aca="false">INDEX(Summary!$P$2:$P$201,MATCH($B3663,Summary!$A$2:$A$201,0))</f>
        <v>1</v>
      </c>
      <c r="U3663" s="2" t="n">
        <f aca="false">INDEX(Summary!$Q$2:$Q$201,MATCH($B3663,Summary!$A$2:$A$201,0))</f>
        <v>12.93</v>
      </c>
      <c r="V3663" s="2" t="n">
        <f aca="false">INDEX(Summary!$R$2:$R$201,MATCH($B3663,Summary!$A$2:$A$201,0))</f>
        <v>30.32</v>
      </c>
      <c r="W3663" s="0" t="str">
        <f aca="false">INDEX(Summary!$S$2:$S$201,MATCH($B3663,Summary!$A$2:$A$201,0))</f>
        <v>Gold</v>
      </c>
      <c r="X3663" s="2" t="n">
        <f aca="false">INDEX(Summary!$T$2:$T$201,MATCH($B3663,Summary!$A$2:$A$201,0))</f>
        <v>73.95</v>
      </c>
      <c r="Y3663" s="0" t="str">
        <f aca="false">INDEX('Reward Model'!$E$18:$E$37,MATCH($E3663,'Reward Model'!$A$18:$A$37,0))</f>
        <v>Low</v>
      </c>
      <c r="Z3663" s="4" t="n">
        <f aca="false">ROUND(MIN(1,MAX('Reward Model'!$B$2,INDEX('Reward Model'!$C$12:$C$14,MATCH($K3663,'Reward Model'!$A$12:$A$14,0))/$J3663)),3)</f>
        <v>1</v>
      </c>
      <c r="AA3663" s="2" t="n">
        <f aca="false">IF($I3663="Correct",ROUND(INDEX('Reward Model'!$B$12:$B$14,MATCH($K3663,'Reward Model'!$A$12:$A$14,0))*Z3663,2),0)</f>
        <v>1</v>
      </c>
      <c r="AB3663" s="2" t="n">
        <f aca="false">IF($I3663="Correct",ROUND(INDEX('Reward Model'!$B$12:$B$14,MATCH($Y3663,'Reward Model'!$A$12:$A$14,0))*Z3663,2),0)</f>
        <v>1</v>
      </c>
    </row>
    <row r="3664" customFormat="false" ht="15" hidden="false" customHeight="false" outlineLevel="0" collapsed="false">
      <c r="A3664" s="0" t="s">
        <v>498</v>
      </c>
      <c r="B3664" s="0" t="s">
        <v>499</v>
      </c>
      <c r="C3664" s="0" t="s">
        <v>322</v>
      </c>
      <c r="D3664" s="0" t="s">
        <v>275</v>
      </c>
      <c r="E3664" s="0" t="n">
        <v>3</v>
      </c>
      <c r="F3664" s="0" t="s">
        <v>40</v>
      </c>
      <c r="G3664" s="0" t="s">
        <v>42</v>
      </c>
      <c r="H3664" s="0" t="s">
        <v>42</v>
      </c>
      <c r="I3664" s="0" t="s">
        <v>34</v>
      </c>
      <c r="J3664" s="0" t="n">
        <v>1.1</v>
      </c>
      <c r="K3664" s="0" t="s">
        <v>35</v>
      </c>
      <c r="L3664" s="0" t="n">
        <f aca="false">INDEX(Summary!$F$2:$F$201,MATCH($B3664,Summary!$A$2:$A$201,0))</f>
        <v>20</v>
      </c>
      <c r="M3664" s="0" t="n">
        <f aca="false">INDEX(Summary!$I$2:$I$201,MATCH($B3664,Summary!$A$2:$A$201,0))</f>
        <v>3</v>
      </c>
      <c r="N3664" s="0" t="n">
        <f aca="false">INDEX(Summary!$J$2:$J$201,MATCH($B3664,Summary!$A$2:$A$201,0))</f>
        <v>2</v>
      </c>
      <c r="O3664" s="2" t="n">
        <f aca="false">INDEX(Summary!$K$2:$K$201,MATCH($B3664,Summary!$A$2:$A$201,0))</f>
        <v>9.32</v>
      </c>
      <c r="P3664" s="3" t="n">
        <f aca="false">INDEX(Summary!$L$2:$L$201,MATCH($B3664,Summary!$A$2:$A$201,0))</f>
        <v>5</v>
      </c>
      <c r="Q3664" s="3" t="n">
        <f aca="false">INDEX(Summary!$M$2:$M$201,MATCH($B3664,Summary!$A$2:$A$201,0))</f>
        <v>1</v>
      </c>
      <c r="R3664" s="2" t="n">
        <f aca="false">INDEX(Summary!$N$2:$N$201,MATCH($B3664,Summary!$A$2:$A$201,0))</f>
        <v>9.34</v>
      </c>
      <c r="S3664" s="3" t="n">
        <f aca="false">INDEX(Summary!$O$2:$O$201,MATCH($B3664,Summary!$A$2:$A$201,0))</f>
        <v>8</v>
      </c>
      <c r="T3664" s="3" t="n">
        <f aca="false">INDEX(Summary!$P$2:$P$201,MATCH($B3664,Summary!$A$2:$A$201,0))</f>
        <v>1</v>
      </c>
      <c r="U3664" s="2" t="n">
        <f aca="false">INDEX(Summary!$Q$2:$Q$201,MATCH($B3664,Summary!$A$2:$A$201,0))</f>
        <v>12.93</v>
      </c>
      <c r="V3664" s="2" t="n">
        <f aca="false">INDEX(Summary!$R$2:$R$201,MATCH($B3664,Summary!$A$2:$A$201,0))</f>
        <v>30.32</v>
      </c>
      <c r="W3664" s="0" t="str">
        <f aca="false">INDEX(Summary!$S$2:$S$201,MATCH($B3664,Summary!$A$2:$A$201,0))</f>
        <v>Gold</v>
      </c>
      <c r="X3664" s="2" t="n">
        <f aca="false">INDEX(Summary!$T$2:$T$201,MATCH($B3664,Summary!$A$2:$A$201,0))</f>
        <v>73.95</v>
      </c>
      <c r="Y3664" s="0" t="str">
        <f aca="false">INDEX('Reward Model'!$E$18:$E$37,MATCH($E3664,'Reward Model'!$A$18:$A$37,0))</f>
        <v>Medium</v>
      </c>
      <c r="Z3664" s="4" t="n">
        <f aca="false">ROUND(MIN(1,MAX('Reward Model'!$B$2,INDEX('Reward Model'!$C$12:$C$14,MATCH($K3664,'Reward Model'!$A$12:$A$14,0))/$J3664)),3)</f>
        <v>1</v>
      </c>
      <c r="AA3664" s="2" t="n">
        <f aca="false">IF($I3664="Correct",ROUND(INDEX('Reward Model'!$B$12:$B$14,MATCH($K3664,'Reward Model'!$A$12:$A$14,0))*Z3664,2),0)</f>
        <v>1</v>
      </c>
      <c r="AB3664" s="2" t="n">
        <f aca="false">IF($I3664="Correct",ROUND(INDEX('Reward Model'!$B$12:$B$14,MATCH($Y3664,'Reward Model'!$A$12:$A$14,0))*Z3664,2),0)</f>
        <v>2</v>
      </c>
    </row>
    <row r="3665" customFormat="false" ht="15" hidden="false" customHeight="false" outlineLevel="0" collapsed="false">
      <c r="A3665" s="0" t="s">
        <v>498</v>
      </c>
      <c r="B3665" s="0" t="s">
        <v>499</v>
      </c>
      <c r="C3665" s="0" t="s">
        <v>322</v>
      </c>
      <c r="D3665" s="0" t="s">
        <v>275</v>
      </c>
      <c r="E3665" s="0" t="n">
        <v>4</v>
      </c>
      <c r="F3665" s="0" t="s">
        <v>43</v>
      </c>
      <c r="G3665" s="0" t="s">
        <v>45</v>
      </c>
      <c r="H3665" s="0" t="s">
        <v>45</v>
      </c>
      <c r="I3665" s="0" t="s">
        <v>34</v>
      </c>
      <c r="J3665" s="0" t="n">
        <v>1.57</v>
      </c>
      <c r="K3665" s="0" t="s">
        <v>35</v>
      </c>
      <c r="L3665" s="0" t="n">
        <f aca="false">INDEX(Summary!$F$2:$F$201,MATCH($B3665,Summary!$A$2:$A$201,0))</f>
        <v>20</v>
      </c>
      <c r="M3665" s="0" t="n">
        <f aca="false">INDEX(Summary!$I$2:$I$201,MATCH($B3665,Summary!$A$2:$A$201,0))</f>
        <v>3</v>
      </c>
      <c r="N3665" s="0" t="n">
        <f aca="false">INDEX(Summary!$J$2:$J$201,MATCH($B3665,Summary!$A$2:$A$201,0))</f>
        <v>2</v>
      </c>
      <c r="O3665" s="2" t="n">
        <f aca="false">INDEX(Summary!$K$2:$K$201,MATCH($B3665,Summary!$A$2:$A$201,0))</f>
        <v>9.32</v>
      </c>
      <c r="P3665" s="3" t="n">
        <f aca="false">INDEX(Summary!$L$2:$L$201,MATCH($B3665,Summary!$A$2:$A$201,0))</f>
        <v>5</v>
      </c>
      <c r="Q3665" s="3" t="n">
        <f aca="false">INDEX(Summary!$M$2:$M$201,MATCH($B3665,Summary!$A$2:$A$201,0))</f>
        <v>1</v>
      </c>
      <c r="R3665" s="2" t="n">
        <f aca="false">INDEX(Summary!$N$2:$N$201,MATCH($B3665,Summary!$A$2:$A$201,0))</f>
        <v>9.34</v>
      </c>
      <c r="S3665" s="3" t="n">
        <f aca="false">INDEX(Summary!$O$2:$O$201,MATCH($B3665,Summary!$A$2:$A$201,0))</f>
        <v>8</v>
      </c>
      <c r="T3665" s="3" t="n">
        <f aca="false">INDEX(Summary!$P$2:$P$201,MATCH($B3665,Summary!$A$2:$A$201,0))</f>
        <v>1</v>
      </c>
      <c r="U3665" s="2" t="n">
        <f aca="false">INDEX(Summary!$Q$2:$Q$201,MATCH($B3665,Summary!$A$2:$A$201,0))</f>
        <v>12.93</v>
      </c>
      <c r="V3665" s="2" t="n">
        <f aca="false">INDEX(Summary!$R$2:$R$201,MATCH($B3665,Summary!$A$2:$A$201,0))</f>
        <v>30.32</v>
      </c>
      <c r="W3665" s="0" t="str">
        <f aca="false">INDEX(Summary!$S$2:$S$201,MATCH($B3665,Summary!$A$2:$A$201,0))</f>
        <v>Gold</v>
      </c>
      <c r="X3665" s="2" t="n">
        <f aca="false">INDEX(Summary!$T$2:$T$201,MATCH($B3665,Summary!$A$2:$A$201,0))</f>
        <v>73.95</v>
      </c>
      <c r="Y3665" s="0" t="str">
        <f aca="false">INDEX('Reward Model'!$E$18:$E$37,MATCH($E3665,'Reward Model'!$A$18:$A$37,0))</f>
        <v>Low</v>
      </c>
      <c r="Z3665" s="4" t="n">
        <f aca="false">ROUND(MIN(1,MAX('Reward Model'!$B$2,INDEX('Reward Model'!$C$12:$C$14,MATCH($K3665,'Reward Model'!$A$12:$A$14,0))/$J3665)),3)</f>
        <v>0.955</v>
      </c>
      <c r="AA3665" s="2" t="n">
        <f aca="false">IF($I3665="Correct",ROUND(INDEX('Reward Model'!$B$12:$B$14,MATCH($K3665,'Reward Model'!$A$12:$A$14,0))*Z3665,2),0)</f>
        <v>0.96</v>
      </c>
      <c r="AB3665" s="2" t="n">
        <f aca="false">IF($I3665="Correct",ROUND(INDEX('Reward Model'!$B$12:$B$14,MATCH($Y3665,'Reward Model'!$A$12:$A$14,0))*Z3665,2),0)</f>
        <v>0.96</v>
      </c>
    </row>
    <row r="3666" customFormat="false" ht="15" hidden="false" customHeight="false" outlineLevel="0" collapsed="false">
      <c r="A3666" s="0" t="s">
        <v>498</v>
      </c>
      <c r="B3666" s="0" t="s">
        <v>499</v>
      </c>
      <c r="C3666" s="0" t="s">
        <v>322</v>
      </c>
      <c r="D3666" s="0" t="s">
        <v>275</v>
      </c>
      <c r="E3666" s="0" t="n">
        <v>5</v>
      </c>
      <c r="F3666" s="0" t="s">
        <v>46</v>
      </c>
      <c r="G3666" s="0" t="s">
        <v>47</v>
      </c>
      <c r="H3666" s="0" t="s">
        <v>47</v>
      </c>
      <c r="I3666" s="0" t="s">
        <v>34</v>
      </c>
      <c r="J3666" s="0" t="n">
        <v>1.82</v>
      </c>
      <c r="K3666" s="0" t="s">
        <v>35</v>
      </c>
      <c r="L3666" s="0" t="n">
        <f aca="false">INDEX(Summary!$F$2:$F$201,MATCH($B3666,Summary!$A$2:$A$201,0))</f>
        <v>20</v>
      </c>
      <c r="M3666" s="0" t="n">
        <f aca="false">INDEX(Summary!$I$2:$I$201,MATCH($B3666,Summary!$A$2:$A$201,0))</f>
        <v>3</v>
      </c>
      <c r="N3666" s="0" t="n">
        <f aca="false">INDEX(Summary!$J$2:$J$201,MATCH($B3666,Summary!$A$2:$A$201,0))</f>
        <v>2</v>
      </c>
      <c r="O3666" s="2" t="n">
        <f aca="false">INDEX(Summary!$K$2:$K$201,MATCH($B3666,Summary!$A$2:$A$201,0))</f>
        <v>9.32</v>
      </c>
      <c r="P3666" s="3" t="n">
        <f aca="false">INDEX(Summary!$L$2:$L$201,MATCH($B3666,Summary!$A$2:$A$201,0))</f>
        <v>5</v>
      </c>
      <c r="Q3666" s="3" t="n">
        <f aca="false">INDEX(Summary!$M$2:$M$201,MATCH($B3666,Summary!$A$2:$A$201,0))</f>
        <v>1</v>
      </c>
      <c r="R3666" s="2" t="n">
        <f aca="false">INDEX(Summary!$N$2:$N$201,MATCH($B3666,Summary!$A$2:$A$201,0))</f>
        <v>9.34</v>
      </c>
      <c r="S3666" s="3" t="n">
        <f aca="false">INDEX(Summary!$O$2:$O$201,MATCH($B3666,Summary!$A$2:$A$201,0))</f>
        <v>8</v>
      </c>
      <c r="T3666" s="3" t="n">
        <f aca="false">INDEX(Summary!$P$2:$P$201,MATCH($B3666,Summary!$A$2:$A$201,0))</f>
        <v>1</v>
      </c>
      <c r="U3666" s="2" t="n">
        <f aca="false">INDEX(Summary!$Q$2:$Q$201,MATCH($B3666,Summary!$A$2:$A$201,0))</f>
        <v>12.93</v>
      </c>
      <c r="V3666" s="2" t="n">
        <f aca="false">INDEX(Summary!$R$2:$R$201,MATCH($B3666,Summary!$A$2:$A$201,0))</f>
        <v>30.32</v>
      </c>
      <c r="W3666" s="0" t="str">
        <f aca="false">INDEX(Summary!$S$2:$S$201,MATCH($B3666,Summary!$A$2:$A$201,0))</f>
        <v>Gold</v>
      </c>
      <c r="X3666" s="2" t="n">
        <f aca="false">INDEX(Summary!$T$2:$T$201,MATCH($B3666,Summary!$A$2:$A$201,0))</f>
        <v>73.95</v>
      </c>
      <c r="Y3666" s="0" t="str">
        <f aca="false">INDEX('Reward Model'!$E$18:$E$37,MATCH($E3666,'Reward Model'!$A$18:$A$37,0))</f>
        <v>Low</v>
      </c>
      <c r="Z3666" s="4" t="n">
        <f aca="false">ROUND(MIN(1,MAX('Reward Model'!$B$2,INDEX('Reward Model'!$C$12:$C$14,MATCH($K3666,'Reward Model'!$A$12:$A$14,0))/$J3666)),3)</f>
        <v>0.824</v>
      </c>
      <c r="AA3666" s="2" t="n">
        <f aca="false">IF($I3666="Correct",ROUND(INDEX('Reward Model'!$B$12:$B$14,MATCH($K3666,'Reward Model'!$A$12:$A$14,0))*Z3666,2),0)</f>
        <v>0.82</v>
      </c>
      <c r="AB3666" s="2" t="n">
        <f aca="false">IF($I3666="Correct",ROUND(INDEX('Reward Model'!$B$12:$B$14,MATCH($Y3666,'Reward Model'!$A$12:$A$14,0))*Z3666,2),0)</f>
        <v>0.82</v>
      </c>
    </row>
    <row r="3667" customFormat="false" ht="15" hidden="false" customHeight="false" outlineLevel="0" collapsed="false">
      <c r="A3667" s="0" t="s">
        <v>498</v>
      </c>
      <c r="B3667" s="0" t="s">
        <v>499</v>
      </c>
      <c r="C3667" s="0" t="s">
        <v>322</v>
      </c>
      <c r="D3667" s="0" t="s">
        <v>275</v>
      </c>
      <c r="E3667" s="0" t="n">
        <v>6</v>
      </c>
      <c r="F3667" s="0" t="s">
        <v>48</v>
      </c>
      <c r="G3667" s="0" t="s">
        <v>49</v>
      </c>
      <c r="H3667" s="0" t="s">
        <v>49</v>
      </c>
      <c r="I3667" s="0" t="s">
        <v>34</v>
      </c>
      <c r="J3667" s="0" t="n">
        <v>1.13</v>
      </c>
      <c r="K3667" s="0" t="s">
        <v>35</v>
      </c>
      <c r="L3667" s="0" t="n">
        <f aca="false">INDEX(Summary!$F$2:$F$201,MATCH($B3667,Summary!$A$2:$A$201,0))</f>
        <v>20</v>
      </c>
      <c r="M3667" s="0" t="n">
        <f aca="false">INDEX(Summary!$I$2:$I$201,MATCH($B3667,Summary!$A$2:$A$201,0))</f>
        <v>3</v>
      </c>
      <c r="N3667" s="0" t="n">
        <f aca="false">INDEX(Summary!$J$2:$J$201,MATCH($B3667,Summary!$A$2:$A$201,0))</f>
        <v>2</v>
      </c>
      <c r="O3667" s="2" t="n">
        <f aca="false">INDEX(Summary!$K$2:$K$201,MATCH($B3667,Summary!$A$2:$A$201,0))</f>
        <v>9.32</v>
      </c>
      <c r="P3667" s="3" t="n">
        <f aca="false">INDEX(Summary!$L$2:$L$201,MATCH($B3667,Summary!$A$2:$A$201,0))</f>
        <v>5</v>
      </c>
      <c r="Q3667" s="3" t="n">
        <f aca="false">INDEX(Summary!$M$2:$M$201,MATCH($B3667,Summary!$A$2:$A$201,0))</f>
        <v>1</v>
      </c>
      <c r="R3667" s="2" t="n">
        <f aca="false">INDEX(Summary!$N$2:$N$201,MATCH($B3667,Summary!$A$2:$A$201,0))</f>
        <v>9.34</v>
      </c>
      <c r="S3667" s="3" t="n">
        <f aca="false">INDEX(Summary!$O$2:$O$201,MATCH($B3667,Summary!$A$2:$A$201,0))</f>
        <v>8</v>
      </c>
      <c r="T3667" s="3" t="n">
        <f aca="false">INDEX(Summary!$P$2:$P$201,MATCH($B3667,Summary!$A$2:$A$201,0))</f>
        <v>1</v>
      </c>
      <c r="U3667" s="2" t="n">
        <f aca="false">INDEX(Summary!$Q$2:$Q$201,MATCH($B3667,Summary!$A$2:$A$201,0))</f>
        <v>12.93</v>
      </c>
      <c r="V3667" s="2" t="n">
        <f aca="false">INDEX(Summary!$R$2:$R$201,MATCH($B3667,Summary!$A$2:$A$201,0))</f>
        <v>30.32</v>
      </c>
      <c r="W3667" s="0" t="str">
        <f aca="false">INDEX(Summary!$S$2:$S$201,MATCH($B3667,Summary!$A$2:$A$201,0))</f>
        <v>Gold</v>
      </c>
      <c r="X3667" s="2" t="n">
        <f aca="false">INDEX(Summary!$T$2:$T$201,MATCH($B3667,Summary!$A$2:$A$201,0))</f>
        <v>73.95</v>
      </c>
      <c r="Y3667" s="0" t="str">
        <f aca="false">INDEX('Reward Model'!$E$18:$E$37,MATCH($E3667,'Reward Model'!$A$18:$A$37,0))</f>
        <v>Medium</v>
      </c>
      <c r="Z3667" s="4" t="n">
        <f aca="false">ROUND(MIN(1,MAX('Reward Model'!$B$2,INDEX('Reward Model'!$C$12:$C$14,MATCH($K3667,'Reward Model'!$A$12:$A$14,0))/$J3667)),3)</f>
        <v>1</v>
      </c>
      <c r="AA3667" s="2" t="n">
        <f aca="false">IF($I3667="Correct",ROUND(INDEX('Reward Model'!$B$12:$B$14,MATCH($K3667,'Reward Model'!$A$12:$A$14,0))*Z3667,2),0)</f>
        <v>1</v>
      </c>
      <c r="AB3667" s="2" t="n">
        <f aca="false">IF($I3667="Correct",ROUND(INDEX('Reward Model'!$B$12:$B$14,MATCH($Y3667,'Reward Model'!$A$12:$A$14,0))*Z3667,2),0)</f>
        <v>2</v>
      </c>
    </row>
    <row r="3668" customFormat="false" ht="15" hidden="false" customHeight="false" outlineLevel="0" collapsed="false">
      <c r="A3668" s="0" t="s">
        <v>498</v>
      </c>
      <c r="B3668" s="0" t="s">
        <v>499</v>
      </c>
      <c r="C3668" s="0" t="s">
        <v>322</v>
      </c>
      <c r="D3668" s="0" t="s">
        <v>275</v>
      </c>
      <c r="E3668" s="0" t="n">
        <v>7</v>
      </c>
      <c r="F3668" s="0" t="s">
        <v>50</v>
      </c>
      <c r="G3668" s="0" t="s">
        <v>144</v>
      </c>
      <c r="H3668" s="0" t="s">
        <v>51</v>
      </c>
      <c r="I3668" s="0" t="s">
        <v>39</v>
      </c>
      <c r="J3668" s="0" t="n">
        <v>1.61</v>
      </c>
      <c r="K3668" s="0" t="s">
        <v>35</v>
      </c>
      <c r="L3668" s="0" t="n">
        <f aca="false">INDEX(Summary!$F$2:$F$201,MATCH($B3668,Summary!$A$2:$A$201,0))</f>
        <v>20</v>
      </c>
      <c r="M3668" s="0" t="n">
        <f aca="false">INDEX(Summary!$I$2:$I$201,MATCH($B3668,Summary!$A$2:$A$201,0))</f>
        <v>3</v>
      </c>
      <c r="N3668" s="0" t="n">
        <f aca="false">INDEX(Summary!$J$2:$J$201,MATCH($B3668,Summary!$A$2:$A$201,0))</f>
        <v>2</v>
      </c>
      <c r="O3668" s="2" t="n">
        <f aca="false">INDEX(Summary!$K$2:$K$201,MATCH($B3668,Summary!$A$2:$A$201,0))</f>
        <v>9.32</v>
      </c>
      <c r="P3668" s="3" t="n">
        <f aca="false">INDEX(Summary!$L$2:$L$201,MATCH($B3668,Summary!$A$2:$A$201,0))</f>
        <v>5</v>
      </c>
      <c r="Q3668" s="3" t="n">
        <f aca="false">INDEX(Summary!$M$2:$M$201,MATCH($B3668,Summary!$A$2:$A$201,0))</f>
        <v>1</v>
      </c>
      <c r="R3668" s="2" t="n">
        <f aca="false">INDEX(Summary!$N$2:$N$201,MATCH($B3668,Summary!$A$2:$A$201,0))</f>
        <v>9.34</v>
      </c>
      <c r="S3668" s="3" t="n">
        <f aca="false">INDEX(Summary!$O$2:$O$201,MATCH($B3668,Summary!$A$2:$A$201,0))</f>
        <v>8</v>
      </c>
      <c r="T3668" s="3" t="n">
        <f aca="false">INDEX(Summary!$P$2:$P$201,MATCH($B3668,Summary!$A$2:$A$201,0))</f>
        <v>1</v>
      </c>
      <c r="U3668" s="2" t="n">
        <f aca="false">INDEX(Summary!$Q$2:$Q$201,MATCH($B3668,Summary!$A$2:$A$201,0))</f>
        <v>12.93</v>
      </c>
      <c r="V3668" s="2" t="n">
        <f aca="false">INDEX(Summary!$R$2:$R$201,MATCH($B3668,Summary!$A$2:$A$201,0))</f>
        <v>30.32</v>
      </c>
      <c r="W3668" s="0" t="str">
        <f aca="false">INDEX(Summary!$S$2:$S$201,MATCH($B3668,Summary!$A$2:$A$201,0))</f>
        <v>Gold</v>
      </c>
      <c r="X3668" s="2" t="n">
        <f aca="false">INDEX(Summary!$T$2:$T$201,MATCH($B3668,Summary!$A$2:$A$201,0))</f>
        <v>73.95</v>
      </c>
      <c r="Y3668" s="0" t="str">
        <f aca="false">INDEX('Reward Model'!$E$18:$E$37,MATCH($E3668,'Reward Model'!$A$18:$A$37,0))</f>
        <v>Low</v>
      </c>
      <c r="Z3668" s="4" t="n">
        <f aca="false">ROUND(MIN(1,MAX('Reward Model'!$B$2,INDEX('Reward Model'!$C$12:$C$14,MATCH($K3668,'Reward Model'!$A$12:$A$14,0))/$J3668)),3)</f>
        <v>0.932</v>
      </c>
      <c r="AA3668" s="2" t="n">
        <f aca="false">IF($I3668="Correct",ROUND(INDEX('Reward Model'!$B$12:$B$14,MATCH($K3668,'Reward Model'!$A$12:$A$14,0))*Z3668,2),0)</f>
        <v>0</v>
      </c>
      <c r="AB3668" s="2" t="n">
        <f aca="false">IF($I3668="Correct",ROUND(INDEX('Reward Model'!$B$12:$B$14,MATCH($Y3668,'Reward Model'!$A$12:$A$14,0))*Z3668,2),0)</f>
        <v>0</v>
      </c>
    </row>
    <row r="3669" customFormat="false" ht="15" hidden="false" customHeight="false" outlineLevel="0" collapsed="false">
      <c r="A3669" s="0" t="s">
        <v>498</v>
      </c>
      <c r="B3669" s="0" t="s">
        <v>499</v>
      </c>
      <c r="C3669" s="0" t="s">
        <v>322</v>
      </c>
      <c r="D3669" s="0" t="s">
        <v>275</v>
      </c>
      <c r="E3669" s="0" t="n">
        <v>8</v>
      </c>
      <c r="F3669" s="0" t="s">
        <v>52</v>
      </c>
      <c r="G3669" s="0" t="s">
        <v>54</v>
      </c>
      <c r="H3669" s="0" t="s">
        <v>54</v>
      </c>
      <c r="I3669" s="0" t="s">
        <v>34</v>
      </c>
      <c r="J3669" s="0" t="n">
        <v>1.54</v>
      </c>
      <c r="K3669" s="0" t="s">
        <v>35</v>
      </c>
      <c r="L3669" s="0" t="n">
        <f aca="false">INDEX(Summary!$F$2:$F$201,MATCH($B3669,Summary!$A$2:$A$201,0))</f>
        <v>20</v>
      </c>
      <c r="M3669" s="0" t="n">
        <f aca="false">INDEX(Summary!$I$2:$I$201,MATCH($B3669,Summary!$A$2:$A$201,0))</f>
        <v>3</v>
      </c>
      <c r="N3669" s="0" t="n">
        <f aca="false">INDEX(Summary!$J$2:$J$201,MATCH($B3669,Summary!$A$2:$A$201,0))</f>
        <v>2</v>
      </c>
      <c r="O3669" s="2" t="n">
        <f aca="false">INDEX(Summary!$K$2:$K$201,MATCH($B3669,Summary!$A$2:$A$201,0))</f>
        <v>9.32</v>
      </c>
      <c r="P3669" s="3" t="n">
        <f aca="false">INDEX(Summary!$L$2:$L$201,MATCH($B3669,Summary!$A$2:$A$201,0))</f>
        <v>5</v>
      </c>
      <c r="Q3669" s="3" t="n">
        <f aca="false">INDEX(Summary!$M$2:$M$201,MATCH($B3669,Summary!$A$2:$A$201,0))</f>
        <v>1</v>
      </c>
      <c r="R3669" s="2" t="n">
        <f aca="false">INDEX(Summary!$N$2:$N$201,MATCH($B3669,Summary!$A$2:$A$201,0))</f>
        <v>9.34</v>
      </c>
      <c r="S3669" s="3" t="n">
        <f aca="false">INDEX(Summary!$O$2:$O$201,MATCH($B3669,Summary!$A$2:$A$201,0))</f>
        <v>8</v>
      </c>
      <c r="T3669" s="3" t="n">
        <f aca="false">INDEX(Summary!$P$2:$P$201,MATCH($B3669,Summary!$A$2:$A$201,0))</f>
        <v>1</v>
      </c>
      <c r="U3669" s="2" t="n">
        <f aca="false">INDEX(Summary!$Q$2:$Q$201,MATCH($B3669,Summary!$A$2:$A$201,0))</f>
        <v>12.93</v>
      </c>
      <c r="V3669" s="2" t="n">
        <f aca="false">INDEX(Summary!$R$2:$R$201,MATCH($B3669,Summary!$A$2:$A$201,0))</f>
        <v>30.32</v>
      </c>
      <c r="W3669" s="0" t="str">
        <f aca="false">INDEX(Summary!$S$2:$S$201,MATCH($B3669,Summary!$A$2:$A$201,0))</f>
        <v>Gold</v>
      </c>
      <c r="X3669" s="2" t="n">
        <f aca="false">INDEX(Summary!$T$2:$T$201,MATCH($B3669,Summary!$A$2:$A$201,0))</f>
        <v>73.95</v>
      </c>
      <c r="Y3669" s="0" t="str">
        <f aca="false">INDEX('Reward Model'!$E$18:$E$37,MATCH($E3669,'Reward Model'!$A$18:$A$37,0))</f>
        <v>Medium</v>
      </c>
      <c r="Z3669" s="4" t="n">
        <f aca="false">ROUND(MIN(1,MAX('Reward Model'!$B$2,INDEX('Reward Model'!$C$12:$C$14,MATCH($K3669,'Reward Model'!$A$12:$A$14,0))/$J3669)),3)</f>
        <v>0.974</v>
      </c>
      <c r="AA3669" s="2" t="n">
        <f aca="false">IF($I3669="Correct",ROUND(INDEX('Reward Model'!$B$12:$B$14,MATCH($K3669,'Reward Model'!$A$12:$A$14,0))*Z3669,2),0)</f>
        <v>0.97</v>
      </c>
      <c r="AB3669" s="2" t="n">
        <f aca="false">IF($I3669="Correct",ROUND(INDEX('Reward Model'!$B$12:$B$14,MATCH($Y3669,'Reward Model'!$A$12:$A$14,0))*Z3669,2),0)</f>
        <v>1.95</v>
      </c>
    </row>
    <row r="3670" customFormat="false" ht="15" hidden="false" customHeight="false" outlineLevel="0" collapsed="false">
      <c r="A3670" s="0" t="s">
        <v>498</v>
      </c>
      <c r="B3670" s="0" t="s">
        <v>499</v>
      </c>
      <c r="C3670" s="0" t="s">
        <v>322</v>
      </c>
      <c r="D3670" s="0" t="s">
        <v>275</v>
      </c>
      <c r="E3670" s="0" t="n">
        <v>9</v>
      </c>
      <c r="F3670" s="0" t="s">
        <v>55</v>
      </c>
      <c r="G3670" s="0" t="s">
        <v>57</v>
      </c>
      <c r="H3670" s="0" t="s">
        <v>57</v>
      </c>
      <c r="I3670" s="0" t="s">
        <v>34</v>
      </c>
      <c r="J3670" s="0" t="n">
        <v>1.04</v>
      </c>
      <c r="K3670" s="0" t="s">
        <v>35</v>
      </c>
      <c r="L3670" s="0" t="n">
        <f aca="false">INDEX(Summary!$F$2:$F$201,MATCH($B3670,Summary!$A$2:$A$201,0))</f>
        <v>20</v>
      </c>
      <c r="M3670" s="0" t="n">
        <f aca="false">INDEX(Summary!$I$2:$I$201,MATCH($B3670,Summary!$A$2:$A$201,0))</f>
        <v>3</v>
      </c>
      <c r="N3670" s="0" t="n">
        <f aca="false">INDEX(Summary!$J$2:$J$201,MATCH($B3670,Summary!$A$2:$A$201,0))</f>
        <v>2</v>
      </c>
      <c r="O3670" s="2" t="n">
        <f aca="false">INDEX(Summary!$K$2:$K$201,MATCH($B3670,Summary!$A$2:$A$201,0))</f>
        <v>9.32</v>
      </c>
      <c r="P3670" s="3" t="n">
        <f aca="false">INDEX(Summary!$L$2:$L$201,MATCH($B3670,Summary!$A$2:$A$201,0))</f>
        <v>5</v>
      </c>
      <c r="Q3670" s="3" t="n">
        <f aca="false">INDEX(Summary!$M$2:$M$201,MATCH($B3670,Summary!$A$2:$A$201,0))</f>
        <v>1</v>
      </c>
      <c r="R3670" s="2" t="n">
        <f aca="false">INDEX(Summary!$N$2:$N$201,MATCH($B3670,Summary!$A$2:$A$201,0))</f>
        <v>9.34</v>
      </c>
      <c r="S3670" s="3" t="n">
        <f aca="false">INDEX(Summary!$O$2:$O$201,MATCH($B3670,Summary!$A$2:$A$201,0))</f>
        <v>8</v>
      </c>
      <c r="T3670" s="3" t="n">
        <f aca="false">INDEX(Summary!$P$2:$P$201,MATCH($B3670,Summary!$A$2:$A$201,0))</f>
        <v>1</v>
      </c>
      <c r="U3670" s="2" t="n">
        <f aca="false">INDEX(Summary!$Q$2:$Q$201,MATCH($B3670,Summary!$A$2:$A$201,0))</f>
        <v>12.93</v>
      </c>
      <c r="V3670" s="2" t="n">
        <f aca="false">INDEX(Summary!$R$2:$R$201,MATCH($B3670,Summary!$A$2:$A$201,0))</f>
        <v>30.32</v>
      </c>
      <c r="W3670" s="0" t="str">
        <f aca="false">INDEX(Summary!$S$2:$S$201,MATCH($B3670,Summary!$A$2:$A$201,0))</f>
        <v>Gold</v>
      </c>
      <c r="X3670" s="2" t="n">
        <f aca="false">INDEX(Summary!$T$2:$T$201,MATCH($B3670,Summary!$A$2:$A$201,0))</f>
        <v>73.95</v>
      </c>
      <c r="Y3670" s="0" t="str">
        <f aca="false">INDEX('Reward Model'!$E$18:$E$37,MATCH($E3670,'Reward Model'!$A$18:$A$37,0))</f>
        <v>Medium</v>
      </c>
      <c r="Z3670" s="4" t="n">
        <f aca="false">ROUND(MIN(1,MAX('Reward Model'!$B$2,INDEX('Reward Model'!$C$12:$C$14,MATCH($K3670,'Reward Model'!$A$12:$A$14,0))/$J3670)),3)</f>
        <v>1</v>
      </c>
      <c r="AA3670" s="2" t="n">
        <f aca="false">IF($I3670="Correct",ROUND(INDEX('Reward Model'!$B$12:$B$14,MATCH($K3670,'Reward Model'!$A$12:$A$14,0))*Z3670,2),0)</f>
        <v>1</v>
      </c>
      <c r="AB3670" s="2" t="n">
        <f aca="false">IF($I3670="Correct",ROUND(INDEX('Reward Model'!$B$12:$B$14,MATCH($Y3670,'Reward Model'!$A$12:$A$14,0))*Z3670,2),0)</f>
        <v>2</v>
      </c>
    </row>
    <row r="3671" customFormat="false" ht="15" hidden="false" customHeight="false" outlineLevel="0" collapsed="false">
      <c r="A3671" s="0" t="s">
        <v>498</v>
      </c>
      <c r="B3671" s="0" t="s">
        <v>499</v>
      </c>
      <c r="C3671" s="0" t="s">
        <v>322</v>
      </c>
      <c r="D3671" s="0" t="s">
        <v>275</v>
      </c>
      <c r="E3671" s="0" t="n">
        <v>10</v>
      </c>
      <c r="F3671" s="0" t="s">
        <v>58</v>
      </c>
      <c r="G3671" s="0" t="s">
        <v>99</v>
      </c>
      <c r="H3671" s="0" t="s">
        <v>59</v>
      </c>
      <c r="I3671" s="0" t="s">
        <v>39</v>
      </c>
      <c r="J3671" s="0" t="n">
        <v>1.78</v>
      </c>
      <c r="K3671" s="0" t="s">
        <v>60</v>
      </c>
      <c r="L3671" s="0" t="n">
        <f aca="false">INDEX(Summary!$F$2:$F$201,MATCH($B3671,Summary!$A$2:$A$201,0))</f>
        <v>20</v>
      </c>
      <c r="M3671" s="0" t="n">
        <f aca="false">INDEX(Summary!$I$2:$I$201,MATCH($B3671,Summary!$A$2:$A$201,0))</f>
        <v>3</v>
      </c>
      <c r="N3671" s="0" t="n">
        <f aca="false">INDEX(Summary!$J$2:$J$201,MATCH($B3671,Summary!$A$2:$A$201,0))</f>
        <v>2</v>
      </c>
      <c r="O3671" s="2" t="n">
        <f aca="false">INDEX(Summary!$K$2:$K$201,MATCH($B3671,Summary!$A$2:$A$201,0))</f>
        <v>9.32</v>
      </c>
      <c r="P3671" s="3" t="n">
        <f aca="false">INDEX(Summary!$L$2:$L$201,MATCH($B3671,Summary!$A$2:$A$201,0))</f>
        <v>5</v>
      </c>
      <c r="Q3671" s="3" t="n">
        <f aca="false">INDEX(Summary!$M$2:$M$201,MATCH($B3671,Summary!$A$2:$A$201,0))</f>
        <v>1</v>
      </c>
      <c r="R3671" s="2" t="n">
        <f aca="false">INDEX(Summary!$N$2:$N$201,MATCH($B3671,Summary!$A$2:$A$201,0))</f>
        <v>9.34</v>
      </c>
      <c r="S3671" s="3" t="n">
        <f aca="false">INDEX(Summary!$O$2:$O$201,MATCH($B3671,Summary!$A$2:$A$201,0))</f>
        <v>8</v>
      </c>
      <c r="T3671" s="3" t="n">
        <f aca="false">INDEX(Summary!$P$2:$P$201,MATCH($B3671,Summary!$A$2:$A$201,0))</f>
        <v>1</v>
      </c>
      <c r="U3671" s="2" t="n">
        <f aca="false">INDEX(Summary!$Q$2:$Q$201,MATCH($B3671,Summary!$A$2:$A$201,0))</f>
        <v>12.93</v>
      </c>
      <c r="V3671" s="2" t="n">
        <f aca="false">INDEX(Summary!$R$2:$R$201,MATCH($B3671,Summary!$A$2:$A$201,0))</f>
        <v>30.32</v>
      </c>
      <c r="W3671" s="0" t="str">
        <f aca="false">INDEX(Summary!$S$2:$S$201,MATCH($B3671,Summary!$A$2:$A$201,0))</f>
        <v>Gold</v>
      </c>
      <c r="X3671" s="2" t="n">
        <f aca="false">INDEX(Summary!$T$2:$T$201,MATCH($B3671,Summary!$A$2:$A$201,0))</f>
        <v>73.95</v>
      </c>
      <c r="Y3671" s="0" t="str">
        <f aca="false">INDEX('Reward Model'!$E$18:$E$37,MATCH($E3671,'Reward Model'!$A$18:$A$37,0))</f>
        <v>Medium</v>
      </c>
      <c r="Z3671" s="4" t="n">
        <f aca="false">ROUND(MIN(1,MAX('Reward Model'!$B$2,INDEX('Reward Model'!$C$12:$C$14,MATCH($K3671,'Reward Model'!$A$12:$A$14,0))/$J3671)),3)</f>
        <v>1</v>
      </c>
      <c r="AA3671" s="2" t="n">
        <f aca="false">IF($I3671="Correct",ROUND(INDEX('Reward Model'!$B$12:$B$14,MATCH($K3671,'Reward Model'!$A$12:$A$14,0))*Z3671,2),0)</f>
        <v>0</v>
      </c>
      <c r="AB3671" s="2" t="n">
        <f aca="false">IF($I3671="Correct",ROUND(INDEX('Reward Model'!$B$12:$B$14,MATCH($Y3671,'Reward Model'!$A$12:$A$14,0))*Z3671,2),0)</f>
        <v>0</v>
      </c>
    </row>
    <row r="3672" customFormat="false" ht="15" hidden="false" customHeight="false" outlineLevel="0" collapsed="false">
      <c r="A3672" s="0" t="s">
        <v>498</v>
      </c>
      <c r="B3672" s="0" t="s">
        <v>499</v>
      </c>
      <c r="C3672" s="0" t="s">
        <v>322</v>
      </c>
      <c r="D3672" s="0" t="s">
        <v>275</v>
      </c>
      <c r="E3672" s="0" t="n">
        <v>11</v>
      </c>
      <c r="F3672" s="0" t="s">
        <v>61</v>
      </c>
      <c r="G3672" s="0" t="s">
        <v>63</v>
      </c>
      <c r="H3672" s="0" t="s">
        <v>63</v>
      </c>
      <c r="I3672" s="0" t="s">
        <v>34</v>
      </c>
      <c r="J3672" s="0" t="n">
        <v>1.77</v>
      </c>
      <c r="K3672" s="0" t="s">
        <v>60</v>
      </c>
      <c r="L3672" s="0" t="n">
        <f aca="false">INDEX(Summary!$F$2:$F$201,MATCH($B3672,Summary!$A$2:$A$201,0))</f>
        <v>20</v>
      </c>
      <c r="M3672" s="0" t="n">
        <f aca="false">INDEX(Summary!$I$2:$I$201,MATCH($B3672,Summary!$A$2:$A$201,0))</f>
        <v>3</v>
      </c>
      <c r="N3672" s="0" t="n">
        <f aca="false">INDEX(Summary!$J$2:$J$201,MATCH($B3672,Summary!$A$2:$A$201,0))</f>
        <v>2</v>
      </c>
      <c r="O3672" s="2" t="n">
        <f aca="false">INDEX(Summary!$K$2:$K$201,MATCH($B3672,Summary!$A$2:$A$201,0))</f>
        <v>9.32</v>
      </c>
      <c r="P3672" s="3" t="n">
        <f aca="false">INDEX(Summary!$L$2:$L$201,MATCH($B3672,Summary!$A$2:$A$201,0))</f>
        <v>5</v>
      </c>
      <c r="Q3672" s="3" t="n">
        <f aca="false">INDEX(Summary!$M$2:$M$201,MATCH($B3672,Summary!$A$2:$A$201,0))</f>
        <v>1</v>
      </c>
      <c r="R3672" s="2" t="n">
        <f aca="false">INDEX(Summary!$N$2:$N$201,MATCH($B3672,Summary!$A$2:$A$201,0))</f>
        <v>9.34</v>
      </c>
      <c r="S3672" s="3" t="n">
        <f aca="false">INDEX(Summary!$O$2:$O$201,MATCH($B3672,Summary!$A$2:$A$201,0))</f>
        <v>8</v>
      </c>
      <c r="T3672" s="3" t="n">
        <f aca="false">INDEX(Summary!$P$2:$P$201,MATCH($B3672,Summary!$A$2:$A$201,0))</f>
        <v>1</v>
      </c>
      <c r="U3672" s="2" t="n">
        <f aca="false">INDEX(Summary!$Q$2:$Q$201,MATCH($B3672,Summary!$A$2:$A$201,0))</f>
        <v>12.93</v>
      </c>
      <c r="V3672" s="2" t="n">
        <f aca="false">INDEX(Summary!$R$2:$R$201,MATCH($B3672,Summary!$A$2:$A$201,0))</f>
        <v>30.32</v>
      </c>
      <c r="W3672" s="0" t="str">
        <f aca="false">INDEX(Summary!$S$2:$S$201,MATCH($B3672,Summary!$A$2:$A$201,0))</f>
        <v>Gold</v>
      </c>
      <c r="X3672" s="2" t="n">
        <f aca="false">INDEX(Summary!$T$2:$T$201,MATCH($B3672,Summary!$A$2:$A$201,0))</f>
        <v>73.95</v>
      </c>
      <c r="Y3672" s="0" t="str">
        <f aca="false">INDEX('Reward Model'!$E$18:$E$37,MATCH($E3672,'Reward Model'!$A$18:$A$37,0))</f>
        <v>Medium</v>
      </c>
      <c r="Z3672" s="4" t="n">
        <f aca="false">ROUND(MIN(1,MAX('Reward Model'!$B$2,INDEX('Reward Model'!$C$12:$C$14,MATCH($K3672,'Reward Model'!$A$12:$A$14,0))/$J3672)),3)</f>
        <v>1</v>
      </c>
      <c r="AA3672" s="2" t="n">
        <f aca="false">IF($I3672="Correct",ROUND(INDEX('Reward Model'!$B$12:$B$14,MATCH($K3672,'Reward Model'!$A$12:$A$14,0))*Z3672,2),0)</f>
        <v>2</v>
      </c>
      <c r="AB3672" s="2" t="n">
        <f aca="false">IF($I3672="Correct",ROUND(INDEX('Reward Model'!$B$12:$B$14,MATCH($Y3672,'Reward Model'!$A$12:$A$14,0))*Z3672,2),0)</f>
        <v>2</v>
      </c>
    </row>
    <row r="3673" customFormat="false" ht="15" hidden="false" customHeight="false" outlineLevel="0" collapsed="false">
      <c r="A3673" s="0" t="s">
        <v>498</v>
      </c>
      <c r="B3673" s="0" t="s">
        <v>499</v>
      </c>
      <c r="C3673" s="0" t="s">
        <v>322</v>
      </c>
      <c r="D3673" s="0" t="s">
        <v>275</v>
      </c>
      <c r="E3673" s="0" t="n">
        <v>12</v>
      </c>
      <c r="F3673" s="0" t="s">
        <v>64</v>
      </c>
      <c r="G3673" s="0" t="s">
        <v>65</v>
      </c>
      <c r="H3673" s="0" t="s">
        <v>65</v>
      </c>
      <c r="I3673" s="0" t="s">
        <v>34</v>
      </c>
      <c r="J3673" s="0" t="n">
        <v>1.93</v>
      </c>
      <c r="K3673" s="0" t="s">
        <v>60</v>
      </c>
      <c r="L3673" s="0" t="n">
        <f aca="false">INDEX(Summary!$F$2:$F$201,MATCH($B3673,Summary!$A$2:$A$201,0))</f>
        <v>20</v>
      </c>
      <c r="M3673" s="0" t="n">
        <f aca="false">INDEX(Summary!$I$2:$I$201,MATCH($B3673,Summary!$A$2:$A$201,0))</f>
        <v>3</v>
      </c>
      <c r="N3673" s="0" t="n">
        <f aca="false">INDEX(Summary!$J$2:$J$201,MATCH($B3673,Summary!$A$2:$A$201,0))</f>
        <v>2</v>
      </c>
      <c r="O3673" s="2" t="n">
        <f aca="false">INDEX(Summary!$K$2:$K$201,MATCH($B3673,Summary!$A$2:$A$201,0))</f>
        <v>9.32</v>
      </c>
      <c r="P3673" s="3" t="n">
        <f aca="false">INDEX(Summary!$L$2:$L$201,MATCH($B3673,Summary!$A$2:$A$201,0))</f>
        <v>5</v>
      </c>
      <c r="Q3673" s="3" t="n">
        <f aca="false">INDEX(Summary!$M$2:$M$201,MATCH($B3673,Summary!$A$2:$A$201,0))</f>
        <v>1</v>
      </c>
      <c r="R3673" s="2" t="n">
        <f aca="false">INDEX(Summary!$N$2:$N$201,MATCH($B3673,Summary!$A$2:$A$201,0))</f>
        <v>9.34</v>
      </c>
      <c r="S3673" s="3" t="n">
        <f aca="false">INDEX(Summary!$O$2:$O$201,MATCH($B3673,Summary!$A$2:$A$201,0))</f>
        <v>8</v>
      </c>
      <c r="T3673" s="3" t="n">
        <f aca="false">INDEX(Summary!$P$2:$P$201,MATCH($B3673,Summary!$A$2:$A$201,0))</f>
        <v>1</v>
      </c>
      <c r="U3673" s="2" t="n">
        <f aca="false">INDEX(Summary!$Q$2:$Q$201,MATCH($B3673,Summary!$A$2:$A$201,0))</f>
        <v>12.93</v>
      </c>
      <c r="V3673" s="2" t="n">
        <f aca="false">INDEX(Summary!$R$2:$R$201,MATCH($B3673,Summary!$A$2:$A$201,0))</f>
        <v>30.32</v>
      </c>
      <c r="W3673" s="0" t="str">
        <f aca="false">INDEX(Summary!$S$2:$S$201,MATCH($B3673,Summary!$A$2:$A$201,0))</f>
        <v>Gold</v>
      </c>
      <c r="X3673" s="2" t="n">
        <f aca="false">INDEX(Summary!$T$2:$T$201,MATCH($B3673,Summary!$A$2:$A$201,0))</f>
        <v>73.95</v>
      </c>
      <c r="Y3673" s="0" t="str">
        <f aca="false">INDEX('Reward Model'!$E$18:$E$37,MATCH($E3673,'Reward Model'!$A$18:$A$37,0))</f>
        <v>Medium</v>
      </c>
      <c r="Z3673" s="4" t="n">
        <f aca="false">ROUND(MIN(1,MAX('Reward Model'!$B$2,INDEX('Reward Model'!$C$12:$C$14,MATCH($K3673,'Reward Model'!$A$12:$A$14,0))/$J3673)),3)</f>
        <v>0.933</v>
      </c>
      <c r="AA3673" s="2" t="n">
        <f aca="false">IF($I3673="Correct",ROUND(INDEX('Reward Model'!$B$12:$B$14,MATCH($K3673,'Reward Model'!$A$12:$A$14,0))*Z3673,2),0)</f>
        <v>1.87</v>
      </c>
      <c r="AB3673" s="2" t="n">
        <f aca="false">IF($I3673="Correct",ROUND(INDEX('Reward Model'!$B$12:$B$14,MATCH($Y3673,'Reward Model'!$A$12:$A$14,0))*Z3673,2),0)</f>
        <v>1.87</v>
      </c>
    </row>
    <row r="3674" customFormat="false" ht="15" hidden="false" customHeight="false" outlineLevel="0" collapsed="false">
      <c r="A3674" s="0" t="s">
        <v>498</v>
      </c>
      <c r="B3674" s="0" t="s">
        <v>499</v>
      </c>
      <c r="C3674" s="0" t="s">
        <v>322</v>
      </c>
      <c r="D3674" s="0" t="s">
        <v>275</v>
      </c>
      <c r="E3674" s="0" t="n">
        <v>13</v>
      </c>
      <c r="F3674" s="0" t="s">
        <v>66</v>
      </c>
      <c r="G3674" s="0" t="s">
        <v>67</v>
      </c>
      <c r="H3674" s="0" t="s">
        <v>67</v>
      </c>
      <c r="I3674" s="0" t="s">
        <v>34</v>
      </c>
      <c r="J3674" s="0" t="n">
        <v>1.11</v>
      </c>
      <c r="K3674" s="0" t="s">
        <v>60</v>
      </c>
      <c r="L3674" s="0" t="n">
        <f aca="false">INDEX(Summary!$F$2:$F$201,MATCH($B3674,Summary!$A$2:$A$201,0))</f>
        <v>20</v>
      </c>
      <c r="M3674" s="0" t="n">
        <f aca="false">INDEX(Summary!$I$2:$I$201,MATCH($B3674,Summary!$A$2:$A$201,0))</f>
        <v>3</v>
      </c>
      <c r="N3674" s="0" t="n">
        <f aca="false">INDEX(Summary!$J$2:$J$201,MATCH($B3674,Summary!$A$2:$A$201,0))</f>
        <v>2</v>
      </c>
      <c r="O3674" s="2" t="n">
        <f aca="false">INDEX(Summary!$K$2:$K$201,MATCH($B3674,Summary!$A$2:$A$201,0))</f>
        <v>9.32</v>
      </c>
      <c r="P3674" s="3" t="n">
        <f aca="false">INDEX(Summary!$L$2:$L$201,MATCH($B3674,Summary!$A$2:$A$201,0))</f>
        <v>5</v>
      </c>
      <c r="Q3674" s="3" t="n">
        <f aca="false">INDEX(Summary!$M$2:$M$201,MATCH($B3674,Summary!$A$2:$A$201,0))</f>
        <v>1</v>
      </c>
      <c r="R3674" s="2" t="n">
        <f aca="false">INDEX(Summary!$N$2:$N$201,MATCH($B3674,Summary!$A$2:$A$201,0))</f>
        <v>9.34</v>
      </c>
      <c r="S3674" s="3" t="n">
        <f aca="false">INDEX(Summary!$O$2:$O$201,MATCH($B3674,Summary!$A$2:$A$201,0))</f>
        <v>8</v>
      </c>
      <c r="T3674" s="3" t="n">
        <f aca="false">INDEX(Summary!$P$2:$P$201,MATCH($B3674,Summary!$A$2:$A$201,0))</f>
        <v>1</v>
      </c>
      <c r="U3674" s="2" t="n">
        <f aca="false">INDEX(Summary!$Q$2:$Q$201,MATCH($B3674,Summary!$A$2:$A$201,0))</f>
        <v>12.93</v>
      </c>
      <c r="V3674" s="2" t="n">
        <f aca="false">INDEX(Summary!$R$2:$R$201,MATCH($B3674,Summary!$A$2:$A$201,0))</f>
        <v>30.32</v>
      </c>
      <c r="W3674" s="0" t="str">
        <f aca="false">INDEX(Summary!$S$2:$S$201,MATCH($B3674,Summary!$A$2:$A$201,0))</f>
        <v>Gold</v>
      </c>
      <c r="X3674" s="2" t="n">
        <f aca="false">INDEX(Summary!$T$2:$T$201,MATCH($B3674,Summary!$A$2:$A$201,0))</f>
        <v>73.95</v>
      </c>
      <c r="Y3674" s="0" t="str">
        <f aca="false">INDEX('Reward Model'!$E$18:$E$37,MATCH($E3674,'Reward Model'!$A$18:$A$37,0))</f>
        <v>Medium</v>
      </c>
      <c r="Z3674" s="4" t="n">
        <f aca="false">ROUND(MIN(1,MAX('Reward Model'!$B$2,INDEX('Reward Model'!$C$12:$C$14,MATCH($K3674,'Reward Model'!$A$12:$A$14,0))/$J3674)),3)</f>
        <v>1</v>
      </c>
      <c r="AA3674" s="2" t="n">
        <f aca="false">IF($I3674="Correct",ROUND(INDEX('Reward Model'!$B$12:$B$14,MATCH($K3674,'Reward Model'!$A$12:$A$14,0))*Z3674,2),0)</f>
        <v>2</v>
      </c>
      <c r="AB3674" s="2" t="n">
        <f aca="false">IF($I3674="Correct",ROUND(INDEX('Reward Model'!$B$12:$B$14,MATCH($Y3674,'Reward Model'!$A$12:$A$14,0))*Z3674,2),0)</f>
        <v>2</v>
      </c>
    </row>
    <row r="3675" customFormat="false" ht="15" hidden="false" customHeight="false" outlineLevel="0" collapsed="false">
      <c r="A3675" s="0" t="s">
        <v>498</v>
      </c>
      <c r="B3675" s="0" t="s">
        <v>499</v>
      </c>
      <c r="C3675" s="0" t="s">
        <v>322</v>
      </c>
      <c r="D3675" s="0" t="s">
        <v>275</v>
      </c>
      <c r="E3675" s="0" t="n">
        <v>14</v>
      </c>
      <c r="F3675" s="0" t="s">
        <v>68</v>
      </c>
      <c r="G3675" s="0" t="s">
        <v>51</v>
      </c>
      <c r="H3675" s="0" t="s">
        <v>51</v>
      </c>
      <c r="I3675" s="0" t="s">
        <v>34</v>
      </c>
      <c r="J3675" s="0" t="n">
        <v>1.35</v>
      </c>
      <c r="K3675" s="0" t="s">
        <v>60</v>
      </c>
      <c r="L3675" s="0" t="n">
        <f aca="false">INDEX(Summary!$F$2:$F$201,MATCH($B3675,Summary!$A$2:$A$201,0))</f>
        <v>20</v>
      </c>
      <c r="M3675" s="0" t="n">
        <f aca="false">INDEX(Summary!$I$2:$I$201,MATCH($B3675,Summary!$A$2:$A$201,0))</f>
        <v>3</v>
      </c>
      <c r="N3675" s="0" t="n">
        <f aca="false">INDEX(Summary!$J$2:$J$201,MATCH($B3675,Summary!$A$2:$A$201,0))</f>
        <v>2</v>
      </c>
      <c r="O3675" s="2" t="n">
        <f aca="false">INDEX(Summary!$K$2:$K$201,MATCH($B3675,Summary!$A$2:$A$201,0))</f>
        <v>9.32</v>
      </c>
      <c r="P3675" s="3" t="n">
        <f aca="false">INDEX(Summary!$L$2:$L$201,MATCH($B3675,Summary!$A$2:$A$201,0))</f>
        <v>5</v>
      </c>
      <c r="Q3675" s="3" t="n">
        <f aca="false">INDEX(Summary!$M$2:$M$201,MATCH($B3675,Summary!$A$2:$A$201,0))</f>
        <v>1</v>
      </c>
      <c r="R3675" s="2" t="n">
        <f aca="false">INDEX(Summary!$N$2:$N$201,MATCH($B3675,Summary!$A$2:$A$201,0))</f>
        <v>9.34</v>
      </c>
      <c r="S3675" s="3" t="n">
        <f aca="false">INDEX(Summary!$O$2:$O$201,MATCH($B3675,Summary!$A$2:$A$201,0))</f>
        <v>8</v>
      </c>
      <c r="T3675" s="3" t="n">
        <f aca="false">INDEX(Summary!$P$2:$P$201,MATCH($B3675,Summary!$A$2:$A$201,0))</f>
        <v>1</v>
      </c>
      <c r="U3675" s="2" t="n">
        <f aca="false">INDEX(Summary!$Q$2:$Q$201,MATCH($B3675,Summary!$A$2:$A$201,0))</f>
        <v>12.93</v>
      </c>
      <c r="V3675" s="2" t="n">
        <f aca="false">INDEX(Summary!$R$2:$R$201,MATCH($B3675,Summary!$A$2:$A$201,0))</f>
        <v>30.32</v>
      </c>
      <c r="W3675" s="0" t="str">
        <f aca="false">INDEX(Summary!$S$2:$S$201,MATCH($B3675,Summary!$A$2:$A$201,0))</f>
        <v>Gold</v>
      </c>
      <c r="X3675" s="2" t="n">
        <f aca="false">INDEX(Summary!$T$2:$T$201,MATCH($B3675,Summary!$A$2:$A$201,0))</f>
        <v>73.95</v>
      </c>
      <c r="Y3675" s="0" t="str">
        <f aca="false">INDEX('Reward Model'!$E$18:$E$37,MATCH($E3675,'Reward Model'!$A$18:$A$37,0))</f>
        <v>Medium</v>
      </c>
      <c r="Z3675" s="4" t="n">
        <f aca="false">ROUND(MIN(1,MAX('Reward Model'!$B$2,INDEX('Reward Model'!$C$12:$C$14,MATCH($K3675,'Reward Model'!$A$12:$A$14,0))/$J3675)),3)</f>
        <v>1</v>
      </c>
      <c r="AA3675" s="2" t="n">
        <f aca="false">IF($I3675="Correct",ROUND(INDEX('Reward Model'!$B$12:$B$14,MATCH($K3675,'Reward Model'!$A$12:$A$14,0))*Z3675,2),0)</f>
        <v>2</v>
      </c>
      <c r="AB3675" s="2" t="n">
        <f aca="false">IF($I3675="Correct",ROUND(INDEX('Reward Model'!$B$12:$B$14,MATCH($Y3675,'Reward Model'!$A$12:$A$14,0))*Z3675,2),0)</f>
        <v>2</v>
      </c>
    </row>
    <row r="3676" customFormat="false" ht="15" hidden="false" customHeight="false" outlineLevel="0" collapsed="false">
      <c r="A3676" s="0" t="s">
        <v>498</v>
      </c>
      <c r="B3676" s="0" t="s">
        <v>499</v>
      </c>
      <c r="C3676" s="0" t="s">
        <v>322</v>
      </c>
      <c r="D3676" s="0" t="s">
        <v>275</v>
      </c>
      <c r="E3676" s="0" t="n">
        <v>15</v>
      </c>
      <c r="F3676" s="0" t="s">
        <v>69</v>
      </c>
      <c r="G3676" s="0" t="s">
        <v>70</v>
      </c>
      <c r="H3676" s="0" t="s">
        <v>70</v>
      </c>
      <c r="I3676" s="0" t="s">
        <v>34</v>
      </c>
      <c r="J3676" s="0" t="n">
        <v>1.4</v>
      </c>
      <c r="K3676" s="0" t="s">
        <v>60</v>
      </c>
      <c r="L3676" s="0" t="n">
        <f aca="false">INDEX(Summary!$F$2:$F$201,MATCH($B3676,Summary!$A$2:$A$201,0))</f>
        <v>20</v>
      </c>
      <c r="M3676" s="0" t="n">
        <f aca="false">INDEX(Summary!$I$2:$I$201,MATCH($B3676,Summary!$A$2:$A$201,0))</f>
        <v>3</v>
      </c>
      <c r="N3676" s="0" t="n">
        <f aca="false">INDEX(Summary!$J$2:$J$201,MATCH($B3676,Summary!$A$2:$A$201,0))</f>
        <v>2</v>
      </c>
      <c r="O3676" s="2" t="n">
        <f aca="false">INDEX(Summary!$K$2:$K$201,MATCH($B3676,Summary!$A$2:$A$201,0))</f>
        <v>9.32</v>
      </c>
      <c r="P3676" s="3" t="n">
        <f aca="false">INDEX(Summary!$L$2:$L$201,MATCH($B3676,Summary!$A$2:$A$201,0))</f>
        <v>5</v>
      </c>
      <c r="Q3676" s="3" t="n">
        <f aca="false">INDEX(Summary!$M$2:$M$201,MATCH($B3676,Summary!$A$2:$A$201,0))</f>
        <v>1</v>
      </c>
      <c r="R3676" s="2" t="n">
        <f aca="false">INDEX(Summary!$N$2:$N$201,MATCH($B3676,Summary!$A$2:$A$201,0))</f>
        <v>9.34</v>
      </c>
      <c r="S3676" s="3" t="n">
        <f aca="false">INDEX(Summary!$O$2:$O$201,MATCH($B3676,Summary!$A$2:$A$201,0))</f>
        <v>8</v>
      </c>
      <c r="T3676" s="3" t="n">
        <f aca="false">INDEX(Summary!$P$2:$P$201,MATCH($B3676,Summary!$A$2:$A$201,0))</f>
        <v>1</v>
      </c>
      <c r="U3676" s="2" t="n">
        <f aca="false">INDEX(Summary!$Q$2:$Q$201,MATCH($B3676,Summary!$A$2:$A$201,0))</f>
        <v>12.93</v>
      </c>
      <c r="V3676" s="2" t="n">
        <f aca="false">INDEX(Summary!$R$2:$R$201,MATCH($B3676,Summary!$A$2:$A$201,0))</f>
        <v>30.32</v>
      </c>
      <c r="W3676" s="0" t="str">
        <f aca="false">INDEX(Summary!$S$2:$S$201,MATCH($B3676,Summary!$A$2:$A$201,0))</f>
        <v>Gold</v>
      </c>
      <c r="X3676" s="2" t="n">
        <f aca="false">INDEX(Summary!$T$2:$T$201,MATCH($B3676,Summary!$A$2:$A$201,0))</f>
        <v>73.95</v>
      </c>
      <c r="Y3676" s="0" t="str">
        <f aca="false">INDEX('Reward Model'!$E$18:$E$37,MATCH($E3676,'Reward Model'!$A$18:$A$37,0))</f>
        <v>Medium</v>
      </c>
      <c r="Z3676" s="4" t="n">
        <f aca="false">ROUND(MIN(1,MAX('Reward Model'!$B$2,INDEX('Reward Model'!$C$12:$C$14,MATCH($K3676,'Reward Model'!$A$12:$A$14,0))/$J3676)),3)</f>
        <v>1</v>
      </c>
      <c r="AA3676" s="2" t="n">
        <f aca="false">IF($I3676="Correct",ROUND(INDEX('Reward Model'!$B$12:$B$14,MATCH($K3676,'Reward Model'!$A$12:$A$14,0))*Z3676,2),0)</f>
        <v>2</v>
      </c>
      <c r="AB3676" s="2" t="n">
        <f aca="false">IF($I3676="Correct",ROUND(INDEX('Reward Model'!$B$12:$B$14,MATCH($Y3676,'Reward Model'!$A$12:$A$14,0))*Z3676,2),0)</f>
        <v>2</v>
      </c>
    </row>
    <row r="3677" customFormat="false" ht="15" hidden="false" customHeight="false" outlineLevel="0" collapsed="false">
      <c r="A3677" s="0" t="s">
        <v>498</v>
      </c>
      <c r="B3677" s="0" t="s">
        <v>499</v>
      </c>
      <c r="C3677" s="0" t="s">
        <v>322</v>
      </c>
      <c r="D3677" s="0" t="s">
        <v>275</v>
      </c>
      <c r="E3677" s="0" t="n">
        <v>16</v>
      </c>
      <c r="F3677" s="0" t="s">
        <v>71</v>
      </c>
      <c r="G3677" s="0" t="s">
        <v>104</v>
      </c>
      <c r="H3677" s="0" t="s">
        <v>72</v>
      </c>
      <c r="I3677" s="0" t="s">
        <v>39</v>
      </c>
      <c r="J3677" s="0" t="n">
        <v>1.52</v>
      </c>
      <c r="K3677" s="0" t="s">
        <v>73</v>
      </c>
      <c r="L3677" s="0" t="n">
        <f aca="false">INDEX(Summary!$F$2:$F$201,MATCH($B3677,Summary!$A$2:$A$201,0))</f>
        <v>20</v>
      </c>
      <c r="M3677" s="0" t="n">
        <f aca="false">INDEX(Summary!$I$2:$I$201,MATCH($B3677,Summary!$A$2:$A$201,0))</f>
        <v>3</v>
      </c>
      <c r="N3677" s="0" t="n">
        <f aca="false">INDEX(Summary!$J$2:$J$201,MATCH($B3677,Summary!$A$2:$A$201,0))</f>
        <v>2</v>
      </c>
      <c r="O3677" s="2" t="n">
        <f aca="false">INDEX(Summary!$K$2:$K$201,MATCH($B3677,Summary!$A$2:$A$201,0))</f>
        <v>9.32</v>
      </c>
      <c r="P3677" s="3" t="n">
        <f aca="false">INDEX(Summary!$L$2:$L$201,MATCH($B3677,Summary!$A$2:$A$201,0))</f>
        <v>5</v>
      </c>
      <c r="Q3677" s="3" t="n">
        <f aca="false">INDEX(Summary!$M$2:$M$201,MATCH($B3677,Summary!$A$2:$A$201,0))</f>
        <v>1</v>
      </c>
      <c r="R3677" s="2" t="n">
        <f aca="false">INDEX(Summary!$N$2:$N$201,MATCH($B3677,Summary!$A$2:$A$201,0))</f>
        <v>9.34</v>
      </c>
      <c r="S3677" s="3" t="n">
        <f aca="false">INDEX(Summary!$O$2:$O$201,MATCH($B3677,Summary!$A$2:$A$201,0))</f>
        <v>8</v>
      </c>
      <c r="T3677" s="3" t="n">
        <f aca="false">INDEX(Summary!$P$2:$P$201,MATCH($B3677,Summary!$A$2:$A$201,0))</f>
        <v>1</v>
      </c>
      <c r="U3677" s="2" t="n">
        <f aca="false">INDEX(Summary!$Q$2:$Q$201,MATCH($B3677,Summary!$A$2:$A$201,0))</f>
        <v>12.93</v>
      </c>
      <c r="V3677" s="2" t="n">
        <f aca="false">INDEX(Summary!$R$2:$R$201,MATCH($B3677,Summary!$A$2:$A$201,0))</f>
        <v>30.32</v>
      </c>
      <c r="W3677" s="0" t="str">
        <f aca="false">INDEX(Summary!$S$2:$S$201,MATCH($B3677,Summary!$A$2:$A$201,0))</f>
        <v>Gold</v>
      </c>
      <c r="X3677" s="2" t="n">
        <f aca="false">INDEX(Summary!$T$2:$T$201,MATCH($B3677,Summary!$A$2:$A$201,0))</f>
        <v>73.95</v>
      </c>
      <c r="Y3677" s="0" t="str">
        <f aca="false">INDEX('Reward Model'!$E$18:$E$37,MATCH($E3677,'Reward Model'!$A$18:$A$37,0))</f>
        <v>High</v>
      </c>
      <c r="Z3677" s="4" t="n">
        <f aca="false">ROUND(MIN(1,MAX('Reward Model'!$B$2,INDEX('Reward Model'!$C$12:$C$14,MATCH($K3677,'Reward Model'!$A$12:$A$14,0))/$J3677)),3)</f>
        <v>1</v>
      </c>
      <c r="AA3677" s="2" t="n">
        <f aca="false">IF($I3677="Correct",ROUND(INDEX('Reward Model'!$B$12:$B$14,MATCH($K3677,'Reward Model'!$A$12:$A$14,0))*Z3677,2),0)</f>
        <v>0</v>
      </c>
      <c r="AB3677" s="2" t="n">
        <f aca="false">IF($I3677="Correct",ROUND(INDEX('Reward Model'!$B$12:$B$14,MATCH($Y3677,'Reward Model'!$A$12:$A$14,0))*Z3677,2),0)</f>
        <v>0</v>
      </c>
    </row>
    <row r="3678" customFormat="false" ht="15" hidden="false" customHeight="false" outlineLevel="0" collapsed="false">
      <c r="A3678" s="0" t="s">
        <v>498</v>
      </c>
      <c r="B3678" s="0" t="s">
        <v>499</v>
      </c>
      <c r="C3678" s="0" t="s">
        <v>322</v>
      </c>
      <c r="D3678" s="0" t="s">
        <v>275</v>
      </c>
      <c r="E3678" s="0" t="n">
        <v>17</v>
      </c>
      <c r="F3678" s="0" t="s">
        <v>74</v>
      </c>
      <c r="G3678" s="0" t="s">
        <v>75</v>
      </c>
      <c r="H3678" s="0" t="s">
        <v>75</v>
      </c>
      <c r="I3678" s="0" t="s">
        <v>34</v>
      </c>
      <c r="J3678" s="0" t="n">
        <v>2.25</v>
      </c>
      <c r="K3678" s="0" t="s">
        <v>73</v>
      </c>
      <c r="L3678" s="0" t="n">
        <f aca="false">INDEX(Summary!$F$2:$F$201,MATCH($B3678,Summary!$A$2:$A$201,0))</f>
        <v>20</v>
      </c>
      <c r="M3678" s="0" t="n">
        <f aca="false">INDEX(Summary!$I$2:$I$201,MATCH($B3678,Summary!$A$2:$A$201,0))</f>
        <v>3</v>
      </c>
      <c r="N3678" s="0" t="n">
        <f aca="false">INDEX(Summary!$J$2:$J$201,MATCH($B3678,Summary!$A$2:$A$201,0))</f>
        <v>2</v>
      </c>
      <c r="O3678" s="2" t="n">
        <f aca="false">INDEX(Summary!$K$2:$K$201,MATCH($B3678,Summary!$A$2:$A$201,0))</f>
        <v>9.32</v>
      </c>
      <c r="P3678" s="3" t="n">
        <f aca="false">INDEX(Summary!$L$2:$L$201,MATCH($B3678,Summary!$A$2:$A$201,0))</f>
        <v>5</v>
      </c>
      <c r="Q3678" s="3" t="n">
        <f aca="false">INDEX(Summary!$M$2:$M$201,MATCH($B3678,Summary!$A$2:$A$201,0))</f>
        <v>1</v>
      </c>
      <c r="R3678" s="2" t="n">
        <f aca="false">INDEX(Summary!$N$2:$N$201,MATCH($B3678,Summary!$A$2:$A$201,0))</f>
        <v>9.34</v>
      </c>
      <c r="S3678" s="3" t="n">
        <f aca="false">INDEX(Summary!$O$2:$O$201,MATCH($B3678,Summary!$A$2:$A$201,0))</f>
        <v>8</v>
      </c>
      <c r="T3678" s="3" t="n">
        <f aca="false">INDEX(Summary!$P$2:$P$201,MATCH($B3678,Summary!$A$2:$A$201,0))</f>
        <v>1</v>
      </c>
      <c r="U3678" s="2" t="n">
        <f aca="false">INDEX(Summary!$Q$2:$Q$201,MATCH($B3678,Summary!$A$2:$A$201,0))</f>
        <v>12.93</v>
      </c>
      <c r="V3678" s="2" t="n">
        <f aca="false">INDEX(Summary!$R$2:$R$201,MATCH($B3678,Summary!$A$2:$A$201,0))</f>
        <v>30.32</v>
      </c>
      <c r="W3678" s="0" t="str">
        <f aca="false">INDEX(Summary!$S$2:$S$201,MATCH($B3678,Summary!$A$2:$A$201,0))</f>
        <v>Gold</v>
      </c>
      <c r="X3678" s="2" t="n">
        <f aca="false">INDEX(Summary!$T$2:$T$201,MATCH($B3678,Summary!$A$2:$A$201,0))</f>
        <v>73.95</v>
      </c>
      <c r="Y3678" s="0" t="str">
        <f aca="false">INDEX('Reward Model'!$E$18:$E$37,MATCH($E3678,'Reward Model'!$A$18:$A$37,0))</f>
        <v>High</v>
      </c>
      <c r="Z3678" s="4" t="n">
        <f aca="false">ROUND(MIN(1,MAX('Reward Model'!$B$2,INDEX('Reward Model'!$C$12:$C$14,MATCH($K3678,'Reward Model'!$A$12:$A$14,0))/$J3678)),3)</f>
        <v>0.889</v>
      </c>
      <c r="AA3678" s="2" t="n">
        <f aca="false">IF($I3678="Correct",ROUND(INDEX('Reward Model'!$B$12:$B$14,MATCH($K3678,'Reward Model'!$A$12:$A$14,0))*Z3678,2),0)</f>
        <v>2.67</v>
      </c>
      <c r="AB3678" s="2" t="n">
        <f aca="false">IF($I3678="Correct",ROUND(INDEX('Reward Model'!$B$12:$B$14,MATCH($Y3678,'Reward Model'!$A$12:$A$14,0))*Z3678,2),0)</f>
        <v>2.67</v>
      </c>
    </row>
    <row r="3679" customFormat="false" ht="15" hidden="false" customHeight="false" outlineLevel="0" collapsed="false">
      <c r="A3679" s="0" t="s">
        <v>498</v>
      </c>
      <c r="B3679" s="0" t="s">
        <v>499</v>
      </c>
      <c r="C3679" s="0" t="s">
        <v>322</v>
      </c>
      <c r="D3679" s="0" t="s">
        <v>275</v>
      </c>
      <c r="E3679" s="0" t="n">
        <v>18</v>
      </c>
      <c r="F3679" s="0" t="s">
        <v>76</v>
      </c>
      <c r="G3679" s="0" t="s">
        <v>128</v>
      </c>
      <c r="H3679" s="0" t="s">
        <v>77</v>
      </c>
      <c r="I3679" s="0" t="s">
        <v>39</v>
      </c>
      <c r="J3679" s="0" t="n">
        <v>1.77</v>
      </c>
      <c r="K3679" s="0" t="s">
        <v>73</v>
      </c>
      <c r="L3679" s="0" t="n">
        <f aca="false">INDEX(Summary!$F$2:$F$201,MATCH($B3679,Summary!$A$2:$A$201,0))</f>
        <v>20</v>
      </c>
      <c r="M3679" s="0" t="n">
        <f aca="false">INDEX(Summary!$I$2:$I$201,MATCH($B3679,Summary!$A$2:$A$201,0))</f>
        <v>3</v>
      </c>
      <c r="N3679" s="0" t="n">
        <f aca="false">INDEX(Summary!$J$2:$J$201,MATCH($B3679,Summary!$A$2:$A$201,0))</f>
        <v>2</v>
      </c>
      <c r="O3679" s="2" t="n">
        <f aca="false">INDEX(Summary!$K$2:$K$201,MATCH($B3679,Summary!$A$2:$A$201,0))</f>
        <v>9.32</v>
      </c>
      <c r="P3679" s="3" t="n">
        <f aca="false">INDEX(Summary!$L$2:$L$201,MATCH($B3679,Summary!$A$2:$A$201,0))</f>
        <v>5</v>
      </c>
      <c r="Q3679" s="3" t="n">
        <f aca="false">INDEX(Summary!$M$2:$M$201,MATCH($B3679,Summary!$A$2:$A$201,0))</f>
        <v>1</v>
      </c>
      <c r="R3679" s="2" t="n">
        <f aca="false">INDEX(Summary!$N$2:$N$201,MATCH($B3679,Summary!$A$2:$A$201,0))</f>
        <v>9.34</v>
      </c>
      <c r="S3679" s="3" t="n">
        <f aca="false">INDEX(Summary!$O$2:$O$201,MATCH($B3679,Summary!$A$2:$A$201,0))</f>
        <v>8</v>
      </c>
      <c r="T3679" s="3" t="n">
        <f aca="false">INDEX(Summary!$P$2:$P$201,MATCH($B3679,Summary!$A$2:$A$201,0))</f>
        <v>1</v>
      </c>
      <c r="U3679" s="2" t="n">
        <f aca="false">INDEX(Summary!$Q$2:$Q$201,MATCH($B3679,Summary!$A$2:$A$201,0))</f>
        <v>12.93</v>
      </c>
      <c r="V3679" s="2" t="n">
        <f aca="false">INDEX(Summary!$R$2:$R$201,MATCH($B3679,Summary!$A$2:$A$201,0))</f>
        <v>30.32</v>
      </c>
      <c r="W3679" s="0" t="str">
        <f aca="false">INDEX(Summary!$S$2:$S$201,MATCH($B3679,Summary!$A$2:$A$201,0))</f>
        <v>Gold</v>
      </c>
      <c r="X3679" s="2" t="n">
        <f aca="false">INDEX(Summary!$T$2:$T$201,MATCH($B3679,Summary!$A$2:$A$201,0))</f>
        <v>73.95</v>
      </c>
      <c r="Y3679" s="0" t="str">
        <f aca="false">INDEX('Reward Model'!$E$18:$E$37,MATCH($E3679,'Reward Model'!$A$18:$A$37,0))</f>
        <v>High</v>
      </c>
      <c r="Z3679" s="4" t="n">
        <f aca="false">ROUND(MIN(1,MAX('Reward Model'!$B$2,INDEX('Reward Model'!$C$12:$C$14,MATCH($K3679,'Reward Model'!$A$12:$A$14,0))/$J3679)),3)</f>
        <v>1</v>
      </c>
      <c r="AA3679" s="2" t="n">
        <f aca="false">IF($I3679="Correct",ROUND(INDEX('Reward Model'!$B$12:$B$14,MATCH($K3679,'Reward Model'!$A$12:$A$14,0))*Z3679,2),0)</f>
        <v>0</v>
      </c>
      <c r="AB3679" s="2" t="n">
        <f aca="false">IF($I3679="Correct",ROUND(INDEX('Reward Model'!$B$12:$B$14,MATCH($Y3679,'Reward Model'!$A$12:$A$14,0))*Z3679,2),0)</f>
        <v>0</v>
      </c>
    </row>
    <row r="3680" customFormat="false" ht="15" hidden="false" customHeight="false" outlineLevel="0" collapsed="false">
      <c r="A3680" s="0" t="s">
        <v>498</v>
      </c>
      <c r="B3680" s="0" t="s">
        <v>499</v>
      </c>
      <c r="C3680" s="0" t="s">
        <v>322</v>
      </c>
      <c r="D3680" s="0" t="s">
        <v>275</v>
      </c>
      <c r="E3680" s="0" t="n">
        <v>19</v>
      </c>
      <c r="F3680" s="0" t="s">
        <v>78</v>
      </c>
      <c r="G3680" s="0" t="s">
        <v>80</v>
      </c>
      <c r="H3680" s="0" t="s">
        <v>80</v>
      </c>
      <c r="I3680" s="0" t="s">
        <v>34</v>
      </c>
      <c r="J3680" s="0" t="n">
        <v>2.45</v>
      </c>
      <c r="K3680" s="0" t="s">
        <v>73</v>
      </c>
      <c r="L3680" s="0" t="n">
        <f aca="false">INDEX(Summary!$F$2:$F$201,MATCH($B3680,Summary!$A$2:$A$201,0))</f>
        <v>20</v>
      </c>
      <c r="M3680" s="0" t="n">
        <f aca="false">INDEX(Summary!$I$2:$I$201,MATCH($B3680,Summary!$A$2:$A$201,0))</f>
        <v>3</v>
      </c>
      <c r="N3680" s="0" t="n">
        <f aca="false">INDEX(Summary!$J$2:$J$201,MATCH($B3680,Summary!$A$2:$A$201,0))</f>
        <v>2</v>
      </c>
      <c r="O3680" s="2" t="n">
        <f aca="false">INDEX(Summary!$K$2:$K$201,MATCH($B3680,Summary!$A$2:$A$201,0))</f>
        <v>9.32</v>
      </c>
      <c r="P3680" s="3" t="n">
        <f aca="false">INDEX(Summary!$L$2:$L$201,MATCH($B3680,Summary!$A$2:$A$201,0))</f>
        <v>5</v>
      </c>
      <c r="Q3680" s="3" t="n">
        <f aca="false">INDEX(Summary!$M$2:$M$201,MATCH($B3680,Summary!$A$2:$A$201,0))</f>
        <v>1</v>
      </c>
      <c r="R3680" s="2" t="n">
        <f aca="false">INDEX(Summary!$N$2:$N$201,MATCH($B3680,Summary!$A$2:$A$201,0))</f>
        <v>9.34</v>
      </c>
      <c r="S3680" s="3" t="n">
        <f aca="false">INDEX(Summary!$O$2:$O$201,MATCH($B3680,Summary!$A$2:$A$201,0))</f>
        <v>8</v>
      </c>
      <c r="T3680" s="3" t="n">
        <f aca="false">INDEX(Summary!$P$2:$P$201,MATCH($B3680,Summary!$A$2:$A$201,0))</f>
        <v>1</v>
      </c>
      <c r="U3680" s="2" t="n">
        <f aca="false">INDEX(Summary!$Q$2:$Q$201,MATCH($B3680,Summary!$A$2:$A$201,0))</f>
        <v>12.93</v>
      </c>
      <c r="V3680" s="2" t="n">
        <f aca="false">INDEX(Summary!$R$2:$R$201,MATCH($B3680,Summary!$A$2:$A$201,0))</f>
        <v>30.32</v>
      </c>
      <c r="W3680" s="0" t="str">
        <f aca="false">INDEX(Summary!$S$2:$S$201,MATCH($B3680,Summary!$A$2:$A$201,0))</f>
        <v>Gold</v>
      </c>
      <c r="X3680" s="2" t="n">
        <f aca="false">INDEX(Summary!$T$2:$T$201,MATCH($B3680,Summary!$A$2:$A$201,0))</f>
        <v>73.95</v>
      </c>
      <c r="Y3680" s="0" t="str">
        <f aca="false">INDEX('Reward Model'!$E$18:$E$37,MATCH($E3680,'Reward Model'!$A$18:$A$37,0))</f>
        <v>High</v>
      </c>
      <c r="Z3680" s="4" t="n">
        <f aca="false">ROUND(MIN(1,MAX('Reward Model'!$B$2,INDEX('Reward Model'!$C$12:$C$14,MATCH($K3680,'Reward Model'!$A$12:$A$14,0))/$J3680)),3)</f>
        <v>0.816</v>
      </c>
      <c r="AA3680" s="2" t="n">
        <f aca="false">IF($I3680="Correct",ROUND(INDEX('Reward Model'!$B$12:$B$14,MATCH($K3680,'Reward Model'!$A$12:$A$14,0))*Z3680,2),0)</f>
        <v>2.45</v>
      </c>
      <c r="AB3680" s="2" t="n">
        <f aca="false">IF($I3680="Correct",ROUND(INDEX('Reward Model'!$B$12:$B$14,MATCH($Y3680,'Reward Model'!$A$12:$A$14,0))*Z3680,2),0)</f>
        <v>2.45</v>
      </c>
    </row>
    <row r="3681" customFormat="false" ht="15" hidden="false" customHeight="false" outlineLevel="0" collapsed="false">
      <c r="A3681" s="0" t="s">
        <v>498</v>
      </c>
      <c r="B3681" s="0" t="s">
        <v>499</v>
      </c>
      <c r="C3681" s="0" t="s">
        <v>322</v>
      </c>
      <c r="D3681" s="0" t="s">
        <v>275</v>
      </c>
      <c r="E3681" s="0" t="n">
        <v>20</v>
      </c>
      <c r="F3681" s="0" t="s">
        <v>81</v>
      </c>
      <c r="G3681" s="0" t="s">
        <v>83</v>
      </c>
      <c r="H3681" s="0" t="s">
        <v>83</v>
      </c>
      <c r="I3681" s="0" t="s">
        <v>34</v>
      </c>
      <c r="J3681" s="0" t="n">
        <v>1.33</v>
      </c>
      <c r="K3681" s="0" t="s">
        <v>73</v>
      </c>
      <c r="L3681" s="0" t="n">
        <f aca="false">INDEX(Summary!$F$2:$F$201,MATCH($B3681,Summary!$A$2:$A$201,0))</f>
        <v>20</v>
      </c>
      <c r="M3681" s="0" t="n">
        <f aca="false">INDEX(Summary!$I$2:$I$201,MATCH($B3681,Summary!$A$2:$A$201,0))</f>
        <v>3</v>
      </c>
      <c r="N3681" s="0" t="n">
        <f aca="false">INDEX(Summary!$J$2:$J$201,MATCH($B3681,Summary!$A$2:$A$201,0))</f>
        <v>2</v>
      </c>
      <c r="O3681" s="2" t="n">
        <f aca="false">INDEX(Summary!$K$2:$K$201,MATCH($B3681,Summary!$A$2:$A$201,0))</f>
        <v>9.32</v>
      </c>
      <c r="P3681" s="3" t="n">
        <f aca="false">INDEX(Summary!$L$2:$L$201,MATCH($B3681,Summary!$A$2:$A$201,0))</f>
        <v>5</v>
      </c>
      <c r="Q3681" s="3" t="n">
        <f aca="false">INDEX(Summary!$M$2:$M$201,MATCH($B3681,Summary!$A$2:$A$201,0))</f>
        <v>1</v>
      </c>
      <c r="R3681" s="2" t="n">
        <f aca="false">INDEX(Summary!$N$2:$N$201,MATCH($B3681,Summary!$A$2:$A$201,0))</f>
        <v>9.34</v>
      </c>
      <c r="S3681" s="3" t="n">
        <f aca="false">INDEX(Summary!$O$2:$O$201,MATCH($B3681,Summary!$A$2:$A$201,0))</f>
        <v>8</v>
      </c>
      <c r="T3681" s="3" t="n">
        <f aca="false">INDEX(Summary!$P$2:$P$201,MATCH($B3681,Summary!$A$2:$A$201,0))</f>
        <v>1</v>
      </c>
      <c r="U3681" s="2" t="n">
        <f aca="false">INDEX(Summary!$Q$2:$Q$201,MATCH($B3681,Summary!$A$2:$A$201,0))</f>
        <v>12.93</v>
      </c>
      <c r="V3681" s="2" t="n">
        <f aca="false">INDEX(Summary!$R$2:$R$201,MATCH($B3681,Summary!$A$2:$A$201,0))</f>
        <v>30.32</v>
      </c>
      <c r="W3681" s="0" t="str">
        <f aca="false">INDEX(Summary!$S$2:$S$201,MATCH($B3681,Summary!$A$2:$A$201,0))</f>
        <v>Gold</v>
      </c>
      <c r="X3681" s="2" t="n">
        <f aca="false">INDEX(Summary!$T$2:$T$201,MATCH($B3681,Summary!$A$2:$A$201,0))</f>
        <v>73.95</v>
      </c>
      <c r="Y3681" s="0" t="str">
        <f aca="false">INDEX('Reward Model'!$E$18:$E$37,MATCH($E3681,'Reward Model'!$A$18:$A$37,0))</f>
        <v>High</v>
      </c>
      <c r="Z3681" s="4" t="n">
        <f aca="false">ROUND(MIN(1,MAX('Reward Model'!$B$2,INDEX('Reward Model'!$C$12:$C$14,MATCH($K3681,'Reward Model'!$A$12:$A$14,0))/$J3681)),3)</f>
        <v>1</v>
      </c>
      <c r="AA3681" s="2" t="n">
        <f aca="false">IF($I3681="Correct",ROUND(INDEX('Reward Model'!$B$12:$B$14,MATCH($K3681,'Reward Model'!$A$12:$A$14,0))*Z3681,2),0)</f>
        <v>3</v>
      </c>
      <c r="AB3681" s="2" t="n">
        <f aca="false">IF($I3681="Correct",ROUND(INDEX('Reward Model'!$B$12:$B$14,MATCH($Y3681,'Reward Model'!$A$12:$A$14,0))*Z3681,2),0)</f>
        <v>3</v>
      </c>
    </row>
    <row r="3682" customFormat="false" ht="15" hidden="false" customHeight="false" outlineLevel="0" collapsed="false">
      <c r="A3682" s="0" t="s">
        <v>500</v>
      </c>
      <c r="B3682" s="0" t="s">
        <v>501</v>
      </c>
      <c r="C3682" s="0" t="s">
        <v>322</v>
      </c>
      <c r="D3682" s="0" t="s">
        <v>275</v>
      </c>
      <c r="E3682" s="0" t="n">
        <v>1</v>
      </c>
      <c r="F3682" s="0" t="s">
        <v>32</v>
      </c>
      <c r="G3682" s="0" t="s">
        <v>33</v>
      </c>
      <c r="H3682" s="0" t="s">
        <v>33</v>
      </c>
      <c r="I3682" s="0" t="s">
        <v>34</v>
      </c>
      <c r="J3682" s="0" t="n">
        <v>1.91</v>
      </c>
      <c r="K3682" s="0" t="s">
        <v>35</v>
      </c>
      <c r="L3682" s="0" t="n">
        <f aca="false">INDEX(Summary!$F$2:$F$201,MATCH($B3682,Summary!$A$2:$A$201,0))</f>
        <v>20</v>
      </c>
      <c r="M3682" s="0" t="n">
        <f aca="false">INDEX(Summary!$I$2:$I$201,MATCH($B3682,Summary!$A$2:$A$201,0))</f>
        <v>2</v>
      </c>
      <c r="N3682" s="0" t="n">
        <f aca="false">INDEX(Summary!$J$2:$J$201,MATCH($B3682,Summary!$A$2:$A$201,0))</f>
        <v>3</v>
      </c>
      <c r="O3682" s="2" t="n">
        <f aca="false">INDEX(Summary!$K$2:$K$201,MATCH($B3682,Summary!$A$2:$A$201,0))</f>
        <v>8.24</v>
      </c>
      <c r="P3682" s="3" t="n">
        <f aca="false">INDEX(Summary!$L$2:$L$201,MATCH($B3682,Summary!$A$2:$A$201,0))</f>
        <v>5</v>
      </c>
      <c r="Q3682" s="3" t="n">
        <f aca="false">INDEX(Summary!$M$2:$M$201,MATCH($B3682,Summary!$A$2:$A$201,0))</f>
        <v>1</v>
      </c>
      <c r="R3682" s="2" t="n">
        <f aca="false">INDEX(Summary!$N$2:$N$201,MATCH($B3682,Summary!$A$2:$A$201,0))</f>
        <v>10.21</v>
      </c>
      <c r="S3682" s="3" t="n">
        <f aca="false">INDEX(Summary!$O$2:$O$201,MATCH($B3682,Summary!$A$2:$A$201,0))</f>
        <v>8</v>
      </c>
      <c r="T3682" s="3" t="n">
        <f aca="false">INDEX(Summary!$P$2:$P$201,MATCH($B3682,Summary!$A$2:$A$201,0))</f>
        <v>1</v>
      </c>
      <c r="U3682" s="2" t="n">
        <f aca="false">INDEX(Summary!$Q$2:$Q$201,MATCH($B3682,Summary!$A$2:$A$201,0))</f>
        <v>14.1</v>
      </c>
      <c r="V3682" s="2" t="n">
        <f aca="false">INDEX(Summary!$R$2:$R$201,MATCH($B3682,Summary!$A$2:$A$201,0))</f>
        <v>26.34</v>
      </c>
      <c r="W3682" s="0" t="str">
        <f aca="false">INDEX(Summary!$S$2:$S$201,MATCH($B3682,Summary!$A$2:$A$201,0))</f>
        <v>Silver</v>
      </c>
      <c r="X3682" s="2" t="n">
        <f aca="false">INDEX(Summary!$T$2:$T$201,MATCH($B3682,Summary!$A$2:$A$201,0))</f>
        <v>64.24</v>
      </c>
      <c r="Y3682" s="0" t="str">
        <f aca="false">INDEX('Reward Model'!$E$18:$E$37,MATCH($E3682,'Reward Model'!$A$18:$A$37,0))</f>
        <v>Medium</v>
      </c>
      <c r="Z3682" s="4" t="n">
        <f aca="false">ROUND(MIN(1,MAX('Reward Model'!$B$2,INDEX('Reward Model'!$C$12:$C$14,MATCH($K3682,'Reward Model'!$A$12:$A$14,0))/$J3682)),3)</f>
        <v>0.785</v>
      </c>
      <c r="AA3682" s="2" t="n">
        <f aca="false">IF($I3682="Correct",ROUND(INDEX('Reward Model'!$B$12:$B$14,MATCH($K3682,'Reward Model'!$A$12:$A$14,0))*Z3682,2),0)</f>
        <v>0.79</v>
      </c>
      <c r="AB3682" s="2" t="n">
        <f aca="false">IF($I3682="Correct",ROUND(INDEX('Reward Model'!$B$12:$B$14,MATCH($Y3682,'Reward Model'!$A$12:$A$14,0))*Z3682,2),0)</f>
        <v>1.57</v>
      </c>
    </row>
    <row r="3683" customFormat="false" ht="15" hidden="false" customHeight="false" outlineLevel="0" collapsed="false">
      <c r="A3683" s="0" t="s">
        <v>500</v>
      </c>
      <c r="B3683" s="0" t="s">
        <v>501</v>
      </c>
      <c r="C3683" s="0" t="s">
        <v>322</v>
      </c>
      <c r="D3683" s="0" t="s">
        <v>275</v>
      </c>
      <c r="E3683" s="0" t="n">
        <v>2</v>
      </c>
      <c r="F3683" s="0" t="s">
        <v>36</v>
      </c>
      <c r="G3683" s="0" t="s">
        <v>38</v>
      </c>
      <c r="H3683" s="0" t="s">
        <v>38</v>
      </c>
      <c r="I3683" s="0" t="s">
        <v>34</v>
      </c>
      <c r="J3683" s="0" t="n">
        <v>1.58</v>
      </c>
      <c r="K3683" s="0" t="s">
        <v>35</v>
      </c>
      <c r="L3683" s="0" t="n">
        <f aca="false">INDEX(Summary!$F$2:$F$201,MATCH($B3683,Summary!$A$2:$A$201,0))</f>
        <v>20</v>
      </c>
      <c r="M3683" s="0" t="n">
        <f aca="false">INDEX(Summary!$I$2:$I$201,MATCH($B3683,Summary!$A$2:$A$201,0))</f>
        <v>2</v>
      </c>
      <c r="N3683" s="0" t="n">
        <f aca="false">INDEX(Summary!$J$2:$J$201,MATCH($B3683,Summary!$A$2:$A$201,0))</f>
        <v>3</v>
      </c>
      <c r="O3683" s="2" t="n">
        <f aca="false">INDEX(Summary!$K$2:$K$201,MATCH($B3683,Summary!$A$2:$A$201,0))</f>
        <v>8.24</v>
      </c>
      <c r="P3683" s="3" t="n">
        <f aca="false">INDEX(Summary!$L$2:$L$201,MATCH($B3683,Summary!$A$2:$A$201,0))</f>
        <v>5</v>
      </c>
      <c r="Q3683" s="3" t="n">
        <f aca="false">INDEX(Summary!$M$2:$M$201,MATCH($B3683,Summary!$A$2:$A$201,0))</f>
        <v>1</v>
      </c>
      <c r="R3683" s="2" t="n">
        <f aca="false">INDEX(Summary!$N$2:$N$201,MATCH($B3683,Summary!$A$2:$A$201,0))</f>
        <v>10.21</v>
      </c>
      <c r="S3683" s="3" t="n">
        <f aca="false">INDEX(Summary!$O$2:$O$201,MATCH($B3683,Summary!$A$2:$A$201,0))</f>
        <v>8</v>
      </c>
      <c r="T3683" s="3" t="n">
        <f aca="false">INDEX(Summary!$P$2:$P$201,MATCH($B3683,Summary!$A$2:$A$201,0))</f>
        <v>1</v>
      </c>
      <c r="U3683" s="2" t="n">
        <f aca="false">INDEX(Summary!$Q$2:$Q$201,MATCH($B3683,Summary!$A$2:$A$201,0))</f>
        <v>14.1</v>
      </c>
      <c r="V3683" s="2" t="n">
        <f aca="false">INDEX(Summary!$R$2:$R$201,MATCH($B3683,Summary!$A$2:$A$201,0))</f>
        <v>26.34</v>
      </c>
      <c r="W3683" s="0" t="str">
        <f aca="false">INDEX(Summary!$S$2:$S$201,MATCH($B3683,Summary!$A$2:$A$201,0))</f>
        <v>Silver</v>
      </c>
      <c r="X3683" s="2" t="n">
        <f aca="false">INDEX(Summary!$T$2:$T$201,MATCH($B3683,Summary!$A$2:$A$201,0))</f>
        <v>64.24</v>
      </c>
      <c r="Y3683" s="0" t="str">
        <f aca="false">INDEX('Reward Model'!$E$18:$E$37,MATCH($E3683,'Reward Model'!$A$18:$A$37,0))</f>
        <v>Low</v>
      </c>
      <c r="Z3683" s="4" t="n">
        <f aca="false">ROUND(MIN(1,MAX('Reward Model'!$B$2,INDEX('Reward Model'!$C$12:$C$14,MATCH($K3683,'Reward Model'!$A$12:$A$14,0))/$J3683)),3)</f>
        <v>0.949</v>
      </c>
      <c r="AA3683" s="2" t="n">
        <f aca="false">IF($I3683="Correct",ROUND(INDEX('Reward Model'!$B$12:$B$14,MATCH($K3683,'Reward Model'!$A$12:$A$14,0))*Z3683,2),0)</f>
        <v>0.95</v>
      </c>
      <c r="AB3683" s="2" t="n">
        <f aca="false">IF($I3683="Correct",ROUND(INDEX('Reward Model'!$B$12:$B$14,MATCH($Y3683,'Reward Model'!$A$12:$A$14,0))*Z3683,2),0)</f>
        <v>0.95</v>
      </c>
    </row>
    <row r="3684" customFormat="false" ht="15" hidden="false" customHeight="false" outlineLevel="0" collapsed="false">
      <c r="A3684" s="0" t="s">
        <v>500</v>
      </c>
      <c r="B3684" s="0" t="s">
        <v>501</v>
      </c>
      <c r="C3684" s="0" t="s">
        <v>322</v>
      </c>
      <c r="D3684" s="0" t="s">
        <v>275</v>
      </c>
      <c r="E3684" s="0" t="n">
        <v>3</v>
      </c>
      <c r="F3684" s="0" t="s">
        <v>40</v>
      </c>
      <c r="G3684" s="0" t="s">
        <v>123</v>
      </c>
      <c r="H3684" s="0" t="s">
        <v>42</v>
      </c>
      <c r="I3684" s="0" t="s">
        <v>39</v>
      </c>
      <c r="J3684" s="0" t="n">
        <v>1.69</v>
      </c>
      <c r="K3684" s="0" t="s">
        <v>35</v>
      </c>
      <c r="L3684" s="0" t="n">
        <f aca="false">INDEX(Summary!$F$2:$F$201,MATCH($B3684,Summary!$A$2:$A$201,0))</f>
        <v>20</v>
      </c>
      <c r="M3684" s="0" t="n">
        <f aca="false">INDEX(Summary!$I$2:$I$201,MATCH($B3684,Summary!$A$2:$A$201,0))</f>
        <v>2</v>
      </c>
      <c r="N3684" s="0" t="n">
        <f aca="false">INDEX(Summary!$J$2:$J$201,MATCH($B3684,Summary!$A$2:$A$201,0))</f>
        <v>3</v>
      </c>
      <c r="O3684" s="2" t="n">
        <f aca="false">INDEX(Summary!$K$2:$K$201,MATCH($B3684,Summary!$A$2:$A$201,0))</f>
        <v>8.24</v>
      </c>
      <c r="P3684" s="3" t="n">
        <f aca="false">INDEX(Summary!$L$2:$L$201,MATCH($B3684,Summary!$A$2:$A$201,0))</f>
        <v>5</v>
      </c>
      <c r="Q3684" s="3" t="n">
        <f aca="false">INDEX(Summary!$M$2:$M$201,MATCH($B3684,Summary!$A$2:$A$201,0))</f>
        <v>1</v>
      </c>
      <c r="R3684" s="2" t="n">
        <f aca="false">INDEX(Summary!$N$2:$N$201,MATCH($B3684,Summary!$A$2:$A$201,0))</f>
        <v>10.21</v>
      </c>
      <c r="S3684" s="3" t="n">
        <f aca="false">INDEX(Summary!$O$2:$O$201,MATCH($B3684,Summary!$A$2:$A$201,0))</f>
        <v>8</v>
      </c>
      <c r="T3684" s="3" t="n">
        <f aca="false">INDEX(Summary!$P$2:$P$201,MATCH($B3684,Summary!$A$2:$A$201,0))</f>
        <v>1</v>
      </c>
      <c r="U3684" s="2" t="n">
        <f aca="false">INDEX(Summary!$Q$2:$Q$201,MATCH($B3684,Summary!$A$2:$A$201,0))</f>
        <v>14.1</v>
      </c>
      <c r="V3684" s="2" t="n">
        <f aca="false">INDEX(Summary!$R$2:$R$201,MATCH($B3684,Summary!$A$2:$A$201,0))</f>
        <v>26.34</v>
      </c>
      <c r="W3684" s="0" t="str">
        <f aca="false">INDEX(Summary!$S$2:$S$201,MATCH($B3684,Summary!$A$2:$A$201,0))</f>
        <v>Silver</v>
      </c>
      <c r="X3684" s="2" t="n">
        <f aca="false">INDEX(Summary!$T$2:$T$201,MATCH($B3684,Summary!$A$2:$A$201,0))</f>
        <v>64.24</v>
      </c>
      <c r="Y3684" s="0" t="str">
        <f aca="false">INDEX('Reward Model'!$E$18:$E$37,MATCH($E3684,'Reward Model'!$A$18:$A$37,0))</f>
        <v>Medium</v>
      </c>
      <c r="Z3684" s="4" t="n">
        <f aca="false">ROUND(MIN(1,MAX('Reward Model'!$B$2,INDEX('Reward Model'!$C$12:$C$14,MATCH($K3684,'Reward Model'!$A$12:$A$14,0))/$J3684)),3)</f>
        <v>0.888</v>
      </c>
      <c r="AA3684" s="2" t="n">
        <f aca="false">IF($I3684="Correct",ROUND(INDEX('Reward Model'!$B$12:$B$14,MATCH($K3684,'Reward Model'!$A$12:$A$14,0))*Z3684,2),0)</f>
        <v>0</v>
      </c>
      <c r="AB3684" s="2" t="n">
        <f aca="false">IF($I3684="Correct",ROUND(INDEX('Reward Model'!$B$12:$B$14,MATCH($Y3684,'Reward Model'!$A$12:$A$14,0))*Z3684,2),0)</f>
        <v>0</v>
      </c>
    </row>
    <row r="3685" customFormat="false" ht="15" hidden="false" customHeight="false" outlineLevel="0" collapsed="false">
      <c r="A3685" s="0" t="s">
        <v>500</v>
      </c>
      <c r="B3685" s="0" t="s">
        <v>501</v>
      </c>
      <c r="C3685" s="0" t="s">
        <v>322</v>
      </c>
      <c r="D3685" s="0" t="s">
        <v>275</v>
      </c>
      <c r="E3685" s="0" t="n">
        <v>4</v>
      </c>
      <c r="F3685" s="0" t="s">
        <v>43</v>
      </c>
      <c r="G3685" s="0" t="s">
        <v>45</v>
      </c>
      <c r="H3685" s="0" t="s">
        <v>45</v>
      </c>
      <c r="I3685" s="0" t="s">
        <v>34</v>
      </c>
      <c r="J3685" s="0" t="n">
        <v>1.51</v>
      </c>
      <c r="K3685" s="0" t="s">
        <v>35</v>
      </c>
      <c r="L3685" s="0" t="n">
        <f aca="false">INDEX(Summary!$F$2:$F$201,MATCH($B3685,Summary!$A$2:$A$201,0))</f>
        <v>20</v>
      </c>
      <c r="M3685" s="0" t="n">
        <f aca="false">INDEX(Summary!$I$2:$I$201,MATCH($B3685,Summary!$A$2:$A$201,0))</f>
        <v>2</v>
      </c>
      <c r="N3685" s="0" t="n">
        <f aca="false">INDEX(Summary!$J$2:$J$201,MATCH($B3685,Summary!$A$2:$A$201,0))</f>
        <v>3</v>
      </c>
      <c r="O3685" s="2" t="n">
        <f aca="false">INDEX(Summary!$K$2:$K$201,MATCH($B3685,Summary!$A$2:$A$201,0))</f>
        <v>8.24</v>
      </c>
      <c r="P3685" s="3" t="n">
        <f aca="false">INDEX(Summary!$L$2:$L$201,MATCH($B3685,Summary!$A$2:$A$201,0))</f>
        <v>5</v>
      </c>
      <c r="Q3685" s="3" t="n">
        <f aca="false">INDEX(Summary!$M$2:$M$201,MATCH($B3685,Summary!$A$2:$A$201,0))</f>
        <v>1</v>
      </c>
      <c r="R3685" s="2" t="n">
        <f aca="false">INDEX(Summary!$N$2:$N$201,MATCH($B3685,Summary!$A$2:$A$201,0))</f>
        <v>10.21</v>
      </c>
      <c r="S3685" s="3" t="n">
        <f aca="false">INDEX(Summary!$O$2:$O$201,MATCH($B3685,Summary!$A$2:$A$201,0))</f>
        <v>8</v>
      </c>
      <c r="T3685" s="3" t="n">
        <f aca="false">INDEX(Summary!$P$2:$P$201,MATCH($B3685,Summary!$A$2:$A$201,0))</f>
        <v>1</v>
      </c>
      <c r="U3685" s="2" t="n">
        <f aca="false">INDEX(Summary!$Q$2:$Q$201,MATCH($B3685,Summary!$A$2:$A$201,0))</f>
        <v>14.1</v>
      </c>
      <c r="V3685" s="2" t="n">
        <f aca="false">INDEX(Summary!$R$2:$R$201,MATCH($B3685,Summary!$A$2:$A$201,0))</f>
        <v>26.34</v>
      </c>
      <c r="W3685" s="0" t="str">
        <f aca="false">INDEX(Summary!$S$2:$S$201,MATCH($B3685,Summary!$A$2:$A$201,0))</f>
        <v>Silver</v>
      </c>
      <c r="X3685" s="2" t="n">
        <f aca="false">INDEX(Summary!$T$2:$T$201,MATCH($B3685,Summary!$A$2:$A$201,0))</f>
        <v>64.24</v>
      </c>
      <c r="Y3685" s="0" t="str">
        <f aca="false">INDEX('Reward Model'!$E$18:$E$37,MATCH($E3685,'Reward Model'!$A$18:$A$37,0))</f>
        <v>Low</v>
      </c>
      <c r="Z3685" s="4" t="n">
        <f aca="false">ROUND(MIN(1,MAX('Reward Model'!$B$2,INDEX('Reward Model'!$C$12:$C$14,MATCH($K3685,'Reward Model'!$A$12:$A$14,0))/$J3685)),3)</f>
        <v>0.993</v>
      </c>
      <c r="AA3685" s="2" t="n">
        <f aca="false">IF($I3685="Correct",ROUND(INDEX('Reward Model'!$B$12:$B$14,MATCH($K3685,'Reward Model'!$A$12:$A$14,0))*Z3685,2),0)</f>
        <v>0.99</v>
      </c>
      <c r="AB3685" s="2" t="n">
        <f aca="false">IF($I3685="Correct",ROUND(INDEX('Reward Model'!$B$12:$B$14,MATCH($Y3685,'Reward Model'!$A$12:$A$14,0))*Z3685,2),0)</f>
        <v>0.99</v>
      </c>
    </row>
    <row r="3686" customFormat="false" ht="15" hidden="false" customHeight="false" outlineLevel="0" collapsed="false">
      <c r="A3686" s="0" t="s">
        <v>500</v>
      </c>
      <c r="B3686" s="0" t="s">
        <v>501</v>
      </c>
      <c r="C3686" s="0" t="s">
        <v>322</v>
      </c>
      <c r="D3686" s="0" t="s">
        <v>275</v>
      </c>
      <c r="E3686" s="0" t="n">
        <v>5</v>
      </c>
      <c r="F3686" s="0" t="s">
        <v>46</v>
      </c>
      <c r="G3686" s="0" t="s">
        <v>47</v>
      </c>
      <c r="H3686" s="0" t="s">
        <v>47</v>
      </c>
      <c r="I3686" s="0" t="s">
        <v>34</v>
      </c>
      <c r="J3686" s="0" t="n">
        <v>1.97</v>
      </c>
      <c r="K3686" s="0" t="s">
        <v>35</v>
      </c>
      <c r="L3686" s="0" t="n">
        <f aca="false">INDEX(Summary!$F$2:$F$201,MATCH($B3686,Summary!$A$2:$A$201,0))</f>
        <v>20</v>
      </c>
      <c r="M3686" s="0" t="n">
        <f aca="false">INDEX(Summary!$I$2:$I$201,MATCH($B3686,Summary!$A$2:$A$201,0))</f>
        <v>2</v>
      </c>
      <c r="N3686" s="0" t="n">
        <f aca="false">INDEX(Summary!$J$2:$J$201,MATCH($B3686,Summary!$A$2:$A$201,0))</f>
        <v>3</v>
      </c>
      <c r="O3686" s="2" t="n">
        <f aca="false">INDEX(Summary!$K$2:$K$201,MATCH($B3686,Summary!$A$2:$A$201,0))</f>
        <v>8.24</v>
      </c>
      <c r="P3686" s="3" t="n">
        <f aca="false">INDEX(Summary!$L$2:$L$201,MATCH($B3686,Summary!$A$2:$A$201,0))</f>
        <v>5</v>
      </c>
      <c r="Q3686" s="3" t="n">
        <f aca="false">INDEX(Summary!$M$2:$M$201,MATCH($B3686,Summary!$A$2:$A$201,0))</f>
        <v>1</v>
      </c>
      <c r="R3686" s="2" t="n">
        <f aca="false">INDEX(Summary!$N$2:$N$201,MATCH($B3686,Summary!$A$2:$A$201,0))</f>
        <v>10.21</v>
      </c>
      <c r="S3686" s="3" t="n">
        <f aca="false">INDEX(Summary!$O$2:$O$201,MATCH($B3686,Summary!$A$2:$A$201,0))</f>
        <v>8</v>
      </c>
      <c r="T3686" s="3" t="n">
        <f aca="false">INDEX(Summary!$P$2:$P$201,MATCH($B3686,Summary!$A$2:$A$201,0))</f>
        <v>1</v>
      </c>
      <c r="U3686" s="2" t="n">
        <f aca="false">INDEX(Summary!$Q$2:$Q$201,MATCH($B3686,Summary!$A$2:$A$201,0))</f>
        <v>14.1</v>
      </c>
      <c r="V3686" s="2" t="n">
        <f aca="false">INDEX(Summary!$R$2:$R$201,MATCH($B3686,Summary!$A$2:$A$201,0))</f>
        <v>26.34</v>
      </c>
      <c r="W3686" s="0" t="str">
        <f aca="false">INDEX(Summary!$S$2:$S$201,MATCH($B3686,Summary!$A$2:$A$201,0))</f>
        <v>Silver</v>
      </c>
      <c r="X3686" s="2" t="n">
        <f aca="false">INDEX(Summary!$T$2:$T$201,MATCH($B3686,Summary!$A$2:$A$201,0))</f>
        <v>64.24</v>
      </c>
      <c r="Y3686" s="0" t="str">
        <f aca="false">INDEX('Reward Model'!$E$18:$E$37,MATCH($E3686,'Reward Model'!$A$18:$A$37,0))</f>
        <v>Low</v>
      </c>
      <c r="Z3686" s="4" t="n">
        <f aca="false">ROUND(MIN(1,MAX('Reward Model'!$B$2,INDEX('Reward Model'!$C$12:$C$14,MATCH($K3686,'Reward Model'!$A$12:$A$14,0))/$J3686)),3)</f>
        <v>0.761</v>
      </c>
      <c r="AA3686" s="2" t="n">
        <f aca="false">IF($I3686="Correct",ROUND(INDEX('Reward Model'!$B$12:$B$14,MATCH($K3686,'Reward Model'!$A$12:$A$14,0))*Z3686,2),0)</f>
        <v>0.76</v>
      </c>
      <c r="AB3686" s="2" t="n">
        <f aca="false">IF($I3686="Correct",ROUND(INDEX('Reward Model'!$B$12:$B$14,MATCH($Y3686,'Reward Model'!$A$12:$A$14,0))*Z3686,2),0)</f>
        <v>0.76</v>
      </c>
    </row>
    <row r="3687" customFormat="false" ht="15" hidden="false" customHeight="false" outlineLevel="0" collapsed="false">
      <c r="A3687" s="0" t="s">
        <v>500</v>
      </c>
      <c r="B3687" s="0" t="s">
        <v>501</v>
      </c>
      <c r="C3687" s="0" t="s">
        <v>322</v>
      </c>
      <c r="D3687" s="0" t="s">
        <v>275</v>
      </c>
      <c r="E3687" s="0" t="n">
        <v>6</v>
      </c>
      <c r="F3687" s="0" t="s">
        <v>48</v>
      </c>
      <c r="G3687" s="0" t="s">
        <v>49</v>
      </c>
      <c r="H3687" s="0" t="s">
        <v>49</v>
      </c>
      <c r="I3687" s="0" t="s">
        <v>34</v>
      </c>
      <c r="J3687" s="0" t="n">
        <v>1.28</v>
      </c>
      <c r="K3687" s="0" t="s">
        <v>35</v>
      </c>
      <c r="L3687" s="0" t="n">
        <f aca="false">INDEX(Summary!$F$2:$F$201,MATCH($B3687,Summary!$A$2:$A$201,0))</f>
        <v>20</v>
      </c>
      <c r="M3687" s="0" t="n">
        <f aca="false">INDEX(Summary!$I$2:$I$201,MATCH($B3687,Summary!$A$2:$A$201,0))</f>
        <v>2</v>
      </c>
      <c r="N3687" s="0" t="n">
        <f aca="false">INDEX(Summary!$J$2:$J$201,MATCH($B3687,Summary!$A$2:$A$201,0))</f>
        <v>3</v>
      </c>
      <c r="O3687" s="2" t="n">
        <f aca="false">INDEX(Summary!$K$2:$K$201,MATCH($B3687,Summary!$A$2:$A$201,0))</f>
        <v>8.24</v>
      </c>
      <c r="P3687" s="3" t="n">
        <f aca="false">INDEX(Summary!$L$2:$L$201,MATCH($B3687,Summary!$A$2:$A$201,0))</f>
        <v>5</v>
      </c>
      <c r="Q3687" s="3" t="n">
        <f aca="false">INDEX(Summary!$M$2:$M$201,MATCH($B3687,Summary!$A$2:$A$201,0))</f>
        <v>1</v>
      </c>
      <c r="R3687" s="2" t="n">
        <f aca="false">INDEX(Summary!$N$2:$N$201,MATCH($B3687,Summary!$A$2:$A$201,0))</f>
        <v>10.21</v>
      </c>
      <c r="S3687" s="3" t="n">
        <f aca="false">INDEX(Summary!$O$2:$O$201,MATCH($B3687,Summary!$A$2:$A$201,0))</f>
        <v>8</v>
      </c>
      <c r="T3687" s="3" t="n">
        <f aca="false">INDEX(Summary!$P$2:$P$201,MATCH($B3687,Summary!$A$2:$A$201,0))</f>
        <v>1</v>
      </c>
      <c r="U3687" s="2" t="n">
        <f aca="false">INDEX(Summary!$Q$2:$Q$201,MATCH($B3687,Summary!$A$2:$A$201,0))</f>
        <v>14.1</v>
      </c>
      <c r="V3687" s="2" t="n">
        <f aca="false">INDEX(Summary!$R$2:$R$201,MATCH($B3687,Summary!$A$2:$A$201,0))</f>
        <v>26.34</v>
      </c>
      <c r="W3687" s="0" t="str">
        <f aca="false">INDEX(Summary!$S$2:$S$201,MATCH($B3687,Summary!$A$2:$A$201,0))</f>
        <v>Silver</v>
      </c>
      <c r="X3687" s="2" t="n">
        <f aca="false">INDEX(Summary!$T$2:$T$201,MATCH($B3687,Summary!$A$2:$A$201,0))</f>
        <v>64.24</v>
      </c>
      <c r="Y3687" s="0" t="str">
        <f aca="false">INDEX('Reward Model'!$E$18:$E$37,MATCH($E3687,'Reward Model'!$A$18:$A$37,0))</f>
        <v>Medium</v>
      </c>
      <c r="Z3687" s="4" t="n">
        <f aca="false">ROUND(MIN(1,MAX('Reward Model'!$B$2,INDEX('Reward Model'!$C$12:$C$14,MATCH($K3687,'Reward Model'!$A$12:$A$14,0))/$J3687)),3)</f>
        <v>1</v>
      </c>
      <c r="AA3687" s="2" t="n">
        <f aca="false">IF($I3687="Correct",ROUND(INDEX('Reward Model'!$B$12:$B$14,MATCH($K3687,'Reward Model'!$A$12:$A$14,0))*Z3687,2),0)</f>
        <v>1</v>
      </c>
      <c r="AB3687" s="2" t="n">
        <f aca="false">IF($I3687="Correct",ROUND(INDEX('Reward Model'!$B$12:$B$14,MATCH($Y3687,'Reward Model'!$A$12:$A$14,0))*Z3687,2),0)</f>
        <v>2</v>
      </c>
    </row>
    <row r="3688" customFormat="false" ht="15" hidden="false" customHeight="false" outlineLevel="0" collapsed="false">
      <c r="A3688" s="0" t="s">
        <v>500</v>
      </c>
      <c r="B3688" s="0" t="s">
        <v>501</v>
      </c>
      <c r="C3688" s="0" t="s">
        <v>322</v>
      </c>
      <c r="D3688" s="0" t="s">
        <v>275</v>
      </c>
      <c r="E3688" s="0" t="n">
        <v>7</v>
      </c>
      <c r="F3688" s="0" t="s">
        <v>50</v>
      </c>
      <c r="G3688" s="0" t="s">
        <v>51</v>
      </c>
      <c r="H3688" s="0" t="s">
        <v>51</v>
      </c>
      <c r="I3688" s="0" t="s">
        <v>34</v>
      </c>
      <c r="J3688" s="0" t="n">
        <v>1.14</v>
      </c>
      <c r="K3688" s="0" t="s">
        <v>35</v>
      </c>
      <c r="L3688" s="0" t="n">
        <f aca="false">INDEX(Summary!$F$2:$F$201,MATCH($B3688,Summary!$A$2:$A$201,0))</f>
        <v>20</v>
      </c>
      <c r="M3688" s="0" t="n">
        <f aca="false">INDEX(Summary!$I$2:$I$201,MATCH($B3688,Summary!$A$2:$A$201,0))</f>
        <v>2</v>
      </c>
      <c r="N3688" s="0" t="n">
        <f aca="false">INDEX(Summary!$J$2:$J$201,MATCH($B3688,Summary!$A$2:$A$201,0))</f>
        <v>3</v>
      </c>
      <c r="O3688" s="2" t="n">
        <f aca="false">INDEX(Summary!$K$2:$K$201,MATCH($B3688,Summary!$A$2:$A$201,0))</f>
        <v>8.24</v>
      </c>
      <c r="P3688" s="3" t="n">
        <f aca="false">INDEX(Summary!$L$2:$L$201,MATCH($B3688,Summary!$A$2:$A$201,0))</f>
        <v>5</v>
      </c>
      <c r="Q3688" s="3" t="n">
        <f aca="false">INDEX(Summary!$M$2:$M$201,MATCH($B3688,Summary!$A$2:$A$201,0))</f>
        <v>1</v>
      </c>
      <c r="R3688" s="2" t="n">
        <f aca="false">INDEX(Summary!$N$2:$N$201,MATCH($B3688,Summary!$A$2:$A$201,0))</f>
        <v>10.21</v>
      </c>
      <c r="S3688" s="3" t="n">
        <f aca="false">INDEX(Summary!$O$2:$O$201,MATCH($B3688,Summary!$A$2:$A$201,0))</f>
        <v>8</v>
      </c>
      <c r="T3688" s="3" t="n">
        <f aca="false">INDEX(Summary!$P$2:$P$201,MATCH($B3688,Summary!$A$2:$A$201,0))</f>
        <v>1</v>
      </c>
      <c r="U3688" s="2" t="n">
        <f aca="false">INDEX(Summary!$Q$2:$Q$201,MATCH($B3688,Summary!$A$2:$A$201,0))</f>
        <v>14.1</v>
      </c>
      <c r="V3688" s="2" t="n">
        <f aca="false">INDEX(Summary!$R$2:$R$201,MATCH($B3688,Summary!$A$2:$A$201,0))</f>
        <v>26.34</v>
      </c>
      <c r="W3688" s="0" t="str">
        <f aca="false">INDEX(Summary!$S$2:$S$201,MATCH($B3688,Summary!$A$2:$A$201,0))</f>
        <v>Silver</v>
      </c>
      <c r="X3688" s="2" t="n">
        <f aca="false">INDEX(Summary!$T$2:$T$201,MATCH($B3688,Summary!$A$2:$A$201,0))</f>
        <v>64.24</v>
      </c>
      <c r="Y3688" s="0" t="str">
        <f aca="false">INDEX('Reward Model'!$E$18:$E$37,MATCH($E3688,'Reward Model'!$A$18:$A$37,0))</f>
        <v>Low</v>
      </c>
      <c r="Z3688" s="4" t="n">
        <f aca="false">ROUND(MIN(1,MAX('Reward Model'!$B$2,INDEX('Reward Model'!$C$12:$C$14,MATCH($K3688,'Reward Model'!$A$12:$A$14,0))/$J3688)),3)</f>
        <v>1</v>
      </c>
      <c r="AA3688" s="2" t="n">
        <f aca="false">IF($I3688="Correct",ROUND(INDEX('Reward Model'!$B$12:$B$14,MATCH($K3688,'Reward Model'!$A$12:$A$14,0))*Z3688,2),0)</f>
        <v>1</v>
      </c>
      <c r="AB3688" s="2" t="n">
        <f aca="false">IF($I3688="Correct",ROUND(INDEX('Reward Model'!$B$12:$B$14,MATCH($Y3688,'Reward Model'!$A$12:$A$14,0))*Z3688,2),0)</f>
        <v>1</v>
      </c>
    </row>
    <row r="3689" customFormat="false" ht="15" hidden="false" customHeight="false" outlineLevel="0" collapsed="false">
      <c r="A3689" s="0" t="s">
        <v>500</v>
      </c>
      <c r="B3689" s="0" t="s">
        <v>501</v>
      </c>
      <c r="C3689" s="0" t="s">
        <v>322</v>
      </c>
      <c r="D3689" s="0" t="s">
        <v>275</v>
      </c>
      <c r="E3689" s="0" t="n">
        <v>8</v>
      </c>
      <c r="F3689" s="0" t="s">
        <v>52</v>
      </c>
      <c r="G3689" s="0" t="s">
        <v>54</v>
      </c>
      <c r="H3689" s="0" t="s">
        <v>54</v>
      </c>
      <c r="I3689" s="0" t="s">
        <v>34</v>
      </c>
      <c r="J3689" s="0" t="n">
        <v>1.23</v>
      </c>
      <c r="K3689" s="0" t="s">
        <v>35</v>
      </c>
      <c r="L3689" s="0" t="n">
        <f aca="false">INDEX(Summary!$F$2:$F$201,MATCH($B3689,Summary!$A$2:$A$201,0))</f>
        <v>20</v>
      </c>
      <c r="M3689" s="0" t="n">
        <f aca="false">INDEX(Summary!$I$2:$I$201,MATCH($B3689,Summary!$A$2:$A$201,0))</f>
        <v>2</v>
      </c>
      <c r="N3689" s="0" t="n">
        <f aca="false">INDEX(Summary!$J$2:$J$201,MATCH($B3689,Summary!$A$2:$A$201,0))</f>
        <v>3</v>
      </c>
      <c r="O3689" s="2" t="n">
        <f aca="false">INDEX(Summary!$K$2:$K$201,MATCH($B3689,Summary!$A$2:$A$201,0))</f>
        <v>8.24</v>
      </c>
      <c r="P3689" s="3" t="n">
        <f aca="false">INDEX(Summary!$L$2:$L$201,MATCH($B3689,Summary!$A$2:$A$201,0))</f>
        <v>5</v>
      </c>
      <c r="Q3689" s="3" t="n">
        <f aca="false">INDEX(Summary!$M$2:$M$201,MATCH($B3689,Summary!$A$2:$A$201,0))</f>
        <v>1</v>
      </c>
      <c r="R3689" s="2" t="n">
        <f aca="false">INDEX(Summary!$N$2:$N$201,MATCH($B3689,Summary!$A$2:$A$201,0))</f>
        <v>10.21</v>
      </c>
      <c r="S3689" s="3" t="n">
        <f aca="false">INDEX(Summary!$O$2:$O$201,MATCH($B3689,Summary!$A$2:$A$201,0))</f>
        <v>8</v>
      </c>
      <c r="T3689" s="3" t="n">
        <f aca="false">INDEX(Summary!$P$2:$P$201,MATCH($B3689,Summary!$A$2:$A$201,0))</f>
        <v>1</v>
      </c>
      <c r="U3689" s="2" t="n">
        <f aca="false">INDEX(Summary!$Q$2:$Q$201,MATCH($B3689,Summary!$A$2:$A$201,0))</f>
        <v>14.1</v>
      </c>
      <c r="V3689" s="2" t="n">
        <f aca="false">INDEX(Summary!$R$2:$R$201,MATCH($B3689,Summary!$A$2:$A$201,0))</f>
        <v>26.34</v>
      </c>
      <c r="W3689" s="0" t="str">
        <f aca="false">INDEX(Summary!$S$2:$S$201,MATCH($B3689,Summary!$A$2:$A$201,0))</f>
        <v>Silver</v>
      </c>
      <c r="X3689" s="2" t="n">
        <f aca="false">INDEX(Summary!$T$2:$T$201,MATCH($B3689,Summary!$A$2:$A$201,0))</f>
        <v>64.24</v>
      </c>
      <c r="Y3689" s="0" t="str">
        <f aca="false">INDEX('Reward Model'!$E$18:$E$37,MATCH($E3689,'Reward Model'!$A$18:$A$37,0))</f>
        <v>Medium</v>
      </c>
      <c r="Z3689" s="4" t="n">
        <f aca="false">ROUND(MIN(1,MAX('Reward Model'!$B$2,INDEX('Reward Model'!$C$12:$C$14,MATCH($K3689,'Reward Model'!$A$12:$A$14,0))/$J3689)),3)</f>
        <v>1</v>
      </c>
      <c r="AA3689" s="2" t="n">
        <f aca="false">IF($I3689="Correct",ROUND(INDEX('Reward Model'!$B$12:$B$14,MATCH($K3689,'Reward Model'!$A$12:$A$14,0))*Z3689,2),0)</f>
        <v>1</v>
      </c>
      <c r="AB3689" s="2" t="n">
        <f aca="false">IF($I3689="Correct",ROUND(INDEX('Reward Model'!$B$12:$B$14,MATCH($Y3689,'Reward Model'!$A$12:$A$14,0))*Z3689,2),0)</f>
        <v>2</v>
      </c>
    </row>
    <row r="3690" customFormat="false" ht="15" hidden="false" customHeight="false" outlineLevel="0" collapsed="false">
      <c r="A3690" s="0" t="s">
        <v>500</v>
      </c>
      <c r="B3690" s="0" t="s">
        <v>501</v>
      </c>
      <c r="C3690" s="0" t="s">
        <v>322</v>
      </c>
      <c r="D3690" s="0" t="s">
        <v>275</v>
      </c>
      <c r="E3690" s="0" t="n">
        <v>9</v>
      </c>
      <c r="F3690" s="0" t="s">
        <v>55</v>
      </c>
      <c r="G3690" s="0" t="s">
        <v>57</v>
      </c>
      <c r="H3690" s="0" t="s">
        <v>57</v>
      </c>
      <c r="I3690" s="0" t="s">
        <v>34</v>
      </c>
      <c r="J3690" s="0" t="n">
        <v>1.79</v>
      </c>
      <c r="K3690" s="0" t="s">
        <v>35</v>
      </c>
      <c r="L3690" s="0" t="n">
        <f aca="false">INDEX(Summary!$F$2:$F$201,MATCH($B3690,Summary!$A$2:$A$201,0))</f>
        <v>20</v>
      </c>
      <c r="M3690" s="0" t="n">
        <f aca="false">INDEX(Summary!$I$2:$I$201,MATCH($B3690,Summary!$A$2:$A$201,0))</f>
        <v>2</v>
      </c>
      <c r="N3690" s="0" t="n">
        <f aca="false">INDEX(Summary!$J$2:$J$201,MATCH($B3690,Summary!$A$2:$A$201,0))</f>
        <v>3</v>
      </c>
      <c r="O3690" s="2" t="n">
        <f aca="false">INDEX(Summary!$K$2:$K$201,MATCH($B3690,Summary!$A$2:$A$201,0))</f>
        <v>8.24</v>
      </c>
      <c r="P3690" s="3" t="n">
        <f aca="false">INDEX(Summary!$L$2:$L$201,MATCH($B3690,Summary!$A$2:$A$201,0))</f>
        <v>5</v>
      </c>
      <c r="Q3690" s="3" t="n">
        <f aca="false">INDEX(Summary!$M$2:$M$201,MATCH($B3690,Summary!$A$2:$A$201,0))</f>
        <v>1</v>
      </c>
      <c r="R3690" s="2" t="n">
        <f aca="false">INDEX(Summary!$N$2:$N$201,MATCH($B3690,Summary!$A$2:$A$201,0))</f>
        <v>10.21</v>
      </c>
      <c r="S3690" s="3" t="n">
        <f aca="false">INDEX(Summary!$O$2:$O$201,MATCH($B3690,Summary!$A$2:$A$201,0))</f>
        <v>8</v>
      </c>
      <c r="T3690" s="3" t="n">
        <f aca="false">INDEX(Summary!$P$2:$P$201,MATCH($B3690,Summary!$A$2:$A$201,0))</f>
        <v>1</v>
      </c>
      <c r="U3690" s="2" t="n">
        <f aca="false">INDEX(Summary!$Q$2:$Q$201,MATCH($B3690,Summary!$A$2:$A$201,0))</f>
        <v>14.1</v>
      </c>
      <c r="V3690" s="2" t="n">
        <f aca="false">INDEX(Summary!$R$2:$R$201,MATCH($B3690,Summary!$A$2:$A$201,0))</f>
        <v>26.34</v>
      </c>
      <c r="W3690" s="0" t="str">
        <f aca="false">INDEX(Summary!$S$2:$S$201,MATCH($B3690,Summary!$A$2:$A$201,0))</f>
        <v>Silver</v>
      </c>
      <c r="X3690" s="2" t="n">
        <f aca="false">INDEX(Summary!$T$2:$T$201,MATCH($B3690,Summary!$A$2:$A$201,0))</f>
        <v>64.24</v>
      </c>
      <c r="Y3690" s="0" t="str">
        <f aca="false">INDEX('Reward Model'!$E$18:$E$37,MATCH($E3690,'Reward Model'!$A$18:$A$37,0))</f>
        <v>Medium</v>
      </c>
      <c r="Z3690" s="4" t="n">
        <f aca="false">ROUND(MIN(1,MAX('Reward Model'!$B$2,INDEX('Reward Model'!$C$12:$C$14,MATCH($K3690,'Reward Model'!$A$12:$A$14,0))/$J3690)),3)</f>
        <v>0.838</v>
      </c>
      <c r="AA3690" s="2" t="n">
        <f aca="false">IF($I3690="Correct",ROUND(INDEX('Reward Model'!$B$12:$B$14,MATCH($K3690,'Reward Model'!$A$12:$A$14,0))*Z3690,2),0)</f>
        <v>0.84</v>
      </c>
      <c r="AB3690" s="2" t="n">
        <f aca="false">IF($I3690="Correct",ROUND(INDEX('Reward Model'!$B$12:$B$14,MATCH($Y3690,'Reward Model'!$A$12:$A$14,0))*Z3690,2),0)</f>
        <v>1.68</v>
      </c>
    </row>
    <row r="3691" customFormat="false" ht="15" hidden="false" customHeight="false" outlineLevel="0" collapsed="false">
      <c r="A3691" s="0" t="s">
        <v>500</v>
      </c>
      <c r="B3691" s="0" t="s">
        <v>501</v>
      </c>
      <c r="C3691" s="0" t="s">
        <v>322</v>
      </c>
      <c r="D3691" s="0" t="s">
        <v>275</v>
      </c>
      <c r="E3691" s="0" t="n">
        <v>10</v>
      </c>
      <c r="F3691" s="0" t="s">
        <v>58</v>
      </c>
      <c r="G3691" s="0" t="s">
        <v>59</v>
      </c>
      <c r="H3691" s="0" t="s">
        <v>59</v>
      </c>
      <c r="I3691" s="0" t="s">
        <v>34</v>
      </c>
      <c r="J3691" s="0" t="n">
        <v>1.7</v>
      </c>
      <c r="K3691" s="0" t="s">
        <v>60</v>
      </c>
      <c r="L3691" s="0" t="n">
        <f aca="false">INDEX(Summary!$F$2:$F$201,MATCH($B3691,Summary!$A$2:$A$201,0))</f>
        <v>20</v>
      </c>
      <c r="M3691" s="0" t="n">
        <f aca="false">INDEX(Summary!$I$2:$I$201,MATCH($B3691,Summary!$A$2:$A$201,0))</f>
        <v>2</v>
      </c>
      <c r="N3691" s="0" t="n">
        <f aca="false">INDEX(Summary!$J$2:$J$201,MATCH($B3691,Summary!$A$2:$A$201,0))</f>
        <v>3</v>
      </c>
      <c r="O3691" s="2" t="n">
        <f aca="false">INDEX(Summary!$K$2:$K$201,MATCH($B3691,Summary!$A$2:$A$201,0))</f>
        <v>8.24</v>
      </c>
      <c r="P3691" s="3" t="n">
        <f aca="false">INDEX(Summary!$L$2:$L$201,MATCH($B3691,Summary!$A$2:$A$201,0))</f>
        <v>5</v>
      </c>
      <c r="Q3691" s="3" t="n">
        <f aca="false">INDEX(Summary!$M$2:$M$201,MATCH($B3691,Summary!$A$2:$A$201,0))</f>
        <v>1</v>
      </c>
      <c r="R3691" s="2" t="n">
        <f aca="false">INDEX(Summary!$N$2:$N$201,MATCH($B3691,Summary!$A$2:$A$201,0))</f>
        <v>10.21</v>
      </c>
      <c r="S3691" s="3" t="n">
        <f aca="false">INDEX(Summary!$O$2:$O$201,MATCH($B3691,Summary!$A$2:$A$201,0))</f>
        <v>8</v>
      </c>
      <c r="T3691" s="3" t="n">
        <f aca="false">INDEX(Summary!$P$2:$P$201,MATCH($B3691,Summary!$A$2:$A$201,0))</f>
        <v>1</v>
      </c>
      <c r="U3691" s="2" t="n">
        <f aca="false">INDEX(Summary!$Q$2:$Q$201,MATCH($B3691,Summary!$A$2:$A$201,0))</f>
        <v>14.1</v>
      </c>
      <c r="V3691" s="2" t="n">
        <f aca="false">INDEX(Summary!$R$2:$R$201,MATCH($B3691,Summary!$A$2:$A$201,0))</f>
        <v>26.34</v>
      </c>
      <c r="W3691" s="0" t="str">
        <f aca="false">INDEX(Summary!$S$2:$S$201,MATCH($B3691,Summary!$A$2:$A$201,0))</f>
        <v>Silver</v>
      </c>
      <c r="X3691" s="2" t="n">
        <f aca="false">INDEX(Summary!$T$2:$T$201,MATCH($B3691,Summary!$A$2:$A$201,0))</f>
        <v>64.24</v>
      </c>
      <c r="Y3691" s="0" t="str">
        <f aca="false">INDEX('Reward Model'!$E$18:$E$37,MATCH($E3691,'Reward Model'!$A$18:$A$37,0))</f>
        <v>Medium</v>
      </c>
      <c r="Z3691" s="4" t="n">
        <f aca="false">ROUND(MIN(1,MAX('Reward Model'!$B$2,INDEX('Reward Model'!$C$12:$C$14,MATCH($K3691,'Reward Model'!$A$12:$A$14,0))/$J3691)),3)</f>
        <v>1</v>
      </c>
      <c r="AA3691" s="2" t="n">
        <f aca="false">IF($I3691="Correct",ROUND(INDEX('Reward Model'!$B$12:$B$14,MATCH($K3691,'Reward Model'!$A$12:$A$14,0))*Z3691,2),0)</f>
        <v>2</v>
      </c>
      <c r="AB3691" s="2" t="n">
        <f aca="false">IF($I3691="Correct",ROUND(INDEX('Reward Model'!$B$12:$B$14,MATCH($Y3691,'Reward Model'!$A$12:$A$14,0))*Z3691,2),0)</f>
        <v>2</v>
      </c>
    </row>
    <row r="3692" customFormat="false" ht="15" hidden="false" customHeight="false" outlineLevel="0" collapsed="false">
      <c r="A3692" s="0" t="s">
        <v>500</v>
      </c>
      <c r="B3692" s="0" t="s">
        <v>501</v>
      </c>
      <c r="C3692" s="0" t="s">
        <v>322</v>
      </c>
      <c r="D3692" s="0" t="s">
        <v>275</v>
      </c>
      <c r="E3692" s="0" t="n">
        <v>11</v>
      </c>
      <c r="F3692" s="0" t="s">
        <v>61</v>
      </c>
      <c r="G3692" s="0" t="s">
        <v>63</v>
      </c>
      <c r="H3692" s="0" t="s">
        <v>63</v>
      </c>
      <c r="I3692" s="0" t="s">
        <v>34</v>
      </c>
      <c r="J3692" s="0" t="n">
        <v>1.95</v>
      </c>
      <c r="K3692" s="0" t="s">
        <v>60</v>
      </c>
      <c r="L3692" s="0" t="n">
        <f aca="false">INDEX(Summary!$F$2:$F$201,MATCH($B3692,Summary!$A$2:$A$201,0))</f>
        <v>20</v>
      </c>
      <c r="M3692" s="0" t="n">
        <f aca="false">INDEX(Summary!$I$2:$I$201,MATCH($B3692,Summary!$A$2:$A$201,0))</f>
        <v>2</v>
      </c>
      <c r="N3692" s="0" t="n">
        <f aca="false">INDEX(Summary!$J$2:$J$201,MATCH($B3692,Summary!$A$2:$A$201,0))</f>
        <v>3</v>
      </c>
      <c r="O3692" s="2" t="n">
        <f aca="false">INDEX(Summary!$K$2:$K$201,MATCH($B3692,Summary!$A$2:$A$201,0))</f>
        <v>8.24</v>
      </c>
      <c r="P3692" s="3" t="n">
        <f aca="false">INDEX(Summary!$L$2:$L$201,MATCH($B3692,Summary!$A$2:$A$201,0))</f>
        <v>5</v>
      </c>
      <c r="Q3692" s="3" t="n">
        <f aca="false">INDEX(Summary!$M$2:$M$201,MATCH($B3692,Summary!$A$2:$A$201,0))</f>
        <v>1</v>
      </c>
      <c r="R3692" s="2" t="n">
        <f aca="false">INDEX(Summary!$N$2:$N$201,MATCH($B3692,Summary!$A$2:$A$201,0))</f>
        <v>10.21</v>
      </c>
      <c r="S3692" s="3" t="n">
        <f aca="false">INDEX(Summary!$O$2:$O$201,MATCH($B3692,Summary!$A$2:$A$201,0))</f>
        <v>8</v>
      </c>
      <c r="T3692" s="3" t="n">
        <f aca="false">INDEX(Summary!$P$2:$P$201,MATCH($B3692,Summary!$A$2:$A$201,0))</f>
        <v>1</v>
      </c>
      <c r="U3692" s="2" t="n">
        <f aca="false">INDEX(Summary!$Q$2:$Q$201,MATCH($B3692,Summary!$A$2:$A$201,0))</f>
        <v>14.1</v>
      </c>
      <c r="V3692" s="2" t="n">
        <f aca="false">INDEX(Summary!$R$2:$R$201,MATCH($B3692,Summary!$A$2:$A$201,0))</f>
        <v>26.34</v>
      </c>
      <c r="W3692" s="0" t="str">
        <f aca="false">INDEX(Summary!$S$2:$S$201,MATCH($B3692,Summary!$A$2:$A$201,0))</f>
        <v>Silver</v>
      </c>
      <c r="X3692" s="2" t="n">
        <f aca="false">INDEX(Summary!$T$2:$T$201,MATCH($B3692,Summary!$A$2:$A$201,0))</f>
        <v>64.24</v>
      </c>
      <c r="Y3692" s="0" t="str">
        <f aca="false">INDEX('Reward Model'!$E$18:$E$37,MATCH($E3692,'Reward Model'!$A$18:$A$37,0))</f>
        <v>Medium</v>
      </c>
      <c r="Z3692" s="4" t="n">
        <f aca="false">ROUND(MIN(1,MAX('Reward Model'!$B$2,INDEX('Reward Model'!$C$12:$C$14,MATCH($K3692,'Reward Model'!$A$12:$A$14,0))/$J3692)),3)</f>
        <v>0.923</v>
      </c>
      <c r="AA3692" s="2" t="n">
        <f aca="false">IF($I3692="Correct",ROUND(INDEX('Reward Model'!$B$12:$B$14,MATCH($K3692,'Reward Model'!$A$12:$A$14,0))*Z3692,2),0)</f>
        <v>1.85</v>
      </c>
      <c r="AB3692" s="2" t="n">
        <f aca="false">IF($I3692="Correct",ROUND(INDEX('Reward Model'!$B$12:$B$14,MATCH($Y3692,'Reward Model'!$A$12:$A$14,0))*Z3692,2),0)</f>
        <v>1.85</v>
      </c>
    </row>
    <row r="3693" customFormat="false" ht="15" hidden="false" customHeight="false" outlineLevel="0" collapsed="false">
      <c r="A3693" s="0" t="s">
        <v>500</v>
      </c>
      <c r="B3693" s="0" t="s">
        <v>501</v>
      </c>
      <c r="C3693" s="0" t="s">
        <v>322</v>
      </c>
      <c r="D3693" s="0" t="s">
        <v>275</v>
      </c>
      <c r="E3693" s="0" t="n">
        <v>12</v>
      </c>
      <c r="F3693" s="0" t="s">
        <v>64</v>
      </c>
      <c r="G3693" s="0" t="s">
        <v>65</v>
      </c>
      <c r="H3693" s="0" t="s">
        <v>65</v>
      </c>
      <c r="I3693" s="0" t="s">
        <v>34</v>
      </c>
      <c r="J3693" s="0" t="n">
        <v>1.13</v>
      </c>
      <c r="K3693" s="0" t="s">
        <v>60</v>
      </c>
      <c r="L3693" s="0" t="n">
        <f aca="false">INDEX(Summary!$F$2:$F$201,MATCH($B3693,Summary!$A$2:$A$201,0))</f>
        <v>20</v>
      </c>
      <c r="M3693" s="0" t="n">
        <f aca="false">INDEX(Summary!$I$2:$I$201,MATCH($B3693,Summary!$A$2:$A$201,0))</f>
        <v>2</v>
      </c>
      <c r="N3693" s="0" t="n">
        <f aca="false">INDEX(Summary!$J$2:$J$201,MATCH($B3693,Summary!$A$2:$A$201,0))</f>
        <v>3</v>
      </c>
      <c r="O3693" s="2" t="n">
        <f aca="false">INDEX(Summary!$K$2:$K$201,MATCH($B3693,Summary!$A$2:$A$201,0))</f>
        <v>8.24</v>
      </c>
      <c r="P3693" s="3" t="n">
        <f aca="false">INDEX(Summary!$L$2:$L$201,MATCH($B3693,Summary!$A$2:$A$201,0))</f>
        <v>5</v>
      </c>
      <c r="Q3693" s="3" t="n">
        <f aca="false">INDEX(Summary!$M$2:$M$201,MATCH($B3693,Summary!$A$2:$A$201,0))</f>
        <v>1</v>
      </c>
      <c r="R3693" s="2" t="n">
        <f aca="false">INDEX(Summary!$N$2:$N$201,MATCH($B3693,Summary!$A$2:$A$201,0))</f>
        <v>10.21</v>
      </c>
      <c r="S3693" s="3" t="n">
        <f aca="false">INDEX(Summary!$O$2:$O$201,MATCH($B3693,Summary!$A$2:$A$201,0))</f>
        <v>8</v>
      </c>
      <c r="T3693" s="3" t="n">
        <f aca="false">INDEX(Summary!$P$2:$P$201,MATCH($B3693,Summary!$A$2:$A$201,0))</f>
        <v>1</v>
      </c>
      <c r="U3693" s="2" t="n">
        <f aca="false">INDEX(Summary!$Q$2:$Q$201,MATCH($B3693,Summary!$A$2:$A$201,0))</f>
        <v>14.1</v>
      </c>
      <c r="V3693" s="2" t="n">
        <f aca="false">INDEX(Summary!$R$2:$R$201,MATCH($B3693,Summary!$A$2:$A$201,0))</f>
        <v>26.34</v>
      </c>
      <c r="W3693" s="0" t="str">
        <f aca="false">INDEX(Summary!$S$2:$S$201,MATCH($B3693,Summary!$A$2:$A$201,0))</f>
        <v>Silver</v>
      </c>
      <c r="X3693" s="2" t="n">
        <f aca="false">INDEX(Summary!$T$2:$T$201,MATCH($B3693,Summary!$A$2:$A$201,0))</f>
        <v>64.24</v>
      </c>
      <c r="Y3693" s="0" t="str">
        <f aca="false">INDEX('Reward Model'!$E$18:$E$37,MATCH($E3693,'Reward Model'!$A$18:$A$37,0))</f>
        <v>Medium</v>
      </c>
      <c r="Z3693" s="4" t="n">
        <f aca="false">ROUND(MIN(1,MAX('Reward Model'!$B$2,INDEX('Reward Model'!$C$12:$C$14,MATCH($K3693,'Reward Model'!$A$12:$A$14,0))/$J3693)),3)</f>
        <v>1</v>
      </c>
      <c r="AA3693" s="2" t="n">
        <f aca="false">IF($I3693="Correct",ROUND(INDEX('Reward Model'!$B$12:$B$14,MATCH($K3693,'Reward Model'!$A$12:$A$14,0))*Z3693,2),0)</f>
        <v>2</v>
      </c>
      <c r="AB3693" s="2" t="n">
        <f aca="false">IF($I3693="Correct",ROUND(INDEX('Reward Model'!$B$12:$B$14,MATCH($Y3693,'Reward Model'!$A$12:$A$14,0))*Z3693,2),0)</f>
        <v>2</v>
      </c>
    </row>
    <row r="3694" customFormat="false" ht="15" hidden="false" customHeight="false" outlineLevel="0" collapsed="false">
      <c r="A3694" s="0" t="s">
        <v>500</v>
      </c>
      <c r="B3694" s="0" t="s">
        <v>501</v>
      </c>
      <c r="C3694" s="0" t="s">
        <v>322</v>
      </c>
      <c r="D3694" s="0" t="s">
        <v>275</v>
      </c>
      <c r="E3694" s="0" t="n">
        <v>13</v>
      </c>
      <c r="F3694" s="0" t="s">
        <v>66</v>
      </c>
      <c r="G3694" s="0" t="s">
        <v>124</v>
      </c>
      <c r="H3694" s="0" t="s">
        <v>67</v>
      </c>
      <c r="I3694" s="0" t="s">
        <v>39</v>
      </c>
      <c r="J3694" s="0" t="n">
        <v>1.75</v>
      </c>
      <c r="K3694" s="0" t="s">
        <v>60</v>
      </c>
      <c r="L3694" s="0" t="n">
        <f aca="false">INDEX(Summary!$F$2:$F$201,MATCH($B3694,Summary!$A$2:$A$201,0))</f>
        <v>20</v>
      </c>
      <c r="M3694" s="0" t="n">
        <f aca="false">INDEX(Summary!$I$2:$I$201,MATCH($B3694,Summary!$A$2:$A$201,0))</f>
        <v>2</v>
      </c>
      <c r="N3694" s="0" t="n">
        <f aca="false">INDEX(Summary!$J$2:$J$201,MATCH($B3694,Summary!$A$2:$A$201,0))</f>
        <v>3</v>
      </c>
      <c r="O3694" s="2" t="n">
        <f aca="false">INDEX(Summary!$K$2:$K$201,MATCH($B3694,Summary!$A$2:$A$201,0))</f>
        <v>8.24</v>
      </c>
      <c r="P3694" s="3" t="n">
        <f aca="false">INDEX(Summary!$L$2:$L$201,MATCH($B3694,Summary!$A$2:$A$201,0))</f>
        <v>5</v>
      </c>
      <c r="Q3694" s="3" t="n">
        <f aca="false">INDEX(Summary!$M$2:$M$201,MATCH($B3694,Summary!$A$2:$A$201,0))</f>
        <v>1</v>
      </c>
      <c r="R3694" s="2" t="n">
        <f aca="false">INDEX(Summary!$N$2:$N$201,MATCH($B3694,Summary!$A$2:$A$201,0))</f>
        <v>10.21</v>
      </c>
      <c r="S3694" s="3" t="n">
        <f aca="false">INDEX(Summary!$O$2:$O$201,MATCH($B3694,Summary!$A$2:$A$201,0))</f>
        <v>8</v>
      </c>
      <c r="T3694" s="3" t="n">
        <f aca="false">INDEX(Summary!$P$2:$P$201,MATCH($B3694,Summary!$A$2:$A$201,0))</f>
        <v>1</v>
      </c>
      <c r="U3694" s="2" t="n">
        <f aca="false">INDEX(Summary!$Q$2:$Q$201,MATCH($B3694,Summary!$A$2:$A$201,0))</f>
        <v>14.1</v>
      </c>
      <c r="V3694" s="2" t="n">
        <f aca="false">INDEX(Summary!$R$2:$R$201,MATCH($B3694,Summary!$A$2:$A$201,0))</f>
        <v>26.34</v>
      </c>
      <c r="W3694" s="0" t="str">
        <f aca="false">INDEX(Summary!$S$2:$S$201,MATCH($B3694,Summary!$A$2:$A$201,0))</f>
        <v>Silver</v>
      </c>
      <c r="X3694" s="2" t="n">
        <f aca="false">INDEX(Summary!$T$2:$T$201,MATCH($B3694,Summary!$A$2:$A$201,0))</f>
        <v>64.24</v>
      </c>
      <c r="Y3694" s="0" t="str">
        <f aca="false">INDEX('Reward Model'!$E$18:$E$37,MATCH($E3694,'Reward Model'!$A$18:$A$37,0))</f>
        <v>Medium</v>
      </c>
      <c r="Z3694" s="4" t="n">
        <f aca="false">ROUND(MIN(1,MAX('Reward Model'!$B$2,INDEX('Reward Model'!$C$12:$C$14,MATCH($K3694,'Reward Model'!$A$12:$A$14,0))/$J3694)),3)</f>
        <v>1</v>
      </c>
      <c r="AA3694" s="2" t="n">
        <f aca="false">IF($I3694="Correct",ROUND(INDEX('Reward Model'!$B$12:$B$14,MATCH($K3694,'Reward Model'!$A$12:$A$14,0))*Z3694,2),0)</f>
        <v>0</v>
      </c>
      <c r="AB3694" s="2" t="n">
        <f aca="false">IF($I3694="Correct",ROUND(INDEX('Reward Model'!$B$12:$B$14,MATCH($Y3694,'Reward Model'!$A$12:$A$14,0))*Z3694,2),0)</f>
        <v>0</v>
      </c>
    </row>
    <row r="3695" customFormat="false" ht="15" hidden="false" customHeight="false" outlineLevel="0" collapsed="false">
      <c r="A3695" s="0" t="s">
        <v>500</v>
      </c>
      <c r="B3695" s="0" t="s">
        <v>501</v>
      </c>
      <c r="C3695" s="0" t="s">
        <v>322</v>
      </c>
      <c r="D3695" s="0" t="s">
        <v>275</v>
      </c>
      <c r="E3695" s="0" t="n">
        <v>14</v>
      </c>
      <c r="F3695" s="0" t="s">
        <v>68</v>
      </c>
      <c r="G3695" s="0" t="s">
        <v>51</v>
      </c>
      <c r="H3695" s="0" t="s">
        <v>51</v>
      </c>
      <c r="I3695" s="0" t="s">
        <v>34</v>
      </c>
      <c r="J3695" s="0" t="n">
        <v>2.06</v>
      </c>
      <c r="K3695" s="0" t="s">
        <v>60</v>
      </c>
      <c r="L3695" s="0" t="n">
        <f aca="false">INDEX(Summary!$F$2:$F$201,MATCH($B3695,Summary!$A$2:$A$201,0))</f>
        <v>20</v>
      </c>
      <c r="M3695" s="0" t="n">
        <f aca="false">INDEX(Summary!$I$2:$I$201,MATCH($B3695,Summary!$A$2:$A$201,0))</f>
        <v>2</v>
      </c>
      <c r="N3695" s="0" t="n">
        <f aca="false">INDEX(Summary!$J$2:$J$201,MATCH($B3695,Summary!$A$2:$A$201,0))</f>
        <v>3</v>
      </c>
      <c r="O3695" s="2" t="n">
        <f aca="false">INDEX(Summary!$K$2:$K$201,MATCH($B3695,Summary!$A$2:$A$201,0))</f>
        <v>8.24</v>
      </c>
      <c r="P3695" s="3" t="n">
        <f aca="false">INDEX(Summary!$L$2:$L$201,MATCH($B3695,Summary!$A$2:$A$201,0))</f>
        <v>5</v>
      </c>
      <c r="Q3695" s="3" t="n">
        <f aca="false">INDEX(Summary!$M$2:$M$201,MATCH($B3695,Summary!$A$2:$A$201,0))</f>
        <v>1</v>
      </c>
      <c r="R3695" s="2" t="n">
        <f aca="false">INDEX(Summary!$N$2:$N$201,MATCH($B3695,Summary!$A$2:$A$201,0))</f>
        <v>10.21</v>
      </c>
      <c r="S3695" s="3" t="n">
        <f aca="false">INDEX(Summary!$O$2:$O$201,MATCH($B3695,Summary!$A$2:$A$201,0))</f>
        <v>8</v>
      </c>
      <c r="T3695" s="3" t="n">
        <f aca="false">INDEX(Summary!$P$2:$P$201,MATCH($B3695,Summary!$A$2:$A$201,0))</f>
        <v>1</v>
      </c>
      <c r="U3695" s="2" t="n">
        <f aca="false">INDEX(Summary!$Q$2:$Q$201,MATCH($B3695,Summary!$A$2:$A$201,0))</f>
        <v>14.1</v>
      </c>
      <c r="V3695" s="2" t="n">
        <f aca="false">INDEX(Summary!$R$2:$R$201,MATCH($B3695,Summary!$A$2:$A$201,0))</f>
        <v>26.34</v>
      </c>
      <c r="W3695" s="0" t="str">
        <f aca="false">INDEX(Summary!$S$2:$S$201,MATCH($B3695,Summary!$A$2:$A$201,0))</f>
        <v>Silver</v>
      </c>
      <c r="X3695" s="2" t="n">
        <f aca="false">INDEX(Summary!$T$2:$T$201,MATCH($B3695,Summary!$A$2:$A$201,0))</f>
        <v>64.24</v>
      </c>
      <c r="Y3695" s="0" t="str">
        <f aca="false">INDEX('Reward Model'!$E$18:$E$37,MATCH($E3695,'Reward Model'!$A$18:$A$37,0))</f>
        <v>Medium</v>
      </c>
      <c r="Z3695" s="4" t="n">
        <f aca="false">ROUND(MIN(1,MAX('Reward Model'!$B$2,INDEX('Reward Model'!$C$12:$C$14,MATCH($K3695,'Reward Model'!$A$12:$A$14,0))/$J3695)),3)</f>
        <v>0.874</v>
      </c>
      <c r="AA3695" s="2" t="n">
        <f aca="false">IF($I3695="Correct",ROUND(INDEX('Reward Model'!$B$12:$B$14,MATCH($K3695,'Reward Model'!$A$12:$A$14,0))*Z3695,2),0)</f>
        <v>1.75</v>
      </c>
      <c r="AB3695" s="2" t="n">
        <f aca="false">IF($I3695="Correct",ROUND(INDEX('Reward Model'!$B$12:$B$14,MATCH($Y3695,'Reward Model'!$A$12:$A$14,0))*Z3695,2),0)</f>
        <v>1.75</v>
      </c>
    </row>
    <row r="3696" customFormat="false" ht="15" hidden="false" customHeight="false" outlineLevel="0" collapsed="false">
      <c r="A3696" s="0" t="s">
        <v>500</v>
      </c>
      <c r="B3696" s="0" t="s">
        <v>501</v>
      </c>
      <c r="C3696" s="0" t="s">
        <v>322</v>
      </c>
      <c r="D3696" s="0" t="s">
        <v>275</v>
      </c>
      <c r="E3696" s="0" t="n">
        <v>15</v>
      </c>
      <c r="F3696" s="0" t="s">
        <v>69</v>
      </c>
      <c r="G3696" s="0" t="s">
        <v>70</v>
      </c>
      <c r="H3696" s="0" t="s">
        <v>70</v>
      </c>
      <c r="I3696" s="0" t="s">
        <v>34</v>
      </c>
      <c r="J3696" s="0" t="n">
        <v>1.62</v>
      </c>
      <c r="K3696" s="0" t="s">
        <v>60</v>
      </c>
      <c r="L3696" s="0" t="n">
        <f aca="false">INDEX(Summary!$F$2:$F$201,MATCH($B3696,Summary!$A$2:$A$201,0))</f>
        <v>20</v>
      </c>
      <c r="M3696" s="0" t="n">
        <f aca="false">INDEX(Summary!$I$2:$I$201,MATCH($B3696,Summary!$A$2:$A$201,0))</f>
        <v>2</v>
      </c>
      <c r="N3696" s="0" t="n">
        <f aca="false">INDEX(Summary!$J$2:$J$201,MATCH($B3696,Summary!$A$2:$A$201,0))</f>
        <v>3</v>
      </c>
      <c r="O3696" s="2" t="n">
        <f aca="false">INDEX(Summary!$K$2:$K$201,MATCH($B3696,Summary!$A$2:$A$201,0))</f>
        <v>8.24</v>
      </c>
      <c r="P3696" s="3" t="n">
        <f aca="false">INDEX(Summary!$L$2:$L$201,MATCH($B3696,Summary!$A$2:$A$201,0))</f>
        <v>5</v>
      </c>
      <c r="Q3696" s="3" t="n">
        <f aca="false">INDEX(Summary!$M$2:$M$201,MATCH($B3696,Summary!$A$2:$A$201,0))</f>
        <v>1</v>
      </c>
      <c r="R3696" s="2" t="n">
        <f aca="false">INDEX(Summary!$N$2:$N$201,MATCH($B3696,Summary!$A$2:$A$201,0))</f>
        <v>10.21</v>
      </c>
      <c r="S3696" s="3" t="n">
        <f aca="false">INDEX(Summary!$O$2:$O$201,MATCH($B3696,Summary!$A$2:$A$201,0))</f>
        <v>8</v>
      </c>
      <c r="T3696" s="3" t="n">
        <f aca="false">INDEX(Summary!$P$2:$P$201,MATCH($B3696,Summary!$A$2:$A$201,0))</f>
        <v>1</v>
      </c>
      <c r="U3696" s="2" t="n">
        <f aca="false">INDEX(Summary!$Q$2:$Q$201,MATCH($B3696,Summary!$A$2:$A$201,0))</f>
        <v>14.1</v>
      </c>
      <c r="V3696" s="2" t="n">
        <f aca="false">INDEX(Summary!$R$2:$R$201,MATCH($B3696,Summary!$A$2:$A$201,0))</f>
        <v>26.34</v>
      </c>
      <c r="W3696" s="0" t="str">
        <f aca="false">INDEX(Summary!$S$2:$S$201,MATCH($B3696,Summary!$A$2:$A$201,0))</f>
        <v>Silver</v>
      </c>
      <c r="X3696" s="2" t="n">
        <f aca="false">INDEX(Summary!$T$2:$T$201,MATCH($B3696,Summary!$A$2:$A$201,0))</f>
        <v>64.24</v>
      </c>
      <c r="Y3696" s="0" t="str">
        <f aca="false">INDEX('Reward Model'!$E$18:$E$37,MATCH($E3696,'Reward Model'!$A$18:$A$37,0))</f>
        <v>Medium</v>
      </c>
      <c r="Z3696" s="4" t="n">
        <f aca="false">ROUND(MIN(1,MAX('Reward Model'!$B$2,INDEX('Reward Model'!$C$12:$C$14,MATCH($K3696,'Reward Model'!$A$12:$A$14,0))/$J3696)),3)</f>
        <v>1</v>
      </c>
      <c r="AA3696" s="2" t="n">
        <f aca="false">IF($I3696="Correct",ROUND(INDEX('Reward Model'!$B$12:$B$14,MATCH($K3696,'Reward Model'!$A$12:$A$14,0))*Z3696,2),0)</f>
        <v>2</v>
      </c>
      <c r="AB3696" s="2" t="n">
        <f aca="false">IF($I3696="Correct",ROUND(INDEX('Reward Model'!$B$12:$B$14,MATCH($Y3696,'Reward Model'!$A$12:$A$14,0))*Z3696,2),0)</f>
        <v>2</v>
      </c>
    </row>
    <row r="3697" customFormat="false" ht="15" hidden="false" customHeight="false" outlineLevel="0" collapsed="false">
      <c r="A3697" s="0" t="s">
        <v>500</v>
      </c>
      <c r="B3697" s="0" t="s">
        <v>501</v>
      </c>
      <c r="C3697" s="0" t="s">
        <v>322</v>
      </c>
      <c r="D3697" s="0" t="s">
        <v>275</v>
      </c>
      <c r="E3697" s="0" t="n">
        <v>16</v>
      </c>
      <c r="F3697" s="0" t="s">
        <v>71</v>
      </c>
      <c r="G3697" s="0" t="s">
        <v>101</v>
      </c>
      <c r="H3697" s="0" t="s">
        <v>72</v>
      </c>
      <c r="I3697" s="0" t="s">
        <v>39</v>
      </c>
      <c r="J3697" s="0" t="n">
        <v>1.91</v>
      </c>
      <c r="K3697" s="0" t="s">
        <v>73</v>
      </c>
      <c r="L3697" s="0" t="n">
        <f aca="false">INDEX(Summary!$F$2:$F$201,MATCH($B3697,Summary!$A$2:$A$201,0))</f>
        <v>20</v>
      </c>
      <c r="M3697" s="0" t="n">
        <f aca="false">INDEX(Summary!$I$2:$I$201,MATCH($B3697,Summary!$A$2:$A$201,0))</f>
        <v>2</v>
      </c>
      <c r="N3697" s="0" t="n">
        <f aca="false">INDEX(Summary!$J$2:$J$201,MATCH($B3697,Summary!$A$2:$A$201,0))</f>
        <v>3</v>
      </c>
      <c r="O3697" s="2" t="n">
        <f aca="false">INDEX(Summary!$K$2:$K$201,MATCH($B3697,Summary!$A$2:$A$201,0))</f>
        <v>8.24</v>
      </c>
      <c r="P3697" s="3" t="n">
        <f aca="false">INDEX(Summary!$L$2:$L$201,MATCH($B3697,Summary!$A$2:$A$201,0))</f>
        <v>5</v>
      </c>
      <c r="Q3697" s="3" t="n">
        <f aca="false">INDEX(Summary!$M$2:$M$201,MATCH($B3697,Summary!$A$2:$A$201,0))</f>
        <v>1</v>
      </c>
      <c r="R3697" s="2" t="n">
        <f aca="false">INDEX(Summary!$N$2:$N$201,MATCH($B3697,Summary!$A$2:$A$201,0))</f>
        <v>10.21</v>
      </c>
      <c r="S3697" s="3" t="n">
        <f aca="false">INDEX(Summary!$O$2:$O$201,MATCH($B3697,Summary!$A$2:$A$201,0))</f>
        <v>8</v>
      </c>
      <c r="T3697" s="3" t="n">
        <f aca="false">INDEX(Summary!$P$2:$P$201,MATCH($B3697,Summary!$A$2:$A$201,0))</f>
        <v>1</v>
      </c>
      <c r="U3697" s="2" t="n">
        <f aca="false">INDEX(Summary!$Q$2:$Q$201,MATCH($B3697,Summary!$A$2:$A$201,0))</f>
        <v>14.1</v>
      </c>
      <c r="V3697" s="2" t="n">
        <f aca="false">INDEX(Summary!$R$2:$R$201,MATCH($B3697,Summary!$A$2:$A$201,0))</f>
        <v>26.34</v>
      </c>
      <c r="W3697" s="0" t="str">
        <f aca="false">INDEX(Summary!$S$2:$S$201,MATCH($B3697,Summary!$A$2:$A$201,0))</f>
        <v>Silver</v>
      </c>
      <c r="X3697" s="2" t="n">
        <f aca="false">INDEX(Summary!$T$2:$T$201,MATCH($B3697,Summary!$A$2:$A$201,0))</f>
        <v>64.24</v>
      </c>
      <c r="Y3697" s="0" t="str">
        <f aca="false">INDEX('Reward Model'!$E$18:$E$37,MATCH($E3697,'Reward Model'!$A$18:$A$37,0))</f>
        <v>High</v>
      </c>
      <c r="Z3697" s="4" t="n">
        <f aca="false">ROUND(MIN(1,MAX('Reward Model'!$B$2,INDEX('Reward Model'!$C$12:$C$14,MATCH($K3697,'Reward Model'!$A$12:$A$14,0))/$J3697)),3)</f>
        <v>1</v>
      </c>
      <c r="AA3697" s="2" t="n">
        <f aca="false">IF($I3697="Correct",ROUND(INDEX('Reward Model'!$B$12:$B$14,MATCH($K3697,'Reward Model'!$A$12:$A$14,0))*Z3697,2),0)</f>
        <v>0</v>
      </c>
      <c r="AB3697" s="2" t="n">
        <f aca="false">IF($I3697="Correct",ROUND(INDEX('Reward Model'!$B$12:$B$14,MATCH($Y3697,'Reward Model'!$A$12:$A$14,0))*Z3697,2),0)</f>
        <v>0</v>
      </c>
    </row>
    <row r="3698" customFormat="false" ht="15" hidden="false" customHeight="false" outlineLevel="0" collapsed="false">
      <c r="A3698" s="0" t="s">
        <v>500</v>
      </c>
      <c r="B3698" s="0" t="s">
        <v>501</v>
      </c>
      <c r="C3698" s="0" t="s">
        <v>322</v>
      </c>
      <c r="D3698" s="0" t="s">
        <v>275</v>
      </c>
      <c r="E3698" s="0" t="n">
        <v>17</v>
      </c>
      <c r="F3698" s="0" t="s">
        <v>74</v>
      </c>
      <c r="G3698" s="0" t="s">
        <v>75</v>
      </c>
      <c r="H3698" s="0" t="s">
        <v>75</v>
      </c>
      <c r="I3698" s="0" t="s">
        <v>34</v>
      </c>
      <c r="J3698" s="0" t="n">
        <v>2.15</v>
      </c>
      <c r="K3698" s="0" t="s">
        <v>73</v>
      </c>
      <c r="L3698" s="0" t="n">
        <f aca="false">INDEX(Summary!$F$2:$F$201,MATCH($B3698,Summary!$A$2:$A$201,0))</f>
        <v>20</v>
      </c>
      <c r="M3698" s="0" t="n">
        <f aca="false">INDEX(Summary!$I$2:$I$201,MATCH($B3698,Summary!$A$2:$A$201,0))</f>
        <v>2</v>
      </c>
      <c r="N3698" s="0" t="n">
        <f aca="false">INDEX(Summary!$J$2:$J$201,MATCH($B3698,Summary!$A$2:$A$201,0))</f>
        <v>3</v>
      </c>
      <c r="O3698" s="2" t="n">
        <f aca="false">INDEX(Summary!$K$2:$K$201,MATCH($B3698,Summary!$A$2:$A$201,0))</f>
        <v>8.24</v>
      </c>
      <c r="P3698" s="3" t="n">
        <f aca="false">INDEX(Summary!$L$2:$L$201,MATCH($B3698,Summary!$A$2:$A$201,0))</f>
        <v>5</v>
      </c>
      <c r="Q3698" s="3" t="n">
        <f aca="false">INDEX(Summary!$M$2:$M$201,MATCH($B3698,Summary!$A$2:$A$201,0))</f>
        <v>1</v>
      </c>
      <c r="R3698" s="2" t="n">
        <f aca="false">INDEX(Summary!$N$2:$N$201,MATCH($B3698,Summary!$A$2:$A$201,0))</f>
        <v>10.21</v>
      </c>
      <c r="S3698" s="3" t="n">
        <f aca="false">INDEX(Summary!$O$2:$O$201,MATCH($B3698,Summary!$A$2:$A$201,0))</f>
        <v>8</v>
      </c>
      <c r="T3698" s="3" t="n">
        <f aca="false">INDEX(Summary!$P$2:$P$201,MATCH($B3698,Summary!$A$2:$A$201,0))</f>
        <v>1</v>
      </c>
      <c r="U3698" s="2" t="n">
        <f aca="false">INDEX(Summary!$Q$2:$Q$201,MATCH($B3698,Summary!$A$2:$A$201,0))</f>
        <v>14.1</v>
      </c>
      <c r="V3698" s="2" t="n">
        <f aca="false">INDEX(Summary!$R$2:$R$201,MATCH($B3698,Summary!$A$2:$A$201,0))</f>
        <v>26.34</v>
      </c>
      <c r="W3698" s="0" t="str">
        <f aca="false">INDEX(Summary!$S$2:$S$201,MATCH($B3698,Summary!$A$2:$A$201,0))</f>
        <v>Silver</v>
      </c>
      <c r="X3698" s="2" t="n">
        <f aca="false">INDEX(Summary!$T$2:$T$201,MATCH($B3698,Summary!$A$2:$A$201,0))</f>
        <v>64.24</v>
      </c>
      <c r="Y3698" s="0" t="str">
        <f aca="false">INDEX('Reward Model'!$E$18:$E$37,MATCH($E3698,'Reward Model'!$A$18:$A$37,0))</f>
        <v>High</v>
      </c>
      <c r="Z3698" s="4" t="n">
        <f aca="false">ROUND(MIN(1,MAX('Reward Model'!$B$2,INDEX('Reward Model'!$C$12:$C$14,MATCH($K3698,'Reward Model'!$A$12:$A$14,0))/$J3698)),3)</f>
        <v>0.93</v>
      </c>
      <c r="AA3698" s="2" t="n">
        <f aca="false">IF($I3698="Correct",ROUND(INDEX('Reward Model'!$B$12:$B$14,MATCH($K3698,'Reward Model'!$A$12:$A$14,0))*Z3698,2),0)</f>
        <v>2.79</v>
      </c>
      <c r="AB3698" s="2" t="n">
        <f aca="false">IF($I3698="Correct",ROUND(INDEX('Reward Model'!$B$12:$B$14,MATCH($Y3698,'Reward Model'!$A$12:$A$14,0))*Z3698,2),0)</f>
        <v>2.79</v>
      </c>
    </row>
    <row r="3699" customFormat="false" ht="15" hidden="false" customHeight="false" outlineLevel="0" collapsed="false">
      <c r="A3699" s="0" t="s">
        <v>500</v>
      </c>
      <c r="B3699" s="0" t="s">
        <v>501</v>
      </c>
      <c r="C3699" s="0" t="s">
        <v>322</v>
      </c>
      <c r="D3699" s="0" t="s">
        <v>275</v>
      </c>
      <c r="E3699" s="0" t="n">
        <v>18</v>
      </c>
      <c r="F3699" s="0" t="s">
        <v>76</v>
      </c>
      <c r="G3699" s="0" t="s">
        <v>77</v>
      </c>
      <c r="H3699" s="0" t="s">
        <v>77</v>
      </c>
      <c r="I3699" s="0" t="s">
        <v>34</v>
      </c>
      <c r="J3699" s="0" t="n">
        <v>1.31</v>
      </c>
      <c r="K3699" s="0" t="s">
        <v>73</v>
      </c>
      <c r="L3699" s="0" t="n">
        <f aca="false">INDEX(Summary!$F$2:$F$201,MATCH($B3699,Summary!$A$2:$A$201,0))</f>
        <v>20</v>
      </c>
      <c r="M3699" s="0" t="n">
        <f aca="false">INDEX(Summary!$I$2:$I$201,MATCH($B3699,Summary!$A$2:$A$201,0))</f>
        <v>2</v>
      </c>
      <c r="N3699" s="0" t="n">
        <f aca="false">INDEX(Summary!$J$2:$J$201,MATCH($B3699,Summary!$A$2:$A$201,0))</f>
        <v>3</v>
      </c>
      <c r="O3699" s="2" t="n">
        <f aca="false">INDEX(Summary!$K$2:$K$201,MATCH($B3699,Summary!$A$2:$A$201,0))</f>
        <v>8.24</v>
      </c>
      <c r="P3699" s="3" t="n">
        <f aca="false">INDEX(Summary!$L$2:$L$201,MATCH($B3699,Summary!$A$2:$A$201,0))</f>
        <v>5</v>
      </c>
      <c r="Q3699" s="3" t="n">
        <f aca="false">INDEX(Summary!$M$2:$M$201,MATCH($B3699,Summary!$A$2:$A$201,0))</f>
        <v>1</v>
      </c>
      <c r="R3699" s="2" t="n">
        <f aca="false">INDEX(Summary!$N$2:$N$201,MATCH($B3699,Summary!$A$2:$A$201,0))</f>
        <v>10.21</v>
      </c>
      <c r="S3699" s="3" t="n">
        <f aca="false">INDEX(Summary!$O$2:$O$201,MATCH($B3699,Summary!$A$2:$A$201,0))</f>
        <v>8</v>
      </c>
      <c r="T3699" s="3" t="n">
        <f aca="false">INDEX(Summary!$P$2:$P$201,MATCH($B3699,Summary!$A$2:$A$201,0))</f>
        <v>1</v>
      </c>
      <c r="U3699" s="2" t="n">
        <f aca="false">INDEX(Summary!$Q$2:$Q$201,MATCH($B3699,Summary!$A$2:$A$201,0))</f>
        <v>14.1</v>
      </c>
      <c r="V3699" s="2" t="n">
        <f aca="false">INDEX(Summary!$R$2:$R$201,MATCH($B3699,Summary!$A$2:$A$201,0))</f>
        <v>26.34</v>
      </c>
      <c r="W3699" s="0" t="str">
        <f aca="false">INDEX(Summary!$S$2:$S$201,MATCH($B3699,Summary!$A$2:$A$201,0))</f>
        <v>Silver</v>
      </c>
      <c r="X3699" s="2" t="n">
        <f aca="false">INDEX(Summary!$T$2:$T$201,MATCH($B3699,Summary!$A$2:$A$201,0))</f>
        <v>64.24</v>
      </c>
      <c r="Y3699" s="0" t="str">
        <f aca="false">INDEX('Reward Model'!$E$18:$E$37,MATCH($E3699,'Reward Model'!$A$18:$A$37,0))</f>
        <v>High</v>
      </c>
      <c r="Z3699" s="4" t="n">
        <f aca="false">ROUND(MIN(1,MAX('Reward Model'!$B$2,INDEX('Reward Model'!$C$12:$C$14,MATCH($K3699,'Reward Model'!$A$12:$A$14,0))/$J3699)),3)</f>
        <v>1</v>
      </c>
      <c r="AA3699" s="2" t="n">
        <f aca="false">IF($I3699="Correct",ROUND(INDEX('Reward Model'!$B$12:$B$14,MATCH($K3699,'Reward Model'!$A$12:$A$14,0))*Z3699,2),0)</f>
        <v>3</v>
      </c>
      <c r="AB3699" s="2" t="n">
        <f aca="false">IF($I3699="Correct",ROUND(INDEX('Reward Model'!$B$12:$B$14,MATCH($Y3699,'Reward Model'!$A$12:$A$14,0))*Z3699,2),0)</f>
        <v>3</v>
      </c>
    </row>
    <row r="3700" customFormat="false" ht="15" hidden="false" customHeight="false" outlineLevel="0" collapsed="false">
      <c r="A3700" s="0" t="s">
        <v>500</v>
      </c>
      <c r="B3700" s="0" t="s">
        <v>501</v>
      </c>
      <c r="C3700" s="0" t="s">
        <v>322</v>
      </c>
      <c r="D3700" s="0" t="s">
        <v>275</v>
      </c>
      <c r="E3700" s="0" t="n">
        <v>19</v>
      </c>
      <c r="F3700" s="0" t="s">
        <v>78</v>
      </c>
      <c r="G3700" s="0" t="s">
        <v>132</v>
      </c>
      <c r="H3700" s="0" t="s">
        <v>80</v>
      </c>
      <c r="I3700" s="0" t="s">
        <v>39</v>
      </c>
      <c r="J3700" s="0" t="n">
        <v>1.51</v>
      </c>
      <c r="K3700" s="0" t="s">
        <v>73</v>
      </c>
      <c r="L3700" s="0" t="n">
        <f aca="false">INDEX(Summary!$F$2:$F$201,MATCH($B3700,Summary!$A$2:$A$201,0))</f>
        <v>20</v>
      </c>
      <c r="M3700" s="0" t="n">
        <f aca="false">INDEX(Summary!$I$2:$I$201,MATCH($B3700,Summary!$A$2:$A$201,0))</f>
        <v>2</v>
      </c>
      <c r="N3700" s="0" t="n">
        <f aca="false">INDEX(Summary!$J$2:$J$201,MATCH($B3700,Summary!$A$2:$A$201,0))</f>
        <v>3</v>
      </c>
      <c r="O3700" s="2" t="n">
        <f aca="false">INDEX(Summary!$K$2:$K$201,MATCH($B3700,Summary!$A$2:$A$201,0))</f>
        <v>8.24</v>
      </c>
      <c r="P3700" s="3" t="n">
        <f aca="false">INDEX(Summary!$L$2:$L$201,MATCH($B3700,Summary!$A$2:$A$201,0))</f>
        <v>5</v>
      </c>
      <c r="Q3700" s="3" t="n">
        <f aca="false">INDEX(Summary!$M$2:$M$201,MATCH($B3700,Summary!$A$2:$A$201,0))</f>
        <v>1</v>
      </c>
      <c r="R3700" s="2" t="n">
        <f aca="false">INDEX(Summary!$N$2:$N$201,MATCH($B3700,Summary!$A$2:$A$201,0))</f>
        <v>10.21</v>
      </c>
      <c r="S3700" s="3" t="n">
        <f aca="false">INDEX(Summary!$O$2:$O$201,MATCH($B3700,Summary!$A$2:$A$201,0))</f>
        <v>8</v>
      </c>
      <c r="T3700" s="3" t="n">
        <f aca="false">INDEX(Summary!$P$2:$P$201,MATCH($B3700,Summary!$A$2:$A$201,0))</f>
        <v>1</v>
      </c>
      <c r="U3700" s="2" t="n">
        <f aca="false">INDEX(Summary!$Q$2:$Q$201,MATCH($B3700,Summary!$A$2:$A$201,0))</f>
        <v>14.1</v>
      </c>
      <c r="V3700" s="2" t="n">
        <f aca="false">INDEX(Summary!$R$2:$R$201,MATCH($B3700,Summary!$A$2:$A$201,0))</f>
        <v>26.34</v>
      </c>
      <c r="W3700" s="0" t="str">
        <f aca="false">INDEX(Summary!$S$2:$S$201,MATCH($B3700,Summary!$A$2:$A$201,0))</f>
        <v>Silver</v>
      </c>
      <c r="X3700" s="2" t="n">
        <f aca="false">INDEX(Summary!$T$2:$T$201,MATCH($B3700,Summary!$A$2:$A$201,0))</f>
        <v>64.24</v>
      </c>
      <c r="Y3700" s="0" t="str">
        <f aca="false">INDEX('Reward Model'!$E$18:$E$37,MATCH($E3700,'Reward Model'!$A$18:$A$37,0))</f>
        <v>High</v>
      </c>
      <c r="Z3700" s="4" t="n">
        <f aca="false">ROUND(MIN(1,MAX('Reward Model'!$B$2,INDEX('Reward Model'!$C$12:$C$14,MATCH($K3700,'Reward Model'!$A$12:$A$14,0))/$J3700)),3)</f>
        <v>1</v>
      </c>
      <c r="AA3700" s="2" t="n">
        <f aca="false">IF($I3700="Correct",ROUND(INDEX('Reward Model'!$B$12:$B$14,MATCH($K3700,'Reward Model'!$A$12:$A$14,0))*Z3700,2),0)</f>
        <v>0</v>
      </c>
      <c r="AB3700" s="2" t="n">
        <f aca="false">IF($I3700="Correct",ROUND(INDEX('Reward Model'!$B$12:$B$14,MATCH($Y3700,'Reward Model'!$A$12:$A$14,0))*Z3700,2),0)</f>
        <v>0</v>
      </c>
    </row>
    <row r="3701" customFormat="false" ht="15" hidden="false" customHeight="false" outlineLevel="0" collapsed="false">
      <c r="A3701" s="0" t="s">
        <v>500</v>
      </c>
      <c r="B3701" s="0" t="s">
        <v>501</v>
      </c>
      <c r="C3701" s="0" t="s">
        <v>322</v>
      </c>
      <c r="D3701" s="0" t="s">
        <v>275</v>
      </c>
      <c r="E3701" s="0" t="n">
        <v>20</v>
      </c>
      <c r="F3701" s="0" t="s">
        <v>81</v>
      </c>
      <c r="G3701" s="0" t="s">
        <v>119</v>
      </c>
      <c r="H3701" s="0" t="s">
        <v>83</v>
      </c>
      <c r="I3701" s="0" t="s">
        <v>39</v>
      </c>
      <c r="J3701" s="0" t="n">
        <v>1.36</v>
      </c>
      <c r="K3701" s="0" t="s">
        <v>73</v>
      </c>
      <c r="L3701" s="0" t="n">
        <f aca="false">INDEX(Summary!$F$2:$F$201,MATCH($B3701,Summary!$A$2:$A$201,0))</f>
        <v>20</v>
      </c>
      <c r="M3701" s="0" t="n">
        <f aca="false">INDEX(Summary!$I$2:$I$201,MATCH($B3701,Summary!$A$2:$A$201,0))</f>
        <v>2</v>
      </c>
      <c r="N3701" s="0" t="n">
        <f aca="false">INDEX(Summary!$J$2:$J$201,MATCH($B3701,Summary!$A$2:$A$201,0))</f>
        <v>3</v>
      </c>
      <c r="O3701" s="2" t="n">
        <f aca="false">INDEX(Summary!$K$2:$K$201,MATCH($B3701,Summary!$A$2:$A$201,0))</f>
        <v>8.24</v>
      </c>
      <c r="P3701" s="3" t="n">
        <f aca="false">INDEX(Summary!$L$2:$L$201,MATCH($B3701,Summary!$A$2:$A$201,0))</f>
        <v>5</v>
      </c>
      <c r="Q3701" s="3" t="n">
        <f aca="false">INDEX(Summary!$M$2:$M$201,MATCH($B3701,Summary!$A$2:$A$201,0))</f>
        <v>1</v>
      </c>
      <c r="R3701" s="2" t="n">
        <f aca="false">INDEX(Summary!$N$2:$N$201,MATCH($B3701,Summary!$A$2:$A$201,0))</f>
        <v>10.21</v>
      </c>
      <c r="S3701" s="3" t="n">
        <f aca="false">INDEX(Summary!$O$2:$O$201,MATCH($B3701,Summary!$A$2:$A$201,0))</f>
        <v>8</v>
      </c>
      <c r="T3701" s="3" t="n">
        <f aca="false">INDEX(Summary!$P$2:$P$201,MATCH($B3701,Summary!$A$2:$A$201,0))</f>
        <v>1</v>
      </c>
      <c r="U3701" s="2" t="n">
        <f aca="false">INDEX(Summary!$Q$2:$Q$201,MATCH($B3701,Summary!$A$2:$A$201,0))</f>
        <v>14.1</v>
      </c>
      <c r="V3701" s="2" t="n">
        <f aca="false">INDEX(Summary!$R$2:$R$201,MATCH($B3701,Summary!$A$2:$A$201,0))</f>
        <v>26.34</v>
      </c>
      <c r="W3701" s="0" t="str">
        <f aca="false">INDEX(Summary!$S$2:$S$201,MATCH($B3701,Summary!$A$2:$A$201,0))</f>
        <v>Silver</v>
      </c>
      <c r="X3701" s="2" t="n">
        <f aca="false">INDEX(Summary!$T$2:$T$201,MATCH($B3701,Summary!$A$2:$A$201,0))</f>
        <v>64.24</v>
      </c>
      <c r="Y3701" s="0" t="str">
        <f aca="false">INDEX('Reward Model'!$E$18:$E$37,MATCH($E3701,'Reward Model'!$A$18:$A$37,0))</f>
        <v>High</v>
      </c>
      <c r="Z3701" s="4" t="n">
        <f aca="false">ROUND(MIN(1,MAX('Reward Model'!$B$2,INDEX('Reward Model'!$C$12:$C$14,MATCH($K3701,'Reward Model'!$A$12:$A$14,0))/$J3701)),3)</f>
        <v>1</v>
      </c>
      <c r="AA3701" s="2" t="n">
        <f aca="false">IF($I3701="Correct",ROUND(INDEX('Reward Model'!$B$12:$B$14,MATCH($K3701,'Reward Model'!$A$12:$A$14,0))*Z3701,2),0)</f>
        <v>0</v>
      </c>
      <c r="AB3701" s="2" t="n">
        <f aca="false">IF($I3701="Correct",ROUND(INDEX('Reward Model'!$B$12:$B$14,MATCH($Y3701,'Reward Model'!$A$12:$A$14,0))*Z3701,2),0)</f>
        <v>0</v>
      </c>
    </row>
    <row r="3702" customFormat="false" ht="15" hidden="false" customHeight="false" outlineLevel="0" collapsed="false">
      <c r="A3702" s="0" t="s">
        <v>502</v>
      </c>
      <c r="B3702" s="0" t="s">
        <v>503</v>
      </c>
      <c r="C3702" s="0" t="s">
        <v>322</v>
      </c>
      <c r="D3702" s="0" t="s">
        <v>275</v>
      </c>
      <c r="E3702" s="0" t="n">
        <v>1</v>
      </c>
      <c r="F3702" s="0" t="s">
        <v>32</v>
      </c>
      <c r="G3702" s="0" t="s">
        <v>33</v>
      </c>
      <c r="H3702" s="0" t="s">
        <v>33</v>
      </c>
      <c r="I3702" s="0" t="s">
        <v>34</v>
      </c>
      <c r="J3702" s="0" t="n">
        <v>1.27</v>
      </c>
      <c r="K3702" s="0" t="s">
        <v>35</v>
      </c>
      <c r="L3702" s="0" t="n">
        <f aca="false">INDEX(Summary!$F$2:$F$201,MATCH($B3702,Summary!$A$2:$A$201,0))</f>
        <v>20</v>
      </c>
      <c r="M3702" s="0" t="n">
        <f aca="false">INDEX(Summary!$I$2:$I$201,MATCH($B3702,Summary!$A$2:$A$201,0))</f>
        <v>2</v>
      </c>
      <c r="N3702" s="0" t="n">
        <f aca="false">INDEX(Summary!$J$2:$J$201,MATCH($B3702,Summary!$A$2:$A$201,0))</f>
        <v>3</v>
      </c>
      <c r="O3702" s="2" t="n">
        <f aca="false">INDEX(Summary!$K$2:$K$201,MATCH($B3702,Summary!$A$2:$A$201,0))</f>
        <v>9.64</v>
      </c>
      <c r="P3702" s="3" t="n">
        <f aca="false">INDEX(Summary!$L$2:$L$201,MATCH($B3702,Summary!$A$2:$A$201,0))</f>
        <v>2</v>
      </c>
      <c r="Q3702" s="3" t="n">
        <f aca="false">INDEX(Summary!$M$2:$M$201,MATCH($B3702,Summary!$A$2:$A$201,0))</f>
        <v>4</v>
      </c>
      <c r="R3702" s="2" t="n">
        <f aca="false">INDEX(Summary!$N$2:$N$201,MATCH($B3702,Summary!$A$2:$A$201,0))</f>
        <v>10.75</v>
      </c>
      <c r="S3702" s="3" t="n">
        <f aca="false">INDEX(Summary!$O$2:$O$201,MATCH($B3702,Summary!$A$2:$A$201,0))</f>
        <v>8</v>
      </c>
      <c r="T3702" s="3" t="n">
        <f aca="false">INDEX(Summary!$P$2:$P$201,MATCH($B3702,Summary!$A$2:$A$201,0))</f>
        <v>1</v>
      </c>
      <c r="U3702" s="2" t="n">
        <f aca="false">INDEX(Summary!$Q$2:$Q$201,MATCH($B3702,Summary!$A$2:$A$201,0))</f>
        <v>13.74</v>
      </c>
      <c r="V3702" s="2" t="n">
        <f aca="false">INDEX(Summary!$R$2:$R$201,MATCH($B3702,Summary!$A$2:$A$201,0))</f>
        <v>20.4</v>
      </c>
      <c r="W3702" s="0" t="str">
        <f aca="false">INDEX(Summary!$S$2:$S$201,MATCH($B3702,Summary!$A$2:$A$201,0))</f>
        <v>Bronze</v>
      </c>
      <c r="X3702" s="2" t="n">
        <f aca="false">INDEX(Summary!$T$2:$T$201,MATCH($B3702,Summary!$A$2:$A$201,0))</f>
        <v>49.76</v>
      </c>
      <c r="Y3702" s="0" t="str">
        <f aca="false">INDEX('Reward Model'!$E$18:$E$37,MATCH($E3702,'Reward Model'!$A$18:$A$37,0))</f>
        <v>Medium</v>
      </c>
      <c r="Z3702" s="4" t="n">
        <f aca="false">ROUND(MIN(1,MAX('Reward Model'!$B$2,INDEX('Reward Model'!$C$12:$C$14,MATCH($K3702,'Reward Model'!$A$12:$A$14,0))/$J3702)),3)</f>
        <v>1</v>
      </c>
      <c r="AA3702" s="2" t="n">
        <f aca="false">IF($I3702="Correct",ROUND(INDEX('Reward Model'!$B$12:$B$14,MATCH($K3702,'Reward Model'!$A$12:$A$14,0))*Z3702,2),0)</f>
        <v>1</v>
      </c>
      <c r="AB3702" s="2" t="n">
        <f aca="false">IF($I3702="Correct",ROUND(INDEX('Reward Model'!$B$12:$B$14,MATCH($Y3702,'Reward Model'!$A$12:$A$14,0))*Z3702,2),0)</f>
        <v>2</v>
      </c>
    </row>
    <row r="3703" customFormat="false" ht="15" hidden="false" customHeight="false" outlineLevel="0" collapsed="false">
      <c r="A3703" s="0" t="s">
        <v>502</v>
      </c>
      <c r="B3703" s="0" t="s">
        <v>503</v>
      </c>
      <c r="C3703" s="0" t="s">
        <v>322</v>
      </c>
      <c r="D3703" s="0" t="s">
        <v>275</v>
      </c>
      <c r="E3703" s="0" t="n">
        <v>2</v>
      </c>
      <c r="F3703" s="0" t="s">
        <v>36</v>
      </c>
      <c r="G3703" s="0" t="s">
        <v>38</v>
      </c>
      <c r="H3703" s="0" t="s">
        <v>38</v>
      </c>
      <c r="I3703" s="0" t="s">
        <v>34</v>
      </c>
      <c r="J3703" s="0" t="n">
        <v>1.36</v>
      </c>
      <c r="K3703" s="0" t="s">
        <v>35</v>
      </c>
      <c r="L3703" s="0" t="n">
        <f aca="false">INDEX(Summary!$F$2:$F$201,MATCH($B3703,Summary!$A$2:$A$201,0))</f>
        <v>20</v>
      </c>
      <c r="M3703" s="0" t="n">
        <f aca="false">INDEX(Summary!$I$2:$I$201,MATCH($B3703,Summary!$A$2:$A$201,0))</f>
        <v>2</v>
      </c>
      <c r="N3703" s="0" t="n">
        <f aca="false">INDEX(Summary!$J$2:$J$201,MATCH($B3703,Summary!$A$2:$A$201,0))</f>
        <v>3</v>
      </c>
      <c r="O3703" s="2" t="n">
        <f aca="false">INDEX(Summary!$K$2:$K$201,MATCH($B3703,Summary!$A$2:$A$201,0))</f>
        <v>9.64</v>
      </c>
      <c r="P3703" s="3" t="n">
        <f aca="false">INDEX(Summary!$L$2:$L$201,MATCH($B3703,Summary!$A$2:$A$201,0))</f>
        <v>2</v>
      </c>
      <c r="Q3703" s="3" t="n">
        <f aca="false">INDEX(Summary!$M$2:$M$201,MATCH($B3703,Summary!$A$2:$A$201,0))</f>
        <v>4</v>
      </c>
      <c r="R3703" s="2" t="n">
        <f aca="false">INDEX(Summary!$N$2:$N$201,MATCH($B3703,Summary!$A$2:$A$201,0))</f>
        <v>10.75</v>
      </c>
      <c r="S3703" s="3" t="n">
        <f aca="false">INDEX(Summary!$O$2:$O$201,MATCH($B3703,Summary!$A$2:$A$201,0))</f>
        <v>8</v>
      </c>
      <c r="T3703" s="3" t="n">
        <f aca="false">INDEX(Summary!$P$2:$P$201,MATCH($B3703,Summary!$A$2:$A$201,0))</f>
        <v>1</v>
      </c>
      <c r="U3703" s="2" t="n">
        <f aca="false">INDEX(Summary!$Q$2:$Q$201,MATCH($B3703,Summary!$A$2:$A$201,0))</f>
        <v>13.74</v>
      </c>
      <c r="V3703" s="2" t="n">
        <f aca="false">INDEX(Summary!$R$2:$R$201,MATCH($B3703,Summary!$A$2:$A$201,0))</f>
        <v>20.4</v>
      </c>
      <c r="W3703" s="0" t="str">
        <f aca="false">INDEX(Summary!$S$2:$S$201,MATCH($B3703,Summary!$A$2:$A$201,0))</f>
        <v>Bronze</v>
      </c>
      <c r="X3703" s="2" t="n">
        <f aca="false">INDEX(Summary!$T$2:$T$201,MATCH($B3703,Summary!$A$2:$A$201,0))</f>
        <v>49.76</v>
      </c>
      <c r="Y3703" s="0" t="str">
        <f aca="false">INDEX('Reward Model'!$E$18:$E$37,MATCH($E3703,'Reward Model'!$A$18:$A$37,0))</f>
        <v>Low</v>
      </c>
      <c r="Z3703" s="4" t="n">
        <f aca="false">ROUND(MIN(1,MAX('Reward Model'!$B$2,INDEX('Reward Model'!$C$12:$C$14,MATCH($K3703,'Reward Model'!$A$12:$A$14,0))/$J3703)),3)</f>
        <v>1</v>
      </c>
      <c r="AA3703" s="2" t="n">
        <f aca="false">IF($I3703="Correct",ROUND(INDEX('Reward Model'!$B$12:$B$14,MATCH($K3703,'Reward Model'!$A$12:$A$14,0))*Z3703,2),0)</f>
        <v>1</v>
      </c>
      <c r="AB3703" s="2" t="n">
        <f aca="false">IF($I3703="Correct",ROUND(INDEX('Reward Model'!$B$12:$B$14,MATCH($Y3703,'Reward Model'!$A$12:$A$14,0))*Z3703,2),0)</f>
        <v>1</v>
      </c>
    </row>
    <row r="3704" customFormat="false" ht="15" hidden="false" customHeight="false" outlineLevel="0" collapsed="false">
      <c r="A3704" s="0" t="s">
        <v>502</v>
      </c>
      <c r="B3704" s="0" t="s">
        <v>503</v>
      </c>
      <c r="C3704" s="0" t="s">
        <v>322</v>
      </c>
      <c r="D3704" s="0" t="s">
        <v>275</v>
      </c>
      <c r="E3704" s="0" t="n">
        <v>3</v>
      </c>
      <c r="F3704" s="0" t="s">
        <v>40</v>
      </c>
      <c r="G3704" s="0" t="s">
        <v>42</v>
      </c>
      <c r="H3704" s="0" t="s">
        <v>42</v>
      </c>
      <c r="I3704" s="0" t="s">
        <v>34</v>
      </c>
      <c r="J3704" s="0" t="n">
        <v>1.97</v>
      </c>
      <c r="K3704" s="0" t="s">
        <v>35</v>
      </c>
      <c r="L3704" s="0" t="n">
        <f aca="false">INDEX(Summary!$F$2:$F$201,MATCH($B3704,Summary!$A$2:$A$201,0))</f>
        <v>20</v>
      </c>
      <c r="M3704" s="0" t="n">
        <f aca="false">INDEX(Summary!$I$2:$I$201,MATCH($B3704,Summary!$A$2:$A$201,0))</f>
        <v>2</v>
      </c>
      <c r="N3704" s="0" t="n">
        <f aca="false">INDEX(Summary!$J$2:$J$201,MATCH($B3704,Summary!$A$2:$A$201,0))</f>
        <v>3</v>
      </c>
      <c r="O3704" s="2" t="n">
        <f aca="false">INDEX(Summary!$K$2:$K$201,MATCH($B3704,Summary!$A$2:$A$201,0))</f>
        <v>9.64</v>
      </c>
      <c r="P3704" s="3" t="n">
        <f aca="false">INDEX(Summary!$L$2:$L$201,MATCH($B3704,Summary!$A$2:$A$201,0))</f>
        <v>2</v>
      </c>
      <c r="Q3704" s="3" t="n">
        <f aca="false">INDEX(Summary!$M$2:$M$201,MATCH($B3704,Summary!$A$2:$A$201,0))</f>
        <v>4</v>
      </c>
      <c r="R3704" s="2" t="n">
        <f aca="false">INDEX(Summary!$N$2:$N$201,MATCH($B3704,Summary!$A$2:$A$201,0))</f>
        <v>10.75</v>
      </c>
      <c r="S3704" s="3" t="n">
        <f aca="false">INDEX(Summary!$O$2:$O$201,MATCH($B3704,Summary!$A$2:$A$201,0))</f>
        <v>8</v>
      </c>
      <c r="T3704" s="3" t="n">
        <f aca="false">INDEX(Summary!$P$2:$P$201,MATCH($B3704,Summary!$A$2:$A$201,0))</f>
        <v>1</v>
      </c>
      <c r="U3704" s="2" t="n">
        <f aca="false">INDEX(Summary!$Q$2:$Q$201,MATCH($B3704,Summary!$A$2:$A$201,0))</f>
        <v>13.74</v>
      </c>
      <c r="V3704" s="2" t="n">
        <f aca="false">INDEX(Summary!$R$2:$R$201,MATCH($B3704,Summary!$A$2:$A$201,0))</f>
        <v>20.4</v>
      </c>
      <c r="W3704" s="0" t="str">
        <f aca="false">INDEX(Summary!$S$2:$S$201,MATCH($B3704,Summary!$A$2:$A$201,0))</f>
        <v>Bronze</v>
      </c>
      <c r="X3704" s="2" t="n">
        <f aca="false">INDEX(Summary!$T$2:$T$201,MATCH($B3704,Summary!$A$2:$A$201,0))</f>
        <v>49.76</v>
      </c>
      <c r="Y3704" s="0" t="str">
        <f aca="false">INDEX('Reward Model'!$E$18:$E$37,MATCH($E3704,'Reward Model'!$A$18:$A$37,0))</f>
        <v>Medium</v>
      </c>
      <c r="Z3704" s="4" t="n">
        <f aca="false">ROUND(MIN(1,MAX('Reward Model'!$B$2,INDEX('Reward Model'!$C$12:$C$14,MATCH($K3704,'Reward Model'!$A$12:$A$14,0))/$J3704)),3)</f>
        <v>0.761</v>
      </c>
      <c r="AA3704" s="2" t="n">
        <f aca="false">IF($I3704="Correct",ROUND(INDEX('Reward Model'!$B$12:$B$14,MATCH($K3704,'Reward Model'!$A$12:$A$14,0))*Z3704,2),0)</f>
        <v>0.76</v>
      </c>
      <c r="AB3704" s="2" t="n">
        <f aca="false">IF($I3704="Correct",ROUND(INDEX('Reward Model'!$B$12:$B$14,MATCH($Y3704,'Reward Model'!$A$12:$A$14,0))*Z3704,2),0)</f>
        <v>1.52</v>
      </c>
    </row>
    <row r="3705" customFormat="false" ht="15" hidden="false" customHeight="false" outlineLevel="0" collapsed="false">
      <c r="A3705" s="0" t="s">
        <v>502</v>
      </c>
      <c r="B3705" s="0" t="s">
        <v>503</v>
      </c>
      <c r="C3705" s="0" t="s">
        <v>322</v>
      </c>
      <c r="D3705" s="0" t="s">
        <v>275</v>
      </c>
      <c r="E3705" s="0" t="n">
        <v>4</v>
      </c>
      <c r="F3705" s="0" t="s">
        <v>43</v>
      </c>
      <c r="G3705" s="0" t="s">
        <v>45</v>
      </c>
      <c r="H3705" s="0" t="s">
        <v>45</v>
      </c>
      <c r="I3705" s="0" t="s">
        <v>34</v>
      </c>
      <c r="J3705" s="0" t="n">
        <v>1.98</v>
      </c>
      <c r="K3705" s="0" t="s">
        <v>35</v>
      </c>
      <c r="L3705" s="0" t="n">
        <f aca="false">INDEX(Summary!$F$2:$F$201,MATCH($B3705,Summary!$A$2:$A$201,0))</f>
        <v>20</v>
      </c>
      <c r="M3705" s="0" t="n">
        <f aca="false">INDEX(Summary!$I$2:$I$201,MATCH($B3705,Summary!$A$2:$A$201,0))</f>
        <v>2</v>
      </c>
      <c r="N3705" s="0" t="n">
        <f aca="false">INDEX(Summary!$J$2:$J$201,MATCH($B3705,Summary!$A$2:$A$201,0))</f>
        <v>3</v>
      </c>
      <c r="O3705" s="2" t="n">
        <f aca="false">INDEX(Summary!$K$2:$K$201,MATCH($B3705,Summary!$A$2:$A$201,0))</f>
        <v>9.64</v>
      </c>
      <c r="P3705" s="3" t="n">
        <f aca="false">INDEX(Summary!$L$2:$L$201,MATCH($B3705,Summary!$A$2:$A$201,0))</f>
        <v>2</v>
      </c>
      <c r="Q3705" s="3" t="n">
        <f aca="false">INDEX(Summary!$M$2:$M$201,MATCH($B3705,Summary!$A$2:$A$201,0))</f>
        <v>4</v>
      </c>
      <c r="R3705" s="2" t="n">
        <f aca="false">INDEX(Summary!$N$2:$N$201,MATCH($B3705,Summary!$A$2:$A$201,0))</f>
        <v>10.75</v>
      </c>
      <c r="S3705" s="3" t="n">
        <f aca="false">INDEX(Summary!$O$2:$O$201,MATCH($B3705,Summary!$A$2:$A$201,0))</f>
        <v>8</v>
      </c>
      <c r="T3705" s="3" t="n">
        <f aca="false">INDEX(Summary!$P$2:$P$201,MATCH($B3705,Summary!$A$2:$A$201,0))</f>
        <v>1</v>
      </c>
      <c r="U3705" s="2" t="n">
        <f aca="false">INDEX(Summary!$Q$2:$Q$201,MATCH($B3705,Summary!$A$2:$A$201,0))</f>
        <v>13.74</v>
      </c>
      <c r="V3705" s="2" t="n">
        <f aca="false">INDEX(Summary!$R$2:$R$201,MATCH($B3705,Summary!$A$2:$A$201,0))</f>
        <v>20.4</v>
      </c>
      <c r="W3705" s="0" t="str">
        <f aca="false">INDEX(Summary!$S$2:$S$201,MATCH($B3705,Summary!$A$2:$A$201,0))</f>
        <v>Bronze</v>
      </c>
      <c r="X3705" s="2" t="n">
        <f aca="false">INDEX(Summary!$T$2:$T$201,MATCH($B3705,Summary!$A$2:$A$201,0))</f>
        <v>49.76</v>
      </c>
      <c r="Y3705" s="0" t="str">
        <f aca="false">INDEX('Reward Model'!$E$18:$E$37,MATCH($E3705,'Reward Model'!$A$18:$A$37,0))</f>
        <v>Low</v>
      </c>
      <c r="Z3705" s="4" t="n">
        <f aca="false">ROUND(MIN(1,MAX('Reward Model'!$B$2,INDEX('Reward Model'!$C$12:$C$14,MATCH($K3705,'Reward Model'!$A$12:$A$14,0))/$J3705)),3)</f>
        <v>0.758</v>
      </c>
      <c r="AA3705" s="2" t="n">
        <f aca="false">IF($I3705="Correct",ROUND(INDEX('Reward Model'!$B$12:$B$14,MATCH($K3705,'Reward Model'!$A$12:$A$14,0))*Z3705,2),0)</f>
        <v>0.76</v>
      </c>
      <c r="AB3705" s="2" t="n">
        <f aca="false">IF($I3705="Correct",ROUND(INDEX('Reward Model'!$B$12:$B$14,MATCH($Y3705,'Reward Model'!$A$12:$A$14,0))*Z3705,2),0)</f>
        <v>0.76</v>
      </c>
    </row>
    <row r="3706" customFormat="false" ht="15" hidden="false" customHeight="false" outlineLevel="0" collapsed="false">
      <c r="A3706" s="0" t="s">
        <v>502</v>
      </c>
      <c r="B3706" s="0" t="s">
        <v>503</v>
      </c>
      <c r="C3706" s="0" t="s">
        <v>322</v>
      </c>
      <c r="D3706" s="0" t="s">
        <v>275</v>
      </c>
      <c r="E3706" s="0" t="n">
        <v>5</v>
      </c>
      <c r="F3706" s="0" t="s">
        <v>46</v>
      </c>
      <c r="G3706" s="0" t="s">
        <v>47</v>
      </c>
      <c r="H3706" s="0" t="s">
        <v>47</v>
      </c>
      <c r="I3706" s="0" t="s">
        <v>34</v>
      </c>
      <c r="J3706" s="0" t="n">
        <v>1.93</v>
      </c>
      <c r="K3706" s="0" t="s">
        <v>35</v>
      </c>
      <c r="L3706" s="0" t="n">
        <f aca="false">INDEX(Summary!$F$2:$F$201,MATCH($B3706,Summary!$A$2:$A$201,0))</f>
        <v>20</v>
      </c>
      <c r="M3706" s="0" t="n">
        <f aca="false">INDEX(Summary!$I$2:$I$201,MATCH($B3706,Summary!$A$2:$A$201,0))</f>
        <v>2</v>
      </c>
      <c r="N3706" s="0" t="n">
        <f aca="false">INDEX(Summary!$J$2:$J$201,MATCH($B3706,Summary!$A$2:$A$201,0))</f>
        <v>3</v>
      </c>
      <c r="O3706" s="2" t="n">
        <f aca="false">INDEX(Summary!$K$2:$K$201,MATCH($B3706,Summary!$A$2:$A$201,0))</f>
        <v>9.64</v>
      </c>
      <c r="P3706" s="3" t="n">
        <f aca="false">INDEX(Summary!$L$2:$L$201,MATCH($B3706,Summary!$A$2:$A$201,0))</f>
        <v>2</v>
      </c>
      <c r="Q3706" s="3" t="n">
        <f aca="false">INDEX(Summary!$M$2:$M$201,MATCH($B3706,Summary!$A$2:$A$201,0))</f>
        <v>4</v>
      </c>
      <c r="R3706" s="2" t="n">
        <f aca="false">INDEX(Summary!$N$2:$N$201,MATCH($B3706,Summary!$A$2:$A$201,0))</f>
        <v>10.75</v>
      </c>
      <c r="S3706" s="3" t="n">
        <f aca="false">INDEX(Summary!$O$2:$O$201,MATCH($B3706,Summary!$A$2:$A$201,0))</f>
        <v>8</v>
      </c>
      <c r="T3706" s="3" t="n">
        <f aca="false">INDEX(Summary!$P$2:$P$201,MATCH($B3706,Summary!$A$2:$A$201,0))</f>
        <v>1</v>
      </c>
      <c r="U3706" s="2" t="n">
        <f aca="false">INDEX(Summary!$Q$2:$Q$201,MATCH($B3706,Summary!$A$2:$A$201,0))</f>
        <v>13.74</v>
      </c>
      <c r="V3706" s="2" t="n">
        <f aca="false">INDEX(Summary!$R$2:$R$201,MATCH($B3706,Summary!$A$2:$A$201,0))</f>
        <v>20.4</v>
      </c>
      <c r="W3706" s="0" t="str">
        <f aca="false">INDEX(Summary!$S$2:$S$201,MATCH($B3706,Summary!$A$2:$A$201,0))</f>
        <v>Bronze</v>
      </c>
      <c r="X3706" s="2" t="n">
        <f aca="false">INDEX(Summary!$T$2:$T$201,MATCH($B3706,Summary!$A$2:$A$201,0))</f>
        <v>49.76</v>
      </c>
      <c r="Y3706" s="0" t="str">
        <f aca="false">INDEX('Reward Model'!$E$18:$E$37,MATCH($E3706,'Reward Model'!$A$18:$A$37,0))</f>
        <v>Low</v>
      </c>
      <c r="Z3706" s="4" t="n">
        <f aca="false">ROUND(MIN(1,MAX('Reward Model'!$B$2,INDEX('Reward Model'!$C$12:$C$14,MATCH($K3706,'Reward Model'!$A$12:$A$14,0))/$J3706)),3)</f>
        <v>0.777</v>
      </c>
      <c r="AA3706" s="2" t="n">
        <f aca="false">IF($I3706="Correct",ROUND(INDEX('Reward Model'!$B$12:$B$14,MATCH($K3706,'Reward Model'!$A$12:$A$14,0))*Z3706,2),0)</f>
        <v>0.78</v>
      </c>
      <c r="AB3706" s="2" t="n">
        <f aca="false">IF($I3706="Correct",ROUND(INDEX('Reward Model'!$B$12:$B$14,MATCH($Y3706,'Reward Model'!$A$12:$A$14,0))*Z3706,2),0)</f>
        <v>0.78</v>
      </c>
    </row>
    <row r="3707" customFormat="false" ht="15" hidden="false" customHeight="false" outlineLevel="0" collapsed="false">
      <c r="A3707" s="0" t="s">
        <v>502</v>
      </c>
      <c r="B3707" s="0" t="s">
        <v>503</v>
      </c>
      <c r="C3707" s="0" t="s">
        <v>322</v>
      </c>
      <c r="D3707" s="0" t="s">
        <v>275</v>
      </c>
      <c r="E3707" s="0" t="n">
        <v>6</v>
      </c>
      <c r="F3707" s="0" t="s">
        <v>48</v>
      </c>
      <c r="G3707" s="0" t="s">
        <v>49</v>
      </c>
      <c r="H3707" s="0" t="s">
        <v>49</v>
      </c>
      <c r="I3707" s="0" t="s">
        <v>34</v>
      </c>
      <c r="J3707" s="0" t="n">
        <v>1.03</v>
      </c>
      <c r="K3707" s="0" t="s">
        <v>35</v>
      </c>
      <c r="L3707" s="0" t="n">
        <f aca="false">INDEX(Summary!$F$2:$F$201,MATCH($B3707,Summary!$A$2:$A$201,0))</f>
        <v>20</v>
      </c>
      <c r="M3707" s="0" t="n">
        <f aca="false">INDEX(Summary!$I$2:$I$201,MATCH($B3707,Summary!$A$2:$A$201,0))</f>
        <v>2</v>
      </c>
      <c r="N3707" s="0" t="n">
        <f aca="false">INDEX(Summary!$J$2:$J$201,MATCH($B3707,Summary!$A$2:$A$201,0))</f>
        <v>3</v>
      </c>
      <c r="O3707" s="2" t="n">
        <f aca="false">INDEX(Summary!$K$2:$K$201,MATCH($B3707,Summary!$A$2:$A$201,0))</f>
        <v>9.64</v>
      </c>
      <c r="P3707" s="3" t="n">
        <f aca="false">INDEX(Summary!$L$2:$L$201,MATCH($B3707,Summary!$A$2:$A$201,0))</f>
        <v>2</v>
      </c>
      <c r="Q3707" s="3" t="n">
        <f aca="false">INDEX(Summary!$M$2:$M$201,MATCH($B3707,Summary!$A$2:$A$201,0))</f>
        <v>4</v>
      </c>
      <c r="R3707" s="2" t="n">
        <f aca="false">INDEX(Summary!$N$2:$N$201,MATCH($B3707,Summary!$A$2:$A$201,0))</f>
        <v>10.75</v>
      </c>
      <c r="S3707" s="3" t="n">
        <f aca="false">INDEX(Summary!$O$2:$O$201,MATCH($B3707,Summary!$A$2:$A$201,0))</f>
        <v>8</v>
      </c>
      <c r="T3707" s="3" t="n">
        <f aca="false">INDEX(Summary!$P$2:$P$201,MATCH($B3707,Summary!$A$2:$A$201,0))</f>
        <v>1</v>
      </c>
      <c r="U3707" s="2" t="n">
        <f aca="false">INDEX(Summary!$Q$2:$Q$201,MATCH($B3707,Summary!$A$2:$A$201,0))</f>
        <v>13.74</v>
      </c>
      <c r="V3707" s="2" t="n">
        <f aca="false">INDEX(Summary!$R$2:$R$201,MATCH($B3707,Summary!$A$2:$A$201,0))</f>
        <v>20.4</v>
      </c>
      <c r="W3707" s="0" t="str">
        <f aca="false">INDEX(Summary!$S$2:$S$201,MATCH($B3707,Summary!$A$2:$A$201,0))</f>
        <v>Bronze</v>
      </c>
      <c r="X3707" s="2" t="n">
        <f aca="false">INDEX(Summary!$T$2:$T$201,MATCH($B3707,Summary!$A$2:$A$201,0))</f>
        <v>49.76</v>
      </c>
      <c r="Y3707" s="0" t="str">
        <f aca="false">INDEX('Reward Model'!$E$18:$E$37,MATCH($E3707,'Reward Model'!$A$18:$A$37,0))</f>
        <v>Medium</v>
      </c>
      <c r="Z3707" s="4" t="n">
        <f aca="false">ROUND(MIN(1,MAX('Reward Model'!$B$2,INDEX('Reward Model'!$C$12:$C$14,MATCH($K3707,'Reward Model'!$A$12:$A$14,0))/$J3707)),3)</f>
        <v>1</v>
      </c>
      <c r="AA3707" s="2" t="n">
        <f aca="false">IF($I3707="Correct",ROUND(INDEX('Reward Model'!$B$12:$B$14,MATCH($K3707,'Reward Model'!$A$12:$A$14,0))*Z3707,2),0)</f>
        <v>1</v>
      </c>
      <c r="AB3707" s="2" t="n">
        <f aca="false">IF($I3707="Correct",ROUND(INDEX('Reward Model'!$B$12:$B$14,MATCH($Y3707,'Reward Model'!$A$12:$A$14,0))*Z3707,2),0)</f>
        <v>2</v>
      </c>
    </row>
    <row r="3708" customFormat="false" ht="15" hidden="false" customHeight="false" outlineLevel="0" collapsed="false">
      <c r="A3708" s="0" t="s">
        <v>502</v>
      </c>
      <c r="B3708" s="0" t="s">
        <v>503</v>
      </c>
      <c r="C3708" s="0" t="s">
        <v>322</v>
      </c>
      <c r="D3708" s="0" t="s">
        <v>275</v>
      </c>
      <c r="E3708" s="0" t="n">
        <v>7</v>
      </c>
      <c r="F3708" s="0" t="s">
        <v>50</v>
      </c>
      <c r="G3708" s="0" t="s">
        <v>51</v>
      </c>
      <c r="H3708" s="0" t="s">
        <v>51</v>
      </c>
      <c r="I3708" s="0" t="s">
        <v>34</v>
      </c>
      <c r="J3708" s="0" t="n">
        <v>1.83</v>
      </c>
      <c r="K3708" s="0" t="s">
        <v>35</v>
      </c>
      <c r="L3708" s="0" t="n">
        <f aca="false">INDEX(Summary!$F$2:$F$201,MATCH($B3708,Summary!$A$2:$A$201,0))</f>
        <v>20</v>
      </c>
      <c r="M3708" s="0" t="n">
        <f aca="false">INDEX(Summary!$I$2:$I$201,MATCH($B3708,Summary!$A$2:$A$201,0))</f>
        <v>2</v>
      </c>
      <c r="N3708" s="0" t="n">
        <f aca="false">INDEX(Summary!$J$2:$J$201,MATCH($B3708,Summary!$A$2:$A$201,0))</f>
        <v>3</v>
      </c>
      <c r="O3708" s="2" t="n">
        <f aca="false">INDEX(Summary!$K$2:$K$201,MATCH($B3708,Summary!$A$2:$A$201,0))</f>
        <v>9.64</v>
      </c>
      <c r="P3708" s="3" t="n">
        <f aca="false">INDEX(Summary!$L$2:$L$201,MATCH($B3708,Summary!$A$2:$A$201,0))</f>
        <v>2</v>
      </c>
      <c r="Q3708" s="3" t="n">
        <f aca="false">INDEX(Summary!$M$2:$M$201,MATCH($B3708,Summary!$A$2:$A$201,0))</f>
        <v>4</v>
      </c>
      <c r="R3708" s="2" t="n">
        <f aca="false">INDEX(Summary!$N$2:$N$201,MATCH($B3708,Summary!$A$2:$A$201,0))</f>
        <v>10.75</v>
      </c>
      <c r="S3708" s="3" t="n">
        <f aca="false">INDEX(Summary!$O$2:$O$201,MATCH($B3708,Summary!$A$2:$A$201,0))</f>
        <v>8</v>
      </c>
      <c r="T3708" s="3" t="n">
        <f aca="false">INDEX(Summary!$P$2:$P$201,MATCH($B3708,Summary!$A$2:$A$201,0))</f>
        <v>1</v>
      </c>
      <c r="U3708" s="2" t="n">
        <f aca="false">INDEX(Summary!$Q$2:$Q$201,MATCH($B3708,Summary!$A$2:$A$201,0))</f>
        <v>13.74</v>
      </c>
      <c r="V3708" s="2" t="n">
        <f aca="false">INDEX(Summary!$R$2:$R$201,MATCH($B3708,Summary!$A$2:$A$201,0))</f>
        <v>20.4</v>
      </c>
      <c r="W3708" s="0" t="str">
        <f aca="false">INDEX(Summary!$S$2:$S$201,MATCH($B3708,Summary!$A$2:$A$201,0))</f>
        <v>Bronze</v>
      </c>
      <c r="X3708" s="2" t="n">
        <f aca="false">INDEX(Summary!$T$2:$T$201,MATCH($B3708,Summary!$A$2:$A$201,0))</f>
        <v>49.76</v>
      </c>
      <c r="Y3708" s="0" t="str">
        <f aca="false">INDEX('Reward Model'!$E$18:$E$37,MATCH($E3708,'Reward Model'!$A$18:$A$37,0))</f>
        <v>Low</v>
      </c>
      <c r="Z3708" s="4" t="n">
        <f aca="false">ROUND(MIN(1,MAX('Reward Model'!$B$2,INDEX('Reward Model'!$C$12:$C$14,MATCH($K3708,'Reward Model'!$A$12:$A$14,0))/$J3708)),3)</f>
        <v>0.82</v>
      </c>
      <c r="AA3708" s="2" t="n">
        <f aca="false">IF($I3708="Correct",ROUND(INDEX('Reward Model'!$B$12:$B$14,MATCH($K3708,'Reward Model'!$A$12:$A$14,0))*Z3708,2),0)</f>
        <v>0.82</v>
      </c>
      <c r="AB3708" s="2" t="n">
        <f aca="false">IF($I3708="Correct",ROUND(INDEX('Reward Model'!$B$12:$B$14,MATCH($Y3708,'Reward Model'!$A$12:$A$14,0))*Z3708,2),0)</f>
        <v>0.82</v>
      </c>
    </row>
    <row r="3709" customFormat="false" ht="15" hidden="false" customHeight="false" outlineLevel="0" collapsed="false">
      <c r="A3709" s="0" t="s">
        <v>502</v>
      </c>
      <c r="B3709" s="0" t="s">
        <v>503</v>
      </c>
      <c r="C3709" s="0" t="s">
        <v>322</v>
      </c>
      <c r="D3709" s="0" t="s">
        <v>275</v>
      </c>
      <c r="E3709" s="0" t="n">
        <v>8</v>
      </c>
      <c r="F3709" s="0" t="s">
        <v>52</v>
      </c>
      <c r="G3709" s="0" t="s">
        <v>54</v>
      </c>
      <c r="H3709" s="0" t="s">
        <v>54</v>
      </c>
      <c r="I3709" s="0" t="s">
        <v>34</v>
      </c>
      <c r="J3709" s="0" t="n">
        <v>1.18</v>
      </c>
      <c r="K3709" s="0" t="s">
        <v>35</v>
      </c>
      <c r="L3709" s="0" t="n">
        <f aca="false">INDEX(Summary!$F$2:$F$201,MATCH($B3709,Summary!$A$2:$A$201,0))</f>
        <v>20</v>
      </c>
      <c r="M3709" s="0" t="n">
        <f aca="false">INDEX(Summary!$I$2:$I$201,MATCH($B3709,Summary!$A$2:$A$201,0))</f>
        <v>2</v>
      </c>
      <c r="N3709" s="0" t="n">
        <f aca="false">INDEX(Summary!$J$2:$J$201,MATCH($B3709,Summary!$A$2:$A$201,0))</f>
        <v>3</v>
      </c>
      <c r="O3709" s="2" t="n">
        <f aca="false">INDEX(Summary!$K$2:$K$201,MATCH($B3709,Summary!$A$2:$A$201,0))</f>
        <v>9.64</v>
      </c>
      <c r="P3709" s="3" t="n">
        <f aca="false">INDEX(Summary!$L$2:$L$201,MATCH($B3709,Summary!$A$2:$A$201,0))</f>
        <v>2</v>
      </c>
      <c r="Q3709" s="3" t="n">
        <f aca="false">INDEX(Summary!$M$2:$M$201,MATCH($B3709,Summary!$A$2:$A$201,0))</f>
        <v>4</v>
      </c>
      <c r="R3709" s="2" t="n">
        <f aca="false">INDEX(Summary!$N$2:$N$201,MATCH($B3709,Summary!$A$2:$A$201,0))</f>
        <v>10.75</v>
      </c>
      <c r="S3709" s="3" t="n">
        <f aca="false">INDEX(Summary!$O$2:$O$201,MATCH($B3709,Summary!$A$2:$A$201,0))</f>
        <v>8</v>
      </c>
      <c r="T3709" s="3" t="n">
        <f aca="false">INDEX(Summary!$P$2:$P$201,MATCH($B3709,Summary!$A$2:$A$201,0))</f>
        <v>1</v>
      </c>
      <c r="U3709" s="2" t="n">
        <f aca="false">INDEX(Summary!$Q$2:$Q$201,MATCH($B3709,Summary!$A$2:$A$201,0))</f>
        <v>13.74</v>
      </c>
      <c r="V3709" s="2" t="n">
        <f aca="false">INDEX(Summary!$R$2:$R$201,MATCH($B3709,Summary!$A$2:$A$201,0))</f>
        <v>20.4</v>
      </c>
      <c r="W3709" s="0" t="str">
        <f aca="false">INDEX(Summary!$S$2:$S$201,MATCH($B3709,Summary!$A$2:$A$201,0))</f>
        <v>Bronze</v>
      </c>
      <c r="X3709" s="2" t="n">
        <f aca="false">INDEX(Summary!$T$2:$T$201,MATCH($B3709,Summary!$A$2:$A$201,0))</f>
        <v>49.76</v>
      </c>
      <c r="Y3709" s="0" t="str">
        <f aca="false">INDEX('Reward Model'!$E$18:$E$37,MATCH($E3709,'Reward Model'!$A$18:$A$37,0))</f>
        <v>Medium</v>
      </c>
      <c r="Z3709" s="4" t="n">
        <f aca="false">ROUND(MIN(1,MAX('Reward Model'!$B$2,INDEX('Reward Model'!$C$12:$C$14,MATCH($K3709,'Reward Model'!$A$12:$A$14,0))/$J3709)),3)</f>
        <v>1</v>
      </c>
      <c r="AA3709" s="2" t="n">
        <f aca="false">IF($I3709="Correct",ROUND(INDEX('Reward Model'!$B$12:$B$14,MATCH($K3709,'Reward Model'!$A$12:$A$14,0))*Z3709,2),0)</f>
        <v>1</v>
      </c>
      <c r="AB3709" s="2" t="n">
        <f aca="false">IF($I3709="Correct",ROUND(INDEX('Reward Model'!$B$12:$B$14,MATCH($Y3709,'Reward Model'!$A$12:$A$14,0))*Z3709,2),0)</f>
        <v>2</v>
      </c>
    </row>
    <row r="3710" customFormat="false" ht="15" hidden="false" customHeight="false" outlineLevel="0" collapsed="false">
      <c r="A3710" s="0" t="s">
        <v>502</v>
      </c>
      <c r="B3710" s="0" t="s">
        <v>503</v>
      </c>
      <c r="C3710" s="0" t="s">
        <v>322</v>
      </c>
      <c r="D3710" s="0" t="s">
        <v>275</v>
      </c>
      <c r="E3710" s="0" t="n">
        <v>9</v>
      </c>
      <c r="F3710" s="0" t="s">
        <v>55</v>
      </c>
      <c r="G3710" s="0" t="s">
        <v>108</v>
      </c>
      <c r="H3710" s="0" t="s">
        <v>57</v>
      </c>
      <c r="I3710" s="0" t="s">
        <v>39</v>
      </c>
      <c r="J3710" s="0" t="n">
        <v>1.19</v>
      </c>
      <c r="K3710" s="0" t="s">
        <v>35</v>
      </c>
      <c r="L3710" s="0" t="n">
        <f aca="false">INDEX(Summary!$F$2:$F$201,MATCH($B3710,Summary!$A$2:$A$201,0))</f>
        <v>20</v>
      </c>
      <c r="M3710" s="0" t="n">
        <f aca="false">INDEX(Summary!$I$2:$I$201,MATCH($B3710,Summary!$A$2:$A$201,0))</f>
        <v>2</v>
      </c>
      <c r="N3710" s="0" t="n">
        <f aca="false">INDEX(Summary!$J$2:$J$201,MATCH($B3710,Summary!$A$2:$A$201,0))</f>
        <v>3</v>
      </c>
      <c r="O3710" s="2" t="n">
        <f aca="false">INDEX(Summary!$K$2:$K$201,MATCH($B3710,Summary!$A$2:$A$201,0))</f>
        <v>9.64</v>
      </c>
      <c r="P3710" s="3" t="n">
        <f aca="false">INDEX(Summary!$L$2:$L$201,MATCH($B3710,Summary!$A$2:$A$201,0))</f>
        <v>2</v>
      </c>
      <c r="Q3710" s="3" t="n">
        <f aca="false">INDEX(Summary!$M$2:$M$201,MATCH($B3710,Summary!$A$2:$A$201,0))</f>
        <v>4</v>
      </c>
      <c r="R3710" s="2" t="n">
        <f aca="false">INDEX(Summary!$N$2:$N$201,MATCH($B3710,Summary!$A$2:$A$201,0))</f>
        <v>10.75</v>
      </c>
      <c r="S3710" s="3" t="n">
        <f aca="false">INDEX(Summary!$O$2:$O$201,MATCH($B3710,Summary!$A$2:$A$201,0))</f>
        <v>8</v>
      </c>
      <c r="T3710" s="3" t="n">
        <f aca="false">INDEX(Summary!$P$2:$P$201,MATCH($B3710,Summary!$A$2:$A$201,0))</f>
        <v>1</v>
      </c>
      <c r="U3710" s="2" t="n">
        <f aca="false">INDEX(Summary!$Q$2:$Q$201,MATCH($B3710,Summary!$A$2:$A$201,0))</f>
        <v>13.74</v>
      </c>
      <c r="V3710" s="2" t="n">
        <f aca="false">INDEX(Summary!$R$2:$R$201,MATCH($B3710,Summary!$A$2:$A$201,0))</f>
        <v>20.4</v>
      </c>
      <c r="W3710" s="0" t="str">
        <f aca="false">INDEX(Summary!$S$2:$S$201,MATCH($B3710,Summary!$A$2:$A$201,0))</f>
        <v>Bronze</v>
      </c>
      <c r="X3710" s="2" t="n">
        <f aca="false">INDEX(Summary!$T$2:$T$201,MATCH($B3710,Summary!$A$2:$A$201,0))</f>
        <v>49.76</v>
      </c>
      <c r="Y3710" s="0" t="str">
        <f aca="false">INDEX('Reward Model'!$E$18:$E$37,MATCH($E3710,'Reward Model'!$A$18:$A$37,0))</f>
        <v>Medium</v>
      </c>
      <c r="Z3710" s="4" t="n">
        <f aca="false">ROUND(MIN(1,MAX('Reward Model'!$B$2,INDEX('Reward Model'!$C$12:$C$14,MATCH($K3710,'Reward Model'!$A$12:$A$14,0))/$J3710)),3)</f>
        <v>1</v>
      </c>
      <c r="AA3710" s="2" t="n">
        <f aca="false">IF($I3710="Correct",ROUND(INDEX('Reward Model'!$B$12:$B$14,MATCH($K3710,'Reward Model'!$A$12:$A$14,0))*Z3710,2),0)</f>
        <v>0</v>
      </c>
      <c r="AB3710" s="2" t="n">
        <f aca="false">IF($I3710="Correct",ROUND(INDEX('Reward Model'!$B$12:$B$14,MATCH($Y3710,'Reward Model'!$A$12:$A$14,0))*Z3710,2),0)</f>
        <v>0</v>
      </c>
    </row>
    <row r="3711" customFormat="false" ht="15" hidden="false" customHeight="false" outlineLevel="0" collapsed="false">
      <c r="A3711" s="0" t="s">
        <v>502</v>
      </c>
      <c r="B3711" s="0" t="s">
        <v>503</v>
      </c>
      <c r="C3711" s="0" t="s">
        <v>322</v>
      </c>
      <c r="D3711" s="0" t="s">
        <v>275</v>
      </c>
      <c r="E3711" s="0" t="n">
        <v>10</v>
      </c>
      <c r="F3711" s="0" t="s">
        <v>58</v>
      </c>
      <c r="G3711" s="0" t="s">
        <v>138</v>
      </c>
      <c r="H3711" s="0" t="s">
        <v>59</v>
      </c>
      <c r="I3711" s="0" t="s">
        <v>39</v>
      </c>
      <c r="J3711" s="0" t="n">
        <v>1.52</v>
      </c>
      <c r="K3711" s="0" t="s">
        <v>60</v>
      </c>
      <c r="L3711" s="0" t="n">
        <f aca="false">INDEX(Summary!$F$2:$F$201,MATCH($B3711,Summary!$A$2:$A$201,0))</f>
        <v>20</v>
      </c>
      <c r="M3711" s="0" t="n">
        <f aca="false">INDEX(Summary!$I$2:$I$201,MATCH($B3711,Summary!$A$2:$A$201,0))</f>
        <v>2</v>
      </c>
      <c r="N3711" s="0" t="n">
        <f aca="false">INDEX(Summary!$J$2:$J$201,MATCH($B3711,Summary!$A$2:$A$201,0))</f>
        <v>3</v>
      </c>
      <c r="O3711" s="2" t="n">
        <f aca="false">INDEX(Summary!$K$2:$K$201,MATCH($B3711,Summary!$A$2:$A$201,0))</f>
        <v>9.64</v>
      </c>
      <c r="P3711" s="3" t="n">
        <f aca="false">INDEX(Summary!$L$2:$L$201,MATCH($B3711,Summary!$A$2:$A$201,0))</f>
        <v>2</v>
      </c>
      <c r="Q3711" s="3" t="n">
        <f aca="false">INDEX(Summary!$M$2:$M$201,MATCH($B3711,Summary!$A$2:$A$201,0))</f>
        <v>4</v>
      </c>
      <c r="R3711" s="2" t="n">
        <f aca="false">INDEX(Summary!$N$2:$N$201,MATCH($B3711,Summary!$A$2:$A$201,0))</f>
        <v>10.75</v>
      </c>
      <c r="S3711" s="3" t="n">
        <f aca="false">INDEX(Summary!$O$2:$O$201,MATCH($B3711,Summary!$A$2:$A$201,0))</f>
        <v>8</v>
      </c>
      <c r="T3711" s="3" t="n">
        <f aca="false">INDEX(Summary!$P$2:$P$201,MATCH($B3711,Summary!$A$2:$A$201,0))</f>
        <v>1</v>
      </c>
      <c r="U3711" s="2" t="n">
        <f aca="false">INDEX(Summary!$Q$2:$Q$201,MATCH($B3711,Summary!$A$2:$A$201,0))</f>
        <v>13.74</v>
      </c>
      <c r="V3711" s="2" t="n">
        <f aca="false">INDEX(Summary!$R$2:$R$201,MATCH($B3711,Summary!$A$2:$A$201,0))</f>
        <v>20.4</v>
      </c>
      <c r="W3711" s="0" t="str">
        <f aca="false">INDEX(Summary!$S$2:$S$201,MATCH($B3711,Summary!$A$2:$A$201,0))</f>
        <v>Bronze</v>
      </c>
      <c r="X3711" s="2" t="n">
        <f aca="false">INDEX(Summary!$T$2:$T$201,MATCH($B3711,Summary!$A$2:$A$201,0))</f>
        <v>49.76</v>
      </c>
      <c r="Y3711" s="0" t="str">
        <f aca="false">INDEX('Reward Model'!$E$18:$E$37,MATCH($E3711,'Reward Model'!$A$18:$A$37,0))</f>
        <v>Medium</v>
      </c>
      <c r="Z3711" s="4" t="n">
        <f aca="false">ROUND(MIN(1,MAX('Reward Model'!$B$2,INDEX('Reward Model'!$C$12:$C$14,MATCH($K3711,'Reward Model'!$A$12:$A$14,0))/$J3711)),3)</f>
        <v>1</v>
      </c>
      <c r="AA3711" s="2" t="n">
        <f aca="false">IF($I3711="Correct",ROUND(INDEX('Reward Model'!$B$12:$B$14,MATCH($K3711,'Reward Model'!$A$12:$A$14,0))*Z3711,2),0)</f>
        <v>0</v>
      </c>
      <c r="AB3711" s="2" t="n">
        <f aca="false">IF($I3711="Correct",ROUND(INDEX('Reward Model'!$B$12:$B$14,MATCH($Y3711,'Reward Model'!$A$12:$A$14,0))*Z3711,2),0)</f>
        <v>0</v>
      </c>
    </row>
    <row r="3712" customFormat="false" ht="15" hidden="false" customHeight="false" outlineLevel="0" collapsed="false">
      <c r="A3712" s="0" t="s">
        <v>502</v>
      </c>
      <c r="B3712" s="0" t="s">
        <v>503</v>
      </c>
      <c r="C3712" s="0" t="s">
        <v>322</v>
      </c>
      <c r="D3712" s="0" t="s">
        <v>275</v>
      </c>
      <c r="E3712" s="0" t="n">
        <v>11</v>
      </c>
      <c r="F3712" s="0" t="s">
        <v>61</v>
      </c>
      <c r="G3712" s="0" t="s">
        <v>63</v>
      </c>
      <c r="H3712" s="0" t="s">
        <v>63</v>
      </c>
      <c r="I3712" s="0" t="s">
        <v>34</v>
      </c>
      <c r="J3712" s="0" t="n">
        <v>1.78</v>
      </c>
      <c r="K3712" s="0" t="s">
        <v>60</v>
      </c>
      <c r="L3712" s="0" t="n">
        <f aca="false">INDEX(Summary!$F$2:$F$201,MATCH($B3712,Summary!$A$2:$A$201,0))</f>
        <v>20</v>
      </c>
      <c r="M3712" s="0" t="n">
        <f aca="false">INDEX(Summary!$I$2:$I$201,MATCH($B3712,Summary!$A$2:$A$201,0))</f>
        <v>2</v>
      </c>
      <c r="N3712" s="0" t="n">
        <f aca="false">INDEX(Summary!$J$2:$J$201,MATCH($B3712,Summary!$A$2:$A$201,0))</f>
        <v>3</v>
      </c>
      <c r="O3712" s="2" t="n">
        <f aca="false">INDEX(Summary!$K$2:$K$201,MATCH($B3712,Summary!$A$2:$A$201,0))</f>
        <v>9.64</v>
      </c>
      <c r="P3712" s="3" t="n">
        <f aca="false">INDEX(Summary!$L$2:$L$201,MATCH($B3712,Summary!$A$2:$A$201,0))</f>
        <v>2</v>
      </c>
      <c r="Q3712" s="3" t="n">
        <f aca="false">INDEX(Summary!$M$2:$M$201,MATCH($B3712,Summary!$A$2:$A$201,0))</f>
        <v>4</v>
      </c>
      <c r="R3712" s="2" t="n">
        <f aca="false">INDEX(Summary!$N$2:$N$201,MATCH($B3712,Summary!$A$2:$A$201,0))</f>
        <v>10.75</v>
      </c>
      <c r="S3712" s="3" t="n">
        <f aca="false">INDEX(Summary!$O$2:$O$201,MATCH($B3712,Summary!$A$2:$A$201,0))</f>
        <v>8</v>
      </c>
      <c r="T3712" s="3" t="n">
        <f aca="false">INDEX(Summary!$P$2:$P$201,MATCH($B3712,Summary!$A$2:$A$201,0))</f>
        <v>1</v>
      </c>
      <c r="U3712" s="2" t="n">
        <f aca="false">INDEX(Summary!$Q$2:$Q$201,MATCH($B3712,Summary!$A$2:$A$201,0))</f>
        <v>13.74</v>
      </c>
      <c r="V3712" s="2" t="n">
        <f aca="false">INDEX(Summary!$R$2:$R$201,MATCH($B3712,Summary!$A$2:$A$201,0))</f>
        <v>20.4</v>
      </c>
      <c r="W3712" s="0" t="str">
        <f aca="false">INDEX(Summary!$S$2:$S$201,MATCH($B3712,Summary!$A$2:$A$201,0))</f>
        <v>Bronze</v>
      </c>
      <c r="X3712" s="2" t="n">
        <f aca="false">INDEX(Summary!$T$2:$T$201,MATCH($B3712,Summary!$A$2:$A$201,0))</f>
        <v>49.76</v>
      </c>
      <c r="Y3712" s="0" t="str">
        <f aca="false">INDEX('Reward Model'!$E$18:$E$37,MATCH($E3712,'Reward Model'!$A$18:$A$37,0))</f>
        <v>Medium</v>
      </c>
      <c r="Z3712" s="4" t="n">
        <f aca="false">ROUND(MIN(1,MAX('Reward Model'!$B$2,INDEX('Reward Model'!$C$12:$C$14,MATCH($K3712,'Reward Model'!$A$12:$A$14,0))/$J3712)),3)</f>
        <v>1</v>
      </c>
      <c r="AA3712" s="2" t="n">
        <f aca="false">IF($I3712="Correct",ROUND(INDEX('Reward Model'!$B$12:$B$14,MATCH($K3712,'Reward Model'!$A$12:$A$14,0))*Z3712,2),0)</f>
        <v>2</v>
      </c>
      <c r="AB3712" s="2" t="n">
        <f aca="false">IF($I3712="Correct",ROUND(INDEX('Reward Model'!$B$12:$B$14,MATCH($Y3712,'Reward Model'!$A$12:$A$14,0))*Z3712,2),0)</f>
        <v>2</v>
      </c>
    </row>
    <row r="3713" customFormat="false" ht="15" hidden="false" customHeight="false" outlineLevel="0" collapsed="false">
      <c r="A3713" s="0" t="s">
        <v>502</v>
      </c>
      <c r="B3713" s="0" t="s">
        <v>503</v>
      </c>
      <c r="C3713" s="0" t="s">
        <v>322</v>
      </c>
      <c r="D3713" s="0" t="s">
        <v>275</v>
      </c>
      <c r="E3713" s="0" t="n">
        <v>12</v>
      </c>
      <c r="F3713" s="0" t="s">
        <v>64</v>
      </c>
      <c r="G3713" s="0" t="s">
        <v>112</v>
      </c>
      <c r="H3713" s="0" t="s">
        <v>65</v>
      </c>
      <c r="I3713" s="0" t="s">
        <v>39</v>
      </c>
      <c r="J3713" s="0" t="n">
        <v>2.24</v>
      </c>
      <c r="K3713" s="0" t="s">
        <v>60</v>
      </c>
      <c r="L3713" s="0" t="n">
        <f aca="false">INDEX(Summary!$F$2:$F$201,MATCH($B3713,Summary!$A$2:$A$201,0))</f>
        <v>20</v>
      </c>
      <c r="M3713" s="0" t="n">
        <f aca="false">INDEX(Summary!$I$2:$I$201,MATCH($B3713,Summary!$A$2:$A$201,0))</f>
        <v>2</v>
      </c>
      <c r="N3713" s="0" t="n">
        <f aca="false">INDEX(Summary!$J$2:$J$201,MATCH($B3713,Summary!$A$2:$A$201,0))</f>
        <v>3</v>
      </c>
      <c r="O3713" s="2" t="n">
        <f aca="false">INDEX(Summary!$K$2:$K$201,MATCH($B3713,Summary!$A$2:$A$201,0))</f>
        <v>9.64</v>
      </c>
      <c r="P3713" s="3" t="n">
        <f aca="false">INDEX(Summary!$L$2:$L$201,MATCH($B3713,Summary!$A$2:$A$201,0))</f>
        <v>2</v>
      </c>
      <c r="Q3713" s="3" t="n">
        <f aca="false">INDEX(Summary!$M$2:$M$201,MATCH($B3713,Summary!$A$2:$A$201,0))</f>
        <v>4</v>
      </c>
      <c r="R3713" s="2" t="n">
        <f aca="false">INDEX(Summary!$N$2:$N$201,MATCH($B3713,Summary!$A$2:$A$201,0))</f>
        <v>10.75</v>
      </c>
      <c r="S3713" s="3" t="n">
        <f aca="false">INDEX(Summary!$O$2:$O$201,MATCH($B3713,Summary!$A$2:$A$201,0))</f>
        <v>8</v>
      </c>
      <c r="T3713" s="3" t="n">
        <f aca="false">INDEX(Summary!$P$2:$P$201,MATCH($B3713,Summary!$A$2:$A$201,0))</f>
        <v>1</v>
      </c>
      <c r="U3713" s="2" t="n">
        <f aca="false">INDEX(Summary!$Q$2:$Q$201,MATCH($B3713,Summary!$A$2:$A$201,0))</f>
        <v>13.74</v>
      </c>
      <c r="V3713" s="2" t="n">
        <f aca="false">INDEX(Summary!$R$2:$R$201,MATCH($B3713,Summary!$A$2:$A$201,0))</f>
        <v>20.4</v>
      </c>
      <c r="W3713" s="0" t="str">
        <f aca="false">INDEX(Summary!$S$2:$S$201,MATCH($B3713,Summary!$A$2:$A$201,0))</f>
        <v>Bronze</v>
      </c>
      <c r="X3713" s="2" t="n">
        <f aca="false">INDEX(Summary!$T$2:$T$201,MATCH($B3713,Summary!$A$2:$A$201,0))</f>
        <v>49.76</v>
      </c>
      <c r="Y3713" s="0" t="str">
        <f aca="false">INDEX('Reward Model'!$E$18:$E$37,MATCH($E3713,'Reward Model'!$A$18:$A$37,0))</f>
        <v>Medium</v>
      </c>
      <c r="Z3713" s="4" t="n">
        <f aca="false">ROUND(MIN(1,MAX('Reward Model'!$B$2,INDEX('Reward Model'!$C$12:$C$14,MATCH($K3713,'Reward Model'!$A$12:$A$14,0))/$J3713)),3)</f>
        <v>0.804</v>
      </c>
      <c r="AA3713" s="2" t="n">
        <f aca="false">IF($I3713="Correct",ROUND(INDEX('Reward Model'!$B$12:$B$14,MATCH($K3713,'Reward Model'!$A$12:$A$14,0))*Z3713,2),0)</f>
        <v>0</v>
      </c>
      <c r="AB3713" s="2" t="n">
        <f aca="false">IF($I3713="Correct",ROUND(INDEX('Reward Model'!$B$12:$B$14,MATCH($Y3713,'Reward Model'!$A$12:$A$14,0))*Z3713,2),0)</f>
        <v>0</v>
      </c>
    </row>
    <row r="3714" customFormat="false" ht="15" hidden="false" customHeight="false" outlineLevel="0" collapsed="false">
      <c r="A3714" s="0" t="s">
        <v>502</v>
      </c>
      <c r="B3714" s="0" t="s">
        <v>503</v>
      </c>
      <c r="C3714" s="0" t="s">
        <v>322</v>
      </c>
      <c r="D3714" s="0" t="s">
        <v>275</v>
      </c>
      <c r="E3714" s="0" t="n">
        <v>13</v>
      </c>
      <c r="F3714" s="0" t="s">
        <v>66</v>
      </c>
      <c r="G3714" s="0" t="s">
        <v>165</v>
      </c>
      <c r="H3714" s="0" t="s">
        <v>67</v>
      </c>
      <c r="I3714" s="0" t="s">
        <v>39</v>
      </c>
      <c r="J3714" s="0" t="n">
        <v>1.43</v>
      </c>
      <c r="K3714" s="0" t="s">
        <v>60</v>
      </c>
      <c r="L3714" s="0" t="n">
        <f aca="false">INDEX(Summary!$F$2:$F$201,MATCH($B3714,Summary!$A$2:$A$201,0))</f>
        <v>20</v>
      </c>
      <c r="M3714" s="0" t="n">
        <f aca="false">INDEX(Summary!$I$2:$I$201,MATCH($B3714,Summary!$A$2:$A$201,0))</f>
        <v>2</v>
      </c>
      <c r="N3714" s="0" t="n">
        <f aca="false">INDEX(Summary!$J$2:$J$201,MATCH($B3714,Summary!$A$2:$A$201,0))</f>
        <v>3</v>
      </c>
      <c r="O3714" s="2" t="n">
        <f aca="false">INDEX(Summary!$K$2:$K$201,MATCH($B3714,Summary!$A$2:$A$201,0))</f>
        <v>9.64</v>
      </c>
      <c r="P3714" s="3" t="n">
        <f aca="false">INDEX(Summary!$L$2:$L$201,MATCH($B3714,Summary!$A$2:$A$201,0))</f>
        <v>2</v>
      </c>
      <c r="Q3714" s="3" t="n">
        <f aca="false">INDEX(Summary!$M$2:$M$201,MATCH($B3714,Summary!$A$2:$A$201,0))</f>
        <v>4</v>
      </c>
      <c r="R3714" s="2" t="n">
        <f aca="false">INDEX(Summary!$N$2:$N$201,MATCH($B3714,Summary!$A$2:$A$201,0))</f>
        <v>10.75</v>
      </c>
      <c r="S3714" s="3" t="n">
        <f aca="false">INDEX(Summary!$O$2:$O$201,MATCH($B3714,Summary!$A$2:$A$201,0))</f>
        <v>8</v>
      </c>
      <c r="T3714" s="3" t="n">
        <f aca="false">INDEX(Summary!$P$2:$P$201,MATCH($B3714,Summary!$A$2:$A$201,0))</f>
        <v>1</v>
      </c>
      <c r="U3714" s="2" t="n">
        <f aca="false">INDEX(Summary!$Q$2:$Q$201,MATCH($B3714,Summary!$A$2:$A$201,0))</f>
        <v>13.74</v>
      </c>
      <c r="V3714" s="2" t="n">
        <f aca="false">INDEX(Summary!$R$2:$R$201,MATCH($B3714,Summary!$A$2:$A$201,0))</f>
        <v>20.4</v>
      </c>
      <c r="W3714" s="0" t="str">
        <f aca="false">INDEX(Summary!$S$2:$S$201,MATCH($B3714,Summary!$A$2:$A$201,0))</f>
        <v>Bronze</v>
      </c>
      <c r="X3714" s="2" t="n">
        <f aca="false">INDEX(Summary!$T$2:$T$201,MATCH($B3714,Summary!$A$2:$A$201,0))</f>
        <v>49.76</v>
      </c>
      <c r="Y3714" s="0" t="str">
        <f aca="false">INDEX('Reward Model'!$E$18:$E$37,MATCH($E3714,'Reward Model'!$A$18:$A$37,0))</f>
        <v>Medium</v>
      </c>
      <c r="Z3714" s="4" t="n">
        <f aca="false">ROUND(MIN(1,MAX('Reward Model'!$B$2,INDEX('Reward Model'!$C$12:$C$14,MATCH($K3714,'Reward Model'!$A$12:$A$14,0))/$J3714)),3)</f>
        <v>1</v>
      </c>
      <c r="AA3714" s="2" t="n">
        <f aca="false">IF($I3714="Correct",ROUND(INDEX('Reward Model'!$B$12:$B$14,MATCH($K3714,'Reward Model'!$A$12:$A$14,0))*Z3714,2),0)</f>
        <v>0</v>
      </c>
      <c r="AB3714" s="2" t="n">
        <f aca="false">IF($I3714="Correct",ROUND(INDEX('Reward Model'!$B$12:$B$14,MATCH($Y3714,'Reward Model'!$A$12:$A$14,0))*Z3714,2),0)</f>
        <v>0</v>
      </c>
    </row>
    <row r="3715" customFormat="false" ht="15" hidden="false" customHeight="false" outlineLevel="0" collapsed="false">
      <c r="A3715" s="0" t="s">
        <v>502</v>
      </c>
      <c r="B3715" s="0" t="s">
        <v>503</v>
      </c>
      <c r="C3715" s="0" t="s">
        <v>322</v>
      </c>
      <c r="D3715" s="0" t="s">
        <v>275</v>
      </c>
      <c r="E3715" s="0" t="n">
        <v>14</v>
      </c>
      <c r="F3715" s="0" t="s">
        <v>68</v>
      </c>
      <c r="G3715" s="0" t="s">
        <v>100</v>
      </c>
      <c r="H3715" s="0" t="s">
        <v>51</v>
      </c>
      <c r="I3715" s="0" t="s">
        <v>39</v>
      </c>
      <c r="J3715" s="0" t="n">
        <v>1.9</v>
      </c>
      <c r="K3715" s="0" t="s">
        <v>60</v>
      </c>
      <c r="L3715" s="0" t="n">
        <f aca="false">INDEX(Summary!$F$2:$F$201,MATCH($B3715,Summary!$A$2:$A$201,0))</f>
        <v>20</v>
      </c>
      <c r="M3715" s="0" t="n">
        <f aca="false">INDEX(Summary!$I$2:$I$201,MATCH($B3715,Summary!$A$2:$A$201,0))</f>
        <v>2</v>
      </c>
      <c r="N3715" s="0" t="n">
        <f aca="false">INDEX(Summary!$J$2:$J$201,MATCH($B3715,Summary!$A$2:$A$201,0))</f>
        <v>3</v>
      </c>
      <c r="O3715" s="2" t="n">
        <f aca="false">INDEX(Summary!$K$2:$K$201,MATCH($B3715,Summary!$A$2:$A$201,0))</f>
        <v>9.64</v>
      </c>
      <c r="P3715" s="3" t="n">
        <f aca="false">INDEX(Summary!$L$2:$L$201,MATCH($B3715,Summary!$A$2:$A$201,0))</f>
        <v>2</v>
      </c>
      <c r="Q3715" s="3" t="n">
        <f aca="false">INDEX(Summary!$M$2:$M$201,MATCH($B3715,Summary!$A$2:$A$201,0))</f>
        <v>4</v>
      </c>
      <c r="R3715" s="2" t="n">
        <f aca="false">INDEX(Summary!$N$2:$N$201,MATCH($B3715,Summary!$A$2:$A$201,0))</f>
        <v>10.75</v>
      </c>
      <c r="S3715" s="3" t="n">
        <f aca="false">INDEX(Summary!$O$2:$O$201,MATCH($B3715,Summary!$A$2:$A$201,0))</f>
        <v>8</v>
      </c>
      <c r="T3715" s="3" t="n">
        <f aca="false">INDEX(Summary!$P$2:$P$201,MATCH($B3715,Summary!$A$2:$A$201,0))</f>
        <v>1</v>
      </c>
      <c r="U3715" s="2" t="n">
        <f aca="false">INDEX(Summary!$Q$2:$Q$201,MATCH($B3715,Summary!$A$2:$A$201,0))</f>
        <v>13.74</v>
      </c>
      <c r="V3715" s="2" t="n">
        <f aca="false">INDEX(Summary!$R$2:$R$201,MATCH($B3715,Summary!$A$2:$A$201,0))</f>
        <v>20.4</v>
      </c>
      <c r="W3715" s="0" t="str">
        <f aca="false">INDEX(Summary!$S$2:$S$201,MATCH($B3715,Summary!$A$2:$A$201,0))</f>
        <v>Bronze</v>
      </c>
      <c r="X3715" s="2" t="n">
        <f aca="false">INDEX(Summary!$T$2:$T$201,MATCH($B3715,Summary!$A$2:$A$201,0))</f>
        <v>49.76</v>
      </c>
      <c r="Y3715" s="0" t="str">
        <f aca="false">INDEX('Reward Model'!$E$18:$E$37,MATCH($E3715,'Reward Model'!$A$18:$A$37,0))</f>
        <v>Medium</v>
      </c>
      <c r="Z3715" s="4" t="n">
        <f aca="false">ROUND(MIN(1,MAX('Reward Model'!$B$2,INDEX('Reward Model'!$C$12:$C$14,MATCH($K3715,'Reward Model'!$A$12:$A$14,0))/$J3715)),3)</f>
        <v>0.947</v>
      </c>
      <c r="AA3715" s="2" t="n">
        <f aca="false">IF($I3715="Correct",ROUND(INDEX('Reward Model'!$B$12:$B$14,MATCH($K3715,'Reward Model'!$A$12:$A$14,0))*Z3715,2),0)</f>
        <v>0</v>
      </c>
      <c r="AB3715" s="2" t="n">
        <f aca="false">IF($I3715="Correct",ROUND(INDEX('Reward Model'!$B$12:$B$14,MATCH($Y3715,'Reward Model'!$A$12:$A$14,0))*Z3715,2),0)</f>
        <v>0</v>
      </c>
    </row>
    <row r="3716" customFormat="false" ht="15" hidden="false" customHeight="false" outlineLevel="0" collapsed="false">
      <c r="A3716" s="0" t="s">
        <v>502</v>
      </c>
      <c r="B3716" s="0" t="s">
        <v>503</v>
      </c>
      <c r="C3716" s="0" t="s">
        <v>322</v>
      </c>
      <c r="D3716" s="0" t="s">
        <v>275</v>
      </c>
      <c r="E3716" s="0" t="n">
        <v>15</v>
      </c>
      <c r="F3716" s="0" t="s">
        <v>69</v>
      </c>
      <c r="G3716" s="0" t="s">
        <v>70</v>
      </c>
      <c r="H3716" s="0" t="s">
        <v>70</v>
      </c>
      <c r="I3716" s="0" t="s">
        <v>34</v>
      </c>
      <c r="J3716" s="0" t="n">
        <v>1.88</v>
      </c>
      <c r="K3716" s="0" t="s">
        <v>60</v>
      </c>
      <c r="L3716" s="0" t="n">
        <f aca="false">INDEX(Summary!$F$2:$F$201,MATCH($B3716,Summary!$A$2:$A$201,0))</f>
        <v>20</v>
      </c>
      <c r="M3716" s="0" t="n">
        <f aca="false">INDEX(Summary!$I$2:$I$201,MATCH($B3716,Summary!$A$2:$A$201,0))</f>
        <v>2</v>
      </c>
      <c r="N3716" s="0" t="n">
        <f aca="false">INDEX(Summary!$J$2:$J$201,MATCH($B3716,Summary!$A$2:$A$201,0))</f>
        <v>3</v>
      </c>
      <c r="O3716" s="2" t="n">
        <f aca="false">INDEX(Summary!$K$2:$K$201,MATCH($B3716,Summary!$A$2:$A$201,0))</f>
        <v>9.64</v>
      </c>
      <c r="P3716" s="3" t="n">
        <f aca="false">INDEX(Summary!$L$2:$L$201,MATCH($B3716,Summary!$A$2:$A$201,0))</f>
        <v>2</v>
      </c>
      <c r="Q3716" s="3" t="n">
        <f aca="false">INDEX(Summary!$M$2:$M$201,MATCH($B3716,Summary!$A$2:$A$201,0))</f>
        <v>4</v>
      </c>
      <c r="R3716" s="2" t="n">
        <f aca="false">INDEX(Summary!$N$2:$N$201,MATCH($B3716,Summary!$A$2:$A$201,0))</f>
        <v>10.75</v>
      </c>
      <c r="S3716" s="3" t="n">
        <f aca="false">INDEX(Summary!$O$2:$O$201,MATCH($B3716,Summary!$A$2:$A$201,0))</f>
        <v>8</v>
      </c>
      <c r="T3716" s="3" t="n">
        <f aca="false">INDEX(Summary!$P$2:$P$201,MATCH($B3716,Summary!$A$2:$A$201,0))</f>
        <v>1</v>
      </c>
      <c r="U3716" s="2" t="n">
        <f aca="false">INDEX(Summary!$Q$2:$Q$201,MATCH($B3716,Summary!$A$2:$A$201,0))</f>
        <v>13.74</v>
      </c>
      <c r="V3716" s="2" t="n">
        <f aca="false">INDEX(Summary!$R$2:$R$201,MATCH($B3716,Summary!$A$2:$A$201,0))</f>
        <v>20.4</v>
      </c>
      <c r="W3716" s="0" t="str">
        <f aca="false">INDEX(Summary!$S$2:$S$201,MATCH($B3716,Summary!$A$2:$A$201,0))</f>
        <v>Bronze</v>
      </c>
      <c r="X3716" s="2" t="n">
        <f aca="false">INDEX(Summary!$T$2:$T$201,MATCH($B3716,Summary!$A$2:$A$201,0))</f>
        <v>49.76</v>
      </c>
      <c r="Y3716" s="0" t="str">
        <f aca="false">INDEX('Reward Model'!$E$18:$E$37,MATCH($E3716,'Reward Model'!$A$18:$A$37,0))</f>
        <v>Medium</v>
      </c>
      <c r="Z3716" s="4" t="n">
        <f aca="false">ROUND(MIN(1,MAX('Reward Model'!$B$2,INDEX('Reward Model'!$C$12:$C$14,MATCH($K3716,'Reward Model'!$A$12:$A$14,0))/$J3716)),3)</f>
        <v>0.957</v>
      </c>
      <c r="AA3716" s="2" t="n">
        <f aca="false">IF($I3716="Correct",ROUND(INDEX('Reward Model'!$B$12:$B$14,MATCH($K3716,'Reward Model'!$A$12:$A$14,0))*Z3716,2),0)</f>
        <v>1.91</v>
      </c>
      <c r="AB3716" s="2" t="n">
        <f aca="false">IF($I3716="Correct",ROUND(INDEX('Reward Model'!$B$12:$B$14,MATCH($Y3716,'Reward Model'!$A$12:$A$14,0))*Z3716,2),0)</f>
        <v>1.91</v>
      </c>
    </row>
    <row r="3717" customFormat="false" ht="15" hidden="false" customHeight="false" outlineLevel="0" collapsed="false">
      <c r="A3717" s="0" t="s">
        <v>502</v>
      </c>
      <c r="B3717" s="0" t="s">
        <v>503</v>
      </c>
      <c r="C3717" s="0" t="s">
        <v>322</v>
      </c>
      <c r="D3717" s="0" t="s">
        <v>275</v>
      </c>
      <c r="E3717" s="0" t="n">
        <v>16</v>
      </c>
      <c r="F3717" s="0" t="s">
        <v>71</v>
      </c>
      <c r="G3717" s="0" t="s">
        <v>101</v>
      </c>
      <c r="H3717" s="0" t="s">
        <v>72</v>
      </c>
      <c r="I3717" s="0" t="s">
        <v>39</v>
      </c>
      <c r="J3717" s="0" t="n">
        <v>1.62</v>
      </c>
      <c r="K3717" s="0" t="s">
        <v>73</v>
      </c>
      <c r="L3717" s="0" t="n">
        <f aca="false">INDEX(Summary!$F$2:$F$201,MATCH($B3717,Summary!$A$2:$A$201,0))</f>
        <v>20</v>
      </c>
      <c r="M3717" s="0" t="n">
        <f aca="false">INDEX(Summary!$I$2:$I$201,MATCH($B3717,Summary!$A$2:$A$201,0))</f>
        <v>2</v>
      </c>
      <c r="N3717" s="0" t="n">
        <f aca="false">INDEX(Summary!$J$2:$J$201,MATCH($B3717,Summary!$A$2:$A$201,0))</f>
        <v>3</v>
      </c>
      <c r="O3717" s="2" t="n">
        <f aca="false">INDEX(Summary!$K$2:$K$201,MATCH($B3717,Summary!$A$2:$A$201,0))</f>
        <v>9.64</v>
      </c>
      <c r="P3717" s="3" t="n">
        <f aca="false">INDEX(Summary!$L$2:$L$201,MATCH($B3717,Summary!$A$2:$A$201,0))</f>
        <v>2</v>
      </c>
      <c r="Q3717" s="3" t="n">
        <f aca="false">INDEX(Summary!$M$2:$M$201,MATCH($B3717,Summary!$A$2:$A$201,0))</f>
        <v>4</v>
      </c>
      <c r="R3717" s="2" t="n">
        <f aca="false">INDEX(Summary!$N$2:$N$201,MATCH($B3717,Summary!$A$2:$A$201,0))</f>
        <v>10.75</v>
      </c>
      <c r="S3717" s="3" t="n">
        <f aca="false">INDEX(Summary!$O$2:$O$201,MATCH($B3717,Summary!$A$2:$A$201,0))</f>
        <v>8</v>
      </c>
      <c r="T3717" s="3" t="n">
        <f aca="false">INDEX(Summary!$P$2:$P$201,MATCH($B3717,Summary!$A$2:$A$201,0))</f>
        <v>1</v>
      </c>
      <c r="U3717" s="2" t="n">
        <f aca="false">INDEX(Summary!$Q$2:$Q$201,MATCH($B3717,Summary!$A$2:$A$201,0))</f>
        <v>13.74</v>
      </c>
      <c r="V3717" s="2" t="n">
        <f aca="false">INDEX(Summary!$R$2:$R$201,MATCH($B3717,Summary!$A$2:$A$201,0))</f>
        <v>20.4</v>
      </c>
      <c r="W3717" s="0" t="str">
        <f aca="false">INDEX(Summary!$S$2:$S$201,MATCH($B3717,Summary!$A$2:$A$201,0))</f>
        <v>Bronze</v>
      </c>
      <c r="X3717" s="2" t="n">
        <f aca="false">INDEX(Summary!$T$2:$T$201,MATCH($B3717,Summary!$A$2:$A$201,0))</f>
        <v>49.76</v>
      </c>
      <c r="Y3717" s="0" t="str">
        <f aca="false">INDEX('Reward Model'!$E$18:$E$37,MATCH($E3717,'Reward Model'!$A$18:$A$37,0))</f>
        <v>High</v>
      </c>
      <c r="Z3717" s="4" t="n">
        <f aca="false">ROUND(MIN(1,MAX('Reward Model'!$B$2,INDEX('Reward Model'!$C$12:$C$14,MATCH($K3717,'Reward Model'!$A$12:$A$14,0))/$J3717)),3)</f>
        <v>1</v>
      </c>
      <c r="AA3717" s="2" t="n">
        <f aca="false">IF($I3717="Correct",ROUND(INDEX('Reward Model'!$B$12:$B$14,MATCH($K3717,'Reward Model'!$A$12:$A$14,0))*Z3717,2),0)</f>
        <v>0</v>
      </c>
      <c r="AB3717" s="2" t="n">
        <f aca="false">IF($I3717="Correct",ROUND(INDEX('Reward Model'!$B$12:$B$14,MATCH($Y3717,'Reward Model'!$A$12:$A$14,0))*Z3717,2),0)</f>
        <v>0</v>
      </c>
    </row>
    <row r="3718" customFormat="false" ht="15" hidden="false" customHeight="false" outlineLevel="0" collapsed="false">
      <c r="A3718" s="0" t="s">
        <v>502</v>
      </c>
      <c r="B3718" s="0" t="s">
        <v>503</v>
      </c>
      <c r="C3718" s="0" t="s">
        <v>322</v>
      </c>
      <c r="D3718" s="0" t="s">
        <v>275</v>
      </c>
      <c r="E3718" s="0" t="n">
        <v>17</v>
      </c>
      <c r="F3718" s="0" t="s">
        <v>74</v>
      </c>
      <c r="G3718" s="0" t="s">
        <v>113</v>
      </c>
      <c r="H3718" s="0" t="s">
        <v>75</v>
      </c>
      <c r="I3718" s="0" t="s">
        <v>39</v>
      </c>
      <c r="J3718" s="0" t="n">
        <v>2.43</v>
      </c>
      <c r="K3718" s="0" t="s">
        <v>73</v>
      </c>
      <c r="L3718" s="0" t="n">
        <f aca="false">INDEX(Summary!$F$2:$F$201,MATCH($B3718,Summary!$A$2:$A$201,0))</f>
        <v>20</v>
      </c>
      <c r="M3718" s="0" t="n">
        <f aca="false">INDEX(Summary!$I$2:$I$201,MATCH($B3718,Summary!$A$2:$A$201,0))</f>
        <v>2</v>
      </c>
      <c r="N3718" s="0" t="n">
        <f aca="false">INDEX(Summary!$J$2:$J$201,MATCH($B3718,Summary!$A$2:$A$201,0))</f>
        <v>3</v>
      </c>
      <c r="O3718" s="2" t="n">
        <f aca="false">INDEX(Summary!$K$2:$K$201,MATCH($B3718,Summary!$A$2:$A$201,0))</f>
        <v>9.64</v>
      </c>
      <c r="P3718" s="3" t="n">
        <f aca="false">INDEX(Summary!$L$2:$L$201,MATCH($B3718,Summary!$A$2:$A$201,0))</f>
        <v>2</v>
      </c>
      <c r="Q3718" s="3" t="n">
        <f aca="false">INDEX(Summary!$M$2:$M$201,MATCH($B3718,Summary!$A$2:$A$201,0))</f>
        <v>4</v>
      </c>
      <c r="R3718" s="2" t="n">
        <f aca="false">INDEX(Summary!$N$2:$N$201,MATCH($B3718,Summary!$A$2:$A$201,0))</f>
        <v>10.75</v>
      </c>
      <c r="S3718" s="3" t="n">
        <f aca="false">INDEX(Summary!$O$2:$O$201,MATCH($B3718,Summary!$A$2:$A$201,0))</f>
        <v>8</v>
      </c>
      <c r="T3718" s="3" t="n">
        <f aca="false">INDEX(Summary!$P$2:$P$201,MATCH($B3718,Summary!$A$2:$A$201,0))</f>
        <v>1</v>
      </c>
      <c r="U3718" s="2" t="n">
        <f aca="false">INDEX(Summary!$Q$2:$Q$201,MATCH($B3718,Summary!$A$2:$A$201,0))</f>
        <v>13.74</v>
      </c>
      <c r="V3718" s="2" t="n">
        <f aca="false">INDEX(Summary!$R$2:$R$201,MATCH($B3718,Summary!$A$2:$A$201,0))</f>
        <v>20.4</v>
      </c>
      <c r="W3718" s="0" t="str">
        <f aca="false">INDEX(Summary!$S$2:$S$201,MATCH($B3718,Summary!$A$2:$A$201,0))</f>
        <v>Bronze</v>
      </c>
      <c r="X3718" s="2" t="n">
        <f aca="false">INDEX(Summary!$T$2:$T$201,MATCH($B3718,Summary!$A$2:$A$201,0))</f>
        <v>49.76</v>
      </c>
      <c r="Y3718" s="0" t="str">
        <f aca="false">INDEX('Reward Model'!$E$18:$E$37,MATCH($E3718,'Reward Model'!$A$18:$A$37,0))</f>
        <v>High</v>
      </c>
      <c r="Z3718" s="4" t="n">
        <f aca="false">ROUND(MIN(1,MAX('Reward Model'!$B$2,INDEX('Reward Model'!$C$12:$C$14,MATCH($K3718,'Reward Model'!$A$12:$A$14,0))/$J3718)),3)</f>
        <v>0.823</v>
      </c>
      <c r="AA3718" s="2" t="n">
        <f aca="false">IF($I3718="Correct",ROUND(INDEX('Reward Model'!$B$12:$B$14,MATCH($K3718,'Reward Model'!$A$12:$A$14,0))*Z3718,2),0)</f>
        <v>0</v>
      </c>
      <c r="AB3718" s="2" t="n">
        <f aca="false">IF($I3718="Correct",ROUND(INDEX('Reward Model'!$B$12:$B$14,MATCH($Y3718,'Reward Model'!$A$12:$A$14,0))*Z3718,2),0)</f>
        <v>0</v>
      </c>
    </row>
    <row r="3719" customFormat="false" ht="15" hidden="false" customHeight="false" outlineLevel="0" collapsed="false">
      <c r="A3719" s="0" t="s">
        <v>502</v>
      </c>
      <c r="B3719" s="0" t="s">
        <v>503</v>
      </c>
      <c r="C3719" s="0" t="s">
        <v>322</v>
      </c>
      <c r="D3719" s="0" t="s">
        <v>275</v>
      </c>
      <c r="E3719" s="0" t="n">
        <v>18</v>
      </c>
      <c r="F3719" s="0" t="s">
        <v>76</v>
      </c>
      <c r="G3719" s="0" t="s">
        <v>56</v>
      </c>
      <c r="H3719" s="0" t="s">
        <v>77</v>
      </c>
      <c r="I3719" s="0" t="s">
        <v>39</v>
      </c>
      <c r="J3719" s="0" t="n">
        <v>1.47</v>
      </c>
      <c r="K3719" s="0" t="s">
        <v>73</v>
      </c>
      <c r="L3719" s="0" t="n">
        <f aca="false">INDEX(Summary!$F$2:$F$201,MATCH($B3719,Summary!$A$2:$A$201,0))</f>
        <v>20</v>
      </c>
      <c r="M3719" s="0" t="n">
        <f aca="false">INDEX(Summary!$I$2:$I$201,MATCH($B3719,Summary!$A$2:$A$201,0))</f>
        <v>2</v>
      </c>
      <c r="N3719" s="0" t="n">
        <f aca="false">INDEX(Summary!$J$2:$J$201,MATCH($B3719,Summary!$A$2:$A$201,0))</f>
        <v>3</v>
      </c>
      <c r="O3719" s="2" t="n">
        <f aca="false">INDEX(Summary!$K$2:$K$201,MATCH($B3719,Summary!$A$2:$A$201,0))</f>
        <v>9.64</v>
      </c>
      <c r="P3719" s="3" t="n">
        <f aca="false">INDEX(Summary!$L$2:$L$201,MATCH($B3719,Summary!$A$2:$A$201,0))</f>
        <v>2</v>
      </c>
      <c r="Q3719" s="3" t="n">
        <f aca="false">INDEX(Summary!$M$2:$M$201,MATCH($B3719,Summary!$A$2:$A$201,0))</f>
        <v>4</v>
      </c>
      <c r="R3719" s="2" t="n">
        <f aca="false">INDEX(Summary!$N$2:$N$201,MATCH($B3719,Summary!$A$2:$A$201,0))</f>
        <v>10.75</v>
      </c>
      <c r="S3719" s="3" t="n">
        <f aca="false">INDEX(Summary!$O$2:$O$201,MATCH($B3719,Summary!$A$2:$A$201,0))</f>
        <v>8</v>
      </c>
      <c r="T3719" s="3" t="n">
        <f aca="false">INDEX(Summary!$P$2:$P$201,MATCH($B3719,Summary!$A$2:$A$201,0))</f>
        <v>1</v>
      </c>
      <c r="U3719" s="2" t="n">
        <f aca="false">INDEX(Summary!$Q$2:$Q$201,MATCH($B3719,Summary!$A$2:$A$201,0))</f>
        <v>13.74</v>
      </c>
      <c r="V3719" s="2" t="n">
        <f aca="false">INDEX(Summary!$R$2:$R$201,MATCH($B3719,Summary!$A$2:$A$201,0))</f>
        <v>20.4</v>
      </c>
      <c r="W3719" s="0" t="str">
        <f aca="false">INDEX(Summary!$S$2:$S$201,MATCH($B3719,Summary!$A$2:$A$201,0))</f>
        <v>Bronze</v>
      </c>
      <c r="X3719" s="2" t="n">
        <f aca="false">INDEX(Summary!$T$2:$T$201,MATCH($B3719,Summary!$A$2:$A$201,0))</f>
        <v>49.76</v>
      </c>
      <c r="Y3719" s="0" t="str">
        <f aca="false">INDEX('Reward Model'!$E$18:$E$37,MATCH($E3719,'Reward Model'!$A$18:$A$37,0))</f>
        <v>High</v>
      </c>
      <c r="Z3719" s="4" t="n">
        <f aca="false">ROUND(MIN(1,MAX('Reward Model'!$B$2,INDEX('Reward Model'!$C$12:$C$14,MATCH($K3719,'Reward Model'!$A$12:$A$14,0))/$J3719)),3)</f>
        <v>1</v>
      </c>
      <c r="AA3719" s="2" t="n">
        <f aca="false">IF($I3719="Correct",ROUND(INDEX('Reward Model'!$B$12:$B$14,MATCH($K3719,'Reward Model'!$A$12:$A$14,0))*Z3719,2),0)</f>
        <v>0</v>
      </c>
      <c r="AB3719" s="2" t="n">
        <f aca="false">IF($I3719="Correct",ROUND(INDEX('Reward Model'!$B$12:$B$14,MATCH($Y3719,'Reward Model'!$A$12:$A$14,0))*Z3719,2),0)</f>
        <v>0</v>
      </c>
    </row>
    <row r="3720" customFormat="false" ht="15" hidden="false" customHeight="false" outlineLevel="0" collapsed="false">
      <c r="A3720" s="0" t="s">
        <v>502</v>
      </c>
      <c r="B3720" s="0" t="s">
        <v>503</v>
      </c>
      <c r="C3720" s="0" t="s">
        <v>322</v>
      </c>
      <c r="D3720" s="0" t="s">
        <v>275</v>
      </c>
      <c r="E3720" s="0" t="n">
        <v>19</v>
      </c>
      <c r="F3720" s="0" t="s">
        <v>78</v>
      </c>
      <c r="G3720" s="0" t="s">
        <v>80</v>
      </c>
      <c r="H3720" s="0" t="s">
        <v>80</v>
      </c>
      <c r="I3720" s="0" t="s">
        <v>34</v>
      </c>
      <c r="J3720" s="0" t="n">
        <v>1.82</v>
      </c>
      <c r="K3720" s="0" t="s">
        <v>73</v>
      </c>
      <c r="L3720" s="0" t="n">
        <f aca="false">INDEX(Summary!$F$2:$F$201,MATCH($B3720,Summary!$A$2:$A$201,0))</f>
        <v>20</v>
      </c>
      <c r="M3720" s="0" t="n">
        <f aca="false">INDEX(Summary!$I$2:$I$201,MATCH($B3720,Summary!$A$2:$A$201,0))</f>
        <v>2</v>
      </c>
      <c r="N3720" s="0" t="n">
        <f aca="false">INDEX(Summary!$J$2:$J$201,MATCH($B3720,Summary!$A$2:$A$201,0))</f>
        <v>3</v>
      </c>
      <c r="O3720" s="2" t="n">
        <f aca="false">INDEX(Summary!$K$2:$K$201,MATCH($B3720,Summary!$A$2:$A$201,0))</f>
        <v>9.64</v>
      </c>
      <c r="P3720" s="3" t="n">
        <f aca="false">INDEX(Summary!$L$2:$L$201,MATCH($B3720,Summary!$A$2:$A$201,0))</f>
        <v>2</v>
      </c>
      <c r="Q3720" s="3" t="n">
        <f aca="false">INDEX(Summary!$M$2:$M$201,MATCH($B3720,Summary!$A$2:$A$201,0))</f>
        <v>4</v>
      </c>
      <c r="R3720" s="2" t="n">
        <f aca="false">INDEX(Summary!$N$2:$N$201,MATCH($B3720,Summary!$A$2:$A$201,0))</f>
        <v>10.75</v>
      </c>
      <c r="S3720" s="3" t="n">
        <f aca="false">INDEX(Summary!$O$2:$O$201,MATCH($B3720,Summary!$A$2:$A$201,0))</f>
        <v>8</v>
      </c>
      <c r="T3720" s="3" t="n">
        <f aca="false">INDEX(Summary!$P$2:$P$201,MATCH($B3720,Summary!$A$2:$A$201,0))</f>
        <v>1</v>
      </c>
      <c r="U3720" s="2" t="n">
        <f aca="false">INDEX(Summary!$Q$2:$Q$201,MATCH($B3720,Summary!$A$2:$A$201,0))</f>
        <v>13.74</v>
      </c>
      <c r="V3720" s="2" t="n">
        <f aca="false">INDEX(Summary!$R$2:$R$201,MATCH($B3720,Summary!$A$2:$A$201,0))</f>
        <v>20.4</v>
      </c>
      <c r="W3720" s="0" t="str">
        <f aca="false">INDEX(Summary!$S$2:$S$201,MATCH($B3720,Summary!$A$2:$A$201,0))</f>
        <v>Bronze</v>
      </c>
      <c r="X3720" s="2" t="n">
        <f aca="false">INDEX(Summary!$T$2:$T$201,MATCH($B3720,Summary!$A$2:$A$201,0))</f>
        <v>49.76</v>
      </c>
      <c r="Y3720" s="0" t="str">
        <f aca="false">INDEX('Reward Model'!$E$18:$E$37,MATCH($E3720,'Reward Model'!$A$18:$A$37,0))</f>
        <v>High</v>
      </c>
      <c r="Z3720" s="4" t="n">
        <f aca="false">ROUND(MIN(1,MAX('Reward Model'!$B$2,INDEX('Reward Model'!$C$12:$C$14,MATCH($K3720,'Reward Model'!$A$12:$A$14,0))/$J3720)),3)</f>
        <v>1</v>
      </c>
      <c r="AA3720" s="2" t="n">
        <f aca="false">IF($I3720="Correct",ROUND(INDEX('Reward Model'!$B$12:$B$14,MATCH($K3720,'Reward Model'!$A$12:$A$14,0))*Z3720,2),0)</f>
        <v>3</v>
      </c>
      <c r="AB3720" s="2" t="n">
        <f aca="false">IF($I3720="Correct",ROUND(INDEX('Reward Model'!$B$12:$B$14,MATCH($Y3720,'Reward Model'!$A$12:$A$14,0))*Z3720,2),0)</f>
        <v>3</v>
      </c>
    </row>
    <row r="3721" customFormat="false" ht="15" hidden="false" customHeight="false" outlineLevel="0" collapsed="false">
      <c r="A3721" s="0" t="s">
        <v>502</v>
      </c>
      <c r="B3721" s="0" t="s">
        <v>503</v>
      </c>
      <c r="C3721" s="0" t="s">
        <v>322</v>
      </c>
      <c r="D3721" s="0" t="s">
        <v>275</v>
      </c>
      <c r="E3721" s="0" t="n">
        <v>20</v>
      </c>
      <c r="F3721" s="0" t="s">
        <v>81</v>
      </c>
      <c r="G3721" s="0" t="s">
        <v>83</v>
      </c>
      <c r="H3721" s="0" t="s">
        <v>83</v>
      </c>
      <c r="I3721" s="0" t="s">
        <v>34</v>
      </c>
      <c r="J3721" s="0" t="n">
        <v>2.3</v>
      </c>
      <c r="K3721" s="0" t="s">
        <v>73</v>
      </c>
      <c r="L3721" s="0" t="n">
        <f aca="false">INDEX(Summary!$F$2:$F$201,MATCH($B3721,Summary!$A$2:$A$201,0))</f>
        <v>20</v>
      </c>
      <c r="M3721" s="0" t="n">
        <f aca="false">INDEX(Summary!$I$2:$I$201,MATCH($B3721,Summary!$A$2:$A$201,0))</f>
        <v>2</v>
      </c>
      <c r="N3721" s="0" t="n">
        <f aca="false">INDEX(Summary!$J$2:$J$201,MATCH($B3721,Summary!$A$2:$A$201,0))</f>
        <v>3</v>
      </c>
      <c r="O3721" s="2" t="n">
        <f aca="false">INDEX(Summary!$K$2:$K$201,MATCH($B3721,Summary!$A$2:$A$201,0))</f>
        <v>9.64</v>
      </c>
      <c r="P3721" s="3" t="n">
        <f aca="false">INDEX(Summary!$L$2:$L$201,MATCH($B3721,Summary!$A$2:$A$201,0))</f>
        <v>2</v>
      </c>
      <c r="Q3721" s="3" t="n">
        <f aca="false">INDEX(Summary!$M$2:$M$201,MATCH($B3721,Summary!$A$2:$A$201,0))</f>
        <v>4</v>
      </c>
      <c r="R3721" s="2" t="n">
        <f aca="false">INDEX(Summary!$N$2:$N$201,MATCH($B3721,Summary!$A$2:$A$201,0))</f>
        <v>10.75</v>
      </c>
      <c r="S3721" s="3" t="n">
        <f aca="false">INDEX(Summary!$O$2:$O$201,MATCH($B3721,Summary!$A$2:$A$201,0))</f>
        <v>8</v>
      </c>
      <c r="T3721" s="3" t="n">
        <f aca="false">INDEX(Summary!$P$2:$P$201,MATCH($B3721,Summary!$A$2:$A$201,0))</f>
        <v>1</v>
      </c>
      <c r="U3721" s="2" t="n">
        <f aca="false">INDEX(Summary!$Q$2:$Q$201,MATCH($B3721,Summary!$A$2:$A$201,0))</f>
        <v>13.74</v>
      </c>
      <c r="V3721" s="2" t="n">
        <f aca="false">INDEX(Summary!$R$2:$R$201,MATCH($B3721,Summary!$A$2:$A$201,0))</f>
        <v>20.4</v>
      </c>
      <c r="W3721" s="0" t="str">
        <f aca="false">INDEX(Summary!$S$2:$S$201,MATCH($B3721,Summary!$A$2:$A$201,0))</f>
        <v>Bronze</v>
      </c>
      <c r="X3721" s="2" t="n">
        <f aca="false">INDEX(Summary!$T$2:$T$201,MATCH($B3721,Summary!$A$2:$A$201,0))</f>
        <v>49.76</v>
      </c>
      <c r="Y3721" s="0" t="str">
        <f aca="false">INDEX('Reward Model'!$E$18:$E$37,MATCH($E3721,'Reward Model'!$A$18:$A$37,0))</f>
        <v>High</v>
      </c>
      <c r="Z3721" s="4" t="n">
        <f aca="false">ROUND(MIN(1,MAX('Reward Model'!$B$2,INDEX('Reward Model'!$C$12:$C$14,MATCH($K3721,'Reward Model'!$A$12:$A$14,0))/$J3721)),3)</f>
        <v>0.87</v>
      </c>
      <c r="AA3721" s="2" t="n">
        <f aca="false">IF($I3721="Correct",ROUND(INDEX('Reward Model'!$B$12:$B$14,MATCH($K3721,'Reward Model'!$A$12:$A$14,0))*Z3721,2),0)</f>
        <v>2.61</v>
      </c>
      <c r="AB3721" s="2" t="n">
        <f aca="false">IF($I3721="Correct",ROUND(INDEX('Reward Model'!$B$12:$B$14,MATCH($Y3721,'Reward Model'!$A$12:$A$14,0))*Z3721,2),0)</f>
        <v>2.61</v>
      </c>
    </row>
    <row r="3722" customFormat="false" ht="15" hidden="false" customHeight="false" outlineLevel="0" collapsed="false">
      <c r="A3722" s="0" t="s">
        <v>504</v>
      </c>
      <c r="B3722" s="0" t="s">
        <v>505</v>
      </c>
      <c r="C3722" s="0" t="s">
        <v>322</v>
      </c>
      <c r="D3722" s="0" t="s">
        <v>275</v>
      </c>
      <c r="E3722" s="0" t="n">
        <v>1</v>
      </c>
      <c r="F3722" s="0" t="s">
        <v>32</v>
      </c>
      <c r="G3722" s="0" t="s">
        <v>33</v>
      </c>
      <c r="H3722" s="0" t="s">
        <v>33</v>
      </c>
      <c r="I3722" s="0" t="s">
        <v>34</v>
      </c>
      <c r="J3722" s="0" t="n">
        <v>1.35</v>
      </c>
      <c r="K3722" s="0" t="s">
        <v>35</v>
      </c>
      <c r="L3722" s="0" t="n">
        <f aca="false">INDEX(Summary!$F$2:$F$201,MATCH($B3722,Summary!$A$2:$A$201,0))</f>
        <v>20</v>
      </c>
      <c r="M3722" s="0" t="n">
        <f aca="false">INDEX(Summary!$I$2:$I$201,MATCH($B3722,Summary!$A$2:$A$201,0))</f>
        <v>2</v>
      </c>
      <c r="N3722" s="0" t="n">
        <f aca="false">INDEX(Summary!$J$2:$J$201,MATCH($B3722,Summary!$A$2:$A$201,0))</f>
        <v>3</v>
      </c>
      <c r="O3722" s="2" t="n">
        <f aca="false">INDEX(Summary!$K$2:$K$201,MATCH($B3722,Summary!$A$2:$A$201,0))</f>
        <v>8.21</v>
      </c>
      <c r="P3722" s="3" t="n">
        <f aca="false">INDEX(Summary!$L$2:$L$201,MATCH($B3722,Summary!$A$2:$A$201,0))</f>
        <v>5</v>
      </c>
      <c r="Q3722" s="3" t="n">
        <f aca="false">INDEX(Summary!$M$2:$M$201,MATCH($B3722,Summary!$A$2:$A$201,0))</f>
        <v>1</v>
      </c>
      <c r="R3722" s="2" t="n">
        <f aca="false">INDEX(Summary!$N$2:$N$201,MATCH($B3722,Summary!$A$2:$A$201,0))</f>
        <v>10.27</v>
      </c>
      <c r="S3722" s="3" t="n">
        <f aca="false">INDEX(Summary!$O$2:$O$201,MATCH($B3722,Summary!$A$2:$A$201,0))</f>
        <v>8</v>
      </c>
      <c r="T3722" s="3" t="n">
        <f aca="false">INDEX(Summary!$P$2:$P$201,MATCH($B3722,Summary!$A$2:$A$201,0))</f>
        <v>1</v>
      </c>
      <c r="U3722" s="2" t="n">
        <f aca="false">INDEX(Summary!$Q$2:$Q$201,MATCH($B3722,Summary!$A$2:$A$201,0))</f>
        <v>13.78</v>
      </c>
      <c r="V3722" s="2" t="n">
        <f aca="false">INDEX(Summary!$R$2:$R$201,MATCH($B3722,Summary!$A$2:$A$201,0))</f>
        <v>27.42</v>
      </c>
      <c r="W3722" s="0" t="str">
        <f aca="false">INDEX(Summary!$S$2:$S$201,MATCH($B3722,Summary!$A$2:$A$201,0))</f>
        <v>Silver</v>
      </c>
      <c r="X3722" s="2" t="n">
        <f aca="false">INDEX(Summary!$T$2:$T$201,MATCH($B3722,Summary!$A$2:$A$201,0))</f>
        <v>66.88</v>
      </c>
      <c r="Y3722" s="0" t="str">
        <f aca="false">INDEX('Reward Model'!$E$18:$E$37,MATCH($E3722,'Reward Model'!$A$18:$A$37,0))</f>
        <v>Medium</v>
      </c>
      <c r="Z3722" s="4" t="n">
        <f aca="false">ROUND(MIN(1,MAX('Reward Model'!$B$2,INDEX('Reward Model'!$C$12:$C$14,MATCH($K3722,'Reward Model'!$A$12:$A$14,0))/$J3722)),3)</f>
        <v>1</v>
      </c>
      <c r="AA3722" s="2" t="n">
        <f aca="false">IF($I3722="Correct",ROUND(INDEX('Reward Model'!$B$12:$B$14,MATCH($K3722,'Reward Model'!$A$12:$A$14,0))*Z3722,2),0)</f>
        <v>1</v>
      </c>
      <c r="AB3722" s="2" t="n">
        <f aca="false">IF($I3722="Correct",ROUND(INDEX('Reward Model'!$B$12:$B$14,MATCH($Y3722,'Reward Model'!$A$12:$A$14,0))*Z3722,2),0)</f>
        <v>2</v>
      </c>
    </row>
    <row r="3723" customFormat="false" ht="15" hidden="false" customHeight="false" outlineLevel="0" collapsed="false">
      <c r="A3723" s="0" t="s">
        <v>504</v>
      </c>
      <c r="B3723" s="0" t="s">
        <v>505</v>
      </c>
      <c r="C3723" s="0" t="s">
        <v>322</v>
      </c>
      <c r="D3723" s="0" t="s">
        <v>275</v>
      </c>
      <c r="E3723" s="0" t="n">
        <v>2</v>
      </c>
      <c r="F3723" s="0" t="s">
        <v>36</v>
      </c>
      <c r="G3723" s="0" t="s">
        <v>38</v>
      </c>
      <c r="H3723" s="0" t="s">
        <v>38</v>
      </c>
      <c r="I3723" s="0" t="s">
        <v>34</v>
      </c>
      <c r="J3723" s="0" t="n">
        <v>0.93</v>
      </c>
      <c r="K3723" s="0" t="s">
        <v>35</v>
      </c>
      <c r="L3723" s="0" t="n">
        <f aca="false">INDEX(Summary!$F$2:$F$201,MATCH($B3723,Summary!$A$2:$A$201,0))</f>
        <v>20</v>
      </c>
      <c r="M3723" s="0" t="n">
        <f aca="false">INDEX(Summary!$I$2:$I$201,MATCH($B3723,Summary!$A$2:$A$201,0))</f>
        <v>2</v>
      </c>
      <c r="N3723" s="0" t="n">
        <f aca="false">INDEX(Summary!$J$2:$J$201,MATCH($B3723,Summary!$A$2:$A$201,0))</f>
        <v>3</v>
      </c>
      <c r="O3723" s="2" t="n">
        <f aca="false">INDEX(Summary!$K$2:$K$201,MATCH($B3723,Summary!$A$2:$A$201,0))</f>
        <v>8.21</v>
      </c>
      <c r="P3723" s="3" t="n">
        <f aca="false">INDEX(Summary!$L$2:$L$201,MATCH($B3723,Summary!$A$2:$A$201,0))</f>
        <v>5</v>
      </c>
      <c r="Q3723" s="3" t="n">
        <f aca="false">INDEX(Summary!$M$2:$M$201,MATCH($B3723,Summary!$A$2:$A$201,0))</f>
        <v>1</v>
      </c>
      <c r="R3723" s="2" t="n">
        <f aca="false">INDEX(Summary!$N$2:$N$201,MATCH($B3723,Summary!$A$2:$A$201,0))</f>
        <v>10.27</v>
      </c>
      <c r="S3723" s="3" t="n">
        <f aca="false">INDEX(Summary!$O$2:$O$201,MATCH($B3723,Summary!$A$2:$A$201,0))</f>
        <v>8</v>
      </c>
      <c r="T3723" s="3" t="n">
        <f aca="false">INDEX(Summary!$P$2:$P$201,MATCH($B3723,Summary!$A$2:$A$201,0))</f>
        <v>1</v>
      </c>
      <c r="U3723" s="2" t="n">
        <f aca="false">INDEX(Summary!$Q$2:$Q$201,MATCH($B3723,Summary!$A$2:$A$201,0))</f>
        <v>13.78</v>
      </c>
      <c r="V3723" s="2" t="n">
        <f aca="false">INDEX(Summary!$R$2:$R$201,MATCH($B3723,Summary!$A$2:$A$201,0))</f>
        <v>27.42</v>
      </c>
      <c r="W3723" s="0" t="str">
        <f aca="false">INDEX(Summary!$S$2:$S$201,MATCH($B3723,Summary!$A$2:$A$201,0))</f>
        <v>Silver</v>
      </c>
      <c r="X3723" s="2" t="n">
        <f aca="false">INDEX(Summary!$T$2:$T$201,MATCH($B3723,Summary!$A$2:$A$201,0))</f>
        <v>66.88</v>
      </c>
      <c r="Y3723" s="0" t="str">
        <f aca="false">INDEX('Reward Model'!$E$18:$E$37,MATCH($E3723,'Reward Model'!$A$18:$A$37,0))</f>
        <v>Low</v>
      </c>
      <c r="Z3723" s="4" t="n">
        <f aca="false">ROUND(MIN(1,MAX('Reward Model'!$B$2,INDEX('Reward Model'!$C$12:$C$14,MATCH($K3723,'Reward Model'!$A$12:$A$14,0))/$J3723)),3)</f>
        <v>1</v>
      </c>
      <c r="AA3723" s="2" t="n">
        <f aca="false">IF($I3723="Correct",ROUND(INDEX('Reward Model'!$B$12:$B$14,MATCH($K3723,'Reward Model'!$A$12:$A$14,0))*Z3723,2),0)</f>
        <v>1</v>
      </c>
      <c r="AB3723" s="2" t="n">
        <f aca="false">IF($I3723="Correct",ROUND(INDEX('Reward Model'!$B$12:$B$14,MATCH($Y3723,'Reward Model'!$A$12:$A$14,0))*Z3723,2),0)</f>
        <v>1</v>
      </c>
    </row>
    <row r="3724" customFormat="false" ht="15" hidden="false" customHeight="false" outlineLevel="0" collapsed="false">
      <c r="A3724" s="0" t="s">
        <v>504</v>
      </c>
      <c r="B3724" s="0" t="s">
        <v>505</v>
      </c>
      <c r="C3724" s="0" t="s">
        <v>322</v>
      </c>
      <c r="D3724" s="0" t="s">
        <v>275</v>
      </c>
      <c r="E3724" s="0" t="n">
        <v>3</v>
      </c>
      <c r="F3724" s="0" t="s">
        <v>40</v>
      </c>
      <c r="G3724" s="0" t="s">
        <v>42</v>
      </c>
      <c r="H3724" s="0" t="s">
        <v>42</v>
      </c>
      <c r="I3724" s="0" t="s">
        <v>34</v>
      </c>
      <c r="J3724" s="0" t="n">
        <v>1.36</v>
      </c>
      <c r="K3724" s="0" t="s">
        <v>35</v>
      </c>
      <c r="L3724" s="0" t="n">
        <f aca="false">INDEX(Summary!$F$2:$F$201,MATCH($B3724,Summary!$A$2:$A$201,0))</f>
        <v>20</v>
      </c>
      <c r="M3724" s="0" t="n">
        <f aca="false">INDEX(Summary!$I$2:$I$201,MATCH($B3724,Summary!$A$2:$A$201,0))</f>
        <v>2</v>
      </c>
      <c r="N3724" s="0" t="n">
        <f aca="false">INDEX(Summary!$J$2:$J$201,MATCH($B3724,Summary!$A$2:$A$201,0))</f>
        <v>3</v>
      </c>
      <c r="O3724" s="2" t="n">
        <f aca="false">INDEX(Summary!$K$2:$K$201,MATCH($B3724,Summary!$A$2:$A$201,0))</f>
        <v>8.21</v>
      </c>
      <c r="P3724" s="3" t="n">
        <f aca="false">INDEX(Summary!$L$2:$L$201,MATCH($B3724,Summary!$A$2:$A$201,0))</f>
        <v>5</v>
      </c>
      <c r="Q3724" s="3" t="n">
        <f aca="false">INDEX(Summary!$M$2:$M$201,MATCH($B3724,Summary!$A$2:$A$201,0))</f>
        <v>1</v>
      </c>
      <c r="R3724" s="2" t="n">
        <f aca="false">INDEX(Summary!$N$2:$N$201,MATCH($B3724,Summary!$A$2:$A$201,0))</f>
        <v>10.27</v>
      </c>
      <c r="S3724" s="3" t="n">
        <f aca="false">INDEX(Summary!$O$2:$O$201,MATCH($B3724,Summary!$A$2:$A$201,0))</f>
        <v>8</v>
      </c>
      <c r="T3724" s="3" t="n">
        <f aca="false">INDEX(Summary!$P$2:$P$201,MATCH($B3724,Summary!$A$2:$A$201,0))</f>
        <v>1</v>
      </c>
      <c r="U3724" s="2" t="n">
        <f aca="false">INDEX(Summary!$Q$2:$Q$201,MATCH($B3724,Summary!$A$2:$A$201,0))</f>
        <v>13.78</v>
      </c>
      <c r="V3724" s="2" t="n">
        <f aca="false">INDEX(Summary!$R$2:$R$201,MATCH($B3724,Summary!$A$2:$A$201,0))</f>
        <v>27.42</v>
      </c>
      <c r="W3724" s="0" t="str">
        <f aca="false">INDEX(Summary!$S$2:$S$201,MATCH($B3724,Summary!$A$2:$A$201,0))</f>
        <v>Silver</v>
      </c>
      <c r="X3724" s="2" t="n">
        <f aca="false">INDEX(Summary!$T$2:$T$201,MATCH($B3724,Summary!$A$2:$A$201,0))</f>
        <v>66.88</v>
      </c>
      <c r="Y3724" s="0" t="str">
        <f aca="false">INDEX('Reward Model'!$E$18:$E$37,MATCH($E3724,'Reward Model'!$A$18:$A$37,0))</f>
        <v>Medium</v>
      </c>
      <c r="Z3724" s="4" t="n">
        <f aca="false">ROUND(MIN(1,MAX('Reward Model'!$B$2,INDEX('Reward Model'!$C$12:$C$14,MATCH($K3724,'Reward Model'!$A$12:$A$14,0))/$J3724)),3)</f>
        <v>1</v>
      </c>
      <c r="AA3724" s="2" t="n">
        <f aca="false">IF($I3724="Correct",ROUND(INDEX('Reward Model'!$B$12:$B$14,MATCH($K3724,'Reward Model'!$A$12:$A$14,0))*Z3724,2),0)</f>
        <v>1</v>
      </c>
      <c r="AB3724" s="2" t="n">
        <f aca="false">IF($I3724="Correct",ROUND(INDEX('Reward Model'!$B$12:$B$14,MATCH($Y3724,'Reward Model'!$A$12:$A$14,0))*Z3724,2),0)</f>
        <v>2</v>
      </c>
    </row>
    <row r="3725" customFormat="false" ht="15" hidden="false" customHeight="false" outlineLevel="0" collapsed="false">
      <c r="A3725" s="0" t="s">
        <v>504</v>
      </c>
      <c r="B3725" s="0" t="s">
        <v>505</v>
      </c>
      <c r="C3725" s="0" t="s">
        <v>322</v>
      </c>
      <c r="D3725" s="0" t="s">
        <v>275</v>
      </c>
      <c r="E3725" s="0" t="n">
        <v>4</v>
      </c>
      <c r="F3725" s="0" t="s">
        <v>43</v>
      </c>
      <c r="G3725" s="0" t="s">
        <v>45</v>
      </c>
      <c r="H3725" s="0" t="s">
        <v>45</v>
      </c>
      <c r="I3725" s="0" t="s">
        <v>34</v>
      </c>
      <c r="J3725" s="0" t="n">
        <v>1.77</v>
      </c>
      <c r="K3725" s="0" t="s">
        <v>35</v>
      </c>
      <c r="L3725" s="0" t="n">
        <f aca="false">INDEX(Summary!$F$2:$F$201,MATCH($B3725,Summary!$A$2:$A$201,0))</f>
        <v>20</v>
      </c>
      <c r="M3725" s="0" t="n">
        <f aca="false">INDEX(Summary!$I$2:$I$201,MATCH($B3725,Summary!$A$2:$A$201,0))</f>
        <v>2</v>
      </c>
      <c r="N3725" s="0" t="n">
        <f aca="false">INDEX(Summary!$J$2:$J$201,MATCH($B3725,Summary!$A$2:$A$201,0))</f>
        <v>3</v>
      </c>
      <c r="O3725" s="2" t="n">
        <f aca="false">INDEX(Summary!$K$2:$K$201,MATCH($B3725,Summary!$A$2:$A$201,0))</f>
        <v>8.21</v>
      </c>
      <c r="P3725" s="3" t="n">
        <f aca="false">INDEX(Summary!$L$2:$L$201,MATCH($B3725,Summary!$A$2:$A$201,0))</f>
        <v>5</v>
      </c>
      <c r="Q3725" s="3" t="n">
        <f aca="false">INDEX(Summary!$M$2:$M$201,MATCH($B3725,Summary!$A$2:$A$201,0))</f>
        <v>1</v>
      </c>
      <c r="R3725" s="2" t="n">
        <f aca="false">INDEX(Summary!$N$2:$N$201,MATCH($B3725,Summary!$A$2:$A$201,0))</f>
        <v>10.27</v>
      </c>
      <c r="S3725" s="3" t="n">
        <f aca="false">INDEX(Summary!$O$2:$O$201,MATCH($B3725,Summary!$A$2:$A$201,0))</f>
        <v>8</v>
      </c>
      <c r="T3725" s="3" t="n">
        <f aca="false">INDEX(Summary!$P$2:$P$201,MATCH($B3725,Summary!$A$2:$A$201,0))</f>
        <v>1</v>
      </c>
      <c r="U3725" s="2" t="n">
        <f aca="false">INDEX(Summary!$Q$2:$Q$201,MATCH($B3725,Summary!$A$2:$A$201,0))</f>
        <v>13.78</v>
      </c>
      <c r="V3725" s="2" t="n">
        <f aca="false">INDEX(Summary!$R$2:$R$201,MATCH($B3725,Summary!$A$2:$A$201,0))</f>
        <v>27.42</v>
      </c>
      <c r="W3725" s="0" t="str">
        <f aca="false">INDEX(Summary!$S$2:$S$201,MATCH($B3725,Summary!$A$2:$A$201,0))</f>
        <v>Silver</v>
      </c>
      <c r="X3725" s="2" t="n">
        <f aca="false">INDEX(Summary!$T$2:$T$201,MATCH($B3725,Summary!$A$2:$A$201,0))</f>
        <v>66.88</v>
      </c>
      <c r="Y3725" s="0" t="str">
        <f aca="false">INDEX('Reward Model'!$E$18:$E$37,MATCH($E3725,'Reward Model'!$A$18:$A$37,0))</f>
        <v>Low</v>
      </c>
      <c r="Z3725" s="4" t="n">
        <f aca="false">ROUND(MIN(1,MAX('Reward Model'!$B$2,INDEX('Reward Model'!$C$12:$C$14,MATCH($K3725,'Reward Model'!$A$12:$A$14,0))/$J3725)),3)</f>
        <v>0.847</v>
      </c>
      <c r="AA3725" s="2" t="n">
        <f aca="false">IF($I3725="Correct",ROUND(INDEX('Reward Model'!$B$12:$B$14,MATCH($K3725,'Reward Model'!$A$12:$A$14,0))*Z3725,2),0)</f>
        <v>0.85</v>
      </c>
      <c r="AB3725" s="2" t="n">
        <f aca="false">IF($I3725="Correct",ROUND(INDEX('Reward Model'!$B$12:$B$14,MATCH($Y3725,'Reward Model'!$A$12:$A$14,0))*Z3725,2),0)</f>
        <v>0.85</v>
      </c>
    </row>
    <row r="3726" customFormat="false" ht="15" hidden="false" customHeight="false" outlineLevel="0" collapsed="false">
      <c r="A3726" s="0" t="s">
        <v>504</v>
      </c>
      <c r="B3726" s="0" t="s">
        <v>505</v>
      </c>
      <c r="C3726" s="0" t="s">
        <v>322</v>
      </c>
      <c r="D3726" s="0" t="s">
        <v>275</v>
      </c>
      <c r="E3726" s="0" t="n">
        <v>5</v>
      </c>
      <c r="F3726" s="0" t="s">
        <v>46</v>
      </c>
      <c r="G3726" s="0" t="s">
        <v>47</v>
      </c>
      <c r="H3726" s="0" t="s">
        <v>47</v>
      </c>
      <c r="I3726" s="0" t="s">
        <v>34</v>
      </c>
      <c r="J3726" s="0" t="n">
        <v>1.65</v>
      </c>
      <c r="K3726" s="0" t="s">
        <v>35</v>
      </c>
      <c r="L3726" s="0" t="n">
        <f aca="false">INDEX(Summary!$F$2:$F$201,MATCH($B3726,Summary!$A$2:$A$201,0))</f>
        <v>20</v>
      </c>
      <c r="M3726" s="0" t="n">
        <f aca="false">INDEX(Summary!$I$2:$I$201,MATCH($B3726,Summary!$A$2:$A$201,0))</f>
        <v>2</v>
      </c>
      <c r="N3726" s="0" t="n">
        <f aca="false">INDEX(Summary!$J$2:$J$201,MATCH($B3726,Summary!$A$2:$A$201,0))</f>
        <v>3</v>
      </c>
      <c r="O3726" s="2" t="n">
        <f aca="false">INDEX(Summary!$K$2:$K$201,MATCH($B3726,Summary!$A$2:$A$201,0))</f>
        <v>8.21</v>
      </c>
      <c r="P3726" s="3" t="n">
        <f aca="false">INDEX(Summary!$L$2:$L$201,MATCH($B3726,Summary!$A$2:$A$201,0))</f>
        <v>5</v>
      </c>
      <c r="Q3726" s="3" t="n">
        <f aca="false">INDEX(Summary!$M$2:$M$201,MATCH($B3726,Summary!$A$2:$A$201,0))</f>
        <v>1</v>
      </c>
      <c r="R3726" s="2" t="n">
        <f aca="false">INDEX(Summary!$N$2:$N$201,MATCH($B3726,Summary!$A$2:$A$201,0))</f>
        <v>10.27</v>
      </c>
      <c r="S3726" s="3" t="n">
        <f aca="false">INDEX(Summary!$O$2:$O$201,MATCH($B3726,Summary!$A$2:$A$201,0))</f>
        <v>8</v>
      </c>
      <c r="T3726" s="3" t="n">
        <f aca="false">INDEX(Summary!$P$2:$P$201,MATCH($B3726,Summary!$A$2:$A$201,0))</f>
        <v>1</v>
      </c>
      <c r="U3726" s="2" t="n">
        <f aca="false">INDEX(Summary!$Q$2:$Q$201,MATCH($B3726,Summary!$A$2:$A$201,0))</f>
        <v>13.78</v>
      </c>
      <c r="V3726" s="2" t="n">
        <f aca="false">INDEX(Summary!$R$2:$R$201,MATCH($B3726,Summary!$A$2:$A$201,0))</f>
        <v>27.42</v>
      </c>
      <c r="W3726" s="0" t="str">
        <f aca="false">INDEX(Summary!$S$2:$S$201,MATCH($B3726,Summary!$A$2:$A$201,0))</f>
        <v>Silver</v>
      </c>
      <c r="X3726" s="2" t="n">
        <f aca="false">INDEX(Summary!$T$2:$T$201,MATCH($B3726,Summary!$A$2:$A$201,0))</f>
        <v>66.88</v>
      </c>
      <c r="Y3726" s="0" t="str">
        <f aca="false">INDEX('Reward Model'!$E$18:$E$37,MATCH($E3726,'Reward Model'!$A$18:$A$37,0))</f>
        <v>Low</v>
      </c>
      <c r="Z3726" s="4" t="n">
        <f aca="false">ROUND(MIN(1,MAX('Reward Model'!$B$2,INDEX('Reward Model'!$C$12:$C$14,MATCH($K3726,'Reward Model'!$A$12:$A$14,0))/$J3726)),3)</f>
        <v>0.909</v>
      </c>
      <c r="AA3726" s="2" t="n">
        <f aca="false">IF($I3726="Correct",ROUND(INDEX('Reward Model'!$B$12:$B$14,MATCH($K3726,'Reward Model'!$A$12:$A$14,0))*Z3726,2),0)</f>
        <v>0.91</v>
      </c>
      <c r="AB3726" s="2" t="n">
        <f aca="false">IF($I3726="Correct",ROUND(INDEX('Reward Model'!$B$12:$B$14,MATCH($Y3726,'Reward Model'!$A$12:$A$14,0))*Z3726,2),0)</f>
        <v>0.91</v>
      </c>
    </row>
    <row r="3727" customFormat="false" ht="15" hidden="false" customHeight="false" outlineLevel="0" collapsed="false">
      <c r="A3727" s="0" t="s">
        <v>504</v>
      </c>
      <c r="B3727" s="0" t="s">
        <v>505</v>
      </c>
      <c r="C3727" s="0" t="s">
        <v>322</v>
      </c>
      <c r="D3727" s="0" t="s">
        <v>275</v>
      </c>
      <c r="E3727" s="0" t="n">
        <v>6</v>
      </c>
      <c r="F3727" s="0" t="s">
        <v>48</v>
      </c>
      <c r="G3727" s="0" t="s">
        <v>49</v>
      </c>
      <c r="H3727" s="0" t="s">
        <v>49</v>
      </c>
      <c r="I3727" s="0" t="s">
        <v>34</v>
      </c>
      <c r="J3727" s="0" t="n">
        <v>1.65</v>
      </c>
      <c r="K3727" s="0" t="s">
        <v>35</v>
      </c>
      <c r="L3727" s="0" t="n">
        <f aca="false">INDEX(Summary!$F$2:$F$201,MATCH($B3727,Summary!$A$2:$A$201,0))</f>
        <v>20</v>
      </c>
      <c r="M3727" s="0" t="n">
        <f aca="false">INDEX(Summary!$I$2:$I$201,MATCH($B3727,Summary!$A$2:$A$201,0))</f>
        <v>2</v>
      </c>
      <c r="N3727" s="0" t="n">
        <f aca="false">INDEX(Summary!$J$2:$J$201,MATCH($B3727,Summary!$A$2:$A$201,0))</f>
        <v>3</v>
      </c>
      <c r="O3727" s="2" t="n">
        <f aca="false">INDEX(Summary!$K$2:$K$201,MATCH($B3727,Summary!$A$2:$A$201,0))</f>
        <v>8.21</v>
      </c>
      <c r="P3727" s="3" t="n">
        <f aca="false">INDEX(Summary!$L$2:$L$201,MATCH($B3727,Summary!$A$2:$A$201,0))</f>
        <v>5</v>
      </c>
      <c r="Q3727" s="3" t="n">
        <f aca="false">INDEX(Summary!$M$2:$M$201,MATCH($B3727,Summary!$A$2:$A$201,0))</f>
        <v>1</v>
      </c>
      <c r="R3727" s="2" t="n">
        <f aca="false">INDEX(Summary!$N$2:$N$201,MATCH($B3727,Summary!$A$2:$A$201,0))</f>
        <v>10.27</v>
      </c>
      <c r="S3727" s="3" t="n">
        <f aca="false">INDEX(Summary!$O$2:$O$201,MATCH($B3727,Summary!$A$2:$A$201,0))</f>
        <v>8</v>
      </c>
      <c r="T3727" s="3" t="n">
        <f aca="false">INDEX(Summary!$P$2:$P$201,MATCH($B3727,Summary!$A$2:$A$201,0))</f>
        <v>1</v>
      </c>
      <c r="U3727" s="2" t="n">
        <f aca="false">INDEX(Summary!$Q$2:$Q$201,MATCH($B3727,Summary!$A$2:$A$201,0))</f>
        <v>13.78</v>
      </c>
      <c r="V3727" s="2" t="n">
        <f aca="false">INDEX(Summary!$R$2:$R$201,MATCH($B3727,Summary!$A$2:$A$201,0))</f>
        <v>27.42</v>
      </c>
      <c r="W3727" s="0" t="str">
        <f aca="false">INDEX(Summary!$S$2:$S$201,MATCH($B3727,Summary!$A$2:$A$201,0))</f>
        <v>Silver</v>
      </c>
      <c r="X3727" s="2" t="n">
        <f aca="false">INDEX(Summary!$T$2:$T$201,MATCH($B3727,Summary!$A$2:$A$201,0))</f>
        <v>66.88</v>
      </c>
      <c r="Y3727" s="0" t="str">
        <f aca="false">INDEX('Reward Model'!$E$18:$E$37,MATCH($E3727,'Reward Model'!$A$18:$A$37,0))</f>
        <v>Medium</v>
      </c>
      <c r="Z3727" s="4" t="n">
        <f aca="false">ROUND(MIN(1,MAX('Reward Model'!$B$2,INDEX('Reward Model'!$C$12:$C$14,MATCH($K3727,'Reward Model'!$A$12:$A$14,0))/$J3727)),3)</f>
        <v>0.909</v>
      </c>
      <c r="AA3727" s="2" t="n">
        <f aca="false">IF($I3727="Correct",ROUND(INDEX('Reward Model'!$B$12:$B$14,MATCH($K3727,'Reward Model'!$A$12:$A$14,0))*Z3727,2),0)</f>
        <v>0.91</v>
      </c>
      <c r="AB3727" s="2" t="n">
        <f aca="false">IF($I3727="Correct",ROUND(INDEX('Reward Model'!$B$12:$B$14,MATCH($Y3727,'Reward Model'!$A$12:$A$14,0))*Z3727,2),0)</f>
        <v>1.82</v>
      </c>
    </row>
    <row r="3728" customFormat="false" ht="15" hidden="false" customHeight="false" outlineLevel="0" collapsed="false">
      <c r="A3728" s="0" t="s">
        <v>504</v>
      </c>
      <c r="B3728" s="0" t="s">
        <v>505</v>
      </c>
      <c r="C3728" s="0" t="s">
        <v>322</v>
      </c>
      <c r="D3728" s="0" t="s">
        <v>275</v>
      </c>
      <c r="E3728" s="0" t="n">
        <v>7</v>
      </c>
      <c r="F3728" s="0" t="s">
        <v>50</v>
      </c>
      <c r="G3728" s="0" t="s">
        <v>51</v>
      </c>
      <c r="H3728" s="0" t="s">
        <v>51</v>
      </c>
      <c r="I3728" s="0" t="s">
        <v>34</v>
      </c>
      <c r="J3728" s="0" t="n">
        <v>1.68</v>
      </c>
      <c r="K3728" s="0" t="s">
        <v>35</v>
      </c>
      <c r="L3728" s="0" t="n">
        <f aca="false">INDEX(Summary!$F$2:$F$201,MATCH($B3728,Summary!$A$2:$A$201,0))</f>
        <v>20</v>
      </c>
      <c r="M3728" s="0" t="n">
        <f aca="false">INDEX(Summary!$I$2:$I$201,MATCH($B3728,Summary!$A$2:$A$201,0))</f>
        <v>2</v>
      </c>
      <c r="N3728" s="0" t="n">
        <f aca="false">INDEX(Summary!$J$2:$J$201,MATCH($B3728,Summary!$A$2:$A$201,0))</f>
        <v>3</v>
      </c>
      <c r="O3728" s="2" t="n">
        <f aca="false">INDEX(Summary!$K$2:$K$201,MATCH($B3728,Summary!$A$2:$A$201,0))</f>
        <v>8.21</v>
      </c>
      <c r="P3728" s="3" t="n">
        <f aca="false">INDEX(Summary!$L$2:$L$201,MATCH($B3728,Summary!$A$2:$A$201,0))</f>
        <v>5</v>
      </c>
      <c r="Q3728" s="3" t="n">
        <f aca="false">INDEX(Summary!$M$2:$M$201,MATCH($B3728,Summary!$A$2:$A$201,0))</f>
        <v>1</v>
      </c>
      <c r="R3728" s="2" t="n">
        <f aca="false">INDEX(Summary!$N$2:$N$201,MATCH($B3728,Summary!$A$2:$A$201,0))</f>
        <v>10.27</v>
      </c>
      <c r="S3728" s="3" t="n">
        <f aca="false">INDEX(Summary!$O$2:$O$201,MATCH($B3728,Summary!$A$2:$A$201,0))</f>
        <v>8</v>
      </c>
      <c r="T3728" s="3" t="n">
        <f aca="false">INDEX(Summary!$P$2:$P$201,MATCH($B3728,Summary!$A$2:$A$201,0))</f>
        <v>1</v>
      </c>
      <c r="U3728" s="2" t="n">
        <f aca="false">INDEX(Summary!$Q$2:$Q$201,MATCH($B3728,Summary!$A$2:$A$201,0))</f>
        <v>13.78</v>
      </c>
      <c r="V3728" s="2" t="n">
        <f aca="false">INDEX(Summary!$R$2:$R$201,MATCH($B3728,Summary!$A$2:$A$201,0))</f>
        <v>27.42</v>
      </c>
      <c r="W3728" s="0" t="str">
        <f aca="false">INDEX(Summary!$S$2:$S$201,MATCH($B3728,Summary!$A$2:$A$201,0))</f>
        <v>Silver</v>
      </c>
      <c r="X3728" s="2" t="n">
        <f aca="false">INDEX(Summary!$T$2:$T$201,MATCH($B3728,Summary!$A$2:$A$201,0))</f>
        <v>66.88</v>
      </c>
      <c r="Y3728" s="0" t="str">
        <f aca="false">INDEX('Reward Model'!$E$18:$E$37,MATCH($E3728,'Reward Model'!$A$18:$A$37,0))</f>
        <v>Low</v>
      </c>
      <c r="Z3728" s="4" t="n">
        <f aca="false">ROUND(MIN(1,MAX('Reward Model'!$B$2,INDEX('Reward Model'!$C$12:$C$14,MATCH($K3728,'Reward Model'!$A$12:$A$14,0))/$J3728)),3)</f>
        <v>0.893</v>
      </c>
      <c r="AA3728" s="2" t="n">
        <f aca="false">IF($I3728="Correct",ROUND(INDEX('Reward Model'!$B$12:$B$14,MATCH($K3728,'Reward Model'!$A$12:$A$14,0))*Z3728,2),0)</f>
        <v>0.89</v>
      </c>
      <c r="AB3728" s="2" t="n">
        <f aca="false">IF($I3728="Correct",ROUND(INDEX('Reward Model'!$B$12:$B$14,MATCH($Y3728,'Reward Model'!$A$12:$A$14,0))*Z3728,2),0)</f>
        <v>0.89</v>
      </c>
    </row>
    <row r="3729" customFormat="false" ht="15" hidden="false" customHeight="false" outlineLevel="0" collapsed="false">
      <c r="A3729" s="0" t="s">
        <v>504</v>
      </c>
      <c r="B3729" s="0" t="s">
        <v>505</v>
      </c>
      <c r="C3729" s="0" t="s">
        <v>322</v>
      </c>
      <c r="D3729" s="0" t="s">
        <v>275</v>
      </c>
      <c r="E3729" s="0" t="n">
        <v>8</v>
      </c>
      <c r="F3729" s="0" t="s">
        <v>52</v>
      </c>
      <c r="G3729" s="0" t="s">
        <v>54</v>
      </c>
      <c r="H3729" s="0" t="s">
        <v>54</v>
      </c>
      <c r="I3729" s="0" t="s">
        <v>34</v>
      </c>
      <c r="J3729" s="0" t="n">
        <v>1.44</v>
      </c>
      <c r="K3729" s="0" t="s">
        <v>35</v>
      </c>
      <c r="L3729" s="0" t="n">
        <f aca="false">INDEX(Summary!$F$2:$F$201,MATCH($B3729,Summary!$A$2:$A$201,0))</f>
        <v>20</v>
      </c>
      <c r="M3729" s="0" t="n">
        <f aca="false">INDEX(Summary!$I$2:$I$201,MATCH($B3729,Summary!$A$2:$A$201,0))</f>
        <v>2</v>
      </c>
      <c r="N3729" s="0" t="n">
        <f aca="false">INDEX(Summary!$J$2:$J$201,MATCH($B3729,Summary!$A$2:$A$201,0))</f>
        <v>3</v>
      </c>
      <c r="O3729" s="2" t="n">
        <f aca="false">INDEX(Summary!$K$2:$K$201,MATCH($B3729,Summary!$A$2:$A$201,0))</f>
        <v>8.21</v>
      </c>
      <c r="P3729" s="3" t="n">
        <f aca="false">INDEX(Summary!$L$2:$L$201,MATCH($B3729,Summary!$A$2:$A$201,0))</f>
        <v>5</v>
      </c>
      <c r="Q3729" s="3" t="n">
        <f aca="false">INDEX(Summary!$M$2:$M$201,MATCH($B3729,Summary!$A$2:$A$201,0))</f>
        <v>1</v>
      </c>
      <c r="R3729" s="2" t="n">
        <f aca="false">INDEX(Summary!$N$2:$N$201,MATCH($B3729,Summary!$A$2:$A$201,0))</f>
        <v>10.27</v>
      </c>
      <c r="S3729" s="3" t="n">
        <f aca="false">INDEX(Summary!$O$2:$O$201,MATCH($B3729,Summary!$A$2:$A$201,0))</f>
        <v>8</v>
      </c>
      <c r="T3729" s="3" t="n">
        <f aca="false">INDEX(Summary!$P$2:$P$201,MATCH($B3729,Summary!$A$2:$A$201,0))</f>
        <v>1</v>
      </c>
      <c r="U3729" s="2" t="n">
        <f aca="false">INDEX(Summary!$Q$2:$Q$201,MATCH($B3729,Summary!$A$2:$A$201,0))</f>
        <v>13.78</v>
      </c>
      <c r="V3729" s="2" t="n">
        <f aca="false">INDEX(Summary!$R$2:$R$201,MATCH($B3729,Summary!$A$2:$A$201,0))</f>
        <v>27.42</v>
      </c>
      <c r="W3729" s="0" t="str">
        <f aca="false">INDEX(Summary!$S$2:$S$201,MATCH($B3729,Summary!$A$2:$A$201,0))</f>
        <v>Silver</v>
      </c>
      <c r="X3729" s="2" t="n">
        <f aca="false">INDEX(Summary!$T$2:$T$201,MATCH($B3729,Summary!$A$2:$A$201,0))</f>
        <v>66.88</v>
      </c>
      <c r="Y3729" s="0" t="str">
        <f aca="false">INDEX('Reward Model'!$E$18:$E$37,MATCH($E3729,'Reward Model'!$A$18:$A$37,0))</f>
        <v>Medium</v>
      </c>
      <c r="Z3729" s="4" t="n">
        <f aca="false">ROUND(MIN(1,MAX('Reward Model'!$B$2,INDEX('Reward Model'!$C$12:$C$14,MATCH($K3729,'Reward Model'!$A$12:$A$14,0))/$J3729)),3)</f>
        <v>1</v>
      </c>
      <c r="AA3729" s="2" t="n">
        <f aca="false">IF($I3729="Correct",ROUND(INDEX('Reward Model'!$B$12:$B$14,MATCH($K3729,'Reward Model'!$A$12:$A$14,0))*Z3729,2),0)</f>
        <v>1</v>
      </c>
      <c r="AB3729" s="2" t="n">
        <f aca="false">IF($I3729="Correct",ROUND(INDEX('Reward Model'!$B$12:$B$14,MATCH($Y3729,'Reward Model'!$A$12:$A$14,0))*Z3729,2),0)</f>
        <v>2</v>
      </c>
    </row>
    <row r="3730" customFormat="false" ht="15" hidden="false" customHeight="false" outlineLevel="0" collapsed="false">
      <c r="A3730" s="0" t="s">
        <v>504</v>
      </c>
      <c r="B3730" s="0" t="s">
        <v>505</v>
      </c>
      <c r="C3730" s="0" t="s">
        <v>322</v>
      </c>
      <c r="D3730" s="0" t="s">
        <v>275</v>
      </c>
      <c r="E3730" s="0" t="n">
        <v>9</v>
      </c>
      <c r="F3730" s="0" t="s">
        <v>55</v>
      </c>
      <c r="G3730" s="0" t="s">
        <v>108</v>
      </c>
      <c r="H3730" s="0" t="s">
        <v>57</v>
      </c>
      <c r="I3730" s="0" t="s">
        <v>39</v>
      </c>
      <c r="J3730" s="0" t="n">
        <v>1.95</v>
      </c>
      <c r="K3730" s="0" t="s">
        <v>35</v>
      </c>
      <c r="L3730" s="0" t="n">
        <f aca="false">INDEX(Summary!$F$2:$F$201,MATCH($B3730,Summary!$A$2:$A$201,0))</f>
        <v>20</v>
      </c>
      <c r="M3730" s="0" t="n">
        <f aca="false">INDEX(Summary!$I$2:$I$201,MATCH($B3730,Summary!$A$2:$A$201,0))</f>
        <v>2</v>
      </c>
      <c r="N3730" s="0" t="n">
        <f aca="false">INDEX(Summary!$J$2:$J$201,MATCH($B3730,Summary!$A$2:$A$201,0))</f>
        <v>3</v>
      </c>
      <c r="O3730" s="2" t="n">
        <f aca="false">INDEX(Summary!$K$2:$K$201,MATCH($B3730,Summary!$A$2:$A$201,0))</f>
        <v>8.21</v>
      </c>
      <c r="P3730" s="3" t="n">
        <f aca="false">INDEX(Summary!$L$2:$L$201,MATCH($B3730,Summary!$A$2:$A$201,0))</f>
        <v>5</v>
      </c>
      <c r="Q3730" s="3" t="n">
        <f aca="false">INDEX(Summary!$M$2:$M$201,MATCH($B3730,Summary!$A$2:$A$201,0))</f>
        <v>1</v>
      </c>
      <c r="R3730" s="2" t="n">
        <f aca="false">INDEX(Summary!$N$2:$N$201,MATCH($B3730,Summary!$A$2:$A$201,0))</f>
        <v>10.27</v>
      </c>
      <c r="S3730" s="3" t="n">
        <f aca="false">INDEX(Summary!$O$2:$O$201,MATCH($B3730,Summary!$A$2:$A$201,0))</f>
        <v>8</v>
      </c>
      <c r="T3730" s="3" t="n">
        <f aca="false">INDEX(Summary!$P$2:$P$201,MATCH($B3730,Summary!$A$2:$A$201,0))</f>
        <v>1</v>
      </c>
      <c r="U3730" s="2" t="n">
        <f aca="false">INDEX(Summary!$Q$2:$Q$201,MATCH($B3730,Summary!$A$2:$A$201,0))</f>
        <v>13.78</v>
      </c>
      <c r="V3730" s="2" t="n">
        <f aca="false">INDEX(Summary!$R$2:$R$201,MATCH($B3730,Summary!$A$2:$A$201,0))</f>
        <v>27.42</v>
      </c>
      <c r="W3730" s="0" t="str">
        <f aca="false">INDEX(Summary!$S$2:$S$201,MATCH($B3730,Summary!$A$2:$A$201,0))</f>
        <v>Silver</v>
      </c>
      <c r="X3730" s="2" t="n">
        <f aca="false">INDEX(Summary!$T$2:$T$201,MATCH($B3730,Summary!$A$2:$A$201,0))</f>
        <v>66.88</v>
      </c>
      <c r="Y3730" s="0" t="str">
        <f aca="false">INDEX('Reward Model'!$E$18:$E$37,MATCH($E3730,'Reward Model'!$A$18:$A$37,0))</f>
        <v>Medium</v>
      </c>
      <c r="Z3730" s="4" t="n">
        <f aca="false">ROUND(MIN(1,MAX('Reward Model'!$B$2,INDEX('Reward Model'!$C$12:$C$14,MATCH($K3730,'Reward Model'!$A$12:$A$14,0))/$J3730)),3)</f>
        <v>0.769</v>
      </c>
      <c r="AA3730" s="2" t="n">
        <f aca="false">IF($I3730="Correct",ROUND(INDEX('Reward Model'!$B$12:$B$14,MATCH($K3730,'Reward Model'!$A$12:$A$14,0))*Z3730,2),0)</f>
        <v>0</v>
      </c>
      <c r="AB3730" s="2" t="n">
        <f aca="false">IF($I3730="Correct",ROUND(INDEX('Reward Model'!$B$12:$B$14,MATCH($Y3730,'Reward Model'!$A$12:$A$14,0))*Z3730,2),0)</f>
        <v>0</v>
      </c>
    </row>
    <row r="3731" customFormat="false" ht="15" hidden="false" customHeight="false" outlineLevel="0" collapsed="false">
      <c r="A3731" s="0" t="s">
        <v>504</v>
      </c>
      <c r="B3731" s="0" t="s">
        <v>505</v>
      </c>
      <c r="C3731" s="0" t="s">
        <v>322</v>
      </c>
      <c r="D3731" s="0" t="s">
        <v>275</v>
      </c>
      <c r="E3731" s="0" t="n">
        <v>10</v>
      </c>
      <c r="F3731" s="0" t="s">
        <v>58</v>
      </c>
      <c r="G3731" s="0" t="s">
        <v>59</v>
      </c>
      <c r="H3731" s="0" t="s">
        <v>59</v>
      </c>
      <c r="I3731" s="0" t="s">
        <v>34</v>
      </c>
      <c r="J3731" s="0" t="n">
        <v>1.85</v>
      </c>
      <c r="K3731" s="0" t="s">
        <v>60</v>
      </c>
      <c r="L3731" s="0" t="n">
        <f aca="false">INDEX(Summary!$F$2:$F$201,MATCH($B3731,Summary!$A$2:$A$201,0))</f>
        <v>20</v>
      </c>
      <c r="M3731" s="0" t="n">
        <f aca="false">INDEX(Summary!$I$2:$I$201,MATCH($B3731,Summary!$A$2:$A$201,0))</f>
        <v>2</v>
      </c>
      <c r="N3731" s="0" t="n">
        <f aca="false">INDEX(Summary!$J$2:$J$201,MATCH($B3731,Summary!$A$2:$A$201,0))</f>
        <v>3</v>
      </c>
      <c r="O3731" s="2" t="n">
        <f aca="false">INDEX(Summary!$K$2:$K$201,MATCH($B3731,Summary!$A$2:$A$201,0))</f>
        <v>8.21</v>
      </c>
      <c r="P3731" s="3" t="n">
        <f aca="false">INDEX(Summary!$L$2:$L$201,MATCH($B3731,Summary!$A$2:$A$201,0))</f>
        <v>5</v>
      </c>
      <c r="Q3731" s="3" t="n">
        <f aca="false">INDEX(Summary!$M$2:$M$201,MATCH($B3731,Summary!$A$2:$A$201,0))</f>
        <v>1</v>
      </c>
      <c r="R3731" s="2" t="n">
        <f aca="false">INDEX(Summary!$N$2:$N$201,MATCH($B3731,Summary!$A$2:$A$201,0))</f>
        <v>10.27</v>
      </c>
      <c r="S3731" s="3" t="n">
        <f aca="false">INDEX(Summary!$O$2:$O$201,MATCH($B3731,Summary!$A$2:$A$201,0))</f>
        <v>8</v>
      </c>
      <c r="T3731" s="3" t="n">
        <f aca="false">INDEX(Summary!$P$2:$P$201,MATCH($B3731,Summary!$A$2:$A$201,0))</f>
        <v>1</v>
      </c>
      <c r="U3731" s="2" t="n">
        <f aca="false">INDEX(Summary!$Q$2:$Q$201,MATCH($B3731,Summary!$A$2:$A$201,0))</f>
        <v>13.78</v>
      </c>
      <c r="V3731" s="2" t="n">
        <f aca="false">INDEX(Summary!$R$2:$R$201,MATCH($B3731,Summary!$A$2:$A$201,0))</f>
        <v>27.42</v>
      </c>
      <c r="W3731" s="0" t="str">
        <f aca="false">INDEX(Summary!$S$2:$S$201,MATCH($B3731,Summary!$A$2:$A$201,0))</f>
        <v>Silver</v>
      </c>
      <c r="X3731" s="2" t="n">
        <f aca="false">INDEX(Summary!$T$2:$T$201,MATCH($B3731,Summary!$A$2:$A$201,0))</f>
        <v>66.88</v>
      </c>
      <c r="Y3731" s="0" t="str">
        <f aca="false">INDEX('Reward Model'!$E$18:$E$37,MATCH($E3731,'Reward Model'!$A$18:$A$37,0))</f>
        <v>Medium</v>
      </c>
      <c r="Z3731" s="4" t="n">
        <f aca="false">ROUND(MIN(1,MAX('Reward Model'!$B$2,INDEX('Reward Model'!$C$12:$C$14,MATCH($K3731,'Reward Model'!$A$12:$A$14,0))/$J3731)),3)</f>
        <v>0.973</v>
      </c>
      <c r="AA3731" s="2" t="n">
        <f aca="false">IF($I3731="Correct",ROUND(INDEX('Reward Model'!$B$12:$B$14,MATCH($K3731,'Reward Model'!$A$12:$A$14,0))*Z3731,2),0)</f>
        <v>1.95</v>
      </c>
      <c r="AB3731" s="2" t="n">
        <f aca="false">IF($I3731="Correct",ROUND(INDEX('Reward Model'!$B$12:$B$14,MATCH($Y3731,'Reward Model'!$A$12:$A$14,0))*Z3731,2),0)</f>
        <v>1.95</v>
      </c>
    </row>
    <row r="3732" customFormat="false" ht="15" hidden="false" customHeight="false" outlineLevel="0" collapsed="false">
      <c r="A3732" s="0" t="s">
        <v>504</v>
      </c>
      <c r="B3732" s="0" t="s">
        <v>505</v>
      </c>
      <c r="C3732" s="0" t="s">
        <v>322</v>
      </c>
      <c r="D3732" s="0" t="s">
        <v>275</v>
      </c>
      <c r="E3732" s="0" t="n">
        <v>11</v>
      </c>
      <c r="F3732" s="0" t="s">
        <v>61</v>
      </c>
      <c r="G3732" s="0" t="s">
        <v>63</v>
      </c>
      <c r="H3732" s="0" t="s">
        <v>63</v>
      </c>
      <c r="I3732" s="0" t="s">
        <v>34</v>
      </c>
      <c r="J3732" s="0" t="n">
        <v>1.77</v>
      </c>
      <c r="K3732" s="0" t="s">
        <v>60</v>
      </c>
      <c r="L3732" s="0" t="n">
        <f aca="false">INDEX(Summary!$F$2:$F$201,MATCH($B3732,Summary!$A$2:$A$201,0))</f>
        <v>20</v>
      </c>
      <c r="M3732" s="0" t="n">
        <f aca="false">INDEX(Summary!$I$2:$I$201,MATCH($B3732,Summary!$A$2:$A$201,0))</f>
        <v>2</v>
      </c>
      <c r="N3732" s="0" t="n">
        <f aca="false">INDEX(Summary!$J$2:$J$201,MATCH($B3732,Summary!$A$2:$A$201,0))</f>
        <v>3</v>
      </c>
      <c r="O3732" s="2" t="n">
        <f aca="false">INDEX(Summary!$K$2:$K$201,MATCH($B3732,Summary!$A$2:$A$201,0))</f>
        <v>8.21</v>
      </c>
      <c r="P3732" s="3" t="n">
        <f aca="false">INDEX(Summary!$L$2:$L$201,MATCH($B3732,Summary!$A$2:$A$201,0))</f>
        <v>5</v>
      </c>
      <c r="Q3732" s="3" t="n">
        <f aca="false">INDEX(Summary!$M$2:$M$201,MATCH($B3732,Summary!$A$2:$A$201,0))</f>
        <v>1</v>
      </c>
      <c r="R3732" s="2" t="n">
        <f aca="false">INDEX(Summary!$N$2:$N$201,MATCH($B3732,Summary!$A$2:$A$201,0))</f>
        <v>10.27</v>
      </c>
      <c r="S3732" s="3" t="n">
        <f aca="false">INDEX(Summary!$O$2:$O$201,MATCH($B3732,Summary!$A$2:$A$201,0))</f>
        <v>8</v>
      </c>
      <c r="T3732" s="3" t="n">
        <f aca="false">INDEX(Summary!$P$2:$P$201,MATCH($B3732,Summary!$A$2:$A$201,0))</f>
        <v>1</v>
      </c>
      <c r="U3732" s="2" t="n">
        <f aca="false">INDEX(Summary!$Q$2:$Q$201,MATCH($B3732,Summary!$A$2:$A$201,0))</f>
        <v>13.78</v>
      </c>
      <c r="V3732" s="2" t="n">
        <f aca="false">INDEX(Summary!$R$2:$R$201,MATCH($B3732,Summary!$A$2:$A$201,0))</f>
        <v>27.42</v>
      </c>
      <c r="W3732" s="0" t="str">
        <f aca="false">INDEX(Summary!$S$2:$S$201,MATCH($B3732,Summary!$A$2:$A$201,0))</f>
        <v>Silver</v>
      </c>
      <c r="X3732" s="2" t="n">
        <f aca="false">INDEX(Summary!$T$2:$T$201,MATCH($B3732,Summary!$A$2:$A$201,0))</f>
        <v>66.88</v>
      </c>
      <c r="Y3732" s="0" t="str">
        <f aca="false">INDEX('Reward Model'!$E$18:$E$37,MATCH($E3732,'Reward Model'!$A$18:$A$37,0))</f>
        <v>Medium</v>
      </c>
      <c r="Z3732" s="4" t="n">
        <f aca="false">ROUND(MIN(1,MAX('Reward Model'!$B$2,INDEX('Reward Model'!$C$12:$C$14,MATCH($K3732,'Reward Model'!$A$12:$A$14,0))/$J3732)),3)</f>
        <v>1</v>
      </c>
      <c r="AA3732" s="2" t="n">
        <f aca="false">IF($I3732="Correct",ROUND(INDEX('Reward Model'!$B$12:$B$14,MATCH($K3732,'Reward Model'!$A$12:$A$14,0))*Z3732,2),0)</f>
        <v>2</v>
      </c>
      <c r="AB3732" s="2" t="n">
        <f aca="false">IF($I3732="Correct",ROUND(INDEX('Reward Model'!$B$12:$B$14,MATCH($Y3732,'Reward Model'!$A$12:$A$14,0))*Z3732,2),0)</f>
        <v>2</v>
      </c>
    </row>
    <row r="3733" customFormat="false" ht="15" hidden="false" customHeight="false" outlineLevel="0" collapsed="false">
      <c r="A3733" s="0" t="s">
        <v>504</v>
      </c>
      <c r="B3733" s="0" t="s">
        <v>505</v>
      </c>
      <c r="C3733" s="0" t="s">
        <v>322</v>
      </c>
      <c r="D3733" s="0" t="s">
        <v>275</v>
      </c>
      <c r="E3733" s="0" t="n">
        <v>12</v>
      </c>
      <c r="F3733" s="0" t="s">
        <v>64</v>
      </c>
      <c r="G3733" s="0" t="s">
        <v>65</v>
      </c>
      <c r="H3733" s="0" t="s">
        <v>65</v>
      </c>
      <c r="I3733" s="0" t="s">
        <v>34</v>
      </c>
      <c r="J3733" s="0" t="n">
        <v>1.52</v>
      </c>
      <c r="K3733" s="0" t="s">
        <v>60</v>
      </c>
      <c r="L3733" s="0" t="n">
        <f aca="false">INDEX(Summary!$F$2:$F$201,MATCH($B3733,Summary!$A$2:$A$201,0))</f>
        <v>20</v>
      </c>
      <c r="M3733" s="0" t="n">
        <f aca="false">INDEX(Summary!$I$2:$I$201,MATCH($B3733,Summary!$A$2:$A$201,0))</f>
        <v>2</v>
      </c>
      <c r="N3733" s="0" t="n">
        <f aca="false">INDEX(Summary!$J$2:$J$201,MATCH($B3733,Summary!$A$2:$A$201,0))</f>
        <v>3</v>
      </c>
      <c r="O3733" s="2" t="n">
        <f aca="false">INDEX(Summary!$K$2:$K$201,MATCH($B3733,Summary!$A$2:$A$201,0))</f>
        <v>8.21</v>
      </c>
      <c r="P3733" s="3" t="n">
        <f aca="false">INDEX(Summary!$L$2:$L$201,MATCH($B3733,Summary!$A$2:$A$201,0))</f>
        <v>5</v>
      </c>
      <c r="Q3733" s="3" t="n">
        <f aca="false">INDEX(Summary!$M$2:$M$201,MATCH($B3733,Summary!$A$2:$A$201,0))</f>
        <v>1</v>
      </c>
      <c r="R3733" s="2" t="n">
        <f aca="false">INDEX(Summary!$N$2:$N$201,MATCH($B3733,Summary!$A$2:$A$201,0))</f>
        <v>10.27</v>
      </c>
      <c r="S3733" s="3" t="n">
        <f aca="false">INDEX(Summary!$O$2:$O$201,MATCH($B3733,Summary!$A$2:$A$201,0))</f>
        <v>8</v>
      </c>
      <c r="T3733" s="3" t="n">
        <f aca="false">INDEX(Summary!$P$2:$P$201,MATCH($B3733,Summary!$A$2:$A$201,0))</f>
        <v>1</v>
      </c>
      <c r="U3733" s="2" t="n">
        <f aca="false">INDEX(Summary!$Q$2:$Q$201,MATCH($B3733,Summary!$A$2:$A$201,0))</f>
        <v>13.78</v>
      </c>
      <c r="V3733" s="2" t="n">
        <f aca="false">INDEX(Summary!$R$2:$R$201,MATCH($B3733,Summary!$A$2:$A$201,0))</f>
        <v>27.42</v>
      </c>
      <c r="W3733" s="0" t="str">
        <f aca="false">INDEX(Summary!$S$2:$S$201,MATCH($B3733,Summary!$A$2:$A$201,0))</f>
        <v>Silver</v>
      </c>
      <c r="X3733" s="2" t="n">
        <f aca="false">INDEX(Summary!$T$2:$T$201,MATCH($B3733,Summary!$A$2:$A$201,0))</f>
        <v>66.88</v>
      </c>
      <c r="Y3733" s="0" t="str">
        <f aca="false">INDEX('Reward Model'!$E$18:$E$37,MATCH($E3733,'Reward Model'!$A$18:$A$37,0))</f>
        <v>Medium</v>
      </c>
      <c r="Z3733" s="4" t="n">
        <f aca="false">ROUND(MIN(1,MAX('Reward Model'!$B$2,INDEX('Reward Model'!$C$12:$C$14,MATCH($K3733,'Reward Model'!$A$12:$A$14,0))/$J3733)),3)</f>
        <v>1</v>
      </c>
      <c r="AA3733" s="2" t="n">
        <f aca="false">IF($I3733="Correct",ROUND(INDEX('Reward Model'!$B$12:$B$14,MATCH($K3733,'Reward Model'!$A$12:$A$14,0))*Z3733,2),0)</f>
        <v>2</v>
      </c>
      <c r="AB3733" s="2" t="n">
        <f aca="false">IF($I3733="Correct",ROUND(INDEX('Reward Model'!$B$12:$B$14,MATCH($Y3733,'Reward Model'!$A$12:$A$14,0))*Z3733,2),0)</f>
        <v>2</v>
      </c>
    </row>
    <row r="3734" customFormat="false" ht="15" hidden="false" customHeight="false" outlineLevel="0" collapsed="false">
      <c r="A3734" s="0" t="s">
        <v>504</v>
      </c>
      <c r="B3734" s="0" t="s">
        <v>505</v>
      </c>
      <c r="C3734" s="0" t="s">
        <v>322</v>
      </c>
      <c r="D3734" s="0" t="s">
        <v>275</v>
      </c>
      <c r="E3734" s="0" t="n">
        <v>13</v>
      </c>
      <c r="F3734" s="0" t="s">
        <v>66</v>
      </c>
      <c r="G3734" s="0" t="s">
        <v>67</v>
      </c>
      <c r="H3734" s="0" t="s">
        <v>67</v>
      </c>
      <c r="I3734" s="0" t="s">
        <v>34</v>
      </c>
      <c r="J3734" s="0" t="n">
        <v>1.55</v>
      </c>
      <c r="K3734" s="0" t="s">
        <v>60</v>
      </c>
      <c r="L3734" s="0" t="n">
        <f aca="false">INDEX(Summary!$F$2:$F$201,MATCH($B3734,Summary!$A$2:$A$201,0))</f>
        <v>20</v>
      </c>
      <c r="M3734" s="0" t="n">
        <f aca="false">INDEX(Summary!$I$2:$I$201,MATCH($B3734,Summary!$A$2:$A$201,0))</f>
        <v>2</v>
      </c>
      <c r="N3734" s="0" t="n">
        <f aca="false">INDEX(Summary!$J$2:$J$201,MATCH($B3734,Summary!$A$2:$A$201,0))</f>
        <v>3</v>
      </c>
      <c r="O3734" s="2" t="n">
        <f aca="false">INDEX(Summary!$K$2:$K$201,MATCH($B3734,Summary!$A$2:$A$201,0))</f>
        <v>8.21</v>
      </c>
      <c r="P3734" s="3" t="n">
        <f aca="false">INDEX(Summary!$L$2:$L$201,MATCH($B3734,Summary!$A$2:$A$201,0))</f>
        <v>5</v>
      </c>
      <c r="Q3734" s="3" t="n">
        <f aca="false">INDEX(Summary!$M$2:$M$201,MATCH($B3734,Summary!$A$2:$A$201,0))</f>
        <v>1</v>
      </c>
      <c r="R3734" s="2" t="n">
        <f aca="false">INDEX(Summary!$N$2:$N$201,MATCH($B3734,Summary!$A$2:$A$201,0))</f>
        <v>10.27</v>
      </c>
      <c r="S3734" s="3" t="n">
        <f aca="false">INDEX(Summary!$O$2:$O$201,MATCH($B3734,Summary!$A$2:$A$201,0))</f>
        <v>8</v>
      </c>
      <c r="T3734" s="3" t="n">
        <f aca="false">INDEX(Summary!$P$2:$P$201,MATCH($B3734,Summary!$A$2:$A$201,0))</f>
        <v>1</v>
      </c>
      <c r="U3734" s="2" t="n">
        <f aca="false">INDEX(Summary!$Q$2:$Q$201,MATCH($B3734,Summary!$A$2:$A$201,0))</f>
        <v>13.78</v>
      </c>
      <c r="V3734" s="2" t="n">
        <f aca="false">INDEX(Summary!$R$2:$R$201,MATCH($B3734,Summary!$A$2:$A$201,0))</f>
        <v>27.42</v>
      </c>
      <c r="W3734" s="0" t="str">
        <f aca="false">INDEX(Summary!$S$2:$S$201,MATCH($B3734,Summary!$A$2:$A$201,0))</f>
        <v>Silver</v>
      </c>
      <c r="X3734" s="2" t="n">
        <f aca="false">INDEX(Summary!$T$2:$T$201,MATCH($B3734,Summary!$A$2:$A$201,0))</f>
        <v>66.88</v>
      </c>
      <c r="Y3734" s="0" t="str">
        <f aca="false">INDEX('Reward Model'!$E$18:$E$37,MATCH($E3734,'Reward Model'!$A$18:$A$37,0))</f>
        <v>Medium</v>
      </c>
      <c r="Z3734" s="4" t="n">
        <f aca="false">ROUND(MIN(1,MAX('Reward Model'!$B$2,INDEX('Reward Model'!$C$12:$C$14,MATCH($K3734,'Reward Model'!$A$12:$A$14,0))/$J3734)),3)</f>
        <v>1</v>
      </c>
      <c r="AA3734" s="2" t="n">
        <f aca="false">IF($I3734="Correct",ROUND(INDEX('Reward Model'!$B$12:$B$14,MATCH($K3734,'Reward Model'!$A$12:$A$14,0))*Z3734,2),0)</f>
        <v>2</v>
      </c>
      <c r="AB3734" s="2" t="n">
        <f aca="false">IF($I3734="Correct",ROUND(INDEX('Reward Model'!$B$12:$B$14,MATCH($Y3734,'Reward Model'!$A$12:$A$14,0))*Z3734,2),0)</f>
        <v>2</v>
      </c>
    </row>
    <row r="3735" customFormat="false" ht="15" hidden="false" customHeight="false" outlineLevel="0" collapsed="false">
      <c r="A3735" s="0" t="s">
        <v>504</v>
      </c>
      <c r="B3735" s="0" t="s">
        <v>505</v>
      </c>
      <c r="C3735" s="0" t="s">
        <v>322</v>
      </c>
      <c r="D3735" s="0" t="s">
        <v>275</v>
      </c>
      <c r="E3735" s="0" t="n">
        <v>14</v>
      </c>
      <c r="F3735" s="0" t="s">
        <v>68</v>
      </c>
      <c r="G3735" s="0" t="s">
        <v>51</v>
      </c>
      <c r="H3735" s="0" t="s">
        <v>51</v>
      </c>
      <c r="I3735" s="0" t="s">
        <v>34</v>
      </c>
      <c r="J3735" s="0" t="n">
        <v>1.47</v>
      </c>
      <c r="K3735" s="0" t="s">
        <v>60</v>
      </c>
      <c r="L3735" s="0" t="n">
        <f aca="false">INDEX(Summary!$F$2:$F$201,MATCH($B3735,Summary!$A$2:$A$201,0))</f>
        <v>20</v>
      </c>
      <c r="M3735" s="0" t="n">
        <f aca="false">INDEX(Summary!$I$2:$I$201,MATCH($B3735,Summary!$A$2:$A$201,0))</f>
        <v>2</v>
      </c>
      <c r="N3735" s="0" t="n">
        <f aca="false">INDEX(Summary!$J$2:$J$201,MATCH($B3735,Summary!$A$2:$A$201,0))</f>
        <v>3</v>
      </c>
      <c r="O3735" s="2" t="n">
        <f aca="false">INDEX(Summary!$K$2:$K$201,MATCH($B3735,Summary!$A$2:$A$201,0))</f>
        <v>8.21</v>
      </c>
      <c r="P3735" s="3" t="n">
        <f aca="false">INDEX(Summary!$L$2:$L$201,MATCH($B3735,Summary!$A$2:$A$201,0))</f>
        <v>5</v>
      </c>
      <c r="Q3735" s="3" t="n">
        <f aca="false">INDEX(Summary!$M$2:$M$201,MATCH($B3735,Summary!$A$2:$A$201,0))</f>
        <v>1</v>
      </c>
      <c r="R3735" s="2" t="n">
        <f aca="false">INDEX(Summary!$N$2:$N$201,MATCH($B3735,Summary!$A$2:$A$201,0))</f>
        <v>10.27</v>
      </c>
      <c r="S3735" s="3" t="n">
        <f aca="false">INDEX(Summary!$O$2:$O$201,MATCH($B3735,Summary!$A$2:$A$201,0))</f>
        <v>8</v>
      </c>
      <c r="T3735" s="3" t="n">
        <f aca="false">INDEX(Summary!$P$2:$P$201,MATCH($B3735,Summary!$A$2:$A$201,0))</f>
        <v>1</v>
      </c>
      <c r="U3735" s="2" t="n">
        <f aca="false">INDEX(Summary!$Q$2:$Q$201,MATCH($B3735,Summary!$A$2:$A$201,0))</f>
        <v>13.78</v>
      </c>
      <c r="V3735" s="2" t="n">
        <f aca="false">INDEX(Summary!$R$2:$R$201,MATCH($B3735,Summary!$A$2:$A$201,0))</f>
        <v>27.42</v>
      </c>
      <c r="W3735" s="0" t="str">
        <f aca="false">INDEX(Summary!$S$2:$S$201,MATCH($B3735,Summary!$A$2:$A$201,0))</f>
        <v>Silver</v>
      </c>
      <c r="X3735" s="2" t="n">
        <f aca="false">INDEX(Summary!$T$2:$T$201,MATCH($B3735,Summary!$A$2:$A$201,0))</f>
        <v>66.88</v>
      </c>
      <c r="Y3735" s="0" t="str">
        <f aca="false">INDEX('Reward Model'!$E$18:$E$37,MATCH($E3735,'Reward Model'!$A$18:$A$37,0))</f>
        <v>Medium</v>
      </c>
      <c r="Z3735" s="4" t="n">
        <f aca="false">ROUND(MIN(1,MAX('Reward Model'!$B$2,INDEX('Reward Model'!$C$12:$C$14,MATCH($K3735,'Reward Model'!$A$12:$A$14,0))/$J3735)),3)</f>
        <v>1</v>
      </c>
      <c r="AA3735" s="2" t="n">
        <f aca="false">IF($I3735="Correct",ROUND(INDEX('Reward Model'!$B$12:$B$14,MATCH($K3735,'Reward Model'!$A$12:$A$14,0))*Z3735,2),0)</f>
        <v>2</v>
      </c>
      <c r="AB3735" s="2" t="n">
        <f aca="false">IF($I3735="Correct",ROUND(INDEX('Reward Model'!$B$12:$B$14,MATCH($Y3735,'Reward Model'!$A$12:$A$14,0))*Z3735,2),0)</f>
        <v>2</v>
      </c>
    </row>
    <row r="3736" customFormat="false" ht="15" hidden="false" customHeight="false" outlineLevel="0" collapsed="false">
      <c r="A3736" s="0" t="s">
        <v>504</v>
      </c>
      <c r="B3736" s="0" t="s">
        <v>505</v>
      </c>
      <c r="C3736" s="0" t="s">
        <v>322</v>
      </c>
      <c r="D3736" s="0" t="s">
        <v>275</v>
      </c>
      <c r="E3736" s="0" t="n">
        <v>15</v>
      </c>
      <c r="F3736" s="0" t="s">
        <v>69</v>
      </c>
      <c r="G3736" s="0" t="s">
        <v>139</v>
      </c>
      <c r="H3736" s="0" t="s">
        <v>70</v>
      </c>
      <c r="I3736" s="0" t="s">
        <v>39</v>
      </c>
      <c r="J3736" s="0" t="n">
        <v>2.11</v>
      </c>
      <c r="K3736" s="0" t="s">
        <v>60</v>
      </c>
      <c r="L3736" s="0" t="n">
        <f aca="false">INDEX(Summary!$F$2:$F$201,MATCH($B3736,Summary!$A$2:$A$201,0))</f>
        <v>20</v>
      </c>
      <c r="M3736" s="0" t="n">
        <f aca="false">INDEX(Summary!$I$2:$I$201,MATCH($B3736,Summary!$A$2:$A$201,0))</f>
        <v>2</v>
      </c>
      <c r="N3736" s="0" t="n">
        <f aca="false">INDEX(Summary!$J$2:$J$201,MATCH($B3736,Summary!$A$2:$A$201,0))</f>
        <v>3</v>
      </c>
      <c r="O3736" s="2" t="n">
        <f aca="false">INDEX(Summary!$K$2:$K$201,MATCH($B3736,Summary!$A$2:$A$201,0))</f>
        <v>8.21</v>
      </c>
      <c r="P3736" s="3" t="n">
        <f aca="false">INDEX(Summary!$L$2:$L$201,MATCH($B3736,Summary!$A$2:$A$201,0))</f>
        <v>5</v>
      </c>
      <c r="Q3736" s="3" t="n">
        <f aca="false">INDEX(Summary!$M$2:$M$201,MATCH($B3736,Summary!$A$2:$A$201,0))</f>
        <v>1</v>
      </c>
      <c r="R3736" s="2" t="n">
        <f aca="false">INDEX(Summary!$N$2:$N$201,MATCH($B3736,Summary!$A$2:$A$201,0))</f>
        <v>10.27</v>
      </c>
      <c r="S3736" s="3" t="n">
        <f aca="false">INDEX(Summary!$O$2:$O$201,MATCH($B3736,Summary!$A$2:$A$201,0))</f>
        <v>8</v>
      </c>
      <c r="T3736" s="3" t="n">
        <f aca="false">INDEX(Summary!$P$2:$P$201,MATCH($B3736,Summary!$A$2:$A$201,0))</f>
        <v>1</v>
      </c>
      <c r="U3736" s="2" t="n">
        <f aca="false">INDEX(Summary!$Q$2:$Q$201,MATCH($B3736,Summary!$A$2:$A$201,0))</f>
        <v>13.78</v>
      </c>
      <c r="V3736" s="2" t="n">
        <f aca="false">INDEX(Summary!$R$2:$R$201,MATCH($B3736,Summary!$A$2:$A$201,0))</f>
        <v>27.42</v>
      </c>
      <c r="W3736" s="0" t="str">
        <f aca="false">INDEX(Summary!$S$2:$S$201,MATCH($B3736,Summary!$A$2:$A$201,0))</f>
        <v>Silver</v>
      </c>
      <c r="X3736" s="2" t="n">
        <f aca="false">INDEX(Summary!$T$2:$T$201,MATCH($B3736,Summary!$A$2:$A$201,0))</f>
        <v>66.88</v>
      </c>
      <c r="Y3736" s="0" t="str">
        <f aca="false">INDEX('Reward Model'!$E$18:$E$37,MATCH($E3736,'Reward Model'!$A$18:$A$37,0))</f>
        <v>Medium</v>
      </c>
      <c r="Z3736" s="4" t="n">
        <f aca="false">ROUND(MIN(1,MAX('Reward Model'!$B$2,INDEX('Reward Model'!$C$12:$C$14,MATCH($K3736,'Reward Model'!$A$12:$A$14,0))/$J3736)),3)</f>
        <v>0.853</v>
      </c>
      <c r="AA3736" s="2" t="n">
        <f aca="false">IF($I3736="Correct",ROUND(INDEX('Reward Model'!$B$12:$B$14,MATCH($K3736,'Reward Model'!$A$12:$A$14,0))*Z3736,2),0)</f>
        <v>0</v>
      </c>
      <c r="AB3736" s="2" t="n">
        <f aca="false">IF($I3736="Correct",ROUND(INDEX('Reward Model'!$B$12:$B$14,MATCH($Y3736,'Reward Model'!$A$12:$A$14,0))*Z3736,2),0)</f>
        <v>0</v>
      </c>
    </row>
    <row r="3737" customFormat="false" ht="15" hidden="false" customHeight="false" outlineLevel="0" collapsed="false">
      <c r="A3737" s="0" t="s">
        <v>504</v>
      </c>
      <c r="B3737" s="0" t="s">
        <v>505</v>
      </c>
      <c r="C3737" s="0" t="s">
        <v>322</v>
      </c>
      <c r="D3737" s="0" t="s">
        <v>275</v>
      </c>
      <c r="E3737" s="0" t="n">
        <v>16</v>
      </c>
      <c r="F3737" s="0" t="s">
        <v>71</v>
      </c>
      <c r="G3737" s="0" t="s">
        <v>72</v>
      </c>
      <c r="H3737" s="0" t="s">
        <v>72</v>
      </c>
      <c r="I3737" s="0" t="s">
        <v>34</v>
      </c>
      <c r="J3737" s="0" t="n">
        <v>1.56</v>
      </c>
      <c r="K3737" s="0" t="s">
        <v>73</v>
      </c>
      <c r="L3737" s="0" t="n">
        <f aca="false">INDEX(Summary!$F$2:$F$201,MATCH($B3737,Summary!$A$2:$A$201,0))</f>
        <v>20</v>
      </c>
      <c r="M3737" s="0" t="n">
        <f aca="false">INDEX(Summary!$I$2:$I$201,MATCH($B3737,Summary!$A$2:$A$201,0))</f>
        <v>2</v>
      </c>
      <c r="N3737" s="0" t="n">
        <f aca="false">INDEX(Summary!$J$2:$J$201,MATCH($B3737,Summary!$A$2:$A$201,0))</f>
        <v>3</v>
      </c>
      <c r="O3737" s="2" t="n">
        <f aca="false">INDEX(Summary!$K$2:$K$201,MATCH($B3737,Summary!$A$2:$A$201,0))</f>
        <v>8.21</v>
      </c>
      <c r="P3737" s="3" t="n">
        <f aca="false">INDEX(Summary!$L$2:$L$201,MATCH($B3737,Summary!$A$2:$A$201,0))</f>
        <v>5</v>
      </c>
      <c r="Q3737" s="3" t="n">
        <f aca="false">INDEX(Summary!$M$2:$M$201,MATCH($B3737,Summary!$A$2:$A$201,0))</f>
        <v>1</v>
      </c>
      <c r="R3737" s="2" t="n">
        <f aca="false">INDEX(Summary!$N$2:$N$201,MATCH($B3737,Summary!$A$2:$A$201,0))</f>
        <v>10.27</v>
      </c>
      <c r="S3737" s="3" t="n">
        <f aca="false">INDEX(Summary!$O$2:$O$201,MATCH($B3737,Summary!$A$2:$A$201,0))</f>
        <v>8</v>
      </c>
      <c r="T3737" s="3" t="n">
        <f aca="false">INDEX(Summary!$P$2:$P$201,MATCH($B3737,Summary!$A$2:$A$201,0))</f>
        <v>1</v>
      </c>
      <c r="U3737" s="2" t="n">
        <f aca="false">INDEX(Summary!$Q$2:$Q$201,MATCH($B3737,Summary!$A$2:$A$201,0))</f>
        <v>13.78</v>
      </c>
      <c r="V3737" s="2" t="n">
        <f aca="false">INDEX(Summary!$R$2:$R$201,MATCH($B3737,Summary!$A$2:$A$201,0))</f>
        <v>27.42</v>
      </c>
      <c r="W3737" s="0" t="str">
        <f aca="false">INDEX(Summary!$S$2:$S$201,MATCH($B3737,Summary!$A$2:$A$201,0))</f>
        <v>Silver</v>
      </c>
      <c r="X3737" s="2" t="n">
        <f aca="false">INDEX(Summary!$T$2:$T$201,MATCH($B3737,Summary!$A$2:$A$201,0))</f>
        <v>66.88</v>
      </c>
      <c r="Y3737" s="0" t="str">
        <f aca="false">INDEX('Reward Model'!$E$18:$E$37,MATCH($E3737,'Reward Model'!$A$18:$A$37,0))</f>
        <v>High</v>
      </c>
      <c r="Z3737" s="4" t="n">
        <f aca="false">ROUND(MIN(1,MAX('Reward Model'!$B$2,INDEX('Reward Model'!$C$12:$C$14,MATCH($K3737,'Reward Model'!$A$12:$A$14,0))/$J3737)),3)</f>
        <v>1</v>
      </c>
      <c r="AA3737" s="2" t="n">
        <f aca="false">IF($I3737="Correct",ROUND(INDEX('Reward Model'!$B$12:$B$14,MATCH($K3737,'Reward Model'!$A$12:$A$14,0))*Z3737,2),0)</f>
        <v>3</v>
      </c>
      <c r="AB3737" s="2" t="n">
        <f aca="false">IF($I3737="Correct",ROUND(INDEX('Reward Model'!$B$12:$B$14,MATCH($Y3737,'Reward Model'!$A$12:$A$14,0))*Z3737,2),0)</f>
        <v>3</v>
      </c>
    </row>
    <row r="3738" customFormat="false" ht="15" hidden="false" customHeight="false" outlineLevel="0" collapsed="false">
      <c r="A3738" s="0" t="s">
        <v>504</v>
      </c>
      <c r="B3738" s="0" t="s">
        <v>505</v>
      </c>
      <c r="C3738" s="0" t="s">
        <v>322</v>
      </c>
      <c r="D3738" s="0" t="s">
        <v>275</v>
      </c>
      <c r="E3738" s="0" t="n">
        <v>17</v>
      </c>
      <c r="F3738" s="0" t="s">
        <v>74</v>
      </c>
      <c r="G3738" s="0" t="s">
        <v>91</v>
      </c>
      <c r="H3738" s="0" t="s">
        <v>75</v>
      </c>
      <c r="I3738" s="0" t="s">
        <v>39</v>
      </c>
      <c r="J3738" s="0" t="n">
        <v>1.22</v>
      </c>
      <c r="K3738" s="0" t="s">
        <v>73</v>
      </c>
      <c r="L3738" s="0" t="n">
        <f aca="false">INDEX(Summary!$F$2:$F$201,MATCH($B3738,Summary!$A$2:$A$201,0))</f>
        <v>20</v>
      </c>
      <c r="M3738" s="0" t="n">
        <f aca="false">INDEX(Summary!$I$2:$I$201,MATCH($B3738,Summary!$A$2:$A$201,0))</f>
        <v>2</v>
      </c>
      <c r="N3738" s="0" t="n">
        <f aca="false">INDEX(Summary!$J$2:$J$201,MATCH($B3738,Summary!$A$2:$A$201,0))</f>
        <v>3</v>
      </c>
      <c r="O3738" s="2" t="n">
        <f aca="false">INDEX(Summary!$K$2:$K$201,MATCH($B3738,Summary!$A$2:$A$201,0))</f>
        <v>8.21</v>
      </c>
      <c r="P3738" s="3" t="n">
        <f aca="false">INDEX(Summary!$L$2:$L$201,MATCH($B3738,Summary!$A$2:$A$201,0))</f>
        <v>5</v>
      </c>
      <c r="Q3738" s="3" t="n">
        <f aca="false">INDEX(Summary!$M$2:$M$201,MATCH($B3738,Summary!$A$2:$A$201,0))</f>
        <v>1</v>
      </c>
      <c r="R3738" s="2" t="n">
        <f aca="false">INDEX(Summary!$N$2:$N$201,MATCH($B3738,Summary!$A$2:$A$201,0))</f>
        <v>10.27</v>
      </c>
      <c r="S3738" s="3" t="n">
        <f aca="false">INDEX(Summary!$O$2:$O$201,MATCH($B3738,Summary!$A$2:$A$201,0))</f>
        <v>8</v>
      </c>
      <c r="T3738" s="3" t="n">
        <f aca="false">INDEX(Summary!$P$2:$P$201,MATCH($B3738,Summary!$A$2:$A$201,0))</f>
        <v>1</v>
      </c>
      <c r="U3738" s="2" t="n">
        <f aca="false">INDEX(Summary!$Q$2:$Q$201,MATCH($B3738,Summary!$A$2:$A$201,0))</f>
        <v>13.78</v>
      </c>
      <c r="V3738" s="2" t="n">
        <f aca="false">INDEX(Summary!$R$2:$R$201,MATCH($B3738,Summary!$A$2:$A$201,0))</f>
        <v>27.42</v>
      </c>
      <c r="W3738" s="0" t="str">
        <f aca="false">INDEX(Summary!$S$2:$S$201,MATCH($B3738,Summary!$A$2:$A$201,0))</f>
        <v>Silver</v>
      </c>
      <c r="X3738" s="2" t="n">
        <f aca="false">INDEX(Summary!$T$2:$T$201,MATCH($B3738,Summary!$A$2:$A$201,0))</f>
        <v>66.88</v>
      </c>
      <c r="Y3738" s="0" t="str">
        <f aca="false">INDEX('Reward Model'!$E$18:$E$37,MATCH($E3738,'Reward Model'!$A$18:$A$37,0))</f>
        <v>High</v>
      </c>
      <c r="Z3738" s="4" t="n">
        <f aca="false">ROUND(MIN(1,MAX('Reward Model'!$B$2,INDEX('Reward Model'!$C$12:$C$14,MATCH($K3738,'Reward Model'!$A$12:$A$14,0))/$J3738)),3)</f>
        <v>1</v>
      </c>
      <c r="AA3738" s="2" t="n">
        <f aca="false">IF($I3738="Correct",ROUND(INDEX('Reward Model'!$B$12:$B$14,MATCH($K3738,'Reward Model'!$A$12:$A$14,0))*Z3738,2),0)</f>
        <v>0</v>
      </c>
      <c r="AB3738" s="2" t="n">
        <f aca="false">IF($I3738="Correct",ROUND(INDEX('Reward Model'!$B$12:$B$14,MATCH($Y3738,'Reward Model'!$A$12:$A$14,0))*Z3738,2),0)</f>
        <v>0</v>
      </c>
    </row>
    <row r="3739" customFormat="false" ht="15" hidden="false" customHeight="false" outlineLevel="0" collapsed="false">
      <c r="A3739" s="0" t="s">
        <v>504</v>
      </c>
      <c r="B3739" s="0" t="s">
        <v>505</v>
      </c>
      <c r="C3739" s="0" t="s">
        <v>322</v>
      </c>
      <c r="D3739" s="0" t="s">
        <v>275</v>
      </c>
      <c r="E3739" s="0" t="n">
        <v>18</v>
      </c>
      <c r="F3739" s="0" t="s">
        <v>76</v>
      </c>
      <c r="G3739" s="0" t="s">
        <v>88</v>
      </c>
      <c r="H3739" s="0" t="s">
        <v>77</v>
      </c>
      <c r="I3739" s="0" t="s">
        <v>39</v>
      </c>
      <c r="J3739" s="0" t="n">
        <v>1.35</v>
      </c>
      <c r="K3739" s="0" t="s">
        <v>73</v>
      </c>
      <c r="L3739" s="0" t="n">
        <f aca="false">INDEX(Summary!$F$2:$F$201,MATCH($B3739,Summary!$A$2:$A$201,0))</f>
        <v>20</v>
      </c>
      <c r="M3739" s="0" t="n">
        <f aca="false">INDEX(Summary!$I$2:$I$201,MATCH($B3739,Summary!$A$2:$A$201,0))</f>
        <v>2</v>
      </c>
      <c r="N3739" s="0" t="n">
        <f aca="false">INDEX(Summary!$J$2:$J$201,MATCH($B3739,Summary!$A$2:$A$201,0))</f>
        <v>3</v>
      </c>
      <c r="O3739" s="2" t="n">
        <f aca="false">INDEX(Summary!$K$2:$K$201,MATCH($B3739,Summary!$A$2:$A$201,0))</f>
        <v>8.21</v>
      </c>
      <c r="P3739" s="3" t="n">
        <f aca="false">INDEX(Summary!$L$2:$L$201,MATCH($B3739,Summary!$A$2:$A$201,0))</f>
        <v>5</v>
      </c>
      <c r="Q3739" s="3" t="n">
        <f aca="false">INDEX(Summary!$M$2:$M$201,MATCH($B3739,Summary!$A$2:$A$201,0))</f>
        <v>1</v>
      </c>
      <c r="R3739" s="2" t="n">
        <f aca="false">INDEX(Summary!$N$2:$N$201,MATCH($B3739,Summary!$A$2:$A$201,0))</f>
        <v>10.27</v>
      </c>
      <c r="S3739" s="3" t="n">
        <f aca="false">INDEX(Summary!$O$2:$O$201,MATCH($B3739,Summary!$A$2:$A$201,0))</f>
        <v>8</v>
      </c>
      <c r="T3739" s="3" t="n">
        <f aca="false">INDEX(Summary!$P$2:$P$201,MATCH($B3739,Summary!$A$2:$A$201,0))</f>
        <v>1</v>
      </c>
      <c r="U3739" s="2" t="n">
        <f aca="false">INDEX(Summary!$Q$2:$Q$201,MATCH($B3739,Summary!$A$2:$A$201,0))</f>
        <v>13.78</v>
      </c>
      <c r="V3739" s="2" t="n">
        <f aca="false">INDEX(Summary!$R$2:$R$201,MATCH($B3739,Summary!$A$2:$A$201,0))</f>
        <v>27.42</v>
      </c>
      <c r="W3739" s="0" t="str">
        <f aca="false">INDEX(Summary!$S$2:$S$201,MATCH($B3739,Summary!$A$2:$A$201,0))</f>
        <v>Silver</v>
      </c>
      <c r="X3739" s="2" t="n">
        <f aca="false">INDEX(Summary!$T$2:$T$201,MATCH($B3739,Summary!$A$2:$A$201,0))</f>
        <v>66.88</v>
      </c>
      <c r="Y3739" s="0" t="str">
        <f aca="false">INDEX('Reward Model'!$E$18:$E$37,MATCH($E3739,'Reward Model'!$A$18:$A$37,0))</f>
        <v>High</v>
      </c>
      <c r="Z3739" s="4" t="n">
        <f aca="false">ROUND(MIN(1,MAX('Reward Model'!$B$2,INDEX('Reward Model'!$C$12:$C$14,MATCH($K3739,'Reward Model'!$A$12:$A$14,0))/$J3739)),3)</f>
        <v>1</v>
      </c>
      <c r="AA3739" s="2" t="n">
        <f aca="false">IF($I3739="Correct",ROUND(INDEX('Reward Model'!$B$12:$B$14,MATCH($K3739,'Reward Model'!$A$12:$A$14,0))*Z3739,2),0)</f>
        <v>0</v>
      </c>
      <c r="AB3739" s="2" t="n">
        <f aca="false">IF($I3739="Correct",ROUND(INDEX('Reward Model'!$B$12:$B$14,MATCH($Y3739,'Reward Model'!$A$12:$A$14,0))*Z3739,2),0)</f>
        <v>0</v>
      </c>
    </row>
    <row r="3740" customFormat="false" ht="15" hidden="false" customHeight="false" outlineLevel="0" collapsed="false">
      <c r="A3740" s="0" t="s">
        <v>504</v>
      </c>
      <c r="B3740" s="0" t="s">
        <v>505</v>
      </c>
      <c r="C3740" s="0" t="s">
        <v>322</v>
      </c>
      <c r="D3740" s="0" t="s">
        <v>275</v>
      </c>
      <c r="E3740" s="0" t="n">
        <v>19</v>
      </c>
      <c r="F3740" s="0" t="s">
        <v>78</v>
      </c>
      <c r="G3740" s="0" t="s">
        <v>132</v>
      </c>
      <c r="H3740" s="0" t="s">
        <v>80</v>
      </c>
      <c r="I3740" s="0" t="s">
        <v>39</v>
      </c>
      <c r="J3740" s="0" t="n">
        <v>2.27</v>
      </c>
      <c r="K3740" s="0" t="s">
        <v>73</v>
      </c>
      <c r="L3740" s="0" t="n">
        <f aca="false">INDEX(Summary!$F$2:$F$201,MATCH($B3740,Summary!$A$2:$A$201,0))</f>
        <v>20</v>
      </c>
      <c r="M3740" s="0" t="n">
        <f aca="false">INDEX(Summary!$I$2:$I$201,MATCH($B3740,Summary!$A$2:$A$201,0))</f>
        <v>2</v>
      </c>
      <c r="N3740" s="0" t="n">
        <f aca="false">INDEX(Summary!$J$2:$J$201,MATCH($B3740,Summary!$A$2:$A$201,0))</f>
        <v>3</v>
      </c>
      <c r="O3740" s="2" t="n">
        <f aca="false">INDEX(Summary!$K$2:$K$201,MATCH($B3740,Summary!$A$2:$A$201,0))</f>
        <v>8.21</v>
      </c>
      <c r="P3740" s="3" t="n">
        <f aca="false">INDEX(Summary!$L$2:$L$201,MATCH($B3740,Summary!$A$2:$A$201,0))</f>
        <v>5</v>
      </c>
      <c r="Q3740" s="3" t="n">
        <f aca="false">INDEX(Summary!$M$2:$M$201,MATCH($B3740,Summary!$A$2:$A$201,0))</f>
        <v>1</v>
      </c>
      <c r="R3740" s="2" t="n">
        <f aca="false">INDEX(Summary!$N$2:$N$201,MATCH($B3740,Summary!$A$2:$A$201,0))</f>
        <v>10.27</v>
      </c>
      <c r="S3740" s="3" t="n">
        <f aca="false">INDEX(Summary!$O$2:$O$201,MATCH($B3740,Summary!$A$2:$A$201,0))</f>
        <v>8</v>
      </c>
      <c r="T3740" s="3" t="n">
        <f aca="false">INDEX(Summary!$P$2:$P$201,MATCH($B3740,Summary!$A$2:$A$201,0))</f>
        <v>1</v>
      </c>
      <c r="U3740" s="2" t="n">
        <f aca="false">INDEX(Summary!$Q$2:$Q$201,MATCH($B3740,Summary!$A$2:$A$201,0))</f>
        <v>13.78</v>
      </c>
      <c r="V3740" s="2" t="n">
        <f aca="false">INDEX(Summary!$R$2:$R$201,MATCH($B3740,Summary!$A$2:$A$201,0))</f>
        <v>27.42</v>
      </c>
      <c r="W3740" s="0" t="str">
        <f aca="false">INDEX(Summary!$S$2:$S$201,MATCH($B3740,Summary!$A$2:$A$201,0))</f>
        <v>Silver</v>
      </c>
      <c r="X3740" s="2" t="n">
        <f aca="false">INDEX(Summary!$T$2:$T$201,MATCH($B3740,Summary!$A$2:$A$201,0))</f>
        <v>66.88</v>
      </c>
      <c r="Y3740" s="0" t="str">
        <f aca="false">INDEX('Reward Model'!$E$18:$E$37,MATCH($E3740,'Reward Model'!$A$18:$A$37,0))</f>
        <v>High</v>
      </c>
      <c r="Z3740" s="4" t="n">
        <f aca="false">ROUND(MIN(1,MAX('Reward Model'!$B$2,INDEX('Reward Model'!$C$12:$C$14,MATCH($K3740,'Reward Model'!$A$12:$A$14,0))/$J3740)),3)</f>
        <v>0.881</v>
      </c>
      <c r="AA3740" s="2" t="n">
        <f aca="false">IF($I3740="Correct",ROUND(INDEX('Reward Model'!$B$12:$B$14,MATCH($K3740,'Reward Model'!$A$12:$A$14,0))*Z3740,2),0)</f>
        <v>0</v>
      </c>
      <c r="AB3740" s="2" t="n">
        <f aca="false">IF($I3740="Correct",ROUND(INDEX('Reward Model'!$B$12:$B$14,MATCH($Y3740,'Reward Model'!$A$12:$A$14,0))*Z3740,2),0)</f>
        <v>0</v>
      </c>
    </row>
    <row r="3741" customFormat="false" ht="15" hidden="false" customHeight="false" outlineLevel="0" collapsed="false">
      <c r="A3741" s="0" t="s">
        <v>504</v>
      </c>
      <c r="B3741" s="0" t="s">
        <v>505</v>
      </c>
      <c r="C3741" s="0" t="s">
        <v>322</v>
      </c>
      <c r="D3741" s="0" t="s">
        <v>275</v>
      </c>
      <c r="E3741" s="0" t="n">
        <v>20</v>
      </c>
      <c r="F3741" s="0" t="s">
        <v>81</v>
      </c>
      <c r="G3741" s="0" t="s">
        <v>83</v>
      </c>
      <c r="H3741" s="0" t="s">
        <v>83</v>
      </c>
      <c r="I3741" s="0" t="s">
        <v>34</v>
      </c>
      <c r="J3741" s="0" t="n">
        <v>1.81</v>
      </c>
      <c r="K3741" s="0" t="s">
        <v>73</v>
      </c>
      <c r="L3741" s="0" t="n">
        <f aca="false">INDEX(Summary!$F$2:$F$201,MATCH($B3741,Summary!$A$2:$A$201,0))</f>
        <v>20</v>
      </c>
      <c r="M3741" s="0" t="n">
        <f aca="false">INDEX(Summary!$I$2:$I$201,MATCH($B3741,Summary!$A$2:$A$201,0))</f>
        <v>2</v>
      </c>
      <c r="N3741" s="0" t="n">
        <f aca="false">INDEX(Summary!$J$2:$J$201,MATCH($B3741,Summary!$A$2:$A$201,0))</f>
        <v>3</v>
      </c>
      <c r="O3741" s="2" t="n">
        <f aca="false">INDEX(Summary!$K$2:$K$201,MATCH($B3741,Summary!$A$2:$A$201,0))</f>
        <v>8.21</v>
      </c>
      <c r="P3741" s="3" t="n">
        <f aca="false">INDEX(Summary!$L$2:$L$201,MATCH($B3741,Summary!$A$2:$A$201,0))</f>
        <v>5</v>
      </c>
      <c r="Q3741" s="3" t="n">
        <f aca="false">INDEX(Summary!$M$2:$M$201,MATCH($B3741,Summary!$A$2:$A$201,0))</f>
        <v>1</v>
      </c>
      <c r="R3741" s="2" t="n">
        <f aca="false">INDEX(Summary!$N$2:$N$201,MATCH($B3741,Summary!$A$2:$A$201,0))</f>
        <v>10.27</v>
      </c>
      <c r="S3741" s="3" t="n">
        <f aca="false">INDEX(Summary!$O$2:$O$201,MATCH($B3741,Summary!$A$2:$A$201,0))</f>
        <v>8</v>
      </c>
      <c r="T3741" s="3" t="n">
        <f aca="false">INDEX(Summary!$P$2:$P$201,MATCH($B3741,Summary!$A$2:$A$201,0))</f>
        <v>1</v>
      </c>
      <c r="U3741" s="2" t="n">
        <f aca="false">INDEX(Summary!$Q$2:$Q$201,MATCH($B3741,Summary!$A$2:$A$201,0))</f>
        <v>13.78</v>
      </c>
      <c r="V3741" s="2" t="n">
        <f aca="false">INDEX(Summary!$R$2:$R$201,MATCH($B3741,Summary!$A$2:$A$201,0))</f>
        <v>27.42</v>
      </c>
      <c r="W3741" s="0" t="str">
        <f aca="false">INDEX(Summary!$S$2:$S$201,MATCH($B3741,Summary!$A$2:$A$201,0))</f>
        <v>Silver</v>
      </c>
      <c r="X3741" s="2" t="n">
        <f aca="false">INDEX(Summary!$T$2:$T$201,MATCH($B3741,Summary!$A$2:$A$201,0))</f>
        <v>66.88</v>
      </c>
      <c r="Y3741" s="0" t="str">
        <f aca="false">INDEX('Reward Model'!$E$18:$E$37,MATCH($E3741,'Reward Model'!$A$18:$A$37,0))</f>
        <v>High</v>
      </c>
      <c r="Z3741" s="4" t="n">
        <f aca="false">ROUND(MIN(1,MAX('Reward Model'!$B$2,INDEX('Reward Model'!$C$12:$C$14,MATCH($K3741,'Reward Model'!$A$12:$A$14,0))/$J3741)),3)</f>
        <v>1</v>
      </c>
      <c r="AA3741" s="2" t="n">
        <f aca="false">IF($I3741="Correct",ROUND(INDEX('Reward Model'!$B$12:$B$14,MATCH($K3741,'Reward Model'!$A$12:$A$14,0))*Z3741,2),0)</f>
        <v>3</v>
      </c>
      <c r="AB3741" s="2" t="n">
        <f aca="false">IF($I3741="Correct",ROUND(INDEX('Reward Model'!$B$12:$B$14,MATCH($Y3741,'Reward Model'!$A$12:$A$14,0))*Z3741,2),0)</f>
        <v>3</v>
      </c>
    </row>
    <row r="3742" customFormat="false" ht="15" hidden="false" customHeight="false" outlineLevel="0" collapsed="false">
      <c r="A3742" s="0" t="s">
        <v>506</v>
      </c>
      <c r="B3742" s="0" t="s">
        <v>507</v>
      </c>
      <c r="C3742" s="0" t="s">
        <v>322</v>
      </c>
      <c r="D3742" s="0" t="s">
        <v>275</v>
      </c>
      <c r="E3742" s="0" t="n">
        <v>1</v>
      </c>
      <c r="F3742" s="0" t="s">
        <v>32</v>
      </c>
      <c r="G3742" s="0" t="s">
        <v>33</v>
      </c>
      <c r="H3742" s="0" t="s">
        <v>33</v>
      </c>
      <c r="I3742" s="0" t="s">
        <v>34</v>
      </c>
      <c r="J3742" s="0" t="n">
        <v>1.67</v>
      </c>
      <c r="K3742" s="0" t="s">
        <v>35</v>
      </c>
      <c r="L3742" s="0" t="n">
        <f aca="false">INDEX(Summary!$F$2:$F$201,MATCH($B3742,Summary!$A$2:$A$201,0))</f>
        <v>20</v>
      </c>
      <c r="M3742" s="0" t="n">
        <f aca="false">INDEX(Summary!$I$2:$I$201,MATCH($B3742,Summary!$A$2:$A$201,0))</f>
        <v>3</v>
      </c>
      <c r="N3742" s="0" t="n">
        <f aca="false">INDEX(Summary!$J$2:$J$201,MATCH($B3742,Summary!$A$2:$A$201,0))</f>
        <v>2</v>
      </c>
      <c r="O3742" s="2" t="n">
        <f aca="false">INDEX(Summary!$K$2:$K$201,MATCH($B3742,Summary!$A$2:$A$201,0))</f>
        <v>10.86</v>
      </c>
      <c r="P3742" s="3" t="n">
        <f aca="false">INDEX(Summary!$L$2:$L$201,MATCH($B3742,Summary!$A$2:$A$201,0))</f>
        <v>2</v>
      </c>
      <c r="Q3742" s="3" t="n">
        <f aca="false">INDEX(Summary!$M$2:$M$201,MATCH($B3742,Summary!$A$2:$A$201,0))</f>
        <v>4</v>
      </c>
      <c r="R3742" s="2" t="n">
        <f aca="false">INDEX(Summary!$N$2:$N$201,MATCH($B3742,Summary!$A$2:$A$201,0))</f>
        <v>11.03</v>
      </c>
      <c r="S3742" s="3" t="n">
        <f aca="false">INDEX(Summary!$O$2:$O$201,MATCH($B3742,Summary!$A$2:$A$201,0))</f>
        <v>8</v>
      </c>
      <c r="T3742" s="3" t="n">
        <f aca="false">INDEX(Summary!$P$2:$P$201,MATCH($B3742,Summary!$A$2:$A$201,0))</f>
        <v>1</v>
      </c>
      <c r="U3742" s="2" t="n">
        <f aca="false">INDEX(Summary!$Q$2:$Q$201,MATCH($B3742,Summary!$A$2:$A$201,0))</f>
        <v>12.32</v>
      </c>
      <c r="V3742" s="2" t="n">
        <f aca="false">INDEX(Summary!$R$2:$R$201,MATCH($B3742,Summary!$A$2:$A$201,0))</f>
        <v>22.83</v>
      </c>
      <c r="W3742" s="0" t="str">
        <f aca="false">INDEX(Summary!$S$2:$S$201,MATCH($B3742,Summary!$A$2:$A$201,0))</f>
        <v>Silver</v>
      </c>
      <c r="X3742" s="2" t="n">
        <f aca="false">INDEX(Summary!$T$2:$T$201,MATCH($B3742,Summary!$A$2:$A$201,0))</f>
        <v>55.68</v>
      </c>
      <c r="Y3742" s="0" t="str">
        <f aca="false">INDEX('Reward Model'!$E$18:$E$37,MATCH($E3742,'Reward Model'!$A$18:$A$37,0))</f>
        <v>Medium</v>
      </c>
      <c r="Z3742" s="4" t="n">
        <f aca="false">ROUND(MIN(1,MAX('Reward Model'!$B$2,INDEX('Reward Model'!$C$12:$C$14,MATCH($K3742,'Reward Model'!$A$12:$A$14,0))/$J3742)),3)</f>
        <v>0.898</v>
      </c>
      <c r="AA3742" s="2" t="n">
        <f aca="false">IF($I3742="Correct",ROUND(INDEX('Reward Model'!$B$12:$B$14,MATCH($K3742,'Reward Model'!$A$12:$A$14,0))*Z3742,2),0)</f>
        <v>0.9</v>
      </c>
      <c r="AB3742" s="2" t="n">
        <f aca="false">IF($I3742="Correct",ROUND(INDEX('Reward Model'!$B$12:$B$14,MATCH($Y3742,'Reward Model'!$A$12:$A$14,0))*Z3742,2),0)</f>
        <v>1.8</v>
      </c>
    </row>
    <row r="3743" customFormat="false" ht="15" hidden="false" customHeight="false" outlineLevel="0" collapsed="false">
      <c r="A3743" s="0" t="s">
        <v>506</v>
      </c>
      <c r="B3743" s="0" t="s">
        <v>507</v>
      </c>
      <c r="C3743" s="0" t="s">
        <v>322</v>
      </c>
      <c r="D3743" s="0" t="s">
        <v>275</v>
      </c>
      <c r="E3743" s="0" t="n">
        <v>2</v>
      </c>
      <c r="F3743" s="0" t="s">
        <v>36</v>
      </c>
      <c r="G3743" s="0" t="s">
        <v>38</v>
      </c>
      <c r="H3743" s="0" t="s">
        <v>38</v>
      </c>
      <c r="I3743" s="0" t="s">
        <v>34</v>
      </c>
      <c r="J3743" s="0" t="n">
        <v>1.37</v>
      </c>
      <c r="K3743" s="0" t="s">
        <v>35</v>
      </c>
      <c r="L3743" s="0" t="n">
        <f aca="false">INDEX(Summary!$F$2:$F$201,MATCH($B3743,Summary!$A$2:$A$201,0))</f>
        <v>20</v>
      </c>
      <c r="M3743" s="0" t="n">
        <f aca="false">INDEX(Summary!$I$2:$I$201,MATCH($B3743,Summary!$A$2:$A$201,0))</f>
        <v>3</v>
      </c>
      <c r="N3743" s="0" t="n">
        <f aca="false">INDEX(Summary!$J$2:$J$201,MATCH($B3743,Summary!$A$2:$A$201,0))</f>
        <v>2</v>
      </c>
      <c r="O3743" s="2" t="n">
        <f aca="false">INDEX(Summary!$K$2:$K$201,MATCH($B3743,Summary!$A$2:$A$201,0))</f>
        <v>10.86</v>
      </c>
      <c r="P3743" s="3" t="n">
        <f aca="false">INDEX(Summary!$L$2:$L$201,MATCH($B3743,Summary!$A$2:$A$201,0))</f>
        <v>2</v>
      </c>
      <c r="Q3743" s="3" t="n">
        <f aca="false">INDEX(Summary!$M$2:$M$201,MATCH($B3743,Summary!$A$2:$A$201,0))</f>
        <v>4</v>
      </c>
      <c r="R3743" s="2" t="n">
        <f aca="false">INDEX(Summary!$N$2:$N$201,MATCH($B3743,Summary!$A$2:$A$201,0))</f>
        <v>11.03</v>
      </c>
      <c r="S3743" s="3" t="n">
        <f aca="false">INDEX(Summary!$O$2:$O$201,MATCH($B3743,Summary!$A$2:$A$201,0))</f>
        <v>8</v>
      </c>
      <c r="T3743" s="3" t="n">
        <f aca="false">INDEX(Summary!$P$2:$P$201,MATCH($B3743,Summary!$A$2:$A$201,0))</f>
        <v>1</v>
      </c>
      <c r="U3743" s="2" t="n">
        <f aca="false">INDEX(Summary!$Q$2:$Q$201,MATCH($B3743,Summary!$A$2:$A$201,0))</f>
        <v>12.32</v>
      </c>
      <c r="V3743" s="2" t="n">
        <f aca="false">INDEX(Summary!$R$2:$R$201,MATCH($B3743,Summary!$A$2:$A$201,0))</f>
        <v>22.83</v>
      </c>
      <c r="W3743" s="0" t="str">
        <f aca="false">INDEX(Summary!$S$2:$S$201,MATCH($B3743,Summary!$A$2:$A$201,0))</f>
        <v>Silver</v>
      </c>
      <c r="X3743" s="2" t="n">
        <f aca="false">INDEX(Summary!$T$2:$T$201,MATCH($B3743,Summary!$A$2:$A$201,0))</f>
        <v>55.68</v>
      </c>
      <c r="Y3743" s="0" t="str">
        <f aca="false">INDEX('Reward Model'!$E$18:$E$37,MATCH($E3743,'Reward Model'!$A$18:$A$37,0))</f>
        <v>Low</v>
      </c>
      <c r="Z3743" s="4" t="n">
        <f aca="false">ROUND(MIN(1,MAX('Reward Model'!$B$2,INDEX('Reward Model'!$C$12:$C$14,MATCH($K3743,'Reward Model'!$A$12:$A$14,0))/$J3743)),3)</f>
        <v>1</v>
      </c>
      <c r="AA3743" s="2" t="n">
        <f aca="false">IF($I3743="Correct",ROUND(INDEX('Reward Model'!$B$12:$B$14,MATCH($K3743,'Reward Model'!$A$12:$A$14,0))*Z3743,2),0)</f>
        <v>1</v>
      </c>
      <c r="AB3743" s="2" t="n">
        <f aca="false">IF($I3743="Correct",ROUND(INDEX('Reward Model'!$B$12:$B$14,MATCH($Y3743,'Reward Model'!$A$12:$A$14,0))*Z3743,2),0)</f>
        <v>1</v>
      </c>
    </row>
    <row r="3744" customFormat="false" ht="15" hidden="false" customHeight="false" outlineLevel="0" collapsed="false">
      <c r="A3744" s="0" t="s">
        <v>506</v>
      </c>
      <c r="B3744" s="0" t="s">
        <v>507</v>
      </c>
      <c r="C3744" s="0" t="s">
        <v>322</v>
      </c>
      <c r="D3744" s="0" t="s">
        <v>275</v>
      </c>
      <c r="E3744" s="0" t="n">
        <v>3</v>
      </c>
      <c r="F3744" s="0" t="s">
        <v>40</v>
      </c>
      <c r="G3744" s="0" t="s">
        <v>42</v>
      </c>
      <c r="H3744" s="0" t="s">
        <v>42</v>
      </c>
      <c r="I3744" s="0" t="s">
        <v>34</v>
      </c>
      <c r="J3744" s="0" t="n">
        <v>1.42</v>
      </c>
      <c r="K3744" s="0" t="s">
        <v>35</v>
      </c>
      <c r="L3744" s="0" t="n">
        <f aca="false">INDEX(Summary!$F$2:$F$201,MATCH($B3744,Summary!$A$2:$A$201,0))</f>
        <v>20</v>
      </c>
      <c r="M3744" s="0" t="n">
        <f aca="false">INDEX(Summary!$I$2:$I$201,MATCH($B3744,Summary!$A$2:$A$201,0))</f>
        <v>3</v>
      </c>
      <c r="N3744" s="0" t="n">
        <f aca="false">INDEX(Summary!$J$2:$J$201,MATCH($B3744,Summary!$A$2:$A$201,0))</f>
        <v>2</v>
      </c>
      <c r="O3744" s="2" t="n">
        <f aca="false">INDEX(Summary!$K$2:$K$201,MATCH($B3744,Summary!$A$2:$A$201,0))</f>
        <v>10.86</v>
      </c>
      <c r="P3744" s="3" t="n">
        <f aca="false">INDEX(Summary!$L$2:$L$201,MATCH($B3744,Summary!$A$2:$A$201,0))</f>
        <v>2</v>
      </c>
      <c r="Q3744" s="3" t="n">
        <f aca="false">INDEX(Summary!$M$2:$M$201,MATCH($B3744,Summary!$A$2:$A$201,0))</f>
        <v>4</v>
      </c>
      <c r="R3744" s="2" t="n">
        <f aca="false">INDEX(Summary!$N$2:$N$201,MATCH($B3744,Summary!$A$2:$A$201,0))</f>
        <v>11.03</v>
      </c>
      <c r="S3744" s="3" t="n">
        <f aca="false">INDEX(Summary!$O$2:$O$201,MATCH($B3744,Summary!$A$2:$A$201,0))</f>
        <v>8</v>
      </c>
      <c r="T3744" s="3" t="n">
        <f aca="false">INDEX(Summary!$P$2:$P$201,MATCH($B3744,Summary!$A$2:$A$201,0))</f>
        <v>1</v>
      </c>
      <c r="U3744" s="2" t="n">
        <f aca="false">INDEX(Summary!$Q$2:$Q$201,MATCH($B3744,Summary!$A$2:$A$201,0))</f>
        <v>12.32</v>
      </c>
      <c r="V3744" s="2" t="n">
        <f aca="false">INDEX(Summary!$R$2:$R$201,MATCH($B3744,Summary!$A$2:$A$201,0))</f>
        <v>22.83</v>
      </c>
      <c r="W3744" s="0" t="str">
        <f aca="false">INDEX(Summary!$S$2:$S$201,MATCH($B3744,Summary!$A$2:$A$201,0))</f>
        <v>Silver</v>
      </c>
      <c r="X3744" s="2" t="n">
        <f aca="false">INDEX(Summary!$T$2:$T$201,MATCH($B3744,Summary!$A$2:$A$201,0))</f>
        <v>55.68</v>
      </c>
      <c r="Y3744" s="0" t="str">
        <f aca="false">INDEX('Reward Model'!$E$18:$E$37,MATCH($E3744,'Reward Model'!$A$18:$A$37,0))</f>
        <v>Medium</v>
      </c>
      <c r="Z3744" s="4" t="n">
        <f aca="false">ROUND(MIN(1,MAX('Reward Model'!$B$2,INDEX('Reward Model'!$C$12:$C$14,MATCH($K3744,'Reward Model'!$A$12:$A$14,0))/$J3744)),3)</f>
        <v>1</v>
      </c>
      <c r="AA3744" s="2" t="n">
        <f aca="false">IF($I3744="Correct",ROUND(INDEX('Reward Model'!$B$12:$B$14,MATCH($K3744,'Reward Model'!$A$12:$A$14,0))*Z3744,2),0)</f>
        <v>1</v>
      </c>
      <c r="AB3744" s="2" t="n">
        <f aca="false">IF($I3744="Correct",ROUND(INDEX('Reward Model'!$B$12:$B$14,MATCH($Y3744,'Reward Model'!$A$12:$A$14,0))*Z3744,2),0)</f>
        <v>2</v>
      </c>
    </row>
    <row r="3745" customFormat="false" ht="15" hidden="false" customHeight="false" outlineLevel="0" collapsed="false">
      <c r="A3745" s="0" t="s">
        <v>506</v>
      </c>
      <c r="B3745" s="0" t="s">
        <v>507</v>
      </c>
      <c r="C3745" s="0" t="s">
        <v>322</v>
      </c>
      <c r="D3745" s="0" t="s">
        <v>275</v>
      </c>
      <c r="E3745" s="0" t="n">
        <v>4</v>
      </c>
      <c r="F3745" s="0" t="s">
        <v>43</v>
      </c>
      <c r="G3745" s="0" t="s">
        <v>45</v>
      </c>
      <c r="H3745" s="0" t="s">
        <v>45</v>
      </c>
      <c r="I3745" s="0" t="s">
        <v>34</v>
      </c>
      <c r="J3745" s="0" t="n">
        <v>1.97</v>
      </c>
      <c r="K3745" s="0" t="s">
        <v>35</v>
      </c>
      <c r="L3745" s="0" t="n">
        <f aca="false">INDEX(Summary!$F$2:$F$201,MATCH($B3745,Summary!$A$2:$A$201,0))</f>
        <v>20</v>
      </c>
      <c r="M3745" s="0" t="n">
        <f aca="false">INDEX(Summary!$I$2:$I$201,MATCH($B3745,Summary!$A$2:$A$201,0))</f>
        <v>3</v>
      </c>
      <c r="N3745" s="0" t="n">
        <f aca="false">INDEX(Summary!$J$2:$J$201,MATCH($B3745,Summary!$A$2:$A$201,0))</f>
        <v>2</v>
      </c>
      <c r="O3745" s="2" t="n">
        <f aca="false">INDEX(Summary!$K$2:$K$201,MATCH($B3745,Summary!$A$2:$A$201,0))</f>
        <v>10.86</v>
      </c>
      <c r="P3745" s="3" t="n">
        <f aca="false">INDEX(Summary!$L$2:$L$201,MATCH($B3745,Summary!$A$2:$A$201,0))</f>
        <v>2</v>
      </c>
      <c r="Q3745" s="3" t="n">
        <f aca="false">INDEX(Summary!$M$2:$M$201,MATCH($B3745,Summary!$A$2:$A$201,0))</f>
        <v>4</v>
      </c>
      <c r="R3745" s="2" t="n">
        <f aca="false">INDEX(Summary!$N$2:$N$201,MATCH($B3745,Summary!$A$2:$A$201,0))</f>
        <v>11.03</v>
      </c>
      <c r="S3745" s="3" t="n">
        <f aca="false">INDEX(Summary!$O$2:$O$201,MATCH($B3745,Summary!$A$2:$A$201,0))</f>
        <v>8</v>
      </c>
      <c r="T3745" s="3" t="n">
        <f aca="false">INDEX(Summary!$P$2:$P$201,MATCH($B3745,Summary!$A$2:$A$201,0))</f>
        <v>1</v>
      </c>
      <c r="U3745" s="2" t="n">
        <f aca="false">INDEX(Summary!$Q$2:$Q$201,MATCH($B3745,Summary!$A$2:$A$201,0))</f>
        <v>12.32</v>
      </c>
      <c r="V3745" s="2" t="n">
        <f aca="false">INDEX(Summary!$R$2:$R$201,MATCH($B3745,Summary!$A$2:$A$201,0))</f>
        <v>22.83</v>
      </c>
      <c r="W3745" s="0" t="str">
        <f aca="false">INDEX(Summary!$S$2:$S$201,MATCH($B3745,Summary!$A$2:$A$201,0))</f>
        <v>Silver</v>
      </c>
      <c r="X3745" s="2" t="n">
        <f aca="false">INDEX(Summary!$T$2:$T$201,MATCH($B3745,Summary!$A$2:$A$201,0))</f>
        <v>55.68</v>
      </c>
      <c r="Y3745" s="0" t="str">
        <f aca="false">INDEX('Reward Model'!$E$18:$E$37,MATCH($E3745,'Reward Model'!$A$18:$A$37,0))</f>
        <v>Low</v>
      </c>
      <c r="Z3745" s="4" t="n">
        <f aca="false">ROUND(MIN(1,MAX('Reward Model'!$B$2,INDEX('Reward Model'!$C$12:$C$14,MATCH($K3745,'Reward Model'!$A$12:$A$14,0))/$J3745)),3)</f>
        <v>0.761</v>
      </c>
      <c r="AA3745" s="2" t="n">
        <f aca="false">IF($I3745="Correct",ROUND(INDEX('Reward Model'!$B$12:$B$14,MATCH($K3745,'Reward Model'!$A$12:$A$14,0))*Z3745,2),0)</f>
        <v>0.76</v>
      </c>
      <c r="AB3745" s="2" t="n">
        <f aca="false">IF($I3745="Correct",ROUND(INDEX('Reward Model'!$B$12:$B$14,MATCH($Y3745,'Reward Model'!$A$12:$A$14,0))*Z3745,2),0)</f>
        <v>0.76</v>
      </c>
    </row>
    <row r="3746" customFormat="false" ht="15" hidden="false" customHeight="false" outlineLevel="0" collapsed="false">
      <c r="A3746" s="0" t="s">
        <v>506</v>
      </c>
      <c r="B3746" s="0" t="s">
        <v>507</v>
      </c>
      <c r="C3746" s="0" t="s">
        <v>322</v>
      </c>
      <c r="D3746" s="0" t="s">
        <v>275</v>
      </c>
      <c r="E3746" s="0" t="n">
        <v>5</v>
      </c>
      <c r="F3746" s="0" t="s">
        <v>46</v>
      </c>
      <c r="G3746" s="0" t="s">
        <v>47</v>
      </c>
      <c r="H3746" s="0" t="s">
        <v>47</v>
      </c>
      <c r="I3746" s="0" t="s">
        <v>34</v>
      </c>
      <c r="J3746" s="0" t="n">
        <v>0.98</v>
      </c>
      <c r="K3746" s="0" t="s">
        <v>35</v>
      </c>
      <c r="L3746" s="0" t="n">
        <f aca="false">INDEX(Summary!$F$2:$F$201,MATCH($B3746,Summary!$A$2:$A$201,0))</f>
        <v>20</v>
      </c>
      <c r="M3746" s="0" t="n">
        <f aca="false">INDEX(Summary!$I$2:$I$201,MATCH($B3746,Summary!$A$2:$A$201,0))</f>
        <v>3</v>
      </c>
      <c r="N3746" s="0" t="n">
        <f aca="false">INDEX(Summary!$J$2:$J$201,MATCH($B3746,Summary!$A$2:$A$201,0))</f>
        <v>2</v>
      </c>
      <c r="O3746" s="2" t="n">
        <f aca="false">INDEX(Summary!$K$2:$K$201,MATCH($B3746,Summary!$A$2:$A$201,0))</f>
        <v>10.86</v>
      </c>
      <c r="P3746" s="3" t="n">
        <f aca="false">INDEX(Summary!$L$2:$L$201,MATCH($B3746,Summary!$A$2:$A$201,0))</f>
        <v>2</v>
      </c>
      <c r="Q3746" s="3" t="n">
        <f aca="false">INDEX(Summary!$M$2:$M$201,MATCH($B3746,Summary!$A$2:$A$201,0))</f>
        <v>4</v>
      </c>
      <c r="R3746" s="2" t="n">
        <f aca="false">INDEX(Summary!$N$2:$N$201,MATCH($B3746,Summary!$A$2:$A$201,0))</f>
        <v>11.03</v>
      </c>
      <c r="S3746" s="3" t="n">
        <f aca="false">INDEX(Summary!$O$2:$O$201,MATCH($B3746,Summary!$A$2:$A$201,0))</f>
        <v>8</v>
      </c>
      <c r="T3746" s="3" t="n">
        <f aca="false">INDEX(Summary!$P$2:$P$201,MATCH($B3746,Summary!$A$2:$A$201,0))</f>
        <v>1</v>
      </c>
      <c r="U3746" s="2" t="n">
        <f aca="false">INDEX(Summary!$Q$2:$Q$201,MATCH($B3746,Summary!$A$2:$A$201,0))</f>
        <v>12.32</v>
      </c>
      <c r="V3746" s="2" t="n">
        <f aca="false">INDEX(Summary!$R$2:$R$201,MATCH($B3746,Summary!$A$2:$A$201,0))</f>
        <v>22.83</v>
      </c>
      <c r="W3746" s="0" t="str">
        <f aca="false">INDEX(Summary!$S$2:$S$201,MATCH($B3746,Summary!$A$2:$A$201,0))</f>
        <v>Silver</v>
      </c>
      <c r="X3746" s="2" t="n">
        <f aca="false">INDEX(Summary!$T$2:$T$201,MATCH($B3746,Summary!$A$2:$A$201,0))</f>
        <v>55.68</v>
      </c>
      <c r="Y3746" s="0" t="str">
        <f aca="false">INDEX('Reward Model'!$E$18:$E$37,MATCH($E3746,'Reward Model'!$A$18:$A$37,0))</f>
        <v>Low</v>
      </c>
      <c r="Z3746" s="4" t="n">
        <f aca="false">ROUND(MIN(1,MAX('Reward Model'!$B$2,INDEX('Reward Model'!$C$12:$C$14,MATCH($K3746,'Reward Model'!$A$12:$A$14,0))/$J3746)),3)</f>
        <v>1</v>
      </c>
      <c r="AA3746" s="2" t="n">
        <f aca="false">IF($I3746="Correct",ROUND(INDEX('Reward Model'!$B$12:$B$14,MATCH($K3746,'Reward Model'!$A$12:$A$14,0))*Z3746,2),0)</f>
        <v>1</v>
      </c>
      <c r="AB3746" s="2" t="n">
        <f aca="false">IF($I3746="Correct",ROUND(INDEX('Reward Model'!$B$12:$B$14,MATCH($Y3746,'Reward Model'!$A$12:$A$14,0))*Z3746,2),0)</f>
        <v>1</v>
      </c>
    </row>
    <row r="3747" customFormat="false" ht="15" hidden="false" customHeight="false" outlineLevel="0" collapsed="false">
      <c r="A3747" s="0" t="s">
        <v>506</v>
      </c>
      <c r="B3747" s="0" t="s">
        <v>507</v>
      </c>
      <c r="C3747" s="0" t="s">
        <v>322</v>
      </c>
      <c r="D3747" s="0" t="s">
        <v>275</v>
      </c>
      <c r="E3747" s="0" t="n">
        <v>6</v>
      </c>
      <c r="F3747" s="0" t="s">
        <v>48</v>
      </c>
      <c r="G3747" s="0" t="s">
        <v>49</v>
      </c>
      <c r="H3747" s="0" t="s">
        <v>49</v>
      </c>
      <c r="I3747" s="0" t="s">
        <v>34</v>
      </c>
      <c r="J3747" s="0" t="n">
        <v>1.03</v>
      </c>
      <c r="K3747" s="0" t="s">
        <v>35</v>
      </c>
      <c r="L3747" s="0" t="n">
        <f aca="false">INDEX(Summary!$F$2:$F$201,MATCH($B3747,Summary!$A$2:$A$201,0))</f>
        <v>20</v>
      </c>
      <c r="M3747" s="0" t="n">
        <f aca="false">INDEX(Summary!$I$2:$I$201,MATCH($B3747,Summary!$A$2:$A$201,0))</f>
        <v>3</v>
      </c>
      <c r="N3747" s="0" t="n">
        <f aca="false">INDEX(Summary!$J$2:$J$201,MATCH($B3747,Summary!$A$2:$A$201,0))</f>
        <v>2</v>
      </c>
      <c r="O3747" s="2" t="n">
        <f aca="false">INDEX(Summary!$K$2:$K$201,MATCH($B3747,Summary!$A$2:$A$201,0))</f>
        <v>10.86</v>
      </c>
      <c r="P3747" s="3" t="n">
        <f aca="false">INDEX(Summary!$L$2:$L$201,MATCH($B3747,Summary!$A$2:$A$201,0))</f>
        <v>2</v>
      </c>
      <c r="Q3747" s="3" t="n">
        <f aca="false">INDEX(Summary!$M$2:$M$201,MATCH($B3747,Summary!$A$2:$A$201,0))</f>
        <v>4</v>
      </c>
      <c r="R3747" s="2" t="n">
        <f aca="false">INDEX(Summary!$N$2:$N$201,MATCH($B3747,Summary!$A$2:$A$201,0))</f>
        <v>11.03</v>
      </c>
      <c r="S3747" s="3" t="n">
        <f aca="false">INDEX(Summary!$O$2:$O$201,MATCH($B3747,Summary!$A$2:$A$201,0))</f>
        <v>8</v>
      </c>
      <c r="T3747" s="3" t="n">
        <f aca="false">INDEX(Summary!$P$2:$P$201,MATCH($B3747,Summary!$A$2:$A$201,0))</f>
        <v>1</v>
      </c>
      <c r="U3747" s="2" t="n">
        <f aca="false">INDEX(Summary!$Q$2:$Q$201,MATCH($B3747,Summary!$A$2:$A$201,0))</f>
        <v>12.32</v>
      </c>
      <c r="V3747" s="2" t="n">
        <f aca="false">INDEX(Summary!$R$2:$R$201,MATCH($B3747,Summary!$A$2:$A$201,0))</f>
        <v>22.83</v>
      </c>
      <c r="W3747" s="0" t="str">
        <f aca="false">INDEX(Summary!$S$2:$S$201,MATCH($B3747,Summary!$A$2:$A$201,0))</f>
        <v>Silver</v>
      </c>
      <c r="X3747" s="2" t="n">
        <f aca="false">INDEX(Summary!$T$2:$T$201,MATCH($B3747,Summary!$A$2:$A$201,0))</f>
        <v>55.68</v>
      </c>
      <c r="Y3747" s="0" t="str">
        <f aca="false">INDEX('Reward Model'!$E$18:$E$37,MATCH($E3747,'Reward Model'!$A$18:$A$37,0))</f>
        <v>Medium</v>
      </c>
      <c r="Z3747" s="4" t="n">
        <f aca="false">ROUND(MIN(1,MAX('Reward Model'!$B$2,INDEX('Reward Model'!$C$12:$C$14,MATCH($K3747,'Reward Model'!$A$12:$A$14,0))/$J3747)),3)</f>
        <v>1</v>
      </c>
      <c r="AA3747" s="2" t="n">
        <f aca="false">IF($I3747="Correct",ROUND(INDEX('Reward Model'!$B$12:$B$14,MATCH($K3747,'Reward Model'!$A$12:$A$14,0))*Z3747,2),0)</f>
        <v>1</v>
      </c>
      <c r="AB3747" s="2" t="n">
        <f aca="false">IF($I3747="Correct",ROUND(INDEX('Reward Model'!$B$12:$B$14,MATCH($Y3747,'Reward Model'!$A$12:$A$14,0))*Z3747,2),0)</f>
        <v>2</v>
      </c>
    </row>
    <row r="3748" customFormat="false" ht="15" hidden="false" customHeight="false" outlineLevel="0" collapsed="false">
      <c r="A3748" s="0" t="s">
        <v>506</v>
      </c>
      <c r="B3748" s="0" t="s">
        <v>507</v>
      </c>
      <c r="C3748" s="0" t="s">
        <v>322</v>
      </c>
      <c r="D3748" s="0" t="s">
        <v>275</v>
      </c>
      <c r="E3748" s="0" t="n">
        <v>7</v>
      </c>
      <c r="F3748" s="0" t="s">
        <v>50</v>
      </c>
      <c r="G3748" s="0" t="s">
        <v>51</v>
      </c>
      <c r="H3748" s="0" t="s">
        <v>51</v>
      </c>
      <c r="I3748" s="0" t="s">
        <v>34</v>
      </c>
      <c r="J3748" s="0" t="n">
        <v>1.71</v>
      </c>
      <c r="K3748" s="0" t="s">
        <v>35</v>
      </c>
      <c r="L3748" s="0" t="n">
        <f aca="false">INDEX(Summary!$F$2:$F$201,MATCH($B3748,Summary!$A$2:$A$201,0))</f>
        <v>20</v>
      </c>
      <c r="M3748" s="0" t="n">
        <f aca="false">INDEX(Summary!$I$2:$I$201,MATCH($B3748,Summary!$A$2:$A$201,0))</f>
        <v>3</v>
      </c>
      <c r="N3748" s="0" t="n">
        <f aca="false">INDEX(Summary!$J$2:$J$201,MATCH($B3748,Summary!$A$2:$A$201,0))</f>
        <v>2</v>
      </c>
      <c r="O3748" s="2" t="n">
        <f aca="false">INDEX(Summary!$K$2:$K$201,MATCH($B3748,Summary!$A$2:$A$201,0))</f>
        <v>10.86</v>
      </c>
      <c r="P3748" s="3" t="n">
        <f aca="false">INDEX(Summary!$L$2:$L$201,MATCH($B3748,Summary!$A$2:$A$201,0))</f>
        <v>2</v>
      </c>
      <c r="Q3748" s="3" t="n">
        <f aca="false">INDEX(Summary!$M$2:$M$201,MATCH($B3748,Summary!$A$2:$A$201,0))</f>
        <v>4</v>
      </c>
      <c r="R3748" s="2" t="n">
        <f aca="false">INDEX(Summary!$N$2:$N$201,MATCH($B3748,Summary!$A$2:$A$201,0))</f>
        <v>11.03</v>
      </c>
      <c r="S3748" s="3" t="n">
        <f aca="false">INDEX(Summary!$O$2:$O$201,MATCH($B3748,Summary!$A$2:$A$201,0))</f>
        <v>8</v>
      </c>
      <c r="T3748" s="3" t="n">
        <f aca="false">INDEX(Summary!$P$2:$P$201,MATCH($B3748,Summary!$A$2:$A$201,0))</f>
        <v>1</v>
      </c>
      <c r="U3748" s="2" t="n">
        <f aca="false">INDEX(Summary!$Q$2:$Q$201,MATCH($B3748,Summary!$A$2:$A$201,0))</f>
        <v>12.32</v>
      </c>
      <c r="V3748" s="2" t="n">
        <f aca="false">INDEX(Summary!$R$2:$R$201,MATCH($B3748,Summary!$A$2:$A$201,0))</f>
        <v>22.83</v>
      </c>
      <c r="W3748" s="0" t="str">
        <f aca="false">INDEX(Summary!$S$2:$S$201,MATCH($B3748,Summary!$A$2:$A$201,0))</f>
        <v>Silver</v>
      </c>
      <c r="X3748" s="2" t="n">
        <f aca="false">INDEX(Summary!$T$2:$T$201,MATCH($B3748,Summary!$A$2:$A$201,0))</f>
        <v>55.68</v>
      </c>
      <c r="Y3748" s="0" t="str">
        <f aca="false">INDEX('Reward Model'!$E$18:$E$37,MATCH($E3748,'Reward Model'!$A$18:$A$37,0))</f>
        <v>Low</v>
      </c>
      <c r="Z3748" s="4" t="n">
        <f aca="false">ROUND(MIN(1,MAX('Reward Model'!$B$2,INDEX('Reward Model'!$C$12:$C$14,MATCH($K3748,'Reward Model'!$A$12:$A$14,0))/$J3748)),3)</f>
        <v>0.877</v>
      </c>
      <c r="AA3748" s="2" t="n">
        <f aca="false">IF($I3748="Correct",ROUND(INDEX('Reward Model'!$B$12:$B$14,MATCH($K3748,'Reward Model'!$A$12:$A$14,0))*Z3748,2),0)</f>
        <v>0.88</v>
      </c>
      <c r="AB3748" s="2" t="n">
        <f aca="false">IF($I3748="Correct",ROUND(INDEX('Reward Model'!$B$12:$B$14,MATCH($Y3748,'Reward Model'!$A$12:$A$14,0))*Z3748,2),0)</f>
        <v>0.88</v>
      </c>
    </row>
    <row r="3749" customFormat="false" ht="15" hidden="false" customHeight="false" outlineLevel="0" collapsed="false">
      <c r="A3749" s="0" t="s">
        <v>506</v>
      </c>
      <c r="B3749" s="0" t="s">
        <v>507</v>
      </c>
      <c r="C3749" s="0" t="s">
        <v>322</v>
      </c>
      <c r="D3749" s="0" t="s">
        <v>275</v>
      </c>
      <c r="E3749" s="0" t="n">
        <v>8</v>
      </c>
      <c r="F3749" s="0" t="s">
        <v>52</v>
      </c>
      <c r="G3749" s="0" t="s">
        <v>54</v>
      </c>
      <c r="H3749" s="0" t="s">
        <v>54</v>
      </c>
      <c r="I3749" s="0" t="s">
        <v>34</v>
      </c>
      <c r="J3749" s="0" t="n">
        <v>0.96</v>
      </c>
      <c r="K3749" s="0" t="s">
        <v>35</v>
      </c>
      <c r="L3749" s="0" t="n">
        <f aca="false">INDEX(Summary!$F$2:$F$201,MATCH($B3749,Summary!$A$2:$A$201,0))</f>
        <v>20</v>
      </c>
      <c r="M3749" s="0" t="n">
        <f aca="false">INDEX(Summary!$I$2:$I$201,MATCH($B3749,Summary!$A$2:$A$201,0))</f>
        <v>3</v>
      </c>
      <c r="N3749" s="0" t="n">
        <f aca="false">INDEX(Summary!$J$2:$J$201,MATCH($B3749,Summary!$A$2:$A$201,0))</f>
        <v>2</v>
      </c>
      <c r="O3749" s="2" t="n">
        <f aca="false">INDEX(Summary!$K$2:$K$201,MATCH($B3749,Summary!$A$2:$A$201,0))</f>
        <v>10.86</v>
      </c>
      <c r="P3749" s="3" t="n">
        <f aca="false">INDEX(Summary!$L$2:$L$201,MATCH($B3749,Summary!$A$2:$A$201,0))</f>
        <v>2</v>
      </c>
      <c r="Q3749" s="3" t="n">
        <f aca="false">INDEX(Summary!$M$2:$M$201,MATCH($B3749,Summary!$A$2:$A$201,0))</f>
        <v>4</v>
      </c>
      <c r="R3749" s="2" t="n">
        <f aca="false">INDEX(Summary!$N$2:$N$201,MATCH($B3749,Summary!$A$2:$A$201,0))</f>
        <v>11.03</v>
      </c>
      <c r="S3749" s="3" t="n">
        <f aca="false">INDEX(Summary!$O$2:$O$201,MATCH($B3749,Summary!$A$2:$A$201,0))</f>
        <v>8</v>
      </c>
      <c r="T3749" s="3" t="n">
        <f aca="false">INDEX(Summary!$P$2:$P$201,MATCH($B3749,Summary!$A$2:$A$201,0))</f>
        <v>1</v>
      </c>
      <c r="U3749" s="2" t="n">
        <f aca="false">INDEX(Summary!$Q$2:$Q$201,MATCH($B3749,Summary!$A$2:$A$201,0))</f>
        <v>12.32</v>
      </c>
      <c r="V3749" s="2" t="n">
        <f aca="false">INDEX(Summary!$R$2:$R$201,MATCH($B3749,Summary!$A$2:$A$201,0))</f>
        <v>22.83</v>
      </c>
      <c r="W3749" s="0" t="str">
        <f aca="false">INDEX(Summary!$S$2:$S$201,MATCH($B3749,Summary!$A$2:$A$201,0))</f>
        <v>Silver</v>
      </c>
      <c r="X3749" s="2" t="n">
        <f aca="false">INDEX(Summary!$T$2:$T$201,MATCH($B3749,Summary!$A$2:$A$201,0))</f>
        <v>55.68</v>
      </c>
      <c r="Y3749" s="0" t="str">
        <f aca="false">INDEX('Reward Model'!$E$18:$E$37,MATCH($E3749,'Reward Model'!$A$18:$A$37,0))</f>
        <v>Medium</v>
      </c>
      <c r="Z3749" s="4" t="n">
        <f aca="false">ROUND(MIN(1,MAX('Reward Model'!$B$2,INDEX('Reward Model'!$C$12:$C$14,MATCH($K3749,'Reward Model'!$A$12:$A$14,0))/$J3749)),3)</f>
        <v>1</v>
      </c>
      <c r="AA3749" s="2" t="n">
        <f aca="false">IF($I3749="Correct",ROUND(INDEX('Reward Model'!$B$12:$B$14,MATCH($K3749,'Reward Model'!$A$12:$A$14,0))*Z3749,2),0)</f>
        <v>1</v>
      </c>
      <c r="AB3749" s="2" t="n">
        <f aca="false">IF($I3749="Correct",ROUND(INDEX('Reward Model'!$B$12:$B$14,MATCH($Y3749,'Reward Model'!$A$12:$A$14,0))*Z3749,2),0)</f>
        <v>2</v>
      </c>
    </row>
    <row r="3750" customFormat="false" ht="15" hidden="false" customHeight="false" outlineLevel="0" collapsed="false">
      <c r="A3750" s="0" t="s">
        <v>506</v>
      </c>
      <c r="B3750" s="0" t="s">
        <v>507</v>
      </c>
      <c r="C3750" s="0" t="s">
        <v>322</v>
      </c>
      <c r="D3750" s="0" t="s">
        <v>275</v>
      </c>
      <c r="E3750" s="0" t="n">
        <v>9</v>
      </c>
      <c r="F3750" s="0" t="s">
        <v>55</v>
      </c>
      <c r="G3750" s="0" t="s">
        <v>108</v>
      </c>
      <c r="H3750" s="0" t="s">
        <v>57</v>
      </c>
      <c r="I3750" s="0" t="s">
        <v>39</v>
      </c>
      <c r="J3750" s="0" t="n">
        <v>1.21</v>
      </c>
      <c r="K3750" s="0" t="s">
        <v>35</v>
      </c>
      <c r="L3750" s="0" t="n">
        <f aca="false">INDEX(Summary!$F$2:$F$201,MATCH($B3750,Summary!$A$2:$A$201,0))</f>
        <v>20</v>
      </c>
      <c r="M3750" s="0" t="n">
        <f aca="false">INDEX(Summary!$I$2:$I$201,MATCH($B3750,Summary!$A$2:$A$201,0))</f>
        <v>3</v>
      </c>
      <c r="N3750" s="0" t="n">
        <f aca="false">INDEX(Summary!$J$2:$J$201,MATCH($B3750,Summary!$A$2:$A$201,0))</f>
        <v>2</v>
      </c>
      <c r="O3750" s="2" t="n">
        <f aca="false">INDEX(Summary!$K$2:$K$201,MATCH($B3750,Summary!$A$2:$A$201,0))</f>
        <v>10.86</v>
      </c>
      <c r="P3750" s="3" t="n">
        <f aca="false">INDEX(Summary!$L$2:$L$201,MATCH($B3750,Summary!$A$2:$A$201,0))</f>
        <v>2</v>
      </c>
      <c r="Q3750" s="3" t="n">
        <f aca="false">INDEX(Summary!$M$2:$M$201,MATCH($B3750,Summary!$A$2:$A$201,0))</f>
        <v>4</v>
      </c>
      <c r="R3750" s="2" t="n">
        <f aca="false">INDEX(Summary!$N$2:$N$201,MATCH($B3750,Summary!$A$2:$A$201,0))</f>
        <v>11.03</v>
      </c>
      <c r="S3750" s="3" t="n">
        <f aca="false">INDEX(Summary!$O$2:$O$201,MATCH($B3750,Summary!$A$2:$A$201,0))</f>
        <v>8</v>
      </c>
      <c r="T3750" s="3" t="n">
        <f aca="false">INDEX(Summary!$P$2:$P$201,MATCH($B3750,Summary!$A$2:$A$201,0))</f>
        <v>1</v>
      </c>
      <c r="U3750" s="2" t="n">
        <f aca="false">INDEX(Summary!$Q$2:$Q$201,MATCH($B3750,Summary!$A$2:$A$201,0))</f>
        <v>12.32</v>
      </c>
      <c r="V3750" s="2" t="n">
        <f aca="false">INDEX(Summary!$R$2:$R$201,MATCH($B3750,Summary!$A$2:$A$201,0))</f>
        <v>22.83</v>
      </c>
      <c r="W3750" s="0" t="str">
        <f aca="false">INDEX(Summary!$S$2:$S$201,MATCH($B3750,Summary!$A$2:$A$201,0))</f>
        <v>Silver</v>
      </c>
      <c r="X3750" s="2" t="n">
        <f aca="false">INDEX(Summary!$T$2:$T$201,MATCH($B3750,Summary!$A$2:$A$201,0))</f>
        <v>55.68</v>
      </c>
      <c r="Y3750" s="0" t="str">
        <f aca="false">INDEX('Reward Model'!$E$18:$E$37,MATCH($E3750,'Reward Model'!$A$18:$A$37,0))</f>
        <v>Medium</v>
      </c>
      <c r="Z3750" s="4" t="n">
        <f aca="false">ROUND(MIN(1,MAX('Reward Model'!$B$2,INDEX('Reward Model'!$C$12:$C$14,MATCH($K3750,'Reward Model'!$A$12:$A$14,0))/$J3750)),3)</f>
        <v>1</v>
      </c>
      <c r="AA3750" s="2" t="n">
        <f aca="false">IF($I3750="Correct",ROUND(INDEX('Reward Model'!$B$12:$B$14,MATCH($K3750,'Reward Model'!$A$12:$A$14,0))*Z3750,2),0)</f>
        <v>0</v>
      </c>
      <c r="AB3750" s="2" t="n">
        <f aca="false">IF($I3750="Correct",ROUND(INDEX('Reward Model'!$B$12:$B$14,MATCH($Y3750,'Reward Model'!$A$12:$A$14,0))*Z3750,2),0)</f>
        <v>0</v>
      </c>
    </row>
    <row r="3751" customFormat="false" ht="15" hidden="false" customHeight="false" outlineLevel="0" collapsed="false">
      <c r="A3751" s="0" t="s">
        <v>506</v>
      </c>
      <c r="B3751" s="0" t="s">
        <v>507</v>
      </c>
      <c r="C3751" s="0" t="s">
        <v>322</v>
      </c>
      <c r="D3751" s="0" t="s">
        <v>275</v>
      </c>
      <c r="E3751" s="0" t="n">
        <v>10</v>
      </c>
      <c r="F3751" s="0" t="s">
        <v>58</v>
      </c>
      <c r="G3751" s="0" t="s">
        <v>174</v>
      </c>
      <c r="H3751" s="0" t="s">
        <v>59</v>
      </c>
      <c r="I3751" s="0" t="s">
        <v>39</v>
      </c>
      <c r="J3751" s="0" t="n">
        <v>1.95</v>
      </c>
      <c r="K3751" s="0" t="s">
        <v>60</v>
      </c>
      <c r="L3751" s="0" t="n">
        <f aca="false">INDEX(Summary!$F$2:$F$201,MATCH($B3751,Summary!$A$2:$A$201,0))</f>
        <v>20</v>
      </c>
      <c r="M3751" s="0" t="n">
        <f aca="false">INDEX(Summary!$I$2:$I$201,MATCH($B3751,Summary!$A$2:$A$201,0))</f>
        <v>3</v>
      </c>
      <c r="N3751" s="0" t="n">
        <f aca="false">INDEX(Summary!$J$2:$J$201,MATCH($B3751,Summary!$A$2:$A$201,0))</f>
        <v>2</v>
      </c>
      <c r="O3751" s="2" t="n">
        <f aca="false">INDEX(Summary!$K$2:$K$201,MATCH($B3751,Summary!$A$2:$A$201,0))</f>
        <v>10.86</v>
      </c>
      <c r="P3751" s="3" t="n">
        <f aca="false">INDEX(Summary!$L$2:$L$201,MATCH($B3751,Summary!$A$2:$A$201,0))</f>
        <v>2</v>
      </c>
      <c r="Q3751" s="3" t="n">
        <f aca="false">INDEX(Summary!$M$2:$M$201,MATCH($B3751,Summary!$A$2:$A$201,0))</f>
        <v>4</v>
      </c>
      <c r="R3751" s="2" t="n">
        <f aca="false">INDEX(Summary!$N$2:$N$201,MATCH($B3751,Summary!$A$2:$A$201,0))</f>
        <v>11.03</v>
      </c>
      <c r="S3751" s="3" t="n">
        <f aca="false">INDEX(Summary!$O$2:$O$201,MATCH($B3751,Summary!$A$2:$A$201,0))</f>
        <v>8</v>
      </c>
      <c r="T3751" s="3" t="n">
        <f aca="false">INDEX(Summary!$P$2:$P$201,MATCH($B3751,Summary!$A$2:$A$201,0))</f>
        <v>1</v>
      </c>
      <c r="U3751" s="2" t="n">
        <f aca="false">INDEX(Summary!$Q$2:$Q$201,MATCH($B3751,Summary!$A$2:$A$201,0))</f>
        <v>12.32</v>
      </c>
      <c r="V3751" s="2" t="n">
        <f aca="false">INDEX(Summary!$R$2:$R$201,MATCH($B3751,Summary!$A$2:$A$201,0))</f>
        <v>22.83</v>
      </c>
      <c r="W3751" s="0" t="str">
        <f aca="false">INDEX(Summary!$S$2:$S$201,MATCH($B3751,Summary!$A$2:$A$201,0))</f>
        <v>Silver</v>
      </c>
      <c r="X3751" s="2" t="n">
        <f aca="false">INDEX(Summary!$T$2:$T$201,MATCH($B3751,Summary!$A$2:$A$201,0))</f>
        <v>55.68</v>
      </c>
      <c r="Y3751" s="0" t="str">
        <f aca="false">INDEX('Reward Model'!$E$18:$E$37,MATCH($E3751,'Reward Model'!$A$18:$A$37,0))</f>
        <v>Medium</v>
      </c>
      <c r="Z3751" s="4" t="n">
        <f aca="false">ROUND(MIN(1,MAX('Reward Model'!$B$2,INDEX('Reward Model'!$C$12:$C$14,MATCH($K3751,'Reward Model'!$A$12:$A$14,0))/$J3751)),3)</f>
        <v>0.923</v>
      </c>
      <c r="AA3751" s="2" t="n">
        <f aca="false">IF($I3751="Correct",ROUND(INDEX('Reward Model'!$B$12:$B$14,MATCH($K3751,'Reward Model'!$A$12:$A$14,0))*Z3751,2),0)</f>
        <v>0</v>
      </c>
      <c r="AB3751" s="2" t="n">
        <f aca="false">IF($I3751="Correct",ROUND(INDEX('Reward Model'!$B$12:$B$14,MATCH($Y3751,'Reward Model'!$A$12:$A$14,0))*Z3751,2),0)</f>
        <v>0</v>
      </c>
    </row>
    <row r="3752" customFormat="false" ht="15" hidden="false" customHeight="false" outlineLevel="0" collapsed="false">
      <c r="A3752" s="0" t="s">
        <v>506</v>
      </c>
      <c r="B3752" s="0" t="s">
        <v>507</v>
      </c>
      <c r="C3752" s="0" t="s">
        <v>322</v>
      </c>
      <c r="D3752" s="0" t="s">
        <v>275</v>
      </c>
      <c r="E3752" s="0" t="n">
        <v>11</v>
      </c>
      <c r="F3752" s="0" t="s">
        <v>61</v>
      </c>
      <c r="G3752" s="0" t="s">
        <v>63</v>
      </c>
      <c r="H3752" s="0" t="s">
        <v>63</v>
      </c>
      <c r="I3752" s="0" t="s">
        <v>34</v>
      </c>
      <c r="J3752" s="0" t="n">
        <v>2.22</v>
      </c>
      <c r="K3752" s="0" t="s">
        <v>60</v>
      </c>
      <c r="L3752" s="0" t="n">
        <f aca="false">INDEX(Summary!$F$2:$F$201,MATCH($B3752,Summary!$A$2:$A$201,0))</f>
        <v>20</v>
      </c>
      <c r="M3752" s="0" t="n">
        <f aca="false">INDEX(Summary!$I$2:$I$201,MATCH($B3752,Summary!$A$2:$A$201,0))</f>
        <v>3</v>
      </c>
      <c r="N3752" s="0" t="n">
        <f aca="false">INDEX(Summary!$J$2:$J$201,MATCH($B3752,Summary!$A$2:$A$201,0))</f>
        <v>2</v>
      </c>
      <c r="O3752" s="2" t="n">
        <f aca="false">INDEX(Summary!$K$2:$K$201,MATCH($B3752,Summary!$A$2:$A$201,0))</f>
        <v>10.86</v>
      </c>
      <c r="P3752" s="3" t="n">
        <f aca="false">INDEX(Summary!$L$2:$L$201,MATCH($B3752,Summary!$A$2:$A$201,0))</f>
        <v>2</v>
      </c>
      <c r="Q3752" s="3" t="n">
        <f aca="false">INDEX(Summary!$M$2:$M$201,MATCH($B3752,Summary!$A$2:$A$201,0))</f>
        <v>4</v>
      </c>
      <c r="R3752" s="2" t="n">
        <f aca="false">INDEX(Summary!$N$2:$N$201,MATCH($B3752,Summary!$A$2:$A$201,0))</f>
        <v>11.03</v>
      </c>
      <c r="S3752" s="3" t="n">
        <f aca="false">INDEX(Summary!$O$2:$O$201,MATCH($B3752,Summary!$A$2:$A$201,0))</f>
        <v>8</v>
      </c>
      <c r="T3752" s="3" t="n">
        <f aca="false">INDEX(Summary!$P$2:$P$201,MATCH($B3752,Summary!$A$2:$A$201,0))</f>
        <v>1</v>
      </c>
      <c r="U3752" s="2" t="n">
        <f aca="false">INDEX(Summary!$Q$2:$Q$201,MATCH($B3752,Summary!$A$2:$A$201,0))</f>
        <v>12.32</v>
      </c>
      <c r="V3752" s="2" t="n">
        <f aca="false">INDEX(Summary!$R$2:$R$201,MATCH($B3752,Summary!$A$2:$A$201,0))</f>
        <v>22.83</v>
      </c>
      <c r="W3752" s="0" t="str">
        <f aca="false">INDEX(Summary!$S$2:$S$201,MATCH($B3752,Summary!$A$2:$A$201,0))</f>
        <v>Silver</v>
      </c>
      <c r="X3752" s="2" t="n">
        <f aca="false">INDEX(Summary!$T$2:$T$201,MATCH($B3752,Summary!$A$2:$A$201,0))</f>
        <v>55.68</v>
      </c>
      <c r="Y3752" s="0" t="str">
        <f aca="false">INDEX('Reward Model'!$E$18:$E$37,MATCH($E3752,'Reward Model'!$A$18:$A$37,0))</f>
        <v>Medium</v>
      </c>
      <c r="Z3752" s="4" t="n">
        <f aca="false">ROUND(MIN(1,MAX('Reward Model'!$B$2,INDEX('Reward Model'!$C$12:$C$14,MATCH($K3752,'Reward Model'!$A$12:$A$14,0))/$J3752)),3)</f>
        <v>0.811</v>
      </c>
      <c r="AA3752" s="2" t="n">
        <f aca="false">IF($I3752="Correct",ROUND(INDEX('Reward Model'!$B$12:$B$14,MATCH($K3752,'Reward Model'!$A$12:$A$14,0))*Z3752,2),0)</f>
        <v>1.62</v>
      </c>
      <c r="AB3752" s="2" t="n">
        <f aca="false">IF($I3752="Correct",ROUND(INDEX('Reward Model'!$B$12:$B$14,MATCH($Y3752,'Reward Model'!$A$12:$A$14,0))*Z3752,2),0)</f>
        <v>1.62</v>
      </c>
    </row>
    <row r="3753" customFormat="false" ht="15" hidden="false" customHeight="false" outlineLevel="0" collapsed="false">
      <c r="A3753" s="0" t="s">
        <v>506</v>
      </c>
      <c r="B3753" s="0" t="s">
        <v>507</v>
      </c>
      <c r="C3753" s="0" t="s">
        <v>322</v>
      </c>
      <c r="D3753" s="0" t="s">
        <v>275</v>
      </c>
      <c r="E3753" s="0" t="n">
        <v>12</v>
      </c>
      <c r="F3753" s="0" t="s">
        <v>64</v>
      </c>
      <c r="G3753" s="0" t="s">
        <v>127</v>
      </c>
      <c r="H3753" s="0" t="s">
        <v>65</v>
      </c>
      <c r="I3753" s="0" t="s">
        <v>39</v>
      </c>
      <c r="J3753" s="0" t="n">
        <v>1.51</v>
      </c>
      <c r="K3753" s="0" t="s">
        <v>60</v>
      </c>
      <c r="L3753" s="0" t="n">
        <f aca="false">INDEX(Summary!$F$2:$F$201,MATCH($B3753,Summary!$A$2:$A$201,0))</f>
        <v>20</v>
      </c>
      <c r="M3753" s="0" t="n">
        <f aca="false">INDEX(Summary!$I$2:$I$201,MATCH($B3753,Summary!$A$2:$A$201,0))</f>
        <v>3</v>
      </c>
      <c r="N3753" s="0" t="n">
        <f aca="false">INDEX(Summary!$J$2:$J$201,MATCH($B3753,Summary!$A$2:$A$201,0))</f>
        <v>2</v>
      </c>
      <c r="O3753" s="2" t="n">
        <f aca="false">INDEX(Summary!$K$2:$K$201,MATCH($B3753,Summary!$A$2:$A$201,0))</f>
        <v>10.86</v>
      </c>
      <c r="P3753" s="3" t="n">
        <f aca="false">INDEX(Summary!$L$2:$L$201,MATCH($B3753,Summary!$A$2:$A$201,0))</f>
        <v>2</v>
      </c>
      <c r="Q3753" s="3" t="n">
        <f aca="false">INDEX(Summary!$M$2:$M$201,MATCH($B3753,Summary!$A$2:$A$201,0))</f>
        <v>4</v>
      </c>
      <c r="R3753" s="2" t="n">
        <f aca="false">INDEX(Summary!$N$2:$N$201,MATCH($B3753,Summary!$A$2:$A$201,0))</f>
        <v>11.03</v>
      </c>
      <c r="S3753" s="3" t="n">
        <f aca="false">INDEX(Summary!$O$2:$O$201,MATCH($B3753,Summary!$A$2:$A$201,0))</f>
        <v>8</v>
      </c>
      <c r="T3753" s="3" t="n">
        <f aca="false">INDEX(Summary!$P$2:$P$201,MATCH($B3753,Summary!$A$2:$A$201,0))</f>
        <v>1</v>
      </c>
      <c r="U3753" s="2" t="n">
        <f aca="false">INDEX(Summary!$Q$2:$Q$201,MATCH($B3753,Summary!$A$2:$A$201,0))</f>
        <v>12.32</v>
      </c>
      <c r="V3753" s="2" t="n">
        <f aca="false">INDEX(Summary!$R$2:$R$201,MATCH($B3753,Summary!$A$2:$A$201,0))</f>
        <v>22.83</v>
      </c>
      <c r="W3753" s="0" t="str">
        <f aca="false">INDEX(Summary!$S$2:$S$201,MATCH($B3753,Summary!$A$2:$A$201,0))</f>
        <v>Silver</v>
      </c>
      <c r="X3753" s="2" t="n">
        <f aca="false">INDEX(Summary!$T$2:$T$201,MATCH($B3753,Summary!$A$2:$A$201,0))</f>
        <v>55.68</v>
      </c>
      <c r="Y3753" s="0" t="str">
        <f aca="false">INDEX('Reward Model'!$E$18:$E$37,MATCH($E3753,'Reward Model'!$A$18:$A$37,0))</f>
        <v>Medium</v>
      </c>
      <c r="Z3753" s="4" t="n">
        <f aca="false">ROUND(MIN(1,MAX('Reward Model'!$B$2,INDEX('Reward Model'!$C$12:$C$14,MATCH($K3753,'Reward Model'!$A$12:$A$14,0))/$J3753)),3)</f>
        <v>1</v>
      </c>
      <c r="AA3753" s="2" t="n">
        <f aca="false">IF($I3753="Correct",ROUND(INDEX('Reward Model'!$B$12:$B$14,MATCH($K3753,'Reward Model'!$A$12:$A$14,0))*Z3753,2),0)</f>
        <v>0</v>
      </c>
      <c r="AB3753" s="2" t="n">
        <f aca="false">IF($I3753="Correct",ROUND(INDEX('Reward Model'!$B$12:$B$14,MATCH($Y3753,'Reward Model'!$A$12:$A$14,0))*Z3753,2),0)</f>
        <v>0</v>
      </c>
    </row>
    <row r="3754" customFormat="false" ht="15" hidden="false" customHeight="false" outlineLevel="0" collapsed="false">
      <c r="A3754" s="0" t="s">
        <v>506</v>
      </c>
      <c r="B3754" s="0" t="s">
        <v>507</v>
      </c>
      <c r="C3754" s="0" t="s">
        <v>322</v>
      </c>
      <c r="D3754" s="0" t="s">
        <v>275</v>
      </c>
      <c r="E3754" s="0" t="n">
        <v>13</v>
      </c>
      <c r="F3754" s="0" t="s">
        <v>66</v>
      </c>
      <c r="G3754" s="0" t="s">
        <v>124</v>
      </c>
      <c r="H3754" s="0" t="s">
        <v>67</v>
      </c>
      <c r="I3754" s="0" t="s">
        <v>39</v>
      </c>
      <c r="J3754" s="0" t="n">
        <v>1.58</v>
      </c>
      <c r="K3754" s="0" t="s">
        <v>60</v>
      </c>
      <c r="L3754" s="0" t="n">
        <f aca="false">INDEX(Summary!$F$2:$F$201,MATCH($B3754,Summary!$A$2:$A$201,0))</f>
        <v>20</v>
      </c>
      <c r="M3754" s="0" t="n">
        <f aca="false">INDEX(Summary!$I$2:$I$201,MATCH($B3754,Summary!$A$2:$A$201,0))</f>
        <v>3</v>
      </c>
      <c r="N3754" s="0" t="n">
        <f aca="false">INDEX(Summary!$J$2:$J$201,MATCH($B3754,Summary!$A$2:$A$201,0))</f>
        <v>2</v>
      </c>
      <c r="O3754" s="2" t="n">
        <f aca="false">INDEX(Summary!$K$2:$K$201,MATCH($B3754,Summary!$A$2:$A$201,0))</f>
        <v>10.86</v>
      </c>
      <c r="P3754" s="3" t="n">
        <f aca="false">INDEX(Summary!$L$2:$L$201,MATCH($B3754,Summary!$A$2:$A$201,0))</f>
        <v>2</v>
      </c>
      <c r="Q3754" s="3" t="n">
        <f aca="false">INDEX(Summary!$M$2:$M$201,MATCH($B3754,Summary!$A$2:$A$201,0))</f>
        <v>4</v>
      </c>
      <c r="R3754" s="2" t="n">
        <f aca="false">INDEX(Summary!$N$2:$N$201,MATCH($B3754,Summary!$A$2:$A$201,0))</f>
        <v>11.03</v>
      </c>
      <c r="S3754" s="3" t="n">
        <f aca="false">INDEX(Summary!$O$2:$O$201,MATCH($B3754,Summary!$A$2:$A$201,0))</f>
        <v>8</v>
      </c>
      <c r="T3754" s="3" t="n">
        <f aca="false">INDEX(Summary!$P$2:$P$201,MATCH($B3754,Summary!$A$2:$A$201,0))</f>
        <v>1</v>
      </c>
      <c r="U3754" s="2" t="n">
        <f aca="false">INDEX(Summary!$Q$2:$Q$201,MATCH($B3754,Summary!$A$2:$A$201,0))</f>
        <v>12.32</v>
      </c>
      <c r="V3754" s="2" t="n">
        <f aca="false">INDEX(Summary!$R$2:$R$201,MATCH($B3754,Summary!$A$2:$A$201,0))</f>
        <v>22.83</v>
      </c>
      <c r="W3754" s="0" t="str">
        <f aca="false">INDEX(Summary!$S$2:$S$201,MATCH($B3754,Summary!$A$2:$A$201,0))</f>
        <v>Silver</v>
      </c>
      <c r="X3754" s="2" t="n">
        <f aca="false">INDEX(Summary!$T$2:$T$201,MATCH($B3754,Summary!$A$2:$A$201,0))</f>
        <v>55.68</v>
      </c>
      <c r="Y3754" s="0" t="str">
        <f aca="false">INDEX('Reward Model'!$E$18:$E$37,MATCH($E3754,'Reward Model'!$A$18:$A$37,0))</f>
        <v>Medium</v>
      </c>
      <c r="Z3754" s="4" t="n">
        <f aca="false">ROUND(MIN(1,MAX('Reward Model'!$B$2,INDEX('Reward Model'!$C$12:$C$14,MATCH($K3754,'Reward Model'!$A$12:$A$14,0))/$J3754)),3)</f>
        <v>1</v>
      </c>
      <c r="AA3754" s="2" t="n">
        <f aca="false">IF($I3754="Correct",ROUND(INDEX('Reward Model'!$B$12:$B$14,MATCH($K3754,'Reward Model'!$A$12:$A$14,0))*Z3754,2),0)</f>
        <v>0</v>
      </c>
      <c r="AB3754" s="2" t="n">
        <f aca="false">IF($I3754="Correct",ROUND(INDEX('Reward Model'!$B$12:$B$14,MATCH($Y3754,'Reward Model'!$A$12:$A$14,0))*Z3754,2),0)</f>
        <v>0</v>
      </c>
    </row>
    <row r="3755" customFormat="false" ht="15" hidden="false" customHeight="false" outlineLevel="0" collapsed="false">
      <c r="A3755" s="0" t="s">
        <v>506</v>
      </c>
      <c r="B3755" s="0" t="s">
        <v>507</v>
      </c>
      <c r="C3755" s="0" t="s">
        <v>322</v>
      </c>
      <c r="D3755" s="0" t="s">
        <v>275</v>
      </c>
      <c r="E3755" s="0" t="n">
        <v>14</v>
      </c>
      <c r="F3755" s="0" t="s">
        <v>68</v>
      </c>
      <c r="G3755" s="0" t="s">
        <v>51</v>
      </c>
      <c r="H3755" s="0" t="s">
        <v>51</v>
      </c>
      <c r="I3755" s="0" t="s">
        <v>34</v>
      </c>
      <c r="J3755" s="0" t="n">
        <v>2.28</v>
      </c>
      <c r="K3755" s="0" t="s">
        <v>60</v>
      </c>
      <c r="L3755" s="0" t="n">
        <f aca="false">INDEX(Summary!$F$2:$F$201,MATCH($B3755,Summary!$A$2:$A$201,0))</f>
        <v>20</v>
      </c>
      <c r="M3755" s="0" t="n">
        <f aca="false">INDEX(Summary!$I$2:$I$201,MATCH($B3755,Summary!$A$2:$A$201,0))</f>
        <v>3</v>
      </c>
      <c r="N3755" s="0" t="n">
        <f aca="false">INDEX(Summary!$J$2:$J$201,MATCH($B3755,Summary!$A$2:$A$201,0))</f>
        <v>2</v>
      </c>
      <c r="O3755" s="2" t="n">
        <f aca="false">INDEX(Summary!$K$2:$K$201,MATCH($B3755,Summary!$A$2:$A$201,0))</f>
        <v>10.86</v>
      </c>
      <c r="P3755" s="3" t="n">
        <f aca="false">INDEX(Summary!$L$2:$L$201,MATCH($B3755,Summary!$A$2:$A$201,0))</f>
        <v>2</v>
      </c>
      <c r="Q3755" s="3" t="n">
        <f aca="false">INDEX(Summary!$M$2:$M$201,MATCH($B3755,Summary!$A$2:$A$201,0))</f>
        <v>4</v>
      </c>
      <c r="R3755" s="2" t="n">
        <f aca="false">INDEX(Summary!$N$2:$N$201,MATCH($B3755,Summary!$A$2:$A$201,0))</f>
        <v>11.03</v>
      </c>
      <c r="S3755" s="3" t="n">
        <f aca="false">INDEX(Summary!$O$2:$O$201,MATCH($B3755,Summary!$A$2:$A$201,0))</f>
        <v>8</v>
      </c>
      <c r="T3755" s="3" t="n">
        <f aca="false">INDEX(Summary!$P$2:$P$201,MATCH($B3755,Summary!$A$2:$A$201,0))</f>
        <v>1</v>
      </c>
      <c r="U3755" s="2" t="n">
        <f aca="false">INDEX(Summary!$Q$2:$Q$201,MATCH($B3755,Summary!$A$2:$A$201,0))</f>
        <v>12.32</v>
      </c>
      <c r="V3755" s="2" t="n">
        <f aca="false">INDEX(Summary!$R$2:$R$201,MATCH($B3755,Summary!$A$2:$A$201,0))</f>
        <v>22.83</v>
      </c>
      <c r="W3755" s="0" t="str">
        <f aca="false">INDEX(Summary!$S$2:$S$201,MATCH($B3755,Summary!$A$2:$A$201,0))</f>
        <v>Silver</v>
      </c>
      <c r="X3755" s="2" t="n">
        <f aca="false">INDEX(Summary!$T$2:$T$201,MATCH($B3755,Summary!$A$2:$A$201,0))</f>
        <v>55.68</v>
      </c>
      <c r="Y3755" s="0" t="str">
        <f aca="false">INDEX('Reward Model'!$E$18:$E$37,MATCH($E3755,'Reward Model'!$A$18:$A$37,0))</f>
        <v>Medium</v>
      </c>
      <c r="Z3755" s="4" t="n">
        <f aca="false">ROUND(MIN(1,MAX('Reward Model'!$B$2,INDEX('Reward Model'!$C$12:$C$14,MATCH($K3755,'Reward Model'!$A$12:$A$14,0))/$J3755)),3)</f>
        <v>0.789</v>
      </c>
      <c r="AA3755" s="2" t="n">
        <f aca="false">IF($I3755="Correct",ROUND(INDEX('Reward Model'!$B$12:$B$14,MATCH($K3755,'Reward Model'!$A$12:$A$14,0))*Z3755,2),0)</f>
        <v>1.58</v>
      </c>
      <c r="AB3755" s="2" t="n">
        <f aca="false">IF($I3755="Correct",ROUND(INDEX('Reward Model'!$B$12:$B$14,MATCH($Y3755,'Reward Model'!$A$12:$A$14,0))*Z3755,2),0)</f>
        <v>1.58</v>
      </c>
    </row>
    <row r="3756" customFormat="false" ht="15" hidden="false" customHeight="false" outlineLevel="0" collapsed="false">
      <c r="A3756" s="0" t="s">
        <v>506</v>
      </c>
      <c r="B3756" s="0" t="s">
        <v>507</v>
      </c>
      <c r="C3756" s="0" t="s">
        <v>322</v>
      </c>
      <c r="D3756" s="0" t="s">
        <v>275</v>
      </c>
      <c r="E3756" s="0" t="n">
        <v>15</v>
      </c>
      <c r="F3756" s="0" t="s">
        <v>69</v>
      </c>
      <c r="G3756" s="0" t="s">
        <v>139</v>
      </c>
      <c r="H3756" s="0" t="s">
        <v>70</v>
      </c>
      <c r="I3756" s="0" t="s">
        <v>39</v>
      </c>
      <c r="J3756" s="0" t="n">
        <v>1.49</v>
      </c>
      <c r="K3756" s="0" t="s">
        <v>60</v>
      </c>
      <c r="L3756" s="0" t="n">
        <f aca="false">INDEX(Summary!$F$2:$F$201,MATCH($B3756,Summary!$A$2:$A$201,0))</f>
        <v>20</v>
      </c>
      <c r="M3756" s="0" t="n">
        <f aca="false">INDEX(Summary!$I$2:$I$201,MATCH($B3756,Summary!$A$2:$A$201,0))</f>
        <v>3</v>
      </c>
      <c r="N3756" s="0" t="n">
        <f aca="false">INDEX(Summary!$J$2:$J$201,MATCH($B3756,Summary!$A$2:$A$201,0))</f>
        <v>2</v>
      </c>
      <c r="O3756" s="2" t="n">
        <f aca="false">INDEX(Summary!$K$2:$K$201,MATCH($B3756,Summary!$A$2:$A$201,0))</f>
        <v>10.86</v>
      </c>
      <c r="P3756" s="3" t="n">
        <f aca="false">INDEX(Summary!$L$2:$L$201,MATCH($B3756,Summary!$A$2:$A$201,0))</f>
        <v>2</v>
      </c>
      <c r="Q3756" s="3" t="n">
        <f aca="false">INDEX(Summary!$M$2:$M$201,MATCH($B3756,Summary!$A$2:$A$201,0))</f>
        <v>4</v>
      </c>
      <c r="R3756" s="2" t="n">
        <f aca="false">INDEX(Summary!$N$2:$N$201,MATCH($B3756,Summary!$A$2:$A$201,0))</f>
        <v>11.03</v>
      </c>
      <c r="S3756" s="3" t="n">
        <f aca="false">INDEX(Summary!$O$2:$O$201,MATCH($B3756,Summary!$A$2:$A$201,0))</f>
        <v>8</v>
      </c>
      <c r="T3756" s="3" t="n">
        <f aca="false">INDEX(Summary!$P$2:$P$201,MATCH($B3756,Summary!$A$2:$A$201,0))</f>
        <v>1</v>
      </c>
      <c r="U3756" s="2" t="n">
        <f aca="false">INDEX(Summary!$Q$2:$Q$201,MATCH($B3756,Summary!$A$2:$A$201,0))</f>
        <v>12.32</v>
      </c>
      <c r="V3756" s="2" t="n">
        <f aca="false">INDEX(Summary!$R$2:$R$201,MATCH($B3756,Summary!$A$2:$A$201,0))</f>
        <v>22.83</v>
      </c>
      <c r="W3756" s="0" t="str">
        <f aca="false">INDEX(Summary!$S$2:$S$201,MATCH($B3756,Summary!$A$2:$A$201,0))</f>
        <v>Silver</v>
      </c>
      <c r="X3756" s="2" t="n">
        <f aca="false">INDEX(Summary!$T$2:$T$201,MATCH($B3756,Summary!$A$2:$A$201,0))</f>
        <v>55.68</v>
      </c>
      <c r="Y3756" s="0" t="str">
        <f aca="false">INDEX('Reward Model'!$E$18:$E$37,MATCH($E3756,'Reward Model'!$A$18:$A$37,0))</f>
        <v>Medium</v>
      </c>
      <c r="Z3756" s="4" t="n">
        <f aca="false">ROUND(MIN(1,MAX('Reward Model'!$B$2,INDEX('Reward Model'!$C$12:$C$14,MATCH($K3756,'Reward Model'!$A$12:$A$14,0))/$J3756)),3)</f>
        <v>1</v>
      </c>
      <c r="AA3756" s="2" t="n">
        <f aca="false">IF($I3756="Correct",ROUND(INDEX('Reward Model'!$B$12:$B$14,MATCH($K3756,'Reward Model'!$A$12:$A$14,0))*Z3756,2),0)</f>
        <v>0</v>
      </c>
      <c r="AB3756" s="2" t="n">
        <f aca="false">IF($I3756="Correct",ROUND(INDEX('Reward Model'!$B$12:$B$14,MATCH($Y3756,'Reward Model'!$A$12:$A$14,0))*Z3756,2),0)</f>
        <v>0</v>
      </c>
    </row>
    <row r="3757" customFormat="false" ht="15" hidden="false" customHeight="false" outlineLevel="0" collapsed="false">
      <c r="A3757" s="0" t="s">
        <v>506</v>
      </c>
      <c r="B3757" s="0" t="s">
        <v>507</v>
      </c>
      <c r="C3757" s="0" t="s">
        <v>322</v>
      </c>
      <c r="D3757" s="0" t="s">
        <v>275</v>
      </c>
      <c r="E3757" s="0" t="n">
        <v>16</v>
      </c>
      <c r="F3757" s="0" t="s">
        <v>71</v>
      </c>
      <c r="G3757" s="0" t="s">
        <v>72</v>
      </c>
      <c r="H3757" s="0" t="s">
        <v>72</v>
      </c>
      <c r="I3757" s="0" t="s">
        <v>34</v>
      </c>
      <c r="J3757" s="0" t="n">
        <v>1.92</v>
      </c>
      <c r="K3757" s="0" t="s">
        <v>73</v>
      </c>
      <c r="L3757" s="0" t="n">
        <f aca="false">INDEX(Summary!$F$2:$F$201,MATCH($B3757,Summary!$A$2:$A$201,0))</f>
        <v>20</v>
      </c>
      <c r="M3757" s="0" t="n">
        <f aca="false">INDEX(Summary!$I$2:$I$201,MATCH($B3757,Summary!$A$2:$A$201,0))</f>
        <v>3</v>
      </c>
      <c r="N3757" s="0" t="n">
        <f aca="false">INDEX(Summary!$J$2:$J$201,MATCH($B3757,Summary!$A$2:$A$201,0))</f>
        <v>2</v>
      </c>
      <c r="O3757" s="2" t="n">
        <f aca="false">INDEX(Summary!$K$2:$K$201,MATCH($B3757,Summary!$A$2:$A$201,0))</f>
        <v>10.86</v>
      </c>
      <c r="P3757" s="3" t="n">
        <f aca="false">INDEX(Summary!$L$2:$L$201,MATCH($B3757,Summary!$A$2:$A$201,0))</f>
        <v>2</v>
      </c>
      <c r="Q3757" s="3" t="n">
        <f aca="false">INDEX(Summary!$M$2:$M$201,MATCH($B3757,Summary!$A$2:$A$201,0))</f>
        <v>4</v>
      </c>
      <c r="R3757" s="2" t="n">
        <f aca="false">INDEX(Summary!$N$2:$N$201,MATCH($B3757,Summary!$A$2:$A$201,0))</f>
        <v>11.03</v>
      </c>
      <c r="S3757" s="3" t="n">
        <f aca="false">INDEX(Summary!$O$2:$O$201,MATCH($B3757,Summary!$A$2:$A$201,0))</f>
        <v>8</v>
      </c>
      <c r="T3757" s="3" t="n">
        <f aca="false">INDEX(Summary!$P$2:$P$201,MATCH($B3757,Summary!$A$2:$A$201,0))</f>
        <v>1</v>
      </c>
      <c r="U3757" s="2" t="n">
        <f aca="false">INDEX(Summary!$Q$2:$Q$201,MATCH($B3757,Summary!$A$2:$A$201,0))</f>
        <v>12.32</v>
      </c>
      <c r="V3757" s="2" t="n">
        <f aca="false">INDEX(Summary!$R$2:$R$201,MATCH($B3757,Summary!$A$2:$A$201,0))</f>
        <v>22.83</v>
      </c>
      <c r="W3757" s="0" t="str">
        <f aca="false">INDEX(Summary!$S$2:$S$201,MATCH($B3757,Summary!$A$2:$A$201,0))</f>
        <v>Silver</v>
      </c>
      <c r="X3757" s="2" t="n">
        <f aca="false">INDEX(Summary!$T$2:$T$201,MATCH($B3757,Summary!$A$2:$A$201,0))</f>
        <v>55.68</v>
      </c>
      <c r="Y3757" s="0" t="str">
        <f aca="false">INDEX('Reward Model'!$E$18:$E$37,MATCH($E3757,'Reward Model'!$A$18:$A$37,0))</f>
        <v>High</v>
      </c>
      <c r="Z3757" s="4" t="n">
        <f aca="false">ROUND(MIN(1,MAX('Reward Model'!$B$2,INDEX('Reward Model'!$C$12:$C$14,MATCH($K3757,'Reward Model'!$A$12:$A$14,0))/$J3757)),3)</f>
        <v>1</v>
      </c>
      <c r="AA3757" s="2" t="n">
        <f aca="false">IF($I3757="Correct",ROUND(INDEX('Reward Model'!$B$12:$B$14,MATCH($K3757,'Reward Model'!$A$12:$A$14,0))*Z3757,2),0)</f>
        <v>3</v>
      </c>
      <c r="AB3757" s="2" t="n">
        <f aca="false">IF($I3757="Correct",ROUND(INDEX('Reward Model'!$B$12:$B$14,MATCH($Y3757,'Reward Model'!$A$12:$A$14,0))*Z3757,2),0)</f>
        <v>3</v>
      </c>
    </row>
    <row r="3758" customFormat="false" ht="15" hidden="false" customHeight="false" outlineLevel="0" collapsed="false">
      <c r="A3758" s="0" t="s">
        <v>506</v>
      </c>
      <c r="B3758" s="0" t="s">
        <v>507</v>
      </c>
      <c r="C3758" s="0" t="s">
        <v>322</v>
      </c>
      <c r="D3758" s="0" t="s">
        <v>275</v>
      </c>
      <c r="E3758" s="0" t="n">
        <v>17</v>
      </c>
      <c r="F3758" s="0" t="s">
        <v>74</v>
      </c>
      <c r="G3758" s="0" t="s">
        <v>75</v>
      </c>
      <c r="H3758" s="0" t="s">
        <v>75</v>
      </c>
      <c r="I3758" s="0" t="s">
        <v>34</v>
      </c>
      <c r="J3758" s="0" t="n">
        <v>2.22</v>
      </c>
      <c r="K3758" s="0" t="s">
        <v>73</v>
      </c>
      <c r="L3758" s="0" t="n">
        <f aca="false">INDEX(Summary!$F$2:$F$201,MATCH($B3758,Summary!$A$2:$A$201,0))</f>
        <v>20</v>
      </c>
      <c r="M3758" s="0" t="n">
        <f aca="false">INDEX(Summary!$I$2:$I$201,MATCH($B3758,Summary!$A$2:$A$201,0))</f>
        <v>3</v>
      </c>
      <c r="N3758" s="0" t="n">
        <f aca="false">INDEX(Summary!$J$2:$J$201,MATCH($B3758,Summary!$A$2:$A$201,0))</f>
        <v>2</v>
      </c>
      <c r="O3758" s="2" t="n">
        <f aca="false">INDEX(Summary!$K$2:$K$201,MATCH($B3758,Summary!$A$2:$A$201,0))</f>
        <v>10.86</v>
      </c>
      <c r="P3758" s="3" t="n">
        <f aca="false">INDEX(Summary!$L$2:$L$201,MATCH($B3758,Summary!$A$2:$A$201,0))</f>
        <v>2</v>
      </c>
      <c r="Q3758" s="3" t="n">
        <f aca="false">INDEX(Summary!$M$2:$M$201,MATCH($B3758,Summary!$A$2:$A$201,0))</f>
        <v>4</v>
      </c>
      <c r="R3758" s="2" t="n">
        <f aca="false">INDEX(Summary!$N$2:$N$201,MATCH($B3758,Summary!$A$2:$A$201,0))</f>
        <v>11.03</v>
      </c>
      <c r="S3758" s="3" t="n">
        <f aca="false">INDEX(Summary!$O$2:$O$201,MATCH($B3758,Summary!$A$2:$A$201,0))</f>
        <v>8</v>
      </c>
      <c r="T3758" s="3" t="n">
        <f aca="false">INDEX(Summary!$P$2:$P$201,MATCH($B3758,Summary!$A$2:$A$201,0))</f>
        <v>1</v>
      </c>
      <c r="U3758" s="2" t="n">
        <f aca="false">INDEX(Summary!$Q$2:$Q$201,MATCH($B3758,Summary!$A$2:$A$201,0))</f>
        <v>12.32</v>
      </c>
      <c r="V3758" s="2" t="n">
        <f aca="false">INDEX(Summary!$R$2:$R$201,MATCH($B3758,Summary!$A$2:$A$201,0))</f>
        <v>22.83</v>
      </c>
      <c r="W3758" s="0" t="str">
        <f aca="false">INDEX(Summary!$S$2:$S$201,MATCH($B3758,Summary!$A$2:$A$201,0))</f>
        <v>Silver</v>
      </c>
      <c r="X3758" s="2" t="n">
        <f aca="false">INDEX(Summary!$T$2:$T$201,MATCH($B3758,Summary!$A$2:$A$201,0))</f>
        <v>55.68</v>
      </c>
      <c r="Y3758" s="0" t="str">
        <f aca="false">INDEX('Reward Model'!$E$18:$E$37,MATCH($E3758,'Reward Model'!$A$18:$A$37,0))</f>
        <v>High</v>
      </c>
      <c r="Z3758" s="4" t="n">
        <f aca="false">ROUND(MIN(1,MAX('Reward Model'!$B$2,INDEX('Reward Model'!$C$12:$C$14,MATCH($K3758,'Reward Model'!$A$12:$A$14,0))/$J3758)),3)</f>
        <v>0.901</v>
      </c>
      <c r="AA3758" s="2" t="n">
        <f aca="false">IF($I3758="Correct",ROUND(INDEX('Reward Model'!$B$12:$B$14,MATCH($K3758,'Reward Model'!$A$12:$A$14,0))*Z3758,2),0)</f>
        <v>2.7</v>
      </c>
      <c r="AB3758" s="2" t="n">
        <f aca="false">IF($I3758="Correct",ROUND(INDEX('Reward Model'!$B$12:$B$14,MATCH($Y3758,'Reward Model'!$A$12:$A$14,0))*Z3758,2),0)</f>
        <v>2.7</v>
      </c>
    </row>
    <row r="3759" customFormat="false" ht="15" hidden="false" customHeight="false" outlineLevel="0" collapsed="false">
      <c r="A3759" s="0" t="s">
        <v>506</v>
      </c>
      <c r="B3759" s="0" t="s">
        <v>507</v>
      </c>
      <c r="C3759" s="0" t="s">
        <v>322</v>
      </c>
      <c r="D3759" s="0" t="s">
        <v>275</v>
      </c>
      <c r="E3759" s="0" t="n">
        <v>18</v>
      </c>
      <c r="F3759" s="0" t="s">
        <v>76</v>
      </c>
      <c r="G3759" s="0" t="s">
        <v>128</v>
      </c>
      <c r="H3759" s="0" t="s">
        <v>77</v>
      </c>
      <c r="I3759" s="0" t="s">
        <v>39</v>
      </c>
      <c r="J3759" s="0" t="n">
        <v>2.28</v>
      </c>
      <c r="K3759" s="0" t="s">
        <v>73</v>
      </c>
      <c r="L3759" s="0" t="n">
        <f aca="false">INDEX(Summary!$F$2:$F$201,MATCH($B3759,Summary!$A$2:$A$201,0))</f>
        <v>20</v>
      </c>
      <c r="M3759" s="0" t="n">
        <f aca="false">INDEX(Summary!$I$2:$I$201,MATCH($B3759,Summary!$A$2:$A$201,0))</f>
        <v>3</v>
      </c>
      <c r="N3759" s="0" t="n">
        <f aca="false">INDEX(Summary!$J$2:$J$201,MATCH($B3759,Summary!$A$2:$A$201,0))</f>
        <v>2</v>
      </c>
      <c r="O3759" s="2" t="n">
        <f aca="false">INDEX(Summary!$K$2:$K$201,MATCH($B3759,Summary!$A$2:$A$201,0))</f>
        <v>10.86</v>
      </c>
      <c r="P3759" s="3" t="n">
        <f aca="false">INDEX(Summary!$L$2:$L$201,MATCH($B3759,Summary!$A$2:$A$201,0))</f>
        <v>2</v>
      </c>
      <c r="Q3759" s="3" t="n">
        <f aca="false">INDEX(Summary!$M$2:$M$201,MATCH($B3759,Summary!$A$2:$A$201,0))</f>
        <v>4</v>
      </c>
      <c r="R3759" s="2" t="n">
        <f aca="false">INDEX(Summary!$N$2:$N$201,MATCH($B3759,Summary!$A$2:$A$201,0))</f>
        <v>11.03</v>
      </c>
      <c r="S3759" s="3" t="n">
        <f aca="false">INDEX(Summary!$O$2:$O$201,MATCH($B3759,Summary!$A$2:$A$201,0))</f>
        <v>8</v>
      </c>
      <c r="T3759" s="3" t="n">
        <f aca="false">INDEX(Summary!$P$2:$P$201,MATCH($B3759,Summary!$A$2:$A$201,0))</f>
        <v>1</v>
      </c>
      <c r="U3759" s="2" t="n">
        <f aca="false">INDEX(Summary!$Q$2:$Q$201,MATCH($B3759,Summary!$A$2:$A$201,0))</f>
        <v>12.32</v>
      </c>
      <c r="V3759" s="2" t="n">
        <f aca="false">INDEX(Summary!$R$2:$R$201,MATCH($B3759,Summary!$A$2:$A$201,0))</f>
        <v>22.83</v>
      </c>
      <c r="W3759" s="0" t="str">
        <f aca="false">INDEX(Summary!$S$2:$S$201,MATCH($B3759,Summary!$A$2:$A$201,0))</f>
        <v>Silver</v>
      </c>
      <c r="X3759" s="2" t="n">
        <f aca="false">INDEX(Summary!$T$2:$T$201,MATCH($B3759,Summary!$A$2:$A$201,0))</f>
        <v>55.68</v>
      </c>
      <c r="Y3759" s="0" t="str">
        <f aca="false">INDEX('Reward Model'!$E$18:$E$37,MATCH($E3759,'Reward Model'!$A$18:$A$37,0))</f>
        <v>High</v>
      </c>
      <c r="Z3759" s="4" t="n">
        <f aca="false">ROUND(MIN(1,MAX('Reward Model'!$B$2,INDEX('Reward Model'!$C$12:$C$14,MATCH($K3759,'Reward Model'!$A$12:$A$14,0))/$J3759)),3)</f>
        <v>0.877</v>
      </c>
      <c r="AA3759" s="2" t="n">
        <f aca="false">IF($I3759="Correct",ROUND(INDEX('Reward Model'!$B$12:$B$14,MATCH($K3759,'Reward Model'!$A$12:$A$14,0))*Z3759,2),0)</f>
        <v>0</v>
      </c>
      <c r="AB3759" s="2" t="n">
        <f aca="false">IF($I3759="Correct",ROUND(INDEX('Reward Model'!$B$12:$B$14,MATCH($Y3759,'Reward Model'!$A$12:$A$14,0))*Z3759,2),0)</f>
        <v>0</v>
      </c>
    </row>
    <row r="3760" customFormat="false" ht="15" hidden="false" customHeight="false" outlineLevel="0" collapsed="false">
      <c r="A3760" s="0" t="s">
        <v>506</v>
      </c>
      <c r="B3760" s="0" t="s">
        <v>507</v>
      </c>
      <c r="C3760" s="0" t="s">
        <v>322</v>
      </c>
      <c r="D3760" s="0" t="s">
        <v>275</v>
      </c>
      <c r="E3760" s="0" t="n">
        <v>19</v>
      </c>
      <c r="F3760" s="0" t="s">
        <v>78</v>
      </c>
      <c r="G3760" s="0" t="s">
        <v>51</v>
      </c>
      <c r="H3760" s="0" t="s">
        <v>80</v>
      </c>
      <c r="I3760" s="0" t="s">
        <v>39</v>
      </c>
      <c r="J3760" s="0" t="n">
        <v>2.03</v>
      </c>
      <c r="K3760" s="0" t="s">
        <v>73</v>
      </c>
      <c r="L3760" s="0" t="n">
        <f aca="false">INDEX(Summary!$F$2:$F$201,MATCH($B3760,Summary!$A$2:$A$201,0))</f>
        <v>20</v>
      </c>
      <c r="M3760" s="0" t="n">
        <f aca="false">INDEX(Summary!$I$2:$I$201,MATCH($B3760,Summary!$A$2:$A$201,0))</f>
        <v>3</v>
      </c>
      <c r="N3760" s="0" t="n">
        <f aca="false">INDEX(Summary!$J$2:$J$201,MATCH($B3760,Summary!$A$2:$A$201,0))</f>
        <v>2</v>
      </c>
      <c r="O3760" s="2" t="n">
        <f aca="false">INDEX(Summary!$K$2:$K$201,MATCH($B3760,Summary!$A$2:$A$201,0))</f>
        <v>10.86</v>
      </c>
      <c r="P3760" s="3" t="n">
        <f aca="false">INDEX(Summary!$L$2:$L$201,MATCH($B3760,Summary!$A$2:$A$201,0))</f>
        <v>2</v>
      </c>
      <c r="Q3760" s="3" t="n">
        <f aca="false">INDEX(Summary!$M$2:$M$201,MATCH($B3760,Summary!$A$2:$A$201,0))</f>
        <v>4</v>
      </c>
      <c r="R3760" s="2" t="n">
        <f aca="false">INDEX(Summary!$N$2:$N$201,MATCH($B3760,Summary!$A$2:$A$201,0))</f>
        <v>11.03</v>
      </c>
      <c r="S3760" s="3" t="n">
        <f aca="false">INDEX(Summary!$O$2:$O$201,MATCH($B3760,Summary!$A$2:$A$201,0))</f>
        <v>8</v>
      </c>
      <c r="T3760" s="3" t="n">
        <f aca="false">INDEX(Summary!$P$2:$P$201,MATCH($B3760,Summary!$A$2:$A$201,0))</f>
        <v>1</v>
      </c>
      <c r="U3760" s="2" t="n">
        <f aca="false">INDEX(Summary!$Q$2:$Q$201,MATCH($B3760,Summary!$A$2:$A$201,0))</f>
        <v>12.32</v>
      </c>
      <c r="V3760" s="2" t="n">
        <f aca="false">INDEX(Summary!$R$2:$R$201,MATCH($B3760,Summary!$A$2:$A$201,0))</f>
        <v>22.83</v>
      </c>
      <c r="W3760" s="0" t="str">
        <f aca="false">INDEX(Summary!$S$2:$S$201,MATCH($B3760,Summary!$A$2:$A$201,0))</f>
        <v>Silver</v>
      </c>
      <c r="X3760" s="2" t="n">
        <f aca="false">INDEX(Summary!$T$2:$T$201,MATCH($B3760,Summary!$A$2:$A$201,0))</f>
        <v>55.68</v>
      </c>
      <c r="Y3760" s="0" t="str">
        <f aca="false">INDEX('Reward Model'!$E$18:$E$37,MATCH($E3760,'Reward Model'!$A$18:$A$37,0))</f>
        <v>High</v>
      </c>
      <c r="Z3760" s="4" t="n">
        <f aca="false">ROUND(MIN(1,MAX('Reward Model'!$B$2,INDEX('Reward Model'!$C$12:$C$14,MATCH($K3760,'Reward Model'!$A$12:$A$14,0))/$J3760)),3)</f>
        <v>0.985</v>
      </c>
      <c r="AA3760" s="2" t="n">
        <f aca="false">IF($I3760="Correct",ROUND(INDEX('Reward Model'!$B$12:$B$14,MATCH($K3760,'Reward Model'!$A$12:$A$14,0))*Z3760,2),0)</f>
        <v>0</v>
      </c>
      <c r="AB3760" s="2" t="n">
        <f aca="false">IF($I3760="Correct",ROUND(INDEX('Reward Model'!$B$12:$B$14,MATCH($Y3760,'Reward Model'!$A$12:$A$14,0))*Z3760,2),0)</f>
        <v>0</v>
      </c>
    </row>
    <row r="3761" customFormat="false" ht="15" hidden="false" customHeight="false" outlineLevel="0" collapsed="false">
      <c r="A3761" s="0" t="s">
        <v>506</v>
      </c>
      <c r="B3761" s="0" t="s">
        <v>507</v>
      </c>
      <c r="C3761" s="0" t="s">
        <v>322</v>
      </c>
      <c r="D3761" s="0" t="s">
        <v>275</v>
      </c>
      <c r="E3761" s="0" t="n">
        <v>20</v>
      </c>
      <c r="F3761" s="0" t="s">
        <v>81</v>
      </c>
      <c r="G3761" s="0" t="s">
        <v>83</v>
      </c>
      <c r="H3761" s="0" t="s">
        <v>83</v>
      </c>
      <c r="I3761" s="0" t="s">
        <v>34</v>
      </c>
      <c r="J3761" s="0" t="n">
        <v>2.41</v>
      </c>
      <c r="K3761" s="0" t="s">
        <v>73</v>
      </c>
      <c r="L3761" s="0" t="n">
        <f aca="false">INDEX(Summary!$F$2:$F$201,MATCH($B3761,Summary!$A$2:$A$201,0))</f>
        <v>20</v>
      </c>
      <c r="M3761" s="0" t="n">
        <f aca="false">INDEX(Summary!$I$2:$I$201,MATCH($B3761,Summary!$A$2:$A$201,0))</f>
        <v>3</v>
      </c>
      <c r="N3761" s="0" t="n">
        <f aca="false">INDEX(Summary!$J$2:$J$201,MATCH($B3761,Summary!$A$2:$A$201,0))</f>
        <v>2</v>
      </c>
      <c r="O3761" s="2" t="n">
        <f aca="false">INDEX(Summary!$K$2:$K$201,MATCH($B3761,Summary!$A$2:$A$201,0))</f>
        <v>10.86</v>
      </c>
      <c r="P3761" s="3" t="n">
        <f aca="false">INDEX(Summary!$L$2:$L$201,MATCH($B3761,Summary!$A$2:$A$201,0))</f>
        <v>2</v>
      </c>
      <c r="Q3761" s="3" t="n">
        <f aca="false">INDEX(Summary!$M$2:$M$201,MATCH($B3761,Summary!$A$2:$A$201,0))</f>
        <v>4</v>
      </c>
      <c r="R3761" s="2" t="n">
        <f aca="false">INDEX(Summary!$N$2:$N$201,MATCH($B3761,Summary!$A$2:$A$201,0))</f>
        <v>11.03</v>
      </c>
      <c r="S3761" s="3" t="n">
        <f aca="false">INDEX(Summary!$O$2:$O$201,MATCH($B3761,Summary!$A$2:$A$201,0))</f>
        <v>8</v>
      </c>
      <c r="T3761" s="3" t="n">
        <f aca="false">INDEX(Summary!$P$2:$P$201,MATCH($B3761,Summary!$A$2:$A$201,0))</f>
        <v>1</v>
      </c>
      <c r="U3761" s="2" t="n">
        <f aca="false">INDEX(Summary!$Q$2:$Q$201,MATCH($B3761,Summary!$A$2:$A$201,0))</f>
        <v>12.32</v>
      </c>
      <c r="V3761" s="2" t="n">
        <f aca="false">INDEX(Summary!$R$2:$R$201,MATCH($B3761,Summary!$A$2:$A$201,0))</f>
        <v>22.83</v>
      </c>
      <c r="W3761" s="0" t="str">
        <f aca="false">INDEX(Summary!$S$2:$S$201,MATCH($B3761,Summary!$A$2:$A$201,0))</f>
        <v>Silver</v>
      </c>
      <c r="X3761" s="2" t="n">
        <f aca="false">INDEX(Summary!$T$2:$T$201,MATCH($B3761,Summary!$A$2:$A$201,0))</f>
        <v>55.68</v>
      </c>
      <c r="Y3761" s="0" t="str">
        <f aca="false">INDEX('Reward Model'!$E$18:$E$37,MATCH($E3761,'Reward Model'!$A$18:$A$37,0))</f>
        <v>High</v>
      </c>
      <c r="Z3761" s="4" t="n">
        <f aca="false">ROUND(MIN(1,MAX('Reward Model'!$B$2,INDEX('Reward Model'!$C$12:$C$14,MATCH($K3761,'Reward Model'!$A$12:$A$14,0))/$J3761)),3)</f>
        <v>0.83</v>
      </c>
      <c r="AA3761" s="2" t="n">
        <f aca="false">IF($I3761="Correct",ROUND(INDEX('Reward Model'!$B$12:$B$14,MATCH($K3761,'Reward Model'!$A$12:$A$14,0))*Z3761,2),0)</f>
        <v>2.49</v>
      </c>
      <c r="AB3761" s="2" t="n">
        <f aca="false">IF($I3761="Correct",ROUND(INDEX('Reward Model'!$B$12:$B$14,MATCH($Y3761,'Reward Model'!$A$12:$A$14,0))*Z3761,2),0)</f>
        <v>2.49</v>
      </c>
    </row>
    <row r="3762" customFormat="false" ht="15" hidden="false" customHeight="false" outlineLevel="0" collapsed="false">
      <c r="A3762" s="0" t="s">
        <v>508</v>
      </c>
      <c r="B3762" s="0" t="s">
        <v>509</v>
      </c>
      <c r="C3762" s="0" t="s">
        <v>322</v>
      </c>
      <c r="D3762" s="0" t="s">
        <v>275</v>
      </c>
      <c r="E3762" s="0" t="n">
        <v>1</v>
      </c>
      <c r="F3762" s="0" t="s">
        <v>32</v>
      </c>
      <c r="G3762" s="0" t="s">
        <v>33</v>
      </c>
      <c r="H3762" s="0" t="s">
        <v>33</v>
      </c>
      <c r="I3762" s="0" t="s">
        <v>34</v>
      </c>
      <c r="J3762" s="0" t="n">
        <v>1.1</v>
      </c>
      <c r="K3762" s="0" t="s">
        <v>35</v>
      </c>
      <c r="L3762" s="0" t="n">
        <f aca="false">INDEX(Summary!$F$2:$F$201,MATCH($B3762,Summary!$A$2:$A$201,0))</f>
        <v>20</v>
      </c>
      <c r="M3762" s="0" t="n">
        <f aca="false">INDEX(Summary!$I$2:$I$201,MATCH($B3762,Summary!$A$2:$A$201,0))</f>
        <v>3</v>
      </c>
      <c r="N3762" s="0" t="n">
        <f aca="false">INDEX(Summary!$J$2:$J$201,MATCH($B3762,Summary!$A$2:$A$201,0))</f>
        <v>2</v>
      </c>
      <c r="O3762" s="2" t="n">
        <f aca="false">INDEX(Summary!$K$2:$K$201,MATCH($B3762,Summary!$A$2:$A$201,0))</f>
        <v>9.31</v>
      </c>
      <c r="P3762" s="3" t="n">
        <f aca="false">INDEX(Summary!$L$2:$L$201,MATCH($B3762,Summary!$A$2:$A$201,0))</f>
        <v>5</v>
      </c>
      <c r="Q3762" s="3" t="n">
        <f aca="false">INDEX(Summary!$M$2:$M$201,MATCH($B3762,Summary!$A$2:$A$201,0))</f>
        <v>1</v>
      </c>
      <c r="R3762" s="2" t="n">
        <f aca="false">INDEX(Summary!$N$2:$N$201,MATCH($B3762,Summary!$A$2:$A$201,0))</f>
        <v>11.03</v>
      </c>
      <c r="S3762" s="3" t="n">
        <f aca="false">INDEX(Summary!$O$2:$O$201,MATCH($B3762,Summary!$A$2:$A$201,0))</f>
        <v>8</v>
      </c>
      <c r="T3762" s="3" t="n">
        <f aca="false">INDEX(Summary!$P$2:$P$201,MATCH($B3762,Summary!$A$2:$A$201,0))</f>
        <v>1</v>
      </c>
      <c r="U3762" s="2" t="n">
        <f aca="false">INDEX(Summary!$Q$2:$Q$201,MATCH($B3762,Summary!$A$2:$A$201,0))</f>
        <v>10.7</v>
      </c>
      <c r="V3762" s="2" t="n">
        <f aca="false">INDEX(Summary!$R$2:$R$201,MATCH($B3762,Summary!$A$2:$A$201,0))</f>
        <v>29.85</v>
      </c>
      <c r="W3762" s="0" t="str">
        <f aca="false">INDEX(Summary!$S$2:$S$201,MATCH($B3762,Summary!$A$2:$A$201,0))</f>
        <v>Gold</v>
      </c>
      <c r="X3762" s="2" t="n">
        <f aca="false">INDEX(Summary!$T$2:$T$201,MATCH($B3762,Summary!$A$2:$A$201,0))</f>
        <v>72.8</v>
      </c>
      <c r="Y3762" s="0" t="str">
        <f aca="false">INDEX('Reward Model'!$E$18:$E$37,MATCH($E3762,'Reward Model'!$A$18:$A$37,0))</f>
        <v>Medium</v>
      </c>
      <c r="Z3762" s="4" t="n">
        <f aca="false">ROUND(MIN(1,MAX('Reward Model'!$B$2,INDEX('Reward Model'!$C$12:$C$14,MATCH($K3762,'Reward Model'!$A$12:$A$14,0))/$J3762)),3)</f>
        <v>1</v>
      </c>
      <c r="AA3762" s="2" t="n">
        <f aca="false">IF($I3762="Correct",ROUND(INDEX('Reward Model'!$B$12:$B$14,MATCH($K3762,'Reward Model'!$A$12:$A$14,0))*Z3762,2),0)</f>
        <v>1</v>
      </c>
      <c r="AB3762" s="2" t="n">
        <f aca="false">IF($I3762="Correct",ROUND(INDEX('Reward Model'!$B$12:$B$14,MATCH($Y3762,'Reward Model'!$A$12:$A$14,0))*Z3762,2),0)</f>
        <v>2</v>
      </c>
    </row>
    <row r="3763" customFormat="false" ht="15" hidden="false" customHeight="false" outlineLevel="0" collapsed="false">
      <c r="A3763" s="0" t="s">
        <v>508</v>
      </c>
      <c r="B3763" s="0" t="s">
        <v>509</v>
      </c>
      <c r="C3763" s="0" t="s">
        <v>322</v>
      </c>
      <c r="D3763" s="0" t="s">
        <v>275</v>
      </c>
      <c r="E3763" s="0" t="n">
        <v>2</v>
      </c>
      <c r="F3763" s="0" t="s">
        <v>36</v>
      </c>
      <c r="G3763" s="0" t="s">
        <v>38</v>
      </c>
      <c r="H3763" s="0" t="s">
        <v>38</v>
      </c>
      <c r="I3763" s="0" t="s">
        <v>34</v>
      </c>
      <c r="J3763" s="0" t="n">
        <v>1</v>
      </c>
      <c r="K3763" s="0" t="s">
        <v>35</v>
      </c>
      <c r="L3763" s="0" t="n">
        <f aca="false">INDEX(Summary!$F$2:$F$201,MATCH($B3763,Summary!$A$2:$A$201,0))</f>
        <v>20</v>
      </c>
      <c r="M3763" s="0" t="n">
        <f aca="false">INDEX(Summary!$I$2:$I$201,MATCH($B3763,Summary!$A$2:$A$201,0))</f>
        <v>3</v>
      </c>
      <c r="N3763" s="0" t="n">
        <f aca="false">INDEX(Summary!$J$2:$J$201,MATCH($B3763,Summary!$A$2:$A$201,0))</f>
        <v>2</v>
      </c>
      <c r="O3763" s="2" t="n">
        <f aca="false">INDEX(Summary!$K$2:$K$201,MATCH($B3763,Summary!$A$2:$A$201,0))</f>
        <v>9.31</v>
      </c>
      <c r="P3763" s="3" t="n">
        <f aca="false">INDEX(Summary!$L$2:$L$201,MATCH($B3763,Summary!$A$2:$A$201,0))</f>
        <v>5</v>
      </c>
      <c r="Q3763" s="3" t="n">
        <f aca="false">INDEX(Summary!$M$2:$M$201,MATCH($B3763,Summary!$A$2:$A$201,0))</f>
        <v>1</v>
      </c>
      <c r="R3763" s="2" t="n">
        <f aca="false">INDEX(Summary!$N$2:$N$201,MATCH($B3763,Summary!$A$2:$A$201,0))</f>
        <v>11.03</v>
      </c>
      <c r="S3763" s="3" t="n">
        <f aca="false">INDEX(Summary!$O$2:$O$201,MATCH($B3763,Summary!$A$2:$A$201,0))</f>
        <v>8</v>
      </c>
      <c r="T3763" s="3" t="n">
        <f aca="false">INDEX(Summary!$P$2:$P$201,MATCH($B3763,Summary!$A$2:$A$201,0))</f>
        <v>1</v>
      </c>
      <c r="U3763" s="2" t="n">
        <f aca="false">INDEX(Summary!$Q$2:$Q$201,MATCH($B3763,Summary!$A$2:$A$201,0))</f>
        <v>10.7</v>
      </c>
      <c r="V3763" s="2" t="n">
        <f aca="false">INDEX(Summary!$R$2:$R$201,MATCH($B3763,Summary!$A$2:$A$201,0))</f>
        <v>29.85</v>
      </c>
      <c r="W3763" s="0" t="str">
        <f aca="false">INDEX(Summary!$S$2:$S$201,MATCH($B3763,Summary!$A$2:$A$201,0))</f>
        <v>Gold</v>
      </c>
      <c r="X3763" s="2" t="n">
        <f aca="false">INDEX(Summary!$T$2:$T$201,MATCH($B3763,Summary!$A$2:$A$201,0))</f>
        <v>72.8</v>
      </c>
      <c r="Y3763" s="0" t="str">
        <f aca="false">INDEX('Reward Model'!$E$18:$E$37,MATCH($E3763,'Reward Model'!$A$18:$A$37,0))</f>
        <v>Low</v>
      </c>
      <c r="Z3763" s="4" t="n">
        <f aca="false">ROUND(MIN(1,MAX('Reward Model'!$B$2,INDEX('Reward Model'!$C$12:$C$14,MATCH($K3763,'Reward Model'!$A$12:$A$14,0))/$J3763)),3)</f>
        <v>1</v>
      </c>
      <c r="AA3763" s="2" t="n">
        <f aca="false">IF($I3763="Correct",ROUND(INDEX('Reward Model'!$B$12:$B$14,MATCH($K3763,'Reward Model'!$A$12:$A$14,0))*Z3763,2),0)</f>
        <v>1</v>
      </c>
      <c r="AB3763" s="2" t="n">
        <f aca="false">IF($I3763="Correct",ROUND(INDEX('Reward Model'!$B$12:$B$14,MATCH($Y3763,'Reward Model'!$A$12:$A$14,0))*Z3763,2),0)</f>
        <v>1</v>
      </c>
    </row>
    <row r="3764" customFormat="false" ht="15" hidden="false" customHeight="false" outlineLevel="0" collapsed="false">
      <c r="A3764" s="0" t="s">
        <v>508</v>
      </c>
      <c r="B3764" s="0" t="s">
        <v>509</v>
      </c>
      <c r="C3764" s="0" t="s">
        <v>322</v>
      </c>
      <c r="D3764" s="0" t="s">
        <v>275</v>
      </c>
      <c r="E3764" s="0" t="n">
        <v>3</v>
      </c>
      <c r="F3764" s="0" t="s">
        <v>40</v>
      </c>
      <c r="G3764" s="0" t="s">
        <v>42</v>
      </c>
      <c r="H3764" s="0" t="s">
        <v>42</v>
      </c>
      <c r="I3764" s="0" t="s">
        <v>34</v>
      </c>
      <c r="J3764" s="0" t="n">
        <v>1.23</v>
      </c>
      <c r="K3764" s="0" t="s">
        <v>35</v>
      </c>
      <c r="L3764" s="0" t="n">
        <f aca="false">INDEX(Summary!$F$2:$F$201,MATCH($B3764,Summary!$A$2:$A$201,0))</f>
        <v>20</v>
      </c>
      <c r="M3764" s="0" t="n">
        <f aca="false">INDEX(Summary!$I$2:$I$201,MATCH($B3764,Summary!$A$2:$A$201,0))</f>
        <v>3</v>
      </c>
      <c r="N3764" s="0" t="n">
        <f aca="false">INDEX(Summary!$J$2:$J$201,MATCH($B3764,Summary!$A$2:$A$201,0))</f>
        <v>2</v>
      </c>
      <c r="O3764" s="2" t="n">
        <f aca="false">INDEX(Summary!$K$2:$K$201,MATCH($B3764,Summary!$A$2:$A$201,0))</f>
        <v>9.31</v>
      </c>
      <c r="P3764" s="3" t="n">
        <f aca="false">INDEX(Summary!$L$2:$L$201,MATCH($B3764,Summary!$A$2:$A$201,0))</f>
        <v>5</v>
      </c>
      <c r="Q3764" s="3" t="n">
        <f aca="false">INDEX(Summary!$M$2:$M$201,MATCH($B3764,Summary!$A$2:$A$201,0))</f>
        <v>1</v>
      </c>
      <c r="R3764" s="2" t="n">
        <f aca="false">INDEX(Summary!$N$2:$N$201,MATCH($B3764,Summary!$A$2:$A$201,0))</f>
        <v>11.03</v>
      </c>
      <c r="S3764" s="3" t="n">
        <f aca="false">INDEX(Summary!$O$2:$O$201,MATCH($B3764,Summary!$A$2:$A$201,0))</f>
        <v>8</v>
      </c>
      <c r="T3764" s="3" t="n">
        <f aca="false">INDEX(Summary!$P$2:$P$201,MATCH($B3764,Summary!$A$2:$A$201,0))</f>
        <v>1</v>
      </c>
      <c r="U3764" s="2" t="n">
        <f aca="false">INDEX(Summary!$Q$2:$Q$201,MATCH($B3764,Summary!$A$2:$A$201,0))</f>
        <v>10.7</v>
      </c>
      <c r="V3764" s="2" t="n">
        <f aca="false">INDEX(Summary!$R$2:$R$201,MATCH($B3764,Summary!$A$2:$A$201,0))</f>
        <v>29.85</v>
      </c>
      <c r="W3764" s="0" t="str">
        <f aca="false">INDEX(Summary!$S$2:$S$201,MATCH($B3764,Summary!$A$2:$A$201,0))</f>
        <v>Gold</v>
      </c>
      <c r="X3764" s="2" t="n">
        <f aca="false">INDEX(Summary!$T$2:$T$201,MATCH($B3764,Summary!$A$2:$A$201,0))</f>
        <v>72.8</v>
      </c>
      <c r="Y3764" s="0" t="str">
        <f aca="false">INDEX('Reward Model'!$E$18:$E$37,MATCH($E3764,'Reward Model'!$A$18:$A$37,0))</f>
        <v>Medium</v>
      </c>
      <c r="Z3764" s="4" t="n">
        <f aca="false">ROUND(MIN(1,MAX('Reward Model'!$B$2,INDEX('Reward Model'!$C$12:$C$14,MATCH($K3764,'Reward Model'!$A$12:$A$14,0))/$J3764)),3)</f>
        <v>1</v>
      </c>
      <c r="AA3764" s="2" t="n">
        <f aca="false">IF($I3764="Correct",ROUND(INDEX('Reward Model'!$B$12:$B$14,MATCH($K3764,'Reward Model'!$A$12:$A$14,0))*Z3764,2),0)</f>
        <v>1</v>
      </c>
      <c r="AB3764" s="2" t="n">
        <f aca="false">IF($I3764="Correct",ROUND(INDEX('Reward Model'!$B$12:$B$14,MATCH($Y3764,'Reward Model'!$A$12:$A$14,0))*Z3764,2),0)</f>
        <v>2</v>
      </c>
    </row>
    <row r="3765" customFormat="false" ht="15" hidden="false" customHeight="false" outlineLevel="0" collapsed="false">
      <c r="A3765" s="0" t="s">
        <v>508</v>
      </c>
      <c r="B3765" s="0" t="s">
        <v>509</v>
      </c>
      <c r="C3765" s="0" t="s">
        <v>322</v>
      </c>
      <c r="D3765" s="0" t="s">
        <v>275</v>
      </c>
      <c r="E3765" s="0" t="n">
        <v>4</v>
      </c>
      <c r="F3765" s="0" t="s">
        <v>43</v>
      </c>
      <c r="G3765" s="0" t="s">
        <v>45</v>
      </c>
      <c r="H3765" s="0" t="s">
        <v>45</v>
      </c>
      <c r="I3765" s="0" t="s">
        <v>34</v>
      </c>
      <c r="J3765" s="0" t="n">
        <v>1.26</v>
      </c>
      <c r="K3765" s="0" t="s">
        <v>35</v>
      </c>
      <c r="L3765" s="0" t="n">
        <f aca="false">INDEX(Summary!$F$2:$F$201,MATCH($B3765,Summary!$A$2:$A$201,0))</f>
        <v>20</v>
      </c>
      <c r="M3765" s="0" t="n">
        <f aca="false">INDEX(Summary!$I$2:$I$201,MATCH($B3765,Summary!$A$2:$A$201,0))</f>
        <v>3</v>
      </c>
      <c r="N3765" s="0" t="n">
        <f aca="false">INDEX(Summary!$J$2:$J$201,MATCH($B3765,Summary!$A$2:$A$201,0))</f>
        <v>2</v>
      </c>
      <c r="O3765" s="2" t="n">
        <f aca="false">INDEX(Summary!$K$2:$K$201,MATCH($B3765,Summary!$A$2:$A$201,0))</f>
        <v>9.31</v>
      </c>
      <c r="P3765" s="3" t="n">
        <f aca="false">INDEX(Summary!$L$2:$L$201,MATCH($B3765,Summary!$A$2:$A$201,0))</f>
        <v>5</v>
      </c>
      <c r="Q3765" s="3" t="n">
        <f aca="false">INDEX(Summary!$M$2:$M$201,MATCH($B3765,Summary!$A$2:$A$201,0))</f>
        <v>1</v>
      </c>
      <c r="R3765" s="2" t="n">
        <f aca="false">INDEX(Summary!$N$2:$N$201,MATCH($B3765,Summary!$A$2:$A$201,0))</f>
        <v>11.03</v>
      </c>
      <c r="S3765" s="3" t="n">
        <f aca="false">INDEX(Summary!$O$2:$O$201,MATCH($B3765,Summary!$A$2:$A$201,0))</f>
        <v>8</v>
      </c>
      <c r="T3765" s="3" t="n">
        <f aca="false">INDEX(Summary!$P$2:$P$201,MATCH($B3765,Summary!$A$2:$A$201,0))</f>
        <v>1</v>
      </c>
      <c r="U3765" s="2" t="n">
        <f aca="false">INDEX(Summary!$Q$2:$Q$201,MATCH($B3765,Summary!$A$2:$A$201,0))</f>
        <v>10.7</v>
      </c>
      <c r="V3765" s="2" t="n">
        <f aca="false">INDEX(Summary!$R$2:$R$201,MATCH($B3765,Summary!$A$2:$A$201,0))</f>
        <v>29.85</v>
      </c>
      <c r="W3765" s="0" t="str">
        <f aca="false">INDEX(Summary!$S$2:$S$201,MATCH($B3765,Summary!$A$2:$A$201,0))</f>
        <v>Gold</v>
      </c>
      <c r="X3765" s="2" t="n">
        <f aca="false">INDEX(Summary!$T$2:$T$201,MATCH($B3765,Summary!$A$2:$A$201,0))</f>
        <v>72.8</v>
      </c>
      <c r="Y3765" s="0" t="str">
        <f aca="false">INDEX('Reward Model'!$E$18:$E$37,MATCH($E3765,'Reward Model'!$A$18:$A$37,0))</f>
        <v>Low</v>
      </c>
      <c r="Z3765" s="4" t="n">
        <f aca="false">ROUND(MIN(1,MAX('Reward Model'!$B$2,INDEX('Reward Model'!$C$12:$C$14,MATCH($K3765,'Reward Model'!$A$12:$A$14,0))/$J3765)),3)</f>
        <v>1</v>
      </c>
      <c r="AA3765" s="2" t="n">
        <f aca="false">IF($I3765="Correct",ROUND(INDEX('Reward Model'!$B$12:$B$14,MATCH($K3765,'Reward Model'!$A$12:$A$14,0))*Z3765,2),0)</f>
        <v>1</v>
      </c>
      <c r="AB3765" s="2" t="n">
        <f aca="false">IF($I3765="Correct",ROUND(INDEX('Reward Model'!$B$12:$B$14,MATCH($Y3765,'Reward Model'!$A$12:$A$14,0))*Z3765,2),0)</f>
        <v>1</v>
      </c>
    </row>
    <row r="3766" customFormat="false" ht="15" hidden="false" customHeight="false" outlineLevel="0" collapsed="false">
      <c r="A3766" s="0" t="s">
        <v>508</v>
      </c>
      <c r="B3766" s="0" t="s">
        <v>509</v>
      </c>
      <c r="C3766" s="0" t="s">
        <v>322</v>
      </c>
      <c r="D3766" s="0" t="s">
        <v>275</v>
      </c>
      <c r="E3766" s="0" t="n">
        <v>5</v>
      </c>
      <c r="F3766" s="0" t="s">
        <v>46</v>
      </c>
      <c r="G3766" s="0" t="s">
        <v>47</v>
      </c>
      <c r="H3766" s="0" t="s">
        <v>47</v>
      </c>
      <c r="I3766" s="0" t="s">
        <v>34</v>
      </c>
      <c r="J3766" s="0" t="n">
        <v>1.2</v>
      </c>
      <c r="K3766" s="0" t="s">
        <v>35</v>
      </c>
      <c r="L3766" s="0" t="n">
        <f aca="false">INDEX(Summary!$F$2:$F$201,MATCH($B3766,Summary!$A$2:$A$201,0))</f>
        <v>20</v>
      </c>
      <c r="M3766" s="0" t="n">
        <f aca="false">INDEX(Summary!$I$2:$I$201,MATCH($B3766,Summary!$A$2:$A$201,0))</f>
        <v>3</v>
      </c>
      <c r="N3766" s="0" t="n">
        <f aca="false">INDEX(Summary!$J$2:$J$201,MATCH($B3766,Summary!$A$2:$A$201,0))</f>
        <v>2</v>
      </c>
      <c r="O3766" s="2" t="n">
        <f aca="false">INDEX(Summary!$K$2:$K$201,MATCH($B3766,Summary!$A$2:$A$201,0))</f>
        <v>9.31</v>
      </c>
      <c r="P3766" s="3" t="n">
        <f aca="false">INDEX(Summary!$L$2:$L$201,MATCH($B3766,Summary!$A$2:$A$201,0))</f>
        <v>5</v>
      </c>
      <c r="Q3766" s="3" t="n">
        <f aca="false">INDEX(Summary!$M$2:$M$201,MATCH($B3766,Summary!$A$2:$A$201,0))</f>
        <v>1</v>
      </c>
      <c r="R3766" s="2" t="n">
        <f aca="false">INDEX(Summary!$N$2:$N$201,MATCH($B3766,Summary!$A$2:$A$201,0))</f>
        <v>11.03</v>
      </c>
      <c r="S3766" s="3" t="n">
        <f aca="false">INDEX(Summary!$O$2:$O$201,MATCH($B3766,Summary!$A$2:$A$201,0))</f>
        <v>8</v>
      </c>
      <c r="T3766" s="3" t="n">
        <f aca="false">INDEX(Summary!$P$2:$P$201,MATCH($B3766,Summary!$A$2:$A$201,0))</f>
        <v>1</v>
      </c>
      <c r="U3766" s="2" t="n">
        <f aca="false">INDEX(Summary!$Q$2:$Q$201,MATCH($B3766,Summary!$A$2:$A$201,0))</f>
        <v>10.7</v>
      </c>
      <c r="V3766" s="2" t="n">
        <f aca="false">INDEX(Summary!$R$2:$R$201,MATCH($B3766,Summary!$A$2:$A$201,0))</f>
        <v>29.85</v>
      </c>
      <c r="W3766" s="0" t="str">
        <f aca="false">INDEX(Summary!$S$2:$S$201,MATCH($B3766,Summary!$A$2:$A$201,0))</f>
        <v>Gold</v>
      </c>
      <c r="X3766" s="2" t="n">
        <f aca="false">INDEX(Summary!$T$2:$T$201,MATCH($B3766,Summary!$A$2:$A$201,0))</f>
        <v>72.8</v>
      </c>
      <c r="Y3766" s="0" t="str">
        <f aca="false">INDEX('Reward Model'!$E$18:$E$37,MATCH($E3766,'Reward Model'!$A$18:$A$37,0))</f>
        <v>Low</v>
      </c>
      <c r="Z3766" s="4" t="n">
        <f aca="false">ROUND(MIN(1,MAX('Reward Model'!$B$2,INDEX('Reward Model'!$C$12:$C$14,MATCH($K3766,'Reward Model'!$A$12:$A$14,0))/$J3766)),3)</f>
        <v>1</v>
      </c>
      <c r="AA3766" s="2" t="n">
        <f aca="false">IF($I3766="Correct",ROUND(INDEX('Reward Model'!$B$12:$B$14,MATCH($K3766,'Reward Model'!$A$12:$A$14,0))*Z3766,2),0)</f>
        <v>1</v>
      </c>
      <c r="AB3766" s="2" t="n">
        <f aca="false">IF($I3766="Correct",ROUND(INDEX('Reward Model'!$B$12:$B$14,MATCH($Y3766,'Reward Model'!$A$12:$A$14,0))*Z3766,2),0)</f>
        <v>1</v>
      </c>
    </row>
    <row r="3767" customFormat="false" ht="15" hidden="false" customHeight="false" outlineLevel="0" collapsed="false">
      <c r="A3767" s="0" t="s">
        <v>508</v>
      </c>
      <c r="B3767" s="0" t="s">
        <v>509</v>
      </c>
      <c r="C3767" s="0" t="s">
        <v>322</v>
      </c>
      <c r="D3767" s="0" t="s">
        <v>275</v>
      </c>
      <c r="E3767" s="0" t="n">
        <v>6</v>
      </c>
      <c r="F3767" s="0" t="s">
        <v>48</v>
      </c>
      <c r="G3767" s="0" t="s">
        <v>49</v>
      </c>
      <c r="H3767" s="0" t="s">
        <v>49</v>
      </c>
      <c r="I3767" s="0" t="s">
        <v>34</v>
      </c>
      <c r="J3767" s="0" t="n">
        <v>1.08</v>
      </c>
      <c r="K3767" s="0" t="s">
        <v>35</v>
      </c>
      <c r="L3767" s="0" t="n">
        <f aca="false">INDEX(Summary!$F$2:$F$201,MATCH($B3767,Summary!$A$2:$A$201,0))</f>
        <v>20</v>
      </c>
      <c r="M3767" s="0" t="n">
        <f aca="false">INDEX(Summary!$I$2:$I$201,MATCH($B3767,Summary!$A$2:$A$201,0))</f>
        <v>3</v>
      </c>
      <c r="N3767" s="0" t="n">
        <f aca="false">INDEX(Summary!$J$2:$J$201,MATCH($B3767,Summary!$A$2:$A$201,0))</f>
        <v>2</v>
      </c>
      <c r="O3767" s="2" t="n">
        <f aca="false">INDEX(Summary!$K$2:$K$201,MATCH($B3767,Summary!$A$2:$A$201,0))</f>
        <v>9.31</v>
      </c>
      <c r="P3767" s="3" t="n">
        <f aca="false">INDEX(Summary!$L$2:$L$201,MATCH($B3767,Summary!$A$2:$A$201,0))</f>
        <v>5</v>
      </c>
      <c r="Q3767" s="3" t="n">
        <f aca="false">INDEX(Summary!$M$2:$M$201,MATCH($B3767,Summary!$A$2:$A$201,0))</f>
        <v>1</v>
      </c>
      <c r="R3767" s="2" t="n">
        <f aca="false">INDEX(Summary!$N$2:$N$201,MATCH($B3767,Summary!$A$2:$A$201,0))</f>
        <v>11.03</v>
      </c>
      <c r="S3767" s="3" t="n">
        <f aca="false">INDEX(Summary!$O$2:$O$201,MATCH($B3767,Summary!$A$2:$A$201,0))</f>
        <v>8</v>
      </c>
      <c r="T3767" s="3" t="n">
        <f aca="false">INDEX(Summary!$P$2:$P$201,MATCH($B3767,Summary!$A$2:$A$201,0))</f>
        <v>1</v>
      </c>
      <c r="U3767" s="2" t="n">
        <f aca="false">INDEX(Summary!$Q$2:$Q$201,MATCH($B3767,Summary!$A$2:$A$201,0))</f>
        <v>10.7</v>
      </c>
      <c r="V3767" s="2" t="n">
        <f aca="false">INDEX(Summary!$R$2:$R$201,MATCH($B3767,Summary!$A$2:$A$201,0))</f>
        <v>29.85</v>
      </c>
      <c r="W3767" s="0" t="str">
        <f aca="false">INDEX(Summary!$S$2:$S$201,MATCH($B3767,Summary!$A$2:$A$201,0))</f>
        <v>Gold</v>
      </c>
      <c r="X3767" s="2" t="n">
        <f aca="false">INDEX(Summary!$T$2:$T$201,MATCH($B3767,Summary!$A$2:$A$201,0))</f>
        <v>72.8</v>
      </c>
      <c r="Y3767" s="0" t="str">
        <f aca="false">INDEX('Reward Model'!$E$18:$E$37,MATCH($E3767,'Reward Model'!$A$18:$A$37,0))</f>
        <v>Medium</v>
      </c>
      <c r="Z3767" s="4" t="n">
        <f aca="false">ROUND(MIN(1,MAX('Reward Model'!$B$2,INDEX('Reward Model'!$C$12:$C$14,MATCH($K3767,'Reward Model'!$A$12:$A$14,0))/$J3767)),3)</f>
        <v>1</v>
      </c>
      <c r="AA3767" s="2" t="n">
        <f aca="false">IF($I3767="Correct",ROUND(INDEX('Reward Model'!$B$12:$B$14,MATCH($K3767,'Reward Model'!$A$12:$A$14,0))*Z3767,2),0)</f>
        <v>1</v>
      </c>
      <c r="AB3767" s="2" t="n">
        <f aca="false">IF($I3767="Correct",ROUND(INDEX('Reward Model'!$B$12:$B$14,MATCH($Y3767,'Reward Model'!$A$12:$A$14,0))*Z3767,2),0)</f>
        <v>2</v>
      </c>
    </row>
    <row r="3768" customFormat="false" ht="15" hidden="false" customHeight="false" outlineLevel="0" collapsed="false">
      <c r="A3768" s="0" t="s">
        <v>508</v>
      </c>
      <c r="B3768" s="0" t="s">
        <v>509</v>
      </c>
      <c r="C3768" s="0" t="s">
        <v>322</v>
      </c>
      <c r="D3768" s="0" t="s">
        <v>275</v>
      </c>
      <c r="E3768" s="0" t="n">
        <v>7</v>
      </c>
      <c r="F3768" s="0" t="s">
        <v>50</v>
      </c>
      <c r="G3768" s="0" t="s">
        <v>51</v>
      </c>
      <c r="H3768" s="0" t="s">
        <v>51</v>
      </c>
      <c r="I3768" s="0" t="s">
        <v>34</v>
      </c>
      <c r="J3768" s="0" t="n">
        <v>1.1</v>
      </c>
      <c r="K3768" s="0" t="s">
        <v>35</v>
      </c>
      <c r="L3768" s="0" t="n">
        <f aca="false">INDEX(Summary!$F$2:$F$201,MATCH($B3768,Summary!$A$2:$A$201,0))</f>
        <v>20</v>
      </c>
      <c r="M3768" s="0" t="n">
        <f aca="false">INDEX(Summary!$I$2:$I$201,MATCH($B3768,Summary!$A$2:$A$201,0))</f>
        <v>3</v>
      </c>
      <c r="N3768" s="0" t="n">
        <f aca="false">INDEX(Summary!$J$2:$J$201,MATCH($B3768,Summary!$A$2:$A$201,0))</f>
        <v>2</v>
      </c>
      <c r="O3768" s="2" t="n">
        <f aca="false">INDEX(Summary!$K$2:$K$201,MATCH($B3768,Summary!$A$2:$A$201,0))</f>
        <v>9.31</v>
      </c>
      <c r="P3768" s="3" t="n">
        <f aca="false">INDEX(Summary!$L$2:$L$201,MATCH($B3768,Summary!$A$2:$A$201,0))</f>
        <v>5</v>
      </c>
      <c r="Q3768" s="3" t="n">
        <f aca="false">INDEX(Summary!$M$2:$M$201,MATCH($B3768,Summary!$A$2:$A$201,0))</f>
        <v>1</v>
      </c>
      <c r="R3768" s="2" t="n">
        <f aca="false">INDEX(Summary!$N$2:$N$201,MATCH($B3768,Summary!$A$2:$A$201,0))</f>
        <v>11.03</v>
      </c>
      <c r="S3768" s="3" t="n">
        <f aca="false">INDEX(Summary!$O$2:$O$201,MATCH($B3768,Summary!$A$2:$A$201,0))</f>
        <v>8</v>
      </c>
      <c r="T3768" s="3" t="n">
        <f aca="false">INDEX(Summary!$P$2:$P$201,MATCH($B3768,Summary!$A$2:$A$201,0))</f>
        <v>1</v>
      </c>
      <c r="U3768" s="2" t="n">
        <f aca="false">INDEX(Summary!$Q$2:$Q$201,MATCH($B3768,Summary!$A$2:$A$201,0))</f>
        <v>10.7</v>
      </c>
      <c r="V3768" s="2" t="n">
        <f aca="false">INDEX(Summary!$R$2:$R$201,MATCH($B3768,Summary!$A$2:$A$201,0))</f>
        <v>29.85</v>
      </c>
      <c r="W3768" s="0" t="str">
        <f aca="false">INDEX(Summary!$S$2:$S$201,MATCH($B3768,Summary!$A$2:$A$201,0))</f>
        <v>Gold</v>
      </c>
      <c r="X3768" s="2" t="n">
        <f aca="false">INDEX(Summary!$T$2:$T$201,MATCH($B3768,Summary!$A$2:$A$201,0))</f>
        <v>72.8</v>
      </c>
      <c r="Y3768" s="0" t="str">
        <f aca="false">INDEX('Reward Model'!$E$18:$E$37,MATCH($E3768,'Reward Model'!$A$18:$A$37,0))</f>
        <v>Low</v>
      </c>
      <c r="Z3768" s="4" t="n">
        <f aca="false">ROUND(MIN(1,MAX('Reward Model'!$B$2,INDEX('Reward Model'!$C$12:$C$14,MATCH($K3768,'Reward Model'!$A$12:$A$14,0))/$J3768)),3)</f>
        <v>1</v>
      </c>
      <c r="AA3768" s="2" t="n">
        <f aca="false">IF($I3768="Correct",ROUND(INDEX('Reward Model'!$B$12:$B$14,MATCH($K3768,'Reward Model'!$A$12:$A$14,0))*Z3768,2),0)</f>
        <v>1</v>
      </c>
      <c r="AB3768" s="2" t="n">
        <f aca="false">IF($I3768="Correct",ROUND(INDEX('Reward Model'!$B$12:$B$14,MATCH($Y3768,'Reward Model'!$A$12:$A$14,0))*Z3768,2),0)</f>
        <v>1</v>
      </c>
    </row>
    <row r="3769" customFormat="false" ht="15" hidden="false" customHeight="false" outlineLevel="0" collapsed="false">
      <c r="A3769" s="0" t="s">
        <v>508</v>
      </c>
      <c r="B3769" s="0" t="s">
        <v>509</v>
      </c>
      <c r="C3769" s="0" t="s">
        <v>322</v>
      </c>
      <c r="D3769" s="0" t="s">
        <v>275</v>
      </c>
      <c r="E3769" s="0" t="n">
        <v>8</v>
      </c>
      <c r="F3769" s="0" t="s">
        <v>52</v>
      </c>
      <c r="G3769" s="0" t="s">
        <v>54</v>
      </c>
      <c r="H3769" s="0" t="s">
        <v>54</v>
      </c>
      <c r="I3769" s="0" t="s">
        <v>34</v>
      </c>
      <c r="J3769" s="0" t="n">
        <v>1.34</v>
      </c>
      <c r="K3769" s="0" t="s">
        <v>35</v>
      </c>
      <c r="L3769" s="0" t="n">
        <f aca="false">INDEX(Summary!$F$2:$F$201,MATCH($B3769,Summary!$A$2:$A$201,0))</f>
        <v>20</v>
      </c>
      <c r="M3769" s="0" t="n">
        <f aca="false">INDEX(Summary!$I$2:$I$201,MATCH($B3769,Summary!$A$2:$A$201,0))</f>
        <v>3</v>
      </c>
      <c r="N3769" s="0" t="n">
        <f aca="false">INDEX(Summary!$J$2:$J$201,MATCH($B3769,Summary!$A$2:$A$201,0))</f>
        <v>2</v>
      </c>
      <c r="O3769" s="2" t="n">
        <f aca="false">INDEX(Summary!$K$2:$K$201,MATCH($B3769,Summary!$A$2:$A$201,0))</f>
        <v>9.31</v>
      </c>
      <c r="P3769" s="3" t="n">
        <f aca="false">INDEX(Summary!$L$2:$L$201,MATCH($B3769,Summary!$A$2:$A$201,0))</f>
        <v>5</v>
      </c>
      <c r="Q3769" s="3" t="n">
        <f aca="false">INDEX(Summary!$M$2:$M$201,MATCH($B3769,Summary!$A$2:$A$201,0))</f>
        <v>1</v>
      </c>
      <c r="R3769" s="2" t="n">
        <f aca="false">INDEX(Summary!$N$2:$N$201,MATCH($B3769,Summary!$A$2:$A$201,0))</f>
        <v>11.03</v>
      </c>
      <c r="S3769" s="3" t="n">
        <f aca="false">INDEX(Summary!$O$2:$O$201,MATCH($B3769,Summary!$A$2:$A$201,0))</f>
        <v>8</v>
      </c>
      <c r="T3769" s="3" t="n">
        <f aca="false">INDEX(Summary!$P$2:$P$201,MATCH($B3769,Summary!$A$2:$A$201,0))</f>
        <v>1</v>
      </c>
      <c r="U3769" s="2" t="n">
        <f aca="false">INDEX(Summary!$Q$2:$Q$201,MATCH($B3769,Summary!$A$2:$A$201,0))</f>
        <v>10.7</v>
      </c>
      <c r="V3769" s="2" t="n">
        <f aca="false">INDEX(Summary!$R$2:$R$201,MATCH($B3769,Summary!$A$2:$A$201,0))</f>
        <v>29.85</v>
      </c>
      <c r="W3769" s="0" t="str">
        <f aca="false">INDEX(Summary!$S$2:$S$201,MATCH($B3769,Summary!$A$2:$A$201,0))</f>
        <v>Gold</v>
      </c>
      <c r="X3769" s="2" t="n">
        <f aca="false">INDEX(Summary!$T$2:$T$201,MATCH($B3769,Summary!$A$2:$A$201,0))</f>
        <v>72.8</v>
      </c>
      <c r="Y3769" s="0" t="str">
        <f aca="false">INDEX('Reward Model'!$E$18:$E$37,MATCH($E3769,'Reward Model'!$A$18:$A$37,0))</f>
        <v>Medium</v>
      </c>
      <c r="Z3769" s="4" t="n">
        <f aca="false">ROUND(MIN(1,MAX('Reward Model'!$B$2,INDEX('Reward Model'!$C$12:$C$14,MATCH($K3769,'Reward Model'!$A$12:$A$14,0))/$J3769)),3)</f>
        <v>1</v>
      </c>
      <c r="AA3769" s="2" t="n">
        <f aca="false">IF($I3769="Correct",ROUND(INDEX('Reward Model'!$B$12:$B$14,MATCH($K3769,'Reward Model'!$A$12:$A$14,0))*Z3769,2),0)</f>
        <v>1</v>
      </c>
      <c r="AB3769" s="2" t="n">
        <f aca="false">IF($I3769="Correct",ROUND(INDEX('Reward Model'!$B$12:$B$14,MATCH($Y3769,'Reward Model'!$A$12:$A$14,0))*Z3769,2),0)</f>
        <v>2</v>
      </c>
    </row>
    <row r="3770" customFormat="false" ht="15" hidden="false" customHeight="false" outlineLevel="0" collapsed="false">
      <c r="A3770" s="0" t="s">
        <v>508</v>
      </c>
      <c r="B3770" s="0" t="s">
        <v>509</v>
      </c>
      <c r="C3770" s="0" t="s">
        <v>322</v>
      </c>
      <c r="D3770" s="0" t="s">
        <v>275</v>
      </c>
      <c r="E3770" s="0" t="n">
        <v>9</v>
      </c>
      <c r="F3770" s="0" t="s">
        <v>55</v>
      </c>
      <c r="G3770" s="0" t="s">
        <v>56</v>
      </c>
      <c r="H3770" s="0" t="s">
        <v>57</v>
      </c>
      <c r="I3770" s="0" t="s">
        <v>39</v>
      </c>
      <c r="J3770" s="0" t="n">
        <v>1.39</v>
      </c>
      <c r="K3770" s="0" t="s">
        <v>35</v>
      </c>
      <c r="L3770" s="0" t="n">
        <f aca="false">INDEX(Summary!$F$2:$F$201,MATCH($B3770,Summary!$A$2:$A$201,0))</f>
        <v>20</v>
      </c>
      <c r="M3770" s="0" t="n">
        <f aca="false">INDEX(Summary!$I$2:$I$201,MATCH($B3770,Summary!$A$2:$A$201,0))</f>
        <v>3</v>
      </c>
      <c r="N3770" s="0" t="n">
        <f aca="false">INDEX(Summary!$J$2:$J$201,MATCH($B3770,Summary!$A$2:$A$201,0))</f>
        <v>2</v>
      </c>
      <c r="O3770" s="2" t="n">
        <f aca="false">INDEX(Summary!$K$2:$K$201,MATCH($B3770,Summary!$A$2:$A$201,0))</f>
        <v>9.31</v>
      </c>
      <c r="P3770" s="3" t="n">
        <f aca="false">INDEX(Summary!$L$2:$L$201,MATCH($B3770,Summary!$A$2:$A$201,0))</f>
        <v>5</v>
      </c>
      <c r="Q3770" s="3" t="n">
        <f aca="false">INDEX(Summary!$M$2:$M$201,MATCH($B3770,Summary!$A$2:$A$201,0))</f>
        <v>1</v>
      </c>
      <c r="R3770" s="2" t="n">
        <f aca="false">INDEX(Summary!$N$2:$N$201,MATCH($B3770,Summary!$A$2:$A$201,0))</f>
        <v>11.03</v>
      </c>
      <c r="S3770" s="3" t="n">
        <f aca="false">INDEX(Summary!$O$2:$O$201,MATCH($B3770,Summary!$A$2:$A$201,0))</f>
        <v>8</v>
      </c>
      <c r="T3770" s="3" t="n">
        <f aca="false">INDEX(Summary!$P$2:$P$201,MATCH($B3770,Summary!$A$2:$A$201,0))</f>
        <v>1</v>
      </c>
      <c r="U3770" s="2" t="n">
        <f aca="false">INDEX(Summary!$Q$2:$Q$201,MATCH($B3770,Summary!$A$2:$A$201,0))</f>
        <v>10.7</v>
      </c>
      <c r="V3770" s="2" t="n">
        <f aca="false">INDEX(Summary!$R$2:$R$201,MATCH($B3770,Summary!$A$2:$A$201,0))</f>
        <v>29.85</v>
      </c>
      <c r="W3770" s="0" t="str">
        <f aca="false">INDEX(Summary!$S$2:$S$201,MATCH($B3770,Summary!$A$2:$A$201,0))</f>
        <v>Gold</v>
      </c>
      <c r="X3770" s="2" t="n">
        <f aca="false">INDEX(Summary!$T$2:$T$201,MATCH($B3770,Summary!$A$2:$A$201,0))</f>
        <v>72.8</v>
      </c>
      <c r="Y3770" s="0" t="str">
        <f aca="false">INDEX('Reward Model'!$E$18:$E$37,MATCH($E3770,'Reward Model'!$A$18:$A$37,0))</f>
        <v>Medium</v>
      </c>
      <c r="Z3770" s="4" t="n">
        <f aca="false">ROUND(MIN(1,MAX('Reward Model'!$B$2,INDEX('Reward Model'!$C$12:$C$14,MATCH($K3770,'Reward Model'!$A$12:$A$14,0))/$J3770)),3)</f>
        <v>1</v>
      </c>
      <c r="AA3770" s="2" t="n">
        <f aca="false">IF($I3770="Correct",ROUND(INDEX('Reward Model'!$B$12:$B$14,MATCH($K3770,'Reward Model'!$A$12:$A$14,0))*Z3770,2),0)</f>
        <v>0</v>
      </c>
      <c r="AB3770" s="2" t="n">
        <f aca="false">IF($I3770="Correct",ROUND(INDEX('Reward Model'!$B$12:$B$14,MATCH($Y3770,'Reward Model'!$A$12:$A$14,0))*Z3770,2),0)</f>
        <v>0</v>
      </c>
    </row>
    <row r="3771" customFormat="false" ht="15" hidden="false" customHeight="false" outlineLevel="0" collapsed="false">
      <c r="A3771" s="0" t="s">
        <v>508</v>
      </c>
      <c r="B3771" s="0" t="s">
        <v>509</v>
      </c>
      <c r="C3771" s="0" t="s">
        <v>322</v>
      </c>
      <c r="D3771" s="0" t="s">
        <v>275</v>
      </c>
      <c r="E3771" s="0" t="n">
        <v>10</v>
      </c>
      <c r="F3771" s="0" t="s">
        <v>58</v>
      </c>
      <c r="G3771" s="0" t="s">
        <v>174</v>
      </c>
      <c r="H3771" s="0" t="s">
        <v>59</v>
      </c>
      <c r="I3771" s="0" t="s">
        <v>39</v>
      </c>
      <c r="J3771" s="0" t="n">
        <v>1.65</v>
      </c>
      <c r="K3771" s="0" t="s">
        <v>60</v>
      </c>
      <c r="L3771" s="0" t="n">
        <f aca="false">INDEX(Summary!$F$2:$F$201,MATCH($B3771,Summary!$A$2:$A$201,0))</f>
        <v>20</v>
      </c>
      <c r="M3771" s="0" t="n">
        <f aca="false">INDEX(Summary!$I$2:$I$201,MATCH($B3771,Summary!$A$2:$A$201,0))</f>
        <v>3</v>
      </c>
      <c r="N3771" s="0" t="n">
        <f aca="false">INDEX(Summary!$J$2:$J$201,MATCH($B3771,Summary!$A$2:$A$201,0))</f>
        <v>2</v>
      </c>
      <c r="O3771" s="2" t="n">
        <f aca="false">INDEX(Summary!$K$2:$K$201,MATCH($B3771,Summary!$A$2:$A$201,0))</f>
        <v>9.31</v>
      </c>
      <c r="P3771" s="3" t="n">
        <f aca="false">INDEX(Summary!$L$2:$L$201,MATCH($B3771,Summary!$A$2:$A$201,0))</f>
        <v>5</v>
      </c>
      <c r="Q3771" s="3" t="n">
        <f aca="false">INDEX(Summary!$M$2:$M$201,MATCH($B3771,Summary!$A$2:$A$201,0))</f>
        <v>1</v>
      </c>
      <c r="R3771" s="2" t="n">
        <f aca="false">INDEX(Summary!$N$2:$N$201,MATCH($B3771,Summary!$A$2:$A$201,0))</f>
        <v>11.03</v>
      </c>
      <c r="S3771" s="3" t="n">
        <f aca="false">INDEX(Summary!$O$2:$O$201,MATCH($B3771,Summary!$A$2:$A$201,0))</f>
        <v>8</v>
      </c>
      <c r="T3771" s="3" t="n">
        <f aca="false">INDEX(Summary!$P$2:$P$201,MATCH($B3771,Summary!$A$2:$A$201,0))</f>
        <v>1</v>
      </c>
      <c r="U3771" s="2" t="n">
        <f aca="false">INDEX(Summary!$Q$2:$Q$201,MATCH($B3771,Summary!$A$2:$A$201,0))</f>
        <v>10.7</v>
      </c>
      <c r="V3771" s="2" t="n">
        <f aca="false">INDEX(Summary!$R$2:$R$201,MATCH($B3771,Summary!$A$2:$A$201,0))</f>
        <v>29.85</v>
      </c>
      <c r="W3771" s="0" t="str">
        <f aca="false">INDEX(Summary!$S$2:$S$201,MATCH($B3771,Summary!$A$2:$A$201,0))</f>
        <v>Gold</v>
      </c>
      <c r="X3771" s="2" t="n">
        <f aca="false">INDEX(Summary!$T$2:$T$201,MATCH($B3771,Summary!$A$2:$A$201,0))</f>
        <v>72.8</v>
      </c>
      <c r="Y3771" s="0" t="str">
        <f aca="false">INDEX('Reward Model'!$E$18:$E$37,MATCH($E3771,'Reward Model'!$A$18:$A$37,0))</f>
        <v>Medium</v>
      </c>
      <c r="Z3771" s="4" t="n">
        <f aca="false">ROUND(MIN(1,MAX('Reward Model'!$B$2,INDEX('Reward Model'!$C$12:$C$14,MATCH($K3771,'Reward Model'!$A$12:$A$14,0))/$J3771)),3)</f>
        <v>1</v>
      </c>
      <c r="AA3771" s="2" t="n">
        <f aca="false">IF($I3771="Correct",ROUND(INDEX('Reward Model'!$B$12:$B$14,MATCH($K3771,'Reward Model'!$A$12:$A$14,0))*Z3771,2),0)</f>
        <v>0</v>
      </c>
      <c r="AB3771" s="2" t="n">
        <f aca="false">IF($I3771="Correct",ROUND(INDEX('Reward Model'!$B$12:$B$14,MATCH($Y3771,'Reward Model'!$A$12:$A$14,0))*Z3771,2),0)</f>
        <v>0</v>
      </c>
    </row>
    <row r="3772" customFormat="false" ht="15" hidden="false" customHeight="false" outlineLevel="0" collapsed="false">
      <c r="A3772" s="0" t="s">
        <v>508</v>
      </c>
      <c r="B3772" s="0" t="s">
        <v>509</v>
      </c>
      <c r="C3772" s="0" t="s">
        <v>322</v>
      </c>
      <c r="D3772" s="0" t="s">
        <v>275</v>
      </c>
      <c r="E3772" s="0" t="n">
        <v>11</v>
      </c>
      <c r="F3772" s="0" t="s">
        <v>61</v>
      </c>
      <c r="G3772" s="0" t="s">
        <v>63</v>
      </c>
      <c r="H3772" s="0" t="s">
        <v>63</v>
      </c>
      <c r="I3772" s="0" t="s">
        <v>34</v>
      </c>
      <c r="J3772" s="0" t="n">
        <v>2.04</v>
      </c>
      <c r="K3772" s="0" t="s">
        <v>60</v>
      </c>
      <c r="L3772" s="0" t="n">
        <f aca="false">INDEX(Summary!$F$2:$F$201,MATCH($B3772,Summary!$A$2:$A$201,0))</f>
        <v>20</v>
      </c>
      <c r="M3772" s="0" t="n">
        <f aca="false">INDEX(Summary!$I$2:$I$201,MATCH($B3772,Summary!$A$2:$A$201,0))</f>
        <v>3</v>
      </c>
      <c r="N3772" s="0" t="n">
        <f aca="false">INDEX(Summary!$J$2:$J$201,MATCH($B3772,Summary!$A$2:$A$201,0))</f>
        <v>2</v>
      </c>
      <c r="O3772" s="2" t="n">
        <f aca="false">INDEX(Summary!$K$2:$K$201,MATCH($B3772,Summary!$A$2:$A$201,0))</f>
        <v>9.31</v>
      </c>
      <c r="P3772" s="3" t="n">
        <f aca="false">INDEX(Summary!$L$2:$L$201,MATCH($B3772,Summary!$A$2:$A$201,0))</f>
        <v>5</v>
      </c>
      <c r="Q3772" s="3" t="n">
        <f aca="false">INDEX(Summary!$M$2:$M$201,MATCH($B3772,Summary!$A$2:$A$201,0))</f>
        <v>1</v>
      </c>
      <c r="R3772" s="2" t="n">
        <f aca="false">INDEX(Summary!$N$2:$N$201,MATCH($B3772,Summary!$A$2:$A$201,0))</f>
        <v>11.03</v>
      </c>
      <c r="S3772" s="3" t="n">
        <f aca="false">INDEX(Summary!$O$2:$O$201,MATCH($B3772,Summary!$A$2:$A$201,0))</f>
        <v>8</v>
      </c>
      <c r="T3772" s="3" t="n">
        <f aca="false">INDEX(Summary!$P$2:$P$201,MATCH($B3772,Summary!$A$2:$A$201,0))</f>
        <v>1</v>
      </c>
      <c r="U3772" s="2" t="n">
        <f aca="false">INDEX(Summary!$Q$2:$Q$201,MATCH($B3772,Summary!$A$2:$A$201,0))</f>
        <v>10.7</v>
      </c>
      <c r="V3772" s="2" t="n">
        <f aca="false">INDEX(Summary!$R$2:$R$201,MATCH($B3772,Summary!$A$2:$A$201,0))</f>
        <v>29.85</v>
      </c>
      <c r="W3772" s="0" t="str">
        <f aca="false">INDEX(Summary!$S$2:$S$201,MATCH($B3772,Summary!$A$2:$A$201,0))</f>
        <v>Gold</v>
      </c>
      <c r="X3772" s="2" t="n">
        <f aca="false">INDEX(Summary!$T$2:$T$201,MATCH($B3772,Summary!$A$2:$A$201,0))</f>
        <v>72.8</v>
      </c>
      <c r="Y3772" s="0" t="str">
        <f aca="false">INDEX('Reward Model'!$E$18:$E$37,MATCH($E3772,'Reward Model'!$A$18:$A$37,0))</f>
        <v>Medium</v>
      </c>
      <c r="Z3772" s="4" t="n">
        <f aca="false">ROUND(MIN(1,MAX('Reward Model'!$B$2,INDEX('Reward Model'!$C$12:$C$14,MATCH($K3772,'Reward Model'!$A$12:$A$14,0))/$J3772)),3)</f>
        <v>0.882</v>
      </c>
      <c r="AA3772" s="2" t="n">
        <f aca="false">IF($I3772="Correct",ROUND(INDEX('Reward Model'!$B$12:$B$14,MATCH($K3772,'Reward Model'!$A$12:$A$14,0))*Z3772,2),0)</f>
        <v>1.76</v>
      </c>
      <c r="AB3772" s="2" t="n">
        <f aca="false">IF($I3772="Correct",ROUND(INDEX('Reward Model'!$B$12:$B$14,MATCH($Y3772,'Reward Model'!$A$12:$A$14,0))*Z3772,2),0)</f>
        <v>1.76</v>
      </c>
    </row>
    <row r="3773" customFormat="false" ht="15" hidden="false" customHeight="false" outlineLevel="0" collapsed="false">
      <c r="A3773" s="0" t="s">
        <v>508</v>
      </c>
      <c r="B3773" s="0" t="s">
        <v>509</v>
      </c>
      <c r="C3773" s="0" t="s">
        <v>322</v>
      </c>
      <c r="D3773" s="0" t="s">
        <v>275</v>
      </c>
      <c r="E3773" s="0" t="n">
        <v>12</v>
      </c>
      <c r="F3773" s="0" t="s">
        <v>64</v>
      </c>
      <c r="G3773" s="0" t="s">
        <v>65</v>
      </c>
      <c r="H3773" s="0" t="s">
        <v>65</v>
      </c>
      <c r="I3773" s="0" t="s">
        <v>34</v>
      </c>
      <c r="J3773" s="0" t="n">
        <v>1.61</v>
      </c>
      <c r="K3773" s="0" t="s">
        <v>60</v>
      </c>
      <c r="L3773" s="0" t="n">
        <f aca="false">INDEX(Summary!$F$2:$F$201,MATCH($B3773,Summary!$A$2:$A$201,0))</f>
        <v>20</v>
      </c>
      <c r="M3773" s="0" t="n">
        <f aca="false">INDEX(Summary!$I$2:$I$201,MATCH($B3773,Summary!$A$2:$A$201,0))</f>
        <v>3</v>
      </c>
      <c r="N3773" s="0" t="n">
        <f aca="false">INDEX(Summary!$J$2:$J$201,MATCH($B3773,Summary!$A$2:$A$201,0))</f>
        <v>2</v>
      </c>
      <c r="O3773" s="2" t="n">
        <f aca="false">INDEX(Summary!$K$2:$K$201,MATCH($B3773,Summary!$A$2:$A$201,0))</f>
        <v>9.31</v>
      </c>
      <c r="P3773" s="3" t="n">
        <f aca="false">INDEX(Summary!$L$2:$L$201,MATCH($B3773,Summary!$A$2:$A$201,0))</f>
        <v>5</v>
      </c>
      <c r="Q3773" s="3" t="n">
        <f aca="false">INDEX(Summary!$M$2:$M$201,MATCH($B3773,Summary!$A$2:$A$201,0))</f>
        <v>1</v>
      </c>
      <c r="R3773" s="2" t="n">
        <f aca="false">INDEX(Summary!$N$2:$N$201,MATCH($B3773,Summary!$A$2:$A$201,0))</f>
        <v>11.03</v>
      </c>
      <c r="S3773" s="3" t="n">
        <f aca="false">INDEX(Summary!$O$2:$O$201,MATCH($B3773,Summary!$A$2:$A$201,0))</f>
        <v>8</v>
      </c>
      <c r="T3773" s="3" t="n">
        <f aca="false">INDEX(Summary!$P$2:$P$201,MATCH($B3773,Summary!$A$2:$A$201,0))</f>
        <v>1</v>
      </c>
      <c r="U3773" s="2" t="n">
        <f aca="false">INDEX(Summary!$Q$2:$Q$201,MATCH($B3773,Summary!$A$2:$A$201,0))</f>
        <v>10.7</v>
      </c>
      <c r="V3773" s="2" t="n">
        <f aca="false">INDEX(Summary!$R$2:$R$201,MATCH($B3773,Summary!$A$2:$A$201,0))</f>
        <v>29.85</v>
      </c>
      <c r="W3773" s="0" t="str">
        <f aca="false">INDEX(Summary!$S$2:$S$201,MATCH($B3773,Summary!$A$2:$A$201,0))</f>
        <v>Gold</v>
      </c>
      <c r="X3773" s="2" t="n">
        <f aca="false">INDEX(Summary!$T$2:$T$201,MATCH($B3773,Summary!$A$2:$A$201,0))</f>
        <v>72.8</v>
      </c>
      <c r="Y3773" s="0" t="str">
        <f aca="false">INDEX('Reward Model'!$E$18:$E$37,MATCH($E3773,'Reward Model'!$A$18:$A$37,0))</f>
        <v>Medium</v>
      </c>
      <c r="Z3773" s="4" t="n">
        <f aca="false">ROUND(MIN(1,MAX('Reward Model'!$B$2,INDEX('Reward Model'!$C$12:$C$14,MATCH($K3773,'Reward Model'!$A$12:$A$14,0))/$J3773)),3)</f>
        <v>1</v>
      </c>
      <c r="AA3773" s="2" t="n">
        <f aca="false">IF($I3773="Correct",ROUND(INDEX('Reward Model'!$B$12:$B$14,MATCH($K3773,'Reward Model'!$A$12:$A$14,0))*Z3773,2),0)</f>
        <v>2</v>
      </c>
      <c r="AB3773" s="2" t="n">
        <f aca="false">IF($I3773="Correct",ROUND(INDEX('Reward Model'!$B$12:$B$14,MATCH($Y3773,'Reward Model'!$A$12:$A$14,0))*Z3773,2),0)</f>
        <v>2</v>
      </c>
    </row>
    <row r="3774" customFormat="false" ht="15" hidden="false" customHeight="false" outlineLevel="0" collapsed="false">
      <c r="A3774" s="0" t="s">
        <v>508</v>
      </c>
      <c r="B3774" s="0" t="s">
        <v>509</v>
      </c>
      <c r="C3774" s="0" t="s">
        <v>322</v>
      </c>
      <c r="D3774" s="0" t="s">
        <v>275</v>
      </c>
      <c r="E3774" s="0" t="n">
        <v>13</v>
      </c>
      <c r="F3774" s="0" t="s">
        <v>66</v>
      </c>
      <c r="G3774" s="0" t="s">
        <v>67</v>
      </c>
      <c r="H3774" s="0" t="s">
        <v>67</v>
      </c>
      <c r="I3774" s="0" t="s">
        <v>34</v>
      </c>
      <c r="J3774" s="0" t="n">
        <v>2.21</v>
      </c>
      <c r="K3774" s="0" t="s">
        <v>60</v>
      </c>
      <c r="L3774" s="0" t="n">
        <f aca="false">INDEX(Summary!$F$2:$F$201,MATCH($B3774,Summary!$A$2:$A$201,0))</f>
        <v>20</v>
      </c>
      <c r="M3774" s="0" t="n">
        <f aca="false">INDEX(Summary!$I$2:$I$201,MATCH($B3774,Summary!$A$2:$A$201,0))</f>
        <v>3</v>
      </c>
      <c r="N3774" s="0" t="n">
        <f aca="false">INDEX(Summary!$J$2:$J$201,MATCH($B3774,Summary!$A$2:$A$201,0))</f>
        <v>2</v>
      </c>
      <c r="O3774" s="2" t="n">
        <f aca="false">INDEX(Summary!$K$2:$K$201,MATCH($B3774,Summary!$A$2:$A$201,0))</f>
        <v>9.31</v>
      </c>
      <c r="P3774" s="3" t="n">
        <f aca="false">INDEX(Summary!$L$2:$L$201,MATCH($B3774,Summary!$A$2:$A$201,0))</f>
        <v>5</v>
      </c>
      <c r="Q3774" s="3" t="n">
        <f aca="false">INDEX(Summary!$M$2:$M$201,MATCH($B3774,Summary!$A$2:$A$201,0))</f>
        <v>1</v>
      </c>
      <c r="R3774" s="2" t="n">
        <f aca="false">INDEX(Summary!$N$2:$N$201,MATCH($B3774,Summary!$A$2:$A$201,0))</f>
        <v>11.03</v>
      </c>
      <c r="S3774" s="3" t="n">
        <f aca="false">INDEX(Summary!$O$2:$O$201,MATCH($B3774,Summary!$A$2:$A$201,0))</f>
        <v>8</v>
      </c>
      <c r="T3774" s="3" t="n">
        <f aca="false">INDEX(Summary!$P$2:$P$201,MATCH($B3774,Summary!$A$2:$A$201,0))</f>
        <v>1</v>
      </c>
      <c r="U3774" s="2" t="n">
        <f aca="false">INDEX(Summary!$Q$2:$Q$201,MATCH($B3774,Summary!$A$2:$A$201,0))</f>
        <v>10.7</v>
      </c>
      <c r="V3774" s="2" t="n">
        <f aca="false">INDEX(Summary!$R$2:$R$201,MATCH($B3774,Summary!$A$2:$A$201,0))</f>
        <v>29.85</v>
      </c>
      <c r="W3774" s="0" t="str">
        <f aca="false">INDEX(Summary!$S$2:$S$201,MATCH($B3774,Summary!$A$2:$A$201,0))</f>
        <v>Gold</v>
      </c>
      <c r="X3774" s="2" t="n">
        <f aca="false">INDEX(Summary!$T$2:$T$201,MATCH($B3774,Summary!$A$2:$A$201,0))</f>
        <v>72.8</v>
      </c>
      <c r="Y3774" s="0" t="str">
        <f aca="false">INDEX('Reward Model'!$E$18:$E$37,MATCH($E3774,'Reward Model'!$A$18:$A$37,0))</f>
        <v>Medium</v>
      </c>
      <c r="Z3774" s="4" t="n">
        <f aca="false">ROUND(MIN(1,MAX('Reward Model'!$B$2,INDEX('Reward Model'!$C$12:$C$14,MATCH($K3774,'Reward Model'!$A$12:$A$14,0))/$J3774)),3)</f>
        <v>0.814</v>
      </c>
      <c r="AA3774" s="2" t="n">
        <f aca="false">IF($I3774="Correct",ROUND(INDEX('Reward Model'!$B$12:$B$14,MATCH($K3774,'Reward Model'!$A$12:$A$14,0))*Z3774,2),0)</f>
        <v>1.63</v>
      </c>
      <c r="AB3774" s="2" t="n">
        <f aca="false">IF($I3774="Correct",ROUND(INDEX('Reward Model'!$B$12:$B$14,MATCH($Y3774,'Reward Model'!$A$12:$A$14,0))*Z3774,2),0)</f>
        <v>1.63</v>
      </c>
    </row>
    <row r="3775" customFormat="false" ht="15" hidden="false" customHeight="false" outlineLevel="0" collapsed="false">
      <c r="A3775" s="0" t="s">
        <v>508</v>
      </c>
      <c r="B3775" s="0" t="s">
        <v>509</v>
      </c>
      <c r="C3775" s="0" t="s">
        <v>322</v>
      </c>
      <c r="D3775" s="0" t="s">
        <v>275</v>
      </c>
      <c r="E3775" s="0" t="n">
        <v>14</v>
      </c>
      <c r="F3775" s="0" t="s">
        <v>68</v>
      </c>
      <c r="G3775" s="0" t="s">
        <v>51</v>
      </c>
      <c r="H3775" s="0" t="s">
        <v>51</v>
      </c>
      <c r="I3775" s="0" t="s">
        <v>34</v>
      </c>
      <c r="J3775" s="0" t="n">
        <v>1.78</v>
      </c>
      <c r="K3775" s="0" t="s">
        <v>60</v>
      </c>
      <c r="L3775" s="0" t="n">
        <f aca="false">INDEX(Summary!$F$2:$F$201,MATCH($B3775,Summary!$A$2:$A$201,0))</f>
        <v>20</v>
      </c>
      <c r="M3775" s="0" t="n">
        <f aca="false">INDEX(Summary!$I$2:$I$201,MATCH($B3775,Summary!$A$2:$A$201,0))</f>
        <v>3</v>
      </c>
      <c r="N3775" s="0" t="n">
        <f aca="false">INDEX(Summary!$J$2:$J$201,MATCH($B3775,Summary!$A$2:$A$201,0))</f>
        <v>2</v>
      </c>
      <c r="O3775" s="2" t="n">
        <f aca="false">INDEX(Summary!$K$2:$K$201,MATCH($B3775,Summary!$A$2:$A$201,0))</f>
        <v>9.31</v>
      </c>
      <c r="P3775" s="3" t="n">
        <f aca="false">INDEX(Summary!$L$2:$L$201,MATCH($B3775,Summary!$A$2:$A$201,0))</f>
        <v>5</v>
      </c>
      <c r="Q3775" s="3" t="n">
        <f aca="false">INDEX(Summary!$M$2:$M$201,MATCH($B3775,Summary!$A$2:$A$201,0))</f>
        <v>1</v>
      </c>
      <c r="R3775" s="2" t="n">
        <f aca="false">INDEX(Summary!$N$2:$N$201,MATCH($B3775,Summary!$A$2:$A$201,0))</f>
        <v>11.03</v>
      </c>
      <c r="S3775" s="3" t="n">
        <f aca="false">INDEX(Summary!$O$2:$O$201,MATCH($B3775,Summary!$A$2:$A$201,0))</f>
        <v>8</v>
      </c>
      <c r="T3775" s="3" t="n">
        <f aca="false">INDEX(Summary!$P$2:$P$201,MATCH($B3775,Summary!$A$2:$A$201,0))</f>
        <v>1</v>
      </c>
      <c r="U3775" s="2" t="n">
        <f aca="false">INDEX(Summary!$Q$2:$Q$201,MATCH($B3775,Summary!$A$2:$A$201,0))</f>
        <v>10.7</v>
      </c>
      <c r="V3775" s="2" t="n">
        <f aca="false">INDEX(Summary!$R$2:$R$201,MATCH($B3775,Summary!$A$2:$A$201,0))</f>
        <v>29.85</v>
      </c>
      <c r="W3775" s="0" t="str">
        <f aca="false">INDEX(Summary!$S$2:$S$201,MATCH($B3775,Summary!$A$2:$A$201,0))</f>
        <v>Gold</v>
      </c>
      <c r="X3775" s="2" t="n">
        <f aca="false">INDEX(Summary!$T$2:$T$201,MATCH($B3775,Summary!$A$2:$A$201,0))</f>
        <v>72.8</v>
      </c>
      <c r="Y3775" s="0" t="str">
        <f aca="false">INDEX('Reward Model'!$E$18:$E$37,MATCH($E3775,'Reward Model'!$A$18:$A$37,0))</f>
        <v>Medium</v>
      </c>
      <c r="Z3775" s="4" t="n">
        <f aca="false">ROUND(MIN(1,MAX('Reward Model'!$B$2,INDEX('Reward Model'!$C$12:$C$14,MATCH($K3775,'Reward Model'!$A$12:$A$14,0))/$J3775)),3)</f>
        <v>1</v>
      </c>
      <c r="AA3775" s="2" t="n">
        <f aca="false">IF($I3775="Correct",ROUND(INDEX('Reward Model'!$B$12:$B$14,MATCH($K3775,'Reward Model'!$A$12:$A$14,0))*Z3775,2),0)</f>
        <v>2</v>
      </c>
      <c r="AB3775" s="2" t="n">
        <f aca="false">IF($I3775="Correct",ROUND(INDEX('Reward Model'!$B$12:$B$14,MATCH($Y3775,'Reward Model'!$A$12:$A$14,0))*Z3775,2),0)</f>
        <v>2</v>
      </c>
    </row>
    <row r="3776" customFormat="false" ht="15" hidden="false" customHeight="false" outlineLevel="0" collapsed="false">
      <c r="A3776" s="0" t="s">
        <v>508</v>
      </c>
      <c r="B3776" s="0" t="s">
        <v>509</v>
      </c>
      <c r="C3776" s="0" t="s">
        <v>322</v>
      </c>
      <c r="D3776" s="0" t="s">
        <v>275</v>
      </c>
      <c r="E3776" s="0" t="n">
        <v>15</v>
      </c>
      <c r="F3776" s="0" t="s">
        <v>69</v>
      </c>
      <c r="G3776" s="0" t="s">
        <v>70</v>
      </c>
      <c r="H3776" s="0" t="s">
        <v>70</v>
      </c>
      <c r="I3776" s="0" t="s">
        <v>34</v>
      </c>
      <c r="J3776" s="0" t="n">
        <v>1.74</v>
      </c>
      <c r="K3776" s="0" t="s">
        <v>60</v>
      </c>
      <c r="L3776" s="0" t="n">
        <f aca="false">INDEX(Summary!$F$2:$F$201,MATCH($B3776,Summary!$A$2:$A$201,0))</f>
        <v>20</v>
      </c>
      <c r="M3776" s="0" t="n">
        <f aca="false">INDEX(Summary!$I$2:$I$201,MATCH($B3776,Summary!$A$2:$A$201,0))</f>
        <v>3</v>
      </c>
      <c r="N3776" s="0" t="n">
        <f aca="false">INDEX(Summary!$J$2:$J$201,MATCH($B3776,Summary!$A$2:$A$201,0))</f>
        <v>2</v>
      </c>
      <c r="O3776" s="2" t="n">
        <f aca="false">INDEX(Summary!$K$2:$K$201,MATCH($B3776,Summary!$A$2:$A$201,0))</f>
        <v>9.31</v>
      </c>
      <c r="P3776" s="3" t="n">
        <f aca="false">INDEX(Summary!$L$2:$L$201,MATCH($B3776,Summary!$A$2:$A$201,0))</f>
        <v>5</v>
      </c>
      <c r="Q3776" s="3" t="n">
        <f aca="false">INDEX(Summary!$M$2:$M$201,MATCH($B3776,Summary!$A$2:$A$201,0))</f>
        <v>1</v>
      </c>
      <c r="R3776" s="2" t="n">
        <f aca="false">INDEX(Summary!$N$2:$N$201,MATCH($B3776,Summary!$A$2:$A$201,0))</f>
        <v>11.03</v>
      </c>
      <c r="S3776" s="3" t="n">
        <f aca="false">INDEX(Summary!$O$2:$O$201,MATCH($B3776,Summary!$A$2:$A$201,0))</f>
        <v>8</v>
      </c>
      <c r="T3776" s="3" t="n">
        <f aca="false">INDEX(Summary!$P$2:$P$201,MATCH($B3776,Summary!$A$2:$A$201,0))</f>
        <v>1</v>
      </c>
      <c r="U3776" s="2" t="n">
        <f aca="false">INDEX(Summary!$Q$2:$Q$201,MATCH($B3776,Summary!$A$2:$A$201,0))</f>
        <v>10.7</v>
      </c>
      <c r="V3776" s="2" t="n">
        <f aca="false">INDEX(Summary!$R$2:$R$201,MATCH($B3776,Summary!$A$2:$A$201,0))</f>
        <v>29.85</v>
      </c>
      <c r="W3776" s="0" t="str">
        <f aca="false">INDEX(Summary!$S$2:$S$201,MATCH($B3776,Summary!$A$2:$A$201,0))</f>
        <v>Gold</v>
      </c>
      <c r="X3776" s="2" t="n">
        <f aca="false">INDEX(Summary!$T$2:$T$201,MATCH($B3776,Summary!$A$2:$A$201,0))</f>
        <v>72.8</v>
      </c>
      <c r="Y3776" s="0" t="str">
        <f aca="false">INDEX('Reward Model'!$E$18:$E$37,MATCH($E3776,'Reward Model'!$A$18:$A$37,0))</f>
        <v>Medium</v>
      </c>
      <c r="Z3776" s="4" t="n">
        <f aca="false">ROUND(MIN(1,MAX('Reward Model'!$B$2,INDEX('Reward Model'!$C$12:$C$14,MATCH($K3776,'Reward Model'!$A$12:$A$14,0))/$J3776)),3)</f>
        <v>1</v>
      </c>
      <c r="AA3776" s="2" t="n">
        <f aca="false">IF($I3776="Correct",ROUND(INDEX('Reward Model'!$B$12:$B$14,MATCH($K3776,'Reward Model'!$A$12:$A$14,0))*Z3776,2),0)</f>
        <v>2</v>
      </c>
      <c r="AB3776" s="2" t="n">
        <f aca="false">IF($I3776="Correct",ROUND(INDEX('Reward Model'!$B$12:$B$14,MATCH($Y3776,'Reward Model'!$A$12:$A$14,0))*Z3776,2),0)</f>
        <v>2</v>
      </c>
    </row>
    <row r="3777" customFormat="false" ht="15" hidden="false" customHeight="false" outlineLevel="0" collapsed="false">
      <c r="A3777" s="0" t="s">
        <v>508</v>
      </c>
      <c r="B3777" s="0" t="s">
        <v>509</v>
      </c>
      <c r="C3777" s="0" t="s">
        <v>322</v>
      </c>
      <c r="D3777" s="0" t="s">
        <v>275</v>
      </c>
      <c r="E3777" s="0" t="n">
        <v>16</v>
      </c>
      <c r="F3777" s="0" t="s">
        <v>71</v>
      </c>
      <c r="G3777" s="0" t="s">
        <v>72</v>
      </c>
      <c r="H3777" s="0" t="s">
        <v>72</v>
      </c>
      <c r="I3777" s="0" t="s">
        <v>34</v>
      </c>
      <c r="J3777" s="0" t="n">
        <v>1.77</v>
      </c>
      <c r="K3777" s="0" t="s">
        <v>73</v>
      </c>
      <c r="L3777" s="0" t="n">
        <f aca="false">INDEX(Summary!$F$2:$F$201,MATCH($B3777,Summary!$A$2:$A$201,0))</f>
        <v>20</v>
      </c>
      <c r="M3777" s="0" t="n">
        <f aca="false">INDEX(Summary!$I$2:$I$201,MATCH($B3777,Summary!$A$2:$A$201,0))</f>
        <v>3</v>
      </c>
      <c r="N3777" s="0" t="n">
        <f aca="false">INDEX(Summary!$J$2:$J$201,MATCH($B3777,Summary!$A$2:$A$201,0))</f>
        <v>2</v>
      </c>
      <c r="O3777" s="2" t="n">
        <f aca="false">INDEX(Summary!$K$2:$K$201,MATCH($B3777,Summary!$A$2:$A$201,0))</f>
        <v>9.31</v>
      </c>
      <c r="P3777" s="3" t="n">
        <f aca="false">INDEX(Summary!$L$2:$L$201,MATCH($B3777,Summary!$A$2:$A$201,0))</f>
        <v>5</v>
      </c>
      <c r="Q3777" s="3" t="n">
        <f aca="false">INDEX(Summary!$M$2:$M$201,MATCH($B3777,Summary!$A$2:$A$201,0))</f>
        <v>1</v>
      </c>
      <c r="R3777" s="2" t="n">
        <f aca="false">INDEX(Summary!$N$2:$N$201,MATCH($B3777,Summary!$A$2:$A$201,0))</f>
        <v>11.03</v>
      </c>
      <c r="S3777" s="3" t="n">
        <f aca="false">INDEX(Summary!$O$2:$O$201,MATCH($B3777,Summary!$A$2:$A$201,0))</f>
        <v>8</v>
      </c>
      <c r="T3777" s="3" t="n">
        <f aca="false">INDEX(Summary!$P$2:$P$201,MATCH($B3777,Summary!$A$2:$A$201,0))</f>
        <v>1</v>
      </c>
      <c r="U3777" s="2" t="n">
        <f aca="false">INDEX(Summary!$Q$2:$Q$201,MATCH($B3777,Summary!$A$2:$A$201,0))</f>
        <v>10.7</v>
      </c>
      <c r="V3777" s="2" t="n">
        <f aca="false">INDEX(Summary!$R$2:$R$201,MATCH($B3777,Summary!$A$2:$A$201,0))</f>
        <v>29.85</v>
      </c>
      <c r="W3777" s="0" t="str">
        <f aca="false">INDEX(Summary!$S$2:$S$201,MATCH($B3777,Summary!$A$2:$A$201,0))</f>
        <v>Gold</v>
      </c>
      <c r="X3777" s="2" t="n">
        <f aca="false">INDEX(Summary!$T$2:$T$201,MATCH($B3777,Summary!$A$2:$A$201,0))</f>
        <v>72.8</v>
      </c>
      <c r="Y3777" s="0" t="str">
        <f aca="false">INDEX('Reward Model'!$E$18:$E$37,MATCH($E3777,'Reward Model'!$A$18:$A$37,0))</f>
        <v>High</v>
      </c>
      <c r="Z3777" s="4" t="n">
        <f aca="false">ROUND(MIN(1,MAX('Reward Model'!$B$2,INDEX('Reward Model'!$C$12:$C$14,MATCH($K3777,'Reward Model'!$A$12:$A$14,0))/$J3777)),3)</f>
        <v>1</v>
      </c>
      <c r="AA3777" s="2" t="n">
        <f aca="false">IF($I3777="Correct",ROUND(INDEX('Reward Model'!$B$12:$B$14,MATCH($K3777,'Reward Model'!$A$12:$A$14,0))*Z3777,2),0)</f>
        <v>3</v>
      </c>
      <c r="AB3777" s="2" t="n">
        <f aca="false">IF($I3777="Correct",ROUND(INDEX('Reward Model'!$B$12:$B$14,MATCH($Y3777,'Reward Model'!$A$12:$A$14,0))*Z3777,2),0)</f>
        <v>3</v>
      </c>
    </row>
    <row r="3778" customFormat="false" ht="15" hidden="false" customHeight="false" outlineLevel="0" collapsed="false">
      <c r="A3778" s="0" t="s">
        <v>508</v>
      </c>
      <c r="B3778" s="0" t="s">
        <v>509</v>
      </c>
      <c r="C3778" s="0" t="s">
        <v>322</v>
      </c>
      <c r="D3778" s="0" t="s">
        <v>275</v>
      </c>
      <c r="E3778" s="0" t="n">
        <v>17</v>
      </c>
      <c r="F3778" s="0" t="s">
        <v>74</v>
      </c>
      <c r="G3778" s="0" t="s">
        <v>105</v>
      </c>
      <c r="H3778" s="0" t="s">
        <v>75</v>
      </c>
      <c r="I3778" s="0" t="s">
        <v>39</v>
      </c>
      <c r="J3778" s="0" t="n">
        <v>2.2</v>
      </c>
      <c r="K3778" s="0" t="s">
        <v>73</v>
      </c>
      <c r="L3778" s="0" t="n">
        <f aca="false">INDEX(Summary!$F$2:$F$201,MATCH($B3778,Summary!$A$2:$A$201,0))</f>
        <v>20</v>
      </c>
      <c r="M3778" s="0" t="n">
        <f aca="false">INDEX(Summary!$I$2:$I$201,MATCH($B3778,Summary!$A$2:$A$201,0))</f>
        <v>3</v>
      </c>
      <c r="N3778" s="0" t="n">
        <f aca="false">INDEX(Summary!$J$2:$J$201,MATCH($B3778,Summary!$A$2:$A$201,0))</f>
        <v>2</v>
      </c>
      <c r="O3778" s="2" t="n">
        <f aca="false">INDEX(Summary!$K$2:$K$201,MATCH($B3778,Summary!$A$2:$A$201,0))</f>
        <v>9.31</v>
      </c>
      <c r="P3778" s="3" t="n">
        <f aca="false">INDEX(Summary!$L$2:$L$201,MATCH($B3778,Summary!$A$2:$A$201,0))</f>
        <v>5</v>
      </c>
      <c r="Q3778" s="3" t="n">
        <f aca="false">INDEX(Summary!$M$2:$M$201,MATCH($B3778,Summary!$A$2:$A$201,0))</f>
        <v>1</v>
      </c>
      <c r="R3778" s="2" t="n">
        <f aca="false">INDEX(Summary!$N$2:$N$201,MATCH($B3778,Summary!$A$2:$A$201,0))</f>
        <v>11.03</v>
      </c>
      <c r="S3778" s="3" t="n">
        <f aca="false">INDEX(Summary!$O$2:$O$201,MATCH($B3778,Summary!$A$2:$A$201,0))</f>
        <v>8</v>
      </c>
      <c r="T3778" s="3" t="n">
        <f aca="false">INDEX(Summary!$P$2:$P$201,MATCH($B3778,Summary!$A$2:$A$201,0))</f>
        <v>1</v>
      </c>
      <c r="U3778" s="2" t="n">
        <f aca="false">INDEX(Summary!$Q$2:$Q$201,MATCH($B3778,Summary!$A$2:$A$201,0))</f>
        <v>10.7</v>
      </c>
      <c r="V3778" s="2" t="n">
        <f aca="false">INDEX(Summary!$R$2:$R$201,MATCH($B3778,Summary!$A$2:$A$201,0))</f>
        <v>29.85</v>
      </c>
      <c r="W3778" s="0" t="str">
        <f aca="false">INDEX(Summary!$S$2:$S$201,MATCH($B3778,Summary!$A$2:$A$201,0))</f>
        <v>Gold</v>
      </c>
      <c r="X3778" s="2" t="n">
        <f aca="false">INDEX(Summary!$T$2:$T$201,MATCH($B3778,Summary!$A$2:$A$201,0))</f>
        <v>72.8</v>
      </c>
      <c r="Y3778" s="0" t="str">
        <f aca="false">INDEX('Reward Model'!$E$18:$E$37,MATCH($E3778,'Reward Model'!$A$18:$A$37,0))</f>
        <v>High</v>
      </c>
      <c r="Z3778" s="4" t="n">
        <f aca="false">ROUND(MIN(1,MAX('Reward Model'!$B$2,INDEX('Reward Model'!$C$12:$C$14,MATCH($K3778,'Reward Model'!$A$12:$A$14,0))/$J3778)),3)</f>
        <v>0.909</v>
      </c>
      <c r="AA3778" s="2" t="n">
        <f aca="false">IF($I3778="Correct",ROUND(INDEX('Reward Model'!$B$12:$B$14,MATCH($K3778,'Reward Model'!$A$12:$A$14,0))*Z3778,2),0)</f>
        <v>0</v>
      </c>
      <c r="AB3778" s="2" t="n">
        <f aca="false">IF($I3778="Correct",ROUND(INDEX('Reward Model'!$B$12:$B$14,MATCH($Y3778,'Reward Model'!$A$12:$A$14,0))*Z3778,2),0)</f>
        <v>0</v>
      </c>
    </row>
    <row r="3779" customFormat="false" ht="15" hidden="false" customHeight="false" outlineLevel="0" collapsed="false">
      <c r="A3779" s="0" t="s">
        <v>508</v>
      </c>
      <c r="B3779" s="0" t="s">
        <v>509</v>
      </c>
      <c r="C3779" s="0" t="s">
        <v>322</v>
      </c>
      <c r="D3779" s="0" t="s">
        <v>275</v>
      </c>
      <c r="E3779" s="0" t="n">
        <v>18</v>
      </c>
      <c r="F3779" s="0" t="s">
        <v>76</v>
      </c>
      <c r="G3779" s="0" t="s">
        <v>77</v>
      </c>
      <c r="H3779" s="0" t="s">
        <v>77</v>
      </c>
      <c r="I3779" s="0" t="s">
        <v>34</v>
      </c>
      <c r="J3779" s="0" t="n">
        <v>2.44</v>
      </c>
      <c r="K3779" s="0" t="s">
        <v>73</v>
      </c>
      <c r="L3779" s="0" t="n">
        <f aca="false">INDEX(Summary!$F$2:$F$201,MATCH($B3779,Summary!$A$2:$A$201,0))</f>
        <v>20</v>
      </c>
      <c r="M3779" s="0" t="n">
        <f aca="false">INDEX(Summary!$I$2:$I$201,MATCH($B3779,Summary!$A$2:$A$201,0))</f>
        <v>3</v>
      </c>
      <c r="N3779" s="0" t="n">
        <f aca="false">INDEX(Summary!$J$2:$J$201,MATCH($B3779,Summary!$A$2:$A$201,0))</f>
        <v>2</v>
      </c>
      <c r="O3779" s="2" t="n">
        <f aca="false">INDEX(Summary!$K$2:$K$201,MATCH($B3779,Summary!$A$2:$A$201,0))</f>
        <v>9.31</v>
      </c>
      <c r="P3779" s="3" t="n">
        <f aca="false">INDEX(Summary!$L$2:$L$201,MATCH($B3779,Summary!$A$2:$A$201,0))</f>
        <v>5</v>
      </c>
      <c r="Q3779" s="3" t="n">
        <f aca="false">INDEX(Summary!$M$2:$M$201,MATCH($B3779,Summary!$A$2:$A$201,0))</f>
        <v>1</v>
      </c>
      <c r="R3779" s="2" t="n">
        <f aca="false">INDEX(Summary!$N$2:$N$201,MATCH($B3779,Summary!$A$2:$A$201,0))</f>
        <v>11.03</v>
      </c>
      <c r="S3779" s="3" t="n">
        <f aca="false">INDEX(Summary!$O$2:$O$201,MATCH($B3779,Summary!$A$2:$A$201,0))</f>
        <v>8</v>
      </c>
      <c r="T3779" s="3" t="n">
        <f aca="false">INDEX(Summary!$P$2:$P$201,MATCH($B3779,Summary!$A$2:$A$201,0))</f>
        <v>1</v>
      </c>
      <c r="U3779" s="2" t="n">
        <f aca="false">INDEX(Summary!$Q$2:$Q$201,MATCH($B3779,Summary!$A$2:$A$201,0))</f>
        <v>10.7</v>
      </c>
      <c r="V3779" s="2" t="n">
        <f aca="false">INDEX(Summary!$R$2:$R$201,MATCH($B3779,Summary!$A$2:$A$201,0))</f>
        <v>29.85</v>
      </c>
      <c r="W3779" s="0" t="str">
        <f aca="false">INDEX(Summary!$S$2:$S$201,MATCH($B3779,Summary!$A$2:$A$201,0))</f>
        <v>Gold</v>
      </c>
      <c r="X3779" s="2" t="n">
        <f aca="false">INDEX(Summary!$T$2:$T$201,MATCH($B3779,Summary!$A$2:$A$201,0))</f>
        <v>72.8</v>
      </c>
      <c r="Y3779" s="0" t="str">
        <f aca="false">INDEX('Reward Model'!$E$18:$E$37,MATCH($E3779,'Reward Model'!$A$18:$A$37,0))</f>
        <v>High</v>
      </c>
      <c r="Z3779" s="4" t="n">
        <f aca="false">ROUND(MIN(1,MAX('Reward Model'!$B$2,INDEX('Reward Model'!$C$12:$C$14,MATCH($K3779,'Reward Model'!$A$12:$A$14,0))/$J3779)),3)</f>
        <v>0.82</v>
      </c>
      <c r="AA3779" s="2" t="n">
        <f aca="false">IF($I3779="Correct",ROUND(INDEX('Reward Model'!$B$12:$B$14,MATCH($K3779,'Reward Model'!$A$12:$A$14,0))*Z3779,2),0)</f>
        <v>2.46</v>
      </c>
      <c r="AB3779" s="2" t="n">
        <f aca="false">IF($I3779="Correct",ROUND(INDEX('Reward Model'!$B$12:$B$14,MATCH($Y3779,'Reward Model'!$A$12:$A$14,0))*Z3779,2),0)</f>
        <v>2.46</v>
      </c>
    </row>
    <row r="3780" customFormat="false" ht="15" hidden="false" customHeight="false" outlineLevel="0" collapsed="false">
      <c r="A3780" s="0" t="s">
        <v>508</v>
      </c>
      <c r="B3780" s="0" t="s">
        <v>509</v>
      </c>
      <c r="C3780" s="0" t="s">
        <v>322</v>
      </c>
      <c r="D3780" s="0" t="s">
        <v>275</v>
      </c>
      <c r="E3780" s="0" t="n">
        <v>19</v>
      </c>
      <c r="F3780" s="0" t="s">
        <v>78</v>
      </c>
      <c r="G3780" s="0" t="s">
        <v>79</v>
      </c>
      <c r="H3780" s="0" t="s">
        <v>80</v>
      </c>
      <c r="I3780" s="0" t="s">
        <v>39</v>
      </c>
      <c r="J3780" s="0" t="n">
        <v>1.68</v>
      </c>
      <c r="K3780" s="0" t="s">
        <v>73</v>
      </c>
      <c r="L3780" s="0" t="n">
        <f aca="false">INDEX(Summary!$F$2:$F$201,MATCH($B3780,Summary!$A$2:$A$201,0))</f>
        <v>20</v>
      </c>
      <c r="M3780" s="0" t="n">
        <f aca="false">INDEX(Summary!$I$2:$I$201,MATCH($B3780,Summary!$A$2:$A$201,0))</f>
        <v>3</v>
      </c>
      <c r="N3780" s="0" t="n">
        <f aca="false">INDEX(Summary!$J$2:$J$201,MATCH($B3780,Summary!$A$2:$A$201,0))</f>
        <v>2</v>
      </c>
      <c r="O3780" s="2" t="n">
        <f aca="false">INDEX(Summary!$K$2:$K$201,MATCH($B3780,Summary!$A$2:$A$201,0))</f>
        <v>9.31</v>
      </c>
      <c r="P3780" s="3" t="n">
        <f aca="false">INDEX(Summary!$L$2:$L$201,MATCH($B3780,Summary!$A$2:$A$201,0))</f>
        <v>5</v>
      </c>
      <c r="Q3780" s="3" t="n">
        <f aca="false">INDEX(Summary!$M$2:$M$201,MATCH($B3780,Summary!$A$2:$A$201,0))</f>
        <v>1</v>
      </c>
      <c r="R3780" s="2" t="n">
        <f aca="false">INDEX(Summary!$N$2:$N$201,MATCH($B3780,Summary!$A$2:$A$201,0))</f>
        <v>11.03</v>
      </c>
      <c r="S3780" s="3" t="n">
        <f aca="false">INDEX(Summary!$O$2:$O$201,MATCH($B3780,Summary!$A$2:$A$201,0))</f>
        <v>8</v>
      </c>
      <c r="T3780" s="3" t="n">
        <f aca="false">INDEX(Summary!$P$2:$P$201,MATCH($B3780,Summary!$A$2:$A$201,0))</f>
        <v>1</v>
      </c>
      <c r="U3780" s="2" t="n">
        <f aca="false">INDEX(Summary!$Q$2:$Q$201,MATCH($B3780,Summary!$A$2:$A$201,0))</f>
        <v>10.7</v>
      </c>
      <c r="V3780" s="2" t="n">
        <f aca="false">INDEX(Summary!$R$2:$R$201,MATCH($B3780,Summary!$A$2:$A$201,0))</f>
        <v>29.85</v>
      </c>
      <c r="W3780" s="0" t="str">
        <f aca="false">INDEX(Summary!$S$2:$S$201,MATCH($B3780,Summary!$A$2:$A$201,0))</f>
        <v>Gold</v>
      </c>
      <c r="X3780" s="2" t="n">
        <f aca="false">INDEX(Summary!$T$2:$T$201,MATCH($B3780,Summary!$A$2:$A$201,0))</f>
        <v>72.8</v>
      </c>
      <c r="Y3780" s="0" t="str">
        <f aca="false">INDEX('Reward Model'!$E$18:$E$37,MATCH($E3780,'Reward Model'!$A$18:$A$37,0))</f>
        <v>High</v>
      </c>
      <c r="Z3780" s="4" t="n">
        <f aca="false">ROUND(MIN(1,MAX('Reward Model'!$B$2,INDEX('Reward Model'!$C$12:$C$14,MATCH($K3780,'Reward Model'!$A$12:$A$14,0))/$J3780)),3)</f>
        <v>1</v>
      </c>
      <c r="AA3780" s="2" t="n">
        <f aca="false">IF($I3780="Correct",ROUND(INDEX('Reward Model'!$B$12:$B$14,MATCH($K3780,'Reward Model'!$A$12:$A$14,0))*Z3780,2),0)</f>
        <v>0</v>
      </c>
      <c r="AB3780" s="2" t="n">
        <f aca="false">IF($I3780="Correct",ROUND(INDEX('Reward Model'!$B$12:$B$14,MATCH($Y3780,'Reward Model'!$A$12:$A$14,0))*Z3780,2),0)</f>
        <v>0</v>
      </c>
    </row>
    <row r="3781" customFormat="false" ht="15" hidden="false" customHeight="false" outlineLevel="0" collapsed="false">
      <c r="A3781" s="0" t="s">
        <v>508</v>
      </c>
      <c r="B3781" s="0" t="s">
        <v>509</v>
      </c>
      <c r="C3781" s="0" t="s">
        <v>322</v>
      </c>
      <c r="D3781" s="0" t="s">
        <v>275</v>
      </c>
      <c r="E3781" s="0" t="n">
        <v>20</v>
      </c>
      <c r="F3781" s="0" t="s">
        <v>81</v>
      </c>
      <c r="G3781" s="0" t="s">
        <v>83</v>
      </c>
      <c r="H3781" s="0" t="s">
        <v>83</v>
      </c>
      <c r="I3781" s="0" t="s">
        <v>34</v>
      </c>
      <c r="J3781" s="0" t="n">
        <v>1.22</v>
      </c>
      <c r="K3781" s="0" t="s">
        <v>73</v>
      </c>
      <c r="L3781" s="0" t="n">
        <f aca="false">INDEX(Summary!$F$2:$F$201,MATCH($B3781,Summary!$A$2:$A$201,0))</f>
        <v>20</v>
      </c>
      <c r="M3781" s="0" t="n">
        <f aca="false">INDEX(Summary!$I$2:$I$201,MATCH($B3781,Summary!$A$2:$A$201,0))</f>
        <v>3</v>
      </c>
      <c r="N3781" s="0" t="n">
        <f aca="false">INDEX(Summary!$J$2:$J$201,MATCH($B3781,Summary!$A$2:$A$201,0))</f>
        <v>2</v>
      </c>
      <c r="O3781" s="2" t="n">
        <f aca="false">INDEX(Summary!$K$2:$K$201,MATCH($B3781,Summary!$A$2:$A$201,0))</f>
        <v>9.31</v>
      </c>
      <c r="P3781" s="3" t="n">
        <f aca="false">INDEX(Summary!$L$2:$L$201,MATCH($B3781,Summary!$A$2:$A$201,0))</f>
        <v>5</v>
      </c>
      <c r="Q3781" s="3" t="n">
        <f aca="false">INDEX(Summary!$M$2:$M$201,MATCH($B3781,Summary!$A$2:$A$201,0))</f>
        <v>1</v>
      </c>
      <c r="R3781" s="2" t="n">
        <f aca="false">INDEX(Summary!$N$2:$N$201,MATCH($B3781,Summary!$A$2:$A$201,0))</f>
        <v>11.03</v>
      </c>
      <c r="S3781" s="3" t="n">
        <f aca="false">INDEX(Summary!$O$2:$O$201,MATCH($B3781,Summary!$A$2:$A$201,0))</f>
        <v>8</v>
      </c>
      <c r="T3781" s="3" t="n">
        <f aca="false">INDEX(Summary!$P$2:$P$201,MATCH($B3781,Summary!$A$2:$A$201,0))</f>
        <v>1</v>
      </c>
      <c r="U3781" s="2" t="n">
        <f aca="false">INDEX(Summary!$Q$2:$Q$201,MATCH($B3781,Summary!$A$2:$A$201,0))</f>
        <v>10.7</v>
      </c>
      <c r="V3781" s="2" t="n">
        <f aca="false">INDEX(Summary!$R$2:$R$201,MATCH($B3781,Summary!$A$2:$A$201,0))</f>
        <v>29.85</v>
      </c>
      <c r="W3781" s="0" t="str">
        <f aca="false">INDEX(Summary!$S$2:$S$201,MATCH($B3781,Summary!$A$2:$A$201,0))</f>
        <v>Gold</v>
      </c>
      <c r="X3781" s="2" t="n">
        <f aca="false">INDEX(Summary!$T$2:$T$201,MATCH($B3781,Summary!$A$2:$A$201,0))</f>
        <v>72.8</v>
      </c>
      <c r="Y3781" s="0" t="str">
        <f aca="false">INDEX('Reward Model'!$E$18:$E$37,MATCH($E3781,'Reward Model'!$A$18:$A$37,0))</f>
        <v>High</v>
      </c>
      <c r="Z3781" s="4" t="n">
        <f aca="false">ROUND(MIN(1,MAX('Reward Model'!$B$2,INDEX('Reward Model'!$C$12:$C$14,MATCH($K3781,'Reward Model'!$A$12:$A$14,0))/$J3781)),3)</f>
        <v>1</v>
      </c>
      <c r="AA3781" s="2" t="n">
        <f aca="false">IF($I3781="Correct",ROUND(INDEX('Reward Model'!$B$12:$B$14,MATCH($K3781,'Reward Model'!$A$12:$A$14,0))*Z3781,2),0)</f>
        <v>3</v>
      </c>
      <c r="AB3781" s="2" t="n">
        <f aca="false">IF($I3781="Correct",ROUND(INDEX('Reward Model'!$B$12:$B$14,MATCH($Y3781,'Reward Model'!$A$12:$A$14,0))*Z3781,2),0)</f>
        <v>3</v>
      </c>
    </row>
    <row r="3782" customFormat="false" ht="15" hidden="false" customHeight="false" outlineLevel="0" collapsed="false">
      <c r="A3782" s="0" t="s">
        <v>510</v>
      </c>
      <c r="B3782" s="0" t="s">
        <v>511</v>
      </c>
      <c r="C3782" s="0" t="s">
        <v>322</v>
      </c>
      <c r="D3782" s="0" t="s">
        <v>275</v>
      </c>
      <c r="E3782" s="0" t="n">
        <v>1</v>
      </c>
      <c r="F3782" s="0" t="s">
        <v>32</v>
      </c>
      <c r="G3782" s="0" t="s">
        <v>33</v>
      </c>
      <c r="H3782" s="0" t="s">
        <v>33</v>
      </c>
      <c r="I3782" s="0" t="s">
        <v>34</v>
      </c>
      <c r="J3782" s="0" t="n">
        <v>1.67</v>
      </c>
      <c r="K3782" s="0" t="s">
        <v>35</v>
      </c>
      <c r="L3782" s="0" t="n">
        <f aca="false">INDEX(Summary!$F$2:$F$201,MATCH($B3782,Summary!$A$2:$A$201,0))</f>
        <v>20</v>
      </c>
      <c r="M3782" s="0" t="n">
        <f aca="false">INDEX(Summary!$I$2:$I$201,MATCH($B3782,Summary!$A$2:$A$201,0))</f>
        <v>4</v>
      </c>
      <c r="N3782" s="0" t="n">
        <f aca="false">INDEX(Summary!$J$2:$J$201,MATCH($B3782,Summary!$A$2:$A$201,0))</f>
        <v>1</v>
      </c>
      <c r="O3782" s="2" t="n">
        <f aca="false">INDEX(Summary!$K$2:$K$201,MATCH($B3782,Summary!$A$2:$A$201,0))</f>
        <v>7.77</v>
      </c>
      <c r="P3782" s="3" t="n">
        <f aca="false">INDEX(Summary!$L$2:$L$201,MATCH($B3782,Summary!$A$2:$A$201,0))</f>
        <v>5</v>
      </c>
      <c r="Q3782" s="3" t="n">
        <f aca="false">INDEX(Summary!$M$2:$M$201,MATCH($B3782,Summary!$A$2:$A$201,0))</f>
        <v>1</v>
      </c>
      <c r="R3782" s="2" t="n">
        <f aca="false">INDEX(Summary!$N$2:$N$201,MATCH($B3782,Summary!$A$2:$A$201,0))</f>
        <v>10.27</v>
      </c>
      <c r="S3782" s="3" t="n">
        <f aca="false">INDEX(Summary!$O$2:$O$201,MATCH($B3782,Summary!$A$2:$A$201,0))</f>
        <v>8</v>
      </c>
      <c r="T3782" s="3" t="n">
        <f aca="false">INDEX(Summary!$P$2:$P$201,MATCH($B3782,Summary!$A$2:$A$201,0))</f>
        <v>1</v>
      </c>
      <c r="U3782" s="2" t="n">
        <f aca="false">INDEX(Summary!$Q$2:$Q$201,MATCH($B3782,Summary!$A$2:$A$201,0))</f>
        <v>14.13</v>
      </c>
      <c r="V3782" s="2" t="n">
        <f aca="false">INDEX(Summary!$R$2:$R$201,MATCH($B3782,Summary!$A$2:$A$201,0))</f>
        <v>33.68</v>
      </c>
      <c r="W3782" s="0" t="str">
        <f aca="false">INDEX(Summary!$S$2:$S$201,MATCH($B3782,Summary!$A$2:$A$201,0))</f>
        <v>Gold</v>
      </c>
      <c r="X3782" s="2" t="n">
        <f aca="false">INDEX(Summary!$T$2:$T$201,MATCH($B3782,Summary!$A$2:$A$201,0))</f>
        <v>82.15</v>
      </c>
      <c r="Y3782" s="0" t="str">
        <f aca="false">INDEX('Reward Model'!$E$18:$E$37,MATCH($E3782,'Reward Model'!$A$18:$A$37,0))</f>
        <v>Medium</v>
      </c>
      <c r="Z3782" s="4" t="n">
        <f aca="false">ROUND(MIN(1,MAX('Reward Model'!$B$2,INDEX('Reward Model'!$C$12:$C$14,MATCH($K3782,'Reward Model'!$A$12:$A$14,0))/$J3782)),3)</f>
        <v>0.898</v>
      </c>
      <c r="AA3782" s="2" t="n">
        <f aca="false">IF($I3782="Correct",ROUND(INDEX('Reward Model'!$B$12:$B$14,MATCH($K3782,'Reward Model'!$A$12:$A$14,0))*Z3782,2),0)</f>
        <v>0.9</v>
      </c>
      <c r="AB3782" s="2" t="n">
        <f aca="false">IF($I3782="Correct",ROUND(INDEX('Reward Model'!$B$12:$B$14,MATCH($Y3782,'Reward Model'!$A$12:$A$14,0))*Z3782,2),0)</f>
        <v>1.8</v>
      </c>
    </row>
    <row r="3783" customFormat="false" ht="15" hidden="false" customHeight="false" outlineLevel="0" collapsed="false">
      <c r="A3783" s="0" t="s">
        <v>510</v>
      </c>
      <c r="B3783" s="0" t="s">
        <v>511</v>
      </c>
      <c r="C3783" s="0" t="s">
        <v>322</v>
      </c>
      <c r="D3783" s="0" t="s">
        <v>275</v>
      </c>
      <c r="E3783" s="0" t="n">
        <v>2</v>
      </c>
      <c r="F3783" s="0" t="s">
        <v>36</v>
      </c>
      <c r="G3783" s="0" t="s">
        <v>38</v>
      </c>
      <c r="H3783" s="0" t="s">
        <v>38</v>
      </c>
      <c r="I3783" s="0" t="s">
        <v>34</v>
      </c>
      <c r="J3783" s="0" t="n">
        <v>1.56</v>
      </c>
      <c r="K3783" s="0" t="s">
        <v>35</v>
      </c>
      <c r="L3783" s="0" t="n">
        <f aca="false">INDEX(Summary!$F$2:$F$201,MATCH($B3783,Summary!$A$2:$A$201,0))</f>
        <v>20</v>
      </c>
      <c r="M3783" s="0" t="n">
        <f aca="false">INDEX(Summary!$I$2:$I$201,MATCH($B3783,Summary!$A$2:$A$201,0))</f>
        <v>4</v>
      </c>
      <c r="N3783" s="0" t="n">
        <f aca="false">INDEX(Summary!$J$2:$J$201,MATCH($B3783,Summary!$A$2:$A$201,0))</f>
        <v>1</v>
      </c>
      <c r="O3783" s="2" t="n">
        <f aca="false">INDEX(Summary!$K$2:$K$201,MATCH($B3783,Summary!$A$2:$A$201,0))</f>
        <v>7.77</v>
      </c>
      <c r="P3783" s="3" t="n">
        <f aca="false">INDEX(Summary!$L$2:$L$201,MATCH($B3783,Summary!$A$2:$A$201,0))</f>
        <v>5</v>
      </c>
      <c r="Q3783" s="3" t="n">
        <f aca="false">INDEX(Summary!$M$2:$M$201,MATCH($B3783,Summary!$A$2:$A$201,0))</f>
        <v>1</v>
      </c>
      <c r="R3783" s="2" t="n">
        <f aca="false">INDEX(Summary!$N$2:$N$201,MATCH($B3783,Summary!$A$2:$A$201,0))</f>
        <v>10.27</v>
      </c>
      <c r="S3783" s="3" t="n">
        <f aca="false">INDEX(Summary!$O$2:$O$201,MATCH($B3783,Summary!$A$2:$A$201,0))</f>
        <v>8</v>
      </c>
      <c r="T3783" s="3" t="n">
        <f aca="false">INDEX(Summary!$P$2:$P$201,MATCH($B3783,Summary!$A$2:$A$201,0))</f>
        <v>1</v>
      </c>
      <c r="U3783" s="2" t="n">
        <f aca="false">INDEX(Summary!$Q$2:$Q$201,MATCH($B3783,Summary!$A$2:$A$201,0))</f>
        <v>14.13</v>
      </c>
      <c r="V3783" s="2" t="n">
        <f aca="false">INDEX(Summary!$R$2:$R$201,MATCH($B3783,Summary!$A$2:$A$201,0))</f>
        <v>33.68</v>
      </c>
      <c r="W3783" s="0" t="str">
        <f aca="false">INDEX(Summary!$S$2:$S$201,MATCH($B3783,Summary!$A$2:$A$201,0))</f>
        <v>Gold</v>
      </c>
      <c r="X3783" s="2" t="n">
        <f aca="false">INDEX(Summary!$T$2:$T$201,MATCH($B3783,Summary!$A$2:$A$201,0))</f>
        <v>82.15</v>
      </c>
      <c r="Y3783" s="0" t="str">
        <f aca="false">INDEX('Reward Model'!$E$18:$E$37,MATCH($E3783,'Reward Model'!$A$18:$A$37,0))</f>
        <v>Low</v>
      </c>
      <c r="Z3783" s="4" t="n">
        <f aca="false">ROUND(MIN(1,MAX('Reward Model'!$B$2,INDEX('Reward Model'!$C$12:$C$14,MATCH($K3783,'Reward Model'!$A$12:$A$14,0))/$J3783)),3)</f>
        <v>0.962</v>
      </c>
      <c r="AA3783" s="2" t="n">
        <f aca="false">IF($I3783="Correct",ROUND(INDEX('Reward Model'!$B$12:$B$14,MATCH($K3783,'Reward Model'!$A$12:$A$14,0))*Z3783,2),0)</f>
        <v>0.96</v>
      </c>
      <c r="AB3783" s="2" t="n">
        <f aca="false">IF($I3783="Correct",ROUND(INDEX('Reward Model'!$B$12:$B$14,MATCH($Y3783,'Reward Model'!$A$12:$A$14,0))*Z3783,2),0)</f>
        <v>0.96</v>
      </c>
    </row>
    <row r="3784" customFormat="false" ht="15" hidden="false" customHeight="false" outlineLevel="0" collapsed="false">
      <c r="A3784" s="0" t="s">
        <v>510</v>
      </c>
      <c r="B3784" s="0" t="s">
        <v>511</v>
      </c>
      <c r="C3784" s="0" t="s">
        <v>322</v>
      </c>
      <c r="D3784" s="0" t="s">
        <v>275</v>
      </c>
      <c r="E3784" s="0" t="n">
        <v>3</v>
      </c>
      <c r="F3784" s="0" t="s">
        <v>40</v>
      </c>
      <c r="G3784" s="0" t="s">
        <v>42</v>
      </c>
      <c r="H3784" s="0" t="s">
        <v>42</v>
      </c>
      <c r="I3784" s="0" t="s">
        <v>34</v>
      </c>
      <c r="J3784" s="0" t="n">
        <v>1.6</v>
      </c>
      <c r="K3784" s="0" t="s">
        <v>35</v>
      </c>
      <c r="L3784" s="0" t="n">
        <f aca="false">INDEX(Summary!$F$2:$F$201,MATCH($B3784,Summary!$A$2:$A$201,0))</f>
        <v>20</v>
      </c>
      <c r="M3784" s="0" t="n">
        <f aca="false">INDEX(Summary!$I$2:$I$201,MATCH($B3784,Summary!$A$2:$A$201,0))</f>
        <v>4</v>
      </c>
      <c r="N3784" s="0" t="n">
        <f aca="false">INDEX(Summary!$J$2:$J$201,MATCH($B3784,Summary!$A$2:$A$201,0))</f>
        <v>1</v>
      </c>
      <c r="O3784" s="2" t="n">
        <f aca="false">INDEX(Summary!$K$2:$K$201,MATCH($B3784,Summary!$A$2:$A$201,0))</f>
        <v>7.77</v>
      </c>
      <c r="P3784" s="3" t="n">
        <f aca="false">INDEX(Summary!$L$2:$L$201,MATCH($B3784,Summary!$A$2:$A$201,0))</f>
        <v>5</v>
      </c>
      <c r="Q3784" s="3" t="n">
        <f aca="false">INDEX(Summary!$M$2:$M$201,MATCH($B3784,Summary!$A$2:$A$201,0))</f>
        <v>1</v>
      </c>
      <c r="R3784" s="2" t="n">
        <f aca="false">INDEX(Summary!$N$2:$N$201,MATCH($B3784,Summary!$A$2:$A$201,0))</f>
        <v>10.27</v>
      </c>
      <c r="S3784" s="3" t="n">
        <f aca="false">INDEX(Summary!$O$2:$O$201,MATCH($B3784,Summary!$A$2:$A$201,0))</f>
        <v>8</v>
      </c>
      <c r="T3784" s="3" t="n">
        <f aca="false">INDEX(Summary!$P$2:$P$201,MATCH($B3784,Summary!$A$2:$A$201,0))</f>
        <v>1</v>
      </c>
      <c r="U3784" s="2" t="n">
        <f aca="false">INDEX(Summary!$Q$2:$Q$201,MATCH($B3784,Summary!$A$2:$A$201,0))</f>
        <v>14.13</v>
      </c>
      <c r="V3784" s="2" t="n">
        <f aca="false">INDEX(Summary!$R$2:$R$201,MATCH($B3784,Summary!$A$2:$A$201,0))</f>
        <v>33.68</v>
      </c>
      <c r="W3784" s="0" t="str">
        <f aca="false">INDEX(Summary!$S$2:$S$201,MATCH($B3784,Summary!$A$2:$A$201,0))</f>
        <v>Gold</v>
      </c>
      <c r="X3784" s="2" t="n">
        <f aca="false">INDEX(Summary!$T$2:$T$201,MATCH($B3784,Summary!$A$2:$A$201,0))</f>
        <v>82.15</v>
      </c>
      <c r="Y3784" s="0" t="str">
        <f aca="false">INDEX('Reward Model'!$E$18:$E$37,MATCH($E3784,'Reward Model'!$A$18:$A$37,0))</f>
        <v>Medium</v>
      </c>
      <c r="Z3784" s="4" t="n">
        <f aca="false">ROUND(MIN(1,MAX('Reward Model'!$B$2,INDEX('Reward Model'!$C$12:$C$14,MATCH($K3784,'Reward Model'!$A$12:$A$14,0))/$J3784)),3)</f>
        <v>0.938</v>
      </c>
      <c r="AA3784" s="2" t="n">
        <f aca="false">IF($I3784="Correct",ROUND(INDEX('Reward Model'!$B$12:$B$14,MATCH($K3784,'Reward Model'!$A$12:$A$14,0))*Z3784,2),0)</f>
        <v>0.94</v>
      </c>
      <c r="AB3784" s="2" t="n">
        <f aca="false">IF($I3784="Correct",ROUND(INDEX('Reward Model'!$B$12:$B$14,MATCH($Y3784,'Reward Model'!$A$12:$A$14,0))*Z3784,2),0)</f>
        <v>1.88</v>
      </c>
    </row>
    <row r="3785" customFormat="false" ht="15" hidden="false" customHeight="false" outlineLevel="0" collapsed="false">
      <c r="A3785" s="0" t="s">
        <v>510</v>
      </c>
      <c r="B3785" s="0" t="s">
        <v>511</v>
      </c>
      <c r="C3785" s="0" t="s">
        <v>322</v>
      </c>
      <c r="D3785" s="0" t="s">
        <v>275</v>
      </c>
      <c r="E3785" s="0" t="n">
        <v>4</v>
      </c>
      <c r="F3785" s="0" t="s">
        <v>43</v>
      </c>
      <c r="G3785" s="0" t="s">
        <v>45</v>
      </c>
      <c r="H3785" s="0" t="s">
        <v>45</v>
      </c>
      <c r="I3785" s="0" t="s">
        <v>34</v>
      </c>
      <c r="J3785" s="0" t="n">
        <v>1.54</v>
      </c>
      <c r="K3785" s="0" t="s">
        <v>35</v>
      </c>
      <c r="L3785" s="0" t="n">
        <f aca="false">INDEX(Summary!$F$2:$F$201,MATCH($B3785,Summary!$A$2:$A$201,0))</f>
        <v>20</v>
      </c>
      <c r="M3785" s="0" t="n">
        <f aca="false">INDEX(Summary!$I$2:$I$201,MATCH($B3785,Summary!$A$2:$A$201,0))</f>
        <v>4</v>
      </c>
      <c r="N3785" s="0" t="n">
        <f aca="false">INDEX(Summary!$J$2:$J$201,MATCH($B3785,Summary!$A$2:$A$201,0))</f>
        <v>1</v>
      </c>
      <c r="O3785" s="2" t="n">
        <f aca="false">INDEX(Summary!$K$2:$K$201,MATCH($B3785,Summary!$A$2:$A$201,0))</f>
        <v>7.77</v>
      </c>
      <c r="P3785" s="3" t="n">
        <f aca="false">INDEX(Summary!$L$2:$L$201,MATCH($B3785,Summary!$A$2:$A$201,0))</f>
        <v>5</v>
      </c>
      <c r="Q3785" s="3" t="n">
        <f aca="false">INDEX(Summary!$M$2:$M$201,MATCH($B3785,Summary!$A$2:$A$201,0))</f>
        <v>1</v>
      </c>
      <c r="R3785" s="2" t="n">
        <f aca="false">INDEX(Summary!$N$2:$N$201,MATCH($B3785,Summary!$A$2:$A$201,0))</f>
        <v>10.27</v>
      </c>
      <c r="S3785" s="3" t="n">
        <f aca="false">INDEX(Summary!$O$2:$O$201,MATCH($B3785,Summary!$A$2:$A$201,0))</f>
        <v>8</v>
      </c>
      <c r="T3785" s="3" t="n">
        <f aca="false">INDEX(Summary!$P$2:$P$201,MATCH($B3785,Summary!$A$2:$A$201,0))</f>
        <v>1</v>
      </c>
      <c r="U3785" s="2" t="n">
        <f aca="false">INDEX(Summary!$Q$2:$Q$201,MATCH($B3785,Summary!$A$2:$A$201,0))</f>
        <v>14.13</v>
      </c>
      <c r="V3785" s="2" t="n">
        <f aca="false">INDEX(Summary!$R$2:$R$201,MATCH($B3785,Summary!$A$2:$A$201,0))</f>
        <v>33.68</v>
      </c>
      <c r="W3785" s="0" t="str">
        <f aca="false">INDEX(Summary!$S$2:$S$201,MATCH($B3785,Summary!$A$2:$A$201,0))</f>
        <v>Gold</v>
      </c>
      <c r="X3785" s="2" t="n">
        <f aca="false">INDEX(Summary!$T$2:$T$201,MATCH($B3785,Summary!$A$2:$A$201,0))</f>
        <v>82.15</v>
      </c>
      <c r="Y3785" s="0" t="str">
        <f aca="false">INDEX('Reward Model'!$E$18:$E$37,MATCH($E3785,'Reward Model'!$A$18:$A$37,0))</f>
        <v>Low</v>
      </c>
      <c r="Z3785" s="4" t="n">
        <f aca="false">ROUND(MIN(1,MAX('Reward Model'!$B$2,INDEX('Reward Model'!$C$12:$C$14,MATCH($K3785,'Reward Model'!$A$12:$A$14,0))/$J3785)),3)</f>
        <v>0.974</v>
      </c>
      <c r="AA3785" s="2" t="n">
        <f aca="false">IF($I3785="Correct",ROUND(INDEX('Reward Model'!$B$12:$B$14,MATCH($K3785,'Reward Model'!$A$12:$A$14,0))*Z3785,2),0)</f>
        <v>0.97</v>
      </c>
      <c r="AB3785" s="2" t="n">
        <f aca="false">IF($I3785="Correct",ROUND(INDEX('Reward Model'!$B$12:$B$14,MATCH($Y3785,'Reward Model'!$A$12:$A$14,0))*Z3785,2),0)</f>
        <v>0.97</v>
      </c>
    </row>
    <row r="3786" customFormat="false" ht="15" hidden="false" customHeight="false" outlineLevel="0" collapsed="false">
      <c r="A3786" s="0" t="s">
        <v>510</v>
      </c>
      <c r="B3786" s="0" t="s">
        <v>511</v>
      </c>
      <c r="C3786" s="0" t="s">
        <v>322</v>
      </c>
      <c r="D3786" s="0" t="s">
        <v>275</v>
      </c>
      <c r="E3786" s="0" t="n">
        <v>5</v>
      </c>
      <c r="F3786" s="0" t="s">
        <v>46</v>
      </c>
      <c r="G3786" s="0" t="s">
        <v>149</v>
      </c>
      <c r="H3786" s="0" t="s">
        <v>47</v>
      </c>
      <c r="I3786" s="0" t="s">
        <v>39</v>
      </c>
      <c r="J3786" s="0" t="n">
        <v>1.64</v>
      </c>
      <c r="K3786" s="0" t="s">
        <v>35</v>
      </c>
      <c r="L3786" s="0" t="n">
        <f aca="false">INDEX(Summary!$F$2:$F$201,MATCH($B3786,Summary!$A$2:$A$201,0))</f>
        <v>20</v>
      </c>
      <c r="M3786" s="0" t="n">
        <f aca="false">INDEX(Summary!$I$2:$I$201,MATCH($B3786,Summary!$A$2:$A$201,0))</f>
        <v>4</v>
      </c>
      <c r="N3786" s="0" t="n">
        <f aca="false">INDEX(Summary!$J$2:$J$201,MATCH($B3786,Summary!$A$2:$A$201,0))</f>
        <v>1</v>
      </c>
      <c r="O3786" s="2" t="n">
        <f aca="false">INDEX(Summary!$K$2:$K$201,MATCH($B3786,Summary!$A$2:$A$201,0))</f>
        <v>7.77</v>
      </c>
      <c r="P3786" s="3" t="n">
        <f aca="false">INDEX(Summary!$L$2:$L$201,MATCH($B3786,Summary!$A$2:$A$201,0))</f>
        <v>5</v>
      </c>
      <c r="Q3786" s="3" t="n">
        <f aca="false">INDEX(Summary!$M$2:$M$201,MATCH($B3786,Summary!$A$2:$A$201,0))</f>
        <v>1</v>
      </c>
      <c r="R3786" s="2" t="n">
        <f aca="false">INDEX(Summary!$N$2:$N$201,MATCH($B3786,Summary!$A$2:$A$201,0))</f>
        <v>10.27</v>
      </c>
      <c r="S3786" s="3" t="n">
        <f aca="false">INDEX(Summary!$O$2:$O$201,MATCH($B3786,Summary!$A$2:$A$201,0))</f>
        <v>8</v>
      </c>
      <c r="T3786" s="3" t="n">
        <f aca="false">INDEX(Summary!$P$2:$P$201,MATCH($B3786,Summary!$A$2:$A$201,0))</f>
        <v>1</v>
      </c>
      <c r="U3786" s="2" t="n">
        <f aca="false">INDEX(Summary!$Q$2:$Q$201,MATCH($B3786,Summary!$A$2:$A$201,0))</f>
        <v>14.13</v>
      </c>
      <c r="V3786" s="2" t="n">
        <f aca="false">INDEX(Summary!$R$2:$R$201,MATCH($B3786,Summary!$A$2:$A$201,0))</f>
        <v>33.68</v>
      </c>
      <c r="W3786" s="0" t="str">
        <f aca="false">INDEX(Summary!$S$2:$S$201,MATCH($B3786,Summary!$A$2:$A$201,0))</f>
        <v>Gold</v>
      </c>
      <c r="X3786" s="2" t="n">
        <f aca="false">INDEX(Summary!$T$2:$T$201,MATCH($B3786,Summary!$A$2:$A$201,0))</f>
        <v>82.15</v>
      </c>
      <c r="Y3786" s="0" t="str">
        <f aca="false">INDEX('Reward Model'!$E$18:$E$37,MATCH($E3786,'Reward Model'!$A$18:$A$37,0))</f>
        <v>Low</v>
      </c>
      <c r="Z3786" s="4" t="n">
        <f aca="false">ROUND(MIN(1,MAX('Reward Model'!$B$2,INDEX('Reward Model'!$C$12:$C$14,MATCH($K3786,'Reward Model'!$A$12:$A$14,0))/$J3786)),3)</f>
        <v>0.915</v>
      </c>
      <c r="AA3786" s="2" t="n">
        <f aca="false">IF($I3786="Correct",ROUND(INDEX('Reward Model'!$B$12:$B$14,MATCH($K3786,'Reward Model'!$A$12:$A$14,0))*Z3786,2),0)</f>
        <v>0</v>
      </c>
      <c r="AB3786" s="2" t="n">
        <f aca="false">IF($I3786="Correct",ROUND(INDEX('Reward Model'!$B$12:$B$14,MATCH($Y3786,'Reward Model'!$A$12:$A$14,0))*Z3786,2),0)</f>
        <v>0</v>
      </c>
    </row>
    <row r="3787" customFormat="false" ht="15" hidden="false" customHeight="false" outlineLevel="0" collapsed="false">
      <c r="A3787" s="0" t="s">
        <v>510</v>
      </c>
      <c r="B3787" s="0" t="s">
        <v>511</v>
      </c>
      <c r="C3787" s="0" t="s">
        <v>322</v>
      </c>
      <c r="D3787" s="0" t="s">
        <v>275</v>
      </c>
      <c r="E3787" s="0" t="n">
        <v>6</v>
      </c>
      <c r="F3787" s="0" t="s">
        <v>48</v>
      </c>
      <c r="G3787" s="0" t="s">
        <v>49</v>
      </c>
      <c r="H3787" s="0" t="s">
        <v>49</v>
      </c>
      <c r="I3787" s="0" t="s">
        <v>34</v>
      </c>
      <c r="J3787" s="0" t="n">
        <v>1.74</v>
      </c>
      <c r="K3787" s="0" t="s">
        <v>35</v>
      </c>
      <c r="L3787" s="0" t="n">
        <f aca="false">INDEX(Summary!$F$2:$F$201,MATCH($B3787,Summary!$A$2:$A$201,0))</f>
        <v>20</v>
      </c>
      <c r="M3787" s="0" t="n">
        <f aca="false">INDEX(Summary!$I$2:$I$201,MATCH($B3787,Summary!$A$2:$A$201,0))</f>
        <v>4</v>
      </c>
      <c r="N3787" s="0" t="n">
        <f aca="false">INDEX(Summary!$J$2:$J$201,MATCH($B3787,Summary!$A$2:$A$201,0))</f>
        <v>1</v>
      </c>
      <c r="O3787" s="2" t="n">
        <f aca="false">INDEX(Summary!$K$2:$K$201,MATCH($B3787,Summary!$A$2:$A$201,0))</f>
        <v>7.77</v>
      </c>
      <c r="P3787" s="3" t="n">
        <f aca="false">INDEX(Summary!$L$2:$L$201,MATCH($B3787,Summary!$A$2:$A$201,0))</f>
        <v>5</v>
      </c>
      <c r="Q3787" s="3" t="n">
        <f aca="false">INDEX(Summary!$M$2:$M$201,MATCH($B3787,Summary!$A$2:$A$201,0))</f>
        <v>1</v>
      </c>
      <c r="R3787" s="2" t="n">
        <f aca="false">INDEX(Summary!$N$2:$N$201,MATCH($B3787,Summary!$A$2:$A$201,0))</f>
        <v>10.27</v>
      </c>
      <c r="S3787" s="3" t="n">
        <f aca="false">INDEX(Summary!$O$2:$O$201,MATCH($B3787,Summary!$A$2:$A$201,0))</f>
        <v>8</v>
      </c>
      <c r="T3787" s="3" t="n">
        <f aca="false">INDEX(Summary!$P$2:$P$201,MATCH($B3787,Summary!$A$2:$A$201,0))</f>
        <v>1</v>
      </c>
      <c r="U3787" s="2" t="n">
        <f aca="false">INDEX(Summary!$Q$2:$Q$201,MATCH($B3787,Summary!$A$2:$A$201,0))</f>
        <v>14.13</v>
      </c>
      <c r="V3787" s="2" t="n">
        <f aca="false">INDEX(Summary!$R$2:$R$201,MATCH($B3787,Summary!$A$2:$A$201,0))</f>
        <v>33.68</v>
      </c>
      <c r="W3787" s="0" t="str">
        <f aca="false">INDEX(Summary!$S$2:$S$201,MATCH($B3787,Summary!$A$2:$A$201,0))</f>
        <v>Gold</v>
      </c>
      <c r="X3787" s="2" t="n">
        <f aca="false">INDEX(Summary!$T$2:$T$201,MATCH($B3787,Summary!$A$2:$A$201,0))</f>
        <v>82.15</v>
      </c>
      <c r="Y3787" s="0" t="str">
        <f aca="false">INDEX('Reward Model'!$E$18:$E$37,MATCH($E3787,'Reward Model'!$A$18:$A$37,0))</f>
        <v>Medium</v>
      </c>
      <c r="Z3787" s="4" t="n">
        <f aca="false">ROUND(MIN(1,MAX('Reward Model'!$B$2,INDEX('Reward Model'!$C$12:$C$14,MATCH($K3787,'Reward Model'!$A$12:$A$14,0))/$J3787)),3)</f>
        <v>0.862</v>
      </c>
      <c r="AA3787" s="2" t="n">
        <f aca="false">IF($I3787="Correct",ROUND(INDEX('Reward Model'!$B$12:$B$14,MATCH($K3787,'Reward Model'!$A$12:$A$14,0))*Z3787,2),0)</f>
        <v>0.86</v>
      </c>
      <c r="AB3787" s="2" t="n">
        <f aca="false">IF($I3787="Correct",ROUND(INDEX('Reward Model'!$B$12:$B$14,MATCH($Y3787,'Reward Model'!$A$12:$A$14,0))*Z3787,2),0)</f>
        <v>1.72</v>
      </c>
    </row>
    <row r="3788" customFormat="false" ht="15" hidden="false" customHeight="false" outlineLevel="0" collapsed="false">
      <c r="A3788" s="0" t="s">
        <v>510</v>
      </c>
      <c r="B3788" s="0" t="s">
        <v>511</v>
      </c>
      <c r="C3788" s="0" t="s">
        <v>322</v>
      </c>
      <c r="D3788" s="0" t="s">
        <v>275</v>
      </c>
      <c r="E3788" s="0" t="n">
        <v>7</v>
      </c>
      <c r="F3788" s="0" t="s">
        <v>50</v>
      </c>
      <c r="G3788" s="0" t="s">
        <v>51</v>
      </c>
      <c r="H3788" s="0" t="s">
        <v>51</v>
      </c>
      <c r="I3788" s="0" t="s">
        <v>34</v>
      </c>
      <c r="J3788" s="0" t="n">
        <v>1.71</v>
      </c>
      <c r="K3788" s="0" t="s">
        <v>35</v>
      </c>
      <c r="L3788" s="0" t="n">
        <f aca="false">INDEX(Summary!$F$2:$F$201,MATCH($B3788,Summary!$A$2:$A$201,0))</f>
        <v>20</v>
      </c>
      <c r="M3788" s="0" t="n">
        <f aca="false">INDEX(Summary!$I$2:$I$201,MATCH($B3788,Summary!$A$2:$A$201,0))</f>
        <v>4</v>
      </c>
      <c r="N3788" s="0" t="n">
        <f aca="false">INDEX(Summary!$J$2:$J$201,MATCH($B3788,Summary!$A$2:$A$201,0))</f>
        <v>1</v>
      </c>
      <c r="O3788" s="2" t="n">
        <f aca="false">INDEX(Summary!$K$2:$K$201,MATCH($B3788,Summary!$A$2:$A$201,0))</f>
        <v>7.77</v>
      </c>
      <c r="P3788" s="3" t="n">
        <f aca="false">INDEX(Summary!$L$2:$L$201,MATCH($B3788,Summary!$A$2:$A$201,0))</f>
        <v>5</v>
      </c>
      <c r="Q3788" s="3" t="n">
        <f aca="false">INDEX(Summary!$M$2:$M$201,MATCH($B3788,Summary!$A$2:$A$201,0))</f>
        <v>1</v>
      </c>
      <c r="R3788" s="2" t="n">
        <f aca="false">INDEX(Summary!$N$2:$N$201,MATCH($B3788,Summary!$A$2:$A$201,0))</f>
        <v>10.27</v>
      </c>
      <c r="S3788" s="3" t="n">
        <f aca="false">INDEX(Summary!$O$2:$O$201,MATCH($B3788,Summary!$A$2:$A$201,0))</f>
        <v>8</v>
      </c>
      <c r="T3788" s="3" t="n">
        <f aca="false">INDEX(Summary!$P$2:$P$201,MATCH($B3788,Summary!$A$2:$A$201,0))</f>
        <v>1</v>
      </c>
      <c r="U3788" s="2" t="n">
        <f aca="false">INDEX(Summary!$Q$2:$Q$201,MATCH($B3788,Summary!$A$2:$A$201,0))</f>
        <v>14.13</v>
      </c>
      <c r="V3788" s="2" t="n">
        <f aca="false">INDEX(Summary!$R$2:$R$201,MATCH($B3788,Summary!$A$2:$A$201,0))</f>
        <v>33.68</v>
      </c>
      <c r="W3788" s="0" t="str">
        <f aca="false">INDEX(Summary!$S$2:$S$201,MATCH($B3788,Summary!$A$2:$A$201,0))</f>
        <v>Gold</v>
      </c>
      <c r="X3788" s="2" t="n">
        <f aca="false">INDEX(Summary!$T$2:$T$201,MATCH($B3788,Summary!$A$2:$A$201,0))</f>
        <v>82.15</v>
      </c>
      <c r="Y3788" s="0" t="str">
        <f aca="false">INDEX('Reward Model'!$E$18:$E$37,MATCH($E3788,'Reward Model'!$A$18:$A$37,0))</f>
        <v>Low</v>
      </c>
      <c r="Z3788" s="4" t="n">
        <f aca="false">ROUND(MIN(1,MAX('Reward Model'!$B$2,INDEX('Reward Model'!$C$12:$C$14,MATCH($K3788,'Reward Model'!$A$12:$A$14,0))/$J3788)),3)</f>
        <v>0.877</v>
      </c>
      <c r="AA3788" s="2" t="n">
        <f aca="false">IF($I3788="Correct",ROUND(INDEX('Reward Model'!$B$12:$B$14,MATCH($K3788,'Reward Model'!$A$12:$A$14,0))*Z3788,2),0)</f>
        <v>0.88</v>
      </c>
      <c r="AB3788" s="2" t="n">
        <f aca="false">IF($I3788="Correct",ROUND(INDEX('Reward Model'!$B$12:$B$14,MATCH($Y3788,'Reward Model'!$A$12:$A$14,0))*Z3788,2),0)</f>
        <v>0.88</v>
      </c>
    </row>
    <row r="3789" customFormat="false" ht="15" hidden="false" customHeight="false" outlineLevel="0" collapsed="false">
      <c r="A3789" s="0" t="s">
        <v>510</v>
      </c>
      <c r="B3789" s="0" t="s">
        <v>511</v>
      </c>
      <c r="C3789" s="0" t="s">
        <v>322</v>
      </c>
      <c r="D3789" s="0" t="s">
        <v>275</v>
      </c>
      <c r="E3789" s="0" t="n">
        <v>8</v>
      </c>
      <c r="F3789" s="0" t="s">
        <v>52</v>
      </c>
      <c r="G3789" s="0" t="s">
        <v>54</v>
      </c>
      <c r="H3789" s="0" t="s">
        <v>54</v>
      </c>
      <c r="I3789" s="0" t="s">
        <v>34</v>
      </c>
      <c r="J3789" s="0" t="n">
        <v>1.74</v>
      </c>
      <c r="K3789" s="0" t="s">
        <v>35</v>
      </c>
      <c r="L3789" s="0" t="n">
        <f aca="false">INDEX(Summary!$F$2:$F$201,MATCH($B3789,Summary!$A$2:$A$201,0))</f>
        <v>20</v>
      </c>
      <c r="M3789" s="0" t="n">
        <f aca="false">INDEX(Summary!$I$2:$I$201,MATCH($B3789,Summary!$A$2:$A$201,0))</f>
        <v>4</v>
      </c>
      <c r="N3789" s="0" t="n">
        <f aca="false">INDEX(Summary!$J$2:$J$201,MATCH($B3789,Summary!$A$2:$A$201,0))</f>
        <v>1</v>
      </c>
      <c r="O3789" s="2" t="n">
        <f aca="false">INDEX(Summary!$K$2:$K$201,MATCH($B3789,Summary!$A$2:$A$201,0))</f>
        <v>7.77</v>
      </c>
      <c r="P3789" s="3" t="n">
        <f aca="false">INDEX(Summary!$L$2:$L$201,MATCH($B3789,Summary!$A$2:$A$201,0))</f>
        <v>5</v>
      </c>
      <c r="Q3789" s="3" t="n">
        <f aca="false">INDEX(Summary!$M$2:$M$201,MATCH($B3789,Summary!$A$2:$A$201,0))</f>
        <v>1</v>
      </c>
      <c r="R3789" s="2" t="n">
        <f aca="false">INDEX(Summary!$N$2:$N$201,MATCH($B3789,Summary!$A$2:$A$201,0))</f>
        <v>10.27</v>
      </c>
      <c r="S3789" s="3" t="n">
        <f aca="false">INDEX(Summary!$O$2:$O$201,MATCH($B3789,Summary!$A$2:$A$201,0))</f>
        <v>8</v>
      </c>
      <c r="T3789" s="3" t="n">
        <f aca="false">INDEX(Summary!$P$2:$P$201,MATCH($B3789,Summary!$A$2:$A$201,0))</f>
        <v>1</v>
      </c>
      <c r="U3789" s="2" t="n">
        <f aca="false">INDEX(Summary!$Q$2:$Q$201,MATCH($B3789,Summary!$A$2:$A$201,0))</f>
        <v>14.13</v>
      </c>
      <c r="V3789" s="2" t="n">
        <f aca="false">INDEX(Summary!$R$2:$R$201,MATCH($B3789,Summary!$A$2:$A$201,0))</f>
        <v>33.68</v>
      </c>
      <c r="W3789" s="0" t="str">
        <f aca="false">INDEX(Summary!$S$2:$S$201,MATCH($B3789,Summary!$A$2:$A$201,0))</f>
        <v>Gold</v>
      </c>
      <c r="X3789" s="2" t="n">
        <f aca="false">INDEX(Summary!$T$2:$T$201,MATCH($B3789,Summary!$A$2:$A$201,0))</f>
        <v>82.15</v>
      </c>
      <c r="Y3789" s="0" t="str">
        <f aca="false">INDEX('Reward Model'!$E$18:$E$37,MATCH($E3789,'Reward Model'!$A$18:$A$37,0))</f>
        <v>Medium</v>
      </c>
      <c r="Z3789" s="4" t="n">
        <f aca="false">ROUND(MIN(1,MAX('Reward Model'!$B$2,INDEX('Reward Model'!$C$12:$C$14,MATCH($K3789,'Reward Model'!$A$12:$A$14,0))/$J3789)),3)</f>
        <v>0.862</v>
      </c>
      <c r="AA3789" s="2" t="n">
        <f aca="false">IF($I3789="Correct",ROUND(INDEX('Reward Model'!$B$12:$B$14,MATCH($K3789,'Reward Model'!$A$12:$A$14,0))*Z3789,2),0)</f>
        <v>0.86</v>
      </c>
      <c r="AB3789" s="2" t="n">
        <f aca="false">IF($I3789="Correct",ROUND(INDEX('Reward Model'!$B$12:$B$14,MATCH($Y3789,'Reward Model'!$A$12:$A$14,0))*Z3789,2),0)</f>
        <v>1.72</v>
      </c>
    </row>
    <row r="3790" customFormat="false" ht="15" hidden="false" customHeight="false" outlineLevel="0" collapsed="false">
      <c r="A3790" s="0" t="s">
        <v>510</v>
      </c>
      <c r="B3790" s="0" t="s">
        <v>511</v>
      </c>
      <c r="C3790" s="0" t="s">
        <v>322</v>
      </c>
      <c r="D3790" s="0" t="s">
        <v>275</v>
      </c>
      <c r="E3790" s="0" t="n">
        <v>9</v>
      </c>
      <c r="F3790" s="0" t="s">
        <v>55</v>
      </c>
      <c r="G3790" s="0" t="s">
        <v>57</v>
      </c>
      <c r="H3790" s="0" t="s">
        <v>57</v>
      </c>
      <c r="I3790" s="0" t="s">
        <v>34</v>
      </c>
      <c r="J3790" s="0" t="n">
        <v>0.93</v>
      </c>
      <c r="K3790" s="0" t="s">
        <v>35</v>
      </c>
      <c r="L3790" s="0" t="n">
        <f aca="false">INDEX(Summary!$F$2:$F$201,MATCH($B3790,Summary!$A$2:$A$201,0))</f>
        <v>20</v>
      </c>
      <c r="M3790" s="0" t="n">
        <f aca="false">INDEX(Summary!$I$2:$I$201,MATCH($B3790,Summary!$A$2:$A$201,0))</f>
        <v>4</v>
      </c>
      <c r="N3790" s="0" t="n">
        <f aca="false">INDEX(Summary!$J$2:$J$201,MATCH($B3790,Summary!$A$2:$A$201,0))</f>
        <v>1</v>
      </c>
      <c r="O3790" s="2" t="n">
        <f aca="false">INDEX(Summary!$K$2:$K$201,MATCH($B3790,Summary!$A$2:$A$201,0))</f>
        <v>7.77</v>
      </c>
      <c r="P3790" s="3" t="n">
        <f aca="false">INDEX(Summary!$L$2:$L$201,MATCH($B3790,Summary!$A$2:$A$201,0))</f>
        <v>5</v>
      </c>
      <c r="Q3790" s="3" t="n">
        <f aca="false">INDEX(Summary!$M$2:$M$201,MATCH($B3790,Summary!$A$2:$A$201,0))</f>
        <v>1</v>
      </c>
      <c r="R3790" s="2" t="n">
        <f aca="false">INDEX(Summary!$N$2:$N$201,MATCH($B3790,Summary!$A$2:$A$201,0))</f>
        <v>10.27</v>
      </c>
      <c r="S3790" s="3" t="n">
        <f aca="false">INDEX(Summary!$O$2:$O$201,MATCH($B3790,Summary!$A$2:$A$201,0))</f>
        <v>8</v>
      </c>
      <c r="T3790" s="3" t="n">
        <f aca="false">INDEX(Summary!$P$2:$P$201,MATCH($B3790,Summary!$A$2:$A$201,0))</f>
        <v>1</v>
      </c>
      <c r="U3790" s="2" t="n">
        <f aca="false">INDEX(Summary!$Q$2:$Q$201,MATCH($B3790,Summary!$A$2:$A$201,0))</f>
        <v>14.13</v>
      </c>
      <c r="V3790" s="2" t="n">
        <f aca="false">INDEX(Summary!$R$2:$R$201,MATCH($B3790,Summary!$A$2:$A$201,0))</f>
        <v>33.68</v>
      </c>
      <c r="W3790" s="0" t="str">
        <f aca="false">INDEX(Summary!$S$2:$S$201,MATCH($B3790,Summary!$A$2:$A$201,0))</f>
        <v>Gold</v>
      </c>
      <c r="X3790" s="2" t="n">
        <f aca="false">INDEX(Summary!$T$2:$T$201,MATCH($B3790,Summary!$A$2:$A$201,0))</f>
        <v>82.15</v>
      </c>
      <c r="Y3790" s="0" t="str">
        <f aca="false">INDEX('Reward Model'!$E$18:$E$37,MATCH($E3790,'Reward Model'!$A$18:$A$37,0))</f>
        <v>Medium</v>
      </c>
      <c r="Z3790" s="4" t="n">
        <f aca="false">ROUND(MIN(1,MAX('Reward Model'!$B$2,INDEX('Reward Model'!$C$12:$C$14,MATCH($K3790,'Reward Model'!$A$12:$A$14,0))/$J3790)),3)</f>
        <v>1</v>
      </c>
      <c r="AA3790" s="2" t="n">
        <f aca="false">IF($I3790="Correct",ROUND(INDEX('Reward Model'!$B$12:$B$14,MATCH($K3790,'Reward Model'!$A$12:$A$14,0))*Z3790,2),0)</f>
        <v>1</v>
      </c>
      <c r="AB3790" s="2" t="n">
        <f aca="false">IF($I3790="Correct",ROUND(INDEX('Reward Model'!$B$12:$B$14,MATCH($Y3790,'Reward Model'!$A$12:$A$14,0))*Z3790,2),0)</f>
        <v>2</v>
      </c>
    </row>
    <row r="3791" customFormat="false" ht="15" hidden="false" customHeight="false" outlineLevel="0" collapsed="false">
      <c r="A3791" s="0" t="s">
        <v>510</v>
      </c>
      <c r="B3791" s="0" t="s">
        <v>511</v>
      </c>
      <c r="C3791" s="0" t="s">
        <v>322</v>
      </c>
      <c r="D3791" s="0" t="s">
        <v>275</v>
      </c>
      <c r="E3791" s="0" t="n">
        <v>10</v>
      </c>
      <c r="F3791" s="0" t="s">
        <v>58</v>
      </c>
      <c r="G3791" s="0" t="s">
        <v>59</v>
      </c>
      <c r="H3791" s="0" t="s">
        <v>59</v>
      </c>
      <c r="I3791" s="0" t="s">
        <v>34</v>
      </c>
      <c r="J3791" s="0" t="n">
        <v>1.65</v>
      </c>
      <c r="K3791" s="0" t="s">
        <v>60</v>
      </c>
      <c r="L3791" s="0" t="n">
        <f aca="false">INDEX(Summary!$F$2:$F$201,MATCH($B3791,Summary!$A$2:$A$201,0))</f>
        <v>20</v>
      </c>
      <c r="M3791" s="0" t="n">
        <f aca="false">INDEX(Summary!$I$2:$I$201,MATCH($B3791,Summary!$A$2:$A$201,0))</f>
        <v>4</v>
      </c>
      <c r="N3791" s="0" t="n">
        <f aca="false">INDEX(Summary!$J$2:$J$201,MATCH($B3791,Summary!$A$2:$A$201,0))</f>
        <v>1</v>
      </c>
      <c r="O3791" s="2" t="n">
        <f aca="false">INDEX(Summary!$K$2:$K$201,MATCH($B3791,Summary!$A$2:$A$201,0))</f>
        <v>7.77</v>
      </c>
      <c r="P3791" s="3" t="n">
        <f aca="false">INDEX(Summary!$L$2:$L$201,MATCH($B3791,Summary!$A$2:$A$201,0))</f>
        <v>5</v>
      </c>
      <c r="Q3791" s="3" t="n">
        <f aca="false">INDEX(Summary!$M$2:$M$201,MATCH($B3791,Summary!$A$2:$A$201,0))</f>
        <v>1</v>
      </c>
      <c r="R3791" s="2" t="n">
        <f aca="false">INDEX(Summary!$N$2:$N$201,MATCH($B3791,Summary!$A$2:$A$201,0))</f>
        <v>10.27</v>
      </c>
      <c r="S3791" s="3" t="n">
        <f aca="false">INDEX(Summary!$O$2:$O$201,MATCH($B3791,Summary!$A$2:$A$201,0))</f>
        <v>8</v>
      </c>
      <c r="T3791" s="3" t="n">
        <f aca="false">INDEX(Summary!$P$2:$P$201,MATCH($B3791,Summary!$A$2:$A$201,0))</f>
        <v>1</v>
      </c>
      <c r="U3791" s="2" t="n">
        <f aca="false">INDEX(Summary!$Q$2:$Q$201,MATCH($B3791,Summary!$A$2:$A$201,0))</f>
        <v>14.13</v>
      </c>
      <c r="V3791" s="2" t="n">
        <f aca="false">INDEX(Summary!$R$2:$R$201,MATCH($B3791,Summary!$A$2:$A$201,0))</f>
        <v>33.68</v>
      </c>
      <c r="W3791" s="0" t="str">
        <f aca="false">INDEX(Summary!$S$2:$S$201,MATCH($B3791,Summary!$A$2:$A$201,0))</f>
        <v>Gold</v>
      </c>
      <c r="X3791" s="2" t="n">
        <f aca="false">INDEX(Summary!$T$2:$T$201,MATCH($B3791,Summary!$A$2:$A$201,0))</f>
        <v>82.15</v>
      </c>
      <c r="Y3791" s="0" t="str">
        <f aca="false">INDEX('Reward Model'!$E$18:$E$37,MATCH($E3791,'Reward Model'!$A$18:$A$37,0))</f>
        <v>Medium</v>
      </c>
      <c r="Z3791" s="4" t="n">
        <f aca="false">ROUND(MIN(1,MAX('Reward Model'!$B$2,INDEX('Reward Model'!$C$12:$C$14,MATCH($K3791,'Reward Model'!$A$12:$A$14,0))/$J3791)),3)</f>
        <v>1</v>
      </c>
      <c r="AA3791" s="2" t="n">
        <f aca="false">IF($I3791="Correct",ROUND(INDEX('Reward Model'!$B$12:$B$14,MATCH($K3791,'Reward Model'!$A$12:$A$14,0))*Z3791,2),0)</f>
        <v>2</v>
      </c>
      <c r="AB3791" s="2" t="n">
        <f aca="false">IF($I3791="Correct",ROUND(INDEX('Reward Model'!$B$12:$B$14,MATCH($Y3791,'Reward Model'!$A$12:$A$14,0))*Z3791,2),0)</f>
        <v>2</v>
      </c>
    </row>
    <row r="3792" customFormat="false" ht="15" hidden="false" customHeight="false" outlineLevel="0" collapsed="false">
      <c r="A3792" s="0" t="s">
        <v>510</v>
      </c>
      <c r="B3792" s="0" t="s">
        <v>511</v>
      </c>
      <c r="C3792" s="0" t="s">
        <v>322</v>
      </c>
      <c r="D3792" s="0" t="s">
        <v>275</v>
      </c>
      <c r="E3792" s="0" t="n">
        <v>11</v>
      </c>
      <c r="F3792" s="0" t="s">
        <v>61</v>
      </c>
      <c r="G3792" s="0" t="s">
        <v>145</v>
      </c>
      <c r="H3792" s="0" t="s">
        <v>63</v>
      </c>
      <c r="I3792" s="0" t="s">
        <v>39</v>
      </c>
      <c r="J3792" s="0" t="n">
        <v>2.21</v>
      </c>
      <c r="K3792" s="0" t="s">
        <v>60</v>
      </c>
      <c r="L3792" s="0" t="n">
        <f aca="false">INDEX(Summary!$F$2:$F$201,MATCH($B3792,Summary!$A$2:$A$201,0))</f>
        <v>20</v>
      </c>
      <c r="M3792" s="0" t="n">
        <f aca="false">INDEX(Summary!$I$2:$I$201,MATCH($B3792,Summary!$A$2:$A$201,0))</f>
        <v>4</v>
      </c>
      <c r="N3792" s="0" t="n">
        <f aca="false">INDEX(Summary!$J$2:$J$201,MATCH($B3792,Summary!$A$2:$A$201,0))</f>
        <v>1</v>
      </c>
      <c r="O3792" s="2" t="n">
        <f aca="false">INDEX(Summary!$K$2:$K$201,MATCH($B3792,Summary!$A$2:$A$201,0))</f>
        <v>7.77</v>
      </c>
      <c r="P3792" s="3" t="n">
        <f aca="false">INDEX(Summary!$L$2:$L$201,MATCH($B3792,Summary!$A$2:$A$201,0))</f>
        <v>5</v>
      </c>
      <c r="Q3792" s="3" t="n">
        <f aca="false">INDEX(Summary!$M$2:$M$201,MATCH($B3792,Summary!$A$2:$A$201,0))</f>
        <v>1</v>
      </c>
      <c r="R3792" s="2" t="n">
        <f aca="false">INDEX(Summary!$N$2:$N$201,MATCH($B3792,Summary!$A$2:$A$201,0))</f>
        <v>10.27</v>
      </c>
      <c r="S3792" s="3" t="n">
        <f aca="false">INDEX(Summary!$O$2:$O$201,MATCH($B3792,Summary!$A$2:$A$201,0))</f>
        <v>8</v>
      </c>
      <c r="T3792" s="3" t="n">
        <f aca="false">INDEX(Summary!$P$2:$P$201,MATCH($B3792,Summary!$A$2:$A$201,0))</f>
        <v>1</v>
      </c>
      <c r="U3792" s="2" t="n">
        <f aca="false">INDEX(Summary!$Q$2:$Q$201,MATCH($B3792,Summary!$A$2:$A$201,0))</f>
        <v>14.13</v>
      </c>
      <c r="V3792" s="2" t="n">
        <f aca="false">INDEX(Summary!$R$2:$R$201,MATCH($B3792,Summary!$A$2:$A$201,0))</f>
        <v>33.68</v>
      </c>
      <c r="W3792" s="0" t="str">
        <f aca="false">INDEX(Summary!$S$2:$S$201,MATCH($B3792,Summary!$A$2:$A$201,0))</f>
        <v>Gold</v>
      </c>
      <c r="X3792" s="2" t="n">
        <f aca="false">INDEX(Summary!$T$2:$T$201,MATCH($B3792,Summary!$A$2:$A$201,0))</f>
        <v>82.15</v>
      </c>
      <c r="Y3792" s="0" t="str">
        <f aca="false">INDEX('Reward Model'!$E$18:$E$37,MATCH($E3792,'Reward Model'!$A$18:$A$37,0))</f>
        <v>Medium</v>
      </c>
      <c r="Z3792" s="4" t="n">
        <f aca="false">ROUND(MIN(1,MAX('Reward Model'!$B$2,INDEX('Reward Model'!$C$12:$C$14,MATCH($K3792,'Reward Model'!$A$12:$A$14,0))/$J3792)),3)</f>
        <v>0.814</v>
      </c>
      <c r="AA3792" s="2" t="n">
        <f aca="false">IF($I3792="Correct",ROUND(INDEX('Reward Model'!$B$12:$B$14,MATCH($K3792,'Reward Model'!$A$12:$A$14,0))*Z3792,2),0)</f>
        <v>0</v>
      </c>
      <c r="AB3792" s="2" t="n">
        <f aca="false">IF($I3792="Correct",ROUND(INDEX('Reward Model'!$B$12:$B$14,MATCH($Y3792,'Reward Model'!$A$12:$A$14,0))*Z3792,2),0)</f>
        <v>0</v>
      </c>
    </row>
    <row r="3793" customFormat="false" ht="15" hidden="false" customHeight="false" outlineLevel="0" collapsed="false">
      <c r="A3793" s="0" t="s">
        <v>510</v>
      </c>
      <c r="B3793" s="0" t="s">
        <v>511</v>
      </c>
      <c r="C3793" s="0" t="s">
        <v>322</v>
      </c>
      <c r="D3793" s="0" t="s">
        <v>275</v>
      </c>
      <c r="E3793" s="0" t="n">
        <v>12</v>
      </c>
      <c r="F3793" s="0" t="s">
        <v>64</v>
      </c>
      <c r="G3793" s="0" t="s">
        <v>65</v>
      </c>
      <c r="H3793" s="0" t="s">
        <v>65</v>
      </c>
      <c r="I3793" s="0" t="s">
        <v>34</v>
      </c>
      <c r="J3793" s="0" t="n">
        <v>1.5</v>
      </c>
      <c r="K3793" s="0" t="s">
        <v>60</v>
      </c>
      <c r="L3793" s="0" t="n">
        <f aca="false">INDEX(Summary!$F$2:$F$201,MATCH($B3793,Summary!$A$2:$A$201,0))</f>
        <v>20</v>
      </c>
      <c r="M3793" s="0" t="n">
        <f aca="false">INDEX(Summary!$I$2:$I$201,MATCH($B3793,Summary!$A$2:$A$201,0))</f>
        <v>4</v>
      </c>
      <c r="N3793" s="0" t="n">
        <f aca="false">INDEX(Summary!$J$2:$J$201,MATCH($B3793,Summary!$A$2:$A$201,0))</f>
        <v>1</v>
      </c>
      <c r="O3793" s="2" t="n">
        <f aca="false">INDEX(Summary!$K$2:$K$201,MATCH($B3793,Summary!$A$2:$A$201,0))</f>
        <v>7.77</v>
      </c>
      <c r="P3793" s="3" t="n">
        <f aca="false">INDEX(Summary!$L$2:$L$201,MATCH($B3793,Summary!$A$2:$A$201,0))</f>
        <v>5</v>
      </c>
      <c r="Q3793" s="3" t="n">
        <f aca="false">INDEX(Summary!$M$2:$M$201,MATCH($B3793,Summary!$A$2:$A$201,0))</f>
        <v>1</v>
      </c>
      <c r="R3793" s="2" t="n">
        <f aca="false">INDEX(Summary!$N$2:$N$201,MATCH($B3793,Summary!$A$2:$A$201,0))</f>
        <v>10.27</v>
      </c>
      <c r="S3793" s="3" t="n">
        <f aca="false">INDEX(Summary!$O$2:$O$201,MATCH($B3793,Summary!$A$2:$A$201,0))</f>
        <v>8</v>
      </c>
      <c r="T3793" s="3" t="n">
        <f aca="false">INDEX(Summary!$P$2:$P$201,MATCH($B3793,Summary!$A$2:$A$201,0))</f>
        <v>1</v>
      </c>
      <c r="U3793" s="2" t="n">
        <f aca="false">INDEX(Summary!$Q$2:$Q$201,MATCH($B3793,Summary!$A$2:$A$201,0))</f>
        <v>14.13</v>
      </c>
      <c r="V3793" s="2" t="n">
        <f aca="false">INDEX(Summary!$R$2:$R$201,MATCH($B3793,Summary!$A$2:$A$201,0))</f>
        <v>33.68</v>
      </c>
      <c r="W3793" s="0" t="str">
        <f aca="false">INDEX(Summary!$S$2:$S$201,MATCH($B3793,Summary!$A$2:$A$201,0))</f>
        <v>Gold</v>
      </c>
      <c r="X3793" s="2" t="n">
        <f aca="false">INDEX(Summary!$T$2:$T$201,MATCH($B3793,Summary!$A$2:$A$201,0))</f>
        <v>82.15</v>
      </c>
      <c r="Y3793" s="0" t="str">
        <f aca="false">INDEX('Reward Model'!$E$18:$E$37,MATCH($E3793,'Reward Model'!$A$18:$A$37,0))</f>
        <v>Medium</v>
      </c>
      <c r="Z3793" s="4" t="n">
        <f aca="false">ROUND(MIN(1,MAX('Reward Model'!$B$2,INDEX('Reward Model'!$C$12:$C$14,MATCH($K3793,'Reward Model'!$A$12:$A$14,0))/$J3793)),3)</f>
        <v>1</v>
      </c>
      <c r="AA3793" s="2" t="n">
        <f aca="false">IF($I3793="Correct",ROUND(INDEX('Reward Model'!$B$12:$B$14,MATCH($K3793,'Reward Model'!$A$12:$A$14,0))*Z3793,2),0)</f>
        <v>2</v>
      </c>
      <c r="AB3793" s="2" t="n">
        <f aca="false">IF($I3793="Correct",ROUND(INDEX('Reward Model'!$B$12:$B$14,MATCH($Y3793,'Reward Model'!$A$12:$A$14,0))*Z3793,2),0)</f>
        <v>2</v>
      </c>
    </row>
    <row r="3794" customFormat="false" ht="15" hidden="false" customHeight="false" outlineLevel="0" collapsed="false">
      <c r="A3794" s="0" t="s">
        <v>510</v>
      </c>
      <c r="B3794" s="0" t="s">
        <v>511</v>
      </c>
      <c r="C3794" s="0" t="s">
        <v>322</v>
      </c>
      <c r="D3794" s="0" t="s">
        <v>275</v>
      </c>
      <c r="E3794" s="0" t="n">
        <v>13</v>
      </c>
      <c r="F3794" s="0" t="s">
        <v>66</v>
      </c>
      <c r="G3794" s="0" t="s">
        <v>67</v>
      </c>
      <c r="H3794" s="0" t="s">
        <v>67</v>
      </c>
      <c r="I3794" s="0" t="s">
        <v>34</v>
      </c>
      <c r="J3794" s="0" t="n">
        <v>1.47</v>
      </c>
      <c r="K3794" s="0" t="s">
        <v>60</v>
      </c>
      <c r="L3794" s="0" t="n">
        <f aca="false">INDEX(Summary!$F$2:$F$201,MATCH($B3794,Summary!$A$2:$A$201,0))</f>
        <v>20</v>
      </c>
      <c r="M3794" s="0" t="n">
        <f aca="false">INDEX(Summary!$I$2:$I$201,MATCH($B3794,Summary!$A$2:$A$201,0))</f>
        <v>4</v>
      </c>
      <c r="N3794" s="0" t="n">
        <f aca="false">INDEX(Summary!$J$2:$J$201,MATCH($B3794,Summary!$A$2:$A$201,0))</f>
        <v>1</v>
      </c>
      <c r="O3794" s="2" t="n">
        <f aca="false">INDEX(Summary!$K$2:$K$201,MATCH($B3794,Summary!$A$2:$A$201,0))</f>
        <v>7.77</v>
      </c>
      <c r="P3794" s="3" t="n">
        <f aca="false">INDEX(Summary!$L$2:$L$201,MATCH($B3794,Summary!$A$2:$A$201,0))</f>
        <v>5</v>
      </c>
      <c r="Q3794" s="3" t="n">
        <f aca="false">INDEX(Summary!$M$2:$M$201,MATCH($B3794,Summary!$A$2:$A$201,0))</f>
        <v>1</v>
      </c>
      <c r="R3794" s="2" t="n">
        <f aca="false">INDEX(Summary!$N$2:$N$201,MATCH($B3794,Summary!$A$2:$A$201,0))</f>
        <v>10.27</v>
      </c>
      <c r="S3794" s="3" t="n">
        <f aca="false">INDEX(Summary!$O$2:$O$201,MATCH($B3794,Summary!$A$2:$A$201,0))</f>
        <v>8</v>
      </c>
      <c r="T3794" s="3" t="n">
        <f aca="false">INDEX(Summary!$P$2:$P$201,MATCH($B3794,Summary!$A$2:$A$201,0))</f>
        <v>1</v>
      </c>
      <c r="U3794" s="2" t="n">
        <f aca="false">INDEX(Summary!$Q$2:$Q$201,MATCH($B3794,Summary!$A$2:$A$201,0))</f>
        <v>14.13</v>
      </c>
      <c r="V3794" s="2" t="n">
        <f aca="false">INDEX(Summary!$R$2:$R$201,MATCH($B3794,Summary!$A$2:$A$201,0))</f>
        <v>33.68</v>
      </c>
      <c r="W3794" s="0" t="str">
        <f aca="false">INDEX(Summary!$S$2:$S$201,MATCH($B3794,Summary!$A$2:$A$201,0))</f>
        <v>Gold</v>
      </c>
      <c r="X3794" s="2" t="n">
        <f aca="false">INDEX(Summary!$T$2:$T$201,MATCH($B3794,Summary!$A$2:$A$201,0))</f>
        <v>82.15</v>
      </c>
      <c r="Y3794" s="0" t="str">
        <f aca="false">INDEX('Reward Model'!$E$18:$E$37,MATCH($E3794,'Reward Model'!$A$18:$A$37,0))</f>
        <v>Medium</v>
      </c>
      <c r="Z3794" s="4" t="n">
        <f aca="false">ROUND(MIN(1,MAX('Reward Model'!$B$2,INDEX('Reward Model'!$C$12:$C$14,MATCH($K3794,'Reward Model'!$A$12:$A$14,0))/$J3794)),3)</f>
        <v>1</v>
      </c>
      <c r="AA3794" s="2" t="n">
        <f aca="false">IF($I3794="Correct",ROUND(INDEX('Reward Model'!$B$12:$B$14,MATCH($K3794,'Reward Model'!$A$12:$A$14,0))*Z3794,2),0)</f>
        <v>2</v>
      </c>
      <c r="AB3794" s="2" t="n">
        <f aca="false">IF($I3794="Correct",ROUND(INDEX('Reward Model'!$B$12:$B$14,MATCH($Y3794,'Reward Model'!$A$12:$A$14,0))*Z3794,2),0)</f>
        <v>2</v>
      </c>
    </row>
    <row r="3795" customFormat="false" ht="15" hidden="false" customHeight="false" outlineLevel="0" collapsed="false">
      <c r="A3795" s="0" t="s">
        <v>510</v>
      </c>
      <c r="B3795" s="0" t="s">
        <v>511</v>
      </c>
      <c r="C3795" s="0" t="s">
        <v>322</v>
      </c>
      <c r="D3795" s="0" t="s">
        <v>275</v>
      </c>
      <c r="E3795" s="0" t="n">
        <v>14</v>
      </c>
      <c r="F3795" s="0" t="s">
        <v>68</v>
      </c>
      <c r="G3795" s="0" t="s">
        <v>51</v>
      </c>
      <c r="H3795" s="0" t="s">
        <v>51</v>
      </c>
      <c r="I3795" s="0" t="s">
        <v>34</v>
      </c>
      <c r="J3795" s="0" t="n">
        <v>2.06</v>
      </c>
      <c r="K3795" s="0" t="s">
        <v>60</v>
      </c>
      <c r="L3795" s="0" t="n">
        <f aca="false">INDEX(Summary!$F$2:$F$201,MATCH($B3795,Summary!$A$2:$A$201,0))</f>
        <v>20</v>
      </c>
      <c r="M3795" s="0" t="n">
        <f aca="false">INDEX(Summary!$I$2:$I$201,MATCH($B3795,Summary!$A$2:$A$201,0))</f>
        <v>4</v>
      </c>
      <c r="N3795" s="0" t="n">
        <f aca="false">INDEX(Summary!$J$2:$J$201,MATCH($B3795,Summary!$A$2:$A$201,0))</f>
        <v>1</v>
      </c>
      <c r="O3795" s="2" t="n">
        <f aca="false">INDEX(Summary!$K$2:$K$201,MATCH($B3795,Summary!$A$2:$A$201,0))</f>
        <v>7.77</v>
      </c>
      <c r="P3795" s="3" t="n">
        <f aca="false">INDEX(Summary!$L$2:$L$201,MATCH($B3795,Summary!$A$2:$A$201,0))</f>
        <v>5</v>
      </c>
      <c r="Q3795" s="3" t="n">
        <f aca="false">INDEX(Summary!$M$2:$M$201,MATCH($B3795,Summary!$A$2:$A$201,0))</f>
        <v>1</v>
      </c>
      <c r="R3795" s="2" t="n">
        <f aca="false">INDEX(Summary!$N$2:$N$201,MATCH($B3795,Summary!$A$2:$A$201,0))</f>
        <v>10.27</v>
      </c>
      <c r="S3795" s="3" t="n">
        <f aca="false">INDEX(Summary!$O$2:$O$201,MATCH($B3795,Summary!$A$2:$A$201,0))</f>
        <v>8</v>
      </c>
      <c r="T3795" s="3" t="n">
        <f aca="false">INDEX(Summary!$P$2:$P$201,MATCH($B3795,Summary!$A$2:$A$201,0))</f>
        <v>1</v>
      </c>
      <c r="U3795" s="2" t="n">
        <f aca="false">INDEX(Summary!$Q$2:$Q$201,MATCH($B3795,Summary!$A$2:$A$201,0))</f>
        <v>14.13</v>
      </c>
      <c r="V3795" s="2" t="n">
        <f aca="false">INDEX(Summary!$R$2:$R$201,MATCH($B3795,Summary!$A$2:$A$201,0))</f>
        <v>33.68</v>
      </c>
      <c r="W3795" s="0" t="str">
        <f aca="false">INDEX(Summary!$S$2:$S$201,MATCH($B3795,Summary!$A$2:$A$201,0))</f>
        <v>Gold</v>
      </c>
      <c r="X3795" s="2" t="n">
        <f aca="false">INDEX(Summary!$T$2:$T$201,MATCH($B3795,Summary!$A$2:$A$201,0))</f>
        <v>82.15</v>
      </c>
      <c r="Y3795" s="0" t="str">
        <f aca="false">INDEX('Reward Model'!$E$18:$E$37,MATCH($E3795,'Reward Model'!$A$18:$A$37,0))</f>
        <v>Medium</v>
      </c>
      <c r="Z3795" s="4" t="n">
        <f aca="false">ROUND(MIN(1,MAX('Reward Model'!$B$2,INDEX('Reward Model'!$C$12:$C$14,MATCH($K3795,'Reward Model'!$A$12:$A$14,0))/$J3795)),3)</f>
        <v>0.874</v>
      </c>
      <c r="AA3795" s="2" t="n">
        <f aca="false">IF($I3795="Correct",ROUND(INDEX('Reward Model'!$B$12:$B$14,MATCH($K3795,'Reward Model'!$A$12:$A$14,0))*Z3795,2),0)</f>
        <v>1.75</v>
      </c>
      <c r="AB3795" s="2" t="n">
        <f aca="false">IF($I3795="Correct",ROUND(INDEX('Reward Model'!$B$12:$B$14,MATCH($Y3795,'Reward Model'!$A$12:$A$14,0))*Z3795,2),0)</f>
        <v>1.75</v>
      </c>
    </row>
    <row r="3796" customFormat="false" ht="15" hidden="false" customHeight="false" outlineLevel="0" collapsed="false">
      <c r="A3796" s="0" t="s">
        <v>510</v>
      </c>
      <c r="B3796" s="0" t="s">
        <v>511</v>
      </c>
      <c r="C3796" s="0" t="s">
        <v>322</v>
      </c>
      <c r="D3796" s="0" t="s">
        <v>275</v>
      </c>
      <c r="E3796" s="0" t="n">
        <v>15</v>
      </c>
      <c r="F3796" s="0" t="s">
        <v>69</v>
      </c>
      <c r="G3796" s="0" t="s">
        <v>70</v>
      </c>
      <c r="H3796" s="0" t="s">
        <v>70</v>
      </c>
      <c r="I3796" s="0" t="s">
        <v>34</v>
      </c>
      <c r="J3796" s="0" t="n">
        <v>1.38</v>
      </c>
      <c r="K3796" s="0" t="s">
        <v>60</v>
      </c>
      <c r="L3796" s="0" t="n">
        <f aca="false">INDEX(Summary!$F$2:$F$201,MATCH($B3796,Summary!$A$2:$A$201,0))</f>
        <v>20</v>
      </c>
      <c r="M3796" s="0" t="n">
        <f aca="false">INDEX(Summary!$I$2:$I$201,MATCH($B3796,Summary!$A$2:$A$201,0))</f>
        <v>4</v>
      </c>
      <c r="N3796" s="0" t="n">
        <f aca="false">INDEX(Summary!$J$2:$J$201,MATCH($B3796,Summary!$A$2:$A$201,0))</f>
        <v>1</v>
      </c>
      <c r="O3796" s="2" t="n">
        <f aca="false">INDEX(Summary!$K$2:$K$201,MATCH($B3796,Summary!$A$2:$A$201,0))</f>
        <v>7.77</v>
      </c>
      <c r="P3796" s="3" t="n">
        <f aca="false">INDEX(Summary!$L$2:$L$201,MATCH($B3796,Summary!$A$2:$A$201,0))</f>
        <v>5</v>
      </c>
      <c r="Q3796" s="3" t="n">
        <f aca="false">INDEX(Summary!$M$2:$M$201,MATCH($B3796,Summary!$A$2:$A$201,0))</f>
        <v>1</v>
      </c>
      <c r="R3796" s="2" t="n">
        <f aca="false">INDEX(Summary!$N$2:$N$201,MATCH($B3796,Summary!$A$2:$A$201,0))</f>
        <v>10.27</v>
      </c>
      <c r="S3796" s="3" t="n">
        <f aca="false">INDEX(Summary!$O$2:$O$201,MATCH($B3796,Summary!$A$2:$A$201,0))</f>
        <v>8</v>
      </c>
      <c r="T3796" s="3" t="n">
        <f aca="false">INDEX(Summary!$P$2:$P$201,MATCH($B3796,Summary!$A$2:$A$201,0))</f>
        <v>1</v>
      </c>
      <c r="U3796" s="2" t="n">
        <f aca="false">INDEX(Summary!$Q$2:$Q$201,MATCH($B3796,Summary!$A$2:$A$201,0))</f>
        <v>14.13</v>
      </c>
      <c r="V3796" s="2" t="n">
        <f aca="false">INDEX(Summary!$R$2:$R$201,MATCH($B3796,Summary!$A$2:$A$201,0))</f>
        <v>33.68</v>
      </c>
      <c r="W3796" s="0" t="str">
        <f aca="false">INDEX(Summary!$S$2:$S$201,MATCH($B3796,Summary!$A$2:$A$201,0))</f>
        <v>Gold</v>
      </c>
      <c r="X3796" s="2" t="n">
        <f aca="false">INDEX(Summary!$T$2:$T$201,MATCH($B3796,Summary!$A$2:$A$201,0))</f>
        <v>82.15</v>
      </c>
      <c r="Y3796" s="0" t="str">
        <f aca="false">INDEX('Reward Model'!$E$18:$E$37,MATCH($E3796,'Reward Model'!$A$18:$A$37,0))</f>
        <v>Medium</v>
      </c>
      <c r="Z3796" s="4" t="n">
        <f aca="false">ROUND(MIN(1,MAX('Reward Model'!$B$2,INDEX('Reward Model'!$C$12:$C$14,MATCH($K3796,'Reward Model'!$A$12:$A$14,0))/$J3796)),3)</f>
        <v>1</v>
      </c>
      <c r="AA3796" s="2" t="n">
        <f aca="false">IF($I3796="Correct",ROUND(INDEX('Reward Model'!$B$12:$B$14,MATCH($K3796,'Reward Model'!$A$12:$A$14,0))*Z3796,2),0)</f>
        <v>2</v>
      </c>
      <c r="AB3796" s="2" t="n">
        <f aca="false">IF($I3796="Correct",ROUND(INDEX('Reward Model'!$B$12:$B$14,MATCH($Y3796,'Reward Model'!$A$12:$A$14,0))*Z3796,2),0)</f>
        <v>2</v>
      </c>
    </row>
    <row r="3797" customFormat="false" ht="15" hidden="false" customHeight="false" outlineLevel="0" collapsed="false">
      <c r="A3797" s="0" t="s">
        <v>510</v>
      </c>
      <c r="B3797" s="0" t="s">
        <v>511</v>
      </c>
      <c r="C3797" s="0" t="s">
        <v>322</v>
      </c>
      <c r="D3797" s="0" t="s">
        <v>275</v>
      </c>
      <c r="E3797" s="0" t="n">
        <v>16</v>
      </c>
      <c r="F3797" s="0" t="s">
        <v>71</v>
      </c>
      <c r="G3797" s="0" t="s">
        <v>72</v>
      </c>
      <c r="H3797" s="0" t="s">
        <v>72</v>
      </c>
      <c r="I3797" s="0" t="s">
        <v>34</v>
      </c>
      <c r="J3797" s="0" t="n">
        <v>1.99</v>
      </c>
      <c r="K3797" s="0" t="s">
        <v>73</v>
      </c>
      <c r="L3797" s="0" t="n">
        <f aca="false">INDEX(Summary!$F$2:$F$201,MATCH($B3797,Summary!$A$2:$A$201,0))</f>
        <v>20</v>
      </c>
      <c r="M3797" s="0" t="n">
        <f aca="false">INDEX(Summary!$I$2:$I$201,MATCH($B3797,Summary!$A$2:$A$201,0))</f>
        <v>4</v>
      </c>
      <c r="N3797" s="0" t="n">
        <f aca="false">INDEX(Summary!$J$2:$J$201,MATCH($B3797,Summary!$A$2:$A$201,0))</f>
        <v>1</v>
      </c>
      <c r="O3797" s="2" t="n">
        <f aca="false">INDEX(Summary!$K$2:$K$201,MATCH($B3797,Summary!$A$2:$A$201,0))</f>
        <v>7.77</v>
      </c>
      <c r="P3797" s="3" t="n">
        <f aca="false">INDEX(Summary!$L$2:$L$201,MATCH($B3797,Summary!$A$2:$A$201,0))</f>
        <v>5</v>
      </c>
      <c r="Q3797" s="3" t="n">
        <f aca="false">INDEX(Summary!$M$2:$M$201,MATCH($B3797,Summary!$A$2:$A$201,0))</f>
        <v>1</v>
      </c>
      <c r="R3797" s="2" t="n">
        <f aca="false">INDEX(Summary!$N$2:$N$201,MATCH($B3797,Summary!$A$2:$A$201,0))</f>
        <v>10.27</v>
      </c>
      <c r="S3797" s="3" t="n">
        <f aca="false">INDEX(Summary!$O$2:$O$201,MATCH($B3797,Summary!$A$2:$A$201,0))</f>
        <v>8</v>
      </c>
      <c r="T3797" s="3" t="n">
        <f aca="false">INDEX(Summary!$P$2:$P$201,MATCH($B3797,Summary!$A$2:$A$201,0))</f>
        <v>1</v>
      </c>
      <c r="U3797" s="2" t="n">
        <f aca="false">INDEX(Summary!$Q$2:$Q$201,MATCH($B3797,Summary!$A$2:$A$201,0))</f>
        <v>14.13</v>
      </c>
      <c r="V3797" s="2" t="n">
        <f aca="false">INDEX(Summary!$R$2:$R$201,MATCH($B3797,Summary!$A$2:$A$201,0))</f>
        <v>33.68</v>
      </c>
      <c r="W3797" s="0" t="str">
        <f aca="false">INDEX(Summary!$S$2:$S$201,MATCH($B3797,Summary!$A$2:$A$201,0))</f>
        <v>Gold</v>
      </c>
      <c r="X3797" s="2" t="n">
        <f aca="false">INDEX(Summary!$T$2:$T$201,MATCH($B3797,Summary!$A$2:$A$201,0))</f>
        <v>82.15</v>
      </c>
      <c r="Y3797" s="0" t="str">
        <f aca="false">INDEX('Reward Model'!$E$18:$E$37,MATCH($E3797,'Reward Model'!$A$18:$A$37,0))</f>
        <v>High</v>
      </c>
      <c r="Z3797" s="4" t="n">
        <f aca="false">ROUND(MIN(1,MAX('Reward Model'!$B$2,INDEX('Reward Model'!$C$12:$C$14,MATCH($K3797,'Reward Model'!$A$12:$A$14,0))/$J3797)),3)</f>
        <v>1</v>
      </c>
      <c r="AA3797" s="2" t="n">
        <f aca="false">IF($I3797="Correct",ROUND(INDEX('Reward Model'!$B$12:$B$14,MATCH($K3797,'Reward Model'!$A$12:$A$14,0))*Z3797,2),0)</f>
        <v>3</v>
      </c>
      <c r="AB3797" s="2" t="n">
        <f aca="false">IF($I3797="Correct",ROUND(INDEX('Reward Model'!$B$12:$B$14,MATCH($Y3797,'Reward Model'!$A$12:$A$14,0))*Z3797,2),0)</f>
        <v>3</v>
      </c>
    </row>
    <row r="3798" customFormat="false" ht="15" hidden="false" customHeight="false" outlineLevel="0" collapsed="false">
      <c r="A3798" s="0" t="s">
        <v>510</v>
      </c>
      <c r="B3798" s="0" t="s">
        <v>511</v>
      </c>
      <c r="C3798" s="0" t="s">
        <v>322</v>
      </c>
      <c r="D3798" s="0" t="s">
        <v>275</v>
      </c>
      <c r="E3798" s="0" t="n">
        <v>17</v>
      </c>
      <c r="F3798" s="0" t="s">
        <v>74</v>
      </c>
      <c r="G3798" s="0" t="s">
        <v>105</v>
      </c>
      <c r="H3798" s="0" t="s">
        <v>75</v>
      </c>
      <c r="I3798" s="0" t="s">
        <v>39</v>
      </c>
      <c r="J3798" s="0" t="n">
        <v>1.24</v>
      </c>
      <c r="K3798" s="0" t="s">
        <v>73</v>
      </c>
      <c r="L3798" s="0" t="n">
        <f aca="false">INDEX(Summary!$F$2:$F$201,MATCH($B3798,Summary!$A$2:$A$201,0))</f>
        <v>20</v>
      </c>
      <c r="M3798" s="0" t="n">
        <f aca="false">INDEX(Summary!$I$2:$I$201,MATCH($B3798,Summary!$A$2:$A$201,0))</f>
        <v>4</v>
      </c>
      <c r="N3798" s="0" t="n">
        <f aca="false">INDEX(Summary!$J$2:$J$201,MATCH($B3798,Summary!$A$2:$A$201,0))</f>
        <v>1</v>
      </c>
      <c r="O3798" s="2" t="n">
        <f aca="false">INDEX(Summary!$K$2:$K$201,MATCH($B3798,Summary!$A$2:$A$201,0))</f>
        <v>7.77</v>
      </c>
      <c r="P3798" s="3" t="n">
        <f aca="false">INDEX(Summary!$L$2:$L$201,MATCH($B3798,Summary!$A$2:$A$201,0))</f>
        <v>5</v>
      </c>
      <c r="Q3798" s="3" t="n">
        <f aca="false">INDEX(Summary!$M$2:$M$201,MATCH($B3798,Summary!$A$2:$A$201,0))</f>
        <v>1</v>
      </c>
      <c r="R3798" s="2" t="n">
        <f aca="false">INDEX(Summary!$N$2:$N$201,MATCH($B3798,Summary!$A$2:$A$201,0))</f>
        <v>10.27</v>
      </c>
      <c r="S3798" s="3" t="n">
        <f aca="false">INDEX(Summary!$O$2:$O$201,MATCH($B3798,Summary!$A$2:$A$201,0))</f>
        <v>8</v>
      </c>
      <c r="T3798" s="3" t="n">
        <f aca="false">INDEX(Summary!$P$2:$P$201,MATCH($B3798,Summary!$A$2:$A$201,0))</f>
        <v>1</v>
      </c>
      <c r="U3798" s="2" t="n">
        <f aca="false">INDEX(Summary!$Q$2:$Q$201,MATCH($B3798,Summary!$A$2:$A$201,0))</f>
        <v>14.13</v>
      </c>
      <c r="V3798" s="2" t="n">
        <f aca="false">INDEX(Summary!$R$2:$R$201,MATCH($B3798,Summary!$A$2:$A$201,0))</f>
        <v>33.68</v>
      </c>
      <c r="W3798" s="0" t="str">
        <f aca="false">INDEX(Summary!$S$2:$S$201,MATCH($B3798,Summary!$A$2:$A$201,0))</f>
        <v>Gold</v>
      </c>
      <c r="X3798" s="2" t="n">
        <f aca="false">INDEX(Summary!$T$2:$T$201,MATCH($B3798,Summary!$A$2:$A$201,0))</f>
        <v>82.15</v>
      </c>
      <c r="Y3798" s="0" t="str">
        <f aca="false">INDEX('Reward Model'!$E$18:$E$37,MATCH($E3798,'Reward Model'!$A$18:$A$37,0))</f>
        <v>High</v>
      </c>
      <c r="Z3798" s="4" t="n">
        <f aca="false">ROUND(MIN(1,MAX('Reward Model'!$B$2,INDEX('Reward Model'!$C$12:$C$14,MATCH($K3798,'Reward Model'!$A$12:$A$14,0))/$J3798)),3)</f>
        <v>1</v>
      </c>
      <c r="AA3798" s="2" t="n">
        <f aca="false">IF($I3798="Correct",ROUND(INDEX('Reward Model'!$B$12:$B$14,MATCH($K3798,'Reward Model'!$A$12:$A$14,0))*Z3798,2),0)</f>
        <v>0</v>
      </c>
      <c r="AB3798" s="2" t="n">
        <f aca="false">IF($I3798="Correct",ROUND(INDEX('Reward Model'!$B$12:$B$14,MATCH($Y3798,'Reward Model'!$A$12:$A$14,0))*Z3798,2),0)</f>
        <v>0</v>
      </c>
    </row>
    <row r="3799" customFormat="false" ht="15" hidden="false" customHeight="false" outlineLevel="0" collapsed="false">
      <c r="A3799" s="0" t="s">
        <v>510</v>
      </c>
      <c r="B3799" s="0" t="s">
        <v>511</v>
      </c>
      <c r="C3799" s="0" t="s">
        <v>322</v>
      </c>
      <c r="D3799" s="0" t="s">
        <v>275</v>
      </c>
      <c r="E3799" s="0" t="n">
        <v>18</v>
      </c>
      <c r="F3799" s="0" t="s">
        <v>76</v>
      </c>
      <c r="G3799" s="0" t="s">
        <v>77</v>
      </c>
      <c r="H3799" s="0" t="s">
        <v>77</v>
      </c>
      <c r="I3799" s="0" t="s">
        <v>34</v>
      </c>
      <c r="J3799" s="0" t="n">
        <v>1.9</v>
      </c>
      <c r="K3799" s="0" t="s">
        <v>73</v>
      </c>
      <c r="L3799" s="0" t="n">
        <f aca="false">INDEX(Summary!$F$2:$F$201,MATCH($B3799,Summary!$A$2:$A$201,0))</f>
        <v>20</v>
      </c>
      <c r="M3799" s="0" t="n">
        <f aca="false">INDEX(Summary!$I$2:$I$201,MATCH($B3799,Summary!$A$2:$A$201,0))</f>
        <v>4</v>
      </c>
      <c r="N3799" s="0" t="n">
        <f aca="false">INDEX(Summary!$J$2:$J$201,MATCH($B3799,Summary!$A$2:$A$201,0))</f>
        <v>1</v>
      </c>
      <c r="O3799" s="2" t="n">
        <f aca="false">INDEX(Summary!$K$2:$K$201,MATCH($B3799,Summary!$A$2:$A$201,0))</f>
        <v>7.77</v>
      </c>
      <c r="P3799" s="3" t="n">
        <f aca="false">INDEX(Summary!$L$2:$L$201,MATCH($B3799,Summary!$A$2:$A$201,0))</f>
        <v>5</v>
      </c>
      <c r="Q3799" s="3" t="n">
        <f aca="false">INDEX(Summary!$M$2:$M$201,MATCH($B3799,Summary!$A$2:$A$201,0))</f>
        <v>1</v>
      </c>
      <c r="R3799" s="2" t="n">
        <f aca="false">INDEX(Summary!$N$2:$N$201,MATCH($B3799,Summary!$A$2:$A$201,0))</f>
        <v>10.27</v>
      </c>
      <c r="S3799" s="3" t="n">
        <f aca="false">INDEX(Summary!$O$2:$O$201,MATCH($B3799,Summary!$A$2:$A$201,0))</f>
        <v>8</v>
      </c>
      <c r="T3799" s="3" t="n">
        <f aca="false">INDEX(Summary!$P$2:$P$201,MATCH($B3799,Summary!$A$2:$A$201,0))</f>
        <v>1</v>
      </c>
      <c r="U3799" s="2" t="n">
        <f aca="false">INDEX(Summary!$Q$2:$Q$201,MATCH($B3799,Summary!$A$2:$A$201,0))</f>
        <v>14.13</v>
      </c>
      <c r="V3799" s="2" t="n">
        <f aca="false">INDEX(Summary!$R$2:$R$201,MATCH($B3799,Summary!$A$2:$A$201,0))</f>
        <v>33.68</v>
      </c>
      <c r="W3799" s="0" t="str">
        <f aca="false">INDEX(Summary!$S$2:$S$201,MATCH($B3799,Summary!$A$2:$A$201,0))</f>
        <v>Gold</v>
      </c>
      <c r="X3799" s="2" t="n">
        <f aca="false">INDEX(Summary!$T$2:$T$201,MATCH($B3799,Summary!$A$2:$A$201,0))</f>
        <v>82.15</v>
      </c>
      <c r="Y3799" s="0" t="str">
        <f aca="false">INDEX('Reward Model'!$E$18:$E$37,MATCH($E3799,'Reward Model'!$A$18:$A$37,0))</f>
        <v>High</v>
      </c>
      <c r="Z3799" s="4" t="n">
        <f aca="false">ROUND(MIN(1,MAX('Reward Model'!$B$2,INDEX('Reward Model'!$C$12:$C$14,MATCH($K3799,'Reward Model'!$A$12:$A$14,0))/$J3799)),3)</f>
        <v>1</v>
      </c>
      <c r="AA3799" s="2" t="n">
        <f aca="false">IF($I3799="Correct",ROUND(INDEX('Reward Model'!$B$12:$B$14,MATCH($K3799,'Reward Model'!$A$12:$A$14,0))*Z3799,2),0)</f>
        <v>3</v>
      </c>
      <c r="AB3799" s="2" t="n">
        <f aca="false">IF($I3799="Correct",ROUND(INDEX('Reward Model'!$B$12:$B$14,MATCH($Y3799,'Reward Model'!$A$12:$A$14,0))*Z3799,2),0)</f>
        <v>3</v>
      </c>
    </row>
    <row r="3800" customFormat="false" ht="15" hidden="false" customHeight="false" outlineLevel="0" collapsed="false">
      <c r="A3800" s="0" t="s">
        <v>510</v>
      </c>
      <c r="B3800" s="0" t="s">
        <v>511</v>
      </c>
      <c r="C3800" s="0" t="s">
        <v>322</v>
      </c>
      <c r="D3800" s="0" t="s">
        <v>275</v>
      </c>
      <c r="E3800" s="0" t="n">
        <v>19</v>
      </c>
      <c r="F3800" s="0" t="s">
        <v>78</v>
      </c>
      <c r="G3800" s="0" t="s">
        <v>80</v>
      </c>
      <c r="H3800" s="0" t="s">
        <v>80</v>
      </c>
      <c r="I3800" s="0" t="s">
        <v>34</v>
      </c>
      <c r="J3800" s="0" t="n">
        <v>1.23</v>
      </c>
      <c r="K3800" s="0" t="s">
        <v>73</v>
      </c>
      <c r="L3800" s="0" t="n">
        <f aca="false">INDEX(Summary!$F$2:$F$201,MATCH($B3800,Summary!$A$2:$A$201,0))</f>
        <v>20</v>
      </c>
      <c r="M3800" s="0" t="n">
        <f aca="false">INDEX(Summary!$I$2:$I$201,MATCH($B3800,Summary!$A$2:$A$201,0))</f>
        <v>4</v>
      </c>
      <c r="N3800" s="0" t="n">
        <f aca="false">INDEX(Summary!$J$2:$J$201,MATCH($B3800,Summary!$A$2:$A$201,0))</f>
        <v>1</v>
      </c>
      <c r="O3800" s="2" t="n">
        <f aca="false">INDEX(Summary!$K$2:$K$201,MATCH($B3800,Summary!$A$2:$A$201,0))</f>
        <v>7.77</v>
      </c>
      <c r="P3800" s="3" t="n">
        <f aca="false">INDEX(Summary!$L$2:$L$201,MATCH($B3800,Summary!$A$2:$A$201,0))</f>
        <v>5</v>
      </c>
      <c r="Q3800" s="3" t="n">
        <f aca="false">INDEX(Summary!$M$2:$M$201,MATCH($B3800,Summary!$A$2:$A$201,0))</f>
        <v>1</v>
      </c>
      <c r="R3800" s="2" t="n">
        <f aca="false">INDEX(Summary!$N$2:$N$201,MATCH($B3800,Summary!$A$2:$A$201,0))</f>
        <v>10.27</v>
      </c>
      <c r="S3800" s="3" t="n">
        <f aca="false">INDEX(Summary!$O$2:$O$201,MATCH($B3800,Summary!$A$2:$A$201,0))</f>
        <v>8</v>
      </c>
      <c r="T3800" s="3" t="n">
        <f aca="false">INDEX(Summary!$P$2:$P$201,MATCH($B3800,Summary!$A$2:$A$201,0))</f>
        <v>1</v>
      </c>
      <c r="U3800" s="2" t="n">
        <f aca="false">INDEX(Summary!$Q$2:$Q$201,MATCH($B3800,Summary!$A$2:$A$201,0))</f>
        <v>14.13</v>
      </c>
      <c r="V3800" s="2" t="n">
        <f aca="false">INDEX(Summary!$R$2:$R$201,MATCH($B3800,Summary!$A$2:$A$201,0))</f>
        <v>33.68</v>
      </c>
      <c r="W3800" s="0" t="str">
        <f aca="false">INDEX(Summary!$S$2:$S$201,MATCH($B3800,Summary!$A$2:$A$201,0))</f>
        <v>Gold</v>
      </c>
      <c r="X3800" s="2" t="n">
        <f aca="false">INDEX(Summary!$T$2:$T$201,MATCH($B3800,Summary!$A$2:$A$201,0))</f>
        <v>82.15</v>
      </c>
      <c r="Y3800" s="0" t="str">
        <f aca="false">INDEX('Reward Model'!$E$18:$E$37,MATCH($E3800,'Reward Model'!$A$18:$A$37,0))</f>
        <v>High</v>
      </c>
      <c r="Z3800" s="4" t="n">
        <f aca="false">ROUND(MIN(1,MAX('Reward Model'!$B$2,INDEX('Reward Model'!$C$12:$C$14,MATCH($K3800,'Reward Model'!$A$12:$A$14,0))/$J3800)),3)</f>
        <v>1</v>
      </c>
      <c r="AA3800" s="2" t="n">
        <f aca="false">IF($I3800="Correct",ROUND(INDEX('Reward Model'!$B$12:$B$14,MATCH($K3800,'Reward Model'!$A$12:$A$14,0))*Z3800,2),0)</f>
        <v>3</v>
      </c>
      <c r="AB3800" s="2" t="n">
        <f aca="false">IF($I3800="Correct",ROUND(INDEX('Reward Model'!$B$12:$B$14,MATCH($Y3800,'Reward Model'!$A$12:$A$14,0))*Z3800,2),0)</f>
        <v>3</v>
      </c>
    </row>
    <row r="3801" customFormat="false" ht="15" hidden="false" customHeight="false" outlineLevel="0" collapsed="false">
      <c r="A3801" s="0" t="s">
        <v>510</v>
      </c>
      <c r="B3801" s="0" t="s">
        <v>511</v>
      </c>
      <c r="C3801" s="0" t="s">
        <v>322</v>
      </c>
      <c r="D3801" s="0" t="s">
        <v>275</v>
      </c>
      <c r="E3801" s="0" t="n">
        <v>20</v>
      </c>
      <c r="F3801" s="0" t="s">
        <v>81</v>
      </c>
      <c r="G3801" s="0" t="s">
        <v>83</v>
      </c>
      <c r="H3801" s="0" t="s">
        <v>83</v>
      </c>
      <c r="I3801" s="0" t="s">
        <v>34</v>
      </c>
      <c r="J3801" s="0" t="n">
        <v>1.41</v>
      </c>
      <c r="K3801" s="0" t="s">
        <v>73</v>
      </c>
      <c r="L3801" s="0" t="n">
        <f aca="false">INDEX(Summary!$F$2:$F$201,MATCH($B3801,Summary!$A$2:$A$201,0))</f>
        <v>20</v>
      </c>
      <c r="M3801" s="0" t="n">
        <f aca="false">INDEX(Summary!$I$2:$I$201,MATCH($B3801,Summary!$A$2:$A$201,0))</f>
        <v>4</v>
      </c>
      <c r="N3801" s="0" t="n">
        <f aca="false">INDEX(Summary!$J$2:$J$201,MATCH($B3801,Summary!$A$2:$A$201,0))</f>
        <v>1</v>
      </c>
      <c r="O3801" s="2" t="n">
        <f aca="false">INDEX(Summary!$K$2:$K$201,MATCH($B3801,Summary!$A$2:$A$201,0))</f>
        <v>7.77</v>
      </c>
      <c r="P3801" s="3" t="n">
        <f aca="false">INDEX(Summary!$L$2:$L$201,MATCH($B3801,Summary!$A$2:$A$201,0))</f>
        <v>5</v>
      </c>
      <c r="Q3801" s="3" t="n">
        <f aca="false">INDEX(Summary!$M$2:$M$201,MATCH($B3801,Summary!$A$2:$A$201,0))</f>
        <v>1</v>
      </c>
      <c r="R3801" s="2" t="n">
        <f aca="false">INDEX(Summary!$N$2:$N$201,MATCH($B3801,Summary!$A$2:$A$201,0))</f>
        <v>10.27</v>
      </c>
      <c r="S3801" s="3" t="n">
        <f aca="false">INDEX(Summary!$O$2:$O$201,MATCH($B3801,Summary!$A$2:$A$201,0))</f>
        <v>8</v>
      </c>
      <c r="T3801" s="3" t="n">
        <f aca="false">INDEX(Summary!$P$2:$P$201,MATCH($B3801,Summary!$A$2:$A$201,0))</f>
        <v>1</v>
      </c>
      <c r="U3801" s="2" t="n">
        <f aca="false">INDEX(Summary!$Q$2:$Q$201,MATCH($B3801,Summary!$A$2:$A$201,0))</f>
        <v>14.13</v>
      </c>
      <c r="V3801" s="2" t="n">
        <f aca="false">INDEX(Summary!$R$2:$R$201,MATCH($B3801,Summary!$A$2:$A$201,0))</f>
        <v>33.68</v>
      </c>
      <c r="W3801" s="0" t="str">
        <f aca="false">INDEX(Summary!$S$2:$S$201,MATCH($B3801,Summary!$A$2:$A$201,0))</f>
        <v>Gold</v>
      </c>
      <c r="X3801" s="2" t="n">
        <f aca="false">INDEX(Summary!$T$2:$T$201,MATCH($B3801,Summary!$A$2:$A$201,0))</f>
        <v>82.15</v>
      </c>
      <c r="Y3801" s="0" t="str">
        <f aca="false">INDEX('Reward Model'!$E$18:$E$37,MATCH($E3801,'Reward Model'!$A$18:$A$37,0))</f>
        <v>High</v>
      </c>
      <c r="Z3801" s="4" t="n">
        <f aca="false">ROUND(MIN(1,MAX('Reward Model'!$B$2,INDEX('Reward Model'!$C$12:$C$14,MATCH($K3801,'Reward Model'!$A$12:$A$14,0))/$J3801)),3)</f>
        <v>1</v>
      </c>
      <c r="AA3801" s="2" t="n">
        <f aca="false">IF($I3801="Correct",ROUND(INDEX('Reward Model'!$B$12:$B$14,MATCH($K3801,'Reward Model'!$A$12:$A$14,0))*Z3801,2),0)</f>
        <v>3</v>
      </c>
      <c r="AB3801" s="2" t="n">
        <f aca="false">IF($I3801="Correct",ROUND(INDEX('Reward Model'!$B$12:$B$14,MATCH($Y3801,'Reward Model'!$A$12:$A$14,0))*Z3801,2),0)</f>
        <v>3</v>
      </c>
    </row>
    <row r="3802" customFormat="false" ht="15" hidden="false" customHeight="false" outlineLevel="0" collapsed="false">
      <c r="A3802" s="0" t="s">
        <v>512</v>
      </c>
      <c r="B3802" s="0" t="s">
        <v>513</v>
      </c>
      <c r="C3802" s="0" t="s">
        <v>322</v>
      </c>
      <c r="D3802" s="0" t="s">
        <v>275</v>
      </c>
      <c r="E3802" s="0" t="n">
        <v>1</v>
      </c>
      <c r="F3802" s="0" t="s">
        <v>32</v>
      </c>
      <c r="G3802" s="0" t="s">
        <v>33</v>
      </c>
      <c r="H3802" s="0" t="s">
        <v>33</v>
      </c>
      <c r="I3802" s="0" t="s">
        <v>34</v>
      </c>
      <c r="J3802" s="0" t="n">
        <v>1.65</v>
      </c>
      <c r="K3802" s="0" t="s">
        <v>35</v>
      </c>
      <c r="L3802" s="0" t="n">
        <f aca="false">INDEX(Summary!$F$2:$F$201,MATCH($B3802,Summary!$A$2:$A$201,0))</f>
        <v>20</v>
      </c>
      <c r="M3802" s="0" t="n">
        <f aca="false">INDEX(Summary!$I$2:$I$201,MATCH($B3802,Summary!$A$2:$A$201,0))</f>
        <v>3</v>
      </c>
      <c r="N3802" s="0" t="n">
        <f aca="false">INDEX(Summary!$J$2:$J$201,MATCH($B3802,Summary!$A$2:$A$201,0))</f>
        <v>2</v>
      </c>
      <c r="O3802" s="2" t="n">
        <f aca="false">INDEX(Summary!$K$2:$K$201,MATCH($B3802,Summary!$A$2:$A$201,0))</f>
        <v>9.36</v>
      </c>
      <c r="P3802" s="3" t="n">
        <f aca="false">INDEX(Summary!$L$2:$L$201,MATCH($B3802,Summary!$A$2:$A$201,0))</f>
        <v>5</v>
      </c>
      <c r="Q3802" s="3" t="n">
        <f aca="false">INDEX(Summary!$M$2:$M$201,MATCH($B3802,Summary!$A$2:$A$201,0))</f>
        <v>1</v>
      </c>
      <c r="R3802" s="2" t="n">
        <f aca="false">INDEX(Summary!$N$2:$N$201,MATCH($B3802,Summary!$A$2:$A$201,0))</f>
        <v>10.64</v>
      </c>
      <c r="S3802" s="3" t="n">
        <f aca="false">INDEX(Summary!$O$2:$O$201,MATCH($B3802,Summary!$A$2:$A$201,0))</f>
        <v>8</v>
      </c>
      <c r="T3802" s="3" t="n">
        <f aca="false">INDEX(Summary!$P$2:$P$201,MATCH($B3802,Summary!$A$2:$A$201,0))</f>
        <v>1</v>
      </c>
      <c r="U3802" s="2" t="n">
        <f aca="false">INDEX(Summary!$Q$2:$Q$201,MATCH($B3802,Summary!$A$2:$A$201,0))</f>
        <v>11.86</v>
      </c>
      <c r="V3802" s="2" t="n">
        <f aca="false">INDEX(Summary!$R$2:$R$201,MATCH($B3802,Summary!$A$2:$A$201,0))</f>
        <v>29.37</v>
      </c>
      <c r="W3802" s="0" t="str">
        <f aca="false">INDEX(Summary!$S$2:$S$201,MATCH($B3802,Summary!$A$2:$A$201,0))</f>
        <v>Gold</v>
      </c>
      <c r="X3802" s="2" t="n">
        <f aca="false">INDEX(Summary!$T$2:$T$201,MATCH($B3802,Summary!$A$2:$A$201,0))</f>
        <v>71.63</v>
      </c>
      <c r="Y3802" s="0" t="str">
        <f aca="false">INDEX('Reward Model'!$E$18:$E$37,MATCH($E3802,'Reward Model'!$A$18:$A$37,0))</f>
        <v>Medium</v>
      </c>
      <c r="Z3802" s="4" t="n">
        <f aca="false">ROUND(MIN(1,MAX('Reward Model'!$B$2,INDEX('Reward Model'!$C$12:$C$14,MATCH($K3802,'Reward Model'!$A$12:$A$14,0))/$J3802)),3)</f>
        <v>0.909</v>
      </c>
      <c r="AA3802" s="2" t="n">
        <f aca="false">IF($I3802="Correct",ROUND(INDEX('Reward Model'!$B$12:$B$14,MATCH($K3802,'Reward Model'!$A$12:$A$14,0))*Z3802,2),0)</f>
        <v>0.91</v>
      </c>
      <c r="AB3802" s="2" t="n">
        <f aca="false">IF($I3802="Correct",ROUND(INDEX('Reward Model'!$B$12:$B$14,MATCH($Y3802,'Reward Model'!$A$12:$A$14,0))*Z3802,2),0)</f>
        <v>1.82</v>
      </c>
    </row>
    <row r="3803" customFormat="false" ht="15" hidden="false" customHeight="false" outlineLevel="0" collapsed="false">
      <c r="A3803" s="0" t="s">
        <v>512</v>
      </c>
      <c r="B3803" s="0" t="s">
        <v>513</v>
      </c>
      <c r="C3803" s="0" t="s">
        <v>322</v>
      </c>
      <c r="D3803" s="0" t="s">
        <v>275</v>
      </c>
      <c r="E3803" s="0" t="n">
        <v>2</v>
      </c>
      <c r="F3803" s="0" t="s">
        <v>36</v>
      </c>
      <c r="G3803" s="0" t="s">
        <v>38</v>
      </c>
      <c r="H3803" s="0" t="s">
        <v>38</v>
      </c>
      <c r="I3803" s="0" t="s">
        <v>34</v>
      </c>
      <c r="J3803" s="0" t="n">
        <v>1.11</v>
      </c>
      <c r="K3803" s="0" t="s">
        <v>35</v>
      </c>
      <c r="L3803" s="0" t="n">
        <f aca="false">INDEX(Summary!$F$2:$F$201,MATCH($B3803,Summary!$A$2:$A$201,0))</f>
        <v>20</v>
      </c>
      <c r="M3803" s="0" t="n">
        <f aca="false">INDEX(Summary!$I$2:$I$201,MATCH($B3803,Summary!$A$2:$A$201,0))</f>
        <v>3</v>
      </c>
      <c r="N3803" s="0" t="n">
        <f aca="false">INDEX(Summary!$J$2:$J$201,MATCH($B3803,Summary!$A$2:$A$201,0))</f>
        <v>2</v>
      </c>
      <c r="O3803" s="2" t="n">
        <f aca="false">INDEX(Summary!$K$2:$K$201,MATCH($B3803,Summary!$A$2:$A$201,0))</f>
        <v>9.36</v>
      </c>
      <c r="P3803" s="3" t="n">
        <f aca="false">INDEX(Summary!$L$2:$L$201,MATCH($B3803,Summary!$A$2:$A$201,0))</f>
        <v>5</v>
      </c>
      <c r="Q3803" s="3" t="n">
        <f aca="false">INDEX(Summary!$M$2:$M$201,MATCH($B3803,Summary!$A$2:$A$201,0))</f>
        <v>1</v>
      </c>
      <c r="R3803" s="2" t="n">
        <f aca="false">INDEX(Summary!$N$2:$N$201,MATCH($B3803,Summary!$A$2:$A$201,0))</f>
        <v>10.64</v>
      </c>
      <c r="S3803" s="3" t="n">
        <f aca="false">INDEX(Summary!$O$2:$O$201,MATCH($B3803,Summary!$A$2:$A$201,0))</f>
        <v>8</v>
      </c>
      <c r="T3803" s="3" t="n">
        <f aca="false">INDEX(Summary!$P$2:$P$201,MATCH($B3803,Summary!$A$2:$A$201,0))</f>
        <v>1</v>
      </c>
      <c r="U3803" s="2" t="n">
        <f aca="false">INDEX(Summary!$Q$2:$Q$201,MATCH($B3803,Summary!$A$2:$A$201,0))</f>
        <v>11.86</v>
      </c>
      <c r="V3803" s="2" t="n">
        <f aca="false">INDEX(Summary!$R$2:$R$201,MATCH($B3803,Summary!$A$2:$A$201,0))</f>
        <v>29.37</v>
      </c>
      <c r="W3803" s="0" t="str">
        <f aca="false">INDEX(Summary!$S$2:$S$201,MATCH($B3803,Summary!$A$2:$A$201,0))</f>
        <v>Gold</v>
      </c>
      <c r="X3803" s="2" t="n">
        <f aca="false">INDEX(Summary!$T$2:$T$201,MATCH($B3803,Summary!$A$2:$A$201,0))</f>
        <v>71.63</v>
      </c>
      <c r="Y3803" s="0" t="str">
        <f aca="false">INDEX('Reward Model'!$E$18:$E$37,MATCH($E3803,'Reward Model'!$A$18:$A$37,0))</f>
        <v>Low</v>
      </c>
      <c r="Z3803" s="4" t="n">
        <f aca="false">ROUND(MIN(1,MAX('Reward Model'!$B$2,INDEX('Reward Model'!$C$12:$C$14,MATCH($K3803,'Reward Model'!$A$12:$A$14,0))/$J3803)),3)</f>
        <v>1</v>
      </c>
      <c r="AA3803" s="2" t="n">
        <f aca="false">IF($I3803="Correct",ROUND(INDEX('Reward Model'!$B$12:$B$14,MATCH($K3803,'Reward Model'!$A$12:$A$14,0))*Z3803,2),0)</f>
        <v>1</v>
      </c>
      <c r="AB3803" s="2" t="n">
        <f aca="false">IF($I3803="Correct",ROUND(INDEX('Reward Model'!$B$12:$B$14,MATCH($Y3803,'Reward Model'!$A$12:$A$14,0))*Z3803,2),0)</f>
        <v>1</v>
      </c>
    </row>
    <row r="3804" customFormat="false" ht="15" hidden="false" customHeight="false" outlineLevel="0" collapsed="false">
      <c r="A3804" s="0" t="s">
        <v>512</v>
      </c>
      <c r="B3804" s="0" t="s">
        <v>513</v>
      </c>
      <c r="C3804" s="0" t="s">
        <v>322</v>
      </c>
      <c r="D3804" s="0" t="s">
        <v>275</v>
      </c>
      <c r="E3804" s="0" t="n">
        <v>3</v>
      </c>
      <c r="F3804" s="0" t="s">
        <v>40</v>
      </c>
      <c r="G3804" s="0" t="s">
        <v>42</v>
      </c>
      <c r="H3804" s="0" t="s">
        <v>42</v>
      </c>
      <c r="I3804" s="0" t="s">
        <v>34</v>
      </c>
      <c r="J3804" s="0" t="n">
        <v>1.03</v>
      </c>
      <c r="K3804" s="0" t="s">
        <v>35</v>
      </c>
      <c r="L3804" s="0" t="n">
        <f aca="false">INDEX(Summary!$F$2:$F$201,MATCH($B3804,Summary!$A$2:$A$201,0))</f>
        <v>20</v>
      </c>
      <c r="M3804" s="0" t="n">
        <f aca="false">INDEX(Summary!$I$2:$I$201,MATCH($B3804,Summary!$A$2:$A$201,0))</f>
        <v>3</v>
      </c>
      <c r="N3804" s="0" t="n">
        <f aca="false">INDEX(Summary!$J$2:$J$201,MATCH($B3804,Summary!$A$2:$A$201,0))</f>
        <v>2</v>
      </c>
      <c r="O3804" s="2" t="n">
        <f aca="false">INDEX(Summary!$K$2:$K$201,MATCH($B3804,Summary!$A$2:$A$201,0))</f>
        <v>9.36</v>
      </c>
      <c r="P3804" s="3" t="n">
        <f aca="false">INDEX(Summary!$L$2:$L$201,MATCH($B3804,Summary!$A$2:$A$201,0))</f>
        <v>5</v>
      </c>
      <c r="Q3804" s="3" t="n">
        <f aca="false">INDEX(Summary!$M$2:$M$201,MATCH($B3804,Summary!$A$2:$A$201,0))</f>
        <v>1</v>
      </c>
      <c r="R3804" s="2" t="n">
        <f aca="false">INDEX(Summary!$N$2:$N$201,MATCH($B3804,Summary!$A$2:$A$201,0))</f>
        <v>10.64</v>
      </c>
      <c r="S3804" s="3" t="n">
        <f aca="false">INDEX(Summary!$O$2:$O$201,MATCH($B3804,Summary!$A$2:$A$201,0))</f>
        <v>8</v>
      </c>
      <c r="T3804" s="3" t="n">
        <f aca="false">INDEX(Summary!$P$2:$P$201,MATCH($B3804,Summary!$A$2:$A$201,0))</f>
        <v>1</v>
      </c>
      <c r="U3804" s="2" t="n">
        <f aca="false">INDEX(Summary!$Q$2:$Q$201,MATCH($B3804,Summary!$A$2:$A$201,0))</f>
        <v>11.86</v>
      </c>
      <c r="V3804" s="2" t="n">
        <f aca="false">INDEX(Summary!$R$2:$R$201,MATCH($B3804,Summary!$A$2:$A$201,0))</f>
        <v>29.37</v>
      </c>
      <c r="W3804" s="0" t="str">
        <f aca="false">INDEX(Summary!$S$2:$S$201,MATCH($B3804,Summary!$A$2:$A$201,0))</f>
        <v>Gold</v>
      </c>
      <c r="X3804" s="2" t="n">
        <f aca="false">INDEX(Summary!$T$2:$T$201,MATCH($B3804,Summary!$A$2:$A$201,0))</f>
        <v>71.63</v>
      </c>
      <c r="Y3804" s="0" t="str">
        <f aca="false">INDEX('Reward Model'!$E$18:$E$37,MATCH($E3804,'Reward Model'!$A$18:$A$37,0))</f>
        <v>Medium</v>
      </c>
      <c r="Z3804" s="4" t="n">
        <f aca="false">ROUND(MIN(1,MAX('Reward Model'!$B$2,INDEX('Reward Model'!$C$12:$C$14,MATCH($K3804,'Reward Model'!$A$12:$A$14,0))/$J3804)),3)</f>
        <v>1</v>
      </c>
      <c r="AA3804" s="2" t="n">
        <f aca="false">IF($I3804="Correct",ROUND(INDEX('Reward Model'!$B$12:$B$14,MATCH($K3804,'Reward Model'!$A$12:$A$14,0))*Z3804,2),0)</f>
        <v>1</v>
      </c>
      <c r="AB3804" s="2" t="n">
        <f aca="false">IF($I3804="Correct",ROUND(INDEX('Reward Model'!$B$12:$B$14,MATCH($Y3804,'Reward Model'!$A$12:$A$14,0))*Z3804,2),0)</f>
        <v>2</v>
      </c>
    </row>
    <row r="3805" customFormat="false" ht="15" hidden="false" customHeight="false" outlineLevel="0" collapsed="false">
      <c r="A3805" s="0" t="s">
        <v>512</v>
      </c>
      <c r="B3805" s="0" t="s">
        <v>513</v>
      </c>
      <c r="C3805" s="0" t="s">
        <v>322</v>
      </c>
      <c r="D3805" s="0" t="s">
        <v>275</v>
      </c>
      <c r="E3805" s="0" t="n">
        <v>4</v>
      </c>
      <c r="F3805" s="0" t="s">
        <v>43</v>
      </c>
      <c r="G3805" s="0" t="s">
        <v>45</v>
      </c>
      <c r="H3805" s="0" t="s">
        <v>45</v>
      </c>
      <c r="I3805" s="0" t="s">
        <v>34</v>
      </c>
      <c r="J3805" s="0" t="n">
        <v>0.94</v>
      </c>
      <c r="K3805" s="0" t="s">
        <v>35</v>
      </c>
      <c r="L3805" s="0" t="n">
        <f aca="false">INDEX(Summary!$F$2:$F$201,MATCH($B3805,Summary!$A$2:$A$201,0))</f>
        <v>20</v>
      </c>
      <c r="M3805" s="0" t="n">
        <f aca="false">INDEX(Summary!$I$2:$I$201,MATCH($B3805,Summary!$A$2:$A$201,0))</f>
        <v>3</v>
      </c>
      <c r="N3805" s="0" t="n">
        <f aca="false">INDEX(Summary!$J$2:$J$201,MATCH($B3805,Summary!$A$2:$A$201,0))</f>
        <v>2</v>
      </c>
      <c r="O3805" s="2" t="n">
        <f aca="false">INDEX(Summary!$K$2:$K$201,MATCH($B3805,Summary!$A$2:$A$201,0))</f>
        <v>9.36</v>
      </c>
      <c r="P3805" s="3" t="n">
        <f aca="false">INDEX(Summary!$L$2:$L$201,MATCH($B3805,Summary!$A$2:$A$201,0))</f>
        <v>5</v>
      </c>
      <c r="Q3805" s="3" t="n">
        <f aca="false">INDEX(Summary!$M$2:$M$201,MATCH($B3805,Summary!$A$2:$A$201,0))</f>
        <v>1</v>
      </c>
      <c r="R3805" s="2" t="n">
        <f aca="false">INDEX(Summary!$N$2:$N$201,MATCH($B3805,Summary!$A$2:$A$201,0))</f>
        <v>10.64</v>
      </c>
      <c r="S3805" s="3" t="n">
        <f aca="false">INDEX(Summary!$O$2:$O$201,MATCH($B3805,Summary!$A$2:$A$201,0))</f>
        <v>8</v>
      </c>
      <c r="T3805" s="3" t="n">
        <f aca="false">INDEX(Summary!$P$2:$P$201,MATCH($B3805,Summary!$A$2:$A$201,0))</f>
        <v>1</v>
      </c>
      <c r="U3805" s="2" t="n">
        <f aca="false">INDEX(Summary!$Q$2:$Q$201,MATCH($B3805,Summary!$A$2:$A$201,0))</f>
        <v>11.86</v>
      </c>
      <c r="V3805" s="2" t="n">
        <f aca="false">INDEX(Summary!$R$2:$R$201,MATCH($B3805,Summary!$A$2:$A$201,0))</f>
        <v>29.37</v>
      </c>
      <c r="W3805" s="0" t="str">
        <f aca="false">INDEX(Summary!$S$2:$S$201,MATCH($B3805,Summary!$A$2:$A$201,0))</f>
        <v>Gold</v>
      </c>
      <c r="X3805" s="2" t="n">
        <f aca="false">INDEX(Summary!$T$2:$T$201,MATCH($B3805,Summary!$A$2:$A$201,0))</f>
        <v>71.63</v>
      </c>
      <c r="Y3805" s="0" t="str">
        <f aca="false">INDEX('Reward Model'!$E$18:$E$37,MATCH($E3805,'Reward Model'!$A$18:$A$37,0))</f>
        <v>Low</v>
      </c>
      <c r="Z3805" s="4" t="n">
        <f aca="false">ROUND(MIN(1,MAX('Reward Model'!$B$2,INDEX('Reward Model'!$C$12:$C$14,MATCH($K3805,'Reward Model'!$A$12:$A$14,0))/$J3805)),3)</f>
        <v>1</v>
      </c>
      <c r="AA3805" s="2" t="n">
        <f aca="false">IF($I3805="Correct",ROUND(INDEX('Reward Model'!$B$12:$B$14,MATCH($K3805,'Reward Model'!$A$12:$A$14,0))*Z3805,2),0)</f>
        <v>1</v>
      </c>
      <c r="AB3805" s="2" t="n">
        <f aca="false">IF($I3805="Correct",ROUND(INDEX('Reward Model'!$B$12:$B$14,MATCH($Y3805,'Reward Model'!$A$12:$A$14,0))*Z3805,2),0)</f>
        <v>1</v>
      </c>
    </row>
    <row r="3806" customFormat="false" ht="15" hidden="false" customHeight="false" outlineLevel="0" collapsed="false">
      <c r="A3806" s="0" t="s">
        <v>512</v>
      </c>
      <c r="B3806" s="0" t="s">
        <v>513</v>
      </c>
      <c r="C3806" s="0" t="s">
        <v>322</v>
      </c>
      <c r="D3806" s="0" t="s">
        <v>275</v>
      </c>
      <c r="E3806" s="0" t="n">
        <v>5</v>
      </c>
      <c r="F3806" s="0" t="s">
        <v>46</v>
      </c>
      <c r="G3806" s="0" t="s">
        <v>47</v>
      </c>
      <c r="H3806" s="0" t="s">
        <v>47</v>
      </c>
      <c r="I3806" s="0" t="s">
        <v>34</v>
      </c>
      <c r="J3806" s="0" t="n">
        <v>1.54</v>
      </c>
      <c r="K3806" s="0" t="s">
        <v>35</v>
      </c>
      <c r="L3806" s="0" t="n">
        <f aca="false">INDEX(Summary!$F$2:$F$201,MATCH($B3806,Summary!$A$2:$A$201,0))</f>
        <v>20</v>
      </c>
      <c r="M3806" s="0" t="n">
        <f aca="false">INDEX(Summary!$I$2:$I$201,MATCH($B3806,Summary!$A$2:$A$201,0))</f>
        <v>3</v>
      </c>
      <c r="N3806" s="0" t="n">
        <f aca="false">INDEX(Summary!$J$2:$J$201,MATCH($B3806,Summary!$A$2:$A$201,0))</f>
        <v>2</v>
      </c>
      <c r="O3806" s="2" t="n">
        <f aca="false">INDEX(Summary!$K$2:$K$201,MATCH($B3806,Summary!$A$2:$A$201,0))</f>
        <v>9.36</v>
      </c>
      <c r="P3806" s="3" t="n">
        <f aca="false">INDEX(Summary!$L$2:$L$201,MATCH($B3806,Summary!$A$2:$A$201,0))</f>
        <v>5</v>
      </c>
      <c r="Q3806" s="3" t="n">
        <f aca="false">INDEX(Summary!$M$2:$M$201,MATCH($B3806,Summary!$A$2:$A$201,0))</f>
        <v>1</v>
      </c>
      <c r="R3806" s="2" t="n">
        <f aca="false">INDEX(Summary!$N$2:$N$201,MATCH($B3806,Summary!$A$2:$A$201,0))</f>
        <v>10.64</v>
      </c>
      <c r="S3806" s="3" t="n">
        <f aca="false">INDEX(Summary!$O$2:$O$201,MATCH($B3806,Summary!$A$2:$A$201,0))</f>
        <v>8</v>
      </c>
      <c r="T3806" s="3" t="n">
        <f aca="false">INDEX(Summary!$P$2:$P$201,MATCH($B3806,Summary!$A$2:$A$201,0))</f>
        <v>1</v>
      </c>
      <c r="U3806" s="2" t="n">
        <f aca="false">INDEX(Summary!$Q$2:$Q$201,MATCH($B3806,Summary!$A$2:$A$201,0))</f>
        <v>11.86</v>
      </c>
      <c r="V3806" s="2" t="n">
        <f aca="false">INDEX(Summary!$R$2:$R$201,MATCH($B3806,Summary!$A$2:$A$201,0))</f>
        <v>29.37</v>
      </c>
      <c r="W3806" s="0" t="str">
        <f aca="false">INDEX(Summary!$S$2:$S$201,MATCH($B3806,Summary!$A$2:$A$201,0))</f>
        <v>Gold</v>
      </c>
      <c r="X3806" s="2" t="n">
        <f aca="false">INDEX(Summary!$T$2:$T$201,MATCH($B3806,Summary!$A$2:$A$201,0))</f>
        <v>71.63</v>
      </c>
      <c r="Y3806" s="0" t="str">
        <f aca="false">INDEX('Reward Model'!$E$18:$E$37,MATCH($E3806,'Reward Model'!$A$18:$A$37,0))</f>
        <v>Low</v>
      </c>
      <c r="Z3806" s="4" t="n">
        <f aca="false">ROUND(MIN(1,MAX('Reward Model'!$B$2,INDEX('Reward Model'!$C$12:$C$14,MATCH($K3806,'Reward Model'!$A$12:$A$14,0))/$J3806)),3)</f>
        <v>0.974</v>
      </c>
      <c r="AA3806" s="2" t="n">
        <f aca="false">IF($I3806="Correct",ROUND(INDEX('Reward Model'!$B$12:$B$14,MATCH($K3806,'Reward Model'!$A$12:$A$14,0))*Z3806,2),0)</f>
        <v>0.97</v>
      </c>
      <c r="AB3806" s="2" t="n">
        <f aca="false">IF($I3806="Correct",ROUND(INDEX('Reward Model'!$B$12:$B$14,MATCH($Y3806,'Reward Model'!$A$12:$A$14,0))*Z3806,2),0)</f>
        <v>0.97</v>
      </c>
    </row>
    <row r="3807" customFormat="false" ht="15" hidden="false" customHeight="false" outlineLevel="0" collapsed="false">
      <c r="A3807" s="0" t="s">
        <v>512</v>
      </c>
      <c r="B3807" s="0" t="s">
        <v>513</v>
      </c>
      <c r="C3807" s="0" t="s">
        <v>322</v>
      </c>
      <c r="D3807" s="0" t="s">
        <v>275</v>
      </c>
      <c r="E3807" s="0" t="n">
        <v>6</v>
      </c>
      <c r="F3807" s="0" t="s">
        <v>48</v>
      </c>
      <c r="G3807" s="0" t="s">
        <v>49</v>
      </c>
      <c r="H3807" s="0" t="s">
        <v>49</v>
      </c>
      <c r="I3807" s="0" t="s">
        <v>34</v>
      </c>
      <c r="J3807" s="0" t="n">
        <v>1.61</v>
      </c>
      <c r="K3807" s="0" t="s">
        <v>35</v>
      </c>
      <c r="L3807" s="0" t="n">
        <f aca="false">INDEX(Summary!$F$2:$F$201,MATCH($B3807,Summary!$A$2:$A$201,0))</f>
        <v>20</v>
      </c>
      <c r="M3807" s="0" t="n">
        <f aca="false">INDEX(Summary!$I$2:$I$201,MATCH($B3807,Summary!$A$2:$A$201,0))</f>
        <v>3</v>
      </c>
      <c r="N3807" s="0" t="n">
        <f aca="false">INDEX(Summary!$J$2:$J$201,MATCH($B3807,Summary!$A$2:$A$201,0))</f>
        <v>2</v>
      </c>
      <c r="O3807" s="2" t="n">
        <f aca="false">INDEX(Summary!$K$2:$K$201,MATCH($B3807,Summary!$A$2:$A$201,0))</f>
        <v>9.36</v>
      </c>
      <c r="P3807" s="3" t="n">
        <f aca="false">INDEX(Summary!$L$2:$L$201,MATCH($B3807,Summary!$A$2:$A$201,0))</f>
        <v>5</v>
      </c>
      <c r="Q3807" s="3" t="n">
        <f aca="false">INDEX(Summary!$M$2:$M$201,MATCH($B3807,Summary!$A$2:$A$201,0))</f>
        <v>1</v>
      </c>
      <c r="R3807" s="2" t="n">
        <f aca="false">INDEX(Summary!$N$2:$N$201,MATCH($B3807,Summary!$A$2:$A$201,0))</f>
        <v>10.64</v>
      </c>
      <c r="S3807" s="3" t="n">
        <f aca="false">INDEX(Summary!$O$2:$O$201,MATCH($B3807,Summary!$A$2:$A$201,0))</f>
        <v>8</v>
      </c>
      <c r="T3807" s="3" t="n">
        <f aca="false">INDEX(Summary!$P$2:$P$201,MATCH($B3807,Summary!$A$2:$A$201,0))</f>
        <v>1</v>
      </c>
      <c r="U3807" s="2" t="n">
        <f aca="false">INDEX(Summary!$Q$2:$Q$201,MATCH($B3807,Summary!$A$2:$A$201,0))</f>
        <v>11.86</v>
      </c>
      <c r="V3807" s="2" t="n">
        <f aca="false">INDEX(Summary!$R$2:$R$201,MATCH($B3807,Summary!$A$2:$A$201,0))</f>
        <v>29.37</v>
      </c>
      <c r="W3807" s="0" t="str">
        <f aca="false">INDEX(Summary!$S$2:$S$201,MATCH($B3807,Summary!$A$2:$A$201,0))</f>
        <v>Gold</v>
      </c>
      <c r="X3807" s="2" t="n">
        <f aca="false">INDEX(Summary!$T$2:$T$201,MATCH($B3807,Summary!$A$2:$A$201,0))</f>
        <v>71.63</v>
      </c>
      <c r="Y3807" s="0" t="str">
        <f aca="false">INDEX('Reward Model'!$E$18:$E$37,MATCH($E3807,'Reward Model'!$A$18:$A$37,0))</f>
        <v>Medium</v>
      </c>
      <c r="Z3807" s="4" t="n">
        <f aca="false">ROUND(MIN(1,MAX('Reward Model'!$B$2,INDEX('Reward Model'!$C$12:$C$14,MATCH($K3807,'Reward Model'!$A$12:$A$14,0))/$J3807)),3)</f>
        <v>0.932</v>
      </c>
      <c r="AA3807" s="2" t="n">
        <f aca="false">IF($I3807="Correct",ROUND(INDEX('Reward Model'!$B$12:$B$14,MATCH($K3807,'Reward Model'!$A$12:$A$14,0))*Z3807,2),0)</f>
        <v>0.93</v>
      </c>
      <c r="AB3807" s="2" t="n">
        <f aca="false">IF($I3807="Correct",ROUND(INDEX('Reward Model'!$B$12:$B$14,MATCH($Y3807,'Reward Model'!$A$12:$A$14,0))*Z3807,2),0)</f>
        <v>1.86</v>
      </c>
    </row>
    <row r="3808" customFormat="false" ht="15" hidden="false" customHeight="false" outlineLevel="0" collapsed="false">
      <c r="A3808" s="0" t="s">
        <v>512</v>
      </c>
      <c r="B3808" s="0" t="s">
        <v>513</v>
      </c>
      <c r="C3808" s="0" t="s">
        <v>322</v>
      </c>
      <c r="D3808" s="0" t="s">
        <v>275</v>
      </c>
      <c r="E3808" s="0" t="n">
        <v>7</v>
      </c>
      <c r="F3808" s="0" t="s">
        <v>50</v>
      </c>
      <c r="G3808" s="0" t="s">
        <v>51</v>
      </c>
      <c r="H3808" s="0" t="s">
        <v>51</v>
      </c>
      <c r="I3808" s="0" t="s">
        <v>34</v>
      </c>
      <c r="J3808" s="0" t="n">
        <v>1.99</v>
      </c>
      <c r="K3808" s="0" t="s">
        <v>35</v>
      </c>
      <c r="L3808" s="0" t="n">
        <f aca="false">INDEX(Summary!$F$2:$F$201,MATCH($B3808,Summary!$A$2:$A$201,0))</f>
        <v>20</v>
      </c>
      <c r="M3808" s="0" t="n">
        <f aca="false">INDEX(Summary!$I$2:$I$201,MATCH($B3808,Summary!$A$2:$A$201,0))</f>
        <v>3</v>
      </c>
      <c r="N3808" s="0" t="n">
        <f aca="false">INDEX(Summary!$J$2:$J$201,MATCH($B3808,Summary!$A$2:$A$201,0))</f>
        <v>2</v>
      </c>
      <c r="O3808" s="2" t="n">
        <f aca="false">INDEX(Summary!$K$2:$K$201,MATCH($B3808,Summary!$A$2:$A$201,0))</f>
        <v>9.36</v>
      </c>
      <c r="P3808" s="3" t="n">
        <f aca="false">INDEX(Summary!$L$2:$L$201,MATCH($B3808,Summary!$A$2:$A$201,0))</f>
        <v>5</v>
      </c>
      <c r="Q3808" s="3" t="n">
        <f aca="false">INDEX(Summary!$M$2:$M$201,MATCH($B3808,Summary!$A$2:$A$201,0))</f>
        <v>1</v>
      </c>
      <c r="R3808" s="2" t="n">
        <f aca="false">INDEX(Summary!$N$2:$N$201,MATCH($B3808,Summary!$A$2:$A$201,0))</f>
        <v>10.64</v>
      </c>
      <c r="S3808" s="3" t="n">
        <f aca="false">INDEX(Summary!$O$2:$O$201,MATCH($B3808,Summary!$A$2:$A$201,0))</f>
        <v>8</v>
      </c>
      <c r="T3808" s="3" t="n">
        <f aca="false">INDEX(Summary!$P$2:$P$201,MATCH($B3808,Summary!$A$2:$A$201,0))</f>
        <v>1</v>
      </c>
      <c r="U3808" s="2" t="n">
        <f aca="false">INDEX(Summary!$Q$2:$Q$201,MATCH($B3808,Summary!$A$2:$A$201,0))</f>
        <v>11.86</v>
      </c>
      <c r="V3808" s="2" t="n">
        <f aca="false">INDEX(Summary!$R$2:$R$201,MATCH($B3808,Summary!$A$2:$A$201,0))</f>
        <v>29.37</v>
      </c>
      <c r="W3808" s="0" t="str">
        <f aca="false">INDEX(Summary!$S$2:$S$201,MATCH($B3808,Summary!$A$2:$A$201,0))</f>
        <v>Gold</v>
      </c>
      <c r="X3808" s="2" t="n">
        <f aca="false">INDEX(Summary!$T$2:$T$201,MATCH($B3808,Summary!$A$2:$A$201,0))</f>
        <v>71.63</v>
      </c>
      <c r="Y3808" s="0" t="str">
        <f aca="false">INDEX('Reward Model'!$E$18:$E$37,MATCH($E3808,'Reward Model'!$A$18:$A$37,0))</f>
        <v>Low</v>
      </c>
      <c r="Z3808" s="4" t="n">
        <f aca="false">ROUND(MIN(1,MAX('Reward Model'!$B$2,INDEX('Reward Model'!$C$12:$C$14,MATCH($K3808,'Reward Model'!$A$12:$A$14,0))/$J3808)),3)</f>
        <v>0.754</v>
      </c>
      <c r="AA3808" s="2" t="n">
        <f aca="false">IF($I3808="Correct",ROUND(INDEX('Reward Model'!$B$12:$B$14,MATCH($K3808,'Reward Model'!$A$12:$A$14,0))*Z3808,2),0)</f>
        <v>0.75</v>
      </c>
      <c r="AB3808" s="2" t="n">
        <f aca="false">IF($I3808="Correct",ROUND(INDEX('Reward Model'!$B$12:$B$14,MATCH($Y3808,'Reward Model'!$A$12:$A$14,0))*Z3808,2),0)</f>
        <v>0.75</v>
      </c>
    </row>
    <row r="3809" customFormat="false" ht="15" hidden="false" customHeight="false" outlineLevel="0" collapsed="false">
      <c r="A3809" s="0" t="s">
        <v>512</v>
      </c>
      <c r="B3809" s="0" t="s">
        <v>513</v>
      </c>
      <c r="C3809" s="0" t="s">
        <v>322</v>
      </c>
      <c r="D3809" s="0" t="s">
        <v>275</v>
      </c>
      <c r="E3809" s="0" t="n">
        <v>8</v>
      </c>
      <c r="F3809" s="0" t="s">
        <v>52</v>
      </c>
      <c r="G3809" s="0" t="s">
        <v>54</v>
      </c>
      <c r="H3809" s="0" t="s">
        <v>54</v>
      </c>
      <c r="I3809" s="0" t="s">
        <v>34</v>
      </c>
      <c r="J3809" s="0" t="n">
        <v>1.09</v>
      </c>
      <c r="K3809" s="0" t="s">
        <v>35</v>
      </c>
      <c r="L3809" s="0" t="n">
        <f aca="false">INDEX(Summary!$F$2:$F$201,MATCH($B3809,Summary!$A$2:$A$201,0))</f>
        <v>20</v>
      </c>
      <c r="M3809" s="0" t="n">
        <f aca="false">INDEX(Summary!$I$2:$I$201,MATCH($B3809,Summary!$A$2:$A$201,0))</f>
        <v>3</v>
      </c>
      <c r="N3809" s="0" t="n">
        <f aca="false">INDEX(Summary!$J$2:$J$201,MATCH($B3809,Summary!$A$2:$A$201,0))</f>
        <v>2</v>
      </c>
      <c r="O3809" s="2" t="n">
        <f aca="false">INDEX(Summary!$K$2:$K$201,MATCH($B3809,Summary!$A$2:$A$201,0))</f>
        <v>9.36</v>
      </c>
      <c r="P3809" s="3" t="n">
        <f aca="false">INDEX(Summary!$L$2:$L$201,MATCH($B3809,Summary!$A$2:$A$201,0))</f>
        <v>5</v>
      </c>
      <c r="Q3809" s="3" t="n">
        <f aca="false">INDEX(Summary!$M$2:$M$201,MATCH($B3809,Summary!$A$2:$A$201,0))</f>
        <v>1</v>
      </c>
      <c r="R3809" s="2" t="n">
        <f aca="false">INDEX(Summary!$N$2:$N$201,MATCH($B3809,Summary!$A$2:$A$201,0))</f>
        <v>10.64</v>
      </c>
      <c r="S3809" s="3" t="n">
        <f aca="false">INDEX(Summary!$O$2:$O$201,MATCH($B3809,Summary!$A$2:$A$201,0))</f>
        <v>8</v>
      </c>
      <c r="T3809" s="3" t="n">
        <f aca="false">INDEX(Summary!$P$2:$P$201,MATCH($B3809,Summary!$A$2:$A$201,0))</f>
        <v>1</v>
      </c>
      <c r="U3809" s="2" t="n">
        <f aca="false">INDEX(Summary!$Q$2:$Q$201,MATCH($B3809,Summary!$A$2:$A$201,0))</f>
        <v>11.86</v>
      </c>
      <c r="V3809" s="2" t="n">
        <f aca="false">INDEX(Summary!$R$2:$R$201,MATCH($B3809,Summary!$A$2:$A$201,0))</f>
        <v>29.37</v>
      </c>
      <c r="W3809" s="0" t="str">
        <f aca="false">INDEX(Summary!$S$2:$S$201,MATCH($B3809,Summary!$A$2:$A$201,0))</f>
        <v>Gold</v>
      </c>
      <c r="X3809" s="2" t="n">
        <f aca="false">INDEX(Summary!$T$2:$T$201,MATCH($B3809,Summary!$A$2:$A$201,0))</f>
        <v>71.63</v>
      </c>
      <c r="Y3809" s="0" t="str">
        <f aca="false">INDEX('Reward Model'!$E$18:$E$37,MATCH($E3809,'Reward Model'!$A$18:$A$37,0))</f>
        <v>Medium</v>
      </c>
      <c r="Z3809" s="4" t="n">
        <f aca="false">ROUND(MIN(1,MAX('Reward Model'!$B$2,INDEX('Reward Model'!$C$12:$C$14,MATCH($K3809,'Reward Model'!$A$12:$A$14,0))/$J3809)),3)</f>
        <v>1</v>
      </c>
      <c r="AA3809" s="2" t="n">
        <f aca="false">IF($I3809="Correct",ROUND(INDEX('Reward Model'!$B$12:$B$14,MATCH($K3809,'Reward Model'!$A$12:$A$14,0))*Z3809,2),0)</f>
        <v>1</v>
      </c>
      <c r="AB3809" s="2" t="n">
        <f aca="false">IF($I3809="Correct",ROUND(INDEX('Reward Model'!$B$12:$B$14,MATCH($Y3809,'Reward Model'!$A$12:$A$14,0))*Z3809,2),0)</f>
        <v>2</v>
      </c>
    </row>
    <row r="3810" customFormat="false" ht="15" hidden="false" customHeight="false" outlineLevel="0" collapsed="false">
      <c r="A3810" s="0" t="s">
        <v>512</v>
      </c>
      <c r="B3810" s="0" t="s">
        <v>513</v>
      </c>
      <c r="C3810" s="0" t="s">
        <v>322</v>
      </c>
      <c r="D3810" s="0" t="s">
        <v>275</v>
      </c>
      <c r="E3810" s="0" t="n">
        <v>9</v>
      </c>
      <c r="F3810" s="0" t="s">
        <v>55</v>
      </c>
      <c r="G3810" s="0" t="s">
        <v>56</v>
      </c>
      <c r="H3810" s="0" t="s">
        <v>57</v>
      </c>
      <c r="I3810" s="0" t="s">
        <v>39</v>
      </c>
      <c r="J3810" s="0" t="n">
        <v>0.9</v>
      </c>
      <c r="K3810" s="0" t="s">
        <v>35</v>
      </c>
      <c r="L3810" s="0" t="n">
        <f aca="false">INDEX(Summary!$F$2:$F$201,MATCH($B3810,Summary!$A$2:$A$201,0))</f>
        <v>20</v>
      </c>
      <c r="M3810" s="0" t="n">
        <f aca="false">INDEX(Summary!$I$2:$I$201,MATCH($B3810,Summary!$A$2:$A$201,0))</f>
        <v>3</v>
      </c>
      <c r="N3810" s="0" t="n">
        <f aca="false">INDEX(Summary!$J$2:$J$201,MATCH($B3810,Summary!$A$2:$A$201,0))</f>
        <v>2</v>
      </c>
      <c r="O3810" s="2" t="n">
        <f aca="false">INDEX(Summary!$K$2:$K$201,MATCH($B3810,Summary!$A$2:$A$201,0))</f>
        <v>9.36</v>
      </c>
      <c r="P3810" s="3" t="n">
        <f aca="false">INDEX(Summary!$L$2:$L$201,MATCH($B3810,Summary!$A$2:$A$201,0))</f>
        <v>5</v>
      </c>
      <c r="Q3810" s="3" t="n">
        <f aca="false">INDEX(Summary!$M$2:$M$201,MATCH($B3810,Summary!$A$2:$A$201,0))</f>
        <v>1</v>
      </c>
      <c r="R3810" s="2" t="n">
        <f aca="false">INDEX(Summary!$N$2:$N$201,MATCH($B3810,Summary!$A$2:$A$201,0))</f>
        <v>10.64</v>
      </c>
      <c r="S3810" s="3" t="n">
        <f aca="false">INDEX(Summary!$O$2:$O$201,MATCH($B3810,Summary!$A$2:$A$201,0))</f>
        <v>8</v>
      </c>
      <c r="T3810" s="3" t="n">
        <f aca="false">INDEX(Summary!$P$2:$P$201,MATCH($B3810,Summary!$A$2:$A$201,0))</f>
        <v>1</v>
      </c>
      <c r="U3810" s="2" t="n">
        <f aca="false">INDEX(Summary!$Q$2:$Q$201,MATCH($B3810,Summary!$A$2:$A$201,0))</f>
        <v>11.86</v>
      </c>
      <c r="V3810" s="2" t="n">
        <f aca="false">INDEX(Summary!$R$2:$R$201,MATCH($B3810,Summary!$A$2:$A$201,0))</f>
        <v>29.37</v>
      </c>
      <c r="W3810" s="0" t="str">
        <f aca="false">INDEX(Summary!$S$2:$S$201,MATCH($B3810,Summary!$A$2:$A$201,0))</f>
        <v>Gold</v>
      </c>
      <c r="X3810" s="2" t="n">
        <f aca="false">INDEX(Summary!$T$2:$T$201,MATCH($B3810,Summary!$A$2:$A$201,0))</f>
        <v>71.63</v>
      </c>
      <c r="Y3810" s="0" t="str">
        <f aca="false">INDEX('Reward Model'!$E$18:$E$37,MATCH($E3810,'Reward Model'!$A$18:$A$37,0))</f>
        <v>Medium</v>
      </c>
      <c r="Z3810" s="4" t="n">
        <f aca="false">ROUND(MIN(1,MAX('Reward Model'!$B$2,INDEX('Reward Model'!$C$12:$C$14,MATCH($K3810,'Reward Model'!$A$12:$A$14,0))/$J3810)),3)</f>
        <v>1</v>
      </c>
      <c r="AA3810" s="2" t="n">
        <f aca="false">IF($I3810="Correct",ROUND(INDEX('Reward Model'!$B$12:$B$14,MATCH($K3810,'Reward Model'!$A$12:$A$14,0))*Z3810,2),0)</f>
        <v>0</v>
      </c>
      <c r="AB3810" s="2" t="n">
        <f aca="false">IF($I3810="Correct",ROUND(INDEX('Reward Model'!$B$12:$B$14,MATCH($Y3810,'Reward Model'!$A$12:$A$14,0))*Z3810,2),0)</f>
        <v>0</v>
      </c>
    </row>
    <row r="3811" customFormat="false" ht="15" hidden="false" customHeight="false" outlineLevel="0" collapsed="false">
      <c r="A3811" s="0" t="s">
        <v>512</v>
      </c>
      <c r="B3811" s="0" t="s">
        <v>513</v>
      </c>
      <c r="C3811" s="0" t="s">
        <v>322</v>
      </c>
      <c r="D3811" s="0" t="s">
        <v>275</v>
      </c>
      <c r="E3811" s="0" t="n">
        <v>10</v>
      </c>
      <c r="F3811" s="0" t="s">
        <v>58</v>
      </c>
      <c r="G3811" s="0" t="s">
        <v>99</v>
      </c>
      <c r="H3811" s="0" t="s">
        <v>59</v>
      </c>
      <c r="I3811" s="0" t="s">
        <v>39</v>
      </c>
      <c r="J3811" s="0" t="n">
        <v>1.96</v>
      </c>
      <c r="K3811" s="0" t="s">
        <v>60</v>
      </c>
      <c r="L3811" s="0" t="n">
        <f aca="false">INDEX(Summary!$F$2:$F$201,MATCH($B3811,Summary!$A$2:$A$201,0))</f>
        <v>20</v>
      </c>
      <c r="M3811" s="0" t="n">
        <f aca="false">INDEX(Summary!$I$2:$I$201,MATCH($B3811,Summary!$A$2:$A$201,0))</f>
        <v>3</v>
      </c>
      <c r="N3811" s="0" t="n">
        <f aca="false">INDEX(Summary!$J$2:$J$201,MATCH($B3811,Summary!$A$2:$A$201,0))</f>
        <v>2</v>
      </c>
      <c r="O3811" s="2" t="n">
        <f aca="false">INDEX(Summary!$K$2:$K$201,MATCH($B3811,Summary!$A$2:$A$201,0))</f>
        <v>9.36</v>
      </c>
      <c r="P3811" s="3" t="n">
        <f aca="false">INDEX(Summary!$L$2:$L$201,MATCH($B3811,Summary!$A$2:$A$201,0))</f>
        <v>5</v>
      </c>
      <c r="Q3811" s="3" t="n">
        <f aca="false">INDEX(Summary!$M$2:$M$201,MATCH($B3811,Summary!$A$2:$A$201,0))</f>
        <v>1</v>
      </c>
      <c r="R3811" s="2" t="n">
        <f aca="false">INDEX(Summary!$N$2:$N$201,MATCH($B3811,Summary!$A$2:$A$201,0))</f>
        <v>10.64</v>
      </c>
      <c r="S3811" s="3" t="n">
        <f aca="false">INDEX(Summary!$O$2:$O$201,MATCH($B3811,Summary!$A$2:$A$201,0))</f>
        <v>8</v>
      </c>
      <c r="T3811" s="3" t="n">
        <f aca="false">INDEX(Summary!$P$2:$P$201,MATCH($B3811,Summary!$A$2:$A$201,0))</f>
        <v>1</v>
      </c>
      <c r="U3811" s="2" t="n">
        <f aca="false">INDEX(Summary!$Q$2:$Q$201,MATCH($B3811,Summary!$A$2:$A$201,0))</f>
        <v>11.86</v>
      </c>
      <c r="V3811" s="2" t="n">
        <f aca="false">INDEX(Summary!$R$2:$R$201,MATCH($B3811,Summary!$A$2:$A$201,0))</f>
        <v>29.37</v>
      </c>
      <c r="W3811" s="0" t="str">
        <f aca="false">INDEX(Summary!$S$2:$S$201,MATCH($B3811,Summary!$A$2:$A$201,0))</f>
        <v>Gold</v>
      </c>
      <c r="X3811" s="2" t="n">
        <f aca="false">INDEX(Summary!$T$2:$T$201,MATCH($B3811,Summary!$A$2:$A$201,0))</f>
        <v>71.63</v>
      </c>
      <c r="Y3811" s="0" t="str">
        <f aca="false">INDEX('Reward Model'!$E$18:$E$37,MATCH($E3811,'Reward Model'!$A$18:$A$37,0))</f>
        <v>Medium</v>
      </c>
      <c r="Z3811" s="4" t="n">
        <f aca="false">ROUND(MIN(1,MAX('Reward Model'!$B$2,INDEX('Reward Model'!$C$12:$C$14,MATCH($K3811,'Reward Model'!$A$12:$A$14,0))/$J3811)),3)</f>
        <v>0.918</v>
      </c>
      <c r="AA3811" s="2" t="n">
        <f aca="false">IF($I3811="Correct",ROUND(INDEX('Reward Model'!$B$12:$B$14,MATCH($K3811,'Reward Model'!$A$12:$A$14,0))*Z3811,2),0)</f>
        <v>0</v>
      </c>
      <c r="AB3811" s="2" t="n">
        <f aca="false">IF($I3811="Correct",ROUND(INDEX('Reward Model'!$B$12:$B$14,MATCH($Y3811,'Reward Model'!$A$12:$A$14,0))*Z3811,2),0)</f>
        <v>0</v>
      </c>
    </row>
    <row r="3812" customFormat="false" ht="15" hidden="false" customHeight="false" outlineLevel="0" collapsed="false">
      <c r="A3812" s="0" t="s">
        <v>512</v>
      </c>
      <c r="B3812" s="0" t="s">
        <v>513</v>
      </c>
      <c r="C3812" s="0" t="s">
        <v>322</v>
      </c>
      <c r="D3812" s="0" t="s">
        <v>275</v>
      </c>
      <c r="E3812" s="0" t="n">
        <v>11</v>
      </c>
      <c r="F3812" s="0" t="s">
        <v>61</v>
      </c>
      <c r="G3812" s="0" t="s">
        <v>63</v>
      </c>
      <c r="H3812" s="0" t="s">
        <v>63</v>
      </c>
      <c r="I3812" s="0" t="s">
        <v>34</v>
      </c>
      <c r="J3812" s="0" t="n">
        <v>1.35</v>
      </c>
      <c r="K3812" s="0" t="s">
        <v>60</v>
      </c>
      <c r="L3812" s="0" t="n">
        <f aca="false">INDEX(Summary!$F$2:$F$201,MATCH($B3812,Summary!$A$2:$A$201,0))</f>
        <v>20</v>
      </c>
      <c r="M3812" s="0" t="n">
        <f aca="false">INDEX(Summary!$I$2:$I$201,MATCH($B3812,Summary!$A$2:$A$201,0))</f>
        <v>3</v>
      </c>
      <c r="N3812" s="0" t="n">
        <f aca="false">INDEX(Summary!$J$2:$J$201,MATCH($B3812,Summary!$A$2:$A$201,0))</f>
        <v>2</v>
      </c>
      <c r="O3812" s="2" t="n">
        <f aca="false">INDEX(Summary!$K$2:$K$201,MATCH($B3812,Summary!$A$2:$A$201,0))</f>
        <v>9.36</v>
      </c>
      <c r="P3812" s="3" t="n">
        <f aca="false">INDEX(Summary!$L$2:$L$201,MATCH($B3812,Summary!$A$2:$A$201,0))</f>
        <v>5</v>
      </c>
      <c r="Q3812" s="3" t="n">
        <f aca="false">INDEX(Summary!$M$2:$M$201,MATCH($B3812,Summary!$A$2:$A$201,0))</f>
        <v>1</v>
      </c>
      <c r="R3812" s="2" t="n">
        <f aca="false">INDEX(Summary!$N$2:$N$201,MATCH($B3812,Summary!$A$2:$A$201,0))</f>
        <v>10.64</v>
      </c>
      <c r="S3812" s="3" t="n">
        <f aca="false">INDEX(Summary!$O$2:$O$201,MATCH($B3812,Summary!$A$2:$A$201,0))</f>
        <v>8</v>
      </c>
      <c r="T3812" s="3" t="n">
        <f aca="false">INDEX(Summary!$P$2:$P$201,MATCH($B3812,Summary!$A$2:$A$201,0))</f>
        <v>1</v>
      </c>
      <c r="U3812" s="2" t="n">
        <f aca="false">INDEX(Summary!$Q$2:$Q$201,MATCH($B3812,Summary!$A$2:$A$201,0))</f>
        <v>11.86</v>
      </c>
      <c r="V3812" s="2" t="n">
        <f aca="false">INDEX(Summary!$R$2:$R$201,MATCH($B3812,Summary!$A$2:$A$201,0))</f>
        <v>29.37</v>
      </c>
      <c r="W3812" s="0" t="str">
        <f aca="false">INDEX(Summary!$S$2:$S$201,MATCH($B3812,Summary!$A$2:$A$201,0))</f>
        <v>Gold</v>
      </c>
      <c r="X3812" s="2" t="n">
        <f aca="false">INDEX(Summary!$T$2:$T$201,MATCH($B3812,Summary!$A$2:$A$201,0))</f>
        <v>71.63</v>
      </c>
      <c r="Y3812" s="0" t="str">
        <f aca="false">INDEX('Reward Model'!$E$18:$E$37,MATCH($E3812,'Reward Model'!$A$18:$A$37,0))</f>
        <v>Medium</v>
      </c>
      <c r="Z3812" s="4" t="n">
        <f aca="false">ROUND(MIN(1,MAX('Reward Model'!$B$2,INDEX('Reward Model'!$C$12:$C$14,MATCH($K3812,'Reward Model'!$A$12:$A$14,0))/$J3812)),3)</f>
        <v>1</v>
      </c>
      <c r="AA3812" s="2" t="n">
        <f aca="false">IF($I3812="Correct",ROUND(INDEX('Reward Model'!$B$12:$B$14,MATCH($K3812,'Reward Model'!$A$12:$A$14,0))*Z3812,2),0)</f>
        <v>2</v>
      </c>
      <c r="AB3812" s="2" t="n">
        <f aca="false">IF($I3812="Correct",ROUND(INDEX('Reward Model'!$B$12:$B$14,MATCH($Y3812,'Reward Model'!$A$12:$A$14,0))*Z3812,2),0)</f>
        <v>2</v>
      </c>
    </row>
    <row r="3813" customFormat="false" ht="15" hidden="false" customHeight="false" outlineLevel="0" collapsed="false">
      <c r="A3813" s="0" t="s">
        <v>512</v>
      </c>
      <c r="B3813" s="0" t="s">
        <v>513</v>
      </c>
      <c r="C3813" s="0" t="s">
        <v>322</v>
      </c>
      <c r="D3813" s="0" t="s">
        <v>275</v>
      </c>
      <c r="E3813" s="0" t="n">
        <v>12</v>
      </c>
      <c r="F3813" s="0" t="s">
        <v>64</v>
      </c>
      <c r="G3813" s="0" t="s">
        <v>65</v>
      </c>
      <c r="H3813" s="0" t="s">
        <v>65</v>
      </c>
      <c r="I3813" s="0" t="s">
        <v>34</v>
      </c>
      <c r="J3813" s="0" t="n">
        <v>1.31</v>
      </c>
      <c r="K3813" s="0" t="s">
        <v>60</v>
      </c>
      <c r="L3813" s="0" t="n">
        <f aca="false">INDEX(Summary!$F$2:$F$201,MATCH($B3813,Summary!$A$2:$A$201,0))</f>
        <v>20</v>
      </c>
      <c r="M3813" s="0" t="n">
        <f aca="false">INDEX(Summary!$I$2:$I$201,MATCH($B3813,Summary!$A$2:$A$201,0))</f>
        <v>3</v>
      </c>
      <c r="N3813" s="0" t="n">
        <f aca="false">INDEX(Summary!$J$2:$J$201,MATCH($B3813,Summary!$A$2:$A$201,0))</f>
        <v>2</v>
      </c>
      <c r="O3813" s="2" t="n">
        <f aca="false">INDEX(Summary!$K$2:$K$201,MATCH($B3813,Summary!$A$2:$A$201,0))</f>
        <v>9.36</v>
      </c>
      <c r="P3813" s="3" t="n">
        <f aca="false">INDEX(Summary!$L$2:$L$201,MATCH($B3813,Summary!$A$2:$A$201,0))</f>
        <v>5</v>
      </c>
      <c r="Q3813" s="3" t="n">
        <f aca="false">INDEX(Summary!$M$2:$M$201,MATCH($B3813,Summary!$A$2:$A$201,0))</f>
        <v>1</v>
      </c>
      <c r="R3813" s="2" t="n">
        <f aca="false">INDEX(Summary!$N$2:$N$201,MATCH($B3813,Summary!$A$2:$A$201,0))</f>
        <v>10.64</v>
      </c>
      <c r="S3813" s="3" t="n">
        <f aca="false">INDEX(Summary!$O$2:$O$201,MATCH($B3813,Summary!$A$2:$A$201,0))</f>
        <v>8</v>
      </c>
      <c r="T3813" s="3" t="n">
        <f aca="false">INDEX(Summary!$P$2:$P$201,MATCH($B3813,Summary!$A$2:$A$201,0))</f>
        <v>1</v>
      </c>
      <c r="U3813" s="2" t="n">
        <f aca="false">INDEX(Summary!$Q$2:$Q$201,MATCH($B3813,Summary!$A$2:$A$201,0))</f>
        <v>11.86</v>
      </c>
      <c r="V3813" s="2" t="n">
        <f aca="false">INDEX(Summary!$R$2:$R$201,MATCH($B3813,Summary!$A$2:$A$201,0))</f>
        <v>29.37</v>
      </c>
      <c r="W3813" s="0" t="str">
        <f aca="false">INDEX(Summary!$S$2:$S$201,MATCH($B3813,Summary!$A$2:$A$201,0))</f>
        <v>Gold</v>
      </c>
      <c r="X3813" s="2" t="n">
        <f aca="false">INDEX(Summary!$T$2:$T$201,MATCH($B3813,Summary!$A$2:$A$201,0))</f>
        <v>71.63</v>
      </c>
      <c r="Y3813" s="0" t="str">
        <f aca="false">INDEX('Reward Model'!$E$18:$E$37,MATCH($E3813,'Reward Model'!$A$18:$A$37,0))</f>
        <v>Medium</v>
      </c>
      <c r="Z3813" s="4" t="n">
        <f aca="false">ROUND(MIN(1,MAX('Reward Model'!$B$2,INDEX('Reward Model'!$C$12:$C$14,MATCH($K3813,'Reward Model'!$A$12:$A$14,0))/$J3813)),3)</f>
        <v>1</v>
      </c>
      <c r="AA3813" s="2" t="n">
        <f aca="false">IF($I3813="Correct",ROUND(INDEX('Reward Model'!$B$12:$B$14,MATCH($K3813,'Reward Model'!$A$12:$A$14,0))*Z3813,2),0)</f>
        <v>2</v>
      </c>
      <c r="AB3813" s="2" t="n">
        <f aca="false">IF($I3813="Correct",ROUND(INDEX('Reward Model'!$B$12:$B$14,MATCH($Y3813,'Reward Model'!$A$12:$A$14,0))*Z3813,2),0)</f>
        <v>2</v>
      </c>
    </row>
    <row r="3814" customFormat="false" ht="15" hidden="false" customHeight="false" outlineLevel="0" collapsed="false">
      <c r="A3814" s="0" t="s">
        <v>512</v>
      </c>
      <c r="B3814" s="0" t="s">
        <v>513</v>
      </c>
      <c r="C3814" s="0" t="s">
        <v>322</v>
      </c>
      <c r="D3814" s="0" t="s">
        <v>275</v>
      </c>
      <c r="E3814" s="0" t="n">
        <v>13</v>
      </c>
      <c r="F3814" s="0" t="s">
        <v>66</v>
      </c>
      <c r="G3814" s="0" t="s">
        <v>67</v>
      </c>
      <c r="H3814" s="0" t="s">
        <v>67</v>
      </c>
      <c r="I3814" s="0" t="s">
        <v>34</v>
      </c>
      <c r="J3814" s="0" t="n">
        <v>2.25</v>
      </c>
      <c r="K3814" s="0" t="s">
        <v>60</v>
      </c>
      <c r="L3814" s="0" t="n">
        <f aca="false">INDEX(Summary!$F$2:$F$201,MATCH($B3814,Summary!$A$2:$A$201,0))</f>
        <v>20</v>
      </c>
      <c r="M3814" s="0" t="n">
        <f aca="false">INDEX(Summary!$I$2:$I$201,MATCH($B3814,Summary!$A$2:$A$201,0))</f>
        <v>3</v>
      </c>
      <c r="N3814" s="0" t="n">
        <f aca="false">INDEX(Summary!$J$2:$J$201,MATCH($B3814,Summary!$A$2:$A$201,0))</f>
        <v>2</v>
      </c>
      <c r="O3814" s="2" t="n">
        <f aca="false">INDEX(Summary!$K$2:$K$201,MATCH($B3814,Summary!$A$2:$A$201,0))</f>
        <v>9.36</v>
      </c>
      <c r="P3814" s="3" t="n">
        <f aca="false">INDEX(Summary!$L$2:$L$201,MATCH($B3814,Summary!$A$2:$A$201,0))</f>
        <v>5</v>
      </c>
      <c r="Q3814" s="3" t="n">
        <f aca="false">INDEX(Summary!$M$2:$M$201,MATCH($B3814,Summary!$A$2:$A$201,0))</f>
        <v>1</v>
      </c>
      <c r="R3814" s="2" t="n">
        <f aca="false">INDEX(Summary!$N$2:$N$201,MATCH($B3814,Summary!$A$2:$A$201,0))</f>
        <v>10.64</v>
      </c>
      <c r="S3814" s="3" t="n">
        <f aca="false">INDEX(Summary!$O$2:$O$201,MATCH($B3814,Summary!$A$2:$A$201,0))</f>
        <v>8</v>
      </c>
      <c r="T3814" s="3" t="n">
        <f aca="false">INDEX(Summary!$P$2:$P$201,MATCH($B3814,Summary!$A$2:$A$201,0))</f>
        <v>1</v>
      </c>
      <c r="U3814" s="2" t="n">
        <f aca="false">INDEX(Summary!$Q$2:$Q$201,MATCH($B3814,Summary!$A$2:$A$201,0))</f>
        <v>11.86</v>
      </c>
      <c r="V3814" s="2" t="n">
        <f aca="false">INDEX(Summary!$R$2:$R$201,MATCH($B3814,Summary!$A$2:$A$201,0))</f>
        <v>29.37</v>
      </c>
      <c r="W3814" s="0" t="str">
        <f aca="false">INDEX(Summary!$S$2:$S$201,MATCH($B3814,Summary!$A$2:$A$201,0))</f>
        <v>Gold</v>
      </c>
      <c r="X3814" s="2" t="n">
        <f aca="false">INDEX(Summary!$T$2:$T$201,MATCH($B3814,Summary!$A$2:$A$201,0))</f>
        <v>71.63</v>
      </c>
      <c r="Y3814" s="0" t="str">
        <f aca="false">INDEX('Reward Model'!$E$18:$E$37,MATCH($E3814,'Reward Model'!$A$18:$A$37,0))</f>
        <v>Medium</v>
      </c>
      <c r="Z3814" s="4" t="n">
        <f aca="false">ROUND(MIN(1,MAX('Reward Model'!$B$2,INDEX('Reward Model'!$C$12:$C$14,MATCH($K3814,'Reward Model'!$A$12:$A$14,0))/$J3814)),3)</f>
        <v>0.8</v>
      </c>
      <c r="AA3814" s="2" t="n">
        <f aca="false">IF($I3814="Correct",ROUND(INDEX('Reward Model'!$B$12:$B$14,MATCH($K3814,'Reward Model'!$A$12:$A$14,0))*Z3814,2),0)</f>
        <v>1.6</v>
      </c>
      <c r="AB3814" s="2" t="n">
        <f aca="false">IF($I3814="Correct",ROUND(INDEX('Reward Model'!$B$12:$B$14,MATCH($Y3814,'Reward Model'!$A$12:$A$14,0))*Z3814,2),0)</f>
        <v>1.6</v>
      </c>
    </row>
    <row r="3815" customFormat="false" ht="15" hidden="false" customHeight="false" outlineLevel="0" collapsed="false">
      <c r="A3815" s="0" t="s">
        <v>512</v>
      </c>
      <c r="B3815" s="0" t="s">
        <v>513</v>
      </c>
      <c r="C3815" s="0" t="s">
        <v>322</v>
      </c>
      <c r="D3815" s="0" t="s">
        <v>275</v>
      </c>
      <c r="E3815" s="0" t="n">
        <v>14</v>
      </c>
      <c r="F3815" s="0" t="s">
        <v>68</v>
      </c>
      <c r="G3815" s="0" t="s">
        <v>51</v>
      </c>
      <c r="H3815" s="0" t="s">
        <v>51</v>
      </c>
      <c r="I3815" s="0" t="s">
        <v>34</v>
      </c>
      <c r="J3815" s="0" t="n">
        <v>1.86</v>
      </c>
      <c r="K3815" s="0" t="s">
        <v>60</v>
      </c>
      <c r="L3815" s="0" t="n">
        <f aca="false">INDEX(Summary!$F$2:$F$201,MATCH($B3815,Summary!$A$2:$A$201,0))</f>
        <v>20</v>
      </c>
      <c r="M3815" s="0" t="n">
        <f aca="false">INDEX(Summary!$I$2:$I$201,MATCH($B3815,Summary!$A$2:$A$201,0))</f>
        <v>3</v>
      </c>
      <c r="N3815" s="0" t="n">
        <f aca="false">INDEX(Summary!$J$2:$J$201,MATCH($B3815,Summary!$A$2:$A$201,0))</f>
        <v>2</v>
      </c>
      <c r="O3815" s="2" t="n">
        <f aca="false">INDEX(Summary!$K$2:$K$201,MATCH($B3815,Summary!$A$2:$A$201,0))</f>
        <v>9.36</v>
      </c>
      <c r="P3815" s="3" t="n">
        <f aca="false">INDEX(Summary!$L$2:$L$201,MATCH($B3815,Summary!$A$2:$A$201,0))</f>
        <v>5</v>
      </c>
      <c r="Q3815" s="3" t="n">
        <f aca="false">INDEX(Summary!$M$2:$M$201,MATCH($B3815,Summary!$A$2:$A$201,0))</f>
        <v>1</v>
      </c>
      <c r="R3815" s="2" t="n">
        <f aca="false">INDEX(Summary!$N$2:$N$201,MATCH($B3815,Summary!$A$2:$A$201,0))</f>
        <v>10.64</v>
      </c>
      <c r="S3815" s="3" t="n">
        <f aca="false">INDEX(Summary!$O$2:$O$201,MATCH($B3815,Summary!$A$2:$A$201,0))</f>
        <v>8</v>
      </c>
      <c r="T3815" s="3" t="n">
        <f aca="false">INDEX(Summary!$P$2:$P$201,MATCH($B3815,Summary!$A$2:$A$201,0))</f>
        <v>1</v>
      </c>
      <c r="U3815" s="2" t="n">
        <f aca="false">INDEX(Summary!$Q$2:$Q$201,MATCH($B3815,Summary!$A$2:$A$201,0))</f>
        <v>11.86</v>
      </c>
      <c r="V3815" s="2" t="n">
        <f aca="false">INDEX(Summary!$R$2:$R$201,MATCH($B3815,Summary!$A$2:$A$201,0))</f>
        <v>29.37</v>
      </c>
      <c r="W3815" s="0" t="str">
        <f aca="false">INDEX(Summary!$S$2:$S$201,MATCH($B3815,Summary!$A$2:$A$201,0))</f>
        <v>Gold</v>
      </c>
      <c r="X3815" s="2" t="n">
        <f aca="false">INDEX(Summary!$T$2:$T$201,MATCH($B3815,Summary!$A$2:$A$201,0))</f>
        <v>71.63</v>
      </c>
      <c r="Y3815" s="0" t="str">
        <f aca="false">INDEX('Reward Model'!$E$18:$E$37,MATCH($E3815,'Reward Model'!$A$18:$A$37,0))</f>
        <v>Medium</v>
      </c>
      <c r="Z3815" s="4" t="n">
        <f aca="false">ROUND(MIN(1,MAX('Reward Model'!$B$2,INDEX('Reward Model'!$C$12:$C$14,MATCH($K3815,'Reward Model'!$A$12:$A$14,0))/$J3815)),3)</f>
        <v>0.968</v>
      </c>
      <c r="AA3815" s="2" t="n">
        <f aca="false">IF($I3815="Correct",ROUND(INDEX('Reward Model'!$B$12:$B$14,MATCH($K3815,'Reward Model'!$A$12:$A$14,0))*Z3815,2),0)</f>
        <v>1.94</v>
      </c>
      <c r="AB3815" s="2" t="n">
        <f aca="false">IF($I3815="Correct",ROUND(INDEX('Reward Model'!$B$12:$B$14,MATCH($Y3815,'Reward Model'!$A$12:$A$14,0))*Z3815,2),0)</f>
        <v>1.94</v>
      </c>
    </row>
    <row r="3816" customFormat="false" ht="15" hidden="false" customHeight="false" outlineLevel="0" collapsed="false">
      <c r="A3816" s="0" t="s">
        <v>512</v>
      </c>
      <c r="B3816" s="0" t="s">
        <v>513</v>
      </c>
      <c r="C3816" s="0" t="s">
        <v>322</v>
      </c>
      <c r="D3816" s="0" t="s">
        <v>275</v>
      </c>
      <c r="E3816" s="0" t="n">
        <v>15</v>
      </c>
      <c r="F3816" s="0" t="s">
        <v>69</v>
      </c>
      <c r="G3816" s="0" t="s">
        <v>70</v>
      </c>
      <c r="H3816" s="0" t="s">
        <v>70</v>
      </c>
      <c r="I3816" s="0" t="s">
        <v>34</v>
      </c>
      <c r="J3816" s="0" t="n">
        <v>1.91</v>
      </c>
      <c r="K3816" s="0" t="s">
        <v>60</v>
      </c>
      <c r="L3816" s="0" t="n">
        <f aca="false">INDEX(Summary!$F$2:$F$201,MATCH($B3816,Summary!$A$2:$A$201,0))</f>
        <v>20</v>
      </c>
      <c r="M3816" s="0" t="n">
        <f aca="false">INDEX(Summary!$I$2:$I$201,MATCH($B3816,Summary!$A$2:$A$201,0))</f>
        <v>3</v>
      </c>
      <c r="N3816" s="0" t="n">
        <f aca="false">INDEX(Summary!$J$2:$J$201,MATCH($B3816,Summary!$A$2:$A$201,0))</f>
        <v>2</v>
      </c>
      <c r="O3816" s="2" t="n">
        <f aca="false">INDEX(Summary!$K$2:$K$201,MATCH($B3816,Summary!$A$2:$A$201,0))</f>
        <v>9.36</v>
      </c>
      <c r="P3816" s="3" t="n">
        <f aca="false">INDEX(Summary!$L$2:$L$201,MATCH($B3816,Summary!$A$2:$A$201,0))</f>
        <v>5</v>
      </c>
      <c r="Q3816" s="3" t="n">
        <f aca="false">INDEX(Summary!$M$2:$M$201,MATCH($B3816,Summary!$A$2:$A$201,0))</f>
        <v>1</v>
      </c>
      <c r="R3816" s="2" t="n">
        <f aca="false">INDEX(Summary!$N$2:$N$201,MATCH($B3816,Summary!$A$2:$A$201,0))</f>
        <v>10.64</v>
      </c>
      <c r="S3816" s="3" t="n">
        <f aca="false">INDEX(Summary!$O$2:$O$201,MATCH($B3816,Summary!$A$2:$A$201,0))</f>
        <v>8</v>
      </c>
      <c r="T3816" s="3" t="n">
        <f aca="false">INDEX(Summary!$P$2:$P$201,MATCH($B3816,Summary!$A$2:$A$201,0))</f>
        <v>1</v>
      </c>
      <c r="U3816" s="2" t="n">
        <f aca="false">INDEX(Summary!$Q$2:$Q$201,MATCH($B3816,Summary!$A$2:$A$201,0))</f>
        <v>11.86</v>
      </c>
      <c r="V3816" s="2" t="n">
        <f aca="false">INDEX(Summary!$R$2:$R$201,MATCH($B3816,Summary!$A$2:$A$201,0))</f>
        <v>29.37</v>
      </c>
      <c r="W3816" s="0" t="str">
        <f aca="false">INDEX(Summary!$S$2:$S$201,MATCH($B3816,Summary!$A$2:$A$201,0))</f>
        <v>Gold</v>
      </c>
      <c r="X3816" s="2" t="n">
        <f aca="false">INDEX(Summary!$T$2:$T$201,MATCH($B3816,Summary!$A$2:$A$201,0))</f>
        <v>71.63</v>
      </c>
      <c r="Y3816" s="0" t="str">
        <f aca="false">INDEX('Reward Model'!$E$18:$E$37,MATCH($E3816,'Reward Model'!$A$18:$A$37,0))</f>
        <v>Medium</v>
      </c>
      <c r="Z3816" s="4" t="n">
        <f aca="false">ROUND(MIN(1,MAX('Reward Model'!$B$2,INDEX('Reward Model'!$C$12:$C$14,MATCH($K3816,'Reward Model'!$A$12:$A$14,0))/$J3816)),3)</f>
        <v>0.942</v>
      </c>
      <c r="AA3816" s="2" t="n">
        <f aca="false">IF($I3816="Correct",ROUND(INDEX('Reward Model'!$B$12:$B$14,MATCH($K3816,'Reward Model'!$A$12:$A$14,0))*Z3816,2),0)</f>
        <v>1.88</v>
      </c>
      <c r="AB3816" s="2" t="n">
        <f aca="false">IF($I3816="Correct",ROUND(INDEX('Reward Model'!$B$12:$B$14,MATCH($Y3816,'Reward Model'!$A$12:$A$14,0))*Z3816,2),0)</f>
        <v>1.88</v>
      </c>
    </row>
    <row r="3817" customFormat="false" ht="15" hidden="false" customHeight="false" outlineLevel="0" collapsed="false">
      <c r="A3817" s="0" t="s">
        <v>512</v>
      </c>
      <c r="B3817" s="0" t="s">
        <v>513</v>
      </c>
      <c r="C3817" s="0" t="s">
        <v>322</v>
      </c>
      <c r="D3817" s="0" t="s">
        <v>275</v>
      </c>
      <c r="E3817" s="0" t="n">
        <v>16</v>
      </c>
      <c r="F3817" s="0" t="s">
        <v>71</v>
      </c>
      <c r="G3817" s="0" t="s">
        <v>72</v>
      </c>
      <c r="H3817" s="0" t="s">
        <v>72</v>
      </c>
      <c r="I3817" s="0" t="s">
        <v>34</v>
      </c>
      <c r="J3817" s="0" t="n">
        <v>2.26</v>
      </c>
      <c r="K3817" s="0" t="s">
        <v>73</v>
      </c>
      <c r="L3817" s="0" t="n">
        <f aca="false">INDEX(Summary!$F$2:$F$201,MATCH($B3817,Summary!$A$2:$A$201,0))</f>
        <v>20</v>
      </c>
      <c r="M3817" s="0" t="n">
        <f aca="false">INDEX(Summary!$I$2:$I$201,MATCH($B3817,Summary!$A$2:$A$201,0))</f>
        <v>3</v>
      </c>
      <c r="N3817" s="0" t="n">
        <f aca="false">INDEX(Summary!$J$2:$J$201,MATCH($B3817,Summary!$A$2:$A$201,0))</f>
        <v>2</v>
      </c>
      <c r="O3817" s="2" t="n">
        <f aca="false">INDEX(Summary!$K$2:$K$201,MATCH($B3817,Summary!$A$2:$A$201,0))</f>
        <v>9.36</v>
      </c>
      <c r="P3817" s="3" t="n">
        <f aca="false">INDEX(Summary!$L$2:$L$201,MATCH($B3817,Summary!$A$2:$A$201,0))</f>
        <v>5</v>
      </c>
      <c r="Q3817" s="3" t="n">
        <f aca="false">INDEX(Summary!$M$2:$M$201,MATCH($B3817,Summary!$A$2:$A$201,0))</f>
        <v>1</v>
      </c>
      <c r="R3817" s="2" t="n">
        <f aca="false">INDEX(Summary!$N$2:$N$201,MATCH($B3817,Summary!$A$2:$A$201,0))</f>
        <v>10.64</v>
      </c>
      <c r="S3817" s="3" t="n">
        <f aca="false">INDEX(Summary!$O$2:$O$201,MATCH($B3817,Summary!$A$2:$A$201,0))</f>
        <v>8</v>
      </c>
      <c r="T3817" s="3" t="n">
        <f aca="false">INDEX(Summary!$P$2:$P$201,MATCH($B3817,Summary!$A$2:$A$201,0))</f>
        <v>1</v>
      </c>
      <c r="U3817" s="2" t="n">
        <f aca="false">INDEX(Summary!$Q$2:$Q$201,MATCH($B3817,Summary!$A$2:$A$201,0))</f>
        <v>11.86</v>
      </c>
      <c r="V3817" s="2" t="n">
        <f aca="false">INDEX(Summary!$R$2:$R$201,MATCH($B3817,Summary!$A$2:$A$201,0))</f>
        <v>29.37</v>
      </c>
      <c r="W3817" s="0" t="str">
        <f aca="false">INDEX(Summary!$S$2:$S$201,MATCH($B3817,Summary!$A$2:$A$201,0))</f>
        <v>Gold</v>
      </c>
      <c r="X3817" s="2" t="n">
        <f aca="false">INDEX(Summary!$T$2:$T$201,MATCH($B3817,Summary!$A$2:$A$201,0))</f>
        <v>71.63</v>
      </c>
      <c r="Y3817" s="0" t="str">
        <f aca="false">INDEX('Reward Model'!$E$18:$E$37,MATCH($E3817,'Reward Model'!$A$18:$A$37,0))</f>
        <v>High</v>
      </c>
      <c r="Z3817" s="4" t="n">
        <f aca="false">ROUND(MIN(1,MAX('Reward Model'!$B$2,INDEX('Reward Model'!$C$12:$C$14,MATCH($K3817,'Reward Model'!$A$12:$A$14,0))/$J3817)),3)</f>
        <v>0.885</v>
      </c>
      <c r="AA3817" s="2" t="n">
        <f aca="false">IF($I3817="Correct",ROUND(INDEX('Reward Model'!$B$12:$B$14,MATCH($K3817,'Reward Model'!$A$12:$A$14,0))*Z3817,2),0)</f>
        <v>2.66</v>
      </c>
      <c r="AB3817" s="2" t="n">
        <f aca="false">IF($I3817="Correct",ROUND(INDEX('Reward Model'!$B$12:$B$14,MATCH($Y3817,'Reward Model'!$A$12:$A$14,0))*Z3817,2),0)</f>
        <v>2.66</v>
      </c>
    </row>
    <row r="3818" customFormat="false" ht="15" hidden="false" customHeight="false" outlineLevel="0" collapsed="false">
      <c r="A3818" s="0" t="s">
        <v>512</v>
      </c>
      <c r="B3818" s="0" t="s">
        <v>513</v>
      </c>
      <c r="C3818" s="0" t="s">
        <v>322</v>
      </c>
      <c r="D3818" s="0" t="s">
        <v>275</v>
      </c>
      <c r="E3818" s="0" t="n">
        <v>17</v>
      </c>
      <c r="F3818" s="0" t="s">
        <v>74</v>
      </c>
      <c r="G3818" s="0" t="s">
        <v>75</v>
      </c>
      <c r="H3818" s="0" t="s">
        <v>75</v>
      </c>
      <c r="I3818" s="0" t="s">
        <v>34</v>
      </c>
      <c r="J3818" s="0" t="n">
        <v>2.08</v>
      </c>
      <c r="K3818" s="0" t="s">
        <v>73</v>
      </c>
      <c r="L3818" s="0" t="n">
        <f aca="false">INDEX(Summary!$F$2:$F$201,MATCH($B3818,Summary!$A$2:$A$201,0))</f>
        <v>20</v>
      </c>
      <c r="M3818" s="0" t="n">
        <f aca="false">INDEX(Summary!$I$2:$I$201,MATCH($B3818,Summary!$A$2:$A$201,0))</f>
        <v>3</v>
      </c>
      <c r="N3818" s="0" t="n">
        <f aca="false">INDEX(Summary!$J$2:$J$201,MATCH($B3818,Summary!$A$2:$A$201,0))</f>
        <v>2</v>
      </c>
      <c r="O3818" s="2" t="n">
        <f aca="false">INDEX(Summary!$K$2:$K$201,MATCH($B3818,Summary!$A$2:$A$201,0))</f>
        <v>9.36</v>
      </c>
      <c r="P3818" s="3" t="n">
        <f aca="false">INDEX(Summary!$L$2:$L$201,MATCH($B3818,Summary!$A$2:$A$201,0))</f>
        <v>5</v>
      </c>
      <c r="Q3818" s="3" t="n">
        <f aca="false">INDEX(Summary!$M$2:$M$201,MATCH($B3818,Summary!$A$2:$A$201,0))</f>
        <v>1</v>
      </c>
      <c r="R3818" s="2" t="n">
        <f aca="false">INDEX(Summary!$N$2:$N$201,MATCH($B3818,Summary!$A$2:$A$201,0))</f>
        <v>10.64</v>
      </c>
      <c r="S3818" s="3" t="n">
        <f aca="false">INDEX(Summary!$O$2:$O$201,MATCH($B3818,Summary!$A$2:$A$201,0))</f>
        <v>8</v>
      </c>
      <c r="T3818" s="3" t="n">
        <f aca="false">INDEX(Summary!$P$2:$P$201,MATCH($B3818,Summary!$A$2:$A$201,0))</f>
        <v>1</v>
      </c>
      <c r="U3818" s="2" t="n">
        <f aca="false">INDEX(Summary!$Q$2:$Q$201,MATCH($B3818,Summary!$A$2:$A$201,0))</f>
        <v>11.86</v>
      </c>
      <c r="V3818" s="2" t="n">
        <f aca="false">INDEX(Summary!$R$2:$R$201,MATCH($B3818,Summary!$A$2:$A$201,0))</f>
        <v>29.37</v>
      </c>
      <c r="W3818" s="0" t="str">
        <f aca="false">INDEX(Summary!$S$2:$S$201,MATCH($B3818,Summary!$A$2:$A$201,0))</f>
        <v>Gold</v>
      </c>
      <c r="X3818" s="2" t="n">
        <f aca="false">INDEX(Summary!$T$2:$T$201,MATCH($B3818,Summary!$A$2:$A$201,0))</f>
        <v>71.63</v>
      </c>
      <c r="Y3818" s="0" t="str">
        <f aca="false">INDEX('Reward Model'!$E$18:$E$37,MATCH($E3818,'Reward Model'!$A$18:$A$37,0))</f>
        <v>High</v>
      </c>
      <c r="Z3818" s="4" t="n">
        <f aca="false">ROUND(MIN(1,MAX('Reward Model'!$B$2,INDEX('Reward Model'!$C$12:$C$14,MATCH($K3818,'Reward Model'!$A$12:$A$14,0))/$J3818)),3)</f>
        <v>0.962</v>
      </c>
      <c r="AA3818" s="2" t="n">
        <f aca="false">IF($I3818="Correct",ROUND(INDEX('Reward Model'!$B$12:$B$14,MATCH($K3818,'Reward Model'!$A$12:$A$14,0))*Z3818,2),0)</f>
        <v>2.89</v>
      </c>
      <c r="AB3818" s="2" t="n">
        <f aca="false">IF($I3818="Correct",ROUND(INDEX('Reward Model'!$B$12:$B$14,MATCH($Y3818,'Reward Model'!$A$12:$A$14,0))*Z3818,2),0)</f>
        <v>2.89</v>
      </c>
    </row>
    <row r="3819" customFormat="false" ht="15" hidden="false" customHeight="false" outlineLevel="0" collapsed="false">
      <c r="A3819" s="0" t="s">
        <v>512</v>
      </c>
      <c r="B3819" s="0" t="s">
        <v>513</v>
      </c>
      <c r="C3819" s="0" t="s">
        <v>322</v>
      </c>
      <c r="D3819" s="0" t="s">
        <v>275</v>
      </c>
      <c r="E3819" s="0" t="n">
        <v>18</v>
      </c>
      <c r="F3819" s="0" t="s">
        <v>76</v>
      </c>
      <c r="G3819" s="0" t="s">
        <v>77</v>
      </c>
      <c r="H3819" s="0" t="s">
        <v>77</v>
      </c>
      <c r="I3819" s="0" t="s">
        <v>34</v>
      </c>
      <c r="J3819" s="0" t="n">
        <v>1.24</v>
      </c>
      <c r="K3819" s="0" t="s">
        <v>73</v>
      </c>
      <c r="L3819" s="0" t="n">
        <f aca="false">INDEX(Summary!$F$2:$F$201,MATCH($B3819,Summary!$A$2:$A$201,0))</f>
        <v>20</v>
      </c>
      <c r="M3819" s="0" t="n">
        <f aca="false">INDEX(Summary!$I$2:$I$201,MATCH($B3819,Summary!$A$2:$A$201,0))</f>
        <v>3</v>
      </c>
      <c r="N3819" s="0" t="n">
        <f aca="false">INDEX(Summary!$J$2:$J$201,MATCH($B3819,Summary!$A$2:$A$201,0))</f>
        <v>2</v>
      </c>
      <c r="O3819" s="2" t="n">
        <f aca="false">INDEX(Summary!$K$2:$K$201,MATCH($B3819,Summary!$A$2:$A$201,0))</f>
        <v>9.36</v>
      </c>
      <c r="P3819" s="3" t="n">
        <f aca="false">INDEX(Summary!$L$2:$L$201,MATCH($B3819,Summary!$A$2:$A$201,0))</f>
        <v>5</v>
      </c>
      <c r="Q3819" s="3" t="n">
        <f aca="false">INDEX(Summary!$M$2:$M$201,MATCH($B3819,Summary!$A$2:$A$201,0))</f>
        <v>1</v>
      </c>
      <c r="R3819" s="2" t="n">
        <f aca="false">INDEX(Summary!$N$2:$N$201,MATCH($B3819,Summary!$A$2:$A$201,0))</f>
        <v>10.64</v>
      </c>
      <c r="S3819" s="3" t="n">
        <f aca="false">INDEX(Summary!$O$2:$O$201,MATCH($B3819,Summary!$A$2:$A$201,0))</f>
        <v>8</v>
      </c>
      <c r="T3819" s="3" t="n">
        <f aca="false">INDEX(Summary!$P$2:$P$201,MATCH($B3819,Summary!$A$2:$A$201,0))</f>
        <v>1</v>
      </c>
      <c r="U3819" s="2" t="n">
        <f aca="false">INDEX(Summary!$Q$2:$Q$201,MATCH($B3819,Summary!$A$2:$A$201,0))</f>
        <v>11.86</v>
      </c>
      <c r="V3819" s="2" t="n">
        <f aca="false">INDEX(Summary!$R$2:$R$201,MATCH($B3819,Summary!$A$2:$A$201,0))</f>
        <v>29.37</v>
      </c>
      <c r="W3819" s="0" t="str">
        <f aca="false">INDEX(Summary!$S$2:$S$201,MATCH($B3819,Summary!$A$2:$A$201,0))</f>
        <v>Gold</v>
      </c>
      <c r="X3819" s="2" t="n">
        <f aca="false">INDEX(Summary!$T$2:$T$201,MATCH($B3819,Summary!$A$2:$A$201,0))</f>
        <v>71.63</v>
      </c>
      <c r="Y3819" s="0" t="str">
        <f aca="false">INDEX('Reward Model'!$E$18:$E$37,MATCH($E3819,'Reward Model'!$A$18:$A$37,0))</f>
        <v>High</v>
      </c>
      <c r="Z3819" s="4" t="n">
        <f aca="false">ROUND(MIN(1,MAX('Reward Model'!$B$2,INDEX('Reward Model'!$C$12:$C$14,MATCH($K3819,'Reward Model'!$A$12:$A$14,0))/$J3819)),3)</f>
        <v>1</v>
      </c>
      <c r="AA3819" s="2" t="n">
        <f aca="false">IF($I3819="Correct",ROUND(INDEX('Reward Model'!$B$12:$B$14,MATCH($K3819,'Reward Model'!$A$12:$A$14,0))*Z3819,2),0)</f>
        <v>3</v>
      </c>
      <c r="AB3819" s="2" t="n">
        <f aca="false">IF($I3819="Correct",ROUND(INDEX('Reward Model'!$B$12:$B$14,MATCH($Y3819,'Reward Model'!$A$12:$A$14,0))*Z3819,2),0)</f>
        <v>3</v>
      </c>
    </row>
    <row r="3820" customFormat="false" ht="15" hidden="false" customHeight="false" outlineLevel="0" collapsed="false">
      <c r="A3820" s="0" t="s">
        <v>512</v>
      </c>
      <c r="B3820" s="0" t="s">
        <v>513</v>
      </c>
      <c r="C3820" s="0" t="s">
        <v>322</v>
      </c>
      <c r="D3820" s="0" t="s">
        <v>275</v>
      </c>
      <c r="E3820" s="0" t="n">
        <v>19</v>
      </c>
      <c r="F3820" s="0" t="s">
        <v>78</v>
      </c>
      <c r="G3820" s="0" t="s">
        <v>132</v>
      </c>
      <c r="H3820" s="0" t="s">
        <v>80</v>
      </c>
      <c r="I3820" s="0" t="s">
        <v>39</v>
      </c>
      <c r="J3820" s="0" t="n">
        <v>1.49</v>
      </c>
      <c r="K3820" s="0" t="s">
        <v>73</v>
      </c>
      <c r="L3820" s="0" t="n">
        <f aca="false">INDEX(Summary!$F$2:$F$201,MATCH($B3820,Summary!$A$2:$A$201,0))</f>
        <v>20</v>
      </c>
      <c r="M3820" s="0" t="n">
        <f aca="false">INDEX(Summary!$I$2:$I$201,MATCH($B3820,Summary!$A$2:$A$201,0))</f>
        <v>3</v>
      </c>
      <c r="N3820" s="0" t="n">
        <f aca="false">INDEX(Summary!$J$2:$J$201,MATCH($B3820,Summary!$A$2:$A$201,0))</f>
        <v>2</v>
      </c>
      <c r="O3820" s="2" t="n">
        <f aca="false">INDEX(Summary!$K$2:$K$201,MATCH($B3820,Summary!$A$2:$A$201,0))</f>
        <v>9.36</v>
      </c>
      <c r="P3820" s="3" t="n">
        <f aca="false">INDEX(Summary!$L$2:$L$201,MATCH($B3820,Summary!$A$2:$A$201,0))</f>
        <v>5</v>
      </c>
      <c r="Q3820" s="3" t="n">
        <f aca="false">INDEX(Summary!$M$2:$M$201,MATCH($B3820,Summary!$A$2:$A$201,0))</f>
        <v>1</v>
      </c>
      <c r="R3820" s="2" t="n">
        <f aca="false">INDEX(Summary!$N$2:$N$201,MATCH($B3820,Summary!$A$2:$A$201,0))</f>
        <v>10.64</v>
      </c>
      <c r="S3820" s="3" t="n">
        <f aca="false">INDEX(Summary!$O$2:$O$201,MATCH($B3820,Summary!$A$2:$A$201,0))</f>
        <v>8</v>
      </c>
      <c r="T3820" s="3" t="n">
        <f aca="false">INDEX(Summary!$P$2:$P$201,MATCH($B3820,Summary!$A$2:$A$201,0))</f>
        <v>1</v>
      </c>
      <c r="U3820" s="2" t="n">
        <f aca="false">INDEX(Summary!$Q$2:$Q$201,MATCH($B3820,Summary!$A$2:$A$201,0))</f>
        <v>11.86</v>
      </c>
      <c r="V3820" s="2" t="n">
        <f aca="false">INDEX(Summary!$R$2:$R$201,MATCH($B3820,Summary!$A$2:$A$201,0))</f>
        <v>29.37</v>
      </c>
      <c r="W3820" s="0" t="str">
        <f aca="false">INDEX(Summary!$S$2:$S$201,MATCH($B3820,Summary!$A$2:$A$201,0))</f>
        <v>Gold</v>
      </c>
      <c r="X3820" s="2" t="n">
        <f aca="false">INDEX(Summary!$T$2:$T$201,MATCH($B3820,Summary!$A$2:$A$201,0))</f>
        <v>71.63</v>
      </c>
      <c r="Y3820" s="0" t="str">
        <f aca="false">INDEX('Reward Model'!$E$18:$E$37,MATCH($E3820,'Reward Model'!$A$18:$A$37,0))</f>
        <v>High</v>
      </c>
      <c r="Z3820" s="4" t="n">
        <f aca="false">ROUND(MIN(1,MAX('Reward Model'!$B$2,INDEX('Reward Model'!$C$12:$C$14,MATCH($K3820,'Reward Model'!$A$12:$A$14,0))/$J3820)),3)</f>
        <v>1</v>
      </c>
      <c r="AA3820" s="2" t="n">
        <f aca="false">IF($I3820="Correct",ROUND(INDEX('Reward Model'!$B$12:$B$14,MATCH($K3820,'Reward Model'!$A$12:$A$14,0))*Z3820,2),0)</f>
        <v>0</v>
      </c>
      <c r="AB3820" s="2" t="n">
        <f aca="false">IF($I3820="Correct",ROUND(INDEX('Reward Model'!$B$12:$B$14,MATCH($Y3820,'Reward Model'!$A$12:$A$14,0))*Z3820,2),0)</f>
        <v>0</v>
      </c>
    </row>
    <row r="3821" customFormat="false" ht="15" hidden="false" customHeight="false" outlineLevel="0" collapsed="false">
      <c r="A3821" s="0" t="s">
        <v>512</v>
      </c>
      <c r="B3821" s="0" t="s">
        <v>513</v>
      </c>
      <c r="C3821" s="0" t="s">
        <v>322</v>
      </c>
      <c r="D3821" s="0" t="s">
        <v>275</v>
      </c>
      <c r="E3821" s="0" t="n">
        <v>20</v>
      </c>
      <c r="F3821" s="0" t="s">
        <v>81</v>
      </c>
      <c r="G3821" s="0" t="s">
        <v>82</v>
      </c>
      <c r="H3821" s="0" t="s">
        <v>83</v>
      </c>
      <c r="I3821" s="0" t="s">
        <v>39</v>
      </c>
      <c r="J3821" s="0" t="n">
        <v>2.29</v>
      </c>
      <c r="K3821" s="0" t="s">
        <v>73</v>
      </c>
      <c r="L3821" s="0" t="n">
        <f aca="false">INDEX(Summary!$F$2:$F$201,MATCH($B3821,Summary!$A$2:$A$201,0))</f>
        <v>20</v>
      </c>
      <c r="M3821" s="0" t="n">
        <f aca="false">INDEX(Summary!$I$2:$I$201,MATCH($B3821,Summary!$A$2:$A$201,0))</f>
        <v>3</v>
      </c>
      <c r="N3821" s="0" t="n">
        <f aca="false">INDEX(Summary!$J$2:$J$201,MATCH($B3821,Summary!$A$2:$A$201,0))</f>
        <v>2</v>
      </c>
      <c r="O3821" s="2" t="n">
        <f aca="false">INDEX(Summary!$K$2:$K$201,MATCH($B3821,Summary!$A$2:$A$201,0))</f>
        <v>9.36</v>
      </c>
      <c r="P3821" s="3" t="n">
        <f aca="false">INDEX(Summary!$L$2:$L$201,MATCH($B3821,Summary!$A$2:$A$201,0))</f>
        <v>5</v>
      </c>
      <c r="Q3821" s="3" t="n">
        <f aca="false">INDEX(Summary!$M$2:$M$201,MATCH($B3821,Summary!$A$2:$A$201,0))</f>
        <v>1</v>
      </c>
      <c r="R3821" s="2" t="n">
        <f aca="false">INDEX(Summary!$N$2:$N$201,MATCH($B3821,Summary!$A$2:$A$201,0))</f>
        <v>10.64</v>
      </c>
      <c r="S3821" s="3" t="n">
        <f aca="false">INDEX(Summary!$O$2:$O$201,MATCH($B3821,Summary!$A$2:$A$201,0))</f>
        <v>8</v>
      </c>
      <c r="T3821" s="3" t="n">
        <f aca="false">INDEX(Summary!$P$2:$P$201,MATCH($B3821,Summary!$A$2:$A$201,0))</f>
        <v>1</v>
      </c>
      <c r="U3821" s="2" t="n">
        <f aca="false">INDEX(Summary!$Q$2:$Q$201,MATCH($B3821,Summary!$A$2:$A$201,0))</f>
        <v>11.86</v>
      </c>
      <c r="V3821" s="2" t="n">
        <f aca="false">INDEX(Summary!$R$2:$R$201,MATCH($B3821,Summary!$A$2:$A$201,0))</f>
        <v>29.37</v>
      </c>
      <c r="W3821" s="0" t="str">
        <f aca="false">INDEX(Summary!$S$2:$S$201,MATCH($B3821,Summary!$A$2:$A$201,0))</f>
        <v>Gold</v>
      </c>
      <c r="X3821" s="2" t="n">
        <f aca="false">INDEX(Summary!$T$2:$T$201,MATCH($B3821,Summary!$A$2:$A$201,0))</f>
        <v>71.63</v>
      </c>
      <c r="Y3821" s="0" t="str">
        <f aca="false">INDEX('Reward Model'!$E$18:$E$37,MATCH($E3821,'Reward Model'!$A$18:$A$37,0))</f>
        <v>High</v>
      </c>
      <c r="Z3821" s="4" t="n">
        <f aca="false">ROUND(MIN(1,MAX('Reward Model'!$B$2,INDEX('Reward Model'!$C$12:$C$14,MATCH($K3821,'Reward Model'!$A$12:$A$14,0))/$J3821)),3)</f>
        <v>0.873</v>
      </c>
      <c r="AA3821" s="2" t="n">
        <f aca="false">IF($I3821="Correct",ROUND(INDEX('Reward Model'!$B$12:$B$14,MATCH($K3821,'Reward Model'!$A$12:$A$14,0))*Z3821,2),0)</f>
        <v>0</v>
      </c>
      <c r="AB3821" s="2" t="n">
        <f aca="false">IF($I3821="Correct",ROUND(INDEX('Reward Model'!$B$12:$B$14,MATCH($Y3821,'Reward Model'!$A$12:$A$14,0))*Z3821,2),0)</f>
        <v>0</v>
      </c>
    </row>
    <row r="3822" customFormat="false" ht="15" hidden="false" customHeight="false" outlineLevel="0" collapsed="false">
      <c r="A3822" s="0" t="s">
        <v>514</v>
      </c>
      <c r="B3822" s="0" t="s">
        <v>515</v>
      </c>
      <c r="C3822" s="0" t="s">
        <v>322</v>
      </c>
      <c r="D3822" s="0" t="s">
        <v>275</v>
      </c>
      <c r="E3822" s="0" t="n">
        <v>1</v>
      </c>
      <c r="F3822" s="0" t="s">
        <v>32</v>
      </c>
      <c r="G3822" s="0" t="s">
        <v>33</v>
      </c>
      <c r="H3822" s="0" t="s">
        <v>33</v>
      </c>
      <c r="I3822" s="0" t="s">
        <v>34</v>
      </c>
      <c r="J3822" s="0" t="n">
        <v>1.32</v>
      </c>
      <c r="K3822" s="0" t="s">
        <v>35</v>
      </c>
      <c r="L3822" s="0" t="n">
        <f aca="false">INDEX(Summary!$F$2:$F$201,MATCH($B3822,Summary!$A$2:$A$201,0))</f>
        <v>20</v>
      </c>
      <c r="M3822" s="0" t="n">
        <f aca="false">INDEX(Summary!$I$2:$I$201,MATCH($B3822,Summary!$A$2:$A$201,0))</f>
        <v>1</v>
      </c>
      <c r="N3822" s="0" t="n">
        <f aca="false">INDEX(Summary!$J$2:$J$201,MATCH($B3822,Summary!$A$2:$A$201,0))</f>
        <v>4</v>
      </c>
      <c r="O3822" s="2" t="n">
        <f aca="false">INDEX(Summary!$K$2:$K$201,MATCH($B3822,Summary!$A$2:$A$201,0))</f>
        <v>7.94</v>
      </c>
      <c r="P3822" s="3" t="n">
        <f aca="false">INDEX(Summary!$L$2:$L$201,MATCH($B3822,Summary!$A$2:$A$201,0))</f>
        <v>4</v>
      </c>
      <c r="Q3822" s="3" t="n">
        <f aca="false">INDEX(Summary!$M$2:$M$201,MATCH($B3822,Summary!$A$2:$A$201,0))</f>
        <v>2</v>
      </c>
      <c r="R3822" s="2" t="n">
        <f aca="false">INDEX(Summary!$N$2:$N$201,MATCH($B3822,Summary!$A$2:$A$201,0))</f>
        <v>8.61</v>
      </c>
      <c r="S3822" s="3" t="n">
        <f aca="false">INDEX(Summary!$O$2:$O$201,MATCH($B3822,Summary!$A$2:$A$201,0))</f>
        <v>8</v>
      </c>
      <c r="T3822" s="3" t="n">
        <f aca="false">INDEX(Summary!$P$2:$P$201,MATCH($B3822,Summary!$A$2:$A$201,0))</f>
        <v>1</v>
      </c>
      <c r="U3822" s="2" t="n">
        <f aca="false">INDEX(Summary!$Q$2:$Q$201,MATCH($B3822,Summary!$A$2:$A$201,0))</f>
        <v>12.42</v>
      </c>
      <c r="V3822" s="2" t="n">
        <f aca="false">INDEX(Summary!$R$2:$R$201,MATCH($B3822,Summary!$A$2:$A$201,0))</f>
        <v>22.47</v>
      </c>
      <c r="W3822" s="0" t="str">
        <f aca="false">INDEX(Summary!$S$2:$S$201,MATCH($B3822,Summary!$A$2:$A$201,0))</f>
        <v>Silver</v>
      </c>
      <c r="X3822" s="2" t="n">
        <f aca="false">INDEX(Summary!$T$2:$T$201,MATCH($B3822,Summary!$A$2:$A$201,0))</f>
        <v>54.8</v>
      </c>
      <c r="Y3822" s="0" t="str">
        <f aca="false">INDEX('Reward Model'!$E$18:$E$37,MATCH($E3822,'Reward Model'!$A$18:$A$37,0))</f>
        <v>Medium</v>
      </c>
      <c r="Z3822" s="4" t="n">
        <f aca="false">ROUND(MIN(1,MAX('Reward Model'!$B$2,INDEX('Reward Model'!$C$12:$C$14,MATCH($K3822,'Reward Model'!$A$12:$A$14,0))/$J3822)),3)</f>
        <v>1</v>
      </c>
      <c r="AA3822" s="2" t="n">
        <f aca="false">IF($I3822="Correct",ROUND(INDEX('Reward Model'!$B$12:$B$14,MATCH($K3822,'Reward Model'!$A$12:$A$14,0))*Z3822,2),0)</f>
        <v>1</v>
      </c>
      <c r="AB3822" s="2" t="n">
        <f aca="false">IF($I3822="Correct",ROUND(INDEX('Reward Model'!$B$12:$B$14,MATCH($Y3822,'Reward Model'!$A$12:$A$14,0))*Z3822,2),0)</f>
        <v>2</v>
      </c>
    </row>
    <row r="3823" customFormat="false" ht="15" hidden="false" customHeight="false" outlineLevel="0" collapsed="false">
      <c r="A3823" s="0" t="s">
        <v>514</v>
      </c>
      <c r="B3823" s="0" t="s">
        <v>515</v>
      </c>
      <c r="C3823" s="0" t="s">
        <v>322</v>
      </c>
      <c r="D3823" s="0" t="s">
        <v>275</v>
      </c>
      <c r="E3823" s="0" t="n">
        <v>2</v>
      </c>
      <c r="F3823" s="0" t="s">
        <v>36</v>
      </c>
      <c r="G3823" s="0" t="s">
        <v>38</v>
      </c>
      <c r="H3823" s="0" t="s">
        <v>38</v>
      </c>
      <c r="I3823" s="0" t="s">
        <v>34</v>
      </c>
      <c r="J3823" s="0" t="n">
        <v>1.52</v>
      </c>
      <c r="K3823" s="0" t="s">
        <v>35</v>
      </c>
      <c r="L3823" s="0" t="n">
        <f aca="false">INDEX(Summary!$F$2:$F$201,MATCH($B3823,Summary!$A$2:$A$201,0))</f>
        <v>20</v>
      </c>
      <c r="M3823" s="0" t="n">
        <f aca="false">INDEX(Summary!$I$2:$I$201,MATCH($B3823,Summary!$A$2:$A$201,0))</f>
        <v>1</v>
      </c>
      <c r="N3823" s="0" t="n">
        <f aca="false">INDEX(Summary!$J$2:$J$201,MATCH($B3823,Summary!$A$2:$A$201,0))</f>
        <v>4</v>
      </c>
      <c r="O3823" s="2" t="n">
        <f aca="false">INDEX(Summary!$K$2:$K$201,MATCH($B3823,Summary!$A$2:$A$201,0))</f>
        <v>7.94</v>
      </c>
      <c r="P3823" s="3" t="n">
        <f aca="false">INDEX(Summary!$L$2:$L$201,MATCH($B3823,Summary!$A$2:$A$201,0))</f>
        <v>4</v>
      </c>
      <c r="Q3823" s="3" t="n">
        <f aca="false">INDEX(Summary!$M$2:$M$201,MATCH($B3823,Summary!$A$2:$A$201,0))</f>
        <v>2</v>
      </c>
      <c r="R3823" s="2" t="n">
        <f aca="false">INDEX(Summary!$N$2:$N$201,MATCH($B3823,Summary!$A$2:$A$201,0))</f>
        <v>8.61</v>
      </c>
      <c r="S3823" s="3" t="n">
        <f aca="false">INDEX(Summary!$O$2:$O$201,MATCH($B3823,Summary!$A$2:$A$201,0))</f>
        <v>8</v>
      </c>
      <c r="T3823" s="3" t="n">
        <f aca="false">INDEX(Summary!$P$2:$P$201,MATCH($B3823,Summary!$A$2:$A$201,0))</f>
        <v>1</v>
      </c>
      <c r="U3823" s="2" t="n">
        <f aca="false">INDEX(Summary!$Q$2:$Q$201,MATCH($B3823,Summary!$A$2:$A$201,0))</f>
        <v>12.42</v>
      </c>
      <c r="V3823" s="2" t="n">
        <f aca="false">INDEX(Summary!$R$2:$R$201,MATCH($B3823,Summary!$A$2:$A$201,0))</f>
        <v>22.47</v>
      </c>
      <c r="W3823" s="0" t="str">
        <f aca="false">INDEX(Summary!$S$2:$S$201,MATCH($B3823,Summary!$A$2:$A$201,0))</f>
        <v>Silver</v>
      </c>
      <c r="X3823" s="2" t="n">
        <f aca="false">INDEX(Summary!$T$2:$T$201,MATCH($B3823,Summary!$A$2:$A$201,0))</f>
        <v>54.8</v>
      </c>
      <c r="Y3823" s="0" t="str">
        <f aca="false">INDEX('Reward Model'!$E$18:$E$37,MATCH($E3823,'Reward Model'!$A$18:$A$37,0))</f>
        <v>Low</v>
      </c>
      <c r="Z3823" s="4" t="n">
        <f aca="false">ROUND(MIN(1,MAX('Reward Model'!$B$2,INDEX('Reward Model'!$C$12:$C$14,MATCH($K3823,'Reward Model'!$A$12:$A$14,0))/$J3823)),3)</f>
        <v>0.987</v>
      </c>
      <c r="AA3823" s="2" t="n">
        <f aca="false">IF($I3823="Correct",ROUND(INDEX('Reward Model'!$B$12:$B$14,MATCH($K3823,'Reward Model'!$A$12:$A$14,0))*Z3823,2),0)</f>
        <v>0.99</v>
      </c>
      <c r="AB3823" s="2" t="n">
        <f aca="false">IF($I3823="Correct",ROUND(INDEX('Reward Model'!$B$12:$B$14,MATCH($Y3823,'Reward Model'!$A$12:$A$14,0))*Z3823,2),0)</f>
        <v>0.99</v>
      </c>
    </row>
    <row r="3824" customFormat="false" ht="15" hidden="false" customHeight="false" outlineLevel="0" collapsed="false">
      <c r="A3824" s="0" t="s">
        <v>514</v>
      </c>
      <c r="B3824" s="0" t="s">
        <v>515</v>
      </c>
      <c r="C3824" s="0" t="s">
        <v>322</v>
      </c>
      <c r="D3824" s="0" t="s">
        <v>275</v>
      </c>
      <c r="E3824" s="0" t="n">
        <v>3</v>
      </c>
      <c r="F3824" s="0" t="s">
        <v>40</v>
      </c>
      <c r="G3824" s="0" t="s">
        <v>42</v>
      </c>
      <c r="H3824" s="0" t="s">
        <v>42</v>
      </c>
      <c r="I3824" s="0" t="s">
        <v>34</v>
      </c>
      <c r="J3824" s="0" t="n">
        <v>1.73</v>
      </c>
      <c r="K3824" s="0" t="s">
        <v>35</v>
      </c>
      <c r="L3824" s="0" t="n">
        <f aca="false">INDEX(Summary!$F$2:$F$201,MATCH($B3824,Summary!$A$2:$A$201,0))</f>
        <v>20</v>
      </c>
      <c r="M3824" s="0" t="n">
        <f aca="false">INDEX(Summary!$I$2:$I$201,MATCH($B3824,Summary!$A$2:$A$201,0))</f>
        <v>1</v>
      </c>
      <c r="N3824" s="0" t="n">
        <f aca="false">INDEX(Summary!$J$2:$J$201,MATCH($B3824,Summary!$A$2:$A$201,0))</f>
        <v>4</v>
      </c>
      <c r="O3824" s="2" t="n">
        <f aca="false">INDEX(Summary!$K$2:$K$201,MATCH($B3824,Summary!$A$2:$A$201,0))</f>
        <v>7.94</v>
      </c>
      <c r="P3824" s="3" t="n">
        <f aca="false">INDEX(Summary!$L$2:$L$201,MATCH($B3824,Summary!$A$2:$A$201,0))</f>
        <v>4</v>
      </c>
      <c r="Q3824" s="3" t="n">
        <f aca="false">INDEX(Summary!$M$2:$M$201,MATCH($B3824,Summary!$A$2:$A$201,0))</f>
        <v>2</v>
      </c>
      <c r="R3824" s="2" t="n">
        <f aca="false">INDEX(Summary!$N$2:$N$201,MATCH($B3824,Summary!$A$2:$A$201,0))</f>
        <v>8.61</v>
      </c>
      <c r="S3824" s="3" t="n">
        <f aca="false">INDEX(Summary!$O$2:$O$201,MATCH($B3824,Summary!$A$2:$A$201,0))</f>
        <v>8</v>
      </c>
      <c r="T3824" s="3" t="n">
        <f aca="false">INDEX(Summary!$P$2:$P$201,MATCH($B3824,Summary!$A$2:$A$201,0))</f>
        <v>1</v>
      </c>
      <c r="U3824" s="2" t="n">
        <f aca="false">INDEX(Summary!$Q$2:$Q$201,MATCH($B3824,Summary!$A$2:$A$201,0))</f>
        <v>12.42</v>
      </c>
      <c r="V3824" s="2" t="n">
        <f aca="false">INDEX(Summary!$R$2:$R$201,MATCH($B3824,Summary!$A$2:$A$201,0))</f>
        <v>22.47</v>
      </c>
      <c r="W3824" s="0" t="str">
        <f aca="false">INDEX(Summary!$S$2:$S$201,MATCH($B3824,Summary!$A$2:$A$201,0))</f>
        <v>Silver</v>
      </c>
      <c r="X3824" s="2" t="n">
        <f aca="false">INDEX(Summary!$T$2:$T$201,MATCH($B3824,Summary!$A$2:$A$201,0))</f>
        <v>54.8</v>
      </c>
      <c r="Y3824" s="0" t="str">
        <f aca="false">INDEX('Reward Model'!$E$18:$E$37,MATCH($E3824,'Reward Model'!$A$18:$A$37,0))</f>
        <v>Medium</v>
      </c>
      <c r="Z3824" s="4" t="n">
        <f aca="false">ROUND(MIN(1,MAX('Reward Model'!$B$2,INDEX('Reward Model'!$C$12:$C$14,MATCH($K3824,'Reward Model'!$A$12:$A$14,0))/$J3824)),3)</f>
        <v>0.867</v>
      </c>
      <c r="AA3824" s="2" t="n">
        <f aca="false">IF($I3824="Correct",ROUND(INDEX('Reward Model'!$B$12:$B$14,MATCH($K3824,'Reward Model'!$A$12:$A$14,0))*Z3824,2),0)</f>
        <v>0.87</v>
      </c>
      <c r="AB3824" s="2" t="n">
        <f aca="false">IF($I3824="Correct",ROUND(INDEX('Reward Model'!$B$12:$B$14,MATCH($Y3824,'Reward Model'!$A$12:$A$14,0))*Z3824,2),0)</f>
        <v>1.73</v>
      </c>
    </row>
    <row r="3825" customFormat="false" ht="15" hidden="false" customHeight="false" outlineLevel="0" collapsed="false">
      <c r="A3825" s="0" t="s">
        <v>514</v>
      </c>
      <c r="B3825" s="0" t="s">
        <v>515</v>
      </c>
      <c r="C3825" s="0" t="s">
        <v>322</v>
      </c>
      <c r="D3825" s="0" t="s">
        <v>275</v>
      </c>
      <c r="E3825" s="0" t="n">
        <v>4</v>
      </c>
      <c r="F3825" s="0" t="s">
        <v>43</v>
      </c>
      <c r="G3825" s="0" t="s">
        <v>155</v>
      </c>
      <c r="H3825" s="0" t="s">
        <v>45</v>
      </c>
      <c r="I3825" s="0" t="s">
        <v>39</v>
      </c>
      <c r="J3825" s="0" t="n">
        <v>1.07</v>
      </c>
      <c r="K3825" s="0" t="s">
        <v>35</v>
      </c>
      <c r="L3825" s="0" t="n">
        <f aca="false">INDEX(Summary!$F$2:$F$201,MATCH($B3825,Summary!$A$2:$A$201,0))</f>
        <v>20</v>
      </c>
      <c r="M3825" s="0" t="n">
        <f aca="false">INDEX(Summary!$I$2:$I$201,MATCH($B3825,Summary!$A$2:$A$201,0))</f>
        <v>1</v>
      </c>
      <c r="N3825" s="0" t="n">
        <f aca="false">INDEX(Summary!$J$2:$J$201,MATCH($B3825,Summary!$A$2:$A$201,0))</f>
        <v>4</v>
      </c>
      <c r="O3825" s="2" t="n">
        <f aca="false">INDEX(Summary!$K$2:$K$201,MATCH($B3825,Summary!$A$2:$A$201,0))</f>
        <v>7.94</v>
      </c>
      <c r="P3825" s="3" t="n">
        <f aca="false">INDEX(Summary!$L$2:$L$201,MATCH($B3825,Summary!$A$2:$A$201,0))</f>
        <v>4</v>
      </c>
      <c r="Q3825" s="3" t="n">
        <f aca="false">INDEX(Summary!$M$2:$M$201,MATCH($B3825,Summary!$A$2:$A$201,0))</f>
        <v>2</v>
      </c>
      <c r="R3825" s="2" t="n">
        <f aca="false">INDEX(Summary!$N$2:$N$201,MATCH($B3825,Summary!$A$2:$A$201,0))</f>
        <v>8.61</v>
      </c>
      <c r="S3825" s="3" t="n">
        <f aca="false">INDEX(Summary!$O$2:$O$201,MATCH($B3825,Summary!$A$2:$A$201,0))</f>
        <v>8</v>
      </c>
      <c r="T3825" s="3" t="n">
        <f aca="false">INDEX(Summary!$P$2:$P$201,MATCH($B3825,Summary!$A$2:$A$201,0))</f>
        <v>1</v>
      </c>
      <c r="U3825" s="2" t="n">
        <f aca="false">INDEX(Summary!$Q$2:$Q$201,MATCH($B3825,Summary!$A$2:$A$201,0))</f>
        <v>12.42</v>
      </c>
      <c r="V3825" s="2" t="n">
        <f aca="false">INDEX(Summary!$R$2:$R$201,MATCH($B3825,Summary!$A$2:$A$201,0))</f>
        <v>22.47</v>
      </c>
      <c r="W3825" s="0" t="str">
        <f aca="false">INDEX(Summary!$S$2:$S$201,MATCH($B3825,Summary!$A$2:$A$201,0))</f>
        <v>Silver</v>
      </c>
      <c r="X3825" s="2" t="n">
        <f aca="false">INDEX(Summary!$T$2:$T$201,MATCH($B3825,Summary!$A$2:$A$201,0))</f>
        <v>54.8</v>
      </c>
      <c r="Y3825" s="0" t="str">
        <f aca="false">INDEX('Reward Model'!$E$18:$E$37,MATCH($E3825,'Reward Model'!$A$18:$A$37,0))</f>
        <v>Low</v>
      </c>
      <c r="Z3825" s="4" t="n">
        <f aca="false">ROUND(MIN(1,MAX('Reward Model'!$B$2,INDEX('Reward Model'!$C$12:$C$14,MATCH($K3825,'Reward Model'!$A$12:$A$14,0))/$J3825)),3)</f>
        <v>1</v>
      </c>
      <c r="AA3825" s="2" t="n">
        <f aca="false">IF($I3825="Correct",ROUND(INDEX('Reward Model'!$B$12:$B$14,MATCH($K3825,'Reward Model'!$A$12:$A$14,0))*Z3825,2),0)</f>
        <v>0</v>
      </c>
      <c r="AB3825" s="2" t="n">
        <f aca="false">IF($I3825="Correct",ROUND(INDEX('Reward Model'!$B$12:$B$14,MATCH($Y3825,'Reward Model'!$A$12:$A$14,0))*Z3825,2),0)</f>
        <v>0</v>
      </c>
    </row>
    <row r="3826" customFormat="false" ht="15" hidden="false" customHeight="false" outlineLevel="0" collapsed="false">
      <c r="A3826" s="0" t="s">
        <v>514</v>
      </c>
      <c r="B3826" s="0" t="s">
        <v>515</v>
      </c>
      <c r="C3826" s="0" t="s">
        <v>322</v>
      </c>
      <c r="D3826" s="0" t="s">
        <v>275</v>
      </c>
      <c r="E3826" s="0" t="n">
        <v>5</v>
      </c>
      <c r="F3826" s="0" t="s">
        <v>46</v>
      </c>
      <c r="G3826" s="0" t="s">
        <v>47</v>
      </c>
      <c r="H3826" s="0" t="s">
        <v>47</v>
      </c>
      <c r="I3826" s="0" t="s">
        <v>34</v>
      </c>
      <c r="J3826" s="0" t="n">
        <v>1.07</v>
      </c>
      <c r="K3826" s="0" t="s">
        <v>35</v>
      </c>
      <c r="L3826" s="0" t="n">
        <f aca="false">INDEX(Summary!$F$2:$F$201,MATCH($B3826,Summary!$A$2:$A$201,0))</f>
        <v>20</v>
      </c>
      <c r="M3826" s="0" t="n">
        <f aca="false">INDEX(Summary!$I$2:$I$201,MATCH($B3826,Summary!$A$2:$A$201,0))</f>
        <v>1</v>
      </c>
      <c r="N3826" s="0" t="n">
        <f aca="false">INDEX(Summary!$J$2:$J$201,MATCH($B3826,Summary!$A$2:$A$201,0))</f>
        <v>4</v>
      </c>
      <c r="O3826" s="2" t="n">
        <f aca="false">INDEX(Summary!$K$2:$K$201,MATCH($B3826,Summary!$A$2:$A$201,0))</f>
        <v>7.94</v>
      </c>
      <c r="P3826" s="3" t="n">
        <f aca="false">INDEX(Summary!$L$2:$L$201,MATCH($B3826,Summary!$A$2:$A$201,0))</f>
        <v>4</v>
      </c>
      <c r="Q3826" s="3" t="n">
        <f aca="false">INDEX(Summary!$M$2:$M$201,MATCH($B3826,Summary!$A$2:$A$201,0))</f>
        <v>2</v>
      </c>
      <c r="R3826" s="2" t="n">
        <f aca="false">INDEX(Summary!$N$2:$N$201,MATCH($B3826,Summary!$A$2:$A$201,0))</f>
        <v>8.61</v>
      </c>
      <c r="S3826" s="3" t="n">
        <f aca="false">INDEX(Summary!$O$2:$O$201,MATCH($B3826,Summary!$A$2:$A$201,0))</f>
        <v>8</v>
      </c>
      <c r="T3826" s="3" t="n">
        <f aca="false">INDEX(Summary!$P$2:$P$201,MATCH($B3826,Summary!$A$2:$A$201,0))</f>
        <v>1</v>
      </c>
      <c r="U3826" s="2" t="n">
        <f aca="false">INDEX(Summary!$Q$2:$Q$201,MATCH($B3826,Summary!$A$2:$A$201,0))</f>
        <v>12.42</v>
      </c>
      <c r="V3826" s="2" t="n">
        <f aca="false">INDEX(Summary!$R$2:$R$201,MATCH($B3826,Summary!$A$2:$A$201,0))</f>
        <v>22.47</v>
      </c>
      <c r="W3826" s="0" t="str">
        <f aca="false">INDEX(Summary!$S$2:$S$201,MATCH($B3826,Summary!$A$2:$A$201,0))</f>
        <v>Silver</v>
      </c>
      <c r="X3826" s="2" t="n">
        <f aca="false">INDEX(Summary!$T$2:$T$201,MATCH($B3826,Summary!$A$2:$A$201,0))</f>
        <v>54.8</v>
      </c>
      <c r="Y3826" s="0" t="str">
        <f aca="false">INDEX('Reward Model'!$E$18:$E$37,MATCH($E3826,'Reward Model'!$A$18:$A$37,0))</f>
        <v>Low</v>
      </c>
      <c r="Z3826" s="4" t="n">
        <f aca="false">ROUND(MIN(1,MAX('Reward Model'!$B$2,INDEX('Reward Model'!$C$12:$C$14,MATCH($K3826,'Reward Model'!$A$12:$A$14,0))/$J3826)),3)</f>
        <v>1</v>
      </c>
      <c r="AA3826" s="2" t="n">
        <f aca="false">IF($I3826="Correct",ROUND(INDEX('Reward Model'!$B$12:$B$14,MATCH($K3826,'Reward Model'!$A$12:$A$14,0))*Z3826,2),0)</f>
        <v>1</v>
      </c>
      <c r="AB3826" s="2" t="n">
        <f aca="false">IF($I3826="Correct",ROUND(INDEX('Reward Model'!$B$12:$B$14,MATCH($Y3826,'Reward Model'!$A$12:$A$14,0))*Z3826,2),0)</f>
        <v>1</v>
      </c>
    </row>
    <row r="3827" customFormat="false" ht="15" hidden="false" customHeight="false" outlineLevel="0" collapsed="false">
      <c r="A3827" s="0" t="s">
        <v>514</v>
      </c>
      <c r="B3827" s="0" t="s">
        <v>515</v>
      </c>
      <c r="C3827" s="0" t="s">
        <v>322</v>
      </c>
      <c r="D3827" s="0" t="s">
        <v>275</v>
      </c>
      <c r="E3827" s="0" t="n">
        <v>6</v>
      </c>
      <c r="F3827" s="0" t="s">
        <v>48</v>
      </c>
      <c r="G3827" s="0" t="s">
        <v>49</v>
      </c>
      <c r="H3827" s="0" t="s">
        <v>49</v>
      </c>
      <c r="I3827" s="0" t="s">
        <v>34</v>
      </c>
      <c r="J3827" s="0" t="n">
        <v>1.86</v>
      </c>
      <c r="K3827" s="0" t="s">
        <v>35</v>
      </c>
      <c r="L3827" s="0" t="n">
        <f aca="false">INDEX(Summary!$F$2:$F$201,MATCH($B3827,Summary!$A$2:$A$201,0))</f>
        <v>20</v>
      </c>
      <c r="M3827" s="0" t="n">
        <f aca="false">INDEX(Summary!$I$2:$I$201,MATCH($B3827,Summary!$A$2:$A$201,0))</f>
        <v>1</v>
      </c>
      <c r="N3827" s="0" t="n">
        <f aca="false">INDEX(Summary!$J$2:$J$201,MATCH($B3827,Summary!$A$2:$A$201,0))</f>
        <v>4</v>
      </c>
      <c r="O3827" s="2" t="n">
        <f aca="false">INDEX(Summary!$K$2:$K$201,MATCH($B3827,Summary!$A$2:$A$201,0))</f>
        <v>7.94</v>
      </c>
      <c r="P3827" s="3" t="n">
        <f aca="false">INDEX(Summary!$L$2:$L$201,MATCH($B3827,Summary!$A$2:$A$201,0))</f>
        <v>4</v>
      </c>
      <c r="Q3827" s="3" t="n">
        <f aca="false">INDEX(Summary!$M$2:$M$201,MATCH($B3827,Summary!$A$2:$A$201,0))</f>
        <v>2</v>
      </c>
      <c r="R3827" s="2" t="n">
        <f aca="false">INDEX(Summary!$N$2:$N$201,MATCH($B3827,Summary!$A$2:$A$201,0))</f>
        <v>8.61</v>
      </c>
      <c r="S3827" s="3" t="n">
        <f aca="false">INDEX(Summary!$O$2:$O$201,MATCH($B3827,Summary!$A$2:$A$201,0))</f>
        <v>8</v>
      </c>
      <c r="T3827" s="3" t="n">
        <f aca="false">INDEX(Summary!$P$2:$P$201,MATCH($B3827,Summary!$A$2:$A$201,0))</f>
        <v>1</v>
      </c>
      <c r="U3827" s="2" t="n">
        <f aca="false">INDEX(Summary!$Q$2:$Q$201,MATCH($B3827,Summary!$A$2:$A$201,0))</f>
        <v>12.42</v>
      </c>
      <c r="V3827" s="2" t="n">
        <f aca="false">INDEX(Summary!$R$2:$R$201,MATCH($B3827,Summary!$A$2:$A$201,0))</f>
        <v>22.47</v>
      </c>
      <c r="W3827" s="0" t="str">
        <f aca="false">INDEX(Summary!$S$2:$S$201,MATCH($B3827,Summary!$A$2:$A$201,0))</f>
        <v>Silver</v>
      </c>
      <c r="X3827" s="2" t="n">
        <f aca="false">INDEX(Summary!$T$2:$T$201,MATCH($B3827,Summary!$A$2:$A$201,0))</f>
        <v>54.8</v>
      </c>
      <c r="Y3827" s="0" t="str">
        <f aca="false">INDEX('Reward Model'!$E$18:$E$37,MATCH($E3827,'Reward Model'!$A$18:$A$37,0))</f>
        <v>Medium</v>
      </c>
      <c r="Z3827" s="4" t="n">
        <f aca="false">ROUND(MIN(1,MAX('Reward Model'!$B$2,INDEX('Reward Model'!$C$12:$C$14,MATCH($K3827,'Reward Model'!$A$12:$A$14,0))/$J3827)),3)</f>
        <v>0.806</v>
      </c>
      <c r="AA3827" s="2" t="n">
        <f aca="false">IF($I3827="Correct",ROUND(INDEX('Reward Model'!$B$12:$B$14,MATCH($K3827,'Reward Model'!$A$12:$A$14,0))*Z3827,2),0)</f>
        <v>0.81</v>
      </c>
      <c r="AB3827" s="2" t="n">
        <f aca="false">IF($I3827="Correct",ROUND(INDEX('Reward Model'!$B$12:$B$14,MATCH($Y3827,'Reward Model'!$A$12:$A$14,0))*Z3827,2),0)</f>
        <v>1.61</v>
      </c>
    </row>
    <row r="3828" customFormat="false" ht="15" hidden="false" customHeight="false" outlineLevel="0" collapsed="false">
      <c r="A3828" s="0" t="s">
        <v>514</v>
      </c>
      <c r="B3828" s="0" t="s">
        <v>515</v>
      </c>
      <c r="C3828" s="0" t="s">
        <v>322</v>
      </c>
      <c r="D3828" s="0" t="s">
        <v>275</v>
      </c>
      <c r="E3828" s="0" t="n">
        <v>7</v>
      </c>
      <c r="F3828" s="0" t="s">
        <v>50</v>
      </c>
      <c r="G3828" s="0" t="s">
        <v>51</v>
      </c>
      <c r="H3828" s="0" t="s">
        <v>51</v>
      </c>
      <c r="I3828" s="0" t="s">
        <v>34</v>
      </c>
      <c r="J3828" s="0" t="n">
        <v>1.17</v>
      </c>
      <c r="K3828" s="0" t="s">
        <v>35</v>
      </c>
      <c r="L3828" s="0" t="n">
        <f aca="false">INDEX(Summary!$F$2:$F$201,MATCH($B3828,Summary!$A$2:$A$201,0))</f>
        <v>20</v>
      </c>
      <c r="M3828" s="0" t="n">
        <f aca="false">INDEX(Summary!$I$2:$I$201,MATCH($B3828,Summary!$A$2:$A$201,0))</f>
        <v>1</v>
      </c>
      <c r="N3828" s="0" t="n">
        <f aca="false">INDEX(Summary!$J$2:$J$201,MATCH($B3828,Summary!$A$2:$A$201,0))</f>
        <v>4</v>
      </c>
      <c r="O3828" s="2" t="n">
        <f aca="false">INDEX(Summary!$K$2:$K$201,MATCH($B3828,Summary!$A$2:$A$201,0))</f>
        <v>7.94</v>
      </c>
      <c r="P3828" s="3" t="n">
        <f aca="false">INDEX(Summary!$L$2:$L$201,MATCH($B3828,Summary!$A$2:$A$201,0))</f>
        <v>4</v>
      </c>
      <c r="Q3828" s="3" t="n">
        <f aca="false">INDEX(Summary!$M$2:$M$201,MATCH($B3828,Summary!$A$2:$A$201,0))</f>
        <v>2</v>
      </c>
      <c r="R3828" s="2" t="n">
        <f aca="false">INDEX(Summary!$N$2:$N$201,MATCH($B3828,Summary!$A$2:$A$201,0))</f>
        <v>8.61</v>
      </c>
      <c r="S3828" s="3" t="n">
        <f aca="false">INDEX(Summary!$O$2:$O$201,MATCH($B3828,Summary!$A$2:$A$201,0))</f>
        <v>8</v>
      </c>
      <c r="T3828" s="3" t="n">
        <f aca="false">INDEX(Summary!$P$2:$P$201,MATCH($B3828,Summary!$A$2:$A$201,0))</f>
        <v>1</v>
      </c>
      <c r="U3828" s="2" t="n">
        <f aca="false">INDEX(Summary!$Q$2:$Q$201,MATCH($B3828,Summary!$A$2:$A$201,0))</f>
        <v>12.42</v>
      </c>
      <c r="V3828" s="2" t="n">
        <f aca="false">INDEX(Summary!$R$2:$R$201,MATCH($B3828,Summary!$A$2:$A$201,0))</f>
        <v>22.47</v>
      </c>
      <c r="W3828" s="0" t="str">
        <f aca="false">INDEX(Summary!$S$2:$S$201,MATCH($B3828,Summary!$A$2:$A$201,0))</f>
        <v>Silver</v>
      </c>
      <c r="X3828" s="2" t="n">
        <f aca="false">INDEX(Summary!$T$2:$T$201,MATCH($B3828,Summary!$A$2:$A$201,0))</f>
        <v>54.8</v>
      </c>
      <c r="Y3828" s="0" t="str">
        <f aca="false">INDEX('Reward Model'!$E$18:$E$37,MATCH($E3828,'Reward Model'!$A$18:$A$37,0))</f>
        <v>Low</v>
      </c>
      <c r="Z3828" s="4" t="n">
        <f aca="false">ROUND(MIN(1,MAX('Reward Model'!$B$2,INDEX('Reward Model'!$C$12:$C$14,MATCH($K3828,'Reward Model'!$A$12:$A$14,0))/$J3828)),3)</f>
        <v>1</v>
      </c>
      <c r="AA3828" s="2" t="n">
        <f aca="false">IF($I3828="Correct",ROUND(INDEX('Reward Model'!$B$12:$B$14,MATCH($K3828,'Reward Model'!$A$12:$A$14,0))*Z3828,2),0)</f>
        <v>1</v>
      </c>
      <c r="AB3828" s="2" t="n">
        <f aca="false">IF($I3828="Correct",ROUND(INDEX('Reward Model'!$B$12:$B$14,MATCH($Y3828,'Reward Model'!$A$12:$A$14,0))*Z3828,2),0)</f>
        <v>1</v>
      </c>
    </row>
    <row r="3829" customFormat="false" ht="15" hidden="false" customHeight="false" outlineLevel="0" collapsed="false">
      <c r="A3829" s="0" t="s">
        <v>514</v>
      </c>
      <c r="B3829" s="0" t="s">
        <v>515</v>
      </c>
      <c r="C3829" s="0" t="s">
        <v>322</v>
      </c>
      <c r="D3829" s="0" t="s">
        <v>275</v>
      </c>
      <c r="E3829" s="0" t="n">
        <v>8</v>
      </c>
      <c r="F3829" s="0" t="s">
        <v>52</v>
      </c>
      <c r="G3829" s="0" t="s">
        <v>54</v>
      </c>
      <c r="H3829" s="0" t="s">
        <v>54</v>
      </c>
      <c r="I3829" s="0" t="s">
        <v>34</v>
      </c>
      <c r="J3829" s="0" t="n">
        <v>1</v>
      </c>
      <c r="K3829" s="0" t="s">
        <v>35</v>
      </c>
      <c r="L3829" s="0" t="n">
        <f aca="false">INDEX(Summary!$F$2:$F$201,MATCH($B3829,Summary!$A$2:$A$201,0))</f>
        <v>20</v>
      </c>
      <c r="M3829" s="0" t="n">
        <f aca="false">INDEX(Summary!$I$2:$I$201,MATCH($B3829,Summary!$A$2:$A$201,0))</f>
        <v>1</v>
      </c>
      <c r="N3829" s="0" t="n">
        <f aca="false">INDEX(Summary!$J$2:$J$201,MATCH($B3829,Summary!$A$2:$A$201,0))</f>
        <v>4</v>
      </c>
      <c r="O3829" s="2" t="n">
        <f aca="false">INDEX(Summary!$K$2:$K$201,MATCH($B3829,Summary!$A$2:$A$201,0))</f>
        <v>7.94</v>
      </c>
      <c r="P3829" s="3" t="n">
        <f aca="false">INDEX(Summary!$L$2:$L$201,MATCH($B3829,Summary!$A$2:$A$201,0))</f>
        <v>4</v>
      </c>
      <c r="Q3829" s="3" t="n">
        <f aca="false">INDEX(Summary!$M$2:$M$201,MATCH($B3829,Summary!$A$2:$A$201,0))</f>
        <v>2</v>
      </c>
      <c r="R3829" s="2" t="n">
        <f aca="false">INDEX(Summary!$N$2:$N$201,MATCH($B3829,Summary!$A$2:$A$201,0))</f>
        <v>8.61</v>
      </c>
      <c r="S3829" s="3" t="n">
        <f aca="false">INDEX(Summary!$O$2:$O$201,MATCH($B3829,Summary!$A$2:$A$201,0))</f>
        <v>8</v>
      </c>
      <c r="T3829" s="3" t="n">
        <f aca="false">INDEX(Summary!$P$2:$P$201,MATCH($B3829,Summary!$A$2:$A$201,0))</f>
        <v>1</v>
      </c>
      <c r="U3829" s="2" t="n">
        <f aca="false">INDEX(Summary!$Q$2:$Q$201,MATCH($B3829,Summary!$A$2:$A$201,0))</f>
        <v>12.42</v>
      </c>
      <c r="V3829" s="2" t="n">
        <f aca="false">INDEX(Summary!$R$2:$R$201,MATCH($B3829,Summary!$A$2:$A$201,0))</f>
        <v>22.47</v>
      </c>
      <c r="W3829" s="0" t="str">
        <f aca="false">INDEX(Summary!$S$2:$S$201,MATCH($B3829,Summary!$A$2:$A$201,0))</f>
        <v>Silver</v>
      </c>
      <c r="X3829" s="2" t="n">
        <f aca="false">INDEX(Summary!$T$2:$T$201,MATCH($B3829,Summary!$A$2:$A$201,0))</f>
        <v>54.8</v>
      </c>
      <c r="Y3829" s="0" t="str">
        <f aca="false">INDEX('Reward Model'!$E$18:$E$37,MATCH($E3829,'Reward Model'!$A$18:$A$37,0))</f>
        <v>Medium</v>
      </c>
      <c r="Z3829" s="4" t="n">
        <f aca="false">ROUND(MIN(1,MAX('Reward Model'!$B$2,INDEX('Reward Model'!$C$12:$C$14,MATCH($K3829,'Reward Model'!$A$12:$A$14,0))/$J3829)),3)</f>
        <v>1</v>
      </c>
      <c r="AA3829" s="2" t="n">
        <f aca="false">IF($I3829="Correct",ROUND(INDEX('Reward Model'!$B$12:$B$14,MATCH($K3829,'Reward Model'!$A$12:$A$14,0))*Z3829,2),0)</f>
        <v>1</v>
      </c>
      <c r="AB3829" s="2" t="n">
        <f aca="false">IF($I3829="Correct",ROUND(INDEX('Reward Model'!$B$12:$B$14,MATCH($Y3829,'Reward Model'!$A$12:$A$14,0))*Z3829,2),0)</f>
        <v>2</v>
      </c>
    </row>
    <row r="3830" customFormat="false" ht="15" hidden="false" customHeight="false" outlineLevel="0" collapsed="false">
      <c r="A3830" s="0" t="s">
        <v>514</v>
      </c>
      <c r="B3830" s="0" t="s">
        <v>515</v>
      </c>
      <c r="C3830" s="0" t="s">
        <v>322</v>
      </c>
      <c r="D3830" s="0" t="s">
        <v>275</v>
      </c>
      <c r="E3830" s="0" t="n">
        <v>9</v>
      </c>
      <c r="F3830" s="0" t="s">
        <v>55</v>
      </c>
      <c r="G3830" s="0" t="s">
        <v>57</v>
      </c>
      <c r="H3830" s="0" t="s">
        <v>57</v>
      </c>
      <c r="I3830" s="0" t="s">
        <v>34</v>
      </c>
      <c r="J3830" s="0" t="n">
        <v>1.68</v>
      </c>
      <c r="K3830" s="0" t="s">
        <v>35</v>
      </c>
      <c r="L3830" s="0" t="n">
        <f aca="false">INDEX(Summary!$F$2:$F$201,MATCH($B3830,Summary!$A$2:$A$201,0))</f>
        <v>20</v>
      </c>
      <c r="M3830" s="0" t="n">
        <f aca="false">INDEX(Summary!$I$2:$I$201,MATCH($B3830,Summary!$A$2:$A$201,0))</f>
        <v>1</v>
      </c>
      <c r="N3830" s="0" t="n">
        <f aca="false">INDEX(Summary!$J$2:$J$201,MATCH($B3830,Summary!$A$2:$A$201,0))</f>
        <v>4</v>
      </c>
      <c r="O3830" s="2" t="n">
        <f aca="false">INDEX(Summary!$K$2:$K$201,MATCH($B3830,Summary!$A$2:$A$201,0))</f>
        <v>7.94</v>
      </c>
      <c r="P3830" s="3" t="n">
        <f aca="false">INDEX(Summary!$L$2:$L$201,MATCH($B3830,Summary!$A$2:$A$201,0))</f>
        <v>4</v>
      </c>
      <c r="Q3830" s="3" t="n">
        <f aca="false">INDEX(Summary!$M$2:$M$201,MATCH($B3830,Summary!$A$2:$A$201,0))</f>
        <v>2</v>
      </c>
      <c r="R3830" s="2" t="n">
        <f aca="false">INDEX(Summary!$N$2:$N$201,MATCH($B3830,Summary!$A$2:$A$201,0))</f>
        <v>8.61</v>
      </c>
      <c r="S3830" s="3" t="n">
        <f aca="false">INDEX(Summary!$O$2:$O$201,MATCH($B3830,Summary!$A$2:$A$201,0))</f>
        <v>8</v>
      </c>
      <c r="T3830" s="3" t="n">
        <f aca="false">INDEX(Summary!$P$2:$P$201,MATCH($B3830,Summary!$A$2:$A$201,0))</f>
        <v>1</v>
      </c>
      <c r="U3830" s="2" t="n">
        <f aca="false">INDEX(Summary!$Q$2:$Q$201,MATCH($B3830,Summary!$A$2:$A$201,0))</f>
        <v>12.42</v>
      </c>
      <c r="V3830" s="2" t="n">
        <f aca="false">INDEX(Summary!$R$2:$R$201,MATCH($B3830,Summary!$A$2:$A$201,0))</f>
        <v>22.47</v>
      </c>
      <c r="W3830" s="0" t="str">
        <f aca="false">INDEX(Summary!$S$2:$S$201,MATCH($B3830,Summary!$A$2:$A$201,0))</f>
        <v>Silver</v>
      </c>
      <c r="X3830" s="2" t="n">
        <f aca="false">INDEX(Summary!$T$2:$T$201,MATCH($B3830,Summary!$A$2:$A$201,0))</f>
        <v>54.8</v>
      </c>
      <c r="Y3830" s="0" t="str">
        <f aca="false">INDEX('Reward Model'!$E$18:$E$37,MATCH($E3830,'Reward Model'!$A$18:$A$37,0))</f>
        <v>Medium</v>
      </c>
      <c r="Z3830" s="4" t="n">
        <f aca="false">ROUND(MIN(1,MAX('Reward Model'!$B$2,INDEX('Reward Model'!$C$12:$C$14,MATCH($K3830,'Reward Model'!$A$12:$A$14,0))/$J3830)),3)</f>
        <v>0.893</v>
      </c>
      <c r="AA3830" s="2" t="n">
        <f aca="false">IF($I3830="Correct",ROUND(INDEX('Reward Model'!$B$12:$B$14,MATCH($K3830,'Reward Model'!$A$12:$A$14,0))*Z3830,2),0)</f>
        <v>0.89</v>
      </c>
      <c r="AB3830" s="2" t="n">
        <f aca="false">IF($I3830="Correct",ROUND(INDEX('Reward Model'!$B$12:$B$14,MATCH($Y3830,'Reward Model'!$A$12:$A$14,0))*Z3830,2),0)</f>
        <v>1.79</v>
      </c>
    </row>
    <row r="3831" customFormat="false" ht="15" hidden="false" customHeight="false" outlineLevel="0" collapsed="false">
      <c r="A3831" s="0" t="s">
        <v>514</v>
      </c>
      <c r="B3831" s="0" t="s">
        <v>515</v>
      </c>
      <c r="C3831" s="0" t="s">
        <v>322</v>
      </c>
      <c r="D3831" s="0" t="s">
        <v>275</v>
      </c>
      <c r="E3831" s="0" t="n">
        <v>10</v>
      </c>
      <c r="F3831" s="0" t="s">
        <v>58</v>
      </c>
      <c r="G3831" s="0" t="s">
        <v>138</v>
      </c>
      <c r="H3831" s="0" t="s">
        <v>59</v>
      </c>
      <c r="I3831" s="0" t="s">
        <v>39</v>
      </c>
      <c r="J3831" s="0" t="n">
        <v>1.22</v>
      </c>
      <c r="K3831" s="0" t="s">
        <v>60</v>
      </c>
      <c r="L3831" s="0" t="n">
        <f aca="false">INDEX(Summary!$F$2:$F$201,MATCH($B3831,Summary!$A$2:$A$201,0))</f>
        <v>20</v>
      </c>
      <c r="M3831" s="0" t="n">
        <f aca="false">INDEX(Summary!$I$2:$I$201,MATCH($B3831,Summary!$A$2:$A$201,0))</f>
        <v>1</v>
      </c>
      <c r="N3831" s="0" t="n">
        <f aca="false">INDEX(Summary!$J$2:$J$201,MATCH($B3831,Summary!$A$2:$A$201,0))</f>
        <v>4</v>
      </c>
      <c r="O3831" s="2" t="n">
        <f aca="false">INDEX(Summary!$K$2:$K$201,MATCH($B3831,Summary!$A$2:$A$201,0))</f>
        <v>7.94</v>
      </c>
      <c r="P3831" s="3" t="n">
        <f aca="false">INDEX(Summary!$L$2:$L$201,MATCH($B3831,Summary!$A$2:$A$201,0))</f>
        <v>4</v>
      </c>
      <c r="Q3831" s="3" t="n">
        <f aca="false">INDEX(Summary!$M$2:$M$201,MATCH($B3831,Summary!$A$2:$A$201,0))</f>
        <v>2</v>
      </c>
      <c r="R3831" s="2" t="n">
        <f aca="false">INDEX(Summary!$N$2:$N$201,MATCH($B3831,Summary!$A$2:$A$201,0))</f>
        <v>8.61</v>
      </c>
      <c r="S3831" s="3" t="n">
        <f aca="false">INDEX(Summary!$O$2:$O$201,MATCH($B3831,Summary!$A$2:$A$201,0))</f>
        <v>8</v>
      </c>
      <c r="T3831" s="3" t="n">
        <f aca="false">INDEX(Summary!$P$2:$P$201,MATCH($B3831,Summary!$A$2:$A$201,0))</f>
        <v>1</v>
      </c>
      <c r="U3831" s="2" t="n">
        <f aca="false">INDEX(Summary!$Q$2:$Q$201,MATCH($B3831,Summary!$A$2:$A$201,0))</f>
        <v>12.42</v>
      </c>
      <c r="V3831" s="2" t="n">
        <f aca="false">INDEX(Summary!$R$2:$R$201,MATCH($B3831,Summary!$A$2:$A$201,0))</f>
        <v>22.47</v>
      </c>
      <c r="W3831" s="0" t="str">
        <f aca="false">INDEX(Summary!$S$2:$S$201,MATCH($B3831,Summary!$A$2:$A$201,0))</f>
        <v>Silver</v>
      </c>
      <c r="X3831" s="2" t="n">
        <f aca="false">INDEX(Summary!$T$2:$T$201,MATCH($B3831,Summary!$A$2:$A$201,0))</f>
        <v>54.8</v>
      </c>
      <c r="Y3831" s="0" t="str">
        <f aca="false">INDEX('Reward Model'!$E$18:$E$37,MATCH($E3831,'Reward Model'!$A$18:$A$37,0))</f>
        <v>Medium</v>
      </c>
      <c r="Z3831" s="4" t="n">
        <f aca="false">ROUND(MIN(1,MAX('Reward Model'!$B$2,INDEX('Reward Model'!$C$12:$C$14,MATCH($K3831,'Reward Model'!$A$12:$A$14,0))/$J3831)),3)</f>
        <v>1</v>
      </c>
      <c r="AA3831" s="2" t="n">
        <f aca="false">IF($I3831="Correct",ROUND(INDEX('Reward Model'!$B$12:$B$14,MATCH($K3831,'Reward Model'!$A$12:$A$14,0))*Z3831,2),0)</f>
        <v>0</v>
      </c>
      <c r="AB3831" s="2" t="n">
        <f aca="false">IF($I3831="Correct",ROUND(INDEX('Reward Model'!$B$12:$B$14,MATCH($Y3831,'Reward Model'!$A$12:$A$14,0))*Z3831,2),0)</f>
        <v>0</v>
      </c>
    </row>
    <row r="3832" customFormat="false" ht="15" hidden="false" customHeight="false" outlineLevel="0" collapsed="false">
      <c r="A3832" s="0" t="s">
        <v>514</v>
      </c>
      <c r="B3832" s="0" t="s">
        <v>515</v>
      </c>
      <c r="C3832" s="0" t="s">
        <v>322</v>
      </c>
      <c r="D3832" s="0" t="s">
        <v>275</v>
      </c>
      <c r="E3832" s="0" t="n">
        <v>11</v>
      </c>
      <c r="F3832" s="0" t="s">
        <v>61</v>
      </c>
      <c r="G3832" s="0" t="s">
        <v>63</v>
      </c>
      <c r="H3832" s="0" t="s">
        <v>63</v>
      </c>
      <c r="I3832" s="0" t="s">
        <v>34</v>
      </c>
      <c r="J3832" s="0" t="n">
        <v>1.36</v>
      </c>
      <c r="K3832" s="0" t="s">
        <v>60</v>
      </c>
      <c r="L3832" s="0" t="n">
        <f aca="false">INDEX(Summary!$F$2:$F$201,MATCH($B3832,Summary!$A$2:$A$201,0))</f>
        <v>20</v>
      </c>
      <c r="M3832" s="0" t="n">
        <f aca="false">INDEX(Summary!$I$2:$I$201,MATCH($B3832,Summary!$A$2:$A$201,0))</f>
        <v>1</v>
      </c>
      <c r="N3832" s="0" t="n">
        <f aca="false">INDEX(Summary!$J$2:$J$201,MATCH($B3832,Summary!$A$2:$A$201,0))</f>
        <v>4</v>
      </c>
      <c r="O3832" s="2" t="n">
        <f aca="false">INDEX(Summary!$K$2:$K$201,MATCH($B3832,Summary!$A$2:$A$201,0))</f>
        <v>7.94</v>
      </c>
      <c r="P3832" s="3" t="n">
        <f aca="false">INDEX(Summary!$L$2:$L$201,MATCH($B3832,Summary!$A$2:$A$201,0))</f>
        <v>4</v>
      </c>
      <c r="Q3832" s="3" t="n">
        <f aca="false">INDEX(Summary!$M$2:$M$201,MATCH($B3832,Summary!$A$2:$A$201,0))</f>
        <v>2</v>
      </c>
      <c r="R3832" s="2" t="n">
        <f aca="false">INDEX(Summary!$N$2:$N$201,MATCH($B3832,Summary!$A$2:$A$201,0))</f>
        <v>8.61</v>
      </c>
      <c r="S3832" s="3" t="n">
        <f aca="false">INDEX(Summary!$O$2:$O$201,MATCH($B3832,Summary!$A$2:$A$201,0))</f>
        <v>8</v>
      </c>
      <c r="T3832" s="3" t="n">
        <f aca="false">INDEX(Summary!$P$2:$P$201,MATCH($B3832,Summary!$A$2:$A$201,0))</f>
        <v>1</v>
      </c>
      <c r="U3832" s="2" t="n">
        <f aca="false">INDEX(Summary!$Q$2:$Q$201,MATCH($B3832,Summary!$A$2:$A$201,0))</f>
        <v>12.42</v>
      </c>
      <c r="V3832" s="2" t="n">
        <f aca="false">INDEX(Summary!$R$2:$R$201,MATCH($B3832,Summary!$A$2:$A$201,0))</f>
        <v>22.47</v>
      </c>
      <c r="W3832" s="0" t="str">
        <f aca="false">INDEX(Summary!$S$2:$S$201,MATCH($B3832,Summary!$A$2:$A$201,0))</f>
        <v>Silver</v>
      </c>
      <c r="X3832" s="2" t="n">
        <f aca="false">INDEX(Summary!$T$2:$T$201,MATCH($B3832,Summary!$A$2:$A$201,0))</f>
        <v>54.8</v>
      </c>
      <c r="Y3832" s="0" t="str">
        <f aca="false">INDEX('Reward Model'!$E$18:$E$37,MATCH($E3832,'Reward Model'!$A$18:$A$37,0))</f>
        <v>Medium</v>
      </c>
      <c r="Z3832" s="4" t="n">
        <f aca="false">ROUND(MIN(1,MAX('Reward Model'!$B$2,INDEX('Reward Model'!$C$12:$C$14,MATCH($K3832,'Reward Model'!$A$12:$A$14,0))/$J3832)),3)</f>
        <v>1</v>
      </c>
      <c r="AA3832" s="2" t="n">
        <f aca="false">IF($I3832="Correct",ROUND(INDEX('Reward Model'!$B$12:$B$14,MATCH($K3832,'Reward Model'!$A$12:$A$14,0))*Z3832,2),0)</f>
        <v>2</v>
      </c>
      <c r="AB3832" s="2" t="n">
        <f aca="false">IF($I3832="Correct",ROUND(INDEX('Reward Model'!$B$12:$B$14,MATCH($Y3832,'Reward Model'!$A$12:$A$14,0))*Z3832,2),0)</f>
        <v>2</v>
      </c>
    </row>
    <row r="3833" customFormat="false" ht="15" hidden="false" customHeight="false" outlineLevel="0" collapsed="false">
      <c r="A3833" s="0" t="s">
        <v>514</v>
      </c>
      <c r="B3833" s="0" t="s">
        <v>515</v>
      </c>
      <c r="C3833" s="0" t="s">
        <v>322</v>
      </c>
      <c r="D3833" s="0" t="s">
        <v>275</v>
      </c>
      <c r="E3833" s="0" t="n">
        <v>12</v>
      </c>
      <c r="F3833" s="0" t="s">
        <v>64</v>
      </c>
      <c r="G3833" s="0" t="s">
        <v>65</v>
      </c>
      <c r="H3833" s="0" t="s">
        <v>65</v>
      </c>
      <c r="I3833" s="0" t="s">
        <v>34</v>
      </c>
      <c r="J3833" s="0" t="n">
        <v>2.29</v>
      </c>
      <c r="K3833" s="0" t="s">
        <v>60</v>
      </c>
      <c r="L3833" s="0" t="n">
        <f aca="false">INDEX(Summary!$F$2:$F$201,MATCH($B3833,Summary!$A$2:$A$201,0))</f>
        <v>20</v>
      </c>
      <c r="M3833" s="0" t="n">
        <f aca="false">INDEX(Summary!$I$2:$I$201,MATCH($B3833,Summary!$A$2:$A$201,0))</f>
        <v>1</v>
      </c>
      <c r="N3833" s="0" t="n">
        <f aca="false">INDEX(Summary!$J$2:$J$201,MATCH($B3833,Summary!$A$2:$A$201,0))</f>
        <v>4</v>
      </c>
      <c r="O3833" s="2" t="n">
        <f aca="false">INDEX(Summary!$K$2:$K$201,MATCH($B3833,Summary!$A$2:$A$201,0))</f>
        <v>7.94</v>
      </c>
      <c r="P3833" s="3" t="n">
        <f aca="false">INDEX(Summary!$L$2:$L$201,MATCH($B3833,Summary!$A$2:$A$201,0))</f>
        <v>4</v>
      </c>
      <c r="Q3833" s="3" t="n">
        <f aca="false">INDEX(Summary!$M$2:$M$201,MATCH($B3833,Summary!$A$2:$A$201,0))</f>
        <v>2</v>
      </c>
      <c r="R3833" s="2" t="n">
        <f aca="false">INDEX(Summary!$N$2:$N$201,MATCH($B3833,Summary!$A$2:$A$201,0))</f>
        <v>8.61</v>
      </c>
      <c r="S3833" s="3" t="n">
        <f aca="false">INDEX(Summary!$O$2:$O$201,MATCH($B3833,Summary!$A$2:$A$201,0))</f>
        <v>8</v>
      </c>
      <c r="T3833" s="3" t="n">
        <f aca="false">INDEX(Summary!$P$2:$P$201,MATCH($B3833,Summary!$A$2:$A$201,0))</f>
        <v>1</v>
      </c>
      <c r="U3833" s="2" t="n">
        <f aca="false">INDEX(Summary!$Q$2:$Q$201,MATCH($B3833,Summary!$A$2:$A$201,0))</f>
        <v>12.42</v>
      </c>
      <c r="V3833" s="2" t="n">
        <f aca="false">INDEX(Summary!$R$2:$R$201,MATCH($B3833,Summary!$A$2:$A$201,0))</f>
        <v>22.47</v>
      </c>
      <c r="W3833" s="0" t="str">
        <f aca="false">INDEX(Summary!$S$2:$S$201,MATCH($B3833,Summary!$A$2:$A$201,0))</f>
        <v>Silver</v>
      </c>
      <c r="X3833" s="2" t="n">
        <f aca="false">INDEX(Summary!$T$2:$T$201,MATCH($B3833,Summary!$A$2:$A$201,0))</f>
        <v>54.8</v>
      </c>
      <c r="Y3833" s="0" t="str">
        <f aca="false">INDEX('Reward Model'!$E$18:$E$37,MATCH($E3833,'Reward Model'!$A$18:$A$37,0))</f>
        <v>Medium</v>
      </c>
      <c r="Z3833" s="4" t="n">
        <f aca="false">ROUND(MIN(1,MAX('Reward Model'!$B$2,INDEX('Reward Model'!$C$12:$C$14,MATCH($K3833,'Reward Model'!$A$12:$A$14,0))/$J3833)),3)</f>
        <v>0.786</v>
      </c>
      <c r="AA3833" s="2" t="n">
        <f aca="false">IF($I3833="Correct",ROUND(INDEX('Reward Model'!$B$12:$B$14,MATCH($K3833,'Reward Model'!$A$12:$A$14,0))*Z3833,2),0)</f>
        <v>1.57</v>
      </c>
      <c r="AB3833" s="2" t="n">
        <f aca="false">IF($I3833="Correct",ROUND(INDEX('Reward Model'!$B$12:$B$14,MATCH($Y3833,'Reward Model'!$A$12:$A$14,0))*Z3833,2),0)</f>
        <v>1.57</v>
      </c>
    </row>
    <row r="3834" customFormat="false" ht="15" hidden="false" customHeight="false" outlineLevel="0" collapsed="false">
      <c r="A3834" s="0" t="s">
        <v>514</v>
      </c>
      <c r="B3834" s="0" t="s">
        <v>515</v>
      </c>
      <c r="C3834" s="0" t="s">
        <v>322</v>
      </c>
      <c r="D3834" s="0" t="s">
        <v>275</v>
      </c>
      <c r="E3834" s="0" t="n">
        <v>13</v>
      </c>
      <c r="F3834" s="0" t="s">
        <v>66</v>
      </c>
      <c r="G3834" s="0" t="s">
        <v>67</v>
      </c>
      <c r="H3834" s="0" t="s">
        <v>67</v>
      </c>
      <c r="I3834" s="0" t="s">
        <v>34</v>
      </c>
      <c r="J3834" s="0" t="n">
        <v>1.35</v>
      </c>
      <c r="K3834" s="0" t="s">
        <v>60</v>
      </c>
      <c r="L3834" s="0" t="n">
        <f aca="false">INDEX(Summary!$F$2:$F$201,MATCH($B3834,Summary!$A$2:$A$201,0))</f>
        <v>20</v>
      </c>
      <c r="M3834" s="0" t="n">
        <f aca="false">INDEX(Summary!$I$2:$I$201,MATCH($B3834,Summary!$A$2:$A$201,0))</f>
        <v>1</v>
      </c>
      <c r="N3834" s="0" t="n">
        <f aca="false">INDEX(Summary!$J$2:$J$201,MATCH($B3834,Summary!$A$2:$A$201,0))</f>
        <v>4</v>
      </c>
      <c r="O3834" s="2" t="n">
        <f aca="false">INDEX(Summary!$K$2:$K$201,MATCH($B3834,Summary!$A$2:$A$201,0))</f>
        <v>7.94</v>
      </c>
      <c r="P3834" s="3" t="n">
        <f aca="false">INDEX(Summary!$L$2:$L$201,MATCH($B3834,Summary!$A$2:$A$201,0))</f>
        <v>4</v>
      </c>
      <c r="Q3834" s="3" t="n">
        <f aca="false">INDEX(Summary!$M$2:$M$201,MATCH($B3834,Summary!$A$2:$A$201,0))</f>
        <v>2</v>
      </c>
      <c r="R3834" s="2" t="n">
        <f aca="false">INDEX(Summary!$N$2:$N$201,MATCH($B3834,Summary!$A$2:$A$201,0))</f>
        <v>8.61</v>
      </c>
      <c r="S3834" s="3" t="n">
        <f aca="false">INDEX(Summary!$O$2:$O$201,MATCH($B3834,Summary!$A$2:$A$201,0))</f>
        <v>8</v>
      </c>
      <c r="T3834" s="3" t="n">
        <f aca="false">INDEX(Summary!$P$2:$P$201,MATCH($B3834,Summary!$A$2:$A$201,0))</f>
        <v>1</v>
      </c>
      <c r="U3834" s="2" t="n">
        <f aca="false">INDEX(Summary!$Q$2:$Q$201,MATCH($B3834,Summary!$A$2:$A$201,0))</f>
        <v>12.42</v>
      </c>
      <c r="V3834" s="2" t="n">
        <f aca="false">INDEX(Summary!$R$2:$R$201,MATCH($B3834,Summary!$A$2:$A$201,0))</f>
        <v>22.47</v>
      </c>
      <c r="W3834" s="0" t="str">
        <f aca="false">INDEX(Summary!$S$2:$S$201,MATCH($B3834,Summary!$A$2:$A$201,0))</f>
        <v>Silver</v>
      </c>
      <c r="X3834" s="2" t="n">
        <f aca="false">INDEX(Summary!$T$2:$T$201,MATCH($B3834,Summary!$A$2:$A$201,0))</f>
        <v>54.8</v>
      </c>
      <c r="Y3834" s="0" t="str">
        <f aca="false">INDEX('Reward Model'!$E$18:$E$37,MATCH($E3834,'Reward Model'!$A$18:$A$37,0))</f>
        <v>Medium</v>
      </c>
      <c r="Z3834" s="4" t="n">
        <f aca="false">ROUND(MIN(1,MAX('Reward Model'!$B$2,INDEX('Reward Model'!$C$12:$C$14,MATCH($K3834,'Reward Model'!$A$12:$A$14,0))/$J3834)),3)</f>
        <v>1</v>
      </c>
      <c r="AA3834" s="2" t="n">
        <f aca="false">IF($I3834="Correct",ROUND(INDEX('Reward Model'!$B$12:$B$14,MATCH($K3834,'Reward Model'!$A$12:$A$14,0))*Z3834,2),0)</f>
        <v>2</v>
      </c>
      <c r="AB3834" s="2" t="n">
        <f aca="false">IF($I3834="Correct",ROUND(INDEX('Reward Model'!$B$12:$B$14,MATCH($Y3834,'Reward Model'!$A$12:$A$14,0))*Z3834,2),0)</f>
        <v>2</v>
      </c>
    </row>
    <row r="3835" customFormat="false" ht="15" hidden="false" customHeight="false" outlineLevel="0" collapsed="false">
      <c r="A3835" s="0" t="s">
        <v>514</v>
      </c>
      <c r="B3835" s="0" t="s">
        <v>515</v>
      </c>
      <c r="C3835" s="0" t="s">
        <v>322</v>
      </c>
      <c r="D3835" s="0" t="s">
        <v>275</v>
      </c>
      <c r="E3835" s="0" t="n">
        <v>14</v>
      </c>
      <c r="F3835" s="0" t="s">
        <v>68</v>
      </c>
      <c r="G3835" s="0" t="s">
        <v>51</v>
      </c>
      <c r="H3835" s="0" t="s">
        <v>51</v>
      </c>
      <c r="I3835" s="0" t="s">
        <v>34</v>
      </c>
      <c r="J3835" s="0" t="n">
        <v>1.27</v>
      </c>
      <c r="K3835" s="0" t="s">
        <v>60</v>
      </c>
      <c r="L3835" s="0" t="n">
        <f aca="false">INDEX(Summary!$F$2:$F$201,MATCH($B3835,Summary!$A$2:$A$201,0))</f>
        <v>20</v>
      </c>
      <c r="M3835" s="0" t="n">
        <f aca="false">INDEX(Summary!$I$2:$I$201,MATCH($B3835,Summary!$A$2:$A$201,0))</f>
        <v>1</v>
      </c>
      <c r="N3835" s="0" t="n">
        <f aca="false">INDEX(Summary!$J$2:$J$201,MATCH($B3835,Summary!$A$2:$A$201,0))</f>
        <v>4</v>
      </c>
      <c r="O3835" s="2" t="n">
        <f aca="false">INDEX(Summary!$K$2:$K$201,MATCH($B3835,Summary!$A$2:$A$201,0))</f>
        <v>7.94</v>
      </c>
      <c r="P3835" s="3" t="n">
        <f aca="false">INDEX(Summary!$L$2:$L$201,MATCH($B3835,Summary!$A$2:$A$201,0))</f>
        <v>4</v>
      </c>
      <c r="Q3835" s="3" t="n">
        <f aca="false">INDEX(Summary!$M$2:$M$201,MATCH($B3835,Summary!$A$2:$A$201,0))</f>
        <v>2</v>
      </c>
      <c r="R3835" s="2" t="n">
        <f aca="false">INDEX(Summary!$N$2:$N$201,MATCH($B3835,Summary!$A$2:$A$201,0))</f>
        <v>8.61</v>
      </c>
      <c r="S3835" s="3" t="n">
        <f aca="false">INDEX(Summary!$O$2:$O$201,MATCH($B3835,Summary!$A$2:$A$201,0))</f>
        <v>8</v>
      </c>
      <c r="T3835" s="3" t="n">
        <f aca="false">INDEX(Summary!$P$2:$P$201,MATCH($B3835,Summary!$A$2:$A$201,0))</f>
        <v>1</v>
      </c>
      <c r="U3835" s="2" t="n">
        <f aca="false">INDEX(Summary!$Q$2:$Q$201,MATCH($B3835,Summary!$A$2:$A$201,0))</f>
        <v>12.42</v>
      </c>
      <c r="V3835" s="2" t="n">
        <f aca="false">INDEX(Summary!$R$2:$R$201,MATCH($B3835,Summary!$A$2:$A$201,0))</f>
        <v>22.47</v>
      </c>
      <c r="W3835" s="0" t="str">
        <f aca="false">INDEX(Summary!$S$2:$S$201,MATCH($B3835,Summary!$A$2:$A$201,0))</f>
        <v>Silver</v>
      </c>
      <c r="X3835" s="2" t="n">
        <f aca="false">INDEX(Summary!$T$2:$T$201,MATCH($B3835,Summary!$A$2:$A$201,0))</f>
        <v>54.8</v>
      </c>
      <c r="Y3835" s="0" t="str">
        <f aca="false">INDEX('Reward Model'!$E$18:$E$37,MATCH($E3835,'Reward Model'!$A$18:$A$37,0))</f>
        <v>Medium</v>
      </c>
      <c r="Z3835" s="4" t="n">
        <f aca="false">ROUND(MIN(1,MAX('Reward Model'!$B$2,INDEX('Reward Model'!$C$12:$C$14,MATCH($K3835,'Reward Model'!$A$12:$A$14,0))/$J3835)),3)</f>
        <v>1</v>
      </c>
      <c r="AA3835" s="2" t="n">
        <f aca="false">IF($I3835="Correct",ROUND(INDEX('Reward Model'!$B$12:$B$14,MATCH($K3835,'Reward Model'!$A$12:$A$14,0))*Z3835,2),0)</f>
        <v>2</v>
      </c>
      <c r="AB3835" s="2" t="n">
        <f aca="false">IF($I3835="Correct",ROUND(INDEX('Reward Model'!$B$12:$B$14,MATCH($Y3835,'Reward Model'!$A$12:$A$14,0))*Z3835,2),0)</f>
        <v>2</v>
      </c>
    </row>
    <row r="3836" customFormat="false" ht="15" hidden="false" customHeight="false" outlineLevel="0" collapsed="false">
      <c r="A3836" s="0" t="s">
        <v>514</v>
      </c>
      <c r="B3836" s="0" t="s">
        <v>515</v>
      </c>
      <c r="C3836" s="0" t="s">
        <v>322</v>
      </c>
      <c r="D3836" s="0" t="s">
        <v>275</v>
      </c>
      <c r="E3836" s="0" t="n">
        <v>15</v>
      </c>
      <c r="F3836" s="0" t="s">
        <v>69</v>
      </c>
      <c r="G3836" s="0" t="s">
        <v>94</v>
      </c>
      <c r="H3836" s="0" t="s">
        <v>70</v>
      </c>
      <c r="I3836" s="0" t="s">
        <v>39</v>
      </c>
      <c r="J3836" s="0" t="n">
        <v>1.12</v>
      </c>
      <c r="K3836" s="0" t="s">
        <v>60</v>
      </c>
      <c r="L3836" s="0" t="n">
        <f aca="false">INDEX(Summary!$F$2:$F$201,MATCH($B3836,Summary!$A$2:$A$201,0))</f>
        <v>20</v>
      </c>
      <c r="M3836" s="0" t="n">
        <f aca="false">INDEX(Summary!$I$2:$I$201,MATCH($B3836,Summary!$A$2:$A$201,0))</f>
        <v>1</v>
      </c>
      <c r="N3836" s="0" t="n">
        <f aca="false">INDEX(Summary!$J$2:$J$201,MATCH($B3836,Summary!$A$2:$A$201,0))</f>
        <v>4</v>
      </c>
      <c r="O3836" s="2" t="n">
        <f aca="false">INDEX(Summary!$K$2:$K$201,MATCH($B3836,Summary!$A$2:$A$201,0))</f>
        <v>7.94</v>
      </c>
      <c r="P3836" s="3" t="n">
        <f aca="false">INDEX(Summary!$L$2:$L$201,MATCH($B3836,Summary!$A$2:$A$201,0))</f>
        <v>4</v>
      </c>
      <c r="Q3836" s="3" t="n">
        <f aca="false">INDEX(Summary!$M$2:$M$201,MATCH($B3836,Summary!$A$2:$A$201,0))</f>
        <v>2</v>
      </c>
      <c r="R3836" s="2" t="n">
        <f aca="false">INDEX(Summary!$N$2:$N$201,MATCH($B3836,Summary!$A$2:$A$201,0))</f>
        <v>8.61</v>
      </c>
      <c r="S3836" s="3" t="n">
        <f aca="false">INDEX(Summary!$O$2:$O$201,MATCH($B3836,Summary!$A$2:$A$201,0))</f>
        <v>8</v>
      </c>
      <c r="T3836" s="3" t="n">
        <f aca="false">INDEX(Summary!$P$2:$P$201,MATCH($B3836,Summary!$A$2:$A$201,0))</f>
        <v>1</v>
      </c>
      <c r="U3836" s="2" t="n">
        <f aca="false">INDEX(Summary!$Q$2:$Q$201,MATCH($B3836,Summary!$A$2:$A$201,0))</f>
        <v>12.42</v>
      </c>
      <c r="V3836" s="2" t="n">
        <f aca="false">INDEX(Summary!$R$2:$R$201,MATCH($B3836,Summary!$A$2:$A$201,0))</f>
        <v>22.47</v>
      </c>
      <c r="W3836" s="0" t="str">
        <f aca="false">INDEX(Summary!$S$2:$S$201,MATCH($B3836,Summary!$A$2:$A$201,0))</f>
        <v>Silver</v>
      </c>
      <c r="X3836" s="2" t="n">
        <f aca="false">INDEX(Summary!$T$2:$T$201,MATCH($B3836,Summary!$A$2:$A$201,0))</f>
        <v>54.8</v>
      </c>
      <c r="Y3836" s="0" t="str">
        <f aca="false">INDEX('Reward Model'!$E$18:$E$37,MATCH($E3836,'Reward Model'!$A$18:$A$37,0))</f>
        <v>Medium</v>
      </c>
      <c r="Z3836" s="4" t="n">
        <f aca="false">ROUND(MIN(1,MAX('Reward Model'!$B$2,INDEX('Reward Model'!$C$12:$C$14,MATCH($K3836,'Reward Model'!$A$12:$A$14,0))/$J3836)),3)</f>
        <v>1</v>
      </c>
      <c r="AA3836" s="2" t="n">
        <f aca="false">IF($I3836="Correct",ROUND(INDEX('Reward Model'!$B$12:$B$14,MATCH($K3836,'Reward Model'!$A$12:$A$14,0))*Z3836,2),0)</f>
        <v>0</v>
      </c>
      <c r="AB3836" s="2" t="n">
        <f aca="false">IF($I3836="Correct",ROUND(INDEX('Reward Model'!$B$12:$B$14,MATCH($Y3836,'Reward Model'!$A$12:$A$14,0))*Z3836,2),0)</f>
        <v>0</v>
      </c>
    </row>
    <row r="3837" customFormat="false" ht="15" hidden="false" customHeight="false" outlineLevel="0" collapsed="false">
      <c r="A3837" s="0" t="s">
        <v>514</v>
      </c>
      <c r="B3837" s="0" t="s">
        <v>515</v>
      </c>
      <c r="C3837" s="0" t="s">
        <v>322</v>
      </c>
      <c r="D3837" s="0" t="s">
        <v>275</v>
      </c>
      <c r="E3837" s="0" t="n">
        <v>16</v>
      </c>
      <c r="F3837" s="0" t="s">
        <v>71</v>
      </c>
      <c r="G3837" s="0" t="s">
        <v>101</v>
      </c>
      <c r="H3837" s="0" t="s">
        <v>72</v>
      </c>
      <c r="I3837" s="0" t="s">
        <v>39</v>
      </c>
      <c r="J3837" s="0" t="n">
        <v>1.83</v>
      </c>
      <c r="K3837" s="0" t="s">
        <v>73</v>
      </c>
      <c r="L3837" s="0" t="n">
        <f aca="false">INDEX(Summary!$F$2:$F$201,MATCH($B3837,Summary!$A$2:$A$201,0))</f>
        <v>20</v>
      </c>
      <c r="M3837" s="0" t="n">
        <f aca="false">INDEX(Summary!$I$2:$I$201,MATCH($B3837,Summary!$A$2:$A$201,0))</f>
        <v>1</v>
      </c>
      <c r="N3837" s="0" t="n">
        <f aca="false">INDEX(Summary!$J$2:$J$201,MATCH($B3837,Summary!$A$2:$A$201,0))</f>
        <v>4</v>
      </c>
      <c r="O3837" s="2" t="n">
        <f aca="false">INDEX(Summary!$K$2:$K$201,MATCH($B3837,Summary!$A$2:$A$201,0))</f>
        <v>7.94</v>
      </c>
      <c r="P3837" s="3" t="n">
        <f aca="false">INDEX(Summary!$L$2:$L$201,MATCH($B3837,Summary!$A$2:$A$201,0))</f>
        <v>4</v>
      </c>
      <c r="Q3837" s="3" t="n">
        <f aca="false">INDEX(Summary!$M$2:$M$201,MATCH($B3837,Summary!$A$2:$A$201,0))</f>
        <v>2</v>
      </c>
      <c r="R3837" s="2" t="n">
        <f aca="false">INDEX(Summary!$N$2:$N$201,MATCH($B3837,Summary!$A$2:$A$201,0))</f>
        <v>8.61</v>
      </c>
      <c r="S3837" s="3" t="n">
        <f aca="false">INDEX(Summary!$O$2:$O$201,MATCH($B3837,Summary!$A$2:$A$201,0))</f>
        <v>8</v>
      </c>
      <c r="T3837" s="3" t="n">
        <f aca="false">INDEX(Summary!$P$2:$P$201,MATCH($B3837,Summary!$A$2:$A$201,0))</f>
        <v>1</v>
      </c>
      <c r="U3837" s="2" t="n">
        <f aca="false">INDEX(Summary!$Q$2:$Q$201,MATCH($B3837,Summary!$A$2:$A$201,0))</f>
        <v>12.42</v>
      </c>
      <c r="V3837" s="2" t="n">
        <f aca="false">INDEX(Summary!$R$2:$R$201,MATCH($B3837,Summary!$A$2:$A$201,0))</f>
        <v>22.47</v>
      </c>
      <c r="W3837" s="0" t="str">
        <f aca="false">INDEX(Summary!$S$2:$S$201,MATCH($B3837,Summary!$A$2:$A$201,0))</f>
        <v>Silver</v>
      </c>
      <c r="X3837" s="2" t="n">
        <f aca="false">INDEX(Summary!$T$2:$T$201,MATCH($B3837,Summary!$A$2:$A$201,0))</f>
        <v>54.8</v>
      </c>
      <c r="Y3837" s="0" t="str">
        <f aca="false">INDEX('Reward Model'!$E$18:$E$37,MATCH($E3837,'Reward Model'!$A$18:$A$37,0))</f>
        <v>High</v>
      </c>
      <c r="Z3837" s="4" t="n">
        <f aca="false">ROUND(MIN(1,MAX('Reward Model'!$B$2,INDEX('Reward Model'!$C$12:$C$14,MATCH($K3837,'Reward Model'!$A$12:$A$14,0))/$J3837)),3)</f>
        <v>1</v>
      </c>
      <c r="AA3837" s="2" t="n">
        <f aca="false">IF($I3837="Correct",ROUND(INDEX('Reward Model'!$B$12:$B$14,MATCH($K3837,'Reward Model'!$A$12:$A$14,0))*Z3837,2),0)</f>
        <v>0</v>
      </c>
      <c r="AB3837" s="2" t="n">
        <f aca="false">IF($I3837="Correct",ROUND(INDEX('Reward Model'!$B$12:$B$14,MATCH($Y3837,'Reward Model'!$A$12:$A$14,0))*Z3837,2),0)</f>
        <v>0</v>
      </c>
    </row>
    <row r="3838" customFormat="false" ht="15" hidden="false" customHeight="false" outlineLevel="0" collapsed="false">
      <c r="A3838" s="0" t="s">
        <v>514</v>
      </c>
      <c r="B3838" s="0" t="s">
        <v>515</v>
      </c>
      <c r="C3838" s="0" t="s">
        <v>322</v>
      </c>
      <c r="D3838" s="0" t="s">
        <v>275</v>
      </c>
      <c r="E3838" s="0" t="n">
        <v>17</v>
      </c>
      <c r="F3838" s="0" t="s">
        <v>74</v>
      </c>
      <c r="G3838" s="0" t="s">
        <v>105</v>
      </c>
      <c r="H3838" s="0" t="s">
        <v>75</v>
      </c>
      <c r="I3838" s="0" t="s">
        <v>39</v>
      </c>
      <c r="J3838" s="0" t="n">
        <v>1.34</v>
      </c>
      <c r="K3838" s="0" t="s">
        <v>73</v>
      </c>
      <c r="L3838" s="0" t="n">
        <f aca="false">INDEX(Summary!$F$2:$F$201,MATCH($B3838,Summary!$A$2:$A$201,0))</f>
        <v>20</v>
      </c>
      <c r="M3838" s="0" t="n">
        <f aca="false">INDEX(Summary!$I$2:$I$201,MATCH($B3838,Summary!$A$2:$A$201,0))</f>
        <v>1</v>
      </c>
      <c r="N3838" s="0" t="n">
        <f aca="false">INDEX(Summary!$J$2:$J$201,MATCH($B3838,Summary!$A$2:$A$201,0))</f>
        <v>4</v>
      </c>
      <c r="O3838" s="2" t="n">
        <f aca="false">INDEX(Summary!$K$2:$K$201,MATCH($B3838,Summary!$A$2:$A$201,0))</f>
        <v>7.94</v>
      </c>
      <c r="P3838" s="3" t="n">
        <f aca="false">INDEX(Summary!$L$2:$L$201,MATCH($B3838,Summary!$A$2:$A$201,0))</f>
        <v>4</v>
      </c>
      <c r="Q3838" s="3" t="n">
        <f aca="false">INDEX(Summary!$M$2:$M$201,MATCH($B3838,Summary!$A$2:$A$201,0))</f>
        <v>2</v>
      </c>
      <c r="R3838" s="2" t="n">
        <f aca="false">INDEX(Summary!$N$2:$N$201,MATCH($B3838,Summary!$A$2:$A$201,0))</f>
        <v>8.61</v>
      </c>
      <c r="S3838" s="3" t="n">
        <f aca="false">INDEX(Summary!$O$2:$O$201,MATCH($B3838,Summary!$A$2:$A$201,0))</f>
        <v>8</v>
      </c>
      <c r="T3838" s="3" t="n">
        <f aca="false">INDEX(Summary!$P$2:$P$201,MATCH($B3838,Summary!$A$2:$A$201,0))</f>
        <v>1</v>
      </c>
      <c r="U3838" s="2" t="n">
        <f aca="false">INDEX(Summary!$Q$2:$Q$201,MATCH($B3838,Summary!$A$2:$A$201,0))</f>
        <v>12.42</v>
      </c>
      <c r="V3838" s="2" t="n">
        <f aca="false">INDEX(Summary!$R$2:$R$201,MATCH($B3838,Summary!$A$2:$A$201,0))</f>
        <v>22.47</v>
      </c>
      <c r="W3838" s="0" t="str">
        <f aca="false">INDEX(Summary!$S$2:$S$201,MATCH($B3838,Summary!$A$2:$A$201,0))</f>
        <v>Silver</v>
      </c>
      <c r="X3838" s="2" t="n">
        <f aca="false">INDEX(Summary!$T$2:$T$201,MATCH($B3838,Summary!$A$2:$A$201,0))</f>
        <v>54.8</v>
      </c>
      <c r="Y3838" s="0" t="str">
        <f aca="false">INDEX('Reward Model'!$E$18:$E$37,MATCH($E3838,'Reward Model'!$A$18:$A$37,0))</f>
        <v>High</v>
      </c>
      <c r="Z3838" s="4" t="n">
        <f aca="false">ROUND(MIN(1,MAX('Reward Model'!$B$2,INDEX('Reward Model'!$C$12:$C$14,MATCH($K3838,'Reward Model'!$A$12:$A$14,0))/$J3838)),3)</f>
        <v>1</v>
      </c>
      <c r="AA3838" s="2" t="n">
        <f aca="false">IF($I3838="Correct",ROUND(INDEX('Reward Model'!$B$12:$B$14,MATCH($K3838,'Reward Model'!$A$12:$A$14,0))*Z3838,2),0)</f>
        <v>0</v>
      </c>
      <c r="AB3838" s="2" t="n">
        <f aca="false">IF($I3838="Correct",ROUND(INDEX('Reward Model'!$B$12:$B$14,MATCH($Y3838,'Reward Model'!$A$12:$A$14,0))*Z3838,2),0)</f>
        <v>0</v>
      </c>
    </row>
    <row r="3839" customFormat="false" ht="15" hidden="false" customHeight="false" outlineLevel="0" collapsed="false">
      <c r="A3839" s="0" t="s">
        <v>514</v>
      </c>
      <c r="B3839" s="0" t="s">
        <v>515</v>
      </c>
      <c r="C3839" s="0" t="s">
        <v>322</v>
      </c>
      <c r="D3839" s="0" t="s">
        <v>275</v>
      </c>
      <c r="E3839" s="0" t="n">
        <v>18</v>
      </c>
      <c r="F3839" s="0" t="s">
        <v>76</v>
      </c>
      <c r="G3839" s="0" t="s">
        <v>77</v>
      </c>
      <c r="H3839" s="0" t="s">
        <v>77</v>
      </c>
      <c r="I3839" s="0" t="s">
        <v>34</v>
      </c>
      <c r="J3839" s="0" t="n">
        <v>2.16</v>
      </c>
      <c r="K3839" s="0" t="s">
        <v>73</v>
      </c>
      <c r="L3839" s="0" t="n">
        <f aca="false">INDEX(Summary!$F$2:$F$201,MATCH($B3839,Summary!$A$2:$A$201,0))</f>
        <v>20</v>
      </c>
      <c r="M3839" s="0" t="n">
        <f aca="false">INDEX(Summary!$I$2:$I$201,MATCH($B3839,Summary!$A$2:$A$201,0))</f>
        <v>1</v>
      </c>
      <c r="N3839" s="0" t="n">
        <f aca="false">INDEX(Summary!$J$2:$J$201,MATCH($B3839,Summary!$A$2:$A$201,0))</f>
        <v>4</v>
      </c>
      <c r="O3839" s="2" t="n">
        <f aca="false">INDEX(Summary!$K$2:$K$201,MATCH($B3839,Summary!$A$2:$A$201,0))</f>
        <v>7.94</v>
      </c>
      <c r="P3839" s="3" t="n">
        <f aca="false">INDEX(Summary!$L$2:$L$201,MATCH($B3839,Summary!$A$2:$A$201,0))</f>
        <v>4</v>
      </c>
      <c r="Q3839" s="3" t="n">
        <f aca="false">INDEX(Summary!$M$2:$M$201,MATCH($B3839,Summary!$A$2:$A$201,0))</f>
        <v>2</v>
      </c>
      <c r="R3839" s="2" t="n">
        <f aca="false">INDEX(Summary!$N$2:$N$201,MATCH($B3839,Summary!$A$2:$A$201,0))</f>
        <v>8.61</v>
      </c>
      <c r="S3839" s="3" t="n">
        <f aca="false">INDEX(Summary!$O$2:$O$201,MATCH($B3839,Summary!$A$2:$A$201,0))</f>
        <v>8</v>
      </c>
      <c r="T3839" s="3" t="n">
        <f aca="false">INDEX(Summary!$P$2:$P$201,MATCH($B3839,Summary!$A$2:$A$201,0))</f>
        <v>1</v>
      </c>
      <c r="U3839" s="2" t="n">
        <f aca="false">INDEX(Summary!$Q$2:$Q$201,MATCH($B3839,Summary!$A$2:$A$201,0))</f>
        <v>12.42</v>
      </c>
      <c r="V3839" s="2" t="n">
        <f aca="false">INDEX(Summary!$R$2:$R$201,MATCH($B3839,Summary!$A$2:$A$201,0))</f>
        <v>22.47</v>
      </c>
      <c r="W3839" s="0" t="str">
        <f aca="false">INDEX(Summary!$S$2:$S$201,MATCH($B3839,Summary!$A$2:$A$201,0))</f>
        <v>Silver</v>
      </c>
      <c r="X3839" s="2" t="n">
        <f aca="false">INDEX(Summary!$T$2:$T$201,MATCH($B3839,Summary!$A$2:$A$201,0))</f>
        <v>54.8</v>
      </c>
      <c r="Y3839" s="0" t="str">
        <f aca="false">INDEX('Reward Model'!$E$18:$E$37,MATCH($E3839,'Reward Model'!$A$18:$A$37,0))</f>
        <v>High</v>
      </c>
      <c r="Z3839" s="4" t="n">
        <f aca="false">ROUND(MIN(1,MAX('Reward Model'!$B$2,INDEX('Reward Model'!$C$12:$C$14,MATCH($K3839,'Reward Model'!$A$12:$A$14,0))/$J3839)),3)</f>
        <v>0.926</v>
      </c>
      <c r="AA3839" s="2" t="n">
        <f aca="false">IF($I3839="Correct",ROUND(INDEX('Reward Model'!$B$12:$B$14,MATCH($K3839,'Reward Model'!$A$12:$A$14,0))*Z3839,2),0)</f>
        <v>2.78</v>
      </c>
      <c r="AB3839" s="2" t="n">
        <f aca="false">IF($I3839="Correct",ROUND(INDEX('Reward Model'!$B$12:$B$14,MATCH($Y3839,'Reward Model'!$A$12:$A$14,0))*Z3839,2),0)</f>
        <v>2.78</v>
      </c>
    </row>
    <row r="3840" customFormat="false" ht="15" hidden="false" customHeight="false" outlineLevel="0" collapsed="false">
      <c r="A3840" s="0" t="s">
        <v>514</v>
      </c>
      <c r="B3840" s="0" t="s">
        <v>515</v>
      </c>
      <c r="C3840" s="0" t="s">
        <v>322</v>
      </c>
      <c r="D3840" s="0" t="s">
        <v>275</v>
      </c>
      <c r="E3840" s="0" t="n">
        <v>19</v>
      </c>
      <c r="F3840" s="0" t="s">
        <v>78</v>
      </c>
      <c r="G3840" s="0" t="s">
        <v>51</v>
      </c>
      <c r="H3840" s="0" t="s">
        <v>80</v>
      </c>
      <c r="I3840" s="0" t="s">
        <v>39</v>
      </c>
      <c r="J3840" s="0" t="n">
        <v>1.37</v>
      </c>
      <c r="K3840" s="0" t="s">
        <v>73</v>
      </c>
      <c r="L3840" s="0" t="n">
        <f aca="false">INDEX(Summary!$F$2:$F$201,MATCH($B3840,Summary!$A$2:$A$201,0))</f>
        <v>20</v>
      </c>
      <c r="M3840" s="0" t="n">
        <f aca="false">INDEX(Summary!$I$2:$I$201,MATCH($B3840,Summary!$A$2:$A$201,0))</f>
        <v>1</v>
      </c>
      <c r="N3840" s="0" t="n">
        <f aca="false">INDEX(Summary!$J$2:$J$201,MATCH($B3840,Summary!$A$2:$A$201,0))</f>
        <v>4</v>
      </c>
      <c r="O3840" s="2" t="n">
        <f aca="false">INDEX(Summary!$K$2:$K$201,MATCH($B3840,Summary!$A$2:$A$201,0))</f>
        <v>7.94</v>
      </c>
      <c r="P3840" s="3" t="n">
        <f aca="false">INDEX(Summary!$L$2:$L$201,MATCH($B3840,Summary!$A$2:$A$201,0))</f>
        <v>4</v>
      </c>
      <c r="Q3840" s="3" t="n">
        <f aca="false">INDEX(Summary!$M$2:$M$201,MATCH($B3840,Summary!$A$2:$A$201,0))</f>
        <v>2</v>
      </c>
      <c r="R3840" s="2" t="n">
        <f aca="false">INDEX(Summary!$N$2:$N$201,MATCH($B3840,Summary!$A$2:$A$201,0))</f>
        <v>8.61</v>
      </c>
      <c r="S3840" s="3" t="n">
        <f aca="false">INDEX(Summary!$O$2:$O$201,MATCH($B3840,Summary!$A$2:$A$201,0))</f>
        <v>8</v>
      </c>
      <c r="T3840" s="3" t="n">
        <f aca="false">INDEX(Summary!$P$2:$P$201,MATCH($B3840,Summary!$A$2:$A$201,0))</f>
        <v>1</v>
      </c>
      <c r="U3840" s="2" t="n">
        <f aca="false">INDEX(Summary!$Q$2:$Q$201,MATCH($B3840,Summary!$A$2:$A$201,0))</f>
        <v>12.42</v>
      </c>
      <c r="V3840" s="2" t="n">
        <f aca="false">INDEX(Summary!$R$2:$R$201,MATCH($B3840,Summary!$A$2:$A$201,0))</f>
        <v>22.47</v>
      </c>
      <c r="W3840" s="0" t="str">
        <f aca="false">INDEX(Summary!$S$2:$S$201,MATCH($B3840,Summary!$A$2:$A$201,0))</f>
        <v>Silver</v>
      </c>
      <c r="X3840" s="2" t="n">
        <f aca="false">INDEX(Summary!$T$2:$T$201,MATCH($B3840,Summary!$A$2:$A$201,0))</f>
        <v>54.8</v>
      </c>
      <c r="Y3840" s="0" t="str">
        <f aca="false">INDEX('Reward Model'!$E$18:$E$37,MATCH($E3840,'Reward Model'!$A$18:$A$37,0))</f>
        <v>High</v>
      </c>
      <c r="Z3840" s="4" t="n">
        <f aca="false">ROUND(MIN(1,MAX('Reward Model'!$B$2,INDEX('Reward Model'!$C$12:$C$14,MATCH($K3840,'Reward Model'!$A$12:$A$14,0))/$J3840)),3)</f>
        <v>1</v>
      </c>
      <c r="AA3840" s="2" t="n">
        <f aca="false">IF($I3840="Correct",ROUND(INDEX('Reward Model'!$B$12:$B$14,MATCH($K3840,'Reward Model'!$A$12:$A$14,0))*Z3840,2),0)</f>
        <v>0</v>
      </c>
      <c r="AB3840" s="2" t="n">
        <f aca="false">IF($I3840="Correct",ROUND(INDEX('Reward Model'!$B$12:$B$14,MATCH($Y3840,'Reward Model'!$A$12:$A$14,0))*Z3840,2),0)</f>
        <v>0</v>
      </c>
    </row>
    <row r="3841" customFormat="false" ht="15" hidden="false" customHeight="false" outlineLevel="0" collapsed="false">
      <c r="A3841" s="0" t="s">
        <v>514</v>
      </c>
      <c r="B3841" s="0" t="s">
        <v>515</v>
      </c>
      <c r="C3841" s="0" t="s">
        <v>322</v>
      </c>
      <c r="D3841" s="0" t="s">
        <v>275</v>
      </c>
      <c r="E3841" s="0" t="n">
        <v>20</v>
      </c>
      <c r="F3841" s="0" t="s">
        <v>81</v>
      </c>
      <c r="G3841" s="0" t="s">
        <v>82</v>
      </c>
      <c r="H3841" s="0" t="s">
        <v>83</v>
      </c>
      <c r="I3841" s="0" t="s">
        <v>39</v>
      </c>
      <c r="J3841" s="0" t="n">
        <v>1.24</v>
      </c>
      <c r="K3841" s="0" t="s">
        <v>73</v>
      </c>
      <c r="L3841" s="0" t="n">
        <f aca="false">INDEX(Summary!$F$2:$F$201,MATCH($B3841,Summary!$A$2:$A$201,0))</f>
        <v>20</v>
      </c>
      <c r="M3841" s="0" t="n">
        <f aca="false">INDEX(Summary!$I$2:$I$201,MATCH($B3841,Summary!$A$2:$A$201,0))</f>
        <v>1</v>
      </c>
      <c r="N3841" s="0" t="n">
        <f aca="false">INDEX(Summary!$J$2:$J$201,MATCH($B3841,Summary!$A$2:$A$201,0))</f>
        <v>4</v>
      </c>
      <c r="O3841" s="2" t="n">
        <f aca="false">INDEX(Summary!$K$2:$K$201,MATCH($B3841,Summary!$A$2:$A$201,0))</f>
        <v>7.94</v>
      </c>
      <c r="P3841" s="3" t="n">
        <f aca="false">INDEX(Summary!$L$2:$L$201,MATCH($B3841,Summary!$A$2:$A$201,0))</f>
        <v>4</v>
      </c>
      <c r="Q3841" s="3" t="n">
        <f aca="false">INDEX(Summary!$M$2:$M$201,MATCH($B3841,Summary!$A$2:$A$201,0))</f>
        <v>2</v>
      </c>
      <c r="R3841" s="2" t="n">
        <f aca="false">INDEX(Summary!$N$2:$N$201,MATCH($B3841,Summary!$A$2:$A$201,0))</f>
        <v>8.61</v>
      </c>
      <c r="S3841" s="3" t="n">
        <f aca="false">INDEX(Summary!$O$2:$O$201,MATCH($B3841,Summary!$A$2:$A$201,0))</f>
        <v>8</v>
      </c>
      <c r="T3841" s="3" t="n">
        <f aca="false">INDEX(Summary!$P$2:$P$201,MATCH($B3841,Summary!$A$2:$A$201,0))</f>
        <v>1</v>
      </c>
      <c r="U3841" s="2" t="n">
        <f aca="false">INDEX(Summary!$Q$2:$Q$201,MATCH($B3841,Summary!$A$2:$A$201,0))</f>
        <v>12.42</v>
      </c>
      <c r="V3841" s="2" t="n">
        <f aca="false">INDEX(Summary!$R$2:$R$201,MATCH($B3841,Summary!$A$2:$A$201,0))</f>
        <v>22.47</v>
      </c>
      <c r="W3841" s="0" t="str">
        <f aca="false">INDEX(Summary!$S$2:$S$201,MATCH($B3841,Summary!$A$2:$A$201,0))</f>
        <v>Silver</v>
      </c>
      <c r="X3841" s="2" t="n">
        <f aca="false">INDEX(Summary!$T$2:$T$201,MATCH($B3841,Summary!$A$2:$A$201,0))</f>
        <v>54.8</v>
      </c>
      <c r="Y3841" s="0" t="str">
        <f aca="false">INDEX('Reward Model'!$E$18:$E$37,MATCH($E3841,'Reward Model'!$A$18:$A$37,0))</f>
        <v>High</v>
      </c>
      <c r="Z3841" s="4" t="n">
        <f aca="false">ROUND(MIN(1,MAX('Reward Model'!$B$2,INDEX('Reward Model'!$C$12:$C$14,MATCH($K3841,'Reward Model'!$A$12:$A$14,0))/$J3841)),3)</f>
        <v>1</v>
      </c>
      <c r="AA3841" s="2" t="n">
        <f aca="false">IF($I3841="Correct",ROUND(INDEX('Reward Model'!$B$12:$B$14,MATCH($K3841,'Reward Model'!$A$12:$A$14,0))*Z3841,2),0)</f>
        <v>0</v>
      </c>
      <c r="AB3841" s="2" t="n">
        <f aca="false">IF($I3841="Correct",ROUND(INDEX('Reward Model'!$B$12:$B$14,MATCH($Y3841,'Reward Model'!$A$12:$A$14,0))*Z3841,2),0)</f>
        <v>0</v>
      </c>
    </row>
    <row r="3842" customFormat="false" ht="15" hidden="false" customHeight="false" outlineLevel="0" collapsed="false">
      <c r="A3842" s="0" t="s">
        <v>516</v>
      </c>
      <c r="B3842" s="0" t="s">
        <v>517</v>
      </c>
      <c r="C3842" s="0" t="s">
        <v>322</v>
      </c>
      <c r="D3842" s="0" t="s">
        <v>275</v>
      </c>
      <c r="E3842" s="0" t="n">
        <v>1</v>
      </c>
      <c r="F3842" s="0" t="s">
        <v>32</v>
      </c>
      <c r="G3842" s="0" t="s">
        <v>33</v>
      </c>
      <c r="H3842" s="0" t="s">
        <v>33</v>
      </c>
      <c r="I3842" s="0" t="s">
        <v>34</v>
      </c>
      <c r="J3842" s="0" t="n">
        <v>1.49</v>
      </c>
      <c r="K3842" s="0" t="s">
        <v>35</v>
      </c>
      <c r="L3842" s="0" t="n">
        <f aca="false">INDEX(Summary!$F$2:$F$201,MATCH($B3842,Summary!$A$2:$A$201,0))</f>
        <v>20</v>
      </c>
      <c r="M3842" s="0" t="n">
        <f aca="false">INDEX(Summary!$I$2:$I$201,MATCH($B3842,Summary!$A$2:$A$201,0))</f>
        <v>2</v>
      </c>
      <c r="N3842" s="0" t="n">
        <f aca="false">INDEX(Summary!$J$2:$J$201,MATCH($B3842,Summary!$A$2:$A$201,0))</f>
        <v>3</v>
      </c>
      <c r="O3842" s="2" t="n">
        <f aca="false">INDEX(Summary!$K$2:$K$201,MATCH($B3842,Summary!$A$2:$A$201,0))</f>
        <v>9.37</v>
      </c>
      <c r="P3842" s="3" t="n">
        <f aca="false">INDEX(Summary!$L$2:$L$201,MATCH($B3842,Summary!$A$2:$A$201,0))</f>
        <v>5</v>
      </c>
      <c r="Q3842" s="3" t="n">
        <f aca="false">INDEX(Summary!$M$2:$M$201,MATCH($B3842,Summary!$A$2:$A$201,0))</f>
        <v>1</v>
      </c>
      <c r="R3842" s="2" t="n">
        <f aca="false">INDEX(Summary!$N$2:$N$201,MATCH($B3842,Summary!$A$2:$A$201,0))</f>
        <v>10.9</v>
      </c>
      <c r="S3842" s="3" t="n">
        <f aca="false">INDEX(Summary!$O$2:$O$201,MATCH($B3842,Summary!$A$2:$A$201,0))</f>
        <v>8</v>
      </c>
      <c r="T3842" s="3" t="n">
        <f aca="false">INDEX(Summary!$P$2:$P$201,MATCH($B3842,Summary!$A$2:$A$201,0))</f>
        <v>1</v>
      </c>
      <c r="U3842" s="2" t="n">
        <f aca="false">INDEX(Summary!$Q$2:$Q$201,MATCH($B3842,Summary!$A$2:$A$201,0))</f>
        <v>13.8</v>
      </c>
      <c r="V3842" s="2" t="n">
        <f aca="false">INDEX(Summary!$R$2:$R$201,MATCH($B3842,Summary!$A$2:$A$201,0))</f>
        <v>26.14</v>
      </c>
      <c r="W3842" s="0" t="str">
        <f aca="false">INDEX(Summary!$S$2:$S$201,MATCH($B3842,Summary!$A$2:$A$201,0))</f>
        <v>Silver</v>
      </c>
      <c r="X3842" s="2" t="n">
        <f aca="false">INDEX(Summary!$T$2:$T$201,MATCH($B3842,Summary!$A$2:$A$201,0))</f>
        <v>63.76</v>
      </c>
      <c r="Y3842" s="0" t="str">
        <f aca="false">INDEX('Reward Model'!$E$18:$E$37,MATCH($E3842,'Reward Model'!$A$18:$A$37,0))</f>
        <v>Medium</v>
      </c>
      <c r="Z3842" s="4" t="n">
        <f aca="false">ROUND(MIN(1,MAX('Reward Model'!$B$2,INDEX('Reward Model'!$C$12:$C$14,MATCH($K3842,'Reward Model'!$A$12:$A$14,0))/$J3842)),3)</f>
        <v>1</v>
      </c>
      <c r="AA3842" s="2" t="n">
        <f aca="false">IF($I3842="Correct",ROUND(INDEX('Reward Model'!$B$12:$B$14,MATCH($K3842,'Reward Model'!$A$12:$A$14,0))*Z3842,2),0)</f>
        <v>1</v>
      </c>
      <c r="AB3842" s="2" t="n">
        <f aca="false">IF($I3842="Correct",ROUND(INDEX('Reward Model'!$B$12:$B$14,MATCH($Y3842,'Reward Model'!$A$12:$A$14,0))*Z3842,2),0)</f>
        <v>2</v>
      </c>
    </row>
    <row r="3843" customFormat="false" ht="15" hidden="false" customHeight="false" outlineLevel="0" collapsed="false">
      <c r="A3843" s="0" t="s">
        <v>516</v>
      </c>
      <c r="B3843" s="0" t="s">
        <v>517</v>
      </c>
      <c r="C3843" s="0" t="s">
        <v>322</v>
      </c>
      <c r="D3843" s="0" t="s">
        <v>275</v>
      </c>
      <c r="E3843" s="0" t="n">
        <v>2</v>
      </c>
      <c r="F3843" s="0" t="s">
        <v>36</v>
      </c>
      <c r="G3843" s="0" t="s">
        <v>38</v>
      </c>
      <c r="H3843" s="0" t="s">
        <v>38</v>
      </c>
      <c r="I3843" s="0" t="s">
        <v>34</v>
      </c>
      <c r="J3843" s="0" t="n">
        <v>1.26</v>
      </c>
      <c r="K3843" s="0" t="s">
        <v>35</v>
      </c>
      <c r="L3843" s="0" t="n">
        <f aca="false">INDEX(Summary!$F$2:$F$201,MATCH($B3843,Summary!$A$2:$A$201,0))</f>
        <v>20</v>
      </c>
      <c r="M3843" s="0" t="n">
        <f aca="false">INDEX(Summary!$I$2:$I$201,MATCH($B3843,Summary!$A$2:$A$201,0))</f>
        <v>2</v>
      </c>
      <c r="N3843" s="0" t="n">
        <f aca="false">INDEX(Summary!$J$2:$J$201,MATCH($B3843,Summary!$A$2:$A$201,0))</f>
        <v>3</v>
      </c>
      <c r="O3843" s="2" t="n">
        <f aca="false">INDEX(Summary!$K$2:$K$201,MATCH($B3843,Summary!$A$2:$A$201,0))</f>
        <v>9.37</v>
      </c>
      <c r="P3843" s="3" t="n">
        <f aca="false">INDEX(Summary!$L$2:$L$201,MATCH($B3843,Summary!$A$2:$A$201,0))</f>
        <v>5</v>
      </c>
      <c r="Q3843" s="3" t="n">
        <f aca="false">INDEX(Summary!$M$2:$M$201,MATCH($B3843,Summary!$A$2:$A$201,0))</f>
        <v>1</v>
      </c>
      <c r="R3843" s="2" t="n">
        <f aca="false">INDEX(Summary!$N$2:$N$201,MATCH($B3843,Summary!$A$2:$A$201,0))</f>
        <v>10.9</v>
      </c>
      <c r="S3843" s="3" t="n">
        <f aca="false">INDEX(Summary!$O$2:$O$201,MATCH($B3843,Summary!$A$2:$A$201,0))</f>
        <v>8</v>
      </c>
      <c r="T3843" s="3" t="n">
        <f aca="false">INDEX(Summary!$P$2:$P$201,MATCH($B3843,Summary!$A$2:$A$201,0))</f>
        <v>1</v>
      </c>
      <c r="U3843" s="2" t="n">
        <f aca="false">INDEX(Summary!$Q$2:$Q$201,MATCH($B3843,Summary!$A$2:$A$201,0))</f>
        <v>13.8</v>
      </c>
      <c r="V3843" s="2" t="n">
        <f aca="false">INDEX(Summary!$R$2:$R$201,MATCH($B3843,Summary!$A$2:$A$201,0))</f>
        <v>26.14</v>
      </c>
      <c r="W3843" s="0" t="str">
        <f aca="false">INDEX(Summary!$S$2:$S$201,MATCH($B3843,Summary!$A$2:$A$201,0))</f>
        <v>Silver</v>
      </c>
      <c r="X3843" s="2" t="n">
        <f aca="false">INDEX(Summary!$T$2:$T$201,MATCH($B3843,Summary!$A$2:$A$201,0))</f>
        <v>63.76</v>
      </c>
      <c r="Y3843" s="0" t="str">
        <f aca="false">INDEX('Reward Model'!$E$18:$E$37,MATCH($E3843,'Reward Model'!$A$18:$A$37,0))</f>
        <v>Low</v>
      </c>
      <c r="Z3843" s="4" t="n">
        <f aca="false">ROUND(MIN(1,MAX('Reward Model'!$B$2,INDEX('Reward Model'!$C$12:$C$14,MATCH($K3843,'Reward Model'!$A$12:$A$14,0))/$J3843)),3)</f>
        <v>1</v>
      </c>
      <c r="AA3843" s="2" t="n">
        <f aca="false">IF($I3843="Correct",ROUND(INDEX('Reward Model'!$B$12:$B$14,MATCH($K3843,'Reward Model'!$A$12:$A$14,0))*Z3843,2),0)</f>
        <v>1</v>
      </c>
      <c r="AB3843" s="2" t="n">
        <f aca="false">IF($I3843="Correct",ROUND(INDEX('Reward Model'!$B$12:$B$14,MATCH($Y3843,'Reward Model'!$A$12:$A$14,0))*Z3843,2),0)</f>
        <v>1</v>
      </c>
    </row>
    <row r="3844" customFormat="false" ht="15" hidden="false" customHeight="false" outlineLevel="0" collapsed="false">
      <c r="A3844" s="0" t="s">
        <v>516</v>
      </c>
      <c r="B3844" s="0" t="s">
        <v>517</v>
      </c>
      <c r="C3844" s="0" t="s">
        <v>322</v>
      </c>
      <c r="D3844" s="0" t="s">
        <v>275</v>
      </c>
      <c r="E3844" s="0" t="n">
        <v>3</v>
      </c>
      <c r="F3844" s="0" t="s">
        <v>40</v>
      </c>
      <c r="G3844" s="0" t="s">
        <v>42</v>
      </c>
      <c r="H3844" s="0" t="s">
        <v>42</v>
      </c>
      <c r="I3844" s="0" t="s">
        <v>34</v>
      </c>
      <c r="J3844" s="0" t="n">
        <v>1.89</v>
      </c>
      <c r="K3844" s="0" t="s">
        <v>35</v>
      </c>
      <c r="L3844" s="0" t="n">
        <f aca="false">INDEX(Summary!$F$2:$F$201,MATCH($B3844,Summary!$A$2:$A$201,0))</f>
        <v>20</v>
      </c>
      <c r="M3844" s="0" t="n">
        <f aca="false">INDEX(Summary!$I$2:$I$201,MATCH($B3844,Summary!$A$2:$A$201,0))</f>
        <v>2</v>
      </c>
      <c r="N3844" s="0" t="n">
        <f aca="false">INDEX(Summary!$J$2:$J$201,MATCH($B3844,Summary!$A$2:$A$201,0))</f>
        <v>3</v>
      </c>
      <c r="O3844" s="2" t="n">
        <f aca="false">INDEX(Summary!$K$2:$K$201,MATCH($B3844,Summary!$A$2:$A$201,0))</f>
        <v>9.37</v>
      </c>
      <c r="P3844" s="3" t="n">
        <f aca="false">INDEX(Summary!$L$2:$L$201,MATCH($B3844,Summary!$A$2:$A$201,0))</f>
        <v>5</v>
      </c>
      <c r="Q3844" s="3" t="n">
        <f aca="false">INDEX(Summary!$M$2:$M$201,MATCH($B3844,Summary!$A$2:$A$201,0))</f>
        <v>1</v>
      </c>
      <c r="R3844" s="2" t="n">
        <f aca="false">INDEX(Summary!$N$2:$N$201,MATCH($B3844,Summary!$A$2:$A$201,0))</f>
        <v>10.9</v>
      </c>
      <c r="S3844" s="3" t="n">
        <f aca="false">INDEX(Summary!$O$2:$O$201,MATCH($B3844,Summary!$A$2:$A$201,0))</f>
        <v>8</v>
      </c>
      <c r="T3844" s="3" t="n">
        <f aca="false">INDEX(Summary!$P$2:$P$201,MATCH($B3844,Summary!$A$2:$A$201,0))</f>
        <v>1</v>
      </c>
      <c r="U3844" s="2" t="n">
        <f aca="false">INDEX(Summary!$Q$2:$Q$201,MATCH($B3844,Summary!$A$2:$A$201,0))</f>
        <v>13.8</v>
      </c>
      <c r="V3844" s="2" t="n">
        <f aca="false">INDEX(Summary!$R$2:$R$201,MATCH($B3844,Summary!$A$2:$A$201,0))</f>
        <v>26.14</v>
      </c>
      <c r="W3844" s="0" t="str">
        <f aca="false">INDEX(Summary!$S$2:$S$201,MATCH($B3844,Summary!$A$2:$A$201,0))</f>
        <v>Silver</v>
      </c>
      <c r="X3844" s="2" t="n">
        <f aca="false">INDEX(Summary!$T$2:$T$201,MATCH($B3844,Summary!$A$2:$A$201,0))</f>
        <v>63.76</v>
      </c>
      <c r="Y3844" s="0" t="str">
        <f aca="false">INDEX('Reward Model'!$E$18:$E$37,MATCH($E3844,'Reward Model'!$A$18:$A$37,0))</f>
        <v>Medium</v>
      </c>
      <c r="Z3844" s="4" t="n">
        <f aca="false">ROUND(MIN(1,MAX('Reward Model'!$B$2,INDEX('Reward Model'!$C$12:$C$14,MATCH($K3844,'Reward Model'!$A$12:$A$14,0))/$J3844)),3)</f>
        <v>0.794</v>
      </c>
      <c r="AA3844" s="2" t="n">
        <f aca="false">IF($I3844="Correct",ROUND(INDEX('Reward Model'!$B$12:$B$14,MATCH($K3844,'Reward Model'!$A$12:$A$14,0))*Z3844,2),0)</f>
        <v>0.79</v>
      </c>
      <c r="AB3844" s="2" t="n">
        <f aca="false">IF($I3844="Correct",ROUND(INDEX('Reward Model'!$B$12:$B$14,MATCH($Y3844,'Reward Model'!$A$12:$A$14,0))*Z3844,2),0)</f>
        <v>1.59</v>
      </c>
    </row>
    <row r="3845" customFormat="false" ht="15" hidden="false" customHeight="false" outlineLevel="0" collapsed="false">
      <c r="A3845" s="0" t="s">
        <v>516</v>
      </c>
      <c r="B3845" s="0" t="s">
        <v>517</v>
      </c>
      <c r="C3845" s="0" t="s">
        <v>322</v>
      </c>
      <c r="D3845" s="0" t="s">
        <v>275</v>
      </c>
      <c r="E3845" s="0" t="n">
        <v>4</v>
      </c>
      <c r="F3845" s="0" t="s">
        <v>43</v>
      </c>
      <c r="G3845" s="0" t="s">
        <v>45</v>
      </c>
      <c r="H3845" s="0" t="s">
        <v>45</v>
      </c>
      <c r="I3845" s="0" t="s">
        <v>34</v>
      </c>
      <c r="J3845" s="0" t="n">
        <v>1.09</v>
      </c>
      <c r="K3845" s="0" t="s">
        <v>35</v>
      </c>
      <c r="L3845" s="0" t="n">
        <f aca="false">INDEX(Summary!$F$2:$F$201,MATCH($B3845,Summary!$A$2:$A$201,0))</f>
        <v>20</v>
      </c>
      <c r="M3845" s="0" t="n">
        <f aca="false">INDEX(Summary!$I$2:$I$201,MATCH($B3845,Summary!$A$2:$A$201,0))</f>
        <v>2</v>
      </c>
      <c r="N3845" s="0" t="n">
        <f aca="false">INDEX(Summary!$J$2:$J$201,MATCH($B3845,Summary!$A$2:$A$201,0))</f>
        <v>3</v>
      </c>
      <c r="O3845" s="2" t="n">
        <f aca="false">INDEX(Summary!$K$2:$K$201,MATCH($B3845,Summary!$A$2:$A$201,0))</f>
        <v>9.37</v>
      </c>
      <c r="P3845" s="3" t="n">
        <f aca="false">INDEX(Summary!$L$2:$L$201,MATCH($B3845,Summary!$A$2:$A$201,0))</f>
        <v>5</v>
      </c>
      <c r="Q3845" s="3" t="n">
        <f aca="false">INDEX(Summary!$M$2:$M$201,MATCH($B3845,Summary!$A$2:$A$201,0))</f>
        <v>1</v>
      </c>
      <c r="R3845" s="2" t="n">
        <f aca="false">INDEX(Summary!$N$2:$N$201,MATCH($B3845,Summary!$A$2:$A$201,0))</f>
        <v>10.9</v>
      </c>
      <c r="S3845" s="3" t="n">
        <f aca="false">INDEX(Summary!$O$2:$O$201,MATCH($B3845,Summary!$A$2:$A$201,0))</f>
        <v>8</v>
      </c>
      <c r="T3845" s="3" t="n">
        <f aca="false">INDEX(Summary!$P$2:$P$201,MATCH($B3845,Summary!$A$2:$A$201,0))</f>
        <v>1</v>
      </c>
      <c r="U3845" s="2" t="n">
        <f aca="false">INDEX(Summary!$Q$2:$Q$201,MATCH($B3845,Summary!$A$2:$A$201,0))</f>
        <v>13.8</v>
      </c>
      <c r="V3845" s="2" t="n">
        <f aca="false">INDEX(Summary!$R$2:$R$201,MATCH($B3845,Summary!$A$2:$A$201,0))</f>
        <v>26.14</v>
      </c>
      <c r="W3845" s="0" t="str">
        <f aca="false">INDEX(Summary!$S$2:$S$201,MATCH($B3845,Summary!$A$2:$A$201,0))</f>
        <v>Silver</v>
      </c>
      <c r="X3845" s="2" t="n">
        <f aca="false">INDEX(Summary!$T$2:$T$201,MATCH($B3845,Summary!$A$2:$A$201,0))</f>
        <v>63.76</v>
      </c>
      <c r="Y3845" s="0" t="str">
        <f aca="false">INDEX('Reward Model'!$E$18:$E$37,MATCH($E3845,'Reward Model'!$A$18:$A$37,0))</f>
        <v>Low</v>
      </c>
      <c r="Z3845" s="4" t="n">
        <f aca="false">ROUND(MIN(1,MAX('Reward Model'!$B$2,INDEX('Reward Model'!$C$12:$C$14,MATCH($K3845,'Reward Model'!$A$12:$A$14,0))/$J3845)),3)</f>
        <v>1</v>
      </c>
      <c r="AA3845" s="2" t="n">
        <f aca="false">IF($I3845="Correct",ROUND(INDEX('Reward Model'!$B$12:$B$14,MATCH($K3845,'Reward Model'!$A$12:$A$14,0))*Z3845,2),0)</f>
        <v>1</v>
      </c>
      <c r="AB3845" s="2" t="n">
        <f aca="false">IF($I3845="Correct",ROUND(INDEX('Reward Model'!$B$12:$B$14,MATCH($Y3845,'Reward Model'!$A$12:$A$14,0))*Z3845,2),0)</f>
        <v>1</v>
      </c>
    </row>
    <row r="3846" customFormat="false" ht="15" hidden="false" customHeight="false" outlineLevel="0" collapsed="false">
      <c r="A3846" s="0" t="s">
        <v>516</v>
      </c>
      <c r="B3846" s="0" t="s">
        <v>517</v>
      </c>
      <c r="C3846" s="0" t="s">
        <v>322</v>
      </c>
      <c r="D3846" s="0" t="s">
        <v>275</v>
      </c>
      <c r="E3846" s="0" t="n">
        <v>5</v>
      </c>
      <c r="F3846" s="0" t="s">
        <v>46</v>
      </c>
      <c r="G3846" s="0" t="s">
        <v>47</v>
      </c>
      <c r="H3846" s="0" t="s">
        <v>47</v>
      </c>
      <c r="I3846" s="0" t="s">
        <v>34</v>
      </c>
      <c r="J3846" s="0" t="n">
        <v>1.73</v>
      </c>
      <c r="K3846" s="0" t="s">
        <v>35</v>
      </c>
      <c r="L3846" s="0" t="n">
        <f aca="false">INDEX(Summary!$F$2:$F$201,MATCH($B3846,Summary!$A$2:$A$201,0))</f>
        <v>20</v>
      </c>
      <c r="M3846" s="0" t="n">
        <f aca="false">INDEX(Summary!$I$2:$I$201,MATCH($B3846,Summary!$A$2:$A$201,0))</f>
        <v>2</v>
      </c>
      <c r="N3846" s="0" t="n">
        <f aca="false">INDEX(Summary!$J$2:$J$201,MATCH($B3846,Summary!$A$2:$A$201,0))</f>
        <v>3</v>
      </c>
      <c r="O3846" s="2" t="n">
        <f aca="false">INDEX(Summary!$K$2:$K$201,MATCH($B3846,Summary!$A$2:$A$201,0))</f>
        <v>9.37</v>
      </c>
      <c r="P3846" s="3" t="n">
        <f aca="false">INDEX(Summary!$L$2:$L$201,MATCH($B3846,Summary!$A$2:$A$201,0))</f>
        <v>5</v>
      </c>
      <c r="Q3846" s="3" t="n">
        <f aca="false">INDEX(Summary!$M$2:$M$201,MATCH($B3846,Summary!$A$2:$A$201,0))</f>
        <v>1</v>
      </c>
      <c r="R3846" s="2" t="n">
        <f aca="false">INDEX(Summary!$N$2:$N$201,MATCH($B3846,Summary!$A$2:$A$201,0))</f>
        <v>10.9</v>
      </c>
      <c r="S3846" s="3" t="n">
        <f aca="false">INDEX(Summary!$O$2:$O$201,MATCH($B3846,Summary!$A$2:$A$201,0))</f>
        <v>8</v>
      </c>
      <c r="T3846" s="3" t="n">
        <f aca="false">INDEX(Summary!$P$2:$P$201,MATCH($B3846,Summary!$A$2:$A$201,0))</f>
        <v>1</v>
      </c>
      <c r="U3846" s="2" t="n">
        <f aca="false">INDEX(Summary!$Q$2:$Q$201,MATCH($B3846,Summary!$A$2:$A$201,0))</f>
        <v>13.8</v>
      </c>
      <c r="V3846" s="2" t="n">
        <f aca="false">INDEX(Summary!$R$2:$R$201,MATCH($B3846,Summary!$A$2:$A$201,0))</f>
        <v>26.14</v>
      </c>
      <c r="W3846" s="0" t="str">
        <f aca="false">INDEX(Summary!$S$2:$S$201,MATCH($B3846,Summary!$A$2:$A$201,0))</f>
        <v>Silver</v>
      </c>
      <c r="X3846" s="2" t="n">
        <f aca="false">INDEX(Summary!$T$2:$T$201,MATCH($B3846,Summary!$A$2:$A$201,0))</f>
        <v>63.76</v>
      </c>
      <c r="Y3846" s="0" t="str">
        <f aca="false">INDEX('Reward Model'!$E$18:$E$37,MATCH($E3846,'Reward Model'!$A$18:$A$37,0))</f>
        <v>Low</v>
      </c>
      <c r="Z3846" s="4" t="n">
        <f aca="false">ROUND(MIN(1,MAX('Reward Model'!$B$2,INDEX('Reward Model'!$C$12:$C$14,MATCH($K3846,'Reward Model'!$A$12:$A$14,0))/$J3846)),3)</f>
        <v>0.867</v>
      </c>
      <c r="AA3846" s="2" t="n">
        <f aca="false">IF($I3846="Correct",ROUND(INDEX('Reward Model'!$B$12:$B$14,MATCH($K3846,'Reward Model'!$A$12:$A$14,0))*Z3846,2),0)</f>
        <v>0.87</v>
      </c>
      <c r="AB3846" s="2" t="n">
        <f aca="false">IF($I3846="Correct",ROUND(INDEX('Reward Model'!$B$12:$B$14,MATCH($Y3846,'Reward Model'!$A$12:$A$14,0))*Z3846,2),0)</f>
        <v>0.87</v>
      </c>
    </row>
    <row r="3847" customFormat="false" ht="15" hidden="false" customHeight="false" outlineLevel="0" collapsed="false">
      <c r="A3847" s="0" t="s">
        <v>516</v>
      </c>
      <c r="B3847" s="0" t="s">
        <v>517</v>
      </c>
      <c r="C3847" s="0" t="s">
        <v>322</v>
      </c>
      <c r="D3847" s="0" t="s">
        <v>275</v>
      </c>
      <c r="E3847" s="0" t="n">
        <v>6</v>
      </c>
      <c r="F3847" s="0" t="s">
        <v>48</v>
      </c>
      <c r="G3847" s="0" t="s">
        <v>49</v>
      </c>
      <c r="H3847" s="0" t="s">
        <v>49</v>
      </c>
      <c r="I3847" s="0" t="s">
        <v>34</v>
      </c>
      <c r="J3847" s="0" t="n">
        <v>1.12</v>
      </c>
      <c r="K3847" s="0" t="s">
        <v>35</v>
      </c>
      <c r="L3847" s="0" t="n">
        <f aca="false">INDEX(Summary!$F$2:$F$201,MATCH($B3847,Summary!$A$2:$A$201,0))</f>
        <v>20</v>
      </c>
      <c r="M3847" s="0" t="n">
        <f aca="false">INDEX(Summary!$I$2:$I$201,MATCH($B3847,Summary!$A$2:$A$201,0))</f>
        <v>2</v>
      </c>
      <c r="N3847" s="0" t="n">
        <f aca="false">INDEX(Summary!$J$2:$J$201,MATCH($B3847,Summary!$A$2:$A$201,0))</f>
        <v>3</v>
      </c>
      <c r="O3847" s="2" t="n">
        <f aca="false">INDEX(Summary!$K$2:$K$201,MATCH($B3847,Summary!$A$2:$A$201,0))</f>
        <v>9.37</v>
      </c>
      <c r="P3847" s="3" t="n">
        <f aca="false">INDEX(Summary!$L$2:$L$201,MATCH($B3847,Summary!$A$2:$A$201,0))</f>
        <v>5</v>
      </c>
      <c r="Q3847" s="3" t="n">
        <f aca="false">INDEX(Summary!$M$2:$M$201,MATCH($B3847,Summary!$A$2:$A$201,0))</f>
        <v>1</v>
      </c>
      <c r="R3847" s="2" t="n">
        <f aca="false">INDEX(Summary!$N$2:$N$201,MATCH($B3847,Summary!$A$2:$A$201,0))</f>
        <v>10.9</v>
      </c>
      <c r="S3847" s="3" t="n">
        <f aca="false">INDEX(Summary!$O$2:$O$201,MATCH($B3847,Summary!$A$2:$A$201,0))</f>
        <v>8</v>
      </c>
      <c r="T3847" s="3" t="n">
        <f aca="false">INDEX(Summary!$P$2:$P$201,MATCH($B3847,Summary!$A$2:$A$201,0))</f>
        <v>1</v>
      </c>
      <c r="U3847" s="2" t="n">
        <f aca="false">INDEX(Summary!$Q$2:$Q$201,MATCH($B3847,Summary!$A$2:$A$201,0))</f>
        <v>13.8</v>
      </c>
      <c r="V3847" s="2" t="n">
        <f aca="false">INDEX(Summary!$R$2:$R$201,MATCH($B3847,Summary!$A$2:$A$201,0))</f>
        <v>26.14</v>
      </c>
      <c r="W3847" s="0" t="str">
        <f aca="false">INDEX(Summary!$S$2:$S$201,MATCH($B3847,Summary!$A$2:$A$201,0))</f>
        <v>Silver</v>
      </c>
      <c r="X3847" s="2" t="n">
        <f aca="false">INDEX(Summary!$T$2:$T$201,MATCH($B3847,Summary!$A$2:$A$201,0))</f>
        <v>63.76</v>
      </c>
      <c r="Y3847" s="0" t="str">
        <f aca="false">INDEX('Reward Model'!$E$18:$E$37,MATCH($E3847,'Reward Model'!$A$18:$A$37,0))</f>
        <v>Medium</v>
      </c>
      <c r="Z3847" s="4" t="n">
        <f aca="false">ROUND(MIN(1,MAX('Reward Model'!$B$2,INDEX('Reward Model'!$C$12:$C$14,MATCH($K3847,'Reward Model'!$A$12:$A$14,0))/$J3847)),3)</f>
        <v>1</v>
      </c>
      <c r="AA3847" s="2" t="n">
        <f aca="false">IF($I3847="Correct",ROUND(INDEX('Reward Model'!$B$12:$B$14,MATCH($K3847,'Reward Model'!$A$12:$A$14,0))*Z3847,2),0)</f>
        <v>1</v>
      </c>
      <c r="AB3847" s="2" t="n">
        <f aca="false">IF($I3847="Correct",ROUND(INDEX('Reward Model'!$B$12:$B$14,MATCH($Y3847,'Reward Model'!$A$12:$A$14,0))*Z3847,2),0)</f>
        <v>2</v>
      </c>
    </row>
    <row r="3848" customFormat="false" ht="15" hidden="false" customHeight="false" outlineLevel="0" collapsed="false">
      <c r="A3848" s="0" t="s">
        <v>516</v>
      </c>
      <c r="B3848" s="0" t="s">
        <v>517</v>
      </c>
      <c r="C3848" s="0" t="s">
        <v>322</v>
      </c>
      <c r="D3848" s="0" t="s">
        <v>275</v>
      </c>
      <c r="E3848" s="0" t="n">
        <v>7</v>
      </c>
      <c r="F3848" s="0" t="s">
        <v>50</v>
      </c>
      <c r="G3848" s="0" t="s">
        <v>51</v>
      </c>
      <c r="H3848" s="0" t="s">
        <v>51</v>
      </c>
      <c r="I3848" s="0" t="s">
        <v>34</v>
      </c>
      <c r="J3848" s="0" t="n">
        <v>1.79</v>
      </c>
      <c r="K3848" s="0" t="s">
        <v>35</v>
      </c>
      <c r="L3848" s="0" t="n">
        <f aca="false">INDEX(Summary!$F$2:$F$201,MATCH($B3848,Summary!$A$2:$A$201,0))</f>
        <v>20</v>
      </c>
      <c r="M3848" s="0" t="n">
        <f aca="false">INDEX(Summary!$I$2:$I$201,MATCH($B3848,Summary!$A$2:$A$201,0))</f>
        <v>2</v>
      </c>
      <c r="N3848" s="0" t="n">
        <f aca="false">INDEX(Summary!$J$2:$J$201,MATCH($B3848,Summary!$A$2:$A$201,0))</f>
        <v>3</v>
      </c>
      <c r="O3848" s="2" t="n">
        <f aca="false">INDEX(Summary!$K$2:$K$201,MATCH($B3848,Summary!$A$2:$A$201,0))</f>
        <v>9.37</v>
      </c>
      <c r="P3848" s="3" t="n">
        <f aca="false">INDEX(Summary!$L$2:$L$201,MATCH($B3848,Summary!$A$2:$A$201,0))</f>
        <v>5</v>
      </c>
      <c r="Q3848" s="3" t="n">
        <f aca="false">INDEX(Summary!$M$2:$M$201,MATCH($B3848,Summary!$A$2:$A$201,0))</f>
        <v>1</v>
      </c>
      <c r="R3848" s="2" t="n">
        <f aca="false">INDEX(Summary!$N$2:$N$201,MATCH($B3848,Summary!$A$2:$A$201,0))</f>
        <v>10.9</v>
      </c>
      <c r="S3848" s="3" t="n">
        <f aca="false">INDEX(Summary!$O$2:$O$201,MATCH($B3848,Summary!$A$2:$A$201,0))</f>
        <v>8</v>
      </c>
      <c r="T3848" s="3" t="n">
        <f aca="false">INDEX(Summary!$P$2:$P$201,MATCH($B3848,Summary!$A$2:$A$201,0))</f>
        <v>1</v>
      </c>
      <c r="U3848" s="2" t="n">
        <f aca="false">INDEX(Summary!$Q$2:$Q$201,MATCH($B3848,Summary!$A$2:$A$201,0))</f>
        <v>13.8</v>
      </c>
      <c r="V3848" s="2" t="n">
        <f aca="false">INDEX(Summary!$R$2:$R$201,MATCH($B3848,Summary!$A$2:$A$201,0))</f>
        <v>26.14</v>
      </c>
      <c r="W3848" s="0" t="str">
        <f aca="false">INDEX(Summary!$S$2:$S$201,MATCH($B3848,Summary!$A$2:$A$201,0))</f>
        <v>Silver</v>
      </c>
      <c r="X3848" s="2" t="n">
        <f aca="false">INDEX(Summary!$T$2:$T$201,MATCH($B3848,Summary!$A$2:$A$201,0))</f>
        <v>63.76</v>
      </c>
      <c r="Y3848" s="0" t="str">
        <f aca="false">INDEX('Reward Model'!$E$18:$E$37,MATCH($E3848,'Reward Model'!$A$18:$A$37,0))</f>
        <v>Low</v>
      </c>
      <c r="Z3848" s="4" t="n">
        <f aca="false">ROUND(MIN(1,MAX('Reward Model'!$B$2,INDEX('Reward Model'!$C$12:$C$14,MATCH($K3848,'Reward Model'!$A$12:$A$14,0))/$J3848)),3)</f>
        <v>0.838</v>
      </c>
      <c r="AA3848" s="2" t="n">
        <f aca="false">IF($I3848="Correct",ROUND(INDEX('Reward Model'!$B$12:$B$14,MATCH($K3848,'Reward Model'!$A$12:$A$14,0))*Z3848,2),0)</f>
        <v>0.84</v>
      </c>
      <c r="AB3848" s="2" t="n">
        <f aca="false">IF($I3848="Correct",ROUND(INDEX('Reward Model'!$B$12:$B$14,MATCH($Y3848,'Reward Model'!$A$12:$A$14,0))*Z3848,2),0)</f>
        <v>0.84</v>
      </c>
    </row>
    <row r="3849" customFormat="false" ht="15" hidden="false" customHeight="false" outlineLevel="0" collapsed="false">
      <c r="A3849" s="0" t="s">
        <v>516</v>
      </c>
      <c r="B3849" s="0" t="s">
        <v>517</v>
      </c>
      <c r="C3849" s="0" t="s">
        <v>322</v>
      </c>
      <c r="D3849" s="0" t="s">
        <v>275</v>
      </c>
      <c r="E3849" s="0" t="n">
        <v>8</v>
      </c>
      <c r="F3849" s="0" t="s">
        <v>52</v>
      </c>
      <c r="G3849" s="0" t="s">
        <v>137</v>
      </c>
      <c r="H3849" s="0" t="s">
        <v>54</v>
      </c>
      <c r="I3849" s="0" t="s">
        <v>39</v>
      </c>
      <c r="J3849" s="0" t="n">
        <v>1.64</v>
      </c>
      <c r="K3849" s="0" t="s">
        <v>35</v>
      </c>
      <c r="L3849" s="0" t="n">
        <f aca="false">INDEX(Summary!$F$2:$F$201,MATCH($B3849,Summary!$A$2:$A$201,0))</f>
        <v>20</v>
      </c>
      <c r="M3849" s="0" t="n">
        <f aca="false">INDEX(Summary!$I$2:$I$201,MATCH($B3849,Summary!$A$2:$A$201,0))</f>
        <v>2</v>
      </c>
      <c r="N3849" s="0" t="n">
        <f aca="false">INDEX(Summary!$J$2:$J$201,MATCH($B3849,Summary!$A$2:$A$201,0))</f>
        <v>3</v>
      </c>
      <c r="O3849" s="2" t="n">
        <f aca="false">INDEX(Summary!$K$2:$K$201,MATCH($B3849,Summary!$A$2:$A$201,0))</f>
        <v>9.37</v>
      </c>
      <c r="P3849" s="3" t="n">
        <f aca="false">INDEX(Summary!$L$2:$L$201,MATCH($B3849,Summary!$A$2:$A$201,0))</f>
        <v>5</v>
      </c>
      <c r="Q3849" s="3" t="n">
        <f aca="false">INDEX(Summary!$M$2:$M$201,MATCH($B3849,Summary!$A$2:$A$201,0))</f>
        <v>1</v>
      </c>
      <c r="R3849" s="2" t="n">
        <f aca="false">INDEX(Summary!$N$2:$N$201,MATCH($B3849,Summary!$A$2:$A$201,0))</f>
        <v>10.9</v>
      </c>
      <c r="S3849" s="3" t="n">
        <f aca="false">INDEX(Summary!$O$2:$O$201,MATCH($B3849,Summary!$A$2:$A$201,0))</f>
        <v>8</v>
      </c>
      <c r="T3849" s="3" t="n">
        <f aca="false">INDEX(Summary!$P$2:$P$201,MATCH($B3849,Summary!$A$2:$A$201,0))</f>
        <v>1</v>
      </c>
      <c r="U3849" s="2" t="n">
        <f aca="false">INDEX(Summary!$Q$2:$Q$201,MATCH($B3849,Summary!$A$2:$A$201,0))</f>
        <v>13.8</v>
      </c>
      <c r="V3849" s="2" t="n">
        <f aca="false">INDEX(Summary!$R$2:$R$201,MATCH($B3849,Summary!$A$2:$A$201,0))</f>
        <v>26.14</v>
      </c>
      <c r="W3849" s="0" t="str">
        <f aca="false">INDEX(Summary!$S$2:$S$201,MATCH($B3849,Summary!$A$2:$A$201,0))</f>
        <v>Silver</v>
      </c>
      <c r="X3849" s="2" t="n">
        <f aca="false">INDEX(Summary!$T$2:$T$201,MATCH($B3849,Summary!$A$2:$A$201,0))</f>
        <v>63.76</v>
      </c>
      <c r="Y3849" s="0" t="str">
        <f aca="false">INDEX('Reward Model'!$E$18:$E$37,MATCH($E3849,'Reward Model'!$A$18:$A$37,0))</f>
        <v>Medium</v>
      </c>
      <c r="Z3849" s="4" t="n">
        <f aca="false">ROUND(MIN(1,MAX('Reward Model'!$B$2,INDEX('Reward Model'!$C$12:$C$14,MATCH($K3849,'Reward Model'!$A$12:$A$14,0))/$J3849)),3)</f>
        <v>0.915</v>
      </c>
      <c r="AA3849" s="2" t="n">
        <f aca="false">IF($I3849="Correct",ROUND(INDEX('Reward Model'!$B$12:$B$14,MATCH($K3849,'Reward Model'!$A$12:$A$14,0))*Z3849,2),0)</f>
        <v>0</v>
      </c>
      <c r="AB3849" s="2" t="n">
        <f aca="false">IF($I3849="Correct",ROUND(INDEX('Reward Model'!$B$12:$B$14,MATCH($Y3849,'Reward Model'!$A$12:$A$14,0))*Z3849,2),0)</f>
        <v>0</v>
      </c>
    </row>
    <row r="3850" customFormat="false" ht="15" hidden="false" customHeight="false" outlineLevel="0" collapsed="false">
      <c r="A3850" s="0" t="s">
        <v>516</v>
      </c>
      <c r="B3850" s="0" t="s">
        <v>517</v>
      </c>
      <c r="C3850" s="0" t="s">
        <v>322</v>
      </c>
      <c r="D3850" s="0" t="s">
        <v>275</v>
      </c>
      <c r="E3850" s="0" t="n">
        <v>9</v>
      </c>
      <c r="F3850" s="0" t="s">
        <v>55</v>
      </c>
      <c r="G3850" s="0" t="s">
        <v>57</v>
      </c>
      <c r="H3850" s="0" t="s">
        <v>57</v>
      </c>
      <c r="I3850" s="0" t="s">
        <v>34</v>
      </c>
      <c r="J3850" s="0" t="n">
        <v>1.79</v>
      </c>
      <c r="K3850" s="0" t="s">
        <v>35</v>
      </c>
      <c r="L3850" s="0" t="n">
        <f aca="false">INDEX(Summary!$F$2:$F$201,MATCH($B3850,Summary!$A$2:$A$201,0))</f>
        <v>20</v>
      </c>
      <c r="M3850" s="0" t="n">
        <f aca="false">INDEX(Summary!$I$2:$I$201,MATCH($B3850,Summary!$A$2:$A$201,0))</f>
        <v>2</v>
      </c>
      <c r="N3850" s="0" t="n">
        <f aca="false">INDEX(Summary!$J$2:$J$201,MATCH($B3850,Summary!$A$2:$A$201,0))</f>
        <v>3</v>
      </c>
      <c r="O3850" s="2" t="n">
        <f aca="false">INDEX(Summary!$K$2:$K$201,MATCH($B3850,Summary!$A$2:$A$201,0))</f>
        <v>9.37</v>
      </c>
      <c r="P3850" s="3" t="n">
        <f aca="false">INDEX(Summary!$L$2:$L$201,MATCH($B3850,Summary!$A$2:$A$201,0))</f>
        <v>5</v>
      </c>
      <c r="Q3850" s="3" t="n">
        <f aca="false">INDEX(Summary!$M$2:$M$201,MATCH($B3850,Summary!$A$2:$A$201,0))</f>
        <v>1</v>
      </c>
      <c r="R3850" s="2" t="n">
        <f aca="false">INDEX(Summary!$N$2:$N$201,MATCH($B3850,Summary!$A$2:$A$201,0))</f>
        <v>10.9</v>
      </c>
      <c r="S3850" s="3" t="n">
        <f aca="false">INDEX(Summary!$O$2:$O$201,MATCH($B3850,Summary!$A$2:$A$201,0))</f>
        <v>8</v>
      </c>
      <c r="T3850" s="3" t="n">
        <f aca="false">INDEX(Summary!$P$2:$P$201,MATCH($B3850,Summary!$A$2:$A$201,0))</f>
        <v>1</v>
      </c>
      <c r="U3850" s="2" t="n">
        <f aca="false">INDEX(Summary!$Q$2:$Q$201,MATCH($B3850,Summary!$A$2:$A$201,0))</f>
        <v>13.8</v>
      </c>
      <c r="V3850" s="2" t="n">
        <f aca="false">INDEX(Summary!$R$2:$R$201,MATCH($B3850,Summary!$A$2:$A$201,0))</f>
        <v>26.14</v>
      </c>
      <c r="W3850" s="0" t="str">
        <f aca="false">INDEX(Summary!$S$2:$S$201,MATCH($B3850,Summary!$A$2:$A$201,0))</f>
        <v>Silver</v>
      </c>
      <c r="X3850" s="2" t="n">
        <f aca="false">INDEX(Summary!$T$2:$T$201,MATCH($B3850,Summary!$A$2:$A$201,0))</f>
        <v>63.76</v>
      </c>
      <c r="Y3850" s="0" t="str">
        <f aca="false">INDEX('Reward Model'!$E$18:$E$37,MATCH($E3850,'Reward Model'!$A$18:$A$37,0))</f>
        <v>Medium</v>
      </c>
      <c r="Z3850" s="4" t="n">
        <f aca="false">ROUND(MIN(1,MAX('Reward Model'!$B$2,INDEX('Reward Model'!$C$12:$C$14,MATCH($K3850,'Reward Model'!$A$12:$A$14,0))/$J3850)),3)</f>
        <v>0.838</v>
      </c>
      <c r="AA3850" s="2" t="n">
        <f aca="false">IF($I3850="Correct",ROUND(INDEX('Reward Model'!$B$12:$B$14,MATCH($K3850,'Reward Model'!$A$12:$A$14,0))*Z3850,2),0)</f>
        <v>0.84</v>
      </c>
      <c r="AB3850" s="2" t="n">
        <f aca="false">IF($I3850="Correct",ROUND(INDEX('Reward Model'!$B$12:$B$14,MATCH($Y3850,'Reward Model'!$A$12:$A$14,0))*Z3850,2),0)</f>
        <v>1.68</v>
      </c>
    </row>
    <row r="3851" customFormat="false" ht="15" hidden="false" customHeight="false" outlineLevel="0" collapsed="false">
      <c r="A3851" s="0" t="s">
        <v>516</v>
      </c>
      <c r="B3851" s="0" t="s">
        <v>517</v>
      </c>
      <c r="C3851" s="0" t="s">
        <v>322</v>
      </c>
      <c r="D3851" s="0" t="s">
        <v>275</v>
      </c>
      <c r="E3851" s="0" t="n">
        <v>10</v>
      </c>
      <c r="F3851" s="0" t="s">
        <v>58</v>
      </c>
      <c r="G3851" s="0" t="s">
        <v>59</v>
      </c>
      <c r="H3851" s="0" t="s">
        <v>59</v>
      </c>
      <c r="I3851" s="0" t="s">
        <v>34</v>
      </c>
      <c r="J3851" s="0" t="n">
        <v>2.15</v>
      </c>
      <c r="K3851" s="0" t="s">
        <v>60</v>
      </c>
      <c r="L3851" s="0" t="n">
        <f aca="false">INDEX(Summary!$F$2:$F$201,MATCH($B3851,Summary!$A$2:$A$201,0))</f>
        <v>20</v>
      </c>
      <c r="M3851" s="0" t="n">
        <f aca="false">INDEX(Summary!$I$2:$I$201,MATCH($B3851,Summary!$A$2:$A$201,0))</f>
        <v>2</v>
      </c>
      <c r="N3851" s="0" t="n">
        <f aca="false">INDEX(Summary!$J$2:$J$201,MATCH($B3851,Summary!$A$2:$A$201,0))</f>
        <v>3</v>
      </c>
      <c r="O3851" s="2" t="n">
        <f aca="false">INDEX(Summary!$K$2:$K$201,MATCH($B3851,Summary!$A$2:$A$201,0))</f>
        <v>9.37</v>
      </c>
      <c r="P3851" s="3" t="n">
        <f aca="false">INDEX(Summary!$L$2:$L$201,MATCH($B3851,Summary!$A$2:$A$201,0))</f>
        <v>5</v>
      </c>
      <c r="Q3851" s="3" t="n">
        <f aca="false">INDEX(Summary!$M$2:$M$201,MATCH($B3851,Summary!$A$2:$A$201,0))</f>
        <v>1</v>
      </c>
      <c r="R3851" s="2" t="n">
        <f aca="false">INDEX(Summary!$N$2:$N$201,MATCH($B3851,Summary!$A$2:$A$201,0))</f>
        <v>10.9</v>
      </c>
      <c r="S3851" s="3" t="n">
        <f aca="false">INDEX(Summary!$O$2:$O$201,MATCH($B3851,Summary!$A$2:$A$201,0))</f>
        <v>8</v>
      </c>
      <c r="T3851" s="3" t="n">
        <f aca="false">INDEX(Summary!$P$2:$P$201,MATCH($B3851,Summary!$A$2:$A$201,0))</f>
        <v>1</v>
      </c>
      <c r="U3851" s="2" t="n">
        <f aca="false">INDEX(Summary!$Q$2:$Q$201,MATCH($B3851,Summary!$A$2:$A$201,0))</f>
        <v>13.8</v>
      </c>
      <c r="V3851" s="2" t="n">
        <f aca="false">INDEX(Summary!$R$2:$R$201,MATCH($B3851,Summary!$A$2:$A$201,0))</f>
        <v>26.14</v>
      </c>
      <c r="W3851" s="0" t="str">
        <f aca="false">INDEX(Summary!$S$2:$S$201,MATCH($B3851,Summary!$A$2:$A$201,0))</f>
        <v>Silver</v>
      </c>
      <c r="X3851" s="2" t="n">
        <f aca="false">INDEX(Summary!$T$2:$T$201,MATCH($B3851,Summary!$A$2:$A$201,0))</f>
        <v>63.76</v>
      </c>
      <c r="Y3851" s="0" t="str">
        <f aca="false">INDEX('Reward Model'!$E$18:$E$37,MATCH($E3851,'Reward Model'!$A$18:$A$37,0))</f>
        <v>Medium</v>
      </c>
      <c r="Z3851" s="4" t="n">
        <f aca="false">ROUND(MIN(1,MAX('Reward Model'!$B$2,INDEX('Reward Model'!$C$12:$C$14,MATCH($K3851,'Reward Model'!$A$12:$A$14,0))/$J3851)),3)</f>
        <v>0.837</v>
      </c>
      <c r="AA3851" s="2" t="n">
        <f aca="false">IF($I3851="Correct",ROUND(INDEX('Reward Model'!$B$12:$B$14,MATCH($K3851,'Reward Model'!$A$12:$A$14,0))*Z3851,2),0)</f>
        <v>1.67</v>
      </c>
      <c r="AB3851" s="2" t="n">
        <f aca="false">IF($I3851="Correct",ROUND(INDEX('Reward Model'!$B$12:$B$14,MATCH($Y3851,'Reward Model'!$A$12:$A$14,0))*Z3851,2),0)</f>
        <v>1.67</v>
      </c>
    </row>
    <row r="3852" customFormat="false" ht="15" hidden="false" customHeight="false" outlineLevel="0" collapsed="false">
      <c r="A3852" s="0" t="s">
        <v>516</v>
      </c>
      <c r="B3852" s="0" t="s">
        <v>517</v>
      </c>
      <c r="C3852" s="0" t="s">
        <v>322</v>
      </c>
      <c r="D3852" s="0" t="s">
        <v>275</v>
      </c>
      <c r="E3852" s="0" t="n">
        <v>11</v>
      </c>
      <c r="F3852" s="0" t="s">
        <v>61</v>
      </c>
      <c r="G3852" s="0" t="s">
        <v>62</v>
      </c>
      <c r="H3852" s="0" t="s">
        <v>63</v>
      </c>
      <c r="I3852" s="0" t="s">
        <v>39</v>
      </c>
      <c r="J3852" s="0" t="n">
        <v>1.46</v>
      </c>
      <c r="K3852" s="0" t="s">
        <v>60</v>
      </c>
      <c r="L3852" s="0" t="n">
        <f aca="false">INDEX(Summary!$F$2:$F$201,MATCH($B3852,Summary!$A$2:$A$201,0))</f>
        <v>20</v>
      </c>
      <c r="M3852" s="0" t="n">
        <f aca="false">INDEX(Summary!$I$2:$I$201,MATCH($B3852,Summary!$A$2:$A$201,0))</f>
        <v>2</v>
      </c>
      <c r="N3852" s="0" t="n">
        <f aca="false">INDEX(Summary!$J$2:$J$201,MATCH($B3852,Summary!$A$2:$A$201,0))</f>
        <v>3</v>
      </c>
      <c r="O3852" s="2" t="n">
        <f aca="false">INDEX(Summary!$K$2:$K$201,MATCH($B3852,Summary!$A$2:$A$201,0))</f>
        <v>9.37</v>
      </c>
      <c r="P3852" s="3" t="n">
        <f aca="false">INDEX(Summary!$L$2:$L$201,MATCH($B3852,Summary!$A$2:$A$201,0))</f>
        <v>5</v>
      </c>
      <c r="Q3852" s="3" t="n">
        <f aca="false">INDEX(Summary!$M$2:$M$201,MATCH($B3852,Summary!$A$2:$A$201,0))</f>
        <v>1</v>
      </c>
      <c r="R3852" s="2" t="n">
        <f aca="false">INDEX(Summary!$N$2:$N$201,MATCH($B3852,Summary!$A$2:$A$201,0))</f>
        <v>10.9</v>
      </c>
      <c r="S3852" s="3" t="n">
        <f aca="false">INDEX(Summary!$O$2:$O$201,MATCH($B3852,Summary!$A$2:$A$201,0))</f>
        <v>8</v>
      </c>
      <c r="T3852" s="3" t="n">
        <f aca="false">INDEX(Summary!$P$2:$P$201,MATCH($B3852,Summary!$A$2:$A$201,0))</f>
        <v>1</v>
      </c>
      <c r="U3852" s="2" t="n">
        <f aca="false">INDEX(Summary!$Q$2:$Q$201,MATCH($B3852,Summary!$A$2:$A$201,0))</f>
        <v>13.8</v>
      </c>
      <c r="V3852" s="2" t="n">
        <f aca="false">INDEX(Summary!$R$2:$R$201,MATCH($B3852,Summary!$A$2:$A$201,0))</f>
        <v>26.14</v>
      </c>
      <c r="W3852" s="0" t="str">
        <f aca="false">INDEX(Summary!$S$2:$S$201,MATCH($B3852,Summary!$A$2:$A$201,0))</f>
        <v>Silver</v>
      </c>
      <c r="X3852" s="2" t="n">
        <f aca="false">INDEX(Summary!$T$2:$T$201,MATCH($B3852,Summary!$A$2:$A$201,0))</f>
        <v>63.76</v>
      </c>
      <c r="Y3852" s="0" t="str">
        <f aca="false">INDEX('Reward Model'!$E$18:$E$37,MATCH($E3852,'Reward Model'!$A$18:$A$37,0))</f>
        <v>Medium</v>
      </c>
      <c r="Z3852" s="4" t="n">
        <f aca="false">ROUND(MIN(1,MAX('Reward Model'!$B$2,INDEX('Reward Model'!$C$12:$C$14,MATCH($K3852,'Reward Model'!$A$12:$A$14,0))/$J3852)),3)</f>
        <v>1</v>
      </c>
      <c r="AA3852" s="2" t="n">
        <f aca="false">IF($I3852="Correct",ROUND(INDEX('Reward Model'!$B$12:$B$14,MATCH($K3852,'Reward Model'!$A$12:$A$14,0))*Z3852,2),0)</f>
        <v>0</v>
      </c>
      <c r="AB3852" s="2" t="n">
        <f aca="false">IF($I3852="Correct",ROUND(INDEX('Reward Model'!$B$12:$B$14,MATCH($Y3852,'Reward Model'!$A$12:$A$14,0))*Z3852,2),0)</f>
        <v>0</v>
      </c>
    </row>
    <row r="3853" customFormat="false" ht="15" hidden="false" customHeight="false" outlineLevel="0" collapsed="false">
      <c r="A3853" s="0" t="s">
        <v>516</v>
      </c>
      <c r="B3853" s="0" t="s">
        <v>517</v>
      </c>
      <c r="C3853" s="0" t="s">
        <v>322</v>
      </c>
      <c r="D3853" s="0" t="s">
        <v>275</v>
      </c>
      <c r="E3853" s="0" t="n">
        <v>12</v>
      </c>
      <c r="F3853" s="0" t="s">
        <v>64</v>
      </c>
      <c r="G3853" s="0" t="s">
        <v>65</v>
      </c>
      <c r="H3853" s="0" t="s">
        <v>65</v>
      </c>
      <c r="I3853" s="0" t="s">
        <v>34</v>
      </c>
      <c r="J3853" s="0" t="n">
        <v>1.69</v>
      </c>
      <c r="K3853" s="0" t="s">
        <v>60</v>
      </c>
      <c r="L3853" s="0" t="n">
        <f aca="false">INDEX(Summary!$F$2:$F$201,MATCH($B3853,Summary!$A$2:$A$201,0))</f>
        <v>20</v>
      </c>
      <c r="M3853" s="0" t="n">
        <f aca="false">INDEX(Summary!$I$2:$I$201,MATCH($B3853,Summary!$A$2:$A$201,0))</f>
        <v>2</v>
      </c>
      <c r="N3853" s="0" t="n">
        <f aca="false">INDEX(Summary!$J$2:$J$201,MATCH($B3853,Summary!$A$2:$A$201,0))</f>
        <v>3</v>
      </c>
      <c r="O3853" s="2" t="n">
        <f aca="false">INDEX(Summary!$K$2:$K$201,MATCH($B3853,Summary!$A$2:$A$201,0))</f>
        <v>9.37</v>
      </c>
      <c r="P3853" s="3" t="n">
        <f aca="false">INDEX(Summary!$L$2:$L$201,MATCH($B3853,Summary!$A$2:$A$201,0))</f>
        <v>5</v>
      </c>
      <c r="Q3853" s="3" t="n">
        <f aca="false">INDEX(Summary!$M$2:$M$201,MATCH($B3853,Summary!$A$2:$A$201,0))</f>
        <v>1</v>
      </c>
      <c r="R3853" s="2" t="n">
        <f aca="false">INDEX(Summary!$N$2:$N$201,MATCH($B3853,Summary!$A$2:$A$201,0))</f>
        <v>10.9</v>
      </c>
      <c r="S3853" s="3" t="n">
        <f aca="false">INDEX(Summary!$O$2:$O$201,MATCH($B3853,Summary!$A$2:$A$201,0))</f>
        <v>8</v>
      </c>
      <c r="T3853" s="3" t="n">
        <f aca="false">INDEX(Summary!$P$2:$P$201,MATCH($B3853,Summary!$A$2:$A$201,0))</f>
        <v>1</v>
      </c>
      <c r="U3853" s="2" t="n">
        <f aca="false">INDEX(Summary!$Q$2:$Q$201,MATCH($B3853,Summary!$A$2:$A$201,0))</f>
        <v>13.8</v>
      </c>
      <c r="V3853" s="2" t="n">
        <f aca="false">INDEX(Summary!$R$2:$R$201,MATCH($B3853,Summary!$A$2:$A$201,0))</f>
        <v>26.14</v>
      </c>
      <c r="W3853" s="0" t="str">
        <f aca="false">INDEX(Summary!$S$2:$S$201,MATCH($B3853,Summary!$A$2:$A$201,0))</f>
        <v>Silver</v>
      </c>
      <c r="X3853" s="2" t="n">
        <f aca="false">INDEX(Summary!$T$2:$T$201,MATCH($B3853,Summary!$A$2:$A$201,0))</f>
        <v>63.76</v>
      </c>
      <c r="Y3853" s="0" t="str">
        <f aca="false">INDEX('Reward Model'!$E$18:$E$37,MATCH($E3853,'Reward Model'!$A$18:$A$37,0))</f>
        <v>Medium</v>
      </c>
      <c r="Z3853" s="4" t="n">
        <f aca="false">ROUND(MIN(1,MAX('Reward Model'!$B$2,INDEX('Reward Model'!$C$12:$C$14,MATCH($K3853,'Reward Model'!$A$12:$A$14,0))/$J3853)),3)</f>
        <v>1</v>
      </c>
      <c r="AA3853" s="2" t="n">
        <f aca="false">IF($I3853="Correct",ROUND(INDEX('Reward Model'!$B$12:$B$14,MATCH($K3853,'Reward Model'!$A$12:$A$14,0))*Z3853,2),0)</f>
        <v>2</v>
      </c>
      <c r="AB3853" s="2" t="n">
        <f aca="false">IF($I3853="Correct",ROUND(INDEX('Reward Model'!$B$12:$B$14,MATCH($Y3853,'Reward Model'!$A$12:$A$14,0))*Z3853,2),0)</f>
        <v>2</v>
      </c>
    </row>
    <row r="3854" customFormat="false" ht="15" hidden="false" customHeight="false" outlineLevel="0" collapsed="false">
      <c r="A3854" s="0" t="s">
        <v>516</v>
      </c>
      <c r="B3854" s="0" t="s">
        <v>517</v>
      </c>
      <c r="C3854" s="0" t="s">
        <v>322</v>
      </c>
      <c r="D3854" s="0" t="s">
        <v>275</v>
      </c>
      <c r="E3854" s="0" t="n">
        <v>13</v>
      </c>
      <c r="F3854" s="0" t="s">
        <v>66</v>
      </c>
      <c r="G3854" s="0" t="s">
        <v>67</v>
      </c>
      <c r="H3854" s="0" t="s">
        <v>67</v>
      </c>
      <c r="I3854" s="0" t="s">
        <v>34</v>
      </c>
      <c r="J3854" s="0" t="n">
        <v>1.46</v>
      </c>
      <c r="K3854" s="0" t="s">
        <v>60</v>
      </c>
      <c r="L3854" s="0" t="n">
        <f aca="false">INDEX(Summary!$F$2:$F$201,MATCH($B3854,Summary!$A$2:$A$201,0))</f>
        <v>20</v>
      </c>
      <c r="M3854" s="0" t="n">
        <f aca="false">INDEX(Summary!$I$2:$I$201,MATCH($B3854,Summary!$A$2:$A$201,0))</f>
        <v>2</v>
      </c>
      <c r="N3854" s="0" t="n">
        <f aca="false">INDEX(Summary!$J$2:$J$201,MATCH($B3854,Summary!$A$2:$A$201,0))</f>
        <v>3</v>
      </c>
      <c r="O3854" s="2" t="n">
        <f aca="false">INDEX(Summary!$K$2:$K$201,MATCH($B3854,Summary!$A$2:$A$201,0))</f>
        <v>9.37</v>
      </c>
      <c r="P3854" s="3" t="n">
        <f aca="false">INDEX(Summary!$L$2:$L$201,MATCH($B3854,Summary!$A$2:$A$201,0))</f>
        <v>5</v>
      </c>
      <c r="Q3854" s="3" t="n">
        <f aca="false">INDEX(Summary!$M$2:$M$201,MATCH($B3854,Summary!$A$2:$A$201,0))</f>
        <v>1</v>
      </c>
      <c r="R3854" s="2" t="n">
        <f aca="false">INDEX(Summary!$N$2:$N$201,MATCH($B3854,Summary!$A$2:$A$201,0))</f>
        <v>10.9</v>
      </c>
      <c r="S3854" s="3" t="n">
        <f aca="false">INDEX(Summary!$O$2:$O$201,MATCH($B3854,Summary!$A$2:$A$201,0))</f>
        <v>8</v>
      </c>
      <c r="T3854" s="3" t="n">
        <f aca="false">INDEX(Summary!$P$2:$P$201,MATCH($B3854,Summary!$A$2:$A$201,0))</f>
        <v>1</v>
      </c>
      <c r="U3854" s="2" t="n">
        <f aca="false">INDEX(Summary!$Q$2:$Q$201,MATCH($B3854,Summary!$A$2:$A$201,0))</f>
        <v>13.8</v>
      </c>
      <c r="V3854" s="2" t="n">
        <f aca="false">INDEX(Summary!$R$2:$R$201,MATCH($B3854,Summary!$A$2:$A$201,0))</f>
        <v>26.14</v>
      </c>
      <c r="W3854" s="0" t="str">
        <f aca="false">INDEX(Summary!$S$2:$S$201,MATCH($B3854,Summary!$A$2:$A$201,0))</f>
        <v>Silver</v>
      </c>
      <c r="X3854" s="2" t="n">
        <f aca="false">INDEX(Summary!$T$2:$T$201,MATCH($B3854,Summary!$A$2:$A$201,0))</f>
        <v>63.76</v>
      </c>
      <c r="Y3854" s="0" t="str">
        <f aca="false">INDEX('Reward Model'!$E$18:$E$37,MATCH($E3854,'Reward Model'!$A$18:$A$37,0))</f>
        <v>Medium</v>
      </c>
      <c r="Z3854" s="4" t="n">
        <f aca="false">ROUND(MIN(1,MAX('Reward Model'!$B$2,INDEX('Reward Model'!$C$12:$C$14,MATCH($K3854,'Reward Model'!$A$12:$A$14,0))/$J3854)),3)</f>
        <v>1</v>
      </c>
      <c r="AA3854" s="2" t="n">
        <f aca="false">IF($I3854="Correct",ROUND(INDEX('Reward Model'!$B$12:$B$14,MATCH($K3854,'Reward Model'!$A$12:$A$14,0))*Z3854,2),0)</f>
        <v>2</v>
      </c>
      <c r="AB3854" s="2" t="n">
        <f aca="false">IF($I3854="Correct",ROUND(INDEX('Reward Model'!$B$12:$B$14,MATCH($Y3854,'Reward Model'!$A$12:$A$14,0))*Z3854,2),0)</f>
        <v>2</v>
      </c>
    </row>
    <row r="3855" customFormat="false" ht="15" hidden="false" customHeight="false" outlineLevel="0" collapsed="false">
      <c r="A3855" s="0" t="s">
        <v>516</v>
      </c>
      <c r="B3855" s="0" t="s">
        <v>517</v>
      </c>
      <c r="C3855" s="0" t="s">
        <v>322</v>
      </c>
      <c r="D3855" s="0" t="s">
        <v>275</v>
      </c>
      <c r="E3855" s="0" t="n">
        <v>14</v>
      </c>
      <c r="F3855" s="0" t="s">
        <v>68</v>
      </c>
      <c r="G3855" s="0" t="s">
        <v>51</v>
      </c>
      <c r="H3855" s="0" t="s">
        <v>51</v>
      </c>
      <c r="I3855" s="0" t="s">
        <v>34</v>
      </c>
      <c r="J3855" s="0" t="n">
        <v>2.16</v>
      </c>
      <c r="K3855" s="0" t="s">
        <v>60</v>
      </c>
      <c r="L3855" s="0" t="n">
        <f aca="false">INDEX(Summary!$F$2:$F$201,MATCH($B3855,Summary!$A$2:$A$201,0))</f>
        <v>20</v>
      </c>
      <c r="M3855" s="0" t="n">
        <f aca="false">INDEX(Summary!$I$2:$I$201,MATCH($B3855,Summary!$A$2:$A$201,0))</f>
        <v>2</v>
      </c>
      <c r="N3855" s="0" t="n">
        <f aca="false">INDEX(Summary!$J$2:$J$201,MATCH($B3855,Summary!$A$2:$A$201,0))</f>
        <v>3</v>
      </c>
      <c r="O3855" s="2" t="n">
        <f aca="false">INDEX(Summary!$K$2:$K$201,MATCH($B3855,Summary!$A$2:$A$201,0))</f>
        <v>9.37</v>
      </c>
      <c r="P3855" s="3" t="n">
        <f aca="false">INDEX(Summary!$L$2:$L$201,MATCH($B3855,Summary!$A$2:$A$201,0))</f>
        <v>5</v>
      </c>
      <c r="Q3855" s="3" t="n">
        <f aca="false">INDEX(Summary!$M$2:$M$201,MATCH($B3855,Summary!$A$2:$A$201,0))</f>
        <v>1</v>
      </c>
      <c r="R3855" s="2" t="n">
        <f aca="false">INDEX(Summary!$N$2:$N$201,MATCH($B3855,Summary!$A$2:$A$201,0))</f>
        <v>10.9</v>
      </c>
      <c r="S3855" s="3" t="n">
        <f aca="false">INDEX(Summary!$O$2:$O$201,MATCH($B3855,Summary!$A$2:$A$201,0))</f>
        <v>8</v>
      </c>
      <c r="T3855" s="3" t="n">
        <f aca="false">INDEX(Summary!$P$2:$P$201,MATCH($B3855,Summary!$A$2:$A$201,0))</f>
        <v>1</v>
      </c>
      <c r="U3855" s="2" t="n">
        <f aca="false">INDEX(Summary!$Q$2:$Q$201,MATCH($B3855,Summary!$A$2:$A$201,0))</f>
        <v>13.8</v>
      </c>
      <c r="V3855" s="2" t="n">
        <f aca="false">INDEX(Summary!$R$2:$R$201,MATCH($B3855,Summary!$A$2:$A$201,0))</f>
        <v>26.14</v>
      </c>
      <c r="W3855" s="0" t="str">
        <f aca="false">INDEX(Summary!$S$2:$S$201,MATCH($B3855,Summary!$A$2:$A$201,0))</f>
        <v>Silver</v>
      </c>
      <c r="X3855" s="2" t="n">
        <f aca="false">INDEX(Summary!$T$2:$T$201,MATCH($B3855,Summary!$A$2:$A$201,0))</f>
        <v>63.76</v>
      </c>
      <c r="Y3855" s="0" t="str">
        <f aca="false">INDEX('Reward Model'!$E$18:$E$37,MATCH($E3855,'Reward Model'!$A$18:$A$37,0))</f>
        <v>Medium</v>
      </c>
      <c r="Z3855" s="4" t="n">
        <f aca="false">ROUND(MIN(1,MAX('Reward Model'!$B$2,INDEX('Reward Model'!$C$12:$C$14,MATCH($K3855,'Reward Model'!$A$12:$A$14,0))/$J3855)),3)</f>
        <v>0.833</v>
      </c>
      <c r="AA3855" s="2" t="n">
        <f aca="false">IF($I3855="Correct",ROUND(INDEX('Reward Model'!$B$12:$B$14,MATCH($K3855,'Reward Model'!$A$12:$A$14,0))*Z3855,2),0)</f>
        <v>1.67</v>
      </c>
      <c r="AB3855" s="2" t="n">
        <f aca="false">IF($I3855="Correct",ROUND(INDEX('Reward Model'!$B$12:$B$14,MATCH($Y3855,'Reward Model'!$A$12:$A$14,0))*Z3855,2),0)</f>
        <v>1.67</v>
      </c>
    </row>
    <row r="3856" customFormat="false" ht="15" hidden="false" customHeight="false" outlineLevel="0" collapsed="false">
      <c r="A3856" s="0" t="s">
        <v>516</v>
      </c>
      <c r="B3856" s="0" t="s">
        <v>517</v>
      </c>
      <c r="C3856" s="0" t="s">
        <v>322</v>
      </c>
      <c r="D3856" s="0" t="s">
        <v>275</v>
      </c>
      <c r="E3856" s="0" t="n">
        <v>15</v>
      </c>
      <c r="F3856" s="0" t="s">
        <v>69</v>
      </c>
      <c r="G3856" s="0" t="s">
        <v>70</v>
      </c>
      <c r="H3856" s="0" t="s">
        <v>70</v>
      </c>
      <c r="I3856" s="0" t="s">
        <v>34</v>
      </c>
      <c r="J3856" s="0" t="n">
        <v>1.98</v>
      </c>
      <c r="K3856" s="0" t="s">
        <v>60</v>
      </c>
      <c r="L3856" s="0" t="n">
        <f aca="false">INDEX(Summary!$F$2:$F$201,MATCH($B3856,Summary!$A$2:$A$201,0))</f>
        <v>20</v>
      </c>
      <c r="M3856" s="0" t="n">
        <f aca="false">INDEX(Summary!$I$2:$I$201,MATCH($B3856,Summary!$A$2:$A$201,0))</f>
        <v>2</v>
      </c>
      <c r="N3856" s="0" t="n">
        <f aca="false">INDEX(Summary!$J$2:$J$201,MATCH($B3856,Summary!$A$2:$A$201,0))</f>
        <v>3</v>
      </c>
      <c r="O3856" s="2" t="n">
        <f aca="false">INDEX(Summary!$K$2:$K$201,MATCH($B3856,Summary!$A$2:$A$201,0))</f>
        <v>9.37</v>
      </c>
      <c r="P3856" s="3" t="n">
        <f aca="false">INDEX(Summary!$L$2:$L$201,MATCH($B3856,Summary!$A$2:$A$201,0))</f>
        <v>5</v>
      </c>
      <c r="Q3856" s="3" t="n">
        <f aca="false">INDEX(Summary!$M$2:$M$201,MATCH($B3856,Summary!$A$2:$A$201,0))</f>
        <v>1</v>
      </c>
      <c r="R3856" s="2" t="n">
        <f aca="false">INDEX(Summary!$N$2:$N$201,MATCH($B3856,Summary!$A$2:$A$201,0))</f>
        <v>10.9</v>
      </c>
      <c r="S3856" s="3" t="n">
        <f aca="false">INDEX(Summary!$O$2:$O$201,MATCH($B3856,Summary!$A$2:$A$201,0))</f>
        <v>8</v>
      </c>
      <c r="T3856" s="3" t="n">
        <f aca="false">INDEX(Summary!$P$2:$P$201,MATCH($B3856,Summary!$A$2:$A$201,0))</f>
        <v>1</v>
      </c>
      <c r="U3856" s="2" t="n">
        <f aca="false">INDEX(Summary!$Q$2:$Q$201,MATCH($B3856,Summary!$A$2:$A$201,0))</f>
        <v>13.8</v>
      </c>
      <c r="V3856" s="2" t="n">
        <f aca="false">INDEX(Summary!$R$2:$R$201,MATCH($B3856,Summary!$A$2:$A$201,0))</f>
        <v>26.14</v>
      </c>
      <c r="W3856" s="0" t="str">
        <f aca="false">INDEX(Summary!$S$2:$S$201,MATCH($B3856,Summary!$A$2:$A$201,0))</f>
        <v>Silver</v>
      </c>
      <c r="X3856" s="2" t="n">
        <f aca="false">INDEX(Summary!$T$2:$T$201,MATCH($B3856,Summary!$A$2:$A$201,0))</f>
        <v>63.76</v>
      </c>
      <c r="Y3856" s="0" t="str">
        <f aca="false">INDEX('Reward Model'!$E$18:$E$37,MATCH($E3856,'Reward Model'!$A$18:$A$37,0))</f>
        <v>Medium</v>
      </c>
      <c r="Z3856" s="4" t="n">
        <f aca="false">ROUND(MIN(1,MAX('Reward Model'!$B$2,INDEX('Reward Model'!$C$12:$C$14,MATCH($K3856,'Reward Model'!$A$12:$A$14,0))/$J3856)),3)</f>
        <v>0.909</v>
      </c>
      <c r="AA3856" s="2" t="n">
        <f aca="false">IF($I3856="Correct",ROUND(INDEX('Reward Model'!$B$12:$B$14,MATCH($K3856,'Reward Model'!$A$12:$A$14,0))*Z3856,2),0)</f>
        <v>1.82</v>
      </c>
      <c r="AB3856" s="2" t="n">
        <f aca="false">IF($I3856="Correct",ROUND(INDEX('Reward Model'!$B$12:$B$14,MATCH($Y3856,'Reward Model'!$A$12:$A$14,0))*Z3856,2),0)</f>
        <v>1.82</v>
      </c>
    </row>
    <row r="3857" customFormat="false" ht="15" hidden="false" customHeight="false" outlineLevel="0" collapsed="false">
      <c r="A3857" s="0" t="s">
        <v>516</v>
      </c>
      <c r="B3857" s="0" t="s">
        <v>517</v>
      </c>
      <c r="C3857" s="0" t="s">
        <v>322</v>
      </c>
      <c r="D3857" s="0" t="s">
        <v>275</v>
      </c>
      <c r="E3857" s="0" t="n">
        <v>16</v>
      </c>
      <c r="F3857" s="0" t="s">
        <v>71</v>
      </c>
      <c r="G3857" s="0" t="s">
        <v>101</v>
      </c>
      <c r="H3857" s="0" t="s">
        <v>72</v>
      </c>
      <c r="I3857" s="0" t="s">
        <v>39</v>
      </c>
      <c r="J3857" s="0" t="n">
        <v>1.53</v>
      </c>
      <c r="K3857" s="0" t="s">
        <v>73</v>
      </c>
      <c r="L3857" s="0" t="n">
        <f aca="false">INDEX(Summary!$F$2:$F$201,MATCH($B3857,Summary!$A$2:$A$201,0))</f>
        <v>20</v>
      </c>
      <c r="M3857" s="0" t="n">
        <f aca="false">INDEX(Summary!$I$2:$I$201,MATCH($B3857,Summary!$A$2:$A$201,0))</f>
        <v>2</v>
      </c>
      <c r="N3857" s="0" t="n">
        <f aca="false">INDEX(Summary!$J$2:$J$201,MATCH($B3857,Summary!$A$2:$A$201,0))</f>
        <v>3</v>
      </c>
      <c r="O3857" s="2" t="n">
        <f aca="false">INDEX(Summary!$K$2:$K$201,MATCH($B3857,Summary!$A$2:$A$201,0))</f>
        <v>9.37</v>
      </c>
      <c r="P3857" s="3" t="n">
        <f aca="false">INDEX(Summary!$L$2:$L$201,MATCH($B3857,Summary!$A$2:$A$201,0))</f>
        <v>5</v>
      </c>
      <c r="Q3857" s="3" t="n">
        <f aca="false">INDEX(Summary!$M$2:$M$201,MATCH($B3857,Summary!$A$2:$A$201,0))</f>
        <v>1</v>
      </c>
      <c r="R3857" s="2" t="n">
        <f aca="false">INDEX(Summary!$N$2:$N$201,MATCH($B3857,Summary!$A$2:$A$201,0))</f>
        <v>10.9</v>
      </c>
      <c r="S3857" s="3" t="n">
        <f aca="false">INDEX(Summary!$O$2:$O$201,MATCH($B3857,Summary!$A$2:$A$201,0))</f>
        <v>8</v>
      </c>
      <c r="T3857" s="3" t="n">
        <f aca="false">INDEX(Summary!$P$2:$P$201,MATCH($B3857,Summary!$A$2:$A$201,0))</f>
        <v>1</v>
      </c>
      <c r="U3857" s="2" t="n">
        <f aca="false">INDEX(Summary!$Q$2:$Q$201,MATCH($B3857,Summary!$A$2:$A$201,0))</f>
        <v>13.8</v>
      </c>
      <c r="V3857" s="2" t="n">
        <f aca="false">INDEX(Summary!$R$2:$R$201,MATCH($B3857,Summary!$A$2:$A$201,0))</f>
        <v>26.14</v>
      </c>
      <c r="W3857" s="0" t="str">
        <f aca="false">INDEX(Summary!$S$2:$S$201,MATCH($B3857,Summary!$A$2:$A$201,0))</f>
        <v>Silver</v>
      </c>
      <c r="X3857" s="2" t="n">
        <f aca="false">INDEX(Summary!$T$2:$T$201,MATCH($B3857,Summary!$A$2:$A$201,0))</f>
        <v>63.76</v>
      </c>
      <c r="Y3857" s="0" t="str">
        <f aca="false">INDEX('Reward Model'!$E$18:$E$37,MATCH($E3857,'Reward Model'!$A$18:$A$37,0))</f>
        <v>High</v>
      </c>
      <c r="Z3857" s="4" t="n">
        <f aca="false">ROUND(MIN(1,MAX('Reward Model'!$B$2,INDEX('Reward Model'!$C$12:$C$14,MATCH($K3857,'Reward Model'!$A$12:$A$14,0))/$J3857)),3)</f>
        <v>1</v>
      </c>
      <c r="AA3857" s="2" t="n">
        <f aca="false">IF($I3857="Correct",ROUND(INDEX('Reward Model'!$B$12:$B$14,MATCH($K3857,'Reward Model'!$A$12:$A$14,0))*Z3857,2),0)</f>
        <v>0</v>
      </c>
      <c r="AB3857" s="2" t="n">
        <f aca="false">IF($I3857="Correct",ROUND(INDEX('Reward Model'!$B$12:$B$14,MATCH($Y3857,'Reward Model'!$A$12:$A$14,0))*Z3857,2),0)</f>
        <v>0</v>
      </c>
    </row>
    <row r="3858" customFormat="false" ht="15" hidden="false" customHeight="false" outlineLevel="0" collapsed="false">
      <c r="A3858" s="0" t="s">
        <v>516</v>
      </c>
      <c r="B3858" s="0" t="s">
        <v>517</v>
      </c>
      <c r="C3858" s="0" t="s">
        <v>322</v>
      </c>
      <c r="D3858" s="0" t="s">
        <v>275</v>
      </c>
      <c r="E3858" s="0" t="n">
        <v>17</v>
      </c>
      <c r="F3858" s="0" t="s">
        <v>74</v>
      </c>
      <c r="G3858" s="0" t="s">
        <v>75</v>
      </c>
      <c r="H3858" s="0" t="s">
        <v>75</v>
      </c>
      <c r="I3858" s="0" t="s">
        <v>34</v>
      </c>
      <c r="J3858" s="0" t="n">
        <v>1.75</v>
      </c>
      <c r="K3858" s="0" t="s">
        <v>73</v>
      </c>
      <c r="L3858" s="0" t="n">
        <f aca="false">INDEX(Summary!$F$2:$F$201,MATCH($B3858,Summary!$A$2:$A$201,0))</f>
        <v>20</v>
      </c>
      <c r="M3858" s="0" t="n">
        <f aca="false">INDEX(Summary!$I$2:$I$201,MATCH($B3858,Summary!$A$2:$A$201,0))</f>
        <v>2</v>
      </c>
      <c r="N3858" s="0" t="n">
        <f aca="false">INDEX(Summary!$J$2:$J$201,MATCH($B3858,Summary!$A$2:$A$201,0))</f>
        <v>3</v>
      </c>
      <c r="O3858" s="2" t="n">
        <f aca="false">INDEX(Summary!$K$2:$K$201,MATCH($B3858,Summary!$A$2:$A$201,0))</f>
        <v>9.37</v>
      </c>
      <c r="P3858" s="3" t="n">
        <f aca="false">INDEX(Summary!$L$2:$L$201,MATCH($B3858,Summary!$A$2:$A$201,0))</f>
        <v>5</v>
      </c>
      <c r="Q3858" s="3" t="n">
        <f aca="false">INDEX(Summary!$M$2:$M$201,MATCH($B3858,Summary!$A$2:$A$201,0))</f>
        <v>1</v>
      </c>
      <c r="R3858" s="2" t="n">
        <f aca="false">INDEX(Summary!$N$2:$N$201,MATCH($B3858,Summary!$A$2:$A$201,0))</f>
        <v>10.9</v>
      </c>
      <c r="S3858" s="3" t="n">
        <f aca="false">INDEX(Summary!$O$2:$O$201,MATCH($B3858,Summary!$A$2:$A$201,0))</f>
        <v>8</v>
      </c>
      <c r="T3858" s="3" t="n">
        <f aca="false">INDEX(Summary!$P$2:$P$201,MATCH($B3858,Summary!$A$2:$A$201,0))</f>
        <v>1</v>
      </c>
      <c r="U3858" s="2" t="n">
        <f aca="false">INDEX(Summary!$Q$2:$Q$201,MATCH($B3858,Summary!$A$2:$A$201,0))</f>
        <v>13.8</v>
      </c>
      <c r="V3858" s="2" t="n">
        <f aca="false">INDEX(Summary!$R$2:$R$201,MATCH($B3858,Summary!$A$2:$A$201,0))</f>
        <v>26.14</v>
      </c>
      <c r="W3858" s="0" t="str">
        <f aca="false">INDEX(Summary!$S$2:$S$201,MATCH($B3858,Summary!$A$2:$A$201,0))</f>
        <v>Silver</v>
      </c>
      <c r="X3858" s="2" t="n">
        <f aca="false">INDEX(Summary!$T$2:$T$201,MATCH($B3858,Summary!$A$2:$A$201,0))</f>
        <v>63.76</v>
      </c>
      <c r="Y3858" s="0" t="str">
        <f aca="false">INDEX('Reward Model'!$E$18:$E$37,MATCH($E3858,'Reward Model'!$A$18:$A$37,0))</f>
        <v>High</v>
      </c>
      <c r="Z3858" s="4" t="n">
        <f aca="false">ROUND(MIN(1,MAX('Reward Model'!$B$2,INDEX('Reward Model'!$C$12:$C$14,MATCH($K3858,'Reward Model'!$A$12:$A$14,0))/$J3858)),3)</f>
        <v>1</v>
      </c>
      <c r="AA3858" s="2" t="n">
        <f aca="false">IF($I3858="Correct",ROUND(INDEX('Reward Model'!$B$12:$B$14,MATCH($K3858,'Reward Model'!$A$12:$A$14,0))*Z3858,2),0)</f>
        <v>3</v>
      </c>
      <c r="AB3858" s="2" t="n">
        <f aca="false">IF($I3858="Correct",ROUND(INDEX('Reward Model'!$B$12:$B$14,MATCH($Y3858,'Reward Model'!$A$12:$A$14,0))*Z3858,2),0)</f>
        <v>3</v>
      </c>
    </row>
    <row r="3859" customFormat="false" ht="15" hidden="false" customHeight="false" outlineLevel="0" collapsed="false">
      <c r="A3859" s="0" t="s">
        <v>516</v>
      </c>
      <c r="B3859" s="0" t="s">
        <v>517</v>
      </c>
      <c r="C3859" s="0" t="s">
        <v>322</v>
      </c>
      <c r="D3859" s="0" t="s">
        <v>275</v>
      </c>
      <c r="E3859" s="0" t="n">
        <v>18</v>
      </c>
      <c r="F3859" s="0" t="s">
        <v>76</v>
      </c>
      <c r="G3859" s="0" t="s">
        <v>128</v>
      </c>
      <c r="H3859" s="0" t="s">
        <v>77</v>
      </c>
      <c r="I3859" s="0" t="s">
        <v>39</v>
      </c>
      <c r="J3859" s="0" t="n">
        <v>2.28</v>
      </c>
      <c r="K3859" s="0" t="s">
        <v>73</v>
      </c>
      <c r="L3859" s="0" t="n">
        <f aca="false">INDEX(Summary!$F$2:$F$201,MATCH($B3859,Summary!$A$2:$A$201,0))</f>
        <v>20</v>
      </c>
      <c r="M3859" s="0" t="n">
        <f aca="false">INDEX(Summary!$I$2:$I$201,MATCH($B3859,Summary!$A$2:$A$201,0))</f>
        <v>2</v>
      </c>
      <c r="N3859" s="0" t="n">
        <f aca="false">INDEX(Summary!$J$2:$J$201,MATCH($B3859,Summary!$A$2:$A$201,0))</f>
        <v>3</v>
      </c>
      <c r="O3859" s="2" t="n">
        <f aca="false">INDEX(Summary!$K$2:$K$201,MATCH($B3859,Summary!$A$2:$A$201,0))</f>
        <v>9.37</v>
      </c>
      <c r="P3859" s="3" t="n">
        <f aca="false">INDEX(Summary!$L$2:$L$201,MATCH($B3859,Summary!$A$2:$A$201,0))</f>
        <v>5</v>
      </c>
      <c r="Q3859" s="3" t="n">
        <f aca="false">INDEX(Summary!$M$2:$M$201,MATCH($B3859,Summary!$A$2:$A$201,0))</f>
        <v>1</v>
      </c>
      <c r="R3859" s="2" t="n">
        <f aca="false">INDEX(Summary!$N$2:$N$201,MATCH($B3859,Summary!$A$2:$A$201,0))</f>
        <v>10.9</v>
      </c>
      <c r="S3859" s="3" t="n">
        <f aca="false">INDEX(Summary!$O$2:$O$201,MATCH($B3859,Summary!$A$2:$A$201,0))</f>
        <v>8</v>
      </c>
      <c r="T3859" s="3" t="n">
        <f aca="false">INDEX(Summary!$P$2:$P$201,MATCH($B3859,Summary!$A$2:$A$201,0))</f>
        <v>1</v>
      </c>
      <c r="U3859" s="2" t="n">
        <f aca="false">INDEX(Summary!$Q$2:$Q$201,MATCH($B3859,Summary!$A$2:$A$201,0))</f>
        <v>13.8</v>
      </c>
      <c r="V3859" s="2" t="n">
        <f aca="false">INDEX(Summary!$R$2:$R$201,MATCH($B3859,Summary!$A$2:$A$201,0))</f>
        <v>26.14</v>
      </c>
      <c r="W3859" s="0" t="str">
        <f aca="false">INDEX(Summary!$S$2:$S$201,MATCH($B3859,Summary!$A$2:$A$201,0))</f>
        <v>Silver</v>
      </c>
      <c r="X3859" s="2" t="n">
        <f aca="false">INDEX(Summary!$T$2:$T$201,MATCH($B3859,Summary!$A$2:$A$201,0))</f>
        <v>63.76</v>
      </c>
      <c r="Y3859" s="0" t="str">
        <f aca="false">INDEX('Reward Model'!$E$18:$E$37,MATCH($E3859,'Reward Model'!$A$18:$A$37,0))</f>
        <v>High</v>
      </c>
      <c r="Z3859" s="4" t="n">
        <f aca="false">ROUND(MIN(1,MAX('Reward Model'!$B$2,INDEX('Reward Model'!$C$12:$C$14,MATCH($K3859,'Reward Model'!$A$12:$A$14,0))/$J3859)),3)</f>
        <v>0.877</v>
      </c>
      <c r="AA3859" s="2" t="n">
        <f aca="false">IF($I3859="Correct",ROUND(INDEX('Reward Model'!$B$12:$B$14,MATCH($K3859,'Reward Model'!$A$12:$A$14,0))*Z3859,2),0)</f>
        <v>0</v>
      </c>
      <c r="AB3859" s="2" t="n">
        <f aca="false">IF($I3859="Correct",ROUND(INDEX('Reward Model'!$B$12:$B$14,MATCH($Y3859,'Reward Model'!$A$12:$A$14,0))*Z3859,2),0)</f>
        <v>0</v>
      </c>
    </row>
    <row r="3860" customFormat="false" ht="15" hidden="false" customHeight="false" outlineLevel="0" collapsed="false">
      <c r="A3860" s="0" t="s">
        <v>516</v>
      </c>
      <c r="B3860" s="0" t="s">
        <v>517</v>
      </c>
      <c r="C3860" s="0" t="s">
        <v>322</v>
      </c>
      <c r="D3860" s="0" t="s">
        <v>275</v>
      </c>
      <c r="E3860" s="0" t="n">
        <v>19</v>
      </c>
      <c r="F3860" s="0" t="s">
        <v>78</v>
      </c>
      <c r="G3860" s="0" t="s">
        <v>80</v>
      </c>
      <c r="H3860" s="0" t="s">
        <v>80</v>
      </c>
      <c r="I3860" s="0" t="s">
        <v>34</v>
      </c>
      <c r="J3860" s="0" t="n">
        <v>1.83</v>
      </c>
      <c r="K3860" s="0" t="s">
        <v>73</v>
      </c>
      <c r="L3860" s="0" t="n">
        <f aca="false">INDEX(Summary!$F$2:$F$201,MATCH($B3860,Summary!$A$2:$A$201,0))</f>
        <v>20</v>
      </c>
      <c r="M3860" s="0" t="n">
        <f aca="false">INDEX(Summary!$I$2:$I$201,MATCH($B3860,Summary!$A$2:$A$201,0))</f>
        <v>2</v>
      </c>
      <c r="N3860" s="0" t="n">
        <f aca="false">INDEX(Summary!$J$2:$J$201,MATCH($B3860,Summary!$A$2:$A$201,0))</f>
        <v>3</v>
      </c>
      <c r="O3860" s="2" t="n">
        <f aca="false">INDEX(Summary!$K$2:$K$201,MATCH($B3860,Summary!$A$2:$A$201,0))</f>
        <v>9.37</v>
      </c>
      <c r="P3860" s="3" t="n">
        <f aca="false">INDEX(Summary!$L$2:$L$201,MATCH($B3860,Summary!$A$2:$A$201,0))</f>
        <v>5</v>
      </c>
      <c r="Q3860" s="3" t="n">
        <f aca="false">INDEX(Summary!$M$2:$M$201,MATCH($B3860,Summary!$A$2:$A$201,0))</f>
        <v>1</v>
      </c>
      <c r="R3860" s="2" t="n">
        <f aca="false">INDEX(Summary!$N$2:$N$201,MATCH($B3860,Summary!$A$2:$A$201,0))</f>
        <v>10.9</v>
      </c>
      <c r="S3860" s="3" t="n">
        <f aca="false">INDEX(Summary!$O$2:$O$201,MATCH($B3860,Summary!$A$2:$A$201,0))</f>
        <v>8</v>
      </c>
      <c r="T3860" s="3" t="n">
        <f aca="false">INDEX(Summary!$P$2:$P$201,MATCH($B3860,Summary!$A$2:$A$201,0))</f>
        <v>1</v>
      </c>
      <c r="U3860" s="2" t="n">
        <f aca="false">INDEX(Summary!$Q$2:$Q$201,MATCH($B3860,Summary!$A$2:$A$201,0))</f>
        <v>13.8</v>
      </c>
      <c r="V3860" s="2" t="n">
        <f aca="false">INDEX(Summary!$R$2:$R$201,MATCH($B3860,Summary!$A$2:$A$201,0))</f>
        <v>26.14</v>
      </c>
      <c r="W3860" s="0" t="str">
        <f aca="false">INDEX(Summary!$S$2:$S$201,MATCH($B3860,Summary!$A$2:$A$201,0))</f>
        <v>Silver</v>
      </c>
      <c r="X3860" s="2" t="n">
        <f aca="false">INDEX(Summary!$T$2:$T$201,MATCH($B3860,Summary!$A$2:$A$201,0))</f>
        <v>63.76</v>
      </c>
      <c r="Y3860" s="0" t="str">
        <f aca="false">INDEX('Reward Model'!$E$18:$E$37,MATCH($E3860,'Reward Model'!$A$18:$A$37,0))</f>
        <v>High</v>
      </c>
      <c r="Z3860" s="4" t="n">
        <f aca="false">ROUND(MIN(1,MAX('Reward Model'!$B$2,INDEX('Reward Model'!$C$12:$C$14,MATCH($K3860,'Reward Model'!$A$12:$A$14,0))/$J3860)),3)</f>
        <v>1</v>
      </c>
      <c r="AA3860" s="2" t="n">
        <f aca="false">IF($I3860="Correct",ROUND(INDEX('Reward Model'!$B$12:$B$14,MATCH($K3860,'Reward Model'!$A$12:$A$14,0))*Z3860,2),0)</f>
        <v>3</v>
      </c>
      <c r="AB3860" s="2" t="n">
        <f aca="false">IF($I3860="Correct",ROUND(INDEX('Reward Model'!$B$12:$B$14,MATCH($Y3860,'Reward Model'!$A$12:$A$14,0))*Z3860,2),0)</f>
        <v>3</v>
      </c>
    </row>
    <row r="3861" customFormat="false" ht="15" hidden="false" customHeight="false" outlineLevel="0" collapsed="false">
      <c r="A3861" s="0" t="s">
        <v>516</v>
      </c>
      <c r="B3861" s="0" t="s">
        <v>517</v>
      </c>
      <c r="C3861" s="0" t="s">
        <v>322</v>
      </c>
      <c r="D3861" s="0" t="s">
        <v>275</v>
      </c>
      <c r="E3861" s="0" t="n">
        <v>20</v>
      </c>
      <c r="F3861" s="0" t="s">
        <v>81</v>
      </c>
      <c r="G3861" s="0" t="s">
        <v>119</v>
      </c>
      <c r="H3861" s="0" t="s">
        <v>83</v>
      </c>
      <c r="I3861" s="0" t="s">
        <v>39</v>
      </c>
      <c r="J3861" s="0" t="n">
        <v>1.98</v>
      </c>
      <c r="K3861" s="0" t="s">
        <v>73</v>
      </c>
      <c r="L3861" s="0" t="n">
        <f aca="false">INDEX(Summary!$F$2:$F$201,MATCH($B3861,Summary!$A$2:$A$201,0))</f>
        <v>20</v>
      </c>
      <c r="M3861" s="0" t="n">
        <f aca="false">INDEX(Summary!$I$2:$I$201,MATCH($B3861,Summary!$A$2:$A$201,0))</f>
        <v>2</v>
      </c>
      <c r="N3861" s="0" t="n">
        <f aca="false">INDEX(Summary!$J$2:$J$201,MATCH($B3861,Summary!$A$2:$A$201,0))</f>
        <v>3</v>
      </c>
      <c r="O3861" s="2" t="n">
        <f aca="false">INDEX(Summary!$K$2:$K$201,MATCH($B3861,Summary!$A$2:$A$201,0))</f>
        <v>9.37</v>
      </c>
      <c r="P3861" s="3" t="n">
        <f aca="false">INDEX(Summary!$L$2:$L$201,MATCH($B3861,Summary!$A$2:$A$201,0))</f>
        <v>5</v>
      </c>
      <c r="Q3861" s="3" t="n">
        <f aca="false">INDEX(Summary!$M$2:$M$201,MATCH($B3861,Summary!$A$2:$A$201,0))</f>
        <v>1</v>
      </c>
      <c r="R3861" s="2" t="n">
        <f aca="false">INDEX(Summary!$N$2:$N$201,MATCH($B3861,Summary!$A$2:$A$201,0))</f>
        <v>10.9</v>
      </c>
      <c r="S3861" s="3" t="n">
        <f aca="false">INDEX(Summary!$O$2:$O$201,MATCH($B3861,Summary!$A$2:$A$201,0))</f>
        <v>8</v>
      </c>
      <c r="T3861" s="3" t="n">
        <f aca="false">INDEX(Summary!$P$2:$P$201,MATCH($B3861,Summary!$A$2:$A$201,0))</f>
        <v>1</v>
      </c>
      <c r="U3861" s="2" t="n">
        <f aca="false">INDEX(Summary!$Q$2:$Q$201,MATCH($B3861,Summary!$A$2:$A$201,0))</f>
        <v>13.8</v>
      </c>
      <c r="V3861" s="2" t="n">
        <f aca="false">INDEX(Summary!$R$2:$R$201,MATCH($B3861,Summary!$A$2:$A$201,0))</f>
        <v>26.14</v>
      </c>
      <c r="W3861" s="0" t="str">
        <f aca="false">INDEX(Summary!$S$2:$S$201,MATCH($B3861,Summary!$A$2:$A$201,0))</f>
        <v>Silver</v>
      </c>
      <c r="X3861" s="2" t="n">
        <f aca="false">INDEX(Summary!$T$2:$T$201,MATCH($B3861,Summary!$A$2:$A$201,0))</f>
        <v>63.76</v>
      </c>
      <c r="Y3861" s="0" t="str">
        <f aca="false">INDEX('Reward Model'!$E$18:$E$37,MATCH($E3861,'Reward Model'!$A$18:$A$37,0))</f>
        <v>High</v>
      </c>
      <c r="Z3861" s="4" t="n">
        <f aca="false">ROUND(MIN(1,MAX('Reward Model'!$B$2,INDEX('Reward Model'!$C$12:$C$14,MATCH($K3861,'Reward Model'!$A$12:$A$14,0))/$J3861)),3)</f>
        <v>1</v>
      </c>
      <c r="AA3861" s="2" t="n">
        <f aca="false">IF($I3861="Correct",ROUND(INDEX('Reward Model'!$B$12:$B$14,MATCH($K3861,'Reward Model'!$A$12:$A$14,0))*Z3861,2),0)</f>
        <v>0</v>
      </c>
      <c r="AB3861" s="2" t="n">
        <f aca="false">IF($I3861="Correct",ROUND(INDEX('Reward Model'!$B$12:$B$14,MATCH($Y3861,'Reward Model'!$A$12:$A$14,0))*Z3861,2),0)</f>
        <v>0</v>
      </c>
    </row>
    <row r="3862" customFormat="false" ht="15" hidden="false" customHeight="false" outlineLevel="0" collapsed="false">
      <c r="A3862" s="0" t="s">
        <v>518</v>
      </c>
      <c r="B3862" s="0" t="s">
        <v>519</v>
      </c>
      <c r="C3862" s="0" t="s">
        <v>322</v>
      </c>
      <c r="D3862" s="0" t="s">
        <v>275</v>
      </c>
      <c r="E3862" s="0" t="n">
        <v>1</v>
      </c>
      <c r="F3862" s="0" t="s">
        <v>32</v>
      </c>
      <c r="G3862" s="0" t="s">
        <v>122</v>
      </c>
      <c r="H3862" s="0" t="s">
        <v>33</v>
      </c>
      <c r="I3862" s="0" t="s">
        <v>39</v>
      </c>
      <c r="J3862" s="0" t="n">
        <v>1.33</v>
      </c>
      <c r="K3862" s="0" t="s">
        <v>35</v>
      </c>
      <c r="L3862" s="0" t="n">
        <f aca="false">INDEX(Summary!$F$2:$F$201,MATCH($B3862,Summary!$A$2:$A$201,0))</f>
        <v>20</v>
      </c>
      <c r="M3862" s="0" t="n">
        <f aca="false">INDEX(Summary!$I$2:$I$201,MATCH($B3862,Summary!$A$2:$A$201,0))</f>
        <v>2</v>
      </c>
      <c r="N3862" s="0" t="n">
        <f aca="false">INDEX(Summary!$J$2:$J$201,MATCH($B3862,Summary!$A$2:$A$201,0))</f>
        <v>3</v>
      </c>
      <c r="O3862" s="2" t="n">
        <f aca="false">INDEX(Summary!$K$2:$K$201,MATCH($B3862,Summary!$A$2:$A$201,0))</f>
        <v>9.86</v>
      </c>
      <c r="P3862" s="3" t="n">
        <f aca="false">INDEX(Summary!$L$2:$L$201,MATCH($B3862,Summary!$A$2:$A$201,0))</f>
        <v>2</v>
      </c>
      <c r="Q3862" s="3" t="n">
        <f aca="false">INDEX(Summary!$M$2:$M$201,MATCH($B3862,Summary!$A$2:$A$201,0))</f>
        <v>4</v>
      </c>
      <c r="R3862" s="2" t="n">
        <f aca="false">INDEX(Summary!$N$2:$N$201,MATCH($B3862,Summary!$A$2:$A$201,0))</f>
        <v>10.11</v>
      </c>
      <c r="S3862" s="3" t="n">
        <f aca="false">INDEX(Summary!$O$2:$O$201,MATCH($B3862,Summary!$A$2:$A$201,0))</f>
        <v>8</v>
      </c>
      <c r="T3862" s="3" t="n">
        <f aca="false">INDEX(Summary!$P$2:$P$201,MATCH($B3862,Summary!$A$2:$A$201,0))</f>
        <v>1</v>
      </c>
      <c r="U3862" s="2" t="n">
        <f aca="false">INDEX(Summary!$Q$2:$Q$201,MATCH($B3862,Summary!$A$2:$A$201,0))</f>
        <v>12.77</v>
      </c>
      <c r="V3862" s="2" t="n">
        <f aca="false">INDEX(Summary!$R$2:$R$201,MATCH($B3862,Summary!$A$2:$A$201,0))</f>
        <v>21.36</v>
      </c>
      <c r="W3862" s="0" t="str">
        <f aca="false">INDEX(Summary!$S$2:$S$201,MATCH($B3862,Summary!$A$2:$A$201,0))</f>
        <v>Silver</v>
      </c>
      <c r="X3862" s="2" t="n">
        <f aca="false">INDEX(Summary!$T$2:$T$201,MATCH($B3862,Summary!$A$2:$A$201,0))</f>
        <v>52.1</v>
      </c>
      <c r="Y3862" s="0" t="str">
        <f aca="false">INDEX('Reward Model'!$E$18:$E$37,MATCH($E3862,'Reward Model'!$A$18:$A$37,0))</f>
        <v>Medium</v>
      </c>
      <c r="Z3862" s="4" t="n">
        <f aca="false">ROUND(MIN(1,MAX('Reward Model'!$B$2,INDEX('Reward Model'!$C$12:$C$14,MATCH($K3862,'Reward Model'!$A$12:$A$14,0))/$J3862)),3)</f>
        <v>1</v>
      </c>
      <c r="AA3862" s="2" t="n">
        <f aca="false">IF($I3862="Correct",ROUND(INDEX('Reward Model'!$B$12:$B$14,MATCH($K3862,'Reward Model'!$A$12:$A$14,0))*Z3862,2),0)</f>
        <v>0</v>
      </c>
      <c r="AB3862" s="2" t="n">
        <f aca="false">IF($I3862="Correct",ROUND(INDEX('Reward Model'!$B$12:$B$14,MATCH($Y3862,'Reward Model'!$A$12:$A$14,0))*Z3862,2),0)</f>
        <v>0</v>
      </c>
    </row>
    <row r="3863" customFormat="false" ht="15" hidden="false" customHeight="false" outlineLevel="0" collapsed="false">
      <c r="A3863" s="0" t="s">
        <v>518</v>
      </c>
      <c r="B3863" s="0" t="s">
        <v>519</v>
      </c>
      <c r="C3863" s="0" t="s">
        <v>322</v>
      </c>
      <c r="D3863" s="0" t="s">
        <v>275</v>
      </c>
      <c r="E3863" s="0" t="n">
        <v>2</v>
      </c>
      <c r="F3863" s="0" t="s">
        <v>36</v>
      </c>
      <c r="G3863" s="0" t="s">
        <v>38</v>
      </c>
      <c r="H3863" s="0" t="s">
        <v>38</v>
      </c>
      <c r="I3863" s="0" t="s">
        <v>34</v>
      </c>
      <c r="J3863" s="0" t="n">
        <v>1.46</v>
      </c>
      <c r="K3863" s="0" t="s">
        <v>35</v>
      </c>
      <c r="L3863" s="0" t="n">
        <f aca="false">INDEX(Summary!$F$2:$F$201,MATCH($B3863,Summary!$A$2:$A$201,0))</f>
        <v>20</v>
      </c>
      <c r="M3863" s="0" t="n">
        <f aca="false">INDEX(Summary!$I$2:$I$201,MATCH($B3863,Summary!$A$2:$A$201,0))</f>
        <v>2</v>
      </c>
      <c r="N3863" s="0" t="n">
        <f aca="false">INDEX(Summary!$J$2:$J$201,MATCH($B3863,Summary!$A$2:$A$201,0))</f>
        <v>3</v>
      </c>
      <c r="O3863" s="2" t="n">
        <f aca="false">INDEX(Summary!$K$2:$K$201,MATCH($B3863,Summary!$A$2:$A$201,0))</f>
        <v>9.86</v>
      </c>
      <c r="P3863" s="3" t="n">
        <f aca="false">INDEX(Summary!$L$2:$L$201,MATCH($B3863,Summary!$A$2:$A$201,0))</f>
        <v>2</v>
      </c>
      <c r="Q3863" s="3" t="n">
        <f aca="false">INDEX(Summary!$M$2:$M$201,MATCH($B3863,Summary!$A$2:$A$201,0))</f>
        <v>4</v>
      </c>
      <c r="R3863" s="2" t="n">
        <f aca="false">INDEX(Summary!$N$2:$N$201,MATCH($B3863,Summary!$A$2:$A$201,0))</f>
        <v>10.11</v>
      </c>
      <c r="S3863" s="3" t="n">
        <f aca="false">INDEX(Summary!$O$2:$O$201,MATCH($B3863,Summary!$A$2:$A$201,0))</f>
        <v>8</v>
      </c>
      <c r="T3863" s="3" t="n">
        <f aca="false">INDEX(Summary!$P$2:$P$201,MATCH($B3863,Summary!$A$2:$A$201,0))</f>
        <v>1</v>
      </c>
      <c r="U3863" s="2" t="n">
        <f aca="false">INDEX(Summary!$Q$2:$Q$201,MATCH($B3863,Summary!$A$2:$A$201,0))</f>
        <v>12.77</v>
      </c>
      <c r="V3863" s="2" t="n">
        <f aca="false">INDEX(Summary!$R$2:$R$201,MATCH($B3863,Summary!$A$2:$A$201,0))</f>
        <v>21.36</v>
      </c>
      <c r="W3863" s="0" t="str">
        <f aca="false">INDEX(Summary!$S$2:$S$201,MATCH($B3863,Summary!$A$2:$A$201,0))</f>
        <v>Silver</v>
      </c>
      <c r="X3863" s="2" t="n">
        <f aca="false">INDEX(Summary!$T$2:$T$201,MATCH($B3863,Summary!$A$2:$A$201,0))</f>
        <v>52.1</v>
      </c>
      <c r="Y3863" s="0" t="str">
        <f aca="false">INDEX('Reward Model'!$E$18:$E$37,MATCH($E3863,'Reward Model'!$A$18:$A$37,0))</f>
        <v>Low</v>
      </c>
      <c r="Z3863" s="4" t="n">
        <f aca="false">ROUND(MIN(1,MAX('Reward Model'!$B$2,INDEX('Reward Model'!$C$12:$C$14,MATCH($K3863,'Reward Model'!$A$12:$A$14,0))/$J3863)),3)</f>
        <v>1</v>
      </c>
      <c r="AA3863" s="2" t="n">
        <f aca="false">IF($I3863="Correct",ROUND(INDEX('Reward Model'!$B$12:$B$14,MATCH($K3863,'Reward Model'!$A$12:$A$14,0))*Z3863,2),0)</f>
        <v>1</v>
      </c>
      <c r="AB3863" s="2" t="n">
        <f aca="false">IF($I3863="Correct",ROUND(INDEX('Reward Model'!$B$12:$B$14,MATCH($Y3863,'Reward Model'!$A$12:$A$14,0))*Z3863,2),0)</f>
        <v>1</v>
      </c>
    </row>
    <row r="3864" customFormat="false" ht="15" hidden="false" customHeight="false" outlineLevel="0" collapsed="false">
      <c r="A3864" s="0" t="s">
        <v>518</v>
      </c>
      <c r="B3864" s="0" t="s">
        <v>519</v>
      </c>
      <c r="C3864" s="0" t="s">
        <v>322</v>
      </c>
      <c r="D3864" s="0" t="s">
        <v>275</v>
      </c>
      <c r="E3864" s="0" t="n">
        <v>3</v>
      </c>
      <c r="F3864" s="0" t="s">
        <v>40</v>
      </c>
      <c r="G3864" s="0" t="s">
        <v>42</v>
      </c>
      <c r="H3864" s="0" t="s">
        <v>42</v>
      </c>
      <c r="I3864" s="0" t="s">
        <v>34</v>
      </c>
      <c r="J3864" s="0" t="n">
        <v>1.46</v>
      </c>
      <c r="K3864" s="0" t="s">
        <v>35</v>
      </c>
      <c r="L3864" s="0" t="n">
        <f aca="false">INDEX(Summary!$F$2:$F$201,MATCH($B3864,Summary!$A$2:$A$201,0))</f>
        <v>20</v>
      </c>
      <c r="M3864" s="0" t="n">
        <f aca="false">INDEX(Summary!$I$2:$I$201,MATCH($B3864,Summary!$A$2:$A$201,0))</f>
        <v>2</v>
      </c>
      <c r="N3864" s="0" t="n">
        <f aca="false">INDEX(Summary!$J$2:$J$201,MATCH($B3864,Summary!$A$2:$A$201,0))</f>
        <v>3</v>
      </c>
      <c r="O3864" s="2" t="n">
        <f aca="false">INDEX(Summary!$K$2:$K$201,MATCH($B3864,Summary!$A$2:$A$201,0))</f>
        <v>9.86</v>
      </c>
      <c r="P3864" s="3" t="n">
        <f aca="false">INDEX(Summary!$L$2:$L$201,MATCH($B3864,Summary!$A$2:$A$201,0))</f>
        <v>2</v>
      </c>
      <c r="Q3864" s="3" t="n">
        <f aca="false">INDEX(Summary!$M$2:$M$201,MATCH($B3864,Summary!$A$2:$A$201,0))</f>
        <v>4</v>
      </c>
      <c r="R3864" s="2" t="n">
        <f aca="false">INDEX(Summary!$N$2:$N$201,MATCH($B3864,Summary!$A$2:$A$201,0))</f>
        <v>10.11</v>
      </c>
      <c r="S3864" s="3" t="n">
        <f aca="false">INDEX(Summary!$O$2:$O$201,MATCH($B3864,Summary!$A$2:$A$201,0))</f>
        <v>8</v>
      </c>
      <c r="T3864" s="3" t="n">
        <f aca="false">INDEX(Summary!$P$2:$P$201,MATCH($B3864,Summary!$A$2:$A$201,0))</f>
        <v>1</v>
      </c>
      <c r="U3864" s="2" t="n">
        <f aca="false">INDEX(Summary!$Q$2:$Q$201,MATCH($B3864,Summary!$A$2:$A$201,0))</f>
        <v>12.77</v>
      </c>
      <c r="V3864" s="2" t="n">
        <f aca="false">INDEX(Summary!$R$2:$R$201,MATCH($B3864,Summary!$A$2:$A$201,0))</f>
        <v>21.36</v>
      </c>
      <c r="W3864" s="0" t="str">
        <f aca="false">INDEX(Summary!$S$2:$S$201,MATCH($B3864,Summary!$A$2:$A$201,0))</f>
        <v>Silver</v>
      </c>
      <c r="X3864" s="2" t="n">
        <f aca="false">INDEX(Summary!$T$2:$T$201,MATCH($B3864,Summary!$A$2:$A$201,0))</f>
        <v>52.1</v>
      </c>
      <c r="Y3864" s="0" t="str">
        <f aca="false">INDEX('Reward Model'!$E$18:$E$37,MATCH($E3864,'Reward Model'!$A$18:$A$37,0))</f>
        <v>Medium</v>
      </c>
      <c r="Z3864" s="4" t="n">
        <f aca="false">ROUND(MIN(1,MAX('Reward Model'!$B$2,INDEX('Reward Model'!$C$12:$C$14,MATCH($K3864,'Reward Model'!$A$12:$A$14,0))/$J3864)),3)</f>
        <v>1</v>
      </c>
      <c r="AA3864" s="2" t="n">
        <f aca="false">IF($I3864="Correct",ROUND(INDEX('Reward Model'!$B$12:$B$14,MATCH($K3864,'Reward Model'!$A$12:$A$14,0))*Z3864,2),0)</f>
        <v>1</v>
      </c>
      <c r="AB3864" s="2" t="n">
        <f aca="false">IF($I3864="Correct",ROUND(INDEX('Reward Model'!$B$12:$B$14,MATCH($Y3864,'Reward Model'!$A$12:$A$14,0))*Z3864,2),0)</f>
        <v>2</v>
      </c>
    </row>
    <row r="3865" customFormat="false" ht="15" hidden="false" customHeight="false" outlineLevel="0" collapsed="false">
      <c r="A3865" s="0" t="s">
        <v>518</v>
      </c>
      <c r="B3865" s="0" t="s">
        <v>519</v>
      </c>
      <c r="C3865" s="0" t="s">
        <v>322</v>
      </c>
      <c r="D3865" s="0" t="s">
        <v>275</v>
      </c>
      <c r="E3865" s="0" t="n">
        <v>4</v>
      </c>
      <c r="F3865" s="0" t="s">
        <v>43</v>
      </c>
      <c r="G3865" s="0" t="s">
        <v>45</v>
      </c>
      <c r="H3865" s="0" t="s">
        <v>45</v>
      </c>
      <c r="I3865" s="0" t="s">
        <v>34</v>
      </c>
      <c r="J3865" s="0" t="n">
        <v>1.69</v>
      </c>
      <c r="K3865" s="0" t="s">
        <v>35</v>
      </c>
      <c r="L3865" s="0" t="n">
        <f aca="false">INDEX(Summary!$F$2:$F$201,MATCH($B3865,Summary!$A$2:$A$201,0))</f>
        <v>20</v>
      </c>
      <c r="M3865" s="0" t="n">
        <f aca="false">INDEX(Summary!$I$2:$I$201,MATCH($B3865,Summary!$A$2:$A$201,0))</f>
        <v>2</v>
      </c>
      <c r="N3865" s="0" t="n">
        <f aca="false">INDEX(Summary!$J$2:$J$201,MATCH($B3865,Summary!$A$2:$A$201,0))</f>
        <v>3</v>
      </c>
      <c r="O3865" s="2" t="n">
        <f aca="false">INDEX(Summary!$K$2:$K$201,MATCH($B3865,Summary!$A$2:$A$201,0))</f>
        <v>9.86</v>
      </c>
      <c r="P3865" s="3" t="n">
        <f aca="false">INDEX(Summary!$L$2:$L$201,MATCH($B3865,Summary!$A$2:$A$201,0))</f>
        <v>2</v>
      </c>
      <c r="Q3865" s="3" t="n">
        <f aca="false">INDEX(Summary!$M$2:$M$201,MATCH($B3865,Summary!$A$2:$A$201,0))</f>
        <v>4</v>
      </c>
      <c r="R3865" s="2" t="n">
        <f aca="false">INDEX(Summary!$N$2:$N$201,MATCH($B3865,Summary!$A$2:$A$201,0))</f>
        <v>10.11</v>
      </c>
      <c r="S3865" s="3" t="n">
        <f aca="false">INDEX(Summary!$O$2:$O$201,MATCH($B3865,Summary!$A$2:$A$201,0))</f>
        <v>8</v>
      </c>
      <c r="T3865" s="3" t="n">
        <f aca="false">INDEX(Summary!$P$2:$P$201,MATCH($B3865,Summary!$A$2:$A$201,0))</f>
        <v>1</v>
      </c>
      <c r="U3865" s="2" t="n">
        <f aca="false">INDEX(Summary!$Q$2:$Q$201,MATCH($B3865,Summary!$A$2:$A$201,0))</f>
        <v>12.77</v>
      </c>
      <c r="V3865" s="2" t="n">
        <f aca="false">INDEX(Summary!$R$2:$R$201,MATCH($B3865,Summary!$A$2:$A$201,0))</f>
        <v>21.36</v>
      </c>
      <c r="W3865" s="0" t="str">
        <f aca="false">INDEX(Summary!$S$2:$S$201,MATCH($B3865,Summary!$A$2:$A$201,0))</f>
        <v>Silver</v>
      </c>
      <c r="X3865" s="2" t="n">
        <f aca="false">INDEX(Summary!$T$2:$T$201,MATCH($B3865,Summary!$A$2:$A$201,0))</f>
        <v>52.1</v>
      </c>
      <c r="Y3865" s="0" t="str">
        <f aca="false">INDEX('Reward Model'!$E$18:$E$37,MATCH($E3865,'Reward Model'!$A$18:$A$37,0))</f>
        <v>Low</v>
      </c>
      <c r="Z3865" s="4" t="n">
        <f aca="false">ROUND(MIN(1,MAX('Reward Model'!$B$2,INDEX('Reward Model'!$C$12:$C$14,MATCH($K3865,'Reward Model'!$A$12:$A$14,0))/$J3865)),3)</f>
        <v>0.888</v>
      </c>
      <c r="AA3865" s="2" t="n">
        <f aca="false">IF($I3865="Correct",ROUND(INDEX('Reward Model'!$B$12:$B$14,MATCH($K3865,'Reward Model'!$A$12:$A$14,0))*Z3865,2),0)</f>
        <v>0.89</v>
      </c>
      <c r="AB3865" s="2" t="n">
        <f aca="false">IF($I3865="Correct",ROUND(INDEX('Reward Model'!$B$12:$B$14,MATCH($Y3865,'Reward Model'!$A$12:$A$14,0))*Z3865,2),0)</f>
        <v>0.89</v>
      </c>
    </row>
    <row r="3866" customFormat="false" ht="15" hidden="false" customHeight="false" outlineLevel="0" collapsed="false">
      <c r="A3866" s="0" t="s">
        <v>518</v>
      </c>
      <c r="B3866" s="0" t="s">
        <v>519</v>
      </c>
      <c r="C3866" s="0" t="s">
        <v>322</v>
      </c>
      <c r="D3866" s="0" t="s">
        <v>275</v>
      </c>
      <c r="E3866" s="0" t="n">
        <v>5</v>
      </c>
      <c r="F3866" s="0" t="s">
        <v>46</v>
      </c>
      <c r="G3866" s="0" t="s">
        <v>47</v>
      </c>
      <c r="H3866" s="0" t="s">
        <v>47</v>
      </c>
      <c r="I3866" s="0" t="s">
        <v>34</v>
      </c>
      <c r="J3866" s="0" t="n">
        <v>1.25</v>
      </c>
      <c r="K3866" s="0" t="s">
        <v>35</v>
      </c>
      <c r="L3866" s="0" t="n">
        <f aca="false">INDEX(Summary!$F$2:$F$201,MATCH($B3866,Summary!$A$2:$A$201,0))</f>
        <v>20</v>
      </c>
      <c r="M3866" s="0" t="n">
        <f aca="false">INDEX(Summary!$I$2:$I$201,MATCH($B3866,Summary!$A$2:$A$201,0))</f>
        <v>2</v>
      </c>
      <c r="N3866" s="0" t="n">
        <f aca="false">INDEX(Summary!$J$2:$J$201,MATCH($B3866,Summary!$A$2:$A$201,0))</f>
        <v>3</v>
      </c>
      <c r="O3866" s="2" t="n">
        <f aca="false">INDEX(Summary!$K$2:$K$201,MATCH($B3866,Summary!$A$2:$A$201,0))</f>
        <v>9.86</v>
      </c>
      <c r="P3866" s="3" t="n">
        <f aca="false">INDEX(Summary!$L$2:$L$201,MATCH($B3866,Summary!$A$2:$A$201,0))</f>
        <v>2</v>
      </c>
      <c r="Q3866" s="3" t="n">
        <f aca="false">INDEX(Summary!$M$2:$M$201,MATCH($B3866,Summary!$A$2:$A$201,0))</f>
        <v>4</v>
      </c>
      <c r="R3866" s="2" t="n">
        <f aca="false">INDEX(Summary!$N$2:$N$201,MATCH($B3866,Summary!$A$2:$A$201,0))</f>
        <v>10.11</v>
      </c>
      <c r="S3866" s="3" t="n">
        <f aca="false">INDEX(Summary!$O$2:$O$201,MATCH($B3866,Summary!$A$2:$A$201,0))</f>
        <v>8</v>
      </c>
      <c r="T3866" s="3" t="n">
        <f aca="false">INDEX(Summary!$P$2:$P$201,MATCH($B3866,Summary!$A$2:$A$201,0))</f>
        <v>1</v>
      </c>
      <c r="U3866" s="2" t="n">
        <f aca="false">INDEX(Summary!$Q$2:$Q$201,MATCH($B3866,Summary!$A$2:$A$201,0))</f>
        <v>12.77</v>
      </c>
      <c r="V3866" s="2" t="n">
        <f aca="false">INDEX(Summary!$R$2:$R$201,MATCH($B3866,Summary!$A$2:$A$201,0))</f>
        <v>21.36</v>
      </c>
      <c r="W3866" s="0" t="str">
        <f aca="false">INDEX(Summary!$S$2:$S$201,MATCH($B3866,Summary!$A$2:$A$201,0))</f>
        <v>Silver</v>
      </c>
      <c r="X3866" s="2" t="n">
        <f aca="false">INDEX(Summary!$T$2:$T$201,MATCH($B3866,Summary!$A$2:$A$201,0))</f>
        <v>52.1</v>
      </c>
      <c r="Y3866" s="0" t="str">
        <f aca="false">INDEX('Reward Model'!$E$18:$E$37,MATCH($E3866,'Reward Model'!$A$18:$A$37,0))</f>
        <v>Low</v>
      </c>
      <c r="Z3866" s="4" t="n">
        <f aca="false">ROUND(MIN(1,MAX('Reward Model'!$B$2,INDEX('Reward Model'!$C$12:$C$14,MATCH($K3866,'Reward Model'!$A$12:$A$14,0))/$J3866)),3)</f>
        <v>1</v>
      </c>
      <c r="AA3866" s="2" t="n">
        <f aca="false">IF($I3866="Correct",ROUND(INDEX('Reward Model'!$B$12:$B$14,MATCH($K3866,'Reward Model'!$A$12:$A$14,0))*Z3866,2),0)</f>
        <v>1</v>
      </c>
      <c r="AB3866" s="2" t="n">
        <f aca="false">IF($I3866="Correct",ROUND(INDEX('Reward Model'!$B$12:$B$14,MATCH($Y3866,'Reward Model'!$A$12:$A$14,0))*Z3866,2),0)</f>
        <v>1</v>
      </c>
    </row>
    <row r="3867" customFormat="false" ht="15" hidden="false" customHeight="false" outlineLevel="0" collapsed="false">
      <c r="A3867" s="0" t="s">
        <v>518</v>
      </c>
      <c r="B3867" s="0" t="s">
        <v>519</v>
      </c>
      <c r="C3867" s="0" t="s">
        <v>322</v>
      </c>
      <c r="D3867" s="0" t="s">
        <v>275</v>
      </c>
      <c r="E3867" s="0" t="n">
        <v>6</v>
      </c>
      <c r="F3867" s="0" t="s">
        <v>48</v>
      </c>
      <c r="G3867" s="0" t="s">
        <v>49</v>
      </c>
      <c r="H3867" s="0" t="s">
        <v>49</v>
      </c>
      <c r="I3867" s="0" t="s">
        <v>34</v>
      </c>
      <c r="J3867" s="0" t="n">
        <v>1.8</v>
      </c>
      <c r="K3867" s="0" t="s">
        <v>35</v>
      </c>
      <c r="L3867" s="0" t="n">
        <f aca="false">INDEX(Summary!$F$2:$F$201,MATCH($B3867,Summary!$A$2:$A$201,0))</f>
        <v>20</v>
      </c>
      <c r="M3867" s="0" t="n">
        <f aca="false">INDEX(Summary!$I$2:$I$201,MATCH($B3867,Summary!$A$2:$A$201,0))</f>
        <v>2</v>
      </c>
      <c r="N3867" s="0" t="n">
        <f aca="false">INDEX(Summary!$J$2:$J$201,MATCH($B3867,Summary!$A$2:$A$201,0))</f>
        <v>3</v>
      </c>
      <c r="O3867" s="2" t="n">
        <f aca="false">INDEX(Summary!$K$2:$K$201,MATCH($B3867,Summary!$A$2:$A$201,0))</f>
        <v>9.86</v>
      </c>
      <c r="P3867" s="3" t="n">
        <f aca="false">INDEX(Summary!$L$2:$L$201,MATCH($B3867,Summary!$A$2:$A$201,0))</f>
        <v>2</v>
      </c>
      <c r="Q3867" s="3" t="n">
        <f aca="false">INDEX(Summary!$M$2:$M$201,MATCH($B3867,Summary!$A$2:$A$201,0))</f>
        <v>4</v>
      </c>
      <c r="R3867" s="2" t="n">
        <f aca="false">INDEX(Summary!$N$2:$N$201,MATCH($B3867,Summary!$A$2:$A$201,0))</f>
        <v>10.11</v>
      </c>
      <c r="S3867" s="3" t="n">
        <f aca="false">INDEX(Summary!$O$2:$O$201,MATCH($B3867,Summary!$A$2:$A$201,0))</f>
        <v>8</v>
      </c>
      <c r="T3867" s="3" t="n">
        <f aca="false">INDEX(Summary!$P$2:$P$201,MATCH($B3867,Summary!$A$2:$A$201,0))</f>
        <v>1</v>
      </c>
      <c r="U3867" s="2" t="n">
        <f aca="false">INDEX(Summary!$Q$2:$Q$201,MATCH($B3867,Summary!$A$2:$A$201,0))</f>
        <v>12.77</v>
      </c>
      <c r="V3867" s="2" t="n">
        <f aca="false">INDEX(Summary!$R$2:$R$201,MATCH($B3867,Summary!$A$2:$A$201,0))</f>
        <v>21.36</v>
      </c>
      <c r="W3867" s="0" t="str">
        <f aca="false">INDEX(Summary!$S$2:$S$201,MATCH($B3867,Summary!$A$2:$A$201,0))</f>
        <v>Silver</v>
      </c>
      <c r="X3867" s="2" t="n">
        <f aca="false">INDEX(Summary!$T$2:$T$201,MATCH($B3867,Summary!$A$2:$A$201,0))</f>
        <v>52.1</v>
      </c>
      <c r="Y3867" s="0" t="str">
        <f aca="false">INDEX('Reward Model'!$E$18:$E$37,MATCH($E3867,'Reward Model'!$A$18:$A$37,0))</f>
        <v>Medium</v>
      </c>
      <c r="Z3867" s="4" t="n">
        <f aca="false">ROUND(MIN(1,MAX('Reward Model'!$B$2,INDEX('Reward Model'!$C$12:$C$14,MATCH($K3867,'Reward Model'!$A$12:$A$14,0))/$J3867)),3)</f>
        <v>0.833</v>
      </c>
      <c r="AA3867" s="2" t="n">
        <f aca="false">IF($I3867="Correct",ROUND(INDEX('Reward Model'!$B$12:$B$14,MATCH($K3867,'Reward Model'!$A$12:$A$14,0))*Z3867,2),0)</f>
        <v>0.83</v>
      </c>
      <c r="AB3867" s="2" t="n">
        <f aca="false">IF($I3867="Correct",ROUND(INDEX('Reward Model'!$B$12:$B$14,MATCH($Y3867,'Reward Model'!$A$12:$A$14,0))*Z3867,2),0)</f>
        <v>1.67</v>
      </c>
    </row>
    <row r="3868" customFormat="false" ht="15" hidden="false" customHeight="false" outlineLevel="0" collapsed="false">
      <c r="A3868" s="0" t="s">
        <v>518</v>
      </c>
      <c r="B3868" s="0" t="s">
        <v>519</v>
      </c>
      <c r="C3868" s="0" t="s">
        <v>322</v>
      </c>
      <c r="D3868" s="0" t="s">
        <v>275</v>
      </c>
      <c r="E3868" s="0" t="n">
        <v>7</v>
      </c>
      <c r="F3868" s="0" t="s">
        <v>50</v>
      </c>
      <c r="G3868" s="0" t="s">
        <v>51</v>
      </c>
      <c r="H3868" s="0" t="s">
        <v>51</v>
      </c>
      <c r="I3868" s="0" t="s">
        <v>34</v>
      </c>
      <c r="J3868" s="0" t="n">
        <v>0.96</v>
      </c>
      <c r="K3868" s="0" t="s">
        <v>35</v>
      </c>
      <c r="L3868" s="0" t="n">
        <f aca="false">INDEX(Summary!$F$2:$F$201,MATCH($B3868,Summary!$A$2:$A$201,0))</f>
        <v>20</v>
      </c>
      <c r="M3868" s="0" t="n">
        <f aca="false">INDEX(Summary!$I$2:$I$201,MATCH($B3868,Summary!$A$2:$A$201,0))</f>
        <v>2</v>
      </c>
      <c r="N3868" s="0" t="n">
        <f aca="false">INDEX(Summary!$J$2:$J$201,MATCH($B3868,Summary!$A$2:$A$201,0))</f>
        <v>3</v>
      </c>
      <c r="O3868" s="2" t="n">
        <f aca="false">INDEX(Summary!$K$2:$K$201,MATCH($B3868,Summary!$A$2:$A$201,0))</f>
        <v>9.86</v>
      </c>
      <c r="P3868" s="3" t="n">
        <f aca="false">INDEX(Summary!$L$2:$L$201,MATCH($B3868,Summary!$A$2:$A$201,0))</f>
        <v>2</v>
      </c>
      <c r="Q3868" s="3" t="n">
        <f aca="false">INDEX(Summary!$M$2:$M$201,MATCH($B3868,Summary!$A$2:$A$201,0))</f>
        <v>4</v>
      </c>
      <c r="R3868" s="2" t="n">
        <f aca="false">INDEX(Summary!$N$2:$N$201,MATCH($B3868,Summary!$A$2:$A$201,0))</f>
        <v>10.11</v>
      </c>
      <c r="S3868" s="3" t="n">
        <f aca="false">INDEX(Summary!$O$2:$O$201,MATCH($B3868,Summary!$A$2:$A$201,0))</f>
        <v>8</v>
      </c>
      <c r="T3868" s="3" t="n">
        <f aca="false">INDEX(Summary!$P$2:$P$201,MATCH($B3868,Summary!$A$2:$A$201,0))</f>
        <v>1</v>
      </c>
      <c r="U3868" s="2" t="n">
        <f aca="false">INDEX(Summary!$Q$2:$Q$201,MATCH($B3868,Summary!$A$2:$A$201,0))</f>
        <v>12.77</v>
      </c>
      <c r="V3868" s="2" t="n">
        <f aca="false">INDEX(Summary!$R$2:$R$201,MATCH($B3868,Summary!$A$2:$A$201,0))</f>
        <v>21.36</v>
      </c>
      <c r="W3868" s="0" t="str">
        <f aca="false">INDEX(Summary!$S$2:$S$201,MATCH($B3868,Summary!$A$2:$A$201,0))</f>
        <v>Silver</v>
      </c>
      <c r="X3868" s="2" t="n">
        <f aca="false">INDEX(Summary!$T$2:$T$201,MATCH($B3868,Summary!$A$2:$A$201,0))</f>
        <v>52.1</v>
      </c>
      <c r="Y3868" s="0" t="str">
        <f aca="false">INDEX('Reward Model'!$E$18:$E$37,MATCH($E3868,'Reward Model'!$A$18:$A$37,0))</f>
        <v>Low</v>
      </c>
      <c r="Z3868" s="4" t="n">
        <f aca="false">ROUND(MIN(1,MAX('Reward Model'!$B$2,INDEX('Reward Model'!$C$12:$C$14,MATCH($K3868,'Reward Model'!$A$12:$A$14,0))/$J3868)),3)</f>
        <v>1</v>
      </c>
      <c r="AA3868" s="2" t="n">
        <f aca="false">IF($I3868="Correct",ROUND(INDEX('Reward Model'!$B$12:$B$14,MATCH($K3868,'Reward Model'!$A$12:$A$14,0))*Z3868,2),0)</f>
        <v>1</v>
      </c>
      <c r="AB3868" s="2" t="n">
        <f aca="false">IF($I3868="Correct",ROUND(INDEX('Reward Model'!$B$12:$B$14,MATCH($Y3868,'Reward Model'!$A$12:$A$14,0))*Z3868,2),0)</f>
        <v>1</v>
      </c>
    </row>
    <row r="3869" customFormat="false" ht="15" hidden="false" customHeight="false" outlineLevel="0" collapsed="false">
      <c r="A3869" s="0" t="s">
        <v>518</v>
      </c>
      <c r="B3869" s="0" t="s">
        <v>519</v>
      </c>
      <c r="C3869" s="0" t="s">
        <v>322</v>
      </c>
      <c r="D3869" s="0" t="s">
        <v>275</v>
      </c>
      <c r="E3869" s="0" t="n">
        <v>8</v>
      </c>
      <c r="F3869" s="0" t="s">
        <v>52</v>
      </c>
      <c r="G3869" s="0" t="s">
        <v>54</v>
      </c>
      <c r="H3869" s="0" t="s">
        <v>54</v>
      </c>
      <c r="I3869" s="0" t="s">
        <v>34</v>
      </c>
      <c r="J3869" s="0" t="n">
        <v>1.56</v>
      </c>
      <c r="K3869" s="0" t="s">
        <v>35</v>
      </c>
      <c r="L3869" s="0" t="n">
        <f aca="false">INDEX(Summary!$F$2:$F$201,MATCH($B3869,Summary!$A$2:$A$201,0))</f>
        <v>20</v>
      </c>
      <c r="M3869" s="0" t="n">
        <f aca="false">INDEX(Summary!$I$2:$I$201,MATCH($B3869,Summary!$A$2:$A$201,0))</f>
        <v>2</v>
      </c>
      <c r="N3869" s="0" t="n">
        <f aca="false">INDEX(Summary!$J$2:$J$201,MATCH($B3869,Summary!$A$2:$A$201,0))</f>
        <v>3</v>
      </c>
      <c r="O3869" s="2" t="n">
        <f aca="false">INDEX(Summary!$K$2:$K$201,MATCH($B3869,Summary!$A$2:$A$201,0))</f>
        <v>9.86</v>
      </c>
      <c r="P3869" s="3" t="n">
        <f aca="false">INDEX(Summary!$L$2:$L$201,MATCH($B3869,Summary!$A$2:$A$201,0))</f>
        <v>2</v>
      </c>
      <c r="Q3869" s="3" t="n">
        <f aca="false">INDEX(Summary!$M$2:$M$201,MATCH($B3869,Summary!$A$2:$A$201,0))</f>
        <v>4</v>
      </c>
      <c r="R3869" s="2" t="n">
        <f aca="false">INDEX(Summary!$N$2:$N$201,MATCH($B3869,Summary!$A$2:$A$201,0))</f>
        <v>10.11</v>
      </c>
      <c r="S3869" s="3" t="n">
        <f aca="false">INDEX(Summary!$O$2:$O$201,MATCH($B3869,Summary!$A$2:$A$201,0))</f>
        <v>8</v>
      </c>
      <c r="T3869" s="3" t="n">
        <f aca="false">INDEX(Summary!$P$2:$P$201,MATCH($B3869,Summary!$A$2:$A$201,0))</f>
        <v>1</v>
      </c>
      <c r="U3869" s="2" t="n">
        <f aca="false">INDEX(Summary!$Q$2:$Q$201,MATCH($B3869,Summary!$A$2:$A$201,0))</f>
        <v>12.77</v>
      </c>
      <c r="V3869" s="2" t="n">
        <f aca="false">INDEX(Summary!$R$2:$R$201,MATCH($B3869,Summary!$A$2:$A$201,0))</f>
        <v>21.36</v>
      </c>
      <c r="W3869" s="0" t="str">
        <f aca="false">INDEX(Summary!$S$2:$S$201,MATCH($B3869,Summary!$A$2:$A$201,0))</f>
        <v>Silver</v>
      </c>
      <c r="X3869" s="2" t="n">
        <f aca="false">INDEX(Summary!$T$2:$T$201,MATCH($B3869,Summary!$A$2:$A$201,0))</f>
        <v>52.1</v>
      </c>
      <c r="Y3869" s="0" t="str">
        <f aca="false">INDEX('Reward Model'!$E$18:$E$37,MATCH($E3869,'Reward Model'!$A$18:$A$37,0))</f>
        <v>Medium</v>
      </c>
      <c r="Z3869" s="4" t="n">
        <f aca="false">ROUND(MIN(1,MAX('Reward Model'!$B$2,INDEX('Reward Model'!$C$12:$C$14,MATCH($K3869,'Reward Model'!$A$12:$A$14,0))/$J3869)),3)</f>
        <v>0.962</v>
      </c>
      <c r="AA3869" s="2" t="n">
        <f aca="false">IF($I3869="Correct",ROUND(INDEX('Reward Model'!$B$12:$B$14,MATCH($K3869,'Reward Model'!$A$12:$A$14,0))*Z3869,2),0)</f>
        <v>0.96</v>
      </c>
      <c r="AB3869" s="2" t="n">
        <f aca="false">IF($I3869="Correct",ROUND(INDEX('Reward Model'!$B$12:$B$14,MATCH($Y3869,'Reward Model'!$A$12:$A$14,0))*Z3869,2),0)</f>
        <v>1.92</v>
      </c>
    </row>
    <row r="3870" customFormat="false" ht="15" hidden="false" customHeight="false" outlineLevel="0" collapsed="false">
      <c r="A3870" s="0" t="s">
        <v>518</v>
      </c>
      <c r="B3870" s="0" t="s">
        <v>519</v>
      </c>
      <c r="C3870" s="0" t="s">
        <v>322</v>
      </c>
      <c r="D3870" s="0" t="s">
        <v>275</v>
      </c>
      <c r="E3870" s="0" t="n">
        <v>9</v>
      </c>
      <c r="F3870" s="0" t="s">
        <v>55</v>
      </c>
      <c r="G3870" s="0" t="s">
        <v>57</v>
      </c>
      <c r="H3870" s="0" t="s">
        <v>57</v>
      </c>
      <c r="I3870" s="0" t="s">
        <v>34</v>
      </c>
      <c r="J3870" s="0" t="n">
        <v>1.26</v>
      </c>
      <c r="K3870" s="0" t="s">
        <v>35</v>
      </c>
      <c r="L3870" s="0" t="n">
        <f aca="false">INDEX(Summary!$F$2:$F$201,MATCH($B3870,Summary!$A$2:$A$201,0))</f>
        <v>20</v>
      </c>
      <c r="M3870" s="0" t="n">
        <f aca="false">INDEX(Summary!$I$2:$I$201,MATCH($B3870,Summary!$A$2:$A$201,0))</f>
        <v>2</v>
      </c>
      <c r="N3870" s="0" t="n">
        <f aca="false">INDEX(Summary!$J$2:$J$201,MATCH($B3870,Summary!$A$2:$A$201,0))</f>
        <v>3</v>
      </c>
      <c r="O3870" s="2" t="n">
        <f aca="false">INDEX(Summary!$K$2:$K$201,MATCH($B3870,Summary!$A$2:$A$201,0))</f>
        <v>9.86</v>
      </c>
      <c r="P3870" s="3" t="n">
        <f aca="false">INDEX(Summary!$L$2:$L$201,MATCH($B3870,Summary!$A$2:$A$201,0))</f>
        <v>2</v>
      </c>
      <c r="Q3870" s="3" t="n">
        <f aca="false">INDEX(Summary!$M$2:$M$201,MATCH($B3870,Summary!$A$2:$A$201,0))</f>
        <v>4</v>
      </c>
      <c r="R3870" s="2" t="n">
        <f aca="false">INDEX(Summary!$N$2:$N$201,MATCH($B3870,Summary!$A$2:$A$201,0))</f>
        <v>10.11</v>
      </c>
      <c r="S3870" s="3" t="n">
        <f aca="false">INDEX(Summary!$O$2:$O$201,MATCH($B3870,Summary!$A$2:$A$201,0))</f>
        <v>8</v>
      </c>
      <c r="T3870" s="3" t="n">
        <f aca="false">INDEX(Summary!$P$2:$P$201,MATCH($B3870,Summary!$A$2:$A$201,0))</f>
        <v>1</v>
      </c>
      <c r="U3870" s="2" t="n">
        <f aca="false">INDEX(Summary!$Q$2:$Q$201,MATCH($B3870,Summary!$A$2:$A$201,0))</f>
        <v>12.77</v>
      </c>
      <c r="V3870" s="2" t="n">
        <f aca="false">INDEX(Summary!$R$2:$R$201,MATCH($B3870,Summary!$A$2:$A$201,0))</f>
        <v>21.36</v>
      </c>
      <c r="W3870" s="0" t="str">
        <f aca="false">INDEX(Summary!$S$2:$S$201,MATCH($B3870,Summary!$A$2:$A$201,0))</f>
        <v>Silver</v>
      </c>
      <c r="X3870" s="2" t="n">
        <f aca="false">INDEX(Summary!$T$2:$T$201,MATCH($B3870,Summary!$A$2:$A$201,0))</f>
        <v>52.1</v>
      </c>
      <c r="Y3870" s="0" t="str">
        <f aca="false">INDEX('Reward Model'!$E$18:$E$37,MATCH($E3870,'Reward Model'!$A$18:$A$37,0))</f>
        <v>Medium</v>
      </c>
      <c r="Z3870" s="4" t="n">
        <f aca="false">ROUND(MIN(1,MAX('Reward Model'!$B$2,INDEX('Reward Model'!$C$12:$C$14,MATCH($K3870,'Reward Model'!$A$12:$A$14,0))/$J3870)),3)</f>
        <v>1</v>
      </c>
      <c r="AA3870" s="2" t="n">
        <f aca="false">IF($I3870="Correct",ROUND(INDEX('Reward Model'!$B$12:$B$14,MATCH($K3870,'Reward Model'!$A$12:$A$14,0))*Z3870,2),0)</f>
        <v>1</v>
      </c>
      <c r="AB3870" s="2" t="n">
        <f aca="false">IF($I3870="Correct",ROUND(INDEX('Reward Model'!$B$12:$B$14,MATCH($Y3870,'Reward Model'!$A$12:$A$14,0))*Z3870,2),0)</f>
        <v>2</v>
      </c>
    </row>
    <row r="3871" customFormat="false" ht="15" hidden="false" customHeight="false" outlineLevel="0" collapsed="false">
      <c r="A3871" s="0" t="s">
        <v>518</v>
      </c>
      <c r="B3871" s="0" t="s">
        <v>519</v>
      </c>
      <c r="C3871" s="0" t="s">
        <v>322</v>
      </c>
      <c r="D3871" s="0" t="s">
        <v>275</v>
      </c>
      <c r="E3871" s="0" t="n">
        <v>10</v>
      </c>
      <c r="F3871" s="0" t="s">
        <v>58</v>
      </c>
      <c r="G3871" s="0" t="s">
        <v>174</v>
      </c>
      <c r="H3871" s="0" t="s">
        <v>59</v>
      </c>
      <c r="I3871" s="0" t="s">
        <v>39</v>
      </c>
      <c r="J3871" s="0" t="n">
        <v>1.2</v>
      </c>
      <c r="K3871" s="0" t="s">
        <v>60</v>
      </c>
      <c r="L3871" s="0" t="n">
        <f aca="false">INDEX(Summary!$F$2:$F$201,MATCH($B3871,Summary!$A$2:$A$201,0))</f>
        <v>20</v>
      </c>
      <c r="M3871" s="0" t="n">
        <f aca="false">INDEX(Summary!$I$2:$I$201,MATCH($B3871,Summary!$A$2:$A$201,0))</f>
        <v>2</v>
      </c>
      <c r="N3871" s="0" t="n">
        <f aca="false">INDEX(Summary!$J$2:$J$201,MATCH($B3871,Summary!$A$2:$A$201,0))</f>
        <v>3</v>
      </c>
      <c r="O3871" s="2" t="n">
        <f aca="false">INDEX(Summary!$K$2:$K$201,MATCH($B3871,Summary!$A$2:$A$201,0))</f>
        <v>9.86</v>
      </c>
      <c r="P3871" s="3" t="n">
        <f aca="false">INDEX(Summary!$L$2:$L$201,MATCH($B3871,Summary!$A$2:$A$201,0))</f>
        <v>2</v>
      </c>
      <c r="Q3871" s="3" t="n">
        <f aca="false">INDEX(Summary!$M$2:$M$201,MATCH($B3871,Summary!$A$2:$A$201,0))</f>
        <v>4</v>
      </c>
      <c r="R3871" s="2" t="n">
        <f aca="false">INDEX(Summary!$N$2:$N$201,MATCH($B3871,Summary!$A$2:$A$201,0))</f>
        <v>10.11</v>
      </c>
      <c r="S3871" s="3" t="n">
        <f aca="false">INDEX(Summary!$O$2:$O$201,MATCH($B3871,Summary!$A$2:$A$201,0))</f>
        <v>8</v>
      </c>
      <c r="T3871" s="3" t="n">
        <f aca="false">INDEX(Summary!$P$2:$P$201,MATCH($B3871,Summary!$A$2:$A$201,0))</f>
        <v>1</v>
      </c>
      <c r="U3871" s="2" t="n">
        <f aca="false">INDEX(Summary!$Q$2:$Q$201,MATCH($B3871,Summary!$A$2:$A$201,0))</f>
        <v>12.77</v>
      </c>
      <c r="V3871" s="2" t="n">
        <f aca="false">INDEX(Summary!$R$2:$R$201,MATCH($B3871,Summary!$A$2:$A$201,0))</f>
        <v>21.36</v>
      </c>
      <c r="W3871" s="0" t="str">
        <f aca="false">INDEX(Summary!$S$2:$S$201,MATCH($B3871,Summary!$A$2:$A$201,0))</f>
        <v>Silver</v>
      </c>
      <c r="X3871" s="2" t="n">
        <f aca="false">INDEX(Summary!$T$2:$T$201,MATCH($B3871,Summary!$A$2:$A$201,0))</f>
        <v>52.1</v>
      </c>
      <c r="Y3871" s="0" t="str">
        <f aca="false">INDEX('Reward Model'!$E$18:$E$37,MATCH($E3871,'Reward Model'!$A$18:$A$37,0))</f>
        <v>Medium</v>
      </c>
      <c r="Z3871" s="4" t="n">
        <f aca="false">ROUND(MIN(1,MAX('Reward Model'!$B$2,INDEX('Reward Model'!$C$12:$C$14,MATCH($K3871,'Reward Model'!$A$12:$A$14,0))/$J3871)),3)</f>
        <v>1</v>
      </c>
      <c r="AA3871" s="2" t="n">
        <f aca="false">IF($I3871="Correct",ROUND(INDEX('Reward Model'!$B$12:$B$14,MATCH($K3871,'Reward Model'!$A$12:$A$14,0))*Z3871,2),0)</f>
        <v>0</v>
      </c>
      <c r="AB3871" s="2" t="n">
        <f aca="false">IF($I3871="Correct",ROUND(INDEX('Reward Model'!$B$12:$B$14,MATCH($Y3871,'Reward Model'!$A$12:$A$14,0))*Z3871,2),0)</f>
        <v>0</v>
      </c>
    </row>
    <row r="3872" customFormat="false" ht="15" hidden="false" customHeight="false" outlineLevel="0" collapsed="false">
      <c r="A3872" s="0" t="s">
        <v>518</v>
      </c>
      <c r="B3872" s="0" t="s">
        <v>519</v>
      </c>
      <c r="C3872" s="0" t="s">
        <v>322</v>
      </c>
      <c r="D3872" s="0" t="s">
        <v>275</v>
      </c>
      <c r="E3872" s="0" t="n">
        <v>11</v>
      </c>
      <c r="F3872" s="0" t="s">
        <v>61</v>
      </c>
      <c r="G3872" s="0" t="s">
        <v>145</v>
      </c>
      <c r="H3872" s="0" t="s">
        <v>63</v>
      </c>
      <c r="I3872" s="0" t="s">
        <v>39</v>
      </c>
      <c r="J3872" s="0" t="n">
        <v>1.66</v>
      </c>
      <c r="K3872" s="0" t="s">
        <v>60</v>
      </c>
      <c r="L3872" s="0" t="n">
        <f aca="false">INDEX(Summary!$F$2:$F$201,MATCH($B3872,Summary!$A$2:$A$201,0))</f>
        <v>20</v>
      </c>
      <c r="M3872" s="0" t="n">
        <f aca="false">INDEX(Summary!$I$2:$I$201,MATCH($B3872,Summary!$A$2:$A$201,0))</f>
        <v>2</v>
      </c>
      <c r="N3872" s="0" t="n">
        <f aca="false">INDEX(Summary!$J$2:$J$201,MATCH($B3872,Summary!$A$2:$A$201,0))</f>
        <v>3</v>
      </c>
      <c r="O3872" s="2" t="n">
        <f aca="false">INDEX(Summary!$K$2:$K$201,MATCH($B3872,Summary!$A$2:$A$201,0))</f>
        <v>9.86</v>
      </c>
      <c r="P3872" s="3" t="n">
        <f aca="false">INDEX(Summary!$L$2:$L$201,MATCH($B3872,Summary!$A$2:$A$201,0))</f>
        <v>2</v>
      </c>
      <c r="Q3872" s="3" t="n">
        <f aca="false">INDEX(Summary!$M$2:$M$201,MATCH($B3872,Summary!$A$2:$A$201,0))</f>
        <v>4</v>
      </c>
      <c r="R3872" s="2" t="n">
        <f aca="false">INDEX(Summary!$N$2:$N$201,MATCH($B3872,Summary!$A$2:$A$201,0))</f>
        <v>10.11</v>
      </c>
      <c r="S3872" s="3" t="n">
        <f aca="false">INDEX(Summary!$O$2:$O$201,MATCH($B3872,Summary!$A$2:$A$201,0))</f>
        <v>8</v>
      </c>
      <c r="T3872" s="3" t="n">
        <f aca="false">INDEX(Summary!$P$2:$P$201,MATCH($B3872,Summary!$A$2:$A$201,0))</f>
        <v>1</v>
      </c>
      <c r="U3872" s="2" t="n">
        <f aca="false">INDEX(Summary!$Q$2:$Q$201,MATCH($B3872,Summary!$A$2:$A$201,0))</f>
        <v>12.77</v>
      </c>
      <c r="V3872" s="2" t="n">
        <f aca="false">INDEX(Summary!$R$2:$R$201,MATCH($B3872,Summary!$A$2:$A$201,0))</f>
        <v>21.36</v>
      </c>
      <c r="W3872" s="0" t="str">
        <f aca="false">INDEX(Summary!$S$2:$S$201,MATCH($B3872,Summary!$A$2:$A$201,0))</f>
        <v>Silver</v>
      </c>
      <c r="X3872" s="2" t="n">
        <f aca="false">INDEX(Summary!$T$2:$T$201,MATCH($B3872,Summary!$A$2:$A$201,0))</f>
        <v>52.1</v>
      </c>
      <c r="Y3872" s="0" t="str">
        <f aca="false">INDEX('Reward Model'!$E$18:$E$37,MATCH($E3872,'Reward Model'!$A$18:$A$37,0))</f>
        <v>Medium</v>
      </c>
      <c r="Z3872" s="4" t="n">
        <f aca="false">ROUND(MIN(1,MAX('Reward Model'!$B$2,INDEX('Reward Model'!$C$12:$C$14,MATCH($K3872,'Reward Model'!$A$12:$A$14,0))/$J3872)),3)</f>
        <v>1</v>
      </c>
      <c r="AA3872" s="2" t="n">
        <f aca="false">IF($I3872="Correct",ROUND(INDEX('Reward Model'!$B$12:$B$14,MATCH($K3872,'Reward Model'!$A$12:$A$14,0))*Z3872,2),0)</f>
        <v>0</v>
      </c>
      <c r="AB3872" s="2" t="n">
        <f aca="false">IF($I3872="Correct",ROUND(INDEX('Reward Model'!$B$12:$B$14,MATCH($Y3872,'Reward Model'!$A$12:$A$14,0))*Z3872,2),0)</f>
        <v>0</v>
      </c>
    </row>
    <row r="3873" customFormat="false" ht="15" hidden="false" customHeight="false" outlineLevel="0" collapsed="false">
      <c r="A3873" s="0" t="s">
        <v>518</v>
      </c>
      <c r="B3873" s="0" t="s">
        <v>519</v>
      </c>
      <c r="C3873" s="0" t="s">
        <v>322</v>
      </c>
      <c r="D3873" s="0" t="s">
        <v>275</v>
      </c>
      <c r="E3873" s="0" t="n">
        <v>12</v>
      </c>
      <c r="F3873" s="0" t="s">
        <v>64</v>
      </c>
      <c r="G3873" s="0" t="s">
        <v>65</v>
      </c>
      <c r="H3873" s="0" t="s">
        <v>65</v>
      </c>
      <c r="I3873" s="0" t="s">
        <v>34</v>
      </c>
      <c r="J3873" s="0" t="n">
        <v>1.92</v>
      </c>
      <c r="K3873" s="0" t="s">
        <v>60</v>
      </c>
      <c r="L3873" s="0" t="n">
        <f aca="false">INDEX(Summary!$F$2:$F$201,MATCH($B3873,Summary!$A$2:$A$201,0))</f>
        <v>20</v>
      </c>
      <c r="M3873" s="0" t="n">
        <f aca="false">INDEX(Summary!$I$2:$I$201,MATCH($B3873,Summary!$A$2:$A$201,0))</f>
        <v>2</v>
      </c>
      <c r="N3873" s="0" t="n">
        <f aca="false">INDEX(Summary!$J$2:$J$201,MATCH($B3873,Summary!$A$2:$A$201,0))</f>
        <v>3</v>
      </c>
      <c r="O3873" s="2" t="n">
        <f aca="false">INDEX(Summary!$K$2:$K$201,MATCH($B3873,Summary!$A$2:$A$201,0))</f>
        <v>9.86</v>
      </c>
      <c r="P3873" s="3" t="n">
        <f aca="false">INDEX(Summary!$L$2:$L$201,MATCH($B3873,Summary!$A$2:$A$201,0))</f>
        <v>2</v>
      </c>
      <c r="Q3873" s="3" t="n">
        <f aca="false">INDEX(Summary!$M$2:$M$201,MATCH($B3873,Summary!$A$2:$A$201,0))</f>
        <v>4</v>
      </c>
      <c r="R3873" s="2" t="n">
        <f aca="false">INDEX(Summary!$N$2:$N$201,MATCH($B3873,Summary!$A$2:$A$201,0))</f>
        <v>10.11</v>
      </c>
      <c r="S3873" s="3" t="n">
        <f aca="false">INDEX(Summary!$O$2:$O$201,MATCH($B3873,Summary!$A$2:$A$201,0))</f>
        <v>8</v>
      </c>
      <c r="T3873" s="3" t="n">
        <f aca="false">INDEX(Summary!$P$2:$P$201,MATCH($B3873,Summary!$A$2:$A$201,0))</f>
        <v>1</v>
      </c>
      <c r="U3873" s="2" t="n">
        <f aca="false">INDEX(Summary!$Q$2:$Q$201,MATCH($B3873,Summary!$A$2:$A$201,0))</f>
        <v>12.77</v>
      </c>
      <c r="V3873" s="2" t="n">
        <f aca="false">INDEX(Summary!$R$2:$R$201,MATCH($B3873,Summary!$A$2:$A$201,0))</f>
        <v>21.36</v>
      </c>
      <c r="W3873" s="0" t="str">
        <f aca="false">INDEX(Summary!$S$2:$S$201,MATCH($B3873,Summary!$A$2:$A$201,0))</f>
        <v>Silver</v>
      </c>
      <c r="X3873" s="2" t="n">
        <f aca="false">INDEX(Summary!$T$2:$T$201,MATCH($B3873,Summary!$A$2:$A$201,0))</f>
        <v>52.1</v>
      </c>
      <c r="Y3873" s="0" t="str">
        <f aca="false">INDEX('Reward Model'!$E$18:$E$37,MATCH($E3873,'Reward Model'!$A$18:$A$37,0))</f>
        <v>Medium</v>
      </c>
      <c r="Z3873" s="4" t="n">
        <f aca="false">ROUND(MIN(1,MAX('Reward Model'!$B$2,INDEX('Reward Model'!$C$12:$C$14,MATCH($K3873,'Reward Model'!$A$12:$A$14,0))/$J3873)),3)</f>
        <v>0.938</v>
      </c>
      <c r="AA3873" s="2" t="n">
        <f aca="false">IF($I3873="Correct",ROUND(INDEX('Reward Model'!$B$12:$B$14,MATCH($K3873,'Reward Model'!$A$12:$A$14,0))*Z3873,2),0)</f>
        <v>1.88</v>
      </c>
      <c r="AB3873" s="2" t="n">
        <f aca="false">IF($I3873="Correct",ROUND(INDEX('Reward Model'!$B$12:$B$14,MATCH($Y3873,'Reward Model'!$A$12:$A$14,0))*Z3873,2),0)</f>
        <v>1.88</v>
      </c>
    </row>
    <row r="3874" customFormat="false" ht="15" hidden="false" customHeight="false" outlineLevel="0" collapsed="false">
      <c r="A3874" s="0" t="s">
        <v>518</v>
      </c>
      <c r="B3874" s="0" t="s">
        <v>519</v>
      </c>
      <c r="C3874" s="0" t="s">
        <v>322</v>
      </c>
      <c r="D3874" s="0" t="s">
        <v>275</v>
      </c>
      <c r="E3874" s="0" t="n">
        <v>13</v>
      </c>
      <c r="F3874" s="0" t="s">
        <v>66</v>
      </c>
      <c r="G3874" s="0" t="s">
        <v>117</v>
      </c>
      <c r="H3874" s="0" t="s">
        <v>67</v>
      </c>
      <c r="I3874" s="0" t="s">
        <v>39</v>
      </c>
      <c r="J3874" s="0" t="n">
        <v>1.48</v>
      </c>
      <c r="K3874" s="0" t="s">
        <v>60</v>
      </c>
      <c r="L3874" s="0" t="n">
        <f aca="false">INDEX(Summary!$F$2:$F$201,MATCH($B3874,Summary!$A$2:$A$201,0))</f>
        <v>20</v>
      </c>
      <c r="M3874" s="0" t="n">
        <f aca="false">INDEX(Summary!$I$2:$I$201,MATCH($B3874,Summary!$A$2:$A$201,0))</f>
        <v>2</v>
      </c>
      <c r="N3874" s="0" t="n">
        <f aca="false">INDEX(Summary!$J$2:$J$201,MATCH($B3874,Summary!$A$2:$A$201,0))</f>
        <v>3</v>
      </c>
      <c r="O3874" s="2" t="n">
        <f aca="false">INDEX(Summary!$K$2:$K$201,MATCH($B3874,Summary!$A$2:$A$201,0))</f>
        <v>9.86</v>
      </c>
      <c r="P3874" s="3" t="n">
        <f aca="false">INDEX(Summary!$L$2:$L$201,MATCH($B3874,Summary!$A$2:$A$201,0))</f>
        <v>2</v>
      </c>
      <c r="Q3874" s="3" t="n">
        <f aca="false">INDEX(Summary!$M$2:$M$201,MATCH($B3874,Summary!$A$2:$A$201,0))</f>
        <v>4</v>
      </c>
      <c r="R3874" s="2" t="n">
        <f aca="false">INDEX(Summary!$N$2:$N$201,MATCH($B3874,Summary!$A$2:$A$201,0))</f>
        <v>10.11</v>
      </c>
      <c r="S3874" s="3" t="n">
        <f aca="false">INDEX(Summary!$O$2:$O$201,MATCH($B3874,Summary!$A$2:$A$201,0))</f>
        <v>8</v>
      </c>
      <c r="T3874" s="3" t="n">
        <f aca="false">INDEX(Summary!$P$2:$P$201,MATCH($B3874,Summary!$A$2:$A$201,0))</f>
        <v>1</v>
      </c>
      <c r="U3874" s="2" t="n">
        <f aca="false">INDEX(Summary!$Q$2:$Q$201,MATCH($B3874,Summary!$A$2:$A$201,0))</f>
        <v>12.77</v>
      </c>
      <c r="V3874" s="2" t="n">
        <f aca="false">INDEX(Summary!$R$2:$R$201,MATCH($B3874,Summary!$A$2:$A$201,0))</f>
        <v>21.36</v>
      </c>
      <c r="W3874" s="0" t="str">
        <f aca="false">INDEX(Summary!$S$2:$S$201,MATCH($B3874,Summary!$A$2:$A$201,0))</f>
        <v>Silver</v>
      </c>
      <c r="X3874" s="2" t="n">
        <f aca="false">INDEX(Summary!$T$2:$T$201,MATCH($B3874,Summary!$A$2:$A$201,0))</f>
        <v>52.1</v>
      </c>
      <c r="Y3874" s="0" t="str">
        <f aca="false">INDEX('Reward Model'!$E$18:$E$37,MATCH($E3874,'Reward Model'!$A$18:$A$37,0))</f>
        <v>Medium</v>
      </c>
      <c r="Z3874" s="4" t="n">
        <f aca="false">ROUND(MIN(1,MAX('Reward Model'!$B$2,INDEX('Reward Model'!$C$12:$C$14,MATCH($K3874,'Reward Model'!$A$12:$A$14,0))/$J3874)),3)</f>
        <v>1</v>
      </c>
      <c r="AA3874" s="2" t="n">
        <f aca="false">IF($I3874="Correct",ROUND(INDEX('Reward Model'!$B$12:$B$14,MATCH($K3874,'Reward Model'!$A$12:$A$14,0))*Z3874,2),0)</f>
        <v>0</v>
      </c>
      <c r="AB3874" s="2" t="n">
        <f aca="false">IF($I3874="Correct",ROUND(INDEX('Reward Model'!$B$12:$B$14,MATCH($Y3874,'Reward Model'!$A$12:$A$14,0))*Z3874,2),0)</f>
        <v>0</v>
      </c>
    </row>
    <row r="3875" customFormat="false" ht="15" hidden="false" customHeight="false" outlineLevel="0" collapsed="false">
      <c r="A3875" s="0" t="s">
        <v>518</v>
      </c>
      <c r="B3875" s="0" t="s">
        <v>519</v>
      </c>
      <c r="C3875" s="0" t="s">
        <v>322</v>
      </c>
      <c r="D3875" s="0" t="s">
        <v>275</v>
      </c>
      <c r="E3875" s="0" t="n">
        <v>14</v>
      </c>
      <c r="F3875" s="0" t="s">
        <v>68</v>
      </c>
      <c r="G3875" s="0" t="s">
        <v>51</v>
      </c>
      <c r="H3875" s="0" t="s">
        <v>51</v>
      </c>
      <c r="I3875" s="0" t="s">
        <v>34</v>
      </c>
      <c r="J3875" s="0" t="n">
        <v>1.75</v>
      </c>
      <c r="K3875" s="0" t="s">
        <v>60</v>
      </c>
      <c r="L3875" s="0" t="n">
        <f aca="false">INDEX(Summary!$F$2:$F$201,MATCH($B3875,Summary!$A$2:$A$201,0))</f>
        <v>20</v>
      </c>
      <c r="M3875" s="0" t="n">
        <f aca="false">INDEX(Summary!$I$2:$I$201,MATCH($B3875,Summary!$A$2:$A$201,0))</f>
        <v>2</v>
      </c>
      <c r="N3875" s="0" t="n">
        <f aca="false">INDEX(Summary!$J$2:$J$201,MATCH($B3875,Summary!$A$2:$A$201,0))</f>
        <v>3</v>
      </c>
      <c r="O3875" s="2" t="n">
        <f aca="false">INDEX(Summary!$K$2:$K$201,MATCH($B3875,Summary!$A$2:$A$201,0))</f>
        <v>9.86</v>
      </c>
      <c r="P3875" s="3" t="n">
        <f aca="false">INDEX(Summary!$L$2:$L$201,MATCH($B3875,Summary!$A$2:$A$201,0))</f>
        <v>2</v>
      </c>
      <c r="Q3875" s="3" t="n">
        <f aca="false">INDEX(Summary!$M$2:$M$201,MATCH($B3875,Summary!$A$2:$A$201,0))</f>
        <v>4</v>
      </c>
      <c r="R3875" s="2" t="n">
        <f aca="false">INDEX(Summary!$N$2:$N$201,MATCH($B3875,Summary!$A$2:$A$201,0))</f>
        <v>10.11</v>
      </c>
      <c r="S3875" s="3" t="n">
        <f aca="false">INDEX(Summary!$O$2:$O$201,MATCH($B3875,Summary!$A$2:$A$201,0))</f>
        <v>8</v>
      </c>
      <c r="T3875" s="3" t="n">
        <f aca="false">INDEX(Summary!$P$2:$P$201,MATCH($B3875,Summary!$A$2:$A$201,0))</f>
        <v>1</v>
      </c>
      <c r="U3875" s="2" t="n">
        <f aca="false">INDEX(Summary!$Q$2:$Q$201,MATCH($B3875,Summary!$A$2:$A$201,0))</f>
        <v>12.77</v>
      </c>
      <c r="V3875" s="2" t="n">
        <f aca="false">INDEX(Summary!$R$2:$R$201,MATCH($B3875,Summary!$A$2:$A$201,0))</f>
        <v>21.36</v>
      </c>
      <c r="W3875" s="0" t="str">
        <f aca="false">INDEX(Summary!$S$2:$S$201,MATCH($B3875,Summary!$A$2:$A$201,0))</f>
        <v>Silver</v>
      </c>
      <c r="X3875" s="2" t="n">
        <f aca="false">INDEX(Summary!$T$2:$T$201,MATCH($B3875,Summary!$A$2:$A$201,0))</f>
        <v>52.1</v>
      </c>
      <c r="Y3875" s="0" t="str">
        <f aca="false">INDEX('Reward Model'!$E$18:$E$37,MATCH($E3875,'Reward Model'!$A$18:$A$37,0))</f>
        <v>Medium</v>
      </c>
      <c r="Z3875" s="4" t="n">
        <f aca="false">ROUND(MIN(1,MAX('Reward Model'!$B$2,INDEX('Reward Model'!$C$12:$C$14,MATCH($K3875,'Reward Model'!$A$12:$A$14,0))/$J3875)),3)</f>
        <v>1</v>
      </c>
      <c r="AA3875" s="2" t="n">
        <f aca="false">IF($I3875="Correct",ROUND(INDEX('Reward Model'!$B$12:$B$14,MATCH($K3875,'Reward Model'!$A$12:$A$14,0))*Z3875,2),0)</f>
        <v>2</v>
      </c>
      <c r="AB3875" s="2" t="n">
        <f aca="false">IF($I3875="Correct",ROUND(INDEX('Reward Model'!$B$12:$B$14,MATCH($Y3875,'Reward Model'!$A$12:$A$14,0))*Z3875,2),0)</f>
        <v>2</v>
      </c>
    </row>
    <row r="3876" customFormat="false" ht="15" hidden="false" customHeight="false" outlineLevel="0" collapsed="false">
      <c r="A3876" s="0" t="s">
        <v>518</v>
      </c>
      <c r="B3876" s="0" t="s">
        <v>519</v>
      </c>
      <c r="C3876" s="0" t="s">
        <v>322</v>
      </c>
      <c r="D3876" s="0" t="s">
        <v>275</v>
      </c>
      <c r="E3876" s="0" t="n">
        <v>15</v>
      </c>
      <c r="F3876" s="0" t="s">
        <v>69</v>
      </c>
      <c r="G3876" s="0" t="s">
        <v>94</v>
      </c>
      <c r="H3876" s="0" t="s">
        <v>70</v>
      </c>
      <c r="I3876" s="0" t="s">
        <v>39</v>
      </c>
      <c r="J3876" s="0" t="n">
        <v>2.1</v>
      </c>
      <c r="K3876" s="0" t="s">
        <v>60</v>
      </c>
      <c r="L3876" s="0" t="n">
        <f aca="false">INDEX(Summary!$F$2:$F$201,MATCH($B3876,Summary!$A$2:$A$201,0))</f>
        <v>20</v>
      </c>
      <c r="M3876" s="0" t="n">
        <f aca="false">INDEX(Summary!$I$2:$I$201,MATCH($B3876,Summary!$A$2:$A$201,0))</f>
        <v>2</v>
      </c>
      <c r="N3876" s="0" t="n">
        <f aca="false">INDEX(Summary!$J$2:$J$201,MATCH($B3876,Summary!$A$2:$A$201,0))</f>
        <v>3</v>
      </c>
      <c r="O3876" s="2" t="n">
        <f aca="false">INDEX(Summary!$K$2:$K$201,MATCH($B3876,Summary!$A$2:$A$201,0))</f>
        <v>9.86</v>
      </c>
      <c r="P3876" s="3" t="n">
        <f aca="false">INDEX(Summary!$L$2:$L$201,MATCH($B3876,Summary!$A$2:$A$201,0))</f>
        <v>2</v>
      </c>
      <c r="Q3876" s="3" t="n">
        <f aca="false">INDEX(Summary!$M$2:$M$201,MATCH($B3876,Summary!$A$2:$A$201,0))</f>
        <v>4</v>
      </c>
      <c r="R3876" s="2" t="n">
        <f aca="false">INDEX(Summary!$N$2:$N$201,MATCH($B3876,Summary!$A$2:$A$201,0))</f>
        <v>10.11</v>
      </c>
      <c r="S3876" s="3" t="n">
        <f aca="false">INDEX(Summary!$O$2:$O$201,MATCH($B3876,Summary!$A$2:$A$201,0))</f>
        <v>8</v>
      </c>
      <c r="T3876" s="3" t="n">
        <f aca="false">INDEX(Summary!$P$2:$P$201,MATCH($B3876,Summary!$A$2:$A$201,0))</f>
        <v>1</v>
      </c>
      <c r="U3876" s="2" t="n">
        <f aca="false">INDEX(Summary!$Q$2:$Q$201,MATCH($B3876,Summary!$A$2:$A$201,0))</f>
        <v>12.77</v>
      </c>
      <c r="V3876" s="2" t="n">
        <f aca="false">INDEX(Summary!$R$2:$R$201,MATCH($B3876,Summary!$A$2:$A$201,0))</f>
        <v>21.36</v>
      </c>
      <c r="W3876" s="0" t="str">
        <f aca="false">INDEX(Summary!$S$2:$S$201,MATCH($B3876,Summary!$A$2:$A$201,0))</f>
        <v>Silver</v>
      </c>
      <c r="X3876" s="2" t="n">
        <f aca="false">INDEX(Summary!$T$2:$T$201,MATCH($B3876,Summary!$A$2:$A$201,0))</f>
        <v>52.1</v>
      </c>
      <c r="Y3876" s="0" t="str">
        <f aca="false">INDEX('Reward Model'!$E$18:$E$37,MATCH($E3876,'Reward Model'!$A$18:$A$37,0))</f>
        <v>Medium</v>
      </c>
      <c r="Z3876" s="4" t="n">
        <f aca="false">ROUND(MIN(1,MAX('Reward Model'!$B$2,INDEX('Reward Model'!$C$12:$C$14,MATCH($K3876,'Reward Model'!$A$12:$A$14,0))/$J3876)),3)</f>
        <v>0.857</v>
      </c>
      <c r="AA3876" s="2" t="n">
        <f aca="false">IF($I3876="Correct",ROUND(INDEX('Reward Model'!$B$12:$B$14,MATCH($K3876,'Reward Model'!$A$12:$A$14,0))*Z3876,2),0)</f>
        <v>0</v>
      </c>
      <c r="AB3876" s="2" t="n">
        <f aca="false">IF($I3876="Correct",ROUND(INDEX('Reward Model'!$B$12:$B$14,MATCH($Y3876,'Reward Model'!$A$12:$A$14,0))*Z3876,2),0)</f>
        <v>0</v>
      </c>
    </row>
    <row r="3877" customFormat="false" ht="15" hidden="false" customHeight="false" outlineLevel="0" collapsed="false">
      <c r="A3877" s="0" t="s">
        <v>518</v>
      </c>
      <c r="B3877" s="0" t="s">
        <v>519</v>
      </c>
      <c r="C3877" s="0" t="s">
        <v>322</v>
      </c>
      <c r="D3877" s="0" t="s">
        <v>275</v>
      </c>
      <c r="E3877" s="0" t="n">
        <v>16</v>
      </c>
      <c r="F3877" s="0" t="s">
        <v>71</v>
      </c>
      <c r="G3877" s="0" t="s">
        <v>72</v>
      </c>
      <c r="H3877" s="0" t="s">
        <v>72</v>
      </c>
      <c r="I3877" s="0" t="s">
        <v>34</v>
      </c>
      <c r="J3877" s="0" t="n">
        <v>1.65</v>
      </c>
      <c r="K3877" s="0" t="s">
        <v>73</v>
      </c>
      <c r="L3877" s="0" t="n">
        <f aca="false">INDEX(Summary!$F$2:$F$201,MATCH($B3877,Summary!$A$2:$A$201,0))</f>
        <v>20</v>
      </c>
      <c r="M3877" s="0" t="n">
        <f aca="false">INDEX(Summary!$I$2:$I$201,MATCH($B3877,Summary!$A$2:$A$201,0))</f>
        <v>2</v>
      </c>
      <c r="N3877" s="0" t="n">
        <f aca="false">INDEX(Summary!$J$2:$J$201,MATCH($B3877,Summary!$A$2:$A$201,0))</f>
        <v>3</v>
      </c>
      <c r="O3877" s="2" t="n">
        <f aca="false">INDEX(Summary!$K$2:$K$201,MATCH($B3877,Summary!$A$2:$A$201,0))</f>
        <v>9.86</v>
      </c>
      <c r="P3877" s="3" t="n">
        <f aca="false">INDEX(Summary!$L$2:$L$201,MATCH($B3877,Summary!$A$2:$A$201,0))</f>
        <v>2</v>
      </c>
      <c r="Q3877" s="3" t="n">
        <f aca="false">INDEX(Summary!$M$2:$M$201,MATCH($B3877,Summary!$A$2:$A$201,0))</f>
        <v>4</v>
      </c>
      <c r="R3877" s="2" t="n">
        <f aca="false">INDEX(Summary!$N$2:$N$201,MATCH($B3877,Summary!$A$2:$A$201,0))</f>
        <v>10.11</v>
      </c>
      <c r="S3877" s="3" t="n">
        <f aca="false">INDEX(Summary!$O$2:$O$201,MATCH($B3877,Summary!$A$2:$A$201,0))</f>
        <v>8</v>
      </c>
      <c r="T3877" s="3" t="n">
        <f aca="false">INDEX(Summary!$P$2:$P$201,MATCH($B3877,Summary!$A$2:$A$201,0))</f>
        <v>1</v>
      </c>
      <c r="U3877" s="2" t="n">
        <f aca="false">INDEX(Summary!$Q$2:$Q$201,MATCH($B3877,Summary!$A$2:$A$201,0))</f>
        <v>12.77</v>
      </c>
      <c r="V3877" s="2" t="n">
        <f aca="false">INDEX(Summary!$R$2:$R$201,MATCH($B3877,Summary!$A$2:$A$201,0))</f>
        <v>21.36</v>
      </c>
      <c r="W3877" s="0" t="str">
        <f aca="false">INDEX(Summary!$S$2:$S$201,MATCH($B3877,Summary!$A$2:$A$201,0))</f>
        <v>Silver</v>
      </c>
      <c r="X3877" s="2" t="n">
        <f aca="false">INDEX(Summary!$T$2:$T$201,MATCH($B3877,Summary!$A$2:$A$201,0))</f>
        <v>52.1</v>
      </c>
      <c r="Y3877" s="0" t="str">
        <f aca="false">INDEX('Reward Model'!$E$18:$E$37,MATCH($E3877,'Reward Model'!$A$18:$A$37,0))</f>
        <v>High</v>
      </c>
      <c r="Z3877" s="4" t="n">
        <f aca="false">ROUND(MIN(1,MAX('Reward Model'!$B$2,INDEX('Reward Model'!$C$12:$C$14,MATCH($K3877,'Reward Model'!$A$12:$A$14,0))/$J3877)),3)</f>
        <v>1</v>
      </c>
      <c r="AA3877" s="2" t="n">
        <f aca="false">IF($I3877="Correct",ROUND(INDEX('Reward Model'!$B$12:$B$14,MATCH($K3877,'Reward Model'!$A$12:$A$14,0))*Z3877,2),0)</f>
        <v>3</v>
      </c>
      <c r="AB3877" s="2" t="n">
        <f aca="false">IF($I3877="Correct",ROUND(INDEX('Reward Model'!$B$12:$B$14,MATCH($Y3877,'Reward Model'!$A$12:$A$14,0))*Z3877,2),0)</f>
        <v>3</v>
      </c>
    </row>
    <row r="3878" customFormat="false" ht="15" hidden="false" customHeight="false" outlineLevel="0" collapsed="false">
      <c r="A3878" s="0" t="s">
        <v>518</v>
      </c>
      <c r="B3878" s="0" t="s">
        <v>519</v>
      </c>
      <c r="C3878" s="0" t="s">
        <v>322</v>
      </c>
      <c r="D3878" s="0" t="s">
        <v>275</v>
      </c>
      <c r="E3878" s="0" t="n">
        <v>17</v>
      </c>
      <c r="F3878" s="0" t="s">
        <v>74</v>
      </c>
      <c r="G3878" s="0" t="s">
        <v>105</v>
      </c>
      <c r="H3878" s="0" t="s">
        <v>75</v>
      </c>
      <c r="I3878" s="0" t="s">
        <v>39</v>
      </c>
      <c r="J3878" s="0" t="n">
        <v>1.88</v>
      </c>
      <c r="K3878" s="0" t="s">
        <v>73</v>
      </c>
      <c r="L3878" s="0" t="n">
        <f aca="false">INDEX(Summary!$F$2:$F$201,MATCH($B3878,Summary!$A$2:$A$201,0))</f>
        <v>20</v>
      </c>
      <c r="M3878" s="0" t="n">
        <f aca="false">INDEX(Summary!$I$2:$I$201,MATCH($B3878,Summary!$A$2:$A$201,0))</f>
        <v>2</v>
      </c>
      <c r="N3878" s="0" t="n">
        <f aca="false">INDEX(Summary!$J$2:$J$201,MATCH($B3878,Summary!$A$2:$A$201,0))</f>
        <v>3</v>
      </c>
      <c r="O3878" s="2" t="n">
        <f aca="false">INDEX(Summary!$K$2:$K$201,MATCH($B3878,Summary!$A$2:$A$201,0))</f>
        <v>9.86</v>
      </c>
      <c r="P3878" s="3" t="n">
        <f aca="false">INDEX(Summary!$L$2:$L$201,MATCH($B3878,Summary!$A$2:$A$201,0))</f>
        <v>2</v>
      </c>
      <c r="Q3878" s="3" t="n">
        <f aca="false">INDEX(Summary!$M$2:$M$201,MATCH($B3878,Summary!$A$2:$A$201,0))</f>
        <v>4</v>
      </c>
      <c r="R3878" s="2" t="n">
        <f aca="false">INDEX(Summary!$N$2:$N$201,MATCH($B3878,Summary!$A$2:$A$201,0))</f>
        <v>10.11</v>
      </c>
      <c r="S3878" s="3" t="n">
        <f aca="false">INDEX(Summary!$O$2:$O$201,MATCH($B3878,Summary!$A$2:$A$201,0))</f>
        <v>8</v>
      </c>
      <c r="T3878" s="3" t="n">
        <f aca="false">INDEX(Summary!$P$2:$P$201,MATCH($B3878,Summary!$A$2:$A$201,0))</f>
        <v>1</v>
      </c>
      <c r="U3878" s="2" t="n">
        <f aca="false">INDEX(Summary!$Q$2:$Q$201,MATCH($B3878,Summary!$A$2:$A$201,0))</f>
        <v>12.77</v>
      </c>
      <c r="V3878" s="2" t="n">
        <f aca="false">INDEX(Summary!$R$2:$R$201,MATCH($B3878,Summary!$A$2:$A$201,0))</f>
        <v>21.36</v>
      </c>
      <c r="W3878" s="0" t="str">
        <f aca="false">INDEX(Summary!$S$2:$S$201,MATCH($B3878,Summary!$A$2:$A$201,0))</f>
        <v>Silver</v>
      </c>
      <c r="X3878" s="2" t="n">
        <f aca="false">INDEX(Summary!$T$2:$T$201,MATCH($B3878,Summary!$A$2:$A$201,0))</f>
        <v>52.1</v>
      </c>
      <c r="Y3878" s="0" t="str">
        <f aca="false">INDEX('Reward Model'!$E$18:$E$37,MATCH($E3878,'Reward Model'!$A$18:$A$37,0))</f>
        <v>High</v>
      </c>
      <c r="Z3878" s="4" t="n">
        <f aca="false">ROUND(MIN(1,MAX('Reward Model'!$B$2,INDEX('Reward Model'!$C$12:$C$14,MATCH($K3878,'Reward Model'!$A$12:$A$14,0))/$J3878)),3)</f>
        <v>1</v>
      </c>
      <c r="AA3878" s="2" t="n">
        <f aca="false">IF($I3878="Correct",ROUND(INDEX('Reward Model'!$B$12:$B$14,MATCH($K3878,'Reward Model'!$A$12:$A$14,0))*Z3878,2),0)</f>
        <v>0</v>
      </c>
      <c r="AB3878" s="2" t="n">
        <f aca="false">IF($I3878="Correct",ROUND(INDEX('Reward Model'!$B$12:$B$14,MATCH($Y3878,'Reward Model'!$A$12:$A$14,0))*Z3878,2),0)</f>
        <v>0</v>
      </c>
    </row>
    <row r="3879" customFormat="false" ht="15" hidden="false" customHeight="false" outlineLevel="0" collapsed="false">
      <c r="A3879" s="0" t="s">
        <v>518</v>
      </c>
      <c r="B3879" s="0" t="s">
        <v>519</v>
      </c>
      <c r="C3879" s="0" t="s">
        <v>322</v>
      </c>
      <c r="D3879" s="0" t="s">
        <v>275</v>
      </c>
      <c r="E3879" s="0" t="n">
        <v>18</v>
      </c>
      <c r="F3879" s="0" t="s">
        <v>76</v>
      </c>
      <c r="G3879" s="0" t="s">
        <v>88</v>
      </c>
      <c r="H3879" s="0" t="s">
        <v>77</v>
      </c>
      <c r="I3879" s="0" t="s">
        <v>39</v>
      </c>
      <c r="J3879" s="0" t="n">
        <v>2.6</v>
      </c>
      <c r="K3879" s="0" t="s">
        <v>73</v>
      </c>
      <c r="L3879" s="0" t="n">
        <f aca="false">INDEX(Summary!$F$2:$F$201,MATCH($B3879,Summary!$A$2:$A$201,0))</f>
        <v>20</v>
      </c>
      <c r="M3879" s="0" t="n">
        <f aca="false">INDEX(Summary!$I$2:$I$201,MATCH($B3879,Summary!$A$2:$A$201,0))</f>
        <v>2</v>
      </c>
      <c r="N3879" s="0" t="n">
        <f aca="false">INDEX(Summary!$J$2:$J$201,MATCH($B3879,Summary!$A$2:$A$201,0))</f>
        <v>3</v>
      </c>
      <c r="O3879" s="2" t="n">
        <f aca="false">INDEX(Summary!$K$2:$K$201,MATCH($B3879,Summary!$A$2:$A$201,0))</f>
        <v>9.86</v>
      </c>
      <c r="P3879" s="3" t="n">
        <f aca="false">INDEX(Summary!$L$2:$L$201,MATCH($B3879,Summary!$A$2:$A$201,0))</f>
        <v>2</v>
      </c>
      <c r="Q3879" s="3" t="n">
        <f aca="false">INDEX(Summary!$M$2:$M$201,MATCH($B3879,Summary!$A$2:$A$201,0))</f>
        <v>4</v>
      </c>
      <c r="R3879" s="2" t="n">
        <f aca="false">INDEX(Summary!$N$2:$N$201,MATCH($B3879,Summary!$A$2:$A$201,0))</f>
        <v>10.11</v>
      </c>
      <c r="S3879" s="3" t="n">
        <f aca="false">INDEX(Summary!$O$2:$O$201,MATCH($B3879,Summary!$A$2:$A$201,0))</f>
        <v>8</v>
      </c>
      <c r="T3879" s="3" t="n">
        <f aca="false">INDEX(Summary!$P$2:$P$201,MATCH($B3879,Summary!$A$2:$A$201,0))</f>
        <v>1</v>
      </c>
      <c r="U3879" s="2" t="n">
        <f aca="false">INDEX(Summary!$Q$2:$Q$201,MATCH($B3879,Summary!$A$2:$A$201,0))</f>
        <v>12.77</v>
      </c>
      <c r="V3879" s="2" t="n">
        <f aca="false">INDEX(Summary!$R$2:$R$201,MATCH($B3879,Summary!$A$2:$A$201,0))</f>
        <v>21.36</v>
      </c>
      <c r="W3879" s="0" t="str">
        <f aca="false">INDEX(Summary!$S$2:$S$201,MATCH($B3879,Summary!$A$2:$A$201,0))</f>
        <v>Silver</v>
      </c>
      <c r="X3879" s="2" t="n">
        <f aca="false">INDEX(Summary!$T$2:$T$201,MATCH($B3879,Summary!$A$2:$A$201,0))</f>
        <v>52.1</v>
      </c>
      <c r="Y3879" s="0" t="str">
        <f aca="false">INDEX('Reward Model'!$E$18:$E$37,MATCH($E3879,'Reward Model'!$A$18:$A$37,0))</f>
        <v>High</v>
      </c>
      <c r="Z3879" s="4" t="n">
        <f aca="false">ROUND(MIN(1,MAX('Reward Model'!$B$2,INDEX('Reward Model'!$C$12:$C$14,MATCH($K3879,'Reward Model'!$A$12:$A$14,0))/$J3879)),3)</f>
        <v>0.769</v>
      </c>
      <c r="AA3879" s="2" t="n">
        <f aca="false">IF($I3879="Correct",ROUND(INDEX('Reward Model'!$B$12:$B$14,MATCH($K3879,'Reward Model'!$A$12:$A$14,0))*Z3879,2),0)</f>
        <v>0</v>
      </c>
      <c r="AB3879" s="2" t="n">
        <f aca="false">IF($I3879="Correct",ROUND(INDEX('Reward Model'!$B$12:$B$14,MATCH($Y3879,'Reward Model'!$A$12:$A$14,0))*Z3879,2),0)</f>
        <v>0</v>
      </c>
    </row>
    <row r="3880" customFormat="false" ht="15" hidden="false" customHeight="false" outlineLevel="0" collapsed="false">
      <c r="A3880" s="0" t="s">
        <v>518</v>
      </c>
      <c r="B3880" s="0" t="s">
        <v>519</v>
      </c>
      <c r="C3880" s="0" t="s">
        <v>322</v>
      </c>
      <c r="D3880" s="0" t="s">
        <v>275</v>
      </c>
      <c r="E3880" s="0" t="n">
        <v>19</v>
      </c>
      <c r="F3880" s="0" t="s">
        <v>78</v>
      </c>
      <c r="G3880" s="0" t="s">
        <v>79</v>
      </c>
      <c r="H3880" s="0" t="s">
        <v>80</v>
      </c>
      <c r="I3880" s="0" t="s">
        <v>39</v>
      </c>
      <c r="J3880" s="0" t="n">
        <v>1.79</v>
      </c>
      <c r="K3880" s="0" t="s">
        <v>73</v>
      </c>
      <c r="L3880" s="0" t="n">
        <f aca="false">INDEX(Summary!$F$2:$F$201,MATCH($B3880,Summary!$A$2:$A$201,0))</f>
        <v>20</v>
      </c>
      <c r="M3880" s="0" t="n">
        <f aca="false">INDEX(Summary!$I$2:$I$201,MATCH($B3880,Summary!$A$2:$A$201,0))</f>
        <v>2</v>
      </c>
      <c r="N3880" s="0" t="n">
        <f aca="false">INDEX(Summary!$J$2:$J$201,MATCH($B3880,Summary!$A$2:$A$201,0))</f>
        <v>3</v>
      </c>
      <c r="O3880" s="2" t="n">
        <f aca="false">INDEX(Summary!$K$2:$K$201,MATCH($B3880,Summary!$A$2:$A$201,0))</f>
        <v>9.86</v>
      </c>
      <c r="P3880" s="3" t="n">
        <f aca="false">INDEX(Summary!$L$2:$L$201,MATCH($B3880,Summary!$A$2:$A$201,0))</f>
        <v>2</v>
      </c>
      <c r="Q3880" s="3" t="n">
        <f aca="false">INDEX(Summary!$M$2:$M$201,MATCH($B3880,Summary!$A$2:$A$201,0))</f>
        <v>4</v>
      </c>
      <c r="R3880" s="2" t="n">
        <f aca="false">INDEX(Summary!$N$2:$N$201,MATCH($B3880,Summary!$A$2:$A$201,0))</f>
        <v>10.11</v>
      </c>
      <c r="S3880" s="3" t="n">
        <f aca="false">INDEX(Summary!$O$2:$O$201,MATCH($B3880,Summary!$A$2:$A$201,0))</f>
        <v>8</v>
      </c>
      <c r="T3880" s="3" t="n">
        <f aca="false">INDEX(Summary!$P$2:$P$201,MATCH($B3880,Summary!$A$2:$A$201,0))</f>
        <v>1</v>
      </c>
      <c r="U3880" s="2" t="n">
        <f aca="false">INDEX(Summary!$Q$2:$Q$201,MATCH($B3880,Summary!$A$2:$A$201,0))</f>
        <v>12.77</v>
      </c>
      <c r="V3880" s="2" t="n">
        <f aca="false">INDEX(Summary!$R$2:$R$201,MATCH($B3880,Summary!$A$2:$A$201,0))</f>
        <v>21.36</v>
      </c>
      <c r="W3880" s="0" t="str">
        <f aca="false">INDEX(Summary!$S$2:$S$201,MATCH($B3880,Summary!$A$2:$A$201,0))</f>
        <v>Silver</v>
      </c>
      <c r="X3880" s="2" t="n">
        <f aca="false">INDEX(Summary!$T$2:$T$201,MATCH($B3880,Summary!$A$2:$A$201,0))</f>
        <v>52.1</v>
      </c>
      <c r="Y3880" s="0" t="str">
        <f aca="false">INDEX('Reward Model'!$E$18:$E$37,MATCH($E3880,'Reward Model'!$A$18:$A$37,0))</f>
        <v>High</v>
      </c>
      <c r="Z3880" s="4" t="n">
        <f aca="false">ROUND(MIN(1,MAX('Reward Model'!$B$2,INDEX('Reward Model'!$C$12:$C$14,MATCH($K3880,'Reward Model'!$A$12:$A$14,0))/$J3880)),3)</f>
        <v>1</v>
      </c>
      <c r="AA3880" s="2" t="n">
        <f aca="false">IF($I3880="Correct",ROUND(INDEX('Reward Model'!$B$12:$B$14,MATCH($K3880,'Reward Model'!$A$12:$A$14,0))*Z3880,2),0)</f>
        <v>0</v>
      </c>
      <c r="AB3880" s="2" t="n">
        <f aca="false">IF($I3880="Correct",ROUND(INDEX('Reward Model'!$B$12:$B$14,MATCH($Y3880,'Reward Model'!$A$12:$A$14,0))*Z3880,2),0)</f>
        <v>0</v>
      </c>
    </row>
    <row r="3881" customFormat="false" ht="15" hidden="false" customHeight="false" outlineLevel="0" collapsed="false">
      <c r="A3881" s="0" t="s">
        <v>518</v>
      </c>
      <c r="B3881" s="0" t="s">
        <v>519</v>
      </c>
      <c r="C3881" s="0" t="s">
        <v>322</v>
      </c>
      <c r="D3881" s="0" t="s">
        <v>275</v>
      </c>
      <c r="E3881" s="0" t="n">
        <v>20</v>
      </c>
      <c r="F3881" s="0" t="s">
        <v>81</v>
      </c>
      <c r="G3881" s="0" t="s">
        <v>83</v>
      </c>
      <c r="H3881" s="0" t="s">
        <v>83</v>
      </c>
      <c r="I3881" s="0" t="s">
        <v>34</v>
      </c>
      <c r="J3881" s="0" t="n">
        <v>1.94</v>
      </c>
      <c r="K3881" s="0" t="s">
        <v>73</v>
      </c>
      <c r="L3881" s="0" t="n">
        <f aca="false">INDEX(Summary!$F$2:$F$201,MATCH($B3881,Summary!$A$2:$A$201,0))</f>
        <v>20</v>
      </c>
      <c r="M3881" s="0" t="n">
        <f aca="false">INDEX(Summary!$I$2:$I$201,MATCH($B3881,Summary!$A$2:$A$201,0))</f>
        <v>2</v>
      </c>
      <c r="N3881" s="0" t="n">
        <f aca="false">INDEX(Summary!$J$2:$J$201,MATCH($B3881,Summary!$A$2:$A$201,0))</f>
        <v>3</v>
      </c>
      <c r="O3881" s="2" t="n">
        <f aca="false">INDEX(Summary!$K$2:$K$201,MATCH($B3881,Summary!$A$2:$A$201,0))</f>
        <v>9.86</v>
      </c>
      <c r="P3881" s="3" t="n">
        <f aca="false">INDEX(Summary!$L$2:$L$201,MATCH($B3881,Summary!$A$2:$A$201,0))</f>
        <v>2</v>
      </c>
      <c r="Q3881" s="3" t="n">
        <f aca="false">INDEX(Summary!$M$2:$M$201,MATCH($B3881,Summary!$A$2:$A$201,0))</f>
        <v>4</v>
      </c>
      <c r="R3881" s="2" t="n">
        <f aca="false">INDEX(Summary!$N$2:$N$201,MATCH($B3881,Summary!$A$2:$A$201,0))</f>
        <v>10.11</v>
      </c>
      <c r="S3881" s="3" t="n">
        <f aca="false">INDEX(Summary!$O$2:$O$201,MATCH($B3881,Summary!$A$2:$A$201,0))</f>
        <v>8</v>
      </c>
      <c r="T3881" s="3" t="n">
        <f aca="false">INDEX(Summary!$P$2:$P$201,MATCH($B3881,Summary!$A$2:$A$201,0))</f>
        <v>1</v>
      </c>
      <c r="U3881" s="2" t="n">
        <f aca="false">INDEX(Summary!$Q$2:$Q$201,MATCH($B3881,Summary!$A$2:$A$201,0))</f>
        <v>12.77</v>
      </c>
      <c r="V3881" s="2" t="n">
        <f aca="false">INDEX(Summary!$R$2:$R$201,MATCH($B3881,Summary!$A$2:$A$201,0))</f>
        <v>21.36</v>
      </c>
      <c r="W3881" s="0" t="str">
        <f aca="false">INDEX(Summary!$S$2:$S$201,MATCH($B3881,Summary!$A$2:$A$201,0))</f>
        <v>Silver</v>
      </c>
      <c r="X3881" s="2" t="n">
        <f aca="false">INDEX(Summary!$T$2:$T$201,MATCH($B3881,Summary!$A$2:$A$201,0))</f>
        <v>52.1</v>
      </c>
      <c r="Y3881" s="0" t="str">
        <f aca="false">INDEX('Reward Model'!$E$18:$E$37,MATCH($E3881,'Reward Model'!$A$18:$A$37,0))</f>
        <v>High</v>
      </c>
      <c r="Z3881" s="4" t="n">
        <f aca="false">ROUND(MIN(1,MAX('Reward Model'!$B$2,INDEX('Reward Model'!$C$12:$C$14,MATCH($K3881,'Reward Model'!$A$12:$A$14,0))/$J3881)),3)</f>
        <v>1</v>
      </c>
      <c r="AA3881" s="2" t="n">
        <f aca="false">IF($I3881="Correct",ROUND(INDEX('Reward Model'!$B$12:$B$14,MATCH($K3881,'Reward Model'!$A$12:$A$14,0))*Z3881,2),0)</f>
        <v>3</v>
      </c>
      <c r="AB3881" s="2" t="n">
        <f aca="false">IF($I3881="Correct",ROUND(INDEX('Reward Model'!$B$12:$B$14,MATCH($Y3881,'Reward Model'!$A$12:$A$14,0))*Z3881,2),0)</f>
        <v>3</v>
      </c>
    </row>
    <row r="3882" customFormat="false" ht="15" hidden="false" customHeight="false" outlineLevel="0" collapsed="false">
      <c r="A3882" s="0" t="s">
        <v>520</v>
      </c>
      <c r="B3882" s="0" t="s">
        <v>521</v>
      </c>
      <c r="C3882" s="0" t="s">
        <v>322</v>
      </c>
      <c r="D3882" s="0" t="s">
        <v>275</v>
      </c>
      <c r="E3882" s="0" t="n">
        <v>1</v>
      </c>
      <c r="F3882" s="0" t="s">
        <v>32</v>
      </c>
      <c r="G3882" s="0" t="s">
        <v>33</v>
      </c>
      <c r="H3882" s="0" t="s">
        <v>33</v>
      </c>
      <c r="I3882" s="0" t="s">
        <v>34</v>
      </c>
      <c r="J3882" s="0" t="n">
        <v>1.16</v>
      </c>
      <c r="K3882" s="0" t="s">
        <v>35</v>
      </c>
      <c r="L3882" s="0" t="n">
        <f aca="false">INDEX(Summary!$F$2:$F$201,MATCH($B3882,Summary!$A$2:$A$201,0))</f>
        <v>20</v>
      </c>
      <c r="M3882" s="0" t="n">
        <f aca="false">INDEX(Summary!$I$2:$I$201,MATCH($B3882,Summary!$A$2:$A$201,0))</f>
        <v>1</v>
      </c>
      <c r="N3882" s="0" t="n">
        <f aca="false">INDEX(Summary!$J$2:$J$201,MATCH($B3882,Summary!$A$2:$A$201,0))</f>
        <v>4</v>
      </c>
      <c r="O3882" s="2" t="n">
        <f aca="false">INDEX(Summary!$K$2:$K$201,MATCH($B3882,Summary!$A$2:$A$201,0))</f>
        <v>8.52</v>
      </c>
      <c r="P3882" s="3" t="n">
        <f aca="false">INDEX(Summary!$L$2:$L$201,MATCH($B3882,Summary!$A$2:$A$201,0))</f>
        <v>3</v>
      </c>
      <c r="Q3882" s="3" t="n">
        <f aca="false">INDEX(Summary!$M$2:$M$201,MATCH($B3882,Summary!$A$2:$A$201,0))</f>
        <v>3</v>
      </c>
      <c r="R3882" s="2" t="n">
        <f aca="false">INDEX(Summary!$N$2:$N$201,MATCH($B3882,Summary!$A$2:$A$201,0))</f>
        <v>11.77</v>
      </c>
      <c r="S3882" s="3" t="n">
        <f aca="false">INDEX(Summary!$O$2:$O$201,MATCH($B3882,Summary!$A$2:$A$201,0))</f>
        <v>8</v>
      </c>
      <c r="T3882" s="3" t="n">
        <f aca="false">INDEX(Summary!$P$2:$P$201,MATCH($B3882,Summary!$A$2:$A$201,0))</f>
        <v>1</v>
      </c>
      <c r="U3882" s="2" t="n">
        <f aca="false">INDEX(Summary!$Q$2:$Q$201,MATCH($B3882,Summary!$A$2:$A$201,0))</f>
        <v>13.96</v>
      </c>
      <c r="V3882" s="2" t="n">
        <f aca="false">INDEX(Summary!$R$2:$R$201,MATCH($B3882,Summary!$A$2:$A$201,0))</f>
        <v>20.52</v>
      </c>
      <c r="W3882" s="0" t="str">
        <f aca="false">INDEX(Summary!$S$2:$S$201,MATCH($B3882,Summary!$A$2:$A$201,0))</f>
        <v>Silver</v>
      </c>
      <c r="X3882" s="2" t="n">
        <f aca="false">INDEX(Summary!$T$2:$T$201,MATCH($B3882,Summary!$A$2:$A$201,0))</f>
        <v>50.05</v>
      </c>
      <c r="Y3882" s="0" t="str">
        <f aca="false">INDEX('Reward Model'!$E$18:$E$37,MATCH($E3882,'Reward Model'!$A$18:$A$37,0))</f>
        <v>Medium</v>
      </c>
      <c r="Z3882" s="4" t="n">
        <f aca="false">ROUND(MIN(1,MAX('Reward Model'!$B$2,INDEX('Reward Model'!$C$12:$C$14,MATCH($K3882,'Reward Model'!$A$12:$A$14,0))/$J3882)),3)</f>
        <v>1</v>
      </c>
      <c r="AA3882" s="2" t="n">
        <f aca="false">IF($I3882="Correct",ROUND(INDEX('Reward Model'!$B$12:$B$14,MATCH($K3882,'Reward Model'!$A$12:$A$14,0))*Z3882,2),0)</f>
        <v>1</v>
      </c>
      <c r="AB3882" s="2" t="n">
        <f aca="false">IF($I3882="Correct",ROUND(INDEX('Reward Model'!$B$12:$B$14,MATCH($Y3882,'Reward Model'!$A$12:$A$14,0))*Z3882,2),0)</f>
        <v>2</v>
      </c>
    </row>
    <row r="3883" customFormat="false" ht="15" hidden="false" customHeight="false" outlineLevel="0" collapsed="false">
      <c r="A3883" s="0" t="s">
        <v>520</v>
      </c>
      <c r="B3883" s="0" t="s">
        <v>521</v>
      </c>
      <c r="C3883" s="0" t="s">
        <v>322</v>
      </c>
      <c r="D3883" s="0" t="s">
        <v>275</v>
      </c>
      <c r="E3883" s="0" t="n">
        <v>2</v>
      </c>
      <c r="F3883" s="0" t="s">
        <v>36</v>
      </c>
      <c r="G3883" s="0" t="s">
        <v>38</v>
      </c>
      <c r="H3883" s="0" t="s">
        <v>38</v>
      </c>
      <c r="I3883" s="0" t="s">
        <v>34</v>
      </c>
      <c r="J3883" s="0" t="n">
        <v>1.68</v>
      </c>
      <c r="K3883" s="0" t="s">
        <v>35</v>
      </c>
      <c r="L3883" s="0" t="n">
        <f aca="false">INDEX(Summary!$F$2:$F$201,MATCH($B3883,Summary!$A$2:$A$201,0))</f>
        <v>20</v>
      </c>
      <c r="M3883" s="0" t="n">
        <f aca="false">INDEX(Summary!$I$2:$I$201,MATCH($B3883,Summary!$A$2:$A$201,0))</f>
        <v>1</v>
      </c>
      <c r="N3883" s="0" t="n">
        <f aca="false">INDEX(Summary!$J$2:$J$201,MATCH($B3883,Summary!$A$2:$A$201,0))</f>
        <v>4</v>
      </c>
      <c r="O3883" s="2" t="n">
        <f aca="false">INDEX(Summary!$K$2:$K$201,MATCH($B3883,Summary!$A$2:$A$201,0))</f>
        <v>8.52</v>
      </c>
      <c r="P3883" s="3" t="n">
        <f aca="false">INDEX(Summary!$L$2:$L$201,MATCH($B3883,Summary!$A$2:$A$201,0))</f>
        <v>3</v>
      </c>
      <c r="Q3883" s="3" t="n">
        <f aca="false">INDEX(Summary!$M$2:$M$201,MATCH($B3883,Summary!$A$2:$A$201,0))</f>
        <v>3</v>
      </c>
      <c r="R3883" s="2" t="n">
        <f aca="false">INDEX(Summary!$N$2:$N$201,MATCH($B3883,Summary!$A$2:$A$201,0))</f>
        <v>11.77</v>
      </c>
      <c r="S3883" s="3" t="n">
        <f aca="false">INDEX(Summary!$O$2:$O$201,MATCH($B3883,Summary!$A$2:$A$201,0))</f>
        <v>8</v>
      </c>
      <c r="T3883" s="3" t="n">
        <f aca="false">INDEX(Summary!$P$2:$P$201,MATCH($B3883,Summary!$A$2:$A$201,0))</f>
        <v>1</v>
      </c>
      <c r="U3883" s="2" t="n">
        <f aca="false">INDEX(Summary!$Q$2:$Q$201,MATCH($B3883,Summary!$A$2:$A$201,0))</f>
        <v>13.96</v>
      </c>
      <c r="V3883" s="2" t="n">
        <f aca="false">INDEX(Summary!$R$2:$R$201,MATCH($B3883,Summary!$A$2:$A$201,0))</f>
        <v>20.52</v>
      </c>
      <c r="W3883" s="0" t="str">
        <f aca="false">INDEX(Summary!$S$2:$S$201,MATCH($B3883,Summary!$A$2:$A$201,0))</f>
        <v>Silver</v>
      </c>
      <c r="X3883" s="2" t="n">
        <f aca="false">INDEX(Summary!$T$2:$T$201,MATCH($B3883,Summary!$A$2:$A$201,0))</f>
        <v>50.05</v>
      </c>
      <c r="Y3883" s="0" t="str">
        <f aca="false">INDEX('Reward Model'!$E$18:$E$37,MATCH($E3883,'Reward Model'!$A$18:$A$37,0))</f>
        <v>Low</v>
      </c>
      <c r="Z3883" s="4" t="n">
        <f aca="false">ROUND(MIN(1,MAX('Reward Model'!$B$2,INDEX('Reward Model'!$C$12:$C$14,MATCH($K3883,'Reward Model'!$A$12:$A$14,0))/$J3883)),3)</f>
        <v>0.893</v>
      </c>
      <c r="AA3883" s="2" t="n">
        <f aca="false">IF($I3883="Correct",ROUND(INDEX('Reward Model'!$B$12:$B$14,MATCH($K3883,'Reward Model'!$A$12:$A$14,0))*Z3883,2),0)</f>
        <v>0.89</v>
      </c>
      <c r="AB3883" s="2" t="n">
        <f aca="false">IF($I3883="Correct",ROUND(INDEX('Reward Model'!$B$12:$B$14,MATCH($Y3883,'Reward Model'!$A$12:$A$14,0))*Z3883,2),0)</f>
        <v>0.89</v>
      </c>
    </row>
    <row r="3884" customFormat="false" ht="15" hidden="false" customHeight="false" outlineLevel="0" collapsed="false">
      <c r="A3884" s="0" t="s">
        <v>520</v>
      </c>
      <c r="B3884" s="0" t="s">
        <v>521</v>
      </c>
      <c r="C3884" s="0" t="s">
        <v>322</v>
      </c>
      <c r="D3884" s="0" t="s">
        <v>275</v>
      </c>
      <c r="E3884" s="0" t="n">
        <v>3</v>
      </c>
      <c r="F3884" s="0" t="s">
        <v>40</v>
      </c>
      <c r="G3884" s="0" t="s">
        <v>42</v>
      </c>
      <c r="H3884" s="0" t="s">
        <v>42</v>
      </c>
      <c r="I3884" s="0" t="s">
        <v>34</v>
      </c>
      <c r="J3884" s="0" t="n">
        <v>1.79</v>
      </c>
      <c r="K3884" s="0" t="s">
        <v>35</v>
      </c>
      <c r="L3884" s="0" t="n">
        <f aca="false">INDEX(Summary!$F$2:$F$201,MATCH($B3884,Summary!$A$2:$A$201,0))</f>
        <v>20</v>
      </c>
      <c r="M3884" s="0" t="n">
        <f aca="false">INDEX(Summary!$I$2:$I$201,MATCH($B3884,Summary!$A$2:$A$201,0))</f>
        <v>1</v>
      </c>
      <c r="N3884" s="0" t="n">
        <f aca="false">INDEX(Summary!$J$2:$J$201,MATCH($B3884,Summary!$A$2:$A$201,0))</f>
        <v>4</v>
      </c>
      <c r="O3884" s="2" t="n">
        <f aca="false">INDEX(Summary!$K$2:$K$201,MATCH($B3884,Summary!$A$2:$A$201,0))</f>
        <v>8.52</v>
      </c>
      <c r="P3884" s="3" t="n">
        <f aca="false">INDEX(Summary!$L$2:$L$201,MATCH($B3884,Summary!$A$2:$A$201,0))</f>
        <v>3</v>
      </c>
      <c r="Q3884" s="3" t="n">
        <f aca="false">INDEX(Summary!$M$2:$M$201,MATCH($B3884,Summary!$A$2:$A$201,0))</f>
        <v>3</v>
      </c>
      <c r="R3884" s="2" t="n">
        <f aca="false">INDEX(Summary!$N$2:$N$201,MATCH($B3884,Summary!$A$2:$A$201,0))</f>
        <v>11.77</v>
      </c>
      <c r="S3884" s="3" t="n">
        <f aca="false">INDEX(Summary!$O$2:$O$201,MATCH($B3884,Summary!$A$2:$A$201,0))</f>
        <v>8</v>
      </c>
      <c r="T3884" s="3" t="n">
        <f aca="false">INDEX(Summary!$P$2:$P$201,MATCH($B3884,Summary!$A$2:$A$201,0))</f>
        <v>1</v>
      </c>
      <c r="U3884" s="2" t="n">
        <f aca="false">INDEX(Summary!$Q$2:$Q$201,MATCH($B3884,Summary!$A$2:$A$201,0))</f>
        <v>13.96</v>
      </c>
      <c r="V3884" s="2" t="n">
        <f aca="false">INDEX(Summary!$R$2:$R$201,MATCH($B3884,Summary!$A$2:$A$201,0))</f>
        <v>20.52</v>
      </c>
      <c r="W3884" s="0" t="str">
        <f aca="false">INDEX(Summary!$S$2:$S$201,MATCH($B3884,Summary!$A$2:$A$201,0))</f>
        <v>Silver</v>
      </c>
      <c r="X3884" s="2" t="n">
        <f aca="false">INDEX(Summary!$T$2:$T$201,MATCH($B3884,Summary!$A$2:$A$201,0))</f>
        <v>50.05</v>
      </c>
      <c r="Y3884" s="0" t="str">
        <f aca="false">INDEX('Reward Model'!$E$18:$E$37,MATCH($E3884,'Reward Model'!$A$18:$A$37,0))</f>
        <v>Medium</v>
      </c>
      <c r="Z3884" s="4" t="n">
        <f aca="false">ROUND(MIN(1,MAX('Reward Model'!$B$2,INDEX('Reward Model'!$C$12:$C$14,MATCH($K3884,'Reward Model'!$A$12:$A$14,0))/$J3884)),3)</f>
        <v>0.838</v>
      </c>
      <c r="AA3884" s="2" t="n">
        <f aca="false">IF($I3884="Correct",ROUND(INDEX('Reward Model'!$B$12:$B$14,MATCH($K3884,'Reward Model'!$A$12:$A$14,0))*Z3884,2),0)</f>
        <v>0.84</v>
      </c>
      <c r="AB3884" s="2" t="n">
        <f aca="false">IF($I3884="Correct",ROUND(INDEX('Reward Model'!$B$12:$B$14,MATCH($Y3884,'Reward Model'!$A$12:$A$14,0))*Z3884,2),0)</f>
        <v>1.68</v>
      </c>
    </row>
    <row r="3885" customFormat="false" ht="15" hidden="false" customHeight="false" outlineLevel="0" collapsed="false">
      <c r="A3885" s="0" t="s">
        <v>520</v>
      </c>
      <c r="B3885" s="0" t="s">
        <v>521</v>
      </c>
      <c r="C3885" s="0" t="s">
        <v>322</v>
      </c>
      <c r="D3885" s="0" t="s">
        <v>275</v>
      </c>
      <c r="E3885" s="0" t="n">
        <v>4</v>
      </c>
      <c r="F3885" s="0" t="s">
        <v>43</v>
      </c>
      <c r="G3885" s="0" t="s">
        <v>45</v>
      </c>
      <c r="H3885" s="0" t="s">
        <v>45</v>
      </c>
      <c r="I3885" s="0" t="s">
        <v>34</v>
      </c>
      <c r="J3885" s="0" t="n">
        <v>1.29</v>
      </c>
      <c r="K3885" s="0" t="s">
        <v>35</v>
      </c>
      <c r="L3885" s="0" t="n">
        <f aca="false">INDEX(Summary!$F$2:$F$201,MATCH($B3885,Summary!$A$2:$A$201,0))</f>
        <v>20</v>
      </c>
      <c r="M3885" s="0" t="n">
        <f aca="false">INDEX(Summary!$I$2:$I$201,MATCH($B3885,Summary!$A$2:$A$201,0))</f>
        <v>1</v>
      </c>
      <c r="N3885" s="0" t="n">
        <f aca="false">INDEX(Summary!$J$2:$J$201,MATCH($B3885,Summary!$A$2:$A$201,0))</f>
        <v>4</v>
      </c>
      <c r="O3885" s="2" t="n">
        <f aca="false">INDEX(Summary!$K$2:$K$201,MATCH($B3885,Summary!$A$2:$A$201,0))</f>
        <v>8.52</v>
      </c>
      <c r="P3885" s="3" t="n">
        <f aca="false">INDEX(Summary!$L$2:$L$201,MATCH($B3885,Summary!$A$2:$A$201,0))</f>
        <v>3</v>
      </c>
      <c r="Q3885" s="3" t="n">
        <f aca="false">INDEX(Summary!$M$2:$M$201,MATCH($B3885,Summary!$A$2:$A$201,0))</f>
        <v>3</v>
      </c>
      <c r="R3885" s="2" t="n">
        <f aca="false">INDEX(Summary!$N$2:$N$201,MATCH($B3885,Summary!$A$2:$A$201,0))</f>
        <v>11.77</v>
      </c>
      <c r="S3885" s="3" t="n">
        <f aca="false">INDEX(Summary!$O$2:$O$201,MATCH($B3885,Summary!$A$2:$A$201,0))</f>
        <v>8</v>
      </c>
      <c r="T3885" s="3" t="n">
        <f aca="false">INDEX(Summary!$P$2:$P$201,MATCH($B3885,Summary!$A$2:$A$201,0))</f>
        <v>1</v>
      </c>
      <c r="U3885" s="2" t="n">
        <f aca="false">INDEX(Summary!$Q$2:$Q$201,MATCH($B3885,Summary!$A$2:$A$201,0))</f>
        <v>13.96</v>
      </c>
      <c r="V3885" s="2" t="n">
        <f aca="false">INDEX(Summary!$R$2:$R$201,MATCH($B3885,Summary!$A$2:$A$201,0))</f>
        <v>20.52</v>
      </c>
      <c r="W3885" s="0" t="str">
        <f aca="false">INDEX(Summary!$S$2:$S$201,MATCH($B3885,Summary!$A$2:$A$201,0))</f>
        <v>Silver</v>
      </c>
      <c r="X3885" s="2" t="n">
        <f aca="false">INDEX(Summary!$T$2:$T$201,MATCH($B3885,Summary!$A$2:$A$201,0))</f>
        <v>50.05</v>
      </c>
      <c r="Y3885" s="0" t="str">
        <f aca="false">INDEX('Reward Model'!$E$18:$E$37,MATCH($E3885,'Reward Model'!$A$18:$A$37,0))</f>
        <v>Low</v>
      </c>
      <c r="Z3885" s="4" t="n">
        <f aca="false">ROUND(MIN(1,MAX('Reward Model'!$B$2,INDEX('Reward Model'!$C$12:$C$14,MATCH($K3885,'Reward Model'!$A$12:$A$14,0))/$J3885)),3)</f>
        <v>1</v>
      </c>
      <c r="AA3885" s="2" t="n">
        <f aca="false">IF($I3885="Correct",ROUND(INDEX('Reward Model'!$B$12:$B$14,MATCH($K3885,'Reward Model'!$A$12:$A$14,0))*Z3885,2),0)</f>
        <v>1</v>
      </c>
      <c r="AB3885" s="2" t="n">
        <f aca="false">IF($I3885="Correct",ROUND(INDEX('Reward Model'!$B$12:$B$14,MATCH($Y3885,'Reward Model'!$A$12:$A$14,0))*Z3885,2),0)</f>
        <v>1</v>
      </c>
    </row>
    <row r="3886" customFormat="false" ht="15" hidden="false" customHeight="false" outlineLevel="0" collapsed="false">
      <c r="A3886" s="0" t="s">
        <v>520</v>
      </c>
      <c r="B3886" s="0" t="s">
        <v>521</v>
      </c>
      <c r="C3886" s="0" t="s">
        <v>322</v>
      </c>
      <c r="D3886" s="0" t="s">
        <v>275</v>
      </c>
      <c r="E3886" s="0" t="n">
        <v>5</v>
      </c>
      <c r="F3886" s="0" t="s">
        <v>46</v>
      </c>
      <c r="G3886" s="0" t="s">
        <v>149</v>
      </c>
      <c r="H3886" s="0" t="s">
        <v>47</v>
      </c>
      <c r="I3886" s="0" t="s">
        <v>39</v>
      </c>
      <c r="J3886" s="0" t="n">
        <v>1.9</v>
      </c>
      <c r="K3886" s="0" t="s">
        <v>35</v>
      </c>
      <c r="L3886" s="0" t="n">
        <f aca="false">INDEX(Summary!$F$2:$F$201,MATCH($B3886,Summary!$A$2:$A$201,0))</f>
        <v>20</v>
      </c>
      <c r="M3886" s="0" t="n">
        <f aca="false">INDEX(Summary!$I$2:$I$201,MATCH($B3886,Summary!$A$2:$A$201,0))</f>
        <v>1</v>
      </c>
      <c r="N3886" s="0" t="n">
        <f aca="false">INDEX(Summary!$J$2:$J$201,MATCH($B3886,Summary!$A$2:$A$201,0))</f>
        <v>4</v>
      </c>
      <c r="O3886" s="2" t="n">
        <f aca="false">INDEX(Summary!$K$2:$K$201,MATCH($B3886,Summary!$A$2:$A$201,0))</f>
        <v>8.52</v>
      </c>
      <c r="P3886" s="3" t="n">
        <f aca="false">INDEX(Summary!$L$2:$L$201,MATCH($B3886,Summary!$A$2:$A$201,0))</f>
        <v>3</v>
      </c>
      <c r="Q3886" s="3" t="n">
        <f aca="false">INDEX(Summary!$M$2:$M$201,MATCH($B3886,Summary!$A$2:$A$201,0))</f>
        <v>3</v>
      </c>
      <c r="R3886" s="2" t="n">
        <f aca="false">INDEX(Summary!$N$2:$N$201,MATCH($B3886,Summary!$A$2:$A$201,0))</f>
        <v>11.77</v>
      </c>
      <c r="S3886" s="3" t="n">
        <f aca="false">INDEX(Summary!$O$2:$O$201,MATCH($B3886,Summary!$A$2:$A$201,0))</f>
        <v>8</v>
      </c>
      <c r="T3886" s="3" t="n">
        <f aca="false">INDEX(Summary!$P$2:$P$201,MATCH($B3886,Summary!$A$2:$A$201,0))</f>
        <v>1</v>
      </c>
      <c r="U3886" s="2" t="n">
        <f aca="false">INDEX(Summary!$Q$2:$Q$201,MATCH($B3886,Summary!$A$2:$A$201,0))</f>
        <v>13.96</v>
      </c>
      <c r="V3886" s="2" t="n">
        <f aca="false">INDEX(Summary!$R$2:$R$201,MATCH($B3886,Summary!$A$2:$A$201,0))</f>
        <v>20.52</v>
      </c>
      <c r="W3886" s="0" t="str">
        <f aca="false">INDEX(Summary!$S$2:$S$201,MATCH($B3886,Summary!$A$2:$A$201,0))</f>
        <v>Silver</v>
      </c>
      <c r="X3886" s="2" t="n">
        <f aca="false">INDEX(Summary!$T$2:$T$201,MATCH($B3886,Summary!$A$2:$A$201,0))</f>
        <v>50.05</v>
      </c>
      <c r="Y3886" s="0" t="str">
        <f aca="false">INDEX('Reward Model'!$E$18:$E$37,MATCH($E3886,'Reward Model'!$A$18:$A$37,0))</f>
        <v>Low</v>
      </c>
      <c r="Z3886" s="4" t="n">
        <f aca="false">ROUND(MIN(1,MAX('Reward Model'!$B$2,INDEX('Reward Model'!$C$12:$C$14,MATCH($K3886,'Reward Model'!$A$12:$A$14,0))/$J3886)),3)</f>
        <v>0.789</v>
      </c>
      <c r="AA3886" s="2" t="n">
        <f aca="false">IF($I3886="Correct",ROUND(INDEX('Reward Model'!$B$12:$B$14,MATCH($K3886,'Reward Model'!$A$12:$A$14,0))*Z3886,2),0)</f>
        <v>0</v>
      </c>
      <c r="AB3886" s="2" t="n">
        <f aca="false">IF($I3886="Correct",ROUND(INDEX('Reward Model'!$B$12:$B$14,MATCH($Y3886,'Reward Model'!$A$12:$A$14,0))*Z3886,2),0)</f>
        <v>0</v>
      </c>
    </row>
    <row r="3887" customFormat="false" ht="15" hidden="false" customHeight="false" outlineLevel="0" collapsed="false">
      <c r="A3887" s="0" t="s">
        <v>520</v>
      </c>
      <c r="B3887" s="0" t="s">
        <v>521</v>
      </c>
      <c r="C3887" s="0" t="s">
        <v>322</v>
      </c>
      <c r="D3887" s="0" t="s">
        <v>275</v>
      </c>
      <c r="E3887" s="0" t="n">
        <v>6</v>
      </c>
      <c r="F3887" s="0" t="s">
        <v>48</v>
      </c>
      <c r="G3887" s="0" t="s">
        <v>49</v>
      </c>
      <c r="H3887" s="0" t="s">
        <v>49</v>
      </c>
      <c r="I3887" s="0" t="s">
        <v>34</v>
      </c>
      <c r="J3887" s="0" t="n">
        <v>1.69</v>
      </c>
      <c r="K3887" s="0" t="s">
        <v>35</v>
      </c>
      <c r="L3887" s="0" t="n">
        <f aca="false">INDEX(Summary!$F$2:$F$201,MATCH($B3887,Summary!$A$2:$A$201,0))</f>
        <v>20</v>
      </c>
      <c r="M3887" s="0" t="n">
        <f aca="false">INDEX(Summary!$I$2:$I$201,MATCH($B3887,Summary!$A$2:$A$201,0))</f>
        <v>1</v>
      </c>
      <c r="N3887" s="0" t="n">
        <f aca="false">INDEX(Summary!$J$2:$J$201,MATCH($B3887,Summary!$A$2:$A$201,0))</f>
        <v>4</v>
      </c>
      <c r="O3887" s="2" t="n">
        <f aca="false">INDEX(Summary!$K$2:$K$201,MATCH($B3887,Summary!$A$2:$A$201,0))</f>
        <v>8.52</v>
      </c>
      <c r="P3887" s="3" t="n">
        <f aca="false">INDEX(Summary!$L$2:$L$201,MATCH($B3887,Summary!$A$2:$A$201,0))</f>
        <v>3</v>
      </c>
      <c r="Q3887" s="3" t="n">
        <f aca="false">INDEX(Summary!$M$2:$M$201,MATCH($B3887,Summary!$A$2:$A$201,0))</f>
        <v>3</v>
      </c>
      <c r="R3887" s="2" t="n">
        <f aca="false">INDEX(Summary!$N$2:$N$201,MATCH($B3887,Summary!$A$2:$A$201,0))</f>
        <v>11.77</v>
      </c>
      <c r="S3887" s="3" t="n">
        <f aca="false">INDEX(Summary!$O$2:$O$201,MATCH($B3887,Summary!$A$2:$A$201,0))</f>
        <v>8</v>
      </c>
      <c r="T3887" s="3" t="n">
        <f aca="false">INDEX(Summary!$P$2:$P$201,MATCH($B3887,Summary!$A$2:$A$201,0))</f>
        <v>1</v>
      </c>
      <c r="U3887" s="2" t="n">
        <f aca="false">INDEX(Summary!$Q$2:$Q$201,MATCH($B3887,Summary!$A$2:$A$201,0))</f>
        <v>13.96</v>
      </c>
      <c r="V3887" s="2" t="n">
        <f aca="false">INDEX(Summary!$R$2:$R$201,MATCH($B3887,Summary!$A$2:$A$201,0))</f>
        <v>20.52</v>
      </c>
      <c r="W3887" s="0" t="str">
        <f aca="false">INDEX(Summary!$S$2:$S$201,MATCH($B3887,Summary!$A$2:$A$201,0))</f>
        <v>Silver</v>
      </c>
      <c r="X3887" s="2" t="n">
        <f aca="false">INDEX(Summary!$T$2:$T$201,MATCH($B3887,Summary!$A$2:$A$201,0))</f>
        <v>50.05</v>
      </c>
      <c r="Y3887" s="0" t="str">
        <f aca="false">INDEX('Reward Model'!$E$18:$E$37,MATCH($E3887,'Reward Model'!$A$18:$A$37,0))</f>
        <v>Medium</v>
      </c>
      <c r="Z3887" s="4" t="n">
        <f aca="false">ROUND(MIN(1,MAX('Reward Model'!$B$2,INDEX('Reward Model'!$C$12:$C$14,MATCH($K3887,'Reward Model'!$A$12:$A$14,0))/$J3887)),3)</f>
        <v>0.888</v>
      </c>
      <c r="AA3887" s="2" t="n">
        <f aca="false">IF($I3887="Correct",ROUND(INDEX('Reward Model'!$B$12:$B$14,MATCH($K3887,'Reward Model'!$A$12:$A$14,0))*Z3887,2),0)</f>
        <v>0.89</v>
      </c>
      <c r="AB3887" s="2" t="n">
        <f aca="false">IF($I3887="Correct",ROUND(INDEX('Reward Model'!$B$12:$B$14,MATCH($Y3887,'Reward Model'!$A$12:$A$14,0))*Z3887,2),0)</f>
        <v>1.78</v>
      </c>
    </row>
    <row r="3888" customFormat="false" ht="15" hidden="false" customHeight="false" outlineLevel="0" collapsed="false">
      <c r="A3888" s="0" t="s">
        <v>520</v>
      </c>
      <c r="B3888" s="0" t="s">
        <v>521</v>
      </c>
      <c r="C3888" s="0" t="s">
        <v>322</v>
      </c>
      <c r="D3888" s="0" t="s">
        <v>275</v>
      </c>
      <c r="E3888" s="0" t="n">
        <v>7</v>
      </c>
      <c r="F3888" s="0" t="s">
        <v>50</v>
      </c>
      <c r="G3888" s="0" t="s">
        <v>51</v>
      </c>
      <c r="H3888" s="0" t="s">
        <v>51</v>
      </c>
      <c r="I3888" s="0" t="s">
        <v>34</v>
      </c>
      <c r="J3888" s="0" t="n">
        <v>1.29</v>
      </c>
      <c r="K3888" s="0" t="s">
        <v>35</v>
      </c>
      <c r="L3888" s="0" t="n">
        <f aca="false">INDEX(Summary!$F$2:$F$201,MATCH($B3888,Summary!$A$2:$A$201,0))</f>
        <v>20</v>
      </c>
      <c r="M3888" s="0" t="n">
        <f aca="false">INDEX(Summary!$I$2:$I$201,MATCH($B3888,Summary!$A$2:$A$201,0))</f>
        <v>1</v>
      </c>
      <c r="N3888" s="0" t="n">
        <f aca="false">INDEX(Summary!$J$2:$J$201,MATCH($B3888,Summary!$A$2:$A$201,0))</f>
        <v>4</v>
      </c>
      <c r="O3888" s="2" t="n">
        <f aca="false">INDEX(Summary!$K$2:$K$201,MATCH($B3888,Summary!$A$2:$A$201,0))</f>
        <v>8.52</v>
      </c>
      <c r="P3888" s="3" t="n">
        <f aca="false">INDEX(Summary!$L$2:$L$201,MATCH($B3888,Summary!$A$2:$A$201,0))</f>
        <v>3</v>
      </c>
      <c r="Q3888" s="3" t="n">
        <f aca="false">INDEX(Summary!$M$2:$M$201,MATCH($B3888,Summary!$A$2:$A$201,0))</f>
        <v>3</v>
      </c>
      <c r="R3888" s="2" t="n">
        <f aca="false">INDEX(Summary!$N$2:$N$201,MATCH($B3888,Summary!$A$2:$A$201,0))</f>
        <v>11.77</v>
      </c>
      <c r="S3888" s="3" t="n">
        <f aca="false">INDEX(Summary!$O$2:$O$201,MATCH($B3888,Summary!$A$2:$A$201,0))</f>
        <v>8</v>
      </c>
      <c r="T3888" s="3" t="n">
        <f aca="false">INDEX(Summary!$P$2:$P$201,MATCH($B3888,Summary!$A$2:$A$201,0))</f>
        <v>1</v>
      </c>
      <c r="U3888" s="2" t="n">
        <f aca="false">INDEX(Summary!$Q$2:$Q$201,MATCH($B3888,Summary!$A$2:$A$201,0))</f>
        <v>13.96</v>
      </c>
      <c r="V3888" s="2" t="n">
        <f aca="false">INDEX(Summary!$R$2:$R$201,MATCH($B3888,Summary!$A$2:$A$201,0))</f>
        <v>20.52</v>
      </c>
      <c r="W3888" s="0" t="str">
        <f aca="false">INDEX(Summary!$S$2:$S$201,MATCH($B3888,Summary!$A$2:$A$201,0))</f>
        <v>Silver</v>
      </c>
      <c r="X3888" s="2" t="n">
        <f aca="false">INDEX(Summary!$T$2:$T$201,MATCH($B3888,Summary!$A$2:$A$201,0))</f>
        <v>50.05</v>
      </c>
      <c r="Y3888" s="0" t="str">
        <f aca="false">INDEX('Reward Model'!$E$18:$E$37,MATCH($E3888,'Reward Model'!$A$18:$A$37,0))</f>
        <v>Low</v>
      </c>
      <c r="Z3888" s="4" t="n">
        <f aca="false">ROUND(MIN(1,MAX('Reward Model'!$B$2,INDEX('Reward Model'!$C$12:$C$14,MATCH($K3888,'Reward Model'!$A$12:$A$14,0))/$J3888)),3)</f>
        <v>1</v>
      </c>
      <c r="AA3888" s="2" t="n">
        <f aca="false">IF($I3888="Correct",ROUND(INDEX('Reward Model'!$B$12:$B$14,MATCH($K3888,'Reward Model'!$A$12:$A$14,0))*Z3888,2),0)</f>
        <v>1</v>
      </c>
      <c r="AB3888" s="2" t="n">
        <f aca="false">IF($I3888="Correct",ROUND(INDEX('Reward Model'!$B$12:$B$14,MATCH($Y3888,'Reward Model'!$A$12:$A$14,0))*Z3888,2),0)</f>
        <v>1</v>
      </c>
    </row>
    <row r="3889" customFormat="false" ht="15" hidden="false" customHeight="false" outlineLevel="0" collapsed="false">
      <c r="A3889" s="0" t="s">
        <v>520</v>
      </c>
      <c r="B3889" s="0" t="s">
        <v>521</v>
      </c>
      <c r="C3889" s="0" t="s">
        <v>322</v>
      </c>
      <c r="D3889" s="0" t="s">
        <v>275</v>
      </c>
      <c r="E3889" s="0" t="n">
        <v>8</v>
      </c>
      <c r="F3889" s="0" t="s">
        <v>52</v>
      </c>
      <c r="G3889" s="0" t="s">
        <v>54</v>
      </c>
      <c r="H3889" s="0" t="s">
        <v>54</v>
      </c>
      <c r="I3889" s="0" t="s">
        <v>34</v>
      </c>
      <c r="J3889" s="0" t="n">
        <v>1.96</v>
      </c>
      <c r="K3889" s="0" t="s">
        <v>35</v>
      </c>
      <c r="L3889" s="0" t="n">
        <f aca="false">INDEX(Summary!$F$2:$F$201,MATCH($B3889,Summary!$A$2:$A$201,0))</f>
        <v>20</v>
      </c>
      <c r="M3889" s="0" t="n">
        <f aca="false">INDEX(Summary!$I$2:$I$201,MATCH($B3889,Summary!$A$2:$A$201,0))</f>
        <v>1</v>
      </c>
      <c r="N3889" s="0" t="n">
        <f aca="false">INDEX(Summary!$J$2:$J$201,MATCH($B3889,Summary!$A$2:$A$201,0))</f>
        <v>4</v>
      </c>
      <c r="O3889" s="2" t="n">
        <f aca="false">INDEX(Summary!$K$2:$K$201,MATCH($B3889,Summary!$A$2:$A$201,0))</f>
        <v>8.52</v>
      </c>
      <c r="P3889" s="3" t="n">
        <f aca="false">INDEX(Summary!$L$2:$L$201,MATCH($B3889,Summary!$A$2:$A$201,0))</f>
        <v>3</v>
      </c>
      <c r="Q3889" s="3" t="n">
        <f aca="false">INDEX(Summary!$M$2:$M$201,MATCH($B3889,Summary!$A$2:$A$201,0))</f>
        <v>3</v>
      </c>
      <c r="R3889" s="2" t="n">
        <f aca="false">INDEX(Summary!$N$2:$N$201,MATCH($B3889,Summary!$A$2:$A$201,0))</f>
        <v>11.77</v>
      </c>
      <c r="S3889" s="3" t="n">
        <f aca="false">INDEX(Summary!$O$2:$O$201,MATCH($B3889,Summary!$A$2:$A$201,0))</f>
        <v>8</v>
      </c>
      <c r="T3889" s="3" t="n">
        <f aca="false">INDEX(Summary!$P$2:$P$201,MATCH($B3889,Summary!$A$2:$A$201,0))</f>
        <v>1</v>
      </c>
      <c r="U3889" s="2" t="n">
        <f aca="false">INDEX(Summary!$Q$2:$Q$201,MATCH($B3889,Summary!$A$2:$A$201,0))</f>
        <v>13.96</v>
      </c>
      <c r="V3889" s="2" t="n">
        <f aca="false">INDEX(Summary!$R$2:$R$201,MATCH($B3889,Summary!$A$2:$A$201,0))</f>
        <v>20.52</v>
      </c>
      <c r="W3889" s="0" t="str">
        <f aca="false">INDEX(Summary!$S$2:$S$201,MATCH($B3889,Summary!$A$2:$A$201,0))</f>
        <v>Silver</v>
      </c>
      <c r="X3889" s="2" t="n">
        <f aca="false">INDEX(Summary!$T$2:$T$201,MATCH($B3889,Summary!$A$2:$A$201,0))</f>
        <v>50.05</v>
      </c>
      <c r="Y3889" s="0" t="str">
        <f aca="false">INDEX('Reward Model'!$E$18:$E$37,MATCH($E3889,'Reward Model'!$A$18:$A$37,0))</f>
        <v>Medium</v>
      </c>
      <c r="Z3889" s="4" t="n">
        <f aca="false">ROUND(MIN(1,MAX('Reward Model'!$B$2,INDEX('Reward Model'!$C$12:$C$14,MATCH($K3889,'Reward Model'!$A$12:$A$14,0))/$J3889)),3)</f>
        <v>0.765</v>
      </c>
      <c r="AA3889" s="2" t="n">
        <f aca="false">IF($I3889="Correct",ROUND(INDEX('Reward Model'!$B$12:$B$14,MATCH($K3889,'Reward Model'!$A$12:$A$14,0))*Z3889,2),0)</f>
        <v>0.77</v>
      </c>
      <c r="AB3889" s="2" t="n">
        <f aca="false">IF($I3889="Correct",ROUND(INDEX('Reward Model'!$B$12:$B$14,MATCH($Y3889,'Reward Model'!$A$12:$A$14,0))*Z3889,2),0)</f>
        <v>1.53</v>
      </c>
    </row>
    <row r="3890" customFormat="false" ht="15" hidden="false" customHeight="false" outlineLevel="0" collapsed="false">
      <c r="A3890" s="0" t="s">
        <v>520</v>
      </c>
      <c r="B3890" s="0" t="s">
        <v>521</v>
      </c>
      <c r="C3890" s="0" t="s">
        <v>322</v>
      </c>
      <c r="D3890" s="0" t="s">
        <v>275</v>
      </c>
      <c r="E3890" s="0" t="n">
        <v>9</v>
      </c>
      <c r="F3890" s="0" t="s">
        <v>55</v>
      </c>
      <c r="G3890" s="0" t="s">
        <v>57</v>
      </c>
      <c r="H3890" s="0" t="s">
        <v>57</v>
      </c>
      <c r="I3890" s="0" t="s">
        <v>34</v>
      </c>
      <c r="J3890" s="0" t="n">
        <v>1.2</v>
      </c>
      <c r="K3890" s="0" t="s">
        <v>35</v>
      </c>
      <c r="L3890" s="0" t="n">
        <f aca="false">INDEX(Summary!$F$2:$F$201,MATCH($B3890,Summary!$A$2:$A$201,0))</f>
        <v>20</v>
      </c>
      <c r="M3890" s="0" t="n">
        <f aca="false">INDEX(Summary!$I$2:$I$201,MATCH($B3890,Summary!$A$2:$A$201,0))</f>
        <v>1</v>
      </c>
      <c r="N3890" s="0" t="n">
        <f aca="false">INDEX(Summary!$J$2:$J$201,MATCH($B3890,Summary!$A$2:$A$201,0))</f>
        <v>4</v>
      </c>
      <c r="O3890" s="2" t="n">
        <f aca="false">INDEX(Summary!$K$2:$K$201,MATCH($B3890,Summary!$A$2:$A$201,0))</f>
        <v>8.52</v>
      </c>
      <c r="P3890" s="3" t="n">
        <f aca="false">INDEX(Summary!$L$2:$L$201,MATCH($B3890,Summary!$A$2:$A$201,0))</f>
        <v>3</v>
      </c>
      <c r="Q3890" s="3" t="n">
        <f aca="false">INDEX(Summary!$M$2:$M$201,MATCH($B3890,Summary!$A$2:$A$201,0))</f>
        <v>3</v>
      </c>
      <c r="R3890" s="2" t="n">
        <f aca="false">INDEX(Summary!$N$2:$N$201,MATCH($B3890,Summary!$A$2:$A$201,0))</f>
        <v>11.77</v>
      </c>
      <c r="S3890" s="3" t="n">
        <f aca="false">INDEX(Summary!$O$2:$O$201,MATCH($B3890,Summary!$A$2:$A$201,0))</f>
        <v>8</v>
      </c>
      <c r="T3890" s="3" t="n">
        <f aca="false">INDEX(Summary!$P$2:$P$201,MATCH($B3890,Summary!$A$2:$A$201,0))</f>
        <v>1</v>
      </c>
      <c r="U3890" s="2" t="n">
        <f aca="false">INDEX(Summary!$Q$2:$Q$201,MATCH($B3890,Summary!$A$2:$A$201,0))</f>
        <v>13.96</v>
      </c>
      <c r="V3890" s="2" t="n">
        <f aca="false">INDEX(Summary!$R$2:$R$201,MATCH($B3890,Summary!$A$2:$A$201,0))</f>
        <v>20.52</v>
      </c>
      <c r="W3890" s="0" t="str">
        <f aca="false">INDEX(Summary!$S$2:$S$201,MATCH($B3890,Summary!$A$2:$A$201,0))</f>
        <v>Silver</v>
      </c>
      <c r="X3890" s="2" t="n">
        <f aca="false">INDEX(Summary!$T$2:$T$201,MATCH($B3890,Summary!$A$2:$A$201,0))</f>
        <v>50.05</v>
      </c>
      <c r="Y3890" s="0" t="str">
        <f aca="false">INDEX('Reward Model'!$E$18:$E$37,MATCH($E3890,'Reward Model'!$A$18:$A$37,0))</f>
        <v>Medium</v>
      </c>
      <c r="Z3890" s="4" t="n">
        <f aca="false">ROUND(MIN(1,MAX('Reward Model'!$B$2,INDEX('Reward Model'!$C$12:$C$14,MATCH($K3890,'Reward Model'!$A$12:$A$14,0))/$J3890)),3)</f>
        <v>1</v>
      </c>
      <c r="AA3890" s="2" t="n">
        <f aca="false">IF($I3890="Correct",ROUND(INDEX('Reward Model'!$B$12:$B$14,MATCH($K3890,'Reward Model'!$A$12:$A$14,0))*Z3890,2),0)</f>
        <v>1</v>
      </c>
      <c r="AB3890" s="2" t="n">
        <f aca="false">IF($I3890="Correct",ROUND(INDEX('Reward Model'!$B$12:$B$14,MATCH($Y3890,'Reward Model'!$A$12:$A$14,0))*Z3890,2),0)</f>
        <v>2</v>
      </c>
    </row>
    <row r="3891" customFormat="false" ht="15" hidden="false" customHeight="false" outlineLevel="0" collapsed="false">
      <c r="A3891" s="0" t="s">
        <v>520</v>
      </c>
      <c r="B3891" s="0" t="s">
        <v>521</v>
      </c>
      <c r="C3891" s="0" t="s">
        <v>322</v>
      </c>
      <c r="D3891" s="0" t="s">
        <v>275</v>
      </c>
      <c r="E3891" s="0" t="n">
        <v>10</v>
      </c>
      <c r="F3891" s="0" t="s">
        <v>58</v>
      </c>
      <c r="G3891" s="0" t="s">
        <v>138</v>
      </c>
      <c r="H3891" s="0" t="s">
        <v>59</v>
      </c>
      <c r="I3891" s="0" t="s">
        <v>39</v>
      </c>
      <c r="J3891" s="0" t="n">
        <v>2.3</v>
      </c>
      <c r="K3891" s="0" t="s">
        <v>60</v>
      </c>
      <c r="L3891" s="0" t="n">
        <f aca="false">INDEX(Summary!$F$2:$F$201,MATCH($B3891,Summary!$A$2:$A$201,0))</f>
        <v>20</v>
      </c>
      <c r="M3891" s="0" t="n">
        <f aca="false">INDEX(Summary!$I$2:$I$201,MATCH($B3891,Summary!$A$2:$A$201,0))</f>
        <v>1</v>
      </c>
      <c r="N3891" s="0" t="n">
        <f aca="false">INDEX(Summary!$J$2:$J$201,MATCH($B3891,Summary!$A$2:$A$201,0))</f>
        <v>4</v>
      </c>
      <c r="O3891" s="2" t="n">
        <f aca="false">INDEX(Summary!$K$2:$K$201,MATCH($B3891,Summary!$A$2:$A$201,0))</f>
        <v>8.52</v>
      </c>
      <c r="P3891" s="3" t="n">
        <f aca="false">INDEX(Summary!$L$2:$L$201,MATCH($B3891,Summary!$A$2:$A$201,0))</f>
        <v>3</v>
      </c>
      <c r="Q3891" s="3" t="n">
        <f aca="false">INDEX(Summary!$M$2:$M$201,MATCH($B3891,Summary!$A$2:$A$201,0))</f>
        <v>3</v>
      </c>
      <c r="R3891" s="2" t="n">
        <f aca="false">INDEX(Summary!$N$2:$N$201,MATCH($B3891,Summary!$A$2:$A$201,0))</f>
        <v>11.77</v>
      </c>
      <c r="S3891" s="3" t="n">
        <f aca="false">INDEX(Summary!$O$2:$O$201,MATCH($B3891,Summary!$A$2:$A$201,0))</f>
        <v>8</v>
      </c>
      <c r="T3891" s="3" t="n">
        <f aca="false">INDEX(Summary!$P$2:$P$201,MATCH($B3891,Summary!$A$2:$A$201,0))</f>
        <v>1</v>
      </c>
      <c r="U3891" s="2" t="n">
        <f aca="false">INDEX(Summary!$Q$2:$Q$201,MATCH($B3891,Summary!$A$2:$A$201,0))</f>
        <v>13.96</v>
      </c>
      <c r="V3891" s="2" t="n">
        <f aca="false">INDEX(Summary!$R$2:$R$201,MATCH($B3891,Summary!$A$2:$A$201,0))</f>
        <v>20.52</v>
      </c>
      <c r="W3891" s="0" t="str">
        <f aca="false">INDEX(Summary!$S$2:$S$201,MATCH($B3891,Summary!$A$2:$A$201,0))</f>
        <v>Silver</v>
      </c>
      <c r="X3891" s="2" t="n">
        <f aca="false">INDEX(Summary!$T$2:$T$201,MATCH($B3891,Summary!$A$2:$A$201,0))</f>
        <v>50.05</v>
      </c>
      <c r="Y3891" s="0" t="str">
        <f aca="false">INDEX('Reward Model'!$E$18:$E$37,MATCH($E3891,'Reward Model'!$A$18:$A$37,0))</f>
        <v>Medium</v>
      </c>
      <c r="Z3891" s="4" t="n">
        <f aca="false">ROUND(MIN(1,MAX('Reward Model'!$B$2,INDEX('Reward Model'!$C$12:$C$14,MATCH($K3891,'Reward Model'!$A$12:$A$14,0))/$J3891)),3)</f>
        <v>0.783</v>
      </c>
      <c r="AA3891" s="2" t="n">
        <f aca="false">IF($I3891="Correct",ROUND(INDEX('Reward Model'!$B$12:$B$14,MATCH($K3891,'Reward Model'!$A$12:$A$14,0))*Z3891,2),0)</f>
        <v>0</v>
      </c>
      <c r="AB3891" s="2" t="n">
        <f aca="false">IF($I3891="Correct",ROUND(INDEX('Reward Model'!$B$12:$B$14,MATCH($Y3891,'Reward Model'!$A$12:$A$14,0))*Z3891,2),0)</f>
        <v>0</v>
      </c>
    </row>
    <row r="3892" customFormat="false" ht="15" hidden="false" customHeight="false" outlineLevel="0" collapsed="false">
      <c r="A3892" s="0" t="s">
        <v>520</v>
      </c>
      <c r="B3892" s="0" t="s">
        <v>521</v>
      </c>
      <c r="C3892" s="0" t="s">
        <v>322</v>
      </c>
      <c r="D3892" s="0" t="s">
        <v>275</v>
      </c>
      <c r="E3892" s="0" t="n">
        <v>11</v>
      </c>
      <c r="F3892" s="0" t="s">
        <v>61</v>
      </c>
      <c r="G3892" s="0" t="s">
        <v>62</v>
      </c>
      <c r="H3892" s="0" t="s">
        <v>63</v>
      </c>
      <c r="I3892" s="0" t="s">
        <v>39</v>
      </c>
      <c r="J3892" s="0" t="n">
        <v>2.25</v>
      </c>
      <c r="K3892" s="0" t="s">
        <v>60</v>
      </c>
      <c r="L3892" s="0" t="n">
        <f aca="false">INDEX(Summary!$F$2:$F$201,MATCH($B3892,Summary!$A$2:$A$201,0))</f>
        <v>20</v>
      </c>
      <c r="M3892" s="0" t="n">
        <f aca="false">INDEX(Summary!$I$2:$I$201,MATCH($B3892,Summary!$A$2:$A$201,0))</f>
        <v>1</v>
      </c>
      <c r="N3892" s="0" t="n">
        <f aca="false">INDEX(Summary!$J$2:$J$201,MATCH($B3892,Summary!$A$2:$A$201,0))</f>
        <v>4</v>
      </c>
      <c r="O3892" s="2" t="n">
        <f aca="false">INDEX(Summary!$K$2:$K$201,MATCH($B3892,Summary!$A$2:$A$201,0))</f>
        <v>8.52</v>
      </c>
      <c r="P3892" s="3" t="n">
        <f aca="false">INDEX(Summary!$L$2:$L$201,MATCH($B3892,Summary!$A$2:$A$201,0))</f>
        <v>3</v>
      </c>
      <c r="Q3892" s="3" t="n">
        <f aca="false">INDEX(Summary!$M$2:$M$201,MATCH($B3892,Summary!$A$2:$A$201,0))</f>
        <v>3</v>
      </c>
      <c r="R3892" s="2" t="n">
        <f aca="false">INDEX(Summary!$N$2:$N$201,MATCH($B3892,Summary!$A$2:$A$201,0))</f>
        <v>11.77</v>
      </c>
      <c r="S3892" s="3" t="n">
        <f aca="false">INDEX(Summary!$O$2:$O$201,MATCH($B3892,Summary!$A$2:$A$201,0))</f>
        <v>8</v>
      </c>
      <c r="T3892" s="3" t="n">
        <f aca="false">INDEX(Summary!$P$2:$P$201,MATCH($B3892,Summary!$A$2:$A$201,0))</f>
        <v>1</v>
      </c>
      <c r="U3892" s="2" t="n">
        <f aca="false">INDEX(Summary!$Q$2:$Q$201,MATCH($B3892,Summary!$A$2:$A$201,0))</f>
        <v>13.96</v>
      </c>
      <c r="V3892" s="2" t="n">
        <f aca="false">INDEX(Summary!$R$2:$R$201,MATCH($B3892,Summary!$A$2:$A$201,0))</f>
        <v>20.52</v>
      </c>
      <c r="W3892" s="0" t="str">
        <f aca="false">INDEX(Summary!$S$2:$S$201,MATCH($B3892,Summary!$A$2:$A$201,0))</f>
        <v>Silver</v>
      </c>
      <c r="X3892" s="2" t="n">
        <f aca="false">INDEX(Summary!$T$2:$T$201,MATCH($B3892,Summary!$A$2:$A$201,0))</f>
        <v>50.05</v>
      </c>
      <c r="Y3892" s="0" t="str">
        <f aca="false">INDEX('Reward Model'!$E$18:$E$37,MATCH($E3892,'Reward Model'!$A$18:$A$37,0))</f>
        <v>Medium</v>
      </c>
      <c r="Z3892" s="4" t="n">
        <f aca="false">ROUND(MIN(1,MAX('Reward Model'!$B$2,INDEX('Reward Model'!$C$12:$C$14,MATCH($K3892,'Reward Model'!$A$12:$A$14,0))/$J3892)),3)</f>
        <v>0.8</v>
      </c>
      <c r="AA3892" s="2" t="n">
        <f aca="false">IF($I3892="Correct",ROUND(INDEX('Reward Model'!$B$12:$B$14,MATCH($K3892,'Reward Model'!$A$12:$A$14,0))*Z3892,2),0)</f>
        <v>0</v>
      </c>
      <c r="AB3892" s="2" t="n">
        <f aca="false">IF($I3892="Correct",ROUND(INDEX('Reward Model'!$B$12:$B$14,MATCH($Y3892,'Reward Model'!$A$12:$A$14,0))*Z3892,2),0)</f>
        <v>0</v>
      </c>
    </row>
    <row r="3893" customFormat="false" ht="15" hidden="false" customHeight="false" outlineLevel="0" collapsed="false">
      <c r="A3893" s="0" t="s">
        <v>520</v>
      </c>
      <c r="B3893" s="0" t="s">
        <v>521</v>
      </c>
      <c r="C3893" s="0" t="s">
        <v>322</v>
      </c>
      <c r="D3893" s="0" t="s">
        <v>275</v>
      </c>
      <c r="E3893" s="0" t="n">
        <v>12</v>
      </c>
      <c r="F3893" s="0" t="s">
        <v>64</v>
      </c>
      <c r="G3893" s="0" t="s">
        <v>65</v>
      </c>
      <c r="H3893" s="0" t="s">
        <v>65</v>
      </c>
      <c r="I3893" s="0" t="s">
        <v>34</v>
      </c>
      <c r="J3893" s="0" t="n">
        <v>1.87</v>
      </c>
      <c r="K3893" s="0" t="s">
        <v>60</v>
      </c>
      <c r="L3893" s="0" t="n">
        <f aca="false">INDEX(Summary!$F$2:$F$201,MATCH($B3893,Summary!$A$2:$A$201,0))</f>
        <v>20</v>
      </c>
      <c r="M3893" s="0" t="n">
        <f aca="false">INDEX(Summary!$I$2:$I$201,MATCH($B3893,Summary!$A$2:$A$201,0))</f>
        <v>1</v>
      </c>
      <c r="N3893" s="0" t="n">
        <f aca="false">INDEX(Summary!$J$2:$J$201,MATCH($B3893,Summary!$A$2:$A$201,0))</f>
        <v>4</v>
      </c>
      <c r="O3893" s="2" t="n">
        <f aca="false">INDEX(Summary!$K$2:$K$201,MATCH($B3893,Summary!$A$2:$A$201,0))</f>
        <v>8.52</v>
      </c>
      <c r="P3893" s="3" t="n">
        <f aca="false">INDEX(Summary!$L$2:$L$201,MATCH($B3893,Summary!$A$2:$A$201,0))</f>
        <v>3</v>
      </c>
      <c r="Q3893" s="3" t="n">
        <f aca="false">INDEX(Summary!$M$2:$M$201,MATCH($B3893,Summary!$A$2:$A$201,0))</f>
        <v>3</v>
      </c>
      <c r="R3893" s="2" t="n">
        <f aca="false">INDEX(Summary!$N$2:$N$201,MATCH($B3893,Summary!$A$2:$A$201,0))</f>
        <v>11.77</v>
      </c>
      <c r="S3893" s="3" t="n">
        <f aca="false">INDEX(Summary!$O$2:$O$201,MATCH($B3893,Summary!$A$2:$A$201,0))</f>
        <v>8</v>
      </c>
      <c r="T3893" s="3" t="n">
        <f aca="false">INDEX(Summary!$P$2:$P$201,MATCH($B3893,Summary!$A$2:$A$201,0))</f>
        <v>1</v>
      </c>
      <c r="U3893" s="2" t="n">
        <f aca="false">INDEX(Summary!$Q$2:$Q$201,MATCH($B3893,Summary!$A$2:$A$201,0))</f>
        <v>13.96</v>
      </c>
      <c r="V3893" s="2" t="n">
        <f aca="false">INDEX(Summary!$R$2:$R$201,MATCH($B3893,Summary!$A$2:$A$201,0))</f>
        <v>20.52</v>
      </c>
      <c r="W3893" s="0" t="str">
        <f aca="false">INDEX(Summary!$S$2:$S$201,MATCH($B3893,Summary!$A$2:$A$201,0))</f>
        <v>Silver</v>
      </c>
      <c r="X3893" s="2" t="n">
        <f aca="false">INDEX(Summary!$T$2:$T$201,MATCH($B3893,Summary!$A$2:$A$201,0))</f>
        <v>50.05</v>
      </c>
      <c r="Y3893" s="0" t="str">
        <f aca="false">INDEX('Reward Model'!$E$18:$E$37,MATCH($E3893,'Reward Model'!$A$18:$A$37,0))</f>
        <v>Medium</v>
      </c>
      <c r="Z3893" s="4" t="n">
        <f aca="false">ROUND(MIN(1,MAX('Reward Model'!$B$2,INDEX('Reward Model'!$C$12:$C$14,MATCH($K3893,'Reward Model'!$A$12:$A$14,0))/$J3893)),3)</f>
        <v>0.963</v>
      </c>
      <c r="AA3893" s="2" t="n">
        <f aca="false">IF($I3893="Correct",ROUND(INDEX('Reward Model'!$B$12:$B$14,MATCH($K3893,'Reward Model'!$A$12:$A$14,0))*Z3893,2),0)</f>
        <v>1.93</v>
      </c>
      <c r="AB3893" s="2" t="n">
        <f aca="false">IF($I3893="Correct",ROUND(INDEX('Reward Model'!$B$12:$B$14,MATCH($Y3893,'Reward Model'!$A$12:$A$14,0))*Z3893,2),0)</f>
        <v>1.93</v>
      </c>
    </row>
    <row r="3894" customFormat="false" ht="15" hidden="false" customHeight="false" outlineLevel="0" collapsed="false">
      <c r="A3894" s="0" t="s">
        <v>520</v>
      </c>
      <c r="B3894" s="0" t="s">
        <v>521</v>
      </c>
      <c r="C3894" s="0" t="s">
        <v>322</v>
      </c>
      <c r="D3894" s="0" t="s">
        <v>275</v>
      </c>
      <c r="E3894" s="0" t="n">
        <v>13</v>
      </c>
      <c r="F3894" s="0" t="s">
        <v>66</v>
      </c>
      <c r="G3894" s="0" t="s">
        <v>67</v>
      </c>
      <c r="H3894" s="0" t="s">
        <v>67</v>
      </c>
      <c r="I3894" s="0" t="s">
        <v>34</v>
      </c>
      <c r="J3894" s="0" t="n">
        <v>1.26</v>
      </c>
      <c r="K3894" s="0" t="s">
        <v>60</v>
      </c>
      <c r="L3894" s="0" t="n">
        <f aca="false">INDEX(Summary!$F$2:$F$201,MATCH($B3894,Summary!$A$2:$A$201,0))</f>
        <v>20</v>
      </c>
      <c r="M3894" s="0" t="n">
        <f aca="false">INDEX(Summary!$I$2:$I$201,MATCH($B3894,Summary!$A$2:$A$201,0))</f>
        <v>1</v>
      </c>
      <c r="N3894" s="0" t="n">
        <f aca="false">INDEX(Summary!$J$2:$J$201,MATCH($B3894,Summary!$A$2:$A$201,0))</f>
        <v>4</v>
      </c>
      <c r="O3894" s="2" t="n">
        <f aca="false">INDEX(Summary!$K$2:$K$201,MATCH($B3894,Summary!$A$2:$A$201,0))</f>
        <v>8.52</v>
      </c>
      <c r="P3894" s="3" t="n">
        <f aca="false">INDEX(Summary!$L$2:$L$201,MATCH($B3894,Summary!$A$2:$A$201,0))</f>
        <v>3</v>
      </c>
      <c r="Q3894" s="3" t="n">
        <f aca="false">INDEX(Summary!$M$2:$M$201,MATCH($B3894,Summary!$A$2:$A$201,0))</f>
        <v>3</v>
      </c>
      <c r="R3894" s="2" t="n">
        <f aca="false">INDEX(Summary!$N$2:$N$201,MATCH($B3894,Summary!$A$2:$A$201,0))</f>
        <v>11.77</v>
      </c>
      <c r="S3894" s="3" t="n">
        <f aca="false">INDEX(Summary!$O$2:$O$201,MATCH($B3894,Summary!$A$2:$A$201,0))</f>
        <v>8</v>
      </c>
      <c r="T3894" s="3" t="n">
        <f aca="false">INDEX(Summary!$P$2:$P$201,MATCH($B3894,Summary!$A$2:$A$201,0))</f>
        <v>1</v>
      </c>
      <c r="U3894" s="2" t="n">
        <f aca="false">INDEX(Summary!$Q$2:$Q$201,MATCH($B3894,Summary!$A$2:$A$201,0))</f>
        <v>13.96</v>
      </c>
      <c r="V3894" s="2" t="n">
        <f aca="false">INDEX(Summary!$R$2:$R$201,MATCH($B3894,Summary!$A$2:$A$201,0))</f>
        <v>20.52</v>
      </c>
      <c r="W3894" s="0" t="str">
        <f aca="false">INDEX(Summary!$S$2:$S$201,MATCH($B3894,Summary!$A$2:$A$201,0))</f>
        <v>Silver</v>
      </c>
      <c r="X3894" s="2" t="n">
        <f aca="false">INDEX(Summary!$T$2:$T$201,MATCH($B3894,Summary!$A$2:$A$201,0))</f>
        <v>50.05</v>
      </c>
      <c r="Y3894" s="0" t="str">
        <f aca="false">INDEX('Reward Model'!$E$18:$E$37,MATCH($E3894,'Reward Model'!$A$18:$A$37,0))</f>
        <v>Medium</v>
      </c>
      <c r="Z3894" s="4" t="n">
        <f aca="false">ROUND(MIN(1,MAX('Reward Model'!$B$2,INDEX('Reward Model'!$C$12:$C$14,MATCH($K3894,'Reward Model'!$A$12:$A$14,0))/$J3894)),3)</f>
        <v>1</v>
      </c>
      <c r="AA3894" s="2" t="n">
        <f aca="false">IF($I3894="Correct",ROUND(INDEX('Reward Model'!$B$12:$B$14,MATCH($K3894,'Reward Model'!$A$12:$A$14,0))*Z3894,2),0)</f>
        <v>2</v>
      </c>
      <c r="AB3894" s="2" t="n">
        <f aca="false">IF($I3894="Correct",ROUND(INDEX('Reward Model'!$B$12:$B$14,MATCH($Y3894,'Reward Model'!$A$12:$A$14,0))*Z3894,2),0)</f>
        <v>2</v>
      </c>
    </row>
    <row r="3895" customFormat="false" ht="15" hidden="false" customHeight="false" outlineLevel="0" collapsed="false">
      <c r="A3895" s="0" t="s">
        <v>520</v>
      </c>
      <c r="B3895" s="0" t="s">
        <v>521</v>
      </c>
      <c r="C3895" s="0" t="s">
        <v>322</v>
      </c>
      <c r="D3895" s="0" t="s">
        <v>275</v>
      </c>
      <c r="E3895" s="0" t="n">
        <v>14</v>
      </c>
      <c r="F3895" s="0" t="s">
        <v>68</v>
      </c>
      <c r="G3895" s="0" t="s">
        <v>100</v>
      </c>
      <c r="H3895" s="0" t="s">
        <v>51</v>
      </c>
      <c r="I3895" s="0" t="s">
        <v>39</v>
      </c>
      <c r="J3895" s="0" t="n">
        <v>1.98</v>
      </c>
      <c r="K3895" s="0" t="s">
        <v>60</v>
      </c>
      <c r="L3895" s="0" t="n">
        <f aca="false">INDEX(Summary!$F$2:$F$201,MATCH($B3895,Summary!$A$2:$A$201,0))</f>
        <v>20</v>
      </c>
      <c r="M3895" s="0" t="n">
        <f aca="false">INDEX(Summary!$I$2:$I$201,MATCH($B3895,Summary!$A$2:$A$201,0))</f>
        <v>1</v>
      </c>
      <c r="N3895" s="0" t="n">
        <f aca="false">INDEX(Summary!$J$2:$J$201,MATCH($B3895,Summary!$A$2:$A$201,0))</f>
        <v>4</v>
      </c>
      <c r="O3895" s="2" t="n">
        <f aca="false">INDEX(Summary!$K$2:$K$201,MATCH($B3895,Summary!$A$2:$A$201,0))</f>
        <v>8.52</v>
      </c>
      <c r="P3895" s="3" t="n">
        <f aca="false">INDEX(Summary!$L$2:$L$201,MATCH($B3895,Summary!$A$2:$A$201,0))</f>
        <v>3</v>
      </c>
      <c r="Q3895" s="3" t="n">
        <f aca="false">INDEX(Summary!$M$2:$M$201,MATCH($B3895,Summary!$A$2:$A$201,0))</f>
        <v>3</v>
      </c>
      <c r="R3895" s="2" t="n">
        <f aca="false">INDEX(Summary!$N$2:$N$201,MATCH($B3895,Summary!$A$2:$A$201,0))</f>
        <v>11.77</v>
      </c>
      <c r="S3895" s="3" t="n">
        <f aca="false">INDEX(Summary!$O$2:$O$201,MATCH($B3895,Summary!$A$2:$A$201,0))</f>
        <v>8</v>
      </c>
      <c r="T3895" s="3" t="n">
        <f aca="false">INDEX(Summary!$P$2:$P$201,MATCH($B3895,Summary!$A$2:$A$201,0))</f>
        <v>1</v>
      </c>
      <c r="U3895" s="2" t="n">
        <f aca="false">INDEX(Summary!$Q$2:$Q$201,MATCH($B3895,Summary!$A$2:$A$201,0))</f>
        <v>13.96</v>
      </c>
      <c r="V3895" s="2" t="n">
        <f aca="false">INDEX(Summary!$R$2:$R$201,MATCH($B3895,Summary!$A$2:$A$201,0))</f>
        <v>20.52</v>
      </c>
      <c r="W3895" s="0" t="str">
        <f aca="false">INDEX(Summary!$S$2:$S$201,MATCH($B3895,Summary!$A$2:$A$201,0))</f>
        <v>Silver</v>
      </c>
      <c r="X3895" s="2" t="n">
        <f aca="false">INDEX(Summary!$T$2:$T$201,MATCH($B3895,Summary!$A$2:$A$201,0))</f>
        <v>50.05</v>
      </c>
      <c r="Y3895" s="0" t="str">
        <f aca="false">INDEX('Reward Model'!$E$18:$E$37,MATCH($E3895,'Reward Model'!$A$18:$A$37,0))</f>
        <v>Medium</v>
      </c>
      <c r="Z3895" s="4" t="n">
        <f aca="false">ROUND(MIN(1,MAX('Reward Model'!$B$2,INDEX('Reward Model'!$C$12:$C$14,MATCH($K3895,'Reward Model'!$A$12:$A$14,0))/$J3895)),3)</f>
        <v>0.909</v>
      </c>
      <c r="AA3895" s="2" t="n">
        <f aca="false">IF($I3895="Correct",ROUND(INDEX('Reward Model'!$B$12:$B$14,MATCH($K3895,'Reward Model'!$A$12:$A$14,0))*Z3895,2),0)</f>
        <v>0</v>
      </c>
      <c r="AB3895" s="2" t="n">
        <f aca="false">IF($I3895="Correct",ROUND(INDEX('Reward Model'!$B$12:$B$14,MATCH($Y3895,'Reward Model'!$A$12:$A$14,0))*Z3895,2),0)</f>
        <v>0</v>
      </c>
    </row>
    <row r="3896" customFormat="false" ht="15" hidden="false" customHeight="false" outlineLevel="0" collapsed="false">
      <c r="A3896" s="0" t="s">
        <v>520</v>
      </c>
      <c r="B3896" s="0" t="s">
        <v>521</v>
      </c>
      <c r="C3896" s="0" t="s">
        <v>322</v>
      </c>
      <c r="D3896" s="0" t="s">
        <v>275</v>
      </c>
      <c r="E3896" s="0" t="n">
        <v>15</v>
      </c>
      <c r="F3896" s="0" t="s">
        <v>69</v>
      </c>
      <c r="G3896" s="0" t="s">
        <v>70</v>
      </c>
      <c r="H3896" s="0" t="s">
        <v>70</v>
      </c>
      <c r="I3896" s="0" t="s">
        <v>34</v>
      </c>
      <c r="J3896" s="0" t="n">
        <v>2.11</v>
      </c>
      <c r="K3896" s="0" t="s">
        <v>60</v>
      </c>
      <c r="L3896" s="0" t="n">
        <f aca="false">INDEX(Summary!$F$2:$F$201,MATCH($B3896,Summary!$A$2:$A$201,0))</f>
        <v>20</v>
      </c>
      <c r="M3896" s="0" t="n">
        <f aca="false">INDEX(Summary!$I$2:$I$201,MATCH($B3896,Summary!$A$2:$A$201,0))</f>
        <v>1</v>
      </c>
      <c r="N3896" s="0" t="n">
        <f aca="false">INDEX(Summary!$J$2:$J$201,MATCH($B3896,Summary!$A$2:$A$201,0))</f>
        <v>4</v>
      </c>
      <c r="O3896" s="2" t="n">
        <f aca="false">INDEX(Summary!$K$2:$K$201,MATCH($B3896,Summary!$A$2:$A$201,0))</f>
        <v>8.52</v>
      </c>
      <c r="P3896" s="3" t="n">
        <f aca="false">INDEX(Summary!$L$2:$L$201,MATCH($B3896,Summary!$A$2:$A$201,0))</f>
        <v>3</v>
      </c>
      <c r="Q3896" s="3" t="n">
        <f aca="false">INDEX(Summary!$M$2:$M$201,MATCH($B3896,Summary!$A$2:$A$201,0))</f>
        <v>3</v>
      </c>
      <c r="R3896" s="2" t="n">
        <f aca="false">INDEX(Summary!$N$2:$N$201,MATCH($B3896,Summary!$A$2:$A$201,0))</f>
        <v>11.77</v>
      </c>
      <c r="S3896" s="3" t="n">
        <f aca="false">INDEX(Summary!$O$2:$O$201,MATCH($B3896,Summary!$A$2:$A$201,0))</f>
        <v>8</v>
      </c>
      <c r="T3896" s="3" t="n">
        <f aca="false">INDEX(Summary!$P$2:$P$201,MATCH($B3896,Summary!$A$2:$A$201,0))</f>
        <v>1</v>
      </c>
      <c r="U3896" s="2" t="n">
        <f aca="false">INDEX(Summary!$Q$2:$Q$201,MATCH($B3896,Summary!$A$2:$A$201,0))</f>
        <v>13.96</v>
      </c>
      <c r="V3896" s="2" t="n">
        <f aca="false">INDEX(Summary!$R$2:$R$201,MATCH($B3896,Summary!$A$2:$A$201,0))</f>
        <v>20.52</v>
      </c>
      <c r="W3896" s="0" t="str">
        <f aca="false">INDEX(Summary!$S$2:$S$201,MATCH($B3896,Summary!$A$2:$A$201,0))</f>
        <v>Silver</v>
      </c>
      <c r="X3896" s="2" t="n">
        <f aca="false">INDEX(Summary!$T$2:$T$201,MATCH($B3896,Summary!$A$2:$A$201,0))</f>
        <v>50.05</v>
      </c>
      <c r="Y3896" s="0" t="str">
        <f aca="false">INDEX('Reward Model'!$E$18:$E$37,MATCH($E3896,'Reward Model'!$A$18:$A$37,0))</f>
        <v>Medium</v>
      </c>
      <c r="Z3896" s="4" t="n">
        <f aca="false">ROUND(MIN(1,MAX('Reward Model'!$B$2,INDEX('Reward Model'!$C$12:$C$14,MATCH($K3896,'Reward Model'!$A$12:$A$14,0))/$J3896)),3)</f>
        <v>0.853</v>
      </c>
      <c r="AA3896" s="2" t="n">
        <f aca="false">IF($I3896="Correct",ROUND(INDEX('Reward Model'!$B$12:$B$14,MATCH($K3896,'Reward Model'!$A$12:$A$14,0))*Z3896,2),0)</f>
        <v>1.71</v>
      </c>
      <c r="AB3896" s="2" t="n">
        <f aca="false">IF($I3896="Correct",ROUND(INDEX('Reward Model'!$B$12:$B$14,MATCH($Y3896,'Reward Model'!$A$12:$A$14,0))*Z3896,2),0)</f>
        <v>1.71</v>
      </c>
    </row>
    <row r="3897" customFormat="false" ht="15" hidden="false" customHeight="false" outlineLevel="0" collapsed="false">
      <c r="A3897" s="0" t="s">
        <v>520</v>
      </c>
      <c r="B3897" s="0" t="s">
        <v>521</v>
      </c>
      <c r="C3897" s="0" t="s">
        <v>322</v>
      </c>
      <c r="D3897" s="0" t="s">
        <v>275</v>
      </c>
      <c r="E3897" s="0" t="n">
        <v>16</v>
      </c>
      <c r="F3897" s="0" t="s">
        <v>71</v>
      </c>
      <c r="G3897" s="0" t="s">
        <v>104</v>
      </c>
      <c r="H3897" s="0" t="s">
        <v>72</v>
      </c>
      <c r="I3897" s="0" t="s">
        <v>39</v>
      </c>
      <c r="J3897" s="0" t="n">
        <v>1.37</v>
      </c>
      <c r="K3897" s="0" t="s">
        <v>73</v>
      </c>
      <c r="L3897" s="0" t="n">
        <f aca="false">INDEX(Summary!$F$2:$F$201,MATCH($B3897,Summary!$A$2:$A$201,0))</f>
        <v>20</v>
      </c>
      <c r="M3897" s="0" t="n">
        <f aca="false">INDEX(Summary!$I$2:$I$201,MATCH($B3897,Summary!$A$2:$A$201,0))</f>
        <v>1</v>
      </c>
      <c r="N3897" s="0" t="n">
        <f aca="false">INDEX(Summary!$J$2:$J$201,MATCH($B3897,Summary!$A$2:$A$201,0))</f>
        <v>4</v>
      </c>
      <c r="O3897" s="2" t="n">
        <f aca="false">INDEX(Summary!$K$2:$K$201,MATCH($B3897,Summary!$A$2:$A$201,0))</f>
        <v>8.52</v>
      </c>
      <c r="P3897" s="3" t="n">
        <f aca="false">INDEX(Summary!$L$2:$L$201,MATCH($B3897,Summary!$A$2:$A$201,0))</f>
        <v>3</v>
      </c>
      <c r="Q3897" s="3" t="n">
        <f aca="false">INDEX(Summary!$M$2:$M$201,MATCH($B3897,Summary!$A$2:$A$201,0))</f>
        <v>3</v>
      </c>
      <c r="R3897" s="2" t="n">
        <f aca="false">INDEX(Summary!$N$2:$N$201,MATCH($B3897,Summary!$A$2:$A$201,0))</f>
        <v>11.77</v>
      </c>
      <c r="S3897" s="3" t="n">
        <f aca="false">INDEX(Summary!$O$2:$O$201,MATCH($B3897,Summary!$A$2:$A$201,0))</f>
        <v>8</v>
      </c>
      <c r="T3897" s="3" t="n">
        <f aca="false">INDEX(Summary!$P$2:$P$201,MATCH($B3897,Summary!$A$2:$A$201,0))</f>
        <v>1</v>
      </c>
      <c r="U3897" s="2" t="n">
        <f aca="false">INDEX(Summary!$Q$2:$Q$201,MATCH($B3897,Summary!$A$2:$A$201,0))</f>
        <v>13.96</v>
      </c>
      <c r="V3897" s="2" t="n">
        <f aca="false">INDEX(Summary!$R$2:$R$201,MATCH($B3897,Summary!$A$2:$A$201,0))</f>
        <v>20.52</v>
      </c>
      <c r="W3897" s="0" t="str">
        <f aca="false">INDEX(Summary!$S$2:$S$201,MATCH($B3897,Summary!$A$2:$A$201,0))</f>
        <v>Silver</v>
      </c>
      <c r="X3897" s="2" t="n">
        <f aca="false">INDEX(Summary!$T$2:$T$201,MATCH($B3897,Summary!$A$2:$A$201,0))</f>
        <v>50.05</v>
      </c>
      <c r="Y3897" s="0" t="str">
        <f aca="false">INDEX('Reward Model'!$E$18:$E$37,MATCH($E3897,'Reward Model'!$A$18:$A$37,0))</f>
        <v>High</v>
      </c>
      <c r="Z3897" s="4" t="n">
        <f aca="false">ROUND(MIN(1,MAX('Reward Model'!$B$2,INDEX('Reward Model'!$C$12:$C$14,MATCH($K3897,'Reward Model'!$A$12:$A$14,0))/$J3897)),3)</f>
        <v>1</v>
      </c>
      <c r="AA3897" s="2" t="n">
        <f aca="false">IF($I3897="Correct",ROUND(INDEX('Reward Model'!$B$12:$B$14,MATCH($K3897,'Reward Model'!$A$12:$A$14,0))*Z3897,2),0)</f>
        <v>0</v>
      </c>
      <c r="AB3897" s="2" t="n">
        <f aca="false">IF($I3897="Correct",ROUND(INDEX('Reward Model'!$B$12:$B$14,MATCH($Y3897,'Reward Model'!$A$12:$A$14,0))*Z3897,2),0)</f>
        <v>0</v>
      </c>
    </row>
    <row r="3898" customFormat="false" ht="15" hidden="false" customHeight="false" outlineLevel="0" collapsed="false">
      <c r="A3898" s="0" t="s">
        <v>520</v>
      </c>
      <c r="B3898" s="0" t="s">
        <v>521</v>
      </c>
      <c r="C3898" s="0" t="s">
        <v>322</v>
      </c>
      <c r="D3898" s="0" t="s">
        <v>275</v>
      </c>
      <c r="E3898" s="0" t="n">
        <v>17</v>
      </c>
      <c r="F3898" s="0" t="s">
        <v>74</v>
      </c>
      <c r="G3898" s="0" t="s">
        <v>105</v>
      </c>
      <c r="H3898" s="0" t="s">
        <v>75</v>
      </c>
      <c r="I3898" s="0" t="s">
        <v>39</v>
      </c>
      <c r="J3898" s="0" t="n">
        <v>1.82</v>
      </c>
      <c r="K3898" s="0" t="s">
        <v>73</v>
      </c>
      <c r="L3898" s="0" t="n">
        <f aca="false">INDEX(Summary!$F$2:$F$201,MATCH($B3898,Summary!$A$2:$A$201,0))</f>
        <v>20</v>
      </c>
      <c r="M3898" s="0" t="n">
        <f aca="false">INDEX(Summary!$I$2:$I$201,MATCH($B3898,Summary!$A$2:$A$201,0))</f>
        <v>1</v>
      </c>
      <c r="N3898" s="0" t="n">
        <f aca="false">INDEX(Summary!$J$2:$J$201,MATCH($B3898,Summary!$A$2:$A$201,0))</f>
        <v>4</v>
      </c>
      <c r="O3898" s="2" t="n">
        <f aca="false">INDEX(Summary!$K$2:$K$201,MATCH($B3898,Summary!$A$2:$A$201,0))</f>
        <v>8.52</v>
      </c>
      <c r="P3898" s="3" t="n">
        <f aca="false">INDEX(Summary!$L$2:$L$201,MATCH($B3898,Summary!$A$2:$A$201,0))</f>
        <v>3</v>
      </c>
      <c r="Q3898" s="3" t="n">
        <f aca="false">INDEX(Summary!$M$2:$M$201,MATCH($B3898,Summary!$A$2:$A$201,0))</f>
        <v>3</v>
      </c>
      <c r="R3898" s="2" t="n">
        <f aca="false">INDEX(Summary!$N$2:$N$201,MATCH($B3898,Summary!$A$2:$A$201,0))</f>
        <v>11.77</v>
      </c>
      <c r="S3898" s="3" t="n">
        <f aca="false">INDEX(Summary!$O$2:$O$201,MATCH($B3898,Summary!$A$2:$A$201,0))</f>
        <v>8</v>
      </c>
      <c r="T3898" s="3" t="n">
        <f aca="false">INDEX(Summary!$P$2:$P$201,MATCH($B3898,Summary!$A$2:$A$201,0))</f>
        <v>1</v>
      </c>
      <c r="U3898" s="2" t="n">
        <f aca="false">INDEX(Summary!$Q$2:$Q$201,MATCH($B3898,Summary!$A$2:$A$201,0))</f>
        <v>13.96</v>
      </c>
      <c r="V3898" s="2" t="n">
        <f aca="false">INDEX(Summary!$R$2:$R$201,MATCH($B3898,Summary!$A$2:$A$201,0))</f>
        <v>20.52</v>
      </c>
      <c r="W3898" s="0" t="str">
        <f aca="false">INDEX(Summary!$S$2:$S$201,MATCH($B3898,Summary!$A$2:$A$201,0))</f>
        <v>Silver</v>
      </c>
      <c r="X3898" s="2" t="n">
        <f aca="false">INDEX(Summary!$T$2:$T$201,MATCH($B3898,Summary!$A$2:$A$201,0))</f>
        <v>50.05</v>
      </c>
      <c r="Y3898" s="0" t="str">
        <f aca="false">INDEX('Reward Model'!$E$18:$E$37,MATCH($E3898,'Reward Model'!$A$18:$A$37,0))</f>
        <v>High</v>
      </c>
      <c r="Z3898" s="4" t="n">
        <f aca="false">ROUND(MIN(1,MAX('Reward Model'!$B$2,INDEX('Reward Model'!$C$12:$C$14,MATCH($K3898,'Reward Model'!$A$12:$A$14,0))/$J3898)),3)</f>
        <v>1</v>
      </c>
      <c r="AA3898" s="2" t="n">
        <f aca="false">IF($I3898="Correct",ROUND(INDEX('Reward Model'!$B$12:$B$14,MATCH($K3898,'Reward Model'!$A$12:$A$14,0))*Z3898,2),0)</f>
        <v>0</v>
      </c>
      <c r="AB3898" s="2" t="n">
        <f aca="false">IF($I3898="Correct",ROUND(INDEX('Reward Model'!$B$12:$B$14,MATCH($Y3898,'Reward Model'!$A$12:$A$14,0))*Z3898,2),0)</f>
        <v>0</v>
      </c>
    </row>
    <row r="3899" customFormat="false" ht="15" hidden="false" customHeight="false" outlineLevel="0" collapsed="false">
      <c r="A3899" s="0" t="s">
        <v>520</v>
      </c>
      <c r="B3899" s="0" t="s">
        <v>521</v>
      </c>
      <c r="C3899" s="0" t="s">
        <v>322</v>
      </c>
      <c r="D3899" s="0" t="s">
        <v>275</v>
      </c>
      <c r="E3899" s="0" t="n">
        <v>18</v>
      </c>
      <c r="F3899" s="0" t="s">
        <v>76</v>
      </c>
      <c r="G3899" s="0" t="s">
        <v>88</v>
      </c>
      <c r="H3899" s="0" t="s">
        <v>77</v>
      </c>
      <c r="I3899" s="0" t="s">
        <v>39</v>
      </c>
      <c r="J3899" s="0" t="n">
        <v>1.93</v>
      </c>
      <c r="K3899" s="0" t="s">
        <v>73</v>
      </c>
      <c r="L3899" s="0" t="n">
        <f aca="false">INDEX(Summary!$F$2:$F$201,MATCH($B3899,Summary!$A$2:$A$201,0))</f>
        <v>20</v>
      </c>
      <c r="M3899" s="0" t="n">
        <f aca="false">INDEX(Summary!$I$2:$I$201,MATCH($B3899,Summary!$A$2:$A$201,0))</f>
        <v>1</v>
      </c>
      <c r="N3899" s="0" t="n">
        <f aca="false">INDEX(Summary!$J$2:$J$201,MATCH($B3899,Summary!$A$2:$A$201,0))</f>
        <v>4</v>
      </c>
      <c r="O3899" s="2" t="n">
        <f aca="false">INDEX(Summary!$K$2:$K$201,MATCH($B3899,Summary!$A$2:$A$201,0))</f>
        <v>8.52</v>
      </c>
      <c r="P3899" s="3" t="n">
        <f aca="false">INDEX(Summary!$L$2:$L$201,MATCH($B3899,Summary!$A$2:$A$201,0))</f>
        <v>3</v>
      </c>
      <c r="Q3899" s="3" t="n">
        <f aca="false">INDEX(Summary!$M$2:$M$201,MATCH($B3899,Summary!$A$2:$A$201,0))</f>
        <v>3</v>
      </c>
      <c r="R3899" s="2" t="n">
        <f aca="false">INDEX(Summary!$N$2:$N$201,MATCH($B3899,Summary!$A$2:$A$201,0))</f>
        <v>11.77</v>
      </c>
      <c r="S3899" s="3" t="n">
        <f aca="false">INDEX(Summary!$O$2:$O$201,MATCH($B3899,Summary!$A$2:$A$201,0))</f>
        <v>8</v>
      </c>
      <c r="T3899" s="3" t="n">
        <f aca="false">INDEX(Summary!$P$2:$P$201,MATCH($B3899,Summary!$A$2:$A$201,0))</f>
        <v>1</v>
      </c>
      <c r="U3899" s="2" t="n">
        <f aca="false">INDEX(Summary!$Q$2:$Q$201,MATCH($B3899,Summary!$A$2:$A$201,0))</f>
        <v>13.96</v>
      </c>
      <c r="V3899" s="2" t="n">
        <f aca="false">INDEX(Summary!$R$2:$R$201,MATCH($B3899,Summary!$A$2:$A$201,0))</f>
        <v>20.52</v>
      </c>
      <c r="W3899" s="0" t="str">
        <f aca="false">INDEX(Summary!$S$2:$S$201,MATCH($B3899,Summary!$A$2:$A$201,0))</f>
        <v>Silver</v>
      </c>
      <c r="X3899" s="2" t="n">
        <f aca="false">INDEX(Summary!$T$2:$T$201,MATCH($B3899,Summary!$A$2:$A$201,0))</f>
        <v>50.05</v>
      </c>
      <c r="Y3899" s="0" t="str">
        <f aca="false">INDEX('Reward Model'!$E$18:$E$37,MATCH($E3899,'Reward Model'!$A$18:$A$37,0))</f>
        <v>High</v>
      </c>
      <c r="Z3899" s="4" t="n">
        <f aca="false">ROUND(MIN(1,MAX('Reward Model'!$B$2,INDEX('Reward Model'!$C$12:$C$14,MATCH($K3899,'Reward Model'!$A$12:$A$14,0))/$J3899)),3)</f>
        <v>1</v>
      </c>
      <c r="AA3899" s="2" t="n">
        <f aca="false">IF($I3899="Correct",ROUND(INDEX('Reward Model'!$B$12:$B$14,MATCH($K3899,'Reward Model'!$A$12:$A$14,0))*Z3899,2),0)</f>
        <v>0</v>
      </c>
      <c r="AB3899" s="2" t="n">
        <f aca="false">IF($I3899="Correct",ROUND(INDEX('Reward Model'!$B$12:$B$14,MATCH($Y3899,'Reward Model'!$A$12:$A$14,0))*Z3899,2),0)</f>
        <v>0</v>
      </c>
    </row>
    <row r="3900" customFormat="false" ht="15" hidden="false" customHeight="false" outlineLevel="0" collapsed="false">
      <c r="A3900" s="0" t="s">
        <v>520</v>
      </c>
      <c r="B3900" s="0" t="s">
        <v>521</v>
      </c>
      <c r="C3900" s="0" t="s">
        <v>322</v>
      </c>
      <c r="D3900" s="0" t="s">
        <v>275</v>
      </c>
      <c r="E3900" s="0" t="n">
        <v>19</v>
      </c>
      <c r="F3900" s="0" t="s">
        <v>78</v>
      </c>
      <c r="G3900" s="0" t="s">
        <v>80</v>
      </c>
      <c r="H3900" s="0" t="s">
        <v>80</v>
      </c>
      <c r="I3900" s="0" t="s">
        <v>34</v>
      </c>
      <c r="J3900" s="0" t="n">
        <v>1.95</v>
      </c>
      <c r="K3900" s="0" t="s">
        <v>73</v>
      </c>
      <c r="L3900" s="0" t="n">
        <f aca="false">INDEX(Summary!$F$2:$F$201,MATCH($B3900,Summary!$A$2:$A$201,0))</f>
        <v>20</v>
      </c>
      <c r="M3900" s="0" t="n">
        <f aca="false">INDEX(Summary!$I$2:$I$201,MATCH($B3900,Summary!$A$2:$A$201,0))</f>
        <v>1</v>
      </c>
      <c r="N3900" s="0" t="n">
        <f aca="false">INDEX(Summary!$J$2:$J$201,MATCH($B3900,Summary!$A$2:$A$201,0))</f>
        <v>4</v>
      </c>
      <c r="O3900" s="2" t="n">
        <f aca="false">INDEX(Summary!$K$2:$K$201,MATCH($B3900,Summary!$A$2:$A$201,0))</f>
        <v>8.52</v>
      </c>
      <c r="P3900" s="3" t="n">
        <f aca="false">INDEX(Summary!$L$2:$L$201,MATCH($B3900,Summary!$A$2:$A$201,0))</f>
        <v>3</v>
      </c>
      <c r="Q3900" s="3" t="n">
        <f aca="false">INDEX(Summary!$M$2:$M$201,MATCH($B3900,Summary!$A$2:$A$201,0))</f>
        <v>3</v>
      </c>
      <c r="R3900" s="2" t="n">
        <f aca="false">INDEX(Summary!$N$2:$N$201,MATCH($B3900,Summary!$A$2:$A$201,0))</f>
        <v>11.77</v>
      </c>
      <c r="S3900" s="3" t="n">
        <f aca="false">INDEX(Summary!$O$2:$O$201,MATCH($B3900,Summary!$A$2:$A$201,0))</f>
        <v>8</v>
      </c>
      <c r="T3900" s="3" t="n">
        <f aca="false">INDEX(Summary!$P$2:$P$201,MATCH($B3900,Summary!$A$2:$A$201,0))</f>
        <v>1</v>
      </c>
      <c r="U3900" s="2" t="n">
        <f aca="false">INDEX(Summary!$Q$2:$Q$201,MATCH($B3900,Summary!$A$2:$A$201,0))</f>
        <v>13.96</v>
      </c>
      <c r="V3900" s="2" t="n">
        <f aca="false">INDEX(Summary!$R$2:$R$201,MATCH($B3900,Summary!$A$2:$A$201,0))</f>
        <v>20.52</v>
      </c>
      <c r="W3900" s="0" t="str">
        <f aca="false">INDEX(Summary!$S$2:$S$201,MATCH($B3900,Summary!$A$2:$A$201,0))</f>
        <v>Silver</v>
      </c>
      <c r="X3900" s="2" t="n">
        <f aca="false">INDEX(Summary!$T$2:$T$201,MATCH($B3900,Summary!$A$2:$A$201,0))</f>
        <v>50.05</v>
      </c>
      <c r="Y3900" s="0" t="str">
        <f aca="false">INDEX('Reward Model'!$E$18:$E$37,MATCH($E3900,'Reward Model'!$A$18:$A$37,0))</f>
        <v>High</v>
      </c>
      <c r="Z3900" s="4" t="n">
        <f aca="false">ROUND(MIN(1,MAX('Reward Model'!$B$2,INDEX('Reward Model'!$C$12:$C$14,MATCH($K3900,'Reward Model'!$A$12:$A$14,0))/$J3900)),3)</f>
        <v>1</v>
      </c>
      <c r="AA3900" s="2" t="n">
        <f aca="false">IF($I3900="Correct",ROUND(INDEX('Reward Model'!$B$12:$B$14,MATCH($K3900,'Reward Model'!$A$12:$A$14,0))*Z3900,2),0)</f>
        <v>3</v>
      </c>
      <c r="AB3900" s="2" t="n">
        <f aca="false">IF($I3900="Correct",ROUND(INDEX('Reward Model'!$B$12:$B$14,MATCH($Y3900,'Reward Model'!$A$12:$A$14,0))*Z3900,2),0)</f>
        <v>3</v>
      </c>
    </row>
    <row r="3901" customFormat="false" ht="15" hidden="false" customHeight="false" outlineLevel="0" collapsed="false">
      <c r="A3901" s="0" t="s">
        <v>520</v>
      </c>
      <c r="B3901" s="0" t="s">
        <v>521</v>
      </c>
      <c r="C3901" s="0" t="s">
        <v>322</v>
      </c>
      <c r="D3901" s="0" t="s">
        <v>275</v>
      </c>
      <c r="E3901" s="0" t="n">
        <v>20</v>
      </c>
      <c r="F3901" s="0" t="s">
        <v>81</v>
      </c>
      <c r="G3901" s="0" t="s">
        <v>119</v>
      </c>
      <c r="H3901" s="0" t="s">
        <v>83</v>
      </c>
      <c r="I3901" s="0" t="s">
        <v>39</v>
      </c>
      <c r="J3901" s="0" t="n">
        <v>1.45</v>
      </c>
      <c r="K3901" s="0" t="s">
        <v>73</v>
      </c>
      <c r="L3901" s="0" t="n">
        <f aca="false">INDEX(Summary!$F$2:$F$201,MATCH($B3901,Summary!$A$2:$A$201,0))</f>
        <v>20</v>
      </c>
      <c r="M3901" s="0" t="n">
        <f aca="false">INDEX(Summary!$I$2:$I$201,MATCH($B3901,Summary!$A$2:$A$201,0))</f>
        <v>1</v>
      </c>
      <c r="N3901" s="0" t="n">
        <f aca="false">INDEX(Summary!$J$2:$J$201,MATCH($B3901,Summary!$A$2:$A$201,0))</f>
        <v>4</v>
      </c>
      <c r="O3901" s="2" t="n">
        <f aca="false">INDEX(Summary!$K$2:$K$201,MATCH($B3901,Summary!$A$2:$A$201,0))</f>
        <v>8.52</v>
      </c>
      <c r="P3901" s="3" t="n">
        <f aca="false">INDEX(Summary!$L$2:$L$201,MATCH($B3901,Summary!$A$2:$A$201,0))</f>
        <v>3</v>
      </c>
      <c r="Q3901" s="3" t="n">
        <f aca="false">INDEX(Summary!$M$2:$M$201,MATCH($B3901,Summary!$A$2:$A$201,0))</f>
        <v>3</v>
      </c>
      <c r="R3901" s="2" t="n">
        <f aca="false">INDEX(Summary!$N$2:$N$201,MATCH($B3901,Summary!$A$2:$A$201,0))</f>
        <v>11.77</v>
      </c>
      <c r="S3901" s="3" t="n">
        <f aca="false">INDEX(Summary!$O$2:$O$201,MATCH($B3901,Summary!$A$2:$A$201,0))</f>
        <v>8</v>
      </c>
      <c r="T3901" s="3" t="n">
        <f aca="false">INDEX(Summary!$P$2:$P$201,MATCH($B3901,Summary!$A$2:$A$201,0))</f>
        <v>1</v>
      </c>
      <c r="U3901" s="2" t="n">
        <f aca="false">INDEX(Summary!$Q$2:$Q$201,MATCH($B3901,Summary!$A$2:$A$201,0))</f>
        <v>13.96</v>
      </c>
      <c r="V3901" s="2" t="n">
        <f aca="false">INDEX(Summary!$R$2:$R$201,MATCH($B3901,Summary!$A$2:$A$201,0))</f>
        <v>20.52</v>
      </c>
      <c r="W3901" s="0" t="str">
        <f aca="false">INDEX(Summary!$S$2:$S$201,MATCH($B3901,Summary!$A$2:$A$201,0))</f>
        <v>Silver</v>
      </c>
      <c r="X3901" s="2" t="n">
        <f aca="false">INDEX(Summary!$T$2:$T$201,MATCH($B3901,Summary!$A$2:$A$201,0))</f>
        <v>50.05</v>
      </c>
      <c r="Y3901" s="0" t="str">
        <f aca="false">INDEX('Reward Model'!$E$18:$E$37,MATCH($E3901,'Reward Model'!$A$18:$A$37,0))</f>
        <v>High</v>
      </c>
      <c r="Z3901" s="4" t="n">
        <f aca="false">ROUND(MIN(1,MAX('Reward Model'!$B$2,INDEX('Reward Model'!$C$12:$C$14,MATCH($K3901,'Reward Model'!$A$12:$A$14,0))/$J3901)),3)</f>
        <v>1</v>
      </c>
      <c r="AA3901" s="2" t="n">
        <f aca="false">IF($I3901="Correct",ROUND(INDEX('Reward Model'!$B$12:$B$14,MATCH($K3901,'Reward Model'!$A$12:$A$14,0))*Z3901,2),0)</f>
        <v>0</v>
      </c>
      <c r="AB3901" s="2" t="n">
        <f aca="false">IF($I3901="Correct",ROUND(INDEX('Reward Model'!$B$12:$B$14,MATCH($Y3901,'Reward Model'!$A$12:$A$14,0))*Z3901,2),0)</f>
        <v>0</v>
      </c>
    </row>
    <row r="3902" customFormat="false" ht="15" hidden="false" customHeight="false" outlineLevel="0" collapsed="false">
      <c r="A3902" s="0" t="s">
        <v>522</v>
      </c>
      <c r="B3902" s="0" t="s">
        <v>523</v>
      </c>
      <c r="C3902" s="0" t="s">
        <v>322</v>
      </c>
      <c r="D3902" s="0" t="s">
        <v>275</v>
      </c>
      <c r="E3902" s="0" t="n">
        <v>1</v>
      </c>
      <c r="F3902" s="0" t="s">
        <v>32</v>
      </c>
      <c r="G3902" s="0" t="s">
        <v>33</v>
      </c>
      <c r="H3902" s="0" t="s">
        <v>33</v>
      </c>
      <c r="I3902" s="0" t="s">
        <v>34</v>
      </c>
      <c r="J3902" s="0" t="n">
        <v>1</v>
      </c>
      <c r="K3902" s="0" t="s">
        <v>35</v>
      </c>
      <c r="L3902" s="0" t="n">
        <f aca="false">INDEX(Summary!$F$2:$F$201,MATCH($B3902,Summary!$A$2:$A$201,0))</f>
        <v>20</v>
      </c>
      <c r="M3902" s="0" t="n">
        <f aca="false">INDEX(Summary!$I$2:$I$201,MATCH($B3902,Summary!$A$2:$A$201,0))</f>
        <v>4</v>
      </c>
      <c r="N3902" s="0" t="n">
        <f aca="false">INDEX(Summary!$J$2:$J$201,MATCH($B3902,Summary!$A$2:$A$201,0))</f>
        <v>1</v>
      </c>
      <c r="O3902" s="2" t="n">
        <f aca="false">INDEX(Summary!$K$2:$K$201,MATCH($B3902,Summary!$A$2:$A$201,0))</f>
        <v>8.41</v>
      </c>
      <c r="P3902" s="3" t="n">
        <f aca="false">INDEX(Summary!$L$2:$L$201,MATCH($B3902,Summary!$A$2:$A$201,0))</f>
        <v>5</v>
      </c>
      <c r="Q3902" s="3" t="n">
        <f aca="false">INDEX(Summary!$M$2:$M$201,MATCH($B3902,Summary!$A$2:$A$201,0))</f>
        <v>1</v>
      </c>
      <c r="R3902" s="2" t="n">
        <f aca="false">INDEX(Summary!$N$2:$N$201,MATCH($B3902,Summary!$A$2:$A$201,0))</f>
        <v>9.69</v>
      </c>
      <c r="S3902" s="3" t="n">
        <f aca="false">INDEX(Summary!$O$2:$O$201,MATCH($B3902,Summary!$A$2:$A$201,0))</f>
        <v>8</v>
      </c>
      <c r="T3902" s="3" t="n">
        <f aca="false">INDEX(Summary!$P$2:$P$201,MATCH($B3902,Summary!$A$2:$A$201,0))</f>
        <v>1</v>
      </c>
      <c r="U3902" s="2" t="n">
        <f aca="false">INDEX(Summary!$Q$2:$Q$201,MATCH($B3902,Summary!$A$2:$A$201,0))</f>
        <v>12.55</v>
      </c>
      <c r="V3902" s="2" t="n">
        <f aca="false">INDEX(Summary!$R$2:$R$201,MATCH($B3902,Summary!$A$2:$A$201,0))</f>
        <v>33.97</v>
      </c>
      <c r="W3902" s="0" t="str">
        <f aca="false">INDEX(Summary!$S$2:$S$201,MATCH($B3902,Summary!$A$2:$A$201,0))</f>
        <v>Gold</v>
      </c>
      <c r="X3902" s="2" t="n">
        <f aca="false">INDEX(Summary!$T$2:$T$201,MATCH($B3902,Summary!$A$2:$A$201,0))</f>
        <v>82.85</v>
      </c>
      <c r="Y3902" s="0" t="str">
        <f aca="false">INDEX('Reward Model'!$E$18:$E$37,MATCH($E3902,'Reward Model'!$A$18:$A$37,0))</f>
        <v>Medium</v>
      </c>
      <c r="Z3902" s="4" t="n">
        <f aca="false">ROUND(MIN(1,MAX('Reward Model'!$B$2,INDEX('Reward Model'!$C$12:$C$14,MATCH($K3902,'Reward Model'!$A$12:$A$14,0))/$J3902)),3)</f>
        <v>1</v>
      </c>
      <c r="AA3902" s="2" t="n">
        <f aca="false">IF($I3902="Correct",ROUND(INDEX('Reward Model'!$B$12:$B$14,MATCH($K3902,'Reward Model'!$A$12:$A$14,0))*Z3902,2),0)</f>
        <v>1</v>
      </c>
      <c r="AB3902" s="2" t="n">
        <f aca="false">IF($I3902="Correct",ROUND(INDEX('Reward Model'!$B$12:$B$14,MATCH($Y3902,'Reward Model'!$A$12:$A$14,0))*Z3902,2),0)</f>
        <v>2</v>
      </c>
    </row>
    <row r="3903" customFormat="false" ht="15" hidden="false" customHeight="false" outlineLevel="0" collapsed="false">
      <c r="A3903" s="0" t="s">
        <v>522</v>
      </c>
      <c r="B3903" s="0" t="s">
        <v>523</v>
      </c>
      <c r="C3903" s="0" t="s">
        <v>322</v>
      </c>
      <c r="D3903" s="0" t="s">
        <v>275</v>
      </c>
      <c r="E3903" s="0" t="n">
        <v>2</v>
      </c>
      <c r="F3903" s="0" t="s">
        <v>36</v>
      </c>
      <c r="G3903" s="0" t="s">
        <v>38</v>
      </c>
      <c r="H3903" s="0" t="s">
        <v>38</v>
      </c>
      <c r="I3903" s="0" t="s">
        <v>34</v>
      </c>
      <c r="J3903" s="0" t="n">
        <v>0.99</v>
      </c>
      <c r="K3903" s="0" t="s">
        <v>35</v>
      </c>
      <c r="L3903" s="0" t="n">
        <f aca="false">INDEX(Summary!$F$2:$F$201,MATCH($B3903,Summary!$A$2:$A$201,0))</f>
        <v>20</v>
      </c>
      <c r="M3903" s="0" t="n">
        <f aca="false">INDEX(Summary!$I$2:$I$201,MATCH($B3903,Summary!$A$2:$A$201,0))</f>
        <v>4</v>
      </c>
      <c r="N3903" s="0" t="n">
        <f aca="false">INDEX(Summary!$J$2:$J$201,MATCH($B3903,Summary!$A$2:$A$201,0))</f>
        <v>1</v>
      </c>
      <c r="O3903" s="2" t="n">
        <f aca="false">INDEX(Summary!$K$2:$K$201,MATCH($B3903,Summary!$A$2:$A$201,0))</f>
        <v>8.41</v>
      </c>
      <c r="P3903" s="3" t="n">
        <f aca="false">INDEX(Summary!$L$2:$L$201,MATCH($B3903,Summary!$A$2:$A$201,0))</f>
        <v>5</v>
      </c>
      <c r="Q3903" s="3" t="n">
        <f aca="false">INDEX(Summary!$M$2:$M$201,MATCH($B3903,Summary!$A$2:$A$201,0))</f>
        <v>1</v>
      </c>
      <c r="R3903" s="2" t="n">
        <f aca="false">INDEX(Summary!$N$2:$N$201,MATCH($B3903,Summary!$A$2:$A$201,0))</f>
        <v>9.69</v>
      </c>
      <c r="S3903" s="3" t="n">
        <f aca="false">INDEX(Summary!$O$2:$O$201,MATCH($B3903,Summary!$A$2:$A$201,0))</f>
        <v>8</v>
      </c>
      <c r="T3903" s="3" t="n">
        <f aca="false">INDEX(Summary!$P$2:$P$201,MATCH($B3903,Summary!$A$2:$A$201,0))</f>
        <v>1</v>
      </c>
      <c r="U3903" s="2" t="n">
        <f aca="false">INDEX(Summary!$Q$2:$Q$201,MATCH($B3903,Summary!$A$2:$A$201,0))</f>
        <v>12.55</v>
      </c>
      <c r="V3903" s="2" t="n">
        <f aca="false">INDEX(Summary!$R$2:$R$201,MATCH($B3903,Summary!$A$2:$A$201,0))</f>
        <v>33.97</v>
      </c>
      <c r="W3903" s="0" t="str">
        <f aca="false">INDEX(Summary!$S$2:$S$201,MATCH($B3903,Summary!$A$2:$A$201,0))</f>
        <v>Gold</v>
      </c>
      <c r="X3903" s="2" t="n">
        <f aca="false">INDEX(Summary!$T$2:$T$201,MATCH($B3903,Summary!$A$2:$A$201,0))</f>
        <v>82.85</v>
      </c>
      <c r="Y3903" s="0" t="str">
        <f aca="false">INDEX('Reward Model'!$E$18:$E$37,MATCH($E3903,'Reward Model'!$A$18:$A$37,0))</f>
        <v>Low</v>
      </c>
      <c r="Z3903" s="4" t="n">
        <f aca="false">ROUND(MIN(1,MAX('Reward Model'!$B$2,INDEX('Reward Model'!$C$12:$C$14,MATCH($K3903,'Reward Model'!$A$12:$A$14,0))/$J3903)),3)</f>
        <v>1</v>
      </c>
      <c r="AA3903" s="2" t="n">
        <f aca="false">IF($I3903="Correct",ROUND(INDEX('Reward Model'!$B$12:$B$14,MATCH($K3903,'Reward Model'!$A$12:$A$14,0))*Z3903,2),0)</f>
        <v>1</v>
      </c>
      <c r="AB3903" s="2" t="n">
        <f aca="false">IF($I3903="Correct",ROUND(INDEX('Reward Model'!$B$12:$B$14,MATCH($Y3903,'Reward Model'!$A$12:$A$14,0))*Z3903,2),0)</f>
        <v>1</v>
      </c>
    </row>
    <row r="3904" customFormat="false" ht="15" hidden="false" customHeight="false" outlineLevel="0" collapsed="false">
      <c r="A3904" s="0" t="s">
        <v>522</v>
      </c>
      <c r="B3904" s="0" t="s">
        <v>523</v>
      </c>
      <c r="C3904" s="0" t="s">
        <v>322</v>
      </c>
      <c r="D3904" s="0" t="s">
        <v>275</v>
      </c>
      <c r="E3904" s="0" t="n">
        <v>3</v>
      </c>
      <c r="F3904" s="0" t="s">
        <v>40</v>
      </c>
      <c r="G3904" s="0" t="s">
        <v>42</v>
      </c>
      <c r="H3904" s="0" t="s">
        <v>42</v>
      </c>
      <c r="I3904" s="0" t="s">
        <v>34</v>
      </c>
      <c r="J3904" s="0" t="n">
        <v>1.05</v>
      </c>
      <c r="K3904" s="0" t="s">
        <v>35</v>
      </c>
      <c r="L3904" s="0" t="n">
        <f aca="false">INDEX(Summary!$F$2:$F$201,MATCH($B3904,Summary!$A$2:$A$201,0))</f>
        <v>20</v>
      </c>
      <c r="M3904" s="0" t="n">
        <f aca="false">INDEX(Summary!$I$2:$I$201,MATCH($B3904,Summary!$A$2:$A$201,0))</f>
        <v>4</v>
      </c>
      <c r="N3904" s="0" t="n">
        <f aca="false">INDEX(Summary!$J$2:$J$201,MATCH($B3904,Summary!$A$2:$A$201,0))</f>
        <v>1</v>
      </c>
      <c r="O3904" s="2" t="n">
        <f aca="false">INDEX(Summary!$K$2:$K$201,MATCH($B3904,Summary!$A$2:$A$201,0))</f>
        <v>8.41</v>
      </c>
      <c r="P3904" s="3" t="n">
        <f aca="false">INDEX(Summary!$L$2:$L$201,MATCH($B3904,Summary!$A$2:$A$201,0))</f>
        <v>5</v>
      </c>
      <c r="Q3904" s="3" t="n">
        <f aca="false">INDEX(Summary!$M$2:$M$201,MATCH($B3904,Summary!$A$2:$A$201,0))</f>
        <v>1</v>
      </c>
      <c r="R3904" s="2" t="n">
        <f aca="false">INDEX(Summary!$N$2:$N$201,MATCH($B3904,Summary!$A$2:$A$201,0))</f>
        <v>9.69</v>
      </c>
      <c r="S3904" s="3" t="n">
        <f aca="false">INDEX(Summary!$O$2:$O$201,MATCH($B3904,Summary!$A$2:$A$201,0))</f>
        <v>8</v>
      </c>
      <c r="T3904" s="3" t="n">
        <f aca="false">INDEX(Summary!$P$2:$P$201,MATCH($B3904,Summary!$A$2:$A$201,0))</f>
        <v>1</v>
      </c>
      <c r="U3904" s="2" t="n">
        <f aca="false">INDEX(Summary!$Q$2:$Q$201,MATCH($B3904,Summary!$A$2:$A$201,0))</f>
        <v>12.55</v>
      </c>
      <c r="V3904" s="2" t="n">
        <f aca="false">INDEX(Summary!$R$2:$R$201,MATCH($B3904,Summary!$A$2:$A$201,0))</f>
        <v>33.97</v>
      </c>
      <c r="W3904" s="0" t="str">
        <f aca="false">INDEX(Summary!$S$2:$S$201,MATCH($B3904,Summary!$A$2:$A$201,0))</f>
        <v>Gold</v>
      </c>
      <c r="X3904" s="2" t="n">
        <f aca="false">INDEX(Summary!$T$2:$T$201,MATCH($B3904,Summary!$A$2:$A$201,0))</f>
        <v>82.85</v>
      </c>
      <c r="Y3904" s="0" t="str">
        <f aca="false">INDEX('Reward Model'!$E$18:$E$37,MATCH($E3904,'Reward Model'!$A$18:$A$37,0))</f>
        <v>Medium</v>
      </c>
      <c r="Z3904" s="4" t="n">
        <f aca="false">ROUND(MIN(1,MAX('Reward Model'!$B$2,INDEX('Reward Model'!$C$12:$C$14,MATCH($K3904,'Reward Model'!$A$12:$A$14,0))/$J3904)),3)</f>
        <v>1</v>
      </c>
      <c r="AA3904" s="2" t="n">
        <f aca="false">IF($I3904="Correct",ROUND(INDEX('Reward Model'!$B$12:$B$14,MATCH($K3904,'Reward Model'!$A$12:$A$14,0))*Z3904,2),0)</f>
        <v>1</v>
      </c>
      <c r="AB3904" s="2" t="n">
        <f aca="false">IF($I3904="Correct",ROUND(INDEX('Reward Model'!$B$12:$B$14,MATCH($Y3904,'Reward Model'!$A$12:$A$14,0))*Z3904,2),0)</f>
        <v>2</v>
      </c>
    </row>
    <row r="3905" customFormat="false" ht="15" hidden="false" customHeight="false" outlineLevel="0" collapsed="false">
      <c r="A3905" s="0" t="s">
        <v>522</v>
      </c>
      <c r="B3905" s="0" t="s">
        <v>523</v>
      </c>
      <c r="C3905" s="0" t="s">
        <v>322</v>
      </c>
      <c r="D3905" s="0" t="s">
        <v>275</v>
      </c>
      <c r="E3905" s="0" t="n">
        <v>4</v>
      </c>
      <c r="F3905" s="0" t="s">
        <v>43</v>
      </c>
      <c r="G3905" s="0" t="s">
        <v>44</v>
      </c>
      <c r="H3905" s="0" t="s">
        <v>45</v>
      </c>
      <c r="I3905" s="0" t="s">
        <v>39</v>
      </c>
      <c r="J3905" s="0" t="n">
        <v>1.8</v>
      </c>
      <c r="K3905" s="0" t="s">
        <v>35</v>
      </c>
      <c r="L3905" s="0" t="n">
        <f aca="false">INDEX(Summary!$F$2:$F$201,MATCH($B3905,Summary!$A$2:$A$201,0))</f>
        <v>20</v>
      </c>
      <c r="M3905" s="0" t="n">
        <f aca="false">INDEX(Summary!$I$2:$I$201,MATCH($B3905,Summary!$A$2:$A$201,0))</f>
        <v>4</v>
      </c>
      <c r="N3905" s="0" t="n">
        <f aca="false">INDEX(Summary!$J$2:$J$201,MATCH($B3905,Summary!$A$2:$A$201,0))</f>
        <v>1</v>
      </c>
      <c r="O3905" s="2" t="n">
        <f aca="false">INDEX(Summary!$K$2:$K$201,MATCH($B3905,Summary!$A$2:$A$201,0))</f>
        <v>8.41</v>
      </c>
      <c r="P3905" s="3" t="n">
        <f aca="false">INDEX(Summary!$L$2:$L$201,MATCH($B3905,Summary!$A$2:$A$201,0))</f>
        <v>5</v>
      </c>
      <c r="Q3905" s="3" t="n">
        <f aca="false">INDEX(Summary!$M$2:$M$201,MATCH($B3905,Summary!$A$2:$A$201,0))</f>
        <v>1</v>
      </c>
      <c r="R3905" s="2" t="n">
        <f aca="false">INDEX(Summary!$N$2:$N$201,MATCH($B3905,Summary!$A$2:$A$201,0))</f>
        <v>9.69</v>
      </c>
      <c r="S3905" s="3" t="n">
        <f aca="false">INDEX(Summary!$O$2:$O$201,MATCH($B3905,Summary!$A$2:$A$201,0))</f>
        <v>8</v>
      </c>
      <c r="T3905" s="3" t="n">
        <f aca="false">INDEX(Summary!$P$2:$P$201,MATCH($B3905,Summary!$A$2:$A$201,0))</f>
        <v>1</v>
      </c>
      <c r="U3905" s="2" t="n">
        <f aca="false">INDEX(Summary!$Q$2:$Q$201,MATCH($B3905,Summary!$A$2:$A$201,0))</f>
        <v>12.55</v>
      </c>
      <c r="V3905" s="2" t="n">
        <f aca="false">INDEX(Summary!$R$2:$R$201,MATCH($B3905,Summary!$A$2:$A$201,0))</f>
        <v>33.97</v>
      </c>
      <c r="W3905" s="0" t="str">
        <f aca="false">INDEX(Summary!$S$2:$S$201,MATCH($B3905,Summary!$A$2:$A$201,0))</f>
        <v>Gold</v>
      </c>
      <c r="X3905" s="2" t="n">
        <f aca="false">INDEX(Summary!$T$2:$T$201,MATCH($B3905,Summary!$A$2:$A$201,0))</f>
        <v>82.85</v>
      </c>
      <c r="Y3905" s="0" t="str">
        <f aca="false">INDEX('Reward Model'!$E$18:$E$37,MATCH($E3905,'Reward Model'!$A$18:$A$37,0))</f>
        <v>Low</v>
      </c>
      <c r="Z3905" s="4" t="n">
        <f aca="false">ROUND(MIN(1,MAX('Reward Model'!$B$2,INDEX('Reward Model'!$C$12:$C$14,MATCH($K3905,'Reward Model'!$A$12:$A$14,0))/$J3905)),3)</f>
        <v>0.833</v>
      </c>
      <c r="AA3905" s="2" t="n">
        <f aca="false">IF($I3905="Correct",ROUND(INDEX('Reward Model'!$B$12:$B$14,MATCH($K3905,'Reward Model'!$A$12:$A$14,0))*Z3905,2),0)</f>
        <v>0</v>
      </c>
      <c r="AB3905" s="2" t="n">
        <f aca="false">IF($I3905="Correct",ROUND(INDEX('Reward Model'!$B$12:$B$14,MATCH($Y3905,'Reward Model'!$A$12:$A$14,0))*Z3905,2),0)</f>
        <v>0</v>
      </c>
    </row>
    <row r="3906" customFormat="false" ht="15" hidden="false" customHeight="false" outlineLevel="0" collapsed="false">
      <c r="A3906" s="0" t="s">
        <v>522</v>
      </c>
      <c r="B3906" s="0" t="s">
        <v>523</v>
      </c>
      <c r="C3906" s="0" t="s">
        <v>322</v>
      </c>
      <c r="D3906" s="0" t="s">
        <v>275</v>
      </c>
      <c r="E3906" s="0" t="n">
        <v>5</v>
      </c>
      <c r="F3906" s="0" t="s">
        <v>46</v>
      </c>
      <c r="G3906" s="0" t="s">
        <v>47</v>
      </c>
      <c r="H3906" s="0" t="s">
        <v>47</v>
      </c>
      <c r="I3906" s="0" t="s">
        <v>34</v>
      </c>
      <c r="J3906" s="0" t="n">
        <v>1.42</v>
      </c>
      <c r="K3906" s="0" t="s">
        <v>35</v>
      </c>
      <c r="L3906" s="0" t="n">
        <f aca="false">INDEX(Summary!$F$2:$F$201,MATCH($B3906,Summary!$A$2:$A$201,0))</f>
        <v>20</v>
      </c>
      <c r="M3906" s="0" t="n">
        <f aca="false">INDEX(Summary!$I$2:$I$201,MATCH($B3906,Summary!$A$2:$A$201,0))</f>
        <v>4</v>
      </c>
      <c r="N3906" s="0" t="n">
        <f aca="false">INDEX(Summary!$J$2:$J$201,MATCH($B3906,Summary!$A$2:$A$201,0))</f>
        <v>1</v>
      </c>
      <c r="O3906" s="2" t="n">
        <f aca="false">INDEX(Summary!$K$2:$K$201,MATCH($B3906,Summary!$A$2:$A$201,0))</f>
        <v>8.41</v>
      </c>
      <c r="P3906" s="3" t="n">
        <f aca="false">INDEX(Summary!$L$2:$L$201,MATCH($B3906,Summary!$A$2:$A$201,0))</f>
        <v>5</v>
      </c>
      <c r="Q3906" s="3" t="n">
        <f aca="false">INDEX(Summary!$M$2:$M$201,MATCH($B3906,Summary!$A$2:$A$201,0))</f>
        <v>1</v>
      </c>
      <c r="R3906" s="2" t="n">
        <f aca="false">INDEX(Summary!$N$2:$N$201,MATCH($B3906,Summary!$A$2:$A$201,0))</f>
        <v>9.69</v>
      </c>
      <c r="S3906" s="3" t="n">
        <f aca="false">INDEX(Summary!$O$2:$O$201,MATCH($B3906,Summary!$A$2:$A$201,0))</f>
        <v>8</v>
      </c>
      <c r="T3906" s="3" t="n">
        <f aca="false">INDEX(Summary!$P$2:$P$201,MATCH($B3906,Summary!$A$2:$A$201,0))</f>
        <v>1</v>
      </c>
      <c r="U3906" s="2" t="n">
        <f aca="false">INDEX(Summary!$Q$2:$Q$201,MATCH($B3906,Summary!$A$2:$A$201,0))</f>
        <v>12.55</v>
      </c>
      <c r="V3906" s="2" t="n">
        <f aca="false">INDEX(Summary!$R$2:$R$201,MATCH($B3906,Summary!$A$2:$A$201,0))</f>
        <v>33.97</v>
      </c>
      <c r="W3906" s="0" t="str">
        <f aca="false">INDEX(Summary!$S$2:$S$201,MATCH($B3906,Summary!$A$2:$A$201,0))</f>
        <v>Gold</v>
      </c>
      <c r="X3906" s="2" t="n">
        <f aca="false">INDEX(Summary!$T$2:$T$201,MATCH($B3906,Summary!$A$2:$A$201,0))</f>
        <v>82.85</v>
      </c>
      <c r="Y3906" s="0" t="str">
        <f aca="false">INDEX('Reward Model'!$E$18:$E$37,MATCH($E3906,'Reward Model'!$A$18:$A$37,0))</f>
        <v>Low</v>
      </c>
      <c r="Z3906" s="4" t="n">
        <f aca="false">ROUND(MIN(1,MAX('Reward Model'!$B$2,INDEX('Reward Model'!$C$12:$C$14,MATCH($K3906,'Reward Model'!$A$12:$A$14,0))/$J3906)),3)</f>
        <v>1</v>
      </c>
      <c r="AA3906" s="2" t="n">
        <f aca="false">IF($I3906="Correct",ROUND(INDEX('Reward Model'!$B$12:$B$14,MATCH($K3906,'Reward Model'!$A$12:$A$14,0))*Z3906,2),0)</f>
        <v>1</v>
      </c>
      <c r="AB3906" s="2" t="n">
        <f aca="false">IF($I3906="Correct",ROUND(INDEX('Reward Model'!$B$12:$B$14,MATCH($Y3906,'Reward Model'!$A$12:$A$14,0))*Z3906,2),0)</f>
        <v>1</v>
      </c>
    </row>
    <row r="3907" customFormat="false" ht="15" hidden="false" customHeight="false" outlineLevel="0" collapsed="false">
      <c r="A3907" s="0" t="s">
        <v>522</v>
      </c>
      <c r="B3907" s="0" t="s">
        <v>523</v>
      </c>
      <c r="C3907" s="0" t="s">
        <v>322</v>
      </c>
      <c r="D3907" s="0" t="s">
        <v>275</v>
      </c>
      <c r="E3907" s="0" t="n">
        <v>6</v>
      </c>
      <c r="F3907" s="0" t="s">
        <v>48</v>
      </c>
      <c r="G3907" s="0" t="s">
        <v>49</v>
      </c>
      <c r="H3907" s="0" t="s">
        <v>49</v>
      </c>
      <c r="I3907" s="0" t="s">
        <v>34</v>
      </c>
      <c r="J3907" s="0" t="n">
        <v>1.86</v>
      </c>
      <c r="K3907" s="0" t="s">
        <v>35</v>
      </c>
      <c r="L3907" s="0" t="n">
        <f aca="false">INDEX(Summary!$F$2:$F$201,MATCH($B3907,Summary!$A$2:$A$201,0))</f>
        <v>20</v>
      </c>
      <c r="M3907" s="0" t="n">
        <f aca="false">INDEX(Summary!$I$2:$I$201,MATCH($B3907,Summary!$A$2:$A$201,0))</f>
        <v>4</v>
      </c>
      <c r="N3907" s="0" t="n">
        <f aca="false">INDEX(Summary!$J$2:$J$201,MATCH($B3907,Summary!$A$2:$A$201,0))</f>
        <v>1</v>
      </c>
      <c r="O3907" s="2" t="n">
        <f aca="false">INDEX(Summary!$K$2:$K$201,MATCH($B3907,Summary!$A$2:$A$201,0))</f>
        <v>8.41</v>
      </c>
      <c r="P3907" s="3" t="n">
        <f aca="false">INDEX(Summary!$L$2:$L$201,MATCH($B3907,Summary!$A$2:$A$201,0))</f>
        <v>5</v>
      </c>
      <c r="Q3907" s="3" t="n">
        <f aca="false">INDEX(Summary!$M$2:$M$201,MATCH($B3907,Summary!$A$2:$A$201,0))</f>
        <v>1</v>
      </c>
      <c r="R3907" s="2" t="n">
        <f aca="false">INDEX(Summary!$N$2:$N$201,MATCH($B3907,Summary!$A$2:$A$201,0))</f>
        <v>9.69</v>
      </c>
      <c r="S3907" s="3" t="n">
        <f aca="false">INDEX(Summary!$O$2:$O$201,MATCH($B3907,Summary!$A$2:$A$201,0))</f>
        <v>8</v>
      </c>
      <c r="T3907" s="3" t="n">
        <f aca="false">INDEX(Summary!$P$2:$P$201,MATCH($B3907,Summary!$A$2:$A$201,0))</f>
        <v>1</v>
      </c>
      <c r="U3907" s="2" t="n">
        <f aca="false">INDEX(Summary!$Q$2:$Q$201,MATCH($B3907,Summary!$A$2:$A$201,0))</f>
        <v>12.55</v>
      </c>
      <c r="V3907" s="2" t="n">
        <f aca="false">INDEX(Summary!$R$2:$R$201,MATCH($B3907,Summary!$A$2:$A$201,0))</f>
        <v>33.97</v>
      </c>
      <c r="W3907" s="0" t="str">
        <f aca="false">INDEX(Summary!$S$2:$S$201,MATCH($B3907,Summary!$A$2:$A$201,0))</f>
        <v>Gold</v>
      </c>
      <c r="X3907" s="2" t="n">
        <f aca="false">INDEX(Summary!$T$2:$T$201,MATCH($B3907,Summary!$A$2:$A$201,0))</f>
        <v>82.85</v>
      </c>
      <c r="Y3907" s="0" t="str">
        <f aca="false">INDEX('Reward Model'!$E$18:$E$37,MATCH($E3907,'Reward Model'!$A$18:$A$37,0))</f>
        <v>Medium</v>
      </c>
      <c r="Z3907" s="4" t="n">
        <f aca="false">ROUND(MIN(1,MAX('Reward Model'!$B$2,INDEX('Reward Model'!$C$12:$C$14,MATCH($K3907,'Reward Model'!$A$12:$A$14,0))/$J3907)),3)</f>
        <v>0.806</v>
      </c>
      <c r="AA3907" s="2" t="n">
        <f aca="false">IF($I3907="Correct",ROUND(INDEX('Reward Model'!$B$12:$B$14,MATCH($K3907,'Reward Model'!$A$12:$A$14,0))*Z3907,2),0)</f>
        <v>0.81</v>
      </c>
      <c r="AB3907" s="2" t="n">
        <f aca="false">IF($I3907="Correct",ROUND(INDEX('Reward Model'!$B$12:$B$14,MATCH($Y3907,'Reward Model'!$A$12:$A$14,0))*Z3907,2),0)</f>
        <v>1.61</v>
      </c>
    </row>
    <row r="3908" customFormat="false" ht="15" hidden="false" customHeight="false" outlineLevel="0" collapsed="false">
      <c r="A3908" s="0" t="s">
        <v>522</v>
      </c>
      <c r="B3908" s="0" t="s">
        <v>523</v>
      </c>
      <c r="C3908" s="0" t="s">
        <v>322</v>
      </c>
      <c r="D3908" s="0" t="s">
        <v>275</v>
      </c>
      <c r="E3908" s="0" t="n">
        <v>7</v>
      </c>
      <c r="F3908" s="0" t="s">
        <v>50</v>
      </c>
      <c r="G3908" s="0" t="s">
        <v>51</v>
      </c>
      <c r="H3908" s="0" t="s">
        <v>51</v>
      </c>
      <c r="I3908" s="0" t="s">
        <v>34</v>
      </c>
      <c r="J3908" s="0" t="n">
        <v>1.12</v>
      </c>
      <c r="K3908" s="0" t="s">
        <v>35</v>
      </c>
      <c r="L3908" s="0" t="n">
        <f aca="false">INDEX(Summary!$F$2:$F$201,MATCH($B3908,Summary!$A$2:$A$201,0))</f>
        <v>20</v>
      </c>
      <c r="M3908" s="0" t="n">
        <f aca="false">INDEX(Summary!$I$2:$I$201,MATCH($B3908,Summary!$A$2:$A$201,0))</f>
        <v>4</v>
      </c>
      <c r="N3908" s="0" t="n">
        <f aca="false">INDEX(Summary!$J$2:$J$201,MATCH($B3908,Summary!$A$2:$A$201,0))</f>
        <v>1</v>
      </c>
      <c r="O3908" s="2" t="n">
        <f aca="false">INDEX(Summary!$K$2:$K$201,MATCH($B3908,Summary!$A$2:$A$201,0))</f>
        <v>8.41</v>
      </c>
      <c r="P3908" s="3" t="n">
        <f aca="false">INDEX(Summary!$L$2:$L$201,MATCH($B3908,Summary!$A$2:$A$201,0))</f>
        <v>5</v>
      </c>
      <c r="Q3908" s="3" t="n">
        <f aca="false">INDEX(Summary!$M$2:$M$201,MATCH($B3908,Summary!$A$2:$A$201,0))</f>
        <v>1</v>
      </c>
      <c r="R3908" s="2" t="n">
        <f aca="false">INDEX(Summary!$N$2:$N$201,MATCH($B3908,Summary!$A$2:$A$201,0))</f>
        <v>9.69</v>
      </c>
      <c r="S3908" s="3" t="n">
        <f aca="false">INDEX(Summary!$O$2:$O$201,MATCH($B3908,Summary!$A$2:$A$201,0))</f>
        <v>8</v>
      </c>
      <c r="T3908" s="3" t="n">
        <f aca="false">INDEX(Summary!$P$2:$P$201,MATCH($B3908,Summary!$A$2:$A$201,0))</f>
        <v>1</v>
      </c>
      <c r="U3908" s="2" t="n">
        <f aca="false">INDEX(Summary!$Q$2:$Q$201,MATCH($B3908,Summary!$A$2:$A$201,0))</f>
        <v>12.55</v>
      </c>
      <c r="V3908" s="2" t="n">
        <f aca="false">INDEX(Summary!$R$2:$R$201,MATCH($B3908,Summary!$A$2:$A$201,0))</f>
        <v>33.97</v>
      </c>
      <c r="W3908" s="0" t="str">
        <f aca="false">INDEX(Summary!$S$2:$S$201,MATCH($B3908,Summary!$A$2:$A$201,0))</f>
        <v>Gold</v>
      </c>
      <c r="X3908" s="2" t="n">
        <f aca="false">INDEX(Summary!$T$2:$T$201,MATCH($B3908,Summary!$A$2:$A$201,0))</f>
        <v>82.85</v>
      </c>
      <c r="Y3908" s="0" t="str">
        <f aca="false">INDEX('Reward Model'!$E$18:$E$37,MATCH($E3908,'Reward Model'!$A$18:$A$37,0))</f>
        <v>Low</v>
      </c>
      <c r="Z3908" s="4" t="n">
        <f aca="false">ROUND(MIN(1,MAX('Reward Model'!$B$2,INDEX('Reward Model'!$C$12:$C$14,MATCH($K3908,'Reward Model'!$A$12:$A$14,0))/$J3908)),3)</f>
        <v>1</v>
      </c>
      <c r="AA3908" s="2" t="n">
        <f aca="false">IF($I3908="Correct",ROUND(INDEX('Reward Model'!$B$12:$B$14,MATCH($K3908,'Reward Model'!$A$12:$A$14,0))*Z3908,2),0)</f>
        <v>1</v>
      </c>
      <c r="AB3908" s="2" t="n">
        <f aca="false">IF($I3908="Correct",ROUND(INDEX('Reward Model'!$B$12:$B$14,MATCH($Y3908,'Reward Model'!$A$12:$A$14,0))*Z3908,2),0)</f>
        <v>1</v>
      </c>
    </row>
    <row r="3909" customFormat="false" ht="15" hidden="false" customHeight="false" outlineLevel="0" collapsed="false">
      <c r="A3909" s="0" t="s">
        <v>522</v>
      </c>
      <c r="B3909" s="0" t="s">
        <v>523</v>
      </c>
      <c r="C3909" s="0" t="s">
        <v>322</v>
      </c>
      <c r="D3909" s="0" t="s">
        <v>275</v>
      </c>
      <c r="E3909" s="0" t="n">
        <v>8</v>
      </c>
      <c r="F3909" s="0" t="s">
        <v>52</v>
      </c>
      <c r="G3909" s="0" t="s">
        <v>54</v>
      </c>
      <c r="H3909" s="0" t="s">
        <v>54</v>
      </c>
      <c r="I3909" s="0" t="s">
        <v>34</v>
      </c>
      <c r="J3909" s="0" t="n">
        <v>1.5</v>
      </c>
      <c r="K3909" s="0" t="s">
        <v>35</v>
      </c>
      <c r="L3909" s="0" t="n">
        <f aca="false">INDEX(Summary!$F$2:$F$201,MATCH($B3909,Summary!$A$2:$A$201,0))</f>
        <v>20</v>
      </c>
      <c r="M3909" s="0" t="n">
        <f aca="false">INDEX(Summary!$I$2:$I$201,MATCH($B3909,Summary!$A$2:$A$201,0))</f>
        <v>4</v>
      </c>
      <c r="N3909" s="0" t="n">
        <f aca="false">INDEX(Summary!$J$2:$J$201,MATCH($B3909,Summary!$A$2:$A$201,0))</f>
        <v>1</v>
      </c>
      <c r="O3909" s="2" t="n">
        <f aca="false">INDEX(Summary!$K$2:$K$201,MATCH($B3909,Summary!$A$2:$A$201,0))</f>
        <v>8.41</v>
      </c>
      <c r="P3909" s="3" t="n">
        <f aca="false">INDEX(Summary!$L$2:$L$201,MATCH($B3909,Summary!$A$2:$A$201,0))</f>
        <v>5</v>
      </c>
      <c r="Q3909" s="3" t="n">
        <f aca="false">INDEX(Summary!$M$2:$M$201,MATCH($B3909,Summary!$A$2:$A$201,0))</f>
        <v>1</v>
      </c>
      <c r="R3909" s="2" t="n">
        <f aca="false">INDEX(Summary!$N$2:$N$201,MATCH($B3909,Summary!$A$2:$A$201,0))</f>
        <v>9.69</v>
      </c>
      <c r="S3909" s="3" t="n">
        <f aca="false">INDEX(Summary!$O$2:$O$201,MATCH($B3909,Summary!$A$2:$A$201,0))</f>
        <v>8</v>
      </c>
      <c r="T3909" s="3" t="n">
        <f aca="false">INDEX(Summary!$P$2:$P$201,MATCH($B3909,Summary!$A$2:$A$201,0))</f>
        <v>1</v>
      </c>
      <c r="U3909" s="2" t="n">
        <f aca="false">INDEX(Summary!$Q$2:$Q$201,MATCH($B3909,Summary!$A$2:$A$201,0))</f>
        <v>12.55</v>
      </c>
      <c r="V3909" s="2" t="n">
        <f aca="false">INDEX(Summary!$R$2:$R$201,MATCH($B3909,Summary!$A$2:$A$201,0))</f>
        <v>33.97</v>
      </c>
      <c r="W3909" s="0" t="str">
        <f aca="false">INDEX(Summary!$S$2:$S$201,MATCH($B3909,Summary!$A$2:$A$201,0))</f>
        <v>Gold</v>
      </c>
      <c r="X3909" s="2" t="n">
        <f aca="false">INDEX(Summary!$T$2:$T$201,MATCH($B3909,Summary!$A$2:$A$201,0))</f>
        <v>82.85</v>
      </c>
      <c r="Y3909" s="0" t="str">
        <f aca="false">INDEX('Reward Model'!$E$18:$E$37,MATCH($E3909,'Reward Model'!$A$18:$A$37,0))</f>
        <v>Medium</v>
      </c>
      <c r="Z3909" s="4" t="n">
        <f aca="false">ROUND(MIN(1,MAX('Reward Model'!$B$2,INDEX('Reward Model'!$C$12:$C$14,MATCH($K3909,'Reward Model'!$A$12:$A$14,0))/$J3909)),3)</f>
        <v>1</v>
      </c>
      <c r="AA3909" s="2" t="n">
        <f aca="false">IF($I3909="Correct",ROUND(INDEX('Reward Model'!$B$12:$B$14,MATCH($K3909,'Reward Model'!$A$12:$A$14,0))*Z3909,2),0)</f>
        <v>1</v>
      </c>
      <c r="AB3909" s="2" t="n">
        <f aca="false">IF($I3909="Correct",ROUND(INDEX('Reward Model'!$B$12:$B$14,MATCH($Y3909,'Reward Model'!$A$12:$A$14,0))*Z3909,2),0)</f>
        <v>2</v>
      </c>
    </row>
    <row r="3910" customFormat="false" ht="15" hidden="false" customHeight="false" outlineLevel="0" collapsed="false">
      <c r="A3910" s="0" t="s">
        <v>522</v>
      </c>
      <c r="B3910" s="0" t="s">
        <v>523</v>
      </c>
      <c r="C3910" s="0" t="s">
        <v>322</v>
      </c>
      <c r="D3910" s="0" t="s">
        <v>275</v>
      </c>
      <c r="E3910" s="0" t="n">
        <v>9</v>
      </c>
      <c r="F3910" s="0" t="s">
        <v>55</v>
      </c>
      <c r="G3910" s="0" t="s">
        <v>57</v>
      </c>
      <c r="H3910" s="0" t="s">
        <v>57</v>
      </c>
      <c r="I3910" s="0" t="s">
        <v>34</v>
      </c>
      <c r="J3910" s="0" t="n">
        <v>1.81</v>
      </c>
      <c r="K3910" s="0" t="s">
        <v>35</v>
      </c>
      <c r="L3910" s="0" t="n">
        <f aca="false">INDEX(Summary!$F$2:$F$201,MATCH($B3910,Summary!$A$2:$A$201,0))</f>
        <v>20</v>
      </c>
      <c r="M3910" s="0" t="n">
        <f aca="false">INDEX(Summary!$I$2:$I$201,MATCH($B3910,Summary!$A$2:$A$201,0))</f>
        <v>4</v>
      </c>
      <c r="N3910" s="0" t="n">
        <f aca="false">INDEX(Summary!$J$2:$J$201,MATCH($B3910,Summary!$A$2:$A$201,0))</f>
        <v>1</v>
      </c>
      <c r="O3910" s="2" t="n">
        <f aca="false">INDEX(Summary!$K$2:$K$201,MATCH($B3910,Summary!$A$2:$A$201,0))</f>
        <v>8.41</v>
      </c>
      <c r="P3910" s="3" t="n">
        <f aca="false">INDEX(Summary!$L$2:$L$201,MATCH($B3910,Summary!$A$2:$A$201,0))</f>
        <v>5</v>
      </c>
      <c r="Q3910" s="3" t="n">
        <f aca="false">INDEX(Summary!$M$2:$M$201,MATCH($B3910,Summary!$A$2:$A$201,0))</f>
        <v>1</v>
      </c>
      <c r="R3910" s="2" t="n">
        <f aca="false">INDEX(Summary!$N$2:$N$201,MATCH($B3910,Summary!$A$2:$A$201,0))</f>
        <v>9.69</v>
      </c>
      <c r="S3910" s="3" t="n">
        <f aca="false">INDEX(Summary!$O$2:$O$201,MATCH($B3910,Summary!$A$2:$A$201,0))</f>
        <v>8</v>
      </c>
      <c r="T3910" s="3" t="n">
        <f aca="false">INDEX(Summary!$P$2:$P$201,MATCH($B3910,Summary!$A$2:$A$201,0))</f>
        <v>1</v>
      </c>
      <c r="U3910" s="2" t="n">
        <f aca="false">INDEX(Summary!$Q$2:$Q$201,MATCH($B3910,Summary!$A$2:$A$201,0))</f>
        <v>12.55</v>
      </c>
      <c r="V3910" s="2" t="n">
        <f aca="false">INDEX(Summary!$R$2:$R$201,MATCH($B3910,Summary!$A$2:$A$201,0))</f>
        <v>33.97</v>
      </c>
      <c r="W3910" s="0" t="str">
        <f aca="false">INDEX(Summary!$S$2:$S$201,MATCH($B3910,Summary!$A$2:$A$201,0))</f>
        <v>Gold</v>
      </c>
      <c r="X3910" s="2" t="n">
        <f aca="false">INDEX(Summary!$T$2:$T$201,MATCH($B3910,Summary!$A$2:$A$201,0))</f>
        <v>82.85</v>
      </c>
      <c r="Y3910" s="0" t="str">
        <f aca="false">INDEX('Reward Model'!$E$18:$E$37,MATCH($E3910,'Reward Model'!$A$18:$A$37,0))</f>
        <v>Medium</v>
      </c>
      <c r="Z3910" s="4" t="n">
        <f aca="false">ROUND(MIN(1,MAX('Reward Model'!$B$2,INDEX('Reward Model'!$C$12:$C$14,MATCH($K3910,'Reward Model'!$A$12:$A$14,0))/$J3910)),3)</f>
        <v>0.829</v>
      </c>
      <c r="AA3910" s="2" t="n">
        <f aca="false">IF($I3910="Correct",ROUND(INDEX('Reward Model'!$B$12:$B$14,MATCH($K3910,'Reward Model'!$A$12:$A$14,0))*Z3910,2),0)</f>
        <v>0.83</v>
      </c>
      <c r="AB3910" s="2" t="n">
        <f aca="false">IF($I3910="Correct",ROUND(INDEX('Reward Model'!$B$12:$B$14,MATCH($Y3910,'Reward Model'!$A$12:$A$14,0))*Z3910,2),0)</f>
        <v>1.66</v>
      </c>
    </row>
    <row r="3911" customFormat="false" ht="15" hidden="false" customHeight="false" outlineLevel="0" collapsed="false">
      <c r="A3911" s="0" t="s">
        <v>522</v>
      </c>
      <c r="B3911" s="0" t="s">
        <v>523</v>
      </c>
      <c r="C3911" s="0" t="s">
        <v>322</v>
      </c>
      <c r="D3911" s="0" t="s">
        <v>275</v>
      </c>
      <c r="E3911" s="0" t="n">
        <v>10</v>
      </c>
      <c r="F3911" s="0" t="s">
        <v>58</v>
      </c>
      <c r="G3911" s="0" t="s">
        <v>59</v>
      </c>
      <c r="H3911" s="0" t="s">
        <v>59</v>
      </c>
      <c r="I3911" s="0" t="s">
        <v>34</v>
      </c>
      <c r="J3911" s="0" t="n">
        <v>1.22</v>
      </c>
      <c r="K3911" s="0" t="s">
        <v>60</v>
      </c>
      <c r="L3911" s="0" t="n">
        <f aca="false">INDEX(Summary!$F$2:$F$201,MATCH($B3911,Summary!$A$2:$A$201,0))</f>
        <v>20</v>
      </c>
      <c r="M3911" s="0" t="n">
        <f aca="false">INDEX(Summary!$I$2:$I$201,MATCH($B3911,Summary!$A$2:$A$201,0))</f>
        <v>4</v>
      </c>
      <c r="N3911" s="0" t="n">
        <f aca="false">INDEX(Summary!$J$2:$J$201,MATCH($B3911,Summary!$A$2:$A$201,0))</f>
        <v>1</v>
      </c>
      <c r="O3911" s="2" t="n">
        <f aca="false">INDEX(Summary!$K$2:$K$201,MATCH($B3911,Summary!$A$2:$A$201,0))</f>
        <v>8.41</v>
      </c>
      <c r="P3911" s="3" t="n">
        <f aca="false">INDEX(Summary!$L$2:$L$201,MATCH($B3911,Summary!$A$2:$A$201,0))</f>
        <v>5</v>
      </c>
      <c r="Q3911" s="3" t="n">
        <f aca="false">INDEX(Summary!$M$2:$M$201,MATCH($B3911,Summary!$A$2:$A$201,0))</f>
        <v>1</v>
      </c>
      <c r="R3911" s="2" t="n">
        <f aca="false">INDEX(Summary!$N$2:$N$201,MATCH($B3911,Summary!$A$2:$A$201,0))</f>
        <v>9.69</v>
      </c>
      <c r="S3911" s="3" t="n">
        <f aca="false">INDEX(Summary!$O$2:$O$201,MATCH($B3911,Summary!$A$2:$A$201,0))</f>
        <v>8</v>
      </c>
      <c r="T3911" s="3" t="n">
        <f aca="false">INDEX(Summary!$P$2:$P$201,MATCH($B3911,Summary!$A$2:$A$201,0))</f>
        <v>1</v>
      </c>
      <c r="U3911" s="2" t="n">
        <f aca="false">INDEX(Summary!$Q$2:$Q$201,MATCH($B3911,Summary!$A$2:$A$201,0))</f>
        <v>12.55</v>
      </c>
      <c r="V3911" s="2" t="n">
        <f aca="false">INDEX(Summary!$R$2:$R$201,MATCH($B3911,Summary!$A$2:$A$201,0))</f>
        <v>33.97</v>
      </c>
      <c r="W3911" s="0" t="str">
        <f aca="false">INDEX(Summary!$S$2:$S$201,MATCH($B3911,Summary!$A$2:$A$201,0))</f>
        <v>Gold</v>
      </c>
      <c r="X3911" s="2" t="n">
        <f aca="false">INDEX(Summary!$T$2:$T$201,MATCH($B3911,Summary!$A$2:$A$201,0))</f>
        <v>82.85</v>
      </c>
      <c r="Y3911" s="0" t="str">
        <f aca="false">INDEX('Reward Model'!$E$18:$E$37,MATCH($E3911,'Reward Model'!$A$18:$A$37,0))</f>
        <v>Medium</v>
      </c>
      <c r="Z3911" s="4" t="n">
        <f aca="false">ROUND(MIN(1,MAX('Reward Model'!$B$2,INDEX('Reward Model'!$C$12:$C$14,MATCH($K3911,'Reward Model'!$A$12:$A$14,0))/$J3911)),3)</f>
        <v>1</v>
      </c>
      <c r="AA3911" s="2" t="n">
        <f aca="false">IF($I3911="Correct",ROUND(INDEX('Reward Model'!$B$12:$B$14,MATCH($K3911,'Reward Model'!$A$12:$A$14,0))*Z3911,2),0)</f>
        <v>2</v>
      </c>
      <c r="AB3911" s="2" t="n">
        <f aca="false">IF($I3911="Correct",ROUND(INDEX('Reward Model'!$B$12:$B$14,MATCH($Y3911,'Reward Model'!$A$12:$A$14,0))*Z3911,2),0)</f>
        <v>2</v>
      </c>
    </row>
    <row r="3912" customFormat="false" ht="15" hidden="false" customHeight="false" outlineLevel="0" collapsed="false">
      <c r="A3912" s="0" t="s">
        <v>522</v>
      </c>
      <c r="B3912" s="0" t="s">
        <v>523</v>
      </c>
      <c r="C3912" s="0" t="s">
        <v>322</v>
      </c>
      <c r="D3912" s="0" t="s">
        <v>275</v>
      </c>
      <c r="E3912" s="0" t="n">
        <v>11</v>
      </c>
      <c r="F3912" s="0" t="s">
        <v>61</v>
      </c>
      <c r="G3912" s="0" t="s">
        <v>62</v>
      </c>
      <c r="H3912" s="0" t="s">
        <v>63</v>
      </c>
      <c r="I3912" s="0" t="s">
        <v>39</v>
      </c>
      <c r="J3912" s="0" t="n">
        <v>2.09</v>
      </c>
      <c r="K3912" s="0" t="s">
        <v>60</v>
      </c>
      <c r="L3912" s="0" t="n">
        <f aca="false">INDEX(Summary!$F$2:$F$201,MATCH($B3912,Summary!$A$2:$A$201,0))</f>
        <v>20</v>
      </c>
      <c r="M3912" s="0" t="n">
        <f aca="false">INDEX(Summary!$I$2:$I$201,MATCH($B3912,Summary!$A$2:$A$201,0))</f>
        <v>4</v>
      </c>
      <c r="N3912" s="0" t="n">
        <f aca="false">INDEX(Summary!$J$2:$J$201,MATCH($B3912,Summary!$A$2:$A$201,0))</f>
        <v>1</v>
      </c>
      <c r="O3912" s="2" t="n">
        <f aca="false">INDEX(Summary!$K$2:$K$201,MATCH($B3912,Summary!$A$2:$A$201,0))</f>
        <v>8.41</v>
      </c>
      <c r="P3912" s="3" t="n">
        <f aca="false">INDEX(Summary!$L$2:$L$201,MATCH($B3912,Summary!$A$2:$A$201,0))</f>
        <v>5</v>
      </c>
      <c r="Q3912" s="3" t="n">
        <f aca="false">INDEX(Summary!$M$2:$M$201,MATCH($B3912,Summary!$A$2:$A$201,0))</f>
        <v>1</v>
      </c>
      <c r="R3912" s="2" t="n">
        <f aca="false">INDEX(Summary!$N$2:$N$201,MATCH($B3912,Summary!$A$2:$A$201,0))</f>
        <v>9.69</v>
      </c>
      <c r="S3912" s="3" t="n">
        <f aca="false">INDEX(Summary!$O$2:$O$201,MATCH($B3912,Summary!$A$2:$A$201,0))</f>
        <v>8</v>
      </c>
      <c r="T3912" s="3" t="n">
        <f aca="false">INDEX(Summary!$P$2:$P$201,MATCH($B3912,Summary!$A$2:$A$201,0))</f>
        <v>1</v>
      </c>
      <c r="U3912" s="2" t="n">
        <f aca="false">INDEX(Summary!$Q$2:$Q$201,MATCH($B3912,Summary!$A$2:$A$201,0))</f>
        <v>12.55</v>
      </c>
      <c r="V3912" s="2" t="n">
        <f aca="false">INDEX(Summary!$R$2:$R$201,MATCH($B3912,Summary!$A$2:$A$201,0))</f>
        <v>33.97</v>
      </c>
      <c r="W3912" s="0" t="str">
        <f aca="false">INDEX(Summary!$S$2:$S$201,MATCH($B3912,Summary!$A$2:$A$201,0))</f>
        <v>Gold</v>
      </c>
      <c r="X3912" s="2" t="n">
        <f aca="false">INDEX(Summary!$T$2:$T$201,MATCH($B3912,Summary!$A$2:$A$201,0))</f>
        <v>82.85</v>
      </c>
      <c r="Y3912" s="0" t="str">
        <f aca="false">INDEX('Reward Model'!$E$18:$E$37,MATCH($E3912,'Reward Model'!$A$18:$A$37,0))</f>
        <v>Medium</v>
      </c>
      <c r="Z3912" s="4" t="n">
        <f aca="false">ROUND(MIN(1,MAX('Reward Model'!$B$2,INDEX('Reward Model'!$C$12:$C$14,MATCH($K3912,'Reward Model'!$A$12:$A$14,0))/$J3912)),3)</f>
        <v>0.861</v>
      </c>
      <c r="AA3912" s="2" t="n">
        <f aca="false">IF($I3912="Correct",ROUND(INDEX('Reward Model'!$B$12:$B$14,MATCH($K3912,'Reward Model'!$A$12:$A$14,0))*Z3912,2),0)</f>
        <v>0</v>
      </c>
      <c r="AB3912" s="2" t="n">
        <f aca="false">IF($I3912="Correct",ROUND(INDEX('Reward Model'!$B$12:$B$14,MATCH($Y3912,'Reward Model'!$A$12:$A$14,0))*Z3912,2),0)</f>
        <v>0</v>
      </c>
    </row>
    <row r="3913" customFormat="false" ht="15" hidden="false" customHeight="false" outlineLevel="0" collapsed="false">
      <c r="A3913" s="0" t="s">
        <v>522</v>
      </c>
      <c r="B3913" s="0" t="s">
        <v>523</v>
      </c>
      <c r="C3913" s="0" t="s">
        <v>322</v>
      </c>
      <c r="D3913" s="0" t="s">
        <v>275</v>
      </c>
      <c r="E3913" s="0" t="n">
        <v>12</v>
      </c>
      <c r="F3913" s="0" t="s">
        <v>64</v>
      </c>
      <c r="G3913" s="0" t="s">
        <v>65</v>
      </c>
      <c r="H3913" s="0" t="s">
        <v>65</v>
      </c>
      <c r="I3913" s="0" t="s">
        <v>34</v>
      </c>
      <c r="J3913" s="0" t="n">
        <v>1.35</v>
      </c>
      <c r="K3913" s="0" t="s">
        <v>60</v>
      </c>
      <c r="L3913" s="0" t="n">
        <f aca="false">INDEX(Summary!$F$2:$F$201,MATCH($B3913,Summary!$A$2:$A$201,0))</f>
        <v>20</v>
      </c>
      <c r="M3913" s="0" t="n">
        <f aca="false">INDEX(Summary!$I$2:$I$201,MATCH($B3913,Summary!$A$2:$A$201,0))</f>
        <v>4</v>
      </c>
      <c r="N3913" s="0" t="n">
        <f aca="false">INDEX(Summary!$J$2:$J$201,MATCH($B3913,Summary!$A$2:$A$201,0))</f>
        <v>1</v>
      </c>
      <c r="O3913" s="2" t="n">
        <f aca="false">INDEX(Summary!$K$2:$K$201,MATCH($B3913,Summary!$A$2:$A$201,0))</f>
        <v>8.41</v>
      </c>
      <c r="P3913" s="3" t="n">
        <f aca="false">INDEX(Summary!$L$2:$L$201,MATCH($B3913,Summary!$A$2:$A$201,0))</f>
        <v>5</v>
      </c>
      <c r="Q3913" s="3" t="n">
        <f aca="false">INDEX(Summary!$M$2:$M$201,MATCH($B3913,Summary!$A$2:$A$201,0))</f>
        <v>1</v>
      </c>
      <c r="R3913" s="2" t="n">
        <f aca="false">INDEX(Summary!$N$2:$N$201,MATCH($B3913,Summary!$A$2:$A$201,0))</f>
        <v>9.69</v>
      </c>
      <c r="S3913" s="3" t="n">
        <f aca="false">INDEX(Summary!$O$2:$O$201,MATCH($B3913,Summary!$A$2:$A$201,0))</f>
        <v>8</v>
      </c>
      <c r="T3913" s="3" t="n">
        <f aca="false">INDEX(Summary!$P$2:$P$201,MATCH($B3913,Summary!$A$2:$A$201,0))</f>
        <v>1</v>
      </c>
      <c r="U3913" s="2" t="n">
        <f aca="false">INDEX(Summary!$Q$2:$Q$201,MATCH($B3913,Summary!$A$2:$A$201,0))</f>
        <v>12.55</v>
      </c>
      <c r="V3913" s="2" t="n">
        <f aca="false">INDEX(Summary!$R$2:$R$201,MATCH($B3913,Summary!$A$2:$A$201,0))</f>
        <v>33.97</v>
      </c>
      <c r="W3913" s="0" t="str">
        <f aca="false">INDEX(Summary!$S$2:$S$201,MATCH($B3913,Summary!$A$2:$A$201,0))</f>
        <v>Gold</v>
      </c>
      <c r="X3913" s="2" t="n">
        <f aca="false">INDEX(Summary!$T$2:$T$201,MATCH($B3913,Summary!$A$2:$A$201,0))</f>
        <v>82.85</v>
      </c>
      <c r="Y3913" s="0" t="str">
        <f aca="false">INDEX('Reward Model'!$E$18:$E$37,MATCH($E3913,'Reward Model'!$A$18:$A$37,0))</f>
        <v>Medium</v>
      </c>
      <c r="Z3913" s="4" t="n">
        <f aca="false">ROUND(MIN(1,MAX('Reward Model'!$B$2,INDEX('Reward Model'!$C$12:$C$14,MATCH($K3913,'Reward Model'!$A$12:$A$14,0))/$J3913)),3)</f>
        <v>1</v>
      </c>
      <c r="AA3913" s="2" t="n">
        <f aca="false">IF($I3913="Correct",ROUND(INDEX('Reward Model'!$B$12:$B$14,MATCH($K3913,'Reward Model'!$A$12:$A$14,0))*Z3913,2),0)</f>
        <v>2</v>
      </c>
      <c r="AB3913" s="2" t="n">
        <f aca="false">IF($I3913="Correct",ROUND(INDEX('Reward Model'!$B$12:$B$14,MATCH($Y3913,'Reward Model'!$A$12:$A$14,0))*Z3913,2),0)</f>
        <v>2</v>
      </c>
    </row>
    <row r="3914" customFormat="false" ht="15" hidden="false" customHeight="false" outlineLevel="0" collapsed="false">
      <c r="A3914" s="0" t="s">
        <v>522</v>
      </c>
      <c r="B3914" s="0" t="s">
        <v>523</v>
      </c>
      <c r="C3914" s="0" t="s">
        <v>322</v>
      </c>
      <c r="D3914" s="0" t="s">
        <v>275</v>
      </c>
      <c r="E3914" s="0" t="n">
        <v>13</v>
      </c>
      <c r="F3914" s="0" t="s">
        <v>66</v>
      </c>
      <c r="G3914" s="0" t="s">
        <v>67</v>
      </c>
      <c r="H3914" s="0" t="s">
        <v>67</v>
      </c>
      <c r="I3914" s="0" t="s">
        <v>34</v>
      </c>
      <c r="J3914" s="0" t="n">
        <v>1.19</v>
      </c>
      <c r="K3914" s="0" t="s">
        <v>60</v>
      </c>
      <c r="L3914" s="0" t="n">
        <f aca="false">INDEX(Summary!$F$2:$F$201,MATCH($B3914,Summary!$A$2:$A$201,0))</f>
        <v>20</v>
      </c>
      <c r="M3914" s="0" t="n">
        <f aca="false">INDEX(Summary!$I$2:$I$201,MATCH($B3914,Summary!$A$2:$A$201,0))</f>
        <v>4</v>
      </c>
      <c r="N3914" s="0" t="n">
        <f aca="false">INDEX(Summary!$J$2:$J$201,MATCH($B3914,Summary!$A$2:$A$201,0))</f>
        <v>1</v>
      </c>
      <c r="O3914" s="2" t="n">
        <f aca="false">INDEX(Summary!$K$2:$K$201,MATCH($B3914,Summary!$A$2:$A$201,0))</f>
        <v>8.41</v>
      </c>
      <c r="P3914" s="3" t="n">
        <f aca="false">INDEX(Summary!$L$2:$L$201,MATCH($B3914,Summary!$A$2:$A$201,0))</f>
        <v>5</v>
      </c>
      <c r="Q3914" s="3" t="n">
        <f aca="false">INDEX(Summary!$M$2:$M$201,MATCH($B3914,Summary!$A$2:$A$201,0))</f>
        <v>1</v>
      </c>
      <c r="R3914" s="2" t="n">
        <f aca="false">INDEX(Summary!$N$2:$N$201,MATCH($B3914,Summary!$A$2:$A$201,0))</f>
        <v>9.69</v>
      </c>
      <c r="S3914" s="3" t="n">
        <f aca="false">INDEX(Summary!$O$2:$O$201,MATCH($B3914,Summary!$A$2:$A$201,0))</f>
        <v>8</v>
      </c>
      <c r="T3914" s="3" t="n">
        <f aca="false">INDEX(Summary!$P$2:$P$201,MATCH($B3914,Summary!$A$2:$A$201,0))</f>
        <v>1</v>
      </c>
      <c r="U3914" s="2" t="n">
        <f aca="false">INDEX(Summary!$Q$2:$Q$201,MATCH($B3914,Summary!$A$2:$A$201,0))</f>
        <v>12.55</v>
      </c>
      <c r="V3914" s="2" t="n">
        <f aca="false">INDEX(Summary!$R$2:$R$201,MATCH($B3914,Summary!$A$2:$A$201,0))</f>
        <v>33.97</v>
      </c>
      <c r="W3914" s="0" t="str">
        <f aca="false">INDEX(Summary!$S$2:$S$201,MATCH($B3914,Summary!$A$2:$A$201,0))</f>
        <v>Gold</v>
      </c>
      <c r="X3914" s="2" t="n">
        <f aca="false">INDEX(Summary!$T$2:$T$201,MATCH($B3914,Summary!$A$2:$A$201,0))</f>
        <v>82.85</v>
      </c>
      <c r="Y3914" s="0" t="str">
        <f aca="false">INDEX('Reward Model'!$E$18:$E$37,MATCH($E3914,'Reward Model'!$A$18:$A$37,0))</f>
        <v>Medium</v>
      </c>
      <c r="Z3914" s="4" t="n">
        <f aca="false">ROUND(MIN(1,MAX('Reward Model'!$B$2,INDEX('Reward Model'!$C$12:$C$14,MATCH($K3914,'Reward Model'!$A$12:$A$14,0))/$J3914)),3)</f>
        <v>1</v>
      </c>
      <c r="AA3914" s="2" t="n">
        <f aca="false">IF($I3914="Correct",ROUND(INDEX('Reward Model'!$B$12:$B$14,MATCH($K3914,'Reward Model'!$A$12:$A$14,0))*Z3914,2),0)</f>
        <v>2</v>
      </c>
      <c r="AB3914" s="2" t="n">
        <f aca="false">IF($I3914="Correct",ROUND(INDEX('Reward Model'!$B$12:$B$14,MATCH($Y3914,'Reward Model'!$A$12:$A$14,0))*Z3914,2),0)</f>
        <v>2</v>
      </c>
    </row>
    <row r="3915" customFormat="false" ht="15" hidden="false" customHeight="false" outlineLevel="0" collapsed="false">
      <c r="A3915" s="0" t="s">
        <v>522</v>
      </c>
      <c r="B3915" s="0" t="s">
        <v>523</v>
      </c>
      <c r="C3915" s="0" t="s">
        <v>322</v>
      </c>
      <c r="D3915" s="0" t="s">
        <v>275</v>
      </c>
      <c r="E3915" s="0" t="n">
        <v>14</v>
      </c>
      <c r="F3915" s="0" t="s">
        <v>68</v>
      </c>
      <c r="G3915" s="0" t="s">
        <v>51</v>
      </c>
      <c r="H3915" s="0" t="s">
        <v>51</v>
      </c>
      <c r="I3915" s="0" t="s">
        <v>34</v>
      </c>
      <c r="J3915" s="0" t="n">
        <v>1.97</v>
      </c>
      <c r="K3915" s="0" t="s">
        <v>60</v>
      </c>
      <c r="L3915" s="0" t="n">
        <f aca="false">INDEX(Summary!$F$2:$F$201,MATCH($B3915,Summary!$A$2:$A$201,0))</f>
        <v>20</v>
      </c>
      <c r="M3915" s="0" t="n">
        <f aca="false">INDEX(Summary!$I$2:$I$201,MATCH($B3915,Summary!$A$2:$A$201,0))</f>
        <v>4</v>
      </c>
      <c r="N3915" s="0" t="n">
        <f aca="false">INDEX(Summary!$J$2:$J$201,MATCH($B3915,Summary!$A$2:$A$201,0))</f>
        <v>1</v>
      </c>
      <c r="O3915" s="2" t="n">
        <f aca="false">INDEX(Summary!$K$2:$K$201,MATCH($B3915,Summary!$A$2:$A$201,0))</f>
        <v>8.41</v>
      </c>
      <c r="P3915" s="3" t="n">
        <f aca="false">INDEX(Summary!$L$2:$L$201,MATCH($B3915,Summary!$A$2:$A$201,0))</f>
        <v>5</v>
      </c>
      <c r="Q3915" s="3" t="n">
        <f aca="false">INDEX(Summary!$M$2:$M$201,MATCH($B3915,Summary!$A$2:$A$201,0))</f>
        <v>1</v>
      </c>
      <c r="R3915" s="2" t="n">
        <f aca="false">INDEX(Summary!$N$2:$N$201,MATCH($B3915,Summary!$A$2:$A$201,0))</f>
        <v>9.69</v>
      </c>
      <c r="S3915" s="3" t="n">
        <f aca="false">INDEX(Summary!$O$2:$O$201,MATCH($B3915,Summary!$A$2:$A$201,0))</f>
        <v>8</v>
      </c>
      <c r="T3915" s="3" t="n">
        <f aca="false">INDEX(Summary!$P$2:$P$201,MATCH($B3915,Summary!$A$2:$A$201,0))</f>
        <v>1</v>
      </c>
      <c r="U3915" s="2" t="n">
        <f aca="false">INDEX(Summary!$Q$2:$Q$201,MATCH($B3915,Summary!$A$2:$A$201,0))</f>
        <v>12.55</v>
      </c>
      <c r="V3915" s="2" t="n">
        <f aca="false">INDEX(Summary!$R$2:$R$201,MATCH($B3915,Summary!$A$2:$A$201,0))</f>
        <v>33.97</v>
      </c>
      <c r="W3915" s="0" t="str">
        <f aca="false">INDEX(Summary!$S$2:$S$201,MATCH($B3915,Summary!$A$2:$A$201,0))</f>
        <v>Gold</v>
      </c>
      <c r="X3915" s="2" t="n">
        <f aca="false">INDEX(Summary!$T$2:$T$201,MATCH($B3915,Summary!$A$2:$A$201,0))</f>
        <v>82.85</v>
      </c>
      <c r="Y3915" s="0" t="str">
        <f aca="false">INDEX('Reward Model'!$E$18:$E$37,MATCH($E3915,'Reward Model'!$A$18:$A$37,0))</f>
        <v>Medium</v>
      </c>
      <c r="Z3915" s="4" t="n">
        <f aca="false">ROUND(MIN(1,MAX('Reward Model'!$B$2,INDEX('Reward Model'!$C$12:$C$14,MATCH($K3915,'Reward Model'!$A$12:$A$14,0))/$J3915)),3)</f>
        <v>0.914</v>
      </c>
      <c r="AA3915" s="2" t="n">
        <f aca="false">IF($I3915="Correct",ROUND(INDEX('Reward Model'!$B$12:$B$14,MATCH($K3915,'Reward Model'!$A$12:$A$14,0))*Z3915,2),0)</f>
        <v>1.83</v>
      </c>
      <c r="AB3915" s="2" t="n">
        <f aca="false">IF($I3915="Correct",ROUND(INDEX('Reward Model'!$B$12:$B$14,MATCH($Y3915,'Reward Model'!$A$12:$A$14,0))*Z3915,2),0)</f>
        <v>1.83</v>
      </c>
    </row>
    <row r="3916" customFormat="false" ht="15" hidden="false" customHeight="false" outlineLevel="0" collapsed="false">
      <c r="A3916" s="0" t="s">
        <v>522</v>
      </c>
      <c r="B3916" s="0" t="s">
        <v>523</v>
      </c>
      <c r="C3916" s="0" t="s">
        <v>322</v>
      </c>
      <c r="D3916" s="0" t="s">
        <v>275</v>
      </c>
      <c r="E3916" s="0" t="n">
        <v>15</v>
      </c>
      <c r="F3916" s="0" t="s">
        <v>69</v>
      </c>
      <c r="G3916" s="0" t="s">
        <v>70</v>
      </c>
      <c r="H3916" s="0" t="s">
        <v>70</v>
      </c>
      <c r="I3916" s="0" t="s">
        <v>34</v>
      </c>
      <c r="J3916" s="0" t="n">
        <v>1.87</v>
      </c>
      <c r="K3916" s="0" t="s">
        <v>60</v>
      </c>
      <c r="L3916" s="0" t="n">
        <f aca="false">INDEX(Summary!$F$2:$F$201,MATCH($B3916,Summary!$A$2:$A$201,0))</f>
        <v>20</v>
      </c>
      <c r="M3916" s="0" t="n">
        <f aca="false">INDEX(Summary!$I$2:$I$201,MATCH($B3916,Summary!$A$2:$A$201,0))</f>
        <v>4</v>
      </c>
      <c r="N3916" s="0" t="n">
        <f aca="false">INDEX(Summary!$J$2:$J$201,MATCH($B3916,Summary!$A$2:$A$201,0))</f>
        <v>1</v>
      </c>
      <c r="O3916" s="2" t="n">
        <f aca="false">INDEX(Summary!$K$2:$K$201,MATCH($B3916,Summary!$A$2:$A$201,0))</f>
        <v>8.41</v>
      </c>
      <c r="P3916" s="3" t="n">
        <f aca="false">INDEX(Summary!$L$2:$L$201,MATCH($B3916,Summary!$A$2:$A$201,0))</f>
        <v>5</v>
      </c>
      <c r="Q3916" s="3" t="n">
        <f aca="false">INDEX(Summary!$M$2:$M$201,MATCH($B3916,Summary!$A$2:$A$201,0))</f>
        <v>1</v>
      </c>
      <c r="R3916" s="2" t="n">
        <f aca="false">INDEX(Summary!$N$2:$N$201,MATCH($B3916,Summary!$A$2:$A$201,0))</f>
        <v>9.69</v>
      </c>
      <c r="S3916" s="3" t="n">
        <f aca="false">INDEX(Summary!$O$2:$O$201,MATCH($B3916,Summary!$A$2:$A$201,0))</f>
        <v>8</v>
      </c>
      <c r="T3916" s="3" t="n">
        <f aca="false">INDEX(Summary!$P$2:$P$201,MATCH($B3916,Summary!$A$2:$A$201,0))</f>
        <v>1</v>
      </c>
      <c r="U3916" s="2" t="n">
        <f aca="false">INDEX(Summary!$Q$2:$Q$201,MATCH($B3916,Summary!$A$2:$A$201,0))</f>
        <v>12.55</v>
      </c>
      <c r="V3916" s="2" t="n">
        <f aca="false">INDEX(Summary!$R$2:$R$201,MATCH($B3916,Summary!$A$2:$A$201,0))</f>
        <v>33.97</v>
      </c>
      <c r="W3916" s="0" t="str">
        <f aca="false">INDEX(Summary!$S$2:$S$201,MATCH($B3916,Summary!$A$2:$A$201,0))</f>
        <v>Gold</v>
      </c>
      <c r="X3916" s="2" t="n">
        <f aca="false">INDEX(Summary!$T$2:$T$201,MATCH($B3916,Summary!$A$2:$A$201,0))</f>
        <v>82.85</v>
      </c>
      <c r="Y3916" s="0" t="str">
        <f aca="false">INDEX('Reward Model'!$E$18:$E$37,MATCH($E3916,'Reward Model'!$A$18:$A$37,0))</f>
        <v>Medium</v>
      </c>
      <c r="Z3916" s="4" t="n">
        <f aca="false">ROUND(MIN(1,MAX('Reward Model'!$B$2,INDEX('Reward Model'!$C$12:$C$14,MATCH($K3916,'Reward Model'!$A$12:$A$14,0))/$J3916)),3)</f>
        <v>0.963</v>
      </c>
      <c r="AA3916" s="2" t="n">
        <f aca="false">IF($I3916="Correct",ROUND(INDEX('Reward Model'!$B$12:$B$14,MATCH($K3916,'Reward Model'!$A$12:$A$14,0))*Z3916,2),0)</f>
        <v>1.93</v>
      </c>
      <c r="AB3916" s="2" t="n">
        <f aca="false">IF($I3916="Correct",ROUND(INDEX('Reward Model'!$B$12:$B$14,MATCH($Y3916,'Reward Model'!$A$12:$A$14,0))*Z3916,2),0)</f>
        <v>1.93</v>
      </c>
    </row>
    <row r="3917" customFormat="false" ht="15" hidden="false" customHeight="false" outlineLevel="0" collapsed="false">
      <c r="A3917" s="0" t="s">
        <v>522</v>
      </c>
      <c r="B3917" s="0" t="s">
        <v>523</v>
      </c>
      <c r="C3917" s="0" t="s">
        <v>322</v>
      </c>
      <c r="D3917" s="0" t="s">
        <v>275</v>
      </c>
      <c r="E3917" s="0" t="n">
        <v>16</v>
      </c>
      <c r="F3917" s="0" t="s">
        <v>71</v>
      </c>
      <c r="G3917" s="0" t="s">
        <v>72</v>
      </c>
      <c r="H3917" s="0" t="s">
        <v>72</v>
      </c>
      <c r="I3917" s="0" t="s">
        <v>34</v>
      </c>
      <c r="J3917" s="0" t="n">
        <v>1.28</v>
      </c>
      <c r="K3917" s="0" t="s">
        <v>73</v>
      </c>
      <c r="L3917" s="0" t="n">
        <f aca="false">INDEX(Summary!$F$2:$F$201,MATCH($B3917,Summary!$A$2:$A$201,0))</f>
        <v>20</v>
      </c>
      <c r="M3917" s="0" t="n">
        <f aca="false">INDEX(Summary!$I$2:$I$201,MATCH($B3917,Summary!$A$2:$A$201,0))</f>
        <v>4</v>
      </c>
      <c r="N3917" s="0" t="n">
        <f aca="false">INDEX(Summary!$J$2:$J$201,MATCH($B3917,Summary!$A$2:$A$201,0))</f>
        <v>1</v>
      </c>
      <c r="O3917" s="2" t="n">
        <f aca="false">INDEX(Summary!$K$2:$K$201,MATCH($B3917,Summary!$A$2:$A$201,0))</f>
        <v>8.41</v>
      </c>
      <c r="P3917" s="3" t="n">
        <f aca="false">INDEX(Summary!$L$2:$L$201,MATCH($B3917,Summary!$A$2:$A$201,0))</f>
        <v>5</v>
      </c>
      <c r="Q3917" s="3" t="n">
        <f aca="false">INDEX(Summary!$M$2:$M$201,MATCH($B3917,Summary!$A$2:$A$201,0))</f>
        <v>1</v>
      </c>
      <c r="R3917" s="2" t="n">
        <f aca="false">INDEX(Summary!$N$2:$N$201,MATCH($B3917,Summary!$A$2:$A$201,0))</f>
        <v>9.69</v>
      </c>
      <c r="S3917" s="3" t="n">
        <f aca="false">INDEX(Summary!$O$2:$O$201,MATCH($B3917,Summary!$A$2:$A$201,0))</f>
        <v>8</v>
      </c>
      <c r="T3917" s="3" t="n">
        <f aca="false">INDEX(Summary!$P$2:$P$201,MATCH($B3917,Summary!$A$2:$A$201,0))</f>
        <v>1</v>
      </c>
      <c r="U3917" s="2" t="n">
        <f aca="false">INDEX(Summary!$Q$2:$Q$201,MATCH($B3917,Summary!$A$2:$A$201,0))</f>
        <v>12.55</v>
      </c>
      <c r="V3917" s="2" t="n">
        <f aca="false">INDEX(Summary!$R$2:$R$201,MATCH($B3917,Summary!$A$2:$A$201,0))</f>
        <v>33.97</v>
      </c>
      <c r="W3917" s="0" t="str">
        <f aca="false">INDEX(Summary!$S$2:$S$201,MATCH($B3917,Summary!$A$2:$A$201,0))</f>
        <v>Gold</v>
      </c>
      <c r="X3917" s="2" t="n">
        <f aca="false">INDEX(Summary!$T$2:$T$201,MATCH($B3917,Summary!$A$2:$A$201,0))</f>
        <v>82.85</v>
      </c>
      <c r="Y3917" s="0" t="str">
        <f aca="false">INDEX('Reward Model'!$E$18:$E$37,MATCH($E3917,'Reward Model'!$A$18:$A$37,0))</f>
        <v>High</v>
      </c>
      <c r="Z3917" s="4" t="n">
        <f aca="false">ROUND(MIN(1,MAX('Reward Model'!$B$2,INDEX('Reward Model'!$C$12:$C$14,MATCH($K3917,'Reward Model'!$A$12:$A$14,0))/$J3917)),3)</f>
        <v>1</v>
      </c>
      <c r="AA3917" s="2" t="n">
        <f aca="false">IF($I3917="Correct",ROUND(INDEX('Reward Model'!$B$12:$B$14,MATCH($K3917,'Reward Model'!$A$12:$A$14,0))*Z3917,2),0)</f>
        <v>3</v>
      </c>
      <c r="AB3917" s="2" t="n">
        <f aca="false">IF($I3917="Correct",ROUND(INDEX('Reward Model'!$B$12:$B$14,MATCH($Y3917,'Reward Model'!$A$12:$A$14,0))*Z3917,2),0)</f>
        <v>3</v>
      </c>
    </row>
    <row r="3918" customFormat="false" ht="15" hidden="false" customHeight="false" outlineLevel="0" collapsed="false">
      <c r="A3918" s="0" t="s">
        <v>522</v>
      </c>
      <c r="B3918" s="0" t="s">
        <v>523</v>
      </c>
      <c r="C3918" s="0" t="s">
        <v>322</v>
      </c>
      <c r="D3918" s="0" t="s">
        <v>275</v>
      </c>
      <c r="E3918" s="0" t="n">
        <v>17</v>
      </c>
      <c r="F3918" s="0" t="s">
        <v>74</v>
      </c>
      <c r="G3918" s="0" t="s">
        <v>75</v>
      </c>
      <c r="H3918" s="0" t="s">
        <v>75</v>
      </c>
      <c r="I3918" s="0" t="s">
        <v>34</v>
      </c>
      <c r="J3918" s="0" t="n">
        <v>1.77</v>
      </c>
      <c r="K3918" s="0" t="s">
        <v>73</v>
      </c>
      <c r="L3918" s="0" t="n">
        <f aca="false">INDEX(Summary!$F$2:$F$201,MATCH($B3918,Summary!$A$2:$A$201,0))</f>
        <v>20</v>
      </c>
      <c r="M3918" s="0" t="n">
        <f aca="false">INDEX(Summary!$I$2:$I$201,MATCH($B3918,Summary!$A$2:$A$201,0))</f>
        <v>4</v>
      </c>
      <c r="N3918" s="0" t="n">
        <f aca="false">INDEX(Summary!$J$2:$J$201,MATCH($B3918,Summary!$A$2:$A$201,0))</f>
        <v>1</v>
      </c>
      <c r="O3918" s="2" t="n">
        <f aca="false">INDEX(Summary!$K$2:$K$201,MATCH($B3918,Summary!$A$2:$A$201,0))</f>
        <v>8.41</v>
      </c>
      <c r="P3918" s="3" t="n">
        <f aca="false">INDEX(Summary!$L$2:$L$201,MATCH($B3918,Summary!$A$2:$A$201,0))</f>
        <v>5</v>
      </c>
      <c r="Q3918" s="3" t="n">
        <f aca="false">INDEX(Summary!$M$2:$M$201,MATCH($B3918,Summary!$A$2:$A$201,0))</f>
        <v>1</v>
      </c>
      <c r="R3918" s="2" t="n">
        <f aca="false">INDEX(Summary!$N$2:$N$201,MATCH($B3918,Summary!$A$2:$A$201,0))</f>
        <v>9.69</v>
      </c>
      <c r="S3918" s="3" t="n">
        <f aca="false">INDEX(Summary!$O$2:$O$201,MATCH($B3918,Summary!$A$2:$A$201,0))</f>
        <v>8</v>
      </c>
      <c r="T3918" s="3" t="n">
        <f aca="false">INDEX(Summary!$P$2:$P$201,MATCH($B3918,Summary!$A$2:$A$201,0))</f>
        <v>1</v>
      </c>
      <c r="U3918" s="2" t="n">
        <f aca="false">INDEX(Summary!$Q$2:$Q$201,MATCH($B3918,Summary!$A$2:$A$201,0))</f>
        <v>12.55</v>
      </c>
      <c r="V3918" s="2" t="n">
        <f aca="false">INDEX(Summary!$R$2:$R$201,MATCH($B3918,Summary!$A$2:$A$201,0))</f>
        <v>33.97</v>
      </c>
      <c r="W3918" s="0" t="str">
        <f aca="false">INDEX(Summary!$S$2:$S$201,MATCH($B3918,Summary!$A$2:$A$201,0))</f>
        <v>Gold</v>
      </c>
      <c r="X3918" s="2" t="n">
        <f aca="false">INDEX(Summary!$T$2:$T$201,MATCH($B3918,Summary!$A$2:$A$201,0))</f>
        <v>82.85</v>
      </c>
      <c r="Y3918" s="0" t="str">
        <f aca="false">INDEX('Reward Model'!$E$18:$E$37,MATCH($E3918,'Reward Model'!$A$18:$A$37,0))</f>
        <v>High</v>
      </c>
      <c r="Z3918" s="4" t="n">
        <f aca="false">ROUND(MIN(1,MAX('Reward Model'!$B$2,INDEX('Reward Model'!$C$12:$C$14,MATCH($K3918,'Reward Model'!$A$12:$A$14,0))/$J3918)),3)</f>
        <v>1</v>
      </c>
      <c r="AA3918" s="2" t="n">
        <f aca="false">IF($I3918="Correct",ROUND(INDEX('Reward Model'!$B$12:$B$14,MATCH($K3918,'Reward Model'!$A$12:$A$14,0))*Z3918,2),0)</f>
        <v>3</v>
      </c>
      <c r="AB3918" s="2" t="n">
        <f aca="false">IF($I3918="Correct",ROUND(INDEX('Reward Model'!$B$12:$B$14,MATCH($Y3918,'Reward Model'!$A$12:$A$14,0))*Z3918,2),0)</f>
        <v>3</v>
      </c>
    </row>
    <row r="3919" customFormat="false" ht="15" hidden="false" customHeight="false" outlineLevel="0" collapsed="false">
      <c r="A3919" s="0" t="s">
        <v>522</v>
      </c>
      <c r="B3919" s="0" t="s">
        <v>523</v>
      </c>
      <c r="C3919" s="0" t="s">
        <v>322</v>
      </c>
      <c r="D3919" s="0" t="s">
        <v>275</v>
      </c>
      <c r="E3919" s="0" t="n">
        <v>18</v>
      </c>
      <c r="F3919" s="0" t="s">
        <v>76</v>
      </c>
      <c r="G3919" s="0" t="s">
        <v>77</v>
      </c>
      <c r="H3919" s="0" t="s">
        <v>77</v>
      </c>
      <c r="I3919" s="0" t="s">
        <v>34</v>
      </c>
      <c r="J3919" s="0" t="n">
        <v>2</v>
      </c>
      <c r="K3919" s="0" t="s">
        <v>73</v>
      </c>
      <c r="L3919" s="0" t="n">
        <f aca="false">INDEX(Summary!$F$2:$F$201,MATCH($B3919,Summary!$A$2:$A$201,0))</f>
        <v>20</v>
      </c>
      <c r="M3919" s="0" t="n">
        <f aca="false">INDEX(Summary!$I$2:$I$201,MATCH($B3919,Summary!$A$2:$A$201,0))</f>
        <v>4</v>
      </c>
      <c r="N3919" s="0" t="n">
        <f aca="false">INDEX(Summary!$J$2:$J$201,MATCH($B3919,Summary!$A$2:$A$201,0))</f>
        <v>1</v>
      </c>
      <c r="O3919" s="2" t="n">
        <f aca="false">INDEX(Summary!$K$2:$K$201,MATCH($B3919,Summary!$A$2:$A$201,0))</f>
        <v>8.41</v>
      </c>
      <c r="P3919" s="3" t="n">
        <f aca="false">INDEX(Summary!$L$2:$L$201,MATCH($B3919,Summary!$A$2:$A$201,0))</f>
        <v>5</v>
      </c>
      <c r="Q3919" s="3" t="n">
        <f aca="false">INDEX(Summary!$M$2:$M$201,MATCH($B3919,Summary!$A$2:$A$201,0))</f>
        <v>1</v>
      </c>
      <c r="R3919" s="2" t="n">
        <f aca="false">INDEX(Summary!$N$2:$N$201,MATCH($B3919,Summary!$A$2:$A$201,0))</f>
        <v>9.69</v>
      </c>
      <c r="S3919" s="3" t="n">
        <f aca="false">INDEX(Summary!$O$2:$O$201,MATCH($B3919,Summary!$A$2:$A$201,0))</f>
        <v>8</v>
      </c>
      <c r="T3919" s="3" t="n">
        <f aca="false">INDEX(Summary!$P$2:$P$201,MATCH($B3919,Summary!$A$2:$A$201,0))</f>
        <v>1</v>
      </c>
      <c r="U3919" s="2" t="n">
        <f aca="false">INDEX(Summary!$Q$2:$Q$201,MATCH($B3919,Summary!$A$2:$A$201,0))</f>
        <v>12.55</v>
      </c>
      <c r="V3919" s="2" t="n">
        <f aca="false">INDEX(Summary!$R$2:$R$201,MATCH($B3919,Summary!$A$2:$A$201,0))</f>
        <v>33.97</v>
      </c>
      <c r="W3919" s="0" t="str">
        <f aca="false">INDEX(Summary!$S$2:$S$201,MATCH($B3919,Summary!$A$2:$A$201,0))</f>
        <v>Gold</v>
      </c>
      <c r="X3919" s="2" t="n">
        <f aca="false">INDEX(Summary!$T$2:$T$201,MATCH($B3919,Summary!$A$2:$A$201,0))</f>
        <v>82.85</v>
      </c>
      <c r="Y3919" s="0" t="str">
        <f aca="false">INDEX('Reward Model'!$E$18:$E$37,MATCH($E3919,'Reward Model'!$A$18:$A$37,0))</f>
        <v>High</v>
      </c>
      <c r="Z3919" s="4" t="n">
        <f aca="false">ROUND(MIN(1,MAX('Reward Model'!$B$2,INDEX('Reward Model'!$C$12:$C$14,MATCH($K3919,'Reward Model'!$A$12:$A$14,0))/$J3919)),3)</f>
        <v>1</v>
      </c>
      <c r="AA3919" s="2" t="n">
        <f aca="false">IF($I3919="Correct",ROUND(INDEX('Reward Model'!$B$12:$B$14,MATCH($K3919,'Reward Model'!$A$12:$A$14,0))*Z3919,2),0)</f>
        <v>3</v>
      </c>
      <c r="AB3919" s="2" t="n">
        <f aca="false">IF($I3919="Correct",ROUND(INDEX('Reward Model'!$B$12:$B$14,MATCH($Y3919,'Reward Model'!$A$12:$A$14,0))*Z3919,2),0)</f>
        <v>3</v>
      </c>
    </row>
    <row r="3920" customFormat="false" ht="15" hidden="false" customHeight="false" outlineLevel="0" collapsed="false">
      <c r="A3920" s="0" t="s">
        <v>522</v>
      </c>
      <c r="B3920" s="0" t="s">
        <v>523</v>
      </c>
      <c r="C3920" s="0" t="s">
        <v>322</v>
      </c>
      <c r="D3920" s="0" t="s">
        <v>275</v>
      </c>
      <c r="E3920" s="0" t="n">
        <v>19</v>
      </c>
      <c r="F3920" s="0" t="s">
        <v>78</v>
      </c>
      <c r="G3920" s="0" t="s">
        <v>132</v>
      </c>
      <c r="H3920" s="0" t="s">
        <v>80</v>
      </c>
      <c r="I3920" s="0" t="s">
        <v>39</v>
      </c>
      <c r="J3920" s="0" t="n">
        <v>1.32</v>
      </c>
      <c r="K3920" s="0" t="s">
        <v>73</v>
      </c>
      <c r="L3920" s="0" t="n">
        <f aca="false">INDEX(Summary!$F$2:$F$201,MATCH($B3920,Summary!$A$2:$A$201,0))</f>
        <v>20</v>
      </c>
      <c r="M3920" s="0" t="n">
        <f aca="false">INDEX(Summary!$I$2:$I$201,MATCH($B3920,Summary!$A$2:$A$201,0))</f>
        <v>4</v>
      </c>
      <c r="N3920" s="0" t="n">
        <f aca="false">INDEX(Summary!$J$2:$J$201,MATCH($B3920,Summary!$A$2:$A$201,0))</f>
        <v>1</v>
      </c>
      <c r="O3920" s="2" t="n">
        <f aca="false">INDEX(Summary!$K$2:$K$201,MATCH($B3920,Summary!$A$2:$A$201,0))</f>
        <v>8.41</v>
      </c>
      <c r="P3920" s="3" t="n">
        <f aca="false">INDEX(Summary!$L$2:$L$201,MATCH($B3920,Summary!$A$2:$A$201,0))</f>
        <v>5</v>
      </c>
      <c r="Q3920" s="3" t="n">
        <f aca="false">INDEX(Summary!$M$2:$M$201,MATCH($B3920,Summary!$A$2:$A$201,0))</f>
        <v>1</v>
      </c>
      <c r="R3920" s="2" t="n">
        <f aca="false">INDEX(Summary!$N$2:$N$201,MATCH($B3920,Summary!$A$2:$A$201,0))</f>
        <v>9.69</v>
      </c>
      <c r="S3920" s="3" t="n">
        <f aca="false">INDEX(Summary!$O$2:$O$201,MATCH($B3920,Summary!$A$2:$A$201,0))</f>
        <v>8</v>
      </c>
      <c r="T3920" s="3" t="n">
        <f aca="false">INDEX(Summary!$P$2:$P$201,MATCH($B3920,Summary!$A$2:$A$201,0))</f>
        <v>1</v>
      </c>
      <c r="U3920" s="2" t="n">
        <f aca="false">INDEX(Summary!$Q$2:$Q$201,MATCH($B3920,Summary!$A$2:$A$201,0))</f>
        <v>12.55</v>
      </c>
      <c r="V3920" s="2" t="n">
        <f aca="false">INDEX(Summary!$R$2:$R$201,MATCH($B3920,Summary!$A$2:$A$201,0))</f>
        <v>33.97</v>
      </c>
      <c r="W3920" s="0" t="str">
        <f aca="false">INDEX(Summary!$S$2:$S$201,MATCH($B3920,Summary!$A$2:$A$201,0))</f>
        <v>Gold</v>
      </c>
      <c r="X3920" s="2" t="n">
        <f aca="false">INDEX(Summary!$T$2:$T$201,MATCH($B3920,Summary!$A$2:$A$201,0))</f>
        <v>82.85</v>
      </c>
      <c r="Y3920" s="0" t="str">
        <f aca="false">INDEX('Reward Model'!$E$18:$E$37,MATCH($E3920,'Reward Model'!$A$18:$A$37,0))</f>
        <v>High</v>
      </c>
      <c r="Z3920" s="4" t="n">
        <f aca="false">ROUND(MIN(1,MAX('Reward Model'!$B$2,INDEX('Reward Model'!$C$12:$C$14,MATCH($K3920,'Reward Model'!$A$12:$A$14,0))/$J3920)),3)</f>
        <v>1</v>
      </c>
      <c r="AA3920" s="2" t="n">
        <f aca="false">IF($I3920="Correct",ROUND(INDEX('Reward Model'!$B$12:$B$14,MATCH($K3920,'Reward Model'!$A$12:$A$14,0))*Z3920,2),0)</f>
        <v>0</v>
      </c>
      <c r="AB3920" s="2" t="n">
        <f aca="false">IF($I3920="Correct",ROUND(INDEX('Reward Model'!$B$12:$B$14,MATCH($Y3920,'Reward Model'!$A$12:$A$14,0))*Z3920,2),0)</f>
        <v>0</v>
      </c>
    </row>
    <row r="3921" customFormat="false" ht="15" hidden="false" customHeight="false" outlineLevel="0" collapsed="false">
      <c r="A3921" s="0" t="s">
        <v>522</v>
      </c>
      <c r="B3921" s="0" t="s">
        <v>523</v>
      </c>
      <c r="C3921" s="0" t="s">
        <v>322</v>
      </c>
      <c r="D3921" s="0" t="s">
        <v>275</v>
      </c>
      <c r="E3921" s="0" t="n">
        <v>20</v>
      </c>
      <c r="F3921" s="0" t="s">
        <v>81</v>
      </c>
      <c r="G3921" s="0" t="s">
        <v>83</v>
      </c>
      <c r="H3921" s="0" t="s">
        <v>83</v>
      </c>
      <c r="I3921" s="0" t="s">
        <v>34</v>
      </c>
      <c r="J3921" s="0" t="n">
        <v>2.04</v>
      </c>
      <c r="K3921" s="0" t="s">
        <v>73</v>
      </c>
      <c r="L3921" s="0" t="n">
        <f aca="false">INDEX(Summary!$F$2:$F$201,MATCH($B3921,Summary!$A$2:$A$201,0))</f>
        <v>20</v>
      </c>
      <c r="M3921" s="0" t="n">
        <f aca="false">INDEX(Summary!$I$2:$I$201,MATCH($B3921,Summary!$A$2:$A$201,0))</f>
        <v>4</v>
      </c>
      <c r="N3921" s="0" t="n">
        <f aca="false">INDEX(Summary!$J$2:$J$201,MATCH($B3921,Summary!$A$2:$A$201,0))</f>
        <v>1</v>
      </c>
      <c r="O3921" s="2" t="n">
        <f aca="false">INDEX(Summary!$K$2:$K$201,MATCH($B3921,Summary!$A$2:$A$201,0))</f>
        <v>8.41</v>
      </c>
      <c r="P3921" s="3" t="n">
        <f aca="false">INDEX(Summary!$L$2:$L$201,MATCH($B3921,Summary!$A$2:$A$201,0))</f>
        <v>5</v>
      </c>
      <c r="Q3921" s="3" t="n">
        <f aca="false">INDEX(Summary!$M$2:$M$201,MATCH($B3921,Summary!$A$2:$A$201,0))</f>
        <v>1</v>
      </c>
      <c r="R3921" s="2" t="n">
        <f aca="false">INDEX(Summary!$N$2:$N$201,MATCH($B3921,Summary!$A$2:$A$201,0))</f>
        <v>9.69</v>
      </c>
      <c r="S3921" s="3" t="n">
        <f aca="false">INDEX(Summary!$O$2:$O$201,MATCH($B3921,Summary!$A$2:$A$201,0))</f>
        <v>8</v>
      </c>
      <c r="T3921" s="3" t="n">
        <f aca="false">INDEX(Summary!$P$2:$P$201,MATCH($B3921,Summary!$A$2:$A$201,0))</f>
        <v>1</v>
      </c>
      <c r="U3921" s="2" t="n">
        <f aca="false">INDEX(Summary!$Q$2:$Q$201,MATCH($B3921,Summary!$A$2:$A$201,0))</f>
        <v>12.55</v>
      </c>
      <c r="V3921" s="2" t="n">
        <f aca="false">INDEX(Summary!$R$2:$R$201,MATCH($B3921,Summary!$A$2:$A$201,0))</f>
        <v>33.97</v>
      </c>
      <c r="W3921" s="0" t="str">
        <f aca="false">INDEX(Summary!$S$2:$S$201,MATCH($B3921,Summary!$A$2:$A$201,0))</f>
        <v>Gold</v>
      </c>
      <c r="X3921" s="2" t="n">
        <f aca="false">INDEX(Summary!$T$2:$T$201,MATCH($B3921,Summary!$A$2:$A$201,0))</f>
        <v>82.85</v>
      </c>
      <c r="Y3921" s="0" t="str">
        <f aca="false">INDEX('Reward Model'!$E$18:$E$37,MATCH($E3921,'Reward Model'!$A$18:$A$37,0))</f>
        <v>High</v>
      </c>
      <c r="Z3921" s="4" t="n">
        <f aca="false">ROUND(MIN(1,MAX('Reward Model'!$B$2,INDEX('Reward Model'!$C$12:$C$14,MATCH($K3921,'Reward Model'!$A$12:$A$14,0))/$J3921)),3)</f>
        <v>0.98</v>
      </c>
      <c r="AA3921" s="2" t="n">
        <f aca="false">IF($I3921="Correct",ROUND(INDEX('Reward Model'!$B$12:$B$14,MATCH($K3921,'Reward Model'!$A$12:$A$14,0))*Z3921,2),0)</f>
        <v>2.94</v>
      </c>
      <c r="AB3921" s="2" t="n">
        <f aca="false">IF($I3921="Correct",ROUND(INDEX('Reward Model'!$B$12:$B$14,MATCH($Y3921,'Reward Model'!$A$12:$A$14,0))*Z3921,2),0)</f>
        <v>2.94</v>
      </c>
    </row>
    <row r="3922" customFormat="false" ht="15" hidden="false" customHeight="false" outlineLevel="0" collapsed="false">
      <c r="A3922" s="0" t="s">
        <v>524</v>
      </c>
      <c r="B3922" s="0" t="s">
        <v>525</v>
      </c>
      <c r="C3922" s="0" t="s">
        <v>322</v>
      </c>
      <c r="D3922" s="0" t="s">
        <v>275</v>
      </c>
      <c r="E3922" s="0" t="n">
        <v>1</v>
      </c>
      <c r="F3922" s="0" t="s">
        <v>32</v>
      </c>
      <c r="G3922" s="0" t="s">
        <v>33</v>
      </c>
      <c r="H3922" s="0" t="s">
        <v>33</v>
      </c>
      <c r="I3922" s="0" t="s">
        <v>34</v>
      </c>
      <c r="J3922" s="0" t="n">
        <v>1.16</v>
      </c>
      <c r="K3922" s="0" t="s">
        <v>35</v>
      </c>
      <c r="L3922" s="0" t="n">
        <f aca="false">INDEX(Summary!$F$2:$F$201,MATCH($B3922,Summary!$A$2:$A$201,0))</f>
        <v>20</v>
      </c>
      <c r="M3922" s="0" t="n">
        <f aca="false">INDEX(Summary!$I$2:$I$201,MATCH($B3922,Summary!$A$2:$A$201,0))</f>
        <v>1</v>
      </c>
      <c r="N3922" s="0" t="n">
        <f aca="false">INDEX(Summary!$J$2:$J$201,MATCH($B3922,Summary!$A$2:$A$201,0))</f>
        <v>4</v>
      </c>
      <c r="O3922" s="2" t="n">
        <f aca="false">INDEX(Summary!$K$2:$K$201,MATCH($B3922,Summary!$A$2:$A$201,0))</f>
        <v>10.26</v>
      </c>
      <c r="P3922" s="3" t="n">
        <f aca="false">INDEX(Summary!$L$2:$L$201,MATCH($B3922,Summary!$A$2:$A$201,0))</f>
        <v>1</v>
      </c>
      <c r="Q3922" s="3" t="n">
        <f aca="false">INDEX(Summary!$M$2:$M$201,MATCH($B3922,Summary!$A$2:$A$201,0))</f>
        <v>5</v>
      </c>
      <c r="R3922" s="2" t="n">
        <f aca="false">INDEX(Summary!$N$2:$N$201,MATCH($B3922,Summary!$A$2:$A$201,0))</f>
        <v>9.86</v>
      </c>
      <c r="S3922" s="3" t="n">
        <f aca="false">INDEX(Summary!$O$2:$O$201,MATCH($B3922,Summary!$A$2:$A$201,0))</f>
        <v>7</v>
      </c>
      <c r="T3922" s="3" t="n">
        <f aca="false">INDEX(Summary!$P$2:$P$201,MATCH($B3922,Summary!$A$2:$A$201,0))</f>
        <v>2</v>
      </c>
      <c r="U3922" s="2" t="n">
        <f aca="false">INDEX(Summary!$Q$2:$Q$201,MATCH($B3922,Summary!$A$2:$A$201,0))</f>
        <v>12.53</v>
      </c>
      <c r="V3922" s="2" t="n">
        <f aca="false">INDEX(Summary!$R$2:$R$201,MATCH($B3922,Summary!$A$2:$A$201,0))</f>
        <v>15.31</v>
      </c>
      <c r="W3922" s="0" t="str">
        <f aca="false">INDEX(Summary!$S$2:$S$201,MATCH($B3922,Summary!$A$2:$A$201,0))</f>
        <v>Bronze</v>
      </c>
      <c r="X3922" s="2" t="n">
        <f aca="false">INDEX(Summary!$T$2:$T$201,MATCH($B3922,Summary!$A$2:$A$201,0))</f>
        <v>37.34</v>
      </c>
      <c r="Y3922" s="0" t="str">
        <f aca="false">INDEX('Reward Model'!$E$18:$E$37,MATCH($E3922,'Reward Model'!$A$18:$A$37,0))</f>
        <v>Medium</v>
      </c>
      <c r="Z3922" s="4" t="n">
        <f aca="false">ROUND(MIN(1,MAX('Reward Model'!$B$2,INDEX('Reward Model'!$C$12:$C$14,MATCH($K3922,'Reward Model'!$A$12:$A$14,0))/$J3922)),3)</f>
        <v>1</v>
      </c>
      <c r="AA3922" s="2" t="n">
        <f aca="false">IF($I3922="Correct",ROUND(INDEX('Reward Model'!$B$12:$B$14,MATCH($K3922,'Reward Model'!$A$12:$A$14,0))*Z3922,2),0)</f>
        <v>1</v>
      </c>
      <c r="AB3922" s="2" t="n">
        <f aca="false">IF($I3922="Correct",ROUND(INDEX('Reward Model'!$B$12:$B$14,MATCH($Y3922,'Reward Model'!$A$12:$A$14,0))*Z3922,2),0)</f>
        <v>2</v>
      </c>
    </row>
    <row r="3923" customFormat="false" ht="15" hidden="false" customHeight="false" outlineLevel="0" collapsed="false">
      <c r="A3923" s="0" t="s">
        <v>524</v>
      </c>
      <c r="B3923" s="0" t="s">
        <v>525</v>
      </c>
      <c r="C3923" s="0" t="s">
        <v>322</v>
      </c>
      <c r="D3923" s="0" t="s">
        <v>275</v>
      </c>
      <c r="E3923" s="0" t="n">
        <v>2</v>
      </c>
      <c r="F3923" s="0" t="s">
        <v>36</v>
      </c>
      <c r="G3923" s="0" t="s">
        <v>38</v>
      </c>
      <c r="H3923" s="0" t="s">
        <v>38</v>
      </c>
      <c r="I3923" s="0" t="s">
        <v>34</v>
      </c>
      <c r="J3923" s="0" t="n">
        <v>0.91</v>
      </c>
      <c r="K3923" s="0" t="s">
        <v>35</v>
      </c>
      <c r="L3923" s="0" t="n">
        <f aca="false">INDEX(Summary!$F$2:$F$201,MATCH($B3923,Summary!$A$2:$A$201,0))</f>
        <v>20</v>
      </c>
      <c r="M3923" s="0" t="n">
        <f aca="false">INDEX(Summary!$I$2:$I$201,MATCH($B3923,Summary!$A$2:$A$201,0))</f>
        <v>1</v>
      </c>
      <c r="N3923" s="0" t="n">
        <f aca="false">INDEX(Summary!$J$2:$J$201,MATCH($B3923,Summary!$A$2:$A$201,0))</f>
        <v>4</v>
      </c>
      <c r="O3923" s="2" t="n">
        <f aca="false">INDEX(Summary!$K$2:$K$201,MATCH($B3923,Summary!$A$2:$A$201,0))</f>
        <v>10.26</v>
      </c>
      <c r="P3923" s="3" t="n">
        <f aca="false">INDEX(Summary!$L$2:$L$201,MATCH($B3923,Summary!$A$2:$A$201,0))</f>
        <v>1</v>
      </c>
      <c r="Q3923" s="3" t="n">
        <f aca="false">INDEX(Summary!$M$2:$M$201,MATCH($B3923,Summary!$A$2:$A$201,0))</f>
        <v>5</v>
      </c>
      <c r="R3923" s="2" t="n">
        <f aca="false">INDEX(Summary!$N$2:$N$201,MATCH($B3923,Summary!$A$2:$A$201,0))</f>
        <v>9.86</v>
      </c>
      <c r="S3923" s="3" t="n">
        <f aca="false">INDEX(Summary!$O$2:$O$201,MATCH($B3923,Summary!$A$2:$A$201,0))</f>
        <v>7</v>
      </c>
      <c r="T3923" s="3" t="n">
        <f aca="false">INDEX(Summary!$P$2:$P$201,MATCH($B3923,Summary!$A$2:$A$201,0))</f>
        <v>2</v>
      </c>
      <c r="U3923" s="2" t="n">
        <f aca="false">INDEX(Summary!$Q$2:$Q$201,MATCH($B3923,Summary!$A$2:$A$201,0))</f>
        <v>12.53</v>
      </c>
      <c r="V3923" s="2" t="n">
        <f aca="false">INDEX(Summary!$R$2:$R$201,MATCH($B3923,Summary!$A$2:$A$201,0))</f>
        <v>15.31</v>
      </c>
      <c r="W3923" s="0" t="str">
        <f aca="false">INDEX(Summary!$S$2:$S$201,MATCH($B3923,Summary!$A$2:$A$201,0))</f>
        <v>Bronze</v>
      </c>
      <c r="X3923" s="2" t="n">
        <f aca="false">INDEX(Summary!$T$2:$T$201,MATCH($B3923,Summary!$A$2:$A$201,0))</f>
        <v>37.34</v>
      </c>
      <c r="Y3923" s="0" t="str">
        <f aca="false">INDEX('Reward Model'!$E$18:$E$37,MATCH($E3923,'Reward Model'!$A$18:$A$37,0))</f>
        <v>Low</v>
      </c>
      <c r="Z3923" s="4" t="n">
        <f aca="false">ROUND(MIN(1,MAX('Reward Model'!$B$2,INDEX('Reward Model'!$C$12:$C$14,MATCH($K3923,'Reward Model'!$A$12:$A$14,0))/$J3923)),3)</f>
        <v>1</v>
      </c>
      <c r="AA3923" s="2" t="n">
        <f aca="false">IF($I3923="Correct",ROUND(INDEX('Reward Model'!$B$12:$B$14,MATCH($K3923,'Reward Model'!$A$12:$A$14,0))*Z3923,2),0)</f>
        <v>1</v>
      </c>
      <c r="AB3923" s="2" t="n">
        <f aca="false">IF($I3923="Correct",ROUND(INDEX('Reward Model'!$B$12:$B$14,MATCH($Y3923,'Reward Model'!$A$12:$A$14,0))*Z3923,2),0)</f>
        <v>1</v>
      </c>
    </row>
    <row r="3924" customFormat="false" ht="15" hidden="false" customHeight="false" outlineLevel="0" collapsed="false">
      <c r="A3924" s="0" t="s">
        <v>524</v>
      </c>
      <c r="B3924" s="0" t="s">
        <v>525</v>
      </c>
      <c r="C3924" s="0" t="s">
        <v>322</v>
      </c>
      <c r="D3924" s="0" t="s">
        <v>275</v>
      </c>
      <c r="E3924" s="0" t="n">
        <v>3</v>
      </c>
      <c r="F3924" s="0" t="s">
        <v>40</v>
      </c>
      <c r="G3924" s="0" t="s">
        <v>42</v>
      </c>
      <c r="H3924" s="0" t="s">
        <v>42</v>
      </c>
      <c r="I3924" s="0" t="s">
        <v>34</v>
      </c>
      <c r="J3924" s="0" t="n">
        <v>1.92</v>
      </c>
      <c r="K3924" s="0" t="s">
        <v>35</v>
      </c>
      <c r="L3924" s="0" t="n">
        <f aca="false">INDEX(Summary!$F$2:$F$201,MATCH($B3924,Summary!$A$2:$A$201,0))</f>
        <v>20</v>
      </c>
      <c r="M3924" s="0" t="n">
        <f aca="false">INDEX(Summary!$I$2:$I$201,MATCH($B3924,Summary!$A$2:$A$201,0))</f>
        <v>1</v>
      </c>
      <c r="N3924" s="0" t="n">
        <f aca="false">INDEX(Summary!$J$2:$J$201,MATCH($B3924,Summary!$A$2:$A$201,0))</f>
        <v>4</v>
      </c>
      <c r="O3924" s="2" t="n">
        <f aca="false">INDEX(Summary!$K$2:$K$201,MATCH($B3924,Summary!$A$2:$A$201,0))</f>
        <v>10.26</v>
      </c>
      <c r="P3924" s="3" t="n">
        <f aca="false">INDEX(Summary!$L$2:$L$201,MATCH($B3924,Summary!$A$2:$A$201,0))</f>
        <v>1</v>
      </c>
      <c r="Q3924" s="3" t="n">
        <f aca="false">INDEX(Summary!$M$2:$M$201,MATCH($B3924,Summary!$A$2:$A$201,0))</f>
        <v>5</v>
      </c>
      <c r="R3924" s="2" t="n">
        <f aca="false">INDEX(Summary!$N$2:$N$201,MATCH($B3924,Summary!$A$2:$A$201,0))</f>
        <v>9.86</v>
      </c>
      <c r="S3924" s="3" t="n">
        <f aca="false">INDEX(Summary!$O$2:$O$201,MATCH($B3924,Summary!$A$2:$A$201,0))</f>
        <v>7</v>
      </c>
      <c r="T3924" s="3" t="n">
        <f aca="false">INDEX(Summary!$P$2:$P$201,MATCH($B3924,Summary!$A$2:$A$201,0))</f>
        <v>2</v>
      </c>
      <c r="U3924" s="2" t="n">
        <f aca="false">INDEX(Summary!$Q$2:$Q$201,MATCH($B3924,Summary!$A$2:$A$201,0))</f>
        <v>12.53</v>
      </c>
      <c r="V3924" s="2" t="n">
        <f aca="false">INDEX(Summary!$R$2:$R$201,MATCH($B3924,Summary!$A$2:$A$201,0))</f>
        <v>15.31</v>
      </c>
      <c r="W3924" s="0" t="str">
        <f aca="false">INDEX(Summary!$S$2:$S$201,MATCH($B3924,Summary!$A$2:$A$201,0))</f>
        <v>Bronze</v>
      </c>
      <c r="X3924" s="2" t="n">
        <f aca="false">INDEX(Summary!$T$2:$T$201,MATCH($B3924,Summary!$A$2:$A$201,0))</f>
        <v>37.34</v>
      </c>
      <c r="Y3924" s="0" t="str">
        <f aca="false">INDEX('Reward Model'!$E$18:$E$37,MATCH($E3924,'Reward Model'!$A$18:$A$37,0))</f>
        <v>Medium</v>
      </c>
      <c r="Z3924" s="4" t="n">
        <f aca="false">ROUND(MIN(1,MAX('Reward Model'!$B$2,INDEX('Reward Model'!$C$12:$C$14,MATCH($K3924,'Reward Model'!$A$12:$A$14,0))/$J3924)),3)</f>
        <v>0.781</v>
      </c>
      <c r="AA3924" s="2" t="n">
        <f aca="false">IF($I3924="Correct",ROUND(INDEX('Reward Model'!$B$12:$B$14,MATCH($K3924,'Reward Model'!$A$12:$A$14,0))*Z3924,2),0)</f>
        <v>0.78</v>
      </c>
      <c r="AB3924" s="2" t="n">
        <f aca="false">IF($I3924="Correct",ROUND(INDEX('Reward Model'!$B$12:$B$14,MATCH($Y3924,'Reward Model'!$A$12:$A$14,0))*Z3924,2),0)</f>
        <v>1.56</v>
      </c>
    </row>
    <row r="3925" customFormat="false" ht="15" hidden="false" customHeight="false" outlineLevel="0" collapsed="false">
      <c r="A3925" s="0" t="s">
        <v>524</v>
      </c>
      <c r="B3925" s="0" t="s">
        <v>525</v>
      </c>
      <c r="C3925" s="0" t="s">
        <v>322</v>
      </c>
      <c r="D3925" s="0" t="s">
        <v>275</v>
      </c>
      <c r="E3925" s="0" t="n">
        <v>4</v>
      </c>
      <c r="F3925" s="0" t="s">
        <v>43</v>
      </c>
      <c r="G3925" s="0" t="s">
        <v>111</v>
      </c>
      <c r="H3925" s="0" t="s">
        <v>45</v>
      </c>
      <c r="I3925" s="0" t="s">
        <v>39</v>
      </c>
      <c r="J3925" s="0" t="n">
        <v>1.07</v>
      </c>
      <c r="K3925" s="0" t="s">
        <v>35</v>
      </c>
      <c r="L3925" s="0" t="n">
        <f aca="false">INDEX(Summary!$F$2:$F$201,MATCH($B3925,Summary!$A$2:$A$201,0))</f>
        <v>20</v>
      </c>
      <c r="M3925" s="0" t="n">
        <f aca="false">INDEX(Summary!$I$2:$I$201,MATCH($B3925,Summary!$A$2:$A$201,0))</f>
        <v>1</v>
      </c>
      <c r="N3925" s="0" t="n">
        <f aca="false">INDEX(Summary!$J$2:$J$201,MATCH($B3925,Summary!$A$2:$A$201,0))</f>
        <v>4</v>
      </c>
      <c r="O3925" s="2" t="n">
        <f aca="false">INDEX(Summary!$K$2:$K$201,MATCH($B3925,Summary!$A$2:$A$201,0))</f>
        <v>10.26</v>
      </c>
      <c r="P3925" s="3" t="n">
        <f aca="false">INDEX(Summary!$L$2:$L$201,MATCH($B3925,Summary!$A$2:$A$201,0))</f>
        <v>1</v>
      </c>
      <c r="Q3925" s="3" t="n">
        <f aca="false">INDEX(Summary!$M$2:$M$201,MATCH($B3925,Summary!$A$2:$A$201,0))</f>
        <v>5</v>
      </c>
      <c r="R3925" s="2" t="n">
        <f aca="false">INDEX(Summary!$N$2:$N$201,MATCH($B3925,Summary!$A$2:$A$201,0))</f>
        <v>9.86</v>
      </c>
      <c r="S3925" s="3" t="n">
        <f aca="false">INDEX(Summary!$O$2:$O$201,MATCH($B3925,Summary!$A$2:$A$201,0))</f>
        <v>7</v>
      </c>
      <c r="T3925" s="3" t="n">
        <f aca="false">INDEX(Summary!$P$2:$P$201,MATCH($B3925,Summary!$A$2:$A$201,0))</f>
        <v>2</v>
      </c>
      <c r="U3925" s="2" t="n">
        <f aca="false">INDEX(Summary!$Q$2:$Q$201,MATCH($B3925,Summary!$A$2:$A$201,0))</f>
        <v>12.53</v>
      </c>
      <c r="V3925" s="2" t="n">
        <f aca="false">INDEX(Summary!$R$2:$R$201,MATCH($B3925,Summary!$A$2:$A$201,0))</f>
        <v>15.31</v>
      </c>
      <c r="W3925" s="0" t="str">
        <f aca="false">INDEX(Summary!$S$2:$S$201,MATCH($B3925,Summary!$A$2:$A$201,0))</f>
        <v>Bronze</v>
      </c>
      <c r="X3925" s="2" t="n">
        <f aca="false">INDEX(Summary!$T$2:$T$201,MATCH($B3925,Summary!$A$2:$A$201,0))</f>
        <v>37.34</v>
      </c>
      <c r="Y3925" s="0" t="str">
        <f aca="false">INDEX('Reward Model'!$E$18:$E$37,MATCH($E3925,'Reward Model'!$A$18:$A$37,0))</f>
        <v>Low</v>
      </c>
      <c r="Z3925" s="4" t="n">
        <f aca="false">ROUND(MIN(1,MAX('Reward Model'!$B$2,INDEX('Reward Model'!$C$12:$C$14,MATCH($K3925,'Reward Model'!$A$12:$A$14,0))/$J3925)),3)</f>
        <v>1</v>
      </c>
      <c r="AA3925" s="2" t="n">
        <f aca="false">IF($I3925="Correct",ROUND(INDEX('Reward Model'!$B$12:$B$14,MATCH($K3925,'Reward Model'!$A$12:$A$14,0))*Z3925,2),0)</f>
        <v>0</v>
      </c>
      <c r="AB3925" s="2" t="n">
        <f aca="false">IF($I3925="Correct",ROUND(INDEX('Reward Model'!$B$12:$B$14,MATCH($Y3925,'Reward Model'!$A$12:$A$14,0))*Z3925,2),0)</f>
        <v>0</v>
      </c>
    </row>
    <row r="3926" customFormat="false" ht="15" hidden="false" customHeight="false" outlineLevel="0" collapsed="false">
      <c r="A3926" s="0" t="s">
        <v>524</v>
      </c>
      <c r="B3926" s="0" t="s">
        <v>525</v>
      </c>
      <c r="C3926" s="0" t="s">
        <v>322</v>
      </c>
      <c r="D3926" s="0" t="s">
        <v>275</v>
      </c>
      <c r="E3926" s="0" t="n">
        <v>5</v>
      </c>
      <c r="F3926" s="0" t="s">
        <v>46</v>
      </c>
      <c r="G3926" s="0" t="s">
        <v>47</v>
      </c>
      <c r="H3926" s="0" t="s">
        <v>47</v>
      </c>
      <c r="I3926" s="0" t="s">
        <v>34</v>
      </c>
      <c r="J3926" s="0" t="n">
        <v>1.82</v>
      </c>
      <c r="K3926" s="0" t="s">
        <v>35</v>
      </c>
      <c r="L3926" s="0" t="n">
        <f aca="false">INDEX(Summary!$F$2:$F$201,MATCH($B3926,Summary!$A$2:$A$201,0))</f>
        <v>20</v>
      </c>
      <c r="M3926" s="0" t="n">
        <f aca="false">INDEX(Summary!$I$2:$I$201,MATCH($B3926,Summary!$A$2:$A$201,0))</f>
        <v>1</v>
      </c>
      <c r="N3926" s="0" t="n">
        <f aca="false">INDEX(Summary!$J$2:$J$201,MATCH($B3926,Summary!$A$2:$A$201,0))</f>
        <v>4</v>
      </c>
      <c r="O3926" s="2" t="n">
        <f aca="false">INDEX(Summary!$K$2:$K$201,MATCH($B3926,Summary!$A$2:$A$201,0))</f>
        <v>10.26</v>
      </c>
      <c r="P3926" s="3" t="n">
        <f aca="false">INDEX(Summary!$L$2:$L$201,MATCH($B3926,Summary!$A$2:$A$201,0))</f>
        <v>1</v>
      </c>
      <c r="Q3926" s="3" t="n">
        <f aca="false">INDEX(Summary!$M$2:$M$201,MATCH($B3926,Summary!$A$2:$A$201,0))</f>
        <v>5</v>
      </c>
      <c r="R3926" s="2" t="n">
        <f aca="false">INDEX(Summary!$N$2:$N$201,MATCH($B3926,Summary!$A$2:$A$201,0))</f>
        <v>9.86</v>
      </c>
      <c r="S3926" s="3" t="n">
        <f aca="false">INDEX(Summary!$O$2:$O$201,MATCH($B3926,Summary!$A$2:$A$201,0))</f>
        <v>7</v>
      </c>
      <c r="T3926" s="3" t="n">
        <f aca="false">INDEX(Summary!$P$2:$P$201,MATCH($B3926,Summary!$A$2:$A$201,0))</f>
        <v>2</v>
      </c>
      <c r="U3926" s="2" t="n">
        <f aca="false">INDEX(Summary!$Q$2:$Q$201,MATCH($B3926,Summary!$A$2:$A$201,0))</f>
        <v>12.53</v>
      </c>
      <c r="V3926" s="2" t="n">
        <f aca="false">INDEX(Summary!$R$2:$R$201,MATCH($B3926,Summary!$A$2:$A$201,0))</f>
        <v>15.31</v>
      </c>
      <c r="W3926" s="0" t="str">
        <f aca="false">INDEX(Summary!$S$2:$S$201,MATCH($B3926,Summary!$A$2:$A$201,0))</f>
        <v>Bronze</v>
      </c>
      <c r="X3926" s="2" t="n">
        <f aca="false">INDEX(Summary!$T$2:$T$201,MATCH($B3926,Summary!$A$2:$A$201,0))</f>
        <v>37.34</v>
      </c>
      <c r="Y3926" s="0" t="str">
        <f aca="false">INDEX('Reward Model'!$E$18:$E$37,MATCH($E3926,'Reward Model'!$A$18:$A$37,0))</f>
        <v>Low</v>
      </c>
      <c r="Z3926" s="4" t="n">
        <f aca="false">ROUND(MIN(1,MAX('Reward Model'!$B$2,INDEX('Reward Model'!$C$12:$C$14,MATCH($K3926,'Reward Model'!$A$12:$A$14,0))/$J3926)),3)</f>
        <v>0.824</v>
      </c>
      <c r="AA3926" s="2" t="n">
        <f aca="false">IF($I3926="Correct",ROUND(INDEX('Reward Model'!$B$12:$B$14,MATCH($K3926,'Reward Model'!$A$12:$A$14,0))*Z3926,2),0)</f>
        <v>0.82</v>
      </c>
      <c r="AB3926" s="2" t="n">
        <f aca="false">IF($I3926="Correct",ROUND(INDEX('Reward Model'!$B$12:$B$14,MATCH($Y3926,'Reward Model'!$A$12:$A$14,0))*Z3926,2),0)</f>
        <v>0.82</v>
      </c>
    </row>
    <row r="3927" customFormat="false" ht="15" hidden="false" customHeight="false" outlineLevel="0" collapsed="false">
      <c r="A3927" s="0" t="s">
        <v>524</v>
      </c>
      <c r="B3927" s="0" t="s">
        <v>525</v>
      </c>
      <c r="C3927" s="0" t="s">
        <v>322</v>
      </c>
      <c r="D3927" s="0" t="s">
        <v>275</v>
      </c>
      <c r="E3927" s="0" t="n">
        <v>6</v>
      </c>
      <c r="F3927" s="0" t="s">
        <v>48</v>
      </c>
      <c r="G3927" s="0" t="s">
        <v>49</v>
      </c>
      <c r="H3927" s="0" t="s">
        <v>49</v>
      </c>
      <c r="I3927" s="0" t="s">
        <v>34</v>
      </c>
      <c r="J3927" s="0" t="n">
        <v>1.05</v>
      </c>
      <c r="K3927" s="0" t="s">
        <v>35</v>
      </c>
      <c r="L3927" s="0" t="n">
        <f aca="false">INDEX(Summary!$F$2:$F$201,MATCH($B3927,Summary!$A$2:$A$201,0))</f>
        <v>20</v>
      </c>
      <c r="M3927" s="0" t="n">
        <f aca="false">INDEX(Summary!$I$2:$I$201,MATCH($B3927,Summary!$A$2:$A$201,0))</f>
        <v>1</v>
      </c>
      <c r="N3927" s="0" t="n">
        <f aca="false">INDEX(Summary!$J$2:$J$201,MATCH($B3927,Summary!$A$2:$A$201,0))</f>
        <v>4</v>
      </c>
      <c r="O3927" s="2" t="n">
        <f aca="false">INDEX(Summary!$K$2:$K$201,MATCH($B3927,Summary!$A$2:$A$201,0))</f>
        <v>10.26</v>
      </c>
      <c r="P3927" s="3" t="n">
        <f aca="false">INDEX(Summary!$L$2:$L$201,MATCH($B3927,Summary!$A$2:$A$201,0))</f>
        <v>1</v>
      </c>
      <c r="Q3927" s="3" t="n">
        <f aca="false">INDEX(Summary!$M$2:$M$201,MATCH($B3927,Summary!$A$2:$A$201,0))</f>
        <v>5</v>
      </c>
      <c r="R3927" s="2" t="n">
        <f aca="false">INDEX(Summary!$N$2:$N$201,MATCH($B3927,Summary!$A$2:$A$201,0))</f>
        <v>9.86</v>
      </c>
      <c r="S3927" s="3" t="n">
        <f aca="false">INDEX(Summary!$O$2:$O$201,MATCH($B3927,Summary!$A$2:$A$201,0))</f>
        <v>7</v>
      </c>
      <c r="T3927" s="3" t="n">
        <f aca="false">INDEX(Summary!$P$2:$P$201,MATCH($B3927,Summary!$A$2:$A$201,0))</f>
        <v>2</v>
      </c>
      <c r="U3927" s="2" t="n">
        <f aca="false">INDEX(Summary!$Q$2:$Q$201,MATCH($B3927,Summary!$A$2:$A$201,0))</f>
        <v>12.53</v>
      </c>
      <c r="V3927" s="2" t="n">
        <f aca="false">INDEX(Summary!$R$2:$R$201,MATCH($B3927,Summary!$A$2:$A$201,0))</f>
        <v>15.31</v>
      </c>
      <c r="W3927" s="0" t="str">
        <f aca="false">INDEX(Summary!$S$2:$S$201,MATCH($B3927,Summary!$A$2:$A$201,0))</f>
        <v>Bronze</v>
      </c>
      <c r="X3927" s="2" t="n">
        <f aca="false">INDEX(Summary!$T$2:$T$201,MATCH($B3927,Summary!$A$2:$A$201,0))</f>
        <v>37.34</v>
      </c>
      <c r="Y3927" s="0" t="str">
        <f aca="false">INDEX('Reward Model'!$E$18:$E$37,MATCH($E3927,'Reward Model'!$A$18:$A$37,0))</f>
        <v>Medium</v>
      </c>
      <c r="Z3927" s="4" t="n">
        <f aca="false">ROUND(MIN(1,MAX('Reward Model'!$B$2,INDEX('Reward Model'!$C$12:$C$14,MATCH($K3927,'Reward Model'!$A$12:$A$14,0))/$J3927)),3)</f>
        <v>1</v>
      </c>
      <c r="AA3927" s="2" t="n">
        <f aca="false">IF($I3927="Correct",ROUND(INDEX('Reward Model'!$B$12:$B$14,MATCH($K3927,'Reward Model'!$A$12:$A$14,0))*Z3927,2),0)</f>
        <v>1</v>
      </c>
      <c r="AB3927" s="2" t="n">
        <f aca="false">IF($I3927="Correct",ROUND(INDEX('Reward Model'!$B$12:$B$14,MATCH($Y3927,'Reward Model'!$A$12:$A$14,0))*Z3927,2),0)</f>
        <v>2</v>
      </c>
    </row>
    <row r="3928" customFormat="false" ht="15" hidden="false" customHeight="false" outlineLevel="0" collapsed="false">
      <c r="A3928" s="0" t="s">
        <v>524</v>
      </c>
      <c r="B3928" s="0" t="s">
        <v>525</v>
      </c>
      <c r="C3928" s="0" t="s">
        <v>322</v>
      </c>
      <c r="D3928" s="0" t="s">
        <v>275</v>
      </c>
      <c r="E3928" s="0" t="n">
        <v>7</v>
      </c>
      <c r="F3928" s="0" t="s">
        <v>50</v>
      </c>
      <c r="G3928" s="0" t="s">
        <v>144</v>
      </c>
      <c r="H3928" s="0" t="s">
        <v>51</v>
      </c>
      <c r="I3928" s="0" t="s">
        <v>39</v>
      </c>
      <c r="J3928" s="0" t="n">
        <v>1.57</v>
      </c>
      <c r="K3928" s="0" t="s">
        <v>35</v>
      </c>
      <c r="L3928" s="0" t="n">
        <f aca="false">INDEX(Summary!$F$2:$F$201,MATCH($B3928,Summary!$A$2:$A$201,0))</f>
        <v>20</v>
      </c>
      <c r="M3928" s="0" t="n">
        <f aca="false">INDEX(Summary!$I$2:$I$201,MATCH($B3928,Summary!$A$2:$A$201,0))</f>
        <v>1</v>
      </c>
      <c r="N3928" s="0" t="n">
        <f aca="false">INDEX(Summary!$J$2:$J$201,MATCH($B3928,Summary!$A$2:$A$201,0))</f>
        <v>4</v>
      </c>
      <c r="O3928" s="2" t="n">
        <f aca="false">INDEX(Summary!$K$2:$K$201,MATCH($B3928,Summary!$A$2:$A$201,0))</f>
        <v>10.26</v>
      </c>
      <c r="P3928" s="3" t="n">
        <f aca="false">INDEX(Summary!$L$2:$L$201,MATCH($B3928,Summary!$A$2:$A$201,0))</f>
        <v>1</v>
      </c>
      <c r="Q3928" s="3" t="n">
        <f aca="false">INDEX(Summary!$M$2:$M$201,MATCH($B3928,Summary!$A$2:$A$201,0))</f>
        <v>5</v>
      </c>
      <c r="R3928" s="2" t="n">
        <f aca="false">INDEX(Summary!$N$2:$N$201,MATCH($B3928,Summary!$A$2:$A$201,0))</f>
        <v>9.86</v>
      </c>
      <c r="S3928" s="3" t="n">
        <f aca="false">INDEX(Summary!$O$2:$O$201,MATCH($B3928,Summary!$A$2:$A$201,0))</f>
        <v>7</v>
      </c>
      <c r="T3928" s="3" t="n">
        <f aca="false">INDEX(Summary!$P$2:$P$201,MATCH($B3928,Summary!$A$2:$A$201,0))</f>
        <v>2</v>
      </c>
      <c r="U3928" s="2" t="n">
        <f aca="false">INDEX(Summary!$Q$2:$Q$201,MATCH($B3928,Summary!$A$2:$A$201,0))</f>
        <v>12.53</v>
      </c>
      <c r="V3928" s="2" t="n">
        <f aca="false">INDEX(Summary!$R$2:$R$201,MATCH($B3928,Summary!$A$2:$A$201,0))</f>
        <v>15.31</v>
      </c>
      <c r="W3928" s="0" t="str">
        <f aca="false">INDEX(Summary!$S$2:$S$201,MATCH($B3928,Summary!$A$2:$A$201,0))</f>
        <v>Bronze</v>
      </c>
      <c r="X3928" s="2" t="n">
        <f aca="false">INDEX(Summary!$T$2:$T$201,MATCH($B3928,Summary!$A$2:$A$201,0))</f>
        <v>37.34</v>
      </c>
      <c r="Y3928" s="0" t="str">
        <f aca="false">INDEX('Reward Model'!$E$18:$E$37,MATCH($E3928,'Reward Model'!$A$18:$A$37,0))</f>
        <v>Low</v>
      </c>
      <c r="Z3928" s="4" t="n">
        <f aca="false">ROUND(MIN(1,MAX('Reward Model'!$B$2,INDEX('Reward Model'!$C$12:$C$14,MATCH($K3928,'Reward Model'!$A$12:$A$14,0))/$J3928)),3)</f>
        <v>0.955</v>
      </c>
      <c r="AA3928" s="2" t="n">
        <f aca="false">IF($I3928="Correct",ROUND(INDEX('Reward Model'!$B$12:$B$14,MATCH($K3928,'Reward Model'!$A$12:$A$14,0))*Z3928,2),0)</f>
        <v>0</v>
      </c>
      <c r="AB3928" s="2" t="n">
        <f aca="false">IF($I3928="Correct",ROUND(INDEX('Reward Model'!$B$12:$B$14,MATCH($Y3928,'Reward Model'!$A$12:$A$14,0))*Z3928,2),0)</f>
        <v>0</v>
      </c>
    </row>
    <row r="3929" customFormat="false" ht="15" hidden="false" customHeight="false" outlineLevel="0" collapsed="false">
      <c r="A3929" s="0" t="s">
        <v>524</v>
      </c>
      <c r="B3929" s="0" t="s">
        <v>525</v>
      </c>
      <c r="C3929" s="0" t="s">
        <v>322</v>
      </c>
      <c r="D3929" s="0" t="s">
        <v>275</v>
      </c>
      <c r="E3929" s="0" t="n">
        <v>8</v>
      </c>
      <c r="F3929" s="0" t="s">
        <v>52</v>
      </c>
      <c r="G3929" s="0" t="s">
        <v>54</v>
      </c>
      <c r="H3929" s="0" t="s">
        <v>54</v>
      </c>
      <c r="I3929" s="0" t="s">
        <v>34</v>
      </c>
      <c r="J3929" s="0" t="n">
        <v>1.94</v>
      </c>
      <c r="K3929" s="0" t="s">
        <v>35</v>
      </c>
      <c r="L3929" s="0" t="n">
        <f aca="false">INDEX(Summary!$F$2:$F$201,MATCH($B3929,Summary!$A$2:$A$201,0))</f>
        <v>20</v>
      </c>
      <c r="M3929" s="0" t="n">
        <f aca="false">INDEX(Summary!$I$2:$I$201,MATCH($B3929,Summary!$A$2:$A$201,0))</f>
        <v>1</v>
      </c>
      <c r="N3929" s="0" t="n">
        <f aca="false">INDEX(Summary!$J$2:$J$201,MATCH($B3929,Summary!$A$2:$A$201,0))</f>
        <v>4</v>
      </c>
      <c r="O3929" s="2" t="n">
        <f aca="false">INDEX(Summary!$K$2:$K$201,MATCH($B3929,Summary!$A$2:$A$201,0))</f>
        <v>10.26</v>
      </c>
      <c r="P3929" s="3" t="n">
        <f aca="false">INDEX(Summary!$L$2:$L$201,MATCH($B3929,Summary!$A$2:$A$201,0))</f>
        <v>1</v>
      </c>
      <c r="Q3929" s="3" t="n">
        <f aca="false">INDEX(Summary!$M$2:$M$201,MATCH($B3929,Summary!$A$2:$A$201,0))</f>
        <v>5</v>
      </c>
      <c r="R3929" s="2" t="n">
        <f aca="false">INDEX(Summary!$N$2:$N$201,MATCH($B3929,Summary!$A$2:$A$201,0))</f>
        <v>9.86</v>
      </c>
      <c r="S3929" s="3" t="n">
        <f aca="false">INDEX(Summary!$O$2:$O$201,MATCH($B3929,Summary!$A$2:$A$201,0))</f>
        <v>7</v>
      </c>
      <c r="T3929" s="3" t="n">
        <f aca="false">INDEX(Summary!$P$2:$P$201,MATCH($B3929,Summary!$A$2:$A$201,0))</f>
        <v>2</v>
      </c>
      <c r="U3929" s="2" t="n">
        <f aca="false">INDEX(Summary!$Q$2:$Q$201,MATCH($B3929,Summary!$A$2:$A$201,0))</f>
        <v>12.53</v>
      </c>
      <c r="V3929" s="2" t="n">
        <f aca="false">INDEX(Summary!$R$2:$R$201,MATCH($B3929,Summary!$A$2:$A$201,0))</f>
        <v>15.31</v>
      </c>
      <c r="W3929" s="0" t="str">
        <f aca="false">INDEX(Summary!$S$2:$S$201,MATCH($B3929,Summary!$A$2:$A$201,0))</f>
        <v>Bronze</v>
      </c>
      <c r="X3929" s="2" t="n">
        <f aca="false">INDEX(Summary!$T$2:$T$201,MATCH($B3929,Summary!$A$2:$A$201,0))</f>
        <v>37.34</v>
      </c>
      <c r="Y3929" s="0" t="str">
        <f aca="false">INDEX('Reward Model'!$E$18:$E$37,MATCH($E3929,'Reward Model'!$A$18:$A$37,0))</f>
        <v>Medium</v>
      </c>
      <c r="Z3929" s="4" t="n">
        <f aca="false">ROUND(MIN(1,MAX('Reward Model'!$B$2,INDEX('Reward Model'!$C$12:$C$14,MATCH($K3929,'Reward Model'!$A$12:$A$14,0))/$J3929)),3)</f>
        <v>0.773</v>
      </c>
      <c r="AA3929" s="2" t="n">
        <f aca="false">IF($I3929="Correct",ROUND(INDEX('Reward Model'!$B$12:$B$14,MATCH($K3929,'Reward Model'!$A$12:$A$14,0))*Z3929,2),0)</f>
        <v>0.77</v>
      </c>
      <c r="AB3929" s="2" t="n">
        <f aca="false">IF($I3929="Correct",ROUND(INDEX('Reward Model'!$B$12:$B$14,MATCH($Y3929,'Reward Model'!$A$12:$A$14,0))*Z3929,2),0)</f>
        <v>1.55</v>
      </c>
    </row>
    <row r="3930" customFormat="false" ht="15" hidden="false" customHeight="false" outlineLevel="0" collapsed="false">
      <c r="A3930" s="0" t="s">
        <v>524</v>
      </c>
      <c r="B3930" s="0" t="s">
        <v>525</v>
      </c>
      <c r="C3930" s="0" t="s">
        <v>322</v>
      </c>
      <c r="D3930" s="0" t="s">
        <v>275</v>
      </c>
      <c r="E3930" s="0" t="n">
        <v>9</v>
      </c>
      <c r="F3930" s="0" t="s">
        <v>55</v>
      </c>
      <c r="G3930" s="0" t="s">
        <v>57</v>
      </c>
      <c r="H3930" s="0" t="s">
        <v>57</v>
      </c>
      <c r="I3930" s="0" t="s">
        <v>34</v>
      </c>
      <c r="J3930" s="0" t="n">
        <v>1.09</v>
      </c>
      <c r="K3930" s="0" t="s">
        <v>35</v>
      </c>
      <c r="L3930" s="0" t="n">
        <f aca="false">INDEX(Summary!$F$2:$F$201,MATCH($B3930,Summary!$A$2:$A$201,0))</f>
        <v>20</v>
      </c>
      <c r="M3930" s="0" t="n">
        <f aca="false">INDEX(Summary!$I$2:$I$201,MATCH($B3930,Summary!$A$2:$A$201,0))</f>
        <v>1</v>
      </c>
      <c r="N3930" s="0" t="n">
        <f aca="false">INDEX(Summary!$J$2:$J$201,MATCH($B3930,Summary!$A$2:$A$201,0))</f>
        <v>4</v>
      </c>
      <c r="O3930" s="2" t="n">
        <f aca="false">INDEX(Summary!$K$2:$K$201,MATCH($B3930,Summary!$A$2:$A$201,0))</f>
        <v>10.26</v>
      </c>
      <c r="P3930" s="3" t="n">
        <f aca="false">INDEX(Summary!$L$2:$L$201,MATCH($B3930,Summary!$A$2:$A$201,0))</f>
        <v>1</v>
      </c>
      <c r="Q3930" s="3" t="n">
        <f aca="false">INDEX(Summary!$M$2:$M$201,MATCH($B3930,Summary!$A$2:$A$201,0))</f>
        <v>5</v>
      </c>
      <c r="R3930" s="2" t="n">
        <f aca="false">INDEX(Summary!$N$2:$N$201,MATCH($B3930,Summary!$A$2:$A$201,0))</f>
        <v>9.86</v>
      </c>
      <c r="S3930" s="3" t="n">
        <f aca="false">INDEX(Summary!$O$2:$O$201,MATCH($B3930,Summary!$A$2:$A$201,0))</f>
        <v>7</v>
      </c>
      <c r="T3930" s="3" t="n">
        <f aca="false">INDEX(Summary!$P$2:$P$201,MATCH($B3930,Summary!$A$2:$A$201,0))</f>
        <v>2</v>
      </c>
      <c r="U3930" s="2" t="n">
        <f aca="false">INDEX(Summary!$Q$2:$Q$201,MATCH($B3930,Summary!$A$2:$A$201,0))</f>
        <v>12.53</v>
      </c>
      <c r="V3930" s="2" t="n">
        <f aca="false">INDEX(Summary!$R$2:$R$201,MATCH($B3930,Summary!$A$2:$A$201,0))</f>
        <v>15.31</v>
      </c>
      <c r="W3930" s="0" t="str">
        <f aca="false">INDEX(Summary!$S$2:$S$201,MATCH($B3930,Summary!$A$2:$A$201,0))</f>
        <v>Bronze</v>
      </c>
      <c r="X3930" s="2" t="n">
        <f aca="false">INDEX(Summary!$T$2:$T$201,MATCH($B3930,Summary!$A$2:$A$201,0))</f>
        <v>37.34</v>
      </c>
      <c r="Y3930" s="0" t="str">
        <f aca="false">INDEX('Reward Model'!$E$18:$E$37,MATCH($E3930,'Reward Model'!$A$18:$A$37,0))</f>
        <v>Medium</v>
      </c>
      <c r="Z3930" s="4" t="n">
        <f aca="false">ROUND(MIN(1,MAX('Reward Model'!$B$2,INDEX('Reward Model'!$C$12:$C$14,MATCH($K3930,'Reward Model'!$A$12:$A$14,0))/$J3930)),3)</f>
        <v>1</v>
      </c>
      <c r="AA3930" s="2" t="n">
        <f aca="false">IF($I3930="Correct",ROUND(INDEX('Reward Model'!$B$12:$B$14,MATCH($K3930,'Reward Model'!$A$12:$A$14,0))*Z3930,2),0)</f>
        <v>1</v>
      </c>
      <c r="AB3930" s="2" t="n">
        <f aca="false">IF($I3930="Correct",ROUND(INDEX('Reward Model'!$B$12:$B$14,MATCH($Y3930,'Reward Model'!$A$12:$A$14,0))*Z3930,2),0)</f>
        <v>2</v>
      </c>
    </row>
    <row r="3931" customFormat="false" ht="15" hidden="false" customHeight="false" outlineLevel="0" collapsed="false">
      <c r="A3931" s="0" t="s">
        <v>524</v>
      </c>
      <c r="B3931" s="0" t="s">
        <v>525</v>
      </c>
      <c r="C3931" s="0" t="s">
        <v>322</v>
      </c>
      <c r="D3931" s="0" t="s">
        <v>275</v>
      </c>
      <c r="E3931" s="0" t="n">
        <v>10</v>
      </c>
      <c r="F3931" s="0" t="s">
        <v>58</v>
      </c>
      <c r="G3931" s="0" t="s">
        <v>99</v>
      </c>
      <c r="H3931" s="0" t="s">
        <v>59</v>
      </c>
      <c r="I3931" s="0" t="s">
        <v>39</v>
      </c>
      <c r="J3931" s="0" t="n">
        <v>1.77</v>
      </c>
      <c r="K3931" s="0" t="s">
        <v>60</v>
      </c>
      <c r="L3931" s="0" t="n">
        <f aca="false">INDEX(Summary!$F$2:$F$201,MATCH($B3931,Summary!$A$2:$A$201,0))</f>
        <v>20</v>
      </c>
      <c r="M3931" s="0" t="n">
        <f aca="false">INDEX(Summary!$I$2:$I$201,MATCH($B3931,Summary!$A$2:$A$201,0))</f>
        <v>1</v>
      </c>
      <c r="N3931" s="0" t="n">
        <f aca="false">INDEX(Summary!$J$2:$J$201,MATCH($B3931,Summary!$A$2:$A$201,0))</f>
        <v>4</v>
      </c>
      <c r="O3931" s="2" t="n">
        <f aca="false">INDEX(Summary!$K$2:$K$201,MATCH($B3931,Summary!$A$2:$A$201,0))</f>
        <v>10.26</v>
      </c>
      <c r="P3931" s="3" t="n">
        <f aca="false">INDEX(Summary!$L$2:$L$201,MATCH($B3931,Summary!$A$2:$A$201,0))</f>
        <v>1</v>
      </c>
      <c r="Q3931" s="3" t="n">
        <f aca="false">INDEX(Summary!$M$2:$M$201,MATCH($B3931,Summary!$A$2:$A$201,0))</f>
        <v>5</v>
      </c>
      <c r="R3931" s="2" t="n">
        <f aca="false">INDEX(Summary!$N$2:$N$201,MATCH($B3931,Summary!$A$2:$A$201,0))</f>
        <v>9.86</v>
      </c>
      <c r="S3931" s="3" t="n">
        <f aca="false">INDEX(Summary!$O$2:$O$201,MATCH($B3931,Summary!$A$2:$A$201,0))</f>
        <v>7</v>
      </c>
      <c r="T3931" s="3" t="n">
        <f aca="false">INDEX(Summary!$P$2:$P$201,MATCH($B3931,Summary!$A$2:$A$201,0))</f>
        <v>2</v>
      </c>
      <c r="U3931" s="2" t="n">
        <f aca="false">INDEX(Summary!$Q$2:$Q$201,MATCH($B3931,Summary!$A$2:$A$201,0))</f>
        <v>12.53</v>
      </c>
      <c r="V3931" s="2" t="n">
        <f aca="false">INDEX(Summary!$R$2:$R$201,MATCH($B3931,Summary!$A$2:$A$201,0))</f>
        <v>15.31</v>
      </c>
      <c r="W3931" s="0" t="str">
        <f aca="false">INDEX(Summary!$S$2:$S$201,MATCH($B3931,Summary!$A$2:$A$201,0))</f>
        <v>Bronze</v>
      </c>
      <c r="X3931" s="2" t="n">
        <f aca="false">INDEX(Summary!$T$2:$T$201,MATCH($B3931,Summary!$A$2:$A$201,0))</f>
        <v>37.34</v>
      </c>
      <c r="Y3931" s="0" t="str">
        <f aca="false">INDEX('Reward Model'!$E$18:$E$37,MATCH($E3931,'Reward Model'!$A$18:$A$37,0))</f>
        <v>Medium</v>
      </c>
      <c r="Z3931" s="4" t="n">
        <f aca="false">ROUND(MIN(1,MAX('Reward Model'!$B$2,INDEX('Reward Model'!$C$12:$C$14,MATCH($K3931,'Reward Model'!$A$12:$A$14,0))/$J3931)),3)</f>
        <v>1</v>
      </c>
      <c r="AA3931" s="2" t="n">
        <f aca="false">IF($I3931="Correct",ROUND(INDEX('Reward Model'!$B$12:$B$14,MATCH($K3931,'Reward Model'!$A$12:$A$14,0))*Z3931,2),0)</f>
        <v>0</v>
      </c>
      <c r="AB3931" s="2" t="n">
        <f aca="false">IF($I3931="Correct",ROUND(INDEX('Reward Model'!$B$12:$B$14,MATCH($Y3931,'Reward Model'!$A$12:$A$14,0))*Z3931,2),0)</f>
        <v>0</v>
      </c>
    </row>
    <row r="3932" customFormat="false" ht="15" hidden="false" customHeight="false" outlineLevel="0" collapsed="false">
      <c r="A3932" s="0" t="s">
        <v>524</v>
      </c>
      <c r="B3932" s="0" t="s">
        <v>525</v>
      </c>
      <c r="C3932" s="0" t="s">
        <v>322</v>
      </c>
      <c r="D3932" s="0" t="s">
        <v>275</v>
      </c>
      <c r="E3932" s="0" t="n">
        <v>11</v>
      </c>
      <c r="F3932" s="0" t="s">
        <v>61</v>
      </c>
      <c r="G3932" s="0" t="s">
        <v>63</v>
      </c>
      <c r="H3932" s="0" t="s">
        <v>63</v>
      </c>
      <c r="I3932" s="0" t="s">
        <v>34</v>
      </c>
      <c r="J3932" s="0" t="n">
        <v>1.25</v>
      </c>
      <c r="K3932" s="0" t="s">
        <v>60</v>
      </c>
      <c r="L3932" s="0" t="n">
        <f aca="false">INDEX(Summary!$F$2:$F$201,MATCH($B3932,Summary!$A$2:$A$201,0))</f>
        <v>20</v>
      </c>
      <c r="M3932" s="0" t="n">
        <f aca="false">INDEX(Summary!$I$2:$I$201,MATCH($B3932,Summary!$A$2:$A$201,0))</f>
        <v>1</v>
      </c>
      <c r="N3932" s="0" t="n">
        <f aca="false">INDEX(Summary!$J$2:$J$201,MATCH($B3932,Summary!$A$2:$A$201,0))</f>
        <v>4</v>
      </c>
      <c r="O3932" s="2" t="n">
        <f aca="false">INDEX(Summary!$K$2:$K$201,MATCH($B3932,Summary!$A$2:$A$201,0))</f>
        <v>10.26</v>
      </c>
      <c r="P3932" s="3" t="n">
        <f aca="false">INDEX(Summary!$L$2:$L$201,MATCH($B3932,Summary!$A$2:$A$201,0))</f>
        <v>1</v>
      </c>
      <c r="Q3932" s="3" t="n">
        <f aca="false">INDEX(Summary!$M$2:$M$201,MATCH($B3932,Summary!$A$2:$A$201,0))</f>
        <v>5</v>
      </c>
      <c r="R3932" s="2" t="n">
        <f aca="false">INDEX(Summary!$N$2:$N$201,MATCH($B3932,Summary!$A$2:$A$201,0))</f>
        <v>9.86</v>
      </c>
      <c r="S3932" s="3" t="n">
        <f aca="false">INDEX(Summary!$O$2:$O$201,MATCH($B3932,Summary!$A$2:$A$201,0))</f>
        <v>7</v>
      </c>
      <c r="T3932" s="3" t="n">
        <f aca="false">INDEX(Summary!$P$2:$P$201,MATCH($B3932,Summary!$A$2:$A$201,0))</f>
        <v>2</v>
      </c>
      <c r="U3932" s="2" t="n">
        <f aca="false">INDEX(Summary!$Q$2:$Q$201,MATCH($B3932,Summary!$A$2:$A$201,0))</f>
        <v>12.53</v>
      </c>
      <c r="V3932" s="2" t="n">
        <f aca="false">INDEX(Summary!$R$2:$R$201,MATCH($B3932,Summary!$A$2:$A$201,0))</f>
        <v>15.31</v>
      </c>
      <c r="W3932" s="0" t="str">
        <f aca="false">INDEX(Summary!$S$2:$S$201,MATCH($B3932,Summary!$A$2:$A$201,0))</f>
        <v>Bronze</v>
      </c>
      <c r="X3932" s="2" t="n">
        <f aca="false">INDEX(Summary!$T$2:$T$201,MATCH($B3932,Summary!$A$2:$A$201,0))</f>
        <v>37.34</v>
      </c>
      <c r="Y3932" s="0" t="str">
        <f aca="false">INDEX('Reward Model'!$E$18:$E$37,MATCH($E3932,'Reward Model'!$A$18:$A$37,0))</f>
        <v>Medium</v>
      </c>
      <c r="Z3932" s="4" t="n">
        <f aca="false">ROUND(MIN(1,MAX('Reward Model'!$B$2,INDEX('Reward Model'!$C$12:$C$14,MATCH($K3932,'Reward Model'!$A$12:$A$14,0))/$J3932)),3)</f>
        <v>1</v>
      </c>
      <c r="AA3932" s="2" t="n">
        <f aca="false">IF($I3932="Correct",ROUND(INDEX('Reward Model'!$B$12:$B$14,MATCH($K3932,'Reward Model'!$A$12:$A$14,0))*Z3932,2),0)</f>
        <v>2</v>
      </c>
      <c r="AB3932" s="2" t="n">
        <f aca="false">IF($I3932="Correct",ROUND(INDEX('Reward Model'!$B$12:$B$14,MATCH($Y3932,'Reward Model'!$A$12:$A$14,0))*Z3932,2),0)</f>
        <v>2</v>
      </c>
    </row>
    <row r="3933" customFormat="false" ht="15" hidden="false" customHeight="false" outlineLevel="0" collapsed="false">
      <c r="A3933" s="0" t="s">
        <v>524</v>
      </c>
      <c r="B3933" s="0" t="s">
        <v>525</v>
      </c>
      <c r="C3933" s="0" t="s">
        <v>322</v>
      </c>
      <c r="D3933" s="0" t="s">
        <v>275</v>
      </c>
      <c r="E3933" s="0" t="n">
        <v>12</v>
      </c>
      <c r="F3933" s="0" t="s">
        <v>64</v>
      </c>
      <c r="G3933" s="0" t="s">
        <v>112</v>
      </c>
      <c r="H3933" s="0" t="s">
        <v>65</v>
      </c>
      <c r="I3933" s="0" t="s">
        <v>39</v>
      </c>
      <c r="J3933" s="0" t="n">
        <v>2.05</v>
      </c>
      <c r="K3933" s="0" t="s">
        <v>60</v>
      </c>
      <c r="L3933" s="0" t="n">
        <f aca="false">INDEX(Summary!$F$2:$F$201,MATCH($B3933,Summary!$A$2:$A$201,0))</f>
        <v>20</v>
      </c>
      <c r="M3933" s="0" t="n">
        <f aca="false">INDEX(Summary!$I$2:$I$201,MATCH($B3933,Summary!$A$2:$A$201,0))</f>
        <v>1</v>
      </c>
      <c r="N3933" s="0" t="n">
        <f aca="false">INDEX(Summary!$J$2:$J$201,MATCH($B3933,Summary!$A$2:$A$201,0))</f>
        <v>4</v>
      </c>
      <c r="O3933" s="2" t="n">
        <f aca="false">INDEX(Summary!$K$2:$K$201,MATCH($B3933,Summary!$A$2:$A$201,0))</f>
        <v>10.26</v>
      </c>
      <c r="P3933" s="3" t="n">
        <f aca="false">INDEX(Summary!$L$2:$L$201,MATCH($B3933,Summary!$A$2:$A$201,0))</f>
        <v>1</v>
      </c>
      <c r="Q3933" s="3" t="n">
        <f aca="false">INDEX(Summary!$M$2:$M$201,MATCH($B3933,Summary!$A$2:$A$201,0))</f>
        <v>5</v>
      </c>
      <c r="R3933" s="2" t="n">
        <f aca="false">INDEX(Summary!$N$2:$N$201,MATCH($B3933,Summary!$A$2:$A$201,0))</f>
        <v>9.86</v>
      </c>
      <c r="S3933" s="3" t="n">
        <f aca="false">INDEX(Summary!$O$2:$O$201,MATCH($B3933,Summary!$A$2:$A$201,0))</f>
        <v>7</v>
      </c>
      <c r="T3933" s="3" t="n">
        <f aca="false">INDEX(Summary!$P$2:$P$201,MATCH($B3933,Summary!$A$2:$A$201,0))</f>
        <v>2</v>
      </c>
      <c r="U3933" s="2" t="n">
        <f aca="false">INDEX(Summary!$Q$2:$Q$201,MATCH($B3933,Summary!$A$2:$A$201,0))</f>
        <v>12.53</v>
      </c>
      <c r="V3933" s="2" t="n">
        <f aca="false">INDEX(Summary!$R$2:$R$201,MATCH($B3933,Summary!$A$2:$A$201,0))</f>
        <v>15.31</v>
      </c>
      <c r="W3933" s="0" t="str">
        <f aca="false">INDEX(Summary!$S$2:$S$201,MATCH($B3933,Summary!$A$2:$A$201,0))</f>
        <v>Bronze</v>
      </c>
      <c r="X3933" s="2" t="n">
        <f aca="false">INDEX(Summary!$T$2:$T$201,MATCH($B3933,Summary!$A$2:$A$201,0))</f>
        <v>37.34</v>
      </c>
      <c r="Y3933" s="0" t="str">
        <f aca="false">INDEX('Reward Model'!$E$18:$E$37,MATCH($E3933,'Reward Model'!$A$18:$A$37,0))</f>
        <v>Medium</v>
      </c>
      <c r="Z3933" s="4" t="n">
        <f aca="false">ROUND(MIN(1,MAX('Reward Model'!$B$2,INDEX('Reward Model'!$C$12:$C$14,MATCH($K3933,'Reward Model'!$A$12:$A$14,0))/$J3933)),3)</f>
        <v>0.878</v>
      </c>
      <c r="AA3933" s="2" t="n">
        <f aca="false">IF($I3933="Correct",ROUND(INDEX('Reward Model'!$B$12:$B$14,MATCH($K3933,'Reward Model'!$A$12:$A$14,0))*Z3933,2),0)</f>
        <v>0</v>
      </c>
      <c r="AB3933" s="2" t="n">
        <f aca="false">IF($I3933="Correct",ROUND(INDEX('Reward Model'!$B$12:$B$14,MATCH($Y3933,'Reward Model'!$A$12:$A$14,0))*Z3933,2),0)</f>
        <v>0</v>
      </c>
    </row>
    <row r="3934" customFormat="false" ht="15" hidden="false" customHeight="false" outlineLevel="0" collapsed="false">
      <c r="A3934" s="0" t="s">
        <v>524</v>
      </c>
      <c r="B3934" s="0" t="s">
        <v>525</v>
      </c>
      <c r="C3934" s="0" t="s">
        <v>322</v>
      </c>
      <c r="D3934" s="0" t="s">
        <v>275</v>
      </c>
      <c r="E3934" s="0" t="n">
        <v>13</v>
      </c>
      <c r="F3934" s="0" t="s">
        <v>66</v>
      </c>
      <c r="G3934" s="0" t="s">
        <v>165</v>
      </c>
      <c r="H3934" s="0" t="s">
        <v>67</v>
      </c>
      <c r="I3934" s="0" t="s">
        <v>39</v>
      </c>
      <c r="J3934" s="0" t="n">
        <v>1.73</v>
      </c>
      <c r="K3934" s="0" t="s">
        <v>60</v>
      </c>
      <c r="L3934" s="0" t="n">
        <f aca="false">INDEX(Summary!$F$2:$F$201,MATCH($B3934,Summary!$A$2:$A$201,0))</f>
        <v>20</v>
      </c>
      <c r="M3934" s="0" t="n">
        <f aca="false">INDEX(Summary!$I$2:$I$201,MATCH($B3934,Summary!$A$2:$A$201,0))</f>
        <v>1</v>
      </c>
      <c r="N3934" s="0" t="n">
        <f aca="false">INDEX(Summary!$J$2:$J$201,MATCH($B3934,Summary!$A$2:$A$201,0))</f>
        <v>4</v>
      </c>
      <c r="O3934" s="2" t="n">
        <f aca="false">INDEX(Summary!$K$2:$K$201,MATCH($B3934,Summary!$A$2:$A$201,0))</f>
        <v>10.26</v>
      </c>
      <c r="P3934" s="3" t="n">
        <f aca="false">INDEX(Summary!$L$2:$L$201,MATCH($B3934,Summary!$A$2:$A$201,0))</f>
        <v>1</v>
      </c>
      <c r="Q3934" s="3" t="n">
        <f aca="false">INDEX(Summary!$M$2:$M$201,MATCH($B3934,Summary!$A$2:$A$201,0))</f>
        <v>5</v>
      </c>
      <c r="R3934" s="2" t="n">
        <f aca="false">INDEX(Summary!$N$2:$N$201,MATCH($B3934,Summary!$A$2:$A$201,0))</f>
        <v>9.86</v>
      </c>
      <c r="S3934" s="3" t="n">
        <f aca="false">INDEX(Summary!$O$2:$O$201,MATCH($B3934,Summary!$A$2:$A$201,0))</f>
        <v>7</v>
      </c>
      <c r="T3934" s="3" t="n">
        <f aca="false">INDEX(Summary!$P$2:$P$201,MATCH($B3934,Summary!$A$2:$A$201,0))</f>
        <v>2</v>
      </c>
      <c r="U3934" s="2" t="n">
        <f aca="false">INDEX(Summary!$Q$2:$Q$201,MATCH($B3934,Summary!$A$2:$A$201,0))</f>
        <v>12.53</v>
      </c>
      <c r="V3934" s="2" t="n">
        <f aca="false">INDEX(Summary!$R$2:$R$201,MATCH($B3934,Summary!$A$2:$A$201,0))</f>
        <v>15.31</v>
      </c>
      <c r="W3934" s="0" t="str">
        <f aca="false">INDEX(Summary!$S$2:$S$201,MATCH($B3934,Summary!$A$2:$A$201,0))</f>
        <v>Bronze</v>
      </c>
      <c r="X3934" s="2" t="n">
        <f aca="false">INDEX(Summary!$T$2:$T$201,MATCH($B3934,Summary!$A$2:$A$201,0))</f>
        <v>37.34</v>
      </c>
      <c r="Y3934" s="0" t="str">
        <f aca="false">INDEX('Reward Model'!$E$18:$E$37,MATCH($E3934,'Reward Model'!$A$18:$A$37,0))</f>
        <v>Medium</v>
      </c>
      <c r="Z3934" s="4" t="n">
        <f aca="false">ROUND(MIN(1,MAX('Reward Model'!$B$2,INDEX('Reward Model'!$C$12:$C$14,MATCH($K3934,'Reward Model'!$A$12:$A$14,0))/$J3934)),3)</f>
        <v>1</v>
      </c>
      <c r="AA3934" s="2" t="n">
        <f aca="false">IF($I3934="Correct",ROUND(INDEX('Reward Model'!$B$12:$B$14,MATCH($K3934,'Reward Model'!$A$12:$A$14,0))*Z3934,2),0)</f>
        <v>0</v>
      </c>
      <c r="AB3934" s="2" t="n">
        <f aca="false">IF($I3934="Correct",ROUND(INDEX('Reward Model'!$B$12:$B$14,MATCH($Y3934,'Reward Model'!$A$12:$A$14,0))*Z3934,2),0)</f>
        <v>0</v>
      </c>
    </row>
    <row r="3935" customFormat="false" ht="15" hidden="false" customHeight="false" outlineLevel="0" collapsed="false">
      <c r="A3935" s="0" t="s">
        <v>524</v>
      </c>
      <c r="B3935" s="0" t="s">
        <v>525</v>
      </c>
      <c r="C3935" s="0" t="s">
        <v>322</v>
      </c>
      <c r="D3935" s="0" t="s">
        <v>275</v>
      </c>
      <c r="E3935" s="0" t="n">
        <v>14</v>
      </c>
      <c r="F3935" s="0" t="s">
        <v>68</v>
      </c>
      <c r="G3935" s="0" t="s">
        <v>118</v>
      </c>
      <c r="H3935" s="0" t="s">
        <v>51</v>
      </c>
      <c r="I3935" s="0" t="s">
        <v>39</v>
      </c>
      <c r="J3935" s="0" t="n">
        <v>1.35</v>
      </c>
      <c r="K3935" s="0" t="s">
        <v>60</v>
      </c>
      <c r="L3935" s="0" t="n">
        <f aca="false">INDEX(Summary!$F$2:$F$201,MATCH($B3935,Summary!$A$2:$A$201,0))</f>
        <v>20</v>
      </c>
      <c r="M3935" s="0" t="n">
        <f aca="false">INDEX(Summary!$I$2:$I$201,MATCH($B3935,Summary!$A$2:$A$201,0))</f>
        <v>1</v>
      </c>
      <c r="N3935" s="0" t="n">
        <f aca="false">INDEX(Summary!$J$2:$J$201,MATCH($B3935,Summary!$A$2:$A$201,0))</f>
        <v>4</v>
      </c>
      <c r="O3935" s="2" t="n">
        <f aca="false">INDEX(Summary!$K$2:$K$201,MATCH($B3935,Summary!$A$2:$A$201,0))</f>
        <v>10.26</v>
      </c>
      <c r="P3935" s="3" t="n">
        <f aca="false">INDEX(Summary!$L$2:$L$201,MATCH($B3935,Summary!$A$2:$A$201,0))</f>
        <v>1</v>
      </c>
      <c r="Q3935" s="3" t="n">
        <f aca="false">INDEX(Summary!$M$2:$M$201,MATCH($B3935,Summary!$A$2:$A$201,0))</f>
        <v>5</v>
      </c>
      <c r="R3935" s="2" t="n">
        <f aca="false">INDEX(Summary!$N$2:$N$201,MATCH($B3935,Summary!$A$2:$A$201,0))</f>
        <v>9.86</v>
      </c>
      <c r="S3935" s="3" t="n">
        <f aca="false">INDEX(Summary!$O$2:$O$201,MATCH($B3935,Summary!$A$2:$A$201,0))</f>
        <v>7</v>
      </c>
      <c r="T3935" s="3" t="n">
        <f aca="false">INDEX(Summary!$P$2:$P$201,MATCH($B3935,Summary!$A$2:$A$201,0))</f>
        <v>2</v>
      </c>
      <c r="U3935" s="2" t="n">
        <f aca="false">INDEX(Summary!$Q$2:$Q$201,MATCH($B3935,Summary!$A$2:$A$201,0))</f>
        <v>12.53</v>
      </c>
      <c r="V3935" s="2" t="n">
        <f aca="false">INDEX(Summary!$R$2:$R$201,MATCH($B3935,Summary!$A$2:$A$201,0))</f>
        <v>15.31</v>
      </c>
      <c r="W3935" s="0" t="str">
        <f aca="false">INDEX(Summary!$S$2:$S$201,MATCH($B3935,Summary!$A$2:$A$201,0))</f>
        <v>Bronze</v>
      </c>
      <c r="X3935" s="2" t="n">
        <f aca="false">INDEX(Summary!$T$2:$T$201,MATCH($B3935,Summary!$A$2:$A$201,0))</f>
        <v>37.34</v>
      </c>
      <c r="Y3935" s="0" t="str">
        <f aca="false">INDEX('Reward Model'!$E$18:$E$37,MATCH($E3935,'Reward Model'!$A$18:$A$37,0))</f>
        <v>Medium</v>
      </c>
      <c r="Z3935" s="4" t="n">
        <f aca="false">ROUND(MIN(1,MAX('Reward Model'!$B$2,INDEX('Reward Model'!$C$12:$C$14,MATCH($K3935,'Reward Model'!$A$12:$A$14,0))/$J3935)),3)</f>
        <v>1</v>
      </c>
      <c r="AA3935" s="2" t="n">
        <f aca="false">IF($I3935="Correct",ROUND(INDEX('Reward Model'!$B$12:$B$14,MATCH($K3935,'Reward Model'!$A$12:$A$14,0))*Z3935,2),0)</f>
        <v>0</v>
      </c>
      <c r="AB3935" s="2" t="n">
        <f aca="false">IF($I3935="Correct",ROUND(INDEX('Reward Model'!$B$12:$B$14,MATCH($Y3935,'Reward Model'!$A$12:$A$14,0))*Z3935,2),0)</f>
        <v>0</v>
      </c>
    </row>
    <row r="3936" customFormat="false" ht="15" hidden="false" customHeight="false" outlineLevel="0" collapsed="false">
      <c r="A3936" s="0" t="s">
        <v>524</v>
      </c>
      <c r="B3936" s="0" t="s">
        <v>525</v>
      </c>
      <c r="C3936" s="0" t="s">
        <v>322</v>
      </c>
      <c r="D3936" s="0" t="s">
        <v>275</v>
      </c>
      <c r="E3936" s="0" t="n">
        <v>15</v>
      </c>
      <c r="F3936" s="0" t="s">
        <v>69</v>
      </c>
      <c r="G3936" s="0" t="s">
        <v>94</v>
      </c>
      <c r="H3936" s="0" t="s">
        <v>70</v>
      </c>
      <c r="I3936" s="0" t="s">
        <v>39</v>
      </c>
      <c r="J3936" s="0" t="n">
        <v>1.71</v>
      </c>
      <c r="K3936" s="0" t="s">
        <v>60</v>
      </c>
      <c r="L3936" s="0" t="n">
        <f aca="false">INDEX(Summary!$F$2:$F$201,MATCH($B3936,Summary!$A$2:$A$201,0))</f>
        <v>20</v>
      </c>
      <c r="M3936" s="0" t="n">
        <f aca="false">INDEX(Summary!$I$2:$I$201,MATCH($B3936,Summary!$A$2:$A$201,0))</f>
        <v>1</v>
      </c>
      <c r="N3936" s="0" t="n">
        <f aca="false">INDEX(Summary!$J$2:$J$201,MATCH($B3936,Summary!$A$2:$A$201,0))</f>
        <v>4</v>
      </c>
      <c r="O3936" s="2" t="n">
        <f aca="false">INDEX(Summary!$K$2:$K$201,MATCH($B3936,Summary!$A$2:$A$201,0))</f>
        <v>10.26</v>
      </c>
      <c r="P3936" s="3" t="n">
        <f aca="false">INDEX(Summary!$L$2:$L$201,MATCH($B3936,Summary!$A$2:$A$201,0))</f>
        <v>1</v>
      </c>
      <c r="Q3936" s="3" t="n">
        <f aca="false">INDEX(Summary!$M$2:$M$201,MATCH($B3936,Summary!$A$2:$A$201,0))</f>
        <v>5</v>
      </c>
      <c r="R3936" s="2" t="n">
        <f aca="false">INDEX(Summary!$N$2:$N$201,MATCH($B3936,Summary!$A$2:$A$201,0))</f>
        <v>9.86</v>
      </c>
      <c r="S3936" s="3" t="n">
        <f aca="false">INDEX(Summary!$O$2:$O$201,MATCH($B3936,Summary!$A$2:$A$201,0))</f>
        <v>7</v>
      </c>
      <c r="T3936" s="3" t="n">
        <f aca="false">INDEX(Summary!$P$2:$P$201,MATCH($B3936,Summary!$A$2:$A$201,0))</f>
        <v>2</v>
      </c>
      <c r="U3936" s="2" t="n">
        <f aca="false">INDEX(Summary!$Q$2:$Q$201,MATCH($B3936,Summary!$A$2:$A$201,0))</f>
        <v>12.53</v>
      </c>
      <c r="V3936" s="2" t="n">
        <f aca="false">INDEX(Summary!$R$2:$R$201,MATCH($B3936,Summary!$A$2:$A$201,0))</f>
        <v>15.31</v>
      </c>
      <c r="W3936" s="0" t="str">
        <f aca="false">INDEX(Summary!$S$2:$S$201,MATCH($B3936,Summary!$A$2:$A$201,0))</f>
        <v>Bronze</v>
      </c>
      <c r="X3936" s="2" t="n">
        <f aca="false">INDEX(Summary!$T$2:$T$201,MATCH($B3936,Summary!$A$2:$A$201,0))</f>
        <v>37.34</v>
      </c>
      <c r="Y3936" s="0" t="str">
        <f aca="false">INDEX('Reward Model'!$E$18:$E$37,MATCH($E3936,'Reward Model'!$A$18:$A$37,0))</f>
        <v>Medium</v>
      </c>
      <c r="Z3936" s="4" t="n">
        <f aca="false">ROUND(MIN(1,MAX('Reward Model'!$B$2,INDEX('Reward Model'!$C$12:$C$14,MATCH($K3936,'Reward Model'!$A$12:$A$14,0))/$J3936)),3)</f>
        <v>1</v>
      </c>
      <c r="AA3936" s="2" t="n">
        <f aca="false">IF($I3936="Correct",ROUND(INDEX('Reward Model'!$B$12:$B$14,MATCH($K3936,'Reward Model'!$A$12:$A$14,0))*Z3936,2),0)</f>
        <v>0</v>
      </c>
      <c r="AB3936" s="2" t="n">
        <f aca="false">IF($I3936="Correct",ROUND(INDEX('Reward Model'!$B$12:$B$14,MATCH($Y3936,'Reward Model'!$A$12:$A$14,0))*Z3936,2),0)</f>
        <v>0</v>
      </c>
    </row>
    <row r="3937" customFormat="false" ht="15" hidden="false" customHeight="false" outlineLevel="0" collapsed="false">
      <c r="A3937" s="0" t="s">
        <v>524</v>
      </c>
      <c r="B3937" s="0" t="s">
        <v>525</v>
      </c>
      <c r="C3937" s="0" t="s">
        <v>322</v>
      </c>
      <c r="D3937" s="0" t="s">
        <v>275</v>
      </c>
      <c r="E3937" s="0" t="n">
        <v>16</v>
      </c>
      <c r="F3937" s="0" t="s">
        <v>71</v>
      </c>
      <c r="G3937" s="0" t="s">
        <v>104</v>
      </c>
      <c r="H3937" s="0" t="s">
        <v>72</v>
      </c>
      <c r="I3937" s="0" t="s">
        <v>39</v>
      </c>
      <c r="J3937" s="0" t="n">
        <v>2.33</v>
      </c>
      <c r="K3937" s="0" t="s">
        <v>73</v>
      </c>
      <c r="L3937" s="0" t="n">
        <f aca="false">INDEX(Summary!$F$2:$F$201,MATCH($B3937,Summary!$A$2:$A$201,0))</f>
        <v>20</v>
      </c>
      <c r="M3937" s="0" t="n">
        <f aca="false">INDEX(Summary!$I$2:$I$201,MATCH($B3937,Summary!$A$2:$A$201,0))</f>
        <v>1</v>
      </c>
      <c r="N3937" s="0" t="n">
        <f aca="false">INDEX(Summary!$J$2:$J$201,MATCH($B3937,Summary!$A$2:$A$201,0))</f>
        <v>4</v>
      </c>
      <c r="O3937" s="2" t="n">
        <f aca="false">INDEX(Summary!$K$2:$K$201,MATCH($B3937,Summary!$A$2:$A$201,0))</f>
        <v>10.26</v>
      </c>
      <c r="P3937" s="3" t="n">
        <f aca="false">INDEX(Summary!$L$2:$L$201,MATCH($B3937,Summary!$A$2:$A$201,0))</f>
        <v>1</v>
      </c>
      <c r="Q3937" s="3" t="n">
        <f aca="false">INDEX(Summary!$M$2:$M$201,MATCH($B3937,Summary!$A$2:$A$201,0))</f>
        <v>5</v>
      </c>
      <c r="R3937" s="2" t="n">
        <f aca="false">INDEX(Summary!$N$2:$N$201,MATCH($B3937,Summary!$A$2:$A$201,0))</f>
        <v>9.86</v>
      </c>
      <c r="S3937" s="3" t="n">
        <f aca="false">INDEX(Summary!$O$2:$O$201,MATCH($B3937,Summary!$A$2:$A$201,0))</f>
        <v>7</v>
      </c>
      <c r="T3937" s="3" t="n">
        <f aca="false">INDEX(Summary!$P$2:$P$201,MATCH($B3937,Summary!$A$2:$A$201,0))</f>
        <v>2</v>
      </c>
      <c r="U3937" s="2" t="n">
        <f aca="false">INDEX(Summary!$Q$2:$Q$201,MATCH($B3937,Summary!$A$2:$A$201,0))</f>
        <v>12.53</v>
      </c>
      <c r="V3937" s="2" t="n">
        <f aca="false">INDEX(Summary!$R$2:$R$201,MATCH($B3937,Summary!$A$2:$A$201,0))</f>
        <v>15.31</v>
      </c>
      <c r="W3937" s="0" t="str">
        <f aca="false">INDEX(Summary!$S$2:$S$201,MATCH($B3937,Summary!$A$2:$A$201,0))</f>
        <v>Bronze</v>
      </c>
      <c r="X3937" s="2" t="n">
        <f aca="false">INDEX(Summary!$T$2:$T$201,MATCH($B3937,Summary!$A$2:$A$201,0))</f>
        <v>37.34</v>
      </c>
      <c r="Y3937" s="0" t="str">
        <f aca="false">INDEX('Reward Model'!$E$18:$E$37,MATCH($E3937,'Reward Model'!$A$18:$A$37,0))</f>
        <v>High</v>
      </c>
      <c r="Z3937" s="4" t="n">
        <f aca="false">ROUND(MIN(1,MAX('Reward Model'!$B$2,INDEX('Reward Model'!$C$12:$C$14,MATCH($K3937,'Reward Model'!$A$12:$A$14,0))/$J3937)),3)</f>
        <v>0.858</v>
      </c>
      <c r="AA3937" s="2" t="n">
        <f aca="false">IF($I3937="Correct",ROUND(INDEX('Reward Model'!$B$12:$B$14,MATCH($K3937,'Reward Model'!$A$12:$A$14,0))*Z3937,2),0)</f>
        <v>0</v>
      </c>
      <c r="AB3937" s="2" t="n">
        <f aca="false">IF($I3937="Correct",ROUND(INDEX('Reward Model'!$B$12:$B$14,MATCH($Y3937,'Reward Model'!$A$12:$A$14,0))*Z3937,2),0)</f>
        <v>0</v>
      </c>
    </row>
    <row r="3938" customFormat="false" ht="15" hidden="false" customHeight="false" outlineLevel="0" collapsed="false">
      <c r="A3938" s="0" t="s">
        <v>524</v>
      </c>
      <c r="B3938" s="0" t="s">
        <v>525</v>
      </c>
      <c r="C3938" s="0" t="s">
        <v>322</v>
      </c>
      <c r="D3938" s="0" t="s">
        <v>275</v>
      </c>
      <c r="E3938" s="0" t="n">
        <v>17</v>
      </c>
      <c r="F3938" s="0" t="s">
        <v>74</v>
      </c>
      <c r="G3938" s="0" t="s">
        <v>105</v>
      </c>
      <c r="H3938" s="0" t="s">
        <v>75</v>
      </c>
      <c r="I3938" s="0" t="s">
        <v>39</v>
      </c>
      <c r="J3938" s="0" t="n">
        <v>1.3</v>
      </c>
      <c r="K3938" s="0" t="s">
        <v>73</v>
      </c>
      <c r="L3938" s="0" t="n">
        <f aca="false">INDEX(Summary!$F$2:$F$201,MATCH($B3938,Summary!$A$2:$A$201,0))</f>
        <v>20</v>
      </c>
      <c r="M3938" s="0" t="n">
        <f aca="false">INDEX(Summary!$I$2:$I$201,MATCH($B3938,Summary!$A$2:$A$201,0))</f>
        <v>1</v>
      </c>
      <c r="N3938" s="0" t="n">
        <f aca="false">INDEX(Summary!$J$2:$J$201,MATCH($B3938,Summary!$A$2:$A$201,0))</f>
        <v>4</v>
      </c>
      <c r="O3938" s="2" t="n">
        <f aca="false">INDEX(Summary!$K$2:$K$201,MATCH($B3938,Summary!$A$2:$A$201,0))</f>
        <v>10.26</v>
      </c>
      <c r="P3938" s="3" t="n">
        <f aca="false">INDEX(Summary!$L$2:$L$201,MATCH($B3938,Summary!$A$2:$A$201,0))</f>
        <v>1</v>
      </c>
      <c r="Q3938" s="3" t="n">
        <f aca="false">INDEX(Summary!$M$2:$M$201,MATCH($B3938,Summary!$A$2:$A$201,0))</f>
        <v>5</v>
      </c>
      <c r="R3938" s="2" t="n">
        <f aca="false">INDEX(Summary!$N$2:$N$201,MATCH($B3938,Summary!$A$2:$A$201,0))</f>
        <v>9.86</v>
      </c>
      <c r="S3938" s="3" t="n">
        <f aca="false">INDEX(Summary!$O$2:$O$201,MATCH($B3938,Summary!$A$2:$A$201,0))</f>
        <v>7</v>
      </c>
      <c r="T3938" s="3" t="n">
        <f aca="false">INDEX(Summary!$P$2:$P$201,MATCH($B3938,Summary!$A$2:$A$201,0))</f>
        <v>2</v>
      </c>
      <c r="U3938" s="2" t="n">
        <f aca="false">INDEX(Summary!$Q$2:$Q$201,MATCH($B3938,Summary!$A$2:$A$201,0))</f>
        <v>12.53</v>
      </c>
      <c r="V3938" s="2" t="n">
        <f aca="false">INDEX(Summary!$R$2:$R$201,MATCH($B3938,Summary!$A$2:$A$201,0))</f>
        <v>15.31</v>
      </c>
      <c r="W3938" s="0" t="str">
        <f aca="false">INDEX(Summary!$S$2:$S$201,MATCH($B3938,Summary!$A$2:$A$201,0))</f>
        <v>Bronze</v>
      </c>
      <c r="X3938" s="2" t="n">
        <f aca="false">INDEX(Summary!$T$2:$T$201,MATCH($B3938,Summary!$A$2:$A$201,0))</f>
        <v>37.34</v>
      </c>
      <c r="Y3938" s="0" t="str">
        <f aca="false">INDEX('Reward Model'!$E$18:$E$37,MATCH($E3938,'Reward Model'!$A$18:$A$37,0))</f>
        <v>High</v>
      </c>
      <c r="Z3938" s="4" t="n">
        <f aca="false">ROUND(MIN(1,MAX('Reward Model'!$B$2,INDEX('Reward Model'!$C$12:$C$14,MATCH($K3938,'Reward Model'!$A$12:$A$14,0))/$J3938)),3)</f>
        <v>1</v>
      </c>
      <c r="AA3938" s="2" t="n">
        <f aca="false">IF($I3938="Correct",ROUND(INDEX('Reward Model'!$B$12:$B$14,MATCH($K3938,'Reward Model'!$A$12:$A$14,0))*Z3938,2),0)</f>
        <v>0</v>
      </c>
      <c r="AB3938" s="2" t="n">
        <f aca="false">IF($I3938="Correct",ROUND(INDEX('Reward Model'!$B$12:$B$14,MATCH($Y3938,'Reward Model'!$A$12:$A$14,0))*Z3938,2),0)</f>
        <v>0</v>
      </c>
    </row>
    <row r="3939" customFormat="false" ht="15" hidden="false" customHeight="false" outlineLevel="0" collapsed="false">
      <c r="A3939" s="0" t="s">
        <v>524</v>
      </c>
      <c r="B3939" s="0" t="s">
        <v>525</v>
      </c>
      <c r="C3939" s="0" t="s">
        <v>322</v>
      </c>
      <c r="D3939" s="0" t="s">
        <v>275</v>
      </c>
      <c r="E3939" s="0" t="n">
        <v>18</v>
      </c>
      <c r="F3939" s="0" t="s">
        <v>76</v>
      </c>
      <c r="G3939" s="0" t="s">
        <v>88</v>
      </c>
      <c r="H3939" s="0" t="s">
        <v>77</v>
      </c>
      <c r="I3939" s="0" t="s">
        <v>39</v>
      </c>
      <c r="J3939" s="0" t="n">
        <v>1.89</v>
      </c>
      <c r="K3939" s="0" t="s">
        <v>73</v>
      </c>
      <c r="L3939" s="0" t="n">
        <f aca="false">INDEX(Summary!$F$2:$F$201,MATCH($B3939,Summary!$A$2:$A$201,0))</f>
        <v>20</v>
      </c>
      <c r="M3939" s="0" t="n">
        <f aca="false">INDEX(Summary!$I$2:$I$201,MATCH($B3939,Summary!$A$2:$A$201,0))</f>
        <v>1</v>
      </c>
      <c r="N3939" s="0" t="n">
        <f aca="false">INDEX(Summary!$J$2:$J$201,MATCH($B3939,Summary!$A$2:$A$201,0))</f>
        <v>4</v>
      </c>
      <c r="O3939" s="2" t="n">
        <f aca="false">INDEX(Summary!$K$2:$K$201,MATCH($B3939,Summary!$A$2:$A$201,0))</f>
        <v>10.26</v>
      </c>
      <c r="P3939" s="3" t="n">
        <f aca="false">INDEX(Summary!$L$2:$L$201,MATCH($B3939,Summary!$A$2:$A$201,0))</f>
        <v>1</v>
      </c>
      <c r="Q3939" s="3" t="n">
        <f aca="false">INDEX(Summary!$M$2:$M$201,MATCH($B3939,Summary!$A$2:$A$201,0))</f>
        <v>5</v>
      </c>
      <c r="R3939" s="2" t="n">
        <f aca="false">INDEX(Summary!$N$2:$N$201,MATCH($B3939,Summary!$A$2:$A$201,0))</f>
        <v>9.86</v>
      </c>
      <c r="S3939" s="3" t="n">
        <f aca="false">INDEX(Summary!$O$2:$O$201,MATCH($B3939,Summary!$A$2:$A$201,0))</f>
        <v>7</v>
      </c>
      <c r="T3939" s="3" t="n">
        <f aca="false">INDEX(Summary!$P$2:$P$201,MATCH($B3939,Summary!$A$2:$A$201,0))</f>
        <v>2</v>
      </c>
      <c r="U3939" s="2" t="n">
        <f aca="false">INDEX(Summary!$Q$2:$Q$201,MATCH($B3939,Summary!$A$2:$A$201,0))</f>
        <v>12.53</v>
      </c>
      <c r="V3939" s="2" t="n">
        <f aca="false">INDEX(Summary!$R$2:$R$201,MATCH($B3939,Summary!$A$2:$A$201,0))</f>
        <v>15.31</v>
      </c>
      <c r="W3939" s="0" t="str">
        <f aca="false">INDEX(Summary!$S$2:$S$201,MATCH($B3939,Summary!$A$2:$A$201,0))</f>
        <v>Bronze</v>
      </c>
      <c r="X3939" s="2" t="n">
        <f aca="false">INDEX(Summary!$T$2:$T$201,MATCH($B3939,Summary!$A$2:$A$201,0))</f>
        <v>37.34</v>
      </c>
      <c r="Y3939" s="0" t="str">
        <f aca="false">INDEX('Reward Model'!$E$18:$E$37,MATCH($E3939,'Reward Model'!$A$18:$A$37,0))</f>
        <v>High</v>
      </c>
      <c r="Z3939" s="4" t="n">
        <f aca="false">ROUND(MIN(1,MAX('Reward Model'!$B$2,INDEX('Reward Model'!$C$12:$C$14,MATCH($K3939,'Reward Model'!$A$12:$A$14,0))/$J3939)),3)</f>
        <v>1</v>
      </c>
      <c r="AA3939" s="2" t="n">
        <f aca="false">IF($I3939="Correct",ROUND(INDEX('Reward Model'!$B$12:$B$14,MATCH($K3939,'Reward Model'!$A$12:$A$14,0))*Z3939,2),0)</f>
        <v>0</v>
      </c>
      <c r="AB3939" s="2" t="n">
        <f aca="false">IF($I3939="Correct",ROUND(INDEX('Reward Model'!$B$12:$B$14,MATCH($Y3939,'Reward Model'!$A$12:$A$14,0))*Z3939,2),0)</f>
        <v>0</v>
      </c>
    </row>
    <row r="3940" customFormat="false" ht="15" hidden="false" customHeight="false" outlineLevel="0" collapsed="false">
      <c r="A3940" s="0" t="s">
        <v>524</v>
      </c>
      <c r="B3940" s="0" t="s">
        <v>525</v>
      </c>
      <c r="C3940" s="0" t="s">
        <v>322</v>
      </c>
      <c r="D3940" s="0" t="s">
        <v>275</v>
      </c>
      <c r="E3940" s="0" t="n">
        <v>19</v>
      </c>
      <c r="F3940" s="0" t="s">
        <v>78</v>
      </c>
      <c r="G3940" s="0" t="s">
        <v>80</v>
      </c>
      <c r="H3940" s="0" t="s">
        <v>80</v>
      </c>
      <c r="I3940" s="0" t="s">
        <v>34</v>
      </c>
      <c r="J3940" s="0" t="n">
        <v>2.52</v>
      </c>
      <c r="K3940" s="0" t="s">
        <v>73</v>
      </c>
      <c r="L3940" s="0" t="n">
        <f aca="false">INDEX(Summary!$F$2:$F$201,MATCH($B3940,Summary!$A$2:$A$201,0))</f>
        <v>20</v>
      </c>
      <c r="M3940" s="0" t="n">
        <f aca="false">INDEX(Summary!$I$2:$I$201,MATCH($B3940,Summary!$A$2:$A$201,0))</f>
        <v>1</v>
      </c>
      <c r="N3940" s="0" t="n">
        <f aca="false">INDEX(Summary!$J$2:$J$201,MATCH($B3940,Summary!$A$2:$A$201,0))</f>
        <v>4</v>
      </c>
      <c r="O3940" s="2" t="n">
        <f aca="false">INDEX(Summary!$K$2:$K$201,MATCH($B3940,Summary!$A$2:$A$201,0))</f>
        <v>10.26</v>
      </c>
      <c r="P3940" s="3" t="n">
        <f aca="false">INDEX(Summary!$L$2:$L$201,MATCH($B3940,Summary!$A$2:$A$201,0))</f>
        <v>1</v>
      </c>
      <c r="Q3940" s="3" t="n">
        <f aca="false">INDEX(Summary!$M$2:$M$201,MATCH($B3940,Summary!$A$2:$A$201,0))</f>
        <v>5</v>
      </c>
      <c r="R3940" s="2" t="n">
        <f aca="false">INDEX(Summary!$N$2:$N$201,MATCH($B3940,Summary!$A$2:$A$201,0))</f>
        <v>9.86</v>
      </c>
      <c r="S3940" s="3" t="n">
        <f aca="false">INDEX(Summary!$O$2:$O$201,MATCH($B3940,Summary!$A$2:$A$201,0))</f>
        <v>7</v>
      </c>
      <c r="T3940" s="3" t="n">
        <f aca="false">INDEX(Summary!$P$2:$P$201,MATCH($B3940,Summary!$A$2:$A$201,0))</f>
        <v>2</v>
      </c>
      <c r="U3940" s="2" t="n">
        <f aca="false">INDEX(Summary!$Q$2:$Q$201,MATCH($B3940,Summary!$A$2:$A$201,0))</f>
        <v>12.53</v>
      </c>
      <c r="V3940" s="2" t="n">
        <f aca="false">INDEX(Summary!$R$2:$R$201,MATCH($B3940,Summary!$A$2:$A$201,0))</f>
        <v>15.31</v>
      </c>
      <c r="W3940" s="0" t="str">
        <f aca="false">INDEX(Summary!$S$2:$S$201,MATCH($B3940,Summary!$A$2:$A$201,0))</f>
        <v>Bronze</v>
      </c>
      <c r="X3940" s="2" t="n">
        <f aca="false">INDEX(Summary!$T$2:$T$201,MATCH($B3940,Summary!$A$2:$A$201,0))</f>
        <v>37.34</v>
      </c>
      <c r="Y3940" s="0" t="str">
        <f aca="false">INDEX('Reward Model'!$E$18:$E$37,MATCH($E3940,'Reward Model'!$A$18:$A$37,0))</f>
        <v>High</v>
      </c>
      <c r="Z3940" s="4" t="n">
        <f aca="false">ROUND(MIN(1,MAX('Reward Model'!$B$2,INDEX('Reward Model'!$C$12:$C$14,MATCH($K3940,'Reward Model'!$A$12:$A$14,0))/$J3940)),3)</f>
        <v>0.794</v>
      </c>
      <c r="AA3940" s="2" t="n">
        <f aca="false">IF($I3940="Correct",ROUND(INDEX('Reward Model'!$B$12:$B$14,MATCH($K3940,'Reward Model'!$A$12:$A$14,0))*Z3940,2),0)</f>
        <v>2.38</v>
      </c>
      <c r="AB3940" s="2" t="n">
        <f aca="false">IF($I3940="Correct",ROUND(INDEX('Reward Model'!$B$12:$B$14,MATCH($Y3940,'Reward Model'!$A$12:$A$14,0))*Z3940,2),0)</f>
        <v>2.38</v>
      </c>
    </row>
    <row r="3941" customFormat="false" ht="15" hidden="false" customHeight="false" outlineLevel="0" collapsed="false">
      <c r="A3941" s="0" t="s">
        <v>524</v>
      </c>
      <c r="B3941" s="0" t="s">
        <v>525</v>
      </c>
      <c r="C3941" s="0" t="s">
        <v>322</v>
      </c>
      <c r="D3941" s="0" t="s">
        <v>275</v>
      </c>
      <c r="E3941" s="0" t="n">
        <v>20</v>
      </c>
      <c r="F3941" s="0" t="s">
        <v>81</v>
      </c>
      <c r="G3941" s="0" t="s">
        <v>166</v>
      </c>
      <c r="H3941" s="0" t="s">
        <v>83</v>
      </c>
      <c r="I3941" s="0" t="s">
        <v>39</v>
      </c>
      <c r="J3941" s="0" t="n">
        <v>2.22</v>
      </c>
      <c r="K3941" s="0" t="s">
        <v>73</v>
      </c>
      <c r="L3941" s="0" t="n">
        <f aca="false">INDEX(Summary!$F$2:$F$201,MATCH($B3941,Summary!$A$2:$A$201,0))</f>
        <v>20</v>
      </c>
      <c r="M3941" s="0" t="n">
        <f aca="false">INDEX(Summary!$I$2:$I$201,MATCH($B3941,Summary!$A$2:$A$201,0))</f>
        <v>1</v>
      </c>
      <c r="N3941" s="0" t="n">
        <f aca="false">INDEX(Summary!$J$2:$J$201,MATCH($B3941,Summary!$A$2:$A$201,0))</f>
        <v>4</v>
      </c>
      <c r="O3941" s="2" t="n">
        <f aca="false">INDEX(Summary!$K$2:$K$201,MATCH($B3941,Summary!$A$2:$A$201,0))</f>
        <v>10.26</v>
      </c>
      <c r="P3941" s="3" t="n">
        <f aca="false">INDEX(Summary!$L$2:$L$201,MATCH($B3941,Summary!$A$2:$A$201,0))</f>
        <v>1</v>
      </c>
      <c r="Q3941" s="3" t="n">
        <f aca="false">INDEX(Summary!$M$2:$M$201,MATCH($B3941,Summary!$A$2:$A$201,0))</f>
        <v>5</v>
      </c>
      <c r="R3941" s="2" t="n">
        <f aca="false">INDEX(Summary!$N$2:$N$201,MATCH($B3941,Summary!$A$2:$A$201,0))</f>
        <v>9.86</v>
      </c>
      <c r="S3941" s="3" t="n">
        <f aca="false">INDEX(Summary!$O$2:$O$201,MATCH($B3941,Summary!$A$2:$A$201,0))</f>
        <v>7</v>
      </c>
      <c r="T3941" s="3" t="n">
        <f aca="false">INDEX(Summary!$P$2:$P$201,MATCH($B3941,Summary!$A$2:$A$201,0))</f>
        <v>2</v>
      </c>
      <c r="U3941" s="2" t="n">
        <f aca="false">INDEX(Summary!$Q$2:$Q$201,MATCH($B3941,Summary!$A$2:$A$201,0))</f>
        <v>12.53</v>
      </c>
      <c r="V3941" s="2" t="n">
        <f aca="false">INDEX(Summary!$R$2:$R$201,MATCH($B3941,Summary!$A$2:$A$201,0))</f>
        <v>15.31</v>
      </c>
      <c r="W3941" s="0" t="str">
        <f aca="false">INDEX(Summary!$S$2:$S$201,MATCH($B3941,Summary!$A$2:$A$201,0))</f>
        <v>Bronze</v>
      </c>
      <c r="X3941" s="2" t="n">
        <f aca="false">INDEX(Summary!$T$2:$T$201,MATCH($B3941,Summary!$A$2:$A$201,0))</f>
        <v>37.34</v>
      </c>
      <c r="Y3941" s="0" t="str">
        <f aca="false">INDEX('Reward Model'!$E$18:$E$37,MATCH($E3941,'Reward Model'!$A$18:$A$37,0))</f>
        <v>High</v>
      </c>
      <c r="Z3941" s="4" t="n">
        <f aca="false">ROUND(MIN(1,MAX('Reward Model'!$B$2,INDEX('Reward Model'!$C$12:$C$14,MATCH($K3941,'Reward Model'!$A$12:$A$14,0))/$J3941)),3)</f>
        <v>0.901</v>
      </c>
      <c r="AA3941" s="2" t="n">
        <f aca="false">IF($I3941="Correct",ROUND(INDEX('Reward Model'!$B$12:$B$14,MATCH($K3941,'Reward Model'!$A$12:$A$14,0))*Z3941,2),0)</f>
        <v>0</v>
      </c>
      <c r="AB3941" s="2" t="n">
        <f aca="false">IF($I3941="Correct",ROUND(INDEX('Reward Model'!$B$12:$B$14,MATCH($Y3941,'Reward Model'!$A$12:$A$14,0))*Z3941,2),0)</f>
        <v>0</v>
      </c>
    </row>
    <row r="3942" customFormat="false" ht="15" hidden="false" customHeight="false" outlineLevel="0" collapsed="false">
      <c r="A3942" s="0" t="s">
        <v>526</v>
      </c>
      <c r="B3942" s="0" t="s">
        <v>527</v>
      </c>
      <c r="C3942" s="0" t="s">
        <v>322</v>
      </c>
      <c r="D3942" s="0" t="s">
        <v>275</v>
      </c>
      <c r="E3942" s="0" t="n">
        <v>1</v>
      </c>
      <c r="F3942" s="0" t="s">
        <v>32</v>
      </c>
      <c r="G3942" s="0" t="s">
        <v>33</v>
      </c>
      <c r="H3942" s="0" t="s">
        <v>33</v>
      </c>
      <c r="I3942" s="0" t="s">
        <v>34</v>
      </c>
      <c r="J3942" s="0" t="n">
        <v>1.73</v>
      </c>
      <c r="K3942" s="0" t="s">
        <v>35</v>
      </c>
      <c r="L3942" s="0" t="n">
        <f aca="false">INDEX(Summary!$F$2:$F$201,MATCH($B3942,Summary!$A$2:$A$201,0))</f>
        <v>20</v>
      </c>
      <c r="M3942" s="0" t="n">
        <f aca="false">INDEX(Summary!$I$2:$I$201,MATCH($B3942,Summary!$A$2:$A$201,0))</f>
        <v>2</v>
      </c>
      <c r="N3942" s="0" t="n">
        <f aca="false">INDEX(Summary!$J$2:$J$201,MATCH($B3942,Summary!$A$2:$A$201,0))</f>
        <v>3</v>
      </c>
      <c r="O3942" s="2" t="n">
        <f aca="false">INDEX(Summary!$K$2:$K$201,MATCH($B3942,Summary!$A$2:$A$201,0))</f>
        <v>10.39</v>
      </c>
      <c r="P3942" s="3" t="n">
        <f aca="false">INDEX(Summary!$L$2:$L$201,MATCH($B3942,Summary!$A$2:$A$201,0))</f>
        <v>2</v>
      </c>
      <c r="Q3942" s="3" t="n">
        <f aca="false">INDEX(Summary!$M$2:$M$201,MATCH($B3942,Summary!$A$2:$A$201,0))</f>
        <v>4</v>
      </c>
      <c r="R3942" s="2" t="n">
        <f aca="false">INDEX(Summary!$N$2:$N$201,MATCH($B3942,Summary!$A$2:$A$201,0))</f>
        <v>11.22</v>
      </c>
      <c r="S3942" s="3" t="n">
        <f aca="false">INDEX(Summary!$O$2:$O$201,MATCH($B3942,Summary!$A$2:$A$201,0))</f>
        <v>7</v>
      </c>
      <c r="T3942" s="3" t="n">
        <f aca="false">INDEX(Summary!$P$2:$P$201,MATCH($B3942,Summary!$A$2:$A$201,0))</f>
        <v>2</v>
      </c>
      <c r="U3942" s="2" t="n">
        <f aca="false">INDEX(Summary!$Q$2:$Q$201,MATCH($B3942,Summary!$A$2:$A$201,0))</f>
        <v>15.21</v>
      </c>
      <c r="V3942" s="2" t="n">
        <f aca="false">INDEX(Summary!$R$2:$R$201,MATCH($B3942,Summary!$A$2:$A$201,0))</f>
        <v>17.47</v>
      </c>
      <c r="W3942" s="0" t="str">
        <f aca="false">INDEX(Summary!$S$2:$S$201,MATCH($B3942,Summary!$A$2:$A$201,0))</f>
        <v>Bronze</v>
      </c>
      <c r="X3942" s="2" t="n">
        <f aca="false">INDEX(Summary!$T$2:$T$201,MATCH($B3942,Summary!$A$2:$A$201,0))</f>
        <v>42.61</v>
      </c>
      <c r="Y3942" s="0" t="str">
        <f aca="false">INDEX('Reward Model'!$E$18:$E$37,MATCH($E3942,'Reward Model'!$A$18:$A$37,0))</f>
        <v>Medium</v>
      </c>
      <c r="Z3942" s="4" t="n">
        <f aca="false">ROUND(MIN(1,MAX('Reward Model'!$B$2,INDEX('Reward Model'!$C$12:$C$14,MATCH($K3942,'Reward Model'!$A$12:$A$14,0))/$J3942)),3)</f>
        <v>0.867</v>
      </c>
      <c r="AA3942" s="2" t="n">
        <f aca="false">IF($I3942="Correct",ROUND(INDEX('Reward Model'!$B$12:$B$14,MATCH($K3942,'Reward Model'!$A$12:$A$14,0))*Z3942,2),0)</f>
        <v>0.87</v>
      </c>
      <c r="AB3942" s="2" t="n">
        <f aca="false">IF($I3942="Correct",ROUND(INDEX('Reward Model'!$B$12:$B$14,MATCH($Y3942,'Reward Model'!$A$12:$A$14,0))*Z3942,2),0)</f>
        <v>1.73</v>
      </c>
    </row>
    <row r="3943" customFormat="false" ht="15" hidden="false" customHeight="false" outlineLevel="0" collapsed="false">
      <c r="A3943" s="0" t="s">
        <v>526</v>
      </c>
      <c r="B3943" s="0" t="s">
        <v>527</v>
      </c>
      <c r="C3943" s="0" t="s">
        <v>322</v>
      </c>
      <c r="D3943" s="0" t="s">
        <v>275</v>
      </c>
      <c r="E3943" s="0" t="n">
        <v>2</v>
      </c>
      <c r="F3943" s="0" t="s">
        <v>36</v>
      </c>
      <c r="G3943" s="0" t="s">
        <v>38</v>
      </c>
      <c r="H3943" s="0" t="s">
        <v>38</v>
      </c>
      <c r="I3943" s="0" t="s">
        <v>34</v>
      </c>
      <c r="J3943" s="0" t="n">
        <v>1.85</v>
      </c>
      <c r="K3943" s="0" t="s">
        <v>35</v>
      </c>
      <c r="L3943" s="0" t="n">
        <f aca="false">INDEX(Summary!$F$2:$F$201,MATCH($B3943,Summary!$A$2:$A$201,0))</f>
        <v>20</v>
      </c>
      <c r="M3943" s="0" t="n">
        <f aca="false">INDEX(Summary!$I$2:$I$201,MATCH($B3943,Summary!$A$2:$A$201,0))</f>
        <v>2</v>
      </c>
      <c r="N3943" s="0" t="n">
        <f aca="false">INDEX(Summary!$J$2:$J$201,MATCH($B3943,Summary!$A$2:$A$201,0))</f>
        <v>3</v>
      </c>
      <c r="O3943" s="2" t="n">
        <f aca="false">INDEX(Summary!$K$2:$K$201,MATCH($B3943,Summary!$A$2:$A$201,0))</f>
        <v>10.39</v>
      </c>
      <c r="P3943" s="3" t="n">
        <f aca="false">INDEX(Summary!$L$2:$L$201,MATCH($B3943,Summary!$A$2:$A$201,0))</f>
        <v>2</v>
      </c>
      <c r="Q3943" s="3" t="n">
        <f aca="false">INDEX(Summary!$M$2:$M$201,MATCH($B3943,Summary!$A$2:$A$201,0))</f>
        <v>4</v>
      </c>
      <c r="R3943" s="2" t="n">
        <f aca="false">INDEX(Summary!$N$2:$N$201,MATCH($B3943,Summary!$A$2:$A$201,0))</f>
        <v>11.22</v>
      </c>
      <c r="S3943" s="3" t="n">
        <f aca="false">INDEX(Summary!$O$2:$O$201,MATCH($B3943,Summary!$A$2:$A$201,0))</f>
        <v>7</v>
      </c>
      <c r="T3943" s="3" t="n">
        <f aca="false">INDEX(Summary!$P$2:$P$201,MATCH($B3943,Summary!$A$2:$A$201,0))</f>
        <v>2</v>
      </c>
      <c r="U3943" s="2" t="n">
        <f aca="false">INDEX(Summary!$Q$2:$Q$201,MATCH($B3943,Summary!$A$2:$A$201,0))</f>
        <v>15.21</v>
      </c>
      <c r="V3943" s="2" t="n">
        <f aca="false">INDEX(Summary!$R$2:$R$201,MATCH($B3943,Summary!$A$2:$A$201,0))</f>
        <v>17.47</v>
      </c>
      <c r="W3943" s="0" t="str">
        <f aca="false">INDEX(Summary!$S$2:$S$201,MATCH($B3943,Summary!$A$2:$A$201,0))</f>
        <v>Bronze</v>
      </c>
      <c r="X3943" s="2" t="n">
        <f aca="false">INDEX(Summary!$T$2:$T$201,MATCH($B3943,Summary!$A$2:$A$201,0))</f>
        <v>42.61</v>
      </c>
      <c r="Y3943" s="0" t="str">
        <f aca="false">INDEX('Reward Model'!$E$18:$E$37,MATCH($E3943,'Reward Model'!$A$18:$A$37,0))</f>
        <v>Low</v>
      </c>
      <c r="Z3943" s="4" t="n">
        <f aca="false">ROUND(MIN(1,MAX('Reward Model'!$B$2,INDEX('Reward Model'!$C$12:$C$14,MATCH($K3943,'Reward Model'!$A$12:$A$14,0))/$J3943)),3)</f>
        <v>0.811</v>
      </c>
      <c r="AA3943" s="2" t="n">
        <f aca="false">IF($I3943="Correct",ROUND(INDEX('Reward Model'!$B$12:$B$14,MATCH($K3943,'Reward Model'!$A$12:$A$14,0))*Z3943,2),0)</f>
        <v>0.81</v>
      </c>
      <c r="AB3943" s="2" t="n">
        <f aca="false">IF($I3943="Correct",ROUND(INDEX('Reward Model'!$B$12:$B$14,MATCH($Y3943,'Reward Model'!$A$12:$A$14,0))*Z3943,2),0)</f>
        <v>0.81</v>
      </c>
    </row>
    <row r="3944" customFormat="false" ht="15" hidden="false" customHeight="false" outlineLevel="0" collapsed="false">
      <c r="A3944" s="0" t="s">
        <v>526</v>
      </c>
      <c r="B3944" s="0" t="s">
        <v>527</v>
      </c>
      <c r="C3944" s="0" t="s">
        <v>322</v>
      </c>
      <c r="D3944" s="0" t="s">
        <v>275</v>
      </c>
      <c r="E3944" s="0" t="n">
        <v>3</v>
      </c>
      <c r="F3944" s="0" t="s">
        <v>40</v>
      </c>
      <c r="G3944" s="0" t="s">
        <v>42</v>
      </c>
      <c r="H3944" s="0" t="s">
        <v>42</v>
      </c>
      <c r="I3944" s="0" t="s">
        <v>34</v>
      </c>
      <c r="J3944" s="0" t="n">
        <v>1.59</v>
      </c>
      <c r="K3944" s="0" t="s">
        <v>35</v>
      </c>
      <c r="L3944" s="0" t="n">
        <f aca="false">INDEX(Summary!$F$2:$F$201,MATCH($B3944,Summary!$A$2:$A$201,0))</f>
        <v>20</v>
      </c>
      <c r="M3944" s="0" t="n">
        <f aca="false">INDEX(Summary!$I$2:$I$201,MATCH($B3944,Summary!$A$2:$A$201,0))</f>
        <v>2</v>
      </c>
      <c r="N3944" s="0" t="n">
        <f aca="false">INDEX(Summary!$J$2:$J$201,MATCH($B3944,Summary!$A$2:$A$201,0))</f>
        <v>3</v>
      </c>
      <c r="O3944" s="2" t="n">
        <f aca="false">INDEX(Summary!$K$2:$K$201,MATCH($B3944,Summary!$A$2:$A$201,0))</f>
        <v>10.39</v>
      </c>
      <c r="P3944" s="3" t="n">
        <f aca="false">INDEX(Summary!$L$2:$L$201,MATCH($B3944,Summary!$A$2:$A$201,0))</f>
        <v>2</v>
      </c>
      <c r="Q3944" s="3" t="n">
        <f aca="false">INDEX(Summary!$M$2:$M$201,MATCH($B3944,Summary!$A$2:$A$201,0))</f>
        <v>4</v>
      </c>
      <c r="R3944" s="2" t="n">
        <f aca="false">INDEX(Summary!$N$2:$N$201,MATCH($B3944,Summary!$A$2:$A$201,0))</f>
        <v>11.22</v>
      </c>
      <c r="S3944" s="3" t="n">
        <f aca="false">INDEX(Summary!$O$2:$O$201,MATCH($B3944,Summary!$A$2:$A$201,0))</f>
        <v>7</v>
      </c>
      <c r="T3944" s="3" t="n">
        <f aca="false">INDEX(Summary!$P$2:$P$201,MATCH($B3944,Summary!$A$2:$A$201,0))</f>
        <v>2</v>
      </c>
      <c r="U3944" s="2" t="n">
        <f aca="false">INDEX(Summary!$Q$2:$Q$201,MATCH($B3944,Summary!$A$2:$A$201,0))</f>
        <v>15.21</v>
      </c>
      <c r="V3944" s="2" t="n">
        <f aca="false">INDEX(Summary!$R$2:$R$201,MATCH($B3944,Summary!$A$2:$A$201,0))</f>
        <v>17.47</v>
      </c>
      <c r="W3944" s="0" t="str">
        <f aca="false">INDEX(Summary!$S$2:$S$201,MATCH($B3944,Summary!$A$2:$A$201,0))</f>
        <v>Bronze</v>
      </c>
      <c r="X3944" s="2" t="n">
        <f aca="false">INDEX(Summary!$T$2:$T$201,MATCH($B3944,Summary!$A$2:$A$201,0))</f>
        <v>42.61</v>
      </c>
      <c r="Y3944" s="0" t="str">
        <f aca="false">INDEX('Reward Model'!$E$18:$E$37,MATCH($E3944,'Reward Model'!$A$18:$A$37,0))</f>
        <v>Medium</v>
      </c>
      <c r="Z3944" s="4" t="n">
        <f aca="false">ROUND(MIN(1,MAX('Reward Model'!$B$2,INDEX('Reward Model'!$C$12:$C$14,MATCH($K3944,'Reward Model'!$A$12:$A$14,0))/$J3944)),3)</f>
        <v>0.943</v>
      </c>
      <c r="AA3944" s="2" t="n">
        <f aca="false">IF($I3944="Correct",ROUND(INDEX('Reward Model'!$B$12:$B$14,MATCH($K3944,'Reward Model'!$A$12:$A$14,0))*Z3944,2),0)</f>
        <v>0.94</v>
      </c>
      <c r="AB3944" s="2" t="n">
        <f aca="false">IF($I3944="Correct",ROUND(INDEX('Reward Model'!$B$12:$B$14,MATCH($Y3944,'Reward Model'!$A$12:$A$14,0))*Z3944,2),0)</f>
        <v>1.89</v>
      </c>
    </row>
    <row r="3945" customFormat="false" ht="15" hidden="false" customHeight="false" outlineLevel="0" collapsed="false">
      <c r="A3945" s="0" t="s">
        <v>526</v>
      </c>
      <c r="B3945" s="0" t="s">
        <v>527</v>
      </c>
      <c r="C3945" s="0" t="s">
        <v>322</v>
      </c>
      <c r="D3945" s="0" t="s">
        <v>275</v>
      </c>
      <c r="E3945" s="0" t="n">
        <v>4</v>
      </c>
      <c r="F3945" s="0" t="s">
        <v>43</v>
      </c>
      <c r="G3945" s="0" t="s">
        <v>45</v>
      </c>
      <c r="H3945" s="0" t="s">
        <v>45</v>
      </c>
      <c r="I3945" s="0" t="s">
        <v>34</v>
      </c>
      <c r="J3945" s="0" t="n">
        <v>1.92</v>
      </c>
      <c r="K3945" s="0" t="s">
        <v>35</v>
      </c>
      <c r="L3945" s="0" t="n">
        <f aca="false">INDEX(Summary!$F$2:$F$201,MATCH($B3945,Summary!$A$2:$A$201,0))</f>
        <v>20</v>
      </c>
      <c r="M3945" s="0" t="n">
        <f aca="false">INDEX(Summary!$I$2:$I$201,MATCH($B3945,Summary!$A$2:$A$201,0))</f>
        <v>2</v>
      </c>
      <c r="N3945" s="0" t="n">
        <f aca="false">INDEX(Summary!$J$2:$J$201,MATCH($B3945,Summary!$A$2:$A$201,0))</f>
        <v>3</v>
      </c>
      <c r="O3945" s="2" t="n">
        <f aca="false">INDEX(Summary!$K$2:$K$201,MATCH($B3945,Summary!$A$2:$A$201,0))</f>
        <v>10.39</v>
      </c>
      <c r="P3945" s="3" t="n">
        <f aca="false">INDEX(Summary!$L$2:$L$201,MATCH($B3945,Summary!$A$2:$A$201,0))</f>
        <v>2</v>
      </c>
      <c r="Q3945" s="3" t="n">
        <f aca="false">INDEX(Summary!$M$2:$M$201,MATCH($B3945,Summary!$A$2:$A$201,0))</f>
        <v>4</v>
      </c>
      <c r="R3945" s="2" t="n">
        <f aca="false">INDEX(Summary!$N$2:$N$201,MATCH($B3945,Summary!$A$2:$A$201,0))</f>
        <v>11.22</v>
      </c>
      <c r="S3945" s="3" t="n">
        <f aca="false">INDEX(Summary!$O$2:$O$201,MATCH($B3945,Summary!$A$2:$A$201,0))</f>
        <v>7</v>
      </c>
      <c r="T3945" s="3" t="n">
        <f aca="false">INDEX(Summary!$P$2:$P$201,MATCH($B3945,Summary!$A$2:$A$201,0))</f>
        <v>2</v>
      </c>
      <c r="U3945" s="2" t="n">
        <f aca="false">INDEX(Summary!$Q$2:$Q$201,MATCH($B3945,Summary!$A$2:$A$201,0))</f>
        <v>15.21</v>
      </c>
      <c r="V3945" s="2" t="n">
        <f aca="false">INDEX(Summary!$R$2:$R$201,MATCH($B3945,Summary!$A$2:$A$201,0))</f>
        <v>17.47</v>
      </c>
      <c r="W3945" s="0" t="str">
        <f aca="false">INDEX(Summary!$S$2:$S$201,MATCH($B3945,Summary!$A$2:$A$201,0))</f>
        <v>Bronze</v>
      </c>
      <c r="X3945" s="2" t="n">
        <f aca="false">INDEX(Summary!$T$2:$T$201,MATCH($B3945,Summary!$A$2:$A$201,0))</f>
        <v>42.61</v>
      </c>
      <c r="Y3945" s="0" t="str">
        <f aca="false">INDEX('Reward Model'!$E$18:$E$37,MATCH($E3945,'Reward Model'!$A$18:$A$37,0))</f>
        <v>Low</v>
      </c>
      <c r="Z3945" s="4" t="n">
        <f aca="false">ROUND(MIN(1,MAX('Reward Model'!$B$2,INDEX('Reward Model'!$C$12:$C$14,MATCH($K3945,'Reward Model'!$A$12:$A$14,0))/$J3945)),3)</f>
        <v>0.781</v>
      </c>
      <c r="AA3945" s="2" t="n">
        <f aca="false">IF($I3945="Correct",ROUND(INDEX('Reward Model'!$B$12:$B$14,MATCH($K3945,'Reward Model'!$A$12:$A$14,0))*Z3945,2),0)</f>
        <v>0.78</v>
      </c>
      <c r="AB3945" s="2" t="n">
        <f aca="false">IF($I3945="Correct",ROUND(INDEX('Reward Model'!$B$12:$B$14,MATCH($Y3945,'Reward Model'!$A$12:$A$14,0))*Z3945,2),0)</f>
        <v>0.78</v>
      </c>
    </row>
    <row r="3946" customFormat="false" ht="15" hidden="false" customHeight="false" outlineLevel="0" collapsed="false">
      <c r="A3946" s="0" t="s">
        <v>526</v>
      </c>
      <c r="B3946" s="0" t="s">
        <v>527</v>
      </c>
      <c r="C3946" s="0" t="s">
        <v>322</v>
      </c>
      <c r="D3946" s="0" t="s">
        <v>275</v>
      </c>
      <c r="E3946" s="0" t="n">
        <v>5</v>
      </c>
      <c r="F3946" s="0" t="s">
        <v>46</v>
      </c>
      <c r="G3946" s="0" t="s">
        <v>47</v>
      </c>
      <c r="H3946" s="0" t="s">
        <v>47</v>
      </c>
      <c r="I3946" s="0" t="s">
        <v>34</v>
      </c>
      <c r="J3946" s="0" t="n">
        <v>1.4</v>
      </c>
      <c r="K3946" s="0" t="s">
        <v>35</v>
      </c>
      <c r="L3946" s="0" t="n">
        <f aca="false">INDEX(Summary!$F$2:$F$201,MATCH($B3946,Summary!$A$2:$A$201,0))</f>
        <v>20</v>
      </c>
      <c r="M3946" s="0" t="n">
        <f aca="false">INDEX(Summary!$I$2:$I$201,MATCH($B3946,Summary!$A$2:$A$201,0))</f>
        <v>2</v>
      </c>
      <c r="N3946" s="0" t="n">
        <f aca="false">INDEX(Summary!$J$2:$J$201,MATCH($B3946,Summary!$A$2:$A$201,0))</f>
        <v>3</v>
      </c>
      <c r="O3946" s="2" t="n">
        <f aca="false">INDEX(Summary!$K$2:$K$201,MATCH($B3946,Summary!$A$2:$A$201,0))</f>
        <v>10.39</v>
      </c>
      <c r="P3946" s="3" t="n">
        <f aca="false">INDEX(Summary!$L$2:$L$201,MATCH($B3946,Summary!$A$2:$A$201,0))</f>
        <v>2</v>
      </c>
      <c r="Q3946" s="3" t="n">
        <f aca="false">INDEX(Summary!$M$2:$M$201,MATCH($B3946,Summary!$A$2:$A$201,0))</f>
        <v>4</v>
      </c>
      <c r="R3946" s="2" t="n">
        <f aca="false">INDEX(Summary!$N$2:$N$201,MATCH($B3946,Summary!$A$2:$A$201,0))</f>
        <v>11.22</v>
      </c>
      <c r="S3946" s="3" t="n">
        <f aca="false">INDEX(Summary!$O$2:$O$201,MATCH($B3946,Summary!$A$2:$A$201,0))</f>
        <v>7</v>
      </c>
      <c r="T3946" s="3" t="n">
        <f aca="false">INDEX(Summary!$P$2:$P$201,MATCH($B3946,Summary!$A$2:$A$201,0))</f>
        <v>2</v>
      </c>
      <c r="U3946" s="2" t="n">
        <f aca="false">INDEX(Summary!$Q$2:$Q$201,MATCH($B3946,Summary!$A$2:$A$201,0))</f>
        <v>15.21</v>
      </c>
      <c r="V3946" s="2" t="n">
        <f aca="false">INDEX(Summary!$R$2:$R$201,MATCH($B3946,Summary!$A$2:$A$201,0))</f>
        <v>17.47</v>
      </c>
      <c r="W3946" s="0" t="str">
        <f aca="false">INDEX(Summary!$S$2:$S$201,MATCH($B3946,Summary!$A$2:$A$201,0))</f>
        <v>Bronze</v>
      </c>
      <c r="X3946" s="2" t="n">
        <f aca="false">INDEX(Summary!$T$2:$T$201,MATCH($B3946,Summary!$A$2:$A$201,0))</f>
        <v>42.61</v>
      </c>
      <c r="Y3946" s="0" t="str">
        <f aca="false">INDEX('Reward Model'!$E$18:$E$37,MATCH($E3946,'Reward Model'!$A$18:$A$37,0))</f>
        <v>Low</v>
      </c>
      <c r="Z3946" s="4" t="n">
        <f aca="false">ROUND(MIN(1,MAX('Reward Model'!$B$2,INDEX('Reward Model'!$C$12:$C$14,MATCH($K3946,'Reward Model'!$A$12:$A$14,0))/$J3946)),3)</f>
        <v>1</v>
      </c>
      <c r="AA3946" s="2" t="n">
        <f aca="false">IF($I3946="Correct",ROUND(INDEX('Reward Model'!$B$12:$B$14,MATCH($K3946,'Reward Model'!$A$12:$A$14,0))*Z3946,2),0)</f>
        <v>1</v>
      </c>
      <c r="AB3946" s="2" t="n">
        <f aca="false">IF($I3946="Correct",ROUND(INDEX('Reward Model'!$B$12:$B$14,MATCH($Y3946,'Reward Model'!$A$12:$A$14,0))*Z3946,2),0)</f>
        <v>1</v>
      </c>
    </row>
    <row r="3947" customFormat="false" ht="15" hidden="false" customHeight="false" outlineLevel="0" collapsed="false">
      <c r="A3947" s="0" t="s">
        <v>526</v>
      </c>
      <c r="B3947" s="0" t="s">
        <v>527</v>
      </c>
      <c r="C3947" s="0" t="s">
        <v>322</v>
      </c>
      <c r="D3947" s="0" t="s">
        <v>275</v>
      </c>
      <c r="E3947" s="0" t="n">
        <v>6</v>
      </c>
      <c r="F3947" s="0" t="s">
        <v>48</v>
      </c>
      <c r="G3947" s="0" t="s">
        <v>49</v>
      </c>
      <c r="H3947" s="0" t="s">
        <v>49</v>
      </c>
      <c r="I3947" s="0" t="s">
        <v>34</v>
      </c>
      <c r="J3947" s="0" t="n">
        <v>1.95</v>
      </c>
      <c r="K3947" s="0" t="s">
        <v>35</v>
      </c>
      <c r="L3947" s="0" t="n">
        <f aca="false">INDEX(Summary!$F$2:$F$201,MATCH($B3947,Summary!$A$2:$A$201,0))</f>
        <v>20</v>
      </c>
      <c r="M3947" s="0" t="n">
        <f aca="false">INDEX(Summary!$I$2:$I$201,MATCH($B3947,Summary!$A$2:$A$201,0))</f>
        <v>2</v>
      </c>
      <c r="N3947" s="0" t="n">
        <f aca="false">INDEX(Summary!$J$2:$J$201,MATCH($B3947,Summary!$A$2:$A$201,0))</f>
        <v>3</v>
      </c>
      <c r="O3947" s="2" t="n">
        <f aca="false">INDEX(Summary!$K$2:$K$201,MATCH($B3947,Summary!$A$2:$A$201,0))</f>
        <v>10.39</v>
      </c>
      <c r="P3947" s="3" t="n">
        <f aca="false">INDEX(Summary!$L$2:$L$201,MATCH($B3947,Summary!$A$2:$A$201,0))</f>
        <v>2</v>
      </c>
      <c r="Q3947" s="3" t="n">
        <f aca="false">INDEX(Summary!$M$2:$M$201,MATCH($B3947,Summary!$A$2:$A$201,0))</f>
        <v>4</v>
      </c>
      <c r="R3947" s="2" t="n">
        <f aca="false">INDEX(Summary!$N$2:$N$201,MATCH($B3947,Summary!$A$2:$A$201,0))</f>
        <v>11.22</v>
      </c>
      <c r="S3947" s="3" t="n">
        <f aca="false">INDEX(Summary!$O$2:$O$201,MATCH($B3947,Summary!$A$2:$A$201,0))</f>
        <v>7</v>
      </c>
      <c r="T3947" s="3" t="n">
        <f aca="false">INDEX(Summary!$P$2:$P$201,MATCH($B3947,Summary!$A$2:$A$201,0))</f>
        <v>2</v>
      </c>
      <c r="U3947" s="2" t="n">
        <f aca="false">INDEX(Summary!$Q$2:$Q$201,MATCH($B3947,Summary!$A$2:$A$201,0))</f>
        <v>15.21</v>
      </c>
      <c r="V3947" s="2" t="n">
        <f aca="false">INDEX(Summary!$R$2:$R$201,MATCH($B3947,Summary!$A$2:$A$201,0))</f>
        <v>17.47</v>
      </c>
      <c r="W3947" s="0" t="str">
        <f aca="false">INDEX(Summary!$S$2:$S$201,MATCH($B3947,Summary!$A$2:$A$201,0))</f>
        <v>Bronze</v>
      </c>
      <c r="X3947" s="2" t="n">
        <f aca="false">INDEX(Summary!$T$2:$T$201,MATCH($B3947,Summary!$A$2:$A$201,0))</f>
        <v>42.61</v>
      </c>
      <c r="Y3947" s="0" t="str">
        <f aca="false">INDEX('Reward Model'!$E$18:$E$37,MATCH($E3947,'Reward Model'!$A$18:$A$37,0))</f>
        <v>Medium</v>
      </c>
      <c r="Z3947" s="4" t="n">
        <f aca="false">ROUND(MIN(1,MAX('Reward Model'!$B$2,INDEX('Reward Model'!$C$12:$C$14,MATCH($K3947,'Reward Model'!$A$12:$A$14,0))/$J3947)),3)</f>
        <v>0.769</v>
      </c>
      <c r="AA3947" s="2" t="n">
        <f aca="false">IF($I3947="Correct",ROUND(INDEX('Reward Model'!$B$12:$B$14,MATCH($K3947,'Reward Model'!$A$12:$A$14,0))*Z3947,2),0)</f>
        <v>0.77</v>
      </c>
      <c r="AB3947" s="2" t="n">
        <f aca="false">IF($I3947="Correct",ROUND(INDEX('Reward Model'!$B$12:$B$14,MATCH($Y3947,'Reward Model'!$A$12:$A$14,0))*Z3947,2),0)</f>
        <v>1.54</v>
      </c>
    </row>
    <row r="3948" customFormat="false" ht="15" hidden="false" customHeight="false" outlineLevel="0" collapsed="false">
      <c r="A3948" s="0" t="s">
        <v>526</v>
      </c>
      <c r="B3948" s="0" t="s">
        <v>527</v>
      </c>
      <c r="C3948" s="0" t="s">
        <v>322</v>
      </c>
      <c r="D3948" s="0" t="s">
        <v>275</v>
      </c>
      <c r="E3948" s="0" t="n">
        <v>7</v>
      </c>
      <c r="F3948" s="0" t="s">
        <v>50</v>
      </c>
      <c r="G3948" s="0" t="s">
        <v>51</v>
      </c>
      <c r="H3948" s="0" t="s">
        <v>51</v>
      </c>
      <c r="I3948" s="0" t="s">
        <v>34</v>
      </c>
      <c r="J3948" s="0" t="n">
        <v>1.33</v>
      </c>
      <c r="K3948" s="0" t="s">
        <v>35</v>
      </c>
      <c r="L3948" s="0" t="n">
        <f aca="false">INDEX(Summary!$F$2:$F$201,MATCH($B3948,Summary!$A$2:$A$201,0))</f>
        <v>20</v>
      </c>
      <c r="M3948" s="0" t="n">
        <f aca="false">INDEX(Summary!$I$2:$I$201,MATCH($B3948,Summary!$A$2:$A$201,0))</f>
        <v>2</v>
      </c>
      <c r="N3948" s="0" t="n">
        <f aca="false">INDEX(Summary!$J$2:$J$201,MATCH($B3948,Summary!$A$2:$A$201,0))</f>
        <v>3</v>
      </c>
      <c r="O3948" s="2" t="n">
        <f aca="false">INDEX(Summary!$K$2:$K$201,MATCH($B3948,Summary!$A$2:$A$201,0))</f>
        <v>10.39</v>
      </c>
      <c r="P3948" s="3" t="n">
        <f aca="false">INDEX(Summary!$L$2:$L$201,MATCH($B3948,Summary!$A$2:$A$201,0))</f>
        <v>2</v>
      </c>
      <c r="Q3948" s="3" t="n">
        <f aca="false">INDEX(Summary!$M$2:$M$201,MATCH($B3948,Summary!$A$2:$A$201,0))</f>
        <v>4</v>
      </c>
      <c r="R3948" s="2" t="n">
        <f aca="false">INDEX(Summary!$N$2:$N$201,MATCH($B3948,Summary!$A$2:$A$201,0))</f>
        <v>11.22</v>
      </c>
      <c r="S3948" s="3" t="n">
        <f aca="false">INDEX(Summary!$O$2:$O$201,MATCH($B3948,Summary!$A$2:$A$201,0))</f>
        <v>7</v>
      </c>
      <c r="T3948" s="3" t="n">
        <f aca="false">INDEX(Summary!$P$2:$P$201,MATCH($B3948,Summary!$A$2:$A$201,0))</f>
        <v>2</v>
      </c>
      <c r="U3948" s="2" t="n">
        <f aca="false">INDEX(Summary!$Q$2:$Q$201,MATCH($B3948,Summary!$A$2:$A$201,0))</f>
        <v>15.21</v>
      </c>
      <c r="V3948" s="2" t="n">
        <f aca="false">INDEX(Summary!$R$2:$R$201,MATCH($B3948,Summary!$A$2:$A$201,0))</f>
        <v>17.47</v>
      </c>
      <c r="W3948" s="0" t="str">
        <f aca="false">INDEX(Summary!$S$2:$S$201,MATCH($B3948,Summary!$A$2:$A$201,0))</f>
        <v>Bronze</v>
      </c>
      <c r="X3948" s="2" t="n">
        <f aca="false">INDEX(Summary!$T$2:$T$201,MATCH($B3948,Summary!$A$2:$A$201,0))</f>
        <v>42.61</v>
      </c>
      <c r="Y3948" s="0" t="str">
        <f aca="false">INDEX('Reward Model'!$E$18:$E$37,MATCH($E3948,'Reward Model'!$A$18:$A$37,0))</f>
        <v>Low</v>
      </c>
      <c r="Z3948" s="4" t="n">
        <f aca="false">ROUND(MIN(1,MAX('Reward Model'!$B$2,INDEX('Reward Model'!$C$12:$C$14,MATCH($K3948,'Reward Model'!$A$12:$A$14,0))/$J3948)),3)</f>
        <v>1</v>
      </c>
      <c r="AA3948" s="2" t="n">
        <f aca="false">IF($I3948="Correct",ROUND(INDEX('Reward Model'!$B$12:$B$14,MATCH($K3948,'Reward Model'!$A$12:$A$14,0))*Z3948,2),0)</f>
        <v>1</v>
      </c>
      <c r="AB3948" s="2" t="n">
        <f aca="false">IF($I3948="Correct",ROUND(INDEX('Reward Model'!$B$12:$B$14,MATCH($Y3948,'Reward Model'!$A$12:$A$14,0))*Z3948,2),0)</f>
        <v>1</v>
      </c>
    </row>
    <row r="3949" customFormat="false" ht="15" hidden="false" customHeight="false" outlineLevel="0" collapsed="false">
      <c r="A3949" s="0" t="s">
        <v>526</v>
      </c>
      <c r="B3949" s="0" t="s">
        <v>527</v>
      </c>
      <c r="C3949" s="0" t="s">
        <v>322</v>
      </c>
      <c r="D3949" s="0" t="s">
        <v>275</v>
      </c>
      <c r="E3949" s="0" t="n">
        <v>8</v>
      </c>
      <c r="F3949" s="0" t="s">
        <v>52</v>
      </c>
      <c r="G3949" s="0" t="s">
        <v>53</v>
      </c>
      <c r="H3949" s="0" t="s">
        <v>54</v>
      </c>
      <c r="I3949" s="0" t="s">
        <v>39</v>
      </c>
      <c r="J3949" s="0" t="n">
        <v>1.63</v>
      </c>
      <c r="K3949" s="0" t="s">
        <v>35</v>
      </c>
      <c r="L3949" s="0" t="n">
        <f aca="false">INDEX(Summary!$F$2:$F$201,MATCH($B3949,Summary!$A$2:$A$201,0))</f>
        <v>20</v>
      </c>
      <c r="M3949" s="0" t="n">
        <f aca="false">INDEX(Summary!$I$2:$I$201,MATCH($B3949,Summary!$A$2:$A$201,0))</f>
        <v>2</v>
      </c>
      <c r="N3949" s="0" t="n">
        <f aca="false">INDEX(Summary!$J$2:$J$201,MATCH($B3949,Summary!$A$2:$A$201,0))</f>
        <v>3</v>
      </c>
      <c r="O3949" s="2" t="n">
        <f aca="false">INDEX(Summary!$K$2:$K$201,MATCH($B3949,Summary!$A$2:$A$201,0))</f>
        <v>10.39</v>
      </c>
      <c r="P3949" s="3" t="n">
        <f aca="false">INDEX(Summary!$L$2:$L$201,MATCH($B3949,Summary!$A$2:$A$201,0))</f>
        <v>2</v>
      </c>
      <c r="Q3949" s="3" t="n">
        <f aca="false">INDEX(Summary!$M$2:$M$201,MATCH($B3949,Summary!$A$2:$A$201,0))</f>
        <v>4</v>
      </c>
      <c r="R3949" s="2" t="n">
        <f aca="false">INDEX(Summary!$N$2:$N$201,MATCH($B3949,Summary!$A$2:$A$201,0))</f>
        <v>11.22</v>
      </c>
      <c r="S3949" s="3" t="n">
        <f aca="false">INDEX(Summary!$O$2:$O$201,MATCH($B3949,Summary!$A$2:$A$201,0))</f>
        <v>7</v>
      </c>
      <c r="T3949" s="3" t="n">
        <f aca="false">INDEX(Summary!$P$2:$P$201,MATCH($B3949,Summary!$A$2:$A$201,0))</f>
        <v>2</v>
      </c>
      <c r="U3949" s="2" t="n">
        <f aca="false">INDEX(Summary!$Q$2:$Q$201,MATCH($B3949,Summary!$A$2:$A$201,0))</f>
        <v>15.21</v>
      </c>
      <c r="V3949" s="2" t="n">
        <f aca="false">INDEX(Summary!$R$2:$R$201,MATCH($B3949,Summary!$A$2:$A$201,0))</f>
        <v>17.47</v>
      </c>
      <c r="W3949" s="0" t="str">
        <f aca="false">INDEX(Summary!$S$2:$S$201,MATCH($B3949,Summary!$A$2:$A$201,0))</f>
        <v>Bronze</v>
      </c>
      <c r="X3949" s="2" t="n">
        <f aca="false">INDEX(Summary!$T$2:$T$201,MATCH($B3949,Summary!$A$2:$A$201,0))</f>
        <v>42.61</v>
      </c>
      <c r="Y3949" s="0" t="str">
        <f aca="false">INDEX('Reward Model'!$E$18:$E$37,MATCH($E3949,'Reward Model'!$A$18:$A$37,0))</f>
        <v>Medium</v>
      </c>
      <c r="Z3949" s="4" t="n">
        <f aca="false">ROUND(MIN(1,MAX('Reward Model'!$B$2,INDEX('Reward Model'!$C$12:$C$14,MATCH($K3949,'Reward Model'!$A$12:$A$14,0))/$J3949)),3)</f>
        <v>0.92</v>
      </c>
      <c r="AA3949" s="2" t="n">
        <f aca="false">IF($I3949="Correct",ROUND(INDEX('Reward Model'!$B$12:$B$14,MATCH($K3949,'Reward Model'!$A$12:$A$14,0))*Z3949,2),0)</f>
        <v>0</v>
      </c>
      <c r="AB3949" s="2" t="n">
        <f aca="false">IF($I3949="Correct",ROUND(INDEX('Reward Model'!$B$12:$B$14,MATCH($Y3949,'Reward Model'!$A$12:$A$14,0))*Z3949,2),0)</f>
        <v>0</v>
      </c>
    </row>
    <row r="3950" customFormat="false" ht="15" hidden="false" customHeight="false" outlineLevel="0" collapsed="false">
      <c r="A3950" s="0" t="s">
        <v>526</v>
      </c>
      <c r="B3950" s="0" t="s">
        <v>527</v>
      </c>
      <c r="C3950" s="0" t="s">
        <v>322</v>
      </c>
      <c r="D3950" s="0" t="s">
        <v>275</v>
      </c>
      <c r="E3950" s="0" t="n">
        <v>9</v>
      </c>
      <c r="F3950" s="0" t="s">
        <v>55</v>
      </c>
      <c r="G3950" s="0" t="s">
        <v>341</v>
      </c>
      <c r="H3950" s="0" t="s">
        <v>57</v>
      </c>
      <c r="I3950" s="0" t="s">
        <v>39</v>
      </c>
      <c r="J3950" s="0" t="n">
        <v>1.81</v>
      </c>
      <c r="K3950" s="0" t="s">
        <v>35</v>
      </c>
      <c r="L3950" s="0" t="n">
        <f aca="false">INDEX(Summary!$F$2:$F$201,MATCH($B3950,Summary!$A$2:$A$201,0))</f>
        <v>20</v>
      </c>
      <c r="M3950" s="0" t="n">
        <f aca="false">INDEX(Summary!$I$2:$I$201,MATCH($B3950,Summary!$A$2:$A$201,0))</f>
        <v>2</v>
      </c>
      <c r="N3950" s="0" t="n">
        <f aca="false">INDEX(Summary!$J$2:$J$201,MATCH($B3950,Summary!$A$2:$A$201,0))</f>
        <v>3</v>
      </c>
      <c r="O3950" s="2" t="n">
        <f aca="false">INDEX(Summary!$K$2:$K$201,MATCH($B3950,Summary!$A$2:$A$201,0))</f>
        <v>10.39</v>
      </c>
      <c r="P3950" s="3" t="n">
        <f aca="false">INDEX(Summary!$L$2:$L$201,MATCH($B3950,Summary!$A$2:$A$201,0))</f>
        <v>2</v>
      </c>
      <c r="Q3950" s="3" t="n">
        <f aca="false">INDEX(Summary!$M$2:$M$201,MATCH($B3950,Summary!$A$2:$A$201,0))</f>
        <v>4</v>
      </c>
      <c r="R3950" s="2" t="n">
        <f aca="false">INDEX(Summary!$N$2:$N$201,MATCH($B3950,Summary!$A$2:$A$201,0))</f>
        <v>11.22</v>
      </c>
      <c r="S3950" s="3" t="n">
        <f aca="false">INDEX(Summary!$O$2:$O$201,MATCH($B3950,Summary!$A$2:$A$201,0))</f>
        <v>7</v>
      </c>
      <c r="T3950" s="3" t="n">
        <f aca="false">INDEX(Summary!$P$2:$P$201,MATCH($B3950,Summary!$A$2:$A$201,0))</f>
        <v>2</v>
      </c>
      <c r="U3950" s="2" t="n">
        <f aca="false">INDEX(Summary!$Q$2:$Q$201,MATCH($B3950,Summary!$A$2:$A$201,0))</f>
        <v>15.21</v>
      </c>
      <c r="V3950" s="2" t="n">
        <f aca="false">INDEX(Summary!$R$2:$R$201,MATCH($B3950,Summary!$A$2:$A$201,0))</f>
        <v>17.47</v>
      </c>
      <c r="W3950" s="0" t="str">
        <f aca="false">INDEX(Summary!$S$2:$S$201,MATCH($B3950,Summary!$A$2:$A$201,0))</f>
        <v>Bronze</v>
      </c>
      <c r="X3950" s="2" t="n">
        <f aca="false">INDEX(Summary!$T$2:$T$201,MATCH($B3950,Summary!$A$2:$A$201,0))</f>
        <v>42.61</v>
      </c>
      <c r="Y3950" s="0" t="str">
        <f aca="false">INDEX('Reward Model'!$E$18:$E$37,MATCH($E3950,'Reward Model'!$A$18:$A$37,0))</f>
        <v>Medium</v>
      </c>
      <c r="Z3950" s="4" t="n">
        <f aca="false">ROUND(MIN(1,MAX('Reward Model'!$B$2,INDEX('Reward Model'!$C$12:$C$14,MATCH($K3950,'Reward Model'!$A$12:$A$14,0))/$J3950)),3)</f>
        <v>0.829</v>
      </c>
      <c r="AA3950" s="2" t="n">
        <f aca="false">IF($I3950="Correct",ROUND(INDEX('Reward Model'!$B$12:$B$14,MATCH($K3950,'Reward Model'!$A$12:$A$14,0))*Z3950,2),0)</f>
        <v>0</v>
      </c>
      <c r="AB3950" s="2" t="n">
        <f aca="false">IF($I3950="Correct",ROUND(INDEX('Reward Model'!$B$12:$B$14,MATCH($Y3950,'Reward Model'!$A$12:$A$14,0))*Z3950,2),0)</f>
        <v>0</v>
      </c>
    </row>
    <row r="3951" customFormat="false" ht="15" hidden="false" customHeight="false" outlineLevel="0" collapsed="false">
      <c r="A3951" s="0" t="s">
        <v>526</v>
      </c>
      <c r="B3951" s="0" t="s">
        <v>527</v>
      </c>
      <c r="C3951" s="0" t="s">
        <v>322</v>
      </c>
      <c r="D3951" s="0" t="s">
        <v>275</v>
      </c>
      <c r="E3951" s="0" t="n">
        <v>10</v>
      </c>
      <c r="F3951" s="0" t="s">
        <v>58</v>
      </c>
      <c r="G3951" s="0" t="s">
        <v>99</v>
      </c>
      <c r="H3951" s="0" t="s">
        <v>59</v>
      </c>
      <c r="I3951" s="0" t="s">
        <v>39</v>
      </c>
      <c r="J3951" s="0" t="n">
        <v>2.07</v>
      </c>
      <c r="K3951" s="0" t="s">
        <v>60</v>
      </c>
      <c r="L3951" s="0" t="n">
        <f aca="false">INDEX(Summary!$F$2:$F$201,MATCH($B3951,Summary!$A$2:$A$201,0))</f>
        <v>20</v>
      </c>
      <c r="M3951" s="0" t="n">
        <f aca="false">INDEX(Summary!$I$2:$I$201,MATCH($B3951,Summary!$A$2:$A$201,0))</f>
        <v>2</v>
      </c>
      <c r="N3951" s="0" t="n">
        <f aca="false">INDEX(Summary!$J$2:$J$201,MATCH($B3951,Summary!$A$2:$A$201,0))</f>
        <v>3</v>
      </c>
      <c r="O3951" s="2" t="n">
        <f aca="false">INDEX(Summary!$K$2:$K$201,MATCH($B3951,Summary!$A$2:$A$201,0))</f>
        <v>10.39</v>
      </c>
      <c r="P3951" s="3" t="n">
        <f aca="false">INDEX(Summary!$L$2:$L$201,MATCH($B3951,Summary!$A$2:$A$201,0))</f>
        <v>2</v>
      </c>
      <c r="Q3951" s="3" t="n">
        <f aca="false">INDEX(Summary!$M$2:$M$201,MATCH($B3951,Summary!$A$2:$A$201,0))</f>
        <v>4</v>
      </c>
      <c r="R3951" s="2" t="n">
        <f aca="false">INDEX(Summary!$N$2:$N$201,MATCH($B3951,Summary!$A$2:$A$201,0))</f>
        <v>11.22</v>
      </c>
      <c r="S3951" s="3" t="n">
        <f aca="false">INDEX(Summary!$O$2:$O$201,MATCH($B3951,Summary!$A$2:$A$201,0))</f>
        <v>7</v>
      </c>
      <c r="T3951" s="3" t="n">
        <f aca="false">INDEX(Summary!$P$2:$P$201,MATCH($B3951,Summary!$A$2:$A$201,0))</f>
        <v>2</v>
      </c>
      <c r="U3951" s="2" t="n">
        <f aca="false">INDEX(Summary!$Q$2:$Q$201,MATCH($B3951,Summary!$A$2:$A$201,0))</f>
        <v>15.21</v>
      </c>
      <c r="V3951" s="2" t="n">
        <f aca="false">INDEX(Summary!$R$2:$R$201,MATCH($B3951,Summary!$A$2:$A$201,0))</f>
        <v>17.47</v>
      </c>
      <c r="W3951" s="0" t="str">
        <f aca="false">INDEX(Summary!$S$2:$S$201,MATCH($B3951,Summary!$A$2:$A$201,0))</f>
        <v>Bronze</v>
      </c>
      <c r="X3951" s="2" t="n">
        <f aca="false">INDEX(Summary!$T$2:$T$201,MATCH($B3951,Summary!$A$2:$A$201,0))</f>
        <v>42.61</v>
      </c>
      <c r="Y3951" s="0" t="str">
        <f aca="false">INDEX('Reward Model'!$E$18:$E$37,MATCH($E3951,'Reward Model'!$A$18:$A$37,0))</f>
        <v>Medium</v>
      </c>
      <c r="Z3951" s="4" t="n">
        <f aca="false">ROUND(MIN(1,MAX('Reward Model'!$B$2,INDEX('Reward Model'!$C$12:$C$14,MATCH($K3951,'Reward Model'!$A$12:$A$14,0))/$J3951)),3)</f>
        <v>0.87</v>
      </c>
      <c r="AA3951" s="2" t="n">
        <f aca="false">IF($I3951="Correct",ROUND(INDEX('Reward Model'!$B$12:$B$14,MATCH($K3951,'Reward Model'!$A$12:$A$14,0))*Z3951,2),0)</f>
        <v>0</v>
      </c>
      <c r="AB3951" s="2" t="n">
        <f aca="false">IF($I3951="Correct",ROUND(INDEX('Reward Model'!$B$12:$B$14,MATCH($Y3951,'Reward Model'!$A$12:$A$14,0))*Z3951,2),0)</f>
        <v>0</v>
      </c>
    </row>
    <row r="3952" customFormat="false" ht="15" hidden="false" customHeight="false" outlineLevel="0" collapsed="false">
      <c r="A3952" s="0" t="s">
        <v>526</v>
      </c>
      <c r="B3952" s="0" t="s">
        <v>527</v>
      </c>
      <c r="C3952" s="0" t="s">
        <v>322</v>
      </c>
      <c r="D3952" s="0" t="s">
        <v>275</v>
      </c>
      <c r="E3952" s="0" t="n">
        <v>11</v>
      </c>
      <c r="F3952" s="0" t="s">
        <v>61</v>
      </c>
      <c r="G3952" s="0" t="s">
        <v>63</v>
      </c>
      <c r="H3952" s="0" t="s">
        <v>63</v>
      </c>
      <c r="I3952" s="0" t="s">
        <v>34</v>
      </c>
      <c r="J3952" s="0" t="n">
        <v>2.16</v>
      </c>
      <c r="K3952" s="0" t="s">
        <v>60</v>
      </c>
      <c r="L3952" s="0" t="n">
        <f aca="false">INDEX(Summary!$F$2:$F$201,MATCH($B3952,Summary!$A$2:$A$201,0))</f>
        <v>20</v>
      </c>
      <c r="M3952" s="0" t="n">
        <f aca="false">INDEX(Summary!$I$2:$I$201,MATCH($B3952,Summary!$A$2:$A$201,0))</f>
        <v>2</v>
      </c>
      <c r="N3952" s="0" t="n">
        <f aca="false">INDEX(Summary!$J$2:$J$201,MATCH($B3952,Summary!$A$2:$A$201,0))</f>
        <v>3</v>
      </c>
      <c r="O3952" s="2" t="n">
        <f aca="false">INDEX(Summary!$K$2:$K$201,MATCH($B3952,Summary!$A$2:$A$201,0))</f>
        <v>10.39</v>
      </c>
      <c r="P3952" s="3" t="n">
        <f aca="false">INDEX(Summary!$L$2:$L$201,MATCH($B3952,Summary!$A$2:$A$201,0))</f>
        <v>2</v>
      </c>
      <c r="Q3952" s="3" t="n">
        <f aca="false">INDEX(Summary!$M$2:$M$201,MATCH($B3952,Summary!$A$2:$A$201,0))</f>
        <v>4</v>
      </c>
      <c r="R3952" s="2" t="n">
        <f aca="false">INDEX(Summary!$N$2:$N$201,MATCH($B3952,Summary!$A$2:$A$201,0))</f>
        <v>11.22</v>
      </c>
      <c r="S3952" s="3" t="n">
        <f aca="false">INDEX(Summary!$O$2:$O$201,MATCH($B3952,Summary!$A$2:$A$201,0))</f>
        <v>7</v>
      </c>
      <c r="T3952" s="3" t="n">
        <f aca="false">INDEX(Summary!$P$2:$P$201,MATCH($B3952,Summary!$A$2:$A$201,0))</f>
        <v>2</v>
      </c>
      <c r="U3952" s="2" t="n">
        <f aca="false">INDEX(Summary!$Q$2:$Q$201,MATCH($B3952,Summary!$A$2:$A$201,0))</f>
        <v>15.21</v>
      </c>
      <c r="V3952" s="2" t="n">
        <f aca="false">INDEX(Summary!$R$2:$R$201,MATCH($B3952,Summary!$A$2:$A$201,0))</f>
        <v>17.47</v>
      </c>
      <c r="W3952" s="0" t="str">
        <f aca="false">INDEX(Summary!$S$2:$S$201,MATCH($B3952,Summary!$A$2:$A$201,0))</f>
        <v>Bronze</v>
      </c>
      <c r="X3952" s="2" t="n">
        <f aca="false">INDEX(Summary!$T$2:$T$201,MATCH($B3952,Summary!$A$2:$A$201,0))</f>
        <v>42.61</v>
      </c>
      <c r="Y3952" s="0" t="str">
        <f aca="false">INDEX('Reward Model'!$E$18:$E$37,MATCH($E3952,'Reward Model'!$A$18:$A$37,0))</f>
        <v>Medium</v>
      </c>
      <c r="Z3952" s="4" t="n">
        <f aca="false">ROUND(MIN(1,MAX('Reward Model'!$B$2,INDEX('Reward Model'!$C$12:$C$14,MATCH($K3952,'Reward Model'!$A$12:$A$14,0))/$J3952)),3)</f>
        <v>0.833</v>
      </c>
      <c r="AA3952" s="2" t="n">
        <f aca="false">IF($I3952="Correct",ROUND(INDEX('Reward Model'!$B$12:$B$14,MATCH($K3952,'Reward Model'!$A$12:$A$14,0))*Z3952,2),0)</f>
        <v>1.67</v>
      </c>
      <c r="AB3952" s="2" t="n">
        <f aca="false">IF($I3952="Correct",ROUND(INDEX('Reward Model'!$B$12:$B$14,MATCH($Y3952,'Reward Model'!$A$12:$A$14,0))*Z3952,2),0)</f>
        <v>1.67</v>
      </c>
    </row>
    <row r="3953" customFormat="false" ht="15" hidden="false" customHeight="false" outlineLevel="0" collapsed="false">
      <c r="A3953" s="0" t="s">
        <v>526</v>
      </c>
      <c r="B3953" s="0" t="s">
        <v>527</v>
      </c>
      <c r="C3953" s="0" t="s">
        <v>322</v>
      </c>
      <c r="D3953" s="0" t="s">
        <v>275</v>
      </c>
      <c r="E3953" s="0" t="n">
        <v>12</v>
      </c>
      <c r="F3953" s="0" t="s">
        <v>64</v>
      </c>
      <c r="G3953" s="0" t="s">
        <v>146</v>
      </c>
      <c r="H3953" s="0" t="s">
        <v>65</v>
      </c>
      <c r="I3953" s="0" t="s">
        <v>39</v>
      </c>
      <c r="J3953" s="0" t="n">
        <v>1.76</v>
      </c>
      <c r="K3953" s="0" t="s">
        <v>60</v>
      </c>
      <c r="L3953" s="0" t="n">
        <f aca="false">INDEX(Summary!$F$2:$F$201,MATCH($B3953,Summary!$A$2:$A$201,0))</f>
        <v>20</v>
      </c>
      <c r="M3953" s="0" t="n">
        <f aca="false">INDEX(Summary!$I$2:$I$201,MATCH($B3953,Summary!$A$2:$A$201,0))</f>
        <v>2</v>
      </c>
      <c r="N3953" s="0" t="n">
        <f aca="false">INDEX(Summary!$J$2:$J$201,MATCH($B3953,Summary!$A$2:$A$201,0))</f>
        <v>3</v>
      </c>
      <c r="O3953" s="2" t="n">
        <f aca="false">INDEX(Summary!$K$2:$K$201,MATCH($B3953,Summary!$A$2:$A$201,0))</f>
        <v>10.39</v>
      </c>
      <c r="P3953" s="3" t="n">
        <f aca="false">INDEX(Summary!$L$2:$L$201,MATCH($B3953,Summary!$A$2:$A$201,0))</f>
        <v>2</v>
      </c>
      <c r="Q3953" s="3" t="n">
        <f aca="false">INDEX(Summary!$M$2:$M$201,MATCH($B3953,Summary!$A$2:$A$201,0))</f>
        <v>4</v>
      </c>
      <c r="R3953" s="2" t="n">
        <f aca="false">INDEX(Summary!$N$2:$N$201,MATCH($B3953,Summary!$A$2:$A$201,0))</f>
        <v>11.22</v>
      </c>
      <c r="S3953" s="3" t="n">
        <f aca="false">INDEX(Summary!$O$2:$O$201,MATCH($B3953,Summary!$A$2:$A$201,0))</f>
        <v>7</v>
      </c>
      <c r="T3953" s="3" t="n">
        <f aca="false">INDEX(Summary!$P$2:$P$201,MATCH($B3953,Summary!$A$2:$A$201,0))</f>
        <v>2</v>
      </c>
      <c r="U3953" s="2" t="n">
        <f aca="false">INDEX(Summary!$Q$2:$Q$201,MATCH($B3953,Summary!$A$2:$A$201,0))</f>
        <v>15.21</v>
      </c>
      <c r="V3953" s="2" t="n">
        <f aca="false">INDEX(Summary!$R$2:$R$201,MATCH($B3953,Summary!$A$2:$A$201,0))</f>
        <v>17.47</v>
      </c>
      <c r="W3953" s="0" t="str">
        <f aca="false">INDEX(Summary!$S$2:$S$201,MATCH($B3953,Summary!$A$2:$A$201,0))</f>
        <v>Bronze</v>
      </c>
      <c r="X3953" s="2" t="n">
        <f aca="false">INDEX(Summary!$T$2:$T$201,MATCH($B3953,Summary!$A$2:$A$201,0))</f>
        <v>42.61</v>
      </c>
      <c r="Y3953" s="0" t="str">
        <f aca="false">INDEX('Reward Model'!$E$18:$E$37,MATCH($E3953,'Reward Model'!$A$18:$A$37,0))</f>
        <v>Medium</v>
      </c>
      <c r="Z3953" s="4" t="n">
        <f aca="false">ROUND(MIN(1,MAX('Reward Model'!$B$2,INDEX('Reward Model'!$C$12:$C$14,MATCH($K3953,'Reward Model'!$A$12:$A$14,0))/$J3953)),3)</f>
        <v>1</v>
      </c>
      <c r="AA3953" s="2" t="n">
        <f aca="false">IF($I3953="Correct",ROUND(INDEX('Reward Model'!$B$12:$B$14,MATCH($K3953,'Reward Model'!$A$12:$A$14,0))*Z3953,2),0)</f>
        <v>0</v>
      </c>
      <c r="AB3953" s="2" t="n">
        <f aca="false">IF($I3953="Correct",ROUND(INDEX('Reward Model'!$B$12:$B$14,MATCH($Y3953,'Reward Model'!$A$12:$A$14,0))*Z3953,2),0)</f>
        <v>0</v>
      </c>
    </row>
    <row r="3954" customFormat="false" ht="15" hidden="false" customHeight="false" outlineLevel="0" collapsed="false">
      <c r="A3954" s="0" t="s">
        <v>526</v>
      </c>
      <c r="B3954" s="0" t="s">
        <v>527</v>
      </c>
      <c r="C3954" s="0" t="s">
        <v>322</v>
      </c>
      <c r="D3954" s="0" t="s">
        <v>275</v>
      </c>
      <c r="E3954" s="0" t="n">
        <v>13</v>
      </c>
      <c r="F3954" s="0" t="s">
        <v>66</v>
      </c>
      <c r="G3954" s="0" t="s">
        <v>117</v>
      </c>
      <c r="H3954" s="0" t="s">
        <v>67</v>
      </c>
      <c r="I3954" s="0" t="s">
        <v>39</v>
      </c>
      <c r="J3954" s="0" t="n">
        <v>1.54</v>
      </c>
      <c r="K3954" s="0" t="s">
        <v>60</v>
      </c>
      <c r="L3954" s="0" t="n">
        <f aca="false">INDEX(Summary!$F$2:$F$201,MATCH($B3954,Summary!$A$2:$A$201,0))</f>
        <v>20</v>
      </c>
      <c r="M3954" s="0" t="n">
        <f aca="false">INDEX(Summary!$I$2:$I$201,MATCH($B3954,Summary!$A$2:$A$201,0))</f>
        <v>2</v>
      </c>
      <c r="N3954" s="0" t="n">
        <f aca="false">INDEX(Summary!$J$2:$J$201,MATCH($B3954,Summary!$A$2:$A$201,0))</f>
        <v>3</v>
      </c>
      <c r="O3954" s="2" t="n">
        <f aca="false">INDEX(Summary!$K$2:$K$201,MATCH($B3954,Summary!$A$2:$A$201,0))</f>
        <v>10.39</v>
      </c>
      <c r="P3954" s="3" t="n">
        <f aca="false">INDEX(Summary!$L$2:$L$201,MATCH($B3954,Summary!$A$2:$A$201,0))</f>
        <v>2</v>
      </c>
      <c r="Q3954" s="3" t="n">
        <f aca="false">INDEX(Summary!$M$2:$M$201,MATCH($B3954,Summary!$A$2:$A$201,0))</f>
        <v>4</v>
      </c>
      <c r="R3954" s="2" t="n">
        <f aca="false">INDEX(Summary!$N$2:$N$201,MATCH($B3954,Summary!$A$2:$A$201,0))</f>
        <v>11.22</v>
      </c>
      <c r="S3954" s="3" t="n">
        <f aca="false">INDEX(Summary!$O$2:$O$201,MATCH($B3954,Summary!$A$2:$A$201,0))</f>
        <v>7</v>
      </c>
      <c r="T3954" s="3" t="n">
        <f aca="false">INDEX(Summary!$P$2:$P$201,MATCH($B3954,Summary!$A$2:$A$201,0))</f>
        <v>2</v>
      </c>
      <c r="U3954" s="2" t="n">
        <f aca="false">INDEX(Summary!$Q$2:$Q$201,MATCH($B3954,Summary!$A$2:$A$201,0))</f>
        <v>15.21</v>
      </c>
      <c r="V3954" s="2" t="n">
        <f aca="false">INDEX(Summary!$R$2:$R$201,MATCH($B3954,Summary!$A$2:$A$201,0))</f>
        <v>17.47</v>
      </c>
      <c r="W3954" s="0" t="str">
        <f aca="false">INDEX(Summary!$S$2:$S$201,MATCH($B3954,Summary!$A$2:$A$201,0))</f>
        <v>Bronze</v>
      </c>
      <c r="X3954" s="2" t="n">
        <f aca="false">INDEX(Summary!$T$2:$T$201,MATCH($B3954,Summary!$A$2:$A$201,0))</f>
        <v>42.61</v>
      </c>
      <c r="Y3954" s="0" t="str">
        <f aca="false">INDEX('Reward Model'!$E$18:$E$37,MATCH($E3954,'Reward Model'!$A$18:$A$37,0))</f>
        <v>Medium</v>
      </c>
      <c r="Z3954" s="4" t="n">
        <f aca="false">ROUND(MIN(1,MAX('Reward Model'!$B$2,INDEX('Reward Model'!$C$12:$C$14,MATCH($K3954,'Reward Model'!$A$12:$A$14,0))/$J3954)),3)</f>
        <v>1</v>
      </c>
      <c r="AA3954" s="2" t="n">
        <f aca="false">IF($I3954="Correct",ROUND(INDEX('Reward Model'!$B$12:$B$14,MATCH($K3954,'Reward Model'!$A$12:$A$14,0))*Z3954,2),0)</f>
        <v>0</v>
      </c>
      <c r="AB3954" s="2" t="n">
        <f aca="false">IF($I3954="Correct",ROUND(INDEX('Reward Model'!$B$12:$B$14,MATCH($Y3954,'Reward Model'!$A$12:$A$14,0))*Z3954,2),0)</f>
        <v>0</v>
      </c>
    </row>
    <row r="3955" customFormat="false" ht="15" hidden="false" customHeight="false" outlineLevel="0" collapsed="false">
      <c r="A3955" s="0" t="s">
        <v>526</v>
      </c>
      <c r="B3955" s="0" t="s">
        <v>527</v>
      </c>
      <c r="C3955" s="0" t="s">
        <v>322</v>
      </c>
      <c r="D3955" s="0" t="s">
        <v>275</v>
      </c>
      <c r="E3955" s="0" t="n">
        <v>14</v>
      </c>
      <c r="F3955" s="0" t="s">
        <v>68</v>
      </c>
      <c r="G3955" s="0" t="s">
        <v>100</v>
      </c>
      <c r="H3955" s="0" t="s">
        <v>51</v>
      </c>
      <c r="I3955" s="0" t="s">
        <v>39</v>
      </c>
      <c r="J3955" s="0" t="n">
        <v>1.55</v>
      </c>
      <c r="K3955" s="0" t="s">
        <v>60</v>
      </c>
      <c r="L3955" s="0" t="n">
        <f aca="false">INDEX(Summary!$F$2:$F$201,MATCH($B3955,Summary!$A$2:$A$201,0))</f>
        <v>20</v>
      </c>
      <c r="M3955" s="0" t="n">
        <f aca="false">INDEX(Summary!$I$2:$I$201,MATCH($B3955,Summary!$A$2:$A$201,0))</f>
        <v>2</v>
      </c>
      <c r="N3955" s="0" t="n">
        <f aca="false">INDEX(Summary!$J$2:$J$201,MATCH($B3955,Summary!$A$2:$A$201,0))</f>
        <v>3</v>
      </c>
      <c r="O3955" s="2" t="n">
        <f aca="false">INDEX(Summary!$K$2:$K$201,MATCH($B3955,Summary!$A$2:$A$201,0))</f>
        <v>10.39</v>
      </c>
      <c r="P3955" s="3" t="n">
        <f aca="false">INDEX(Summary!$L$2:$L$201,MATCH($B3955,Summary!$A$2:$A$201,0))</f>
        <v>2</v>
      </c>
      <c r="Q3955" s="3" t="n">
        <f aca="false">INDEX(Summary!$M$2:$M$201,MATCH($B3955,Summary!$A$2:$A$201,0))</f>
        <v>4</v>
      </c>
      <c r="R3955" s="2" t="n">
        <f aca="false">INDEX(Summary!$N$2:$N$201,MATCH($B3955,Summary!$A$2:$A$201,0))</f>
        <v>11.22</v>
      </c>
      <c r="S3955" s="3" t="n">
        <f aca="false">INDEX(Summary!$O$2:$O$201,MATCH($B3955,Summary!$A$2:$A$201,0))</f>
        <v>7</v>
      </c>
      <c r="T3955" s="3" t="n">
        <f aca="false">INDEX(Summary!$P$2:$P$201,MATCH($B3955,Summary!$A$2:$A$201,0))</f>
        <v>2</v>
      </c>
      <c r="U3955" s="2" t="n">
        <f aca="false">INDEX(Summary!$Q$2:$Q$201,MATCH($B3955,Summary!$A$2:$A$201,0))</f>
        <v>15.21</v>
      </c>
      <c r="V3955" s="2" t="n">
        <f aca="false">INDEX(Summary!$R$2:$R$201,MATCH($B3955,Summary!$A$2:$A$201,0))</f>
        <v>17.47</v>
      </c>
      <c r="W3955" s="0" t="str">
        <f aca="false">INDEX(Summary!$S$2:$S$201,MATCH($B3955,Summary!$A$2:$A$201,0))</f>
        <v>Bronze</v>
      </c>
      <c r="X3955" s="2" t="n">
        <f aca="false">INDEX(Summary!$T$2:$T$201,MATCH($B3955,Summary!$A$2:$A$201,0))</f>
        <v>42.61</v>
      </c>
      <c r="Y3955" s="0" t="str">
        <f aca="false">INDEX('Reward Model'!$E$18:$E$37,MATCH($E3955,'Reward Model'!$A$18:$A$37,0))</f>
        <v>Medium</v>
      </c>
      <c r="Z3955" s="4" t="n">
        <f aca="false">ROUND(MIN(1,MAX('Reward Model'!$B$2,INDEX('Reward Model'!$C$12:$C$14,MATCH($K3955,'Reward Model'!$A$12:$A$14,0))/$J3955)),3)</f>
        <v>1</v>
      </c>
      <c r="AA3955" s="2" t="n">
        <f aca="false">IF($I3955="Correct",ROUND(INDEX('Reward Model'!$B$12:$B$14,MATCH($K3955,'Reward Model'!$A$12:$A$14,0))*Z3955,2),0)</f>
        <v>0</v>
      </c>
      <c r="AB3955" s="2" t="n">
        <f aca="false">IF($I3955="Correct",ROUND(INDEX('Reward Model'!$B$12:$B$14,MATCH($Y3955,'Reward Model'!$A$12:$A$14,0))*Z3955,2),0)</f>
        <v>0</v>
      </c>
    </row>
    <row r="3956" customFormat="false" ht="15" hidden="false" customHeight="false" outlineLevel="0" collapsed="false">
      <c r="A3956" s="0" t="s">
        <v>526</v>
      </c>
      <c r="B3956" s="0" t="s">
        <v>527</v>
      </c>
      <c r="C3956" s="0" t="s">
        <v>322</v>
      </c>
      <c r="D3956" s="0" t="s">
        <v>275</v>
      </c>
      <c r="E3956" s="0" t="n">
        <v>15</v>
      </c>
      <c r="F3956" s="0" t="s">
        <v>69</v>
      </c>
      <c r="G3956" s="0" t="s">
        <v>70</v>
      </c>
      <c r="H3956" s="0" t="s">
        <v>70</v>
      </c>
      <c r="I3956" s="0" t="s">
        <v>34</v>
      </c>
      <c r="J3956" s="0" t="n">
        <v>2.14</v>
      </c>
      <c r="K3956" s="0" t="s">
        <v>60</v>
      </c>
      <c r="L3956" s="0" t="n">
        <f aca="false">INDEX(Summary!$F$2:$F$201,MATCH($B3956,Summary!$A$2:$A$201,0))</f>
        <v>20</v>
      </c>
      <c r="M3956" s="0" t="n">
        <f aca="false">INDEX(Summary!$I$2:$I$201,MATCH($B3956,Summary!$A$2:$A$201,0))</f>
        <v>2</v>
      </c>
      <c r="N3956" s="0" t="n">
        <f aca="false">INDEX(Summary!$J$2:$J$201,MATCH($B3956,Summary!$A$2:$A$201,0))</f>
        <v>3</v>
      </c>
      <c r="O3956" s="2" t="n">
        <f aca="false">INDEX(Summary!$K$2:$K$201,MATCH($B3956,Summary!$A$2:$A$201,0))</f>
        <v>10.39</v>
      </c>
      <c r="P3956" s="3" t="n">
        <f aca="false">INDEX(Summary!$L$2:$L$201,MATCH($B3956,Summary!$A$2:$A$201,0))</f>
        <v>2</v>
      </c>
      <c r="Q3956" s="3" t="n">
        <f aca="false">INDEX(Summary!$M$2:$M$201,MATCH($B3956,Summary!$A$2:$A$201,0))</f>
        <v>4</v>
      </c>
      <c r="R3956" s="2" t="n">
        <f aca="false">INDEX(Summary!$N$2:$N$201,MATCH($B3956,Summary!$A$2:$A$201,0))</f>
        <v>11.22</v>
      </c>
      <c r="S3956" s="3" t="n">
        <f aca="false">INDEX(Summary!$O$2:$O$201,MATCH($B3956,Summary!$A$2:$A$201,0))</f>
        <v>7</v>
      </c>
      <c r="T3956" s="3" t="n">
        <f aca="false">INDEX(Summary!$P$2:$P$201,MATCH($B3956,Summary!$A$2:$A$201,0))</f>
        <v>2</v>
      </c>
      <c r="U3956" s="2" t="n">
        <f aca="false">INDEX(Summary!$Q$2:$Q$201,MATCH($B3956,Summary!$A$2:$A$201,0))</f>
        <v>15.21</v>
      </c>
      <c r="V3956" s="2" t="n">
        <f aca="false">INDEX(Summary!$R$2:$R$201,MATCH($B3956,Summary!$A$2:$A$201,0))</f>
        <v>17.47</v>
      </c>
      <c r="W3956" s="0" t="str">
        <f aca="false">INDEX(Summary!$S$2:$S$201,MATCH($B3956,Summary!$A$2:$A$201,0))</f>
        <v>Bronze</v>
      </c>
      <c r="X3956" s="2" t="n">
        <f aca="false">INDEX(Summary!$T$2:$T$201,MATCH($B3956,Summary!$A$2:$A$201,0))</f>
        <v>42.61</v>
      </c>
      <c r="Y3956" s="0" t="str">
        <f aca="false">INDEX('Reward Model'!$E$18:$E$37,MATCH($E3956,'Reward Model'!$A$18:$A$37,0))</f>
        <v>Medium</v>
      </c>
      <c r="Z3956" s="4" t="n">
        <f aca="false">ROUND(MIN(1,MAX('Reward Model'!$B$2,INDEX('Reward Model'!$C$12:$C$14,MATCH($K3956,'Reward Model'!$A$12:$A$14,0))/$J3956)),3)</f>
        <v>0.841</v>
      </c>
      <c r="AA3956" s="2" t="n">
        <f aca="false">IF($I3956="Correct",ROUND(INDEX('Reward Model'!$B$12:$B$14,MATCH($K3956,'Reward Model'!$A$12:$A$14,0))*Z3956,2),0)</f>
        <v>1.68</v>
      </c>
      <c r="AB3956" s="2" t="n">
        <f aca="false">IF($I3956="Correct",ROUND(INDEX('Reward Model'!$B$12:$B$14,MATCH($Y3956,'Reward Model'!$A$12:$A$14,0))*Z3956,2),0)</f>
        <v>1.68</v>
      </c>
    </row>
    <row r="3957" customFormat="false" ht="15" hidden="false" customHeight="false" outlineLevel="0" collapsed="false">
      <c r="A3957" s="0" t="s">
        <v>526</v>
      </c>
      <c r="B3957" s="0" t="s">
        <v>527</v>
      </c>
      <c r="C3957" s="0" t="s">
        <v>322</v>
      </c>
      <c r="D3957" s="0" t="s">
        <v>275</v>
      </c>
      <c r="E3957" s="0" t="n">
        <v>16</v>
      </c>
      <c r="F3957" s="0" t="s">
        <v>71</v>
      </c>
      <c r="G3957" s="0" t="s">
        <v>72</v>
      </c>
      <c r="H3957" s="0" t="s">
        <v>72</v>
      </c>
      <c r="I3957" s="0" t="s">
        <v>34</v>
      </c>
      <c r="J3957" s="0" t="n">
        <v>2.07</v>
      </c>
      <c r="K3957" s="0" t="s">
        <v>73</v>
      </c>
      <c r="L3957" s="0" t="n">
        <f aca="false">INDEX(Summary!$F$2:$F$201,MATCH($B3957,Summary!$A$2:$A$201,0))</f>
        <v>20</v>
      </c>
      <c r="M3957" s="0" t="n">
        <f aca="false">INDEX(Summary!$I$2:$I$201,MATCH($B3957,Summary!$A$2:$A$201,0))</f>
        <v>2</v>
      </c>
      <c r="N3957" s="0" t="n">
        <f aca="false">INDEX(Summary!$J$2:$J$201,MATCH($B3957,Summary!$A$2:$A$201,0))</f>
        <v>3</v>
      </c>
      <c r="O3957" s="2" t="n">
        <f aca="false">INDEX(Summary!$K$2:$K$201,MATCH($B3957,Summary!$A$2:$A$201,0))</f>
        <v>10.39</v>
      </c>
      <c r="P3957" s="3" t="n">
        <f aca="false">INDEX(Summary!$L$2:$L$201,MATCH($B3957,Summary!$A$2:$A$201,0))</f>
        <v>2</v>
      </c>
      <c r="Q3957" s="3" t="n">
        <f aca="false">INDEX(Summary!$M$2:$M$201,MATCH($B3957,Summary!$A$2:$A$201,0))</f>
        <v>4</v>
      </c>
      <c r="R3957" s="2" t="n">
        <f aca="false">INDEX(Summary!$N$2:$N$201,MATCH($B3957,Summary!$A$2:$A$201,0))</f>
        <v>11.22</v>
      </c>
      <c r="S3957" s="3" t="n">
        <f aca="false">INDEX(Summary!$O$2:$O$201,MATCH($B3957,Summary!$A$2:$A$201,0))</f>
        <v>7</v>
      </c>
      <c r="T3957" s="3" t="n">
        <f aca="false">INDEX(Summary!$P$2:$P$201,MATCH($B3957,Summary!$A$2:$A$201,0))</f>
        <v>2</v>
      </c>
      <c r="U3957" s="2" t="n">
        <f aca="false">INDEX(Summary!$Q$2:$Q$201,MATCH($B3957,Summary!$A$2:$A$201,0))</f>
        <v>15.21</v>
      </c>
      <c r="V3957" s="2" t="n">
        <f aca="false">INDEX(Summary!$R$2:$R$201,MATCH($B3957,Summary!$A$2:$A$201,0))</f>
        <v>17.47</v>
      </c>
      <c r="W3957" s="0" t="str">
        <f aca="false">INDEX(Summary!$S$2:$S$201,MATCH($B3957,Summary!$A$2:$A$201,0))</f>
        <v>Bronze</v>
      </c>
      <c r="X3957" s="2" t="n">
        <f aca="false">INDEX(Summary!$T$2:$T$201,MATCH($B3957,Summary!$A$2:$A$201,0))</f>
        <v>42.61</v>
      </c>
      <c r="Y3957" s="0" t="str">
        <f aca="false">INDEX('Reward Model'!$E$18:$E$37,MATCH($E3957,'Reward Model'!$A$18:$A$37,0))</f>
        <v>High</v>
      </c>
      <c r="Z3957" s="4" t="n">
        <f aca="false">ROUND(MIN(1,MAX('Reward Model'!$B$2,INDEX('Reward Model'!$C$12:$C$14,MATCH($K3957,'Reward Model'!$A$12:$A$14,0))/$J3957)),3)</f>
        <v>0.966</v>
      </c>
      <c r="AA3957" s="2" t="n">
        <f aca="false">IF($I3957="Correct",ROUND(INDEX('Reward Model'!$B$12:$B$14,MATCH($K3957,'Reward Model'!$A$12:$A$14,0))*Z3957,2),0)</f>
        <v>2.9</v>
      </c>
      <c r="AB3957" s="2" t="n">
        <f aca="false">IF($I3957="Correct",ROUND(INDEX('Reward Model'!$B$12:$B$14,MATCH($Y3957,'Reward Model'!$A$12:$A$14,0))*Z3957,2),0)</f>
        <v>2.9</v>
      </c>
    </row>
    <row r="3958" customFormat="false" ht="15" hidden="false" customHeight="false" outlineLevel="0" collapsed="false">
      <c r="A3958" s="0" t="s">
        <v>526</v>
      </c>
      <c r="B3958" s="0" t="s">
        <v>527</v>
      </c>
      <c r="C3958" s="0" t="s">
        <v>322</v>
      </c>
      <c r="D3958" s="0" t="s">
        <v>275</v>
      </c>
      <c r="E3958" s="0" t="n">
        <v>17</v>
      </c>
      <c r="F3958" s="0" t="s">
        <v>74</v>
      </c>
      <c r="G3958" s="0" t="s">
        <v>113</v>
      </c>
      <c r="H3958" s="0" t="s">
        <v>75</v>
      </c>
      <c r="I3958" s="0" t="s">
        <v>39</v>
      </c>
      <c r="J3958" s="0" t="n">
        <v>2.26</v>
      </c>
      <c r="K3958" s="0" t="s">
        <v>73</v>
      </c>
      <c r="L3958" s="0" t="n">
        <f aca="false">INDEX(Summary!$F$2:$F$201,MATCH($B3958,Summary!$A$2:$A$201,0))</f>
        <v>20</v>
      </c>
      <c r="M3958" s="0" t="n">
        <f aca="false">INDEX(Summary!$I$2:$I$201,MATCH($B3958,Summary!$A$2:$A$201,0))</f>
        <v>2</v>
      </c>
      <c r="N3958" s="0" t="n">
        <f aca="false">INDEX(Summary!$J$2:$J$201,MATCH($B3958,Summary!$A$2:$A$201,0))</f>
        <v>3</v>
      </c>
      <c r="O3958" s="2" t="n">
        <f aca="false">INDEX(Summary!$K$2:$K$201,MATCH($B3958,Summary!$A$2:$A$201,0))</f>
        <v>10.39</v>
      </c>
      <c r="P3958" s="3" t="n">
        <f aca="false">INDEX(Summary!$L$2:$L$201,MATCH($B3958,Summary!$A$2:$A$201,0))</f>
        <v>2</v>
      </c>
      <c r="Q3958" s="3" t="n">
        <f aca="false">INDEX(Summary!$M$2:$M$201,MATCH($B3958,Summary!$A$2:$A$201,0))</f>
        <v>4</v>
      </c>
      <c r="R3958" s="2" t="n">
        <f aca="false">INDEX(Summary!$N$2:$N$201,MATCH($B3958,Summary!$A$2:$A$201,0))</f>
        <v>11.22</v>
      </c>
      <c r="S3958" s="3" t="n">
        <f aca="false">INDEX(Summary!$O$2:$O$201,MATCH($B3958,Summary!$A$2:$A$201,0))</f>
        <v>7</v>
      </c>
      <c r="T3958" s="3" t="n">
        <f aca="false">INDEX(Summary!$P$2:$P$201,MATCH($B3958,Summary!$A$2:$A$201,0))</f>
        <v>2</v>
      </c>
      <c r="U3958" s="2" t="n">
        <f aca="false">INDEX(Summary!$Q$2:$Q$201,MATCH($B3958,Summary!$A$2:$A$201,0))</f>
        <v>15.21</v>
      </c>
      <c r="V3958" s="2" t="n">
        <f aca="false">INDEX(Summary!$R$2:$R$201,MATCH($B3958,Summary!$A$2:$A$201,0))</f>
        <v>17.47</v>
      </c>
      <c r="W3958" s="0" t="str">
        <f aca="false">INDEX(Summary!$S$2:$S$201,MATCH($B3958,Summary!$A$2:$A$201,0))</f>
        <v>Bronze</v>
      </c>
      <c r="X3958" s="2" t="n">
        <f aca="false">INDEX(Summary!$T$2:$T$201,MATCH($B3958,Summary!$A$2:$A$201,0))</f>
        <v>42.61</v>
      </c>
      <c r="Y3958" s="0" t="str">
        <f aca="false">INDEX('Reward Model'!$E$18:$E$37,MATCH($E3958,'Reward Model'!$A$18:$A$37,0))</f>
        <v>High</v>
      </c>
      <c r="Z3958" s="4" t="n">
        <f aca="false">ROUND(MIN(1,MAX('Reward Model'!$B$2,INDEX('Reward Model'!$C$12:$C$14,MATCH($K3958,'Reward Model'!$A$12:$A$14,0))/$J3958)),3)</f>
        <v>0.885</v>
      </c>
      <c r="AA3958" s="2" t="n">
        <f aca="false">IF($I3958="Correct",ROUND(INDEX('Reward Model'!$B$12:$B$14,MATCH($K3958,'Reward Model'!$A$12:$A$14,0))*Z3958,2),0)</f>
        <v>0</v>
      </c>
      <c r="AB3958" s="2" t="n">
        <f aca="false">IF($I3958="Correct",ROUND(INDEX('Reward Model'!$B$12:$B$14,MATCH($Y3958,'Reward Model'!$A$12:$A$14,0))*Z3958,2),0)</f>
        <v>0</v>
      </c>
    </row>
    <row r="3959" customFormat="false" ht="15" hidden="false" customHeight="false" outlineLevel="0" collapsed="false">
      <c r="A3959" s="0" t="s">
        <v>526</v>
      </c>
      <c r="B3959" s="0" t="s">
        <v>527</v>
      </c>
      <c r="C3959" s="0" t="s">
        <v>322</v>
      </c>
      <c r="D3959" s="0" t="s">
        <v>275</v>
      </c>
      <c r="E3959" s="0" t="n">
        <v>18</v>
      </c>
      <c r="F3959" s="0" t="s">
        <v>76</v>
      </c>
      <c r="G3959" s="0" t="s">
        <v>77</v>
      </c>
      <c r="H3959" s="0" t="s">
        <v>77</v>
      </c>
      <c r="I3959" s="0" t="s">
        <v>34</v>
      </c>
      <c r="J3959" s="0" t="n">
        <v>2.43</v>
      </c>
      <c r="K3959" s="0" t="s">
        <v>73</v>
      </c>
      <c r="L3959" s="0" t="n">
        <f aca="false">INDEX(Summary!$F$2:$F$201,MATCH($B3959,Summary!$A$2:$A$201,0))</f>
        <v>20</v>
      </c>
      <c r="M3959" s="0" t="n">
        <f aca="false">INDEX(Summary!$I$2:$I$201,MATCH($B3959,Summary!$A$2:$A$201,0))</f>
        <v>2</v>
      </c>
      <c r="N3959" s="0" t="n">
        <f aca="false">INDEX(Summary!$J$2:$J$201,MATCH($B3959,Summary!$A$2:$A$201,0))</f>
        <v>3</v>
      </c>
      <c r="O3959" s="2" t="n">
        <f aca="false">INDEX(Summary!$K$2:$K$201,MATCH($B3959,Summary!$A$2:$A$201,0))</f>
        <v>10.39</v>
      </c>
      <c r="P3959" s="3" t="n">
        <f aca="false">INDEX(Summary!$L$2:$L$201,MATCH($B3959,Summary!$A$2:$A$201,0))</f>
        <v>2</v>
      </c>
      <c r="Q3959" s="3" t="n">
        <f aca="false">INDEX(Summary!$M$2:$M$201,MATCH($B3959,Summary!$A$2:$A$201,0))</f>
        <v>4</v>
      </c>
      <c r="R3959" s="2" t="n">
        <f aca="false">INDEX(Summary!$N$2:$N$201,MATCH($B3959,Summary!$A$2:$A$201,0))</f>
        <v>11.22</v>
      </c>
      <c r="S3959" s="3" t="n">
        <f aca="false">INDEX(Summary!$O$2:$O$201,MATCH($B3959,Summary!$A$2:$A$201,0))</f>
        <v>7</v>
      </c>
      <c r="T3959" s="3" t="n">
        <f aca="false">INDEX(Summary!$P$2:$P$201,MATCH($B3959,Summary!$A$2:$A$201,0))</f>
        <v>2</v>
      </c>
      <c r="U3959" s="2" t="n">
        <f aca="false">INDEX(Summary!$Q$2:$Q$201,MATCH($B3959,Summary!$A$2:$A$201,0))</f>
        <v>15.21</v>
      </c>
      <c r="V3959" s="2" t="n">
        <f aca="false">INDEX(Summary!$R$2:$R$201,MATCH($B3959,Summary!$A$2:$A$201,0))</f>
        <v>17.47</v>
      </c>
      <c r="W3959" s="0" t="str">
        <f aca="false">INDEX(Summary!$S$2:$S$201,MATCH($B3959,Summary!$A$2:$A$201,0))</f>
        <v>Bronze</v>
      </c>
      <c r="X3959" s="2" t="n">
        <f aca="false">INDEX(Summary!$T$2:$T$201,MATCH($B3959,Summary!$A$2:$A$201,0))</f>
        <v>42.61</v>
      </c>
      <c r="Y3959" s="0" t="str">
        <f aca="false">INDEX('Reward Model'!$E$18:$E$37,MATCH($E3959,'Reward Model'!$A$18:$A$37,0))</f>
        <v>High</v>
      </c>
      <c r="Z3959" s="4" t="n">
        <f aca="false">ROUND(MIN(1,MAX('Reward Model'!$B$2,INDEX('Reward Model'!$C$12:$C$14,MATCH($K3959,'Reward Model'!$A$12:$A$14,0))/$J3959)),3)</f>
        <v>0.823</v>
      </c>
      <c r="AA3959" s="2" t="n">
        <f aca="false">IF($I3959="Correct",ROUND(INDEX('Reward Model'!$B$12:$B$14,MATCH($K3959,'Reward Model'!$A$12:$A$14,0))*Z3959,2),0)</f>
        <v>2.47</v>
      </c>
      <c r="AB3959" s="2" t="n">
        <f aca="false">IF($I3959="Correct",ROUND(INDEX('Reward Model'!$B$12:$B$14,MATCH($Y3959,'Reward Model'!$A$12:$A$14,0))*Z3959,2),0)</f>
        <v>2.47</v>
      </c>
    </row>
    <row r="3960" customFormat="false" ht="15" hidden="false" customHeight="false" outlineLevel="0" collapsed="false">
      <c r="A3960" s="0" t="s">
        <v>526</v>
      </c>
      <c r="B3960" s="0" t="s">
        <v>527</v>
      </c>
      <c r="C3960" s="0" t="s">
        <v>322</v>
      </c>
      <c r="D3960" s="0" t="s">
        <v>275</v>
      </c>
      <c r="E3960" s="0" t="n">
        <v>19</v>
      </c>
      <c r="F3960" s="0" t="s">
        <v>78</v>
      </c>
      <c r="G3960" s="0" t="s">
        <v>79</v>
      </c>
      <c r="H3960" s="0" t="s">
        <v>80</v>
      </c>
      <c r="I3960" s="0" t="s">
        <v>39</v>
      </c>
      <c r="J3960" s="0" t="n">
        <v>2.17</v>
      </c>
      <c r="K3960" s="0" t="s">
        <v>73</v>
      </c>
      <c r="L3960" s="0" t="n">
        <f aca="false">INDEX(Summary!$F$2:$F$201,MATCH($B3960,Summary!$A$2:$A$201,0))</f>
        <v>20</v>
      </c>
      <c r="M3960" s="0" t="n">
        <f aca="false">INDEX(Summary!$I$2:$I$201,MATCH($B3960,Summary!$A$2:$A$201,0))</f>
        <v>2</v>
      </c>
      <c r="N3960" s="0" t="n">
        <f aca="false">INDEX(Summary!$J$2:$J$201,MATCH($B3960,Summary!$A$2:$A$201,0))</f>
        <v>3</v>
      </c>
      <c r="O3960" s="2" t="n">
        <f aca="false">INDEX(Summary!$K$2:$K$201,MATCH($B3960,Summary!$A$2:$A$201,0))</f>
        <v>10.39</v>
      </c>
      <c r="P3960" s="3" t="n">
        <f aca="false">INDEX(Summary!$L$2:$L$201,MATCH($B3960,Summary!$A$2:$A$201,0))</f>
        <v>2</v>
      </c>
      <c r="Q3960" s="3" t="n">
        <f aca="false">INDEX(Summary!$M$2:$M$201,MATCH($B3960,Summary!$A$2:$A$201,0))</f>
        <v>4</v>
      </c>
      <c r="R3960" s="2" t="n">
        <f aca="false">INDEX(Summary!$N$2:$N$201,MATCH($B3960,Summary!$A$2:$A$201,0))</f>
        <v>11.22</v>
      </c>
      <c r="S3960" s="3" t="n">
        <f aca="false">INDEX(Summary!$O$2:$O$201,MATCH($B3960,Summary!$A$2:$A$201,0))</f>
        <v>7</v>
      </c>
      <c r="T3960" s="3" t="n">
        <f aca="false">INDEX(Summary!$P$2:$P$201,MATCH($B3960,Summary!$A$2:$A$201,0))</f>
        <v>2</v>
      </c>
      <c r="U3960" s="2" t="n">
        <f aca="false">INDEX(Summary!$Q$2:$Q$201,MATCH($B3960,Summary!$A$2:$A$201,0))</f>
        <v>15.21</v>
      </c>
      <c r="V3960" s="2" t="n">
        <f aca="false">INDEX(Summary!$R$2:$R$201,MATCH($B3960,Summary!$A$2:$A$201,0))</f>
        <v>17.47</v>
      </c>
      <c r="W3960" s="0" t="str">
        <f aca="false">INDEX(Summary!$S$2:$S$201,MATCH($B3960,Summary!$A$2:$A$201,0))</f>
        <v>Bronze</v>
      </c>
      <c r="X3960" s="2" t="n">
        <f aca="false">INDEX(Summary!$T$2:$T$201,MATCH($B3960,Summary!$A$2:$A$201,0))</f>
        <v>42.61</v>
      </c>
      <c r="Y3960" s="0" t="str">
        <f aca="false">INDEX('Reward Model'!$E$18:$E$37,MATCH($E3960,'Reward Model'!$A$18:$A$37,0))</f>
        <v>High</v>
      </c>
      <c r="Z3960" s="4" t="n">
        <f aca="false">ROUND(MIN(1,MAX('Reward Model'!$B$2,INDEX('Reward Model'!$C$12:$C$14,MATCH($K3960,'Reward Model'!$A$12:$A$14,0))/$J3960)),3)</f>
        <v>0.922</v>
      </c>
      <c r="AA3960" s="2" t="n">
        <f aca="false">IF($I3960="Correct",ROUND(INDEX('Reward Model'!$B$12:$B$14,MATCH($K3960,'Reward Model'!$A$12:$A$14,0))*Z3960,2),0)</f>
        <v>0</v>
      </c>
      <c r="AB3960" s="2" t="n">
        <f aca="false">IF($I3960="Correct",ROUND(INDEX('Reward Model'!$B$12:$B$14,MATCH($Y3960,'Reward Model'!$A$12:$A$14,0))*Z3960,2),0)</f>
        <v>0</v>
      </c>
    </row>
    <row r="3961" customFormat="false" ht="15" hidden="false" customHeight="false" outlineLevel="0" collapsed="false">
      <c r="A3961" s="0" t="s">
        <v>526</v>
      </c>
      <c r="B3961" s="0" t="s">
        <v>527</v>
      </c>
      <c r="C3961" s="0" t="s">
        <v>322</v>
      </c>
      <c r="D3961" s="0" t="s">
        <v>275</v>
      </c>
      <c r="E3961" s="0" t="n">
        <v>20</v>
      </c>
      <c r="F3961" s="0" t="s">
        <v>81</v>
      </c>
      <c r="G3961" s="0" t="s">
        <v>166</v>
      </c>
      <c r="H3961" s="0" t="s">
        <v>83</v>
      </c>
      <c r="I3961" s="0" t="s">
        <v>39</v>
      </c>
      <c r="J3961" s="0" t="n">
        <v>1.46</v>
      </c>
      <c r="K3961" s="0" t="s">
        <v>73</v>
      </c>
      <c r="L3961" s="0" t="n">
        <f aca="false">INDEX(Summary!$F$2:$F$201,MATCH($B3961,Summary!$A$2:$A$201,0))</f>
        <v>20</v>
      </c>
      <c r="M3961" s="0" t="n">
        <f aca="false">INDEX(Summary!$I$2:$I$201,MATCH($B3961,Summary!$A$2:$A$201,0))</f>
        <v>2</v>
      </c>
      <c r="N3961" s="0" t="n">
        <f aca="false">INDEX(Summary!$J$2:$J$201,MATCH($B3961,Summary!$A$2:$A$201,0))</f>
        <v>3</v>
      </c>
      <c r="O3961" s="2" t="n">
        <f aca="false">INDEX(Summary!$K$2:$K$201,MATCH($B3961,Summary!$A$2:$A$201,0))</f>
        <v>10.39</v>
      </c>
      <c r="P3961" s="3" t="n">
        <f aca="false">INDEX(Summary!$L$2:$L$201,MATCH($B3961,Summary!$A$2:$A$201,0))</f>
        <v>2</v>
      </c>
      <c r="Q3961" s="3" t="n">
        <f aca="false">INDEX(Summary!$M$2:$M$201,MATCH($B3961,Summary!$A$2:$A$201,0))</f>
        <v>4</v>
      </c>
      <c r="R3961" s="2" t="n">
        <f aca="false">INDEX(Summary!$N$2:$N$201,MATCH($B3961,Summary!$A$2:$A$201,0))</f>
        <v>11.22</v>
      </c>
      <c r="S3961" s="3" t="n">
        <f aca="false">INDEX(Summary!$O$2:$O$201,MATCH($B3961,Summary!$A$2:$A$201,0))</f>
        <v>7</v>
      </c>
      <c r="T3961" s="3" t="n">
        <f aca="false">INDEX(Summary!$P$2:$P$201,MATCH($B3961,Summary!$A$2:$A$201,0))</f>
        <v>2</v>
      </c>
      <c r="U3961" s="2" t="n">
        <f aca="false">INDEX(Summary!$Q$2:$Q$201,MATCH($B3961,Summary!$A$2:$A$201,0))</f>
        <v>15.21</v>
      </c>
      <c r="V3961" s="2" t="n">
        <f aca="false">INDEX(Summary!$R$2:$R$201,MATCH($B3961,Summary!$A$2:$A$201,0))</f>
        <v>17.47</v>
      </c>
      <c r="W3961" s="0" t="str">
        <f aca="false">INDEX(Summary!$S$2:$S$201,MATCH($B3961,Summary!$A$2:$A$201,0))</f>
        <v>Bronze</v>
      </c>
      <c r="X3961" s="2" t="n">
        <f aca="false">INDEX(Summary!$T$2:$T$201,MATCH($B3961,Summary!$A$2:$A$201,0))</f>
        <v>42.61</v>
      </c>
      <c r="Y3961" s="0" t="str">
        <f aca="false">INDEX('Reward Model'!$E$18:$E$37,MATCH($E3961,'Reward Model'!$A$18:$A$37,0))</f>
        <v>High</v>
      </c>
      <c r="Z3961" s="4" t="n">
        <f aca="false">ROUND(MIN(1,MAX('Reward Model'!$B$2,INDEX('Reward Model'!$C$12:$C$14,MATCH($K3961,'Reward Model'!$A$12:$A$14,0))/$J3961)),3)</f>
        <v>1</v>
      </c>
      <c r="AA3961" s="2" t="n">
        <f aca="false">IF($I3961="Correct",ROUND(INDEX('Reward Model'!$B$12:$B$14,MATCH($K3961,'Reward Model'!$A$12:$A$14,0))*Z3961,2),0)</f>
        <v>0</v>
      </c>
      <c r="AB3961" s="2" t="n">
        <f aca="false">IF($I3961="Correct",ROUND(INDEX('Reward Model'!$B$12:$B$14,MATCH($Y3961,'Reward Model'!$A$12:$A$14,0))*Z3961,2),0)</f>
        <v>0</v>
      </c>
    </row>
    <row r="3962" customFormat="false" ht="15" hidden="false" customHeight="false" outlineLevel="0" collapsed="false">
      <c r="A3962" s="0" t="s">
        <v>528</v>
      </c>
      <c r="B3962" s="0" t="s">
        <v>529</v>
      </c>
      <c r="C3962" s="0" t="s">
        <v>322</v>
      </c>
      <c r="D3962" s="0" t="s">
        <v>275</v>
      </c>
      <c r="E3962" s="0" t="n">
        <v>1</v>
      </c>
      <c r="F3962" s="0" t="s">
        <v>32</v>
      </c>
      <c r="G3962" s="0" t="s">
        <v>33</v>
      </c>
      <c r="H3962" s="0" t="s">
        <v>33</v>
      </c>
      <c r="I3962" s="0" t="s">
        <v>34</v>
      </c>
      <c r="J3962" s="0" t="n">
        <v>1.59</v>
      </c>
      <c r="K3962" s="0" t="s">
        <v>35</v>
      </c>
      <c r="L3962" s="0" t="n">
        <f aca="false">INDEX(Summary!$F$2:$F$201,MATCH($B3962,Summary!$A$2:$A$201,0))</f>
        <v>20</v>
      </c>
      <c r="M3962" s="0" t="n">
        <f aca="false">INDEX(Summary!$I$2:$I$201,MATCH($B3962,Summary!$A$2:$A$201,0))</f>
        <v>1</v>
      </c>
      <c r="N3962" s="0" t="n">
        <f aca="false">INDEX(Summary!$J$2:$J$201,MATCH($B3962,Summary!$A$2:$A$201,0))</f>
        <v>4</v>
      </c>
      <c r="O3962" s="2" t="n">
        <f aca="false">INDEX(Summary!$K$2:$K$201,MATCH($B3962,Summary!$A$2:$A$201,0))</f>
        <v>8.63</v>
      </c>
      <c r="P3962" s="3" t="n">
        <f aca="false">INDEX(Summary!$L$2:$L$201,MATCH($B3962,Summary!$A$2:$A$201,0))</f>
        <v>1</v>
      </c>
      <c r="Q3962" s="3" t="n">
        <f aca="false">INDEX(Summary!$M$2:$M$201,MATCH($B3962,Summary!$A$2:$A$201,0))</f>
        <v>5</v>
      </c>
      <c r="R3962" s="2" t="n">
        <f aca="false">INDEX(Summary!$N$2:$N$201,MATCH($B3962,Summary!$A$2:$A$201,0))</f>
        <v>10.23</v>
      </c>
      <c r="S3962" s="3" t="n">
        <f aca="false">INDEX(Summary!$O$2:$O$201,MATCH($B3962,Summary!$A$2:$A$201,0))</f>
        <v>7</v>
      </c>
      <c r="T3962" s="3" t="n">
        <f aca="false">INDEX(Summary!$P$2:$P$201,MATCH($B3962,Summary!$A$2:$A$201,0))</f>
        <v>2</v>
      </c>
      <c r="U3962" s="2" t="n">
        <f aca="false">INDEX(Summary!$Q$2:$Q$201,MATCH($B3962,Summary!$A$2:$A$201,0))</f>
        <v>13.44</v>
      </c>
      <c r="V3962" s="2" t="n">
        <f aca="false">INDEX(Summary!$R$2:$R$201,MATCH($B3962,Summary!$A$2:$A$201,0))</f>
        <v>15.6</v>
      </c>
      <c r="W3962" s="0" t="str">
        <f aca="false">INDEX(Summary!$S$2:$S$201,MATCH($B3962,Summary!$A$2:$A$201,0))</f>
        <v>Bronze</v>
      </c>
      <c r="X3962" s="2" t="n">
        <f aca="false">INDEX(Summary!$T$2:$T$201,MATCH($B3962,Summary!$A$2:$A$201,0))</f>
        <v>38.05</v>
      </c>
      <c r="Y3962" s="0" t="str">
        <f aca="false">INDEX('Reward Model'!$E$18:$E$37,MATCH($E3962,'Reward Model'!$A$18:$A$37,0))</f>
        <v>Medium</v>
      </c>
      <c r="Z3962" s="4" t="n">
        <f aca="false">ROUND(MIN(1,MAX('Reward Model'!$B$2,INDEX('Reward Model'!$C$12:$C$14,MATCH($K3962,'Reward Model'!$A$12:$A$14,0))/$J3962)),3)</f>
        <v>0.943</v>
      </c>
      <c r="AA3962" s="2" t="n">
        <f aca="false">IF($I3962="Correct",ROUND(INDEX('Reward Model'!$B$12:$B$14,MATCH($K3962,'Reward Model'!$A$12:$A$14,0))*Z3962,2),0)</f>
        <v>0.94</v>
      </c>
      <c r="AB3962" s="2" t="n">
        <f aca="false">IF($I3962="Correct",ROUND(INDEX('Reward Model'!$B$12:$B$14,MATCH($Y3962,'Reward Model'!$A$12:$A$14,0))*Z3962,2),0)</f>
        <v>1.89</v>
      </c>
    </row>
    <row r="3963" customFormat="false" ht="15" hidden="false" customHeight="false" outlineLevel="0" collapsed="false">
      <c r="A3963" s="0" t="s">
        <v>528</v>
      </c>
      <c r="B3963" s="0" t="s">
        <v>529</v>
      </c>
      <c r="C3963" s="0" t="s">
        <v>322</v>
      </c>
      <c r="D3963" s="0" t="s">
        <v>275</v>
      </c>
      <c r="E3963" s="0" t="n">
        <v>2</v>
      </c>
      <c r="F3963" s="0" t="s">
        <v>36</v>
      </c>
      <c r="G3963" s="0" t="s">
        <v>37</v>
      </c>
      <c r="H3963" s="0" t="s">
        <v>38</v>
      </c>
      <c r="I3963" s="0" t="s">
        <v>39</v>
      </c>
      <c r="J3963" s="0" t="n">
        <v>1.45</v>
      </c>
      <c r="K3963" s="0" t="s">
        <v>35</v>
      </c>
      <c r="L3963" s="0" t="n">
        <f aca="false">INDEX(Summary!$F$2:$F$201,MATCH($B3963,Summary!$A$2:$A$201,0))</f>
        <v>20</v>
      </c>
      <c r="M3963" s="0" t="n">
        <f aca="false">INDEX(Summary!$I$2:$I$201,MATCH($B3963,Summary!$A$2:$A$201,0))</f>
        <v>1</v>
      </c>
      <c r="N3963" s="0" t="n">
        <f aca="false">INDEX(Summary!$J$2:$J$201,MATCH($B3963,Summary!$A$2:$A$201,0))</f>
        <v>4</v>
      </c>
      <c r="O3963" s="2" t="n">
        <f aca="false">INDEX(Summary!$K$2:$K$201,MATCH($B3963,Summary!$A$2:$A$201,0))</f>
        <v>8.63</v>
      </c>
      <c r="P3963" s="3" t="n">
        <f aca="false">INDEX(Summary!$L$2:$L$201,MATCH($B3963,Summary!$A$2:$A$201,0))</f>
        <v>1</v>
      </c>
      <c r="Q3963" s="3" t="n">
        <f aca="false">INDEX(Summary!$M$2:$M$201,MATCH($B3963,Summary!$A$2:$A$201,0))</f>
        <v>5</v>
      </c>
      <c r="R3963" s="2" t="n">
        <f aca="false">INDEX(Summary!$N$2:$N$201,MATCH($B3963,Summary!$A$2:$A$201,0))</f>
        <v>10.23</v>
      </c>
      <c r="S3963" s="3" t="n">
        <f aca="false">INDEX(Summary!$O$2:$O$201,MATCH($B3963,Summary!$A$2:$A$201,0))</f>
        <v>7</v>
      </c>
      <c r="T3963" s="3" t="n">
        <f aca="false">INDEX(Summary!$P$2:$P$201,MATCH($B3963,Summary!$A$2:$A$201,0))</f>
        <v>2</v>
      </c>
      <c r="U3963" s="2" t="n">
        <f aca="false">INDEX(Summary!$Q$2:$Q$201,MATCH($B3963,Summary!$A$2:$A$201,0))</f>
        <v>13.44</v>
      </c>
      <c r="V3963" s="2" t="n">
        <f aca="false">INDEX(Summary!$R$2:$R$201,MATCH($B3963,Summary!$A$2:$A$201,0))</f>
        <v>15.6</v>
      </c>
      <c r="W3963" s="0" t="str">
        <f aca="false">INDEX(Summary!$S$2:$S$201,MATCH($B3963,Summary!$A$2:$A$201,0))</f>
        <v>Bronze</v>
      </c>
      <c r="X3963" s="2" t="n">
        <f aca="false">INDEX(Summary!$T$2:$T$201,MATCH($B3963,Summary!$A$2:$A$201,0))</f>
        <v>38.05</v>
      </c>
      <c r="Y3963" s="0" t="str">
        <f aca="false">INDEX('Reward Model'!$E$18:$E$37,MATCH($E3963,'Reward Model'!$A$18:$A$37,0))</f>
        <v>Low</v>
      </c>
      <c r="Z3963" s="4" t="n">
        <f aca="false">ROUND(MIN(1,MAX('Reward Model'!$B$2,INDEX('Reward Model'!$C$12:$C$14,MATCH($K3963,'Reward Model'!$A$12:$A$14,0))/$J3963)),3)</f>
        <v>1</v>
      </c>
      <c r="AA3963" s="2" t="n">
        <f aca="false">IF($I3963="Correct",ROUND(INDEX('Reward Model'!$B$12:$B$14,MATCH($K3963,'Reward Model'!$A$12:$A$14,0))*Z3963,2),0)</f>
        <v>0</v>
      </c>
      <c r="AB3963" s="2" t="n">
        <f aca="false">IF($I3963="Correct",ROUND(INDEX('Reward Model'!$B$12:$B$14,MATCH($Y3963,'Reward Model'!$A$12:$A$14,0))*Z3963,2),0)</f>
        <v>0</v>
      </c>
    </row>
    <row r="3964" customFormat="false" ht="15" hidden="false" customHeight="false" outlineLevel="0" collapsed="false">
      <c r="A3964" s="0" t="s">
        <v>528</v>
      </c>
      <c r="B3964" s="0" t="s">
        <v>529</v>
      </c>
      <c r="C3964" s="0" t="s">
        <v>322</v>
      </c>
      <c r="D3964" s="0" t="s">
        <v>275</v>
      </c>
      <c r="E3964" s="0" t="n">
        <v>3</v>
      </c>
      <c r="F3964" s="0" t="s">
        <v>40</v>
      </c>
      <c r="G3964" s="0" t="s">
        <v>42</v>
      </c>
      <c r="H3964" s="0" t="s">
        <v>42</v>
      </c>
      <c r="I3964" s="0" t="s">
        <v>34</v>
      </c>
      <c r="J3964" s="0" t="n">
        <v>1.65</v>
      </c>
      <c r="K3964" s="0" t="s">
        <v>35</v>
      </c>
      <c r="L3964" s="0" t="n">
        <f aca="false">INDEX(Summary!$F$2:$F$201,MATCH($B3964,Summary!$A$2:$A$201,0))</f>
        <v>20</v>
      </c>
      <c r="M3964" s="0" t="n">
        <f aca="false">INDEX(Summary!$I$2:$I$201,MATCH($B3964,Summary!$A$2:$A$201,0))</f>
        <v>1</v>
      </c>
      <c r="N3964" s="0" t="n">
        <f aca="false">INDEX(Summary!$J$2:$J$201,MATCH($B3964,Summary!$A$2:$A$201,0))</f>
        <v>4</v>
      </c>
      <c r="O3964" s="2" t="n">
        <f aca="false">INDEX(Summary!$K$2:$K$201,MATCH($B3964,Summary!$A$2:$A$201,0))</f>
        <v>8.63</v>
      </c>
      <c r="P3964" s="3" t="n">
        <f aca="false">INDEX(Summary!$L$2:$L$201,MATCH($B3964,Summary!$A$2:$A$201,0))</f>
        <v>1</v>
      </c>
      <c r="Q3964" s="3" t="n">
        <f aca="false">INDEX(Summary!$M$2:$M$201,MATCH($B3964,Summary!$A$2:$A$201,0))</f>
        <v>5</v>
      </c>
      <c r="R3964" s="2" t="n">
        <f aca="false">INDEX(Summary!$N$2:$N$201,MATCH($B3964,Summary!$A$2:$A$201,0))</f>
        <v>10.23</v>
      </c>
      <c r="S3964" s="3" t="n">
        <f aca="false">INDEX(Summary!$O$2:$O$201,MATCH($B3964,Summary!$A$2:$A$201,0))</f>
        <v>7</v>
      </c>
      <c r="T3964" s="3" t="n">
        <f aca="false">INDEX(Summary!$P$2:$P$201,MATCH($B3964,Summary!$A$2:$A$201,0))</f>
        <v>2</v>
      </c>
      <c r="U3964" s="2" t="n">
        <f aca="false">INDEX(Summary!$Q$2:$Q$201,MATCH($B3964,Summary!$A$2:$A$201,0))</f>
        <v>13.44</v>
      </c>
      <c r="V3964" s="2" t="n">
        <f aca="false">INDEX(Summary!$R$2:$R$201,MATCH($B3964,Summary!$A$2:$A$201,0))</f>
        <v>15.6</v>
      </c>
      <c r="W3964" s="0" t="str">
        <f aca="false">INDEX(Summary!$S$2:$S$201,MATCH($B3964,Summary!$A$2:$A$201,0))</f>
        <v>Bronze</v>
      </c>
      <c r="X3964" s="2" t="n">
        <f aca="false">INDEX(Summary!$T$2:$T$201,MATCH($B3964,Summary!$A$2:$A$201,0))</f>
        <v>38.05</v>
      </c>
      <c r="Y3964" s="0" t="str">
        <f aca="false">INDEX('Reward Model'!$E$18:$E$37,MATCH($E3964,'Reward Model'!$A$18:$A$37,0))</f>
        <v>Medium</v>
      </c>
      <c r="Z3964" s="4" t="n">
        <f aca="false">ROUND(MIN(1,MAX('Reward Model'!$B$2,INDEX('Reward Model'!$C$12:$C$14,MATCH($K3964,'Reward Model'!$A$12:$A$14,0))/$J3964)),3)</f>
        <v>0.909</v>
      </c>
      <c r="AA3964" s="2" t="n">
        <f aca="false">IF($I3964="Correct",ROUND(INDEX('Reward Model'!$B$12:$B$14,MATCH($K3964,'Reward Model'!$A$12:$A$14,0))*Z3964,2),0)</f>
        <v>0.91</v>
      </c>
      <c r="AB3964" s="2" t="n">
        <f aca="false">IF($I3964="Correct",ROUND(INDEX('Reward Model'!$B$12:$B$14,MATCH($Y3964,'Reward Model'!$A$12:$A$14,0))*Z3964,2),0)</f>
        <v>1.82</v>
      </c>
    </row>
    <row r="3965" customFormat="false" ht="15" hidden="false" customHeight="false" outlineLevel="0" collapsed="false">
      <c r="A3965" s="0" t="s">
        <v>528</v>
      </c>
      <c r="B3965" s="0" t="s">
        <v>529</v>
      </c>
      <c r="C3965" s="0" t="s">
        <v>322</v>
      </c>
      <c r="D3965" s="0" t="s">
        <v>275</v>
      </c>
      <c r="E3965" s="0" t="n">
        <v>4</v>
      </c>
      <c r="F3965" s="0" t="s">
        <v>43</v>
      </c>
      <c r="G3965" s="0" t="s">
        <v>45</v>
      </c>
      <c r="H3965" s="0" t="s">
        <v>45</v>
      </c>
      <c r="I3965" s="0" t="s">
        <v>34</v>
      </c>
      <c r="J3965" s="0" t="n">
        <v>1.35</v>
      </c>
      <c r="K3965" s="0" t="s">
        <v>35</v>
      </c>
      <c r="L3965" s="0" t="n">
        <f aca="false">INDEX(Summary!$F$2:$F$201,MATCH($B3965,Summary!$A$2:$A$201,0))</f>
        <v>20</v>
      </c>
      <c r="M3965" s="0" t="n">
        <f aca="false">INDEX(Summary!$I$2:$I$201,MATCH($B3965,Summary!$A$2:$A$201,0))</f>
        <v>1</v>
      </c>
      <c r="N3965" s="0" t="n">
        <f aca="false">INDEX(Summary!$J$2:$J$201,MATCH($B3965,Summary!$A$2:$A$201,0))</f>
        <v>4</v>
      </c>
      <c r="O3965" s="2" t="n">
        <f aca="false">INDEX(Summary!$K$2:$K$201,MATCH($B3965,Summary!$A$2:$A$201,0))</f>
        <v>8.63</v>
      </c>
      <c r="P3965" s="3" t="n">
        <f aca="false">INDEX(Summary!$L$2:$L$201,MATCH($B3965,Summary!$A$2:$A$201,0))</f>
        <v>1</v>
      </c>
      <c r="Q3965" s="3" t="n">
        <f aca="false">INDEX(Summary!$M$2:$M$201,MATCH($B3965,Summary!$A$2:$A$201,0))</f>
        <v>5</v>
      </c>
      <c r="R3965" s="2" t="n">
        <f aca="false">INDEX(Summary!$N$2:$N$201,MATCH($B3965,Summary!$A$2:$A$201,0))</f>
        <v>10.23</v>
      </c>
      <c r="S3965" s="3" t="n">
        <f aca="false">INDEX(Summary!$O$2:$O$201,MATCH($B3965,Summary!$A$2:$A$201,0))</f>
        <v>7</v>
      </c>
      <c r="T3965" s="3" t="n">
        <f aca="false">INDEX(Summary!$P$2:$P$201,MATCH($B3965,Summary!$A$2:$A$201,0))</f>
        <v>2</v>
      </c>
      <c r="U3965" s="2" t="n">
        <f aca="false">INDEX(Summary!$Q$2:$Q$201,MATCH($B3965,Summary!$A$2:$A$201,0))</f>
        <v>13.44</v>
      </c>
      <c r="V3965" s="2" t="n">
        <f aca="false">INDEX(Summary!$R$2:$R$201,MATCH($B3965,Summary!$A$2:$A$201,0))</f>
        <v>15.6</v>
      </c>
      <c r="W3965" s="0" t="str">
        <f aca="false">INDEX(Summary!$S$2:$S$201,MATCH($B3965,Summary!$A$2:$A$201,0))</f>
        <v>Bronze</v>
      </c>
      <c r="X3965" s="2" t="n">
        <f aca="false">INDEX(Summary!$T$2:$T$201,MATCH($B3965,Summary!$A$2:$A$201,0))</f>
        <v>38.05</v>
      </c>
      <c r="Y3965" s="0" t="str">
        <f aca="false">INDEX('Reward Model'!$E$18:$E$37,MATCH($E3965,'Reward Model'!$A$18:$A$37,0))</f>
        <v>Low</v>
      </c>
      <c r="Z3965" s="4" t="n">
        <f aca="false">ROUND(MIN(1,MAX('Reward Model'!$B$2,INDEX('Reward Model'!$C$12:$C$14,MATCH($K3965,'Reward Model'!$A$12:$A$14,0))/$J3965)),3)</f>
        <v>1</v>
      </c>
      <c r="AA3965" s="2" t="n">
        <f aca="false">IF($I3965="Correct",ROUND(INDEX('Reward Model'!$B$12:$B$14,MATCH($K3965,'Reward Model'!$A$12:$A$14,0))*Z3965,2),0)</f>
        <v>1</v>
      </c>
      <c r="AB3965" s="2" t="n">
        <f aca="false">IF($I3965="Correct",ROUND(INDEX('Reward Model'!$B$12:$B$14,MATCH($Y3965,'Reward Model'!$A$12:$A$14,0))*Z3965,2),0)</f>
        <v>1</v>
      </c>
    </row>
    <row r="3966" customFormat="false" ht="15" hidden="false" customHeight="false" outlineLevel="0" collapsed="false">
      <c r="A3966" s="0" t="s">
        <v>528</v>
      </c>
      <c r="B3966" s="0" t="s">
        <v>529</v>
      </c>
      <c r="C3966" s="0" t="s">
        <v>322</v>
      </c>
      <c r="D3966" s="0" t="s">
        <v>275</v>
      </c>
      <c r="E3966" s="0" t="n">
        <v>5</v>
      </c>
      <c r="F3966" s="0" t="s">
        <v>46</v>
      </c>
      <c r="G3966" s="0" t="s">
        <v>47</v>
      </c>
      <c r="H3966" s="0" t="s">
        <v>47</v>
      </c>
      <c r="I3966" s="0" t="s">
        <v>34</v>
      </c>
      <c r="J3966" s="0" t="n">
        <v>1.69</v>
      </c>
      <c r="K3966" s="0" t="s">
        <v>35</v>
      </c>
      <c r="L3966" s="0" t="n">
        <f aca="false">INDEX(Summary!$F$2:$F$201,MATCH($B3966,Summary!$A$2:$A$201,0))</f>
        <v>20</v>
      </c>
      <c r="M3966" s="0" t="n">
        <f aca="false">INDEX(Summary!$I$2:$I$201,MATCH($B3966,Summary!$A$2:$A$201,0))</f>
        <v>1</v>
      </c>
      <c r="N3966" s="0" t="n">
        <f aca="false">INDEX(Summary!$J$2:$J$201,MATCH($B3966,Summary!$A$2:$A$201,0))</f>
        <v>4</v>
      </c>
      <c r="O3966" s="2" t="n">
        <f aca="false">INDEX(Summary!$K$2:$K$201,MATCH($B3966,Summary!$A$2:$A$201,0))</f>
        <v>8.63</v>
      </c>
      <c r="P3966" s="3" t="n">
        <f aca="false">INDEX(Summary!$L$2:$L$201,MATCH($B3966,Summary!$A$2:$A$201,0))</f>
        <v>1</v>
      </c>
      <c r="Q3966" s="3" t="n">
        <f aca="false">INDEX(Summary!$M$2:$M$201,MATCH($B3966,Summary!$A$2:$A$201,0))</f>
        <v>5</v>
      </c>
      <c r="R3966" s="2" t="n">
        <f aca="false">INDEX(Summary!$N$2:$N$201,MATCH($B3966,Summary!$A$2:$A$201,0))</f>
        <v>10.23</v>
      </c>
      <c r="S3966" s="3" t="n">
        <f aca="false">INDEX(Summary!$O$2:$O$201,MATCH($B3966,Summary!$A$2:$A$201,0))</f>
        <v>7</v>
      </c>
      <c r="T3966" s="3" t="n">
        <f aca="false">INDEX(Summary!$P$2:$P$201,MATCH($B3966,Summary!$A$2:$A$201,0))</f>
        <v>2</v>
      </c>
      <c r="U3966" s="2" t="n">
        <f aca="false">INDEX(Summary!$Q$2:$Q$201,MATCH($B3966,Summary!$A$2:$A$201,0))</f>
        <v>13.44</v>
      </c>
      <c r="V3966" s="2" t="n">
        <f aca="false">INDEX(Summary!$R$2:$R$201,MATCH($B3966,Summary!$A$2:$A$201,0))</f>
        <v>15.6</v>
      </c>
      <c r="W3966" s="0" t="str">
        <f aca="false">INDEX(Summary!$S$2:$S$201,MATCH($B3966,Summary!$A$2:$A$201,0))</f>
        <v>Bronze</v>
      </c>
      <c r="X3966" s="2" t="n">
        <f aca="false">INDEX(Summary!$T$2:$T$201,MATCH($B3966,Summary!$A$2:$A$201,0))</f>
        <v>38.05</v>
      </c>
      <c r="Y3966" s="0" t="str">
        <f aca="false">INDEX('Reward Model'!$E$18:$E$37,MATCH($E3966,'Reward Model'!$A$18:$A$37,0))</f>
        <v>Low</v>
      </c>
      <c r="Z3966" s="4" t="n">
        <f aca="false">ROUND(MIN(1,MAX('Reward Model'!$B$2,INDEX('Reward Model'!$C$12:$C$14,MATCH($K3966,'Reward Model'!$A$12:$A$14,0))/$J3966)),3)</f>
        <v>0.888</v>
      </c>
      <c r="AA3966" s="2" t="n">
        <f aca="false">IF($I3966="Correct",ROUND(INDEX('Reward Model'!$B$12:$B$14,MATCH($K3966,'Reward Model'!$A$12:$A$14,0))*Z3966,2),0)</f>
        <v>0.89</v>
      </c>
      <c r="AB3966" s="2" t="n">
        <f aca="false">IF($I3966="Correct",ROUND(INDEX('Reward Model'!$B$12:$B$14,MATCH($Y3966,'Reward Model'!$A$12:$A$14,0))*Z3966,2),0)</f>
        <v>0.89</v>
      </c>
    </row>
    <row r="3967" customFormat="false" ht="15" hidden="false" customHeight="false" outlineLevel="0" collapsed="false">
      <c r="A3967" s="0" t="s">
        <v>528</v>
      </c>
      <c r="B3967" s="0" t="s">
        <v>529</v>
      </c>
      <c r="C3967" s="0" t="s">
        <v>322</v>
      </c>
      <c r="D3967" s="0" t="s">
        <v>275</v>
      </c>
      <c r="E3967" s="0" t="n">
        <v>6</v>
      </c>
      <c r="F3967" s="0" t="s">
        <v>48</v>
      </c>
      <c r="G3967" s="0" t="s">
        <v>49</v>
      </c>
      <c r="H3967" s="0" t="s">
        <v>49</v>
      </c>
      <c r="I3967" s="0" t="s">
        <v>34</v>
      </c>
      <c r="J3967" s="0" t="n">
        <v>0.94</v>
      </c>
      <c r="K3967" s="0" t="s">
        <v>35</v>
      </c>
      <c r="L3967" s="0" t="n">
        <f aca="false">INDEX(Summary!$F$2:$F$201,MATCH($B3967,Summary!$A$2:$A$201,0))</f>
        <v>20</v>
      </c>
      <c r="M3967" s="0" t="n">
        <f aca="false">INDEX(Summary!$I$2:$I$201,MATCH($B3967,Summary!$A$2:$A$201,0))</f>
        <v>1</v>
      </c>
      <c r="N3967" s="0" t="n">
        <f aca="false">INDEX(Summary!$J$2:$J$201,MATCH($B3967,Summary!$A$2:$A$201,0))</f>
        <v>4</v>
      </c>
      <c r="O3967" s="2" t="n">
        <f aca="false">INDEX(Summary!$K$2:$K$201,MATCH($B3967,Summary!$A$2:$A$201,0))</f>
        <v>8.63</v>
      </c>
      <c r="P3967" s="3" t="n">
        <f aca="false">INDEX(Summary!$L$2:$L$201,MATCH($B3967,Summary!$A$2:$A$201,0))</f>
        <v>1</v>
      </c>
      <c r="Q3967" s="3" t="n">
        <f aca="false">INDEX(Summary!$M$2:$M$201,MATCH($B3967,Summary!$A$2:$A$201,0))</f>
        <v>5</v>
      </c>
      <c r="R3967" s="2" t="n">
        <f aca="false">INDEX(Summary!$N$2:$N$201,MATCH($B3967,Summary!$A$2:$A$201,0))</f>
        <v>10.23</v>
      </c>
      <c r="S3967" s="3" t="n">
        <f aca="false">INDEX(Summary!$O$2:$O$201,MATCH($B3967,Summary!$A$2:$A$201,0))</f>
        <v>7</v>
      </c>
      <c r="T3967" s="3" t="n">
        <f aca="false">INDEX(Summary!$P$2:$P$201,MATCH($B3967,Summary!$A$2:$A$201,0))</f>
        <v>2</v>
      </c>
      <c r="U3967" s="2" t="n">
        <f aca="false">INDEX(Summary!$Q$2:$Q$201,MATCH($B3967,Summary!$A$2:$A$201,0))</f>
        <v>13.44</v>
      </c>
      <c r="V3967" s="2" t="n">
        <f aca="false">INDEX(Summary!$R$2:$R$201,MATCH($B3967,Summary!$A$2:$A$201,0))</f>
        <v>15.6</v>
      </c>
      <c r="W3967" s="0" t="str">
        <f aca="false">INDEX(Summary!$S$2:$S$201,MATCH($B3967,Summary!$A$2:$A$201,0))</f>
        <v>Bronze</v>
      </c>
      <c r="X3967" s="2" t="n">
        <f aca="false">INDEX(Summary!$T$2:$T$201,MATCH($B3967,Summary!$A$2:$A$201,0))</f>
        <v>38.05</v>
      </c>
      <c r="Y3967" s="0" t="str">
        <f aca="false">INDEX('Reward Model'!$E$18:$E$37,MATCH($E3967,'Reward Model'!$A$18:$A$37,0))</f>
        <v>Medium</v>
      </c>
      <c r="Z3967" s="4" t="n">
        <f aca="false">ROUND(MIN(1,MAX('Reward Model'!$B$2,INDEX('Reward Model'!$C$12:$C$14,MATCH($K3967,'Reward Model'!$A$12:$A$14,0))/$J3967)),3)</f>
        <v>1</v>
      </c>
      <c r="AA3967" s="2" t="n">
        <f aca="false">IF($I3967="Correct",ROUND(INDEX('Reward Model'!$B$12:$B$14,MATCH($K3967,'Reward Model'!$A$12:$A$14,0))*Z3967,2),0)</f>
        <v>1</v>
      </c>
      <c r="AB3967" s="2" t="n">
        <f aca="false">IF($I3967="Correct",ROUND(INDEX('Reward Model'!$B$12:$B$14,MATCH($Y3967,'Reward Model'!$A$12:$A$14,0))*Z3967,2),0)</f>
        <v>2</v>
      </c>
    </row>
    <row r="3968" customFormat="false" ht="15" hidden="false" customHeight="false" outlineLevel="0" collapsed="false">
      <c r="A3968" s="0" t="s">
        <v>528</v>
      </c>
      <c r="B3968" s="0" t="s">
        <v>529</v>
      </c>
      <c r="C3968" s="0" t="s">
        <v>322</v>
      </c>
      <c r="D3968" s="0" t="s">
        <v>275</v>
      </c>
      <c r="E3968" s="0" t="n">
        <v>7</v>
      </c>
      <c r="F3968" s="0" t="s">
        <v>50</v>
      </c>
      <c r="G3968" s="0" t="s">
        <v>51</v>
      </c>
      <c r="H3968" s="0" t="s">
        <v>51</v>
      </c>
      <c r="I3968" s="0" t="s">
        <v>34</v>
      </c>
      <c r="J3968" s="0" t="n">
        <v>1.49</v>
      </c>
      <c r="K3968" s="0" t="s">
        <v>35</v>
      </c>
      <c r="L3968" s="0" t="n">
        <f aca="false">INDEX(Summary!$F$2:$F$201,MATCH($B3968,Summary!$A$2:$A$201,0))</f>
        <v>20</v>
      </c>
      <c r="M3968" s="0" t="n">
        <f aca="false">INDEX(Summary!$I$2:$I$201,MATCH($B3968,Summary!$A$2:$A$201,0))</f>
        <v>1</v>
      </c>
      <c r="N3968" s="0" t="n">
        <f aca="false">INDEX(Summary!$J$2:$J$201,MATCH($B3968,Summary!$A$2:$A$201,0))</f>
        <v>4</v>
      </c>
      <c r="O3968" s="2" t="n">
        <f aca="false">INDEX(Summary!$K$2:$K$201,MATCH($B3968,Summary!$A$2:$A$201,0))</f>
        <v>8.63</v>
      </c>
      <c r="P3968" s="3" t="n">
        <f aca="false">INDEX(Summary!$L$2:$L$201,MATCH($B3968,Summary!$A$2:$A$201,0))</f>
        <v>1</v>
      </c>
      <c r="Q3968" s="3" t="n">
        <f aca="false">INDEX(Summary!$M$2:$M$201,MATCH($B3968,Summary!$A$2:$A$201,0))</f>
        <v>5</v>
      </c>
      <c r="R3968" s="2" t="n">
        <f aca="false">INDEX(Summary!$N$2:$N$201,MATCH($B3968,Summary!$A$2:$A$201,0))</f>
        <v>10.23</v>
      </c>
      <c r="S3968" s="3" t="n">
        <f aca="false">INDEX(Summary!$O$2:$O$201,MATCH($B3968,Summary!$A$2:$A$201,0))</f>
        <v>7</v>
      </c>
      <c r="T3968" s="3" t="n">
        <f aca="false">INDEX(Summary!$P$2:$P$201,MATCH($B3968,Summary!$A$2:$A$201,0))</f>
        <v>2</v>
      </c>
      <c r="U3968" s="2" t="n">
        <f aca="false">INDEX(Summary!$Q$2:$Q$201,MATCH($B3968,Summary!$A$2:$A$201,0))</f>
        <v>13.44</v>
      </c>
      <c r="V3968" s="2" t="n">
        <f aca="false">INDEX(Summary!$R$2:$R$201,MATCH($B3968,Summary!$A$2:$A$201,0))</f>
        <v>15.6</v>
      </c>
      <c r="W3968" s="0" t="str">
        <f aca="false">INDEX(Summary!$S$2:$S$201,MATCH($B3968,Summary!$A$2:$A$201,0))</f>
        <v>Bronze</v>
      </c>
      <c r="X3968" s="2" t="n">
        <f aca="false">INDEX(Summary!$T$2:$T$201,MATCH($B3968,Summary!$A$2:$A$201,0))</f>
        <v>38.05</v>
      </c>
      <c r="Y3968" s="0" t="str">
        <f aca="false">INDEX('Reward Model'!$E$18:$E$37,MATCH($E3968,'Reward Model'!$A$18:$A$37,0))</f>
        <v>Low</v>
      </c>
      <c r="Z3968" s="4" t="n">
        <f aca="false">ROUND(MIN(1,MAX('Reward Model'!$B$2,INDEX('Reward Model'!$C$12:$C$14,MATCH($K3968,'Reward Model'!$A$12:$A$14,0))/$J3968)),3)</f>
        <v>1</v>
      </c>
      <c r="AA3968" s="2" t="n">
        <f aca="false">IF($I3968="Correct",ROUND(INDEX('Reward Model'!$B$12:$B$14,MATCH($K3968,'Reward Model'!$A$12:$A$14,0))*Z3968,2),0)</f>
        <v>1</v>
      </c>
      <c r="AB3968" s="2" t="n">
        <f aca="false">IF($I3968="Correct",ROUND(INDEX('Reward Model'!$B$12:$B$14,MATCH($Y3968,'Reward Model'!$A$12:$A$14,0))*Z3968,2),0)</f>
        <v>1</v>
      </c>
    </row>
    <row r="3969" customFormat="false" ht="15" hidden="false" customHeight="false" outlineLevel="0" collapsed="false">
      <c r="A3969" s="0" t="s">
        <v>528</v>
      </c>
      <c r="B3969" s="0" t="s">
        <v>529</v>
      </c>
      <c r="C3969" s="0" t="s">
        <v>322</v>
      </c>
      <c r="D3969" s="0" t="s">
        <v>275</v>
      </c>
      <c r="E3969" s="0" t="n">
        <v>8</v>
      </c>
      <c r="F3969" s="0" t="s">
        <v>52</v>
      </c>
      <c r="G3969" s="0" t="s">
        <v>93</v>
      </c>
      <c r="H3969" s="0" t="s">
        <v>54</v>
      </c>
      <c r="I3969" s="0" t="s">
        <v>39</v>
      </c>
      <c r="J3969" s="0" t="n">
        <v>1.84</v>
      </c>
      <c r="K3969" s="0" t="s">
        <v>35</v>
      </c>
      <c r="L3969" s="0" t="n">
        <f aca="false">INDEX(Summary!$F$2:$F$201,MATCH($B3969,Summary!$A$2:$A$201,0))</f>
        <v>20</v>
      </c>
      <c r="M3969" s="0" t="n">
        <f aca="false">INDEX(Summary!$I$2:$I$201,MATCH($B3969,Summary!$A$2:$A$201,0))</f>
        <v>1</v>
      </c>
      <c r="N3969" s="0" t="n">
        <f aca="false">INDEX(Summary!$J$2:$J$201,MATCH($B3969,Summary!$A$2:$A$201,0))</f>
        <v>4</v>
      </c>
      <c r="O3969" s="2" t="n">
        <f aca="false">INDEX(Summary!$K$2:$K$201,MATCH($B3969,Summary!$A$2:$A$201,0))</f>
        <v>8.63</v>
      </c>
      <c r="P3969" s="3" t="n">
        <f aca="false">INDEX(Summary!$L$2:$L$201,MATCH($B3969,Summary!$A$2:$A$201,0))</f>
        <v>1</v>
      </c>
      <c r="Q3969" s="3" t="n">
        <f aca="false">INDEX(Summary!$M$2:$M$201,MATCH($B3969,Summary!$A$2:$A$201,0))</f>
        <v>5</v>
      </c>
      <c r="R3969" s="2" t="n">
        <f aca="false">INDEX(Summary!$N$2:$N$201,MATCH($B3969,Summary!$A$2:$A$201,0))</f>
        <v>10.23</v>
      </c>
      <c r="S3969" s="3" t="n">
        <f aca="false">INDEX(Summary!$O$2:$O$201,MATCH($B3969,Summary!$A$2:$A$201,0))</f>
        <v>7</v>
      </c>
      <c r="T3969" s="3" t="n">
        <f aca="false">INDEX(Summary!$P$2:$P$201,MATCH($B3969,Summary!$A$2:$A$201,0))</f>
        <v>2</v>
      </c>
      <c r="U3969" s="2" t="n">
        <f aca="false">INDEX(Summary!$Q$2:$Q$201,MATCH($B3969,Summary!$A$2:$A$201,0))</f>
        <v>13.44</v>
      </c>
      <c r="V3969" s="2" t="n">
        <f aca="false">INDEX(Summary!$R$2:$R$201,MATCH($B3969,Summary!$A$2:$A$201,0))</f>
        <v>15.6</v>
      </c>
      <c r="W3969" s="0" t="str">
        <f aca="false">INDEX(Summary!$S$2:$S$201,MATCH($B3969,Summary!$A$2:$A$201,0))</f>
        <v>Bronze</v>
      </c>
      <c r="X3969" s="2" t="n">
        <f aca="false">INDEX(Summary!$T$2:$T$201,MATCH($B3969,Summary!$A$2:$A$201,0))</f>
        <v>38.05</v>
      </c>
      <c r="Y3969" s="0" t="str">
        <f aca="false">INDEX('Reward Model'!$E$18:$E$37,MATCH($E3969,'Reward Model'!$A$18:$A$37,0))</f>
        <v>Medium</v>
      </c>
      <c r="Z3969" s="4" t="n">
        <f aca="false">ROUND(MIN(1,MAX('Reward Model'!$B$2,INDEX('Reward Model'!$C$12:$C$14,MATCH($K3969,'Reward Model'!$A$12:$A$14,0))/$J3969)),3)</f>
        <v>0.815</v>
      </c>
      <c r="AA3969" s="2" t="n">
        <f aca="false">IF($I3969="Correct",ROUND(INDEX('Reward Model'!$B$12:$B$14,MATCH($K3969,'Reward Model'!$A$12:$A$14,0))*Z3969,2),0)</f>
        <v>0</v>
      </c>
      <c r="AB3969" s="2" t="n">
        <f aca="false">IF($I3969="Correct",ROUND(INDEX('Reward Model'!$B$12:$B$14,MATCH($Y3969,'Reward Model'!$A$12:$A$14,0))*Z3969,2),0)</f>
        <v>0</v>
      </c>
    </row>
    <row r="3970" customFormat="false" ht="15" hidden="false" customHeight="false" outlineLevel="0" collapsed="false">
      <c r="A3970" s="0" t="s">
        <v>528</v>
      </c>
      <c r="B3970" s="0" t="s">
        <v>529</v>
      </c>
      <c r="C3970" s="0" t="s">
        <v>322</v>
      </c>
      <c r="D3970" s="0" t="s">
        <v>275</v>
      </c>
      <c r="E3970" s="0" t="n">
        <v>9</v>
      </c>
      <c r="F3970" s="0" t="s">
        <v>55</v>
      </c>
      <c r="G3970" s="0" t="s">
        <v>57</v>
      </c>
      <c r="H3970" s="0" t="s">
        <v>57</v>
      </c>
      <c r="I3970" s="0" t="s">
        <v>34</v>
      </c>
      <c r="J3970" s="0" t="n">
        <v>1.44</v>
      </c>
      <c r="K3970" s="0" t="s">
        <v>35</v>
      </c>
      <c r="L3970" s="0" t="n">
        <f aca="false">INDEX(Summary!$F$2:$F$201,MATCH($B3970,Summary!$A$2:$A$201,0))</f>
        <v>20</v>
      </c>
      <c r="M3970" s="0" t="n">
        <f aca="false">INDEX(Summary!$I$2:$I$201,MATCH($B3970,Summary!$A$2:$A$201,0))</f>
        <v>1</v>
      </c>
      <c r="N3970" s="0" t="n">
        <f aca="false">INDEX(Summary!$J$2:$J$201,MATCH($B3970,Summary!$A$2:$A$201,0))</f>
        <v>4</v>
      </c>
      <c r="O3970" s="2" t="n">
        <f aca="false">INDEX(Summary!$K$2:$K$201,MATCH($B3970,Summary!$A$2:$A$201,0))</f>
        <v>8.63</v>
      </c>
      <c r="P3970" s="3" t="n">
        <f aca="false">INDEX(Summary!$L$2:$L$201,MATCH($B3970,Summary!$A$2:$A$201,0))</f>
        <v>1</v>
      </c>
      <c r="Q3970" s="3" t="n">
        <f aca="false">INDEX(Summary!$M$2:$M$201,MATCH($B3970,Summary!$A$2:$A$201,0))</f>
        <v>5</v>
      </c>
      <c r="R3970" s="2" t="n">
        <f aca="false">INDEX(Summary!$N$2:$N$201,MATCH($B3970,Summary!$A$2:$A$201,0))</f>
        <v>10.23</v>
      </c>
      <c r="S3970" s="3" t="n">
        <f aca="false">INDEX(Summary!$O$2:$O$201,MATCH($B3970,Summary!$A$2:$A$201,0))</f>
        <v>7</v>
      </c>
      <c r="T3970" s="3" t="n">
        <f aca="false">INDEX(Summary!$P$2:$P$201,MATCH($B3970,Summary!$A$2:$A$201,0))</f>
        <v>2</v>
      </c>
      <c r="U3970" s="2" t="n">
        <f aca="false">INDEX(Summary!$Q$2:$Q$201,MATCH($B3970,Summary!$A$2:$A$201,0))</f>
        <v>13.44</v>
      </c>
      <c r="V3970" s="2" t="n">
        <f aca="false">INDEX(Summary!$R$2:$R$201,MATCH($B3970,Summary!$A$2:$A$201,0))</f>
        <v>15.6</v>
      </c>
      <c r="W3970" s="0" t="str">
        <f aca="false">INDEX(Summary!$S$2:$S$201,MATCH($B3970,Summary!$A$2:$A$201,0))</f>
        <v>Bronze</v>
      </c>
      <c r="X3970" s="2" t="n">
        <f aca="false">INDEX(Summary!$T$2:$T$201,MATCH($B3970,Summary!$A$2:$A$201,0))</f>
        <v>38.05</v>
      </c>
      <c r="Y3970" s="0" t="str">
        <f aca="false">INDEX('Reward Model'!$E$18:$E$37,MATCH($E3970,'Reward Model'!$A$18:$A$37,0))</f>
        <v>Medium</v>
      </c>
      <c r="Z3970" s="4" t="n">
        <f aca="false">ROUND(MIN(1,MAX('Reward Model'!$B$2,INDEX('Reward Model'!$C$12:$C$14,MATCH($K3970,'Reward Model'!$A$12:$A$14,0))/$J3970)),3)</f>
        <v>1</v>
      </c>
      <c r="AA3970" s="2" t="n">
        <f aca="false">IF($I3970="Correct",ROUND(INDEX('Reward Model'!$B$12:$B$14,MATCH($K3970,'Reward Model'!$A$12:$A$14,0))*Z3970,2),0)</f>
        <v>1</v>
      </c>
      <c r="AB3970" s="2" t="n">
        <f aca="false">IF($I3970="Correct",ROUND(INDEX('Reward Model'!$B$12:$B$14,MATCH($Y3970,'Reward Model'!$A$12:$A$14,0))*Z3970,2),0)</f>
        <v>2</v>
      </c>
    </row>
    <row r="3971" customFormat="false" ht="15" hidden="false" customHeight="false" outlineLevel="0" collapsed="false">
      <c r="A3971" s="0" t="s">
        <v>528</v>
      </c>
      <c r="B3971" s="0" t="s">
        <v>529</v>
      </c>
      <c r="C3971" s="0" t="s">
        <v>322</v>
      </c>
      <c r="D3971" s="0" t="s">
        <v>275</v>
      </c>
      <c r="E3971" s="0" t="n">
        <v>10</v>
      </c>
      <c r="F3971" s="0" t="s">
        <v>58</v>
      </c>
      <c r="G3971" s="0" t="s">
        <v>174</v>
      </c>
      <c r="H3971" s="0" t="s">
        <v>59</v>
      </c>
      <c r="I3971" s="0" t="s">
        <v>39</v>
      </c>
      <c r="J3971" s="0" t="n">
        <v>1.97</v>
      </c>
      <c r="K3971" s="0" t="s">
        <v>60</v>
      </c>
      <c r="L3971" s="0" t="n">
        <f aca="false">INDEX(Summary!$F$2:$F$201,MATCH($B3971,Summary!$A$2:$A$201,0))</f>
        <v>20</v>
      </c>
      <c r="M3971" s="0" t="n">
        <f aca="false">INDEX(Summary!$I$2:$I$201,MATCH($B3971,Summary!$A$2:$A$201,0))</f>
        <v>1</v>
      </c>
      <c r="N3971" s="0" t="n">
        <f aca="false">INDEX(Summary!$J$2:$J$201,MATCH($B3971,Summary!$A$2:$A$201,0))</f>
        <v>4</v>
      </c>
      <c r="O3971" s="2" t="n">
        <f aca="false">INDEX(Summary!$K$2:$K$201,MATCH($B3971,Summary!$A$2:$A$201,0))</f>
        <v>8.63</v>
      </c>
      <c r="P3971" s="3" t="n">
        <f aca="false">INDEX(Summary!$L$2:$L$201,MATCH($B3971,Summary!$A$2:$A$201,0))</f>
        <v>1</v>
      </c>
      <c r="Q3971" s="3" t="n">
        <f aca="false">INDEX(Summary!$M$2:$M$201,MATCH($B3971,Summary!$A$2:$A$201,0))</f>
        <v>5</v>
      </c>
      <c r="R3971" s="2" t="n">
        <f aca="false">INDEX(Summary!$N$2:$N$201,MATCH($B3971,Summary!$A$2:$A$201,0))</f>
        <v>10.23</v>
      </c>
      <c r="S3971" s="3" t="n">
        <f aca="false">INDEX(Summary!$O$2:$O$201,MATCH($B3971,Summary!$A$2:$A$201,0))</f>
        <v>7</v>
      </c>
      <c r="T3971" s="3" t="n">
        <f aca="false">INDEX(Summary!$P$2:$P$201,MATCH($B3971,Summary!$A$2:$A$201,0))</f>
        <v>2</v>
      </c>
      <c r="U3971" s="2" t="n">
        <f aca="false">INDEX(Summary!$Q$2:$Q$201,MATCH($B3971,Summary!$A$2:$A$201,0))</f>
        <v>13.44</v>
      </c>
      <c r="V3971" s="2" t="n">
        <f aca="false">INDEX(Summary!$R$2:$R$201,MATCH($B3971,Summary!$A$2:$A$201,0))</f>
        <v>15.6</v>
      </c>
      <c r="W3971" s="0" t="str">
        <f aca="false">INDEX(Summary!$S$2:$S$201,MATCH($B3971,Summary!$A$2:$A$201,0))</f>
        <v>Bronze</v>
      </c>
      <c r="X3971" s="2" t="n">
        <f aca="false">INDEX(Summary!$T$2:$T$201,MATCH($B3971,Summary!$A$2:$A$201,0))</f>
        <v>38.05</v>
      </c>
      <c r="Y3971" s="0" t="str">
        <f aca="false">INDEX('Reward Model'!$E$18:$E$37,MATCH($E3971,'Reward Model'!$A$18:$A$37,0))</f>
        <v>Medium</v>
      </c>
      <c r="Z3971" s="4" t="n">
        <f aca="false">ROUND(MIN(1,MAX('Reward Model'!$B$2,INDEX('Reward Model'!$C$12:$C$14,MATCH($K3971,'Reward Model'!$A$12:$A$14,0))/$J3971)),3)</f>
        <v>0.914</v>
      </c>
      <c r="AA3971" s="2" t="n">
        <f aca="false">IF($I3971="Correct",ROUND(INDEX('Reward Model'!$B$12:$B$14,MATCH($K3971,'Reward Model'!$A$12:$A$14,0))*Z3971,2),0)</f>
        <v>0</v>
      </c>
      <c r="AB3971" s="2" t="n">
        <f aca="false">IF($I3971="Correct",ROUND(INDEX('Reward Model'!$B$12:$B$14,MATCH($Y3971,'Reward Model'!$A$12:$A$14,0))*Z3971,2),0)</f>
        <v>0</v>
      </c>
    </row>
    <row r="3972" customFormat="false" ht="15" hidden="false" customHeight="false" outlineLevel="0" collapsed="false">
      <c r="A3972" s="0" t="s">
        <v>528</v>
      </c>
      <c r="B3972" s="0" t="s">
        <v>529</v>
      </c>
      <c r="C3972" s="0" t="s">
        <v>322</v>
      </c>
      <c r="D3972" s="0" t="s">
        <v>275</v>
      </c>
      <c r="E3972" s="0" t="n">
        <v>11</v>
      </c>
      <c r="F3972" s="0" t="s">
        <v>61</v>
      </c>
      <c r="G3972" s="0" t="s">
        <v>63</v>
      </c>
      <c r="H3972" s="0" t="s">
        <v>63</v>
      </c>
      <c r="I3972" s="0" t="s">
        <v>34</v>
      </c>
      <c r="J3972" s="0" t="n">
        <v>1.63</v>
      </c>
      <c r="K3972" s="0" t="s">
        <v>60</v>
      </c>
      <c r="L3972" s="0" t="n">
        <f aca="false">INDEX(Summary!$F$2:$F$201,MATCH($B3972,Summary!$A$2:$A$201,0))</f>
        <v>20</v>
      </c>
      <c r="M3972" s="0" t="n">
        <f aca="false">INDEX(Summary!$I$2:$I$201,MATCH($B3972,Summary!$A$2:$A$201,0))</f>
        <v>1</v>
      </c>
      <c r="N3972" s="0" t="n">
        <f aca="false">INDEX(Summary!$J$2:$J$201,MATCH($B3972,Summary!$A$2:$A$201,0))</f>
        <v>4</v>
      </c>
      <c r="O3972" s="2" t="n">
        <f aca="false">INDEX(Summary!$K$2:$K$201,MATCH($B3972,Summary!$A$2:$A$201,0))</f>
        <v>8.63</v>
      </c>
      <c r="P3972" s="3" t="n">
        <f aca="false">INDEX(Summary!$L$2:$L$201,MATCH($B3972,Summary!$A$2:$A$201,0))</f>
        <v>1</v>
      </c>
      <c r="Q3972" s="3" t="n">
        <f aca="false">INDEX(Summary!$M$2:$M$201,MATCH($B3972,Summary!$A$2:$A$201,0))</f>
        <v>5</v>
      </c>
      <c r="R3972" s="2" t="n">
        <f aca="false">INDEX(Summary!$N$2:$N$201,MATCH($B3972,Summary!$A$2:$A$201,0))</f>
        <v>10.23</v>
      </c>
      <c r="S3972" s="3" t="n">
        <f aca="false">INDEX(Summary!$O$2:$O$201,MATCH($B3972,Summary!$A$2:$A$201,0))</f>
        <v>7</v>
      </c>
      <c r="T3972" s="3" t="n">
        <f aca="false">INDEX(Summary!$P$2:$P$201,MATCH($B3972,Summary!$A$2:$A$201,0))</f>
        <v>2</v>
      </c>
      <c r="U3972" s="2" t="n">
        <f aca="false">INDEX(Summary!$Q$2:$Q$201,MATCH($B3972,Summary!$A$2:$A$201,0))</f>
        <v>13.44</v>
      </c>
      <c r="V3972" s="2" t="n">
        <f aca="false">INDEX(Summary!$R$2:$R$201,MATCH($B3972,Summary!$A$2:$A$201,0))</f>
        <v>15.6</v>
      </c>
      <c r="W3972" s="0" t="str">
        <f aca="false">INDEX(Summary!$S$2:$S$201,MATCH($B3972,Summary!$A$2:$A$201,0))</f>
        <v>Bronze</v>
      </c>
      <c r="X3972" s="2" t="n">
        <f aca="false">INDEX(Summary!$T$2:$T$201,MATCH($B3972,Summary!$A$2:$A$201,0))</f>
        <v>38.05</v>
      </c>
      <c r="Y3972" s="0" t="str">
        <f aca="false">INDEX('Reward Model'!$E$18:$E$37,MATCH($E3972,'Reward Model'!$A$18:$A$37,0))</f>
        <v>Medium</v>
      </c>
      <c r="Z3972" s="4" t="n">
        <f aca="false">ROUND(MIN(1,MAX('Reward Model'!$B$2,INDEX('Reward Model'!$C$12:$C$14,MATCH($K3972,'Reward Model'!$A$12:$A$14,0))/$J3972)),3)</f>
        <v>1</v>
      </c>
      <c r="AA3972" s="2" t="n">
        <f aca="false">IF($I3972="Correct",ROUND(INDEX('Reward Model'!$B$12:$B$14,MATCH($K3972,'Reward Model'!$A$12:$A$14,0))*Z3972,2),0)</f>
        <v>2</v>
      </c>
      <c r="AB3972" s="2" t="n">
        <f aca="false">IF($I3972="Correct",ROUND(INDEX('Reward Model'!$B$12:$B$14,MATCH($Y3972,'Reward Model'!$A$12:$A$14,0))*Z3972,2),0)</f>
        <v>2</v>
      </c>
    </row>
    <row r="3973" customFormat="false" ht="15" hidden="false" customHeight="false" outlineLevel="0" collapsed="false">
      <c r="A3973" s="0" t="s">
        <v>528</v>
      </c>
      <c r="B3973" s="0" t="s">
        <v>529</v>
      </c>
      <c r="C3973" s="0" t="s">
        <v>322</v>
      </c>
      <c r="D3973" s="0" t="s">
        <v>275</v>
      </c>
      <c r="E3973" s="0" t="n">
        <v>12</v>
      </c>
      <c r="F3973" s="0" t="s">
        <v>64</v>
      </c>
      <c r="G3973" s="0" t="s">
        <v>146</v>
      </c>
      <c r="H3973" s="0" t="s">
        <v>65</v>
      </c>
      <c r="I3973" s="0" t="s">
        <v>39</v>
      </c>
      <c r="J3973" s="0" t="n">
        <v>1.69</v>
      </c>
      <c r="K3973" s="0" t="s">
        <v>60</v>
      </c>
      <c r="L3973" s="0" t="n">
        <f aca="false">INDEX(Summary!$F$2:$F$201,MATCH($B3973,Summary!$A$2:$A$201,0))</f>
        <v>20</v>
      </c>
      <c r="M3973" s="0" t="n">
        <f aca="false">INDEX(Summary!$I$2:$I$201,MATCH($B3973,Summary!$A$2:$A$201,0))</f>
        <v>1</v>
      </c>
      <c r="N3973" s="0" t="n">
        <f aca="false">INDEX(Summary!$J$2:$J$201,MATCH($B3973,Summary!$A$2:$A$201,0))</f>
        <v>4</v>
      </c>
      <c r="O3973" s="2" t="n">
        <f aca="false">INDEX(Summary!$K$2:$K$201,MATCH($B3973,Summary!$A$2:$A$201,0))</f>
        <v>8.63</v>
      </c>
      <c r="P3973" s="3" t="n">
        <f aca="false">INDEX(Summary!$L$2:$L$201,MATCH($B3973,Summary!$A$2:$A$201,0))</f>
        <v>1</v>
      </c>
      <c r="Q3973" s="3" t="n">
        <f aca="false">INDEX(Summary!$M$2:$M$201,MATCH($B3973,Summary!$A$2:$A$201,0))</f>
        <v>5</v>
      </c>
      <c r="R3973" s="2" t="n">
        <f aca="false">INDEX(Summary!$N$2:$N$201,MATCH($B3973,Summary!$A$2:$A$201,0))</f>
        <v>10.23</v>
      </c>
      <c r="S3973" s="3" t="n">
        <f aca="false">INDEX(Summary!$O$2:$O$201,MATCH($B3973,Summary!$A$2:$A$201,0))</f>
        <v>7</v>
      </c>
      <c r="T3973" s="3" t="n">
        <f aca="false">INDEX(Summary!$P$2:$P$201,MATCH($B3973,Summary!$A$2:$A$201,0))</f>
        <v>2</v>
      </c>
      <c r="U3973" s="2" t="n">
        <f aca="false">INDEX(Summary!$Q$2:$Q$201,MATCH($B3973,Summary!$A$2:$A$201,0))</f>
        <v>13.44</v>
      </c>
      <c r="V3973" s="2" t="n">
        <f aca="false">INDEX(Summary!$R$2:$R$201,MATCH($B3973,Summary!$A$2:$A$201,0))</f>
        <v>15.6</v>
      </c>
      <c r="W3973" s="0" t="str">
        <f aca="false">INDEX(Summary!$S$2:$S$201,MATCH($B3973,Summary!$A$2:$A$201,0))</f>
        <v>Bronze</v>
      </c>
      <c r="X3973" s="2" t="n">
        <f aca="false">INDEX(Summary!$T$2:$T$201,MATCH($B3973,Summary!$A$2:$A$201,0))</f>
        <v>38.05</v>
      </c>
      <c r="Y3973" s="0" t="str">
        <f aca="false">INDEX('Reward Model'!$E$18:$E$37,MATCH($E3973,'Reward Model'!$A$18:$A$37,0))</f>
        <v>Medium</v>
      </c>
      <c r="Z3973" s="4" t="n">
        <f aca="false">ROUND(MIN(1,MAX('Reward Model'!$B$2,INDEX('Reward Model'!$C$12:$C$14,MATCH($K3973,'Reward Model'!$A$12:$A$14,0))/$J3973)),3)</f>
        <v>1</v>
      </c>
      <c r="AA3973" s="2" t="n">
        <f aca="false">IF($I3973="Correct",ROUND(INDEX('Reward Model'!$B$12:$B$14,MATCH($K3973,'Reward Model'!$A$12:$A$14,0))*Z3973,2),0)</f>
        <v>0</v>
      </c>
      <c r="AB3973" s="2" t="n">
        <f aca="false">IF($I3973="Correct",ROUND(INDEX('Reward Model'!$B$12:$B$14,MATCH($Y3973,'Reward Model'!$A$12:$A$14,0))*Z3973,2),0)</f>
        <v>0</v>
      </c>
    </row>
    <row r="3974" customFormat="false" ht="15" hidden="false" customHeight="false" outlineLevel="0" collapsed="false">
      <c r="A3974" s="0" t="s">
        <v>528</v>
      </c>
      <c r="B3974" s="0" t="s">
        <v>529</v>
      </c>
      <c r="C3974" s="0" t="s">
        <v>322</v>
      </c>
      <c r="D3974" s="0" t="s">
        <v>275</v>
      </c>
      <c r="E3974" s="0" t="n">
        <v>13</v>
      </c>
      <c r="F3974" s="0" t="s">
        <v>66</v>
      </c>
      <c r="G3974" s="0" t="s">
        <v>165</v>
      </c>
      <c r="H3974" s="0" t="s">
        <v>67</v>
      </c>
      <c r="I3974" s="0" t="s">
        <v>39</v>
      </c>
      <c r="J3974" s="0" t="n">
        <v>2.2</v>
      </c>
      <c r="K3974" s="0" t="s">
        <v>60</v>
      </c>
      <c r="L3974" s="0" t="n">
        <f aca="false">INDEX(Summary!$F$2:$F$201,MATCH($B3974,Summary!$A$2:$A$201,0))</f>
        <v>20</v>
      </c>
      <c r="M3974" s="0" t="n">
        <f aca="false">INDEX(Summary!$I$2:$I$201,MATCH($B3974,Summary!$A$2:$A$201,0))</f>
        <v>1</v>
      </c>
      <c r="N3974" s="0" t="n">
        <f aca="false">INDEX(Summary!$J$2:$J$201,MATCH($B3974,Summary!$A$2:$A$201,0))</f>
        <v>4</v>
      </c>
      <c r="O3974" s="2" t="n">
        <f aca="false">INDEX(Summary!$K$2:$K$201,MATCH($B3974,Summary!$A$2:$A$201,0))</f>
        <v>8.63</v>
      </c>
      <c r="P3974" s="3" t="n">
        <f aca="false">INDEX(Summary!$L$2:$L$201,MATCH($B3974,Summary!$A$2:$A$201,0))</f>
        <v>1</v>
      </c>
      <c r="Q3974" s="3" t="n">
        <f aca="false">INDEX(Summary!$M$2:$M$201,MATCH($B3974,Summary!$A$2:$A$201,0))</f>
        <v>5</v>
      </c>
      <c r="R3974" s="2" t="n">
        <f aca="false">INDEX(Summary!$N$2:$N$201,MATCH($B3974,Summary!$A$2:$A$201,0))</f>
        <v>10.23</v>
      </c>
      <c r="S3974" s="3" t="n">
        <f aca="false">INDEX(Summary!$O$2:$O$201,MATCH($B3974,Summary!$A$2:$A$201,0))</f>
        <v>7</v>
      </c>
      <c r="T3974" s="3" t="n">
        <f aca="false">INDEX(Summary!$P$2:$P$201,MATCH($B3974,Summary!$A$2:$A$201,0))</f>
        <v>2</v>
      </c>
      <c r="U3974" s="2" t="n">
        <f aca="false">INDEX(Summary!$Q$2:$Q$201,MATCH($B3974,Summary!$A$2:$A$201,0))</f>
        <v>13.44</v>
      </c>
      <c r="V3974" s="2" t="n">
        <f aca="false">INDEX(Summary!$R$2:$R$201,MATCH($B3974,Summary!$A$2:$A$201,0))</f>
        <v>15.6</v>
      </c>
      <c r="W3974" s="0" t="str">
        <f aca="false">INDEX(Summary!$S$2:$S$201,MATCH($B3974,Summary!$A$2:$A$201,0))</f>
        <v>Bronze</v>
      </c>
      <c r="X3974" s="2" t="n">
        <f aca="false">INDEX(Summary!$T$2:$T$201,MATCH($B3974,Summary!$A$2:$A$201,0))</f>
        <v>38.05</v>
      </c>
      <c r="Y3974" s="0" t="str">
        <f aca="false">INDEX('Reward Model'!$E$18:$E$37,MATCH($E3974,'Reward Model'!$A$18:$A$37,0))</f>
        <v>Medium</v>
      </c>
      <c r="Z3974" s="4" t="n">
        <f aca="false">ROUND(MIN(1,MAX('Reward Model'!$B$2,INDEX('Reward Model'!$C$12:$C$14,MATCH($K3974,'Reward Model'!$A$12:$A$14,0))/$J3974)),3)</f>
        <v>0.818</v>
      </c>
      <c r="AA3974" s="2" t="n">
        <f aca="false">IF($I3974="Correct",ROUND(INDEX('Reward Model'!$B$12:$B$14,MATCH($K3974,'Reward Model'!$A$12:$A$14,0))*Z3974,2),0)</f>
        <v>0</v>
      </c>
      <c r="AB3974" s="2" t="n">
        <f aca="false">IF($I3974="Correct",ROUND(INDEX('Reward Model'!$B$12:$B$14,MATCH($Y3974,'Reward Model'!$A$12:$A$14,0))*Z3974,2),0)</f>
        <v>0</v>
      </c>
    </row>
    <row r="3975" customFormat="false" ht="15" hidden="false" customHeight="false" outlineLevel="0" collapsed="false">
      <c r="A3975" s="0" t="s">
        <v>528</v>
      </c>
      <c r="B3975" s="0" t="s">
        <v>529</v>
      </c>
      <c r="C3975" s="0" t="s">
        <v>322</v>
      </c>
      <c r="D3975" s="0" t="s">
        <v>275</v>
      </c>
      <c r="E3975" s="0" t="n">
        <v>14</v>
      </c>
      <c r="F3975" s="0" t="s">
        <v>68</v>
      </c>
      <c r="G3975" s="0" t="s">
        <v>118</v>
      </c>
      <c r="H3975" s="0" t="s">
        <v>51</v>
      </c>
      <c r="I3975" s="0" t="s">
        <v>39</v>
      </c>
      <c r="J3975" s="0" t="n">
        <v>1.6</v>
      </c>
      <c r="K3975" s="0" t="s">
        <v>60</v>
      </c>
      <c r="L3975" s="0" t="n">
        <f aca="false">INDEX(Summary!$F$2:$F$201,MATCH($B3975,Summary!$A$2:$A$201,0))</f>
        <v>20</v>
      </c>
      <c r="M3975" s="0" t="n">
        <f aca="false">INDEX(Summary!$I$2:$I$201,MATCH($B3975,Summary!$A$2:$A$201,0))</f>
        <v>1</v>
      </c>
      <c r="N3975" s="0" t="n">
        <f aca="false">INDEX(Summary!$J$2:$J$201,MATCH($B3975,Summary!$A$2:$A$201,0))</f>
        <v>4</v>
      </c>
      <c r="O3975" s="2" t="n">
        <f aca="false">INDEX(Summary!$K$2:$K$201,MATCH($B3975,Summary!$A$2:$A$201,0))</f>
        <v>8.63</v>
      </c>
      <c r="P3975" s="3" t="n">
        <f aca="false">INDEX(Summary!$L$2:$L$201,MATCH($B3975,Summary!$A$2:$A$201,0))</f>
        <v>1</v>
      </c>
      <c r="Q3975" s="3" t="n">
        <f aca="false">INDEX(Summary!$M$2:$M$201,MATCH($B3975,Summary!$A$2:$A$201,0))</f>
        <v>5</v>
      </c>
      <c r="R3975" s="2" t="n">
        <f aca="false">INDEX(Summary!$N$2:$N$201,MATCH($B3975,Summary!$A$2:$A$201,0))</f>
        <v>10.23</v>
      </c>
      <c r="S3975" s="3" t="n">
        <f aca="false">INDEX(Summary!$O$2:$O$201,MATCH($B3975,Summary!$A$2:$A$201,0))</f>
        <v>7</v>
      </c>
      <c r="T3975" s="3" t="n">
        <f aca="false">INDEX(Summary!$P$2:$P$201,MATCH($B3975,Summary!$A$2:$A$201,0))</f>
        <v>2</v>
      </c>
      <c r="U3975" s="2" t="n">
        <f aca="false">INDEX(Summary!$Q$2:$Q$201,MATCH($B3975,Summary!$A$2:$A$201,0))</f>
        <v>13.44</v>
      </c>
      <c r="V3975" s="2" t="n">
        <f aca="false">INDEX(Summary!$R$2:$R$201,MATCH($B3975,Summary!$A$2:$A$201,0))</f>
        <v>15.6</v>
      </c>
      <c r="W3975" s="0" t="str">
        <f aca="false">INDEX(Summary!$S$2:$S$201,MATCH($B3975,Summary!$A$2:$A$201,0))</f>
        <v>Bronze</v>
      </c>
      <c r="X3975" s="2" t="n">
        <f aca="false">INDEX(Summary!$T$2:$T$201,MATCH($B3975,Summary!$A$2:$A$201,0))</f>
        <v>38.05</v>
      </c>
      <c r="Y3975" s="0" t="str">
        <f aca="false">INDEX('Reward Model'!$E$18:$E$37,MATCH($E3975,'Reward Model'!$A$18:$A$37,0))</f>
        <v>Medium</v>
      </c>
      <c r="Z3975" s="4" t="n">
        <f aca="false">ROUND(MIN(1,MAX('Reward Model'!$B$2,INDEX('Reward Model'!$C$12:$C$14,MATCH($K3975,'Reward Model'!$A$12:$A$14,0))/$J3975)),3)</f>
        <v>1</v>
      </c>
      <c r="AA3975" s="2" t="n">
        <f aca="false">IF($I3975="Correct",ROUND(INDEX('Reward Model'!$B$12:$B$14,MATCH($K3975,'Reward Model'!$A$12:$A$14,0))*Z3975,2),0)</f>
        <v>0</v>
      </c>
      <c r="AB3975" s="2" t="n">
        <f aca="false">IF($I3975="Correct",ROUND(INDEX('Reward Model'!$B$12:$B$14,MATCH($Y3975,'Reward Model'!$A$12:$A$14,0))*Z3975,2),0)</f>
        <v>0</v>
      </c>
    </row>
    <row r="3976" customFormat="false" ht="15" hidden="false" customHeight="false" outlineLevel="0" collapsed="false">
      <c r="A3976" s="0" t="s">
        <v>528</v>
      </c>
      <c r="B3976" s="0" t="s">
        <v>529</v>
      </c>
      <c r="C3976" s="0" t="s">
        <v>322</v>
      </c>
      <c r="D3976" s="0" t="s">
        <v>275</v>
      </c>
      <c r="E3976" s="0" t="n">
        <v>15</v>
      </c>
      <c r="F3976" s="0" t="s">
        <v>69</v>
      </c>
      <c r="G3976" s="0" t="s">
        <v>139</v>
      </c>
      <c r="H3976" s="0" t="s">
        <v>70</v>
      </c>
      <c r="I3976" s="0" t="s">
        <v>39</v>
      </c>
      <c r="J3976" s="0" t="n">
        <v>1.14</v>
      </c>
      <c r="K3976" s="0" t="s">
        <v>60</v>
      </c>
      <c r="L3976" s="0" t="n">
        <f aca="false">INDEX(Summary!$F$2:$F$201,MATCH($B3976,Summary!$A$2:$A$201,0))</f>
        <v>20</v>
      </c>
      <c r="M3976" s="0" t="n">
        <f aca="false">INDEX(Summary!$I$2:$I$201,MATCH($B3976,Summary!$A$2:$A$201,0))</f>
        <v>1</v>
      </c>
      <c r="N3976" s="0" t="n">
        <f aca="false">INDEX(Summary!$J$2:$J$201,MATCH($B3976,Summary!$A$2:$A$201,0))</f>
        <v>4</v>
      </c>
      <c r="O3976" s="2" t="n">
        <f aca="false">INDEX(Summary!$K$2:$K$201,MATCH($B3976,Summary!$A$2:$A$201,0))</f>
        <v>8.63</v>
      </c>
      <c r="P3976" s="3" t="n">
        <f aca="false">INDEX(Summary!$L$2:$L$201,MATCH($B3976,Summary!$A$2:$A$201,0))</f>
        <v>1</v>
      </c>
      <c r="Q3976" s="3" t="n">
        <f aca="false">INDEX(Summary!$M$2:$M$201,MATCH($B3976,Summary!$A$2:$A$201,0))</f>
        <v>5</v>
      </c>
      <c r="R3976" s="2" t="n">
        <f aca="false">INDEX(Summary!$N$2:$N$201,MATCH($B3976,Summary!$A$2:$A$201,0))</f>
        <v>10.23</v>
      </c>
      <c r="S3976" s="3" t="n">
        <f aca="false">INDEX(Summary!$O$2:$O$201,MATCH($B3976,Summary!$A$2:$A$201,0))</f>
        <v>7</v>
      </c>
      <c r="T3976" s="3" t="n">
        <f aca="false">INDEX(Summary!$P$2:$P$201,MATCH($B3976,Summary!$A$2:$A$201,0))</f>
        <v>2</v>
      </c>
      <c r="U3976" s="2" t="n">
        <f aca="false">INDEX(Summary!$Q$2:$Q$201,MATCH($B3976,Summary!$A$2:$A$201,0))</f>
        <v>13.44</v>
      </c>
      <c r="V3976" s="2" t="n">
        <f aca="false">INDEX(Summary!$R$2:$R$201,MATCH($B3976,Summary!$A$2:$A$201,0))</f>
        <v>15.6</v>
      </c>
      <c r="W3976" s="0" t="str">
        <f aca="false">INDEX(Summary!$S$2:$S$201,MATCH($B3976,Summary!$A$2:$A$201,0))</f>
        <v>Bronze</v>
      </c>
      <c r="X3976" s="2" t="n">
        <f aca="false">INDEX(Summary!$T$2:$T$201,MATCH($B3976,Summary!$A$2:$A$201,0))</f>
        <v>38.05</v>
      </c>
      <c r="Y3976" s="0" t="str">
        <f aca="false">INDEX('Reward Model'!$E$18:$E$37,MATCH($E3976,'Reward Model'!$A$18:$A$37,0))</f>
        <v>Medium</v>
      </c>
      <c r="Z3976" s="4" t="n">
        <f aca="false">ROUND(MIN(1,MAX('Reward Model'!$B$2,INDEX('Reward Model'!$C$12:$C$14,MATCH($K3976,'Reward Model'!$A$12:$A$14,0))/$J3976)),3)</f>
        <v>1</v>
      </c>
      <c r="AA3976" s="2" t="n">
        <f aca="false">IF($I3976="Correct",ROUND(INDEX('Reward Model'!$B$12:$B$14,MATCH($K3976,'Reward Model'!$A$12:$A$14,0))*Z3976,2),0)</f>
        <v>0</v>
      </c>
      <c r="AB3976" s="2" t="n">
        <f aca="false">IF($I3976="Correct",ROUND(INDEX('Reward Model'!$B$12:$B$14,MATCH($Y3976,'Reward Model'!$A$12:$A$14,0))*Z3976,2),0)</f>
        <v>0</v>
      </c>
    </row>
    <row r="3977" customFormat="false" ht="15" hidden="false" customHeight="false" outlineLevel="0" collapsed="false">
      <c r="A3977" s="0" t="s">
        <v>528</v>
      </c>
      <c r="B3977" s="0" t="s">
        <v>529</v>
      </c>
      <c r="C3977" s="0" t="s">
        <v>322</v>
      </c>
      <c r="D3977" s="0" t="s">
        <v>275</v>
      </c>
      <c r="E3977" s="0" t="n">
        <v>16</v>
      </c>
      <c r="F3977" s="0" t="s">
        <v>71</v>
      </c>
      <c r="G3977" s="0" t="s">
        <v>72</v>
      </c>
      <c r="H3977" s="0" t="s">
        <v>72</v>
      </c>
      <c r="I3977" s="0" t="s">
        <v>34</v>
      </c>
      <c r="J3977" s="0" t="n">
        <v>1.97</v>
      </c>
      <c r="K3977" s="0" t="s">
        <v>73</v>
      </c>
      <c r="L3977" s="0" t="n">
        <f aca="false">INDEX(Summary!$F$2:$F$201,MATCH($B3977,Summary!$A$2:$A$201,0))</f>
        <v>20</v>
      </c>
      <c r="M3977" s="0" t="n">
        <f aca="false">INDEX(Summary!$I$2:$I$201,MATCH($B3977,Summary!$A$2:$A$201,0))</f>
        <v>1</v>
      </c>
      <c r="N3977" s="0" t="n">
        <f aca="false">INDEX(Summary!$J$2:$J$201,MATCH($B3977,Summary!$A$2:$A$201,0))</f>
        <v>4</v>
      </c>
      <c r="O3977" s="2" t="n">
        <f aca="false">INDEX(Summary!$K$2:$K$201,MATCH($B3977,Summary!$A$2:$A$201,0))</f>
        <v>8.63</v>
      </c>
      <c r="P3977" s="3" t="n">
        <f aca="false">INDEX(Summary!$L$2:$L$201,MATCH($B3977,Summary!$A$2:$A$201,0))</f>
        <v>1</v>
      </c>
      <c r="Q3977" s="3" t="n">
        <f aca="false">INDEX(Summary!$M$2:$M$201,MATCH($B3977,Summary!$A$2:$A$201,0))</f>
        <v>5</v>
      </c>
      <c r="R3977" s="2" t="n">
        <f aca="false">INDEX(Summary!$N$2:$N$201,MATCH($B3977,Summary!$A$2:$A$201,0))</f>
        <v>10.23</v>
      </c>
      <c r="S3977" s="3" t="n">
        <f aca="false">INDEX(Summary!$O$2:$O$201,MATCH($B3977,Summary!$A$2:$A$201,0))</f>
        <v>7</v>
      </c>
      <c r="T3977" s="3" t="n">
        <f aca="false">INDEX(Summary!$P$2:$P$201,MATCH($B3977,Summary!$A$2:$A$201,0))</f>
        <v>2</v>
      </c>
      <c r="U3977" s="2" t="n">
        <f aca="false">INDEX(Summary!$Q$2:$Q$201,MATCH($B3977,Summary!$A$2:$A$201,0))</f>
        <v>13.44</v>
      </c>
      <c r="V3977" s="2" t="n">
        <f aca="false">INDEX(Summary!$R$2:$R$201,MATCH($B3977,Summary!$A$2:$A$201,0))</f>
        <v>15.6</v>
      </c>
      <c r="W3977" s="0" t="str">
        <f aca="false">INDEX(Summary!$S$2:$S$201,MATCH($B3977,Summary!$A$2:$A$201,0))</f>
        <v>Bronze</v>
      </c>
      <c r="X3977" s="2" t="n">
        <f aca="false">INDEX(Summary!$T$2:$T$201,MATCH($B3977,Summary!$A$2:$A$201,0))</f>
        <v>38.05</v>
      </c>
      <c r="Y3977" s="0" t="str">
        <f aca="false">INDEX('Reward Model'!$E$18:$E$37,MATCH($E3977,'Reward Model'!$A$18:$A$37,0))</f>
        <v>High</v>
      </c>
      <c r="Z3977" s="4" t="n">
        <f aca="false">ROUND(MIN(1,MAX('Reward Model'!$B$2,INDEX('Reward Model'!$C$12:$C$14,MATCH($K3977,'Reward Model'!$A$12:$A$14,0))/$J3977)),3)</f>
        <v>1</v>
      </c>
      <c r="AA3977" s="2" t="n">
        <f aca="false">IF($I3977="Correct",ROUND(INDEX('Reward Model'!$B$12:$B$14,MATCH($K3977,'Reward Model'!$A$12:$A$14,0))*Z3977,2),0)</f>
        <v>3</v>
      </c>
      <c r="AB3977" s="2" t="n">
        <f aca="false">IF($I3977="Correct",ROUND(INDEX('Reward Model'!$B$12:$B$14,MATCH($Y3977,'Reward Model'!$A$12:$A$14,0))*Z3977,2),0)</f>
        <v>3</v>
      </c>
    </row>
    <row r="3978" customFormat="false" ht="15" hidden="false" customHeight="false" outlineLevel="0" collapsed="false">
      <c r="A3978" s="0" t="s">
        <v>528</v>
      </c>
      <c r="B3978" s="0" t="s">
        <v>529</v>
      </c>
      <c r="C3978" s="0" t="s">
        <v>322</v>
      </c>
      <c r="D3978" s="0" t="s">
        <v>275</v>
      </c>
      <c r="E3978" s="0" t="n">
        <v>17</v>
      </c>
      <c r="F3978" s="0" t="s">
        <v>74</v>
      </c>
      <c r="G3978" s="0" t="s">
        <v>113</v>
      </c>
      <c r="H3978" s="0" t="s">
        <v>75</v>
      </c>
      <c r="I3978" s="0" t="s">
        <v>39</v>
      </c>
      <c r="J3978" s="0" t="n">
        <v>1.46</v>
      </c>
      <c r="K3978" s="0" t="s">
        <v>73</v>
      </c>
      <c r="L3978" s="0" t="n">
        <f aca="false">INDEX(Summary!$F$2:$F$201,MATCH($B3978,Summary!$A$2:$A$201,0))</f>
        <v>20</v>
      </c>
      <c r="M3978" s="0" t="n">
        <f aca="false">INDEX(Summary!$I$2:$I$201,MATCH($B3978,Summary!$A$2:$A$201,0))</f>
        <v>1</v>
      </c>
      <c r="N3978" s="0" t="n">
        <f aca="false">INDEX(Summary!$J$2:$J$201,MATCH($B3978,Summary!$A$2:$A$201,0))</f>
        <v>4</v>
      </c>
      <c r="O3978" s="2" t="n">
        <f aca="false">INDEX(Summary!$K$2:$K$201,MATCH($B3978,Summary!$A$2:$A$201,0))</f>
        <v>8.63</v>
      </c>
      <c r="P3978" s="3" t="n">
        <f aca="false">INDEX(Summary!$L$2:$L$201,MATCH($B3978,Summary!$A$2:$A$201,0))</f>
        <v>1</v>
      </c>
      <c r="Q3978" s="3" t="n">
        <f aca="false">INDEX(Summary!$M$2:$M$201,MATCH($B3978,Summary!$A$2:$A$201,0))</f>
        <v>5</v>
      </c>
      <c r="R3978" s="2" t="n">
        <f aca="false">INDEX(Summary!$N$2:$N$201,MATCH($B3978,Summary!$A$2:$A$201,0))</f>
        <v>10.23</v>
      </c>
      <c r="S3978" s="3" t="n">
        <f aca="false">INDEX(Summary!$O$2:$O$201,MATCH($B3978,Summary!$A$2:$A$201,0))</f>
        <v>7</v>
      </c>
      <c r="T3978" s="3" t="n">
        <f aca="false">INDEX(Summary!$P$2:$P$201,MATCH($B3978,Summary!$A$2:$A$201,0))</f>
        <v>2</v>
      </c>
      <c r="U3978" s="2" t="n">
        <f aca="false">INDEX(Summary!$Q$2:$Q$201,MATCH($B3978,Summary!$A$2:$A$201,0))</f>
        <v>13.44</v>
      </c>
      <c r="V3978" s="2" t="n">
        <f aca="false">INDEX(Summary!$R$2:$R$201,MATCH($B3978,Summary!$A$2:$A$201,0))</f>
        <v>15.6</v>
      </c>
      <c r="W3978" s="0" t="str">
        <f aca="false">INDEX(Summary!$S$2:$S$201,MATCH($B3978,Summary!$A$2:$A$201,0))</f>
        <v>Bronze</v>
      </c>
      <c r="X3978" s="2" t="n">
        <f aca="false">INDEX(Summary!$T$2:$T$201,MATCH($B3978,Summary!$A$2:$A$201,0))</f>
        <v>38.05</v>
      </c>
      <c r="Y3978" s="0" t="str">
        <f aca="false">INDEX('Reward Model'!$E$18:$E$37,MATCH($E3978,'Reward Model'!$A$18:$A$37,0))</f>
        <v>High</v>
      </c>
      <c r="Z3978" s="4" t="n">
        <f aca="false">ROUND(MIN(1,MAX('Reward Model'!$B$2,INDEX('Reward Model'!$C$12:$C$14,MATCH($K3978,'Reward Model'!$A$12:$A$14,0))/$J3978)),3)</f>
        <v>1</v>
      </c>
      <c r="AA3978" s="2" t="n">
        <f aca="false">IF($I3978="Correct",ROUND(INDEX('Reward Model'!$B$12:$B$14,MATCH($K3978,'Reward Model'!$A$12:$A$14,0))*Z3978,2),0)</f>
        <v>0</v>
      </c>
      <c r="AB3978" s="2" t="n">
        <f aca="false">IF($I3978="Correct",ROUND(INDEX('Reward Model'!$B$12:$B$14,MATCH($Y3978,'Reward Model'!$A$12:$A$14,0))*Z3978,2),0)</f>
        <v>0</v>
      </c>
    </row>
    <row r="3979" customFormat="false" ht="15" hidden="false" customHeight="false" outlineLevel="0" collapsed="false">
      <c r="A3979" s="0" t="s">
        <v>528</v>
      </c>
      <c r="B3979" s="0" t="s">
        <v>529</v>
      </c>
      <c r="C3979" s="0" t="s">
        <v>322</v>
      </c>
      <c r="D3979" s="0" t="s">
        <v>275</v>
      </c>
      <c r="E3979" s="0" t="n">
        <v>18</v>
      </c>
      <c r="F3979" s="0" t="s">
        <v>76</v>
      </c>
      <c r="G3979" s="0" t="s">
        <v>56</v>
      </c>
      <c r="H3979" s="0" t="s">
        <v>77</v>
      </c>
      <c r="I3979" s="0" t="s">
        <v>39</v>
      </c>
      <c r="J3979" s="0" t="n">
        <v>1.39</v>
      </c>
      <c r="K3979" s="0" t="s">
        <v>73</v>
      </c>
      <c r="L3979" s="0" t="n">
        <f aca="false">INDEX(Summary!$F$2:$F$201,MATCH($B3979,Summary!$A$2:$A$201,0))</f>
        <v>20</v>
      </c>
      <c r="M3979" s="0" t="n">
        <f aca="false">INDEX(Summary!$I$2:$I$201,MATCH($B3979,Summary!$A$2:$A$201,0))</f>
        <v>1</v>
      </c>
      <c r="N3979" s="0" t="n">
        <f aca="false">INDEX(Summary!$J$2:$J$201,MATCH($B3979,Summary!$A$2:$A$201,0))</f>
        <v>4</v>
      </c>
      <c r="O3979" s="2" t="n">
        <f aca="false">INDEX(Summary!$K$2:$K$201,MATCH($B3979,Summary!$A$2:$A$201,0))</f>
        <v>8.63</v>
      </c>
      <c r="P3979" s="3" t="n">
        <f aca="false">INDEX(Summary!$L$2:$L$201,MATCH($B3979,Summary!$A$2:$A$201,0))</f>
        <v>1</v>
      </c>
      <c r="Q3979" s="3" t="n">
        <f aca="false">INDEX(Summary!$M$2:$M$201,MATCH($B3979,Summary!$A$2:$A$201,0))</f>
        <v>5</v>
      </c>
      <c r="R3979" s="2" t="n">
        <f aca="false">INDEX(Summary!$N$2:$N$201,MATCH($B3979,Summary!$A$2:$A$201,0))</f>
        <v>10.23</v>
      </c>
      <c r="S3979" s="3" t="n">
        <f aca="false">INDEX(Summary!$O$2:$O$201,MATCH($B3979,Summary!$A$2:$A$201,0))</f>
        <v>7</v>
      </c>
      <c r="T3979" s="3" t="n">
        <f aca="false">INDEX(Summary!$P$2:$P$201,MATCH($B3979,Summary!$A$2:$A$201,0))</f>
        <v>2</v>
      </c>
      <c r="U3979" s="2" t="n">
        <f aca="false">INDEX(Summary!$Q$2:$Q$201,MATCH($B3979,Summary!$A$2:$A$201,0))</f>
        <v>13.44</v>
      </c>
      <c r="V3979" s="2" t="n">
        <f aca="false">INDEX(Summary!$R$2:$R$201,MATCH($B3979,Summary!$A$2:$A$201,0))</f>
        <v>15.6</v>
      </c>
      <c r="W3979" s="0" t="str">
        <f aca="false">INDEX(Summary!$S$2:$S$201,MATCH($B3979,Summary!$A$2:$A$201,0))</f>
        <v>Bronze</v>
      </c>
      <c r="X3979" s="2" t="n">
        <f aca="false">INDEX(Summary!$T$2:$T$201,MATCH($B3979,Summary!$A$2:$A$201,0))</f>
        <v>38.05</v>
      </c>
      <c r="Y3979" s="0" t="str">
        <f aca="false">INDEX('Reward Model'!$E$18:$E$37,MATCH($E3979,'Reward Model'!$A$18:$A$37,0))</f>
        <v>High</v>
      </c>
      <c r="Z3979" s="4" t="n">
        <f aca="false">ROUND(MIN(1,MAX('Reward Model'!$B$2,INDEX('Reward Model'!$C$12:$C$14,MATCH($K3979,'Reward Model'!$A$12:$A$14,0))/$J3979)),3)</f>
        <v>1</v>
      </c>
      <c r="AA3979" s="2" t="n">
        <f aca="false">IF($I3979="Correct",ROUND(INDEX('Reward Model'!$B$12:$B$14,MATCH($K3979,'Reward Model'!$A$12:$A$14,0))*Z3979,2),0)</f>
        <v>0</v>
      </c>
      <c r="AB3979" s="2" t="n">
        <f aca="false">IF($I3979="Correct",ROUND(INDEX('Reward Model'!$B$12:$B$14,MATCH($Y3979,'Reward Model'!$A$12:$A$14,0))*Z3979,2),0)</f>
        <v>0</v>
      </c>
    </row>
    <row r="3980" customFormat="false" ht="15" hidden="false" customHeight="false" outlineLevel="0" collapsed="false">
      <c r="A3980" s="0" t="s">
        <v>528</v>
      </c>
      <c r="B3980" s="0" t="s">
        <v>529</v>
      </c>
      <c r="C3980" s="0" t="s">
        <v>322</v>
      </c>
      <c r="D3980" s="0" t="s">
        <v>275</v>
      </c>
      <c r="E3980" s="0" t="n">
        <v>19</v>
      </c>
      <c r="F3980" s="0" t="s">
        <v>78</v>
      </c>
      <c r="G3980" s="0" t="s">
        <v>79</v>
      </c>
      <c r="H3980" s="0" t="s">
        <v>80</v>
      </c>
      <c r="I3980" s="0" t="s">
        <v>39</v>
      </c>
      <c r="J3980" s="0" t="n">
        <v>1.49</v>
      </c>
      <c r="K3980" s="0" t="s">
        <v>73</v>
      </c>
      <c r="L3980" s="0" t="n">
        <f aca="false">INDEX(Summary!$F$2:$F$201,MATCH($B3980,Summary!$A$2:$A$201,0))</f>
        <v>20</v>
      </c>
      <c r="M3980" s="0" t="n">
        <f aca="false">INDEX(Summary!$I$2:$I$201,MATCH($B3980,Summary!$A$2:$A$201,0))</f>
        <v>1</v>
      </c>
      <c r="N3980" s="0" t="n">
        <f aca="false">INDEX(Summary!$J$2:$J$201,MATCH($B3980,Summary!$A$2:$A$201,0))</f>
        <v>4</v>
      </c>
      <c r="O3980" s="2" t="n">
        <f aca="false">INDEX(Summary!$K$2:$K$201,MATCH($B3980,Summary!$A$2:$A$201,0))</f>
        <v>8.63</v>
      </c>
      <c r="P3980" s="3" t="n">
        <f aca="false">INDEX(Summary!$L$2:$L$201,MATCH($B3980,Summary!$A$2:$A$201,0))</f>
        <v>1</v>
      </c>
      <c r="Q3980" s="3" t="n">
        <f aca="false">INDEX(Summary!$M$2:$M$201,MATCH($B3980,Summary!$A$2:$A$201,0))</f>
        <v>5</v>
      </c>
      <c r="R3980" s="2" t="n">
        <f aca="false">INDEX(Summary!$N$2:$N$201,MATCH($B3980,Summary!$A$2:$A$201,0))</f>
        <v>10.23</v>
      </c>
      <c r="S3980" s="3" t="n">
        <f aca="false">INDEX(Summary!$O$2:$O$201,MATCH($B3980,Summary!$A$2:$A$201,0))</f>
        <v>7</v>
      </c>
      <c r="T3980" s="3" t="n">
        <f aca="false">INDEX(Summary!$P$2:$P$201,MATCH($B3980,Summary!$A$2:$A$201,0))</f>
        <v>2</v>
      </c>
      <c r="U3980" s="2" t="n">
        <f aca="false">INDEX(Summary!$Q$2:$Q$201,MATCH($B3980,Summary!$A$2:$A$201,0))</f>
        <v>13.44</v>
      </c>
      <c r="V3980" s="2" t="n">
        <f aca="false">INDEX(Summary!$R$2:$R$201,MATCH($B3980,Summary!$A$2:$A$201,0))</f>
        <v>15.6</v>
      </c>
      <c r="W3980" s="0" t="str">
        <f aca="false">INDEX(Summary!$S$2:$S$201,MATCH($B3980,Summary!$A$2:$A$201,0))</f>
        <v>Bronze</v>
      </c>
      <c r="X3980" s="2" t="n">
        <f aca="false">INDEX(Summary!$T$2:$T$201,MATCH($B3980,Summary!$A$2:$A$201,0))</f>
        <v>38.05</v>
      </c>
      <c r="Y3980" s="0" t="str">
        <f aca="false">INDEX('Reward Model'!$E$18:$E$37,MATCH($E3980,'Reward Model'!$A$18:$A$37,0))</f>
        <v>High</v>
      </c>
      <c r="Z3980" s="4" t="n">
        <f aca="false">ROUND(MIN(1,MAX('Reward Model'!$B$2,INDEX('Reward Model'!$C$12:$C$14,MATCH($K3980,'Reward Model'!$A$12:$A$14,0))/$J3980)),3)</f>
        <v>1</v>
      </c>
      <c r="AA3980" s="2" t="n">
        <f aca="false">IF($I3980="Correct",ROUND(INDEX('Reward Model'!$B$12:$B$14,MATCH($K3980,'Reward Model'!$A$12:$A$14,0))*Z3980,2),0)</f>
        <v>0</v>
      </c>
      <c r="AB3980" s="2" t="n">
        <f aca="false">IF($I3980="Correct",ROUND(INDEX('Reward Model'!$B$12:$B$14,MATCH($Y3980,'Reward Model'!$A$12:$A$14,0))*Z3980,2),0)</f>
        <v>0</v>
      </c>
    </row>
    <row r="3981" customFormat="false" ht="15" hidden="false" customHeight="false" outlineLevel="0" collapsed="false">
      <c r="A3981" s="0" t="s">
        <v>528</v>
      </c>
      <c r="B3981" s="0" t="s">
        <v>529</v>
      </c>
      <c r="C3981" s="0" t="s">
        <v>322</v>
      </c>
      <c r="D3981" s="0" t="s">
        <v>275</v>
      </c>
      <c r="E3981" s="0" t="n">
        <v>20</v>
      </c>
      <c r="F3981" s="0" t="s">
        <v>81</v>
      </c>
      <c r="G3981" s="0" t="s">
        <v>166</v>
      </c>
      <c r="H3981" s="0" t="s">
        <v>83</v>
      </c>
      <c r="I3981" s="0" t="s">
        <v>39</v>
      </c>
      <c r="J3981" s="0" t="n">
        <v>2.32</v>
      </c>
      <c r="K3981" s="0" t="s">
        <v>73</v>
      </c>
      <c r="L3981" s="0" t="n">
        <f aca="false">INDEX(Summary!$F$2:$F$201,MATCH($B3981,Summary!$A$2:$A$201,0))</f>
        <v>20</v>
      </c>
      <c r="M3981" s="0" t="n">
        <f aca="false">INDEX(Summary!$I$2:$I$201,MATCH($B3981,Summary!$A$2:$A$201,0))</f>
        <v>1</v>
      </c>
      <c r="N3981" s="0" t="n">
        <f aca="false">INDEX(Summary!$J$2:$J$201,MATCH($B3981,Summary!$A$2:$A$201,0))</f>
        <v>4</v>
      </c>
      <c r="O3981" s="2" t="n">
        <f aca="false">INDEX(Summary!$K$2:$K$201,MATCH($B3981,Summary!$A$2:$A$201,0))</f>
        <v>8.63</v>
      </c>
      <c r="P3981" s="3" t="n">
        <f aca="false">INDEX(Summary!$L$2:$L$201,MATCH($B3981,Summary!$A$2:$A$201,0))</f>
        <v>1</v>
      </c>
      <c r="Q3981" s="3" t="n">
        <f aca="false">INDEX(Summary!$M$2:$M$201,MATCH($B3981,Summary!$A$2:$A$201,0))</f>
        <v>5</v>
      </c>
      <c r="R3981" s="2" t="n">
        <f aca="false">INDEX(Summary!$N$2:$N$201,MATCH($B3981,Summary!$A$2:$A$201,0))</f>
        <v>10.23</v>
      </c>
      <c r="S3981" s="3" t="n">
        <f aca="false">INDEX(Summary!$O$2:$O$201,MATCH($B3981,Summary!$A$2:$A$201,0))</f>
        <v>7</v>
      </c>
      <c r="T3981" s="3" t="n">
        <f aca="false">INDEX(Summary!$P$2:$P$201,MATCH($B3981,Summary!$A$2:$A$201,0))</f>
        <v>2</v>
      </c>
      <c r="U3981" s="2" t="n">
        <f aca="false">INDEX(Summary!$Q$2:$Q$201,MATCH($B3981,Summary!$A$2:$A$201,0))</f>
        <v>13.44</v>
      </c>
      <c r="V3981" s="2" t="n">
        <f aca="false">INDEX(Summary!$R$2:$R$201,MATCH($B3981,Summary!$A$2:$A$201,0))</f>
        <v>15.6</v>
      </c>
      <c r="W3981" s="0" t="str">
        <f aca="false">INDEX(Summary!$S$2:$S$201,MATCH($B3981,Summary!$A$2:$A$201,0))</f>
        <v>Bronze</v>
      </c>
      <c r="X3981" s="2" t="n">
        <f aca="false">INDEX(Summary!$T$2:$T$201,MATCH($B3981,Summary!$A$2:$A$201,0))</f>
        <v>38.05</v>
      </c>
      <c r="Y3981" s="0" t="str">
        <f aca="false">INDEX('Reward Model'!$E$18:$E$37,MATCH($E3981,'Reward Model'!$A$18:$A$37,0))</f>
        <v>High</v>
      </c>
      <c r="Z3981" s="4" t="n">
        <f aca="false">ROUND(MIN(1,MAX('Reward Model'!$B$2,INDEX('Reward Model'!$C$12:$C$14,MATCH($K3981,'Reward Model'!$A$12:$A$14,0))/$J3981)),3)</f>
        <v>0.862</v>
      </c>
      <c r="AA3981" s="2" t="n">
        <f aca="false">IF($I3981="Correct",ROUND(INDEX('Reward Model'!$B$12:$B$14,MATCH($K3981,'Reward Model'!$A$12:$A$14,0))*Z3981,2),0)</f>
        <v>0</v>
      </c>
      <c r="AB3981" s="2" t="n">
        <f aca="false">IF($I3981="Correct",ROUND(INDEX('Reward Model'!$B$12:$B$14,MATCH($Y3981,'Reward Model'!$A$12:$A$14,0))*Z3981,2),0)</f>
        <v>0</v>
      </c>
    </row>
    <row r="3982" customFormat="false" ht="15" hidden="false" customHeight="false" outlineLevel="0" collapsed="false">
      <c r="A3982" s="0" t="s">
        <v>530</v>
      </c>
      <c r="B3982" s="0" t="s">
        <v>531</v>
      </c>
      <c r="C3982" s="0" t="s">
        <v>322</v>
      </c>
      <c r="D3982" s="0" t="s">
        <v>275</v>
      </c>
      <c r="E3982" s="0" t="n">
        <v>1</v>
      </c>
      <c r="F3982" s="0" t="s">
        <v>32</v>
      </c>
      <c r="G3982" s="0" t="s">
        <v>33</v>
      </c>
      <c r="H3982" s="0" t="s">
        <v>33</v>
      </c>
      <c r="I3982" s="0" t="s">
        <v>34</v>
      </c>
      <c r="J3982" s="0" t="n">
        <v>1.8</v>
      </c>
      <c r="K3982" s="0" t="s">
        <v>35</v>
      </c>
      <c r="L3982" s="0" t="n">
        <f aca="false">INDEX(Summary!$F$2:$F$201,MATCH($B3982,Summary!$A$2:$A$201,0))</f>
        <v>20</v>
      </c>
      <c r="M3982" s="0" t="n">
        <f aca="false">INDEX(Summary!$I$2:$I$201,MATCH($B3982,Summary!$A$2:$A$201,0))</f>
        <v>1</v>
      </c>
      <c r="N3982" s="0" t="n">
        <f aca="false">INDEX(Summary!$J$2:$J$201,MATCH($B3982,Summary!$A$2:$A$201,0))</f>
        <v>4</v>
      </c>
      <c r="O3982" s="2" t="n">
        <f aca="false">INDEX(Summary!$K$2:$K$201,MATCH($B3982,Summary!$A$2:$A$201,0))</f>
        <v>8.67</v>
      </c>
      <c r="P3982" s="3" t="n">
        <f aca="false">INDEX(Summary!$L$2:$L$201,MATCH($B3982,Summary!$A$2:$A$201,0))</f>
        <v>2</v>
      </c>
      <c r="Q3982" s="3" t="n">
        <f aca="false">INDEX(Summary!$M$2:$M$201,MATCH($B3982,Summary!$A$2:$A$201,0))</f>
        <v>4</v>
      </c>
      <c r="R3982" s="2" t="n">
        <f aca="false">INDEX(Summary!$N$2:$N$201,MATCH($B3982,Summary!$A$2:$A$201,0))</f>
        <v>10.4</v>
      </c>
      <c r="S3982" s="3" t="n">
        <f aca="false">INDEX(Summary!$O$2:$O$201,MATCH($B3982,Summary!$A$2:$A$201,0))</f>
        <v>8</v>
      </c>
      <c r="T3982" s="3" t="n">
        <f aca="false">INDEX(Summary!$P$2:$P$201,MATCH($B3982,Summary!$A$2:$A$201,0))</f>
        <v>1</v>
      </c>
      <c r="U3982" s="2" t="n">
        <f aca="false">INDEX(Summary!$Q$2:$Q$201,MATCH($B3982,Summary!$A$2:$A$201,0))</f>
        <v>13.16</v>
      </c>
      <c r="V3982" s="2" t="n">
        <f aca="false">INDEX(Summary!$R$2:$R$201,MATCH($B3982,Summary!$A$2:$A$201,0))</f>
        <v>17.91</v>
      </c>
      <c r="W3982" s="0" t="str">
        <f aca="false">INDEX(Summary!$S$2:$S$201,MATCH($B3982,Summary!$A$2:$A$201,0))</f>
        <v>Bronze</v>
      </c>
      <c r="X3982" s="2" t="n">
        <f aca="false">INDEX(Summary!$T$2:$T$201,MATCH($B3982,Summary!$A$2:$A$201,0))</f>
        <v>43.68</v>
      </c>
      <c r="Y3982" s="0" t="str">
        <f aca="false">INDEX('Reward Model'!$E$18:$E$37,MATCH($E3982,'Reward Model'!$A$18:$A$37,0))</f>
        <v>Medium</v>
      </c>
      <c r="Z3982" s="4" t="n">
        <f aca="false">ROUND(MIN(1,MAX('Reward Model'!$B$2,INDEX('Reward Model'!$C$12:$C$14,MATCH($K3982,'Reward Model'!$A$12:$A$14,0))/$J3982)),3)</f>
        <v>0.833</v>
      </c>
      <c r="AA3982" s="2" t="n">
        <f aca="false">IF($I3982="Correct",ROUND(INDEX('Reward Model'!$B$12:$B$14,MATCH($K3982,'Reward Model'!$A$12:$A$14,0))*Z3982,2),0)</f>
        <v>0.83</v>
      </c>
      <c r="AB3982" s="2" t="n">
        <f aca="false">IF($I3982="Correct",ROUND(INDEX('Reward Model'!$B$12:$B$14,MATCH($Y3982,'Reward Model'!$A$12:$A$14,0))*Z3982,2),0)</f>
        <v>1.67</v>
      </c>
    </row>
    <row r="3983" customFormat="false" ht="15" hidden="false" customHeight="false" outlineLevel="0" collapsed="false">
      <c r="A3983" s="0" t="s">
        <v>530</v>
      </c>
      <c r="B3983" s="0" t="s">
        <v>531</v>
      </c>
      <c r="C3983" s="0" t="s">
        <v>322</v>
      </c>
      <c r="D3983" s="0" t="s">
        <v>275</v>
      </c>
      <c r="E3983" s="0" t="n">
        <v>2</v>
      </c>
      <c r="F3983" s="0" t="s">
        <v>36</v>
      </c>
      <c r="G3983" s="0" t="s">
        <v>38</v>
      </c>
      <c r="H3983" s="0" t="s">
        <v>38</v>
      </c>
      <c r="I3983" s="0" t="s">
        <v>34</v>
      </c>
      <c r="J3983" s="0" t="n">
        <v>1.85</v>
      </c>
      <c r="K3983" s="0" t="s">
        <v>35</v>
      </c>
      <c r="L3983" s="0" t="n">
        <f aca="false">INDEX(Summary!$F$2:$F$201,MATCH($B3983,Summary!$A$2:$A$201,0))</f>
        <v>20</v>
      </c>
      <c r="M3983" s="0" t="n">
        <f aca="false">INDEX(Summary!$I$2:$I$201,MATCH($B3983,Summary!$A$2:$A$201,0))</f>
        <v>1</v>
      </c>
      <c r="N3983" s="0" t="n">
        <f aca="false">INDEX(Summary!$J$2:$J$201,MATCH($B3983,Summary!$A$2:$A$201,0))</f>
        <v>4</v>
      </c>
      <c r="O3983" s="2" t="n">
        <f aca="false">INDEX(Summary!$K$2:$K$201,MATCH($B3983,Summary!$A$2:$A$201,0))</f>
        <v>8.67</v>
      </c>
      <c r="P3983" s="3" t="n">
        <f aca="false">INDEX(Summary!$L$2:$L$201,MATCH($B3983,Summary!$A$2:$A$201,0))</f>
        <v>2</v>
      </c>
      <c r="Q3983" s="3" t="n">
        <f aca="false">INDEX(Summary!$M$2:$M$201,MATCH($B3983,Summary!$A$2:$A$201,0))</f>
        <v>4</v>
      </c>
      <c r="R3983" s="2" t="n">
        <f aca="false">INDEX(Summary!$N$2:$N$201,MATCH($B3983,Summary!$A$2:$A$201,0))</f>
        <v>10.4</v>
      </c>
      <c r="S3983" s="3" t="n">
        <f aca="false">INDEX(Summary!$O$2:$O$201,MATCH($B3983,Summary!$A$2:$A$201,0))</f>
        <v>8</v>
      </c>
      <c r="T3983" s="3" t="n">
        <f aca="false">INDEX(Summary!$P$2:$P$201,MATCH($B3983,Summary!$A$2:$A$201,0))</f>
        <v>1</v>
      </c>
      <c r="U3983" s="2" t="n">
        <f aca="false">INDEX(Summary!$Q$2:$Q$201,MATCH($B3983,Summary!$A$2:$A$201,0))</f>
        <v>13.16</v>
      </c>
      <c r="V3983" s="2" t="n">
        <f aca="false">INDEX(Summary!$R$2:$R$201,MATCH($B3983,Summary!$A$2:$A$201,0))</f>
        <v>17.91</v>
      </c>
      <c r="W3983" s="0" t="str">
        <f aca="false">INDEX(Summary!$S$2:$S$201,MATCH($B3983,Summary!$A$2:$A$201,0))</f>
        <v>Bronze</v>
      </c>
      <c r="X3983" s="2" t="n">
        <f aca="false">INDEX(Summary!$T$2:$T$201,MATCH($B3983,Summary!$A$2:$A$201,0))</f>
        <v>43.68</v>
      </c>
      <c r="Y3983" s="0" t="str">
        <f aca="false">INDEX('Reward Model'!$E$18:$E$37,MATCH($E3983,'Reward Model'!$A$18:$A$37,0))</f>
        <v>Low</v>
      </c>
      <c r="Z3983" s="4" t="n">
        <f aca="false">ROUND(MIN(1,MAX('Reward Model'!$B$2,INDEX('Reward Model'!$C$12:$C$14,MATCH($K3983,'Reward Model'!$A$12:$A$14,0))/$J3983)),3)</f>
        <v>0.811</v>
      </c>
      <c r="AA3983" s="2" t="n">
        <f aca="false">IF($I3983="Correct",ROUND(INDEX('Reward Model'!$B$12:$B$14,MATCH($K3983,'Reward Model'!$A$12:$A$14,0))*Z3983,2),0)</f>
        <v>0.81</v>
      </c>
      <c r="AB3983" s="2" t="n">
        <f aca="false">IF($I3983="Correct",ROUND(INDEX('Reward Model'!$B$12:$B$14,MATCH($Y3983,'Reward Model'!$A$12:$A$14,0))*Z3983,2),0)</f>
        <v>0.81</v>
      </c>
    </row>
    <row r="3984" customFormat="false" ht="15" hidden="false" customHeight="false" outlineLevel="0" collapsed="false">
      <c r="A3984" s="0" t="s">
        <v>530</v>
      </c>
      <c r="B3984" s="0" t="s">
        <v>531</v>
      </c>
      <c r="C3984" s="0" t="s">
        <v>322</v>
      </c>
      <c r="D3984" s="0" t="s">
        <v>275</v>
      </c>
      <c r="E3984" s="0" t="n">
        <v>3</v>
      </c>
      <c r="F3984" s="0" t="s">
        <v>40</v>
      </c>
      <c r="G3984" s="0" t="s">
        <v>42</v>
      </c>
      <c r="H3984" s="0" t="s">
        <v>42</v>
      </c>
      <c r="I3984" s="0" t="s">
        <v>34</v>
      </c>
      <c r="J3984" s="0" t="n">
        <v>1.15</v>
      </c>
      <c r="K3984" s="0" t="s">
        <v>35</v>
      </c>
      <c r="L3984" s="0" t="n">
        <f aca="false">INDEX(Summary!$F$2:$F$201,MATCH($B3984,Summary!$A$2:$A$201,0))</f>
        <v>20</v>
      </c>
      <c r="M3984" s="0" t="n">
        <f aca="false">INDEX(Summary!$I$2:$I$201,MATCH($B3984,Summary!$A$2:$A$201,0))</f>
        <v>1</v>
      </c>
      <c r="N3984" s="0" t="n">
        <f aca="false">INDEX(Summary!$J$2:$J$201,MATCH($B3984,Summary!$A$2:$A$201,0))</f>
        <v>4</v>
      </c>
      <c r="O3984" s="2" t="n">
        <f aca="false">INDEX(Summary!$K$2:$K$201,MATCH($B3984,Summary!$A$2:$A$201,0))</f>
        <v>8.67</v>
      </c>
      <c r="P3984" s="3" t="n">
        <f aca="false">INDEX(Summary!$L$2:$L$201,MATCH($B3984,Summary!$A$2:$A$201,0))</f>
        <v>2</v>
      </c>
      <c r="Q3984" s="3" t="n">
        <f aca="false">INDEX(Summary!$M$2:$M$201,MATCH($B3984,Summary!$A$2:$A$201,0))</f>
        <v>4</v>
      </c>
      <c r="R3984" s="2" t="n">
        <f aca="false">INDEX(Summary!$N$2:$N$201,MATCH($B3984,Summary!$A$2:$A$201,0))</f>
        <v>10.4</v>
      </c>
      <c r="S3984" s="3" t="n">
        <f aca="false">INDEX(Summary!$O$2:$O$201,MATCH($B3984,Summary!$A$2:$A$201,0))</f>
        <v>8</v>
      </c>
      <c r="T3984" s="3" t="n">
        <f aca="false">INDEX(Summary!$P$2:$P$201,MATCH($B3984,Summary!$A$2:$A$201,0))</f>
        <v>1</v>
      </c>
      <c r="U3984" s="2" t="n">
        <f aca="false">INDEX(Summary!$Q$2:$Q$201,MATCH($B3984,Summary!$A$2:$A$201,0))</f>
        <v>13.16</v>
      </c>
      <c r="V3984" s="2" t="n">
        <f aca="false">INDEX(Summary!$R$2:$R$201,MATCH($B3984,Summary!$A$2:$A$201,0))</f>
        <v>17.91</v>
      </c>
      <c r="W3984" s="0" t="str">
        <f aca="false">INDEX(Summary!$S$2:$S$201,MATCH($B3984,Summary!$A$2:$A$201,0))</f>
        <v>Bronze</v>
      </c>
      <c r="X3984" s="2" t="n">
        <f aca="false">INDEX(Summary!$T$2:$T$201,MATCH($B3984,Summary!$A$2:$A$201,0))</f>
        <v>43.68</v>
      </c>
      <c r="Y3984" s="0" t="str">
        <f aca="false">INDEX('Reward Model'!$E$18:$E$37,MATCH($E3984,'Reward Model'!$A$18:$A$37,0))</f>
        <v>Medium</v>
      </c>
      <c r="Z3984" s="4" t="n">
        <f aca="false">ROUND(MIN(1,MAX('Reward Model'!$B$2,INDEX('Reward Model'!$C$12:$C$14,MATCH($K3984,'Reward Model'!$A$12:$A$14,0))/$J3984)),3)</f>
        <v>1</v>
      </c>
      <c r="AA3984" s="2" t="n">
        <f aca="false">IF($I3984="Correct",ROUND(INDEX('Reward Model'!$B$12:$B$14,MATCH($K3984,'Reward Model'!$A$12:$A$14,0))*Z3984,2),0)</f>
        <v>1</v>
      </c>
      <c r="AB3984" s="2" t="n">
        <f aca="false">IF($I3984="Correct",ROUND(INDEX('Reward Model'!$B$12:$B$14,MATCH($Y3984,'Reward Model'!$A$12:$A$14,0))*Z3984,2),0)</f>
        <v>2</v>
      </c>
    </row>
    <row r="3985" customFormat="false" ht="15" hidden="false" customHeight="false" outlineLevel="0" collapsed="false">
      <c r="A3985" s="0" t="s">
        <v>530</v>
      </c>
      <c r="B3985" s="0" t="s">
        <v>531</v>
      </c>
      <c r="C3985" s="0" t="s">
        <v>322</v>
      </c>
      <c r="D3985" s="0" t="s">
        <v>275</v>
      </c>
      <c r="E3985" s="0" t="n">
        <v>4</v>
      </c>
      <c r="F3985" s="0" t="s">
        <v>43</v>
      </c>
      <c r="G3985" s="0" t="s">
        <v>45</v>
      </c>
      <c r="H3985" s="0" t="s">
        <v>45</v>
      </c>
      <c r="I3985" s="0" t="s">
        <v>34</v>
      </c>
      <c r="J3985" s="0" t="n">
        <v>1.68</v>
      </c>
      <c r="K3985" s="0" t="s">
        <v>35</v>
      </c>
      <c r="L3985" s="0" t="n">
        <f aca="false">INDEX(Summary!$F$2:$F$201,MATCH($B3985,Summary!$A$2:$A$201,0))</f>
        <v>20</v>
      </c>
      <c r="M3985" s="0" t="n">
        <f aca="false">INDEX(Summary!$I$2:$I$201,MATCH($B3985,Summary!$A$2:$A$201,0))</f>
        <v>1</v>
      </c>
      <c r="N3985" s="0" t="n">
        <f aca="false">INDEX(Summary!$J$2:$J$201,MATCH($B3985,Summary!$A$2:$A$201,0))</f>
        <v>4</v>
      </c>
      <c r="O3985" s="2" t="n">
        <f aca="false">INDEX(Summary!$K$2:$K$201,MATCH($B3985,Summary!$A$2:$A$201,0))</f>
        <v>8.67</v>
      </c>
      <c r="P3985" s="3" t="n">
        <f aca="false">INDEX(Summary!$L$2:$L$201,MATCH($B3985,Summary!$A$2:$A$201,0))</f>
        <v>2</v>
      </c>
      <c r="Q3985" s="3" t="n">
        <f aca="false">INDEX(Summary!$M$2:$M$201,MATCH($B3985,Summary!$A$2:$A$201,0))</f>
        <v>4</v>
      </c>
      <c r="R3985" s="2" t="n">
        <f aca="false">INDEX(Summary!$N$2:$N$201,MATCH($B3985,Summary!$A$2:$A$201,0))</f>
        <v>10.4</v>
      </c>
      <c r="S3985" s="3" t="n">
        <f aca="false">INDEX(Summary!$O$2:$O$201,MATCH($B3985,Summary!$A$2:$A$201,0))</f>
        <v>8</v>
      </c>
      <c r="T3985" s="3" t="n">
        <f aca="false">INDEX(Summary!$P$2:$P$201,MATCH($B3985,Summary!$A$2:$A$201,0))</f>
        <v>1</v>
      </c>
      <c r="U3985" s="2" t="n">
        <f aca="false">INDEX(Summary!$Q$2:$Q$201,MATCH($B3985,Summary!$A$2:$A$201,0))</f>
        <v>13.16</v>
      </c>
      <c r="V3985" s="2" t="n">
        <f aca="false">INDEX(Summary!$R$2:$R$201,MATCH($B3985,Summary!$A$2:$A$201,0))</f>
        <v>17.91</v>
      </c>
      <c r="W3985" s="0" t="str">
        <f aca="false">INDEX(Summary!$S$2:$S$201,MATCH($B3985,Summary!$A$2:$A$201,0))</f>
        <v>Bronze</v>
      </c>
      <c r="X3985" s="2" t="n">
        <f aca="false">INDEX(Summary!$T$2:$T$201,MATCH($B3985,Summary!$A$2:$A$201,0))</f>
        <v>43.68</v>
      </c>
      <c r="Y3985" s="0" t="str">
        <f aca="false">INDEX('Reward Model'!$E$18:$E$37,MATCH($E3985,'Reward Model'!$A$18:$A$37,0))</f>
        <v>Low</v>
      </c>
      <c r="Z3985" s="4" t="n">
        <f aca="false">ROUND(MIN(1,MAX('Reward Model'!$B$2,INDEX('Reward Model'!$C$12:$C$14,MATCH($K3985,'Reward Model'!$A$12:$A$14,0))/$J3985)),3)</f>
        <v>0.893</v>
      </c>
      <c r="AA3985" s="2" t="n">
        <f aca="false">IF($I3985="Correct",ROUND(INDEX('Reward Model'!$B$12:$B$14,MATCH($K3985,'Reward Model'!$A$12:$A$14,0))*Z3985,2),0)</f>
        <v>0.89</v>
      </c>
      <c r="AB3985" s="2" t="n">
        <f aca="false">IF($I3985="Correct",ROUND(INDEX('Reward Model'!$B$12:$B$14,MATCH($Y3985,'Reward Model'!$A$12:$A$14,0))*Z3985,2),0)</f>
        <v>0.89</v>
      </c>
    </row>
    <row r="3986" customFormat="false" ht="15" hidden="false" customHeight="false" outlineLevel="0" collapsed="false">
      <c r="A3986" s="0" t="s">
        <v>530</v>
      </c>
      <c r="B3986" s="0" t="s">
        <v>531</v>
      </c>
      <c r="C3986" s="0" t="s">
        <v>322</v>
      </c>
      <c r="D3986" s="0" t="s">
        <v>275</v>
      </c>
      <c r="E3986" s="0" t="n">
        <v>5</v>
      </c>
      <c r="F3986" s="0" t="s">
        <v>46</v>
      </c>
      <c r="G3986" s="0" t="s">
        <v>47</v>
      </c>
      <c r="H3986" s="0" t="s">
        <v>47</v>
      </c>
      <c r="I3986" s="0" t="s">
        <v>34</v>
      </c>
      <c r="J3986" s="0" t="n">
        <v>1.45</v>
      </c>
      <c r="K3986" s="0" t="s">
        <v>35</v>
      </c>
      <c r="L3986" s="0" t="n">
        <f aca="false">INDEX(Summary!$F$2:$F$201,MATCH($B3986,Summary!$A$2:$A$201,0))</f>
        <v>20</v>
      </c>
      <c r="M3986" s="0" t="n">
        <f aca="false">INDEX(Summary!$I$2:$I$201,MATCH($B3986,Summary!$A$2:$A$201,0))</f>
        <v>1</v>
      </c>
      <c r="N3986" s="0" t="n">
        <f aca="false">INDEX(Summary!$J$2:$J$201,MATCH($B3986,Summary!$A$2:$A$201,0))</f>
        <v>4</v>
      </c>
      <c r="O3986" s="2" t="n">
        <f aca="false">INDEX(Summary!$K$2:$K$201,MATCH($B3986,Summary!$A$2:$A$201,0))</f>
        <v>8.67</v>
      </c>
      <c r="P3986" s="3" t="n">
        <f aca="false">INDEX(Summary!$L$2:$L$201,MATCH($B3986,Summary!$A$2:$A$201,0))</f>
        <v>2</v>
      </c>
      <c r="Q3986" s="3" t="n">
        <f aca="false">INDEX(Summary!$M$2:$M$201,MATCH($B3986,Summary!$A$2:$A$201,0))</f>
        <v>4</v>
      </c>
      <c r="R3986" s="2" t="n">
        <f aca="false">INDEX(Summary!$N$2:$N$201,MATCH($B3986,Summary!$A$2:$A$201,0))</f>
        <v>10.4</v>
      </c>
      <c r="S3986" s="3" t="n">
        <f aca="false">INDEX(Summary!$O$2:$O$201,MATCH($B3986,Summary!$A$2:$A$201,0))</f>
        <v>8</v>
      </c>
      <c r="T3986" s="3" t="n">
        <f aca="false">INDEX(Summary!$P$2:$P$201,MATCH($B3986,Summary!$A$2:$A$201,0))</f>
        <v>1</v>
      </c>
      <c r="U3986" s="2" t="n">
        <f aca="false">INDEX(Summary!$Q$2:$Q$201,MATCH($B3986,Summary!$A$2:$A$201,0))</f>
        <v>13.16</v>
      </c>
      <c r="V3986" s="2" t="n">
        <f aca="false">INDEX(Summary!$R$2:$R$201,MATCH($B3986,Summary!$A$2:$A$201,0))</f>
        <v>17.91</v>
      </c>
      <c r="W3986" s="0" t="str">
        <f aca="false">INDEX(Summary!$S$2:$S$201,MATCH($B3986,Summary!$A$2:$A$201,0))</f>
        <v>Bronze</v>
      </c>
      <c r="X3986" s="2" t="n">
        <f aca="false">INDEX(Summary!$T$2:$T$201,MATCH($B3986,Summary!$A$2:$A$201,0))</f>
        <v>43.68</v>
      </c>
      <c r="Y3986" s="0" t="str">
        <f aca="false">INDEX('Reward Model'!$E$18:$E$37,MATCH($E3986,'Reward Model'!$A$18:$A$37,0))</f>
        <v>Low</v>
      </c>
      <c r="Z3986" s="4" t="n">
        <f aca="false">ROUND(MIN(1,MAX('Reward Model'!$B$2,INDEX('Reward Model'!$C$12:$C$14,MATCH($K3986,'Reward Model'!$A$12:$A$14,0))/$J3986)),3)</f>
        <v>1</v>
      </c>
      <c r="AA3986" s="2" t="n">
        <f aca="false">IF($I3986="Correct",ROUND(INDEX('Reward Model'!$B$12:$B$14,MATCH($K3986,'Reward Model'!$A$12:$A$14,0))*Z3986,2),0)</f>
        <v>1</v>
      </c>
      <c r="AB3986" s="2" t="n">
        <f aca="false">IF($I3986="Correct",ROUND(INDEX('Reward Model'!$B$12:$B$14,MATCH($Y3986,'Reward Model'!$A$12:$A$14,0))*Z3986,2),0)</f>
        <v>1</v>
      </c>
    </row>
    <row r="3987" customFormat="false" ht="15" hidden="false" customHeight="false" outlineLevel="0" collapsed="false">
      <c r="A3987" s="0" t="s">
        <v>530</v>
      </c>
      <c r="B3987" s="0" t="s">
        <v>531</v>
      </c>
      <c r="C3987" s="0" t="s">
        <v>322</v>
      </c>
      <c r="D3987" s="0" t="s">
        <v>275</v>
      </c>
      <c r="E3987" s="0" t="n">
        <v>6</v>
      </c>
      <c r="F3987" s="0" t="s">
        <v>48</v>
      </c>
      <c r="G3987" s="0" t="s">
        <v>49</v>
      </c>
      <c r="H3987" s="0" t="s">
        <v>49</v>
      </c>
      <c r="I3987" s="0" t="s">
        <v>34</v>
      </c>
      <c r="J3987" s="0" t="n">
        <v>1.55</v>
      </c>
      <c r="K3987" s="0" t="s">
        <v>35</v>
      </c>
      <c r="L3987" s="0" t="n">
        <f aca="false">INDEX(Summary!$F$2:$F$201,MATCH($B3987,Summary!$A$2:$A$201,0))</f>
        <v>20</v>
      </c>
      <c r="M3987" s="0" t="n">
        <f aca="false">INDEX(Summary!$I$2:$I$201,MATCH($B3987,Summary!$A$2:$A$201,0))</f>
        <v>1</v>
      </c>
      <c r="N3987" s="0" t="n">
        <f aca="false">INDEX(Summary!$J$2:$J$201,MATCH($B3987,Summary!$A$2:$A$201,0))</f>
        <v>4</v>
      </c>
      <c r="O3987" s="2" t="n">
        <f aca="false">INDEX(Summary!$K$2:$K$201,MATCH($B3987,Summary!$A$2:$A$201,0))</f>
        <v>8.67</v>
      </c>
      <c r="P3987" s="3" t="n">
        <f aca="false">INDEX(Summary!$L$2:$L$201,MATCH($B3987,Summary!$A$2:$A$201,0))</f>
        <v>2</v>
      </c>
      <c r="Q3987" s="3" t="n">
        <f aca="false">INDEX(Summary!$M$2:$M$201,MATCH($B3987,Summary!$A$2:$A$201,0))</f>
        <v>4</v>
      </c>
      <c r="R3987" s="2" t="n">
        <f aca="false">INDEX(Summary!$N$2:$N$201,MATCH($B3987,Summary!$A$2:$A$201,0))</f>
        <v>10.4</v>
      </c>
      <c r="S3987" s="3" t="n">
        <f aca="false">INDEX(Summary!$O$2:$O$201,MATCH($B3987,Summary!$A$2:$A$201,0))</f>
        <v>8</v>
      </c>
      <c r="T3987" s="3" t="n">
        <f aca="false">INDEX(Summary!$P$2:$P$201,MATCH($B3987,Summary!$A$2:$A$201,0))</f>
        <v>1</v>
      </c>
      <c r="U3987" s="2" t="n">
        <f aca="false">INDEX(Summary!$Q$2:$Q$201,MATCH($B3987,Summary!$A$2:$A$201,0))</f>
        <v>13.16</v>
      </c>
      <c r="V3987" s="2" t="n">
        <f aca="false">INDEX(Summary!$R$2:$R$201,MATCH($B3987,Summary!$A$2:$A$201,0))</f>
        <v>17.91</v>
      </c>
      <c r="W3987" s="0" t="str">
        <f aca="false">INDEX(Summary!$S$2:$S$201,MATCH($B3987,Summary!$A$2:$A$201,0))</f>
        <v>Bronze</v>
      </c>
      <c r="X3987" s="2" t="n">
        <f aca="false">INDEX(Summary!$T$2:$T$201,MATCH($B3987,Summary!$A$2:$A$201,0))</f>
        <v>43.68</v>
      </c>
      <c r="Y3987" s="0" t="str">
        <f aca="false">INDEX('Reward Model'!$E$18:$E$37,MATCH($E3987,'Reward Model'!$A$18:$A$37,0))</f>
        <v>Medium</v>
      </c>
      <c r="Z3987" s="4" t="n">
        <f aca="false">ROUND(MIN(1,MAX('Reward Model'!$B$2,INDEX('Reward Model'!$C$12:$C$14,MATCH($K3987,'Reward Model'!$A$12:$A$14,0))/$J3987)),3)</f>
        <v>0.968</v>
      </c>
      <c r="AA3987" s="2" t="n">
        <f aca="false">IF($I3987="Correct",ROUND(INDEX('Reward Model'!$B$12:$B$14,MATCH($K3987,'Reward Model'!$A$12:$A$14,0))*Z3987,2),0)</f>
        <v>0.97</v>
      </c>
      <c r="AB3987" s="2" t="n">
        <f aca="false">IF($I3987="Correct",ROUND(INDEX('Reward Model'!$B$12:$B$14,MATCH($Y3987,'Reward Model'!$A$12:$A$14,0))*Z3987,2),0)</f>
        <v>1.94</v>
      </c>
    </row>
    <row r="3988" customFormat="false" ht="15" hidden="false" customHeight="false" outlineLevel="0" collapsed="false">
      <c r="A3988" s="0" t="s">
        <v>530</v>
      </c>
      <c r="B3988" s="0" t="s">
        <v>531</v>
      </c>
      <c r="C3988" s="0" t="s">
        <v>322</v>
      </c>
      <c r="D3988" s="0" t="s">
        <v>275</v>
      </c>
      <c r="E3988" s="0" t="n">
        <v>7</v>
      </c>
      <c r="F3988" s="0" t="s">
        <v>50</v>
      </c>
      <c r="G3988" s="0" t="s">
        <v>51</v>
      </c>
      <c r="H3988" s="0" t="s">
        <v>51</v>
      </c>
      <c r="I3988" s="0" t="s">
        <v>34</v>
      </c>
      <c r="J3988" s="0" t="n">
        <v>1.43</v>
      </c>
      <c r="K3988" s="0" t="s">
        <v>35</v>
      </c>
      <c r="L3988" s="0" t="n">
        <f aca="false">INDEX(Summary!$F$2:$F$201,MATCH($B3988,Summary!$A$2:$A$201,0))</f>
        <v>20</v>
      </c>
      <c r="M3988" s="0" t="n">
        <f aca="false">INDEX(Summary!$I$2:$I$201,MATCH($B3988,Summary!$A$2:$A$201,0))</f>
        <v>1</v>
      </c>
      <c r="N3988" s="0" t="n">
        <f aca="false">INDEX(Summary!$J$2:$J$201,MATCH($B3988,Summary!$A$2:$A$201,0))</f>
        <v>4</v>
      </c>
      <c r="O3988" s="2" t="n">
        <f aca="false">INDEX(Summary!$K$2:$K$201,MATCH($B3988,Summary!$A$2:$A$201,0))</f>
        <v>8.67</v>
      </c>
      <c r="P3988" s="3" t="n">
        <f aca="false">INDEX(Summary!$L$2:$L$201,MATCH($B3988,Summary!$A$2:$A$201,0))</f>
        <v>2</v>
      </c>
      <c r="Q3988" s="3" t="n">
        <f aca="false">INDEX(Summary!$M$2:$M$201,MATCH($B3988,Summary!$A$2:$A$201,0))</f>
        <v>4</v>
      </c>
      <c r="R3988" s="2" t="n">
        <f aca="false">INDEX(Summary!$N$2:$N$201,MATCH($B3988,Summary!$A$2:$A$201,0))</f>
        <v>10.4</v>
      </c>
      <c r="S3988" s="3" t="n">
        <f aca="false">INDEX(Summary!$O$2:$O$201,MATCH($B3988,Summary!$A$2:$A$201,0))</f>
        <v>8</v>
      </c>
      <c r="T3988" s="3" t="n">
        <f aca="false">INDEX(Summary!$P$2:$P$201,MATCH($B3988,Summary!$A$2:$A$201,0))</f>
        <v>1</v>
      </c>
      <c r="U3988" s="2" t="n">
        <f aca="false">INDEX(Summary!$Q$2:$Q$201,MATCH($B3988,Summary!$A$2:$A$201,0))</f>
        <v>13.16</v>
      </c>
      <c r="V3988" s="2" t="n">
        <f aca="false">INDEX(Summary!$R$2:$R$201,MATCH($B3988,Summary!$A$2:$A$201,0))</f>
        <v>17.91</v>
      </c>
      <c r="W3988" s="0" t="str">
        <f aca="false">INDEX(Summary!$S$2:$S$201,MATCH($B3988,Summary!$A$2:$A$201,0))</f>
        <v>Bronze</v>
      </c>
      <c r="X3988" s="2" t="n">
        <f aca="false">INDEX(Summary!$T$2:$T$201,MATCH($B3988,Summary!$A$2:$A$201,0))</f>
        <v>43.68</v>
      </c>
      <c r="Y3988" s="0" t="str">
        <f aca="false">INDEX('Reward Model'!$E$18:$E$37,MATCH($E3988,'Reward Model'!$A$18:$A$37,0))</f>
        <v>Low</v>
      </c>
      <c r="Z3988" s="4" t="n">
        <f aca="false">ROUND(MIN(1,MAX('Reward Model'!$B$2,INDEX('Reward Model'!$C$12:$C$14,MATCH($K3988,'Reward Model'!$A$12:$A$14,0))/$J3988)),3)</f>
        <v>1</v>
      </c>
      <c r="AA3988" s="2" t="n">
        <f aca="false">IF($I3988="Correct",ROUND(INDEX('Reward Model'!$B$12:$B$14,MATCH($K3988,'Reward Model'!$A$12:$A$14,0))*Z3988,2),0)</f>
        <v>1</v>
      </c>
      <c r="AB3988" s="2" t="n">
        <f aca="false">IF($I3988="Correct",ROUND(INDEX('Reward Model'!$B$12:$B$14,MATCH($Y3988,'Reward Model'!$A$12:$A$14,0))*Z3988,2),0)</f>
        <v>1</v>
      </c>
    </row>
    <row r="3989" customFormat="false" ht="15" hidden="false" customHeight="false" outlineLevel="0" collapsed="false">
      <c r="A3989" s="0" t="s">
        <v>530</v>
      </c>
      <c r="B3989" s="0" t="s">
        <v>531</v>
      </c>
      <c r="C3989" s="0" t="s">
        <v>322</v>
      </c>
      <c r="D3989" s="0" t="s">
        <v>275</v>
      </c>
      <c r="E3989" s="0" t="n">
        <v>8</v>
      </c>
      <c r="F3989" s="0" t="s">
        <v>52</v>
      </c>
      <c r="G3989" s="0" t="s">
        <v>53</v>
      </c>
      <c r="H3989" s="0" t="s">
        <v>54</v>
      </c>
      <c r="I3989" s="0" t="s">
        <v>39</v>
      </c>
      <c r="J3989" s="0" t="n">
        <v>1.26</v>
      </c>
      <c r="K3989" s="0" t="s">
        <v>35</v>
      </c>
      <c r="L3989" s="0" t="n">
        <f aca="false">INDEX(Summary!$F$2:$F$201,MATCH($B3989,Summary!$A$2:$A$201,0))</f>
        <v>20</v>
      </c>
      <c r="M3989" s="0" t="n">
        <f aca="false">INDEX(Summary!$I$2:$I$201,MATCH($B3989,Summary!$A$2:$A$201,0))</f>
        <v>1</v>
      </c>
      <c r="N3989" s="0" t="n">
        <f aca="false">INDEX(Summary!$J$2:$J$201,MATCH($B3989,Summary!$A$2:$A$201,0))</f>
        <v>4</v>
      </c>
      <c r="O3989" s="2" t="n">
        <f aca="false">INDEX(Summary!$K$2:$K$201,MATCH($B3989,Summary!$A$2:$A$201,0))</f>
        <v>8.67</v>
      </c>
      <c r="P3989" s="3" t="n">
        <f aca="false">INDEX(Summary!$L$2:$L$201,MATCH($B3989,Summary!$A$2:$A$201,0))</f>
        <v>2</v>
      </c>
      <c r="Q3989" s="3" t="n">
        <f aca="false">INDEX(Summary!$M$2:$M$201,MATCH($B3989,Summary!$A$2:$A$201,0))</f>
        <v>4</v>
      </c>
      <c r="R3989" s="2" t="n">
        <f aca="false">INDEX(Summary!$N$2:$N$201,MATCH($B3989,Summary!$A$2:$A$201,0))</f>
        <v>10.4</v>
      </c>
      <c r="S3989" s="3" t="n">
        <f aca="false">INDEX(Summary!$O$2:$O$201,MATCH($B3989,Summary!$A$2:$A$201,0))</f>
        <v>8</v>
      </c>
      <c r="T3989" s="3" t="n">
        <f aca="false">INDEX(Summary!$P$2:$P$201,MATCH($B3989,Summary!$A$2:$A$201,0))</f>
        <v>1</v>
      </c>
      <c r="U3989" s="2" t="n">
        <f aca="false">INDEX(Summary!$Q$2:$Q$201,MATCH($B3989,Summary!$A$2:$A$201,0))</f>
        <v>13.16</v>
      </c>
      <c r="V3989" s="2" t="n">
        <f aca="false">INDEX(Summary!$R$2:$R$201,MATCH($B3989,Summary!$A$2:$A$201,0))</f>
        <v>17.91</v>
      </c>
      <c r="W3989" s="0" t="str">
        <f aca="false">INDEX(Summary!$S$2:$S$201,MATCH($B3989,Summary!$A$2:$A$201,0))</f>
        <v>Bronze</v>
      </c>
      <c r="X3989" s="2" t="n">
        <f aca="false">INDEX(Summary!$T$2:$T$201,MATCH($B3989,Summary!$A$2:$A$201,0))</f>
        <v>43.68</v>
      </c>
      <c r="Y3989" s="0" t="str">
        <f aca="false">INDEX('Reward Model'!$E$18:$E$37,MATCH($E3989,'Reward Model'!$A$18:$A$37,0))</f>
        <v>Medium</v>
      </c>
      <c r="Z3989" s="4" t="n">
        <f aca="false">ROUND(MIN(1,MAX('Reward Model'!$B$2,INDEX('Reward Model'!$C$12:$C$14,MATCH($K3989,'Reward Model'!$A$12:$A$14,0))/$J3989)),3)</f>
        <v>1</v>
      </c>
      <c r="AA3989" s="2" t="n">
        <f aca="false">IF($I3989="Correct",ROUND(INDEX('Reward Model'!$B$12:$B$14,MATCH($K3989,'Reward Model'!$A$12:$A$14,0))*Z3989,2),0)</f>
        <v>0</v>
      </c>
      <c r="AB3989" s="2" t="n">
        <f aca="false">IF($I3989="Correct",ROUND(INDEX('Reward Model'!$B$12:$B$14,MATCH($Y3989,'Reward Model'!$A$12:$A$14,0))*Z3989,2),0)</f>
        <v>0</v>
      </c>
    </row>
    <row r="3990" customFormat="false" ht="15" hidden="false" customHeight="false" outlineLevel="0" collapsed="false">
      <c r="A3990" s="0" t="s">
        <v>530</v>
      </c>
      <c r="B3990" s="0" t="s">
        <v>531</v>
      </c>
      <c r="C3990" s="0" t="s">
        <v>322</v>
      </c>
      <c r="D3990" s="0" t="s">
        <v>275</v>
      </c>
      <c r="E3990" s="0" t="n">
        <v>9</v>
      </c>
      <c r="F3990" s="0" t="s">
        <v>55</v>
      </c>
      <c r="G3990" s="0" t="s">
        <v>57</v>
      </c>
      <c r="H3990" s="0" t="s">
        <v>57</v>
      </c>
      <c r="I3990" s="0" t="s">
        <v>34</v>
      </c>
      <c r="J3990" s="0" t="n">
        <v>0.99</v>
      </c>
      <c r="K3990" s="0" t="s">
        <v>35</v>
      </c>
      <c r="L3990" s="0" t="n">
        <f aca="false">INDEX(Summary!$F$2:$F$201,MATCH($B3990,Summary!$A$2:$A$201,0))</f>
        <v>20</v>
      </c>
      <c r="M3990" s="0" t="n">
        <f aca="false">INDEX(Summary!$I$2:$I$201,MATCH($B3990,Summary!$A$2:$A$201,0))</f>
        <v>1</v>
      </c>
      <c r="N3990" s="0" t="n">
        <f aca="false">INDEX(Summary!$J$2:$J$201,MATCH($B3990,Summary!$A$2:$A$201,0))</f>
        <v>4</v>
      </c>
      <c r="O3990" s="2" t="n">
        <f aca="false">INDEX(Summary!$K$2:$K$201,MATCH($B3990,Summary!$A$2:$A$201,0))</f>
        <v>8.67</v>
      </c>
      <c r="P3990" s="3" t="n">
        <f aca="false">INDEX(Summary!$L$2:$L$201,MATCH($B3990,Summary!$A$2:$A$201,0))</f>
        <v>2</v>
      </c>
      <c r="Q3990" s="3" t="n">
        <f aca="false">INDEX(Summary!$M$2:$M$201,MATCH($B3990,Summary!$A$2:$A$201,0))</f>
        <v>4</v>
      </c>
      <c r="R3990" s="2" t="n">
        <f aca="false">INDEX(Summary!$N$2:$N$201,MATCH($B3990,Summary!$A$2:$A$201,0))</f>
        <v>10.4</v>
      </c>
      <c r="S3990" s="3" t="n">
        <f aca="false">INDEX(Summary!$O$2:$O$201,MATCH($B3990,Summary!$A$2:$A$201,0))</f>
        <v>8</v>
      </c>
      <c r="T3990" s="3" t="n">
        <f aca="false">INDEX(Summary!$P$2:$P$201,MATCH($B3990,Summary!$A$2:$A$201,0))</f>
        <v>1</v>
      </c>
      <c r="U3990" s="2" t="n">
        <f aca="false">INDEX(Summary!$Q$2:$Q$201,MATCH($B3990,Summary!$A$2:$A$201,0))</f>
        <v>13.16</v>
      </c>
      <c r="V3990" s="2" t="n">
        <f aca="false">INDEX(Summary!$R$2:$R$201,MATCH($B3990,Summary!$A$2:$A$201,0))</f>
        <v>17.91</v>
      </c>
      <c r="W3990" s="0" t="str">
        <f aca="false">INDEX(Summary!$S$2:$S$201,MATCH($B3990,Summary!$A$2:$A$201,0))</f>
        <v>Bronze</v>
      </c>
      <c r="X3990" s="2" t="n">
        <f aca="false">INDEX(Summary!$T$2:$T$201,MATCH($B3990,Summary!$A$2:$A$201,0))</f>
        <v>43.68</v>
      </c>
      <c r="Y3990" s="0" t="str">
        <f aca="false">INDEX('Reward Model'!$E$18:$E$37,MATCH($E3990,'Reward Model'!$A$18:$A$37,0))</f>
        <v>Medium</v>
      </c>
      <c r="Z3990" s="4" t="n">
        <f aca="false">ROUND(MIN(1,MAX('Reward Model'!$B$2,INDEX('Reward Model'!$C$12:$C$14,MATCH($K3990,'Reward Model'!$A$12:$A$14,0))/$J3990)),3)</f>
        <v>1</v>
      </c>
      <c r="AA3990" s="2" t="n">
        <f aca="false">IF($I3990="Correct",ROUND(INDEX('Reward Model'!$B$12:$B$14,MATCH($K3990,'Reward Model'!$A$12:$A$14,0))*Z3990,2),0)</f>
        <v>1</v>
      </c>
      <c r="AB3990" s="2" t="n">
        <f aca="false">IF($I3990="Correct",ROUND(INDEX('Reward Model'!$B$12:$B$14,MATCH($Y3990,'Reward Model'!$A$12:$A$14,0))*Z3990,2),0)</f>
        <v>2</v>
      </c>
    </row>
    <row r="3991" customFormat="false" ht="15" hidden="false" customHeight="false" outlineLevel="0" collapsed="false">
      <c r="A3991" s="0" t="s">
        <v>530</v>
      </c>
      <c r="B3991" s="0" t="s">
        <v>531</v>
      </c>
      <c r="C3991" s="0" t="s">
        <v>322</v>
      </c>
      <c r="D3991" s="0" t="s">
        <v>275</v>
      </c>
      <c r="E3991" s="0" t="n">
        <v>10</v>
      </c>
      <c r="F3991" s="0" t="s">
        <v>58</v>
      </c>
      <c r="G3991" s="0" t="s">
        <v>138</v>
      </c>
      <c r="H3991" s="0" t="s">
        <v>59</v>
      </c>
      <c r="I3991" s="0" t="s">
        <v>39</v>
      </c>
      <c r="J3991" s="0" t="n">
        <v>1.79</v>
      </c>
      <c r="K3991" s="0" t="s">
        <v>60</v>
      </c>
      <c r="L3991" s="0" t="n">
        <f aca="false">INDEX(Summary!$F$2:$F$201,MATCH($B3991,Summary!$A$2:$A$201,0))</f>
        <v>20</v>
      </c>
      <c r="M3991" s="0" t="n">
        <f aca="false">INDEX(Summary!$I$2:$I$201,MATCH($B3991,Summary!$A$2:$A$201,0))</f>
        <v>1</v>
      </c>
      <c r="N3991" s="0" t="n">
        <f aca="false">INDEX(Summary!$J$2:$J$201,MATCH($B3991,Summary!$A$2:$A$201,0))</f>
        <v>4</v>
      </c>
      <c r="O3991" s="2" t="n">
        <f aca="false">INDEX(Summary!$K$2:$K$201,MATCH($B3991,Summary!$A$2:$A$201,0))</f>
        <v>8.67</v>
      </c>
      <c r="P3991" s="3" t="n">
        <f aca="false">INDEX(Summary!$L$2:$L$201,MATCH($B3991,Summary!$A$2:$A$201,0))</f>
        <v>2</v>
      </c>
      <c r="Q3991" s="3" t="n">
        <f aca="false">INDEX(Summary!$M$2:$M$201,MATCH($B3991,Summary!$A$2:$A$201,0))</f>
        <v>4</v>
      </c>
      <c r="R3991" s="2" t="n">
        <f aca="false">INDEX(Summary!$N$2:$N$201,MATCH($B3991,Summary!$A$2:$A$201,0))</f>
        <v>10.4</v>
      </c>
      <c r="S3991" s="3" t="n">
        <f aca="false">INDEX(Summary!$O$2:$O$201,MATCH($B3991,Summary!$A$2:$A$201,0))</f>
        <v>8</v>
      </c>
      <c r="T3991" s="3" t="n">
        <f aca="false">INDEX(Summary!$P$2:$P$201,MATCH($B3991,Summary!$A$2:$A$201,0))</f>
        <v>1</v>
      </c>
      <c r="U3991" s="2" t="n">
        <f aca="false">INDEX(Summary!$Q$2:$Q$201,MATCH($B3991,Summary!$A$2:$A$201,0))</f>
        <v>13.16</v>
      </c>
      <c r="V3991" s="2" t="n">
        <f aca="false">INDEX(Summary!$R$2:$R$201,MATCH($B3991,Summary!$A$2:$A$201,0))</f>
        <v>17.91</v>
      </c>
      <c r="W3991" s="0" t="str">
        <f aca="false">INDEX(Summary!$S$2:$S$201,MATCH($B3991,Summary!$A$2:$A$201,0))</f>
        <v>Bronze</v>
      </c>
      <c r="X3991" s="2" t="n">
        <f aca="false">INDEX(Summary!$T$2:$T$201,MATCH($B3991,Summary!$A$2:$A$201,0))</f>
        <v>43.68</v>
      </c>
      <c r="Y3991" s="0" t="str">
        <f aca="false">INDEX('Reward Model'!$E$18:$E$37,MATCH($E3991,'Reward Model'!$A$18:$A$37,0))</f>
        <v>Medium</v>
      </c>
      <c r="Z3991" s="4" t="n">
        <f aca="false">ROUND(MIN(1,MAX('Reward Model'!$B$2,INDEX('Reward Model'!$C$12:$C$14,MATCH($K3991,'Reward Model'!$A$12:$A$14,0))/$J3991)),3)</f>
        <v>1</v>
      </c>
      <c r="AA3991" s="2" t="n">
        <f aca="false">IF($I3991="Correct",ROUND(INDEX('Reward Model'!$B$12:$B$14,MATCH($K3991,'Reward Model'!$A$12:$A$14,0))*Z3991,2),0)</f>
        <v>0</v>
      </c>
      <c r="AB3991" s="2" t="n">
        <f aca="false">IF($I3991="Correct",ROUND(INDEX('Reward Model'!$B$12:$B$14,MATCH($Y3991,'Reward Model'!$A$12:$A$14,0))*Z3991,2),0)</f>
        <v>0</v>
      </c>
    </row>
    <row r="3992" customFormat="false" ht="15" hidden="false" customHeight="false" outlineLevel="0" collapsed="false">
      <c r="A3992" s="0" t="s">
        <v>530</v>
      </c>
      <c r="B3992" s="0" t="s">
        <v>531</v>
      </c>
      <c r="C3992" s="0" t="s">
        <v>322</v>
      </c>
      <c r="D3992" s="0" t="s">
        <v>275</v>
      </c>
      <c r="E3992" s="0" t="n">
        <v>11</v>
      </c>
      <c r="F3992" s="0" t="s">
        <v>61</v>
      </c>
      <c r="G3992" s="0" t="s">
        <v>63</v>
      </c>
      <c r="H3992" s="0" t="s">
        <v>63</v>
      </c>
      <c r="I3992" s="0" t="s">
        <v>34</v>
      </c>
      <c r="J3992" s="0" t="n">
        <v>1.59</v>
      </c>
      <c r="K3992" s="0" t="s">
        <v>60</v>
      </c>
      <c r="L3992" s="0" t="n">
        <f aca="false">INDEX(Summary!$F$2:$F$201,MATCH($B3992,Summary!$A$2:$A$201,0))</f>
        <v>20</v>
      </c>
      <c r="M3992" s="0" t="n">
        <f aca="false">INDEX(Summary!$I$2:$I$201,MATCH($B3992,Summary!$A$2:$A$201,0))</f>
        <v>1</v>
      </c>
      <c r="N3992" s="0" t="n">
        <f aca="false">INDEX(Summary!$J$2:$J$201,MATCH($B3992,Summary!$A$2:$A$201,0))</f>
        <v>4</v>
      </c>
      <c r="O3992" s="2" t="n">
        <f aca="false">INDEX(Summary!$K$2:$K$201,MATCH($B3992,Summary!$A$2:$A$201,0))</f>
        <v>8.67</v>
      </c>
      <c r="P3992" s="3" t="n">
        <f aca="false">INDEX(Summary!$L$2:$L$201,MATCH($B3992,Summary!$A$2:$A$201,0))</f>
        <v>2</v>
      </c>
      <c r="Q3992" s="3" t="n">
        <f aca="false">INDEX(Summary!$M$2:$M$201,MATCH($B3992,Summary!$A$2:$A$201,0))</f>
        <v>4</v>
      </c>
      <c r="R3992" s="2" t="n">
        <f aca="false">INDEX(Summary!$N$2:$N$201,MATCH($B3992,Summary!$A$2:$A$201,0))</f>
        <v>10.4</v>
      </c>
      <c r="S3992" s="3" t="n">
        <f aca="false">INDEX(Summary!$O$2:$O$201,MATCH($B3992,Summary!$A$2:$A$201,0))</f>
        <v>8</v>
      </c>
      <c r="T3992" s="3" t="n">
        <f aca="false">INDEX(Summary!$P$2:$P$201,MATCH($B3992,Summary!$A$2:$A$201,0))</f>
        <v>1</v>
      </c>
      <c r="U3992" s="2" t="n">
        <f aca="false">INDEX(Summary!$Q$2:$Q$201,MATCH($B3992,Summary!$A$2:$A$201,0))</f>
        <v>13.16</v>
      </c>
      <c r="V3992" s="2" t="n">
        <f aca="false">INDEX(Summary!$R$2:$R$201,MATCH($B3992,Summary!$A$2:$A$201,0))</f>
        <v>17.91</v>
      </c>
      <c r="W3992" s="0" t="str">
        <f aca="false">INDEX(Summary!$S$2:$S$201,MATCH($B3992,Summary!$A$2:$A$201,0))</f>
        <v>Bronze</v>
      </c>
      <c r="X3992" s="2" t="n">
        <f aca="false">INDEX(Summary!$T$2:$T$201,MATCH($B3992,Summary!$A$2:$A$201,0))</f>
        <v>43.68</v>
      </c>
      <c r="Y3992" s="0" t="str">
        <f aca="false">INDEX('Reward Model'!$E$18:$E$37,MATCH($E3992,'Reward Model'!$A$18:$A$37,0))</f>
        <v>Medium</v>
      </c>
      <c r="Z3992" s="4" t="n">
        <f aca="false">ROUND(MIN(1,MAX('Reward Model'!$B$2,INDEX('Reward Model'!$C$12:$C$14,MATCH($K3992,'Reward Model'!$A$12:$A$14,0))/$J3992)),3)</f>
        <v>1</v>
      </c>
      <c r="AA3992" s="2" t="n">
        <f aca="false">IF($I3992="Correct",ROUND(INDEX('Reward Model'!$B$12:$B$14,MATCH($K3992,'Reward Model'!$A$12:$A$14,0))*Z3992,2),0)</f>
        <v>2</v>
      </c>
      <c r="AB3992" s="2" t="n">
        <f aca="false">IF($I3992="Correct",ROUND(INDEX('Reward Model'!$B$12:$B$14,MATCH($Y3992,'Reward Model'!$A$12:$A$14,0))*Z3992,2),0)</f>
        <v>2</v>
      </c>
    </row>
    <row r="3993" customFormat="false" ht="15" hidden="false" customHeight="false" outlineLevel="0" collapsed="false">
      <c r="A3993" s="0" t="s">
        <v>530</v>
      </c>
      <c r="B3993" s="0" t="s">
        <v>531</v>
      </c>
      <c r="C3993" s="0" t="s">
        <v>322</v>
      </c>
      <c r="D3993" s="0" t="s">
        <v>275</v>
      </c>
      <c r="E3993" s="0" t="n">
        <v>12</v>
      </c>
      <c r="F3993" s="0" t="s">
        <v>64</v>
      </c>
      <c r="G3993" s="0" t="s">
        <v>127</v>
      </c>
      <c r="H3993" s="0" t="s">
        <v>65</v>
      </c>
      <c r="I3993" s="0" t="s">
        <v>39</v>
      </c>
      <c r="J3993" s="0" t="n">
        <v>1.12</v>
      </c>
      <c r="K3993" s="0" t="s">
        <v>60</v>
      </c>
      <c r="L3993" s="0" t="n">
        <f aca="false">INDEX(Summary!$F$2:$F$201,MATCH($B3993,Summary!$A$2:$A$201,0))</f>
        <v>20</v>
      </c>
      <c r="M3993" s="0" t="n">
        <f aca="false">INDEX(Summary!$I$2:$I$201,MATCH($B3993,Summary!$A$2:$A$201,0))</f>
        <v>1</v>
      </c>
      <c r="N3993" s="0" t="n">
        <f aca="false">INDEX(Summary!$J$2:$J$201,MATCH($B3993,Summary!$A$2:$A$201,0))</f>
        <v>4</v>
      </c>
      <c r="O3993" s="2" t="n">
        <f aca="false">INDEX(Summary!$K$2:$K$201,MATCH($B3993,Summary!$A$2:$A$201,0))</f>
        <v>8.67</v>
      </c>
      <c r="P3993" s="3" t="n">
        <f aca="false">INDEX(Summary!$L$2:$L$201,MATCH($B3993,Summary!$A$2:$A$201,0))</f>
        <v>2</v>
      </c>
      <c r="Q3993" s="3" t="n">
        <f aca="false">INDEX(Summary!$M$2:$M$201,MATCH($B3993,Summary!$A$2:$A$201,0))</f>
        <v>4</v>
      </c>
      <c r="R3993" s="2" t="n">
        <f aca="false">INDEX(Summary!$N$2:$N$201,MATCH($B3993,Summary!$A$2:$A$201,0))</f>
        <v>10.4</v>
      </c>
      <c r="S3993" s="3" t="n">
        <f aca="false">INDEX(Summary!$O$2:$O$201,MATCH($B3993,Summary!$A$2:$A$201,0))</f>
        <v>8</v>
      </c>
      <c r="T3993" s="3" t="n">
        <f aca="false">INDEX(Summary!$P$2:$P$201,MATCH($B3993,Summary!$A$2:$A$201,0))</f>
        <v>1</v>
      </c>
      <c r="U3993" s="2" t="n">
        <f aca="false">INDEX(Summary!$Q$2:$Q$201,MATCH($B3993,Summary!$A$2:$A$201,0))</f>
        <v>13.16</v>
      </c>
      <c r="V3993" s="2" t="n">
        <f aca="false">INDEX(Summary!$R$2:$R$201,MATCH($B3993,Summary!$A$2:$A$201,0))</f>
        <v>17.91</v>
      </c>
      <c r="W3993" s="0" t="str">
        <f aca="false">INDEX(Summary!$S$2:$S$201,MATCH($B3993,Summary!$A$2:$A$201,0))</f>
        <v>Bronze</v>
      </c>
      <c r="X3993" s="2" t="n">
        <f aca="false">INDEX(Summary!$T$2:$T$201,MATCH($B3993,Summary!$A$2:$A$201,0))</f>
        <v>43.68</v>
      </c>
      <c r="Y3993" s="0" t="str">
        <f aca="false">INDEX('Reward Model'!$E$18:$E$37,MATCH($E3993,'Reward Model'!$A$18:$A$37,0))</f>
        <v>Medium</v>
      </c>
      <c r="Z3993" s="4" t="n">
        <f aca="false">ROUND(MIN(1,MAX('Reward Model'!$B$2,INDEX('Reward Model'!$C$12:$C$14,MATCH($K3993,'Reward Model'!$A$12:$A$14,0))/$J3993)),3)</f>
        <v>1</v>
      </c>
      <c r="AA3993" s="2" t="n">
        <f aca="false">IF($I3993="Correct",ROUND(INDEX('Reward Model'!$B$12:$B$14,MATCH($K3993,'Reward Model'!$A$12:$A$14,0))*Z3993,2),0)</f>
        <v>0</v>
      </c>
      <c r="AB3993" s="2" t="n">
        <f aca="false">IF($I3993="Correct",ROUND(INDEX('Reward Model'!$B$12:$B$14,MATCH($Y3993,'Reward Model'!$A$12:$A$14,0))*Z3993,2),0)</f>
        <v>0</v>
      </c>
    </row>
    <row r="3994" customFormat="false" ht="15" hidden="false" customHeight="false" outlineLevel="0" collapsed="false">
      <c r="A3994" s="0" t="s">
        <v>530</v>
      </c>
      <c r="B3994" s="0" t="s">
        <v>531</v>
      </c>
      <c r="C3994" s="0" t="s">
        <v>322</v>
      </c>
      <c r="D3994" s="0" t="s">
        <v>275</v>
      </c>
      <c r="E3994" s="0" t="n">
        <v>13</v>
      </c>
      <c r="F3994" s="0" t="s">
        <v>66</v>
      </c>
      <c r="G3994" s="0" t="s">
        <v>67</v>
      </c>
      <c r="H3994" s="0" t="s">
        <v>67</v>
      </c>
      <c r="I3994" s="0" t="s">
        <v>34</v>
      </c>
      <c r="J3994" s="0" t="n">
        <v>1.8</v>
      </c>
      <c r="K3994" s="0" t="s">
        <v>60</v>
      </c>
      <c r="L3994" s="0" t="n">
        <f aca="false">INDEX(Summary!$F$2:$F$201,MATCH($B3994,Summary!$A$2:$A$201,0))</f>
        <v>20</v>
      </c>
      <c r="M3994" s="0" t="n">
        <f aca="false">INDEX(Summary!$I$2:$I$201,MATCH($B3994,Summary!$A$2:$A$201,0))</f>
        <v>1</v>
      </c>
      <c r="N3994" s="0" t="n">
        <f aca="false">INDEX(Summary!$J$2:$J$201,MATCH($B3994,Summary!$A$2:$A$201,0))</f>
        <v>4</v>
      </c>
      <c r="O3994" s="2" t="n">
        <f aca="false">INDEX(Summary!$K$2:$K$201,MATCH($B3994,Summary!$A$2:$A$201,0))</f>
        <v>8.67</v>
      </c>
      <c r="P3994" s="3" t="n">
        <f aca="false">INDEX(Summary!$L$2:$L$201,MATCH($B3994,Summary!$A$2:$A$201,0))</f>
        <v>2</v>
      </c>
      <c r="Q3994" s="3" t="n">
        <f aca="false">INDEX(Summary!$M$2:$M$201,MATCH($B3994,Summary!$A$2:$A$201,0))</f>
        <v>4</v>
      </c>
      <c r="R3994" s="2" t="n">
        <f aca="false">INDEX(Summary!$N$2:$N$201,MATCH($B3994,Summary!$A$2:$A$201,0))</f>
        <v>10.4</v>
      </c>
      <c r="S3994" s="3" t="n">
        <f aca="false">INDEX(Summary!$O$2:$O$201,MATCH($B3994,Summary!$A$2:$A$201,0))</f>
        <v>8</v>
      </c>
      <c r="T3994" s="3" t="n">
        <f aca="false">INDEX(Summary!$P$2:$P$201,MATCH($B3994,Summary!$A$2:$A$201,0))</f>
        <v>1</v>
      </c>
      <c r="U3994" s="2" t="n">
        <f aca="false">INDEX(Summary!$Q$2:$Q$201,MATCH($B3994,Summary!$A$2:$A$201,0))</f>
        <v>13.16</v>
      </c>
      <c r="V3994" s="2" t="n">
        <f aca="false">INDEX(Summary!$R$2:$R$201,MATCH($B3994,Summary!$A$2:$A$201,0))</f>
        <v>17.91</v>
      </c>
      <c r="W3994" s="0" t="str">
        <f aca="false">INDEX(Summary!$S$2:$S$201,MATCH($B3994,Summary!$A$2:$A$201,0))</f>
        <v>Bronze</v>
      </c>
      <c r="X3994" s="2" t="n">
        <f aca="false">INDEX(Summary!$T$2:$T$201,MATCH($B3994,Summary!$A$2:$A$201,0))</f>
        <v>43.68</v>
      </c>
      <c r="Y3994" s="0" t="str">
        <f aca="false">INDEX('Reward Model'!$E$18:$E$37,MATCH($E3994,'Reward Model'!$A$18:$A$37,0))</f>
        <v>Medium</v>
      </c>
      <c r="Z3994" s="4" t="n">
        <f aca="false">ROUND(MIN(1,MAX('Reward Model'!$B$2,INDEX('Reward Model'!$C$12:$C$14,MATCH($K3994,'Reward Model'!$A$12:$A$14,0))/$J3994)),3)</f>
        <v>1</v>
      </c>
      <c r="AA3994" s="2" t="n">
        <f aca="false">IF($I3994="Correct",ROUND(INDEX('Reward Model'!$B$12:$B$14,MATCH($K3994,'Reward Model'!$A$12:$A$14,0))*Z3994,2),0)</f>
        <v>2</v>
      </c>
      <c r="AB3994" s="2" t="n">
        <f aca="false">IF($I3994="Correct",ROUND(INDEX('Reward Model'!$B$12:$B$14,MATCH($Y3994,'Reward Model'!$A$12:$A$14,0))*Z3994,2),0)</f>
        <v>2</v>
      </c>
    </row>
    <row r="3995" customFormat="false" ht="15" hidden="false" customHeight="false" outlineLevel="0" collapsed="false">
      <c r="A3995" s="0" t="s">
        <v>530</v>
      </c>
      <c r="B3995" s="0" t="s">
        <v>531</v>
      </c>
      <c r="C3995" s="0" t="s">
        <v>322</v>
      </c>
      <c r="D3995" s="0" t="s">
        <v>275</v>
      </c>
      <c r="E3995" s="0" t="n">
        <v>14</v>
      </c>
      <c r="F3995" s="0" t="s">
        <v>68</v>
      </c>
      <c r="G3995" s="0" t="s">
        <v>118</v>
      </c>
      <c r="H3995" s="0" t="s">
        <v>51</v>
      </c>
      <c r="I3995" s="0" t="s">
        <v>39</v>
      </c>
      <c r="J3995" s="0" t="n">
        <v>1.96</v>
      </c>
      <c r="K3995" s="0" t="s">
        <v>60</v>
      </c>
      <c r="L3995" s="0" t="n">
        <f aca="false">INDEX(Summary!$F$2:$F$201,MATCH($B3995,Summary!$A$2:$A$201,0))</f>
        <v>20</v>
      </c>
      <c r="M3995" s="0" t="n">
        <f aca="false">INDEX(Summary!$I$2:$I$201,MATCH($B3995,Summary!$A$2:$A$201,0))</f>
        <v>1</v>
      </c>
      <c r="N3995" s="0" t="n">
        <f aca="false">INDEX(Summary!$J$2:$J$201,MATCH($B3995,Summary!$A$2:$A$201,0))</f>
        <v>4</v>
      </c>
      <c r="O3995" s="2" t="n">
        <f aca="false">INDEX(Summary!$K$2:$K$201,MATCH($B3995,Summary!$A$2:$A$201,0))</f>
        <v>8.67</v>
      </c>
      <c r="P3995" s="3" t="n">
        <f aca="false">INDEX(Summary!$L$2:$L$201,MATCH($B3995,Summary!$A$2:$A$201,0))</f>
        <v>2</v>
      </c>
      <c r="Q3995" s="3" t="n">
        <f aca="false">INDEX(Summary!$M$2:$M$201,MATCH($B3995,Summary!$A$2:$A$201,0))</f>
        <v>4</v>
      </c>
      <c r="R3995" s="2" t="n">
        <f aca="false">INDEX(Summary!$N$2:$N$201,MATCH($B3995,Summary!$A$2:$A$201,0))</f>
        <v>10.4</v>
      </c>
      <c r="S3995" s="3" t="n">
        <f aca="false">INDEX(Summary!$O$2:$O$201,MATCH($B3995,Summary!$A$2:$A$201,0))</f>
        <v>8</v>
      </c>
      <c r="T3995" s="3" t="n">
        <f aca="false">INDEX(Summary!$P$2:$P$201,MATCH($B3995,Summary!$A$2:$A$201,0))</f>
        <v>1</v>
      </c>
      <c r="U3995" s="2" t="n">
        <f aca="false">INDEX(Summary!$Q$2:$Q$201,MATCH($B3995,Summary!$A$2:$A$201,0))</f>
        <v>13.16</v>
      </c>
      <c r="V3995" s="2" t="n">
        <f aca="false">INDEX(Summary!$R$2:$R$201,MATCH($B3995,Summary!$A$2:$A$201,0))</f>
        <v>17.91</v>
      </c>
      <c r="W3995" s="0" t="str">
        <f aca="false">INDEX(Summary!$S$2:$S$201,MATCH($B3995,Summary!$A$2:$A$201,0))</f>
        <v>Bronze</v>
      </c>
      <c r="X3995" s="2" t="n">
        <f aca="false">INDEX(Summary!$T$2:$T$201,MATCH($B3995,Summary!$A$2:$A$201,0))</f>
        <v>43.68</v>
      </c>
      <c r="Y3995" s="0" t="str">
        <f aca="false">INDEX('Reward Model'!$E$18:$E$37,MATCH($E3995,'Reward Model'!$A$18:$A$37,0))</f>
        <v>Medium</v>
      </c>
      <c r="Z3995" s="4" t="n">
        <f aca="false">ROUND(MIN(1,MAX('Reward Model'!$B$2,INDEX('Reward Model'!$C$12:$C$14,MATCH($K3995,'Reward Model'!$A$12:$A$14,0))/$J3995)),3)</f>
        <v>0.918</v>
      </c>
      <c r="AA3995" s="2" t="n">
        <f aca="false">IF($I3995="Correct",ROUND(INDEX('Reward Model'!$B$12:$B$14,MATCH($K3995,'Reward Model'!$A$12:$A$14,0))*Z3995,2),0)</f>
        <v>0</v>
      </c>
      <c r="AB3995" s="2" t="n">
        <f aca="false">IF($I3995="Correct",ROUND(INDEX('Reward Model'!$B$12:$B$14,MATCH($Y3995,'Reward Model'!$A$12:$A$14,0))*Z3995,2),0)</f>
        <v>0</v>
      </c>
    </row>
    <row r="3996" customFormat="false" ht="15" hidden="false" customHeight="false" outlineLevel="0" collapsed="false">
      <c r="A3996" s="0" t="s">
        <v>530</v>
      </c>
      <c r="B3996" s="0" t="s">
        <v>531</v>
      </c>
      <c r="C3996" s="0" t="s">
        <v>322</v>
      </c>
      <c r="D3996" s="0" t="s">
        <v>275</v>
      </c>
      <c r="E3996" s="0" t="n">
        <v>15</v>
      </c>
      <c r="F3996" s="0" t="s">
        <v>69</v>
      </c>
      <c r="G3996" s="0" t="s">
        <v>131</v>
      </c>
      <c r="H3996" s="0" t="s">
        <v>70</v>
      </c>
      <c r="I3996" s="0" t="s">
        <v>39</v>
      </c>
      <c r="J3996" s="0" t="n">
        <v>2.14</v>
      </c>
      <c r="K3996" s="0" t="s">
        <v>60</v>
      </c>
      <c r="L3996" s="0" t="n">
        <f aca="false">INDEX(Summary!$F$2:$F$201,MATCH($B3996,Summary!$A$2:$A$201,0))</f>
        <v>20</v>
      </c>
      <c r="M3996" s="0" t="n">
        <f aca="false">INDEX(Summary!$I$2:$I$201,MATCH($B3996,Summary!$A$2:$A$201,0))</f>
        <v>1</v>
      </c>
      <c r="N3996" s="0" t="n">
        <f aca="false">INDEX(Summary!$J$2:$J$201,MATCH($B3996,Summary!$A$2:$A$201,0))</f>
        <v>4</v>
      </c>
      <c r="O3996" s="2" t="n">
        <f aca="false">INDEX(Summary!$K$2:$K$201,MATCH($B3996,Summary!$A$2:$A$201,0))</f>
        <v>8.67</v>
      </c>
      <c r="P3996" s="3" t="n">
        <f aca="false">INDEX(Summary!$L$2:$L$201,MATCH($B3996,Summary!$A$2:$A$201,0))</f>
        <v>2</v>
      </c>
      <c r="Q3996" s="3" t="n">
        <f aca="false">INDEX(Summary!$M$2:$M$201,MATCH($B3996,Summary!$A$2:$A$201,0))</f>
        <v>4</v>
      </c>
      <c r="R3996" s="2" t="n">
        <f aca="false">INDEX(Summary!$N$2:$N$201,MATCH($B3996,Summary!$A$2:$A$201,0))</f>
        <v>10.4</v>
      </c>
      <c r="S3996" s="3" t="n">
        <f aca="false">INDEX(Summary!$O$2:$O$201,MATCH($B3996,Summary!$A$2:$A$201,0))</f>
        <v>8</v>
      </c>
      <c r="T3996" s="3" t="n">
        <f aca="false">INDEX(Summary!$P$2:$P$201,MATCH($B3996,Summary!$A$2:$A$201,0))</f>
        <v>1</v>
      </c>
      <c r="U3996" s="2" t="n">
        <f aca="false">INDEX(Summary!$Q$2:$Q$201,MATCH($B3996,Summary!$A$2:$A$201,0))</f>
        <v>13.16</v>
      </c>
      <c r="V3996" s="2" t="n">
        <f aca="false">INDEX(Summary!$R$2:$R$201,MATCH($B3996,Summary!$A$2:$A$201,0))</f>
        <v>17.91</v>
      </c>
      <c r="W3996" s="0" t="str">
        <f aca="false">INDEX(Summary!$S$2:$S$201,MATCH($B3996,Summary!$A$2:$A$201,0))</f>
        <v>Bronze</v>
      </c>
      <c r="X3996" s="2" t="n">
        <f aca="false">INDEX(Summary!$T$2:$T$201,MATCH($B3996,Summary!$A$2:$A$201,0))</f>
        <v>43.68</v>
      </c>
      <c r="Y3996" s="0" t="str">
        <f aca="false">INDEX('Reward Model'!$E$18:$E$37,MATCH($E3996,'Reward Model'!$A$18:$A$37,0))</f>
        <v>Medium</v>
      </c>
      <c r="Z3996" s="4" t="n">
        <f aca="false">ROUND(MIN(1,MAX('Reward Model'!$B$2,INDEX('Reward Model'!$C$12:$C$14,MATCH($K3996,'Reward Model'!$A$12:$A$14,0))/$J3996)),3)</f>
        <v>0.841</v>
      </c>
      <c r="AA3996" s="2" t="n">
        <f aca="false">IF($I3996="Correct",ROUND(INDEX('Reward Model'!$B$12:$B$14,MATCH($K3996,'Reward Model'!$A$12:$A$14,0))*Z3996,2),0)</f>
        <v>0</v>
      </c>
      <c r="AB3996" s="2" t="n">
        <f aca="false">IF($I3996="Correct",ROUND(INDEX('Reward Model'!$B$12:$B$14,MATCH($Y3996,'Reward Model'!$A$12:$A$14,0))*Z3996,2),0)</f>
        <v>0</v>
      </c>
    </row>
    <row r="3997" customFormat="false" ht="15" hidden="false" customHeight="false" outlineLevel="0" collapsed="false">
      <c r="A3997" s="0" t="s">
        <v>530</v>
      </c>
      <c r="B3997" s="0" t="s">
        <v>531</v>
      </c>
      <c r="C3997" s="0" t="s">
        <v>322</v>
      </c>
      <c r="D3997" s="0" t="s">
        <v>275</v>
      </c>
      <c r="E3997" s="0" t="n">
        <v>16</v>
      </c>
      <c r="F3997" s="0" t="s">
        <v>71</v>
      </c>
      <c r="G3997" s="0" t="s">
        <v>101</v>
      </c>
      <c r="H3997" s="0" t="s">
        <v>72</v>
      </c>
      <c r="I3997" s="0" t="s">
        <v>39</v>
      </c>
      <c r="J3997" s="0" t="n">
        <v>1.86</v>
      </c>
      <c r="K3997" s="0" t="s">
        <v>73</v>
      </c>
      <c r="L3997" s="0" t="n">
        <f aca="false">INDEX(Summary!$F$2:$F$201,MATCH($B3997,Summary!$A$2:$A$201,0))</f>
        <v>20</v>
      </c>
      <c r="M3997" s="0" t="n">
        <f aca="false">INDEX(Summary!$I$2:$I$201,MATCH($B3997,Summary!$A$2:$A$201,0))</f>
        <v>1</v>
      </c>
      <c r="N3997" s="0" t="n">
        <f aca="false">INDEX(Summary!$J$2:$J$201,MATCH($B3997,Summary!$A$2:$A$201,0))</f>
        <v>4</v>
      </c>
      <c r="O3997" s="2" t="n">
        <f aca="false">INDEX(Summary!$K$2:$K$201,MATCH($B3997,Summary!$A$2:$A$201,0))</f>
        <v>8.67</v>
      </c>
      <c r="P3997" s="3" t="n">
        <f aca="false">INDEX(Summary!$L$2:$L$201,MATCH($B3997,Summary!$A$2:$A$201,0))</f>
        <v>2</v>
      </c>
      <c r="Q3997" s="3" t="n">
        <f aca="false">INDEX(Summary!$M$2:$M$201,MATCH($B3997,Summary!$A$2:$A$201,0))</f>
        <v>4</v>
      </c>
      <c r="R3997" s="2" t="n">
        <f aca="false">INDEX(Summary!$N$2:$N$201,MATCH($B3997,Summary!$A$2:$A$201,0))</f>
        <v>10.4</v>
      </c>
      <c r="S3997" s="3" t="n">
        <f aca="false">INDEX(Summary!$O$2:$O$201,MATCH($B3997,Summary!$A$2:$A$201,0))</f>
        <v>8</v>
      </c>
      <c r="T3997" s="3" t="n">
        <f aca="false">INDEX(Summary!$P$2:$P$201,MATCH($B3997,Summary!$A$2:$A$201,0))</f>
        <v>1</v>
      </c>
      <c r="U3997" s="2" t="n">
        <f aca="false">INDEX(Summary!$Q$2:$Q$201,MATCH($B3997,Summary!$A$2:$A$201,0))</f>
        <v>13.16</v>
      </c>
      <c r="V3997" s="2" t="n">
        <f aca="false">INDEX(Summary!$R$2:$R$201,MATCH($B3997,Summary!$A$2:$A$201,0))</f>
        <v>17.91</v>
      </c>
      <c r="W3997" s="0" t="str">
        <f aca="false">INDEX(Summary!$S$2:$S$201,MATCH($B3997,Summary!$A$2:$A$201,0))</f>
        <v>Bronze</v>
      </c>
      <c r="X3997" s="2" t="n">
        <f aca="false">INDEX(Summary!$T$2:$T$201,MATCH($B3997,Summary!$A$2:$A$201,0))</f>
        <v>43.68</v>
      </c>
      <c r="Y3997" s="0" t="str">
        <f aca="false">INDEX('Reward Model'!$E$18:$E$37,MATCH($E3997,'Reward Model'!$A$18:$A$37,0))</f>
        <v>High</v>
      </c>
      <c r="Z3997" s="4" t="n">
        <f aca="false">ROUND(MIN(1,MAX('Reward Model'!$B$2,INDEX('Reward Model'!$C$12:$C$14,MATCH($K3997,'Reward Model'!$A$12:$A$14,0))/$J3997)),3)</f>
        <v>1</v>
      </c>
      <c r="AA3997" s="2" t="n">
        <f aca="false">IF($I3997="Correct",ROUND(INDEX('Reward Model'!$B$12:$B$14,MATCH($K3997,'Reward Model'!$A$12:$A$14,0))*Z3997,2),0)</f>
        <v>0</v>
      </c>
      <c r="AB3997" s="2" t="n">
        <f aca="false">IF($I3997="Correct",ROUND(INDEX('Reward Model'!$B$12:$B$14,MATCH($Y3997,'Reward Model'!$A$12:$A$14,0))*Z3997,2),0)</f>
        <v>0</v>
      </c>
    </row>
    <row r="3998" customFormat="false" ht="15" hidden="false" customHeight="false" outlineLevel="0" collapsed="false">
      <c r="A3998" s="0" t="s">
        <v>530</v>
      </c>
      <c r="B3998" s="0" t="s">
        <v>531</v>
      </c>
      <c r="C3998" s="0" t="s">
        <v>322</v>
      </c>
      <c r="D3998" s="0" t="s">
        <v>275</v>
      </c>
      <c r="E3998" s="0" t="n">
        <v>17</v>
      </c>
      <c r="F3998" s="0" t="s">
        <v>74</v>
      </c>
      <c r="G3998" s="0" t="s">
        <v>105</v>
      </c>
      <c r="H3998" s="0" t="s">
        <v>75</v>
      </c>
      <c r="I3998" s="0" t="s">
        <v>39</v>
      </c>
      <c r="J3998" s="0" t="n">
        <v>1.57</v>
      </c>
      <c r="K3998" s="0" t="s">
        <v>73</v>
      </c>
      <c r="L3998" s="0" t="n">
        <f aca="false">INDEX(Summary!$F$2:$F$201,MATCH($B3998,Summary!$A$2:$A$201,0))</f>
        <v>20</v>
      </c>
      <c r="M3998" s="0" t="n">
        <f aca="false">INDEX(Summary!$I$2:$I$201,MATCH($B3998,Summary!$A$2:$A$201,0))</f>
        <v>1</v>
      </c>
      <c r="N3998" s="0" t="n">
        <f aca="false">INDEX(Summary!$J$2:$J$201,MATCH($B3998,Summary!$A$2:$A$201,0))</f>
        <v>4</v>
      </c>
      <c r="O3998" s="2" t="n">
        <f aca="false">INDEX(Summary!$K$2:$K$201,MATCH($B3998,Summary!$A$2:$A$201,0))</f>
        <v>8.67</v>
      </c>
      <c r="P3998" s="3" t="n">
        <f aca="false">INDEX(Summary!$L$2:$L$201,MATCH($B3998,Summary!$A$2:$A$201,0))</f>
        <v>2</v>
      </c>
      <c r="Q3998" s="3" t="n">
        <f aca="false">INDEX(Summary!$M$2:$M$201,MATCH($B3998,Summary!$A$2:$A$201,0))</f>
        <v>4</v>
      </c>
      <c r="R3998" s="2" t="n">
        <f aca="false">INDEX(Summary!$N$2:$N$201,MATCH($B3998,Summary!$A$2:$A$201,0))</f>
        <v>10.4</v>
      </c>
      <c r="S3998" s="3" t="n">
        <f aca="false">INDEX(Summary!$O$2:$O$201,MATCH($B3998,Summary!$A$2:$A$201,0))</f>
        <v>8</v>
      </c>
      <c r="T3998" s="3" t="n">
        <f aca="false">INDEX(Summary!$P$2:$P$201,MATCH($B3998,Summary!$A$2:$A$201,0))</f>
        <v>1</v>
      </c>
      <c r="U3998" s="2" t="n">
        <f aca="false">INDEX(Summary!$Q$2:$Q$201,MATCH($B3998,Summary!$A$2:$A$201,0))</f>
        <v>13.16</v>
      </c>
      <c r="V3998" s="2" t="n">
        <f aca="false">INDEX(Summary!$R$2:$R$201,MATCH($B3998,Summary!$A$2:$A$201,0))</f>
        <v>17.91</v>
      </c>
      <c r="W3998" s="0" t="str">
        <f aca="false">INDEX(Summary!$S$2:$S$201,MATCH($B3998,Summary!$A$2:$A$201,0))</f>
        <v>Bronze</v>
      </c>
      <c r="X3998" s="2" t="n">
        <f aca="false">INDEX(Summary!$T$2:$T$201,MATCH($B3998,Summary!$A$2:$A$201,0))</f>
        <v>43.68</v>
      </c>
      <c r="Y3998" s="0" t="str">
        <f aca="false">INDEX('Reward Model'!$E$18:$E$37,MATCH($E3998,'Reward Model'!$A$18:$A$37,0))</f>
        <v>High</v>
      </c>
      <c r="Z3998" s="4" t="n">
        <f aca="false">ROUND(MIN(1,MAX('Reward Model'!$B$2,INDEX('Reward Model'!$C$12:$C$14,MATCH($K3998,'Reward Model'!$A$12:$A$14,0))/$J3998)),3)</f>
        <v>1</v>
      </c>
      <c r="AA3998" s="2" t="n">
        <f aca="false">IF($I3998="Correct",ROUND(INDEX('Reward Model'!$B$12:$B$14,MATCH($K3998,'Reward Model'!$A$12:$A$14,0))*Z3998,2),0)</f>
        <v>0</v>
      </c>
      <c r="AB3998" s="2" t="n">
        <f aca="false">IF($I3998="Correct",ROUND(INDEX('Reward Model'!$B$12:$B$14,MATCH($Y3998,'Reward Model'!$A$12:$A$14,0))*Z3998,2),0)</f>
        <v>0</v>
      </c>
    </row>
    <row r="3999" customFormat="false" ht="15" hidden="false" customHeight="false" outlineLevel="0" collapsed="false">
      <c r="A3999" s="0" t="s">
        <v>530</v>
      </c>
      <c r="B3999" s="0" t="s">
        <v>531</v>
      </c>
      <c r="C3999" s="0" t="s">
        <v>322</v>
      </c>
      <c r="D3999" s="0" t="s">
        <v>275</v>
      </c>
      <c r="E3999" s="0" t="n">
        <v>18</v>
      </c>
      <c r="F3999" s="0" t="s">
        <v>76</v>
      </c>
      <c r="G3999" s="0" t="s">
        <v>88</v>
      </c>
      <c r="H3999" s="0" t="s">
        <v>77</v>
      </c>
      <c r="I3999" s="0" t="s">
        <v>39</v>
      </c>
      <c r="J3999" s="0" t="n">
        <v>1.28</v>
      </c>
      <c r="K3999" s="0" t="s">
        <v>73</v>
      </c>
      <c r="L3999" s="0" t="n">
        <f aca="false">INDEX(Summary!$F$2:$F$201,MATCH($B3999,Summary!$A$2:$A$201,0))</f>
        <v>20</v>
      </c>
      <c r="M3999" s="0" t="n">
        <f aca="false">INDEX(Summary!$I$2:$I$201,MATCH($B3999,Summary!$A$2:$A$201,0))</f>
        <v>1</v>
      </c>
      <c r="N3999" s="0" t="n">
        <f aca="false">INDEX(Summary!$J$2:$J$201,MATCH($B3999,Summary!$A$2:$A$201,0))</f>
        <v>4</v>
      </c>
      <c r="O3999" s="2" t="n">
        <f aca="false">INDEX(Summary!$K$2:$K$201,MATCH($B3999,Summary!$A$2:$A$201,0))</f>
        <v>8.67</v>
      </c>
      <c r="P3999" s="3" t="n">
        <f aca="false">INDEX(Summary!$L$2:$L$201,MATCH($B3999,Summary!$A$2:$A$201,0))</f>
        <v>2</v>
      </c>
      <c r="Q3999" s="3" t="n">
        <f aca="false">INDEX(Summary!$M$2:$M$201,MATCH($B3999,Summary!$A$2:$A$201,0))</f>
        <v>4</v>
      </c>
      <c r="R3999" s="2" t="n">
        <f aca="false">INDEX(Summary!$N$2:$N$201,MATCH($B3999,Summary!$A$2:$A$201,0))</f>
        <v>10.4</v>
      </c>
      <c r="S3999" s="3" t="n">
        <f aca="false">INDEX(Summary!$O$2:$O$201,MATCH($B3999,Summary!$A$2:$A$201,0))</f>
        <v>8</v>
      </c>
      <c r="T3999" s="3" t="n">
        <f aca="false">INDEX(Summary!$P$2:$P$201,MATCH($B3999,Summary!$A$2:$A$201,0))</f>
        <v>1</v>
      </c>
      <c r="U3999" s="2" t="n">
        <f aca="false">INDEX(Summary!$Q$2:$Q$201,MATCH($B3999,Summary!$A$2:$A$201,0))</f>
        <v>13.16</v>
      </c>
      <c r="V3999" s="2" t="n">
        <f aca="false">INDEX(Summary!$R$2:$R$201,MATCH($B3999,Summary!$A$2:$A$201,0))</f>
        <v>17.91</v>
      </c>
      <c r="W3999" s="0" t="str">
        <f aca="false">INDEX(Summary!$S$2:$S$201,MATCH($B3999,Summary!$A$2:$A$201,0))</f>
        <v>Bronze</v>
      </c>
      <c r="X3999" s="2" t="n">
        <f aca="false">INDEX(Summary!$T$2:$T$201,MATCH($B3999,Summary!$A$2:$A$201,0))</f>
        <v>43.68</v>
      </c>
      <c r="Y3999" s="0" t="str">
        <f aca="false">INDEX('Reward Model'!$E$18:$E$37,MATCH($E3999,'Reward Model'!$A$18:$A$37,0))</f>
        <v>High</v>
      </c>
      <c r="Z3999" s="4" t="n">
        <f aca="false">ROUND(MIN(1,MAX('Reward Model'!$B$2,INDEX('Reward Model'!$C$12:$C$14,MATCH($K3999,'Reward Model'!$A$12:$A$14,0))/$J3999)),3)</f>
        <v>1</v>
      </c>
      <c r="AA3999" s="2" t="n">
        <f aca="false">IF($I3999="Correct",ROUND(INDEX('Reward Model'!$B$12:$B$14,MATCH($K3999,'Reward Model'!$A$12:$A$14,0))*Z3999,2),0)</f>
        <v>0</v>
      </c>
      <c r="AB3999" s="2" t="n">
        <f aca="false">IF($I3999="Correct",ROUND(INDEX('Reward Model'!$B$12:$B$14,MATCH($Y3999,'Reward Model'!$A$12:$A$14,0))*Z3999,2),0)</f>
        <v>0</v>
      </c>
    </row>
    <row r="4000" customFormat="false" ht="15" hidden="false" customHeight="false" outlineLevel="0" collapsed="false">
      <c r="A4000" s="0" t="s">
        <v>530</v>
      </c>
      <c r="B4000" s="0" t="s">
        <v>531</v>
      </c>
      <c r="C4000" s="0" t="s">
        <v>322</v>
      </c>
      <c r="D4000" s="0" t="s">
        <v>275</v>
      </c>
      <c r="E4000" s="0" t="n">
        <v>19</v>
      </c>
      <c r="F4000" s="0" t="s">
        <v>78</v>
      </c>
      <c r="G4000" s="0" t="s">
        <v>51</v>
      </c>
      <c r="H4000" s="0" t="s">
        <v>80</v>
      </c>
      <c r="I4000" s="0" t="s">
        <v>39</v>
      </c>
      <c r="J4000" s="0" t="n">
        <v>1.65</v>
      </c>
      <c r="K4000" s="0" t="s">
        <v>73</v>
      </c>
      <c r="L4000" s="0" t="n">
        <f aca="false">INDEX(Summary!$F$2:$F$201,MATCH($B4000,Summary!$A$2:$A$201,0))</f>
        <v>20</v>
      </c>
      <c r="M4000" s="0" t="n">
        <f aca="false">INDEX(Summary!$I$2:$I$201,MATCH($B4000,Summary!$A$2:$A$201,0))</f>
        <v>1</v>
      </c>
      <c r="N4000" s="0" t="n">
        <f aca="false">INDEX(Summary!$J$2:$J$201,MATCH($B4000,Summary!$A$2:$A$201,0))</f>
        <v>4</v>
      </c>
      <c r="O4000" s="2" t="n">
        <f aca="false">INDEX(Summary!$K$2:$K$201,MATCH($B4000,Summary!$A$2:$A$201,0))</f>
        <v>8.67</v>
      </c>
      <c r="P4000" s="3" t="n">
        <f aca="false">INDEX(Summary!$L$2:$L$201,MATCH($B4000,Summary!$A$2:$A$201,0))</f>
        <v>2</v>
      </c>
      <c r="Q4000" s="3" t="n">
        <f aca="false">INDEX(Summary!$M$2:$M$201,MATCH($B4000,Summary!$A$2:$A$201,0))</f>
        <v>4</v>
      </c>
      <c r="R4000" s="2" t="n">
        <f aca="false">INDEX(Summary!$N$2:$N$201,MATCH($B4000,Summary!$A$2:$A$201,0))</f>
        <v>10.4</v>
      </c>
      <c r="S4000" s="3" t="n">
        <f aca="false">INDEX(Summary!$O$2:$O$201,MATCH($B4000,Summary!$A$2:$A$201,0))</f>
        <v>8</v>
      </c>
      <c r="T4000" s="3" t="n">
        <f aca="false">INDEX(Summary!$P$2:$P$201,MATCH($B4000,Summary!$A$2:$A$201,0))</f>
        <v>1</v>
      </c>
      <c r="U4000" s="2" t="n">
        <f aca="false">INDEX(Summary!$Q$2:$Q$201,MATCH($B4000,Summary!$A$2:$A$201,0))</f>
        <v>13.16</v>
      </c>
      <c r="V4000" s="2" t="n">
        <f aca="false">INDEX(Summary!$R$2:$R$201,MATCH($B4000,Summary!$A$2:$A$201,0))</f>
        <v>17.91</v>
      </c>
      <c r="W4000" s="0" t="str">
        <f aca="false">INDEX(Summary!$S$2:$S$201,MATCH($B4000,Summary!$A$2:$A$201,0))</f>
        <v>Bronze</v>
      </c>
      <c r="X4000" s="2" t="n">
        <f aca="false">INDEX(Summary!$T$2:$T$201,MATCH($B4000,Summary!$A$2:$A$201,0))</f>
        <v>43.68</v>
      </c>
      <c r="Y4000" s="0" t="str">
        <f aca="false">INDEX('Reward Model'!$E$18:$E$37,MATCH($E4000,'Reward Model'!$A$18:$A$37,0))</f>
        <v>High</v>
      </c>
      <c r="Z4000" s="4" t="n">
        <f aca="false">ROUND(MIN(1,MAX('Reward Model'!$B$2,INDEX('Reward Model'!$C$12:$C$14,MATCH($K4000,'Reward Model'!$A$12:$A$14,0))/$J4000)),3)</f>
        <v>1</v>
      </c>
      <c r="AA4000" s="2" t="n">
        <f aca="false">IF($I4000="Correct",ROUND(INDEX('Reward Model'!$B$12:$B$14,MATCH($K4000,'Reward Model'!$A$12:$A$14,0))*Z4000,2),0)</f>
        <v>0</v>
      </c>
      <c r="AB4000" s="2" t="n">
        <f aca="false">IF($I4000="Correct",ROUND(INDEX('Reward Model'!$B$12:$B$14,MATCH($Y4000,'Reward Model'!$A$12:$A$14,0))*Z4000,2),0)</f>
        <v>0</v>
      </c>
    </row>
    <row r="4001" customFormat="false" ht="15" hidden="false" customHeight="false" outlineLevel="0" collapsed="false">
      <c r="A4001" s="0" t="s">
        <v>530</v>
      </c>
      <c r="B4001" s="0" t="s">
        <v>531</v>
      </c>
      <c r="C4001" s="0" t="s">
        <v>322</v>
      </c>
      <c r="D4001" s="0" t="s">
        <v>275</v>
      </c>
      <c r="E4001" s="0" t="n">
        <v>20</v>
      </c>
      <c r="F4001" s="0" t="s">
        <v>81</v>
      </c>
      <c r="G4001" s="0" t="s">
        <v>83</v>
      </c>
      <c r="H4001" s="0" t="s">
        <v>83</v>
      </c>
      <c r="I4001" s="0" t="s">
        <v>34</v>
      </c>
      <c r="J4001" s="0" t="n">
        <v>2.31</v>
      </c>
      <c r="K4001" s="0" t="s">
        <v>73</v>
      </c>
      <c r="L4001" s="0" t="n">
        <f aca="false">INDEX(Summary!$F$2:$F$201,MATCH($B4001,Summary!$A$2:$A$201,0))</f>
        <v>20</v>
      </c>
      <c r="M4001" s="0" t="n">
        <f aca="false">INDEX(Summary!$I$2:$I$201,MATCH($B4001,Summary!$A$2:$A$201,0))</f>
        <v>1</v>
      </c>
      <c r="N4001" s="0" t="n">
        <f aca="false">INDEX(Summary!$J$2:$J$201,MATCH($B4001,Summary!$A$2:$A$201,0))</f>
        <v>4</v>
      </c>
      <c r="O4001" s="2" t="n">
        <f aca="false">INDEX(Summary!$K$2:$K$201,MATCH($B4001,Summary!$A$2:$A$201,0))</f>
        <v>8.67</v>
      </c>
      <c r="P4001" s="3" t="n">
        <f aca="false">INDEX(Summary!$L$2:$L$201,MATCH($B4001,Summary!$A$2:$A$201,0))</f>
        <v>2</v>
      </c>
      <c r="Q4001" s="3" t="n">
        <f aca="false">INDEX(Summary!$M$2:$M$201,MATCH($B4001,Summary!$A$2:$A$201,0))</f>
        <v>4</v>
      </c>
      <c r="R4001" s="2" t="n">
        <f aca="false">INDEX(Summary!$N$2:$N$201,MATCH($B4001,Summary!$A$2:$A$201,0))</f>
        <v>10.4</v>
      </c>
      <c r="S4001" s="3" t="n">
        <f aca="false">INDEX(Summary!$O$2:$O$201,MATCH($B4001,Summary!$A$2:$A$201,0))</f>
        <v>8</v>
      </c>
      <c r="T4001" s="3" t="n">
        <f aca="false">INDEX(Summary!$P$2:$P$201,MATCH($B4001,Summary!$A$2:$A$201,0))</f>
        <v>1</v>
      </c>
      <c r="U4001" s="2" t="n">
        <f aca="false">INDEX(Summary!$Q$2:$Q$201,MATCH($B4001,Summary!$A$2:$A$201,0))</f>
        <v>13.16</v>
      </c>
      <c r="V4001" s="2" t="n">
        <f aca="false">INDEX(Summary!$R$2:$R$201,MATCH($B4001,Summary!$A$2:$A$201,0))</f>
        <v>17.91</v>
      </c>
      <c r="W4001" s="0" t="str">
        <f aca="false">INDEX(Summary!$S$2:$S$201,MATCH($B4001,Summary!$A$2:$A$201,0))</f>
        <v>Bronze</v>
      </c>
      <c r="X4001" s="2" t="n">
        <f aca="false">INDEX(Summary!$T$2:$T$201,MATCH($B4001,Summary!$A$2:$A$201,0))</f>
        <v>43.68</v>
      </c>
      <c r="Y4001" s="0" t="str">
        <f aca="false">INDEX('Reward Model'!$E$18:$E$37,MATCH($E4001,'Reward Model'!$A$18:$A$37,0))</f>
        <v>High</v>
      </c>
      <c r="Z4001" s="4" t="n">
        <f aca="false">ROUND(MIN(1,MAX('Reward Model'!$B$2,INDEX('Reward Model'!$C$12:$C$14,MATCH($K4001,'Reward Model'!$A$12:$A$14,0))/$J4001)),3)</f>
        <v>0.866</v>
      </c>
      <c r="AA4001" s="2" t="n">
        <f aca="false">IF($I4001="Correct",ROUND(INDEX('Reward Model'!$B$12:$B$14,MATCH($K4001,'Reward Model'!$A$12:$A$14,0))*Z4001,2),0)</f>
        <v>2.6</v>
      </c>
      <c r="AB4001" s="2" t="n">
        <f aca="false">IF($I4001="Correct",ROUND(INDEX('Reward Model'!$B$12:$B$14,MATCH($Y4001,'Reward Model'!$A$12:$A$14,0))*Z4001,2),0)</f>
        <v>2.6</v>
      </c>
    </row>
  </sheetData>
  <autoFilter ref="A1:AB4001"/>
  <conditionalFormatting sqref="W2:W4001">
    <cfRule type="cellIs" priority="2" operator="equal" aboveAverage="0" equalAverage="0" bottom="0" percent="0" rank="0" text="" dxfId="7">
      <formula>"Gold"</formula>
    </cfRule>
    <cfRule type="cellIs" priority="3" operator="equal" aboveAverage="0" equalAverage="0" bottom="0" percent="0" rank="0" text="" dxfId="8">
      <formula>"Silver"</formula>
    </cfRule>
    <cfRule type="cellIs" priority="4" operator="equal" aboveAverage="0" equalAverage="0" bottom="0" percent="0" rank="0" text="" dxfId="9">
      <formula>"Bronze"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4" activeCellId="0" sqref="B14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8" min="4" style="0" width="20"/>
    <col collapsed="false" customWidth="true" hidden="false" outlineLevel="0" max="17" min="9" style="0" width="24"/>
    <col collapsed="false" customWidth="true" hidden="false" outlineLevel="0" max="20" min="18" style="0" width="2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532</v>
      </c>
      <c r="E1" s="1" t="s">
        <v>533</v>
      </c>
      <c r="F1" s="1" t="s">
        <v>11</v>
      </c>
      <c r="G1" s="1" t="s">
        <v>534</v>
      </c>
      <c r="H1" s="1" t="s">
        <v>535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s">
        <v>31</v>
      </c>
      <c r="D2" s="0" t="n">
        <f aca="false">F2</f>
        <v>20</v>
      </c>
      <c r="E2" s="2" t="n">
        <f aca="false">ROUND(K2+N2+Q2,2)</f>
        <v>34.48</v>
      </c>
      <c r="F2" s="3" t="n">
        <f aca="false">COUNTIFS(Responses!$B$2:$B$4001,$A2)</f>
        <v>20</v>
      </c>
      <c r="G2" s="3" t="n">
        <f aca="false">I2+L2+O2</f>
        <v>11</v>
      </c>
      <c r="H2" s="3" t="n">
        <f aca="false">J2+M2+P2</f>
        <v>9</v>
      </c>
      <c r="I2" s="3" t="n">
        <f aca="false">COUNTIFS(Responses!$B$2:$B$4001,$A2,Responses!$K$2:$K$4001,"High",Responses!$I$2:$I$4001,"Correct")</f>
        <v>2</v>
      </c>
      <c r="J2" s="3" t="n">
        <f aca="false">COUNTIFS(Responses!$B$2:$B$4001,$A2,Responses!$K$2:$K$4001,"High",Responses!$I$2:$I$4001,"Wrong")</f>
        <v>3</v>
      </c>
      <c r="K2" s="2" t="n">
        <f aca="false">ROUND(SUMIFS(Responses!$J$2:$J$4001,Responses!$B$2:$B$4001,$A2,Responses!$K$2:$K$4001,"High"),2)</f>
        <v>11.14</v>
      </c>
      <c r="L2" s="3" t="n">
        <f aca="false">COUNTIFS(Responses!$B$2:$B$4001,$A2,Responses!$K$2:$K$4001,"Medium",Responses!$I$2:$I$4001,"Correct")</f>
        <v>5</v>
      </c>
      <c r="M2" s="3" t="n">
        <f aca="false">COUNTIFS(Responses!$B$2:$B$4001,$A2,Responses!$K$2:$K$4001,"Medium",Responses!$I$2:$I$4001,"Wrong")</f>
        <v>1</v>
      </c>
      <c r="N2" s="2" t="n">
        <f aca="false">ROUND(SUMIFS(Responses!$J$2:$J$4001,Responses!$B$2:$B$4001,$A2,Responses!$K$2:$K$4001,"Medium"),2)</f>
        <v>9.93</v>
      </c>
      <c r="O2" s="3" t="n">
        <f aca="false">COUNTIFS(Responses!$B$2:$B$4001,$A2,Responses!$K$2:$K$4001,"Low",Responses!$I$2:$I$4001,"Correct")</f>
        <v>4</v>
      </c>
      <c r="P2" s="3" t="n">
        <f aca="false">COUNTIFS(Responses!$B$2:$B$4001,$A2,Responses!$K$2:$K$4001,"Low",Responses!$I$2:$I$4001,"Wrong")</f>
        <v>5</v>
      </c>
      <c r="Q2" s="2" t="n">
        <f aca="false">ROUND(SUMIFS(Responses!$J$2:$J$4001,Responses!$B$2:$B$4001,$A2,Responses!$K$2:$K$4001,"Low"),2)</f>
        <v>13.41</v>
      </c>
      <c r="R2" s="2" t="n">
        <f aca="false">ROUND(SUMIFS(Responses!$AB$2:$AB$4001,Responses!$B$2:$B$4001,$A2),2)</f>
        <v>21</v>
      </c>
      <c r="S2" s="0" t="str">
        <f aca="false">IF(R2&gt;='Reward Model'!$B$8,"Gold",IF(R2&gt;='Reward Model'!$B$9,"Silver","Bronze"))</f>
        <v>Silver</v>
      </c>
      <c r="T2" s="2" t="n">
        <f aca="false">ROUND(R2/'Reward Model'!$B$7*100,2)</f>
        <v>51.22</v>
      </c>
    </row>
    <row r="3" customFormat="false" ht="15" hidden="false" customHeight="false" outlineLevel="0" collapsed="false">
      <c r="A3" s="0" t="s">
        <v>85</v>
      </c>
      <c r="B3" s="0" t="s">
        <v>30</v>
      </c>
      <c r="C3" s="0" t="s">
        <v>31</v>
      </c>
      <c r="D3" s="0" t="n">
        <f aca="false">F3</f>
        <v>20</v>
      </c>
      <c r="E3" s="2" t="n">
        <f aca="false">ROUND(K3+N3+Q3,2)</f>
        <v>33.5</v>
      </c>
      <c r="F3" s="3" t="n">
        <f aca="false">COUNTIFS(Responses!$B$2:$B$4001,$A3)</f>
        <v>20</v>
      </c>
      <c r="G3" s="3" t="n">
        <f aca="false">I3+L3+O3</f>
        <v>15</v>
      </c>
      <c r="H3" s="3" t="n">
        <f aca="false">J3+M3+P3</f>
        <v>5</v>
      </c>
      <c r="I3" s="3" t="n">
        <f aca="false">COUNTIFS(Responses!$B$2:$B$4001,$A3,Responses!$K$2:$K$4001,"High",Responses!$I$2:$I$4001,"Correct")</f>
        <v>2</v>
      </c>
      <c r="J3" s="3" t="n">
        <f aca="false">COUNTIFS(Responses!$B$2:$B$4001,$A3,Responses!$K$2:$K$4001,"High",Responses!$I$2:$I$4001,"Wrong")</f>
        <v>3</v>
      </c>
      <c r="K3" s="2" t="n">
        <f aca="false">ROUND(SUMIFS(Responses!$J$2:$J$4001,Responses!$B$2:$B$4001,$A3,Responses!$K$2:$K$4001,"High"),2)</f>
        <v>9.59</v>
      </c>
      <c r="L3" s="3" t="n">
        <f aca="false">COUNTIFS(Responses!$B$2:$B$4001,$A3,Responses!$K$2:$K$4001,"Medium",Responses!$I$2:$I$4001,"Correct")</f>
        <v>5</v>
      </c>
      <c r="M3" s="3" t="n">
        <f aca="false">COUNTIFS(Responses!$B$2:$B$4001,$A3,Responses!$K$2:$K$4001,"Medium",Responses!$I$2:$I$4001,"Wrong")</f>
        <v>1</v>
      </c>
      <c r="N3" s="2" t="n">
        <f aca="false">ROUND(SUMIFS(Responses!$J$2:$J$4001,Responses!$B$2:$B$4001,$A3,Responses!$K$2:$K$4001,"Medium"),2)</f>
        <v>10.54</v>
      </c>
      <c r="O3" s="3" t="n">
        <f aca="false">COUNTIFS(Responses!$B$2:$B$4001,$A3,Responses!$K$2:$K$4001,"Low",Responses!$I$2:$I$4001,"Correct")</f>
        <v>8</v>
      </c>
      <c r="P3" s="3" t="n">
        <f aca="false">COUNTIFS(Responses!$B$2:$B$4001,$A3,Responses!$K$2:$K$4001,"Low",Responses!$I$2:$I$4001,"Wrong")</f>
        <v>1</v>
      </c>
      <c r="Q3" s="2" t="n">
        <f aca="false">ROUND(SUMIFS(Responses!$J$2:$J$4001,Responses!$B$2:$B$4001,$A3,Responses!$K$2:$K$4001,"Low"),2)</f>
        <v>13.37</v>
      </c>
      <c r="R3" s="2" t="n">
        <f aca="false">ROUND(SUMIFS(Responses!$AB$2:$AB$4001,Responses!$B$2:$B$4001,$A3),2)</f>
        <v>26.43</v>
      </c>
      <c r="S3" s="0" t="str">
        <f aca="false">IF(R3&gt;='Reward Model'!$B$8,"Gold",IF(R3&gt;='Reward Model'!$B$9,"Silver","Bronze"))</f>
        <v>Silver</v>
      </c>
      <c r="T3" s="2" t="n">
        <f aca="false">ROUND(R3/'Reward Model'!$B$7*100,2)</f>
        <v>64.46</v>
      </c>
    </row>
    <row r="4" customFormat="false" ht="15" hidden="false" customHeight="false" outlineLevel="0" collapsed="false">
      <c r="A4" s="0" t="s">
        <v>90</v>
      </c>
      <c r="B4" s="0" t="s">
        <v>30</v>
      </c>
      <c r="C4" s="0" t="s">
        <v>31</v>
      </c>
      <c r="D4" s="0" t="n">
        <f aca="false">F4</f>
        <v>20</v>
      </c>
      <c r="E4" s="2" t="n">
        <f aca="false">ROUND(K4+N4+Q4,2)</f>
        <v>31.62</v>
      </c>
      <c r="F4" s="3" t="n">
        <f aca="false">COUNTIFS(Responses!$B$2:$B$4001,$A4)</f>
        <v>20</v>
      </c>
      <c r="G4" s="3" t="n">
        <f aca="false">I4+L4+O4</f>
        <v>15</v>
      </c>
      <c r="H4" s="3" t="n">
        <f aca="false">J4+M4+P4</f>
        <v>5</v>
      </c>
      <c r="I4" s="3" t="n">
        <f aca="false">COUNTIFS(Responses!$B$2:$B$4001,$A4,Responses!$K$2:$K$4001,"High",Responses!$I$2:$I$4001,"Correct")</f>
        <v>4</v>
      </c>
      <c r="J4" s="3" t="n">
        <f aca="false">COUNTIFS(Responses!$B$2:$B$4001,$A4,Responses!$K$2:$K$4001,"High",Responses!$I$2:$I$4001,"Wrong")</f>
        <v>1</v>
      </c>
      <c r="K4" s="2" t="n">
        <f aca="false">ROUND(SUMIFS(Responses!$J$2:$J$4001,Responses!$B$2:$B$4001,$A4,Responses!$K$2:$K$4001,"High"),2)</f>
        <v>9.34</v>
      </c>
      <c r="L4" s="3" t="n">
        <f aca="false">COUNTIFS(Responses!$B$2:$B$4001,$A4,Responses!$K$2:$K$4001,"Medium",Responses!$I$2:$I$4001,"Correct")</f>
        <v>5</v>
      </c>
      <c r="M4" s="3" t="n">
        <f aca="false">COUNTIFS(Responses!$B$2:$B$4001,$A4,Responses!$K$2:$K$4001,"Medium",Responses!$I$2:$I$4001,"Wrong")</f>
        <v>1</v>
      </c>
      <c r="N4" s="2" t="n">
        <f aca="false">ROUND(SUMIFS(Responses!$J$2:$J$4001,Responses!$B$2:$B$4001,$A4,Responses!$K$2:$K$4001,"Medium"),2)</f>
        <v>10.84</v>
      </c>
      <c r="O4" s="3" t="n">
        <f aca="false">COUNTIFS(Responses!$B$2:$B$4001,$A4,Responses!$K$2:$K$4001,"Low",Responses!$I$2:$I$4001,"Correct")</f>
        <v>6</v>
      </c>
      <c r="P4" s="3" t="n">
        <f aca="false">COUNTIFS(Responses!$B$2:$B$4001,$A4,Responses!$K$2:$K$4001,"Low",Responses!$I$2:$I$4001,"Wrong")</f>
        <v>3</v>
      </c>
      <c r="Q4" s="2" t="n">
        <f aca="false">ROUND(SUMIFS(Responses!$J$2:$J$4001,Responses!$B$2:$B$4001,$A4,Responses!$K$2:$K$4001,"Low"),2)</f>
        <v>11.44</v>
      </c>
      <c r="R4" s="2" t="n">
        <f aca="false">ROUND(SUMIFS(Responses!$AB$2:$AB$4001,Responses!$B$2:$B$4001,$A4),2)</f>
        <v>29.89</v>
      </c>
      <c r="S4" s="0" t="str">
        <f aca="false">IF(R4&gt;='Reward Model'!$B$8,"Gold",IF(R4&gt;='Reward Model'!$B$9,"Silver","Bronze"))</f>
        <v>Gold</v>
      </c>
      <c r="T4" s="2" t="n">
        <f aca="false">ROUND(R4/'Reward Model'!$B$7*100,2)</f>
        <v>72.9</v>
      </c>
    </row>
    <row r="5" customFormat="false" ht="15" hidden="false" customHeight="false" outlineLevel="0" collapsed="false">
      <c r="A5" s="0" t="s">
        <v>96</v>
      </c>
      <c r="B5" s="0" t="s">
        <v>30</v>
      </c>
      <c r="C5" s="0" t="s">
        <v>31</v>
      </c>
      <c r="D5" s="0" t="n">
        <f aca="false">F5</f>
        <v>20</v>
      </c>
      <c r="E5" s="2" t="n">
        <f aca="false">ROUND(K5+N5+Q5,2)</f>
        <v>33.61</v>
      </c>
      <c r="F5" s="3" t="n">
        <f aca="false">COUNTIFS(Responses!$B$2:$B$4001,$A5)</f>
        <v>20</v>
      </c>
      <c r="G5" s="3" t="n">
        <f aca="false">I5+L5+O5</f>
        <v>14</v>
      </c>
      <c r="H5" s="3" t="n">
        <f aca="false">J5+M5+P5</f>
        <v>6</v>
      </c>
      <c r="I5" s="3" t="n">
        <f aca="false">COUNTIFS(Responses!$B$2:$B$4001,$A5,Responses!$K$2:$K$4001,"High",Responses!$I$2:$I$4001,"Correct")</f>
        <v>4</v>
      </c>
      <c r="J5" s="3" t="n">
        <f aca="false">COUNTIFS(Responses!$B$2:$B$4001,$A5,Responses!$K$2:$K$4001,"High",Responses!$I$2:$I$4001,"Wrong")</f>
        <v>1</v>
      </c>
      <c r="K5" s="2" t="n">
        <f aca="false">ROUND(SUMIFS(Responses!$J$2:$J$4001,Responses!$B$2:$B$4001,$A5,Responses!$K$2:$K$4001,"High"),2)</f>
        <v>10.25</v>
      </c>
      <c r="L5" s="3" t="n">
        <f aca="false">COUNTIFS(Responses!$B$2:$B$4001,$A5,Responses!$K$2:$K$4001,"Medium",Responses!$I$2:$I$4001,"Correct")</f>
        <v>4</v>
      </c>
      <c r="M5" s="3" t="n">
        <f aca="false">COUNTIFS(Responses!$B$2:$B$4001,$A5,Responses!$K$2:$K$4001,"Medium",Responses!$I$2:$I$4001,"Wrong")</f>
        <v>2</v>
      </c>
      <c r="N5" s="2" t="n">
        <f aca="false">ROUND(SUMIFS(Responses!$J$2:$J$4001,Responses!$B$2:$B$4001,$A5,Responses!$K$2:$K$4001,"Medium"),2)</f>
        <v>11.23</v>
      </c>
      <c r="O5" s="3" t="n">
        <f aca="false">COUNTIFS(Responses!$B$2:$B$4001,$A5,Responses!$K$2:$K$4001,"Low",Responses!$I$2:$I$4001,"Correct")</f>
        <v>6</v>
      </c>
      <c r="P5" s="3" t="n">
        <f aca="false">COUNTIFS(Responses!$B$2:$B$4001,$A5,Responses!$K$2:$K$4001,"Low",Responses!$I$2:$I$4001,"Wrong")</f>
        <v>3</v>
      </c>
      <c r="Q5" s="2" t="n">
        <f aca="false">ROUND(SUMIFS(Responses!$J$2:$J$4001,Responses!$B$2:$B$4001,$A5,Responses!$K$2:$K$4001,"Low"),2)</f>
        <v>12.13</v>
      </c>
      <c r="R5" s="2" t="n">
        <f aca="false">ROUND(SUMIFS(Responses!$AB$2:$AB$4001,Responses!$B$2:$B$4001,$A5),2)</f>
        <v>28.61</v>
      </c>
      <c r="S5" s="0" t="str">
        <f aca="false">IF(R5&gt;='Reward Model'!$B$8,"Gold",IF(R5&gt;='Reward Model'!$B$9,"Silver","Bronze"))</f>
        <v>Silver</v>
      </c>
      <c r="T5" s="2" t="n">
        <f aca="false">ROUND(R5/'Reward Model'!$B$7*100,2)</f>
        <v>69.78</v>
      </c>
    </row>
    <row r="6" customFormat="false" ht="15" hidden="false" customHeight="false" outlineLevel="0" collapsed="false">
      <c r="A6" s="0" t="s">
        <v>103</v>
      </c>
      <c r="B6" s="0" t="s">
        <v>30</v>
      </c>
      <c r="C6" s="0" t="s">
        <v>31</v>
      </c>
      <c r="D6" s="0" t="n">
        <f aca="false">F6</f>
        <v>20</v>
      </c>
      <c r="E6" s="2" t="n">
        <f aca="false">ROUND(K6+N6+Q6,2)</f>
        <v>33.69</v>
      </c>
      <c r="F6" s="3" t="n">
        <f aca="false">COUNTIFS(Responses!$B$2:$B$4001,$A6)</f>
        <v>20</v>
      </c>
      <c r="G6" s="3" t="n">
        <f aca="false">I6+L6+O6</f>
        <v>15</v>
      </c>
      <c r="H6" s="3" t="n">
        <f aca="false">J6+M6+P6</f>
        <v>5</v>
      </c>
      <c r="I6" s="3" t="n">
        <f aca="false">COUNTIFS(Responses!$B$2:$B$4001,$A6,Responses!$K$2:$K$4001,"High",Responses!$I$2:$I$4001,"Correct")</f>
        <v>3</v>
      </c>
      <c r="J6" s="3" t="n">
        <f aca="false">COUNTIFS(Responses!$B$2:$B$4001,$A6,Responses!$K$2:$K$4001,"High",Responses!$I$2:$I$4001,"Wrong")</f>
        <v>2</v>
      </c>
      <c r="K6" s="2" t="n">
        <f aca="false">ROUND(SUMIFS(Responses!$J$2:$J$4001,Responses!$B$2:$B$4001,$A6,Responses!$K$2:$K$4001,"High"),2)</f>
        <v>8.77</v>
      </c>
      <c r="L6" s="3" t="n">
        <f aca="false">COUNTIFS(Responses!$B$2:$B$4001,$A6,Responses!$K$2:$K$4001,"Medium",Responses!$I$2:$I$4001,"Correct")</f>
        <v>4</v>
      </c>
      <c r="M6" s="3" t="n">
        <f aca="false">COUNTIFS(Responses!$B$2:$B$4001,$A6,Responses!$K$2:$K$4001,"Medium",Responses!$I$2:$I$4001,"Wrong")</f>
        <v>2</v>
      </c>
      <c r="N6" s="2" t="n">
        <f aca="false">ROUND(SUMIFS(Responses!$J$2:$J$4001,Responses!$B$2:$B$4001,$A6,Responses!$K$2:$K$4001,"Medium"),2)</f>
        <v>10.54</v>
      </c>
      <c r="O6" s="3" t="n">
        <f aca="false">COUNTIFS(Responses!$B$2:$B$4001,$A6,Responses!$K$2:$K$4001,"Low",Responses!$I$2:$I$4001,"Correct")</f>
        <v>8</v>
      </c>
      <c r="P6" s="3" t="n">
        <f aca="false">COUNTIFS(Responses!$B$2:$B$4001,$A6,Responses!$K$2:$K$4001,"Low",Responses!$I$2:$I$4001,"Wrong")</f>
        <v>1</v>
      </c>
      <c r="Q6" s="2" t="n">
        <f aca="false">ROUND(SUMIFS(Responses!$J$2:$J$4001,Responses!$B$2:$B$4001,$A6,Responses!$K$2:$K$4001,"Low"),2)</f>
        <v>14.38</v>
      </c>
      <c r="R6" s="2" t="n">
        <f aca="false">ROUND(SUMIFS(Responses!$AB$2:$AB$4001,Responses!$B$2:$B$4001,$A6),2)</f>
        <v>27.4</v>
      </c>
      <c r="S6" s="0" t="str">
        <f aca="false">IF(R6&gt;='Reward Model'!$B$8,"Gold",IF(R6&gt;='Reward Model'!$B$9,"Silver","Bronze"))</f>
        <v>Silver</v>
      </c>
      <c r="T6" s="2" t="n">
        <f aca="false">ROUND(R6/'Reward Model'!$B$7*100,2)</f>
        <v>66.83</v>
      </c>
    </row>
    <row r="7" customFormat="false" ht="15" hidden="false" customHeight="false" outlineLevel="0" collapsed="false">
      <c r="A7" s="0" t="s">
        <v>107</v>
      </c>
      <c r="B7" s="0" t="s">
        <v>30</v>
      </c>
      <c r="C7" s="0" t="s">
        <v>31</v>
      </c>
      <c r="D7" s="0" t="n">
        <f aca="false">F7</f>
        <v>20</v>
      </c>
      <c r="E7" s="2" t="n">
        <f aca="false">ROUND(K7+N7+Q7,2)</f>
        <v>34.35</v>
      </c>
      <c r="F7" s="3" t="n">
        <f aca="false">COUNTIFS(Responses!$B$2:$B$4001,$A7)</f>
        <v>20</v>
      </c>
      <c r="G7" s="3" t="n">
        <f aca="false">I7+L7+O7</f>
        <v>16</v>
      </c>
      <c r="H7" s="3" t="n">
        <f aca="false">J7+M7+P7</f>
        <v>4</v>
      </c>
      <c r="I7" s="3" t="n">
        <f aca="false">COUNTIFS(Responses!$B$2:$B$4001,$A7,Responses!$K$2:$K$4001,"High",Responses!$I$2:$I$4001,"Correct")</f>
        <v>3</v>
      </c>
      <c r="J7" s="3" t="n">
        <f aca="false">COUNTIFS(Responses!$B$2:$B$4001,$A7,Responses!$K$2:$K$4001,"High",Responses!$I$2:$I$4001,"Wrong")</f>
        <v>2</v>
      </c>
      <c r="K7" s="2" t="n">
        <f aca="false">ROUND(SUMIFS(Responses!$J$2:$J$4001,Responses!$B$2:$B$4001,$A7,Responses!$K$2:$K$4001,"High"),2)</f>
        <v>10.35</v>
      </c>
      <c r="L7" s="3" t="n">
        <f aca="false">COUNTIFS(Responses!$B$2:$B$4001,$A7,Responses!$K$2:$K$4001,"Medium",Responses!$I$2:$I$4001,"Correct")</f>
        <v>5</v>
      </c>
      <c r="M7" s="3" t="n">
        <f aca="false">COUNTIFS(Responses!$B$2:$B$4001,$A7,Responses!$K$2:$K$4001,"Medium",Responses!$I$2:$I$4001,"Wrong")</f>
        <v>1</v>
      </c>
      <c r="N7" s="2" t="n">
        <f aca="false">ROUND(SUMIFS(Responses!$J$2:$J$4001,Responses!$B$2:$B$4001,$A7,Responses!$K$2:$K$4001,"Medium"),2)</f>
        <v>10.67</v>
      </c>
      <c r="O7" s="3" t="n">
        <f aca="false">COUNTIFS(Responses!$B$2:$B$4001,$A7,Responses!$K$2:$K$4001,"Low",Responses!$I$2:$I$4001,"Correct")</f>
        <v>8</v>
      </c>
      <c r="P7" s="3" t="n">
        <f aca="false">COUNTIFS(Responses!$B$2:$B$4001,$A7,Responses!$K$2:$K$4001,"Low",Responses!$I$2:$I$4001,"Wrong")</f>
        <v>1</v>
      </c>
      <c r="Q7" s="2" t="n">
        <f aca="false">ROUND(SUMIFS(Responses!$J$2:$J$4001,Responses!$B$2:$B$4001,$A7,Responses!$K$2:$K$4001,"Low"),2)</f>
        <v>13.33</v>
      </c>
      <c r="R7" s="2" t="n">
        <f aca="false">ROUND(SUMIFS(Responses!$AB$2:$AB$4001,Responses!$B$2:$B$4001,$A7),2)</f>
        <v>29.06</v>
      </c>
      <c r="S7" s="0" t="str">
        <f aca="false">IF(R7&gt;='Reward Model'!$B$8,"Gold",IF(R7&gt;='Reward Model'!$B$9,"Silver","Bronze"))</f>
        <v>Gold</v>
      </c>
      <c r="T7" s="2" t="n">
        <f aca="false">ROUND(R7/'Reward Model'!$B$7*100,2)</f>
        <v>70.88</v>
      </c>
    </row>
    <row r="8" customFormat="false" ht="15" hidden="false" customHeight="false" outlineLevel="0" collapsed="false">
      <c r="A8" s="0" t="s">
        <v>110</v>
      </c>
      <c r="B8" s="0" t="s">
        <v>30</v>
      </c>
      <c r="C8" s="0" t="s">
        <v>31</v>
      </c>
      <c r="D8" s="0" t="n">
        <f aca="false">F8</f>
        <v>20</v>
      </c>
      <c r="E8" s="2" t="n">
        <f aca="false">ROUND(K8+N8+Q8,2)</f>
        <v>31.34</v>
      </c>
      <c r="F8" s="3" t="n">
        <f aca="false">COUNTIFS(Responses!$B$2:$B$4001,$A8)</f>
        <v>20</v>
      </c>
      <c r="G8" s="3" t="n">
        <f aca="false">I8+L8+O8</f>
        <v>14</v>
      </c>
      <c r="H8" s="3" t="n">
        <f aca="false">J8+M8+P8</f>
        <v>6</v>
      </c>
      <c r="I8" s="3" t="n">
        <f aca="false">COUNTIFS(Responses!$B$2:$B$4001,$A8,Responses!$K$2:$K$4001,"High",Responses!$I$2:$I$4001,"Correct")</f>
        <v>2</v>
      </c>
      <c r="J8" s="3" t="n">
        <f aca="false">COUNTIFS(Responses!$B$2:$B$4001,$A8,Responses!$K$2:$K$4001,"High",Responses!$I$2:$I$4001,"Wrong")</f>
        <v>3</v>
      </c>
      <c r="K8" s="2" t="n">
        <f aca="false">ROUND(SUMIFS(Responses!$J$2:$J$4001,Responses!$B$2:$B$4001,$A8,Responses!$K$2:$K$4001,"High"),2)</f>
        <v>10.05</v>
      </c>
      <c r="L8" s="3" t="n">
        <f aca="false">COUNTIFS(Responses!$B$2:$B$4001,$A8,Responses!$K$2:$K$4001,"Medium",Responses!$I$2:$I$4001,"Correct")</f>
        <v>5</v>
      </c>
      <c r="M8" s="3" t="n">
        <f aca="false">COUNTIFS(Responses!$B$2:$B$4001,$A8,Responses!$K$2:$K$4001,"Medium",Responses!$I$2:$I$4001,"Wrong")</f>
        <v>1</v>
      </c>
      <c r="N8" s="2" t="n">
        <f aca="false">ROUND(SUMIFS(Responses!$J$2:$J$4001,Responses!$B$2:$B$4001,$A8,Responses!$K$2:$K$4001,"Medium"),2)</f>
        <v>8.83</v>
      </c>
      <c r="O8" s="3" t="n">
        <f aca="false">COUNTIFS(Responses!$B$2:$B$4001,$A8,Responses!$K$2:$K$4001,"Low",Responses!$I$2:$I$4001,"Correct")</f>
        <v>7</v>
      </c>
      <c r="P8" s="3" t="n">
        <f aca="false">COUNTIFS(Responses!$B$2:$B$4001,$A8,Responses!$K$2:$K$4001,"Low",Responses!$I$2:$I$4001,"Wrong")</f>
        <v>2</v>
      </c>
      <c r="Q8" s="2" t="n">
        <f aca="false">ROUND(SUMIFS(Responses!$J$2:$J$4001,Responses!$B$2:$B$4001,$A8,Responses!$K$2:$K$4001,"Low"),2)</f>
        <v>12.46</v>
      </c>
      <c r="R8" s="2" t="n">
        <f aca="false">ROUND(SUMIFS(Responses!$AB$2:$AB$4001,Responses!$B$2:$B$4001,$A8),2)</f>
        <v>25.83</v>
      </c>
      <c r="S8" s="0" t="str">
        <f aca="false">IF(R8&gt;='Reward Model'!$B$8,"Gold",IF(R8&gt;='Reward Model'!$B$9,"Silver","Bronze"))</f>
        <v>Silver</v>
      </c>
      <c r="T8" s="2" t="n">
        <f aca="false">ROUND(R8/'Reward Model'!$B$7*100,2)</f>
        <v>63</v>
      </c>
    </row>
    <row r="9" customFormat="false" ht="15" hidden="false" customHeight="false" outlineLevel="0" collapsed="false">
      <c r="A9" s="0" t="s">
        <v>115</v>
      </c>
      <c r="B9" s="0" t="s">
        <v>30</v>
      </c>
      <c r="C9" s="0" t="s">
        <v>31</v>
      </c>
      <c r="D9" s="0" t="n">
        <f aca="false">F9</f>
        <v>20</v>
      </c>
      <c r="E9" s="2" t="n">
        <f aca="false">ROUND(K9+N9+Q9,2)</f>
        <v>33.48</v>
      </c>
      <c r="F9" s="3" t="n">
        <f aca="false">COUNTIFS(Responses!$B$2:$B$4001,$A9)</f>
        <v>20</v>
      </c>
      <c r="G9" s="3" t="n">
        <f aca="false">I9+L9+O9</f>
        <v>11</v>
      </c>
      <c r="H9" s="3" t="n">
        <f aca="false">J9+M9+P9</f>
        <v>9</v>
      </c>
      <c r="I9" s="3" t="n">
        <f aca="false">COUNTIFS(Responses!$B$2:$B$4001,$A9,Responses!$K$2:$K$4001,"High",Responses!$I$2:$I$4001,"Correct")</f>
        <v>1</v>
      </c>
      <c r="J9" s="3" t="n">
        <f aca="false">COUNTIFS(Responses!$B$2:$B$4001,$A9,Responses!$K$2:$K$4001,"High",Responses!$I$2:$I$4001,"Wrong")</f>
        <v>4</v>
      </c>
      <c r="K9" s="2" t="n">
        <f aca="false">ROUND(SUMIFS(Responses!$J$2:$J$4001,Responses!$B$2:$B$4001,$A9,Responses!$K$2:$K$4001,"High"),2)</f>
        <v>10.64</v>
      </c>
      <c r="L9" s="3" t="n">
        <f aca="false">COUNTIFS(Responses!$B$2:$B$4001,$A9,Responses!$K$2:$K$4001,"Medium",Responses!$I$2:$I$4001,"Correct")</f>
        <v>3</v>
      </c>
      <c r="M9" s="3" t="n">
        <f aca="false">COUNTIFS(Responses!$B$2:$B$4001,$A9,Responses!$K$2:$K$4001,"Medium",Responses!$I$2:$I$4001,"Wrong")</f>
        <v>3</v>
      </c>
      <c r="N9" s="2" t="n">
        <f aca="false">ROUND(SUMIFS(Responses!$J$2:$J$4001,Responses!$B$2:$B$4001,$A9,Responses!$K$2:$K$4001,"Medium"),2)</f>
        <v>10.16</v>
      </c>
      <c r="O9" s="3" t="n">
        <f aca="false">COUNTIFS(Responses!$B$2:$B$4001,$A9,Responses!$K$2:$K$4001,"Low",Responses!$I$2:$I$4001,"Correct")</f>
        <v>7</v>
      </c>
      <c r="P9" s="3" t="n">
        <f aca="false">COUNTIFS(Responses!$B$2:$B$4001,$A9,Responses!$K$2:$K$4001,"Low",Responses!$I$2:$I$4001,"Wrong")</f>
        <v>2</v>
      </c>
      <c r="Q9" s="2" t="n">
        <f aca="false">ROUND(SUMIFS(Responses!$J$2:$J$4001,Responses!$B$2:$B$4001,$A9,Responses!$K$2:$K$4001,"Low"),2)</f>
        <v>12.68</v>
      </c>
      <c r="R9" s="2" t="n">
        <f aca="false">ROUND(SUMIFS(Responses!$AB$2:$AB$4001,Responses!$B$2:$B$4001,$A9),2)</f>
        <v>18.39</v>
      </c>
      <c r="S9" s="0" t="str">
        <f aca="false">IF(R9&gt;='Reward Model'!$B$8,"Gold",IF(R9&gt;='Reward Model'!$B$9,"Silver","Bronze"))</f>
        <v>Bronze</v>
      </c>
      <c r="T9" s="2" t="n">
        <f aca="false">ROUND(R9/'Reward Model'!$B$7*100,2)</f>
        <v>44.85</v>
      </c>
    </row>
    <row r="10" customFormat="false" ht="15" hidden="false" customHeight="false" outlineLevel="0" collapsed="false">
      <c r="A10" s="0" t="s">
        <v>121</v>
      </c>
      <c r="B10" s="0" t="s">
        <v>30</v>
      </c>
      <c r="C10" s="0" t="s">
        <v>31</v>
      </c>
      <c r="D10" s="0" t="n">
        <f aca="false">F10</f>
        <v>20</v>
      </c>
      <c r="E10" s="2" t="n">
        <f aca="false">ROUND(K10+N10+Q10,2)</f>
        <v>34.93</v>
      </c>
      <c r="F10" s="3" t="n">
        <f aca="false">COUNTIFS(Responses!$B$2:$B$4001,$A10)</f>
        <v>20</v>
      </c>
      <c r="G10" s="3" t="n">
        <f aca="false">I10+L10+O10</f>
        <v>11</v>
      </c>
      <c r="H10" s="3" t="n">
        <f aca="false">J10+M10+P10</f>
        <v>9</v>
      </c>
      <c r="I10" s="3" t="n">
        <f aca="false">COUNTIFS(Responses!$B$2:$B$4001,$A10,Responses!$K$2:$K$4001,"High",Responses!$I$2:$I$4001,"Correct")</f>
        <v>1</v>
      </c>
      <c r="J10" s="3" t="n">
        <f aca="false">COUNTIFS(Responses!$B$2:$B$4001,$A10,Responses!$K$2:$K$4001,"High",Responses!$I$2:$I$4001,"Wrong")</f>
        <v>4</v>
      </c>
      <c r="K10" s="2" t="n">
        <f aca="false">ROUND(SUMIFS(Responses!$J$2:$J$4001,Responses!$B$2:$B$4001,$A10,Responses!$K$2:$K$4001,"High"),2)</f>
        <v>9.47</v>
      </c>
      <c r="L10" s="3" t="n">
        <f aca="false">COUNTIFS(Responses!$B$2:$B$4001,$A10,Responses!$K$2:$K$4001,"Medium",Responses!$I$2:$I$4001,"Correct")</f>
        <v>4</v>
      </c>
      <c r="M10" s="3" t="n">
        <f aca="false">COUNTIFS(Responses!$B$2:$B$4001,$A10,Responses!$K$2:$K$4001,"Medium",Responses!$I$2:$I$4001,"Wrong")</f>
        <v>2</v>
      </c>
      <c r="N10" s="2" t="n">
        <f aca="false">ROUND(SUMIFS(Responses!$J$2:$J$4001,Responses!$B$2:$B$4001,$A10,Responses!$K$2:$K$4001,"Medium"),2)</f>
        <v>9.9</v>
      </c>
      <c r="O10" s="3" t="n">
        <f aca="false">COUNTIFS(Responses!$B$2:$B$4001,$A10,Responses!$K$2:$K$4001,"Low",Responses!$I$2:$I$4001,"Correct")</f>
        <v>6</v>
      </c>
      <c r="P10" s="3" t="n">
        <f aca="false">COUNTIFS(Responses!$B$2:$B$4001,$A10,Responses!$K$2:$K$4001,"Low",Responses!$I$2:$I$4001,"Wrong")</f>
        <v>3</v>
      </c>
      <c r="Q10" s="2" t="n">
        <f aca="false">ROUND(SUMIFS(Responses!$J$2:$J$4001,Responses!$B$2:$B$4001,$A10,Responses!$K$2:$K$4001,"Low"),2)</f>
        <v>15.56</v>
      </c>
      <c r="R10" s="2" t="n">
        <f aca="false">ROUND(SUMIFS(Responses!$AB$2:$AB$4001,Responses!$B$2:$B$4001,$A10),2)</f>
        <v>17.36</v>
      </c>
      <c r="S10" s="0" t="str">
        <f aca="false">IF(R10&gt;='Reward Model'!$B$8,"Gold",IF(R10&gt;='Reward Model'!$B$9,"Silver","Bronze"))</f>
        <v>Bronze</v>
      </c>
      <c r="T10" s="2" t="n">
        <f aca="false">ROUND(R10/'Reward Model'!$B$7*100,2)</f>
        <v>42.34</v>
      </c>
    </row>
    <row r="11" customFormat="false" ht="15" hidden="false" customHeight="false" outlineLevel="0" collapsed="false">
      <c r="A11" s="0" t="s">
        <v>126</v>
      </c>
      <c r="B11" s="0" t="s">
        <v>30</v>
      </c>
      <c r="C11" s="0" t="s">
        <v>31</v>
      </c>
      <c r="D11" s="0" t="n">
        <f aca="false">F11</f>
        <v>20</v>
      </c>
      <c r="E11" s="2" t="n">
        <f aca="false">ROUND(K11+N11+Q11,2)</f>
        <v>32.23</v>
      </c>
      <c r="F11" s="3" t="n">
        <f aca="false">COUNTIFS(Responses!$B$2:$B$4001,$A11)</f>
        <v>20</v>
      </c>
      <c r="G11" s="3" t="n">
        <f aca="false">I11+L11+O11</f>
        <v>12</v>
      </c>
      <c r="H11" s="3" t="n">
        <f aca="false">J11+M11+P11</f>
        <v>8</v>
      </c>
      <c r="I11" s="3" t="n">
        <f aca="false">COUNTIFS(Responses!$B$2:$B$4001,$A11,Responses!$K$2:$K$4001,"High",Responses!$I$2:$I$4001,"Correct")</f>
        <v>2</v>
      </c>
      <c r="J11" s="3" t="n">
        <f aca="false">COUNTIFS(Responses!$B$2:$B$4001,$A11,Responses!$K$2:$K$4001,"High",Responses!$I$2:$I$4001,"Wrong")</f>
        <v>3</v>
      </c>
      <c r="K11" s="2" t="n">
        <f aca="false">ROUND(SUMIFS(Responses!$J$2:$J$4001,Responses!$B$2:$B$4001,$A11,Responses!$K$2:$K$4001,"High"),2)</f>
        <v>8.9</v>
      </c>
      <c r="L11" s="3" t="n">
        <f aca="false">COUNTIFS(Responses!$B$2:$B$4001,$A11,Responses!$K$2:$K$4001,"Medium",Responses!$I$2:$I$4001,"Correct")</f>
        <v>3</v>
      </c>
      <c r="M11" s="3" t="n">
        <f aca="false">COUNTIFS(Responses!$B$2:$B$4001,$A11,Responses!$K$2:$K$4001,"Medium",Responses!$I$2:$I$4001,"Wrong")</f>
        <v>3</v>
      </c>
      <c r="N11" s="2" t="n">
        <f aca="false">ROUND(SUMIFS(Responses!$J$2:$J$4001,Responses!$B$2:$B$4001,$A11,Responses!$K$2:$K$4001,"Medium"),2)</f>
        <v>10.2</v>
      </c>
      <c r="O11" s="3" t="n">
        <f aca="false">COUNTIFS(Responses!$B$2:$B$4001,$A11,Responses!$K$2:$K$4001,"Low",Responses!$I$2:$I$4001,"Correct")</f>
        <v>7</v>
      </c>
      <c r="P11" s="3" t="n">
        <f aca="false">COUNTIFS(Responses!$B$2:$B$4001,$A11,Responses!$K$2:$K$4001,"Low",Responses!$I$2:$I$4001,"Wrong")</f>
        <v>2</v>
      </c>
      <c r="Q11" s="2" t="n">
        <f aca="false">ROUND(SUMIFS(Responses!$J$2:$J$4001,Responses!$B$2:$B$4001,$A11,Responses!$K$2:$K$4001,"Low"),2)</f>
        <v>13.13</v>
      </c>
      <c r="R11" s="2" t="n">
        <f aca="false">ROUND(SUMIFS(Responses!$AB$2:$AB$4001,Responses!$B$2:$B$4001,$A11),2)</f>
        <v>22.04</v>
      </c>
      <c r="S11" s="0" t="str">
        <f aca="false">IF(R11&gt;='Reward Model'!$B$8,"Gold",IF(R11&gt;='Reward Model'!$B$9,"Silver","Bronze"))</f>
        <v>Silver</v>
      </c>
      <c r="T11" s="2" t="n">
        <f aca="false">ROUND(R11/'Reward Model'!$B$7*100,2)</f>
        <v>53.76</v>
      </c>
    </row>
    <row r="12" customFormat="false" ht="15" hidden="false" customHeight="false" outlineLevel="0" collapsed="false">
      <c r="A12" s="0" t="s">
        <v>130</v>
      </c>
      <c r="B12" s="0" t="s">
        <v>30</v>
      </c>
      <c r="C12" s="0" t="s">
        <v>31</v>
      </c>
      <c r="D12" s="0" t="n">
        <f aca="false">F12</f>
        <v>20</v>
      </c>
      <c r="E12" s="2" t="n">
        <f aca="false">ROUND(K12+N12+Q12,2)</f>
        <v>32.69</v>
      </c>
      <c r="F12" s="3" t="n">
        <f aca="false">COUNTIFS(Responses!$B$2:$B$4001,$A12)</f>
        <v>20</v>
      </c>
      <c r="G12" s="3" t="n">
        <f aca="false">I12+L12+O12</f>
        <v>13</v>
      </c>
      <c r="H12" s="3" t="n">
        <f aca="false">J12+M12+P12</f>
        <v>7</v>
      </c>
      <c r="I12" s="3" t="n">
        <f aca="false">COUNTIFS(Responses!$B$2:$B$4001,$A12,Responses!$K$2:$K$4001,"High",Responses!$I$2:$I$4001,"Correct")</f>
        <v>1</v>
      </c>
      <c r="J12" s="3" t="n">
        <f aca="false">COUNTIFS(Responses!$B$2:$B$4001,$A12,Responses!$K$2:$K$4001,"High",Responses!$I$2:$I$4001,"Wrong")</f>
        <v>4</v>
      </c>
      <c r="K12" s="2" t="n">
        <f aca="false">ROUND(SUMIFS(Responses!$J$2:$J$4001,Responses!$B$2:$B$4001,$A12,Responses!$K$2:$K$4001,"High"),2)</f>
        <v>9.91</v>
      </c>
      <c r="L12" s="3" t="n">
        <f aca="false">COUNTIFS(Responses!$B$2:$B$4001,$A12,Responses!$K$2:$K$4001,"Medium",Responses!$I$2:$I$4001,"Correct")</f>
        <v>4</v>
      </c>
      <c r="M12" s="3" t="n">
        <f aca="false">COUNTIFS(Responses!$B$2:$B$4001,$A12,Responses!$K$2:$K$4001,"Medium",Responses!$I$2:$I$4001,"Wrong")</f>
        <v>2</v>
      </c>
      <c r="N12" s="2" t="n">
        <f aca="false">ROUND(SUMIFS(Responses!$J$2:$J$4001,Responses!$B$2:$B$4001,$A12,Responses!$K$2:$K$4001,"Medium"),2)</f>
        <v>10.06</v>
      </c>
      <c r="O12" s="3" t="n">
        <f aca="false">COUNTIFS(Responses!$B$2:$B$4001,$A12,Responses!$K$2:$K$4001,"Low",Responses!$I$2:$I$4001,"Correct")</f>
        <v>8</v>
      </c>
      <c r="P12" s="3" t="n">
        <f aca="false">COUNTIFS(Responses!$B$2:$B$4001,$A12,Responses!$K$2:$K$4001,"Low",Responses!$I$2:$I$4001,"Wrong")</f>
        <v>1</v>
      </c>
      <c r="Q12" s="2" t="n">
        <f aca="false">ROUND(SUMIFS(Responses!$J$2:$J$4001,Responses!$B$2:$B$4001,$A12,Responses!$K$2:$K$4001,"Low"),2)</f>
        <v>12.72</v>
      </c>
      <c r="R12" s="2" t="n">
        <f aca="false">ROUND(SUMIFS(Responses!$AB$2:$AB$4001,Responses!$B$2:$B$4001,$A12),2)</f>
        <v>22</v>
      </c>
      <c r="S12" s="0" t="str">
        <f aca="false">IF(R12&gt;='Reward Model'!$B$8,"Gold",IF(R12&gt;='Reward Model'!$B$9,"Silver","Bronze"))</f>
        <v>Silver</v>
      </c>
      <c r="T12" s="2" t="n">
        <f aca="false">ROUND(R12/'Reward Model'!$B$7*100,2)</f>
        <v>53.66</v>
      </c>
    </row>
    <row r="13" customFormat="false" ht="15" hidden="false" customHeight="false" outlineLevel="0" collapsed="false">
      <c r="A13" s="0" t="s">
        <v>134</v>
      </c>
      <c r="B13" s="0" t="s">
        <v>30</v>
      </c>
      <c r="C13" s="0" t="s">
        <v>31</v>
      </c>
      <c r="D13" s="0" t="n">
        <f aca="false">F13</f>
        <v>20</v>
      </c>
      <c r="E13" s="2" t="n">
        <f aca="false">ROUND(K13+N13+Q13,2)</f>
        <v>31.38</v>
      </c>
      <c r="F13" s="3" t="n">
        <f aca="false">COUNTIFS(Responses!$B$2:$B$4001,$A13)</f>
        <v>20</v>
      </c>
      <c r="G13" s="3" t="n">
        <f aca="false">I13+L13+O13</f>
        <v>16</v>
      </c>
      <c r="H13" s="3" t="n">
        <f aca="false">J13+M13+P13</f>
        <v>4</v>
      </c>
      <c r="I13" s="3" t="n">
        <f aca="false">COUNTIFS(Responses!$B$2:$B$4001,$A13,Responses!$K$2:$K$4001,"High",Responses!$I$2:$I$4001,"Correct")</f>
        <v>4</v>
      </c>
      <c r="J13" s="3" t="n">
        <f aca="false">COUNTIFS(Responses!$B$2:$B$4001,$A13,Responses!$K$2:$K$4001,"High",Responses!$I$2:$I$4001,"Wrong")</f>
        <v>1</v>
      </c>
      <c r="K13" s="2" t="n">
        <f aca="false">ROUND(SUMIFS(Responses!$J$2:$J$4001,Responses!$B$2:$B$4001,$A13,Responses!$K$2:$K$4001,"High"),2)</f>
        <v>8.89</v>
      </c>
      <c r="L13" s="3" t="n">
        <f aca="false">COUNTIFS(Responses!$B$2:$B$4001,$A13,Responses!$K$2:$K$4001,"Medium",Responses!$I$2:$I$4001,"Correct")</f>
        <v>5</v>
      </c>
      <c r="M13" s="3" t="n">
        <f aca="false">COUNTIFS(Responses!$B$2:$B$4001,$A13,Responses!$K$2:$K$4001,"Medium",Responses!$I$2:$I$4001,"Wrong")</f>
        <v>1</v>
      </c>
      <c r="N13" s="2" t="n">
        <f aca="false">ROUND(SUMIFS(Responses!$J$2:$J$4001,Responses!$B$2:$B$4001,$A13,Responses!$K$2:$K$4001,"Medium"),2)</f>
        <v>10.53</v>
      </c>
      <c r="O13" s="3" t="n">
        <f aca="false">COUNTIFS(Responses!$B$2:$B$4001,$A13,Responses!$K$2:$K$4001,"Low",Responses!$I$2:$I$4001,"Correct")</f>
        <v>7</v>
      </c>
      <c r="P13" s="3" t="n">
        <f aca="false">COUNTIFS(Responses!$B$2:$B$4001,$A13,Responses!$K$2:$K$4001,"Low",Responses!$I$2:$I$4001,"Wrong")</f>
        <v>2</v>
      </c>
      <c r="Q13" s="2" t="n">
        <f aca="false">ROUND(SUMIFS(Responses!$J$2:$J$4001,Responses!$B$2:$B$4001,$A13,Responses!$K$2:$K$4001,"Low"),2)</f>
        <v>11.96</v>
      </c>
      <c r="R13" s="2" t="n">
        <f aca="false">ROUND(SUMIFS(Responses!$AB$2:$AB$4001,Responses!$B$2:$B$4001,$A13),2)</f>
        <v>31.5</v>
      </c>
      <c r="S13" s="0" t="str">
        <f aca="false">IF(R13&gt;='Reward Model'!$B$8,"Gold",IF(R13&gt;='Reward Model'!$B$9,"Silver","Bronze"))</f>
        <v>Gold</v>
      </c>
      <c r="T13" s="2" t="n">
        <f aca="false">ROUND(R13/'Reward Model'!$B$7*100,2)</f>
        <v>76.83</v>
      </c>
    </row>
    <row r="14" customFormat="false" ht="15" hidden="false" customHeight="false" outlineLevel="0" collapsed="false">
      <c r="A14" s="0" t="s">
        <v>136</v>
      </c>
      <c r="B14" s="0" t="s">
        <v>30</v>
      </c>
      <c r="C14" s="0" t="s">
        <v>31</v>
      </c>
      <c r="D14" s="0" t="n">
        <f aca="false">F14</f>
        <v>20</v>
      </c>
      <c r="E14" s="2" t="n">
        <f aca="false">ROUND(K14+N14+Q14,2)</f>
        <v>32.83</v>
      </c>
      <c r="F14" s="3" t="n">
        <f aca="false">COUNTIFS(Responses!$B$2:$B$4001,$A14)</f>
        <v>20</v>
      </c>
      <c r="G14" s="3" t="n">
        <f aca="false">I14+L14+O14</f>
        <v>12</v>
      </c>
      <c r="H14" s="3" t="n">
        <f aca="false">J14+M14+P14</f>
        <v>8</v>
      </c>
      <c r="I14" s="3" t="n">
        <f aca="false">COUNTIFS(Responses!$B$2:$B$4001,$A14,Responses!$K$2:$K$4001,"High",Responses!$I$2:$I$4001,"Correct")</f>
        <v>2</v>
      </c>
      <c r="J14" s="3" t="n">
        <f aca="false">COUNTIFS(Responses!$B$2:$B$4001,$A14,Responses!$K$2:$K$4001,"High",Responses!$I$2:$I$4001,"Wrong")</f>
        <v>3</v>
      </c>
      <c r="K14" s="2" t="n">
        <f aca="false">ROUND(SUMIFS(Responses!$J$2:$J$4001,Responses!$B$2:$B$4001,$A14,Responses!$K$2:$K$4001,"High"),2)</f>
        <v>8.93</v>
      </c>
      <c r="L14" s="3" t="n">
        <f aca="false">COUNTIFS(Responses!$B$2:$B$4001,$A14,Responses!$K$2:$K$4001,"Medium",Responses!$I$2:$I$4001,"Correct")</f>
        <v>2</v>
      </c>
      <c r="M14" s="3" t="n">
        <f aca="false">COUNTIFS(Responses!$B$2:$B$4001,$A14,Responses!$K$2:$K$4001,"Medium",Responses!$I$2:$I$4001,"Wrong")</f>
        <v>4</v>
      </c>
      <c r="N14" s="2" t="n">
        <f aca="false">ROUND(SUMIFS(Responses!$J$2:$J$4001,Responses!$B$2:$B$4001,$A14,Responses!$K$2:$K$4001,"Medium"),2)</f>
        <v>10.81</v>
      </c>
      <c r="O14" s="3" t="n">
        <f aca="false">COUNTIFS(Responses!$B$2:$B$4001,$A14,Responses!$K$2:$K$4001,"Low",Responses!$I$2:$I$4001,"Correct")</f>
        <v>8</v>
      </c>
      <c r="P14" s="3" t="n">
        <f aca="false">COUNTIFS(Responses!$B$2:$B$4001,$A14,Responses!$K$2:$K$4001,"Low",Responses!$I$2:$I$4001,"Wrong")</f>
        <v>1</v>
      </c>
      <c r="Q14" s="2" t="n">
        <f aca="false">ROUND(SUMIFS(Responses!$J$2:$J$4001,Responses!$B$2:$B$4001,$A14,Responses!$K$2:$K$4001,"Low"),2)</f>
        <v>13.09</v>
      </c>
      <c r="R14" s="2" t="n">
        <f aca="false">ROUND(SUMIFS(Responses!$AB$2:$AB$4001,Responses!$B$2:$B$4001,$A14),2)</f>
        <v>20.65</v>
      </c>
      <c r="S14" s="0" t="str">
        <f aca="false">IF(R14&gt;='Reward Model'!$B$8,"Gold",IF(R14&gt;='Reward Model'!$B$9,"Silver","Bronze"))</f>
        <v>Silver</v>
      </c>
      <c r="T14" s="2" t="n">
        <f aca="false">ROUND(R14/'Reward Model'!$B$7*100,2)</f>
        <v>50.37</v>
      </c>
    </row>
    <row r="15" customFormat="false" ht="15" hidden="false" customHeight="false" outlineLevel="0" collapsed="false">
      <c r="A15" s="0" t="s">
        <v>141</v>
      </c>
      <c r="B15" s="0" t="s">
        <v>30</v>
      </c>
      <c r="C15" s="0" t="s">
        <v>31</v>
      </c>
      <c r="D15" s="0" t="n">
        <f aca="false">F15</f>
        <v>20</v>
      </c>
      <c r="E15" s="2" t="n">
        <f aca="false">ROUND(K15+N15+Q15,2)</f>
        <v>33.3</v>
      </c>
      <c r="F15" s="3" t="n">
        <f aca="false">COUNTIFS(Responses!$B$2:$B$4001,$A15)</f>
        <v>20</v>
      </c>
      <c r="G15" s="3" t="n">
        <f aca="false">I15+L15+O15</f>
        <v>7</v>
      </c>
      <c r="H15" s="3" t="n">
        <f aca="false">J15+M15+P15</f>
        <v>13</v>
      </c>
      <c r="I15" s="3" t="n">
        <f aca="false">COUNTIFS(Responses!$B$2:$B$4001,$A15,Responses!$K$2:$K$4001,"High",Responses!$I$2:$I$4001,"Correct")</f>
        <v>2</v>
      </c>
      <c r="J15" s="3" t="n">
        <f aca="false">COUNTIFS(Responses!$B$2:$B$4001,$A15,Responses!$K$2:$K$4001,"High",Responses!$I$2:$I$4001,"Wrong")</f>
        <v>3</v>
      </c>
      <c r="K15" s="2" t="n">
        <f aca="false">ROUND(SUMIFS(Responses!$J$2:$J$4001,Responses!$B$2:$B$4001,$A15,Responses!$K$2:$K$4001,"High"),2)</f>
        <v>10.6</v>
      </c>
      <c r="L15" s="3" t="n">
        <f aca="false">COUNTIFS(Responses!$B$2:$B$4001,$A15,Responses!$K$2:$K$4001,"Medium",Responses!$I$2:$I$4001,"Correct")</f>
        <v>1</v>
      </c>
      <c r="M15" s="3" t="n">
        <f aca="false">COUNTIFS(Responses!$B$2:$B$4001,$A15,Responses!$K$2:$K$4001,"Medium",Responses!$I$2:$I$4001,"Wrong")</f>
        <v>5</v>
      </c>
      <c r="N15" s="2" t="n">
        <f aca="false">ROUND(SUMIFS(Responses!$J$2:$J$4001,Responses!$B$2:$B$4001,$A15,Responses!$K$2:$K$4001,"Medium"),2)</f>
        <v>10.34</v>
      </c>
      <c r="O15" s="3" t="n">
        <f aca="false">COUNTIFS(Responses!$B$2:$B$4001,$A15,Responses!$K$2:$K$4001,"Low",Responses!$I$2:$I$4001,"Correct")</f>
        <v>4</v>
      </c>
      <c r="P15" s="3" t="n">
        <f aca="false">COUNTIFS(Responses!$B$2:$B$4001,$A15,Responses!$K$2:$K$4001,"Low",Responses!$I$2:$I$4001,"Wrong")</f>
        <v>5</v>
      </c>
      <c r="Q15" s="2" t="n">
        <f aca="false">ROUND(SUMIFS(Responses!$J$2:$J$4001,Responses!$B$2:$B$4001,$A15,Responses!$K$2:$K$4001,"Low"),2)</f>
        <v>12.36</v>
      </c>
      <c r="R15" s="2" t="n">
        <f aca="false">ROUND(SUMIFS(Responses!$AB$2:$AB$4001,Responses!$B$2:$B$4001,$A15),2)</f>
        <v>13.72</v>
      </c>
      <c r="S15" s="0" t="str">
        <f aca="false">IF(R15&gt;='Reward Model'!$B$8,"Gold",IF(R15&gt;='Reward Model'!$B$9,"Silver","Bronze"))</f>
        <v>Bronze</v>
      </c>
      <c r="T15" s="2" t="n">
        <f aca="false">ROUND(R15/'Reward Model'!$B$7*100,2)</f>
        <v>33.46</v>
      </c>
    </row>
    <row r="16" customFormat="false" ht="15" hidden="false" customHeight="false" outlineLevel="0" collapsed="false">
      <c r="A16" s="0" t="s">
        <v>148</v>
      </c>
      <c r="B16" s="0" t="s">
        <v>30</v>
      </c>
      <c r="C16" s="0" t="s">
        <v>31</v>
      </c>
      <c r="D16" s="0" t="n">
        <f aca="false">F16</f>
        <v>20</v>
      </c>
      <c r="E16" s="2" t="n">
        <f aca="false">ROUND(K16+N16+Q16,2)</f>
        <v>32.28</v>
      </c>
      <c r="F16" s="3" t="n">
        <f aca="false">COUNTIFS(Responses!$B$2:$B$4001,$A16)</f>
        <v>20</v>
      </c>
      <c r="G16" s="3" t="n">
        <f aca="false">I16+L16+O16</f>
        <v>14</v>
      </c>
      <c r="H16" s="3" t="n">
        <f aca="false">J16+M16+P16</f>
        <v>6</v>
      </c>
      <c r="I16" s="3" t="n">
        <f aca="false">COUNTIFS(Responses!$B$2:$B$4001,$A16,Responses!$K$2:$K$4001,"High",Responses!$I$2:$I$4001,"Correct")</f>
        <v>4</v>
      </c>
      <c r="J16" s="3" t="n">
        <f aca="false">COUNTIFS(Responses!$B$2:$B$4001,$A16,Responses!$K$2:$K$4001,"High",Responses!$I$2:$I$4001,"Wrong")</f>
        <v>1</v>
      </c>
      <c r="K16" s="2" t="n">
        <f aca="false">ROUND(SUMIFS(Responses!$J$2:$J$4001,Responses!$B$2:$B$4001,$A16,Responses!$K$2:$K$4001,"High"),2)</f>
        <v>8.47</v>
      </c>
      <c r="L16" s="3" t="n">
        <f aca="false">COUNTIFS(Responses!$B$2:$B$4001,$A16,Responses!$K$2:$K$4001,"Medium",Responses!$I$2:$I$4001,"Correct")</f>
        <v>2</v>
      </c>
      <c r="M16" s="3" t="n">
        <f aca="false">COUNTIFS(Responses!$B$2:$B$4001,$A16,Responses!$K$2:$K$4001,"Medium",Responses!$I$2:$I$4001,"Wrong")</f>
        <v>4</v>
      </c>
      <c r="N16" s="2" t="n">
        <f aca="false">ROUND(SUMIFS(Responses!$J$2:$J$4001,Responses!$B$2:$B$4001,$A16,Responses!$K$2:$K$4001,"Medium"),2)</f>
        <v>11.43</v>
      </c>
      <c r="O16" s="3" t="n">
        <f aca="false">COUNTIFS(Responses!$B$2:$B$4001,$A16,Responses!$K$2:$K$4001,"Low",Responses!$I$2:$I$4001,"Correct")</f>
        <v>8</v>
      </c>
      <c r="P16" s="3" t="n">
        <f aca="false">COUNTIFS(Responses!$B$2:$B$4001,$A16,Responses!$K$2:$K$4001,"Low",Responses!$I$2:$I$4001,"Wrong")</f>
        <v>1</v>
      </c>
      <c r="Q16" s="2" t="n">
        <f aca="false">ROUND(SUMIFS(Responses!$J$2:$J$4001,Responses!$B$2:$B$4001,$A16,Responses!$K$2:$K$4001,"Low"),2)</f>
        <v>12.38</v>
      </c>
      <c r="R16" s="2" t="n">
        <f aca="false">ROUND(SUMIFS(Responses!$AB$2:$AB$4001,Responses!$B$2:$B$4001,$A16),2)</f>
        <v>27.97</v>
      </c>
      <c r="S16" s="0" t="str">
        <f aca="false">IF(R16&gt;='Reward Model'!$B$8,"Gold",IF(R16&gt;='Reward Model'!$B$9,"Silver","Bronze"))</f>
        <v>Silver</v>
      </c>
      <c r="T16" s="2" t="n">
        <f aca="false">ROUND(R16/'Reward Model'!$B$7*100,2)</f>
        <v>68.22</v>
      </c>
    </row>
    <row r="17" customFormat="false" ht="15" hidden="false" customHeight="false" outlineLevel="0" collapsed="false">
      <c r="A17" s="0" t="s">
        <v>152</v>
      </c>
      <c r="B17" s="0" t="s">
        <v>30</v>
      </c>
      <c r="C17" s="0" t="s">
        <v>31</v>
      </c>
      <c r="D17" s="0" t="n">
        <f aca="false">F17</f>
        <v>20</v>
      </c>
      <c r="E17" s="2" t="n">
        <f aca="false">ROUND(K17+N17+Q17,2)</f>
        <v>28.97</v>
      </c>
      <c r="F17" s="3" t="n">
        <f aca="false">COUNTIFS(Responses!$B$2:$B$4001,$A17)</f>
        <v>20</v>
      </c>
      <c r="G17" s="3" t="n">
        <f aca="false">I17+L17+O17</f>
        <v>15</v>
      </c>
      <c r="H17" s="3" t="n">
        <f aca="false">J17+M17+P17</f>
        <v>5</v>
      </c>
      <c r="I17" s="3" t="n">
        <f aca="false">COUNTIFS(Responses!$B$2:$B$4001,$A17,Responses!$K$2:$K$4001,"High",Responses!$I$2:$I$4001,"Correct")</f>
        <v>2</v>
      </c>
      <c r="J17" s="3" t="n">
        <f aca="false">COUNTIFS(Responses!$B$2:$B$4001,$A17,Responses!$K$2:$K$4001,"High",Responses!$I$2:$I$4001,"Wrong")</f>
        <v>3</v>
      </c>
      <c r="K17" s="2" t="n">
        <f aca="false">ROUND(SUMIFS(Responses!$J$2:$J$4001,Responses!$B$2:$B$4001,$A17,Responses!$K$2:$K$4001,"High"),2)</f>
        <v>8.05</v>
      </c>
      <c r="L17" s="3" t="n">
        <f aca="false">COUNTIFS(Responses!$B$2:$B$4001,$A17,Responses!$K$2:$K$4001,"Medium",Responses!$I$2:$I$4001,"Correct")</f>
        <v>5</v>
      </c>
      <c r="M17" s="3" t="n">
        <f aca="false">COUNTIFS(Responses!$B$2:$B$4001,$A17,Responses!$K$2:$K$4001,"Medium",Responses!$I$2:$I$4001,"Wrong")</f>
        <v>1</v>
      </c>
      <c r="N17" s="2" t="n">
        <f aca="false">ROUND(SUMIFS(Responses!$J$2:$J$4001,Responses!$B$2:$B$4001,$A17,Responses!$K$2:$K$4001,"Medium"),2)</f>
        <v>8.78</v>
      </c>
      <c r="O17" s="3" t="n">
        <f aca="false">COUNTIFS(Responses!$B$2:$B$4001,$A17,Responses!$K$2:$K$4001,"Low",Responses!$I$2:$I$4001,"Correct")</f>
        <v>8</v>
      </c>
      <c r="P17" s="3" t="n">
        <f aca="false">COUNTIFS(Responses!$B$2:$B$4001,$A17,Responses!$K$2:$K$4001,"Low",Responses!$I$2:$I$4001,"Wrong")</f>
        <v>1</v>
      </c>
      <c r="Q17" s="2" t="n">
        <f aca="false">ROUND(SUMIFS(Responses!$J$2:$J$4001,Responses!$B$2:$B$4001,$A17,Responses!$K$2:$K$4001,"Low"),2)</f>
        <v>12.14</v>
      </c>
      <c r="R17" s="2" t="n">
        <f aca="false">ROUND(SUMIFS(Responses!$AB$2:$AB$4001,Responses!$B$2:$B$4001,$A17),2)</f>
        <v>27.81</v>
      </c>
      <c r="S17" s="0" t="str">
        <f aca="false">IF(R17&gt;='Reward Model'!$B$8,"Gold",IF(R17&gt;='Reward Model'!$B$9,"Silver","Bronze"))</f>
        <v>Silver</v>
      </c>
      <c r="T17" s="2" t="n">
        <f aca="false">ROUND(R17/'Reward Model'!$B$7*100,2)</f>
        <v>67.83</v>
      </c>
    </row>
    <row r="18" customFormat="false" ht="15" hidden="false" customHeight="false" outlineLevel="0" collapsed="false">
      <c r="A18" s="0" t="s">
        <v>154</v>
      </c>
      <c r="B18" s="0" t="s">
        <v>30</v>
      </c>
      <c r="C18" s="0" t="s">
        <v>31</v>
      </c>
      <c r="D18" s="0" t="n">
        <f aca="false">F18</f>
        <v>20</v>
      </c>
      <c r="E18" s="2" t="n">
        <f aca="false">ROUND(K18+N18+Q18,2)</f>
        <v>33.82</v>
      </c>
      <c r="F18" s="3" t="n">
        <f aca="false">COUNTIFS(Responses!$B$2:$B$4001,$A18)</f>
        <v>20</v>
      </c>
      <c r="G18" s="3" t="n">
        <f aca="false">I18+L18+O18</f>
        <v>12</v>
      </c>
      <c r="H18" s="3" t="n">
        <f aca="false">J18+M18+P18</f>
        <v>8</v>
      </c>
      <c r="I18" s="3" t="n">
        <f aca="false">COUNTIFS(Responses!$B$2:$B$4001,$A18,Responses!$K$2:$K$4001,"High",Responses!$I$2:$I$4001,"Correct")</f>
        <v>3</v>
      </c>
      <c r="J18" s="3" t="n">
        <f aca="false">COUNTIFS(Responses!$B$2:$B$4001,$A18,Responses!$K$2:$K$4001,"High",Responses!$I$2:$I$4001,"Wrong")</f>
        <v>2</v>
      </c>
      <c r="K18" s="2" t="n">
        <f aca="false">ROUND(SUMIFS(Responses!$J$2:$J$4001,Responses!$B$2:$B$4001,$A18,Responses!$K$2:$K$4001,"High"),2)</f>
        <v>8.67</v>
      </c>
      <c r="L18" s="3" t="n">
        <f aca="false">COUNTIFS(Responses!$B$2:$B$4001,$A18,Responses!$K$2:$K$4001,"Medium",Responses!$I$2:$I$4001,"Correct")</f>
        <v>3</v>
      </c>
      <c r="M18" s="3" t="n">
        <f aca="false">COUNTIFS(Responses!$B$2:$B$4001,$A18,Responses!$K$2:$K$4001,"Medium",Responses!$I$2:$I$4001,"Wrong")</f>
        <v>3</v>
      </c>
      <c r="N18" s="2" t="n">
        <f aca="false">ROUND(SUMIFS(Responses!$J$2:$J$4001,Responses!$B$2:$B$4001,$A18,Responses!$K$2:$K$4001,"Medium"),2)</f>
        <v>12.47</v>
      </c>
      <c r="O18" s="3" t="n">
        <f aca="false">COUNTIFS(Responses!$B$2:$B$4001,$A18,Responses!$K$2:$K$4001,"Low",Responses!$I$2:$I$4001,"Correct")</f>
        <v>6</v>
      </c>
      <c r="P18" s="3" t="n">
        <f aca="false">COUNTIFS(Responses!$B$2:$B$4001,$A18,Responses!$K$2:$K$4001,"Low",Responses!$I$2:$I$4001,"Wrong")</f>
        <v>3</v>
      </c>
      <c r="Q18" s="2" t="n">
        <f aca="false">ROUND(SUMIFS(Responses!$J$2:$J$4001,Responses!$B$2:$B$4001,$A18,Responses!$K$2:$K$4001,"Low"),2)</f>
        <v>12.68</v>
      </c>
      <c r="R18" s="2" t="n">
        <f aca="false">ROUND(SUMIFS(Responses!$AB$2:$AB$4001,Responses!$B$2:$B$4001,$A18),2)</f>
        <v>21.68</v>
      </c>
      <c r="S18" s="0" t="str">
        <f aca="false">IF(R18&gt;='Reward Model'!$B$8,"Gold",IF(R18&gt;='Reward Model'!$B$9,"Silver","Bronze"))</f>
        <v>Silver</v>
      </c>
      <c r="T18" s="2" t="n">
        <f aca="false">ROUND(R18/'Reward Model'!$B$7*100,2)</f>
        <v>52.88</v>
      </c>
    </row>
    <row r="19" customFormat="false" ht="15" hidden="false" customHeight="false" outlineLevel="0" collapsed="false">
      <c r="A19" s="0" t="s">
        <v>157</v>
      </c>
      <c r="B19" s="0" t="s">
        <v>30</v>
      </c>
      <c r="C19" s="0" t="s">
        <v>31</v>
      </c>
      <c r="D19" s="0" t="n">
        <f aca="false">F19</f>
        <v>20</v>
      </c>
      <c r="E19" s="2" t="n">
        <f aca="false">ROUND(K19+N19+Q19,2)</f>
        <v>33.92</v>
      </c>
      <c r="F19" s="3" t="n">
        <f aca="false">COUNTIFS(Responses!$B$2:$B$4001,$A19)</f>
        <v>20</v>
      </c>
      <c r="G19" s="3" t="n">
        <f aca="false">I19+L19+O19</f>
        <v>17</v>
      </c>
      <c r="H19" s="3" t="n">
        <f aca="false">J19+M19+P19</f>
        <v>3</v>
      </c>
      <c r="I19" s="3" t="n">
        <f aca="false">COUNTIFS(Responses!$B$2:$B$4001,$A19,Responses!$K$2:$K$4001,"High",Responses!$I$2:$I$4001,"Correct")</f>
        <v>4</v>
      </c>
      <c r="J19" s="3" t="n">
        <f aca="false">COUNTIFS(Responses!$B$2:$B$4001,$A19,Responses!$K$2:$K$4001,"High",Responses!$I$2:$I$4001,"Wrong")</f>
        <v>1</v>
      </c>
      <c r="K19" s="2" t="n">
        <f aca="false">ROUND(SUMIFS(Responses!$J$2:$J$4001,Responses!$B$2:$B$4001,$A19,Responses!$K$2:$K$4001,"High"),2)</f>
        <v>9.4</v>
      </c>
      <c r="L19" s="3" t="n">
        <f aca="false">COUNTIFS(Responses!$B$2:$B$4001,$A19,Responses!$K$2:$K$4001,"Medium",Responses!$I$2:$I$4001,"Correct")</f>
        <v>5</v>
      </c>
      <c r="M19" s="3" t="n">
        <f aca="false">COUNTIFS(Responses!$B$2:$B$4001,$A19,Responses!$K$2:$K$4001,"Medium",Responses!$I$2:$I$4001,"Wrong")</f>
        <v>1</v>
      </c>
      <c r="N19" s="2" t="n">
        <f aca="false">ROUND(SUMIFS(Responses!$J$2:$J$4001,Responses!$B$2:$B$4001,$A19,Responses!$K$2:$K$4001,"Medium"),2)</f>
        <v>11.86</v>
      </c>
      <c r="O19" s="3" t="n">
        <f aca="false">COUNTIFS(Responses!$B$2:$B$4001,$A19,Responses!$K$2:$K$4001,"Low",Responses!$I$2:$I$4001,"Correct")</f>
        <v>8</v>
      </c>
      <c r="P19" s="3" t="n">
        <f aca="false">COUNTIFS(Responses!$B$2:$B$4001,$A19,Responses!$K$2:$K$4001,"Low",Responses!$I$2:$I$4001,"Wrong")</f>
        <v>1</v>
      </c>
      <c r="Q19" s="2" t="n">
        <f aca="false">ROUND(SUMIFS(Responses!$J$2:$J$4001,Responses!$B$2:$B$4001,$A19,Responses!$K$2:$K$4001,"Low"),2)</f>
        <v>12.66</v>
      </c>
      <c r="R19" s="2" t="n">
        <f aca="false">ROUND(SUMIFS(Responses!$AB$2:$AB$4001,Responses!$B$2:$B$4001,$A19),2)</f>
        <v>32.54</v>
      </c>
      <c r="S19" s="0" t="str">
        <f aca="false">IF(R19&gt;='Reward Model'!$B$8,"Gold",IF(R19&gt;='Reward Model'!$B$9,"Silver","Bronze"))</f>
        <v>Gold</v>
      </c>
      <c r="T19" s="2" t="n">
        <f aca="false">ROUND(R19/'Reward Model'!$B$7*100,2)</f>
        <v>79.37</v>
      </c>
    </row>
    <row r="20" customFormat="false" ht="15" hidden="false" customHeight="false" outlineLevel="0" collapsed="false">
      <c r="A20" s="0" t="s">
        <v>159</v>
      </c>
      <c r="B20" s="0" t="s">
        <v>30</v>
      </c>
      <c r="C20" s="0" t="s">
        <v>31</v>
      </c>
      <c r="D20" s="0" t="n">
        <f aca="false">F20</f>
        <v>20</v>
      </c>
      <c r="E20" s="2" t="n">
        <f aca="false">ROUND(K20+N20+Q20,2)</f>
        <v>32.88</v>
      </c>
      <c r="F20" s="3" t="n">
        <f aca="false">COUNTIFS(Responses!$B$2:$B$4001,$A20)</f>
        <v>20</v>
      </c>
      <c r="G20" s="3" t="n">
        <f aca="false">I20+L20+O20</f>
        <v>15</v>
      </c>
      <c r="H20" s="3" t="n">
        <f aca="false">J20+M20+P20</f>
        <v>5</v>
      </c>
      <c r="I20" s="3" t="n">
        <f aca="false">COUNTIFS(Responses!$B$2:$B$4001,$A20,Responses!$K$2:$K$4001,"High",Responses!$I$2:$I$4001,"Correct")</f>
        <v>2</v>
      </c>
      <c r="J20" s="3" t="n">
        <f aca="false">COUNTIFS(Responses!$B$2:$B$4001,$A20,Responses!$K$2:$K$4001,"High",Responses!$I$2:$I$4001,"Wrong")</f>
        <v>3</v>
      </c>
      <c r="K20" s="2" t="n">
        <f aca="false">ROUND(SUMIFS(Responses!$J$2:$J$4001,Responses!$B$2:$B$4001,$A20,Responses!$K$2:$K$4001,"High"),2)</f>
        <v>10.37</v>
      </c>
      <c r="L20" s="3" t="n">
        <f aca="false">COUNTIFS(Responses!$B$2:$B$4001,$A20,Responses!$K$2:$K$4001,"Medium",Responses!$I$2:$I$4001,"Correct")</f>
        <v>5</v>
      </c>
      <c r="M20" s="3" t="n">
        <f aca="false">COUNTIFS(Responses!$B$2:$B$4001,$A20,Responses!$K$2:$K$4001,"Medium",Responses!$I$2:$I$4001,"Wrong")</f>
        <v>1</v>
      </c>
      <c r="N20" s="2" t="n">
        <f aca="false">ROUND(SUMIFS(Responses!$J$2:$J$4001,Responses!$B$2:$B$4001,$A20,Responses!$K$2:$K$4001,"Medium"),2)</f>
        <v>9.87</v>
      </c>
      <c r="O20" s="3" t="n">
        <f aca="false">COUNTIFS(Responses!$B$2:$B$4001,$A20,Responses!$K$2:$K$4001,"Low",Responses!$I$2:$I$4001,"Correct")</f>
        <v>8</v>
      </c>
      <c r="P20" s="3" t="n">
        <f aca="false">COUNTIFS(Responses!$B$2:$B$4001,$A20,Responses!$K$2:$K$4001,"Low",Responses!$I$2:$I$4001,"Wrong")</f>
        <v>1</v>
      </c>
      <c r="Q20" s="2" t="n">
        <f aca="false">ROUND(SUMIFS(Responses!$J$2:$J$4001,Responses!$B$2:$B$4001,$A20,Responses!$K$2:$K$4001,"Low"),2)</f>
        <v>12.64</v>
      </c>
      <c r="R20" s="2" t="n">
        <f aca="false">ROUND(SUMIFS(Responses!$AB$2:$AB$4001,Responses!$B$2:$B$4001,$A20),2)</f>
        <v>27.62</v>
      </c>
      <c r="S20" s="0" t="str">
        <f aca="false">IF(R20&gt;='Reward Model'!$B$8,"Gold",IF(R20&gt;='Reward Model'!$B$9,"Silver","Bronze"))</f>
        <v>Silver</v>
      </c>
      <c r="T20" s="2" t="n">
        <f aca="false">ROUND(R20/'Reward Model'!$B$7*100,2)</f>
        <v>67.37</v>
      </c>
    </row>
    <row r="21" customFormat="false" ht="15" hidden="false" customHeight="false" outlineLevel="0" collapsed="false">
      <c r="A21" s="0" t="s">
        <v>161</v>
      </c>
      <c r="B21" s="0" t="s">
        <v>30</v>
      </c>
      <c r="C21" s="0" t="s">
        <v>31</v>
      </c>
      <c r="D21" s="0" t="n">
        <f aca="false">F21</f>
        <v>20</v>
      </c>
      <c r="E21" s="2" t="n">
        <f aca="false">ROUND(K21+N21+Q21,2)</f>
        <v>30.5</v>
      </c>
      <c r="F21" s="3" t="n">
        <f aca="false">COUNTIFS(Responses!$B$2:$B$4001,$A21)</f>
        <v>20</v>
      </c>
      <c r="G21" s="3" t="n">
        <f aca="false">I21+L21+O21</f>
        <v>12</v>
      </c>
      <c r="H21" s="3" t="n">
        <f aca="false">J21+M21+P21</f>
        <v>8</v>
      </c>
      <c r="I21" s="3" t="n">
        <f aca="false">COUNTIFS(Responses!$B$2:$B$4001,$A21,Responses!$K$2:$K$4001,"High",Responses!$I$2:$I$4001,"Correct")</f>
        <v>2</v>
      </c>
      <c r="J21" s="3" t="n">
        <f aca="false">COUNTIFS(Responses!$B$2:$B$4001,$A21,Responses!$K$2:$K$4001,"High",Responses!$I$2:$I$4001,"Wrong")</f>
        <v>3</v>
      </c>
      <c r="K21" s="2" t="n">
        <f aca="false">ROUND(SUMIFS(Responses!$J$2:$J$4001,Responses!$B$2:$B$4001,$A21,Responses!$K$2:$K$4001,"High"),2)</f>
        <v>8.07</v>
      </c>
      <c r="L21" s="3" t="n">
        <f aca="false">COUNTIFS(Responses!$B$2:$B$4001,$A21,Responses!$K$2:$K$4001,"Medium",Responses!$I$2:$I$4001,"Correct")</f>
        <v>2</v>
      </c>
      <c r="M21" s="3" t="n">
        <f aca="false">COUNTIFS(Responses!$B$2:$B$4001,$A21,Responses!$K$2:$K$4001,"Medium",Responses!$I$2:$I$4001,"Wrong")</f>
        <v>4</v>
      </c>
      <c r="N21" s="2" t="n">
        <f aca="false">ROUND(SUMIFS(Responses!$J$2:$J$4001,Responses!$B$2:$B$4001,$A21,Responses!$K$2:$K$4001,"Medium"),2)</f>
        <v>9.53</v>
      </c>
      <c r="O21" s="3" t="n">
        <f aca="false">COUNTIFS(Responses!$B$2:$B$4001,$A21,Responses!$K$2:$K$4001,"Low",Responses!$I$2:$I$4001,"Correct")</f>
        <v>8</v>
      </c>
      <c r="P21" s="3" t="n">
        <f aca="false">COUNTIFS(Responses!$B$2:$B$4001,$A21,Responses!$K$2:$K$4001,"Low",Responses!$I$2:$I$4001,"Wrong")</f>
        <v>1</v>
      </c>
      <c r="Q21" s="2" t="n">
        <f aca="false">ROUND(SUMIFS(Responses!$J$2:$J$4001,Responses!$B$2:$B$4001,$A21,Responses!$K$2:$K$4001,"Low"),2)</f>
        <v>12.9</v>
      </c>
      <c r="R21" s="2" t="n">
        <f aca="false">ROUND(SUMIFS(Responses!$AB$2:$AB$4001,Responses!$B$2:$B$4001,$A21),2)</f>
        <v>21.54</v>
      </c>
      <c r="S21" s="0" t="str">
        <f aca="false">IF(R21&gt;='Reward Model'!$B$8,"Gold",IF(R21&gt;='Reward Model'!$B$9,"Silver","Bronze"))</f>
        <v>Silver</v>
      </c>
      <c r="T21" s="2" t="n">
        <f aca="false">ROUND(R21/'Reward Model'!$B$7*100,2)</f>
        <v>52.54</v>
      </c>
    </row>
    <row r="22" customFormat="false" ht="15" hidden="false" customHeight="false" outlineLevel="0" collapsed="false">
      <c r="A22" s="0" t="s">
        <v>163</v>
      </c>
      <c r="B22" s="0" t="s">
        <v>30</v>
      </c>
      <c r="C22" s="0" t="s">
        <v>31</v>
      </c>
      <c r="D22" s="0" t="n">
        <f aca="false">F22</f>
        <v>20</v>
      </c>
      <c r="E22" s="2" t="n">
        <f aca="false">ROUND(K22+N22+Q22,2)</f>
        <v>30.96</v>
      </c>
      <c r="F22" s="3" t="n">
        <f aca="false">COUNTIFS(Responses!$B$2:$B$4001,$A22)</f>
        <v>20</v>
      </c>
      <c r="G22" s="3" t="n">
        <f aca="false">I22+L22+O22</f>
        <v>5</v>
      </c>
      <c r="H22" s="3" t="n">
        <f aca="false">J22+M22+P22</f>
        <v>15</v>
      </c>
      <c r="I22" s="3" t="n">
        <f aca="false">COUNTIFS(Responses!$B$2:$B$4001,$A22,Responses!$K$2:$K$4001,"High",Responses!$I$2:$I$4001,"Correct")</f>
        <v>1</v>
      </c>
      <c r="J22" s="3" t="n">
        <f aca="false">COUNTIFS(Responses!$B$2:$B$4001,$A22,Responses!$K$2:$K$4001,"High",Responses!$I$2:$I$4001,"Wrong")</f>
        <v>4</v>
      </c>
      <c r="K22" s="2" t="n">
        <f aca="false">ROUND(SUMIFS(Responses!$J$2:$J$4001,Responses!$B$2:$B$4001,$A22,Responses!$K$2:$K$4001,"High"),2)</f>
        <v>8.45</v>
      </c>
      <c r="L22" s="3" t="n">
        <f aca="false">COUNTIFS(Responses!$B$2:$B$4001,$A22,Responses!$K$2:$K$4001,"Medium",Responses!$I$2:$I$4001,"Correct")</f>
        <v>2</v>
      </c>
      <c r="M22" s="3" t="n">
        <f aca="false">COUNTIFS(Responses!$B$2:$B$4001,$A22,Responses!$K$2:$K$4001,"Medium",Responses!$I$2:$I$4001,"Wrong")</f>
        <v>4</v>
      </c>
      <c r="N22" s="2" t="n">
        <f aca="false">ROUND(SUMIFS(Responses!$J$2:$J$4001,Responses!$B$2:$B$4001,$A22,Responses!$K$2:$K$4001,"Medium"),2)</f>
        <v>9.7</v>
      </c>
      <c r="O22" s="3" t="n">
        <f aca="false">COUNTIFS(Responses!$B$2:$B$4001,$A22,Responses!$K$2:$K$4001,"Low",Responses!$I$2:$I$4001,"Correct")</f>
        <v>2</v>
      </c>
      <c r="P22" s="3" t="n">
        <f aca="false">COUNTIFS(Responses!$B$2:$B$4001,$A22,Responses!$K$2:$K$4001,"Low",Responses!$I$2:$I$4001,"Wrong")</f>
        <v>7</v>
      </c>
      <c r="Q22" s="2" t="n">
        <f aca="false">ROUND(SUMIFS(Responses!$J$2:$J$4001,Responses!$B$2:$B$4001,$A22,Responses!$K$2:$K$4001,"Low"),2)</f>
        <v>12.81</v>
      </c>
      <c r="R22" s="2" t="n">
        <f aca="false">ROUND(SUMIFS(Responses!$AB$2:$AB$4001,Responses!$B$2:$B$4001,$A22),2)</f>
        <v>8.42</v>
      </c>
      <c r="S22" s="0" t="str">
        <f aca="false">IF(R22&gt;='Reward Model'!$B$8,"Gold",IF(R22&gt;='Reward Model'!$B$9,"Silver","Bronze"))</f>
        <v>Bronze</v>
      </c>
      <c r="T22" s="2" t="n">
        <f aca="false">ROUND(R22/'Reward Model'!$B$7*100,2)</f>
        <v>20.54</v>
      </c>
    </row>
    <row r="23" customFormat="false" ht="15" hidden="false" customHeight="false" outlineLevel="0" collapsed="false">
      <c r="A23" s="0" t="s">
        <v>168</v>
      </c>
      <c r="B23" s="0" t="s">
        <v>30</v>
      </c>
      <c r="C23" s="0" t="s">
        <v>31</v>
      </c>
      <c r="D23" s="0" t="n">
        <f aca="false">F23</f>
        <v>20</v>
      </c>
      <c r="E23" s="2" t="n">
        <f aca="false">ROUND(K23+N23+Q23,2)</f>
        <v>32.29</v>
      </c>
      <c r="F23" s="3" t="n">
        <f aca="false">COUNTIFS(Responses!$B$2:$B$4001,$A23)</f>
        <v>20</v>
      </c>
      <c r="G23" s="3" t="n">
        <f aca="false">I23+L23+O23</f>
        <v>12</v>
      </c>
      <c r="H23" s="3" t="n">
        <f aca="false">J23+M23+P23</f>
        <v>8</v>
      </c>
      <c r="I23" s="3" t="n">
        <f aca="false">COUNTIFS(Responses!$B$2:$B$4001,$A23,Responses!$K$2:$K$4001,"High",Responses!$I$2:$I$4001,"Correct")</f>
        <v>2</v>
      </c>
      <c r="J23" s="3" t="n">
        <f aca="false">COUNTIFS(Responses!$B$2:$B$4001,$A23,Responses!$K$2:$K$4001,"High",Responses!$I$2:$I$4001,"Wrong")</f>
        <v>3</v>
      </c>
      <c r="K23" s="2" t="n">
        <f aca="false">ROUND(SUMIFS(Responses!$J$2:$J$4001,Responses!$B$2:$B$4001,$A23,Responses!$K$2:$K$4001,"High"),2)</f>
        <v>8.96</v>
      </c>
      <c r="L23" s="3" t="n">
        <f aca="false">COUNTIFS(Responses!$B$2:$B$4001,$A23,Responses!$K$2:$K$4001,"Medium",Responses!$I$2:$I$4001,"Correct")</f>
        <v>3</v>
      </c>
      <c r="M23" s="3" t="n">
        <f aca="false">COUNTIFS(Responses!$B$2:$B$4001,$A23,Responses!$K$2:$K$4001,"Medium",Responses!$I$2:$I$4001,"Wrong")</f>
        <v>3</v>
      </c>
      <c r="N23" s="2" t="n">
        <f aca="false">ROUND(SUMIFS(Responses!$J$2:$J$4001,Responses!$B$2:$B$4001,$A23,Responses!$K$2:$K$4001,"Medium"),2)</f>
        <v>11.01</v>
      </c>
      <c r="O23" s="3" t="n">
        <f aca="false">COUNTIFS(Responses!$B$2:$B$4001,$A23,Responses!$K$2:$K$4001,"Low",Responses!$I$2:$I$4001,"Correct")</f>
        <v>7</v>
      </c>
      <c r="P23" s="3" t="n">
        <f aca="false">COUNTIFS(Responses!$B$2:$B$4001,$A23,Responses!$K$2:$K$4001,"Low",Responses!$I$2:$I$4001,"Wrong")</f>
        <v>2</v>
      </c>
      <c r="Q23" s="2" t="n">
        <f aca="false">ROUND(SUMIFS(Responses!$J$2:$J$4001,Responses!$B$2:$B$4001,$A23,Responses!$K$2:$K$4001,"Low"),2)</f>
        <v>12.32</v>
      </c>
      <c r="R23" s="2" t="n">
        <f aca="false">ROUND(SUMIFS(Responses!$AB$2:$AB$4001,Responses!$B$2:$B$4001,$A23),2)</f>
        <v>20.66</v>
      </c>
      <c r="S23" s="0" t="str">
        <f aca="false">IF(R23&gt;='Reward Model'!$B$8,"Gold",IF(R23&gt;='Reward Model'!$B$9,"Silver","Bronze"))</f>
        <v>Silver</v>
      </c>
      <c r="T23" s="2" t="n">
        <f aca="false">ROUND(R23/'Reward Model'!$B$7*100,2)</f>
        <v>50.39</v>
      </c>
    </row>
    <row r="24" customFormat="false" ht="15" hidden="false" customHeight="false" outlineLevel="0" collapsed="false">
      <c r="A24" s="0" t="s">
        <v>171</v>
      </c>
      <c r="B24" s="0" t="s">
        <v>30</v>
      </c>
      <c r="C24" s="0" t="s">
        <v>31</v>
      </c>
      <c r="D24" s="0" t="n">
        <f aca="false">F24</f>
        <v>20</v>
      </c>
      <c r="E24" s="2" t="n">
        <f aca="false">ROUND(K24+N24+Q24,2)</f>
        <v>32.88</v>
      </c>
      <c r="F24" s="3" t="n">
        <f aca="false">COUNTIFS(Responses!$B$2:$B$4001,$A24)</f>
        <v>20</v>
      </c>
      <c r="G24" s="3" t="n">
        <f aca="false">I24+L24+O24</f>
        <v>14</v>
      </c>
      <c r="H24" s="3" t="n">
        <f aca="false">J24+M24+P24</f>
        <v>6</v>
      </c>
      <c r="I24" s="3" t="n">
        <f aca="false">COUNTIFS(Responses!$B$2:$B$4001,$A24,Responses!$K$2:$K$4001,"High",Responses!$I$2:$I$4001,"Correct")</f>
        <v>3</v>
      </c>
      <c r="J24" s="3" t="n">
        <f aca="false">COUNTIFS(Responses!$B$2:$B$4001,$A24,Responses!$K$2:$K$4001,"High",Responses!$I$2:$I$4001,"Wrong")</f>
        <v>2</v>
      </c>
      <c r="K24" s="2" t="n">
        <f aca="false">ROUND(SUMIFS(Responses!$J$2:$J$4001,Responses!$B$2:$B$4001,$A24,Responses!$K$2:$K$4001,"High"),2)</f>
        <v>9.17</v>
      </c>
      <c r="L24" s="3" t="n">
        <f aca="false">COUNTIFS(Responses!$B$2:$B$4001,$A24,Responses!$K$2:$K$4001,"Medium",Responses!$I$2:$I$4001,"Correct")</f>
        <v>3</v>
      </c>
      <c r="M24" s="3" t="n">
        <f aca="false">COUNTIFS(Responses!$B$2:$B$4001,$A24,Responses!$K$2:$K$4001,"Medium",Responses!$I$2:$I$4001,"Wrong")</f>
        <v>3</v>
      </c>
      <c r="N24" s="2" t="n">
        <f aca="false">ROUND(SUMIFS(Responses!$J$2:$J$4001,Responses!$B$2:$B$4001,$A24,Responses!$K$2:$K$4001,"Medium"),2)</f>
        <v>10.64</v>
      </c>
      <c r="O24" s="3" t="n">
        <f aca="false">COUNTIFS(Responses!$B$2:$B$4001,$A24,Responses!$K$2:$K$4001,"Low",Responses!$I$2:$I$4001,"Correct")</f>
        <v>8</v>
      </c>
      <c r="P24" s="3" t="n">
        <f aca="false">COUNTIFS(Responses!$B$2:$B$4001,$A24,Responses!$K$2:$K$4001,"Low",Responses!$I$2:$I$4001,"Wrong")</f>
        <v>1</v>
      </c>
      <c r="Q24" s="2" t="n">
        <f aca="false">ROUND(SUMIFS(Responses!$J$2:$J$4001,Responses!$B$2:$B$4001,$A24,Responses!$K$2:$K$4001,"Low"),2)</f>
        <v>13.07</v>
      </c>
      <c r="R24" s="2" t="n">
        <f aca="false">ROUND(SUMIFS(Responses!$AB$2:$AB$4001,Responses!$B$2:$B$4001,$A24),2)</f>
        <v>26.58</v>
      </c>
      <c r="S24" s="0" t="str">
        <f aca="false">IF(R24&gt;='Reward Model'!$B$8,"Gold",IF(R24&gt;='Reward Model'!$B$9,"Silver","Bronze"))</f>
        <v>Silver</v>
      </c>
      <c r="T24" s="2" t="n">
        <f aca="false">ROUND(R24/'Reward Model'!$B$7*100,2)</f>
        <v>64.83</v>
      </c>
    </row>
    <row r="25" customFormat="false" ht="15" hidden="false" customHeight="false" outlineLevel="0" collapsed="false">
      <c r="A25" s="0" t="s">
        <v>173</v>
      </c>
      <c r="B25" s="0" t="s">
        <v>30</v>
      </c>
      <c r="C25" s="0" t="s">
        <v>31</v>
      </c>
      <c r="D25" s="0" t="n">
        <f aca="false">F25</f>
        <v>20</v>
      </c>
      <c r="E25" s="2" t="n">
        <f aca="false">ROUND(K25+N25+Q25,2)</f>
        <v>32.75</v>
      </c>
      <c r="F25" s="3" t="n">
        <f aca="false">COUNTIFS(Responses!$B$2:$B$4001,$A25)</f>
        <v>20</v>
      </c>
      <c r="G25" s="3" t="n">
        <f aca="false">I25+L25+O25</f>
        <v>15</v>
      </c>
      <c r="H25" s="3" t="n">
        <f aca="false">J25+M25+P25</f>
        <v>5</v>
      </c>
      <c r="I25" s="3" t="n">
        <f aca="false">COUNTIFS(Responses!$B$2:$B$4001,$A25,Responses!$K$2:$K$4001,"High",Responses!$I$2:$I$4001,"Correct")</f>
        <v>4</v>
      </c>
      <c r="J25" s="3" t="n">
        <f aca="false">COUNTIFS(Responses!$B$2:$B$4001,$A25,Responses!$K$2:$K$4001,"High",Responses!$I$2:$I$4001,"Wrong")</f>
        <v>1</v>
      </c>
      <c r="K25" s="2" t="n">
        <f aca="false">ROUND(SUMIFS(Responses!$J$2:$J$4001,Responses!$B$2:$B$4001,$A25,Responses!$K$2:$K$4001,"High"),2)</f>
        <v>9.08</v>
      </c>
      <c r="L25" s="3" t="n">
        <f aca="false">COUNTIFS(Responses!$B$2:$B$4001,$A25,Responses!$K$2:$K$4001,"Medium",Responses!$I$2:$I$4001,"Correct")</f>
        <v>3</v>
      </c>
      <c r="M25" s="3" t="n">
        <f aca="false">COUNTIFS(Responses!$B$2:$B$4001,$A25,Responses!$K$2:$K$4001,"Medium",Responses!$I$2:$I$4001,"Wrong")</f>
        <v>3</v>
      </c>
      <c r="N25" s="2" t="n">
        <f aca="false">ROUND(SUMIFS(Responses!$J$2:$J$4001,Responses!$B$2:$B$4001,$A25,Responses!$K$2:$K$4001,"Medium"),2)</f>
        <v>10.53</v>
      </c>
      <c r="O25" s="3" t="n">
        <f aca="false">COUNTIFS(Responses!$B$2:$B$4001,$A25,Responses!$K$2:$K$4001,"Low",Responses!$I$2:$I$4001,"Correct")</f>
        <v>8</v>
      </c>
      <c r="P25" s="3" t="n">
        <f aca="false">COUNTIFS(Responses!$B$2:$B$4001,$A25,Responses!$K$2:$K$4001,"Low",Responses!$I$2:$I$4001,"Wrong")</f>
        <v>1</v>
      </c>
      <c r="Q25" s="2" t="n">
        <f aca="false">ROUND(SUMIFS(Responses!$J$2:$J$4001,Responses!$B$2:$B$4001,$A25,Responses!$K$2:$K$4001,"Low"),2)</f>
        <v>13.14</v>
      </c>
      <c r="R25" s="2" t="n">
        <f aca="false">ROUND(SUMIFS(Responses!$AB$2:$AB$4001,Responses!$B$2:$B$4001,$A25),2)</f>
        <v>28.88</v>
      </c>
      <c r="S25" s="0" t="str">
        <f aca="false">IF(R25&gt;='Reward Model'!$B$8,"Gold",IF(R25&gt;='Reward Model'!$B$9,"Silver","Bronze"))</f>
        <v>Gold</v>
      </c>
      <c r="T25" s="2" t="n">
        <f aca="false">ROUND(R25/'Reward Model'!$B$7*100,2)</f>
        <v>70.44</v>
      </c>
    </row>
    <row r="26" customFormat="false" ht="15" hidden="false" customHeight="false" outlineLevel="0" collapsed="false">
      <c r="A26" s="0" t="s">
        <v>176</v>
      </c>
      <c r="B26" s="0" t="s">
        <v>30</v>
      </c>
      <c r="C26" s="0" t="s">
        <v>31</v>
      </c>
      <c r="D26" s="0" t="n">
        <f aca="false">F26</f>
        <v>20</v>
      </c>
      <c r="E26" s="2" t="n">
        <f aca="false">ROUND(K26+N26+Q26,2)</f>
        <v>28.81</v>
      </c>
      <c r="F26" s="3" t="n">
        <f aca="false">COUNTIFS(Responses!$B$2:$B$4001,$A26)</f>
        <v>20</v>
      </c>
      <c r="G26" s="3" t="n">
        <f aca="false">I26+L26+O26</f>
        <v>14</v>
      </c>
      <c r="H26" s="3" t="n">
        <f aca="false">J26+M26+P26</f>
        <v>6</v>
      </c>
      <c r="I26" s="3" t="n">
        <f aca="false">COUNTIFS(Responses!$B$2:$B$4001,$A26,Responses!$K$2:$K$4001,"High",Responses!$I$2:$I$4001,"Correct")</f>
        <v>2</v>
      </c>
      <c r="J26" s="3" t="n">
        <f aca="false">COUNTIFS(Responses!$B$2:$B$4001,$A26,Responses!$K$2:$K$4001,"High",Responses!$I$2:$I$4001,"Wrong")</f>
        <v>3</v>
      </c>
      <c r="K26" s="2" t="n">
        <f aca="false">ROUND(SUMIFS(Responses!$J$2:$J$4001,Responses!$B$2:$B$4001,$A26,Responses!$K$2:$K$4001,"High"),2)</f>
        <v>7.97</v>
      </c>
      <c r="L26" s="3" t="n">
        <f aca="false">COUNTIFS(Responses!$B$2:$B$4001,$A26,Responses!$K$2:$K$4001,"Medium",Responses!$I$2:$I$4001,"Correct")</f>
        <v>5</v>
      </c>
      <c r="M26" s="3" t="n">
        <f aca="false">COUNTIFS(Responses!$B$2:$B$4001,$A26,Responses!$K$2:$K$4001,"Medium",Responses!$I$2:$I$4001,"Wrong")</f>
        <v>1</v>
      </c>
      <c r="N26" s="2" t="n">
        <f aca="false">ROUND(SUMIFS(Responses!$J$2:$J$4001,Responses!$B$2:$B$4001,$A26,Responses!$K$2:$K$4001,"Medium"),2)</f>
        <v>9.05</v>
      </c>
      <c r="O26" s="3" t="n">
        <f aca="false">COUNTIFS(Responses!$B$2:$B$4001,$A26,Responses!$K$2:$K$4001,"Low",Responses!$I$2:$I$4001,"Correct")</f>
        <v>7</v>
      </c>
      <c r="P26" s="3" t="n">
        <f aca="false">COUNTIFS(Responses!$B$2:$B$4001,$A26,Responses!$K$2:$K$4001,"Low",Responses!$I$2:$I$4001,"Wrong")</f>
        <v>2</v>
      </c>
      <c r="Q26" s="2" t="n">
        <f aca="false">ROUND(SUMIFS(Responses!$J$2:$J$4001,Responses!$B$2:$B$4001,$A26,Responses!$K$2:$K$4001,"Low"),2)</f>
        <v>11.79</v>
      </c>
      <c r="R26" s="2" t="n">
        <f aca="false">ROUND(SUMIFS(Responses!$AB$2:$AB$4001,Responses!$B$2:$B$4001,$A26),2)</f>
        <v>25.8</v>
      </c>
      <c r="S26" s="0" t="str">
        <f aca="false">IF(R26&gt;='Reward Model'!$B$8,"Gold",IF(R26&gt;='Reward Model'!$B$9,"Silver","Bronze"))</f>
        <v>Silver</v>
      </c>
      <c r="T26" s="2" t="n">
        <f aca="false">ROUND(R26/'Reward Model'!$B$7*100,2)</f>
        <v>62.93</v>
      </c>
    </row>
    <row r="27" customFormat="false" ht="15" hidden="false" customHeight="false" outlineLevel="0" collapsed="false">
      <c r="A27" s="0" t="s">
        <v>178</v>
      </c>
      <c r="B27" s="0" t="s">
        <v>30</v>
      </c>
      <c r="C27" s="0" t="s">
        <v>31</v>
      </c>
      <c r="D27" s="0" t="n">
        <f aca="false">F27</f>
        <v>20</v>
      </c>
      <c r="E27" s="2" t="n">
        <f aca="false">ROUND(K27+N27+Q27,2)</f>
        <v>32.03</v>
      </c>
      <c r="F27" s="3" t="n">
        <f aca="false">COUNTIFS(Responses!$B$2:$B$4001,$A27)</f>
        <v>20</v>
      </c>
      <c r="G27" s="3" t="n">
        <f aca="false">I27+L27+O27</f>
        <v>13</v>
      </c>
      <c r="H27" s="3" t="n">
        <f aca="false">J27+M27+P27</f>
        <v>7</v>
      </c>
      <c r="I27" s="3" t="n">
        <f aca="false">COUNTIFS(Responses!$B$2:$B$4001,$A27,Responses!$K$2:$K$4001,"High",Responses!$I$2:$I$4001,"Correct")</f>
        <v>1</v>
      </c>
      <c r="J27" s="3" t="n">
        <f aca="false">COUNTIFS(Responses!$B$2:$B$4001,$A27,Responses!$K$2:$K$4001,"High",Responses!$I$2:$I$4001,"Wrong")</f>
        <v>4</v>
      </c>
      <c r="K27" s="2" t="n">
        <f aca="false">ROUND(SUMIFS(Responses!$J$2:$J$4001,Responses!$B$2:$B$4001,$A27,Responses!$K$2:$K$4001,"High"),2)</f>
        <v>8.24</v>
      </c>
      <c r="L27" s="3" t="n">
        <f aca="false">COUNTIFS(Responses!$B$2:$B$4001,$A27,Responses!$K$2:$K$4001,"Medium",Responses!$I$2:$I$4001,"Correct")</f>
        <v>4</v>
      </c>
      <c r="M27" s="3" t="n">
        <f aca="false">COUNTIFS(Responses!$B$2:$B$4001,$A27,Responses!$K$2:$K$4001,"Medium",Responses!$I$2:$I$4001,"Wrong")</f>
        <v>2</v>
      </c>
      <c r="N27" s="2" t="n">
        <f aca="false">ROUND(SUMIFS(Responses!$J$2:$J$4001,Responses!$B$2:$B$4001,$A27,Responses!$K$2:$K$4001,"Medium"),2)</f>
        <v>9.57</v>
      </c>
      <c r="O27" s="3" t="n">
        <f aca="false">COUNTIFS(Responses!$B$2:$B$4001,$A27,Responses!$K$2:$K$4001,"Low",Responses!$I$2:$I$4001,"Correct")</f>
        <v>8</v>
      </c>
      <c r="P27" s="3" t="n">
        <f aca="false">COUNTIFS(Responses!$B$2:$B$4001,$A27,Responses!$K$2:$K$4001,"Low",Responses!$I$2:$I$4001,"Wrong")</f>
        <v>1</v>
      </c>
      <c r="Q27" s="2" t="n">
        <f aca="false">ROUND(SUMIFS(Responses!$J$2:$J$4001,Responses!$B$2:$B$4001,$A27,Responses!$K$2:$K$4001,"Low"),2)</f>
        <v>14.22</v>
      </c>
      <c r="R27" s="2" t="n">
        <f aca="false">ROUND(SUMIFS(Responses!$AB$2:$AB$4001,Responses!$B$2:$B$4001,$A27),2)</f>
        <v>21.6</v>
      </c>
      <c r="S27" s="0" t="str">
        <f aca="false">IF(R27&gt;='Reward Model'!$B$8,"Gold",IF(R27&gt;='Reward Model'!$B$9,"Silver","Bronze"))</f>
        <v>Silver</v>
      </c>
      <c r="T27" s="2" t="n">
        <f aca="false">ROUND(R27/'Reward Model'!$B$7*100,2)</f>
        <v>52.68</v>
      </c>
    </row>
    <row r="28" customFormat="false" ht="15" hidden="false" customHeight="false" outlineLevel="0" collapsed="false">
      <c r="A28" s="0" t="s">
        <v>180</v>
      </c>
      <c r="B28" s="0" t="s">
        <v>30</v>
      </c>
      <c r="C28" s="0" t="s">
        <v>31</v>
      </c>
      <c r="D28" s="0" t="n">
        <f aca="false">F28</f>
        <v>20</v>
      </c>
      <c r="E28" s="2" t="n">
        <f aca="false">ROUND(K28+N28+Q28,2)</f>
        <v>32.73</v>
      </c>
      <c r="F28" s="3" t="n">
        <f aca="false">COUNTIFS(Responses!$B$2:$B$4001,$A28)</f>
        <v>20</v>
      </c>
      <c r="G28" s="3" t="n">
        <f aca="false">I28+L28+O28</f>
        <v>16</v>
      </c>
      <c r="H28" s="3" t="n">
        <f aca="false">J28+M28+P28</f>
        <v>4</v>
      </c>
      <c r="I28" s="3" t="n">
        <f aca="false">COUNTIFS(Responses!$B$2:$B$4001,$A28,Responses!$K$2:$K$4001,"High",Responses!$I$2:$I$4001,"Correct")</f>
        <v>3</v>
      </c>
      <c r="J28" s="3" t="n">
        <f aca="false">COUNTIFS(Responses!$B$2:$B$4001,$A28,Responses!$K$2:$K$4001,"High",Responses!$I$2:$I$4001,"Wrong")</f>
        <v>2</v>
      </c>
      <c r="K28" s="2" t="n">
        <f aca="false">ROUND(SUMIFS(Responses!$J$2:$J$4001,Responses!$B$2:$B$4001,$A28,Responses!$K$2:$K$4001,"High"),2)</f>
        <v>9.67</v>
      </c>
      <c r="L28" s="3" t="n">
        <f aca="false">COUNTIFS(Responses!$B$2:$B$4001,$A28,Responses!$K$2:$K$4001,"Medium",Responses!$I$2:$I$4001,"Correct")</f>
        <v>5</v>
      </c>
      <c r="M28" s="3" t="n">
        <f aca="false">COUNTIFS(Responses!$B$2:$B$4001,$A28,Responses!$K$2:$K$4001,"Medium",Responses!$I$2:$I$4001,"Wrong")</f>
        <v>1</v>
      </c>
      <c r="N28" s="2" t="n">
        <f aca="false">ROUND(SUMIFS(Responses!$J$2:$J$4001,Responses!$B$2:$B$4001,$A28,Responses!$K$2:$K$4001,"Medium"),2)</f>
        <v>9.91</v>
      </c>
      <c r="O28" s="3" t="n">
        <f aca="false">COUNTIFS(Responses!$B$2:$B$4001,$A28,Responses!$K$2:$K$4001,"Low",Responses!$I$2:$I$4001,"Correct")</f>
        <v>8</v>
      </c>
      <c r="P28" s="3" t="n">
        <f aca="false">COUNTIFS(Responses!$B$2:$B$4001,$A28,Responses!$K$2:$K$4001,"Low",Responses!$I$2:$I$4001,"Wrong")</f>
        <v>1</v>
      </c>
      <c r="Q28" s="2" t="n">
        <f aca="false">ROUND(SUMIFS(Responses!$J$2:$J$4001,Responses!$B$2:$B$4001,$A28,Responses!$K$2:$K$4001,"Low"),2)</f>
        <v>13.15</v>
      </c>
      <c r="R28" s="2" t="n">
        <f aca="false">ROUND(SUMIFS(Responses!$AB$2:$AB$4001,Responses!$B$2:$B$4001,$A28),2)</f>
        <v>29.92</v>
      </c>
      <c r="S28" s="0" t="str">
        <f aca="false">IF(R28&gt;='Reward Model'!$B$8,"Gold",IF(R28&gt;='Reward Model'!$B$9,"Silver","Bronze"))</f>
        <v>Gold</v>
      </c>
      <c r="T28" s="2" t="n">
        <f aca="false">ROUND(R28/'Reward Model'!$B$7*100,2)</f>
        <v>72.98</v>
      </c>
    </row>
    <row r="29" customFormat="false" ht="15" hidden="false" customHeight="false" outlineLevel="0" collapsed="false">
      <c r="A29" s="0" t="s">
        <v>182</v>
      </c>
      <c r="B29" s="0" t="s">
        <v>30</v>
      </c>
      <c r="C29" s="0" t="s">
        <v>31</v>
      </c>
      <c r="D29" s="0" t="n">
        <f aca="false">F29</f>
        <v>20</v>
      </c>
      <c r="E29" s="2" t="n">
        <f aca="false">ROUND(K29+N29+Q29,2)</f>
        <v>34.58</v>
      </c>
      <c r="F29" s="3" t="n">
        <f aca="false">COUNTIFS(Responses!$B$2:$B$4001,$A29)</f>
        <v>20</v>
      </c>
      <c r="G29" s="3" t="n">
        <f aca="false">I29+L29+O29</f>
        <v>13</v>
      </c>
      <c r="H29" s="3" t="n">
        <f aca="false">J29+M29+P29</f>
        <v>7</v>
      </c>
      <c r="I29" s="3" t="n">
        <f aca="false">COUNTIFS(Responses!$B$2:$B$4001,$A29,Responses!$K$2:$K$4001,"High",Responses!$I$2:$I$4001,"Correct")</f>
        <v>1</v>
      </c>
      <c r="J29" s="3" t="n">
        <f aca="false">COUNTIFS(Responses!$B$2:$B$4001,$A29,Responses!$K$2:$K$4001,"High",Responses!$I$2:$I$4001,"Wrong")</f>
        <v>4</v>
      </c>
      <c r="K29" s="2" t="n">
        <f aca="false">ROUND(SUMIFS(Responses!$J$2:$J$4001,Responses!$B$2:$B$4001,$A29,Responses!$K$2:$K$4001,"High"),2)</f>
        <v>9.87</v>
      </c>
      <c r="L29" s="3" t="n">
        <f aca="false">COUNTIFS(Responses!$B$2:$B$4001,$A29,Responses!$K$2:$K$4001,"Medium",Responses!$I$2:$I$4001,"Correct")</f>
        <v>5</v>
      </c>
      <c r="M29" s="3" t="n">
        <f aca="false">COUNTIFS(Responses!$B$2:$B$4001,$A29,Responses!$K$2:$K$4001,"Medium",Responses!$I$2:$I$4001,"Wrong")</f>
        <v>1</v>
      </c>
      <c r="N29" s="2" t="n">
        <f aca="false">ROUND(SUMIFS(Responses!$J$2:$J$4001,Responses!$B$2:$B$4001,$A29,Responses!$K$2:$K$4001,"Medium"),2)</f>
        <v>10.53</v>
      </c>
      <c r="O29" s="3" t="n">
        <f aca="false">COUNTIFS(Responses!$B$2:$B$4001,$A29,Responses!$K$2:$K$4001,"Low",Responses!$I$2:$I$4001,"Correct")</f>
        <v>7</v>
      </c>
      <c r="P29" s="3" t="n">
        <f aca="false">COUNTIFS(Responses!$B$2:$B$4001,$A29,Responses!$K$2:$K$4001,"Low",Responses!$I$2:$I$4001,"Wrong")</f>
        <v>2</v>
      </c>
      <c r="Q29" s="2" t="n">
        <f aca="false">ROUND(SUMIFS(Responses!$J$2:$J$4001,Responses!$B$2:$B$4001,$A29,Responses!$K$2:$K$4001,"Low"),2)</f>
        <v>14.18</v>
      </c>
      <c r="R29" s="2" t="n">
        <f aca="false">ROUND(SUMIFS(Responses!$AB$2:$AB$4001,Responses!$B$2:$B$4001,$A29),2)</f>
        <v>22.44</v>
      </c>
      <c r="S29" s="0" t="str">
        <f aca="false">IF(R29&gt;='Reward Model'!$B$8,"Gold",IF(R29&gt;='Reward Model'!$B$9,"Silver","Bronze"))</f>
        <v>Silver</v>
      </c>
      <c r="T29" s="2" t="n">
        <f aca="false">ROUND(R29/'Reward Model'!$B$7*100,2)</f>
        <v>54.73</v>
      </c>
    </row>
    <row r="30" customFormat="false" ht="15" hidden="false" customHeight="false" outlineLevel="0" collapsed="false">
      <c r="A30" s="0" t="s">
        <v>184</v>
      </c>
      <c r="B30" s="0" t="s">
        <v>30</v>
      </c>
      <c r="C30" s="0" t="s">
        <v>31</v>
      </c>
      <c r="D30" s="0" t="n">
        <f aca="false">F30</f>
        <v>20</v>
      </c>
      <c r="E30" s="2" t="n">
        <f aca="false">ROUND(K30+N30+Q30,2)</f>
        <v>28.13</v>
      </c>
      <c r="F30" s="3" t="n">
        <f aca="false">COUNTIFS(Responses!$B$2:$B$4001,$A30)</f>
        <v>20</v>
      </c>
      <c r="G30" s="3" t="n">
        <f aca="false">I30+L30+O30</f>
        <v>16</v>
      </c>
      <c r="H30" s="3" t="n">
        <f aca="false">J30+M30+P30</f>
        <v>4</v>
      </c>
      <c r="I30" s="3" t="n">
        <f aca="false">COUNTIFS(Responses!$B$2:$B$4001,$A30,Responses!$K$2:$K$4001,"High",Responses!$I$2:$I$4001,"Correct")</f>
        <v>3</v>
      </c>
      <c r="J30" s="3" t="n">
        <f aca="false">COUNTIFS(Responses!$B$2:$B$4001,$A30,Responses!$K$2:$K$4001,"High",Responses!$I$2:$I$4001,"Wrong")</f>
        <v>2</v>
      </c>
      <c r="K30" s="2" t="n">
        <f aca="false">ROUND(SUMIFS(Responses!$J$2:$J$4001,Responses!$B$2:$B$4001,$A30,Responses!$K$2:$K$4001,"High"),2)</f>
        <v>8.06</v>
      </c>
      <c r="L30" s="3" t="n">
        <f aca="false">COUNTIFS(Responses!$B$2:$B$4001,$A30,Responses!$K$2:$K$4001,"Medium",Responses!$I$2:$I$4001,"Correct")</f>
        <v>5</v>
      </c>
      <c r="M30" s="3" t="n">
        <f aca="false">COUNTIFS(Responses!$B$2:$B$4001,$A30,Responses!$K$2:$K$4001,"Medium",Responses!$I$2:$I$4001,"Wrong")</f>
        <v>1</v>
      </c>
      <c r="N30" s="2" t="n">
        <f aca="false">ROUND(SUMIFS(Responses!$J$2:$J$4001,Responses!$B$2:$B$4001,$A30,Responses!$K$2:$K$4001,"Medium"),2)</f>
        <v>8.01</v>
      </c>
      <c r="O30" s="3" t="n">
        <f aca="false">COUNTIFS(Responses!$B$2:$B$4001,$A30,Responses!$K$2:$K$4001,"Low",Responses!$I$2:$I$4001,"Correct")</f>
        <v>8</v>
      </c>
      <c r="P30" s="3" t="n">
        <f aca="false">COUNTIFS(Responses!$B$2:$B$4001,$A30,Responses!$K$2:$K$4001,"Low",Responses!$I$2:$I$4001,"Wrong")</f>
        <v>1</v>
      </c>
      <c r="Q30" s="2" t="n">
        <f aca="false">ROUND(SUMIFS(Responses!$J$2:$J$4001,Responses!$B$2:$B$4001,$A30,Responses!$K$2:$K$4001,"Low"),2)</f>
        <v>12.06</v>
      </c>
      <c r="R30" s="2" t="n">
        <f aca="false">ROUND(SUMIFS(Responses!$AB$2:$AB$4001,Responses!$B$2:$B$4001,$A30),2)</f>
        <v>30.45</v>
      </c>
      <c r="S30" s="0" t="str">
        <f aca="false">IF(R30&gt;='Reward Model'!$B$8,"Gold",IF(R30&gt;='Reward Model'!$B$9,"Silver","Bronze"))</f>
        <v>Gold</v>
      </c>
      <c r="T30" s="2" t="n">
        <f aca="false">ROUND(R30/'Reward Model'!$B$7*100,2)</f>
        <v>74.27</v>
      </c>
    </row>
    <row r="31" customFormat="false" ht="15" hidden="false" customHeight="false" outlineLevel="0" collapsed="false">
      <c r="A31" s="0" t="s">
        <v>186</v>
      </c>
      <c r="B31" s="0" t="s">
        <v>30</v>
      </c>
      <c r="C31" s="0" t="s">
        <v>31</v>
      </c>
      <c r="D31" s="0" t="n">
        <f aca="false">F31</f>
        <v>20</v>
      </c>
      <c r="E31" s="2" t="n">
        <f aca="false">ROUND(K31+N31+Q31,2)</f>
        <v>28.82</v>
      </c>
      <c r="F31" s="3" t="n">
        <f aca="false">COUNTIFS(Responses!$B$2:$B$4001,$A31)</f>
        <v>20</v>
      </c>
      <c r="G31" s="3" t="n">
        <f aca="false">I31+L31+O31</f>
        <v>13</v>
      </c>
      <c r="H31" s="3" t="n">
        <f aca="false">J31+M31+P31</f>
        <v>7</v>
      </c>
      <c r="I31" s="3" t="n">
        <f aca="false">COUNTIFS(Responses!$B$2:$B$4001,$A31,Responses!$K$2:$K$4001,"High",Responses!$I$2:$I$4001,"Correct")</f>
        <v>2</v>
      </c>
      <c r="J31" s="3" t="n">
        <f aca="false">COUNTIFS(Responses!$B$2:$B$4001,$A31,Responses!$K$2:$K$4001,"High",Responses!$I$2:$I$4001,"Wrong")</f>
        <v>3</v>
      </c>
      <c r="K31" s="2" t="n">
        <f aca="false">ROUND(SUMIFS(Responses!$J$2:$J$4001,Responses!$B$2:$B$4001,$A31,Responses!$K$2:$K$4001,"High"),2)</f>
        <v>8.96</v>
      </c>
      <c r="L31" s="3" t="n">
        <f aca="false">COUNTIFS(Responses!$B$2:$B$4001,$A31,Responses!$K$2:$K$4001,"Medium",Responses!$I$2:$I$4001,"Correct")</f>
        <v>3</v>
      </c>
      <c r="M31" s="3" t="n">
        <f aca="false">COUNTIFS(Responses!$B$2:$B$4001,$A31,Responses!$K$2:$K$4001,"Medium",Responses!$I$2:$I$4001,"Wrong")</f>
        <v>3</v>
      </c>
      <c r="N31" s="2" t="n">
        <f aca="false">ROUND(SUMIFS(Responses!$J$2:$J$4001,Responses!$B$2:$B$4001,$A31,Responses!$K$2:$K$4001,"Medium"),2)</f>
        <v>8.95</v>
      </c>
      <c r="O31" s="3" t="n">
        <f aca="false">COUNTIFS(Responses!$B$2:$B$4001,$A31,Responses!$K$2:$K$4001,"Low",Responses!$I$2:$I$4001,"Correct")</f>
        <v>8</v>
      </c>
      <c r="P31" s="3" t="n">
        <f aca="false">COUNTIFS(Responses!$B$2:$B$4001,$A31,Responses!$K$2:$K$4001,"Low",Responses!$I$2:$I$4001,"Wrong")</f>
        <v>1</v>
      </c>
      <c r="Q31" s="2" t="n">
        <f aca="false">ROUND(SUMIFS(Responses!$J$2:$J$4001,Responses!$B$2:$B$4001,$A31,Responses!$K$2:$K$4001,"Low"),2)</f>
        <v>10.91</v>
      </c>
      <c r="R31" s="2" t="n">
        <f aca="false">ROUND(SUMIFS(Responses!$AB$2:$AB$4001,Responses!$B$2:$B$4001,$A31),2)</f>
        <v>24.16</v>
      </c>
      <c r="S31" s="0" t="str">
        <f aca="false">IF(R31&gt;='Reward Model'!$B$8,"Gold",IF(R31&gt;='Reward Model'!$B$9,"Silver","Bronze"))</f>
        <v>Silver</v>
      </c>
      <c r="T31" s="2" t="n">
        <f aca="false">ROUND(R31/'Reward Model'!$B$7*100,2)</f>
        <v>58.93</v>
      </c>
    </row>
    <row r="32" customFormat="false" ht="15" hidden="false" customHeight="false" outlineLevel="0" collapsed="false">
      <c r="A32" s="0" t="s">
        <v>188</v>
      </c>
      <c r="B32" s="0" t="s">
        <v>30</v>
      </c>
      <c r="C32" s="0" t="s">
        <v>189</v>
      </c>
      <c r="D32" s="0" t="n">
        <f aca="false">F32</f>
        <v>20</v>
      </c>
      <c r="E32" s="2" t="n">
        <f aca="false">ROUND(K32+N32+Q32,2)</f>
        <v>31.41</v>
      </c>
      <c r="F32" s="3" t="n">
        <f aca="false">COUNTIFS(Responses!$B$2:$B$4001,$A32)</f>
        <v>20</v>
      </c>
      <c r="G32" s="3" t="n">
        <f aca="false">I32+L32+O32</f>
        <v>14</v>
      </c>
      <c r="H32" s="3" t="n">
        <f aca="false">J32+M32+P32</f>
        <v>6</v>
      </c>
      <c r="I32" s="3" t="n">
        <f aca="false">COUNTIFS(Responses!$B$2:$B$4001,$A32,Responses!$K$2:$K$4001,"High",Responses!$I$2:$I$4001,"Correct")</f>
        <v>3</v>
      </c>
      <c r="J32" s="3" t="n">
        <f aca="false">COUNTIFS(Responses!$B$2:$B$4001,$A32,Responses!$K$2:$K$4001,"High",Responses!$I$2:$I$4001,"Wrong")</f>
        <v>2</v>
      </c>
      <c r="K32" s="2" t="n">
        <f aca="false">ROUND(SUMIFS(Responses!$J$2:$J$4001,Responses!$B$2:$B$4001,$A32,Responses!$K$2:$K$4001,"High"),2)</f>
        <v>9.14</v>
      </c>
      <c r="L32" s="3" t="n">
        <f aca="false">COUNTIFS(Responses!$B$2:$B$4001,$A32,Responses!$K$2:$K$4001,"Medium",Responses!$I$2:$I$4001,"Correct")</f>
        <v>3</v>
      </c>
      <c r="M32" s="3" t="n">
        <f aca="false">COUNTIFS(Responses!$B$2:$B$4001,$A32,Responses!$K$2:$K$4001,"Medium",Responses!$I$2:$I$4001,"Wrong")</f>
        <v>3</v>
      </c>
      <c r="N32" s="2" t="n">
        <f aca="false">ROUND(SUMIFS(Responses!$J$2:$J$4001,Responses!$B$2:$B$4001,$A32,Responses!$K$2:$K$4001,"Medium"),2)</f>
        <v>10.06</v>
      </c>
      <c r="O32" s="3" t="n">
        <f aca="false">COUNTIFS(Responses!$B$2:$B$4001,$A32,Responses!$K$2:$K$4001,"Low",Responses!$I$2:$I$4001,"Correct")</f>
        <v>8</v>
      </c>
      <c r="P32" s="3" t="n">
        <f aca="false">COUNTIFS(Responses!$B$2:$B$4001,$A32,Responses!$K$2:$K$4001,"Low",Responses!$I$2:$I$4001,"Wrong")</f>
        <v>1</v>
      </c>
      <c r="Q32" s="2" t="n">
        <f aca="false">ROUND(SUMIFS(Responses!$J$2:$J$4001,Responses!$B$2:$B$4001,$A32,Responses!$K$2:$K$4001,"Low"),2)</f>
        <v>12.21</v>
      </c>
      <c r="R32" s="2" t="n">
        <f aca="false">ROUND(SUMIFS(Responses!$AB$2:$AB$4001,Responses!$B$2:$B$4001,$A32),2)</f>
        <v>26.28</v>
      </c>
      <c r="S32" s="0" t="str">
        <f aca="false">IF(R32&gt;='Reward Model'!$B$8,"Gold",IF(R32&gt;='Reward Model'!$B$9,"Silver","Bronze"))</f>
        <v>Silver</v>
      </c>
      <c r="T32" s="2" t="n">
        <f aca="false">ROUND(R32/'Reward Model'!$B$7*100,2)</f>
        <v>64.1</v>
      </c>
    </row>
    <row r="33" customFormat="false" ht="15" hidden="false" customHeight="false" outlineLevel="0" collapsed="false">
      <c r="A33" s="0" t="s">
        <v>192</v>
      </c>
      <c r="B33" s="0" t="s">
        <v>30</v>
      </c>
      <c r="C33" s="0" t="s">
        <v>189</v>
      </c>
      <c r="D33" s="0" t="n">
        <f aca="false">F33</f>
        <v>20</v>
      </c>
      <c r="E33" s="2" t="n">
        <f aca="false">ROUND(K33+N33+Q33,2)</f>
        <v>34.11</v>
      </c>
      <c r="F33" s="3" t="n">
        <f aca="false">COUNTIFS(Responses!$B$2:$B$4001,$A33)</f>
        <v>20</v>
      </c>
      <c r="G33" s="3" t="n">
        <f aca="false">I33+L33+O33</f>
        <v>10</v>
      </c>
      <c r="H33" s="3" t="n">
        <f aca="false">J33+M33+P33</f>
        <v>10</v>
      </c>
      <c r="I33" s="3" t="n">
        <f aca="false">COUNTIFS(Responses!$B$2:$B$4001,$A33,Responses!$K$2:$K$4001,"High",Responses!$I$2:$I$4001,"Correct")</f>
        <v>2</v>
      </c>
      <c r="J33" s="3" t="n">
        <f aca="false">COUNTIFS(Responses!$B$2:$B$4001,$A33,Responses!$K$2:$K$4001,"High",Responses!$I$2:$I$4001,"Wrong")</f>
        <v>3</v>
      </c>
      <c r="K33" s="2" t="n">
        <f aca="false">ROUND(SUMIFS(Responses!$J$2:$J$4001,Responses!$B$2:$B$4001,$A33,Responses!$K$2:$K$4001,"High"),2)</f>
        <v>8.55</v>
      </c>
      <c r="L33" s="3" t="n">
        <f aca="false">COUNTIFS(Responses!$B$2:$B$4001,$A33,Responses!$K$2:$K$4001,"Medium",Responses!$I$2:$I$4001,"Correct")</f>
        <v>2</v>
      </c>
      <c r="M33" s="3" t="n">
        <f aca="false">COUNTIFS(Responses!$B$2:$B$4001,$A33,Responses!$K$2:$K$4001,"Medium",Responses!$I$2:$I$4001,"Wrong")</f>
        <v>4</v>
      </c>
      <c r="N33" s="2" t="n">
        <f aca="false">ROUND(SUMIFS(Responses!$J$2:$J$4001,Responses!$B$2:$B$4001,$A33,Responses!$K$2:$K$4001,"Medium"),2)</f>
        <v>11.37</v>
      </c>
      <c r="O33" s="3" t="n">
        <f aca="false">COUNTIFS(Responses!$B$2:$B$4001,$A33,Responses!$K$2:$K$4001,"Low",Responses!$I$2:$I$4001,"Correct")</f>
        <v>6</v>
      </c>
      <c r="P33" s="3" t="n">
        <f aca="false">COUNTIFS(Responses!$B$2:$B$4001,$A33,Responses!$K$2:$K$4001,"Low",Responses!$I$2:$I$4001,"Wrong")</f>
        <v>3</v>
      </c>
      <c r="Q33" s="2" t="n">
        <f aca="false">ROUND(SUMIFS(Responses!$J$2:$J$4001,Responses!$B$2:$B$4001,$A33,Responses!$K$2:$K$4001,"Low"),2)</f>
        <v>14.19</v>
      </c>
      <c r="R33" s="2" t="n">
        <f aca="false">ROUND(SUMIFS(Responses!$AB$2:$AB$4001,Responses!$B$2:$B$4001,$A33),2)</f>
        <v>18.94</v>
      </c>
      <c r="S33" s="0" t="str">
        <f aca="false">IF(R33&gt;='Reward Model'!$B$8,"Gold",IF(R33&gt;='Reward Model'!$B$9,"Silver","Bronze"))</f>
        <v>Bronze</v>
      </c>
      <c r="T33" s="2" t="n">
        <f aca="false">ROUND(R33/'Reward Model'!$B$7*100,2)</f>
        <v>46.2</v>
      </c>
    </row>
    <row r="34" customFormat="false" ht="15" hidden="false" customHeight="false" outlineLevel="0" collapsed="false">
      <c r="A34" s="0" t="s">
        <v>194</v>
      </c>
      <c r="B34" s="0" t="s">
        <v>30</v>
      </c>
      <c r="C34" s="0" t="s">
        <v>189</v>
      </c>
      <c r="D34" s="0" t="n">
        <f aca="false">F34</f>
        <v>20</v>
      </c>
      <c r="E34" s="2" t="n">
        <f aca="false">ROUND(K34+N34+Q34,2)</f>
        <v>31.03</v>
      </c>
      <c r="F34" s="3" t="n">
        <f aca="false">COUNTIFS(Responses!$B$2:$B$4001,$A34)</f>
        <v>20</v>
      </c>
      <c r="G34" s="3" t="n">
        <f aca="false">I34+L34+O34</f>
        <v>13</v>
      </c>
      <c r="H34" s="3" t="n">
        <f aca="false">J34+M34+P34</f>
        <v>7</v>
      </c>
      <c r="I34" s="3" t="n">
        <f aca="false">COUNTIFS(Responses!$B$2:$B$4001,$A34,Responses!$K$2:$K$4001,"High",Responses!$I$2:$I$4001,"Correct")</f>
        <v>3</v>
      </c>
      <c r="J34" s="3" t="n">
        <f aca="false">COUNTIFS(Responses!$B$2:$B$4001,$A34,Responses!$K$2:$K$4001,"High",Responses!$I$2:$I$4001,"Wrong")</f>
        <v>2</v>
      </c>
      <c r="K34" s="2" t="n">
        <f aca="false">ROUND(SUMIFS(Responses!$J$2:$J$4001,Responses!$B$2:$B$4001,$A34,Responses!$K$2:$K$4001,"High"),2)</f>
        <v>8.87</v>
      </c>
      <c r="L34" s="3" t="n">
        <f aca="false">COUNTIFS(Responses!$B$2:$B$4001,$A34,Responses!$K$2:$K$4001,"Medium",Responses!$I$2:$I$4001,"Correct")</f>
        <v>3</v>
      </c>
      <c r="M34" s="3" t="n">
        <f aca="false">COUNTIFS(Responses!$B$2:$B$4001,$A34,Responses!$K$2:$K$4001,"Medium",Responses!$I$2:$I$4001,"Wrong")</f>
        <v>3</v>
      </c>
      <c r="N34" s="2" t="n">
        <f aca="false">ROUND(SUMIFS(Responses!$J$2:$J$4001,Responses!$B$2:$B$4001,$A34,Responses!$K$2:$K$4001,"Medium"),2)</f>
        <v>10.73</v>
      </c>
      <c r="O34" s="3" t="n">
        <f aca="false">COUNTIFS(Responses!$B$2:$B$4001,$A34,Responses!$K$2:$K$4001,"Low",Responses!$I$2:$I$4001,"Correct")</f>
        <v>7</v>
      </c>
      <c r="P34" s="3" t="n">
        <f aca="false">COUNTIFS(Responses!$B$2:$B$4001,$A34,Responses!$K$2:$K$4001,"Low",Responses!$I$2:$I$4001,"Wrong")</f>
        <v>2</v>
      </c>
      <c r="Q34" s="2" t="n">
        <f aca="false">ROUND(SUMIFS(Responses!$J$2:$J$4001,Responses!$B$2:$B$4001,$A34,Responses!$K$2:$K$4001,"Low"),2)</f>
        <v>11.43</v>
      </c>
      <c r="R34" s="2" t="n">
        <f aca="false">ROUND(SUMIFS(Responses!$AB$2:$AB$4001,Responses!$B$2:$B$4001,$A34),2)</f>
        <v>23.57</v>
      </c>
      <c r="S34" s="0" t="str">
        <f aca="false">IF(R34&gt;='Reward Model'!$B$8,"Gold",IF(R34&gt;='Reward Model'!$B$9,"Silver","Bronze"))</f>
        <v>Silver</v>
      </c>
      <c r="T34" s="2" t="n">
        <f aca="false">ROUND(R34/'Reward Model'!$B$7*100,2)</f>
        <v>57.49</v>
      </c>
    </row>
    <row r="35" customFormat="false" ht="15" hidden="false" customHeight="false" outlineLevel="0" collapsed="false">
      <c r="A35" s="0" t="s">
        <v>196</v>
      </c>
      <c r="B35" s="0" t="s">
        <v>30</v>
      </c>
      <c r="C35" s="0" t="s">
        <v>189</v>
      </c>
      <c r="D35" s="0" t="n">
        <f aca="false">F35</f>
        <v>20</v>
      </c>
      <c r="E35" s="2" t="n">
        <f aca="false">ROUND(K35+N35+Q35,2)</f>
        <v>31.32</v>
      </c>
      <c r="F35" s="3" t="n">
        <f aca="false">COUNTIFS(Responses!$B$2:$B$4001,$A35)</f>
        <v>20</v>
      </c>
      <c r="G35" s="3" t="n">
        <f aca="false">I35+L35+O35</f>
        <v>12</v>
      </c>
      <c r="H35" s="3" t="n">
        <f aca="false">J35+M35+P35</f>
        <v>8</v>
      </c>
      <c r="I35" s="3" t="n">
        <f aca="false">COUNTIFS(Responses!$B$2:$B$4001,$A35,Responses!$K$2:$K$4001,"High",Responses!$I$2:$I$4001,"Correct")</f>
        <v>1</v>
      </c>
      <c r="J35" s="3" t="n">
        <f aca="false">COUNTIFS(Responses!$B$2:$B$4001,$A35,Responses!$K$2:$K$4001,"High",Responses!$I$2:$I$4001,"Wrong")</f>
        <v>4</v>
      </c>
      <c r="K35" s="2" t="n">
        <f aca="false">ROUND(SUMIFS(Responses!$J$2:$J$4001,Responses!$B$2:$B$4001,$A35,Responses!$K$2:$K$4001,"High"),2)</f>
        <v>10.81</v>
      </c>
      <c r="L35" s="3" t="n">
        <f aca="false">COUNTIFS(Responses!$B$2:$B$4001,$A35,Responses!$K$2:$K$4001,"Medium",Responses!$I$2:$I$4001,"Correct")</f>
        <v>5</v>
      </c>
      <c r="M35" s="3" t="n">
        <f aca="false">COUNTIFS(Responses!$B$2:$B$4001,$A35,Responses!$K$2:$K$4001,"Medium",Responses!$I$2:$I$4001,"Wrong")</f>
        <v>1</v>
      </c>
      <c r="N35" s="2" t="n">
        <f aca="false">ROUND(SUMIFS(Responses!$J$2:$J$4001,Responses!$B$2:$B$4001,$A35,Responses!$K$2:$K$4001,"Medium"),2)</f>
        <v>9.75</v>
      </c>
      <c r="O35" s="3" t="n">
        <f aca="false">COUNTIFS(Responses!$B$2:$B$4001,$A35,Responses!$K$2:$K$4001,"Low",Responses!$I$2:$I$4001,"Correct")</f>
        <v>6</v>
      </c>
      <c r="P35" s="3" t="n">
        <f aca="false">COUNTIFS(Responses!$B$2:$B$4001,$A35,Responses!$K$2:$K$4001,"Low",Responses!$I$2:$I$4001,"Wrong")</f>
        <v>3</v>
      </c>
      <c r="Q35" s="2" t="n">
        <f aca="false">ROUND(SUMIFS(Responses!$J$2:$J$4001,Responses!$B$2:$B$4001,$A35,Responses!$K$2:$K$4001,"Low"),2)</f>
        <v>10.76</v>
      </c>
      <c r="R35" s="2" t="n">
        <f aca="false">ROUND(SUMIFS(Responses!$AB$2:$AB$4001,Responses!$B$2:$B$4001,$A35),2)</f>
        <v>21.79</v>
      </c>
      <c r="S35" s="0" t="str">
        <f aca="false">IF(R35&gt;='Reward Model'!$B$8,"Gold",IF(R35&gt;='Reward Model'!$B$9,"Silver","Bronze"))</f>
        <v>Silver</v>
      </c>
      <c r="T35" s="2" t="n">
        <f aca="false">ROUND(R35/'Reward Model'!$B$7*100,2)</f>
        <v>53.15</v>
      </c>
    </row>
    <row r="36" customFormat="false" ht="15" hidden="false" customHeight="false" outlineLevel="0" collapsed="false">
      <c r="A36" s="0" t="s">
        <v>198</v>
      </c>
      <c r="B36" s="0" t="s">
        <v>30</v>
      </c>
      <c r="C36" s="0" t="s">
        <v>189</v>
      </c>
      <c r="D36" s="0" t="n">
        <f aca="false">F36</f>
        <v>20</v>
      </c>
      <c r="E36" s="2" t="n">
        <f aca="false">ROUND(K36+N36+Q36,2)</f>
        <v>33.1</v>
      </c>
      <c r="F36" s="3" t="n">
        <f aca="false">COUNTIFS(Responses!$B$2:$B$4001,$A36)</f>
        <v>20</v>
      </c>
      <c r="G36" s="3" t="n">
        <f aca="false">I36+L36+O36</f>
        <v>14</v>
      </c>
      <c r="H36" s="3" t="n">
        <f aca="false">J36+M36+P36</f>
        <v>6</v>
      </c>
      <c r="I36" s="3" t="n">
        <f aca="false">COUNTIFS(Responses!$B$2:$B$4001,$A36,Responses!$K$2:$K$4001,"High",Responses!$I$2:$I$4001,"Correct")</f>
        <v>3</v>
      </c>
      <c r="J36" s="3" t="n">
        <f aca="false">COUNTIFS(Responses!$B$2:$B$4001,$A36,Responses!$K$2:$K$4001,"High",Responses!$I$2:$I$4001,"Wrong")</f>
        <v>2</v>
      </c>
      <c r="K36" s="2" t="n">
        <f aca="false">ROUND(SUMIFS(Responses!$J$2:$J$4001,Responses!$B$2:$B$4001,$A36,Responses!$K$2:$K$4001,"High"),2)</f>
        <v>9.61</v>
      </c>
      <c r="L36" s="3" t="n">
        <f aca="false">COUNTIFS(Responses!$B$2:$B$4001,$A36,Responses!$K$2:$K$4001,"Medium",Responses!$I$2:$I$4001,"Correct")</f>
        <v>3</v>
      </c>
      <c r="M36" s="3" t="n">
        <f aca="false">COUNTIFS(Responses!$B$2:$B$4001,$A36,Responses!$K$2:$K$4001,"Medium",Responses!$I$2:$I$4001,"Wrong")</f>
        <v>3</v>
      </c>
      <c r="N36" s="2" t="n">
        <f aca="false">ROUND(SUMIFS(Responses!$J$2:$J$4001,Responses!$B$2:$B$4001,$A36,Responses!$K$2:$K$4001,"Medium"),2)</f>
        <v>11.89</v>
      </c>
      <c r="O36" s="3" t="n">
        <f aca="false">COUNTIFS(Responses!$B$2:$B$4001,$A36,Responses!$K$2:$K$4001,"Low",Responses!$I$2:$I$4001,"Correct")</f>
        <v>8</v>
      </c>
      <c r="P36" s="3" t="n">
        <f aca="false">COUNTIFS(Responses!$B$2:$B$4001,$A36,Responses!$K$2:$K$4001,"Low",Responses!$I$2:$I$4001,"Wrong")</f>
        <v>1</v>
      </c>
      <c r="Q36" s="2" t="n">
        <f aca="false">ROUND(SUMIFS(Responses!$J$2:$J$4001,Responses!$B$2:$B$4001,$A36,Responses!$K$2:$K$4001,"Low"),2)</f>
        <v>11.6</v>
      </c>
      <c r="R36" s="2" t="n">
        <f aca="false">ROUND(SUMIFS(Responses!$AB$2:$AB$4001,Responses!$B$2:$B$4001,$A36),2)</f>
        <v>24.98</v>
      </c>
      <c r="S36" s="0" t="str">
        <f aca="false">IF(R36&gt;='Reward Model'!$B$8,"Gold",IF(R36&gt;='Reward Model'!$B$9,"Silver","Bronze"))</f>
        <v>Silver</v>
      </c>
      <c r="T36" s="2" t="n">
        <f aca="false">ROUND(R36/'Reward Model'!$B$7*100,2)</f>
        <v>60.93</v>
      </c>
    </row>
    <row r="37" customFormat="false" ht="15" hidden="false" customHeight="false" outlineLevel="0" collapsed="false">
      <c r="A37" s="0" t="s">
        <v>200</v>
      </c>
      <c r="B37" s="0" t="s">
        <v>30</v>
      </c>
      <c r="C37" s="0" t="s">
        <v>189</v>
      </c>
      <c r="D37" s="0" t="n">
        <f aca="false">F37</f>
        <v>20</v>
      </c>
      <c r="E37" s="2" t="n">
        <f aca="false">ROUND(K37+N37+Q37,2)</f>
        <v>32.45</v>
      </c>
      <c r="F37" s="3" t="n">
        <f aca="false">COUNTIFS(Responses!$B$2:$B$4001,$A37)</f>
        <v>20</v>
      </c>
      <c r="G37" s="3" t="n">
        <f aca="false">I37+L37+O37</f>
        <v>9</v>
      </c>
      <c r="H37" s="3" t="n">
        <f aca="false">J37+M37+P37</f>
        <v>11</v>
      </c>
      <c r="I37" s="3" t="n">
        <f aca="false">COUNTIFS(Responses!$B$2:$B$4001,$A37,Responses!$K$2:$K$4001,"High",Responses!$I$2:$I$4001,"Correct")</f>
        <v>1</v>
      </c>
      <c r="J37" s="3" t="n">
        <f aca="false">COUNTIFS(Responses!$B$2:$B$4001,$A37,Responses!$K$2:$K$4001,"High",Responses!$I$2:$I$4001,"Wrong")</f>
        <v>4</v>
      </c>
      <c r="K37" s="2" t="n">
        <f aca="false">ROUND(SUMIFS(Responses!$J$2:$J$4001,Responses!$B$2:$B$4001,$A37,Responses!$K$2:$K$4001,"High"),2)</f>
        <v>9.04</v>
      </c>
      <c r="L37" s="3" t="n">
        <f aca="false">COUNTIFS(Responses!$B$2:$B$4001,$A37,Responses!$K$2:$K$4001,"Medium",Responses!$I$2:$I$4001,"Correct")</f>
        <v>2</v>
      </c>
      <c r="M37" s="3" t="n">
        <f aca="false">COUNTIFS(Responses!$B$2:$B$4001,$A37,Responses!$K$2:$K$4001,"Medium",Responses!$I$2:$I$4001,"Wrong")</f>
        <v>4</v>
      </c>
      <c r="N37" s="2" t="n">
        <f aca="false">ROUND(SUMIFS(Responses!$J$2:$J$4001,Responses!$B$2:$B$4001,$A37,Responses!$K$2:$K$4001,"Medium"),2)</f>
        <v>11.05</v>
      </c>
      <c r="O37" s="3" t="n">
        <f aca="false">COUNTIFS(Responses!$B$2:$B$4001,$A37,Responses!$K$2:$K$4001,"Low",Responses!$I$2:$I$4001,"Correct")</f>
        <v>6</v>
      </c>
      <c r="P37" s="3" t="n">
        <f aca="false">COUNTIFS(Responses!$B$2:$B$4001,$A37,Responses!$K$2:$K$4001,"Low",Responses!$I$2:$I$4001,"Wrong")</f>
        <v>3</v>
      </c>
      <c r="Q37" s="2" t="n">
        <f aca="false">ROUND(SUMIFS(Responses!$J$2:$J$4001,Responses!$B$2:$B$4001,$A37,Responses!$K$2:$K$4001,"Low"),2)</f>
        <v>12.36</v>
      </c>
      <c r="R37" s="2" t="n">
        <f aca="false">ROUND(SUMIFS(Responses!$AB$2:$AB$4001,Responses!$B$2:$B$4001,$A37),2)</f>
        <v>14.79</v>
      </c>
      <c r="S37" s="0" t="str">
        <f aca="false">IF(R37&gt;='Reward Model'!$B$8,"Gold",IF(R37&gt;='Reward Model'!$B$9,"Silver","Bronze"))</f>
        <v>Bronze</v>
      </c>
      <c r="T37" s="2" t="n">
        <f aca="false">ROUND(R37/'Reward Model'!$B$7*100,2)</f>
        <v>36.07</v>
      </c>
    </row>
    <row r="38" customFormat="false" ht="15" hidden="false" customHeight="false" outlineLevel="0" collapsed="false">
      <c r="A38" s="0" t="s">
        <v>202</v>
      </c>
      <c r="B38" s="0" t="s">
        <v>30</v>
      </c>
      <c r="C38" s="0" t="s">
        <v>189</v>
      </c>
      <c r="D38" s="0" t="n">
        <f aca="false">F38</f>
        <v>20</v>
      </c>
      <c r="E38" s="2" t="n">
        <f aca="false">ROUND(K38+N38+Q38,2)</f>
        <v>32.19</v>
      </c>
      <c r="F38" s="3" t="n">
        <f aca="false">COUNTIFS(Responses!$B$2:$B$4001,$A38)</f>
        <v>20</v>
      </c>
      <c r="G38" s="3" t="n">
        <f aca="false">I38+L38+O38</f>
        <v>12</v>
      </c>
      <c r="H38" s="3" t="n">
        <f aca="false">J38+M38+P38</f>
        <v>8</v>
      </c>
      <c r="I38" s="3" t="n">
        <f aca="false">COUNTIFS(Responses!$B$2:$B$4001,$A38,Responses!$K$2:$K$4001,"High",Responses!$I$2:$I$4001,"Correct")</f>
        <v>1</v>
      </c>
      <c r="J38" s="3" t="n">
        <f aca="false">COUNTIFS(Responses!$B$2:$B$4001,$A38,Responses!$K$2:$K$4001,"High",Responses!$I$2:$I$4001,"Wrong")</f>
        <v>4</v>
      </c>
      <c r="K38" s="2" t="n">
        <f aca="false">ROUND(SUMIFS(Responses!$J$2:$J$4001,Responses!$B$2:$B$4001,$A38,Responses!$K$2:$K$4001,"High"),2)</f>
        <v>9.03</v>
      </c>
      <c r="L38" s="3" t="n">
        <f aca="false">COUNTIFS(Responses!$B$2:$B$4001,$A38,Responses!$K$2:$K$4001,"Medium",Responses!$I$2:$I$4001,"Correct")</f>
        <v>3</v>
      </c>
      <c r="M38" s="3" t="n">
        <f aca="false">COUNTIFS(Responses!$B$2:$B$4001,$A38,Responses!$K$2:$K$4001,"Medium",Responses!$I$2:$I$4001,"Wrong")</f>
        <v>3</v>
      </c>
      <c r="N38" s="2" t="n">
        <f aca="false">ROUND(SUMIFS(Responses!$J$2:$J$4001,Responses!$B$2:$B$4001,$A38,Responses!$K$2:$K$4001,"Medium"),2)</f>
        <v>9.93</v>
      </c>
      <c r="O38" s="3" t="n">
        <f aca="false">COUNTIFS(Responses!$B$2:$B$4001,$A38,Responses!$K$2:$K$4001,"Low",Responses!$I$2:$I$4001,"Correct")</f>
        <v>8</v>
      </c>
      <c r="P38" s="3" t="n">
        <f aca="false">COUNTIFS(Responses!$B$2:$B$4001,$A38,Responses!$K$2:$K$4001,"Low",Responses!$I$2:$I$4001,"Wrong")</f>
        <v>1</v>
      </c>
      <c r="Q38" s="2" t="n">
        <f aca="false">ROUND(SUMIFS(Responses!$J$2:$J$4001,Responses!$B$2:$B$4001,$A38,Responses!$K$2:$K$4001,"Low"),2)</f>
        <v>13.23</v>
      </c>
      <c r="R38" s="2" t="n">
        <f aca="false">ROUND(SUMIFS(Responses!$AB$2:$AB$4001,Responses!$B$2:$B$4001,$A38),2)</f>
        <v>20.03</v>
      </c>
      <c r="S38" s="0" t="str">
        <f aca="false">IF(R38&gt;='Reward Model'!$B$8,"Gold",IF(R38&gt;='Reward Model'!$B$9,"Silver","Bronze"))</f>
        <v>Bronze</v>
      </c>
      <c r="T38" s="2" t="n">
        <f aca="false">ROUND(R38/'Reward Model'!$B$7*100,2)</f>
        <v>48.85</v>
      </c>
    </row>
    <row r="39" customFormat="false" ht="15" hidden="false" customHeight="false" outlineLevel="0" collapsed="false">
      <c r="A39" s="0" t="s">
        <v>204</v>
      </c>
      <c r="B39" s="0" t="s">
        <v>30</v>
      </c>
      <c r="C39" s="0" t="s">
        <v>189</v>
      </c>
      <c r="D39" s="0" t="n">
        <f aca="false">F39</f>
        <v>20</v>
      </c>
      <c r="E39" s="2" t="n">
        <f aca="false">ROUND(K39+N39+Q39,2)</f>
        <v>28.55</v>
      </c>
      <c r="F39" s="3" t="n">
        <f aca="false">COUNTIFS(Responses!$B$2:$B$4001,$A39)</f>
        <v>20</v>
      </c>
      <c r="G39" s="3" t="n">
        <f aca="false">I39+L39+O39</f>
        <v>11</v>
      </c>
      <c r="H39" s="3" t="n">
        <f aca="false">J39+M39+P39</f>
        <v>9</v>
      </c>
      <c r="I39" s="3" t="n">
        <f aca="false">COUNTIFS(Responses!$B$2:$B$4001,$A39,Responses!$K$2:$K$4001,"High",Responses!$I$2:$I$4001,"Correct")</f>
        <v>2</v>
      </c>
      <c r="J39" s="3" t="n">
        <f aca="false">COUNTIFS(Responses!$B$2:$B$4001,$A39,Responses!$K$2:$K$4001,"High",Responses!$I$2:$I$4001,"Wrong")</f>
        <v>3</v>
      </c>
      <c r="K39" s="2" t="n">
        <f aca="false">ROUND(SUMIFS(Responses!$J$2:$J$4001,Responses!$B$2:$B$4001,$A39,Responses!$K$2:$K$4001,"High"),2)</f>
        <v>9.25</v>
      </c>
      <c r="L39" s="3" t="n">
        <f aca="false">COUNTIFS(Responses!$B$2:$B$4001,$A39,Responses!$K$2:$K$4001,"Medium",Responses!$I$2:$I$4001,"Correct")</f>
        <v>2</v>
      </c>
      <c r="M39" s="3" t="n">
        <f aca="false">COUNTIFS(Responses!$B$2:$B$4001,$A39,Responses!$K$2:$K$4001,"Medium",Responses!$I$2:$I$4001,"Wrong")</f>
        <v>4</v>
      </c>
      <c r="N39" s="2" t="n">
        <f aca="false">ROUND(SUMIFS(Responses!$J$2:$J$4001,Responses!$B$2:$B$4001,$A39,Responses!$K$2:$K$4001,"Medium"),2)</f>
        <v>8.54</v>
      </c>
      <c r="O39" s="3" t="n">
        <f aca="false">COUNTIFS(Responses!$B$2:$B$4001,$A39,Responses!$K$2:$K$4001,"Low",Responses!$I$2:$I$4001,"Correct")</f>
        <v>7</v>
      </c>
      <c r="P39" s="3" t="n">
        <f aca="false">COUNTIFS(Responses!$B$2:$B$4001,$A39,Responses!$K$2:$K$4001,"Low",Responses!$I$2:$I$4001,"Wrong")</f>
        <v>2</v>
      </c>
      <c r="Q39" s="2" t="n">
        <f aca="false">ROUND(SUMIFS(Responses!$J$2:$J$4001,Responses!$B$2:$B$4001,$A39,Responses!$K$2:$K$4001,"Low"),2)</f>
        <v>10.76</v>
      </c>
      <c r="R39" s="2" t="n">
        <f aca="false">ROUND(SUMIFS(Responses!$AB$2:$AB$4001,Responses!$B$2:$B$4001,$A39),2)</f>
        <v>19.01</v>
      </c>
      <c r="S39" s="0" t="str">
        <f aca="false">IF(R39&gt;='Reward Model'!$B$8,"Gold",IF(R39&gt;='Reward Model'!$B$9,"Silver","Bronze"))</f>
        <v>Bronze</v>
      </c>
      <c r="T39" s="2" t="n">
        <f aca="false">ROUND(R39/'Reward Model'!$B$7*100,2)</f>
        <v>46.37</v>
      </c>
    </row>
    <row r="40" customFormat="false" ht="15" hidden="false" customHeight="false" outlineLevel="0" collapsed="false">
      <c r="A40" s="0" t="s">
        <v>206</v>
      </c>
      <c r="B40" s="0" t="s">
        <v>30</v>
      </c>
      <c r="C40" s="0" t="s">
        <v>189</v>
      </c>
      <c r="D40" s="0" t="n">
        <f aca="false">F40</f>
        <v>20</v>
      </c>
      <c r="E40" s="2" t="n">
        <f aca="false">ROUND(K40+N40+Q40,2)</f>
        <v>33.21</v>
      </c>
      <c r="F40" s="3" t="n">
        <f aca="false">COUNTIFS(Responses!$B$2:$B$4001,$A40)</f>
        <v>20</v>
      </c>
      <c r="G40" s="3" t="n">
        <f aca="false">I40+L40+O40</f>
        <v>12</v>
      </c>
      <c r="H40" s="3" t="n">
        <f aca="false">J40+M40+P40</f>
        <v>8</v>
      </c>
      <c r="I40" s="3" t="n">
        <f aca="false">COUNTIFS(Responses!$B$2:$B$4001,$A40,Responses!$K$2:$K$4001,"High",Responses!$I$2:$I$4001,"Correct")</f>
        <v>1</v>
      </c>
      <c r="J40" s="3" t="n">
        <f aca="false">COUNTIFS(Responses!$B$2:$B$4001,$A40,Responses!$K$2:$K$4001,"High",Responses!$I$2:$I$4001,"Wrong")</f>
        <v>4</v>
      </c>
      <c r="K40" s="2" t="n">
        <f aca="false">ROUND(SUMIFS(Responses!$J$2:$J$4001,Responses!$B$2:$B$4001,$A40,Responses!$K$2:$K$4001,"High"),2)</f>
        <v>10.72</v>
      </c>
      <c r="L40" s="3" t="n">
        <f aca="false">COUNTIFS(Responses!$B$2:$B$4001,$A40,Responses!$K$2:$K$4001,"Medium",Responses!$I$2:$I$4001,"Correct")</f>
        <v>4</v>
      </c>
      <c r="M40" s="3" t="n">
        <f aca="false">COUNTIFS(Responses!$B$2:$B$4001,$A40,Responses!$K$2:$K$4001,"Medium",Responses!$I$2:$I$4001,"Wrong")</f>
        <v>2</v>
      </c>
      <c r="N40" s="2" t="n">
        <f aca="false">ROUND(SUMIFS(Responses!$J$2:$J$4001,Responses!$B$2:$B$4001,$A40,Responses!$K$2:$K$4001,"Medium"),2)</f>
        <v>9.4</v>
      </c>
      <c r="O40" s="3" t="n">
        <f aca="false">COUNTIFS(Responses!$B$2:$B$4001,$A40,Responses!$K$2:$K$4001,"Low",Responses!$I$2:$I$4001,"Correct")</f>
        <v>7</v>
      </c>
      <c r="P40" s="3" t="n">
        <f aca="false">COUNTIFS(Responses!$B$2:$B$4001,$A40,Responses!$K$2:$K$4001,"Low",Responses!$I$2:$I$4001,"Wrong")</f>
        <v>2</v>
      </c>
      <c r="Q40" s="2" t="n">
        <f aca="false">ROUND(SUMIFS(Responses!$J$2:$J$4001,Responses!$B$2:$B$4001,$A40,Responses!$K$2:$K$4001,"Low"),2)</f>
        <v>13.09</v>
      </c>
      <c r="R40" s="2" t="n">
        <f aca="false">ROUND(SUMIFS(Responses!$AB$2:$AB$4001,Responses!$B$2:$B$4001,$A40),2)</f>
        <v>19.98</v>
      </c>
      <c r="S40" s="0" t="str">
        <f aca="false">IF(R40&gt;='Reward Model'!$B$8,"Gold",IF(R40&gt;='Reward Model'!$B$9,"Silver","Bronze"))</f>
        <v>Bronze</v>
      </c>
      <c r="T40" s="2" t="n">
        <f aca="false">ROUND(R40/'Reward Model'!$B$7*100,2)</f>
        <v>48.73</v>
      </c>
    </row>
    <row r="41" customFormat="false" ht="15" hidden="false" customHeight="false" outlineLevel="0" collapsed="false">
      <c r="A41" s="0" t="s">
        <v>208</v>
      </c>
      <c r="B41" s="0" t="s">
        <v>30</v>
      </c>
      <c r="C41" s="0" t="s">
        <v>189</v>
      </c>
      <c r="D41" s="0" t="n">
        <f aca="false">F41</f>
        <v>20</v>
      </c>
      <c r="E41" s="2" t="n">
        <f aca="false">ROUND(K41+N41+Q41,2)</f>
        <v>33.21</v>
      </c>
      <c r="F41" s="3" t="n">
        <f aca="false">COUNTIFS(Responses!$B$2:$B$4001,$A41)</f>
        <v>20</v>
      </c>
      <c r="G41" s="3" t="n">
        <f aca="false">I41+L41+O41</f>
        <v>14</v>
      </c>
      <c r="H41" s="3" t="n">
        <f aca="false">J41+M41+P41</f>
        <v>6</v>
      </c>
      <c r="I41" s="3" t="n">
        <f aca="false">COUNTIFS(Responses!$B$2:$B$4001,$A41,Responses!$K$2:$K$4001,"High",Responses!$I$2:$I$4001,"Correct")</f>
        <v>4</v>
      </c>
      <c r="J41" s="3" t="n">
        <f aca="false">COUNTIFS(Responses!$B$2:$B$4001,$A41,Responses!$K$2:$K$4001,"High",Responses!$I$2:$I$4001,"Wrong")</f>
        <v>1</v>
      </c>
      <c r="K41" s="2" t="n">
        <f aca="false">ROUND(SUMIFS(Responses!$J$2:$J$4001,Responses!$B$2:$B$4001,$A41,Responses!$K$2:$K$4001,"High"),2)</f>
        <v>8.62</v>
      </c>
      <c r="L41" s="3" t="n">
        <f aca="false">COUNTIFS(Responses!$B$2:$B$4001,$A41,Responses!$K$2:$K$4001,"Medium",Responses!$I$2:$I$4001,"Correct")</f>
        <v>2</v>
      </c>
      <c r="M41" s="3" t="n">
        <f aca="false">COUNTIFS(Responses!$B$2:$B$4001,$A41,Responses!$K$2:$K$4001,"Medium",Responses!$I$2:$I$4001,"Wrong")</f>
        <v>4</v>
      </c>
      <c r="N41" s="2" t="n">
        <f aca="false">ROUND(SUMIFS(Responses!$J$2:$J$4001,Responses!$B$2:$B$4001,$A41,Responses!$K$2:$K$4001,"Medium"),2)</f>
        <v>10.09</v>
      </c>
      <c r="O41" s="3" t="n">
        <f aca="false">COUNTIFS(Responses!$B$2:$B$4001,$A41,Responses!$K$2:$K$4001,"Low",Responses!$I$2:$I$4001,"Correct")</f>
        <v>8</v>
      </c>
      <c r="P41" s="3" t="n">
        <f aca="false">COUNTIFS(Responses!$B$2:$B$4001,$A41,Responses!$K$2:$K$4001,"Low",Responses!$I$2:$I$4001,"Wrong")</f>
        <v>1</v>
      </c>
      <c r="Q41" s="2" t="n">
        <f aca="false">ROUND(SUMIFS(Responses!$J$2:$J$4001,Responses!$B$2:$B$4001,$A41,Responses!$K$2:$K$4001,"Low"),2)</f>
        <v>14.5</v>
      </c>
      <c r="R41" s="2" t="n">
        <f aca="false">ROUND(SUMIFS(Responses!$AB$2:$AB$4001,Responses!$B$2:$B$4001,$A41),2)</f>
        <v>27.83</v>
      </c>
      <c r="S41" s="0" t="str">
        <f aca="false">IF(R41&gt;='Reward Model'!$B$8,"Gold",IF(R41&gt;='Reward Model'!$B$9,"Silver","Bronze"))</f>
        <v>Silver</v>
      </c>
      <c r="T41" s="2" t="n">
        <f aca="false">ROUND(R41/'Reward Model'!$B$7*100,2)</f>
        <v>67.88</v>
      </c>
    </row>
    <row r="42" customFormat="false" ht="15" hidden="false" customHeight="false" outlineLevel="0" collapsed="false">
      <c r="A42" s="0" t="s">
        <v>210</v>
      </c>
      <c r="B42" s="0" t="s">
        <v>30</v>
      </c>
      <c r="C42" s="0" t="s">
        <v>189</v>
      </c>
      <c r="D42" s="0" t="n">
        <f aca="false">F42</f>
        <v>20</v>
      </c>
      <c r="E42" s="2" t="n">
        <f aca="false">ROUND(K42+N42+Q42,2)</f>
        <v>30.22</v>
      </c>
      <c r="F42" s="3" t="n">
        <f aca="false">COUNTIFS(Responses!$B$2:$B$4001,$A42)</f>
        <v>20</v>
      </c>
      <c r="G42" s="3" t="n">
        <f aca="false">I42+L42+O42</f>
        <v>11</v>
      </c>
      <c r="H42" s="3" t="n">
        <f aca="false">J42+M42+P42</f>
        <v>9</v>
      </c>
      <c r="I42" s="3" t="n">
        <f aca="false">COUNTIFS(Responses!$B$2:$B$4001,$A42,Responses!$K$2:$K$4001,"High",Responses!$I$2:$I$4001,"Correct")</f>
        <v>1</v>
      </c>
      <c r="J42" s="3" t="n">
        <f aca="false">COUNTIFS(Responses!$B$2:$B$4001,$A42,Responses!$K$2:$K$4001,"High",Responses!$I$2:$I$4001,"Wrong")</f>
        <v>4</v>
      </c>
      <c r="K42" s="2" t="n">
        <f aca="false">ROUND(SUMIFS(Responses!$J$2:$J$4001,Responses!$B$2:$B$4001,$A42,Responses!$K$2:$K$4001,"High"),2)</f>
        <v>8.92</v>
      </c>
      <c r="L42" s="3" t="n">
        <f aca="false">COUNTIFS(Responses!$B$2:$B$4001,$A42,Responses!$K$2:$K$4001,"Medium",Responses!$I$2:$I$4001,"Correct")</f>
        <v>3</v>
      </c>
      <c r="M42" s="3" t="n">
        <f aca="false">COUNTIFS(Responses!$B$2:$B$4001,$A42,Responses!$K$2:$K$4001,"Medium",Responses!$I$2:$I$4001,"Wrong")</f>
        <v>3</v>
      </c>
      <c r="N42" s="2" t="n">
        <f aca="false">ROUND(SUMIFS(Responses!$J$2:$J$4001,Responses!$B$2:$B$4001,$A42,Responses!$K$2:$K$4001,"Medium"),2)</f>
        <v>8.99</v>
      </c>
      <c r="O42" s="3" t="n">
        <f aca="false">COUNTIFS(Responses!$B$2:$B$4001,$A42,Responses!$K$2:$K$4001,"Low",Responses!$I$2:$I$4001,"Correct")</f>
        <v>7</v>
      </c>
      <c r="P42" s="3" t="n">
        <f aca="false">COUNTIFS(Responses!$B$2:$B$4001,$A42,Responses!$K$2:$K$4001,"Low",Responses!$I$2:$I$4001,"Wrong")</f>
        <v>2</v>
      </c>
      <c r="Q42" s="2" t="n">
        <f aca="false">ROUND(SUMIFS(Responses!$J$2:$J$4001,Responses!$B$2:$B$4001,$A42,Responses!$K$2:$K$4001,"Low"),2)</f>
        <v>12.31</v>
      </c>
      <c r="R42" s="2" t="n">
        <f aca="false">ROUND(SUMIFS(Responses!$AB$2:$AB$4001,Responses!$B$2:$B$4001,$A42),2)</f>
        <v>20.34</v>
      </c>
      <c r="S42" s="0" t="str">
        <f aca="false">IF(R42&gt;='Reward Model'!$B$8,"Gold",IF(R42&gt;='Reward Model'!$B$9,"Silver","Bronze"))</f>
        <v>Bronze</v>
      </c>
      <c r="T42" s="2" t="n">
        <f aca="false">ROUND(R42/'Reward Model'!$B$7*100,2)</f>
        <v>49.61</v>
      </c>
    </row>
    <row r="43" customFormat="false" ht="15" hidden="false" customHeight="false" outlineLevel="0" collapsed="false">
      <c r="A43" s="0" t="s">
        <v>212</v>
      </c>
      <c r="B43" s="0" t="s">
        <v>30</v>
      </c>
      <c r="C43" s="0" t="s">
        <v>189</v>
      </c>
      <c r="D43" s="0" t="n">
        <f aca="false">F43</f>
        <v>20</v>
      </c>
      <c r="E43" s="2" t="n">
        <f aca="false">ROUND(K43+N43+Q43,2)</f>
        <v>33.78</v>
      </c>
      <c r="F43" s="3" t="n">
        <f aca="false">COUNTIFS(Responses!$B$2:$B$4001,$A43)</f>
        <v>20</v>
      </c>
      <c r="G43" s="3" t="n">
        <f aca="false">I43+L43+O43</f>
        <v>14</v>
      </c>
      <c r="H43" s="3" t="n">
        <f aca="false">J43+M43+P43</f>
        <v>6</v>
      </c>
      <c r="I43" s="3" t="n">
        <f aca="false">COUNTIFS(Responses!$B$2:$B$4001,$A43,Responses!$K$2:$K$4001,"High",Responses!$I$2:$I$4001,"Correct")</f>
        <v>2</v>
      </c>
      <c r="J43" s="3" t="n">
        <f aca="false">COUNTIFS(Responses!$B$2:$B$4001,$A43,Responses!$K$2:$K$4001,"High",Responses!$I$2:$I$4001,"Wrong")</f>
        <v>3</v>
      </c>
      <c r="K43" s="2" t="n">
        <f aca="false">ROUND(SUMIFS(Responses!$J$2:$J$4001,Responses!$B$2:$B$4001,$A43,Responses!$K$2:$K$4001,"High"),2)</f>
        <v>8.43</v>
      </c>
      <c r="L43" s="3" t="n">
        <f aca="false">COUNTIFS(Responses!$B$2:$B$4001,$A43,Responses!$K$2:$K$4001,"Medium",Responses!$I$2:$I$4001,"Correct")</f>
        <v>4</v>
      </c>
      <c r="M43" s="3" t="n">
        <f aca="false">COUNTIFS(Responses!$B$2:$B$4001,$A43,Responses!$K$2:$K$4001,"Medium",Responses!$I$2:$I$4001,"Wrong")</f>
        <v>2</v>
      </c>
      <c r="N43" s="2" t="n">
        <f aca="false">ROUND(SUMIFS(Responses!$J$2:$J$4001,Responses!$B$2:$B$4001,$A43,Responses!$K$2:$K$4001,"Medium"),2)</f>
        <v>11.58</v>
      </c>
      <c r="O43" s="3" t="n">
        <f aca="false">COUNTIFS(Responses!$B$2:$B$4001,$A43,Responses!$K$2:$K$4001,"Low",Responses!$I$2:$I$4001,"Correct")</f>
        <v>8</v>
      </c>
      <c r="P43" s="3" t="n">
        <f aca="false">COUNTIFS(Responses!$B$2:$B$4001,$A43,Responses!$K$2:$K$4001,"Low",Responses!$I$2:$I$4001,"Wrong")</f>
        <v>1</v>
      </c>
      <c r="Q43" s="2" t="n">
        <f aca="false">ROUND(SUMIFS(Responses!$J$2:$J$4001,Responses!$B$2:$B$4001,$A43,Responses!$K$2:$K$4001,"Low"),2)</f>
        <v>13.77</v>
      </c>
      <c r="R43" s="2" t="n">
        <f aca="false">ROUND(SUMIFS(Responses!$AB$2:$AB$4001,Responses!$B$2:$B$4001,$A43),2)</f>
        <v>23.25</v>
      </c>
      <c r="S43" s="0" t="str">
        <f aca="false">IF(R43&gt;='Reward Model'!$B$8,"Gold",IF(R43&gt;='Reward Model'!$B$9,"Silver","Bronze"))</f>
        <v>Silver</v>
      </c>
      <c r="T43" s="2" t="n">
        <f aca="false">ROUND(R43/'Reward Model'!$B$7*100,2)</f>
        <v>56.71</v>
      </c>
    </row>
    <row r="44" customFormat="false" ht="15" hidden="false" customHeight="false" outlineLevel="0" collapsed="false">
      <c r="A44" s="0" t="s">
        <v>214</v>
      </c>
      <c r="B44" s="0" t="s">
        <v>30</v>
      </c>
      <c r="C44" s="0" t="s">
        <v>189</v>
      </c>
      <c r="D44" s="0" t="n">
        <f aca="false">F44</f>
        <v>20</v>
      </c>
      <c r="E44" s="2" t="n">
        <f aca="false">ROUND(K44+N44+Q44,2)</f>
        <v>34.04</v>
      </c>
      <c r="F44" s="3" t="n">
        <f aca="false">COUNTIFS(Responses!$B$2:$B$4001,$A44)</f>
        <v>20</v>
      </c>
      <c r="G44" s="3" t="n">
        <f aca="false">I44+L44+O44</f>
        <v>9</v>
      </c>
      <c r="H44" s="3" t="n">
        <f aca="false">J44+M44+P44</f>
        <v>11</v>
      </c>
      <c r="I44" s="3" t="n">
        <f aca="false">COUNTIFS(Responses!$B$2:$B$4001,$A44,Responses!$K$2:$K$4001,"High",Responses!$I$2:$I$4001,"Correct")</f>
        <v>1</v>
      </c>
      <c r="J44" s="3" t="n">
        <f aca="false">COUNTIFS(Responses!$B$2:$B$4001,$A44,Responses!$K$2:$K$4001,"High",Responses!$I$2:$I$4001,"Wrong")</f>
        <v>4</v>
      </c>
      <c r="K44" s="2" t="n">
        <f aca="false">ROUND(SUMIFS(Responses!$J$2:$J$4001,Responses!$B$2:$B$4001,$A44,Responses!$K$2:$K$4001,"High"),2)</f>
        <v>9.65</v>
      </c>
      <c r="L44" s="3" t="n">
        <f aca="false">COUNTIFS(Responses!$B$2:$B$4001,$A44,Responses!$K$2:$K$4001,"Medium",Responses!$I$2:$I$4001,"Correct")</f>
        <v>2</v>
      </c>
      <c r="M44" s="3" t="n">
        <f aca="false">COUNTIFS(Responses!$B$2:$B$4001,$A44,Responses!$K$2:$K$4001,"Medium",Responses!$I$2:$I$4001,"Wrong")</f>
        <v>4</v>
      </c>
      <c r="N44" s="2" t="n">
        <f aca="false">ROUND(SUMIFS(Responses!$J$2:$J$4001,Responses!$B$2:$B$4001,$A44,Responses!$K$2:$K$4001,"Medium"),2)</f>
        <v>11.22</v>
      </c>
      <c r="O44" s="3" t="n">
        <f aca="false">COUNTIFS(Responses!$B$2:$B$4001,$A44,Responses!$K$2:$K$4001,"Low",Responses!$I$2:$I$4001,"Correct")</f>
        <v>6</v>
      </c>
      <c r="P44" s="3" t="n">
        <f aca="false">COUNTIFS(Responses!$B$2:$B$4001,$A44,Responses!$K$2:$K$4001,"Low",Responses!$I$2:$I$4001,"Wrong")</f>
        <v>3</v>
      </c>
      <c r="Q44" s="2" t="n">
        <f aca="false">ROUND(SUMIFS(Responses!$J$2:$J$4001,Responses!$B$2:$B$4001,$A44,Responses!$K$2:$K$4001,"Low"),2)</f>
        <v>13.17</v>
      </c>
      <c r="R44" s="2" t="n">
        <f aca="false">ROUND(SUMIFS(Responses!$AB$2:$AB$4001,Responses!$B$2:$B$4001,$A44),2)</f>
        <v>15.76</v>
      </c>
      <c r="S44" s="0" t="str">
        <f aca="false">IF(R44&gt;='Reward Model'!$B$8,"Gold",IF(R44&gt;='Reward Model'!$B$9,"Silver","Bronze"))</f>
        <v>Bronze</v>
      </c>
      <c r="T44" s="2" t="n">
        <f aca="false">ROUND(R44/'Reward Model'!$B$7*100,2)</f>
        <v>38.44</v>
      </c>
    </row>
    <row r="45" customFormat="false" ht="15" hidden="false" customHeight="false" outlineLevel="0" collapsed="false">
      <c r="A45" s="0" t="s">
        <v>216</v>
      </c>
      <c r="B45" s="0" t="s">
        <v>30</v>
      </c>
      <c r="C45" s="0" t="s">
        <v>189</v>
      </c>
      <c r="D45" s="0" t="n">
        <f aca="false">F45</f>
        <v>20</v>
      </c>
      <c r="E45" s="2" t="n">
        <f aca="false">ROUND(K45+N45+Q45,2)</f>
        <v>33.25</v>
      </c>
      <c r="F45" s="3" t="n">
        <f aca="false">COUNTIFS(Responses!$B$2:$B$4001,$A45)</f>
        <v>20</v>
      </c>
      <c r="G45" s="3" t="n">
        <f aca="false">I45+L45+O45</f>
        <v>16</v>
      </c>
      <c r="H45" s="3" t="n">
        <f aca="false">J45+M45+P45</f>
        <v>4</v>
      </c>
      <c r="I45" s="3" t="n">
        <f aca="false">COUNTIFS(Responses!$B$2:$B$4001,$A45,Responses!$K$2:$K$4001,"High",Responses!$I$2:$I$4001,"Correct")</f>
        <v>4</v>
      </c>
      <c r="J45" s="3" t="n">
        <f aca="false">COUNTIFS(Responses!$B$2:$B$4001,$A45,Responses!$K$2:$K$4001,"High",Responses!$I$2:$I$4001,"Wrong")</f>
        <v>1</v>
      </c>
      <c r="K45" s="2" t="n">
        <f aca="false">ROUND(SUMIFS(Responses!$J$2:$J$4001,Responses!$B$2:$B$4001,$A45,Responses!$K$2:$K$4001,"High"),2)</f>
        <v>9.61</v>
      </c>
      <c r="L45" s="3" t="n">
        <f aca="false">COUNTIFS(Responses!$B$2:$B$4001,$A45,Responses!$K$2:$K$4001,"Medium",Responses!$I$2:$I$4001,"Correct")</f>
        <v>4</v>
      </c>
      <c r="M45" s="3" t="n">
        <f aca="false">COUNTIFS(Responses!$B$2:$B$4001,$A45,Responses!$K$2:$K$4001,"Medium",Responses!$I$2:$I$4001,"Wrong")</f>
        <v>2</v>
      </c>
      <c r="N45" s="2" t="n">
        <f aca="false">ROUND(SUMIFS(Responses!$J$2:$J$4001,Responses!$B$2:$B$4001,$A45,Responses!$K$2:$K$4001,"Medium"),2)</f>
        <v>10.45</v>
      </c>
      <c r="O45" s="3" t="n">
        <f aca="false">COUNTIFS(Responses!$B$2:$B$4001,$A45,Responses!$K$2:$K$4001,"Low",Responses!$I$2:$I$4001,"Correct")</f>
        <v>8</v>
      </c>
      <c r="P45" s="3" t="n">
        <f aca="false">COUNTIFS(Responses!$B$2:$B$4001,$A45,Responses!$K$2:$K$4001,"Low",Responses!$I$2:$I$4001,"Wrong")</f>
        <v>1</v>
      </c>
      <c r="Q45" s="2" t="n">
        <f aca="false">ROUND(SUMIFS(Responses!$J$2:$J$4001,Responses!$B$2:$B$4001,$A45,Responses!$K$2:$K$4001,"Low"),2)</f>
        <v>13.19</v>
      </c>
      <c r="R45" s="2" t="n">
        <f aca="false">ROUND(SUMIFS(Responses!$AB$2:$AB$4001,Responses!$B$2:$B$4001,$A45),2)</f>
        <v>29.94</v>
      </c>
      <c r="S45" s="0" t="str">
        <f aca="false">IF(R45&gt;='Reward Model'!$B$8,"Gold",IF(R45&gt;='Reward Model'!$B$9,"Silver","Bronze"))</f>
        <v>Gold</v>
      </c>
      <c r="T45" s="2" t="n">
        <f aca="false">ROUND(R45/'Reward Model'!$B$7*100,2)</f>
        <v>73.02</v>
      </c>
    </row>
    <row r="46" customFormat="false" ht="15" hidden="false" customHeight="false" outlineLevel="0" collapsed="false">
      <c r="A46" s="0" t="s">
        <v>218</v>
      </c>
      <c r="B46" s="0" t="s">
        <v>30</v>
      </c>
      <c r="C46" s="0" t="s">
        <v>189</v>
      </c>
      <c r="D46" s="0" t="n">
        <f aca="false">F46</f>
        <v>20</v>
      </c>
      <c r="E46" s="2" t="n">
        <f aca="false">ROUND(K46+N46+Q46,2)</f>
        <v>34.23</v>
      </c>
      <c r="F46" s="3" t="n">
        <f aca="false">COUNTIFS(Responses!$B$2:$B$4001,$A46)</f>
        <v>20</v>
      </c>
      <c r="G46" s="3" t="n">
        <f aca="false">I46+L46+O46</f>
        <v>15</v>
      </c>
      <c r="H46" s="3" t="n">
        <f aca="false">J46+M46+P46</f>
        <v>5</v>
      </c>
      <c r="I46" s="3" t="n">
        <f aca="false">COUNTIFS(Responses!$B$2:$B$4001,$A46,Responses!$K$2:$K$4001,"High",Responses!$I$2:$I$4001,"Correct")</f>
        <v>4</v>
      </c>
      <c r="J46" s="3" t="n">
        <f aca="false">COUNTIFS(Responses!$B$2:$B$4001,$A46,Responses!$K$2:$K$4001,"High",Responses!$I$2:$I$4001,"Wrong")</f>
        <v>1</v>
      </c>
      <c r="K46" s="2" t="n">
        <f aca="false">ROUND(SUMIFS(Responses!$J$2:$J$4001,Responses!$B$2:$B$4001,$A46,Responses!$K$2:$K$4001,"High"),2)</f>
        <v>10.57</v>
      </c>
      <c r="L46" s="3" t="n">
        <f aca="false">COUNTIFS(Responses!$B$2:$B$4001,$A46,Responses!$K$2:$K$4001,"Medium",Responses!$I$2:$I$4001,"Correct")</f>
        <v>3</v>
      </c>
      <c r="M46" s="3" t="n">
        <f aca="false">COUNTIFS(Responses!$B$2:$B$4001,$A46,Responses!$K$2:$K$4001,"Medium",Responses!$I$2:$I$4001,"Wrong")</f>
        <v>3</v>
      </c>
      <c r="N46" s="2" t="n">
        <f aca="false">ROUND(SUMIFS(Responses!$J$2:$J$4001,Responses!$B$2:$B$4001,$A46,Responses!$K$2:$K$4001,"Medium"),2)</f>
        <v>10.08</v>
      </c>
      <c r="O46" s="3" t="n">
        <f aca="false">COUNTIFS(Responses!$B$2:$B$4001,$A46,Responses!$K$2:$K$4001,"Low",Responses!$I$2:$I$4001,"Correct")</f>
        <v>8</v>
      </c>
      <c r="P46" s="3" t="n">
        <f aca="false">COUNTIFS(Responses!$B$2:$B$4001,$A46,Responses!$K$2:$K$4001,"Low",Responses!$I$2:$I$4001,"Wrong")</f>
        <v>1</v>
      </c>
      <c r="Q46" s="2" t="n">
        <f aca="false">ROUND(SUMIFS(Responses!$J$2:$J$4001,Responses!$B$2:$B$4001,$A46,Responses!$K$2:$K$4001,"Low"),2)</f>
        <v>13.58</v>
      </c>
      <c r="R46" s="2" t="n">
        <f aca="false">ROUND(SUMIFS(Responses!$AB$2:$AB$4001,Responses!$B$2:$B$4001,$A46),2)</f>
        <v>27.69</v>
      </c>
      <c r="S46" s="0" t="str">
        <f aca="false">IF(R46&gt;='Reward Model'!$B$8,"Gold",IF(R46&gt;='Reward Model'!$B$9,"Silver","Bronze"))</f>
        <v>Silver</v>
      </c>
      <c r="T46" s="2" t="n">
        <f aca="false">ROUND(R46/'Reward Model'!$B$7*100,2)</f>
        <v>67.54</v>
      </c>
    </row>
    <row r="47" customFormat="false" ht="15" hidden="false" customHeight="false" outlineLevel="0" collapsed="false">
      <c r="A47" s="0" t="s">
        <v>220</v>
      </c>
      <c r="B47" s="0" t="s">
        <v>30</v>
      </c>
      <c r="C47" s="0" t="s">
        <v>189</v>
      </c>
      <c r="D47" s="0" t="n">
        <f aca="false">F47</f>
        <v>20</v>
      </c>
      <c r="E47" s="2" t="n">
        <f aca="false">ROUND(K47+N47+Q47,2)</f>
        <v>35.15</v>
      </c>
      <c r="F47" s="3" t="n">
        <f aca="false">COUNTIFS(Responses!$B$2:$B$4001,$A47)</f>
        <v>20</v>
      </c>
      <c r="G47" s="3" t="n">
        <f aca="false">I47+L47+O47</f>
        <v>14</v>
      </c>
      <c r="H47" s="3" t="n">
        <f aca="false">J47+M47+P47</f>
        <v>6</v>
      </c>
      <c r="I47" s="3" t="n">
        <f aca="false">COUNTIFS(Responses!$B$2:$B$4001,$A47,Responses!$K$2:$K$4001,"High",Responses!$I$2:$I$4001,"Correct")</f>
        <v>3</v>
      </c>
      <c r="J47" s="3" t="n">
        <f aca="false">COUNTIFS(Responses!$B$2:$B$4001,$A47,Responses!$K$2:$K$4001,"High",Responses!$I$2:$I$4001,"Wrong")</f>
        <v>2</v>
      </c>
      <c r="K47" s="2" t="n">
        <f aca="false">ROUND(SUMIFS(Responses!$J$2:$J$4001,Responses!$B$2:$B$4001,$A47,Responses!$K$2:$K$4001,"High"),2)</f>
        <v>10.77</v>
      </c>
      <c r="L47" s="3" t="n">
        <f aca="false">COUNTIFS(Responses!$B$2:$B$4001,$A47,Responses!$K$2:$K$4001,"Medium",Responses!$I$2:$I$4001,"Correct")</f>
        <v>4</v>
      </c>
      <c r="M47" s="3" t="n">
        <f aca="false">COUNTIFS(Responses!$B$2:$B$4001,$A47,Responses!$K$2:$K$4001,"Medium",Responses!$I$2:$I$4001,"Wrong")</f>
        <v>2</v>
      </c>
      <c r="N47" s="2" t="n">
        <f aca="false">ROUND(SUMIFS(Responses!$J$2:$J$4001,Responses!$B$2:$B$4001,$A47,Responses!$K$2:$K$4001,"Medium"),2)</f>
        <v>10.72</v>
      </c>
      <c r="O47" s="3" t="n">
        <f aca="false">COUNTIFS(Responses!$B$2:$B$4001,$A47,Responses!$K$2:$K$4001,"Low",Responses!$I$2:$I$4001,"Correct")</f>
        <v>7</v>
      </c>
      <c r="P47" s="3" t="n">
        <f aca="false">COUNTIFS(Responses!$B$2:$B$4001,$A47,Responses!$K$2:$K$4001,"Low",Responses!$I$2:$I$4001,"Wrong")</f>
        <v>2</v>
      </c>
      <c r="Q47" s="2" t="n">
        <f aca="false">ROUND(SUMIFS(Responses!$J$2:$J$4001,Responses!$B$2:$B$4001,$A47,Responses!$K$2:$K$4001,"Low"),2)</f>
        <v>13.66</v>
      </c>
      <c r="R47" s="2" t="n">
        <f aca="false">ROUND(SUMIFS(Responses!$AB$2:$AB$4001,Responses!$B$2:$B$4001,$A47),2)</f>
        <v>25.43</v>
      </c>
      <c r="S47" s="0" t="str">
        <f aca="false">IF(R47&gt;='Reward Model'!$B$8,"Gold",IF(R47&gt;='Reward Model'!$B$9,"Silver","Bronze"))</f>
        <v>Silver</v>
      </c>
      <c r="T47" s="2" t="n">
        <f aca="false">ROUND(R47/'Reward Model'!$B$7*100,2)</f>
        <v>62.02</v>
      </c>
    </row>
    <row r="48" customFormat="false" ht="15" hidden="false" customHeight="false" outlineLevel="0" collapsed="false">
      <c r="A48" s="0" t="s">
        <v>222</v>
      </c>
      <c r="B48" s="0" t="s">
        <v>30</v>
      </c>
      <c r="C48" s="0" t="s">
        <v>189</v>
      </c>
      <c r="D48" s="0" t="n">
        <f aca="false">F48</f>
        <v>20</v>
      </c>
      <c r="E48" s="2" t="n">
        <f aca="false">ROUND(K48+N48+Q48,2)</f>
        <v>32.26</v>
      </c>
      <c r="F48" s="3" t="n">
        <f aca="false">COUNTIFS(Responses!$B$2:$B$4001,$A48)</f>
        <v>20</v>
      </c>
      <c r="G48" s="3" t="n">
        <f aca="false">I48+L48+O48</f>
        <v>13</v>
      </c>
      <c r="H48" s="3" t="n">
        <f aca="false">J48+M48+P48</f>
        <v>7</v>
      </c>
      <c r="I48" s="3" t="n">
        <f aca="false">COUNTIFS(Responses!$B$2:$B$4001,$A48,Responses!$K$2:$K$4001,"High",Responses!$I$2:$I$4001,"Correct")</f>
        <v>2</v>
      </c>
      <c r="J48" s="3" t="n">
        <f aca="false">COUNTIFS(Responses!$B$2:$B$4001,$A48,Responses!$K$2:$K$4001,"High",Responses!$I$2:$I$4001,"Wrong")</f>
        <v>3</v>
      </c>
      <c r="K48" s="2" t="n">
        <f aca="false">ROUND(SUMIFS(Responses!$J$2:$J$4001,Responses!$B$2:$B$4001,$A48,Responses!$K$2:$K$4001,"High"),2)</f>
        <v>9.6</v>
      </c>
      <c r="L48" s="3" t="n">
        <f aca="false">COUNTIFS(Responses!$B$2:$B$4001,$A48,Responses!$K$2:$K$4001,"Medium",Responses!$I$2:$I$4001,"Correct")</f>
        <v>4</v>
      </c>
      <c r="M48" s="3" t="n">
        <f aca="false">COUNTIFS(Responses!$B$2:$B$4001,$A48,Responses!$K$2:$K$4001,"Medium",Responses!$I$2:$I$4001,"Wrong")</f>
        <v>2</v>
      </c>
      <c r="N48" s="2" t="n">
        <f aca="false">ROUND(SUMIFS(Responses!$J$2:$J$4001,Responses!$B$2:$B$4001,$A48,Responses!$K$2:$K$4001,"Medium"),2)</f>
        <v>11.58</v>
      </c>
      <c r="O48" s="3" t="n">
        <f aca="false">COUNTIFS(Responses!$B$2:$B$4001,$A48,Responses!$K$2:$K$4001,"Low",Responses!$I$2:$I$4001,"Correct")</f>
        <v>7</v>
      </c>
      <c r="P48" s="3" t="n">
        <f aca="false">COUNTIFS(Responses!$B$2:$B$4001,$A48,Responses!$K$2:$K$4001,"Low",Responses!$I$2:$I$4001,"Wrong")</f>
        <v>2</v>
      </c>
      <c r="Q48" s="2" t="n">
        <f aca="false">ROUND(SUMIFS(Responses!$J$2:$J$4001,Responses!$B$2:$B$4001,$A48,Responses!$K$2:$K$4001,"Low"),2)</f>
        <v>11.08</v>
      </c>
      <c r="R48" s="2" t="n">
        <f aca="false">ROUND(SUMIFS(Responses!$AB$2:$AB$4001,Responses!$B$2:$B$4001,$A48),2)</f>
        <v>23.25</v>
      </c>
      <c r="S48" s="0" t="str">
        <f aca="false">IF(R48&gt;='Reward Model'!$B$8,"Gold",IF(R48&gt;='Reward Model'!$B$9,"Silver","Bronze"))</f>
        <v>Silver</v>
      </c>
      <c r="T48" s="2" t="n">
        <f aca="false">ROUND(R48/'Reward Model'!$B$7*100,2)</f>
        <v>56.71</v>
      </c>
    </row>
    <row r="49" customFormat="false" ht="15" hidden="false" customHeight="false" outlineLevel="0" collapsed="false">
      <c r="A49" s="0" t="s">
        <v>224</v>
      </c>
      <c r="B49" s="0" t="s">
        <v>30</v>
      </c>
      <c r="C49" s="0" t="s">
        <v>189</v>
      </c>
      <c r="D49" s="0" t="n">
        <f aca="false">F49</f>
        <v>20</v>
      </c>
      <c r="E49" s="2" t="n">
        <f aca="false">ROUND(K49+N49+Q49,2)</f>
        <v>31.88</v>
      </c>
      <c r="F49" s="3" t="n">
        <f aca="false">COUNTIFS(Responses!$B$2:$B$4001,$A49)</f>
        <v>20</v>
      </c>
      <c r="G49" s="3" t="n">
        <f aca="false">I49+L49+O49</f>
        <v>12</v>
      </c>
      <c r="H49" s="3" t="n">
        <f aca="false">J49+M49+P49</f>
        <v>8</v>
      </c>
      <c r="I49" s="3" t="n">
        <f aca="false">COUNTIFS(Responses!$B$2:$B$4001,$A49,Responses!$K$2:$K$4001,"High",Responses!$I$2:$I$4001,"Correct")</f>
        <v>2</v>
      </c>
      <c r="J49" s="3" t="n">
        <f aca="false">COUNTIFS(Responses!$B$2:$B$4001,$A49,Responses!$K$2:$K$4001,"High",Responses!$I$2:$I$4001,"Wrong")</f>
        <v>3</v>
      </c>
      <c r="K49" s="2" t="n">
        <f aca="false">ROUND(SUMIFS(Responses!$J$2:$J$4001,Responses!$B$2:$B$4001,$A49,Responses!$K$2:$K$4001,"High"),2)</f>
        <v>9.51</v>
      </c>
      <c r="L49" s="3" t="n">
        <f aca="false">COUNTIFS(Responses!$B$2:$B$4001,$A49,Responses!$K$2:$K$4001,"Medium",Responses!$I$2:$I$4001,"Correct")</f>
        <v>3</v>
      </c>
      <c r="M49" s="3" t="n">
        <f aca="false">COUNTIFS(Responses!$B$2:$B$4001,$A49,Responses!$K$2:$K$4001,"Medium",Responses!$I$2:$I$4001,"Wrong")</f>
        <v>3</v>
      </c>
      <c r="N49" s="2" t="n">
        <f aca="false">ROUND(SUMIFS(Responses!$J$2:$J$4001,Responses!$B$2:$B$4001,$A49,Responses!$K$2:$K$4001,"Medium"),2)</f>
        <v>10.89</v>
      </c>
      <c r="O49" s="3" t="n">
        <f aca="false">COUNTIFS(Responses!$B$2:$B$4001,$A49,Responses!$K$2:$K$4001,"Low",Responses!$I$2:$I$4001,"Correct")</f>
        <v>7</v>
      </c>
      <c r="P49" s="3" t="n">
        <f aca="false">COUNTIFS(Responses!$B$2:$B$4001,$A49,Responses!$K$2:$K$4001,"Low",Responses!$I$2:$I$4001,"Wrong")</f>
        <v>2</v>
      </c>
      <c r="Q49" s="2" t="n">
        <f aca="false">ROUND(SUMIFS(Responses!$J$2:$J$4001,Responses!$B$2:$B$4001,$A49,Responses!$K$2:$K$4001,"Low"),2)</f>
        <v>11.48</v>
      </c>
      <c r="R49" s="2" t="n">
        <f aca="false">ROUND(SUMIFS(Responses!$AB$2:$AB$4001,Responses!$B$2:$B$4001,$A49),2)</f>
        <v>21.65</v>
      </c>
      <c r="S49" s="0" t="str">
        <f aca="false">IF(R49&gt;='Reward Model'!$B$8,"Gold",IF(R49&gt;='Reward Model'!$B$9,"Silver","Bronze"))</f>
        <v>Silver</v>
      </c>
      <c r="T49" s="2" t="n">
        <f aca="false">ROUND(R49/'Reward Model'!$B$7*100,2)</f>
        <v>52.8</v>
      </c>
    </row>
    <row r="50" customFormat="false" ht="15" hidden="false" customHeight="false" outlineLevel="0" collapsed="false">
      <c r="A50" s="0" t="s">
        <v>226</v>
      </c>
      <c r="B50" s="0" t="s">
        <v>30</v>
      </c>
      <c r="C50" s="0" t="s">
        <v>189</v>
      </c>
      <c r="D50" s="0" t="n">
        <f aca="false">F50</f>
        <v>20</v>
      </c>
      <c r="E50" s="2" t="n">
        <f aca="false">ROUND(K50+N50+Q50,2)</f>
        <v>33.35</v>
      </c>
      <c r="F50" s="3" t="n">
        <f aca="false">COUNTIFS(Responses!$B$2:$B$4001,$A50)</f>
        <v>20</v>
      </c>
      <c r="G50" s="3" t="n">
        <f aca="false">I50+L50+O50</f>
        <v>16</v>
      </c>
      <c r="H50" s="3" t="n">
        <f aca="false">J50+M50+P50</f>
        <v>4</v>
      </c>
      <c r="I50" s="3" t="n">
        <f aca="false">COUNTIFS(Responses!$B$2:$B$4001,$A50,Responses!$K$2:$K$4001,"High",Responses!$I$2:$I$4001,"Correct")</f>
        <v>4</v>
      </c>
      <c r="J50" s="3" t="n">
        <f aca="false">COUNTIFS(Responses!$B$2:$B$4001,$A50,Responses!$K$2:$K$4001,"High",Responses!$I$2:$I$4001,"Wrong")</f>
        <v>1</v>
      </c>
      <c r="K50" s="2" t="n">
        <f aca="false">ROUND(SUMIFS(Responses!$J$2:$J$4001,Responses!$B$2:$B$4001,$A50,Responses!$K$2:$K$4001,"High"),2)</f>
        <v>10.81</v>
      </c>
      <c r="L50" s="3" t="n">
        <f aca="false">COUNTIFS(Responses!$B$2:$B$4001,$A50,Responses!$K$2:$K$4001,"Medium",Responses!$I$2:$I$4001,"Correct")</f>
        <v>4</v>
      </c>
      <c r="M50" s="3" t="n">
        <f aca="false">COUNTIFS(Responses!$B$2:$B$4001,$A50,Responses!$K$2:$K$4001,"Medium",Responses!$I$2:$I$4001,"Wrong")</f>
        <v>2</v>
      </c>
      <c r="N50" s="2" t="n">
        <f aca="false">ROUND(SUMIFS(Responses!$J$2:$J$4001,Responses!$B$2:$B$4001,$A50,Responses!$K$2:$K$4001,"Medium"),2)</f>
        <v>10.5</v>
      </c>
      <c r="O50" s="3" t="n">
        <f aca="false">COUNTIFS(Responses!$B$2:$B$4001,$A50,Responses!$K$2:$K$4001,"Low",Responses!$I$2:$I$4001,"Correct")</f>
        <v>8</v>
      </c>
      <c r="P50" s="3" t="n">
        <f aca="false">COUNTIFS(Responses!$B$2:$B$4001,$A50,Responses!$K$2:$K$4001,"Low",Responses!$I$2:$I$4001,"Wrong")</f>
        <v>1</v>
      </c>
      <c r="Q50" s="2" t="n">
        <f aca="false">ROUND(SUMIFS(Responses!$J$2:$J$4001,Responses!$B$2:$B$4001,$A50,Responses!$K$2:$K$4001,"Low"),2)</f>
        <v>12.04</v>
      </c>
      <c r="R50" s="2" t="n">
        <f aca="false">ROUND(SUMIFS(Responses!$AB$2:$AB$4001,Responses!$B$2:$B$4001,$A50),2)</f>
        <v>30.29</v>
      </c>
      <c r="S50" s="0" t="str">
        <f aca="false">IF(R50&gt;='Reward Model'!$B$8,"Gold",IF(R50&gt;='Reward Model'!$B$9,"Silver","Bronze"))</f>
        <v>Gold</v>
      </c>
      <c r="T50" s="2" t="n">
        <f aca="false">ROUND(R50/'Reward Model'!$B$7*100,2)</f>
        <v>73.88</v>
      </c>
    </row>
    <row r="51" customFormat="false" ht="15" hidden="false" customHeight="false" outlineLevel="0" collapsed="false">
      <c r="A51" s="0" t="s">
        <v>228</v>
      </c>
      <c r="B51" s="0" t="s">
        <v>30</v>
      </c>
      <c r="C51" s="0" t="s">
        <v>189</v>
      </c>
      <c r="D51" s="0" t="n">
        <f aca="false">F51</f>
        <v>20</v>
      </c>
      <c r="E51" s="2" t="n">
        <f aca="false">ROUND(K51+N51+Q51,2)</f>
        <v>34.83</v>
      </c>
      <c r="F51" s="3" t="n">
        <f aca="false">COUNTIFS(Responses!$B$2:$B$4001,$A51)</f>
        <v>20</v>
      </c>
      <c r="G51" s="3" t="n">
        <f aca="false">I51+L51+O51</f>
        <v>15</v>
      </c>
      <c r="H51" s="3" t="n">
        <f aca="false">J51+M51+P51</f>
        <v>5</v>
      </c>
      <c r="I51" s="3" t="n">
        <f aca="false">COUNTIFS(Responses!$B$2:$B$4001,$A51,Responses!$K$2:$K$4001,"High",Responses!$I$2:$I$4001,"Correct")</f>
        <v>4</v>
      </c>
      <c r="J51" s="3" t="n">
        <f aca="false">COUNTIFS(Responses!$B$2:$B$4001,$A51,Responses!$K$2:$K$4001,"High",Responses!$I$2:$I$4001,"Wrong")</f>
        <v>1</v>
      </c>
      <c r="K51" s="2" t="n">
        <f aca="false">ROUND(SUMIFS(Responses!$J$2:$J$4001,Responses!$B$2:$B$4001,$A51,Responses!$K$2:$K$4001,"High"),2)</f>
        <v>10.06</v>
      </c>
      <c r="L51" s="3" t="n">
        <f aca="false">COUNTIFS(Responses!$B$2:$B$4001,$A51,Responses!$K$2:$K$4001,"Medium",Responses!$I$2:$I$4001,"Correct")</f>
        <v>3</v>
      </c>
      <c r="M51" s="3" t="n">
        <f aca="false">COUNTIFS(Responses!$B$2:$B$4001,$A51,Responses!$K$2:$K$4001,"Medium",Responses!$I$2:$I$4001,"Wrong")</f>
        <v>3</v>
      </c>
      <c r="N51" s="2" t="n">
        <f aca="false">ROUND(SUMIFS(Responses!$J$2:$J$4001,Responses!$B$2:$B$4001,$A51,Responses!$K$2:$K$4001,"Medium"),2)</f>
        <v>9.98</v>
      </c>
      <c r="O51" s="3" t="n">
        <f aca="false">COUNTIFS(Responses!$B$2:$B$4001,$A51,Responses!$K$2:$K$4001,"Low",Responses!$I$2:$I$4001,"Correct")</f>
        <v>8</v>
      </c>
      <c r="P51" s="3" t="n">
        <f aca="false">COUNTIFS(Responses!$B$2:$B$4001,$A51,Responses!$K$2:$K$4001,"Low",Responses!$I$2:$I$4001,"Wrong")</f>
        <v>1</v>
      </c>
      <c r="Q51" s="2" t="n">
        <f aca="false">ROUND(SUMIFS(Responses!$J$2:$J$4001,Responses!$B$2:$B$4001,$A51,Responses!$K$2:$K$4001,"Low"),2)</f>
        <v>14.79</v>
      </c>
      <c r="R51" s="2" t="n">
        <f aca="false">ROUND(SUMIFS(Responses!$AB$2:$AB$4001,Responses!$B$2:$B$4001,$A51),2)</f>
        <v>28.99</v>
      </c>
      <c r="S51" s="0" t="str">
        <f aca="false">IF(R51&gt;='Reward Model'!$B$8,"Gold",IF(R51&gt;='Reward Model'!$B$9,"Silver","Bronze"))</f>
        <v>Gold</v>
      </c>
      <c r="T51" s="2" t="n">
        <f aca="false">ROUND(R51/'Reward Model'!$B$7*100,2)</f>
        <v>70.71</v>
      </c>
    </row>
    <row r="52" customFormat="false" ht="15" hidden="false" customHeight="false" outlineLevel="0" collapsed="false">
      <c r="A52" s="0" t="s">
        <v>230</v>
      </c>
      <c r="B52" s="0" t="s">
        <v>30</v>
      </c>
      <c r="C52" s="0" t="s">
        <v>189</v>
      </c>
      <c r="D52" s="0" t="n">
        <f aca="false">F52</f>
        <v>20</v>
      </c>
      <c r="E52" s="2" t="n">
        <f aca="false">ROUND(K52+N52+Q52,2)</f>
        <v>30.32</v>
      </c>
      <c r="F52" s="3" t="n">
        <f aca="false">COUNTIFS(Responses!$B$2:$B$4001,$A52)</f>
        <v>20</v>
      </c>
      <c r="G52" s="3" t="n">
        <f aca="false">I52+L52+O52</f>
        <v>12</v>
      </c>
      <c r="H52" s="3" t="n">
        <f aca="false">J52+M52+P52</f>
        <v>8</v>
      </c>
      <c r="I52" s="3" t="n">
        <f aca="false">COUNTIFS(Responses!$B$2:$B$4001,$A52,Responses!$K$2:$K$4001,"High",Responses!$I$2:$I$4001,"Correct")</f>
        <v>3</v>
      </c>
      <c r="J52" s="3" t="n">
        <f aca="false">COUNTIFS(Responses!$B$2:$B$4001,$A52,Responses!$K$2:$K$4001,"High",Responses!$I$2:$I$4001,"Wrong")</f>
        <v>2</v>
      </c>
      <c r="K52" s="2" t="n">
        <f aca="false">ROUND(SUMIFS(Responses!$J$2:$J$4001,Responses!$B$2:$B$4001,$A52,Responses!$K$2:$K$4001,"High"),2)</f>
        <v>9.68</v>
      </c>
      <c r="L52" s="3" t="n">
        <f aca="false">COUNTIFS(Responses!$B$2:$B$4001,$A52,Responses!$K$2:$K$4001,"Medium",Responses!$I$2:$I$4001,"Correct")</f>
        <v>2</v>
      </c>
      <c r="M52" s="3" t="n">
        <f aca="false">COUNTIFS(Responses!$B$2:$B$4001,$A52,Responses!$K$2:$K$4001,"Medium",Responses!$I$2:$I$4001,"Wrong")</f>
        <v>4</v>
      </c>
      <c r="N52" s="2" t="n">
        <f aca="false">ROUND(SUMIFS(Responses!$J$2:$J$4001,Responses!$B$2:$B$4001,$A52,Responses!$K$2:$K$4001,"Medium"),2)</f>
        <v>8.8</v>
      </c>
      <c r="O52" s="3" t="n">
        <f aca="false">COUNTIFS(Responses!$B$2:$B$4001,$A52,Responses!$K$2:$K$4001,"Low",Responses!$I$2:$I$4001,"Correct")</f>
        <v>7</v>
      </c>
      <c r="P52" s="3" t="n">
        <f aca="false">COUNTIFS(Responses!$B$2:$B$4001,$A52,Responses!$K$2:$K$4001,"Low",Responses!$I$2:$I$4001,"Wrong")</f>
        <v>2</v>
      </c>
      <c r="Q52" s="2" t="n">
        <f aca="false">ROUND(SUMIFS(Responses!$J$2:$J$4001,Responses!$B$2:$B$4001,$A52,Responses!$K$2:$K$4001,"Low"),2)</f>
        <v>11.84</v>
      </c>
      <c r="R52" s="2" t="n">
        <f aca="false">ROUND(SUMIFS(Responses!$AB$2:$AB$4001,Responses!$B$2:$B$4001,$A52),2)</f>
        <v>21.5</v>
      </c>
      <c r="S52" s="0" t="str">
        <f aca="false">IF(R52&gt;='Reward Model'!$B$8,"Gold",IF(R52&gt;='Reward Model'!$B$9,"Silver","Bronze"))</f>
        <v>Silver</v>
      </c>
      <c r="T52" s="2" t="n">
        <f aca="false">ROUND(R52/'Reward Model'!$B$7*100,2)</f>
        <v>52.44</v>
      </c>
    </row>
    <row r="53" customFormat="false" ht="15" hidden="false" customHeight="false" outlineLevel="0" collapsed="false">
      <c r="A53" s="0" t="s">
        <v>232</v>
      </c>
      <c r="B53" s="0" t="s">
        <v>30</v>
      </c>
      <c r="C53" s="0" t="s">
        <v>189</v>
      </c>
      <c r="D53" s="0" t="n">
        <f aca="false">F53</f>
        <v>20</v>
      </c>
      <c r="E53" s="2" t="n">
        <f aca="false">ROUND(K53+N53+Q53,2)</f>
        <v>31.72</v>
      </c>
      <c r="F53" s="3" t="n">
        <f aca="false">COUNTIFS(Responses!$B$2:$B$4001,$A53)</f>
        <v>20</v>
      </c>
      <c r="G53" s="3" t="n">
        <f aca="false">I53+L53+O53</f>
        <v>16</v>
      </c>
      <c r="H53" s="3" t="n">
        <f aca="false">J53+M53+P53</f>
        <v>4</v>
      </c>
      <c r="I53" s="3" t="n">
        <f aca="false">COUNTIFS(Responses!$B$2:$B$4001,$A53,Responses!$K$2:$K$4001,"High",Responses!$I$2:$I$4001,"Correct")</f>
        <v>3</v>
      </c>
      <c r="J53" s="3" t="n">
        <f aca="false">COUNTIFS(Responses!$B$2:$B$4001,$A53,Responses!$K$2:$K$4001,"High",Responses!$I$2:$I$4001,"Wrong")</f>
        <v>2</v>
      </c>
      <c r="K53" s="2" t="n">
        <f aca="false">ROUND(SUMIFS(Responses!$J$2:$J$4001,Responses!$B$2:$B$4001,$A53,Responses!$K$2:$K$4001,"High"),2)</f>
        <v>9.63</v>
      </c>
      <c r="L53" s="3" t="n">
        <f aca="false">COUNTIFS(Responses!$B$2:$B$4001,$A53,Responses!$K$2:$K$4001,"Medium",Responses!$I$2:$I$4001,"Correct")</f>
        <v>5</v>
      </c>
      <c r="M53" s="3" t="n">
        <f aca="false">COUNTIFS(Responses!$B$2:$B$4001,$A53,Responses!$K$2:$K$4001,"Medium",Responses!$I$2:$I$4001,"Wrong")</f>
        <v>1</v>
      </c>
      <c r="N53" s="2" t="n">
        <f aca="false">ROUND(SUMIFS(Responses!$J$2:$J$4001,Responses!$B$2:$B$4001,$A53,Responses!$K$2:$K$4001,"Medium"),2)</f>
        <v>9.57</v>
      </c>
      <c r="O53" s="3" t="n">
        <f aca="false">COUNTIFS(Responses!$B$2:$B$4001,$A53,Responses!$K$2:$K$4001,"Low",Responses!$I$2:$I$4001,"Correct")</f>
        <v>8</v>
      </c>
      <c r="P53" s="3" t="n">
        <f aca="false">COUNTIFS(Responses!$B$2:$B$4001,$A53,Responses!$K$2:$K$4001,"Low",Responses!$I$2:$I$4001,"Wrong")</f>
        <v>1</v>
      </c>
      <c r="Q53" s="2" t="n">
        <f aca="false">ROUND(SUMIFS(Responses!$J$2:$J$4001,Responses!$B$2:$B$4001,$A53,Responses!$K$2:$K$4001,"Low"),2)</f>
        <v>12.52</v>
      </c>
      <c r="R53" s="2" t="n">
        <f aca="false">ROUND(SUMIFS(Responses!$AB$2:$AB$4001,Responses!$B$2:$B$4001,$A53),2)</f>
        <v>30.88</v>
      </c>
      <c r="S53" s="0" t="str">
        <f aca="false">IF(R53&gt;='Reward Model'!$B$8,"Gold",IF(R53&gt;='Reward Model'!$B$9,"Silver","Bronze"))</f>
        <v>Gold</v>
      </c>
      <c r="T53" s="2" t="n">
        <f aca="false">ROUND(R53/'Reward Model'!$B$7*100,2)</f>
        <v>75.32</v>
      </c>
    </row>
    <row r="54" customFormat="false" ht="15" hidden="false" customHeight="false" outlineLevel="0" collapsed="false">
      <c r="A54" s="0" t="s">
        <v>234</v>
      </c>
      <c r="B54" s="0" t="s">
        <v>30</v>
      </c>
      <c r="C54" s="0" t="s">
        <v>189</v>
      </c>
      <c r="D54" s="0" t="n">
        <f aca="false">F54</f>
        <v>20</v>
      </c>
      <c r="E54" s="2" t="n">
        <f aca="false">ROUND(K54+N54+Q54,2)</f>
        <v>33.29</v>
      </c>
      <c r="F54" s="3" t="n">
        <f aca="false">COUNTIFS(Responses!$B$2:$B$4001,$A54)</f>
        <v>20</v>
      </c>
      <c r="G54" s="3" t="n">
        <f aca="false">I54+L54+O54</f>
        <v>12</v>
      </c>
      <c r="H54" s="3" t="n">
        <f aca="false">J54+M54+P54</f>
        <v>8</v>
      </c>
      <c r="I54" s="3" t="n">
        <f aca="false">COUNTIFS(Responses!$B$2:$B$4001,$A54,Responses!$K$2:$K$4001,"High",Responses!$I$2:$I$4001,"Correct")</f>
        <v>1</v>
      </c>
      <c r="J54" s="3" t="n">
        <f aca="false">COUNTIFS(Responses!$B$2:$B$4001,$A54,Responses!$K$2:$K$4001,"High",Responses!$I$2:$I$4001,"Wrong")</f>
        <v>4</v>
      </c>
      <c r="K54" s="2" t="n">
        <f aca="false">ROUND(SUMIFS(Responses!$J$2:$J$4001,Responses!$B$2:$B$4001,$A54,Responses!$K$2:$K$4001,"High"),2)</f>
        <v>9.94</v>
      </c>
      <c r="L54" s="3" t="n">
        <f aca="false">COUNTIFS(Responses!$B$2:$B$4001,$A54,Responses!$K$2:$K$4001,"Medium",Responses!$I$2:$I$4001,"Correct")</f>
        <v>3</v>
      </c>
      <c r="M54" s="3" t="n">
        <f aca="false">COUNTIFS(Responses!$B$2:$B$4001,$A54,Responses!$K$2:$K$4001,"Medium",Responses!$I$2:$I$4001,"Wrong")</f>
        <v>3</v>
      </c>
      <c r="N54" s="2" t="n">
        <f aca="false">ROUND(SUMIFS(Responses!$J$2:$J$4001,Responses!$B$2:$B$4001,$A54,Responses!$K$2:$K$4001,"Medium"),2)</f>
        <v>9.4</v>
      </c>
      <c r="O54" s="3" t="n">
        <f aca="false">COUNTIFS(Responses!$B$2:$B$4001,$A54,Responses!$K$2:$K$4001,"Low",Responses!$I$2:$I$4001,"Correct")</f>
        <v>8</v>
      </c>
      <c r="P54" s="3" t="n">
        <f aca="false">COUNTIFS(Responses!$B$2:$B$4001,$A54,Responses!$K$2:$K$4001,"Low",Responses!$I$2:$I$4001,"Wrong")</f>
        <v>1</v>
      </c>
      <c r="Q54" s="2" t="n">
        <f aca="false">ROUND(SUMIFS(Responses!$J$2:$J$4001,Responses!$B$2:$B$4001,$A54,Responses!$K$2:$K$4001,"Low"),2)</f>
        <v>13.95</v>
      </c>
      <c r="R54" s="2" t="n">
        <f aca="false">ROUND(SUMIFS(Responses!$AB$2:$AB$4001,Responses!$B$2:$B$4001,$A54),2)</f>
        <v>19.7</v>
      </c>
      <c r="S54" s="0" t="str">
        <f aca="false">IF(R54&gt;='Reward Model'!$B$8,"Gold",IF(R54&gt;='Reward Model'!$B$9,"Silver","Bronze"))</f>
        <v>Bronze</v>
      </c>
      <c r="T54" s="2" t="n">
        <f aca="false">ROUND(R54/'Reward Model'!$B$7*100,2)</f>
        <v>48.05</v>
      </c>
    </row>
    <row r="55" customFormat="false" ht="15" hidden="false" customHeight="false" outlineLevel="0" collapsed="false">
      <c r="A55" s="0" t="s">
        <v>236</v>
      </c>
      <c r="B55" s="0" t="s">
        <v>30</v>
      </c>
      <c r="C55" s="0" t="s">
        <v>189</v>
      </c>
      <c r="D55" s="0" t="n">
        <f aca="false">F55</f>
        <v>20</v>
      </c>
      <c r="E55" s="2" t="n">
        <f aca="false">ROUND(K55+N55+Q55,2)</f>
        <v>31.36</v>
      </c>
      <c r="F55" s="3" t="n">
        <f aca="false">COUNTIFS(Responses!$B$2:$B$4001,$A55)</f>
        <v>20</v>
      </c>
      <c r="G55" s="3" t="n">
        <f aca="false">I55+L55+O55</f>
        <v>14</v>
      </c>
      <c r="H55" s="3" t="n">
        <f aca="false">J55+M55+P55</f>
        <v>6</v>
      </c>
      <c r="I55" s="3" t="n">
        <f aca="false">COUNTIFS(Responses!$B$2:$B$4001,$A55,Responses!$K$2:$K$4001,"High",Responses!$I$2:$I$4001,"Correct")</f>
        <v>1</v>
      </c>
      <c r="J55" s="3" t="n">
        <f aca="false">COUNTIFS(Responses!$B$2:$B$4001,$A55,Responses!$K$2:$K$4001,"High",Responses!$I$2:$I$4001,"Wrong")</f>
        <v>4</v>
      </c>
      <c r="K55" s="2" t="n">
        <f aca="false">ROUND(SUMIFS(Responses!$J$2:$J$4001,Responses!$B$2:$B$4001,$A55,Responses!$K$2:$K$4001,"High"),2)</f>
        <v>9.77</v>
      </c>
      <c r="L55" s="3" t="n">
        <f aca="false">COUNTIFS(Responses!$B$2:$B$4001,$A55,Responses!$K$2:$K$4001,"Medium",Responses!$I$2:$I$4001,"Correct")</f>
        <v>5</v>
      </c>
      <c r="M55" s="3" t="n">
        <f aca="false">COUNTIFS(Responses!$B$2:$B$4001,$A55,Responses!$K$2:$K$4001,"Medium",Responses!$I$2:$I$4001,"Wrong")</f>
        <v>1</v>
      </c>
      <c r="N55" s="2" t="n">
        <f aca="false">ROUND(SUMIFS(Responses!$J$2:$J$4001,Responses!$B$2:$B$4001,$A55,Responses!$K$2:$K$4001,"Medium"),2)</f>
        <v>10.1</v>
      </c>
      <c r="O55" s="3" t="n">
        <f aca="false">COUNTIFS(Responses!$B$2:$B$4001,$A55,Responses!$K$2:$K$4001,"Low",Responses!$I$2:$I$4001,"Correct")</f>
        <v>8</v>
      </c>
      <c r="P55" s="3" t="n">
        <f aca="false">COUNTIFS(Responses!$B$2:$B$4001,$A55,Responses!$K$2:$K$4001,"Low",Responses!$I$2:$I$4001,"Wrong")</f>
        <v>1</v>
      </c>
      <c r="Q55" s="2" t="n">
        <f aca="false">ROUND(SUMIFS(Responses!$J$2:$J$4001,Responses!$B$2:$B$4001,$A55,Responses!$K$2:$K$4001,"Low"),2)</f>
        <v>11.49</v>
      </c>
      <c r="R55" s="2" t="n">
        <f aca="false">ROUND(SUMIFS(Responses!$AB$2:$AB$4001,Responses!$B$2:$B$4001,$A55),2)</f>
        <v>25.13</v>
      </c>
      <c r="S55" s="0" t="str">
        <f aca="false">IF(R55&gt;='Reward Model'!$B$8,"Gold",IF(R55&gt;='Reward Model'!$B$9,"Silver","Bronze"))</f>
        <v>Silver</v>
      </c>
      <c r="T55" s="2" t="n">
        <f aca="false">ROUND(R55/'Reward Model'!$B$7*100,2)</f>
        <v>61.29</v>
      </c>
    </row>
    <row r="56" customFormat="false" ht="15" hidden="false" customHeight="false" outlineLevel="0" collapsed="false">
      <c r="A56" s="0" t="s">
        <v>238</v>
      </c>
      <c r="B56" s="0" t="s">
        <v>30</v>
      </c>
      <c r="C56" s="0" t="s">
        <v>189</v>
      </c>
      <c r="D56" s="0" t="n">
        <f aca="false">F56</f>
        <v>20</v>
      </c>
      <c r="E56" s="2" t="n">
        <f aca="false">ROUND(K56+N56+Q56,2)</f>
        <v>32.86</v>
      </c>
      <c r="F56" s="3" t="n">
        <f aca="false">COUNTIFS(Responses!$B$2:$B$4001,$A56)</f>
        <v>20</v>
      </c>
      <c r="G56" s="3" t="n">
        <f aca="false">I56+L56+O56</f>
        <v>13</v>
      </c>
      <c r="H56" s="3" t="n">
        <f aca="false">J56+M56+P56</f>
        <v>7</v>
      </c>
      <c r="I56" s="3" t="n">
        <f aca="false">COUNTIFS(Responses!$B$2:$B$4001,$A56,Responses!$K$2:$K$4001,"High",Responses!$I$2:$I$4001,"Correct")</f>
        <v>1</v>
      </c>
      <c r="J56" s="3" t="n">
        <f aca="false">COUNTIFS(Responses!$B$2:$B$4001,$A56,Responses!$K$2:$K$4001,"High",Responses!$I$2:$I$4001,"Wrong")</f>
        <v>4</v>
      </c>
      <c r="K56" s="2" t="n">
        <f aca="false">ROUND(SUMIFS(Responses!$J$2:$J$4001,Responses!$B$2:$B$4001,$A56,Responses!$K$2:$K$4001,"High"),2)</f>
        <v>10.85</v>
      </c>
      <c r="L56" s="3" t="n">
        <f aca="false">COUNTIFS(Responses!$B$2:$B$4001,$A56,Responses!$K$2:$K$4001,"Medium",Responses!$I$2:$I$4001,"Correct")</f>
        <v>5</v>
      </c>
      <c r="M56" s="3" t="n">
        <f aca="false">COUNTIFS(Responses!$B$2:$B$4001,$A56,Responses!$K$2:$K$4001,"Medium",Responses!$I$2:$I$4001,"Wrong")</f>
        <v>1</v>
      </c>
      <c r="N56" s="2" t="n">
        <f aca="false">ROUND(SUMIFS(Responses!$J$2:$J$4001,Responses!$B$2:$B$4001,$A56,Responses!$K$2:$K$4001,"Medium"),2)</f>
        <v>9.72</v>
      </c>
      <c r="O56" s="3" t="n">
        <f aca="false">COUNTIFS(Responses!$B$2:$B$4001,$A56,Responses!$K$2:$K$4001,"Low",Responses!$I$2:$I$4001,"Correct")</f>
        <v>7</v>
      </c>
      <c r="P56" s="3" t="n">
        <f aca="false">COUNTIFS(Responses!$B$2:$B$4001,$A56,Responses!$K$2:$K$4001,"Low",Responses!$I$2:$I$4001,"Wrong")</f>
        <v>2</v>
      </c>
      <c r="Q56" s="2" t="n">
        <f aca="false">ROUND(SUMIFS(Responses!$J$2:$J$4001,Responses!$B$2:$B$4001,$A56,Responses!$K$2:$K$4001,"Low"),2)</f>
        <v>12.29</v>
      </c>
      <c r="R56" s="2" t="n">
        <f aca="false">ROUND(SUMIFS(Responses!$AB$2:$AB$4001,Responses!$B$2:$B$4001,$A56),2)</f>
        <v>21.77</v>
      </c>
      <c r="S56" s="0" t="str">
        <f aca="false">IF(R56&gt;='Reward Model'!$B$8,"Gold",IF(R56&gt;='Reward Model'!$B$9,"Silver","Bronze"))</f>
        <v>Silver</v>
      </c>
      <c r="T56" s="2" t="n">
        <f aca="false">ROUND(R56/'Reward Model'!$B$7*100,2)</f>
        <v>53.1</v>
      </c>
    </row>
    <row r="57" customFormat="false" ht="15" hidden="false" customHeight="false" outlineLevel="0" collapsed="false">
      <c r="A57" s="0" t="s">
        <v>240</v>
      </c>
      <c r="B57" s="0" t="s">
        <v>30</v>
      </c>
      <c r="C57" s="0" t="s">
        <v>189</v>
      </c>
      <c r="D57" s="0" t="n">
        <f aca="false">F57</f>
        <v>20</v>
      </c>
      <c r="E57" s="2" t="n">
        <f aca="false">ROUND(K57+N57+Q57,2)</f>
        <v>32.39</v>
      </c>
      <c r="F57" s="3" t="n">
        <f aca="false">COUNTIFS(Responses!$B$2:$B$4001,$A57)</f>
        <v>20</v>
      </c>
      <c r="G57" s="3" t="n">
        <f aca="false">I57+L57+O57</f>
        <v>9</v>
      </c>
      <c r="H57" s="3" t="n">
        <f aca="false">J57+M57+P57</f>
        <v>11</v>
      </c>
      <c r="I57" s="3" t="n">
        <f aca="false">COUNTIFS(Responses!$B$2:$B$4001,$A57,Responses!$K$2:$K$4001,"High",Responses!$I$2:$I$4001,"Correct")</f>
        <v>1</v>
      </c>
      <c r="J57" s="3" t="n">
        <f aca="false">COUNTIFS(Responses!$B$2:$B$4001,$A57,Responses!$K$2:$K$4001,"High",Responses!$I$2:$I$4001,"Wrong")</f>
        <v>4</v>
      </c>
      <c r="K57" s="2" t="n">
        <f aca="false">ROUND(SUMIFS(Responses!$J$2:$J$4001,Responses!$B$2:$B$4001,$A57,Responses!$K$2:$K$4001,"High"),2)</f>
        <v>8.38</v>
      </c>
      <c r="L57" s="3" t="n">
        <f aca="false">COUNTIFS(Responses!$B$2:$B$4001,$A57,Responses!$K$2:$K$4001,"Medium",Responses!$I$2:$I$4001,"Correct")</f>
        <v>3</v>
      </c>
      <c r="M57" s="3" t="n">
        <f aca="false">COUNTIFS(Responses!$B$2:$B$4001,$A57,Responses!$K$2:$K$4001,"Medium",Responses!$I$2:$I$4001,"Wrong")</f>
        <v>3</v>
      </c>
      <c r="N57" s="2" t="n">
        <f aca="false">ROUND(SUMIFS(Responses!$J$2:$J$4001,Responses!$B$2:$B$4001,$A57,Responses!$K$2:$K$4001,"Medium"),2)</f>
        <v>9.83</v>
      </c>
      <c r="O57" s="3" t="n">
        <f aca="false">COUNTIFS(Responses!$B$2:$B$4001,$A57,Responses!$K$2:$K$4001,"Low",Responses!$I$2:$I$4001,"Correct")</f>
        <v>5</v>
      </c>
      <c r="P57" s="3" t="n">
        <f aca="false">COUNTIFS(Responses!$B$2:$B$4001,$A57,Responses!$K$2:$K$4001,"Low",Responses!$I$2:$I$4001,"Wrong")</f>
        <v>4</v>
      </c>
      <c r="Q57" s="2" t="n">
        <f aca="false">ROUND(SUMIFS(Responses!$J$2:$J$4001,Responses!$B$2:$B$4001,$A57,Responses!$K$2:$K$4001,"Low"),2)</f>
        <v>14.18</v>
      </c>
      <c r="R57" s="2" t="n">
        <f aca="false">ROUND(SUMIFS(Responses!$AB$2:$AB$4001,Responses!$B$2:$B$4001,$A57),2)</f>
        <v>16.25</v>
      </c>
      <c r="S57" s="0" t="str">
        <f aca="false">IF(R57&gt;='Reward Model'!$B$8,"Gold",IF(R57&gt;='Reward Model'!$B$9,"Silver","Bronze"))</f>
        <v>Bronze</v>
      </c>
      <c r="T57" s="2" t="n">
        <f aca="false">ROUND(R57/'Reward Model'!$B$7*100,2)</f>
        <v>39.63</v>
      </c>
    </row>
    <row r="58" customFormat="false" ht="15" hidden="false" customHeight="false" outlineLevel="0" collapsed="false">
      <c r="A58" s="0" t="s">
        <v>242</v>
      </c>
      <c r="B58" s="0" t="s">
        <v>30</v>
      </c>
      <c r="C58" s="0" t="s">
        <v>189</v>
      </c>
      <c r="D58" s="0" t="n">
        <f aca="false">F58</f>
        <v>20</v>
      </c>
      <c r="E58" s="2" t="n">
        <f aca="false">ROUND(K58+N58+Q58,2)</f>
        <v>35.98</v>
      </c>
      <c r="F58" s="3" t="n">
        <f aca="false">COUNTIFS(Responses!$B$2:$B$4001,$A58)</f>
        <v>20</v>
      </c>
      <c r="G58" s="3" t="n">
        <f aca="false">I58+L58+O58</f>
        <v>9</v>
      </c>
      <c r="H58" s="3" t="n">
        <f aca="false">J58+M58+P58</f>
        <v>11</v>
      </c>
      <c r="I58" s="3" t="n">
        <f aca="false">COUNTIFS(Responses!$B$2:$B$4001,$A58,Responses!$K$2:$K$4001,"High",Responses!$I$2:$I$4001,"Correct")</f>
        <v>2</v>
      </c>
      <c r="J58" s="3" t="n">
        <f aca="false">COUNTIFS(Responses!$B$2:$B$4001,$A58,Responses!$K$2:$K$4001,"High",Responses!$I$2:$I$4001,"Wrong")</f>
        <v>3</v>
      </c>
      <c r="K58" s="2" t="n">
        <f aca="false">ROUND(SUMIFS(Responses!$J$2:$J$4001,Responses!$B$2:$B$4001,$A58,Responses!$K$2:$K$4001,"High"),2)</f>
        <v>10.35</v>
      </c>
      <c r="L58" s="3" t="n">
        <f aca="false">COUNTIFS(Responses!$B$2:$B$4001,$A58,Responses!$K$2:$K$4001,"Medium",Responses!$I$2:$I$4001,"Correct")</f>
        <v>3</v>
      </c>
      <c r="M58" s="3" t="n">
        <f aca="false">COUNTIFS(Responses!$B$2:$B$4001,$A58,Responses!$K$2:$K$4001,"Medium",Responses!$I$2:$I$4001,"Wrong")</f>
        <v>3</v>
      </c>
      <c r="N58" s="2" t="n">
        <f aca="false">ROUND(SUMIFS(Responses!$J$2:$J$4001,Responses!$B$2:$B$4001,$A58,Responses!$K$2:$K$4001,"Medium"),2)</f>
        <v>11.84</v>
      </c>
      <c r="O58" s="3" t="n">
        <f aca="false">COUNTIFS(Responses!$B$2:$B$4001,$A58,Responses!$K$2:$K$4001,"Low",Responses!$I$2:$I$4001,"Correct")</f>
        <v>4</v>
      </c>
      <c r="P58" s="3" t="n">
        <f aca="false">COUNTIFS(Responses!$B$2:$B$4001,$A58,Responses!$K$2:$K$4001,"Low",Responses!$I$2:$I$4001,"Wrong")</f>
        <v>5</v>
      </c>
      <c r="Q58" s="2" t="n">
        <f aca="false">ROUND(SUMIFS(Responses!$J$2:$J$4001,Responses!$B$2:$B$4001,$A58,Responses!$K$2:$K$4001,"Low"),2)</f>
        <v>13.79</v>
      </c>
      <c r="R58" s="2" t="n">
        <f aca="false">ROUND(SUMIFS(Responses!$AB$2:$AB$4001,Responses!$B$2:$B$4001,$A58),2)</f>
        <v>16.98</v>
      </c>
      <c r="S58" s="0" t="str">
        <f aca="false">IF(R58&gt;='Reward Model'!$B$8,"Gold",IF(R58&gt;='Reward Model'!$B$9,"Silver","Bronze"))</f>
        <v>Bronze</v>
      </c>
      <c r="T58" s="2" t="n">
        <f aca="false">ROUND(R58/'Reward Model'!$B$7*100,2)</f>
        <v>41.41</v>
      </c>
    </row>
    <row r="59" customFormat="false" ht="15" hidden="false" customHeight="false" outlineLevel="0" collapsed="false">
      <c r="A59" s="0" t="s">
        <v>244</v>
      </c>
      <c r="B59" s="0" t="s">
        <v>30</v>
      </c>
      <c r="C59" s="0" t="s">
        <v>189</v>
      </c>
      <c r="D59" s="0" t="n">
        <f aca="false">F59</f>
        <v>20</v>
      </c>
      <c r="E59" s="2" t="n">
        <f aca="false">ROUND(K59+N59+Q59,2)</f>
        <v>33.96</v>
      </c>
      <c r="F59" s="3" t="n">
        <f aca="false">COUNTIFS(Responses!$B$2:$B$4001,$A59)</f>
        <v>20</v>
      </c>
      <c r="G59" s="3" t="n">
        <f aca="false">I59+L59+O59</f>
        <v>16</v>
      </c>
      <c r="H59" s="3" t="n">
        <f aca="false">J59+M59+P59</f>
        <v>4</v>
      </c>
      <c r="I59" s="3" t="n">
        <f aca="false">COUNTIFS(Responses!$B$2:$B$4001,$A59,Responses!$K$2:$K$4001,"High",Responses!$I$2:$I$4001,"Correct")</f>
        <v>4</v>
      </c>
      <c r="J59" s="3" t="n">
        <f aca="false">COUNTIFS(Responses!$B$2:$B$4001,$A59,Responses!$K$2:$K$4001,"High",Responses!$I$2:$I$4001,"Wrong")</f>
        <v>1</v>
      </c>
      <c r="K59" s="2" t="n">
        <f aca="false">ROUND(SUMIFS(Responses!$J$2:$J$4001,Responses!$B$2:$B$4001,$A59,Responses!$K$2:$K$4001,"High"),2)</f>
        <v>10.79</v>
      </c>
      <c r="L59" s="3" t="n">
        <f aca="false">COUNTIFS(Responses!$B$2:$B$4001,$A59,Responses!$K$2:$K$4001,"Medium",Responses!$I$2:$I$4001,"Correct")</f>
        <v>4</v>
      </c>
      <c r="M59" s="3" t="n">
        <f aca="false">COUNTIFS(Responses!$B$2:$B$4001,$A59,Responses!$K$2:$K$4001,"Medium",Responses!$I$2:$I$4001,"Wrong")</f>
        <v>2</v>
      </c>
      <c r="N59" s="2" t="n">
        <f aca="false">ROUND(SUMIFS(Responses!$J$2:$J$4001,Responses!$B$2:$B$4001,$A59,Responses!$K$2:$K$4001,"Medium"),2)</f>
        <v>10.23</v>
      </c>
      <c r="O59" s="3" t="n">
        <f aca="false">COUNTIFS(Responses!$B$2:$B$4001,$A59,Responses!$K$2:$K$4001,"Low",Responses!$I$2:$I$4001,"Correct")</f>
        <v>8</v>
      </c>
      <c r="P59" s="3" t="n">
        <f aca="false">COUNTIFS(Responses!$B$2:$B$4001,$A59,Responses!$K$2:$K$4001,"Low",Responses!$I$2:$I$4001,"Wrong")</f>
        <v>1</v>
      </c>
      <c r="Q59" s="2" t="n">
        <f aca="false">ROUND(SUMIFS(Responses!$J$2:$J$4001,Responses!$B$2:$B$4001,$A59,Responses!$K$2:$K$4001,"Low"),2)</f>
        <v>12.94</v>
      </c>
      <c r="R59" s="2" t="n">
        <f aca="false">ROUND(SUMIFS(Responses!$AB$2:$AB$4001,Responses!$B$2:$B$4001,$A59),2)</f>
        <v>31.33</v>
      </c>
      <c r="S59" s="0" t="str">
        <f aca="false">IF(R59&gt;='Reward Model'!$B$8,"Gold",IF(R59&gt;='Reward Model'!$B$9,"Silver","Bronze"))</f>
        <v>Gold</v>
      </c>
      <c r="T59" s="2" t="n">
        <f aca="false">ROUND(R59/'Reward Model'!$B$7*100,2)</f>
        <v>76.41</v>
      </c>
    </row>
    <row r="60" customFormat="false" ht="15" hidden="false" customHeight="false" outlineLevel="0" collapsed="false">
      <c r="A60" s="0" t="s">
        <v>246</v>
      </c>
      <c r="B60" s="0" t="s">
        <v>30</v>
      </c>
      <c r="C60" s="0" t="s">
        <v>189</v>
      </c>
      <c r="D60" s="0" t="n">
        <f aca="false">F60</f>
        <v>20</v>
      </c>
      <c r="E60" s="2" t="n">
        <f aca="false">ROUND(K60+N60+Q60,2)</f>
        <v>29.11</v>
      </c>
      <c r="F60" s="3" t="n">
        <f aca="false">COUNTIFS(Responses!$B$2:$B$4001,$A60)</f>
        <v>20</v>
      </c>
      <c r="G60" s="3" t="n">
        <f aca="false">I60+L60+O60</f>
        <v>17</v>
      </c>
      <c r="H60" s="3" t="n">
        <f aca="false">J60+M60+P60</f>
        <v>3</v>
      </c>
      <c r="I60" s="3" t="n">
        <f aca="false">COUNTIFS(Responses!$B$2:$B$4001,$A60,Responses!$K$2:$K$4001,"High",Responses!$I$2:$I$4001,"Correct")</f>
        <v>4</v>
      </c>
      <c r="J60" s="3" t="n">
        <f aca="false">COUNTIFS(Responses!$B$2:$B$4001,$A60,Responses!$K$2:$K$4001,"High",Responses!$I$2:$I$4001,"Wrong")</f>
        <v>1</v>
      </c>
      <c r="K60" s="2" t="n">
        <f aca="false">ROUND(SUMIFS(Responses!$J$2:$J$4001,Responses!$B$2:$B$4001,$A60,Responses!$K$2:$K$4001,"High"),2)</f>
        <v>9.61</v>
      </c>
      <c r="L60" s="3" t="n">
        <f aca="false">COUNTIFS(Responses!$B$2:$B$4001,$A60,Responses!$K$2:$K$4001,"Medium",Responses!$I$2:$I$4001,"Correct")</f>
        <v>5</v>
      </c>
      <c r="M60" s="3" t="n">
        <f aca="false">COUNTIFS(Responses!$B$2:$B$4001,$A60,Responses!$K$2:$K$4001,"Medium",Responses!$I$2:$I$4001,"Wrong")</f>
        <v>1</v>
      </c>
      <c r="N60" s="2" t="n">
        <f aca="false">ROUND(SUMIFS(Responses!$J$2:$J$4001,Responses!$B$2:$B$4001,$A60,Responses!$K$2:$K$4001,"Medium"),2)</f>
        <v>9.25</v>
      </c>
      <c r="O60" s="3" t="n">
        <f aca="false">COUNTIFS(Responses!$B$2:$B$4001,$A60,Responses!$K$2:$K$4001,"Low",Responses!$I$2:$I$4001,"Correct")</f>
        <v>8</v>
      </c>
      <c r="P60" s="3" t="n">
        <f aca="false">COUNTIFS(Responses!$B$2:$B$4001,$A60,Responses!$K$2:$K$4001,"Low",Responses!$I$2:$I$4001,"Wrong")</f>
        <v>1</v>
      </c>
      <c r="Q60" s="2" t="n">
        <f aca="false">ROUND(SUMIFS(Responses!$J$2:$J$4001,Responses!$B$2:$B$4001,$A60,Responses!$K$2:$K$4001,"Low"),2)</f>
        <v>10.25</v>
      </c>
      <c r="R60" s="2" t="n">
        <f aca="false">ROUND(SUMIFS(Responses!$AB$2:$AB$4001,Responses!$B$2:$B$4001,$A60),2)</f>
        <v>32.85</v>
      </c>
      <c r="S60" s="0" t="str">
        <f aca="false">IF(R60&gt;='Reward Model'!$B$8,"Gold",IF(R60&gt;='Reward Model'!$B$9,"Silver","Bronze"))</f>
        <v>Gold</v>
      </c>
      <c r="T60" s="2" t="n">
        <f aca="false">ROUND(R60/'Reward Model'!$B$7*100,2)</f>
        <v>80.12</v>
      </c>
    </row>
    <row r="61" customFormat="false" ht="15" hidden="false" customHeight="false" outlineLevel="0" collapsed="false">
      <c r="A61" s="0" t="s">
        <v>248</v>
      </c>
      <c r="B61" s="0" t="s">
        <v>30</v>
      </c>
      <c r="C61" s="0" t="s">
        <v>189</v>
      </c>
      <c r="D61" s="0" t="n">
        <f aca="false">F61</f>
        <v>20</v>
      </c>
      <c r="E61" s="2" t="n">
        <f aca="false">ROUND(K61+N61+Q61,2)</f>
        <v>30.43</v>
      </c>
      <c r="F61" s="3" t="n">
        <f aca="false">COUNTIFS(Responses!$B$2:$B$4001,$A61)</f>
        <v>20</v>
      </c>
      <c r="G61" s="3" t="n">
        <f aca="false">I61+L61+O61</f>
        <v>15</v>
      </c>
      <c r="H61" s="3" t="n">
        <f aca="false">J61+M61+P61</f>
        <v>5</v>
      </c>
      <c r="I61" s="3" t="n">
        <f aca="false">COUNTIFS(Responses!$B$2:$B$4001,$A61,Responses!$K$2:$K$4001,"High",Responses!$I$2:$I$4001,"Correct")</f>
        <v>3</v>
      </c>
      <c r="J61" s="3" t="n">
        <f aca="false">COUNTIFS(Responses!$B$2:$B$4001,$A61,Responses!$K$2:$K$4001,"High",Responses!$I$2:$I$4001,"Wrong")</f>
        <v>2</v>
      </c>
      <c r="K61" s="2" t="n">
        <f aca="false">ROUND(SUMIFS(Responses!$J$2:$J$4001,Responses!$B$2:$B$4001,$A61,Responses!$K$2:$K$4001,"High"),2)</f>
        <v>8.51</v>
      </c>
      <c r="L61" s="3" t="n">
        <f aca="false">COUNTIFS(Responses!$B$2:$B$4001,$A61,Responses!$K$2:$K$4001,"Medium",Responses!$I$2:$I$4001,"Correct")</f>
        <v>5</v>
      </c>
      <c r="M61" s="3" t="n">
        <f aca="false">COUNTIFS(Responses!$B$2:$B$4001,$A61,Responses!$K$2:$K$4001,"Medium",Responses!$I$2:$I$4001,"Wrong")</f>
        <v>1</v>
      </c>
      <c r="N61" s="2" t="n">
        <f aca="false">ROUND(SUMIFS(Responses!$J$2:$J$4001,Responses!$B$2:$B$4001,$A61,Responses!$K$2:$K$4001,"Medium"),2)</f>
        <v>8.72</v>
      </c>
      <c r="O61" s="3" t="n">
        <f aca="false">COUNTIFS(Responses!$B$2:$B$4001,$A61,Responses!$K$2:$K$4001,"Low",Responses!$I$2:$I$4001,"Correct")</f>
        <v>7</v>
      </c>
      <c r="P61" s="3" t="n">
        <f aca="false">COUNTIFS(Responses!$B$2:$B$4001,$A61,Responses!$K$2:$K$4001,"Low",Responses!$I$2:$I$4001,"Wrong")</f>
        <v>2</v>
      </c>
      <c r="Q61" s="2" t="n">
        <f aca="false">ROUND(SUMIFS(Responses!$J$2:$J$4001,Responses!$B$2:$B$4001,$A61,Responses!$K$2:$K$4001,"Low"),2)</f>
        <v>13.2</v>
      </c>
      <c r="R61" s="2" t="n">
        <f aca="false">ROUND(SUMIFS(Responses!$AB$2:$AB$4001,Responses!$B$2:$B$4001,$A61),2)</f>
        <v>29.22</v>
      </c>
      <c r="S61" s="0" t="str">
        <f aca="false">IF(R61&gt;='Reward Model'!$B$8,"Gold",IF(R61&gt;='Reward Model'!$B$9,"Silver","Bronze"))</f>
        <v>Gold</v>
      </c>
      <c r="T61" s="2" t="n">
        <f aca="false">ROUND(R61/'Reward Model'!$B$7*100,2)</f>
        <v>71.27</v>
      </c>
    </row>
    <row r="62" customFormat="false" ht="15" hidden="false" customHeight="false" outlineLevel="0" collapsed="false">
      <c r="A62" s="0" t="s">
        <v>250</v>
      </c>
      <c r="B62" s="0" t="s">
        <v>30</v>
      </c>
      <c r="C62" s="0" t="s">
        <v>189</v>
      </c>
      <c r="D62" s="0" t="n">
        <f aca="false">F62</f>
        <v>20</v>
      </c>
      <c r="E62" s="2" t="n">
        <f aca="false">ROUND(K62+N62+Q62,2)</f>
        <v>33.05</v>
      </c>
      <c r="F62" s="3" t="n">
        <f aca="false">COUNTIFS(Responses!$B$2:$B$4001,$A62)</f>
        <v>20</v>
      </c>
      <c r="G62" s="3" t="n">
        <f aca="false">I62+L62+O62</f>
        <v>17</v>
      </c>
      <c r="H62" s="3" t="n">
        <f aca="false">J62+M62+P62</f>
        <v>3</v>
      </c>
      <c r="I62" s="3" t="n">
        <f aca="false">COUNTIFS(Responses!$B$2:$B$4001,$A62,Responses!$K$2:$K$4001,"High",Responses!$I$2:$I$4001,"Correct")</f>
        <v>4</v>
      </c>
      <c r="J62" s="3" t="n">
        <f aca="false">COUNTIFS(Responses!$B$2:$B$4001,$A62,Responses!$K$2:$K$4001,"High",Responses!$I$2:$I$4001,"Wrong")</f>
        <v>1</v>
      </c>
      <c r="K62" s="2" t="n">
        <f aca="false">ROUND(SUMIFS(Responses!$J$2:$J$4001,Responses!$B$2:$B$4001,$A62,Responses!$K$2:$K$4001,"High"),2)</f>
        <v>9.82</v>
      </c>
      <c r="L62" s="3" t="n">
        <f aca="false">COUNTIFS(Responses!$B$2:$B$4001,$A62,Responses!$K$2:$K$4001,"Medium",Responses!$I$2:$I$4001,"Correct")</f>
        <v>5</v>
      </c>
      <c r="M62" s="3" t="n">
        <f aca="false">COUNTIFS(Responses!$B$2:$B$4001,$A62,Responses!$K$2:$K$4001,"Medium",Responses!$I$2:$I$4001,"Wrong")</f>
        <v>1</v>
      </c>
      <c r="N62" s="2" t="n">
        <f aca="false">ROUND(SUMIFS(Responses!$J$2:$J$4001,Responses!$B$2:$B$4001,$A62,Responses!$K$2:$K$4001,"Medium"),2)</f>
        <v>10.7</v>
      </c>
      <c r="O62" s="3" t="n">
        <f aca="false">COUNTIFS(Responses!$B$2:$B$4001,$A62,Responses!$K$2:$K$4001,"Low",Responses!$I$2:$I$4001,"Correct")</f>
        <v>8</v>
      </c>
      <c r="P62" s="3" t="n">
        <f aca="false">COUNTIFS(Responses!$B$2:$B$4001,$A62,Responses!$K$2:$K$4001,"Low",Responses!$I$2:$I$4001,"Wrong")</f>
        <v>1</v>
      </c>
      <c r="Q62" s="2" t="n">
        <f aca="false">ROUND(SUMIFS(Responses!$J$2:$J$4001,Responses!$B$2:$B$4001,$A62,Responses!$K$2:$K$4001,"Low"),2)</f>
        <v>12.53</v>
      </c>
      <c r="R62" s="2" t="n">
        <f aca="false">ROUND(SUMIFS(Responses!$AB$2:$AB$4001,Responses!$B$2:$B$4001,$A62),2)</f>
        <v>31.85</v>
      </c>
      <c r="S62" s="0" t="str">
        <f aca="false">IF(R62&gt;='Reward Model'!$B$8,"Gold",IF(R62&gt;='Reward Model'!$B$9,"Silver","Bronze"))</f>
        <v>Gold</v>
      </c>
      <c r="T62" s="2" t="n">
        <f aca="false">ROUND(R62/'Reward Model'!$B$7*100,2)</f>
        <v>77.68</v>
      </c>
    </row>
    <row r="63" customFormat="false" ht="15" hidden="false" customHeight="false" outlineLevel="0" collapsed="false">
      <c r="A63" s="0" t="s">
        <v>252</v>
      </c>
      <c r="B63" s="0" t="s">
        <v>30</v>
      </c>
      <c r="C63" s="0" t="s">
        <v>189</v>
      </c>
      <c r="D63" s="0" t="n">
        <f aca="false">F63</f>
        <v>20</v>
      </c>
      <c r="E63" s="2" t="n">
        <f aca="false">ROUND(K63+N63+Q63,2)</f>
        <v>31.95</v>
      </c>
      <c r="F63" s="3" t="n">
        <f aca="false">COUNTIFS(Responses!$B$2:$B$4001,$A63)</f>
        <v>20</v>
      </c>
      <c r="G63" s="3" t="n">
        <f aca="false">I63+L63+O63</f>
        <v>13</v>
      </c>
      <c r="H63" s="3" t="n">
        <f aca="false">J63+M63+P63</f>
        <v>7</v>
      </c>
      <c r="I63" s="3" t="n">
        <f aca="false">COUNTIFS(Responses!$B$2:$B$4001,$A63,Responses!$K$2:$K$4001,"High",Responses!$I$2:$I$4001,"Correct")</f>
        <v>1</v>
      </c>
      <c r="J63" s="3" t="n">
        <f aca="false">COUNTIFS(Responses!$B$2:$B$4001,$A63,Responses!$K$2:$K$4001,"High",Responses!$I$2:$I$4001,"Wrong")</f>
        <v>4</v>
      </c>
      <c r="K63" s="2" t="n">
        <f aca="false">ROUND(SUMIFS(Responses!$J$2:$J$4001,Responses!$B$2:$B$4001,$A63,Responses!$K$2:$K$4001,"High"),2)</f>
        <v>9.18</v>
      </c>
      <c r="L63" s="3" t="n">
        <f aca="false">COUNTIFS(Responses!$B$2:$B$4001,$A63,Responses!$K$2:$K$4001,"Medium",Responses!$I$2:$I$4001,"Correct")</f>
        <v>4</v>
      </c>
      <c r="M63" s="3" t="n">
        <f aca="false">COUNTIFS(Responses!$B$2:$B$4001,$A63,Responses!$K$2:$K$4001,"Medium",Responses!$I$2:$I$4001,"Wrong")</f>
        <v>2</v>
      </c>
      <c r="N63" s="2" t="n">
        <f aca="false">ROUND(SUMIFS(Responses!$J$2:$J$4001,Responses!$B$2:$B$4001,$A63,Responses!$K$2:$K$4001,"Medium"),2)</f>
        <v>9.54</v>
      </c>
      <c r="O63" s="3" t="n">
        <f aca="false">COUNTIFS(Responses!$B$2:$B$4001,$A63,Responses!$K$2:$K$4001,"Low",Responses!$I$2:$I$4001,"Correct")</f>
        <v>8</v>
      </c>
      <c r="P63" s="3" t="n">
        <f aca="false">COUNTIFS(Responses!$B$2:$B$4001,$A63,Responses!$K$2:$K$4001,"Low",Responses!$I$2:$I$4001,"Wrong")</f>
        <v>1</v>
      </c>
      <c r="Q63" s="2" t="n">
        <f aca="false">ROUND(SUMIFS(Responses!$J$2:$J$4001,Responses!$B$2:$B$4001,$A63,Responses!$K$2:$K$4001,"Low"),2)</f>
        <v>13.23</v>
      </c>
      <c r="R63" s="2" t="n">
        <f aca="false">ROUND(SUMIFS(Responses!$AB$2:$AB$4001,Responses!$B$2:$B$4001,$A63),2)</f>
        <v>21.62</v>
      </c>
      <c r="S63" s="0" t="str">
        <f aca="false">IF(R63&gt;='Reward Model'!$B$8,"Gold",IF(R63&gt;='Reward Model'!$B$9,"Silver","Bronze"))</f>
        <v>Silver</v>
      </c>
      <c r="T63" s="2" t="n">
        <f aca="false">ROUND(R63/'Reward Model'!$B$7*100,2)</f>
        <v>52.73</v>
      </c>
    </row>
    <row r="64" customFormat="false" ht="15" hidden="false" customHeight="false" outlineLevel="0" collapsed="false">
      <c r="A64" s="0" t="s">
        <v>254</v>
      </c>
      <c r="B64" s="0" t="s">
        <v>30</v>
      </c>
      <c r="C64" s="0" t="s">
        <v>189</v>
      </c>
      <c r="D64" s="0" t="n">
        <f aca="false">F64</f>
        <v>20</v>
      </c>
      <c r="E64" s="2" t="n">
        <f aca="false">ROUND(K64+N64+Q64,2)</f>
        <v>32.96</v>
      </c>
      <c r="F64" s="3" t="n">
        <f aca="false">COUNTIFS(Responses!$B$2:$B$4001,$A64)</f>
        <v>20</v>
      </c>
      <c r="G64" s="3" t="n">
        <f aca="false">I64+L64+O64</f>
        <v>15</v>
      </c>
      <c r="H64" s="3" t="n">
        <f aca="false">J64+M64+P64</f>
        <v>5</v>
      </c>
      <c r="I64" s="3" t="n">
        <f aca="false">COUNTIFS(Responses!$B$2:$B$4001,$A64,Responses!$K$2:$K$4001,"High",Responses!$I$2:$I$4001,"Correct")</f>
        <v>2</v>
      </c>
      <c r="J64" s="3" t="n">
        <f aca="false">COUNTIFS(Responses!$B$2:$B$4001,$A64,Responses!$K$2:$K$4001,"High",Responses!$I$2:$I$4001,"Wrong")</f>
        <v>3</v>
      </c>
      <c r="K64" s="2" t="n">
        <f aca="false">ROUND(SUMIFS(Responses!$J$2:$J$4001,Responses!$B$2:$B$4001,$A64,Responses!$K$2:$K$4001,"High"),2)</f>
        <v>9.03</v>
      </c>
      <c r="L64" s="3" t="n">
        <f aca="false">COUNTIFS(Responses!$B$2:$B$4001,$A64,Responses!$K$2:$K$4001,"Medium",Responses!$I$2:$I$4001,"Correct")</f>
        <v>5</v>
      </c>
      <c r="M64" s="3" t="n">
        <f aca="false">COUNTIFS(Responses!$B$2:$B$4001,$A64,Responses!$K$2:$K$4001,"Medium",Responses!$I$2:$I$4001,"Wrong")</f>
        <v>1</v>
      </c>
      <c r="N64" s="2" t="n">
        <f aca="false">ROUND(SUMIFS(Responses!$J$2:$J$4001,Responses!$B$2:$B$4001,$A64,Responses!$K$2:$K$4001,"Medium"),2)</f>
        <v>9.25</v>
      </c>
      <c r="O64" s="3" t="n">
        <f aca="false">COUNTIFS(Responses!$B$2:$B$4001,$A64,Responses!$K$2:$K$4001,"Low",Responses!$I$2:$I$4001,"Correct")</f>
        <v>8</v>
      </c>
      <c r="P64" s="3" t="n">
        <f aca="false">COUNTIFS(Responses!$B$2:$B$4001,$A64,Responses!$K$2:$K$4001,"Low",Responses!$I$2:$I$4001,"Wrong")</f>
        <v>1</v>
      </c>
      <c r="Q64" s="2" t="n">
        <f aca="false">ROUND(SUMIFS(Responses!$J$2:$J$4001,Responses!$B$2:$B$4001,$A64,Responses!$K$2:$K$4001,"Low"),2)</f>
        <v>14.68</v>
      </c>
      <c r="R64" s="2" t="n">
        <f aca="false">ROUND(SUMIFS(Responses!$AB$2:$AB$4001,Responses!$B$2:$B$4001,$A64),2)</f>
        <v>27.33</v>
      </c>
      <c r="S64" s="0" t="str">
        <f aca="false">IF(R64&gt;='Reward Model'!$B$8,"Gold",IF(R64&gt;='Reward Model'!$B$9,"Silver","Bronze"))</f>
        <v>Silver</v>
      </c>
      <c r="T64" s="2" t="n">
        <f aca="false">ROUND(R64/'Reward Model'!$B$7*100,2)</f>
        <v>66.66</v>
      </c>
    </row>
    <row r="65" customFormat="false" ht="15" hidden="false" customHeight="false" outlineLevel="0" collapsed="false">
      <c r="A65" s="0" t="s">
        <v>256</v>
      </c>
      <c r="B65" s="0" t="s">
        <v>30</v>
      </c>
      <c r="C65" s="0" t="s">
        <v>189</v>
      </c>
      <c r="D65" s="0" t="n">
        <f aca="false">F65</f>
        <v>20</v>
      </c>
      <c r="E65" s="2" t="n">
        <f aca="false">ROUND(K65+N65+Q65,2)</f>
        <v>36.09</v>
      </c>
      <c r="F65" s="3" t="n">
        <f aca="false">COUNTIFS(Responses!$B$2:$B$4001,$A65)</f>
        <v>20</v>
      </c>
      <c r="G65" s="3" t="n">
        <f aca="false">I65+L65+O65</f>
        <v>17</v>
      </c>
      <c r="H65" s="3" t="n">
        <f aca="false">J65+M65+P65</f>
        <v>3</v>
      </c>
      <c r="I65" s="3" t="n">
        <f aca="false">COUNTIFS(Responses!$B$2:$B$4001,$A65,Responses!$K$2:$K$4001,"High",Responses!$I$2:$I$4001,"Correct")</f>
        <v>4</v>
      </c>
      <c r="J65" s="3" t="n">
        <f aca="false">COUNTIFS(Responses!$B$2:$B$4001,$A65,Responses!$K$2:$K$4001,"High",Responses!$I$2:$I$4001,"Wrong")</f>
        <v>1</v>
      </c>
      <c r="K65" s="2" t="n">
        <f aca="false">ROUND(SUMIFS(Responses!$J$2:$J$4001,Responses!$B$2:$B$4001,$A65,Responses!$K$2:$K$4001,"High"),2)</f>
        <v>10.4</v>
      </c>
      <c r="L65" s="3" t="n">
        <f aca="false">COUNTIFS(Responses!$B$2:$B$4001,$A65,Responses!$K$2:$K$4001,"Medium",Responses!$I$2:$I$4001,"Correct")</f>
        <v>5</v>
      </c>
      <c r="M65" s="3" t="n">
        <f aca="false">COUNTIFS(Responses!$B$2:$B$4001,$A65,Responses!$K$2:$K$4001,"Medium",Responses!$I$2:$I$4001,"Wrong")</f>
        <v>1</v>
      </c>
      <c r="N65" s="2" t="n">
        <f aca="false">ROUND(SUMIFS(Responses!$J$2:$J$4001,Responses!$B$2:$B$4001,$A65,Responses!$K$2:$K$4001,"Medium"),2)</f>
        <v>10.7</v>
      </c>
      <c r="O65" s="3" t="n">
        <f aca="false">COUNTIFS(Responses!$B$2:$B$4001,$A65,Responses!$K$2:$K$4001,"Low",Responses!$I$2:$I$4001,"Correct")</f>
        <v>8</v>
      </c>
      <c r="P65" s="3" t="n">
        <f aca="false">COUNTIFS(Responses!$B$2:$B$4001,$A65,Responses!$K$2:$K$4001,"Low",Responses!$I$2:$I$4001,"Wrong")</f>
        <v>1</v>
      </c>
      <c r="Q65" s="2" t="n">
        <f aca="false">ROUND(SUMIFS(Responses!$J$2:$J$4001,Responses!$B$2:$B$4001,$A65,Responses!$K$2:$K$4001,"Low"),2)</f>
        <v>14.99</v>
      </c>
      <c r="R65" s="2" t="n">
        <f aca="false">ROUND(SUMIFS(Responses!$AB$2:$AB$4001,Responses!$B$2:$B$4001,$A65),2)</f>
        <v>30.96</v>
      </c>
      <c r="S65" s="0" t="str">
        <f aca="false">IF(R65&gt;='Reward Model'!$B$8,"Gold",IF(R65&gt;='Reward Model'!$B$9,"Silver","Bronze"))</f>
        <v>Gold</v>
      </c>
      <c r="T65" s="2" t="n">
        <f aca="false">ROUND(R65/'Reward Model'!$B$7*100,2)</f>
        <v>75.51</v>
      </c>
    </row>
    <row r="66" customFormat="false" ht="15" hidden="false" customHeight="false" outlineLevel="0" collapsed="false">
      <c r="A66" s="0" t="s">
        <v>258</v>
      </c>
      <c r="B66" s="0" t="s">
        <v>30</v>
      </c>
      <c r="C66" s="0" t="s">
        <v>189</v>
      </c>
      <c r="D66" s="0" t="n">
        <f aca="false">F66</f>
        <v>20</v>
      </c>
      <c r="E66" s="2" t="n">
        <f aca="false">ROUND(K66+N66+Q66,2)</f>
        <v>31.95</v>
      </c>
      <c r="F66" s="3" t="n">
        <f aca="false">COUNTIFS(Responses!$B$2:$B$4001,$A66)</f>
        <v>20</v>
      </c>
      <c r="G66" s="3" t="n">
        <f aca="false">I66+L66+O66</f>
        <v>11</v>
      </c>
      <c r="H66" s="3" t="n">
        <f aca="false">J66+M66+P66</f>
        <v>9</v>
      </c>
      <c r="I66" s="3" t="n">
        <f aca="false">COUNTIFS(Responses!$B$2:$B$4001,$A66,Responses!$K$2:$K$4001,"High",Responses!$I$2:$I$4001,"Correct")</f>
        <v>1</v>
      </c>
      <c r="J66" s="3" t="n">
        <f aca="false">COUNTIFS(Responses!$B$2:$B$4001,$A66,Responses!$K$2:$K$4001,"High",Responses!$I$2:$I$4001,"Wrong")</f>
        <v>4</v>
      </c>
      <c r="K66" s="2" t="n">
        <f aca="false">ROUND(SUMIFS(Responses!$J$2:$J$4001,Responses!$B$2:$B$4001,$A66,Responses!$K$2:$K$4001,"High"),2)</f>
        <v>8.79</v>
      </c>
      <c r="L66" s="3" t="n">
        <f aca="false">COUNTIFS(Responses!$B$2:$B$4001,$A66,Responses!$K$2:$K$4001,"Medium",Responses!$I$2:$I$4001,"Correct")</f>
        <v>4</v>
      </c>
      <c r="M66" s="3" t="n">
        <f aca="false">COUNTIFS(Responses!$B$2:$B$4001,$A66,Responses!$K$2:$K$4001,"Medium",Responses!$I$2:$I$4001,"Wrong")</f>
        <v>2</v>
      </c>
      <c r="N66" s="2" t="n">
        <f aca="false">ROUND(SUMIFS(Responses!$J$2:$J$4001,Responses!$B$2:$B$4001,$A66,Responses!$K$2:$K$4001,"Medium"),2)</f>
        <v>9.99</v>
      </c>
      <c r="O66" s="3" t="n">
        <f aca="false">COUNTIFS(Responses!$B$2:$B$4001,$A66,Responses!$K$2:$K$4001,"Low",Responses!$I$2:$I$4001,"Correct")</f>
        <v>6</v>
      </c>
      <c r="P66" s="3" t="n">
        <f aca="false">COUNTIFS(Responses!$B$2:$B$4001,$A66,Responses!$K$2:$K$4001,"Low",Responses!$I$2:$I$4001,"Wrong")</f>
        <v>3</v>
      </c>
      <c r="Q66" s="2" t="n">
        <f aca="false">ROUND(SUMIFS(Responses!$J$2:$J$4001,Responses!$B$2:$B$4001,$A66,Responses!$K$2:$K$4001,"Low"),2)</f>
        <v>13.17</v>
      </c>
      <c r="R66" s="2" t="n">
        <f aca="false">ROUND(SUMIFS(Responses!$AB$2:$AB$4001,Responses!$B$2:$B$4001,$A66),2)</f>
        <v>18.42</v>
      </c>
      <c r="S66" s="0" t="str">
        <f aca="false">IF(R66&gt;='Reward Model'!$B$8,"Gold",IF(R66&gt;='Reward Model'!$B$9,"Silver","Bronze"))</f>
        <v>Bronze</v>
      </c>
      <c r="T66" s="2" t="n">
        <f aca="false">ROUND(R66/'Reward Model'!$B$7*100,2)</f>
        <v>44.93</v>
      </c>
    </row>
    <row r="67" customFormat="false" ht="15" hidden="false" customHeight="false" outlineLevel="0" collapsed="false">
      <c r="A67" s="0" t="s">
        <v>260</v>
      </c>
      <c r="B67" s="0" t="s">
        <v>30</v>
      </c>
      <c r="C67" s="0" t="s">
        <v>189</v>
      </c>
      <c r="D67" s="0" t="n">
        <f aca="false">F67</f>
        <v>20</v>
      </c>
      <c r="E67" s="2" t="n">
        <f aca="false">ROUND(K67+N67+Q67,2)</f>
        <v>32.27</v>
      </c>
      <c r="F67" s="3" t="n">
        <f aca="false">COUNTIFS(Responses!$B$2:$B$4001,$A67)</f>
        <v>20</v>
      </c>
      <c r="G67" s="3" t="n">
        <f aca="false">I67+L67+O67</f>
        <v>17</v>
      </c>
      <c r="H67" s="3" t="n">
        <f aca="false">J67+M67+P67</f>
        <v>3</v>
      </c>
      <c r="I67" s="3" t="n">
        <f aca="false">COUNTIFS(Responses!$B$2:$B$4001,$A67,Responses!$K$2:$K$4001,"High",Responses!$I$2:$I$4001,"Correct")</f>
        <v>4</v>
      </c>
      <c r="J67" s="3" t="n">
        <f aca="false">COUNTIFS(Responses!$B$2:$B$4001,$A67,Responses!$K$2:$K$4001,"High",Responses!$I$2:$I$4001,"Wrong")</f>
        <v>1</v>
      </c>
      <c r="K67" s="2" t="n">
        <f aca="false">ROUND(SUMIFS(Responses!$J$2:$J$4001,Responses!$B$2:$B$4001,$A67,Responses!$K$2:$K$4001,"High"),2)</f>
        <v>9.79</v>
      </c>
      <c r="L67" s="3" t="n">
        <f aca="false">COUNTIFS(Responses!$B$2:$B$4001,$A67,Responses!$K$2:$K$4001,"Medium",Responses!$I$2:$I$4001,"Correct")</f>
        <v>5</v>
      </c>
      <c r="M67" s="3" t="n">
        <f aca="false">COUNTIFS(Responses!$B$2:$B$4001,$A67,Responses!$K$2:$K$4001,"Medium",Responses!$I$2:$I$4001,"Wrong")</f>
        <v>1</v>
      </c>
      <c r="N67" s="2" t="n">
        <f aca="false">ROUND(SUMIFS(Responses!$J$2:$J$4001,Responses!$B$2:$B$4001,$A67,Responses!$K$2:$K$4001,"Medium"),2)</f>
        <v>11.52</v>
      </c>
      <c r="O67" s="3" t="n">
        <f aca="false">COUNTIFS(Responses!$B$2:$B$4001,$A67,Responses!$K$2:$K$4001,"Low",Responses!$I$2:$I$4001,"Correct")</f>
        <v>8</v>
      </c>
      <c r="P67" s="3" t="n">
        <f aca="false">COUNTIFS(Responses!$B$2:$B$4001,$A67,Responses!$K$2:$K$4001,"Low",Responses!$I$2:$I$4001,"Wrong")</f>
        <v>1</v>
      </c>
      <c r="Q67" s="2" t="n">
        <f aca="false">ROUND(SUMIFS(Responses!$J$2:$J$4001,Responses!$B$2:$B$4001,$A67,Responses!$K$2:$K$4001,"Low"),2)</f>
        <v>10.96</v>
      </c>
      <c r="R67" s="2" t="n">
        <f aca="false">ROUND(SUMIFS(Responses!$AB$2:$AB$4001,Responses!$B$2:$B$4001,$A67),2)</f>
        <v>32.87</v>
      </c>
      <c r="S67" s="0" t="str">
        <f aca="false">IF(R67&gt;='Reward Model'!$B$8,"Gold",IF(R67&gt;='Reward Model'!$B$9,"Silver","Bronze"))</f>
        <v>Gold</v>
      </c>
      <c r="T67" s="2" t="n">
        <f aca="false">ROUND(R67/'Reward Model'!$B$7*100,2)</f>
        <v>80.17</v>
      </c>
    </row>
    <row r="68" customFormat="false" ht="15" hidden="false" customHeight="false" outlineLevel="0" collapsed="false">
      <c r="A68" s="0" t="s">
        <v>262</v>
      </c>
      <c r="B68" s="0" t="s">
        <v>30</v>
      </c>
      <c r="C68" s="0" t="s">
        <v>189</v>
      </c>
      <c r="D68" s="0" t="n">
        <f aca="false">F68</f>
        <v>20</v>
      </c>
      <c r="E68" s="2" t="n">
        <f aca="false">ROUND(K68+N68+Q68,2)</f>
        <v>34.45</v>
      </c>
      <c r="F68" s="3" t="n">
        <f aca="false">COUNTIFS(Responses!$B$2:$B$4001,$A68)</f>
        <v>20</v>
      </c>
      <c r="G68" s="3" t="n">
        <f aca="false">I68+L68+O68</f>
        <v>17</v>
      </c>
      <c r="H68" s="3" t="n">
        <f aca="false">J68+M68+P68</f>
        <v>3</v>
      </c>
      <c r="I68" s="3" t="n">
        <f aca="false">COUNTIFS(Responses!$B$2:$B$4001,$A68,Responses!$K$2:$K$4001,"High",Responses!$I$2:$I$4001,"Correct")</f>
        <v>4</v>
      </c>
      <c r="J68" s="3" t="n">
        <f aca="false">COUNTIFS(Responses!$B$2:$B$4001,$A68,Responses!$K$2:$K$4001,"High",Responses!$I$2:$I$4001,"Wrong")</f>
        <v>1</v>
      </c>
      <c r="K68" s="2" t="n">
        <f aca="false">ROUND(SUMIFS(Responses!$J$2:$J$4001,Responses!$B$2:$B$4001,$A68,Responses!$K$2:$K$4001,"High"),2)</f>
        <v>10.33</v>
      </c>
      <c r="L68" s="3" t="n">
        <f aca="false">COUNTIFS(Responses!$B$2:$B$4001,$A68,Responses!$K$2:$K$4001,"Medium",Responses!$I$2:$I$4001,"Correct")</f>
        <v>5</v>
      </c>
      <c r="M68" s="3" t="n">
        <f aca="false">COUNTIFS(Responses!$B$2:$B$4001,$A68,Responses!$K$2:$K$4001,"Medium",Responses!$I$2:$I$4001,"Wrong")</f>
        <v>1</v>
      </c>
      <c r="N68" s="2" t="n">
        <f aca="false">ROUND(SUMIFS(Responses!$J$2:$J$4001,Responses!$B$2:$B$4001,$A68,Responses!$K$2:$K$4001,"Medium"),2)</f>
        <v>10.21</v>
      </c>
      <c r="O68" s="3" t="n">
        <f aca="false">COUNTIFS(Responses!$B$2:$B$4001,$A68,Responses!$K$2:$K$4001,"Low",Responses!$I$2:$I$4001,"Correct")</f>
        <v>8</v>
      </c>
      <c r="P68" s="3" t="n">
        <f aca="false">COUNTIFS(Responses!$B$2:$B$4001,$A68,Responses!$K$2:$K$4001,"Low",Responses!$I$2:$I$4001,"Wrong")</f>
        <v>1</v>
      </c>
      <c r="Q68" s="2" t="n">
        <f aca="false">ROUND(SUMIFS(Responses!$J$2:$J$4001,Responses!$B$2:$B$4001,$A68,Responses!$K$2:$K$4001,"Low"),2)</f>
        <v>13.91</v>
      </c>
      <c r="R68" s="2" t="n">
        <f aca="false">ROUND(SUMIFS(Responses!$AB$2:$AB$4001,Responses!$B$2:$B$4001,$A68),2)</f>
        <v>31.64</v>
      </c>
      <c r="S68" s="0" t="str">
        <f aca="false">IF(R68&gt;='Reward Model'!$B$8,"Gold",IF(R68&gt;='Reward Model'!$B$9,"Silver","Bronze"))</f>
        <v>Gold</v>
      </c>
      <c r="T68" s="2" t="n">
        <f aca="false">ROUND(R68/'Reward Model'!$B$7*100,2)</f>
        <v>77.17</v>
      </c>
    </row>
    <row r="69" customFormat="false" ht="15" hidden="false" customHeight="false" outlineLevel="0" collapsed="false">
      <c r="A69" s="0" t="s">
        <v>264</v>
      </c>
      <c r="B69" s="0" t="s">
        <v>30</v>
      </c>
      <c r="C69" s="0" t="s">
        <v>189</v>
      </c>
      <c r="D69" s="0" t="n">
        <f aca="false">F69</f>
        <v>20</v>
      </c>
      <c r="E69" s="2" t="n">
        <f aca="false">ROUND(K69+N69+Q69,2)</f>
        <v>32.96</v>
      </c>
      <c r="F69" s="3" t="n">
        <f aca="false">COUNTIFS(Responses!$B$2:$B$4001,$A69)</f>
        <v>20</v>
      </c>
      <c r="G69" s="3" t="n">
        <f aca="false">I69+L69+O69</f>
        <v>17</v>
      </c>
      <c r="H69" s="3" t="n">
        <f aca="false">J69+M69+P69</f>
        <v>3</v>
      </c>
      <c r="I69" s="3" t="n">
        <f aca="false">COUNTIFS(Responses!$B$2:$B$4001,$A69,Responses!$K$2:$K$4001,"High",Responses!$I$2:$I$4001,"Correct")</f>
        <v>4</v>
      </c>
      <c r="J69" s="3" t="n">
        <f aca="false">COUNTIFS(Responses!$B$2:$B$4001,$A69,Responses!$K$2:$K$4001,"High",Responses!$I$2:$I$4001,"Wrong")</f>
        <v>1</v>
      </c>
      <c r="K69" s="2" t="n">
        <f aca="false">ROUND(SUMIFS(Responses!$J$2:$J$4001,Responses!$B$2:$B$4001,$A69,Responses!$K$2:$K$4001,"High"),2)</f>
        <v>11.34</v>
      </c>
      <c r="L69" s="3" t="n">
        <f aca="false">COUNTIFS(Responses!$B$2:$B$4001,$A69,Responses!$K$2:$K$4001,"Medium",Responses!$I$2:$I$4001,"Correct")</f>
        <v>5</v>
      </c>
      <c r="M69" s="3" t="n">
        <f aca="false">COUNTIFS(Responses!$B$2:$B$4001,$A69,Responses!$K$2:$K$4001,"Medium",Responses!$I$2:$I$4001,"Wrong")</f>
        <v>1</v>
      </c>
      <c r="N69" s="2" t="n">
        <f aca="false">ROUND(SUMIFS(Responses!$J$2:$J$4001,Responses!$B$2:$B$4001,$A69,Responses!$K$2:$K$4001,"Medium"),2)</f>
        <v>9.81</v>
      </c>
      <c r="O69" s="3" t="n">
        <f aca="false">COUNTIFS(Responses!$B$2:$B$4001,$A69,Responses!$K$2:$K$4001,"Low",Responses!$I$2:$I$4001,"Correct")</f>
        <v>8</v>
      </c>
      <c r="P69" s="3" t="n">
        <f aca="false">COUNTIFS(Responses!$B$2:$B$4001,$A69,Responses!$K$2:$K$4001,"Low",Responses!$I$2:$I$4001,"Wrong")</f>
        <v>1</v>
      </c>
      <c r="Q69" s="2" t="n">
        <f aca="false">ROUND(SUMIFS(Responses!$J$2:$J$4001,Responses!$B$2:$B$4001,$A69,Responses!$K$2:$K$4001,"Low"),2)</f>
        <v>11.81</v>
      </c>
      <c r="R69" s="2" t="n">
        <f aca="false">ROUND(SUMIFS(Responses!$AB$2:$AB$4001,Responses!$B$2:$B$4001,$A69),2)</f>
        <v>31.81</v>
      </c>
      <c r="S69" s="0" t="str">
        <f aca="false">IF(R69&gt;='Reward Model'!$B$8,"Gold",IF(R69&gt;='Reward Model'!$B$9,"Silver","Bronze"))</f>
        <v>Gold</v>
      </c>
      <c r="T69" s="2" t="n">
        <f aca="false">ROUND(R69/'Reward Model'!$B$7*100,2)</f>
        <v>77.59</v>
      </c>
    </row>
    <row r="70" customFormat="false" ht="15" hidden="false" customHeight="false" outlineLevel="0" collapsed="false">
      <c r="A70" s="0" t="s">
        <v>266</v>
      </c>
      <c r="B70" s="0" t="s">
        <v>30</v>
      </c>
      <c r="C70" s="0" t="s">
        <v>189</v>
      </c>
      <c r="D70" s="0" t="n">
        <f aca="false">F70</f>
        <v>20</v>
      </c>
      <c r="E70" s="2" t="n">
        <f aca="false">ROUND(K70+N70+Q70,2)</f>
        <v>32.41</v>
      </c>
      <c r="F70" s="3" t="n">
        <f aca="false">COUNTIFS(Responses!$B$2:$B$4001,$A70)</f>
        <v>20</v>
      </c>
      <c r="G70" s="3" t="n">
        <f aca="false">I70+L70+O70</f>
        <v>15</v>
      </c>
      <c r="H70" s="3" t="n">
        <f aca="false">J70+M70+P70</f>
        <v>5</v>
      </c>
      <c r="I70" s="3" t="n">
        <f aca="false">COUNTIFS(Responses!$B$2:$B$4001,$A70,Responses!$K$2:$K$4001,"High",Responses!$I$2:$I$4001,"Correct")</f>
        <v>3</v>
      </c>
      <c r="J70" s="3" t="n">
        <f aca="false">COUNTIFS(Responses!$B$2:$B$4001,$A70,Responses!$K$2:$K$4001,"High",Responses!$I$2:$I$4001,"Wrong")</f>
        <v>2</v>
      </c>
      <c r="K70" s="2" t="n">
        <f aca="false">ROUND(SUMIFS(Responses!$J$2:$J$4001,Responses!$B$2:$B$4001,$A70,Responses!$K$2:$K$4001,"High"),2)</f>
        <v>9.01</v>
      </c>
      <c r="L70" s="3" t="n">
        <f aca="false">COUNTIFS(Responses!$B$2:$B$4001,$A70,Responses!$K$2:$K$4001,"Medium",Responses!$I$2:$I$4001,"Correct")</f>
        <v>5</v>
      </c>
      <c r="M70" s="3" t="n">
        <f aca="false">COUNTIFS(Responses!$B$2:$B$4001,$A70,Responses!$K$2:$K$4001,"Medium",Responses!$I$2:$I$4001,"Wrong")</f>
        <v>1</v>
      </c>
      <c r="N70" s="2" t="n">
        <f aca="false">ROUND(SUMIFS(Responses!$J$2:$J$4001,Responses!$B$2:$B$4001,$A70,Responses!$K$2:$K$4001,"Medium"),2)</f>
        <v>10.67</v>
      </c>
      <c r="O70" s="3" t="n">
        <f aca="false">COUNTIFS(Responses!$B$2:$B$4001,$A70,Responses!$K$2:$K$4001,"Low",Responses!$I$2:$I$4001,"Correct")</f>
        <v>7</v>
      </c>
      <c r="P70" s="3" t="n">
        <f aca="false">COUNTIFS(Responses!$B$2:$B$4001,$A70,Responses!$K$2:$K$4001,"Low",Responses!$I$2:$I$4001,"Wrong")</f>
        <v>2</v>
      </c>
      <c r="Q70" s="2" t="n">
        <f aca="false">ROUND(SUMIFS(Responses!$J$2:$J$4001,Responses!$B$2:$B$4001,$A70,Responses!$K$2:$K$4001,"Low"),2)</f>
        <v>12.73</v>
      </c>
      <c r="R70" s="2" t="n">
        <f aca="false">ROUND(SUMIFS(Responses!$AB$2:$AB$4001,Responses!$B$2:$B$4001,$A70),2)</f>
        <v>28.52</v>
      </c>
      <c r="S70" s="0" t="str">
        <f aca="false">IF(R70&gt;='Reward Model'!$B$8,"Gold",IF(R70&gt;='Reward Model'!$B$9,"Silver","Bronze"))</f>
        <v>Silver</v>
      </c>
      <c r="T70" s="2" t="n">
        <f aca="false">ROUND(R70/'Reward Model'!$B$7*100,2)</f>
        <v>69.56</v>
      </c>
    </row>
    <row r="71" customFormat="false" ht="15" hidden="false" customHeight="false" outlineLevel="0" collapsed="false">
      <c r="A71" s="0" t="s">
        <v>268</v>
      </c>
      <c r="B71" s="0" t="s">
        <v>30</v>
      </c>
      <c r="C71" s="0" t="s">
        <v>189</v>
      </c>
      <c r="D71" s="0" t="n">
        <f aca="false">F71</f>
        <v>20</v>
      </c>
      <c r="E71" s="2" t="n">
        <f aca="false">ROUND(K71+N71+Q71,2)</f>
        <v>29.27</v>
      </c>
      <c r="F71" s="3" t="n">
        <f aca="false">COUNTIFS(Responses!$B$2:$B$4001,$A71)</f>
        <v>20</v>
      </c>
      <c r="G71" s="3" t="n">
        <f aca="false">I71+L71+O71</f>
        <v>9</v>
      </c>
      <c r="H71" s="3" t="n">
        <f aca="false">J71+M71+P71</f>
        <v>11</v>
      </c>
      <c r="I71" s="3" t="n">
        <f aca="false">COUNTIFS(Responses!$B$2:$B$4001,$A71,Responses!$K$2:$K$4001,"High",Responses!$I$2:$I$4001,"Correct")</f>
        <v>1</v>
      </c>
      <c r="J71" s="3" t="n">
        <f aca="false">COUNTIFS(Responses!$B$2:$B$4001,$A71,Responses!$K$2:$K$4001,"High",Responses!$I$2:$I$4001,"Wrong")</f>
        <v>4</v>
      </c>
      <c r="K71" s="2" t="n">
        <f aca="false">ROUND(SUMIFS(Responses!$J$2:$J$4001,Responses!$B$2:$B$4001,$A71,Responses!$K$2:$K$4001,"High"),2)</f>
        <v>8</v>
      </c>
      <c r="L71" s="3" t="n">
        <f aca="false">COUNTIFS(Responses!$B$2:$B$4001,$A71,Responses!$K$2:$K$4001,"Medium",Responses!$I$2:$I$4001,"Correct")</f>
        <v>4</v>
      </c>
      <c r="M71" s="3" t="n">
        <f aca="false">COUNTIFS(Responses!$B$2:$B$4001,$A71,Responses!$K$2:$K$4001,"Medium",Responses!$I$2:$I$4001,"Wrong")</f>
        <v>2</v>
      </c>
      <c r="N71" s="2" t="n">
        <f aca="false">ROUND(SUMIFS(Responses!$J$2:$J$4001,Responses!$B$2:$B$4001,$A71,Responses!$K$2:$K$4001,"Medium"),2)</f>
        <v>8.36</v>
      </c>
      <c r="O71" s="3" t="n">
        <f aca="false">COUNTIFS(Responses!$B$2:$B$4001,$A71,Responses!$K$2:$K$4001,"Low",Responses!$I$2:$I$4001,"Correct")</f>
        <v>4</v>
      </c>
      <c r="P71" s="3" t="n">
        <f aca="false">COUNTIFS(Responses!$B$2:$B$4001,$A71,Responses!$K$2:$K$4001,"Low",Responses!$I$2:$I$4001,"Wrong")</f>
        <v>5</v>
      </c>
      <c r="Q71" s="2" t="n">
        <f aca="false">ROUND(SUMIFS(Responses!$J$2:$J$4001,Responses!$B$2:$B$4001,$A71,Responses!$K$2:$K$4001,"Low"),2)</f>
        <v>12.91</v>
      </c>
      <c r="R71" s="2" t="n">
        <f aca="false">ROUND(SUMIFS(Responses!$AB$2:$AB$4001,Responses!$B$2:$B$4001,$A71),2)</f>
        <v>16.39</v>
      </c>
      <c r="S71" s="0" t="str">
        <f aca="false">IF(R71&gt;='Reward Model'!$B$8,"Gold",IF(R71&gt;='Reward Model'!$B$9,"Silver","Bronze"))</f>
        <v>Bronze</v>
      </c>
      <c r="T71" s="2" t="n">
        <f aca="false">ROUND(R71/'Reward Model'!$B$7*100,2)</f>
        <v>39.98</v>
      </c>
    </row>
    <row r="72" customFormat="false" ht="15" hidden="false" customHeight="false" outlineLevel="0" collapsed="false">
      <c r="A72" s="0" t="s">
        <v>270</v>
      </c>
      <c r="B72" s="0" t="s">
        <v>30</v>
      </c>
      <c r="C72" s="0" t="s">
        <v>189</v>
      </c>
      <c r="D72" s="0" t="n">
        <f aca="false">F72</f>
        <v>20</v>
      </c>
      <c r="E72" s="2" t="n">
        <f aca="false">ROUND(K72+N72+Q72,2)</f>
        <v>34.62</v>
      </c>
      <c r="F72" s="3" t="n">
        <f aca="false">COUNTIFS(Responses!$B$2:$B$4001,$A72)</f>
        <v>20</v>
      </c>
      <c r="G72" s="3" t="n">
        <f aca="false">I72+L72+O72</f>
        <v>14</v>
      </c>
      <c r="H72" s="3" t="n">
        <f aca="false">J72+M72+P72</f>
        <v>6</v>
      </c>
      <c r="I72" s="3" t="n">
        <f aca="false">COUNTIFS(Responses!$B$2:$B$4001,$A72,Responses!$K$2:$K$4001,"High",Responses!$I$2:$I$4001,"Correct")</f>
        <v>4</v>
      </c>
      <c r="J72" s="3" t="n">
        <f aca="false">COUNTIFS(Responses!$B$2:$B$4001,$A72,Responses!$K$2:$K$4001,"High",Responses!$I$2:$I$4001,"Wrong")</f>
        <v>1</v>
      </c>
      <c r="K72" s="2" t="n">
        <f aca="false">ROUND(SUMIFS(Responses!$J$2:$J$4001,Responses!$B$2:$B$4001,$A72,Responses!$K$2:$K$4001,"High"),2)</f>
        <v>9.01</v>
      </c>
      <c r="L72" s="3" t="n">
        <f aca="false">COUNTIFS(Responses!$B$2:$B$4001,$A72,Responses!$K$2:$K$4001,"Medium",Responses!$I$2:$I$4001,"Correct")</f>
        <v>4</v>
      </c>
      <c r="M72" s="3" t="n">
        <f aca="false">COUNTIFS(Responses!$B$2:$B$4001,$A72,Responses!$K$2:$K$4001,"Medium",Responses!$I$2:$I$4001,"Wrong")</f>
        <v>2</v>
      </c>
      <c r="N72" s="2" t="n">
        <f aca="false">ROUND(SUMIFS(Responses!$J$2:$J$4001,Responses!$B$2:$B$4001,$A72,Responses!$K$2:$K$4001,"Medium"),2)</f>
        <v>10.63</v>
      </c>
      <c r="O72" s="3" t="n">
        <f aca="false">COUNTIFS(Responses!$B$2:$B$4001,$A72,Responses!$K$2:$K$4001,"Low",Responses!$I$2:$I$4001,"Correct")</f>
        <v>6</v>
      </c>
      <c r="P72" s="3" t="n">
        <f aca="false">COUNTIFS(Responses!$B$2:$B$4001,$A72,Responses!$K$2:$K$4001,"Low",Responses!$I$2:$I$4001,"Wrong")</f>
        <v>3</v>
      </c>
      <c r="Q72" s="2" t="n">
        <f aca="false">ROUND(SUMIFS(Responses!$J$2:$J$4001,Responses!$B$2:$B$4001,$A72,Responses!$K$2:$K$4001,"Low"),2)</f>
        <v>14.98</v>
      </c>
      <c r="R72" s="2" t="n">
        <f aca="false">ROUND(SUMIFS(Responses!$AB$2:$AB$4001,Responses!$B$2:$B$4001,$A72),2)</f>
        <v>26.65</v>
      </c>
      <c r="S72" s="0" t="str">
        <f aca="false">IF(R72&gt;='Reward Model'!$B$8,"Gold",IF(R72&gt;='Reward Model'!$B$9,"Silver","Bronze"))</f>
        <v>Silver</v>
      </c>
      <c r="T72" s="2" t="n">
        <f aca="false">ROUND(R72/'Reward Model'!$B$7*100,2)</f>
        <v>65</v>
      </c>
    </row>
    <row r="73" customFormat="false" ht="15" hidden="false" customHeight="false" outlineLevel="0" collapsed="false">
      <c r="A73" s="0" t="s">
        <v>272</v>
      </c>
      <c r="B73" s="0" t="s">
        <v>30</v>
      </c>
      <c r="C73" s="0" t="s">
        <v>189</v>
      </c>
      <c r="D73" s="0" t="n">
        <f aca="false">F73</f>
        <v>20</v>
      </c>
      <c r="E73" s="2" t="n">
        <f aca="false">ROUND(K73+N73+Q73,2)</f>
        <v>32.24</v>
      </c>
      <c r="F73" s="3" t="n">
        <f aca="false">COUNTIFS(Responses!$B$2:$B$4001,$A73)</f>
        <v>20</v>
      </c>
      <c r="G73" s="3" t="n">
        <f aca="false">I73+L73+O73</f>
        <v>11</v>
      </c>
      <c r="H73" s="3" t="n">
        <f aca="false">J73+M73+P73</f>
        <v>9</v>
      </c>
      <c r="I73" s="3" t="n">
        <f aca="false">COUNTIFS(Responses!$B$2:$B$4001,$A73,Responses!$K$2:$K$4001,"High",Responses!$I$2:$I$4001,"Correct")</f>
        <v>2</v>
      </c>
      <c r="J73" s="3" t="n">
        <f aca="false">COUNTIFS(Responses!$B$2:$B$4001,$A73,Responses!$K$2:$K$4001,"High",Responses!$I$2:$I$4001,"Wrong")</f>
        <v>3</v>
      </c>
      <c r="K73" s="2" t="n">
        <f aca="false">ROUND(SUMIFS(Responses!$J$2:$J$4001,Responses!$B$2:$B$4001,$A73,Responses!$K$2:$K$4001,"High"),2)</f>
        <v>9.66</v>
      </c>
      <c r="L73" s="3" t="n">
        <f aca="false">COUNTIFS(Responses!$B$2:$B$4001,$A73,Responses!$K$2:$K$4001,"Medium",Responses!$I$2:$I$4001,"Correct")</f>
        <v>2</v>
      </c>
      <c r="M73" s="3" t="n">
        <f aca="false">COUNTIFS(Responses!$B$2:$B$4001,$A73,Responses!$K$2:$K$4001,"Medium",Responses!$I$2:$I$4001,"Wrong")</f>
        <v>4</v>
      </c>
      <c r="N73" s="2" t="n">
        <f aca="false">ROUND(SUMIFS(Responses!$J$2:$J$4001,Responses!$B$2:$B$4001,$A73,Responses!$K$2:$K$4001,"Medium"),2)</f>
        <v>10.32</v>
      </c>
      <c r="O73" s="3" t="n">
        <f aca="false">COUNTIFS(Responses!$B$2:$B$4001,$A73,Responses!$K$2:$K$4001,"Low",Responses!$I$2:$I$4001,"Correct")</f>
        <v>7</v>
      </c>
      <c r="P73" s="3" t="n">
        <f aca="false">COUNTIFS(Responses!$B$2:$B$4001,$A73,Responses!$K$2:$K$4001,"Low",Responses!$I$2:$I$4001,"Wrong")</f>
        <v>2</v>
      </c>
      <c r="Q73" s="2" t="n">
        <f aca="false">ROUND(SUMIFS(Responses!$J$2:$J$4001,Responses!$B$2:$B$4001,$A73,Responses!$K$2:$K$4001,"Low"),2)</f>
        <v>12.26</v>
      </c>
      <c r="R73" s="2" t="n">
        <f aca="false">ROUND(SUMIFS(Responses!$AB$2:$AB$4001,Responses!$B$2:$B$4001,$A73),2)</f>
        <v>20.33</v>
      </c>
      <c r="S73" s="0" t="str">
        <f aca="false">IF(R73&gt;='Reward Model'!$B$8,"Gold",IF(R73&gt;='Reward Model'!$B$9,"Silver","Bronze"))</f>
        <v>Bronze</v>
      </c>
      <c r="T73" s="2" t="n">
        <f aca="false">ROUND(R73/'Reward Model'!$B$7*100,2)</f>
        <v>49.59</v>
      </c>
    </row>
    <row r="74" customFormat="false" ht="15" hidden="false" customHeight="false" outlineLevel="0" collapsed="false">
      <c r="A74" s="0" t="s">
        <v>274</v>
      </c>
      <c r="B74" s="0" t="s">
        <v>30</v>
      </c>
      <c r="C74" s="0" t="s">
        <v>275</v>
      </c>
      <c r="D74" s="0" t="n">
        <f aca="false">F74</f>
        <v>20</v>
      </c>
      <c r="E74" s="2" t="n">
        <f aca="false">ROUND(K74+N74+Q74,2)</f>
        <v>34.12</v>
      </c>
      <c r="F74" s="3" t="n">
        <f aca="false">COUNTIFS(Responses!$B$2:$B$4001,$A74)</f>
        <v>20</v>
      </c>
      <c r="G74" s="3" t="n">
        <f aca="false">I74+L74+O74</f>
        <v>15</v>
      </c>
      <c r="H74" s="3" t="n">
        <f aca="false">J74+M74+P74</f>
        <v>5</v>
      </c>
      <c r="I74" s="3" t="n">
        <f aca="false">COUNTIFS(Responses!$B$2:$B$4001,$A74,Responses!$K$2:$K$4001,"High",Responses!$I$2:$I$4001,"Correct")</f>
        <v>4</v>
      </c>
      <c r="J74" s="3" t="n">
        <f aca="false">COUNTIFS(Responses!$B$2:$B$4001,$A74,Responses!$K$2:$K$4001,"High",Responses!$I$2:$I$4001,"Wrong")</f>
        <v>1</v>
      </c>
      <c r="K74" s="2" t="n">
        <f aca="false">ROUND(SUMIFS(Responses!$J$2:$J$4001,Responses!$B$2:$B$4001,$A74,Responses!$K$2:$K$4001,"High"),2)</f>
        <v>9.96</v>
      </c>
      <c r="L74" s="3" t="n">
        <f aca="false">COUNTIFS(Responses!$B$2:$B$4001,$A74,Responses!$K$2:$K$4001,"Medium",Responses!$I$2:$I$4001,"Correct")</f>
        <v>3</v>
      </c>
      <c r="M74" s="3" t="n">
        <f aca="false">COUNTIFS(Responses!$B$2:$B$4001,$A74,Responses!$K$2:$K$4001,"Medium",Responses!$I$2:$I$4001,"Wrong")</f>
        <v>3</v>
      </c>
      <c r="N74" s="2" t="n">
        <f aca="false">ROUND(SUMIFS(Responses!$J$2:$J$4001,Responses!$B$2:$B$4001,$A74,Responses!$K$2:$K$4001,"Medium"),2)</f>
        <v>10.69</v>
      </c>
      <c r="O74" s="3" t="n">
        <f aca="false">COUNTIFS(Responses!$B$2:$B$4001,$A74,Responses!$K$2:$K$4001,"Low",Responses!$I$2:$I$4001,"Correct")</f>
        <v>8</v>
      </c>
      <c r="P74" s="3" t="n">
        <f aca="false">COUNTIFS(Responses!$B$2:$B$4001,$A74,Responses!$K$2:$K$4001,"Low",Responses!$I$2:$I$4001,"Wrong")</f>
        <v>1</v>
      </c>
      <c r="Q74" s="2" t="n">
        <f aca="false">ROUND(SUMIFS(Responses!$J$2:$J$4001,Responses!$B$2:$B$4001,$A74,Responses!$K$2:$K$4001,"Low"),2)</f>
        <v>13.47</v>
      </c>
      <c r="R74" s="2" t="n">
        <f aca="false">ROUND(SUMIFS(Responses!$AB$2:$AB$4001,Responses!$B$2:$B$4001,$A74),2)</f>
        <v>28.54</v>
      </c>
      <c r="S74" s="0" t="str">
        <f aca="false">IF(R74&gt;='Reward Model'!$B$8,"Gold",IF(R74&gt;='Reward Model'!$B$9,"Silver","Bronze"))</f>
        <v>Silver</v>
      </c>
      <c r="T74" s="2" t="n">
        <f aca="false">ROUND(R74/'Reward Model'!$B$7*100,2)</f>
        <v>69.61</v>
      </c>
    </row>
    <row r="75" customFormat="false" ht="15" hidden="false" customHeight="false" outlineLevel="0" collapsed="false">
      <c r="A75" s="0" t="s">
        <v>277</v>
      </c>
      <c r="B75" s="0" t="s">
        <v>30</v>
      </c>
      <c r="C75" s="0" t="s">
        <v>275</v>
      </c>
      <c r="D75" s="0" t="n">
        <f aca="false">F75</f>
        <v>20</v>
      </c>
      <c r="E75" s="2" t="n">
        <f aca="false">ROUND(K75+N75+Q75,2)</f>
        <v>31.09</v>
      </c>
      <c r="F75" s="3" t="n">
        <f aca="false">COUNTIFS(Responses!$B$2:$B$4001,$A75)</f>
        <v>20</v>
      </c>
      <c r="G75" s="3" t="n">
        <f aca="false">I75+L75+O75</f>
        <v>14</v>
      </c>
      <c r="H75" s="3" t="n">
        <f aca="false">J75+M75+P75</f>
        <v>6</v>
      </c>
      <c r="I75" s="3" t="n">
        <f aca="false">COUNTIFS(Responses!$B$2:$B$4001,$A75,Responses!$K$2:$K$4001,"High",Responses!$I$2:$I$4001,"Correct")</f>
        <v>3</v>
      </c>
      <c r="J75" s="3" t="n">
        <f aca="false">COUNTIFS(Responses!$B$2:$B$4001,$A75,Responses!$K$2:$K$4001,"High",Responses!$I$2:$I$4001,"Wrong")</f>
        <v>2</v>
      </c>
      <c r="K75" s="2" t="n">
        <f aca="false">ROUND(SUMIFS(Responses!$J$2:$J$4001,Responses!$B$2:$B$4001,$A75,Responses!$K$2:$K$4001,"High"),2)</f>
        <v>8.64</v>
      </c>
      <c r="L75" s="3" t="n">
        <f aca="false">COUNTIFS(Responses!$B$2:$B$4001,$A75,Responses!$K$2:$K$4001,"Medium",Responses!$I$2:$I$4001,"Correct")</f>
        <v>3</v>
      </c>
      <c r="M75" s="3" t="n">
        <f aca="false">COUNTIFS(Responses!$B$2:$B$4001,$A75,Responses!$K$2:$K$4001,"Medium",Responses!$I$2:$I$4001,"Wrong")</f>
        <v>3</v>
      </c>
      <c r="N75" s="2" t="n">
        <f aca="false">ROUND(SUMIFS(Responses!$J$2:$J$4001,Responses!$B$2:$B$4001,$A75,Responses!$K$2:$K$4001,"Medium"),2)</f>
        <v>10.16</v>
      </c>
      <c r="O75" s="3" t="n">
        <f aca="false">COUNTIFS(Responses!$B$2:$B$4001,$A75,Responses!$K$2:$K$4001,"Low",Responses!$I$2:$I$4001,"Correct")</f>
        <v>8</v>
      </c>
      <c r="P75" s="3" t="n">
        <f aca="false">COUNTIFS(Responses!$B$2:$B$4001,$A75,Responses!$K$2:$K$4001,"Low",Responses!$I$2:$I$4001,"Wrong")</f>
        <v>1</v>
      </c>
      <c r="Q75" s="2" t="n">
        <f aca="false">ROUND(SUMIFS(Responses!$J$2:$J$4001,Responses!$B$2:$B$4001,$A75,Responses!$K$2:$K$4001,"Low"),2)</f>
        <v>12.29</v>
      </c>
      <c r="R75" s="2" t="n">
        <f aca="false">ROUND(SUMIFS(Responses!$AB$2:$AB$4001,Responses!$B$2:$B$4001,$A75),2)</f>
        <v>26.8</v>
      </c>
      <c r="S75" s="0" t="str">
        <f aca="false">IF(R75&gt;='Reward Model'!$B$8,"Gold",IF(R75&gt;='Reward Model'!$B$9,"Silver","Bronze"))</f>
        <v>Silver</v>
      </c>
      <c r="T75" s="2" t="n">
        <f aca="false">ROUND(R75/'Reward Model'!$B$7*100,2)</f>
        <v>65.37</v>
      </c>
    </row>
    <row r="76" customFormat="false" ht="15" hidden="false" customHeight="false" outlineLevel="0" collapsed="false">
      <c r="A76" s="0" t="s">
        <v>279</v>
      </c>
      <c r="B76" s="0" t="s">
        <v>30</v>
      </c>
      <c r="C76" s="0" t="s">
        <v>275</v>
      </c>
      <c r="D76" s="0" t="n">
        <f aca="false">F76</f>
        <v>20</v>
      </c>
      <c r="E76" s="2" t="n">
        <f aca="false">ROUND(K76+N76+Q76,2)</f>
        <v>30.82</v>
      </c>
      <c r="F76" s="3" t="n">
        <f aca="false">COUNTIFS(Responses!$B$2:$B$4001,$A76)</f>
        <v>20</v>
      </c>
      <c r="G76" s="3" t="n">
        <f aca="false">I76+L76+O76</f>
        <v>14</v>
      </c>
      <c r="H76" s="3" t="n">
        <f aca="false">J76+M76+P76</f>
        <v>6</v>
      </c>
      <c r="I76" s="3" t="n">
        <f aca="false">COUNTIFS(Responses!$B$2:$B$4001,$A76,Responses!$K$2:$K$4001,"High",Responses!$I$2:$I$4001,"Correct")</f>
        <v>2</v>
      </c>
      <c r="J76" s="3" t="n">
        <f aca="false">COUNTIFS(Responses!$B$2:$B$4001,$A76,Responses!$K$2:$K$4001,"High",Responses!$I$2:$I$4001,"Wrong")</f>
        <v>3</v>
      </c>
      <c r="K76" s="2" t="n">
        <f aca="false">ROUND(SUMIFS(Responses!$J$2:$J$4001,Responses!$B$2:$B$4001,$A76,Responses!$K$2:$K$4001,"High"),2)</f>
        <v>8.92</v>
      </c>
      <c r="L76" s="3" t="n">
        <f aca="false">COUNTIFS(Responses!$B$2:$B$4001,$A76,Responses!$K$2:$K$4001,"Medium",Responses!$I$2:$I$4001,"Correct")</f>
        <v>5</v>
      </c>
      <c r="M76" s="3" t="n">
        <f aca="false">COUNTIFS(Responses!$B$2:$B$4001,$A76,Responses!$K$2:$K$4001,"Medium",Responses!$I$2:$I$4001,"Wrong")</f>
        <v>1</v>
      </c>
      <c r="N76" s="2" t="n">
        <f aca="false">ROUND(SUMIFS(Responses!$J$2:$J$4001,Responses!$B$2:$B$4001,$A76,Responses!$K$2:$K$4001,"Medium"),2)</f>
        <v>9.72</v>
      </c>
      <c r="O76" s="3" t="n">
        <f aca="false">COUNTIFS(Responses!$B$2:$B$4001,$A76,Responses!$K$2:$K$4001,"Low",Responses!$I$2:$I$4001,"Correct")</f>
        <v>7</v>
      </c>
      <c r="P76" s="3" t="n">
        <f aca="false">COUNTIFS(Responses!$B$2:$B$4001,$A76,Responses!$K$2:$K$4001,"Low",Responses!$I$2:$I$4001,"Wrong")</f>
        <v>2</v>
      </c>
      <c r="Q76" s="2" t="n">
        <f aca="false">ROUND(SUMIFS(Responses!$J$2:$J$4001,Responses!$B$2:$B$4001,$A76,Responses!$K$2:$K$4001,"Low"),2)</f>
        <v>12.18</v>
      </c>
      <c r="R76" s="2" t="n">
        <f aca="false">ROUND(SUMIFS(Responses!$AB$2:$AB$4001,Responses!$B$2:$B$4001,$A76),2)</f>
        <v>26.24</v>
      </c>
      <c r="S76" s="0" t="str">
        <f aca="false">IF(R76&gt;='Reward Model'!$B$8,"Gold",IF(R76&gt;='Reward Model'!$B$9,"Silver","Bronze"))</f>
        <v>Silver</v>
      </c>
      <c r="T76" s="2" t="n">
        <f aca="false">ROUND(R76/'Reward Model'!$B$7*100,2)</f>
        <v>64</v>
      </c>
    </row>
    <row r="77" customFormat="false" ht="15" hidden="false" customHeight="false" outlineLevel="0" collapsed="false">
      <c r="A77" s="0" t="s">
        <v>281</v>
      </c>
      <c r="B77" s="0" t="s">
        <v>30</v>
      </c>
      <c r="C77" s="0" t="s">
        <v>275</v>
      </c>
      <c r="D77" s="0" t="n">
        <f aca="false">F77</f>
        <v>20</v>
      </c>
      <c r="E77" s="2" t="n">
        <f aca="false">ROUND(K77+N77+Q77,2)</f>
        <v>33.73</v>
      </c>
      <c r="F77" s="3" t="n">
        <f aca="false">COUNTIFS(Responses!$B$2:$B$4001,$A77)</f>
        <v>20</v>
      </c>
      <c r="G77" s="3" t="n">
        <f aca="false">I77+L77+O77</f>
        <v>14</v>
      </c>
      <c r="H77" s="3" t="n">
        <f aca="false">J77+M77+P77</f>
        <v>6</v>
      </c>
      <c r="I77" s="3" t="n">
        <f aca="false">COUNTIFS(Responses!$B$2:$B$4001,$A77,Responses!$K$2:$K$4001,"High",Responses!$I$2:$I$4001,"Correct")</f>
        <v>2</v>
      </c>
      <c r="J77" s="3" t="n">
        <f aca="false">COUNTIFS(Responses!$B$2:$B$4001,$A77,Responses!$K$2:$K$4001,"High",Responses!$I$2:$I$4001,"Wrong")</f>
        <v>3</v>
      </c>
      <c r="K77" s="2" t="n">
        <f aca="false">ROUND(SUMIFS(Responses!$J$2:$J$4001,Responses!$B$2:$B$4001,$A77,Responses!$K$2:$K$4001,"High"),2)</f>
        <v>9.73</v>
      </c>
      <c r="L77" s="3" t="n">
        <f aca="false">COUNTIFS(Responses!$B$2:$B$4001,$A77,Responses!$K$2:$K$4001,"Medium",Responses!$I$2:$I$4001,"Correct")</f>
        <v>4</v>
      </c>
      <c r="M77" s="3" t="n">
        <f aca="false">COUNTIFS(Responses!$B$2:$B$4001,$A77,Responses!$K$2:$K$4001,"Medium",Responses!$I$2:$I$4001,"Wrong")</f>
        <v>2</v>
      </c>
      <c r="N77" s="2" t="n">
        <f aca="false">ROUND(SUMIFS(Responses!$J$2:$J$4001,Responses!$B$2:$B$4001,$A77,Responses!$K$2:$K$4001,"Medium"),2)</f>
        <v>9.21</v>
      </c>
      <c r="O77" s="3" t="n">
        <f aca="false">COUNTIFS(Responses!$B$2:$B$4001,$A77,Responses!$K$2:$K$4001,"Low",Responses!$I$2:$I$4001,"Correct")</f>
        <v>8</v>
      </c>
      <c r="P77" s="3" t="n">
        <f aca="false">COUNTIFS(Responses!$B$2:$B$4001,$A77,Responses!$K$2:$K$4001,"Low",Responses!$I$2:$I$4001,"Wrong")</f>
        <v>1</v>
      </c>
      <c r="Q77" s="2" t="n">
        <f aca="false">ROUND(SUMIFS(Responses!$J$2:$J$4001,Responses!$B$2:$B$4001,$A77,Responses!$K$2:$K$4001,"Low"),2)</f>
        <v>14.79</v>
      </c>
      <c r="R77" s="2" t="n">
        <f aca="false">ROUND(SUMIFS(Responses!$AB$2:$AB$4001,Responses!$B$2:$B$4001,$A77),2)</f>
        <v>24.66</v>
      </c>
      <c r="S77" s="0" t="str">
        <f aca="false">IF(R77&gt;='Reward Model'!$B$8,"Gold",IF(R77&gt;='Reward Model'!$B$9,"Silver","Bronze"))</f>
        <v>Silver</v>
      </c>
      <c r="T77" s="2" t="n">
        <f aca="false">ROUND(R77/'Reward Model'!$B$7*100,2)</f>
        <v>60.15</v>
      </c>
    </row>
    <row r="78" customFormat="false" ht="15" hidden="false" customHeight="false" outlineLevel="0" collapsed="false">
      <c r="A78" s="0" t="s">
        <v>283</v>
      </c>
      <c r="B78" s="0" t="s">
        <v>30</v>
      </c>
      <c r="C78" s="0" t="s">
        <v>275</v>
      </c>
      <c r="D78" s="0" t="n">
        <f aca="false">F78</f>
        <v>20</v>
      </c>
      <c r="E78" s="2" t="n">
        <f aca="false">ROUND(K78+N78+Q78,2)</f>
        <v>34.76</v>
      </c>
      <c r="F78" s="3" t="n">
        <f aca="false">COUNTIFS(Responses!$B$2:$B$4001,$A78)</f>
        <v>20</v>
      </c>
      <c r="G78" s="3" t="n">
        <f aca="false">I78+L78+O78</f>
        <v>13</v>
      </c>
      <c r="H78" s="3" t="n">
        <f aca="false">J78+M78+P78</f>
        <v>7</v>
      </c>
      <c r="I78" s="3" t="n">
        <f aca="false">COUNTIFS(Responses!$B$2:$B$4001,$A78,Responses!$K$2:$K$4001,"High",Responses!$I$2:$I$4001,"Correct")</f>
        <v>2</v>
      </c>
      <c r="J78" s="3" t="n">
        <f aca="false">COUNTIFS(Responses!$B$2:$B$4001,$A78,Responses!$K$2:$K$4001,"High",Responses!$I$2:$I$4001,"Wrong")</f>
        <v>3</v>
      </c>
      <c r="K78" s="2" t="n">
        <f aca="false">ROUND(SUMIFS(Responses!$J$2:$J$4001,Responses!$B$2:$B$4001,$A78,Responses!$K$2:$K$4001,"High"),2)</f>
        <v>8.35</v>
      </c>
      <c r="L78" s="3" t="n">
        <f aca="false">COUNTIFS(Responses!$B$2:$B$4001,$A78,Responses!$K$2:$K$4001,"Medium",Responses!$I$2:$I$4001,"Correct")</f>
        <v>5</v>
      </c>
      <c r="M78" s="3" t="n">
        <f aca="false">COUNTIFS(Responses!$B$2:$B$4001,$A78,Responses!$K$2:$K$4001,"Medium",Responses!$I$2:$I$4001,"Wrong")</f>
        <v>1</v>
      </c>
      <c r="N78" s="2" t="n">
        <f aca="false">ROUND(SUMIFS(Responses!$J$2:$J$4001,Responses!$B$2:$B$4001,$A78,Responses!$K$2:$K$4001,"Medium"),2)</f>
        <v>12.52</v>
      </c>
      <c r="O78" s="3" t="n">
        <f aca="false">COUNTIFS(Responses!$B$2:$B$4001,$A78,Responses!$K$2:$K$4001,"Low",Responses!$I$2:$I$4001,"Correct")</f>
        <v>6</v>
      </c>
      <c r="P78" s="3" t="n">
        <f aca="false">COUNTIFS(Responses!$B$2:$B$4001,$A78,Responses!$K$2:$K$4001,"Low",Responses!$I$2:$I$4001,"Wrong")</f>
        <v>3</v>
      </c>
      <c r="Q78" s="2" t="n">
        <f aca="false">ROUND(SUMIFS(Responses!$J$2:$J$4001,Responses!$B$2:$B$4001,$A78,Responses!$K$2:$K$4001,"Low"),2)</f>
        <v>13.89</v>
      </c>
      <c r="R78" s="2" t="n">
        <f aca="false">ROUND(SUMIFS(Responses!$AB$2:$AB$4001,Responses!$B$2:$B$4001,$A78),2)</f>
        <v>23.18</v>
      </c>
      <c r="S78" s="0" t="str">
        <f aca="false">IF(R78&gt;='Reward Model'!$B$8,"Gold",IF(R78&gt;='Reward Model'!$B$9,"Silver","Bronze"))</f>
        <v>Silver</v>
      </c>
      <c r="T78" s="2" t="n">
        <f aca="false">ROUND(R78/'Reward Model'!$B$7*100,2)</f>
        <v>56.54</v>
      </c>
    </row>
    <row r="79" customFormat="false" ht="15" hidden="false" customHeight="false" outlineLevel="0" collapsed="false">
      <c r="A79" s="0" t="s">
        <v>285</v>
      </c>
      <c r="B79" s="0" t="s">
        <v>30</v>
      </c>
      <c r="C79" s="0" t="s">
        <v>275</v>
      </c>
      <c r="D79" s="0" t="n">
        <f aca="false">F79</f>
        <v>20</v>
      </c>
      <c r="E79" s="2" t="n">
        <f aca="false">ROUND(K79+N79+Q79,2)</f>
        <v>33.24</v>
      </c>
      <c r="F79" s="3" t="n">
        <f aca="false">COUNTIFS(Responses!$B$2:$B$4001,$A79)</f>
        <v>20</v>
      </c>
      <c r="G79" s="3" t="n">
        <f aca="false">I79+L79+O79</f>
        <v>12</v>
      </c>
      <c r="H79" s="3" t="n">
        <f aca="false">J79+M79+P79</f>
        <v>8</v>
      </c>
      <c r="I79" s="3" t="n">
        <f aca="false">COUNTIFS(Responses!$B$2:$B$4001,$A79,Responses!$K$2:$K$4001,"High",Responses!$I$2:$I$4001,"Correct")</f>
        <v>1</v>
      </c>
      <c r="J79" s="3" t="n">
        <f aca="false">COUNTIFS(Responses!$B$2:$B$4001,$A79,Responses!$K$2:$K$4001,"High",Responses!$I$2:$I$4001,"Wrong")</f>
        <v>4</v>
      </c>
      <c r="K79" s="2" t="n">
        <f aca="false">ROUND(SUMIFS(Responses!$J$2:$J$4001,Responses!$B$2:$B$4001,$A79,Responses!$K$2:$K$4001,"High"),2)</f>
        <v>9.95</v>
      </c>
      <c r="L79" s="3" t="n">
        <f aca="false">COUNTIFS(Responses!$B$2:$B$4001,$A79,Responses!$K$2:$K$4001,"Medium",Responses!$I$2:$I$4001,"Correct")</f>
        <v>4</v>
      </c>
      <c r="M79" s="3" t="n">
        <f aca="false">COUNTIFS(Responses!$B$2:$B$4001,$A79,Responses!$K$2:$K$4001,"Medium",Responses!$I$2:$I$4001,"Wrong")</f>
        <v>2</v>
      </c>
      <c r="N79" s="2" t="n">
        <f aca="false">ROUND(SUMIFS(Responses!$J$2:$J$4001,Responses!$B$2:$B$4001,$A79,Responses!$K$2:$K$4001,"Medium"),2)</f>
        <v>9.68</v>
      </c>
      <c r="O79" s="3" t="n">
        <f aca="false">COUNTIFS(Responses!$B$2:$B$4001,$A79,Responses!$K$2:$K$4001,"Low",Responses!$I$2:$I$4001,"Correct")</f>
        <v>7</v>
      </c>
      <c r="P79" s="3" t="n">
        <f aca="false">COUNTIFS(Responses!$B$2:$B$4001,$A79,Responses!$K$2:$K$4001,"Low",Responses!$I$2:$I$4001,"Wrong")</f>
        <v>2</v>
      </c>
      <c r="Q79" s="2" t="n">
        <f aca="false">ROUND(SUMIFS(Responses!$J$2:$J$4001,Responses!$B$2:$B$4001,$A79,Responses!$K$2:$K$4001,"Low"),2)</f>
        <v>13.61</v>
      </c>
      <c r="R79" s="2" t="n">
        <f aca="false">ROUND(SUMIFS(Responses!$AB$2:$AB$4001,Responses!$B$2:$B$4001,$A79),2)</f>
        <v>21.13</v>
      </c>
      <c r="S79" s="0" t="str">
        <f aca="false">IF(R79&gt;='Reward Model'!$B$8,"Gold",IF(R79&gt;='Reward Model'!$B$9,"Silver","Bronze"))</f>
        <v>Silver</v>
      </c>
      <c r="T79" s="2" t="n">
        <f aca="false">ROUND(R79/'Reward Model'!$B$7*100,2)</f>
        <v>51.54</v>
      </c>
    </row>
    <row r="80" customFormat="false" ht="15" hidden="false" customHeight="false" outlineLevel="0" collapsed="false">
      <c r="A80" s="0" t="s">
        <v>287</v>
      </c>
      <c r="B80" s="0" t="s">
        <v>30</v>
      </c>
      <c r="C80" s="0" t="s">
        <v>275</v>
      </c>
      <c r="D80" s="0" t="n">
        <f aca="false">F80</f>
        <v>20</v>
      </c>
      <c r="E80" s="2" t="n">
        <f aca="false">ROUND(K80+N80+Q80,2)</f>
        <v>34.03</v>
      </c>
      <c r="F80" s="3" t="n">
        <f aca="false">COUNTIFS(Responses!$B$2:$B$4001,$A80)</f>
        <v>20</v>
      </c>
      <c r="G80" s="3" t="n">
        <f aca="false">I80+L80+O80</f>
        <v>14</v>
      </c>
      <c r="H80" s="3" t="n">
        <f aca="false">J80+M80+P80</f>
        <v>6</v>
      </c>
      <c r="I80" s="3" t="n">
        <f aca="false">COUNTIFS(Responses!$B$2:$B$4001,$A80,Responses!$K$2:$K$4001,"High",Responses!$I$2:$I$4001,"Correct")</f>
        <v>2</v>
      </c>
      <c r="J80" s="3" t="n">
        <f aca="false">COUNTIFS(Responses!$B$2:$B$4001,$A80,Responses!$K$2:$K$4001,"High",Responses!$I$2:$I$4001,"Wrong")</f>
        <v>3</v>
      </c>
      <c r="K80" s="2" t="n">
        <f aca="false">ROUND(SUMIFS(Responses!$J$2:$J$4001,Responses!$B$2:$B$4001,$A80,Responses!$K$2:$K$4001,"High"),2)</f>
        <v>9.85</v>
      </c>
      <c r="L80" s="3" t="n">
        <f aca="false">COUNTIFS(Responses!$B$2:$B$4001,$A80,Responses!$K$2:$K$4001,"Medium",Responses!$I$2:$I$4001,"Correct")</f>
        <v>4</v>
      </c>
      <c r="M80" s="3" t="n">
        <f aca="false">COUNTIFS(Responses!$B$2:$B$4001,$A80,Responses!$K$2:$K$4001,"Medium",Responses!$I$2:$I$4001,"Wrong")</f>
        <v>2</v>
      </c>
      <c r="N80" s="2" t="n">
        <f aca="false">ROUND(SUMIFS(Responses!$J$2:$J$4001,Responses!$B$2:$B$4001,$A80,Responses!$K$2:$K$4001,"Medium"),2)</f>
        <v>11.46</v>
      </c>
      <c r="O80" s="3" t="n">
        <f aca="false">COUNTIFS(Responses!$B$2:$B$4001,$A80,Responses!$K$2:$K$4001,"Low",Responses!$I$2:$I$4001,"Correct")</f>
        <v>8</v>
      </c>
      <c r="P80" s="3" t="n">
        <f aca="false">COUNTIFS(Responses!$B$2:$B$4001,$A80,Responses!$K$2:$K$4001,"Low",Responses!$I$2:$I$4001,"Wrong")</f>
        <v>1</v>
      </c>
      <c r="Q80" s="2" t="n">
        <f aca="false">ROUND(SUMIFS(Responses!$J$2:$J$4001,Responses!$B$2:$B$4001,$A80,Responses!$K$2:$K$4001,"Low"),2)</f>
        <v>12.72</v>
      </c>
      <c r="R80" s="2" t="n">
        <f aca="false">ROUND(SUMIFS(Responses!$AB$2:$AB$4001,Responses!$B$2:$B$4001,$A80),2)</f>
        <v>24.31</v>
      </c>
      <c r="S80" s="0" t="str">
        <f aca="false">IF(R80&gt;='Reward Model'!$B$8,"Gold",IF(R80&gt;='Reward Model'!$B$9,"Silver","Bronze"))</f>
        <v>Silver</v>
      </c>
      <c r="T80" s="2" t="n">
        <f aca="false">ROUND(R80/'Reward Model'!$B$7*100,2)</f>
        <v>59.29</v>
      </c>
    </row>
    <row r="81" customFormat="false" ht="15" hidden="false" customHeight="false" outlineLevel="0" collapsed="false">
      <c r="A81" s="0" t="s">
        <v>289</v>
      </c>
      <c r="B81" s="0" t="s">
        <v>30</v>
      </c>
      <c r="C81" s="0" t="s">
        <v>275</v>
      </c>
      <c r="D81" s="0" t="n">
        <f aca="false">F81</f>
        <v>20</v>
      </c>
      <c r="E81" s="2" t="n">
        <f aca="false">ROUND(K81+N81+Q81,2)</f>
        <v>33.14</v>
      </c>
      <c r="F81" s="3" t="n">
        <f aca="false">COUNTIFS(Responses!$B$2:$B$4001,$A81)</f>
        <v>20</v>
      </c>
      <c r="G81" s="3" t="n">
        <f aca="false">I81+L81+O81</f>
        <v>17</v>
      </c>
      <c r="H81" s="3" t="n">
        <f aca="false">J81+M81+P81</f>
        <v>3</v>
      </c>
      <c r="I81" s="3" t="n">
        <f aca="false">COUNTIFS(Responses!$B$2:$B$4001,$A81,Responses!$K$2:$K$4001,"High",Responses!$I$2:$I$4001,"Correct")</f>
        <v>4</v>
      </c>
      <c r="J81" s="3" t="n">
        <f aca="false">COUNTIFS(Responses!$B$2:$B$4001,$A81,Responses!$K$2:$K$4001,"High",Responses!$I$2:$I$4001,"Wrong")</f>
        <v>1</v>
      </c>
      <c r="K81" s="2" t="n">
        <f aca="false">ROUND(SUMIFS(Responses!$J$2:$J$4001,Responses!$B$2:$B$4001,$A81,Responses!$K$2:$K$4001,"High"),2)</f>
        <v>9.79</v>
      </c>
      <c r="L81" s="3" t="n">
        <f aca="false">COUNTIFS(Responses!$B$2:$B$4001,$A81,Responses!$K$2:$K$4001,"Medium",Responses!$I$2:$I$4001,"Correct")</f>
        <v>5</v>
      </c>
      <c r="M81" s="3" t="n">
        <f aca="false">COUNTIFS(Responses!$B$2:$B$4001,$A81,Responses!$K$2:$K$4001,"Medium",Responses!$I$2:$I$4001,"Wrong")</f>
        <v>1</v>
      </c>
      <c r="N81" s="2" t="n">
        <f aca="false">ROUND(SUMIFS(Responses!$J$2:$J$4001,Responses!$B$2:$B$4001,$A81,Responses!$K$2:$K$4001,"Medium"),2)</f>
        <v>10.29</v>
      </c>
      <c r="O81" s="3" t="n">
        <f aca="false">COUNTIFS(Responses!$B$2:$B$4001,$A81,Responses!$K$2:$K$4001,"Low",Responses!$I$2:$I$4001,"Correct")</f>
        <v>8</v>
      </c>
      <c r="P81" s="3" t="n">
        <f aca="false">COUNTIFS(Responses!$B$2:$B$4001,$A81,Responses!$K$2:$K$4001,"Low",Responses!$I$2:$I$4001,"Wrong")</f>
        <v>1</v>
      </c>
      <c r="Q81" s="2" t="n">
        <f aca="false">ROUND(SUMIFS(Responses!$J$2:$J$4001,Responses!$B$2:$B$4001,$A81,Responses!$K$2:$K$4001,"Low"),2)</f>
        <v>13.06</v>
      </c>
      <c r="R81" s="2" t="n">
        <f aca="false">ROUND(SUMIFS(Responses!$AB$2:$AB$4001,Responses!$B$2:$B$4001,$A81),2)</f>
        <v>32.34</v>
      </c>
      <c r="S81" s="0" t="str">
        <f aca="false">IF(R81&gt;='Reward Model'!$B$8,"Gold",IF(R81&gt;='Reward Model'!$B$9,"Silver","Bronze"))</f>
        <v>Gold</v>
      </c>
      <c r="T81" s="2" t="n">
        <f aca="false">ROUND(R81/'Reward Model'!$B$7*100,2)</f>
        <v>78.88</v>
      </c>
    </row>
    <row r="82" customFormat="false" ht="15" hidden="false" customHeight="false" outlineLevel="0" collapsed="false">
      <c r="A82" s="0" t="s">
        <v>291</v>
      </c>
      <c r="B82" s="0" t="s">
        <v>30</v>
      </c>
      <c r="C82" s="0" t="s">
        <v>275</v>
      </c>
      <c r="D82" s="0" t="n">
        <f aca="false">F82</f>
        <v>20</v>
      </c>
      <c r="E82" s="2" t="n">
        <f aca="false">ROUND(K82+N82+Q82,2)</f>
        <v>33.11</v>
      </c>
      <c r="F82" s="3" t="n">
        <f aca="false">COUNTIFS(Responses!$B$2:$B$4001,$A82)</f>
        <v>20</v>
      </c>
      <c r="G82" s="3" t="n">
        <f aca="false">I82+L82+O82</f>
        <v>14</v>
      </c>
      <c r="H82" s="3" t="n">
        <f aca="false">J82+M82+P82</f>
        <v>6</v>
      </c>
      <c r="I82" s="3" t="n">
        <f aca="false">COUNTIFS(Responses!$B$2:$B$4001,$A82,Responses!$K$2:$K$4001,"High",Responses!$I$2:$I$4001,"Correct")</f>
        <v>2</v>
      </c>
      <c r="J82" s="3" t="n">
        <f aca="false">COUNTIFS(Responses!$B$2:$B$4001,$A82,Responses!$K$2:$K$4001,"High",Responses!$I$2:$I$4001,"Wrong")</f>
        <v>3</v>
      </c>
      <c r="K82" s="2" t="n">
        <f aca="false">ROUND(SUMIFS(Responses!$J$2:$J$4001,Responses!$B$2:$B$4001,$A82,Responses!$K$2:$K$4001,"High"),2)</f>
        <v>8.92</v>
      </c>
      <c r="L82" s="3" t="n">
        <f aca="false">COUNTIFS(Responses!$B$2:$B$4001,$A82,Responses!$K$2:$K$4001,"Medium",Responses!$I$2:$I$4001,"Correct")</f>
        <v>4</v>
      </c>
      <c r="M82" s="3" t="n">
        <f aca="false">COUNTIFS(Responses!$B$2:$B$4001,$A82,Responses!$K$2:$K$4001,"Medium",Responses!$I$2:$I$4001,"Wrong")</f>
        <v>2</v>
      </c>
      <c r="N82" s="2" t="n">
        <f aca="false">ROUND(SUMIFS(Responses!$J$2:$J$4001,Responses!$B$2:$B$4001,$A82,Responses!$K$2:$K$4001,"Medium"),2)</f>
        <v>10.97</v>
      </c>
      <c r="O82" s="3" t="n">
        <f aca="false">COUNTIFS(Responses!$B$2:$B$4001,$A82,Responses!$K$2:$K$4001,"Low",Responses!$I$2:$I$4001,"Correct")</f>
        <v>8</v>
      </c>
      <c r="P82" s="3" t="n">
        <f aca="false">COUNTIFS(Responses!$B$2:$B$4001,$A82,Responses!$K$2:$K$4001,"Low",Responses!$I$2:$I$4001,"Wrong")</f>
        <v>1</v>
      </c>
      <c r="Q82" s="2" t="n">
        <f aca="false">ROUND(SUMIFS(Responses!$J$2:$J$4001,Responses!$B$2:$B$4001,$A82,Responses!$K$2:$K$4001,"Low"),2)</f>
        <v>13.22</v>
      </c>
      <c r="R82" s="2" t="n">
        <f aca="false">ROUND(SUMIFS(Responses!$AB$2:$AB$4001,Responses!$B$2:$B$4001,$A82),2)</f>
        <v>24.35</v>
      </c>
      <c r="S82" s="0" t="str">
        <f aca="false">IF(R82&gt;='Reward Model'!$B$8,"Gold",IF(R82&gt;='Reward Model'!$B$9,"Silver","Bronze"))</f>
        <v>Silver</v>
      </c>
      <c r="T82" s="2" t="n">
        <f aca="false">ROUND(R82/'Reward Model'!$B$7*100,2)</f>
        <v>59.39</v>
      </c>
    </row>
    <row r="83" customFormat="false" ht="15" hidden="false" customHeight="false" outlineLevel="0" collapsed="false">
      <c r="A83" s="0" t="s">
        <v>293</v>
      </c>
      <c r="B83" s="0" t="s">
        <v>30</v>
      </c>
      <c r="C83" s="0" t="s">
        <v>275</v>
      </c>
      <c r="D83" s="0" t="n">
        <f aca="false">F83</f>
        <v>20</v>
      </c>
      <c r="E83" s="2" t="n">
        <f aca="false">ROUND(K83+N83+Q83,2)</f>
        <v>33.85</v>
      </c>
      <c r="F83" s="3" t="n">
        <f aca="false">COUNTIFS(Responses!$B$2:$B$4001,$A83)</f>
        <v>20</v>
      </c>
      <c r="G83" s="3" t="n">
        <f aca="false">I83+L83+O83</f>
        <v>11</v>
      </c>
      <c r="H83" s="3" t="n">
        <f aca="false">J83+M83+P83</f>
        <v>9</v>
      </c>
      <c r="I83" s="3" t="n">
        <f aca="false">COUNTIFS(Responses!$B$2:$B$4001,$A83,Responses!$K$2:$K$4001,"High",Responses!$I$2:$I$4001,"Correct")</f>
        <v>1</v>
      </c>
      <c r="J83" s="3" t="n">
        <f aca="false">COUNTIFS(Responses!$B$2:$B$4001,$A83,Responses!$K$2:$K$4001,"High",Responses!$I$2:$I$4001,"Wrong")</f>
        <v>4</v>
      </c>
      <c r="K83" s="2" t="n">
        <f aca="false">ROUND(SUMIFS(Responses!$J$2:$J$4001,Responses!$B$2:$B$4001,$A83,Responses!$K$2:$K$4001,"High"),2)</f>
        <v>10.08</v>
      </c>
      <c r="L83" s="3" t="n">
        <f aca="false">COUNTIFS(Responses!$B$2:$B$4001,$A83,Responses!$K$2:$K$4001,"Medium",Responses!$I$2:$I$4001,"Correct")</f>
        <v>4</v>
      </c>
      <c r="M83" s="3" t="n">
        <f aca="false">COUNTIFS(Responses!$B$2:$B$4001,$A83,Responses!$K$2:$K$4001,"Medium",Responses!$I$2:$I$4001,"Wrong")</f>
        <v>2</v>
      </c>
      <c r="N83" s="2" t="n">
        <f aca="false">ROUND(SUMIFS(Responses!$J$2:$J$4001,Responses!$B$2:$B$4001,$A83,Responses!$K$2:$K$4001,"Medium"),2)</f>
        <v>10.65</v>
      </c>
      <c r="O83" s="3" t="n">
        <f aca="false">COUNTIFS(Responses!$B$2:$B$4001,$A83,Responses!$K$2:$K$4001,"Low",Responses!$I$2:$I$4001,"Correct")</f>
        <v>6</v>
      </c>
      <c r="P83" s="3" t="n">
        <f aca="false">COUNTIFS(Responses!$B$2:$B$4001,$A83,Responses!$K$2:$K$4001,"Low",Responses!$I$2:$I$4001,"Wrong")</f>
        <v>3</v>
      </c>
      <c r="Q83" s="2" t="n">
        <f aca="false">ROUND(SUMIFS(Responses!$J$2:$J$4001,Responses!$B$2:$B$4001,$A83,Responses!$K$2:$K$4001,"Low"),2)</f>
        <v>13.12</v>
      </c>
      <c r="R83" s="2" t="n">
        <f aca="false">ROUND(SUMIFS(Responses!$AB$2:$AB$4001,Responses!$B$2:$B$4001,$A83),2)</f>
        <v>18.2</v>
      </c>
      <c r="S83" s="0" t="str">
        <f aca="false">IF(R83&gt;='Reward Model'!$B$8,"Gold",IF(R83&gt;='Reward Model'!$B$9,"Silver","Bronze"))</f>
        <v>Bronze</v>
      </c>
      <c r="T83" s="2" t="n">
        <f aca="false">ROUND(R83/'Reward Model'!$B$7*100,2)</f>
        <v>44.39</v>
      </c>
    </row>
    <row r="84" customFormat="false" ht="15" hidden="false" customHeight="false" outlineLevel="0" collapsed="false">
      <c r="A84" s="0" t="s">
        <v>295</v>
      </c>
      <c r="B84" s="0" t="s">
        <v>30</v>
      </c>
      <c r="C84" s="0" t="s">
        <v>275</v>
      </c>
      <c r="D84" s="0" t="n">
        <f aca="false">F84</f>
        <v>20</v>
      </c>
      <c r="E84" s="2" t="n">
        <f aca="false">ROUND(K84+N84+Q84,2)</f>
        <v>34.23</v>
      </c>
      <c r="F84" s="3" t="n">
        <f aca="false">COUNTIFS(Responses!$B$2:$B$4001,$A84)</f>
        <v>20</v>
      </c>
      <c r="G84" s="3" t="n">
        <f aca="false">I84+L84+O84</f>
        <v>13</v>
      </c>
      <c r="H84" s="3" t="n">
        <f aca="false">J84+M84+P84</f>
        <v>7</v>
      </c>
      <c r="I84" s="3" t="n">
        <f aca="false">COUNTIFS(Responses!$B$2:$B$4001,$A84,Responses!$K$2:$K$4001,"High",Responses!$I$2:$I$4001,"Correct")</f>
        <v>1</v>
      </c>
      <c r="J84" s="3" t="n">
        <f aca="false">COUNTIFS(Responses!$B$2:$B$4001,$A84,Responses!$K$2:$K$4001,"High",Responses!$I$2:$I$4001,"Wrong")</f>
        <v>4</v>
      </c>
      <c r="K84" s="2" t="n">
        <f aca="false">ROUND(SUMIFS(Responses!$J$2:$J$4001,Responses!$B$2:$B$4001,$A84,Responses!$K$2:$K$4001,"High"),2)</f>
        <v>9.55</v>
      </c>
      <c r="L84" s="3" t="n">
        <f aca="false">COUNTIFS(Responses!$B$2:$B$4001,$A84,Responses!$K$2:$K$4001,"Medium",Responses!$I$2:$I$4001,"Correct")</f>
        <v>4</v>
      </c>
      <c r="M84" s="3" t="n">
        <f aca="false">COUNTIFS(Responses!$B$2:$B$4001,$A84,Responses!$K$2:$K$4001,"Medium",Responses!$I$2:$I$4001,"Wrong")</f>
        <v>2</v>
      </c>
      <c r="N84" s="2" t="n">
        <f aca="false">ROUND(SUMIFS(Responses!$J$2:$J$4001,Responses!$B$2:$B$4001,$A84,Responses!$K$2:$K$4001,"Medium"),2)</f>
        <v>9.43</v>
      </c>
      <c r="O84" s="3" t="n">
        <f aca="false">COUNTIFS(Responses!$B$2:$B$4001,$A84,Responses!$K$2:$K$4001,"Low",Responses!$I$2:$I$4001,"Correct")</f>
        <v>8</v>
      </c>
      <c r="P84" s="3" t="n">
        <f aca="false">COUNTIFS(Responses!$B$2:$B$4001,$A84,Responses!$K$2:$K$4001,"Low",Responses!$I$2:$I$4001,"Wrong")</f>
        <v>1</v>
      </c>
      <c r="Q84" s="2" t="n">
        <f aca="false">ROUND(SUMIFS(Responses!$J$2:$J$4001,Responses!$B$2:$B$4001,$A84,Responses!$K$2:$K$4001,"Low"),2)</f>
        <v>15.25</v>
      </c>
      <c r="R84" s="2" t="n">
        <f aca="false">ROUND(SUMIFS(Responses!$AB$2:$AB$4001,Responses!$B$2:$B$4001,$A84),2)</f>
        <v>21.84</v>
      </c>
      <c r="S84" s="0" t="str">
        <f aca="false">IF(R84&gt;='Reward Model'!$B$8,"Gold",IF(R84&gt;='Reward Model'!$B$9,"Silver","Bronze"))</f>
        <v>Silver</v>
      </c>
      <c r="T84" s="2" t="n">
        <f aca="false">ROUND(R84/'Reward Model'!$B$7*100,2)</f>
        <v>53.27</v>
      </c>
    </row>
    <row r="85" customFormat="false" ht="15" hidden="false" customHeight="false" outlineLevel="0" collapsed="false">
      <c r="A85" s="0" t="s">
        <v>297</v>
      </c>
      <c r="B85" s="0" t="s">
        <v>30</v>
      </c>
      <c r="C85" s="0" t="s">
        <v>275</v>
      </c>
      <c r="D85" s="0" t="n">
        <f aca="false">F85</f>
        <v>20</v>
      </c>
      <c r="E85" s="2" t="n">
        <f aca="false">ROUND(K85+N85+Q85,2)</f>
        <v>33.49</v>
      </c>
      <c r="F85" s="3" t="n">
        <f aca="false">COUNTIFS(Responses!$B$2:$B$4001,$A85)</f>
        <v>20</v>
      </c>
      <c r="G85" s="3" t="n">
        <f aca="false">I85+L85+O85</f>
        <v>12</v>
      </c>
      <c r="H85" s="3" t="n">
        <f aca="false">J85+M85+P85</f>
        <v>8</v>
      </c>
      <c r="I85" s="3" t="n">
        <f aca="false">COUNTIFS(Responses!$B$2:$B$4001,$A85,Responses!$K$2:$K$4001,"High",Responses!$I$2:$I$4001,"Correct")</f>
        <v>1</v>
      </c>
      <c r="J85" s="3" t="n">
        <f aca="false">COUNTIFS(Responses!$B$2:$B$4001,$A85,Responses!$K$2:$K$4001,"High",Responses!$I$2:$I$4001,"Wrong")</f>
        <v>4</v>
      </c>
      <c r="K85" s="2" t="n">
        <f aca="false">ROUND(SUMIFS(Responses!$J$2:$J$4001,Responses!$B$2:$B$4001,$A85,Responses!$K$2:$K$4001,"High"),2)</f>
        <v>9.2</v>
      </c>
      <c r="L85" s="3" t="n">
        <f aca="false">COUNTIFS(Responses!$B$2:$B$4001,$A85,Responses!$K$2:$K$4001,"Medium",Responses!$I$2:$I$4001,"Correct")</f>
        <v>4</v>
      </c>
      <c r="M85" s="3" t="n">
        <f aca="false">COUNTIFS(Responses!$B$2:$B$4001,$A85,Responses!$K$2:$K$4001,"Medium",Responses!$I$2:$I$4001,"Wrong")</f>
        <v>2</v>
      </c>
      <c r="N85" s="2" t="n">
        <f aca="false">ROUND(SUMIFS(Responses!$J$2:$J$4001,Responses!$B$2:$B$4001,$A85,Responses!$K$2:$K$4001,"Medium"),2)</f>
        <v>10.58</v>
      </c>
      <c r="O85" s="3" t="n">
        <f aca="false">COUNTIFS(Responses!$B$2:$B$4001,$A85,Responses!$K$2:$K$4001,"Low",Responses!$I$2:$I$4001,"Correct")</f>
        <v>7</v>
      </c>
      <c r="P85" s="3" t="n">
        <f aca="false">COUNTIFS(Responses!$B$2:$B$4001,$A85,Responses!$K$2:$K$4001,"Low",Responses!$I$2:$I$4001,"Wrong")</f>
        <v>2</v>
      </c>
      <c r="Q85" s="2" t="n">
        <f aca="false">ROUND(SUMIFS(Responses!$J$2:$J$4001,Responses!$B$2:$B$4001,$A85,Responses!$K$2:$K$4001,"Low"),2)</f>
        <v>13.71</v>
      </c>
      <c r="R85" s="2" t="n">
        <f aca="false">ROUND(SUMIFS(Responses!$AB$2:$AB$4001,Responses!$B$2:$B$4001,$A85),2)</f>
        <v>19.12</v>
      </c>
      <c r="S85" s="0" t="str">
        <f aca="false">IF(R85&gt;='Reward Model'!$B$8,"Gold",IF(R85&gt;='Reward Model'!$B$9,"Silver","Bronze"))</f>
        <v>Bronze</v>
      </c>
      <c r="T85" s="2" t="n">
        <f aca="false">ROUND(R85/'Reward Model'!$B$7*100,2)</f>
        <v>46.63</v>
      </c>
    </row>
    <row r="86" customFormat="false" ht="15" hidden="false" customHeight="false" outlineLevel="0" collapsed="false">
      <c r="A86" s="0" t="s">
        <v>299</v>
      </c>
      <c r="B86" s="0" t="s">
        <v>30</v>
      </c>
      <c r="C86" s="0" t="s">
        <v>275</v>
      </c>
      <c r="D86" s="0" t="n">
        <f aca="false">F86</f>
        <v>20</v>
      </c>
      <c r="E86" s="2" t="n">
        <f aca="false">ROUND(K86+N86+Q86,2)</f>
        <v>32.21</v>
      </c>
      <c r="F86" s="3" t="n">
        <f aca="false">COUNTIFS(Responses!$B$2:$B$4001,$A86)</f>
        <v>20</v>
      </c>
      <c r="G86" s="3" t="n">
        <f aca="false">I86+L86+O86</f>
        <v>16</v>
      </c>
      <c r="H86" s="3" t="n">
        <f aca="false">J86+M86+P86</f>
        <v>4</v>
      </c>
      <c r="I86" s="3" t="n">
        <f aca="false">COUNTIFS(Responses!$B$2:$B$4001,$A86,Responses!$K$2:$K$4001,"High",Responses!$I$2:$I$4001,"Correct")</f>
        <v>3</v>
      </c>
      <c r="J86" s="3" t="n">
        <f aca="false">COUNTIFS(Responses!$B$2:$B$4001,$A86,Responses!$K$2:$K$4001,"High",Responses!$I$2:$I$4001,"Wrong")</f>
        <v>2</v>
      </c>
      <c r="K86" s="2" t="n">
        <f aca="false">ROUND(SUMIFS(Responses!$J$2:$J$4001,Responses!$B$2:$B$4001,$A86,Responses!$K$2:$K$4001,"High"),2)</f>
        <v>9.48</v>
      </c>
      <c r="L86" s="3" t="n">
        <f aca="false">COUNTIFS(Responses!$B$2:$B$4001,$A86,Responses!$K$2:$K$4001,"Medium",Responses!$I$2:$I$4001,"Correct")</f>
        <v>5</v>
      </c>
      <c r="M86" s="3" t="n">
        <f aca="false">COUNTIFS(Responses!$B$2:$B$4001,$A86,Responses!$K$2:$K$4001,"Medium",Responses!$I$2:$I$4001,"Wrong")</f>
        <v>1</v>
      </c>
      <c r="N86" s="2" t="n">
        <f aca="false">ROUND(SUMIFS(Responses!$J$2:$J$4001,Responses!$B$2:$B$4001,$A86,Responses!$K$2:$K$4001,"Medium"),2)</f>
        <v>9.01</v>
      </c>
      <c r="O86" s="3" t="n">
        <f aca="false">COUNTIFS(Responses!$B$2:$B$4001,$A86,Responses!$K$2:$K$4001,"Low",Responses!$I$2:$I$4001,"Correct")</f>
        <v>8</v>
      </c>
      <c r="P86" s="3" t="n">
        <f aca="false">COUNTIFS(Responses!$B$2:$B$4001,$A86,Responses!$K$2:$K$4001,"Low",Responses!$I$2:$I$4001,"Wrong")</f>
        <v>1</v>
      </c>
      <c r="Q86" s="2" t="n">
        <f aca="false">ROUND(SUMIFS(Responses!$J$2:$J$4001,Responses!$B$2:$B$4001,$A86,Responses!$K$2:$K$4001,"Low"),2)</f>
        <v>13.72</v>
      </c>
      <c r="R86" s="2" t="n">
        <f aca="false">ROUND(SUMIFS(Responses!$AB$2:$AB$4001,Responses!$B$2:$B$4001,$A86),2)</f>
        <v>29.99</v>
      </c>
      <c r="S86" s="0" t="str">
        <f aca="false">IF(R86&gt;='Reward Model'!$B$8,"Gold",IF(R86&gt;='Reward Model'!$B$9,"Silver","Bronze"))</f>
        <v>Gold</v>
      </c>
      <c r="T86" s="2" t="n">
        <f aca="false">ROUND(R86/'Reward Model'!$B$7*100,2)</f>
        <v>73.15</v>
      </c>
    </row>
    <row r="87" customFormat="false" ht="15" hidden="false" customHeight="false" outlineLevel="0" collapsed="false">
      <c r="A87" s="0" t="s">
        <v>301</v>
      </c>
      <c r="B87" s="0" t="s">
        <v>30</v>
      </c>
      <c r="C87" s="0" t="s">
        <v>275</v>
      </c>
      <c r="D87" s="0" t="n">
        <f aca="false">F87</f>
        <v>20</v>
      </c>
      <c r="E87" s="2" t="n">
        <f aca="false">ROUND(K87+N87+Q87,2)</f>
        <v>30.04</v>
      </c>
      <c r="F87" s="3" t="n">
        <f aca="false">COUNTIFS(Responses!$B$2:$B$4001,$A87)</f>
        <v>20</v>
      </c>
      <c r="G87" s="3" t="n">
        <f aca="false">I87+L87+O87</f>
        <v>15</v>
      </c>
      <c r="H87" s="3" t="n">
        <f aca="false">J87+M87+P87</f>
        <v>5</v>
      </c>
      <c r="I87" s="3" t="n">
        <f aca="false">COUNTIFS(Responses!$B$2:$B$4001,$A87,Responses!$K$2:$K$4001,"High",Responses!$I$2:$I$4001,"Correct")</f>
        <v>2</v>
      </c>
      <c r="J87" s="3" t="n">
        <f aca="false">COUNTIFS(Responses!$B$2:$B$4001,$A87,Responses!$K$2:$K$4001,"High",Responses!$I$2:$I$4001,"Wrong")</f>
        <v>3</v>
      </c>
      <c r="K87" s="2" t="n">
        <f aca="false">ROUND(SUMIFS(Responses!$J$2:$J$4001,Responses!$B$2:$B$4001,$A87,Responses!$K$2:$K$4001,"High"),2)</f>
        <v>9.03</v>
      </c>
      <c r="L87" s="3" t="n">
        <f aca="false">COUNTIFS(Responses!$B$2:$B$4001,$A87,Responses!$K$2:$K$4001,"Medium",Responses!$I$2:$I$4001,"Correct")</f>
        <v>5</v>
      </c>
      <c r="M87" s="3" t="n">
        <f aca="false">COUNTIFS(Responses!$B$2:$B$4001,$A87,Responses!$K$2:$K$4001,"Medium",Responses!$I$2:$I$4001,"Wrong")</f>
        <v>1</v>
      </c>
      <c r="N87" s="2" t="n">
        <f aca="false">ROUND(SUMIFS(Responses!$J$2:$J$4001,Responses!$B$2:$B$4001,$A87,Responses!$K$2:$K$4001,"Medium"),2)</f>
        <v>10.02</v>
      </c>
      <c r="O87" s="3" t="n">
        <f aca="false">COUNTIFS(Responses!$B$2:$B$4001,$A87,Responses!$K$2:$K$4001,"Low",Responses!$I$2:$I$4001,"Correct")</f>
        <v>8</v>
      </c>
      <c r="P87" s="3" t="n">
        <f aca="false">COUNTIFS(Responses!$B$2:$B$4001,$A87,Responses!$K$2:$K$4001,"Low",Responses!$I$2:$I$4001,"Wrong")</f>
        <v>1</v>
      </c>
      <c r="Q87" s="2" t="n">
        <f aca="false">ROUND(SUMIFS(Responses!$J$2:$J$4001,Responses!$B$2:$B$4001,$A87,Responses!$K$2:$K$4001,"Low"),2)</f>
        <v>10.99</v>
      </c>
      <c r="R87" s="2" t="n">
        <f aca="false">ROUND(SUMIFS(Responses!$AB$2:$AB$4001,Responses!$B$2:$B$4001,$A87),2)</f>
        <v>26.95</v>
      </c>
      <c r="S87" s="0" t="str">
        <f aca="false">IF(R87&gt;='Reward Model'!$B$8,"Gold",IF(R87&gt;='Reward Model'!$B$9,"Silver","Bronze"))</f>
        <v>Silver</v>
      </c>
      <c r="T87" s="2" t="n">
        <f aca="false">ROUND(R87/'Reward Model'!$B$7*100,2)</f>
        <v>65.73</v>
      </c>
    </row>
    <row r="88" customFormat="false" ht="15" hidden="false" customHeight="false" outlineLevel="0" collapsed="false">
      <c r="A88" s="0" t="s">
        <v>303</v>
      </c>
      <c r="B88" s="0" t="s">
        <v>30</v>
      </c>
      <c r="C88" s="0" t="s">
        <v>275</v>
      </c>
      <c r="D88" s="0" t="n">
        <f aca="false">F88</f>
        <v>20</v>
      </c>
      <c r="E88" s="2" t="n">
        <f aca="false">ROUND(K88+N88+Q88,2)</f>
        <v>33.81</v>
      </c>
      <c r="F88" s="3" t="n">
        <f aca="false">COUNTIFS(Responses!$B$2:$B$4001,$A88)</f>
        <v>20</v>
      </c>
      <c r="G88" s="3" t="n">
        <f aca="false">I88+L88+O88</f>
        <v>15</v>
      </c>
      <c r="H88" s="3" t="n">
        <f aca="false">J88+M88+P88</f>
        <v>5</v>
      </c>
      <c r="I88" s="3" t="n">
        <f aca="false">COUNTIFS(Responses!$B$2:$B$4001,$A88,Responses!$K$2:$K$4001,"High",Responses!$I$2:$I$4001,"Correct")</f>
        <v>2</v>
      </c>
      <c r="J88" s="3" t="n">
        <f aca="false">COUNTIFS(Responses!$B$2:$B$4001,$A88,Responses!$K$2:$K$4001,"High",Responses!$I$2:$I$4001,"Wrong")</f>
        <v>3</v>
      </c>
      <c r="K88" s="2" t="n">
        <f aca="false">ROUND(SUMIFS(Responses!$J$2:$J$4001,Responses!$B$2:$B$4001,$A88,Responses!$K$2:$K$4001,"High"),2)</f>
        <v>10.81</v>
      </c>
      <c r="L88" s="3" t="n">
        <f aca="false">COUNTIFS(Responses!$B$2:$B$4001,$A88,Responses!$K$2:$K$4001,"Medium",Responses!$I$2:$I$4001,"Correct")</f>
        <v>5</v>
      </c>
      <c r="M88" s="3" t="n">
        <f aca="false">COUNTIFS(Responses!$B$2:$B$4001,$A88,Responses!$K$2:$K$4001,"Medium",Responses!$I$2:$I$4001,"Wrong")</f>
        <v>1</v>
      </c>
      <c r="N88" s="2" t="n">
        <f aca="false">ROUND(SUMIFS(Responses!$J$2:$J$4001,Responses!$B$2:$B$4001,$A88,Responses!$K$2:$K$4001,"Medium"),2)</f>
        <v>8.99</v>
      </c>
      <c r="O88" s="3" t="n">
        <f aca="false">COUNTIFS(Responses!$B$2:$B$4001,$A88,Responses!$K$2:$K$4001,"Low",Responses!$I$2:$I$4001,"Correct")</f>
        <v>8</v>
      </c>
      <c r="P88" s="3" t="n">
        <f aca="false">COUNTIFS(Responses!$B$2:$B$4001,$A88,Responses!$K$2:$K$4001,"Low",Responses!$I$2:$I$4001,"Wrong")</f>
        <v>1</v>
      </c>
      <c r="Q88" s="2" t="n">
        <f aca="false">ROUND(SUMIFS(Responses!$J$2:$J$4001,Responses!$B$2:$B$4001,$A88,Responses!$K$2:$K$4001,"Low"),2)</f>
        <v>14.01</v>
      </c>
      <c r="R88" s="2" t="n">
        <f aca="false">ROUND(SUMIFS(Responses!$AB$2:$AB$4001,Responses!$B$2:$B$4001,$A88),2)</f>
        <v>25.63</v>
      </c>
      <c r="S88" s="0" t="str">
        <f aca="false">IF(R88&gt;='Reward Model'!$B$8,"Gold",IF(R88&gt;='Reward Model'!$B$9,"Silver","Bronze"))</f>
        <v>Silver</v>
      </c>
      <c r="T88" s="2" t="n">
        <f aca="false">ROUND(R88/'Reward Model'!$B$7*100,2)</f>
        <v>62.51</v>
      </c>
    </row>
    <row r="89" customFormat="false" ht="15" hidden="false" customHeight="false" outlineLevel="0" collapsed="false">
      <c r="A89" s="0" t="s">
        <v>305</v>
      </c>
      <c r="B89" s="0" t="s">
        <v>30</v>
      </c>
      <c r="C89" s="0" t="s">
        <v>275</v>
      </c>
      <c r="D89" s="0" t="n">
        <f aca="false">F89</f>
        <v>20</v>
      </c>
      <c r="E89" s="2" t="n">
        <f aca="false">ROUND(K89+N89+Q89,2)</f>
        <v>29.48</v>
      </c>
      <c r="F89" s="3" t="n">
        <f aca="false">COUNTIFS(Responses!$B$2:$B$4001,$A89)</f>
        <v>20</v>
      </c>
      <c r="G89" s="3" t="n">
        <f aca="false">I89+L89+O89</f>
        <v>15</v>
      </c>
      <c r="H89" s="3" t="n">
        <f aca="false">J89+M89+P89</f>
        <v>5</v>
      </c>
      <c r="I89" s="3" t="n">
        <f aca="false">COUNTIFS(Responses!$B$2:$B$4001,$A89,Responses!$K$2:$K$4001,"High",Responses!$I$2:$I$4001,"Correct")</f>
        <v>2</v>
      </c>
      <c r="J89" s="3" t="n">
        <f aca="false">COUNTIFS(Responses!$B$2:$B$4001,$A89,Responses!$K$2:$K$4001,"High",Responses!$I$2:$I$4001,"Wrong")</f>
        <v>3</v>
      </c>
      <c r="K89" s="2" t="n">
        <f aca="false">ROUND(SUMIFS(Responses!$J$2:$J$4001,Responses!$B$2:$B$4001,$A89,Responses!$K$2:$K$4001,"High"),2)</f>
        <v>7.74</v>
      </c>
      <c r="L89" s="3" t="n">
        <f aca="false">COUNTIFS(Responses!$B$2:$B$4001,$A89,Responses!$K$2:$K$4001,"Medium",Responses!$I$2:$I$4001,"Correct")</f>
        <v>5</v>
      </c>
      <c r="M89" s="3" t="n">
        <f aca="false">COUNTIFS(Responses!$B$2:$B$4001,$A89,Responses!$K$2:$K$4001,"Medium",Responses!$I$2:$I$4001,"Wrong")</f>
        <v>1</v>
      </c>
      <c r="N89" s="2" t="n">
        <f aca="false">ROUND(SUMIFS(Responses!$J$2:$J$4001,Responses!$B$2:$B$4001,$A89,Responses!$K$2:$K$4001,"Medium"),2)</f>
        <v>9.41</v>
      </c>
      <c r="O89" s="3" t="n">
        <f aca="false">COUNTIFS(Responses!$B$2:$B$4001,$A89,Responses!$K$2:$K$4001,"Low",Responses!$I$2:$I$4001,"Correct")</f>
        <v>8</v>
      </c>
      <c r="P89" s="3" t="n">
        <f aca="false">COUNTIFS(Responses!$B$2:$B$4001,$A89,Responses!$K$2:$K$4001,"Low",Responses!$I$2:$I$4001,"Wrong")</f>
        <v>1</v>
      </c>
      <c r="Q89" s="2" t="n">
        <f aca="false">ROUND(SUMIFS(Responses!$J$2:$J$4001,Responses!$B$2:$B$4001,$A89,Responses!$K$2:$K$4001,"Low"),2)</f>
        <v>12.33</v>
      </c>
      <c r="R89" s="2" t="n">
        <f aca="false">ROUND(SUMIFS(Responses!$AB$2:$AB$4001,Responses!$B$2:$B$4001,$A89),2)</f>
        <v>27.98</v>
      </c>
      <c r="S89" s="0" t="str">
        <f aca="false">IF(R89&gt;='Reward Model'!$B$8,"Gold",IF(R89&gt;='Reward Model'!$B$9,"Silver","Bronze"))</f>
        <v>Silver</v>
      </c>
      <c r="T89" s="2" t="n">
        <f aca="false">ROUND(R89/'Reward Model'!$B$7*100,2)</f>
        <v>68.24</v>
      </c>
    </row>
    <row r="90" customFormat="false" ht="15" hidden="false" customHeight="false" outlineLevel="0" collapsed="false">
      <c r="A90" s="0" t="s">
        <v>307</v>
      </c>
      <c r="B90" s="0" t="s">
        <v>30</v>
      </c>
      <c r="C90" s="0" t="s">
        <v>275</v>
      </c>
      <c r="D90" s="0" t="n">
        <f aca="false">F90</f>
        <v>20</v>
      </c>
      <c r="E90" s="2" t="n">
        <f aca="false">ROUND(K90+N90+Q90,2)</f>
        <v>32.61</v>
      </c>
      <c r="F90" s="3" t="n">
        <f aca="false">COUNTIFS(Responses!$B$2:$B$4001,$A90)</f>
        <v>20</v>
      </c>
      <c r="G90" s="3" t="n">
        <f aca="false">I90+L90+O90</f>
        <v>14</v>
      </c>
      <c r="H90" s="3" t="n">
        <f aca="false">J90+M90+P90</f>
        <v>6</v>
      </c>
      <c r="I90" s="3" t="n">
        <f aca="false">COUNTIFS(Responses!$B$2:$B$4001,$A90,Responses!$K$2:$K$4001,"High",Responses!$I$2:$I$4001,"Correct")</f>
        <v>2</v>
      </c>
      <c r="J90" s="3" t="n">
        <f aca="false">COUNTIFS(Responses!$B$2:$B$4001,$A90,Responses!$K$2:$K$4001,"High",Responses!$I$2:$I$4001,"Wrong")</f>
        <v>3</v>
      </c>
      <c r="K90" s="2" t="n">
        <f aca="false">ROUND(SUMIFS(Responses!$J$2:$J$4001,Responses!$B$2:$B$4001,$A90,Responses!$K$2:$K$4001,"High"),2)</f>
        <v>9.21</v>
      </c>
      <c r="L90" s="3" t="n">
        <f aca="false">COUNTIFS(Responses!$B$2:$B$4001,$A90,Responses!$K$2:$K$4001,"Medium",Responses!$I$2:$I$4001,"Correct")</f>
        <v>5</v>
      </c>
      <c r="M90" s="3" t="n">
        <f aca="false">COUNTIFS(Responses!$B$2:$B$4001,$A90,Responses!$K$2:$K$4001,"Medium",Responses!$I$2:$I$4001,"Wrong")</f>
        <v>1</v>
      </c>
      <c r="N90" s="2" t="n">
        <f aca="false">ROUND(SUMIFS(Responses!$J$2:$J$4001,Responses!$B$2:$B$4001,$A90,Responses!$K$2:$K$4001,"Medium"),2)</f>
        <v>9.34</v>
      </c>
      <c r="O90" s="3" t="n">
        <f aca="false">COUNTIFS(Responses!$B$2:$B$4001,$A90,Responses!$K$2:$K$4001,"Low",Responses!$I$2:$I$4001,"Correct")</f>
        <v>7</v>
      </c>
      <c r="P90" s="3" t="n">
        <f aca="false">COUNTIFS(Responses!$B$2:$B$4001,$A90,Responses!$K$2:$K$4001,"Low",Responses!$I$2:$I$4001,"Wrong")</f>
        <v>2</v>
      </c>
      <c r="Q90" s="2" t="n">
        <f aca="false">ROUND(SUMIFS(Responses!$J$2:$J$4001,Responses!$B$2:$B$4001,$A90,Responses!$K$2:$K$4001,"Low"),2)</f>
        <v>14.06</v>
      </c>
      <c r="R90" s="2" t="n">
        <f aca="false">ROUND(SUMIFS(Responses!$AB$2:$AB$4001,Responses!$B$2:$B$4001,$A90),2)</f>
        <v>25.23</v>
      </c>
      <c r="S90" s="0" t="str">
        <f aca="false">IF(R90&gt;='Reward Model'!$B$8,"Gold",IF(R90&gt;='Reward Model'!$B$9,"Silver","Bronze"))</f>
        <v>Silver</v>
      </c>
      <c r="T90" s="2" t="n">
        <f aca="false">ROUND(R90/'Reward Model'!$B$7*100,2)</f>
        <v>61.54</v>
      </c>
    </row>
    <row r="91" customFormat="false" ht="15" hidden="false" customHeight="false" outlineLevel="0" collapsed="false">
      <c r="A91" s="0" t="s">
        <v>309</v>
      </c>
      <c r="B91" s="0" t="s">
        <v>30</v>
      </c>
      <c r="C91" s="0" t="s">
        <v>275</v>
      </c>
      <c r="D91" s="0" t="n">
        <f aca="false">F91</f>
        <v>20</v>
      </c>
      <c r="E91" s="2" t="n">
        <f aca="false">ROUND(K91+N91+Q91,2)</f>
        <v>29.95</v>
      </c>
      <c r="F91" s="3" t="n">
        <f aca="false">COUNTIFS(Responses!$B$2:$B$4001,$A91)</f>
        <v>20</v>
      </c>
      <c r="G91" s="3" t="n">
        <f aca="false">I91+L91+O91</f>
        <v>13</v>
      </c>
      <c r="H91" s="3" t="n">
        <f aca="false">J91+M91+P91</f>
        <v>7</v>
      </c>
      <c r="I91" s="3" t="n">
        <f aca="false">COUNTIFS(Responses!$B$2:$B$4001,$A91,Responses!$K$2:$K$4001,"High",Responses!$I$2:$I$4001,"Correct")</f>
        <v>1</v>
      </c>
      <c r="J91" s="3" t="n">
        <f aca="false">COUNTIFS(Responses!$B$2:$B$4001,$A91,Responses!$K$2:$K$4001,"High",Responses!$I$2:$I$4001,"Wrong")</f>
        <v>4</v>
      </c>
      <c r="K91" s="2" t="n">
        <f aca="false">ROUND(SUMIFS(Responses!$J$2:$J$4001,Responses!$B$2:$B$4001,$A91,Responses!$K$2:$K$4001,"High"),2)</f>
        <v>9.08</v>
      </c>
      <c r="L91" s="3" t="n">
        <f aca="false">COUNTIFS(Responses!$B$2:$B$4001,$A91,Responses!$K$2:$K$4001,"Medium",Responses!$I$2:$I$4001,"Correct")</f>
        <v>4</v>
      </c>
      <c r="M91" s="3" t="n">
        <f aca="false">COUNTIFS(Responses!$B$2:$B$4001,$A91,Responses!$K$2:$K$4001,"Medium",Responses!$I$2:$I$4001,"Wrong")</f>
        <v>2</v>
      </c>
      <c r="N91" s="2" t="n">
        <f aca="false">ROUND(SUMIFS(Responses!$J$2:$J$4001,Responses!$B$2:$B$4001,$A91,Responses!$K$2:$K$4001,"Medium"),2)</f>
        <v>8.24</v>
      </c>
      <c r="O91" s="3" t="n">
        <f aca="false">COUNTIFS(Responses!$B$2:$B$4001,$A91,Responses!$K$2:$K$4001,"Low",Responses!$I$2:$I$4001,"Correct")</f>
        <v>8</v>
      </c>
      <c r="P91" s="3" t="n">
        <f aca="false">COUNTIFS(Responses!$B$2:$B$4001,$A91,Responses!$K$2:$K$4001,"Low",Responses!$I$2:$I$4001,"Wrong")</f>
        <v>1</v>
      </c>
      <c r="Q91" s="2" t="n">
        <f aca="false">ROUND(SUMIFS(Responses!$J$2:$J$4001,Responses!$B$2:$B$4001,$A91,Responses!$K$2:$K$4001,"Low"),2)</f>
        <v>12.63</v>
      </c>
      <c r="R91" s="2" t="n">
        <f aca="false">ROUND(SUMIFS(Responses!$AB$2:$AB$4001,Responses!$B$2:$B$4001,$A91),2)</f>
        <v>23.31</v>
      </c>
      <c r="S91" s="0" t="str">
        <f aca="false">IF(R91&gt;='Reward Model'!$B$8,"Gold",IF(R91&gt;='Reward Model'!$B$9,"Silver","Bronze"))</f>
        <v>Silver</v>
      </c>
      <c r="T91" s="2" t="n">
        <f aca="false">ROUND(R91/'Reward Model'!$B$7*100,2)</f>
        <v>56.85</v>
      </c>
    </row>
    <row r="92" customFormat="false" ht="15" hidden="false" customHeight="false" outlineLevel="0" collapsed="false">
      <c r="A92" s="0" t="s">
        <v>311</v>
      </c>
      <c r="B92" s="0" t="s">
        <v>30</v>
      </c>
      <c r="C92" s="0" t="s">
        <v>275</v>
      </c>
      <c r="D92" s="0" t="n">
        <f aca="false">F92</f>
        <v>20</v>
      </c>
      <c r="E92" s="2" t="n">
        <f aca="false">ROUND(K92+N92+Q92,2)</f>
        <v>32.52</v>
      </c>
      <c r="F92" s="3" t="n">
        <f aca="false">COUNTIFS(Responses!$B$2:$B$4001,$A92)</f>
        <v>20</v>
      </c>
      <c r="G92" s="3" t="n">
        <f aca="false">I92+L92+O92</f>
        <v>15</v>
      </c>
      <c r="H92" s="3" t="n">
        <f aca="false">J92+M92+P92</f>
        <v>5</v>
      </c>
      <c r="I92" s="3" t="n">
        <f aca="false">COUNTIFS(Responses!$B$2:$B$4001,$A92,Responses!$K$2:$K$4001,"High",Responses!$I$2:$I$4001,"Correct")</f>
        <v>4</v>
      </c>
      <c r="J92" s="3" t="n">
        <f aca="false">COUNTIFS(Responses!$B$2:$B$4001,$A92,Responses!$K$2:$K$4001,"High",Responses!$I$2:$I$4001,"Wrong")</f>
        <v>1</v>
      </c>
      <c r="K92" s="2" t="n">
        <f aca="false">ROUND(SUMIFS(Responses!$J$2:$J$4001,Responses!$B$2:$B$4001,$A92,Responses!$K$2:$K$4001,"High"),2)</f>
        <v>9.24</v>
      </c>
      <c r="L92" s="3" t="n">
        <f aca="false">COUNTIFS(Responses!$B$2:$B$4001,$A92,Responses!$K$2:$K$4001,"Medium",Responses!$I$2:$I$4001,"Correct")</f>
        <v>3</v>
      </c>
      <c r="M92" s="3" t="n">
        <f aca="false">COUNTIFS(Responses!$B$2:$B$4001,$A92,Responses!$K$2:$K$4001,"Medium",Responses!$I$2:$I$4001,"Wrong")</f>
        <v>3</v>
      </c>
      <c r="N92" s="2" t="n">
        <f aca="false">ROUND(SUMIFS(Responses!$J$2:$J$4001,Responses!$B$2:$B$4001,$A92,Responses!$K$2:$K$4001,"Medium"),2)</f>
        <v>11.28</v>
      </c>
      <c r="O92" s="3" t="n">
        <f aca="false">COUNTIFS(Responses!$B$2:$B$4001,$A92,Responses!$K$2:$K$4001,"Low",Responses!$I$2:$I$4001,"Correct")</f>
        <v>8</v>
      </c>
      <c r="P92" s="3" t="n">
        <f aca="false">COUNTIFS(Responses!$B$2:$B$4001,$A92,Responses!$K$2:$K$4001,"Low",Responses!$I$2:$I$4001,"Wrong")</f>
        <v>1</v>
      </c>
      <c r="Q92" s="2" t="n">
        <f aca="false">ROUND(SUMIFS(Responses!$J$2:$J$4001,Responses!$B$2:$B$4001,$A92,Responses!$K$2:$K$4001,"Low"),2)</f>
        <v>12</v>
      </c>
      <c r="R92" s="2" t="n">
        <f aca="false">ROUND(SUMIFS(Responses!$AB$2:$AB$4001,Responses!$B$2:$B$4001,$A92),2)</f>
        <v>28.19</v>
      </c>
      <c r="S92" s="0" t="str">
        <f aca="false">IF(R92&gt;='Reward Model'!$B$8,"Gold",IF(R92&gt;='Reward Model'!$B$9,"Silver","Bronze"))</f>
        <v>Silver</v>
      </c>
      <c r="T92" s="2" t="n">
        <f aca="false">ROUND(R92/'Reward Model'!$B$7*100,2)</f>
        <v>68.76</v>
      </c>
    </row>
    <row r="93" customFormat="false" ht="15" hidden="false" customHeight="false" outlineLevel="0" collapsed="false">
      <c r="A93" s="0" t="s">
        <v>313</v>
      </c>
      <c r="B93" s="0" t="s">
        <v>30</v>
      </c>
      <c r="C93" s="0" t="s">
        <v>275</v>
      </c>
      <c r="D93" s="0" t="n">
        <f aca="false">F93</f>
        <v>20</v>
      </c>
      <c r="E93" s="2" t="n">
        <f aca="false">ROUND(K93+N93+Q93,2)</f>
        <v>30.7</v>
      </c>
      <c r="F93" s="3" t="n">
        <f aca="false">COUNTIFS(Responses!$B$2:$B$4001,$A93)</f>
        <v>20</v>
      </c>
      <c r="G93" s="3" t="n">
        <f aca="false">I93+L93+O93</f>
        <v>12</v>
      </c>
      <c r="H93" s="3" t="n">
        <f aca="false">J93+M93+P93</f>
        <v>8</v>
      </c>
      <c r="I93" s="3" t="n">
        <f aca="false">COUNTIFS(Responses!$B$2:$B$4001,$A93,Responses!$K$2:$K$4001,"High",Responses!$I$2:$I$4001,"Correct")</f>
        <v>1</v>
      </c>
      <c r="J93" s="3" t="n">
        <f aca="false">COUNTIFS(Responses!$B$2:$B$4001,$A93,Responses!$K$2:$K$4001,"High",Responses!$I$2:$I$4001,"Wrong")</f>
        <v>4</v>
      </c>
      <c r="K93" s="2" t="n">
        <f aca="false">ROUND(SUMIFS(Responses!$J$2:$J$4001,Responses!$B$2:$B$4001,$A93,Responses!$K$2:$K$4001,"High"),2)</f>
        <v>7.78</v>
      </c>
      <c r="L93" s="3" t="n">
        <f aca="false">COUNTIFS(Responses!$B$2:$B$4001,$A93,Responses!$K$2:$K$4001,"Medium",Responses!$I$2:$I$4001,"Correct")</f>
        <v>3</v>
      </c>
      <c r="M93" s="3" t="n">
        <f aca="false">COUNTIFS(Responses!$B$2:$B$4001,$A93,Responses!$K$2:$K$4001,"Medium",Responses!$I$2:$I$4001,"Wrong")</f>
        <v>3</v>
      </c>
      <c r="N93" s="2" t="n">
        <f aca="false">ROUND(SUMIFS(Responses!$J$2:$J$4001,Responses!$B$2:$B$4001,$A93,Responses!$K$2:$K$4001,"Medium"),2)</f>
        <v>7.89</v>
      </c>
      <c r="O93" s="3" t="n">
        <f aca="false">COUNTIFS(Responses!$B$2:$B$4001,$A93,Responses!$K$2:$K$4001,"Low",Responses!$I$2:$I$4001,"Correct")</f>
        <v>8</v>
      </c>
      <c r="P93" s="3" t="n">
        <f aca="false">COUNTIFS(Responses!$B$2:$B$4001,$A93,Responses!$K$2:$K$4001,"Low",Responses!$I$2:$I$4001,"Wrong")</f>
        <v>1</v>
      </c>
      <c r="Q93" s="2" t="n">
        <f aca="false">ROUND(SUMIFS(Responses!$J$2:$J$4001,Responses!$B$2:$B$4001,$A93,Responses!$K$2:$K$4001,"Low"),2)</f>
        <v>15.03</v>
      </c>
      <c r="R93" s="2" t="n">
        <f aca="false">ROUND(SUMIFS(Responses!$AB$2:$AB$4001,Responses!$B$2:$B$4001,$A93),2)</f>
        <v>19.76</v>
      </c>
      <c r="S93" s="0" t="str">
        <f aca="false">IF(R93&gt;='Reward Model'!$B$8,"Gold",IF(R93&gt;='Reward Model'!$B$9,"Silver","Bronze"))</f>
        <v>Bronze</v>
      </c>
      <c r="T93" s="2" t="n">
        <f aca="false">ROUND(R93/'Reward Model'!$B$7*100,2)</f>
        <v>48.2</v>
      </c>
    </row>
    <row r="94" customFormat="false" ht="15" hidden="false" customHeight="false" outlineLevel="0" collapsed="false">
      <c r="A94" s="0" t="s">
        <v>315</v>
      </c>
      <c r="B94" s="0" t="s">
        <v>30</v>
      </c>
      <c r="C94" s="0" t="s">
        <v>275</v>
      </c>
      <c r="D94" s="0" t="n">
        <f aca="false">F94</f>
        <v>20</v>
      </c>
      <c r="E94" s="2" t="n">
        <f aca="false">ROUND(K94+N94+Q94,2)</f>
        <v>34.25</v>
      </c>
      <c r="F94" s="3" t="n">
        <f aca="false">COUNTIFS(Responses!$B$2:$B$4001,$A94)</f>
        <v>20</v>
      </c>
      <c r="G94" s="3" t="n">
        <f aca="false">I94+L94+O94</f>
        <v>8</v>
      </c>
      <c r="H94" s="3" t="n">
        <f aca="false">J94+M94+P94</f>
        <v>12</v>
      </c>
      <c r="I94" s="3" t="n">
        <f aca="false">COUNTIFS(Responses!$B$2:$B$4001,$A94,Responses!$K$2:$K$4001,"High",Responses!$I$2:$I$4001,"Correct")</f>
        <v>1</v>
      </c>
      <c r="J94" s="3" t="n">
        <f aca="false">COUNTIFS(Responses!$B$2:$B$4001,$A94,Responses!$K$2:$K$4001,"High",Responses!$I$2:$I$4001,"Wrong")</f>
        <v>4</v>
      </c>
      <c r="K94" s="2" t="n">
        <f aca="false">ROUND(SUMIFS(Responses!$J$2:$J$4001,Responses!$B$2:$B$4001,$A94,Responses!$K$2:$K$4001,"High"),2)</f>
        <v>9.25</v>
      </c>
      <c r="L94" s="3" t="n">
        <f aca="false">COUNTIFS(Responses!$B$2:$B$4001,$A94,Responses!$K$2:$K$4001,"Medium",Responses!$I$2:$I$4001,"Correct")</f>
        <v>2</v>
      </c>
      <c r="M94" s="3" t="n">
        <f aca="false">COUNTIFS(Responses!$B$2:$B$4001,$A94,Responses!$K$2:$K$4001,"Medium",Responses!$I$2:$I$4001,"Wrong")</f>
        <v>4</v>
      </c>
      <c r="N94" s="2" t="n">
        <f aca="false">ROUND(SUMIFS(Responses!$J$2:$J$4001,Responses!$B$2:$B$4001,$A94,Responses!$K$2:$K$4001,"Medium"),2)</f>
        <v>10.83</v>
      </c>
      <c r="O94" s="3" t="n">
        <f aca="false">COUNTIFS(Responses!$B$2:$B$4001,$A94,Responses!$K$2:$K$4001,"Low",Responses!$I$2:$I$4001,"Correct")</f>
        <v>5</v>
      </c>
      <c r="P94" s="3" t="n">
        <f aca="false">COUNTIFS(Responses!$B$2:$B$4001,$A94,Responses!$K$2:$K$4001,"Low",Responses!$I$2:$I$4001,"Wrong")</f>
        <v>4</v>
      </c>
      <c r="Q94" s="2" t="n">
        <f aca="false">ROUND(SUMIFS(Responses!$J$2:$J$4001,Responses!$B$2:$B$4001,$A94,Responses!$K$2:$K$4001,"Low"),2)</f>
        <v>14.17</v>
      </c>
      <c r="R94" s="2" t="n">
        <f aca="false">ROUND(SUMIFS(Responses!$AB$2:$AB$4001,Responses!$B$2:$B$4001,$A94),2)</f>
        <v>15.13</v>
      </c>
      <c r="S94" s="0" t="str">
        <f aca="false">IF(R94&gt;='Reward Model'!$B$8,"Gold",IF(R94&gt;='Reward Model'!$B$9,"Silver","Bronze"))</f>
        <v>Bronze</v>
      </c>
      <c r="T94" s="2" t="n">
        <f aca="false">ROUND(R94/'Reward Model'!$B$7*100,2)</f>
        <v>36.9</v>
      </c>
    </row>
    <row r="95" customFormat="false" ht="15" hidden="false" customHeight="false" outlineLevel="0" collapsed="false">
      <c r="A95" s="0" t="s">
        <v>317</v>
      </c>
      <c r="B95" s="0" t="s">
        <v>30</v>
      </c>
      <c r="C95" s="0" t="s">
        <v>275</v>
      </c>
      <c r="D95" s="0" t="n">
        <f aca="false">F95</f>
        <v>20</v>
      </c>
      <c r="E95" s="2" t="n">
        <f aca="false">ROUND(K95+N95+Q95,2)</f>
        <v>33.82</v>
      </c>
      <c r="F95" s="3" t="n">
        <f aca="false">COUNTIFS(Responses!$B$2:$B$4001,$A95)</f>
        <v>20</v>
      </c>
      <c r="G95" s="3" t="n">
        <f aca="false">I95+L95+O95</f>
        <v>12</v>
      </c>
      <c r="H95" s="3" t="n">
        <f aca="false">J95+M95+P95</f>
        <v>8</v>
      </c>
      <c r="I95" s="3" t="n">
        <f aca="false">COUNTIFS(Responses!$B$2:$B$4001,$A95,Responses!$K$2:$K$4001,"High",Responses!$I$2:$I$4001,"Correct")</f>
        <v>2</v>
      </c>
      <c r="J95" s="3" t="n">
        <f aca="false">COUNTIFS(Responses!$B$2:$B$4001,$A95,Responses!$K$2:$K$4001,"High",Responses!$I$2:$I$4001,"Wrong")</f>
        <v>3</v>
      </c>
      <c r="K95" s="2" t="n">
        <f aca="false">ROUND(SUMIFS(Responses!$J$2:$J$4001,Responses!$B$2:$B$4001,$A95,Responses!$K$2:$K$4001,"High"),2)</f>
        <v>10.74</v>
      </c>
      <c r="L95" s="3" t="n">
        <f aca="false">COUNTIFS(Responses!$B$2:$B$4001,$A95,Responses!$K$2:$K$4001,"Medium",Responses!$I$2:$I$4001,"Correct")</f>
        <v>4</v>
      </c>
      <c r="M95" s="3" t="n">
        <f aca="false">COUNTIFS(Responses!$B$2:$B$4001,$A95,Responses!$K$2:$K$4001,"Medium",Responses!$I$2:$I$4001,"Wrong")</f>
        <v>2</v>
      </c>
      <c r="N95" s="2" t="n">
        <f aca="false">ROUND(SUMIFS(Responses!$J$2:$J$4001,Responses!$B$2:$B$4001,$A95,Responses!$K$2:$K$4001,"Medium"),2)</f>
        <v>8.91</v>
      </c>
      <c r="O95" s="3" t="n">
        <f aca="false">COUNTIFS(Responses!$B$2:$B$4001,$A95,Responses!$K$2:$K$4001,"Low",Responses!$I$2:$I$4001,"Correct")</f>
        <v>6</v>
      </c>
      <c r="P95" s="3" t="n">
        <f aca="false">COUNTIFS(Responses!$B$2:$B$4001,$A95,Responses!$K$2:$K$4001,"Low",Responses!$I$2:$I$4001,"Wrong")</f>
        <v>3</v>
      </c>
      <c r="Q95" s="2" t="n">
        <f aca="false">ROUND(SUMIFS(Responses!$J$2:$J$4001,Responses!$B$2:$B$4001,$A95,Responses!$K$2:$K$4001,"Low"),2)</f>
        <v>14.17</v>
      </c>
      <c r="R95" s="2" t="n">
        <f aca="false">ROUND(SUMIFS(Responses!$AB$2:$AB$4001,Responses!$B$2:$B$4001,$A95),2)</f>
        <v>22.23</v>
      </c>
      <c r="S95" s="0" t="str">
        <f aca="false">IF(R95&gt;='Reward Model'!$B$8,"Gold",IF(R95&gt;='Reward Model'!$B$9,"Silver","Bronze"))</f>
        <v>Silver</v>
      </c>
      <c r="T95" s="2" t="n">
        <f aca="false">ROUND(R95/'Reward Model'!$B$7*100,2)</f>
        <v>54.22</v>
      </c>
    </row>
    <row r="96" customFormat="false" ht="15" hidden="false" customHeight="false" outlineLevel="0" collapsed="false">
      <c r="A96" s="0" t="s">
        <v>319</v>
      </c>
      <c r="B96" s="0" t="s">
        <v>30</v>
      </c>
      <c r="C96" s="0" t="s">
        <v>275</v>
      </c>
      <c r="D96" s="0" t="n">
        <f aca="false">F96</f>
        <v>20</v>
      </c>
      <c r="E96" s="2" t="n">
        <f aca="false">ROUND(K96+N96+Q96,2)</f>
        <v>31.85</v>
      </c>
      <c r="F96" s="3" t="n">
        <f aca="false">COUNTIFS(Responses!$B$2:$B$4001,$A96)</f>
        <v>20</v>
      </c>
      <c r="G96" s="3" t="n">
        <f aca="false">I96+L96+O96</f>
        <v>9</v>
      </c>
      <c r="H96" s="3" t="n">
        <f aca="false">J96+M96+P96</f>
        <v>11</v>
      </c>
      <c r="I96" s="3" t="n">
        <f aca="false">COUNTIFS(Responses!$B$2:$B$4001,$A96,Responses!$K$2:$K$4001,"High",Responses!$I$2:$I$4001,"Correct")</f>
        <v>2</v>
      </c>
      <c r="J96" s="3" t="n">
        <f aca="false">COUNTIFS(Responses!$B$2:$B$4001,$A96,Responses!$K$2:$K$4001,"High",Responses!$I$2:$I$4001,"Wrong")</f>
        <v>3</v>
      </c>
      <c r="K96" s="2" t="n">
        <f aca="false">ROUND(SUMIFS(Responses!$J$2:$J$4001,Responses!$B$2:$B$4001,$A96,Responses!$K$2:$K$4001,"High"),2)</f>
        <v>9.21</v>
      </c>
      <c r="L96" s="3" t="n">
        <f aca="false">COUNTIFS(Responses!$B$2:$B$4001,$A96,Responses!$K$2:$K$4001,"Medium",Responses!$I$2:$I$4001,"Correct")</f>
        <v>3</v>
      </c>
      <c r="M96" s="3" t="n">
        <f aca="false">COUNTIFS(Responses!$B$2:$B$4001,$A96,Responses!$K$2:$K$4001,"Medium",Responses!$I$2:$I$4001,"Wrong")</f>
        <v>3</v>
      </c>
      <c r="N96" s="2" t="n">
        <f aca="false">ROUND(SUMIFS(Responses!$J$2:$J$4001,Responses!$B$2:$B$4001,$A96,Responses!$K$2:$K$4001,"Medium"),2)</f>
        <v>10.08</v>
      </c>
      <c r="O96" s="3" t="n">
        <f aca="false">COUNTIFS(Responses!$B$2:$B$4001,$A96,Responses!$K$2:$K$4001,"Low",Responses!$I$2:$I$4001,"Correct")</f>
        <v>4</v>
      </c>
      <c r="P96" s="3" t="n">
        <f aca="false">COUNTIFS(Responses!$B$2:$B$4001,$A96,Responses!$K$2:$K$4001,"Low",Responses!$I$2:$I$4001,"Wrong")</f>
        <v>5</v>
      </c>
      <c r="Q96" s="2" t="n">
        <f aca="false">ROUND(SUMIFS(Responses!$J$2:$J$4001,Responses!$B$2:$B$4001,$A96,Responses!$K$2:$K$4001,"Low"),2)</f>
        <v>12.56</v>
      </c>
      <c r="R96" s="2" t="n">
        <f aca="false">ROUND(SUMIFS(Responses!$AB$2:$AB$4001,Responses!$B$2:$B$4001,$A96),2)</f>
        <v>17.78</v>
      </c>
      <c r="S96" s="0" t="str">
        <f aca="false">IF(R96&gt;='Reward Model'!$B$8,"Gold",IF(R96&gt;='Reward Model'!$B$9,"Silver","Bronze"))</f>
        <v>Bronze</v>
      </c>
      <c r="T96" s="2" t="n">
        <f aca="false">ROUND(R96/'Reward Model'!$B$7*100,2)</f>
        <v>43.37</v>
      </c>
    </row>
    <row r="97" customFormat="false" ht="15" hidden="false" customHeight="false" outlineLevel="0" collapsed="false">
      <c r="A97" s="0" t="s">
        <v>321</v>
      </c>
      <c r="B97" s="0" t="s">
        <v>322</v>
      </c>
      <c r="C97" s="0" t="s">
        <v>31</v>
      </c>
      <c r="D97" s="0" t="n">
        <f aca="false">F97</f>
        <v>20</v>
      </c>
      <c r="E97" s="2" t="n">
        <f aca="false">ROUND(K97+N97+Q97,2)</f>
        <v>31.66</v>
      </c>
      <c r="F97" s="3" t="n">
        <f aca="false">COUNTIFS(Responses!$B$2:$B$4001,$A97)</f>
        <v>20</v>
      </c>
      <c r="G97" s="3" t="n">
        <f aca="false">I97+L97+O97</f>
        <v>10</v>
      </c>
      <c r="H97" s="3" t="n">
        <f aca="false">J97+M97+P97</f>
        <v>10</v>
      </c>
      <c r="I97" s="3" t="n">
        <f aca="false">COUNTIFS(Responses!$B$2:$B$4001,$A97,Responses!$K$2:$K$4001,"High",Responses!$I$2:$I$4001,"Correct")</f>
        <v>1</v>
      </c>
      <c r="J97" s="3" t="n">
        <f aca="false">COUNTIFS(Responses!$B$2:$B$4001,$A97,Responses!$K$2:$K$4001,"High",Responses!$I$2:$I$4001,"Wrong")</f>
        <v>4</v>
      </c>
      <c r="K97" s="2" t="n">
        <f aca="false">ROUND(SUMIFS(Responses!$J$2:$J$4001,Responses!$B$2:$B$4001,$A97,Responses!$K$2:$K$4001,"High"),2)</f>
        <v>9.01</v>
      </c>
      <c r="L97" s="3" t="n">
        <f aca="false">COUNTIFS(Responses!$B$2:$B$4001,$A97,Responses!$K$2:$K$4001,"Medium",Responses!$I$2:$I$4001,"Correct")</f>
        <v>4</v>
      </c>
      <c r="M97" s="3" t="n">
        <f aca="false">COUNTIFS(Responses!$B$2:$B$4001,$A97,Responses!$K$2:$K$4001,"Medium",Responses!$I$2:$I$4001,"Wrong")</f>
        <v>2</v>
      </c>
      <c r="N97" s="2" t="n">
        <f aca="false">ROUND(SUMIFS(Responses!$J$2:$J$4001,Responses!$B$2:$B$4001,$A97,Responses!$K$2:$K$4001,"Medium"),2)</f>
        <v>9.12</v>
      </c>
      <c r="O97" s="3" t="n">
        <f aca="false">COUNTIFS(Responses!$B$2:$B$4001,$A97,Responses!$K$2:$K$4001,"Low",Responses!$I$2:$I$4001,"Correct")</f>
        <v>5</v>
      </c>
      <c r="P97" s="3" t="n">
        <f aca="false">COUNTIFS(Responses!$B$2:$B$4001,$A97,Responses!$K$2:$K$4001,"Low",Responses!$I$2:$I$4001,"Wrong")</f>
        <v>4</v>
      </c>
      <c r="Q97" s="2" t="n">
        <f aca="false">ROUND(SUMIFS(Responses!$J$2:$J$4001,Responses!$B$2:$B$4001,$A97,Responses!$K$2:$K$4001,"Low"),2)</f>
        <v>13.53</v>
      </c>
      <c r="R97" s="2" t="n">
        <f aca="false">ROUND(SUMIFS(Responses!$AB$2:$AB$4001,Responses!$B$2:$B$4001,$A97),2)</f>
        <v>18.18</v>
      </c>
      <c r="S97" s="0" t="str">
        <f aca="false">IF(R97&gt;='Reward Model'!$B$8,"Gold",IF(R97&gt;='Reward Model'!$B$9,"Silver","Bronze"))</f>
        <v>Bronze</v>
      </c>
      <c r="T97" s="2" t="n">
        <f aca="false">ROUND(R97/'Reward Model'!$B$7*100,2)</f>
        <v>44.34</v>
      </c>
    </row>
    <row r="98" customFormat="false" ht="15" hidden="false" customHeight="false" outlineLevel="0" collapsed="false">
      <c r="A98" s="0" t="s">
        <v>324</v>
      </c>
      <c r="B98" s="0" t="s">
        <v>322</v>
      </c>
      <c r="C98" s="0" t="s">
        <v>31</v>
      </c>
      <c r="D98" s="0" t="n">
        <f aca="false">F98</f>
        <v>20</v>
      </c>
      <c r="E98" s="2" t="n">
        <f aca="false">ROUND(K98+N98+Q98,2)</f>
        <v>32.38</v>
      </c>
      <c r="F98" s="3" t="n">
        <f aca="false">COUNTIFS(Responses!$B$2:$B$4001,$A98)</f>
        <v>20</v>
      </c>
      <c r="G98" s="3" t="n">
        <f aca="false">I98+L98+O98</f>
        <v>15</v>
      </c>
      <c r="H98" s="3" t="n">
        <f aca="false">J98+M98+P98</f>
        <v>5</v>
      </c>
      <c r="I98" s="3" t="n">
        <f aca="false">COUNTIFS(Responses!$B$2:$B$4001,$A98,Responses!$K$2:$K$4001,"High",Responses!$I$2:$I$4001,"Correct")</f>
        <v>2</v>
      </c>
      <c r="J98" s="3" t="n">
        <f aca="false">COUNTIFS(Responses!$B$2:$B$4001,$A98,Responses!$K$2:$K$4001,"High",Responses!$I$2:$I$4001,"Wrong")</f>
        <v>3</v>
      </c>
      <c r="K98" s="2" t="n">
        <f aca="false">ROUND(SUMIFS(Responses!$J$2:$J$4001,Responses!$B$2:$B$4001,$A98,Responses!$K$2:$K$4001,"High"),2)</f>
        <v>9.55</v>
      </c>
      <c r="L98" s="3" t="n">
        <f aca="false">COUNTIFS(Responses!$B$2:$B$4001,$A98,Responses!$K$2:$K$4001,"Medium",Responses!$I$2:$I$4001,"Correct")</f>
        <v>5</v>
      </c>
      <c r="M98" s="3" t="n">
        <f aca="false">COUNTIFS(Responses!$B$2:$B$4001,$A98,Responses!$K$2:$K$4001,"Medium",Responses!$I$2:$I$4001,"Wrong")</f>
        <v>1</v>
      </c>
      <c r="N98" s="2" t="n">
        <f aca="false">ROUND(SUMIFS(Responses!$J$2:$J$4001,Responses!$B$2:$B$4001,$A98,Responses!$K$2:$K$4001,"Medium"),2)</f>
        <v>10.22</v>
      </c>
      <c r="O98" s="3" t="n">
        <f aca="false">COUNTIFS(Responses!$B$2:$B$4001,$A98,Responses!$K$2:$K$4001,"Low",Responses!$I$2:$I$4001,"Correct")</f>
        <v>8</v>
      </c>
      <c r="P98" s="3" t="n">
        <f aca="false">COUNTIFS(Responses!$B$2:$B$4001,$A98,Responses!$K$2:$K$4001,"Low",Responses!$I$2:$I$4001,"Wrong")</f>
        <v>1</v>
      </c>
      <c r="Q98" s="2" t="n">
        <f aca="false">ROUND(SUMIFS(Responses!$J$2:$J$4001,Responses!$B$2:$B$4001,$A98,Responses!$K$2:$K$4001,"Low"),2)</f>
        <v>12.61</v>
      </c>
      <c r="R98" s="2" t="n">
        <f aca="false">ROUND(SUMIFS(Responses!$AB$2:$AB$4001,Responses!$B$2:$B$4001,$A98),2)</f>
        <v>26.74</v>
      </c>
      <c r="S98" s="0" t="str">
        <f aca="false">IF(R98&gt;='Reward Model'!$B$8,"Gold",IF(R98&gt;='Reward Model'!$B$9,"Silver","Bronze"))</f>
        <v>Silver</v>
      </c>
      <c r="T98" s="2" t="n">
        <f aca="false">ROUND(R98/'Reward Model'!$B$7*100,2)</f>
        <v>65.22</v>
      </c>
    </row>
    <row r="99" customFormat="false" ht="15" hidden="false" customHeight="false" outlineLevel="0" collapsed="false">
      <c r="A99" s="0" t="s">
        <v>326</v>
      </c>
      <c r="B99" s="0" t="s">
        <v>322</v>
      </c>
      <c r="C99" s="0" t="s">
        <v>31</v>
      </c>
      <c r="D99" s="0" t="n">
        <f aca="false">F99</f>
        <v>20</v>
      </c>
      <c r="E99" s="2" t="n">
        <f aca="false">ROUND(K99+N99+Q99,2)</f>
        <v>31.33</v>
      </c>
      <c r="F99" s="3" t="n">
        <f aca="false">COUNTIFS(Responses!$B$2:$B$4001,$A99)</f>
        <v>20</v>
      </c>
      <c r="G99" s="3" t="n">
        <f aca="false">I99+L99+O99</f>
        <v>14</v>
      </c>
      <c r="H99" s="3" t="n">
        <f aca="false">J99+M99+P99</f>
        <v>6</v>
      </c>
      <c r="I99" s="3" t="n">
        <f aca="false">COUNTIFS(Responses!$B$2:$B$4001,$A99,Responses!$K$2:$K$4001,"High",Responses!$I$2:$I$4001,"Correct")</f>
        <v>2</v>
      </c>
      <c r="J99" s="3" t="n">
        <f aca="false">COUNTIFS(Responses!$B$2:$B$4001,$A99,Responses!$K$2:$K$4001,"High",Responses!$I$2:$I$4001,"Wrong")</f>
        <v>3</v>
      </c>
      <c r="K99" s="2" t="n">
        <f aca="false">ROUND(SUMIFS(Responses!$J$2:$J$4001,Responses!$B$2:$B$4001,$A99,Responses!$K$2:$K$4001,"High"),2)</f>
        <v>8.3</v>
      </c>
      <c r="L99" s="3" t="n">
        <f aca="false">COUNTIFS(Responses!$B$2:$B$4001,$A99,Responses!$K$2:$K$4001,"Medium",Responses!$I$2:$I$4001,"Correct")</f>
        <v>4</v>
      </c>
      <c r="M99" s="3" t="n">
        <f aca="false">COUNTIFS(Responses!$B$2:$B$4001,$A99,Responses!$K$2:$K$4001,"Medium",Responses!$I$2:$I$4001,"Wrong")</f>
        <v>2</v>
      </c>
      <c r="N99" s="2" t="n">
        <f aca="false">ROUND(SUMIFS(Responses!$J$2:$J$4001,Responses!$B$2:$B$4001,$A99,Responses!$K$2:$K$4001,"Medium"),2)</f>
        <v>9.8</v>
      </c>
      <c r="O99" s="3" t="n">
        <f aca="false">COUNTIFS(Responses!$B$2:$B$4001,$A99,Responses!$K$2:$K$4001,"Low",Responses!$I$2:$I$4001,"Correct")</f>
        <v>8</v>
      </c>
      <c r="P99" s="3" t="n">
        <f aca="false">COUNTIFS(Responses!$B$2:$B$4001,$A99,Responses!$K$2:$K$4001,"Low",Responses!$I$2:$I$4001,"Wrong")</f>
        <v>1</v>
      </c>
      <c r="Q99" s="2" t="n">
        <f aca="false">ROUND(SUMIFS(Responses!$J$2:$J$4001,Responses!$B$2:$B$4001,$A99,Responses!$K$2:$K$4001,"Low"),2)</f>
        <v>13.23</v>
      </c>
      <c r="R99" s="2" t="n">
        <f aca="false">ROUND(SUMIFS(Responses!$AB$2:$AB$4001,Responses!$B$2:$B$4001,$A99),2)</f>
        <v>24.87</v>
      </c>
      <c r="S99" s="0" t="str">
        <f aca="false">IF(R99&gt;='Reward Model'!$B$8,"Gold",IF(R99&gt;='Reward Model'!$B$9,"Silver","Bronze"))</f>
        <v>Silver</v>
      </c>
      <c r="T99" s="2" t="n">
        <f aca="false">ROUND(R99/'Reward Model'!$B$7*100,2)</f>
        <v>60.66</v>
      </c>
    </row>
    <row r="100" customFormat="false" ht="15" hidden="false" customHeight="false" outlineLevel="0" collapsed="false">
      <c r="A100" s="0" t="s">
        <v>328</v>
      </c>
      <c r="B100" s="0" t="s">
        <v>322</v>
      </c>
      <c r="C100" s="0" t="s">
        <v>31</v>
      </c>
      <c r="D100" s="0" t="n">
        <f aca="false">F100</f>
        <v>20</v>
      </c>
      <c r="E100" s="2" t="n">
        <f aca="false">ROUND(K100+N100+Q100,2)</f>
        <v>32.23</v>
      </c>
      <c r="F100" s="3" t="n">
        <f aca="false">COUNTIFS(Responses!$B$2:$B$4001,$A100)</f>
        <v>20</v>
      </c>
      <c r="G100" s="3" t="n">
        <f aca="false">I100+L100+O100</f>
        <v>16</v>
      </c>
      <c r="H100" s="3" t="n">
        <f aca="false">J100+M100+P100</f>
        <v>4</v>
      </c>
      <c r="I100" s="3" t="n">
        <f aca="false">COUNTIFS(Responses!$B$2:$B$4001,$A100,Responses!$K$2:$K$4001,"High",Responses!$I$2:$I$4001,"Correct")</f>
        <v>3</v>
      </c>
      <c r="J100" s="3" t="n">
        <f aca="false">COUNTIFS(Responses!$B$2:$B$4001,$A100,Responses!$K$2:$K$4001,"High",Responses!$I$2:$I$4001,"Wrong")</f>
        <v>2</v>
      </c>
      <c r="K100" s="2" t="n">
        <f aca="false">ROUND(SUMIFS(Responses!$J$2:$J$4001,Responses!$B$2:$B$4001,$A100,Responses!$K$2:$K$4001,"High"),2)</f>
        <v>8.59</v>
      </c>
      <c r="L100" s="3" t="n">
        <f aca="false">COUNTIFS(Responses!$B$2:$B$4001,$A100,Responses!$K$2:$K$4001,"Medium",Responses!$I$2:$I$4001,"Correct")</f>
        <v>5</v>
      </c>
      <c r="M100" s="3" t="n">
        <f aca="false">COUNTIFS(Responses!$B$2:$B$4001,$A100,Responses!$K$2:$K$4001,"Medium",Responses!$I$2:$I$4001,"Wrong")</f>
        <v>1</v>
      </c>
      <c r="N100" s="2" t="n">
        <f aca="false">ROUND(SUMIFS(Responses!$J$2:$J$4001,Responses!$B$2:$B$4001,$A100,Responses!$K$2:$K$4001,"Medium"),2)</f>
        <v>10.37</v>
      </c>
      <c r="O100" s="3" t="n">
        <f aca="false">COUNTIFS(Responses!$B$2:$B$4001,$A100,Responses!$K$2:$K$4001,"Low",Responses!$I$2:$I$4001,"Correct")</f>
        <v>8</v>
      </c>
      <c r="P100" s="3" t="n">
        <f aca="false">COUNTIFS(Responses!$B$2:$B$4001,$A100,Responses!$K$2:$K$4001,"Low",Responses!$I$2:$I$4001,"Wrong")</f>
        <v>1</v>
      </c>
      <c r="Q100" s="2" t="n">
        <f aca="false">ROUND(SUMIFS(Responses!$J$2:$J$4001,Responses!$B$2:$B$4001,$A100,Responses!$K$2:$K$4001,"Low"),2)</f>
        <v>13.27</v>
      </c>
      <c r="R100" s="2" t="n">
        <f aca="false">ROUND(SUMIFS(Responses!$AB$2:$AB$4001,Responses!$B$2:$B$4001,$A100),2)</f>
        <v>30.49</v>
      </c>
      <c r="S100" s="0" t="str">
        <f aca="false">IF(R100&gt;='Reward Model'!$B$8,"Gold",IF(R100&gt;='Reward Model'!$B$9,"Silver","Bronze"))</f>
        <v>Gold</v>
      </c>
      <c r="T100" s="2" t="n">
        <f aca="false">ROUND(R100/'Reward Model'!$B$7*100,2)</f>
        <v>74.37</v>
      </c>
    </row>
    <row r="101" customFormat="false" ht="15" hidden="false" customHeight="false" outlineLevel="0" collapsed="false">
      <c r="A101" s="0" t="s">
        <v>330</v>
      </c>
      <c r="B101" s="0" t="s">
        <v>322</v>
      </c>
      <c r="C101" s="0" t="s">
        <v>31</v>
      </c>
      <c r="D101" s="0" t="n">
        <f aca="false">F101</f>
        <v>20</v>
      </c>
      <c r="E101" s="2" t="n">
        <f aca="false">ROUND(K101+N101+Q101,2)</f>
        <v>32.04</v>
      </c>
      <c r="F101" s="3" t="n">
        <f aca="false">COUNTIFS(Responses!$B$2:$B$4001,$A101)</f>
        <v>20</v>
      </c>
      <c r="G101" s="3" t="n">
        <f aca="false">I101+L101+O101</f>
        <v>11</v>
      </c>
      <c r="H101" s="3" t="n">
        <f aca="false">J101+M101+P101</f>
        <v>9</v>
      </c>
      <c r="I101" s="3" t="n">
        <f aca="false">COUNTIFS(Responses!$B$2:$B$4001,$A101,Responses!$K$2:$K$4001,"High",Responses!$I$2:$I$4001,"Correct")</f>
        <v>1</v>
      </c>
      <c r="J101" s="3" t="n">
        <f aca="false">COUNTIFS(Responses!$B$2:$B$4001,$A101,Responses!$K$2:$K$4001,"High",Responses!$I$2:$I$4001,"Wrong")</f>
        <v>4</v>
      </c>
      <c r="K101" s="2" t="n">
        <f aca="false">ROUND(SUMIFS(Responses!$J$2:$J$4001,Responses!$B$2:$B$4001,$A101,Responses!$K$2:$K$4001,"High"),2)</f>
        <v>8.5</v>
      </c>
      <c r="L101" s="3" t="n">
        <f aca="false">COUNTIFS(Responses!$B$2:$B$4001,$A101,Responses!$K$2:$K$4001,"Medium",Responses!$I$2:$I$4001,"Correct")</f>
        <v>2</v>
      </c>
      <c r="M101" s="3" t="n">
        <f aca="false">COUNTIFS(Responses!$B$2:$B$4001,$A101,Responses!$K$2:$K$4001,"Medium",Responses!$I$2:$I$4001,"Wrong")</f>
        <v>4</v>
      </c>
      <c r="N101" s="2" t="n">
        <f aca="false">ROUND(SUMIFS(Responses!$J$2:$J$4001,Responses!$B$2:$B$4001,$A101,Responses!$K$2:$K$4001,"Medium"),2)</f>
        <v>10.15</v>
      </c>
      <c r="O101" s="3" t="n">
        <f aca="false">COUNTIFS(Responses!$B$2:$B$4001,$A101,Responses!$K$2:$K$4001,"Low",Responses!$I$2:$I$4001,"Correct")</f>
        <v>8</v>
      </c>
      <c r="P101" s="3" t="n">
        <f aca="false">COUNTIFS(Responses!$B$2:$B$4001,$A101,Responses!$K$2:$K$4001,"Low",Responses!$I$2:$I$4001,"Wrong")</f>
        <v>1</v>
      </c>
      <c r="Q101" s="2" t="n">
        <f aca="false">ROUND(SUMIFS(Responses!$J$2:$J$4001,Responses!$B$2:$B$4001,$A101,Responses!$K$2:$K$4001,"Low"),2)</f>
        <v>13.39</v>
      </c>
      <c r="R101" s="2" t="n">
        <f aca="false">ROUND(SUMIFS(Responses!$AB$2:$AB$4001,Responses!$B$2:$B$4001,$A101),2)</f>
        <v>18.07</v>
      </c>
      <c r="S101" s="0" t="str">
        <f aca="false">IF(R101&gt;='Reward Model'!$B$8,"Gold",IF(R101&gt;='Reward Model'!$B$9,"Silver","Bronze"))</f>
        <v>Bronze</v>
      </c>
      <c r="T101" s="2" t="n">
        <f aca="false">ROUND(R101/'Reward Model'!$B$7*100,2)</f>
        <v>44.07</v>
      </c>
    </row>
    <row r="102" customFormat="false" ht="15" hidden="false" customHeight="false" outlineLevel="0" collapsed="false">
      <c r="A102" s="0" t="s">
        <v>332</v>
      </c>
      <c r="B102" s="0" t="s">
        <v>322</v>
      </c>
      <c r="C102" s="0" t="s">
        <v>31</v>
      </c>
      <c r="D102" s="0" t="n">
        <f aca="false">F102</f>
        <v>20</v>
      </c>
      <c r="E102" s="2" t="n">
        <f aca="false">ROUND(K102+N102+Q102,2)</f>
        <v>33.24</v>
      </c>
      <c r="F102" s="3" t="n">
        <f aca="false">COUNTIFS(Responses!$B$2:$B$4001,$A102)</f>
        <v>20</v>
      </c>
      <c r="G102" s="3" t="n">
        <f aca="false">I102+L102+O102</f>
        <v>16</v>
      </c>
      <c r="H102" s="3" t="n">
        <f aca="false">J102+M102+P102</f>
        <v>4</v>
      </c>
      <c r="I102" s="3" t="n">
        <f aca="false">COUNTIFS(Responses!$B$2:$B$4001,$A102,Responses!$K$2:$K$4001,"High",Responses!$I$2:$I$4001,"Correct")</f>
        <v>4</v>
      </c>
      <c r="J102" s="3" t="n">
        <f aca="false">COUNTIFS(Responses!$B$2:$B$4001,$A102,Responses!$K$2:$K$4001,"High",Responses!$I$2:$I$4001,"Wrong")</f>
        <v>1</v>
      </c>
      <c r="K102" s="2" t="n">
        <f aca="false">ROUND(SUMIFS(Responses!$J$2:$J$4001,Responses!$B$2:$B$4001,$A102,Responses!$K$2:$K$4001,"High"),2)</f>
        <v>9.87</v>
      </c>
      <c r="L102" s="3" t="n">
        <f aca="false">COUNTIFS(Responses!$B$2:$B$4001,$A102,Responses!$K$2:$K$4001,"Medium",Responses!$I$2:$I$4001,"Correct")</f>
        <v>4</v>
      </c>
      <c r="M102" s="3" t="n">
        <f aca="false">COUNTIFS(Responses!$B$2:$B$4001,$A102,Responses!$K$2:$K$4001,"Medium",Responses!$I$2:$I$4001,"Wrong")</f>
        <v>2</v>
      </c>
      <c r="N102" s="2" t="n">
        <f aca="false">ROUND(SUMIFS(Responses!$J$2:$J$4001,Responses!$B$2:$B$4001,$A102,Responses!$K$2:$K$4001,"Medium"),2)</f>
        <v>10.06</v>
      </c>
      <c r="O102" s="3" t="n">
        <f aca="false">COUNTIFS(Responses!$B$2:$B$4001,$A102,Responses!$K$2:$K$4001,"Low",Responses!$I$2:$I$4001,"Correct")</f>
        <v>8</v>
      </c>
      <c r="P102" s="3" t="n">
        <f aca="false">COUNTIFS(Responses!$B$2:$B$4001,$A102,Responses!$K$2:$K$4001,"Low",Responses!$I$2:$I$4001,"Wrong")</f>
        <v>1</v>
      </c>
      <c r="Q102" s="2" t="n">
        <f aca="false">ROUND(SUMIFS(Responses!$J$2:$J$4001,Responses!$B$2:$B$4001,$A102,Responses!$K$2:$K$4001,"Low"),2)</f>
        <v>13.31</v>
      </c>
      <c r="R102" s="2" t="n">
        <f aca="false">ROUND(SUMIFS(Responses!$AB$2:$AB$4001,Responses!$B$2:$B$4001,$A102),2)</f>
        <v>29.61</v>
      </c>
      <c r="S102" s="0" t="str">
        <f aca="false">IF(R102&gt;='Reward Model'!$B$8,"Gold",IF(R102&gt;='Reward Model'!$B$9,"Silver","Bronze"))</f>
        <v>Gold</v>
      </c>
      <c r="T102" s="2" t="n">
        <f aca="false">ROUND(R102/'Reward Model'!$B$7*100,2)</f>
        <v>72.22</v>
      </c>
    </row>
    <row r="103" customFormat="false" ht="15" hidden="false" customHeight="false" outlineLevel="0" collapsed="false">
      <c r="A103" s="0" t="s">
        <v>334</v>
      </c>
      <c r="B103" s="0" t="s">
        <v>322</v>
      </c>
      <c r="C103" s="0" t="s">
        <v>31</v>
      </c>
      <c r="D103" s="0" t="n">
        <f aca="false">F103</f>
        <v>20</v>
      </c>
      <c r="E103" s="2" t="n">
        <f aca="false">ROUND(K103+N103+Q103,2)</f>
        <v>32.65</v>
      </c>
      <c r="F103" s="3" t="n">
        <f aca="false">COUNTIFS(Responses!$B$2:$B$4001,$A103)</f>
        <v>20</v>
      </c>
      <c r="G103" s="3" t="n">
        <f aca="false">I103+L103+O103</f>
        <v>15</v>
      </c>
      <c r="H103" s="3" t="n">
        <f aca="false">J103+M103+P103</f>
        <v>5</v>
      </c>
      <c r="I103" s="3" t="n">
        <f aca="false">COUNTIFS(Responses!$B$2:$B$4001,$A103,Responses!$K$2:$K$4001,"High",Responses!$I$2:$I$4001,"Correct")</f>
        <v>4</v>
      </c>
      <c r="J103" s="3" t="n">
        <f aca="false">COUNTIFS(Responses!$B$2:$B$4001,$A103,Responses!$K$2:$K$4001,"High",Responses!$I$2:$I$4001,"Wrong")</f>
        <v>1</v>
      </c>
      <c r="K103" s="2" t="n">
        <f aca="false">ROUND(SUMIFS(Responses!$J$2:$J$4001,Responses!$B$2:$B$4001,$A103,Responses!$K$2:$K$4001,"High"),2)</f>
        <v>8.87</v>
      </c>
      <c r="L103" s="3" t="n">
        <f aca="false">COUNTIFS(Responses!$B$2:$B$4001,$A103,Responses!$K$2:$K$4001,"Medium",Responses!$I$2:$I$4001,"Correct")</f>
        <v>4</v>
      </c>
      <c r="M103" s="3" t="n">
        <f aca="false">COUNTIFS(Responses!$B$2:$B$4001,$A103,Responses!$K$2:$K$4001,"Medium",Responses!$I$2:$I$4001,"Wrong")</f>
        <v>2</v>
      </c>
      <c r="N103" s="2" t="n">
        <f aca="false">ROUND(SUMIFS(Responses!$J$2:$J$4001,Responses!$B$2:$B$4001,$A103,Responses!$K$2:$K$4001,"Medium"),2)</f>
        <v>10.12</v>
      </c>
      <c r="O103" s="3" t="n">
        <f aca="false">COUNTIFS(Responses!$B$2:$B$4001,$A103,Responses!$K$2:$K$4001,"Low",Responses!$I$2:$I$4001,"Correct")</f>
        <v>7</v>
      </c>
      <c r="P103" s="3" t="n">
        <f aca="false">COUNTIFS(Responses!$B$2:$B$4001,$A103,Responses!$K$2:$K$4001,"Low",Responses!$I$2:$I$4001,"Wrong")</f>
        <v>2</v>
      </c>
      <c r="Q103" s="2" t="n">
        <f aca="false">ROUND(SUMIFS(Responses!$J$2:$J$4001,Responses!$B$2:$B$4001,$A103,Responses!$K$2:$K$4001,"Low"),2)</f>
        <v>13.66</v>
      </c>
      <c r="R103" s="2" t="n">
        <f aca="false">ROUND(SUMIFS(Responses!$AB$2:$AB$4001,Responses!$B$2:$B$4001,$A103),2)</f>
        <v>28.41</v>
      </c>
      <c r="S103" s="0" t="str">
        <f aca="false">IF(R103&gt;='Reward Model'!$B$8,"Gold",IF(R103&gt;='Reward Model'!$B$9,"Silver","Bronze"))</f>
        <v>Silver</v>
      </c>
      <c r="T103" s="2" t="n">
        <f aca="false">ROUND(R103/'Reward Model'!$B$7*100,2)</f>
        <v>69.29</v>
      </c>
    </row>
    <row r="104" customFormat="false" ht="15" hidden="false" customHeight="false" outlineLevel="0" collapsed="false">
      <c r="A104" s="0" t="s">
        <v>336</v>
      </c>
      <c r="B104" s="0" t="s">
        <v>322</v>
      </c>
      <c r="C104" s="0" t="s">
        <v>31</v>
      </c>
      <c r="D104" s="0" t="n">
        <f aca="false">F104</f>
        <v>20</v>
      </c>
      <c r="E104" s="2" t="n">
        <f aca="false">ROUND(K104+N104+Q104,2)</f>
        <v>34.03</v>
      </c>
      <c r="F104" s="3" t="n">
        <f aca="false">COUNTIFS(Responses!$B$2:$B$4001,$A104)</f>
        <v>20</v>
      </c>
      <c r="G104" s="3" t="n">
        <f aca="false">I104+L104+O104</f>
        <v>12</v>
      </c>
      <c r="H104" s="3" t="n">
        <f aca="false">J104+M104+P104</f>
        <v>8</v>
      </c>
      <c r="I104" s="3" t="n">
        <f aca="false">COUNTIFS(Responses!$B$2:$B$4001,$A104,Responses!$K$2:$K$4001,"High",Responses!$I$2:$I$4001,"Correct")</f>
        <v>2</v>
      </c>
      <c r="J104" s="3" t="n">
        <f aca="false">COUNTIFS(Responses!$B$2:$B$4001,$A104,Responses!$K$2:$K$4001,"High",Responses!$I$2:$I$4001,"Wrong")</f>
        <v>3</v>
      </c>
      <c r="K104" s="2" t="n">
        <f aca="false">ROUND(SUMIFS(Responses!$J$2:$J$4001,Responses!$B$2:$B$4001,$A104,Responses!$K$2:$K$4001,"High"),2)</f>
        <v>10</v>
      </c>
      <c r="L104" s="3" t="n">
        <f aca="false">COUNTIFS(Responses!$B$2:$B$4001,$A104,Responses!$K$2:$K$4001,"Medium",Responses!$I$2:$I$4001,"Correct")</f>
        <v>5</v>
      </c>
      <c r="M104" s="3" t="n">
        <f aca="false">COUNTIFS(Responses!$B$2:$B$4001,$A104,Responses!$K$2:$K$4001,"Medium",Responses!$I$2:$I$4001,"Wrong")</f>
        <v>1</v>
      </c>
      <c r="N104" s="2" t="n">
        <f aca="false">ROUND(SUMIFS(Responses!$J$2:$J$4001,Responses!$B$2:$B$4001,$A104,Responses!$K$2:$K$4001,"Medium"),2)</f>
        <v>10.77</v>
      </c>
      <c r="O104" s="3" t="n">
        <f aca="false">COUNTIFS(Responses!$B$2:$B$4001,$A104,Responses!$K$2:$K$4001,"Low",Responses!$I$2:$I$4001,"Correct")</f>
        <v>5</v>
      </c>
      <c r="P104" s="3" t="n">
        <f aca="false">COUNTIFS(Responses!$B$2:$B$4001,$A104,Responses!$K$2:$K$4001,"Low",Responses!$I$2:$I$4001,"Wrong")</f>
        <v>4</v>
      </c>
      <c r="Q104" s="2" t="n">
        <f aca="false">ROUND(SUMIFS(Responses!$J$2:$J$4001,Responses!$B$2:$B$4001,$A104,Responses!$K$2:$K$4001,"Low"),2)</f>
        <v>13.26</v>
      </c>
      <c r="R104" s="2" t="n">
        <f aca="false">ROUND(SUMIFS(Responses!$AB$2:$AB$4001,Responses!$B$2:$B$4001,$A104),2)</f>
        <v>22.55</v>
      </c>
      <c r="S104" s="0" t="str">
        <f aca="false">IF(R104&gt;='Reward Model'!$B$8,"Gold",IF(R104&gt;='Reward Model'!$B$9,"Silver","Bronze"))</f>
        <v>Silver</v>
      </c>
      <c r="T104" s="2" t="n">
        <f aca="false">ROUND(R104/'Reward Model'!$B$7*100,2)</f>
        <v>55</v>
      </c>
    </row>
    <row r="105" customFormat="false" ht="15" hidden="false" customHeight="false" outlineLevel="0" collapsed="false">
      <c r="A105" s="0" t="s">
        <v>338</v>
      </c>
      <c r="B105" s="0" t="s">
        <v>322</v>
      </c>
      <c r="C105" s="0" t="s">
        <v>31</v>
      </c>
      <c r="D105" s="0" t="n">
        <f aca="false">F105</f>
        <v>20</v>
      </c>
      <c r="E105" s="2" t="n">
        <f aca="false">ROUND(K105+N105+Q105,2)</f>
        <v>31.92</v>
      </c>
      <c r="F105" s="3" t="n">
        <f aca="false">COUNTIFS(Responses!$B$2:$B$4001,$A105)</f>
        <v>20</v>
      </c>
      <c r="G105" s="3" t="n">
        <f aca="false">I105+L105+O105</f>
        <v>7</v>
      </c>
      <c r="H105" s="3" t="n">
        <f aca="false">J105+M105+P105</f>
        <v>13</v>
      </c>
      <c r="I105" s="3" t="n">
        <f aca="false">COUNTIFS(Responses!$B$2:$B$4001,$A105,Responses!$K$2:$K$4001,"High",Responses!$I$2:$I$4001,"Correct")</f>
        <v>2</v>
      </c>
      <c r="J105" s="3" t="n">
        <f aca="false">COUNTIFS(Responses!$B$2:$B$4001,$A105,Responses!$K$2:$K$4001,"High",Responses!$I$2:$I$4001,"Wrong")</f>
        <v>3</v>
      </c>
      <c r="K105" s="2" t="n">
        <f aca="false">ROUND(SUMIFS(Responses!$J$2:$J$4001,Responses!$B$2:$B$4001,$A105,Responses!$K$2:$K$4001,"High"),2)</f>
        <v>8.87</v>
      </c>
      <c r="L105" s="3" t="n">
        <f aca="false">COUNTIFS(Responses!$B$2:$B$4001,$A105,Responses!$K$2:$K$4001,"Medium",Responses!$I$2:$I$4001,"Correct")</f>
        <v>1</v>
      </c>
      <c r="M105" s="3" t="n">
        <f aca="false">COUNTIFS(Responses!$B$2:$B$4001,$A105,Responses!$K$2:$K$4001,"Medium",Responses!$I$2:$I$4001,"Wrong")</f>
        <v>5</v>
      </c>
      <c r="N105" s="2" t="n">
        <f aca="false">ROUND(SUMIFS(Responses!$J$2:$J$4001,Responses!$B$2:$B$4001,$A105,Responses!$K$2:$K$4001,"Medium"),2)</f>
        <v>9.35</v>
      </c>
      <c r="O105" s="3" t="n">
        <f aca="false">COUNTIFS(Responses!$B$2:$B$4001,$A105,Responses!$K$2:$K$4001,"Low",Responses!$I$2:$I$4001,"Correct")</f>
        <v>4</v>
      </c>
      <c r="P105" s="3" t="n">
        <f aca="false">COUNTIFS(Responses!$B$2:$B$4001,$A105,Responses!$K$2:$K$4001,"Low",Responses!$I$2:$I$4001,"Wrong")</f>
        <v>5</v>
      </c>
      <c r="Q105" s="2" t="n">
        <f aca="false">ROUND(SUMIFS(Responses!$J$2:$J$4001,Responses!$B$2:$B$4001,$A105,Responses!$K$2:$K$4001,"Low"),2)</f>
        <v>13.7</v>
      </c>
      <c r="R105" s="2" t="n">
        <f aca="false">ROUND(SUMIFS(Responses!$AB$2:$AB$4001,Responses!$B$2:$B$4001,$A105),2)</f>
        <v>12.85</v>
      </c>
      <c r="S105" s="0" t="str">
        <f aca="false">IF(R105&gt;='Reward Model'!$B$8,"Gold",IF(R105&gt;='Reward Model'!$B$9,"Silver","Bronze"))</f>
        <v>Bronze</v>
      </c>
      <c r="T105" s="2" t="n">
        <f aca="false">ROUND(R105/'Reward Model'!$B$7*100,2)</f>
        <v>31.34</v>
      </c>
    </row>
    <row r="106" customFormat="false" ht="15" hidden="false" customHeight="false" outlineLevel="0" collapsed="false">
      <c r="A106" s="0" t="s">
        <v>340</v>
      </c>
      <c r="B106" s="0" t="s">
        <v>322</v>
      </c>
      <c r="C106" s="0" t="s">
        <v>31</v>
      </c>
      <c r="D106" s="0" t="n">
        <f aca="false">F106</f>
        <v>20</v>
      </c>
      <c r="E106" s="2" t="n">
        <f aca="false">ROUND(K106+N106+Q106,2)</f>
        <v>34.63</v>
      </c>
      <c r="F106" s="3" t="n">
        <f aca="false">COUNTIFS(Responses!$B$2:$B$4001,$A106)</f>
        <v>20</v>
      </c>
      <c r="G106" s="3" t="n">
        <f aca="false">I106+L106+O106</f>
        <v>12</v>
      </c>
      <c r="H106" s="3" t="n">
        <f aca="false">J106+M106+P106</f>
        <v>8</v>
      </c>
      <c r="I106" s="3" t="n">
        <f aca="false">COUNTIFS(Responses!$B$2:$B$4001,$A106,Responses!$K$2:$K$4001,"High",Responses!$I$2:$I$4001,"Correct")</f>
        <v>2</v>
      </c>
      <c r="J106" s="3" t="n">
        <f aca="false">COUNTIFS(Responses!$B$2:$B$4001,$A106,Responses!$K$2:$K$4001,"High",Responses!$I$2:$I$4001,"Wrong")</f>
        <v>3</v>
      </c>
      <c r="K106" s="2" t="n">
        <f aca="false">ROUND(SUMIFS(Responses!$J$2:$J$4001,Responses!$B$2:$B$4001,$A106,Responses!$K$2:$K$4001,"High"),2)</f>
        <v>9.78</v>
      </c>
      <c r="L106" s="3" t="n">
        <f aca="false">COUNTIFS(Responses!$B$2:$B$4001,$A106,Responses!$K$2:$K$4001,"Medium",Responses!$I$2:$I$4001,"Correct")</f>
        <v>4</v>
      </c>
      <c r="M106" s="3" t="n">
        <f aca="false">COUNTIFS(Responses!$B$2:$B$4001,$A106,Responses!$K$2:$K$4001,"Medium",Responses!$I$2:$I$4001,"Wrong")</f>
        <v>2</v>
      </c>
      <c r="N106" s="2" t="n">
        <f aca="false">ROUND(SUMIFS(Responses!$J$2:$J$4001,Responses!$B$2:$B$4001,$A106,Responses!$K$2:$K$4001,"Medium"),2)</f>
        <v>10.19</v>
      </c>
      <c r="O106" s="3" t="n">
        <f aca="false">COUNTIFS(Responses!$B$2:$B$4001,$A106,Responses!$K$2:$K$4001,"Low",Responses!$I$2:$I$4001,"Correct")</f>
        <v>6</v>
      </c>
      <c r="P106" s="3" t="n">
        <f aca="false">COUNTIFS(Responses!$B$2:$B$4001,$A106,Responses!$K$2:$K$4001,"Low",Responses!$I$2:$I$4001,"Wrong")</f>
        <v>3</v>
      </c>
      <c r="Q106" s="2" t="n">
        <f aca="false">ROUND(SUMIFS(Responses!$J$2:$J$4001,Responses!$B$2:$B$4001,$A106,Responses!$K$2:$K$4001,"Low"),2)</f>
        <v>14.66</v>
      </c>
      <c r="R106" s="2" t="n">
        <f aca="false">ROUND(SUMIFS(Responses!$AB$2:$AB$4001,Responses!$B$2:$B$4001,$A106),2)</f>
        <v>22.32</v>
      </c>
      <c r="S106" s="0" t="str">
        <f aca="false">IF(R106&gt;='Reward Model'!$B$8,"Gold",IF(R106&gt;='Reward Model'!$B$9,"Silver","Bronze"))</f>
        <v>Silver</v>
      </c>
      <c r="T106" s="2" t="n">
        <f aca="false">ROUND(R106/'Reward Model'!$B$7*100,2)</f>
        <v>54.44</v>
      </c>
    </row>
    <row r="107" customFormat="false" ht="15" hidden="false" customHeight="false" outlineLevel="0" collapsed="false">
      <c r="A107" s="0" t="s">
        <v>343</v>
      </c>
      <c r="B107" s="0" t="s">
        <v>322</v>
      </c>
      <c r="C107" s="0" t="s">
        <v>31</v>
      </c>
      <c r="D107" s="0" t="n">
        <f aca="false">F107</f>
        <v>20</v>
      </c>
      <c r="E107" s="2" t="n">
        <f aca="false">ROUND(K107+N107+Q107,2)</f>
        <v>34.14</v>
      </c>
      <c r="F107" s="3" t="n">
        <f aca="false">COUNTIFS(Responses!$B$2:$B$4001,$A107)</f>
        <v>20</v>
      </c>
      <c r="G107" s="3" t="n">
        <f aca="false">I107+L107+O107</f>
        <v>8</v>
      </c>
      <c r="H107" s="3" t="n">
        <f aca="false">J107+M107+P107</f>
        <v>12</v>
      </c>
      <c r="I107" s="3" t="n">
        <f aca="false">COUNTIFS(Responses!$B$2:$B$4001,$A107,Responses!$K$2:$K$4001,"High",Responses!$I$2:$I$4001,"Correct")</f>
        <v>1</v>
      </c>
      <c r="J107" s="3" t="n">
        <f aca="false">COUNTIFS(Responses!$B$2:$B$4001,$A107,Responses!$K$2:$K$4001,"High",Responses!$I$2:$I$4001,"Wrong")</f>
        <v>4</v>
      </c>
      <c r="K107" s="2" t="n">
        <f aca="false">ROUND(SUMIFS(Responses!$J$2:$J$4001,Responses!$B$2:$B$4001,$A107,Responses!$K$2:$K$4001,"High"),2)</f>
        <v>10.98</v>
      </c>
      <c r="L107" s="3" t="n">
        <f aca="false">COUNTIFS(Responses!$B$2:$B$4001,$A107,Responses!$K$2:$K$4001,"Medium",Responses!$I$2:$I$4001,"Correct")</f>
        <v>1</v>
      </c>
      <c r="M107" s="3" t="n">
        <f aca="false">COUNTIFS(Responses!$B$2:$B$4001,$A107,Responses!$K$2:$K$4001,"Medium",Responses!$I$2:$I$4001,"Wrong")</f>
        <v>5</v>
      </c>
      <c r="N107" s="2" t="n">
        <f aca="false">ROUND(SUMIFS(Responses!$J$2:$J$4001,Responses!$B$2:$B$4001,$A107,Responses!$K$2:$K$4001,"Medium"),2)</f>
        <v>10.02</v>
      </c>
      <c r="O107" s="3" t="n">
        <f aca="false">COUNTIFS(Responses!$B$2:$B$4001,$A107,Responses!$K$2:$K$4001,"Low",Responses!$I$2:$I$4001,"Correct")</f>
        <v>6</v>
      </c>
      <c r="P107" s="3" t="n">
        <f aca="false">COUNTIFS(Responses!$B$2:$B$4001,$A107,Responses!$K$2:$K$4001,"Low",Responses!$I$2:$I$4001,"Wrong")</f>
        <v>3</v>
      </c>
      <c r="Q107" s="2" t="n">
        <f aca="false">ROUND(SUMIFS(Responses!$J$2:$J$4001,Responses!$B$2:$B$4001,$A107,Responses!$K$2:$K$4001,"Low"),2)</f>
        <v>13.14</v>
      </c>
      <c r="R107" s="2" t="n">
        <f aca="false">ROUND(SUMIFS(Responses!$AB$2:$AB$4001,Responses!$B$2:$B$4001,$A107),2)</f>
        <v>11.83</v>
      </c>
      <c r="S107" s="0" t="str">
        <f aca="false">IF(R107&gt;='Reward Model'!$B$8,"Gold",IF(R107&gt;='Reward Model'!$B$9,"Silver","Bronze"))</f>
        <v>Bronze</v>
      </c>
      <c r="T107" s="2" t="n">
        <f aca="false">ROUND(R107/'Reward Model'!$B$7*100,2)</f>
        <v>28.85</v>
      </c>
    </row>
    <row r="108" customFormat="false" ht="15" hidden="false" customHeight="false" outlineLevel="0" collapsed="false">
      <c r="A108" s="0" t="s">
        <v>345</v>
      </c>
      <c r="B108" s="0" t="s">
        <v>322</v>
      </c>
      <c r="C108" s="0" t="s">
        <v>31</v>
      </c>
      <c r="D108" s="0" t="n">
        <f aca="false">F108</f>
        <v>20</v>
      </c>
      <c r="E108" s="2" t="n">
        <f aca="false">ROUND(K108+N108+Q108,2)</f>
        <v>32.26</v>
      </c>
      <c r="F108" s="3" t="n">
        <f aca="false">COUNTIFS(Responses!$B$2:$B$4001,$A108)</f>
        <v>20</v>
      </c>
      <c r="G108" s="3" t="n">
        <f aca="false">I108+L108+O108</f>
        <v>13</v>
      </c>
      <c r="H108" s="3" t="n">
        <f aca="false">J108+M108+P108</f>
        <v>7</v>
      </c>
      <c r="I108" s="3" t="n">
        <f aca="false">COUNTIFS(Responses!$B$2:$B$4001,$A108,Responses!$K$2:$K$4001,"High",Responses!$I$2:$I$4001,"Correct")</f>
        <v>2</v>
      </c>
      <c r="J108" s="3" t="n">
        <f aca="false">COUNTIFS(Responses!$B$2:$B$4001,$A108,Responses!$K$2:$K$4001,"High",Responses!$I$2:$I$4001,"Wrong")</f>
        <v>3</v>
      </c>
      <c r="K108" s="2" t="n">
        <f aca="false">ROUND(SUMIFS(Responses!$J$2:$J$4001,Responses!$B$2:$B$4001,$A108,Responses!$K$2:$K$4001,"High"),2)</f>
        <v>9.37</v>
      </c>
      <c r="L108" s="3" t="n">
        <f aca="false">COUNTIFS(Responses!$B$2:$B$4001,$A108,Responses!$K$2:$K$4001,"Medium",Responses!$I$2:$I$4001,"Correct")</f>
        <v>4</v>
      </c>
      <c r="M108" s="3" t="n">
        <f aca="false">COUNTIFS(Responses!$B$2:$B$4001,$A108,Responses!$K$2:$K$4001,"Medium",Responses!$I$2:$I$4001,"Wrong")</f>
        <v>2</v>
      </c>
      <c r="N108" s="2" t="n">
        <f aca="false">ROUND(SUMIFS(Responses!$J$2:$J$4001,Responses!$B$2:$B$4001,$A108,Responses!$K$2:$K$4001,"Medium"),2)</f>
        <v>9.3</v>
      </c>
      <c r="O108" s="3" t="n">
        <f aca="false">COUNTIFS(Responses!$B$2:$B$4001,$A108,Responses!$K$2:$K$4001,"Low",Responses!$I$2:$I$4001,"Correct")</f>
        <v>7</v>
      </c>
      <c r="P108" s="3" t="n">
        <f aca="false">COUNTIFS(Responses!$B$2:$B$4001,$A108,Responses!$K$2:$K$4001,"Low",Responses!$I$2:$I$4001,"Wrong")</f>
        <v>2</v>
      </c>
      <c r="Q108" s="2" t="n">
        <f aca="false">ROUND(SUMIFS(Responses!$J$2:$J$4001,Responses!$B$2:$B$4001,$A108,Responses!$K$2:$K$4001,"Low"),2)</f>
        <v>13.59</v>
      </c>
      <c r="R108" s="2" t="n">
        <f aca="false">ROUND(SUMIFS(Responses!$AB$2:$AB$4001,Responses!$B$2:$B$4001,$A108),2)</f>
        <v>24.36</v>
      </c>
      <c r="S108" s="0" t="str">
        <f aca="false">IF(R108&gt;='Reward Model'!$B$8,"Gold",IF(R108&gt;='Reward Model'!$B$9,"Silver","Bronze"))</f>
        <v>Silver</v>
      </c>
      <c r="T108" s="2" t="n">
        <f aca="false">ROUND(R108/'Reward Model'!$B$7*100,2)</f>
        <v>59.41</v>
      </c>
    </row>
    <row r="109" customFormat="false" ht="15" hidden="false" customHeight="false" outlineLevel="0" collapsed="false">
      <c r="A109" s="0" t="s">
        <v>347</v>
      </c>
      <c r="B109" s="0" t="s">
        <v>322</v>
      </c>
      <c r="C109" s="0" t="s">
        <v>31</v>
      </c>
      <c r="D109" s="0" t="n">
        <f aca="false">F109</f>
        <v>20</v>
      </c>
      <c r="E109" s="2" t="n">
        <f aca="false">ROUND(K109+N109+Q109,2)</f>
        <v>32.1</v>
      </c>
      <c r="F109" s="3" t="n">
        <f aca="false">COUNTIFS(Responses!$B$2:$B$4001,$A109)</f>
        <v>20</v>
      </c>
      <c r="G109" s="3" t="n">
        <f aca="false">I109+L109+O109</f>
        <v>13</v>
      </c>
      <c r="H109" s="3" t="n">
        <f aca="false">J109+M109+P109</f>
        <v>7</v>
      </c>
      <c r="I109" s="3" t="n">
        <f aca="false">COUNTIFS(Responses!$B$2:$B$4001,$A109,Responses!$K$2:$K$4001,"High",Responses!$I$2:$I$4001,"Correct")</f>
        <v>3</v>
      </c>
      <c r="J109" s="3" t="n">
        <f aca="false">COUNTIFS(Responses!$B$2:$B$4001,$A109,Responses!$K$2:$K$4001,"High",Responses!$I$2:$I$4001,"Wrong")</f>
        <v>2</v>
      </c>
      <c r="K109" s="2" t="n">
        <f aca="false">ROUND(SUMIFS(Responses!$J$2:$J$4001,Responses!$B$2:$B$4001,$A109,Responses!$K$2:$K$4001,"High"),2)</f>
        <v>7.37</v>
      </c>
      <c r="L109" s="3" t="n">
        <f aca="false">COUNTIFS(Responses!$B$2:$B$4001,$A109,Responses!$K$2:$K$4001,"Medium",Responses!$I$2:$I$4001,"Correct")</f>
        <v>3</v>
      </c>
      <c r="M109" s="3" t="n">
        <f aca="false">COUNTIFS(Responses!$B$2:$B$4001,$A109,Responses!$K$2:$K$4001,"Medium",Responses!$I$2:$I$4001,"Wrong")</f>
        <v>3</v>
      </c>
      <c r="N109" s="2" t="n">
        <f aca="false">ROUND(SUMIFS(Responses!$J$2:$J$4001,Responses!$B$2:$B$4001,$A109,Responses!$K$2:$K$4001,"Medium"),2)</f>
        <v>10.71</v>
      </c>
      <c r="O109" s="3" t="n">
        <f aca="false">COUNTIFS(Responses!$B$2:$B$4001,$A109,Responses!$K$2:$K$4001,"Low",Responses!$I$2:$I$4001,"Correct")</f>
        <v>7</v>
      </c>
      <c r="P109" s="3" t="n">
        <f aca="false">COUNTIFS(Responses!$B$2:$B$4001,$A109,Responses!$K$2:$K$4001,"Low",Responses!$I$2:$I$4001,"Wrong")</f>
        <v>2</v>
      </c>
      <c r="Q109" s="2" t="n">
        <f aca="false">ROUND(SUMIFS(Responses!$J$2:$J$4001,Responses!$B$2:$B$4001,$A109,Responses!$K$2:$K$4001,"Low"),2)</f>
        <v>14.02</v>
      </c>
      <c r="R109" s="2" t="n">
        <f aca="false">ROUND(SUMIFS(Responses!$AB$2:$AB$4001,Responses!$B$2:$B$4001,$A109),2)</f>
        <v>23.6</v>
      </c>
      <c r="S109" s="0" t="str">
        <f aca="false">IF(R109&gt;='Reward Model'!$B$8,"Gold",IF(R109&gt;='Reward Model'!$B$9,"Silver","Bronze"))</f>
        <v>Silver</v>
      </c>
      <c r="T109" s="2" t="n">
        <f aca="false">ROUND(R109/'Reward Model'!$B$7*100,2)</f>
        <v>57.56</v>
      </c>
    </row>
    <row r="110" customFormat="false" ht="15" hidden="false" customHeight="false" outlineLevel="0" collapsed="false">
      <c r="A110" s="0" t="s">
        <v>349</v>
      </c>
      <c r="B110" s="0" t="s">
        <v>322</v>
      </c>
      <c r="C110" s="0" t="s">
        <v>31</v>
      </c>
      <c r="D110" s="0" t="n">
        <f aca="false">F110</f>
        <v>20</v>
      </c>
      <c r="E110" s="2" t="n">
        <f aca="false">ROUND(K110+N110+Q110,2)</f>
        <v>32.59</v>
      </c>
      <c r="F110" s="3" t="n">
        <f aca="false">COUNTIFS(Responses!$B$2:$B$4001,$A110)</f>
        <v>20</v>
      </c>
      <c r="G110" s="3" t="n">
        <f aca="false">I110+L110+O110</f>
        <v>11</v>
      </c>
      <c r="H110" s="3" t="n">
        <f aca="false">J110+M110+P110</f>
        <v>9</v>
      </c>
      <c r="I110" s="3" t="n">
        <f aca="false">COUNTIFS(Responses!$B$2:$B$4001,$A110,Responses!$K$2:$K$4001,"High",Responses!$I$2:$I$4001,"Correct")</f>
        <v>2</v>
      </c>
      <c r="J110" s="3" t="n">
        <f aca="false">COUNTIFS(Responses!$B$2:$B$4001,$A110,Responses!$K$2:$K$4001,"High",Responses!$I$2:$I$4001,"Wrong")</f>
        <v>3</v>
      </c>
      <c r="K110" s="2" t="n">
        <f aca="false">ROUND(SUMIFS(Responses!$J$2:$J$4001,Responses!$B$2:$B$4001,$A110,Responses!$K$2:$K$4001,"High"),2)</f>
        <v>8.37</v>
      </c>
      <c r="L110" s="3" t="n">
        <f aca="false">COUNTIFS(Responses!$B$2:$B$4001,$A110,Responses!$K$2:$K$4001,"Medium",Responses!$I$2:$I$4001,"Correct")</f>
        <v>2</v>
      </c>
      <c r="M110" s="3" t="n">
        <f aca="false">COUNTIFS(Responses!$B$2:$B$4001,$A110,Responses!$K$2:$K$4001,"Medium",Responses!$I$2:$I$4001,"Wrong")</f>
        <v>4</v>
      </c>
      <c r="N110" s="2" t="n">
        <f aca="false">ROUND(SUMIFS(Responses!$J$2:$J$4001,Responses!$B$2:$B$4001,$A110,Responses!$K$2:$K$4001,"Medium"),2)</f>
        <v>9.99</v>
      </c>
      <c r="O110" s="3" t="n">
        <f aca="false">COUNTIFS(Responses!$B$2:$B$4001,$A110,Responses!$K$2:$K$4001,"Low",Responses!$I$2:$I$4001,"Correct")</f>
        <v>7</v>
      </c>
      <c r="P110" s="3" t="n">
        <f aca="false">COUNTIFS(Responses!$B$2:$B$4001,$A110,Responses!$K$2:$K$4001,"Low",Responses!$I$2:$I$4001,"Wrong")</f>
        <v>2</v>
      </c>
      <c r="Q110" s="2" t="n">
        <f aca="false">ROUND(SUMIFS(Responses!$J$2:$J$4001,Responses!$B$2:$B$4001,$A110,Responses!$K$2:$K$4001,"Low"),2)</f>
        <v>14.23</v>
      </c>
      <c r="R110" s="2" t="n">
        <f aca="false">ROUND(SUMIFS(Responses!$AB$2:$AB$4001,Responses!$B$2:$B$4001,$A110),2)</f>
        <v>19.58</v>
      </c>
      <c r="S110" s="0" t="str">
        <f aca="false">IF(R110&gt;='Reward Model'!$B$8,"Gold",IF(R110&gt;='Reward Model'!$B$9,"Silver","Bronze"))</f>
        <v>Bronze</v>
      </c>
      <c r="T110" s="2" t="n">
        <f aca="false">ROUND(R110/'Reward Model'!$B$7*100,2)</f>
        <v>47.76</v>
      </c>
    </row>
    <row r="111" customFormat="false" ht="15" hidden="false" customHeight="false" outlineLevel="0" collapsed="false">
      <c r="A111" s="0" t="s">
        <v>351</v>
      </c>
      <c r="B111" s="0" t="s">
        <v>322</v>
      </c>
      <c r="C111" s="0" t="s">
        <v>31</v>
      </c>
      <c r="D111" s="0" t="n">
        <f aca="false">F111</f>
        <v>20</v>
      </c>
      <c r="E111" s="2" t="n">
        <f aca="false">ROUND(K111+N111+Q111,2)</f>
        <v>33.56</v>
      </c>
      <c r="F111" s="3" t="n">
        <f aca="false">COUNTIFS(Responses!$B$2:$B$4001,$A111)</f>
        <v>20</v>
      </c>
      <c r="G111" s="3" t="n">
        <f aca="false">I111+L111+O111</f>
        <v>16</v>
      </c>
      <c r="H111" s="3" t="n">
        <f aca="false">J111+M111+P111</f>
        <v>4</v>
      </c>
      <c r="I111" s="3" t="n">
        <f aca="false">COUNTIFS(Responses!$B$2:$B$4001,$A111,Responses!$K$2:$K$4001,"High",Responses!$I$2:$I$4001,"Correct")</f>
        <v>3</v>
      </c>
      <c r="J111" s="3" t="n">
        <f aca="false">COUNTIFS(Responses!$B$2:$B$4001,$A111,Responses!$K$2:$K$4001,"High",Responses!$I$2:$I$4001,"Wrong")</f>
        <v>2</v>
      </c>
      <c r="K111" s="2" t="n">
        <f aca="false">ROUND(SUMIFS(Responses!$J$2:$J$4001,Responses!$B$2:$B$4001,$A111,Responses!$K$2:$K$4001,"High"),2)</f>
        <v>9.32</v>
      </c>
      <c r="L111" s="3" t="n">
        <f aca="false">COUNTIFS(Responses!$B$2:$B$4001,$A111,Responses!$K$2:$K$4001,"Medium",Responses!$I$2:$I$4001,"Correct")</f>
        <v>5</v>
      </c>
      <c r="M111" s="3" t="n">
        <f aca="false">COUNTIFS(Responses!$B$2:$B$4001,$A111,Responses!$K$2:$K$4001,"Medium",Responses!$I$2:$I$4001,"Wrong")</f>
        <v>1</v>
      </c>
      <c r="N111" s="2" t="n">
        <f aca="false">ROUND(SUMIFS(Responses!$J$2:$J$4001,Responses!$B$2:$B$4001,$A111,Responses!$K$2:$K$4001,"Medium"),2)</f>
        <v>10.46</v>
      </c>
      <c r="O111" s="3" t="n">
        <f aca="false">COUNTIFS(Responses!$B$2:$B$4001,$A111,Responses!$K$2:$K$4001,"Low",Responses!$I$2:$I$4001,"Correct")</f>
        <v>8</v>
      </c>
      <c r="P111" s="3" t="n">
        <f aca="false">COUNTIFS(Responses!$B$2:$B$4001,$A111,Responses!$K$2:$K$4001,"Low",Responses!$I$2:$I$4001,"Wrong")</f>
        <v>1</v>
      </c>
      <c r="Q111" s="2" t="n">
        <f aca="false">ROUND(SUMIFS(Responses!$J$2:$J$4001,Responses!$B$2:$B$4001,$A111,Responses!$K$2:$K$4001,"Low"),2)</f>
        <v>13.78</v>
      </c>
      <c r="R111" s="2" t="n">
        <f aca="false">ROUND(SUMIFS(Responses!$AB$2:$AB$4001,Responses!$B$2:$B$4001,$A111),2)</f>
        <v>28.99</v>
      </c>
      <c r="S111" s="0" t="str">
        <f aca="false">IF(R111&gt;='Reward Model'!$B$8,"Gold",IF(R111&gt;='Reward Model'!$B$9,"Silver","Bronze"))</f>
        <v>Gold</v>
      </c>
      <c r="T111" s="2" t="n">
        <f aca="false">ROUND(R111/'Reward Model'!$B$7*100,2)</f>
        <v>70.71</v>
      </c>
    </row>
    <row r="112" customFormat="false" ht="15" hidden="false" customHeight="false" outlineLevel="0" collapsed="false">
      <c r="A112" s="0" t="s">
        <v>353</v>
      </c>
      <c r="B112" s="0" t="s">
        <v>322</v>
      </c>
      <c r="C112" s="0" t="s">
        <v>31</v>
      </c>
      <c r="D112" s="0" t="n">
        <f aca="false">F112</f>
        <v>20</v>
      </c>
      <c r="E112" s="2" t="n">
        <f aca="false">ROUND(K112+N112+Q112,2)</f>
        <v>34.43</v>
      </c>
      <c r="F112" s="3" t="n">
        <f aca="false">COUNTIFS(Responses!$B$2:$B$4001,$A112)</f>
        <v>20</v>
      </c>
      <c r="G112" s="3" t="n">
        <f aca="false">I112+L112+O112</f>
        <v>9</v>
      </c>
      <c r="H112" s="3" t="n">
        <f aca="false">J112+M112+P112</f>
        <v>11</v>
      </c>
      <c r="I112" s="3" t="n">
        <f aca="false">COUNTIFS(Responses!$B$2:$B$4001,$A112,Responses!$K$2:$K$4001,"High",Responses!$I$2:$I$4001,"Correct")</f>
        <v>1</v>
      </c>
      <c r="J112" s="3" t="n">
        <f aca="false">COUNTIFS(Responses!$B$2:$B$4001,$A112,Responses!$K$2:$K$4001,"High",Responses!$I$2:$I$4001,"Wrong")</f>
        <v>4</v>
      </c>
      <c r="K112" s="2" t="n">
        <f aca="false">ROUND(SUMIFS(Responses!$J$2:$J$4001,Responses!$B$2:$B$4001,$A112,Responses!$K$2:$K$4001,"High"),2)</f>
        <v>10.02</v>
      </c>
      <c r="L112" s="3" t="n">
        <f aca="false">COUNTIFS(Responses!$B$2:$B$4001,$A112,Responses!$K$2:$K$4001,"Medium",Responses!$I$2:$I$4001,"Correct")</f>
        <v>3</v>
      </c>
      <c r="M112" s="3" t="n">
        <f aca="false">COUNTIFS(Responses!$B$2:$B$4001,$A112,Responses!$K$2:$K$4001,"Medium",Responses!$I$2:$I$4001,"Wrong")</f>
        <v>3</v>
      </c>
      <c r="N112" s="2" t="n">
        <f aca="false">ROUND(SUMIFS(Responses!$J$2:$J$4001,Responses!$B$2:$B$4001,$A112,Responses!$K$2:$K$4001,"Medium"),2)</f>
        <v>10.68</v>
      </c>
      <c r="O112" s="3" t="n">
        <f aca="false">COUNTIFS(Responses!$B$2:$B$4001,$A112,Responses!$K$2:$K$4001,"Low",Responses!$I$2:$I$4001,"Correct")</f>
        <v>5</v>
      </c>
      <c r="P112" s="3" t="n">
        <f aca="false">COUNTIFS(Responses!$B$2:$B$4001,$A112,Responses!$K$2:$K$4001,"Low",Responses!$I$2:$I$4001,"Wrong")</f>
        <v>4</v>
      </c>
      <c r="Q112" s="2" t="n">
        <f aca="false">ROUND(SUMIFS(Responses!$J$2:$J$4001,Responses!$B$2:$B$4001,$A112,Responses!$K$2:$K$4001,"Low"),2)</f>
        <v>13.73</v>
      </c>
      <c r="R112" s="2" t="n">
        <f aca="false">ROUND(SUMIFS(Responses!$AB$2:$AB$4001,Responses!$B$2:$B$4001,$A112),2)</f>
        <v>16.07</v>
      </c>
      <c r="S112" s="0" t="str">
        <f aca="false">IF(R112&gt;='Reward Model'!$B$8,"Gold",IF(R112&gt;='Reward Model'!$B$9,"Silver","Bronze"))</f>
        <v>Bronze</v>
      </c>
      <c r="T112" s="2" t="n">
        <f aca="false">ROUND(R112/'Reward Model'!$B$7*100,2)</f>
        <v>39.2</v>
      </c>
    </row>
    <row r="113" customFormat="false" ht="15" hidden="false" customHeight="false" outlineLevel="0" collapsed="false">
      <c r="A113" s="0" t="s">
        <v>355</v>
      </c>
      <c r="B113" s="0" t="s">
        <v>322</v>
      </c>
      <c r="C113" s="0" t="s">
        <v>31</v>
      </c>
      <c r="D113" s="0" t="n">
        <f aca="false">F113</f>
        <v>20</v>
      </c>
      <c r="E113" s="2" t="n">
        <f aca="false">ROUND(K113+N113+Q113,2)</f>
        <v>32.5</v>
      </c>
      <c r="F113" s="3" t="n">
        <f aca="false">COUNTIFS(Responses!$B$2:$B$4001,$A113)</f>
        <v>20</v>
      </c>
      <c r="G113" s="3" t="n">
        <f aca="false">I113+L113+O113</f>
        <v>14</v>
      </c>
      <c r="H113" s="3" t="n">
        <f aca="false">J113+M113+P113</f>
        <v>6</v>
      </c>
      <c r="I113" s="3" t="n">
        <f aca="false">COUNTIFS(Responses!$B$2:$B$4001,$A113,Responses!$K$2:$K$4001,"High",Responses!$I$2:$I$4001,"Correct")</f>
        <v>2</v>
      </c>
      <c r="J113" s="3" t="n">
        <f aca="false">COUNTIFS(Responses!$B$2:$B$4001,$A113,Responses!$K$2:$K$4001,"High",Responses!$I$2:$I$4001,"Wrong")</f>
        <v>3</v>
      </c>
      <c r="K113" s="2" t="n">
        <f aca="false">ROUND(SUMIFS(Responses!$J$2:$J$4001,Responses!$B$2:$B$4001,$A113,Responses!$K$2:$K$4001,"High"),2)</f>
        <v>8.15</v>
      </c>
      <c r="L113" s="3" t="n">
        <f aca="false">COUNTIFS(Responses!$B$2:$B$4001,$A113,Responses!$K$2:$K$4001,"Medium",Responses!$I$2:$I$4001,"Correct")</f>
        <v>4</v>
      </c>
      <c r="M113" s="3" t="n">
        <f aca="false">COUNTIFS(Responses!$B$2:$B$4001,$A113,Responses!$K$2:$K$4001,"Medium",Responses!$I$2:$I$4001,"Wrong")</f>
        <v>2</v>
      </c>
      <c r="N113" s="2" t="n">
        <f aca="false">ROUND(SUMIFS(Responses!$J$2:$J$4001,Responses!$B$2:$B$4001,$A113,Responses!$K$2:$K$4001,"Medium"),2)</f>
        <v>10.34</v>
      </c>
      <c r="O113" s="3" t="n">
        <f aca="false">COUNTIFS(Responses!$B$2:$B$4001,$A113,Responses!$K$2:$K$4001,"Low",Responses!$I$2:$I$4001,"Correct")</f>
        <v>8</v>
      </c>
      <c r="P113" s="3" t="n">
        <f aca="false">COUNTIFS(Responses!$B$2:$B$4001,$A113,Responses!$K$2:$K$4001,"Low",Responses!$I$2:$I$4001,"Wrong")</f>
        <v>1</v>
      </c>
      <c r="Q113" s="2" t="n">
        <f aca="false">ROUND(SUMIFS(Responses!$J$2:$J$4001,Responses!$B$2:$B$4001,$A113,Responses!$K$2:$K$4001,"Low"),2)</f>
        <v>14.01</v>
      </c>
      <c r="R113" s="2" t="n">
        <f aca="false">ROUND(SUMIFS(Responses!$AB$2:$AB$4001,Responses!$B$2:$B$4001,$A113),2)</f>
        <v>25.17</v>
      </c>
      <c r="S113" s="0" t="str">
        <f aca="false">IF(R113&gt;='Reward Model'!$B$8,"Gold",IF(R113&gt;='Reward Model'!$B$9,"Silver","Bronze"))</f>
        <v>Silver</v>
      </c>
      <c r="T113" s="2" t="n">
        <f aca="false">ROUND(R113/'Reward Model'!$B$7*100,2)</f>
        <v>61.39</v>
      </c>
    </row>
    <row r="114" customFormat="false" ht="15" hidden="false" customHeight="false" outlineLevel="0" collapsed="false">
      <c r="A114" s="0" t="s">
        <v>357</v>
      </c>
      <c r="B114" s="0" t="s">
        <v>322</v>
      </c>
      <c r="C114" s="0" t="s">
        <v>31</v>
      </c>
      <c r="D114" s="0" t="n">
        <f aca="false">F114</f>
        <v>20</v>
      </c>
      <c r="E114" s="2" t="n">
        <f aca="false">ROUND(K114+N114+Q114,2)</f>
        <v>31.29</v>
      </c>
      <c r="F114" s="3" t="n">
        <f aca="false">COUNTIFS(Responses!$B$2:$B$4001,$A114)</f>
        <v>20</v>
      </c>
      <c r="G114" s="3" t="n">
        <f aca="false">I114+L114+O114</f>
        <v>16</v>
      </c>
      <c r="H114" s="3" t="n">
        <f aca="false">J114+M114+P114</f>
        <v>4</v>
      </c>
      <c r="I114" s="3" t="n">
        <f aca="false">COUNTIFS(Responses!$B$2:$B$4001,$A114,Responses!$K$2:$K$4001,"High",Responses!$I$2:$I$4001,"Correct")</f>
        <v>4</v>
      </c>
      <c r="J114" s="3" t="n">
        <f aca="false">COUNTIFS(Responses!$B$2:$B$4001,$A114,Responses!$K$2:$K$4001,"High",Responses!$I$2:$I$4001,"Wrong")</f>
        <v>1</v>
      </c>
      <c r="K114" s="2" t="n">
        <f aca="false">ROUND(SUMIFS(Responses!$J$2:$J$4001,Responses!$B$2:$B$4001,$A114,Responses!$K$2:$K$4001,"High"),2)</f>
        <v>8.55</v>
      </c>
      <c r="L114" s="3" t="n">
        <f aca="false">COUNTIFS(Responses!$B$2:$B$4001,$A114,Responses!$K$2:$K$4001,"Medium",Responses!$I$2:$I$4001,"Correct")</f>
        <v>4</v>
      </c>
      <c r="M114" s="3" t="n">
        <f aca="false">COUNTIFS(Responses!$B$2:$B$4001,$A114,Responses!$K$2:$K$4001,"Medium",Responses!$I$2:$I$4001,"Wrong")</f>
        <v>2</v>
      </c>
      <c r="N114" s="2" t="n">
        <f aca="false">ROUND(SUMIFS(Responses!$J$2:$J$4001,Responses!$B$2:$B$4001,$A114,Responses!$K$2:$K$4001,"Medium"),2)</f>
        <v>10.09</v>
      </c>
      <c r="O114" s="3" t="n">
        <f aca="false">COUNTIFS(Responses!$B$2:$B$4001,$A114,Responses!$K$2:$K$4001,"Low",Responses!$I$2:$I$4001,"Correct")</f>
        <v>8</v>
      </c>
      <c r="P114" s="3" t="n">
        <f aca="false">COUNTIFS(Responses!$B$2:$B$4001,$A114,Responses!$K$2:$K$4001,"Low",Responses!$I$2:$I$4001,"Wrong")</f>
        <v>1</v>
      </c>
      <c r="Q114" s="2" t="n">
        <f aca="false">ROUND(SUMIFS(Responses!$J$2:$J$4001,Responses!$B$2:$B$4001,$A114,Responses!$K$2:$K$4001,"Low"),2)</f>
        <v>12.65</v>
      </c>
      <c r="R114" s="2" t="n">
        <f aca="false">ROUND(SUMIFS(Responses!$AB$2:$AB$4001,Responses!$B$2:$B$4001,$A114),2)</f>
        <v>30.63</v>
      </c>
      <c r="S114" s="0" t="str">
        <f aca="false">IF(R114&gt;='Reward Model'!$B$8,"Gold",IF(R114&gt;='Reward Model'!$B$9,"Silver","Bronze"))</f>
        <v>Gold</v>
      </c>
      <c r="T114" s="2" t="n">
        <f aca="false">ROUND(R114/'Reward Model'!$B$7*100,2)</f>
        <v>74.71</v>
      </c>
    </row>
    <row r="115" customFormat="false" ht="15" hidden="false" customHeight="false" outlineLevel="0" collapsed="false">
      <c r="A115" s="0" t="s">
        <v>359</v>
      </c>
      <c r="B115" s="0" t="s">
        <v>322</v>
      </c>
      <c r="C115" s="0" t="s">
        <v>31</v>
      </c>
      <c r="D115" s="0" t="n">
        <f aca="false">F115</f>
        <v>20</v>
      </c>
      <c r="E115" s="2" t="n">
        <f aca="false">ROUND(K115+N115+Q115,2)</f>
        <v>31.64</v>
      </c>
      <c r="F115" s="3" t="n">
        <f aca="false">COUNTIFS(Responses!$B$2:$B$4001,$A115)</f>
        <v>20</v>
      </c>
      <c r="G115" s="3" t="n">
        <f aca="false">I115+L115+O115</f>
        <v>14</v>
      </c>
      <c r="H115" s="3" t="n">
        <f aca="false">J115+M115+P115</f>
        <v>6</v>
      </c>
      <c r="I115" s="3" t="n">
        <f aca="false">COUNTIFS(Responses!$B$2:$B$4001,$A115,Responses!$K$2:$K$4001,"High",Responses!$I$2:$I$4001,"Correct")</f>
        <v>1</v>
      </c>
      <c r="J115" s="3" t="n">
        <f aca="false">COUNTIFS(Responses!$B$2:$B$4001,$A115,Responses!$K$2:$K$4001,"High",Responses!$I$2:$I$4001,"Wrong")</f>
        <v>4</v>
      </c>
      <c r="K115" s="2" t="n">
        <f aca="false">ROUND(SUMIFS(Responses!$J$2:$J$4001,Responses!$B$2:$B$4001,$A115,Responses!$K$2:$K$4001,"High"),2)</f>
        <v>9.48</v>
      </c>
      <c r="L115" s="3" t="n">
        <f aca="false">COUNTIFS(Responses!$B$2:$B$4001,$A115,Responses!$K$2:$K$4001,"Medium",Responses!$I$2:$I$4001,"Correct")</f>
        <v>5</v>
      </c>
      <c r="M115" s="3" t="n">
        <f aca="false">COUNTIFS(Responses!$B$2:$B$4001,$A115,Responses!$K$2:$K$4001,"Medium",Responses!$I$2:$I$4001,"Wrong")</f>
        <v>1</v>
      </c>
      <c r="N115" s="2" t="n">
        <f aca="false">ROUND(SUMIFS(Responses!$J$2:$J$4001,Responses!$B$2:$B$4001,$A115,Responses!$K$2:$K$4001,"Medium"),2)</f>
        <v>9.43</v>
      </c>
      <c r="O115" s="3" t="n">
        <f aca="false">COUNTIFS(Responses!$B$2:$B$4001,$A115,Responses!$K$2:$K$4001,"Low",Responses!$I$2:$I$4001,"Correct")</f>
        <v>8</v>
      </c>
      <c r="P115" s="3" t="n">
        <f aca="false">COUNTIFS(Responses!$B$2:$B$4001,$A115,Responses!$K$2:$K$4001,"Low",Responses!$I$2:$I$4001,"Wrong")</f>
        <v>1</v>
      </c>
      <c r="Q115" s="2" t="n">
        <f aca="false">ROUND(SUMIFS(Responses!$J$2:$J$4001,Responses!$B$2:$B$4001,$A115,Responses!$K$2:$K$4001,"Low"),2)</f>
        <v>12.73</v>
      </c>
      <c r="R115" s="2" t="n">
        <f aca="false">ROUND(SUMIFS(Responses!$AB$2:$AB$4001,Responses!$B$2:$B$4001,$A115),2)</f>
        <v>24.99</v>
      </c>
      <c r="S115" s="0" t="str">
        <f aca="false">IF(R115&gt;='Reward Model'!$B$8,"Gold",IF(R115&gt;='Reward Model'!$B$9,"Silver","Bronze"))</f>
        <v>Silver</v>
      </c>
      <c r="T115" s="2" t="n">
        <f aca="false">ROUND(R115/'Reward Model'!$B$7*100,2)</f>
        <v>60.95</v>
      </c>
    </row>
    <row r="116" customFormat="false" ht="15" hidden="false" customHeight="false" outlineLevel="0" collapsed="false">
      <c r="A116" s="0" t="s">
        <v>361</v>
      </c>
      <c r="B116" s="0" t="s">
        <v>322</v>
      </c>
      <c r="C116" s="0" t="s">
        <v>31</v>
      </c>
      <c r="D116" s="0" t="n">
        <f aca="false">F116</f>
        <v>20</v>
      </c>
      <c r="E116" s="2" t="n">
        <f aca="false">ROUND(K116+N116+Q116,2)</f>
        <v>33.81</v>
      </c>
      <c r="F116" s="3" t="n">
        <f aca="false">COUNTIFS(Responses!$B$2:$B$4001,$A116)</f>
        <v>20</v>
      </c>
      <c r="G116" s="3" t="n">
        <f aca="false">I116+L116+O116</f>
        <v>16</v>
      </c>
      <c r="H116" s="3" t="n">
        <f aca="false">J116+M116+P116</f>
        <v>4</v>
      </c>
      <c r="I116" s="3" t="n">
        <f aca="false">COUNTIFS(Responses!$B$2:$B$4001,$A116,Responses!$K$2:$K$4001,"High",Responses!$I$2:$I$4001,"Correct")</f>
        <v>4</v>
      </c>
      <c r="J116" s="3" t="n">
        <f aca="false">COUNTIFS(Responses!$B$2:$B$4001,$A116,Responses!$K$2:$K$4001,"High",Responses!$I$2:$I$4001,"Wrong")</f>
        <v>1</v>
      </c>
      <c r="K116" s="2" t="n">
        <f aca="false">ROUND(SUMIFS(Responses!$J$2:$J$4001,Responses!$B$2:$B$4001,$A116,Responses!$K$2:$K$4001,"High"),2)</f>
        <v>8.71</v>
      </c>
      <c r="L116" s="3" t="n">
        <f aca="false">COUNTIFS(Responses!$B$2:$B$4001,$A116,Responses!$K$2:$K$4001,"Medium",Responses!$I$2:$I$4001,"Correct")</f>
        <v>4</v>
      </c>
      <c r="M116" s="3" t="n">
        <f aca="false">COUNTIFS(Responses!$B$2:$B$4001,$A116,Responses!$K$2:$K$4001,"Medium",Responses!$I$2:$I$4001,"Wrong")</f>
        <v>2</v>
      </c>
      <c r="N116" s="2" t="n">
        <f aca="false">ROUND(SUMIFS(Responses!$J$2:$J$4001,Responses!$B$2:$B$4001,$A116,Responses!$K$2:$K$4001,"Medium"),2)</f>
        <v>10.32</v>
      </c>
      <c r="O116" s="3" t="n">
        <f aca="false">COUNTIFS(Responses!$B$2:$B$4001,$A116,Responses!$K$2:$K$4001,"Low",Responses!$I$2:$I$4001,"Correct")</f>
        <v>8</v>
      </c>
      <c r="P116" s="3" t="n">
        <f aca="false">COUNTIFS(Responses!$B$2:$B$4001,$A116,Responses!$K$2:$K$4001,"Low",Responses!$I$2:$I$4001,"Wrong")</f>
        <v>1</v>
      </c>
      <c r="Q116" s="2" t="n">
        <f aca="false">ROUND(SUMIFS(Responses!$J$2:$J$4001,Responses!$B$2:$B$4001,$A116,Responses!$K$2:$K$4001,"Low"),2)</f>
        <v>14.78</v>
      </c>
      <c r="R116" s="2" t="n">
        <f aca="false">ROUND(SUMIFS(Responses!$AB$2:$AB$4001,Responses!$B$2:$B$4001,$A116),2)</f>
        <v>31.31</v>
      </c>
      <c r="S116" s="0" t="str">
        <f aca="false">IF(R116&gt;='Reward Model'!$B$8,"Gold",IF(R116&gt;='Reward Model'!$B$9,"Silver","Bronze"))</f>
        <v>Gold</v>
      </c>
      <c r="T116" s="2" t="n">
        <f aca="false">ROUND(R116/'Reward Model'!$B$7*100,2)</f>
        <v>76.37</v>
      </c>
    </row>
    <row r="117" customFormat="false" ht="15" hidden="false" customHeight="false" outlineLevel="0" collapsed="false">
      <c r="A117" s="0" t="s">
        <v>363</v>
      </c>
      <c r="B117" s="0" t="s">
        <v>322</v>
      </c>
      <c r="C117" s="0" t="s">
        <v>31</v>
      </c>
      <c r="D117" s="0" t="n">
        <f aca="false">F117</f>
        <v>20</v>
      </c>
      <c r="E117" s="2" t="n">
        <f aca="false">ROUND(K117+N117+Q117,2)</f>
        <v>32.43</v>
      </c>
      <c r="F117" s="3" t="n">
        <f aca="false">COUNTIFS(Responses!$B$2:$B$4001,$A117)</f>
        <v>20</v>
      </c>
      <c r="G117" s="3" t="n">
        <f aca="false">I117+L117+O117</f>
        <v>11</v>
      </c>
      <c r="H117" s="3" t="n">
        <f aca="false">J117+M117+P117</f>
        <v>9</v>
      </c>
      <c r="I117" s="3" t="n">
        <f aca="false">COUNTIFS(Responses!$B$2:$B$4001,$A117,Responses!$K$2:$K$4001,"High",Responses!$I$2:$I$4001,"Correct")</f>
        <v>2</v>
      </c>
      <c r="J117" s="3" t="n">
        <f aca="false">COUNTIFS(Responses!$B$2:$B$4001,$A117,Responses!$K$2:$K$4001,"High",Responses!$I$2:$I$4001,"Wrong")</f>
        <v>3</v>
      </c>
      <c r="K117" s="2" t="n">
        <f aca="false">ROUND(SUMIFS(Responses!$J$2:$J$4001,Responses!$B$2:$B$4001,$A117,Responses!$K$2:$K$4001,"High"),2)</f>
        <v>9.48</v>
      </c>
      <c r="L117" s="3" t="n">
        <f aca="false">COUNTIFS(Responses!$B$2:$B$4001,$A117,Responses!$K$2:$K$4001,"Medium",Responses!$I$2:$I$4001,"Correct")</f>
        <v>2</v>
      </c>
      <c r="M117" s="3" t="n">
        <f aca="false">COUNTIFS(Responses!$B$2:$B$4001,$A117,Responses!$K$2:$K$4001,"Medium",Responses!$I$2:$I$4001,"Wrong")</f>
        <v>4</v>
      </c>
      <c r="N117" s="2" t="n">
        <f aca="false">ROUND(SUMIFS(Responses!$J$2:$J$4001,Responses!$B$2:$B$4001,$A117,Responses!$K$2:$K$4001,"Medium"),2)</f>
        <v>10.01</v>
      </c>
      <c r="O117" s="3" t="n">
        <f aca="false">COUNTIFS(Responses!$B$2:$B$4001,$A117,Responses!$K$2:$K$4001,"Low",Responses!$I$2:$I$4001,"Correct")</f>
        <v>7</v>
      </c>
      <c r="P117" s="3" t="n">
        <f aca="false">COUNTIFS(Responses!$B$2:$B$4001,$A117,Responses!$K$2:$K$4001,"Low",Responses!$I$2:$I$4001,"Wrong")</f>
        <v>2</v>
      </c>
      <c r="Q117" s="2" t="n">
        <f aca="false">ROUND(SUMIFS(Responses!$J$2:$J$4001,Responses!$B$2:$B$4001,$A117,Responses!$K$2:$K$4001,"Low"),2)</f>
        <v>12.94</v>
      </c>
      <c r="R117" s="2" t="n">
        <f aca="false">ROUND(SUMIFS(Responses!$AB$2:$AB$4001,Responses!$B$2:$B$4001,$A117),2)</f>
        <v>19.73</v>
      </c>
      <c r="S117" s="0" t="str">
        <f aca="false">IF(R117&gt;='Reward Model'!$B$8,"Gold",IF(R117&gt;='Reward Model'!$B$9,"Silver","Bronze"))</f>
        <v>Bronze</v>
      </c>
      <c r="T117" s="2" t="n">
        <f aca="false">ROUND(R117/'Reward Model'!$B$7*100,2)</f>
        <v>48.12</v>
      </c>
    </row>
    <row r="118" customFormat="false" ht="15" hidden="false" customHeight="false" outlineLevel="0" collapsed="false">
      <c r="A118" s="0" t="s">
        <v>365</v>
      </c>
      <c r="B118" s="0" t="s">
        <v>322</v>
      </c>
      <c r="C118" s="0" t="s">
        <v>31</v>
      </c>
      <c r="D118" s="0" t="n">
        <f aca="false">F118</f>
        <v>20</v>
      </c>
      <c r="E118" s="2" t="n">
        <f aca="false">ROUND(K118+N118+Q118,2)</f>
        <v>31.99</v>
      </c>
      <c r="F118" s="3" t="n">
        <f aca="false">COUNTIFS(Responses!$B$2:$B$4001,$A118)</f>
        <v>20</v>
      </c>
      <c r="G118" s="3" t="n">
        <f aca="false">I118+L118+O118</f>
        <v>14</v>
      </c>
      <c r="H118" s="3" t="n">
        <f aca="false">J118+M118+P118</f>
        <v>6</v>
      </c>
      <c r="I118" s="3" t="n">
        <f aca="false">COUNTIFS(Responses!$B$2:$B$4001,$A118,Responses!$K$2:$K$4001,"High",Responses!$I$2:$I$4001,"Correct")</f>
        <v>2</v>
      </c>
      <c r="J118" s="3" t="n">
        <f aca="false">COUNTIFS(Responses!$B$2:$B$4001,$A118,Responses!$K$2:$K$4001,"High",Responses!$I$2:$I$4001,"Wrong")</f>
        <v>3</v>
      </c>
      <c r="K118" s="2" t="n">
        <f aca="false">ROUND(SUMIFS(Responses!$J$2:$J$4001,Responses!$B$2:$B$4001,$A118,Responses!$K$2:$K$4001,"High"),2)</f>
        <v>8.45</v>
      </c>
      <c r="L118" s="3" t="n">
        <f aca="false">COUNTIFS(Responses!$B$2:$B$4001,$A118,Responses!$K$2:$K$4001,"Medium",Responses!$I$2:$I$4001,"Correct")</f>
        <v>4</v>
      </c>
      <c r="M118" s="3" t="n">
        <f aca="false">COUNTIFS(Responses!$B$2:$B$4001,$A118,Responses!$K$2:$K$4001,"Medium",Responses!$I$2:$I$4001,"Wrong")</f>
        <v>2</v>
      </c>
      <c r="N118" s="2" t="n">
        <f aca="false">ROUND(SUMIFS(Responses!$J$2:$J$4001,Responses!$B$2:$B$4001,$A118,Responses!$K$2:$K$4001,"Medium"),2)</f>
        <v>10.21</v>
      </c>
      <c r="O118" s="3" t="n">
        <f aca="false">COUNTIFS(Responses!$B$2:$B$4001,$A118,Responses!$K$2:$K$4001,"Low",Responses!$I$2:$I$4001,"Correct")</f>
        <v>8</v>
      </c>
      <c r="P118" s="3" t="n">
        <f aca="false">COUNTIFS(Responses!$B$2:$B$4001,$A118,Responses!$K$2:$K$4001,"Low",Responses!$I$2:$I$4001,"Wrong")</f>
        <v>1</v>
      </c>
      <c r="Q118" s="2" t="n">
        <f aca="false">ROUND(SUMIFS(Responses!$J$2:$J$4001,Responses!$B$2:$B$4001,$A118,Responses!$K$2:$K$4001,"Low"),2)</f>
        <v>13.33</v>
      </c>
      <c r="R118" s="2" t="n">
        <f aca="false">ROUND(SUMIFS(Responses!$AB$2:$AB$4001,Responses!$B$2:$B$4001,$A118),2)</f>
        <v>24.97</v>
      </c>
      <c r="S118" s="0" t="str">
        <f aca="false">IF(R118&gt;='Reward Model'!$B$8,"Gold",IF(R118&gt;='Reward Model'!$B$9,"Silver","Bronze"))</f>
        <v>Silver</v>
      </c>
      <c r="T118" s="2" t="n">
        <f aca="false">ROUND(R118/'Reward Model'!$B$7*100,2)</f>
        <v>60.9</v>
      </c>
    </row>
    <row r="119" customFormat="false" ht="15" hidden="false" customHeight="false" outlineLevel="0" collapsed="false">
      <c r="A119" s="0" t="s">
        <v>367</v>
      </c>
      <c r="B119" s="0" t="s">
        <v>322</v>
      </c>
      <c r="C119" s="0" t="s">
        <v>31</v>
      </c>
      <c r="D119" s="0" t="n">
        <f aca="false">F119</f>
        <v>20</v>
      </c>
      <c r="E119" s="2" t="n">
        <f aca="false">ROUND(K119+N119+Q119,2)</f>
        <v>34.43</v>
      </c>
      <c r="F119" s="3" t="n">
        <f aca="false">COUNTIFS(Responses!$B$2:$B$4001,$A119)</f>
        <v>20</v>
      </c>
      <c r="G119" s="3" t="n">
        <f aca="false">I119+L119+O119</f>
        <v>10</v>
      </c>
      <c r="H119" s="3" t="n">
        <f aca="false">J119+M119+P119</f>
        <v>10</v>
      </c>
      <c r="I119" s="3" t="n">
        <f aca="false">COUNTIFS(Responses!$B$2:$B$4001,$A119,Responses!$K$2:$K$4001,"High",Responses!$I$2:$I$4001,"Correct")</f>
        <v>1</v>
      </c>
      <c r="J119" s="3" t="n">
        <f aca="false">COUNTIFS(Responses!$B$2:$B$4001,$A119,Responses!$K$2:$K$4001,"High",Responses!$I$2:$I$4001,"Wrong")</f>
        <v>4</v>
      </c>
      <c r="K119" s="2" t="n">
        <f aca="false">ROUND(SUMIFS(Responses!$J$2:$J$4001,Responses!$B$2:$B$4001,$A119,Responses!$K$2:$K$4001,"High"),2)</f>
        <v>9.03</v>
      </c>
      <c r="L119" s="3" t="n">
        <f aca="false">COUNTIFS(Responses!$B$2:$B$4001,$A119,Responses!$K$2:$K$4001,"Medium",Responses!$I$2:$I$4001,"Correct")</f>
        <v>5</v>
      </c>
      <c r="M119" s="3" t="n">
        <f aca="false">COUNTIFS(Responses!$B$2:$B$4001,$A119,Responses!$K$2:$K$4001,"Medium",Responses!$I$2:$I$4001,"Wrong")</f>
        <v>1</v>
      </c>
      <c r="N119" s="2" t="n">
        <f aca="false">ROUND(SUMIFS(Responses!$J$2:$J$4001,Responses!$B$2:$B$4001,$A119,Responses!$K$2:$K$4001,"Medium"),2)</f>
        <v>11.63</v>
      </c>
      <c r="O119" s="3" t="n">
        <f aca="false">COUNTIFS(Responses!$B$2:$B$4001,$A119,Responses!$K$2:$K$4001,"Low",Responses!$I$2:$I$4001,"Correct")</f>
        <v>4</v>
      </c>
      <c r="P119" s="3" t="n">
        <f aca="false">COUNTIFS(Responses!$B$2:$B$4001,$A119,Responses!$K$2:$K$4001,"Low",Responses!$I$2:$I$4001,"Wrong")</f>
        <v>5</v>
      </c>
      <c r="Q119" s="2" t="n">
        <f aca="false">ROUND(SUMIFS(Responses!$J$2:$J$4001,Responses!$B$2:$B$4001,$A119,Responses!$K$2:$K$4001,"Low"),2)</f>
        <v>13.77</v>
      </c>
      <c r="R119" s="2" t="n">
        <f aca="false">ROUND(SUMIFS(Responses!$AB$2:$AB$4001,Responses!$B$2:$B$4001,$A119),2)</f>
        <v>17.49</v>
      </c>
      <c r="S119" s="0" t="str">
        <f aca="false">IF(R119&gt;='Reward Model'!$B$8,"Gold",IF(R119&gt;='Reward Model'!$B$9,"Silver","Bronze"))</f>
        <v>Bronze</v>
      </c>
      <c r="T119" s="2" t="n">
        <f aca="false">ROUND(R119/'Reward Model'!$B$7*100,2)</f>
        <v>42.66</v>
      </c>
    </row>
    <row r="120" customFormat="false" ht="15" hidden="false" customHeight="false" outlineLevel="0" collapsed="false">
      <c r="A120" s="0" t="s">
        <v>369</v>
      </c>
      <c r="B120" s="0" t="s">
        <v>322</v>
      </c>
      <c r="C120" s="0" t="s">
        <v>31</v>
      </c>
      <c r="D120" s="0" t="n">
        <f aca="false">F120</f>
        <v>20</v>
      </c>
      <c r="E120" s="2" t="n">
        <f aca="false">ROUND(K120+N120+Q120,2)</f>
        <v>35.34</v>
      </c>
      <c r="F120" s="3" t="n">
        <f aca="false">COUNTIFS(Responses!$B$2:$B$4001,$A120)</f>
        <v>20</v>
      </c>
      <c r="G120" s="3" t="n">
        <f aca="false">I120+L120+O120</f>
        <v>13</v>
      </c>
      <c r="H120" s="3" t="n">
        <f aca="false">J120+M120+P120</f>
        <v>7</v>
      </c>
      <c r="I120" s="3" t="n">
        <f aca="false">COUNTIFS(Responses!$B$2:$B$4001,$A120,Responses!$K$2:$K$4001,"High",Responses!$I$2:$I$4001,"Correct")</f>
        <v>1</v>
      </c>
      <c r="J120" s="3" t="n">
        <f aca="false">COUNTIFS(Responses!$B$2:$B$4001,$A120,Responses!$K$2:$K$4001,"High",Responses!$I$2:$I$4001,"Wrong")</f>
        <v>4</v>
      </c>
      <c r="K120" s="2" t="n">
        <f aca="false">ROUND(SUMIFS(Responses!$J$2:$J$4001,Responses!$B$2:$B$4001,$A120,Responses!$K$2:$K$4001,"High"),2)</f>
        <v>10.82</v>
      </c>
      <c r="L120" s="3" t="n">
        <f aca="false">COUNTIFS(Responses!$B$2:$B$4001,$A120,Responses!$K$2:$K$4001,"Medium",Responses!$I$2:$I$4001,"Correct")</f>
        <v>4</v>
      </c>
      <c r="M120" s="3" t="n">
        <f aca="false">COUNTIFS(Responses!$B$2:$B$4001,$A120,Responses!$K$2:$K$4001,"Medium",Responses!$I$2:$I$4001,"Wrong")</f>
        <v>2</v>
      </c>
      <c r="N120" s="2" t="n">
        <f aca="false">ROUND(SUMIFS(Responses!$J$2:$J$4001,Responses!$B$2:$B$4001,$A120,Responses!$K$2:$K$4001,"Medium"),2)</f>
        <v>10.15</v>
      </c>
      <c r="O120" s="3" t="n">
        <f aca="false">COUNTIFS(Responses!$B$2:$B$4001,$A120,Responses!$K$2:$K$4001,"Low",Responses!$I$2:$I$4001,"Correct")</f>
        <v>8</v>
      </c>
      <c r="P120" s="3" t="n">
        <f aca="false">COUNTIFS(Responses!$B$2:$B$4001,$A120,Responses!$K$2:$K$4001,"Low",Responses!$I$2:$I$4001,"Wrong")</f>
        <v>1</v>
      </c>
      <c r="Q120" s="2" t="n">
        <f aca="false">ROUND(SUMIFS(Responses!$J$2:$J$4001,Responses!$B$2:$B$4001,$A120,Responses!$K$2:$K$4001,"Low"),2)</f>
        <v>14.37</v>
      </c>
      <c r="R120" s="2" t="n">
        <f aca="false">ROUND(SUMIFS(Responses!$AB$2:$AB$4001,Responses!$B$2:$B$4001,$A120),2)</f>
        <v>21.41</v>
      </c>
      <c r="S120" s="0" t="str">
        <f aca="false">IF(R120&gt;='Reward Model'!$B$8,"Gold",IF(R120&gt;='Reward Model'!$B$9,"Silver","Bronze"))</f>
        <v>Silver</v>
      </c>
      <c r="T120" s="2" t="n">
        <f aca="false">ROUND(R120/'Reward Model'!$B$7*100,2)</f>
        <v>52.22</v>
      </c>
    </row>
    <row r="121" customFormat="false" ht="15" hidden="false" customHeight="false" outlineLevel="0" collapsed="false">
      <c r="A121" s="0" t="s">
        <v>371</v>
      </c>
      <c r="B121" s="0" t="s">
        <v>322</v>
      </c>
      <c r="C121" s="0" t="s">
        <v>31</v>
      </c>
      <c r="D121" s="0" t="n">
        <f aca="false">F121</f>
        <v>20</v>
      </c>
      <c r="E121" s="2" t="n">
        <f aca="false">ROUND(K121+N121+Q121,2)</f>
        <v>33.78</v>
      </c>
      <c r="F121" s="3" t="n">
        <f aca="false">COUNTIFS(Responses!$B$2:$B$4001,$A121)</f>
        <v>20</v>
      </c>
      <c r="G121" s="3" t="n">
        <f aca="false">I121+L121+O121</f>
        <v>11</v>
      </c>
      <c r="H121" s="3" t="n">
        <f aca="false">J121+M121+P121</f>
        <v>9</v>
      </c>
      <c r="I121" s="3" t="n">
        <f aca="false">COUNTIFS(Responses!$B$2:$B$4001,$A121,Responses!$K$2:$K$4001,"High",Responses!$I$2:$I$4001,"Correct")</f>
        <v>2</v>
      </c>
      <c r="J121" s="3" t="n">
        <f aca="false">COUNTIFS(Responses!$B$2:$B$4001,$A121,Responses!$K$2:$K$4001,"High",Responses!$I$2:$I$4001,"Wrong")</f>
        <v>3</v>
      </c>
      <c r="K121" s="2" t="n">
        <f aca="false">ROUND(SUMIFS(Responses!$J$2:$J$4001,Responses!$B$2:$B$4001,$A121,Responses!$K$2:$K$4001,"High"),2)</f>
        <v>9.23</v>
      </c>
      <c r="L121" s="3" t="n">
        <f aca="false">COUNTIFS(Responses!$B$2:$B$4001,$A121,Responses!$K$2:$K$4001,"Medium",Responses!$I$2:$I$4001,"Correct")</f>
        <v>4</v>
      </c>
      <c r="M121" s="3" t="n">
        <f aca="false">COUNTIFS(Responses!$B$2:$B$4001,$A121,Responses!$K$2:$K$4001,"Medium",Responses!$I$2:$I$4001,"Wrong")</f>
        <v>2</v>
      </c>
      <c r="N121" s="2" t="n">
        <f aca="false">ROUND(SUMIFS(Responses!$J$2:$J$4001,Responses!$B$2:$B$4001,$A121,Responses!$K$2:$K$4001,"Medium"),2)</f>
        <v>10.58</v>
      </c>
      <c r="O121" s="3" t="n">
        <f aca="false">COUNTIFS(Responses!$B$2:$B$4001,$A121,Responses!$K$2:$K$4001,"Low",Responses!$I$2:$I$4001,"Correct")</f>
        <v>5</v>
      </c>
      <c r="P121" s="3" t="n">
        <f aca="false">COUNTIFS(Responses!$B$2:$B$4001,$A121,Responses!$K$2:$K$4001,"Low",Responses!$I$2:$I$4001,"Wrong")</f>
        <v>4</v>
      </c>
      <c r="Q121" s="2" t="n">
        <f aca="false">ROUND(SUMIFS(Responses!$J$2:$J$4001,Responses!$B$2:$B$4001,$A121,Responses!$K$2:$K$4001,"Low"),2)</f>
        <v>13.97</v>
      </c>
      <c r="R121" s="2" t="n">
        <f aca="false">ROUND(SUMIFS(Responses!$AB$2:$AB$4001,Responses!$B$2:$B$4001,$A121),2)</f>
        <v>20.62</v>
      </c>
      <c r="S121" s="0" t="str">
        <f aca="false">IF(R121&gt;='Reward Model'!$B$8,"Gold",IF(R121&gt;='Reward Model'!$B$9,"Silver","Bronze"))</f>
        <v>Silver</v>
      </c>
      <c r="T121" s="2" t="n">
        <f aca="false">ROUND(R121/'Reward Model'!$B$7*100,2)</f>
        <v>50.29</v>
      </c>
    </row>
    <row r="122" customFormat="false" ht="15" hidden="false" customHeight="false" outlineLevel="0" collapsed="false">
      <c r="A122" s="0" t="s">
        <v>373</v>
      </c>
      <c r="B122" s="0" t="s">
        <v>322</v>
      </c>
      <c r="C122" s="0" t="s">
        <v>31</v>
      </c>
      <c r="D122" s="0" t="n">
        <f aca="false">F122</f>
        <v>20</v>
      </c>
      <c r="E122" s="2" t="n">
        <f aca="false">ROUND(K122+N122+Q122,2)</f>
        <v>32.75</v>
      </c>
      <c r="F122" s="3" t="n">
        <f aca="false">COUNTIFS(Responses!$B$2:$B$4001,$A122)</f>
        <v>20</v>
      </c>
      <c r="G122" s="3" t="n">
        <f aca="false">I122+L122+O122</f>
        <v>15</v>
      </c>
      <c r="H122" s="3" t="n">
        <f aca="false">J122+M122+P122</f>
        <v>5</v>
      </c>
      <c r="I122" s="3" t="n">
        <f aca="false">COUNTIFS(Responses!$B$2:$B$4001,$A122,Responses!$K$2:$K$4001,"High",Responses!$I$2:$I$4001,"Correct")</f>
        <v>3</v>
      </c>
      <c r="J122" s="3" t="n">
        <f aca="false">COUNTIFS(Responses!$B$2:$B$4001,$A122,Responses!$K$2:$K$4001,"High",Responses!$I$2:$I$4001,"Wrong")</f>
        <v>2</v>
      </c>
      <c r="K122" s="2" t="n">
        <f aca="false">ROUND(SUMIFS(Responses!$J$2:$J$4001,Responses!$B$2:$B$4001,$A122,Responses!$K$2:$K$4001,"High"),2)</f>
        <v>9.9</v>
      </c>
      <c r="L122" s="3" t="n">
        <f aca="false">COUNTIFS(Responses!$B$2:$B$4001,$A122,Responses!$K$2:$K$4001,"Medium",Responses!$I$2:$I$4001,"Correct")</f>
        <v>4</v>
      </c>
      <c r="M122" s="3" t="n">
        <f aca="false">COUNTIFS(Responses!$B$2:$B$4001,$A122,Responses!$K$2:$K$4001,"Medium",Responses!$I$2:$I$4001,"Wrong")</f>
        <v>2</v>
      </c>
      <c r="N122" s="2" t="n">
        <f aca="false">ROUND(SUMIFS(Responses!$J$2:$J$4001,Responses!$B$2:$B$4001,$A122,Responses!$K$2:$K$4001,"Medium"),2)</f>
        <v>9.73</v>
      </c>
      <c r="O122" s="3" t="n">
        <f aca="false">COUNTIFS(Responses!$B$2:$B$4001,$A122,Responses!$K$2:$K$4001,"Low",Responses!$I$2:$I$4001,"Correct")</f>
        <v>8</v>
      </c>
      <c r="P122" s="3" t="n">
        <f aca="false">COUNTIFS(Responses!$B$2:$B$4001,$A122,Responses!$K$2:$K$4001,"Low",Responses!$I$2:$I$4001,"Wrong")</f>
        <v>1</v>
      </c>
      <c r="Q122" s="2" t="n">
        <f aca="false">ROUND(SUMIFS(Responses!$J$2:$J$4001,Responses!$B$2:$B$4001,$A122,Responses!$K$2:$K$4001,"Low"),2)</f>
        <v>13.12</v>
      </c>
      <c r="R122" s="2" t="n">
        <f aca="false">ROUND(SUMIFS(Responses!$AB$2:$AB$4001,Responses!$B$2:$B$4001,$A122),2)</f>
        <v>28.54</v>
      </c>
      <c r="S122" s="0" t="str">
        <f aca="false">IF(R122&gt;='Reward Model'!$B$8,"Gold",IF(R122&gt;='Reward Model'!$B$9,"Silver","Bronze"))</f>
        <v>Silver</v>
      </c>
      <c r="T122" s="2" t="n">
        <f aca="false">ROUND(R122/'Reward Model'!$B$7*100,2)</f>
        <v>69.61</v>
      </c>
    </row>
    <row r="123" customFormat="false" ht="15" hidden="false" customHeight="false" outlineLevel="0" collapsed="false">
      <c r="A123" s="0" t="s">
        <v>375</v>
      </c>
      <c r="B123" s="0" t="s">
        <v>322</v>
      </c>
      <c r="C123" s="0" t="s">
        <v>31</v>
      </c>
      <c r="D123" s="0" t="n">
        <f aca="false">F123</f>
        <v>20</v>
      </c>
      <c r="E123" s="2" t="n">
        <f aca="false">ROUND(K123+N123+Q123,2)</f>
        <v>33.55</v>
      </c>
      <c r="F123" s="3" t="n">
        <f aca="false">COUNTIFS(Responses!$B$2:$B$4001,$A123)</f>
        <v>20</v>
      </c>
      <c r="G123" s="3" t="n">
        <f aca="false">I123+L123+O123</f>
        <v>17</v>
      </c>
      <c r="H123" s="3" t="n">
        <f aca="false">J123+M123+P123</f>
        <v>3</v>
      </c>
      <c r="I123" s="3" t="n">
        <f aca="false">COUNTIFS(Responses!$B$2:$B$4001,$A123,Responses!$K$2:$K$4001,"High",Responses!$I$2:$I$4001,"Correct")</f>
        <v>4</v>
      </c>
      <c r="J123" s="3" t="n">
        <f aca="false">COUNTIFS(Responses!$B$2:$B$4001,$A123,Responses!$K$2:$K$4001,"High",Responses!$I$2:$I$4001,"Wrong")</f>
        <v>1</v>
      </c>
      <c r="K123" s="2" t="n">
        <f aca="false">ROUND(SUMIFS(Responses!$J$2:$J$4001,Responses!$B$2:$B$4001,$A123,Responses!$K$2:$K$4001,"High"),2)</f>
        <v>10.19</v>
      </c>
      <c r="L123" s="3" t="n">
        <f aca="false">COUNTIFS(Responses!$B$2:$B$4001,$A123,Responses!$K$2:$K$4001,"Medium",Responses!$I$2:$I$4001,"Correct")</f>
        <v>5</v>
      </c>
      <c r="M123" s="3" t="n">
        <f aca="false">COUNTIFS(Responses!$B$2:$B$4001,$A123,Responses!$K$2:$K$4001,"Medium",Responses!$I$2:$I$4001,"Wrong")</f>
        <v>1</v>
      </c>
      <c r="N123" s="2" t="n">
        <f aca="false">ROUND(SUMIFS(Responses!$J$2:$J$4001,Responses!$B$2:$B$4001,$A123,Responses!$K$2:$K$4001,"Medium"),2)</f>
        <v>9.57</v>
      </c>
      <c r="O123" s="3" t="n">
        <f aca="false">COUNTIFS(Responses!$B$2:$B$4001,$A123,Responses!$K$2:$K$4001,"Low",Responses!$I$2:$I$4001,"Correct")</f>
        <v>8</v>
      </c>
      <c r="P123" s="3" t="n">
        <f aca="false">COUNTIFS(Responses!$B$2:$B$4001,$A123,Responses!$K$2:$K$4001,"Low",Responses!$I$2:$I$4001,"Wrong")</f>
        <v>1</v>
      </c>
      <c r="Q123" s="2" t="n">
        <f aca="false">ROUND(SUMIFS(Responses!$J$2:$J$4001,Responses!$B$2:$B$4001,$A123,Responses!$K$2:$K$4001,"Low"),2)</f>
        <v>13.79</v>
      </c>
      <c r="R123" s="2" t="n">
        <f aca="false">ROUND(SUMIFS(Responses!$AB$2:$AB$4001,Responses!$B$2:$B$4001,$A123),2)</f>
        <v>31.47</v>
      </c>
      <c r="S123" s="0" t="str">
        <f aca="false">IF(R123&gt;='Reward Model'!$B$8,"Gold",IF(R123&gt;='Reward Model'!$B$9,"Silver","Bronze"))</f>
        <v>Gold</v>
      </c>
      <c r="T123" s="2" t="n">
        <f aca="false">ROUND(R123/'Reward Model'!$B$7*100,2)</f>
        <v>76.76</v>
      </c>
    </row>
    <row r="124" customFormat="false" ht="15" hidden="false" customHeight="false" outlineLevel="0" collapsed="false">
      <c r="A124" s="0" t="s">
        <v>377</v>
      </c>
      <c r="B124" s="0" t="s">
        <v>322</v>
      </c>
      <c r="C124" s="0" t="s">
        <v>31</v>
      </c>
      <c r="D124" s="0" t="n">
        <f aca="false">F124</f>
        <v>20</v>
      </c>
      <c r="E124" s="2" t="n">
        <f aca="false">ROUND(K124+N124+Q124,2)</f>
        <v>31.14</v>
      </c>
      <c r="F124" s="3" t="n">
        <f aca="false">COUNTIFS(Responses!$B$2:$B$4001,$A124)</f>
        <v>20</v>
      </c>
      <c r="G124" s="3" t="n">
        <f aca="false">I124+L124+O124</f>
        <v>14</v>
      </c>
      <c r="H124" s="3" t="n">
        <f aca="false">J124+M124+P124</f>
        <v>6</v>
      </c>
      <c r="I124" s="3" t="n">
        <f aca="false">COUNTIFS(Responses!$B$2:$B$4001,$A124,Responses!$K$2:$K$4001,"High",Responses!$I$2:$I$4001,"Correct")</f>
        <v>2</v>
      </c>
      <c r="J124" s="3" t="n">
        <f aca="false">COUNTIFS(Responses!$B$2:$B$4001,$A124,Responses!$K$2:$K$4001,"High",Responses!$I$2:$I$4001,"Wrong")</f>
        <v>3</v>
      </c>
      <c r="K124" s="2" t="n">
        <f aca="false">ROUND(SUMIFS(Responses!$J$2:$J$4001,Responses!$B$2:$B$4001,$A124,Responses!$K$2:$K$4001,"High"),2)</f>
        <v>8.8</v>
      </c>
      <c r="L124" s="3" t="n">
        <f aca="false">COUNTIFS(Responses!$B$2:$B$4001,$A124,Responses!$K$2:$K$4001,"Medium",Responses!$I$2:$I$4001,"Correct")</f>
        <v>4</v>
      </c>
      <c r="M124" s="3" t="n">
        <f aca="false">COUNTIFS(Responses!$B$2:$B$4001,$A124,Responses!$K$2:$K$4001,"Medium",Responses!$I$2:$I$4001,"Wrong")</f>
        <v>2</v>
      </c>
      <c r="N124" s="2" t="n">
        <f aca="false">ROUND(SUMIFS(Responses!$J$2:$J$4001,Responses!$B$2:$B$4001,$A124,Responses!$K$2:$K$4001,"Medium"),2)</f>
        <v>10.46</v>
      </c>
      <c r="O124" s="3" t="n">
        <f aca="false">COUNTIFS(Responses!$B$2:$B$4001,$A124,Responses!$K$2:$K$4001,"Low",Responses!$I$2:$I$4001,"Correct")</f>
        <v>8</v>
      </c>
      <c r="P124" s="3" t="n">
        <f aca="false">COUNTIFS(Responses!$B$2:$B$4001,$A124,Responses!$K$2:$K$4001,"Low",Responses!$I$2:$I$4001,"Wrong")</f>
        <v>1</v>
      </c>
      <c r="Q124" s="2" t="n">
        <f aca="false">ROUND(SUMIFS(Responses!$J$2:$J$4001,Responses!$B$2:$B$4001,$A124,Responses!$K$2:$K$4001,"Low"),2)</f>
        <v>11.88</v>
      </c>
      <c r="R124" s="2" t="n">
        <f aca="false">ROUND(SUMIFS(Responses!$AB$2:$AB$4001,Responses!$B$2:$B$4001,$A124),2)</f>
        <v>26.14</v>
      </c>
      <c r="S124" s="0" t="str">
        <f aca="false">IF(R124&gt;='Reward Model'!$B$8,"Gold",IF(R124&gt;='Reward Model'!$B$9,"Silver","Bronze"))</f>
        <v>Silver</v>
      </c>
      <c r="T124" s="2" t="n">
        <f aca="false">ROUND(R124/'Reward Model'!$B$7*100,2)</f>
        <v>63.76</v>
      </c>
    </row>
    <row r="125" customFormat="false" ht="15" hidden="false" customHeight="false" outlineLevel="0" collapsed="false">
      <c r="A125" s="0" t="s">
        <v>379</v>
      </c>
      <c r="B125" s="0" t="s">
        <v>322</v>
      </c>
      <c r="C125" s="0" t="s">
        <v>31</v>
      </c>
      <c r="D125" s="0" t="n">
        <f aca="false">F125</f>
        <v>20</v>
      </c>
      <c r="E125" s="2" t="n">
        <f aca="false">ROUND(K125+N125+Q125,2)</f>
        <v>31.12</v>
      </c>
      <c r="F125" s="3" t="n">
        <f aca="false">COUNTIFS(Responses!$B$2:$B$4001,$A125)</f>
        <v>20</v>
      </c>
      <c r="G125" s="3" t="n">
        <f aca="false">I125+L125+O125</f>
        <v>12</v>
      </c>
      <c r="H125" s="3" t="n">
        <f aca="false">J125+M125+P125</f>
        <v>8</v>
      </c>
      <c r="I125" s="3" t="n">
        <f aca="false">COUNTIFS(Responses!$B$2:$B$4001,$A125,Responses!$K$2:$K$4001,"High",Responses!$I$2:$I$4001,"Correct")</f>
        <v>2</v>
      </c>
      <c r="J125" s="3" t="n">
        <f aca="false">COUNTIFS(Responses!$B$2:$B$4001,$A125,Responses!$K$2:$K$4001,"High",Responses!$I$2:$I$4001,"Wrong")</f>
        <v>3</v>
      </c>
      <c r="K125" s="2" t="n">
        <f aca="false">ROUND(SUMIFS(Responses!$J$2:$J$4001,Responses!$B$2:$B$4001,$A125,Responses!$K$2:$K$4001,"High"),2)</f>
        <v>8.56</v>
      </c>
      <c r="L125" s="3" t="n">
        <f aca="false">COUNTIFS(Responses!$B$2:$B$4001,$A125,Responses!$K$2:$K$4001,"Medium",Responses!$I$2:$I$4001,"Correct")</f>
        <v>2</v>
      </c>
      <c r="M125" s="3" t="n">
        <f aca="false">COUNTIFS(Responses!$B$2:$B$4001,$A125,Responses!$K$2:$K$4001,"Medium",Responses!$I$2:$I$4001,"Wrong")</f>
        <v>4</v>
      </c>
      <c r="N125" s="2" t="n">
        <f aca="false">ROUND(SUMIFS(Responses!$J$2:$J$4001,Responses!$B$2:$B$4001,$A125,Responses!$K$2:$K$4001,"Medium"),2)</f>
        <v>8.92</v>
      </c>
      <c r="O125" s="3" t="n">
        <f aca="false">COUNTIFS(Responses!$B$2:$B$4001,$A125,Responses!$K$2:$K$4001,"Low",Responses!$I$2:$I$4001,"Correct")</f>
        <v>8</v>
      </c>
      <c r="P125" s="3" t="n">
        <f aca="false">COUNTIFS(Responses!$B$2:$B$4001,$A125,Responses!$K$2:$K$4001,"Low",Responses!$I$2:$I$4001,"Wrong")</f>
        <v>1</v>
      </c>
      <c r="Q125" s="2" t="n">
        <f aca="false">ROUND(SUMIFS(Responses!$J$2:$J$4001,Responses!$B$2:$B$4001,$A125,Responses!$K$2:$K$4001,"Low"),2)</f>
        <v>13.64</v>
      </c>
      <c r="R125" s="2" t="n">
        <f aca="false">ROUND(SUMIFS(Responses!$AB$2:$AB$4001,Responses!$B$2:$B$4001,$A125),2)</f>
        <v>20.97</v>
      </c>
      <c r="S125" s="0" t="str">
        <f aca="false">IF(R125&gt;='Reward Model'!$B$8,"Gold",IF(R125&gt;='Reward Model'!$B$9,"Silver","Bronze"))</f>
        <v>Silver</v>
      </c>
      <c r="T125" s="2" t="n">
        <f aca="false">ROUND(R125/'Reward Model'!$B$7*100,2)</f>
        <v>51.15</v>
      </c>
    </row>
    <row r="126" customFormat="false" ht="15" hidden="false" customHeight="false" outlineLevel="0" collapsed="false">
      <c r="A126" s="0" t="s">
        <v>381</v>
      </c>
      <c r="B126" s="0" t="s">
        <v>322</v>
      </c>
      <c r="C126" s="0" t="s">
        <v>31</v>
      </c>
      <c r="D126" s="0" t="n">
        <f aca="false">F126</f>
        <v>20</v>
      </c>
      <c r="E126" s="2" t="n">
        <f aca="false">ROUND(K126+N126+Q126,2)</f>
        <v>31.96</v>
      </c>
      <c r="F126" s="3" t="n">
        <f aca="false">COUNTIFS(Responses!$B$2:$B$4001,$A126)</f>
        <v>20</v>
      </c>
      <c r="G126" s="3" t="n">
        <f aca="false">I126+L126+O126</f>
        <v>14</v>
      </c>
      <c r="H126" s="3" t="n">
        <f aca="false">J126+M126+P126</f>
        <v>6</v>
      </c>
      <c r="I126" s="3" t="n">
        <f aca="false">COUNTIFS(Responses!$B$2:$B$4001,$A126,Responses!$K$2:$K$4001,"High",Responses!$I$2:$I$4001,"Correct")</f>
        <v>3</v>
      </c>
      <c r="J126" s="3" t="n">
        <f aca="false">COUNTIFS(Responses!$B$2:$B$4001,$A126,Responses!$K$2:$K$4001,"High",Responses!$I$2:$I$4001,"Wrong")</f>
        <v>2</v>
      </c>
      <c r="K126" s="2" t="n">
        <f aca="false">ROUND(SUMIFS(Responses!$J$2:$J$4001,Responses!$B$2:$B$4001,$A126,Responses!$K$2:$K$4001,"High"),2)</f>
        <v>8.45</v>
      </c>
      <c r="L126" s="3" t="n">
        <f aca="false">COUNTIFS(Responses!$B$2:$B$4001,$A126,Responses!$K$2:$K$4001,"Medium",Responses!$I$2:$I$4001,"Correct")</f>
        <v>4</v>
      </c>
      <c r="M126" s="3" t="n">
        <f aca="false">COUNTIFS(Responses!$B$2:$B$4001,$A126,Responses!$K$2:$K$4001,"Medium",Responses!$I$2:$I$4001,"Wrong")</f>
        <v>2</v>
      </c>
      <c r="N126" s="2" t="n">
        <f aca="false">ROUND(SUMIFS(Responses!$J$2:$J$4001,Responses!$B$2:$B$4001,$A126,Responses!$K$2:$K$4001,"Medium"),2)</f>
        <v>9.86</v>
      </c>
      <c r="O126" s="3" t="n">
        <f aca="false">COUNTIFS(Responses!$B$2:$B$4001,$A126,Responses!$K$2:$K$4001,"Low",Responses!$I$2:$I$4001,"Correct")</f>
        <v>7</v>
      </c>
      <c r="P126" s="3" t="n">
        <f aca="false">COUNTIFS(Responses!$B$2:$B$4001,$A126,Responses!$K$2:$K$4001,"Low",Responses!$I$2:$I$4001,"Wrong")</f>
        <v>2</v>
      </c>
      <c r="Q126" s="2" t="n">
        <f aca="false">ROUND(SUMIFS(Responses!$J$2:$J$4001,Responses!$B$2:$B$4001,$A126,Responses!$K$2:$K$4001,"Low"),2)</f>
        <v>13.65</v>
      </c>
      <c r="R126" s="2" t="n">
        <f aca="false">ROUND(SUMIFS(Responses!$AB$2:$AB$4001,Responses!$B$2:$B$4001,$A126),2)</f>
        <v>25.52</v>
      </c>
      <c r="S126" s="0" t="str">
        <f aca="false">IF(R126&gt;='Reward Model'!$B$8,"Gold",IF(R126&gt;='Reward Model'!$B$9,"Silver","Bronze"))</f>
        <v>Silver</v>
      </c>
      <c r="T126" s="2" t="n">
        <f aca="false">ROUND(R126/'Reward Model'!$B$7*100,2)</f>
        <v>62.24</v>
      </c>
    </row>
    <row r="127" customFormat="false" ht="15" hidden="false" customHeight="false" outlineLevel="0" collapsed="false">
      <c r="A127" s="0" t="s">
        <v>383</v>
      </c>
      <c r="B127" s="0" t="s">
        <v>322</v>
      </c>
      <c r="C127" s="0" t="s">
        <v>31</v>
      </c>
      <c r="D127" s="0" t="n">
        <f aca="false">F127</f>
        <v>20</v>
      </c>
      <c r="E127" s="2" t="n">
        <f aca="false">ROUND(K127+N127+Q127,2)</f>
        <v>30.58</v>
      </c>
      <c r="F127" s="3" t="n">
        <f aca="false">COUNTIFS(Responses!$B$2:$B$4001,$A127)</f>
        <v>20</v>
      </c>
      <c r="G127" s="3" t="n">
        <f aca="false">I127+L127+O127</f>
        <v>14</v>
      </c>
      <c r="H127" s="3" t="n">
        <f aca="false">J127+M127+P127</f>
        <v>6</v>
      </c>
      <c r="I127" s="3" t="n">
        <f aca="false">COUNTIFS(Responses!$B$2:$B$4001,$A127,Responses!$K$2:$K$4001,"High",Responses!$I$2:$I$4001,"Correct")</f>
        <v>2</v>
      </c>
      <c r="J127" s="3" t="n">
        <f aca="false">COUNTIFS(Responses!$B$2:$B$4001,$A127,Responses!$K$2:$K$4001,"High",Responses!$I$2:$I$4001,"Wrong")</f>
        <v>3</v>
      </c>
      <c r="K127" s="2" t="n">
        <f aca="false">ROUND(SUMIFS(Responses!$J$2:$J$4001,Responses!$B$2:$B$4001,$A127,Responses!$K$2:$K$4001,"High"),2)</f>
        <v>9.01</v>
      </c>
      <c r="L127" s="3" t="n">
        <f aca="false">COUNTIFS(Responses!$B$2:$B$4001,$A127,Responses!$K$2:$K$4001,"Medium",Responses!$I$2:$I$4001,"Correct")</f>
        <v>5</v>
      </c>
      <c r="M127" s="3" t="n">
        <f aca="false">COUNTIFS(Responses!$B$2:$B$4001,$A127,Responses!$K$2:$K$4001,"Medium",Responses!$I$2:$I$4001,"Wrong")</f>
        <v>1</v>
      </c>
      <c r="N127" s="2" t="n">
        <f aca="false">ROUND(SUMIFS(Responses!$J$2:$J$4001,Responses!$B$2:$B$4001,$A127,Responses!$K$2:$K$4001,"Medium"),2)</f>
        <v>9.38</v>
      </c>
      <c r="O127" s="3" t="n">
        <f aca="false">COUNTIFS(Responses!$B$2:$B$4001,$A127,Responses!$K$2:$K$4001,"Low",Responses!$I$2:$I$4001,"Correct")</f>
        <v>7</v>
      </c>
      <c r="P127" s="3" t="n">
        <f aca="false">COUNTIFS(Responses!$B$2:$B$4001,$A127,Responses!$K$2:$K$4001,"Low",Responses!$I$2:$I$4001,"Wrong")</f>
        <v>2</v>
      </c>
      <c r="Q127" s="2" t="n">
        <f aca="false">ROUND(SUMIFS(Responses!$J$2:$J$4001,Responses!$B$2:$B$4001,$A127,Responses!$K$2:$K$4001,"Low"),2)</f>
        <v>12.19</v>
      </c>
      <c r="R127" s="2" t="n">
        <f aca="false">ROUND(SUMIFS(Responses!$AB$2:$AB$4001,Responses!$B$2:$B$4001,$A127),2)</f>
        <v>26.75</v>
      </c>
      <c r="S127" s="0" t="str">
        <f aca="false">IF(R127&gt;='Reward Model'!$B$8,"Gold",IF(R127&gt;='Reward Model'!$B$9,"Silver","Bronze"))</f>
        <v>Silver</v>
      </c>
      <c r="T127" s="2" t="n">
        <f aca="false">ROUND(R127/'Reward Model'!$B$7*100,2)</f>
        <v>65.24</v>
      </c>
    </row>
    <row r="128" customFormat="false" ht="15" hidden="false" customHeight="false" outlineLevel="0" collapsed="false">
      <c r="A128" s="0" t="s">
        <v>385</v>
      </c>
      <c r="B128" s="0" t="s">
        <v>322</v>
      </c>
      <c r="C128" s="0" t="s">
        <v>31</v>
      </c>
      <c r="D128" s="0" t="n">
        <f aca="false">F128</f>
        <v>20</v>
      </c>
      <c r="E128" s="2" t="n">
        <f aca="false">ROUND(K128+N128+Q128,2)</f>
        <v>30.58</v>
      </c>
      <c r="F128" s="3" t="n">
        <f aca="false">COUNTIFS(Responses!$B$2:$B$4001,$A128)</f>
        <v>20</v>
      </c>
      <c r="G128" s="3" t="n">
        <f aca="false">I128+L128+O128</f>
        <v>16</v>
      </c>
      <c r="H128" s="3" t="n">
        <f aca="false">J128+M128+P128</f>
        <v>4</v>
      </c>
      <c r="I128" s="3" t="n">
        <f aca="false">COUNTIFS(Responses!$B$2:$B$4001,$A128,Responses!$K$2:$K$4001,"High",Responses!$I$2:$I$4001,"Correct")</f>
        <v>3</v>
      </c>
      <c r="J128" s="3" t="n">
        <f aca="false">COUNTIFS(Responses!$B$2:$B$4001,$A128,Responses!$K$2:$K$4001,"High",Responses!$I$2:$I$4001,"Wrong")</f>
        <v>2</v>
      </c>
      <c r="K128" s="2" t="n">
        <f aca="false">ROUND(SUMIFS(Responses!$J$2:$J$4001,Responses!$B$2:$B$4001,$A128,Responses!$K$2:$K$4001,"High"),2)</f>
        <v>7.25</v>
      </c>
      <c r="L128" s="3" t="n">
        <f aca="false">COUNTIFS(Responses!$B$2:$B$4001,$A128,Responses!$K$2:$K$4001,"Medium",Responses!$I$2:$I$4001,"Correct")</f>
        <v>5</v>
      </c>
      <c r="M128" s="3" t="n">
        <f aca="false">COUNTIFS(Responses!$B$2:$B$4001,$A128,Responses!$K$2:$K$4001,"Medium",Responses!$I$2:$I$4001,"Wrong")</f>
        <v>1</v>
      </c>
      <c r="N128" s="2" t="n">
        <f aca="false">ROUND(SUMIFS(Responses!$J$2:$J$4001,Responses!$B$2:$B$4001,$A128,Responses!$K$2:$K$4001,"Medium"),2)</f>
        <v>10.52</v>
      </c>
      <c r="O128" s="3" t="n">
        <f aca="false">COUNTIFS(Responses!$B$2:$B$4001,$A128,Responses!$K$2:$K$4001,"Low",Responses!$I$2:$I$4001,"Correct")</f>
        <v>8</v>
      </c>
      <c r="P128" s="3" t="n">
        <f aca="false">COUNTIFS(Responses!$B$2:$B$4001,$A128,Responses!$K$2:$K$4001,"Low",Responses!$I$2:$I$4001,"Wrong")</f>
        <v>1</v>
      </c>
      <c r="Q128" s="2" t="n">
        <f aca="false">ROUND(SUMIFS(Responses!$J$2:$J$4001,Responses!$B$2:$B$4001,$A128,Responses!$K$2:$K$4001,"Low"),2)</f>
        <v>12.81</v>
      </c>
      <c r="R128" s="2" t="n">
        <f aca="false">ROUND(SUMIFS(Responses!$AB$2:$AB$4001,Responses!$B$2:$B$4001,$A128),2)</f>
        <v>30.83</v>
      </c>
      <c r="S128" s="0" t="str">
        <f aca="false">IF(R128&gt;='Reward Model'!$B$8,"Gold",IF(R128&gt;='Reward Model'!$B$9,"Silver","Bronze"))</f>
        <v>Gold</v>
      </c>
      <c r="T128" s="2" t="n">
        <f aca="false">ROUND(R128/'Reward Model'!$B$7*100,2)</f>
        <v>75.2</v>
      </c>
    </row>
    <row r="129" customFormat="false" ht="15" hidden="false" customHeight="false" outlineLevel="0" collapsed="false">
      <c r="A129" s="0" t="s">
        <v>387</v>
      </c>
      <c r="B129" s="0" t="s">
        <v>322</v>
      </c>
      <c r="C129" s="0" t="s">
        <v>31</v>
      </c>
      <c r="D129" s="0" t="n">
        <f aca="false">F129</f>
        <v>20</v>
      </c>
      <c r="E129" s="2" t="n">
        <f aca="false">ROUND(K129+N129+Q129,2)</f>
        <v>34.8</v>
      </c>
      <c r="F129" s="3" t="n">
        <f aca="false">COUNTIFS(Responses!$B$2:$B$4001,$A129)</f>
        <v>20</v>
      </c>
      <c r="G129" s="3" t="n">
        <f aca="false">I129+L129+O129</f>
        <v>12</v>
      </c>
      <c r="H129" s="3" t="n">
        <f aca="false">J129+M129+P129</f>
        <v>8</v>
      </c>
      <c r="I129" s="3" t="n">
        <f aca="false">COUNTIFS(Responses!$B$2:$B$4001,$A129,Responses!$K$2:$K$4001,"High",Responses!$I$2:$I$4001,"Correct")</f>
        <v>1</v>
      </c>
      <c r="J129" s="3" t="n">
        <f aca="false">COUNTIFS(Responses!$B$2:$B$4001,$A129,Responses!$K$2:$K$4001,"High",Responses!$I$2:$I$4001,"Wrong")</f>
        <v>4</v>
      </c>
      <c r="K129" s="2" t="n">
        <f aca="false">ROUND(SUMIFS(Responses!$J$2:$J$4001,Responses!$B$2:$B$4001,$A129,Responses!$K$2:$K$4001,"High"),2)</f>
        <v>11.1</v>
      </c>
      <c r="L129" s="3" t="n">
        <f aca="false">COUNTIFS(Responses!$B$2:$B$4001,$A129,Responses!$K$2:$K$4001,"Medium",Responses!$I$2:$I$4001,"Correct")</f>
        <v>3</v>
      </c>
      <c r="M129" s="3" t="n">
        <f aca="false">COUNTIFS(Responses!$B$2:$B$4001,$A129,Responses!$K$2:$K$4001,"Medium",Responses!$I$2:$I$4001,"Wrong")</f>
        <v>3</v>
      </c>
      <c r="N129" s="2" t="n">
        <f aca="false">ROUND(SUMIFS(Responses!$J$2:$J$4001,Responses!$B$2:$B$4001,$A129,Responses!$K$2:$K$4001,"Medium"),2)</f>
        <v>9.78</v>
      </c>
      <c r="O129" s="3" t="n">
        <f aca="false">COUNTIFS(Responses!$B$2:$B$4001,$A129,Responses!$K$2:$K$4001,"Low",Responses!$I$2:$I$4001,"Correct")</f>
        <v>8</v>
      </c>
      <c r="P129" s="3" t="n">
        <f aca="false">COUNTIFS(Responses!$B$2:$B$4001,$A129,Responses!$K$2:$K$4001,"Low",Responses!$I$2:$I$4001,"Wrong")</f>
        <v>1</v>
      </c>
      <c r="Q129" s="2" t="n">
        <f aca="false">ROUND(SUMIFS(Responses!$J$2:$J$4001,Responses!$B$2:$B$4001,$A129,Responses!$K$2:$K$4001,"Low"),2)</f>
        <v>13.92</v>
      </c>
      <c r="R129" s="2" t="n">
        <f aca="false">ROUND(SUMIFS(Responses!$AB$2:$AB$4001,Responses!$B$2:$B$4001,$A129),2)</f>
        <v>19.38</v>
      </c>
      <c r="S129" s="0" t="str">
        <f aca="false">IF(R129&gt;='Reward Model'!$B$8,"Gold",IF(R129&gt;='Reward Model'!$B$9,"Silver","Bronze"))</f>
        <v>Bronze</v>
      </c>
      <c r="T129" s="2" t="n">
        <f aca="false">ROUND(R129/'Reward Model'!$B$7*100,2)</f>
        <v>47.27</v>
      </c>
    </row>
    <row r="130" customFormat="false" ht="15" hidden="false" customHeight="false" outlineLevel="0" collapsed="false">
      <c r="A130" s="0" t="s">
        <v>389</v>
      </c>
      <c r="B130" s="0" t="s">
        <v>322</v>
      </c>
      <c r="C130" s="0" t="s">
        <v>31</v>
      </c>
      <c r="D130" s="0" t="n">
        <f aca="false">F130</f>
        <v>20</v>
      </c>
      <c r="E130" s="2" t="n">
        <f aca="false">ROUND(K130+N130+Q130,2)</f>
        <v>37.01</v>
      </c>
      <c r="F130" s="3" t="n">
        <f aca="false">COUNTIFS(Responses!$B$2:$B$4001,$A130)</f>
        <v>20</v>
      </c>
      <c r="G130" s="3" t="n">
        <f aca="false">I130+L130+O130</f>
        <v>16</v>
      </c>
      <c r="H130" s="3" t="n">
        <f aca="false">J130+M130+P130</f>
        <v>4</v>
      </c>
      <c r="I130" s="3" t="n">
        <f aca="false">COUNTIFS(Responses!$B$2:$B$4001,$A130,Responses!$K$2:$K$4001,"High",Responses!$I$2:$I$4001,"Correct")</f>
        <v>3</v>
      </c>
      <c r="J130" s="3" t="n">
        <f aca="false">COUNTIFS(Responses!$B$2:$B$4001,$A130,Responses!$K$2:$K$4001,"High",Responses!$I$2:$I$4001,"Wrong")</f>
        <v>2</v>
      </c>
      <c r="K130" s="2" t="n">
        <f aca="false">ROUND(SUMIFS(Responses!$J$2:$J$4001,Responses!$B$2:$B$4001,$A130,Responses!$K$2:$K$4001,"High"),2)</f>
        <v>11.12</v>
      </c>
      <c r="L130" s="3" t="n">
        <f aca="false">COUNTIFS(Responses!$B$2:$B$4001,$A130,Responses!$K$2:$K$4001,"Medium",Responses!$I$2:$I$4001,"Correct")</f>
        <v>5</v>
      </c>
      <c r="M130" s="3" t="n">
        <f aca="false">COUNTIFS(Responses!$B$2:$B$4001,$A130,Responses!$K$2:$K$4001,"Medium",Responses!$I$2:$I$4001,"Wrong")</f>
        <v>1</v>
      </c>
      <c r="N130" s="2" t="n">
        <f aca="false">ROUND(SUMIFS(Responses!$J$2:$J$4001,Responses!$B$2:$B$4001,$A130,Responses!$K$2:$K$4001,"Medium"),2)</f>
        <v>12.02</v>
      </c>
      <c r="O130" s="3" t="n">
        <f aca="false">COUNTIFS(Responses!$B$2:$B$4001,$A130,Responses!$K$2:$K$4001,"Low",Responses!$I$2:$I$4001,"Correct")</f>
        <v>8</v>
      </c>
      <c r="P130" s="3" t="n">
        <f aca="false">COUNTIFS(Responses!$B$2:$B$4001,$A130,Responses!$K$2:$K$4001,"Low",Responses!$I$2:$I$4001,"Wrong")</f>
        <v>1</v>
      </c>
      <c r="Q130" s="2" t="n">
        <f aca="false">ROUND(SUMIFS(Responses!$J$2:$J$4001,Responses!$B$2:$B$4001,$A130,Responses!$K$2:$K$4001,"Low"),2)</f>
        <v>13.87</v>
      </c>
      <c r="R130" s="2" t="n">
        <f aca="false">ROUND(SUMIFS(Responses!$AB$2:$AB$4001,Responses!$B$2:$B$4001,$A130),2)</f>
        <v>28.94</v>
      </c>
      <c r="S130" s="0" t="str">
        <f aca="false">IF(R130&gt;='Reward Model'!$B$8,"Gold",IF(R130&gt;='Reward Model'!$B$9,"Silver","Bronze"))</f>
        <v>Gold</v>
      </c>
      <c r="T130" s="2" t="n">
        <f aca="false">ROUND(R130/'Reward Model'!$B$7*100,2)</f>
        <v>70.59</v>
      </c>
    </row>
    <row r="131" customFormat="false" ht="15" hidden="false" customHeight="false" outlineLevel="0" collapsed="false">
      <c r="A131" s="0" t="s">
        <v>391</v>
      </c>
      <c r="B131" s="0" t="s">
        <v>322</v>
      </c>
      <c r="C131" s="0" t="s">
        <v>189</v>
      </c>
      <c r="D131" s="0" t="n">
        <f aca="false">F131</f>
        <v>20</v>
      </c>
      <c r="E131" s="2" t="n">
        <f aca="false">ROUND(K131+N131+Q131,2)</f>
        <v>32.28</v>
      </c>
      <c r="F131" s="3" t="n">
        <f aca="false">COUNTIFS(Responses!$B$2:$B$4001,$A131)</f>
        <v>20</v>
      </c>
      <c r="G131" s="3" t="n">
        <f aca="false">I131+L131+O131</f>
        <v>14</v>
      </c>
      <c r="H131" s="3" t="n">
        <f aca="false">J131+M131+P131</f>
        <v>6</v>
      </c>
      <c r="I131" s="3" t="n">
        <f aca="false">COUNTIFS(Responses!$B$2:$B$4001,$A131,Responses!$K$2:$K$4001,"High",Responses!$I$2:$I$4001,"Correct")</f>
        <v>2</v>
      </c>
      <c r="J131" s="3" t="n">
        <f aca="false">COUNTIFS(Responses!$B$2:$B$4001,$A131,Responses!$K$2:$K$4001,"High",Responses!$I$2:$I$4001,"Wrong")</f>
        <v>3</v>
      </c>
      <c r="K131" s="2" t="n">
        <f aca="false">ROUND(SUMIFS(Responses!$J$2:$J$4001,Responses!$B$2:$B$4001,$A131,Responses!$K$2:$K$4001,"High"),2)</f>
        <v>9.78</v>
      </c>
      <c r="L131" s="3" t="n">
        <f aca="false">COUNTIFS(Responses!$B$2:$B$4001,$A131,Responses!$K$2:$K$4001,"Medium",Responses!$I$2:$I$4001,"Correct")</f>
        <v>4</v>
      </c>
      <c r="M131" s="3" t="n">
        <f aca="false">COUNTIFS(Responses!$B$2:$B$4001,$A131,Responses!$K$2:$K$4001,"Medium",Responses!$I$2:$I$4001,"Wrong")</f>
        <v>2</v>
      </c>
      <c r="N131" s="2" t="n">
        <f aca="false">ROUND(SUMIFS(Responses!$J$2:$J$4001,Responses!$B$2:$B$4001,$A131,Responses!$K$2:$K$4001,"Medium"),2)</f>
        <v>10.53</v>
      </c>
      <c r="O131" s="3" t="n">
        <f aca="false">COUNTIFS(Responses!$B$2:$B$4001,$A131,Responses!$K$2:$K$4001,"Low",Responses!$I$2:$I$4001,"Correct")</f>
        <v>8</v>
      </c>
      <c r="P131" s="3" t="n">
        <f aca="false">COUNTIFS(Responses!$B$2:$B$4001,$A131,Responses!$K$2:$K$4001,"Low",Responses!$I$2:$I$4001,"Wrong")</f>
        <v>1</v>
      </c>
      <c r="Q131" s="2" t="n">
        <f aca="false">ROUND(SUMIFS(Responses!$J$2:$J$4001,Responses!$B$2:$B$4001,$A131,Responses!$K$2:$K$4001,"Low"),2)</f>
        <v>11.97</v>
      </c>
      <c r="R131" s="2" t="n">
        <f aca="false">ROUND(SUMIFS(Responses!$AB$2:$AB$4001,Responses!$B$2:$B$4001,$A131),2)</f>
        <v>25.9</v>
      </c>
      <c r="S131" s="0" t="str">
        <f aca="false">IF(R131&gt;='Reward Model'!$B$8,"Gold",IF(R131&gt;='Reward Model'!$B$9,"Silver","Bronze"))</f>
        <v>Silver</v>
      </c>
      <c r="T131" s="2" t="n">
        <f aca="false">ROUND(R131/'Reward Model'!$B$7*100,2)</f>
        <v>63.17</v>
      </c>
    </row>
    <row r="132" customFormat="false" ht="15" hidden="false" customHeight="false" outlineLevel="0" collapsed="false">
      <c r="A132" s="0" t="s">
        <v>393</v>
      </c>
      <c r="B132" s="0" t="s">
        <v>322</v>
      </c>
      <c r="C132" s="0" t="s">
        <v>189</v>
      </c>
      <c r="D132" s="0" t="n">
        <f aca="false">F132</f>
        <v>20</v>
      </c>
      <c r="E132" s="2" t="n">
        <f aca="false">ROUND(K132+N132+Q132,2)</f>
        <v>30.05</v>
      </c>
      <c r="F132" s="3" t="n">
        <f aca="false">COUNTIFS(Responses!$B$2:$B$4001,$A132)</f>
        <v>20</v>
      </c>
      <c r="G132" s="3" t="n">
        <f aca="false">I132+L132+O132</f>
        <v>16</v>
      </c>
      <c r="H132" s="3" t="n">
        <f aca="false">J132+M132+P132</f>
        <v>4</v>
      </c>
      <c r="I132" s="3" t="n">
        <f aca="false">COUNTIFS(Responses!$B$2:$B$4001,$A132,Responses!$K$2:$K$4001,"High",Responses!$I$2:$I$4001,"Correct")</f>
        <v>3</v>
      </c>
      <c r="J132" s="3" t="n">
        <f aca="false">COUNTIFS(Responses!$B$2:$B$4001,$A132,Responses!$K$2:$K$4001,"High",Responses!$I$2:$I$4001,"Wrong")</f>
        <v>2</v>
      </c>
      <c r="K132" s="2" t="n">
        <f aca="false">ROUND(SUMIFS(Responses!$J$2:$J$4001,Responses!$B$2:$B$4001,$A132,Responses!$K$2:$K$4001,"High"),2)</f>
        <v>8.54</v>
      </c>
      <c r="L132" s="3" t="n">
        <f aca="false">COUNTIFS(Responses!$B$2:$B$4001,$A132,Responses!$K$2:$K$4001,"Medium",Responses!$I$2:$I$4001,"Correct")</f>
        <v>5</v>
      </c>
      <c r="M132" s="3" t="n">
        <f aca="false">COUNTIFS(Responses!$B$2:$B$4001,$A132,Responses!$K$2:$K$4001,"Medium",Responses!$I$2:$I$4001,"Wrong")</f>
        <v>1</v>
      </c>
      <c r="N132" s="2" t="n">
        <f aca="false">ROUND(SUMIFS(Responses!$J$2:$J$4001,Responses!$B$2:$B$4001,$A132,Responses!$K$2:$K$4001,"Medium"),2)</f>
        <v>9.82</v>
      </c>
      <c r="O132" s="3" t="n">
        <f aca="false">COUNTIFS(Responses!$B$2:$B$4001,$A132,Responses!$K$2:$K$4001,"Low",Responses!$I$2:$I$4001,"Correct")</f>
        <v>8</v>
      </c>
      <c r="P132" s="3" t="n">
        <f aca="false">COUNTIFS(Responses!$B$2:$B$4001,$A132,Responses!$K$2:$K$4001,"Low",Responses!$I$2:$I$4001,"Wrong")</f>
        <v>1</v>
      </c>
      <c r="Q132" s="2" t="n">
        <f aca="false">ROUND(SUMIFS(Responses!$J$2:$J$4001,Responses!$B$2:$B$4001,$A132,Responses!$K$2:$K$4001,"Low"),2)</f>
        <v>11.69</v>
      </c>
      <c r="R132" s="2" t="n">
        <f aca="false">ROUND(SUMIFS(Responses!$AB$2:$AB$4001,Responses!$B$2:$B$4001,$A132),2)</f>
        <v>30.36</v>
      </c>
      <c r="S132" s="0" t="str">
        <f aca="false">IF(R132&gt;='Reward Model'!$B$8,"Gold",IF(R132&gt;='Reward Model'!$B$9,"Silver","Bronze"))</f>
        <v>Gold</v>
      </c>
      <c r="T132" s="2" t="n">
        <f aca="false">ROUND(R132/'Reward Model'!$B$7*100,2)</f>
        <v>74.05</v>
      </c>
    </row>
    <row r="133" customFormat="false" ht="15" hidden="false" customHeight="false" outlineLevel="0" collapsed="false">
      <c r="A133" s="0" t="s">
        <v>395</v>
      </c>
      <c r="B133" s="0" t="s">
        <v>322</v>
      </c>
      <c r="C133" s="0" t="s">
        <v>189</v>
      </c>
      <c r="D133" s="0" t="n">
        <f aca="false">F133</f>
        <v>20</v>
      </c>
      <c r="E133" s="2" t="n">
        <f aca="false">ROUND(K133+N133+Q133,2)</f>
        <v>33.86</v>
      </c>
      <c r="F133" s="3" t="n">
        <f aca="false">COUNTIFS(Responses!$B$2:$B$4001,$A133)</f>
        <v>20</v>
      </c>
      <c r="G133" s="3" t="n">
        <f aca="false">I133+L133+O133</f>
        <v>14</v>
      </c>
      <c r="H133" s="3" t="n">
        <f aca="false">J133+M133+P133</f>
        <v>6</v>
      </c>
      <c r="I133" s="3" t="n">
        <f aca="false">COUNTIFS(Responses!$B$2:$B$4001,$A133,Responses!$K$2:$K$4001,"High",Responses!$I$2:$I$4001,"Correct")</f>
        <v>1</v>
      </c>
      <c r="J133" s="3" t="n">
        <f aca="false">COUNTIFS(Responses!$B$2:$B$4001,$A133,Responses!$K$2:$K$4001,"High",Responses!$I$2:$I$4001,"Wrong")</f>
        <v>4</v>
      </c>
      <c r="K133" s="2" t="n">
        <f aca="false">ROUND(SUMIFS(Responses!$J$2:$J$4001,Responses!$B$2:$B$4001,$A133,Responses!$K$2:$K$4001,"High"),2)</f>
        <v>10.09</v>
      </c>
      <c r="L133" s="3" t="n">
        <f aca="false">COUNTIFS(Responses!$B$2:$B$4001,$A133,Responses!$K$2:$K$4001,"Medium",Responses!$I$2:$I$4001,"Correct")</f>
        <v>5</v>
      </c>
      <c r="M133" s="3" t="n">
        <f aca="false">COUNTIFS(Responses!$B$2:$B$4001,$A133,Responses!$K$2:$K$4001,"Medium",Responses!$I$2:$I$4001,"Wrong")</f>
        <v>1</v>
      </c>
      <c r="N133" s="2" t="n">
        <f aca="false">ROUND(SUMIFS(Responses!$J$2:$J$4001,Responses!$B$2:$B$4001,$A133,Responses!$K$2:$K$4001,"Medium"),2)</f>
        <v>11.74</v>
      </c>
      <c r="O133" s="3" t="n">
        <f aca="false">COUNTIFS(Responses!$B$2:$B$4001,$A133,Responses!$K$2:$K$4001,"Low",Responses!$I$2:$I$4001,"Correct")</f>
        <v>8</v>
      </c>
      <c r="P133" s="3" t="n">
        <f aca="false">COUNTIFS(Responses!$B$2:$B$4001,$A133,Responses!$K$2:$K$4001,"Low",Responses!$I$2:$I$4001,"Wrong")</f>
        <v>1</v>
      </c>
      <c r="Q133" s="2" t="n">
        <f aca="false">ROUND(SUMIFS(Responses!$J$2:$J$4001,Responses!$B$2:$B$4001,$A133,Responses!$K$2:$K$4001,"Low"),2)</f>
        <v>12.03</v>
      </c>
      <c r="R133" s="2" t="n">
        <f aca="false">ROUND(SUMIFS(Responses!$AB$2:$AB$4001,Responses!$B$2:$B$4001,$A133),2)</f>
        <v>23.54</v>
      </c>
      <c r="S133" s="0" t="str">
        <f aca="false">IF(R133&gt;='Reward Model'!$B$8,"Gold",IF(R133&gt;='Reward Model'!$B$9,"Silver","Bronze"))</f>
        <v>Silver</v>
      </c>
      <c r="T133" s="2" t="n">
        <f aca="false">ROUND(R133/'Reward Model'!$B$7*100,2)</f>
        <v>57.41</v>
      </c>
    </row>
    <row r="134" customFormat="false" ht="15" hidden="false" customHeight="false" outlineLevel="0" collapsed="false">
      <c r="A134" s="0" t="s">
        <v>397</v>
      </c>
      <c r="B134" s="0" t="s">
        <v>322</v>
      </c>
      <c r="C134" s="0" t="s">
        <v>189</v>
      </c>
      <c r="D134" s="0" t="n">
        <f aca="false">F134</f>
        <v>20</v>
      </c>
      <c r="E134" s="2" t="n">
        <f aca="false">ROUND(K134+N134+Q134,2)</f>
        <v>32.99</v>
      </c>
      <c r="F134" s="3" t="n">
        <f aca="false">COUNTIFS(Responses!$B$2:$B$4001,$A134)</f>
        <v>20</v>
      </c>
      <c r="G134" s="3" t="n">
        <f aca="false">I134+L134+O134</f>
        <v>13</v>
      </c>
      <c r="H134" s="3" t="n">
        <f aca="false">J134+M134+P134</f>
        <v>7</v>
      </c>
      <c r="I134" s="3" t="n">
        <f aca="false">COUNTIFS(Responses!$B$2:$B$4001,$A134,Responses!$K$2:$K$4001,"High",Responses!$I$2:$I$4001,"Correct")</f>
        <v>2</v>
      </c>
      <c r="J134" s="3" t="n">
        <f aca="false">COUNTIFS(Responses!$B$2:$B$4001,$A134,Responses!$K$2:$K$4001,"High",Responses!$I$2:$I$4001,"Wrong")</f>
        <v>3</v>
      </c>
      <c r="K134" s="2" t="n">
        <f aca="false">ROUND(SUMIFS(Responses!$J$2:$J$4001,Responses!$B$2:$B$4001,$A134,Responses!$K$2:$K$4001,"High"),2)</f>
        <v>9.17</v>
      </c>
      <c r="L134" s="3" t="n">
        <f aca="false">COUNTIFS(Responses!$B$2:$B$4001,$A134,Responses!$K$2:$K$4001,"Medium",Responses!$I$2:$I$4001,"Correct")</f>
        <v>3</v>
      </c>
      <c r="M134" s="3" t="n">
        <f aca="false">COUNTIFS(Responses!$B$2:$B$4001,$A134,Responses!$K$2:$K$4001,"Medium",Responses!$I$2:$I$4001,"Wrong")</f>
        <v>3</v>
      </c>
      <c r="N134" s="2" t="n">
        <f aca="false">ROUND(SUMIFS(Responses!$J$2:$J$4001,Responses!$B$2:$B$4001,$A134,Responses!$K$2:$K$4001,"Medium"),2)</f>
        <v>12.11</v>
      </c>
      <c r="O134" s="3" t="n">
        <f aca="false">COUNTIFS(Responses!$B$2:$B$4001,$A134,Responses!$K$2:$K$4001,"Low",Responses!$I$2:$I$4001,"Correct")</f>
        <v>8</v>
      </c>
      <c r="P134" s="3" t="n">
        <f aca="false">COUNTIFS(Responses!$B$2:$B$4001,$A134,Responses!$K$2:$K$4001,"Low",Responses!$I$2:$I$4001,"Wrong")</f>
        <v>1</v>
      </c>
      <c r="Q134" s="2" t="n">
        <f aca="false">ROUND(SUMIFS(Responses!$J$2:$J$4001,Responses!$B$2:$B$4001,$A134,Responses!$K$2:$K$4001,"Low"),2)</f>
        <v>11.71</v>
      </c>
      <c r="R134" s="2" t="n">
        <f aca="false">ROUND(SUMIFS(Responses!$AB$2:$AB$4001,Responses!$B$2:$B$4001,$A134),2)</f>
        <v>22.05</v>
      </c>
      <c r="S134" s="0" t="str">
        <f aca="false">IF(R134&gt;='Reward Model'!$B$8,"Gold",IF(R134&gt;='Reward Model'!$B$9,"Silver","Bronze"))</f>
        <v>Silver</v>
      </c>
      <c r="T134" s="2" t="n">
        <f aca="false">ROUND(R134/'Reward Model'!$B$7*100,2)</f>
        <v>53.78</v>
      </c>
    </row>
    <row r="135" customFormat="false" ht="15" hidden="false" customHeight="false" outlineLevel="0" collapsed="false">
      <c r="A135" s="0" t="s">
        <v>399</v>
      </c>
      <c r="B135" s="0" t="s">
        <v>322</v>
      </c>
      <c r="C135" s="0" t="s">
        <v>189</v>
      </c>
      <c r="D135" s="0" t="n">
        <f aca="false">F135</f>
        <v>20</v>
      </c>
      <c r="E135" s="2" t="n">
        <f aca="false">ROUND(K135+N135+Q135,2)</f>
        <v>33.55</v>
      </c>
      <c r="F135" s="3" t="n">
        <f aca="false">COUNTIFS(Responses!$B$2:$B$4001,$A135)</f>
        <v>20</v>
      </c>
      <c r="G135" s="3" t="n">
        <f aca="false">I135+L135+O135</f>
        <v>11</v>
      </c>
      <c r="H135" s="3" t="n">
        <f aca="false">J135+M135+P135</f>
        <v>9</v>
      </c>
      <c r="I135" s="3" t="n">
        <f aca="false">COUNTIFS(Responses!$B$2:$B$4001,$A135,Responses!$K$2:$K$4001,"High",Responses!$I$2:$I$4001,"Correct")</f>
        <v>2</v>
      </c>
      <c r="J135" s="3" t="n">
        <f aca="false">COUNTIFS(Responses!$B$2:$B$4001,$A135,Responses!$K$2:$K$4001,"High",Responses!$I$2:$I$4001,"Wrong")</f>
        <v>3</v>
      </c>
      <c r="K135" s="2" t="n">
        <f aca="false">ROUND(SUMIFS(Responses!$J$2:$J$4001,Responses!$B$2:$B$4001,$A135,Responses!$K$2:$K$4001,"High"),2)</f>
        <v>10.99</v>
      </c>
      <c r="L135" s="3" t="n">
        <f aca="false">COUNTIFS(Responses!$B$2:$B$4001,$A135,Responses!$K$2:$K$4001,"Medium",Responses!$I$2:$I$4001,"Correct")</f>
        <v>2</v>
      </c>
      <c r="M135" s="3" t="n">
        <f aca="false">COUNTIFS(Responses!$B$2:$B$4001,$A135,Responses!$K$2:$K$4001,"Medium",Responses!$I$2:$I$4001,"Wrong")</f>
        <v>4</v>
      </c>
      <c r="N135" s="2" t="n">
        <f aca="false">ROUND(SUMIFS(Responses!$J$2:$J$4001,Responses!$B$2:$B$4001,$A135,Responses!$K$2:$K$4001,"Medium"),2)</f>
        <v>8.9</v>
      </c>
      <c r="O135" s="3" t="n">
        <f aca="false">COUNTIFS(Responses!$B$2:$B$4001,$A135,Responses!$K$2:$K$4001,"Low",Responses!$I$2:$I$4001,"Correct")</f>
        <v>7</v>
      </c>
      <c r="P135" s="3" t="n">
        <f aca="false">COUNTIFS(Responses!$B$2:$B$4001,$A135,Responses!$K$2:$K$4001,"Low",Responses!$I$2:$I$4001,"Wrong")</f>
        <v>2</v>
      </c>
      <c r="Q135" s="2" t="n">
        <f aca="false">ROUND(SUMIFS(Responses!$J$2:$J$4001,Responses!$B$2:$B$4001,$A135,Responses!$K$2:$K$4001,"Low"),2)</f>
        <v>13.66</v>
      </c>
      <c r="R135" s="2" t="n">
        <f aca="false">ROUND(SUMIFS(Responses!$AB$2:$AB$4001,Responses!$B$2:$B$4001,$A135),2)</f>
        <v>18.87</v>
      </c>
      <c r="S135" s="0" t="str">
        <f aca="false">IF(R135&gt;='Reward Model'!$B$8,"Gold",IF(R135&gt;='Reward Model'!$B$9,"Silver","Bronze"))</f>
        <v>Bronze</v>
      </c>
      <c r="T135" s="2" t="n">
        <f aca="false">ROUND(R135/'Reward Model'!$B$7*100,2)</f>
        <v>46.02</v>
      </c>
    </row>
    <row r="136" customFormat="false" ht="15" hidden="false" customHeight="false" outlineLevel="0" collapsed="false">
      <c r="A136" s="0" t="s">
        <v>401</v>
      </c>
      <c r="B136" s="0" t="s">
        <v>322</v>
      </c>
      <c r="C136" s="0" t="s">
        <v>189</v>
      </c>
      <c r="D136" s="0" t="n">
        <f aca="false">F136</f>
        <v>20</v>
      </c>
      <c r="E136" s="2" t="n">
        <f aca="false">ROUND(K136+N136+Q136,2)</f>
        <v>31.71</v>
      </c>
      <c r="F136" s="3" t="n">
        <f aca="false">COUNTIFS(Responses!$B$2:$B$4001,$A136)</f>
        <v>20</v>
      </c>
      <c r="G136" s="3" t="n">
        <f aca="false">I136+L136+O136</f>
        <v>14</v>
      </c>
      <c r="H136" s="3" t="n">
        <f aca="false">J136+M136+P136</f>
        <v>6</v>
      </c>
      <c r="I136" s="3" t="n">
        <f aca="false">COUNTIFS(Responses!$B$2:$B$4001,$A136,Responses!$K$2:$K$4001,"High",Responses!$I$2:$I$4001,"Correct")</f>
        <v>1</v>
      </c>
      <c r="J136" s="3" t="n">
        <f aca="false">COUNTIFS(Responses!$B$2:$B$4001,$A136,Responses!$K$2:$K$4001,"High",Responses!$I$2:$I$4001,"Wrong")</f>
        <v>4</v>
      </c>
      <c r="K136" s="2" t="n">
        <f aca="false">ROUND(SUMIFS(Responses!$J$2:$J$4001,Responses!$B$2:$B$4001,$A136,Responses!$K$2:$K$4001,"High"),2)</f>
        <v>8.83</v>
      </c>
      <c r="L136" s="3" t="n">
        <f aca="false">COUNTIFS(Responses!$B$2:$B$4001,$A136,Responses!$K$2:$K$4001,"Medium",Responses!$I$2:$I$4001,"Correct")</f>
        <v>5</v>
      </c>
      <c r="M136" s="3" t="n">
        <f aca="false">COUNTIFS(Responses!$B$2:$B$4001,$A136,Responses!$K$2:$K$4001,"Medium",Responses!$I$2:$I$4001,"Wrong")</f>
        <v>1</v>
      </c>
      <c r="N136" s="2" t="n">
        <f aca="false">ROUND(SUMIFS(Responses!$J$2:$J$4001,Responses!$B$2:$B$4001,$A136,Responses!$K$2:$K$4001,"Medium"),2)</f>
        <v>10.02</v>
      </c>
      <c r="O136" s="3" t="n">
        <f aca="false">COUNTIFS(Responses!$B$2:$B$4001,$A136,Responses!$K$2:$K$4001,"Low",Responses!$I$2:$I$4001,"Correct")</f>
        <v>8</v>
      </c>
      <c r="P136" s="3" t="n">
        <f aca="false">COUNTIFS(Responses!$B$2:$B$4001,$A136,Responses!$K$2:$K$4001,"Low",Responses!$I$2:$I$4001,"Wrong")</f>
        <v>1</v>
      </c>
      <c r="Q136" s="2" t="n">
        <f aca="false">ROUND(SUMIFS(Responses!$J$2:$J$4001,Responses!$B$2:$B$4001,$A136,Responses!$K$2:$K$4001,"Low"),2)</f>
        <v>12.86</v>
      </c>
      <c r="R136" s="2" t="n">
        <f aca="false">ROUND(SUMIFS(Responses!$AB$2:$AB$4001,Responses!$B$2:$B$4001,$A136),2)</f>
        <v>23.78</v>
      </c>
      <c r="S136" s="0" t="str">
        <f aca="false">IF(R136&gt;='Reward Model'!$B$8,"Gold",IF(R136&gt;='Reward Model'!$B$9,"Silver","Bronze"))</f>
        <v>Silver</v>
      </c>
      <c r="T136" s="2" t="n">
        <f aca="false">ROUND(R136/'Reward Model'!$B$7*100,2)</f>
        <v>58</v>
      </c>
    </row>
    <row r="137" customFormat="false" ht="15" hidden="false" customHeight="false" outlineLevel="0" collapsed="false">
      <c r="A137" s="0" t="s">
        <v>403</v>
      </c>
      <c r="B137" s="0" t="s">
        <v>322</v>
      </c>
      <c r="C137" s="0" t="s">
        <v>189</v>
      </c>
      <c r="D137" s="0" t="n">
        <f aca="false">F137</f>
        <v>20</v>
      </c>
      <c r="E137" s="2" t="n">
        <f aca="false">ROUND(K137+N137+Q137,2)</f>
        <v>31.54</v>
      </c>
      <c r="F137" s="3" t="n">
        <f aca="false">COUNTIFS(Responses!$B$2:$B$4001,$A137)</f>
        <v>20</v>
      </c>
      <c r="G137" s="3" t="n">
        <f aca="false">I137+L137+O137</f>
        <v>16</v>
      </c>
      <c r="H137" s="3" t="n">
        <f aca="false">J137+M137+P137</f>
        <v>4</v>
      </c>
      <c r="I137" s="3" t="n">
        <f aca="false">COUNTIFS(Responses!$B$2:$B$4001,$A137,Responses!$K$2:$K$4001,"High",Responses!$I$2:$I$4001,"Correct")</f>
        <v>4</v>
      </c>
      <c r="J137" s="3" t="n">
        <f aca="false">COUNTIFS(Responses!$B$2:$B$4001,$A137,Responses!$K$2:$K$4001,"High",Responses!$I$2:$I$4001,"Wrong")</f>
        <v>1</v>
      </c>
      <c r="K137" s="2" t="n">
        <f aca="false">ROUND(SUMIFS(Responses!$J$2:$J$4001,Responses!$B$2:$B$4001,$A137,Responses!$K$2:$K$4001,"High"),2)</f>
        <v>9.64</v>
      </c>
      <c r="L137" s="3" t="n">
        <f aca="false">COUNTIFS(Responses!$B$2:$B$4001,$A137,Responses!$K$2:$K$4001,"Medium",Responses!$I$2:$I$4001,"Correct")</f>
        <v>5</v>
      </c>
      <c r="M137" s="3" t="n">
        <f aca="false">COUNTIFS(Responses!$B$2:$B$4001,$A137,Responses!$K$2:$K$4001,"Medium",Responses!$I$2:$I$4001,"Wrong")</f>
        <v>1</v>
      </c>
      <c r="N137" s="2" t="n">
        <f aca="false">ROUND(SUMIFS(Responses!$J$2:$J$4001,Responses!$B$2:$B$4001,$A137,Responses!$K$2:$K$4001,"Medium"),2)</f>
        <v>10</v>
      </c>
      <c r="O137" s="3" t="n">
        <f aca="false">COUNTIFS(Responses!$B$2:$B$4001,$A137,Responses!$K$2:$K$4001,"Low",Responses!$I$2:$I$4001,"Correct")</f>
        <v>7</v>
      </c>
      <c r="P137" s="3" t="n">
        <f aca="false">COUNTIFS(Responses!$B$2:$B$4001,$A137,Responses!$K$2:$K$4001,"Low",Responses!$I$2:$I$4001,"Wrong")</f>
        <v>2</v>
      </c>
      <c r="Q137" s="2" t="n">
        <f aca="false">ROUND(SUMIFS(Responses!$J$2:$J$4001,Responses!$B$2:$B$4001,$A137,Responses!$K$2:$K$4001,"Low"),2)</f>
        <v>11.9</v>
      </c>
      <c r="R137" s="2" t="n">
        <f aca="false">ROUND(SUMIFS(Responses!$AB$2:$AB$4001,Responses!$B$2:$B$4001,$A137),2)</f>
        <v>30.96</v>
      </c>
      <c r="S137" s="0" t="str">
        <f aca="false">IF(R137&gt;='Reward Model'!$B$8,"Gold",IF(R137&gt;='Reward Model'!$B$9,"Silver","Bronze"))</f>
        <v>Gold</v>
      </c>
      <c r="T137" s="2" t="n">
        <f aca="false">ROUND(R137/'Reward Model'!$B$7*100,2)</f>
        <v>75.51</v>
      </c>
    </row>
    <row r="138" customFormat="false" ht="15" hidden="false" customHeight="false" outlineLevel="0" collapsed="false">
      <c r="A138" s="0" t="s">
        <v>405</v>
      </c>
      <c r="B138" s="0" t="s">
        <v>322</v>
      </c>
      <c r="C138" s="0" t="s">
        <v>189</v>
      </c>
      <c r="D138" s="0" t="n">
        <f aca="false">F138</f>
        <v>20</v>
      </c>
      <c r="E138" s="2" t="n">
        <f aca="false">ROUND(K138+N138+Q138,2)</f>
        <v>31.81</v>
      </c>
      <c r="F138" s="3" t="n">
        <f aca="false">COUNTIFS(Responses!$B$2:$B$4001,$A138)</f>
        <v>20</v>
      </c>
      <c r="G138" s="3" t="n">
        <f aca="false">I138+L138+O138</f>
        <v>13</v>
      </c>
      <c r="H138" s="3" t="n">
        <f aca="false">J138+M138+P138</f>
        <v>7</v>
      </c>
      <c r="I138" s="3" t="n">
        <f aca="false">COUNTIFS(Responses!$B$2:$B$4001,$A138,Responses!$K$2:$K$4001,"High",Responses!$I$2:$I$4001,"Correct")</f>
        <v>1</v>
      </c>
      <c r="J138" s="3" t="n">
        <f aca="false">COUNTIFS(Responses!$B$2:$B$4001,$A138,Responses!$K$2:$K$4001,"High",Responses!$I$2:$I$4001,"Wrong")</f>
        <v>4</v>
      </c>
      <c r="K138" s="2" t="n">
        <f aca="false">ROUND(SUMIFS(Responses!$J$2:$J$4001,Responses!$B$2:$B$4001,$A138,Responses!$K$2:$K$4001,"High"),2)</f>
        <v>10.02</v>
      </c>
      <c r="L138" s="3" t="n">
        <f aca="false">COUNTIFS(Responses!$B$2:$B$4001,$A138,Responses!$K$2:$K$4001,"Medium",Responses!$I$2:$I$4001,"Correct")</f>
        <v>4</v>
      </c>
      <c r="M138" s="3" t="n">
        <f aca="false">COUNTIFS(Responses!$B$2:$B$4001,$A138,Responses!$K$2:$K$4001,"Medium",Responses!$I$2:$I$4001,"Wrong")</f>
        <v>2</v>
      </c>
      <c r="N138" s="2" t="n">
        <f aca="false">ROUND(SUMIFS(Responses!$J$2:$J$4001,Responses!$B$2:$B$4001,$A138,Responses!$K$2:$K$4001,"Medium"),2)</f>
        <v>10.29</v>
      </c>
      <c r="O138" s="3" t="n">
        <f aca="false">COUNTIFS(Responses!$B$2:$B$4001,$A138,Responses!$K$2:$K$4001,"Low",Responses!$I$2:$I$4001,"Correct")</f>
        <v>8</v>
      </c>
      <c r="P138" s="3" t="n">
        <f aca="false">COUNTIFS(Responses!$B$2:$B$4001,$A138,Responses!$K$2:$K$4001,"Low",Responses!$I$2:$I$4001,"Wrong")</f>
        <v>1</v>
      </c>
      <c r="Q138" s="2" t="n">
        <f aca="false">ROUND(SUMIFS(Responses!$J$2:$J$4001,Responses!$B$2:$B$4001,$A138,Responses!$K$2:$K$4001,"Low"),2)</f>
        <v>11.5</v>
      </c>
      <c r="R138" s="2" t="n">
        <f aca="false">ROUND(SUMIFS(Responses!$AB$2:$AB$4001,Responses!$B$2:$B$4001,$A138),2)</f>
        <v>23.19</v>
      </c>
      <c r="S138" s="0" t="str">
        <f aca="false">IF(R138&gt;='Reward Model'!$B$8,"Gold",IF(R138&gt;='Reward Model'!$B$9,"Silver","Bronze"))</f>
        <v>Silver</v>
      </c>
      <c r="T138" s="2" t="n">
        <f aca="false">ROUND(R138/'Reward Model'!$B$7*100,2)</f>
        <v>56.56</v>
      </c>
    </row>
    <row r="139" customFormat="false" ht="15" hidden="false" customHeight="false" outlineLevel="0" collapsed="false">
      <c r="A139" s="0" t="s">
        <v>407</v>
      </c>
      <c r="B139" s="0" t="s">
        <v>322</v>
      </c>
      <c r="C139" s="0" t="s">
        <v>189</v>
      </c>
      <c r="D139" s="0" t="n">
        <f aca="false">F139</f>
        <v>20</v>
      </c>
      <c r="E139" s="2" t="n">
        <f aca="false">ROUND(K139+N139+Q139,2)</f>
        <v>34.51</v>
      </c>
      <c r="F139" s="3" t="n">
        <f aca="false">COUNTIFS(Responses!$B$2:$B$4001,$A139)</f>
        <v>20</v>
      </c>
      <c r="G139" s="3" t="n">
        <f aca="false">I139+L139+O139</f>
        <v>15</v>
      </c>
      <c r="H139" s="3" t="n">
        <f aca="false">J139+M139+P139</f>
        <v>5</v>
      </c>
      <c r="I139" s="3" t="n">
        <f aca="false">COUNTIFS(Responses!$B$2:$B$4001,$A139,Responses!$K$2:$K$4001,"High",Responses!$I$2:$I$4001,"Correct")</f>
        <v>3</v>
      </c>
      <c r="J139" s="3" t="n">
        <f aca="false">COUNTIFS(Responses!$B$2:$B$4001,$A139,Responses!$K$2:$K$4001,"High",Responses!$I$2:$I$4001,"Wrong")</f>
        <v>2</v>
      </c>
      <c r="K139" s="2" t="n">
        <f aca="false">ROUND(SUMIFS(Responses!$J$2:$J$4001,Responses!$B$2:$B$4001,$A139,Responses!$K$2:$K$4001,"High"),2)</f>
        <v>11.04</v>
      </c>
      <c r="L139" s="3" t="n">
        <f aca="false">COUNTIFS(Responses!$B$2:$B$4001,$A139,Responses!$K$2:$K$4001,"Medium",Responses!$I$2:$I$4001,"Correct")</f>
        <v>4</v>
      </c>
      <c r="M139" s="3" t="n">
        <f aca="false">COUNTIFS(Responses!$B$2:$B$4001,$A139,Responses!$K$2:$K$4001,"Medium",Responses!$I$2:$I$4001,"Wrong")</f>
        <v>2</v>
      </c>
      <c r="N139" s="2" t="n">
        <f aca="false">ROUND(SUMIFS(Responses!$J$2:$J$4001,Responses!$B$2:$B$4001,$A139,Responses!$K$2:$K$4001,"Medium"),2)</f>
        <v>10.59</v>
      </c>
      <c r="O139" s="3" t="n">
        <f aca="false">COUNTIFS(Responses!$B$2:$B$4001,$A139,Responses!$K$2:$K$4001,"Low",Responses!$I$2:$I$4001,"Correct")</f>
        <v>8</v>
      </c>
      <c r="P139" s="3" t="n">
        <f aca="false">COUNTIFS(Responses!$B$2:$B$4001,$A139,Responses!$K$2:$K$4001,"Low",Responses!$I$2:$I$4001,"Wrong")</f>
        <v>1</v>
      </c>
      <c r="Q139" s="2" t="n">
        <f aca="false">ROUND(SUMIFS(Responses!$J$2:$J$4001,Responses!$B$2:$B$4001,$A139,Responses!$K$2:$K$4001,"Low"),2)</f>
        <v>12.88</v>
      </c>
      <c r="R139" s="2" t="n">
        <f aca="false">ROUND(SUMIFS(Responses!$AB$2:$AB$4001,Responses!$B$2:$B$4001,$A139),2)</f>
        <v>27.1</v>
      </c>
      <c r="S139" s="0" t="str">
        <f aca="false">IF(R139&gt;='Reward Model'!$B$8,"Gold",IF(R139&gt;='Reward Model'!$B$9,"Silver","Bronze"))</f>
        <v>Silver</v>
      </c>
      <c r="T139" s="2" t="n">
        <f aca="false">ROUND(R139/'Reward Model'!$B$7*100,2)</f>
        <v>66.1</v>
      </c>
    </row>
    <row r="140" customFormat="false" ht="15" hidden="false" customHeight="false" outlineLevel="0" collapsed="false">
      <c r="A140" s="0" t="s">
        <v>409</v>
      </c>
      <c r="B140" s="0" t="s">
        <v>322</v>
      </c>
      <c r="C140" s="0" t="s">
        <v>189</v>
      </c>
      <c r="D140" s="0" t="n">
        <f aca="false">F140</f>
        <v>20</v>
      </c>
      <c r="E140" s="2" t="n">
        <f aca="false">ROUND(K140+N140+Q140,2)</f>
        <v>34.8</v>
      </c>
      <c r="F140" s="3" t="n">
        <f aca="false">COUNTIFS(Responses!$B$2:$B$4001,$A140)</f>
        <v>20</v>
      </c>
      <c r="G140" s="3" t="n">
        <f aca="false">I140+L140+O140</f>
        <v>15</v>
      </c>
      <c r="H140" s="3" t="n">
        <f aca="false">J140+M140+P140</f>
        <v>5</v>
      </c>
      <c r="I140" s="3" t="n">
        <f aca="false">COUNTIFS(Responses!$B$2:$B$4001,$A140,Responses!$K$2:$K$4001,"High",Responses!$I$2:$I$4001,"Correct")</f>
        <v>2</v>
      </c>
      <c r="J140" s="3" t="n">
        <f aca="false">COUNTIFS(Responses!$B$2:$B$4001,$A140,Responses!$K$2:$K$4001,"High",Responses!$I$2:$I$4001,"Wrong")</f>
        <v>3</v>
      </c>
      <c r="K140" s="2" t="n">
        <f aca="false">ROUND(SUMIFS(Responses!$J$2:$J$4001,Responses!$B$2:$B$4001,$A140,Responses!$K$2:$K$4001,"High"),2)</f>
        <v>10.69</v>
      </c>
      <c r="L140" s="3" t="n">
        <f aca="false">COUNTIFS(Responses!$B$2:$B$4001,$A140,Responses!$K$2:$K$4001,"Medium",Responses!$I$2:$I$4001,"Correct")</f>
        <v>5</v>
      </c>
      <c r="M140" s="3" t="n">
        <f aca="false">COUNTIFS(Responses!$B$2:$B$4001,$A140,Responses!$K$2:$K$4001,"Medium",Responses!$I$2:$I$4001,"Wrong")</f>
        <v>1</v>
      </c>
      <c r="N140" s="2" t="n">
        <f aca="false">ROUND(SUMIFS(Responses!$J$2:$J$4001,Responses!$B$2:$B$4001,$A140,Responses!$K$2:$K$4001,"Medium"),2)</f>
        <v>11.69</v>
      </c>
      <c r="O140" s="3" t="n">
        <f aca="false">COUNTIFS(Responses!$B$2:$B$4001,$A140,Responses!$K$2:$K$4001,"Low",Responses!$I$2:$I$4001,"Correct")</f>
        <v>8</v>
      </c>
      <c r="P140" s="3" t="n">
        <f aca="false">COUNTIFS(Responses!$B$2:$B$4001,$A140,Responses!$K$2:$K$4001,"Low",Responses!$I$2:$I$4001,"Wrong")</f>
        <v>1</v>
      </c>
      <c r="Q140" s="2" t="n">
        <f aca="false">ROUND(SUMIFS(Responses!$J$2:$J$4001,Responses!$B$2:$B$4001,$A140,Responses!$K$2:$K$4001,"Low"),2)</f>
        <v>12.42</v>
      </c>
      <c r="R140" s="2" t="n">
        <f aca="false">ROUND(SUMIFS(Responses!$AB$2:$AB$4001,Responses!$B$2:$B$4001,$A140),2)</f>
        <v>26.48</v>
      </c>
      <c r="S140" s="0" t="str">
        <f aca="false">IF(R140&gt;='Reward Model'!$B$8,"Gold",IF(R140&gt;='Reward Model'!$B$9,"Silver","Bronze"))</f>
        <v>Silver</v>
      </c>
      <c r="T140" s="2" t="n">
        <f aca="false">ROUND(R140/'Reward Model'!$B$7*100,2)</f>
        <v>64.59</v>
      </c>
    </row>
    <row r="141" customFormat="false" ht="15" hidden="false" customHeight="false" outlineLevel="0" collapsed="false">
      <c r="A141" s="0" t="s">
        <v>411</v>
      </c>
      <c r="B141" s="0" t="s">
        <v>322</v>
      </c>
      <c r="C141" s="0" t="s">
        <v>189</v>
      </c>
      <c r="D141" s="0" t="n">
        <f aca="false">F141</f>
        <v>20</v>
      </c>
      <c r="E141" s="2" t="n">
        <f aca="false">ROUND(K141+N141+Q141,2)</f>
        <v>33.09</v>
      </c>
      <c r="F141" s="3" t="n">
        <f aca="false">COUNTIFS(Responses!$B$2:$B$4001,$A141)</f>
        <v>20</v>
      </c>
      <c r="G141" s="3" t="n">
        <f aca="false">I141+L141+O141</f>
        <v>15</v>
      </c>
      <c r="H141" s="3" t="n">
        <f aca="false">J141+M141+P141</f>
        <v>5</v>
      </c>
      <c r="I141" s="3" t="n">
        <f aca="false">COUNTIFS(Responses!$B$2:$B$4001,$A141,Responses!$K$2:$K$4001,"High",Responses!$I$2:$I$4001,"Correct")</f>
        <v>3</v>
      </c>
      <c r="J141" s="3" t="n">
        <f aca="false">COUNTIFS(Responses!$B$2:$B$4001,$A141,Responses!$K$2:$K$4001,"High",Responses!$I$2:$I$4001,"Wrong")</f>
        <v>2</v>
      </c>
      <c r="K141" s="2" t="n">
        <f aca="false">ROUND(SUMIFS(Responses!$J$2:$J$4001,Responses!$B$2:$B$4001,$A141,Responses!$K$2:$K$4001,"High"),2)</f>
        <v>10.27</v>
      </c>
      <c r="L141" s="3" t="n">
        <f aca="false">COUNTIFS(Responses!$B$2:$B$4001,$A141,Responses!$K$2:$K$4001,"Medium",Responses!$I$2:$I$4001,"Correct")</f>
        <v>4</v>
      </c>
      <c r="M141" s="3" t="n">
        <f aca="false">COUNTIFS(Responses!$B$2:$B$4001,$A141,Responses!$K$2:$K$4001,"Medium",Responses!$I$2:$I$4001,"Wrong")</f>
        <v>2</v>
      </c>
      <c r="N141" s="2" t="n">
        <f aca="false">ROUND(SUMIFS(Responses!$J$2:$J$4001,Responses!$B$2:$B$4001,$A141,Responses!$K$2:$K$4001,"Medium"),2)</f>
        <v>10.87</v>
      </c>
      <c r="O141" s="3" t="n">
        <f aca="false">COUNTIFS(Responses!$B$2:$B$4001,$A141,Responses!$K$2:$K$4001,"Low",Responses!$I$2:$I$4001,"Correct")</f>
        <v>8</v>
      </c>
      <c r="P141" s="3" t="n">
        <f aca="false">COUNTIFS(Responses!$B$2:$B$4001,$A141,Responses!$K$2:$K$4001,"Low",Responses!$I$2:$I$4001,"Wrong")</f>
        <v>1</v>
      </c>
      <c r="Q141" s="2" t="n">
        <f aca="false">ROUND(SUMIFS(Responses!$J$2:$J$4001,Responses!$B$2:$B$4001,$A141,Responses!$K$2:$K$4001,"Low"),2)</f>
        <v>11.95</v>
      </c>
      <c r="R141" s="2" t="n">
        <f aca="false">ROUND(SUMIFS(Responses!$AB$2:$AB$4001,Responses!$B$2:$B$4001,$A141),2)</f>
        <v>27.52</v>
      </c>
      <c r="S141" s="0" t="str">
        <f aca="false">IF(R141&gt;='Reward Model'!$B$8,"Gold",IF(R141&gt;='Reward Model'!$B$9,"Silver","Bronze"))</f>
        <v>Silver</v>
      </c>
      <c r="T141" s="2" t="n">
        <f aca="false">ROUND(R141/'Reward Model'!$B$7*100,2)</f>
        <v>67.12</v>
      </c>
    </row>
    <row r="142" customFormat="false" ht="15" hidden="false" customHeight="false" outlineLevel="0" collapsed="false">
      <c r="A142" s="0" t="s">
        <v>413</v>
      </c>
      <c r="B142" s="0" t="s">
        <v>322</v>
      </c>
      <c r="C142" s="0" t="s">
        <v>189</v>
      </c>
      <c r="D142" s="0" t="n">
        <f aca="false">F142</f>
        <v>20</v>
      </c>
      <c r="E142" s="2" t="n">
        <f aca="false">ROUND(K142+N142+Q142,2)</f>
        <v>33.38</v>
      </c>
      <c r="F142" s="3" t="n">
        <f aca="false">COUNTIFS(Responses!$B$2:$B$4001,$A142)</f>
        <v>20</v>
      </c>
      <c r="G142" s="3" t="n">
        <f aca="false">I142+L142+O142</f>
        <v>10</v>
      </c>
      <c r="H142" s="3" t="n">
        <f aca="false">J142+M142+P142</f>
        <v>10</v>
      </c>
      <c r="I142" s="3" t="n">
        <f aca="false">COUNTIFS(Responses!$B$2:$B$4001,$A142,Responses!$K$2:$K$4001,"High",Responses!$I$2:$I$4001,"Correct")</f>
        <v>2</v>
      </c>
      <c r="J142" s="3" t="n">
        <f aca="false">COUNTIFS(Responses!$B$2:$B$4001,$A142,Responses!$K$2:$K$4001,"High",Responses!$I$2:$I$4001,"Wrong")</f>
        <v>3</v>
      </c>
      <c r="K142" s="2" t="n">
        <f aca="false">ROUND(SUMIFS(Responses!$J$2:$J$4001,Responses!$B$2:$B$4001,$A142,Responses!$K$2:$K$4001,"High"),2)</f>
        <v>9.95</v>
      </c>
      <c r="L142" s="3" t="n">
        <f aca="false">COUNTIFS(Responses!$B$2:$B$4001,$A142,Responses!$K$2:$K$4001,"Medium",Responses!$I$2:$I$4001,"Correct")</f>
        <v>2</v>
      </c>
      <c r="M142" s="3" t="n">
        <f aca="false">COUNTIFS(Responses!$B$2:$B$4001,$A142,Responses!$K$2:$K$4001,"Medium",Responses!$I$2:$I$4001,"Wrong")</f>
        <v>4</v>
      </c>
      <c r="N142" s="2" t="n">
        <f aca="false">ROUND(SUMIFS(Responses!$J$2:$J$4001,Responses!$B$2:$B$4001,$A142,Responses!$K$2:$K$4001,"Medium"),2)</f>
        <v>10.99</v>
      </c>
      <c r="O142" s="3" t="n">
        <f aca="false">COUNTIFS(Responses!$B$2:$B$4001,$A142,Responses!$K$2:$K$4001,"Low",Responses!$I$2:$I$4001,"Correct")</f>
        <v>6</v>
      </c>
      <c r="P142" s="3" t="n">
        <f aca="false">COUNTIFS(Responses!$B$2:$B$4001,$A142,Responses!$K$2:$K$4001,"Low",Responses!$I$2:$I$4001,"Wrong")</f>
        <v>3</v>
      </c>
      <c r="Q142" s="2" t="n">
        <f aca="false">ROUND(SUMIFS(Responses!$J$2:$J$4001,Responses!$B$2:$B$4001,$A142,Responses!$K$2:$K$4001,"Low"),2)</f>
        <v>12.44</v>
      </c>
      <c r="R142" s="2" t="n">
        <f aca="false">ROUND(SUMIFS(Responses!$AB$2:$AB$4001,Responses!$B$2:$B$4001,$A142),2)</f>
        <v>18.59</v>
      </c>
      <c r="S142" s="0" t="str">
        <f aca="false">IF(R142&gt;='Reward Model'!$B$8,"Gold",IF(R142&gt;='Reward Model'!$B$9,"Silver","Bronze"))</f>
        <v>Bronze</v>
      </c>
      <c r="T142" s="2" t="n">
        <f aca="false">ROUND(R142/'Reward Model'!$B$7*100,2)</f>
        <v>45.34</v>
      </c>
    </row>
    <row r="143" customFormat="false" ht="15" hidden="false" customHeight="false" outlineLevel="0" collapsed="false">
      <c r="A143" s="0" t="s">
        <v>415</v>
      </c>
      <c r="B143" s="0" t="s">
        <v>322</v>
      </c>
      <c r="C143" s="0" t="s">
        <v>189</v>
      </c>
      <c r="D143" s="0" t="n">
        <f aca="false">F143</f>
        <v>20</v>
      </c>
      <c r="E143" s="2" t="n">
        <f aca="false">ROUND(K143+N143+Q143,2)</f>
        <v>31.85</v>
      </c>
      <c r="F143" s="3" t="n">
        <f aca="false">COUNTIFS(Responses!$B$2:$B$4001,$A143)</f>
        <v>20</v>
      </c>
      <c r="G143" s="3" t="n">
        <f aca="false">I143+L143+O143</f>
        <v>14</v>
      </c>
      <c r="H143" s="3" t="n">
        <f aca="false">J143+M143+P143</f>
        <v>6</v>
      </c>
      <c r="I143" s="3" t="n">
        <f aca="false">COUNTIFS(Responses!$B$2:$B$4001,$A143,Responses!$K$2:$K$4001,"High",Responses!$I$2:$I$4001,"Correct")</f>
        <v>2</v>
      </c>
      <c r="J143" s="3" t="n">
        <f aca="false">COUNTIFS(Responses!$B$2:$B$4001,$A143,Responses!$K$2:$K$4001,"High",Responses!$I$2:$I$4001,"Wrong")</f>
        <v>3</v>
      </c>
      <c r="K143" s="2" t="n">
        <f aca="false">ROUND(SUMIFS(Responses!$J$2:$J$4001,Responses!$B$2:$B$4001,$A143,Responses!$K$2:$K$4001,"High"),2)</f>
        <v>8.73</v>
      </c>
      <c r="L143" s="3" t="n">
        <f aca="false">COUNTIFS(Responses!$B$2:$B$4001,$A143,Responses!$K$2:$K$4001,"Medium",Responses!$I$2:$I$4001,"Correct")</f>
        <v>4</v>
      </c>
      <c r="M143" s="3" t="n">
        <f aca="false">COUNTIFS(Responses!$B$2:$B$4001,$A143,Responses!$K$2:$K$4001,"Medium",Responses!$I$2:$I$4001,"Wrong")</f>
        <v>2</v>
      </c>
      <c r="N143" s="2" t="n">
        <f aca="false">ROUND(SUMIFS(Responses!$J$2:$J$4001,Responses!$B$2:$B$4001,$A143,Responses!$K$2:$K$4001,"Medium"),2)</f>
        <v>9.67</v>
      </c>
      <c r="O143" s="3" t="n">
        <f aca="false">COUNTIFS(Responses!$B$2:$B$4001,$A143,Responses!$K$2:$K$4001,"Low",Responses!$I$2:$I$4001,"Correct")</f>
        <v>8</v>
      </c>
      <c r="P143" s="3" t="n">
        <f aca="false">COUNTIFS(Responses!$B$2:$B$4001,$A143,Responses!$K$2:$K$4001,"Low",Responses!$I$2:$I$4001,"Wrong")</f>
        <v>1</v>
      </c>
      <c r="Q143" s="2" t="n">
        <f aca="false">ROUND(SUMIFS(Responses!$J$2:$J$4001,Responses!$B$2:$B$4001,$A143,Responses!$K$2:$K$4001,"Low"),2)</f>
        <v>13.45</v>
      </c>
      <c r="R143" s="2" t="n">
        <f aca="false">ROUND(SUMIFS(Responses!$AB$2:$AB$4001,Responses!$B$2:$B$4001,$A143),2)</f>
        <v>25.3</v>
      </c>
      <c r="S143" s="0" t="str">
        <f aca="false">IF(R143&gt;='Reward Model'!$B$8,"Gold",IF(R143&gt;='Reward Model'!$B$9,"Silver","Bronze"))</f>
        <v>Silver</v>
      </c>
      <c r="T143" s="2" t="n">
        <f aca="false">ROUND(R143/'Reward Model'!$B$7*100,2)</f>
        <v>61.71</v>
      </c>
    </row>
    <row r="144" customFormat="false" ht="15" hidden="false" customHeight="false" outlineLevel="0" collapsed="false">
      <c r="A144" s="0" t="s">
        <v>417</v>
      </c>
      <c r="B144" s="0" t="s">
        <v>322</v>
      </c>
      <c r="C144" s="0" t="s">
        <v>189</v>
      </c>
      <c r="D144" s="0" t="n">
        <f aca="false">F144</f>
        <v>20</v>
      </c>
      <c r="E144" s="2" t="n">
        <f aca="false">ROUND(K144+N144+Q144,2)</f>
        <v>32.68</v>
      </c>
      <c r="F144" s="3" t="n">
        <f aca="false">COUNTIFS(Responses!$B$2:$B$4001,$A144)</f>
        <v>20</v>
      </c>
      <c r="G144" s="3" t="n">
        <f aca="false">I144+L144+O144</f>
        <v>16</v>
      </c>
      <c r="H144" s="3" t="n">
        <f aca="false">J144+M144+P144</f>
        <v>4</v>
      </c>
      <c r="I144" s="3" t="n">
        <f aca="false">COUNTIFS(Responses!$B$2:$B$4001,$A144,Responses!$K$2:$K$4001,"High",Responses!$I$2:$I$4001,"Correct")</f>
        <v>4</v>
      </c>
      <c r="J144" s="3" t="n">
        <f aca="false">COUNTIFS(Responses!$B$2:$B$4001,$A144,Responses!$K$2:$K$4001,"High",Responses!$I$2:$I$4001,"Wrong")</f>
        <v>1</v>
      </c>
      <c r="K144" s="2" t="n">
        <f aca="false">ROUND(SUMIFS(Responses!$J$2:$J$4001,Responses!$B$2:$B$4001,$A144,Responses!$K$2:$K$4001,"High"),2)</f>
        <v>10.51</v>
      </c>
      <c r="L144" s="3" t="n">
        <f aca="false">COUNTIFS(Responses!$B$2:$B$4001,$A144,Responses!$K$2:$K$4001,"Medium",Responses!$I$2:$I$4001,"Correct")</f>
        <v>4</v>
      </c>
      <c r="M144" s="3" t="n">
        <f aca="false">COUNTIFS(Responses!$B$2:$B$4001,$A144,Responses!$K$2:$K$4001,"Medium",Responses!$I$2:$I$4001,"Wrong")</f>
        <v>2</v>
      </c>
      <c r="N144" s="2" t="n">
        <f aca="false">ROUND(SUMIFS(Responses!$J$2:$J$4001,Responses!$B$2:$B$4001,$A144,Responses!$K$2:$K$4001,"Medium"),2)</f>
        <v>9.57</v>
      </c>
      <c r="O144" s="3" t="n">
        <f aca="false">COUNTIFS(Responses!$B$2:$B$4001,$A144,Responses!$K$2:$K$4001,"Low",Responses!$I$2:$I$4001,"Correct")</f>
        <v>8</v>
      </c>
      <c r="P144" s="3" t="n">
        <f aca="false">COUNTIFS(Responses!$B$2:$B$4001,$A144,Responses!$K$2:$K$4001,"Low",Responses!$I$2:$I$4001,"Wrong")</f>
        <v>1</v>
      </c>
      <c r="Q144" s="2" t="n">
        <f aca="false">ROUND(SUMIFS(Responses!$J$2:$J$4001,Responses!$B$2:$B$4001,$A144,Responses!$K$2:$K$4001,"Low"),2)</f>
        <v>12.6</v>
      </c>
      <c r="R144" s="2" t="n">
        <f aca="false">ROUND(SUMIFS(Responses!$AB$2:$AB$4001,Responses!$B$2:$B$4001,$A144),2)</f>
        <v>30.58</v>
      </c>
      <c r="S144" s="0" t="str">
        <f aca="false">IF(R144&gt;='Reward Model'!$B$8,"Gold",IF(R144&gt;='Reward Model'!$B$9,"Silver","Bronze"))</f>
        <v>Gold</v>
      </c>
      <c r="T144" s="2" t="n">
        <f aca="false">ROUND(R144/'Reward Model'!$B$7*100,2)</f>
        <v>74.59</v>
      </c>
    </row>
    <row r="145" customFormat="false" ht="15" hidden="false" customHeight="false" outlineLevel="0" collapsed="false">
      <c r="A145" s="0" t="s">
        <v>419</v>
      </c>
      <c r="B145" s="0" t="s">
        <v>322</v>
      </c>
      <c r="C145" s="0" t="s">
        <v>189</v>
      </c>
      <c r="D145" s="0" t="n">
        <f aca="false">F145</f>
        <v>20</v>
      </c>
      <c r="E145" s="2" t="n">
        <f aca="false">ROUND(K145+N145+Q145,2)</f>
        <v>35.13</v>
      </c>
      <c r="F145" s="3" t="n">
        <f aca="false">COUNTIFS(Responses!$B$2:$B$4001,$A145)</f>
        <v>20</v>
      </c>
      <c r="G145" s="3" t="n">
        <f aca="false">I145+L145+O145</f>
        <v>16</v>
      </c>
      <c r="H145" s="3" t="n">
        <f aca="false">J145+M145+P145</f>
        <v>4</v>
      </c>
      <c r="I145" s="3" t="n">
        <f aca="false">COUNTIFS(Responses!$B$2:$B$4001,$A145,Responses!$K$2:$K$4001,"High",Responses!$I$2:$I$4001,"Correct")</f>
        <v>4</v>
      </c>
      <c r="J145" s="3" t="n">
        <f aca="false">COUNTIFS(Responses!$B$2:$B$4001,$A145,Responses!$K$2:$K$4001,"High",Responses!$I$2:$I$4001,"Wrong")</f>
        <v>1</v>
      </c>
      <c r="K145" s="2" t="n">
        <f aca="false">ROUND(SUMIFS(Responses!$J$2:$J$4001,Responses!$B$2:$B$4001,$A145,Responses!$K$2:$K$4001,"High"),2)</f>
        <v>10.8</v>
      </c>
      <c r="L145" s="3" t="n">
        <f aca="false">COUNTIFS(Responses!$B$2:$B$4001,$A145,Responses!$K$2:$K$4001,"Medium",Responses!$I$2:$I$4001,"Correct")</f>
        <v>4</v>
      </c>
      <c r="M145" s="3" t="n">
        <f aca="false">COUNTIFS(Responses!$B$2:$B$4001,$A145,Responses!$K$2:$K$4001,"Medium",Responses!$I$2:$I$4001,"Wrong")</f>
        <v>2</v>
      </c>
      <c r="N145" s="2" t="n">
        <f aca="false">ROUND(SUMIFS(Responses!$J$2:$J$4001,Responses!$B$2:$B$4001,$A145,Responses!$K$2:$K$4001,"Medium"),2)</f>
        <v>10.76</v>
      </c>
      <c r="O145" s="3" t="n">
        <f aca="false">COUNTIFS(Responses!$B$2:$B$4001,$A145,Responses!$K$2:$K$4001,"Low",Responses!$I$2:$I$4001,"Correct")</f>
        <v>8</v>
      </c>
      <c r="P145" s="3" t="n">
        <f aca="false">COUNTIFS(Responses!$B$2:$B$4001,$A145,Responses!$K$2:$K$4001,"Low",Responses!$I$2:$I$4001,"Wrong")</f>
        <v>1</v>
      </c>
      <c r="Q145" s="2" t="n">
        <f aca="false">ROUND(SUMIFS(Responses!$J$2:$J$4001,Responses!$B$2:$B$4001,$A145,Responses!$K$2:$K$4001,"Low"),2)</f>
        <v>13.57</v>
      </c>
      <c r="R145" s="2" t="n">
        <f aca="false">ROUND(SUMIFS(Responses!$AB$2:$AB$4001,Responses!$B$2:$B$4001,$A145),2)</f>
        <v>29.41</v>
      </c>
      <c r="S145" s="0" t="str">
        <f aca="false">IF(R145&gt;='Reward Model'!$B$8,"Gold",IF(R145&gt;='Reward Model'!$B$9,"Silver","Bronze"))</f>
        <v>Gold</v>
      </c>
      <c r="T145" s="2" t="n">
        <f aca="false">ROUND(R145/'Reward Model'!$B$7*100,2)</f>
        <v>71.73</v>
      </c>
    </row>
    <row r="146" customFormat="false" ht="15" hidden="false" customHeight="false" outlineLevel="0" collapsed="false">
      <c r="A146" s="0" t="s">
        <v>421</v>
      </c>
      <c r="B146" s="0" t="s">
        <v>322</v>
      </c>
      <c r="C146" s="0" t="s">
        <v>189</v>
      </c>
      <c r="D146" s="0" t="n">
        <f aca="false">F146</f>
        <v>20</v>
      </c>
      <c r="E146" s="2" t="n">
        <f aca="false">ROUND(K146+N146+Q146,2)</f>
        <v>33.05</v>
      </c>
      <c r="F146" s="3" t="n">
        <f aca="false">COUNTIFS(Responses!$B$2:$B$4001,$A146)</f>
        <v>20</v>
      </c>
      <c r="G146" s="3" t="n">
        <f aca="false">I146+L146+O146</f>
        <v>13</v>
      </c>
      <c r="H146" s="3" t="n">
        <f aca="false">J146+M146+P146</f>
        <v>7</v>
      </c>
      <c r="I146" s="3" t="n">
        <f aca="false">COUNTIFS(Responses!$B$2:$B$4001,$A146,Responses!$K$2:$K$4001,"High",Responses!$I$2:$I$4001,"Correct")</f>
        <v>2</v>
      </c>
      <c r="J146" s="3" t="n">
        <f aca="false">COUNTIFS(Responses!$B$2:$B$4001,$A146,Responses!$K$2:$K$4001,"High",Responses!$I$2:$I$4001,"Wrong")</f>
        <v>3</v>
      </c>
      <c r="K146" s="2" t="n">
        <f aca="false">ROUND(SUMIFS(Responses!$J$2:$J$4001,Responses!$B$2:$B$4001,$A146,Responses!$K$2:$K$4001,"High"),2)</f>
        <v>10.36</v>
      </c>
      <c r="L146" s="3" t="n">
        <f aca="false">COUNTIFS(Responses!$B$2:$B$4001,$A146,Responses!$K$2:$K$4001,"Medium",Responses!$I$2:$I$4001,"Correct")</f>
        <v>3</v>
      </c>
      <c r="M146" s="3" t="n">
        <f aca="false">COUNTIFS(Responses!$B$2:$B$4001,$A146,Responses!$K$2:$K$4001,"Medium",Responses!$I$2:$I$4001,"Wrong")</f>
        <v>3</v>
      </c>
      <c r="N146" s="2" t="n">
        <f aca="false">ROUND(SUMIFS(Responses!$J$2:$J$4001,Responses!$B$2:$B$4001,$A146,Responses!$K$2:$K$4001,"Medium"),2)</f>
        <v>10.93</v>
      </c>
      <c r="O146" s="3" t="n">
        <f aca="false">COUNTIFS(Responses!$B$2:$B$4001,$A146,Responses!$K$2:$K$4001,"Low",Responses!$I$2:$I$4001,"Correct")</f>
        <v>8</v>
      </c>
      <c r="P146" s="3" t="n">
        <f aca="false">COUNTIFS(Responses!$B$2:$B$4001,$A146,Responses!$K$2:$K$4001,"Low",Responses!$I$2:$I$4001,"Wrong")</f>
        <v>1</v>
      </c>
      <c r="Q146" s="2" t="n">
        <f aca="false">ROUND(SUMIFS(Responses!$J$2:$J$4001,Responses!$B$2:$B$4001,$A146,Responses!$K$2:$K$4001,"Low"),2)</f>
        <v>11.76</v>
      </c>
      <c r="R146" s="2" t="n">
        <f aca="false">ROUND(SUMIFS(Responses!$AB$2:$AB$4001,Responses!$B$2:$B$4001,$A146),2)</f>
        <v>22.83</v>
      </c>
      <c r="S146" s="0" t="str">
        <f aca="false">IF(R146&gt;='Reward Model'!$B$8,"Gold",IF(R146&gt;='Reward Model'!$B$9,"Silver","Bronze"))</f>
        <v>Silver</v>
      </c>
      <c r="T146" s="2" t="n">
        <f aca="false">ROUND(R146/'Reward Model'!$B$7*100,2)</f>
        <v>55.68</v>
      </c>
    </row>
    <row r="147" customFormat="false" ht="15" hidden="false" customHeight="false" outlineLevel="0" collapsed="false">
      <c r="A147" s="0" t="s">
        <v>423</v>
      </c>
      <c r="B147" s="0" t="s">
        <v>322</v>
      </c>
      <c r="C147" s="0" t="s">
        <v>189</v>
      </c>
      <c r="D147" s="0" t="n">
        <f aca="false">F147</f>
        <v>20</v>
      </c>
      <c r="E147" s="2" t="n">
        <f aca="false">ROUND(K147+N147+Q147,2)</f>
        <v>30.96</v>
      </c>
      <c r="F147" s="3" t="n">
        <f aca="false">COUNTIFS(Responses!$B$2:$B$4001,$A147)</f>
        <v>20</v>
      </c>
      <c r="G147" s="3" t="n">
        <f aca="false">I147+L147+O147</f>
        <v>9</v>
      </c>
      <c r="H147" s="3" t="n">
        <f aca="false">J147+M147+P147</f>
        <v>11</v>
      </c>
      <c r="I147" s="3" t="n">
        <f aca="false">COUNTIFS(Responses!$B$2:$B$4001,$A147,Responses!$K$2:$K$4001,"High",Responses!$I$2:$I$4001,"Correct")</f>
        <v>3</v>
      </c>
      <c r="J147" s="3" t="n">
        <f aca="false">COUNTIFS(Responses!$B$2:$B$4001,$A147,Responses!$K$2:$K$4001,"High",Responses!$I$2:$I$4001,"Wrong")</f>
        <v>2</v>
      </c>
      <c r="K147" s="2" t="n">
        <f aca="false">ROUND(SUMIFS(Responses!$J$2:$J$4001,Responses!$B$2:$B$4001,$A147,Responses!$K$2:$K$4001,"High"),2)</f>
        <v>7.05</v>
      </c>
      <c r="L147" s="3" t="n">
        <f aca="false">COUNTIFS(Responses!$B$2:$B$4001,$A147,Responses!$K$2:$K$4001,"Medium",Responses!$I$2:$I$4001,"Correct")</f>
        <v>2</v>
      </c>
      <c r="M147" s="3" t="n">
        <f aca="false">COUNTIFS(Responses!$B$2:$B$4001,$A147,Responses!$K$2:$K$4001,"Medium",Responses!$I$2:$I$4001,"Wrong")</f>
        <v>4</v>
      </c>
      <c r="N147" s="2" t="n">
        <f aca="false">ROUND(SUMIFS(Responses!$J$2:$J$4001,Responses!$B$2:$B$4001,$A147,Responses!$K$2:$K$4001,"Medium"),2)</f>
        <v>10.42</v>
      </c>
      <c r="O147" s="3" t="n">
        <f aca="false">COUNTIFS(Responses!$B$2:$B$4001,$A147,Responses!$K$2:$K$4001,"Low",Responses!$I$2:$I$4001,"Correct")</f>
        <v>4</v>
      </c>
      <c r="P147" s="3" t="n">
        <f aca="false">COUNTIFS(Responses!$B$2:$B$4001,$A147,Responses!$K$2:$K$4001,"Low",Responses!$I$2:$I$4001,"Wrong")</f>
        <v>5</v>
      </c>
      <c r="Q147" s="2" t="n">
        <f aca="false">ROUND(SUMIFS(Responses!$J$2:$J$4001,Responses!$B$2:$B$4001,$A147,Responses!$K$2:$K$4001,"Low"),2)</f>
        <v>13.49</v>
      </c>
      <c r="R147" s="2" t="n">
        <f aca="false">ROUND(SUMIFS(Responses!$AB$2:$AB$4001,Responses!$B$2:$B$4001,$A147),2)</f>
        <v>18.2</v>
      </c>
      <c r="S147" s="0" t="str">
        <f aca="false">IF(R147&gt;='Reward Model'!$B$8,"Gold",IF(R147&gt;='Reward Model'!$B$9,"Silver","Bronze"))</f>
        <v>Bronze</v>
      </c>
      <c r="T147" s="2" t="n">
        <f aca="false">ROUND(R147/'Reward Model'!$B$7*100,2)</f>
        <v>44.39</v>
      </c>
    </row>
    <row r="148" customFormat="false" ht="15" hidden="false" customHeight="false" outlineLevel="0" collapsed="false">
      <c r="A148" s="0" t="s">
        <v>425</v>
      </c>
      <c r="B148" s="0" t="s">
        <v>322</v>
      </c>
      <c r="C148" s="0" t="s">
        <v>189</v>
      </c>
      <c r="D148" s="0" t="n">
        <f aca="false">F148</f>
        <v>20</v>
      </c>
      <c r="E148" s="2" t="n">
        <f aca="false">ROUND(K148+N148+Q148,2)</f>
        <v>30.69</v>
      </c>
      <c r="F148" s="3" t="n">
        <f aca="false">COUNTIFS(Responses!$B$2:$B$4001,$A148)</f>
        <v>20</v>
      </c>
      <c r="G148" s="3" t="n">
        <f aca="false">I148+L148+O148</f>
        <v>14</v>
      </c>
      <c r="H148" s="3" t="n">
        <f aca="false">J148+M148+P148</f>
        <v>6</v>
      </c>
      <c r="I148" s="3" t="n">
        <f aca="false">COUNTIFS(Responses!$B$2:$B$4001,$A148,Responses!$K$2:$K$4001,"High",Responses!$I$2:$I$4001,"Correct")</f>
        <v>1</v>
      </c>
      <c r="J148" s="3" t="n">
        <f aca="false">COUNTIFS(Responses!$B$2:$B$4001,$A148,Responses!$K$2:$K$4001,"High",Responses!$I$2:$I$4001,"Wrong")</f>
        <v>4</v>
      </c>
      <c r="K148" s="2" t="n">
        <f aca="false">ROUND(SUMIFS(Responses!$J$2:$J$4001,Responses!$B$2:$B$4001,$A148,Responses!$K$2:$K$4001,"High"),2)</f>
        <v>7.32</v>
      </c>
      <c r="L148" s="3" t="n">
        <f aca="false">COUNTIFS(Responses!$B$2:$B$4001,$A148,Responses!$K$2:$K$4001,"Medium",Responses!$I$2:$I$4001,"Correct")</f>
        <v>5</v>
      </c>
      <c r="M148" s="3" t="n">
        <f aca="false">COUNTIFS(Responses!$B$2:$B$4001,$A148,Responses!$K$2:$K$4001,"Medium",Responses!$I$2:$I$4001,"Wrong")</f>
        <v>1</v>
      </c>
      <c r="N148" s="2" t="n">
        <f aca="false">ROUND(SUMIFS(Responses!$J$2:$J$4001,Responses!$B$2:$B$4001,$A148,Responses!$K$2:$K$4001,"Medium"),2)</f>
        <v>10.2</v>
      </c>
      <c r="O148" s="3" t="n">
        <f aca="false">COUNTIFS(Responses!$B$2:$B$4001,$A148,Responses!$K$2:$K$4001,"Low",Responses!$I$2:$I$4001,"Correct")</f>
        <v>8</v>
      </c>
      <c r="P148" s="3" t="n">
        <f aca="false">COUNTIFS(Responses!$B$2:$B$4001,$A148,Responses!$K$2:$K$4001,"Low",Responses!$I$2:$I$4001,"Wrong")</f>
        <v>1</v>
      </c>
      <c r="Q148" s="2" t="n">
        <f aca="false">ROUND(SUMIFS(Responses!$J$2:$J$4001,Responses!$B$2:$B$4001,$A148,Responses!$K$2:$K$4001,"Low"),2)</f>
        <v>13.17</v>
      </c>
      <c r="R148" s="2" t="n">
        <f aca="false">ROUND(SUMIFS(Responses!$AB$2:$AB$4001,Responses!$B$2:$B$4001,$A148),2)</f>
        <v>24.21</v>
      </c>
      <c r="S148" s="0" t="str">
        <f aca="false">IF(R148&gt;='Reward Model'!$B$8,"Gold",IF(R148&gt;='Reward Model'!$B$9,"Silver","Bronze"))</f>
        <v>Silver</v>
      </c>
      <c r="T148" s="2" t="n">
        <f aca="false">ROUND(R148/'Reward Model'!$B$7*100,2)</f>
        <v>59.05</v>
      </c>
    </row>
    <row r="149" customFormat="false" ht="15" hidden="false" customHeight="false" outlineLevel="0" collapsed="false">
      <c r="A149" s="0" t="s">
        <v>427</v>
      </c>
      <c r="B149" s="0" t="s">
        <v>322</v>
      </c>
      <c r="C149" s="0" t="s">
        <v>189</v>
      </c>
      <c r="D149" s="0" t="n">
        <f aca="false">F149</f>
        <v>20</v>
      </c>
      <c r="E149" s="2" t="n">
        <f aca="false">ROUND(K149+N149+Q149,2)</f>
        <v>36.05</v>
      </c>
      <c r="F149" s="3" t="n">
        <f aca="false">COUNTIFS(Responses!$B$2:$B$4001,$A149)</f>
        <v>20</v>
      </c>
      <c r="G149" s="3" t="n">
        <f aca="false">I149+L149+O149</f>
        <v>13</v>
      </c>
      <c r="H149" s="3" t="n">
        <f aca="false">J149+M149+P149</f>
        <v>7</v>
      </c>
      <c r="I149" s="3" t="n">
        <f aca="false">COUNTIFS(Responses!$B$2:$B$4001,$A149,Responses!$K$2:$K$4001,"High",Responses!$I$2:$I$4001,"Correct")</f>
        <v>2</v>
      </c>
      <c r="J149" s="3" t="n">
        <f aca="false">COUNTIFS(Responses!$B$2:$B$4001,$A149,Responses!$K$2:$K$4001,"High",Responses!$I$2:$I$4001,"Wrong")</f>
        <v>3</v>
      </c>
      <c r="K149" s="2" t="n">
        <f aca="false">ROUND(SUMIFS(Responses!$J$2:$J$4001,Responses!$B$2:$B$4001,$A149,Responses!$K$2:$K$4001,"High"),2)</f>
        <v>11</v>
      </c>
      <c r="L149" s="3" t="n">
        <f aca="false">COUNTIFS(Responses!$B$2:$B$4001,$A149,Responses!$K$2:$K$4001,"Medium",Responses!$I$2:$I$4001,"Correct")</f>
        <v>4</v>
      </c>
      <c r="M149" s="3" t="n">
        <f aca="false">COUNTIFS(Responses!$B$2:$B$4001,$A149,Responses!$K$2:$K$4001,"Medium",Responses!$I$2:$I$4001,"Wrong")</f>
        <v>2</v>
      </c>
      <c r="N149" s="2" t="n">
        <f aca="false">ROUND(SUMIFS(Responses!$J$2:$J$4001,Responses!$B$2:$B$4001,$A149,Responses!$K$2:$K$4001,"Medium"),2)</f>
        <v>10.78</v>
      </c>
      <c r="O149" s="3" t="n">
        <f aca="false">COUNTIFS(Responses!$B$2:$B$4001,$A149,Responses!$K$2:$K$4001,"Low",Responses!$I$2:$I$4001,"Correct")</f>
        <v>7</v>
      </c>
      <c r="P149" s="3" t="n">
        <f aca="false">COUNTIFS(Responses!$B$2:$B$4001,$A149,Responses!$K$2:$K$4001,"Low",Responses!$I$2:$I$4001,"Wrong")</f>
        <v>2</v>
      </c>
      <c r="Q149" s="2" t="n">
        <f aca="false">ROUND(SUMIFS(Responses!$J$2:$J$4001,Responses!$B$2:$B$4001,$A149,Responses!$K$2:$K$4001,"Low"),2)</f>
        <v>14.27</v>
      </c>
      <c r="R149" s="2" t="n">
        <f aca="false">ROUND(SUMIFS(Responses!$AB$2:$AB$4001,Responses!$B$2:$B$4001,$A149),2)</f>
        <v>22.34</v>
      </c>
      <c r="S149" s="0" t="str">
        <f aca="false">IF(R149&gt;='Reward Model'!$B$8,"Gold",IF(R149&gt;='Reward Model'!$B$9,"Silver","Bronze"))</f>
        <v>Silver</v>
      </c>
      <c r="T149" s="2" t="n">
        <f aca="false">ROUND(R149/'Reward Model'!$B$7*100,2)</f>
        <v>54.49</v>
      </c>
    </row>
    <row r="150" customFormat="false" ht="15" hidden="false" customHeight="false" outlineLevel="0" collapsed="false">
      <c r="A150" s="0" t="s">
        <v>429</v>
      </c>
      <c r="B150" s="0" t="s">
        <v>322</v>
      </c>
      <c r="C150" s="0" t="s">
        <v>189</v>
      </c>
      <c r="D150" s="0" t="n">
        <f aca="false">F150</f>
        <v>20</v>
      </c>
      <c r="E150" s="2" t="n">
        <f aca="false">ROUND(K150+N150+Q150,2)</f>
        <v>31.71</v>
      </c>
      <c r="F150" s="3" t="n">
        <f aca="false">COUNTIFS(Responses!$B$2:$B$4001,$A150)</f>
        <v>20</v>
      </c>
      <c r="G150" s="3" t="n">
        <f aca="false">I150+L150+O150</f>
        <v>16</v>
      </c>
      <c r="H150" s="3" t="n">
        <f aca="false">J150+M150+P150</f>
        <v>4</v>
      </c>
      <c r="I150" s="3" t="n">
        <f aca="false">COUNTIFS(Responses!$B$2:$B$4001,$A150,Responses!$K$2:$K$4001,"High",Responses!$I$2:$I$4001,"Correct")</f>
        <v>4</v>
      </c>
      <c r="J150" s="3" t="n">
        <f aca="false">COUNTIFS(Responses!$B$2:$B$4001,$A150,Responses!$K$2:$K$4001,"High",Responses!$I$2:$I$4001,"Wrong")</f>
        <v>1</v>
      </c>
      <c r="K150" s="2" t="n">
        <f aca="false">ROUND(SUMIFS(Responses!$J$2:$J$4001,Responses!$B$2:$B$4001,$A150,Responses!$K$2:$K$4001,"High"),2)</f>
        <v>9.39</v>
      </c>
      <c r="L150" s="3" t="n">
        <f aca="false">COUNTIFS(Responses!$B$2:$B$4001,$A150,Responses!$K$2:$K$4001,"Medium",Responses!$I$2:$I$4001,"Correct")</f>
        <v>4</v>
      </c>
      <c r="M150" s="3" t="n">
        <f aca="false">COUNTIFS(Responses!$B$2:$B$4001,$A150,Responses!$K$2:$K$4001,"Medium",Responses!$I$2:$I$4001,"Wrong")</f>
        <v>2</v>
      </c>
      <c r="N150" s="2" t="n">
        <f aca="false">ROUND(SUMIFS(Responses!$J$2:$J$4001,Responses!$B$2:$B$4001,$A150,Responses!$K$2:$K$4001,"Medium"),2)</f>
        <v>9.25</v>
      </c>
      <c r="O150" s="3" t="n">
        <f aca="false">COUNTIFS(Responses!$B$2:$B$4001,$A150,Responses!$K$2:$K$4001,"Low",Responses!$I$2:$I$4001,"Correct")</f>
        <v>8</v>
      </c>
      <c r="P150" s="3" t="n">
        <f aca="false">COUNTIFS(Responses!$B$2:$B$4001,$A150,Responses!$K$2:$K$4001,"Low",Responses!$I$2:$I$4001,"Wrong")</f>
        <v>1</v>
      </c>
      <c r="Q150" s="2" t="n">
        <f aca="false">ROUND(SUMIFS(Responses!$J$2:$J$4001,Responses!$B$2:$B$4001,$A150,Responses!$K$2:$K$4001,"Low"),2)</f>
        <v>13.07</v>
      </c>
      <c r="R150" s="2" t="n">
        <f aca="false">ROUND(SUMIFS(Responses!$AB$2:$AB$4001,Responses!$B$2:$B$4001,$A150),2)</f>
        <v>31.98</v>
      </c>
      <c r="S150" s="0" t="str">
        <f aca="false">IF(R150&gt;='Reward Model'!$B$8,"Gold",IF(R150&gt;='Reward Model'!$B$9,"Silver","Bronze"))</f>
        <v>Gold</v>
      </c>
      <c r="T150" s="2" t="n">
        <f aca="false">ROUND(R150/'Reward Model'!$B$7*100,2)</f>
        <v>78</v>
      </c>
    </row>
    <row r="151" customFormat="false" ht="15" hidden="false" customHeight="false" outlineLevel="0" collapsed="false">
      <c r="A151" s="0" t="s">
        <v>431</v>
      </c>
      <c r="B151" s="0" t="s">
        <v>322</v>
      </c>
      <c r="C151" s="0" t="s">
        <v>189</v>
      </c>
      <c r="D151" s="0" t="n">
        <f aca="false">F151</f>
        <v>20</v>
      </c>
      <c r="E151" s="2" t="n">
        <f aca="false">ROUND(K151+N151+Q151,2)</f>
        <v>33.15</v>
      </c>
      <c r="F151" s="3" t="n">
        <f aca="false">COUNTIFS(Responses!$B$2:$B$4001,$A151)</f>
        <v>20</v>
      </c>
      <c r="G151" s="3" t="n">
        <f aca="false">I151+L151+O151</f>
        <v>16</v>
      </c>
      <c r="H151" s="3" t="n">
        <f aca="false">J151+M151+P151</f>
        <v>4</v>
      </c>
      <c r="I151" s="3" t="n">
        <f aca="false">COUNTIFS(Responses!$B$2:$B$4001,$A151,Responses!$K$2:$K$4001,"High",Responses!$I$2:$I$4001,"Correct")</f>
        <v>3</v>
      </c>
      <c r="J151" s="3" t="n">
        <f aca="false">COUNTIFS(Responses!$B$2:$B$4001,$A151,Responses!$K$2:$K$4001,"High",Responses!$I$2:$I$4001,"Wrong")</f>
        <v>2</v>
      </c>
      <c r="K151" s="2" t="n">
        <f aca="false">ROUND(SUMIFS(Responses!$J$2:$J$4001,Responses!$B$2:$B$4001,$A151,Responses!$K$2:$K$4001,"High"),2)</f>
        <v>10.07</v>
      </c>
      <c r="L151" s="3" t="n">
        <f aca="false">COUNTIFS(Responses!$B$2:$B$4001,$A151,Responses!$K$2:$K$4001,"Medium",Responses!$I$2:$I$4001,"Correct")</f>
        <v>5</v>
      </c>
      <c r="M151" s="3" t="n">
        <f aca="false">COUNTIFS(Responses!$B$2:$B$4001,$A151,Responses!$K$2:$K$4001,"Medium",Responses!$I$2:$I$4001,"Wrong")</f>
        <v>1</v>
      </c>
      <c r="N151" s="2" t="n">
        <f aca="false">ROUND(SUMIFS(Responses!$J$2:$J$4001,Responses!$B$2:$B$4001,$A151,Responses!$K$2:$K$4001,"Medium"),2)</f>
        <v>10.73</v>
      </c>
      <c r="O151" s="3" t="n">
        <f aca="false">COUNTIFS(Responses!$B$2:$B$4001,$A151,Responses!$K$2:$K$4001,"Low",Responses!$I$2:$I$4001,"Correct")</f>
        <v>8</v>
      </c>
      <c r="P151" s="3" t="n">
        <f aca="false">COUNTIFS(Responses!$B$2:$B$4001,$A151,Responses!$K$2:$K$4001,"Low",Responses!$I$2:$I$4001,"Wrong")</f>
        <v>1</v>
      </c>
      <c r="Q151" s="2" t="n">
        <f aca="false">ROUND(SUMIFS(Responses!$J$2:$J$4001,Responses!$B$2:$B$4001,$A151,Responses!$K$2:$K$4001,"Low"),2)</f>
        <v>12.35</v>
      </c>
      <c r="R151" s="2" t="n">
        <f aca="false">ROUND(SUMIFS(Responses!$AB$2:$AB$4001,Responses!$B$2:$B$4001,$A151),2)</f>
        <v>29.19</v>
      </c>
      <c r="S151" s="0" t="str">
        <f aca="false">IF(R151&gt;='Reward Model'!$B$8,"Gold",IF(R151&gt;='Reward Model'!$B$9,"Silver","Bronze"))</f>
        <v>Gold</v>
      </c>
      <c r="T151" s="2" t="n">
        <f aca="false">ROUND(R151/'Reward Model'!$B$7*100,2)</f>
        <v>71.2</v>
      </c>
    </row>
    <row r="152" customFormat="false" ht="15" hidden="false" customHeight="false" outlineLevel="0" collapsed="false">
      <c r="A152" s="0" t="s">
        <v>433</v>
      </c>
      <c r="B152" s="0" t="s">
        <v>322</v>
      </c>
      <c r="C152" s="0" t="s">
        <v>189</v>
      </c>
      <c r="D152" s="0" t="n">
        <f aca="false">F152</f>
        <v>20</v>
      </c>
      <c r="E152" s="2" t="n">
        <f aca="false">ROUND(K152+N152+Q152,2)</f>
        <v>33.55</v>
      </c>
      <c r="F152" s="3" t="n">
        <f aca="false">COUNTIFS(Responses!$B$2:$B$4001,$A152)</f>
        <v>20</v>
      </c>
      <c r="G152" s="3" t="n">
        <f aca="false">I152+L152+O152</f>
        <v>14</v>
      </c>
      <c r="H152" s="3" t="n">
        <f aca="false">J152+M152+P152</f>
        <v>6</v>
      </c>
      <c r="I152" s="3" t="n">
        <f aca="false">COUNTIFS(Responses!$B$2:$B$4001,$A152,Responses!$K$2:$K$4001,"High",Responses!$I$2:$I$4001,"Correct")</f>
        <v>2</v>
      </c>
      <c r="J152" s="3" t="n">
        <f aca="false">COUNTIFS(Responses!$B$2:$B$4001,$A152,Responses!$K$2:$K$4001,"High",Responses!$I$2:$I$4001,"Wrong")</f>
        <v>3</v>
      </c>
      <c r="K152" s="2" t="n">
        <f aca="false">ROUND(SUMIFS(Responses!$J$2:$J$4001,Responses!$B$2:$B$4001,$A152,Responses!$K$2:$K$4001,"High"),2)</f>
        <v>9.49</v>
      </c>
      <c r="L152" s="3" t="n">
        <f aca="false">COUNTIFS(Responses!$B$2:$B$4001,$A152,Responses!$K$2:$K$4001,"Medium",Responses!$I$2:$I$4001,"Correct")</f>
        <v>5</v>
      </c>
      <c r="M152" s="3" t="n">
        <f aca="false">COUNTIFS(Responses!$B$2:$B$4001,$A152,Responses!$K$2:$K$4001,"Medium",Responses!$I$2:$I$4001,"Wrong")</f>
        <v>1</v>
      </c>
      <c r="N152" s="2" t="n">
        <f aca="false">ROUND(SUMIFS(Responses!$J$2:$J$4001,Responses!$B$2:$B$4001,$A152,Responses!$K$2:$K$4001,"Medium"),2)</f>
        <v>10.9</v>
      </c>
      <c r="O152" s="3" t="n">
        <f aca="false">COUNTIFS(Responses!$B$2:$B$4001,$A152,Responses!$K$2:$K$4001,"Low",Responses!$I$2:$I$4001,"Correct")</f>
        <v>7</v>
      </c>
      <c r="P152" s="3" t="n">
        <f aca="false">COUNTIFS(Responses!$B$2:$B$4001,$A152,Responses!$K$2:$K$4001,"Low",Responses!$I$2:$I$4001,"Wrong")</f>
        <v>2</v>
      </c>
      <c r="Q152" s="2" t="n">
        <f aca="false">ROUND(SUMIFS(Responses!$J$2:$J$4001,Responses!$B$2:$B$4001,$A152,Responses!$K$2:$K$4001,"Low"),2)</f>
        <v>13.16</v>
      </c>
      <c r="R152" s="2" t="n">
        <f aca="false">ROUND(SUMIFS(Responses!$AB$2:$AB$4001,Responses!$B$2:$B$4001,$A152),2)</f>
        <v>25.11</v>
      </c>
      <c r="S152" s="0" t="str">
        <f aca="false">IF(R152&gt;='Reward Model'!$B$8,"Gold",IF(R152&gt;='Reward Model'!$B$9,"Silver","Bronze"))</f>
        <v>Silver</v>
      </c>
      <c r="T152" s="2" t="n">
        <f aca="false">ROUND(R152/'Reward Model'!$B$7*100,2)</f>
        <v>61.24</v>
      </c>
    </row>
    <row r="153" customFormat="false" ht="15" hidden="false" customHeight="false" outlineLevel="0" collapsed="false">
      <c r="A153" s="0" t="s">
        <v>435</v>
      </c>
      <c r="B153" s="0" t="s">
        <v>322</v>
      </c>
      <c r="C153" s="0" t="s">
        <v>189</v>
      </c>
      <c r="D153" s="0" t="n">
        <f aca="false">F153</f>
        <v>20</v>
      </c>
      <c r="E153" s="2" t="n">
        <f aca="false">ROUND(K153+N153+Q153,2)</f>
        <v>30.39</v>
      </c>
      <c r="F153" s="3" t="n">
        <f aca="false">COUNTIFS(Responses!$B$2:$B$4001,$A153)</f>
        <v>20</v>
      </c>
      <c r="G153" s="3" t="n">
        <f aca="false">I153+L153+O153</f>
        <v>9</v>
      </c>
      <c r="H153" s="3" t="n">
        <f aca="false">J153+M153+P153</f>
        <v>11</v>
      </c>
      <c r="I153" s="3" t="n">
        <f aca="false">COUNTIFS(Responses!$B$2:$B$4001,$A153,Responses!$K$2:$K$4001,"High",Responses!$I$2:$I$4001,"Correct")</f>
        <v>2</v>
      </c>
      <c r="J153" s="3" t="n">
        <f aca="false">COUNTIFS(Responses!$B$2:$B$4001,$A153,Responses!$K$2:$K$4001,"High",Responses!$I$2:$I$4001,"Wrong")</f>
        <v>3</v>
      </c>
      <c r="K153" s="2" t="n">
        <f aca="false">ROUND(SUMIFS(Responses!$J$2:$J$4001,Responses!$B$2:$B$4001,$A153,Responses!$K$2:$K$4001,"High"),2)</f>
        <v>8.36</v>
      </c>
      <c r="L153" s="3" t="n">
        <f aca="false">COUNTIFS(Responses!$B$2:$B$4001,$A153,Responses!$K$2:$K$4001,"Medium",Responses!$I$2:$I$4001,"Correct")</f>
        <v>1</v>
      </c>
      <c r="M153" s="3" t="n">
        <f aca="false">COUNTIFS(Responses!$B$2:$B$4001,$A153,Responses!$K$2:$K$4001,"Medium",Responses!$I$2:$I$4001,"Wrong")</f>
        <v>5</v>
      </c>
      <c r="N153" s="2" t="n">
        <f aca="false">ROUND(SUMIFS(Responses!$J$2:$J$4001,Responses!$B$2:$B$4001,$A153,Responses!$K$2:$K$4001,"Medium"),2)</f>
        <v>8.71</v>
      </c>
      <c r="O153" s="3" t="n">
        <f aca="false">COUNTIFS(Responses!$B$2:$B$4001,$A153,Responses!$K$2:$K$4001,"Low",Responses!$I$2:$I$4001,"Correct")</f>
        <v>6</v>
      </c>
      <c r="P153" s="3" t="n">
        <f aca="false">COUNTIFS(Responses!$B$2:$B$4001,$A153,Responses!$K$2:$K$4001,"Low",Responses!$I$2:$I$4001,"Wrong")</f>
        <v>3</v>
      </c>
      <c r="Q153" s="2" t="n">
        <f aca="false">ROUND(SUMIFS(Responses!$J$2:$J$4001,Responses!$B$2:$B$4001,$A153,Responses!$K$2:$K$4001,"Low"),2)</f>
        <v>13.32</v>
      </c>
      <c r="R153" s="2" t="n">
        <f aca="false">ROUND(SUMIFS(Responses!$AB$2:$AB$4001,Responses!$B$2:$B$4001,$A153),2)</f>
        <v>17.18</v>
      </c>
      <c r="S153" s="0" t="str">
        <f aca="false">IF(R153&gt;='Reward Model'!$B$8,"Gold",IF(R153&gt;='Reward Model'!$B$9,"Silver","Bronze"))</f>
        <v>Bronze</v>
      </c>
      <c r="T153" s="2" t="n">
        <f aca="false">ROUND(R153/'Reward Model'!$B$7*100,2)</f>
        <v>41.9</v>
      </c>
    </row>
    <row r="154" customFormat="false" ht="15" hidden="false" customHeight="false" outlineLevel="0" collapsed="false">
      <c r="A154" s="0" t="s">
        <v>437</v>
      </c>
      <c r="B154" s="0" t="s">
        <v>322</v>
      </c>
      <c r="C154" s="0" t="s">
        <v>189</v>
      </c>
      <c r="D154" s="0" t="n">
        <f aca="false">F154</f>
        <v>20</v>
      </c>
      <c r="E154" s="2" t="n">
        <f aca="false">ROUND(K154+N154+Q154,2)</f>
        <v>32.94</v>
      </c>
      <c r="F154" s="3" t="n">
        <f aca="false">COUNTIFS(Responses!$B$2:$B$4001,$A154)</f>
        <v>20</v>
      </c>
      <c r="G154" s="3" t="n">
        <f aca="false">I154+L154+O154</f>
        <v>14</v>
      </c>
      <c r="H154" s="3" t="n">
        <f aca="false">J154+M154+P154</f>
        <v>6</v>
      </c>
      <c r="I154" s="3" t="n">
        <f aca="false">COUNTIFS(Responses!$B$2:$B$4001,$A154,Responses!$K$2:$K$4001,"High",Responses!$I$2:$I$4001,"Correct")</f>
        <v>1</v>
      </c>
      <c r="J154" s="3" t="n">
        <f aca="false">COUNTIFS(Responses!$B$2:$B$4001,$A154,Responses!$K$2:$K$4001,"High",Responses!$I$2:$I$4001,"Wrong")</f>
        <v>4</v>
      </c>
      <c r="K154" s="2" t="n">
        <f aca="false">ROUND(SUMIFS(Responses!$J$2:$J$4001,Responses!$B$2:$B$4001,$A154,Responses!$K$2:$K$4001,"High"),2)</f>
        <v>10.03</v>
      </c>
      <c r="L154" s="3" t="n">
        <f aca="false">COUNTIFS(Responses!$B$2:$B$4001,$A154,Responses!$K$2:$K$4001,"Medium",Responses!$I$2:$I$4001,"Correct")</f>
        <v>5</v>
      </c>
      <c r="M154" s="3" t="n">
        <f aca="false">COUNTIFS(Responses!$B$2:$B$4001,$A154,Responses!$K$2:$K$4001,"Medium",Responses!$I$2:$I$4001,"Wrong")</f>
        <v>1</v>
      </c>
      <c r="N154" s="2" t="n">
        <f aca="false">ROUND(SUMIFS(Responses!$J$2:$J$4001,Responses!$B$2:$B$4001,$A154,Responses!$K$2:$K$4001,"Medium"),2)</f>
        <v>10.43</v>
      </c>
      <c r="O154" s="3" t="n">
        <f aca="false">COUNTIFS(Responses!$B$2:$B$4001,$A154,Responses!$K$2:$K$4001,"Low",Responses!$I$2:$I$4001,"Correct")</f>
        <v>8</v>
      </c>
      <c r="P154" s="3" t="n">
        <f aca="false">COUNTIFS(Responses!$B$2:$B$4001,$A154,Responses!$K$2:$K$4001,"Low",Responses!$I$2:$I$4001,"Wrong")</f>
        <v>1</v>
      </c>
      <c r="Q154" s="2" t="n">
        <f aca="false">ROUND(SUMIFS(Responses!$J$2:$J$4001,Responses!$B$2:$B$4001,$A154,Responses!$K$2:$K$4001,"Low"),2)</f>
        <v>12.48</v>
      </c>
      <c r="R154" s="2" t="n">
        <f aca="false">ROUND(SUMIFS(Responses!$AB$2:$AB$4001,Responses!$B$2:$B$4001,$A154),2)</f>
        <v>23.82</v>
      </c>
      <c r="S154" s="0" t="str">
        <f aca="false">IF(R154&gt;='Reward Model'!$B$8,"Gold",IF(R154&gt;='Reward Model'!$B$9,"Silver","Bronze"))</f>
        <v>Silver</v>
      </c>
      <c r="T154" s="2" t="n">
        <f aca="false">ROUND(R154/'Reward Model'!$B$7*100,2)</f>
        <v>58.1</v>
      </c>
    </row>
    <row r="155" customFormat="false" ht="15" hidden="false" customHeight="false" outlineLevel="0" collapsed="false">
      <c r="A155" s="0" t="s">
        <v>439</v>
      </c>
      <c r="B155" s="0" t="s">
        <v>322</v>
      </c>
      <c r="C155" s="0" t="s">
        <v>189</v>
      </c>
      <c r="D155" s="0" t="n">
        <f aca="false">F155</f>
        <v>20</v>
      </c>
      <c r="E155" s="2" t="n">
        <f aca="false">ROUND(K155+N155+Q155,2)</f>
        <v>31.17</v>
      </c>
      <c r="F155" s="3" t="n">
        <f aca="false">COUNTIFS(Responses!$B$2:$B$4001,$A155)</f>
        <v>20</v>
      </c>
      <c r="G155" s="3" t="n">
        <f aca="false">I155+L155+O155</f>
        <v>17</v>
      </c>
      <c r="H155" s="3" t="n">
        <f aca="false">J155+M155+P155</f>
        <v>3</v>
      </c>
      <c r="I155" s="3" t="n">
        <f aca="false">COUNTIFS(Responses!$B$2:$B$4001,$A155,Responses!$K$2:$K$4001,"High",Responses!$I$2:$I$4001,"Correct")</f>
        <v>4</v>
      </c>
      <c r="J155" s="3" t="n">
        <f aca="false">COUNTIFS(Responses!$B$2:$B$4001,$A155,Responses!$K$2:$K$4001,"High",Responses!$I$2:$I$4001,"Wrong")</f>
        <v>1</v>
      </c>
      <c r="K155" s="2" t="n">
        <f aca="false">ROUND(SUMIFS(Responses!$J$2:$J$4001,Responses!$B$2:$B$4001,$A155,Responses!$K$2:$K$4001,"High"),2)</f>
        <v>8.34</v>
      </c>
      <c r="L155" s="3" t="n">
        <f aca="false">COUNTIFS(Responses!$B$2:$B$4001,$A155,Responses!$K$2:$K$4001,"Medium",Responses!$I$2:$I$4001,"Correct")</f>
        <v>5</v>
      </c>
      <c r="M155" s="3" t="n">
        <f aca="false">COUNTIFS(Responses!$B$2:$B$4001,$A155,Responses!$K$2:$K$4001,"Medium",Responses!$I$2:$I$4001,"Wrong")</f>
        <v>1</v>
      </c>
      <c r="N155" s="2" t="n">
        <f aca="false">ROUND(SUMIFS(Responses!$J$2:$J$4001,Responses!$B$2:$B$4001,$A155,Responses!$K$2:$K$4001,"Medium"),2)</f>
        <v>9.76</v>
      </c>
      <c r="O155" s="3" t="n">
        <f aca="false">COUNTIFS(Responses!$B$2:$B$4001,$A155,Responses!$K$2:$K$4001,"Low",Responses!$I$2:$I$4001,"Correct")</f>
        <v>8</v>
      </c>
      <c r="P155" s="3" t="n">
        <f aca="false">COUNTIFS(Responses!$B$2:$B$4001,$A155,Responses!$K$2:$K$4001,"Low",Responses!$I$2:$I$4001,"Wrong")</f>
        <v>1</v>
      </c>
      <c r="Q155" s="2" t="n">
        <f aca="false">ROUND(SUMIFS(Responses!$J$2:$J$4001,Responses!$B$2:$B$4001,$A155,Responses!$K$2:$K$4001,"Low"),2)</f>
        <v>13.07</v>
      </c>
      <c r="R155" s="2" t="n">
        <f aca="false">ROUND(SUMIFS(Responses!$AB$2:$AB$4001,Responses!$B$2:$B$4001,$A155),2)</f>
        <v>32.9</v>
      </c>
      <c r="S155" s="0" t="str">
        <f aca="false">IF(R155&gt;='Reward Model'!$B$8,"Gold",IF(R155&gt;='Reward Model'!$B$9,"Silver","Bronze"))</f>
        <v>Gold</v>
      </c>
      <c r="T155" s="2" t="n">
        <f aca="false">ROUND(R155/'Reward Model'!$B$7*100,2)</f>
        <v>80.24</v>
      </c>
    </row>
    <row r="156" customFormat="false" ht="15" hidden="false" customHeight="false" outlineLevel="0" collapsed="false">
      <c r="A156" s="0" t="s">
        <v>441</v>
      </c>
      <c r="B156" s="0" t="s">
        <v>322</v>
      </c>
      <c r="C156" s="0" t="s">
        <v>189</v>
      </c>
      <c r="D156" s="0" t="n">
        <f aca="false">F156</f>
        <v>20</v>
      </c>
      <c r="E156" s="2" t="n">
        <f aca="false">ROUND(K156+N156+Q156,2)</f>
        <v>31.85</v>
      </c>
      <c r="F156" s="3" t="n">
        <f aca="false">COUNTIFS(Responses!$B$2:$B$4001,$A156)</f>
        <v>20</v>
      </c>
      <c r="G156" s="3" t="n">
        <f aca="false">I156+L156+O156</f>
        <v>11</v>
      </c>
      <c r="H156" s="3" t="n">
        <f aca="false">J156+M156+P156</f>
        <v>9</v>
      </c>
      <c r="I156" s="3" t="n">
        <f aca="false">COUNTIFS(Responses!$B$2:$B$4001,$A156,Responses!$K$2:$K$4001,"High",Responses!$I$2:$I$4001,"Correct")</f>
        <v>1</v>
      </c>
      <c r="J156" s="3" t="n">
        <f aca="false">COUNTIFS(Responses!$B$2:$B$4001,$A156,Responses!$K$2:$K$4001,"High",Responses!$I$2:$I$4001,"Wrong")</f>
        <v>4</v>
      </c>
      <c r="K156" s="2" t="n">
        <f aca="false">ROUND(SUMIFS(Responses!$J$2:$J$4001,Responses!$B$2:$B$4001,$A156,Responses!$K$2:$K$4001,"High"),2)</f>
        <v>9.81</v>
      </c>
      <c r="L156" s="3" t="n">
        <f aca="false">COUNTIFS(Responses!$B$2:$B$4001,$A156,Responses!$K$2:$K$4001,"Medium",Responses!$I$2:$I$4001,"Correct")</f>
        <v>4</v>
      </c>
      <c r="M156" s="3" t="n">
        <f aca="false">COUNTIFS(Responses!$B$2:$B$4001,$A156,Responses!$K$2:$K$4001,"Medium",Responses!$I$2:$I$4001,"Wrong")</f>
        <v>2</v>
      </c>
      <c r="N156" s="2" t="n">
        <f aca="false">ROUND(SUMIFS(Responses!$J$2:$J$4001,Responses!$B$2:$B$4001,$A156,Responses!$K$2:$K$4001,"Medium"),2)</f>
        <v>9.36</v>
      </c>
      <c r="O156" s="3" t="n">
        <f aca="false">COUNTIFS(Responses!$B$2:$B$4001,$A156,Responses!$K$2:$K$4001,"Low",Responses!$I$2:$I$4001,"Correct")</f>
        <v>6</v>
      </c>
      <c r="P156" s="3" t="n">
        <f aca="false">COUNTIFS(Responses!$B$2:$B$4001,$A156,Responses!$K$2:$K$4001,"Low",Responses!$I$2:$I$4001,"Wrong")</f>
        <v>3</v>
      </c>
      <c r="Q156" s="2" t="n">
        <f aca="false">ROUND(SUMIFS(Responses!$J$2:$J$4001,Responses!$B$2:$B$4001,$A156,Responses!$K$2:$K$4001,"Low"),2)</f>
        <v>12.68</v>
      </c>
      <c r="R156" s="2" t="n">
        <f aca="false">ROUND(SUMIFS(Responses!$AB$2:$AB$4001,Responses!$B$2:$B$4001,$A156),2)</f>
        <v>19.91</v>
      </c>
      <c r="S156" s="0" t="str">
        <f aca="false">IF(R156&gt;='Reward Model'!$B$8,"Gold",IF(R156&gt;='Reward Model'!$B$9,"Silver","Bronze"))</f>
        <v>Bronze</v>
      </c>
      <c r="T156" s="2" t="n">
        <f aca="false">ROUND(R156/'Reward Model'!$B$7*100,2)</f>
        <v>48.56</v>
      </c>
    </row>
    <row r="157" customFormat="false" ht="15" hidden="false" customHeight="false" outlineLevel="0" collapsed="false">
      <c r="A157" s="0" t="s">
        <v>443</v>
      </c>
      <c r="B157" s="0" t="s">
        <v>322</v>
      </c>
      <c r="C157" s="0" t="s">
        <v>189</v>
      </c>
      <c r="D157" s="0" t="n">
        <f aca="false">F157</f>
        <v>20</v>
      </c>
      <c r="E157" s="2" t="n">
        <f aca="false">ROUND(K157+N157+Q157,2)</f>
        <v>33.49</v>
      </c>
      <c r="F157" s="3" t="n">
        <f aca="false">COUNTIFS(Responses!$B$2:$B$4001,$A157)</f>
        <v>20</v>
      </c>
      <c r="G157" s="3" t="n">
        <f aca="false">I157+L157+O157</f>
        <v>16</v>
      </c>
      <c r="H157" s="3" t="n">
        <f aca="false">J157+M157+P157</f>
        <v>4</v>
      </c>
      <c r="I157" s="3" t="n">
        <f aca="false">COUNTIFS(Responses!$B$2:$B$4001,$A157,Responses!$K$2:$K$4001,"High",Responses!$I$2:$I$4001,"Correct")</f>
        <v>3</v>
      </c>
      <c r="J157" s="3" t="n">
        <f aca="false">COUNTIFS(Responses!$B$2:$B$4001,$A157,Responses!$K$2:$K$4001,"High",Responses!$I$2:$I$4001,"Wrong")</f>
        <v>2</v>
      </c>
      <c r="K157" s="2" t="n">
        <f aca="false">ROUND(SUMIFS(Responses!$J$2:$J$4001,Responses!$B$2:$B$4001,$A157,Responses!$K$2:$K$4001,"High"),2)</f>
        <v>9</v>
      </c>
      <c r="L157" s="3" t="n">
        <f aca="false">COUNTIFS(Responses!$B$2:$B$4001,$A157,Responses!$K$2:$K$4001,"Medium",Responses!$I$2:$I$4001,"Correct")</f>
        <v>5</v>
      </c>
      <c r="M157" s="3" t="n">
        <f aca="false">COUNTIFS(Responses!$B$2:$B$4001,$A157,Responses!$K$2:$K$4001,"Medium",Responses!$I$2:$I$4001,"Wrong")</f>
        <v>1</v>
      </c>
      <c r="N157" s="2" t="n">
        <f aca="false">ROUND(SUMIFS(Responses!$J$2:$J$4001,Responses!$B$2:$B$4001,$A157,Responses!$K$2:$K$4001,"Medium"),2)</f>
        <v>9.76</v>
      </c>
      <c r="O157" s="3" t="n">
        <f aca="false">COUNTIFS(Responses!$B$2:$B$4001,$A157,Responses!$K$2:$K$4001,"Low",Responses!$I$2:$I$4001,"Correct")</f>
        <v>8</v>
      </c>
      <c r="P157" s="3" t="n">
        <f aca="false">COUNTIFS(Responses!$B$2:$B$4001,$A157,Responses!$K$2:$K$4001,"Low",Responses!$I$2:$I$4001,"Wrong")</f>
        <v>1</v>
      </c>
      <c r="Q157" s="2" t="n">
        <f aca="false">ROUND(SUMIFS(Responses!$J$2:$J$4001,Responses!$B$2:$B$4001,$A157,Responses!$K$2:$K$4001,"Low"),2)</f>
        <v>14.73</v>
      </c>
      <c r="R157" s="2" t="n">
        <f aca="false">ROUND(SUMIFS(Responses!$AB$2:$AB$4001,Responses!$B$2:$B$4001,$A157),2)</f>
        <v>28.42</v>
      </c>
      <c r="S157" s="0" t="str">
        <f aca="false">IF(R157&gt;='Reward Model'!$B$8,"Gold",IF(R157&gt;='Reward Model'!$B$9,"Silver","Bronze"))</f>
        <v>Silver</v>
      </c>
      <c r="T157" s="2" t="n">
        <f aca="false">ROUND(R157/'Reward Model'!$B$7*100,2)</f>
        <v>69.32</v>
      </c>
    </row>
    <row r="158" customFormat="false" ht="15" hidden="false" customHeight="false" outlineLevel="0" collapsed="false">
      <c r="A158" s="0" t="s">
        <v>445</v>
      </c>
      <c r="B158" s="0" t="s">
        <v>322</v>
      </c>
      <c r="C158" s="0" t="s">
        <v>189</v>
      </c>
      <c r="D158" s="0" t="n">
        <f aca="false">F158</f>
        <v>20</v>
      </c>
      <c r="E158" s="2" t="n">
        <f aca="false">ROUND(K158+N158+Q158,2)</f>
        <v>32.58</v>
      </c>
      <c r="F158" s="3" t="n">
        <f aca="false">COUNTIFS(Responses!$B$2:$B$4001,$A158)</f>
        <v>20</v>
      </c>
      <c r="G158" s="3" t="n">
        <f aca="false">I158+L158+O158</f>
        <v>11</v>
      </c>
      <c r="H158" s="3" t="n">
        <f aca="false">J158+M158+P158</f>
        <v>9</v>
      </c>
      <c r="I158" s="3" t="n">
        <f aca="false">COUNTIFS(Responses!$B$2:$B$4001,$A158,Responses!$K$2:$K$4001,"High",Responses!$I$2:$I$4001,"Correct")</f>
        <v>1</v>
      </c>
      <c r="J158" s="3" t="n">
        <f aca="false">COUNTIFS(Responses!$B$2:$B$4001,$A158,Responses!$K$2:$K$4001,"High",Responses!$I$2:$I$4001,"Wrong")</f>
        <v>4</v>
      </c>
      <c r="K158" s="2" t="n">
        <f aca="false">ROUND(SUMIFS(Responses!$J$2:$J$4001,Responses!$B$2:$B$4001,$A158,Responses!$K$2:$K$4001,"High"),2)</f>
        <v>9.79</v>
      </c>
      <c r="L158" s="3" t="n">
        <f aca="false">COUNTIFS(Responses!$B$2:$B$4001,$A158,Responses!$K$2:$K$4001,"Medium",Responses!$I$2:$I$4001,"Correct")</f>
        <v>3</v>
      </c>
      <c r="M158" s="3" t="n">
        <f aca="false">COUNTIFS(Responses!$B$2:$B$4001,$A158,Responses!$K$2:$K$4001,"Medium",Responses!$I$2:$I$4001,"Wrong")</f>
        <v>3</v>
      </c>
      <c r="N158" s="2" t="n">
        <f aca="false">ROUND(SUMIFS(Responses!$J$2:$J$4001,Responses!$B$2:$B$4001,$A158,Responses!$K$2:$K$4001,"Medium"),2)</f>
        <v>9.94</v>
      </c>
      <c r="O158" s="3" t="n">
        <f aca="false">COUNTIFS(Responses!$B$2:$B$4001,$A158,Responses!$K$2:$K$4001,"Low",Responses!$I$2:$I$4001,"Correct")</f>
        <v>7</v>
      </c>
      <c r="P158" s="3" t="n">
        <f aca="false">COUNTIFS(Responses!$B$2:$B$4001,$A158,Responses!$K$2:$K$4001,"Low",Responses!$I$2:$I$4001,"Wrong")</f>
        <v>2</v>
      </c>
      <c r="Q158" s="2" t="n">
        <f aca="false">ROUND(SUMIFS(Responses!$J$2:$J$4001,Responses!$B$2:$B$4001,$A158,Responses!$K$2:$K$4001,"Low"),2)</f>
        <v>12.85</v>
      </c>
      <c r="R158" s="2" t="n">
        <f aca="false">ROUND(SUMIFS(Responses!$AB$2:$AB$4001,Responses!$B$2:$B$4001,$A158),2)</f>
        <v>19.37</v>
      </c>
      <c r="S158" s="0" t="str">
        <f aca="false">IF(R158&gt;='Reward Model'!$B$8,"Gold",IF(R158&gt;='Reward Model'!$B$9,"Silver","Bronze"))</f>
        <v>Bronze</v>
      </c>
      <c r="T158" s="2" t="n">
        <f aca="false">ROUND(R158/'Reward Model'!$B$7*100,2)</f>
        <v>47.24</v>
      </c>
    </row>
    <row r="159" customFormat="false" ht="15" hidden="false" customHeight="false" outlineLevel="0" collapsed="false">
      <c r="A159" s="0" t="s">
        <v>447</v>
      </c>
      <c r="B159" s="0" t="s">
        <v>322</v>
      </c>
      <c r="C159" s="0" t="s">
        <v>189</v>
      </c>
      <c r="D159" s="0" t="n">
        <f aca="false">F159</f>
        <v>20</v>
      </c>
      <c r="E159" s="2" t="n">
        <f aca="false">ROUND(K159+N159+Q159,2)</f>
        <v>33.76</v>
      </c>
      <c r="F159" s="3" t="n">
        <f aca="false">COUNTIFS(Responses!$B$2:$B$4001,$A159)</f>
        <v>20</v>
      </c>
      <c r="G159" s="3" t="n">
        <f aca="false">I159+L159+O159</f>
        <v>13</v>
      </c>
      <c r="H159" s="3" t="n">
        <f aca="false">J159+M159+P159</f>
        <v>7</v>
      </c>
      <c r="I159" s="3" t="n">
        <f aca="false">COUNTIFS(Responses!$B$2:$B$4001,$A159,Responses!$K$2:$K$4001,"High",Responses!$I$2:$I$4001,"Correct")</f>
        <v>2</v>
      </c>
      <c r="J159" s="3" t="n">
        <f aca="false">COUNTIFS(Responses!$B$2:$B$4001,$A159,Responses!$K$2:$K$4001,"High",Responses!$I$2:$I$4001,"Wrong")</f>
        <v>3</v>
      </c>
      <c r="K159" s="2" t="n">
        <f aca="false">ROUND(SUMIFS(Responses!$J$2:$J$4001,Responses!$B$2:$B$4001,$A159,Responses!$K$2:$K$4001,"High"),2)</f>
        <v>8.9</v>
      </c>
      <c r="L159" s="3" t="n">
        <f aca="false">COUNTIFS(Responses!$B$2:$B$4001,$A159,Responses!$K$2:$K$4001,"Medium",Responses!$I$2:$I$4001,"Correct")</f>
        <v>5</v>
      </c>
      <c r="M159" s="3" t="n">
        <f aca="false">COUNTIFS(Responses!$B$2:$B$4001,$A159,Responses!$K$2:$K$4001,"Medium",Responses!$I$2:$I$4001,"Wrong")</f>
        <v>1</v>
      </c>
      <c r="N159" s="2" t="n">
        <f aca="false">ROUND(SUMIFS(Responses!$J$2:$J$4001,Responses!$B$2:$B$4001,$A159,Responses!$K$2:$K$4001,"Medium"),2)</f>
        <v>11.25</v>
      </c>
      <c r="O159" s="3" t="n">
        <f aca="false">COUNTIFS(Responses!$B$2:$B$4001,$A159,Responses!$K$2:$K$4001,"Low",Responses!$I$2:$I$4001,"Correct")</f>
        <v>6</v>
      </c>
      <c r="P159" s="3" t="n">
        <f aca="false">COUNTIFS(Responses!$B$2:$B$4001,$A159,Responses!$K$2:$K$4001,"Low",Responses!$I$2:$I$4001,"Wrong")</f>
        <v>3</v>
      </c>
      <c r="Q159" s="2" t="n">
        <f aca="false">ROUND(SUMIFS(Responses!$J$2:$J$4001,Responses!$B$2:$B$4001,$A159,Responses!$K$2:$K$4001,"Low"),2)</f>
        <v>13.61</v>
      </c>
      <c r="R159" s="2" t="n">
        <f aca="false">ROUND(SUMIFS(Responses!$AB$2:$AB$4001,Responses!$B$2:$B$4001,$A159),2)</f>
        <v>22.89</v>
      </c>
      <c r="S159" s="0" t="str">
        <f aca="false">IF(R159&gt;='Reward Model'!$B$8,"Gold",IF(R159&gt;='Reward Model'!$B$9,"Silver","Bronze"))</f>
        <v>Silver</v>
      </c>
      <c r="T159" s="2" t="n">
        <f aca="false">ROUND(R159/'Reward Model'!$B$7*100,2)</f>
        <v>55.83</v>
      </c>
    </row>
    <row r="160" customFormat="false" ht="15" hidden="false" customHeight="false" outlineLevel="0" collapsed="false">
      <c r="A160" s="0" t="s">
        <v>449</v>
      </c>
      <c r="B160" s="0" t="s">
        <v>322</v>
      </c>
      <c r="C160" s="0" t="s">
        <v>189</v>
      </c>
      <c r="D160" s="0" t="n">
        <f aca="false">F160</f>
        <v>20</v>
      </c>
      <c r="E160" s="2" t="n">
        <f aca="false">ROUND(K160+N160+Q160,2)</f>
        <v>33.79</v>
      </c>
      <c r="F160" s="3" t="n">
        <f aca="false">COUNTIFS(Responses!$B$2:$B$4001,$A160)</f>
        <v>20</v>
      </c>
      <c r="G160" s="3" t="n">
        <f aca="false">I160+L160+O160</f>
        <v>13</v>
      </c>
      <c r="H160" s="3" t="n">
        <f aca="false">J160+M160+P160</f>
        <v>7</v>
      </c>
      <c r="I160" s="3" t="n">
        <f aca="false">COUNTIFS(Responses!$B$2:$B$4001,$A160,Responses!$K$2:$K$4001,"High",Responses!$I$2:$I$4001,"Correct")</f>
        <v>1</v>
      </c>
      <c r="J160" s="3" t="n">
        <f aca="false">COUNTIFS(Responses!$B$2:$B$4001,$A160,Responses!$K$2:$K$4001,"High",Responses!$I$2:$I$4001,"Wrong")</f>
        <v>4</v>
      </c>
      <c r="K160" s="2" t="n">
        <f aca="false">ROUND(SUMIFS(Responses!$J$2:$J$4001,Responses!$B$2:$B$4001,$A160,Responses!$K$2:$K$4001,"High"),2)</f>
        <v>8.95</v>
      </c>
      <c r="L160" s="3" t="n">
        <f aca="false">COUNTIFS(Responses!$B$2:$B$4001,$A160,Responses!$K$2:$K$4001,"Medium",Responses!$I$2:$I$4001,"Correct")</f>
        <v>4</v>
      </c>
      <c r="M160" s="3" t="n">
        <f aca="false">COUNTIFS(Responses!$B$2:$B$4001,$A160,Responses!$K$2:$K$4001,"Medium",Responses!$I$2:$I$4001,"Wrong")</f>
        <v>2</v>
      </c>
      <c r="N160" s="2" t="n">
        <f aca="false">ROUND(SUMIFS(Responses!$J$2:$J$4001,Responses!$B$2:$B$4001,$A160,Responses!$K$2:$K$4001,"Medium"),2)</f>
        <v>10.95</v>
      </c>
      <c r="O160" s="3" t="n">
        <f aca="false">COUNTIFS(Responses!$B$2:$B$4001,$A160,Responses!$K$2:$K$4001,"Low",Responses!$I$2:$I$4001,"Correct")</f>
        <v>8</v>
      </c>
      <c r="P160" s="3" t="n">
        <f aca="false">COUNTIFS(Responses!$B$2:$B$4001,$A160,Responses!$K$2:$K$4001,"Low",Responses!$I$2:$I$4001,"Wrong")</f>
        <v>1</v>
      </c>
      <c r="Q160" s="2" t="n">
        <f aca="false">ROUND(SUMIFS(Responses!$J$2:$J$4001,Responses!$B$2:$B$4001,$A160,Responses!$K$2:$K$4001,"Low"),2)</f>
        <v>13.89</v>
      </c>
      <c r="R160" s="2" t="n">
        <f aca="false">ROUND(SUMIFS(Responses!$AB$2:$AB$4001,Responses!$B$2:$B$4001,$A160),2)</f>
        <v>22.64</v>
      </c>
      <c r="S160" s="0" t="str">
        <f aca="false">IF(R160&gt;='Reward Model'!$B$8,"Gold",IF(R160&gt;='Reward Model'!$B$9,"Silver","Bronze"))</f>
        <v>Silver</v>
      </c>
      <c r="T160" s="2" t="n">
        <f aca="false">ROUND(R160/'Reward Model'!$B$7*100,2)</f>
        <v>55.22</v>
      </c>
    </row>
    <row r="161" customFormat="false" ht="15" hidden="false" customHeight="false" outlineLevel="0" collapsed="false">
      <c r="A161" s="0" t="s">
        <v>451</v>
      </c>
      <c r="B161" s="0" t="s">
        <v>322</v>
      </c>
      <c r="C161" s="0" t="s">
        <v>189</v>
      </c>
      <c r="D161" s="0" t="n">
        <f aca="false">F161</f>
        <v>20</v>
      </c>
      <c r="E161" s="2" t="n">
        <f aca="false">ROUND(K161+N161+Q161,2)</f>
        <v>33.25</v>
      </c>
      <c r="F161" s="3" t="n">
        <f aca="false">COUNTIFS(Responses!$B$2:$B$4001,$A161)</f>
        <v>20</v>
      </c>
      <c r="G161" s="3" t="n">
        <f aca="false">I161+L161+O161</f>
        <v>16</v>
      </c>
      <c r="H161" s="3" t="n">
        <f aca="false">J161+M161+P161</f>
        <v>4</v>
      </c>
      <c r="I161" s="3" t="n">
        <f aca="false">COUNTIFS(Responses!$B$2:$B$4001,$A161,Responses!$K$2:$K$4001,"High",Responses!$I$2:$I$4001,"Correct")</f>
        <v>3</v>
      </c>
      <c r="J161" s="3" t="n">
        <f aca="false">COUNTIFS(Responses!$B$2:$B$4001,$A161,Responses!$K$2:$K$4001,"High",Responses!$I$2:$I$4001,"Wrong")</f>
        <v>2</v>
      </c>
      <c r="K161" s="2" t="n">
        <f aca="false">ROUND(SUMIFS(Responses!$J$2:$J$4001,Responses!$B$2:$B$4001,$A161,Responses!$K$2:$K$4001,"High"),2)</f>
        <v>9.8</v>
      </c>
      <c r="L161" s="3" t="n">
        <f aca="false">COUNTIFS(Responses!$B$2:$B$4001,$A161,Responses!$K$2:$K$4001,"Medium",Responses!$I$2:$I$4001,"Correct")</f>
        <v>5</v>
      </c>
      <c r="M161" s="3" t="n">
        <f aca="false">COUNTIFS(Responses!$B$2:$B$4001,$A161,Responses!$K$2:$K$4001,"Medium",Responses!$I$2:$I$4001,"Wrong")</f>
        <v>1</v>
      </c>
      <c r="N161" s="2" t="n">
        <f aca="false">ROUND(SUMIFS(Responses!$J$2:$J$4001,Responses!$B$2:$B$4001,$A161,Responses!$K$2:$K$4001,"Medium"),2)</f>
        <v>10.99</v>
      </c>
      <c r="O161" s="3" t="n">
        <f aca="false">COUNTIFS(Responses!$B$2:$B$4001,$A161,Responses!$K$2:$K$4001,"Low",Responses!$I$2:$I$4001,"Correct")</f>
        <v>8</v>
      </c>
      <c r="P161" s="3" t="n">
        <f aca="false">COUNTIFS(Responses!$B$2:$B$4001,$A161,Responses!$K$2:$K$4001,"Low",Responses!$I$2:$I$4001,"Wrong")</f>
        <v>1</v>
      </c>
      <c r="Q161" s="2" t="n">
        <f aca="false">ROUND(SUMIFS(Responses!$J$2:$J$4001,Responses!$B$2:$B$4001,$A161,Responses!$K$2:$K$4001,"Low"),2)</f>
        <v>12.46</v>
      </c>
      <c r="R161" s="2" t="n">
        <f aca="false">ROUND(SUMIFS(Responses!$AB$2:$AB$4001,Responses!$B$2:$B$4001,$A161),2)</f>
        <v>29.59</v>
      </c>
      <c r="S161" s="0" t="str">
        <f aca="false">IF(R161&gt;='Reward Model'!$B$8,"Gold",IF(R161&gt;='Reward Model'!$B$9,"Silver","Bronze"))</f>
        <v>Gold</v>
      </c>
      <c r="T161" s="2" t="n">
        <f aca="false">ROUND(R161/'Reward Model'!$B$7*100,2)</f>
        <v>72.17</v>
      </c>
    </row>
    <row r="162" customFormat="false" ht="15" hidden="false" customHeight="false" outlineLevel="0" collapsed="false">
      <c r="A162" s="0" t="s">
        <v>453</v>
      </c>
      <c r="B162" s="0" t="s">
        <v>322</v>
      </c>
      <c r="C162" s="0" t="s">
        <v>189</v>
      </c>
      <c r="D162" s="0" t="n">
        <f aca="false">F162</f>
        <v>20</v>
      </c>
      <c r="E162" s="2" t="n">
        <f aca="false">ROUND(K162+N162+Q162,2)</f>
        <v>33.99</v>
      </c>
      <c r="F162" s="3" t="n">
        <f aca="false">COUNTIFS(Responses!$B$2:$B$4001,$A162)</f>
        <v>20</v>
      </c>
      <c r="G162" s="3" t="n">
        <f aca="false">I162+L162+O162</f>
        <v>14</v>
      </c>
      <c r="H162" s="3" t="n">
        <f aca="false">J162+M162+P162</f>
        <v>6</v>
      </c>
      <c r="I162" s="3" t="n">
        <f aca="false">COUNTIFS(Responses!$B$2:$B$4001,$A162,Responses!$K$2:$K$4001,"High",Responses!$I$2:$I$4001,"Correct")</f>
        <v>3</v>
      </c>
      <c r="J162" s="3" t="n">
        <f aca="false">COUNTIFS(Responses!$B$2:$B$4001,$A162,Responses!$K$2:$K$4001,"High",Responses!$I$2:$I$4001,"Wrong")</f>
        <v>2</v>
      </c>
      <c r="K162" s="2" t="n">
        <f aca="false">ROUND(SUMIFS(Responses!$J$2:$J$4001,Responses!$B$2:$B$4001,$A162,Responses!$K$2:$K$4001,"High"),2)</f>
        <v>9.65</v>
      </c>
      <c r="L162" s="3" t="n">
        <f aca="false">COUNTIFS(Responses!$B$2:$B$4001,$A162,Responses!$K$2:$K$4001,"Medium",Responses!$I$2:$I$4001,"Correct")</f>
        <v>3</v>
      </c>
      <c r="M162" s="3" t="n">
        <f aca="false">COUNTIFS(Responses!$B$2:$B$4001,$A162,Responses!$K$2:$K$4001,"Medium",Responses!$I$2:$I$4001,"Wrong")</f>
        <v>3</v>
      </c>
      <c r="N162" s="2" t="n">
        <f aca="false">ROUND(SUMIFS(Responses!$J$2:$J$4001,Responses!$B$2:$B$4001,$A162,Responses!$K$2:$K$4001,"Medium"),2)</f>
        <v>9.93</v>
      </c>
      <c r="O162" s="3" t="n">
        <f aca="false">COUNTIFS(Responses!$B$2:$B$4001,$A162,Responses!$K$2:$K$4001,"Low",Responses!$I$2:$I$4001,"Correct")</f>
        <v>8</v>
      </c>
      <c r="P162" s="3" t="n">
        <f aca="false">COUNTIFS(Responses!$B$2:$B$4001,$A162,Responses!$K$2:$K$4001,"Low",Responses!$I$2:$I$4001,"Wrong")</f>
        <v>1</v>
      </c>
      <c r="Q162" s="2" t="n">
        <f aca="false">ROUND(SUMIFS(Responses!$J$2:$J$4001,Responses!$B$2:$B$4001,$A162,Responses!$K$2:$K$4001,"Low"),2)</f>
        <v>14.41</v>
      </c>
      <c r="R162" s="2" t="n">
        <f aca="false">ROUND(SUMIFS(Responses!$AB$2:$AB$4001,Responses!$B$2:$B$4001,$A162),2)</f>
        <v>25.66</v>
      </c>
      <c r="S162" s="0" t="str">
        <f aca="false">IF(R162&gt;='Reward Model'!$B$8,"Gold",IF(R162&gt;='Reward Model'!$B$9,"Silver","Bronze"))</f>
        <v>Silver</v>
      </c>
      <c r="T162" s="2" t="n">
        <f aca="false">ROUND(R162/'Reward Model'!$B$7*100,2)</f>
        <v>62.59</v>
      </c>
    </row>
    <row r="163" customFormat="false" ht="15" hidden="false" customHeight="false" outlineLevel="0" collapsed="false">
      <c r="A163" s="0" t="s">
        <v>455</v>
      </c>
      <c r="B163" s="0" t="s">
        <v>322</v>
      </c>
      <c r="C163" s="0" t="s">
        <v>189</v>
      </c>
      <c r="D163" s="0" t="n">
        <f aca="false">F163</f>
        <v>20</v>
      </c>
      <c r="E163" s="2" t="n">
        <f aca="false">ROUND(K163+N163+Q163,2)</f>
        <v>34.75</v>
      </c>
      <c r="F163" s="3" t="n">
        <f aca="false">COUNTIFS(Responses!$B$2:$B$4001,$A163)</f>
        <v>20</v>
      </c>
      <c r="G163" s="3" t="n">
        <f aca="false">I163+L163+O163</f>
        <v>15</v>
      </c>
      <c r="H163" s="3" t="n">
        <f aca="false">J163+M163+P163</f>
        <v>5</v>
      </c>
      <c r="I163" s="3" t="n">
        <f aca="false">COUNTIFS(Responses!$B$2:$B$4001,$A163,Responses!$K$2:$K$4001,"High",Responses!$I$2:$I$4001,"Correct")</f>
        <v>2</v>
      </c>
      <c r="J163" s="3" t="n">
        <f aca="false">COUNTIFS(Responses!$B$2:$B$4001,$A163,Responses!$K$2:$K$4001,"High",Responses!$I$2:$I$4001,"Wrong")</f>
        <v>3</v>
      </c>
      <c r="K163" s="2" t="n">
        <f aca="false">ROUND(SUMIFS(Responses!$J$2:$J$4001,Responses!$B$2:$B$4001,$A163,Responses!$K$2:$K$4001,"High"),2)</f>
        <v>10.77</v>
      </c>
      <c r="L163" s="3" t="n">
        <f aca="false">COUNTIFS(Responses!$B$2:$B$4001,$A163,Responses!$K$2:$K$4001,"Medium",Responses!$I$2:$I$4001,"Correct")</f>
        <v>5</v>
      </c>
      <c r="M163" s="3" t="n">
        <f aca="false">COUNTIFS(Responses!$B$2:$B$4001,$A163,Responses!$K$2:$K$4001,"Medium",Responses!$I$2:$I$4001,"Wrong")</f>
        <v>1</v>
      </c>
      <c r="N163" s="2" t="n">
        <f aca="false">ROUND(SUMIFS(Responses!$J$2:$J$4001,Responses!$B$2:$B$4001,$A163,Responses!$K$2:$K$4001,"Medium"),2)</f>
        <v>12.23</v>
      </c>
      <c r="O163" s="3" t="n">
        <f aca="false">COUNTIFS(Responses!$B$2:$B$4001,$A163,Responses!$K$2:$K$4001,"Low",Responses!$I$2:$I$4001,"Correct")</f>
        <v>8</v>
      </c>
      <c r="P163" s="3" t="n">
        <f aca="false">COUNTIFS(Responses!$B$2:$B$4001,$A163,Responses!$K$2:$K$4001,"Low",Responses!$I$2:$I$4001,"Wrong")</f>
        <v>1</v>
      </c>
      <c r="Q163" s="2" t="n">
        <f aca="false">ROUND(SUMIFS(Responses!$J$2:$J$4001,Responses!$B$2:$B$4001,$A163,Responses!$K$2:$K$4001,"Low"),2)</f>
        <v>11.75</v>
      </c>
      <c r="R163" s="2" t="n">
        <f aca="false">ROUND(SUMIFS(Responses!$AB$2:$AB$4001,Responses!$B$2:$B$4001,$A163),2)</f>
        <v>25.53</v>
      </c>
      <c r="S163" s="0" t="str">
        <f aca="false">IF(R163&gt;='Reward Model'!$B$8,"Gold",IF(R163&gt;='Reward Model'!$B$9,"Silver","Bronze"))</f>
        <v>Silver</v>
      </c>
      <c r="T163" s="2" t="n">
        <f aca="false">ROUND(R163/'Reward Model'!$B$7*100,2)</f>
        <v>62.27</v>
      </c>
    </row>
    <row r="164" customFormat="false" ht="15" hidden="false" customHeight="false" outlineLevel="0" collapsed="false">
      <c r="A164" s="0" t="s">
        <v>457</v>
      </c>
      <c r="B164" s="0" t="s">
        <v>322</v>
      </c>
      <c r="C164" s="0" t="s">
        <v>189</v>
      </c>
      <c r="D164" s="0" t="n">
        <f aca="false">F164</f>
        <v>20</v>
      </c>
      <c r="E164" s="2" t="n">
        <f aca="false">ROUND(K164+N164+Q164,2)</f>
        <v>33.06</v>
      </c>
      <c r="F164" s="3" t="n">
        <f aca="false">COUNTIFS(Responses!$B$2:$B$4001,$A164)</f>
        <v>20</v>
      </c>
      <c r="G164" s="3" t="n">
        <f aca="false">I164+L164+O164</f>
        <v>12</v>
      </c>
      <c r="H164" s="3" t="n">
        <f aca="false">J164+M164+P164</f>
        <v>8</v>
      </c>
      <c r="I164" s="3" t="n">
        <f aca="false">COUNTIFS(Responses!$B$2:$B$4001,$A164,Responses!$K$2:$K$4001,"High",Responses!$I$2:$I$4001,"Correct")</f>
        <v>1</v>
      </c>
      <c r="J164" s="3" t="n">
        <f aca="false">COUNTIFS(Responses!$B$2:$B$4001,$A164,Responses!$K$2:$K$4001,"High",Responses!$I$2:$I$4001,"Wrong")</f>
        <v>4</v>
      </c>
      <c r="K164" s="2" t="n">
        <f aca="false">ROUND(SUMIFS(Responses!$J$2:$J$4001,Responses!$B$2:$B$4001,$A164,Responses!$K$2:$K$4001,"High"),2)</f>
        <v>9.67</v>
      </c>
      <c r="L164" s="3" t="n">
        <f aca="false">COUNTIFS(Responses!$B$2:$B$4001,$A164,Responses!$K$2:$K$4001,"Medium",Responses!$I$2:$I$4001,"Correct")</f>
        <v>4</v>
      </c>
      <c r="M164" s="3" t="n">
        <f aca="false">COUNTIFS(Responses!$B$2:$B$4001,$A164,Responses!$K$2:$K$4001,"Medium",Responses!$I$2:$I$4001,"Wrong")</f>
        <v>2</v>
      </c>
      <c r="N164" s="2" t="n">
        <f aca="false">ROUND(SUMIFS(Responses!$J$2:$J$4001,Responses!$B$2:$B$4001,$A164,Responses!$K$2:$K$4001,"Medium"),2)</f>
        <v>11.33</v>
      </c>
      <c r="O164" s="3" t="n">
        <f aca="false">COUNTIFS(Responses!$B$2:$B$4001,$A164,Responses!$K$2:$K$4001,"Low",Responses!$I$2:$I$4001,"Correct")</f>
        <v>7</v>
      </c>
      <c r="P164" s="3" t="n">
        <f aca="false">COUNTIFS(Responses!$B$2:$B$4001,$A164,Responses!$K$2:$K$4001,"Low",Responses!$I$2:$I$4001,"Wrong")</f>
        <v>2</v>
      </c>
      <c r="Q164" s="2" t="n">
        <f aca="false">ROUND(SUMIFS(Responses!$J$2:$J$4001,Responses!$B$2:$B$4001,$A164,Responses!$K$2:$K$4001,"Low"),2)</f>
        <v>12.06</v>
      </c>
      <c r="R164" s="2" t="n">
        <f aca="false">ROUND(SUMIFS(Responses!$AB$2:$AB$4001,Responses!$B$2:$B$4001,$A164),2)</f>
        <v>19.9</v>
      </c>
      <c r="S164" s="0" t="str">
        <f aca="false">IF(R164&gt;='Reward Model'!$B$8,"Gold",IF(R164&gt;='Reward Model'!$B$9,"Silver","Bronze"))</f>
        <v>Bronze</v>
      </c>
      <c r="T164" s="2" t="n">
        <f aca="false">ROUND(R164/'Reward Model'!$B$7*100,2)</f>
        <v>48.54</v>
      </c>
    </row>
    <row r="165" customFormat="false" ht="15" hidden="false" customHeight="false" outlineLevel="0" collapsed="false">
      <c r="A165" s="0" t="s">
        <v>459</v>
      </c>
      <c r="B165" s="0" t="s">
        <v>322</v>
      </c>
      <c r="C165" s="0" t="s">
        <v>189</v>
      </c>
      <c r="D165" s="0" t="n">
        <f aca="false">F165</f>
        <v>20</v>
      </c>
      <c r="E165" s="2" t="n">
        <f aca="false">ROUND(K165+N165+Q165,2)</f>
        <v>33.01</v>
      </c>
      <c r="F165" s="3" t="n">
        <f aca="false">COUNTIFS(Responses!$B$2:$B$4001,$A165)</f>
        <v>20</v>
      </c>
      <c r="G165" s="3" t="n">
        <f aca="false">I165+L165+O165</f>
        <v>15</v>
      </c>
      <c r="H165" s="3" t="n">
        <f aca="false">J165+M165+P165</f>
        <v>5</v>
      </c>
      <c r="I165" s="3" t="n">
        <f aca="false">COUNTIFS(Responses!$B$2:$B$4001,$A165,Responses!$K$2:$K$4001,"High",Responses!$I$2:$I$4001,"Correct")</f>
        <v>3</v>
      </c>
      <c r="J165" s="3" t="n">
        <f aca="false">COUNTIFS(Responses!$B$2:$B$4001,$A165,Responses!$K$2:$K$4001,"High",Responses!$I$2:$I$4001,"Wrong")</f>
        <v>2</v>
      </c>
      <c r="K165" s="2" t="n">
        <f aca="false">ROUND(SUMIFS(Responses!$J$2:$J$4001,Responses!$B$2:$B$4001,$A165,Responses!$K$2:$K$4001,"High"),2)</f>
        <v>8.89</v>
      </c>
      <c r="L165" s="3" t="n">
        <f aca="false">COUNTIFS(Responses!$B$2:$B$4001,$A165,Responses!$K$2:$K$4001,"Medium",Responses!$I$2:$I$4001,"Correct")</f>
        <v>4</v>
      </c>
      <c r="M165" s="3" t="n">
        <f aca="false">COUNTIFS(Responses!$B$2:$B$4001,$A165,Responses!$K$2:$K$4001,"Medium",Responses!$I$2:$I$4001,"Wrong")</f>
        <v>2</v>
      </c>
      <c r="N165" s="2" t="n">
        <f aca="false">ROUND(SUMIFS(Responses!$J$2:$J$4001,Responses!$B$2:$B$4001,$A165,Responses!$K$2:$K$4001,"Medium"),2)</f>
        <v>9.8</v>
      </c>
      <c r="O165" s="3" t="n">
        <f aca="false">COUNTIFS(Responses!$B$2:$B$4001,$A165,Responses!$K$2:$K$4001,"Low",Responses!$I$2:$I$4001,"Correct")</f>
        <v>8</v>
      </c>
      <c r="P165" s="3" t="n">
        <f aca="false">COUNTIFS(Responses!$B$2:$B$4001,$A165,Responses!$K$2:$K$4001,"Low",Responses!$I$2:$I$4001,"Wrong")</f>
        <v>1</v>
      </c>
      <c r="Q165" s="2" t="n">
        <f aca="false">ROUND(SUMIFS(Responses!$J$2:$J$4001,Responses!$B$2:$B$4001,$A165,Responses!$K$2:$K$4001,"Low"),2)</f>
        <v>14.32</v>
      </c>
      <c r="R165" s="2" t="n">
        <f aca="false">ROUND(SUMIFS(Responses!$AB$2:$AB$4001,Responses!$B$2:$B$4001,$A165),2)</f>
        <v>28.96</v>
      </c>
      <c r="S165" s="0" t="str">
        <f aca="false">IF(R165&gt;='Reward Model'!$B$8,"Gold",IF(R165&gt;='Reward Model'!$B$9,"Silver","Bronze"))</f>
        <v>Gold</v>
      </c>
      <c r="T165" s="2" t="n">
        <f aca="false">ROUND(R165/'Reward Model'!$B$7*100,2)</f>
        <v>70.63</v>
      </c>
    </row>
    <row r="166" customFormat="false" ht="15" hidden="false" customHeight="false" outlineLevel="0" collapsed="false">
      <c r="A166" s="0" t="s">
        <v>461</v>
      </c>
      <c r="B166" s="0" t="s">
        <v>322</v>
      </c>
      <c r="C166" s="0" t="s">
        <v>189</v>
      </c>
      <c r="D166" s="0" t="n">
        <f aca="false">F166</f>
        <v>20</v>
      </c>
      <c r="E166" s="2" t="n">
        <f aca="false">ROUND(K166+N166+Q166,2)</f>
        <v>33.21</v>
      </c>
      <c r="F166" s="3" t="n">
        <f aca="false">COUNTIFS(Responses!$B$2:$B$4001,$A166)</f>
        <v>20</v>
      </c>
      <c r="G166" s="3" t="n">
        <f aca="false">I166+L166+O166</f>
        <v>17</v>
      </c>
      <c r="H166" s="3" t="n">
        <f aca="false">J166+M166+P166</f>
        <v>3</v>
      </c>
      <c r="I166" s="3" t="n">
        <f aca="false">COUNTIFS(Responses!$B$2:$B$4001,$A166,Responses!$K$2:$K$4001,"High",Responses!$I$2:$I$4001,"Correct")</f>
        <v>4</v>
      </c>
      <c r="J166" s="3" t="n">
        <f aca="false">COUNTIFS(Responses!$B$2:$B$4001,$A166,Responses!$K$2:$K$4001,"High",Responses!$I$2:$I$4001,"Wrong")</f>
        <v>1</v>
      </c>
      <c r="K166" s="2" t="n">
        <f aca="false">ROUND(SUMIFS(Responses!$J$2:$J$4001,Responses!$B$2:$B$4001,$A166,Responses!$K$2:$K$4001,"High"),2)</f>
        <v>8.85</v>
      </c>
      <c r="L166" s="3" t="n">
        <f aca="false">COUNTIFS(Responses!$B$2:$B$4001,$A166,Responses!$K$2:$K$4001,"Medium",Responses!$I$2:$I$4001,"Correct")</f>
        <v>5</v>
      </c>
      <c r="M166" s="3" t="n">
        <f aca="false">COUNTIFS(Responses!$B$2:$B$4001,$A166,Responses!$K$2:$K$4001,"Medium",Responses!$I$2:$I$4001,"Wrong")</f>
        <v>1</v>
      </c>
      <c r="N166" s="2" t="n">
        <f aca="false">ROUND(SUMIFS(Responses!$J$2:$J$4001,Responses!$B$2:$B$4001,$A166,Responses!$K$2:$K$4001,"Medium"),2)</f>
        <v>10.18</v>
      </c>
      <c r="O166" s="3" t="n">
        <f aca="false">COUNTIFS(Responses!$B$2:$B$4001,$A166,Responses!$K$2:$K$4001,"Low",Responses!$I$2:$I$4001,"Correct")</f>
        <v>8</v>
      </c>
      <c r="P166" s="3" t="n">
        <f aca="false">COUNTIFS(Responses!$B$2:$B$4001,$A166,Responses!$K$2:$K$4001,"Low",Responses!$I$2:$I$4001,"Wrong")</f>
        <v>1</v>
      </c>
      <c r="Q166" s="2" t="n">
        <f aca="false">ROUND(SUMIFS(Responses!$J$2:$J$4001,Responses!$B$2:$B$4001,$A166,Responses!$K$2:$K$4001,"Low"),2)</f>
        <v>14.18</v>
      </c>
      <c r="R166" s="2" t="n">
        <f aca="false">ROUND(SUMIFS(Responses!$AB$2:$AB$4001,Responses!$B$2:$B$4001,$A166),2)</f>
        <v>32.15</v>
      </c>
      <c r="S166" s="0" t="str">
        <f aca="false">IF(R166&gt;='Reward Model'!$B$8,"Gold",IF(R166&gt;='Reward Model'!$B$9,"Silver","Bronze"))</f>
        <v>Gold</v>
      </c>
      <c r="T166" s="2" t="n">
        <f aca="false">ROUND(R166/'Reward Model'!$B$7*100,2)</f>
        <v>78.41</v>
      </c>
    </row>
    <row r="167" customFormat="false" ht="15" hidden="false" customHeight="false" outlineLevel="0" collapsed="false">
      <c r="A167" s="0" t="s">
        <v>463</v>
      </c>
      <c r="B167" s="0" t="s">
        <v>322</v>
      </c>
      <c r="C167" s="0" t="s">
        <v>189</v>
      </c>
      <c r="D167" s="0" t="n">
        <f aca="false">F167</f>
        <v>20</v>
      </c>
      <c r="E167" s="2" t="n">
        <f aca="false">ROUND(K167+N167+Q167,2)</f>
        <v>31.9</v>
      </c>
      <c r="F167" s="3" t="n">
        <f aca="false">COUNTIFS(Responses!$B$2:$B$4001,$A167)</f>
        <v>20</v>
      </c>
      <c r="G167" s="3" t="n">
        <f aca="false">I167+L167+O167</f>
        <v>14</v>
      </c>
      <c r="H167" s="3" t="n">
        <f aca="false">J167+M167+P167</f>
        <v>6</v>
      </c>
      <c r="I167" s="3" t="n">
        <f aca="false">COUNTIFS(Responses!$B$2:$B$4001,$A167,Responses!$K$2:$K$4001,"High",Responses!$I$2:$I$4001,"Correct")</f>
        <v>1</v>
      </c>
      <c r="J167" s="3" t="n">
        <f aca="false">COUNTIFS(Responses!$B$2:$B$4001,$A167,Responses!$K$2:$K$4001,"High",Responses!$I$2:$I$4001,"Wrong")</f>
        <v>4</v>
      </c>
      <c r="K167" s="2" t="n">
        <f aca="false">ROUND(SUMIFS(Responses!$J$2:$J$4001,Responses!$B$2:$B$4001,$A167,Responses!$K$2:$K$4001,"High"),2)</f>
        <v>9.62</v>
      </c>
      <c r="L167" s="3" t="n">
        <f aca="false">COUNTIFS(Responses!$B$2:$B$4001,$A167,Responses!$K$2:$K$4001,"Medium",Responses!$I$2:$I$4001,"Correct")</f>
        <v>5</v>
      </c>
      <c r="M167" s="3" t="n">
        <f aca="false">COUNTIFS(Responses!$B$2:$B$4001,$A167,Responses!$K$2:$K$4001,"Medium",Responses!$I$2:$I$4001,"Wrong")</f>
        <v>1</v>
      </c>
      <c r="N167" s="2" t="n">
        <f aca="false">ROUND(SUMIFS(Responses!$J$2:$J$4001,Responses!$B$2:$B$4001,$A167,Responses!$K$2:$K$4001,"Medium"),2)</f>
        <v>10.64</v>
      </c>
      <c r="O167" s="3" t="n">
        <f aca="false">COUNTIFS(Responses!$B$2:$B$4001,$A167,Responses!$K$2:$K$4001,"Low",Responses!$I$2:$I$4001,"Correct")</f>
        <v>8</v>
      </c>
      <c r="P167" s="3" t="n">
        <f aca="false">COUNTIFS(Responses!$B$2:$B$4001,$A167,Responses!$K$2:$K$4001,"Low",Responses!$I$2:$I$4001,"Wrong")</f>
        <v>1</v>
      </c>
      <c r="Q167" s="2" t="n">
        <f aca="false">ROUND(SUMIFS(Responses!$J$2:$J$4001,Responses!$B$2:$B$4001,$A167,Responses!$K$2:$K$4001,"Low"),2)</f>
        <v>11.64</v>
      </c>
      <c r="R167" s="2" t="n">
        <f aca="false">ROUND(SUMIFS(Responses!$AB$2:$AB$4001,Responses!$B$2:$B$4001,$A167),2)</f>
        <v>24.25</v>
      </c>
      <c r="S167" s="0" t="str">
        <f aca="false">IF(R167&gt;='Reward Model'!$B$8,"Gold",IF(R167&gt;='Reward Model'!$B$9,"Silver","Bronze"))</f>
        <v>Silver</v>
      </c>
      <c r="T167" s="2" t="n">
        <f aca="false">ROUND(R167/'Reward Model'!$B$7*100,2)</f>
        <v>59.15</v>
      </c>
    </row>
    <row r="168" customFormat="false" ht="15" hidden="false" customHeight="false" outlineLevel="0" collapsed="false">
      <c r="A168" s="0" t="s">
        <v>465</v>
      </c>
      <c r="B168" s="0" t="s">
        <v>322</v>
      </c>
      <c r="C168" s="0" t="s">
        <v>189</v>
      </c>
      <c r="D168" s="0" t="n">
        <f aca="false">F168</f>
        <v>20</v>
      </c>
      <c r="E168" s="2" t="n">
        <f aca="false">ROUND(K168+N168+Q168,2)</f>
        <v>28.64</v>
      </c>
      <c r="F168" s="3" t="n">
        <f aca="false">COUNTIFS(Responses!$B$2:$B$4001,$A168)</f>
        <v>20</v>
      </c>
      <c r="G168" s="3" t="n">
        <f aca="false">I168+L168+O168</f>
        <v>13</v>
      </c>
      <c r="H168" s="3" t="n">
        <f aca="false">J168+M168+P168</f>
        <v>7</v>
      </c>
      <c r="I168" s="3" t="n">
        <f aca="false">COUNTIFS(Responses!$B$2:$B$4001,$A168,Responses!$K$2:$K$4001,"High",Responses!$I$2:$I$4001,"Correct")</f>
        <v>2</v>
      </c>
      <c r="J168" s="3" t="n">
        <f aca="false">COUNTIFS(Responses!$B$2:$B$4001,$A168,Responses!$K$2:$K$4001,"High",Responses!$I$2:$I$4001,"Wrong")</f>
        <v>3</v>
      </c>
      <c r="K168" s="2" t="n">
        <f aca="false">ROUND(SUMIFS(Responses!$J$2:$J$4001,Responses!$B$2:$B$4001,$A168,Responses!$K$2:$K$4001,"High"),2)</f>
        <v>8.46</v>
      </c>
      <c r="L168" s="3" t="n">
        <f aca="false">COUNTIFS(Responses!$B$2:$B$4001,$A168,Responses!$K$2:$K$4001,"Medium",Responses!$I$2:$I$4001,"Correct")</f>
        <v>3</v>
      </c>
      <c r="M168" s="3" t="n">
        <f aca="false">COUNTIFS(Responses!$B$2:$B$4001,$A168,Responses!$K$2:$K$4001,"Medium",Responses!$I$2:$I$4001,"Wrong")</f>
        <v>3</v>
      </c>
      <c r="N168" s="2" t="n">
        <f aca="false">ROUND(SUMIFS(Responses!$J$2:$J$4001,Responses!$B$2:$B$4001,$A168,Responses!$K$2:$K$4001,"Medium"),2)</f>
        <v>9.95</v>
      </c>
      <c r="O168" s="3" t="n">
        <f aca="false">COUNTIFS(Responses!$B$2:$B$4001,$A168,Responses!$K$2:$K$4001,"Low",Responses!$I$2:$I$4001,"Correct")</f>
        <v>8</v>
      </c>
      <c r="P168" s="3" t="n">
        <f aca="false">COUNTIFS(Responses!$B$2:$B$4001,$A168,Responses!$K$2:$K$4001,"Low",Responses!$I$2:$I$4001,"Wrong")</f>
        <v>1</v>
      </c>
      <c r="Q168" s="2" t="n">
        <f aca="false">ROUND(SUMIFS(Responses!$J$2:$J$4001,Responses!$B$2:$B$4001,$A168,Responses!$K$2:$K$4001,"Low"),2)</f>
        <v>10.23</v>
      </c>
      <c r="R168" s="2" t="n">
        <f aca="false">ROUND(SUMIFS(Responses!$AB$2:$AB$4001,Responses!$B$2:$B$4001,$A168),2)</f>
        <v>23.84</v>
      </c>
      <c r="S168" s="0" t="str">
        <f aca="false">IF(R168&gt;='Reward Model'!$B$8,"Gold",IF(R168&gt;='Reward Model'!$B$9,"Silver","Bronze"))</f>
        <v>Silver</v>
      </c>
      <c r="T168" s="2" t="n">
        <f aca="false">ROUND(R168/'Reward Model'!$B$7*100,2)</f>
        <v>58.15</v>
      </c>
    </row>
    <row r="169" customFormat="false" ht="15" hidden="false" customHeight="false" outlineLevel="0" collapsed="false">
      <c r="A169" s="0" t="s">
        <v>467</v>
      </c>
      <c r="B169" s="0" t="s">
        <v>322</v>
      </c>
      <c r="C169" s="0" t="s">
        <v>189</v>
      </c>
      <c r="D169" s="0" t="n">
        <f aca="false">F169</f>
        <v>20</v>
      </c>
      <c r="E169" s="2" t="n">
        <f aca="false">ROUND(K169+N169+Q169,2)</f>
        <v>33.23</v>
      </c>
      <c r="F169" s="3" t="n">
        <f aca="false">COUNTIFS(Responses!$B$2:$B$4001,$A169)</f>
        <v>20</v>
      </c>
      <c r="G169" s="3" t="n">
        <f aca="false">I169+L169+O169</f>
        <v>11</v>
      </c>
      <c r="H169" s="3" t="n">
        <f aca="false">J169+M169+P169</f>
        <v>9</v>
      </c>
      <c r="I169" s="3" t="n">
        <f aca="false">COUNTIFS(Responses!$B$2:$B$4001,$A169,Responses!$K$2:$K$4001,"High",Responses!$I$2:$I$4001,"Correct")</f>
        <v>2</v>
      </c>
      <c r="J169" s="3" t="n">
        <f aca="false">COUNTIFS(Responses!$B$2:$B$4001,$A169,Responses!$K$2:$K$4001,"High",Responses!$I$2:$I$4001,"Wrong")</f>
        <v>3</v>
      </c>
      <c r="K169" s="2" t="n">
        <f aca="false">ROUND(SUMIFS(Responses!$J$2:$J$4001,Responses!$B$2:$B$4001,$A169,Responses!$K$2:$K$4001,"High"),2)</f>
        <v>11.04</v>
      </c>
      <c r="L169" s="3" t="n">
        <f aca="false">COUNTIFS(Responses!$B$2:$B$4001,$A169,Responses!$K$2:$K$4001,"Medium",Responses!$I$2:$I$4001,"Correct")</f>
        <v>1</v>
      </c>
      <c r="M169" s="3" t="n">
        <f aca="false">COUNTIFS(Responses!$B$2:$B$4001,$A169,Responses!$K$2:$K$4001,"Medium",Responses!$I$2:$I$4001,"Wrong")</f>
        <v>5</v>
      </c>
      <c r="N169" s="2" t="n">
        <f aca="false">ROUND(SUMIFS(Responses!$J$2:$J$4001,Responses!$B$2:$B$4001,$A169,Responses!$K$2:$K$4001,"Medium"),2)</f>
        <v>10.24</v>
      </c>
      <c r="O169" s="3" t="n">
        <f aca="false">COUNTIFS(Responses!$B$2:$B$4001,$A169,Responses!$K$2:$K$4001,"Low",Responses!$I$2:$I$4001,"Correct")</f>
        <v>8</v>
      </c>
      <c r="P169" s="3" t="n">
        <f aca="false">COUNTIFS(Responses!$B$2:$B$4001,$A169,Responses!$K$2:$K$4001,"Low",Responses!$I$2:$I$4001,"Wrong")</f>
        <v>1</v>
      </c>
      <c r="Q169" s="2" t="n">
        <f aca="false">ROUND(SUMIFS(Responses!$J$2:$J$4001,Responses!$B$2:$B$4001,$A169,Responses!$K$2:$K$4001,"Low"),2)</f>
        <v>11.95</v>
      </c>
      <c r="R169" s="2" t="n">
        <f aca="false">ROUND(SUMIFS(Responses!$AB$2:$AB$4001,Responses!$B$2:$B$4001,$A169),2)</f>
        <v>18.93</v>
      </c>
      <c r="S169" s="0" t="str">
        <f aca="false">IF(R169&gt;='Reward Model'!$B$8,"Gold",IF(R169&gt;='Reward Model'!$B$9,"Silver","Bronze"))</f>
        <v>Bronze</v>
      </c>
      <c r="T169" s="2" t="n">
        <f aca="false">ROUND(R169/'Reward Model'!$B$7*100,2)</f>
        <v>46.17</v>
      </c>
    </row>
    <row r="170" customFormat="false" ht="15" hidden="false" customHeight="false" outlineLevel="0" collapsed="false">
      <c r="A170" s="0" t="s">
        <v>469</v>
      </c>
      <c r="B170" s="0" t="s">
        <v>322</v>
      </c>
      <c r="C170" s="0" t="s">
        <v>189</v>
      </c>
      <c r="D170" s="0" t="n">
        <f aca="false">F170</f>
        <v>20</v>
      </c>
      <c r="E170" s="2" t="n">
        <f aca="false">ROUND(K170+N170+Q170,2)</f>
        <v>31.29</v>
      </c>
      <c r="F170" s="3" t="n">
        <f aca="false">COUNTIFS(Responses!$B$2:$B$4001,$A170)</f>
        <v>20</v>
      </c>
      <c r="G170" s="3" t="n">
        <f aca="false">I170+L170+O170</f>
        <v>12</v>
      </c>
      <c r="H170" s="3" t="n">
        <f aca="false">J170+M170+P170</f>
        <v>8</v>
      </c>
      <c r="I170" s="3" t="n">
        <f aca="false">COUNTIFS(Responses!$B$2:$B$4001,$A170,Responses!$K$2:$K$4001,"High",Responses!$I$2:$I$4001,"Correct")</f>
        <v>1</v>
      </c>
      <c r="J170" s="3" t="n">
        <f aca="false">COUNTIFS(Responses!$B$2:$B$4001,$A170,Responses!$K$2:$K$4001,"High",Responses!$I$2:$I$4001,"Wrong")</f>
        <v>4</v>
      </c>
      <c r="K170" s="2" t="n">
        <f aca="false">ROUND(SUMIFS(Responses!$J$2:$J$4001,Responses!$B$2:$B$4001,$A170,Responses!$K$2:$K$4001,"High"),2)</f>
        <v>8.98</v>
      </c>
      <c r="L170" s="3" t="n">
        <f aca="false">COUNTIFS(Responses!$B$2:$B$4001,$A170,Responses!$K$2:$K$4001,"Medium",Responses!$I$2:$I$4001,"Correct")</f>
        <v>3</v>
      </c>
      <c r="M170" s="3" t="n">
        <f aca="false">COUNTIFS(Responses!$B$2:$B$4001,$A170,Responses!$K$2:$K$4001,"Medium",Responses!$I$2:$I$4001,"Wrong")</f>
        <v>3</v>
      </c>
      <c r="N170" s="2" t="n">
        <f aca="false">ROUND(SUMIFS(Responses!$J$2:$J$4001,Responses!$B$2:$B$4001,$A170,Responses!$K$2:$K$4001,"Medium"),2)</f>
        <v>10.24</v>
      </c>
      <c r="O170" s="3" t="n">
        <f aca="false">COUNTIFS(Responses!$B$2:$B$4001,$A170,Responses!$K$2:$K$4001,"Low",Responses!$I$2:$I$4001,"Correct")</f>
        <v>8</v>
      </c>
      <c r="P170" s="3" t="n">
        <f aca="false">COUNTIFS(Responses!$B$2:$B$4001,$A170,Responses!$K$2:$K$4001,"Low",Responses!$I$2:$I$4001,"Wrong")</f>
        <v>1</v>
      </c>
      <c r="Q170" s="2" t="n">
        <f aca="false">ROUND(SUMIFS(Responses!$J$2:$J$4001,Responses!$B$2:$B$4001,$A170,Responses!$K$2:$K$4001,"Low"),2)</f>
        <v>12.07</v>
      </c>
      <c r="R170" s="2" t="n">
        <f aca="false">ROUND(SUMIFS(Responses!$AB$2:$AB$4001,Responses!$B$2:$B$4001,$A170),2)</f>
        <v>20.19</v>
      </c>
      <c r="S170" s="0" t="str">
        <f aca="false">IF(R170&gt;='Reward Model'!$B$8,"Gold",IF(R170&gt;='Reward Model'!$B$9,"Silver","Bronze"))</f>
        <v>Bronze</v>
      </c>
      <c r="T170" s="2" t="n">
        <f aca="false">ROUND(R170/'Reward Model'!$B$7*100,2)</f>
        <v>49.24</v>
      </c>
    </row>
    <row r="171" customFormat="false" ht="15" hidden="false" customHeight="false" outlineLevel="0" collapsed="false">
      <c r="A171" s="0" t="s">
        <v>471</v>
      </c>
      <c r="B171" s="0" t="s">
        <v>322</v>
      </c>
      <c r="C171" s="0" t="s">
        <v>189</v>
      </c>
      <c r="D171" s="0" t="n">
        <f aca="false">F171</f>
        <v>20</v>
      </c>
      <c r="E171" s="2" t="n">
        <f aca="false">ROUND(K171+N171+Q171,2)</f>
        <v>31.71</v>
      </c>
      <c r="F171" s="3" t="n">
        <f aca="false">COUNTIFS(Responses!$B$2:$B$4001,$A171)</f>
        <v>20</v>
      </c>
      <c r="G171" s="3" t="n">
        <f aca="false">I171+L171+O171</f>
        <v>14</v>
      </c>
      <c r="H171" s="3" t="n">
        <f aca="false">J171+M171+P171</f>
        <v>6</v>
      </c>
      <c r="I171" s="3" t="n">
        <f aca="false">COUNTIFS(Responses!$B$2:$B$4001,$A171,Responses!$K$2:$K$4001,"High",Responses!$I$2:$I$4001,"Correct")</f>
        <v>2</v>
      </c>
      <c r="J171" s="3" t="n">
        <f aca="false">COUNTIFS(Responses!$B$2:$B$4001,$A171,Responses!$K$2:$K$4001,"High",Responses!$I$2:$I$4001,"Wrong")</f>
        <v>3</v>
      </c>
      <c r="K171" s="2" t="n">
        <f aca="false">ROUND(SUMIFS(Responses!$J$2:$J$4001,Responses!$B$2:$B$4001,$A171,Responses!$K$2:$K$4001,"High"),2)</f>
        <v>9.83</v>
      </c>
      <c r="L171" s="3" t="n">
        <f aca="false">COUNTIFS(Responses!$B$2:$B$4001,$A171,Responses!$K$2:$K$4001,"Medium",Responses!$I$2:$I$4001,"Correct")</f>
        <v>4</v>
      </c>
      <c r="M171" s="3" t="n">
        <f aca="false">COUNTIFS(Responses!$B$2:$B$4001,$A171,Responses!$K$2:$K$4001,"Medium",Responses!$I$2:$I$4001,"Wrong")</f>
        <v>2</v>
      </c>
      <c r="N171" s="2" t="n">
        <f aca="false">ROUND(SUMIFS(Responses!$J$2:$J$4001,Responses!$B$2:$B$4001,$A171,Responses!$K$2:$K$4001,"Medium"),2)</f>
        <v>10.49</v>
      </c>
      <c r="O171" s="3" t="n">
        <f aca="false">COUNTIFS(Responses!$B$2:$B$4001,$A171,Responses!$K$2:$K$4001,"Low",Responses!$I$2:$I$4001,"Correct")</f>
        <v>8</v>
      </c>
      <c r="P171" s="3" t="n">
        <f aca="false">COUNTIFS(Responses!$B$2:$B$4001,$A171,Responses!$K$2:$K$4001,"Low",Responses!$I$2:$I$4001,"Wrong")</f>
        <v>1</v>
      </c>
      <c r="Q171" s="2" t="n">
        <f aca="false">ROUND(SUMIFS(Responses!$J$2:$J$4001,Responses!$B$2:$B$4001,$A171,Responses!$K$2:$K$4001,"Low"),2)</f>
        <v>11.39</v>
      </c>
      <c r="R171" s="2" t="n">
        <f aca="false">ROUND(SUMIFS(Responses!$AB$2:$AB$4001,Responses!$B$2:$B$4001,$A171),2)</f>
        <v>25.74</v>
      </c>
      <c r="S171" s="0" t="str">
        <f aca="false">IF(R171&gt;='Reward Model'!$B$8,"Gold",IF(R171&gt;='Reward Model'!$B$9,"Silver","Bronze"))</f>
        <v>Silver</v>
      </c>
      <c r="T171" s="2" t="n">
        <f aca="false">ROUND(R171/'Reward Model'!$B$7*100,2)</f>
        <v>62.78</v>
      </c>
    </row>
    <row r="172" customFormat="false" ht="15" hidden="false" customHeight="false" outlineLevel="0" collapsed="false">
      <c r="A172" s="0" t="s">
        <v>473</v>
      </c>
      <c r="B172" s="0" t="s">
        <v>322</v>
      </c>
      <c r="C172" s="0" t="s">
        <v>189</v>
      </c>
      <c r="D172" s="0" t="n">
        <f aca="false">F172</f>
        <v>20</v>
      </c>
      <c r="E172" s="2" t="n">
        <f aca="false">ROUND(K172+N172+Q172,2)</f>
        <v>30.39</v>
      </c>
      <c r="F172" s="3" t="n">
        <f aca="false">COUNTIFS(Responses!$B$2:$B$4001,$A172)</f>
        <v>20</v>
      </c>
      <c r="G172" s="3" t="n">
        <f aca="false">I172+L172+O172</f>
        <v>12</v>
      </c>
      <c r="H172" s="3" t="n">
        <f aca="false">J172+M172+P172</f>
        <v>8</v>
      </c>
      <c r="I172" s="3" t="n">
        <f aca="false">COUNTIFS(Responses!$B$2:$B$4001,$A172,Responses!$K$2:$K$4001,"High",Responses!$I$2:$I$4001,"Correct")</f>
        <v>1</v>
      </c>
      <c r="J172" s="3" t="n">
        <f aca="false">COUNTIFS(Responses!$B$2:$B$4001,$A172,Responses!$K$2:$K$4001,"High",Responses!$I$2:$I$4001,"Wrong")</f>
        <v>4</v>
      </c>
      <c r="K172" s="2" t="n">
        <f aca="false">ROUND(SUMIFS(Responses!$J$2:$J$4001,Responses!$B$2:$B$4001,$A172,Responses!$K$2:$K$4001,"High"),2)</f>
        <v>8.09</v>
      </c>
      <c r="L172" s="3" t="n">
        <f aca="false">COUNTIFS(Responses!$B$2:$B$4001,$A172,Responses!$K$2:$K$4001,"Medium",Responses!$I$2:$I$4001,"Correct")</f>
        <v>5</v>
      </c>
      <c r="M172" s="3" t="n">
        <f aca="false">COUNTIFS(Responses!$B$2:$B$4001,$A172,Responses!$K$2:$K$4001,"Medium",Responses!$I$2:$I$4001,"Wrong")</f>
        <v>1</v>
      </c>
      <c r="N172" s="2" t="n">
        <f aca="false">ROUND(SUMIFS(Responses!$J$2:$J$4001,Responses!$B$2:$B$4001,$A172,Responses!$K$2:$K$4001,"Medium"),2)</f>
        <v>10.2</v>
      </c>
      <c r="O172" s="3" t="n">
        <f aca="false">COUNTIFS(Responses!$B$2:$B$4001,$A172,Responses!$K$2:$K$4001,"Low",Responses!$I$2:$I$4001,"Correct")</f>
        <v>6</v>
      </c>
      <c r="P172" s="3" t="n">
        <f aca="false">COUNTIFS(Responses!$B$2:$B$4001,$A172,Responses!$K$2:$K$4001,"Low",Responses!$I$2:$I$4001,"Wrong")</f>
        <v>3</v>
      </c>
      <c r="Q172" s="2" t="n">
        <f aca="false">ROUND(SUMIFS(Responses!$J$2:$J$4001,Responses!$B$2:$B$4001,$A172,Responses!$K$2:$K$4001,"Low"),2)</f>
        <v>12.1</v>
      </c>
      <c r="R172" s="2" t="n">
        <f aca="false">ROUND(SUMIFS(Responses!$AB$2:$AB$4001,Responses!$B$2:$B$4001,$A172),2)</f>
        <v>21.05</v>
      </c>
      <c r="S172" s="0" t="str">
        <f aca="false">IF(R172&gt;='Reward Model'!$B$8,"Gold",IF(R172&gt;='Reward Model'!$B$9,"Silver","Bronze"))</f>
        <v>Silver</v>
      </c>
      <c r="T172" s="2" t="n">
        <f aca="false">ROUND(R172/'Reward Model'!$B$7*100,2)</f>
        <v>51.34</v>
      </c>
    </row>
    <row r="173" customFormat="false" ht="15" hidden="false" customHeight="false" outlineLevel="0" collapsed="false">
      <c r="A173" s="0" t="s">
        <v>475</v>
      </c>
      <c r="B173" s="0" t="s">
        <v>322</v>
      </c>
      <c r="C173" s="0" t="s">
        <v>189</v>
      </c>
      <c r="D173" s="0" t="n">
        <f aca="false">F173</f>
        <v>20</v>
      </c>
      <c r="E173" s="2" t="n">
        <f aca="false">ROUND(K173+N173+Q173,2)</f>
        <v>33.46</v>
      </c>
      <c r="F173" s="3" t="n">
        <f aca="false">COUNTIFS(Responses!$B$2:$B$4001,$A173)</f>
        <v>20</v>
      </c>
      <c r="G173" s="3" t="n">
        <f aca="false">I173+L173+O173</f>
        <v>9</v>
      </c>
      <c r="H173" s="3" t="n">
        <f aca="false">J173+M173+P173</f>
        <v>11</v>
      </c>
      <c r="I173" s="3" t="n">
        <f aca="false">COUNTIFS(Responses!$B$2:$B$4001,$A173,Responses!$K$2:$K$4001,"High",Responses!$I$2:$I$4001,"Correct")</f>
        <v>2</v>
      </c>
      <c r="J173" s="3" t="n">
        <f aca="false">COUNTIFS(Responses!$B$2:$B$4001,$A173,Responses!$K$2:$K$4001,"High",Responses!$I$2:$I$4001,"Wrong")</f>
        <v>3</v>
      </c>
      <c r="K173" s="2" t="n">
        <f aca="false">ROUND(SUMIFS(Responses!$J$2:$J$4001,Responses!$B$2:$B$4001,$A173,Responses!$K$2:$K$4001,"High"),2)</f>
        <v>10.9</v>
      </c>
      <c r="L173" s="3" t="n">
        <f aca="false">COUNTIFS(Responses!$B$2:$B$4001,$A173,Responses!$K$2:$K$4001,"Medium",Responses!$I$2:$I$4001,"Correct")</f>
        <v>3</v>
      </c>
      <c r="M173" s="3" t="n">
        <f aca="false">COUNTIFS(Responses!$B$2:$B$4001,$A173,Responses!$K$2:$K$4001,"Medium",Responses!$I$2:$I$4001,"Wrong")</f>
        <v>3</v>
      </c>
      <c r="N173" s="2" t="n">
        <f aca="false">ROUND(SUMIFS(Responses!$J$2:$J$4001,Responses!$B$2:$B$4001,$A173,Responses!$K$2:$K$4001,"Medium"),2)</f>
        <v>9.46</v>
      </c>
      <c r="O173" s="3" t="n">
        <f aca="false">COUNTIFS(Responses!$B$2:$B$4001,$A173,Responses!$K$2:$K$4001,"Low",Responses!$I$2:$I$4001,"Correct")</f>
        <v>4</v>
      </c>
      <c r="P173" s="3" t="n">
        <f aca="false">COUNTIFS(Responses!$B$2:$B$4001,$A173,Responses!$K$2:$K$4001,"Low",Responses!$I$2:$I$4001,"Wrong")</f>
        <v>5</v>
      </c>
      <c r="Q173" s="2" t="n">
        <f aca="false">ROUND(SUMIFS(Responses!$J$2:$J$4001,Responses!$B$2:$B$4001,$A173,Responses!$K$2:$K$4001,"Low"),2)</f>
        <v>13.1</v>
      </c>
      <c r="R173" s="2" t="n">
        <f aca="false">ROUND(SUMIFS(Responses!$AB$2:$AB$4001,Responses!$B$2:$B$4001,$A173),2)</f>
        <v>16.47</v>
      </c>
      <c r="S173" s="0" t="str">
        <f aca="false">IF(R173&gt;='Reward Model'!$B$8,"Gold",IF(R173&gt;='Reward Model'!$B$9,"Silver","Bronze"))</f>
        <v>Bronze</v>
      </c>
      <c r="T173" s="2" t="n">
        <f aca="false">ROUND(R173/'Reward Model'!$B$7*100,2)</f>
        <v>40.17</v>
      </c>
    </row>
    <row r="174" customFormat="false" ht="15" hidden="false" customHeight="false" outlineLevel="0" collapsed="false">
      <c r="A174" s="0" t="s">
        <v>477</v>
      </c>
      <c r="B174" s="0" t="s">
        <v>322</v>
      </c>
      <c r="C174" s="0" t="s">
        <v>189</v>
      </c>
      <c r="D174" s="0" t="n">
        <f aca="false">F174</f>
        <v>20</v>
      </c>
      <c r="E174" s="2" t="n">
        <f aca="false">ROUND(K174+N174+Q174,2)</f>
        <v>33.95</v>
      </c>
      <c r="F174" s="3" t="n">
        <f aca="false">COUNTIFS(Responses!$B$2:$B$4001,$A174)</f>
        <v>20</v>
      </c>
      <c r="G174" s="3" t="n">
        <f aca="false">I174+L174+O174</f>
        <v>12</v>
      </c>
      <c r="H174" s="3" t="n">
        <f aca="false">J174+M174+P174</f>
        <v>8</v>
      </c>
      <c r="I174" s="3" t="n">
        <f aca="false">COUNTIFS(Responses!$B$2:$B$4001,$A174,Responses!$K$2:$K$4001,"High",Responses!$I$2:$I$4001,"Correct")</f>
        <v>1</v>
      </c>
      <c r="J174" s="3" t="n">
        <f aca="false">COUNTIFS(Responses!$B$2:$B$4001,$A174,Responses!$K$2:$K$4001,"High",Responses!$I$2:$I$4001,"Wrong")</f>
        <v>4</v>
      </c>
      <c r="K174" s="2" t="n">
        <f aca="false">ROUND(SUMIFS(Responses!$J$2:$J$4001,Responses!$B$2:$B$4001,$A174,Responses!$K$2:$K$4001,"High"),2)</f>
        <v>10.49</v>
      </c>
      <c r="L174" s="3" t="n">
        <f aca="false">COUNTIFS(Responses!$B$2:$B$4001,$A174,Responses!$K$2:$K$4001,"Medium",Responses!$I$2:$I$4001,"Correct")</f>
        <v>3</v>
      </c>
      <c r="M174" s="3" t="n">
        <f aca="false">COUNTIFS(Responses!$B$2:$B$4001,$A174,Responses!$K$2:$K$4001,"Medium",Responses!$I$2:$I$4001,"Wrong")</f>
        <v>3</v>
      </c>
      <c r="N174" s="2" t="n">
        <f aca="false">ROUND(SUMIFS(Responses!$J$2:$J$4001,Responses!$B$2:$B$4001,$A174,Responses!$K$2:$K$4001,"Medium"),2)</f>
        <v>11.09</v>
      </c>
      <c r="O174" s="3" t="n">
        <f aca="false">COUNTIFS(Responses!$B$2:$B$4001,$A174,Responses!$K$2:$K$4001,"Low",Responses!$I$2:$I$4001,"Correct")</f>
        <v>8</v>
      </c>
      <c r="P174" s="3" t="n">
        <f aca="false">COUNTIFS(Responses!$B$2:$B$4001,$A174,Responses!$K$2:$K$4001,"Low",Responses!$I$2:$I$4001,"Wrong")</f>
        <v>1</v>
      </c>
      <c r="Q174" s="2" t="n">
        <f aca="false">ROUND(SUMIFS(Responses!$J$2:$J$4001,Responses!$B$2:$B$4001,$A174,Responses!$K$2:$K$4001,"Low"),2)</f>
        <v>12.37</v>
      </c>
      <c r="R174" s="2" t="n">
        <f aca="false">ROUND(SUMIFS(Responses!$AB$2:$AB$4001,Responses!$B$2:$B$4001,$A174),2)</f>
        <v>18.63</v>
      </c>
      <c r="S174" s="0" t="str">
        <f aca="false">IF(R174&gt;='Reward Model'!$B$8,"Gold",IF(R174&gt;='Reward Model'!$B$9,"Silver","Bronze"))</f>
        <v>Bronze</v>
      </c>
      <c r="T174" s="2" t="n">
        <f aca="false">ROUND(R174/'Reward Model'!$B$7*100,2)</f>
        <v>45.44</v>
      </c>
    </row>
    <row r="175" customFormat="false" ht="15" hidden="false" customHeight="false" outlineLevel="0" collapsed="false">
      <c r="A175" s="0" t="s">
        <v>479</v>
      </c>
      <c r="B175" s="0" t="s">
        <v>322</v>
      </c>
      <c r="C175" s="0" t="s">
        <v>189</v>
      </c>
      <c r="D175" s="0" t="n">
        <f aca="false">F175</f>
        <v>20</v>
      </c>
      <c r="E175" s="2" t="n">
        <f aca="false">ROUND(K175+N175+Q175,2)</f>
        <v>32.08</v>
      </c>
      <c r="F175" s="3" t="n">
        <f aca="false">COUNTIFS(Responses!$B$2:$B$4001,$A175)</f>
        <v>20</v>
      </c>
      <c r="G175" s="3" t="n">
        <f aca="false">I175+L175+O175</f>
        <v>14</v>
      </c>
      <c r="H175" s="3" t="n">
        <f aca="false">J175+M175+P175</f>
        <v>6</v>
      </c>
      <c r="I175" s="3" t="n">
        <f aca="false">COUNTIFS(Responses!$B$2:$B$4001,$A175,Responses!$K$2:$K$4001,"High",Responses!$I$2:$I$4001,"Correct")</f>
        <v>2</v>
      </c>
      <c r="J175" s="3" t="n">
        <f aca="false">COUNTIFS(Responses!$B$2:$B$4001,$A175,Responses!$K$2:$K$4001,"High",Responses!$I$2:$I$4001,"Wrong")</f>
        <v>3</v>
      </c>
      <c r="K175" s="2" t="n">
        <f aca="false">ROUND(SUMIFS(Responses!$J$2:$J$4001,Responses!$B$2:$B$4001,$A175,Responses!$K$2:$K$4001,"High"),2)</f>
        <v>9</v>
      </c>
      <c r="L175" s="3" t="n">
        <f aca="false">COUNTIFS(Responses!$B$2:$B$4001,$A175,Responses!$K$2:$K$4001,"Medium",Responses!$I$2:$I$4001,"Correct")</f>
        <v>4</v>
      </c>
      <c r="M175" s="3" t="n">
        <f aca="false">COUNTIFS(Responses!$B$2:$B$4001,$A175,Responses!$K$2:$K$4001,"Medium",Responses!$I$2:$I$4001,"Wrong")</f>
        <v>2</v>
      </c>
      <c r="N175" s="2" t="n">
        <f aca="false">ROUND(SUMIFS(Responses!$J$2:$J$4001,Responses!$B$2:$B$4001,$A175,Responses!$K$2:$K$4001,"Medium"),2)</f>
        <v>9.92</v>
      </c>
      <c r="O175" s="3" t="n">
        <f aca="false">COUNTIFS(Responses!$B$2:$B$4001,$A175,Responses!$K$2:$K$4001,"Low",Responses!$I$2:$I$4001,"Correct")</f>
        <v>8</v>
      </c>
      <c r="P175" s="3" t="n">
        <f aca="false">COUNTIFS(Responses!$B$2:$B$4001,$A175,Responses!$K$2:$K$4001,"Low",Responses!$I$2:$I$4001,"Wrong")</f>
        <v>1</v>
      </c>
      <c r="Q175" s="2" t="n">
        <f aca="false">ROUND(SUMIFS(Responses!$J$2:$J$4001,Responses!$B$2:$B$4001,$A175,Responses!$K$2:$K$4001,"Low"),2)</f>
        <v>13.16</v>
      </c>
      <c r="R175" s="2" t="n">
        <f aca="false">ROUND(SUMIFS(Responses!$AB$2:$AB$4001,Responses!$B$2:$B$4001,$A175),2)</f>
        <v>24.68</v>
      </c>
      <c r="S175" s="0" t="str">
        <f aca="false">IF(R175&gt;='Reward Model'!$B$8,"Gold",IF(R175&gt;='Reward Model'!$B$9,"Silver","Bronze"))</f>
        <v>Silver</v>
      </c>
      <c r="T175" s="2" t="n">
        <f aca="false">ROUND(R175/'Reward Model'!$B$7*100,2)</f>
        <v>60.2</v>
      </c>
    </row>
    <row r="176" customFormat="false" ht="15" hidden="false" customHeight="false" outlineLevel="0" collapsed="false">
      <c r="A176" s="0" t="s">
        <v>481</v>
      </c>
      <c r="B176" s="0" t="s">
        <v>322</v>
      </c>
      <c r="C176" s="0" t="s">
        <v>189</v>
      </c>
      <c r="D176" s="0" t="n">
        <f aca="false">F176</f>
        <v>20</v>
      </c>
      <c r="E176" s="2" t="n">
        <f aca="false">ROUND(K176+N176+Q176,2)</f>
        <v>34.16</v>
      </c>
      <c r="F176" s="3" t="n">
        <f aca="false">COUNTIFS(Responses!$B$2:$B$4001,$A176)</f>
        <v>20</v>
      </c>
      <c r="G176" s="3" t="n">
        <f aca="false">I176+L176+O176</f>
        <v>12</v>
      </c>
      <c r="H176" s="3" t="n">
        <f aca="false">J176+M176+P176</f>
        <v>8</v>
      </c>
      <c r="I176" s="3" t="n">
        <f aca="false">COUNTIFS(Responses!$B$2:$B$4001,$A176,Responses!$K$2:$K$4001,"High",Responses!$I$2:$I$4001,"Correct")</f>
        <v>2</v>
      </c>
      <c r="J176" s="3" t="n">
        <f aca="false">COUNTIFS(Responses!$B$2:$B$4001,$A176,Responses!$K$2:$K$4001,"High",Responses!$I$2:$I$4001,"Wrong")</f>
        <v>3</v>
      </c>
      <c r="K176" s="2" t="n">
        <f aca="false">ROUND(SUMIFS(Responses!$J$2:$J$4001,Responses!$B$2:$B$4001,$A176,Responses!$K$2:$K$4001,"High"),2)</f>
        <v>10.35</v>
      </c>
      <c r="L176" s="3" t="n">
        <f aca="false">COUNTIFS(Responses!$B$2:$B$4001,$A176,Responses!$K$2:$K$4001,"Medium",Responses!$I$2:$I$4001,"Correct")</f>
        <v>3</v>
      </c>
      <c r="M176" s="3" t="n">
        <f aca="false">COUNTIFS(Responses!$B$2:$B$4001,$A176,Responses!$K$2:$K$4001,"Medium",Responses!$I$2:$I$4001,"Wrong")</f>
        <v>3</v>
      </c>
      <c r="N176" s="2" t="n">
        <f aca="false">ROUND(SUMIFS(Responses!$J$2:$J$4001,Responses!$B$2:$B$4001,$A176,Responses!$K$2:$K$4001,"Medium"),2)</f>
        <v>8.61</v>
      </c>
      <c r="O176" s="3" t="n">
        <f aca="false">COUNTIFS(Responses!$B$2:$B$4001,$A176,Responses!$K$2:$K$4001,"Low",Responses!$I$2:$I$4001,"Correct")</f>
        <v>7</v>
      </c>
      <c r="P176" s="3" t="n">
        <f aca="false">COUNTIFS(Responses!$B$2:$B$4001,$A176,Responses!$K$2:$K$4001,"Low",Responses!$I$2:$I$4001,"Wrong")</f>
        <v>2</v>
      </c>
      <c r="Q176" s="2" t="n">
        <f aca="false">ROUND(SUMIFS(Responses!$J$2:$J$4001,Responses!$B$2:$B$4001,$A176,Responses!$K$2:$K$4001,"Low"),2)</f>
        <v>15.2</v>
      </c>
      <c r="R176" s="2" t="n">
        <f aca="false">ROUND(SUMIFS(Responses!$AB$2:$AB$4001,Responses!$B$2:$B$4001,$A176),2)</f>
        <v>21.25</v>
      </c>
      <c r="S176" s="0" t="str">
        <f aca="false">IF(R176&gt;='Reward Model'!$B$8,"Gold",IF(R176&gt;='Reward Model'!$B$9,"Silver","Bronze"))</f>
        <v>Silver</v>
      </c>
      <c r="T176" s="2" t="n">
        <f aca="false">ROUND(R176/'Reward Model'!$B$7*100,2)</f>
        <v>51.83</v>
      </c>
    </row>
    <row r="177" customFormat="false" ht="15" hidden="false" customHeight="false" outlineLevel="0" collapsed="false">
      <c r="A177" s="0" t="s">
        <v>483</v>
      </c>
      <c r="B177" s="0" t="s">
        <v>322</v>
      </c>
      <c r="C177" s="0" t="s">
        <v>189</v>
      </c>
      <c r="D177" s="0" t="n">
        <f aca="false">F177</f>
        <v>20</v>
      </c>
      <c r="E177" s="2" t="n">
        <f aca="false">ROUND(K177+N177+Q177,2)</f>
        <v>34.55</v>
      </c>
      <c r="F177" s="3" t="n">
        <f aca="false">COUNTIFS(Responses!$B$2:$B$4001,$A177)</f>
        <v>20</v>
      </c>
      <c r="G177" s="3" t="n">
        <f aca="false">I177+L177+O177</f>
        <v>11</v>
      </c>
      <c r="H177" s="3" t="n">
        <f aca="false">J177+M177+P177</f>
        <v>9</v>
      </c>
      <c r="I177" s="3" t="n">
        <f aca="false">COUNTIFS(Responses!$B$2:$B$4001,$A177,Responses!$K$2:$K$4001,"High",Responses!$I$2:$I$4001,"Correct")</f>
        <v>3</v>
      </c>
      <c r="J177" s="3" t="n">
        <f aca="false">COUNTIFS(Responses!$B$2:$B$4001,$A177,Responses!$K$2:$K$4001,"High",Responses!$I$2:$I$4001,"Wrong")</f>
        <v>2</v>
      </c>
      <c r="K177" s="2" t="n">
        <f aca="false">ROUND(SUMIFS(Responses!$J$2:$J$4001,Responses!$B$2:$B$4001,$A177,Responses!$K$2:$K$4001,"High"),2)</f>
        <v>11.05</v>
      </c>
      <c r="L177" s="3" t="n">
        <f aca="false">COUNTIFS(Responses!$B$2:$B$4001,$A177,Responses!$K$2:$K$4001,"Medium",Responses!$I$2:$I$4001,"Correct")</f>
        <v>1</v>
      </c>
      <c r="M177" s="3" t="n">
        <f aca="false">COUNTIFS(Responses!$B$2:$B$4001,$A177,Responses!$K$2:$K$4001,"Medium",Responses!$I$2:$I$4001,"Wrong")</f>
        <v>5</v>
      </c>
      <c r="N177" s="2" t="n">
        <f aca="false">ROUND(SUMIFS(Responses!$J$2:$J$4001,Responses!$B$2:$B$4001,$A177,Responses!$K$2:$K$4001,"Medium"),2)</f>
        <v>9.8</v>
      </c>
      <c r="O177" s="3" t="n">
        <f aca="false">COUNTIFS(Responses!$B$2:$B$4001,$A177,Responses!$K$2:$K$4001,"Low",Responses!$I$2:$I$4001,"Correct")</f>
        <v>7</v>
      </c>
      <c r="P177" s="3" t="n">
        <f aca="false">COUNTIFS(Responses!$B$2:$B$4001,$A177,Responses!$K$2:$K$4001,"Low",Responses!$I$2:$I$4001,"Wrong")</f>
        <v>2</v>
      </c>
      <c r="Q177" s="2" t="n">
        <f aca="false">ROUND(SUMIFS(Responses!$J$2:$J$4001,Responses!$B$2:$B$4001,$A177,Responses!$K$2:$K$4001,"Low"),2)</f>
        <v>13.7</v>
      </c>
      <c r="R177" s="2" t="n">
        <f aca="false">ROUND(SUMIFS(Responses!$AB$2:$AB$4001,Responses!$B$2:$B$4001,$A177),2)</f>
        <v>19.87</v>
      </c>
      <c r="S177" s="0" t="str">
        <f aca="false">IF(R177&gt;='Reward Model'!$B$8,"Gold",IF(R177&gt;='Reward Model'!$B$9,"Silver","Bronze"))</f>
        <v>Bronze</v>
      </c>
      <c r="T177" s="2" t="n">
        <f aca="false">ROUND(R177/'Reward Model'!$B$7*100,2)</f>
        <v>48.46</v>
      </c>
    </row>
    <row r="178" customFormat="false" ht="15" hidden="false" customHeight="false" outlineLevel="0" collapsed="false">
      <c r="A178" s="0" t="s">
        <v>485</v>
      </c>
      <c r="B178" s="0" t="s">
        <v>322</v>
      </c>
      <c r="C178" s="0" t="s">
        <v>275</v>
      </c>
      <c r="D178" s="0" t="n">
        <f aca="false">F178</f>
        <v>20</v>
      </c>
      <c r="E178" s="2" t="n">
        <f aca="false">ROUND(K178+N178+Q178,2)</f>
        <v>32.51</v>
      </c>
      <c r="F178" s="3" t="n">
        <f aca="false">COUNTIFS(Responses!$B$2:$B$4001,$A178)</f>
        <v>20</v>
      </c>
      <c r="G178" s="3" t="n">
        <f aca="false">I178+L178+O178</f>
        <v>12</v>
      </c>
      <c r="H178" s="3" t="n">
        <f aca="false">J178+M178+P178</f>
        <v>8</v>
      </c>
      <c r="I178" s="3" t="n">
        <f aca="false">COUNTIFS(Responses!$B$2:$B$4001,$A178,Responses!$K$2:$K$4001,"High",Responses!$I$2:$I$4001,"Correct")</f>
        <v>2</v>
      </c>
      <c r="J178" s="3" t="n">
        <f aca="false">COUNTIFS(Responses!$B$2:$B$4001,$A178,Responses!$K$2:$K$4001,"High",Responses!$I$2:$I$4001,"Wrong")</f>
        <v>3</v>
      </c>
      <c r="K178" s="2" t="n">
        <f aca="false">ROUND(SUMIFS(Responses!$J$2:$J$4001,Responses!$B$2:$B$4001,$A178,Responses!$K$2:$K$4001,"High"),2)</f>
        <v>9.02</v>
      </c>
      <c r="L178" s="3" t="n">
        <f aca="false">COUNTIFS(Responses!$B$2:$B$4001,$A178,Responses!$K$2:$K$4001,"Medium",Responses!$I$2:$I$4001,"Correct")</f>
        <v>3</v>
      </c>
      <c r="M178" s="3" t="n">
        <f aca="false">COUNTIFS(Responses!$B$2:$B$4001,$A178,Responses!$K$2:$K$4001,"Medium",Responses!$I$2:$I$4001,"Wrong")</f>
        <v>3</v>
      </c>
      <c r="N178" s="2" t="n">
        <f aca="false">ROUND(SUMIFS(Responses!$J$2:$J$4001,Responses!$B$2:$B$4001,$A178,Responses!$K$2:$K$4001,"Medium"),2)</f>
        <v>10.34</v>
      </c>
      <c r="O178" s="3" t="n">
        <f aca="false">COUNTIFS(Responses!$B$2:$B$4001,$A178,Responses!$K$2:$K$4001,"Low",Responses!$I$2:$I$4001,"Correct")</f>
        <v>7</v>
      </c>
      <c r="P178" s="3" t="n">
        <f aca="false">COUNTIFS(Responses!$B$2:$B$4001,$A178,Responses!$K$2:$K$4001,"Low",Responses!$I$2:$I$4001,"Wrong")</f>
        <v>2</v>
      </c>
      <c r="Q178" s="2" t="n">
        <f aca="false">ROUND(SUMIFS(Responses!$J$2:$J$4001,Responses!$B$2:$B$4001,$A178,Responses!$K$2:$K$4001,"Low"),2)</f>
        <v>13.15</v>
      </c>
      <c r="R178" s="2" t="n">
        <f aca="false">ROUND(SUMIFS(Responses!$AB$2:$AB$4001,Responses!$B$2:$B$4001,$A178),2)</f>
        <v>21.33</v>
      </c>
      <c r="S178" s="0" t="str">
        <f aca="false">IF(R178&gt;='Reward Model'!$B$8,"Gold",IF(R178&gt;='Reward Model'!$B$9,"Silver","Bronze"))</f>
        <v>Silver</v>
      </c>
      <c r="T178" s="2" t="n">
        <f aca="false">ROUND(R178/'Reward Model'!$B$7*100,2)</f>
        <v>52.02</v>
      </c>
    </row>
    <row r="179" customFormat="false" ht="15" hidden="false" customHeight="false" outlineLevel="0" collapsed="false">
      <c r="A179" s="0" t="s">
        <v>487</v>
      </c>
      <c r="B179" s="0" t="s">
        <v>322</v>
      </c>
      <c r="C179" s="0" t="s">
        <v>275</v>
      </c>
      <c r="D179" s="0" t="n">
        <f aca="false">F179</f>
        <v>20</v>
      </c>
      <c r="E179" s="2" t="n">
        <f aca="false">ROUND(K179+N179+Q179,2)</f>
        <v>30.72</v>
      </c>
      <c r="F179" s="3" t="n">
        <f aca="false">COUNTIFS(Responses!$B$2:$B$4001,$A179)</f>
        <v>20</v>
      </c>
      <c r="G179" s="3" t="n">
        <f aca="false">I179+L179+O179</f>
        <v>9</v>
      </c>
      <c r="H179" s="3" t="n">
        <f aca="false">J179+M179+P179</f>
        <v>11</v>
      </c>
      <c r="I179" s="3" t="n">
        <f aca="false">COUNTIFS(Responses!$B$2:$B$4001,$A179,Responses!$K$2:$K$4001,"High",Responses!$I$2:$I$4001,"Correct")</f>
        <v>1</v>
      </c>
      <c r="J179" s="3" t="n">
        <f aca="false">COUNTIFS(Responses!$B$2:$B$4001,$A179,Responses!$K$2:$K$4001,"High",Responses!$I$2:$I$4001,"Wrong")</f>
        <v>4</v>
      </c>
      <c r="K179" s="2" t="n">
        <f aca="false">ROUND(SUMIFS(Responses!$J$2:$J$4001,Responses!$B$2:$B$4001,$A179,Responses!$K$2:$K$4001,"High"),2)</f>
        <v>7.98</v>
      </c>
      <c r="L179" s="3" t="n">
        <f aca="false">COUNTIFS(Responses!$B$2:$B$4001,$A179,Responses!$K$2:$K$4001,"Medium",Responses!$I$2:$I$4001,"Correct")</f>
        <v>3</v>
      </c>
      <c r="M179" s="3" t="n">
        <f aca="false">COUNTIFS(Responses!$B$2:$B$4001,$A179,Responses!$K$2:$K$4001,"Medium",Responses!$I$2:$I$4001,"Wrong")</f>
        <v>3</v>
      </c>
      <c r="N179" s="2" t="n">
        <f aca="false">ROUND(SUMIFS(Responses!$J$2:$J$4001,Responses!$B$2:$B$4001,$A179,Responses!$K$2:$K$4001,"Medium"),2)</f>
        <v>11.45</v>
      </c>
      <c r="O179" s="3" t="n">
        <f aca="false">COUNTIFS(Responses!$B$2:$B$4001,$A179,Responses!$K$2:$K$4001,"Low",Responses!$I$2:$I$4001,"Correct")</f>
        <v>5</v>
      </c>
      <c r="P179" s="3" t="n">
        <f aca="false">COUNTIFS(Responses!$B$2:$B$4001,$A179,Responses!$K$2:$K$4001,"Low",Responses!$I$2:$I$4001,"Wrong")</f>
        <v>4</v>
      </c>
      <c r="Q179" s="2" t="n">
        <f aca="false">ROUND(SUMIFS(Responses!$J$2:$J$4001,Responses!$B$2:$B$4001,$A179,Responses!$K$2:$K$4001,"Low"),2)</f>
        <v>11.29</v>
      </c>
      <c r="R179" s="2" t="n">
        <f aca="false">ROUND(SUMIFS(Responses!$AB$2:$AB$4001,Responses!$B$2:$B$4001,$A179),2)</f>
        <v>15.46</v>
      </c>
      <c r="S179" s="0" t="str">
        <f aca="false">IF(R179&gt;='Reward Model'!$B$8,"Gold",IF(R179&gt;='Reward Model'!$B$9,"Silver","Bronze"))</f>
        <v>Bronze</v>
      </c>
      <c r="T179" s="2" t="n">
        <f aca="false">ROUND(R179/'Reward Model'!$B$7*100,2)</f>
        <v>37.71</v>
      </c>
    </row>
    <row r="180" customFormat="false" ht="15" hidden="false" customHeight="false" outlineLevel="0" collapsed="false">
      <c r="A180" s="0" t="s">
        <v>489</v>
      </c>
      <c r="B180" s="0" t="s">
        <v>322</v>
      </c>
      <c r="C180" s="0" t="s">
        <v>275</v>
      </c>
      <c r="D180" s="0" t="n">
        <f aca="false">F180</f>
        <v>20</v>
      </c>
      <c r="E180" s="2" t="n">
        <f aca="false">ROUND(K180+N180+Q180,2)</f>
        <v>34.82</v>
      </c>
      <c r="F180" s="3" t="n">
        <f aca="false">COUNTIFS(Responses!$B$2:$B$4001,$A180)</f>
        <v>20</v>
      </c>
      <c r="G180" s="3" t="n">
        <f aca="false">I180+L180+O180</f>
        <v>12</v>
      </c>
      <c r="H180" s="3" t="n">
        <f aca="false">J180+M180+P180</f>
        <v>8</v>
      </c>
      <c r="I180" s="3" t="n">
        <f aca="false">COUNTIFS(Responses!$B$2:$B$4001,$A180,Responses!$K$2:$K$4001,"High",Responses!$I$2:$I$4001,"Correct")</f>
        <v>1</v>
      </c>
      <c r="J180" s="3" t="n">
        <f aca="false">COUNTIFS(Responses!$B$2:$B$4001,$A180,Responses!$K$2:$K$4001,"High",Responses!$I$2:$I$4001,"Wrong")</f>
        <v>4</v>
      </c>
      <c r="K180" s="2" t="n">
        <f aca="false">ROUND(SUMIFS(Responses!$J$2:$J$4001,Responses!$B$2:$B$4001,$A180,Responses!$K$2:$K$4001,"High"),2)</f>
        <v>10.63</v>
      </c>
      <c r="L180" s="3" t="n">
        <f aca="false">COUNTIFS(Responses!$B$2:$B$4001,$A180,Responses!$K$2:$K$4001,"Medium",Responses!$I$2:$I$4001,"Correct")</f>
        <v>5</v>
      </c>
      <c r="M180" s="3" t="n">
        <f aca="false">COUNTIFS(Responses!$B$2:$B$4001,$A180,Responses!$K$2:$K$4001,"Medium",Responses!$I$2:$I$4001,"Wrong")</f>
        <v>1</v>
      </c>
      <c r="N180" s="2" t="n">
        <f aca="false">ROUND(SUMIFS(Responses!$J$2:$J$4001,Responses!$B$2:$B$4001,$A180,Responses!$K$2:$K$4001,"Medium"),2)</f>
        <v>10.82</v>
      </c>
      <c r="O180" s="3" t="n">
        <f aca="false">COUNTIFS(Responses!$B$2:$B$4001,$A180,Responses!$K$2:$K$4001,"Low",Responses!$I$2:$I$4001,"Correct")</f>
        <v>6</v>
      </c>
      <c r="P180" s="3" t="n">
        <f aca="false">COUNTIFS(Responses!$B$2:$B$4001,$A180,Responses!$K$2:$K$4001,"Low",Responses!$I$2:$I$4001,"Wrong")</f>
        <v>3</v>
      </c>
      <c r="Q180" s="2" t="n">
        <f aca="false">ROUND(SUMIFS(Responses!$J$2:$J$4001,Responses!$B$2:$B$4001,$A180,Responses!$K$2:$K$4001,"Low"),2)</f>
        <v>13.37</v>
      </c>
      <c r="R180" s="2" t="n">
        <f aca="false">ROUND(SUMIFS(Responses!$AB$2:$AB$4001,Responses!$B$2:$B$4001,$A180),2)</f>
        <v>20.51</v>
      </c>
      <c r="S180" s="0" t="str">
        <f aca="false">IF(R180&gt;='Reward Model'!$B$8,"Gold",IF(R180&gt;='Reward Model'!$B$9,"Silver","Bronze"))</f>
        <v>Silver</v>
      </c>
      <c r="T180" s="2" t="n">
        <f aca="false">ROUND(R180/'Reward Model'!$B$7*100,2)</f>
        <v>50.02</v>
      </c>
    </row>
    <row r="181" customFormat="false" ht="15" hidden="false" customHeight="false" outlineLevel="0" collapsed="false">
      <c r="A181" s="0" t="s">
        <v>491</v>
      </c>
      <c r="B181" s="0" t="s">
        <v>322</v>
      </c>
      <c r="C181" s="0" t="s">
        <v>275</v>
      </c>
      <c r="D181" s="0" t="n">
        <f aca="false">F181</f>
        <v>20</v>
      </c>
      <c r="E181" s="2" t="n">
        <f aca="false">ROUND(K181+N181+Q181,2)</f>
        <v>30.56</v>
      </c>
      <c r="F181" s="3" t="n">
        <f aca="false">COUNTIFS(Responses!$B$2:$B$4001,$A181)</f>
        <v>20</v>
      </c>
      <c r="G181" s="3" t="n">
        <f aca="false">I181+L181+O181</f>
        <v>12</v>
      </c>
      <c r="H181" s="3" t="n">
        <f aca="false">J181+M181+P181</f>
        <v>8</v>
      </c>
      <c r="I181" s="3" t="n">
        <f aca="false">COUNTIFS(Responses!$B$2:$B$4001,$A181,Responses!$K$2:$K$4001,"High",Responses!$I$2:$I$4001,"Correct")</f>
        <v>1</v>
      </c>
      <c r="J181" s="3" t="n">
        <f aca="false">COUNTIFS(Responses!$B$2:$B$4001,$A181,Responses!$K$2:$K$4001,"High",Responses!$I$2:$I$4001,"Wrong")</f>
        <v>4</v>
      </c>
      <c r="K181" s="2" t="n">
        <f aca="false">ROUND(SUMIFS(Responses!$J$2:$J$4001,Responses!$B$2:$B$4001,$A181,Responses!$K$2:$K$4001,"High"),2)</f>
        <v>8.1</v>
      </c>
      <c r="L181" s="3" t="n">
        <f aca="false">COUNTIFS(Responses!$B$2:$B$4001,$A181,Responses!$K$2:$K$4001,"Medium",Responses!$I$2:$I$4001,"Correct")</f>
        <v>3</v>
      </c>
      <c r="M181" s="3" t="n">
        <f aca="false">COUNTIFS(Responses!$B$2:$B$4001,$A181,Responses!$K$2:$K$4001,"Medium",Responses!$I$2:$I$4001,"Wrong")</f>
        <v>3</v>
      </c>
      <c r="N181" s="2" t="n">
        <f aca="false">ROUND(SUMIFS(Responses!$J$2:$J$4001,Responses!$B$2:$B$4001,$A181,Responses!$K$2:$K$4001,"Medium"),2)</f>
        <v>9.99</v>
      </c>
      <c r="O181" s="3" t="n">
        <f aca="false">COUNTIFS(Responses!$B$2:$B$4001,$A181,Responses!$K$2:$K$4001,"Low",Responses!$I$2:$I$4001,"Correct")</f>
        <v>8</v>
      </c>
      <c r="P181" s="3" t="n">
        <f aca="false">COUNTIFS(Responses!$B$2:$B$4001,$A181,Responses!$K$2:$K$4001,"Low",Responses!$I$2:$I$4001,"Wrong")</f>
        <v>1</v>
      </c>
      <c r="Q181" s="2" t="n">
        <f aca="false">ROUND(SUMIFS(Responses!$J$2:$J$4001,Responses!$B$2:$B$4001,$A181,Responses!$K$2:$K$4001,"Low"),2)</f>
        <v>12.47</v>
      </c>
      <c r="R181" s="2" t="n">
        <f aca="false">ROUND(SUMIFS(Responses!$AB$2:$AB$4001,Responses!$B$2:$B$4001,$A181),2)</f>
        <v>21.42</v>
      </c>
      <c r="S181" s="0" t="str">
        <f aca="false">IF(R181&gt;='Reward Model'!$B$8,"Gold",IF(R181&gt;='Reward Model'!$B$9,"Silver","Bronze"))</f>
        <v>Silver</v>
      </c>
      <c r="T181" s="2" t="n">
        <f aca="false">ROUND(R181/'Reward Model'!$B$7*100,2)</f>
        <v>52.24</v>
      </c>
    </row>
    <row r="182" customFormat="false" ht="15" hidden="false" customHeight="false" outlineLevel="0" collapsed="false">
      <c r="A182" s="0" t="s">
        <v>493</v>
      </c>
      <c r="B182" s="0" t="s">
        <v>322</v>
      </c>
      <c r="C182" s="0" t="s">
        <v>275</v>
      </c>
      <c r="D182" s="0" t="n">
        <f aca="false">F182</f>
        <v>20</v>
      </c>
      <c r="E182" s="2" t="n">
        <f aca="false">ROUND(K182+N182+Q182,2)</f>
        <v>30.53</v>
      </c>
      <c r="F182" s="3" t="n">
        <f aca="false">COUNTIFS(Responses!$B$2:$B$4001,$A182)</f>
        <v>20</v>
      </c>
      <c r="G182" s="3" t="n">
        <f aca="false">I182+L182+O182</f>
        <v>17</v>
      </c>
      <c r="H182" s="3" t="n">
        <f aca="false">J182+M182+P182</f>
        <v>3</v>
      </c>
      <c r="I182" s="3" t="n">
        <f aca="false">COUNTIFS(Responses!$B$2:$B$4001,$A182,Responses!$K$2:$K$4001,"High",Responses!$I$2:$I$4001,"Correct")</f>
        <v>4</v>
      </c>
      <c r="J182" s="3" t="n">
        <f aca="false">COUNTIFS(Responses!$B$2:$B$4001,$A182,Responses!$K$2:$K$4001,"High",Responses!$I$2:$I$4001,"Wrong")</f>
        <v>1</v>
      </c>
      <c r="K182" s="2" t="n">
        <f aca="false">ROUND(SUMIFS(Responses!$J$2:$J$4001,Responses!$B$2:$B$4001,$A182,Responses!$K$2:$K$4001,"High"),2)</f>
        <v>7.81</v>
      </c>
      <c r="L182" s="3" t="n">
        <f aca="false">COUNTIFS(Responses!$B$2:$B$4001,$A182,Responses!$K$2:$K$4001,"Medium",Responses!$I$2:$I$4001,"Correct")</f>
        <v>5</v>
      </c>
      <c r="M182" s="3" t="n">
        <f aca="false">COUNTIFS(Responses!$B$2:$B$4001,$A182,Responses!$K$2:$K$4001,"Medium",Responses!$I$2:$I$4001,"Wrong")</f>
        <v>1</v>
      </c>
      <c r="N182" s="2" t="n">
        <f aca="false">ROUND(SUMIFS(Responses!$J$2:$J$4001,Responses!$B$2:$B$4001,$A182,Responses!$K$2:$K$4001,"Medium"),2)</f>
        <v>9.16</v>
      </c>
      <c r="O182" s="3" t="n">
        <f aca="false">COUNTIFS(Responses!$B$2:$B$4001,$A182,Responses!$K$2:$K$4001,"Low",Responses!$I$2:$I$4001,"Correct")</f>
        <v>8</v>
      </c>
      <c r="P182" s="3" t="n">
        <f aca="false">COUNTIFS(Responses!$B$2:$B$4001,$A182,Responses!$K$2:$K$4001,"Low",Responses!$I$2:$I$4001,"Wrong")</f>
        <v>1</v>
      </c>
      <c r="Q182" s="2" t="n">
        <f aca="false">ROUND(SUMIFS(Responses!$J$2:$J$4001,Responses!$B$2:$B$4001,$A182,Responses!$K$2:$K$4001,"Low"),2)</f>
        <v>13.56</v>
      </c>
      <c r="R182" s="2" t="n">
        <f aca="false">ROUND(SUMIFS(Responses!$AB$2:$AB$4001,Responses!$B$2:$B$4001,$A182),2)</f>
        <v>33.68</v>
      </c>
      <c r="S182" s="0" t="str">
        <f aca="false">IF(R182&gt;='Reward Model'!$B$8,"Gold",IF(R182&gt;='Reward Model'!$B$9,"Silver","Bronze"))</f>
        <v>Gold</v>
      </c>
      <c r="T182" s="2" t="n">
        <f aca="false">ROUND(R182/'Reward Model'!$B$7*100,2)</f>
        <v>82.15</v>
      </c>
    </row>
    <row r="183" customFormat="false" ht="15" hidden="false" customHeight="false" outlineLevel="0" collapsed="false">
      <c r="A183" s="0" t="s">
        <v>495</v>
      </c>
      <c r="B183" s="0" t="s">
        <v>322</v>
      </c>
      <c r="C183" s="0" t="s">
        <v>275</v>
      </c>
      <c r="D183" s="0" t="n">
        <f aca="false">F183</f>
        <v>20</v>
      </c>
      <c r="E183" s="2" t="n">
        <f aca="false">ROUND(K183+N183+Q183,2)</f>
        <v>35.17</v>
      </c>
      <c r="F183" s="3" t="n">
        <f aca="false">COUNTIFS(Responses!$B$2:$B$4001,$A183)</f>
        <v>20</v>
      </c>
      <c r="G183" s="3" t="n">
        <f aca="false">I183+L183+O183</f>
        <v>12</v>
      </c>
      <c r="H183" s="3" t="n">
        <f aca="false">J183+M183+P183</f>
        <v>8</v>
      </c>
      <c r="I183" s="3" t="n">
        <f aca="false">COUNTIFS(Responses!$B$2:$B$4001,$A183,Responses!$K$2:$K$4001,"High",Responses!$I$2:$I$4001,"Correct")</f>
        <v>1</v>
      </c>
      <c r="J183" s="3" t="n">
        <f aca="false">COUNTIFS(Responses!$B$2:$B$4001,$A183,Responses!$K$2:$K$4001,"High",Responses!$I$2:$I$4001,"Wrong")</f>
        <v>4</v>
      </c>
      <c r="K183" s="2" t="n">
        <f aca="false">ROUND(SUMIFS(Responses!$J$2:$J$4001,Responses!$B$2:$B$4001,$A183,Responses!$K$2:$K$4001,"High"),2)</f>
        <v>8.58</v>
      </c>
      <c r="L183" s="3" t="n">
        <f aca="false">COUNTIFS(Responses!$B$2:$B$4001,$A183,Responses!$K$2:$K$4001,"Medium",Responses!$I$2:$I$4001,"Correct")</f>
        <v>5</v>
      </c>
      <c r="M183" s="3" t="n">
        <f aca="false">COUNTIFS(Responses!$B$2:$B$4001,$A183,Responses!$K$2:$K$4001,"Medium",Responses!$I$2:$I$4001,"Wrong")</f>
        <v>1</v>
      </c>
      <c r="N183" s="2" t="n">
        <f aca="false">ROUND(SUMIFS(Responses!$J$2:$J$4001,Responses!$B$2:$B$4001,$A183,Responses!$K$2:$K$4001,"Medium"),2)</f>
        <v>10.7</v>
      </c>
      <c r="O183" s="3" t="n">
        <f aca="false">COUNTIFS(Responses!$B$2:$B$4001,$A183,Responses!$K$2:$K$4001,"Low",Responses!$I$2:$I$4001,"Correct")</f>
        <v>6</v>
      </c>
      <c r="P183" s="3" t="n">
        <f aca="false">COUNTIFS(Responses!$B$2:$B$4001,$A183,Responses!$K$2:$K$4001,"Low",Responses!$I$2:$I$4001,"Wrong")</f>
        <v>3</v>
      </c>
      <c r="Q183" s="2" t="n">
        <f aca="false">ROUND(SUMIFS(Responses!$J$2:$J$4001,Responses!$B$2:$B$4001,$A183,Responses!$K$2:$K$4001,"Low"),2)</f>
        <v>15.89</v>
      </c>
      <c r="R183" s="2" t="n">
        <f aca="false">ROUND(SUMIFS(Responses!$AB$2:$AB$4001,Responses!$B$2:$B$4001,$A183),2)</f>
        <v>20.35</v>
      </c>
      <c r="S183" s="0" t="str">
        <f aca="false">IF(R183&gt;='Reward Model'!$B$8,"Gold",IF(R183&gt;='Reward Model'!$B$9,"Silver","Bronze"))</f>
        <v>Bronze</v>
      </c>
      <c r="T183" s="2" t="n">
        <f aca="false">ROUND(R183/'Reward Model'!$B$7*100,2)</f>
        <v>49.63</v>
      </c>
    </row>
    <row r="184" customFormat="false" ht="15" hidden="false" customHeight="false" outlineLevel="0" collapsed="false">
      <c r="A184" s="0" t="s">
        <v>497</v>
      </c>
      <c r="B184" s="0" t="s">
        <v>322</v>
      </c>
      <c r="C184" s="0" t="s">
        <v>275</v>
      </c>
      <c r="D184" s="0" t="n">
        <f aca="false">F184</f>
        <v>20</v>
      </c>
      <c r="E184" s="2" t="n">
        <f aca="false">ROUND(K184+N184+Q184,2)</f>
        <v>33.22</v>
      </c>
      <c r="F184" s="3" t="n">
        <f aca="false">COUNTIFS(Responses!$B$2:$B$4001,$A184)</f>
        <v>20</v>
      </c>
      <c r="G184" s="3" t="n">
        <f aca="false">I184+L184+O184</f>
        <v>15</v>
      </c>
      <c r="H184" s="3" t="n">
        <f aca="false">J184+M184+P184</f>
        <v>5</v>
      </c>
      <c r="I184" s="3" t="n">
        <f aca="false">COUNTIFS(Responses!$B$2:$B$4001,$A184,Responses!$K$2:$K$4001,"High",Responses!$I$2:$I$4001,"Correct")</f>
        <v>4</v>
      </c>
      <c r="J184" s="3" t="n">
        <f aca="false">COUNTIFS(Responses!$B$2:$B$4001,$A184,Responses!$K$2:$K$4001,"High",Responses!$I$2:$I$4001,"Wrong")</f>
        <v>1</v>
      </c>
      <c r="K184" s="2" t="n">
        <f aca="false">ROUND(SUMIFS(Responses!$J$2:$J$4001,Responses!$B$2:$B$4001,$A184,Responses!$K$2:$K$4001,"High"),2)</f>
        <v>9.7</v>
      </c>
      <c r="L184" s="3" t="n">
        <f aca="false">COUNTIFS(Responses!$B$2:$B$4001,$A184,Responses!$K$2:$K$4001,"Medium",Responses!$I$2:$I$4001,"Correct")</f>
        <v>3</v>
      </c>
      <c r="M184" s="3" t="n">
        <f aca="false">COUNTIFS(Responses!$B$2:$B$4001,$A184,Responses!$K$2:$K$4001,"Medium",Responses!$I$2:$I$4001,"Wrong")</f>
        <v>3</v>
      </c>
      <c r="N184" s="2" t="n">
        <f aca="false">ROUND(SUMIFS(Responses!$J$2:$J$4001,Responses!$B$2:$B$4001,$A184,Responses!$K$2:$K$4001,"Medium"),2)</f>
        <v>10.88</v>
      </c>
      <c r="O184" s="3" t="n">
        <f aca="false">COUNTIFS(Responses!$B$2:$B$4001,$A184,Responses!$K$2:$K$4001,"Low",Responses!$I$2:$I$4001,"Correct")</f>
        <v>8</v>
      </c>
      <c r="P184" s="3" t="n">
        <f aca="false">COUNTIFS(Responses!$B$2:$B$4001,$A184,Responses!$K$2:$K$4001,"Low",Responses!$I$2:$I$4001,"Wrong")</f>
        <v>1</v>
      </c>
      <c r="Q184" s="2" t="n">
        <f aca="false">ROUND(SUMIFS(Responses!$J$2:$J$4001,Responses!$B$2:$B$4001,$A184,Responses!$K$2:$K$4001,"Low"),2)</f>
        <v>12.64</v>
      </c>
      <c r="R184" s="2" t="n">
        <f aca="false">ROUND(SUMIFS(Responses!$AB$2:$AB$4001,Responses!$B$2:$B$4001,$A184),2)</f>
        <v>28.3</v>
      </c>
      <c r="S184" s="0" t="str">
        <f aca="false">IF(R184&gt;='Reward Model'!$B$8,"Gold",IF(R184&gt;='Reward Model'!$B$9,"Silver","Bronze"))</f>
        <v>Silver</v>
      </c>
      <c r="T184" s="2" t="n">
        <f aca="false">ROUND(R184/'Reward Model'!$B$7*100,2)</f>
        <v>69.02</v>
      </c>
    </row>
    <row r="185" customFormat="false" ht="15" hidden="false" customHeight="false" outlineLevel="0" collapsed="false">
      <c r="A185" s="0" t="s">
        <v>499</v>
      </c>
      <c r="B185" s="0" t="s">
        <v>322</v>
      </c>
      <c r="C185" s="0" t="s">
        <v>275</v>
      </c>
      <c r="D185" s="0" t="n">
        <f aca="false">F185</f>
        <v>20</v>
      </c>
      <c r="E185" s="2" t="n">
        <f aca="false">ROUND(K185+N185+Q185,2)</f>
        <v>31.59</v>
      </c>
      <c r="F185" s="3" t="n">
        <f aca="false">COUNTIFS(Responses!$B$2:$B$4001,$A185)</f>
        <v>20</v>
      </c>
      <c r="G185" s="3" t="n">
        <f aca="false">I185+L185+O185</f>
        <v>16</v>
      </c>
      <c r="H185" s="3" t="n">
        <f aca="false">J185+M185+P185</f>
        <v>4</v>
      </c>
      <c r="I185" s="3" t="n">
        <f aca="false">COUNTIFS(Responses!$B$2:$B$4001,$A185,Responses!$K$2:$K$4001,"High",Responses!$I$2:$I$4001,"Correct")</f>
        <v>3</v>
      </c>
      <c r="J185" s="3" t="n">
        <f aca="false">COUNTIFS(Responses!$B$2:$B$4001,$A185,Responses!$K$2:$K$4001,"High",Responses!$I$2:$I$4001,"Wrong")</f>
        <v>2</v>
      </c>
      <c r="K185" s="2" t="n">
        <f aca="false">ROUND(SUMIFS(Responses!$J$2:$J$4001,Responses!$B$2:$B$4001,$A185,Responses!$K$2:$K$4001,"High"),2)</f>
        <v>9.32</v>
      </c>
      <c r="L185" s="3" t="n">
        <f aca="false">COUNTIFS(Responses!$B$2:$B$4001,$A185,Responses!$K$2:$K$4001,"Medium",Responses!$I$2:$I$4001,"Correct")</f>
        <v>5</v>
      </c>
      <c r="M185" s="3" t="n">
        <f aca="false">COUNTIFS(Responses!$B$2:$B$4001,$A185,Responses!$K$2:$K$4001,"Medium",Responses!$I$2:$I$4001,"Wrong")</f>
        <v>1</v>
      </c>
      <c r="N185" s="2" t="n">
        <f aca="false">ROUND(SUMIFS(Responses!$J$2:$J$4001,Responses!$B$2:$B$4001,$A185,Responses!$K$2:$K$4001,"Medium"),2)</f>
        <v>9.34</v>
      </c>
      <c r="O185" s="3" t="n">
        <f aca="false">COUNTIFS(Responses!$B$2:$B$4001,$A185,Responses!$K$2:$K$4001,"Low",Responses!$I$2:$I$4001,"Correct")</f>
        <v>8</v>
      </c>
      <c r="P185" s="3" t="n">
        <f aca="false">COUNTIFS(Responses!$B$2:$B$4001,$A185,Responses!$K$2:$K$4001,"Low",Responses!$I$2:$I$4001,"Wrong")</f>
        <v>1</v>
      </c>
      <c r="Q185" s="2" t="n">
        <f aca="false">ROUND(SUMIFS(Responses!$J$2:$J$4001,Responses!$B$2:$B$4001,$A185,Responses!$K$2:$K$4001,"Low"),2)</f>
        <v>12.93</v>
      </c>
      <c r="R185" s="2" t="n">
        <f aca="false">ROUND(SUMIFS(Responses!$AB$2:$AB$4001,Responses!$B$2:$B$4001,$A185),2)</f>
        <v>30.32</v>
      </c>
      <c r="S185" s="0" t="str">
        <f aca="false">IF(R185&gt;='Reward Model'!$B$8,"Gold",IF(R185&gt;='Reward Model'!$B$9,"Silver","Bronze"))</f>
        <v>Gold</v>
      </c>
      <c r="T185" s="2" t="n">
        <f aca="false">ROUND(R185/'Reward Model'!$B$7*100,2)</f>
        <v>73.95</v>
      </c>
    </row>
    <row r="186" customFormat="false" ht="15" hidden="false" customHeight="false" outlineLevel="0" collapsed="false">
      <c r="A186" s="0" t="s">
        <v>501</v>
      </c>
      <c r="B186" s="0" t="s">
        <v>322</v>
      </c>
      <c r="C186" s="0" t="s">
        <v>275</v>
      </c>
      <c r="D186" s="0" t="n">
        <f aca="false">F186</f>
        <v>20</v>
      </c>
      <c r="E186" s="2" t="n">
        <f aca="false">ROUND(K186+N186+Q186,2)</f>
        <v>32.55</v>
      </c>
      <c r="F186" s="3" t="n">
        <f aca="false">COUNTIFS(Responses!$B$2:$B$4001,$A186)</f>
        <v>20</v>
      </c>
      <c r="G186" s="3" t="n">
        <f aca="false">I186+L186+O186</f>
        <v>15</v>
      </c>
      <c r="H186" s="3" t="n">
        <f aca="false">J186+M186+P186</f>
        <v>5</v>
      </c>
      <c r="I186" s="3" t="n">
        <f aca="false">COUNTIFS(Responses!$B$2:$B$4001,$A186,Responses!$K$2:$K$4001,"High",Responses!$I$2:$I$4001,"Correct")</f>
        <v>2</v>
      </c>
      <c r="J186" s="3" t="n">
        <f aca="false">COUNTIFS(Responses!$B$2:$B$4001,$A186,Responses!$K$2:$K$4001,"High",Responses!$I$2:$I$4001,"Wrong")</f>
        <v>3</v>
      </c>
      <c r="K186" s="2" t="n">
        <f aca="false">ROUND(SUMIFS(Responses!$J$2:$J$4001,Responses!$B$2:$B$4001,$A186,Responses!$K$2:$K$4001,"High"),2)</f>
        <v>8.24</v>
      </c>
      <c r="L186" s="3" t="n">
        <f aca="false">COUNTIFS(Responses!$B$2:$B$4001,$A186,Responses!$K$2:$K$4001,"Medium",Responses!$I$2:$I$4001,"Correct")</f>
        <v>5</v>
      </c>
      <c r="M186" s="3" t="n">
        <f aca="false">COUNTIFS(Responses!$B$2:$B$4001,$A186,Responses!$K$2:$K$4001,"Medium",Responses!$I$2:$I$4001,"Wrong")</f>
        <v>1</v>
      </c>
      <c r="N186" s="2" t="n">
        <f aca="false">ROUND(SUMIFS(Responses!$J$2:$J$4001,Responses!$B$2:$B$4001,$A186,Responses!$K$2:$K$4001,"Medium"),2)</f>
        <v>10.21</v>
      </c>
      <c r="O186" s="3" t="n">
        <f aca="false">COUNTIFS(Responses!$B$2:$B$4001,$A186,Responses!$K$2:$K$4001,"Low",Responses!$I$2:$I$4001,"Correct")</f>
        <v>8</v>
      </c>
      <c r="P186" s="3" t="n">
        <f aca="false">COUNTIFS(Responses!$B$2:$B$4001,$A186,Responses!$K$2:$K$4001,"Low",Responses!$I$2:$I$4001,"Wrong")</f>
        <v>1</v>
      </c>
      <c r="Q186" s="2" t="n">
        <f aca="false">ROUND(SUMIFS(Responses!$J$2:$J$4001,Responses!$B$2:$B$4001,$A186,Responses!$K$2:$K$4001,"Low"),2)</f>
        <v>14.1</v>
      </c>
      <c r="R186" s="2" t="n">
        <f aca="false">ROUND(SUMIFS(Responses!$AB$2:$AB$4001,Responses!$B$2:$B$4001,$A186),2)</f>
        <v>26.34</v>
      </c>
      <c r="S186" s="0" t="str">
        <f aca="false">IF(R186&gt;='Reward Model'!$B$8,"Gold",IF(R186&gt;='Reward Model'!$B$9,"Silver","Bronze"))</f>
        <v>Silver</v>
      </c>
      <c r="T186" s="2" t="n">
        <f aca="false">ROUND(R186/'Reward Model'!$B$7*100,2)</f>
        <v>64.24</v>
      </c>
    </row>
    <row r="187" customFormat="false" ht="15" hidden="false" customHeight="false" outlineLevel="0" collapsed="false">
      <c r="A187" s="0" t="s">
        <v>503</v>
      </c>
      <c r="B187" s="0" t="s">
        <v>322</v>
      </c>
      <c r="C187" s="0" t="s">
        <v>275</v>
      </c>
      <c r="D187" s="0" t="n">
        <f aca="false">F187</f>
        <v>20</v>
      </c>
      <c r="E187" s="2" t="n">
        <f aca="false">ROUND(K187+N187+Q187,2)</f>
        <v>34.13</v>
      </c>
      <c r="F187" s="3" t="n">
        <f aca="false">COUNTIFS(Responses!$B$2:$B$4001,$A187)</f>
        <v>20</v>
      </c>
      <c r="G187" s="3" t="n">
        <f aca="false">I187+L187+O187</f>
        <v>12</v>
      </c>
      <c r="H187" s="3" t="n">
        <f aca="false">J187+M187+P187</f>
        <v>8</v>
      </c>
      <c r="I187" s="3" t="n">
        <f aca="false">COUNTIFS(Responses!$B$2:$B$4001,$A187,Responses!$K$2:$K$4001,"High",Responses!$I$2:$I$4001,"Correct")</f>
        <v>2</v>
      </c>
      <c r="J187" s="3" t="n">
        <f aca="false">COUNTIFS(Responses!$B$2:$B$4001,$A187,Responses!$K$2:$K$4001,"High",Responses!$I$2:$I$4001,"Wrong")</f>
        <v>3</v>
      </c>
      <c r="K187" s="2" t="n">
        <f aca="false">ROUND(SUMIFS(Responses!$J$2:$J$4001,Responses!$B$2:$B$4001,$A187,Responses!$K$2:$K$4001,"High"),2)</f>
        <v>9.64</v>
      </c>
      <c r="L187" s="3" t="n">
        <f aca="false">COUNTIFS(Responses!$B$2:$B$4001,$A187,Responses!$K$2:$K$4001,"Medium",Responses!$I$2:$I$4001,"Correct")</f>
        <v>2</v>
      </c>
      <c r="M187" s="3" t="n">
        <f aca="false">COUNTIFS(Responses!$B$2:$B$4001,$A187,Responses!$K$2:$K$4001,"Medium",Responses!$I$2:$I$4001,"Wrong")</f>
        <v>4</v>
      </c>
      <c r="N187" s="2" t="n">
        <f aca="false">ROUND(SUMIFS(Responses!$J$2:$J$4001,Responses!$B$2:$B$4001,$A187,Responses!$K$2:$K$4001,"Medium"),2)</f>
        <v>10.75</v>
      </c>
      <c r="O187" s="3" t="n">
        <f aca="false">COUNTIFS(Responses!$B$2:$B$4001,$A187,Responses!$K$2:$K$4001,"Low",Responses!$I$2:$I$4001,"Correct")</f>
        <v>8</v>
      </c>
      <c r="P187" s="3" t="n">
        <f aca="false">COUNTIFS(Responses!$B$2:$B$4001,$A187,Responses!$K$2:$K$4001,"Low",Responses!$I$2:$I$4001,"Wrong")</f>
        <v>1</v>
      </c>
      <c r="Q187" s="2" t="n">
        <f aca="false">ROUND(SUMIFS(Responses!$J$2:$J$4001,Responses!$B$2:$B$4001,$A187,Responses!$K$2:$K$4001,"Low"),2)</f>
        <v>13.74</v>
      </c>
      <c r="R187" s="2" t="n">
        <f aca="false">ROUND(SUMIFS(Responses!$AB$2:$AB$4001,Responses!$B$2:$B$4001,$A187),2)</f>
        <v>20.4</v>
      </c>
      <c r="S187" s="0" t="str">
        <f aca="false">IF(R187&gt;='Reward Model'!$B$8,"Gold",IF(R187&gt;='Reward Model'!$B$9,"Silver","Bronze"))</f>
        <v>Bronze</v>
      </c>
      <c r="T187" s="2" t="n">
        <f aca="false">ROUND(R187/'Reward Model'!$B$7*100,2)</f>
        <v>49.76</v>
      </c>
    </row>
    <row r="188" customFormat="false" ht="15" hidden="false" customHeight="false" outlineLevel="0" collapsed="false">
      <c r="A188" s="0" t="s">
        <v>505</v>
      </c>
      <c r="B188" s="0" t="s">
        <v>322</v>
      </c>
      <c r="C188" s="0" t="s">
        <v>275</v>
      </c>
      <c r="D188" s="0" t="n">
        <f aca="false">F188</f>
        <v>20</v>
      </c>
      <c r="E188" s="2" t="n">
        <f aca="false">ROUND(K188+N188+Q188,2)</f>
        <v>32.26</v>
      </c>
      <c r="F188" s="3" t="n">
        <f aca="false">COUNTIFS(Responses!$B$2:$B$4001,$A188)</f>
        <v>20</v>
      </c>
      <c r="G188" s="3" t="n">
        <f aca="false">I188+L188+O188</f>
        <v>15</v>
      </c>
      <c r="H188" s="3" t="n">
        <f aca="false">J188+M188+P188</f>
        <v>5</v>
      </c>
      <c r="I188" s="3" t="n">
        <f aca="false">COUNTIFS(Responses!$B$2:$B$4001,$A188,Responses!$K$2:$K$4001,"High",Responses!$I$2:$I$4001,"Correct")</f>
        <v>2</v>
      </c>
      <c r="J188" s="3" t="n">
        <f aca="false">COUNTIFS(Responses!$B$2:$B$4001,$A188,Responses!$K$2:$K$4001,"High",Responses!$I$2:$I$4001,"Wrong")</f>
        <v>3</v>
      </c>
      <c r="K188" s="2" t="n">
        <f aca="false">ROUND(SUMIFS(Responses!$J$2:$J$4001,Responses!$B$2:$B$4001,$A188,Responses!$K$2:$K$4001,"High"),2)</f>
        <v>8.21</v>
      </c>
      <c r="L188" s="3" t="n">
        <f aca="false">COUNTIFS(Responses!$B$2:$B$4001,$A188,Responses!$K$2:$K$4001,"Medium",Responses!$I$2:$I$4001,"Correct")</f>
        <v>5</v>
      </c>
      <c r="M188" s="3" t="n">
        <f aca="false">COUNTIFS(Responses!$B$2:$B$4001,$A188,Responses!$K$2:$K$4001,"Medium",Responses!$I$2:$I$4001,"Wrong")</f>
        <v>1</v>
      </c>
      <c r="N188" s="2" t="n">
        <f aca="false">ROUND(SUMIFS(Responses!$J$2:$J$4001,Responses!$B$2:$B$4001,$A188,Responses!$K$2:$K$4001,"Medium"),2)</f>
        <v>10.27</v>
      </c>
      <c r="O188" s="3" t="n">
        <f aca="false">COUNTIFS(Responses!$B$2:$B$4001,$A188,Responses!$K$2:$K$4001,"Low",Responses!$I$2:$I$4001,"Correct")</f>
        <v>8</v>
      </c>
      <c r="P188" s="3" t="n">
        <f aca="false">COUNTIFS(Responses!$B$2:$B$4001,$A188,Responses!$K$2:$K$4001,"Low",Responses!$I$2:$I$4001,"Wrong")</f>
        <v>1</v>
      </c>
      <c r="Q188" s="2" t="n">
        <f aca="false">ROUND(SUMIFS(Responses!$J$2:$J$4001,Responses!$B$2:$B$4001,$A188,Responses!$K$2:$K$4001,"Low"),2)</f>
        <v>13.78</v>
      </c>
      <c r="R188" s="2" t="n">
        <f aca="false">ROUND(SUMIFS(Responses!$AB$2:$AB$4001,Responses!$B$2:$B$4001,$A188),2)</f>
        <v>27.42</v>
      </c>
      <c r="S188" s="0" t="str">
        <f aca="false">IF(R188&gt;='Reward Model'!$B$8,"Gold",IF(R188&gt;='Reward Model'!$B$9,"Silver","Bronze"))</f>
        <v>Silver</v>
      </c>
      <c r="T188" s="2" t="n">
        <f aca="false">ROUND(R188/'Reward Model'!$B$7*100,2)</f>
        <v>66.88</v>
      </c>
    </row>
    <row r="189" customFormat="false" ht="15" hidden="false" customHeight="false" outlineLevel="0" collapsed="false">
      <c r="A189" s="0" t="s">
        <v>507</v>
      </c>
      <c r="B189" s="0" t="s">
        <v>322</v>
      </c>
      <c r="C189" s="0" t="s">
        <v>275</v>
      </c>
      <c r="D189" s="0" t="n">
        <f aca="false">F189</f>
        <v>20</v>
      </c>
      <c r="E189" s="2" t="n">
        <f aca="false">ROUND(K189+N189+Q189,2)</f>
        <v>34.21</v>
      </c>
      <c r="F189" s="3" t="n">
        <f aca="false">COUNTIFS(Responses!$B$2:$B$4001,$A189)</f>
        <v>20</v>
      </c>
      <c r="G189" s="3" t="n">
        <f aca="false">I189+L189+O189</f>
        <v>13</v>
      </c>
      <c r="H189" s="3" t="n">
        <f aca="false">J189+M189+P189</f>
        <v>7</v>
      </c>
      <c r="I189" s="3" t="n">
        <f aca="false">COUNTIFS(Responses!$B$2:$B$4001,$A189,Responses!$K$2:$K$4001,"High",Responses!$I$2:$I$4001,"Correct")</f>
        <v>3</v>
      </c>
      <c r="J189" s="3" t="n">
        <f aca="false">COUNTIFS(Responses!$B$2:$B$4001,$A189,Responses!$K$2:$K$4001,"High",Responses!$I$2:$I$4001,"Wrong")</f>
        <v>2</v>
      </c>
      <c r="K189" s="2" t="n">
        <f aca="false">ROUND(SUMIFS(Responses!$J$2:$J$4001,Responses!$B$2:$B$4001,$A189,Responses!$K$2:$K$4001,"High"),2)</f>
        <v>10.86</v>
      </c>
      <c r="L189" s="3" t="n">
        <f aca="false">COUNTIFS(Responses!$B$2:$B$4001,$A189,Responses!$K$2:$K$4001,"Medium",Responses!$I$2:$I$4001,"Correct")</f>
        <v>2</v>
      </c>
      <c r="M189" s="3" t="n">
        <f aca="false">COUNTIFS(Responses!$B$2:$B$4001,$A189,Responses!$K$2:$K$4001,"Medium",Responses!$I$2:$I$4001,"Wrong")</f>
        <v>4</v>
      </c>
      <c r="N189" s="2" t="n">
        <f aca="false">ROUND(SUMIFS(Responses!$J$2:$J$4001,Responses!$B$2:$B$4001,$A189,Responses!$K$2:$K$4001,"Medium"),2)</f>
        <v>11.03</v>
      </c>
      <c r="O189" s="3" t="n">
        <f aca="false">COUNTIFS(Responses!$B$2:$B$4001,$A189,Responses!$K$2:$K$4001,"Low",Responses!$I$2:$I$4001,"Correct")</f>
        <v>8</v>
      </c>
      <c r="P189" s="3" t="n">
        <f aca="false">COUNTIFS(Responses!$B$2:$B$4001,$A189,Responses!$K$2:$K$4001,"Low",Responses!$I$2:$I$4001,"Wrong")</f>
        <v>1</v>
      </c>
      <c r="Q189" s="2" t="n">
        <f aca="false">ROUND(SUMIFS(Responses!$J$2:$J$4001,Responses!$B$2:$B$4001,$A189,Responses!$K$2:$K$4001,"Low"),2)</f>
        <v>12.32</v>
      </c>
      <c r="R189" s="2" t="n">
        <f aca="false">ROUND(SUMIFS(Responses!$AB$2:$AB$4001,Responses!$B$2:$B$4001,$A189),2)</f>
        <v>22.83</v>
      </c>
      <c r="S189" s="0" t="str">
        <f aca="false">IF(R189&gt;='Reward Model'!$B$8,"Gold",IF(R189&gt;='Reward Model'!$B$9,"Silver","Bronze"))</f>
        <v>Silver</v>
      </c>
      <c r="T189" s="2" t="n">
        <f aca="false">ROUND(R189/'Reward Model'!$B$7*100,2)</f>
        <v>55.68</v>
      </c>
    </row>
    <row r="190" customFormat="false" ht="15" hidden="false" customHeight="false" outlineLevel="0" collapsed="false">
      <c r="A190" s="0" t="s">
        <v>509</v>
      </c>
      <c r="B190" s="0" t="s">
        <v>322</v>
      </c>
      <c r="C190" s="0" t="s">
        <v>275</v>
      </c>
      <c r="D190" s="0" t="n">
        <f aca="false">F190</f>
        <v>20</v>
      </c>
      <c r="E190" s="2" t="n">
        <f aca="false">ROUND(K190+N190+Q190,2)</f>
        <v>31.04</v>
      </c>
      <c r="F190" s="3" t="n">
        <f aca="false">COUNTIFS(Responses!$B$2:$B$4001,$A190)</f>
        <v>20</v>
      </c>
      <c r="G190" s="3" t="n">
        <f aca="false">I190+L190+O190</f>
        <v>16</v>
      </c>
      <c r="H190" s="3" t="n">
        <f aca="false">J190+M190+P190</f>
        <v>4</v>
      </c>
      <c r="I190" s="3" t="n">
        <f aca="false">COUNTIFS(Responses!$B$2:$B$4001,$A190,Responses!$K$2:$K$4001,"High",Responses!$I$2:$I$4001,"Correct")</f>
        <v>3</v>
      </c>
      <c r="J190" s="3" t="n">
        <f aca="false">COUNTIFS(Responses!$B$2:$B$4001,$A190,Responses!$K$2:$K$4001,"High",Responses!$I$2:$I$4001,"Wrong")</f>
        <v>2</v>
      </c>
      <c r="K190" s="2" t="n">
        <f aca="false">ROUND(SUMIFS(Responses!$J$2:$J$4001,Responses!$B$2:$B$4001,$A190,Responses!$K$2:$K$4001,"High"),2)</f>
        <v>9.31</v>
      </c>
      <c r="L190" s="3" t="n">
        <f aca="false">COUNTIFS(Responses!$B$2:$B$4001,$A190,Responses!$K$2:$K$4001,"Medium",Responses!$I$2:$I$4001,"Correct")</f>
        <v>5</v>
      </c>
      <c r="M190" s="3" t="n">
        <f aca="false">COUNTIFS(Responses!$B$2:$B$4001,$A190,Responses!$K$2:$K$4001,"Medium",Responses!$I$2:$I$4001,"Wrong")</f>
        <v>1</v>
      </c>
      <c r="N190" s="2" t="n">
        <f aca="false">ROUND(SUMIFS(Responses!$J$2:$J$4001,Responses!$B$2:$B$4001,$A190,Responses!$K$2:$K$4001,"Medium"),2)</f>
        <v>11.03</v>
      </c>
      <c r="O190" s="3" t="n">
        <f aca="false">COUNTIFS(Responses!$B$2:$B$4001,$A190,Responses!$K$2:$K$4001,"Low",Responses!$I$2:$I$4001,"Correct")</f>
        <v>8</v>
      </c>
      <c r="P190" s="3" t="n">
        <f aca="false">COUNTIFS(Responses!$B$2:$B$4001,$A190,Responses!$K$2:$K$4001,"Low",Responses!$I$2:$I$4001,"Wrong")</f>
        <v>1</v>
      </c>
      <c r="Q190" s="2" t="n">
        <f aca="false">ROUND(SUMIFS(Responses!$J$2:$J$4001,Responses!$B$2:$B$4001,$A190,Responses!$K$2:$K$4001,"Low"),2)</f>
        <v>10.7</v>
      </c>
      <c r="R190" s="2" t="n">
        <f aca="false">ROUND(SUMIFS(Responses!$AB$2:$AB$4001,Responses!$B$2:$B$4001,$A190),2)</f>
        <v>29.85</v>
      </c>
      <c r="S190" s="0" t="str">
        <f aca="false">IF(R190&gt;='Reward Model'!$B$8,"Gold",IF(R190&gt;='Reward Model'!$B$9,"Silver","Bronze"))</f>
        <v>Gold</v>
      </c>
      <c r="T190" s="2" t="n">
        <f aca="false">ROUND(R190/'Reward Model'!$B$7*100,2)</f>
        <v>72.8</v>
      </c>
    </row>
    <row r="191" customFormat="false" ht="15" hidden="false" customHeight="false" outlineLevel="0" collapsed="false">
      <c r="A191" s="0" t="s">
        <v>511</v>
      </c>
      <c r="B191" s="0" t="s">
        <v>322</v>
      </c>
      <c r="C191" s="0" t="s">
        <v>275</v>
      </c>
      <c r="D191" s="0" t="n">
        <f aca="false">F191</f>
        <v>20</v>
      </c>
      <c r="E191" s="2" t="n">
        <f aca="false">ROUND(K191+N191+Q191,2)</f>
        <v>32.17</v>
      </c>
      <c r="F191" s="3" t="n">
        <f aca="false">COUNTIFS(Responses!$B$2:$B$4001,$A191)</f>
        <v>20</v>
      </c>
      <c r="G191" s="3" t="n">
        <f aca="false">I191+L191+O191</f>
        <v>17</v>
      </c>
      <c r="H191" s="3" t="n">
        <f aca="false">J191+M191+P191</f>
        <v>3</v>
      </c>
      <c r="I191" s="3" t="n">
        <f aca="false">COUNTIFS(Responses!$B$2:$B$4001,$A191,Responses!$K$2:$K$4001,"High",Responses!$I$2:$I$4001,"Correct")</f>
        <v>4</v>
      </c>
      <c r="J191" s="3" t="n">
        <f aca="false">COUNTIFS(Responses!$B$2:$B$4001,$A191,Responses!$K$2:$K$4001,"High",Responses!$I$2:$I$4001,"Wrong")</f>
        <v>1</v>
      </c>
      <c r="K191" s="2" t="n">
        <f aca="false">ROUND(SUMIFS(Responses!$J$2:$J$4001,Responses!$B$2:$B$4001,$A191,Responses!$K$2:$K$4001,"High"),2)</f>
        <v>7.77</v>
      </c>
      <c r="L191" s="3" t="n">
        <f aca="false">COUNTIFS(Responses!$B$2:$B$4001,$A191,Responses!$K$2:$K$4001,"Medium",Responses!$I$2:$I$4001,"Correct")</f>
        <v>5</v>
      </c>
      <c r="M191" s="3" t="n">
        <f aca="false">COUNTIFS(Responses!$B$2:$B$4001,$A191,Responses!$K$2:$K$4001,"Medium",Responses!$I$2:$I$4001,"Wrong")</f>
        <v>1</v>
      </c>
      <c r="N191" s="2" t="n">
        <f aca="false">ROUND(SUMIFS(Responses!$J$2:$J$4001,Responses!$B$2:$B$4001,$A191,Responses!$K$2:$K$4001,"Medium"),2)</f>
        <v>10.27</v>
      </c>
      <c r="O191" s="3" t="n">
        <f aca="false">COUNTIFS(Responses!$B$2:$B$4001,$A191,Responses!$K$2:$K$4001,"Low",Responses!$I$2:$I$4001,"Correct")</f>
        <v>8</v>
      </c>
      <c r="P191" s="3" t="n">
        <f aca="false">COUNTIFS(Responses!$B$2:$B$4001,$A191,Responses!$K$2:$K$4001,"Low",Responses!$I$2:$I$4001,"Wrong")</f>
        <v>1</v>
      </c>
      <c r="Q191" s="2" t="n">
        <f aca="false">ROUND(SUMIFS(Responses!$J$2:$J$4001,Responses!$B$2:$B$4001,$A191,Responses!$K$2:$K$4001,"Low"),2)</f>
        <v>14.13</v>
      </c>
      <c r="R191" s="2" t="n">
        <f aca="false">ROUND(SUMIFS(Responses!$AB$2:$AB$4001,Responses!$B$2:$B$4001,$A191),2)</f>
        <v>33.68</v>
      </c>
      <c r="S191" s="0" t="str">
        <f aca="false">IF(R191&gt;='Reward Model'!$B$8,"Gold",IF(R191&gt;='Reward Model'!$B$9,"Silver","Bronze"))</f>
        <v>Gold</v>
      </c>
      <c r="T191" s="2" t="n">
        <f aca="false">ROUND(R191/'Reward Model'!$B$7*100,2)</f>
        <v>82.15</v>
      </c>
    </row>
    <row r="192" customFormat="false" ht="15" hidden="false" customHeight="false" outlineLevel="0" collapsed="false">
      <c r="A192" s="0" t="s">
        <v>513</v>
      </c>
      <c r="B192" s="0" t="s">
        <v>322</v>
      </c>
      <c r="C192" s="0" t="s">
        <v>275</v>
      </c>
      <c r="D192" s="0" t="n">
        <f aca="false">F192</f>
        <v>20</v>
      </c>
      <c r="E192" s="2" t="n">
        <f aca="false">ROUND(K192+N192+Q192,2)</f>
        <v>31.86</v>
      </c>
      <c r="F192" s="3" t="n">
        <f aca="false">COUNTIFS(Responses!$B$2:$B$4001,$A192)</f>
        <v>20</v>
      </c>
      <c r="G192" s="3" t="n">
        <f aca="false">I192+L192+O192</f>
        <v>16</v>
      </c>
      <c r="H192" s="3" t="n">
        <f aca="false">J192+M192+P192</f>
        <v>4</v>
      </c>
      <c r="I192" s="3" t="n">
        <f aca="false">COUNTIFS(Responses!$B$2:$B$4001,$A192,Responses!$K$2:$K$4001,"High",Responses!$I$2:$I$4001,"Correct")</f>
        <v>3</v>
      </c>
      <c r="J192" s="3" t="n">
        <f aca="false">COUNTIFS(Responses!$B$2:$B$4001,$A192,Responses!$K$2:$K$4001,"High",Responses!$I$2:$I$4001,"Wrong")</f>
        <v>2</v>
      </c>
      <c r="K192" s="2" t="n">
        <f aca="false">ROUND(SUMIFS(Responses!$J$2:$J$4001,Responses!$B$2:$B$4001,$A192,Responses!$K$2:$K$4001,"High"),2)</f>
        <v>9.36</v>
      </c>
      <c r="L192" s="3" t="n">
        <f aca="false">COUNTIFS(Responses!$B$2:$B$4001,$A192,Responses!$K$2:$K$4001,"Medium",Responses!$I$2:$I$4001,"Correct")</f>
        <v>5</v>
      </c>
      <c r="M192" s="3" t="n">
        <f aca="false">COUNTIFS(Responses!$B$2:$B$4001,$A192,Responses!$K$2:$K$4001,"Medium",Responses!$I$2:$I$4001,"Wrong")</f>
        <v>1</v>
      </c>
      <c r="N192" s="2" t="n">
        <f aca="false">ROUND(SUMIFS(Responses!$J$2:$J$4001,Responses!$B$2:$B$4001,$A192,Responses!$K$2:$K$4001,"Medium"),2)</f>
        <v>10.64</v>
      </c>
      <c r="O192" s="3" t="n">
        <f aca="false">COUNTIFS(Responses!$B$2:$B$4001,$A192,Responses!$K$2:$K$4001,"Low",Responses!$I$2:$I$4001,"Correct")</f>
        <v>8</v>
      </c>
      <c r="P192" s="3" t="n">
        <f aca="false">COUNTIFS(Responses!$B$2:$B$4001,$A192,Responses!$K$2:$K$4001,"Low",Responses!$I$2:$I$4001,"Wrong")</f>
        <v>1</v>
      </c>
      <c r="Q192" s="2" t="n">
        <f aca="false">ROUND(SUMIFS(Responses!$J$2:$J$4001,Responses!$B$2:$B$4001,$A192,Responses!$K$2:$K$4001,"Low"),2)</f>
        <v>11.86</v>
      </c>
      <c r="R192" s="2" t="n">
        <f aca="false">ROUND(SUMIFS(Responses!$AB$2:$AB$4001,Responses!$B$2:$B$4001,$A192),2)</f>
        <v>29.37</v>
      </c>
      <c r="S192" s="0" t="str">
        <f aca="false">IF(R192&gt;='Reward Model'!$B$8,"Gold",IF(R192&gt;='Reward Model'!$B$9,"Silver","Bronze"))</f>
        <v>Gold</v>
      </c>
      <c r="T192" s="2" t="n">
        <f aca="false">ROUND(R192/'Reward Model'!$B$7*100,2)</f>
        <v>71.63</v>
      </c>
    </row>
    <row r="193" customFormat="false" ht="15" hidden="false" customHeight="false" outlineLevel="0" collapsed="false">
      <c r="A193" s="0" t="s">
        <v>515</v>
      </c>
      <c r="B193" s="0" t="s">
        <v>322</v>
      </c>
      <c r="C193" s="0" t="s">
        <v>275</v>
      </c>
      <c r="D193" s="0" t="n">
        <f aca="false">F193</f>
        <v>20</v>
      </c>
      <c r="E193" s="2" t="n">
        <f aca="false">ROUND(K193+N193+Q193,2)</f>
        <v>28.97</v>
      </c>
      <c r="F193" s="3" t="n">
        <f aca="false">COUNTIFS(Responses!$B$2:$B$4001,$A193)</f>
        <v>20</v>
      </c>
      <c r="G193" s="3" t="n">
        <f aca="false">I193+L193+O193</f>
        <v>13</v>
      </c>
      <c r="H193" s="3" t="n">
        <f aca="false">J193+M193+P193</f>
        <v>7</v>
      </c>
      <c r="I193" s="3" t="n">
        <f aca="false">COUNTIFS(Responses!$B$2:$B$4001,$A193,Responses!$K$2:$K$4001,"High",Responses!$I$2:$I$4001,"Correct")</f>
        <v>1</v>
      </c>
      <c r="J193" s="3" t="n">
        <f aca="false">COUNTIFS(Responses!$B$2:$B$4001,$A193,Responses!$K$2:$K$4001,"High",Responses!$I$2:$I$4001,"Wrong")</f>
        <v>4</v>
      </c>
      <c r="K193" s="2" t="n">
        <f aca="false">ROUND(SUMIFS(Responses!$J$2:$J$4001,Responses!$B$2:$B$4001,$A193,Responses!$K$2:$K$4001,"High"),2)</f>
        <v>7.94</v>
      </c>
      <c r="L193" s="3" t="n">
        <f aca="false">COUNTIFS(Responses!$B$2:$B$4001,$A193,Responses!$K$2:$K$4001,"Medium",Responses!$I$2:$I$4001,"Correct")</f>
        <v>4</v>
      </c>
      <c r="M193" s="3" t="n">
        <f aca="false">COUNTIFS(Responses!$B$2:$B$4001,$A193,Responses!$K$2:$K$4001,"Medium",Responses!$I$2:$I$4001,"Wrong")</f>
        <v>2</v>
      </c>
      <c r="N193" s="2" t="n">
        <f aca="false">ROUND(SUMIFS(Responses!$J$2:$J$4001,Responses!$B$2:$B$4001,$A193,Responses!$K$2:$K$4001,"Medium"),2)</f>
        <v>8.61</v>
      </c>
      <c r="O193" s="3" t="n">
        <f aca="false">COUNTIFS(Responses!$B$2:$B$4001,$A193,Responses!$K$2:$K$4001,"Low",Responses!$I$2:$I$4001,"Correct")</f>
        <v>8</v>
      </c>
      <c r="P193" s="3" t="n">
        <f aca="false">COUNTIFS(Responses!$B$2:$B$4001,$A193,Responses!$K$2:$K$4001,"Low",Responses!$I$2:$I$4001,"Wrong")</f>
        <v>1</v>
      </c>
      <c r="Q193" s="2" t="n">
        <f aca="false">ROUND(SUMIFS(Responses!$J$2:$J$4001,Responses!$B$2:$B$4001,$A193,Responses!$K$2:$K$4001,"Low"),2)</f>
        <v>12.42</v>
      </c>
      <c r="R193" s="2" t="n">
        <f aca="false">ROUND(SUMIFS(Responses!$AB$2:$AB$4001,Responses!$B$2:$B$4001,$A193),2)</f>
        <v>22.47</v>
      </c>
      <c r="S193" s="0" t="str">
        <f aca="false">IF(R193&gt;='Reward Model'!$B$8,"Gold",IF(R193&gt;='Reward Model'!$B$9,"Silver","Bronze"))</f>
        <v>Silver</v>
      </c>
      <c r="T193" s="2" t="n">
        <f aca="false">ROUND(R193/'Reward Model'!$B$7*100,2)</f>
        <v>54.8</v>
      </c>
    </row>
    <row r="194" customFormat="false" ht="15" hidden="false" customHeight="false" outlineLevel="0" collapsed="false">
      <c r="A194" s="0" t="s">
        <v>517</v>
      </c>
      <c r="B194" s="0" t="s">
        <v>322</v>
      </c>
      <c r="C194" s="0" t="s">
        <v>275</v>
      </c>
      <c r="D194" s="0" t="n">
        <f aca="false">F194</f>
        <v>20</v>
      </c>
      <c r="E194" s="2" t="n">
        <f aca="false">ROUND(K194+N194+Q194,2)</f>
        <v>34.07</v>
      </c>
      <c r="F194" s="3" t="n">
        <f aca="false">COUNTIFS(Responses!$B$2:$B$4001,$A194)</f>
        <v>20</v>
      </c>
      <c r="G194" s="3" t="n">
        <f aca="false">I194+L194+O194</f>
        <v>15</v>
      </c>
      <c r="H194" s="3" t="n">
        <f aca="false">J194+M194+P194</f>
        <v>5</v>
      </c>
      <c r="I194" s="3" t="n">
        <f aca="false">COUNTIFS(Responses!$B$2:$B$4001,$A194,Responses!$K$2:$K$4001,"High",Responses!$I$2:$I$4001,"Correct")</f>
        <v>2</v>
      </c>
      <c r="J194" s="3" t="n">
        <f aca="false">COUNTIFS(Responses!$B$2:$B$4001,$A194,Responses!$K$2:$K$4001,"High",Responses!$I$2:$I$4001,"Wrong")</f>
        <v>3</v>
      </c>
      <c r="K194" s="2" t="n">
        <f aca="false">ROUND(SUMIFS(Responses!$J$2:$J$4001,Responses!$B$2:$B$4001,$A194,Responses!$K$2:$K$4001,"High"),2)</f>
        <v>9.37</v>
      </c>
      <c r="L194" s="3" t="n">
        <f aca="false">COUNTIFS(Responses!$B$2:$B$4001,$A194,Responses!$K$2:$K$4001,"Medium",Responses!$I$2:$I$4001,"Correct")</f>
        <v>5</v>
      </c>
      <c r="M194" s="3" t="n">
        <f aca="false">COUNTIFS(Responses!$B$2:$B$4001,$A194,Responses!$K$2:$K$4001,"Medium",Responses!$I$2:$I$4001,"Wrong")</f>
        <v>1</v>
      </c>
      <c r="N194" s="2" t="n">
        <f aca="false">ROUND(SUMIFS(Responses!$J$2:$J$4001,Responses!$B$2:$B$4001,$A194,Responses!$K$2:$K$4001,"Medium"),2)</f>
        <v>10.9</v>
      </c>
      <c r="O194" s="3" t="n">
        <f aca="false">COUNTIFS(Responses!$B$2:$B$4001,$A194,Responses!$K$2:$K$4001,"Low",Responses!$I$2:$I$4001,"Correct")</f>
        <v>8</v>
      </c>
      <c r="P194" s="3" t="n">
        <f aca="false">COUNTIFS(Responses!$B$2:$B$4001,$A194,Responses!$K$2:$K$4001,"Low",Responses!$I$2:$I$4001,"Wrong")</f>
        <v>1</v>
      </c>
      <c r="Q194" s="2" t="n">
        <f aca="false">ROUND(SUMIFS(Responses!$J$2:$J$4001,Responses!$B$2:$B$4001,$A194,Responses!$K$2:$K$4001,"Low"),2)</f>
        <v>13.8</v>
      </c>
      <c r="R194" s="2" t="n">
        <f aca="false">ROUND(SUMIFS(Responses!$AB$2:$AB$4001,Responses!$B$2:$B$4001,$A194),2)</f>
        <v>26.14</v>
      </c>
      <c r="S194" s="0" t="str">
        <f aca="false">IF(R194&gt;='Reward Model'!$B$8,"Gold",IF(R194&gt;='Reward Model'!$B$9,"Silver","Bronze"))</f>
        <v>Silver</v>
      </c>
      <c r="T194" s="2" t="n">
        <f aca="false">ROUND(R194/'Reward Model'!$B$7*100,2)</f>
        <v>63.76</v>
      </c>
    </row>
    <row r="195" customFormat="false" ht="15" hidden="false" customHeight="false" outlineLevel="0" collapsed="false">
      <c r="A195" s="0" t="s">
        <v>519</v>
      </c>
      <c r="B195" s="0" t="s">
        <v>322</v>
      </c>
      <c r="C195" s="0" t="s">
        <v>275</v>
      </c>
      <c r="D195" s="0" t="n">
        <f aca="false">F195</f>
        <v>20</v>
      </c>
      <c r="E195" s="2" t="n">
        <f aca="false">ROUND(K195+N195+Q195,2)</f>
        <v>32.74</v>
      </c>
      <c r="F195" s="3" t="n">
        <f aca="false">COUNTIFS(Responses!$B$2:$B$4001,$A195)</f>
        <v>20</v>
      </c>
      <c r="G195" s="3" t="n">
        <f aca="false">I195+L195+O195</f>
        <v>12</v>
      </c>
      <c r="H195" s="3" t="n">
        <f aca="false">J195+M195+P195</f>
        <v>8</v>
      </c>
      <c r="I195" s="3" t="n">
        <f aca="false">COUNTIFS(Responses!$B$2:$B$4001,$A195,Responses!$K$2:$K$4001,"High",Responses!$I$2:$I$4001,"Correct")</f>
        <v>2</v>
      </c>
      <c r="J195" s="3" t="n">
        <f aca="false">COUNTIFS(Responses!$B$2:$B$4001,$A195,Responses!$K$2:$K$4001,"High",Responses!$I$2:$I$4001,"Wrong")</f>
        <v>3</v>
      </c>
      <c r="K195" s="2" t="n">
        <f aca="false">ROUND(SUMIFS(Responses!$J$2:$J$4001,Responses!$B$2:$B$4001,$A195,Responses!$K$2:$K$4001,"High"),2)</f>
        <v>9.86</v>
      </c>
      <c r="L195" s="3" t="n">
        <f aca="false">COUNTIFS(Responses!$B$2:$B$4001,$A195,Responses!$K$2:$K$4001,"Medium",Responses!$I$2:$I$4001,"Correct")</f>
        <v>2</v>
      </c>
      <c r="M195" s="3" t="n">
        <f aca="false">COUNTIFS(Responses!$B$2:$B$4001,$A195,Responses!$K$2:$K$4001,"Medium",Responses!$I$2:$I$4001,"Wrong")</f>
        <v>4</v>
      </c>
      <c r="N195" s="2" t="n">
        <f aca="false">ROUND(SUMIFS(Responses!$J$2:$J$4001,Responses!$B$2:$B$4001,$A195,Responses!$K$2:$K$4001,"Medium"),2)</f>
        <v>10.11</v>
      </c>
      <c r="O195" s="3" t="n">
        <f aca="false">COUNTIFS(Responses!$B$2:$B$4001,$A195,Responses!$K$2:$K$4001,"Low",Responses!$I$2:$I$4001,"Correct")</f>
        <v>8</v>
      </c>
      <c r="P195" s="3" t="n">
        <f aca="false">COUNTIFS(Responses!$B$2:$B$4001,$A195,Responses!$K$2:$K$4001,"Low",Responses!$I$2:$I$4001,"Wrong")</f>
        <v>1</v>
      </c>
      <c r="Q195" s="2" t="n">
        <f aca="false">ROUND(SUMIFS(Responses!$J$2:$J$4001,Responses!$B$2:$B$4001,$A195,Responses!$K$2:$K$4001,"Low"),2)</f>
        <v>12.77</v>
      </c>
      <c r="R195" s="2" t="n">
        <f aca="false">ROUND(SUMIFS(Responses!$AB$2:$AB$4001,Responses!$B$2:$B$4001,$A195),2)</f>
        <v>21.36</v>
      </c>
      <c r="S195" s="0" t="str">
        <f aca="false">IF(R195&gt;='Reward Model'!$B$8,"Gold",IF(R195&gt;='Reward Model'!$B$9,"Silver","Bronze"))</f>
        <v>Silver</v>
      </c>
      <c r="T195" s="2" t="n">
        <f aca="false">ROUND(R195/'Reward Model'!$B$7*100,2)</f>
        <v>52.1</v>
      </c>
    </row>
    <row r="196" customFormat="false" ht="15" hidden="false" customHeight="false" outlineLevel="0" collapsed="false">
      <c r="A196" s="0" t="s">
        <v>521</v>
      </c>
      <c r="B196" s="0" t="s">
        <v>322</v>
      </c>
      <c r="C196" s="0" t="s">
        <v>275</v>
      </c>
      <c r="D196" s="0" t="n">
        <f aca="false">F196</f>
        <v>20</v>
      </c>
      <c r="E196" s="2" t="n">
        <f aca="false">ROUND(K196+N196+Q196,2)</f>
        <v>34.25</v>
      </c>
      <c r="F196" s="3" t="n">
        <f aca="false">COUNTIFS(Responses!$B$2:$B$4001,$A196)</f>
        <v>20</v>
      </c>
      <c r="G196" s="3" t="n">
        <f aca="false">I196+L196+O196</f>
        <v>12</v>
      </c>
      <c r="H196" s="3" t="n">
        <f aca="false">J196+M196+P196</f>
        <v>8</v>
      </c>
      <c r="I196" s="3" t="n">
        <f aca="false">COUNTIFS(Responses!$B$2:$B$4001,$A196,Responses!$K$2:$K$4001,"High",Responses!$I$2:$I$4001,"Correct")</f>
        <v>1</v>
      </c>
      <c r="J196" s="3" t="n">
        <f aca="false">COUNTIFS(Responses!$B$2:$B$4001,$A196,Responses!$K$2:$K$4001,"High",Responses!$I$2:$I$4001,"Wrong")</f>
        <v>4</v>
      </c>
      <c r="K196" s="2" t="n">
        <f aca="false">ROUND(SUMIFS(Responses!$J$2:$J$4001,Responses!$B$2:$B$4001,$A196,Responses!$K$2:$K$4001,"High"),2)</f>
        <v>8.52</v>
      </c>
      <c r="L196" s="3" t="n">
        <f aca="false">COUNTIFS(Responses!$B$2:$B$4001,$A196,Responses!$K$2:$K$4001,"Medium",Responses!$I$2:$I$4001,"Correct")</f>
        <v>3</v>
      </c>
      <c r="M196" s="3" t="n">
        <f aca="false">COUNTIFS(Responses!$B$2:$B$4001,$A196,Responses!$K$2:$K$4001,"Medium",Responses!$I$2:$I$4001,"Wrong")</f>
        <v>3</v>
      </c>
      <c r="N196" s="2" t="n">
        <f aca="false">ROUND(SUMIFS(Responses!$J$2:$J$4001,Responses!$B$2:$B$4001,$A196,Responses!$K$2:$K$4001,"Medium"),2)</f>
        <v>11.77</v>
      </c>
      <c r="O196" s="3" t="n">
        <f aca="false">COUNTIFS(Responses!$B$2:$B$4001,$A196,Responses!$K$2:$K$4001,"Low",Responses!$I$2:$I$4001,"Correct")</f>
        <v>8</v>
      </c>
      <c r="P196" s="3" t="n">
        <f aca="false">COUNTIFS(Responses!$B$2:$B$4001,$A196,Responses!$K$2:$K$4001,"Low",Responses!$I$2:$I$4001,"Wrong")</f>
        <v>1</v>
      </c>
      <c r="Q196" s="2" t="n">
        <f aca="false">ROUND(SUMIFS(Responses!$J$2:$J$4001,Responses!$B$2:$B$4001,$A196,Responses!$K$2:$K$4001,"Low"),2)</f>
        <v>13.96</v>
      </c>
      <c r="R196" s="2" t="n">
        <f aca="false">ROUND(SUMIFS(Responses!$AB$2:$AB$4001,Responses!$B$2:$B$4001,$A196),2)</f>
        <v>20.52</v>
      </c>
      <c r="S196" s="0" t="str">
        <f aca="false">IF(R196&gt;='Reward Model'!$B$8,"Gold",IF(R196&gt;='Reward Model'!$B$9,"Silver","Bronze"))</f>
        <v>Silver</v>
      </c>
      <c r="T196" s="2" t="n">
        <f aca="false">ROUND(R196/'Reward Model'!$B$7*100,2)</f>
        <v>50.05</v>
      </c>
    </row>
    <row r="197" customFormat="false" ht="15" hidden="false" customHeight="false" outlineLevel="0" collapsed="false">
      <c r="A197" s="0" t="s">
        <v>523</v>
      </c>
      <c r="B197" s="0" t="s">
        <v>322</v>
      </c>
      <c r="C197" s="0" t="s">
        <v>275</v>
      </c>
      <c r="D197" s="0" t="n">
        <f aca="false">F197</f>
        <v>20</v>
      </c>
      <c r="E197" s="2" t="n">
        <f aca="false">ROUND(K197+N197+Q197,2)</f>
        <v>30.65</v>
      </c>
      <c r="F197" s="3" t="n">
        <f aca="false">COUNTIFS(Responses!$B$2:$B$4001,$A197)</f>
        <v>20</v>
      </c>
      <c r="G197" s="3" t="n">
        <f aca="false">I197+L197+O197</f>
        <v>17</v>
      </c>
      <c r="H197" s="3" t="n">
        <f aca="false">J197+M197+P197</f>
        <v>3</v>
      </c>
      <c r="I197" s="3" t="n">
        <f aca="false">COUNTIFS(Responses!$B$2:$B$4001,$A197,Responses!$K$2:$K$4001,"High",Responses!$I$2:$I$4001,"Correct")</f>
        <v>4</v>
      </c>
      <c r="J197" s="3" t="n">
        <f aca="false">COUNTIFS(Responses!$B$2:$B$4001,$A197,Responses!$K$2:$K$4001,"High",Responses!$I$2:$I$4001,"Wrong")</f>
        <v>1</v>
      </c>
      <c r="K197" s="2" t="n">
        <f aca="false">ROUND(SUMIFS(Responses!$J$2:$J$4001,Responses!$B$2:$B$4001,$A197,Responses!$K$2:$K$4001,"High"),2)</f>
        <v>8.41</v>
      </c>
      <c r="L197" s="3" t="n">
        <f aca="false">COUNTIFS(Responses!$B$2:$B$4001,$A197,Responses!$K$2:$K$4001,"Medium",Responses!$I$2:$I$4001,"Correct")</f>
        <v>5</v>
      </c>
      <c r="M197" s="3" t="n">
        <f aca="false">COUNTIFS(Responses!$B$2:$B$4001,$A197,Responses!$K$2:$K$4001,"Medium",Responses!$I$2:$I$4001,"Wrong")</f>
        <v>1</v>
      </c>
      <c r="N197" s="2" t="n">
        <f aca="false">ROUND(SUMIFS(Responses!$J$2:$J$4001,Responses!$B$2:$B$4001,$A197,Responses!$K$2:$K$4001,"Medium"),2)</f>
        <v>9.69</v>
      </c>
      <c r="O197" s="3" t="n">
        <f aca="false">COUNTIFS(Responses!$B$2:$B$4001,$A197,Responses!$K$2:$K$4001,"Low",Responses!$I$2:$I$4001,"Correct")</f>
        <v>8</v>
      </c>
      <c r="P197" s="3" t="n">
        <f aca="false">COUNTIFS(Responses!$B$2:$B$4001,$A197,Responses!$K$2:$K$4001,"Low",Responses!$I$2:$I$4001,"Wrong")</f>
        <v>1</v>
      </c>
      <c r="Q197" s="2" t="n">
        <f aca="false">ROUND(SUMIFS(Responses!$J$2:$J$4001,Responses!$B$2:$B$4001,$A197,Responses!$K$2:$K$4001,"Low"),2)</f>
        <v>12.55</v>
      </c>
      <c r="R197" s="2" t="n">
        <f aca="false">ROUND(SUMIFS(Responses!$AB$2:$AB$4001,Responses!$B$2:$B$4001,$A197),2)</f>
        <v>33.97</v>
      </c>
      <c r="S197" s="0" t="str">
        <f aca="false">IF(R197&gt;='Reward Model'!$B$8,"Gold",IF(R197&gt;='Reward Model'!$B$9,"Silver","Bronze"))</f>
        <v>Gold</v>
      </c>
      <c r="T197" s="2" t="n">
        <f aca="false">ROUND(R197/'Reward Model'!$B$7*100,2)</f>
        <v>82.85</v>
      </c>
    </row>
    <row r="198" customFormat="false" ht="15" hidden="false" customHeight="false" outlineLevel="0" collapsed="false">
      <c r="A198" s="0" t="s">
        <v>525</v>
      </c>
      <c r="B198" s="0" t="s">
        <v>322</v>
      </c>
      <c r="C198" s="0" t="s">
        <v>275</v>
      </c>
      <c r="D198" s="0" t="n">
        <f aca="false">F198</f>
        <v>20</v>
      </c>
      <c r="E198" s="2" t="n">
        <f aca="false">ROUND(K198+N198+Q198,2)</f>
        <v>32.65</v>
      </c>
      <c r="F198" s="3" t="n">
        <f aca="false">COUNTIFS(Responses!$B$2:$B$4001,$A198)</f>
        <v>20</v>
      </c>
      <c r="G198" s="3" t="n">
        <f aca="false">I198+L198+O198</f>
        <v>9</v>
      </c>
      <c r="H198" s="3" t="n">
        <f aca="false">J198+M198+P198</f>
        <v>11</v>
      </c>
      <c r="I198" s="3" t="n">
        <f aca="false">COUNTIFS(Responses!$B$2:$B$4001,$A198,Responses!$K$2:$K$4001,"High",Responses!$I$2:$I$4001,"Correct")</f>
        <v>1</v>
      </c>
      <c r="J198" s="3" t="n">
        <f aca="false">COUNTIFS(Responses!$B$2:$B$4001,$A198,Responses!$K$2:$K$4001,"High",Responses!$I$2:$I$4001,"Wrong")</f>
        <v>4</v>
      </c>
      <c r="K198" s="2" t="n">
        <f aca="false">ROUND(SUMIFS(Responses!$J$2:$J$4001,Responses!$B$2:$B$4001,$A198,Responses!$K$2:$K$4001,"High"),2)</f>
        <v>10.26</v>
      </c>
      <c r="L198" s="3" t="n">
        <f aca="false">COUNTIFS(Responses!$B$2:$B$4001,$A198,Responses!$K$2:$K$4001,"Medium",Responses!$I$2:$I$4001,"Correct")</f>
        <v>1</v>
      </c>
      <c r="M198" s="3" t="n">
        <f aca="false">COUNTIFS(Responses!$B$2:$B$4001,$A198,Responses!$K$2:$K$4001,"Medium",Responses!$I$2:$I$4001,"Wrong")</f>
        <v>5</v>
      </c>
      <c r="N198" s="2" t="n">
        <f aca="false">ROUND(SUMIFS(Responses!$J$2:$J$4001,Responses!$B$2:$B$4001,$A198,Responses!$K$2:$K$4001,"Medium"),2)</f>
        <v>9.86</v>
      </c>
      <c r="O198" s="3" t="n">
        <f aca="false">COUNTIFS(Responses!$B$2:$B$4001,$A198,Responses!$K$2:$K$4001,"Low",Responses!$I$2:$I$4001,"Correct")</f>
        <v>7</v>
      </c>
      <c r="P198" s="3" t="n">
        <f aca="false">COUNTIFS(Responses!$B$2:$B$4001,$A198,Responses!$K$2:$K$4001,"Low",Responses!$I$2:$I$4001,"Wrong")</f>
        <v>2</v>
      </c>
      <c r="Q198" s="2" t="n">
        <f aca="false">ROUND(SUMIFS(Responses!$J$2:$J$4001,Responses!$B$2:$B$4001,$A198,Responses!$K$2:$K$4001,"Low"),2)</f>
        <v>12.53</v>
      </c>
      <c r="R198" s="2" t="n">
        <f aca="false">ROUND(SUMIFS(Responses!$AB$2:$AB$4001,Responses!$B$2:$B$4001,$A198),2)</f>
        <v>15.31</v>
      </c>
      <c r="S198" s="0" t="str">
        <f aca="false">IF(R198&gt;='Reward Model'!$B$8,"Gold",IF(R198&gt;='Reward Model'!$B$9,"Silver","Bronze"))</f>
        <v>Bronze</v>
      </c>
      <c r="T198" s="2" t="n">
        <f aca="false">ROUND(R198/'Reward Model'!$B$7*100,2)</f>
        <v>37.34</v>
      </c>
    </row>
    <row r="199" customFormat="false" ht="15" hidden="false" customHeight="false" outlineLevel="0" collapsed="false">
      <c r="A199" s="0" t="s">
        <v>527</v>
      </c>
      <c r="B199" s="0" t="s">
        <v>322</v>
      </c>
      <c r="C199" s="0" t="s">
        <v>275</v>
      </c>
      <c r="D199" s="0" t="n">
        <f aca="false">F199</f>
        <v>20</v>
      </c>
      <c r="E199" s="2" t="n">
        <f aca="false">ROUND(K199+N199+Q199,2)</f>
        <v>36.82</v>
      </c>
      <c r="F199" s="3" t="n">
        <f aca="false">COUNTIFS(Responses!$B$2:$B$4001,$A199)</f>
        <v>20</v>
      </c>
      <c r="G199" s="3" t="n">
        <f aca="false">I199+L199+O199</f>
        <v>11</v>
      </c>
      <c r="H199" s="3" t="n">
        <f aca="false">J199+M199+P199</f>
        <v>9</v>
      </c>
      <c r="I199" s="3" t="n">
        <f aca="false">COUNTIFS(Responses!$B$2:$B$4001,$A199,Responses!$K$2:$K$4001,"High",Responses!$I$2:$I$4001,"Correct")</f>
        <v>2</v>
      </c>
      <c r="J199" s="3" t="n">
        <f aca="false">COUNTIFS(Responses!$B$2:$B$4001,$A199,Responses!$K$2:$K$4001,"High",Responses!$I$2:$I$4001,"Wrong")</f>
        <v>3</v>
      </c>
      <c r="K199" s="2" t="n">
        <f aca="false">ROUND(SUMIFS(Responses!$J$2:$J$4001,Responses!$B$2:$B$4001,$A199,Responses!$K$2:$K$4001,"High"),2)</f>
        <v>10.39</v>
      </c>
      <c r="L199" s="3" t="n">
        <f aca="false">COUNTIFS(Responses!$B$2:$B$4001,$A199,Responses!$K$2:$K$4001,"Medium",Responses!$I$2:$I$4001,"Correct")</f>
        <v>2</v>
      </c>
      <c r="M199" s="3" t="n">
        <f aca="false">COUNTIFS(Responses!$B$2:$B$4001,$A199,Responses!$K$2:$K$4001,"Medium",Responses!$I$2:$I$4001,"Wrong")</f>
        <v>4</v>
      </c>
      <c r="N199" s="2" t="n">
        <f aca="false">ROUND(SUMIFS(Responses!$J$2:$J$4001,Responses!$B$2:$B$4001,$A199,Responses!$K$2:$K$4001,"Medium"),2)</f>
        <v>11.22</v>
      </c>
      <c r="O199" s="3" t="n">
        <f aca="false">COUNTIFS(Responses!$B$2:$B$4001,$A199,Responses!$K$2:$K$4001,"Low",Responses!$I$2:$I$4001,"Correct")</f>
        <v>7</v>
      </c>
      <c r="P199" s="3" t="n">
        <f aca="false">COUNTIFS(Responses!$B$2:$B$4001,$A199,Responses!$K$2:$K$4001,"Low",Responses!$I$2:$I$4001,"Wrong")</f>
        <v>2</v>
      </c>
      <c r="Q199" s="2" t="n">
        <f aca="false">ROUND(SUMIFS(Responses!$J$2:$J$4001,Responses!$B$2:$B$4001,$A199,Responses!$K$2:$K$4001,"Low"),2)</f>
        <v>15.21</v>
      </c>
      <c r="R199" s="2" t="n">
        <f aca="false">ROUND(SUMIFS(Responses!$AB$2:$AB$4001,Responses!$B$2:$B$4001,$A199),2)</f>
        <v>17.47</v>
      </c>
      <c r="S199" s="0" t="str">
        <f aca="false">IF(R199&gt;='Reward Model'!$B$8,"Gold",IF(R199&gt;='Reward Model'!$B$9,"Silver","Bronze"))</f>
        <v>Bronze</v>
      </c>
      <c r="T199" s="2" t="n">
        <f aca="false">ROUND(R199/'Reward Model'!$B$7*100,2)</f>
        <v>42.61</v>
      </c>
    </row>
    <row r="200" customFormat="false" ht="15" hidden="false" customHeight="false" outlineLevel="0" collapsed="false">
      <c r="A200" s="0" t="s">
        <v>529</v>
      </c>
      <c r="B200" s="0" t="s">
        <v>322</v>
      </c>
      <c r="C200" s="0" t="s">
        <v>275</v>
      </c>
      <c r="D200" s="0" t="n">
        <f aca="false">F200</f>
        <v>20</v>
      </c>
      <c r="E200" s="2" t="n">
        <f aca="false">ROUND(K200+N200+Q200,2)</f>
        <v>32.3</v>
      </c>
      <c r="F200" s="3" t="n">
        <f aca="false">COUNTIFS(Responses!$B$2:$B$4001,$A200)</f>
        <v>20</v>
      </c>
      <c r="G200" s="3" t="n">
        <f aca="false">I200+L200+O200</f>
        <v>9</v>
      </c>
      <c r="H200" s="3" t="n">
        <f aca="false">J200+M200+P200</f>
        <v>11</v>
      </c>
      <c r="I200" s="3" t="n">
        <f aca="false">COUNTIFS(Responses!$B$2:$B$4001,$A200,Responses!$K$2:$K$4001,"High",Responses!$I$2:$I$4001,"Correct")</f>
        <v>1</v>
      </c>
      <c r="J200" s="3" t="n">
        <f aca="false">COUNTIFS(Responses!$B$2:$B$4001,$A200,Responses!$K$2:$K$4001,"High",Responses!$I$2:$I$4001,"Wrong")</f>
        <v>4</v>
      </c>
      <c r="K200" s="2" t="n">
        <f aca="false">ROUND(SUMIFS(Responses!$J$2:$J$4001,Responses!$B$2:$B$4001,$A200,Responses!$K$2:$K$4001,"High"),2)</f>
        <v>8.63</v>
      </c>
      <c r="L200" s="3" t="n">
        <f aca="false">COUNTIFS(Responses!$B$2:$B$4001,$A200,Responses!$K$2:$K$4001,"Medium",Responses!$I$2:$I$4001,"Correct")</f>
        <v>1</v>
      </c>
      <c r="M200" s="3" t="n">
        <f aca="false">COUNTIFS(Responses!$B$2:$B$4001,$A200,Responses!$K$2:$K$4001,"Medium",Responses!$I$2:$I$4001,"Wrong")</f>
        <v>5</v>
      </c>
      <c r="N200" s="2" t="n">
        <f aca="false">ROUND(SUMIFS(Responses!$J$2:$J$4001,Responses!$B$2:$B$4001,$A200,Responses!$K$2:$K$4001,"Medium"),2)</f>
        <v>10.23</v>
      </c>
      <c r="O200" s="3" t="n">
        <f aca="false">COUNTIFS(Responses!$B$2:$B$4001,$A200,Responses!$K$2:$K$4001,"Low",Responses!$I$2:$I$4001,"Correct")</f>
        <v>7</v>
      </c>
      <c r="P200" s="3" t="n">
        <f aca="false">COUNTIFS(Responses!$B$2:$B$4001,$A200,Responses!$K$2:$K$4001,"Low",Responses!$I$2:$I$4001,"Wrong")</f>
        <v>2</v>
      </c>
      <c r="Q200" s="2" t="n">
        <f aca="false">ROUND(SUMIFS(Responses!$J$2:$J$4001,Responses!$B$2:$B$4001,$A200,Responses!$K$2:$K$4001,"Low"),2)</f>
        <v>13.44</v>
      </c>
      <c r="R200" s="2" t="n">
        <f aca="false">ROUND(SUMIFS(Responses!$AB$2:$AB$4001,Responses!$B$2:$B$4001,$A200),2)</f>
        <v>15.6</v>
      </c>
      <c r="S200" s="0" t="str">
        <f aca="false">IF(R200&gt;='Reward Model'!$B$8,"Gold",IF(R200&gt;='Reward Model'!$B$9,"Silver","Bronze"))</f>
        <v>Bronze</v>
      </c>
      <c r="T200" s="2" t="n">
        <f aca="false">ROUND(R200/'Reward Model'!$B$7*100,2)</f>
        <v>38.05</v>
      </c>
    </row>
    <row r="201" customFormat="false" ht="15" hidden="false" customHeight="false" outlineLevel="0" collapsed="false">
      <c r="A201" s="0" t="s">
        <v>531</v>
      </c>
      <c r="B201" s="0" t="s">
        <v>322</v>
      </c>
      <c r="C201" s="0" t="s">
        <v>275</v>
      </c>
      <c r="D201" s="0" t="n">
        <f aca="false">F201</f>
        <v>20</v>
      </c>
      <c r="E201" s="2" t="n">
        <f aca="false">ROUND(K201+N201+Q201,2)</f>
        <v>32.23</v>
      </c>
      <c r="F201" s="3" t="n">
        <f aca="false">COUNTIFS(Responses!$B$2:$B$4001,$A201)</f>
        <v>20</v>
      </c>
      <c r="G201" s="3" t="n">
        <f aca="false">I201+L201+O201</f>
        <v>11</v>
      </c>
      <c r="H201" s="3" t="n">
        <f aca="false">J201+M201+P201</f>
        <v>9</v>
      </c>
      <c r="I201" s="3" t="n">
        <f aca="false">COUNTIFS(Responses!$B$2:$B$4001,$A201,Responses!$K$2:$K$4001,"High",Responses!$I$2:$I$4001,"Correct")</f>
        <v>1</v>
      </c>
      <c r="J201" s="3" t="n">
        <f aca="false">COUNTIFS(Responses!$B$2:$B$4001,$A201,Responses!$K$2:$K$4001,"High",Responses!$I$2:$I$4001,"Wrong")</f>
        <v>4</v>
      </c>
      <c r="K201" s="2" t="n">
        <f aca="false">ROUND(SUMIFS(Responses!$J$2:$J$4001,Responses!$B$2:$B$4001,$A201,Responses!$K$2:$K$4001,"High"),2)</f>
        <v>8.67</v>
      </c>
      <c r="L201" s="3" t="n">
        <f aca="false">COUNTIFS(Responses!$B$2:$B$4001,$A201,Responses!$K$2:$K$4001,"Medium",Responses!$I$2:$I$4001,"Correct")</f>
        <v>2</v>
      </c>
      <c r="M201" s="3" t="n">
        <f aca="false">COUNTIFS(Responses!$B$2:$B$4001,$A201,Responses!$K$2:$K$4001,"Medium",Responses!$I$2:$I$4001,"Wrong")</f>
        <v>4</v>
      </c>
      <c r="N201" s="2" t="n">
        <f aca="false">ROUND(SUMIFS(Responses!$J$2:$J$4001,Responses!$B$2:$B$4001,$A201,Responses!$K$2:$K$4001,"Medium"),2)</f>
        <v>10.4</v>
      </c>
      <c r="O201" s="3" t="n">
        <f aca="false">COUNTIFS(Responses!$B$2:$B$4001,$A201,Responses!$K$2:$K$4001,"Low",Responses!$I$2:$I$4001,"Correct")</f>
        <v>8</v>
      </c>
      <c r="P201" s="3" t="n">
        <f aca="false">COUNTIFS(Responses!$B$2:$B$4001,$A201,Responses!$K$2:$K$4001,"Low",Responses!$I$2:$I$4001,"Wrong")</f>
        <v>1</v>
      </c>
      <c r="Q201" s="2" t="n">
        <f aca="false">ROUND(SUMIFS(Responses!$J$2:$J$4001,Responses!$B$2:$B$4001,$A201,Responses!$K$2:$K$4001,"Low"),2)</f>
        <v>13.16</v>
      </c>
      <c r="R201" s="2" t="n">
        <f aca="false">ROUND(SUMIFS(Responses!$AB$2:$AB$4001,Responses!$B$2:$B$4001,$A201),2)</f>
        <v>17.91</v>
      </c>
      <c r="S201" s="0" t="str">
        <f aca="false">IF(R201&gt;='Reward Model'!$B$8,"Gold",IF(R201&gt;='Reward Model'!$B$9,"Silver","Bronze"))</f>
        <v>Bronze</v>
      </c>
      <c r="T201" s="2" t="n">
        <f aca="false">ROUND(R201/'Reward Model'!$B$7*100,2)</f>
        <v>43.68</v>
      </c>
    </row>
  </sheetData>
  <autoFilter ref="A1:T201"/>
  <conditionalFormatting sqref="S2:S201">
    <cfRule type="cellIs" priority="2" operator="equal" aboveAverage="0" equalAverage="0" bottom="0" percent="0" rank="0" text="" dxfId="7">
      <formula>"Gold"</formula>
    </cfRule>
    <cfRule type="cellIs" priority="3" operator="equal" aboveAverage="0" equalAverage="0" bottom="0" percent="0" rank="0" text="" dxfId="8">
      <formula>"Silver"</formula>
    </cfRule>
    <cfRule type="cellIs" priority="4" operator="equal" aboveAverage="0" equalAverage="0" bottom="0" percent="0" rank="0" text="" dxfId="9">
      <formula>"Bronze"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536</v>
      </c>
    </row>
    <row r="2" customFormat="false" ht="15" hidden="false" customHeight="false" outlineLevel="0" collapsed="false">
      <c r="A2" s="5" t="s">
        <v>537</v>
      </c>
      <c r="B2" s="5" t="s">
        <v>31</v>
      </c>
      <c r="C2" s="5" t="n">
        <f aca="false">COUNTIFS(Summary!$B$2:$B$201,"11",Summary!$C$2:$C$201,B2)</f>
        <v>30</v>
      </c>
    </row>
    <row r="3" customFormat="false" ht="15" hidden="false" customHeight="false" outlineLevel="0" collapsed="false">
      <c r="A3" s="5"/>
      <c r="B3" s="5" t="s">
        <v>189</v>
      </c>
      <c r="C3" s="5" t="n">
        <f aca="false">COUNTIFS(Summary!$B$2:$B$201,"11",Summary!$C$2:$C$201,B3)</f>
        <v>42</v>
      </c>
    </row>
    <row r="4" customFormat="false" ht="15" hidden="false" customHeight="false" outlineLevel="0" collapsed="false">
      <c r="A4" s="5"/>
      <c r="B4" s="5" t="s">
        <v>275</v>
      </c>
      <c r="C4" s="5" t="n">
        <f aca="false">COUNTIFS(Summary!$B$2:$B$201,"11",Summary!$C$2:$C$201,B4)</f>
        <v>23</v>
      </c>
    </row>
    <row r="5" customFormat="false" ht="15" hidden="false" customHeight="false" outlineLevel="0" collapsed="false">
      <c r="A5" s="5" t="s">
        <v>538</v>
      </c>
      <c r="B5" s="5" t="s">
        <v>31</v>
      </c>
      <c r="C5" s="5" t="n">
        <f aca="false">COUNTIFS(Summary!$B$2:$B$201,"12",Summary!$C$2:$C$201,B5)</f>
        <v>34</v>
      </c>
    </row>
    <row r="6" customFormat="false" ht="15" hidden="false" customHeight="false" outlineLevel="0" collapsed="false">
      <c r="A6" s="5"/>
      <c r="B6" s="5" t="s">
        <v>189</v>
      </c>
      <c r="C6" s="5" t="n">
        <f aca="false">COUNTIFS(Summary!$B$2:$B$201,"12",Summary!$C$2:$C$201,B6)</f>
        <v>47</v>
      </c>
    </row>
    <row r="7" customFormat="false" ht="15" hidden="false" customHeight="false" outlineLevel="0" collapsed="false">
      <c r="A7" s="5"/>
      <c r="B7" s="5" t="s">
        <v>275</v>
      </c>
      <c r="C7" s="5" t="n">
        <f aca="false">COUNTIFS(Summary!$B$2:$B$201,"12",Summary!$C$2:$C$201,B7)</f>
        <v>24</v>
      </c>
    </row>
    <row r="8" customFormat="false" ht="15" hidden="false" customHeight="false" outlineLevel="0" collapsed="false">
      <c r="A8" s="6" t="s">
        <v>539</v>
      </c>
      <c r="C8" s="6" t="n">
        <f aca="false">SUM(C2:C7)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0"/>
    <col collapsed="false" customWidth="true" hidden="false" outlineLevel="0" max="7" min="3" style="0" width="20"/>
  </cols>
  <sheetData>
    <row r="1" customFormat="false" ht="15" hidden="false" customHeight="false" outlineLevel="0" collapsed="false">
      <c r="A1" s="1" t="s">
        <v>540</v>
      </c>
      <c r="B1" s="1" t="s">
        <v>541</v>
      </c>
    </row>
    <row r="2" customFormat="false" ht="15" hidden="false" customHeight="false" outlineLevel="0" collapsed="false">
      <c r="A2" s="5" t="s">
        <v>542</v>
      </c>
      <c r="B2" s="7" t="n">
        <v>0.6</v>
      </c>
    </row>
    <row r="3" customFormat="false" ht="15" hidden="false" customHeight="false" outlineLevel="0" collapsed="false">
      <c r="A3" s="5" t="s">
        <v>543</v>
      </c>
      <c r="B3" s="7" t="n">
        <v>0.8</v>
      </c>
    </row>
    <row r="4" customFormat="false" ht="15" hidden="false" customHeight="false" outlineLevel="0" collapsed="false">
      <c r="A4" s="5" t="s">
        <v>544</v>
      </c>
      <c r="B4" s="7" t="n">
        <v>0.55</v>
      </c>
    </row>
    <row r="5" customFormat="false" ht="15" hidden="false" customHeight="false" outlineLevel="0" collapsed="false">
      <c r="A5" s="5" t="s">
        <v>545</v>
      </c>
      <c r="B5" s="7" t="n">
        <v>0.7</v>
      </c>
    </row>
    <row r="6" customFormat="false" ht="15" hidden="false" customHeight="false" outlineLevel="0" collapsed="false">
      <c r="A6" s="5" t="s">
        <v>546</v>
      </c>
      <c r="B6" s="7" t="n">
        <v>0.5</v>
      </c>
    </row>
    <row r="7" customFormat="false" ht="15" hidden="false" customHeight="false" outlineLevel="0" collapsed="false">
      <c r="A7" s="5" t="s">
        <v>547</v>
      </c>
      <c r="B7" s="5" t="n">
        <f aca="false">SUM(G18:G37)</f>
        <v>41</v>
      </c>
    </row>
    <row r="8" customFormat="false" ht="15" hidden="false" customHeight="false" outlineLevel="0" collapsed="false">
      <c r="A8" s="5" t="s">
        <v>548</v>
      </c>
      <c r="B8" s="5" t="n">
        <f aca="false">ROUND(B5*B7,2)</f>
        <v>28.7</v>
      </c>
    </row>
    <row r="9" customFormat="false" ht="15" hidden="false" customHeight="false" outlineLevel="0" collapsed="false">
      <c r="A9" s="5" t="s">
        <v>549</v>
      </c>
      <c r="B9" s="5" t="n">
        <f aca="false">ROUND(B6*B7,2)</f>
        <v>20.5</v>
      </c>
    </row>
    <row r="11" customFormat="false" ht="15" hidden="false" customHeight="false" outlineLevel="0" collapsed="false">
      <c r="A11" s="1" t="s">
        <v>10</v>
      </c>
      <c r="B11" s="1" t="s">
        <v>550</v>
      </c>
      <c r="C11" s="1" t="s">
        <v>551</v>
      </c>
    </row>
    <row r="12" customFormat="false" ht="15" hidden="false" customHeight="false" outlineLevel="0" collapsed="false">
      <c r="A12" s="5" t="s">
        <v>35</v>
      </c>
      <c r="B12" s="7" t="n">
        <v>1</v>
      </c>
      <c r="C12" s="7" t="n">
        <v>1.5</v>
      </c>
    </row>
    <row r="13" customFormat="false" ht="15" hidden="false" customHeight="false" outlineLevel="0" collapsed="false">
      <c r="A13" s="5" t="s">
        <v>60</v>
      </c>
      <c r="B13" s="7" t="n">
        <v>2</v>
      </c>
      <c r="C13" s="7" t="n">
        <v>1.8</v>
      </c>
    </row>
    <row r="14" customFormat="false" ht="15" hidden="false" customHeight="false" outlineLevel="0" collapsed="false">
      <c r="A14" s="5" t="s">
        <v>73</v>
      </c>
      <c r="B14" s="7" t="n">
        <v>3</v>
      </c>
      <c r="C14" s="7" t="n">
        <v>2</v>
      </c>
    </row>
    <row r="17" customFormat="false" ht="15" hidden="false" customHeight="false" outlineLevel="0" collapsed="false">
      <c r="A17" s="1" t="s">
        <v>4</v>
      </c>
      <c r="B17" s="1" t="s">
        <v>5</v>
      </c>
      <c r="C17" s="1" t="s">
        <v>552</v>
      </c>
      <c r="D17" s="1" t="s">
        <v>553</v>
      </c>
      <c r="E17" s="1" t="s">
        <v>24</v>
      </c>
      <c r="F17" s="1" t="s">
        <v>554</v>
      </c>
      <c r="G17" s="1" t="s">
        <v>555</v>
      </c>
    </row>
    <row r="18" customFormat="false" ht="15" hidden="false" customHeight="false" outlineLevel="0" collapsed="false">
      <c r="A18" s="5" t="n">
        <v>1</v>
      </c>
      <c r="B18" s="5" t="s">
        <v>32</v>
      </c>
      <c r="C18" s="5" t="s">
        <v>35</v>
      </c>
      <c r="D18" s="8" t="n">
        <f aca="false">COUNTIFS(Responses!$E$2:$E$4001,A18,Responses!$I$2:$I$4001,"Correct")/COUNTIFS(Responses!$E$2:$E$4001,A18)</f>
        <v>0.785</v>
      </c>
      <c r="E18" s="5" t="str">
        <f aca="false">IF(D18&gt;=$B$3,"Low",IF(D18&gt;=$B$4,"Medium","High"))</f>
        <v>Medium</v>
      </c>
      <c r="F18" s="5" t="n">
        <f aca="false">INDEX($B$12:$B$14,MATCH(C18,$A$12:$A$14,0))</f>
        <v>1</v>
      </c>
      <c r="G18" s="5" t="n">
        <f aca="false">INDEX($B$12:$B$14,MATCH(E18,$A$12:$A$14,0))</f>
        <v>2</v>
      </c>
    </row>
    <row r="19" customFormat="false" ht="15" hidden="false" customHeight="false" outlineLevel="0" collapsed="false">
      <c r="A19" s="5" t="n">
        <v>2</v>
      </c>
      <c r="B19" s="5" t="s">
        <v>36</v>
      </c>
      <c r="C19" s="5" t="s">
        <v>35</v>
      </c>
      <c r="D19" s="8" t="n">
        <f aca="false">COUNTIFS(Responses!$E$2:$E$4001,A19,Responses!$I$2:$I$4001,"Correct")/COUNTIFS(Responses!$E$2:$E$4001,A19)</f>
        <v>0.805</v>
      </c>
      <c r="E19" s="5" t="str">
        <f aca="false">IF(D19&gt;=$B$3,"Low",IF(D19&gt;=$B$4,"Medium","High"))</f>
        <v>Low</v>
      </c>
      <c r="F19" s="5" t="n">
        <f aca="false">INDEX($B$12:$B$14,MATCH(C19,$A$12:$A$14,0))</f>
        <v>1</v>
      </c>
      <c r="G19" s="5" t="n">
        <f aca="false">INDEX($B$12:$B$14,MATCH(E19,$A$12:$A$14,0))</f>
        <v>1</v>
      </c>
    </row>
    <row r="20" customFormat="false" ht="15" hidden="false" customHeight="false" outlineLevel="0" collapsed="false">
      <c r="A20" s="5" t="n">
        <v>3</v>
      </c>
      <c r="B20" s="5" t="s">
        <v>40</v>
      </c>
      <c r="C20" s="5" t="s">
        <v>35</v>
      </c>
      <c r="D20" s="8" t="n">
        <f aca="false">COUNTIFS(Responses!$E$2:$E$4001,A20,Responses!$I$2:$I$4001,"Correct")/COUNTIFS(Responses!$E$2:$E$4001,A20)</f>
        <v>0.79</v>
      </c>
      <c r="E20" s="5" t="str">
        <f aca="false">IF(D20&gt;=$B$3,"Low",IF(D20&gt;=$B$4,"Medium","High"))</f>
        <v>Medium</v>
      </c>
      <c r="F20" s="5" t="n">
        <f aca="false">INDEX($B$12:$B$14,MATCH(C20,$A$12:$A$14,0))</f>
        <v>1</v>
      </c>
      <c r="G20" s="5" t="n">
        <f aca="false">INDEX($B$12:$B$14,MATCH(E20,$A$12:$A$14,0))</f>
        <v>2</v>
      </c>
    </row>
    <row r="21" customFormat="false" ht="15" hidden="false" customHeight="false" outlineLevel="0" collapsed="false">
      <c r="A21" s="5" t="n">
        <v>4</v>
      </c>
      <c r="B21" s="5" t="s">
        <v>43</v>
      </c>
      <c r="C21" s="5" t="s">
        <v>35</v>
      </c>
      <c r="D21" s="8" t="n">
        <f aca="false">COUNTIFS(Responses!$E$2:$E$4001,A21,Responses!$I$2:$I$4001,"Correct")/COUNTIFS(Responses!$E$2:$E$4001,A21)</f>
        <v>0.84</v>
      </c>
      <c r="E21" s="5" t="str">
        <f aca="false">IF(D21&gt;=$B$3,"Low",IF(D21&gt;=$B$4,"Medium","High"))</f>
        <v>Low</v>
      </c>
      <c r="F21" s="5" t="n">
        <f aca="false">INDEX($B$12:$B$14,MATCH(C21,$A$12:$A$14,0))</f>
        <v>1</v>
      </c>
      <c r="G21" s="5" t="n">
        <f aca="false">INDEX($B$12:$B$14,MATCH(E21,$A$12:$A$14,0))</f>
        <v>1</v>
      </c>
    </row>
    <row r="22" customFormat="false" ht="15" hidden="false" customHeight="false" outlineLevel="0" collapsed="false">
      <c r="A22" s="5" t="n">
        <v>5</v>
      </c>
      <c r="B22" s="5" t="s">
        <v>46</v>
      </c>
      <c r="C22" s="5" t="s">
        <v>35</v>
      </c>
      <c r="D22" s="8" t="n">
        <f aca="false">COUNTIFS(Responses!$E$2:$E$4001,A22,Responses!$I$2:$I$4001,"Correct")/COUNTIFS(Responses!$E$2:$E$4001,A22)</f>
        <v>0.83</v>
      </c>
      <c r="E22" s="5" t="str">
        <f aca="false">IF(D22&gt;=$B$3,"Low",IF(D22&gt;=$B$4,"Medium","High"))</f>
        <v>Low</v>
      </c>
      <c r="F22" s="5" t="n">
        <f aca="false">INDEX($B$12:$B$14,MATCH(C22,$A$12:$A$14,0))</f>
        <v>1</v>
      </c>
      <c r="G22" s="5" t="n">
        <f aca="false">INDEX($B$12:$B$14,MATCH(E22,$A$12:$A$14,0))</f>
        <v>1</v>
      </c>
    </row>
    <row r="23" customFormat="false" ht="15" hidden="false" customHeight="false" outlineLevel="0" collapsed="false">
      <c r="A23" s="5" t="n">
        <v>6</v>
      </c>
      <c r="B23" s="5" t="s">
        <v>48</v>
      </c>
      <c r="C23" s="5" t="s">
        <v>35</v>
      </c>
      <c r="D23" s="8" t="n">
        <f aca="false">COUNTIFS(Responses!$E$2:$E$4001,A23,Responses!$I$2:$I$4001,"Correct")/COUNTIFS(Responses!$E$2:$E$4001,A23)</f>
        <v>0.785</v>
      </c>
      <c r="E23" s="5" t="str">
        <f aca="false">IF(D23&gt;=$B$3,"Low",IF(D23&gt;=$B$4,"Medium","High"))</f>
        <v>Medium</v>
      </c>
      <c r="F23" s="5" t="n">
        <f aca="false">INDEX($B$12:$B$14,MATCH(C23,$A$12:$A$14,0))</f>
        <v>1</v>
      </c>
      <c r="G23" s="5" t="n">
        <f aca="false">INDEX($B$12:$B$14,MATCH(E23,$A$12:$A$14,0))</f>
        <v>2</v>
      </c>
    </row>
    <row r="24" customFormat="false" ht="15" hidden="false" customHeight="false" outlineLevel="0" collapsed="false">
      <c r="A24" s="5" t="n">
        <v>7</v>
      </c>
      <c r="B24" s="5" t="s">
        <v>50</v>
      </c>
      <c r="C24" s="5" t="s">
        <v>35</v>
      </c>
      <c r="D24" s="8" t="n">
        <f aca="false">COUNTIFS(Responses!$E$2:$E$4001,A24,Responses!$I$2:$I$4001,"Correct")/COUNTIFS(Responses!$E$2:$E$4001,A24)</f>
        <v>0.85</v>
      </c>
      <c r="E24" s="5" t="str">
        <f aca="false">IF(D24&gt;=$B$3,"Low",IF(D24&gt;=$B$4,"Medium","High"))</f>
        <v>Low</v>
      </c>
      <c r="F24" s="5" t="n">
        <f aca="false">INDEX($B$12:$B$14,MATCH(C24,$A$12:$A$14,0))</f>
        <v>1</v>
      </c>
      <c r="G24" s="5" t="n">
        <f aca="false">INDEX($B$12:$B$14,MATCH(E24,$A$12:$A$14,0))</f>
        <v>1</v>
      </c>
    </row>
    <row r="25" customFormat="false" ht="15" hidden="false" customHeight="false" outlineLevel="0" collapsed="false">
      <c r="A25" s="5" t="n">
        <v>8</v>
      </c>
      <c r="B25" s="5" t="s">
        <v>52</v>
      </c>
      <c r="C25" s="5" t="s">
        <v>35</v>
      </c>
      <c r="D25" s="8" t="n">
        <f aca="false">COUNTIFS(Responses!$E$2:$E$4001,A25,Responses!$I$2:$I$4001,"Correct")/COUNTIFS(Responses!$E$2:$E$4001,A25)</f>
        <v>0.775</v>
      </c>
      <c r="E25" s="5" t="str">
        <f aca="false">IF(D25&gt;=$B$3,"Low",IF(D25&gt;=$B$4,"Medium","High"))</f>
        <v>Medium</v>
      </c>
      <c r="F25" s="5" t="n">
        <f aca="false">INDEX($B$12:$B$14,MATCH(C25,$A$12:$A$14,0))</f>
        <v>1</v>
      </c>
      <c r="G25" s="5" t="n">
        <f aca="false">INDEX($B$12:$B$14,MATCH(E25,$A$12:$A$14,0))</f>
        <v>2</v>
      </c>
    </row>
    <row r="26" customFormat="false" ht="15" hidden="false" customHeight="false" outlineLevel="0" collapsed="false">
      <c r="A26" s="5" t="n">
        <v>9</v>
      </c>
      <c r="B26" s="5" t="s">
        <v>55</v>
      </c>
      <c r="C26" s="5" t="s">
        <v>35</v>
      </c>
      <c r="D26" s="8" t="n">
        <f aca="false">COUNTIFS(Responses!$E$2:$E$4001,A26,Responses!$I$2:$I$4001,"Correct")/COUNTIFS(Responses!$E$2:$E$4001,A26)</f>
        <v>0.795</v>
      </c>
      <c r="E26" s="5" t="str">
        <f aca="false">IF(D26&gt;=$B$3,"Low",IF(D26&gt;=$B$4,"Medium","High"))</f>
        <v>Medium</v>
      </c>
      <c r="F26" s="5" t="n">
        <f aca="false">INDEX($B$12:$B$14,MATCH(C26,$A$12:$A$14,0))</f>
        <v>1</v>
      </c>
      <c r="G26" s="5" t="n">
        <f aca="false">INDEX($B$12:$B$14,MATCH(E26,$A$12:$A$14,0))</f>
        <v>2</v>
      </c>
    </row>
    <row r="27" customFormat="false" ht="15" hidden="false" customHeight="false" outlineLevel="0" collapsed="false">
      <c r="A27" s="5" t="n">
        <v>10</v>
      </c>
      <c r="B27" s="5" t="s">
        <v>58</v>
      </c>
      <c r="C27" s="5" t="s">
        <v>60</v>
      </c>
      <c r="D27" s="8" t="n">
        <f aca="false">COUNTIFS(Responses!$E$2:$E$4001,A27,Responses!$I$2:$I$4001,"Correct")/COUNTIFS(Responses!$E$2:$E$4001,A27)</f>
        <v>0.64</v>
      </c>
      <c r="E27" s="5" t="str">
        <f aca="false">IF(D27&gt;=$B$3,"Low",IF(D27&gt;=$B$4,"Medium","High"))</f>
        <v>Medium</v>
      </c>
      <c r="F27" s="5" t="n">
        <f aca="false">INDEX($B$12:$B$14,MATCH(C27,$A$12:$A$14,0))</f>
        <v>2</v>
      </c>
      <c r="G27" s="5" t="n">
        <f aca="false">INDEX($B$12:$B$14,MATCH(E27,$A$12:$A$14,0))</f>
        <v>2</v>
      </c>
    </row>
    <row r="28" customFormat="false" ht="15" hidden="false" customHeight="false" outlineLevel="0" collapsed="false">
      <c r="A28" s="5" t="n">
        <v>11</v>
      </c>
      <c r="B28" s="5" t="s">
        <v>61</v>
      </c>
      <c r="C28" s="5" t="s">
        <v>60</v>
      </c>
      <c r="D28" s="8" t="n">
        <f aca="false">COUNTIFS(Responses!$E$2:$E$4001,A28,Responses!$I$2:$I$4001,"Correct")/COUNTIFS(Responses!$E$2:$E$4001,A28)</f>
        <v>0.65</v>
      </c>
      <c r="E28" s="5" t="str">
        <f aca="false">IF(D28&gt;=$B$3,"Low",IF(D28&gt;=$B$4,"Medium","High"))</f>
        <v>Medium</v>
      </c>
      <c r="F28" s="5" t="n">
        <f aca="false">INDEX($B$12:$B$14,MATCH(C28,$A$12:$A$14,0))</f>
        <v>2</v>
      </c>
      <c r="G28" s="5" t="n">
        <f aca="false">INDEX($B$12:$B$14,MATCH(E28,$A$12:$A$14,0))</f>
        <v>2</v>
      </c>
    </row>
    <row r="29" customFormat="false" ht="15" hidden="false" customHeight="false" outlineLevel="0" collapsed="false">
      <c r="A29" s="5" t="n">
        <v>12</v>
      </c>
      <c r="B29" s="5" t="s">
        <v>64</v>
      </c>
      <c r="C29" s="5" t="s">
        <v>60</v>
      </c>
      <c r="D29" s="8" t="n">
        <f aca="false">COUNTIFS(Responses!$E$2:$E$4001,A29,Responses!$I$2:$I$4001,"Correct")/COUNTIFS(Responses!$E$2:$E$4001,A29)</f>
        <v>0.64</v>
      </c>
      <c r="E29" s="5" t="str">
        <f aca="false">IF(D29&gt;=$B$3,"Low",IF(D29&gt;=$B$4,"Medium","High"))</f>
        <v>Medium</v>
      </c>
      <c r="F29" s="5" t="n">
        <f aca="false">INDEX($B$12:$B$14,MATCH(C29,$A$12:$A$14,0))</f>
        <v>2</v>
      </c>
      <c r="G29" s="5" t="n">
        <f aca="false">INDEX($B$12:$B$14,MATCH(E29,$A$12:$A$14,0))</f>
        <v>2</v>
      </c>
    </row>
    <row r="30" customFormat="false" ht="15" hidden="false" customHeight="false" outlineLevel="0" collapsed="false">
      <c r="A30" s="5" t="n">
        <v>13</v>
      </c>
      <c r="B30" s="5" t="s">
        <v>66</v>
      </c>
      <c r="C30" s="5" t="s">
        <v>60</v>
      </c>
      <c r="D30" s="8" t="n">
        <f aca="false">COUNTIFS(Responses!$E$2:$E$4001,A30,Responses!$I$2:$I$4001,"Correct")/COUNTIFS(Responses!$E$2:$E$4001,A30)</f>
        <v>0.64</v>
      </c>
      <c r="E30" s="5" t="str">
        <f aca="false">IF(D30&gt;=$B$3,"Low",IF(D30&gt;=$B$4,"Medium","High"))</f>
        <v>Medium</v>
      </c>
      <c r="F30" s="5" t="n">
        <f aca="false">INDEX($B$12:$B$14,MATCH(C30,$A$12:$A$14,0))</f>
        <v>2</v>
      </c>
      <c r="G30" s="5" t="n">
        <f aca="false">INDEX($B$12:$B$14,MATCH(E30,$A$12:$A$14,0))</f>
        <v>2</v>
      </c>
    </row>
    <row r="31" customFormat="false" ht="15" hidden="false" customHeight="false" outlineLevel="0" collapsed="false">
      <c r="A31" s="5" t="n">
        <v>14</v>
      </c>
      <c r="B31" s="5" t="s">
        <v>68</v>
      </c>
      <c r="C31" s="5" t="s">
        <v>60</v>
      </c>
      <c r="D31" s="8" t="n">
        <f aca="false">COUNTIFS(Responses!$E$2:$E$4001,A31,Responses!$I$2:$I$4001,"Correct")/COUNTIFS(Responses!$E$2:$E$4001,A31)</f>
        <v>0.585</v>
      </c>
      <c r="E31" s="5" t="str">
        <f aca="false">IF(D31&gt;=$B$3,"Low",IF(D31&gt;=$B$4,"Medium","High"))</f>
        <v>Medium</v>
      </c>
      <c r="F31" s="5" t="n">
        <f aca="false">INDEX($B$12:$B$14,MATCH(C31,$A$12:$A$14,0))</f>
        <v>2</v>
      </c>
      <c r="G31" s="5" t="n">
        <f aca="false">INDEX($B$12:$B$14,MATCH(E31,$A$12:$A$14,0))</f>
        <v>2</v>
      </c>
    </row>
    <row r="32" customFormat="false" ht="15" hidden="false" customHeight="false" outlineLevel="0" collapsed="false">
      <c r="A32" s="5" t="n">
        <v>15</v>
      </c>
      <c r="B32" s="5" t="s">
        <v>69</v>
      </c>
      <c r="C32" s="5" t="s">
        <v>60</v>
      </c>
      <c r="D32" s="8" t="n">
        <f aca="false">COUNTIFS(Responses!$E$2:$E$4001,A32,Responses!$I$2:$I$4001,"Correct")/COUNTIFS(Responses!$E$2:$E$4001,A32)</f>
        <v>0.645</v>
      </c>
      <c r="E32" s="5" t="str">
        <f aca="false">IF(D32&gt;=$B$3,"Low",IF(D32&gt;=$B$4,"Medium","High"))</f>
        <v>Medium</v>
      </c>
      <c r="F32" s="5" t="n">
        <f aca="false">INDEX($B$12:$B$14,MATCH(C32,$A$12:$A$14,0))</f>
        <v>2</v>
      </c>
      <c r="G32" s="5" t="n">
        <f aca="false">INDEX($B$12:$B$14,MATCH(E32,$A$12:$A$14,0))</f>
        <v>2</v>
      </c>
    </row>
    <row r="33" customFormat="false" ht="15" hidden="false" customHeight="false" outlineLevel="0" collapsed="false">
      <c r="A33" s="5" t="n">
        <v>16</v>
      </c>
      <c r="B33" s="5" t="s">
        <v>71</v>
      </c>
      <c r="C33" s="5" t="s">
        <v>73</v>
      </c>
      <c r="D33" s="8" t="n">
        <f aca="false">COUNTIFS(Responses!$E$2:$E$4001,A33,Responses!$I$2:$I$4001,"Correct")/COUNTIFS(Responses!$E$2:$E$4001,A33)</f>
        <v>0.445</v>
      </c>
      <c r="E33" s="5" t="str">
        <f aca="false">IF(D33&gt;=$B$3,"Low",IF(D33&gt;=$B$4,"Medium","High"))</f>
        <v>High</v>
      </c>
      <c r="F33" s="5" t="n">
        <f aca="false">INDEX($B$12:$B$14,MATCH(C33,$A$12:$A$14,0))</f>
        <v>3</v>
      </c>
      <c r="G33" s="5" t="n">
        <f aca="false">INDEX($B$12:$B$14,MATCH(E33,$A$12:$A$14,0))</f>
        <v>3</v>
      </c>
    </row>
    <row r="34" customFormat="false" ht="15" hidden="false" customHeight="false" outlineLevel="0" collapsed="false">
      <c r="A34" s="5" t="n">
        <v>17</v>
      </c>
      <c r="B34" s="5" t="s">
        <v>74</v>
      </c>
      <c r="C34" s="5" t="s">
        <v>73</v>
      </c>
      <c r="D34" s="8" t="n">
        <f aca="false">COUNTIFS(Responses!$E$2:$E$4001,A34,Responses!$I$2:$I$4001,"Correct")/COUNTIFS(Responses!$E$2:$E$4001,A34)</f>
        <v>0.485</v>
      </c>
      <c r="E34" s="5" t="str">
        <f aca="false">IF(D34&gt;=$B$3,"Low",IF(D34&gt;=$B$4,"Medium","High"))</f>
        <v>High</v>
      </c>
      <c r="F34" s="5" t="n">
        <f aca="false">INDEX($B$12:$B$14,MATCH(C34,$A$12:$A$14,0))</f>
        <v>3</v>
      </c>
      <c r="G34" s="5" t="n">
        <f aca="false">INDEX($B$12:$B$14,MATCH(E34,$A$12:$A$14,0))</f>
        <v>3</v>
      </c>
    </row>
    <row r="35" customFormat="false" ht="15" hidden="false" customHeight="false" outlineLevel="0" collapsed="false">
      <c r="A35" s="5" t="n">
        <v>18</v>
      </c>
      <c r="B35" s="5" t="s">
        <v>76</v>
      </c>
      <c r="C35" s="5" t="s">
        <v>73</v>
      </c>
      <c r="D35" s="8" t="n">
        <f aca="false">COUNTIFS(Responses!$E$2:$E$4001,A35,Responses!$I$2:$I$4001,"Correct")/COUNTIFS(Responses!$E$2:$E$4001,A35)</f>
        <v>0.46</v>
      </c>
      <c r="E35" s="5" t="str">
        <f aca="false">IF(D35&gt;=$B$3,"Low",IF(D35&gt;=$B$4,"Medium","High"))</f>
        <v>High</v>
      </c>
      <c r="F35" s="5" t="n">
        <f aca="false">INDEX($B$12:$B$14,MATCH(C35,$A$12:$A$14,0))</f>
        <v>3</v>
      </c>
      <c r="G35" s="5" t="n">
        <f aca="false">INDEX($B$12:$B$14,MATCH(E35,$A$12:$A$14,0))</f>
        <v>3</v>
      </c>
    </row>
    <row r="36" customFormat="false" ht="15" hidden="false" customHeight="false" outlineLevel="0" collapsed="false">
      <c r="A36" s="5" t="n">
        <v>19</v>
      </c>
      <c r="B36" s="5" t="s">
        <v>78</v>
      </c>
      <c r="C36" s="5" t="s">
        <v>73</v>
      </c>
      <c r="D36" s="8" t="n">
        <f aca="false">COUNTIFS(Responses!$E$2:$E$4001,A36,Responses!$I$2:$I$4001,"Correct")/COUNTIFS(Responses!$E$2:$E$4001,A36)</f>
        <v>0.435</v>
      </c>
      <c r="E36" s="5" t="str">
        <f aca="false">IF(D36&gt;=$B$3,"Low",IF(D36&gt;=$B$4,"Medium","High"))</f>
        <v>High</v>
      </c>
      <c r="F36" s="5" t="n">
        <f aca="false">INDEX($B$12:$B$14,MATCH(C36,$A$12:$A$14,0))</f>
        <v>3</v>
      </c>
      <c r="G36" s="5" t="n">
        <f aca="false">INDEX($B$12:$B$14,MATCH(E36,$A$12:$A$14,0))</f>
        <v>3</v>
      </c>
    </row>
    <row r="37" customFormat="false" ht="15" hidden="false" customHeight="false" outlineLevel="0" collapsed="false">
      <c r="A37" s="5" t="n">
        <v>20</v>
      </c>
      <c r="B37" s="5" t="s">
        <v>81</v>
      </c>
      <c r="C37" s="5" t="s">
        <v>73</v>
      </c>
      <c r="D37" s="8" t="n">
        <f aca="false">COUNTIFS(Responses!$E$2:$E$4001,A37,Responses!$I$2:$I$4001,"Correct")/COUNTIFS(Responses!$E$2:$E$4001,A37)</f>
        <v>0.45</v>
      </c>
      <c r="E37" s="5" t="str">
        <f aca="false">IF(D37&gt;=$B$3,"Low",IF(D37&gt;=$B$4,"Medium","High"))</f>
        <v>High</v>
      </c>
      <c r="F37" s="5" t="n">
        <f aca="false">INDEX($B$12:$B$14,MATCH(C37,$A$12:$A$14,0))</f>
        <v>3</v>
      </c>
      <c r="G37" s="5" t="n">
        <f aca="false">INDEX($B$12:$B$14,MATCH(E37,$A$12:$A$14,0))</f>
        <v>3</v>
      </c>
    </row>
    <row r="39" customFormat="false" ht="15" hidden="false" customHeight="false" outlineLevel="0" collapsed="false">
      <c r="A39" s="9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2026-10-09T06:07:32Z</dcterms:created>
  <dc:creator>openpyxl</dc:creator>
  <dc:description/>
  <dc:language>en-US</dc:language>
  <cp:lastModifiedBy>Pana Corp</cp:lastModifiedBy>
  <dcterms:modified xsi:type="dcterms:W3CDTF">2026-10-12T09:09:32Z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